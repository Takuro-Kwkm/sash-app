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README" sheetId="1" state="visible" r:id="rId1"/>
    <sheet xmlns:r="http://schemas.openxmlformats.org/officeDocument/2006/relationships" name="01_入力フロー" sheetId="2" state="visible" r:id="rId2"/>
    <sheet xmlns:r="http://schemas.openxmlformats.org/officeDocument/2006/relationships" name="02_シリーズ" sheetId="3" state="visible" r:id="rId3"/>
    <sheet xmlns:r="http://schemas.openxmlformats.org/officeDocument/2006/relationships" name="03_窓種" sheetId="4" state="visible" r:id="rId4"/>
    <sheet xmlns:r="http://schemas.openxmlformats.org/officeDocument/2006/relationships" name="04_窓種固有仕様" sheetId="5" state="visible" r:id="rId5"/>
    <sheet xmlns:r="http://schemas.openxmlformats.org/officeDocument/2006/relationships" name="05_設定可否関係" sheetId="6" state="visible" r:id="rId6"/>
    <sheet xmlns:r="http://schemas.openxmlformats.org/officeDocument/2006/relationships" name="06_サイズ" sheetId="7" state="visible" r:id="rId7"/>
    <sheet xmlns:r="http://schemas.openxmlformats.org/officeDocument/2006/relationships" name="07_色" sheetId="8" state="visible" r:id="rId8"/>
    <sheet xmlns:r="http://schemas.openxmlformats.org/officeDocument/2006/relationships" name="08_ガラス" sheetId="9" state="visible" r:id="rId9"/>
    <sheet xmlns:r="http://schemas.openxmlformats.org/officeDocument/2006/relationships" name="09_網戸" sheetId="10" state="visible" r:id="rId10"/>
    <sheet xmlns:r="http://schemas.openxmlformats.org/officeDocument/2006/relationships" name="10_その他OP" sheetId="11" state="visible" r:id="rId11"/>
    <sheet xmlns:r="http://schemas.openxmlformats.org/officeDocument/2006/relationships" name="11_見積入力テスト" sheetId="12" state="visible" r:id="rId12"/>
    <sheet xmlns:r="http://schemas.openxmlformats.org/officeDocument/2006/relationships" name="12_投入QA" sheetId="13" state="visible" r:id="rId13"/>
    <sheet xmlns:r="http://schemas.openxmlformats.org/officeDocument/2006/relationships" name="13_可否証跡" sheetId="14" state="visible" r:id="rId14"/>
    <sheet xmlns:r="http://schemas.openxmlformats.org/officeDocument/2006/relationships" name="08B_ガラス窓種制御" sheetId="15" state="visible" r:id="rId15"/>
    <sheet xmlns:r="http://schemas.openxmlformats.org/officeDocument/2006/relationships" name="08C_ガラス制限" sheetId="16" state="visible" r:id="rId16"/>
    <sheet xmlns:r="http://schemas.openxmlformats.org/officeDocument/2006/relationships" name="09B_網戸ネット" sheetId="17" state="visible" r:id="rId17"/>
    <sheet xmlns:r="http://schemas.openxmlformats.org/officeDocument/2006/relationships" name="09C_網戸サイズ制御" sheetId="18" state="visible" r:id="rId18"/>
    <sheet xmlns:r="http://schemas.openxmlformats.org/officeDocument/2006/relationships" name="14_本格化QA" sheetId="19" state="visible" r:id="rId19"/>
    <sheet xmlns:r="http://schemas.openxmlformats.org/officeDocument/2006/relationships" name="08A_サイズ別ガラス条件" sheetId="20" state="visible" r:id="rId20"/>
    <sheet xmlns:r="http://schemas.openxmlformats.org/officeDocument/2006/relationships" name="08D_ガラス記号凡例" sheetId="21" state="visible" r:id="rId21"/>
    <sheet xmlns:r="http://schemas.openxmlformats.org/officeDocument/2006/relationships" name="08E_機能ガラス確認ゲート" sheetId="22" state="visible" r:id="rId22"/>
    <sheet xmlns:r="http://schemas.openxmlformats.org/officeDocument/2006/relationships" name="08D2_凡例継承マップ" sheetId="23" state="visible" r:id="rId23"/>
    <sheet xmlns:r="http://schemas.openxmlformats.org/officeDocument/2006/relationships" name="04B_高所用操作条件" sheetId="24" state="visible" r:id="rId24"/>
    <sheet xmlns:r="http://schemas.openxmlformats.org/officeDocument/2006/relationships" name="06B_高所用操作サイズ可否" sheetId="25" state="visible" r:id="rId25"/>
    <sheet xmlns:r="http://schemas.openxmlformats.org/officeDocument/2006/relationships" name="09D_網戸ネット設定可否" sheetId="26" state="visible" r:id="rId26"/>
    <sheet xmlns:r="http://schemas.openxmlformats.org/officeDocument/2006/relationships" name="08F_上げ下げ障子重量" sheetId="27" state="visible" r:id="rId27"/>
    <sheet xmlns:r="http://schemas.openxmlformats.org/officeDocument/2006/relationships" name="03A_品種記号" sheetId="28" state="visible" r:id="rId28"/>
    <sheet xmlns:r="http://schemas.openxmlformats.org/officeDocument/2006/relationships" name="03B_色記号" sheetId="29" state="visible" r:id="rId29"/>
    <sheet xmlns:r="http://schemas.openxmlformats.org/officeDocument/2006/relationships" name="06C_特注寸法範囲" sheetId="30" state="visible" r:id="rId30"/>
    <sheet xmlns:r="http://schemas.openxmlformats.org/officeDocument/2006/relationships" name="15_発注コード生成" sheetId="31" state="visible" r:id="rId31"/>
    <sheet xmlns:r="http://schemas.openxmlformats.org/officeDocument/2006/relationships" name="16_APP_候補制御" sheetId="32" state="visible" r:id="rId32"/>
    <sheet xmlns:r="http://schemas.openxmlformats.org/officeDocument/2006/relationships" name="17_GoldenTest" sheetId="33" state="visible" r:id="rId33"/>
    <sheet xmlns:r="http://schemas.openxmlformats.org/officeDocument/2006/relationships" name="18_完成サマリー" sheetId="34" state="visible" r:id="rId34"/>
    <sheet xmlns:r="http://schemas.openxmlformats.org/officeDocument/2006/relationships" name="19_変更履歴" sheetId="35" state="visible" r:id="rId35"/>
    <sheet xmlns:r="http://schemas.openxmlformats.org/officeDocument/2006/relationships" name="08G_UIガラスSemantic" sheetId="36" state="visible" r:id="rId36"/>
    <sheet xmlns:r="http://schemas.openxmlformats.org/officeDocument/2006/relationships" name="08H_フロスト製作条件" sheetId="37" state="visible" r:id="rId37"/>
    <sheet xmlns:r="http://schemas.openxmlformats.org/officeDocument/2006/relationships" name="08I_SAFE規格Evidence" sheetId="38" state="visible" r:id="rId38"/>
    <sheet xmlns:r="http://schemas.openxmlformats.org/officeDocument/2006/relationships" name="08J_BLIND公式範囲" sheetId="39" state="visible" r:id="rId39"/>
    <sheet xmlns:r="http://schemas.openxmlformats.org/officeDocument/2006/relationships" name="08K_SECTION20委譲Evidence" sheetId="40" state="visible" r:id="rId40"/>
    <sheet xmlns:r="http://schemas.openxmlformats.org/officeDocument/2006/relationships" name="08L_SN1400製作可能寸法" sheetId="41" state="visible" r:id="rId41"/>
  </sheets>
  <definedNames/>
</workbook>
</file>

<file path=xl/styles.xml><?xml version="1.0" encoding="utf-8"?>
<styleSheet xmlns="http://schemas.openxmlformats.org/spreadsheetml/2006/main">
  <numFmts count="0"/>
  <fonts count="11">
    <font>
      <name val="Carlito"/>
      <sz val="11"/>
    </font>
    <font>
      <name val="Carlito"/>
      <b val="1"/>
      <color rgb="FFFFFFFF"/>
      <sz val="15"/>
    </font>
    <font>
      <name val="Carlito"/>
      <b val="1"/>
      <sz val="11"/>
    </font>
    <font>
      <name val="Carlito"/>
      <b val="1"/>
      <color rgb="FFFFFFFF"/>
      <sz val="14"/>
    </font>
    <font>
      <name val="Carlito"/>
      <color rgb="FF1F1F1F"/>
      <sz val="10"/>
    </font>
    <font>
      <name val="Carlito"/>
      <b val="1"/>
      <color rgb="FF1F1F1F"/>
      <sz val="11"/>
    </font>
    <font>
      <name val="Carlito"/>
      <b val="1"/>
      <color rgb="FFFFFFFF"/>
      <sz val="11"/>
    </font>
    <font>
      <name val="Carlito"/>
      <b val="1"/>
      <color rgb="FF17375E"/>
      <sz val="14"/>
    </font>
    <font>
      <name val="Carlito"/>
      <i val="1"/>
      <color rgb="FF44546A"/>
      <sz val="11"/>
    </font>
    <font>
      <name val="Arial"/>
      <sz val="10"/>
    </font>
    <font>
      <name val="Arial"/>
      <sz val="9"/>
    </font>
  </fonts>
  <fills count="39">
    <fill>
      <patternFill/>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FCE4D6"/>
      </patternFill>
    </fill>
    <fill>
      <patternFill patternType="solid">
        <fgColor rgb="FF1F4E78"/>
      </patternFill>
    </fill>
    <fill>
      <patternFill patternType="solid">
        <fgColor rgb="FFFFF2CC"/>
      </patternFill>
    </fill>
    <fill>
      <patternFill patternType="solid">
        <fgColor rgb="FFD9EAF7"/>
      </patternFill>
    </fill>
    <fill>
      <patternFill patternType="solid">
        <fgColor rgb="FFE2F0D9"/>
      </patternFill>
    </fill>
    <fill>
      <patternFill patternType="solid">
        <fgColor rgb="FF1F4E78"/>
      </patternFill>
    </fill>
    <fill>
      <patternFill patternType="solid">
        <fgColor rgb="FFFFF2CC"/>
      </patternFill>
    </fill>
    <fill>
      <patternFill patternType="solid">
        <fgColor rgb="FFD9EAF7"/>
      </patternFill>
    </fill>
    <fill>
      <patternFill patternType="solid">
        <fgColor rgb="FF1F4E78"/>
      </patternFill>
    </fill>
    <fill>
      <patternFill patternType="solid">
        <fgColor rgb="FFFFF2CC"/>
      </patternFill>
    </fill>
    <fill>
      <patternFill patternType="solid">
        <fgColor rgb="FFD9EAF7"/>
      </patternFill>
    </fill>
    <fill>
      <patternFill patternType="solid">
        <fgColor rgb="FFD9EAF7"/>
      </patternFill>
    </fill>
    <fill>
      <patternFill patternType="solid">
        <fgColor rgb="FF1F4E78"/>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FFF2CC"/>
      </patternFill>
    </fill>
    <fill>
      <patternFill patternType="solid">
        <fgColor rgb="FFD9EAF7"/>
      </patternFill>
    </fill>
    <fill>
      <patternFill patternType="solid">
        <fgColor rgb="FF1F4E78"/>
      </patternFill>
    </fill>
    <fill>
      <patternFill patternType="solid">
        <fgColor rgb="FFFFF2CC"/>
      </patternFill>
    </fill>
    <fill>
      <patternFill patternType="solid">
        <fgColor rgb="FFD9EAF7"/>
      </patternFill>
    </fill>
    <fill>
      <patternFill patternType="solid">
        <fgColor rgb="FF1F4E78"/>
      </patternFill>
    </fill>
    <fill>
      <patternFill patternType="solid">
        <fgColor rgb="FFFFF2CC"/>
      </patternFill>
    </fill>
    <fill>
      <patternFill patternType="solid">
        <fgColor rgb="FFD9EAF7"/>
      </patternFill>
    </fill>
    <fill>
      <patternFill patternType="solid">
        <fgColor rgb="FFD9EAF7"/>
      </patternFill>
    </fill>
    <fill>
      <patternFill patternType="solid">
        <fgColor rgb="FFF3F6F9"/>
      </patternFill>
    </fill>
    <fill>
      <patternFill patternType="solid">
        <fgColor rgb="FF1F4E78"/>
      </patternFill>
    </fill>
    <fill>
      <patternFill patternType="solid">
        <fgColor rgb="FFD9EAF7"/>
      </patternFill>
    </fill>
    <fill>
      <patternFill patternType="solid">
        <fgColor rgb="FF17365D"/>
      </patternFill>
    </fill>
  </fills>
  <borders count="3">
    <border/>
    <border/>
    <border>
      <left style="thin">
        <color rgb="FFD9E2F3"/>
      </left>
      <right style="thin">
        <color rgb="FFD9E2F3"/>
      </right>
      <top style="thin">
        <color rgb="FFD9E2F3"/>
      </top>
      <bottom style="thin">
        <color rgb="FFD9E2F3"/>
      </bottom>
    </border>
  </borders>
  <cellStyleXfs count="1">
    <xf numFmtId="0" fontId="0" fillId="0" borderId="1"/>
  </cellStyleXfs>
  <cellXfs count="24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vertical="center"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3" borderId="0" pivotButton="0" quotePrefix="0" xfId="0"/>
    <xf numFmtId="0" fontId="5" fillId="3" borderId="0" applyAlignment="1" pivotButton="0" quotePrefix="0" xfId="0">
      <alignment wrapText="1"/>
    </xf>
    <xf numFmtId="0" fontId="5" fillId="3" borderId="0" applyAlignment="1" pivotButton="0" quotePrefix="0" xfId="0">
      <alignment horizontal="center" wrapText="1"/>
    </xf>
    <xf numFmtId="0" fontId="5" fillId="3" borderId="0" applyAlignment="1" pivotButton="0" quotePrefix="0" xfId="0">
      <alignment horizontal="center" vertical="center" wrapText="1"/>
    </xf>
    <xf numFmtId="0" fontId="5" fillId="3" borderId="1" pivotButton="0" quotePrefix="0" xfId="0"/>
    <xf numFmtId="0" fontId="5" fillId="3" borderId="1" applyAlignment="1" pivotButton="0" quotePrefix="0" xfId="0">
      <alignment wrapText="1"/>
    </xf>
    <xf numFmtId="0" fontId="5" fillId="3" borderId="1" applyAlignment="1" pivotButton="0" quotePrefix="0" xfId="0">
      <alignment horizontal="center" wrapText="1"/>
    </xf>
    <xf numFmtId="0" fontId="5" fillId="3" borderId="1" applyAlignment="1" pivotButton="0" quotePrefix="0" xfId="0">
      <alignment horizontal="center" vertical="center" wrapText="1"/>
    </xf>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0" fillId="5" borderId="0"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vertical="top" wrapText="1"/>
    </xf>
    <xf numFmtId="0" fontId="0" fillId="0" borderId="0" pivotButton="0" quotePrefix="0" xfId="0"/>
    <xf numFmtId="0" fontId="0" fillId="0" borderId="0" pivotButton="0" quotePrefix="0" xfId="0"/>
    <xf numFmtId="0" fontId="3" fillId="6" borderId="0" applyAlignment="1" pivotButton="0" quotePrefix="0" xfId="0">
      <alignment vertical="center" wrapText="1"/>
    </xf>
    <xf numFmtId="0" fontId="4" fillId="7" borderId="0" applyAlignment="1" pivotButton="0" quotePrefix="0" xfId="0">
      <alignment vertical="center" wrapText="1"/>
    </xf>
    <xf numFmtId="0" fontId="5" fillId="8" borderId="0" applyAlignment="1" pivotButton="0" quotePrefix="0" xfId="0">
      <alignment horizontal="center" vertical="center" wrapText="1"/>
    </xf>
    <xf numFmtId="0" fontId="0" fillId="8" borderId="0" pivotButton="0" quotePrefix="0" xfId="0"/>
    <xf numFmtId="0" fontId="5" fillId="8" borderId="0" pivotButton="0" quotePrefix="0" xfId="0"/>
    <xf numFmtId="0" fontId="5" fillId="8" borderId="0" applyAlignment="1" pivotButton="0" quotePrefix="0" xfId="0">
      <alignment wrapText="1"/>
    </xf>
    <xf numFmtId="0" fontId="5" fillId="8" borderId="0" applyAlignment="1" pivotButton="0" quotePrefix="0" xfId="0">
      <alignment horizontal="center" wrapText="1"/>
    </xf>
    <xf numFmtId="1" fontId="0" fillId="5" borderId="0" applyAlignment="1" pivotButton="0" quotePrefix="0" xfId="0">
      <alignment vertical="top" wrapText="1"/>
    </xf>
    <xf numFmtId="1" fontId="0" fillId="0" borderId="0" applyAlignment="1" pivotButton="0" quotePrefix="0" xfId="0">
      <alignment vertical="top" wrapText="1"/>
    </xf>
    <xf numFmtId="0" fontId="0" fillId="5" borderId="0" applyAlignment="1" pivotButton="0" quotePrefix="0" xfId="0">
      <alignment horizontal="center" vertical="top" wrapText="1"/>
    </xf>
    <xf numFmtId="0" fontId="0" fillId="0" borderId="0" applyAlignment="1" pivotButton="0" quotePrefix="0" xfId="0">
      <alignment horizontal="center" vertical="top" wrapText="1"/>
    </xf>
    <xf numFmtId="0" fontId="0" fillId="6" borderId="0" pivotButton="0" quotePrefix="0" xfId="0"/>
    <xf numFmtId="0" fontId="3" fillId="6" borderId="0" pivotButton="0" quotePrefix="0" xfId="0"/>
    <xf numFmtId="0" fontId="3" fillId="6" borderId="0" applyAlignment="1" pivotButton="0" quotePrefix="0" xfId="0">
      <alignment vertical="center"/>
    </xf>
    <xf numFmtId="0" fontId="0" fillId="7" borderId="0" pivotButton="0" quotePrefix="0" xfId="0"/>
    <xf numFmtId="0" fontId="0"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3" fillId="2" borderId="0" applyAlignment="1" pivotButton="0" quotePrefix="0" xfId="0">
      <alignment vertical="center"/>
    </xf>
    <xf numFmtId="0" fontId="0" fillId="4" borderId="0" applyAlignment="1" pivotButton="0" quotePrefix="0" xfId="0">
      <alignment wrapText="1"/>
    </xf>
    <xf numFmtId="0" fontId="0" fillId="9" borderId="0" applyAlignment="1" pivotButton="0" quotePrefix="0" xfId="0">
      <alignment vertical="top" wrapText="1"/>
    </xf>
    <xf numFmtId="0" fontId="3" fillId="10" borderId="0" applyAlignment="1" pivotButton="0" quotePrefix="0" xfId="0">
      <alignment vertical="center"/>
    </xf>
    <xf numFmtId="0" fontId="0" fillId="11" borderId="0" applyAlignment="1" pivotButton="0" quotePrefix="0" xfId="0">
      <alignment wrapText="1"/>
    </xf>
    <xf numFmtId="0" fontId="2" fillId="12" borderId="0" applyAlignment="1" pivotButton="0" quotePrefix="0" xfId="0">
      <alignment horizontal="center"/>
    </xf>
    <xf numFmtId="0" fontId="0" fillId="12" borderId="0" pivotButton="0" quotePrefix="0" xfId="0"/>
    <xf numFmtId="0" fontId="2" fillId="12" borderId="0" pivotButton="0" quotePrefix="0" xfId="0"/>
    <xf numFmtId="0" fontId="0" fillId="10" borderId="0" pivotButton="0" quotePrefix="0" xfId="0"/>
    <xf numFmtId="0" fontId="3" fillId="10" borderId="0" pivotButton="0" quotePrefix="0" xfId="0"/>
    <xf numFmtId="0" fontId="0" fillId="11" borderId="0" pivotButton="0" quotePrefix="0" xfId="0"/>
    <xf numFmtId="0" fontId="2" fillId="12" borderId="0" applyAlignment="1" pivotButton="0" quotePrefix="0" xfId="0">
      <alignment wrapText="1"/>
    </xf>
    <xf numFmtId="0" fontId="2" fillId="12" borderId="0" applyAlignment="1" pivotButton="0" quotePrefix="0" xfId="0">
      <alignment horizontal="center" wrapText="1"/>
    </xf>
    <xf numFmtId="0" fontId="2" fillId="3" borderId="0" applyAlignment="1" pivotButton="0" quotePrefix="0" xfId="0">
      <alignment wrapText="1"/>
    </xf>
    <xf numFmtId="0" fontId="2" fillId="3" borderId="0" applyAlignment="1" pivotButton="0" quotePrefix="0" xfId="0">
      <alignment horizontal="center" wrapText="1"/>
    </xf>
    <xf numFmtId="0" fontId="1" fillId="2" borderId="0" applyAlignment="1" pivotButton="0" quotePrefix="0" xfId="0">
      <alignment vertical="center" wrapText="1"/>
    </xf>
    <xf numFmtId="0" fontId="3" fillId="13" borderId="0" applyAlignment="1" pivotButton="0" quotePrefix="0" xfId="0">
      <alignment vertical="center"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4" fillId="14" borderId="0" applyAlignment="1" pivotButton="0" quotePrefix="0" xfId="0">
      <alignment vertical="center" wrapText="1"/>
    </xf>
    <xf numFmtId="0" fontId="0" fillId="14" borderId="0" pivotButton="0" quotePrefix="0" xfId="0"/>
    <xf numFmtId="0" fontId="0" fillId="14" borderId="0" applyAlignment="1" pivotButton="0" quotePrefix="0" xfId="0">
      <alignment wrapText="1"/>
    </xf>
    <xf numFmtId="0" fontId="4" fillId="14" borderId="0" applyAlignment="1" pivotButton="0" quotePrefix="0" xfId="0">
      <alignment vertical="top" wrapText="1"/>
    </xf>
    <xf numFmtId="0" fontId="0" fillId="14" borderId="0" applyAlignment="1" pivotButton="0" quotePrefix="0" xfId="0">
      <alignment vertical="top" wrapText="1"/>
    </xf>
    <xf numFmtId="0" fontId="5" fillId="15" borderId="0" applyAlignment="1" pivotButton="0" quotePrefix="0" xfId="0">
      <alignment horizontal="center" vertical="center" wrapText="1"/>
    </xf>
    <xf numFmtId="0" fontId="0" fillId="15" borderId="0" pivotButton="0" quotePrefix="0" xfId="0"/>
    <xf numFmtId="0" fontId="2" fillId="15" borderId="0" pivotButton="0" quotePrefix="0" xfId="0"/>
    <xf numFmtId="0" fontId="2" fillId="15" borderId="0" applyAlignment="1" pivotButton="0" quotePrefix="0" xfId="0">
      <alignment wrapText="1"/>
    </xf>
    <xf numFmtId="0" fontId="2" fillId="15" borderId="0" applyAlignment="1" pivotButton="0" quotePrefix="0" xfId="0">
      <alignment horizontal="center" wrapText="1"/>
    </xf>
    <xf numFmtId="0" fontId="2" fillId="15" borderId="0" applyAlignment="1" pivotButton="0" quotePrefix="0" xfId="0">
      <alignment horizontal="center" vertical="center" wrapText="1"/>
    </xf>
    <xf numFmtId="0" fontId="4" fillId="4" borderId="0" applyAlignment="1" pivotButton="0" quotePrefix="0" xfId="0">
      <alignment vertical="top" wrapText="1"/>
    </xf>
    <xf numFmtId="0" fontId="0" fillId="4" borderId="0" applyAlignment="1" pivotButton="0" quotePrefix="0" xfId="0">
      <alignment vertical="top" wrapText="1"/>
    </xf>
    <xf numFmtId="0" fontId="2" fillId="3" borderId="0" applyAlignment="1" pivotButton="0" quotePrefix="0" xfId="0">
      <alignment horizontal="center" vertical="center" wrapText="1"/>
    </xf>
    <xf numFmtId="0" fontId="0" fillId="16" borderId="0" pivotButton="0" quotePrefix="0" xfId="0"/>
    <xf numFmtId="0" fontId="2" fillId="16" borderId="0" pivotButton="0" quotePrefix="0" xfId="0"/>
    <xf numFmtId="0" fontId="2" fillId="16" borderId="0" applyAlignment="1" pivotButton="0" quotePrefix="0" xfId="0">
      <alignment wrapText="1"/>
    </xf>
    <xf numFmtId="0" fontId="2" fillId="16" borderId="0" applyAlignment="1" pivotButton="0" quotePrefix="0" xfId="0">
      <alignment horizontal="center" wrapText="1"/>
    </xf>
    <xf numFmtId="0" fontId="2" fillId="16" borderId="0" applyAlignment="1" pivotButton="0" quotePrefix="0" xfId="0">
      <alignment horizontal="center" vertical="center" wrapText="1"/>
    </xf>
    <xf numFmtId="0" fontId="0" fillId="17" borderId="0" pivotButton="0" quotePrefix="0" xfId="0"/>
    <xf numFmtId="0" fontId="3" fillId="17" borderId="0" pivotButton="0" quotePrefix="0" xfId="0"/>
    <xf numFmtId="0" fontId="3" fillId="17" borderId="0" applyAlignment="1" pivotButton="0" quotePrefix="0" xfId="0">
      <alignment wrapText="1"/>
    </xf>
    <xf numFmtId="0" fontId="3" fillId="17" borderId="0" applyAlignment="1" pivotButton="0" quotePrefix="0" xfId="0">
      <alignment vertical="center" wrapText="1"/>
    </xf>
    <xf numFmtId="0" fontId="0" fillId="18" borderId="0" pivotButton="0" quotePrefix="0" xfId="0"/>
    <xf numFmtId="0" fontId="0" fillId="18" borderId="0" applyAlignment="1" pivotButton="0" quotePrefix="0" xfId="0">
      <alignment wrapText="1"/>
    </xf>
    <xf numFmtId="0" fontId="0" fillId="18" borderId="0" applyAlignment="1" pivotButton="0" quotePrefix="0" xfId="0">
      <alignment vertical="top" wrapText="1"/>
    </xf>
    <xf numFmtId="0" fontId="2" fillId="16" borderId="0" applyAlignment="1" pivotButton="0" quotePrefix="0" xfId="0">
      <alignment horizontal="center"/>
    </xf>
    <xf numFmtId="0" fontId="0" fillId="19" borderId="0" applyAlignment="1" pivotButton="0" quotePrefix="0" xfId="0">
      <alignment wrapText="1"/>
    </xf>
    <xf numFmtId="0" fontId="6" fillId="19" borderId="0" applyAlignment="1" pivotButton="0" quotePrefix="0" xfId="0">
      <alignment wrapText="1"/>
    </xf>
    <xf numFmtId="0" fontId="0" fillId="20" borderId="0" applyAlignment="1" pivotButton="0" quotePrefix="0" xfId="0">
      <alignment wrapText="1"/>
    </xf>
    <xf numFmtId="0" fontId="2" fillId="20" borderId="0" applyAlignment="1" pivotButton="0" quotePrefix="0" xfId="0">
      <alignment wrapText="1"/>
    </xf>
    <xf numFmtId="0" fontId="0" fillId="2" borderId="0" applyAlignment="1" pivotButton="0" quotePrefix="0" xfId="0">
      <alignment wrapText="1"/>
    </xf>
    <xf numFmtId="0" fontId="6" fillId="2" borderId="0" applyAlignment="1" pivotButton="0" quotePrefix="0" xfId="0">
      <alignment wrapText="1"/>
    </xf>
    <xf numFmtId="0" fontId="0" fillId="3" borderId="0" applyAlignment="1" pivotButton="0" quotePrefix="0" xfId="0">
      <alignment wrapText="1"/>
    </xf>
    <xf numFmtId="0" fontId="0" fillId="21" borderId="0" applyAlignment="1" pivotButton="0" quotePrefix="0" xfId="0">
      <alignment wrapText="1"/>
    </xf>
    <xf numFmtId="0" fontId="6" fillId="21" borderId="0" applyAlignment="1" pivotButton="0" quotePrefix="0" xfId="0">
      <alignment wrapText="1"/>
    </xf>
    <xf numFmtId="0" fontId="0" fillId="22" borderId="0" applyAlignment="1" pivotButton="0" quotePrefix="0" xfId="0">
      <alignment wrapText="1"/>
    </xf>
    <xf numFmtId="0" fontId="2" fillId="22" borderId="0" applyAlignment="1" pivotButton="0" quotePrefix="0" xfId="0">
      <alignment wrapText="1"/>
    </xf>
    <xf numFmtId="0" fontId="0" fillId="23" borderId="0" pivotButton="0" quotePrefix="0" xfId="0"/>
    <xf numFmtId="0" fontId="6" fillId="23" borderId="0" pivotButton="0" quotePrefix="0" xfId="0"/>
    <xf numFmtId="0" fontId="0" fillId="24" borderId="0" pivotButton="0" quotePrefix="0" xfId="0"/>
    <xf numFmtId="0" fontId="2" fillId="24" borderId="0" pivotButton="0" quotePrefix="0" xfId="0"/>
    <xf numFmtId="0" fontId="6" fillId="2" borderId="0" pivotButton="0" quotePrefix="0" xfId="0"/>
    <xf numFmtId="0" fontId="0" fillId="25" borderId="0" pivotButton="0" quotePrefix="0" xfId="0"/>
    <xf numFmtId="0" fontId="3" fillId="25" borderId="0" pivotButton="0" quotePrefix="0" xfId="0"/>
    <xf numFmtId="0" fontId="0" fillId="26" borderId="0" pivotButton="0" quotePrefix="0" xfId="0"/>
    <xf numFmtId="0" fontId="0" fillId="26" borderId="0" applyAlignment="1" pivotButton="0" quotePrefix="0" xfId="0">
      <alignment wrapText="1"/>
    </xf>
    <xf numFmtId="0" fontId="0" fillId="27" borderId="0" pivotButton="0" quotePrefix="0" xfId="0"/>
    <xf numFmtId="0" fontId="2" fillId="27" borderId="0" pivotButton="0" quotePrefix="0" xfId="0"/>
    <xf numFmtId="0" fontId="2" fillId="27" borderId="0" applyAlignment="1" pivotButton="0" quotePrefix="0" xfId="0">
      <alignment wrapText="1"/>
    </xf>
    <xf numFmtId="0" fontId="3" fillId="25" borderId="0" applyAlignment="1" pivotButton="0" quotePrefix="0" xfId="0">
      <alignment vertical="center" wrapText="1"/>
    </xf>
    <xf numFmtId="0" fontId="0" fillId="26" borderId="0" applyAlignment="1" pivotButton="0" quotePrefix="0" xfId="0">
      <alignment vertical="top" wrapText="1"/>
    </xf>
    <xf numFmtId="0" fontId="2" fillId="27" borderId="0" applyAlignment="1" pivotButton="0" quotePrefix="0" xfId="0">
      <alignment horizontal="center" vertical="center" wrapText="1"/>
    </xf>
    <xf numFmtId="0" fontId="0" fillId="28" borderId="0" pivotButton="0" quotePrefix="0" xfId="0"/>
    <xf numFmtId="0" fontId="3" fillId="28" borderId="0" pivotButton="0" quotePrefix="0" xfId="0"/>
    <xf numFmtId="0" fontId="3" fillId="28" borderId="0" applyAlignment="1" pivotButton="0" quotePrefix="0" xfId="0">
      <alignment wrapText="1"/>
    </xf>
    <xf numFmtId="0" fontId="0" fillId="29" borderId="0" pivotButton="0" quotePrefix="0" xfId="0"/>
    <xf numFmtId="0" fontId="0" fillId="29" borderId="0" applyAlignment="1" pivotButton="0" quotePrefix="0" xfId="0">
      <alignment wrapText="1"/>
    </xf>
    <xf numFmtId="0" fontId="0" fillId="30" borderId="0" pivotButton="0" quotePrefix="0" xfId="0"/>
    <xf numFmtId="0" fontId="2" fillId="30" borderId="0" pivotButton="0" quotePrefix="0" xfId="0"/>
    <xf numFmtId="0" fontId="2" fillId="30" borderId="0" applyAlignment="1" pivotButton="0" quotePrefix="0" xfId="0">
      <alignment wrapText="1"/>
    </xf>
    <xf numFmtId="0" fontId="2" fillId="30" borderId="0" applyAlignment="1" pivotButton="0" quotePrefix="0" xfId="0">
      <alignment horizontal="center" wrapText="1"/>
    </xf>
    <xf numFmtId="0" fontId="0" fillId="31" borderId="0" pivotButton="0" quotePrefix="0" xfId="0"/>
    <xf numFmtId="0" fontId="3" fillId="31" borderId="0" pivotButton="0" quotePrefix="0" xfId="0"/>
    <xf numFmtId="0" fontId="3" fillId="31" borderId="0" applyAlignment="1" pivotButton="0" quotePrefix="0" xfId="0">
      <alignment wrapText="1"/>
    </xf>
    <xf numFmtId="0" fontId="0" fillId="32" borderId="0" pivotButton="0" quotePrefix="0" xfId="0"/>
    <xf numFmtId="0" fontId="0" fillId="32" borderId="0" applyAlignment="1" pivotButton="0" quotePrefix="0" xfId="0">
      <alignment wrapText="1"/>
    </xf>
    <xf numFmtId="0" fontId="0" fillId="33" borderId="0" pivotButton="0" quotePrefix="0" xfId="0"/>
    <xf numFmtId="0" fontId="2" fillId="33" borderId="0" pivotButton="0" quotePrefix="0" xfId="0"/>
    <xf numFmtId="0" fontId="2" fillId="33" borderId="0" applyAlignment="1" pivotButton="0" quotePrefix="0" xfId="0">
      <alignment wrapText="1"/>
    </xf>
    <xf numFmtId="0" fontId="2" fillId="33" borderId="0" applyAlignment="1" pivotButton="0" quotePrefix="0" xfId="0">
      <alignment horizontal="center" wrapText="1"/>
    </xf>
    <xf numFmtId="0" fontId="3" fillId="31" borderId="0" applyAlignment="1" pivotButton="0" quotePrefix="0" xfId="0">
      <alignment vertical="center" wrapText="1"/>
    </xf>
    <xf numFmtId="0" fontId="0" fillId="32" borderId="0" applyAlignment="1" pivotButton="0" quotePrefix="0" xfId="0">
      <alignment vertical="top" wrapText="1"/>
    </xf>
    <xf numFmtId="0" fontId="2" fillId="33" borderId="0" applyAlignment="1" pivotButton="0" quotePrefix="0" xfId="0">
      <alignment horizontal="center" vertical="center" wrapText="1"/>
    </xf>
    <xf numFmtId="0" fontId="2" fillId="0" borderId="0" pivotButton="0" quotePrefix="0" xfId="0"/>
    <xf numFmtId="0" fontId="2" fillId="0" borderId="0" applyAlignment="1" pivotButton="0" quotePrefix="0" xfId="0">
      <alignment wrapText="1"/>
    </xf>
    <xf numFmtId="0" fontId="0" fillId="34" borderId="0" pivotButton="0" quotePrefix="0" xfId="0"/>
    <xf numFmtId="0" fontId="7" fillId="34" borderId="0" pivotButton="0" quotePrefix="0" xfId="0"/>
    <xf numFmtId="0" fontId="7" fillId="34" borderId="0" applyAlignment="1" pivotButton="0" quotePrefix="0" xfId="0">
      <alignment vertical="center"/>
    </xf>
    <xf numFmtId="0" fontId="0" fillId="35" borderId="0" pivotButton="0" quotePrefix="0" xfId="0"/>
    <xf numFmtId="0" fontId="8" fillId="35" borderId="0" pivotButton="0" quotePrefix="0" xfId="0"/>
    <xf numFmtId="0" fontId="8" fillId="35" borderId="0" applyAlignment="1" pivotButton="0" quotePrefix="0" xfId="0">
      <alignment wrapText="1"/>
    </xf>
    <xf numFmtId="0" fontId="8" fillId="35" borderId="0" applyAlignment="1" pivotButton="0" quotePrefix="0" xfId="0">
      <alignment vertical="center"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6" fillId="36" borderId="0" applyAlignment="1" pivotButton="0" quotePrefix="0" xfId="0">
      <alignment horizontal="center" wrapText="1"/>
    </xf>
    <xf numFmtId="0" fontId="6" fillId="36"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7" fillId="3" borderId="0" pivotButton="0" quotePrefix="0" xfId="0"/>
    <xf numFmtId="0" fontId="7" fillId="3" borderId="0" applyAlignment="1" pivotButton="0" quotePrefix="0" xfId="0">
      <alignment vertical="center"/>
    </xf>
    <xf numFmtId="0" fontId="6" fillId="2" borderId="0" applyAlignment="1" pivotButton="0" quotePrefix="0" xfId="0">
      <alignment horizontal="center" wrapText="1"/>
    </xf>
    <xf numFmtId="0" fontId="6" fillId="2" borderId="0" applyAlignment="1" pivotButton="0" quotePrefix="0" xfId="0">
      <alignment horizontal="center" vertical="center" wrapText="1"/>
    </xf>
    <xf numFmtId="0" fontId="0" fillId="37" borderId="0" pivotButton="0" quotePrefix="0" xfId="0"/>
    <xf numFmtId="0" fontId="2" fillId="37" borderId="0" pivotButton="0" quotePrefix="0" xfId="0"/>
    <xf numFmtId="0" fontId="2" fillId="37" borderId="0" applyAlignment="1" pivotButton="0" quotePrefix="0" xfId="0">
      <alignment wrapText="1"/>
    </xf>
    <xf numFmtId="0" fontId="2" fillId="37" borderId="0" applyAlignment="1" pivotButton="0" quotePrefix="0" xfId="0">
      <alignment vertical="center"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6" fillId="38" borderId="0" applyAlignment="1" pivotButton="0" quotePrefix="0" xfId="0">
      <alignment vertical="center" wrapText="1"/>
    </xf>
    <xf numFmtId="0" fontId="9" fillId="0" borderId="0" pivotButton="0" quotePrefix="0" xfId="0"/>
    <xf numFmtId="0" fontId="9" fillId="0" borderId="0" pivotButton="0" quotePrefix="0" xfId="0"/>
    <xf numFmtId="0" fontId="9" fillId="0" borderId="0" applyAlignment="1" pivotButton="0" quotePrefix="0" xfId="0">
      <alignment wrapText="1"/>
    </xf>
    <xf numFmtId="0" fontId="9" fillId="0" borderId="0" applyAlignment="1" pivotButton="0" quotePrefix="0" xfId="0">
      <alignment wrapText="1"/>
    </xf>
    <xf numFmtId="0" fontId="9" fillId="0" borderId="0" applyAlignment="1" pivotButton="0" quotePrefix="0" xfId="0">
      <alignment vertical="top" wrapText="1"/>
    </xf>
    <xf numFmtId="0" fontId="9" fillId="0" borderId="0" applyAlignment="1" pivotButton="0" quotePrefix="0" xfId="0">
      <alignment vertical="top" wrapText="1"/>
    </xf>
    <xf numFmtId="0" fontId="6" fillId="38" borderId="2" applyAlignment="1" pivotButton="0" quotePrefix="0" xfId="0">
      <alignment vertical="center" wrapText="1"/>
    </xf>
    <xf numFmtId="0" fontId="9" fillId="0" borderId="2" applyAlignment="1" pivotButton="0" quotePrefix="0" xfId="0">
      <alignment vertical="top" wrapText="1"/>
    </xf>
    <xf numFmtId="0" fontId="9" fillId="0" borderId="2" applyAlignment="1" pivotButton="0" quotePrefix="0" xfId="0">
      <alignment vertical="top" wrapText="1"/>
    </xf>
    <xf numFmtId="0" fontId="10" fillId="0" borderId="0" pivotButton="0" quotePrefix="0" xfId="0"/>
    <xf numFmtId="0" fontId="10" fillId="0" borderId="0" pivotButton="0" quotePrefix="0" xfId="0"/>
    <xf numFmtId="0" fontId="10" fillId="0" borderId="0" pivotButton="0" quotePrefix="0" xfId="0"/>
    <xf numFmtId="0" fontId="10" fillId="0" borderId="0" pivotButton="0" quotePrefix="0" xfId="0"/>
    <xf numFmtId="0" fontId="10" fillId="0" borderId="0" applyAlignment="1" pivotButton="0" quotePrefix="0" xfId="0">
      <alignment vertical="top"/>
    </xf>
    <xf numFmtId="0" fontId="10" fillId="0" borderId="0" applyAlignment="1" pivotButton="0" quotePrefix="0" xfId="0">
      <alignment vertical="top"/>
    </xf>
    <xf numFmtId="0" fontId="10" fillId="0" borderId="2" applyAlignment="1" pivotButton="0" quotePrefix="0" xfId="0">
      <alignment vertical="top"/>
    </xf>
    <xf numFmtId="0" fontId="10" fillId="0" borderId="2" applyAlignment="1" pivotButton="0" quotePrefix="0" xfId="0">
      <alignment vertical="top"/>
    </xf>
    <xf numFmtId="2" fontId="10" fillId="0" borderId="2" applyAlignment="1" pivotButton="0" quotePrefix="0" xfId="0">
      <alignment vertical="top"/>
    </xf>
    <xf numFmtId="1" fontId="10" fillId="0" borderId="2" applyAlignment="1" pivotButton="0" quotePrefix="0" xfId="0">
      <alignment vertical="top"/>
    </xf>
    <xf numFmtId="0" fontId="3" fillId="2" borderId="0" applyAlignment="1" pivotButton="0" quotePrefix="0" xfId="0">
      <alignment vertical="top" wrapText="1"/>
    </xf>
    <xf numFmtId="0" fontId="2" fillId="3" borderId="0" applyAlignment="1" pivotButton="0" quotePrefix="0" xfId="0">
      <alignment horizontal="center" vertical="top" wrapText="1"/>
    </xf>
    <xf numFmtId="0" fontId="7" fillId="3" borderId="0" applyAlignment="1" pivotButton="0" quotePrefix="0" xfId="0">
      <alignment vertical="center" wrapText="1"/>
    </xf>
    <xf numFmtId="0" fontId="7" fillId="3" borderId="0" applyAlignment="1" pivotButton="0" quotePrefix="0" xfId="0">
      <alignment vertical="top" wrapText="1"/>
    </xf>
    <xf numFmtId="0" fontId="8" fillId="35" borderId="0" applyAlignment="1" pivotButton="0" quotePrefix="0" xfId="0">
      <alignment vertical="top" wrapText="1"/>
    </xf>
    <xf numFmtId="0" fontId="6" fillId="2" borderId="0" applyAlignment="1" pivotButton="0" quotePrefix="0" xfId="0">
      <alignment horizontal="center" vertical="top" wrapText="1"/>
    </xf>
    <xf numFmtId="0" fontId="1" fillId="2" borderId="1" applyAlignment="1" pivotButton="0" quotePrefix="0" xfId="0">
      <alignment vertical="center" wrapText="1"/>
    </xf>
    <xf numFmtId="0" fontId="3" fillId="6" borderId="1" applyAlignment="1" pivotButton="0" quotePrefix="0" xfId="0">
      <alignment vertical="center" wrapText="1"/>
    </xf>
    <xf numFmtId="0" fontId="4" fillId="7" borderId="1" applyAlignment="1" pivotButton="0" quotePrefix="0" xfId="0">
      <alignment vertical="center" wrapText="1"/>
    </xf>
    <xf numFmtId="1" fontId="0" fillId="5" borderId="0" applyAlignment="1" pivotButton="0" quotePrefix="0" xfId="0">
      <alignment vertical="top" wrapText="1"/>
    </xf>
    <xf numFmtId="1" fontId="0" fillId="0" borderId="0" applyAlignment="1" pivotButton="0" quotePrefix="0" xfId="0">
      <alignment vertical="top" wrapText="1"/>
    </xf>
    <xf numFmtId="0" fontId="3" fillId="13" borderId="1" applyAlignment="1" pivotButton="0" quotePrefix="0" xfId="0">
      <alignment vertical="center" wrapText="1"/>
    </xf>
    <xf numFmtId="0" fontId="4" fillId="14" borderId="1" applyAlignment="1" pivotButton="0" quotePrefix="0" xfId="0">
      <alignment vertical="top" wrapText="1"/>
    </xf>
    <xf numFmtId="0" fontId="4" fillId="4" borderId="1" applyAlignment="1" pivotButton="0" quotePrefix="0" xfId="0">
      <alignment vertical="top" wrapText="1"/>
    </xf>
    <xf numFmtId="0" fontId="3" fillId="10" borderId="1" applyAlignment="1" pivotButton="0" quotePrefix="0" xfId="0">
      <alignment vertical="center"/>
    </xf>
    <xf numFmtId="0" fontId="0" fillId="11" borderId="1" applyAlignment="1" pivotButton="0" quotePrefix="0" xfId="0">
      <alignment wrapText="1"/>
    </xf>
    <xf numFmtId="0" fontId="0" fillId="4" borderId="1" applyAlignment="1" pivotButton="0" quotePrefix="0" xfId="0">
      <alignment vertical="top" wrapText="1"/>
    </xf>
    <xf numFmtId="0" fontId="0" fillId="14" borderId="1" applyAlignment="1" pivotButton="0" quotePrefix="0" xfId="0">
      <alignment vertical="top" wrapText="1"/>
    </xf>
    <xf numFmtId="0" fontId="3" fillId="31" borderId="1" applyAlignment="1" pivotButton="0" quotePrefix="0" xfId="0">
      <alignment vertical="center" wrapText="1"/>
    </xf>
    <xf numFmtId="0" fontId="0" fillId="32" borderId="1" applyAlignment="1" pivotButton="0" quotePrefix="0" xfId="0">
      <alignment vertical="top" wrapText="1"/>
    </xf>
    <xf numFmtId="0" fontId="3" fillId="17" borderId="1" applyAlignment="1" pivotButton="0" quotePrefix="0" xfId="0">
      <alignment vertical="center" wrapText="1"/>
    </xf>
    <xf numFmtId="0" fontId="0" fillId="18" borderId="1" applyAlignment="1" pivotButton="0" quotePrefix="0" xfId="0">
      <alignment vertical="top" wrapText="1"/>
    </xf>
    <xf numFmtId="0" fontId="3" fillId="2" borderId="1" applyAlignment="1" pivotButton="0" quotePrefix="0" xfId="0">
      <alignment vertical="top" wrapText="1"/>
    </xf>
    <xf numFmtId="0" fontId="6" fillId="19" borderId="1" applyAlignment="1" pivotButton="0" quotePrefix="0" xfId="0">
      <alignment wrapText="1"/>
    </xf>
    <xf numFmtId="0" fontId="6" fillId="21" borderId="1" applyAlignment="1" pivotButton="0" quotePrefix="0" xfId="0">
      <alignment wrapText="1"/>
    </xf>
    <xf numFmtId="0" fontId="6" fillId="23" borderId="1" pivotButton="0" quotePrefix="0" xfId="0"/>
    <xf numFmtId="0" fontId="3" fillId="25" borderId="1" pivotButton="0" quotePrefix="0" xfId="0"/>
    <xf numFmtId="0" fontId="0" fillId="26" borderId="1" applyAlignment="1" pivotButton="0" quotePrefix="0" xfId="0">
      <alignment wrapText="1"/>
    </xf>
    <xf numFmtId="0" fontId="3" fillId="28" borderId="1" applyAlignment="1" pivotButton="0" quotePrefix="0" xfId="0">
      <alignment wrapText="1"/>
    </xf>
    <xf numFmtId="0" fontId="0" fillId="29" borderId="1" applyAlignment="1" pivotButton="0" quotePrefix="0" xfId="0">
      <alignment wrapText="1"/>
    </xf>
    <xf numFmtId="0" fontId="3" fillId="31" borderId="1" applyAlignment="1" pivotButton="0" quotePrefix="0" xfId="0">
      <alignment wrapText="1"/>
    </xf>
    <xf numFmtId="0" fontId="0" fillId="32" borderId="1" applyAlignment="1" pivotButton="0" quotePrefix="0" xfId="0">
      <alignment wrapText="1"/>
    </xf>
    <xf numFmtId="0" fontId="7" fillId="3" borderId="1" applyAlignment="1" pivotButton="0" quotePrefix="0" xfId="0">
      <alignment vertical="top" wrapText="1"/>
    </xf>
    <xf numFmtId="0" fontId="8" fillId="35" borderId="1" applyAlignment="1" pivotButton="0" quotePrefix="0" xfId="0">
      <alignment vertical="top" wrapText="1"/>
    </xf>
    <xf numFmtId="2" fontId="10" fillId="0" borderId="2" applyAlignment="1" pivotButton="0" quotePrefix="0" xfId="0">
      <alignment vertical="top"/>
    </xf>
    <xf numFmtId="1" fontId="10" fillId="0" borderId="2" applyAlignment="1" pivotButton="0" quotePrefix="0" xfId="0">
      <alignment vertical="top"/>
    </xf>
  </cellXfs>
  <cellStyles count="1">
    <cellStyle name="Normal" xfId="0"/>
  </cellStyles>
  <dxfs count="20">
    <dxf>
      <font>
        <b val="1"/>
      </font>
      <fill>
        <patternFill>
          <bgColor rgb="FFFCE4D6"/>
        </patternFill>
      </fill>
    </dxf>
    <dxf>
      <fill>
        <patternFill>
          <bgColor rgb="FFE2F0D9"/>
        </patternFill>
      </fill>
    </dxf>
    <dxf>
      <font>
        <color rgb="FF9C0006"/>
      </font>
      <fill>
        <patternFill>
          <bgColor rgb="FFFCE4D6"/>
        </patternFill>
      </fill>
    </dxf>
    <dxf>
      <font>
        <color rgb="FF9C0006"/>
      </font>
      <fill>
        <patternFill>
          <bgColor rgb="FFFCE4D6"/>
        </patternFill>
      </fill>
    </dxf>
    <dxf>
      <font>
        <color rgb="FF006100"/>
      </font>
      <fill>
        <patternFill>
          <bgColor rgb="FFE2F0D9"/>
        </patternFill>
      </fill>
    </dxf>
    <dxf>
      <font>
        <b val="1"/>
        <color rgb="FF006100"/>
      </font>
      <fill>
        <patternFill>
          <bgColor rgb="FFE2F0D9"/>
        </patternFill>
      </fill>
    </dxf>
    <dxf>
      <font>
        <color rgb="FF006100"/>
      </font>
      <fill>
        <patternFill>
          <bgColor rgb="FFE2F0D9"/>
        </patternFill>
      </fill>
    </dxf>
    <dxf>
      <font>
        <color rgb="FF9C0006"/>
      </font>
      <fill>
        <patternFill>
          <bgColor rgb="FFFCE4D6"/>
        </patternFill>
      </fill>
    </dxf>
    <dxf>
      <font>
        <color rgb="FF9C0006"/>
      </font>
      <fill>
        <patternFill>
          <bgColor rgb="FFFCE4D6"/>
        </patternFill>
      </fill>
    </dxf>
    <dxf>
      <font>
        <color rgb="FF9C0006"/>
      </font>
      <fill>
        <patternFill>
          <bgColor rgb="FFFCE4D6"/>
        </patternFill>
      </fill>
    </dxf>
    <dxf>
      <font>
        <b val="1"/>
        <color rgb="FF9C0006"/>
      </font>
      <fill>
        <patternFill>
          <bgColor rgb="FFFCE4D6"/>
        </patternFill>
      </fill>
    </dxf>
    <dxf>
      <fill>
        <patternFill>
          <bgColor rgb="FFFCE4D6"/>
        </patternFill>
      </fill>
    </dxf>
    <dxf>
      <font>
        <b val="1"/>
        <color rgb="FF9C0006"/>
      </font>
      <fill>
        <patternFill>
          <bgColor rgb="FFFCE4D6"/>
        </patternFill>
      </fill>
    </dxf>
    <dxf>
      <fill>
        <patternFill>
          <bgColor rgb="FFE2F0D9"/>
        </patternFill>
      </fill>
    </dxf>
    <dxf>
      <fill>
        <patternFill>
          <bgColor rgb="FFFFF2CC"/>
        </patternFill>
      </fill>
    </dxf>
    <dxf>
      <fill>
        <patternFill>
          <bgColor rgb="FFFCE4D6"/>
        </patternFill>
      </fill>
    </dxf>
    <dxf>
      <font>
        <b val="1"/>
      </font>
      <fill>
        <patternFill>
          <bgColor rgb="FFFCE4D6"/>
        </patternFill>
      </fill>
    </dxf>
    <dxf>
      <fill>
        <patternFill>
          <bgColor rgb="FFFCE4D6"/>
        </patternFill>
      </fill>
    </dxf>
    <dxf>
      <font>
        <b val="1"/>
        <color rgb="FF9C0006"/>
      </font>
      <fill>
        <patternFill>
          <bgColor rgb="FFFCE4D6"/>
        </patternFill>
      </fill>
    </dxf>
    <dxf>
      <font>
        <b val="1"/>
        <color rgb="FF9C0006"/>
      </font>
      <fill>
        <patternFill>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ables/table1.xml><?xml version="1.0" encoding="utf-8"?>
<table xmlns="http://schemas.openxmlformats.org/spreadsheetml/2006/main" id="1" name="ThermosLSizeTable" displayName="ThermosLSizeTable" ref="A3:R1404" headerRowCount="1" totalsRowCount="0" totalsRowShown="0">
  <tableColumns count="18">
    <tableColumn id="1" name="size_id"/>
    <tableColumn id="2" name="シリーズID"/>
    <tableColumn id="3" name="窓種ID"/>
    <tableColumn id="4" name="窓種名"/>
    <tableColumn id="5" name="固有仕様ID"/>
    <tableColumn id="6" name="工法区分"/>
    <tableColumn id="7" name="呼称"/>
    <tableColumn id="8" name="呼称W"/>
    <tableColumn id="9" name="呼称H"/>
    <tableColumn id="10" name="実寸W(mm)"/>
    <tableColumn id="11" name="実寸H(mm)"/>
    <tableColumn id="12" name="建て方/区分"/>
    <tableColumn id="13" name="有効"/>
    <tableColumn id="14" name="登録状態"/>
    <tableColumn id="15" name="PDFページ"/>
    <tableColumn id="16" name="誌面ページ"/>
    <tableColumn id="17" name="出典ファイル"/>
    <tableColumn id="18" name="備考"/>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2" customWidth="1" style="51" min="1" max="1"/>
    <col width="72" customWidth="1" style="51" min="2" max="2"/>
  </cols>
  <sheetData>
    <row r="1" ht="30" customHeight="1" s="51">
      <c r="A1" s="218" t="inlineStr">
        <is>
          <t>サーモスL 商品マスター v0.7-R2｜ガラスSemantic Recovery Formal Closure Candidate</t>
        </is>
      </c>
      <c r="B1" s="41" t="n"/>
    </row>
    <row r="2">
      <c r="A2" s="84" t="inlineStr">
        <is>
          <t>項目</t>
        </is>
      </c>
      <c r="B2" s="84" t="inlineStr">
        <is>
          <t>内容</t>
        </is>
      </c>
    </row>
    <row r="3">
      <c r="A3" s="43" t="inlineStr">
        <is>
          <t>マスター名</t>
        </is>
      </c>
      <c r="B3" s="43" t="inlineStr">
        <is>
          <t>サーモスL 商品マスター v0.7-R2 ガラスSemantic Recovery Formal Closure Candidate</t>
        </is>
      </c>
    </row>
    <row r="4">
      <c r="A4" s="43" t="inlineStr">
        <is>
          <t>目的</t>
        </is>
      </c>
      <c r="B4" s="43" t="inlineStr">
        <is>
          <t>サッシ商品マスター共通仕様 v0.1 に準拠し、サーモスLの選択肢・依存関係をシリーズ単位で正規化する。</t>
        </is>
      </c>
    </row>
    <row r="5">
      <c r="A5" s="43" t="inlineStr">
        <is>
          <t>対象シリーズ</t>
        </is>
      </c>
      <c r="B5" s="43" t="inlineStr">
        <is>
          <t>LIXIL サーモスL</t>
        </is>
      </c>
    </row>
    <row r="6">
      <c r="A6" s="43" t="inlineStr">
        <is>
          <t>対象外</t>
        </is>
      </c>
      <c r="B6" s="43" t="inlineStr">
        <is>
          <t>防火戸FG-Lは別シリーズとして管理し、このマスターには混在させない。</t>
        </is>
      </c>
    </row>
    <row r="7">
      <c r="A7" s="43" t="inlineStr">
        <is>
          <t>入力順</t>
        </is>
      </c>
      <c r="B7" s="43" t="inlineStr">
        <is>
          <t>商品区分 → メーカー → シリーズ → 窓種 → 窓種固有仕様 → サイズ → 外観色 → 内観色 → 網戸 → ガラス → ガラス詳細 → その他OP → 数量</t>
        </is>
      </c>
    </row>
    <row r="8">
      <c r="A8" s="43" t="inlineStr">
        <is>
          <t>入力順の扱い</t>
        </is>
      </c>
      <c r="B8" s="43" t="inlineStr">
        <is>
          <t>共通仕様v0.1を基準とし、運用上の最新入力順として網戸を内観色の直後に配置。既存Field IDは互換性のため維持。</t>
        </is>
      </c>
    </row>
    <row r="9">
      <c r="A9" s="43" t="inlineStr">
        <is>
          <t>窓種固有仕様</t>
        </is>
      </c>
      <c r="B9" s="43" t="inlineStr">
        <is>
          <t>すべり出し窓=ハンドル種類、シャッター付引違い窓=シャッター種類、面格子付引違い窓=面格子種類、雨戸付引違い窓=雨戸種類。窓種の直後に選択。</t>
        </is>
      </c>
    </row>
    <row r="10">
      <c r="A10" s="43" t="inlineStr">
        <is>
          <t>サイズ連動</t>
        </is>
      </c>
      <c r="B10" s="43" t="inlineStr">
        <is>
          <t>規格06_サイズ1,644行（有効1,495）＋高所操作144行＋06C特注寸法50ルール。現行17窓種を17/17カバー。</t>
        </is>
      </c>
    </row>
    <row r="11">
      <c r="A11" s="43" t="inlineStr">
        <is>
          <t>数量</t>
        </is>
      </c>
      <c r="B11" s="43" t="inlineStr">
        <is>
          <t>商品マスターには保持せず、見積明細側で保持する。</t>
        </is>
      </c>
    </row>
    <row r="12">
      <c r="A12" s="43" t="inlineStr">
        <is>
          <t>初期投入済み</t>
        </is>
      </c>
      <c r="B12" s="43" t="inlineStr">
        <is>
          <t>規格1,644／特注50ルール／公式品種記号30／色記号6／高所操作144／重量891／凡例308／網戸41／有償品67。</t>
        </is>
      </c>
    </row>
    <row r="13">
      <c r="A13" s="43" t="inlineStr">
        <is>
          <t>サーモスL固有ポイント</t>
        </is>
      </c>
      <c r="B13" s="43" t="inlineStr">
        <is>
          <t>内・外観色は6パターン。外観ダスクグレーの内観はブラック。装飾引違い窓H・HK・HKKはサーモスLのみ設定。開き網戸はサーモスL・防火戸FG-Lのみ。</t>
        </is>
      </c>
    </row>
    <row r="14">
      <c r="A14" s="43" t="inlineStr">
        <is>
          <t>未完了</t>
        </is>
      </c>
      <c r="B14" s="43" t="inlineStr">
        <is>
          <t>商品選択Semantic・既知公式制限はQA対象として利用可能。公開公式Sourceで閉包しない機能ガラス最終組合せはESTIMATE_CONFIRM_REQUIREDとして自動成立させない。Section 20適用に必要な『最終可否をメーカー見積/設計/個別見積へ委譲する』直接Evidenceは未取得のためFormal ClosureはBLOCKED。曲線・複合特注グラフは従来どおり安全ゲートを維持。</t>
        </is>
      </c>
    </row>
    <row r="15">
      <c r="A15" s="43" t="inlineStr">
        <is>
          <t>一次資料</t>
        </is>
      </c>
      <c r="B15" s="43" t="inlineStr">
        <is>
          <t>LIXIL サーモスL 業務用資料集 完成品価格表（2026年4月版／Drive正本）</t>
        </is>
      </c>
    </row>
    <row r="16">
      <c r="A16" s="43" t="inlineStr">
        <is>
          <t>一次資料URL</t>
        </is>
      </c>
      <c r="B16" s="43" t="inlineStr">
        <is>
          <t>https://drive.google.com/file/d/1YUN-mtWYs48YBUHJk0C3vJXnhjyZFHyf/view</t>
        </is>
      </c>
    </row>
    <row r="17">
      <c r="A17" s="43" t="inlineStr">
        <is>
          <t>主な参照頁</t>
        </is>
      </c>
      <c r="B17" s="43" t="inlineStr">
        <is>
          <t>カラー P48／ガラス P50-57・断熱性能 P410-411／シャッター P78-81／雨戸 P126-128／網戸 P278／装飾窓・各規格表 P166以降</t>
        </is>
      </c>
    </row>
    <row r="18">
      <c r="A18" s="43" t="inlineStr">
        <is>
          <t>作成日</t>
        </is>
      </c>
      <c r="B18" s="43" t="inlineStr">
        <is>
          <t>2026-09-16（v0.7-R2 ガラスSemantic Recovery Formal Closure監査）</t>
        </is>
      </c>
    </row>
    <row r="19">
      <c r="A19" s="72" t="inlineStr">
        <is>
          <t>v0.3更新</t>
        </is>
      </c>
      <c r="B19" s="43" t="inlineStr">
        <is>
          <t>586件の個別可否を全件照合。482件設定可、104件設定なし、有効候補1,297行、要照合0件。</t>
        </is>
      </c>
    </row>
    <row r="20">
      <c r="A20" s="72" t="inlineStr">
        <is>
          <t>設定なしの扱い</t>
        </is>
      </c>
      <c r="B20" s="43" t="inlineStr">
        <is>
          <t>削除せず有効=Falseで保持。アプリ候補表示は有効=Trueのみ。13_可否証跡で根拠を追跡可能。</t>
        </is>
      </c>
    </row>
    <row r="21">
      <c r="A21" s="72" t="inlineStr">
        <is>
          <t>照合一次資料</t>
        </is>
      </c>
      <c r="B21" s="43" t="inlineStr">
        <is>
          <t>202604_LIXIL_サーモスL_業務用資料集_完成品価格表.pdf</t>
        </is>
      </c>
    </row>
    <row r="22">
      <c r="A22" s="42" t="inlineStr">
        <is>
          <t>v0.4更新</t>
        </is>
      </c>
      <c r="B22" s="42" t="inlineStr">
        <is>
          <t>08B/08Cでガラス選択・制限ロジックを分離、09/09B/09Cで網戸を窓種・形式・ネット・サイズへ正規化、10_その他OPを見積選択／部材選択／施工・メンテに分類して本投入。</t>
        </is>
      </c>
    </row>
    <row r="23">
      <c r="A23" s="42" t="inlineStr">
        <is>
          <t>v0.4アプリ運用</t>
        </is>
      </c>
      <c r="B23" s="42" t="inlineStr">
        <is>
          <t>候補表示は各マスターの有効=Trueに加え、08B・08C・09Cの制御条件を適用。施工・メンテ用途の有償品は通常の見積入力UIには常時表示しない。</t>
        </is>
      </c>
    </row>
    <row r="24">
      <c r="A24" s="42" t="inlineStr">
        <is>
          <t>v0.4主な根拠</t>
        </is>
      </c>
      <c r="B24" s="42" t="inlineStr">
        <is>
          <t>202604_LIXIL_サーモスＬ_業務用資料集_完成品価格表.pdf／LIXIL サーモスⅡ-H/L・防火戸FG-H/L 商品カタログ（ガラス・網戸・有償品対応一覧）</t>
        </is>
      </c>
    </row>
    <row r="25">
      <c r="A25" s="42" t="inlineStr">
        <is>
          <t>v0.5更新①</t>
        </is>
      </c>
      <c r="B25" s="42" t="inlineStr">
        <is>
          <t>縦すべり出し窓を10詳細仕様へ正規化。詳細規格138行を追加し、旧汎用OP45行は履歴保持。</t>
        </is>
      </c>
    </row>
    <row r="26">
      <c r="A26" s="42" t="inlineStr">
        <is>
          <t>v0.5更新②</t>
        </is>
      </c>
      <c r="B26" s="42" t="inlineStr">
        <is>
          <t>横すべり出し窓（カムラッチ）規格20行をP134-137から追加。</t>
        </is>
      </c>
    </row>
    <row r="27">
      <c r="A27" s="42" t="inlineStr">
        <is>
          <t>v0.5更新③</t>
        </is>
      </c>
      <c r="B27" s="42" t="inlineStr">
        <is>
          <t>価格表の★/☆/○/●/◆/△/▲/◇/◎を06_サイズへ直接格納。08A/08Dでページ×記号参照。</t>
        </is>
      </c>
    </row>
    <row r="28">
      <c r="A28" s="42" t="inlineStr">
        <is>
          <t>v0.5更新④</t>
        </is>
      </c>
      <c r="B28" s="42" t="inlineStr">
        <is>
          <t>ガラス商品体系にブロンズ（北海道・東北限定）・調光ブラインドイン・意匠格子入りを追加。</t>
        </is>
      </c>
    </row>
    <row r="29">
      <c r="A29" s="42" t="inlineStr">
        <is>
          <t>機能ガラス方針</t>
        </is>
      </c>
      <c r="B29" s="42" t="inlineStr">
        <is>
          <t>最終組合せは08E確認ゲート。未確認組合せを自動確定しない。</t>
        </is>
      </c>
    </row>
    <row r="30">
      <c r="A30" s="42" t="inlineStr">
        <is>
          <t>v0.6更新①</t>
        </is>
      </c>
      <c r="B30" s="42" t="inlineStr">
        <is>
          <t>高所用横すべり出し窓：4操作方式を固有仕様化。36サイズ×4方式=144行で設定可否。手動3方式はH700mm以上。</t>
        </is>
      </c>
    </row>
    <row r="31">
      <c r="A31" t="inlineStr">
        <is>
          <t>v0.6更新②</t>
        </is>
      </c>
      <c r="B31" t="inlineStr">
        <is>
          <t>上げ下げ窓FS/面格子付上げ下げ窓FS：障子重量式・バランサー判定を08Fへ実装。</t>
        </is>
      </c>
    </row>
    <row r="32">
      <c r="A32" t="inlineStr">
        <is>
          <t>v0.6更新③</t>
        </is>
      </c>
      <c r="B32" t="inlineStr">
        <is>
          <t>ガラス凡例継承：同一価格表セクション基準へ変更。近接ページ推測を廃止。</t>
        </is>
      </c>
    </row>
    <row r="33">
      <c r="A33" t="inlineStr">
        <is>
          <t>v0.6更新④</t>
        </is>
      </c>
      <c r="B33" t="inlineStr">
        <is>
          <t>網戸：引違いタイプ群/ロールタイプ群のネット互換を09Dに正規化。ペットW&gt;780不可、ロールタイプにペットなしを確定。</t>
        </is>
      </c>
    </row>
    <row r="34">
      <c r="A34" t="inlineStr">
        <is>
          <t>v0.6一次資料方針</t>
        </is>
      </c>
      <c r="B34" t="inlineStr">
        <is>
          <t>現行規格・価格は2026年4月完成品価格表を正本。操作・重量・機能網戸の詳細ルールは商品カタログの明示事項のみ採用。</t>
        </is>
      </c>
    </row>
    <row r="35">
      <c r="A35" t="inlineStr">
        <is>
          <t>v0.7更新①</t>
        </is>
      </c>
      <c r="B35" t="inlineStr">
        <is>
          <t>06C_特注寸法範囲：現行17窓種を50ルールでカバー。明確な矩形/折線/比率はAUTO、曲線/複合はREVIEW_REQUIRED。</t>
        </is>
      </c>
    </row>
    <row r="36">
      <c r="A36" t="inlineStr">
        <is>
          <t>v0.7更新②</t>
        </is>
      </c>
      <c r="B36" t="inlineStr">
        <is>
          <t>03A/03B：完成品価格表P3-4の公式品種記号30・色記号6を本投入。おすすめ品番 @SL+品種記号-呼称-色記号 を実装。</t>
        </is>
      </c>
    </row>
    <row r="37">
      <c r="A37" t="inlineStr">
        <is>
          <t>v0.7更新③</t>
        </is>
      </c>
      <c r="B37" t="inlineStr">
        <is>
          <t>15_発注コード生成：規格は公式おすすめ品番を生成、特注は呼称を捏造せずCONFIRM_REQUIRED。</t>
        </is>
      </c>
    </row>
    <row r="38">
      <c r="A38" t="inlineStr">
        <is>
          <t>v0.7更新④</t>
        </is>
      </c>
      <c r="B38" t="inlineStr">
        <is>
          <t>16_APP_候補制御：窓種→仕様→サイズ→色→ガラス→網戸→OP→おすすめ品番→最終発注ゲートの参照順を固定。</t>
        </is>
      </c>
    </row>
    <row r="39">
      <c r="A39" t="inlineStr">
        <is>
          <t>v0.7完成判定</t>
        </is>
      </c>
      <c r="B39" t="inlineStr">
        <is>
          <t>PASS（安全ゲート付）。Golden Test 34件を境界値・発注安全条件・construction内部解決まで全PASS。</t>
        </is>
      </c>
    </row>
    <row r="40">
      <c r="A40" s="42" t="inlineStr">
        <is>
          <t>v0.7最終QA</t>
        </is>
      </c>
      <c r="B40" s="42" t="inlineStr">
        <is>
          <t>2026-09-10 R1再検証。Golden Test 34/34 PASS、規格サイズ1,644/有効1,495、constructionはユーザー非表示・内部解決。</t>
        </is>
      </c>
    </row>
    <row r="41">
      <c r="A41" t="inlineStr">
        <is>
          <t>v0.7-R1更新①</t>
        </is>
      </c>
      <c r="B41" t="inlineStr">
        <is>
          <t>construction（工法区分）はRuntime内部Dependency用の技術項目とし、ユーザー入力フローへ表示しない。</t>
        </is>
      </c>
    </row>
    <row r="42">
      <c r="A42" t="inlineStr">
        <is>
          <t>v0.7-R1更新②</t>
        </is>
      </c>
      <c r="B42" t="inlineStr">
        <is>
          <t>STANDARDは選択された規格サイズ行からconstructionを一意導出。CUSTOMは06C適用ルールから内部解決する。</t>
        </is>
      </c>
    </row>
    <row r="43">
      <c r="A43" t="inlineStr">
        <is>
          <t>v0.7-R1安全ゲート</t>
        </is>
      </c>
      <c r="B43" t="inlineStr">
        <is>
          <t>CUSTOMで複数construction候補が同時成立する場合は推測せずREVIEW_REQUIRED_CONSTRUCTION_AMBIGUOUS。0候補はBLOCK。</t>
        </is>
      </c>
    </row>
    <row r="44">
      <c r="A44" s="42" t="inlineStr">
        <is>
          <t>v0.7-R2更新</t>
        </is>
      </c>
      <c r="B44" s="42" t="inlineStr">
        <is>
          <t>2026-09-16 Semantic Recovery：ガラスUIをCanonical Semantic Slotへ分離。採風勝手口ドアFSの網付格子6種を一次価格表P214-218から追加。SDC0003134とSN1400で商品設定・厚み・フロスト数値条件を補強。</t>
        </is>
      </c>
    </row>
    <row r="45">
      <c r="A45" s="42" t="inlineStr">
        <is>
          <t>Formal Gate</t>
        </is>
      </c>
      <c r="B45" s="42" t="inlineStr">
        <is>
          <t>CLOSURE-R4：BLIND公式Window Scope確定。SAFE 30mil STANDARD 1,644件を母数化し、SDC0003156/3157で523件を直接判定（517 ALLOWED / 6 BLOCKED）。残1,121件と他特殊ガラス/CUSTOMは未閉包。</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8" customWidth="1" style="51" min="1" max="1"/>
    <col width="10" customWidth="1" style="51" min="2" max="2"/>
    <col width="18" customWidth="1" style="51" min="3" max="3"/>
    <col width="24" customWidth="1" style="51" min="4" max="4"/>
    <col width="24" customWidth="1" style="51" min="5" max="5"/>
    <col width="16" customWidth="1" style="51" min="6" max="6"/>
    <col width="48" customWidth="1" style="51" min="7" max="7"/>
  </cols>
  <sheetData>
    <row r="1" ht="28" customHeight="1" s="51">
      <c r="A1" s="23" t="inlineStr">
        <is>
          <t>商品情報入力フロー</t>
        </is>
      </c>
      <c r="B1" s="41" t="n"/>
      <c r="C1" s="41" t="n"/>
      <c r="D1" s="41" t="n"/>
      <c r="E1" s="41" t="n"/>
      <c r="F1" s="41" t="n"/>
      <c r="G1" s="41" t="n"/>
    </row>
    <row r="2" ht="34" customHeight="1" s="51">
      <c r="A2" s="31" t="inlineStr">
        <is>
          <t>サッシ商品マスター共通仕様 v0.1 を基準に、網戸を内観色の直後へ配置。Field IDは既存互換のため維持。</t>
        </is>
      </c>
      <c r="B2" s="41" t="n"/>
      <c r="C2" s="41" t="n"/>
      <c r="D2" s="41" t="n"/>
      <c r="E2" s="41" t="n"/>
      <c r="F2" s="41" t="n"/>
      <c r="G2" s="41" t="n"/>
    </row>
    <row r="3" ht="28" customHeight="1" s="51">
      <c r="A3" s="35" t="inlineStr">
        <is>
          <t>順番</t>
        </is>
      </c>
      <c r="B3" s="35" t="inlineStr">
        <is>
          <t>項目ID</t>
        </is>
      </c>
      <c r="C3" s="35" t="inlineStr">
        <is>
          <t>画面表示名</t>
        </is>
      </c>
      <c r="D3" s="35" t="inlineStr">
        <is>
          <t>表示条件</t>
        </is>
      </c>
      <c r="E3" s="35" t="inlineStr">
        <is>
          <t>選択肢の親</t>
        </is>
      </c>
      <c r="F3" s="35" t="inlineStr">
        <is>
          <t>商品マスター保持</t>
        </is>
      </c>
      <c r="G3" s="35" t="inlineStr">
        <is>
          <t>備考</t>
        </is>
      </c>
    </row>
    <row r="4">
      <c r="A4" s="43" t="n">
        <v>1</v>
      </c>
      <c r="B4" s="43" t="inlineStr">
        <is>
          <t>F001</t>
        </is>
      </c>
      <c r="C4" s="43" t="inlineStr">
        <is>
          <t>商品区分</t>
        </is>
      </c>
      <c r="D4" s="43" t="inlineStr">
        <is>
          <t>常時</t>
        </is>
      </c>
      <c r="E4" s="43" t="inlineStr">
        <is>
          <t>-</t>
        </is>
      </c>
      <c r="F4" s="43" t="inlineStr">
        <is>
          <t>○</t>
        </is>
      </c>
      <c r="G4" s="43" t="inlineStr">
        <is>
          <t>サッシを対象</t>
        </is>
      </c>
    </row>
    <row r="5">
      <c r="A5" s="43" t="n">
        <v>2</v>
      </c>
      <c r="B5" s="43" t="inlineStr">
        <is>
          <t>F002</t>
        </is>
      </c>
      <c r="C5" s="43" t="inlineStr">
        <is>
          <t>メーカー</t>
        </is>
      </c>
      <c r="D5" s="43" t="inlineStr">
        <is>
          <t>商品区分=サッシ</t>
        </is>
      </c>
      <c r="E5" s="43" t="inlineStr">
        <is>
          <t>商品区分</t>
        </is>
      </c>
      <c r="F5" s="43" t="inlineStr">
        <is>
          <t>○</t>
        </is>
      </c>
      <c r="G5" s="43" t="inlineStr">
        <is>
          <t>メーカー選択</t>
        </is>
      </c>
    </row>
    <row r="6">
      <c r="A6" s="43" t="n">
        <v>3</v>
      </c>
      <c r="B6" s="43" t="inlineStr">
        <is>
          <t>F003</t>
        </is>
      </c>
      <c r="C6" s="43" t="inlineStr">
        <is>
          <t>シリーズ</t>
        </is>
      </c>
      <c r="D6" s="43" t="inlineStr">
        <is>
          <t>メーカー選択後</t>
        </is>
      </c>
      <c r="E6" s="43" t="inlineStr">
        <is>
          <t>メーカー</t>
        </is>
      </c>
      <c r="F6" s="43" t="inlineStr">
        <is>
          <t>○</t>
        </is>
      </c>
      <c r="G6" s="43" t="inlineStr">
        <is>
          <t>防火仕様はシリーズ名で表現</t>
        </is>
      </c>
    </row>
    <row r="7">
      <c r="A7" s="43" t="n">
        <v>4</v>
      </c>
      <c r="B7" s="43" t="inlineStr">
        <is>
          <t>F004</t>
        </is>
      </c>
      <c r="C7" s="43" t="inlineStr">
        <is>
          <t>窓種</t>
        </is>
      </c>
      <c r="D7" s="43" t="inlineStr">
        <is>
          <t>シリーズ選択後</t>
        </is>
      </c>
      <c r="E7" s="43" t="inlineStr">
        <is>
          <t>シリーズ</t>
        </is>
      </c>
      <c r="F7" s="43" t="inlineStr">
        <is>
          <t>○</t>
        </is>
      </c>
      <c r="G7" s="43" t="inlineStr">
        <is>
          <t>サーモスLで選べる窓種のみ表示</t>
        </is>
      </c>
    </row>
    <row r="8">
      <c r="A8" s="43" t="n">
        <v>5</v>
      </c>
      <c r="B8" s="43" t="inlineStr">
        <is>
          <t>F005</t>
        </is>
      </c>
      <c r="C8" s="43" t="inlineStr">
        <is>
          <t>窓種固有仕様</t>
        </is>
      </c>
      <c r="D8" s="43" t="inlineStr">
        <is>
          <t>該当窓種のみ</t>
        </is>
      </c>
      <c r="E8" s="43" t="inlineStr">
        <is>
          <t>シリーズ+窓種</t>
        </is>
      </c>
      <c r="F8" s="43" t="inlineStr">
        <is>
          <t>○</t>
        </is>
      </c>
      <c r="G8" s="43" t="inlineStr">
        <is>
          <t>ハンドル/シャッター/面格子/雨戸の種類</t>
        </is>
      </c>
    </row>
    <row r="9">
      <c r="A9" s="43" t="n">
        <v>6</v>
      </c>
      <c r="B9" s="43" t="inlineStr">
        <is>
          <t>F006</t>
        </is>
      </c>
      <c r="C9" s="43" t="inlineStr">
        <is>
          <t>サイズ</t>
        </is>
      </c>
      <c r="D9" s="43" t="inlineStr">
        <is>
          <t>窓種確定後</t>
        </is>
      </c>
      <c r="E9" s="43" t="inlineStr">
        <is>
          <t>シリーズ+窓種+固有仕様</t>
        </is>
      </c>
      <c r="F9" s="43" t="inlineStr">
        <is>
          <t>○</t>
        </is>
      </c>
      <c r="G9" s="43" t="inlineStr">
        <is>
          <t>呼称W/Hと実寸W/Hを保持。工法区分（construction）は内部技術項目でユーザー入力しない。規格サイズ選択後にサイズ行から内部導出。</t>
        </is>
      </c>
    </row>
    <row r="10">
      <c r="A10" s="43" t="n">
        <v>7</v>
      </c>
      <c r="B10" s="43" t="inlineStr">
        <is>
          <t>F007</t>
        </is>
      </c>
      <c r="C10" s="43" t="inlineStr">
        <is>
          <t>外観色</t>
        </is>
      </c>
      <c r="D10" s="43" t="inlineStr">
        <is>
          <t>サイズ確定後</t>
        </is>
      </c>
      <c r="E10" s="43" t="inlineStr">
        <is>
          <t>シリーズ</t>
        </is>
      </c>
      <c r="F10" s="43" t="inlineStr">
        <is>
          <t>○</t>
        </is>
      </c>
      <c r="G10" s="43" t="inlineStr">
        <is>
          <t>設定色のみ</t>
        </is>
      </c>
    </row>
    <row r="11">
      <c r="A11" s="43" t="n">
        <v>8</v>
      </c>
      <c r="B11" s="43" t="inlineStr">
        <is>
          <t>F008</t>
        </is>
      </c>
      <c r="C11" s="43" t="inlineStr">
        <is>
          <t>内観色</t>
        </is>
      </c>
      <c r="D11" s="43" t="inlineStr">
        <is>
          <t>外観色選択後</t>
        </is>
      </c>
      <c r="E11" s="43" t="inlineStr">
        <is>
          <t>シリーズ+外観色</t>
        </is>
      </c>
      <c r="F11" s="43" t="inlineStr">
        <is>
          <t>○</t>
        </is>
      </c>
      <c r="G11" s="43" t="inlineStr">
        <is>
          <t>サーモスLの6パターン制約を制御</t>
        </is>
      </c>
    </row>
    <row r="12">
      <c r="A12" s="43" t="n">
        <v>9</v>
      </c>
      <c r="B12" s="43" t="inlineStr">
        <is>
          <t>F011</t>
        </is>
      </c>
      <c r="C12" s="43" t="inlineStr">
        <is>
          <t>網戸</t>
        </is>
      </c>
      <c r="D12" s="43" t="inlineStr">
        <is>
          <t>網戸設定のある窓種</t>
        </is>
      </c>
      <c r="E12" s="43" t="inlineStr">
        <is>
          <t>シリーズ+窓種+サイズ</t>
        </is>
      </c>
      <c r="F12" s="43" t="inlineStr">
        <is>
          <t>○</t>
        </is>
      </c>
      <c r="G12" s="43" t="inlineStr">
        <is>
          <t>引違窓系は網戸有無→中桟→ネット種類まで</t>
        </is>
      </c>
    </row>
    <row r="13">
      <c r="A13" s="43" t="n">
        <v>10</v>
      </c>
      <c r="B13" s="43" t="inlineStr">
        <is>
          <t>F009</t>
        </is>
      </c>
      <c r="C13" s="43" t="inlineStr">
        <is>
          <t>ガラス</t>
        </is>
      </c>
      <c r="D13" s="43" t="inlineStr">
        <is>
          <t>網戸選択後</t>
        </is>
      </c>
      <c r="E13" s="43" t="inlineStr">
        <is>
          <t>シリーズ+窓種</t>
        </is>
      </c>
      <c r="F13" s="43" t="inlineStr">
        <is>
          <t>○</t>
        </is>
      </c>
      <c r="G13" s="43" t="inlineStr">
        <is>
          <t>複層/Low-E等</t>
        </is>
      </c>
    </row>
    <row r="14">
      <c r="A14" s="43" t="n">
        <v>11</v>
      </c>
      <c r="B14" s="43" t="inlineStr">
        <is>
          <t>F010</t>
        </is>
      </c>
      <c r="C14" s="43" t="inlineStr">
        <is>
          <t>ガラス詳細</t>
        </is>
      </c>
      <c r="D14" s="43" t="inlineStr">
        <is>
          <t>ガラス選択後</t>
        </is>
      </c>
      <c r="E14" s="43" t="inlineStr">
        <is>
          <t>ガラス</t>
        </is>
      </c>
      <c r="F14" s="43" t="inlineStr">
        <is>
          <t>○</t>
        </is>
      </c>
      <c r="G14" s="43" t="inlineStr">
        <is>
          <t>見え方・ガス・スペーサー・構成等</t>
        </is>
      </c>
    </row>
    <row r="15">
      <c r="A15" s="43" t="n">
        <v>12</v>
      </c>
      <c r="B15" s="43" t="inlineStr">
        <is>
          <t>F012</t>
        </is>
      </c>
      <c r="C15" s="43" t="inlineStr">
        <is>
          <t>その他オプション</t>
        </is>
      </c>
      <c r="D15" s="43" t="inlineStr">
        <is>
          <t>設定がある場合</t>
        </is>
      </c>
      <c r="E15" s="43" t="inlineStr">
        <is>
          <t>確定商品仕様</t>
        </is>
      </c>
      <c r="F15" s="43" t="inlineStr">
        <is>
          <t>○</t>
        </is>
      </c>
      <c r="G15" s="43" t="inlineStr">
        <is>
          <t>シリーズごとの正式OP</t>
        </is>
      </c>
    </row>
    <row r="16">
      <c r="A16" s="43" t="n">
        <v>13</v>
      </c>
      <c r="B16" s="43" t="inlineStr">
        <is>
          <t>F013</t>
        </is>
      </c>
      <c r="C16" s="43" t="inlineStr">
        <is>
          <t>数量</t>
        </is>
      </c>
      <c r="D16" s="43" t="inlineStr">
        <is>
          <t>商品仕様確定後</t>
        </is>
      </c>
      <c r="E16" s="43" t="inlineStr">
        <is>
          <t>-</t>
        </is>
      </c>
      <c r="F16" s="43" t="inlineStr">
        <is>
          <t>×</t>
        </is>
      </c>
      <c r="G16" s="43" t="inlineStr">
        <is>
          <t>見積明細に保存</t>
        </is>
      </c>
    </row>
  </sheetData>
  <mergeCells count="2">
    <mergeCell ref="A2:G2"/>
    <mergeCell ref="A1:G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style="51" min="1" max="1"/>
    <col width="12" customWidth="1" style="51" min="2" max="2"/>
    <col width="12" customWidth="1" style="51" min="3" max="3"/>
    <col width="18" customWidth="1" style="51" min="4" max="4"/>
    <col width="20" customWidth="1" style="51" min="5" max="5"/>
    <col width="8" customWidth="1" style="51" min="6" max="6"/>
    <col width="18" customWidth="1" style="51" min="7" max="7"/>
    <col width="12" customWidth="1" style="51" min="8" max="8"/>
    <col width="12" customWidth="1" style="51" min="9" max="9"/>
    <col width="62" customWidth="1" style="51" min="10" max="10"/>
  </cols>
  <sheetData>
    <row r="1" ht="28" customHeight="1" s="51">
      <c r="A1" s="23" t="inlineStr">
        <is>
          <t>シリーズマスター</t>
        </is>
      </c>
      <c r="B1" s="41" t="n"/>
      <c r="C1" s="41" t="n"/>
      <c r="D1" s="41" t="n"/>
      <c r="E1" s="41" t="n"/>
      <c r="F1" s="41" t="n"/>
      <c r="G1" s="41" t="n"/>
      <c r="H1" s="41" t="n"/>
      <c r="I1" s="41" t="n"/>
      <c r="J1" s="41" t="n"/>
    </row>
    <row r="2" ht="34" customHeight="1" s="51">
      <c r="A2" s="31" t="inlineStr">
        <is>
          <t>サーモスLのみを収録。防火戸FG-Lは別シリーズとして管理する。</t>
        </is>
      </c>
      <c r="B2" s="41" t="n"/>
      <c r="C2" s="41" t="n"/>
      <c r="D2" s="41" t="n"/>
      <c r="E2" s="41" t="n"/>
      <c r="F2" s="41" t="n"/>
      <c r="G2" s="41" t="n"/>
      <c r="H2" s="41" t="n"/>
      <c r="I2" s="41" t="n"/>
      <c r="J2" s="41" t="n"/>
    </row>
    <row r="3" ht="28" customHeight="1" s="51">
      <c r="A3" s="35" t="inlineStr">
        <is>
          <t>series_id</t>
        </is>
      </c>
      <c r="B3" s="35" t="inlineStr">
        <is>
          <t>商品区分</t>
        </is>
      </c>
      <c r="C3" s="35" t="inlineStr">
        <is>
          <t>メーカー</t>
        </is>
      </c>
      <c r="D3" s="35" t="inlineStr">
        <is>
          <t>シリーズ表示名</t>
        </is>
      </c>
      <c r="E3" s="35" t="inlineStr">
        <is>
          <t>防火区分の別選択</t>
        </is>
      </c>
      <c r="F3" s="35" t="inlineStr">
        <is>
          <t>有効</t>
        </is>
      </c>
      <c r="G3" s="35" t="inlineStr">
        <is>
          <t>登録状態</t>
        </is>
      </c>
      <c r="H3" s="35" t="inlineStr">
        <is>
          <t>適用開始</t>
        </is>
      </c>
      <c r="I3" s="35" t="inlineStr">
        <is>
          <t>適用終了</t>
        </is>
      </c>
      <c r="J3" s="35" t="inlineStr">
        <is>
          <t>出典/備考</t>
        </is>
      </c>
    </row>
    <row r="4">
      <c r="A4" s="43" t="inlineStr">
        <is>
          <t>SER-LIX-SAMOSL</t>
        </is>
      </c>
      <c r="B4" s="43" t="inlineStr">
        <is>
          <t>サッシ</t>
        </is>
      </c>
      <c r="C4" s="43" t="inlineStr">
        <is>
          <t>LIXIL</t>
        </is>
      </c>
      <c r="D4" s="43" t="inlineStr">
        <is>
          <t>サーモスL</t>
        </is>
      </c>
      <c r="E4" s="43" t="inlineStr">
        <is>
          <t>不要</t>
        </is>
      </c>
      <c r="F4" s="43" t="b">
        <v>1</v>
      </c>
      <c r="G4" s="43" t="inlineStr">
        <is>
          <t>カタログ確認済み</t>
        </is>
      </c>
      <c r="H4" s="43" t="str"/>
      <c r="I4" s="43" t="str"/>
      <c r="J4" s="43" t="inlineStr">
        <is>
          <t>LIXIL サーモスⅡ-H/L・防火戸FG-H/L 商品カタログ（444頁）。防火戸FG-Lは別シリーズ。</t>
        </is>
      </c>
    </row>
  </sheetData>
  <mergeCells count="2">
    <mergeCell ref="A1:J1"/>
    <mergeCell ref="A2:J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4" customWidth="1" style="51" min="1" max="1"/>
    <col width="26" customWidth="1" style="51" min="2" max="2"/>
    <col width="20" customWidth="1" style="51" min="3" max="3"/>
    <col width="14" customWidth="1" style="51" min="4" max="4"/>
    <col width="16" customWidth="1" style="51" min="5" max="5"/>
    <col width="14" customWidth="1" style="51" min="6" max="6"/>
    <col width="18" customWidth="1" style="51" min="7" max="7"/>
    <col width="8" customWidth="1" style="51" min="8" max="8"/>
    <col width="22" customWidth="1" style="51" min="9" max="9"/>
    <col width="50" customWidth="1" style="51" min="10" max="10"/>
  </cols>
  <sheetData>
    <row r="1" ht="28" customHeight="1" s="51">
      <c r="A1" s="23" t="inlineStr">
        <is>
          <t>窓種マスター</t>
        </is>
      </c>
      <c r="B1" s="41" t="n"/>
      <c r="C1" s="41" t="n"/>
      <c r="D1" s="41" t="n"/>
      <c r="E1" s="41" t="n"/>
      <c r="F1" s="41" t="n"/>
      <c r="G1" s="41" t="n"/>
      <c r="H1" s="41" t="n"/>
      <c r="I1" s="41" t="n"/>
      <c r="J1" s="41" t="n"/>
    </row>
    <row r="2" ht="34" customHeight="1" s="51">
      <c r="A2" s="31" t="inlineStr">
        <is>
          <t>カタログ掲載品種を共通仕様へ正規化。すべり出し窓のハンドルは窓種名に埋め込まず、直後の固有仕様として管理。</t>
        </is>
      </c>
      <c r="B2" s="41" t="n"/>
      <c r="C2" s="41" t="n"/>
      <c r="D2" s="41" t="n"/>
      <c r="E2" s="41" t="n"/>
      <c r="F2" s="41" t="n"/>
      <c r="G2" s="41" t="n"/>
      <c r="H2" s="41" t="n"/>
      <c r="I2" s="41" t="n"/>
      <c r="J2" s="41" t="n"/>
    </row>
    <row r="3" ht="28" customHeight="1" s="51">
      <c r="A3" s="35" t="inlineStr">
        <is>
          <t>window_type_id</t>
        </is>
      </c>
      <c r="B3" s="35" t="inlineStr">
        <is>
          <t>窓種表示名</t>
        </is>
      </c>
      <c r="C3" s="35" t="inlineStr">
        <is>
          <t>固有仕様種別</t>
        </is>
      </c>
      <c r="D3" s="35" t="inlineStr">
        <is>
          <t>固有仕様必須</t>
        </is>
      </c>
      <c r="E3" s="35" t="inlineStr">
        <is>
          <t>網戸設定</t>
        </is>
      </c>
      <c r="F3" s="35" t="inlineStr">
        <is>
          <t>中桟選択</t>
        </is>
      </c>
      <c r="G3" s="35" t="inlineStr">
        <is>
          <t>ネット種類選択</t>
        </is>
      </c>
      <c r="H3" s="35" t="inlineStr">
        <is>
          <t>有効</t>
        </is>
      </c>
      <c r="I3" s="35" t="inlineStr">
        <is>
          <t>登録状態</t>
        </is>
      </c>
      <c r="J3" s="35" t="inlineStr">
        <is>
          <t>備考</t>
        </is>
      </c>
    </row>
    <row r="4">
      <c r="A4" s="43" t="inlineStr">
        <is>
          <t>WT-SL-HIKICHIGAI</t>
        </is>
      </c>
      <c r="B4" s="43" t="inlineStr">
        <is>
          <t>単体引違い窓</t>
        </is>
      </c>
      <c r="C4" s="43" t="inlineStr">
        <is>
          <t>なし</t>
        </is>
      </c>
      <c r="D4" s="43" t="inlineStr">
        <is>
          <t>不要</t>
        </is>
      </c>
      <c r="E4" s="43" t="inlineStr">
        <is>
          <t>引違い網戸</t>
        </is>
      </c>
      <c r="F4" s="43" t="inlineStr">
        <is>
          <t>あり</t>
        </is>
      </c>
      <c r="G4" s="43" t="inlineStr">
        <is>
          <t>あり</t>
        </is>
      </c>
      <c r="H4" s="43" t="b">
        <v>1</v>
      </c>
      <c r="I4" s="43" t="inlineStr">
        <is>
          <t>カタログ掲載</t>
        </is>
      </c>
      <c r="J4" s="43" t="inlineStr">
        <is>
          <t>引違い窓 section｜引違い網戸：中桟・ネットを09B/09Cで制御</t>
        </is>
      </c>
    </row>
    <row r="5">
      <c r="A5" s="43" t="inlineStr">
        <is>
          <t>WT-SL-SHUTTER-HIKI</t>
        </is>
      </c>
      <c r="B5" s="43" t="inlineStr">
        <is>
          <t>シャッター付引違い窓</t>
        </is>
      </c>
      <c r="C5" s="43" t="inlineStr">
        <is>
          <t>シャッター種類</t>
        </is>
      </c>
      <c r="D5" s="43" t="inlineStr">
        <is>
          <t>必須</t>
        </is>
      </c>
      <c r="E5" s="43" t="inlineStr">
        <is>
          <t>引違い網戸</t>
        </is>
      </c>
      <c r="F5" s="43" t="inlineStr">
        <is>
          <t>あり</t>
        </is>
      </c>
      <c r="G5" s="43" t="inlineStr">
        <is>
          <t>あり</t>
        </is>
      </c>
      <c r="H5" s="43" t="b">
        <v>1</v>
      </c>
      <c r="I5" s="43" t="inlineStr">
        <is>
          <t>カタログ掲載</t>
        </is>
      </c>
      <c r="J5" s="43" t="inlineStr">
        <is>
          <t>シャッター種類を窓種直後に選択｜引違い網戸：中桟・ネットを09B/09Cで制御</t>
        </is>
      </c>
    </row>
    <row r="6">
      <c r="A6" s="43" t="inlineStr">
        <is>
          <t>WT-SL-AMADO-HIKI</t>
        </is>
      </c>
      <c r="B6" s="43" t="inlineStr">
        <is>
          <t>雨戸付引違い窓</t>
        </is>
      </c>
      <c r="C6" s="43" t="inlineStr">
        <is>
          <t>雨戸種類</t>
        </is>
      </c>
      <c r="D6" s="43" t="inlineStr">
        <is>
          <t>必須</t>
        </is>
      </c>
      <c r="E6" s="43" t="inlineStr">
        <is>
          <t>引違い網戸</t>
        </is>
      </c>
      <c r="F6" s="43" t="inlineStr">
        <is>
          <t>あり</t>
        </is>
      </c>
      <c r="G6" s="43" t="inlineStr">
        <is>
          <t>あり</t>
        </is>
      </c>
      <c r="H6" s="43" t="b">
        <v>1</v>
      </c>
      <c r="I6" s="43" t="inlineStr">
        <is>
          <t>カタログ掲載</t>
        </is>
      </c>
      <c r="J6" s="43" t="inlineStr">
        <is>
          <t>雨戸種類を窓種直後に選択｜引違い網戸：中桟・ネットを09B/09Cで制御</t>
        </is>
      </c>
    </row>
    <row r="7">
      <c r="A7" s="43" t="inlineStr">
        <is>
          <t>WT-SL-MENKOSHI-HIKI</t>
        </is>
      </c>
      <c r="B7" s="43" t="inlineStr">
        <is>
          <t>面格子付引違い窓</t>
        </is>
      </c>
      <c r="C7" s="43" t="inlineStr">
        <is>
          <t>面格子種類</t>
        </is>
      </c>
      <c r="D7" s="43" t="inlineStr">
        <is>
          <t>必須</t>
        </is>
      </c>
      <c r="E7" s="43" t="inlineStr">
        <is>
          <t>引違い網戸</t>
        </is>
      </c>
      <c r="F7" s="43" t="inlineStr">
        <is>
          <t>あり</t>
        </is>
      </c>
      <c r="G7" s="43" t="inlineStr">
        <is>
          <t>あり</t>
        </is>
      </c>
      <c r="H7" s="43" t="b">
        <v>1</v>
      </c>
      <c r="I7" s="43" t="inlineStr">
        <is>
          <t>カタログ個別可否確認済み</t>
        </is>
      </c>
      <c r="J7" s="43" t="inlineStr">
        <is>
          <t>縦/横/ヒシクロス/井桁をサイズ別に06_サイズで制御｜引違い網戸：中桟・ネットを09B/09Cで制御</t>
        </is>
      </c>
    </row>
    <row r="8">
      <c r="A8" s="43" t="inlineStr">
        <is>
          <t>WT-SL-TATE-SUBERI</t>
        </is>
      </c>
      <c r="B8" s="43" t="inlineStr">
        <is>
          <t>縦すべり出し窓</t>
        </is>
      </c>
      <c r="C8" s="43" t="inlineStr">
        <is>
          <t>ハンドル×構成タイプ</t>
        </is>
      </c>
      <c r="D8" s="43" t="inlineStr">
        <is>
          <t>必須</t>
        </is>
      </c>
      <c r="E8" s="43" t="inlineStr">
        <is>
          <t>固有仕様連動</t>
        </is>
      </c>
      <c r="F8" s="43" t="inlineStr">
        <is>
          <t>なし</t>
        </is>
      </c>
      <c r="G8" s="43" t="inlineStr">
        <is>
          <t>形式連動</t>
        </is>
      </c>
      <c r="H8" s="43" t="b">
        <v>1</v>
      </c>
      <c r="I8" s="43" t="inlineStr">
        <is>
          <t>2026詳細構成正規化済み</t>
        </is>
      </c>
      <c r="J8" s="43" t="inlineStr">
        <is>
          <t>オペレーター/カムラッチ × T/TF/TFT × FIX外押縁/内押縁を04/05/06で連動</t>
        </is>
      </c>
    </row>
    <row r="9">
      <c r="A9" s="43" t="inlineStr">
        <is>
          <t>WT-SL-YOKO-SUBERI</t>
        </is>
      </c>
      <c r="B9" s="43" t="inlineStr">
        <is>
          <t>横すべり出し窓</t>
        </is>
      </c>
      <c r="C9" s="43" t="inlineStr">
        <is>
          <t>ハンドル種類</t>
        </is>
      </c>
      <c r="D9" s="43" t="inlineStr">
        <is>
          <t>必須</t>
        </is>
      </c>
      <c r="E9" s="43" t="inlineStr">
        <is>
          <t>固有仕様連動</t>
        </is>
      </c>
      <c r="F9" s="43" t="inlineStr">
        <is>
          <t>なし</t>
        </is>
      </c>
      <c r="G9" s="43" t="inlineStr">
        <is>
          <t>形式連動</t>
        </is>
      </c>
      <c r="H9" s="43" t="b">
        <v>1</v>
      </c>
      <c r="I9" s="43" t="inlineStr">
        <is>
          <t>カタログ掲載</t>
        </is>
      </c>
      <c r="J9" s="43" t="inlineStr">
        <is>
          <t>オペレーター/カムラッチ｜オペレーター=固定式系／カムラッチ=横引きロール・開き網戸系</t>
        </is>
      </c>
    </row>
    <row r="10">
      <c r="A10" s="47" t="inlineStr">
        <is>
          <t>WT-SL-KOSHO-YOKO</t>
        </is>
      </c>
      <c r="B10" s="47" t="inlineStr">
        <is>
          <t>高所用横すべり出し窓</t>
        </is>
      </c>
      <c r="C10" s="47" t="inlineStr">
        <is>
          <t>操作方式</t>
        </is>
      </c>
      <c r="D10" s="47" t="inlineStr">
        <is>
          <t>必須</t>
        </is>
      </c>
      <c r="E10" s="47" t="inlineStr">
        <is>
          <t>固定式網戸系</t>
        </is>
      </c>
      <c r="F10" s="47" t="inlineStr">
        <is>
          <t>なし</t>
        </is>
      </c>
      <c r="G10" s="47" t="inlineStr">
        <is>
          <t>形式連動</t>
        </is>
      </c>
      <c r="H10" s="47" t="b">
        <v>1</v>
      </c>
      <c r="I10" s="47" t="inlineStr">
        <is>
          <t>v0.6操作方式×サイズ確定</t>
        </is>
      </c>
      <c r="J10" s="47" t="inlineStr">
        <is>
          <t>ハンドル／シングル／ダブルはH&gt;=700、電動は規格サイズ全件候補。</t>
        </is>
      </c>
    </row>
    <row r="11">
      <c r="A11" s="43" t="inlineStr">
        <is>
          <t>WT-SL-AGE-SAGE-FS</t>
        </is>
      </c>
      <c r="B11" s="43" t="inlineStr">
        <is>
          <t>上げ下げ窓FS</t>
        </is>
      </c>
      <c r="C11" s="43" t="inlineStr">
        <is>
          <t>なし</t>
        </is>
      </c>
      <c r="D11" s="43" t="inlineStr">
        <is>
          <t>不要</t>
        </is>
      </c>
      <c r="E11" s="43" t="inlineStr">
        <is>
          <t>上げ下げ式網戸</t>
        </is>
      </c>
      <c r="F11" s="43" t="inlineStr">
        <is>
          <t>なし</t>
        </is>
      </c>
      <c r="G11" s="43" t="inlineStr">
        <is>
          <t>形式連動</t>
        </is>
      </c>
      <c r="H11" s="43" t="b">
        <v>1</v>
      </c>
      <c r="I11" s="43" t="inlineStr">
        <is>
          <t>カタログ掲載</t>
        </is>
      </c>
      <c r="J11" s="43" t="inlineStr">
        <is>
          <t>09Cの規格呼称ホワイトリスト連動</t>
        </is>
      </c>
    </row>
    <row r="12">
      <c r="A12" s="47" t="inlineStr">
        <is>
          <t>WT-SL-MENKOSHI-AGE-FS</t>
        </is>
      </c>
      <c r="B12" s="47" t="inlineStr">
        <is>
          <t>面格子付上げ下げ窓FS</t>
        </is>
      </c>
      <c r="C12" s="47" t="inlineStr">
        <is>
          <t>面格子種類</t>
        </is>
      </c>
      <c r="D12" s="47" t="inlineStr">
        <is>
          <t>必須</t>
        </is>
      </c>
      <c r="E12" s="47" t="inlineStr">
        <is>
          <t>上げ下げ式網戸</t>
        </is>
      </c>
      <c r="F12" s="47" t="inlineStr">
        <is>
          <t>なし</t>
        </is>
      </c>
      <c r="G12" s="47" t="inlineStr">
        <is>
          <t>形式連動</t>
        </is>
      </c>
      <c r="H12" s="47" t="b">
        <v>1</v>
      </c>
      <c r="I12" s="47" t="inlineStr">
        <is>
          <t>カタログ個別可否確認済み</t>
        </is>
      </c>
      <c r="J12" s="47" t="inlineStr">
        <is>
          <t>縦/横/ヒシクロス/井桁を価格表で確認。専用固有仕様IDで管理｜09Cの規格呼称ホワイトリスト連動</t>
        </is>
      </c>
    </row>
    <row r="13">
      <c r="A13" s="43" t="inlineStr">
        <is>
          <t>WT-SL-FIX-OUT</t>
        </is>
      </c>
      <c r="B13" s="43" t="inlineStr">
        <is>
          <t>FIX窓（外押縁タイプ）</t>
        </is>
      </c>
      <c r="C13" s="43" t="inlineStr">
        <is>
          <t>なし</t>
        </is>
      </c>
      <c r="D13" s="43" t="inlineStr">
        <is>
          <t>不要</t>
        </is>
      </c>
      <c r="E13" s="43" t="inlineStr">
        <is>
          <t>なし</t>
        </is>
      </c>
      <c r="F13" s="43" t="inlineStr">
        <is>
          <t>なし</t>
        </is>
      </c>
      <c r="G13" s="43" t="inlineStr">
        <is>
          <t>なし</t>
        </is>
      </c>
      <c r="H13" s="43" t="b">
        <v>1</v>
      </c>
      <c r="I13" s="43" t="inlineStr">
        <is>
          <t>カタログ掲載</t>
        </is>
      </c>
      <c r="J13" s="43" t="inlineStr">
        <is>
          <t>FIX本体のため網戸選択なし</t>
        </is>
      </c>
    </row>
    <row r="14">
      <c r="A14" s="43" t="inlineStr">
        <is>
          <t>WT-SL-FIX-IN</t>
        </is>
      </c>
      <c r="B14" s="43" t="inlineStr">
        <is>
          <t>FIX窓（内押縁タイプ）</t>
        </is>
      </c>
      <c r="C14" s="43" t="inlineStr">
        <is>
          <t>なし</t>
        </is>
      </c>
      <c r="D14" s="43" t="inlineStr">
        <is>
          <t>不要</t>
        </is>
      </c>
      <c r="E14" s="43" t="inlineStr">
        <is>
          <t>なし</t>
        </is>
      </c>
      <c r="F14" s="43" t="inlineStr">
        <is>
          <t>なし</t>
        </is>
      </c>
      <c r="G14" s="43" t="inlineStr">
        <is>
          <t>なし</t>
        </is>
      </c>
      <c r="H14" s="43" t="b">
        <v>1</v>
      </c>
      <c r="I14" s="43" t="inlineStr">
        <is>
          <t>カタログ掲載</t>
        </is>
      </c>
      <c r="J14" s="43" t="inlineStr">
        <is>
          <t>FIX本体のため網戸選択なし</t>
        </is>
      </c>
    </row>
    <row r="15">
      <c r="A15" s="43" t="inlineStr">
        <is>
          <t>WT-SL-UCHIDAOSHI</t>
        </is>
      </c>
      <c r="B15" s="43" t="inlineStr">
        <is>
          <t>内倒し窓</t>
        </is>
      </c>
      <c r="C15" s="43" t="inlineStr">
        <is>
          <t>なし</t>
        </is>
      </c>
      <c r="D15" s="43" t="inlineStr">
        <is>
          <t>不要</t>
        </is>
      </c>
      <c r="E15" s="43" t="inlineStr">
        <is>
          <t>固定式網戸（内倒し窓用）</t>
        </is>
      </c>
      <c r="F15" s="43" t="inlineStr">
        <is>
          <t>なし</t>
        </is>
      </c>
      <c r="G15" s="43" t="inlineStr">
        <is>
          <t>形式連動</t>
        </is>
      </c>
      <c r="H15" s="43" t="b">
        <v>1</v>
      </c>
      <c r="I15" s="43" t="inlineStr">
        <is>
          <t>カタログ掲載</t>
        </is>
      </c>
      <c r="J15" s="43" t="inlineStr">
        <is>
          <t>専用固定式網戸</t>
        </is>
      </c>
    </row>
    <row r="16">
      <c r="A16" s="43" t="inlineStr">
        <is>
          <t>WT-SL-SOTODAOSHI</t>
        </is>
      </c>
      <c r="B16" s="43" t="inlineStr">
        <is>
          <t>外倒し窓</t>
        </is>
      </c>
      <c r="C16" s="43" t="inlineStr">
        <is>
          <t>構成タイプ</t>
        </is>
      </c>
      <c r="D16" s="43" t="inlineStr">
        <is>
          <t>必須</t>
        </is>
      </c>
      <c r="E16" s="43" t="inlineStr">
        <is>
          <t>個別照合</t>
        </is>
      </c>
      <c r="F16" s="43" t="inlineStr">
        <is>
          <t>なし</t>
        </is>
      </c>
      <c r="G16" s="43" t="inlineStr">
        <is>
          <t>形式連動</t>
        </is>
      </c>
      <c r="H16" s="43" t="b">
        <v>1</v>
      </c>
      <c r="I16" s="43" t="inlineStr">
        <is>
          <t>2026現行確認済み</t>
        </is>
      </c>
      <c r="J16" s="43" t="inlineStr">
        <is>
          <t>E=単窓タイプ／EE=連窓タイプ。特注範囲は06C。</t>
        </is>
      </c>
    </row>
    <row r="17">
      <c r="A17" s="47" t="inlineStr">
        <is>
          <t>WT-SL-HIRAKI-TERRACE</t>
        </is>
      </c>
      <c r="B17" s="47" t="inlineStr">
        <is>
          <t>開き窓テラス</t>
        </is>
      </c>
      <c r="C17" s="47" t="inlineStr">
        <is>
          <t>シリーズ確認</t>
        </is>
      </c>
      <c r="D17" s="47" t="inlineStr">
        <is>
          <t>要確認</t>
        </is>
      </c>
      <c r="E17" s="47" t="inlineStr">
        <is>
          <t>現行対象外</t>
        </is>
      </c>
      <c r="F17" s="47" t="inlineStr">
        <is>
          <t>なし</t>
        </is>
      </c>
      <c r="G17" s="47" t="inlineStr">
        <is>
          <t>なし</t>
        </is>
      </c>
      <c r="H17" s="47" t="b">
        <v>0</v>
      </c>
      <c r="I17" s="47" t="inlineStr">
        <is>
          <t>現行価格表対象外</t>
        </is>
      </c>
      <c r="J17" s="47" t="inlineStr">
        <is>
          <t>2026年4月サーモスL完成品価格表の現行ラインアップに掲載なし。履歴保持のみ。</t>
        </is>
      </c>
    </row>
    <row r="18">
      <c r="A18" s="43" t="inlineStr">
        <is>
          <t>WT-SL-KAZARI-HIKI</t>
        </is>
      </c>
      <c r="B18" s="43" t="inlineStr">
        <is>
          <t>装飾引違い窓</t>
        </is>
      </c>
      <c r="C18" s="43" t="inlineStr">
        <is>
          <t>建具構成</t>
        </is>
      </c>
      <c r="D18" s="43" t="inlineStr">
        <is>
          <t>必須</t>
        </is>
      </c>
      <c r="E18" s="43" t="inlineStr">
        <is>
          <t>引違い網戸</t>
        </is>
      </c>
      <c r="F18" s="43" t="inlineStr">
        <is>
          <t>シリーズ連動</t>
        </is>
      </c>
      <c r="G18" s="43" t="inlineStr">
        <is>
          <t>シリーズ連動</t>
        </is>
      </c>
      <c r="H18" s="43" t="b">
        <v>1</v>
      </c>
      <c r="I18" s="43" t="inlineStr">
        <is>
          <t>サーモスL専用確認済み</t>
        </is>
      </c>
      <c r="J18" s="43" t="inlineStr">
        <is>
          <t>H・HK・HKKはサーモスLのみ設定｜H/HK/HKKを固有仕様連動</t>
        </is>
      </c>
    </row>
    <row r="19">
      <c r="A19" s="47" t="inlineStr">
        <is>
          <t>WT-SL-TERRACE-DOOR</t>
        </is>
      </c>
      <c r="B19" s="47" t="inlineStr">
        <is>
          <t>テラスドア</t>
        </is>
      </c>
      <c r="C19" s="47" t="inlineStr">
        <is>
          <t>なし</t>
        </is>
      </c>
      <c r="D19" s="47" t="inlineStr">
        <is>
          <t>不要</t>
        </is>
      </c>
      <c r="E19" s="47" t="inlineStr">
        <is>
          <t>しまえるんですJ</t>
        </is>
      </c>
      <c r="F19" s="47" t="inlineStr">
        <is>
          <t>なし</t>
        </is>
      </c>
      <c r="G19" s="47" t="inlineStr">
        <is>
          <t>形式連動</t>
        </is>
      </c>
      <c r="H19" s="47" t="b">
        <v>1</v>
      </c>
      <c r="I19" s="47" t="inlineStr">
        <is>
          <t>2026現行確認済み</t>
        </is>
      </c>
      <c r="J19" s="47" t="inlineStr">
        <is>
          <t>TD1。特注範囲は06C。</t>
        </is>
      </c>
    </row>
    <row r="20">
      <c r="A20" s="47" t="inlineStr">
        <is>
          <t>WT-SL-KATTEGUCHI-VENT-FS</t>
        </is>
      </c>
      <c r="B20" s="47" t="inlineStr">
        <is>
          <t>採風勝手口ドアFS</t>
        </is>
      </c>
      <c r="C20" s="47" t="inlineStr">
        <is>
          <t>なし</t>
        </is>
      </c>
      <c r="D20" s="47" t="inlineStr">
        <is>
          <t>不要</t>
        </is>
      </c>
      <c r="E20" s="47" t="inlineStr">
        <is>
          <t>網付格子</t>
        </is>
      </c>
      <c r="F20" s="47" t="inlineStr">
        <is>
          <t>なし</t>
        </is>
      </c>
      <c r="G20" s="47" t="inlineStr">
        <is>
          <t>形式連動</t>
        </is>
      </c>
      <c r="H20" s="47" t="b">
        <v>1</v>
      </c>
      <c r="I20" s="47" t="inlineStr">
        <is>
          <t>2026現行確認済み</t>
        </is>
      </c>
      <c r="J20" s="47" t="inlineStr">
        <is>
          <t>KSF1。特注範囲は06C。</t>
        </is>
      </c>
    </row>
    <row r="21">
      <c r="A21" s="47" t="inlineStr">
        <is>
          <t>WT-SL-KATTEGUCHI</t>
        </is>
      </c>
      <c r="B21" s="47" t="inlineStr">
        <is>
          <t>勝手口ドア</t>
        </is>
      </c>
      <c r="C21" s="47" t="inlineStr">
        <is>
          <t>ドアタイプ</t>
        </is>
      </c>
      <c r="D21" s="47" t="inlineStr">
        <is>
          <t>必須</t>
        </is>
      </c>
      <c r="E21" s="47" t="inlineStr">
        <is>
          <t>しまえるんですJ</t>
        </is>
      </c>
      <c r="F21" s="47" t="inlineStr">
        <is>
          <t>なし</t>
        </is>
      </c>
      <c r="G21" s="47" t="inlineStr">
        <is>
          <t>形式連動</t>
        </is>
      </c>
      <c r="H21" s="47" t="b">
        <v>1</v>
      </c>
      <c r="I21" s="47" t="inlineStr">
        <is>
          <t>2026現行確認済み</t>
        </is>
      </c>
      <c r="J21" s="47" t="inlineStr">
        <is>
          <t>中桟腰パネル付／全面ガラス。KD1。特注範囲は06C。</t>
        </is>
      </c>
    </row>
  </sheetData>
  <mergeCells count="2">
    <mergeCell ref="A1:J1"/>
    <mergeCell ref="A2:J2"/>
  </mergeCells>
  <conditionalFormatting sqref="H4:H21">
    <cfRule type="expression" priority="1" dxfId="2">
      <formula>H4=FALSE</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1700"/>
  <sheetViews>
    <sheetView workbookViewId="0">
      <selection activeCell="A1" sqref="A1"/>
    </sheetView>
  </sheetViews>
  <sheetFormatPr baseColWidth="8" defaultRowHeight="15"/>
  <cols>
    <col width="24" customWidth="1" style="51" min="1" max="1"/>
    <col width="20" customWidth="1" style="51" min="2" max="2"/>
    <col width="24" customWidth="1" style="51" min="3" max="3"/>
    <col width="18" customWidth="1" style="51" min="4" max="4"/>
    <col width="20" customWidth="1" style="51" min="5" max="5"/>
    <col width="32" customWidth="1" style="51" min="6" max="6"/>
    <col width="18" customWidth="1" style="51" min="7" max="7"/>
    <col width="8" customWidth="1" style="51" min="8" max="8"/>
    <col width="20" customWidth="1" style="51" min="9" max="9"/>
    <col width="10" customWidth="1" style="51" min="10" max="10"/>
    <col width="24" customWidth="1" style="51" min="11" max="11"/>
    <col width="42" customWidth="1" style="51" min="12" max="12"/>
  </cols>
  <sheetData>
    <row r="1" ht="28" customHeight="1" s="51">
      <c r="A1" s="23" t="inlineStr">
        <is>
          <t>窓種固有仕様マスター</t>
        </is>
      </c>
      <c r="B1" s="41" t="n"/>
      <c r="C1" s="41" t="n"/>
      <c r="D1" s="41" t="n"/>
      <c r="E1" s="41" t="n"/>
      <c r="F1" s="41" t="n"/>
      <c r="G1" s="41" t="n"/>
      <c r="H1" s="41" t="n"/>
      <c r="I1" s="41" t="n"/>
      <c r="J1" s="41" t="n"/>
      <c r="K1" s="41" t="n"/>
      <c r="L1" s="41" t="n"/>
    </row>
    <row r="2" ht="34" customHeight="1" s="51">
      <c r="A2" s="31" t="inlineStr">
        <is>
          <t>窓種の直後に選択する仕様。サーモスLで確認できたハンドル・シャッター・雨戸・装飾引違い構成を先行投入。</t>
        </is>
      </c>
      <c r="B2" s="41" t="n"/>
      <c r="C2" s="41" t="n"/>
      <c r="D2" s="41" t="n"/>
      <c r="E2" s="41" t="n"/>
      <c r="F2" s="41" t="n"/>
      <c r="G2" s="41" t="n"/>
      <c r="H2" s="41" t="n"/>
      <c r="I2" s="41" t="n"/>
      <c r="J2" s="41" t="n"/>
      <c r="K2" s="41" t="n"/>
      <c r="L2" s="41" t="n"/>
    </row>
    <row r="3" ht="28" customHeight="1" s="51">
      <c r="A3" s="35" t="inlineStr">
        <is>
          <t>spec_id</t>
        </is>
      </c>
      <c r="B3" s="35" t="inlineStr">
        <is>
          <t>シリーズID</t>
        </is>
      </c>
      <c r="C3" s="35" t="inlineStr">
        <is>
          <t>窓種ID</t>
        </is>
      </c>
      <c r="D3" s="35" t="inlineStr">
        <is>
          <t>固有仕様種別</t>
        </is>
      </c>
      <c r="E3" s="35" t="inlineStr">
        <is>
          <t>表示名</t>
        </is>
      </c>
      <c r="F3" s="35" t="inlineStr">
        <is>
          <t>メーカー正式名称</t>
        </is>
      </c>
      <c r="G3" s="35" t="inlineStr">
        <is>
          <t>サイズ連動キー</t>
        </is>
      </c>
      <c r="H3" s="35" t="inlineStr">
        <is>
          <t>有効</t>
        </is>
      </c>
      <c r="I3" s="35" t="inlineStr">
        <is>
          <t>登録状態</t>
        </is>
      </c>
      <c r="J3" s="35" t="inlineStr">
        <is>
          <t>表示順</t>
        </is>
      </c>
      <c r="K3" s="35" t="inlineStr">
        <is>
          <t>出典</t>
        </is>
      </c>
      <c r="L3" s="35" t="inlineStr">
        <is>
          <t>備考</t>
        </is>
      </c>
    </row>
    <row r="4">
      <c r="A4" s="43" t="inlineStr">
        <is>
          <t>SP-SL-TATE-OP</t>
        </is>
      </c>
      <c r="B4" s="43" t="inlineStr">
        <is>
          <t>SER-LIX-SAMOSL</t>
        </is>
      </c>
      <c r="C4" s="43" t="inlineStr">
        <is>
          <t>WT-SL-TATE-SUBERI</t>
        </is>
      </c>
      <c r="D4" s="43" t="inlineStr">
        <is>
          <t>ハンドル種類</t>
        </is>
      </c>
      <c r="E4" s="43" t="inlineStr">
        <is>
          <t>オペレーター</t>
        </is>
      </c>
      <c r="F4" s="43" t="inlineStr">
        <is>
          <t>縦すべり出し窓（オペレーター）</t>
        </is>
      </c>
      <c r="G4" s="43" t="inlineStr">
        <is>
          <t>TATE-OP</t>
        </is>
      </c>
      <c r="H4" s="43" t="b">
        <v>0</v>
      </c>
      <c r="I4" s="43" t="inlineStr">
        <is>
          <t>v0.5履歴エイリアス</t>
        </is>
      </c>
      <c r="J4" s="43" t="n">
        <v>10</v>
      </c>
      <c r="K4" s="43" t="inlineStr">
        <is>
          <t>SM3100 装飾窓</t>
        </is>
      </c>
      <c r="L4" s="43" t="inlineStr">
        <is>
          <t>v0.5で10種類のハンドル×構成タイプへ分解。新規選択には使用しない。</t>
        </is>
      </c>
    </row>
    <row r="5">
      <c r="A5" s="43" t="inlineStr">
        <is>
          <t>SP-SL-TATE-CAM</t>
        </is>
      </c>
      <c r="B5" s="43" t="inlineStr">
        <is>
          <t>SER-LIX-SAMOSL</t>
        </is>
      </c>
      <c r="C5" s="43" t="inlineStr">
        <is>
          <t>WT-SL-TATE-SUBERI</t>
        </is>
      </c>
      <c r="D5" s="43" t="inlineStr">
        <is>
          <t>ハンドル種類</t>
        </is>
      </c>
      <c r="E5" s="43" t="inlineStr">
        <is>
          <t>カムラッチ</t>
        </is>
      </c>
      <c r="F5" s="43" t="inlineStr">
        <is>
          <t>縦すべり出し窓（カムラッチ）</t>
        </is>
      </c>
      <c r="G5" s="43" t="inlineStr">
        <is>
          <t>TATE-CAM</t>
        </is>
      </c>
      <c r="H5" s="43" t="b">
        <v>0</v>
      </c>
      <c r="I5" s="43" t="inlineStr">
        <is>
          <t>v0.5履歴エイリアス</t>
        </is>
      </c>
      <c r="J5" s="43" t="n">
        <v>20</v>
      </c>
      <c r="K5" s="43" t="inlineStr">
        <is>
          <t>SM3100 装飾窓</t>
        </is>
      </c>
      <c r="L5" s="43" t="inlineStr">
        <is>
          <t>v0.5で10種類のハンドル×構成タイプへ分解。新規選択には使用しない。</t>
        </is>
      </c>
    </row>
    <row r="6">
      <c r="A6" s="43" t="inlineStr">
        <is>
          <t>SP-SL-YOKO-OP</t>
        </is>
      </c>
      <c r="B6" s="43" t="inlineStr">
        <is>
          <t>SER-LIX-SAMOSL</t>
        </is>
      </c>
      <c r="C6" s="43" t="inlineStr">
        <is>
          <t>WT-SL-YOKO-SUBERI</t>
        </is>
      </c>
      <c r="D6" s="43" t="inlineStr">
        <is>
          <t>ハンドル種類</t>
        </is>
      </c>
      <c r="E6" s="43" t="inlineStr">
        <is>
          <t>オペレーター</t>
        </is>
      </c>
      <c r="F6" s="43" t="inlineStr">
        <is>
          <t>横すべり出し窓（オペレーター）</t>
        </is>
      </c>
      <c r="G6" s="43" t="inlineStr">
        <is>
          <t>YOKO-OP</t>
        </is>
      </c>
      <c r="H6" s="43" t="b">
        <v>1</v>
      </c>
      <c r="I6" s="43" t="inlineStr">
        <is>
          <t>カタログ確認済み</t>
        </is>
      </c>
      <c r="J6" s="43" t="n">
        <v>10</v>
      </c>
      <c r="K6" s="43" t="inlineStr">
        <is>
          <t>SM3100 装飾窓</t>
        </is>
      </c>
      <c r="L6" s="43" t="str"/>
    </row>
    <row r="7">
      <c r="A7" s="43" t="inlineStr">
        <is>
          <t>SP-SL-YOKO-CAM</t>
        </is>
      </c>
      <c r="B7" s="43" t="inlineStr">
        <is>
          <t>SER-LIX-SAMOSL</t>
        </is>
      </c>
      <c r="C7" s="43" t="inlineStr">
        <is>
          <t>WT-SL-YOKO-SUBERI</t>
        </is>
      </c>
      <c r="D7" s="43" t="inlineStr">
        <is>
          <t>ハンドル種類</t>
        </is>
      </c>
      <c r="E7" s="43" t="inlineStr">
        <is>
          <t>カムラッチ</t>
        </is>
      </c>
      <c r="F7" s="43" t="inlineStr">
        <is>
          <t>横すべり出し窓（カムラッチ）</t>
        </is>
      </c>
      <c r="G7" s="43" t="inlineStr">
        <is>
          <t>YOKO-CAM</t>
        </is>
      </c>
      <c r="H7" s="43" t="b">
        <v>1</v>
      </c>
      <c r="I7" s="43" t="inlineStr">
        <is>
          <t>カタログ確認済み</t>
        </is>
      </c>
      <c r="J7" s="43" t="n">
        <v>20</v>
      </c>
      <c r="K7" s="43" t="inlineStr">
        <is>
          <t>SM3100 装飾窓</t>
        </is>
      </c>
      <c r="L7" s="43" t="str"/>
    </row>
    <row r="8">
      <c r="A8" s="43" t="inlineStr">
        <is>
          <t>SP-SL-SHUT-E-STD</t>
        </is>
      </c>
      <c r="B8" s="43" t="inlineStr">
        <is>
          <t>SER-LIX-SAMOSL</t>
        </is>
      </c>
      <c r="C8" s="43" t="inlineStr">
        <is>
          <t>WT-SL-SHUTTER-HIKI</t>
        </is>
      </c>
      <c r="D8" s="43" t="inlineStr">
        <is>
          <t>シャッター種類</t>
        </is>
      </c>
      <c r="E8" s="43" t="inlineStr">
        <is>
          <t>電動 標準タイプ</t>
        </is>
      </c>
      <c r="F8" s="43" t="inlineStr">
        <is>
          <t>電動 標準タイプ</t>
        </is>
      </c>
      <c r="G8" s="43" t="inlineStr">
        <is>
          <t>SH-E-STD</t>
        </is>
      </c>
      <c r="H8" s="43" t="b">
        <v>1</v>
      </c>
      <c r="I8" s="43" t="inlineStr">
        <is>
          <t>カタログ確認済み</t>
        </is>
      </c>
      <c r="J8" s="43" t="n">
        <v>10</v>
      </c>
      <c r="K8" s="43" t="inlineStr">
        <is>
          <t>SM3100 P78-81</t>
        </is>
      </c>
      <c r="L8" s="43" t="str"/>
    </row>
    <row r="9">
      <c r="A9" s="43" t="inlineStr">
        <is>
          <t>SP-SL-SHUT-E-VENT</t>
        </is>
      </c>
      <c r="B9" s="43" t="inlineStr">
        <is>
          <t>SER-LIX-SAMOSL</t>
        </is>
      </c>
      <c r="C9" s="43" t="inlineStr">
        <is>
          <t>WT-SL-SHUTTER-HIKI</t>
        </is>
      </c>
      <c r="D9" s="43" t="inlineStr">
        <is>
          <t>シャッター種類</t>
        </is>
      </c>
      <c r="E9" s="43" t="inlineStr">
        <is>
          <t>電動 採風タイプ</t>
        </is>
      </c>
      <c r="F9" s="43" t="inlineStr">
        <is>
          <t>電動 採風タイプ</t>
        </is>
      </c>
      <c r="G9" s="43" t="inlineStr">
        <is>
          <t>SH-E-VENT</t>
        </is>
      </c>
      <c r="H9" s="43" t="b">
        <v>1</v>
      </c>
      <c r="I9" s="43" t="inlineStr">
        <is>
          <t>カタログ確認済み</t>
        </is>
      </c>
      <c r="J9" s="43" t="n">
        <v>20</v>
      </c>
      <c r="K9" s="43" t="inlineStr">
        <is>
          <t>SM3100 P78-81</t>
        </is>
      </c>
      <c r="L9" s="43" t="str"/>
    </row>
    <row r="10">
      <c r="A10" s="43" t="inlineStr">
        <is>
          <t>SP-SL-SHUT-E-WIND</t>
        </is>
      </c>
      <c r="B10" s="43" t="inlineStr">
        <is>
          <t>SER-LIX-SAMOSL</t>
        </is>
      </c>
      <c r="C10" s="43" t="inlineStr">
        <is>
          <t>WT-SL-SHUTTER-HIKI</t>
        </is>
      </c>
      <c r="D10" s="43" t="inlineStr">
        <is>
          <t>シャッター種類</t>
        </is>
      </c>
      <c r="E10" s="43" t="inlineStr">
        <is>
          <t>電動 耐風タイプ</t>
        </is>
      </c>
      <c r="F10" s="43" t="inlineStr">
        <is>
          <t>電動 耐風タイプ</t>
        </is>
      </c>
      <c r="G10" s="43" t="inlineStr">
        <is>
          <t>SH-E-WIND</t>
        </is>
      </c>
      <c r="H10" s="43" t="b">
        <v>1</v>
      </c>
      <c r="I10" s="43" t="inlineStr">
        <is>
          <t>カタログ確認済み</t>
        </is>
      </c>
      <c r="J10" s="43" t="n">
        <v>30</v>
      </c>
      <c r="K10" s="43" t="inlineStr">
        <is>
          <t>SM3100 P78-81</t>
        </is>
      </c>
      <c r="L10" s="43" t="str"/>
    </row>
    <row r="11">
      <c r="A11" s="43" t="inlineStr">
        <is>
          <t>SP-SL-SHUT-M-STD</t>
        </is>
      </c>
      <c r="B11" s="43" t="inlineStr">
        <is>
          <t>SER-LIX-SAMOSL</t>
        </is>
      </c>
      <c r="C11" s="43" t="inlineStr">
        <is>
          <t>WT-SL-SHUTTER-HIKI</t>
        </is>
      </c>
      <c r="D11" s="43" t="inlineStr">
        <is>
          <t>シャッター種類</t>
        </is>
      </c>
      <c r="E11" s="43" t="inlineStr">
        <is>
          <t>手動 標準タイプ</t>
        </is>
      </c>
      <c r="F11" s="43" t="inlineStr">
        <is>
          <t>手動 標準タイプ</t>
        </is>
      </c>
      <c r="G11" s="43" t="inlineStr">
        <is>
          <t>SH-M-STD</t>
        </is>
      </c>
      <c r="H11" s="43" t="b">
        <v>1</v>
      </c>
      <c r="I11" s="43" t="inlineStr">
        <is>
          <t>カタログ確認済み</t>
        </is>
      </c>
      <c r="J11" s="43" t="n">
        <v>40</v>
      </c>
      <c r="K11" s="43" t="inlineStr">
        <is>
          <t>SM3100 P78-81</t>
        </is>
      </c>
      <c r="L11" s="43" t="str"/>
    </row>
    <row r="12">
      <c r="A12" s="43" t="inlineStr">
        <is>
          <t>SP-SL-SHUT-M-WIND</t>
        </is>
      </c>
      <c r="B12" s="43" t="inlineStr">
        <is>
          <t>SER-LIX-SAMOSL</t>
        </is>
      </c>
      <c r="C12" s="43" t="inlineStr">
        <is>
          <t>WT-SL-SHUTTER-HIKI</t>
        </is>
      </c>
      <c r="D12" s="43" t="inlineStr">
        <is>
          <t>シャッター種類</t>
        </is>
      </c>
      <c r="E12" s="43" t="inlineStr">
        <is>
          <t>手動 耐風タイプ</t>
        </is>
      </c>
      <c r="F12" s="43" t="inlineStr">
        <is>
          <t>手動 耐風タイプ</t>
        </is>
      </c>
      <c r="G12" s="43" t="inlineStr">
        <is>
          <t>SH-M-WIND</t>
        </is>
      </c>
      <c r="H12" s="43" t="b">
        <v>1</v>
      </c>
      <c r="I12" s="43" t="inlineStr">
        <is>
          <t>カタログ確認済み</t>
        </is>
      </c>
      <c r="J12" s="43" t="n">
        <v>50</v>
      </c>
      <c r="K12" s="43" t="inlineStr">
        <is>
          <t>SM3100 P78-81</t>
        </is>
      </c>
      <c r="L12" s="43" t="str"/>
    </row>
    <row r="13">
      <c r="A13" s="43" t="inlineStr">
        <is>
          <t>SP-SL-AMADO-LOUVER</t>
        </is>
      </c>
      <c r="B13" s="43" t="inlineStr">
        <is>
          <t>SER-LIX-SAMOSL</t>
        </is>
      </c>
      <c r="C13" s="43" t="inlineStr">
        <is>
          <t>WT-SL-AMADO-HIKI</t>
        </is>
      </c>
      <c r="D13" s="43" t="inlineStr">
        <is>
          <t>雨戸種類</t>
        </is>
      </c>
      <c r="E13" s="43" t="inlineStr">
        <is>
          <t>ルーバー雨戸</t>
        </is>
      </c>
      <c r="F13" s="43" t="inlineStr">
        <is>
          <t>一般雨戸 ルーバー雨戸</t>
        </is>
      </c>
      <c r="G13" s="43" t="inlineStr">
        <is>
          <t>AM-LOUVER</t>
        </is>
      </c>
      <c r="H13" s="43" t="b">
        <v>1</v>
      </c>
      <c r="I13" s="43" t="inlineStr">
        <is>
          <t>カタログ確認済み</t>
        </is>
      </c>
      <c r="J13" s="43" t="n">
        <v>10</v>
      </c>
      <c r="K13" s="43" t="inlineStr">
        <is>
          <t>SM3100 P126-128</t>
        </is>
      </c>
      <c r="L13" s="43" t="str"/>
    </row>
    <row r="14">
      <c r="A14" s="43" t="inlineStr">
        <is>
          <t>SP-SL-AMADO-DAN</t>
        </is>
      </c>
      <c r="B14" s="43" t="inlineStr">
        <is>
          <t>SER-LIX-SAMOSL</t>
        </is>
      </c>
      <c r="C14" s="43" t="inlineStr">
        <is>
          <t>WT-SL-AMADO-HIKI</t>
        </is>
      </c>
      <c r="D14" s="43" t="inlineStr">
        <is>
          <t>雨戸種類</t>
        </is>
      </c>
      <c r="E14" s="43" t="inlineStr">
        <is>
          <t>Danパネル雨戸</t>
        </is>
      </c>
      <c r="F14" s="43" t="inlineStr">
        <is>
          <t>断熱雨戸 Danパネル雨戸</t>
        </is>
      </c>
      <c r="G14" s="43" t="inlineStr">
        <is>
          <t>AM-DAN</t>
        </is>
      </c>
      <c r="H14" s="43" t="b">
        <v>1</v>
      </c>
      <c r="I14" s="43" t="inlineStr">
        <is>
          <t>カタログ確認済み</t>
        </is>
      </c>
      <c r="J14" s="43" t="n">
        <v>20</v>
      </c>
      <c r="K14" s="43" t="inlineStr">
        <is>
          <t>SM3100 P126-128</t>
        </is>
      </c>
      <c r="L14" s="43" t="str"/>
    </row>
    <row r="15">
      <c r="A15" s="43" t="inlineStr">
        <is>
          <t>SP-SL-AMADO-ADJ</t>
        </is>
      </c>
      <c r="B15" s="43" t="inlineStr">
        <is>
          <t>SER-LIX-SAMOSL</t>
        </is>
      </c>
      <c r="C15" s="43" t="inlineStr">
        <is>
          <t>WT-SL-AMADO-HIKI</t>
        </is>
      </c>
      <c r="D15" s="43" t="inlineStr">
        <is>
          <t>雨戸種類</t>
        </is>
      </c>
      <c r="E15" s="43" t="inlineStr">
        <is>
          <t>可動ルーバー雨戸Ⅰ型</t>
        </is>
      </c>
      <c r="F15" s="43" t="inlineStr">
        <is>
          <t>採風・採光雨戸 可動ルーバー雨戸Ⅰ型</t>
        </is>
      </c>
      <c r="G15" s="43" t="inlineStr">
        <is>
          <t>AM-ADJ</t>
        </is>
      </c>
      <c r="H15" s="43" t="b">
        <v>1</v>
      </c>
      <c r="I15" s="43" t="inlineStr">
        <is>
          <t>カタログ確認済み</t>
        </is>
      </c>
      <c r="J15" s="43" t="n">
        <v>30</v>
      </c>
      <c r="K15" s="43" t="inlineStr">
        <is>
          <t>SM3100 P126-128</t>
        </is>
      </c>
      <c r="L15" s="43" t="inlineStr">
        <is>
          <t>在来のみ</t>
        </is>
      </c>
    </row>
    <row r="16">
      <c r="A16" s="47" t="inlineStr">
        <is>
          <t>SP-SL-GRILLE-V</t>
        </is>
      </c>
      <c r="B16" s="47" t="inlineStr">
        <is>
          <t>SER-LIX-SAMOSL</t>
        </is>
      </c>
      <c r="C16" s="47" t="inlineStr">
        <is>
          <t>WT-SL-MENKOSHI-HIKI</t>
        </is>
      </c>
      <c r="D16" s="47" t="inlineStr">
        <is>
          <t>面格子種類</t>
        </is>
      </c>
      <c r="E16" s="47" t="inlineStr">
        <is>
          <t>縦格子</t>
        </is>
      </c>
      <c r="F16" s="47" t="inlineStr">
        <is>
          <t>縦格子</t>
        </is>
      </c>
      <c r="G16" s="47" t="inlineStr">
        <is>
          <t>GR-V</t>
        </is>
      </c>
      <c r="H16" s="47" t="b">
        <v>1</v>
      </c>
      <c r="I16" s="47" t="inlineStr">
        <is>
          <t>カタログ確認済み（サイズ別可否制御）</t>
        </is>
      </c>
      <c r="J16" s="47" t="n">
        <v>10</v>
      </c>
      <c r="K16" s="47" t="inlineStr">
        <is>
          <t>202604 サーモスL 完成品価格表 P90-113</t>
        </is>
      </c>
      <c r="L16" s="47" t="inlineStr">
        <is>
          <t>06_サイズ/13_可否証跡でサイズ別の設定可否を制御</t>
        </is>
      </c>
    </row>
    <row r="17">
      <c r="A17" s="47" t="inlineStr">
        <is>
          <t>SP-SL-GRILLE-H</t>
        </is>
      </c>
      <c r="B17" s="47" t="inlineStr">
        <is>
          <t>SER-LIX-SAMOSL</t>
        </is>
      </c>
      <c r="C17" s="47" t="inlineStr">
        <is>
          <t>WT-SL-MENKOSHI-HIKI</t>
        </is>
      </c>
      <c r="D17" s="47" t="inlineStr">
        <is>
          <t>面格子種類</t>
        </is>
      </c>
      <c r="E17" s="47" t="inlineStr">
        <is>
          <t>横格子</t>
        </is>
      </c>
      <c r="F17" s="47" t="inlineStr">
        <is>
          <t>横格子</t>
        </is>
      </c>
      <c r="G17" s="47" t="inlineStr">
        <is>
          <t>GR-H</t>
        </is>
      </c>
      <c r="H17" s="47" t="b">
        <v>1</v>
      </c>
      <c r="I17" s="47" t="inlineStr">
        <is>
          <t>カタログ確認済み（サイズ別可否制御）</t>
        </is>
      </c>
      <c r="J17" s="47" t="n">
        <v>20</v>
      </c>
      <c r="K17" s="47" t="inlineStr">
        <is>
          <t>202604 サーモスL 完成品価格表 P90-113</t>
        </is>
      </c>
      <c r="L17" s="47" t="inlineStr">
        <is>
          <t>06_サイズ/13_可否証跡でサイズ別の設定可否を制御</t>
        </is>
      </c>
    </row>
    <row r="18">
      <c r="A18" s="47" t="inlineStr">
        <is>
          <t>SP-SL-GRILLE-DIA</t>
        </is>
      </c>
      <c r="B18" s="47" t="inlineStr">
        <is>
          <t>SER-LIX-SAMOSL</t>
        </is>
      </c>
      <c r="C18" s="47" t="inlineStr">
        <is>
          <t>WT-SL-MENKOSHI-HIKI</t>
        </is>
      </c>
      <c r="D18" s="47" t="inlineStr">
        <is>
          <t>面格子種類</t>
        </is>
      </c>
      <c r="E18" s="47" t="inlineStr">
        <is>
          <t>ヒシクロス格子</t>
        </is>
      </c>
      <c r="F18" s="47" t="inlineStr">
        <is>
          <t>ヒシクロス格子</t>
        </is>
      </c>
      <c r="G18" s="47" t="inlineStr">
        <is>
          <t>GR-DIA</t>
        </is>
      </c>
      <c r="H18" s="47" t="b">
        <v>1</v>
      </c>
      <c r="I18" s="47" t="inlineStr">
        <is>
          <t>カタログ確認済み（サイズ別可否制御）</t>
        </is>
      </c>
      <c r="J18" s="47" t="n">
        <v>30</v>
      </c>
      <c r="K18" s="47" t="inlineStr">
        <is>
          <t>202604 サーモスL 完成品価格表 P90-113</t>
        </is>
      </c>
      <c r="L18" s="47" t="inlineStr">
        <is>
          <t>06_サイズ/13_可否証跡でサイズ別の設定可否を制御</t>
        </is>
      </c>
    </row>
    <row r="19">
      <c r="A19" s="47" t="inlineStr">
        <is>
          <t>SP-SL-GRILLE-IGETA</t>
        </is>
      </c>
      <c r="B19" s="47" t="inlineStr">
        <is>
          <t>SER-LIX-SAMOSL</t>
        </is>
      </c>
      <c r="C19" s="47" t="inlineStr">
        <is>
          <t>WT-SL-MENKOSHI-HIKI</t>
        </is>
      </c>
      <c r="D19" s="47" t="inlineStr">
        <is>
          <t>面格子種類</t>
        </is>
      </c>
      <c r="E19" s="47" t="inlineStr">
        <is>
          <t>井桁格子</t>
        </is>
      </c>
      <c r="F19" s="47" t="inlineStr">
        <is>
          <t>井桁格子</t>
        </is>
      </c>
      <c r="G19" s="47" t="inlineStr">
        <is>
          <t>GR-IGETA</t>
        </is>
      </c>
      <c r="H19" s="47" t="b">
        <v>1</v>
      </c>
      <c r="I19" s="47" t="inlineStr">
        <is>
          <t>カタログ確認済み（サイズ別可否制御）</t>
        </is>
      </c>
      <c r="J19" s="47" t="n">
        <v>40</v>
      </c>
      <c r="K19" s="47" t="inlineStr">
        <is>
          <t>202604 サーモスL 完成品価格表 P90-113</t>
        </is>
      </c>
      <c r="L19" s="47" t="inlineStr">
        <is>
          <t>06_サイズ/13_可否証跡でサイズ別の設定可否を制御</t>
        </is>
      </c>
    </row>
    <row r="20">
      <c r="A20" s="43" t="inlineStr">
        <is>
          <t>SP-SL-KAZARI-H</t>
        </is>
      </c>
      <c r="B20" s="43" t="inlineStr">
        <is>
          <t>SER-LIX-SAMOSL</t>
        </is>
      </c>
      <c r="C20" s="43" t="inlineStr">
        <is>
          <t>WT-SL-KAZARI-HIKI</t>
        </is>
      </c>
      <c r="D20" s="43" t="inlineStr">
        <is>
          <t>建具構成</t>
        </is>
      </c>
      <c r="E20" s="43" t="inlineStr">
        <is>
          <t>H</t>
        </is>
      </c>
      <c r="F20" s="43" t="inlineStr">
        <is>
          <t>装飾引違い窓 H</t>
        </is>
      </c>
      <c r="G20" s="43" t="inlineStr">
        <is>
          <t>KAZ-H</t>
        </is>
      </c>
      <c r="H20" s="43" t="b">
        <v>1</v>
      </c>
      <c r="I20" s="43" t="inlineStr">
        <is>
          <t>サーモスL確認済み</t>
        </is>
      </c>
      <c r="J20" s="43" t="n">
        <v>10</v>
      </c>
      <c r="K20" s="43" t="inlineStr">
        <is>
          <t>SM3100 P410付近</t>
        </is>
      </c>
      <c r="L20" s="43" t="inlineStr">
        <is>
          <t>サーモスLのみ設定</t>
        </is>
      </c>
    </row>
    <row r="21">
      <c r="A21" s="43" t="inlineStr">
        <is>
          <t>SP-SL-KAZARI-HK</t>
        </is>
      </c>
      <c r="B21" s="43" t="inlineStr">
        <is>
          <t>SER-LIX-SAMOSL</t>
        </is>
      </c>
      <c r="C21" s="43" t="inlineStr">
        <is>
          <t>WT-SL-KAZARI-HIKI</t>
        </is>
      </c>
      <c r="D21" s="43" t="inlineStr">
        <is>
          <t>建具構成</t>
        </is>
      </c>
      <c r="E21" s="43" t="inlineStr">
        <is>
          <t>HK</t>
        </is>
      </c>
      <c r="F21" s="43" t="inlineStr">
        <is>
          <t>装飾引違い窓 HK</t>
        </is>
      </c>
      <c r="G21" s="43" t="inlineStr">
        <is>
          <t>KAZ-HK</t>
        </is>
      </c>
      <c r="H21" s="43" t="b">
        <v>1</v>
      </c>
      <c r="I21" s="43" t="inlineStr">
        <is>
          <t>サーモスL確認済み</t>
        </is>
      </c>
      <c r="J21" s="43" t="n">
        <v>20</v>
      </c>
      <c r="K21" s="43" t="inlineStr">
        <is>
          <t>SM3100 P410付近</t>
        </is>
      </c>
      <c r="L21" s="43" t="inlineStr">
        <is>
          <t>サーモスLのみ設定</t>
        </is>
      </c>
    </row>
    <row r="22">
      <c r="A22" s="43" t="inlineStr">
        <is>
          <t>SP-SL-KAZARI-HKK</t>
        </is>
      </c>
      <c r="B22" s="43" t="inlineStr">
        <is>
          <t>SER-LIX-SAMOSL</t>
        </is>
      </c>
      <c r="C22" s="43" t="inlineStr">
        <is>
          <t>WT-SL-KAZARI-HIKI</t>
        </is>
      </c>
      <c r="D22" s="43" t="inlineStr">
        <is>
          <t>建具構成</t>
        </is>
      </c>
      <c r="E22" s="43" t="inlineStr">
        <is>
          <t>HKK</t>
        </is>
      </c>
      <c r="F22" s="43" t="inlineStr">
        <is>
          <t>装飾引違い窓 HKK</t>
        </is>
      </c>
      <c r="G22" s="43" t="inlineStr">
        <is>
          <t>KAZ-HKK</t>
        </is>
      </c>
      <c r="H22" s="43" t="b">
        <v>1</v>
      </c>
      <c r="I22" s="43" t="inlineStr">
        <is>
          <t>サーモスL確認済み</t>
        </is>
      </c>
      <c r="J22" s="43" t="n">
        <v>30</v>
      </c>
      <c r="K22" s="43" t="inlineStr">
        <is>
          <t>SM3100 P410付近</t>
        </is>
      </c>
      <c r="L22" s="43" t="inlineStr">
        <is>
          <t>サーモスLのみ設定</t>
        </is>
      </c>
    </row>
    <row r="23">
      <c r="A23" s="43" t="inlineStr">
        <is>
          <t>SP-SL-AGE-GRILLE-V</t>
        </is>
      </c>
      <c r="B23" s="43" t="inlineStr">
        <is>
          <t>SER-LIX-SAMOSL</t>
        </is>
      </c>
      <c r="C23" s="43" t="inlineStr">
        <is>
          <t>WT-SL-MENKOSHI-AGE-FS</t>
        </is>
      </c>
      <c r="D23" s="43" t="inlineStr">
        <is>
          <t>面格子種類</t>
        </is>
      </c>
      <c r="E23" s="43" t="inlineStr">
        <is>
          <t>縦格子</t>
        </is>
      </c>
      <c r="F23" s="43" t="inlineStr">
        <is>
          <t>縦格子</t>
        </is>
      </c>
      <c r="G23" s="43" t="inlineStr">
        <is>
          <t>AGE-GR-V</t>
        </is>
      </c>
      <c r="H23" s="43" t="b">
        <v>1</v>
      </c>
      <c r="I23" s="43" t="inlineStr">
        <is>
          <t>カタログ確認済み</t>
        </is>
      </c>
      <c r="J23" s="43" t="n">
        <v>10</v>
      </c>
      <c r="K23" s="43" t="inlineStr">
        <is>
          <t>202604 サーモスL 完成品価格表 P144-147</t>
        </is>
      </c>
      <c r="L23" s="43" t="inlineStr">
        <is>
          <t>面格子付上げ下げ窓FS専用</t>
        </is>
      </c>
    </row>
    <row r="24">
      <c r="A24" s="43" t="inlineStr">
        <is>
          <t>SP-SL-AGE-GRILLE-H</t>
        </is>
      </c>
      <c r="B24" s="43" t="inlineStr">
        <is>
          <t>SER-LIX-SAMOSL</t>
        </is>
      </c>
      <c r="C24" s="43" t="inlineStr">
        <is>
          <t>WT-SL-MENKOSHI-AGE-FS</t>
        </is>
      </c>
      <c r="D24" s="43" t="inlineStr">
        <is>
          <t>面格子種類</t>
        </is>
      </c>
      <c r="E24" s="43" t="inlineStr">
        <is>
          <t>横格子</t>
        </is>
      </c>
      <c r="F24" s="43" t="inlineStr">
        <is>
          <t>横格子</t>
        </is>
      </c>
      <c r="G24" s="43" t="inlineStr">
        <is>
          <t>AGE-GR-H</t>
        </is>
      </c>
      <c r="H24" s="43" t="b">
        <v>1</v>
      </c>
      <c r="I24" s="43" t="inlineStr">
        <is>
          <t>カタログ確認済み</t>
        </is>
      </c>
      <c r="J24" s="43" t="n">
        <v>20</v>
      </c>
      <c r="K24" s="43" t="inlineStr">
        <is>
          <t>202604 サーモスL 完成品価格表 P144-147</t>
        </is>
      </c>
      <c r="L24" s="43" t="inlineStr">
        <is>
          <t>面格子付上げ下げ窓FS専用</t>
        </is>
      </c>
    </row>
    <row r="25">
      <c r="A25" s="43" t="inlineStr">
        <is>
          <t>SP-SL-AGE-GRILLE-DIA</t>
        </is>
      </c>
      <c r="B25" s="43" t="inlineStr">
        <is>
          <t>SER-LIX-SAMOSL</t>
        </is>
      </c>
      <c r="C25" s="43" t="inlineStr">
        <is>
          <t>WT-SL-MENKOSHI-AGE-FS</t>
        </is>
      </c>
      <c r="D25" s="43" t="inlineStr">
        <is>
          <t>面格子種類</t>
        </is>
      </c>
      <c r="E25" s="43" t="inlineStr">
        <is>
          <t>ヒシクロス格子</t>
        </is>
      </c>
      <c r="F25" s="43" t="inlineStr">
        <is>
          <t>ヒシクロス格子</t>
        </is>
      </c>
      <c r="G25" s="43" t="inlineStr">
        <is>
          <t>AGE-GR-DIA</t>
        </is>
      </c>
      <c r="H25" s="43" t="b">
        <v>1</v>
      </c>
      <c r="I25" s="43" t="inlineStr">
        <is>
          <t>カタログ確認済み</t>
        </is>
      </c>
      <c r="J25" s="43" t="n">
        <v>30</v>
      </c>
      <c r="K25" s="43" t="inlineStr">
        <is>
          <t>202604 サーモスL 完成品価格表 P144-147</t>
        </is>
      </c>
      <c r="L25" s="43" t="inlineStr">
        <is>
          <t>面格子付上げ下げ窓FS専用</t>
        </is>
      </c>
    </row>
    <row r="26">
      <c r="A26" s="43" t="inlineStr">
        <is>
          <t>SP-SL-AGE-GRILLE-IGETA</t>
        </is>
      </c>
      <c r="B26" s="43" t="inlineStr">
        <is>
          <t>SER-LIX-SAMOSL</t>
        </is>
      </c>
      <c r="C26" s="43" t="inlineStr">
        <is>
          <t>WT-SL-MENKOSHI-AGE-FS</t>
        </is>
      </c>
      <c r="D26" s="43" t="inlineStr">
        <is>
          <t>面格子種類</t>
        </is>
      </c>
      <c r="E26" s="43" t="inlineStr">
        <is>
          <t>井桁格子</t>
        </is>
      </c>
      <c r="F26" s="43" t="inlineStr">
        <is>
          <t>井桁格子</t>
        </is>
      </c>
      <c r="G26" s="43" t="inlineStr">
        <is>
          <t>AGE-GR-IGETA</t>
        </is>
      </c>
      <c r="H26" s="43" t="b">
        <v>1</v>
      </c>
      <c r="I26" s="43" t="inlineStr">
        <is>
          <t>カタログ確認済み</t>
        </is>
      </c>
      <c r="J26" s="43" t="n">
        <v>40</v>
      </c>
      <c r="K26" s="43" t="inlineStr">
        <is>
          <t>202604 サーモスL 完成品価格表 P144-147</t>
        </is>
      </c>
      <c r="L26" s="43" t="inlineStr">
        <is>
          <t>面格子付上げ下げ窓FS専用</t>
        </is>
      </c>
    </row>
    <row r="27">
      <c r="A27" s="43" t="inlineStr">
        <is>
          <t>SP-SL-TATE-OP-T</t>
        </is>
      </c>
      <c r="B27" s="43" t="inlineStr">
        <is>
          <t>SER-LIX-SAMOSL</t>
        </is>
      </c>
      <c r="C27" s="43" t="inlineStr">
        <is>
          <t>WT-SL-TATE-SUBERI</t>
        </is>
      </c>
      <c r="D27" s="43" t="inlineStr">
        <is>
          <t>ハンドル×構成タイプ</t>
        </is>
      </c>
      <c r="E27" s="43" t="inlineStr">
        <is>
          <t>オペレーター｜T</t>
        </is>
      </c>
      <c r="F27" s="43" t="inlineStr">
        <is>
          <t>縦すべり出し窓 T（オペレーター）</t>
        </is>
      </c>
      <c r="G27" s="43" t="inlineStr">
        <is>
          <t>TATE-OP-T</t>
        </is>
      </c>
      <c r="H27" s="43" t="b">
        <v>1</v>
      </c>
      <c r="I27" s="43" t="inlineStr">
        <is>
          <t>2026現行確認済み</t>
        </is>
      </c>
      <c r="J27" s="43" t="n">
        <v>10</v>
      </c>
      <c r="K27" s="43" t="inlineStr">
        <is>
          <t>202604完成品価格表 P114-117</t>
        </is>
      </c>
      <c r="L27" s="43" t="str"/>
    </row>
    <row r="28">
      <c r="A28" s="43" t="inlineStr">
        <is>
          <t>SP-SL-TATE-OP-TF-OUT</t>
        </is>
      </c>
      <c r="B28" s="43" t="inlineStr">
        <is>
          <t>SER-LIX-SAMOSL</t>
        </is>
      </c>
      <c r="C28" s="43" t="inlineStr">
        <is>
          <t>WT-SL-TATE-SUBERI</t>
        </is>
      </c>
      <c r="D28" s="43" t="inlineStr">
        <is>
          <t>ハンドル×構成タイプ</t>
        </is>
      </c>
      <c r="E28" s="43" t="inlineStr">
        <is>
          <t>オペレーター｜TF｜FIX外押縁</t>
        </is>
      </c>
      <c r="F28" s="43" t="inlineStr">
        <is>
          <t>縦すべり出し窓 TF（オペレーター）（FIX部 外押縁タイプ）</t>
        </is>
      </c>
      <c r="G28" s="43" t="inlineStr">
        <is>
          <t>TATE-OP-TF-OUT</t>
        </is>
      </c>
      <c r="H28" s="43" t="b">
        <v>1</v>
      </c>
      <c r="I28" s="43" t="inlineStr">
        <is>
          <t>2026現行確認済み</t>
        </is>
      </c>
      <c r="J28" s="43" t="n">
        <v>20</v>
      </c>
      <c r="K28" s="43" t="inlineStr">
        <is>
          <t>P118</t>
        </is>
      </c>
      <c r="L28" s="43" t="str"/>
    </row>
    <row r="29">
      <c r="A29" s="43" t="inlineStr">
        <is>
          <t>SP-SL-TATE-OP-TFT-OUT</t>
        </is>
      </c>
      <c r="B29" s="43" t="inlineStr">
        <is>
          <t>SER-LIX-SAMOSL</t>
        </is>
      </c>
      <c r="C29" s="43" t="inlineStr">
        <is>
          <t>WT-SL-TATE-SUBERI</t>
        </is>
      </c>
      <c r="D29" s="43" t="inlineStr">
        <is>
          <t>ハンドル×構成タイプ</t>
        </is>
      </c>
      <c r="E29" s="43" t="inlineStr">
        <is>
          <t>オペレーター｜TFT｜FIX外押縁</t>
        </is>
      </c>
      <c r="F29" s="43" t="inlineStr">
        <is>
          <t>縦すべり出し窓 TFT（オペレーター）（FIX部 外押縁タイプ）</t>
        </is>
      </c>
      <c r="G29" s="43" t="inlineStr">
        <is>
          <t>TATE-OP-TFT-OUT</t>
        </is>
      </c>
      <c r="H29" s="43" t="b">
        <v>1</v>
      </c>
      <c r="I29" s="43" t="inlineStr">
        <is>
          <t>2026現行確認済み</t>
        </is>
      </c>
      <c r="J29" s="43" t="n">
        <v>30</v>
      </c>
      <c r="K29" s="43" t="inlineStr">
        <is>
          <t>P119</t>
        </is>
      </c>
      <c r="L29" s="43" t="str"/>
    </row>
    <row r="30">
      <c r="A30" s="43" t="inlineStr">
        <is>
          <t>SP-SL-TATE-OP-TF-IN</t>
        </is>
      </c>
      <c r="B30" s="43" t="inlineStr">
        <is>
          <t>SER-LIX-SAMOSL</t>
        </is>
      </c>
      <c r="C30" s="43" t="inlineStr">
        <is>
          <t>WT-SL-TATE-SUBERI</t>
        </is>
      </c>
      <c r="D30" s="43" t="inlineStr">
        <is>
          <t>ハンドル×構成タイプ</t>
        </is>
      </c>
      <c r="E30" s="43" t="inlineStr">
        <is>
          <t>オペレーター｜TF｜FIX内押縁</t>
        </is>
      </c>
      <c r="F30" s="43" t="inlineStr">
        <is>
          <t>縦すべり出し窓 TF（オペレーター）（FIX部 内押縁タイプ）</t>
        </is>
      </c>
      <c r="G30" s="43" t="inlineStr">
        <is>
          <t>TATE-OP-TF-IN</t>
        </is>
      </c>
      <c r="H30" s="43" t="b">
        <v>1</v>
      </c>
      <c r="I30" s="43" t="inlineStr">
        <is>
          <t>2026現行確認済み</t>
        </is>
      </c>
      <c r="J30" s="43" t="n">
        <v>40</v>
      </c>
      <c r="K30" s="43" t="inlineStr">
        <is>
          <t>P120</t>
        </is>
      </c>
      <c r="L30" s="43" t="str"/>
    </row>
    <row r="31">
      <c r="A31" s="43" t="inlineStr">
        <is>
          <t>SP-SL-TATE-OP-TFT-IN</t>
        </is>
      </c>
      <c r="B31" s="43" t="inlineStr">
        <is>
          <t>SER-LIX-SAMOSL</t>
        </is>
      </c>
      <c r="C31" s="43" t="inlineStr">
        <is>
          <t>WT-SL-TATE-SUBERI</t>
        </is>
      </c>
      <c r="D31" s="43" t="inlineStr">
        <is>
          <t>ハンドル×構成タイプ</t>
        </is>
      </c>
      <c r="E31" s="43" t="inlineStr">
        <is>
          <t>オペレーター｜TFT｜FIX内押縁</t>
        </is>
      </c>
      <c r="F31" s="43" t="inlineStr">
        <is>
          <t>縦すべり出し窓 TFT（オペレーター）（FIX部 内押縁タイプ）</t>
        </is>
      </c>
      <c r="G31" s="43" t="inlineStr">
        <is>
          <t>TATE-OP-TFT-IN</t>
        </is>
      </c>
      <c r="H31" s="43" t="b">
        <v>1</v>
      </c>
      <c r="I31" s="43" t="inlineStr">
        <is>
          <t>2026現行確認済み</t>
        </is>
      </c>
      <c r="J31" s="43" t="n">
        <v>50</v>
      </c>
      <c r="K31" s="43" t="inlineStr">
        <is>
          <t>P121</t>
        </is>
      </c>
      <c r="L31" s="43" t="str"/>
    </row>
    <row r="32">
      <c r="A32" s="43" t="inlineStr">
        <is>
          <t>SP-SL-TATE-CAM-T</t>
        </is>
      </c>
      <c r="B32" s="43" t="inlineStr">
        <is>
          <t>SER-LIX-SAMOSL</t>
        </is>
      </c>
      <c r="C32" s="43" t="inlineStr">
        <is>
          <t>WT-SL-TATE-SUBERI</t>
        </is>
      </c>
      <c r="D32" s="43" t="inlineStr">
        <is>
          <t>ハンドル×構成タイプ</t>
        </is>
      </c>
      <c r="E32" s="43" t="inlineStr">
        <is>
          <t>カムラッチ｜T</t>
        </is>
      </c>
      <c r="F32" s="43" t="inlineStr">
        <is>
          <t>縦すべり出し窓 T（カムラッチ）</t>
        </is>
      </c>
      <c r="G32" s="43" t="inlineStr">
        <is>
          <t>TATE-CAM-T</t>
        </is>
      </c>
      <c r="H32" s="43" t="b">
        <v>1</v>
      </c>
      <c r="I32" s="43" t="inlineStr">
        <is>
          <t>2026現行確認済み</t>
        </is>
      </c>
      <c r="J32" s="43" t="n">
        <v>60</v>
      </c>
      <c r="K32" s="43" t="inlineStr">
        <is>
          <t>P122-125</t>
        </is>
      </c>
      <c r="L32" s="43" t="str"/>
    </row>
    <row r="33">
      <c r="A33" s="43" t="inlineStr">
        <is>
          <t>SP-SL-TATE-CAM-TF-OUT</t>
        </is>
      </c>
      <c r="B33" s="43" t="inlineStr">
        <is>
          <t>SER-LIX-SAMOSL</t>
        </is>
      </c>
      <c r="C33" s="43" t="inlineStr">
        <is>
          <t>WT-SL-TATE-SUBERI</t>
        </is>
      </c>
      <c r="D33" s="43" t="inlineStr">
        <is>
          <t>ハンドル×構成タイプ</t>
        </is>
      </c>
      <c r="E33" s="43" t="inlineStr">
        <is>
          <t>カムラッチ｜TF｜FIX外押縁</t>
        </is>
      </c>
      <c r="F33" s="43" t="inlineStr">
        <is>
          <t>縦すべり出し窓 TF（カムラッチ）（FIX部 外押縁タイプ）</t>
        </is>
      </c>
      <c r="G33" s="43" t="inlineStr">
        <is>
          <t>TATE-CAM-TF-OUT</t>
        </is>
      </c>
      <c r="H33" s="43" t="b">
        <v>1</v>
      </c>
      <c r="I33" s="43" t="inlineStr">
        <is>
          <t>2026現行確認済み</t>
        </is>
      </c>
      <c r="J33" s="43" t="n">
        <v>70</v>
      </c>
      <c r="K33" s="43" t="inlineStr">
        <is>
          <t>P126</t>
        </is>
      </c>
      <c r="L33" s="43" t="str"/>
    </row>
    <row r="34">
      <c r="A34" s="43" t="inlineStr">
        <is>
          <t>SP-SL-TATE-CAM-TFT-OUT</t>
        </is>
      </c>
      <c r="B34" s="43" t="inlineStr">
        <is>
          <t>SER-LIX-SAMOSL</t>
        </is>
      </c>
      <c r="C34" s="43" t="inlineStr">
        <is>
          <t>WT-SL-TATE-SUBERI</t>
        </is>
      </c>
      <c r="D34" s="43" t="inlineStr">
        <is>
          <t>ハンドル×構成タイプ</t>
        </is>
      </c>
      <c r="E34" s="43" t="inlineStr">
        <is>
          <t>カムラッチ｜TFT｜FIX外押縁</t>
        </is>
      </c>
      <c r="F34" s="43" t="inlineStr">
        <is>
          <t>縦すべり出し窓 TFT（カムラッチ）（FIX部 外押縁タイプ）</t>
        </is>
      </c>
      <c r="G34" s="43" t="inlineStr">
        <is>
          <t>TATE-CAM-TFT-OUT</t>
        </is>
      </c>
      <c r="H34" s="43" t="b">
        <v>1</v>
      </c>
      <c r="I34" s="43" t="inlineStr">
        <is>
          <t>2026現行確認済み</t>
        </is>
      </c>
      <c r="J34" s="43" t="n">
        <v>80</v>
      </c>
      <c r="K34" s="43" t="inlineStr">
        <is>
          <t>P127</t>
        </is>
      </c>
      <c r="L34" s="43" t="str"/>
    </row>
    <row r="35">
      <c r="A35" s="43" t="inlineStr">
        <is>
          <t>SP-SL-TATE-CAM-TF-IN</t>
        </is>
      </c>
      <c r="B35" s="43" t="inlineStr">
        <is>
          <t>SER-LIX-SAMOSL</t>
        </is>
      </c>
      <c r="C35" s="43" t="inlineStr">
        <is>
          <t>WT-SL-TATE-SUBERI</t>
        </is>
      </c>
      <c r="D35" s="43" t="inlineStr">
        <is>
          <t>ハンドル×構成タイプ</t>
        </is>
      </c>
      <c r="E35" s="43" t="inlineStr">
        <is>
          <t>カムラッチ｜TF｜FIX内押縁</t>
        </is>
      </c>
      <c r="F35" s="43" t="inlineStr">
        <is>
          <t>縦すべり出し窓 TF（カムラッチ）（FIX部 内押縁タイプ）</t>
        </is>
      </c>
      <c r="G35" s="43" t="inlineStr">
        <is>
          <t>TATE-CAM-TF-IN</t>
        </is>
      </c>
      <c r="H35" s="43" t="b">
        <v>1</v>
      </c>
      <c r="I35" s="43" t="inlineStr">
        <is>
          <t>2026現行確認済み</t>
        </is>
      </c>
      <c r="J35" s="43" t="n">
        <v>90</v>
      </c>
      <c r="K35" s="43" t="inlineStr">
        <is>
          <t>P128</t>
        </is>
      </c>
      <c r="L35" s="43" t="str"/>
    </row>
    <row r="36">
      <c r="A36" s="43" t="inlineStr">
        <is>
          <t>SP-SL-TATE-CAM-TFT-IN</t>
        </is>
      </c>
      <c r="B36" s="43" t="inlineStr">
        <is>
          <t>SER-LIX-SAMOSL</t>
        </is>
      </c>
      <c r="C36" s="43" t="inlineStr">
        <is>
          <t>WT-SL-TATE-SUBERI</t>
        </is>
      </c>
      <c r="D36" s="43" t="inlineStr">
        <is>
          <t>ハンドル×構成タイプ</t>
        </is>
      </c>
      <c r="E36" s="43" t="inlineStr">
        <is>
          <t>カムラッチ｜TFT｜FIX内押縁</t>
        </is>
      </c>
      <c r="F36" s="43" t="inlineStr">
        <is>
          <t>縦すべり出し窓 TFT（カムラッチ）（FIX部 内押縁タイプ）</t>
        </is>
      </c>
      <c r="G36" s="43" t="inlineStr">
        <is>
          <t>TATE-CAM-TFT-IN</t>
        </is>
      </c>
      <c r="H36" s="43" t="b">
        <v>1</v>
      </c>
      <c r="I36" s="43" t="inlineStr">
        <is>
          <t>2026現行確認済み</t>
        </is>
      </c>
      <c r="J36" s="43" t="n">
        <v>100</v>
      </c>
      <c r="K36" s="43" t="inlineStr">
        <is>
          <t>P129</t>
        </is>
      </c>
      <c r="L36" s="43" t="str"/>
    </row>
    <row r="37">
      <c r="A37" s="42" t="inlineStr">
        <is>
          <t>SP-SL-KOSHO-HANDLE</t>
        </is>
      </c>
      <c r="B37" t="inlineStr">
        <is>
          <t>SER-LIX-SAMOSL</t>
        </is>
      </c>
      <c r="C37" t="inlineStr">
        <is>
          <t>WT-SL-KOSHO-YOKO</t>
        </is>
      </c>
      <c r="D37" t="inlineStr">
        <is>
          <t>操作方式</t>
        </is>
      </c>
      <c r="E37" t="inlineStr">
        <is>
          <t>オペレーターハンドル</t>
        </is>
      </c>
      <c r="F37" t="inlineStr">
        <is>
          <t>オペレーター本体（ハンドル用）</t>
        </is>
      </c>
      <c r="G37" t="inlineStr">
        <is>
          <t>KOSHO-HANDLE</t>
        </is>
      </c>
      <c r="H37" t="b">
        <v>1</v>
      </c>
      <c r="I37" t="inlineStr">
        <is>
          <t>2026価格表確認済み</t>
        </is>
      </c>
      <c r="J37" t="n">
        <v>10</v>
      </c>
      <c r="K37" t="inlineStr">
        <is>
          <t>202604完成品価格表 P138-141/P254</t>
        </is>
      </c>
      <c r="L37" t="inlineStr">
        <is>
          <t>サッシH700mm未満は取付不可</t>
        </is>
      </c>
    </row>
    <row r="38">
      <c r="A38" s="42" t="inlineStr">
        <is>
          <t>SP-SL-KOSHO-SINGLE</t>
        </is>
      </c>
      <c r="B38" t="inlineStr">
        <is>
          <t>SER-LIX-SAMOSL</t>
        </is>
      </c>
      <c r="C38" t="inlineStr">
        <is>
          <t>WT-SL-KOSHO-YOKO</t>
        </is>
      </c>
      <c r="D38" t="inlineStr">
        <is>
          <t>操作方式</t>
        </is>
      </c>
      <c r="E38" t="inlineStr">
        <is>
          <t>シングルループチェーン</t>
        </is>
      </c>
      <c r="F38" t="inlineStr">
        <is>
          <t>シングルループチェーン式オペレーター</t>
        </is>
      </c>
      <c r="G38" t="inlineStr">
        <is>
          <t>KOSHO-SINGLE</t>
        </is>
      </c>
      <c r="H38" t="b">
        <v>1</v>
      </c>
      <c r="I38" t="inlineStr">
        <is>
          <t>2026価格表確認済み</t>
        </is>
      </c>
      <c r="J38" t="n">
        <v>20</v>
      </c>
      <c r="K38" t="inlineStr">
        <is>
          <t>P138-141/P254</t>
        </is>
      </c>
      <c r="L38" t="inlineStr">
        <is>
          <t>サッシH700mm未満は取付不可。チェーン長は04B</t>
        </is>
      </c>
    </row>
    <row r="39">
      <c r="A39" s="42" t="inlineStr">
        <is>
          <t>SP-SL-KOSHO-DOUBLE</t>
        </is>
      </c>
      <c r="B39" t="inlineStr">
        <is>
          <t>SER-LIX-SAMOSL</t>
        </is>
      </c>
      <c r="C39" t="inlineStr">
        <is>
          <t>WT-SL-KOSHO-YOKO</t>
        </is>
      </c>
      <c r="D39" t="inlineStr">
        <is>
          <t>操作方式</t>
        </is>
      </c>
      <c r="E39" t="inlineStr">
        <is>
          <t>ダブルループチェーン</t>
        </is>
      </c>
      <c r="F39" t="inlineStr">
        <is>
          <t>ダブルループチェーン式オペレーター</t>
        </is>
      </c>
      <c r="G39" t="inlineStr">
        <is>
          <t>KOSHO-DOUBLE</t>
        </is>
      </c>
      <c r="H39" t="b">
        <v>1</v>
      </c>
      <c r="I39" t="inlineStr">
        <is>
          <t>2026価格表確認済み</t>
        </is>
      </c>
      <c r="J39" t="n">
        <v>30</v>
      </c>
      <c r="K39" t="inlineStr">
        <is>
          <t>P138-141/P254</t>
        </is>
      </c>
      <c r="L39" t="inlineStr">
        <is>
          <t>サッシH700mm未満は取付不可。チェーン長は04B</t>
        </is>
      </c>
    </row>
    <row r="40">
      <c r="A40" s="42" t="inlineStr">
        <is>
          <t>SP-SL-KOSHO-ELECTRIC</t>
        </is>
      </c>
      <c r="B40" t="inlineStr">
        <is>
          <t>SER-LIX-SAMOSL</t>
        </is>
      </c>
      <c r="C40" t="inlineStr">
        <is>
          <t>WT-SL-KOSHO-YOKO</t>
        </is>
      </c>
      <c r="D40" t="inlineStr">
        <is>
          <t>操作方式</t>
        </is>
      </c>
      <c r="E40" t="inlineStr">
        <is>
          <t>電動ユニット</t>
        </is>
      </c>
      <c r="F40" t="inlineStr">
        <is>
          <t>電動ユニット本体（単機能リモコン同梱）</t>
        </is>
      </c>
      <c r="G40" t="inlineStr">
        <is>
          <t>KOSHO-ELECTRIC</t>
        </is>
      </c>
      <c r="H40" t="b">
        <v>1</v>
      </c>
      <c r="I40" t="inlineStr">
        <is>
          <t>2026価格表確認済み</t>
        </is>
      </c>
      <c r="J40" t="n">
        <v>40</v>
      </c>
      <c r="K40" t="inlineStr">
        <is>
          <t>P138-141/P254</t>
        </is>
      </c>
      <c r="L40" t="inlineStr">
        <is>
          <t>浴室など高温・多湿は使用不可</t>
        </is>
      </c>
    </row>
    <row r="41">
      <c r="A41" s="42" t="inlineStr">
        <is>
          <t>SP-SL-OUTWARD-E</t>
        </is>
      </c>
      <c r="B41" t="inlineStr">
        <is>
          <t>SER-LIX-SAMOSL</t>
        </is>
      </c>
      <c r="C41" t="inlineStr">
        <is>
          <t>WT-SL-SOTODAOSHI</t>
        </is>
      </c>
      <c r="D41" t="inlineStr">
        <is>
          <t>構成タイプ</t>
        </is>
      </c>
      <c r="E41" t="inlineStr">
        <is>
          <t>E｜単窓タイプ</t>
        </is>
      </c>
      <c r="F41" t="inlineStr">
        <is>
          <t>外倒し窓 E（単窓タイプ）</t>
        </is>
      </c>
      <c r="G41" t="inlineStr">
        <is>
          <t>OUT-E</t>
        </is>
      </c>
      <c r="H41" t="b">
        <v>1</v>
      </c>
      <c r="I41" t="inlineStr">
        <is>
          <t>2026現行確認済み</t>
        </is>
      </c>
      <c r="J41" t="n">
        <v>10</v>
      </c>
      <c r="K41" t="inlineStr">
        <is>
          <t>サーモスⅡ-H/L 商品カタログ P224</t>
        </is>
      </c>
      <c r="L41" t="inlineStr">
        <is>
          <t>特注60°。75°は06C特別条件</t>
        </is>
      </c>
    </row>
    <row r="42">
      <c r="A42" s="42" t="inlineStr">
        <is>
          <t>SP-SL-OUTWARD-EE</t>
        </is>
      </c>
      <c r="B42" t="inlineStr">
        <is>
          <t>SER-LIX-SAMOSL</t>
        </is>
      </c>
      <c r="C42" t="inlineStr">
        <is>
          <t>WT-SL-SOTODAOSHI</t>
        </is>
      </c>
      <c r="D42" t="inlineStr">
        <is>
          <t>構成タイプ</t>
        </is>
      </c>
      <c r="E42" t="inlineStr">
        <is>
          <t>EE｜連窓タイプ</t>
        </is>
      </c>
      <c r="F42" t="inlineStr">
        <is>
          <t>外倒し窓 EE（連窓タイプ）</t>
        </is>
      </c>
      <c r="G42" t="inlineStr">
        <is>
          <t>OUT-EE</t>
        </is>
      </c>
      <c r="H42" t="b">
        <v>1</v>
      </c>
      <c r="I42" t="inlineStr">
        <is>
          <t>2026現行確認済み</t>
        </is>
      </c>
      <c r="J42" t="n">
        <v>20</v>
      </c>
      <c r="K42" t="inlineStr">
        <is>
          <t>商品カタログ P224</t>
        </is>
      </c>
      <c r="L42" t="inlineStr">
        <is>
          <t>単窓換算W=(開口W-15)/2で判定</t>
        </is>
      </c>
    </row>
    <row r="43">
      <c r="A43" s="42" t="inlineStr">
        <is>
          <t>SP-SL-KD-WAIST</t>
        </is>
      </c>
      <c r="B43" t="inlineStr">
        <is>
          <t>SER-LIX-SAMOSL</t>
        </is>
      </c>
      <c r="C43" t="inlineStr">
        <is>
          <t>WT-SL-KATTEGUCHI</t>
        </is>
      </c>
      <c r="D43" t="inlineStr">
        <is>
          <t>ドアタイプ</t>
        </is>
      </c>
      <c r="E43" t="inlineStr">
        <is>
          <t>中桟腰パネル付</t>
        </is>
      </c>
      <c r="F43" t="inlineStr">
        <is>
          <t>勝手口ドア（中桟腰パネル付）</t>
        </is>
      </c>
      <c r="G43" t="inlineStr">
        <is>
          <t>KD-WAIST</t>
        </is>
      </c>
      <c r="H43" t="b">
        <v>1</v>
      </c>
      <c r="I43" t="inlineStr">
        <is>
          <t>2026現行確認済み</t>
        </is>
      </c>
      <c r="J43" t="n">
        <v>10</v>
      </c>
      <c r="K43" t="inlineStr">
        <is>
          <t>202604完成品価格表/商品カタログ</t>
        </is>
      </c>
      <c r="L43" t="inlineStr">
        <is>
          <t>KD1。サイズは窓種共通</t>
        </is>
      </c>
    </row>
    <row r="44">
      <c r="A44" s="42" t="inlineStr">
        <is>
          <t>SP-SL-KD-FULLGLASS</t>
        </is>
      </c>
      <c r="B44" t="inlineStr">
        <is>
          <t>SER-LIX-SAMOSL</t>
        </is>
      </c>
      <c r="C44" t="inlineStr">
        <is>
          <t>WT-SL-KATTEGUCHI</t>
        </is>
      </c>
      <c r="D44" t="inlineStr">
        <is>
          <t>ドアタイプ</t>
        </is>
      </c>
      <c r="E44" t="inlineStr">
        <is>
          <t>全面ガラス</t>
        </is>
      </c>
      <c r="F44" t="inlineStr">
        <is>
          <t>勝手口ドア（全面ガラスタイプ）</t>
        </is>
      </c>
      <c r="G44" t="inlineStr">
        <is>
          <t>KD-FULL</t>
        </is>
      </c>
      <c r="H44" t="b">
        <v>1</v>
      </c>
      <c r="I44" t="inlineStr">
        <is>
          <t>2026現行確認済み</t>
        </is>
      </c>
      <c r="J44" t="n">
        <v>20</v>
      </c>
      <c r="K44" t="inlineStr">
        <is>
          <t>202604完成品価格表/商品カタログ</t>
        </is>
      </c>
      <c r="L44" t="inlineStr">
        <is>
          <t>KD1。サイズは窓種共通</t>
        </is>
      </c>
    </row>
    <row r="45">
      <c r="A45" s="42" t="inlineStr">
        <is>
          <t>SP-SL-KSF-GRILLE-V</t>
        </is>
      </c>
      <c r="B45" t="inlineStr">
        <is>
          <t>SER-LIX-SAMOSL</t>
        </is>
      </c>
      <c r="C45" t="inlineStr">
        <is>
          <t>WT-SL-KATTEGUCHI-VENT-FS</t>
        </is>
      </c>
      <c r="D45" t="inlineStr">
        <is>
          <t>網付格子種類</t>
        </is>
      </c>
      <c r="E45" t="inlineStr">
        <is>
          <t>縦格子</t>
        </is>
      </c>
      <c r="F45" t="inlineStr">
        <is>
          <t>縦格子</t>
        </is>
      </c>
      <c r="G45" t="inlineStr">
        <is>
          <t>KSF-GR-V</t>
        </is>
      </c>
      <c r="H45" t="b">
        <v>1</v>
      </c>
      <c r="I45" t="inlineStr">
        <is>
          <t>2026完成品価格表確認済み</t>
        </is>
      </c>
      <c r="J45" t="n">
        <v>10</v>
      </c>
      <c r="K45" t="inlineStr">
        <is>
          <t>202604完成品価格表 P214-218</t>
        </is>
      </c>
      <c r="L45" t="inlineStr">
        <is>
          <t>採風勝手口ドアFS専用</t>
        </is>
      </c>
    </row>
    <row r="46">
      <c r="A46" s="42" t="inlineStr">
        <is>
          <t>SP-SL-KSF-GRILLE-H</t>
        </is>
      </c>
      <c r="B46" t="inlineStr">
        <is>
          <t>SER-LIX-SAMOSL</t>
        </is>
      </c>
      <c r="C46" t="inlineStr">
        <is>
          <t>WT-SL-KATTEGUCHI-VENT-FS</t>
        </is>
      </c>
      <c r="D46" t="inlineStr">
        <is>
          <t>網付格子種類</t>
        </is>
      </c>
      <c r="E46" t="inlineStr">
        <is>
          <t>横格子</t>
        </is>
      </c>
      <c r="F46" t="inlineStr">
        <is>
          <t>横格子</t>
        </is>
      </c>
      <c r="G46" t="inlineStr">
        <is>
          <t>KSF-GR-H</t>
        </is>
      </c>
      <c r="H46" t="b">
        <v>1</v>
      </c>
      <c r="I46" t="inlineStr">
        <is>
          <t>2026完成品価格表確認済み</t>
        </is>
      </c>
      <c r="J46" t="n">
        <v>20</v>
      </c>
      <c r="K46" t="inlineStr">
        <is>
          <t>202604完成品価格表 P214-218</t>
        </is>
      </c>
      <c r="L46" t="inlineStr">
        <is>
          <t>採風勝手口ドアFS専用</t>
        </is>
      </c>
    </row>
    <row r="47">
      <c r="A47" s="42" t="inlineStr">
        <is>
          <t>SP-SL-KSF-GRILLE-DH</t>
        </is>
      </c>
      <c r="B47" t="inlineStr">
        <is>
          <t>SER-LIX-SAMOSL</t>
        </is>
      </c>
      <c r="C47" t="inlineStr">
        <is>
          <t>WT-SL-KATTEGUCHI-VENT-FS</t>
        </is>
      </c>
      <c r="D47" t="inlineStr">
        <is>
          <t>網付格子種類</t>
        </is>
      </c>
      <c r="E47" t="inlineStr">
        <is>
          <t>デザイン横格子</t>
        </is>
      </c>
      <c r="F47" t="inlineStr">
        <is>
          <t>デザイン横格子</t>
        </is>
      </c>
      <c r="G47" t="inlineStr">
        <is>
          <t>KSF-GR-DH</t>
        </is>
      </c>
      <c r="H47" t="b">
        <v>1</v>
      </c>
      <c r="I47" t="inlineStr">
        <is>
          <t>2026完成品価格表確認済み</t>
        </is>
      </c>
      <c r="J47" t="n">
        <v>30</v>
      </c>
      <c r="K47" t="inlineStr">
        <is>
          <t>202604完成品価格表 P214-218</t>
        </is>
      </c>
      <c r="L47" t="inlineStr">
        <is>
          <t>採風勝手口ドアFS専用</t>
        </is>
      </c>
    </row>
    <row r="48">
      <c r="A48" s="42" t="inlineStr">
        <is>
          <t>SP-SL-KSF-GRILLE-DIA</t>
        </is>
      </c>
      <c r="B48" t="inlineStr">
        <is>
          <t>SER-LIX-SAMOSL</t>
        </is>
      </c>
      <c r="C48" t="inlineStr">
        <is>
          <t>WT-SL-KATTEGUCHI-VENT-FS</t>
        </is>
      </c>
      <c r="D48" t="inlineStr">
        <is>
          <t>網付格子種類</t>
        </is>
      </c>
      <c r="E48" t="inlineStr">
        <is>
          <t>ヒシクロス格子</t>
        </is>
      </c>
      <c r="F48" t="inlineStr">
        <is>
          <t>ヒシクロス格子</t>
        </is>
      </c>
      <c r="G48" t="inlineStr">
        <is>
          <t>KSF-GR-DIA</t>
        </is>
      </c>
      <c r="H48" t="b">
        <v>1</v>
      </c>
      <c r="I48" t="inlineStr">
        <is>
          <t>2026完成品価格表確認済み</t>
        </is>
      </c>
      <c r="J48" t="n">
        <v>40</v>
      </c>
      <c r="K48" t="inlineStr">
        <is>
          <t>202604完成品価格表 P214-218</t>
        </is>
      </c>
      <c r="L48" t="inlineStr">
        <is>
          <t>採風勝手口ドアFS専用</t>
        </is>
      </c>
    </row>
    <row r="49">
      <c r="A49" s="42" t="inlineStr">
        <is>
          <t>SP-SL-KSF-GRILLE-IGETA</t>
        </is>
      </c>
      <c r="B49" t="inlineStr">
        <is>
          <t>SER-LIX-SAMOSL</t>
        </is>
      </c>
      <c r="C49" t="inlineStr">
        <is>
          <t>WT-SL-KATTEGUCHI-VENT-FS</t>
        </is>
      </c>
      <c r="D49" t="inlineStr">
        <is>
          <t>網付格子種類</t>
        </is>
      </c>
      <c r="E49" t="inlineStr">
        <is>
          <t>井桁格子</t>
        </is>
      </c>
      <c r="F49" t="inlineStr">
        <is>
          <t>井桁格子</t>
        </is>
      </c>
      <c r="G49" t="inlineStr">
        <is>
          <t>KSF-GR-IGETA</t>
        </is>
      </c>
      <c r="H49" t="b">
        <v>1</v>
      </c>
      <c r="I49" t="inlineStr">
        <is>
          <t>2026完成品価格表確認済み</t>
        </is>
      </c>
      <c r="J49" t="n">
        <v>50</v>
      </c>
      <c r="K49" t="inlineStr">
        <is>
          <t>202604完成品価格表 P214-218</t>
        </is>
      </c>
      <c r="L49" t="inlineStr">
        <is>
          <t>採風勝手口ドアFS専用</t>
        </is>
      </c>
    </row>
    <row r="50">
      <c r="A50" s="42" t="inlineStr">
        <is>
          <t>SP-SL-KSF-GRILLE-NONE</t>
        </is>
      </c>
      <c r="B50" t="inlineStr">
        <is>
          <t>SER-LIX-SAMOSL</t>
        </is>
      </c>
      <c r="C50" t="inlineStr">
        <is>
          <t>WT-SL-KATTEGUCHI-VENT-FS</t>
        </is>
      </c>
      <c r="D50" t="inlineStr">
        <is>
          <t>網付格子種類</t>
        </is>
      </c>
      <c r="E50" t="inlineStr">
        <is>
          <t>格子なし</t>
        </is>
      </c>
      <c r="F50" t="inlineStr">
        <is>
          <t>格子なし（無地）</t>
        </is>
      </c>
      <c r="G50" t="inlineStr">
        <is>
          <t>KSF-GR-NONE</t>
        </is>
      </c>
      <c r="H50" t="b">
        <v>1</v>
      </c>
      <c r="I50" t="inlineStr">
        <is>
          <t>2026完成品価格表確認済み</t>
        </is>
      </c>
      <c r="J50" t="n">
        <v>60</v>
      </c>
      <c r="K50" t="inlineStr">
        <is>
          <t>202604完成品価格表 P214-218</t>
        </is>
      </c>
      <c r="L50" t="inlineStr">
        <is>
          <t>採風勝手口ドアFS専用</t>
        </is>
      </c>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row r="201">
      <c r="A201" s="42" t="n"/>
    </row>
    <row r="202">
      <c r="A202" s="42" t="n"/>
    </row>
    <row r="203">
      <c r="A203" s="42" t="n"/>
    </row>
    <row r="204">
      <c r="A204" s="42" t="n"/>
    </row>
    <row r="205">
      <c r="A205" s="42" t="n"/>
    </row>
    <row r="206">
      <c r="A206" s="42" t="n"/>
    </row>
    <row r="207">
      <c r="A207" s="42" t="n"/>
    </row>
    <row r="208">
      <c r="A208" s="42" t="n"/>
    </row>
    <row r="209">
      <c r="A209" s="42" t="n"/>
    </row>
    <row r="210">
      <c r="A210" s="42" t="n"/>
    </row>
    <row r="211">
      <c r="A211" s="42" t="n"/>
    </row>
    <row r="212">
      <c r="A212" s="42" t="n"/>
    </row>
    <row r="213">
      <c r="A213" s="42" t="n"/>
    </row>
    <row r="214">
      <c r="A214" s="42" t="n"/>
    </row>
    <row r="215">
      <c r="A215" s="42" t="n"/>
    </row>
    <row r="216">
      <c r="A216" s="42" t="n"/>
    </row>
    <row r="217">
      <c r="A217" s="42" t="n"/>
    </row>
    <row r="218">
      <c r="A218" s="42" t="n"/>
    </row>
    <row r="219">
      <c r="A219" s="42" t="n"/>
    </row>
    <row r="220">
      <c r="A220" s="42" t="n"/>
    </row>
    <row r="221">
      <c r="A221" s="42" t="n"/>
    </row>
    <row r="222">
      <c r="A222" s="42" t="n"/>
    </row>
    <row r="223">
      <c r="A223" s="42" t="n"/>
    </row>
    <row r="224">
      <c r="A224" s="42" t="n"/>
    </row>
    <row r="225">
      <c r="A225" s="42" t="n"/>
    </row>
    <row r="226">
      <c r="A226" s="42" t="n"/>
    </row>
    <row r="227">
      <c r="A227" s="42" t="n"/>
    </row>
    <row r="228">
      <c r="A228" s="42" t="n"/>
    </row>
    <row r="229">
      <c r="A229" s="42" t="n"/>
    </row>
    <row r="230">
      <c r="A230" s="42" t="n"/>
    </row>
    <row r="231">
      <c r="A231" s="42" t="n"/>
    </row>
    <row r="232">
      <c r="A232" s="42" t="n"/>
    </row>
    <row r="233">
      <c r="A233" s="42" t="n"/>
    </row>
    <row r="234">
      <c r="A234" s="42" t="n"/>
    </row>
    <row r="235">
      <c r="A235" s="42" t="n"/>
    </row>
    <row r="236">
      <c r="A236" s="42" t="n"/>
    </row>
    <row r="237">
      <c r="A237" s="42" t="n"/>
    </row>
    <row r="238">
      <c r="A238" s="42" t="n"/>
    </row>
    <row r="239">
      <c r="A239" s="42" t="n"/>
    </row>
    <row r="240">
      <c r="A240" s="42" t="n"/>
    </row>
    <row r="241">
      <c r="A241" s="42" t="n"/>
    </row>
    <row r="242">
      <c r="A242" s="42" t="n"/>
    </row>
    <row r="243">
      <c r="A243" s="42" t="n"/>
    </row>
    <row r="244">
      <c r="A244" s="42" t="n"/>
    </row>
    <row r="245">
      <c r="A245" s="42" t="n"/>
    </row>
    <row r="246">
      <c r="A246" s="42" t="n"/>
    </row>
    <row r="247">
      <c r="A247" s="42" t="n"/>
    </row>
    <row r="248">
      <c r="A248" s="42" t="n"/>
    </row>
    <row r="249">
      <c r="A249" s="42" t="n"/>
    </row>
    <row r="250">
      <c r="A250" s="42" t="n"/>
    </row>
    <row r="251">
      <c r="A251" s="42" t="n"/>
    </row>
    <row r="252">
      <c r="A252" s="42" t="n"/>
    </row>
    <row r="253">
      <c r="A253" s="42" t="n"/>
    </row>
    <row r="254">
      <c r="A254" s="42" t="n"/>
    </row>
    <row r="255">
      <c r="A255" s="42" t="n"/>
    </row>
    <row r="256">
      <c r="A256" s="42" t="n"/>
    </row>
    <row r="257">
      <c r="A257" s="42" t="n"/>
    </row>
    <row r="258">
      <c r="A258" s="42" t="n"/>
    </row>
    <row r="259">
      <c r="A259" s="42" t="n"/>
    </row>
    <row r="260">
      <c r="A260" s="42" t="n"/>
    </row>
    <row r="261">
      <c r="A261" s="42" t="n"/>
    </row>
    <row r="262">
      <c r="A262" s="42" t="n"/>
    </row>
    <row r="263">
      <c r="A263" s="42" t="n"/>
    </row>
    <row r="264">
      <c r="A264" s="42" t="n"/>
    </row>
    <row r="265">
      <c r="A265" s="42" t="n"/>
    </row>
    <row r="266">
      <c r="A266" s="42" t="n"/>
    </row>
    <row r="267">
      <c r="A267" s="42" t="n"/>
    </row>
    <row r="268">
      <c r="A268" s="42" t="n"/>
    </row>
    <row r="269">
      <c r="A269" s="42" t="n"/>
    </row>
    <row r="270">
      <c r="A270" s="42" t="n"/>
    </row>
    <row r="271">
      <c r="A271" s="42" t="n"/>
    </row>
    <row r="272">
      <c r="A272" s="42" t="n"/>
    </row>
    <row r="273">
      <c r="A273" s="42" t="n"/>
    </row>
    <row r="274">
      <c r="A274" s="42" t="n"/>
    </row>
    <row r="275">
      <c r="A275" s="42" t="n"/>
    </row>
    <row r="276">
      <c r="A276" s="42" t="n"/>
    </row>
    <row r="277">
      <c r="A277" s="42" t="n"/>
    </row>
    <row r="278">
      <c r="A278" s="42" t="n"/>
    </row>
    <row r="279">
      <c r="A279" s="42" t="n"/>
    </row>
    <row r="280">
      <c r="A280" s="42" t="n"/>
    </row>
    <row r="281">
      <c r="A281" s="42" t="n"/>
    </row>
    <row r="282">
      <c r="A282" s="42" t="n"/>
    </row>
    <row r="283">
      <c r="A283" s="42" t="n"/>
    </row>
    <row r="284">
      <c r="A284" s="42" t="n"/>
    </row>
    <row r="285">
      <c r="A285" s="42" t="n"/>
    </row>
    <row r="286">
      <c r="A286" s="42" t="n"/>
    </row>
    <row r="287">
      <c r="A287" s="42" t="n"/>
    </row>
    <row r="288">
      <c r="A288" s="42" t="n"/>
    </row>
    <row r="289">
      <c r="A289" s="42" t="n"/>
    </row>
    <row r="290">
      <c r="A290" s="42" t="n"/>
    </row>
    <row r="291">
      <c r="A291" s="42" t="n"/>
    </row>
    <row r="292">
      <c r="A292" s="42" t="n"/>
    </row>
    <row r="293">
      <c r="A293" s="42" t="n"/>
    </row>
    <row r="294">
      <c r="A294" s="42" t="n"/>
    </row>
    <row r="295">
      <c r="A295" s="42" t="n"/>
    </row>
    <row r="296">
      <c r="A296" s="42" t="n"/>
    </row>
    <row r="297">
      <c r="A297" s="42" t="n"/>
    </row>
    <row r="298">
      <c r="A298" s="42" t="n"/>
    </row>
    <row r="299">
      <c r="A299" s="42" t="n"/>
    </row>
    <row r="300">
      <c r="A300" s="42" t="n"/>
    </row>
    <row r="301">
      <c r="A301" s="42" t="n"/>
    </row>
    <row r="302">
      <c r="A302" s="42" t="n"/>
    </row>
    <row r="303">
      <c r="A303" s="42" t="n"/>
    </row>
    <row r="304">
      <c r="A304" s="42" t="n"/>
    </row>
    <row r="305">
      <c r="A305" s="42" t="n"/>
    </row>
    <row r="306">
      <c r="A306" s="42" t="n"/>
    </row>
    <row r="307">
      <c r="A307" s="42" t="n"/>
    </row>
    <row r="308">
      <c r="A308" s="42" t="n"/>
    </row>
    <row r="309">
      <c r="A309" s="42" t="n"/>
    </row>
    <row r="310">
      <c r="A310" s="42" t="n"/>
    </row>
    <row r="311">
      <c r="A311" s="42" t="n"/>
    </row>
    <row r="312">
      <c r="A312" s="42" t="n"/>
    </row>
    <row r="313">
      <c r="A313" s="42" t="n"/>
    </row>
    <row r="314">
      <c r="A314" s="42" t="n"/>
    </row>
    <row r="315">
      <c r="A315" s="42" t="n"/>
    </row>
    <row r="316">
      <c r="A316" s="42" t="n"/>
    </row>
    <row r="317">
      <c r="A317" s="42" t="n"/>
    </row>
    <row r="318">
      <c r="A318" s="42" t="n"/>
    </row>
    <row r="319">
      <c r="A319" s="42" t="n"/>
    </row>
    <row r="320">
      <c r="A320" s="42" t="n"/>
    </row>
    <row r="321">
      <c r="A321" s="42" t="n"/>
    </row>
    <row r="322">
      <c r="A322" s="42" t="n"/>
    </row>
    <row r="323">
      <c r="A323" s="42" t="n"/>
    </row>
    <row r="324">
      <c r="A324" s="42" t="n"/>
    </row>
    <row r="325">
      <c r="A325" s="42" t="n"/>
    </row>
    <row r="326">
      <c r="A326" s="42" t="n"/>
    </row>
    <row r="327">
      <c r="A327" s="42" t="n"/>
    </row>
    <row r="328">
      <c r="A328" s="42" t="n"/>
    </row>
    <row r="329">
      <c r="A329" s="42" t="n"/>
    </row>
    <row r="330">
      <c r="A330" s="42" t="n"/>
    </row>
    <row r="331">
      <c r="A331" s="42" t="n"/>
    </row>
    <row r="332">
      <c r="A332" s="42" t="n"/>
    </row>
    <row r="333">
      <c r="A333" s="42" t="n"/>
    </row>
    <row r="334">
      <c r="A334" s="42" t="n"/>
    </row>
    <row r="335">
      <c r="A335" s="42" t="n"/>
    </row>
    <row r="336">
      <c r="A336" s="42" t="n"/>
    </row>
    <row r="337">
      <c r="A337" s="42" t="n"/>
    </row>
    <row r="338">
      <c r="A338" s="42" t="n"/>
    </row>
    <row r="339">
      <c r="A339" s="42" t="n"/>
    </row>
    <row r="340">
      <c r="A340" s="42" t="n"/>
    </row>
    <row r="341">
      <c r="A341" s="42" t="n"/>
    </row>
    <row r="342">
      <c r="A342" s="42" t="n"/>
    </row>
    <row r="343">
      <c r="A343" s="42" t="n"/>
    </row>
    <row r="344">
      <c r="A344" s="42" t="n"/>
    </row>
    <row r="345">
      <c r="A345" s="42" t="n"/>
    </row>
    <row r="346">
      <c r="A346" s="42" t="n"/>
    </row>
    <row r="347">
      <c r="A347" s="42" t="n"/>
    </row>
    <row r="348">
      <c r="A348" s="42" t="n"/>
    </row>
    <row r="349">
      <c r="A349" s="42" t="n"/>
    </row>
    <row r="350">
      <c r="A350" s="42" t="n"/>
    </row>
    <row r="351">
      <c r="A351" s="42" t="n"/>
    </row>
    <row r="352">
      <c r="A352" s="42" t="n"/>
    </row>
    <row r="353">
      <c r="A353" s="42" t="n"/>
    </row>
    <row r="354">
      <c r="A354" s="42" t="n"/>
    </row>
    <row r="355">
      <c r="A355" s="42" t="n"/>
    </row>
    <row r="356">
      <c r="A356" s="42" t="n"/>
    </row>
    <row r="357">
      <c r="A357" s="42" t="n"/>
    </row>
    <row r="358">
      <c r="A358" s="42" t="n"/>
    </row>
    <row r="359">
      <c r="A359" s="42" t="n"/>
    </row>
    <row r="360">
      <c r="A360" s="42" t="n"/>
    </row>
    <row r="361">
      <c r="A361" s="42" t="n"/>
    </row>
    <row r="362">
      <c r="A362" s="42" t="n"/>
    </row>
    <row r="363">
      <c r="A363" s="42" t="n"/>
    </row>
    <row r="364">
      <c r="A364" s="42" t="n"/>
    </row>
    <row r="365">
      <c r="A365" s="42" t="n"/>
    </row>
    <row r="366">
      <c r="A366" s="42" t="n"/>
    </row>
    <row r="367">
      <c r="A367" s="42" t="n"/>
    </row>
    <row r="368">
      <c r="A368" s="42" t="n"/>
    </row>
    <row r="369">
      <c r="A369" s="42" t="n"/>
    </row>
    <row r="370">
      <c r="A370" s="42" t="n"/>
    </row>
    <row r="371">
      <c r="A371" s="42" t="n"/>
    </row>
    <row r="372">
      <c r="A372" s="42" t="n"/>
    </row>
    <row r="373">
      <c r="A373" s="42" t="n"/>
    </row>
    <row r="374">
      <c r="A374" s="42" t="n"/>
    </row>
    <row r="375">
      <c r="A375" s="42" t="n"/>
    </row>
    <row r="376">
      <c r="A376" s="42" t="n"/>
    </row>
    <row r="377">
      <c r="A377" s="42" t="n"/>
    </row>
    <row r="378">
      <c r="A378" s="42" t="n"/>
    </row>
    <row r="379">
      <c r="A379" s="42" t="n"/>
    </row>
    <row r="380">
      <c r="A380" s="42" t="n"/>
    </row>
    <row r="381">
      <c r="A381" s="42" t="n"/>
    </row>
    <row r="382">
      <c r="A382" s="42" t="n"/>
    </row>
    <row r="383">
      <c r="A383" s="42" t="n"/>
    </row>
    <row r="384">
      <c r="A384" s="42" t="n"/>
    </row>
    <row r="385">
      <c r="A385" s="42" t="n"/>
    </row>
    <row r="386">
      <c r="A386" s="42" t="n"/>
    </row>
    <row r="387">
      <c r="A387" s="42" t="n"/>
    </row>
    <row r="388">
      <c r="A388" s="42" t="n"/>
    </row>
    <row r="389">
      <c r="A389" s="42" t="n"/>
    </row>
    <row r="390">
      <c r="A390" s="42" t="n"/>
    </row>
    <row r="391">
      <c r="A391" s="42" t="n"/>
    </row>
    <row r="392">
      <c r="A392" s="42" t="n"/>
    </row>
    <row r="393">
      <c r="A393" s="42" t="n"/>
    </row>
    <row r="394">
      <c r="A394" s="42" t="n"/>
    </row>
    <row r="395">
      <c r="A395" s="42" t="n"/>
    </row>
    <row r="396">
      <c r="A396" s="42" t="n"/>
    </row>
    <row r="397">
      <c r="A397" s="42" t="n"/>
    </row>
    <row r="398">
      <c r="A398" s="42" t="n"/>
    </row>
    <row r="399">
      <c r="A399" s="42" t="n"/>
    </row>
    <row r="400">
      <c r="A400" s="42" t="n"/>
    </row>
    <row r="401">
      <c r="A401" s="42" t="n"/>
    </row>
    <row r="402">
      <c r="A402" s="42" t="n"/>
    </row>
    <row r="403">
      <c r="A403" s="42" t="n"/>
    </row>
    <row r="404">
      <c r="A404" s="42" t="n"/>
    </row>
    <row r="405">
      <c r="A405" s="42" t="n"/>
    </row>
    <row r="406">
      <c r="A406" s="42" t="n"/>
    </row>
    <row r="407">
      <c r="A407" s="42" t="n"/>
    </row>
    <row r="408">
      <c r="A408" s="42" t="n"/>
    </row>
    <row r="409">
      <c r="A409" s="42" t="n"/>
    </row>
    <row r="410">
      <c r="A410" s="42" t="n"/>
    </row>
    <row r="411">
      <c r="A411" s="42" t="n"/>
    </row>
    <row r="412">
      <c r="A412" s="42" t="n"/>
    </row>
    <row r="413">
      <c r="A413" s="42" t="n"/>
    </row>
    <row r="414">
      <c r="A414" s="42" t="n"/>
    </row>
    <row r="415">
      <c r="A415" s="42" t="n"/>
    </row>
    <row r="416">
      <c r="A416" s="42" t="n"/>
    </row>
    <row r="417">
      <c r="A417" s="42" t="n"/>
    </row>
    <row r="418">
      <c r="A418" s="42" t="n"/>
    </row>
    <row r="419">
      <c r="A419" s="42" t="n"/>
    </row>
    <row r="420">
      <c r="A420" s="42" t="n"/>
    </row>
    <row r="421">
      <c r="A421" s="42" t="n"/>
    </row>
    <row r="422">
      <c r="A422" s="42" t="n"/>
    </row>
    <row r="423">
      <c r="A423" s="42" t="n"/>
    </row>
    <row r="424">
      <c r="A424" s="42" t="n"/>
    </row>
    <row r="425">
      <c r="A425" s="42" t="n"/>
    </row>
    <row r="426">
      <c r="A426" s="42" t="n"/>
    </row>
    <row r="427">
      <c r="A427" s="42" t="n"/>
    </row>
    <row r="428">
      <c r="A428" s="42" t="n"/>
    </row>
    <row r="429">
      <c r="A429" s="42" t="n"/>
    </row>
    <row r="430">
      <c r="A430" s="42" t="n"/>
    </row>
    <row r="431">
      <c r="A431" s="42" t="n"/>
    </row>
    <row r="432">
      <c r="A432" s="42" t="n"/>
    </row>
    <row r="433">
      <c r="A433" s="42" t="n"/>
    </row>
    <row r="434">
      <c r="A434" s="42" t="n"/>
    </row>
    <row r="435">
      <c r="A435" s="42" t="n"/>
    </row>
    <row r="436">
      <c r="A436" s="42" t="n"/>
    </row>
    <row r="437">
      <c r="A437" s="42" t="n"/>
    </row>
    <row r="438">
      <c r="A438" s="42" t="n"/>
    </row>
    <row r="439">
      <c r="A439" s="42" t="n"/>
    </row>
    <row r="440">
      <c r="A440" s="42" t="n"/>
    </row>
    <row r="441">
      <c r="A441" s="42" t="n"/>
    </row>
    <row r="442">
      <c r="A442" s="42" t="n"/>
    </row>
    <row r="443">
      <c r="A443" s="42" t="n"/>
    </row>
    <row r="444">
      <c r="A444" s="42" t="n"/>
    </row>
    <row r="445">
      <c r="A445" s="42" t="n"/>
    </row>
    <row r="446">
      <c r="A446" s="42" t="n"/>
    </row>
    <row r="447">
      <c r="A447" s="42" t="n"/>
    </row>
    <row r="448">
      <c r="A448" s="42" t="n"/>
    </row>
    <row r="449">
      <c r="A449" s="42" t="n"/>
    </row>
    <row r="450">
      <c r="A450" s="42" t="n"/>
    </row>
    <row r="451">
      <c r="A451" s="42" t="n"/>
    </row>
    <row r="452">
      <c r="A452" s="42" t="n"/>
    </row>
    <row r="453">
      <c r="A453" s="42" t="n"/>
    </row>
    <row r="454">
      <c r="A454" s="42" t="n"/>
    </row>
    <row r="455">
      <c r="A455" s="42" t="n"/>
    </row>
    <row r="456">
      <c r="A456" s="42" t="n"/>
    </row>
    <row r="457">
      <c r="A457" s="42" t="n"/>
    </row>
    <row r="458">
      <c r="A458" s="42" t="n"/>
    </row>
    <row r="459">
      <c r="A459" s="42" t="n"/>
    </row>
    <row r="460">
      <c r="A460" s="42" t="n"/>
    </row>
    <row r="461">
      <c r="A461" s="42" t="n"/>
    </row>
    <row r="462">
      <c r="A462" s="42" t="n"/>
    </row>
    <row r="463">
      <c r="A463" s="42" t="n"/>
    </row>
    <row r="464">
      <c r="A464" s="42" t="n"/>
    </row>
    <row r="465">
      <c r="A465" s="42" t="n"/>
    </row>
    <row r="466">
      <c r="A466" s="42" t="n"/>
    </row>
    <row r="467">
      <c r="A467" s="42" t="n"/>
    </row>
    <row r="468">
      <c r="A468" s="42" t="n"/>
    </row>
    <row r="469">
      <c r="A469" s="42" t="n"/>
    </row>
    <row r="470">
      <c r="A470" s="42" t="n"/>
    </row>
    <row r="471">
      <c r="A471" s="42" t="n"/>
    </row>
    <row r="472">
      <c r="A472" s="42" t="n"/>
    </row>
    <row r="473">
      <c r="A473" s="42" t="n"/>
    </row>
    <row r="474">
      <c r="A474" s="42" t="n"/>
    </row>
    <row r="475">
      <c r="A475" s="42" t="n"/>
    </row>
    <row r="476">
      <c r="A476" s="42" t="n"/>
    </row>
    <row r="477">
      <c r="A477" s="42" t="n"/>
    </row>
    <row r="478">
      <c r="A478" s="42" t="n"/>
    </row>
    <row r="479">
      <c r="A479" s="42" t="n"/>
    </row>
    <row r="480">
      <c r="A480" s="42" t="n"/>
    </row>
    <row r="481">
      <c r="A481" s="42" t="n"/>
    </row>
    <row r="482">
      <c r="A482" s="42" t="n"/>
    </row>
    <row r="483">
      <c r="A483" s="42" t="n"/>
    </row>
    <row r="484">
      <c r="A484" s="42" t="n"/>
    </row>
    <row r="485">
      <c r="A485" s="42" t="n"/>
    </row>
    <row r="486">
      <c r="A486" s="42" t="n"/>
    </row>
    <row r="487">
      <c r="A487" s="42" t="n"/>
    </row>
    <row r="488">
      <c r="A488" s="42" t="n"/>
    </row>
    <row r="489">
      <c r="A489" s="42" t="n"/>
    </row>
    <row r="490">
      <c r="A490" s="42" t="n"/>
    </row>
    <row r="491">
      <c r="A491" s="42" t="n"/>
    </row>
    <row r="492">
      <c r="A492" s="42" t="n"/>
    </row>
    <row r="493">
      <c r="A493" s="42" t="n"/>
    </row>
    <row r="494">
      <c r="A494" s="42" t="n"/>
    </row>
    <row r="495">
      <c r="A495" s="42" t="n"/>
    </row>
    <row r="496">
      <c r="A496" s="42" t="n"/>
    </row>
    <row r="497">
      <c r="A497" s="42" t="n"/>
    </row>
    <row r="498">
      <c r="A498" s="42" t="n"/>
    </row>
    <row r="499">
      <c r="A499" s="42" t="n"/>
    </row>
    <row r="500">
      <c r="A500" s="42" t="n"/>
    </row>
    <row r="501">
      <c r="A501" s="42" t="n"/>
    </row>
    <row r="502">
      <c r="A502" s="42" t="n"/>
    </row>
    <row r="503">
      <c r="A503" s="42" t="n"/>
    </row>
    <row r="504">
      <c r="A504" s="42" t="n"/>
    </row>
    <row r="505">
      <c r="A505" s="42" t="n"/>
    </row>
    <row r="506">
      <c r="A506" s="42" t="n"/>
    </row>
    <row r="507">
      <c r="A507" s="42" t="n"/>
    </row>
    <row r="508">
      <c r="A508" s="42" t="n"/>
    </row>
    <row r="509">
      <c r="A509" s="42" t="n"/>
    </row>
    <row r="510">
      <c r="A510" s="42" t="n"/>
    </row>
    <row r="511">
      <c r="A511" s="42" t="n"/>
    </row>
    <row r="512">
      <c r="A512" s="42" t="n"/>
    </row>
    <row r="513">
      <c r="A513" s="42" t="n"/>
    </row>
    <row r="514">
      <c r="A514" s="42" t="n"/>
    </row>
    <row r="515">
      <c r="A515" s="42" t="n"/>
    </row>
    <row r="516">
      <c r="A516" s="42" t="n"/>
    </row>
    <row r="517">
      <c r="A517" s="42" t="n"/>
    </row>
    <row r="518">
      <c r="A518" s="42" t="n"/>
    </row>
    <row r="519">
      <c r="A519" s="42" t="n"/>
    </row>
    <row r="520">
      <c r="A520" s="42" t="n"/>
    </row>
    <row r="521">
      <c r="A521" s="42" t="n"/>
    </row>
    <row r="522">
      <c r="A522" s="42" t="n"/>
    </row>
    <row r="523">
      <c r="A523" s="42" t="n"/>
    </row>
    <row r="524">
      <c r="A524" s="42" t="n"/>
    </row>
    <row r="525">
      <c r="A525" s="42" t="n"/>
    </row>
    <row r="526">
      <c r="A526" s="42" t="n"/>
    </row>
    <row r="527">
      <c r="A527" s="42" t="n"/>
    </row>
    <row r="528">
      <c r="A528" s="42" t="n"/>
    </row>
    <row r="529">
      <c r="A529" s="42" t="n"/>
    </row>
    <row r="530">
      <c r="A530" s="42" t="n"/>
    </row>
    <row r="531">
      <c r="A531" s="42" t="n"/>
    </row>
    <row r="532">
      <c r="A532" s="42" t="n"/>
    </row>
    <row r="533">
      <c r="A533" s="42" t="n"/>
    </row>
    <row r="534">
      <c r="A534" s="42" t="n"/>
    </row>
    <row r="535">
      <c r="A535" s="42" t="n"/>
    </row>
    <row r="536">
      <c r="A536" s="42" t="n"/>
    </row>
    <row r="537">
      <c r="A537" s="42" t="n"/>
    </row>
    <row r="538">
      <c r="A538" s="42" t="n"/>
    </row>
    <row r="539">
      <c r="A539" s="42" t="n"/>
    </row>
    <row r="540">
      <c r="A540" s="42" t="n"/>
    </row>
    <row r="541">
      <c r="A541" s="42" t="n"/>
    </row>
    <row r="542">
      <c r="A542" s="42" t="n"/>
    </row>
    <row r="543">
      <c r="A543" s="42" t="n"/>
    </row>
    <row r="544">
      <c r="A544" s="42" t="n"/>
    </row>
    <row r="545">
      <c r="A545" s="42" t="n"/>
    </row>
    <row r="546">
      <c r="A546" s="42" t="n"/>
    </row>
    <row r="547">
      <c r="A547" s="42" t="n"/>
    </row>
    <row r="548">
      <c r="A548" s="42" t="n"/>
    </row>
    <row r="549">
      <c r="A549" s="42" t="n"/>
    </row>
    <row r="550">
      <c r="A550" s="42" t="n"/>
    </row>
    <row r="551">
      <c r="A551" s="42" t="n"/>
    </row>
    <row r="552">
      <c r="A552" s="42" t="n"/>
    </row>
    <row r="553">
      <c r="A553" s="42" t="n"/>
    </row>
    <row r="554">
      <c r="A554" s="42" t="n"/>
    </row>
    <row r="555">
      <c r="A555" s="42" t="n"/>
    </row>
    <row r="556">
      <c r="A556" s="42" t="n"/>
    </row>
    <row r="557">
      <c r="A557" s="42" t="n"/>
    </row>
    <row r="558">
      <c r="A558" s="42" t="n"/>
    </row>
    <row r="559">
      <c r="A559" s="42" t="n"/>
    </row>
    <row r="560">
      <c r="A560" s="42" t="n"/>
    </row>
    <row r="561">
      <c r="A561" s="42" t="n"/>
    </row>
    <row r="562">
      <c r="A562" s="42" t="n"/>
    </row>
    <row r="563">
      <c r="A563" s="42" t="n"/>
    </row>
    <row r="564">
      <c r="A564" s="42" t="n"/>
    </row>
    <row r="565">
      <c r="A565" s="42" t="n"/>
    </row>
    <row r="566">
      <c r="A566" s="42" t="n"/>
    </row>
    <row r="567">
      <c r="A567" s="42" t="n"/>
    </row>
    <row r="568">
      <c r="A568" s="42" t="n"/>
    </row>
    <row r="569">
      <c r="A569" s="42" t="n"/>
    </row>
    <row r="570">
      <c r="A570" s="42" t="n"/>
    </row>
    <row r="571">
      <c r="A571" s="42" t="n"/>
    </row>
    <row r="572">
      <c r="A572" s="42" t="n"/>
    </row>
    <row r="573">
      <c r="A573" s="42" t="n"/>
    </row>
    <row r="574">
      <c r="A574" s="42" t="n"/>
    </row>
    <row r="575">
      <c r="A575" s="42" t="n"/>
    </row>
    <row r="576">
      <c r="A576" s="42" t="n"/>
    </row>
    <row r="577">
      <c r="A577" s="42" t="n"/>
    </row>
    <row r="578">
      <c r="A578" s="42" t="n"/>
    </row>
    <row r="579">
      <c r="A579" s="42" t="n"/>
    </row>
    <row r="580">
      <c r="A580" s="42" t="n"/>
    </row>
    <row r="581">
      <c r="A581" s="42" t="n"/>
    </row>
    <row r="582">
      <c r="A582" s="42" t="n"/>
    </row>
    <row r="583">
      <c r="A583" s="42" t="n"/>
    </row>
    <row r="584">
      <c r="A584" s="42" t="n"/>
    </row>
    <row r="585">
      <c r="A585" s="42" t="n"/>
    </row>
    <row r="586">
      <c r="A586" s="42" t="n"/>
    </row>
    <row r="587">
      <c r="A587" s="42" t="n"/>
    </row>
    <row r="588">
      <c r="A588" s="42" t="n"/>
    </row>
    <row r="589">
      <c r="A589" s="42" t="n"/>
    </row>
    <row r="590">
      <c r="A590" s="42" t="n"/>
    </row>
    <row r="591">
      <c r="A591" s="42" t="n"/>
    </row>
    <row r="592">
      <c r="A592" s="42" t="n"/>
    </row>
    <row r="593">
      <c r="A593" s="42" t="n"/>
    </row>
    <row r="594">
      <c r="A594" s="42" t="n"/>
    </row>
    <row r="595">
      <c r="A595" s="42" t="n"/>
    </row>
    <row r="596">
      <c r="A596" s="42" t="n"/>
    </row>
    <row r="597">
      <c r="A597" s="42" t="n"/>
    </row>
    <row r="598">
      <c r="A598" s="42" t="n"/>
    </row>
    <row r="599">
      <c r="A599" s="42" t="n"/>
    </row>
    <row r="600">
      <c r="A600" s="42" t="n"/>
    </row>
    <row r="601">
      <c r="A601" s="42" t="n"/>
    </row>
    <row r="602">
      <c r="A602" s="42" t="n"/>
    </row>
    <row r="603">
      <c r="A603" s="42" t="n"/>
    </row>
    <row r="604">
      <c r="A604" s="42" t="n"/>
    </row>
    <row r="605">
      <c r="A605" s="42" t="n"/>
    </row>
    <row r="606">
      <c r="A606" s="42" t="n"/>
    </row>
    <row r="607">
      <c r="A607" s="42" t="n"/>
    </row>
    <row r="608">
      <c r="A608" s="42" t="n"/>
    </row>
    <row r="609">
      <c r="A609" s="42" t="n"/>
    </row>
    <row r="610">
      <c r="A610" s="42" t="n"/>
    </row>
    <row r="611">
      <c r="A611" s="42" t="n"/>
    </row>
    <row r="612">
      <c r="A612" s="42" t="n"/>
    </row>
    <row r="613">
      <c r="A613" s="42" t="n"/>
    </row>
    <row r="614">
      <c r="A614" s="42" t="n"/>
    </row>
    <row r="615">
      <c r="A615" s="42" t="n"/>
    </row>
    <row r="616">
      <c r="A616" s="42" t="n"/>
    </row>
    <row r="617">
      <c r="A617" s="42" t="n"/>
    </row>
    <row r="618">
      <c r="A618" s="42" t="n"/>
    </row>
    <row r="619">
      <c r="A619" s="42" t="n"/>
    </row>
    <row r="620">
      <c r="A620" s="42" t="n"/>
    </row>
    <row r="621">
      <c r="A621" s="42" t="n"/>
    </row>
    <row r="622">
      <c r="A622" s="42" t="n"/>
    </row>
    <row r="623">
      <c r="A623" s="42" t="n"/>
    </row>
    <row r="624">
      <c r="A624" s="42" t="n"/>
    </row>
    <row r="625">
      <c r="A625" s="42" t="n"/>
    </row>
    <row r="626">
      <c r="A626" s="42" t="n"/>
    </row>
    <row r="627">
      <c r="A627" s="42" t="n"/>
    </row>
    <row r="628">
      <c r="A628" s="42" t="n"/>
    </row>
    <row r="629">
      <c r="A629" s="42" t="n"/>
    </row>
    <row r="630">
      <c r="A630" s="42" t="n"/>
    </row>
    <row r="631">
      <c r="A631" s="42" t="n"/>
    </row>
    <row r="632">
      <c r="A632" s="42" t="n"/>
    </row>
    <row r="633">
      <c r="A633" s="42" t="n"/>
    </row>
    <row r="634">
      <c r="A634" s="42" t="n"/>
    </row>
    <row r="635">
      <c r="A635" s="42" t="n"/>
    </row>
    <row r="636">
      <c r="A636" s="42" t="n"/>
    </row>
    <row r="637">
      <c r="A637" s="42" t="n"/>
    </row>
    <row r="638">
      <c r="A638" s="42" t="n"/>
    </row>
    <row r="639">
      <c r="A639" s="42" t="n"/>
    </row>
    <row r="640">
      <c r="A640" s="42" t="n"/>
    </row>
    <row r="641">
      <c r="A641" s="42" t="n"/>
    </row>
    <row r="642">
      <c r="A642" s="42" t="n"/>
    </row>
    <row r="643">
      <c r="A643" s="42" t="n"/>
    </row>
    <row r="644">
      <c r="A644" s="42" t="n"/>
    </row>
    <row r="645">
      <c r="A645" s="42" t="n"/>
    </row>
    <row r="646">
      <c r="A646" s="42" t="n"/>
    </row>
    <row r="647">
      <c r="A647" s="42" t="n"/>
    </row>
    <row r="648">
      <c r="A648" s="42" t="n"/>
    </row>
    <row r="649">
      <c r="A649" s="42" t="n"/>
    </row>
    <row r="650">
      <c r="A650" s="42" t="n"/>
    </row>
    <row r="651">
      <c r="A651" s="42" t="n"/>
    </row>
    <row r="652">
      <c r="A652" s="42" t="n"/>
    </row>
    <row r="653">
      <c r="A653" s="42" t="n"/>
    </row>
    <row r="654">
      <c r="A654" s="42" t="n"/>
    </row>
    <row r="655">
      <c r="A655" s="42" t="n"/>
    </row>
    <row r="656">
      <c r="A656" s="42" t="n"/>
    </row>
    <row r="657">
      <c r="A657" s="42" t="n"/>
    </row>
    <row r="658">
      <c r="A658" s="42" t="n"/>
    </row>
    <row r="659">
      <c r="A659" s="42" t="n"/>
    </row>
    <row r="660">
      <c r="A660" s="42" t="n"/>
    </row>
    <row r="661">
      <c r="A661" s="42" t="n"/>
    </row>
    <row r="662">
      <c r="A662" s="42" t="n"/>
    </row>
    <row r="663">
      <c r="A663" s="42" t="n"/>
    </row>
    <row r="664">
      <c r="A664" s="42" t="n"/>
    </row>
    <row r="665">
      <c r="A665" s="42" t="n"/>
    </row>
    <row r="666">
      <c r="A666" s="42" t="n"/>
    </row>
    <row r="667">
      <c r="A667" s="42" t="n"/>
    </row>
    <row r="668">
      <c r="A668" s="42" t="n"/>
    </row>
    <row r="669">
      <c r="A669" s="42" t="n"/>
    </row>
    <row r="670">
      <c r="A670" s="42" t="n"/>
    </row>
    <row r="671">
      <c r="A671" s="42" t="n"/>
    </row>
    <row r="672">
      <c r="A672" s="42" t="n"/>
    </row>
    <row r="673">
      <c r="A673" s="42" t="n"/>
    </row>
    <row r="674">
      <c r="A674" s="42" t="n"/>
    </row>
    <row r="675">
      <c r="A675" s="42" t="n"/>
    </row>
    <row r="676">
      <c r="A676" s="42" t="n"/>
    </row>
    <row r="677">
      <c r="A677" s="42" t="n"/>
    </row>
    <row r="678">
      <c r="A678" s="42" t="n"/>
    </row>
    <row r="679">
      <c r="A679" s="42" t="n"/>
    </row>
    <row r="680">
      <c r="A680" s="42" t="n"/>
    </row>
    <row r="681">
      <c r="A681" s="42" t="n"/>
    </row>
    <row r="682">
      <c r="A682" s="42" t="n"/>
    </row>
    <row r="683">
      <c r="A683" s="42" t="n"/>
    </row>
    <row r="684">
      <c r="A684" s="42" t="n"/>
    </row>
    <row r="685">
      <c r="A685" s="42" t="n"/>
    </row>
    <row r="686">
      <c r="A686" s="42" t="n"/>
    </row>
    <row r="687">
      <c r="A687" s="42" t="n"/>
    </row>
    <row r="688">
      <c r="A688" s="42" t="n"/>
    </row>
    <row r="689">
      <c r="A689" s="42" t="n"/>
    </row>
    <row r="690">
      <c r="A690" s="42" t="n"/>
    </row>
    <row r="691">
      <c r="A691" s="42" t="n"/>
    </row>
    <row r="692">
      <c r="A692" s="42" t="n"/>
    </row>
    <row r="693">
      <c r="A693" s="42" t="n"/>
    </row>
    <row r="694">
      <c r="A694" s="42" t="n"/>
    </row>
    <row r="695">
      <c r="A695" s="42" t="n"/>
    </row>
    <row r="696">
      <c r="A696" s="42" t="n"/>
    </row>
    <row r="697">
      <c r="A697" s="42" t="n"/>
    </row>
    <row r="698">
      <c r="A698" s="42" t="n"/>
    </row>
    <row r="699">
      <c r="A699" s="42" t="n"/>
    </row>
    <row r="700">
      <c r="A700" s="42" t="n"/>
    </row>
    <row r="701">
      <c r="A701" s="42" t="n"/>
    </row>
    <row r="702">
      <c r="A702" s="42" t="n"/>
    </row>
    <row r="703">
      <c r="A703" s="42" t="n"/>
    </row>
    <row r="704">
      <c r="A704" s="42" t="n"/>
    </row>
    <row r="705">
      <c r="A705" s="42" t="n"/>
    </row>
    <row r="706">
      <c r="A706" s="42" t="n"/>
    </row>
    <row r="707">
      <c r="A707" s="42" t="n"/>
    </row>
    <row r="708">
      <c r="A708" s="42" t="n"/>
    </row>
    <row r="709">
      <c r="A709" s="42" t="n"/>
    </row>
    <row r="710">
      <c r="A710" s="42" t="n"/>
    </row>
    <row r="711">
      <c r="A711" s="42" t="n"/>
    </row>
    <row r="712">
      <c r="A712" s="42" t="n"/>
    </row>
    <row r="713">
      <c r="A713" s="42" t="n"/>
    </row>
    <row r="714">
      <c r="A714" s="42" t="n"/>
    </row>
    <row r="715">
      <c r="A715" s="42" t="n"/>
    </row>
    <row r="716">
      <c r="A716" s="42" t="n"/>
    </row>
    <row r="717">
      <c r="A717" s="42" t="n"/>
    </row>
    <row r="718">
      <c r="A718" s="42" t="n"/>
    </row>
    <row r="719">
      <c r="A719" s="42" t="n"/>
    </row>
    <row r="720">
      <c r="A720" s="42" t="n"/>
    </row>
    <row r="721">
      <c r="A721" s="42" t="n"/>
    </row>
    <row r="722">
      <c r="A722" s="42" t="n"/>
    </row>
    <row r="723">
      <c r="A723" s="42" t="n"/>
    </row>
    <row r="724">
      <c r="A724" s="42" t="n"/>
    </row>
    <row r="725">
      <c r="A725" s="42" t="n"/>
    </row>
    <row r="726">
      <c r="A726" s="42" t="n"/>
    </row>
    <row r="727">
      <c r="A727" s="42" t="n"/>
    </row>
    <row r="728">
      <c r="A728" s="42" t="n"/>
    </row>
    <row r="729">
      <c r="A729" s="42" t="n"/>
    </row>
    <row r="730">
      <c r="A730" s="42" t="n"/>
    </row>
    <row r="731">
      <c r="A731" s="42" t="n"/>
    </row>
    <row r="732">
      <c r="A732" s="42" t="n"/>
    </row>
    <row r="733">
      <c r="A733" s="42" t="n"/>
    </row>
    <row r="734">
      <c r="A734" s="42" t="n"/>
    </row>
    <row r="735">
      <c r="A735" s="42" t="n"/>
    </row>
    <row r="736">
      <c r="A736" s="42" t="n"/>
    </row>
    <row r="737">
      <c r="A737" s="42" t="n"/>
    </row>
    <row r="738">
      <c r="A738" s="42" t="n"/>
    </row>
    <row r="739">
      <c r="A739" s="42" t="n"/>
    </row>
    <row r="740">
      <c r="A740" s="42" t="n"/>
    </row>
    <row r="741">
      <c r="A741" s="42" t="n"/>
    </row>
    <row r="742">
      <c r="A742" s="42" t="n"/>
    </row>
    <row r="743">
      <c r="A743" s="42" t="n"/>
    </row>
    <row r="744">
      <c r="A744" s="42" t="n"/>
    </row>
    <row r="745">
      <c r="A745" s="42" t="n"/>
    </row>
    <row r="746">
      <c r="A746" s="42" t="n"/>
    </row>
    <row r="747">
      <c r="A747" s="42" t="n"/>
    </row>
    <row r="748">
      <c r="A748" s="42" t="n"/>
    </row>
    <row r="749">
      <c r="A749" s="42" t="n"/>
    </row>
    <row r="750">
      <c r="A750" s="42" t="n"/>
    </row>
    <row r="751">
      <c r="A751" s="42" t="n"/>
    </row>
    <row r="752">
      <c r="A752" s="42" t="n"/>
    </row>
    <row r="753">
      <c r="A753" s="42" t="n"/>
    </row>
    <row r="754">
      <c r="A754" s="42" t="n"/>
    </row>
    <row r="755">
      <c r="A755" s="42" t="n"/>
    </row>
    <row r="756">
      <c r="A756" s="42" t="n"/>
    </row>
    <row r="757">
      <c r="A757" s="42" t="n"/>
    </row>
    <row r="758">
      <c r="A758" s="42" t="n"/>
    </row>
    <row r="759">
      <c r="A759" s="42" t="n"/>
    </row>
    <row r="760">
      <c r="A760" s="42" t="n"/>
    </row>
    <row r="761">
      <c r="A761" s="42" t="n"/>
    </row>
    <row r="762">
      <c r="A762" s="42" t="n"/>
    </row>
    <row r="763">
      <c r="A763" s="42" t="n"/>
    </row>
    <row r="764">
      <c r="A764" s="42" t="n"/>
    </row>
    <row r="765">
      <c r="A765" s="42" t="n"/>
    </row>
    <row r="766">
      <c r="A766" s="42" t="n"/>
    </row>
    <row r="767">
      <c r="A767" s="42" t="n"/>
    </row>
    <row r="768">
      <c r="A768" s="42" t="n"/>
    </row>
    <row r="769">
      <c r="A769" s="42" t="n"/>
    </row>
    <row r="770">
      <c r="A770" s="42" t="n"/>
    </row>
    <row r="771">
      <c r="A771" s="42" t="n"/>
    </row>
    <row r="772">
      <c r="A772" s="42" t="n"/>
    </row>
    <row r="773">
      <c r="A773" s="42" t="n"/>
    </row>
    <row r="774">
      <c r="A774" s="42" t="n"/>
    </row>
    <row r="775">
      <c r="A775" s="42" t="n"/>
    </row>
    <row r="776">
      <c r="A776" s="42" t="n"/>
    </row>
    <row r="777">
      <c r="A777" s="42" t="n"/>
    </row>
    <row r="778">
      <c r="A778" s="42" t="n"/>
    </row>
    <row r="779">
      <c r="A779" s="42" t="n"/>
    </row>
    <row r="780">
      <c r="A780" s="42" t="n"/>
    </row>
    <row r="781">
      <c r="A781" s="42" t="n"/>
    </row>
    <row r="782">
      <c r="A782" s="42" t="n"/>
    </row>
    <row r="783">
      <c r="A783" s="42" t="n"/>
    </row>
    <row r="784">
      <c r="A784" s="42" t="n"/>
    </row>
    <row r="785">
      <c r="A785" s="42" t="n"/>
    </row>
    <row r="786">
      <c r="A786" s="42" t="n"/>
    </row>
    <row r="787">
      <c r="A787" s="42" t="n"/>
    </row>
    <row r="788">
      <c r="A788" s="42" t="n"/>
    </row>
    <row r="789">
      <c r="A789" s="42" t="n"/>
    </row>
    <row r="790">
      <c r="A790" s="42" t="n"/>
    </row>
    <row r="791">
      <c r="A791" s="42" t="n"/>
    </row>
    <row r="792">
      <c r="A792" s="42" t="n"/>
    </row>
    <row r="793">
      <c r="A793" s="42" t="n"/>
    </row>
    <row r="794">
      <c r="A794" s="42" t="n"/>
    </row>
    <row r="795">
      <c r="A795" s="42" t="n"/>
    </row>
    <row r="796">
      <c r="A796" s="42" t="n"/>
    </row>
    <row r="797">
      <c r="A797" s="42" t="n"/>
    </row>
    <row r="798">
      <c r="A798" s="42" t="n"/>
    </row>
    <row r="799">
      <c r="A799" s="42" t="n"/>
    </row>
    <row r="800">
      <c r="A800" s="42" t="n"/>
    </row>
    <row r="801">
      <c r="A801" s="42" t="n"/>
    </row>
    <row r="802">
      <c r="A802" s="42" t="n"/>
    </row>
    <row r="803">
      <c r="A803" s="42" t="n"/>
    </row>
    <row r="804">
      <c r="A804" s="42" t="n"/>
    </row>
    <row r="805">
      <c r="A805" s="42" t="n"/>
    </row>
    <row r="806">
      <c r="A806" s="42" t="n"/>
    </row>
    <row r="807">
      <c r="A807" s="42" t="n"/>
    </row>
    <row r="808">
      <c r="A808" s="42" t="n"/>
    </row>
    <row r="809">
      <c r="A809" s="42" t="n"/>
    </row>
    <row r="810">
      <c r="A810" s="42" t="n"/>
    </row>
    <row r="811">
      <c r="A811" s="42" t="n"/>
    </row>
    <row r="812">
      <c r="A812" s="42" t="n"/>
    </row>
    <row r="813">
      <c r="A813" s="42" t="n"/>
    </row>
    <row r="814">
      <c r="A814" s="42" t="n"/>
    </row>
    <row r="815">
      <c r="A815" s="42" t="n"/>
    </row>
    <row r="816">
      <c r="A816" s="42" t="n"/>
    </row>
    <row r="817">
      <c r="A817" s="42" t="n"/>
    </row>
    <row r="818">
      <c r="A818" s="42" t="n"/>
    </row>
    <row r="819">
      <c r="A819" s="42" t="n"/>
    </row>
    <row r="820">
      <c r="A820" s="42" t="n"/>
    </row>
    <row r="821">
      <c r="A821" s="42" t="n"/>
    </row>
    <row r="822">
      <c r="A822" s="42" t="n"/>
    </row>
    <row r="823">
      <c r="A823" s="42" t="n"/>
    </row>
    <row r="824">
      <c r="A824" s="42" t="n"/>
    </row>
    <row r="825">
      <c r="A825" s="42" t="n"/>
    </row>
    <row r="826">
      <c r="A826" s="42" t="n"/>
    </row>
    <row r="827">
      <c r="A827" s="42" t="n"/>
    </row>
    <row r="828">
      <c r="A828" s="42" t="n"/>
    </row>
    <row r="829">
      <c r="A829" s="42" t="n"/>
    </row>
    <row r="830">
      <c r="A830" s="42" t="n"/>
    </row>
    <row r="831">
      <c r="A831" s="42" t="n"/>
    </row>
    <row r="832">
      <c r="A832" s="42" t="n"/>
    </row>
    <row r="833">
      <c r="A833" s="42" t="n"/>
    </row>
    <row r="834">
      <c r="A834" s="42" t="n"/>
    </row>
    <row r="835">
      <c r="A835" s="42" t="n"/>
    </row>
    <row r="836">
      <c r="A836" s="42" t="n"/>
    </row>
    <row r="837">
      <c r="A837" s="42" t="n"/>
    </row>
    <row r="838">
      <c r="A838" s="42" t="n"/>
    </row>
    <row r="839">
      <c r="A839" s="42" t="n"/>
    </row>
    <row r="840">
      <c r="A840" s="42" t="n"/>
    </row>
    <row r="841">
      <c r="A841" s="42" t="n"/>
    </row>
    <row r="842">
      <c r="A842" s="42" t="n"/>
    </row>
    <row r="843">
      <c r="A843" s="42" t="n"/>
    </row>
    <row r="844">
      <c r="A844" s="42" t="n"/>
    </row>
    <row r="845">
      <c r="A845" s="42" t="n"/>
    </row>
    <row r="846">
      <c r="A846" s="42" t="n"/>
    </row>
    <row r="847">
      <c r="A847" s="42" t="n"/>
    </row>
    <row r="848">
      <c r="A848" s="42" t="n"/>
    </row>
    <row r="849">
      <c r="A849" s="42" t="n"/>
    </row>
    <row r="850">
      <c r="A850" s="42" t="n"/>
    </row>
    <row r="851">
      <c r="A851" s="42" t="n"/>
    </row>
    <row r="852">
      <c r="A852" s="42" t="n"/>
    </row>
    <row r="853">
      <c r="A853" s="42" t="n"/>
    </row>
    <row r="854">
      <c r="A854" s="42" t="n"/>
    </row>
    <row r="855">
      <c r="A855" s="42" t="n"/>
    </row>
    <row r="856">
      <c r="A856" s="42" t="n"/>
    </row>
    <row r="857">
      <c r="A857" s="42" t="n"/>
    </row>
    <row r="858">
      <c r="A858" s="42" t="n"/>
    </row>
    <row r="859">
      <c r="A859" s="42" t="n"/>
    </row>
    <row r="860">
      <c r="A860" s="42" t="n"/>
    </row>
    <row r="861">
      <c r="A861" s="42" t="n"/>
    </row>
    <row r="862">
      <c r="A862" s="42" t="n"/>
    </row>
    <row r="863">
      <c r="A863" s="42" t="n"/>
    </row>
    <row r="864">
      <c r="A864" s="42" t="n"/>
    </row>
    <row r="865">
      <c r="A865" s="42" t="n"/>
    </row>
    <row r="866">
      <c r="A866" s="42" t="n"/>
    </row>
    <row r="867">
      <c r="A867" s="42" t="n"/>
    </row>
    <row r="868">
      <c r="A868" s="42" t="n"/>
    </row>
    <row r="869">
      <c r="A869" s="42" t="n"/>
    </row>
    <row r="870">
      <c r="A870" s="42" t="n"/>
    </row>
    <row r="871">
      <c r="A871" s="42" t="n"/>
    </row>
    <row r="872">
      <c r="A872" s="42" t="n"/>
    </row>
    <row r="873">
      <c r="A873" s="42" t="n"/>
    </row>
    <row r="874">
      <c r="A874" s="42" t="n"/>
    </row>
    <row r="875">
      <c r="A875" s="42" t="n"/>
    </row>
    <row r="876">
      <c r="A876" s="42" t="n"/>
    </row>
    <row r="877">
      <c r="A877" s="42" t="n"/>
    </row>
    <row r="878">
      <c r="A878" s="42" t="n"/>
    </row>
    <row r="879">
      <c r="A879" s="42" t="n"/>
    </row>
    <row r="880">
      <c r="A880" s="42" t="n"/>
    </row>
    <row r="881">
      <c r="A881" s="42" t="n"/>
    </row>
    <row r="882">
      <c r="A882" s="42" t="n"/>
    </row>
    <row r="883">
      <c r="A883" s="42" t="n"/>
    </row>
    <row r="884">
      <c r="A884" s="42" t="n"/>
    </row>
    <row r="885">
      <c r="A885" s="42" t="n"/>
    </row>
    <row r="886">
      <c r="A886" s="42" t="n"/>
    </row>
    <row r="887">
      <c r="A887" s="42" t="n"/>
    </row>
    <row r="888">
      <c r="A888" s="42" t="n"/>
    </row>
    <row r="889">
      <c r="A889" s="42" t="n"/>
    </row>
    <row r="890">
      <c r="A890" s="42" t="n"/>
    </row>
    <row r="891">
      <c r="A891" s="42" t="n"/>
    </row>
    <row r="892">
      <c r="A892" s="42" t="n"/>
    </row>
    <row r="893">
      <c r="A893" s="42" t="n"/>
    </row>
    <row r="894">
      <c r="A894" s="42" t="n"/>
    </row>
    <row r="895">
      <c r="A895" s="42" t="n"/>
    </row>
    <row r="896">
      <c r="A896" s="42" t="n"/>
    </row>
    <row r="897">
      <c r="A897" s="42" t="n"/>
    </row>
    <row r="898">
      <c r="A898" s="42" t="n"/>
    </row>
    <row r="899">
      <c r="A899" s="42" t="n"/>
    </row>
    <row r="900">
      <c r="A900" s="42" t="n"/>
    </row>
    <row r="901">
      <c r="A901" s="42" t="n"/>
    </row>
    <row r="902">
      <c r="A902" s="42" t="n"/>
    </row>
    <row r="903">
      <c r="A903" s="42" t="n"/>
    </row>
    <row r="904">
      <c r="A904" s="42" t="n"/>
    </row>
    <row r="905">
      <c r="A905" s="42" t="n"/>
    </row>
    <row r="906">
      <c r="A906" s="42" t="n"/>
    </row>
    <row r="907">
      <c r="A907" s="42" t="n"/>
    </row>
    <row r="908">
      <c r="A908" s="42" t="n"/>
    </row>
    <row r="909">
      <c r="A909" s="42" t="n"/>
    </row>
    <row r="910">
      <c r="A910" s="42" t="n"/>
    </row>
    <row r="911">
      <c r="A911" s="42" t="n"/>
    </row>
    <row r="912">
      <c r="A912" s="42" t="n"/>
    </row>
    <row r="913">
      <c r="A913" s="42" t="n"/>
    </row>
    <row r="914">
      <c r="A914" s="42" t="n"/>
    </row>
    <row r="915">
      <c r="A915" s="42" t="n"/>
    </row>
    <row r="916">
      <c r="A916" s="42" t="n"/>
    </row>
    <row r="917">
      <c r="A917" s="42" t="n"/>
    </row>
    <row r="918">
      <c r="A918" s="42" t="n"/>
    </row>
    <row r="919">
      <c r="A919" s="42" t="n"/>
    </row>
    <row r="920">
      <c r="A920" s="42" t="n"/>
    </row>
    <row r="921">
      <c r="A921" s="42" t="n"/>
    </row>
    <row r="922">
      <c r="A922" s="42" t="n"/>
    </row>
    <row r="923">
      <c r="A923" s="42" t="n"/>
    </row>
    <row r="924">
      <c r="A924" s="42" t="n"/>
    </row>
    <row r="925">
      <c r="A925" s="42" t="n"/>
    </row>
    <row r="926">
      <c r="A926" s="42" t="n"/>
    </row>
    <row r="927">
      <c r="A927" s="42" t="n"/>
    </row>
    <row r="928">
      <c r="A928" s="42" t="n"/>
    </row>
    <row r="929">
      <c r="A929" s="42" t="n"/>
    </row>
    <row r="930">
      <c r="A930" s="42" t="n"/>
    </row>
    <row r="931">
      <c r="A931" s="42" t="n"/>
    </row>
    <row r="932">
      <c r="A932" s="42" t="n"/>
    </row>
    <row r="933">
      <c r="A933" s="42" t="n"/>
    </row>
    <row r="934">
      <c r="A934" s="42" t="n"/>
    </row>
    <row r="935">
      <c r="A935" s="42" t="n"/>
    </row>
    <row r="936">
      <c r="A936" s="42" t="n"/>
    </row>
    <row r="937">
      <c r="A937" s="42" t="n"/>
    </row>
    <row r="938">
      <c r="A938" s="42" t="n"/>
    </row>
    <row r="939">
      <c r="A939" s="42" t="n"/>
    </row>
    <row r="940">
      <c r="A940" s="42" t="n"/>
    </row>
    <row r="941">
      <c r="A941" s="42" t="n"/>
    </row>
    <row r="942">
      <c r="A942" s="42" t="n"/>
    </row>
    <row r="943">
      <c r="A943" s="42" t="n"/>
    </row>
    <row r="944">
      <c r="A944" s="42" t="n"/>
    </row>
    <row r="945">
      <c r="A945" s="42" t="n"/>
    </row>
    <row r="946">
      <c r="A946" s="42" t="n"/>
    </row>
    <row r="947">
      <c r="A947" s="42" t="n"/>
    </row>
    <row r="948">
      <c r="A948" s="42" t="n"/>
    </row>
    <row r="949">
      <c r="A949" s="42" t="n"/>
    </row>
    <row r="950">
      <c r="A950" s="42" t="n"/>
    </row>
    <row r="951">
      <c r="A951" s="42" t="n"/>
    </row>
    <row r="952">
      <c r="A952" s="42" t="n"/>
    </row>
    <row r="953">
      <c r="A953" s="42" t="n"/>
    </row>
    <row r="954">
      <c r="A954" s="42" t="n"/>
    </row>
    <row r="955">
      <c r="A955" s="42" t="n"/>
    </row>
    <row r="956">
      <c r="A956" s="42" t="n"/>
    </row>
    <row r="957">
      <c r="A957" s="42" t="n"/>
    </row>
    <row r="958">
      <c r="A958" s="42" t="n"/>
    </row>
    <row r="959">
      <c r="A959" s="42" t="n"/>
    </row>
    <row r="960">
      <c r="A960" s="42" t="n"/>
    </row>
    <row r="961">
      <c r="A961" s="42" t="n"/>
    </row>
    <row r="962">
      <c r="A962" s="42" t="n"/>
    </row>
    <row r="963">
      <c r="A963" s="42" t="n"/>
    </row>
    <row r="964">
      <c r="A964" s="42" t="n"/>
    </row>
    <row r="965">
      <c r="A965" s="42" t="n"/>
    </row>
    <row r="966">
      <c r="A966" s="42" t="n"/>
    </row>
    <row r="967">
      <c r="A967" s="42" t="n"/>
    </row>
    <row r="968">
      <c r="A968" s="42" t="n"/>
    </row>
    <row r="969">
      <c r="A969" s="42" t="n"/>
    </row>
    <row r="970">
      <c r="A970" s="42" t="n"/>
    </row>
    <row r="971">
      <c r="A971" s="42" t="n"/>
    </row>
    <row r="972">
      <c r="A972" s="42" t="n"/>
    </row>
    <row r="973">
      <c r="A973" s="42" t="n"/>
    </row>
    <row r="974">
      <c r="A974" s="42" t="n"/>
    </row>
    <row r="975">
      <c r="A975" s="42" t="n"/>
    </row>
    <row r="976">
      <c r="A976" s="42" t="n"/>
    </row>
    <row r="977">
      <c r="A977" s="42" t="n"/>
    </row>
    <row r="978">
      <c r="A978" s="42" t="n"/>
    </row>
    <row r="979">
      <c r="A979" s="42" t="n"/>
    </row>
    <row r="980">
      <c r="A980" s="42" t="n"/>
    </row>
    <row r="981">
      <c r="A981" s="42" t="n"/>
    </row>
    <row r="982">
      <c r="A982" s="42" t="n"/>
    </row>
    <row r="983">
      <c r="A983" s="42" t="n"/>
    </row>
    <row r="984">
      <c r="A984" s="42" t="n"/>
    </row>
    <row r="985">
      <c r="A985" s="42" t="n"/>
    </row>
    <row r="986">
      <c r="A986" s="42" t="n"/>
    </row>
    <row r="987">
      <c r="A987" s="42" t="n"/>
    </row>
    <row r="988">
      <c r="A988" s="42" t="n"/>
    </row>
    <row r="989">
      <c r="A989" s="42" t="n"/>
    </row>
    <row r="990">
      <c r="A990" s="42" t="n"/>
    </row>
    <row r="991">
      <c r="A991" s="42" t="n"/>
    </row>
    <row r="992">
      <c r="A992" s="42" t="n"/>
    </row>
    <row r="993">
      <c r="A993" s="42" t="n"/>
    </row>
    <row r="994">
      <c r="A994" s="42" t="n"/>
    </row>
    <row r="995">
      <c r="A995" s="42" t="n"/>
    </row>
    <row r="996">
      <c r="A996" s="42" t="n"/>
    </row>
    <row r="997">
      <c r="A997" s="42" t="n"/>
    </row>
    <row r="998">
      <c r="A998" s="42" t="n"/>
    </row>
    <row r="999">
      <c r="A999" s="42" t="n"/>
    </row>
    <row r="1000">
      <c r="A1000" s="42" t="n"/>
    </row>
    <row r="1001">
      <c r="A1001" s="42" t="n"/>
    </row>
    <row r="1002">
      <c r="A1002" s="42" t="n"/>
    </row>
    <row r="1003">
      <c r="A1003" s="42" t="n"/>
    </row>
    <row r="1004">
      <c r="A1004" s="42" t="n"/>
    </row>
    <row r="1005">
      <c r="A1005" s="42" t="n"/>
    </row>
    <row r="1006">
      <c r="A1006" s="42" t="n"/>
    </row>
    <row r="1007">
      <c r="A1007" s="42" t="n"/>
    </row>
    <row r="1008">
      <c r="A1008" s="42" t="n"/>
    </row>
    <row r="1009">
      <c r="A1009" s="42" t="n"/>
    </row>
    <row r="1010">
      <c r="A1010" s="42" t="n"/>
    </row>
    <row r="1011">
      <c r="A1011" s="42" t="n"/>
    </row>
    <row r="1012">
      <c r="A1012" s="42" t="n"/>
    </row>
    <row r="1013">
      <c r="A1013" s="42" t="n"/>
    </row>
    <row r="1014">
      <c r="A1014" s="42" t="n"/>
    </row>
    <row r="1015">
      <c r="A1015" s="42" t="n"/>
    </row>
    <row r="1016">
      <c r="A1016" s="42" t="n"/>
    </row>
    <row r="1017">
      <c r="A1017" s="42" t="n"/>
    </row>
    <row r="1018">
      <c r="A1018" s="42" t="n"/>
    </row>
    <row r="1019">
      <c r="A1019" s="42" t="n"/>
    </row>
    <row r="1020">
      <c r="A1020" s="42" t="n"/>
    </row>
    <row r="1021">
      <c r="A1021" s="42" t="n"/>
    </row>
    <row r="1022">
      <c r="A1022" s="42" t="n"/>
    </row>
    <row r="1023">
      <c r="A1023" s="42" t="n"/>
    </row>
    <row r="1024">
      <c r="A1024" s="42" t="n"/>
    </row>
    <row r="1025">
      <c r="A1025" s="42" t="n"/>
    </row>
    <row r="1026">
      <c r="A1026" s="42" t="n"/>
    </row>
    <row r="1027">
      <c r="A1027" s="42" t="n"/>
    </row>
    <row r="1028">
      <c r="A1028" s="42" t="n"/>
    </row>
    <row r="1029">
      <c r="A1029" s="42" t="n"/>
    </row>
    <row r="1030">
      <c r="A1030" s="42" t="n"/>
    </row>
    <row r="1031">
      <c r="A1031" s="42" t="n"/>
    </row>
    <row r="1032">
      <c r="A1032" s="42" t="n"/>
    </row>
    <row r="1033">
      <c r="A1033" s="42" t="n"/>
    </row>
    <row r="1034">
      <c r="A1034" s="42" t="n"/>
    </row>
    <row r="1035">
      <c r="A1035" s="42" t="n"/>
    </row>
    <row r="1036">
      <c r="A1036" s="42" t="n"/>
    </row>
    <row r="1037">
      <c r="A1037" s="42" t="n"/>
    </row>
    <row r="1038">
      <c r="A1038" s="42" t="n"/>
    </row>
    <row r="1039">
      <c r="A1039" s="42" t="n"/>
    </row>
    <row r="1040">
      <c r="A1040" s="42" t="n"/>
    </row>
    <row r="1041">
      <c r="A1041" s="42" t="n"/>
    </row>
    <row r="1042">
      <c r="A1042" s="42" t="n"/>
    </row>
    <row r="1043">
      <c r="A1043" s="42" t="n"/>
    </row>
    <row r="1044">
      <c r="A1044" s="42" t="n"/>
    </row>
    <row r="1045">
      <c r="A1045" s="42" t="n"/>
    </row>
    <row r="1046">
      <c r="A1046" s="42" t="n"/>
    </row>
    <row r="1047">
      <c r="A1047" s="42" t="n"/>
    </row>
    <row r="1048">
      <c r="A1048" s="42" t="n"/>
    </row>
    <row r="1049">
      <c r="A1049" s="42" t="n"/>
    </row>
    <row r="1050">
      <c r="A1050" s="42" t="n"/>
    </row>
    <row r="1051">
      <c r="A1051" s="42" t="n"/>
    </row>
    <row r="1052">
      <c r="A1052" s="42" t="n"/>
    </row>
    <row r="1053">
      <c r="A1053" s="42" t="n"/>
    </row>
    <row r="1054">
      <c r="A1054" s="42" t="n"/>
    </row>
    <row r="1055">
      <c r="A1055" s="42" t="n"/>
    </row>
    <row r="1056">
      <c r="A1056" s="42" t="n"/>
    </row>
    <row r="1057">
      <c r="A1057" s="42" t="n"/>
    </row>
    <row r="1058">
      <c r="A1058" s="42" t="n"/>
    </row>
    <row r="1059">
      <c r="A1059" s="42" t="n"/>
    </row>
    <row r="1060">
      <c r="A1060" s="42" t="n"/>
    </row>
    <row r="1061">
      <c r="A1061" s="42" t="n"/>
    </row>
    <row r="1062">
      <c r="A1062" s="42" t="n"/>
    </row>
    <row r="1063">
      <c r="A1063" s="42" t="n"/>
    </row>
    <row r="1064">
      <c r="A1064" s="42" t="n"/>
    </row>
    <row r="1065">
      <c r="A1065" s="42" t="n"/>
    </row>
    <row r="1066">
      <c r="A1066" s="42" t="n"/>
    </row>
    <row r="1067">
      <c r="A1067" s="42" t="n"/>
    </row>
    <row r="1068">
      <c r="A1068" s="42" t="n"/>
    </row>
    <row r="1069">
      <c r="A1069" s="42" t="n"/>
    </row>
    <row r="1070">
      <c r="A1070" s="42" t="n"/>
    </row>
    <row r="1071">
      <c r="A1071" s="42" t="n"/>
    </row>
    <row r="1072">
      <c r="A1072" s="42" t="n"/>
    </row>
    <row r="1073">
      <c r="A1073" s="42" t="n"/>
    </row>
    <row r="1074">
      <c r="A1074" s="42" t="n"/>
    </row>
    <row r="1075">
      <c r="A1075" s="42" t="n"/>
    </row>
    <row r="1076">
      <c r="A1076" s="42" t="n"/>
    </row>
    <row r="1077">
      <c r="A1077" s="42" t="n"/>
    </row>
    <row r="1078">
      <c r="A1078" s="42" t="n"/>
    </row>
    <row r="1079">
      <c r="A1079" s="42" t="n"/>
    </row>
    <row r="1080">
      <c r="A1080" s="42" t="n"/>
    </row>
    <row r="1081">
      <c r="A1081" s="42" t="n"/>
    </row>
    <row r="1082">
      <c r="A1082" s="42" t="n"/>
    </row>
    <row r="1083">
      <c r="A1083" s="42" t="n"/>
    </row>
    <row r="1084">
      <c r="A1084" s="42" t="n"/>
    </row>
    <row r="1085">
      <c r="A1085" s="42" t="n"/>
    </row>
    <row r="1086">
      <c r="A1086" s="42" t="n"/>
    </row>
    <row r="1087">
      <c r="A1087" s="42" t="n"/>
    </row>
    <row r="1088">
      <c r="A1088" s="42" t="n"/>
    </row>
    <row r="1089">
      <c r="A1089" s="42" t="n"/>
    </row>
    <row r="1090">
      <c r="A1090" s="42" t="n"/>
    </row>
    <row r="1091">
      <c r="A1091" s="42" t="n"/>
    </row>
    <row r="1092">
      <c r="A1092" s="42" t="n"/>
    </row>
    <row r="1093">
      <c r="A1093" s="42" t="n"/>
    </row>
    <row r="1094">
      <c r="A1094" s="42" t="n"/>
    </row>
    <row r="1095">
      <c r="A1095" s="42" t="n"/>
    </row>
    <row r="1096">
      <c r="A1096" s="42" t="n"/>
    </row>
    <row r="1097">
      <c r="A1097" s="42" t="n"/>
    </row>
    <row r="1098">
      <c r="A1098" s="42" t="n"/>
    </row>
    <row r="1099">
      <c r="A1099" s="42" t="n"/>
    </row>
    <row r="1100">
      <c r="A1100" s="42" t="n"/>
    </row>
    <row r="1101">
      <c r="A1101" s="42" t="n"/>
    </row>
    <row r="1102">
      <c r="A1102" s="42" t="n"/>
    </row>
    <row r="1103">
      <c r="A1103" s="42" t="n"/>
    </row>
    <row r="1104">
      <c r="A1104" s="42" t="n"/>
    </row>
    <row r="1105">
      <c r="A1105" s="42" t="n"/>
    </row>
    <row r="1106">
      <c r="A1106" s="42" t="n"/>
    </row>
    <row r="1107">
      <c r="A1107" s="42" t="n"/>
    </row>
    <row r="1108">
      <c r="A1108" s="42" t="n"/>
    </row>
    <row r="1109">
      <c r="A1109" s="42" t="n"/>
    </row>
    <row r="1110">
      <c r="A1110" s="42" t="n"/>
    </row>
    <row r="1111">
      <c r="A1111" s="42" t="n"/>
    </row>
    <row r="1112">
      <c r="A1112" s="42" t="n"/>
    </row>
    <row r="1113">
      <c r="A1113" s="42" t="n"/>
    </row>
    <row r="1114">
      <c r="A1114" s="42" t="n"/>
    </row>
    <row r="1115">
      <c r="A1115" s="42" t="n"/>
    </row>
    <row r="1116">
      <c r="A1116" s="42" t="n"/>
    </row>
    <row r="1117">
      <c r="A1117" s="42" t="n"/>
    </row>
    <row r="1118">
      <c r="A1118" s="42" t="n"/>
    </row>
    <row r="1119">
      <c r="A1119" s="42" t="n"/>
    </row>
    <row r="1120">
      <c r="A1120" s="42" t="n"/>
    </row>
    <row r="1121">
      <c r="A1121" s="42" t="n"/>
    </row>
    <row r="1122">
      <c r="A1122" s="42" t="n"/>
    </row>
    <row r="1123">
      <c r="A1123" s="42" t="n"/>
    </row>
    <row r="1124">
      <c r="A1124" s="42" t="n"/>
    </row>
    <row r="1125">
      <c r="A1125" s="42" t="n"/>
    </row>
    <row r="1126">
      <c r="A1126" s="42" t="n"/>
    </row>
    <row r="1127">
      <c r="A1127" s="42" t="n"/>
    </row>
    <row r="1128">
      <c r="A1128" s="42" t="n"/>
    </row>
    <row r="1129">
      <c r="A1129" s="42" t="n"/>
    </row>
    <row r="1130">
      <c r="A1130" s="42" t="n"/>
    </row>
    <row r="1131">
      <c r="A1131" s="42" t="n"/>
    </row>
    <row r="1132">
      <c r="A1132" s="42" t="n"/>
    </row>
    <row r="1133">
      <c r="A1133" s="42" t="n"/>
    </row>
    <row r="1134">
      <c r="A1134" s="42" t="n"/>
    </row>
    <row r="1135">
      <c r="A1135" s="42" t="n"/>
    </row>
    <row r="1136">
      <c r="A1136" s="42" t="n"/>
    </row>
    <row r="1137">
      <c r="A1137" s="42" t="n"/>
    </row>
    <row r="1138">
      <c r="A1138" s="42" t="n"/>
    </row>
    <row r="1139">
      <c r="A1139" s="42" t="n"/>
    </row>
    <row r="1140">
      <c r="A1140" s="42" t="n"/>
    </row>
    <row r="1141">
      <c r="A1141" s="42" t="n"/>
    </row>
    <row r="1142">
      <c r="A1142" s="42" t="n"/>
    </row>
    <row r="1143">
      <c r="A1143" s="42" t="n"/>
    </row>
    <row r="1144">
      <c r="A1144" s="42" t="n"/>
    </row>
    <row r="1145">
      <c r="A1145" s="42" t="n"/>
    </row>
    <row r="1146">
      <c r="A1146" s="42" t="n"/>
    </row>
    <row r="1147">
      <c r="A1147" s="42" t="n"/>
    </row>
    <row r="1148">
      <c r="A1148" s="42" t="n"/>
    </row>
    <row r="1149">
      <c r="A1149" s="42" t="n"/>
    </row>
    <row r="1150">
      <c r="A1150" s="42" t="n"/>
    </row>
    <row r="1151">
      <c r="A1151" s="42" t="n"/>
    </row>
    <row r="1152">
      <c r="A1152" s="42" t="n"/>
    </row>
    <row r="1153">
      <c r="A1153" s="42" t="n"/>
    </row>
    <row r="1154">
      <c r="A1154" s="42" t="n"/>
    </row>
    <row r="1155">
      <c r="A1155" s="42" t="n"/>
    </row>
    <row r="1156">
      <c r="A1156" s="42" t="n"/>
    </row>
    <row r="1157">
      <c r="A1157" s="42" t="n"/>
    </row>
    <row r="1158">
      <c r="A1158" s="42" t="n"/>
    </row>
    <row r="1159">
      <c r="A1159" s="42" t="n"/>
    </row>
    <row r="1160">
      <c r="A1160" s="42" t="n"/>
    </row>
    <row r="1161">
      <c r="A1161" s="42" t="n"/>
    </row>
    <row r="1162">
      <c r="A1162" s="42" t="n"/>
    </row>
    <row r="1163">
      <c r="A1163" s="42" t="n"/>
    </row>
    <row r="1164">
      <c r="A1164" s="42" t="n"/>
    </row>
    <row r="1165">
      <c r="A1165" s="42" t="n"/>
    </row>
    <row r="1166">
      <c r="A1166" s="42" t="n"/>
    </row>
    <row r="1167">
      <c r="A1167" s="42" t="n"/>
    </row>
    <row r="1168">
      <c r="A1168" s="42" t="n"/>
    </row>
    <row r="1169">
      <c r="A1169" s="42" t="n"/>
    </row>
    <row r="1170">
      <c r="A1170" s="42" t="n"/>
    </row>
    <row r="1171">
      <c r="A1171" s="42" t="n"/>
    </row>
    <row r="1172">
      <c r="A1172" s="42" t="n"/>
    </row>
    <row r="1173">
      <c r="A1173" s="42" t="n"/>
    </row>
    <row r="1174">
      <c r="A1174" s="42" t="n"/>
    </row>
    <row r="1175">
      <c r="A1175" s="42" t="n"/>
    </row>
    <row r="1176">
      <c r="A1176" s="42" t="n"/>
    </row>
    <row r="1177">
      <c r="A1177" s="42" t="n"/>
    </row>
    <row r="1178">
      <c r="A1178" s="42" t="n"/>
    </row>
    <row r="1179">
      <c r="A1179" s="42" t="n"/>
    </row>
    <row r="1180">
      <c r="A1180" s="42" t="n"/>
    </row>
    <row r="1181">
      <c r="A1181" s="42" t="n"/>
    </row>
    <row r="1182">
      <c r="A1182" s="42" t="n"/>
    </row>
    <row r="1183">
      <c r="A1183" s="42" t="n"/>
    </row>
    <row r="1184">
      <c r="A1184" s="42" t="n"/>
    </row>
    <row r="1185">
      <c r="A1185" s="42" t="n"/>
    </row>
    <row r="1186">
      <c r="A1186" s="42" t="n"/>
    </row>
    <row r="1187">
      <c r="A1187" s="42" t="n"/>
    </row>
    <row r="1188">
      <c r="A1188" s="42" t="n"/>
    </row>
    <row r="1189">
      <c r="A1189" s="42" t="n"/>
    </row>
    <row r="1190">
      <c r="A1190" s="42" t="n"/>
    </row>
    <row r="1191">
      <c r="A1191" s="42" t="n"/>
    </row>
    <row r="1192">
      <c r="A1192" s="42" t="n"/>
    </row>
    <row r="1193">
      <c r="A1193" s="42" t="n"/>
    </row>
    <row r="1194">
      <c r="A1194" s="42" t="n"/>
    </row>
    <row r="1195">
      <c r="A1195" s="42" t="n"/>
    </row>
    <row r="1196">
      <c r="A1196" s="42" t="n"/>
    </row>
    <row r="1197">
      <c r="A1197" s="42" t="n"/>
    </row>
    <row r="1198">
      <c r="A1198" s="42" t="n"/>
    </row>
    <row r="1199">
      <c r="A1199" s="42" t="n"/>
    </row>
    <row r="1200">
      <c r="A1200" s="42" t="n"/>
    </row>
    <row r="1201">
      <c r="A1201" s="42" t="n"/>
    </row>
    <row r="1202">
      <c r="A1202" s="42" t="n"/>
    </row>
    <row r="1203">
      <c r="A1203" s="42" t="n"/>
    </row>
    <row r="1204">
      <c r="A1204" s="42" t="n"/>
    </row>
    <row r="1205">
      <c r="A1205" s="42" t="n"/>
    </row>
    <row r="1206">
      <c r="A1206" s="42" t="n"/>
    </row>
    <row r="1207">
      <c r="A1207" s="42" t="n"/>
    </row>
    <row r="1208">
      <c r="A1208" s="42" t="n"/>
    </row>
    <row r="1209">
      <c r="A1209" s="42" t="n"/>
    </row>
    <row r="1210">
      <c r="A1210" s="42" t="n"/>
    </row>
    <row r="1211">
      <c r="A1211" s="42" t="n"/>
    </row>
    <row r="1212">
      <c r="A1212" s="42" t="n"/>
    </row>
    <row r="1213">
      <c r="A1213" s="42" t="n"/>
    </row>
    <row r="1214">
      <c r="A1214" s="42" t="n"/>
    </row>
    <row r="1215">
      <c r="A1215" s="42" t="n"/>
    </row>
    <row r="1216">
      <c r="A1216" s="42" t="n"/>
    </row>
    <row r="1217">
      <c r="A1217" s="42" t="n"/>
    </row>
    <row r="1218">
      <c r="A1218" s="42" t="n"/>
    </row>
    <row r="1219">
      <c r="A1219" s="42" t="n"/>
    </row>
    <row r="1220">
      <c r="A1220" s="42" t="n"/>
    </row>
    <row r="1221">
      <c r="A1221" s="42" t="n"/>
    </row>
    <row r="1222">
      <c r="A1222" s="42" t="n"/>
    </row>
    <row r="1223">
      <c r="A1223" s="42" t="n"/>
    </row>
    <row r="1224">
      <c r="A1224" s="42" t="n"/>
    </row>
    <row r="1225">
      <c r="A1225" s="42" t="n"/>
    </row>
    <row r="1226">
      <c r="A1226" s="42" t="n"/>
    </row>
    <row r="1227">
      <c r="A1227" s="42" t="n"/>
    </row>
    <row r="1228">
      <c r="A1228" s="42" t="n"/>
    </row>
    <row r="1229">
      <c r="A1229" s="42" t="n"/>
    </row>
    <row r="1230">
      <c r="A1230" s="42" t="n"/>
    </row>
    <row r="1231">
      <c r="A1231" s="42" t="n"/>
    </row>
    <row r="1232">
      <c r="A1232" s="42" t="n"/>
    </row>
    <row r="1233">
      <c r="A1233" s="42" t="n"/>
    </row>
    <row r="1234">
      <c r="A1234" s="42" t="n"/>
    </row>
    <row r="1235">
      <c r="A1235" s="42" t="n"/>
    </row>
    <row r="1236">
      <c r="A1236" s="42" t="n"/>
    </row>
    <row r="1237">
      <c r="A1237" s="42" t="n"/>
    </row>
    <row r="1238">
      <c r="A1238" s="42" t="n"/>
    </row>
    <row r="1239">
      <c r="A1239" s="42" t="n"/>
    </row>
    <row r="1240">
      <c r="A1240" s="42" t="n"/>
    </row>
    <row r="1241">
      <c r="A1241" s="42" t="n"/>
    </row>
    <row r="1242">
      <c r="A1242" s="42" t="n"/>
    </row>
    <row r="1243">
      <c r="A1243" s="42" t="n"/>
    </row>
    <row r="1244">
      <c r="A1244" s="42" t="n"/>
    </row>
    <row r="1245">
      <c r="A1245" s="42" t="n"/>
    </row>
    <row r="1246">
      <c r="A1246" s="42" t="n"/>
    </row>
    <row r="1247">
      <c r="A1247" s="42" t="n"/>
    </row>
    <row r="1248">
      <c r="A1248" s="42" t="n"/>
    </row>
    <row r="1249">
      <c r="A1249" s="42" t="n"/>
    </row>
    <row r="1250">
      <c r="A1250" s="42" t="n"/>
    </row>
    <row r="1251">
      <c r="A1251" s="42" t="n"/>
    </row>
    <row r="1252">
      <c r="A1252" s="42" t="n"/>
    </row>
    <row r="1253">
      <c r="A1253" s="42" t="n"/>
    </row>
    <row r="1254">
      <c r="A1254" s="42" t="n"/>
    </row>
    <row r="1255">
      <c r="A1255" s="42" t="n"/>
    </row>
    <row r="1256">
      <c r="A1256" s="42" t="n"/>
    </row>
    <row r="1257">
      <c r="A1257" s="42" t="n"/>
    </row>
    <row r="1258">
      <c r="A1258" s="42" t="n"/>
    </row>
    <row r="1259">
      <c r="A1259" s="42" t="n"/>
    </row>
    <row r="1260">
      <c r="A1260" s="42" t="n"/>
    </row>
    <row r="1261">
      <c r="A1261" s="42" t="n"/>
    </row>
    <row r="1262">
      <c r="A1262" s="42" t="n"/>
    </row>
    <row r="1263">
      <c r="A1263" s="42" t="n"/>
    </row>
    <row r="1264">
      <c r="A1264" s="42" t="n"/>
    </row>
    <row r="1265">
      <c r="A1265" s="42" t="n"/>
    </row>
    <row r="1266">
      <c r="A1266" s="42" t="n"/>
    </row>
    <row r="1267">
      <c r="A1267" s="42" t="n"/>
    </row>
    <row r="1268">
      <c r="A1268" s="42" t="n"/>
    </row>
    <row r="1269">
      <c r="A1269" s="42" t="n"/>
    </row>
    <row r="1270">
      <c r="A1270" s="42" t="n"/>
    </row>
    <row r="1271">
      <c r="A1271" s="42" t="n"/>
    </row>
    <row r="1272">
      <c r="A1272" s="42" t="n"/>
    </row>
    <row r="1273">
      <c r="A1273" s="42" t="n"/>
    </row>
    <row r="1274">
      <c r="A1274" s="42" t="n"/>
    </row>
    <row r="1275">
      <c r="A1275" s="42" t="n"/>
    </row>
    <row r="1276">
      <c r="A1276" s="42" t="n"/>
    </row>
    <row r="1277">
      <c r="A1277" s="42" t="n"/>
    </row>
    <row r="1278">
      <c r="A1278" s="42" t="n"/>
    </row>
    <row r="1279">
      <c r="A1279" s="42" t="n"/>
    </row>
    <row r="1280">
      <c r="A1280" s="42" t="n"/>
    </row>
    <row r="1281">
      <c r="A1281" s="42" t="n"/>
    </row>
    <row r="1282">
      <c r="A1282" s="42" t="n"/>
    </row>
    <row r="1283">
      <c r="A1283" s="42" t="n"/>
    </row>
    <row r="1284">
      <c r="A1284" s="42" t="n"/>
    </row>
    <row r="1285">
      <c r="A1285" s="42" t="n"/>
    </row>
    <row r="1286">
      <c r="A1286" s="42" t="n"/>
    </row>
    <row r="1287">
      <c r="A1287" s="42" t="n"/>
    </row>
    <row r="1288">
      <c r="A1288" s="42" t="n"/>
    </row>
    <row r="1289">
      <c r="A1289" s="42" t="n"/>
    </row>
    <row r="1290">
      <c r="A1290" s="42" t="n"/>
    </row>
    <row r="1291">
      <c r="A1291" s="42" t="n"/>
    </row>
    <row r="1292">
      <c r="A1292" s="42" t="n"/>
    </row>
    <row r="1293">
      <c r="A1293" s="42" t="n"/>
    </row>
    <row r="1294">
      <c r="A1294" s="42" t="n"/>
    </row>
    <row r="1295">
      <c r="A1295" s="42" t="n"/>
    </row>
    <row r="1296">
      <c r="A1296" s="42" t="n"/>
    </row>
    <row r="1297">
      <c r="A1297" s="42" t="n"/>
    </row>
    <row r="1298">
      <c r="A1298" s="42" t="n"/>
    </row>
    <row r="1299">
      <c r="A1299" s="42" t="n"/>
    </row>
    <row r="1300">
      <c r="A1300" s="42" t="n"/>
    </row>
    <row r="1301">
      <c r="A1301" s="42" t="n"/>
    </row>
    <row r="1302">
      <c r="A1302" s="42" t="n"/>
    </row>
    <row r="1303">
      <c r="A1303" s="42" t="n"/>
    </row>
    <row r="1304">
      <c r="A1304" s="42" t="n"/>
    </row>
    <row r="1305">
      <c r="A1305" s="42" t="n"/>
    </row>
    <row r="1306">
      <c r="A1306" s="42" t="n"/>
    </row>
    <row r="1307">
      <c r="A1307" s="42" t="n"/>
    </row>
    <row r="1308">
      <c r="A1308" s="42" t="n"/>
    </row>
    <row r="1309">
      <c r="A1309" s="42" t="n"/>
    </row>
    <row r="1310">
      <c r="A1310" s="42" t="n"/>
    </row>
    <row r="1311">
      <c r="A1311" s="42" t="n"/>
    </row>
    <row r="1312">
      <c r="A1312" s="42" t="n"/>
    </row>
    <row r="1313">
      <c r="A1313" s="42" t="n"/>
    </row>
    <row r="1314">
      <c r="A1314" s="42" t="n"/>
    </row>
    <row r="1315">
      <c r="A1315" s="42" t="n"/>
    </row>
    <row r="1316">
      <c r="A1316" s="42" t="n"/>
    </row>
    <row r="1317">
      <c r="A1317" s="42" t="n"/>
    </row>
    <row r="1318">
      <c r="A1318" s="42" t="n"/>
    </row>
    <row r="1319">
      <c r="A1319" s="42" t="n"/>
    </row>
    <row r="1320">
      <c r="A1320" s="42" t="n"/>
    </row>
    <row r="1321">
      <c r="A1321" s="42" t="n"/>
    </row>
    <row r="1322">
      <c r="A1322" s="42" t="n"/>
    </row>
    <row r="1323">
      <c r="A1323" s="42" t="n"/>
    </row>
    <row r="1324">
      <c r="A1324" s="42" t="n"/>
    </row>
    <row r="1325">
      <c r="A1325" s="42" t="n"/>
    </row>
    <row r="1326">
      <c r="A1326" s="42" t="n"/>
    </row>
    <row r="1327">
      <c r="A1327" s="42" t="n"/>
    </row>
    <row r="1328">
      <c r="A1328" s="42" t="n"/>
    </row>
    <row r="1329">
      <c r="A1329" s="42" t="n"/>
    </row>
    <row r="1330">
      <c r="A1330" s="42" t="n"/>
    </row>
    <row r="1331">
      <c r="A1331" s="42" t="n"/>
    </row>
    <row r="1332">
      <c r="A1332" s="42" t="n"/>
    </row>
    <row r="1333">
      <c r="A1333" s="42" t="n"/>
    </row>
    <row r="1334">
      <c r="A1334" s="42" t="n"/>
    </row>
    <row r="1335">
      <c r="A1335" s="42" t="n"/>
    </row>
    <row r="1336">
      <c r="A1336" s="42" t="n"/>
    </row>
    <row r="1337">
      <c r="A1337" s="42" t="n"/>
    </row>
    <row r="1338">
      <c r="A1338" s="42" t="n"/>
    </row>
    <row r="1339">
      <c r="A1339" s="42" t="n"/>
    </row>
    <row r="1340">
      <c r="A1340" s="42" t="n"/>
    </row>
    <row r="1341">
      <c r="A1341" s="42" t="n"/>
    </row>
    <row r="1342">
      <c r="A1342" s="42" t="n"/>
    </row>
    <row r="1343">
      <c r="A1343" s="42" t="n"/>
    </row>
    <row r="1344">
      <c r="A1344" s="42" t="n"/>
    </row>
    <row r="1345">
      <c r="A1345" s="42" t="n"/>
    </row>
    <row r="1346">
      <c r="A1346" s="42" t="n"/>
    </row>
    <row r="1347">
      <c r="A1347" s="42" t="n"/>
    </row>
    <row r="1348">
      <c r="A1348" s="42" t="n"/>
    </row>
    <row r="1349">
      <c r="A1349" s="42" t="n"/>
    </row>
    <row r="1350">
      <c r="A1350" s="42" t="n"/>
    </row>
    <row r="1351">
      <c r="A1351" s="42" t="n"/>
    </row>
    <row r="1352">
      <c r="A1352" s="42" t="n"/>
    </row>
    <row r="1353">
      <c r="A1353" s="42" t="n"/>
    </row>
    <row r="1354">
      <c r="A1354" s="42" t="n"/>
    </row>
    <row r="1355">
      <c r="A1355" s="42" t="n"/>
    </row>
    <row r="1356">
      <c r="A1356" s="42" t="n"/>
    </row>
    <row r="1357">
      <c r="A1357" s="42" t="n"/>
    </row>
    <row r="1358">
      <c r="A1358" s="42" t="n"/>
    </row>
    <row r="1359">
      <c r="A1359" s="42" t="n"/>
    </row>
    <row r="1360">
      <c r="A1360" s="42" t="n"/>
    </row>
    <row r="1361">
      <c r="A1361" s="42" t="n"/>
    </row>
    <row r="1362">
      <c r="A1362" s="42" t="n"/>
    </row>
    <row r="1363">
      <c r="A1363" s="42" t="n"/>
    </row>
    <row r="1364">
      <c r="A1364" s="42" t="n"/>
    </row>
    <row r="1365">
      <c r="A1365" s="42" t="n"/>
    </row>
    <row r="1366">
      <c r="A1366" s="42" t="n"/>
    </row>
    <row r="1367">
      <c r="A1367" s="42" t="n"/>
    </row>
    <row r="1368">
      <c r="A1368" s="42" t="n"/>
    </row>
    <row r="1369">
      <c r="A1369" s="42" t="n"/>
    </row>
    <row r="1370">
      <c r="A1370" s="42" t="n"/>
    </row>
    <row r="1371">
      <c r="A1371" s="42" t="n"/>
    </row>
    <row r="1372">
      <c r="A1372" s="42" t="n"/>
    </row>
    <row r="1373">
      <c r="A1373" s="42" t="n"/>
    </row>
    <row r="1374">
      <c r="A1374" s="42" t="n"/>
    </row>
    <row r="1375">
      <c r="A1375" s="42" t="n"/>
    </row>
    <row r="1376">
      <c r="A1376" s="42" t="n"/>
    </row>
    <row r="1377">
      <c r="A1377" s="42" t="n"/>
    </row>
    <row r="1378">
      <c r="A1378" s="42" t="n"/>
    </row>
    <row r="1379">
      <c r="A1379" s="42" t="n"/>
    </row>
    <row r="1380">
      <c r="A1380" s="42" t="n"/>
    </row>
    <row r="1381">
      <c r="A1381" s="42" t="n"/>
    </row>
    <row r="1382">
      <c r="A1382" s="42" t="n"/>
    </row>
    <row r="1383">
      <c r="A1383" s="42" t="n"/>
    </row>
    <row r="1384">
      <c r="A1384" s="42" t="n"/>
    </row>
    <row r="1385">
      <c r="A1385" s="42" t="n"/>
    </row>
    <row r="1386">
      <c r="A1386" s="42" t="n"/>
    </row>
    <row r="1387">
      <c r="A1387" s="42" t="n"/>
    </row>
    <row r="1388">
      <c r="A1388" s="42" t="n"/>
    </row>
    <row r="1389">
      <c r="A1389" s="42" t="n"/>
    </row>
    <row r="1390">
      <c r="A1390" s="42" t="n"/>
    </row>
    <row r="1391">
      <c r="A1391" s="42" t="n"/>
    </row>
    <row r="1392">
      <c r="A1392" s="42" t="n"/>
    </row>
    <row r="1393">
      <c r="A1393" s="42" t="n"/>
    </row>
    <row r="1394">
      <c r="A1394" s="42" t="n"/>
    </row>
    <row r="1395">
      <c r="A1395" s="42" t="n"/>
    </row>
    <row r="1396">
      <c r="A1396" s="42" t="n"/>
    </row>
    <row r="1397">
      <c r="A1397" s="42" t="n"/>
    </row>
    <row r="1398">
      <c r="A1398" s="42" t="n"/>
    </row>
    <row r="1399">
      <c r="A1399" s="42" t="n"/>
    </row>
    <row r="1400">
      <c r="A1400" s="42" t="n"/>
    </row>
    <row r="1401">
      <c r="A1401" s="42" t="n"/>
    </row>
    <row r="1402">
      <c r="A1402" s="42" t="n"/>
    </row>
    <row r="1403">
      <c r="A1403" s="42" t="n"/>
    </row>
    <row r="1404">
      <c r="A1404" s="42" t="n"/>
    </row>
    <row r="1405">
      <c r="A1405" s="42" t="n"/>
    </row>
    <row r="1406">
      <c r="A1406" s="42" t="n"/>
    </row>
    <row r="1407">
      <c r="A1407" s="42" t="n"/>
    </row>
    <row r="1408">
      <c r="A1408" s="42" t="n"/>
    </row>
    <row r="1409">
      <c r="A1409" s="42" t="n"/>
    </row>
    <row r="1410">
      <c r="A1410" s="42" t="n"/>
    </row>
    <row r="1411">
      <c r="A1411" s="42" t="n"/>
    </row>
    <row r="1412">
      <c r="A1412" s="42" t="n"/>
    </row>
    <row r="1413">
      <c r="A1413" s="42" t="n"/>
    </row>
    <row r="1414">
      <c r="A1414" s="42" t="n"/>
    </row>
    <row r="1415">
      <c r="A1415" s="42" t="n"/>
    </row>
    <row r="1416">
      <c r="A1416" s="42" t="n"/>
    </row>
    <row r="1417">
      <c r="A1417" s="42" t="n"/>
    </row>
    <row r="1418">
      <c r="A1418" s="42" t="n"/>
    </row>
    <row r="1419">
      <c r="A1419" s="42" t="n"/>
    </row>
    <row r="1420">
      <c r="A1420" s="42" t="n"/>
    </row>
    <row r="1421">
      <c r="A1421" s="42" t="n"/>
    </row>
    <row r="1422">
      <c r="A1422" s="42" t="n"/>
    </row>
    <row r="1423">
      <c r="A1423" s="42" t="n"/>
    </row>
    <row r="1424">
      <c r="A1424" s="42" t="n"/>
    </row>
    <row r="1425">
      <c r="A1425" s="42" t="n"/>
    </row>
    <row r="1426">
      <c r="A1426" s="42" t="n"/>
    </row>
    <row r="1427">
      <c r="A1427" s="42" t="n"/>
    </row>
    <row r="1428">
      <c r="A1428" s="42" t="n"/>
    </row>
    <row r="1429">
      <c r="A1429" s="42" t="n"/>
    </row>
    <row r="1430">
      <c r="A1430" s="42" t="n"/>
    </row>
    <row r="1431">
      <c r="A1431" s="42" t="n"/>
    </row>
    <row r="1432">
      <c r="A1432" s="42" t="n"/>
    </row>
    <row r="1433">
      <c r="A1433" s="42" t="n"/>
    </row>
    <row r="1434">
      <c r="A1434" s="42" t="n"/>
    </row>
    <row r="1435">
      <c r="A1435" s="42" t="n"/>
    </row>
    <row r="1436">
      <c r="A1436" s="42" t="n"/>
    </row>
    <row r="1437">
      <c r="A1437" s="42" t="n"/>
    </row>
    <row r="1438">
      <c r="A1438" s="42" t="n"/>
    </row>
    <row r="1439">
      <c r="A1439" s="42" t="n"/>
    </row>
    <row r="1440">
      <c r="A1440" s="42" t="n"/>
    </row>
    <row r="1441">
      <c r="A1441" s="42" t="n"/>
    </row>
    <row r="1442">
      <c r="A1442" s="42" t="n"/>
    </row>
    <row r="1443">
      <c r="A1443" s="42" t="n"/>
    </row>
    <row r="1444">
      <c r="A1444" s="42" t="n"/>
    </row>
    <row r="1445">
      <c r="A1445" s="42" t="n"/>
    </row>
    <row r="1446">
      <c r="A1446" s="42" t="n"/>
    </row>
    <row r="1447">
      <c r="A1447" s="42" t="n"/>
    </row>
    <row r="1448">
      <c r="A1448" s="42" t="n"/>
    </row>
    <row r="1449">
      <c r="A1449" s="42" t="n"/>
    </row>
    <row r="1450">
      <c r="A1450" s="42" t="n"/>
    </row>
    <row r="1451">
      <c r="A1451" s="42" t="n"/>
    </row>
    <row r="1452">
      <c r="A1452" s="42" t="n"/>
    </row>
    <row r="1453">
      <c r="A1453" s="42" t="n"/>
    </row>
    <row r="1454">
      <c r="A1454" s="42" t="n"/>
    </row>
    <row r="1455">
      <c r="A1455" s="42" t="n"/>
    </row>
    <row r="1456">
      <c r="A1456" s="42" t="n"/>
    </row>
    <row r="1457">
      <c r="A1457" s="42" t="n"/>
    </row>
    <row r="1458">
      <c r="A1458" s="42" t="n"/>
    </row>
    <row r="1459">
      <c r="A1459" s="42" t="n"/>
    </row>
    <row r="1460">
      <c r="A1460" s="42" t="n"/>
    </row>
    <row r="1461">
      <c r="A1461" s="42" t="n"/>
    </row>
    <row r="1462">
      <c r="A1462" s="42" t="n"/>
    </row>
    <row r="1463">
      <c r="A1463" s="42" t="n"/>
    </row>
    <row r="1464">
      <c r="A1464" s="42" t="n"/>
    </row>
    <row r="1465">
      <c r="A1465" s="42" t="n"/>
    </row>
    <row r="1466">
      <c r="A1466" s="42" t="n"/>
    </row>
    <row r="1467">
      <c r="A1467" s="42" t="n"/>
    </row>
    <row r="1468">
      <c r="A1468" s="42" t="n"/>
    </row>
    <row r="1469">
      <c r="A1469" s="42" t="n"/>
    </row>
    <row r="1470">
      <c r="A1470" s="42" t="n"/>
    </row>
    <row r="1471">
      <c r="A1471" s="42" t="n"/>
    </row>
    <row r="1472">
      <c r="A1472" s="42" t="n"/>
    </row>
    <row r="1473">
      <c r="A1473" s="42" t="n"/>
    </row>
    <row r="1474">
      <c r="A1474" s="42" t="n"/>
    </row>
    <row r="1475">
      <c r="A1475" s="42" t="n"/>
    </row>
    <row r="1476">
      <c r="A1476" s="42" t="n"/>
    </row>
    <row r="1477">
      <c r="A1477" s="42" t="n"/>
    </row>
    <row r="1478">
      <c r="A1478" s="42" t="n"/>
    </row>
    <row r="1479">
      <c r="A1479" s="42" t="n"/>
    </row>
    <row r="1480">
      <c r="A1480" s="42" t="n"/>
    </row>
    <row r="1481">
      <c r="A1481" s="42" t="n"/>
    </row>
    <row r="1482">
      <c r="A1482" s="42" t="n"/>
    </row>
    <row r="1483">
      <c r="A1483" s="42" t="n"/>
    </row>
    <row r="1484">
      <c r="A1484" s="42" t="n"/>
    </row>
    <row r="1485">
      <c r="A1485" s="42" t="n"/>
    </row>
    <row r="1486">
      <c r="A1486" s="42" t="n"/>
    </row>
    <row r="1487">
      <c r="A1487" s="42" t="n"/>
    </row>
    <row r="1488">
      <c r="A1488" s="42" t="n"/>
    </row>
    <row r="1489">
      <c r="A1489" s="42" t="n"/>
    </row>
    <row r="1490">
      <c r="A1490" s="42" t="n"/>
    </row>
    <row r="1491">
      <c r="A1491" s="42" t="n"/>
    </row>
    <row r="1492">
      <c r="A1492" s="42" t="n"/>
    </row>
    <row r="1493">
      <c r="A1493" s="42" t="n"/>
    </row>
    <row r="1494">
      <c r="A1494" s="42" t="n"/>
    </row>
    <row r="1495">
      <c r="A1495" s="42" t="n"/>
    </row>
    <row r="1496">
      <c r="A1496" s="42" t="n"/>
    </row>
    <row r="1497">
      <c r="A1497" s="42" t="n"/>
    </row>
    <row r="1498">
      <c r="A1498" s="42" t="n"/>
    </row>
    <row r="1499">
      <c r="A1499" s="42" t="n"/>
    </row>
    <row r="1500">
      <c r="A1500" s="42" t="n"/>
    </row>
    <row r="1501">
      <c r="A1501" s="42" t="n"/>
    </row>
    <row r="1502">
      <c r="A1502" s="42" t="n"/>
    </row>
    <row r="1503">
      <c r="A1503" s="42" t="n"/>
    </row>
    <row r="1504">
      <c r="A1504" s="42" t="n"/>
    </row>
    <row r="1505">
      <c r="A1505" s="42" t="n"/>
    </row>
    <row r="1506">
      <c r="A1506" s="42" t="n"/>
    </row>
    <row r="1507">
      <c r="A1507" s="42" t="n"/>
    </row>
    <row r="1508">
      <c r="A1508" s="42" t="n"/>
    </row>
    <row r="1509">
      <c r="A1509" s="42" t="n"/>
    </row>
    <row r="1510">
      <c r="A1510" s="42" t="n"/>
    </row>
    <row r="1511">
      <c r="A1511" s="42" t="n"/>
    </row>
    <row r="1512">
      <c r="A1512" s="42" t="n"/>
    </row>
    <row r="1513">
      <c r="A1513" s="42" t="n"/>
    </row>
    <row r="1514">
      <c r="A1514" s="42" t="n"/>
    </row>
    <row r="1515">
      <c r="A1515" s="42" t="n"/>
    </row>
    <row r="1516">
      <c r="A1516" s="42" t="n"/>
    </row>
    <row r="1517">
      <c r="A1517" s="42" t="n"/>
    </row>
    <row r="1518">
      <c r="A1518" s="42" t="n"/>
    </row>
    <row r="1519">
      <c r="A1519" s="42" t="n"/>
    </row>
    <row r="1520">
      <c r="A1520" s="42" t="n"/>
    </row>
    <row r="1521">
      <c r="A1521" s="42" t="n"/>
    </row>
    <row r="1522">
      <c r="A1522" s="42" t="n"/>
    </row>
    <row r="1523">
      <c r="A1523" s="42" t="n"/>
    </row>
    <row r="1524">
      <c r="A1524" s="42" t="n"/>
    </row>
    <row r="1525">
      <c r="A1525" s="42" t="n"/>
    </row>
    <row r="1526">
      <c r="A1526" s="42" t="n"/>
    </row>
    <row r="1527">
      <c r="A1527" s="42" t="n"/>
    </row>
    <row r="1528">
      <c r="A1528" s="42" t="n"/>
    </row>
    <row r="1529">
      <c r="A1529" s="42" t="n"/>
    </row>
    <row r="1530">
      <c r="A1530" s="42" t="n"/>
    </row>
    <row r="1531">
      <c r="A1531" s="42" t="n"/>
    </row>
    <row r="1532">
      <c r="A1532" s="42" t="n"/>
    </row>
    <row r="1533">
      <c r="A1533" s="42" t="n"/>
    </row>
    <row r="1534">
      <c r="A1534" s="42" t="n"/>
    </row>
    <row r="1535">
      <c r="A1535" s="42" t="n"/>
    </row>
    <row r="1536">
      <c r="A1536" s="42" t="n"/>
    </row>
    <row r="1537">
      <c r="A1537" s="42" t="n"/>
    </row>
    <row r="1538">
      <c r="A1538" s="42" t="n"/>
    </row>
    <row r="1539">
      <c r="A1539" s="42" t="n"/>
    </row>
    <row r="1540">
      <c r="A1540" s="42" t="n"/>
    </row>
    <row r="1541">
      <c r="A1541" s="42" t="n"/>
    </row>
    <row r="1542">
      <c r="A1542" s="42" t="n"/>
    </row>
    <row r="1543">
      <c r="A1543" s="42" t="n"/>
    </row>
    <row r="1544">
      <c r="A1544" s="42" t="n"/>
    </row>
    <row r="1545">
      <c r="A1545" s="42" t="n"/>
    </row>
    <row r="1546">
      <c r="A1546" s="42" t="n"/>
    </row>
    <row r="1547">
      <c r="A1547" s="42" t="n"/>
    </row>
    <row r="1548">
      <c r="A1548" s="42" t="n"/>
    </row>
    <row r="1549">
      <c r="A1549" s="42" t="n"/>
    </row>
    <row r="1550">
      <c r="A1550" s="42" t="n"/>
    </row>
    <row r="1551">
      <c r="A1551" s="42" t="n"/>
    </row>
    <row r="1552">
      <c r="A1552" s="42" t="n"/>
    </row>
    <row r="1553">
      <c r="A1553" s="42" t="n"/>
    </row>
    <row r="1554">
      <c r="A1554" s="42" t="n"/>
    </row>
    <row r="1555">
      <c r="A1555" s="42" t="n"/>
    </row>
    <row r="1556">
      <c r="A1556" s="42" t="n"/>
    </row>
    <row r="1557">
      <c r="A1557" s="42" t="n"/>
    </row>
    <row r="1558">
      <c r="A1558" s="42" t="n"/>
    </row>
    <row r="1559">
      <c r="A1559" s="42" t="n"/>
    </row>
    <row r="1560">
      <c r="A1560" s="42" t="n"/>
    </row>
    <row r="1561">
      <c r="A1561" s="42" t="n"/>
    </row>
    <row r="1562">
      <c r="A1562" s="42" t="n"/>
    </row>
    <row r="1563">
      <c r="A1563" s="42" t="n"/>
    </row>
    <row r="1564">
      <c r="A1564" s="42" t="n"/>
    </row>
    <row r="1565">
      <c r="A1565" s="42" t="n"/>
    </row>
    <row r="1566">
      <c r="A1566" s="42" t="n"/>
    </row>
    <row r="1567">
      <c r="A1567" s="42" t="n"/>
    </row>
    <row r="1568">
      <c r="A1568" s="42" t="n"/>
    </row>
    <row r="1569">
      <c r="A1569" s="42" t="n"/>
    </row>
    <row r="1570">
      <c r="A1570" s="42" t="n"/>
    </row>
    <row r="1571">
      <c r="A1571" s="42" t="n"/>
    </row>
    <row r="1572">
      <c r="A1572" s="42" t="n"/>
    </row>
    <row r="1573">
      <c r="A1573" s="42" t="n"/>
    </row>
    <row r="1574">
      <c r="A1574" s="42" t="n"/>
    </row>
    <row r="1575">
      <c r="A1575" s="42" t="n"/>
    </row>
    <row r="1576">
      <c r="A1576" s="42" t="n"/>
    </row>
    <row r="1577">
      <c r="A1577" s="42" t="n"/>
    </row>
    <row r="1578">
      <c r="A1578" s="42" t="n"/>
    </row>
    <row r="1579">
      <c r="A1579" s="42" t="n"/>
    </row>
    <row r="1580">
      <c r="A1580" s="42" t="n"/>
    </row>
    <row r="1581">
      <c r="A1581" s="42" t="n"/>
    </row>
    <row r="1582">
      <c r="A1582" s="42" t="n"/>
    </row>
    <row r="1583">
      <c r="A1583" s="42" t="n"/>
    </row>
    <row r="1584">
      <c r="A1584" s="42" t="n"/>
    </row>
    <row r="1585">
      <c r="A1585" s="42" t="n"/>
    </row>
    <row r="1586">
      <c r="A1586" s="42" t="n"/>
    </row>
    <row r="1587">
      <c r="A1587" s="42" t="n"/>
    </row>
    <row r="1588">
      <c r="A1588" s="42" t="n"/>
    </row>
    <row r="1589">
      <c r="A1589" s="42" t="n"/>
    </row>
    <row r="1590">
      <c r="A1590" s="42" t="n"/>
    </row>
    <row r="1591">
      <c r="A1591" s="42" t="n"/>
    </row>
    <row r="1592">
      <c r="A1592" s="42" t="n"/>
    </row>
    <row r="1593">
      <c r="A1593" s="42" t="n"/>
    </row>
    <row r="1594">
      <c r="A1594" s="42" t="n"/>
    </row>
    <row r="1595">
      <c r="A1595" s="42" t="n"/>
    </row>
    <row r="1596">
      <c r="A1596" s="42" t="n"/>
    </row>
    <row r="1597">
      <c r="A1597" s="42" t="n"/>
    </row>
    <row r="1598">
      <c r="A1598" s="42" t="n"/>
    </row>
    <row r="1599">
      <c r="A1599" s="42" t="n"/>
    </row>
    <row r="1600">
      <c r="A1600" s="42" t="n"/>
    </row>
    <row r="1601">
      <c r="A1601" s="42" t="n"/>
    </row>
    <row r="1602">
      <c r="A1602" s="42" t="n"/>
    </row>
    <row r="1603">
      <c r="A1603" s="42" t="n"/>
    </row>
    <row r="1604">
      <c r="A1604" s="42" t="n"/>
    </row>
    <row r="1605">
      <c r="A1605" s="42" t="n"/>
    </row>
    <row r="1606">
      <c r="A1606" s="42" t="n"/>
    </row>
    <row r="1607">
      <c r="A1607" s="42" t="n"/>
    </row>
    <row r="1608">
      <c r="A1608" s="42" t="n"/>
    </row>
    <row r="1609">
      <c r="A1609" s="42" t="n"/>
    </row>
    <row r="1610">
      <c r="A1610" s="42" t="n"/>
    </row>
    <row r="1611">
      <c r="A1611" s="42" t="n"/>
    </row>
    <row r="1612">
      <c r="A1612" s="42" t="n"/>
    </row>
    <row r="1613">
      <c r="A1613" s="42" t="n"/>
    </row>
    <row r="1614">
      <c r="A1614" s="42" t="n"/>
    </row>
    <row r="1615">
      <c r="A1615" s="42" t="n"/>
    </row>
    <row r="1616">
      <c r="A1616" s="42" t="n"/>
    </row>
    <row r="1617">
      <c r="A1617" s="42" t="n"/>
    </row>
    <row r="1618">
      <c r="A1618" s="42" t="n"/>
    </row>
    <row r="1619">
      <c r="A1619" s="42" t="n"/>
    </row>
    <row r="1620">
      <c r="A1620" s="42" t="n"/>
    </row>
    <row r="1621">
      <c r="A1621" s="42" t="n"/>
    </row>
    <row r="1622">
      <c r="A1622" s="42" t="n"/>
    </row>
    <row r="1623">
      <c r="A1623" s="42" t="n"/>
    </row>
    <row r="1624">
      <c r="A1624" s="42" t="n"/>
    </row>
    <row r="1625">
      <c r="A1625" s="42" t="n"/>
    </row>
    <row r="1626">
      <c r="A1626" s="42" t="n"/>
    </row>
    <row r="1627">
      <c r="A1627" s="42" t="n"/>
    </row>
    <row r="1628">
      <c r="A1628" s="42" t="n"/>
    </row>
    <row r="1629">
      <c r="A1629" s="42" t="n"/>
    </row>
    <row r="1630">
      <c r="A1630" s="42" t="n"/>
    </row>
    <row r="1631">
      <c r="A1631" s="42" t="n"/>
    </row>
    <row r="1632">
      <c r="A1632" s="42" t="n"/>
    </row>
    <row r="1633">
      <c r="A1633" s="42" t="n"/>
    </row>
    <row r="1634">
      <c r="A1634" s="42" t="n"/>
    </row>
    <row r="1635">
      <c r="A1635" s="42" t="n"/>
    </row>
    <row r="1636">
      <c r="A1636" s="42" t="n"/>
    </row>
    <row r="1637">
      <c r="A1637" s="42" t="n"/>
    </row>
    <row r="1638">
      <c r="A1638" s="42" t="n"/>
    </row>
    <row r="1639">
      <c r="A1639" s="42" t="n"/>
    </row>
    <row r="1640">
      <c r="A1640" s="42" t="n"/>
    </row>
    <row r="1641">
      <c r="A1641" s="42" t="n"/>
    </row>
    <row r="1642">
      <c r="A1642" s="42" t="n"/>
    </row>
    <row r="1643">
      <c r="A1643" s="42" t="n"/>
    </row>
    <row r="1644">
      <c r="A1644" s="42" t="n"/>
    </row>
    <row r="1645">
      <c r="A1645" s="42" t="n"/>
    </row>
    <row r="1646">
      <c r="A1646" s="42" t="n"/>
    </row>
    <row r="1647">
      <c r="A1647" s="42" t="n"/>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2:L2"/>
    <mergeCell ref="A1:L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700"/>
  <sheetViews>
    <sheetView workbookViewId="0">
      <selection activeCell="A1" sqref="A1"/>
    </sheetView>
  </sheetViews>
  <sheetFormatPr baseColWidth="8" defaultRowHeight="15"/>
  <cols>
    <col width="18" customWidth="1" style="51" min="1" max="1"/>
    <col width="20" customWidth="1" style="51" min="2" max="2"/>
    <col width="24" customWidth="1" style="51" min="3" max="3"/>
    <col width="26" customWidth="1" style="51" min="4" max="4"/>
    <col width="12" customWidth="1" style="51" min="5" max="5"/>
    <col width="12" customWidth="1" style="51" min="6" max="6"/>
    <col width="8" customWidth="1" style="51" min="7" max="7"/>
    <col width="20" customWidth="1" style="51" min="8" max="8"/>
    <col width="26" customWidth="1" style="51" min="9" max="9"/>
    <col width="42" customWidth="1" style="51" min="10" max="10"/>
  </cols>
  <sheetData>
    <row r="1" ht="28" customHeight="1" s="51">
      <c r="A1" s="23" t="inlineStr">
        <is>
          <t>シリーズ × 窓種 × 固有仕様 設定可否</t>
        </is>
      </c>
      <c r="B1" s="41" t="n"/>
      <c r="C1" s="41" t="n"/>
      <c r="D1" s="41" t="n"/>
      <c r="E1" s="41" t="n"/>
      <c r="F1" s="41" t="n"/>
      <c r="G1" s="41" t="n"/>
      <c r="H1" s="41" t="n"/>
      <c r="I1" s="41" t="n"/>
      <c r="J1" s="41" t="n"/>
    </row>
    <row r="2" ht="34" customHeight="1" s="51">
      <c r="A2" s="31" t="inlineStr">
        <is>
          <t>サイズはこの関係表の確定仕様に連動。面格子4種は品種別規格表との最終照合を残す。</t>
        </is>
      </c>
      <c r="B2" s="41" t="n"/>
      <c r="C2" s="41" t="n"/>
      <c r="D2" s="41" t="n"/>
      <c r="E2" s="41" t="n"/>
      <c r="F2" s="41" t="n"/>
      <c r="G2" s="41" t="n"/>
      <c r="H2" s="41" t="n"/>
      <c r="I2" s="41" t="n"/>
      <c r="J2" s="41" t="n"/>
    </row>
    <row r="3" ht="28" customHeight="1" s="51">
      <c r="A3" s="35" t="inlineStr">
        <is>
          <t>relation_id</t>
        </is>
      </c>
      <c r="B3" s="35" t="inlineStr">
        <is>
          <t>シリーズID</t>
        </is>
      </c>
      <c r="C3" s="35" t="inlineStr">
        <is>
          <t>窓種ID</t>
        </is>
      </c>
      <c r="D3" s="35" t="inlineStr">
        <is>
          <t>固有仕様ID</t>
        </is>
      </c>
      <c r="E3" s="35" t="inlineStr">
        <is>
          <t>選択可否</t>
        </is>
      </c>
      <c r="F3" s="35" t="inlineStr">
        <is>
          <t>サイズ連動</t>
        </is>
      </c>
      <c r="G3" s="35" t="inlineStr">
        <is>
          <t>有効</t>
        </is>
      </c>
      <c r="H3" s="35" t="inlineStr">
        <is>
          <t>登録状態</t>
        </is>
      </c>
      <c r="I3" s="35" t="inlineStr">
        <is>
          <t>出典</t>
        </is>
      </c>
      <c r="J3" s="35" t="inlineStr">
        <is>
          <t>備考</t>
        </is>
      </c>
    </row>
    <row r="4">
      <c r="A4" s="43" t="inlineStr">
        <is>
          <t>REL-SL-001</t>
        </is>
      </c>
      <c r="B4" s="43" t="inlineStr">
        <is>
          <t>SER-LIX-SAMOSL</t>
        </is>
      </c>
      <c r="C4" s="43" t="inlineStr">
        <is>
          <t>WT-SL-TATE-SUBERI</t>
        </is>
      </c>
      <c r="D4" s="43" t="inlineStr">
        <is>
          <t>SP-SL-TATE-OP</t>
        </is>
      </c>
      <c r="E4" s="43" t="inlineStr">
        <is>
          <t>履歴</t>
        </is>
      </c>
      <c r="F4" s="43" t="inlineStr">
        <is>
          <t>×</t>
        </is>
      </c>
      <c r="G4" s="43" t="b">
        <v>0</v>
      </c>
      <c r="H4" s="43" t="inlineStr">
        <is>
          <t>v0.5履歴エイリアス</t>
        </is>
      </c>
      <c r="I4" s="43" t="inlineStr">
        <is>
          <t>SM3100 装飾窓</t>
        </is>
      </c>
      <c r="J4" s="43" t="inlineStr">
        <is>
          <t>REL-SL-024～033へ移行</t>
        </is>
      </c>
    </row>
    <row r="5">
      <c r="A5" s="43" t="inlineStr">
        <is>
          <t>REL-SL-002</t>
        </is>
      </c>
      <c r="B5" s="43" t="inlineStr">
        <is>
          <t>SER-LIX-SAMOSL</t>
        </is>
      </c>
      <c r="C5" s="43" t="inlineStr">
        <is>
          <t>WT-SL-TATE-SUBERI</t>
        </is>
      </c>
      <c r="D5" s="43" t="inlineStr">
        <is>
          <t>SP-SL-TATE-CAM</t>
        </is>
      </c>
      <c r="E5" s="43" t="inlineStr">
        <is>
          <t>履歴</t>
        </is>
      </c>
      <c r="F5" s="43" t="inlineStr">
        <is>
          <t>×</t>
        </is>
      </c>
      <c r="G5" s="43" t="b">
        <v>0</v>
      </c>
      <c r="H5" s="43" t="inlineStr">
        <is>
          <t>v0.5履歴エイリアス</t>
        </is>
      </c>
      <c r="I5" s="43" t="inlineStr">
        <is>
          <t>SM3100 装飾窓</t>
        </is>
      </c>
      <c r="J5" s="43" t="inlineStr">
        <is>
          <t>REL-SL-024～033へ移行</t>
        </is>
      </c>
    </row>
    <row r="6">
      <c r="A6" s="43" t="inlineStr">
        <is>
          <t>REL-SL-003</t>
        </is>
      </c>
      <c r="B6" s="43" t="inlineStr">
        <is>
          <t>SER-LIX-SAMOSL</t>
        </is>
      </c>
      <c r="C6" s="43" t="inlineStr">
        <is>
          <t>WT-SL-YOKO-SUBERI</t>
        </is>
      </c>
      <c r="D6" s="43" t="inlineStr">
        <is>
          <t>SP-SL-YOKO-OP</t>
        </is>
      </c>
      <c r="E6" s="43" t="inlineStr">
        <is>
          <t>可</t>
        </is>
      </c>
      <c r="F6" s="43" t="inlineStr">
        <is>
          <t>○</t>
        </is>
      </c>
      <c r="G6" s="43" t="b">
        <v>1</v>
      </c>
      <c r="H6" s="43" t="inlineStr">
        <is>
          <t>カタログ確認済み</t>
        </is>
      </c>
      <c r="I6" s="43" t="inlineStr">
        <is>
          <t>SM3100 装飾窓</t>
        </is>
      </c>
      <c r="J6" s="43" t="str"/>
    </row>
    <row r="7">
      <c r="A7" s="43" t="inlineStr">
        <is>
          <t>REL-SL-004</t>
        </is>
      </c>
      <c r="B7" s="43" t="inlineStr">
        <is>
          <t>SER-LIX-SAMOSL</t>
        </is>
      </c>
      <c r="C7" s="43" t="inlineStr">
        <is>
          <t>WT-SL-YOKO-SUBERI</t>
        </is>
      </c>
      <c r="D7" s="43" t="inlineStr">
        <is>
          <t>SP-SL-YOKO-CAM</t>
        </is>
      </c>
      <c r="E7" s="43" t="inlineStr">
        <is>
          <t>可</t>
        </is>
      </c>
      <c r="F7" s="43" t="inlineStr">
        <is>
          <t>○</t>
        </is>
      </c>
      <c r="G7" s="43" t="b">
        <v>1</v>
      </c>
      <c r="H7" s="43" t="inlineStr">
        <is>
          <t>カタログ確認済み</t>
        </is>
      </c>
      <c r="I7" s="43" t="inlineStr">
        <is>
          <t>SM3100 装飾窓</t>
        </is>
      </c>
      <c r="J7" s="43" t="str"/>
    </row>
    <row r="8">
      <c r="A8" s="43" t="inlineStr">
        <is>
          <t>REL-SL-005</t>
        </is>
      </c>
      <c r="B8" s="43" t="inlineStr">
        <is>
          <t>SER-LIX-SAMOSL</t>
        </is>
      </c>
      <c r="C8" s="43" t="inlineStr">
        <is>
          <t>WT-SL-SHUTTER-HIKI</t>
        </is>
      </c>
      <c r="D8" s="43" t="inlineStr">
        <is>
          <t>SP-SL-SHUT-E-STD</t>
        </is>
      </c>
      <c r="E8" s="43" t="inlineStr">
        <is>
          <t>可</t>
        </is>
      </c>
      <c r="F8" s="43" t="inlineStr">
        <is>
          <t>○</t>
        </is>
      </c>
      <c r="G8" s="43" t="b">
        <v>1</v>
      </c>
      <c r="H8" s="43" t="inlineStr">
        <is>
          <t>カタログ確認済み</t>
        </is>
      </c>
      <c r="I8" s="43" t="inlineStr">
        <is>
          <t>SM3100 P78-81</t>
        </is>
      </c>
      <c r="J8" s="43" t="str"/>
    </row>
    <row r="9">
      <c r="A9" s="43" t="inlineStr">
        <is>
          <t>REL-SL-006</t>
        </is>
      </c>
      <c r="B9" s="43" t="inlineStr">
        <is>
          <t>SER-LIX-SAMOSL</t>
        </is>
      </c>
      <c r="C9" s="43" t="inlineStr">
        <is>
          <t>WT-SL-SHUTTER-HIKI</t>
        </is>
      </c>
      <c r="D9" s="43" t="inlineStr">
        <is>
          <t>SP-SL-SHUT-E-VENT</t>
        </is>
      </c>
      <c r="E9" s="43" t="inlineStr">
        <is>
          <t>可</t>
        </is>
      </c>
      <c r="F9" s="43" t="inlineStr">
        <is>
          <t>○</t>
        </is>
      </c>
      <c r="G9" s="43" t="b">
        <v>1</v>
      </c>
      <c r="H9" s="43" t="inlineStr">
        <is>
          <t>カタログ確認済み</t>
        </is>
      </c>
      <c r="I9" s="43" t="inlineStr">
        <is>
          <t>SM3100 P78-81</t>
        </is>
      </c>
      <c r="J9" s="43" t="str"/>
    </row>
    <row r="10">
      <c r="A10" s="43" t="inlineStr">
        <is>
          <t>REL-SL-007</t>
        </is>
      </c>
      <c r="B10" s="43" t="inlineStr">
        <is>
          <t>SER-LIX-SAMOSL</t>
        </is>
      </c>
      <c r="C10" s="43" t="inlineStr">
        <is>
          <t>WT-SL-SHUTTER-HIKI</t>
        </is>
      </c>
      <c r="D10" s="43" t="inlineStr">
        <is>
          <t>SP-SL-SHUT-E-WIND</t>
        </is>
      </c>
      <c r="E10" s="43" t="inlineStr">
        <is>
          <t>可</t>
        </is>
      </c>
      <c r="F10" s="43" t="inlineStr">
        <is>
          <t>○</t>
        </is>
      </c>
      <c r="G10" s="43" t="b">
        <v>1</v>
      </c>
      <c r="H10" s="43" t="inlineStr">
        <is>
          <t>カタログ確認済み</t>
        </is>
      </c>
      <c r="I10" s="43" t="inlineStr">
        <is>
          <t>SM3100 P78-81</t>
        </is>
      </c>
      <c r="J10" s="43" t="str"/>
    </row>
    <row r="11">
      <c r="A11" s="43" t="inlineStr">
        <is>
          <t>REL-SL-008</t>
        </is>
      </c>
      <c r="B11" s="43" t="inlineStr">
        <is>
          <t>SER-LIX-SAMOSL</t>
        </is>
      </c>
      <c r="C11" s="43" t="inlineStr">
        <is>
          <t>WT-SL-SHUTTER-HIKI</t>
        </is>
      </c>
      <c r="D11" s="43" t="inlineStr">
        <is>
          <t>SP-SL-SHUT-M-STD</t>
        </is>
      </c>
      <c r="E11" s="43" t="inlineStr">
        <is>
          <t>可</t>
        </is>
      </c>
      <c r="F11" s="43" t="inlineStr">
        <is>
          <t>○</t>
        </is>
      </c>
      <c r="G11" s="43" t="b">
        <v>1</v>
      </c>
      <c r="H11" s="43" t="inlineStr">
        <is>
          <t>カタログ確認済み</t>
        </is>
      </c>
      <c r="I11" s="43" t="inlineStr">
        <is>
          <t>SM3100 P78-81</t>
        </is>
      </c>
      <c r="J11" s="43" t="str"/>
    </row>
    <row r="12">
      <c r="A12" s="43" t="inlineStr">
        <is>
          <t>REL-SL-009</t>
        </is>
      </c>
      <c r="B12" s="43" t="inlineStr">
        <is>
          <t>SER-LIX-SAMOSL</t>
        </is>
      </c>
      <c r="C12" s="43" t="inlineStr">
        <is>
          <t>WT-SL-SHUTTER-HIKI</t>
        </is>
      </c>
      <c r="D12" s="43" t="inlineStr">
        <is>
          <t>SP-SL-SHUT-M-WIND</t>
        </is>
      </c>
      <c r="E12" s="43" t="inlineStr">
        <is>
          <t>可</t>
        </is>
      </c>
      <c r="F12" s="43" t="inlineStr">
        <is>
          <t>○</t>
        </is>
      </c>
      <c r="G12" s="43" t="b">
        <v>1</v>
      </c>
      <c r="H12" s="43" t="inlineStr">
        <is>
          <t>カタログ確認済み</t>
        </is>
      </c>
      <c r="I12" s="43" t="inlineStr">
        <is>
          <t>SM3100 P78-81</t>
        </is>
      </c>
      <c r="J12" s="43" t="str"/>
    </row>
    <row r="13">
      <c r="A13" s="43" t="inlineStr">
        <is>
          <t>REL-SL-010</t>
        </is>
      </c>
      <c r="B13" s="43" t="inlineStr">
        <is>
          <t>SER-LIX-SAMOSL</t>
        </is>
      </c>
      <c r="C13" s="43" t="inlineStr">
        <is>
          <t>WT-SL-AMADO-HIKI</t>
        </is>
      </c>
      <c r="D13" s="43" t="inlineStr">
        <is>
          <t>SP-SL-AMADO-LOUVER</t>
        </is>
      </c>
      <c r="E13" s="43" t="inlineStr">
        <is>
          <t>可</t>
        </is>
      </c>
      <c r="F13" s="43" t="inlineStr">
        <is>
          <t>○</t>
        </is>
      </c>
      <c r="G13" s="43" t="b">
        <v>1</v>
      </c>
      <c r="H13" s="43" t="inlineStr">
        <is>
          <t>カタログ確認済み</t>
        </is>
      </c>
      <c r="I13" s="43" t="inlineStr">
        <is>
          <t>SM3100 P126-128</t>
        </is>
      </c>
      <c r="J13" s="43" t="str"/>
    </row>
    <row r="14">
      <c r="A14" s="43" t="inlineStr">
        <is>
          <t>REL-SL-011</t>
        </is>
      </c>
      <c r="B14" s="43" t="inlineStr">
        <is>
          <t>SER-LIX-SAMOSL</t>
        </is>
      </c>
      <c r="C14" s="43" t="inlineStr">
        <is>
          <t>WT-SL-AMADO-HIKI</t>
        </is>
      </c>
      <c r="D14" s="43" t="inlineStr">
        <is>
          <t>SP-SL-AMADO-DAN</t>
        </is>
      </c>
      <c r="E14" s="43" t="inlineStr">
        <is>
          <t>可</t>
        </is>
      </c>
      <c r="F14" s="43" t="inlineStr">
        <is>
          <t>○</t>
        </is>
      </c>
      <c r="G14" s="43" t="b">
        <v>1</v>
      </c>
      <c r="H14" s="43" t="inlineStr">
        <is>
          <t>カタログ確認済み</t>
        </is>
      </c>
      <c r="I14" s="43" t="inlineStr">
        <is>
          <t>SM3100 P126-128</t>
        </is>
      </c>
      <c r="J14" s="43" t="str"/>
    </row>
    <row r="15">
      <c r="A15" s="43" t="inlineStr">
        <is>
          <t>REL-SL-012</t>
        </is>
      </c>
      <c r="B15" s="43" t="inlineStr">
        <is>
          <t>SER-LIX-SAMOSL</t>
        </is>
      </c>
      <c r="C15" s="43" t="inlineStr">
        <is>
          <t>WT-SL-AMADO-HIKI</t>
        </is>
      </c>
      <c r="D15" s="43" t="inlineStr">
        <is>
          <t>SP-SL-AMADO-ADJ</t>
        </is>
      </c>
      <c r="E15" s="43" t="inlineStr">
        <is>
          <t>可</t>
        </is>
      </c>
      <c r="F15" s="43" t="inlineStr">
        <is>
          <t>○</t>
        </is>
      </c>
      <c r="G15" s="43" t="b">
        <v>1</v>
      </c>
      <c r="H15" s="43" t="inlineStr">
        <is>
          <t>カタログ確認済み</t>
        </is>
      </c>
      <c r="I15" s="43" t="inlineStr">
        <is>
          <t>SM3100 P126-128</t>
        </is>
      </c>
      <c r="J15" s="43" t="inlineStr">
        <is>
          <t>在来のみ</t>
        </is>
      </c>
    </row>
    <row r="16">
      <c r="A16" s="47" t="inlineStr">
        <is>
          <t>REL-SL-013</t>
        </is>
      </c>
      <c r="B16" s="47" t="inlineStr">
        <is>
          <t>SER-LIX-SAMOSL</t>
        </is>
      </c>
      <c r="C16" s="47" t="inlineStr">
        <is>
          <t>WT-SL-MENKOSHI-HIKI</t>
        </is>
      </c>
      <c r="D16" s="47" t="inlineStr">
        <is>
          <t>SP-SL-GRILLE-V</t>
        </is>
      </c>
      <c r="E16" s="47" t="inlineStr">
        <is>
          <t>サイズ別制御</t>
        </is>
      </c>
      <c r="F16" s="47" t="inlineStr">
        <is>
          <t>○</t>
        </is>
      </c>
      <c r="G16" s="47" t="b">
        <v>1</v>
      </c>
      <c r="H16" s="47" t="inlineStr">
        <is>
          <t>カタログ確認済み</t>
        </is>
      </c>
      <c r="I16" s="47" t="inlineStr">
        <is>
          <t>202604 サーモスL 完成品価格表 P90-113</t>
        </is>
      </c>
      <c r="J16" s="47" t="inlineStr">
        <is>
          <t>06_サイズの有効フラグでサイズ別設定可否を制御</t>
        </is>
      </c>
    </row>
    <row r="17">
      <c r="A17" s="47" t="inlineStr">
        <is>
          <t>REL-SL-014</t>
        </is>
      </c>
      <c r="B17" s="47" t="inlineStr">
        <is>
          <t>SER-LIX-SAMOSL</t>
        </is>
      </c>
      <c r="C17" s="47" t="inlineStr">
        <is>
          <t>WT-SL-MENKOSHI-HIKI</t>
        </is>
      </c>
      <c r="D17" s="47" t="inlineStr">
        <is>
          <t>SP-SL-GRILLE-H</t>
        </is>
      </c>
      <c r="E17" s="47" t="inlineStr">
        <is>
          <t>サイズ別制御</t>
        </is>
      </c>
      <c r="F17" s="47" t="inlineStr">
        <is>
          <t>○</t>
        </is>
      </c>
      <c r="G17" s="47" t="b">
        <v>1</v>
      </c>
      <c r="H17" s="47" t="inlineStr">
        <is>
          <t>カタログ確認済み</t>
        </is>
      </c>
      <c r="I17" s="47" t="inlineStr">
        <is>
          <t>202604 サーモスL 完成品価格表 P90-113</t>
        </is>
      </c>
      <c r="J17" s="47" t="inlineStr">
        <is>
          <t>06_サイズの有効フラグでサイズ別設定可否を制御</t>
        </is>
      </c>
    </row>
    <row r="18">
      <c r="A18" s="47" t="inlineStr">
        <is>
          <t>REL-SL-015</t>
        </is>
      </c>
      <c r="B18" s="47" t="inlineStr">
        <is>
          <t>SER-LIX-SAMOSL</t>
        </is>
      </c>
      <c r="C18" s="47" t="inlineStr">
        <is>
          <t>WT-SL-MENKOSHI-HIKI</t>
        </is>
      </c>
      <c r="D18" s="47" t="inlineStr">
        <is>
          <t>SP-SL-GRILLE-DIA</t>
        </is>
      </c>
      <c r="E18" s="47" t="inlineStr">
        <is>
          <t>サイズ別制御</t>
        </is>
      </c>
      <c r="F18" s="47" t="inlineStr">
        <is>
          <t>○</t>
        </is>
      </c>
      <c r="G18" s="47" t="b">
        <v>1</v>
      </c>
      <c r="H18" s="47" t="inlineStr">
        <is>
          <t>カタログ確認済み</t>
        </is>
      </c>
      <c r="I18" s="47" t="inlineStr">
        <is>
          <t>202604 サーモスL 完成品価格表 P90-113</t>
        </is>
      </c>
      <c r="J18" s="47" t="inlineStr">
        <is>
          <t>06_サイズの有効フラグでサイズ別設定可否を制御</t>
        </is>
      </c>
    </row>
    <row r="19">
      <c r="A19" s="47" t="inlineStr">
        <is>
          <t>REL-SL-016</t>
        </is>
      </c>
      <c r="B19" s="47" t="inlineStr">
        <is>
          <t>SER-LIX-SAMOSL</t>
        </is>
      </c>
      <c r="C19" s="47" t="inlineStr">
        <is>
          <t>WT-SL-MENKOSHI-HIKI</t>
        </is>
      </c>
      <c r="D19" s="47" t="inlineStr">
        <is>
          <t>SP-SL-GRILLE-IGETA</t>
        </is>
      </c>
      <c r="E19" s="47" t="inlineStr">
        <is>
          <t>サイズ別制御</t>
        </is>
      </c>
      <c r="F19" s="47" t="inlineStr">
        <is>
          <t>○</t>
        </is>
      </c>
      <c r="G19" s="47" t="b">
        <v>1</v>
      </c>
      <c r="H19" s="47" t="inlineStr">
        <is>
          <t>カタログ確認済み</t>
        </is>
      </c>
      <c r="I19" s="47" t="inlineStr">
        <is>
          <t>202604 サーモスL 完成品価格表 P90-113</t>
        </is>
      </c>
      <c r="J19" s="47" t="inlineStr">
        <is>
          <t>06_サイズの有効フラグでサイズ別設定可否を制御</t>
        </is>
      </c>
    </row>
    <row r="20">
      <c r="A20" s="43" t="inlineStr">
        <is>
          <t>REL-SL-017</t>
        </is>
      </c>
      <c r="B20" s="43" t="inlineStr">
        <is>
          <t>SER-LIX-SAMOSL</t>
        </is>
      </c>
      <c r="C20" s="43" t="inlineStr">
        <is>
          <t>WT-SL-KAZARI-HIKI</t>
        </is>
      </c>
      <c r="D20" s="43" t="inlineStr">
        <is>
          <t>SP-SL-KAZARI-H</t>
        </is>
      </c>
      <c r="E20" s="43" t="inlineStr">
        <is>
          <t>可</t>
        </is>
      </c>
      <c r="F20" s="43" t="inlineStr">
        <is>
          <t>○</t>
        </is>
      </c>
      <c r="G20" s="43" t="b">
        <v>1</v>
      </c>
      <c r="H20" s="43" t="inlineStr">
        <is>
          <t>カタログ確認済み</t>
        </is>
      </c>
      <c r="I20" s="43" t="inlineStr">
        <is>
          <t>SM3100 P410付近</t>
        </is>
      </c>
      <c r="J20" s="43" t="inlineStr">
        <is>
          <t>サーモスLのみ設定</t>
        </is>
      </c>
    </row>
    <row r="21">
      <c r="A21" s="43" t="inlineStr">
        <is>
          <t>REL-SL-018</t>
        </is>
      </c>
      <c r="B21" s="43" t="inlineStr">
        <is>
          <t>SER-LIX-SAMOSL</t>
        </is>
      </c>
      <c r="C21" s="43" t="inlineStr">
        <is>
          <t>WT-SL-KAZARI-HIKI</t>
        </is>
      </c>
      <c r="D21" s="43" t="inlineStr">
        <is>
          <t>SP-SL-KAZARI-HK</t>
        </is>
      </c>
      <c r="E21" s="43" t="inlineStr">
        <is>
          <t>可</t>
        </is>
      </c>
      <c r="F21" s="43" t="inlineStr">
        <is>
          <t>○</t>
        </is>
      </c>
      <c r="G21" s="43" t="b">
        <v>1</v>
      </c>
      <c r="H21" s="43" t="inlineStr">
        <is>
          <t>カタログ確認済み</t>
        </is>
      </c>
      <c r="I21" s="43" t="inlineStr">
        <is>
          <t>SM3100 P410付近</t>
        </is>
      </c>
      <c r="J21" s="43" t="inlineStr">
        <is>
          <t>サーモスLのみ設定</t>
        </is>
      </c>
    </row>
    <row r="22">
      <c r="A22" s="43" t="inlineStr">
        <is>
          <t>REL-SL-019</t>
        </is>
      </c>
      <c r="B22" s="43" t="inlineStr">
        <is>
          <t>SER-LIX-SAMOSL</t>
        </is>
      </c>
      <c r="C22" s="43" t="inlineStr">
        <is>
          <t>WT-SL-KAZARI-HIKI</t>
        </is>
      </c>
      <c r="D22" s="43" t="inlineStr">
        <is>
          <t>SP-SL-KAZARI-HKK</t>
        </is>
      </c>
      <c r="E22" s="43" t="inlineStr">
        <is>
          <t>可</t>
        </is>
      </c>
      <c r="F22" s="43" t="inlineStr">
        <is>
          <t>○</t>
        </is>
      </c>
      <c r="G22" s="43" t="b">
        <v>1</v>
      </c>
      <c r="H22" s="43" t="inlineStr">
        <is>
          <t>カタログ確認済み</t>
        </is>
      </c>
      <c r="I22" s="43" t="inlineStr">
        <is>
          <t>SM3100 P410付近</t>
        </is>
      </c>
      <c r="J22" s="43" t="inlineStr">
        <is>
          <t>サーモスLのみ設定</t>
        </is>
      </c>
    </row>
    <row r="23">
      <c r="A23" s="43" t="inlineStr">
        <is>
          <t>REL-SL-020</t>
        </is>
      </c>
      <c r="B23" s="43" t="inlineStr">
        <is>
          <t>SER-LIX-SAMOSL</t>
        </is>
      </c>
      <c r="C23" s="43" t="inlineStr">
        <is>
          <t>WT-SL-MENKOSHI-AGE-FS</t>
        </is>
      </c>
      <c r="D23" s="43" t="inlineStr">
        <is>
          <t>SP-SL-AGE-GRILLE-V</t>
        </is>
      </c>
      <c r="E23" s="43" t="inlineStr">
        <is>
          <t>サイズ別制御</t>
        </is>
      </c>
      <c r="F23" s="43" t="inlineStr">
        <is>
          <t>○</t>
        </is>
      </c>
      <c r="G23" s="43" t="b">
        <v>1</v>
      </c>
      <c r="H23" s="43" t="inlineStr">
        <is>
          <t>カタログ確認済み</t>
        </is>
      </c>
      <c r="I23" s="43" t="inlineStr">
        <is>
          <t>202604 サーモスL 完成品価格表 P144-147</t>
        </is>
      </c>
      <c r="J23" s="43" t="inlineStr">
        <is>
          <t>06_サイズと連動</t>
        </is>
      </c>
    </row>
    <row r="24">
      <c r="A24" s="43" t="inlineStr">
        <is>
          <t>REL-SL-021</t>
        </is>
      </c>
      <c r="B24" s="43" t="inlineStr">
        <is>
          <t>SER-LIX-SAMOSL</t>
        </is>
      </c>
      <c r="C24" s="43" t="inlineStr">
        <is>
          <t>WT-SL-MENKOSHI-AGE-FS</t>
        </is>
      </c>
      <c r="D24" s="43" t="inlineStr">
        <is>
          <t>SP-SL-AGE-GRILLE-H</t>
        </is>
      </c>
      <c r="E24" s="43" t="inlineStr">
        <is>
          <t>サイズ別制御</t>
        </is>
      </c>
      <c r="F24" s="43" t="inlineStr">
        <is>
          <t>○</t>
        </is>
      </c>
      <c r="G24" s="43" t="b">
        <v>1</v>
      </c>
      <c r="H24" s="43" t="inlineStr">
        <is>
          <t>カタログ確認済み</t>
        </is>
      </c>
      <c r="I24" s="43" t="inlineStr">
        <is>
          <t>202604 サーモスL 完成品価格表 P144-147</t>
        </is>
      </c>
      <c r="J24" s="43" t="inlineStr">
        <is>
          <t>06_サイズと連動</t>
        </is>
      </c>
    </row>
    <row r="25">
      <c r="A25" s="43" t="inlineStr">
        <is>
          <t>REL-SL-022</t>
        </is>
      </c>
      <c r="B25" s="43" t="inlineStr">
        <is>
          <t>SER-LIX-SAMOSL</t>
        </is>
      </c>
      <c r="C25" s="43" t="inlineStr">
        <is>
          <t>WT-SL-MENKOSHI-AGE-FS</t>
        </is>
      </c>
      <c r="D25" s="43" t="inlineStr">
        <is>
          <t>SP-SL-AGE-GRILLE-DIA</t>
        </is>
      </c>
      <c r="E25" s="43" t="inlineStr">
        <is>
          <t>サイズ別制御</t>
        </is>
      </c>
      <c r="F25" s="43" t="inlineStr">
        <is>
          <t>○</t>
        </is>
      </c>
      <c r="G25" s="43" t="b">
        <v>1</v>
      </c>
      <c r="H25" s="43" t="inlineStr">
        <is>
          <t>カタログ確認済み</t>
        </is>
      </c>
      <c r="I25" s="43" t="inlineStr">
        <is>
          <t>202604 サーモスL 完成品価格表 P144-147</t>
        </is>
      </c>
      <c r="J25" s="43" t="inlineStr">
        <is>
          <t>06_サイズと連動</t>
        </is>
      </c>
    </row>
    <row r="26">
      <c r="A26" s="43" t="inlineStr">
        <is>
          <t>REL-SL-023</t>
        </is>
      </c>
      <c r="B26" s="43" t="inlineStr">
        <is>
          <t>SER-LIX-SAMOSL</t>
        </is>
      </c>
      <c r="C26" s="43" t="inlineStr">
        <is>
          <t>WT-SL-MENKOSHI-AGE-FS</t>
        </is>
      </c>
      <c r="D26" s="43" t="inlineStr">
        <is>
          <t>SP-SL-AGE-GRILLE-IGETA</t>
        </is>
      </c>
      <c r="E26" s="43" t="inlineStr">
        <is>
          <t>サイズ別制御</t>
        </is>
      </c>
      <c r="F26" s="43" t="inlineStr">
        <is>
          <t>○</t>
        </is>
      </c>
      <c r="G26" s="43" t="b">
        <v>1</v>
      </c>
      <c r="H26" s="43" t="inlineStr">
        <is>
          <t>カタログ確認済み</t>
        </is>
      </c>
      <c r="I26" s="43" t="inlineStr">
        <is>
          <t>202604 サーモスL 完成品価格表 P144-147</t>
        </is>
      </c>
      <c r="J26" s="43" t="inlineStr">
        <is>
          <t>06_サイズと連動</t>
        </is>
      </c>
    </row>
    <row r="27">
      <c r="A27" s="42" t="inlineStr">
        <is>
          <t>REL-SL-024</t>
        </is>
      </c>
      <c r="B27" t="inlineStr">
        <is>
          <t>SER-LIX-SAMOSL</t>
        </is>
      </c>
      <c r="C27" t="inlineStr">
        <is>
          <t>WT-SL-TATE-SUBERI</t>
        </is>
      </c>
      <c r="D27" t="inlineStr">
        <is>
          <t>SP-SL-TATE-OP-T</t>
        </is>
      </c>
      <c r="E27" t="inlineStr">
        <is>
          <t>可</t>
        </is>
      </c>
      <c r="F27" t="inlineStr">
        <is>
          <t>○</t>
        </is>
      </c>
      <c r="G27" t="b">
        <v>1</v>
      </c>
      <c r="H27" t="inlineStr">
        <is>
          <t>2026現行確認済み</t>
        </is>
      </c>
      <c r="I27" t="inlineStr">
        <is>
          <t>202604完成品価格表 P114-117</t>
        </is>
      </c>
      <c r="J27" t="inlineStr">
        <is>
          <t>06_サイズ詳細構成と連動</t>
        </is>
      </c>
    </row>
    <row r="28">
      <c r="A28" s="42" t="inlineStr">
        <is>
          <t>REL-SL-025</t>
        </is>
      </c>
      <c r="B28" t="inlineStr">
        <is>
          <t>SER-LIX-SAMOSL</t>
        </is>
      </c>
      <c r="C28" t="inlineStr">
        <is>
          <t>WT-SL-TATE-SUBERI</t>
        </is>
      </c>
      <c r="D28" t="inlineStr">
        <is>
          <t>SP-SL-TATE-OP-TF-OUT</t>
        </is>
      </c>
      <c r="E28" t="inlineStr">
        <is>
          <t>可</t>
        </is>
      </c>
      <c r="F28" t="inlineStr">
        <is>
          <t>○</t>
        </is>
      </c>
      <c r="G28" t="b">
        <v>1</v>
      </c>
      <c r="H28" t="inlineStr">
        <is>
          <t>2026現行確認済み</t>
        </is>
      </c>
      <c r="I28" t="inlineStr">
        <is>
          <t>P118</t>
        </is>
      </c>
      <c r="J28" t="inlineStr">
        <is>
          <t>06_サイズ詳細構成と連動</t>
        </is>
      </c>
    </row>
    <row r="29">
      <c r="A29" s="42" t="inlineStr">
        <is>
          <t>REL-SL-026</t>
        </is>
      </c>
      <c r="B29" t="inlineStr">
        <is>
          <t>SER-LIX-SAMOSL</t>
        </is>
      </c>
      <c r="C29" t="inlineStr">
        <is>
          <t>WT-SL-TATE-SUBERI</t>
        </is>
      </c>
      <c r="D29" t="inlineStr">
        <is>
          <t>SP-SL-TATE-OP-TFT-OUT</t>
        </is>
      </c>
      <c r="E29" t="inlineStr">
        <is>
          <t>可</t>
        </is>
      </c>
      <c r="F29" t="inlineStr">
        <is>
          <t>○</t>
        </is>
      </c>
      <c r="G29" t="b">
        <v>1</v>
      </c>
      <c r="H29" t="inlineStr">
        <is>
          <t>2026現行確認済み</t>
        </is>
      </c>
      <c r="I29" t="inlineStr">
        <is>
          <t>P119</t>
        </is>
      </c>
      <c r="J29" t="inlineStr">
        <is>
          <t>06_サイズ詳細構成と連動</t>
        </is>
      </c>
    </row>
    <row r="30">
      <c r="A30" s="42" t="inlineStr">
        <is>
          <t>REL-SL-027</t>
        </is>
      </c>
      <c r="B30" t="inlineStr">
        <is>
          <t>SER-LIX-SAMOSL</t>
        </is>
      </c>
      <c r="C30" t="inlineStr">
        <is>
          <t>WT-SL-TATE-SUBERI</t>
        </is>
      </c>
      <c r="D30" t="inlineStr">
        <is>
          <t>SP-SL-TATE-OP-TF-IN</t>
        </is>
      </c>
      <c r="E30" t="inlineStr">
        <is>
          <t>可</t>
        </is>
      </c>
      <c r="F30" t="inlineStr">
        <is>
          <t>○</t>
        </is>
      </c>
      <c r="G30" t="b">
        <v>1</v>
      </c>
      <c r="H30" t="inlineStr">
        <is>
          <t>2026現行確認済み</t>
        </is>
      </c>
      <c r="I30" t="inlineStr">
        <is>
          <t>P120</t>
        </is>
      </c>
      <c r="J30" t="inlineStr">
        <is>
          <t>06_サイズ詳細構成と連動</t>
        </is>
      </c>
    </row>
    <row r="31">
      <c r="A31" s="42" t="inlineStr">
        <is>
          <t>REL-SL-028</t>
        </is>
      </c>
      <c r="B31" t="inlineStr">
        <is>
          <t>SER-LIX-SAMOSL</t>
        </is>
      </c>
      <c r="C31" t="inlineStr">
        <is>
          <t>WT-SL-TATE-SUBERI</t>
        </is>
      </c>
      <c r="D31" t="inlineStr">
        <is>
          <t>SP-SL-TATE-OP-TFT-IN</t>
        </is>
      </c>
      <c r="E31" t="inlineStr">
        <is>
          <t>可</t>
        </is>
      </c>
      <c r="F31" t="inlineStr">
        <is>
          <t>○</t>
        </is>
      </c>
      <c r="G31" t="b">
        <v>1</v>
      </c>
      <c r="H31" t="inlineStr">
        <is>
          <t>2026現行確認済み</t>
        </is>
      </c>
      <c r="I31" t="inlineStr">
        <is>
          <t>P121</t>
        </is>
      </c>
      <c r="J31" t="inlineStr">
        <is>
          <t>06_サイズ詳細構成と連動</t>
        </is>
      </c>
    </row>
    <row r="32">
      <c r="A32" s="42" t="inlineStr">
        <is>
          <t>REL-SL-029</t>
        </is>
      </c>
      <c r="B32" t="inlineStr">
        <is>
          <t>SER-LIX-SAMOSL</t>
        </is>
      </c>
      <c r="C32" t="inlineStr">
        <is>
          <t>WT-SL-TATE-SUBERI</t>
        </is>
      </c>
      <c r="D32" t="inlineStr">
        <is>
          <t>SP-SL-TATE-CAM-T</t>
        </is>
      </c>
      <c r="E32" t="inlineStr">
        <is>
          <t>可</t>
        </is>
      </c>
      <c r="F32" t="inlineStr">
        <is>
          <t>○</t>
        </is>
      </c>
      <c r="G32" t="b">
        <v>1</v>
      </c>
      <c r="H32" t="inlineStr">
        <is>
          <t>2026現行確認済み</t>
        </is>
      </c>
      <c r="I32" t="inlineStr">
        <is>
          <t>P122-125</t>
        </is>
      </c>
      <c r="J32" t="inlineStr">
        <is>
          <t>06_サイズ詳細構成と連動</t>
        </is>
      </c>
    </row>
    <row r="33">
      <c r="A33" s="42" t="inlineStr">
        <is>
          <t>REL-SL-030</t>
        </is>
      </c>
      <c r="B33" t="inlineStr">
        <is>
          <t>SER-LIX-SAMOSL</t>
        </is>
      </c>
      <c r="C33" t="inlineStr">
        <is>
          <t>WT-SL-TATE-SUBERI</t>
        </is>
      </c>
      <c r="D33" t="inlineStr">
        <is>
          <t>SP-SL-TATE-CAM-TF-OUT</t>
        </is>
      </c>
      <c r="E33" t="inlineStr">
        <is>
          <t>可</t>
        </is>
      </c>
      <c r="F33" t="inlineStr">
        <is>
          <t>○</t>
        </is>
      </c>
      <c r="G33" t="b">
        <v>1</v>
      </c>
      <c r="H33" t="inlineStr">
        <is>
          <t>2026現行確認済み</t>
        </is>
      </c>
      <c r="I33" t="inlineStr">
        <is>
          <t>P126</t>
        </is>
      </c>
      <c r="J33" t="inlineStr">
        <is>
          <t>06_サイズ詳細構成と連動</t>
        </is>
      </c>
    </row>
    <row r="34">
      <c r="A34" s="42" t="inlineStr">
        <is>
          <t>REL-SL-031</t>
        </is>
      </c>
      <c r="B34" t="inlineStr">
        <is>
          <t>SER-LIX-SAMOSL</t>
        </is>
      </c>
      <c r="C34" t="inlineStr">
        <is>
          <t>WT-SL-TATE-SUBERI</t>
        </is>
      </c>
      <c r="D34" t="inlineStr">
        <is>
          <t>SP-SL-TATE-CAM-TFT-OUT</t>
        </is>
      </c>
      <c r="E34" t="inlineStr">
        <is>
          <t>可</t>
        </is>
      </c>
      <c r="F34" t="inlineStr">
        <is>
          <t>○</t>
        </is>
      </c>
      <c r="G34" t="b">
        <v>1</v>
      </c>
      <c r="H34" t="inlineStr">
        <is>
          <t>2026現行確認済み</t>
        </is>
      </c>
      <c r="I34" t="inlineStr">
        <is>
          <t>P127</t>
        </is>
      </c>
      <c r="J34" t="inlineStr">
        <is>
          <t>06_サイズ詳細構成と連動</t>
        </is>
      </c>
    </row>
    <row r="35">
      <c r="A35" s="42" t="inlineStr">
        <is>
          <t>REL-SL-032</t>
        </is>
      </c>
      <c r="B35" t="inlineStr">
        <is>
          <t>SER-LIX-SAMOSL</t>
        </is>
      </c>
      <c r="C35" t="inlineStr">
        <is>
          <t>WT-SL-TATE-SUBERI</t>
        </is>
      </c>
      <c r="D35" t="inlineStr">
        <is>
          <t>SP-SL-TATE-CAM-TF-IN</t>
        </is>
      </c>
      <c r="E35" t="inlineStr">
        <is>
          <t>可</t>
        </is>
      </c>
      <c r="F35" t="inlineStr">
        <is>
          <t>○</t>
        </is>
      </c>
      <c r="G35" t="b">
        <v>1</v>
      </c>
      <c r="H35" t="inlineStr">
        <is>
          <t>2026現行確認済み</t>
        </is>
      </c>
      <c r="I35" t="inlineStr">
        <is>
          <t>P128</t>
        </is>
      </c>
      <c r="J35" t="inlineStr">
        <is>
          <t>06_サイズ詳細構成と連動</t>
        </is>
      </c>
    </row>
    <row r="36">
      <c r="A36" s="42" t="inlineStr">
        <is>
          <t>REL-SL-033</t>
        </is>
      </c>
      <c r="B36" t="inlineStr">
        <is>
          <t>SER-LIX-SAMOSL</t>
        </is>
      </c>
      <c r="C36" t="inlineStr">
        <is>
          <t>WT-SL-TATE-SUBERI</t>
        </is>
      </c>
      <c r="D36" t="inlineStr">
        <is>
          <t>SP-SL-TATE-CAM-TFT-IN</t>
        </is>
      </c>
      <c r="E36" t="inlineStr">
        <is>
          <t>可</t>
        </is>
      </c>
      <c r="F36" t="inlineStr">
        <is>
          <t>○</t>
        </is>
      </c>
      <c r="G36" t="b">
        <v>1</v>
      </c>
      <c r="H36" t="inlineStr">
        <is>
          <t>2026現行確認済み</t>
        </is>
      </c>
      <c r="I36" t="inlineStr">
        <is>
          <t>P129</t>
        </is>
      </c>
      <c r="J36" t="inlineStr">
        <is>
          <t>06_サイズ詳細構成と連動</t>
        </is>
      </c>
    </row>
    <row r="37">
      <c r="A37" s="42" t="inlineStr">
        <is>
          <t>REL-SL-034</t>
        </is>
      </c>
      <c r="B37" t="inlineStr">
        <is>
          <t>SER-LIX-SAMOSL</t>
        </is>
      </c>
      <c r="C37" t="inlineStr">
        <is>
          <t>WT-SL-KOSHO-YOKO</t>
        </is>
      </c>
      <c r="D37" t="inlineStr">
        <is>
          <t>SP-SL-KOSHO-HANDLE</t>
        </is>
      </c>
      <c r="E37" t="inlineStr">
        <is>
          <t>サイズ別制御</t>
        </is>
      </c>
      <c r="F37" t="inlineStr">
        <is>
          <t>○</t>
        </is>
      </c>
      <c r="G37" t="b">
        <v>1</v>
      </c>
      <c r="H37" t="inlineStr">
        <is>
          <t>v0.6価格表確認済み</t>
        </is>
      </c>
      <c r="I37" t="inlineStr">
        <is>
          <t>P138-141/P254</t>
        </is>
      </c>
      <c r="J37" t="inlineStr">
        <is>
          <t>06Bでサイズ別可否</t>
        </is>
      </c>
    </row>
    <row r="38">
      <c r="A38" s="42" t="inlineStr">
        <is>
          <t>REL-SL-035</t>
        </is>
      </c>
      <c r="B38" t="inlineStr">
        <is>
          <t>SER-LIX-SAMOSL</t>
        </is>
      </c>
      <c r="C38" t="inlineStr">
        <is>
          <t>WT-SL-KOSHO-YOKO</t>
        </is>
      </c>
      <c r="D38" t="inlineStr">
        <is>
          <t>SP-SL-KOSHO-SINGLE</t>
        </is>
      </c>
      <c r="E38" t="inlineStr">
        <is>
          <t>サイズ別制御</t>
        </is>
      </c>
      <c r="F38" t="inlineStr">
        <is>
          <t>○</t>
        </is>
      </c>
      <c r="G38" t="b">
        <v>1</v>
      </c>
      <c r="H38" t="inlineStr">
        <is>
          <t>v0.6価格表確認済み</t>
        </is>
      </c>
      <c r="I38" t="inlineStr">
        <is>
          <t>P138-141/P254</t>
        </is>
      </c>
      <c r="J38" t="inlineStr">
        <is>
          <t>06Bでサイズ別可否</t>
        </is>
      </c>
    </row>
    <row r="39">
      <c r="A39" s="42" t="inlineStr">
        <is>
          <t>REL-SL-036</t>
        </is>
      </c>
      <c r="B39" t="inlineStr">
        <is>
          <t>SER-LIX-SAMOSL</t>
        </is>
      </c>
      <c r="C39" t="inlineStr">
        <is>
          <t>WT-SL-KOSHO-YOKO</t>
        </is>
      </c>
      <c r="D39" t="inlineStr">
        <is>
          <t>SP-SL-KOSHO-DOUBLE</t>
        </is>
      </c>
      <c r="E39" t="inlineStr">
        <is>
          <t>サイズ別制御</t>
        </is>
      </c>
      <c r="F39" t="inlineStr">
        <is>
          <t>○</t>
        </is>
      </c>
      <c r="G39" t="b">
        <v>1</v>
      </c>
      <c r="H39" t="inlineStr">
        <is>
          <t>v0.6価格表確認済み</t>
        </is>
      </c>
      <c r="I39" t="inlineStr">
        <is>
          <t>P138-141/P254</t>
        </is>
      </c>
      <c r="J39" t="inlineStr">
        <is>
          <t>06Bでサイズ別可否</t>
        </is>
      </c>
    </row>
    <row r="40">
      <c r="A40" s="42" t="inlineStr">
        <is>
          <t>REL-SL-037</t>
        </is>
      </c>
      <c r="B40" t="inlineStr">
        <is>
          <t>SER-LIX-SAMOSL</t>
        </is>
      </c>
      <c r="C40" t="inlineStr">
        <is>
          <t>WT-SL-KOSHO-YOKO</t>
        </is>
      </c>
      <c r="D40" t="inlineStr">
        <is>
          <t>SP-SL-KOSHO-ELECTRIC</t>
        </is>
      </c>
      <c r="E40" t="inlineStr">
        <is>
          <t>サイズ別制御</t>
        </is>
      </c>
      <c r="F40" t="inlineStr">
        <is>
          <t>○</t>
        </is>
      </c>
      <c r="G40" t="b">
        <v>1</v>
      </c>
      <c r="H40" t="inlineStr">
        <is>
          <t>v0.6価格表確認済み</t>
        </is>
      </c>
      <c r="I40" t="inlineStr">
        <is>
          <t>P138-141/P254</t>
        </is>
      </c>
      <c r="J40" t="inlineStr">
        <is>
          <t>06Bでサイズ別可否</t>
        </is>
      </c>
    </row>
    <row r="41">
      <c r="A41" s="42" t="inlineStr">
        <is>
          <t>REL-SL-038</t>
        </is>
      </c>
      <c r="B41" t="inlineStr">
        <is>
          <t>SER-LIX-SAMOSL</t>
        </is>
      </c>
      <c r="C41" t="inlineStr">
        <is>
          <t>WT-SL-SOTODAOSHI</t>
        </is>
      </c>
      <c r="D41" t="inlineStr">
        <is>
          <t>SP-SL-OUTWARD-E</t>
        </is>
      </c>
      <c r="E41" t="inlineStr">
        <is>
          <t>可</t>
        </is>
      </c>
      <c r="F41" t="inlineStr">
        <is>
          <t>サイズ共有/06C連動</t>
        </is>
      </c>
      <c r="G41" t="b">
        <v>1</v>
      </c>
      <c r="H41" t="inlineStr">
        <is>
          <t>2026現行確認済み</t>
        </is>
      </c>
      <c r="I41" t="inlineStr">
        <is>
          <t>商品カタログ P224</t>
        </is>
      </c>
      <c r="J41" t="inlineStr">
        <is>
          <t>規格06は窓種共通、特注06Cで固有仕様判定</t>
        </is>
      </c>
    </row>
    <row r="42">
      <c r="A42" s="42" t="inlineStr">
        <is>
          <t>REL-SL-039</t>
        </is>
      </c>
      <c r="B42" t="inlineStr">
        <is>
          <t>SER-LIX-SAMOSL</t>
        </is>
      </c>
      <c r="C42" t="inlineStr">
        <is>
          <t>WT-SL-SOTODAOSHI</t>
        </is>
      </c>
      <c r="D42" t="inlineStr">
        <is>
          <t>SP-SL-OUTWARD-EE</t>
        </is>
      </c>
      <c r="E42" t="inlineStr">
        <is>
          <t>可</t>
        </is>
      </c>
      <c r="F42" t="inlineStr">
        <is>
          <t>サイズ共有/06C連動</t>
        </is>
      </c>
      <c r="G42" t="b">
        <v>1</v>
      </c>
      <c r="H42" t="inlineStr">
        <is>
          <t>2026現行確認済み</t>
        </is>
      </c>
      <c r="I42" t="inlineStr">
        <is>
          <t>商品カタログ P224</t>
        </is>
      </c>
      <c r="J42" t="inlineStr">
        <is>
          <t>規格06は窓種共通、特注06Cで固有仕様判定</t>
        </is>
      </c>
    </row>
    <row r="43">
      <c r="A43" s="42" t="inlineStr">
        <is>
          <t>REL-SL-040</t>
        </is>
      </c>
      <c r="B43" t="inlineStr">
        <is>
          <t>SER-LIX-SAMOSL</t>
        </is>
      </c>
      <c r="C43" t="inlineStr">
        <is>
          <t>WT-SL-KATTEGUCHI</t>
        </is>
      </c>
      <c r="D43" t="inlineStr">
        <is>
          <t>SP-SL-KD-WAIST</t>
        </is>
      </c>
      <c r="E43" t="inlineStr">
        <is>
          <t>可</t>
        </is>
      </c>
      <c r="F43" t="inlineStr">
        <is>
          <t>サイズ共有/06C連動</t>
        </is>
      </c>
      <c r="G43" t="b">
        <v>1</v>
      </c>
      <c r="H43" t="inlineStr">
        <is>
          <t>2026現行確認済み</t>
        </is>
      </c>
      <c r="I43" t="inlineStr">
        <is>
          <t>完成品価格表/商品カタログ</t>
        </is>
      </c>
      <c r="J43" t="inlineStr">
        <is>
          <t>規格06は窓種共通、特注06Cで固有仕様判定</t>
        </is>
      </c>
    </row>
    <row r="44">
      <c r="A44" s="42" t="inlineStr">
        <is>
          <t>REL-SL-041</t>
        </is>
      </c>
      <c r="B44" t="inlineStr">
        <is>
          <t>SER-LIX-SAMOSL</t>
        </is>
      </c>
      <c r="C44" t="inlineStr">
        <is>
          <t>WT-SL-KATTEGUCHI</t>
        </is>
      </c>
      <c r="D44" t="inlineStr">
        <is>
          <t>SP-SL-KD-FULLGLASS</t>
        </is>
      </c>
      <c r="E44" t="inlineStr">
        <is>
          <t>可</t>
        </is>
      </c>
      <c r="F44" t="inlineStr">
        <is>
          <t>サイズ共有/06C連動</t>
        </is>
      </c>
      <c r="G44" t="b">
        <v>1</v>
      </c>
      <c r="H44" t="inlineStr">
        <is>
          <t>2026現行確認済み</t>
        </is>
      </c>
      <c r="I44" t="inlineStr">
        <is>
          <t>完成品価格表/商品カタログ</t>
        </is>
      </c>
      <c r="J44" t="inlineStr">
        <is>
          <t>規格06は窓種共通、特注06Cで固有仕様判定</t>
        </is>
      </c>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row r="201">
      <c r="A201" s="42" t="n"/>
    </row>
    <row r="202">
      <c r="A202" s="42" t="n"/>
    </row>
    <row r="203">
      <c r="A203" s="42" t="n"/>
    </row>
    <row r="204">
      <c r="A204" s="42" t="n"/>
    </row>
    <row r="205">
      <c r="A205" s="42" t="n"/>
    </row>
    <row r="206">
      <c r="A206" s="42" t="n"/>
    </row>
    <row r="207">
      <c r="A207" s="42" t="n"/>
    </row>
    <row r="208">
      <c r="A208" s="42" t="n"/>
    </row>
    <row r="209">
      <c r="A209" s="42" t="n"/>
    </row>
    <row r="210">
      <c r="A210" s="42" t="n"/>
    </row>
    <row r="211">
      <c r="A211" s="42" t="n"/>
    </row>
    <row r="212">
      <c r="A212" s="42" t="n"/>
    </row>
    <row r="213">
      <c r="A213" s="42" t="n"/>
    </row>
    <row r="214">
      <c r="A214" s="42" t="n"/>
    </row>
    <row r="215">
      <c r="A215" s="42" t="n"/>
    </row>
    <row r="216">
      <c r="A216" s="42" t="n"/>
    </row>
    <row r="217">
      <c r="A217" s="42" t="n"/>
    </row>
    <row r="218">
      <c r="A218" s="42" t="n"/>
    </row>
    <row r="219">
      <c r="A219" s="42" t="n"/>
    </row>
    <row r="220">
      <c r="A220" s="42" t="n"/>
    </row>
    <row r="221">
      <c r="A221" s="42" t="n"/>
    </row>
    <row r="222">
      <c r="A222" s="42" t="n"/>
    </row>
    <row r="223">
      <c r="A223" s="42" t="n"/>
    </row>
    <row r="224">
      <c r="A224" s="42" t="n"/>
    </row>
    <row r="225">
      <c r="A225" s="42" t="n"/>
    </row>
    <row r="226">
      <c r="A226" s="42" t="n"/>
    </row>
    <row r="227">
      <c r="A227" s="42" t="n"/>
    </row>
    <row r="228">
      <c r="A228" s="42" t="n"/>
    </row>
    <row r="229">
      <c r="A229" s="42" t="n"/>
    </row>
    <row r="230">
      <c r="A230" s="42" t="n"/>
    </row>
    <row r="231">
      <c r="A231" s="42" t="n"/>
    </row>
    <row r="232">
      <c r="A232" s="42" t="n"/>
    </row>
    <row r="233">
      <c r="A233" s="42" t="n"/>
    </row>
    <row r="234">
      <c r="A234" s="42" t="n"/>
    </row>
    <row r="235">
      <c r="A235" s="42" t="n"/>
    </row>
    <row r="236">
      <c r="A236" s="42" t="n"/>
    </row>
    <row r="237">
      <c r="A237" s="42" t="n"/>
    </row>
    <row r="238">
      <c r="A238" s="42" t="n"/>
    </row>
    <row r="239">
      <c r="A239" s="42" t="n"/>
    </row>
    <row r="240">
      <c r="A240" s="42" t="n"/>
    </row>
    <row r="241">
      <c r="A241" s="42" t="n"/>
    </row>
    <row r="242">
      <c r="A242" s="42" t="n"/>
    </row>
    <row r="243">
      <c r="A243" s="42" t="n"/>
    </row>
    <row r="244">
      <c r="A244" s="42" t="n"/>
    </row>
    <row r="245">
      <c r="A245" s="42" t="n"/>
    </row>
    <row r="246">
      <c r="A246" s="42" t="n"/>
    </row>
    <row r="247">
      <c r="A247" s="42" t="n"/>
    </row>
    <row r="248">
      <c r="A248" s="42" t="n"/>
    </row>
    <row r="249">
      <c r="A249" s="42" t="n"/>
    </row>
    <row r="250">
      <c r="A250" s="42" t="n"/>
    </row>
    <row r="251">
      <c r="A251" s="42" t="n"/>
    </row>
    <row r="252">
      <c r="A252" s="42" t="n"/>
    </row>
    <row r="253">
      <c r="A253" s="42" t="n"/>
    </row>
    <row r="254">
      <c r="A254" s="42" t="n"/>
    </row>
    <row r="255">
      <c r="A255" s="42" t="n"/>
    </row>
    <row r="256">
      <c r="A256" s="42" t="n"/>
    </row>
    <row r="257">
      <c r="A257" s="42" t="n"/>
    </row>
    <row r="258">
      <c r="A258" s="42" t="n"/>
    </row>
    <row r="259">
      <c r="A259" s="42" t="n"/>
    </row>
    <row r="260">
      <c r="A260" s="42" t="n"/>
    </row>
    <row r="261">
      <c r="A261" s="42" t="n"/>
    </row>
    <row r="262">
      <c r="A262" s="42" t="n"/>
    </row>
    <row r="263">
      <c r="A263" s="42" t="n"/>
    </row>
    <row r="264">
      <c r="A264" s="42" t="n"/>
    </row>
    <row r="265">
      <c r="A265" s="42" t="n"/>
    </row>
    <row r="266">
      <c r="A266" s="42" t="n"/>
    </row>
    <row r="267">
      <c r="A267" s="42" t="n"/>
    </row>
    <row r="268">
      <c r="A268" s="42" t="n"/>
    </row>
    <row r="269">
      <c r="A269" s="42" t="n"/>
    </row>
    <row r="270">
      <c r="A270" s="42" t="n"/>
    </row>
    <row r="271">
      <c r="A271" s="42" t="n"/>
    </row>
    <row r="272">
      <c r="A272" s="42" t="n"/>
    </row>
    <row r="273">
      <c r="A273" s="42" t="n"/>
    </row>
    <row r="274">
      <c r="A274" s="42" t="n"/>
    </row>
    <row r="275">
      <c r="A275" s="42" t="n"/>
    </row>
    <row r="276">
      <c r="A276" s="42" t="n"/>
    </row>
    <row r="277">
      <c r="A277" s="42" t="n"/>
    </row>
    <row r="278">
      <c r="A278" s="42" t="n"/>
    </row>
    <row r="279">
      <c r="A279" s="42" t="n"/>
    </row>
    <row r="280">
      <c r="A280" s="42" t="n"/>
    </row>
    <row r="281">
      <c r="A281" s="42" t="n"/>
    </row>
    <row r="282">
      <c r="A282" s="42" t="n"/>
    </row>
    <row r="283">
      <c r="A283" s="42" t="n"/>
    </row>
    <row r="284">
      <c r="A284" s="42" t="n"/>
    </row>
    <row r="285">
      <c r="A285" s="42" t="n"/>
    </row>
    <row r="286">
      <c r="A286" s="42" t="n"/>
    </row>
    <row r="287">
      <c r="A287" s="42" t="n"/>
    </row>
    <row r="288">
      <c r="A288" s="42" t="n"/>
    </row>
    <row r="289">
      <c r="A289" s="42" t="n"/>
    </row>
    <row r="290">
      <c r="A290" s="42" t="n"/>
    </row>
    <row r="291">
      <c r="A291" s="42" t="n"/>
    </row>
    <row r="292">
      <c r="A292" s="42" t="n"/>
    </row>
    <row r="293">
      <c r="A293" s="42" t="n"/>
    </row>
    <row r="294">
      <c r="A294" s="42" t="n"/>
    </row>
    <row r="295">
      <c r="A295" s="42" t="n"/>
    </row>
    <row r="296">
      <c r="A296" s="42" t="n"/>
    </row>
    <row r="297">
      <c r="A297" s="42" t="n"/>
    </row>
    <row r="298">
      <c r="A298" s="42" t="n"/>
    </row>
    <row r="299">
      <c r="A299" s="42" t="n"/>
    </row>
    <row r="300">
      <c r="A300" s="42" t="n"/>
    </row>
    <row r="301">
      <c r="A301" s="42" t="n"/>
    </row>
    <row r="302">
      <c r="A302" s="42" t="n"/>
    </row>
    <row r="303">
      <c r="A303" s="42" t="n"/>
    </row>
    <row r="304">
      <c r="A304" s="42" t="n"/>
    </row>
    <row r="305">
      <c r="A305" s="42" t="n"/>
    </row>
    <row r="306">
      <c r="A306" s="42" t="n"/>
    </row>
    <row r="307">
      <c r="A307" s="42" t="n"/>
    </row>
    <row r="308">
      <c r="A308" s="42" t="n"/>
    </row>
    <row r="309">
      <c r="A309" s="42" t="n"/>
    </row>
    <row r="310">
      <c r="A310" s="42" t="n"/>
    </row>
    <row r="311">
      <c r="A311" s="42" t="n"/>
    </row>
    <row r="312">
      <c r="A312" s="42" t="n"/>
    </row>
    <row r="313">
      <c r="A313" s="42" t="n"/>
    </row>
    <row r="314">
      <c r="A314" s="42" t="n"/>
    </row>
    <row r="315">
      <c r="A315" s="42" t="n"/>
    </row>
    <row r="316">
      <c r="A316" s="42" t="n"/>
    </row>
    <row r="317">
      <c r="A317" s="42" t="n"/>
    </row>
    <row r="318">
      <c r="A318" s="42" t="n"/>
    </row>
    <row r="319">
      <c r="A319" s="42" t="n"/>
    </row>
    <row r="320">
      <c r="A320" s="42" t="n"/>
    </row>
    <row r="321">
      <c r="A321" s="42" t="n"/>
    </row>
    <row r="322">
      <c r="A322" s="42" t="n"/>
    </row>
    <row r="323">
      <c r="A323" s="42" t="n"/>
    </row>
    <row r="324">
      <c r="A324" s="42" t="n"/>
    </row>
    <row r="325">
      <c r="A325" s="42" t="n"/>
    </row>
    <row r="326">
      <c r="A326" s="42" t="n"/>
    </row>
    <row r="327">
      <c r="A327" s="42" t="n"/>
    </row>
    <row r="328">
      <c r="A328" s="42" t="n"/>
    </row>
    <row r="329">
      <c r="A329" s="42" t="n"/>
    </row>
    <row r="330">
      <c r="A330" s="42" t="n"/>
    </row>
    <row r="331">
      <c r="A331" s="42" t="n"/>
    </row>
    <row r="332">
      <c r="A332" s="42" t="n"/>
    </row>
    <row r="333">
      <c r="A333" s="42" t="n"/>
    </row>
    <row r="334">
      <c r="A334" s="42" t="n"/>
    </row>
    <row r="335">
      <c r="A335" s="42" t="n"/>
    </row>
    <row r="336">
      <c r="A336" s="42" t="n"/>
    </row>
    <row r="337">
      <c r="A337" s="42" t="n"/>
    </row>
    <row r="338">
      <c r="A338" s="42" t="n"/>
    </row>
    <row r="339">
      <c r="A339" s="42" t="n"/>
    </row>
    <row r="340">
      <c r="A340" s="42" t="n"/>
    </row>
    <row r="341">
      <c r="A341" s="42" t="n"/>
    </row>
    <row r="342">
      <c r="A342" s="42" t="n"/>
    </row>
    <row r="343">
      <c r="A343" s="42" t="n"/>
    </row>
    <row r="344">
      <c r="A344" s="42" t="n"/>
    </row>
    <row r="345">
      <c r="A345" s="42" t="n"/>
    </row>
    <row r="346">
      <c r="A346" s="42" t="n"/>
    </row>
    <row r="347">
      <c r="A347" s="42" t="n"/>
    </row>
    <row r="348">
      <c r="A348" s="42" t="n"/>
    </row>
    <row r="349">
      <c r="A349" s="42" t="n"/>
    </row>
    <row r="350">
      <c r="A350" s="42" t="n"/>
    </row>
    <row r="351">
      <c r="A351" s="42" t="n"/>
    </row>
    <row r="352">
      <c r="A352" s="42" t="n"/>
    </row>
    <row r="353">
      <c r="A353" s="42" t="n"/>
    </row>
    <row r="354">
      <c r="A354" s="42" t="n"/>
    </row>
    <row r="355">
      <c r="A355" s="42" t="n"/>
    </row>
    <row r="356">
      <c r="A356" s="42" t="n"/>
    </row>
    <row r="357">
      <c r="A357" s="42" t="n"/>
    </row>
    <row r="358">
      <c r="A358" s="42" t="n"/>
    </row>
    <row r="359">
      <c r="A359" s="42" t="n"/>
    </row>
    <row r="360">
      <c r="A360" s="42" t="n"/>
    </row>
    <row r="361">
      <c r="A361" s="42" t="n"/>
    </row>
    <row r="362">
      <c r="A362" s="42" t="n"/>
    </row>
    <row r="363">
      <c r="A363" s="42" t="n"/>
    </row>
    <row r="364">
      <c r="A364" s="42" t="n"/>
    </row>
    <row r="365">
      <c r="A365" s="42" t="n"/>
    </row>
    <row r="366">
      <c r="A366" s="42" t="n"/>
    </row>
    <row r="367">
      <c r="A367" s="42" t="n"/>
    </row>
    <row r="368">
      <c r="A368" s="42" t="n"/>
    </row>
    <row r="369">
      <c r="A369" s="42" t="n"/>
    </row>
    <row r="370">
      <c r="A370" s="42" t="n"/>
    </row>
    <row r="371">
      <c r="A371" s="42" t="n"/>
    </row>
    <row r="372">
      <c r="A372" s="42" t="n"/>
    </row>
    <row r="373">
      <c r="A373" s="42" t="n"/>
    </row>
    <row r="374">
      <c r="A374" s="42" t="n"/>
    </row>
    <row r="375">
      <c r="A375" s="42" t="n"/>
    </row>
    <row r="376">
      <c r="A376" s="42" t="n"/>
    </row>
    <row r="377">
      <c r="A377" s="42" t="n"/>
    </row>
    <row r="378">
      <c r="A378" s="42" t="n"/>
    </row>
    <row r="379">
      <c r="A379" s="42" t="n"/>
    </row>
    <row r="380">
      <c r="A380" s="42" t="n"/>
    </row>
    <row r="381">
      <c r="A381" s="42" t="n"/>
    </row>
    <row r="382">
      <c r="A382" s="42" t="n"/>
    </row>
    <row r="383">
      <c r="A383" s="42" t="n"/>
    </row>
    <row r="384">
      <c r="A384" s="42" t="n"/>
    </row>
    <row r="385">
      <c r="A385" s="42" t="n"/>
    </row>
    <row r="386">
      <c r="A386" s="42" t="n"/>
    </row>
    <row r="387">
      <c r="A387" s="42" t="n"/>
    </row>
    <row r="388">
      <c r="A388" s="42" t="n"/>
    </row>
    <row r="389">
      <c r="A389" s="42" t="n"/>
    </row>
    <row r="390">
      <c r="A390" s="42" t="n"/>
    </row>
    <row r="391">
      <c r="A391" s="42" t="n"/>
    </row>
    <row r="392">
      <c r="A392" s="42" t="n"/>
    </row>
    <row r="393">
      <c r="A393" s="42" t="n"/>
    </row>
    <row r="394">
      <c r="A394" s="42" t="n"/>
    </row>
    <row r="395">
      <c r="A395" s="42" t="n"/>
    </row>
    <row r="396">
      <c r="A396" s="42" t="n"/>
    </row>
    <row r="397">
      <c r="A397" s="42" t="n"/>
    </row>
    <row r="398">
      <c r="A398" s="42" t="n"/>
    </row>
    <row r="399">
      <c r="A399" s="42" t="n"/>
    </row>
    <row r="400">
      <c r="A400" s="42" t="n"/>
    </row>
    <row r="401">
      <c r="A401" s="42" t="n"/>
    </row>
    <row r="402">
      <c r="A402" s="42" t="n"/>
    </row>
    <row r="403">
      <c r="A403" s="42" t="n"/>
    </row>
    <row r="404">
      <c r="A404" s="42" t="n"/>
    </row>
    <row r="405">
      <c r="A405" s="42" t="n"/>
    </row>
    <row r="406">
      <c r="A406" s="42" t="n"/>
    </row>
    <row r="407">
      <c r="A407" s="42" t="n"/>
    </row>
    <row r="408">
      <c r="A408" s="42" t="n"/>
    </row>
    <row r="409">
      <c r="A409" s="42" t="n"/>
    </row>
    <row r="410">
      <c r="A410" s="42" t="n"/>
    </row>
    <row r="411">
      <c r="A411" s="42" t="n"/>
    </row>
    <row r="412">
      <c r="A412" s="42" t="n"/>
    </row>
    <row r="413">
      <c r="A413" s="42" t="n"/>
    </row>
    <row r="414">
      <c r="A414" s="42" t="n"/>
    </row>
    <row r="415">
      <c r="A415" s="42" t="n"/>
    </row>
    <row r="416">
      <c r="A416" s="42" t="n"/>
    </row>
    <row r="417">
      <c r="A417" s="42" t="n"/>
    </row>
    <row r="418">
      <c r="A418" s="42" t="n"/>
    </row>
    <row r="419">
      <c r="A419" s="42" t="n"/>
    </row>
    <row r="420">
      <c r="A420" s="42" t="n"/>
    </row>
    <row r="421">
      <c r="A421" s="42" t="n"/>
    </row>
    <row r="422">
      <c r="A422" s="42" t="n"/>
    </row>
    <row r="423">
      <c r="A423" s="42" t="n"/>
    </row>
    <row r="424">
      <c r="A424" s="42" t="n"/>
    </row>
    <row r="425">
      <c r="A425" s="42" t="n"/>
    </row>
    <row r="426">
      <c r="A426" s="42" t="n"/>
    </row>
    <row r="427">
      <c r="A427" s="42" t="n"/>
    </row>
    <row r="428">
      <c r="A428" s="42" t="n"/>
    </row>
    <row r="429">
      <c r="A429" s="42" t="n"/>
    </row>
    <row r="430">
      <c r="A430" s="42" t="n"/>
    </row>
    <row r="431">
      <c r="A431" s="42" t="n"/>
    </row>
    <row r="432">
      <c r="A432" s="42" t="n"/>
    </row>
    <row r="433">
      <c r="A433" s="42" t="n"/>
    </row>
    <row r="434">
      <c r="A434" s="42" t="n"/>
    </row>
    <row r="435">
      <c r="A435" s="42" t="n"/>
    </row>
    <row r="436">
      <c r="A436" s="42" t="n"/>
    </row>
    <row r="437">
      <c r="A437" s="42" t="n"/>
    </row>
    <row r="438">
      <c r="A438" s="42" t="n"/>
    </row>
    <row r="439">
      <c r="A439" s="42" t="n"/>
    </row>
    <row r="440">
      <c r="A440" s="42" t="n"/>
    </row>
    <row r="441">
      <c r="A441" s="42" t="n"/>
    </row>
    <row r="442">
      <c r="A442" s="42" t="n"/>
    </row>
    <row r="443">
      <c r="A443" s="42" t="n"/>
    </row>
    <row r="444">
      <c r="A444" s="42" t="n"/>
    </row>
    <row r="445">
      <c r="A445" s="42" t="n"/>
    </row>
    <row r="446">
      <c r="A446" s="42" t="n"/>
    </row>
    <row r="447">
      <c r="A447" s="42" t="n"/>
    </row>
    <row r="448">
      <c r="A448" s="42" t="n"/>
    </row>
    <row r="449">
      <c r="A449" s="42" t="n"/>
    </row>
    <row r="450">
      <c r="A450" s="42" t="n"/>
    </row>
    <row r="451">
      <c r="A451" s="42" t="n"/>
    </row>
    <row r="452">
      <c r="A452" s="42" t="n"/>
    </row>
    <row r="453">
      <c r="A453" s="42" t="n"/>
    </row>
    <row r="454">
      <c r="A454" s="42" t="n"/>
    </row>
    <row r="455">
      <c r="A455" s="42" t="n"/>
    </row>
    <row r="456">
      <c r="A456" s="42" t="n"/>
    </row>
    <row r="457">
      <c r="A457" s="42" t="n"/>
    </row>
    <row r="458">
      <c r="A458" s="42" t="n"/>
    </row>
    <row r="459">
      <c r="A459" s="42" t="n"/>
    </row>
    <row r="460">
      <c r="A460" s="42" t="n"/>
    </row>
    <row r="461">
      <c r="A461" s="42" t="n"/>
    </row>
    <row r="462">
      <c r="A462" s="42" t="n"/>
    </row>
    <row r="463">
      <c r="A463" s="42" t="n"/>
    </row>
    <row r="464">
      <c r="A464" s="42" t="n"/>
    </row>
    <row r="465">
      <c r="A465" s="42" t="n"/>
    </row>
    <row r="466">
      <c r="A466" s="42" t="n"/>
    </row>
    <row r="467">
      <c r="A467" s="42" t="n"/>
    </row>
    <row r="468">
      <c r="A468" s="42" t="n"/>
    </row>
    <row r="469">
      <c r="A469" s="42" t="n"/>
    </row>
    <row r="470">
      <c r="A470" s="42" t="n"/>
    </row>
    <row r="471">
      <c r="A471" s="42" t="n"/>
    </row>
    <row r="472">
      <c r="A472" s="42" t="n"/>
    </row>
    <row r="473">
      <c r="A473" s="42" t="n"/>
    </row>
    <row r="474">
      <c r="A474" s="42" t="n"/>
    </row>
    <row r="475">
      <c r="A475" s="42" t="n"/>
    </row>
    <row r="476">
      <c r="A476" s="42" t="n"/>
    </row>
    <row r="477">
      <c r="A477" s="42" t="n"/>
    </row>
    <row r="478">
      <c r="A478" s="42" t="n"/>
    </row>
    <row r="479">
      <c r="A479" s="42" t="n"/>
    </row>
    <row r="480">
      <c r="A480" s="42" t="n"/>
    </row>
    <row r="481">
      <c r="A481" s="42" t="n"/>
    </row>
    <row r="482">
      <c r="A482" s="42" t="n"/>
    </row>
    <row r="483">
      <c r="A483" s="42" t="n"/>
    </row>
    <row r="484">
      <c r="A484" s="42" t="n"/>
    </row>
    <row r="485">
      <c r="A485" s="42" t="n"/>
    </row>
    <row r="486">
      <c r="A486" s="42" t="n"/>
    </row>
    <row r="487">
      <c r="A487" s="42" t="n"/>
    </row>
    <row r="488">
      <c r="A488" s="42" t="n"/>
    </row>
    <row r="489">
      <c r="A489" s="42" t="n"/>
    </row>
    <row r="490">
      <c r="A490" s="42" t="n"/>
    </row>
    <row r="491">
      <c r="A491" s="42" t="n"/>
    </row>
    <row r="492">
      <c r="A492" s="42" t="n"/>
    </row>
    <row r="493">
      <c r="A493" s="42" t="n"/>
    </row>
    <row r="494">
      <c r="A494" s="42" t="n"/>
    </row>
    <row r="495">
      <c r="A495" s="42" t="n"/>
    </row>
    <row r="496">
      <c r="A496" s="42" t="n"/>
    </row>
    <row r="497">
      <c r="A497" s="42" t="n"/>
    </row>
    <row r="498">
      <c r="A498" s="42" t="n"/>
    </row>
    <row r="499">
      <c r="A499" s="42" t="n"/>
    </row>
    <row r="500">
      <c r="A500" s="42" t="n"/>
    </row>
    <row r="501">
      <c r="A501" s="42" t="n"/>
    </row>
    <row r="502">
      <c r="A502" s="42" t="n"/>
    </row>
    <row r="503">
      <c r="A503" s="42" t="n"/>
    </row>
    <row r="504">
      <c r="A504" s="42" t="n"/>
    </row>
    <row r="505">
      <c r="A505" s="42" t="n"/>
    </row>
    <row r="506">
      <c r="A506" s="42" t="n"/>
    </row>
    <row r="507">
      <c r="A507" s="42" t="n"/>
    </row>
    <row r="508">
      <c r="A508" s="42" t="n"/>
    </row>
    <row r="509">
      <c r="A509" s="42" t="n"/>
    </row>
    <row r="510">
      <c r="A510" s="42" t="n"/>
    </row>
    <row r="511">
      <c r="A511" s="42" t="n"/>
    </row>
    <row r="512">
      <c r="A512" s="42" t="n"/>
    </row>
    <row r="513">
      <c r="A513" s="42" t="n"/>
    </row>
    <row r="514">
      <c r="A514" s="42" t="n"/>
    </row>
    <row r="515">
      <c r="A515" s="42" t="n"/>
    </row>
    <row r="516">
      <c r="A516" s="42" t="n"/>
    </row>
    <row r="517">
      <c r="A517" s="42" t="n"/>
    </row>
    <row r="518">
      <c r="A518" s="42" t="n"/>
    </row>
    <row r="519">
      <c r="A519" s="42" t="n"/>
    </row>
    <row r="520">
      <c r="A520" s="42" t="n"/>
    </row>
    <row r="521">
      <c r="A521" s="42" t="n"/>
    </row>
    <row r="522">
      <c r="A522" s="42" t="n"/>
    </row>
    <row r="523">
      <c r="A523" s="42" t="n"/>
    </row>
    <row r="524">
      <c r="A524" s="42" t="n"/>
    </row>
    <row r="525">
      <c r="A525" s="42" t="n"/>
    </row>
    <row r="526">
      <c r="A526" s="42" t="n"/>
    </row>
    <row r="527">
      <c r="A527" s="42" t="n"/>
    </row>
    <row r="528">
      <c r="A528" s="42" t="n"/>
    </row>
    <row r="529">
      <c r="A529" s="42" t="n"/>
    </row>
    <row r="530">
      <c r="A530" s="42" t="n"/>
    </row>
    <row r="531">
      <c r="A531" s="42" t="n"/>
    </row>
    <row r="532">
      <c r="A532" s="42" t="n"/>
    </row>
    <row r="533">
      <c r="A533" s="42" t="n"/>
    </row>
    <row r="534">
      <c r="A534" s="42" t="n"/>
    </row>
    <row r="535">
      <c r="A535" s="42" t="n"/>
    </row>
    <row r="536">
      <c r="A536" s="42" t="n"/>
    </row>
    <row r="537">
      <c r="A537" s="42" t="n"/>
    </row>
    <row r="538">
      <c r="A538" s="42" t="n"/>
    </row>
    <row r="539">
      <c r="A539" s="42" t="n"/>
    </row>
    <row r="540">
      <c r="A540" s="42" t="n"/>
    </row>
    <row r="541">
      <c r="A541" s="42" t="n"/>
    </row>
    <row r="542">
      <c r="A542" s="42" t="n"/>
    </row>
    <row r="543">
      <c r="A543" s="42" t="n"/>
    </row>
    <row r="544">
      <c r="A544" s="42" t="n"/>
    </row>
    <row r="545">
      <c r="A545" s="42" t="n"/>
    </row>
    <row r="546">
      <c r="A546" s="42" t="n"/>
    </row>
    <row r="547">
      <c r="A547" s="42" t="n"/>
    </row>
    <row r="548">
      <c r="A548" s="42" t="n"/>
    </row>
    <row r="549">
      <c r="A549" s="42" t="n"/>
    </row>
    <row r="550">
      <c r="A550" s="42" t="n"/>
    </row>
    <row r="551">
      <c r="A551" s="42" t="n"/>
    </row>
    <row r="552">
      <c r="A552" s="42" t="n"/>
    </row>
    <row r="553">
      <c r="A553" s="42" t="n"/>
    </row>
    <row r="554">
      <c r="A554" s="42" t="n"/>
    </row>
    <row r="555">
      <c r="A555" s="42" t="n"/>
    </row>
    <row r="556">
      <c r="A556" s="42" t="n"/>
    </row>
    <row r="557">
      <c r="A557" s="42" t="n"/>
    </row>
    <row r="558">
      <c r="A558" s="42" t="n"/>
    </row>
    <row r="559">
      <c r="A559" s="42" t="n"/>
    </row>
    <row r="560">
      <c r="A560" s="42" t="n"/>
    </row>
    <row r="561">
      <c r="A561" s="42" t="n"/>
    </row>
    <row r="562">
      <c r="A562" s="42" t="n"/>
    </row>
    <row r="563">
      <c r="A563" s="42" t="n"/>
    </row>
    <row r="564">
      <c r="A564" s="42" t="n"/>
    </row>
    <row r="565">
      <c r="A565" s="42" t="n"/>
    </row>
    <row r="566">
      <c r="A566" s="42" t="n"/>
    </row>
    <row r="567">
      <c r="A567" s="42" t="n"/>
    </row>
    <row r="568">
      <c r="A568" s="42" t="n"/>
    </row>
    <row r="569">
      <c r="A569" s="42" t="n"/>
    </row>
    <row r="570">
      <c r="A570" s="42" t="n"/>
    </row>
    <row r="571">
      <c r="A571" s="42" t="n"/>
    </row>
    <row r="572">
      <c r="A572" s="42" t="n"/>
    </row>
    <row r="573">
      <c r="A573" s="42" t="n"/>
    </row>
    <row r="574">
      <c r="A574" s="42" t="n"/>
    </row>
    <row r="575">
      <c r="A575" s="42" t="n"/>
    </row>
    <row r="576">
      <c r="A576" s="42" t="n"/>
    </row>
    <row r="577">
      <c r="A577" s="42" t="n"/>
    </row>
    <row r="578">
      <c r="A578" s="42" t="n"/>
    </row>
    <row r="579">
      <c r="A579" s="42" t="n"/>
    </row>
    <row r="580">
      <c r="A580" s="42" t="n"/>
    </row>
    <row r="581">
      <c r="A581" s="42" t="n"/>
    </row>
    <row r="582">
      <c r="A582" s="42" t="n"/>
    </row>
    <row r="583">
      <c r="A583" s="42" t="n"/>
    </row>
    <row r="584">
      <c r="A584" s="42" t="n"/>
    </row>
    <row r="585">
      <c r="A585" s="42" t="n"/>
    </row>
    <row r="586">
      <c r="A586" s="42" t="n"/>
    </row>
    <row r="587">
      <c r="A587" s="42" t="n"/>
    </row>
    <row r="588">
      <c r="A588" s="42" t="n"/>
    </row>
    <row r="589">
      <c r="A589" s="42" t="n"/>
    </row>
    <row r="590">
      <c r="A590" s="42" t="n"/>
    </row>
    <row r="591">
      <c r="A591" s="42" t="n"/>
    </row>
    <row r="592">
      <c r="A592" s="42" t="n"/>
    </row>
    <row r="593">
      <c r="A593" s="42" t="n"/>
    </row>
    <row r="594">
      <c r="A594" s="42" t="n"/>
    </row>
    <row r="595">
      <c r="A595" s="42" t="n"/>
    </row>
    <row r="596">
      <c r="A596" s="42" t="n"/>
    </row>
    <row r="597">
      <c r="A597" s="42" t="n"/>
    </row>
    <row r="598">
      <c r="A598" s="42" t="n"/>
    </row>
    <row r="599">
      <c r="A599" s="42" t="n"/>
    </row>
    <row r="600">
      <c r="A600" s="42" t="n"/>
    </row>
    <row r="601">
      <c r="A601" s="42" t="n"/>
    </row>
    <row r="602">
      <c r="A602" s="42" t="n"/>
    </row>
    <row r="603">
      <c r="A603" s="42" t="n"/>
    </row>
    <row r="604">
      <c r="A604" s="42" t="n"/>
    </row>
    <row r="605">
      <c r="A605" s="42" t="n"/>
    </row>
    <row r="606">
      <c r="A606" s="42" t="n"/>
    </row>
    <row r="607">
      <c r="A607" s="42" t="n"/>
    </row>
    <row r="608">
      <c r="A608" s="42" t="n"/>
    </row>
    <row r="609">
      <c r="A609" s="42" t="n"/>
    </row>
    <row r="610">
      <c r="A610" s="42" t="n"/>
    </row>
    <row r="611">
      <c r="A611" s="42" t="n"/>
    </row>
    <row r="612">
      <c r="A612" s="42" t="n"/>
    </row>
    <row r="613">
      <c r="A613" s="42" t="n"/>
    </row>
    <row r="614">
      <c r="A614" s="42" t="n"/>
    </row>
    <row r="615">
      <c r="A615" s="42" t="n"/>
    </row>
    <row r="616">
      <c r="A616" s="42" t="n"/>
    </row>
    <row r="617">
      <c r="A617" s="42" t="n"/>
    </row>
    <row r="618">
      <c r="A618" s="42" t="n"/>
    </row>
    <row r="619">
      <c r="A619" s="42" t="n"/>
    </row>
    <row r="620">
      <c r="A620" s="42" t="n"/>
    </row>
    <row r="621">
      <c r="A621" s="42" t="n"/>
    </row>
    <row r="622">
      <c r="A622" s="42" t="n"/>
    </row>
    <row r="623">
      <c r="A623" s="42" t="n"/>
    </row>
    <row r="624">
      <c r="A624" s="42" t="n"/>
    </row>
    <row r="625">
      <c r="A625" s="42" t="n"/>
    </row>
    <row r="626">
      <c r="A626" s="42" t="n"/>
    </row>
    <row r="627">
      <c r="A627" s="42" t="n"/>
    </row>
    <row r="628">
      <c r="A628" s="42" t="n"/>
    </row>
    <row r="629">
      <c r="A629" s="42" t="n"/>
    </row>
    <row r="630">
      <c r="A630" s="42" t="n"/>
    </row>
    <row r="631">
      <c r="A631" s="42" t="n"/>
    </row>
    <row r="632">
      <c r="A632" s="42" t="n"/>
    </row>
    <row r="633">
      <c r="A633" s="42" t="n"/>
    </row>
    <row r="634">
      <c r="A634" s="42" t="n"/>
    </row>
    <row r="635">
      <c r="A635" s="42" t="n"/>
    </row>
    <row r="636">
      <c r="A636" s="42" t="n"/>
    </row>
    <row r="637">
      <c r="A637" s="42" t="n"/>
    </row>
    <row r="638">
      <c r="A638" s="42" t="n"/>
    </row>
    <row r="639">
      <c r="A639" s="42" t="n"/>
    </row>
    <row r="640">
      <c r="A640" s="42" t="n"/>
    </row>
    <row r="641">
      <c r="A641" s="42" t="n"/>
    </row>
    <row r="642">
      <c r="A642" s="42" t="n"/>
    </row>
    <row r="643">
      <c r="A643" s="42" t="n"/>
    </row>
    <row r="644">
      <c r="A644" s="42" t="n"/>
    </row>
    <row r="645">
      <c r="A645" s="42" t="n"/>
    </row>
    <row r="646">
      <c r="A646" s="42" t="n"/>
    </row>
    <row r="647">
      <c r="A647" s="42" t="n"/>
    </row>
    <row r="648">
      <c r="A648" s="42" t="n"/>
    </row>
    <row r="649">
      <c r="A649" s="42" t="n"/>
    </row>
    <row r="650">
      <c r="A650" s="42" t="n"/>
    </row>
    <row r="651">
      <c r="A651" s="42" t="n"/>
    </row>
    <row r="652">
      <c r="A652" s="42" t="n"/>
    </row>
    <row r="653">
      <c r="A653" s="42" t="n"/>
    </row>
    <row r="654">
      <c r="A654" s="42" t="n"/>
    </row>
    <row r="655">
      <c r="A655" s="42" t="n"/>
    </row>
    <row r="656">
      <c r="A656" s="42" t="n"/>
    </row>
    <row r="657">
      <c r="A657" s="42" t="n"/>
    </row>
    <row r="658">
      <c r="A658" s="42" t="n"/>
    </row>
    <row r="659">
      <c r="A659" s="42" t="n"/>
    </row>
    <row r="660">
      <c r="A660" s="42" t="n"/>
    </row>
    <row r="661">
      <c r="A661" s="42" t="n"/>
    </row>
    <row r="662">
      <c r="A662" s="42" t="n"/>
    </row>
    <row r="663">
      <c r="A663" s="42" t="n"/>
    </row>
    <row r="664">
      <c r="A664" s="42" t="n"/>
    </row>
    <row r="665">
      <c r="A665" s="42" t="n"/>
    </row>
    <row r="666">
      <c r="A666" s="42" t="n"/>
    </row>
    <row r="667">
      <c r="A667" s="42" t="n"/>
    </row>
    <row r="668">
      <c r="A668" s="42" t="n"/>
    </row>
    <row r="669">
      <c r="A669" s="42" t="n"/>
    </row>
    <row r="670">
      <c r="A670" s="42" t="n"/>
    </row>
    <row r="671">
      <c r="A671" s="42" t="n"/>
    </row>
    <row r="672">
      <c r="A672" s="42" t="n"/>
    </row>
    <row r="673">
      <c r="A673" s="42" t="n"/>
    </row>
    <row r="674">
      <c r="A674" s="42" t="n"/>
    </row>
    <row r="675">
      <c r="A675" s="42" t="n"/>
    </row>
    <row r="676">
      <c r="A676" s="42" t="n"/>
    </row>
    <row r="677">
      <c r="A677" s="42" t="n"/>
    </row>
    <row r="678">
      <c r="A678" s="42" t="n"/>
    </row>
    <row r="679">
      <c r="A679" s="42" t="n"/>
    </row>
    <row r="680">
      <c r="A680" s="42" t="n"/>
    </row>
    <row r="681">
      <c r="A681" s="42" t="n"/>
    </row>
    <row r="682">
      <c r="A682" s="42" t="n"/>
    </row>
    <row r="683">
      <c r="A683" s="42" t="n"/>
    </row>
    <row r="684">
      <c r="A684" s="42" t="n"/>
    </row>
    <row r="685">
      <c r="A685" s="42" t="n"/>
    </row>
    <row r="686">
      <c r="A686" s="42" t="n"/>
    </row>
    <row r="687">
      <c r="A687" s="42" t="n"/>
    </row>
    <row r="688">
      <c r="A688" s="42" t="n"/>
    </row>
    <row r="689">
      <c r="A689" s="42" t="n"/>
    </row>
    <row r="690">
      <c r="A690" s="42" t="n"/>
    </row>
    <row r="691">
      <c r="A691" s="42" t="n"/>
    </row>
    <row r="692">
      <c r="A692" s="42" t="n"/>
    </row>
    <row r="693">
      <c r="A693" s="42" t="n"/>
    </row>
    <row r="694">
      <c r="A694" s="42" t="n"/>
    </row>
    <row r="695">
      <c r="A695" s="42" t="n"/>
    </row>
    <row r="696">
      <c r="A696" s="42" t="n"/>
    </row>
    <row r="697">
      <c r="A697" s="42" t="n"/>
    </row>
    <row r="698">
      <c r="A698" s="42" t="n"/>
    </row>
    <row r="699">
      <c r="A699" s="42" t="n"/>
    </row>
    <row r="700">
      <c r="A700" s="42" t="n"/>
    </row>
    <row r="701">
      <c r="A701" s="42" t="n"/>
    </row>
    <row r="702">
      <c r="A702" s="42" t="n"/>
    </row>
    <row r="703">
      <c r="A703" s="42" t="n"/>
    </row>
    <row r="704">
      <c r="A704" s="42" t="n"/>
    </row>
    <row r="705">
      <c r="A705" s="42" t="n"/>
    </row>
    <row r="706">
      <c r="A706" s="42" t="n"/>
    </row>
    <row r="707">
      <c r="A707" s="42" t="n"/>
    </row>
    <row r="708">
      <c r="A708" s="42" t="n"/>
    </row>
    <row r="709">
      <c r="A709" s="42" t="n"/>
    </row>
    <row r="710">
      <c r="A710" s="42" t="n"/>
    </row>
    <row r="711">
      <c r="A711" s="42" t="n"/>
    </row>
    <row r="712">
      <c r="A712" s="42" t="n"/>
    </row>
    <row r="713">
      <c r="A713" s="42" t="n"/>
    </row>
    <row r="714">
      <c r="A714" s="42" t="n"/>
    </row>
    <row r="715">
      <c r="A715" s="42" t="n"/>
    </row>
    <row r="716">
      <c r="A716" s="42" t="n"/>
    </row>
    <row r="717">
      <c r="A717" s="42" t="n"/>
    </row>
    <row r="718">
      <c r="A718" s="42" t="n"/>
    </row>
    <row r="719">
      <c r="A719" s="42" t="n"/>
    </row>
    <row r="720">
      <c r="A720" s="42" t="n"/>
    </row>
    <row r="721">
      <c r="A721" s="42" t="n"/>
    </row>
    <row r="722">
      <c r="A722" s="42" t="n"/>
    </row>
    <row r="723">
      <c r="A723" s="42" t="n"/>
    </row>
    <row r="724">
      <c r="A724" s="42" t="n"/>
    </row>
    <row r="725">
      <c r="A725" s="42" t="n"/>
    </row>
    <row r="726">
      <c r="A726" s="42" t="n"/>
    </row>
    <row r="727">
      <c r="A727" s="42" t="n"/>
    </row>
    <row r="728">
      <c r="A728" s="42" t="n"/>
    </row>
    <row r="729">
      <c r="A729" s="42" t="n"/>
    </row>
    <row r="730">
      <c r="A730" s="42" t="n"/>
    </row>
    <row r="731">
      <c r="A731" s="42" t="n"/>
    </row>
    <row r="732">
      <c r="A732" s="42" t="n"/>
    </row>
    <row r="733">
      <c r="A733" s="42" t="n"/>
    </row>
    <row r="734">
      <c r="A734" s="42" t="n"/>
    </row>
    <row r="735">
      <c r="A735" s="42" t="n"/>
    </row>
    <row r="736">
      <c r="A736" s="42" t="n"/>
    </row>
    <row r="737">
      <c r="A737" s="42" t="n"/>
    </row>
    <row r="738">
      <c r="A738" s="42" t="n"/>
    </row>
    <row r="739">
      <c r="A739" s="42" t="n"/>
    </row>
    <row r="740">
      <c r="A740" s="42" t="n"/>
    </row>
    <row r="741">
      <c r="A741" s="42" t="n"/>
    </row>
    <row r="742">
      <c r="A742" s="42" t="n"/>
    </row>
    <row r="743">
      <c r="A743" s="42" t="n"/>
    </row>
    <row r="744">
      <c r="A744" s="42" t="n"/>
    </row>
    <row r="745">
      <c r="A745" s="42" t="n"/>
    </row>
    <row r="746">
      <c r="A746" s="42" t="n"/>
    </row>
    <row r="747">
      <c r="A747" s="42" t="n"/>
    </row>
    <row r="748">
      <c r="A748" s="42" t="n"/>
    </row>
    <row r="749">
      <c r="A749" s="42" t="n"/>
    </row>
    <row r="750">
      <c r="A750" s="42" t="n"/>
    </row>
    <row r="751">
      <c r="A751" s="42" t="n"/>
    </row>
    <row r="752">
      <c r="A752" s="42" t="n"/>
    </row>
    <row r="753">
      <c r="A753" s="42" t="n"/>
    </row>
    <row r="754">
      <c r="A754" s="42" t="n"/>
    </row>
    <row r="755">
      <c r="A755" s="42" t="n"/>
    </row>
    <row r="756">
      <c r="A756" s="42" t="n"/>
    </row>
    <row r="757">
      <c r="A757" s="42" t="n"/>
    </row>
    <row r="758">
      <c r="A758" s="42" t="n"/>
    </row>
    <row r="759">
      <c r="A759" s="42" t="n"/>
    </row>
    <row r="760">
      <c r="A760" s="42" t="n"/>
    </row>
    <row r="761">
      <c r="A761" s="42" t="n"/>
    </row>
    <row r="762">
      <c r="A762" s="42" t="n"/>
    </row>
    <row r="763">
      <c r="A763" s="42" t="n"/>
    </row>
    <row r="764">
      <c r="A764" s="42" t="n"/>
    </row>
    <row r="765">
      <c r="A765" s="42" t="n"/>
    </row>
    <row r="766">
      <c r="A766" s="42" t="n"/>
    </row>
    <row r="767">
      <c r="A767" s="42" t="n"/>
    </row>
    <row r="768">
      <c r="A768" s="42" t="n"/>
    </row>
    <row r="769">
      <c r="A769" s="42" t="n"/>
    </row>
    <row r="770">
      <c r="A770" s="42" t="n"/>
    </row>
    <row r="771">
      <c r="A771" s="42" t="n"/>
    </row>
    <row r="772">
      <c r="A772" s="42" t="n"/>
    </row>
    <row r="773">
      <c r="A773" s="42" t="n"/>
    </row>
    <row r="774">
      <c r="A774" s="42" t="n"/>
    </row>
    <row r="775">
      <c r="A775" s="42" t="n"/>
    </row>
    <row r="776">
      <c r="A776" s="42" t="n"/>
    </row>
    <row r="777">
      <c r="A777" s="42" t="n"/>
    </row>
    <row r="778">
      <c r="A778" s="42" t="n"/>
    </row>
    <row r="779">
      <c r="A779" s="42" t="n"/>
    </row>
    <row r="780">
      <c r="A780" s="42" t="n"/>
    </row>
    <row r="781">
      <c r="A781" s="42" t="n"/>
    </row>
    <row r="782">
      <c r="A782" s="42" t="n"/>
    </row>
    <row r="783">
      <c r="A783" s="42" t="n"/>
    </row>
    <row r="784">
      <c r="A784" s="42" t="n"/>
    </row>
    <row r="785">
      <c r="A785" s="42" t="n"/>
    </row>
    <row r="786">
      <c r="A786" s="42" t="n"/>
    </row>
    <row r="787">
      <c r="A787" s="42" t="n"/>
    </row>
    <row r="788">
      <c r="A788" s="42" t="n"/>
    </row>
    <row r="789">
      <c r="A789" s="42" t="n"/>
    </row>
    <row r="790">
      <c r="A790" s="42" t="n"/>
    </row>
    <row r="791">
      <c r="A791" s="42" t="n"/>
    </row>
    <row r="792">
      <c r="A792" s="42" t="n"/>
    </row>
    <row r="793">
      <c r="A793" s="42" t="n"/>
    </row>
    <row r="794">
      <c r="A794" s="42" t="n"/>
    </row>
    <row r="795">
      <c r="A795" s="42" t="n"/>
    </row>
    <row r="796">
      <c r="A796" s="42" t="n"/>
    </row>
    <row r="797">
      <c r="A797" s="42" t="n"/>
    </row>
    <row r="798">
      <c r="A798" s="42" t="n"/>
    </row>
    <row r="799">
      <c r="A799" s="42" t="n"/>
    </row>
    <row r="800">
      <c r="A800" s="42" t="n"/>
    </row>
    <row r="801">
      <c r="A801" s="42" t="n"/>
    </row>
    <row r="802">
      <c r="A802" s="42" t="n"/>
    </row>
    <row r="803">
      <c r="A803" s="42" t="n"/>
    </row>
    <row r="804">
      <c r="A804" s="42" t="n"/>
    </row>
    <row r="805">
      <c r="A805" s="42" t="n"/>
    </row>
    <row r="806">
      <c r="A806" s="42" t="n"/>
    </row>
    <row r="807">
      <c r="A807" s="42" t="n"/>
    </row>
    <row r="808">
      <c r="A808" s="42" t="n"/>
    </row>
    <row r="809">
      <c r="A809" s="42" t="n"/>
    </row>
    <row r="810">
      <c r="A810" s="42" t="n"/>
    </row>
    <row r="811">
      <c r="A811" s="42" t="n"/>
    </row>
    <row r="812">
      <c r="A812" s="42" t="n"/>
    </row>
    <row r="813">
      <c r="A813" s="42" t="n"/>
    </row>
    <row r="814">
      <c r="A814" s="42" t="n"/>
    </row>
    <row r="815">
      <c r="A815" s="42" t="n"/>
    </row>
    <row r="816">
      <c r="A816" s="42" t="n"/>
    </row>
    <row r="817">
      <c r="A817" s="42" t="n"/>
    </row>
    <row r="818">
      <c r="A818" s="42" t="n"/>
    </row>
    <row r="819">
      <c r="A819" s="42" t="n"/>
    </row>
    <row r="820">
      <c r="A820" s="42" t="n"/>
    </row>
    <row r="821">
      <c r="A821" s="42" t="n"/>
    </row>
    <row r="822">
      <c r="A822" s="42" t="n"/>
    </row>
    <row r="823">
      <c r="A823" s="42" t="n"/>
    </row>
    <row r="824">
      <c r="A824" s="42" t="n"/>
    </row>
    <row r="825">
      <c r="A825" s="42" t="n"/>
    </row>
    <row r="826">
      <c r="A826" s="42" t="n"/>
    </row>
    <row r="827">
      <c r="A827" s="42" t="n"/>
    </row>
    <row r="828">
      <c r="A828" s="42" t="n"/>
    </row>
    <row r="829">
      <c r="A829" s="42" t="n"/>
    </row>
    <row r="830">
      <c r="A830" s="42" t="n"/>
    </row>
    <row r="831">
      <c r="A831" s="42" t="n"/>
    </row>
    <row r="832">
      <c r="A832" s="42" t="n"/>
    </row>
    <row r="833">
      <c r="A833" s="42" t="n"/>
    </row>
    <row r="834">
      <c r="A834" s="42" t="n"/>
    </row>
    <row r="835">
      <c r="A835" s="42" t="n"/>
    </row>
    <row r="836">
      <c r="A836" s="42" t="n"/>
    </row>
    <row r="837">
      <c r="A837" s="42" t="n"/>
    </row>
    <row r="838">
      <c r="A838" s="42" t="n"/>
    </row>
    <row r="839">
      <c r="A839" s="42" t="n"/>
    </row>
    <row r="840">
      <c r="A840" s="42" t="n"/>
    </row>
    <row r="841">
      <c r="A841" s="42" t="n"/>
    </row>
    <row r="842">
      <c r="A842" s="42" t="n"/>
    </row>
    <row r="843">
      <c r="A843" s="42" t="n"/>
    </row>
    <row r="844">
      <c r="A844" s="42" t="n"/>
    </row>
    <row r="845">
      <c r="A845" s="42" t="n"/>
    </row>
    <row r="846">
      <c r="A846" s="42" t="n"/>
    </row>
    <row r="847">
      <c r="A847" s="42" t="n"/>
    </row>
    <row r="848">
      <c r="A848" s="42" t="n"/>
    </row>
    <row r="849">
      <c r="A849" s="42" t="n"/>
    </row>
    <row r="850">
      <c r="A850" s="42" t="n"/>
    </row>
    <row r="851">
      <c r="A851" s="42" t="n"/>
    </row>
    <row r="852">
      <c r="A852" s="42" t="n"/>
    </row>
    <row r="853">
      <c r="A853" s="42" t="n"/>
    </row>
    <row r="854">
      <c r="A854" s="42" t="n"/>
    </row>
    <row r="855">
      <c r="A855" s="42" t="n"/>
    </row>
    <row r="856">
      <c r="A856" s="42" t="n"/>
    </row>
    <row r="857">
      <c r="A857" s="42" t="n"/>
    </row>
    <row r="858">
      <c r="A858" s="42" t="n"/>
    </row>
    <row r="859">
      <c r="A859" s="42" t="n"/>
    </row>
    <row r="860">
      <c r="A860" s="42" t="n"/>
    </row>
    <row r="861">
      <c r="A861" s="42" t="n"/>
    </row>
    <row r="862">
      <c r="A862" s="42" t="n"/>
    </row>
    <row r="863">
      <c r="A863" s="42" t="n"/>
    </row>
    <row r="864">
      <c r="A864" s="42" t="n"/>
    </row>
    <row r="865">
      <c r="A865" s="42" t="n"/>
    </row>
    <row r="866">
      <c r="A866" s="42" t="n"/>
    </row>
    <row r="867">
      <c r="A867" s="42" t="n"/>
    </row>
    <row r="868">
      <c r="A868" s="42" t="n"/>
    </row>
    <row r="869">
      <c r="A869" s="42" t="n"/>
    </row>
    <row r="870">
      <c r="A870" s="42" t="n"/>
    </row>
    <row r="871">
      <c r="A871" s="42" t="n"/>
    </row>
    <row r="872">
      <c r="A872" s="42" t="n"/>
    </row>
    <row r="873">
      <c r="A873" s="42" t="n"/>
    </row>
    <row r="874">
      <c r="A874" s="42" t="n"/>
    </row>
    <row r="875">
      <c r="A875" s="42" t="n"/>
    </row>
    <row r="876">
      <c r="A876" s="42" t="n"/>
    </row>
    <row r="877">
      <c r="A877" s="42" t="n"/>
    </row>
    <row r="878">
      <c r="A878" s="42" t="n"/>
    </row>
    <row r="879">
      <c r="A879" s="42" t="n"/>
    </row>
    <row r="880">
      <c r="A880" s="42" t="n"/>
    </row>
    <row r="881">
      <c r="A881" s="42" t="n"/>
    </row>
    <row r="882">
      <c r="A882" s="42" t="n"/>
    </row>
    <row r="883">
      <c r="A883" s="42" t="n"/>
    </row>
    <row r="884">
      <c r="A884" s="42" t="n"/>
    </row>
    <row r="885">
      <c r="A885" s="42" t="n"/>
    </row>
    <row r="886">
      <c r="A886" s="42" t="n"/>
    </row>
    <row r="887">
      <c r="A887" s="42" t="n"/>
    </row>
    <row r="888">
      <c r="A888" s="42" t="n"/>
    </row>
    <row r="889">
      <c r="A889" s="42" t="n"/>
    </row>
    <row r="890">
      <c r="A890" s="42" t="n"/>
    </row>
    <row r="891">
      <c r="A891" s="42" t="n"/>
    </row>
    <row r="892">
      <c r="A892" s="42" t="n"/>
    </row>
    <row r="893">
      <c r="A893" s="42" t="n"/>
    </row>
    <row r="894">
      <c r="A894" s="42" t="n"/>
    </row>
    <row r="895">
      <c r="A895" s="42" t="n"/>
    </row>
    <row r="896">
      <c r="A896" s="42" t="n"/>
    </row>
    <row r="897">
      <c r="A897" s="42" t="n"/>
    </row>
    <row r="898">
      <c r="A898" s="42" t="n"/>
    </row>
    <row r="899">
      <c r="A899" s="42" t="n"/>
    </row>
    <row r="900">
      <c r="A900" s="42" t="n"/>
    </row>
    <row r="901">
      <c r="A901" s="42" t="n"/>
    </row>
    <row r="902">
      <c r="A902" s="42" t="n"/>
    </row>
    <row r="903">
      <c r="A903" s="42" t="n"/>
    </row>
    <row r="904">
      <c r="A904" s="42" t="n"/>
    </row>
    <row r="905">
      <c r="A905" s="42" t="n"/>
    </row>
    <row r="906">
      <c r="A906" s="42" t="n"/>
    </row>
    <row r="907">
      <c r="A907" s="42" t="n"/>
    </row>
    <row r="908">
      <c r="A908" s="42" t="n"/>
    </row>
    <row r="909">
      <c r="A909" s="42" t="n"/>
    </row>
    <row r="910">
      <c r="A910" s="42" t="n"/>
    </row>
    <row r="911">
      <c r="A911" s="42" t="n"/>
    </row>
    <row r="912">
      <c r="A912" s="42" t="n"/>
    </row>
    <row r="913">
      <c r="A913" s="42" t="n"/>
    </row>
    <row r="914">
      <c r="A914" s="42" t="n"/>
    </row>
    <row r="915">
      <c r="A915" s="42" t="n"/>
    </row>
    <row r="916">
      <c r="A916" s="42" t="n"/>
    </row>
    <row r="917">
      <c r="A917" s="42" t="n"/>
    </row>
    <row r="918">
      <c r="A918" s="42" t="n"/>
    </row>
    <row r="919">
      <c r="A919" s="42" t="n"/>
    </row>
    <row r="920">
      <c r="A920" s="42" t="n"/>
    </row>
    <row r="921">
      <c r="A921" s="42" t="n"/>
    </row>
    <row r="922">
      <c r="A922" s="42" t="n"/>
    </row>
    <row r="923">
      <c r="A923" s="42" t="n"/>
    </row>
    <row r="924">
      <c r="A924" s="42" t="n"/>
    </row>
    <row r="925">
      <c r="A925" s="42" t="n"/>
    </row>
    <row r="926">
      <c r="A926" s="42" t="n"/>
    </row>
    <row r="927">
      <c r="A927" s="42" t="n"/>
    </row>
    <row r="928">
      <c r="A928" s="42" t="n"/>
    </row>
    <row r="929">
      <c r="A929" s="42" t="n"/>
    </row>
    <row r="930">
      <c r="A930" s="42" t="n"/>
    </row>
    <row r="931">
      <c r="A931" s="42" t="n"/>
    </row>
    <row r="932">
      <c r="A932" s="42" t="n"/>
    </row>
    <row r="933">
      <c r="A933" s="42" t="n"/>
    </row>
    <row r="934">
      <c r="A934" s="42" t="n"/>
    </row>
    <row r="935">
      <c r="A935" s="42" t="n"/>
    </row>
    <row r="936">
      <c r="A936" s="42" t="n"/>
    </row>
    <row r="937">
      <c r="A937" s="42" t="n"/>
    </row>
    <row r="938">
      <c r="A938" s="42" t="n"/>
    </row>
    <row r="939">
      <c r="A939" s="42" t="n"/>
    </row>
    <row r="940">
      <c r="A940" s="42" t="n"/>
    </row>
    <row r="941">
      <c r="A941" s="42" t="n"/>
    </row>
    <row r="942">
      <c r="A942" s="42" t="n"/>
    </row>
    <row r="943">
      <c r="A943" s="42" t="n"/>
    </row>
    <row r="944">
      <c r="A944" s="42" t="n"/>
    </row>
    <row r="945">
      <c r="A945" s="42" t="n"/>
    </row>
    <row r="946">
      <c r="A946" s="42" t="n"/>
    </row>
    <row r="947">
      <c r="A947" s="42" t="n"/>
    </row>
    <row r="948">
      <c r="A948" s="42" t="n"/>
    </row>
    <row r="949">
      <c r="A949" s="42" t="n"/>
    </row>
    <row r="950">
      <c r="A950" s="42" t="n"/>
    </row>
    <row r="951">
      <c r="A951" s="42" t="n"/>
    </row>
    <row r="952">
      <c r="A952" s="42" t="n"/>
    </row>
    <row r="953">
      <c r="A953" s="42" t="n"/>
    </row>
    <row r="954">
      <c r="A954" s="42" t="n"/>
    </row>
    <row r="955">
      <c r="A955" s="42" t="n"/>
    </row>
    <row r="956">
      <c r="A956" s="42" t="n"/>
    </row>
    <row r="957">
      <c r="A957" s="42" t="n"/>
    </row>
    <row r="958">
      <c r="A958" s="42" t="n"/>
    </row>
    <row r="959">
      <c r="A959" s="42" t="n"/>
    </row>
    <row r="960">
      <c r="A960" s="42" t="n"/>
    </row>
    <row r="961">
      <c r="A961" s="42" t="n"/>
    </row>
    <row r="962">
      <c r="A962" s="42" t="n"/>
    </row>
    <row r="963">
      <c r="A963" s="42" t="n"/>
    </row>
    <row r="964">
      <c r="A964" s="42" t="n"/>
    </row>
    <row r="965">
      <c r="A965" s="42" t="n"/>
    </row>
    <row r="966">
      <c r="A966" s="42" t="n"/>
    </row>
    <row r="967">
      <c r="A967" s="42" t="n"/>
    </row>
    <row r="968">
      <c r="A968" s="42" t="n"/>
    </row>
    <row r="969">
      <c r="A969" s="42" t="n"/>
    </row>
    <row r="970">
      <c r="A970" s="42" t="n"/>
    </row>
    <row r="971">
      <c r="A971" s="42" t="n"/>
    </row>
    <row r="972">
      <c r="A972" s="42" t="n"/>
    </row>
    <row r="973">
      <c r="A973" s="42" t="n"/>
    </row>
    <row r="974">
      <c r="A974" s="42" t="n"/>
    </row>
    <row r="975">
      <c r="A975" s="42" t="n"/>
    </row>
    <row r="976">
      <c r="A976" s="42" t="n"/>
    </row>
    <row r="977">
      <c r="A977" s="42" t="n"/>
    </row>
    <row r="978">
      <c r="A978" s="42" t="n"/>
    </row>
    <row r="979">
      <c r="A979" s="42" t="n"/>
    </row>
    <row r="980">
      <c r="A980" s="42" t="n"/>
    </row>
    <row r="981">
      <c r="A981" s="42" t="n"/>
    </row>
    <row r="982">
      <c r="A982" s="42" t="n"/>
    </row>
    <row r="983">
      <c r="A983" s="42" t="n"/>
    </row>
    <row r="984">
      <c r="A984" s="42" t="n"/>
    </row>
    <row r="985">
      <c r="A985" s="42" t="n"/>
    </row>
    <row r="986">
      <c r="A986" s="42" t="n"/>
    </row>
    <row r="987">
      <c r="A987" s="42" t="n"/>
    </row>
    <row r="988">
      <c r="A988" s="42" t="n"/>
    </row>
    <row r="989">
      <c r="A989" s="42" t="n"/>
    </row>
    <row r="990">
      <c r="A990" s="42" t="n"/>
    </row>
    <row r="991">
      <c r="A991" s="42" t="n"/>
    </row>
    <row r="992">
      <c r="A992" s="42" t="n"/>
    </row>
    <row r="993">
      <c r="A993" s="42" t="n"/>
    </row>
    <row r="994">
      <c r="A994" s="42" t="n"/>
    </row>
    <row r="995">
      <c r="A995" s="42" t="n"/>
    </row>
    <row r="996">
      <c r="A996" s="42" t="n"/>
    </row>
    <row r="997">
      <c r="A997" s="42" t="n"/>
    </row>
    <row r="998">
      <c r="A998" s="42" t="n"/>
    </row>
    <row r="999">
      <c r="A999" s="42" t="n"/>
    </row>
    <row r="1000">
      <c r="A1000" s="42" t="n"/>
    </row>
    <row r="1001">
      <c r="A1001" s="42" t="n"/>
    </row>
    <row r="1002">
      <c r="A1002" s="42" t="n"/>
    </row>
    <row r="1003">
      <c r="A1003" s="42" t="n"/>
    </row>
    <row r="1004">
      <c r="A1004" s="42" t="n"/>
    </row>
    <row r="1005">
      <c r="A1005" s="42" t="n"/>
    </row>
    <row r="1006">
      <c r="A1006" s="42" t="n"/>
    </row>
    <row r="1007">
      <c r="A1007" s="42" t="n"/>
    </row>
    <row r="1008">
      <c r="A1008" s="42" t="n"/>
    </row>
    <row r="1009">
      <c r="A1009" s="42" t="n"/>
    </row>
    <row r="1010">
      <c r="A1010" s="42" t="n"/>
    </row>
    <row r="1011">
      <c r="A1011" s="42" t="n"/>
    </row>
    <row r="1012">
      <c r="A1012" s="42" t="n"/>
    </row>
    <row r="1013">
      <c r="A1013" s="42" t="n"/>
    </row>
    <row r="1014">
      <c r="A1014" s="42" t="n"/>
    </row>
    <row r="1015">
      <c r="A1015" s="42" t="n"/>
    </row>
    <row r="1016">
      <c r="A1016" s="42" t="n"/>
    </row>
    <row r="1017">
      <c r="A1017" s="42" t="n"/>
    </row>
    <row r="1018">
      <c r="A1018" s="42" t="n"/>
    </row>
    <row r="1019">
      <c r="A1019" s="42" t="n"/>
    </row>
    <row r="1020">
      <c r="A1020" s="42" t="n"/>
    </row>
    <row r="1021">
      <c r="A1021" s="42" t="n"/>
    </row>
    <row r="1022">
      <c r="A1022" s="42" t="n"/>
    </row>
    <row r="1023">
      <c r="A1023" s="42" t="n"/>
    </row>
    <row r="1024">
      <c r="A1024" s="42" t="n"/>
    </row>
    <row r="1025">
      <c r="A1025" s="42" t="n"/>
    </row>
    <row r="1026">
      <c r="A1026" s="42" t="n"/>
    </row>
    <row r="1027">
      <c r="A1027" s="42" t="n"/>
    </row>
    <row r="1028">
      <c r="A1028" s="42" t="n"/>
    </row>
    <row r="1029">
      <c r="A1029" s="42" t="n"/>
    </row>
    <row r="1030">
      <c r="A1030" s="42" t="n"/>
    </row>
    <row r="1031">
      <c r="A1031" s="42" t="n"/>
    </row>
    <row r="1032">
      <c r="A1032" s="42" t="n"/>
    </row>
    <row r="1033">
      <c r="A1033" s="42" t="n"/>
    </row>
    <row r="1034">
      <c r="A1034" s="42" t="n"/>
    </row>
    <row r="1035">
      <c r="A1035" s="42" t="n"/>
    </row>
    <row r="1036">
      <c r="A1036" s="42" t="n"/>
    </row>
    <row r="1037">
      <c r="A1037" s="42" t="n"/>
    </row>
    <row r="1038">
      <c r="A1038" s="42" t="n"/>
    </row>
    <row r="1039">
      <c r="A1039" s="42" t="n"/>
    </row>
    <row r="1040">
      <c r="A1040" s="42" t="n"/>
    </row>
    <row r="1041">
      <c r="A1041" s="42" t="n"/>
    </row>
    <row r="1042">
      <c r="A1042" s="42" t="n"/>
    </row>
    <row r="1043">
      <c r="A1043" s="42" t="n"/>
    </row>
    <row r="1044">
      <c r="A1044" s="42" t="n"/>
    </row>
    <row r="1045">
      <c r="A1045" s="42" t="n"/>
    </row>
    <row r="1046">
      <c r="A1046" s="42" t="n"/>
    </row>
    <row r="1047">
      <c r="A1047" s="42" t="n"/>
    </row>
    <row r="1048">
      <c r="A1048" s="42" t="n"/>
    </row>
    <row r="1049">
      <c r="A1049" s="42" t="n"/>
    </row>
    <row r="1050">
      <c r="A1050" s="42" t="n"/>
    </row>
    <row r="1051">
      <c r="A1051" s="42" t="n"/>
    </row>
    <row r="1052">
      <c r="A1052" s="42" t="n"/>
    </row>
    <row r="1053">
      <c r="A1053" s="42" t="n"/>
    </row>
    <row r="1054">
      <c r="A1054" s="42" t="n"/>
    </row>
    <row r="1055">
      <c r="A1055" s="42" t="n"/>
    </row>
    <row r="1056">
      <c r="A1056" s="42" t="n"/>
    </row>
    <row r="1057">
      <c r="A1057" s="42" t="n"/>
    </row>
    <row r="1058">
      <c r="A1058" s="42" t="n"/>
    </row>
    <row r="1059">
      <c r="A1059" s="42" t="n"/>
    </row>
    <row r="1060">
      <c r="A1060" s="42" t="n"/>
    </row>
    <row r="1061">
      <c r="A1061" s="42" t="n"/>
    </row>
    <row r="1062">
      <c r="A1062" s="42" t="n"/>
    </row>
    <row r="1063">
      <c r="A1063" s="42" t="n"/>
    </row>
    <row r="1064">
      <c r="A1064" s="42" t="n"/>
    </row>
    <row r="1065">
      <c r="A1065" s="42" t="n"/>
    </row>
    <row r="1066">
      <c r="A1066" s="42" t="n"/>
    </row>
    <row r="1067">
      <c r="A1067" s="42" t="n"/>
    </row>
    <row r="1068">
      <c r="A1068" s="42" t="n"/>
    </row>
    <row r="1069">
      <c r="A1069" s="42" t="n"/>
    </row>
    <row r="1070">
      <c r="A1070" s="42" t="n"/>
    </row>
    <row r="1071">
      <c r="A1071" s="42" t="n"/>
    </row>
    <row r="1072">
      <c r="A1072" s="42" t="n"/>
    </row>
    <row r="1073">
      <c r="A1073" s="42" t="n"/>
    </row>
    <row r="1074">
      <c r="A1074" s="42" t="n"/>
    </row>
    <row r="1075">
      <c r="A1075" s="42" t="n"/>
    </row>
    <row r="1076">
      <c r="A1076" s="42" t="n"/>
    </row>
    <row r="1077">
      <c r="A1077" s="42" t="n"/>
    </row>
    <row r="1078">
      <c r="A1078" s="42" t="n"/>
    </row>
    <row r="1079">
      <c r="A1079" s="42" t="n"/>
    </row>
    <row r="1080">
      <c r="A1080" s="42" t="n"/>
    </row>
    <row r="1081">
      <c r="A1081" s="42" t="n"/>
    </row>
    <row r="1082">
      <c r="A1082" s="42" t="n"/>
    </row>
    <row r="1083">
      <c r="A1083" s="42" t="n"/>
    </row>
    <row r="1084">
      <c r="A1084" s="42" t="n"/>
    </row>
    <row r="1085">
      <c r="A1085" s="42" t="n"/>
    </row>
    <row r="1086">
      <c r="A1086" s="42" t="n"/>
    </row>
    <row r="1087">
      <c r="A1087" s="42" t="n"/>
    </row>
    <row r="1088">
      <c r="A1088" s="42" t="n"/>
    </row>
    <row r="1089">
      <c r="A1089" s="42" t="n"/>
    </row>
    <row r="1090">
      <c r="A1090" s="42" t="n"/>
    </row>
    <row r="1091">
      <c r="A1091" s="42" t="n"/>
    </row>
    <row r="1092">
      <c r="A1092" s="42" t="n"/>
    </row>
    <row r="1093">
      <c r="A1093" s="42" t="n"/>
    </row>
    <row r="1094">
      <c r="A1094" s="42" t="n"/>
    </row>
    <row r="1095">
      <c r="A1095" s="42" t="n"/>
    </row>
    <row r="1096">
      <c r="A1096" s="42" t="n"/>
    </row>
    <row r="1097">
      <c r="A1097" s="42" t="n"/>
    </row>
    <row r="1098">
      <c r="A1098" s="42" t="n"/>
    </row>
    <row r="1099">
      <c r="A1099" s="42" t="n"/>
    </row>
    <row r="1100">
      <c r="A1100" s="42" t="n"/>
    </row>
    <row r="1101">
      <c r="A1101" s="42" t="n"/>
    </row>
    <row r="1102">
      <c r="A1102" s="42" t="n"/>
    </row>
    <row r="1103">
      <c r="A1103" s="42" t="n"/>
    </row>
    <row r="1104">
      <c r="A1104" s="42" t="n"/>
    </row>
    <row r="1105">
      <c r="A1105" s="42" t="n"/>
    </row>
    <row r="1106">
      <c r="A1106" s="42" t="n"/>
    </row>
    <row r="1107">
      <c r="A1107" s="42" t="n"/>
    </row>
    <row r="1108">
      <c r="A1108" s="42" t="n"/>
    </row>
    <row r="1109">
      <c r="A1109" s="42" t="n"/>
    </row>
    <row r="1110">
      <c r="A1110" s="42" t="n"/>
    </row>
    <row r="1111">
      <c r="A1111" s="42" t="n"/>
    </row>
    <row r="1112">
      <c r="A1112" s="42" t="n"/>
    </row>
    <row r="1113">
      <c r="A1113" s="42" t="n"/>
    </row>
    <row r="1114">
      <c r="A1114" s="42" t="n"/>
    </row>
    <row r="1115">
      <c r="A1115" s="42" t="n"/>
    </row>
    <row r="1116">
      <c r="A1116" s="42" t="n"/>
    </row>
    <row r="1117">
      <c r="A1117" s="42" t="n"/>
    </row>
    <row r="1118">
      <c r="A1118" s="42" t="n"/>
    </row>
    <row r="1119">
      <c r="A1119" s="42" t="n"/>
    </row>
    <row r="1120">
      <c r="A1120" s="42" t="n"/>
    </row>
    <row r="1121">
      <c r="A1121" s="42" t="n"/>
    </row>
    <row r="1122">
      <c r="A1122" s="42" t="n"/>
    </row>
    <row r="1123">
      <c r="A1123" s="42" t="n"/>
    </row>
    <row r="1124">
      <c r="A1124" s="42" t="n"/>
    </row>
    <row r="1125">
      <c r="A1125" s="42" t="n"/>
    </row>
    <row r="1126">
      <c r="A1126" s="42" t="n"/>
    </row>
    <row r="1127">
      <c r="A1127" s="42" t="n"/>
    </row>
    <row r="1128">
      <c r="A1128" s="42" t="n"/>
    </row>
    <row r="1129">
      <c r="A1129" s="42" t="n"/>
    </row>
    <row r="1130">
      <c r="A1130" s="42" t="n"/>
    </row>
    <row r="1131">
      <c r="A1131" s="42" t="n"/>
    </row>
    <row r="1132">
      <c r="A1132" s="42" t="n"/>
    </row>
    <row r="1133">
      <c r="A1133" s="42" t="n"/>
    </row>
    <row r="1134">
      <c r="A1134" s="42" t="n"/>
    </row>
    <row r="1135">
      <c r="A1135" s="42" t="n"/>
    </row>
    <row r="1136">
      <c r="A1136" s="42" t="n"/>
    </row>
    <row r="1137">
      <c r="A1137" s="42" t="n"/>
    </row>
    <row r="1138">
      <c r="A1138" s="42" t="n"/>
    </row>
    <row r="1139">
      <c r="A1139" s="42" t="n"/>
    </row>
    <row r="1140">
      <c r="A1140" s="42" t="n"/>
    </row>
    <row r="1141">
      <c r="A1141" s="42" t="n"/>
    </row>
    <row r="1142">
      <c r="A1142" s="42" t="n"/>
    </row>
    <row r="1143">
      <c r="A1143" s="42" t="n"/>
    </row>
    <row r="1144">
      <c r="A1144" s="42" t="n"/>
    </row>
    <row r="1145">
      <c r="A1145" s="42" t="n"/>
    </row>
    <row r="1146">
      <c r="A1146" s="42" t="n"/>
    </row>
    <row r="1147">
      <c r="A1147" s="42" t="n"/>
    </row>
    <row r="1148">
      <c r="A1148" s="42" t="n"/>
    </row>
    <row r="1149">
      <c r="A1149" s="42" t="n"/>
    </row>
    <row r="1150">
      <c r="A1150" s="42" t="n"/>
    </row>
    <row r="1151">
      <c r="A1151" s="42" t="n"/>
    </row>
    <row r="1152">
      <c r="A1152" s="42" t="n"/>
    </row>
    <row r="1153">
      <c r="A1153" s="42" t="n"/>
    </row>
    <row r="1154">
      <c r="A1154" s="42" t="n"/>
    </row>
    <row r="1155">
      <c r="A1155" s="42" t="n"/>
    </row>
    <row r="1156">
      <c r="A1156" s="42" t="n"/>
    </row>
    <row r="1157">
      <c r="A1157" s="42" t="n"/>
    </row>
    <row r="1158">
      <c r="A1158" s="42" t="n"/>
    </row>
    <row r="1159">
      <c r="A1159" s="42" t="n"/>
    </row>
    <row r="1160">
      <c r="A1160" s="42" t="n"/>
    </row>
    <row r="1161">
      <c r="A1161" s="42" t="n"/>
    </row>
    <row r="1162">
      <c r="A1162" s="42" t="n"/>
    </row>
    <row r="1163">
      <c r="A1163" s="42" t="n"/>
    </row>
    <row r="1164">
      <c r="A1164" s="42" t="n"/>
    </row>
    <row r="1165">
      <c r="A1165" s="42" t="n"/>
    </row>
    <row r="1166">
      <c r="A1166" s="42" t="n"/>
    </row>
    <row r="1167">
      <c r="A1167" s="42" t="n"/>
    </row>
    <row r="1168">
      <c r="A1168" s="42" t="n"/>
    </row>
    <row r="1169">
      <c r="A1169" s="42" t="n"/>
    </row>
    <row r="1170">
      <c r="A1170" s="42" t="n"/>
    </row>
    <row r="1171">
      <c r="A1171" s="42" t="n"/>
    </row>
    <row r="1172">
      <c r="A1172" s="42" t="n"/>
    </row>
    <row r="1173">
      <c r="A1173" s="42" t="n"/>
    </row>
    <row r="1174">
      <c r="A1174" s="42" t="n"/>
    </row>
    <row r="1175">
      <c r="A1175" s="42" t="n"/>
    </row>
    <row r="1176">
      <c r="A1176" s="42" t="n"/>
    </row>
    <row r="1177">
      <c r="A1177" s="42" t="n"/>
    </row>
    <row r="1178">
      <c r="A1178" s="42" t="n"/>
    </row>
    <row r="1179">
      <c r="A1179" s="42" t="n"/>
    </row>
    <row r="1180">
      <c r="A1180" s="42" t="n"/>
    </row>
    <row r="1181">
      <c r="A1181" s="42" t="n"/>
    </row>
    <row r="1182">
      <c r="A1182" s="42" t="n"/>
    </row>
    <row r="1183">
      <c r="A1183" s="42" t="n"/>
    </row>
    <row r="1184">
      <c r="A1184" s="42" t="n"/>
    </row>
    <row r="1185">
      <c r="A1185" s="42" t="n"/>
    </row>
    <row r="1186">
      <c r="A1186" s="42" t="n"/>
    </row>
    <row r="1187">
      <c r="A1187" s="42" t="n"/>
    </row>
    <row r="1188">
      <c r="A1188" s="42" t="n"/>
    </row>
    <row r="1189">
      <c r="A1189" s="42" t="n"/>
    </row>
    <row r="1190">
      <c r="A1190" s="42" t="n"/>
    </row>
    <row r="1191">
      <c r="A1191" s="42" t="n"/>
    </row>
    <row r="1192">
      <c r="A1192" s="42" t="n"/>
    </row>
    <row r="1193">
      <c r="A1193" s="42" t="n"/>
    </row>
    <row r="1194">
      <c r="A1194" s="42" t="n"/>
    </row>
    <row r="1195">
      <c r="A1195" s="42" t="n"/>
    </row>
    <row r="1196">
      <c r="A1196" s="42" t="n"/>
    </row>
    <row r="1197">
      <c r="A1197" s="42" t="n"/>
    </row>
    <row r="1198">
      <c r="A1198" s="42" t="n"/>
    </row>
    <row r="1199">
      <c r="A1199" s="42" t="n"/>
    </row>
    <row r="1200">
      <c r="A1200" s="42" t="n"/>
    </row>
    <row r="1201">
      <c r="A1201" s="42" t="n"/>
    </row>
    <row r="1202">
      <c r="A1202" s="42" t="n"/>
    </row>
    <row r="1203">
      <c r="A1203" s="42" t="n"/>
    </row>
    <row r="1204">
      <c r="A1204" s="42" t="n"/>
    </row>
    <row r="1205">
      <c r="A1205" s="42" t="n"/>
    </row>
    <row r="1206">
      <c r="A1206" s="42" t="n"/>
    </row>
    <row r="1207">
      <c r="A1207" s="42" t="n"/>
    </row>
    <row r="1208">
      <c r="A1208" s="42" t="n"/>
    </row>
    <row r="1209">
      <c r="A1209" s="42" t="n"/>
    </row>
    <row r="1210">
      <c r="A1210" s="42" t="n"/>
    </row>
    <row r="1211">
      <c r="A1211" s="42" t="n"/>
    </row>
    <row r="1212">
      <c r="A1212" s="42" t="n"/>
    </row>
    <row r="1213">
      <c r="A1213" s="42" t="n"/>
    </row>
    <row r="1214">
      <c r="A1214" s="42" t="n"/>
    </row>
    <row r="1215">
      <c r="A1215" s="42" t="n"/>
    </row>
    <row r="1216">
      <c r="A1216" s="42" t="n"/>
    </row>
    <row r="1217">
      <c r="A1217" s="42" t="n"/>
    </row>
    <row r="1218">
      <c r="A1218" s="42" t="n"/>
    </row>
    <row r="1219">
      <c r="A1219" s="42" t="n"/>
    </row>
    <row r="1220">
      <c r="A1220" s="42" t="n"/>
    </row>
    <row r="1221">
      <c r="A1221" s="42" t="n"/>
    </row>
    <row r="1222">
      <c r="A1222" s="42" t="n"/>
    </row>
    <row r="1223">
      <c r="A1223" s="42" t="n"/>
    </row>
    <row r="1224">
      <c r="A1224" s="42" t="n"/>
    </row>
    <row r="1225">
      <c r="A1225" s="42" t="n"/>
    </row>
    <row r="1226">
      <c r="A1226" s="42" t="n"/>
    </row>
    <row r="1227">
      <c r="A1227" s="42" t="n"/>
    </row>
    <row r="1228">
      <c r="A1228" s="42" t="n"/>
    </row>
    <row r="1229">
      <c r="A1229" s="42" t="n"/>
    </row>
    <row r="1230">
      <c r="A1230" s="42" t="n"/>
    </row>
    <row r="1231">
      <c r="A1231" s="42" t="n"/>
    </row>
    <row r="1232">
      <c r="A1232" s="42" t="n"/>
    </row>
    <row r="1233">
      <c r="A1233" s="42" t="n"/>
    </row>
    <row r="1234">
      <c r="A1234" s="42" t="n"/>
    </row>
    <row r="1235">
      <c r="A1235" s="42" t="n"/>
    </row>
    <row r="1236">
      <c r="A1236" s="42" t="n"/>
    </row>
    <row r="1237">
      <c r="A1237" s="42" t="n"/>
    </row>
    <row r="1238">
      <c r="A1238" s="42" t="n"/>
    </row>
    <row r="1239">
      <c r="A1239" s="42" t="n"/>
    </row>
    <row r="1240">
      <c r="A1240" s="42" t="n"/>
    </row>
    <row r="1241">
      <c r="A1241" s="42" t="n"/>
    </row>
    <row r="1242">
      <c r="A1242" s="42" t="n"/>
    </row>
    <row r="1243">
      <c r="A1243" s="42" t="n"/>
    </row>
    <row r="1244">
      <c r="A1244" s="42" t="n"/>
    </row>
    <row r="1245">
      <c r="A1245" s="42" t="n"/>
    </row>
    <row r="1246">
      <c r="A1246" s="42" t="n"/>
    </row>
    <row r="1247">
      <c r="A1247" s="42" t="n"/>
    </row>
    <row r="1248">
      <c r="A1248" s="42" t="n"/>
    </row>
    <row r="1249">
      <c r="A1249" s="42" t="n"/>
    </row>
    <row r="1250">
      <c r="A1250" s="42" t="n"/>
    </row>
    <row r="1251">
      <c r="A1251" s="42" t="n"/>
    </row>
    <row r="1252">
      <c r="A1252" s="42" t="n"/>
    </row>
    <row r="1253">
      <c r="A1253" s="42" t="n"/>
    </row>
    <row r="1254">
      <c r="A1254" s="42" t="n"/>
    </row>
    <row r="1255">
      <c r="A1255" s="42" t="n"/>
    </row>
    <row r="1256">
      <c r="A1256" s="42" t="n"/>
    </row>
    <row r="1257">
      <c r="A1257" s="42" t="n"/>
    </row>
    <row r="1258">
      <c r="A1258" s="42" t="n"/>
    </row>
    <row r="1259">
      <c r="A1259" s="42" t="n"/>
    </row>
    <row r="1260">
      <c r="A1260" s="42" t="n"/>
    </row>
    <row r="1261">
      <c r="A1261" s="42" t="n"/>
    </row>
    <row r="1262">
      <c r="A1262" s="42" t="n"/>
    </row>
    <row r="1263">
      <c r="A1263" s="42" t="n"/>
    </row>
    <row r="1264">
      <c r="A1264" s="42" t="n"/>
    </row>
    <row r="1265">
      <c r="A1265" s="42" t="n"/>
    </row>
    <row r="1266">
      <c r="A1266" s="42" t="n"/>
    </row>
    <row r="1267">
      <c r="A1267" s="42" t="n"/>
    </row>
    <row r="1268">
      <c r="A1268" s="42" t="n"/>
    </row>
    <row r="1269">
      <c r="A1269" s="42" t="n"/>
    </row>
    <row r="1270">
      <c r="A1270" s="42" t="n"/>
    </row>
    <row r="1271">
      <c r="A1271" s="42" t="n"/>
    </row>
    <row r="1272">
      <c r="A1272" s="42" t="n"/>
    </row>
    <row r="1273">
      <c r="A1273" s="42" t="n"/>
    </row>
    <row r="1274">
      <c r="A1274" s="42" t="n"/>
    </row>
    <row r="1275">
      <c r="A1275" s="42" t="n"/>
    </row>
    <row r="1276">
      <c r="A1276" s="42" t="n"/>
    </row>
    <row r="1277">
      <c r="A1277" s="42" t="n"/>
    </row>
    <row r="1278">
      <c r="A1278" s="42" t="n"/>
    </row>
    <row r="1279">
      <c r="A1279" s="42" t="n"/>
    </row>
    <row r="1280">
      <c r="A1280" s="42" t="n"/>
    </row>
    <row r="1281">
      <c r="A1281" s="42" t="n"/>
    </row>
    <row r="1282">
      <c r="A1282" s="42" t="n"/>
    </row>
    <row r="1283">
      <c r="A1283" s="42" t="n"/>
    </row>
    <row r="1284">
      <c r="A1284" s="42" t="n"/>
    </row>
    <row r="1285">
      <c r="A1285" s="42" t="n"/>
    </row>
    <row r="1286">
      <c r="A1286" s="42" t="n"/>
    </row>
    <row r="1287">
      <c r="A1287" s="42" t="n"/>
    </row>
    <row r="1288">
      <c r="A1288" s="42" t="n"/>
    </row>
    <row r="1289">
      <c r="A1289" s="42" t="n"/>
    </row>
    <row r="1290">
      <c r="A1290" s="42" t="n"/>
    </row>
    <row r="1291">
      <c r="A1291" s="42" t="n"/>
    </row>
    <row r="1292">
      <c r="A1292" s="42" t="n"/>
    </row>
    <row r="1293">
      <c r="A1293" s="42" t="n"/>
    </row>
    <row r="1294">
      <c r="A1294" s="42" t="n"/>
    </row>
    <row r="1295">
      <c r="A1295" s="42" t="n"/>
    </row>
    <row r="1296">
      <c r="A1296" s="42" t="n"/>
    </row>
    <row r="1297">
      <c r="A1297" s="42" t="n"/>
    </row>
    <row r="1298">
      <c r="A1298" s="42" t="n"/>
    </row>
    <row r="1299">
      <c r="A1299" s="42" t="n"/>
    </row>
    <row r="1300">
      <c r="A1300" s="42" t="n"/>
    </row>
    <row r="1301">
      <c r="A1301" s="42" t="n"/>
    </row>
    <row r="1302">
      <c r="A1302" s="42" t="n"/>
    </row>
    <row r="1303">
      <c r="A1303" s="42" t="n"/>
    </row>
    <row r="1304">
      <c r="A1304" s="42" t="n"/>
    </row>
    <row r="1305">
      <c r="A1305" s="42" t="n"/>
    </row>
    <row r="1306">
      <c r="A1306" s="42" t="n"/>
    </row>
    <row r="1307">
      <c r="A1307" s="42" t="n"/>
    </row>
    <row r="1308">
      <c r="A1308" s="42" t="n"/>
    </row>
    <row r="1309">
      <c r="A1309" s="42" t="n"/>
    </row>
    <row r="1310">
      <c r="A1310" s="42" t="n"/>
    </row>
    <row r="1311">
      <c r="A1311" s="42" t="n"/>
    </row>
    <row r="1312">
      <c r="A1312" s="42" t="n"/>
    </row>
    <row r="1313">
      <c r="A1313" s="42" t="n"/>
    </row>
    <row r="1314">
      <c r="A1314" s="42" t="n"/>
    </row>
    <row r="1315">
      <c r="A1315" s="42" t="n"/>
    </row>
    <row r="1316">
      <c r="A1316" s="42" t="n"/>
    </row>
    <row r="1317">
      <c r="A1317" s="42" t="n"/>
    </row>
    <row r="1318">
      <c r="A1318" s="42" t="n"/>
    </row>
    <row r="1319">
      <c r="A1319" s="42" t="n"/>
    </row>
    <row r="1320">
      <c r="A1320" s="42" t="n"/>
    </row>
    <row r="1321">
      <c r="A1321" s="42" t="n"/>
    </row>
    <row r="1322">
      <c r="A1322" s="42" t="n"/>
    </row>
    <row r="1323">
      <c r="A1323" s="42" t="n"/>
    </row>
    <row r="1324">
      <c r="A1324" s="42" t="n"/>
    </row>
    <row r="1325">
      <c r="A1325" s="42" t="n"/>
    </row>
    <row r="1326">
      <c r="A1326" s="42" t="n"/>
    </row>
    <row r="1327">
      <c r="A1327" s="42" t="n"/>
    </row>
    <row r="1328">
      <c r="A1328" s="42" t="n"/>
    </row>
    <row r="1329">
      <c r="A1329" s="42" t="n"/>
    </row>
    <row r="1330">
      <c r="A1330" s="42" t="n"/>
    </row>
    <row r="1331">
      <c r="A1331" s="42" t="n"/>
    </row>
    <row r="1332">
      <c r="A1332" s="42" t="n"/>
    </row>
    <row r="1333">
      <c r="A1333" s="42" t="n"/>
    </row>
    <row r="1334">
      <c r="A1334" s="42" t="n"/>
    </row>
    <row r="1335">
      <c r="A1335" s="42" t="n"/>
    </row>
    <row r="1336">
      <c r="A1336" s="42" t="n"/>
    </row>
    <row r="1337">
      <c r="A1337" s="42" t="n"/>
    </row>
    <row r="1338">
      <c r="A1338" s="42" t="n"/>
    </row>
    <row r="1339">
      <c r="A1339" s="42" t="n"/>
    </row>
    <row r="1340">
      <c r="A1340" s="42" t="n"/>
    </row>
    <row r="1341">
      <c r="A1341" s="42" t="n"/>
    </row>
    <row r="1342">
      <c r="A1342" s="42" t="n"/>
    </row>
    <row r="1343">
      <c r="A1343" s="42" t="n"/>
    </row>
    <row r="1344">
      <c r="A1344" s="42" t="n"/>
    </row>
    <row r="1345">
      <c r="A1345" s="42" t="n"/>
    </row>
    <row r="1346">
      <c r="A1346" s="42" t="n"/>
    </row>
    <row r="1347">
      <c r="A1347" s="42" t="n"/>
    </row>
    <row r="1348">
      <c r="A1348" s="42" t="n"/>
    </row>
    <row r="1349">
      <c r="A1349" s="42" t="n"/>
    </row>
    <row r="1350">
      <c r="A1350" s="42" t="n"/>
    </row>
    <row r="1351">
      <c r="A1351" s="42" t="n"/>
    </row>
    <row r="1352">
      <c r="A1352" s="42" t="n"/>
    </row>
    <row r="1353">
      <c r="A1353" s="42" t="n"/>
    </row>
    <row r="1354">
      <c r="A1354" s="42" t="n"/>
    </row>
    <row r="1355">
      <c r="A1355" s="42" t="n"/>
    </row>
    <row r="1356">
      <c r="A1356" s="42" t="n"/>
    </row>
    <row r="1357">
      <c r="A1357" s="42" t="n"/>
    </row>
    <row r="1358">
      <c r="A1358" s="42" t="n"/>
    </row>
    <row r="1359">
      <c r="A1359" s="42" t="n"/>
    </row>
    <row r="1360">
      <c r="A1360" s="42" t="n"/>
    </row>
    <row r="1361">
      <c r="A1361" s="42" t="n"/>
    </row>
    <row r="1362">
      <c r="A1362" s="42" t="n"/>
    </row>
    <row r="1363">
      <c r="A1363" s="42" t="n"/>
    </row>
    <row r="1364">
      <c r="A1364" s="42" t="n"/>
    </row>
    <row r="1365">
      <c r="A1365" s="42" t="n"/>
    </row>
    <row r="1366">
      <c r="A1366" s="42" t="n"/>
    </row>
    <row r="1367">
      <c r="A1367" s="42" t="n"/>
    </row>
    <row r="1368">
      <c r="A1368" s="42" t="n"/>
    </row>
    <row r="1369">
      <c r="A1369" s="42" t="n"/>
    </row>
    <row r="1370">
      <c r="A1370" s="42" t="n"/>
    </row>
    <row r="1371">
      <c r="A1371" s="42" t="n"/>
    </row>
    <row r="1372">
      <c r="A1372" s="42" t="n"/>
    </row>
    <row r="1373">
      <c r="A1373" s="42" t="n"/>
    </row>
    <row r="1374">
      <c r="A1374" s="42" t="n"/>
    </row>
    <row r="1375">
      <c r="A1375" s="42" t="n"/>
    </row>
    <row r="1376">
      <c r="A1376" s="42" t="n"/>
    </row>
    <row r="1377">
      <c r="A1377" s="42" t="n"/>
    </row>
    <row r="1378">
      <c r="A1378" s="42" t="n"/>
    </row>
    <row r="1379">
      <c r="A1379" s="42" t="n"/>
    </row>
    <row r="1380">
      <c r="A1380" s="42" t="n"/>
    </row>
    <row r="1381">
      <c r="A1381" s="42" t="n"/>
    </row>
    <row r="1382">
      <c r="A1382" s="42" t="n"/>
    </row>
    <row r="1383">
      <c r="A1383" s="42" t="n"/>
    </row>
    <row r="1384">
      <c r="A1384" s="42" t="n"/>
    </row>
    <row r="1385">
      <c r="A1385" s="42" t="n"/>
    </row>
    <row r="1386">
      <c r="A1386" s="42" t="n"/>
    </row>
    <row r="1387">
      <c r="A1387" s="42" t="n"/>
    </row>
    <row r="1388">
      <c r="A1388" s="42" t="n"/>
    </row>
    <row r="1389">
      <c r="A1389" s="42" t="n"/>
    </row>
    <row r="1390">
      <c r="A1390" s="42" t="n"/>
    </row>
    <row r="1391">
      <c r="A1391" s="42" t="n"/>
    </row>
    <row r="1392">
      <c r="A1392" s="42" t="n"/>
    </row>
    <row r="1393">
      <c r="A1393" s="42" t="n"/>
    </row>
    <row r="1394">
      <c r="A1394" s="42" t="n"/>
    </row>
    <row r="1395">
      <c r="A1395" s="42" t="n"/>
    </row>
    <row r="1396">
      <c r="A1396" s="42" t="n"/>
    </row>
    <row r="1397">
      <c r="A1397" s="42" t="n"/>
    </row>
    <row r="1398">
      <c r="A1398" s="42" t="n"/>
    </row>
    <row r="1399">
      <c r="A1399" s="42" t="n"/>
    </row>
    <row r="1400">
      <c r="A1400" s="42" t="n"/>
    </row>
    <row r="1401">
      <c r="A1401" s="42" t="n"/>
    </row>
    <row r="1402">
      <c r="A1402" s="42" t="n"/>
    </row>
    <row r="1403">
      <c r="A1403" s="42" t="n"/>
    </row>
    <row r="1404">
      <c r="A1404" s="42" t="n"/>
    </row>
    <row r="1405">
      <c r="A1405" s="42" t="n"/>
    </row>
    <row r="1406">
      <c r="A1406" s="42" t="n"/>
    </row>
    <row r="1407">
      <c r="A1407" s="42" t="n"/>
    </row>
    <row r="1408">
      <c r="A1408" s="42" t="n"/>
    </row>
    <row r="1409">
      <c r="A1409" s="42" t="n"/>
    </row>
    <row r="1410">
      <c r="A1410" s="42" t="n"/>
    </row>
    <row r="1411">
      <c r="A1411" s="42" t="n"/>
    </row>
    <row r="1412">
      <c r="A1412" s="42" t="n"/>
    </row>
    <row r="1413">
      <c r="A1413" s="42" t="n"/>
    </row>
    <row r="1414">
      <c r="A1414" s="42" t="n"/>
    </row>
    <row r="1415">
      <c r="A1415" s="42" t="n"/>
    </row>
    <row r="1416">
      <c r="A1416" s="42" t="n"/>
    </row>
    <row r="1417">
      <c r="A1417" s="42" t="n"/>
    </row>
    <row r="1418">
      <c r="A1418" s="42" t="n"/>
    </row>
    <row r="1419">
      <c r="A1419" s="42" t="n"/>
    </row>
    <row r="1420">
      <c r="A1420" s="42" t="n"/>
    </row>
    <row r="1421">
      <c r="A1421" s="42" t="n"/>
    </row>
    <row r="1422">
      <c r="A1422" s="42" t="n"/>
    </row>
    <row r="1423">
      <c r="A1423" s="42" t="n"/>
    </row>
    <row r="1424">
      <c r="A1424" s="42" t="n"/>
    </row>
    <row r="1425">
      <c r="A1425" s="42" t="n"/>
    </row>
    <row r="1426">
      <c r="A1426" s="42" t="n"/>
    </row>
    <row r="1427">
      <c r="A1427" s="42" t="n"/>
    </row>
    <row r="1428">
      <c r="A1428" s="42" t="n"/>
    </row>
    <row r="1429">
      <c r="A1429" s="42" t="n"/>
    </row>
    <row r="1430">
      <c r="A1430" s="42" t="n"/>
    </row>
    <row r="1431">
      <c r="A1431" s="42" t="n"/>
    </row>
    <row r="1432">
      <c r="A1432" s="42" t="n"/>
    </row>
    <row r="1433">
      <c r="A1433" s="42" t="n"/>
    </row>
    <row r="1434">
      <c r="A1434" s="42" t="n"/>
    </row>
    <row r="1435">
      <c r="A1435" s="42" t="n"/>
    </row>
    <row r="1436">
      <c r="A1436" s="42" t="n"/>
    </row>
    <row r="1437">
      <c r="A1437" s="42" t="n"/>
    </row>
    <row r="1438">
      <c r="A1438" s="42" t="n"/>
    </row>
    <row r="1439">
      <c r="A1439" s="42" t="n"/>
    </row>
    <row r="1440">
      <c r="A1440" s="42" t="n"/>
    </row>
    <row r="1441">
      <c r="A1441" s="42" t="n"/>
    </row>
    <row r="1442">
      <c r="A1442" s="42" t="n"/>
    </row>
    <row r="1443">
      <c r="A1443" s="42" t="n"/>
    </row>
    <row r="1444">
      <c r="A1444" s="42" t="n"/>
    </row>
    <row r="1445">
      <c r="A1445" s="42" t="n"/>
    </row>
    <row r="1446">
      <c r="A1446" s="42" t="n"/>
    </row>
    <row r="1447">
      <c r="A1447" s="42" t="n"/>
    </row>
    <row r="1448">
      <c r="A1448" s="42" t="n"/>
    </row>
    <row r="1449">
      <c r="A1449" s="42" t="n"/>
    </row>
    <row r="1450">
      <c r="A1450" s="42" t="n"/>
    </row>
    <row r="1451">
      <c r="A1451" s="42" t="n"/>
    </row>
    <row r="1452">
      <c r="A1452" s="42" t="n"/>
    </row>
    <row r="1453">
      <c r="A1453" s="42" t="n"/>
    </row>
    <row r="1454">
      <c r="A1454" s="42" t="n"/>
    </row>
    <row r="1455">
      <c r="A1455" s="42" t="n"/>
    </row>
    <row r="1456">
      <c r="A1456" s="42" t="n"/>
    </row>
    <row r="1457">
      <c r="A1457" s="42" t="n"/>
    </row>
    <row r="1458">
      <c r="A1458" s="42" t="n"/>
    </row>
    <row r="1459">
      <c r="A1459" s="42" t="n"/>
    </row>
    <row r="1460">
      <c r="A1460" s="42" t="n"/>
    </row>
    <row r="1461">
      <c r="A1461" s="42" t="n"/>
    </row>
    <row r="1462">
      <c r="A1462" s="42" t="n"/>
    </row>
    <row r="1463">
      <c r="A1463" s="42" t="n"/>
    </row>
    <row r="1464">
      <c r="A1464" s="42" t="n"/>
    </row>
    <row r="1465">
      <c r="A1465" s="42" t="n"/>
    </row>
    <row r="1466">
      <c r="A1466" s="42" t="n"/>
    </row>
    <row r="1467">
      <c r="A1467" s="42" t="n"/>
    </row>
    <row r="1468">
      <c r="A1468" s="42" t="n"/>
    </row>
    <row r="1469">
      <c r="A1469" s="42" t="n"/>
    </row>
    <row r="1470">
      <c r="A1470" s="42" t="n"/>
    </row>
    <row r="1471">
      <c r="A1471" s="42" t="n"/>
    </row>
    <row r="1472">
      <c r="A1472" s="42" t="n"/>
    </row>
    <row r="1473">
      <c r="A1473" s="42" t="n"/>
    </row>
    <row r="1474">
      <c r="A1474" s="42" t="n"/>
    </row>
    <row r="1475">
      <c r="A1475" s="42" t="n"/>
    </row>
    <row r="1476">
      <c r="A1476" s="42" t="n"/>
    </row>
    <row r="1477">
      <c r="A1477" s="42" t="n"/>
    </row>
    <row r="1478">
      <c r="A1478" s="42" t="n"/>
    </row>
    <row r="1479">
      <c r="A1479" s="42" t="n"/>
    </row>
    <row r="1480">
      <c r="A1480" s="42" t="n"/>
    </row>
    <row r="1481">
      <c r="A1481" s="42" t="n"/>
    </row>
    <row r="1482">
      <c r="A1482" s="42" t="n"/>
    </row>
    <row r="1483">
      <c r="A1483" s="42" t="n"/>
    </row>
    <row r="1484">
      <c r="A1484" s="42" t="n"/>
    </row>
    <row r="1485">
      <c r="A1485" s="42" t="n"/>
    </row>
    <row r="1486">
      <c r="A1486" s="42" t="n"/>
    </row>
    <row r="1487">
      <c r="A1487" s="42" t="n"/>
    </row>
    <row r="1488">
      <c r="A1488" s="42" t="n"/>
    </row>
    <row r="1489">
      <c r="A1489" s="42" t="n"/>
    </row>
    <row r="1490">
      <c r="A1490" s="42" t="n"/>
    </row>
    <row r="1491">
      <c r="A1491" s="42" t="n"/>
    </row>
    <row r="1492">
      <c r="A1492" s="42" t="n"/>
    </row>
    <row r="1493">
      <c r="A1493" s="42" t="n"/>
    </row>
    <row r="1494">
      <c r="A1494" s="42" t="n"/>
    </row>
    <row r="1495">
      <c r="A1495" s="42" t="n"/>
    </row>
    <row r="1496">
      <c r="A1496" s="42" t="n"/>
    </row>
    <row r="1497">
      <c r="A1497" s="42" t="n"/>
    </row>
    <row r="1498">
      <c r="A1498" s="42" t="n"/>
    </row>
    <row r="1499">
      <c r="A1499" s="42" t="n"/>
    </row>
    <row r="1500">
      <c r="A1500" s="42" t="n"/>
    </row>
    <row r="1501">
      <c r="A1501" s="42" t="n"/>
    </row>
    <row r="1502">
      <c r="A1502" s="42" t="n"/>
    </row>
    <row r="1503">
      <c r="A1503" s="42" t="n"/>
    </row>
    <row r="1504">
      <c r="A1504" s="42" t="n"/>
    </row>
    <row r="1505">
      <c r="A1505" s="42" t="n"/>
    </row>
    <row r="1506">
      <c r="A1506" s="42" t="n"/>
    </row>
    <row r="1507">
      <c r="A1507" s="42" t="n"/>
    </row>
    <row r="1508">
      <c r="A1508" s="42" t="n"/>
    </row>
    <row r="1509">
      <c r="A1509" s="42" t="n"/>
    </row>
    <row r="1510">
      <c r="A1510" s="42" t="n"/>
    </row>
    <row r="1511">
      <c r="A1511" s="42" t="n"/>
    </row>
    <row r="1512">
      <c r="A1512" s="42" t="n"/>
    </row>
    <row r="1513">
      <c r="A1513" s="42" t="n"/>
    </row>
    <row r="1514">
      <c r="A1514" s="42" t="n"/>
    </row>
    <row r="1515">
      <c r="A1515" s="42" t="n"/>
    </row>
    <row r="1516">
      <c r="A1516" s="42" t="n"/>
    </row>
    <row r="1517">
      <c r="A1517" s="42" t="n"/>
    </row>
    <row r="1518">
      <c r="A1518" s="42" t="n"/>
    </row>
    <row r="1519">
      <c r="A1519" s="42" t="n"/>
    </row>
    <row r="1520">
      <c r="A1520" s="42" t="n"/>
    </row>
    <row r="1521">
      <c r="A1521" s="42" t="n"/>
    </row>
    <row r="1522">
      <c r="A1522" s="42" t="n"/>
    </row>
    <row r="1523">
      <c r="A1523" s="42" t="n"/>
    </row>
    <row r="1524">
      <c r="A1524" s="42" t="n"/>
    </row>
    <row r="1525">
      <c r="A1525" s="42" t="n"/>
    </row>
    <row r="1526">
      <c r="A1526" s="42" t="n"/>
    </row>
    <row r="1527">
      <c r="A1527" s="42" t="n"/>
    </row>
    <row r="1528">
      <c r="A1528" s="42" t="n"/>
    </row>
    <row r="1529">
      <c r="A1529" s="42" t="n"/>
    </row>
    <row r="1530">
      <c r="A1530" s="42" t="n"/>
    </row>
    <row r="1531">
      <c r="A1531" s="42" t="n"/>
    </row>
    <row r="1532">
      <c r="A1532" s="42" t="n"/>
    </row>
    <row r="1533">
      <c r="A1533" s="42" t="n"/>
    </row>
    <row r="1534">
      <c r="A1534" s="42" t="n"/>
    </row>
    <row r="1535">
      <c r="A1535" s="42" t="n"/>
    </row>
    <row r="1536">
      <c r="A1536" s="42" t="n"/>
    </row>
    <row r="1537">
      <c r="A1537" s="42" t="n"/>
    </row>
    <row r="1538">
      <c r="A1538" s="42" t="n"/>
    </row>
    <row r="1539">
      <c r="A1539" s="42" t="n"/>
    </row>
    <row r="1540">
      <c r="A1540" s="42" t="n"/>
    </row>
    <row r="1541">
      <c r="A1541" s="42" t="n"/>
    </row>
    <row r="1542">
      <c r="A1542" s="42" t="n"/>
    </row>
    <row r="1543">
      <c r="A1543" s="42" t="n"/>
    </row>
    <row r="1544">
      <c r="A1544" s="42" t="n"/>
    </row>
    <row r="1545">
      <c r="A1545" s="42" t="n"/>
    </row>
    <row r="1546">
      <c r="A1546" s="42" t="n"/>
    </row>
    <row r="1547">
      <c r="A1547" s="42" t="n"/>
    </row>
    <row r="1548">
      <c r="A1548" s="42" t="n"/>
    </row>
    <row r="1549">
      <c r="A1549" s="42" t="n"/>
    </row>
    <row r="1550">
      <c r="A1550" s="42" t="n"/>
    </row>
    <row r="1551">
      <c r="A1551" s="42" t="n"/>
    </row>
    <row r="1552">
      <c r="A1552" s="42" t="n"/>
    </row>
    <row r="1553">
      <c r="A1553" s="42" t="n"/>
    </row>
    <row r="1554">
      <c r="A1554" s="42" t="n"/>
    </row>
    <row r="1555">
      <c r="A1555" s="42" t="n"/>
    </row>
    <row r="1556">
      <c r="A1556" s="42" t="n"/>
    </row>
    <row r="1557">
      <c r="A1557" s="42" t="n"/>
    </row>
    <row r="1558">
      <c r="A1558" s="42" t="n"/>
    </row>
    <row r="1559">
      <c r="A1559" s="42" t="n"/>
    </row>
    <row r="1560">
      <c r="A1560" s="42" t="n"/>
    </row>
    <row r="1561">
      <c r="A1561" s="42" t="n"/>
    </row>
    <row r="1562">
      <c r="A1562" s="42" t="n"/>
    </row>
    <row r="1563">
      <c r="A1563" s="42" t="n"/>
    </row>
    <row r="1564">
      <c r="A1564" s="42" t="n"/>
    </row>
    <row r="1565">
      <c r="A1565" s="42" t="n"/>
    </row>
    <row r="1566">
      <c r="A1566" s="42" t="n"/>
    </row>
    <row r="1567">
      <c r="A1567" s="42" t="n"/>
    </row>
    <row r="1568">
      <c r="A1568" s="42" t="n"/>
    </row>
    <row r="1569">
      <c r="A1569" s="42" t="n"/>
    </row>
    <row r="1570">
      <c r="A1570" s="42" t="n"/>
    </row>
    <row r="1571">
      <c r="A1571" s="42" t="n"/>
    </row>
    <row r="1572">
      <c r="A1572" s="42" t="n"/>
    </row>
    <row r="1573">
      <c r="A1573" s="42" t="n"/>
    </row>
    <row r="1574">
      <c r="A1574" s="42" t="n"/>
    </row>
    <row r="1575">
      <c r="A1575" s="42" t="n"/>
    </row>
    <row r="1576">
      <c r="A1576" s="42" t="n"/>
    </row>
    <row r="1577">
      <c r="A1577" s="42" t="n"/>
    </row>
    <row r="1578">
      <c r="A1578" s="42" t="n"/>
    </row>
    <row r="1579">
      <c r="A1579" s="42" t="n"/>
    </row>
    <row r="1580">
      <c r="A1580" s="42" t="n"/>
    </row>
    <row r="1581">
      <c r="A1581" s="42" t="n"/>
    </row>
    <row r="1582">
      <c r="A1582" s="42" t="n"/>
    </row>
    <row r="1583">
      <c r="A1583" s="42" t="n"/>
    </row>
    <row r="1584">
      <c r="A1584" s="42" t="n"/>
    </row>
    <row r="1585">
      <c r="A1585" s="42" t="n"/>
    </row>
    <row r="1586">
      <c r="A1586" s="42" t="n"/>
    </row>
    <row r="1587">
      <c r="A1587" s="42" t="n"/>
    </row>
    <row r="1588">
      <c r="A1588" s="42" t="n"/>
    </row>
    <row r="1589">
      <c r="A1589" s="42" t="n"/>
    </row>
    <row r="1590">
      <c r="A1590" s="42" t="n"/>
    </row>
    <row r="1591">
      <c r="A1591" s="42" t="n"/>
    </row>
    <row r="1592">
      <c r="A1592" s="42" t="n"/>
    </row>
    <row r="1593">
      <c r="A1593" s="42" t="n"/>
    </row>
    <row r="1594">
      <c r="A1594" s="42" t="n"/>
    </row>
    <row r="1595">
      <c r="A1595" s="42" t="n"/>
    </row>
    <row r="1596">
      <c r="A1596" s="42" t="n"/>
    </row>
    <row r="1597">
      <c r="A1597" s="42" t="n"/>
    </row>
    <row r="1598">
      <c r="A1598" s="42" t="n"/>
    </row>
    <row r="1599">
      <c r="A1599" s="42" t="n"/>
    </row>
    <row r="1600">
      <c r="A1600" s="42" t="n"/>
    </row>
    <row r="1601">
      <c r="A1601" s="42" t="n"/>
    </row>
    <row r="1602">
      <c r="A1602" s="42" t="n"/>
    </row>
    <row r="1603">
      <c r="A1603" s="42" t="n"/>
    </row>
    <row r="1604">
      <c r="A1604" s="42" t="n"/>
    </row>
    <row r="1605">
      <c r="A1605" s="42" t="n"/>
    </row>
    <row r="1606">
      <c r="A1606" s="42" t="n"/>
    </row>
    <row r="1607">
      <c r="A1607" s="42" t="n"/>
    </row>
    <row r="1608">
      <c r="A1608" s="42" t="n"/>
    </row>
    <row r="1609">
      <c r="A1609" s="42" t="n"/>
    </row>
    <row r="1610">
      <c r="A1610" s="42" t="n"/>
    </row>
    <row r="1611">
      <c r="A1611" s="42" t="n"/>
    </row>
    <row r="1612">
      <c r="A1612" s="42" t="n"/>
    </row>
    <row r="1613">
      <c r="A1613" s="42" t="n"/>
    </row>
    <row r="1614">
      <c r="A1614" s="42" t="n"/>
    </row>
    <row r="1615">
      <c r="A1615" s="42" t="n"/>
    </row>
    <row r="1616">
      <c r="A1616" s="42" t="n"/>
    </row>
    <row r="1617">
      <c r="A1617" s="42" t="n"/>
    </row>
    <row r="1618">
      <c r="A1618" s="42" t="n"/>
    </row>
    <row r="1619">
      <c r="A1619" s="42" t="n"/>
    </row>
    <row r="1620">
      <c r="A1620" s="42" t="n"/>
    </row>
    <row r="1621">
      <c r="A1621" s="42" t="n"/>
    </row>
    <row r="1622">
      <c r="A1622" s="42" t="n"/>
    </row>
    <row r="1623">
      <c r="A1623" s="42" t="n"/>
    </row>
    <row r="1624">
      <c r="A1624" s="42" t="n"/>
    </row>
    <row r="1625">
      <c r="A1625" s="42" t="n"/>
    </row>
    <row r="1626">
      <c r="A1626" s="42" t="n"/>
    </row>
    <row r="1627">
      <c r="A1627" s="42" t="n"/>
    </row>
    <row r="1628">
      <c r="A1628" s="42" t="n"/>
    </row>
    <row r="1629">
      <c r="A1629" s="42" t="n"/>
    </row>
    <row r="1630">
      <c r="A1630" s="42" t="n"/>
    </row>
    <row r="1631">
      <c r="A1631" s="42" t="n"/>
    </row>
    <row r="1632">
      <c r="A1632" s="42" t="n"/>
    </row>
    <row r="1633">
      <c r="A1633" s="42" t="n"/>
    </row>
    <row r="1634">
      <c r="A1634" s="42" t="n"/>
    </row>
    <row r="1635">
      <c r="A1635" s="42" t="n"/>
    </row>
    <row r="1636">
      <c r="A1636" s="42" t="n"/>
    </row>
    <row r="1637">
      <c r="A1637" s="42" t="n"/>
    </row>
    <row r="1638">
      <c r="A1638" s="42" t="n"/>
    </row>
    <row r="1639">
      <c r="A1639" s="42" t="n"/>
    </row>
    <row r="1640">
      <c r="A1640" s="42" t="n"/>
    </row>
    <row r="1641">
      <c r="A1641" s="42" t="n"/>
    </row>
    <row r="1642">
      <c r="A1642" s="42" t="n"/>
    </row>
    <row r="1643">
      <c r="A1643" s="42" t="n"/>
    </row>
    <row r="1644">
      <c r="A1644" s="42" t="n"/>
    </row>
    <row r="1645">
      <c r="A1645" s="42" t="n"/>
    </row>
    <row r="1646">
      <c r="A1646" s="42" t="n"/>
    </row>
    <row r="1647">
      <c r="A1647" s="42" t="n"/>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1:J1"/>
    <mergeCell ref="A2:J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V1647"/>
  <sheetViews>
    <sheetView workbookViewId="0">
      <selection activeCell="A1" sqref="A1"/>
    </sheetView>
  </sheetViews>
  <sheetFormatPr baseColWidth="8" defaultRowHeight="15"/>
  <cols>
    <col width="18" customWidth="1" style="51" min="1" max="1"/>
    <col width="18" customWidth="1" style="51" min="2" max="2"/>
    <col width="24" customWidth="1" style="51" min="3" max="3"/>
    <col width="28" customWidth="1" style="51" min="4" max="4"/>
    <col width="25" customWidth="1" style="51" min="5" max="5"/>
    <col width="12" customWidth="1" style="51" min="6" max="6"/>
    <col width="15" customWidth="1" style="51" min="7" max="7"/>
    <col width="10" customWidth="1" style="51" min="8" max="8"/>
    <col width="10" customWidth="1" style="51" min="9" max="9"/>
    <col width="12" customWidth="1" style="51" min="10" max="10"/>
    <col width="12" customWidth="1" style="51" min="11" max="11"/>
    <col width="24" customWidth="1" style="51" min="12" max="12"/>
    <col width="8" customWidth="1" style="51" min="13" max="13"/>
    <col width="20" customWidth="1" style="51" min="14" max="14"/>
    <col width="10" customWidth="1" style="51" min="15" max="15"/>
    <col width="10" customWidth="1" style="51" min="16" max="16"/>
    <col width="44" customWidth="1" style="51" min="17" max="17"/>
    <col width="48" customWidth="1" style="51" min="18" max="18"/>
    <col width="12" customWidth="1" style="51" min="19" max="19"/>
    <col width="13" customWidth="1" style="51" min="20" max="20"/>
    <col width="20" customWidth="1" style="51" min="21" max="21"/>
    <col width="30" customWidth="1" style="51" min="22" max="22"/>
  </cols>
  <sheetData>
    <row r="1" ht="28" customHeight="1" s="51">
      <c r="A1" s="219" t="inlineStr">
        <is>
          <t>サイズマスター｜サーモスL v0.6 詳細構成・ガラス凡例確定版</t>
        </is>
      </c>
      <c r="B1" s="41" t="n"/>
      <c r="C1" s="41" t="n"/>
      <c r="D1" s="41" t="n"/>
      <c r="E1" s="41" t="n"/>
      <c r="F1" s="41" t="n"/>
      <c r="G1" s="41" t="n"/>
      <c r="H1" s="41" t="n"/>
      <c r="I1" s="41" t="n"/>
      <c r="J1" s="41" t="n"/>
      <c r="K1" s="41" t="n"/>
      <c r="L1" s="41" t="n"/>
      <c r="M1" s="41" t="n"/>
      <c r="N1" s="41" t="n"/>
      <c r="O1" s="41" t="n"/>
      <c r="P1" s="41" t="n"/>
      <c r="Q1" s="41" t="n"/>
      <c r="R1" s="41" t="n"/>
    </row>
    <row r="2" ht="42" customHeight="1" s="51">
      <c r="A2" s="220" t="inlineStr">
        <is>
          <t>v0.6：ガラス凡例継承を同一価格表セクション内の前頁/次頁継承へ確定。内倒し窓16503は直接注記で別扱い。</t>
        </is>
      </c>
      <c r="B2" s="41" t="n"/>
      <c r="C2" s="41" t="n"/>
      <c r="D2" s="41" t="n"/>
      <c r="E2" s="41" t="n"/>
      <c r="F2" s="41" t="n"/>
      <c r="G2" s="41" t="n"/>
      <c r="H2" s="41" t="n"/>
      <c r="I2" s="41" t="n"/>
      <c r="J2" s="41" t="n"/>
      <c r="K2" s="41" t="n"/>
      <c r="L2" s="41" t="n"/>
      <c r="M2" s="41" t="n"/>
      <c r="N2" s="41" t="n"/>
      <c r="O2" s="41" t="n"/>
      <c r="P2" s="41" t="n"/>
      <c r="Q2" s="41" t="n"/>
      <c r="R2" s="41" t="n"/>
    </row>
    <row r="3" ht="30" customHeight="1" s="51">
      <c r="A3" s="54" t="inlineStr">
        <is>
          <t>size_id</t>
        </is>
      </c>
      <c r="B3" s="54" t="inlineStr">
        <is>
          <t>シリーズID</t>
        </is>
      </c>
      <c r="C3" s="54" t="inlineStr">
        <is>
          <t>窓種ID</t>
        </is>
      </c>
      <c r="D3" s="54" t="inlineStr">
        <is>
          <t>窓種名</t>
        </is>
      </c>
      <c r="E3" s="54" t="inlineStr">
        <is>
          <t>固有仕様ID</t>
        </is>
      </c>
      <c r="F3" s="54" t="inlineStr">
        <is>
          <t>工法区分</t>
        </is>
      </c>
      <c r="G3" s="54" t="inlineStr">
        <is>
          <t>呼称</t>
        </is>
      </c>
      <c r="H3" s="54" t="inlineStr">
        <is>
          <t>呼称W</t>
        </is>
      </c>
      <c r="I3" s="54" t="inlineStr">
        <is>
          <t>呼称H</t>
        </is>
      </c>
      <c r="J3" s="54" t="inlineStr">
        <is>
          <t>実寸W(mm)</t>
        </is>
      </c>
      <c r="K3" s="54" t="inlineStr">
        <is>
          <t>実寸H(mm)</t>
        </is>
      </c>
      <c r="L3" s="54" t="inlineStr">
        <is>
          <t>建て方/区分</t>
        </is>
      </c>
      <c r="M3" s="54" t="inlineStr">
        <is>
          <t>有効</t>
        </is>
      </c>
      <c r="N3" s="54" t="inlineStr">
        <is>
          <t>登録状態</t>
        </is>
      </c>
      <c r="O3" s="54" t="inlineStr">
        <is>
          <t>PDFページ</t>
        </is>
      </c>
      <c r="P3" s="54" t="inlineStr">
        <is>
          <t>誌面ページ</t>
        </is>
      </c>
      <c r="Q3" s="54" t="inlineStr">
        <is>
          <t>出典ファイル</t>
        </is>
      </c>
      <c r="R3" s="54" t="inlineStr">
        <is>
          <t>備考</t>
        </is>
      </c>
      <c r="S3" s="108" t="inlineStr">
        <is>
          <t>ガラス記号</t>
        </is>
      </c>
      <c r="T3" s="108" t="inlineStr">
        <is>
          <t>凡例参照頁</t>
        </is>
      </c>
      <c r="U3" s="108" t="inlineStr">
        <is>
          <t>ガラス凡例キー</t>
        </is>
      </c>
      <c r="V3" s="108" t="inlineStr">
        <is>
          <t>ガラス判定状態</t>
        </is>
      </c>
    </row>
    <row r="4">
      <c r="A4" s="47" t="inlineStr">
        <is>
          <t>SZ-SL-000001</t>
        </is>
      </c>
      <c r="B4" s="47" t="inlineStr">
        <is>
          <t>SER-LIX-SAMOSL</t>
        </is>
      </c>
      <c r="C4" s="47" t="inlineStr">
        <is>
          <t>WT-SL-HIKICHIGAI</t>
        </is>
      </c>
      <c r="D4" s="47" t="inlineStr">
        <is>
          <t>単体引違い窓</t>
        </is>
      </c>
      <c r="E4" s="47" t="n"/>
      <c r="F4" s="47" t="inlineStr">
        <is>
          <t>在来・204</t>
        </is>
      </c>
      <c r="G4" s="47" t="inlineStr">
        <is>
          <t>06003</t>
        </is>
      </c>
      <c r="H4" s="47" t="inlineStr">
        <is>
          <t>060</t>
        </is>
      </c>
      <c r="I4" s="47" t="inlineStr">
        <is>
          <t>03</t>
        </is>
      </c>
      <c r="J4" s="221" t="n">
        <v>640</v>
      </c>
      <c r="K4" s="221" t="n">
        <v>370</v>
      </c>
      <c r="L4" s="47" t="inlineStr">
        <is>
          <t>在来・204｜マド①</t>
        </is>
      </c>
      <c r="M4" s="61" t="b">
        <v>1</v>
      </c>
      <c r="N4" s="47" t="inlineStr">
        <is>
          <t>カタログ規格確認済み</t>
        </is>
      </c>
      <c r="O4" s="221" t="n">
        <v>8</v>
      </c>
      <c r="P4" s="221" t="n">
        <v>6</v>
      </c>
      <c r="Q4" s="47" t="inlineStr">
        <is>
          <t>202604_LIXIL_サーモスＬ_業務用資料集_完成品価格表.pdf</t>
        </is>
      </c>
      <c r="R4" s="43" t="n"/>
      <c r="S4" s="42" t="inlineStr">
        <is>
          <t>無印</t>
        </is>
      </c>
      <c r="T4" s="42" t="n">
        <v>6</v>
      </c>
      <c r="U4" s="42" t="inlineStr">
        <is>
          <t>P6|無印</t>
        </is>
      </c>
      <c r="V4" s="42" t="inlineStr">
        <is>
          <t>同頁凡例へ直接連動</t>
        </is>
      </c>
    </row>
    <row r="5">
      <c r="A5" s="43" t="inlineStr">
        <is>
          <t>SZ-SL-000002</t>
        </is>
      </c>
      <c r="B5" s="43" t="inlineStr">
        <is>
          <t>SER-LIX-SAMOSL</t>
        </is>
      </c>
      <c r="C5" s="43" t="inlineStr">
        <is>
          <t>WT-SL-HIKICHIGAI</t>
        </is>
      </c>
      <c r="D5" s="43" t="inlineStr">
        <is>
          <t>単体引違い窓</t>
        </is>
      </c>
      <c r="E5" s="43" t="n"/>
      <c r="F5" s="43" t="inlineStr">
        <is>
          <t>在来・204</t>
        </is>
      </c>
      <c r="G5" s="43" t="inlineStr">
        <is>
          <t>06005</t>
        </is>
      </c>
      <c r="H5" s="43" t="inlineStr">
        <is>
          <t>060</t>
        </is>
      </c>
      <c r="I5" s="43" t="inlineStr">
        <is>
          <t>05</t>
        </is>
      </c>
      <c r="J5" s="222" t="n">
        <v>640</v>
      </c>
      <c r="K5" s="222" t="n">
        <v>570</v>
      </c>
      <c r="L5" s="43" t="inlineStr">
        <is>
          <t>在来・204｜マド①</t>
        </is>
      </c>
      <c r="M5" s="178" t="b">
        <v>1</v>
      </c>
      <c r="N5" s="43" t="inlineStr">
        <is>
          <t>カタログ規格確認済み</t>
        </is>
      </c>
      <c r="O5" s="222" t="n">
        <v>8</v>
      </c>
      <c r="P5" s="222" t="n">
        <v>6</v>
      </c>
      <c r="Q5" s="43" t="inlineStr">
        <is>
          <t>202604_LIXIL_サーモスＬ_業務用資料集_完成品価格表.pdf</t>
        </is>
      </c>
      <c r="R5" s="43" t="n"/>
      <c r="S5" s="42" t="inlineStr">
        <is>
          <t>無印</t>
        </is>
      </c>
      <c r="T5" s="42" t="n">
        <v>6</v>
      </c>
      <c r="U5" s="42" t="inlineStr">
        <is>
          <t>P6|無印</t>
        </is>
      </c>
      <c r="V5" s="42" t="inlineStr">
        <is>
          <t>同頁凡例へ直接連動</t>
        </is>
      </c>
    </row>
    <row r="6">
      <c r="A6" s="43" t="inlineStr">
        <is>
          <t>SZ-SL-000003</t>
        </is>
      </c>
      <c r="B6" s="43" t="inlineStr">
        <is>
          <t>SER-LIX-SAMOSL</t>
        </is>
      </c>
      <c r="C6" s="43" t="inlineStr">
        <is>
          <t>WT-SL-HIKICHIGAI</t>
        </is>
      </c>
      <c r="D6" s="43" t="inlineStr">
        <is>
          <t>単体引違い窓</t>
        </is>
      </c>
      <c r="E6" s="43" t="n"/>
      <c r="F6" s="43" t="inlineStr">
        <is>
          <t>在来・204</t>
        </is>
      </c>
      <c r="G6" s="43" t="inlineStr">
        <is>
          <t>06007</t>
        </is>
      </c>
      <c r="H6" s="43" t="inlineStr">
        <is>
          <t>060</t>
        </is>
      </c>
      <c r="I6" s="43" t="inlineStr">
        <is>
          <t>07</t>
        </is>
      </c>
      <c r="J6" s="222" t="n">
        <v>640</v>
      </c>
      <c r="K6" s="222" t="n">
        <v>770</v>
      </c>
      <c r="L6" s="43" t="inlineStr">
        <is>
          <t>在来・204｜マド①</t>
        </is>
      </c>
      <c r="M6" s="178" t="b">
        <v>1</v>
      </c>
      <c r="N6" s="43" t="inlineStr">
        <is>
          <t>カタログ規格確認済み</t>
        </is>
      </c>
      <c r="O6" s="222" t="n">
        <v>8</v>
      </c>
      <c r="P6" s="222" t="n">
        <v>6</v>
      </c>
      <c r="Q6" s="43" t="inlineStr">
        <is>
          <t>202604_LIXIL_サーモスＬ_業務用資料集_完成品価格表.pdf</t>
        </is>
      </c>
      <c r="R6" s="43" t="n"/>
      <c r="S6" s="42" t="inlineStr">
        <is>
          <t>無印</t>
        </is>
      </c>
      <c r="T6" s="42" t="n">
        <v>6</v>
      </c>
      <c r="U6" s="42" t="inlineStr">
        <is>
          <t>P6|無印</t>
        </is>
      </c>
      <c r="V6" s="42" t="inlineStr">
        <is>
          <t>同頁凡例へ直接連動</t>
        </is>
      </c>
    </row>
    <row r="7">
      <c r="A7" s="43" t="inlineStr">
        <is>
          <t>SZ-SL-000004</t>
        </is>
      </c>
      <c r="B7" s="43" t="inlineStr">
        <is>
          <t>SER-LIX-SAMOSL</t>
        </is>
      </c>
      <c r="C7" s="43" t="inlineStr">
        <is>
          <t>WT-SL-HIKICHIGAI</t>
        </is>
      </c>
      <c r="D7" s="43" t="inlineStr">
        <is>
          <t>単体引違い窓</t>
        </is>
      </c>
      <c r="E7" s="43" t="n"/>
      <c r="F7" s="43" t="inlineStr">
        <is>
          <t>在来・204</t>
        </is>
      </c>
      <c r="G7" s="43" t="inlineStr">
        <is>
          <t>06009</t>
        </is>
      </c>
      <c r="H7" s="43" t="inlineStr">
        <is>
          <t>060</t>
        </is>
      </c>
      <c r="I7" s="43" t="inlineStr">
        <is>
          <t>09</t>
        </is>
      </c>
      <c r="J7" s="222" t="n">
        <v>640</v>
      </c>
      <c r="K7" s="222" t="n">
        <v>970</v>
      </c>
      <c r="L7" s="43" t="inlineStr">
        <is>
          <t>在来・204｜マド①</t>
        </is>
      </c>
      <c r="M7" s="178" t="b">
        <v>1</v>
      </c>
      <c r="N7" s="43" t="inlineStr">
        <is>
          <t>カタログ規格確認済み</t>
        </is>
      </c>
      <c r="O7" s="222" t="n">
        <v>8</v>
      </c>
      <c r="P7" s="222" t="n">
        <v>6</v>
      </c>
      <c r="Q7" s="43" t="inlineStr">
        <is>
          <t>202604_LIXIL_サーモスＬ_業務用資料集_完成品価格表.pdf</t>
        </is>
      </c>
      <c r="R7" s="43" t="n"/>
      <c r="S7" s="42" t="inlineStr">
        <is>
          <t>無印</t>
        </is>
      </c>
      <c r="T7" s="42" t="n">
        <v>6</v>
      </c>
      <c r="U7" s="42" t="inlineStr">
        <is>
          <t>P6|無印</t>
        </is>
      </c>
      <c r="V7" s="42" t="inlineStr">
        <is>
          <t>同頁凡例へ直接連動</t>
        </is>
      </c>
    </row>
    <row r="8">
      <c r="A8" s="43" t="inlineStr">
        <is>
          <t>SZ-SL-000005</t>
        </is>
      </c>
      <c r="B8" s="43" t="inlineStr">
        <is>
          <t>SER-LIX-SAMOSL</t>
        </is>
      </c>
      <c r="C8" s="43" t="inlineStr">
        <is>
          <t>WT-SL-HIKICHIGAI</t>
        </is>
      </c>
      <c r="D8" s="43" t="inlineStr">
        <is>
          <t>単体引違い窓</t>
        </is>
      </c>
      <c r="E8" s="43" t="n"/>
      <c r="F8" s="43" t="inlineStr">
        <is>
          <t>在来・204</t>
        </is>
      </c>
      <c r="G8" s="43" t="inlineStr">
        <is>
          <t>06903</t>
        </is>
      </c>
      <c r="H8" s="43" t="inlineStr">
        <is>
          <t>069</t>
        </is>
      </c>
      <c r="I8" s="43" t="inlineStr">
        <is>
          <t>03</t>
        </is>
      </c>
      <c r="J8" s="222" t="n">
        <v>730</v>
      </c>
      <c r="K8" s="222" t="n">
        <v>370</v>
      </c>
      <c r="L8" s="43" t="inlineStr">
        <is>
          <t>在来・204｜マド①</t>
        </is>
      </c>
      <c r="M8" s="178" t="b">
        <v>1</v>
      </c>
      <c r="N8" s="43" t="inlineStr">
        <is>
          <t>カタログ規格確認済み</t>
        </is>
      </c>
      <c r="O8" s="222" t="n">
        <v>8</v>
      </c>
      <c r="P8" s="222" t="n">
        <v>6</v>
      </c>
      <c r="Q8" s="43" t="inlineStr">
        <is>
          <t>202604_LIXIL_サーモスＬ_業務用資料集_完成品価格表.pdf</t>
        </is>
      </c>
      <c r="R8" s="43" t="n"/>
      <c r="S8" s="42" t="inlineStr">
        <is>
          <t>無印</t>
        </is>
      </c>
      <c r="T8" s="42" t="n">
        <v>6</v>
      </c>
      <c r="U8" s="42" t="inlineStr">
        <is>
          <t>P6|無印</t>
        </is>
      </c>
      <c r="V8" s="42" t="inlineStr">
        <is>
          <t>同頁凡例へ直接連動</t>
        </is>
      </c>
    </row>
    <row r="9">
      <c r="A9" s="43" t="inlineStr">
        <is>
          <t>SZ-SL-000006</t>
        </is>
      </c>
      <c r="B9" s="43" t="inlineStr">
        <is>
          <t>SER-LIX-SAMOSL</t>
        </is>
      </c>
      <c r="C9" s="43" t="inlineStr">
        <is>
          <t>WT-SL-HIKICHIGAI</t>
        </is>
      </c>
      <c r="D9" s="43" t="inlineStr">
        <is>
          <t>単体引違い窓</t>
        </is>
      </c>
      <c r="E9" s="43" t="n"/>
      <c r="F9" s="43" t="inlineStr">
        <is>
          <t>在来・204</t>
        </is>
      </c>
      <c r="G9" s="43" t="inlineStr">
        <is>
          <t>06905</t>
        </is>
      </c>
      <c r="H9" s="43" t="inlineStr">
        <is>
          <t>069</t>
        </is>
      </c>
      <c r="I9" s="43" t="inlineStr">
        <is>
          <t>05</t>
        </is>
      </c>
      <c r="J9" s="222" t="n">
        <v>730</v>
      </c>
      <c r="K9" s="222" t="n">
        <v>570</v>
      </c>
      <c r="L9" s="43" t="inlineStr">
        <is>
          <t>在来・204｜マド①</t>
        </is>
      </c>
      <c r="M9" s="178" t="b">
        <v>1</v>
      </c>
      <c r="N9" s="43" t="inlineStr">
        <is>
          <t>カタログ規格確認済み</t>
        </is>
      </c>
      <c r="O9" s="222" t="n">
        <v>8</v>
      </c>
      <c r="P9" s="222" t="n">
        <v>6</v>
      </c>
      <c r="Q9" s="43" t="inlineStr">
        <is>
          <t>202604_LIXIL_サーモスＬ_業務用資料集_完成品価格表.pdf</t>
        </is>
      </c>
      <c r="R9" s="43" t="n"/>
      <c r="S9" s="42" t="inlineStr">
        <is>
          <t>無印</t>
        </is>
      </c>
      <c r="T9" s="42" t="n">
        <v>6</v>
      </c>
      <c r="U9" s="42" t="inlineStr">
        <is>
          <t>P6|無印</t>
        </is>
      </c>
      <c r="V9" s="42" t="inlineStr">
        <is>
          <t>同頁凡例へ直接連動</t>
        </is>
      </c>
    </row>
    <row r="10">
      <c r="A10" s="43" t="inlineStr">
        <is>
          <t>SZ-SL-000007</t>
        </is>
      </c>
      <c r="B10" s="43" t="inlineStr">
        <is>
          <t>SER-LIX-SAMOSL</t>
        </is>
      </c>
      <c r="C10" s="43" t="inlineStr">
        <is>
          <t>WT-SL-HIKICHIGAI</t>
        </is>
      </c>
      <c r="D10" s="43" t="inlineStr">
        <is>
          <t>単体引違い窓</t>
        </is>
      </c>
      <c r="E10" s="43" t="n"/>
      <c r="F10" s="43" t="inlineStr">
        <is>
          <t>在来・204</t>
        </is>
      </c>
      <c r="G10" s="43" t="inlineStr">
        <is>
          <t>06907</t>
        </is>
      </c>
      <c r="H10" s="43" t="inlineStr">
        <is>
          <t>069</t>
        </is>
      </c>
      <c r="I10" s="43" t="inlineStr">
        <is>
          <t>07</t>
        </is>
      </c>
      <c r="J10" s="222" t="n">
        <v>730</v>
      </c>
      <c r="K10" s="222" t="n">
        <v>770</v>
      </c>
      <c r="L10" s="43" t="inlineStr">
        <is>
          <t>在来・204｜マド①</t>
        </is>
      </c>
      <c r="M10" s="178" t="b">
        <v>1</v>
      </c>
      <c r="N10" s="43" t="inlineStr">
        <is>
          <t>カタログ規格確認済み</t>
        </is>
      </c>
      <c r="O10" s="222" t="n">
        <v>8</v>
      </c>
      <c r="P10" s="222" t="n">
        <v>6</v>
      </c>
      <c r="Q10" s="43" t="inlineStr">
        <is>
          <t>202604_LIXIL_サーモスＬ_業務用資料集_完成品価格表.pdf</t>
        </is>
      </c>
      <c r="R10" s="43" t="n"/>
      <c r="S10" s="42" t="inlineStr">
        <is>
          <t>無印</t>
        </is>
      </c>
      <c r="T10" s="42" t="n">
        <v>6</v>
      </c>
      <c r="U10" s="42" t="inlineStr">
        <is>
          <t>P6|無印</t>
        </is>
      </c>
      <c r="V10" s="42" t="inlineStr">
        <is>
          <t>同頁凡例へ直接連動</t>
        </is>
      </c>
    </row>
    <row r="11">
      <c r="A11" s="43" t="inlineStr">
        <is>
          <t>SZ-SL-000008</t>
        </is>
      </c>
      <c r="B11" s="43" t="inlineStr">
        <is>
          <t>SER-LIX-SAMOSL</t>
        </is>
      </c>
      <c r="C11" s="43" t="inlineStr">
        <is>
          <t>WT-SL-HIKICHIGAI</t>
        </is>
      </c>
      <c r="D11" s="43" t="inlineStr">
        <is>
          <t>単体引違い窓</t>
        </is>
      </c>
      <c r="E11" s="43" t="n"/>
      <c r="F11" s="43" t="inlineStr">
        <is>
          <t>在来・204</t>
        </is>
      </c>
      <c r="G11" s="43" t="inlineStr">
        <is>
          <t>06909</t>
        </is>
      </c>
      <c r="H11" s="43" t="inlineStr">
        <is>
          <t>069</t>
        </is>
      </c>
      <c r="I11" s="43" t="inlineStr">
        <is>
          <t>09</t>
        </is>
      </c>
      <c r="J11" s="222" t="n">
        <v>730</v>
      </c>
      <c r="K11" s="222" t="n">
        <v>970</v>
      </c>
      <c r="L11" s="43" t="inlineStr">
        <is>
          <t>在来・204｜マド①</t>
        </is>
      </c>
      <c r="M11" s="178" t="b">
        <v>1</v>
      </c>
      <c r="N11" s="43" t="inlineStr">
        <is>
          <t>カタログ規格確認済み</t>
        </is>
      </c>
      <c r="O11" s="222" t="n">
        <v>8</v>
      </c>
      <c r="P11" s="222" t="n">
        <v>6</v>
      </c>
      <c r="Q11" s="43" t="inlineStr">
        <is>
          <t>202604_LIXIL_サーモスＬ_業務用資料集_完成品価格表.pdf</t>
        </is>
      </c>
      <c r="R11" s="43" t="n"/>
      <c r="S11" s="42" t="inlineStr">
        <is>
          <t>無印</t>
        </is>
      </c>
      <c r="T11" s="42" t="n">
        <v>6</v>
      </c>
      <c r="U11" s="42" t="inlineStr">
        <is>
          <t>P6|無印</t>
        </is>
      </c>
      <c r="V11" s="42" t="inlineStr">
        <is>
          <t>同頁凡例へ直接連動</t>
        </is>
      </c>
    </row>
    <row r="12">
      <c r="A12" s="43" t="inlineStr">
        <is>
          <t>SZ-SL-000009</t>
        </is>
      </c>
      <c r="B12" s="43" t="inlineStr">
        <is>
          <t>SER-LIX-SAMOSL</t>
        </is>
      </c>
      <c r="C12" s="43" t="inlineStr">
        <is>
          <t>WT-SL-HIKICHIGAI</t>
        </is>
      </c>
      <c r="D12" s="43" t="inlineStr">
        <is>
          <t>単体引違い窓</t>
        </is>
      </c>
      <c r="E12" s="43" t="n"/>
      <c r="F12" s="43" t="inlineStr">
        <is>
          <t>在来・204</t>
        </is>
      </c>
      <c r="G12" s="43" t="inlineStr">
        <is>
          <t>07403</t>
        </is>
      </c>
      <c r="H12" s="43" t="inlineStr">
        <is>
          <t>074</t>
        </is>
      </c>
      <c r="I12" s="43" t="inlineStr">
        <is>
          <t>03</t>
        </is>
      </c>
      <c r="J12" s="222" t="n">
        <v>780</v>
      </c>
      <c r="K12" s="222" t="n">
        <v>370</v>
      </c>
      <c r="L12" s="43" t="inlineStr">
        <is>
          <t>在来・204｜マド①</t>
        </is>
      </c>
      <c r="M12" s="178" t="b">
        <v>1</v>
      </c>
      <c r="N12" s="43" t="inlineStr">
        <is>
          <t>カタログ規格確認済み</t>
        </is>
      </c>
      <c r="O12" s="222" t="n">
        <v>8</v>
      </c>
      <c r="P12" s="222" t="n">
        <v>6</v>
      </c>
      <c r="Q12" s="43" t="inlineStr">
        <is>
          <t>202604_LIXIL_サーモスＬ_業務用資料集_完成品価格表.pdf</t>
        </is>
      </c>
      <c r="R12" s="43" t="n"/>
      <c r="S12" s="42" t="inlineStr">
        <is>
          <t>無印</t>
        </is>
      </c>
      <c r="T12" s="42" t="n">
        <v>6</v>
      </c>
      <c r="U12" s="42" t="inlineStr">
        <is>
          <t>P6|無印</t>
        </is>
      </c>
      <c r="V12" s="42" t="inlineStr">
        <is>
          <t>同頁凡例へ直接連動</t>
        </is>
      </c>
    </row>
    <row r="13">
      <c r="A13" s="43" t="inlineStr">
        <is>
          <t>SZ-SL-000010</t>
        </is>
      </c>
      <c r="B13" s="43" t="inlineStr">
        <is>
          <t>SER-LIX-SAMOSL</t>
        </is>
      </c>
      <c r="C13" s="43" t="inlineStr">
        <is>
          <t>WT-SL-HIKICHIGAI</t>
        </is>
      </c>
      <c r="D13" s="43" t="inlineStr">
        <is>
          <t>単体引違い窓</t>
        </is>
      </c>
      <c r="E13" s="43" t="n"/>
      <c r="F13" s="43" t="inlineStr">
        <is>
          <t>在来・204</t>
        </is>
      </c>
      <c r="G13" s="43" t="inlineStr">
        <is>
          <t>07405</t>
        </is>
      </c>
      <c r="H13" s="43" t="inlineStr">
        <is>
          <t>074</t>
        </is>
      </c>
      <c r="I13" s="43" t="inlineStr">
        <is>
          <t>05</t>
        </is>
      </c>
      <c r="J13" s="222" t="n">
        <v>780</v>
      </c>
      <c r="K13" s="222" t="n">
        <v>570</v>
      </c>
      <c r="L13" s="43" t="inlineStr">
        <is>
          <t>在来・204｜マド①</t>
        </is>
      </c>
      <c r="M13" s="178" t="b">
        <v>1</v>
      </c>
      <c r="N13" s="43" t="inlineStr">
        <is>
          <t>カタログ規格確認済み</t>
        </is>
      </c>
      <c r="O13" s="222" t="n">
        <v>8</v>
      </c>
      <c r="P13" s="222" t="n">
        <v>6</v>
      </c>
      <c r="Q13" s="43" t="inlineStr">
        <is>
          <t>202604_LIXIL_サーモスＬ_業務用資料集_完成品価格表.pdf</t>
        </is>
      </c>
      <c r="R13" s="43" t="n"/>
      <c r="S13" s="42" t="inlineStr">
        <is>
          <t>無印</t>
        </is>
      </c>
      <c r="T13" s="42" t="n">
        <v>6</v>
      </c>
      <c r="U13" s="42" t="inlineStr">
        <is>
          <t>P6|無印</t>
        </is>
      </c>
      <c r="V13" s="42" t="inlineStr">
        <is>
          <t>同頁凡例へ直接連動</t>
        </is>
      </c>
    </row>
    <row r="14">
      <c r="A14" s="43" t="inlineStr">
        <is>
          <t>SZ-SL-000011</t>
        </is>
      </c>
      <c r="B14" s="43" t="inlineStr">
        <is>
          <t>SER-LIX-SAMOSL</t>
        </is>
      </c>
      <c r="C14" s="43" t="inlineStr">
        <is>
          <t>WT-SL-HIKICHIGAI</t>
        </is>
      </c>
      <c r="D14" s="43" t="inlineStr">
        <is>
          <t>単体引違い窓</t>
        </is>
      </c>
      <c r="E14" s="43" t="n"/>
      <c r="F14" s="43" t="inlineStr">
        <is>
          <t>在来・204</t>
        </is>
      </c>
      <c r="G14" s="43" t="inlineStr">
        <is>
          <t>07407</t>
        </is>
      </c>
      <c r="H14" s="43" t="inlineStr">
        <is>
          <t>074</t>
        </is>
      </c>
      <c r="I14" s="43" t="inlineStr">
        <is>
          <t>07</t>
        </is>
      </c>
      <c r="J14" s="222" t="n">
        <v>780</v>
      </c>
      <c r="K14" s="222" t="n">
        <v>770</v>
      </c>
      <c r="L14" s="43" t="inlineStr">
        <is>
          <t>在来・204｜マド①</t>
        </is>
      </c>
      <c r="M14" s="178" t="b">
        <v>1</v>
      </c>
      <c r="N14" s="43" t="inlineStr">
        <is>
          <t>カタログ規格確認済み</t>
        </is>
      </c>
      <c r="O14" s="222" t="n">
        <v>8</v>
      </c>
      <c r="P14" s="222" t="n">
        <v>6</v>
      </c>
      <c r="Q14" s="43" t="inlineStr">
        <is>
          <t>202604_LIXIL_サーモスＬ_業務用資料集_完成品価格表.pdf</t>
        </is>
      </c>
      <c r="R14" s="43" t="n"/>
      <c r="S14" s="42" t="inlineStr">
        <is>
          <t>無印</t>
        </is>
      </c>
      <c r="T14" s="42" t="n">
        <v>6</v>
      </c>
      <c r="U14" s="42" t="inlineStr">
        <is>
          <t>P6|無印</t>
        </is>
      </c>
      <c r="V14" s="42" t="inlineStr">
        <is>
          <t>同頁凡例へ直接連動</t>
        </is>
      </c>
    </row>
    <row r="15">
      <c r="A15" s="43" t="inlineStr">
        <is>
          <t>SZ-SL-000012</t>
        </is>
      </c>
      <c r="B15" s="43" t="inlineStr">
        <is>
          <t>SER-LIX-SAMOSL</t>
        </is>
      </c>
      <c r="C15" s="43" t="inlineStr">
        <is>
          <t>WT-SL-HIKICHIGAI</t>
        </is>
      </c>
      <c r="D15" s="43" t="inlineStr">
        <is>
          <t>単体引違い窓</t>
        </is>
      </c>
      <c r="E15" s="43" t="n"/>
      <c r="F15" s="43" t="inlineStr">
        <is>
          <t>在来・204</t>
        </is>
      </c>
      <c r="G15" s="43" t="inlineStr">
        <is>
          <t>07409</t>
        </is>
      </c>
      <c r="H15" s="43" t="inlineStr">
        <is>
          <t>074</t>
        </is>
      </c>
      <c r="I15" s="43" t="inlineStr">
        <is>
          <t>09</t>
        </is>
      </c>
      <c r="J15" s="222" t="n">
        <v>780</v>
      </c>
      <c r="K15" s="222" t="n">
        <v>970</v>
      </c>
      <c r="L15" s="43" t="inlineStr">
        <is>
          <t>在来・204｜マド①</t>
        </is>
      </c>
      <c r="M15" s="178" t="b">
        <v>1</v>
      </c>
      <c r="N15" s="43" t="inlineStr">
        <is>
          <t>カタログ規格確認済み</t>
        </is>
      </c>
      <c r="O15" s="222" t="n">
        <v>8</v>
      </c>
      <c r="P15" s="222" t="n">
        <v>6</v>
      </c>
      <c r="Q15" s="43" t="inlineStr">
        <is>
          <t>202604_LIXIL_サーモスＬ_業務用資料集_完成品価格表.pdf</t>
        </is>
      </c>
      <c r="R15" s="43" t="n"/>
      <c r="S15" s="42" t="inlineStr">
        <is>
          <t>無印</t>
        </is>
      </c>
      <c r="T15" s="42" t="n">
        <v>6</v>
      </c>
      <c r="U15" s="42" t="inlineStr">
        <is>
          <t>P6|無印</t>
        </is>
      </c>
      <c r="V15" s="42" t="inlineStr">
        <is>
          <t>同頁凡例へ直接連動</t>
        </is>
      </c>
    </row>
    <row r="16">
      <c r="A16" s="43" t="inlineStr">
        <is>
          <t>SZ-SL-000013</t>
        </is>
      </c>
      <c r="B16" s="43" t="inlineStr">
        <is>
          <t>SER-LIX-SAMOSL</t>
        </is>
      </c>
      <c r="C16" s="43" t="inlineStr">
        <is>
          <t>WT-SL-HIKICHIGAI</t>
        </is>
      </c>
      <c r="D16" s="43" t="inlineStr">
        <is>
          <t>単体引違い窓</t>
        </is>
      </c>
      <c r="E16" s="43" t="n"/>
      <c r="F16" s="43" t="inlineStr">
        <is>
          <t>在来・204</t>
        </is>
      </c>
      <c r="G16" s="43" t="inlineStr">
        <is>
          <t>07805</t>
        </is>
      </c>
      <c r="H16" s="43" t="inlineStr">
        <is>
          <t>078</t>
        </is>
      </c>
      <c r="I16" s="43" t="inlineStr">
        <is>
          <t>05</t>
        </is>
      </c>
      <c r="J16" s="222" t="n">
        <v>820</v>
      </c>
      <c r="K16" s="222" t="n">
        <v>570</v>
      </c>
      <c r="L16" s="43" t="inlineStr">
        <is>
          <t>在来・204｜マド①</t>
        </is>
      </c>
      <c r="M16" s="178" t="b">
        <v>1</v>
      </c>
      <c r="N16" s="43" t="inlineStr">
        <is>
          <t>カタログ規格確認済み</t>
        </is>
      </c>
      <c r="O16" s="222" t="n">
        <v>8</v>
      </c>
      <c r="P16" s="222" t="n">
        <v>6</v>
      </c>
      <c r="Q16" s="43" t="inlineStr">
        <is>
          <t>202604_LIXIL_サーモスＬ_業務用資料集_完成品価格表.pdf</t>
        </is>
      </c>
      <c r="R16" s="43" t="n"/>
      <c r="S16" s="42" t="inlineStr">
        <is>
          <t>無印</t>
        </is>
      </c>
      <c r="T16" s="42" t="n">
        <v>6</v>
      </c>
      <c r="U16" s="42" t="inlineStr">
        <is>
          <t>P6|無印</t>
        </is>
      </c>
      <c r="V16" s="42" t="inlineStr">
        <is>
          <t>同頁凡例へ直接連動</t>
        </is>
      </c>
    </row>
    <row r="17">
      <c r="A17" s="43" t="inlineStr">
        <is>
          <t>SZ-SL-000014</t>
        </is>
      </c>
      <c r="B17" s="43" t="inlineStr">
        <is>
          <t>SER-LIX-SAMOSL</t>
        </is>
      </c>
      <c r="C17" s="43" t="inlineStr">
        <is>
          <t>WT-SL-HIKICHIGAI</t>
        </is>
      </c>
      <c r="D17" s="43" t="inlineStr">
        <is>
          <t>単体引違い窓</t>
        </is>
      </c>
      <c r="E17" s="43" t="n"/>
      <c r="F17" s="43" t="inlineStr">
        <is>
          <t>在来・204</t>
        </is>
      </c>
      <c r="G17" s="43" t="inlineStr">
        <is>
          <t>07807</t>
        </is>
      </c>
      <c r="H17" s="43" t="inlineStr">
        <is>
          <t>078</t>
        </is>
      </c>
      <c r="I17" s="43" t="inlineStr">
        <is>
          <t>07</t>
        </is>
      </c>
      <c r="J17" s="222" t="n">
        <v>820</v>
      </c>
      <c r="K17" s="222" t="n">
        <v>770</v>
      </c>
      <c r="L17" s="43" t="inlineStr">
        <is>
          <t>在来・204｜マド①</t>
        </is>
      </c>
      <c r="M17" s="178" t="b">
        <v>1</v>
      </c>
      <c r="N17" s="43" t="inlineStr">
        <is>
          <t>カタログ規格確認済み</t>
        </is>
      </c>
      <c r="O17" s="222" t="n">
        <v>8</v>
      </c>
      <c r="P17" s="222" t="n">
        <v>6</v>
      </c>
      <c r="Q17" s="43" t="inlineStr">
        <is>
          <t>202604_LIXIL_サーモスＬ_業務用資料集_完成品価格表.pdf</t>
        </is>
      </c>
      <c r="R17" s="43" t="n"/>
      <c r="S17" s="42" t="inlineStr">
        <is>
          <t>無印</t>
        </is>
      </c>
      <c r="T17" s="42" t="n">
        <v>6</v>
      </c>
      <c r="U17" s="42" t="inlineStr">
        <is>
          <t>P6|無印</t>
        </is>
      </c>
      <c r="V17" s="42" t="inlineStr">
        <is>
          <t>同頁凡例へ直接連動</t>
        </is>
      </c>
    </row>
    <row r="18">
      <c r="A18" s="43" t="inlineStr">
        <is>
          <t>SZ-SL-000015</t>
        </is>
      </c>
      <c r="B18" s="43" t="inlineStr">
        <is>
          <t>SER-LIX-SAMOSL</t>
        </is>
      </c>
      <c r="C18" s="43" t="inlineStr">
        <is>
          <t>WT-SL-HIKICHIGAI</t>
        </is>
      </c>
      <c r="D18" s="43" t="inlineStr">
        <is>
          <t>単体引違い窓</t>
        </is>
      </c>
      <c r="E18" s="43" t="n"/>
      <c r="F18" s="43" t="inlineStr">
        <is>
          <t>在来・204</t>
        </is>
      </c>
      <c r="G18" s="43" t="inlineStr">
        <is>
          <t>07809</t>
        </is>
      </c>
      <c r="H18" s="43" t="inlineStr">
        <is>
          <t>078</t>
        </is>
      </c>
      <c r="I18" s="43" t="inlineStr">
        <is>
          <t>09</t>
        </is>
      </c>
      <c r="J18" s="222" t="n">
        <v>820</v>
      </c>
      <c r="K18" s="222" t="n">
        <v>970</v>
      </c>
      <c r="L18" s="43" t="inlineStr">
        <is>
          <t>在来・204｜マド①</t>
        </is>
      </c>
      <c r="M18" s="178" t="b">
        <v>1</v>
      </c>
      <c r="N18" s="43" t="inlineStr">
        <is>
          <t>カタログ規格確認済み</t>
        </is>
      </c>
      <c r="O18" s="222" t="n">
        <v>8</v>
      </c>
      <c r="P18" s="222" t="n">
        <v>6</v>
      </c>
      <c r="Q18" s="43" t="inlineStr">
        <is>
          <t>202604_LIXIL_サーモスＬ_業務用資料集_完成品価格表.pdf</t>
        </is>
      </c>
      <c r="R18" s="43" t="n"/>
      <c r="S18" s="42" t="inlineStr">
        <is>
          <t>無印</t>
        </is>
      </c>
      <c r="T18" s="42" t="n">
        <v>6</v>
      </c>
      <c r="U18" s="42" t="inlineStr">
        <is>
          <t>P6|無印</t>
        </is>
      </c>
      <c r="V18" s="42" t="inlineStr">
        <is>
          <t>同頁凡例へ直接連動</t>
        </is>
      </c>
    </row>
    <row r="19">
      <c r="A19" s="43" t="inlineStr">
        <is>
          <t>SZ-SL-000016</t>
        </is>
      </c>
      <c r="B19" s="43" t="inlineStr">
        <is>
          <t>SER-LIX-SAMOSL</t>
        </is>
      </c>
      <c r="C19" s="43" t="inlineStr">
        <is>
          <t>WT-SL-HIKICHIGAI</t>
        </is>
      </c>
      <c r="D19" s="43" t="inlineStr">
        <is>
          <t>単体引違い窓</t>
        </is>
      </c>
      <c r="E19" s="43" t="n"/>
      <c r="F19" s="43" t="inlineStr">
        <is>
          <t>在来・204</t>
        </is>
      </c>
      <c r="G19" s="43" t="inlineStr">
        <is>
          <t>08005</t>
        </is>
      </c>
      <c r="H19" s="43" t="inlineStr">
        <is>
          <t>080</t>
        </is>
      </c>
      <c r="I19" s="43" t="inlineStr">
        <is>
          <t>05</t>
        </is>
      </c>
      <c r="J19" s="222" t="n">
        <v>845</v>
      </c>
      <c r="K19" s="222" t="n">
        <v>570</v>
      </c>
      <c r="L19" s="43" t="inlineStr">
        <is>
          <t>在来・204｜マド①</t>
        </is>
      </c>
      <c r="M19" s="178" t="b">
        <v>1</v>
      </c>
      <c r="N19" s="43" t="inlineStr">
        <is>
          <t>カタログ規格確認済み</t>
        </is>
      </c>
      <c r="O19" s="222" t="n">
        <v>8</v>
      </c>
      <c r="P19" s="222" t="n">
        <v>6</v>
      </c>
      <c r="Q19" s="43" t="inlineStr">
        <is>
          <t>202604_LIXIL_サーモスＬ_業務用資料集_完成品価格表.pdf</t>
        </is>
      </c>
      <c r="R19" s="43" t="n"/>
      <c r="S19" s="42" t="inlineStr">
        <is>
          <t>無印</t>
        </is>
      </c>
      <c r="T19" s="42" t="n">
        <v>6</v>
      </c>
      <c r="U19" s="42" t="inlineStr">
        <is>
          <t>P6|無印</t>
        </is>
      </c>
      <c r="V19" s="42" t="inlineStr">
        <is>
          <t>同頁凡例へ直接連動</t>
        </is>
      </c>
    </row>
    <row r="20">
      <c r="A20" s="43" t="inlineStr">
        <is>
          <t>SZ-SL-000017</t>
        </is>
      </c>
      <c r="B20" s="43" t="inlineStr">
        <is>
          <t>SER-LIX-SAMOSL</t>
        </is>
      </c>
      <c r="C20" s="43" t="inlineStr">
        <is>
          <t>WT-SL-HIKICHIGAI</t>
        </is>
      </c>
      <c r="D20" s="43" t="inlineStr">
        <is>
          <t>単体引違い窓</t>
        </is>
      </c>
      <c r="E20" s="43" t="n"/>
      <c r="F20" s="43" t="inlineStr">
        <is>
          <t>在来・204</t>
        </is>
      </c>
      <c r="G20" s="43" t="inlineStr">
        <is>
          <t>08007</t>
        </is>
      </c>
      <c r="H20" s="43" t="inlineStr">
        <is>
          <t>080</t>
        </is>
      </c>
      <c r="I20" s="43" t="inlineStr">
        <is>
          <t>07</t>
        </is>
      </c>
      <c r="J20" s="222" t="n">
        <v>845</v>
      </c>
      <c r="K20" s="222" t="n">
        <v>770</v>
      </c>
      <c r="L20" s="43" t="inlineStr">
        <is>
          <t>在来・204｜マド①</t>
        </is>
      </c>
      <c r="M20" s="178" t="b">
        <v>1</v>
      </c>
      <c r="N20" s="43" t="inlineStr">
        <is>
          <t>カタログ規格確認済み</t>
        </is>
      </c>
      <c r="O20" s="222" t="n">
        <v>8</v>
      </c>
      <c r="P20" s="222" t="n">
        <v>6</v>
      </c>
      <c r="Q20" s="43" t="inlineStr">
        <is>
          <t>202604_LIXIL_サーモスＬ_業務用資料集_完成品価格表.pdf</t>
        </is>
      </c>
      <c r="R20" s="43" t="n"/>
      <c r="S20" s="42" t="inlineStr">
        <is>
          <t>無印</t>
        </is>
      </c>
      <c r="T20" s="42" t="n">
        <v>6</v>
      </c>
      <c r="U20" s="42" t="inlineStr">
        <is>
          <t>P6|無印</t>
        </is>
      </c>
      <c r="V20" s="42" t="inlineStr">
        <is>
          <t>同頁凡例へ直接連動</t>
        </is>
      </c>
    </row>
    <row r="21">
      <c r="A21" s="43" t="inlineStr">
        <is>
          <t>SZ-SL-000018</t>
        </is>
      </c>
      <c r="B21" s="43" t="inlineStr">
        <is>
          <t>SER-LIX-SAMOSL</t>
        </is>
      </c>
      <c r="C21" s="43" t="inlineStr">
        <is>
          <t>WT-SL-HIKICHIGAI</t>
        </is>
      </c>
      <c r="D21" s="43" t="inlineStr">
        <is>
          <t>単体引違い窓</t>
        </is>
      </c>
      <c r="E21" s="43" t="n"/>
      <c r="F21" s="43" t="inlineStr">
        <is>
          <t>在来・204</t>
        </is>
      </c>
      <c r="G21" s="43" t="inlineStr">
        <is>
          <t>08009</t>
        </is>
      </c>
      <c r="H21" s="43" t="inlineStr">
        <is>
          <t>080</t>
        </is>
      </c>
      <c r="I21" s="43" t="inlineStr">
        <is>
          <t>09</t>
        </is>
      </c>
      <c r="J21" s="222" t="n">
        <v>845</v>
      </c>
      <c r="K21" s="222" t="n">
        <v>970</v>
      </c>
      <c r="L21" s="43" t="inlineStr">
        <is>
          <t>在来・204｜マド①</t>
        </is>
      </c>
      <c r="M21" s="178" t="b">
        <v>1</v>
      </c>
      <c r="N21" s="43" t="inlineStr">
        <is>
          <t>カタログ規格確認済み</t>
        </is>
      </c>
      <c r="O21" s="222" t="n">
        <v>8</v>
      </c>
      <c r="P21" s="222" t="n">
        <v>6</v>
      </c>
      <c r="Q21" s="43" t="inlineStr">
        <is>
          <t>202604_LIXIL_サーモスＬ_業務用資料集_完成品価格表.pdf</t>
        </is>
      </c>
      <c r="R21" s="43" t="n"/>
      <c r="S21" s="42" t="inlineStr">
        <is>
          <t>無印</t>
        </is>
      </c>
      <c r="T21" s="42" t="n">
        <v>6</v>
      </c>
      <c r="U21" s="42" t="inlineStr">
        <is>
          <t>P6|無印</t>
        </is>
      </c>
      <c r="V21" s="42" t="inlineStr">
        <is>
          <t>同頁凡例へ直接連動</t>
        </is>
      </c>
    </row>
    <row r="22">
      <c r="A22" s="43" t="inlineStr">
        <is>
          <t>SZ-SL-000019</t>
        </is>
      </c>
      <c r="B22" s="43" t="inlineStr">
        <is>
          <t>SER-LIX-SAMOSL</t>
        </is>
      </c>
      <c r="C22" s="43" t="inlineStr">
        <is>
          <t>WT-SL-HIKICHIGAI</t>
        </is>
      </c>
      <c r="D22" s="43" t="inlineStr">
        <is>
          <t>単体引違い窓</t>
        </is>
      </c>
      <c r="E22" s="43" t="n"/>
      <c r="F22" s="43" t="inlineStr">
        <is>
          <t>在来・204</t>
        </is>
      </c>
      <c r="G22" s="43" t="inlineStr">
        <is>
          <t>08305</t>
        </is>
      </c>
      <c r="H22" s="43" t="inlineStr">
        <is>
          <t>083</t>
        </is>
      </c>
      <c r="I22" s="43" t="inlineStr">
        <is>
          <t>05</t>
        </is>
      </c>
      <c r="J22" s="222" t="n">
        <v>870</v>
      </c>
      <c r="K22" s="222" t="n">
        <v>570</v>
      </c>
      <c r="L22" s="43" t="inlineStr">
        <is>
          <t>在来・204｜マド①</t>
        </is>
      </c>
      <c r="M22" s="178" t="b">
        <v>1</v>
      </c>
      <c r="N22" s="43" t="inlineStr">
        <is>
          <t>カタログ規格確認済み</t>
        </is>
      </c>
      <c r="O22" s="222" t="n">
        <v>9</v>
      </c>
      <c r="P22" s="222" t="n">
        <v>7</v>
      </c>
      <c r="Q22" s="43" t="inlineStr">
        <is>
          <t>202604_LIXIL_サーモスＬ_業務用資料集_完成品価格表.pdf</t>
        </is>
      </c>
      <c r="R22" s="43" t="n"/>
      <c r="S22" s="42" t="inlineStr">
        <is>
          <t>無印</t>
        </is>
      </c>
      <c r="T22" s="42" t="n">
        <v>6</v>
      </c>
      <c r="U22" s="42" t="inlineStr">
        <is>
          <t>P6|無印</t>
        </is>
      </c>
      <c r="V22" s="42" t="inlineStr">
        <is>
          <t>同一価格表・前頁凡例を継承</t>
        </is>
      </c>
    </row>
    <row r="23">
      <c r="A23" s="43" t="inlineStr">
        <is>
          <t>SZ-SL-000020</t>
        </is>
      </c>
      <c r="B23" s="43" t="inlineStr">
        <is>
          <t>SER-LIX-SAMOSL</t>
        </is>
      </c>
      <c r="C23" s="43" t="inlineStr">
        <is>
          <t>WT-SL-HIKICHIGAI</t>
        </is>
      </c>
      <c r="D23" s="43" t="inlineStr">
        <is>
          <t>単体引違い窓</t>
        </is>
      </c>
      <c r="E23" s="43" t="n"/>
      <c r="F23" s="43" t="inlineStr">
        <is>
          <t>在来・204</t>
        </is>
      </c>
      <c r="G23" s="43" t="inlineStr">
        <is>
          <t>08307</t>
        </is>
      </c>
      <c r="H23" s="43" t="inlineStr">
        <is>
          <t>083</t>
        </is>
      </c>
      <c r="I23" s="43" t="inlineStr">
        <is>
          <t>07</t>
        </is>
      </c>
      <c r="J23" s="222" t="n">
        <v>870</v>
      </c>
      <c r="K23" s="222" t="n">
        <v>770</v>
      </c>
      <c r="L23" s="43" t="inlineStr">
        <is>
          <t>在来・204｜マド①</t>
        </is>
      </c>
      <c r="M23" s="178" t="b">
        <v>1</v>
      </c>
      <c r="N23" s="43" t="inlineStr">
        <is>
          <t>カタログ規格確認済み</t>
        </is>
      </c>
      <c r="O23" s="222" t="n">
        <v>9</v>
      </c>
      <c r="P23" s="222" t="n">
        <v>7</v>
      </c>
      <c r="Q23" s="43" t="inlineStr">
        <is>
          <t>202604_LIXIL_サーモスＬ_業務用資料集_完成品価格表.pdf</t>
        </is>
      </c>
      <c r="R23" s="43" t="n"/>
      <c r="S23" s="42" t="inlineStr">
        <is>
          <t>無印</t>
        </is>
      </c>
      <c r="T23" s="42" t="n">
        <v>6</v>
      </c>
      <c r="U23" s="42" t="inlineStr">
        <is>
          <t>P6|無印</t>
        </is>
      </c>
      <c r="V23" s="42" t="inlineStr">
        <is>
          <t>同一価格表・前頁凡例を継承</t>
        </is>
      </c>
    </row>
    <row r="24">
      <c r="A24" s="43" t="inlineStr">
        <is>
          <t>SZ-SL-000021</t>
        </is>
      </c>
      <c r="B24" s="43" t="inlineStr">
        <is>
          <t>SER-LIX-SAMOSL</t>
        </is>
      </c>
      <c r="C24" s="43" t="inlineStr">
        <is>
          <t>WT-SL-HIKICHIGAI</t>
        </is>
      </c>
      <c r="D24" s="43" t="inlineStr">
        <is>
          <t>単体引違い窓</t>
        </is>
      </c>
      <c r="E24" s="43" t="n"/>
      <c r="F24" s="43" t="inlineStr">
        <is>
          <t>在来・204</t>
        </is>
      </c>
      <c r="G24" s="43" t="inlineStr">
        <is>
          <t>08309</t>
        </is>
      </c>
      <c r="H24" s="43" t="inlineStr">
        <is>
          <t>083</t>
        </is>
      </c>
      <c r="I24" s="43" t="inlineStr">
        <is>
          <t>09</t>
        </is>
      </c>
      <c r="J24" s="222" t="n">
        <v>870</v>
      </c>
      <c r="K24" s="222" t="n">
        <v>970</v>
      </c>
      <c r="L24" s="43" t="inlineStr">
        <is>
          <t>在来・204｜マド①</t>
        </is>
      </c>
      <c r="M24" s="178" t="b">
        <v>1</v>
      </c>
      <c r="N24" s="43" t="inlineStr">
        <is>
          <t>カタログ規格確認済み</t>
        </is>
      </c>
      <c r="O24" s="222" t="n">
        <v>9</v>
      </c>
      <c r="P24" s="222" t="n">
        <v>7</v>
      </c>
      <c r="Q24" s="43" t="inlineStr">
        <is>
          <t>202604_LIXIL_サーモスＬ_業務用資料集_完成品価格表.pdf</t>
        </is>
      </c>
      <c r="R24" s="43" t="n"/>
      <c r="S24" s="42" t="inlineStr">
        <is>
          <t>無印</t>
        </is>
      </c>
      <c r="T24" s="42" t="n">
        <v>6</v>
      </c>
      <c r="U24" s="42" t="inlineStr">
        <is>
          <t>P6|無印</t>
        </is>
      </c>
      <c r="V24" s="42" t="inlineStr">
        <is>
          <t>同一価格表・前頁凡例を継承</t>
        </is>
      </c>
    </row>
    <row r="25">
      <c r="A25" s="43" t="inlineStr">
        <is>
          <t>SZ-SL-000022</t>
        </is>
      </c>
      <c r="B25" s="43" t="inlineStr">
        <is>
          <t>SER-LIX-SAMOSL</t>
        </is>
      </c>
      <c r="C25" s="43" t="inlineStr">
        <is>
          <t>WT-SL-HIKICHIGAI</t>
        </is>
      </c>
      <c r="D25" s="43" t="inlineStr">
        <is>
          <t>単体引違い窓</t>
        </is>
      </c>
      <c r="E25" s="43" t="n"/>
      <c r="F25" s="43" t="inlineStr">
        <is>
          <t>在来・204</t>
        </is>
      </c>
      <c r="G25" s="43" t="inlineStr">
        <is>
          <t>11405</t>
        </is>
      </c>
      <c r="H25" s="43" t="inlineStr">
        <is>
          <t>114</t>
        </is>
      </c>
      <c r="I25" s="43" t="inlineStr">
        <is>
          <t>05</t>
        </is>
      </c>
      <c r="J25" s="222" t="n">
        <v>1185</v>
      </c>
      <c r="K25" s="222" t="n">
        <v>570</v>
      </c>
      <c r="L25" s="43" t="inlineStr">
        <is>
          <t>在来・204｜マド①</t>
        </is>
      </c>
      <c r="M25" s="178" t="b">
        <v>1</v>
      </c>
      <c r="N25" s="43" t="inlineStr">
        <is>
          <t>カタログ規格確認済み</t>
        </is>
      </c>
      <c r="O25" s="222" t="n">
        <v>9</v>
      </c>
      <c r="P25" s="222" t="n">
        <v>7</v>
      </c>
      <c r="Q25" s="43" t="inlineStr">
        <is>
          <t>202604_LIXIL_サーモスＬ_業務用資料集_完成品価格表.pdf</t>
        </is>
      </c>
      <c r="R25" s="43" t="n"/>
      <c r="S25" s="42" t="inlineStr">
        <is>
          <t>無印</t>
        </is>
      </c>
      <c r="T25" s="42" t="n">
        <v>6</v>
      </c>
      <c r="U25" s="42" t="inlineStr">
        <is>
          <t>P6|無印</t>
        </is>
      </c>
      <c r="V25" s="42" t="inlineStr">
        <is>
          <t>同一価格表・前頁凡例を継承</t>
        </is>
      </c>
    </row>
    <row r="26">
      <c r="A26" s="43" t="inlineStr">
        <is>
          <t>SZ-SL-000023</t>
        </is>
      </c>
      <c r="B26" s="43" t="inlineStr">
        <is>
          <t>SER-LIX-SAMOSL</t>
        </is>
      </c>
      <c r="C26" s="43" t="inlineStr">
        <is>
          <t>WT-SL-HIKICHIGAI</t>
        </is>
      </c>
      <c r="D26" s="43" t="inlineStr">
        <is>
          <t>単体引違い窓</t>
        </is>
      </c>
      <c r="E26" s="43" t="n"/>
      <c r="F26" s="43" t="inlineStr">
        <is>
          <t>在来・204</t>
        </is>
      </c>
      <c r="G26" s="43" t="inlineStr">
        <is>
          <t>11407</t>
        </is>
      </c>
      <c r="H26" s="43" t="inlineStr">
        <is>
          <t>114</t>
        </is>
      </c>
      <c r="I26" s="43" t="inlineStr">
        <is>
          <t>07</t>
        </is>
      </c>
      <c r="J26" s="222" t="n">
        <v>1185</v>
      </c>
      <c r="K26" s="222" t="n">
        <v>770</v>
      </c>
      <c r="L26" s="43" t="inlineStr">
        <is>
          <t>在来・204｜マド①</t>
        </is>
      </c>
      <c r="M26" s="178" t="b">
        <v>1</v>
      </c>
      <c r="N26" s="43" t="inlineStr">
        <is>
          <t>カタログ規格確認済み</t>
        </is>
      </c>
      <c r="O26" s="222" t="n">
        <v>9</v>
      </c>
      <c r="P26" s="222" t="n">
        <v>7</v>
      </c>
      <c r="Q26" s="43" t="inlineStr">
        <is>
          <t>202604_LIXIL_サーモスＬ_業務用資料集_完成品価格表.pdf</t>
        </is>
      </c>
      <c r="R26" s="43" t="n"/>
      <c r="S26" s="42" t="inlineStr">
        <is>
          <t>無印</t>
        </is>
      </c>
      <c r="T26" s="42" t="n">
        <v>6</v>
      </c>
      <c r="U26" s="42" t="inlineStr">
        <is>
          <t>P6|無印</t>
        </is>
      </c>
      <c r="V26" s="42" t="inlineStr">
        <is>
          <t>同一価格表・前頁凡例を継承</t>
        </is>
      </c>
    </row>
    <row r="27">
      <c r="A27" s="43" t="inlineStr">
        <is>
          <t>SZ-SL-000024</t>
        </is>
      </c>
      <c r="B27" s="43" t="inlineStr">
        <is>
          <t>SER-LIX-SAMOSL</t>
        </is>
      </c>
      <c r="C27" s="43" t="inlineStr">
        <is>
          <t>WT-SL-HIKICHIGAI</t>
        </is>
      </c>
      <c r="D27" s="43" t="inlineStr">
        <is>
          <t>単体引違い窓</t>
        </is>
      </c>
      <c r="E27" s="43" t="n"/>
      <c r="F27" s="43" t="inlineStr">
        <is>
          <t>在来・204</t>
        </is>
      </c>
      <c r="G27" s="43" t="inlineStr">
        <is>
          <t>11409</t>
        </is>
      </c>
      <c r="H27" s="43" t="inlineStr">
        <is>
          <t>114</t>
        </is>
      </c>
      <c r="I27" s="43" t="inlineStr">
        <is>
          <t>09</t>
        </is>
      </c>
      <c r="J27" s="222" t="n">
        <v>1185</v>
      </c>
      <c r="K27" s="222" t="n">
        <v>970</v>
      </c>
      <c r="L27" s="43" t="inlineStr">
        <is>
          <t>在来・204｜マド①</t>
        </is>
      </c>
      <c r="M27" s="178" t="b">
        <v>1</v>
      </c>
      <c r="N27" s="43" t="inlineStr">
        <is>
          <t>カタログ規格確認済み</t>
        </is>
      </c>
      <c r="O27" s="222" t="n">
        <v>9</v>
      </c>
      <c r="P27" s="222" t="n">
        <v>7</v>
      </c>
      <c r="Q27" s="43" t="inlineStr">
        <is>
          <t>202604_LIXIL_サーモスＬ_業務用資料集_完成品価格表.pdf</t>
        </is>
      </c>
      <c r="R27" s="43" t="n"/>
      <c r="S27" s="42" t="inlineStr">
        <is>
          <t>無印</t>
        </is>
      </c>
      <c r="T27" s="42" t="n">
        <v>6</v>
      </c>
      <c r="U27" s="42" t="inlineStr">
        <is>
          <t>P6|無印</t>
        </is>
      </c>
      <c r="V27" s="42" t="inlineStr">
        <is>
          <t>同一価格表・前頁凡例を継承</t>
        </is>
      </c>
    </row>
    <row r="28">
      <c r="A28" s="43" t="inlineStr">
        <is>
          <t>SZ-SL-000025</t>
        </is>
      </c>
      <c r="B28" s="43" t="inlineStr">
        <is>
          <t>SER-LIX-SAMOSL</t>
        </is>
      </c>
      <c r="C28" s="43" t="inlineStr">
        <is>
          <t>WT-SL-HIKICHIGAI</t>
        </is>
      </c>
      <c r="D28" s="43" t="inlineStr">
        <is>
          <t>単体引違い窓</t>
        </is>
      </c>
      <c r="E28" s="43" t="n"/>
      <c r="F28" s="43" t="inlineStr">
        <is>
          <t>在来・204</t>
        </is>
      </c>
      <c r="G28" s="43" t="inlineStr">
        <is>
          <t>11903</t>
        </is>
      </c>
      <c r="H28" s="43" t="inlineStr">
        <is>
          <t>119</t>
        </is>
      </c>
      <c r="I28" s="43" t="inlineStr">
        <is>
          <t>03</t>
        </is>
      </c>
      <c r="J28" s="222" t="n">
        <v>1235</v>
      </c>
      <c r="K28" s="222" t="n">
        <v>370</v>
      </c>
      <c r="L28" s="43" t="inlineStr">
        <is>
          <t>在来・204｜マド①</t>
        </is>
      </c>
      <c r="M28" s="178" t="b">
        <v>1</v>
      </c>
      <c r="N28" s="43" t="inlineStr">
        <is>
          <t>カタログ規格確認済み</t>
        </is>
      </c>
      <c r="O28" s="222" t="n">
        <v>9</v>
      </c>
      <c r="P28" s="222" t="n">
        <v>7</v>
      </c>
      <c r="Q28" s="43" t="inlineStr">
        <is>
          <t>202604_LIXIL_サーモスＬ_業務用資料集_完成品価格表.pdf</t>
        </is>
      </c>
      <c r="R28" s="43" t="n"/>
      <c r="S28" s="42" t="inlineStr">
        <is>
          <t>無印</t>
        </is>
      </c>
      <c r="T28" s="42" t="n">
        <v>6</v>
      </c>
      <c r="U28" s="42" t="inlineStr">
        <is>
          <t>P6|無印</t>
        </is>
      </c>
      <c r="V28" s="42" t="inlineStr">
        <is>
          <t>同一価格表・前頁凡例を継承</t>
        </is>
      </c>
    </row>
    <row r="29">
      <c r="A29" s="43" t="inlineStr">
        <is>
          <t>SZ-SL-000026</t>
        </is>
      </c>
      <c r="B29" s="43" t="inlineStr">
        <is>
          <t>SER-LIX-SAMOSL</t>
        </is>
      </c>
      <c r="C29" s="43" t="inlineStr">
        <is>
          <t>WT-SL-HIKICHIGAI</t>
        </is>
      </c>
      <c r="D29" s="43" t="inlineStr">
        <is>
          <t>単体引違い窓</t>
        </is>
      </c>
      <c r="E29" s="43" t="n"/>
      <c r="F29" s="43" t="inlineStr">
        <is>
          <t>在来・204</t>
        </is>
      </c>
      <c r="G29" s="43" t="inlineStr">
        <is>
          <t>11905</t>
        </is>
      </c>
      <c r="H29" s="43" t="inlineStr">
        <is>
          <t>119</t>
        </is>
      </c>
      <c r="I29" s="43" t="inlineStr">
        <is>
          <t>05</t>
        </is>
      </c>
      <c r="J29" s="222" t="n">
        <v>1235</v>
      </c>
      <c r="K29" s="222" t="n">
        <v>570</v>
      </c>
      <c r="L29" s="43" t="inlineStr">
        <is>
          <t>在来・204｜マド①</t>
        </is>
      </c>
      <c r="M29" s="178" t="b">
        <v>1</v>
      </c>
      <c r="N29" s="43" t="inlineStr">
        <is>
          <t>カタログ規格確認済み</t>
        </is>
      </c>
      <c r="O29" s="222" t="n">
        <v>9</v>
      </c>
      <c r="P29" s="222" t="n">
        <v>7</v>
      </c>
      <c r="Q29" s="43" t="inlineStr">
        <is>
          <t>202604_LIXIL_サーモスＬ_業務用資料集_完成品価格表.pdf</t>
        </is>
      </c>
      <c r="R29" s="43" t="n"/>
      <c r="S29" s="42" t="inlineStr">
        <is>
          <t>無印</t>
        </is>
      </c>
      <c r="T29" s="42" t="n">
        <v>6</v>
      </c>
      <c r="U29" s="42" t="inlineStr">
        <is>
          <t>P6|無印</t>
        </is>
      </c>
      <c r="V29" s="42" t="inlineStr">
        <is>
          <t>同一価格表・前頁凡例を継承</t>
        </is>
      </c>
    </row>
    <row r="30">
      <c r="A30" s="43" t="inlineStr">
        <is>
          <t>SZ-SL-000027</t>
        </is>
      </c>
      <c r="B30" s="43" t="inlineStr">
        <is>
          <t>SER-LIX-SAMOSL</t>
        </is>
      </c>
      <c r="C30" s="43" t="inlineStr">
        <is>
          <t>WT-SL-HIKICHIGAI</t>
        </is>
      </c>
      <c r="D30" s="43" t="inlineStr">
        <is>
          <t>単体引違い窓</t>
        </is>
      </c>
      <c r="E30" s="43" t="n"/>
      <c r="F30" s="43" t="inlineStr">
        <is>
          <t>在来・204</t>
        </is>
      </c>
      <c r="G30" s="43" t="inlineStr">
        <is>
          <t>11907</t>
        </is>
      </c>
      <c r="H30" s="43" t="inlineStr">
        <is>
          <t>119</t>
        </is>
      </c>
      <c r="I30" s="43" t="inlineStr">
        <is>
          <t>07</t>
        </is>
      </c>
      <c r="J30" s="222" t="n">
        <v>1235</v>
      </c>
      <c r="K30" s="222" t="n">
        <v>770</v>
      </c>
      <c r="L30" s="43" t="inlineStr">
        <is>
          <t>在来・204｜マド①</t>
        </is>
      </c>
      <c r="M30" s="178" t="b">
        <v>1</v>
      </c>
      <c r="N30" s="43" t="inlineStr">
        <is>
          <t>カタログ規格確認済み</t>
        </is>
      </c>
      <c r="O30" s="222" t="n">
        <v>9</v>
      </c>
      <c r="P30" s="222" t="n">
        <v>7</v>
      </c>
      <c r="Q30" s="43" t="inlineStr">
        <is>
          <t>202604_LIXIL_サーモスＬ_業務用資料集_完成品価格表.pdf</t>
        </is>
      </c>
      <c r="R30" s="43" t="n"/>
      <c r="S30" s="42" t="inlineStr">
        <is>
          <t>無印</t>
        </is>
      </c>
      <c r="T30" s="42" t="n">
        <v>6</v>
      </c>
      <c r="U30" s="42" t="inlineStr">
        <is>
          <t>P6|無印</t>
        </is>
      </c>
      <c r="V30" s="42" t="inlineStr">
        <is>
          <t>同一価格表・前頁凡例を継承</t>
        </is>
      </c>
    </row>
    <row r="31">
      <c r="A31" s="43" t="inlineStr">
        <is>
          <t>SZ-SL-000028</t>
        </is>
      </c>
      <c r="B31" s="43" t="inlineStr">
        <is>
          <t>SER-LIX-SAMOSL</t>
        </is>
      </c>
      <c r="C31" s="43" t="inlineStr">
        <is>
          <t>WT-SL-HIKICHIGAI</t>
        </is>
      </c>
      <c r="D31" s="43" t="inlineStr">
        <is>
          <t>単体引違い窓</t>
        </is>
      </c>
      <c r="E31" s="43" t="n"/>
      <c r="F31" s="43" t="inlineStr">
        <is>
          <t>在来・204</t>
        </is>
      </c>
      <c r="G31" s="43" t="inlineStr">
        <is>
          <t>11909</t>
        </is>
      </c>
      <c r="H31" s="43" t="inlineStr">
        <is>
          <t>119</t>
        </is>
      </c>
      <c r="I31" s="43" t="inlineStr">
        <is>
          <t>09</t>
        </is>
      </c>
      <c r="J31" s="222" t="n">
        <v>1235</v>
      </c>
      <c r="K31" s="222" t="n">
        <v>970</v>
      </c>
      <c r="L31" s="43" t="inlineStr">
        <is>
          <t>在来・204｜マド①</t>
        </is>
      </c>
      <c r="M31" s="178" t="b">
        <v>1</v>
      </c>
      <c r="N31" s="43" t="inlineStr">
        <is>
          <t>カタログ規格確認済み</t>
        </is>
      </c>
      <c r="O31" s="222" t="n">
        <v>9</v>
      </c>
      <c r="P31" s="222" t="n">
        <v>7</v>
      </c>
      <c r="Q31" s="43" t="inlineStr">
        <is>
          <t>202604_LIXIL_サーモスＬ_業務用資料集_完成品価格表.pdf</t>
        </is>
      </c>
      <c r="R31" s="43" t="n"/>
      <c r="S31" s="42" t="inlineStr">
        <is>
          <t>無印</t>
        </is>
      </c>
      <c r="T31" s="42" t="n">
        <v>6</v>
      </c>
      <c r="U31" s="42" t="inlineStr">
        <is>
          <t>P6|無印</t>
        </is>
      </c>
      <c r="V31" s="42" t="inlineStr">
        <is>
          <t>同一価格表・前頁凡例を継承</t>
        </is>
      </c>
    </row>
    <row r="32">
      <c r="A32" s="43" t="inlineStr">
        <is>
          <t>SZ-SL-000029</t>
        </is>
      </c>
      <c r="B32" s="43" t="inlineStr">
        <is>
          <t>SER-LIX-SAMOSL</t>
        </is>
      </c>
      <c r="C32" s="43" t="inlineStr">
        <is>
          <t>WT-SL-HIKICHIGAI</t>
        </is>
      </c>
      <c r="D32" s="43" t="inlineStr">
        <is>
          <t>単体引違い窓</t>
        </is>
      </c>
      <c r="E32" s="43" t="n"/>
      <c r="F32" s="43" t="inlineStr">
        <is>
          <t>在来・204</t>
        </is>
      </c>
      <c r="G32" s="43" t="inlineStr">
        <is>
          <t>12805</t>
        </is>
      </c>
      <c r="H32" s="43" t="inlineStr">
        <is>
          <t>128</t>
        </is>
      </c>
      <c r="I32" s="43" t="inlineStr">
        <is>
          <t>05</t>
        </is>
      </c>
      <c r="J32" s="222" t="n">
        <v>1320</v>
      </c>
      <c r="K32" s="222" t="n">
        <v>570</v>
      </c>
      <c r="L32" s="43" t="inlineStr">
        <is>
          <t>在来・204｜マド①</t>
        </is>
      </c>
      <c r="M32" s="178" t="b">
        <v>1</v>
      </c>
      <c r="N32" s="43" t="inlineStr">
        <is>
          <t>カタログ規格確認済み</t>
        </is>
      </c>
      <c r="O32" s="222" t="n">
        <v>9</v>
      </c>
      <c r="P32" s="222" t="n">
        <v>7</v>
      </c>
      <c r="Q32" s="43" t="inlineStr">
        <is>
          <t>202604_LIXIL_サーモスＬ_業務用資料集_完成品価格表.pdf</t>
        </is>
      </c>
      <c r="R32" s="43" t="n"/>
      <c r="S32" s="42" t="inlineStr">
        <is>
          <t>無印</t>
        </is>
      </c>
      <c r="T32" s="42" t="n">
        <v>6</v>
      </c>
      <c r="U32" s="42" t="inlineStr">
        <is>
          <t>P6|無印</t>
        </is>
      </c>
      <c r="V32" s="42" t="inlineStr">
        <is>
          <t>同一価格表・前頁凡例を継承</t>
        </is>
      </c>
    </row>
    <row r="33">
      <c r="A33" s="43" t="inlineStr">
        <is>
          <t>SZ-SL-000030</t>
        </is>
      </c>
      <c r="B33" s="43" t="inlineStr">
        <is>
          <t>SER-LIX-SAMOSL</t>
        </is>
      </c>
      <c r="C33" s="43" t="inlineStr">
        <is>
          <t>WT-SL-HIKICHIGAI</t>
        </is>
      </c>
      <c r="D33" s="43" t="inlineStr">
        <is>
          <t>単体引違い窓</t>
        </is>
      </c>
      <c r="E33" s="43" t="n"/>
      <c r="F33" s="43" t="inlineStr">
        <is>
          <t>在来・204</t>
        </is>
      </c>
      <c r="G33" s="43" t="inlineStr">
        <is>
          <t>12807</t>
        </is>
      </c>
      <c r="H33" s="43" t="inlineStr">
        <is>
          <t>128</t>
        </is>
      </c>
      <c r="I33" s="43" t="inlineStr">
        <is>
          <t>07</t>
        </is>
      </c>
      <c r="J33" s="222" t="n">
        <v>1320</v>
      </c>
      <c r="K33" s="222" t="n">
        <v>770</v>
      </c>
      <c r="L33" s="43" t="inlineStr">
        <is>
          <t>在来・204｜マド①</t>
        </is>
      </c>
      <c r="M33" s="178" t="b">
        <v>1</v>
      </c>
      <c r="N33" s="43" t="inlineStr">
        <is>
          <t>カタログ規格確認済み</t>
        </is>
      </c>
      <c r="O33" s="222" t="n">
        <v>9</v>
      </c>
      <c r="P33" s="222" t="n">
        <v>7</v>
      </c>
      <c r="Q33" s="43" t="inlineStr">
        <is>
          <t>202604_LIXIL_サーモスＬ_業務用資料集_完成品価格表.pdf</t>
        </is>
      </c>
      <c r="R33" s="43" t="n"/>
      <c r="S33" s="42" t="inlineStr">
        <is>
          <t>無印</t>
        </is>
      </c>
      <c r="T33" s="42" t="n">
        <v>6</v>
      </c>
      <c r="U33" s="42" t="inlineStr">
        <is>
          <t>P6|無印</t>
        </is>
      </c>
      <c r="V33" s="42" t="inlineStr">
        <is>
          <t>同一価格表・前頁凡例を継承</t>
        </is>
      </c>
    </row>
    <row r="34">
      <c r="A34" s="43" t="inlineStr">
        <is>
          <t>SZ-SL-000031</t>
        </is>
      </c>
      <c r="B34" s="43" t="inlineStr">
        <is>
          <t>SER-LIX-SAMOSL</t>
        </is>
      </c>
      <c r="C34" s="43" t="inlineStr">
        <is>
          <t>WT-SL-HIKICHIGAI</t>
        </is>
      </c>
      <c r="D34" s="43" t="inlineStr">
        <is>
          <t>単体引違い窓</t>
        </is>
      </c>
      <c r="E34" s="43" t="n"/>
      <c r="F34" s="43" t="inlineStr">
        <is>
          <t>在来・204</t>
        </is>
      </c>
      <c r="G34" s="43" t="inlineStr">
        <is>
          <t>12809</t>
        </is>
      </c>
      <c r="H34" s="43" t="inlineStr">
        <is>
          <t>128</t>
        </is>
      </c>
      <c r="I34" s="43" t="inlineStr">
        <is>
          <t>09</t>
        </is>
      </c>
      <c r="J34" s="222" t="n">
        <v>1320</v>
      </c>
      <c r="K34" s="222" t="n">
        <v>970</v>
      </c>
      <c r="L34" s="43" t="inlineStr">
        <is>
          <t>在来・204｜マド①</t>
        </is>
      </c>
      <c r="M34" s="178" t="b">
        <v>1</v>
      </c>
      <c r="N34" s="43" t="inlineStr">
        <is>
          <t>カタログ規格確認済み</t>
        </is>
      </c>
      <c r="O34" s="222" t="n">
        <v>9</v>
      </c>
      <c r="P34" s="222" t="n">
        <v>7</v>
      </c>
      <c r="Q34" s="43" t="inlineStr">
        <is>
          <t>202604_LIXIL_サーモスＬ_業務用資料集_完成品価格表.pdf</t>
        </is>
      </c>
      <c r="R34" s="43" t="n"/>
      <c r="S34" s="42" t="inlineStr">
        <is>
          <t>無印</t>
        </is>
      </c>
      <c r="T34" s="42" t="n">
        <v>6</v>
      </c>
      <c r="U34" s="42" t="inlineStr">
        <is>
          <t>P6|無印</t>
        </is>
      </c>
      <c r="V34" s="42" t="inlineStr">
        <is>
          <t>同一価格表・前頁凡例を継承</t>
        </is>
      </c>
    </row>
    <row r="35">
      <c r="A35" s="43" t="inlineStr">
        <is>
          <t>SZ-SL-000032</t>
        </is>
      </c>
      <c r="B35" s="43" t="inlineStr">
        <is>
          <t>SER-LIX-SAMOSL</t>
        </is>
      </c>
      <c r="C35" s="43" t="inlineStr">
        <is>
          <t>WT-SL-HIKICHIGAI</t>
        </is>
      </c>
      <c r="D35" s="43" t="inlineStr">
        <is>
          <t>単体引違い窓</t>
        </is>
      </c>
      <c r="E35" s="43" t="n"/>
      <c r="F35" s="43" t="inlineStr">
        <is>
          <t>在来・204</t>
        </is>
      </c>
      <c r="G35" s="43" t="inlineStr">
        <is>
          <t>13305</t>
        </is>
      </c>
      <c r="H35" s="43" t="inlineStr">
        <is>
          <t>133</t>
        </is>
      </c>
      <c r="I35" s="43" t="inlineStr">
        <is>
          <t>05</t>
        </is>
      </c>
      <c r="J35" s="222" t="n">
        <v>1370</v>
      </c>
      <c r="K35" s="222" t="n">
        <v>570</v>
      </c>
      <c r="L35" s="43" t="inlineStr">
        <is>
          <t>在来・204｜マド①</t>
        </is>
      </c>
      <c r="M35" s="178" t="b">
        <v>1</v>
      </c>
      <c r="N35" s="43" t="inlineStr">
        <is>
          <t>カタログ規格確認済み</t>
        </is>
      </c>
      <c r="O35" s="222" t="n">
        <v>9</v>
      </c>
      <c r="P35" s="222" t="n">
        <v>7</v>
      </c>
      <c r="Q35" s="43" t="inlineStr">
        <is>
          <t>202604_LIXIL_サーモスＬ_業務用資料集_完成品価格表.pdf</t>
        </is>
      </c>
      <c r="R35" s="43" t="n"/>
      <c r="S35" s="42" t="inlineStr">
        <is>
          <t>無印</t>
        </is>
      </c>
      <c r="T35" s="42" t="n">
        <v>6</v>
      </c>
      <c r="U35" s="42" t="inlineStr">
        <is>
          <t>P6|無印</t>
        </is>
      </c>
      <c r="V35" s="42" t="inlineStr">
        <is>
          <t>同一価格表・前頁凡例を継承</t>
        </is>
      </c>
    </row>
    <row r="36">
      <c r="A36" s="43" t="inlineStr">
        <is>
          <t>SZ-SL-000033</t>
        </is>
      </c>
      <c r="B36" s="43" t="inlineStr">
        <is>
          <t>SER-LIX-SAMOSL</t>
        </is>
      </c>
      <c r="C36" s="43" t="inlineStr">
        <is>
          <t>WT-SL-HIKICHIGAI</t>
        </is>
      </c>
      <c r="D36" s="43" t="inlineStr">
        <is>
          <t>単体引違い窓</t>
        </is>
      </c>
      <c r="E36" s="43" t="n"/>
      <c r="F36" s="43" t="inlineStr">
        <is>
          <t>在来・204</t>
        </is>
      </c>
      <c r="G36" s="43" t="inlineStr">
        <is>
          <t>13307</t>
        </is>
      </c>
      <c r="H36" s="43" t="inlineStr">
        <is>
          <t>133</t>
        </is>
      </c>
      <c r="I36" s="43" t="inlineStr">
        <is>
          <t>07</t>
        </is>
      </c>
      <c r="J36" s="222" t="n">
        <v>1370</v>
      </c>
      <c r="K36" s="222" t="n">
        <v>770</v>
      </c>
      <c r="L36" s="43" t="inlineStr">
        <is>
          <t>在来・204｜マド①</t>
        </is>
      </c>
      <c r="M36" s="178" t="b">
        <v>1</v>
      </c>
      <c r="N36" s="43" t="inlineStr">
        <is>
          <t>カタログ規格確認済み</t>
        </is>
      </c>
      <c r="O36" s="222" t="n">
        <v>9</v>
      </c>
      <c r="P36" s="222" t="n">
        <v>7</v>
      </c>
      <c r="Q36" s="43" t="inlineStr">
        <is>
          <t>202604_LIXIL_サーモスＬ_業務用資料集_完成品価格表.pdf</t>
        </is>
      </c>
      <c r="R36" s="43" t="n"/>
      <c r="S36" s="42" t="inlineStr">
        <is>
          <t>無印</t>
        </is>
      </c>
      <c r="T36" s="42" t="n">
        <v>6</v>
      </c>
      <c r="U36" s="42" t="inlineStr">
        <is>
          <t>P6|無印</t>
        </is>
      </c>
      <c r="V36" s="42" t="inlineStr">
        <is>
          <t>同一価格表・前頁凡例を継承</t>
        </is>
      </c>
    </row>
    <row r="37">
      <c r="A37" s="43" t="inlineStr">
        <is>
          <t>SZ-SL-000034</t>
        </is>
      </c>
      <c r="B37" s="43" t="inlineStr">
        <is>
          <t>SER-LIX-SAMOSL</t>
        </is>
      </c>
      <c r="C37" s="43" t="inlineStr">
        <is>
          <t>WT-SL-HIKICHIGAI</t>
        </is>
      </c>
      <c r="D37" s="43" t="inlineStr">
        <is>
          <t>単体引違い窓</t>
        </is>
      </c>
      <c r="E37" s="43" t="n"/>
      <c r="F37" s="43" t="inlineStr">
        <is>
          <t>在来・204</t>
        </is>
      </c>
      <c r="G37" s="43" t="inlineStr">
        <is>
          <t>13309</t>
        </is>
      </c>
      <c r="H37" s="43" t="inlineStr">
        <is>
          <t>133</t>
        </is>
      </c>
      <c r="I37" s="43" t="inlineStr">
        <is>
          <t>09</t>
        </is>
      </c>
      <c r="J37" s="222" t="n">
        <v>1370</v>
      </c>
      <c r="K37" s="222" t="n">
        <v>970</v>
      </c>
      <c r="L37" s="43" t="inlineStr">
        <is>
          <t>在来・204｜マド①</t>
        </is>
      </c>
      <c r="M37" s="178" t="b">
        <v>1</v>
      </c>
      <c r="N37" s="43" t="inlineStr">
        <is>
          <t>カタログ規格確認済み</t>
        </is>
      </c>
      <c r="O37" s="222" t="n">
        <v>9</v>
      </c>
      <c r="P37" s="222" t="n">
        <v>7</v>
      </c>
      <c r="Q37" s="43" t="inlineStr">
        <is>
          <t>202604_LIXIL_サーモスＬ_業務用資料集_完成品価格表.pdf</t>
        </is>
      </c>
      <c r="R37" s="43" t="n"/>
      <c r="S37" s="42" t="inlineStr">
        <is>
          <t>無印</t>
        </is>
      </c>
      <c r="T37" s="42" t="n">
        <v>6</v>
      </c>
      <c r="U37" s="42" t="inlineStr">
        <is>
          <t>P6|無印</t>
        </is>
      </c>
      <c r="V37" s="42" t="inlineStr">
        <is>
          <t>同一価格表・前頁凡例を継承</t>
        </is>
      </c>
    </row>
    <row r="38">
      <c r="A38" s="43" t="inlineStr">
        <is>
          <t>SZ-SL-000035</t>
        </is>
      </c>
      <c r="B38" s="43" t="inlineStr">
        <is>
          <t>SER-LIX-SAMOSL</t>
        </is>
      </c>
      <c r="C38" s="43" t="inlineStr">
        <is>
          <t>WT-SL-HIKICHIGAI</t>
        </is>
      </c>
      <c r="D38" s="43" t="inlineStr">
        <is>
          <t>単体引違い窓</t>
        </is>
      </c>
      <c r="E38" s="43" t="n"/>
      <c r="F38" s="43" t="inlineStr">
        <is>
          <t>在来・204</t>
        </is>
      </c>
      <c r="G38" s="43" t="inlineStr">
        <is>
          <t>15005</t>
        </is>
      </c>
      <c r="H38" s="43" t="inlineStr">
        <is>
          <t>150</t>
        </is>
      </c>
      <c r="I38" s="43" t="inlineStr">
        <is>
          <t>05</t>
        </is>
      </c>
      <c r="J38" s="222" t="n">
        <v>1540</v>
      </c>
      <c r="K38" s="222" t="n">
        <v>570</v>
      </c>
      <c r="L38" s="43" t="inlineStr">
        <is>
          <t>在来・204｜マド①</t>
        </is>
      </c>
      <c r="M38" s="178" t="b">
        <v>1</v>
      </c>
      <c r="N38" s="43" t="inlineStr">
        <is>
          <t>カタログ規格確認済み</t>
        </is>
      </c>
      <c r="O38" s="222" t="n">
        <v>9</v>
      </c>
      <c r="P38" s="222" t="n">
        <v>7</v>
      </c>
      <c r="Q38" s="43" t="inlineStr">
        <is>
          <t>202604_LIXIL_サーモスＬ_業務用資料集_完成品価格表.pdf</t>
        </is>
      </c>
      <c r="R38" s="43" t="n"/>
      <c r="S38" s="42" t="inlineStr">
        <is>
          <t>無印</t>
        </is>
      </c>
      <c r="T38" s="42" t="n">
        <v>6</v>
      </c>
      <c r="U38" s="42" t="inlineStr">
        <is>
          <t>P6|無印</t>
        </is>
      </c>
      <c r="V38" s="42" t="inlineStr">
        <is>
          <t>同一価格表・前頁凡例を継承</t>
        </is>
      </c>
    </row>
    <row r="39">
      <c r="A39" s="43" t="inlineStr">
        <is>
          <t>SZ-SL-000036</t>
        </is>
      </c>
      <c r="B39" s="43" t="inlineStr">
        <is>
          <t>SER-LIX-SAMOSL</t>
        </is>
      </c>
      <c r="C39" s="43" t="inlineStr">
        <is>
          <t>WT-SL-HIKICHIGAI</t>
        </is>
      </c>
      <c r="D39" s="43" t="inlineStr">
        <is>
          <t>単体引違い窓</t>
        </is>
      </c>
      <c r="E39" s="43" t="n"/>
      <c r="F39" s="43" t="inlineStr">
        <is>
          <t>在来・204</t>
        </is>
      </c>
      <c r="G39" s="43" t="inlineStr">
        <is>
          <t>15007</t>
        </is>
      </c>
      <c r="H39" s="43" t="inlineStr">
        <is>
          <t>150</t>
        </is>
      </c>
      <c r="I39" s="43" t="inlineStr">
        <is>
          <t>07</t>
        </is>
      </c>
      <c r="J39" s="222" t="n">
        <v>1540</v>
      </c>
      <c r="K39" s="222" t="n">
        <v>770</v>
      </c>
      <c r="L39" s="43" t="inlineStr">
        <is>
          <t>在来・204｜マド①</t>
        </is>
      </c>
      <c r="M39" s="178" t="b">
        <v>1</v>
      </c>
      <c r="N39" s="43" t="inlineStr">
        <is>
          <t>カタログ規格確認済み</t>
        </is>
      </c>
      <c r="O39" s="222" t="n">
        <v>9</v>
      </c>
      <c r="P39" s="222" t="n">
        <v>7</v>
      </c>
      <c r="Q39" s="43" t="inlineStr">
        <is>
          <t>202604_LIXIL_サーモスＬ_業務用資料集_完成品価格表.pdf</t>
        </is>
      </c>
      <c r="R39" s="43" t="n"/>
      <c r="S39" s="42" t="inlineStr">
        <is>
          <t>無印</t>
        </is>
      </c>
      <c r="T39" s="42" t="n">
        <v>6</v>
      </c>
      <c r="U39" s="42" t="inlineStr">
        <is>
          <t>P6|無印</t>
        </is>
      </c>
      <c r="V39" s="42" t="inlineStr">
        <is>
          <t>同一価格表・前頁凡例を継承</t>
        </is>
      </c>
    </row>
    <row r="40">
      <c r="A40" s="43" t="inlineStr">
        <is>
          <t>SZ-SL-000037</t>
        </is>
      </c>
      <c r="B40" s="43" t="inlineStr">
        <is>
          <t>SER-LIX-SAMOSL</t>
        </is>
      </c>
      <c r="C40" s="43" t="inlineStr">
        <is>
          <t>WT-SL-HIKICHIGAI</t>
        </is>
      </c>
      <c r="D40" s="43" t="inlineStr">
        <is>
          <t>単体引違い窓</t>
        </is>
      </c>
      <c r="E40" s="43" t="n"/>
      <c r="F40" s="43" t="inlineStr">
        <is>
          <t>在来・204</t>
        </is>
      </c>
      <c r="G40" s="43" t="inlineStr">
        <is>
          <t>15009</t>
        </is>
      </c>
      <c r="H40" s="43" t="inlineStr">
        <is>
          <t>150</t>
        </is>
      </c>
      <c r="I40" s="43" t="inlineStr">
        <is>
          <t>09</t>
        </is>
      </c>
      <c r="J40" s="222" t="n">
        <v>1540</v>
      </c>
      <c r="K40" s="222" t="n">
        <v>970</v>
      </c>
      <c r="L40" s="43" t="inlineStr">
        <is>
          <t>在来・204｜マド①</t>
        </is>
      </c>
      <c r="M40" s="178" t="b">
        <v>1</v>
      </c>
      <c r="N40" s="43" t="inlineStr">
        <is>
          <t>カタログ規格確認済み</t>
        </is>
      </c>
      <c r="O40" s="222" t="n">
        <v>9</v>
      </c>
      <c r="P40" s="222" t="n">
        <v>7</v>
      </c>
      <c r="Q40" s="43" t="inlineStr">
        <is>
          <t>202604_LIXIL_サーモスＬ_業務用資料集_完成品価格表.pdf</t>
        </is>
      </c>
      <c r="R40" s="43" t="n"/>
      <c r="S40" s="42" t="inlineStr">
        <is>
          <t>無印</t>
        </is>
      </c>
      <c r="T40" s="42" t="n">
        <v>6</v>
      </c>
      <c r="U40" s="42" t="inlineStr">
        <is>
          <t>P6|無印</t>
        </is>
      </c>
      <c r="V40" s="42" t="inlineStr">
        <is>
          <t>同一価格表・前頁凡例を継承</t>
        </is>
      </c>
    </row>
    <row r="41">
      <c r="A41" s="43" t="inlineStr">
        <is>
          <t>SZ-SL-000038</t>
        </is>
      </c>
      <c r="B41" s="43" t="inlineStr">
        <is>
          <t>SER-LIX-SAMOSL</t>
        </is>
      </c>
      <c r="C41" s="43" t="inlineStr">
        <is>
          <t>WT-SL-HIKICHIGAI</t>
        </is>
      </c>
      <c r="D41" s="43" t="inlineStr">
        <is>
          <t>単体引違い窓</t>
        </is>
      </c>
      <c r="E41" s="43" t="n"/>
      <c r="F41" s="43" t="inlineStr">
        <is>
          <t>在来・204</t>
        </is>
      </c>
      <c r="G41" s="43" t="inlineStr">
        <is>
          <t>16005</t>
        </is>
      </c>
      <c r="H41" s="43" t="inlineStr">
        <is>
          <t>160</t>
        </is>
      </c>
      <c r="I41" s="43" t="inlineStr">
        <is>
          <t>05</t>
        </is>
      </c>
      <c r="J41" s="222" t="n">
        <v>1640</v>
      </c>
      <c r="K41" s="222" t="n">
        <v>570</v>
      </c>
      <c r="L41" s="43" t="inlineStr">
        <is>
          <t>在来・204｜マド②</t>
        </is>
      </c>
      <c r="M41" s="178" t="b">
        <v>1</v>
      </c>
      <c r="N41" s="43" t="inlineStr">
        <is>
          <t>カタログ規格確認済み</t>
        </is>
      </c>
      <c r="O41" s="222" t="n">
        <v>10</v>
      </c>
      <c r="P41" s="222" t="n">
        <v>8</v>
      </c>
      <c r="Q41" s="43" t="inlineStr">
        <is>
          <t>202604_LIXIL_サーモスＬ_業務用資料集_完成品価格表.pdf</t>
        </is>
      </c>
      <c r="R41" s="43" t="n"/>
      <c r="S41" s="42" t="inlineStr">
        <is>
          <t>無印</t>
        </is>
      </c>
      <c r="T41" s="42" t="n">
        <v>8</v>
      </c>
      <c r="U41" s="42" t="inlineStr">
        <is>
          <t>P8|無印</t>
        </is>
      </c>
      <c r="V41" s="42" t="inlineStr">
        <is>
          <t>同頁凡例へ直接連動</t>
        </is>
      </c>
    </row>
    <row r="42">
      <c r="A42" s="43" t="inlineStr">
        <is>
          <t>SZ-SL-000039</t>
        </is>
      </c>
      <c r="B42" s="43" t="inlineStr">
        <is>
          <t>SER-LIX-SAMOSL</t>
        </is>
      </c>
      <c r="C42" s="43" t="inlineStr">
        <is>
          <t>WT-SL-HIKICHIGAI</t>
        </is>
      </c>
      <c r="D42" s="43" t="inlineStr">
        <is>
          <t>単体引違い窓</t>
        </is>
      </c>
      <c r="E42" s="43" t="n"/>
      <c r="F42" s="43" t="inlineStr">
        <is>
          <t>在来・204</t>
        </is>
      </c>
      <c r="G42" s="43" t="inlineStr">
        <is>
          <t>16007</t>
        </is>
      </c>
      <c r="H42" s="43" t="inlineStr">
        <is>
          <t>160</t>
        </is>
      </c>
      <c r="I42" s="43" t="inlineStr">
        <is>
          <t>07</t>
        </is>
      </c>
      <c r="J42" s="222" t="n">
        <v>1640</v>
      </c>
      <c r="K42" s="222" t="n">
        <v>770</v>
      </c>
      <c r="L42" s="43" t="inlineStr">
        <is>
          <t>在来・204｜マド②</t>
        </is>
      </c>
      <c r="M42" s="178" t="b">
        <v>1</v>
      </c>
      <c r="N42" s="43" t="inlineStr">
        <is>
          <t>カタログ規格確認済み</t>
        </is>
      </c>
      <c r="O42" s="222" t="n">
        <v>10</v>
      </c>
      <c r="P42" s="222" t="n">
        <v>8</v>
      </c>
      <c r="Q42" s="43" t="inlineStr">
        <is>
          <t>202604_LIXIL_サーモスＬ_業務用資料集_完成品価格表.pdf</t>
        </is>
      </c>
      <c r="R42" s="43" t="n"/>
      <c r="S42" s="42" t="inlineStr">
        <is>
          <t>無印</t>
        </is>
      </c>
      <c r="T42" s="42" t="n">
        <v>8</v>
      </c>
      <c r="U42" s="42" t="inlineStr">
        <is>
          <t>P8|無印</t>
        </is>
      </c>
      <c r="V42" s="42" t="inlineStr">
        <is>
          <t>同頁凡例へ直接連動</t>
        </is>
      </c>
    </row>
    <row r="43">
      <c r="A43" s="43" t="inlineStr">
        <is>
          <t>SZ-SL-000040</t>
        </is>
      </c>
      <c r="B43" s="43" t="inlineStr">
        <is>
          <t>SER-LIX-SAMOSL</t>
        </is>
      </c>
      <c r="C43" s="43" t="inlineStr">
        <is>
          <t>WT-SL-HIKICHIGAI</t>
        </is>
      </c>
      <c r="D43" s="43" t="inlineStr">
        <is>
          <t>単体引違い窓</t>
        </is>
      </c>
      <c r="E43" s="43" t="n"/>
      <c r="F43" s="43" t="inlineStr">
        <is>
          <t>在来・204</t>
        </is>
      </c>
      <c r="G43" s="43" t="inlineStr">
        <is>
          <t>16009</t>
        </is>
      </c>
      <c r="H43" s="43" t="inlineStr">
        <is>
          <t>160</t>
        </is>
      </c>
      <c r="I43" s="43" t="inlineStr">
        <is>
          <t>09</t>
        </is>
      </c>
      <c r="J43" s="222" t="n">
        <v>1640</v>
      </c>
      <c r="K43" s="222" t="n">
        <v>970</v>
      </c>
      <c r="L43" s="43" t="inlineStr">
        <is>
          <t>在来・204｜マド②</t>
        </is>
      </c>
      <c r="M43" s="178" t="b">
        <v>1</v>
      </c>
      <c r="N43" s="43" t="inlineStr">
        <is>
          <t>カタログ規格確認済み</t>
        </is>
      </c>
      <c r="O43" s="222" t="n">
        <v>10</v>
      </c>
      <c r="P43" s="222" t="n">
        <v>8</v>
      </c>
      <c r="Q43" s="43" t="inlineStr">
        <is>
          <t>202604_LIXIL_サーモスＬ_業務用資料集_完成品価格表.pdf</t>
        </is>
      </c>
      <c r="R43" s="43" t="n"/>
      <c r="S43" s="42" t="inlineStr">
        <is>
          <t>無印</t>
        </is>
      </c>
      <c r="T43" s="42" t="n">
        <v>8</v>
      </c>
      <c r="U43" s="42" t="inlineStr">
        <is>
          <t>P8|無印</t>
        </is>
      </c>
      <c r="V43" s="42" t="inlineStr">
        <is>
          <t>同頁凡例へ直接連動</t>
        </is>
      </c>
    </row>
    <row r="44">
      <c r="A44" s="43" t="inlineStr">
        <is>
          <t>SZ-SL-000041</t>
        </is>
      </c>
      <c r="B44" s="43" t="inlineStr">
        <is>
          <t>SER-LIX-SAMOSL</t>
        </is>
      </c>
      <c r="C44" s="43" t="inlineStr">
        <is>
          <t>WT-SL-HIKICHIGAI</t>
        </is>
      </c>
      <c r="D44" s="43" t="inlineStr">
        <is>
          <t>単体引違い窓</t>
        </is>
      </c>
      <c r="E44" s="43" t="n"/>
      <c r="F44" s="43" t="inlineStr">
        <is>
          <t>在来・204</t>
        </is>
      </c>
      <c r="G44" s="43" t="inlineStr">
        <is>
          <t>16503</t>
        </is>
      </c>
      <c r="H44" s="43" t="inlineStr">
        <is>
          <t>165</t>
        </is>
      </c>
      <c r="I44" s="43" t="inlineStr">
        <is>
          <t>03</t>
        </is>
      </c>
      <c r="J44" s="222" t="n">
        <v>1690</v>
      </c>
      <c r="K44" s="222" t="n">
        <v>370</v>
      </c>
      <c r="L44" s="43" t="inlineStr">
        <is>
          <t>在来・204｜マド②</t>
        </is>
      </c>
      <c r="M44" s="178" t="b">
        <v>1</v>
      </c>
      <c r="N44" s="43" t="inlineStr">
        <is>
          <t>カタログ規格確認済み</t>
        </is>
      </c>
      <c r="O44" s="222" t="n">
        <v>10</v>
      </c>
      <c r="P44" s="222" t="n">
        <v>8</v>
      </c>
      <c r="Q44" s="43" t="inlineStr">
        <is>
          <t>202604_LIXIL_サーモスＬ_業務用資料集_完成品価格表.pdf</t>
        </is>
      </c>
      <c r="R44" s="43" t="n"/>
      <c r="S44" s="42" t="inlineStr">
        <is>
          <t>無印</t>
        </is>
      </c>
      <c r="T44" s="42" t="n">
        <v>8</v>
      </c>
      <c r="U44" s="42" t="inlineStr">
        <is>
          <t>P8|無印</t>
        </is>
      </c>
      <c r="V44" s="42" t="inlineStr">
        <is>
          <t>同頁凡例へ直接連動</t>
        </is>
      </c>
    </row>
    <row r="45">
      <c r="A45" s="43" t="inlineStr">
        <is>
          <t>SZ-SL-000042</t>
        </is>
      </c>
      <c r="B45" s="43" t="inlineStr">
        <is>
          <t>SER-LIX-SAMOSL</t>
        </is>
      </c>
      <c r="C45" s="43" t="inlineStr">
        <is>
          <t>WT-SL-HIKICHIGAI</t>
        </is>
      </c>
      <c r="D45" s="43" t="inlineStr">
        <is>
          <t>単体引違い窓</t>
        </is>
      </c>
      <c r="E45" s="43" t="n"/>
      <c r="F45" s="43" t="inlineStr">
        <is>
          <t>在来・204</t>
        </is>
      </c>
      <c r="G45" s="43" t="inlineStr">
        <is>
          <t>16505</t>
        </is>
      </c>
      <c r="H45" s="43" t="inlineStr">
        <is>
          <t>165</t>
        </is>
      </c>
      <c r="I45" s="43" t="inlineStr">
        <is>
          <t>05</t>
        </is>
      </c>
      <c r="J45" s="222" t="n">
        <v>1690</v>
      </c>
      <c r="K45" s="222" t="n">
        <v>570</v>
      </c>
      <c r="L45" s="43" t="inlineStr">
        <is>
          <t>在来・204｜マド②</t>
        </is>
      </c>
      <c r="M45" s="178" t="b">
        <v>1</v>
      </c>
      <c r="N45" s="43" t="inlineStr">
        <is>
          <t>カタログ規格確認済み</t>
        </is>
      </c>
      <c r="O45" s="222" t="n">
        <v>10</v>
      </c>
      <c r="P45" s="222" t="n">
        <v>8</v>
      </c>
      <c r="Q45" s="43" t="inlineStr">
        <is>
          <t>202604_LIXIL_サーモスＬ_業務用資料集_完成品価格表.pdf</t>
        </is>
      </c>
      <c r="R45" s="43" t="n"/>
      <c r="S45" s="42" t="inlineStr">
        <is>
          <t>無印</t>
        </is>
      </c>
      <c r="T45" s="42" t="n">
        <v>8</v>
      </c>
      <c r="U45" s="42" t="inlineStr">
        <is>
          <t>P8|無印</t>
        </is>
      </c>
      <c r="V45" s="42" t="inlineStr">
        <is>
          <t>同頁凡例へ直接連動</t>
        </is>
      </c>
    </row>
    <row r="46">
      <c r="A46" s="43" t="inlineStr">
        <is>
          <t>SZ-SL-000043</t>
        </is>
      </c>
      <c r="B46" s="43" t="inlineStr">
        <is>
          <t>SER-LIX-SAMOSL</t>
        </is>
      </c>
      <c r="C46" s="43" t="inlineStr">
        <is>
          <t>WT-SL-HIKICHIGAI</t>
        </is>
      </c>
      <c r="D46" s="43" t="inlineStr">
        <is>
          <t>単体引違い窓</t>
        </is>
      </c>
      <c r="E46" s="43" t="n"/>
      <c r="F46" s="43" t="inlineStr">
        <is>
          <t>在来・204</t>
        </is>
      </c>
      <c r="G46" s="43" t="inlineStr">
        <is>
          <t>16507</t>
        </is>
      </c>
      <c r="H46" s="43" t="inlineStr">
        <is>
          <t>165</t>
        </is>
      </c>
      <c r="I46" s="43" t="inlineStr">
        <is>
          <t>07</t>
        </is>
      </c>
      <c r="J46" s="222" t="n">
        <v>1690</v>
      </c>
      <c r="K46" s="222" t="n">
        <v>770</v>
      </c>
      <c r="L46" s="43" t="inlineStr">
        <is>
          <t>在来・204｜マド②</t>
        </is>
      </c>
      <c r="M46" s="178" t="b">
        <v>1</v>
      </c>
      <c r="N46" s="43" t="inlineStr">
        <is>
          <t>カタログ規格確認済み</t>
        </is>
      </c>
      <c r="O46" s="222" t="n">
        <v>10</v>
      </c>
      <c r="P46" s="222" t="n">
        <v>8</v>
      </c>
      <c r="Q46" s="43" t="inlineStr">
        <is>
          <t>202604_LIXIL_サーモスＬ_業務用資料集_完成品価格表.pdf</t>
        </is>
      </c>
      <c r="R46" s="43" t="n"/>
      <c r="S46" s="42" t="inlineStr">
        <is>
          <t>無印</t>
        </is>
      </c>
      <c r="T46" s="42" t="n">
        <v>8</v>
      </c>
      <c r="U46" s="42" t="inlineStr">
        <is>
          <t>P8|無印</t>
        </is>
      </c>
      <c r="V46" s="42" t="inlineStr">
        <is>
          <t>同頁凡例へ直接連動</t>
        </is>
      </c>
    </row>
    <row r="47">
      <c r="A47" s="43" t="inlineStr">
        <is>
          <t>SZ-SL-000044</t>
        </is>
      </c>
      <c r="B47" s="43" t="inlineStr">
        <is>
          <t>SER-LIX-SAMOSL</t>
        </is>
      </c>
      <c r="C47" s="43" t="inlineStr">
        <is>
          <t>WT-SL-HIKICHIGAI</t>
        </is>
      </c>
      <c r="D47" s="43" t="inlineStr">
        <is>
          <t>単体引違い窓</t>
        </is>
      </c>
      <c r="E47" s="43" t="n"/>
      <c r="F47" s="43" t="inlineStr">
        <is>
          <t>在来・204</t>
        </is>
      </c>
      <c r="G47" s="43" t="inlineStr">
        <is>
          <t>16509</t>
        </is>
      </c>
      <c r="H47" s="43" t="inlineStr">
        <is>
          <t>165</t>
        </is>
      </c>
      <c r="I47" s="43" t="inlineStr">
        <is>
          <t>09</t>
        </is>
      </c>
      <c r="J47" s="222" t="n">
        <v>1690</v>
      </c>
      <c r="K47" s="222" t="n">
        <v>970</v>
      </c>
      <c r="L47" s="43" t="inlineStr">
        <is>
          <t>在来・204｜マド②</t>
        </is>
      </c>
      <c r="M47" s="178" t="b">
        <v>1</v>
      </c>
      <c r="N47" s="43" t="inlineStr">
        <is>
          <t>カタログ規格確認済み</t>
        </is>
      </c>
      <c r="O47" s="222" t="n">
        <v>10</v>
      </c>
      <c r="P47" s="222" t="n">
        <v>8</v>
      </c>
      <c r="Q47" s="43" t="inlineStr">
        <is>
          <t>202604_LIXIL_サーモスＬ_業務用資料集_完成品価格表.pdf</t>
        </is>
      </c>
      <c r="R47" s="43" t="n"/>
      <c r="S47" s="42" t="inlineStr">
        <is>
          <t>無印</t>
        </is>
      </c>
      <c r="T47" s="42" t="n">
        <v>8</v>
      </c>
      <c r="U47" s="42" t="inlineStr">
        <is>
          <t>P8|無印</t>
        </is>
      </c>
      <c r="V47" s="42" t="inlineStr">
        <is>
          <t>同頁凡例へ直接連動</t>
        </is>
      </c>
    </row>
    <row r="48">
      <c r="A48" s="43" t="inlineStr">
        <is>
          <t>SZ-SL-000045</t>
        </is>
      </c>
      <c r="B48" s="43" t="inlineStr">
        <is>
          <t>SER-LIX-SAMOSL</t>
        </is>
      </c>
      <c r="C48" s="43" t="inlineStr">
        <is>
          <t>WT-SL-HIKICHIGAI</t>
        </is>
      </c>
      <c r="D48" s="43" t="inlineStr">
        <is>
          <t>単体引違い窓</t>
        </is>
      </c>
      <c r="E48" s="43" t="n"/>
      <c r="F48" s="43" t="inlineStr">
        <is>
          <t>在来・204</t>
        </is>
      </c>
      <c r="G48" s="43" t="inlineStr">
        <is>
          <t>17405</t>
        </is>
      </c>
      <c r="H48" s="43" t="inlineStr">
        <is>
          <t>174</t>
        </is>
      </c>
      <c r="I48" s="43" t="inlineStr">
        <is>
          <t>05</t>
        </is>
      </c>
      <c r="J48" s="222" t="n">
        <v>1780</v>
      </c>
      <c r="K48" s="222" t="n">
        <v>570</v>
      </c>
      <c r="L48" s="43" t="inlineStr">
        <is>
          <t>在来・204｜マド②</t>
        </is>
      </c>
      <c r="M48" s="178" t="b">
        <v>1</v>
      </c>
      <c r="N48" s="43" t="inlineStr">
        <is>
          <t>カタログ規格確認済み</t>
        </is>
      </c>
      <c r="O48" s="222" t="n">
        <v>10</v>
      </c>
      <c r="P48" s="222" t="n">
        <v>8</v>
      </c>
      <c r="Q48" s="43" t="inlineStr">
        <is>
          <t>202604_LIXIL_サーモスＬ_業務用資料集_完成品価格表.pdf</t>
        </is>
      </c>
      <c r="R48" s="43" t="n"/>
      <c r="S48" s="42" t="inlineStr">
        <is>
          <t>無印</t>
        </is>
      </c>
      <c r="T48" s="42" t="n">
        <v>8</v>
      </c>
      <c r="U48" s="42" t="inlineStr">
        <is>
          <t>P8|無印</t>
        </is>
      </c>
      <c r="V48" s="42" t="inlineStr">
        <is>
          <t>同頁凡例へ直接連動</t>
        </is>
      </c>
    </row>
    <row r="49">
      <c r="A49" s="43" t="inlineStr">
        <is>
          <t>SZ-SL-000046</t>
        </is>
      </c>
      <c r="B49" s="43" t="inlineStr">
        <is>
          <t>SER-LIX-SAMOSL</t>
        </is>
      </c>
      <c r="C49" s="43" t="inlineStr">
        <is>
          <t>WT-SL-HIKICHIGAI</t>
        </is>
      </c>
      <c r="D49" s="43" t="inlineStr">
        <is>
          <t>単体引違い窓</t>
        </is>
      </c>
      <c r="E49" s="43" t="n"/>
      <c r="F49" s="43" t="inlineStr">
        <is>
          <t>在来・204</t>
        </is>
      </c>
      <c r="G49" s="43" t="inlineStr">
        <is>
          <t>17407</t>
        </is>
      </c>
      <c r="H49" s="43" t="inlineStr">
        <is>
          <t>174</t>
        </is>
      </c>
      <c r="I49" s="43" t="inlineStr">
        <is>
          <t>07</t>
        </is>
      </c>
      <c r="J49" s="222" t="n">
        <v>1780</v>
      </c>
      <c r="K49" s="222" t="n">
        <v>770</v>
      </c>
      <c r="L49" s="43" t="inlineStr">
        <is>
          <t>在来・204｜マド②</t>
        </is>
      </c>
      <c r="M49" s="178" t="b">
        <v>1</v>
      </c>
      <c r="N49" s="43" t="inlineStr">
        <is>
          <t>カタログ規格確認済み</t>
        </is>
      </c>
      <c r="O49" s="222" t="n">
        <v>10</v>
      </c>
      <c r="P49" s="222" t="n">
        <v>8</v>
      </c>
      <c r="Q49" s="43" t="inlineStr">
        <is>
          <t>202604_LIXIL_サーモスＬ_業務用資料集_完成品価格表.pdf</t>
        </is>
      </c>
      <c r="R49" s="43" t="n"/>
      <c r="S49" s="42" t="inlineStr">
        <is>
          <t>無印</t>
        </is>
      </c>
      <c r="T49" s="42" t="n">
        <v>8</v>
      </c>
      <c r="U49" s="42" t="inlineStr">
        <is>
          <t>P8|無印</t>
        </is>
      </c>
      <c r="V49" s="42" t="inlineStr">
        <is>
          <t>同頁凡例へ直接連動</t>
        </is>
      </c>
    </row>
    <row r="50">
      <c r="A50" s="43" t="inlineStr">
        <is>
          <t>SZ-SL-000047</t>
        </is>
      </c>
      <c r="B50" s="43" t="inlineStr">
        <is>
          <t>SER-LIX-SAMOSL</t>
        </is>
      </c>
      <c r="C50" s="43" t="inlineStr">
        <is>
          <t>WT-SL-HIKICHIGAI</t>
        </is>
      </c>
      <c r="D50" s="43" t="inlineStr">
        <is>
          <t>単体引違い窓</t>
        </is>
      </c>
      <c r="E50" s="43" t="n"/>
      <c r="F50" s="43" t="inlineStr">
        <is>
          <t>在来・204</t>
        </is>
      </c>
      <c r="G50" s="43" t="inlineStr">
        <is>
          <t>17409</t>
        </is>
      </c>
      <c r="H50" s="43" t="inlineStr">
        <is>
          <t>174</t>
        </is>
      </c>
      <c r="I50" s="43" t="inlineStr">
        <is>
          <t>09</t>
        </is>
      </c>
      <c r="J50" s="222" t="n">
        <v>1780</v>
      </c>
      <c r="K50" s="222" t="n">
        <v>970</v>
      </c>
      <c r="L50" s="43" t="inlineStr">
        <is>
          <t>在来・204｜マド②</t>
        </is>
      </c>
      <c r="M50" s="178" t="b">
        <v>1</v>
      </c>
      <c r="N50" s="43" t="inlineStr">
        <is>
          <t>カタログ規格確認済み</t>
        </is>
      </c>
      <c r="O50" s="222" t="n">
        <v>10</v>
      </c>
      <c r="P50" s="222" t="n">
        <v>8</v>
      </c>
      <c r="Q50" s="43" t="inlineStr">
        <is>
          <t>202604_LIXIL_サーモスＬ_業務用資料集_完成品価格表.pdf</t>
        </is>
      </c>
      <c r="R50" s="43" t="n"/>
      <c r="S50" s="42" t="inlineStr">
        <is>
          <t>無印</t>
        </is>
      </c>
      <c r="T50" s="42" t="n">
        <v>8</v>
      </c>
      <c r="U50" s="42" t="inlineStr">
        <is>
          <t>P8|無印</t>
        </is>
      </c>
      <c r="V50" s="42" t="inlineStr">
        <is>
          <t>同頁凡例へ直接連動</t>
        </is>
      </c>
    </row>
    <row r="51">
      <c r="A51" s="43" t="inlineStr">
        <is>
          <t>SZ-SL-000048</t>
        </is>
      </c>
      <c r="B51" s="43" t="inlineStr">
        <is>
          <t>SER-LIX-SAMOSL</t>
        </is>
      </c>
      <c r="C51" s="43" t="inlineStr">
        <is>
          <t>WT-SL-HIKICHIGAI</t>
        </is>
      </c>
      <c r="D51" s="43" t="inlineStr">
        <is>
          <t>単体引違い窓</t>
        </is>
      </c>
      <c r="E51" s="43" t="n"/>
      <c r="F51" s="43" t="inlineStr">
        <is>
          <t>在来・204</t>
        </is>
      </c>
      <c r="G51" s="43" t="inlineStr">
        <is>
          <t>17605</t>
        </is>
      </c>
      <c r="H51" s="43" t="inlineStr">
        <is>
          <t>176</t>
        </is>
      </c>
      <c r="I51" s="43" t="inlineStr">
        <is>
          <t>05</t>
        </is>
      </c>
      <c r="J51" s="222" t="n">
        <v>1800</v>
      </c>
      <c r="K51" s="222" t="n">
        <v>570</v>
      </c>
      <c r="L51" s="43" t="inlineStr">
        <is>
          <t>在来・204｜マド②</t>
        </is>
      </c>
      <c r="M51" s="178" t="b">
        <v>1</v>
      </c>
      <c r="N51" s="43" t="inlineStr">
        <is>
          <t>カタログ規格確認済み</t>
        </is>
      </c>
      <c r="O51" s="222" t="n">
        <v>10</v>
      </c>
      <c r="P51" s="222" t="n">
        <v>8</v>
      </c>
      <c r="Q51" s="43" t="inlineStr">
        <is>
          <t>202604_LIXIL_サーモスＬ_業務用資料集_完成品価格表.pdf</t>
        </is>
      </c>
      <c r="R51" s="43" t="n"/>
      <c r="S51" s="42" t="inlineStr">
        <is>
          <t>無印</t>
        </is>
      </c>
      <c r="T51" s="42" t="n">
        <v>8</v>
      </c>
      <c r="U51" s="42" t="inlineStr">
        <is>
          <t>P8|無印</t>
        </is>
      </c>
      <c r="V51" s="42" t="inlineStr">
        <is>
          <t>同頁凡例へ直接連動</t>
        </is>
      </c>
    </row>
    <row r="52">
      <c r="A52" s="43" t="inlineStr">
        <is>
          <t>SZ-SL-000049</t>
        </is>
      </c>
      <c r="B52" s="43" t="inlineStr">
        <is>
          <t>SER-LIX-SAMOSL</t>
        </is>
      </c>
      <c r="C52" s="43" t="inlineStr">
        <is>
          <t>WT-SL-HIKICHIGAI</t>
        </is>
      </c>
      <c r="D52" s="43" t="inlineStr">
        <is>
          <t>単体引違い窓</t>
        </is>
      </c>
      <c r="E52" s="43" t="n"/>
      <c r="F52" s="43" t="inlineStr">
        <is>
          <t>在来・204</t>
        </is>
      </c>
      <c r="G52" s="43" t="inlineStr">
        <is>
          <t>17607</t>
        </is>
      </c>
      <c r="H52" s="43" t="inlineStr">
        <is>
          <t>176</t>
        </is>
      </c>
      <c r="I52" s="43" t="inlineStr">
        <is>
          <t>07</t>
        </is>
      </c>
      <c r="J52" s="222" t="n">
        <v>1800</v>
      </c>
      <c r="K52" s="222" t="n">
        <v>770</v>
      </c>
      <c r="L52" s="43" t="inlineStr">
        <is>
          <t>在来・204｜マド②</t>
        </is>
      </c>
      <c r="M52" s="178" t="b">
        <v>1</v>
      </c>
      <c r="N52" s="43" t="inlineStr">
        <is>
          <t>カタログ規格確認済み</t>
        </is>
      </c>
      <c r="O52" s="222" t="n">
        <v>10</v>
      </c>
      <c r="P52" s="222" t="n">
        <v>8</v>
      </c>
      <c r="Q52" s="43" t="inlineStr">
        <is>
          <t>202604_LIXIL_サーモスＬ_業務用資料集_完成品価格表.pdf</t>
        </is>
      </c>
      <c r="R52" s="43" t="n"/>
      <c r="S52" s="42" t="inlineStr">
        <is>
          <t>無印</t>
        </is>
      </c>
      <c r="T52" s="42" t="n">
        <v>8</v>
      </c>
      <c r="U52" s="42" t="inlineStr">
        <is>
          <t>P8|無印</t>
        </is>
      </c>
      <c r="V52" s="42" t="inlineStr">
        <is>
          <t>同頁凡例へ直接連動</t>
        </is>
      </c>
    </row>
    <row r="53">
      <c r="A53" s="43" t="inlineStr">
        <is>
          <t>SZ-SL-000050</t>
        </is>
      </c>
      <c r="B53" s="43" t="inlineStr">
        <is>
          <t>SER-LIX-SAMOSL</t>
        </is>
      </c>
      <c r="C53" s="43" t="inlineStr">
        <is>
          <t>WT-SL-HIKICHIGAI</t>
        </is>
      </c>
      <c r="D53" s="43" t="inlineStr">
        <is>
          <t>単体引違い窓</t>
        </is>
      </c>
      <c r="E53" s="43" t="n"/>
      <c r="F53" s="43" t="inlineStr">
        <is>
          <t>在来・204</t>
        </is>
      </c>
      <c r="G53" s="43" t="inlineStr">
        <is>
          <t>17609</t>
        </is>
      </c>
      <c r="H53" s="43" t="inlineStr">
        <is>
          <t>176</t>
        </is>
      </c>
      <c r="I53" s="43" t="inlineStr">
        <is>
          <t>09</t>
        </is>
      </c>
      <c r="J53" s="222" t="n">
        <v>1800</v>
      </c>
      <c r="K53" s="222" t="n">
        <v>970</v>
      </c>
      <c r="L53" s="43" t="inlineStr">
        <is>
          <t>在来・204｜マド②</t>
        </is>
      </c>
      <c r="M53" s="178" t="b">
        <v>1</v>
      </c>
      <c r="N53" s="43" t="inlineStr">
        <is>
          <t>カタログ規格確認済み</t>
        </is>
      </c>
      <c r="O53" s="222" t="n">
        <v>10</v>
      </c>
      <c r="P53" s="222" t="n">
        <v>8</v>
      </c>
      <c r="Q53" s="43" t="inlineStr">
        <is>
          <t>202604_LIXIL_サーモスＬ_業務用資料集_完成品価格表.pdf</t>
        </is>
      </c>
      <c r="R53" s="43" t="n"/>
      <c r="S53" s="42" t="inlineStr">
        <is>
          <t>無印</t>
        </is>
      </c>
      <c r="T53" s="42" t="n">
        <v>8</v>
      </c>
      <c r="U53" s="42" t="inlineStr">
        <is>
          <t>P8|無印</t>
        </is>
      </c>
      <c r="V53" s="42" t="inlineStr">
        <is>
          <t>同頁凡例へ直接連動</t>
        </is>
      </c>
    </row>
    <row r="54">
      <c r="A54" s="43" t="inlineStr">
        <is>
          <t>SZ-SL-000051</t>
        </is>
      </c>
      <c r="B54" s="43" t="inlineStr">
        <is>
          <t>SER-LIX-SAMOSL</t>
        </is>
      </c>
      <c r="C54" s="43" t="inlineStr">
        <is>
          <t>WT-SL-HIKICHIGAI</t>
        </is>
      </c>
      <c r="D54" s="43" t="inlineStr">
        <is>
          <t>単体引違い窓</t>
        </is>
      </c>
      <c r="E54" s="43" t="n"/>
      <c r="F54" s="43" t="inlineStr">
        <is>
          <t>在来・204</t>
        </is>
      </c>
      <c r="G54" s="43" t="inlineStr">
        <is>
          <t>17805</t>
        </is>
      </c>
      <c r="H54" s="43" t="inlineStr">
        <is>
          <t>178</t>
        </is>
      </c>
      <c r="I54" s="43" t="inlineStr">
        <is>
          <t>05</t>
        </is>
      </c>
      <c r="J54" s="222" t="n">
        <v>1820</v>
      </c>
      <c r="K54" s="222" t="n">
        <v>570</v>
      </c>
      <c r="L54" s="43" t="inlineStr">
        <is>
          <t>在来・204｜マド②</t>
        </is>
      </c>
      <c r="M54" s="178" t="b">
        <v>1</v>
      </c>
      <c r="N54" s="43" t="inlineStr">
        <is>
          <t>カタログ規格確認済み</t>
        </is>
      </c>
      <c r="O54" s="222" t="n">
        <v>10</v>
      </c>
      <c r="P54" s="222" t="n">
        <v>8</v>
      </c>
      <c r="Q54" s="43" t="inlineStr">
        <is>
          <t>202604_LIXIL_サーモスＬ_業務用資料集_完成品価格表.pdf</t>
        </is>
      </c>
      <c r="R54" s="43" t="n"/>
      <c r="S54" s="42" t="inlineStr">
        <is>
          <t>無印</t>
        </is>
      </c>
      <c r="T54" s="42" t="n">
        <v>8</v>
      </c>
      <c r="U54" s="42" t="inlineStr">
        <is>
          <t>P8|無印</t>
        </is>
      </c>
      <c r="V54" s="42" t="inlineStr">
        <is>
          <t>同頁凡例へ直接連動</t>
        </is>
      </c>
    </row>
    <row r="55">
      <c r="A55" s="43" t="inlineStr">
        <is>
          <t>SZ-SL-000052</t>
        </is>
      </c>
      <c r="B55" s="43" t="inlineStr">
        <is>
          <t>SER-LIX-SAMOSL</t>
        </is>
      </c>
      <c r="C55" s="43" t="inlineStr">
        <is>
          <t>WT-SL-HIKICHIGAI</t>
        </is>
      </c>
      <c r="D55" s="43" t="inlineStr">
        <is>
          <t>単体引違い窓</t>
        </is>
      </c>
      <c r="E55" s="43" t="n"/>
      <c r="F55" s="43" t="inlineStr">
        <is>
          <t>在来・204</t>
        </is>
      </c>
      <c r="G55" s="43" t="inlineStr">
        <is>
          <t>17807</t>
        </is>
      </c>
      <c r="H55" s="43" t="inlineStr">
        <is>
          <t>178</t>
        </is>
      </c>
      <c r="I55" s="43" t="inlineStr">
        <is>
          <t>07</t>
        </is>
      </c>
      <c r="J55" s="222" t="n">
        <v>1820</v>
      </c>
      <c r="K55" s="222" t="n">
        <v>770</v>
      </c>
      <c r="L55" s="43" t="inlineStr">
        <is>
          <t>在来・204｜マド②</t>
        </is>
      </c>
      <c r="M55" s="178" t="b">
        <v>1</v>
      </c>
      <c r="N55" s="43" t="inlineStr">
        <is>
          <t>カタログ規格確認済み</t>
        </is>
      </c>
      <c r="O55" s="222" t="n">
        <v>10</v>
      </c>
      <c r="P55" s="222" t="n">
        <v>8</v>
      </c>
      <c r="Q55" s="43" t="inlineStr">
        <is>
          <t>202604_LIXIL_サーモスＬ_業務用資料集_完成品価格表.pdf</t>
        </is>
      </c>
      <c r="R55" s="43" t="n"/>
      <c r="S55" s="42" t="inlineStr">
        <is>
          <t>無印</t>
        </is>
      </c>
      <c r="T55" s="42" t="n">
        <v>8</v>
      </c>
      <c r="U55" s="42" t="inlineStr">
        <is>
          <t>P8|無印</t>
        </is>
      </c>
      <c r="V55" s="42" t="inlineStr">
        <is>
          <t>同頁凡例へ直接連動</t>
        </is>
      </c>
    </row>
    <row r="56">
      <c r="A56" s="43" t="inlineStr">
        <is>
          <t>SZ-SL-000053</t>
        </is>
      </c>
      <c r="B56" s="43" t="inlineStr">
        <is>
          <t>SER-LIX-SAMOSL</t>
        </is>
      </c>
      <c r="C56" s="43" t="inlineStr">
        <is>
          <t>WT-SL-HIKICHIGAI</t>
        </is>
      </c>
      <c r="D56" s="43" t="inlineStr">
        <is>
          <t>単体引違い窓</t>
        </is>
      </c>
      <c r="E56" s="43" t="n"/>
      <c r="F56" s="43" t="inlineStr">
        <is>
          <t>在来・204</t>
        </is>
      </c>
      <c r="G56" s="43" t="inlineStr">
        <is>
          <t>17809</t>
        </is>
      </c>
      <c r="H56" s="43" t="inlineStr">
        <is>
          <t>178</t>
        </is>
      </c>
      <c r="I56" s="43" t="inlineStr">
        <is>
          <t>09</t>
        </is>
      </c>
      <c r="J56" s="222" t="n">
        <v>1820</v>
      </c>
      <c r="K56" s="222" t="n">
        <v>970</v>
      </c>
      <c r="L56" s="43" t="inlineStr">
        <is>
          <t>在来・204｜マド②</t>
        </is>
      </c>
      <c r="M56" s="178" t="b">
        <v>1</v>
      </c>
      <c r="N56" s="43" t="inlineStr">
        <is>
          <t>カタログ規格確認済み</t>
        </is>
      </c>
      <c r="O56" s="222" t="n">
        <v>10</v>
      </c>
      <c r="P56" s="222" t="n">
        <v>8</v>
      </c>
      <c r="Q56" s="43" t="inlineStr">
        <is>
          <t>202604_LIXIL_サーモスＬ_業務用資料集_完成品価格表.pdf</t>
        </is>
      </c>
      <c r="R56" s="43" t="n"/>
      <c r="S56" s="42" t="inlineStr">
        <is>
          <t>無印</t>
        </is>
      </c>
      <c r="T56" s="42" t="n">
        <v>8</v>
      </c>
      <c r="U56" s="42" t="inlineStr">
        <is>
          <t>P8|無印</t>
        </is>
      </c>
      <c r="V56" s="42" t="inlineStr">
        <is>
          <t>同頁凡例へ直接連動</t>
        </is>
      </c>
    </row>
    <row r="57">
      <c r="A57" s="43" t="inlineStr">
        <is>
          <t>SZ-SL-000054</t>
        </is>
      </c>
      <c r="B57" s="43" t="inlineStr">
        <is>
          <t>SER-LIX-SAMOSL</t>
        </is>
      </c>
      <c r="C57" s="43" t="inlineStr">
        <is>
          <t>WT-SL-HIKICHIGAI</t>
        </is>
      </c>
      <c r="D57" s="43" t="inlineStr">
        <is>
          <t>単体引違い窓</t>
        </is>
      </c>
      <c r="E57" s="43" t="n"/>
      <c r="F57" s="43" t="inlineStr">
        <is>
          <t>在来・204</t>
        </is>
      </c>
      <c r="G57" s="43" t="inlineStr">
        <is>
          <t>18005</t>
        </is>
      </c>
      <c r="H57" s="43" t="inlineStr">
        <is>
          <t>180</t>
        </is>
      </c>
      <c r="I57" s="43" t="inlineStr">
        <is>
          <t>05</t>
        </is>
      </c>
      <c r="J57" s="222" t="n">
        <v>1845</v>
      </c>
      <c r="K57" s="222" t="n">
        <v>570</v>
      </c>
      <c r="L57" s="43" t="inlineStr">
        <is>
          <t>在来・204｜マド②</t>
        </is>
      </c>
      <c r="M57" s="178" t="b">
        <v>1</v>
      </c>
      <c r="N57" s="43" t="inlineStr">
        <is>
          <t>カタログ規格確認済み</t>
        </is>
      </c>
      <c r="O57" s="222" t="n">
        <v>11</v>
      </c>
      <c r="P57" s="222" t="n">
        <v>9</v>
      </c>
      <c r="Q57" s="43" t="inlineStr">
        <is>
          <t>202604_LIXIL_サーモスＬ_業務用資料集_完成品価格表.pdf</t>
        </is>
      </c>
      <c r="R57" s="43" t="n"/>
      <c r="S57" s="42" t="inlineStr">
        <is>
          <t>無印</t>
        </is>
      </c>
      <c r="T57" s="42" t="n">
        <v>8</v>
      </c>
      <c r="U57" s="42" t="inlineStr">
        <is>
          <t>P8|無印</t>
        </is>
      </c>
      <c r="V57" s="42" t="inlineStr">
        <is>
          <t>同一価格表・前頁凡例を継承</t>
        </is>
      </c>
    </row>
    <row r="58">
      <c r="A58" s="43" t="inlineStr">
        <is>
          <t>SZ-SL-000055</t>
        </is>
      </c>
      <c r="B58" s="43" t="inlineStr">
        <is>
          <t>SER-LIX-SAMOSL</t>
        </is>
      </c>
      <c r="C58" s="43" t="inlineStr">
        <is>
          <t>WT-SL-HIKICHIGAI</t>
        </is>
      </c>
      <c r="D58" s="43" t="inlineStr">
        <is>
          <t>単体引違い窓</t>
        </is>
      </c>
      <c r="E58" s="43" t="n"/>
      <c r="F58" s="43" t="inlineStr">
        <is>
          <t>在来・204</t>
        </is>
      </c>
      <c r="G58" s="43" t="inlineStr">
        <is>
          <t>18007</t>
        </is>
      </c>
      <c r="H58" s="43" t="inlineStr">
        <is>
          <t>180</t>
        </is>
      </c>
      <c r="I58" s="43" t="inlineStr">
        <is>
          <t>07</t>
        </is>
      </c>
      <c r="J58" s="222" t="n">
        <v>1845</v>
      </c>
      <c r="K58" s="222" t="n">
        <v>770</v>
      </c>
      <c r="L58" s="43" t="inlineStr">
        <is>
          <t>在来・204｜マド②</t>
        </is>
      </c>
      <c r="M58" s="178" t="b">
        <v>1</v>
      </c>
      <c r="N58" s="43" t="inlineStr">
        <is>
          <t>カタログ規格確認済み</t>
        </is>
      </c>
      <c r="O58" s="222" t="n">
        <v>11</v>
      </c>
      <c r="P58" s="222" t="n">
        <v>9</v>
      </c>
      <c r="Q58" s="43" t="inlineStr">
        <is>
          <t>202604_LIXIL_サーモスＬ_業務用資料集_完成品価格表.pdf</t>
        </is>
      </c>
      <c r="R58" s="43" t="n"/>
      <c r="S58" s="42" t="inlineStr">
        <is>
          <t>無印</t>
        </is>
      </c>
      <c r="T58" s="42" t="n">
        <v>8</v>
      </c>
      <c r="U58" s="42" t="inlineStr">
        <is>
          <t>P8|無印</t>
        </is>
      </c>
      <c r="V58" s="42" t="inlineStr">
        <is>
          <t>同一価格表・前頁凡例を継承</t>
        </is>
      </c>
    </row>
    <row r="59">
      <c r="A59" s="43" t="inlineStr">
        <is>
          <t>SZ-SL-000056</t>
        </is>
      </c>
      <c r="B59" s="43" t="inlineStr">
        <is>
          <t>SER-LIX-SAMOSL</t>
        </is>
      </c>
      <c r="C59" s="43" t="inlineStr">
        <is>
          <t>WT-SL-HIKICHIGAI</t>
        </is>
      </c>
      <c r="D59" s="43" t="inlineStr">
        <is>
          <t>単体引違い窓</t>
        </is>
      </c>
      <c r="E59" s="43" t="n"/>
      <c r="F59" s="43" t="inlineStr">
        <is>
          <t>在来・204</t>
        </is>
      </c>
      <c r="G59" s="43" t="inlineStr">
        <is>
          <t>18009</t>
        </is>
      </c>
      <c r="H59" s="43" t="inlineStr">
        <is>
          <t>180</t>
        </is>
      </c>
      <c r="I59" s="43" t="inlineStr">
        <is>
          <t>09</t>
        </is>
      </c>
      <c r="J59" s="222" t="n">
        <v>1845</v>
      </c>
      <c r="K59" s="222" t="n">
        <v>970</v>
      </c>
      <c r="L59" s="43" t="inlineStr">
        <is>
          <t>在来・204｜マド②</t>
        </is>
      </c>
      <c r="M59" s="178" t="b">
        <v>1</v>
      </c>
      <c r="N59" s="43" t="inlineStr">
        <is>
          <t>カタログ規格確認済み</t>
        </is>
      </c>
      <c r="O59" s="222" t="n">
        <v>11</v>
      </c>
      <c r="P59" s="222" t="n">
        <v>9</v>
      </c>
      <c r="Q59" s="43" t="inlineStr">
        <is>
          <t>202604_LIXIL_サーモスＬ_業務用資料集_完成品価格表.pdf</t>
        </is>
      </c>
      <c r="R59" s="43" t="n"/>
      <c r="S59" s="42" t="inlineStr">
        <is>
          <t>無印</t>
        </is>
      </c>
      <c r="T59" s="42" t="n">
        <v>8</v>
      </c>
      <c r="U59" s="42" t="inlineStr">
        <is>
          <t>P8|無印</t>
        </is>
      </c>
      <c r="V59" s="42" t="inlineStr">
        <is>
          <t>同一価格表・前頁凡例を継承</t>
        </is>
      </c>
    </row>
    <row r="60">
      <c r="A60" s="43" t="inlineStr">
        <is>
          <t>SZ-SL-000057</t>
        </is>
      </c>
      <c r="B60" s="43" t="inlineStr">
        <is>
          <t>SER-LIX-SAMOSL</t>
        </is>
      </c>
      <c r="C60" s="43" t="inlineStr">
        <is>
          <t>WT-SL-HIKICHIGAI</t>
        </is>
      </c>
      <c r="D60" s="43" t="inlineStr">
        <is>
          <t>単体引違い窓</t>
        </is>
      </c>
      <c r="E60" s="43" t="n"/>
      <c r="F60" s="43" t="inlineStr">
        <is>
          <t>在来・204</t>
        </is>
      </c>
      <c r="G60" s="43" t="inlineStr">
        <is>
          <t>18305</t>
        </is>
      </c>
      <c r="H60" s="43" t="inlineStr">
        <is>
          <t>183</t>
        </is>
      </c>
      <c r="I60" s="43" t="inlineStr">
        <is>
          <t>05</t>
        </is>
      </c>
      <c r="J60" s="222" t="n">
        <v>1870</v>
      </c>
      <c r="K60" s="222" t="n">
        <v>570</v>
      </c>
      <c r="L60" s="43" t="inlineStr">
        <is>
          <t>在来・204｜マド②</t>
        </is>
      </c>
      <c r="M60" s="178" t="b">
        <v>1</v>
      </c>
      <c r="N60" s="43" t="inlineStr">
        <is>
          <t>カタログ規格確認済み</t>
        </is>
      </c>
      <c r="O60" s="222" t="n">
        <v>11</v>
      </c>
      <c r="P60" s="222" t="n">
        <v>9</v>
      </c>
      <c r="Q60" s="43" t="inlineStr">
        <is>
          <t>202604_LIXIL_サーモスＬ_業務用資料集_完成品価格表.pdf</t>
        </is>
      </c>
      <c r="R60" s="43" t="n"/>
      <c r="S60" s="42" t="inlineStr">
        <is>
          <t>無印</t>
        </is>
      </c>
      <c r="T60" s="42" t="n">
        <v>8</v>
      </c>
      <c r="U60" s="42" t="inlineStr">
        <is>
          <t>P8|無印</t>
        </is>
      </c>
      <c r="V60" s="42" t="inlineStr">
        <is>
          <t>同一価格表・前頁凡例を継承</t>
        </is>
      </c>
    </row>
    <row r="61">
      <c r="A61" s="43" t="inlineStr">
        <is>
          <t>SZ-SL-000058</t>
        </is>
      </c>
      <c r="B61" s="43" t="inlineStr">
        <is>
          <t>SER-LIX-SAMOSL</t>
        </is>
      </c>
      <c r="C61" s="43" t="inlineStr">
        <is>
          <t>WT-SL-HIKICHIGAI</t>
        </is>
      </c>
      <c r="D61" s="43" t="inlineStr">
        <is>
          <t>単体引違い窓</t>
        </is>
      </c>
      <c r="E61" s="43" t="n"/>
      <c r="F61" s="43" t="inlineStr">
        <is>
          <t>在来・204</t>
        </is>
      </c>
      <c r="G61" s="43" t="inlineStr">
        <is>
          <t>18307</t>
        </is>
      </c>
      <c r="H61" s="43" t="inlineStr">
        <is>
          <t>183</t>
        </is>
      </c>
      <c r="I61" s="43" t="inlineStr">
        <is>
          <t>07</t>
        </is>
      </c>
      <c r="J61" s="222" t="n">
        <v>1870</v>
      </c>
      <c r="K61" s="222" t="n">
        <v>770</v>
      </c>
      <c r="L61" s="43" t="inlineStr">
        <is>
          <t>在来・204｜マド②</t>
        </is>
      </c>
      <c r="M61" s="178" t="b">
        <v>1</v>
      </c>
      <c r="N61" s="43" t="inlineStr">
        <is>
          <t>カタログ規格確認済み</t>
        </is>
      </c>
      <c r="O61" s="222" t="n">
        <v>11</v>
      </c>
      <c r="P61" s="222" t="n">
        <v>9</v>
      </c>
      <c r="Q61" s="43" t="inlineStr">
        <is>
          <t>202604_LIXIL_サーモスＬ_業務用資料集_完成品価格表.pdf</t>
        </is>
      </c>
      <c r="R61" s="43" t="n"/>
      <c r="S61" s="42" t="inlineStr">
        <is>
          <t>無印</t>
        </is>
      </c>
      <c r="T61" s="42" t="n">
        <v>8</v>
      </c>
      <c r="U61" s="42" t="inlineStr">
        <is>
          <t>P8|無印</t>
        </is>
      </c>
      <c r="V61" s="42" t="inlineStr">
        <is>
          <t>同一価格表・前頁凡例を継承</t>
        </is>
      </c>
    </row>
    <row r="62">
      <c r="A62" s="43" t="inlineStr">
        <is>
          <t>SZ-SL-000059</t>
        </is>
      </c>
      <c r="B62" s="43" t="inlineStr">
        <is>
          <t>SER-LIX-SAMOSL</t>
        </is>
      </c>
      <c r="C62" s="43" t="inlineStr">
        <is>
          <t>WT-SL-HIKICHIGAI</t>
        </is>
      </c>
      <c r="D62" s="43" t="inlineStr">
        <is>
          <t>単体引違い窓</t>
        </is>
      </c>
      <c r="E62" s="43" t="n"/>
      <c r="F62" s="43" t="inlineStr">
        <is>
          <t>在来・204</t>
        </is>
      </c>
      <c r="G62" s="43" t="inlineStr">
        <is>
          <t>18309</t>
        </is>
      </c>
      <c r="H62" s="43" t="inlineStr">
        <is>
          <t>183</t>
        </is>
      </c>
      <c r="I62" s="43" t="inlineStr">
        <is>
          <t>09</t>
        </is>
      </c>
      <c r="J62" s="222" t="n">
        <v>1870</v>
      </c>
      <c r="K62" s="222" t="n">
        <v>970</v>
      </c>
      <c r="L62" s="43" t="inlineStr">
        <is>
          <t>在来・204｜マド②</t>
        </is>
      </c>
      <c r="M62" s="178" t="b">
        <v>1</v>
      </c>
      <c r="N62" s="43" t="inlineStr">
        <is>
          <t>カタログ規格確認済み</t>
        </is>
      </c>
      <c r="O62" s="222" t="n">
        <v>11</v>
      </c>
      <c r="P62" s="222" t="n">
        <v>9</v>
      </c>
      <c r="Q62" s="43" t="inlineStr">
        <is>
          <t>202604_LIXIL_サーモスＬ_業務用資料集_完成品価格表.pdf</t>
        </is>
      </c>
      <c r="R62" s="43" t="n"/>
      <c r="S62" s="42" t="inlineStr">
        <is>
          <t>無印</t>
        </is>
      </c>
      <c r="T62" s="42" t="n">
        <v>8</v>
      </c>
      <c r="U62" s="42" t="inlineStr">
        <is>
          <t>P8|無印</t>
        </is>
      </c>
      <c r="V62" s="42" t="inlineStr">
        <is>
          <t>同一価格表・前頁凡例を継承</t>
        </is>
      </c>
    </row>
    <row r="63">
      <c r="A63" s="43" t="inlineStr">
        <is>
          <t>SZ-SL-000060</t>
        </is>
      </c>
      <c r="B63" s="43" t="inlineStr">
        <is>
          <t>SER-LIX-SAMOSL</t>
        </is>
      </c>
      <c r="C63" s="43" t="inlineStr">
        <is>
          <t>WT-SL-HIKICHIGAI</t>
        </is>
      </c>
      <c r="D63" s="43" t="inlineStr">
        <is>
          <t>単体引違い窓</t>
        </is>
      </c>
      <c r="E63" s="43" t="n"/>
      <c r="F63" s="43" t="inlineStr">
        <is>
          <t>在来・204</t>
        </is>
      </c>
      <c r="G63" s="43" t="inlineStr">
        <is>
          <t>18605</t>
        </is>
      </c>
      <c r="H63" s="43" t="inlineStr">
        <is>
          <t>186</t>
        </is>
      </c>
      <c r="I63" s="43" t="inlineStr">
        <is>
          <t>05</t>
        </is>
      </c>
      <c r="J63" s="222" t="n">
        <v>1900</v>
      </c>
      <c r="K63" s="222" t="n">
        <v>570</v>
      </c>
      <c r="L63" s="43" t="inlineStr">
        <is>
          <t>在来・204｜マド②</t>
        </is>
      </c>
      <c r="M63" s="178" t="b">
        <v>1</v>
      </c>
      <c r="N63" s="43" t="inlineStr">
        <is>
          <t>カタログ規格確認済み</t>
        </is>
      </c>
      <c r="O63" s="222" t="n">
        <v>11</v>
      </c>
      <c r="P63" s="222" t="n">
        <v>9</v>
      </c>
      <c r="Q63" s="43" t="inlineStr">
        <is>
          <t>202604_LIXIL_サーモスＬ_業務用資料集_完成品価格表.pdf</t>
        </is>
      </c>
      <c r="R63" s="43" t="n"/>
      <c r="S63" s="42" t="inlineStr">
        <is>
          <t>無印</t>
        </is>
      </c>
      <c r="T63" s="42" t="n">
        <v>8</v>
      </c>
      <c r="U63" s="42" t="inlineStr">
        <is>
          <t>P8|無印</t>
        </is>
      </c>
      <c r="V63" s="42" t="inlineStr">
        <is>
          <t>同一価格表・前頁凡例を継承</t>
        </is>
      </c>
    </row>
    <row r="64">
      <c r="A64" s="43" t="inlineStr">
        <is>
          <t>SZ-SL-000061</t>
        </is>
      </c>
      <c r="B64" s="43" t="inlineStr">
        <is>
          <t>SER-LIX-SAMOSL</t>
        </is>
      </c>
      <c r="C64" s="43" t="inlineStr">
        <is>
          <t>WT-SL-HIKICHIGAI</t>
        </is>
      </c>
      <c r="D64" s="43" t="inlineStr">
        <is>
          <t>単体引違い窓</t>
        </is>
      </c>
      <c r="E64" s="43" t="n"/>
      <c r="F64" s="43" t="inlineStr">
        <is>
          <t>在来・204</t>
        </is>
      </c>
      <c r="G64" s="43" t="inlineStr">
        <is>
          <t>18607</t>
        </is>
      </c>
      <c r="H64" s="43" t="inlineStr">
        <is>
          <t>186</t>
        </is>
      </c>
      <c r="I64" s="43" t="inlineStr">
        <is>
          <t>07</t>
        </is>
      </c>
      <c r="J64" s="222" t="n">
        <v>1900</v>
      </c>
      <c r="K64" s="222" t="n">
        <v>770</v>
      </c>
      <c r="L64" s="43" t="inlineStr">
        <is>
          <t>在来・204｜マド②</t>
        </is>
      </c>
      <c r="M64" s="178" t="b">
        <v>1</v>
      </c>
      <c r="N64" s="43" t="inlineStr">
        <is>
          <t>カタログ規格確認済み</t>
        </is>
      </c>
      <c r="O64" s="222" t="n">
        <v>11</v>
      </c>
      <c r="P64" s="222" t="n">
        <v>9</v>
      </c>
      <c r="Q64" s="43" t="inlineStr">
        <is>
          <t>202604_LIXIL_サーモスＬ_業務用資料集_完成品価格表.pdf</t>
        </is>
      </c>
      <c r="R64" s="43" t="n"/>
      <c r="S64" s="42" t="inlineStr">
        <is>
          <t>無印</t>
        </is>
      </c>
      <c r="T64" s="42" t="n">
        <v>8</v>
      </c>
      <c r="U64" s="42" t="inlineStr">
        <is>
          <t>P8|無印</t>
        </is>
      </c>
      <c r="V64" s="42" t="inlineStr">
        <is>
          <t>同一価格表・前頁凡例を継承</t>
        </is>
      </c>
    </row>
    <row r="65">
      <c r="A65" s="43" t="inlineStr">
        <is>
          <t>SZ-SL-000062</t>
        </is>
      </c>
      <c r="B65" s="43" t="inlineStr">
        <is>
          <t>SER-LIX-SAMOSL</t>
        </is>
      </c>
      <c r="C65" s="43" t="inlineStr">
        <is>
          <t>WT-SL-HIKICHIGAI</t>
        </is>
      </c>
      <c r="D65" s="43" t="inlineStr">
        <is>
          <t>単体引違い窓</t>
        </is>
      </c>
      <c r="E65" s="43" t="n"/>
      <c r="F65" s="43" t="inlineStr">
        <is>
          <t>在来・204</t>
        </is>
      </c>
      <c r="G65" s="43" t="inlineStr">
        <is>
          <t>18609</t>
        </is>
      </c>
      <c r="H65" s="43" t="inlineStr">
        <is>
          <t>186</t>
        </is>
      </c>
      <c r="I65" s="43" t="inlineStr">
        <is>
          <t>09</t>
        </is>
      </c>
      <c r="J65" s="222" t="n">
        <v>1900</v>
      </c>
      <c r="K65" s="222" t="n">
        <v>970</v>
      </c>
      <c r="L65" s="43" t="inlineStr">
        <is>
          <t>在来・204｜マド②</t>
        </is>
      </c>
      <c r="M65" s="178" t="b">
        <v>1</v>
      </c>
      <c r="N65" s="43" t="inlineStr">
        <is>
          <t>カタログ規格確認済み</t>
        </is>
      </c>
      <c r="O65" s="222" t="n">
        <v>11</v>
      </c>
      <c r="P65" s="222" t="n">
        <v>9</v>
      </c>
      <c r="Q65" s="43" t="inlineStr">
        <is>
          <t>202604_LIXIL_サーモスＬ_業務用資料集_完成品価格表.pdf</t>
        </is>
      </c>
      <c r="R65" s="43" t="n"/>
      <c r="S65" s="42" t="inlineStr">
        <is>
          <t>無印</t>
        </is>
      </c>
      <c r="T65" s="42" t="n">
        <v>8</v>
      </c>
      <c r="U65" s="42" t="inlineStr">
        <is>
          <t>P8|無印</t>
        </is>
      </c>
      <c r="V65" s="42" t="inlineStr">
        <is>
          <t>同一価格表・前頁凡例を継承</t>
        </is>
      </c>
    </row>
    <row r="66">
      <c r="A66" s="43" t="inlineStr">
        <is>
          <t>SZ-SL-000063</t>
        </is>
      </c>
      <c r="B66" s="43" t="inlineStr">
        <is>
          <t>SER-LIX-SAMOSL</t>
        </is>
      </c>
      <c r="C66" s="43" t="inlineStr">
        <is>
          <t>WT-SL-HIKICHIGAI</t>
        </is>
      </c>
      <c r="D66" s="43" t="inlineStr">
        <is>
          <t>単体引違い窓</t>
        </is>
      </c>
      <c r="E66" s="43" t="n"/>
      <c r="F66" s="43" t="inlineStr">
        <is>
          <t>在来・204</t>
        </is>
      </c>
      <c r="G66" s="43" t="inlineStr">
        <is>
          <t>25109-2</t>
        </is>
      </c>
      <c r="H66" s="43" t="inlineStr">
        <is>
          <t>251-2</t>
        </is>
      </c>
      <c r="I66" s="43" t="inlineStr">
        <is>
          <t>09</t>
        </is>
      </c>
      <c r="J66" s="222" t="n">
        <v>2550</v>
      </c>
      <c r="K66" s="222" t="n">
        <v>970</v>
      </c>
      <c r="L66" s="43" t="inlineStr">
        <is>
          <t>在来・204｜マド②</t>
        </is>
      </c>
      <c r="M66" s="178" t="b">
        <v>1</v>
      </c>
      <c r="N66" s="43" t="inlineStr">
        <is>
          <t>カタログ規格確認済み</t>
        </is>
      </c>
      <c r="O66" s="222" t="n">
        <v>11</v>
      </c>
      <c r="P66" s="222" t="n">
        <v>9</v>
      </c>
      <c r="Q66" s="43" t="inlineStr">
        <is>
          <t>202604_LIXIL_サーモスＬ_業務用資料集_完成品価格表.pdf</t>
        </is>
      </c>
      <c r="R66" s="43" t="n"/>
      <c r="S66" s="42" t="inlineStr">
        <is>
          <t>○</t>
        </is>
      </c>
      <c r="T66" s="42" t="n">
        <v>8</v>
      </c>
      <c r="U66" s="42" t="inlineStr">
        <is>
          <t>P8|○</t>
        </is>
      </c>
      <c r="V66" s="42" t="inlineStr">
        <is>
          <t>同一価格表・前頁凡例を継承</t>
        </is>
      </c>
    </row>
    <row r="67">
      <c r="A67" s="43" t="inlineStr">
        <is>
          <t>SZ-SL-000064</t>
        </is>
      </c>
      <c r="B67" s="43" t="inlineStr">
        <is>
          <t>SER-LIX-SAMOSL</t>
        </is>
      </c>
      <c r="C67" s="43" t="inlineStr">
        <is>
          <t>WT-SL-HIKICHIGAI</t>
        </is>
      </c>
      <c r="D67" s="43" t="inlineStr">
        <is>
          <t>単体引違い窓</t>
        </is>
      </c>
      <c r="E67" s="43" t="n"/>
      <c r="F67" s="43" t="inlineStr">
        <is>
          <t>在来・204</t>
        </is>
      </c>
      <c r="G67" s="43" t="inlineStr">
        <is>
          <t>25109-4</t>
        </is>
      </c>
      <c r="H67" s="43" t="inlineStr">
        <is>
          <t>251-4</t>
        </is>
      </c>
      <c r="I67" s="43" t="inlineStr">
        <is>
          <t>09</t>
        </is>
      </c>
      <c r="J67" s="222" t="n">
        <v>2550</v>
      </c>
      <c r="K67" s="222" t="n">
        <v>970</v>
      </c>
      <c r="L67" s="43" t="inlineStr">
        <is>
          <t>在来・204｜マド②</t>
        </is>
      </c>
      <c r="M67" s="178" t="b">
        <v>1</v>
      </c>
      <c r="N67" s="43" t="inlineStr">
        <is>
          <t>カタログ規格確認済み</t>
        </is>
      </c>
      <c r="O67" s="222" t="n">
        <v>11</v>
      </c>
      <c r="P67" s="222" t="n">
        <v>9</v>
      </c>
      <c r="Q67" s="43" t="inlineStr">
        <is>
          <t>202604_LIXIL_サーモスＬ_業務用資料集_完成品価格表.pdf</t>
        </is>
      </c>
      <c r="R67" s="43" t="n"/>
      <c r="S67" s="42" t="inlineStr">
        <is>
          <t>無印</t>
        </is>
      </c>
      <c r="T67" s="42" t="n">
        <v>8</v>
      </c>
      <c r="U67" s="42" t="inlineStr">
        <is>
          <t>P8|無印</t>
        </is>
      </c>
      <c r="V67" s="42" t="inlineStr">
        <is>
          <t>同一価格表・前頁凡例を継承</t>
        </is>
      </c>
    </row>
    <row r="68">
      <c r="A68" s="43" t="inlineStr">
        <is>
          <t>SZ-SL-000065</t>
        </is>
      </c>
      <c r="B68" s="43" t="inlineStr">
        <is>
          <t>SER-LIX-SAMOSL</t>
        </is>
      </c>
      <c r="C68" s="43" t="inlineStr">
        <is>
          <t>WT-SL-HIKICHIGAI</t>
        </is>
      </c>
      <c r="D68" s="43" t="inlineStr">
        <is>
          <t>単体引違い窓</t>
        </is>
      </c>
      <c r="E68" s="43" t="n"/>
      <c r="F68" s="43" t="inlineStr">
        <is>
          <t>在来・204</t>
        </is>
      </c>
      <c r="G68" s="43" t="inlineStr">
        <is>
          <t>25609-2</t>
        </is>
      </c>
      <c r="H68" s="43" t="inlineStr">
        <is>
          <t>256-2</t>
        </is>
      </c>
      <c r="I68" s="43" t="inlineStr">
        <is>
          <t>09</t>
        </is>
      </c>
      <c r="J68" s="222" t="n">
        <v>2600</v>
      </c>
      <c r="K68" s="222" t="n">
        <v>970</v>
      </c>
      <c r="L68" s="43" t="inlineStr">
        <is>
          <t>在来・204｜マド②</t>
        </is>
      </c>
      <c r="M68" s="178" t="b">
        <v>1</v>
      </c>
      <c r="N68" s="43" t="inlineStr">
        <is>
          <t>カタログ規格確認済み</t>
        </is>
      </c>
      <c r="O68" s="222" t="n">
        <v>11</v>
      </c>
      <c r="P68" s="222" t="n">
        <v>9</v>
      </c>
      <c r="Q68" s="43" t="inlineStr">
        <is>
          <t>202604_LIXIL_サーモスＬ_業務用資料集_完成品価格表.pdf</t>
        </is>
      </c>
      <c r="R68" s="43" t="n"/>
      <c r="S68" s="42" t="inlineStr">
        <is>
          <t>○</t>
        </is>
      </c>
      <c r="T68" s="42" t="n">
        <v>8</v>
      </c>
      <c r="U68" s="42" t="inlineStr">
        <is>
          <t>P8|○</t>
        </is>
      </c>
      <c r="V68" s="42" t="inlineStr">
        <is>
          <t>同一価格表・前頁凡例を継承</t>
        </is>
      </c>
    </row>
    <row r="69">
      <c r="A69" s="43" t="inlineStr">
        <is>
          <t>SZ-SL-000066</t>
        </is>
      </c>
      <c r="B69" s="43" t="inlineStr">
        <is>
          <t>SER-LIX-SAMOSL</t>
        </is>
      </c>
      <c r="C69" s="43" t="inlineStr">
        <is>
          <t>WT-SL-HIKICHIGAI</t>
        </is>
      </c>
      <c r="D69" s="43" t="inlineStr">
        <is>
          <t>単体引違い窓</t>
        </is>
      </c>
      <c r="E69" s="43" t="n"/>
      <c r="F69" s="43" t="inlineStr">
        <is>
          <t>在来・204</t>
        </is>
      </c>
      <c r="G69" s="43" t="inlineStr">
        <is>
          <t>25609-4</t>
        </is>
      </c>
      <c r="H69" s="43" t="inlineStr">
        <is>
          <t>256-4</t>
        </is>
      </c>
      <c r="I69" s="43" t="inlineStr">
        <is>
          <t>09</t>
        </is>
      </c>
      <c r="J69" s="222" t="n">
        <v>2600</v>
      </c>
      <c r="K69" s="222" t="n">
        <v>970</v>
      </c>
      <c r="L69" s="43" t="inlineStr">
        <is>
          <t>在来・204｜マド②</t>
        </is>
      </c>
      <c r="M69" s="178" t="b">
        <v>1</v>
      </c>
      <c r="N69" s="43" t="inlineStr">
        <is>
          <t>カタログ規格確認済み</t>
        </is>
      </c>
      <c r="O69" s="222" t="n">
        <v>11</v>
      </c>
      <c r="P69" s="222" t="n">
        <v>9</v>
      </c>
      <c r="Q69" s="43" t="inlineStr">
        <is>
          <t>202604_LIXIL_サーモスＬ_業務用資料集_完成品価格表.pdf</t>
        </is>
      </c>
      <c r="R69" s="43" t="n"/>
      <c r="S69" s="42" t="inlineStr">
        <is>
          <t>無印</t>
        </is>
      </c>
      <c r="T69" s="42" t="n">
        <v>8</v>
      </c>
      <c r="U69" s="42" t="inlineStr">
        <is>
          <t>P8|無印</t>
        </is>
      </c>
      <c r="V69" s="42" t="inlineStr">
        <is>
          <t>同一価格表・前頁凡例を継承</t>
        </is>
      </c>
    </row>
    <row r="70">
      <c r="A70" s="43" t="inlineStr">
        <is>
          <t>SZ-SL-000067</t>
        </is>
      </c>
      <c r="B70" s="43" t="inlineStr">
        <is>
          <t>SER-LIX-SAMOSL</t>
        </is>
      </c>
      <c r="C70" s="43" t="inlineStr">
        <is>
          <t>WT-SL-HIKICHIGAI</t>
        </is>
      </c>
      <c r="D70" s="43" t="inlineStr">
        <is>
          <t>単体引違い窓</t>
        </is>
      </c>
      <c r="E70" s="43" t="n"/>
      <c r="F70" s="43" t="inlineStr">
        <is>
          <t>在来・204</t>
        </is>
      </c>
      <c r="G70" s="43" t="inlineStr">
        <is>
          <t>07411</t>
        </is>
      </c>
      <c r="H70" s="43" t="inlineStr">
        <is>
          <t>074</t>
        </is>
      </c>
      <c r="I70" s="43" t="inlineStr">
        <is>
          <t>11</t>
        </is>
      </c>
      <c r="J70" s="222" t="n">
        <v>780</v>
      </c>
      <c r="K70" s="222" t="n">
        <v>1170</v>
      </c>
      <c r="L70" s="43" t="inlineStr">
        <is>
          <t>在来・204｜マド③</t>
        </is>
      </c>
      <c r="M70" s="178" t="b">
        <v>1</v>
      </c>
      <c r="N70" s="43" t="inlineStr">
        <is>
          <t>カタログ規格確認済み</t>
        </is>
      </c>
      <c r="O70" s="222" t="n">
        <v>12</v>
      </c>
      <c r="P70" s="222" t="n">
        <v>10</v>
      </c>
      <c r="Q70" s="43" t="inlineStr">
        <is>
          <t>202604_LIXIL_サーモスＬ_業務用資料集_完成品価格表.pdf</t>
        </is>
      </c>
      <c r="R70" s="43" t="n"/>
      <c r="S70" s="42" t="inlineStr">
        <is>
          <t>無印</t>
        </is>
      </c>
      <c r="T70" s="42" t="n">
        <v>10</v>
      </c>
      <c r="U70" s="42" t="inlineStr">
        <is>
          <t>P10|無印</t>
        </is>
      </c>
      <c r="V70" s="42" t="inlineStr">
        <is>
          <t>同頁凡例へ直接連動</t>
        </is>
      </c>
    </row>
    <row r="71">
      <c r="A71" s="43" t="inlineStr">
        <is>
          <t>SZ-SL-000068</t>
        </is>
      </c>
      <c r="B71" s="43" t="inlineStr">
        <is>
          <t>SER-LIX-SAMOSL</t>
        </is>
      </c>
      <c r="C71" s="43" t="inlineStr">
        <is>
          <t>WT-SL-HIKICHIGAI</t>
        </is>
      </c>
      <c r="D71" s="43" t="inlineStr">
        <is>
          <t>単体引違い窓</t>
        </is>
      </c>
      <c r="E71" s="43" t="n"/>
      <c r="F71" s="43" t="inlineStr">
        <is>
          <t>在来・204</t>
        </is>
      </c>
      <c r="G71" s="43" t="inlineStr">
        <is>
          <t>08311</t>
        </is>
      </c>
      <c r="H71" s="43" t="inlineStr">
        <is>
          <t>083</t>
        </is>
      </c>
      <c r="I71" s="43" t="inlineStr">
        <is>
          <t>11</t>
        </is>
      </c>
      <c r="J71" s="222" t="n">
        <v>870</v>
      </c>
      <c r="K71" s="222" t="n">
        <v>1170</v>
      </c>
      <c r="L71" s="43" t="inlineStr">
        <is>
          <t>在来・204｜マド③</t>
        </is>
      </c>
      <c r="M71" s="178" t="b">
        <v>1</v>
      </c>
      <c r="N71" s="43" t="inlineStr">
        <is>
          <t>カタログ規格確認済み</t>
        </is>
      </c>
      <c r="O71" s="222" t="n">
        <v>13</v>
      </c>
      <c r="P71" s="222" t="n">
        <v>11</v>
      </c>
      <c r="Q71" s="43" t="inlineStr">
        <is>
          <t>202604_LIXIL_サーモスＬ_業務用資料集_完成品価格表.pdf</t>
        </is>
      </c>
      <c r="R71" s="43" t="n"/>
      <c r="S71" s="42" t="inlineStr">
        <is>
          <t>無印</t>
        </is>
      </c>
      <c r="T71" s="42" t="n">
        <v>10</v>
      </c>
      <c r="U71" s="42" t="inlineStr">
        <is>
          <t>P10|無印</t>
        </is>
      </c>
      <c r="V71" s="42" t="inlineStr">
        <is>
          <t>同一価格表・前頁凡例を継承</t>
        </is>
      </c>
    </row>
    <row r="72">
      <c r="A72" s="43" t="inlineStr">
        <is>
          <t>SZ-SL-000069</t>
        </is>
      </c>
      <c r="B72" s="43" t="inlineStr">
        <is>
          <t>SER-LIX-SAMOSL</t>
        </is>
      </c>
      <c r="C72" s="43" t="inlineStr">
        <is>
          <t>WT-SL-HIKICHIGAI</t>
        </is>
      </c>
      <c r="D72" s="43" t="inlineStr">
        <is>
          <t>単体引違い窓</t>
        </is>
      </c>
      <c r="E72" s="43" t="n"/>
      <c r="F72" s="43" t="inlineStr">
        <is>
          <t>在来・204</t>
        </is>
      </c>
      <c r="G72" s="43" t="inlineStr">
        <is>
          <t>11411</t>
        </is>
      </c>
      <c r="H72" s="43" t="inlineStr">
        <is>
          <t>114</t>
        </is>
      </c>
      <c r="I72" s="43" t="inlineStr">
        <is>
          <t>11</t>
        </is>
      </c>
      <c r="J72" s="222" t="n">
        <v>1185</v>
      </c>
      <c r="K72" s="222" t="n">
        <v>1170</v>
      </c>
      <c r="L72" s="43" t="inlineStr">
        <is>
          <t>在来・204｜マド③</t>
        </is>
      </c>
      <c r="M72" s="178" t="b">
        <v>1</v>
      </c>
      <c r="N72" s="43" t="inlineStr">
        <is>
          <t>カタログ規格確認済み</t>
        </is>
      </c>
      <c r="O72" s="222" t="n">
        <v>13</v>
      </c>
      <c r="P72" s="222" t="n">
        <v>11</v>
      </c>
      <c r="Q72" s="43" t="inlineStr">
        <is>
          <t>202604_LIXIL_サーモスＬ_業務用資料集_完成品価格表.pdf</t>
        </is>
      </c>
      <c r="R72" s="43" t="n"/>
      <c r="S72" s="42" t="inlineStr">
        <is>
          <t>無印</t>
        </is>
      </c>
      <c r="T72" s="42" t="n">
        <v>10</v>
      </c>
      <c r="U72" s="42" t="inlineStr">
        <is>
          <t>P10|無印</t>
        </is>
      </c>
      <c r="V72" s="42" t="inlineStr">
        <is>
          <t>同一価格表・前頁凡例を継承</t>
        </is>
      </c>
    </row>
    <row r="73">
      <c r="A73" s="43" t="inlineStr">
        <is>
          <t>SZ-SL-000070</t>
        </is>
      </c>
      <c r="B73" s="43" t="inlineStr">
        <is>
          <t>SER-LIX-SAMOSL</t>
        </is>
      </c>
      <c r="C73" s="43" t="inlineStr">
        <is>
          <t>WT-SL-HIKICHIGAI</t>
        </is>
      </c>
      <c r="D73" s="43" t="inlineStr">
        <is>
          <t>単体引違い窓</t>
        </is>
      </c>
      <c r="E73" s="43" t="n"/>
      <c r="F73" s="43" t="inlineStr">
        <is>
          <t>在来・204</t>
        </is>
      </c>
      <c r="G73" s="43" t="inlineStr">
        <is>
          <t>11413</t>
        </is>
      </c>
      <c r="H73" s="43" t="inlineStr">
        <is>
          <t>114</t>
        </is>
      </c>
      <c r="I73" s="43" t="inlineStr">
        <is>
          <t>13</t>
        </is>
      </c>
      <c r="J73" s="222" t="n">
        <v>1185</v>
      </c>
      <c r="K73" s="222" t="n">
        <v>1370</v>
      </c>
      <c r="L73" s="43" t="inlineStr">
        <is>
          <t>在来・204｜マド③</t>
        </is>
      </c>
      <c r="M73" s="178" t="b">
        <v>1</v>
      </c>
      <c r="N73" s="43" t="inlineStr">
        <is>
          <t>カタログ規格確認済み</t>
        </is>
      </c>
      <c r="O73" s="222" t="n">
        <v>13</v>
      </c>
      <c r="P73" s="222" t="n">
        <v>11</v>
      </c>
      <c r="Q73" s="43" t="inlineStr">
        <is>
          <t>202604_LIXIL_サーモスＬ_業務用資料集_完成品価格表.pdf</t>
        </is>
      </c>
      <c r="R73" s="43" t="n"/>
      <c r="S73" s="42" t="inlineStr">
        <is>
          <t>無印</t>
        </is>
      </c>
      <c r="T73" s="42" t="n">
        <v>10</v>
      </c>
      <c r="U73" s="42" t="inlineStr">
        <is>
          <t>P10|無印</t>
        </is>
      </c>
      <c r="V73" s="42" t="inlineStr">
        <is>
          <t>同一価格表・前頁凡例を継承</t>
        </is>
      </c>
    </row>
    <row r="74">
      <c r="A74" s="43" t="inlineStr">
        <is>
          <t>SZ-SL-000071</t>
        </is>
      </c>
      <c r="B74" s="43" t="inlineStr">
        <is>
          <t>SER-LIX-SAMOSL</t>
        </is>
      </c>
      <c r="C74" s="43" t="inlineStr">
        <is>
          <t>WT-SL-HIKICHIGAI</t>
        </is>
      </c>
      <c r="D74" s="43" t="inlineStr">
        <is>
          <t>単体引違い窓</t>
        </is>
      </c>
      <c r="E74" s="43" t="n"/>
      <c r="F74" s="43" t="inlineStr">
        <is>
          <t>在来・204</t>
        </is>
      </c>
      <c r="G74" s="43" t="inlineStr">
        <is>
          <t>11911</t>
        </is>
      </c>
      <c r="H74" s="43" t="inlineStr">
        <is>
          <t>119</t>
        </is>
      </c>
      <c r="I74" s="43" t="inlineStr">
        <is>
          <t>11</t>
        </is>
      </c>
      <c r="J74" s="222" t="n">
        <v>1235</v>
      </c>
      <c r="K74" s="222" t="n">
        <v>1170</v>
      </c>
      <c r="L74" s="43" t="inlineStr">
        <is>
          <t>在来・204｜マド③</t>
        </is>
      </c>
      <c r="M74" s="178" t="b">
        <v>1</v>
      </c>
      <c r="N74" s="43" t="inlineStr">
        <is>
          <t>カタログ規格確認済み</t>
        </is>
      </c>
      <c r="O74" s="222" t="n">
        <v>13</v>
      </c>
      <c r="P74" s="222" t="n">
        <v>11</v>
      </c>
      <c r="Q74" s="43" t="inlineStr">
        <is>
          <t>202604_LIXIL_サーモスＬ_業務用資料集_完成品価格表.pdf</t>
        </is>
      </c>
      <c r="R74" s="43" t="n"/>
      <c r="S74" s="42" t="inlineStr">
        <is>
          <t>無印</t>
        </is>
      </c>
      <c r="T74" s="42" t="n">
        <v>10</v>
      </c>
      <c r="U74" s="42" t="inlineStr">
        <is>
          <t>P10|無印</t>
        </is>
      </c>
      <c r="V74" s="42" t="inlineStr">
        <is>
          <t>同一価格表・前頁凡例を継承</t>
        </is>
      </c>
    </row>
    <row r="75">
      <c r="A75" s="43" t="inlineStr">
        <is>
          <t>SZ-SL-000072</t>
        </is>
      </c>
      <c r="B75" s="43" t="inlineStr">
        <is>
          <t>SER-LIX-SAMOSL</t>
        </is>
      </c>
      <c r="C75" s="43" t="inlineStr">
        <is>
          <t>WT-SL-HIKICHIGAI</t>
        </is>
      </c>
      <c r="D75" s="43" t="inlineStr">
        <is>
          <t>単体引違い窓</t>
        </is>
      </c>
      <c r="E75" s="43" t="n"/>
      <c r="F75" s="43" t="inlineStr">
        <is>
          <t>在来・204</t>
        </is>
      </c>
      <c r="G75" s="43" t="inlineStr">
        <is>
          <t>11913</t>
        </is>
      </c>
      <c r="H75" s="43" t="inlineStr">
        <is>
          <t>119</t>
        </is>
      </c>
      <c r="I75" s="43" t="inlineStr">
        <is>
          <t>13</t>
        </is>
      </c>
      <c r="J75" s="222" t="n">
        <v>1235</v>
      </c>
      <c r="K75" s="222" t="n">
        <v>1370</v>
      </c>
      <c r="L75" s="43" t="inlineStr">
        <is>
          <t>在来・204｜マド③</t>
        </is>
      </c>
      <c r="M75" s="178" t="b">
        <v>1</v>
      </c>
      <c r="N75" s="43" t="inlineStr">
        <is>
          <t>カタログ規格確認済み</t>
        </is>
      </c>
      <c r="O75" s="222" t="n">
        <v>13</v>
      </c>
      <c r="P75" s="222" t="n">
        <v>11</v>
      </c>
      <c r="Q75" s="43" t="inlineStr">
        <is>
          <t>202604_LIXIL_サーモスＬ_業務用資料集_完成品価格表.pdf</t>
        </is>
      </c>
      <c r="R75" s="43" t="n"/>
      <c r="S75" s="42" t="inlineStr">
        <is>
          <t>無印</t>
        </is>
      </c>
      <c r="T75" s="42" t="n">
        <v>10</v>
      </c>
      <c r="U75" s="42" t="inlineStr">
        <is>
          <t>P10|無印</t>
        </is>
      </c>
      <c r="V75" s="42" t="inlineStr">
        <is>
          <t>同一価格表・前頁凡例を継承</t>
        </is>
      </c>
    </row>
    <row r="76">
      <c r="A76" s="43" t="inlineStr">
        <is>
          <t>SZ-SL-000073</t>
        </is>
      </c>
      <c r="B76" s="43" t="inlineStr">
        <is>
          <t>SER-LIX-SAMOSL</t>
        </is>
      </c>
      <c r="C76" s="43" t="inlineStr">
        <is>
          <t>WT-SL-HIKICHIGAI</t>
        </is>
      </c>
      <c r="D76" s="43" t="inlineStr">
        <is>
          <t>単体引違い窓</t>
        </is>
      </c>
      <c r="E76" s="43" t="n"/>
      <c r="F76" s="43" t="inlineStr">
        <is>
          <t>在来・204</t>
        </is>
      </c>
      <c r="G76" s="43" t="inlineStr">
        <is>
          <t>12811</t>
        </is>
      </c>
      <c r="H76" s="43" t="inlineStr">
        <is>
          <t>128</t>
        </is>
      </c>
      <c r="I76" s="43" t="inlineStr">
        <is>
          <t>11</t>
        </is>
      </c>
      <c r="J76" s="222" t="n">
        <v>1320</v>
      </c>
      <c r="K76" s="222" t="n">
        <v>1170</v>
      </c>
      <c r="L76" s="43" t="inlineStr">
        <is>
          <t>在来・204｜マド③</t>
        </is>
      </c>
      <c r="M76" s="178" t="b">
        <v>1</v>
      </c>
      <c r="N76" s="43" t="inlineStr">
        <is>
          <t>カタログ規格確認済み</t>
        </is>
      </c>
      <c r="O76" s="222" t="n">
        <v>13</v>
      </c>
      <c r="P76" s="222" t="n">
        <v>11</v>
      </c>
      <c r="Q76" s="43" t="inlineStr">
        <is>
          <t>202604_LIXIL_サーモスＬ_業務用資料集_完成品価格表.pdf</t>
        </is>
      </c>
      <c r="R76" s="43" t="n"/>
      <c r="S76" s="42" t="inlineStr">
        <is>
          <t>無印</t>
        </is>
      </c>
      <c r="T76" s="42" t="n">
        <v>10</v>
      </c>
      <c r="U76" s="42" t="inlineStr">
        <is>
          <t>P10|無印</t>
        </is>
      </c>
      <c r="V76" s="42" t="inlineStr">
        <is>
          <t>同一価格表・前頁凡例を継承</t>
        </is>
      </c>
    </row>
    <row r="77">
      <c r="A77" s="43" t="inlineStr">
        <is>
          <t>SZ-SL-000074</t>
        </is>
      </c>
      <c r="B77" s="43" t="inlineStr">
        <is>
          <t>SER-LIX-SAMOSL</t>
        </is>
      </c>
      <c r="C77" s="43" t="inlineStr">
        <is>
          <t>WT-SL-HIKICHIGAI</t>
        </is>
      </c>
      <c r="D77" s="43" t="inlineStr">
        <is>
          <t>単体引違い窓</t>
        </is>
      </c>
      <c r="E77" s="43" t="n"/>
      <c r="F77" s="43" t="inlineStr">
        <is>
          <t>在来・204</t>
        </is>
      </c>
      <c r="G77" s="43" t="inlineStr">
        <is>
          <t>12813</t>
        </is>
      </c>
      <c r="H77" s="43" t="inlineStr">
        <is>
          <t>128</t>
        </is>
      </c>
      <c r="I77" s="43" t="inlineStr">
        <is>
          <t>13</t>
        </is>
      </c>
      <c r="J77" s="222" t="n">
        <v>1320</v>
      </c>
      <c r="K77" s="222" t="n">
        <v>1370</v>
      </c>
      <c r="L77" s="43" t="inlineStr">
        <is>
          <t>在来・204｜マド③</t>
        </is>
      </c>
      <c r="M77" s="178" t="b">
        <v>1</v>
      </c>
      <c r="N77" s="43" t="inlineStr">
        <is>
          <t>カタログ規格確認済み</t>
        </is>
      </c>
      <c r="O77" s="222" t="n">
        <v>13</v>
      </c>
      <c r="P77" s="222" t="n">
        <v>11</v>
      </c>
      <c r="Q77" s="43" t="inlineStr">
        <is>
          <t>202604_LIXIL_サーモスＬ_業務用資料集_完成品価格表.pdf</t>
        </is>
      </c>
      <c r="R77" s="43" t="n"/>
      <c r="S77" s="42" t="inlineStr">
        <is>
          <t>無印</t>
        </is>
      </c>
      <c r="T77" s="42" t="n">
        <v>10</v>
      </c>
      <c r="U77" s="42" t="inlineStr">
        <is>
          <t>P10|無印</t>
        </is>
      </c>
      <c r="V77" s="42" t="inlineStr">
        <is>
          <t>同一価格表・前頁凡例を継承</t>
        </is>
      </c>
    </row>
    <row r="78">
      <c r="A78" s="43" t="inlineStr">
        <is>
          <t>SZ-SL-000075</t>
        </is>
      </c>
      <c r="B78" s="43" t="inlineStr">
        <is>
          <t>SER-LIX-SAMOSL</t>
        </is>
      </c>
      <c r="C78" s="43" t="inlineStr">
        <is>
          <t>WT-SL-HIKICHIGAI</t>
        </is>
      </c>
      <c r="D78" s="43" t="inlineStr">
        <is>
          <t>単体引違い窓</t>
        </is>
      </c>
      <c r="E78" s="43" t="n"/>
      <c r="F78" s="43" t="inlineStr">
        <is>
          <t>在来・204</t>
        </is>
      </c>
      <c r="G78" s="43" t="inlineStr">
        <is>
          <t>13311</t>
        </is>
      </c>
      <c r="H78" s="43" t="inlineStr">
        <is>
          <t>133</t>
        </is>
      </c>
      <c r="I78" s="43" t="inlineStr">
        <is>
          <t>11</t>
        </is>
      </c>
      <c r="J78" s="222" t="n">
        <v>1370</v>
      </c>
      <c r="K78" s="222" t="n">
        <v>1170</v>
      </c>
      <c r="L78" s="43" t="inlineStr">
        <is>
          <t>在来・204｜マド③</t>
        </is>
      </c>
      <c r="M78" s="178" t="b">
        <v>1</v>
      </c>
      <c r="N78" s="43" t="inlineStr">
        <is>
          <t>カタログ規格確認済み</t>
        </is>
      </c>
      <c r="O78" s="222" t="n">
        <v>13</v>
      </c>
      <c r="P78" s="222" t="n">
        <v>11</v>
      </c>
      <c r="Q78" s="43" t="inlineStr">
        <is>
          <t>202604_LIXIL_サーモスＬ_業務用資料集_完成品価格表.pdf</t>
        </is>
      </c>
      <c r="R78" s="43" t="n"/>
      <c r="S78" s="42" t="inlineStr">
        <is>
          <t>無印</t>
        </is>
      </c>
      <c r="T78" s="42" t="n">
        <v>10</v>
      </c>
      <c r="U78" s="42" t="inlineStr">
        <is>
          <t>P10|無印</t>
        </is>
      </c>
      <c r="V78" s="42" t="inlineStr">
        <is>
          <t>同一価格表・前頁凡例を継承</t>
        </is>
      </c>
    </row>
    <row r="79">
      <c r="A79" s="43" t="inlineStr">
        <is>
          <t>SZ-SL-000076</t>
        </is>
      </c>
      <c r="B79" s="43" t="inlineStr">
        <is>
          <t>SER-LIX-SAMOSL</t>
        </is>
      </c>
      <c r="C79" s="43" t="inlineStr">
        <is>
          <t>WT-SL-HIKICHIGAI</t>
        </is>
      </c>
      <c r="D79" s="43" t="inlineStr">
        <is>
          <t>単体引違い窓</t>
        </is>
      </c>
      <c r="E79" s="43" t="n"/>
      <c r="F79" s="43" t="inlineStr">
        <is>
          <t>在来・204</t>
        </is>
      </c>
      <c r="G79" s="43" t="inlineStr">
        <is>
          <t>13313</t>
        </is>
      </c>
      <c r="H79" s="43" t="inlineStr">
        <is>
          <t>133</t>
        </is>
      </c>
      <c r="I79" s="43" t="inlineStr">
        <is>
          <t>13</t>
        </is>
      </c>
      <c r="J79" s="222" t="n">
        <v>1370</v>
      </c>
      <c r="K79" s="222" t="n">
        <v>1370</v>
      </c>
      <c r="L79" s="43" t="inlineStr">
        <is>
          <t>在来・204｜マド③</t>
        </is>
      </c>
      <c r="M79" s="178" t="b">
        <v>1</v>
      </c>
      <c r="N79" s="43" t="inlineStr">
        <is>
          <t>カタログ規格確認済み</t>
        </is>
      </c>
      <c r="O79" s="222" t="n">
        <v>13</v>
      </c>
      <c r="P79" s="222" t="n">
        <v>11</v>
      </c>
      <c r="Q79" s="43" t="inlineStr">
        <is>
          <t>202604_LIXIL_サーモスＬ_業務用資料集_完成品価格表.pdf</t>
        </is>
      </c>
      <c r="R79" s="43" t="n"/>
      <c r="S79" s="42" t="inlineStr">
        <is>
          <t>無印</t>
        </is>
      </c>
      <c r="T79" s="42" t="n">
        <v>10</v>
      </c>
      <c r="U79" s="42" t="inlineStr">
        <is>
          <t>P10|無印</t>
        </is>
      </c>
      <c r="V79" s="42" t="inlineStr">
        <is>
          <t>同一価格表・前頁凡例を継承</t>
        </is>
      </c>
    </row>
    <row r="80">
      <c r="A80" s="43" t="inlineStr">
        <is>
          <t>SZ-SL-000077</t>
        </is>
      </c>
      <c r="B80" s="43" t="inlineStr">
        <is>
          <t>SER-LIX-SAMOSL</t>
        </is>
      </c>
      <c r="C80" s="43" t="inlineStr">
        <is>
          <t>WT-SL-HIKICHIGAI</t>
        </is>
      </c>
      <c r="D80" s="43" t="inlineStr">
        <is>
          <t>単体引違い窓</t>
        </is>
      </c>
      <c r="E80" s="43" t="n"/>
      <c r="F80" s="43" t="inlineStr">
        <is>
          <t>在来・204</t>
        </is>
      </c>
      <c r="G80" s="43" t="inlineStr">
        <is>
          <t>15011</t>
        </is>
      </c>
      <c r="H80" s="43" t="inlineStr">
        <is>
          <t>150</t>
        </is>
      </c>
      <c r="I80" s="43" t="inlineStr">
        <is>
          <t>11</t>
        </is>
      </c>
      <c r="J80" s="222" t="n">
        <v>1540</v>
      </c>
      <c r="K80" s="222" t="n">
        <v>1170</v>
      </c>
      <c r="L80" s="43" t="inlineStr">
        <is>
          <t>在来・204｜マド③</t>
        </is>
      </c>
      <c r="M80" s="178" t="b">
        <v>1</v>
      </c>
      <c r="N80" s="43" t="inlineStr">
        <is>
          <t>カタログ規格確認済み</t>
        </is>
      </c>
      <c r="O80" s="222" t="n">
        <v>13</v>
      </c>
      <c r="P80" s="222" t="n">
        <v>11</v>
      </c>
      <c r="Q80" s="43" t="inlineStr">
        <is>
          <t>202604_LIXIL_サーモスＬ_業務用資料集_完成品価格表.pdf</t>
        </is>
      </c>
      <c r="R80" s="43" t="n"/>
      <c r="S80" s="42" t="inlineStr">
        <is>
          <t>無印</t>
        </is>
      </c>
      <c r="T80" s="42" t="n">
        <v>10</v>
      </c>
      <c r="U80" s="42" t="inlineStr">
        <is>
          <t>P10|無印</t>
        </is>
      </c>
      <c r="V80" s="42" t="inlineStr">
        <is>
          <t>同一価格表・前頁凡例を継承</t>
        </is>
      </c>
    </row>
    <row r="81">
      <c r="A81" s="43" t="inlineStr">
        <is>
          <t>SZ-SL-000078</t>
        </is>
      </c>
      <c r="B81" s="43" t="inlineStr">
        <is>
          <t>SER-LIX-SAMOSL</t>
        </is>
      </c>
      <c r="C81" s="43" t="inlineStr">
        <is>
          <t>WT-SL-HIKICHIGAI</t>
        </is>
      </c>
      <c r="D81" s="43" t="inlineStr">
        <is>
          <t>単体引違い窓</t>
        </is>
      </c>
      <c r="E81" s="43" t="n"/>
      <c r="F81" s="43" t="inlineStr">
        <is>
          <t>在来・204</t>
        </is>
      </c>
      <c r="G81" s="43" t="inlineStr">
        <is>
          <t>15013</t>
        </is>
      </c>
      <c r="H81" s="43" t="inlineStr">
        <is>
          <t>150</t>
        </is>
      </c>
      <c r="I81" s="43" t="inlineStr">
        <is>
          <t>13</t>
        </is>
      </c>
      <c r="J81" s="222" t="n">
        <v>1540</v>
      </c>
      <c r="K81" s="222" t="n">
        <v>1370</v>
      </c>
      <c r="L81" s="43" t="inlineStr">
        <is>
          <t>在来・204｜マド③</t>
        </is>
      </c>
      <c r="M81" s="178" t="b">
        <v>1</v>
      </c>
      <c r="N81" s="43" t="inlineStr">
        <is>
          <t>カタログ規格確認済み</t>
        </is>
      </c>
      <c r="O81" s="222" t="n">
        <v>13</v>
      </c>
      <c r="P81" s="222" t="n">
        <v>11</v>
      </c>
      <c r="Q81" s="43" t="inlineStr">
        <is>
          <t>202604_LIXIL_サーモスＬ_業務用資料集_完成品価格表.pdf</t>
        </is>
      </c>
      <c r="R81" s="43" t="n"/>
      <c r="S81" s="42" t="inlineStr">
        <is>
          <t>無印</t>
        </is>
      </c>
      <c r="T81" s="42" t="n">
        <v>10</v>
      </c>
      <c r="U81" s="42" t="inlineStr">
        <is>
          <t>P10|無印</t>
        </is>
      </c>
      <c r="V81" s="42" t="inlineStr">
        <is>
          <t>同一価格表・前頁凡例を継承</t>
        </is>
      </c>
    </row>
    <row r="82">
      <c r="A82" s="43" t="inlineStr">
        <is>
          <t>SZ-SL-000079</t>
        </is>
      </c>
      <c r="B82" s="43" t="inlineStr">
        <is>
          <t>SER-LIX-SAMOSL</t>
        </is>
      </c>
      <c r="C82" s="43" t="inlineStr">
        <is>
          <t>WT-SL-HIKICHIGAI</t>
        </is>
      </c>
      <c r="D82" s="43" t="inlineStr">
        <is>
          <t>単体引違い窓</t>
        </is>
      </c>
      <c r="E82" s="43" t="n"/>
      <c r="F82" s="43" t="inlineStr">
        <is>
          <t>在来・204</t>
        </is>
      </c>
      <c r="G82" s="43" t="inlineStr">
        <is>
          <t>15015</t>
        </is>
      </c>
      <c r="H82" s="43" t="inlineStr">
        <is>
          <t>150</t>
        </is>
      </c>
      <c r="I82" s="43" t="inlineStr">
        <is>
          <t>15</t>
        </is>
      </c>
      <c r="J82" s="222" t="n">
        <v>1540</v>
      </c>
      <c r="K82" s="222" t="n">
        <v>1570</v>
      </c>
      <c r="L82" s="43" t="inlineStr">
        <is>
          <t>在来・204｜マド③</t>
        </is>
      </c>
      <c r="M82" s="178" t="b">
        <v>1</v>
      </c>
      <c r="N82" s="43" t="inlineStr">
        <is>
          <t>カタログ規格確認済み</t>
        </is>
      </c>
      <c r="O82" s="222" t="n">
        <v>13</v>
      </c>
      <c r="P82" s="222" t="n">
        <v>11</v>
      </c>
      <c r="Q82" s="43" t="inlineStr">
        <is>
          <t>202604_LIXIL_サーモスＬ_業務用資料集_完成品価格表.pdf</t>
        </is>
      </c>
      <c r="R82" s="43" t="n"/>
      <c r="S82" s="42" t="inlineStr">
        <is>
          <t>○</t>
        </is>
      </c>
      <c r="T82" s="42" t="n">
        <v>10</v>
      </c>
      <c r="U82" s="42" t="inlineStr">
        <is>
          <t>P10|○</t>
        </is>
      </c>
      <c r="V82" s="42" t="inlineStr">
        <is>
          <t>同一価格表・前頁凡例を継承</t>
        </is>
      </c>
    </row>
    <row r="83">
      <c r="A83" s="43" t="inlineStr">
        <is>
          <t>SZ-SL-000080</t>
        </is>
      </c>
      <c r="B83" s="43" t="inlineStr">
        <is>
          <t>SER-LIX-SAMOSL</t>
        </is>
      </c>
      <c r="C83" s="43" t="inlineStr">
        <is>
          <t>WT-SL-HIKICHIGAI</t>
        </is>
      </c>
      <c r="D83" s="43" t="inlineStr">
        <is>
          <t>単体引違い窓</t>
        </is>
      </c>
      <c r="E83" s="43" t="n"/>
      <c r="F83" s="43" t="inlineStr">
        <is>
          <t>在来・204</t>
        </is>
      </c>
      <c r="G83" s="43" t="inlineStr">
        <is>
          <t>16011</t>
        </is>
      </c>
      <c r="H83" s="43" t="inlineStr">
        <is>
          <t>160</t>
        </is>
      </c>
      <c r="I83" s="43" t="inlineStr">
        <is>
          <t>11</t>
        </is>
      </c>
      <c r="J83" s="222" t="n">
        <v>1640</v>
      </c>
      <c r="K83" s="222" t="n">
        <v>1170</v>
      </c>
      <c r="L83" s="43" t="inlineStr">
        <is>
          <t>在来・204｜マド④</t>
        </is>
      </c>
      <c r="M83" s="178" t="b">
        <v>1</v>
      </c>
      <c r="N83" s="43" t="inlineStr">
        <is>
          <t>カタログ規格確認済み</t>
        </is>
      </c>
      <c r="O83" s="222" t="n">
        <v>14</v>
      </c>
      <c r="P83" s="222" t="n">
        <v>12</v>
      </c>
      <c r="Q83" s="43" t="inlineStr">
        <is>
          <t>202604_LIXIL_サーモスＬ_業務用資料集_完成品価格表.pdf</t>
        </is>
      </c>
      <c r="R83" s="43" t="n"/>
      <c r="S83" s="42" t="inlineStr">
        <is>
          <t>無印</t>
        </is>
      </c>
      <c r="T83" s="42" t="n">
        <v>12</v>
      </c>
      <c r="U83" s="42" t="inlineStr">
        <is>
          <t>P12|無印</t>
        </is>
      </c>
      <c r="V83" s="42" t="inlineStr">
        <is>
          <t>同頁凡例へ直接連動</t>
        </is>
      </c>
    </row>
    <row r="84">
      <c r="A84" s="43" t="inlineStr">
        <is>
          <t>SZ-SL-000081</t>
        </is>
      </c>
      <c r="B84" s="43" t="inlineStr">
        <is>
          <t>SER-LIX-SAMOSL</t>
        </is>
      </c>
      <c r="C84" s="43" t="inlineStr">
        <is>
          <t>WT-SL-HIKICHIGAI</t>
        </is>
      </c>
      <c r="D84" s="43" t="inlineStr">
        <is>
          <t>単体引違い窓</t>
        </is>
      </c>
      <c r="E84" s="43" t="n"/>
      <c r="F84" s="43" t="inlineStr">
        <is>
          <t>在来・204</t>
        </is>
      </c>
      <c r="G84" s="43" t="inlineStr">
        <is>
          <t>16013</t>
        </is>
      </c>
      <c r="H84" s="43" t="inlineStr">
        <is>
          <t>160</t>
        </is>
      </c>
      <c r="I84" s="43" t="inlineStr">
        <is>
          <t>13</t>
        </is>
      </c>
      <c r="J84" s="222" t="n">
        <v>1640</v>
      </c>
      <c r="K84" s="222" t="n">
        <v>1370</v>
      </c>
      <c r="L84" s="43" t="inlineStr">
        <is>
          <t>在来・204｜マド④</t>
        </is>
      </c>
      <c r="M84" s="178" t="b">
        <v>1</v>
      </c>
      <c r="N84" s="43" t="inlineStr">
        <is>
          <t>カタログ規格確認済み</t>
        </is>
      </c>
      <c r="O84" s="222" t="n">
        <v>14</v>
      </c>
      <c r="P84" s="222" t="n">
        <v>12</v>
      </c>
      <c r="Q84" s="43" t="inlineStr">
        <is>
          <t>202604_LIXIL_サーモスＬ_業務用資料集_完成品価格表.pdf</t>
        </is>
      </c>
      <c r="R84" s="43" t="n"/>
      <c r="S84" s="42" t="inlineStr">
        <is>
          <t>★</t>
        </is>
      </c>
      <c r="T84" s="42" t="n">
        <v>12</v>
      </c>
      <c r="U84" s="42" t="inlineStr">
        <is>
          <t>P12|★</t>
        </is>
      </c>
      <c r="V84" s="42" t="inlineStr">
        <is>
          <t>同頁凡例へ直接連動</t>
        </is>
      </c>
    </row>
    <row r="85">
      <c r="A85" s="43" t="inlineStr">
        <is>
          <t>SZ-SL-000082</t>
        </is>
      </c>
      <c r="B85" s="43" t="inlineStr">
        <is>
          <t>SER-LIX-SAMOSL</t>
        </is>
      </c>
      <c r="C85" s="43" t="inlineStr">
        <is>
          <t>WT-SL-HIKICHIGAI</t>
        </is>
      </c>
      <c r="D85" s="43" t="inlineStr">
        <is>
          <t>単体引違い窓</t>
        </is>
      </c>
      <c r="E85" s="43" t="n"/>
      <c r="F85" s="43" t="inlineStr">
        <is>
          <t>在来・204</t>
        </is>
      </c>
      <c r="G85" s="43" t="inlineStr">
        <is>
          <t>16015</t>
        </is>
      </c>
      <c r="H85" s="43" t="inlineStr">
        <is>
          <t>160</t>
        </is>
      </c>
      <c r="I85" s="43" t="inlineStr">
        <is>
          <t>15</t>
        </is>
      </c>
      <c r="J85" s="222" t="n">
        <v>1640</v>
      </c>
      <c r="K85" s="222" t="n">
        <v>1570</v>
      </c>
      <c r="L85" s="43" t="inlineStr">
        <is>
          <t>在来・204｜マド④</t>
        </is>
      </c>
      <c r="M85" s="178" t="b">
        <v>1</v>
      </c>
      <c r="N85" s="43" t="inlineStr">
        <is>
          <t>カタログ規格確認済み</t>
        </is>
      </c>
      <c r="O85" s="222" t="n">
        <v>14</v>
      </c>
      <c r="P85" s="222" t="n">
        <v>12</v>
      </c>
      <c r="Q85" s="43" t="inlineStr">
        <is>
          <t>202604_LIXIL_サーモスＬ_業務用資料集_完成品価格表.pdf</t>
        </is>
      </c>
      <c r="R85" s="43" t="n"/>
      <c r="S85" s="42" t="inlineStr">
        <is>
          <t>○</t>
        </is>
      </c>
      <c r="T85" s="42" t="n">
        <v>12</v>
      </c>
      <c r="U85" s="42" t="inlineStr">
        <is>
          <t>P12|○</t>
        </is>
      </c>
      <c r="V85" s="42" t="inlineStr">
        <is>
          <t>同頁凡例へ直接連動</t>
        </is>
      </c>
    </row>
    <row r="86">
      <c r="A86" s="43" t="inlineStr">
        <is>
          <t>SZ-SL-000083</t>
        </is>
      </c>
      <c r="B86" s="43" t="inlineStr">
        <is>
          <t>SER-LIX-SAMOSL</t>
        </is>
      </c>
      <c r="C86" s="43" t="inlineStr">
        <is>
          <t>WT-SL-HIKICHIGAI</t>
        </is>
      </c>
      <c r="D86" s="43" t="inlineStr">
        <is>
          <t>単体引違い窓</t>
        </is>
      </c>
      <c r="E86" s="43" t="n"/>
      <c r="F86" s="43" t="inlineStr">
        <is>
          <t>在来・204</t>
        </is>
      </c>
      <c r="G86" s="43" t="inlineStr">
        <is>
          <t>16511</t>
        </is>
      </c>
      <c r="H86" s="43" t="inlineStr">
        <is>
          <t>165</t>
        </is>
      </c>
      <c r="I86" s="43" t="inlineStr">
        <is>
          <t>11</t>
        </is>
      </c>
      <c r="J86" s="222" t="n">
        <v>1690</v>
      </c>
      <c r="K86" s="222" t="n">
        <v>1170</v>
      </c>
      <c r="L86" s="43" t="inlineStr">
        <is>
          <t>在来・204｜マド④</t>
        </is>
      </c>
      <c r="M86" s="178" t="b">
        <v>1</v>
      </c>
      <c r="N86" s="43" t="inlineStr">
        <is>
          <t>カタログ規格確認済み</t>
        </is>
      </c>
      <c r="O86" s="222" t="n">
        <v>14</v>
      </c>
      <c r="P86" s="222" t="n">
        <v>12</v>
      </c>
      <c r="Q86" s="43" t="inlineStr">
        <is>
          <t>202604_LIXIL_サーモスＬ_業務用資料集_完成品価格表.pdf</t>
        </is>
      </c>
      <c r="R86" s="43" t="n"/>
      <c r="S86" s="42" t="inlineStr">
        <is>
          <t>無印</t>
        </is>
      </c>
      <c r="T86" s="42" t="n">
        <v>12</v>
      </c>
      <c r="U86" s="42" t="inlineStr">
        <is>
          <t>P12|無印</t>
        </is>
      </c>
      <c r="V86" s="42" t="inlineStr">
        <is>
          <t>同頁凡例へ直接連動</t>
        </is>
      </c>
    </row>
    <row r="87">
      <c r="A87" s="43" t="inlineStr">
        <is>
          <t>SZ-SL-000084</t>
        </is>
      </c>
      <c r="B87" s="43" t="inlineStr">
        <is>
          <t>SER-LIX-SAMOSL</t>
        </is>
      </c>
      <c r="C87" s="43" t="inlineStr">
        <is>
          <t>WT-SL-HIKICHIGAI</t>
        </is>
      </c>
      <c r="D87" s="43" t="inlineStr">
        <is>
          <t>単体引違い窓</t>
        </is>
      </c>
      <c r="E87" s="43" t="n"/>
      <c r="F87" s="43" t="inlineStr">
        <is>
          <t>在来・204</t>
        </is>
      </c>
      <c r="G87" s="43" t="inlineStr">
        <is>
          <t>16513</t>
        </is>
      </c>
      <c r="H87" s="43" t="inlineStr">
        <is>
          <t>165</t>
        </is>
      </c>
      <c r="I87" s="43" t="inlineStr">
        <is>
          <t>13</t>
        </is>
      </c>
      <c r="J87" s="222" t="n">
        <v>1690</v>
      </c>
      <c r="K87" s="222" t="n">
        <v>1370</v>
      </c>
      <c r="L87" s="43" t="inlineStr">
        <is>
          <t>在来・204｜マド④</t>
        </is>
      </c>
      <c r="M87" s="178" t="b">
        <v>1</v>
      </c>
      <c r="N87" s="43" t="inlineStr">
        <is>
          <t>カタログ規格確認済み</t>
        </is>
      </c>
      <c r="O87" s="222" t="n">
        <v>14</v>
      </c>
      <c r="P87" s="222" t="n">
        <v>12</v>
      </c>
      <c r="Q87" s="43" t="inlineStr">
        <is>
          <t>202604_LIXIL_サーモスＬ_業務用資料集_完成品価格表.pdf</t>
        </is>
      </c>
      <c r="R87" s="43" t="n"/>
      <c r="S87" s="42" t="inlineStr">
        <is>
          <t>★</t>
        </is>
      </c>
      <c r="T87" s="42" t="n">
        <v>12</v>
      </c>
      <c r="U87" s="42" t="inlineStr">
        <is>
          <t>P12|★</t>
        </is>
      </c>
      <c r="V87" s="42" t="inlineStr">
        <is>
          <t>同頁凡例へ直接連動</t>
        </is>
      </c>
    </row>
    <row r="88">
      <c r="A88" s="43" t="inlineStr">
        <is>
          <t>SZ-SL-000085</t>
        </is>
      </c>
      <c r="B88" s="43" t="inlineStr">
        <is>
          <t>SER-LIX-SAMOSL</t>
        </is>
      </c>
      <c r="C88" s="43" t="inlineStr">
        <is>
          <t>WT-SL-HIKICHIGAI</t>
        </is>
      </c>
      <c r="D88" s="43" t="inlineStr">
        <is>
          <t>単体引違い窓</t>
        </is>
      </c>
      <c r="E88" s="43" t="n"/>
      <c r="F88" s="43" t="inlineStr">
        <is>
          <t>在来・204</t>
        </is>
      </c>
      <c r="G88" s="43" t="inlineStr">
        <is>
          <t>16515</t>
        </is>
      </c>
      <c r="H88" s="43" t="inlineStr">
        <is>
          <t>165</t>
        </is>
      </c>
      <c r="I88" s="43" t="inlineStr">
        <is>
          <t>15</t>
        </is>
      </c>
      <c r="J88" s="222" t="n">
        <v>1690</v>
      </c>
      <c r="K88" s="222" t="n">
        <v>1570</v>
      </c>
      <c r="L88" s="43" t="inlineStr">
        <is>
          <t>在来・204｜マド④</t>
        </is>
      </c>
      <c r="M88" s="178" t="b">
        <v>1</v>
      </c>
      <c r="N88" s="43" t="inlineStr">
        <is>
          <t>カタログ規格確認済み</t>
        </is>
      </c>
      <c r="O88" s="222" t="n">
        <v>14</v>
      </c>
      <c r="P88" s="222" t="n">
        <v>12</v>
      </c>
      <c r="Q88" s="43" t="inlineStr">
        <is>
          <t>202604_LIXIL_サーモスＬ_業務用資料集_完成品価格表.pdf</t>
        </is>
      </c>
      <c r="R88" s="43" t="n"/>
      <c r="S88" s="42" t="inlineStr">
        <is>
          <t>○</t>
        </is>
      </c>
      <c r="T88" s="42" t="n">
        <v>12</v>
      </c>
      <c r="U88" s="42" t="inlineStr">
        <is>
          <t>P12|○</t>
        </is>
      </c>
      <c r="V88" s="42" t="inlineStr">
        <is>
          <t>同頁凡例へ直接連動</t>
        </is>
      </c>
    </row>
    <row r="89">
      <c r="A89" s="43" t="inlineStr">
        <is>
          <t>SZ-SL-000086</t>
        </is>
      </c>
      <c r="B89" s="43" t="inlineStr">
        <is>
          <t>SER-LIX-SAMOSL</t>
        </is>
      </c>
      <c r="C89" s="43" t="inlineStr">
        <is>
          <t>WT-SL-HIKICHIGAI</t>
        </is>
      </c>
      <c r="D89" s="43" t="inlineStr">
        <is>
          <t>単体引違い窓</t>
        </is>
      </c>
      <c r="E89" s="43" t="n"/>
      <c r="F89" s="43" t="inlineStr">
        <is>
          <t>在来・204</t>
        </is>
      </c>
      <c r="G89" s="43" t="inlineStr">
        <is>
          <t>17411</t>
        </is>
      </c>
      <c r="H89" s="43" t="inlineStr">
        <is>
          <t>174</t>
        </is>
      </c>
      <c r="I89" s="43" t="inlineStr">
        <is>
          <t>11</t>
        </is>
      </c>
      <c r="J89" s="222" t="n">
        <v>1780</v>
      </c>
      <c r="K89" s="222" t="n">
        <v>1170</v>
      </c>
      <c r="L89" s="43" t="inlineStr">
        <is>
          <t>在来・204｜マド④</t>
        </is>
      </c>
      <c r="M89" s="178" t="b">
        <v>1</v>
      </c>
      <c r="N89" s="43" t="inlineStr">
        <is>
          <t>カタログ規格確認済み</t>
        </is>
      </c>
      <c r="O89" s="222" t="n">
        <v>14</v>
      </c>
      <c r="P89" s="222" t="n">
        <v>12</v>
      </c>
      <c r="Q89" s="43" t="inlineStr">
        <is>
          <t>202604_LIXIL_サーモスＬ_業務用資料集_完成品価格表.pdf</t>
        </is>
      </c>
      <c r="R89" s="43" t="n"/>
      <c r="S89" s="42" t="inlineStr">
        <is>
          <t>無印</t>
        </is>
      </c>
      <c r="T89" s="42" t="n">
        <v>12</v>
      </c>
      <c r="U89" s="42" t="inlineStr">
        <is>
          <t>P12|無印</t>
        </is>
      </c>
      <c r="V89" s="42" t="inlineStr">
        <is>
          <t>同頁凡例へ直接連動</t>
        </is>
      </c>
    </row>
    <row r="90">
      <c r="A90" s="43" t="inlineStr">
        <is>
          <t>SZ-SL-000087</t>
        </is>
      </c>
      <c r="B90" s="43" t="inlineStr">
        <is>
          <t>SER-LIX-SAMOSL</t>
        </is>
      </c>
      <c r="C90" s="43" t="inlineStr">
        <is>
          <t>WT-SL-HIKICHIGAI</t>
        </is>
      </c>
      <c r="D90" s="43" t="inlineStr">
        <is>
          <t>単体引違い窓</t>
        </is>
      </c>
      <c r="E90" s="43" t="n"/>
      <c r="F90" s="43" t="inlineStr">
        <is>
          <t>在来・204</t>
        </is>
      </c>
      <c r="G90" s="43" t="inlineStr">
        <is>
          <t>17413</t>
        </is>
      </c>
      <c r="H90" s="43" t="inlineStr">
        <is>
          <t>174</t>
        </is>
      </c>
      <c r="I90" s="43" t="inlineStr">
        <is>
          <t>13</t>
        </is>
      </c>
      <c r="J90" s="222" t="n">
        <v>1780</v>
      </c>
      <c r="K90" s="222" t="n">
        <v>1370</v>
      </c>
      <c r="L90" s="43" t="inlineStr">
        <is>
          <t>在来・204｜マド④</t>
        </is>
      </c>
      <c r="M90" s="178" t="b">
        <v>1</v>
      </c>
      <c r="N90" s="43" t="inlineStr">
        <is>
          <t>カタログ規格確認済み</t>
        </is>
      </c>
      <c r="O90" s="222" t="n">
        <v>14</v>
      </c>
      <c r="P90" s="222" t="n">
        <v>12</v>
      </c>
      <c r="Q90" s="43" t="inlineStr">
        <is>
          <t>202604_LIXIL_サーモスＬ_業務用資料集_完成品価格表.pdf</t>
        </is>
      </c>
      <c r="R90" s="43" t="n"/>
      <c r="S90" s="42" t="inlineStr">
        <is>
          <t>★</t>
        </is>
      </c>
      <c r="T90" s="42" t="n">
        <v>12</v>
      </c>
      <c r="U90" s="42" t="inlineStr">
        <is>
          <t>P12|★</t>
        </is>
      </c>
      <c r="V90" s="42" t="inlineStr">
        <is>
          <t>同頁凡例へ直接連動</t>
        </is>
      </c>
    </row>
    <row r="91">
      <c r="A91" s="43" t="inlineStr">
        <is>
          <t>SZ-SL-000088</t>
        </is>
      </c>
      <c r="B91" s="43" t="inlineStr">
        <is>
          <t>SER-LIX-SAMOSL</t>
        </is>
      </c>
      <c r="C91" s="43" t="inlineStr">
        <is>
          <t>WT-SL-HIKICHIGAI</t>
        </is>
      </c>
      <c r="D91" s="43" t="inlineStr">
        <is>
          <t>単体引違い窓</t>
        </is>
      </c>
      <c r="E91" s="43" t="n"/>
      <c r="F91" s="43" t="inlineStr">
        <is>
          <t>在来・204</t>
        </is>
      </c>
      <c r="G91" s="43" t="inlineStr">
        <is>
          <t>17611</t>
        </is>
      </c>
      <c r="H91" s="43" t="inlineStr">
        <is>
          <t>176</t>
        </is>
      </c>
      <c r="I91" s="43" t="inlineStr">
        <is>
          <t>11</t>
        </is>
      </c>
      <c r="J91" s="222" t="n">
        <v>1800</v>
      </c>
      <c r="K91" s="222" t="n">
        <v>1170</v>
      </c>
      <c r="L91" s="43" t="inlineStr">
        <is>
          <t>在来・204｜マド④</t>
        </is>
      </c>
      <c r="M91" s="178" t="b">
        <v>1</v>
      </c>
      <c r="N91" s="43" t="inlineStr">
        <is>
          <t>カタログ規格確認済み</t>
        </is>
      </c>
      <c r="O91" s="222" t="n">
        <v>14</v>
      </c>
      <c r="P91" s="222" t="n">
        <v>12</v>
      </c>
      <c r="Q91" s="43" t="inlineStr">
        <is>
          <t>202604_LIXIL_サーモスＬ_業務用資料集_完成品価格表.pdf</t>
        </is>
      </c>
      <c r="R91" s="43" t="n"/>
      <c r="S91" s="42" t="inlineStr">
        <is>
          <t>無印</t>
        </is>
      </c>
      <c r="T91" s="42" t="n">
        <v>12</v>
      </c>
      <c r="U91" s="42" t="inlineStr">
        <is>
          <t>P12|無印</t>
        </is>
      </c>
      <c r="V91" s="42" t="inlineStr">
        <is>
          <t>同頁凡例へ直接連動</t>
        </is>
      </c>
    </row>
    <row r="92">
      <c r="A92" s="43" t="inlineStr">
        <is>
          <t>SZ-SL-000089</t>
        </is>
      </c>
      <c r="B92" s="43" t="inlineStr">
        <is>
          <t>SER-LIX-SAMOSL</t>
        </is>
      </c>
      <c r="C92" s="43" t="inlineStr">
        <is>
          <t>WT-SL-HIKICHIGAI</t>
        </is>
      </c>
      <c r="D92" s="43" t="inlineStr">
        <is>
          <t>単体引違い窓</t>
        </is>
      </c>
      <c r="E92" s="43" t="n"/>
      <c r="F92" s="43" t="inlineStr">
        <is>
          <t>在来・204</t>
        </is>
      </c>
      <c r="G92" s="43" t="inlineStr">
        <is>
          <t>17613</t>
        </is>
      </c>
      <c r="H92" s="43" t="inlineStr">
        <is>
          <t>176</t>
        </is>
      </c>
      <c r="I92" s="43" t="inlineStr">
        <is>
          <t>13</t>
        </is>
      </c>
      <c r="J92" s="222" t="n">
        <v>1800</v>
      </c>
      <c r="K92" s="222" t="n">
        <v>1370</v>
      </c>
      <c r="L92" s="43" t="inlineStr">
        <is>
          <t>在来・204｜マド④</t>
        </is>
      </c>
      <c r="M92" s="178" t="b">
        <v>1</v>
      </c>
      <c r="N92" s="43" t="inlineStr">
        <is>
          <t>カタログ規格確認済み</t>
        </is>
      </c>
      <c r="O92" s="222" t="n">
        <v>14</v>
      </c>
      <c r="P92" s="222" t="n">
        <v>12</v>
      </c>
      <c r="Q92" s="43" t="inlineStr">
        <is>
          <t>202604_LIXIL_サーモスＬ_業務用資料集_完成品価格表.pdf</t>
        </is>
      </c>
      <c r="R92" s="43" t="n"/>
      <c r="S92" s="42" t="inlineStr">
        <is>
          <t>★</t>
        </is>
      </c>
      <c r="T92" s="42" t="n">
        <v>12</v>
      </c>
      <c r="U92" s="42" t="inlineStr">
        <is>
          <t>P12|★</t>
        </is>
      </c>
      <c r="V92" s="42" t="inlineStr">
        <is>
          <t>同頁凡例へ直接連動</t>
        </is>
      </c>
    </row>
    <row r="93">
      <c r="A93" s="43" t="inlineStr">
        <is>
          <t>SZ-SL-000090</t>
        </is>
      </c>
      <c r="B93" s="43" t="inlineStr">
        <is>
          <t>SER-LIX-SAMOSL</t>
        </is>
      </c>
      <c r="C93" s="43" t="inlineStr">
        <is>
          <t>WT-SL-HIKICHIGAI</t>
        </is>
      </c>
      <c r="D93" s="43" t="inlineStr">
        <is>
          <t>単体引違い窓</t>
        </is>
      </c>
      <c r="E93" s="43" t="n"/>
      <c r="F93" s="43" t="inlineStr">
        <is>
          <t>在来・204</t>
        </is>
      </c>
      <c r="G93" s="43" t="inlineStr">
        <is>
          <t>17811</t>
        </is>
      </c>
      <c r="H93" s="43" t="inlineStr">
        <is>
          <t>178</t>
        </is>
      </c>
      <c r="I93" s="43" t="inlineStr">
        <is>
          <t>11</t>
        </is>
      </c>
      <c r="J93" s="222" t="n">
        <v>1820</v>
      </c>
      <c r="K93" s="222" t="n">
        <v>1170</v>
      </c>
      <c r="L93" s="43" t="inlineStr">
        <is>
          <t>在来・204｜マド④</t>
        </is>
      </c>
      <c r="M93" s="178" t="b">
        <v>1</v>
      </c>
      <c r="N93" s="43" t="inlineStr">
        <is>
          <t>カタログ規格確認済み</t>
        </is>
      </c>
      <c r="O93" s="222" t="n">
        <v>14</v>
      </c>
      <c r="P93" s="222" t="n">
        <v>12</v>
      </c>
      <c r="Q93" s="43" t="inlineStr">
        <is>
          <t>202604_LIXIL_サーモスＬ_業務用資料集_完成品価格表.pdf</t>
        </is>
      </c>
      <c r="R93" s="43" t="n"/>
      <c r="S93" s="42" t="inlineStr">
        <is>
          <t>無印</t>
        </is>
      </c>
      <c r="T93" s="42" t="n">
        <v>12</v>
      </c>
      <c r="U93" s="42" t="inlineStr">
        <is>
          <t>P12|無印</t>
        </is>
      </c>
      <c r="V93" s="42" t="inlineStr">
        <is>
          <t>同頁凡例へ直接連動</t>
        </is>
      </c>
    </row>
    <row r="94">
      <c r="A94" s="43" t="inlineStr">
        <is>
          <t>SZ-SL-000091</t>
        </is>
      </c>
      <c r="B94" s="43" t="inlineStr">
        <is>
          <t>SER-LIX-SAMOSL</t>
        </is>
      </c>
      <c r="C94" s="43" t="inlineStr">
        <is>
          <t>WT-SL-HIKICHIGAI</t>
        </is>
      </c>
      <c r="D94" s="43" t="inlineStr">
        <is>
          <t>単体引違い窓</t>
        </is>
      </c>
      <c r="E94" s="43" t="n"/>
      <c r="F94" s="43" t="inlineStr">
        <is>
          <t>在来・204</t>
        </is>
      </c>
      <c r="G94" s="43" t="inlineStr">
        <is>
          <t>17813</t>
        </is>
      </c>
      <c r="H94" s="43" t="inlineStr">
        <is>
          <t>178</t>
        </is>
      </c>
      <c r="I94" s="43" t="inlineStr">
        <is>
          <t>13</t>
        </is>
      </c>
      <c r="J94" s="222" t="n">
        <v>1820</v>
      </c>
      <c r="K94" s="222" t="n">
        <v>1370</v>
      </c>
      <c r="L94" s="43" t="inlineStr">
        <is>
          <t>在来・204｜マド④</t>
        </is>
      </c>
      <c r="M94" s="178" t="b">
        <v>1</v>
      </c>
      <c r="N94" s="43" t="inlineStr">
        <is>
          <t>カタログ規格確認済み</t>
        </is>
      </c>
      <c r="O94" s="222" t="n">
        <v>14</v>
      </c>
      <c r="P94" s="222" t="n">
        <v>12</v>
      </c>
      <c r="Q94" s="43" t="inlineStr">
        <is>
          <t>202604_LIXIL_サーモスＬ_業務用資料集_完成品価格表.pdf</t>
        </is>
      </c>
      <c r="R94" s="43" t="n"/>
      <c r="S94" s="42" t="inlineStr">
        <is>
          <t>★</t>
        </is>
      </c>
      <c r="T94" s="42" t="n">
        <v>12</v>
      </c>
      <c r="U94" s="42" t="inlineStr">
        <is>
          <t>P12|★</t>
        </is>
      </c>
      <c r="V94" s="42" t="inlineStr">
        <is>
          <t>同頁凡例へ直接連動</t>
        </is>
      </c>
    </row>
    <row r="95">
      <c r="A95" s="43" t="inlineStr">
        <is>
          <t>SZ-SL-000092</t>
        </is>
      </c>
      <c r="B95" s="43" t="inlineStr">
        <is>
          <t>SER-LIX-SAMOSL</t>
        </is>
      </c>
      <c r="C95" s="43" t="inlineStr">
        <is>
          <t>WT-SL-HIKICHIGAI</t>
        </is>
      </c>
      <c r="D95" s="43" t="inlineStr">
        <is>
          <t>単体引違い窓</t>
        </is>
      </c>
      <c r="E95" s="43" t="n"/>
      <c r="F95" s="43" t="inlineStr">
        <is>
          <t>在来・204</t>
        </is>
      </c>
      <c r="G95" s="43" t="inlineStr">
        <is>
          <t>18011</t>
        </is>
      </c>
      <c r="H95" s="43" t="inlineStr">
        <is>
          <t>180</t>
        </is>
      </c>
      <c r="I95" s="43" t="inlineStr">
        <is>
          <t>11</t>
        </is>
      </c>
      <c r="J95" s="222" t="n">
        <v>1845</v>
      </c>
      <c r="K95" s="222" t="n">
        <v>1170</v>
      </c>
      <c r="L95" s="43" t="inlineStr">
        <is>
          <t>在来・204｜マド④</t>
        </is>
      </c>
      <c r="M95" s="178" t="b">
        <v>1</v>
      </c>
      <c r="N95" s="43" t="inlineStr">
        <is>
          <t>カタログ規格確認済み</t>
        </is>
      </c>
      <c r="O95" s="222" t="n">
        <v>15</v>
      </c>
      <c r="P95" s="222" t="n">
        <v>13</v>
      </c>
      <c r="Q95" s="43" t="inlineStr">
        <is>
          <t>202604_LIXIL_サーモスＬ_業務用資料集_完成品価格表.pdf</t>
        </is>
      </c>
      <c r="R95" s="43" t="n"/>
      <c r="S95" s="42" t="inlineStr">
        <is>
          <t>無印</t>
        </is>
      </c>
      <c r="T95" s="42" t="n">
        <v>12</v>
      </c>
      <c r="U95" s="42" t="inlineStr">
        <is>
          <t>P12|無印</t>
        </is>
      </c>
      <c r="V95" s="42" t="inlineStr">
        <is>
          <t>同一価格表・前頁凡例を継承</t>
        </is>
      </c>
    </row>
    <row r="96">
      <c r="A96" s="43" t="inlineStr">
        <is>
          <t>SZ-SL-000093</t>
        </is>
      </c>
      <c r="B96" s="43" t="inlineStr">
        <is>
          <t>SER-LIX-SAMOSL</t>
        </is>
      </c>
      <c r="C96" s="43" t="inlineStr">
        <is>
          <t>WT-SL-HIKICHIGAI</t>
        </is>
      </c>
      <c r="D96" s="43" t="inlineStr">
        <is>
          <t>単体引違い窓</t>
        </is>
      </c>
      <c r="E96" s="43" t="n"/>
      <c r="F96" s="43" t="inlineStr">
        <is>
          <t>在来・204</t>
        </is>
      </c>
      <c r="G96" s="43" t="inlineStr">
        <is>
          <t>18013</t>
        </is>
      </c>
      <c r="H96" s="43" t="inlineStr">
        <is>
          <t>180</t>
        </is>
      </c>
      <c r="I96" s="43" t="inlineStr">
        <is>
          <t>13</t>
        </is>
      </c>
      <c r="J96" s="222" t="n">
        <v>1845</v>
      </c>
      <c r="K96" s="222" t="n">
        <v>1370</v>
      </c>
      <c r="L96" s="43" t="inlineStr">
        <is>
          <t>在来・204｜マド④</t>
        </is>
      </c>
      <c r="M96" s="178" t="b">
        <v>1</v>
      </c>
      <c r="N96" s="43" t="inlineStr">
        <is>
          <t>カタログ規格確認済み</t>
        </is>
      </c>
      <c r="O96" s="222" t="n">
        <v>15</v>
      </c>
      <c r="P96" s="222" t="n">
        <v>13</v>
      </c>
      <c r="Q96" s="43" t="inlineStr">
        <is>
          <t>202604_LIXIL_サーモスＬ_業務用資料集_完成品価格表.pdf</t>
        </is>
      </c>
      <c r="R96" s="43" t="n"/>
      <c r="S96" s="42" t="inlineStr">
        <is>
          <t>★</t>
        </is>
      </c>
      <c r="T96" s="42" t="n">
        <v>12</v>
      </c>
      <c r="U96" s="42" t="inlineStr">
        <is>
          <t>P12|★</t>
        </is>
      </c>
      <c r="V96" s="42" t="inlineStr">
        <is>
          <t>同一価格表・前頁凡例を継承</t>
        </is>
      </c>
    </row>
    <row r="97">
      <c r="A97" s="43" t="inlineStr">
        <is>
          <t>SZ-SL-000094</t>
        </is>
      </c>
      <c r="B97" s="43" t="inlineStr">
        <is>
          <t>SER-LIX-SAMOSL</t>
        </is>
      </c>
      <c r="C97" s="43" t="inlineStr">
        <is>
          <t>WT-SL-HIKICHIGAI</t>
        </is>
      </c>
      <c r="D97" s="43" t="inlineStr">
        <is>
          <t>単体引違い窓</t>
        </is>
      </c>
      <c r="E97" s="43" t="n"/>
      <c r="F97" s="43" t="inlineStr">
        <is>
          <t>在来・204</t>
        </is>
      </c>
      <c r="G97" s="43" t="inlineStr">
        <is>
          <t>18311</t>
        </is>
      </c>
      <c r="H97" s="43" t="inlineStr">
        <is>
          <t>183</t>
        </is>
      </c>
      <c r="I97" s="43" t="inlineStr">
        <is>
          <t>11</t>
        </is>
      </c>
      <c r="J97" s="222" t="n">
        <v>1870</v>
      </c>
      <c r="K97" s="222" t="n">
        <v>1170</v>
      </c>
      <c r="L97" s="43" t="inlineStr">
        <is>
          <t>在来・204｜マド④</t>
        </is>
      </c>
      <c r="M97" s="178" t="b">
        <v>1</v>
      </c>
      <c r="N97" s="43" t="inlineStr">
        <is>
          <t>カタログ規格確認済み</t>
        </is>
      </c>
      <c r="O97" s="222" t="n">
        <v>15</v>
      </c>
      <c r="P97" s="222" t="n">
        <v>13</v>
      </c>
      <c r="Q97" s="43" t="inlineStr">
        <is>
          <t>202604_LIXIL_サーモスＬ_業務用資料集_完成品価格表.pdf</t>
        </is>
      </c>
      <c r="R97" s="43" t="n"/>
      <c r="S97" s="42" t="inlineStr">
        <is>
          <t>無印</t>
        </is>
      </c>
      <c r="T97" s="42" t="n">
        <v>12</v>
      </c>
      <c r="U97" s="42" t="inlineStr">
        <is>
          <t>P12|無印</t>
        </is>
      </c>
      <c r="V97" s="42" t="inlineStr">
        <is>
          <t>同一価格表・前頁凡例を継承</t>
        </is>
      </c>
    </row>
    <row r="98">
      <c r="A98" s="43" t="inlineStr">
        <is>
          <t>SZ-SL-000095</t>
        </is>
      </c>
      <c r="B98" s="43" t="inlineStr">
        <is>
          <t>SER-LIX-SAMOSL</t>
        </is>
      </c>
      <c r="C98" s="43" t="inlineStr">
        <is>
          <t>WT-SL-HIKICHIGAI</t>
        </is>
      </c>
      <c r="D98" s="43" t="inlineStr">
        <is>
          <t>単体引違い窓</t>
        </is>
      </c>
      <c r="E98" s="43" t="n"/>
      <c r="F98" s="43" t="inlineStr">
        <is>
          <t>在来・204</t>
        </is>
      </c>
      <c r="G98" s="43" t="inlineStr">
        <is>
          <t>18313</t>
        </is>
      </c>
      <c r="H98" s="43" t="inlineStr">
        <is>
          <t>183</t>
        </is>
      </c>
      <c r="I98" s="43" t="inlineStr">
        <is>
          <t>13</t>
        </is>
      </c>
      <c r="J98" s="222" t="n">
        <v>1870</v>
      </c>
      <c r="K98" s="222" t="n">
        <v>1370</v>
      </c>
      <c r="L98" s="43" t="inlineStr">
        <is>
          <t>在来・204｜マド④</t>
        </is>
      </c>
      <c r="M98" s="178" t="b">
        <v>1</v>
      </c>
      <c r="N98" s="43" t="inlineStr">
        <is>
          <t>カタログ規格確認済み</t>
        </is>
      </c>
      <c r="O98" s="222" t="n">
        <v>15</v>
      </c>
      <c r="P98" s="222" t="n">
        <v>13</v>
      </c>
      <c r="Q98" s="43" t="inlineStr">
        <is>
          <t>202604_LIXIL_サーモスＬ_業務用資料集_完成品価格表.pdf</t>
        </is>
      </c>
      <c r="R98" s="43" t="n"/>
      <c r="S98" s="42" t="inlineStr">
        <is>
          <t>★</t>
        </is>
      </c>
      <c r="T98" s="42" t="n">
        <v>12</v>
      </c>
      <c r="U98" s="42" t="inlineStr">
        <is>
          <t>P12|★</t>
        </is>
      </c>
      <c r="V98" s="42" t="inlineStr">
        <is>
          <t>同一価格表・前頁凡例を継承</t>
        </is>
      </c>
    </row>
    <row r="99">
      <c r="A99" s="43" t="inlineStr">
        <is>
          <t>SZ-SL-000096</t>
        </is>
      </c>
      <c r="B99" s="43" t="inlineStr">
        <is>
          <t>SER-LIX-SAMOSL</t>
        </is>
      </c>
      <c r="C99" s="43" t="inlineStr">
        <is>
          <t>WT-SL-HIKICHIGAI</t>
        </is>
      </c>
      <c r="D99" s="43" t="inlineStr">
        <is>
          <t>単体引違い窓</t>
        </is>
      </c>
      <c r="E99" s="43" t="n"/>
      <c r="F99" s="43" t="inlineStr">
        <is>
          <t>在来・204</t>
        </is>
      </c>
      <c r="G99" s="43" t="inlineStr">
        <is>
          <t>18611</t>
        </is>
      </c>
      <c r="H99" s="43" t="inlineStr">
        <is>
          <t>186</t>
        </is>
      </c>
      <c r="I99" s="43" t="inlineStr">
        <is>
          <t>11</t>
        </is>
      </c>
      <c r="J99" s="222" t="n">
        <v>1900</v>
      </c>
      <c r="K99" s="222" t="n">
        <v>1170</v>
      </c>
      <c r="L99" s="43" t="inlineStr">
        <is>
          <t>在来・204｜マド④</t>
        </is>
      </c>
      <c r="M99" s="178" t="b">
        <v>1</v>
      </c>
      <c r="N99" s="43" t="inlineStr">
        <is>
          <t>カタログ規格確認済み</t>
        </is>
      </c>
      <c r="O99" s="222" t="n">
        <v>15</v>
      </c>
      <c r="P99" s="222" t="n">
        <v>13</v>
      </c>
      <c r="Q99" s="43" t="inlineStr">
        <is>
          <t>202604_LIXIL_サーモスＬ_業務用資料集_完成品価格表.pdf</t>
        </is>
      </c>
      <c r="R99" s="43" t="n"/>
      <c r="S99" s="42" t="inlineStr">
        <is>
          <t>★</t>
        </is>
      </c>
      <c r="T99" s="42" t="n">
        <v>12</v>
      </c>
      <c r="U99" s="42" t="inlineStr">
        <is>
          <t>P12|★</t>
        </is>
      </c>
      <c r="V99" s="42" t="inlineStr">
        <is>
          <t>同一価格表・前頁凡例を継承</t>
        </is>
      </c>
    </row>
    <row r="100">
      <c r="A100" s="43" t="inlineStr">
        <is>
          <t>SZ-SL-000097</t>
        </is>
      </c>
      <c r="B100" s="43" t="inlineStr">
        <is>
          <t>SER-LIX-SAMOSL</t>
        </is>
      </c>
      <c r="C100" s="43" t="inlineStr">
        <is>
          <t>WT-SL-HIKICHIGAI</t>
        </is>
      </c>
      <c r="D100" s="43" t="inlineStr">
        <is>
          <t>単体引違い窓</t>
        </is>
      </c>
      <c r="E100" s="43" t="n"/>
      <c r="F100" s="43" t="inlineStr">
        <is>
          <t>在来・204</t>
        </is>
      </c>
      <c r="G100" s="43" t="inlineStr">
        <is>
          <t>18613</t>
        </is>
      </c>
      <c r="H100" s="43" t="inlineStr">
        <is>
          <t>186</t>
        </is>
      </c>
      <c r="I100" s="43" t="inlineStr">
        <is>
          <t>13</t>
        </is>
      </c>
      <c r="J100" s="222" t="n">
        <v>1900</v>
      </c>
      <c r="K100" s="222" t="n">
        <v>1370</v>
      </c>
      <c r="L100" s="43" t="inlineStr">
        <is>
          <t>在来・204｜マド④</t>
        </is>
      </c>
      <c r="M100" s="178" t="b">
        <v>1</v>
      </c>
      <c r="N100" s="43" t="inlineStr">
        <is>
          <t>カタログ規格確認済み</t>
        </is>
      </c>
      <c r="O100" s="222" t="n">
        <v>15</v>
      </c>
      <c r="P100" s="222" t="n">
        <v>13</v>
      </c>
      <c r="Q100" s="43" t="inlineStr">
        <is>
          <t>202604_LIXIL_サーモスＬ_業務用資料集_完成品価格表.pdf</t>
        </is>
      </c>
      <c r="R100" s="43" t="n"/>
      <c r="S100" s="42" t="inlineStr">
        <is>
          <t>★</t>
        </is>
      </c>
      <c r="T100" s="42" t="n">
        <v>12</v>
      </c>
      <c r="U100" s="42" t="inlineStr">
        <is>
          <t>P12|★</t>
        </is>
      </c>
      <c r="V100" s="42" t="inlineStr">
        <is>
          <t>同一価格表・前頁凡例を継承</t>
        </is>
      </c>
    </row>
    <row r="101">
      <c r="A101" s="43" t="inlineStr">
        <is>
          <t>SZ-SL-000098</t>
        </is>
      </c>
      <c r="B101" s="43" t="inlineStr">
        <is>
          <t>SER-LIX-SAMOSL</t>
        </is>
      </c>
      <c r="C101" s="43" t="inlineStr">
        <is>
          <t>WT-SL-HIKICHIGAI</t>
        </is>
      </c>
      <c r="D101" s="43" t="inlineStr">
        <is>
          <t>単体引違い窓</t>
        </is>
      </c>
      <c r="E101" s="43" t="n"/>
      <c r="F101" s="43" t="inlineStr">
        <is>
          <t>在来・204</t>
        </is>
      </c>
      <c r="G101" s="43" t="inlineStr">
        <is>
          <t>25111-2</t>
        </is>
      </c>
      <c r="H101" s="43" t="inlineStr">
        <is>
          <t>251-2</t>
        </is>
      </c>
      <c r="I101" s="43" t="inlineStr">
        <is>
          <t>11</t>
        </is>
      </c>
      <c r="J101" s="222" t="n">
        <v>2550</v>
      </c>
      <c r="K101" s="222" t="n">
        <v>1170</v>
      </c>
      <c r="L101" s="43" t="inlineStr">
        <is>
          <t>在来・204｜マド④</t>
        </is>
      </c>
      <c r="M101" s="178" t="b">
        <v>1</v>
      </c>
      <c r="N101" s="43" t="inlineStr">
        <is>
          <t>カタログ規格確認済み</t>
        </is>
      </c>
      <c r="O101" s="222" t="n">
        <v>15</v>
      </c>
      <c r="P101" s="222" t="n">
        <v>13</v>
      </c>
      <c r="Q101" s="43" t="inlineStr">
        <is>
          <t>202604_LIXIL_サーモスＬ_業務用資料集_完成品価格表.pdf</t>
        </is>
      </c>
      <c r="R101" s="43" t="n"/>
      <c r="S101" s="42" t="inlineStr">
        <is>
          <t>☆</t>
        </is>
      </c>
      <c r="T101" s="42" t="n">
        <v>12</v>
      </c>
      <c r="U101" s="42" t="inlineStr">
        <is>
          <t>P12|☆</t>
        </is>
      </c>
      <c r="V101" s="42" t="inlineStr">
        <is>
          <t>同一価格表・前頁凡例を継承</t>
        </is>
      </c>
    </row>
    <row r="102">
      <c r="A102" s="43" t="inlineStr">
        <is>
          <t>SZ-SL-000099</t>
        </is>
      </c>
      <c r="B102" s="43" t="inlineStr">
        <is>
          <t>SER-LIX-SAMOSL</t>
        </is>
      </c>
      <c r="C102" s="43" t="inlineStr">
        <is>
          <t>WT-SL-HIKICHIGAI</t>
        </is>
      </c>
      <c r="D102" s="43" t="inlineStr">
        <is>
          <t>単体引違い窓</t>
        </is>
      </c>
      <c r="E102" s="43" t="n"/>
      <c r="F102" s="43" t="inlineStr">
        <is>
          <t>在来・204</t>
        </is>
      </c>
      <c r="G102" s="43" t="inlineStr">
        <is>
          <t>25111-4</t>
        </is>
      </c>
      <c r="H102" s="43" t="inlineStr">
        <is>
          <t>251-4</t>
        </is>
      </c>
      <c r="I102" s="43" t="inlineStr">
        <is>
          <t>11</t>
        </is>
      </c>
      <c r="J102" s="222" t="n">
        <v>2550</v>
      </c>
      <c r="K102" s="222" t="n">
        <v>1170</v>
      </c>
      <c r="L102" s="43" t="inlineStr">
        <is>
          <t>在来・204｜マド④</t>
        </is>
      </c>
      <c r="M102" s="178" t="b">
        <v>1</v>
      </c>
      <c r="N102" s="43" t="inlineStr">
        <is>
          <t>カタログ規格確認済み</t>
        </is>
      </c>
      <c r="O102" s="222" t="n">
        <v>15</v>
      </c>
      <c r="P102" s="222" t="n">
        <v>13</v>
      </c>
      <c r="Q102" s="43" t="inlineStr">
        <is>
          <t>202604_LIXIL_サーモスＬ_業務用資料集_完成品価格表.pdf</t>
        </is>
      </c>
      <c r="R102" s="43" t="n"/>
      <c r="S102" s="42" t="inlineStr">
        <is>
          <t>無印</t>
        </is>
      </c>
      <c r="T102" s="42" t="n">
        <v>12</v>
      </c>
      <c r="U102" s="42" t="inlineStr">
        <is>
          <t>P12|無印</t>
        </is>
      </c>
      <c r="V102" s="42" t="inlineStr">
        <is>
          <t>同一価格表・前頁凡例を継承</t>
        </is>
      </c>
    </row>
    <row r="103">
      <c r="A103" s="43" t="inlineStr">
        <is>
          <t>SZ-SL-000100</t>
        </is>
      </c>
      <c r="B103" s="43" t="inlineStr">
        <is>
          <t>SER-LIX-SAMOSL</t>
        </is>
      </c>
      <c r="C103" s="43" t="inlineStr">
        <is>
          <t>WT-SL-HIKICHIGAI</t>
        </is>
      </c>
      <c r="D103" s="43" t="inlineStr">
        <is>
          <t>単体引違い窓</t>
        </is>
      </c>
      <c r="E103" s="43" t="n"/>
      <c r="F103" s="43" t="inlineStr">
        <is>
          <t>在来・204</t>
        </is>
      </c>
      <c r="G103" s="43" t="inlineStr">
        <is>
          <t>25113-2</t>
        </is>
      </c>
      <c r="H103" s="43" t="inlineStr">
        <is>
          <t>251-2</t>
        </is>
      </c>
      <c r="I103" s="43" t="inlineStr">
        <is>
          <t>13</t>
        </is>
      </c>
      <c r="J103" s="222" t="n">
        <v>2550</v>
      </c>
      <c r="K103" s="222" t="n">
        <v>1370</v>
      </c>
      <c r="L103" s="43" t="inlineStr">
        <is>
          <t>在来・204｜マド④</t>
        </is>
      </c>
      <c r="M103" s="178" t="b">
        <v>1</v>
      </c>
      <c r="N103" s="43" t="inlineStr">
        <is>
          <t>カタログ規格確認済み</t>
        </is>
      </c>
      <c r="O103" s="222" t="n">
        <v>15</v>
      </c>
      <c r="P103" s="222" t="n">
        <v>13</v>
      </c>
      <c r="Q103" s="43" t="inlineStr">
        <is>
          <t>202604_LIXIL_サーモスＬ_業務用資料集_完成品価格表.pdf</t>
        </is>
      </c>
      <c r="R103" s="43" t="n"/>
      <c r="S103" s="42" t="inlineStr">
        <is>
          <t>●</t>
        </is>
      </c>
      <c r="T103" s="42" t="n">
        <v>12</v>
      </c>
      <c r="U103" s="42" t="inlineStr">
        <is>
          <t>P12|●</t>
        </is>
      </c>
      <c r="V103" s="42" t="inlineStr">
        <is>
          <t>同一価格表・前頁凡例を継承</t>
        </is>
      </c>
    </row>
    <row r="104">
      <c r="A104" s="43" t="inlineStr">
        <is>
          <t>SZ-SL-000101</t>
        </is>
      </c>
      <c r="B104" s="43" t="inlineStr">
        <is>
          <t>SER-LIX-SAMOSL</t>
        </is>
      </c>
      <c r="C104" s="43" t="inlineStr">
        <is>
          <t>WT-SL-HIKICHIGAI</t>
        </is>
      </c>
      <c r="D104" s="43" t="inlineStr">
        <is>
          <t>単体引違い窓</t>
        </is>
      </c>
      <c r="E104" s="43" t="n"/>
      <c r="F104" s="43" t="inlineStr">
        <is>
          <t>在来・204</t>
        </is>
      </c>
      <c r="G104" s="43" t="inlineStr">
        <is>
          <t>25113-4</t>
        </is>
      </c>
      <c r="H104" s="43" t="inlineStr">
        <is>
          <t>251-4</t>
        </is>
      </c>
      <c r="I104" s="43" t="inlineStr">
        <is>
          <t>13</t>
        </is>
      </c>
      <c r="J104" s="222" t="n">
        <v>2550</v>
      </c>
      <c r="K104" s="222" t="n">
        <v>1370</v>
      </c>
      <c r="L104" s="43" t="inlineStr">
        <is>
          <t>在来・204｜マド④</t>
        </is>
      </c>
      <c r="M104" s="178" t="b">
        <v>1</v>
      </c>
      <c r="N104" s="43" t="inlineStr">
        <is>
          <t>カタログ規格確認済み</t>
        </is>
      </c>
      <c r="O104" s="222" t="n">
        <v>15</v>
      </c>
      <c r="P104" s="222" t="n">
        <v>13</v>
      </c>
      <c r="Q104" s="43" t="inlineStr">
        <is>
          <t>202604_LIXIL_サーモスＬ_業務用資料集_完成品価格表.pdf</t>
        </is>
      </c>
      <c r="R104" s="43" t="n"/>
      <c r="S104" s="42" t="inlineStr">
        <is>
          <t>無印</t>
        </is>
      </c>
      <c r="T104" s="42" t="n">
        <v>12</v>
      </c>
      <c r="U104" s="42" t="inlineStr">
        <is>
          <t>P12|無印</t>
        </is>
      </c>
      <c r="V104" s="42" t="inlineStr">
        <is>
          <t>同一価格表・前頁凡例を継承</t>
        </is>
      </c>
    </row>
    <row r="105">
      <c r="A105" s="43" t="inlineStr">
        <is>
          <t>SZ-SL-000102</t>
        </is>
      </c>
      <c r="B105" s="43" t="inlineStr">
        <is>
          <t>SER-LIX-SAMOSL</t>
        </is>
      </c>
      <c r="C105" s="43" t="inlineStr">
        <is>
          <t>WT-SL-HIKICHIGAI</t>
        </is>
      </c>
      <c r="D105" s="43" t="inlineStr">
        <is>
          <t>単体引違い窓</t>
        </is>
      </c>
      <c r="E105" s="43" t="n"/>
      <c r="F105" s="43" t="inlineStr">
        <is>
          <t>在来・204</t>
        </is>
      </c>
      <c r="G105" s="43" t="inlineStr">
        <is>
          <t>25611-2</t>
        </is>
      </c>
      <c r="H105" s="43" t="inlineStr">
        <is>
          <t>256-2</t>
        </is>
      </c>
      <c r="I105" s="43" t="inlineStr">
        <is>
          <t>11</t>
        </is>
      </c>
      <c r="J105" s="222" t="n">
        <v>2600</v>
      </c>
      <c r="K105" s="222" t="n">
        <v>1170</v>
      </c>
      <c r="L105" s="43" t="inlineStr">
        <is>
          <t>在来・204｜マド④</t>
        </is>
      </c>
      <c r="M105" s="178" t="b">
        <v>1</v>
      </c>
      <c r="N105" s="43" t="inlineStr">
        <is>
          <t>カタログ規格確認済み</t>
        </is>
      </c>
      <c r="O105" s="222" t="n">
        <v>15</v>
      </c>
      <c r="P105" s="222" t="n">
        <v>13</v>
      </c>
      <c r="Q105" s="43" t="inlineStr">
        <is>
          <t>202604_LIXIL_サーモスＬ_業務用資料集_完成品価格表.pdf</t>
        </is>
      </c>
      <c r="R105" s="43" t="n"/>
      <c r="S105" s="42" t="inlineStr">
        <is>
          <t>☆</t>
        </is>
      </c>
      <c r="T105" s="42" t="n">
        <v>12</v>
      </c>
      <c r="U105" s="42" t="inlineStr">
        <is>
          <t>P12|☆</t>
        </is>
      </c>
      <c r="V105" s="42" t="inlineStr">
        <is>
          <t>同一価格表・前頁凡例を継承</t>
        </is>
      </c>
    </row>
    <row r="106">
      <c r="A106" s="43" t="inlineStr">
        <is>
          <t>SZ-SL-000103</t>
        </is>
      </c>
      <c r="B106" s="43" t="inlineStr">
        <is>
          <t>SER-LIX-SAMOSL</t>
        </is>
      </c>
      <c r="C106" s="43" t="inlineStr">
        <is>
          <t>WT-SL-HIKICHIGAI</t>
        </is>
      </c>
      <c r="D106" s="43" t="inlineStr">
        <is>
          <t>単体引違い窓</t>
        </is>
      </c>
      <c r="E106" s="43" t="n"/>
      <c r="F106" s="43" t="inlineStr">
        <is>
          <t>在来・204</t>
        </is>
      </c>
      <c r="G106" s="43" t="inlineStr">
        <is>
          <t>25611-4</t>
        </is>
      </c>
      <c r="H106" s="43" t="inlineStr">
        <is>
          <t>256-4</t>
        </is>
      </c>
      <c r="I106" s="43" t="inlineStr">
        <is>
          <t>11</t>
        </is>
      </c>
      <c r="J106" s="222" t="n">
        <v>2600</v>
      </c>
      <c r="K106" s="222" t="n">
        <v>1170</v>
      </c>
      <c r="L106" s="43" t="inlineStr">
        <is>
          <t>在来・204｜マド④</t>
        </is>
      </c>
      <c r="M106" s="178" t="b">
        <v>1</v>
      </c>
      <c r="N106" s="43" t="inlineStr">
        <is>
          <t>カタログ規格確認済み</t>
        </is>
      </c>
      <c r="O106" s="222" t="n">
        <v>15</v>
      </c>
      <c r="P106" s="222" t="n">
        <v>13</v>
      </c>
      <c r="Q106" s="43" t="inlineStr">
        <is>
          <t>202604_LIXIL_サーモスＬ_業務用資料集_完成品価格表.pdf</t>
        </is>
      </c>
      <c r="R106" s="43" t="n"/>
      <c r="S106" s="42" t="inlineStr">
        <is>
          <t>無印</t>
        </is>
      </c>
      <c r="T106" s="42" t="n">
        <v>12</v>
      </c>
      <c r="U106" s="42" t="inlineStr">
        <is>
          <t>P12|無印</t>
        </is>
      </c>
      <c r="V106" s="42" t="inlineStr">
        <is>
          <t>同一価格表・前頁凡例を継承</t>
        </is>
      </c>
    </row>
    <row r="107">
      <c r="A107" s="43" t="inlineStr">
        <is>
          <t>SZ-SL-000104</t>
        </is>
      </c>
      <c r="B107" s="43" t="inlineStr">
        <is>
          <t>SER-LIX-SAMOSL</t>
        </is>
      </c>
      <c r="C107" s="43" t="inlineStr">
        <is>
          <t>WT-SL-HIKICHIGAI</t>
        </is>
      </c>
      <c r="D107" s="43" t="inlineStr">
        <is>
          <t>単体引違い窓</t>
        </is>
      </c>
      <c r="E107" s="43" t="n"/>
      <c r="F107" s="43" t="inlineStr">
        <is>
          <t>在来・204</t>
        </is>
      </c>
      <c r="G107" s="43" t="inlineStr">
        <is>
          <t>25613-2</t>
        </is>
      </c>
      <c r="H107" s="43" t="inlineStr">
        <is>
          <t>256-2</t>
        </is>
      </c>
      <c r="I107" s="43" t="inlineStr">
        <is>
          <t>13</t>
        </is>
      </c>
      <c r="J107" s="222" t="n">
        <v>2600</v>
      </c>
      <c r="K107" s="222" t="n">
        <v>1370</v>
      </c>
      <c r="L107" s="43" t="inlineStr">
        <is>
          <t>在来・204｜マド④</t>
        </is>
      </c>
      <c r="M107" s="178" t="b">
        <v>1</v>
      </c>
      <c r="N107" s="43" t="inlineStr">
        <is>
          <t>カタログ規格確認済み</t>
        </is>
      </c>
      <c r="O107" s="222" t="n">
        <v>15</v>
      </c>
      <c r="P107" s="222" t="n">
        <v>13</v>
      </c>
      <c r="Q107" s="43" t="inlineStr">
        <is>
          <t>202604_LIXIL_サーモスＬ_業務用資料集_完成品価格表.pdf</t>
        </is>
      </c>
      <c r="R107" s="43" t="n"/>
      <c r="S107" s="42" t="inlineStr">
        <is>
          <t>●</t>
        </is>
      </c>
      <c r="T107" s="42" t="n">
        <v>12</v>
      </c>
      <c r="U107" s="42" t="inlineStr">
        <is>
          <t>P12|●</t>
        </is>
      </c>
      <c r="V107" s="42" t="inlineStr">
        <is>
          <t>同一価格表・前頁凡例を継承</t>
        </is>
      </c>
    </row>
    <row r="108">
      <c r="A108" s="43" t="inlineStr">
        <is>
          <t>SZ-SL-000105</t>
        </is>
      </c>
      <c r="B108" s="43" t="inlineStr">
        <is>
          <t>SER-LIX-SAMOSL</t>
        </is>
      </c>
      <c r="C108" s="43" t="inlineStr">
        <is>
          <t>WT-SL-HIKICHIGAI</t>
        </is>
      </c>
      <c r="D108" s="43" t="inlineStr">
        <is>
          <t>単体引違い窓</t>
        </is>
      </c>
      <c r="E108" s="43" t="n"/>
      <c r="F108" s="43" t="inlineStr">
        <is>
          <t>在来・204</t>
        </is>
      </c>
      <c r="G108" s="43" t="inlineStr">
        <is>
          <t>25613-4</t>
        </is>
      </c>
      <c r="H108" s="43" t="inlineStr">
        <is>
          <t>256-4</t>
        </is>
      </c>
      <c r="I108" s="43" t="inlineStr">
        <is>
          <t>13</t>
        </is>
      </c>
      <c r="J108" s="222" t="n">
        <v>2600</v>
      </c>
      <c r="K108" s="222" t="n">
        <v>1370</v>
      </c>
      <c r="L108" s="43" t="inlineStr">
        <is>
          <t>在来・204｜マド④</t>
        </is>
      </c>
      <c r="M108" s="178" t="b">
        <v>1</v>
      </c>
      <c r="N108" s="43" t="inlineStr">
        <is>
          <t>カタログ規格確認済み</t>
        </is>
      </c>
      <c r="O108" s="222" t="n">
        <v>15</v>
      </c>
      <c r="P108" s="222" t="n">
        <v>13</v>
      </c>
      <c r="Q108" s="43" t="inlineStr">
        <is>
          <t>202604_LIXIL_サーモスＬ_業務用資料集_完成品価格表.pdf</t>
        </is>
      </c>
      <c r="R108" s="43" t="n"/>
      <c r="S108" s="42" t="inlineStr">
        <is>
          <t>無印</t>
        </is>
      </c>
      <c r="T108" s="42" t="n">
        <v>12</v>
      </c>
      <c r="U108" s="42" t="inlineStr">
        <is>
          <t>P12|無印</t>
        </is>
      </c>
      <c r="V108" s="42" t="inlineStr">
        <is>
          <t>同一価格表・前頁凡例を継承</t>
        </is>
      </c>
    </row>
    <row r="109">
      <c r="A109" s="43" t="inlineStr">
        <is>
          <t>SZ-SL-000106</t>
        </is>
      </c>
      <c r="B109" s="43" t="inlineStr">
        <is>
          <t>SER-LIX-SAMOSL</t>
        </is>
      </c>
      <c r="C109" s="43" t="inlineStr">
        <is>
          <t>WT-SL-HIKICHIGAI</t>
        </is>
      </c>
      <c r="D109" s="43" t="inlineStr">
        <is>
          <t>単体引違い窓</t>
        </is>
      </c>
      <c r="E109" s="43" t="n"/>
      <c r="F109" s="43" t="inlineStr">
        <is>
          <t>在来</t>
        </is>
      </c>
      <c r="G109" s="43" t="inlineStr">
        <is>
          <t>11918</t>
        </is>
      </c>
      <c r="H109" s="43" t="inlineStr">
        <is>
          <t>119</t>
        </is>
      </c>
      <c r="I109" s="43" t="inlineStr">
        <is>
          <t>18</t>
        </is>
      </c>
      <c r="J109" s="222" t="n">
        <v>1235</v>
      </c>
      <c r="K109" s="222" t="n">
        <v>1830</v>
      </c>
      <c r="L109" s="43" t="inlineStr">
        <is>
          <t>在来｜テラス①</t>
        </is>
      </c>
      <c r="M109" s="178" t="b">
        <v>1</v>
      </c>
      <c r="N109" s="43" t="inlineStr">
        <is>
          <t>カタログ規格確認済み</t>
        </is>
      </c>
      <c r="O109" s="222" t="n">
        <v>16</v>
      </c>
      <c r="P109" s="222" t="n">
        <v>14</v>
      </c>
      <c r="Q109" s="43" t="inlineStr">
        <is>
          <t>202604_LIXIL_サーモスＬ_業務用資料集_完成品価格表.pdf</t>
        </is>
      </c>
      <c r="R109" s="43" t="n"/>
      <c r="S109" s="42" t="inlineStr">
        <is>
          <t>無印</t>
        </is>
      </c>
      <c r="T109" s="42" t="n">
        <v>15</v>
      </c>
      <c r="U109" s="42" t="inlineStr">
        <is>
          <t>P15|無印</t>
        </is>
      </c>
      <c r="V109" s="42" t="inlineStr">
        <is>
          <t>同一価格表・次頁凡例を継承</t>
        </is>
      </c>
    </row>
    <row r="110">
      <c r="A110" s="43" t="inlineStr">
        <is>
          <t>SZ-SL-000107</t>
        </is>
      </c>
      <c r="B110" s="43" t="inlineStr">
        <is>
          <t>SER-LIX-SAMOSL</t>
        </is>
      </c>
      <c r="C110" s="43" t="inlineStr">
        <is>
          <t>WT-SL-HIKICHIGAI</t>
        </is>
      </c>
      <c r="D110" s="43" t="inlineStr">
        <is>
          <t>単体引違い窓</t>
        </is>
      </c>
      <c r="E110" s="43" t="n"/>
      <c r="F110" s="43" t="inlineStr">
        <is>
          <t>在来</t>
        </is>
      </c>
      <c r="G110" s="43" t="inlineStr">
        <is>
          <t>11920</t>
        </is>
      </c>
      <c r="H110" s="43" t="inlineStr">
        <is>
          <t>119</t>
        </is>
      </c>
      <c r="I110" s="43" t="inlineStr">
        <is>
          <t>20</t>
        </is>
      </c>
      <c r="J110" s="222" t="n">
        <v>1235</v>
      </c>
      <c r="K110" s="222" t="n">
        <v>2030</v>
      </c>
      <c r="L110" s="43" t="inlineStr">
        <is>
          <t>在来｜テラス①</t>
        </is>
      </c>
      <c r="M110" s="178" t="b">
        <v>1</v>
      </c>
      <c r="N110" s="43" t="inlineStr">
        <is>
          <t>カタログ規格確認済み</t>
        </is>
      </c>
      <c r="O110" s="222" t="n">
        <v>16</v>
      </c>
      <c r="P110" s="222" t="n">
        <v>14</v>
      </c>
      <c r="Q110" s="43" t="inlineStr">
        <is>
          <t>202604_LIXIL_サーモスＬ_業務用資料集_完成品価格表.pdf</t>
        </is>
      </c>
      <c r="R110" s="43" t="n"/>
      <c r="S110" s="42" t="inlineStr">
        <is>
          <t>無印</t>
        </is>
      </c>
      <c r="T110" s="42" t="n">
        <v>15</v>
      </c>
      <c r="U110" s="42" t="inlineStr">
        <is>
          <t>P15|無印</t>
        </is>
      </c>
      <c r="V110" s="42" t="inlineStr">
        <is>
          <t>同一価格表・次頁凡例を継承</t>
        </is>
      </c>
    </row>
    <row r="111">
      <c r="A111" s="43" t="inlineStr">
        <is>
          <t>SZ-SL-000108</t>
        </is>
      </c>
      <c r="B111" s="43" t="inlineStr">
        <is>
          <t>SER-LIX-SAMOSL</t>
        </is>
      </c>
      <c r="C111" s="43" t="inlineStr">
        <is>
          <t>WT-SL-HIKICHIGAI</t>
        </is>
      </c>
      <c r="D111" s="43" t="inlineStr">
        <is>
          <t>単体引違い窓</t>
        </is>
      </c>
      <c r="E111" s="43" t="n"/>
      <c r="F111" s="43" t="inlineStr">
        <is>
          <t>在来</t>
        </is>
      </c>
      <c r="G111" s="43" t="inlineStr">
        <is>
          <t>13318</t>
        </is>
      </c>
      <c r="H111" s="43" t="inlineStr">
        <is>
          <t>133</t>
        </is>
      </c>
      <c r="I111" s="43" t="inlineStr">
        <is>
          <t>18</t>
        </is>
      </c>
      <c r="J111" s="222" t="n">
        <v>1370</v>
      </c>
      <c r="K111" s="222" t="n">
        <v>1830</v>
      </c>
      <c r="L111" s="43" t="inlineStr">
        <is>
          <t>在来｜テラス①</t>
        </is>
      </c>
      <c r="M111" s="178" t="b">
        <v>1</v>
      </c>
      <c r="N111" s="43" t="inlineStr">
        <is>
          <t>カタログ規格確認済み</t>
        </is>
      </c>
      <c r="O111" s="222" t="n">
        <v>16</v>
      </c>
      <c r="P111" s="222" t="n">
        <v>14</v>
      </c>
      <c r="Q111" s="43" t="inlineStr">
        <is>
          <t>202604_LIXIL_サーモスＬ_業務用資料集_完成品価格表.pdf</t>
        </is>
      </c>
      <c r="R111" s="43" t="n"/>
      <c r="S111" s="42" t="inlineStr">
        <is>
          <t>無印</t>
        </is>
      </c>
      <c r="T111" s="42" t="n">
        <v>15</v>
      </c>
      <c r="U111" s="42" t="inlineStr">
        <is>
          <t>P15|無印</t>
        </is>
      </c>
      <c r="V111" s="42" t="inlineStr">
        <is>
          <t>同一価格表・次頁凡例を継承</t>
        </is>
      </c>
    </row>
    <row r="112">
      <c r="A112" s="43" t="inlineStr">
        <is>
          <t>SZ-SL-000109</t>
        </is>
      </c>
      <c r="B112" s="43" t="inlineStr">
        <is>
          <t>SER-LIX-SAMOSL</t>
        </is>
      </c>
      <c r="C112" s="43" t="inlineStr">
        <is>
          <t>WT-SL-HIKICHIGAI</t>
        </is>
      </c>
      <c r="D112" s="43" t="inlineStr">
        <is>
          <t>単体引違い窓</t>
        </is>
      </c>
      <c r="E112" s="43" t="n"/>
      <c r="F112" s="43" t="inlineStr">
        <is>
          <t>在来</t>
        </is>
      </c>
      <c r="G112" s="43" t="inlineStr">
        <is>
          <t>13320</t>
        </is>
      </c>
      <c r="H112" s="43" t="inlineStr">
        <is>
          <t>133</t>
        </is>
      </c>
      <c r="I112" s="43" t="inlineStr">
        <is>
          <t>20</t>
        </is>
      </c>
      <c r="J112" s="222" t="n">
        <v>1370</v>
      </c>
      <c r="K112" s="222" t="n">
        <v>2030</v>
      </c>
      <c r="L112" s="43" t="inlineStr">
        <is>
          <t>在来｜テラス①</t>
        </is>
      </c>
      <c r="M112" s="178" t="b">
        <v>1</v>
      </c>
      <c r="N112" s="43" t="inlineStr">
        <is>
          <t>カタログ規格確認済み</t>
        </is>
      </c>
      <c r="O112" s="222" t="n">
        <v>16</v>
      </c>
      <c r="P112" s="222" t="n">
        <v>14</v>
      </c>
      <c r="Q112" s="43" t="inlineStr">
        <is>
          <t>202604_LIXIL_サーモスＬ_業務用資料集_完成品価格表.pdf</t>
        </is>
      </c>
      <c r="R112" s="43" t="n"/>
      <c r="S112" s="42" t="inlineStr">
        <is>
          <t>無印</t>
        </is>
      </c>
      <c r="T112" s="42" t="n">
        <v>15</v>
      </c>
      <c r="U112" s="42" t="inlineStr">
        <is>
          <t>P15|無印</t>
        </is>
      </c>
      <c r="V112" s="42" t="inlineStr">
        <is>
          <t>同一価格表・次頁凡例を継承</t>
        </is>
      </c>
    </row>
    <row r="113">
      <c r="A113" s="43" t="inlineStr">
        <is>
          <t>SZ-SL-000110</t>
        </is>
      </c>
      <c r="B113" s="43" t="inlineStr">
        <is>
          <t>SER-LIX-SAMOSL</t>
        </is>
      </c>
      <c r="C113" s="43" t="inlineStr">
        <is>
          <t>WT-SL-HIKICHIGAI</t>
        </is>
      </c>
      <c r="D113" s="43" t="inlineStr">
        <is>
          <t>単体引違い窓</t>
        </is>
      </c>
      <c r="E113" s="43" t="n"/>
      <c r="F113" s="43" t="inlineStr">
        <is>
          <t>在来</t>
        </is>
      </c>
      <c r="G113" s="43" t="inlineStr">
        <is>
          <t>15018</t>
        </is>
      </c>
      <c r="H113" s="43" t="inlineStr">
        <is>
          <t>150</t>
        </is>
      </c>
      <c r="I113" s="43" t="inlineStr">
        <is>
          <t>18</t>
        </is>
      </c>
      <c r="J113" s="222" t="n">
        <v>1540</v>
      </c>
      <c r="K113" s="222" t="n">
        <v>1830</v>
      </c>
      <c r="L113" s="43" t="inlineStr">
        <is>
          <t>在来｜テラス①</t>
        </is>
      </c>
      <c r="M113" s="178" t="b">
        <v>1</v>
      </c>
      <c r="N113" s="43" t="inlineStr">
        <is>
          <t>カタログ規格確認済み</t>
        </is>
      </c>
      <c r="O113" s="222" t="n">
        <v>16</v>
      </c>
      <c r="P113" s="222" t="n">
        <v>14</v>
      </c>
      <c r="Q113" s="43" t="inlineStr">
        <is>
          <t>202604_LIXIL_サーモスＬ_業務用資料集_完成品価格表.pdf</t>
        </is>
      </c>
      <c r="R113" s="43" t="n"/>
      <c r="S113" s="42" t="inlineStr">
        <is>
          <t>無印</t>
        </is>
      </c>
      <c r="T113" s="42" t="n">
        <v>15</v>
      </c>
      <c r="U113" s="42" t="inlineStr">
        <is>
          <t>P15|無印</t>
        </is>
      </c>
      <c r="V113" s="42" t="inlineStr">
        <is>
          <t>同一価格表・次頁凡例を継承</t>
        </is>
      </c>
    </row>
    <row r="114">
      <c r="A114" s="43" t="inlineStr">
        <is>
          <t>SZ-SL-000111</t>
        </is>
      </c>
      <c r="B114" s="43" t="inlineStr">
        <is>
          <t>SER-LIX-SAMOSL</t>
        </is>
      </c>
      <c r="C114" s="43" t="inlineStr">
        <is>
          <t>WT-SL-HIKICHIGAI</t>
        </is>
      </c>
      <c r="D114" s="43" t="inlineStr">
        <is>
          <t>単体引違い窓</t>
        </is>
      </c>
      <c r="E114" s="43" t="n"/>
      <c r="F114" s="43" t="inlineStr">
        <is>
          <t>在来</t>
        </is>
      </c>
      <c r="G114" s="43" t="inlineStr">
        <is>
          <t>15020</t>
        </is>
      </c>
      <c r="H114" s="43" t="inlineStr">
        <is>
          <t>150</t>
        </is>
      </c>
      <c r="I114" s="43" t="inlineStr">
        <is>
          <t>20</t>
        </is>
      </c>
      <c r="J114" s="222" t="n">
        <v>1540</v>
      </c>
      <c r="K114" s="222" t="n">
        <v>2030</v>
      </c>
      <c r="L114" s="43" t="inlineStr">
        <is>
          <t>在来｜テラス①</t>
        </is>
      </c>
      <c r="M114" s="178" t="b">
        <v>1</v>
      </c>
      <c r="N114" s="43" t="inlineStr">
        <is>
          <t>カタログ規格確認済み</t>
        </is>
      </c>
      <c r="O114" s="222" t="n">
        <v>16</v>
      </c>
      <c r="P114" s="222" t="n">
        <v>14</v>
      </c>
      <c r="Q114" s="43" t="inlineStr">
        <is>
          <t>202604_LIXIL_サーモスＬ_業務用資料集_完成品価格表.pdf</t>
        </is>
      </c>
      <c r="R114" s="43" t="n"/>
      <c r="S114" s="42" t="inlineStr">
        <is>
          <t>○</t>
        </is>
      </c>
      <c r="T114" s="42" t="n">
        <v>15</v>
      </c>
      <c r="U114" s="42" t="inlineStr">
        <is>
          <t>P15|○</t>
        </is>
      </c>
      <c r="V114" s="42" t="inlineStr">
        <is>
          <t>同一価格表・次頁凡例を継承</t>
        </is>
      </c>
    </row>
    <row r="115">
      <c r="A115" s="43" t="inlineStr">
        <is>
          <t>SZ-SL-000112</t>
        </is>
      </c>
      <c r="B115" s="43" t="inlineStr">
        <is>
          <t>SER-LIX-SAMOSL</t>
        </is>
      </c>
      <c r="C115" s="43" t="inlineStr">
        <is>
          <t>WT-SL-HIKICHIGAI</t>
        </is>
      </c>
      <c r="D115" s="43" t="inlineStr">
        <is>
          <t>単体引違い窓</t>
        </is>
      </c>
      <c r="E115" s="43" t="n"/>
      <c r="F115" s="43" t="inlineStr">
        <is>
          <t>在来</t>
        </is>
      </c>
      <c r="G115" s="43" t="inlineStr">
        <is>
          <t>16018</t>
        </is>
      </c>
      <c r="H115" s="43" t="inlineStr">
        <is>
          <t>160</t>
        </is>
      </c>
      <c r="I115" s="43" t="inlineStr">
        <is>
          <t>18</t>
        </is>
      </c>
      <c r="J115" s="222" t="n">
        <v>1640</v>
      </c>
      <c r="K115" s="222" t="n">
        <v>1830</v>
      </c>
      <c r="L115" s="43" t="inlineStr">
        <is>
          <t>在来｜テラス①</t>
        </is>
      </c>
      <c r="M115" s="178" t="b">
        <v>1</v>
      </c>
      <c r="N115" s="43" t="inlineStr">
        <is>
          <t>カタログ規格確認済み</t>
        </is>
      </c>
      <c r="O115" s="222" t="n">
        <v>16</v>
      </c>
      <c r="P115" s="222" t="n">
        <v>14</v>
      </c>
      <c r="Q115" s="43" t="inlineStr">
        <is>
          <t>202604_LIXIL_サーモスＬ_業務用資料集_完成品価格表.pdf</t>
        </is>
      </c>
      <c r="R115" s="43" t="n"/>
      <c r="S115" s="42" t="inlineStr">
        <is>
          <t>無印</t>
        </is>
      </c>
      <c r="T115" s="42" t="n">
        <v>15</v>
      </c>
      <c r="U115" s="42" t="inlineStr">
        <is>
          <t>P15|無印</t>
        </is>
      </c>
      <c r="V115" s="42" t="inlineStr">
        <is>
          <t>同一価格表・次頁凡例を継承</t>
        </is>
      </c>
    </row>
    <row r="116">
      <c r="A116" s="43" t="inlineStr">
        <is>
          <t>SZ-SL-000113</t>
        </is>
      </c>
      <c r="B116" s="43" t="inlineStr">
        <is>
          <t>SER-LIX-SAMOSL</t>
        </is>
      </c>
      <c r="C116" s="43" t="inlineStr">
        <is>
          <t>WT-SL-HIKICHIGAI</t>
        </is>
      </c>
      <c r="D116" s="43" t="inlineStr">
        <is>
          <t>単体引違い窓</t>
        </is>
      </c>
      <c r="E116" s="43" t="n"/>
      <c r="F116" s="43" t="inlineStr">
        <is>
          <t>在来</t>
        </is>
      </c>
      <c r="G116" s="43" t="inlineStr">
        <is>
          <t>16020</t>
        </is>
      </c>
      <c r="H116" s="43" t="inlineStr">
        <is>
          <t>160</t>
        </is>
      </c>
      <c r="I116" s="43" t="inlineStr">
        <is>
          <t>20</t>
        </is>
      </c>
      <c r="J116" s="222" t="n">
        <v>1640</v>
      </c>
      <c r="K116" s="222" t="n">
        <v>2030</v>
      </c>
      <c r="L116" s="43" t="inlineStr">
        <is>
          <t>在来｜テラス①</t>
        </is>
      </c>
      <c r="M116" s="178" t="b">
        <v>1</v>
      </c>
      <c r="N116" s="43" t="inlineStr">
        <is>
          <t>カタログ規格確認済み</t>
        </is>
      </c>
      <c r="O116" s="222" t="n">
        <v>16</v>
      </c>
      <c r="P116" s="222" t="n">
        <v>14</v>
      </c>
      <c r="Q116" s="43" t="inlineStr">
        <is>
          <t>202604_LIXIL_サーモスＬ_業務用資料集_完成品価格表.pdf</t>
        </is>
      </c>
      <c r="R116" s="43" t="n"/>
      <c r="S116" s="42" t="inlineStr">
        <is>
          <t>▲</t>
        </is>
      </c>
      <c r="T116" s="42" t="n">
        <v>15</v>
      </c>
      <c r="U116" s="42" t="inlineStr">
        <is>
          <t>P15|▲</t>
        </is>
      </c>
      <c r="V116" s="42" t="inlineStr">
        <is>
          <t>同一価格表・次頁凡例を継承</t>
        </is>
      </c>
    </row>
    <row r="117">
      <c r="A117" s="43" t="inlineStr">
        <is>
          <t>SZ-SL-000114</t>
        </is>
      </c>
      <c r="B117" s="43" t="inlineStr">
        <is>
          <t>SER-LIX-SAMOSL</t>
        </is>
      </c>
      <c r="C117" s="43" t="inlineStr">
        <is>
          <t>WT-SL-HIKICHIGAI</t>
        </is>
      </c>
      <c r="D117" s="43" t="inlineStr">
        <is>
          <t>単体引違い窓</t>
        </is>
      </c>
      <c r="E117" s="43" t="n"/>
      <c r="F117" s="43" t="inlineStr">
        <is>
          <t>在来</t>
        </is>
      </c>
      <c r="G117" s="43" t="inlineStr">
        <is>
          <t>16518</t>
        </is>
      </c>
      <c r="H117" s="43" t="inlineStr">
        <is>
          <t>165</t>
        </is>
      </c>
      <c r="I117" s="43" t="inlineStr">
        <is>
          <t>18</t>
        </is>
      </c>
      <c r="J117" s="222" t="n">
        <v>1690</v>
      </c>
      <c r="K117" s="222" t="n">
        <v>1830</v>
      </c>
      <c r="L117" s="43" t="inlineStr">
        <is>
          <t>在来｜テラス①</t>
        </is>
      </c>
      <c r="M117" s="178" t="b">
        <v>1</v>
      </c>
      <c r="N117" s="43" t="inlineStr">
        <is>
          <t>カタログ規格確認済み</t>
        </is>
      </c>
      <c r="O117" s="222" t="n">
        <v>16</v>
      </c>
      <c r="P117" s="222" t="n">
        <v>14</v>
      </c>
      <c r="Q117" s="43" t="inlineStr">
        <is>
          <t>202604_LIXIL_サーモスＬ_業務用資料集_完成品価格表.pdf</t>
        </is>
      </c>
      <c r="R117" s="43" t="n"/>
      <c r="S117" s="42" t="inlineStr">
        <is>
          <t>無印</t>
        </is>
      </c>
      <c r="T117" s="42" t="n">
        <v>15</v>
      </c>
      <c r="U117" s="42" t="inlineStr">
        <is>
          <t>P15|無印</t>
        </is>
      </c>
      <c r="V117" s="42" t="inlineStr">
        <is>
          <t>同一価格表・次頁凡例を継承</t>
        </is>
      </c>
    </row>
    <row r="118">
      <c r="A118" s="43" t="inlineStr">
        <is>
          <t>SZ-SL-000115</t>
        </is>
      </c>
      <c r="B118" s="43" t="inlineStr">
        <is>
          <t>SER-LIX-SAMOSL</t>
        </is>
      </c>
      <c r="C118" s="43" t="inlineStr">
        <is>
          <t>WT-SL-HIKICHIGAI</t>
        </is>
      </c>
      <c r="D118" s="43" t="inlineStr">
        <is>
          <t>単体引違い窓</t>
        </is>
      </c>
      <c r="E118" s="43" t="n"/>
      <c r="F118" s="43" t="inlineStr">
        <is>
          <t>在来</t>
        </is>
      </c>
      <c r="G118" s="43" t="inlineStr">
        <is>
          <t>16520</t>
        </is>
      </c>
      <c r="H118" s="43" t="inlineStr">
        <is>
          <t>165</t>
        </is>
      </c>
      <c r="I118" s="43" t="inlineStr">
        <is>
          <t>20</t>
        </is>
      </c>
      <c r="J118" s="222" t="n">
        <v>1690</v>
      </c>
      <c r="K118" s="222" t="n">
        <v>2030</v>
      </c>
      <c r="L118" s="43" t="inlineStr">
        <is>
          <t>在来｜テラス①</t>
        </is>
      </c>
      <c r="M118" s="178" t="b">
        <v>1</v>
      </c>
      <c r="N118" s="43" t="inlineStr">
        <is>
          <t>カタログ規格確認済み</t>
        </is>
      </c>
      <c r="O118" s="222" t="n">
        <v>16</v>
      </c>
      <c r="P118" s="222" t="n">
        <v>14</v>
      </c>
      <c r="Q118" s="43" t="inlineStr">
        <is>
          <t>202604_LIXIL_サーモスＬ_業務用資料集_完成品価格表.pdf</t>
        </is>
      </c>
      <c r="R118" s="43" t="n"/>
      <c r="S118" s="42" t="inlineStr">
        <is>
          <t>★</t>
        </is>
      </c>
      <c r="T118" s="42" t="n">
        <v>15</v>
      </c>
      <c r="U118" s="42" t="inlineStr">
        <is>
          <t>P15|★</t>
        </is>
      </c>
      <c r="V118" s="42" t="inlineStr">
        <is>
          <t>同一価格表・次頁凡例を継承</t>
        </is>
      </c>
    </row>
    <row r="119">
      <c r="A119" s="43" t="inlineStr">
        <is>
          <t>SZ-SL-000116</t>
        </is>
      </c>
      <c r="B119" s="43" t="inlineStr">
        <is>
          <t>SER-LIX-SAMOSL</t>
        </is>
      </c>
      <c r="C119" s="43" t="inlineStr">
        <is>
          <t>WT-SL-HIKICHIGAI</t>
        </is>
      </c>
      <c r="D119" s="43" t="inlineStr">
        <is>
          <t>単体引違い窓</t>
        </is>
      </c>
      <c r="E119" s="43" t="n"/>
      <c r="F119" s="43" t="inlineStr">
        <is>
          <t>在来</t>
        </is>
      </c>
      <c r="G119" s="43" t="inlineStr">
        <is>
          <t>17418</t>
        </is>
      </c>
      <c r="H119" s="43" t="inlineStr">
        <is>
          <t>174</t>
        </is>
      </c>
      <c r="I119" s="43" t="inlineStr">
        <is>
          <t>18</t>
        </is>
      </c>
      <c r="J119" s="222" t="n">
        <v>1780</v>
      </c>
      <c r="K119" s="222" t="n">
        <v>1830</v>
      </c>
      <c r="L119" s="43" t="inlineStr">
        <is>
          <t>在来｜テラス①</t>
        </is>
      </c>
      <c r="M119" s="178" t="b">
        <v>1</v>
      </c>
      <c r="N119" s="43" t="inlineStr">
        <is>
          <t>カタログ規格確認済み</t>
        </is>
      </c>
      <c r="O119" s="222" t="n">
        <v>17</v>
      </c>
      <c r="P119" s="222" t="n">
        <v>15</v>
      </c>
      <c r="Q119" s="43" t="inlineStr">
        <is>
          <t>202604_LIXIL_サーモスＬ_業務用資料集_完成品価格表.pdf</t>
        </is>
      </c>
      <c r="R119" s="43" t="n"/>
      <c r="S119" s="42" t="inlineStr">
        <is>
          <t>無印</t>
        </is>
      </c>
      <c r="T119" s="42" t="n">
        <v>15</v>
      </c>
      <c r="U119" s="42" t="inlineStr">
        <is>
          <t>P15|無印</t>
        </is>
      </c>
      <c r="V119" s="42" t="inlineStr">
        <is>
          <t>同頁凡例へ直接連動</t>
        </is>
      </c>
    </row>
    <row r="120">
      <c r="A120" s="43" t="inlineStr">
        <is>
          <t>SZ-SL-000117</t>
        </is>
      </c>
      <c r="B120" s="43" t="inlineStr">
        <is>
          <t>SER-LIX-SAMOSL</t>
        </is>
      </c>
      <c r="C120" s="43" t="inlineStr">
        <is>
          <t>WT-SL-HIKICHIGAI</t>
        </is>
      </c>
      <c r="D120" s="43" t="inlineStr">
        <is>
          <t>単体引違い窓</t>
        </is>
      </c>
      <c r="E120" s="43" t="n"/>
      <c r="F120" s="43" t="inlineStr">
        <is>
          <t>在来</t>
        </is>
      </c>
      <c r="G120" s="43" t="inlineStr">
        <is>
          <t>17420</t>
        </is>
      </c>
      <c r="H120" s="43" t="inlineStr">
        <is>
          <t>174</t>
        </is>
      </c>
      <c r="I120" s="43" t="inlineStr">
        <is>
          <t>20</t>
        </is>
      </c>
      <c r="J120" s="222" t="n">
        <v>1780</v>
      </c>
      <c r="K120" s="222" t="n">
        <v>2030</v>
      </c>
      <c r="L120" s="43" t="inlineStr">
        <is>
          <t>在来｜テラス①</t>
        </is>
      </c>
      <c r="M120" s="178" t="b">
        <v>1</v>
      </c>
      <c r="N120" s="43" t="inlineStr">
        <is>
          <t>カタログ規格確認済み</t>
        </is>
      </c>
      <c r="O120" s="222" t="n">
        <v>17</v>
      </c>
      <c r="P120" s="222" t="n">
        <v>15</v>
      </c>
      <c r="Q120" s="43" t="inlineStr">
        <is>
          <t>202604_LIXIL_サーモスＬ_業務用資料集_完成品価格表.pdf</t>
        </is>
      </c>
      <c r="R120" s="43" t="n"/>
      <c r="S120" s="42" t="inlineStr">
        <is>
          <t>★</t>
        </is>
      </c>
      <c r="T120" s="42" t="n">
        <v>15</v>
      </c>
      <c r="U120" s="42" t="inlineStr">
        <is>
          <t>P15|★</t>
        </is>
      </c>
      <c r="V120" s="42" t="inlineStr">
        <is>
          <t>同頁凡例へ直接連動</t>
        </is>
      </c>
    </row>
    <row r="121">
      <c r="A121" s="43" t="inlineStr">
        <is>
          <t>SZ-SL-000118</t>
        </is>
      </c>
      <c r="B121" s="43" t="inlineStr">
        <is>
          <t>SER-LIX-SAMOSL</t>
        </is>
      </c>
      <c r="C121" s="43" t="inlineStr">
        <is>
          <t>WT-SL-HIKICHIGAI</t>
        </is>
      </c>
      <c r="D121" s="43" t="inlineStr">
        <is>
          <t>単体引違い窓</t>
        </is>
      </c>
      <c r="E121" s="43" t="n"/>
      <c r="F121" s="43" t="inlineStr">
        <is>
          <t>在来</t>
        </is>
      </c>
      <c r="G121" s="43" t="inlineStr">
        <is>
          <t>17618</t>
        </is>
      </c>
      <c r="H121" s="43" t="inlineStr">
        <is>
          <t>176</t>
        </is>
      </c>
      <c r="I121" s="43" t="inlineStr">
        <is>
          <t>18</t>
        </is>
      </c>
      <c r="J121" s="222" t="n">
        <v>1800</v>
      </c>
      <c r="K121" s="222" t="n">
        <v>1830</v>
      </c>
      <c r="L121" s="43" t="inlineStr">
        <is>
          <t>在来｜テラス①</t>
        </is>
      </c>
      <c r="M121" s="178" t="b">
        <v>1</v>
      </c>
      <c r="N121" s="43" t="inlineStr">
        <is>
          <t>カタログ規格確認済み</t>
        </is>
      </c>
      <c r="O121" s="222" t="n">
        <v>17</v>
      </c>
      <c r="P121" s="222" t="n">
        <v>15</v>
      </c>
      <c r="Q121" s="43" t="inlineStr">
        <is>
          <t>202604_LIXIL_サーモスＬ_業務用資料集_完成品価格表.pdf</t>
        </is>
      </c>
      <c r="R121" s="43" t="n"/>
      <c r="S121" s="42" t="inlineStr">
        <is>
          <t>無印</t>
        </is>
      </c>
      <c r="T121" s="42" t="n">
        <v>15</v>
      </c>
      <c r="U121" s="42" t="inlineStr">
        <is>
          <t>P15|無印</t>
        </is>
      </c>
      <c r="V121" s="42" t="inlineStr">
        <is>
          <t>同頁凡例へ直接連動</t>
        </is>
      </c>
    </row>
    <row r="122">
      <c r="A122" s="43" t="inlineStr">
        <is>
          <t>SZ-SL-000119</t>
        </is>
      </c>
      <c r="B122" s="43" t="inlineStr">
        <is>
          <t>SER-LIX-SAMOSL</t>
        </is>
      </c>
      <c r="C122" s="43" t="inlineStr">
        <is>
          <t>WT-SL-HIKICHIGAI</t>
        </is>
      </c>
      <c r="D122" s="43" t="inlineStr">
        <is>
          <t>単体引違い窓</t>
        </is>
      </c>
      <c r="E122" s="43" t="n"/>
      <c r="F122" s="43" t="inlineStr">
        <is>
          <t>在来</t>
        </is>
      </c>
      <c r="G122" s="43" t="inlineStr">
        <is>
          <t>17620</t>
        </is>
      </c>
      <c r="H122" s="43" t="inlineStr">
        <is>
          <t>176</t>
        </is>
      </c>
      <c r="I122" s="43" t="inlineStr">
        <is>
          <t>20</t>
        </is>
      </c>
      <c r="J122" s="222" t="n">
        <v>1800</v>
      </c>
      <c r="K122" s="222" t="n">
        <v>2030</v>
      </c>
      <c r="L122" s="43" t="inlineStr">
        <is>
          <t>在来｜テラス①</t>
        </is>
      </c>
      <c r="M122" s="178" t="b">
        <v>1</v>
      </c>
      <c r="N122" s="43" t="inlineStr">
        <is>
          <t>カタログ規格確認済み</t>
        </is>
      </c>
      <c r="O122" s="222" t="n">
        <v>17</v>
      </c>
      <c r="P122" s="222" t="n">
        <v>15</v>
      </c>
      <c r="Q122" s="43" t="inlineStr">
        <is>
          <t>202604_LIXIL_サーモスＬ_業務用資料集_完成品価格表.pdf</t>
        </is>
      </c>
      <c r="R122" s="43" t="n"/>
      <c r="S122" s="42" t="inlineStr">
        <is>
          <t>★</t>
        </is>
      </c>
      <c r="T122" s="42" t="n">
        <v>15</v>
      </c>
      <c r="U122" s="42" t="inlineStr">
        <is>
          <t>P15|★</t>
        </is>
      </c>
      <c r="V122" s="42" t="inlineStr">
        <is>
          <t>同頁凡例へ直接連動</t>
        </is>
      </c>
    </row>
    <row r="123">
      <c r="A123" s="43" t="inlineStr">
        <is>
          <t>SZ-SL-000120</t>
        </is>
      </c>
      <c r="B123" s="43" t="inlineStr">
        <is>
          <t>SER-LIX-SAMOSL</t>
        </is>
      </c>
      <c r="C123" s="43" t="inlineStr">
        <is>
          <t>WT-SL-HIKICHIGAI</t>
        </is>
      </c>
      <c r="D123" s="43" t="inlineStr">
        <is>
          <t>単体引違い窓</t>
        </is>
      </c>
      <c r="E123" s="43" t="n"/>
      <c r="F123" s="43" t="inlineStr">
        <is>
          <t>在来</t>
        </is>
      </c>
      <c r="G123" s="43" t="inlineStr">
        <is>
          <t>17818</t>
        </is>
      </c>
      <c r="H123" s="43" t="inlineStr">
        <is>
          <t>178</t>
        </is>
      </c>
      <c r="I123" s="43" t="inlineStr">
        <is>
          <t>18</t>
        </is>
      </c>
      <c r="J123" s="222" t="n">
        <v>1820</v>
      </c>
      <c r="K123" s="222" t="n">
        <v>1830</v>
      </c>
      <c r="L123" s="43" t="inlineStr">
        <is>
          <t>在来｜テラス①</t>
        </is>
      </c>
      <c r="M123" s="178" t="b">
        <v>1</v>
      </c>
      <c r="N123" s="43" t="inlineStr">
        <is>
          <t>カタログ規格確認済み</t>
        </is>
      </c>
      <c r="O123" s="222" t="n">
        <v>17</v>
      </c>
      <c r="P123" s="222" t="n">
        <v>15</v>
      </c>
      <c r="Q123" s="43" t="inlineStr">
        <is>
          <t>202604_LIXIL_サーモスＬ_業務用資料集_完成品価格表.pdf</t>
        </is>
      </c>
      <c r="R123" s="43" t="n"/>
      <c r="S123" s="42" t="inlineStr">
        <is>
          <t>△</t>
        </is>
      </c>
      <c r="T123" s="42" t="n">
        <v>15</v>
      </c>
      <c r="U123" s="42" t="inlineStr">
        <is>
          <t>P15|△</t>
        </is>
      </c>
      <c r="V123" s="42" t="inlineStr">
        <is>
          <t>同頁凡例へ直接連動</t>
        </is>
      </c>
    </row>
    <row r="124">
      <c r="A124" s="43" t="inlineStr">
        <is>
          <t>SZ-SL-000121</t>
        </is>
      </c>
      <c r="B124" s="43" t="inlineStr">
        <is>
          <t>SER-LIX-SAMOSL</t>
        </is>
      </c>
      <c r="C124" s="43" t="inlineStr">
        <is>
          <t>WT-SL-HIKICHIGAI</t>
        </is>
      </c>
      <c r="D124" s="43" t="inlineStr">
        <is>
          <t>単体引違い窓</t>
        </is>
      </c>
      <c r="E124" s="43" t="n"/>
      <c r="F124" s="43" t="inlineStr">
        <is>
          <t>在来</t>
        </is>
      </c>
      <c r="G124" s="43" t="inlineStr">
        <is>
          <t>17820</t>
        </is>
      </c>
      <c r="H124" s="43" t="inlineStr">
        <is>
          <t>178</t>
        </is>
      </c>
      <c r="I124" s="43" t="inlineStr">
        <is>
          <t>20</t>
        </is>
      </c>
      <c r="J124" s="222" t="n">
        <v>1820</v>
      </c>
      <c r="K124" s="222" t="n">
        <v>2030</v>
      </c>
      <c r="L124" s="43" t="inlineStr">
        <is>
          <t>在来｜テラス①</t>
        </is>
      </c>
      <c r="M124" s="178" t="b">
        <v>1</v>
      </c>
      <c r="N124" s="43" t="inlineStr">
        <is>
          <t>カタログ規格確認済み</t>
        </is>
      </c>
      <c r="O124" s="222" t="n">
        <v>17</v>
      </c>
      <c r="P124" s="222" t="n">
        <v>15</v>
      </c>
      <c r="Q124" s="43" t="inlineStr">
        <is>
          <t>202604_LIXIL_サーモスＬ_業務用資料集_完成品価格表.pdf</t>
        </is>
      </c>
      <c r="R124" s="43" t="n"/>
      <c r="S124" s="42" t="inlineStr">
        <is>
          <t>★</t>
        </is>
      </c>
      <c r="T124" s="42" t="n">
        <v>15</v>
      </c>
      <c r="U124" s="42" t="inlineStr">
        <is>
          <t>P15|★</t>
        </is>
      </c>
      <c r="V124" s="42" t="inlineStr">
        <is>
          <t>同頁凡例へ直接連動</t>
        </is>
      </c>
    </row>
    <row r="125">
      <c r="A125" s="43" t="inlineStr">
        <is>
          <t>SZ-SL-000122</t>
        </is>
      </c>
      <c r="B125" s="43" t="inlineStr">
        <is>
          <t>SER-LIX-SAMOSL</t>
        </is>
      </c>
      <c r="C125" s="43" t="inlineStr">
        <is>
          <t>WT-SL-HIKICHIGAI</t>
        </is>
      </c>
      <c r="D125" s="43" t="inlineStr">
        <is>
          <t>単体引違い窓</t>
        </is>
      </c>
      <c r="E125" s="43" t="n"/>
      <c r="F125" s="43" t="inlineStr">
        <is>
          <t>在来</t>
        </is>
      </c>
      <c r="G125" s="43" t="inlineStr">
        <is>
          <t>18018</t>
        </is>
      </c>
      <c r="H125" s="43" t="inlineStr">
        <is>
          <t>180</t>
        </is>
      </c>
      <c r="I125" s="43" t="inlineStr">
        <is>
          <t>18</t>
        </is>
      </c>
      <c r="J125" s="222" t="n">
        <v>1845</v>
      </c>
      <c r="K125" s="222" t="n">
        <v>1830</v>
      </c>
      <c r="L125" s="43" t="inlineStr">
        <is>
          <t>在来｜テラス②</t>
        </is>
      </c>
      <c r="M125" s="178" t="b">
        <v>1</v>
      </c>
      <c r="N125" s="43" t="inlineStr">
        <is>
          <t>カタログ規格確認済み</t>
        </is>
      </c>
      <c r="O125" s="222" t="n">
        <v>18</v>
      </c>
      <c r="P125" s="222" t="n">
        <v>16</v>
      </c>
      <c r="Q125" s="43" t="inlineStr">
        <is>
          <t>202604_LIXIL_サーモスＬ_業務用資料集_完成品価格表.pdf</t>
        </is>
      </c>
      <c r="R125" s="43" t="n"/>
      <c r="S125" s="42" t="inlineStr">
        <is>
          <t>★</t>
        </is>
      </c>
      <c r="T125" s="42" t="n">
        <v>17</v>
      </c>
      <c r="U125" s="42" t="inlineStr">
        <is>
          <t>P17|★</t>
        </is>
      </c>
      <c r="V125" s="42" t="inlineStr">
        <is>
          <t>同一価格表・次頁凡例を継承</t>
        </is>
      </c>
    </row>
    <row r="126">
      <c r="A126" s="43" t="inlineStr">
        <is>
          <t>SZ-SL-000123</t>
        </is>
      </c>
      <c r="B126" s="43" t="inlineStr">
        <is>
          <t>SER-LIX-SAMOSL</t>
        </is>
      </c>
      <c r="C126" s="43" t="inlineStr">
        <is>
          <t>WT-SL-HIKICHIGAI</t>
        </is>
      </c>
      <c r="D126" s="43" t="inlineStr">
        <is>
          <t>単体引違い窓</t>
        </is>
      </c>
      <c r="E126" s="43" t="n"/>
      <c r="F126" s="43" t="inlineStr">
        <is>
          <t>在来</t>
        </is>
      </c>
      <c r="G126" s="43" t="inlineStr">
        <is>
          <t>18020</t>
        </is>
      </c>
      <c r="H126" s="43" t="inlineStr">
        <is>
          <t>180</t>
        </is>
      </c>
      <c r="I126" s="43" t="inlineStr">
        <is>
          <t>20</t>
        </is>
      </c>
      <c r="J126" s="222" t="n">
        <v>1845</v>
      </c>
      <c r="K126" s="222" t="n">
        <v>2030</v>
      </c>
      <c r="L126" s="43" t="inlineStr">
        <is>
          <t>在来｜テラス②</t>
        </is>
      </c>
      <c r="M126" s="178" t="b">
        <v>1</v>
      </c>
      <c r="N126" s="43" t="inlineStr">
        <is>
          <t>カタログ規格確認済み</t>
        </is>
      </c>
      <c r="O126" s="222" t="n">
        <v>18</v>
      </c>
      <c r="P126" s="222" t="n">
        <v>16</v>
      </c>
      <c r="Q126" s="43" t="inlineStr">
        <is>
          <t>202604_LIXIL_サーモスＬ_業務用資料集_完成品価格表.pdf</t>
        </is>
      </c>
      <c r="R126" s="43" t="n"/>
      <c r="S126" s="42" t="inlineStr">
        <is>
          <t>★</t>
        </is>
      </c>
      <c r="T126" s="42" t="n">
        <v>17</v>
      </c>
      <c r="U126" s="42" t="inlineStr">
        <is>
          <t>P17|★</t>
        </is>
      </c>
      <c r="V126" s="42" t="inlineStr">
        <is>
          <t>同一価格表・次頁凡例を継承</t>
        </is>
      </c>
    </row>
    <row r="127">
      <c r="A127" s="43" t="inlineStr">
        <is>
          <t>SZ-SL-000124</t>
        </is>
      </c>
      <c r="B127" s="43" t="inlineStr">
        <is>
          <t>SER-LIX-SAMOSL</t>
        </is>
      </c>
      <c r="C127" s="43" t="inlineStr">
        <is>
          <t>WT-SL-HIKICHIGAI</t>
        </is>
      </c>
      <c r="D127" s="43" t="inlineStr">
        <is>
          <t>単体引違い窓</t>
        </is>
      </c>
      <c r="E127" s="43" t="n"/>
      <c r="F127" s="43" t="inlineStr">
        <is>
          <t>在来</t>
        </is>
      </c>
      <c r="G127" s="43" t="inlineStr">
        <is>
          <t>18318</t>
        </is>
      </c>
      <c r="H127" s="43" t="inlineStr">
        <is>
          <t>183</t>
        </is>
      </c>
      <c r="I127" s="43" t="inlineStr">
        <is>
          <t>18</t>
        </is>
      </c>
      <c r="J127" s="222" t="n">
        <v>1870</v>
      </c>
      <c r="K127" s="222" t="n">
        <v>1830</v>
      </c>
      <c r="L127" s="43" t="inlineStr">
        <is>
          <t>在来｜テラス②</t>
        </is>
      </c>
      <c r="M127" s="178" t="b">
        <v>1</v>
      </c>
      <c r="N127" s="43" t="inlineStr">
        <is>
          <t>カタログ規格確認済み</t>
        </is>
      </c>
      <c r="O127" s="222" t="n">
        <v>18</v>
      </c>
      <c r="P127" s="222" t="n">
        <v>16</v>
      </c>
      <c r="Q127" s="43" t="inlineStr">
        <is>
          <t>202604_LIXIL_サーモスＬ_業務用資料集_完成品価格表.pdf</t>
        </is>
      </c>
      <c r="R127" s="43" t="n"/>
      <c r="S127" s="42" t="inlineStr">
        <is>
          <t>★</t>
        </is>
      </c>
      <c r="T127" s="42" t="n">
        <v>17</v>
      </c>
      <c r="U127" s="42" t="inlineStr">
        <is>
          <t>P17|★</t>
        </is>
      </c>
      <c r="V127" s="42" t="inlineStr">
        <is>
          <t>同一価格表・次頁凡例を継承</t>
        </is>
      </c>
    </row>
    <row r="128">
      <c r="A128" s="43" t="inlineStr">
        <is>
          <t>SZ-SL-000125</t>
        </is>
      </c>
      <c r="B128" s="43" t="inlineStr">
        <is>
          <t>SER-LIX-SAMOSL</t>
        </is>
      </c>
      <c r="C128" s="43" t="inlineStr">
        <is>
          <t>WT-SL-HIKICHIGAI</t>
        </is>
      </c>
      <c r="D128" s="43" t="inlineStr">
        <is>
          <t>単体引違い窓</t>
        </is>
      </c>
      <c r="E128" s="43" t="n"/>
      <c r="F128" s="43" t="inlineStr">
        <is>
          <t>在来</t>
        </is>
      </c>
      <c r="G128" s="43" t="inlineStr">
        <is>
          <t>18320</t>
        </is>
      </c>
      <c r="H128" s="43" t="inlineStr">
        <is>
          <t>183</t>
        </is>
      </c>
      <c r="I128" s="43" t="inlineStr">
        <is>
          <t>20</t>
        </is>
      </c>
      <c r="J128" s="222" t="n">
        <v>1870</v>
      </c>
      <c r="K128" s="222" t="n">
        <v>2030</v>
      </c>
      <c r="L128" s="43" t="inlineStr">
        <is>
          <t>在来｜テラス②</t>
        </is>
      </c>
      <c r="M128" s="178" t="b">
        <v>1</v>
      </c>
      <c r="N128" s="43" t="inlineStr">
        <is>
          <t>カタログ規格確認済み</t>
        </is>
      </c>
      <c r="O128" s="222" t="n">
        <v>18</v>
      </c>
      <c r="P128" s="222" t="n">
        <v>16</v>
      </c>
      <c r="Q128" s="43" t="inlineStr">
        <is>
          <t>202604_LIXIL_サーモスＬ_業務用資料集_完成品価格表.pdf</t>
        </is>
      </c>
      <c r="R128" s="43" t="n"/>
      <c r="S128" s="42" t="inlineStr">
        <is>
          <t>★</t>
        </is>
      </c>
      <c r="T128" s="42" t="n">
        <v>17</v>
      </c>
      <c r="U128" s="42" t="inlineStr">
        <is>
          <t>P17|★</t>
        </is>
      </c>
      <c r="V128" s="42" t="inlineStr">
        <is>
          <t>同一価格表・次頁凡例を継承</t>
        </is>
      </c>
    </row>
    <row r="129">
      <c r="A129" s="43" t="inlineStr">
        <is>
          <t>SZ-SL-000126</t>
        </is>
      </c>
      <c r="B129" s="43" t="inlineStr">
        <is>
          <t>SER-LIX-SAMOSL</t>
        </is>
      </c>
      <c r="C129" s="43" t="inlineStr">
        <is>
          <t>WT-SL-HIKICHIGAI</t>
        </is>
      </c>
      <c r="D129" s="43" t="inlineStr">
        <is>
          <t>単体引違い窓</t>
        </is>
      </c>
      <c r="E129" s="43" t="n"/>
      <c r="F129" s="43" t="inlineStr">
        <is>
          <t>在来</t>
        </is>
      </c>
      <c r="G129" s="43" t="inlineStr">
        <is>
          <t>18618</t>
        </is>
      </c>
      <c r="H129" s="43" t="inlineStr">
        <is>
          <t>186</t>
        </is>
      </c>
      <c r="I129" s="43" t="inlineStr">
        <is>
          <t>18</t>
        </is>
      </c>
      <c r="J129" s="222" t="n">
        <v>1900</v>
      </c>
      <c r="K129" s="222" t="n">
        <v>1830</v>
      </c>
      <c r="L129" s="43" t="inlineStr">
        <is>
          <t>在来｜テラス②</t>
        </is>
      </c>
      <c r="M129" s="178" t="b">
        <v>1</v>
      </c>
      <c r="N129" s="43" t="inlineStr">
        <is>
          <t>カタログ規格確認済み</t>
        </is>
      </c>
      <c r="O129" s="222" t="n">
        <v>18</v>
      </c>
      <c r="P129" s="222" t="n">
        <v>16</v>
      </c>
      <c r="Q129" s="43" t="inlineStr">
        <is>
          <t>202604_LIXIL_サーモスＬ_業務用資料集_完成品価格表.pdf</t>
        </is>
      </c>
      <c r="R129" s="43" t="n"/>
      <c r="S129" s="42" t="inlineStr">
        <is>
          <t>★</t>
        </is>
      </c>
      <c r="T129" s="42" t="n">
        <v>17</v>
      </c>
      <c r="U129" s="42" t="inlineStr">
        <is>
          <t>P17|★</t>
        </is>
      </c>
      <c r="V129" s="42" t="inlineStr">
        <is>
          <t>同一価格表・次頁凡例を継承</t>
        </is>
      </c>
    </row>
    <row r="130">
      <c r="A130" s="43" t="inlineStr">
        <is>
          <t>SZ-SL-000127</t>
        </is>
      </c>
      <c r="B130" s="43" t="inlineStr">
        <is>
          <t>SER-LIX-SAMOSL</t>
        </is>
      </c>
      <c r="C130" s="43" t="inlineStr">
        <is>
          <t>WT-SL-HIKICHIGAI</t>
        </is>
      </c>
      <c r="D130" s="43" t="inlineStr">
        <is>
          <t>単体引違い窓</t>
        </is>
      </c>
      <c r="E130" s="43" t="n"/>
      <c r="F130" s="43" t="inlineStr">
        <is>
          <t>在来</t>
        </is>
      </c>
      <c r="G130" s="43" t="inlineStr">
        <is>
          <t>18620</t>
        </is>
      </c>
      <c r="H130" s="43" t="inlineStr">
        <is>
          <t>186</t>
        </is>
      </c>
      <c r="I130" s="43" t="inlineStr">
        <is>
          <t>20</t>
        </is>
      </c>
      <c r="J130" s="222" t="n">
        <v>1900</v>
      </c>
      <c r="K130" s="222" t="n">
        <v>2030</v>
      </c>
      <c r="L130" s="43" t="inlineStr">
        <is>
          <t>在来｜テラス②</t>
        </is>
      </c>
      <c r="M130" s="178" t="b">
        <v>1</v>
      </c>
      <c r="N130" s="43" t="inlineStr">
        <is>
          <t>カタログ規格確認済み</t>
        </is>
      </c>
      <c r="O130" s="222" t="n">
        <v>18</v>
      </c>
      <c r="P130" s="222" t="n">
        <v>16</v>
      </c>
      <c r="Q130" s="43" t="inlineStr">
        <is>
          <t>202604_LIXIL_サーモスＬ_業務用資料集_完成品価格表.pdf</t>
        </is>
      </c>
      <c r="R130" s="43" t="n"/>
      <c r="S130" s="42" t="inlineStr">
        <is>
          <t>★</t>
        </is>
      </c>
      <c r="T130" s="42" t="n">
        <v>17</v>
      </c>
      <c r="U130" s="42" t="inlineStr">
        <is>
          <t>P17|★</t>
        </is>
      </c>
      <c r="V130" s="42" t="inlineStr">
        <is>
          <t>同一価格表・次頁凡例を継承</t>
        </is>
      </c>
    </row>
    <row r="131">
      <c r="A131" s="43" t="inlineStr">
        <is>
          <t>SZ-SL-000128</t>
        </is>
      </c>
      <c r="B131" s="43" t="inlineStr">
        <is>
          <t>SER-LIX-SAMOSL</t>
        </is>
      </c>
      <c r="C131" s="43" t="inlineStr">
        <is>
          <t>WT-SL-HIKICHIGAI</t>
        </is>
      </c>
      <c r="D131" s="43" t="inlineStr">
        <is>
          <t>単体引違い窓</t>
        </is>
      </c>
      <c r="E131" s="43" t="n"/>
      <c r="F131" s="43" t="inlineStr">
        <is>
          <t>在来</t>
        </is>
      </c>
      <c r="G131" s="43" t="inlineStr">
        <is>
          <t>25118-2</t>
        </is>
      </c>
      <c r="H131" s="43" t="inlineStr">
        <is>
          <t>251-2</t>
        </is>
      </c>
      <c r="I131" s="43" t="inlineStr">
        <is>
          <t>18</t>
        </is>
      </c>
      <c r="J131" s="222" t="n">
        <v>2550</v>
      </c>
      <c r="K131" s="222" t="n">
        <v>1830</v>
      </c>
      <c r="L131" s="43" t="inlineStr">
        <is>
          <t>在来｜テラス②</t>
        </is>
      </c>
      <c r="M131" s="178" t="b">
        <v>1</v>
      </c>
      <c r="N131" s="43" t="inlineStr">
        <is>
          <t>カタログ規格確認済み</t>
        </is>
      </c>
      <c r="O131" s="222" t="n">
        <v>18</v>
      </c>
      <c r="P131" s="222" t="n">
        <v>16</v>
      </c>
      <c r="Q131" s="43" t="inlineStr">
        <is>
          <t>202604_LIXIL_サーモスＬ_業務用資料集_完成品価格表.pdf</t>
        </is>
      </c>
      <c r="R131" s="43" t="n"/>
      <c r="S131" s="42" t="inlineStr">
        <is>
          <t>☆</t>
        </is>
      </c>
      <c r="T131" s="42" t="n">
        <v>17</v>
      </c>
      <c r="U131" s="42" t="inlineStr">
        <is>
          <t>P17|☆</t>
        </is>
      </c>
      <c r="V131" s="42" t="inlineStr">
        <is>
          <t>同一価格表・次頁凡例を継承</t>
        </is>
      </c>
    </row>
    <row r="132">
      <c r="A132" s="43" t="inlineStr">
        <is>
          <t>SZ-SL-000129</t>
        </is>
      </c>
      <c r="B132" s="43" t="inlineStr">
        <is>
          <t>SER-LIX-SAMOSL</t>
        </is>
      </c>
      <c r="C132" s="43" t="inlineStr">
        <is>
          <t>WT-SL-HIKICHIGAI</t>
        </is>
      </c>
      <c r="D132" s="43" t="inlineStr">
        <is>
          <t>単体引違い窓</t>
        </is>
      </c>
      <c r="E132" s="43" t="n"/>
      <c r="F132" s="43" t="inlineStr">
        <is>
          <t>在来</t>
        </is>
      </c>
      <c r="G132" s="43" t="inlineStr">
        <is>
          <t>25118-4</t>
        </is>
      </c>
      <c r="H132" s="43" t="inlineStr">
        <is>
          <t>251-4</t>
        </is>
      </c>
      <c r="I132" s="43" t="inlineStr">
        <is>
          <t>18</t>
        </is>
      </c>
      <c r="J132" s="222" t="n">
        <v>2550</v>
      </c>
      <c r="K132" s="222" t="n">
        <v>1830</v>
      </c>
      <c r="L132" s="43" t="inlineStr">
        <is>
          <t>在来｜テラス②</t>
        </is>
      </c>
      <c r="M132" s="178" t="b">
        <v>1</v>
      </c>
      <c r="N132" s="43" t="inlineStr">
        <is>
          <t>カタログ規格確認済み</t>
        </is>
      </c>
      <c r="O132" s="222" t="n">
        <v>18</v>
      </c>
      <c r="P132" s="222" t="n">
        <v>16</v>
      </c>
      <c r="Q132" s="43" t="inlineStr">
        <is>
          <t>202604_LIXIL_サーモスＬ_業務用資料集_完成品価格表.pdf</t>
        </is>
      </c>
      <c r="R132" s="43" t="n"/>
      <c r="S132" s="42" t="inlineStr">
        <is>
          <t>無印</t>
        </is>
      </c>
      <c r="T132" s="42" t="n">
        <v>17</v>
      </c>
      <c r="U132" s="42" t="inlineStr">
        <is>
          <t>P17|無印</t>
        </is>
      </c>
      <c r="V132" s="42" t="inlineStr">
        <is>
          <t>同一価格表・次頁凡例を継承</t>
        </is>
      </c>
    </row>
    <row r="133">
      <c r="A133" s="43" t="inlineStr">
        <is>
          <t>SZ-SL-000130</t>
        </is>
      </c>
      <c r="B133" s="43" t="inlineStr">
        <is>
          <t>SER-LIX-SAMOSL</t>
        </is>
      </c>
      <c r="C133" s="43" t="inlineStr">
        <is>
          <t>WT-SL-HIKICHIGAI</t>
        </is>
      </c>
      <c r="D133" s="43" t="inlineStr">
        <is>
          <t>単体引違い窓</t>
        </is>
      </c>
      <c r="E133" s="43" t="n"/>
      <c r="F133" s="43" t="inlineStr">
        <is>
          <t>在来</t>
        </is>
      </c>
      <c r="G133" s="43" t="inlineStr">
        <is>
          <t>25120-2</t>
        </is>
      </c>
      <c r="H133" s="43" t="inlineStr">
        <is>
          <t>251-2</t>
        </is>
      </c>
      <c r="I133" s="43" t="inlineStr">
        <is>
          <t>20</t>
        </is>
      </c>
      <c r="J133" s="222" t="n">
        <v>2550</v>
      </c>
      <c r="K133" s="222" t="n">
        <v>2030</v>
      </c>
      <c r="L133" s="43" t="inlineStr">
        <is>
          <t>在来｜テラス②</t>
        </is>
      </c>
      <c r="M133" s="178" t="b">
        <v>1</v>
      </c>
      <c r="N133" s="43" t="inlineStr">
        <is>
          <t>カタログ規格確認済み</t>
        </is>
      </c>
      <c r="O133" s="222" t="n">
        <v>18</v>
      </c>
      <c r="P133" s="222" t="n">
        <v>16</v>
      </c>
      <c r="Q133" s="43" t="inlineStr">
        <is>
          <t>202604_LIXIL_サーモスＬ_業務用資料集_完成品価格表.pdf</t>
        </is>
      </c>
      <c r="R133" s="43" t="n"/>
      <c r="S133" s="42" t="inlineStr">
        <is>
          <t>◆</t>
        </is>
      </c>
      <c r="T133" s="42" t="n">
        <v>17</v>
      </c>
      <c r="U133" s="42" t="inlineStr">
        <is>
          <t>P17|◆</t>
        </is>
      </c>
      <c r="V133" s="42" t="inlineStr">
        <is>
          <t>同一価格表・次頁凡例を継承</t>
        </is>
      </c>
    </row>
    <row r="134">
      <c r="A134" s="43" t="inlineStr">
        <is>
          <t>SZ-SL-000131</t>
        </is>
      </c>
      <c r="B134" s="43" t="inlineStr">
        <is>
          <t>SER-LIX-SAMOSL</t>
        </is>
      </c>
      <c r="C134" s="43" t="inlineStr">
        <is>
          <t>WT-SL-HIKICHIGAI</t>
        </is>
      </c>
      <c r="D134" s="43" t="inlineStr">
        <is>
          <t>単体引違い窓</t>
        </is>
      </c>
      <c r="E134" s="43" t="n"/>
      <c r="F134" s="43" t="inlineStr">
        <is>
          <t>在来</t>
        </is>
      </c>
      <c r="G134" s="43" t="inlineStr">
        <is>
          <t>25120-4</t>
        </is>
      </c>
      <c r="H134" s="43" t="inlineStr">
        <is>
          <t>251-4</t>
        </is>
      </c>
      <c r="I134" s="43" t="inlineStr">
        <is>
          <t>20</t>
        </is>
      </c>
      <c r="J134" s="222" t="n">
        <v>2550</v>
      </c>
      <c r="K134" s="222" t="n">
        <v>2030</v>
      </c>
      <c r="L134" s="43" t="inlineStr">
        <is>
          <t>在来｜テラス②</t>
        </is>
      </c>
      <c r="M134" s="178" t="b">
        <v>1</v>
      </c>
      <c r="N134" s="43" t="inlineStr">
        <is>
          <t>カタログ規格確認済み</t>
        </is>
      </c>
      <c r="O134" s="222" t="n">
        <v>18</v>
      </c>
      <c r="P134" s="222" t="n">
        <v>16</v>
      </c>
      <c r="Q134" s="43" t="inlineStr">
        <is>
          <t>202604_LIXIL_サーモスＬ_業務用資料集_完成品価格表.pdf</t>
        </is>
      </c>
      <c r="R134" s="43" t="n"/>
      <c r="S134" s="42" t="inlineStr">
        <is>
          <t>無印</t>
        </is>
      </c>
      <c r="T134" s="42" t="n">
        <v>17</v>
      </c>
      <c r="U134" s="42" t="inlineStr">
        <is>
          <t>P17|無印</t>
        </is>
      </c>
      <c r="V134" s="42" t="inlineStr">
        <is>
          <t>同一価格表・次頁凡例を継承</t>
        </is>
      </c>
    </row>
    <row r="135">
      <c r="A135" s="43" t="inlineStr">
        <is>
          <t>SZ-SL-000132</t>
        </is>
      </c>
      <c r="B135" s="43" t="inlineStr">
        <is>
          <t>SER-LIX-SAMOSL</t>
        </is>
      </c>
      <c r="C135" s="43" t="inlineStr">
        <is>
          <t>WT-SL-HIKICHIGAI</t>
        </is>
      </c>
      <c r="D135" s="43" t="inlineStr">
        <is>
          <t>単体引違い窓</t>
        </is>
      </c>
      <c r="E135" s="43" t="n"/>
      <c r="F135" s="43" t="inlineStr">
        <is>
          <t>在来</t>
        </is>
      </c>
      <c r="G135" s="43" t="inlineStr">
        <is>
          <t>25618-2</t>
        </is>
      </c>
      <c r="H135" s="43" t="inlineStr">
        <is>
          <t>256-2</t>
        </is>
      </c>
      <c r="I135" s="43" t="inlineStr">
        <is>
          <t>18</t>
        </is>
      </c>
      <c r="J135" s="222" t="n">
        <v>2600</v>
      </c>
      <c r="K135" s="222" t="n">
        <v>1830</v>
      </c>
      <c r="L135" s="43" t="inlineStr">
        <is>
          <t>在来｜テラス②</t>
        </is>
      </c>
      <c r="M135" s="178" t="b">
        <v>1</v>
      </c>
      <c r="N135" s="43" t="inlineStr">
        <is>
          <t>カタログ規格確認済み</t>
        </is>
      </c>
      <c r="O135" s="222" t="n">
        <v>19</v>
      </c>
      <c r="P135" s="222" t="n">
        <v>17</v>
      </c>
      <c r="Q135" s="43" t="inlineStr">
        <is>
          <t>202604_LIXIL_サーモスＬ_業務用資料集_完成品価格表.pdf</t>
        </is>
      </c>
      <c r="R135" s="43" t="n"/>
      <c r="S135" s="42" t="inlineStr">
        <is>
          <t>◆</t>
        </is>
      </c>
      <c r="T135" s="42" t="n">
        <v>17</v>
      </c>
      <c r="U135" s="42" t="inlineStr">
        <is>
          <t>P17|◆</t>
        </is>
      </c>
      <c r="V135" s="42" t="inlineStr">
        <is>
          <t>同頁凡例へ直接連動</t>
        </is>
      </c>
    </row>
    <row r="136">
      <c r="A136" s="43" t="inlineStr">
        <is>
          <t>SZ-SL-000133</t>
        </is>
      </c>
      <c r="B136" s="43" t="inlineStr">
        <is>
          <t>SER-LIX-SAMOSL</t>
        </is>
      </c>
      <c r="C136" s="43" t="inlineStr">
        <is>
          <t>WT-SL-HIKICHIGAI</t>
        </is>
      </c>
      <c r="D136" s="43" t="inlineStr">
        <is>
          <t>単体引違い窓</t>
        </is>
      </c>
      <c r="E136" s="43" t="n"/>
      <c r="F136" s="43" t="inlineStr">
        <is>
          <t>在来</t>
        </is>
      </c>
      <c r="G136" s="43" t="inlineStr">
        <is>
          <t>25618-4</t>
        </is>
      </c>
      <c r="H136" s="43" t="inlineStr">
        <is>
          <t>256-4</t>
        </is>
      </c>
      <c r="I136" s="43" t="inlineStr">
        <is>
          <t>18</t>
        </is>
      </c>
      <c r="J136" s="222" t="n">
        <v>2600</v>
      </c>
      <c r="K136" s="222" t="n">
        <v>1830</v>
      </c>
      <c r="L136" s="43" t="inlineStr">
        <is>
          <t>在来｜テラス②</t>
        </is>
      </c>
      <c r="M136" s="178" t="b">
        <v>1</v>
      </c>
      <c r="N136" s="43" t="inlineStr">
        <is>
          <t>カタログ規格確認済み</t>
        </is>
      </c>
      <c r="O136" s="222" t="n">
        <v>19</v>
      </c>
      <c r="P136" s="222" t="n">
        <v>17</v>
      </c>
      <c r="Q136" s="43" t="inlineStr">
        <is>
          <t>202604_LIXIL_サーモスＬ_業務用資料集_完成品価格表.pdf</t>
        </is>
      </c>
      <c r="R136" s="43" t="n"/>
      <c r="S136" s="42" t="inlineStr">
        <is>
          <t>無印</t>
        </is>
      </c>
      <c r="T136" s="42" t="n">
        <v>17</v>
      </c>
      <c r="U136" s="42" t="inlineStr">
        <is>
          <t>P17|無印</t>
        </is>
      </c>
      <c r="V136" s="42" t="inlineStr">
        <is>
          <t>同頁凡例へ直接連動</t>
        </is>
      </c>
    </row>
    <row r="137">
      <c r="A137" s="43" t="inlineStr">
        <is>
          <t>SZ-SL-000134</t>
        </is>
      </c>
      <c r="B137" s="43" t="inlineStr">
        <is>
          <t>SER-LIX-SAMOSL</t>
        </is>
      </c>
      <c r="C137" s="43" t="inlineStr">
        <is>
          <t>WT-SL-HIKICHIGAI</t>
        </is>
      </c>
      <c r="D137" s="43" t="inlineStr">
        <is>
          <t>単体引違い窓</t>
        </is>
      </c>
      <c r="E137" s="43" t="n"/>
      <c r="F137" s="43" t="inlineStr">
        <is>
          <t>在来</t>
        </is>
      </c>
      <c r="G137" s="43" t="inlineStr">
        <is>
          <t>25620-2</t>
        </is>
      </c>
      <c r="H137" s="43" t="inlineStr">
        <is>
          <t>256-2</t>
        </is>
      </c>
      <c r="I137" s="43" t="inlineStr">
        <is>
          <t>20</t>
        </is>
      </c>
      <c r="J137" s="222" t="n">
        <v>2600</v>
      </c>
      <c r="K137" s="222" t="n">
        <v>2030</v>
      </c>
      <c r="L137" s="43" t="inlineStr">
        <is>
          <t>在来｜テラス②</t>
        </is>
      </c>
      <c r="M137" s="178" t="b">
        <v>1</v>
      </c>
      <c r="N137" s="43" t="inlineStr">
        <is>
          <t>カタログ規格確認済み</t>
        </is>
      </c>
      <c r="O137" s="222" t="n">
        <v>19</v>
      </c>
      <c r="P137" s="222" t="n">
        <v>17</v>
      </c>
      <c r="Q137" s="43" t="inlineStr">
        <is>
          <t>202604_LIXIL_サーモスＬ_業務用資料集_完成品価格表.pdf</t>
        </is>
      </c>
      <c r="R137" s="43" t="n"/>
      <c r="S137" s="42" t="inlineStr">
        <is>
          <t>◆</t>
        </is>
      </c>
      <c r="T137" s="42" t="n">
        <v>17</v>
      </c>
      <c r="U137" s="42" t="inlineStr">
        <is>
          <t>P17|◆</t>
        </is>
      </c>
      <c r="V137" s="42" t="inlineStr">
        <is>
          <t>同頁凡例へ直接連動</t>
        </is>
      </c>
    </row>
    <row r="138">
      <c r="A138" s="43" t="inlineStr">
        <is>
          <t>SZ-SL-000135</t>
        </is>
      </c>
      <c r="B138" s="43" t="inlineStr">
        <is>
          <t>SER-LIX-SAMOSL</t>
        </is>
      </c>
      <c r="C138" s="43" t="inlineStr">
        <is>
          <t>WT-SL-HIKICHIGAI</t>
        </is>
      </c>
      <c r="D138" s="43" t="inlineStr">
        <is>
          <t>単体引違い窓</t>
        </is>
      </c>
      <c r="E138" s="43" t="n"/>
      <c r="F138" s="43" t="inlineStr">
        <is>
          <t>在来</t>
        </is>
      </c>
      <c r="G138" s="43" t="inlineStr">
        <is>
          <t>25620-4</t>
        </is>
      </c>
      <c r="H138" s="43" t="inlineStr">
        <is>
          <t>256-4</t>
        </is>
      </c>
      <c r="I138" s="43" t="inlineStr">
        <is>
          <t>20</t>
        </is>
      </c>
      <c r="J138" s="222" t="n">
        <v>2600</v>
      </c>
      <c r="K138" s="222" t="n">
        <v>2030</v>
      </c>
      <c r="L138" s="43" t="inlineStr">
        <is>
          <t>在来｜テラス②</t>
        </is>
      </c>
      <c r="M138" s="178" t="b">
        <v>1</v>
      </c>
      <c r="N138" s="43" t="inlineStr">
        <is>
          <t>カタログ規格確認済み</t>
        </is>
      </c>
      <c r="O138" s="222" t="n">
        <v>19</v>
      </c>
      <c r="P138" s="222" t="n">
        <v>17</v>
      </c>
      <c r="Q138" s="43" t="inlineStr">
        <is>
          <t>202604_LIXIL_サーモスＬ_業務用資料集_完成品価格表.pdf</t>
        </is>
      </c>
      <c r="R138" s="43" t="n"/>
      <c r="S138" s="42" t="inlineStr">
        <is>
          <t>無印</t>
        </is>
      </c>
      <c r="T138" s="42" t="n">
        <v>17</v>
      </c>
      <c r="U138" s="42" t="inlineStr">
        <is>
          <t>P17|無印</t>
        </is>
      </c>
      <c r="V138" s="42" t="inlineStr">
        <is>
          <t>同頁凡例へ直接連動</t>
        </is>
      </c>
    </row>
    <row r="139">
      <c r="A139" s="43" t="inlineStr">
        <is>
          <t>SZ-SL-000136</t>
        </is>
      </c>
      <c r="B139" s="43" t="inlineStr">
        <is>
          <t>SER-LIX-SAMOSL</t>
        </is>
      </c>
      <c r="C139" s="43" t="inlineStr">
        <is>
          <t>WT-SL-HIKICHIGAI</t>
        </is>
      </c>
      <c r="D139" s="43" t="inlineStr">
        <is>
          <t>単体引違い窓</t>
        </is>
      </c>
      <c r="E139" s="43" t="n"/>
      <c r="F139" s="43" t="inlineStr">
        <is>
          <t>在来</t>
        </is>
      </c>
      <c r="G139" s="43" t="inlineStr">
        <is>
          <t>34718</t>
        </is>
      </c>
      <c r="H139" s="43" t="inlineStr">
        <is>
          <t>347</t>
        </is>
      </c>
      <c r="I139" s="43" t="inlineStr">
        <is>
          <t>18</t>
        </is>
      </c>
      <c r="J139" s="222" t="n">
        <v>3510</v>
      </c>
      <c r="K139" s="222" t="n">
        <v>1830</v>
      </c>
      <c r="L139" s="43" t="inlineStr">
        <is>
          <t>在来｜テラス②</t>
        </is>
      </c>
      <c r="M139" s="178" t="b">
        <v>1</v>
      </c>
      <c r="N139" s="43" t="inlineStr">
        <is>
          <t>カタログ規格確認済み</t>
        </is>
      </c>
      <c r="O139" s="222" t="n">
        <v>19</v>
      </c>
      <c r="P139" s="222" t="n">
        <v>17</v>
      </c>
      <c r="Q139" s="43" t="inlineStr">
        <is>
          <t>202604_LIXIL_サーモスＬ_業務用資料集_完成品価格表.pdf</t>
        </is>
      </c>
      <c r="R139" s="43" t="n"/>
      <c r="S139" s="42" t="inlineStr">
        <is>
          <t>無印</t>
        </is>
      </c>
      <c r="T139" s="42" t="n">
        <v>17</v>
      </c>
      <c r="U139" s="42" t="inlineStr">
        <is>
          <t>P17|無印</t>
        </is>
      </c>
      <c r="V139" s="42" t="inlineStr">
        <is>
          <t>同頁凡例へ直接連動</t>
        </is>
      </c>
    </row>
    <row r="140">
      <c r="A140" s="43" t="inlineStr">
        <is>
          <t>SZ-SL-000137</t>
        </is>
      </c>
      <c r="B140" s="43" t="inlineStr">
        <is>
          <t>SER-LIX-SAMOSL</t>
        </is>
      </c>
      <c r="C140" s="43" t="inlineStr">
        <is>
          <t>WT-SL-HIKICHIGAI</t>
        </is>
      </c>
      <c r="D140" s="43" t="inlineStr">
        <is>
          <t>単体引違い窓</t>
        </is>
      </c>
      <c r="E140" s="43" t="n"/>
      <c r="F140" s="43" t="inlineStr">
        <is>
          <t>在来</t>
        </is>
      </c>
      <c r="G140" s="43" t="inlineStr">
        <is>
          <t>34720</t>
        </is>
      </c>
      <c r="H140" s="43" t="inlineStr">
        <is>
          <t>347</t>
        </is>
      </c>
      <c r="I140" s="43" t="inlineStr">
        <is>
          <t>20</t>
        </is>
      </c>
      <c r="J140" s="222" t="n">
        <v>3510</v>
      </c>
      <c r="K140" s="222" t="n">
        <v>2030</v>
      </c>
      <c r="L140" s="43" t="inlineStr">
        <is>
          <t>在来｜テラス②</t>
        </is>
      </c>
      <c r="M140" s="178" t="b">
        <v>1</v>
      </c>
      <c r="N140" s="43" t="inlineStr">
        <is>
          <t>カタログ規格確認済み</t>
        </is>
      </c>
      <c r="O140" s="222" t="n">
        <v>19</v>
      </c>
      <c r="P140" s="222" t="n">
        <v>17</v>
      </c>
      <c r="Q140" s="43" t="inlineStr">
        <is>
          <t>202604_LIXIL_サーモスＬ_業務用資料集_完成品価格表.pdf</t>
        </is>
      </c>
      <c r="R140" s="43" t="n"/>
      <c r="S140" s="42" t="inlineStr">
        <is>
          <t>★</t>
        </is>
      </c>
      <c r="T140" s="42" t="n">
        <v>17</v>
      </c>
      <c r="U140" s="42" t="inlineStr">
        <is>
          <t>P17|★</t>
        </is>
      </c>
      <c r="V140" s="42" t="inlineStr">
        <is>
          <t>同頁凡例へ直接連動</t>
        </is>
      </c>
    </row>
    <row r="141">
      <c r="A141" s="43" t="inlineStr">
        <is>
          <t>SZ-SL-000138</t>
        </is>
      </c>
      <c r="B141" s="43" t="inlineStr">
        <is>
          <t>SER-LIX-SAMOSL</t>
        </is>
      </c>
      <c r="C141" s="43" t="inlineStr">
        <is>
          <t>WT-SL-HIKICHIGAI</t>
        </is>
      </c>
      <c r="D141" s="43" t="inlineStr">
        <is>
          <t>単体引違い窓</t>
        </is>
      </c>
      <c r="E141" s="43" t="n"/>
      <c r="F141" s="43" t="inlineStr">
        <is>
          <t>在来</t>
        </is>
      </c>
      <c r="G141" s="43" t="inlineStr">
        <is>
          <t>15022</t>
        </is>
      </c>
      <c r="H141" s="43" t="inlineStr">
        <is>
          <t>150</t>
        </is>
      </c>
      <c r="I141" s="43" t="inlineStr">
        <is>
          <t>22</t>
        </is>
      </c>
      <c r="J141" s="222" t="n">
        <v>1540</v>
      </c>
      <c r="K141" s="222" t="n">
        <v>2230</v>
      </c>
      <c r="L141" s="43" t="inlineStr">
        <is>
          <t>在来｜テラス③</t>
        </is>
      </c>
      <c r="M141" s="178" t="b">
        <v>1</v>
      </c>
      <c r="N141" s="43" t="inlineStr">
        <is>
          <t>カタログ規格確認済み</t>
        </is>
      </c>
      <c r="O141" s="222" t="n">
        <v>20</v>
      </c>
      <c r="P141" s="222" t="n">
        <v>18</v>
      </c>
      <c r="Q141" s="43" t="inlineStr">
        <is>
          <t>202604_LIXIL_サーモスＬ_業務用資料集_完成品価格表.pdf</t>
        </is>
      </c>
      <c r="R141" s="43" t="n"/>
      <c r="S141" s="42" t="inlineStr">
        <is>
          <t>★</t>
        </is>
      </c>
      <c r="T141" s="42" t="n">
        <v>19</v>
      </c>
      <c r="U141" s="42" t="inlineStr">
        <is>
          <t>P19|★</t>
        </is>
      </c>
      <c r="V141" s="42" t="inlineStr">
        <is>
          <t>同一価格表・次頁凡例を継承</t>
        </is>
      </c>
    </row>
    <row r="142">
      <c r="A142" s="43" t="inlineStr">
        <is>
          <t>SZ-SL-000139</t>
        </is>
      </c>
      <c r="B142" s="43" t="inlineStr">
        <is>
          <t>SER-LIX-SAMOSL</t>
        </is>
      </c>
      <c r="C142" s="43" t="inlineStr">
        <is>
          <t>WT-SL-HIKICHIGAI</t>
        </is>
      </c>
      <c r="D142" s="43" t="inlineStr">
        <is>
          <t>単体引違い窓</t>
        </is>
      </c>
      <c r="E142" s="43" t="n"/>
      <c r="F142" s="43" t="inlineStr">
        <is>
          <t>在来</t>
        </is>
      </c>
      <c r="G142" s="43" t="inlineStr">
        <is>
          <t>15024</t>
        </is>
      </c>
      <c r="H142" s="43" t="inlineStr">
        <is>
          <t>150</t>
        </is>
      </c>
      <c r="I142" s="43" t="inlineStr">
        <is>
          <t>24</t>
        </is>
      </c>
      <c r="J142" s="222" t="n">
        <v>1540</v>
      </c>
      <c r="K142" s="222" t="n">
        <v>2430</v>
      </c>
      <c r="L142" s="43" t="inlineStr">
        <is>
          <t>在来｜テラス③</t>
        </is>
      </c>
      <c r="M142" s="178" t="b">
        <v>1</v>
      </c>
      <c r="N142" s="43" t="inlineStr">
        <is>
          <t>カタログ規格確認済み</t>
        </is>
      </c>
      <c r="O142" s="222" t="n">
        <v>20</v>
      </c>
      <c r="P142" s="222" t="n">
        <v>18</v>
      </c>
      <c r="Q142" s="43" t="inlineStr">
        <is>
          <t>202604_LIXIL_サーモスＬ_業務用資料集_完成品価格表.pdf</t>
        </is>
      </c>
      <c r="R142" s="43" t="n"/>
      <c r="S142" s="42" t="inlineStr">
        <is>
          <t>★</t>
        </is>
      </c>
      <c r="T142" s="42" t="n">
        <v>19</v>
      </c>
      <c r="U142" s="42" t="inlineStr">
        <is>
          <t>P19|★</t>
        </is>
      </c>
      <c r="V142" s="42" t="inlineStr">
        <is>
          <t>同一価格表・次頁凡例を継承</t>
        </is>
      </c>
    </row>
    <row r="143">
      <c r="A143" s="43" t="inlineStr">
        <is>
          <t>SZ-SL-000140</t>
        </is>
      </c>
      <c r="B143" s="43" t="inlineStr">
        <is>
          <t>SER-LIX-SAMOSL</t>
        </is>
      </c>
      <c r="C143" s="43" t="inlineStr">
        <is>
          <t>WT-SL-HIKICHIGAI</t>
        </is>
      </c>
      <c r="D143" s="43" t="inlineStr">
        <is>
          <t>単体引違い窓</t>
        </is>
      </c>
      <c r="E143" s="43" t="n"/>
      <c r="F143" s="43" t="inlineStr">
        <is>
          <t>在来</t>
        </is>
      </c>
      <c r="G143" s="43" t="inlineStr">
        <is>
          <t>16022</t>
        </is>
      </c>
      <c r="H143" s="43" t="inlineStr">
        <is>
          <t>160</t>
        </is>
      </c>
      <c r="I143" s="43" t="inlineStr">
        <is>
          <t>22</t>
        </is>
      </c>
      <c r="J143" s="222" t="n">
        <v>1640</v>
      </c>
      <c r="K143" s="222" t="n">
        <v>2230</v>
      </c>
      <c r="L143" s="43" t="inlineStr">
        <is>
          <t>在来｜テラス③</t>
        </is>
      </c>
      <c r="M143" s="178" t="b">
        <v>1</v>
      </c>
      <c r="N143" s="43" t="inlineStr">
        <is>
          <t>カタログ規格確認済み</t>
        </is>
      </c>
      <c r="O143" s="222" t="n">
        <v>20</v>
      </c>
      <c r="P143" s="222" t="n">
        <v>18</v>
      </c>
      <c r="Q143" s="43" t="inlineStr">
        <is>
          <t>202604_LIXIL_サーモスＬ_業務用資料集_完成品価格表.pdf</t>
        </is>
      </c>
      <c r="R143" s="43" t="n"/>
      <c r="S143" s="42" t="inlineStr">
        <is>
          <t>★</t>
        </is>
      </c>
      <c r="T143" s="42" t="n">
        <v>19</v>
      </c>
      <c r="U143" s="42" t="inlineStr">
        <is>
          <t>P19|★</t>
        </is>
      </c>
      <c r="V143" s="42" t="inlineStr">
        <is>
          <t>同一価格表・次頁凡例を継承</t>
        </is>
      </c>
    </row>
    <row r="144">
      <c r="A144" s="43" t="inlineStr">
        <is>
          <t>SZ-SL-000141</t>
        </is>
      </c>
      <c r="B144" s="43" t="inlineStr">
        <is>
          <t>SER-LIX-SAMOSL</t>
        </is>
      </c>
      <c r="C144" s="43" t="inlineStr">
        <is>
          <t>WT-SL-HIKICHIGAI</t>
        </is>
      </c>
      <c r="D144" s="43" t="inlineStr">
        <is>
          <t>単体引違い窓</t>
        </is>
      </c>
      <c r="E144" s="43" t="n"/>
      <c r="F144" s="43" t="inlineStr">
        <is>
          <t>在来</t>
        </is>
      </c>
      <c r="G144" s="43" t="inlineStr">
        <is>
          <t>16024</t>
        </is>
      </c>
      <c r="H144" s="43" t="inlineStr">
        <is>
          <t>160</t>
        </is>
      </c>
      <c r="I144" s="43" t="inlineStr">
        <is>
          <t>24</t>
        </is>
      </c>
      <c r="J144" s="222" t="n">
        <v>1640</v>
      </c>
      <c r="K144" s="222" t="n">
        <v>2430</v>
      </c>
      <c r="L144" s="43" t="inlineStr">
        <is>
          <t>在来｜テラス③</t>
        </is>
      </c>
      <c r="M144" s="178" t="b">
        <v>1</v>
      </c>
      <c r="N144" s="43" t="inlineStr">
        <is>
          <t>カタログ規格確認済み</t>
        </is>
      </c>
      <c r="O144" s="222" t="n">
        <v>20</v>
      </c>
      <c r="P144" s="222" t="n">
        <v>18</v>
      </c>
      <c r="Q144" s="43" t="inlineStr">
        <is>
          <t>202604_LIXIL_サーモスＬ_業務用資料集_完成品価格表.pdf</t>
        </is>
      </c>
      <c r="R144" s="43" t="n"/>
      <c r="S144" s="42" t="inlineStr">
        <is>
          <t>★</t>
        </is>
      </c>
      <c r="T144" s="42" t="n">
        <v>19</v>
      </c>
      <c r="U144" s="42" t="inlineStr">
        <is>
          <t>P19|★</t>
        </is>
      </c>
      <c r="V144" s="42" t="inlineStr">
        <is>
          <t>同一価格表・次頁凡例を継承</t>
        </is>
      </c>
    </row>
    <row r="145">
      <c r="A145" s="43" t="inlineStr">
        <is>
          <t>SZ-SL-000142</t>
        </is>
      </c>
      <c r="B145" s="43" t="inlineStr">
        <is>
          <t>SER-LIX-SAMOSL</t>
        </is>
      </c>
      <c r="C145" s="43" t="inlineStr">
        <is>
          <t>WT-SL-HIKICHIGAI</t>
        </is>
      </c>
      <c r="D145" s="43" t="inlineStr">
        <is>
          <t>単体引違い窓</t>
        </is>
      </c>
      <c r="E145" s="43" t="n"/>
      <c r="F145" s="43" t="inlineStr">
        <is>
          <t>在来</t>
        </is>
      </c>
      <c r="G145" s="43" t="inlineStr">
        <is>
          <t>16522</t>
        </is>
      </c>
      <c r="H145" s="43" t="inlineStr">
        <is>
          <t>165</t>
        </is>
      </c>
      <c r="I145" s="43" t="inlineStr">
        <is>
          <t>22</t>
        </is>
      </c>
      <c r="J145" s="222" t="n">
        <v>1690</v>
      </c>
      <c r="K145" s="222" t="n">
        <v>2230</v>
      </c>
      <c r="L145" s="43" t="inlineStr">
        <is>
          <t>在来｜テラス③</t>
        </is>
      </c>
      <c r="M145" s="178" t="b">
        <v>1</v>
      </c>
      <c r="N145" s="43" t="inlineStr">
        <is>
          <t>カタログ規格確認済み</t>
        </is>
      </c>
      <c r="O145" s="222" t="n">
        <v>20</v>
      </c>
      <c r="P145" s="222" t="n">
        <v>18</v>
      </c>
      <c r="Q145" s="43" t="inlineStr">
        <is>
          <t>202604_LIXIL_サーモスＬ_業務用資料集_完成品価格表.pdf</t>
        </is>
      </c>
      <c r="R145" s="43" t="n"/>
      <c r="S145" s="42" t="inlineStr">
        <is>
          <t>★</t>
        </is>
      </c>
      <c r="T145" s="42" t="n">
        <v>19</v>
      </c>
      <c r="U145" s="42" t="inlineStr">
        <is>
          <t>P19|★</t>
        </is>
      </c>
      <c r="V145" s="42" t="inlineStr">
        <is>
          <t>同一価格表・次頁凡例を継承</t>
        </is>
      </c>
    </row>
    <row r="146">
      <c r="A146" s="43" t="inlineStr">
        <is>
          <t>SZ-SL-000143</t>
        </is>
      </c>
      <c r="B146" s="43" t="inlineStr">
        <is>
          <t>SER-LIX-SAMOSL</t>
        </is>
      </c>
      <c r="C146" s="43" t="inlineStr">
        <is>
          <t>WT-SL-HIKICHIGAI</t>
        </is>
      </c>
      <c r="D146" s="43" t="inlineStr">
        <is>
          <t>単体引違い窓</t>
        </is>
      </c>
      <c r="E146" s="43" t="n"/>
      <c r="F146" s="43" t="inlineStr">
        <is>
          <t>在来</t>
        </is>
      </c>
      <c r="G146" s="43" t="inlineStr">
        <is>
          <t>16524</t>
        </is>
      </c>
      <c r="H146" s="43" t="inlineStr">
        <is>
          <t>165</t>
        </is>
      </c>
      <c r="I146" s="43" t="inlineStr">
        <is>
          <t>24</t>
        </is>
      </c>
      <c r="J146" s="222" t="n">
        <v>1690</v>
      </c>
      <c r="K146" s="222" t="n">
        <v>2430</v>
      </c>
      <c r="L146" s="43" t="inlineStr">
        <is>
          <t>在来｜テラス③</t>
        </is>
      </c>
      <c r="M146" s="178" t="b">
        <v>1</v>
      </c>
      <c r="N146" s="43" t="inlineStr">
        <is>
          <t>カタログ規格確認済み</t>
        </is>
      </c>
      <c r="O146" s="222" t="n">
        <v>20</v>
      </c>
      <c r="P146" s="222" t="n">
        <v>18</v>
      </c>
      <c r="Q146" s="43" t="inlineStr">
        <is>
          <t>202604_LIXIL_サーモスＬ_業務用資料集_完成品価格表.pdf</t>
        </is>
      </c>
      <c r="R146" s="43" t="n"/>
      <c r="S146" s="42" t="inlineStr">
        <is>
          <t>★</t>
        </is>
      </c>
      <c r="T146" s="42" t="n">
        <v>19</v>
      </c>
      <c r="U146" s="42" t="inlineStr">
        <is>
          <t>P19|★</t>
        </is>
      </c>
      <c r="V146" s="42" t="inlineStr">
        <is>
          <t>同一価格表・次頁凡例を継承</t>
        </is>
      </c>
    </row>
    <row r="147">
      <c r="A147" s="43" t="inlineStr">
        <is>
          <t>SZ-SL-000144</t>
        </is>
      </c>
      <c r="B147" s="43" t="inlineStr">
        <is>
          <t>SER-LIX-SAMOSL</t>
        </is>
      </c>
      <c r="C147" s="43" t="inlineStr">
        <is>
          <t>WT-SL-HIKICHIGAI</t>
        </is>
      </c>
      <c r="D147" s="43" t="inlineStr">
        <is>
          <t>単体引違い窓</t>
        </is>
      </c>
      <c r="E147" s="43" t="n"/>
      <c r="F147" s="43" t="inlineStr">
        <is>
          <t>在来</t>
        </is>
      </c>
      <c r="G147" s="43" t="inlineStr">
        <is>
          <t>17422</t>
        </is>
      </c>
      <c r="H147" s="43" t="inlineStr">
        <is>
          <t>174</t>
        </is>
      </c>
      <c r="I147" s="43" t="inlineStr">
        <is>
          <t>22</t>
        </is>
      </c>
      <c r="J147" s="222" t="n">
        <v>1780</v>
      </c>
      <c r="K147" s="222" t="n">
        <v>2230</v>
      </c>
      <c r="L147" s="43" t="inlineStr">
        <is>
          <t>在来｜テラス③</t>
        </is>
      </c>
      <c r="M147" s="178" t="b">
        <v>1</v>
      </c>
      <c r="N147" s="43" t="inlineStr">
        <is>
          <t>カタログ規格確認済み</t>
        </is>
      </c>
      <c r="O147" s="222" t="n">
        <v>21</v>
      </c>
      <c r="P147" s="222" t="n">
        <v>19</v>
      </c>
      <c r="Q147" s="43" t="inlineStr">
        <is>
          <t>202604_LIXIL_サーモスＬ_業務用資料集_完成品価格表.pdf</t>
        </is>
      </c>
      <c r="R147" s="43" t="n"/>
      <c r="S147" s="42" t="inlineStr">
        <is>
          <t>★</t>
        </is>
      </c>
      <c r="T147" s="42" t="n">
        <v>19</v>
      </c>
      <c r="U147" s="42" t="inlineStr">
        <is>
          <t>P19|★</t>
        </is>
      </c>
      <c r="V147" s="42" t="inlineStr">
        <is>
          <t>同頁凡例へ直接連動</t>
        </is>
      </c>
    </row>
    <row r="148">
      <c r="A148" s="43" t="inlineStr">
        <is>
          <t>SZ-SL-000145</t>
        </is>
      </c>
      <c r="B148" s="43" t="inlineStr">
        <is>
          <t>SER-LIX-SAMOSL</t>
        </is>
      </c>
      <c r="C148" s="43" t="inlineStr">
        <is>
          <t>WT-SL-HIKICHIGAI</t>
        </is>
      </c>
      <c r="D148" s="43" t="inlineStr">
        <is>
          <t>単体引違い窓</t>
        </is>
      </c>
      <c r="E148" s="43" t="n"/>
      <c r="F148" s="43" t="inlineStr">
        <is>
          <t>在来</t>
        </is>
      </c>
      <c r="G148" s="43" t="inlineStr">
        <is>
          <t>17424</t>
        </is>
      </c>
      <c r="H148" s="43" t="inlineStr">
        <is>
          <t>174</t>
        </is>
      </c>
      <c r="I148" s="43" t="inlineStr">
        <is>
          <t>24</t>
        </is>
      </c>
      <c r="J148" s="222" t="n">
        <v>1780</v>
      </c>
      <c r="K148" s="222" t="n">
        <v>2430</v>
      </c>
      <c r="L148" s="43" t="inlineStr">
        <is>
          <t>在来｜テラス③</t>
        </is>
      </c>
      <c r="M148" s="178" t="b">
        <v>1</v>
      </c>
      <c r="N148" s="43" t="inlineStr">
        <is>
          <t>カタログ規格確認済み</t>
        </is>
      </c>
      <c r="O148" s="222" t="n">
        <v>21</v>
      </c>
      <c r="P148" s="222" t="n">
        <v>19</v>
      </c>
      <c r="Q148" s="43" t="inlineStr">
        <is>
          <t>202604_LIXIL_サーモスＬ_業務用資料集_完成品価格表.pdf</t>
        </is>
      </c>
      <c r="R148" s="43" t="n"/>
      <c r="S148" s="42" t="inlineStr">
        <is>
          <t>★</t>
        </is>
      </c>
      <c r="T148" s="42" t="n">
        <v>19</v>
      </c>
      <c r="U148" s="42" t="inlineStr">
        <is>
          <t>P19|★</t>
        </is>
      </c>
      <c r="V148" s="42" t="inlineStr">
        <is>
          <t>同頁凡例へ直接連動</t>
        </is>
      </c>
    </row>
    <row r="149">
      <c r="A149" s="43" t="inlineStr">
        <is>
          <t>SZ-SL-000146</t>
        </is>
      </c>
      <c r="B149" s="43" t="inlineStr">
        <is>
          <t>SER-LIX-SAMOSL</t>
        </is>
      </c>
      <c r="C149" s="43" t="inlineStr">
        <is>
          <t>WT-SL-HIKICHIGAI</t>
        </is>
      </c>
      <c r="D149" s="43" t="inlineStr">
        <is>
          <t>単体引違い窓</t>
        </is>
      </c>
      <c r="E149" s="43" t="n"/>
      <c r="F149" s="43" t="inlineStr">
        <is>
          <t>在来</t>
        </is>
      </c>
      <c r="G149" s="43" t="inlineStr">
        <is>
          <t>17622</t>
        </is>
      </c>
      <c r="H149" s="43" t="inlineStr">
        <is>
          <t>176</t>
        </is>
      </c>
      <c r="I149" s="43" t="inlineStr">
        <is>
          <t>22</t>
        </is>
      </c>
      <c r="J149" s="222" t="n">
        <v>1800</v>
      </c>
      <c r="K149" s="222" t="n">
        <v>2230</v>
      </c>
      <c r="L149" s="43" t="inlineStr">
        <is>
          <t>在来｜テラス③</t>
        </is>
      </c>
      <c r="M149" s="178" t="b">
        <v>1</v>
      </c>
      <c r="N149" s="43" t="inlineStr">
        <is>
          <t>カタログ規格確認済み</t>
        </is>
      </c>
      <c r="O149" s="222" t="n">
        <v>21</v>
      </c>
      <c r="P149" s="222" t="n">
        <v>19</v>
      </c>
      <c r="Q149" s="43" t="inlineStr">
        <is>
          <t>202604_LIXIL_サーモスＬ_業務用資料集_完成品価格表.pdf</t>
        </is>
      </c>
      <c r="R149" s="43" t="n"/>
      <c r="S149" s="42" t="inlineStr">
        <is>
          <t>★</t>
        </is>
      </c>
      <c r="T149" s="42" t="n">
        <v>19</v>
      </c>
      <c r="U149" s="42" t="inlineStr">
        <is>
          <t>P19|★</t>
        </is>
      </c>
      <c r="V149" s="42" t="inlineStr">
        <is>
          <t>同頁凡例へ直接連動</t>
        </is>
      </c>
    </row>
    <row r="150">
      <c r="A150" s="43" t="inlineStr">
        <is>
          <t>SZ-SL-000147</t>
        </is>
      </c>
      <c r="B150" s="43" t="inlineStr">
        <is>
          <t>SER-LIX-SAMOSL</t>
        </is>
      </c>
      <c r="C150" s="43" t="inlineStr">
        <is>
          <t>WT-SL-HIKICHIGAI</t>
        </is>
      </c>
      <c r="D150" s="43" t="inlineStr">
        <is>
          <t>単体引違い窓</t>
        </is>
      </c>
      <c r="E150" s="43" t="n"/>
      <c r="F150" s="43" t="inlineStr">
        <is>
          <t>在来</t>
        </is>
      </c>
      <c r="G150" s="43" t="inlineStr">
        <is>
          <t>17624</t>
        </is>
      </c>
      <c r="H150" s="43" t="inlineStr">
        <is>
          <t>176</t>
        </is>
      </c>
      <c r="I150" s="43" t="inlineStr">
        <is>
          <t>24</t>
        </is>
      </c>
      <c r="J150" s="222" t="n">
        <v>1800</v>
      </c>
      <c r="K150" s="222" t="n">
        <v>2430</v>
      </c>
      <c r="L150" s="43" t="inlineStr">
        <is>
          <t>在来｜テラス③</t>
        </is>
      </c>
      <c r="M150" s="178" t="b">
        <v>1</v>
      </c>
      <c r="N150" s="43" t="inlineStr">
        <is>
          <t>カタログ規格確認済み</t>
        </is>
      </c>
      <c r="O150" s="222" t="n">
        <v>21</v>
      </c>
      <c r="P150" s="222" t="n">
        <v>19</v>
      </c>
      <c r="Q150" s="43" t="inlineStr">
        <is>
          <t>202604_LIXIL_サーモスＬ_業務用資料集_完成品価格表.pdf</t>
        </is>
      </c>
      <c r="R150" s="43" t="n"/>
      <c r="S150" s="42" t="inlineStr">
        <is>
          <t>★</t>
        </is>
      </c>
      <c r="T150" s="42" t="n">
        <v>19</v>
      </c>
      <c r="U150" s="42" t="inlineStr">
        <is>
          <t>P19|★</t>
        </is>
      </c>
      <c r="V150" s="42" t="inlineStr">
        <is>
          <t>同頁凡例へ直接連動</t>
        </is>
      </c>
    </row>
    <row r="151">
      <c r="A151" s="43" t="inlineStr">
        <is>
          <t>SZ-SL-000148</t>
        </is>
      </c>
      <c r="B151" s="43" t="inlineStr">
        <is>
          <t>SER-LIX-SAMOSL</t>
        </is>
      </c>
      <c r="C151" s="43" t="inlineStr">
        <is>
          <t>WT-SL-HIKICHIGAI</t>
        </is>
      </c>
      <c r="D151" s="43" t="inlineStr">
        <is>
          <t>単体引違い窓</t>
        </is>
      </c>
      <c r="E151" s="43" t="n"/>
      <c r="F151" s="43" t="inlineStr">
        <is>
          <t>在来</t>
        </is>
      </c>
      <c r="G151" s="43" t="inlineStr">
        <is>
          <t>17822</t>
        </is>
      </c>
      <c r="H151" s="43" t="inlineStr">
        <is>
          <t>178</t>
        </is>
      </c>
      <c r="I151" s="43" t="inlineStr">
        <is>
          <t>22</t>
        </is>
      </c>
      <c r="J151" s="222" t="n">
        <v>1820</v>
      </c>
      <c r="K151" s="222" t="n">
        <v>2230</v>
      </c>
      <c r="L151" s="43" t="inlineStr">
        <is>
          <t>在来｜テラス③</t>
        </is>
      </c>
      <c r="M151" s="178" t="b">
        <v>1</v>
      </c>
      <c r="N151" s="43" t="inlineStr">
        <is>
          <t>カタログ規格確認済み</t>
        </is>
      </c>
      <c r="O151" s="222" t="n">
        <v>21</v>
      </c>
      <c r="P151" s="222" t="n">
        <v>19</v>
      </c>
      <c r="Q151" s="43" t="inlineStr">
        <is>
          <t>202604_LIXIL_サーモスＬ_業務用資料集_完成品価格表.pdf</t>
        </is>
      </c>
      <c r="R151" s="43" t="n"/>
      <c r="S151" s="42" t="inlineStr">
        <is>
          <t>★</t>
        </is>
      </c>
      <c r="T151" s="42" t="n">
        <v>19</v>
      </c>
      <c r="U151" s="42" t="inlineStr">
        <is>
          <t>P19|★</t>
        </is>
      </c>
      <c r="V151" s="42" t="inlineStr">
        <is>
          <t>同頁凡例へ直接連動</t>
        </is>
      </c>
    </row>
    <row r="152">
      <c r="A152" s="43" t="inlineStr">
        <is>
          <t>SZ-SL-000149</t>
        </is>
      </c>
      <c r="B152" s="43" t="inlineStr">
        <is>
          <t>SER-LIX-SAMOSL</t>
        </is>
      </c>
      <c r="C152" s="43" t="inlineStr">
        <is>
          <t>WT-SL-HIKICHIGAI</t>
        </is>
      </c>
      <c r="D152" s="43" t="inlineStr">
        <is>
          <t>単体引違い窓</t>
        </is>
      </c>
      <c r="E152" s="43" t="n"/>
      <c r="F152" s="43" t="inlineStr">
        <is>
          <t>在来</t>
        </is>
      </c>
      <c r="G152" s="43" t="inlineStr">
        <is>
          <t>17824</t>
        </is>
      </c>
      <c r="H152" s="43" t="inlineStr">
        <is>
          <t>178</t>
        </is>
      </c>
      <c r="I152" s="43" t="inlineStr">
        <is>
          <t>24</t>
        </is>
      </c>
      <c r="J152" s="222" t="n">
        <v>1820</v>
      </c>
      <c r="K152" s="222" t="n">
        <v>2430</v>
      </c>
      <c r="L152" s="43" t="inlineStr">
        <is>
          <t>在来｜テラス③</t>
        </is>
      </c>
      <c r="M152" s="178" t="b">
        <v>1</v>
      </c>
      <c r="N152" s="43" t="inlineStr">
        <is>
          <t>カタログ規格確認済み</t>
        </is>
      </c>
      <c r="O152" s="222" t="n">
        <v>21</v>
      </c>
      <c r="P152" s="222" t="n">
        <v>19</v>
      </c>
      <c r="Q152" s="43" t="inlineStr">
        <is>
          <t>202604_LIXIL_サーモスＬ_業務用資料集_完成品価格表.pdf</t>
        </is>
      </c>
      <c r="R152" s="43" t="n"/>
      <c r="S152" s="42" t="inlineStr">
        <is>
          <t>☆</t>
        </is>
      </c>
      <c r="T152" s="42" t="n">
        <v>19</v>
      </c>
      <c r="U152" s="42" t="inlineStr">
        <is>
          <t>P19|☆</t>
        </is>
      </c>
      <c r="V152" s="42" t="inlineStr">
        <is>
          <t>同頁凡例へ直接連動</t>
        </is>
      </c>
    </row>
    <row r="153">
      <c r="A153" s="43" t="inlineStr">
        <is>
          <t>SZ-SL-000150</t>
        </is>
      </c>
      <c r="B153" s="43" t="inlineStr">
        <is>
          <t>SER-LIX-SAMOSL</t>
        </is>
      </c>
      <c r="C153" s="43" t="inlineStr">
        <is>
          <t>WT-SL-HIKICHIGAI</t>
        </is>
      </c>
      <c r="D153" s="43" t="inlineStr">
        <is>
          <t>単体引違い窓</t>
        </is>
      </c>
      <c r="E153" s="43" t="n"/>
      <c r="F153" s="43" t="inlineStr">
        <is>
          <t>在来</t>
        </is>
      </c>
      <c r="G153" s="43" t="inlineStr">
        <is>
          <t>18022</t>
        </is>
      </c>
      <c r="H153" s="43" t="inlineStr">
        <is>
          <t>180</t>
        </is>
      </c>
      <c r="I153" s="43" t="inlineStr">
        <is>
          <t>22</t>
        </is>
      </c>
      <c r="J153" s="222" t="n">
        <v>1845</v>
      </c>
      <c r="K153" s="222" t="n">
        <v>2230</v>
      </c>
      <c r="L153" s="43" t="inlineStr">
        <is>
          <t>在来｜テラス④</t>
        </is>
      </c>
      <c r="M153" s="178" t="b">
        <v>1</v>
      </c>
      <c r="N153" s="43" t="inlineStr">
        <is>
          <t>カタログ規格確認済み</t>
        </is>
      </c>
      <c r="O153" s="222" t="n">
        <v>22</v>
      </c>
      <c r="P153" s="222" t="n">
        <v>20</v>
      </c>
      <c r="Q153" s="43" t="inlineStr">
        <is>
          <t>202604_LIXIL_サーモスＬ_業務用資料集_完成品価格表.pdf</t>
        </is>
      </c>
      <c r="R153" s="43" t="n"/>
      <c r="S153" s="42" t="inlineStr">
        <is>
          <t>★</t>
        </is>
      </c>
      <c r="T153" s="42" t="n">
        <v>21</v>
      </c>
      <c r="U153" s="42" t="inlineStr">
        <is>
          <t>P21|★</t>
        </is>
      </c>
      <c r="V153" s="42" t="inlineStr">
        <is>
          <t>同一価格表・次頁凡例を継承</t>
        </is>
      </c>
    </row>
    <row r="154">
      <c r="A154" s="43" t="inlineStr">
        <is>
          <t>SZ-SL-000151</t>
        </is>
      </c>
      <c r="B154" s="43" t="inlineStr">
        <is>
          <t>SER-LIX-SAMOSL</t>
        </is>
      </c>
      <c r="C154" s="43" t="inlineStr">
        <is>
          <t>WT-SL-HIKICHIGAI</t>
        </is>
      </c>
      <c r="D154" s="43" t="inlineStr">
        <is>
          <t>単体引違い窓</t>
        </is>
      </c>
      <c r="E154" s="43" t="n"/>
      <c r="F154" s="43" t="inlineStr">
        <is>
          <t>在来</t>
        </is>
      </c>
      <c r="G154" s="43" t="inlineStr">
        <is>
          <t>18024</t>
        </is>
      </c>
      <c r="H154" s="43" t="inlineStr">
        <is>
          <t>180</t>
        </is>
      </c>
      <c r="I154" s="43" t="inlineStr">
        <is>
          <t>24</t>
        </is>
      </c>
      <c r="J154" s="222" t="n">
        <v>1845</v>
      </c>
      <c r="K154" s="222" t="n">
        <v>2430</v>
      </c>
      <c r="L154" s="43" t="inlineStr">
        <is>
          <t>在来｜テラス④</t>
        </is>
      </c>
      <c r="M154" s="178" t="b">
        <v>1</v>
      </c>
      <c r="N154" s="43" t="inlineStr">
        <is>
          <t>カタログ規格確認済み</t>
        </is>
      </c>
      <c r="O154" s="222" t="n">
        <v>22</v>
      </c>
      <c r="P154" s="222" t="n">
        <v>20</v>
      </c>
      <c r="Q154" s="43" t="inlineStr">
        <is>
          <t>202604_LIXIL_サーモスＬ_業務用資料集_完成品価格表.pdf</t>
        </is>
      </c>
      <c r="R154" s="43" t="n"/>
      <c r="S154" s="42" t="inlineStr">
        <is>
          <t>☆</t>
        </is>
      </c>
      <c r="T154" s="42" t="n">
        <v>21</v>
      </c>
      <c r="U154" s="42" t="inlineStr">
        <is>
          <t>P21|☆</t>
        </is>
      </c>
      <c r="V154" s="42" t="inlineStr">
        <is>
          <t>同一価格表・次頁凡例を継承</t>
        </is>
      </c>
    </row>
    <row r="155">
      <c r="A155" s="43" t="inlineStr">
        <is>
          <t>SZ-SL-000152</t>
        </is>
      </c>
      <c r="B155" s="43" t="inlineStr">
        <is>
          <t>SER-LIX-SAMOSL</t>
        </is>
      </c>
      <c r="C155" s="43" t="inlineStr">
        <is>
          <t>WT-SL-HIKICHIGAI</t>
        </is>
      </c>
      <c r="D155" s="43" t="inlineStr">
        <is>
          <t>単体引違い窓</t>
        </is>
      </c>
      <c r="E155" s="43" t="n"/>
      <c r="F155" s="43" t="inlineStr">
        <is>
          <t>在来</t>
        </is>
      </c>
      <c r="G155" s="43" t="inlineStr">
        <is>
          <t>18322</t>
        </is>
      </c>
      <c r="H155" s="43" t="inlineStr">
        <is>
          <t>183</t>
        </is>
      </c>
      <c r="I155" s="43" t="inlineStr">
        <is>
          <t>22</t>
        </is>
      </c>
      <c r="J155" s="222" t="n">
        <v>1870</v>
      </c>
      <c r="K155" s="222" t="n">
        <v>2230</v>
      </c>
      <c r="L155" s="43" t="inlineStr">
        <is>
          <t>在来｜テラス④</t>
        </is>
      </c>
      <c r="M155" s="178" t="b">
        <v>1</v>
      </c>
      <c r="N155" s="43" t="inlineStr">
        <is>
          <t>カタログ規格確認済み</t>
        </is>
      </c>
      <c r="O155" s="222" t="n">
        <v>22</v>
      </c>
      <c r="P155" s="222" t="n">
        <v>20</v>
      </c>
      <c r="Q155" s="43" t="inlineStr">
        <is>
          <t>202604_LIXIL_サーモスＬ_業務用資料集_完成品価格表.pdf</t>
        </is>
      </c>
      <c r="R155" s="43" t="n"/>
      <c r="S155" s="42" t="inlineStr">
        <is>
          <t>★</t>
        </is>
      </c>
      <c r="T155" s="42" t="n">
        <v>21</v>
      </c>
      <c r="U155" s="42" t="inlineStr">
        <is>
          <t>P21|★</t>
        </is>
      </c>
      <c r="V155" s="42" t="inlineStr">
        <is>
          <t>同一価格表・次頁凡例を継承</t>
        </is>
      </c>
    </row>
    <row r="156">
      <c r="A156" s="43" t="inlineStr">
        <is>
          <t>SZ-SL-000153</t>
        </is>
      </c>
      <c r="B156" s="43" t="inlineStr">
        <is>
          <t>SER-LIX-SAMOSL</t>
        </is>
      </c>
      <c r="C156" s="43" t="inlineStr">
        <is>
          <t>WT-SL-HIKICHIGAI</t>
        </is>
      </c>
      <c r="D156" s="43" t="inlineStr">
        <is>
          <t>単体引違い窓</t>
        </is>
      </c>
      <c r="E156" s="43" t="n"/>
      <c r="F156" s="43" t="inlineStr">
        <is>
          <t>在来</t>
        </is>
      </c>
      <c r="G156" s="43" t="inlineStr">
        <is>
          <t>18324</t>
        </is>
      </c>
      <c r="H156" s="43" t="inlineStr">
        <is>
          <t>183</t>
        </is>
      </c>
      <c r="I156" s="43" t="inlineStr">
        <is>
          <t>24</t>
        </is>
      </c>
      <c r="J156" s="222" t="n">
        <v>1870</v>
      </c>
      <c r="K156" s="222" t="n">
        <v>2430</v>
      </c>
      <c r="L156" s="43" t="inlineStr">
        <is>
          <t>在来｜テラス④</t>
        </is>
      </c>
      <c r="M156" s="178" t="b">
        <v>1</v>
      </c>
      <c r="N156" s="43" t="inlineStr">
        <is>
          <t>カタログ規格確認済み</t>
        </is>
      </c>
      <c r="O156" s="222" t="n">
        <v>22</v>
      </c>
      <c r="P156" s="222" t="n">
        <v>20</v>
      </c>
      <c r="Q156" s="43" t="inlineStr">
        <is>
          <t>202604_LIXIL_サーモスＬ_業務用資料集_完成品価格表.pdf</t>
        </is>
      </c>
      <c r="R156" s="43" t="n"/>
      <c r="S156" s="42" t="inlineStr">
        <is>
          <t>☆</t>
        </is>
      </c>
      <c r="T156" s="42" t="n">
        <v>21</v>
      </c>
      <c r="U156" s="42" t="inlineStr">
        <is>
          <t>P21|☆</t>
        </is>
      </c>
      <c r="V156" s="42" t="inlineStr">
        <is>
          <t>同一価格表・次頁凡例を継承</t>
        </is>
      </c>
    </row>
    <row r="157">
      <c r="A157" s="43" t="inlineStr">
        <is>
          <t>SZ-SL-000154</t>
        </is>
      </c>
      <c r="B157" s="43" t="inlineStr">
        <is>
          <t>SER-LIX-SAMOSL</t>
        </is>
      </c>
      <c r="C157" s="43" t="inlineStr">
        <is>
          <t>WT-SL-HIKICHIGAI</t>
        </is>
      </c>
      <c r="D157" s="43" t="inlineStr">
        <is>
          <t>単体引違い窓</t>
        </is>
      </c>
      <c r="E157" s="43" t="n"/>
      <c r="F157" s="43" t="inlineStr">
        <is>
          <t>在来</t>
        </is>
      </c>
      <c r="G157" s="43" t="inlineStr">
        <is>
          <t>18622</t>
        </is>
      </c>
      <c r="H157" s="43" t="inlineStr">
        <is>
          <t>186</t>
        </is>
      </c>
      <c r="I157" s="43" t="inlineStr">
        <is>
          <t>22</t>
        </is>
      </c>
      <c r="J157" s="222" t="n">
        <v>1900</v>
      </c>
      <c r="K157" s="222" t="n">
        <v>2230</v>
      </c>
      <c r="L157" s="43" t="inlineStr">
        <is>
          <t>在来｜テラス④</t>
        </is>
      </c>
      <c r="M157" s="178" t="b">
        <v>1</v>
      </c>
      <c r="N157" s="43" t="inlineStr">
        <is>
          <t>カタログ規格確認済み</t>
        </is>
      </c>
      <c r="O157" s="222" t="n">
        <v>22</v>
      </c>
      <c r="P157" s="222" t="n">
        <v>20</v>
      </c>
      <c r="Q157" s="43" t="inlineStr">
        <is>
          <t>202604_LIXIL_サーモスＬ_業務用資料集_完成品価格表.pdf</t>
        </is>
      </c>
      <c r="R157" s="43" t="n"/>
      <c r="S157" s="42" t="inlineStr">
        <is>
          <t>★</t>
        </is>
      </c>
      <c r="T157" s="42" t="n">
        <v>21</v>
      </c>
      <c r="U157" s="42" t="inlineStr">
        <is>
          <t>P21|★</t>
        </is>
      </c>
      <c r="V157" s="42" t="inlineStr">
        <is>
          <t>同一価格表・次頁凡例を継承</t>
        </is>
      </c>
    </row>
    <row r="158">
      <c r="A158" s="43" t="inlineStr">
        <is>
          <t>SZ-SL-000155</t>
        </is>
      </c>
      <c r="B158" s="43" t="inlineStr">
        <is>
          <t>SER-LIX-SAMOSL</t>
        </is>
      </c>
      <c r="C158" s="43" t="inlineStr">
        <is>
          <t>WT-SL-HIKICHIGAI</t>
        </is>
      </c>
      <c r="D158" s="43" t="inlineStr">
        <is>
          <t>単体引違い窓</t>
        </is>
      </c>
      <c r="E158" s="43" t="n"/>
      <c r="F158" s="43" t="inlineStr">
        <is>
          <t>在来</t>
        </is>
      </c>
      <c r="G158" s="43" t="inlineStr">
        <is>
          <t>18624</t>
        </is>
      </c>
      <c r="H158" s="43" t="inlineStr">
        <is>
          <t>186</t>
        </is>
      </c>
      <c r="I158" s="43" t="inlineStr">
        <is>
          <t>24</t>
        </is>
      </c>
      <c r="J158" s="222" t="n">
        <v>1900</v>
      </c>
      <c r="K158" s="222" t="n">
        <v>2430</v>
      </c>
      <c r="L158" s="43" t="inlineStr">
        <is>
          <t>在来｜テラス④</t>
        </is>
      </c>
      <c r="M158" s="178" t="b">
        <v>1</v>
      </c>
      <c r="N158" s="43" t="inlineStr">
        <is>
          <t>カタログ規格確認済み</t>
        </is>
      </c>
      <c r="O158" s="222" t="n">
        <v>22</v>
      </c>
      <c r="P158" s="222" t="n">
        <v>20</v>
      </c>
      <c r="Q158" s="43" t="inlineStr">
        <is>
          <t>202604_LIXIL_サーモスＬ_業務用資料集_完成品価格表.pdf</t>
        </is>
      </c>
      <c r="R158" s="43" t="n"/>
      <c r="S158" s="42" t="inlineStr">
        <is>
          <t>☆</t>
        </is>
      </c>
      <c r="T158" s="42" t="n">
        <v>21</v>
      </c>
      <c r="U158" s="42" t="inlineStr">
        <is>
          <t>P21|☆</t>
        </is>
      </c>
      <c r="V158" s="42" t="inlineStr">
        <is>
          <t>同一価格表・次頁凡例を継承</t>
        </is>
      </c>
    </row>
    <row r="159">
      <c r="A159" s="43" t="inlineStr">
        <is>
          <t>SZ-SL-000156</t>
        </is>
      </c>
      <c r="B159" s="43" t="inlineStr">
        <is>
          <t>SER-LIX-SAMOSL</t>
        </is>
      </c>
      <c r="C159" s="43" t="inlineStr">
        <is>
          <t>WT-SL-HIKICHIGAI</t>
        </is>
      </c>
      <c r="D159" s="43" t="inlineStr">
        <is>
          <t>単体引違い窓</t>
        </is>
      </c>
      <c r="E159" s="43" t="n"/>
      <c r="F159" s="43" t="inlineStr">
        <is>
          <t>在来</t>
        </is>
      </c>
      <c r="G159" s="43" t="inlineStr">
        <is>
          <t>25122-2</t>
        </is>
      </c>
      <c r="H159" s="43" t="inlineStr">
        <is>
          <t>251-2</t>
        </is>
      </c>
      <c r="I159" s="43" t="inlineStr">
        <is>
          <t>22</t>
        </is>
      </c>
      <c r="J159" s="222" t="n">
        <v>2550</v>
      </c>
      <c r="K159" s="222" t="n">
        <v>2230</v>
      </c>
      <c r="L159" s="43" t="inlineStr">
        <is>
          <t>在来｜テラス④</t>
        </is>
      </c>
      <c r="M159" s="178" t="b">
        <v>1</v>
      </c>
      <c r="N159" s="43" t="inlineStr">
        <is>
          <t>カタログ規格確認済み</t>
        </is>
      </c>
      <c r="O159" s="222" t="n">
        <v>22</v>
      </c>
      <c r="P159" s="222" t="n">
        <v>20</v>
      </c>
      <c r="Q159" s="43" t="inlineStr">
        <is>
          <t>202604_LIXIL_サーモスＬ_業務用資料集_完成品価格表.pdf</t>
        </is>
      </c>
      <c r="R159" s="43" t="n"/>
      <c r="S159" s="42" t="inlineStr">
        <is>
          <t>◆</t>
        </is>
      </c>
      <c r="T159" s="42" t="n">
        <v>21</v>
      </c>
      <c r="U159" s="42" t="inlineStr">
        <is>
          <t>P21|◆</t>
        </is>
      </c>
      <c r="V159" s="42" t="inlineStr">
        <is>
          <t>同一価格表・次頁凡例を継承</t>
        </is>
      </c>
    </row>
    <row r="160">
      <c r="A160" s="43" t="inlineStr">
        <is>
          <t>SZ-SL-000157</t>
        </is>
      </c>
      <c r="B160" s="43" t="inlineStr">
        <is>
          <t>SER-LIX-SAMOSL</t>
        </is>
      </c>
      <c r="C160" s="43" t="inlineStr">
        <is>
          <t>WT-SL-HIKICHIGAI</t>
        </is>
      </c>
      <c r="D160" s="43" t="inlineStr">
        <is>
          <t>単体引違い窓</t>
        </is>
      </c>
      <c r="E160" s="43" t="n"/>
      <c r="F160" s="43" t="inlineStr">
        <is>
          <t>在来</t>
        </is>
      </c>
      <c r="G160" s="43" t="inlineStr">
        <is>
          <t>25122-4</t>
        </is>
      </c>
      <c r="H160" s="43" t="inlineStr">
        <is>
          <t>251-4</t>
        </is>
      </c>
      <c r="I160" s="43" t="inlineStr">
        <is>
          <t>22</t>
        </is>
      </c>
      <c r="J160" s="222" t="n">
        <v>2550</v>
      </c>
      <c r="K160" s="222" t="n">
        <v>2230</v>
      </c>
      <c r="L160" s="43" t="inlineStr">
        <is>
          <t>在来｜テラス④</t>
        </is>
      </c>
      <c r="M160" s="178" t="b">
        <v>1</v>
      </c>
      <c r="N160" s="43" t="inlineStr">
        <is>
          <t>カタログ規格確認済み</t>
        </is>
      </c>
      <c r="O160" s="222" t="n">
        <v>22</v>
      </c>
      <c r="P160" s="222" t="n">
        <v>20</v>
      </c>
      <c r="Q160" s="43" t="inlineStr">
        <is>
          <t>202604_LIXIL_サーモスＬ_業務用資料集_完成品価格表.pdf</t>
        </is>
      </c>
      <c r="R160" s="43" t="n"/>
      <c r="S160" s="42" t="inlineStr">
        <is>
          <t>★</t>
        </is>
      </c>
      <c r="T160" s="42" t="n">
        <v>21</v>
      </c>
      <c r="U160" s="42" t="inlineStr">
        <is>
          <t>P21|★</t>
        </is>
      </c>
      <c r="V160" s="42" t="inlineStr">
        <is>
          <t>同一価格表・次頁凡例を継承</t>
        </is>
      </c>
    </row>
    <row r="161">
      <c r="A161" s="43" t="inlineStr">
        <is>
          <t>SZ-SL-000158</t>
        </is>
      </c>
      <c r="B161" s="43" t="inlineStr">
        <is>
          <t>SER-LIX-SAMOSL</t>
        </is>
      </c>
      <c r="C161" s="43" t="inlineStr">
        <is>
          <t>WT-SL-HIKICHIGAI</t>
        </is>
      </c>
      <c r="D161" s="43" t="inlineStr">
        <is>
          <t>単体引違い窓</t>
        </is>
      </c>
      <c r="E161" s="43" t="n"/>
      <c r="F161" s="43" t="inlineStr">
        <is>
          <t>在来</t>
        </is>
      </c>
      <c r="G161" s="43" t="inlineStr">
        <is>
          <t>25124-2</t>
        </is>
      </c>
      <c r="H161" s="43" t="inlineStr">
        <is>
          <t>251-2</t>
        </is>
      </c>
      <c r="I161" s="43" t="inlineStr">
        <is>
          <t>24</t>
        </is>
      </c>
      <c r="J161" s="222" t="n">
        <v>2550</v>
      </c>
      <c r="K161" s="222" t="n">
        <v>2430</v>
      </c>
      <c r="L161" s="43" t="inlineStr">
        <is>
          <t>在来｜テラス④</t>
        </is>
      </c>
      <c r="M161" s="178" t="b">
        <v>1</v>
      </c>
      <c r="N161" s="43" t="inlineStr">
        <is>
          <t>カタログ規格確認済み</t>
        </is>
      </c>
      <c r="O161" s="222" t="n">
        <v>22</v>
      </c>
      <c r="P161" s="222" t="n">
        <v>20</v>
      </c>
      <c r="Q161" s="43" t="inlineStr">
        <is>
          <t>202604_LIXIL_サーモスＬ_業務用資料集_完成品価格表.pdf</t>
        </is>
      </c>
      <c r="R161" s="43" t="n"/>
      <c r="S161" s="42" t="inlineStr">
        <is>
          <t>●</t>
        </is>
      </c>
      <c r="T161" s="42" t="n">
        <v>21</v>
      </c>
      <c r="U161" s="42" t="inlineStr">
        <is>
          <t>P21|●</t>
        </is>
      </c>
      <c r="V161" s="42" t="inlineStr">
        <is>
          <t>同一価格表・次頁凡例を継承</t>
        </is>
      </c>
    </row>
    <row r="162">
      <c r="A162" s="43" t="inlineStr">
        <is>
          <t>SZ-SL-000159</t>
        </is>
      </c>
      <c r="B162" s="43" t="inlineStr">
        <is>
          <t>SER-LIX-SAMOSL</t>
        </is>
      </c>
      <c r="C162" s="43" t="inlineStr">
        <is>
          <t>WT-SL-HIKICHIGAI</t>
        </is>
      </c>
      <c r="D162" s="43" t="inlineStr">
        <is>
          <t>単体引違い窓</t>
        </is>
      </c>
      <c r="E162" s="43" t="n"/>
      <c r="F162" s="43" t="inlineStr">
        <is>
          <t>在来</t>
        </is>
      </c>
      <c r="G162" s="43" t="inlineStr">
        <is>
          <t>25124-4</t>
        </is>
      </c>
      <c r="H162" s="43" t="inlineStr">
        <is>
          <t>251-4</t>
        </is>
      </c>
      <c r="I162" s="43" t="inlineStr">
        <is>
          <t>24</t>
        </is>
      </c>
      <c r="J162" s="222" t="n">
        <v>2550</v>
      </c>
      <c r="K162" s="222" t="n">
        <v>2430</v>
      </c>
      <c r="L162" s="43" t="inlineStr">
        <is>
          <t>在来｜テラス④</t>
        </is>
      </c>
      <c r="M162" s="178" t="b">
        <v>1</v>
      </c>
      <c r="N162" s="43" t="inlineStr">
        <is>
          <t>カタログ規格確認済み</t>
        </is>
      </c>
      <c r="O162" s="222" t="n">
        <v>22</v>
      </c>
      <c r="P162" s="222" t="n">
        <v>20</v>
      </c>
      <c r="Q162" s="43" t="inlineStr">
        <is>
          <t>202604_LIXIL_サーモスＬ_業務用資料集_完成品価格表.pdf</t>
        </is>
      </c>
      <c r="R162" s="43" t="n"/>
      <c r="S162" s="42" t="inlineStr">
        <is>
          <t>★</t>
        </is>
      </c>
      <c r="T162" s="42" t="n">
        <v>21</v>
      </c>
      <c r="U162" s="42" t="inlineStr">
        <is>
          <t>P21|★</t>
        </is>
      </c>
      <c r="V162" s="42" t="inlineStr">
        <is>
          <t>同一価格表・次頁凡例を継承</t>
        </is>
      </c>
    </row>
    <row r="163">
      <c r="A163" s="43" t="inlineStr">
        <is>
          <t>SZ-SL-000160</t>
        </is>
      </c>
      <c r="B163" s="43" t="inlineStr">
        <is>
          <t>SER-LIX-SAMOSL</t>
        </is>
      </c>
      <c r="C163" s="43" t="inlineStr">
        <is>
          <t>WT-SL-HIKICHIGAI</t>
        </is>
      </c>
      <c r="D163" s="43" t="inlineStr">
        <is>
          <t>単体引違い窓</t>
        </is>
      </c>
      <c r="E163" s="43" t="n"/>
      <c r="F163" s="43" t="inlineStr">
        <is>
          <t>在来</t>
        </is>
      </c>
      <c r="G163" s="43" t="inlineStr">
        <is>
          <t>25622-2</t>
        </is>
      </c>
      <c r="H163" s="43" t="inlineStr">
        <is>
          <t>256-2</t>
        </is>
      </c>
      <c r="I163" s="43" t="inlineStr">
        <is>
          <t>22</t>
        </is>
      </c>
      <c r="J163" s="222" t="n">
        <v>2600</v>
      </c>
      <c r="K163" s="222" t="n">
        <v>2230</v>
      </c>
      <c r="L163" s="43" t="inlineStr">
        <is>
          <t>在来｜テラス④</t>
        </is>
      </c>
      <c r="M163" s="178" t="b">
        <v>1</v>
      </c>
      <c r="N163" s="43" t="inlineStr">
        <is>
          <t>カタログ規格確認済み</t>
        </is>
      </c>
      <c r="O163" s="222" t="n">
        <v>23</v>
      </c>
      <c r="P163" s="222" t="n">
        <v>21</v>
      </c>
      <c r="Q163" s="43" t="inlineStr">
        <is>
          <t>202604_LIXIL_サーモスＬ_業務用資料集_完成品価格表.pdf</t>
        </is>
      </c>
      <c r="R163" s="43" t="n"/>
      <c r="S163" s="42" t="inlineStr">
        <is>
          <t>◆</t>
        </is>
      </c>
      <c r="T163" s="42" t="n">
        <v>21</v>
      </c>
      <c r="U163" s="42" t="inlineStr">
        <is>
          <t>P21|◆</t>
        </is>
      </c>
      <c r="V163" s="42" t="inlineStr">
        <is>
          <t>同頁凡例へ直接連動</t>
        </is>
      </c>
    </row>
    <row r="164">
      <c r="A164" s="43" t="inlineStr">
        <is>
          <t>SZ-SL-000161</t>
        </is>
      </c>
      <c r="B164" s="43" t="inlineStr">
        <is>
          <t>SER-LIX-SAMOSL</t>
        </is>
      </c>
      <c r="C164" s="43" t="inlineStr">
        <is>
          <t>WT-SL-HIKICHIGAI</t>
        </is>
      </c>
      <c r="D164" s="43" t="inlineStr">
        <is>
          <t>単体引違い窓</t>
        </is>
      </c>
      <c r="E164" s="43" t="n"/>
      <c r="F164" s="43" t="inlineStr">
        <is>
          <t>在来</t>
        </is>
      </c>
      <c r="G164" s="43" t="inlineStr">
        <is>
          <t>25622-4</t>
        </is>
      </c>
      <c r="H164" s="43" t="inlineStr">
        <is>
          <t>256-4</t>
        </is>
      </c>
      <c r="I164" s="43" t="inlineStr">
        <is>
          <t>22</t>
        </is>
      </c>
      <c r="J164" s="222" t="n">
        <v>2600</v>
      </c>
      <c r="K164" s="222" t="n">
        <v>2230</v>
      </c>
      <c r="L164" s="43" t="inlineStr">
        <is>
          <t>在来｜テラス④</t>
        </is>
      </c>
      <c r="M164" s="178" t="b">
        <v>1</v>
      </c>
      <c r="N164" s="43" t="inlineStr">
        <is>
          <t>カタログ規格確認済み</t>
        </is>
      </c>
      <c r="O164" s="222" t="n">
        <v>23</v>
      </c>
      <c r="P164" s="222" t="n">
        <v>21</v>
      </c>
      <c r="Q164" s="43" t="inlineStr">
        <is>
          <t>202604_LIXIL_サーモスＬ_業務用資料集_完成品価格表.pdf</t>
        </is>
      </c>
      <c r="R164" s="43" t="n"/>
      <c r="S164" s="42" t="inlineStr">
        <is>
          <t>★</t>
        </is>
      </c>
      <c r="T164" s="42" t="n">
        <v>21</v>
      </c>
      <c r="U164" s="42" t="inlineStr">
        <is>
          <t>P21|★</t>
        </is>
      </c>
      <c r="V164" s="42" t="inlineStr">
        <is>
          <t>同頁凡例へ直接連動</t>
        </is>
      </c>
    </row>
    <row r="165">
      <c r="A165" s="43" t="inlineStr">
        <is>
          <t>SZ-SL-000162</t>
        </is>
      </c>
      <c r="B165" s="43" t="inlineStr">
        <is>
          <t>SER-LIX-SAMOSL</t>
        </is>
      </c>
      <c r="C165" s="43" t="inlineStr">
        <is>
          <t>WT-SL-HIKICHIGAI</t>
        </is>
      </c>
      <c r="D165" s="43" t="inlineStr">
        <is>
          <t>単体引違い窓</t>
        </is>
      </c>
      <c r="E165" s="43" t="n"/>
      <c r="F165" s="43" t="inlineStr">
        <is>
          <t>在来</t>
        </is>
      </c>
      <c r="G165" s="43" t="inlineStr">
        <is>
          <t>25624-2</t>
        </is>
      </c>
      <c r="H165" s="43" t="inlineStr">
        <is>
          <t>256-2</t>
        </is>
      </c>
      <c r="I165" s="43" t="inlineStr">
        <is>
          <t>24</t>
        </is>
      </c>
      <c r="J165" s="222" t="n">
        <v>2600</v>
      </c>
      <c r="K165" s="222" t="n">
        <v>2430</v>
      </c>
      <c r="L165" s="43" t="inlineStr">
        <is>
          <t>在来｜テラス④</t>
        </is>
      </c>
      <c r="M165" s="178" t="b">
        <v>1</v>
      </c>
      <c r="N165" s="43" t="inlineStr">
        <is>
          <t>カタログ規格確認済み</t>
        </is>
      </c>
      <c r="O165" s="222" t="n">
        <v>23</v>
      </c>
      <c r="P165" s="222" t="n">
        <v>21</v>
      </c>
      <c r="Q165" s="43" t="inlineStr">
        <is>
          <t>202604_LIXIL_サーモスＬ_業務用資料集_完成品価格表.pdf</t>
        </is>
      </c>
      <c r="R165" s="43" t="n"/>
      <c r="S165" s="42" t="inlineStr">
        <is>
          <t>●</t>
        </is>
      </c>
      <c r="T165" s="42" t="n">
        <v>21</v>
      </c>
      <c r="U165" s="42" t="inlineStr">
        <is>
          <t>P21|●</t>
        </is>
      </c>
      <c r="V165" s="42" t="inlineStr">
        <is>
          <t>同頁凡例へ直接連動</t>
        </is>
      </c>
    </row>
    <row r="166">
      <c r="A166" s="43" t="inlineStr">
        <is>
          <t>SZ-SL-000163</t>
        </is>
      </c>
      <c r="B166" s="43" t="inlineStr">
        <is>
          <t>SER-LIX-SAMOSL</t>
        </is>
      </c>
      <c r="C166" s="43" t="inlineStr">
        <is>
          <t>WT-SL-HIKICHIGAI</t>
        </is>
      </c>
      <c r="D166" s="43" t="inlineStr">
        <is>
          <t>単体引違い窓</t>
        </is>
      </c>
      <c r="E166" s="43" t="n"/>
      <c r="F166" s="43" t="inlineStr">
        <is>
          <t>在来</t>
        </is>
      </c>
      <c r="G166" s="43" t="inlineStr">
        <is>
          <t>25624-4</t>
        </is>
      </c>
      <c r="H166" s="43" t="inlineStr">
        <is>
          <t>256-4</t>
        </is>
      </c>
      <c r="I166" s="43" t="inlineStr">
        <is>
          <t>24</t>
        </is>
      </c>
      <c r="J166" s="222" t="n">
        <v>2600</v>
      </c>
      <c r="K166" s="222" t="n">
        <v>2430</v>
      </c>
      <c r="L166" s="43" t="inlineStr">
        <is>
          <t>在来｜テラス④</t>
        </is>
      </c>
      <c r="M166" s="178" t="b">
        <v>1</v>
      </c>
      <c r="N166" s="43" t="inlineStr">
        <is>
          <t>カタログ規格確認済み</t>
        </is>
      </c>
      <c r="O166" s="222" t="n">
        <v>23</v>
      </c>
      <c r="P166" s="222" t="n">
        <v>21</v>
      </c>
      <c r="Q166" s="43" t="inlineStr">
        <is>
          <t>202604_LIXIL_サーモスＬ_業務用資料集_完成品価格表.pdf</t>
        </is>
      </c>
      <c r="R166" s="43" t="n"/>
      <c r="S166" s="42" t="inlineStr">
        <is>
          <t>★</t>
        </is>
      </c>
      <c r="T166" s="42" t="n">
        <v>21</v>
      </c>
      <c r="U166" s="42" t="inlineStr">
        <is>
          <t>P21|★</t>
        </is>
      </c>
      <c r="V166" s="42" t="inlineStr">
        <is>
          <t>同頁凡例へ直接連動</t>
        </is>
      </c>
    </row>
    <row r="167">
      <c r="A167" s="43" t="inlineStr">
        <is>
          <t>SZ-SL-000164</t>
        </is>
      </c>
      <c r="B167" s="43" t="inlineStr">
        <is>
          <t>SER-LIX-SAMOSL</t>
        </is>
      </c>
      <c r="C167" s="43" t="inlineStr">
        <is>
          <t>WT-SL-HIKICHIGAI</t>
        </is>
      </c>
      <c r="D167" s="43" t="inlineStr">
        <is>
          <t>単体引違い窓</t>
        </is>
      </c>
      <c r="E167" s="43" t="n"/>
      <c r="F167" s="43" t="inlineStr">
        <is>
          <t>在来</t>
        </is>
      </c>
      <c r="G167" s="43" t="inlineStr">
        <is>
          <t>34722</t>
        </is>
      </c>
      <c r="H167" s="43" t="inlineStr">
        <is>
          <t>347</t>
        </is>
      </c>
      <c r="I167" s="43" t="inlineStr">
        <is>
          <t>22</t>
        </is>
      </c>
      <c r="J167" s="222" t="n">
        <v>3510</v>
      </c>
      <c r="K167" s="222" t="n">
        <v>2230</v>
      </c>
      <c r="L167" s="43" t="inlineStr">
        <is>
          <t>在来｜テラス④</t>
        </is>
      </c>
      <c r="M167" s="178" t="b">
        <v>1</v>
      </c>
      <c r="N167" s="43" t="inlineStr">
        <is>
          <t>カタログ規格確認済み</t>
        </is>
      </c>
      <c r="O167" s="222" t="n">
        <v>23</v>
      </c>
      <c r="P167" s="222" t="n">
        <v>21</v>
      </c>
      <c r="Q167" s="43" t="inlineStr">
        <is>
          <t>202604_LIXIL_サーモスＬ_業務用資料集_完成品価格表.pdf</t>
        </is>
      </c>
      <c r="R167" s="43" t="n"/>
      <c r="S167" s="42" t="inlineStr">
        <is>
          <t>★</t>
        </is>
      </c>
      <c r="T167" s="42" t="n">
        <v>21</v>
      </c>
      <c r="U167" s="42" t="inlineStr">
        <is>
          <t>P21|★</t>
        </is>
      </c>
      <c r="V167" s="42" t="inlineStr">
        <is>
          <t>同頁凡例へ直接連動</t>
        </is>
      </c>
    </row>
    <row r="168">
      <c r="A168" s="43" t="inlineStr">
        <is>
          <t>SZ-SL-000165</t>
        </is>
      </c>
      <c r="B168" s="43" t="inlineStr">
        <is>
          <t>SER-LIX-SAMOSL</t>
        </is>
      </c>
      <c r="C168" s="43" t="inlineStr">
        <is>
          <t>WT-SL-HIKICHIGAI</t>
        </is>
      </c>
      <c r="D168" s="43" t="inlineStr">
        <is>
          <t>単体引違い窓</t>
        </is>
      </c>
      <c r="E168" s="43" t="n"/>
      <c r="F168" s="43" t="inlineStr">
        <is>
          <t>在来</t>
        </is>
      </c>
      <c r="G168" s="43" t="inlineStr">
        <is>
          <t>34724</t>
        </is>
      </c>
      <c r="H168" s="43" t="inlineStr">
        <is>
          <t>347</t>
        </is>
      </c>
      <c r="I168" s="43" t="inlineStr">
        <is>
          <t>24</t>
        </is>
      </c>
      <c r="J168" s="222" t="n">
        <v>3510</v>
      </c>
      <c r="K168" s="222" t="n">
        <v>2430</v>
      </c>
      <c r="L168" s="43" t="inlineStr">
        <is>
          <t>在来｜テラス④</t>
        </is>
      </c>
      <c r="M168" s="178" t="b">
        <v>1</v>
      </c>
      <c r="N168" s="43" t="inlineStr">
        <is>
          <t>カタログ規格確認済み</t>
        </is>
      </c>
      <c r="O168" s="222" t="n">
        <v>23</v>
      </c>
      <c r="P168" s="222" t="n">
        <v>21</v>
      </c>
      <c r="Q168" s="43" t="inlineStr">
        <is>
          <t>202604_LIXIL_サーモスＬ_業務用資料集_完成品価格表.pdf</t>
        </is>
      </c>
      <c r="R168" s="43" t="n"/>
      <c r="S168" s="42" t="inlineStr">
        <is>
          <t>◇</t>
        </is>
      </c>
      <c r="T168" s="42" t="n">
        <v>21</v>
      </c>
      <c r="U168" s="42" t="inlineStr">
        <is>
          <t>P21|◇</t>
        </is>
      </c>
      <c r="V168" s="42" t="inlineStr">
        <is>
          <t>同頁凡例へ直接連動</t>
        </is>
      </c>
    </row>
    <row r="169">
      <c r="A169" s="43" t="inlineStr">
        <is>
          <t>SZ-SL-000166</t>
        </is>
      </c>
      <c r="B169" s="43" t="inlineStr">
        <is>
          <t>SER-LIX-SAMOSL</t>
        </is>
      </c>
      <c r="C169" s="43" t="inlineStr">
        <is>
          <t>WT-SL-HIKICHIGAI</t>
        </is>
      </c>
      <c r="D169" s="43" t="inlineStr">
        <is>
          <t>単体引違い窓</t>
        </is>
      </c>
      <c r="E169" s="43" t="n"/>
      <c r="F169" s="43" t="inlineStr">
        <is>
          <t>204</t>
        </is>
      </c>
      <c r="G169" s="43" t="inlineStr">
        <is>
          <t>24318-2</t>
        </is>
      </c>
      <c r="H169" s="43" t="inlineStr">
        <is>
          <t>243-2</t>
        </is>
      </c>
      <c r="I169" s="43" t="inlineStr">
        <is>
          <t>18</t>
        </is>
      </c>
      <c r="J169" s="222" t="n">
        <v>2470</v>
      </c>
      <c r="K169" s="222" t="n">
        <v>1830</v>
      </c>
      <c r="L169" s="43" t="inlineStr">
        <is>
          <t>204｜テラス①</t>
        </is>
      </c>
      <c r="M169" s="178" t="b">
        <v>1</v>
      </c>
      <c r="N169" s="43" t="inlineStr">
        <is>
          <t>カタログ規格確認済み</t>
        </is>
      </c>
      <c r="O169" s="222" t="n">
        <v>24</v>
      </c>
      <c r="P169" s="222" t="n">
        <v>22</v>
      </c>
      <c r="Q169" s="43" t="inlineStr">
        <is>
          <t>202604_LIXIL_サーモスＬ_業務用資料集_完成品価格表.pdf</t>
        </is>
      </c>
      <c r="R169" s="43" t="n"/>
      <c r="S169" s="42" t="inlineStr">
        <is>
          <t>☆</t>
        </is>
      </c>
      <c r="T169" s="42" t="n">
        <v>22</v>
      </c>
      <c r="U169" s="42" t="inlineStr">
        <is>
          <t>P22|☆</t>
        </is>
      </c>
      <c r="V169" s="42" t="inlineStr">
        <is>
          <t>同頁凡例へ直接連動</t>
        </is>
      </c>
    </row>
    <row r="170">
      <c r="A170" s="43" t="inlineStr">
        <is>
          <t>SZ-SL-000167</t>
        </is>
      </c>
      <c r="B170" s="43" t="inlineStr">
        <is>
          <t>SER-LIX-SAMOSL</t>
        </is>
      </c>
      <c r="C170" s="43" t="inlineStr">
        <is>
          <t>WT-SL-HIKICHIGAI</t>
        </is>
      </c>
      <c r="D170" s="43" t="inlineStr">
        <is>
          <t>単体引違い窓</t>
        </is>
      </c>
      <c r="E170" s="43" t="n"/>
      <c r="F170" s="43" t="inlineStr">
        <is>
          <t>204</t>
        </is>
      </c>
      <c r="G170" s="43" t="inlineStr">
        <is>
          <t>24320-2</t>
        </is>
      </c>
      <c r="H170" s="43" t="inlineStr">
        <is>
          <t>243-2</t>
        </is>
      </c>
      <c r="I170" s="43" t="inlineStr">
        <is>
          <t>20</t>
        </is>
      </c>
      <c r="J170" s="222" t="n">
        <v>2470</v>
      </c>
      <c r="K170" s="222" t="n">
        <v>2030</v>
      </c>
      <c r="L170" s="43" t="inlineStr">
        <is>
          <t>204｜テラス①</t>
        </is>
      </c>
      <c r="M170" s="178" t="b">
        <v>1</v>
      </c>
      <c r="N170" s="43" t="inlineStr">
        <is>
          <t>カタログ規格確認済み</t>
        </is>
      </c>
      <c r="O170" s="222" t="n">
        <v>24</v>
      </c>
      <c r="P170" s="222" t="n">
        <v>22</v>
      </c>
      <c r="Q170" s="43" t="inlineStr">
        <is>
          <t>202604_LIXIL_サーモスＬ_業務用資料集_完成品価格表.pdf</t>
        </is>
      </c>
      <c r="R170" s="43" t="n"/>
      <c r="S170" s="42" t="inlineStr">
        <is>
          <t>◆</t>
        </is>
      </c>
      <c r="T170" s="42" t="n">
        <v>22</v>
      </c>
      <c r="U170" s="42" t="inlineStr">
        <is>
          <t>P22|◆</t>
        </is>
      </c>
      <c r="V170" s="42" t="inlineStr">
        <is>
          <t>同頁凡例へ直接連動</t>
        </is>
      </c>
    </row>
    <row r="171">
      <c r="A171" s="43" t="inlineStr">
        <is>
          <t>SZ-SL-000168</t>
        </is>
      </c>
      <c r="B171" s="43" t="inlineStr">
        <is>
          <t>SER-LIX-SAMOSL</t>
        </is>
      </c>
      <c r="C171" s="43" t="inlineStr">
        <is>
          <t>WT-SL-HIKICHIGAI</t>
        </is>
      </c>
      <c r="D171" s="43" t="inlineStr">
        <is>
          <t>単体引違い窓</t>
        </is>
      </c>
      <c r="E171" s="43" t="n"/>
      <c r="F171" s="43" t="inlineStr">
        <is>
          <t>204</t>
        </is>
      </c>
      <c r="G171" s="43" t="inlineStr">
        <is>
          <t>24322-2</t>
        </is>
      </c>
      <c r="H171" s="43" t="inlineStr">
        <is>
          <t>243-2</t>
        </is>
      </c>
      <c r="I171" s="43" t="inlineStr">
        <is>
          <t>22</t>
        </is>
      </c>
      <c r="J171" s="222" t="n">
        <v>2470</v>
      </c>
      <c r="K171" s="222" t="n">
        <v>2230</v>
      </c>
      <c r="L171" s="43" t="inlineStr">
        <is>
          <t>204｜テラス②</t>
        </is>
      </c>
      <c r="M171" s="178" t="b">
        <v>1</v>
      </c>
      <c r="N171" s="43" t="inlineStr">
        <is>
          <t>カタログ規格確認済み</t>
        </is>
      </c>
      <c r="O171" s="222" t="n">
        <v>26</v>
      </c>
      <c r="P171" s="222" t="n">
        <v>24</v>
      </c>
      <c r="Q171" s="43" t="inlineStr">
        <is>
          <t>202604_LIXIL_サーモスＬ_業務用資料集_完成品価格表.pdf</t>
        </is>
      </c>
      <c r="R171" s="43" t="n"/>
      <c r="S171" s="42" t="inlineStr">
        <is>
          <t>◆</t>
        </is>
      </c>
      <c r="T171" s="42" t="n">
        <v>24</v>
      </c>
      <c r="U171" s="42" t="inlineStr">
        <is>
          <t>P24|◆</t>
        </is>
      </c>
      <c r="V171" s="42" t="inlineStr">
        <is>
          <t>同頁凡例へ直接連動</t>
        </is>
      </c>
    </row>
    <row r="172">
      <c r="A172" s="43" t="inlineStr">
        <is>
          <t>SZ-SL-000169</t>
        </is>
      </c>
      <c r="B172" s="43" t="inlineStr">
        <is>
          <t>SER-LIX-SAMOSL</t>
        </is>
      </c>
      <c r="C172" s="43" t="inlineStr">
        <is>
          <t>WT-SL-HIKICHIGAI</t>
        </is>
      </c>
      <c r="D172" s="43" t="inlineStr">
        <is>
          <t>単体引違い窓</t>
        </is>
      </c>
      <c r="E172" s="43" t="n"/>
      <c r="F172" s="43" t="inlineStr">
        <is>
          <t>204</t>
        </is>
      </c>
      <c r="G172" s="43" t="inlineStr">
        <is>
          <t>24324-2</t>
        </is>
      </c>
      <c r="H172" s="43" t="inlineStr">
        <is>
          <t>243-2</t>
        </is>
      </c>
      <c r="I172" s="43" t="inlineStr">
        <is>
          <t>24</t>
        </is>
      </c>
      <c r="J172" s="222" t="n">
        <v>2470</v>
      </c>
      <c r="K172" s="222" t="n">
        <v>2430</v>
      </c>
      <c r="L172" s="43" t="inlineStr">
        <is>
          <t>204｜テラス②</t>
        </is>
      </c>
      <c r="M172" s="178" t="b">
        <v>1</v>
      </c>
      <c r="N172" s="43" t="inlineStr">
        <is>
          <t>カタログ規格確認済み</t>
        </is>
      </c>
      <c r="O172" s="222" t="n">
        <v>26</v>
      </c>
      <c r="P172" s="222" t="n">
        <v>24</v>
      </c>
      <c r="Q172" s="43" t="inlineStr">
        <is>
          <t>202604_LIXIL_サーモスＬ_業務用資料集_完成品価格表.pdf</t>
        </is>
      </c>
      <c r="R172" s="43" t="n"/>
      <c r="S172" s="42" t="inlineStr">
        <is>
          <t>●</t>
        </is>
      </c>
      <c r="T172" s="42" t="n">
        <v>24</v>
      </c>
      <c r="U172" s="42" t="inlineStr">
        <is>
          <t>P24|●</t>
        </is>
      </c>
      <c r="V172" s="42" t="inlineStr">
        <is>
          <t>同頁凡例へ直接連動</t>
        </is>
      </c>
    </row>
    <row r="173">
      <c r="A173" s="43" t="inlineStr">
        <is>
          <t>SZ-SL-000170</t>
        </is>
      </c>
      <c r="B173" s="43" t="inlineStr">
        <is>
          <t>SER-LIX-SAMOSL</t>
        </is>
      </c>
      <c r="C173" s="43" t="inlineStr">
        <is>
          <t>WT-SL-SHUTTER-HIKI</t>
        </is>
      </c>
      <c r="D173" s="43" t="inlineStr">
        <is>
          <t>シャッター付引違い窓</t>
        </is>
      </c>
      <c r="E173" s="43" t="inlineStr">
        <is>
          <t>SP-SL-SHUT-E-STD</t>
        </is>
      </c>
      <c r="F173" s="43" t="inlineStr">
        <is>
          <t>在来・204</t>
        </is>
      </c>
      <c r="G173" s="43" t="inlineStr">
        <is>
          <t>11409</t>
        </is>
      </c>
      <c r="H173" s="43" t="inlineStr">
        <is>
          <t>114</t>
        </is>
      </c>
      <c r="I173" s="43" t="inlineStr">
        <is>
          <t>09</t>
        </is>
      </c>
      <c r="J173" s="222" t="n">
        <v>1185</v>
      </c>
      <c r="K173" s="222" t="n">
        <v>970</v>
      </c>
      <c r="L173" s="43" t="inlineStr">
        <is>
          <t>在来・204｜電動</t>
        </is>
      </c>
      <c r="M173" s="178" t="b">
        <v>1</v>
      </c>
      <c r="N173" s="43" t="inlineStr">
        <is>
          <t>カタログ規格確認済み</t>
        </is>
      </c>
      <c r="O173" s="222" t="n">
        <v>32</v>
      </c>
      <c r="P173" s="222" t="n">
        <v>30</v>
      </c>
      <c r="Q173" s="43" t="inlineStr">
        <is>
          <t>202604_LIXIL_サーモスＬ_業務用資料集_完成品価格表.pdf</t>
        </is>
      </c>
      <c r="R173" s="43" t="n"/>
      <c r="S173" s="42" t="inlineStr">
        <is>
          <t>無印</t>
        </is>
      </c>
      <c r="T173" s="42" t="n">
        <v>30</v>
      </c>
      <c r="U173" s="42" t="inlineStr">
        <is>
          <t>P30|無印</t>
        </is>
      </c>
      <c r="V173" s="42" t="inlineStr">
        <is>
          <t>同頁凡例へ直接連動</t>
        </is>
      </c>
    </row>
    <row r="174">
      <c r="A174" s="43" t="inlineStr">
        <is>
          <t>SZ-SL-000171</t>
        </is>
      </c>
      <c r="B174" s="43" t="inlineStr">
        <is>
          <t>SER-LIX-SAMOSL</t>
        </is>
      </c>
      <c r="C174" s="43" t="inlineStr">
        <is>
          <t>WT-SL-SHUTTER-HIKI</t>
        </is>
      </c>
      <c r="D174" s="43" t="inlineStr">
        <is>
          <t>シャッター付引違い窓</t>
        </is>
      </c>
      <c r="E174" s="43" t="inlineStr">
        <is>
          <t>SP-SL-SHUT-E-STD</t>
        </is>
      </c>
      <c r="F174" s="43" t="inlineStr">
        <is>
          <t>在来・204</t>
        </is>
      </c>
      <c r="G174" s="43" t="inlineStr">
        <is>
          <t>11411</t>
        </is>
      </c>
      <c r="H174" s="43" t="inlineStr">
        <is>
          <t>114</t>
        </is>
      </c>
      <c r="I174" s="43" t="inlineStr">
        <is>
          <t>11</t>
        </is>
      </c>
      <c r="J174" s="222" t="n">
        <v>1185</v>
      </c>
      <c r="K174" s="222" t="n">
        <v>1170</v>
      </c>
      <c r="L174" s="43" t="inlineStr">
        <is>
          <t>在来・204｜電動</t>
        </is>
      </c>
      <c r="M174" s="178" t="b">
        <v>1</v>
      </c>
      <c r="N174" s="43" t="inlineStr">
        <is>
          <t>カタログ規格確認済み</t>
        </is>
      </c>
      <c r="O174" s="222" t="n">
        <v>32</v>
      </c>
      <c r="P174" s="222" t="n">
        <v>30</v>
      </c>
      <c r="Q174" s="43" t="inlineStr">
        <is>
          <t>202604_LIXIL_サーモスＬ_業務用資料集_完成品価格表.pdf</t>
        </is>
      </c>
      <c r="R174" s="43" t="n"/>
      <c r="S174" s="42" t="inlineStr">
        <is>
          <t>無印</t>
        </is>
      </c>
      <c r="T174" s="42" t="n">
        <v>30</v>
      </c>
      <c r="U174" s="42" t="inlineStr">
        <is>
          <t>P30|無印</t>
        </is>
      </c>
      <c r="V174" s="42" t="inlineStr">
        <is>
          <t>同頁凡例へ直接連動</t>
        </is>
      </c>
    </row>
    <row r="175">
      <c r="A175" s="43" t="inlineStr">
        <is>
          <t>SZ-SL-000172</t>
        </is>
      </c>
      <c r="B175" s="43" t="inlineStr">
        <is>
          <t>SER-LIX-SAMOSL</t>
        </is>
      </c>
      <c r="C175" s="43" t="inlineStr">
        <is>
          <t>WT-SL-SHUTTER-HIKI</t>
        </is>
      </c>
      <c r="D175" s="43" t="inlineStr">
        <is>
          <t>シャッター付引違い窓</t>
        </is>
      </c>
      <c r="E175" s="43" t="inlineStr">
        <is>
          <t>SP-SL-SHUT-E-STD</t>
        </is>
      </c>
      <c r="F175" s="43" t="inlineStr">
        <is>
          <t>在来・204</t>
        </is>
      </c>
      <c r="G175" s="43" t="inlineStr">
        <is>
          <t>11909</t>
        </is>
      </c>
      <c r="H175" s="43" t="inlineStr">
        <is>
          <t>119</t>
        </is>
      </c>
      <c r="I175" s="43" t="inlineStr">
        <is>
          <t>09</t>
        </is>
      </c>
      <c r="J175" s="222" t="n">
        <v>1235</v>
      </c>
      <c r="K175" s="222" t="n">
        <v>970</v>
      </c>
      <c r="L175" s="43" t="inlineStr">
        <is>
          <t>在来・204｜電動</t>
        </is>
      </c>
      <c r="M175" s="178" t="b">
        <v>1</v>
      </c>
      <c r="N175" s="43" t="inlineStr">
        <is>
          <t>カタログ規格確認済み</t>
        </is>
      </c>
      <c r="O175" s="222" t="n">
        <v>32</v>
      </c>
      <c r="P175" s="222" t="n">
        <v>30</v>
      </c>
      <c r="Q175" s="43" t="inlineStr">
        <is>
          <t>202604_LIXIL_サーモスＬ_業務用資料集_完成品価格表.pdf</t>
        </is>
      </c>
      <c r="R175" s="43" t="n"/>
      <c r="S175" s="42" t="inlineStr">
        <is>
          <t>無印</t>
        </is>
      </c>
      <c r="T175" s="42" t="n">
        <v>30</v>
      </c>
      <c r="U175" s="42" t="inlineStr">
        <is>
          <t>P30|無印</t>
        </is>
      </c>
      <c r="V175" s="42" t="inlineStr">
        <is>
          <t>同頁凡例へ直接連動</t>
        </is>
      </c>
    </row>
    <row r="176">
      <c r="A176" s="43" t="inlineStr">
        <is>
          <t>SZ-SL-000173</t>
        </is>
      </c>
      <c r="B176" s="43" t="inlineStr">
        <is>
          <t>SER-LIX-SAMOSL</t>
        </is>
      </c>
      <c r="C176" s="43" t="inlineStr">
        <is>
          <t>WT-SL-SHUTTER-HIKI</t>
        </is>
      </c>
      <c r="D176" s="43" t="inlineStr">
        <is>
          <t>シャッター付引違い窓</t>
        </is>
      </c>
      <c r="E176" s="43" t="inlineStr">
        <is>
          <t>SP-SL-SHUT-E-STD</t>
        </is>
      </c>
      <c r="F176" s="43" t="inlineStr">
        <is>
          <t>在来・204</t>
        </is>
      </c>
      <c r="G176" s="43" t="inlineStr">
        <is>
          <t>11911</t>
        </is>
      </c>
      <c r="H176" s="43" t="inlineStr">
        <is>
          <t>119</t>
        </is>
      </c>
      <c r="I176" s="43" t="inlineStr">
        <is>
          <t>11</t>
        </is>
      </c>
      <c r="J176" s="222" t="n">
        <v>1235</v>
      </c>
      <c r="K176" s="222" t="n">
        <v>1170</v>
      </c>
      <c r="L176" s="43" t="inlineStr">
        <is>
          <t>在来・204｜電動</t>
        </is>
      </c>
      <c r="M176" s="178" t="b">
        <v>1</v>
      </c>
      <c r="N176" s="43" t="inlineStr">
        <is>
          <t>カタログ規格確認済み</t>
        </is>
      </c>
      <c r="O176" s="222" t="n">
        <v>32</v>
      </c>
      <c r="P176" s="222" t="n">
        <v>30</v>
      </c>
      <c r="Q176" s="43" t="inlineStr">
        <is>
          <t>202604_LIXIL_サーモスＬ_業務用資料集_完成品価格表.pdf</t>
        </is>
      </c>
      <c r="R176" s="43" t="n"/>
      <c r="S176" s="42" t="inlineStr">
        <is>
          <t>無印</t>
        </is>
      </c>
      <c r="T176" s="42" t="n">
        <v>30</v>
      </c>
      <c r="U176" s="42" t="inlineStr">
        <is>
          <t>P30|無印</t>
        </is>
      </c>
      <c r="V176" s="42" t="inlineStr">
        <is>
          <t>同頁凡例へ直接連動</t>
        </is>
      </c>
    </row>
    <row r="177">
      <c r="A177" s="43" t="inlineStr">
        <is>
          <t>SZ-SL-000174</t>
        </is>
      </c>
      <c r="B177" s="43" t="inlineStr">
        <is>
          <t>SER-LIX-SAMOSL</t>
        </is>
      </c>
      <c r="C177" s="43" t="inlineStr">
        <is>
          <t>WT-SL-SHUTTER-HIKI</t>
        </is>
      </c>
      <c r="D177" s="43" t="inlineStr">
        <is>
          <t>シャッター付引違い窓</t>
        </is>
      </c>
      <c r="E177" s="43" t="inlineStr">
        <is>
          <t>SP-SL-SHUT-E-STD</t>
        </is>
      </c>
      <c r="F177" s="43" t="inlineStr">
        <is>
          <t>在来・204</t>
        </is>
      </c>
      <c r="G177" s="43" t="inlineStr">
        <is>
          <t>12809</t>
        </is>
      </c>
      <c r="H177" s="43" t="inlineStr">
        <is>
          <t>128</t>
        </is>
      </c>
      <c r="I177" s="43" t="inlineStr">
        <is>
          <t>09</t>
        </is>
      </c>
      <c r="J177" s="222" t="n">
        <v>1320</v>
      </c>
      <c r="K177" s="222" t="n">
        <v>970</v>
      </c>
      <c r="L177" s="43" t="inlineStr">
        <is>
          <t>在来・204｜電動</t>
        </is>
      </c>
      <c r="M177" s="178" t="b">
        <v>1</v>
      </c>
      <c r="N177" s="43" t="inlineStr">
        <is>
          <t>カタログ規格確認済み</t>
        </is>
      </c>
      <c r="O177" s="222" t="n">
        <v>32</v>
      </c>
      <c r="P177" s="222" t="n">
        <v>30</v>
      </c>
      <c r="Q177" s="43" t="inlineStr">
        <is>
          <t>202604_LIXIL_サーモスＬ_業務用資料集_完成品価格表.pdf</t>
        </is>
      </c>
      <c r="R177" s="43" t="n"/>
      <c r="S177" s="42" t="inlineStr">
        <is>
          <t>無印</t>
        </is>
      </c>
      <c r="T177" s="42" t="n">
        <v>30</v>
      </c>
      <c r="U177" s="42" t="inlineStr">
        <is>
          <t>P30|無印</t>
        </is>
      </c>
      <c r="V177" s="42" t="inlineStr">
        <is>
          <t>同頁凡例へ直接連動</t>
        </is>
      </c>
    </row>
    <row r="178">
      <c r="A178" s="43" t="inlineStr">
        <is>
          <t>SZ-SL-000175</t>
        </is>
      </c>
      <c r="B178" s="43" t="inlineStr">
        <is>
          <t>SER-LIX-SAMOSL</t>
        </is>
      </c>
      <c r="C178" s="43" t="inlineStr">
        <is>
          <t>WT-SL-SHUTTER-HIKI</t>
        </is>
      </c>
      <c r="D178" s="43" t="inlineStr">
        <is>
          <t>シャッター付引違い窓</t>
        </is>
      </c>
      <c r="E178" s="43" t="inlineStr">
        <is>
          <t>SP-SL-SHUT-E-STD</t>
        </is>
      </c>
      <c r="F178" s="43" t="inlineStr">
        <is>
          <t>在来・204</t>
        </is>
      </c>
      <c r="G178" s="43" t="inlineStr">
        <is>
          <t>12811</t>
        </is>
      </c>
      <c r="H178" s="43" t="inlineStr">
        <is>
          <t>128</t>
        </is>
      </c>
      <c r="I178" s="43" t="inlineStr">
        <is>
          <t>11</t>
        </is>
      </c>
      <c r="J178" s="222" t="n">
        <v>1320</v>
      </c>
      <c r="K178" s="222" t="n">
        <v>1170</v>
      </c>
      <c r="L178" s="43" t="inlineStr">
        <is>
          <t>在来・204｜電動</t>
        </is>
      </c>
      <c r="M178" s="178" t="b">
        <v>1</v>
      </c>
      <c r="N178" s="43" t="inlineStr">
        <is>
          <t>カタログ規格確認済み</t>
        </is>
      </c>
      <c r="O178" s="222" t="n">
        <v>32</v>
      </c>
      <c r="P178" s="222" t="n">
        <v>30</v>
      </c>
      <c r="Q178" s="43" t="inlineStr">
        <is>
          <t>202604_LIXIL_サーモスＬ_業務用資料集_完成品価格表.pdf</t>
        </is>
      </c>
      <c r="R178" s="43" t="n"/>
      <c r="S178" s="42" t="inlineStr">
        <is>
          <t>無印</t>
        </is>
      </c>
      <c r="T178" s="42" t="n">
        <v>30</v>
      </c>
      <c r="U178" s="42" t="inlineStr">
        <is>
          <t>P30|無印</t>
        </is>
      </c>
      <c r="V178" s="42" t="inlineStr">
        <is>
          <t>同頁凡例へ直接連動</t>
        </is>
      </c>
    </row>
    <row r="179">
      <c r="A179" s="43" t="inlineStr">
        <is>
          <t>SZ-SL-000176</t>
        </is>
      </c>
      <c r="B179" s="43" t="inlineStr">
        <is>
          <t>SER-LIX-SAMOSL</t>
        </is>
      </c>
      <c r="C179" s="43" t="inlineStr">
        <is>
          <t>WT-SL-SHUTTER-HIKI</t>
        </is>
      </c>
      <c r="D179" s="43" t="inlineStr">
        <is>
          <t>シャッター付引違い窓</t>
        </is>
      </c>
      <c r="E179" s="43" t="inlineStr">
        <is>
          <t>SP-SL-SHUT-E-STD</t>
        </is>
      </c>
      <c r="F179" s="43" t="inlineStr">
        <is>
          <t>在来・204</t>
        </is>
      </c>
      <c r="G179" s="43" t="inlineStr">
        <is>
          <t>13309</t>
        </is>
      </c>
      <c r="H179" s="43" t="inlineStr">
        <is>
          <t>133</t>
        </is>
      </c>
      <c r="I179" s="43" t="inlineStr">
        <is>
          <t>09</t>
        </is>
      </c>
      <c r="J179" s="222" t="n">
        <v>1370</v>
      </c>
      <c r="K179" s="222" t="n">
        <v>970</v>
      </c>
      <c r="L179" s="43" t="inlineStr">
        <is>
          <t>在来・204｜電動</t>
        </is>
      </c>
      <c r="M179" s="178" t="b">
        <v>1</v>
      </c>
      <c r="N179" s="43" t="inlineStr">
        <is>
          <t>カタログ規格確認済み</t>
        </is>
      </c>
      <c r="O179" s="222" t="n">
        <v>32</v>
      </c>
      <c r="P179" s="222" t="n">
        <v>30</v>
      </c>
      <c r="Q179" s="43" t="inlineStr">
        <is>
          <t>202604_LIXIL_サーモスＬ_業務用資料集_完成品価格表.pdf</t>
        </is>
      </c>
      <c r="R179" s="43" t="n"/>
      <c r="S179" s="42" t="inlineStr">
        <is>
          <t>無印</t>
        </is>
      </c>
      <c r="T179" s="42" t="n">
        <v>30</v>
      </c>
      <c r="U179" s="42" t="inlineStr">
        <is>
          <t>P30|無印</t>
        </is>
      </c>
      <c r="V179" s="42" t="inlineStr">
        <is>
          <t>同頁凡例へ直接連動</t>
        </is>
      </c>
    </row>
    <row r="180">
      <c r="A180" s="43" t="inlineStr">
        <is>
          <t>SZ-SL-000177</t>
        </is>
      </c>
      <c r="B180" s="43" t="inlineStr">
        <is>
          <t>SER-LIX-SAMOSL</t>
        </is>
      </c>
      <c r="C180" s="43" t="inlineStr">
        <is>
          <t>WT-SL-SHUTTER-HIKI</t>
        </is>
      </c>
      <c r="D180" s="43" t="inlineStr">
        <is>
          <t>シャッター付引違い窓</t>
        </is>
      </c>
      <c r="E180" s="43" t="inlineStr">
        <is>
          <t>SP-SL-SHUT-E-STD</t>
        </is>
      </c>
      <c r="F180" s="43" t="inlineStr">
        <is>
          <t>在来・204</t>
        </is>
      </c>
      <c r="G180" s="43" t="inlineStr">
        <is>
          <t>13311</t>
        </is>
      </c>
      <c r="H180" s="43" t="inlineStr">
        <is>
          <t>133</t>
        </is>
      </c>
      <c r="I180" s="43" t="inlineStr">
        <is>
          <t>11</t>
        </is>
      </c>
      <c r="J180" s="222" t="n">
        <v>1370</v>
      </c>
      <c r="K180" s="222" t="n">
        <v>1170</v>
      </c>
      <c r="L180" s="43" t="inlineStr">
        <is>
          <t>在来・204｜電動</t>
        </is>
      </c>
      <c r="M180" s="178" t="b">
        <v>1</v>
      </c>
      <c r="N180" s="43" t="inlineStr">
        <is>
          <t>カタログ規格確認済み</t>
        </is>
      </c>
      <c r="O180" s="222" t="n">
        <v>32</v>
      </c>
      <c r="P180" s="222" t="n">
        <v>30</v>
      </c>
      <c r="Q180" s="43" t="inlineStr">
        <is>
          <t>202604_LIXIL_サーモスＬ_業務用資料集_完成品価格表.pdf</t>
        </is>
      </c>
      <c r="R180" s="43" t="n"/>
      <c r="S180" s="42" t="inlineStr">
        <is>
          <t>無印</t>
        </is>
      </c>
      <c r="T180" s="42" t="n">
        <v>30</v>
      </c>
      <c r="U180" s="42" t="inlineStr">
        <is>
          <t>P30|無印</t>
        </is>
      </c>
      <c r="V180" s="42" t="inlineStr">
        <is>
          <t>同頁凡例へ直接連動</t>
        </is>
      </c>
    </row>
    <row r="181">
      <c r="A181" s="43" t="inlineStr">
        <is>
          <t>SZ-SL-000178</t>
        </is>
      </c>
      <c r="B181" s="43" t="inlineStr">
        <is>
          <t>SER-LIX-SAMOSL</t>
        </is>
      </c>
      <c r="C181" s="43" t="inlineStr">
        <is>
          <t>WT-SL-SHUTTER-HIKI</t>
        </is>
      </c>
      <c r="D181" s="43" t="inlineStr">
        <is>
          <t>シャッター付引違い窓</t>
        </is>
      </c>
      <c r="E181" s="43" t="inlineStr">
        <is>
          <t>SP-SL-SHUT-E-VENT</t>
        </is>
      </c>
      <c r="F181" s="43" t="inlineStr">
        <is>
          <t>在来・204</t>
        </is>
      </c>
      <c r="G181" s="43" t="inlineStr">
        <is>
          <t>11409</t>
        </is>
      </c>
      <c r="H181" s="43" t="inlineStr">
        <is>
          <t>114</t>
        </is>
      </c>
      <c r="I181" s="43" t="inlineStr">
        <is>
          <t>09</t>
        </is>
      </c>
      <c r="J181" s="222" t="n">
        <v>1185</v>
      </c>
      <c r="K181" s="222" t="n">
        <v>970</v>
      </c>
      <c r="L181" s="43" t="inlineStr">
        <is>
          <t>在来・204｜電動</t>
        </is>
      </c>
      <c r="M181" s="178" t="b">
        <v>1</v>
      </c>
      <c r="N181" s="43" t="inlineStr">
        <is>
          <t>カタログ個別可否確認済み</t>
        </is>
      </c>
      <c r="O181" s="222" t="n">
        <v>32</v>
      </c>
      <c r="P181" s="222" t="n">
        <v>30</v>
      </c>
      <c r="Q181" s="43" t="inlineStr">
        <is>
          <t>202604_LIXIL_サーモスＬ_業務用資料集_完成品価格表.pdf</t>
        </is>
      </c>
      <c r="R181" s="43" t="inlineStr">
        <is>
          <t>規格呼称は親品種で確認済み。固有仕様ごとの価格設定有無（＿＿表示等）は次QAで最終確定。</t>
        </is>
      </c>
      <c r="S181" s="42" t="inlineStr">
        <is>
          <t>無印</t>
        </is>
      </c>
      <c r="T181" s="42" t="n">
        <v>30</v>
      </c>
      <c r="U181" s="42" t="inlineStr">
        <is>
          <t>P30|無印</t>
        </is>
      </c>
      <c r="V181" s="42" t="inlineStr">
        <is>
          <t>同頁凡例へ直接連動</t>
        </is>
      </c>
    </row>
    <row r="182">
      <c r="A182" s="43" t="inlineStr">
        <is>
          <t>SZ-SL-000179</t>
        </is>
      </c>
      <c r="B182" s="43" t="inlineStr">
        <is>
          <t>SER-LIX-SAMOSL</t>
        </is>
      </c>
      <c r="C182" s="43" t="inlineStr">
        <is>
          <t>WT-SL-SHUTTER-HIKI</t>
        </is>
      </c>
      <c r="D182" s="43" t="inlineStr">
        <is>
          <t>シャッター付引違い窓</t>
        </is>
      </c>
      <c r="E182" s="43" t="inlineStr">
        <is>
          <t>SP-SL-SHUT-E-VENT</t>
        </is>
      </c>
      <c r="F182" s="43" t="inlineStr">
        <is>
          <t>在来・204</t>
        </is>
      </c>
      <c r="G182" s="43" t="inlineStr">
        <is>
          <t>11411</t>
        </is>
      </c>
      <c r="H182" s="43" t="inlineStr">
        <is>
          <t>114</t>
        </is>
      </c>
      <c r="I182" s="43" t="inlineStr">
        <is>
          <t>11</t>
        </is>
      </c>
      <c r="J182" s="222" t="n">
        <v>1185</v>
      </c>
      <c r="K182" s="222" t="n">
        <v>1170</v>
      </c>
      <c r="L182" s="43" t="inlineStr">
        <is>
          <t>在来・204｜電動</t>
        </is>
      </c>
      <c r="M182" s="178" t="b">
        <v>1</v>
      </c>
      <c r="N182" s="43" t="inlineStr">
        <is>
          <t>カタログ個別可否確認済み</t>
        </is>
      </c>
      <c r="O182" s="222" t="n">
        <v>32</v>
      </c>
      <c r="P182" s="222" t="n">
        <v>30</v>
      </c>
      <c r="Q182" s="43" t="inlineStr">
        <is>
          <t>202604_LIXIL_サーモスＬ_業務用資料集_完成品価格表.pdf</t>
        </is>
      </c>
      <c r="R182" s="43" t="inlineStr">
        <is>
          <t>規格呼称は親品種で確認済み。固有仕様ごとの価格設定有無（＿＿表示等）は次QAで最終確定。</t>
        </is>
      </c>
      <c r="S182" s="42" t="inlineStr">
        <is>
          <t>無印</t>
        </is>
      </c>
      <c r="T182" s="42" t="n">
        <v>30</v>
      </c>
      <c r="U182" s="42" t="inlineStr">
        <is>
          <t>P30|無印</t>
        </is>
      </c>
      <c r="V182" s="42" t="inlineStr">
        <is>
          <t>同頁凡例へ直接連動</t>
        </is>
      </c>
    </row>
    <row r="183">
      <c r="A183" s="43" t="inlineStr">
        <is>
          <t>SZ-SL-000180</t>
        </is>
      </c>
      <c r="B183" s="43" t="inlineStr">
        <is>
          <t>SER-LIX-SAMOSL</t>
        </is>
      </c>
      <c r="C183" s="43" t="inlineStr">
        <is>
          <t>WT-SL-SHUTTER-HIKI</t>
        </is>
      </c>
      <c r="D183" s="43" t="inlineStr">
        <is>
          <t>シャッター付引違い窓</t>
        </is>
      </c>
      <c r="E183" s="43" t="inlineStr">
        <is>
          <t>SP-SL-SHUT-E-VENT</t>
        </is>
      </c>
      <c r="F183" s="43" t="inlineStr">
        <is>
          <t>在来・204</t>
        </is>
      </c>
      <c r="G183" s="43" t="inlineStr">
        <is>
          <t>11909</t>
        </is>
      </c>
      <c r="H183" s="43" t="inlineStr">
        <is>
          <t>119</t>
        </is>
      </c>
      <c r="I183" s="43" t="inlineStr">
        <is>
          <t>09</t>
        </is>
      </c>
      <c r="J183" s="222" t="n">
        <v>1235</v>
      </c>
      <c r="K183" s="222" t="n">
        <v>970</v>
      </c>
      <c r="L183" s="43" t="inlineStr">
        <is>
          <t>在来・204｜電動</t>
        </is>
      </c>
      <c r="M183" s="178" t="b">
        <v>1</v>
      </c>
      <c r="N183" s="43" t="inlineStr">
        <is>
          <t>カタログ個別可否確認済み</t>
        </is>
      </c>
      <c r="O183" s="222" t="n">
        <v>32</v>
      </c>
      <c r="P183" s="222" t="n">
        <v>30</v>
      </c>
      <c r="Q183" s="43" t="inlineStr">
        <is>
          <t>202604_LIXIL_サーモスＬ_業務用資料集_完成品価格表.pdf</t>
        </is>
      </c>
      <c r="R183" s="43" t="inlineStr">
        <is>
          <t>規格呼称は親品種で確認済み。固有仕様ごとの価格設定有無（＿＿表示等）は次QAで最終確定。</t>
        </is>
      </c>
      <c r="S183" s="42" t="inlineStr">
        <is>
          <t>無印</t>
        </is>
      </c>
      <c r="T183" s="42" t="n">
        <v>30</v>
      </c>
      <c r="U183" s="42" t="inlineStr">
        <is>
          <t>P30|無印</t>
        </is>
      </c>
      <c r="V183" s="42" t="inlineStr">
        <is>
          <t>同頁凡例へ直接連動</t>
        </is>
      </c>
    </row>
    <row r="184">
      <c r="A184" s="43" t="inlineStr">
        <is>
          <t>SZ-SL-000181</t>
        </is>
      </c>
      <c r="B184" s="43" t="inlineStr">
        <is>
          <t>SER-LIX-SAMOSL</t>
        </is>
      </c>
      <c r="C184" s="43" t="inlineStr">
        <is>
          <t>WT-SL-SHUTTER-HIKI</t>
        </is>
      </c>
      <c r="D184" s="43" t="inlineStr">
        <is>
          <t>シャッター付引違い窓</t>
        </is>
      </c>
      <c r="E184" s="43" t="inlineStr">
        <is>
          <t>SP-SL-SHUT-E-VENT</t>
        </is>
      </c>
      <c r="F184" s="43" t="inlineStr">
        <is>
          <t>在来・204</t>
        </is>
      </c>
      <c r="G184" s="43" t="inlineStr">
        <is>
          <t>11911</t>
        </is>
      </c>
      <c r="H184" s="43" t="inlineStr">
        <is>
          <t>119</t>
        </is>
      </c>
      <c r="I184" s="43" t="inlineStr">
        <is>
          <t>11</t>
        </is>
      </c>
      <c r="J184" s="222" t="n">
        <v>1235</v>
      </c>
      <c r="K184" s="222" t="n">
        <v>1170</v>
      </c>
      <c r="L184" s="43" t="inlineStr">
        <is>
          <t>在来・204｜電動</t>
        </is>
      </c>
      <c r="M184" s="178" t="b">
        <v>1</v>
      </c>
      <c r="N184" s="43" t="inlineStr">
        <is>
          <t>カタログ個別可否確認済み</t>
        </is>
      </c>
      <c r="O184" s="222" t="n">
        <v>32</v>
      </c>
      <c r="P184" s="222" t="n">
        <v>30</v>
      </c>
      <c r="Q184" s="43" t="inlineStr">
        <is>
          <t>202604_LIXIL_サーモスＬ_業務用資料集_完成品価格表.pdf</t>
        </is>
      </c>
      <c r="R184" s="43" t="inlineStr">
        <is>
          <t>規格呼称は親品種で確認済み。固有仕様ごとの価格設定有無（＿＿表示等）は次QAで最終確定。</t>
        </is>
      </c>
      <c r="S184" s="42" t="inlineStr">
        <is>
          <t>無印</t>
        </is>
      </c>
      <c r="T184" s="42" t="n">
        <v>30</v>
      </c>
      <c r="U184" s="42" t="inlineStr">
        <is>
          <t>P30|無印</t>
        </is>
      </c>
      <c r="V184" s="42" t="inlineStr">
        <is>
          <t>同頁凡例へ直接連動</t>
        </is>
      </c>
    </row>
    <row r="185">
      <c r="A185" s="43" t="inlineStr">
        <is>
          <t>SZ-SL-000182</t>
        </is>
      </c>
      <c r="B185" s="43" t="inlineStr">
        <is>
          <t>SER-LIX-SAMOSL</t>
        </is>
      </c>
      <c r="C185" s="43" t="inlineStr">
        <is>
          <t>WT-SL-SHUTTER-HIKI</t>
        </is>
      </c>
      <c r="D185" s="43" t="inlineStr">
        <is>
          <t>シャッター付引違い窓</t>
        </is>
      </c>
      <c r="E185" s="43" t="inlineStr">
        <is>
          <t>SP-SL-SHUT-E-VENT</t>
        </is>
      </c>
      <c r="F185" s="43" t="inlineStr">
        <is>
          <t>在来・204</t>
        </is>
      </c>
      <c r="G185" s="43" t="inlineStr">
        <is>
          <t>12809</t>
        </is>
      </c>
      <c r="H185" s="43" t="inlineStr">
        <is>
          <t>128</t>
        </is>
      </c>
      <c r="I185" s="43" t="inlineStr">
        <is>
          <t>09</t>
        </is>
      </c>
      <c r="J185" s="222" t="n">
        <v>1320</v>
      </c>
      <c r="K185" s="222" t="n">
        <v>970</v>
      </c>
      <c r="L185" s="43" t="inlineStr">
        <is>
          <t>在来・204｜電動</t>
        </is>
      </c>
      <c r="M185" s="178" t="b">
        <v>1</v>
      </c>
      <c r="N185" s="43" t="inlineStr">
        <is>
          <t>カタログ個別可否確認済み</t>
        </is>
      </c>
      <c r="O185" s="222" t="n">
        <v>32</v>
      </c>
      <c r="P185" s="222" t="n">
        <v>30</v>
      </c>
      <c r="Q185" s="43" t="inlineStr">
        <is>
          <t>202604_LIXIL_サーモスＬ_業務用資料集_完成品価格表.pdf</t>
        </is>
      </c>
      <c r="R185" s="43" t="inlineStr">
        <is>
          <t>規格呼称は親品種で確認済み。固有仕様ごとの価格設定有無（＿＿表示等）は次QAで最終確定。</t>
        </is>
      </c>
      <c r="S185" s="42" t="inlineStr">
        <is>
          <t>無印</t>
        </is>
      </c>
      <c r="T185" s="42" t="n">
        <v>30</v>
      </c>
      <c r="U185" s="42" t="inlineStr">
        <is>
          <t>P30|無印</t>
        </is>
      </c>
      <c r="V185" s="42" t="inlineStr">
        <is>
          <t>同頁凡例へ直接連動</t>
        </is>
      </c>
    </row>
    <row r="186">
      <c r="A186" s="43" t="inlineStr">
        <is>
          <t>SZ-SL-000183</t>
        </is>
      </c>
      <c r="B186" s="43" t="inlineStr">
        <is>
          <t>SER-LIX-SAMOSL</t>
        </is>
      </c>
      <c r="C186" s="43" t="inlineStr">
        <is>
          <t>WT-SL-SHUTTER-HIKI</t>
        </is>
      </c>
      <c r="D186" s="43" t="inlineStr">
        <is>
          <t>シャッター付引違い窓</t>
        </is>
      </c>
      <c r="E186" s="43" t="inlineStr">
        <is>
          <t>SP-SL-SHUT-E-VENT</t>
        </is>
      </c>
      <c r="F186" s="43" t="inlineStr">
        <is>
          <t>在来・204</t>
        </is>
      </c>
      <c r="G186" s="43" t="inlineStr">
        <is>
          <t>12811</t>
        </is>
      </c>
      <c r="H186" s="43" t="inlineStr">
        <is>
          <t>128</t>
        </is>
      </c>
      <c r="I186" s="43" t="inlineStr">
        <is>
          <t>11</t>
        </is>
      </c>
      <c r="J186" s="222" t="n">
        <v>1320</v>
      </c>
      <c r="K186" s="222" t="n">
        <v>1170</v>
      </c>
      <c r="L186" s="43" t="inlineStr">
        <is>
          <t>在来・204｜電動</t>
        </is>
      </c>
      <c r="M186" s="178" t="b">
        <v>1</v>
      </c>
      <c r="N186" s="43" t="inlineStr">
        <is>
          <t>カタログ個別可否確認済み</t>
        </is>
      </c>
      <c r="O186" s="222" t="n">
        <v>32</v>
      </c>
      <c r="P186" s="222" t="n">
        <v>30</v>
      </c>
      <c r="Q186" s="43" t="inlineStr">
        <is>
          <t>202604_LIXIL_サーモスＬ_業務用資料集_完成品価格表.pdf</t>
        </is>
      </c>
      <c r="R186" s="43" t="inlineStr">
        <is>
          <t>規格呼称は親品種で確認済み。固有仕様ごとの価格設定有無（＿＿表示等）は次QAで最終確定。</t>
        </is>
      </c>
      <c r="S186" s="42" t="inlineStr">
        <is>
          <t>無印</t>
        </is>
      </c>
      <c r="T186" s="42" t="n">
        <v>30</v>
      </c>
      <c r="U186" s="42" t="inlineStr">
        <is>
          <t>P30|無印</t>
        </is>
      </c>
      <c r="V186" s="42" t="inlineStr">
        <is>
          <t>同頁凡例へ直接連動</t>
        </is>
      </c>
    </row>
    <row r="187">
      <c r="A187" s="43" t="inlineStr">
        <is>
          <t>SZ-SL-000184</t>
        </is>
      </c>
      <c r="B187" s="43" t="inlineStr">
        <is>
          <t>SER-LIX-SAMOSL</t>
        </is>
      </c>
      <c r="C187" s="43" t="inlineStr">
        <is>
          <t>WT-SL-SHUTTER-HIKI</t>
        </is>
      </c>
      <c r="D187" s="43" t="inlineStr">
        <is>
          <t>シャッター付引違い窓</t>
        </is>
      </c>
      <c r="E187" s="43" t="inlineStr">
        <is>
          <t>SP-SL-SHUT-E-VENT</t>
        </is>
      </c>
      <c r="F187" s="43" t="inlineStr">
        <is>
          <t>在来・204</t>
        </is>
      </c>
      <c r="G187" s="43" t="inlineStr">
        <is>
          <t>13309</t>
        </is>
      </c>
      <c r="H187" s="43" t="inlineStr">
        <is>
          <t>133</t>
        </is>
      </c>
      <c r="I187" s="43" t="inlineStr">
        <is>
          <t>09</t>
        </is>
      </c>
      <c r="J187" s="222" t="n">
        <v>1370</v>
      </c>
      <c r="K187" s="222" t="n">
        <v>970</v>
      </c>
      <c r="L187" s="43" t="inlineStr">
        <is>
          <t>在来・204｜電動</t>
        </is>
      </c>
      <c r="M187" s="178" t="b">
        <v>1</v>
      </c>
      <c r="N187" s="43" t="inlineStr">
        <is>
          <t>カタログ個別可否確認済み</t>
        </is>
      </c>
      <c r="O187" s="222" t="n">
        <v>32</v>
      </c>
      <c r="P187" s="222" t="n">
        <v>30</v>
      </c>
      <c r="Q187" s="43" t="inlineStr">
        <is>
          <t>202604_LIXIL_サーモスＬ_業務用資料集_完成品価格表.pdf</t>
        </is>
      </c>
      <c r="R187" s="43" t="inlineStr">
        <is>
          <t>規格呼称は親品種で確認済み。固有仕様ごとの価格設定有無（＿＿表示等）は次QAで最終確定。</t>
        </is>
      </c>
      <c r="S187" s="42" t="inlineStr">
        <is>
          <t>無印</t>
        </is>
      </c>
      <c r="T187" s="42" t="n">
        <v>30</v>
      </c>
      <c r="U187" s="42" t="inlineStr">
        <is>
          <t>P30|無印</t>
        </is>
      </c>
      <c r="V187" s="42" t="inlineStr">
        <is>
          <t>同頁凡例へ直接連動</t>
        </is>
      </c>
    </row>
    <row r="188">
      <c r="A188" s="43" t="inlineStr">
        <is>
          <t>SZ-SL-000185</t>
        </is>
      </c>
      <c r="B188" s="43" t="inlineStr">
        <is>
          <t>SER-LIX-SAMOSL</t>
        </is>
      </c>
      <c r="C188" s="43" t="inlineStr">
        <is>
          <t>WT-SL-SHUTTER-HIKI</t>
        </is>
      </c>
      <c r="D188" s="43" t="inlineStr">
        <is>
          <t>シャッター付引違い窓</t>
        </is>
      </c>
      <c r="E188" s="43" t="inlineStr">
        <is>
          <t>SP-SL-SHUT-E-VENT</t>
        </is>
      </c>
      <c r="F188" s="43" t="inlineStr">
        <is>
          <t>在来・204</t>
        </is>
      </c>
      <c r="G188" s="43" t="inlineStr">
        <is>
          <t>13311</t>
        </is>
      </c>
      <c r="H188" s="43" t="inlineStr">
        <is>
          <t>133</t>
        </is>
      </c>
      <c r="I188" s="43" t="inlineStr">
        <is>
          <t>11</t>
        </is>
      </c>
      <c r="J188" s="222" t="n">
        <v>1370</v>
      </c>
      <c r="K188" s="222" t="n">
        <v>1170</v>
      </c>
      <c r="L188" s="43" t="inlineStr">
        <is>
          <t>在来・204｜電動</t>
        </is>
      </c>
      <c r="M188" s="178" t="b">
        <v>1</v>
      </c>
      <c r="N188" s="43" t="inlineStr">
        <is>
          <t>カタログ個別可否確認済み</t>
        </is>
      </c>
      <c r="O188" s="222" t="n">
        <v>32</v>
      </c>
      <c r="P188" s="222" t="n">
        <v>30</v>
      </c>
      <c r="Q188" s="43" t="inlineStr">
        <is>
          <t>202604_LIXIL_サーモスＬ_業務用資料集_完成品価格表.pdf</t>
        </is>
      </c>
      <c r="R188" s="43" t="inlineStr">
        <is>
          <t>規格呼称は親品種で確認済み。固有仕様ごとの価格設定有無（＿＿表示等）は次QAで最終確定。</t>
        </is>
      </c>
      <c r="S188" s="42" t="inlineStr">
        <is>
          <t>無印</t>
        </is>
      </c>
      <c r="T188" s="42" t="n">
        <v>30</v>
      </c>
      <c r="U188" s="42" t="inlineStr">
        <is>
          <t>P30|無印</t>
        </is>
      </c>
      <c r="V188" s="42" t="inlineStr">
        <is>
          <t>同頁凡例へ直接連動</t>
        </is>
      </c>
    </row>
    <row r="189">
      <c r="A189" s="43" t="inlineStr">
        <is>
          <t>SZ-SL-000186</t>
        </is>
      </c>
      <c r="B189" s="43" t="inlineStr">
        <is>
          <t>SER-LIX-SAMOSL</t>
        </is>
      </c>
      <c r="C189" s="43" t="inlineStr">
        <is>
          <t>WT-SL-SHUTTER-HIKI</t>
        </is>
      </c>
      <c r="D189" s="43" t="inlineStr">
        <is>
          <t>シャッター付引違い窓</t>
        </is>
      </c>
      <c r="E189" s="43" t="inlineStr">
        <is>
          <t>SP-SL-SHUT-E-WIND</t>
        </is>
      </c>
      <c r="F189" s="43" t="inlineStr">
        <is>
          <t>在来・204</t>
        </is>
      </c>
      <c r="G189" s="43" t="inlineStr">
        <is>
          <t>11409</t>
        </is>
      </c>
      <c r="H189" s="43" t="inlineStr">
        <is>
          <t>114</t>
        </is>
      </c>
      <c r="I189" s="43" t="inlineStr">
        <is>
          <t>09</t>
        </is>
      </c>
      <c r="J189" s="222" t="n">
        <v>1185</v>
      </c>
      <c r="K189" s="222" t="n">
        <v>970</v>
      </c>
      <c r="L189" s="43" t="inlineStr">
        <is>
          <t>在来・204｜電動</t>
        </is>
      </c>
      <c r="M189" s="178" t="b">
        <v>1</v>
      </c>
      <c r="N189" s="43" t="inlineStr">
        <is>
          <t>カタログ個別可否確認済み</t>
        </is>
      </c>
      <c r="O189" s="222" t="n">
        <v>32</v>
      </c>
      <c r="P189" s="222" t="n">
        <v>30</v>
      </c>
      <c r="Q189" s="43" t="inlineStr">
        <is>
          <t>202604_LIXIL_サーモスＬ_業務用資料集_完成品価格表.pdf</t>
        </is>
      </c>
      <c r="R189" s="43" t="inlineStr">
        <is>
          <t>規格呼称は親品種で確認済み。固有仕様ごとの価格設定有無（＿＿表示等）は次QAで最終確定。</t>
        </is>
      </c>
      <c r="S189" s="42" t="inlineStr">
        <is>
          <t>無印</t>
        </is>
      </c>
      <c r="T189" s="42" t="n">
        <v>30</v>
      </c>
      <c r="U189" s="42" t="inlineStr">
        <is>
          <t>P30|無印</t>
        </is>
      </c>
      <c r="V189" s="42" t="inlineStr">
        <is>
          <t>同頁凡例へ直接連動</t>
        </is>
      </c>
    </row>
    <row r="190">
      <c r="A190" s="43" t="inlineStr">
        <is>
          <t>SZ-SL-000187</t>
        </is>
      </c>
      <c r="B190" s="43" t="inlineStr">
        <is>
          <t>SER-LIX-SAMOSL</t>
        </is>
      </c>
      <c r="C190" s="43" t="inlineStr">
        <is>
          <t>WT-SL-SHUTTER-HIKI</t>
        </is>
      </c>
      <c r="D190" s="43" t="inlineStr">
        <is>
          <t>シャッター付引違い窓</t>
        </is>
      </c>
      <c r="E190" s="43" t="inlineStr">
        <is>
          <t>SP-SL-SHUT-E-WIND</t>
        </is>
      </c>
      <c r="F190" s="43" t="inlineStr">
        <is>
          <t>在来・204</t>
        </is>
      </c>
      <c r="G190" s="43" t="inlineStr">
        <is>
          <t>11411</t>
        </is>
      </c>
      <c r="H190" s="43" t="inlineStr">
        <is>
          <t>114</t>
        </is>
      </c>
      <c r="I190" s="43" t="inlineStr">
        <is>
          <t>11</t>
        </is>
      </c>
      <c r="J190" s="222" t="n">
        <v>1185</v>
      </c>
      <c r="K190" s="222" t="n">
        <v>1170</v>
      </c>
      <c r="L190" s="43" t="inlineStr">
        <is>
          <t>在来・204｜電動</t>
        </is>
      </c>
      <c r="M190" s="178" t="b">
        <v>1</v>
      </c>
      <c r="N190" s="43" t="inlineStr">
        <is>
          <t>カタログ個別可否確認済み</t>
        </is>
      </c>
      <c r="O190" s="222" t="n">
        <v>32</v>
      </c>
      <c r="P190" s="222" t="n">
        <v>30</v>
      </c>
      <c r="Q190" s="43" t="inlineStr">
        <is>
          <t>202604_LIXIL_サーモスＬ_業務用資料集_完成品価格表.pdf</t>
        </is>
      </c>
      <c r="R190" s="43" t="inlineStr">
        <is>
          <t>規格呼称は親品種で確認済み。固有仕様ごとの価格設定有無（＿＿表示等）は次QAで最終確定。</t>
        </is>
      </c>
      <c r="S190" s="42" t="inlineStr">
        <is>
          <t>無印</t>
        </is>
      </c>
      <c r="T190" s="42" t="n">
        <v>30</v>
      </c>
      <c r="U190" s="42" t="inlineStr">
        <is>
          <t>P30|無印</t>
        </is>
      </c>
      <c r="V190" s="42" t="inlineStr">
        <is>
          <t>同頁凡例へ直接連動</t>
        </is>
      </c>
    </row>
    <row r="191">
      <c r="A191" s="43" t="inlineStr">
        <is>
          <t>SZ-SL-000188</t>
        </is>
      </c>
      <c r="B191" s="43" t="inlineStr">
        <is>
          <t>SER-LIX-SAMOSL</t>
        </is>
      </c>
      <c r="C191" s="43" t="inlineStr">
        <is>
          <t>WT-SL-SHUTTER-HIKI</t>
        </is>
      </c>
      <c r="D191" s="43" t="inlineStr">
        <is>
          <t>シャッター付引違い窓</t>
        </is>
      </c>
      <c r="E191" s="43" t="inlineStr">
        <is>
          <t>SP-SL-SHUT-E-WIND</t>
        </is>
      </c>
      <c r="F191" s="43" t="inlineStr">
        <is>
          <t>在来・204</t>
        </is>
      </c>
      <c r="G191" s="43" t="inlineStr">
        <is>
          <t>11909</t>
        </is>
      </c>
      <c r="H191" s="43" t="inlineStr">
        <is>
          <t>119</t>
        </is>
      </c>
      <c r="I191" s="43" t="inlineStr">
        <is>
          <t>09</t>
        </is>
      </c>
      <c r="J191" s="222" t="n">
        <v>1235</v>
      </c>
      <c r="K191" s="222" t="n">
        <v>970</v>
      </c>
      <c r="L191" s="43" t="inlineStr">
        <is>
          <t>在来・204｜電動</t>
        </is>
      </c>
      <c r="M191" s="178" t="b">
        <v>1</v>
      </c>
      <c r="N191" s="43" t="inlineStr">
        <is>
          <t>カタログ個別可否確認済み</t>
        </is>
      </c>
      <c r="O191" s="222" t="n">
        <v>32</v>
      </c>
      <c r="P191" s="222" t="n">
        <v>30</v>
      </c>
      <c r="Q191" s="43" t="inlineStr">
        <is>
          <t>202604_LIXIL_サーモスＬ_業務用資料集_完成品価格表.pdf</t>
        </is>
      </c>
      <c r="R191" s="43" t="inlineStr">
        <is>
          <t>規格呼称は親品種で確認済み。固有仕様ごとの価格設定有無（＿＿表示等）は次QAで最終確定。</t>
        </is>
      </c>
      <c r="S191" s="42" t="inlineStr">
        <is>
          <t>無印</t>
        </is>
      </c>
      <c r="T191" s="42" t="n">
        <v>30</v>
      </c>
      <c r="U191" s="42" t="inlineStr">
        <is>
          <t>P30|無印</t>
        </is>
      </c>
      <c r="V191" s="42" t="inlineStr">
        <is>
          <t>同頁凡例へ直接連動</t>
        </is>
      </c>
    </row>
    <row r="192">
      <c r="A192" s="43" t="inlineStr">
        <is>
          <t>SZ-SL-000189</t>
        </is>
      </c>
      <c r="B192" s="43" t="inlineStr">
        <is>
          <t>SER-LIX-SAMOSL</t>
        </is>
      </c>
      <c r="C192" s="43" t="inlineStr">
        <is>
          <t>WT-SL-SHUTTER-HIKI</t>
        </is>
      </c>
      <c r="D192" s="43" t="inlineStr">
        <is>
          <t>シャッター付引違い窓</t>
        </is>
      </c>
      <c r="E192" s="43" t="inlineStr">
        <is>
          <t>SP-SL-SHUT-E-WIND</t>
        </is>
      </c>
      <c r="F192" s="43" t="inlineStr">
        <is>
          <t>在来・204</t>
        </is>
      </c>
      <c r="G192" s="43" t="inlineStr">
        <is>
          <t>11911</t>
        </is>
      </c>
      <c r="H192" s="43" t="inlineStr">
        <is>
          <t>119</t>
        </is>
      </c>
      <c r="I192" s="43" t="inlineStr">
        <is>
          <t>11</t>
        </is>
      </c>
      <c r="J192" s="222" t="n">
        <v>1235</v>
      </c>
      <c r="K192" s="222" t="n">
        <v>1170</v>
      </c>
      <c r="L192" s="43" t="inlineStr">
        <is>
          <t>在来・204｜電動</t>
        </is>
      </c>
      <c r="M192" s="178" t="b">
        <v>1</v>
      </c>
      <c r="N192" s="43" t="inlineStr">
        <is>
          <t>カタログ個別可否確認済み</t>
        </is>
      </c>
      <c r="O192" s="222" t="n">
        <v>32</v>
      </c>
      <c r="P192" s="222" t="n">
        <v>30</v>
      </c>
      <c r="Q192" s="43" t="inlineStr">
        <is>
          <t>202604_LIXIL_サーモスＬ_業務用資料集_完成品価格表.pdf</t>
        </is>
      </c>
      <c r="R192" s="43" t="inlineStr">
        <is>
          <t>規格呼称は親品種で確認済み。固有仕様ごとの価格設定有無（＿＿表示等）は次QAで最終確定。</t>
        </is>
      </c>
      <c r="S192" s="42" t="inlineStr">
        <is>
          <t>無印</t>
        </is>
      </c>
      <c r="T192" s="42" t="n">
        <v>30</v>
      </c>
      <c r="U192" s="42" t="inlineStr">
        <is>
          <t>P30|無印</t>
        </is>
      </c>
      <c r="V192" s="42" t="inlineStr">
        <is>
          <t>同頁凡例へ直接連動</t>
        </is>
      </c>
    </row>
    <row r="193">
      <c r="A193" s="43" t="inlineStr">
        <is>
          <t>SZ-SL-000190</t>
        </is>
      </c>
      <c r="B193" s="43" t="inlineStr">
        <is>
          <t>SER-LIX-SAMOSL</t>
        </is>
      </c>
      <c r="C193" s="43" t="inlineStr">
        <is>
          <t>WT-SL-SHUTTER-HIKI</t>
        </is>
      </c>
      <c r="D193" s="43" t="inlineStr">
        <is>
          <t>シャッター付引違い窓</t>
        </is>
      </c>
      <c r="E193" s="43" t="inlineStr">
        <is>
          <t>SP-SL-SHUT-E-WIND</t>
        </is>
      </c>
      <c r="F193" s="43" t="inlineStr">
        <is>
          <t>在来・204</t>
        </is>
      </c>
      <c r="G193" s="43" t="inlineStr">
        <is>
          <t>12809</t>
        </is>
      </c>
      <c r="H193" s="43" t="inlineStr">
        <is>
          <t>128</t>
        </is>
      </c>
      <c r="I193" s="43" t="inlineStr">
        <is>
          <t>09</t>
        </is>
      </c>
      <c r="J193" s="222" t="n">
        <v>1320</v>
      </c>
      <c r="K193" s="222" t="n">
        <v>970</v>
      </c>
      <c r="L193" s="43" t="inlineStr">
        <is>
          <t>在来・204｜電動</t>
        </is>
      </c>
      <c r="M193" s="178" t="b">
        <v>0</v>
      </c>
      <c r="N193" s="43" t="inlineStr">
        <is>
          <t>設定なし（価格表確認済み）</t>
        </is>
      </c>
      <c r="O193" s="222" t="n">
        <v>32</v>
      </c>
      <c r="P193" s="222" t="n">
        <v>30</v>
      </c>
      <c r="Q193" s="43" t="inlineStr">
        <is>
          <t>202604_LIXIL_サーモスＬ_業務用資料集_完成品価格表.pdf</t>
        </is>
      </c>
      <c r="R193" s="43" t="inlineStr">
        <is>
          <t>規格呼称は親品種で確認済み。固有仕様ごとの価格設定有無（＿＿表示等）は次QAで最終確定。</t>
        </is>
      </c>
      <c r="S193" s="42" t="inlineStr">
        <is>
          <t>無印</t>
        </is>
      </c>
      <c r="T193" s="42" t="n">
        <v>30</v>
      </c>
      <c r="U193" s="42" t="inlineStr">
        <is>
          <t>P30|無印</t>
        </is>
      </c>
      <c r="V193" s="42" t="inlineStr">
        <is>
          <t>同頁凡例へ直接連動</t>
        </is>
      </c>
    </row>
    <row r="194">
      <c r="A194" s="43" t="inlineStr">
        <is>
          <t>SZ-SL-000191</t>
        </is>
      </c>
      <c r="B194" s="43" t="inlineStr">
        <is>
          <t>SER-LIX-SAMOSL</t>
        </is>
      </c>
      <c r="C194" s="43" t="inlineStr">
        <is>
          <t>WT-SL-SHUTTER-HIKI</t>
        </is>
      </c>
      <c r="D194" s="43" t="inlineStr">
        <is>
          <t>シャッター付引違い窓</t>
        </is>
      </c>
      <c r="E194" s="43" t="inlineStr">
        <is>
          <t>SP-SL-SHUT-E-WIND</t>
        </is>
      </c>
      <c r="F194" s="43" t="inlineStr">
        <is>
          <t>在来・204</t>
        </is>
      </c>
      <c r="G194" s="43" t="inlineStr">
        <is>
          <t>12811</t>
        </is>
      </c>
      <c r="H194" s="43" t="inlineStr">
        <is>
          <t>128</t>
        </is>
      </c>
      <c r="I194" s="43" t="inlineStr">
        <is>
          <t>11</t>
        </is>
      </c>
      <c r="J194" s="222" t="n">
        <v>1320</v>
      </c>
      <c r="K194" s="222" t="n">
        <v>1170</v>
      </c>
      <c r="L194" s="43" t="inlineStr">
        <is>
          <t>在来・204｜電動</t>
        </is>
      </c>
      <c r="M194" s="178" t="b">
        <v>0</v>
      </c>
      <c r="N194" s="43" t="inlineStr">
        <is>
          <t>設定なし（価格表確認済み）</t>
        </is>
      </c>
      <c r="O194" s="222" t="n">
        <v>32</v>
      </c>
      <c r="P194" s="222" t="n">
        <v>30</v>
      </c>
      <c r="Q194" s="43" t="inlineStr">
        <is>
          <t>202604_LIXIL_サーモスＬ_業務用資料集_完成品価格表.pdf</t>
        </is>
      </c>
      <c r="R194" s="43" t="inlineStr">
        <is>
          <t>規格呼称は親品種で確認済み。固有仕様ごとの価格設定有無（＿＿表示等）は次QAで最終確定。</t>
        </is>
      </c>
      <c r="S194" s="42" t="inlineStr">
        <is>
          <t>無印</t>
        </is>
      </c>
      <c r="T194" s="42" t="n">
        <v>30</v>
      </c>
      <c r="U194" s="42" t="inlineStr">
        <is>
          <t>P30|無印</t>
        </is>
      </c>
      <c r="V194" s="42" t="inlineStr">
        <is>
          <t>同頁凡例へ直接連動</t>
        </is>
      </c>
    </row>
    <row r="195">
      <c r="A195" s="43" t="inlineStr">
        <is>
          <t>SZ-SL-000192</t>
        </is>
      </c>
      <c r="B195" s="43" t="inlineStr">
        <is>
          <t>SER-LIX-SAMOSL</t>
        </is>
      </c>
      <c r="C195" s="43" t="inlineStr">
        <is>
          <t>WT-SL-SHUTTER-HIKI</t>
        </is>
      </c>
      <c r="D195" s="43" t="inlineStr">
        <is>
          <t>シャッター付引違い窓</t>
        </is>
      </c>
      <c r="E195" s="43" t="inlineStr">
        <is>
          <t>SP-SL-SHUT-E-WIND</t>
        </is>
      </c>
      <c r="F195" s="43" t="inlineStr">
        <is>
          <t>在来・204</t>
        </is>
      </c>
      <c r="G195" s="43" t="inlineStr">
        <is>
          <t>13309</t>
        </is>
      </c>
      <c r="H195" s="43" t="inlineStr">
        <is>
          <t>133</t>
        </is>
      </c>
      <c r="I195" s="43" t="inlineStr">
        <is>
          <t>09</t>
        </is>
      </c>
      <c r="J195" s="222" t="n">
        <v>1370</v>
      </c>
      <c r="K195" s="222" t="n">
        <v>970</v>
      </c>
      <c r="L195" s="43" t="inlineStr">
        <is>
          <t>在来・204｜電動</t>
        </is>
      </c>
      <c r="M195" s="178" t="b">
        <v>0</v>
      </c>
      <c r="N195" s="43" t="inlineStr">
        <is>
          <t>設定なし（価格表確認済み）</t>
        </is>
      </c>
      <c r="O195" s="222" t="n">
        <v>32</v>
      </c>
      <c r="P195" s="222" t="n">
        <v>30</v>
      </c>
      <c r="Q195" s="43" t="inlineStr">
        <is>
          <t>202604_LIXIL_サーモスＬ_業務用資料集_完成品価格表.pdf</t>
        </is>
      </c>
      <c r="R195" s="43" t="inlineStr">
        <is>
          <t>規格呼称は親品種で確認済み。固有仕様ごとの価格設定有無（＿＿表示等）は次QAで最終確定。</t>
        </is>
      </c>
      <c r="S195" s="42" t="inlineStr">
        <is>
          <t>無印</t>
        </is>
      </c>
      <c r="T195" s="42" t="n">
        <v>30</v>
      </c>
      <c r="U195" s="42" t="inlineStr">
        <is>
          <t>P30|無印</t>
        </is>
      </c>
      <c r="V195" s="42" t="inlineStr">
        <is>
          <t>同頁凡例へ直接連動</t>
        </is>
      </c>
    </row>
    <row r="196">
      <c r="A196" s="43" t="inlineStr">
        <is>
          <t>SZ-SL-000193</t>
        </is>
      </c>
      <c r="B196" s="43" t="inlineStr">
        <is>
          <t>SER-LIX-SAMOSL</t>
        </is>
      </c>
      <c r="C196" s="43" t="inlineStr">
        <is>
          <t>WT-SL-SHUTTER-HIKI</t>
        </is>
      </c>
      <c r="D196" s="43" t="inlineStr">
        <is>
          <t>シャッター付引違い窓</t>
        </is>
      </c>
      <c r="E196" s="43" t="inlineStr">
        <is>
          <t>SP-SL-SHUT-E-WIND</t>
        </is>
      </c>
      <c r="F196" s="43" t="inlineStr">
        <is>
          <t>在来・204</t>
        </is>
      </c>
      <c r="G196" s="43" t="inlineStr">
        <is>
          <t>13311</t>
        </is>
      </c>
      <c r="H196" s="43" t="inlineStr">
        <is>
          <t>133</t>
        </is>
      </c>
      <c r="I196" s="43" t="inlineStr">
        <is>
          <t>11</t>
        </is>
      </c>
      <c r="J196" s="222" t="n">
        <v>1370</v>
      </c>
      <c r="K196" s="222" t="n">
        <v>1170</v>
      </c>
      <c r="L196" s="43" t="inlineStr">
        <is>
          <t>在来・204｜電動</t>
        </is>
      </c>
      <c r="M196" s="178" t="b">
        <v>0</v>
      </c>
      <c r="N196" s="43" t="inlineStr">
        <is>
          <t>設定なし（価格表確認済み）</t>
        </is>
      </c>
      <c r="O196" s="222" t="n">
        <v>32</v>
      </c>
      <c r="P196" s="222" t="n">
        <v>30</v>
      </c>
      <c r="Q196" s="43" t="inlineStr">
        <is>
          <t>202604_LIXIL_サーモスＬ_業務用資料集_完成品価格表.pdf</t>
        </is>
      </c>
      <c r="R196" s="43" t="inlineStr">
        <is>
          <t>規格呼称は親品種で確認済み。固有仕様ごとの価格設定有無（＿＿表示等）は次QAで最終確定。</t>
        </is>
      </c>
      <c r="S196" s="42" t="inlineStr">
        <is>
          <t>無印</t>
        </is>
      </c>
      <c r="T196" s="42" t="n">
        <v>30</v>
      </c>
      <c r="U196" s="42" t="inlineStr">
        <is>
          <t>P30|無印</t>
        </is>
      </c>
      <c r="V196" s="42" t="inlineStr">
        <is>
          <t>同頁凡例へ直接連動</t>
        </is>
      </c>
    </row>
    <row r="197">
      <c r="A197" s="43" t="inlineStr">
        <is>
          <t>SZ-SL-000194</t>
        </is>
      </c>
      <c r="B197" s="43" t="inlineStr">
        <is>
          <t>SER-LIX-SAMOSL</t>
        </is>
      </c>
      <c r="C197" s="43" t="inlineStr">
        <is>
          <t>WT-SL-SHUTTER-HIKI</t>
        </is>
      </c>
      <c r="D197" s="43" t="inlineStr">
        <is>
          <t>シャッター付引違い窓</t>
        </is>
      </c>
      <c r="E197" s="43" t="inlineStr">
        <is>
          <t>SP-SL-SHUT-E-STD</t>
        </is>
      </c>
      <c r="F197" s="43" t="inlineStr">
        <is>
          <t>在来・204</t>
        </is>
      </c>
      <c r="G197" s="43" t="inlineStr">
        <is>
          <t>15009</t>
        </is>
      </c>
      <c r="H197" s="43" t="inlineStr">
        <is>
          <t>150</t>
        </is>
      </c>
      <c r="I197" s="43" t="inlineStr">
        <is>
          <t>09</t>
        </is>
      </c>
      <c r="J197" s="222" t="n">
        <v>1540</v>
      </c>
      <c r="K197" s="222" t="n">
        <v>970</v>
      </c>
      <c r="L197" s="43" t="inlineStr">
        <is>
          <t>在来・204｜電動</t>
        </is>
      </c>
      <c r="M197" s="178" t="b">
        <v>1</v>
      </c>
      <c r="N197" s="43" t="inlineStr">
        <is>
          <t>カタログ規格確認済み</t>
        </is>
      </c>
      <c r="O197" s="222" t="n">
        <v>33</v>
      </c>
      <c r="P197" s="222" t="n">
        <v>31</v>
      </c>
      <c r="Q197" s="43" t="inlineStr">
        <is>
          <t>202604_LIXIL_サーモスＬ_業務用資料集_完成品価格表.pdf</t>
        </is>
      </c>
      <c r="R197" s="43" t="n"/>
      <c r="S197" s="42" t="inlineStr">
        <is>
          <t>無印</t>
        </is>
      </c>
      <c r="T197" s="42" t="n">
        <v>30</v>
      </c>
      <c r="U197" s="42" t="inlineStr">
        <is>
          <t>P30|無印</t>
        </is>
      </c>
      <c r="V197" s="42" t="inlineStr">
        <is>
          <t>同一価格表・前頁凡例を継承</t>
        </is>
      </c>
    </row>
    <row r="198">
      <c r="A198" s="43" t="inlineStr">
        <is>
          <t>SZ-SL-000195</t>
        </is>
      </c>
      <c r="B198" s="43" t="inlineStr">
        <is>
          <t>SER-LIX-SAMOSL</t>
        </is>
      </c>
      <c r="C198" s="43" t="inlineStr">
        <is>
          <t>WT-SL-SHUTTER-HIKI</t>
        </is>
      </c>
      <c r="D198" s="43" t="inlineStr">
        <is>
          <t>シャッター付引違い窓</t>
        </is>
      </c>
      <c r="E198" s="43" t="inlineStr">
        <is>
          <t>SP-SL-SHUT-E-STD</t>
        </is>
      </c>
      <c r="F198" s="43" t="inlineStr">
        <is>
          <t>在来・204</t>
        </is>
      </c>
      <c r="G198" s="43" t="inlineStr">
        <is>
          <t>15011</t>
        </is>
      </c>
      <c r="H198" s="43" t="inlineStr">
        <is>
          <t>150</t>
        </is>
      </c>
      <c r="I198" s="43" t="inlineStr">
        <is>
          <t>11</t>
        </is>
      </c>
      <c r="J198" s="222" t="n">
        <v>1540</v>
      </c>
      <c r="K198" s="222" t="n">
        <v>1170</v>
      </c>
      <c r="L198" s="43" t="inlineStr">
        <is>
          <t>在来・204｜電動</t>
        </is>
      </c>
      <c r="M198" s="178" t="b">
        <v>1</v>
      </c>
      <c r="N198" s="43" t="inlineStr">
        <is>
          <t>カタログ規格確認済み</t>
        </is>
      </c>
      <c r="O198" s="222" t="n">
        <v>33</v>
      </c>
      <c r="P198" s="222" t="n">
        <v>31</v>
      </c>
      <c r="Q198" s="43" t="inlineStr">
        <is>
          <t>202604_LIXIL_サーモスＬ_業務用資料集_完成品価格表.pdf</t>
        </is>
      </c>
      <c r="R198" s="43" t="n"/>
      <c r="S198" s="42" t="inlineStr">
        <is>
          <t>無印</t>
        </is>
      </c>
      <c r="T198" s="42" t="n">
        <v>30</v>
      </c>
      <c r="U198" s="42" t="inlineStr">
        <is>
          <t>P30|無印</t>
        </is>
      </c>
      <c r="V198" s="42" t="inlineStr">
        <is>
          <t>同一価格表・前頁凡例を継承</t>
        </is>
      </c>
    </row>
    <row r="199">
      <c r="A199" s="43" t="inlineStr">
        <is>
          <t>SZ-SL-000196</t>
        </is>
      </c>
      <c r="B199" s="43" t="inlineStr">
        <is>
          <t>SER-LIX-SAMOSL</t>
        </is>
      </c>
      <c r="C199" s="43" t="inlineStr">
        <is>
          <t>WT-SL-SHUTTER-HIKI</t>
        </is>
      </c>
      <c r="D199" s="43" t="inlineStr">
        <is>
          <t>シャッター付引違い窓</t>
        </is>
      </c>
      <c r="E199" s="43" t="inlineStr">
        <is>
          <t>SP-SL-SHUT-E-STD</t>
        </is>
      </c>
      <c r="F199" s="43" t="inlineStr">
        <is>
          <t>在来・204</t>
        </is>
      </c>
      <c r="G199" s="43" t="inlineStr">
        <is>
          <t>16009</t>
        </is>
      </c>
      <c r="H199" s="43" t="inlineStr">
        <is>
          <t>160</t>
        </is>
      </c>
      <c r="I199" s="43" t="inlineStr">
        <is>
          <t>09</t>
        </is>
      </c>
      <c r="J199" s="222" t="n">
        <v>1640</v>
      </c>
      <c r="K199" s="222" t="n">
        <v>970</v>
      </c>
      <c r="L199" s="43" t="inlineStr">
        <is>
          <t>在来・204｜電動</t>
        </is>
      </c>
      <c r="M199" s="178" t="b">
        <v>1</v>
      </c>
      <c r="N199" s="43" t="inlineStr">
        <is>
          <t>カタログ規格確認済み</t>
        </is>
      </c>
      <c r="O199" s="222" t="n">
        <v>33</v>
      </c>
      <c r="P199" s="222" t="n">
        <v>31</v>
      </c>
      <c r="Q199" s="43" t="inlineStr">
        <is>
          <t>202604_LIXIL_サーモスＬ_業務用資料集_完成品価格表.pdf</t>
        </is>
      </c>
      <c r="R199" s="43" t="n"/>
      <c r="S199" s="42" t="inlineStr">
        <is>
          <t>無印</t>
        </is>
      </c>
      <c r="T199" s="42" t="n">
        <v>30</v>
      </c>
      <c r="U199" s="42" t="inlineStr">
        <is>
          <t>P30|無印</t>
        </is>
      </c>
      <c r="V199" s="42" t="inlineStr">
        <is>
          <t>同一価格表・前頁凡例を継承</t>
        </is>
      </c>
    </row>
    <row r="200">
      <c r="A200" s="43" t="inlineStr">
        <is>
          <t>SZ-SL-000197</t>
        </is>
      </c>
      <c r="B200" s="43" t="inlineStr">
        <is>
          <t>SER-LIX-SAMOSL</t>
        </is>
      </c>
      <c r="C200" s="43" t="inlineStr">
        <is>
          <t>WT-SL-SHUTTER-HIKI</t>
        </is>
      </c>
      <c r="D200" s="43" t="inlineStr">
        <is>
          <t>シャッター付引違い窓</t>
        </is>
      </c>
      <c r="E200" s="43" t="inlineStr">
        <is>
          <t>SP-SL-SHUT-E-STD</t>
        </is>
      </c>
      <c r="F200" s="43" t="inlineStr">
        <is>
          <t>在来・204</t>
        </is>
      </c>
      <c r="G200" s="43" t="inlineStr">
        <is>
          <t>16011</t>
        </is>
      </c>
      <c r="H200" s="43" t="inlineStr">
        <is>
          <t>160</t>
        </is>
      </c>
      <c r="I200" s="43" t="inlineStr">
        <is>
          <t>11</t>
        </is>
      </c>
      <c r="J200" s="222" t="n">
        <v>1640</v>
      </c>
      <c r="K200" s="222" t="n">
        <v>1170</v>
      </c>
      <c r="L200" s="43" t="inlineStr">
        <is>
          <t>在来・204｜電動</t>
        </is>
      </c>
      <c r="M200" s="178" t="b">
        <v>1</v>
      </c>
      <c r="N200" s="43" t="inlineStr">
        <is>
          <t>カタログ規格確認済み</t>
        </is>
      </c>
      <c r="O200" s="222" t="n">
        <v>33</v>
      </c>
      <c r="P200" s="222" t="n">
        <v>31</v>
      </c>
      <c r="Q200" s="43" t="inlineStr">
        <is>
          <t>202604_LIXIL_サーモスＬ_業務用資料集_完成品価格表.pdf</t>
        </is>
      </c>
      <c r="R200" s="43" t="n"/>
      <c r="S200" s="42" t="inlineStr">
        <is>
          <t>無印</t>
        </is>
      </c>
      <c r="T200" s="42" t="n">
        <v>30</v>
      </c>
      <c r="U200" s="42" t="inlineStr">
        <is>
          <t>P30|無印</t>
        </is>
      </c>
      <c r="V200" s="42" t="inlineStr">
        <is>
          <t>同一価格表・前頁凡例を継承</t>
        </is>
      </c>
    </row>
    <row r="201">
      <c r="A201" s="43" t="inlineStr">
        <is>
          <t>SZ-SL-000198</t>
        </is>
      </c>
      <c r="B201" s="43" t="inlineStr">
        <is>
          <t>SER-LIX-SAMOSL</t>
        </is>
      </c>
      <c r="C201" s="43" t="inlineStr">
        <is>
          <t>WT-SL-SHUTTER-HIKI</t>
        </is>
      </c>
      <c r="D201" s="43" t="inlineStr">
        <is>
          <t>シャッター付引違い窓</t>
        </is>
      </c>
      <c r="E201" s="43" t="inlineStr">
        <is>
          <t>SP-SL-SHUT-E-STD</t>
        </is>
      </c>
      <c r="F201" s="43" t="inlineStr">
        <is>
          <t>在来・204</t>
        </is>
      </c>
      <c r="G201" s="43" t="inlineStr">
        <is>
          <t>16507</t>
        </is>
      </c>
      <c r="H201" s="43" t="inlineStr">
        <is>
          <t>165</t>
        </is>
      </c>
      <c r="I201" s="43" t="inlineStr">
        <is>
          <t>07</t>
        </is>
      </c>
      <c r="J201" s="222" t="n">
        <v>1690</v>
      </c>
      <c r="K201" s="222" t="n">
        <v>770</v>
      </c>
      <c r="L201" s="43" t="inlineStr">
        <is>
          <t>在来・204｜電動</t>
        </is>
      </c>
      <c r="M201" s="178" t="b">
        <v>1</v>
      </c>
      <c r="N201" s="43" t="inlineStr">
        <is>
          <t>カタログ規格確認済み</t>
        </is>
      </c>
      <c r="O201" s="222" t="n">
        <v>33</v>
      </c>
      <c r="P201" s="222" t="n">
        <v>31</v>
      </c>
      <c r="Q201" s="43" t="inlineStr">
        <is>
          <t>202604_LIXIL_サーモスＬ_業務用資料集_完成品価格表.pdf</t>
        </is>
      </c>
      <c r="R201" s="43" t="n"/>
      <c r="S201" s="42" t="inlineStr">
        <is>
          <t>無印</t>
        </is>
      </c>
      <c r="T201" s="42" t="n">
        <v>30</v>
      </c>
      <c r="U201" s="42" t="inlineStr">
        <is>
          <t>P30|無印</t>
        </is>
      </c>
      <c r="V201" s="42" t="inlineStr">
        <is>
          <t>同一価格表・前頁凡例を継承</t>
        </is>
      </c>
    </row>
    <row r="202">
      <c r="A202" s="43" t="inlineStr">
        <is>
          <t>SZ-SL-000199</t>
        </is>
      </c>
      <c r="B202" s="43" t="inlineStr">
        <is>
          <t>SER-LIX-SAMOSL</t>
        </is>
      </c>
      <c r="C202" s="43" t="inlineStr">
        <is>
          <t>WT-SL-SHUTTER-HIKI</t>
        </is>
      </c>
      <c r="D202" s="43" t="inlineStr">
        <is>
          <t>シャッター付引違い窓</t>
        </is>
      </c>
      <c r="E202" s="43" t="inlineStr">
        <is>
          <t>SP-SL-SHUT-E-STD</t>
        </is>
      </c>
      <c r="F202" s="43" t="inlineStr">
        <is>
          <t>在来・204</t>
        </is>
      </c>
      <c r="G202" s="43" t="inlineStr">
        <is>
          <t>16509</t>
        </is>
      </c>
      <c r="H202" s="43" t="inlineStr">
        <is>
          <t>165</t>
        </is>
      </c>
      <c r="I202" s="43" t="inlineStr">
        <is>
          <t>09</t>
        </is>
      </c>
      <c r="J202" s="222" t="n">
        <v>1690</v>
      </c>
      <c r="K202" s="222" t="n">
        <v>970</v>
      </c>
      <c r="L202" s="43" t="inlineStr">
        <is>
          <t>在来・204｜電動</t>
        </is>
      </c>
      <c r="M202" s="178" t="b">
        <v>1</v>
      </c>
      <c r="N202" s="43" t="inlineStr">
        <is>
          <t>カタログ規格確認済み</t>
        </is>
      </c>
      <c r="O202" s="222" t="n">
        <v>33</v>
      </c>
      <c r="P202" s="222" t="n">
        <v>31</v>
      </c>
      <c r="Q202" s="43" t="inlineStr">
        <is>
          <t>202604_LIXIL_サーモスＬ_業務用資料集_完成品価格表.pdf</t>
        </is>
      </c>
      <c r="R202" s="43" t="n"/>
      <c r="S202" s="42" t="inlineStr">
        <is>
          <t>無印</t>
        </is>
      </c>
      <c r="T202" s="42" t="n">
        <v>30</v>
      </c>
      <c r="U202" s="42" t="inlineStr">
        <is>
          <t>P30|無印</t>
        </is>
      </c>
      <c r="V202" s="42" t="inlineStr">
        <is>
          <t>同一価格表・前頁凡例を継承</t>
        </is>
      </c>
    </row>
    <row r="203">
      <c r="A203" s="43" t="inlineStr">
        <is>
          <t>SZ-SL-000200</t>
        </is>
      </c>
      <c r="B203" s="43" t="inlineStr">
        <is>
          <t>SER-LIX-SAMOSL</t>
        </is>
      </c>
      <c r="C203" s="43" t="inlineStr">
        <is>
          <t>WT-SL-SHUTTER-HIKI</t>
        </is>
      </c>
      <c r="D203" s="43" t="inlineStr">
        <is>
          <t>シャッター付引違い窓</t>
        </is>
      </c>
      <c r="E203" s="43" t="inlineStr">
        <is>
          <t>SP-SL-SHUT-E-STD</t>
        </is>
      </c>
      <c r="F203" s="43" t="inlineStr">
        <is>
          <t>在来・204</t>
        </is>
      </c>
      <c r="G203" s="43" t="inlineStr">
        <is>
          <t>16511</t>
        </is>
      </c>
      <c r="H203" s="43" t="inlineStr">
        <is>
          <t>165</t>
        </is>
      </c>
      <c r="I203" s="43" t="inlineStr">
        <is>
          <t>11</t>
        </is>
      </c>
      <c r="J203" s="222" t="n">
        <v>1690</v>
      </c>
      <c r="K203" s="222" t="n">
        <v>1170</v>
      </c>
      <c r="L203" s="43" t="inlineStr">
        <is>
          <t>在来・204｜電動</t>
        </is>
      </c>
      <c r="M203" s="178" t="b">
        <v>1</v>
      </c>
      <c r="N203" s="43" t="inlineStr">
        <is>
          <t>カタログ規格確認済み</t>
        </is>
      </c>
      <c r="O203" s="222" t="n">
        <v>33</v>
      </c>
      <c r="P203" s="222" t="n">
        <v>31</v>
      </c>
      <c r="Q203" s="43" t="inlineStr">
        <is>
          <t>202604_LIXIL_サーモスＬ_業務用資料集_完成品価格表.pdf</t>
        </is>
      </c>
      <c r="R203" s="43" t="n"/>
      <c r="S203" s="42" t="inlineStr">
        <is>
          <t>無印</t>
        </is>
      </c>
      <c r="T203" s="42" t="n">
        <v>30</v>
      </c>
      <c r="U203" s="42" t="inlineStr">
        <is>
          <t>P30|無印</t>
        </is>
      </c>
      <c r="V203" s="42" t="inlineStr">
        <is>
          <t>同一価格表・前頁凡例を継承</t>
        </is>
      </c>
    </row>
    <row r="204">
      <c r="A204" s="43" t="inlineStr">
        <is>
          <t>SZ-SL-000201</t>
        </is>
      </c>
      <c r="B204" s="43" t="inlineStr">
        <is>
          <t>SER-LIX-SAMOSL</t>
        </is>
      </c>
      <c r="C204" s="43" t="inlineStr">
        <is>
          <t>WT-SL-SHUTTER-HIKI</t>
        </is>
      </c>
      <c r="D204" s="43" t="inlineStr">
        <is>
          <t>シャッター付引違い窓</t>
        </is>
      </c>
      <c r="E204" s="43" t="inlineStr">
        <is>
          <t>SP-SL-SHUT-E-STD</t>
        </is>
      </c>
      <c r="F204" s="43" t="inlineStr">
        <is>
          <t>在来・204</t>
        </is>
      </c>
      <c r="G204" s="43" t="inlineStr">
        <is>
          <t>17409</t>
        </is>
      </c>
      <c r="H204" s="43" t="inlineStr">
        <is>
          <t>174</t>
        </is>
      </c>
      <c r="I204" s="43" t="inlineStr">
        <is>
          <t>09</t>
        </is>
      </c>
      <c r="J204" s="222" t="n">
        <v>1780</v>
      </c>
      <c r="K204" s="222" t="n">
        <v>970</v>
      </c>
      <c r="L204" s="43" t="inlineStr">
        <is>
          <t>在来・204｜電動</t>
        </is>
      </c>
      <c r="M204" s="178" t="b">
        <v>1</v>
      </c>
      <c r="N204" s="43" t="inlineStr">
        <is>
          <t>カタログ規格確認済み</t>
        </is>
      </c>
      <c r="O204" s="222" t="n">
        <v>33</v>
      </c>
      <c r="P204" s="222" t="n">
        <v>31</v>
      </c>
      <c r="Q204" s="43" t="inlineStr">
        <is>
          <t>202604_LIXIL_サーモスＬ_業務用資料集_完成品価格表.pdf</t>
        </is>
      </c>
      <c r="R204" s="43" t="n"/>
      <c r="S204" s="42" t="inlineStr">
        <is>
          <t>無印</t>
        </is>
      </c>
      <c r="T204" s="42" t="n">
        <v>30</v>
      </c>
      <c r="U204" s="42" t="inlineStr">
        <is>
          <t>P30|無印</t>
        </is>
      </c>
      <c r="V204" s="42" t="inlineStr">
        <is>
          <t>同一価格表・前頁凡例を継承</t>
        </is>
      </c>
    </row>
    <row r="205">
      <c r="A205" s="43" t="inlineStr">
        <is>
          <t>SZ-SL-000202</t>
        </is>
      </c>
      <c r="B205" s="43" t="inlineStr">
        <is>
          <t>SER-LIX-SAMOSL</t>
        </is>
      </c>
      <c r="C205" s="43" t="inlineStr">
        <is>
          <t>WT-SL-SHUTTER-HIKI</t>
        </is>
      </c>
      <c r="D205" s="43" t="inlineStr">
        <is>
          <t>シャッター付引違い窓</t>
        </is>
      </c>
      <c r="E205" s="43" t="inlineStr">
        <is>
          <t>SP-SL-SHUT-E-STD</t>
        </is>
      </c>
      <c r="F205" s="43" t="inlineStr">
        <is>
          <t>在来・204</t>
        </is>
      </c>
      <c r="G205" s="43" t="inlineStr">
        <is>
          <t>17411</t>
        </is>
      </c>
      <c r="H205" s="43" t="inlineStr">
        <is>
          <t>174</t>
        </is>
      </c>
      <c r="I205" s="43" t="inlineStr">
        <is>
          <t>11</t>
        </is>
      </c>
      <c r="J205" s="222" t="n">
        <v>1780</v>
      </c>
      <c r="K205" s="222" t="n">
        <v>1170</v>
      </c>
      <c r="L205" s="43" t="inlineStr">
        <is>
          <t>在来・204｜電動</t>
        </is>
      </c>
      <c r="M205" s="178" t="b">
        <v>1</v>
      </c>
      <c r="N205" s="43" t="inlineStr">
        <is>
          <t>カタログ規格確認済み</t>
        </is>
      </c>
      <c r="O205" s="222" t="n">
        <v>33</v>
      </c>
      <c r="P205" s="222" t="n">
        <v>31</v>
      </c>
      <c r="Q205" s="43" t="inlineStr">
        <is>
          <t>202604_LIXIL_サーモスＬ_業務用資料集_完成品価格表.pdf</t>
        </is>
      </c>
      <c r="R205" s="43" t="n"/>
      <c r="S205" s="42" t="inlineStr">
        <is>
          <t>無印</t>
        </is>
      </c>
      <c r="T205" s="42" t="n">
        <v>30</v>
      </c>
      <c r="U205" s="42" t="inlineStr">
        <is>
          <t>P30|無印</t>
        </is>
      </c>
      <c r="V205" s="42" t="inlineStr">
        <is>
          <t>同一価格表・前頁凡例を継承</t>
        </is>
      </c>
    </row>
    <row r="206">
      <c r="A206" s="43" t="inlineStr">
        <is>
          <t>SZ-SL-000203</t>
        </is>
      </c>
      <c r="B206" s="43" t="inlineStr">
        <is>
          <t>SER-LIX-SAMOSL</t>
        </is>
      </c>
      <c r="C206" s="43" t="inlineStr">
        <is>
          <t>WT-SL-SHUTTER-HIKI</t>
        </is>
      </c>
      <c r="D206" s="43" t="inlineStr">
        <is>
          <t>シャッター付引違い窓</t>
        </is>
      </c>
      <c r="E206" s="43" t="inlineStr">
        <is>
          <t>SP-SL-SHUT-E-STD</t>
        </is>
      </c>
      <c r="F206" s="43" t="inlineStr">
        <is>
          <t>在来・204</t>
        </is>
      </c>
      <c r="G206" s="43" t="inlineStr">
        <is>
          <t>17609</t>
        </is>
      </c>
      <c r="H206" s="43" t="inlineStr">
        <is>
          <t>176</t>
        </is>
      </c>
      <c r="I206" s="43" t="inlineStr">
        <is>
          <t>09</t>
        </is>
      </c>
      <c r="J206" s="222" t="n">
        <v>1800</v>
      </c>
      <c r="K206" s="222" t="n">
        <v>970</v>
      </c>
      <c r="L206" s="43" t="inlineStr">
        <is>
          <t>在来・204｜電動</t>
        </is>
      </c>
      <c r="M206" s="178" t="b">
        <v>1</v>
      </c>
      <c r="N206" s="43" t="inlineStr">
        <is>
          <t>カタログ規格確認済み</t>
        </is>
      </c>
      <c r="O206" s="222" t="n">
        <v>33</v>
      </c>
      <c r="P206" s="222" t="n">
        <v>31</v>
      </c>
      <c r="Q206" s="43" t="inlineStr">
        <is>
          <t>202604_LIXIL_サーモスＬ_業務用資料集_完成品価格表.pdf</t>
        </is>
      </c>
      <c r="R206" s="43" t="n"/>
      <c r="S206" s="42" t="inlineStr">
        <is>
          <t>無印</t>
        </is>
      </c>
      <c r="T206" s="42" t="n">
        <v>30</v>
      </c>
      <c r="U206" s="42" t="inlineStr">
        <is>
          <t>P30|無印</t>
        </is>
      </c>
      <c r="V206" s="42" t="inlineStr">
        <is>
          <t>同一価格表・前頁凡例を継承</t>
        </is>
      </c>
    </row>
    <row r="207">
      <c r="A207" s="43" t="inlineStr">
        <is>
          <t>SZ-SL-000204</t>
        </is>
      </c>
      <c r="B207" s="43" t="inlineStr">
        <is>
          <t>SER-LIX-SAMOSL</t>
        </is>
      </c>
      <c r="C207" s="43" t="inlineStr">
        <is>
          <t>WT-SL-SHUTTER-HIKI</t>
        </is>
      </c>
      <c r="D207" s="43" t="inlineStr">
        <is>
          <t>シャッター付引違い窓</t>
        </is>
      </c>
      <c r="E207" s="43" t="inlineStr">
        <is>
          <t>SP-SL-SHUT-E-STD</t>
        </is>
      </c>
      <c r="F207" s="43" t="inlineStr">
        <is>
          <t>在来・204</t>
        </is>
      </c>
      <c r="G207" s="43" t="inlineStr">
        <is>
          <t>17611</t>
        </is>
      </c>
      <c r="H207" s="43" t="inlineStr">
        <is>
          <t>176</t>
        </is>
      </c>
      <c r="I207" s="43" t="inlineStr">
        <is>
          <t>11</t>
        </is>
      </c>
      <c r="J207" s="222" t="n">
        <v>1800</v>
      </c>
      <c r="K207" s="222" t="n">
        <v>1170</v>
      </c>
      <c r="L207" s="43" t="inlineStr">
        <is>
          <t>在来・204｜電動</t>
        </is>
      </c>
      <c r="M207" s="178" t="b">
        <v>1</v>
      </c>
      <c r="N207" s="43" t="inlineStr">
        <is>
          <t>カタログ規格確認済み</t>
        </is>
      </c>
      <c r="O207" s="222" t="n">
        <v>33</v>
      </c>
      <c r="P207" s="222" t="n">
        <v>31</v>
      </c>
      <c r="Q207" s="43" t="inlineStr">
        <is>
          <t>202604_LIXIL_サーモスＬ_業務用資料集_完成品価格表.pdf</t>
        </is>
      </c>
      <c r="R207" s="43" t="n"/>
      <c r="S207" s="42" t="inlineStr">
        <is>
          <t>無印</t>
        </is>
      </c>
      <c r="T207" s="42" t="n">
        <v>30</v>
      </c>
      <c r="U207" s="42" t="inlineStr">
        <is>
          <t>P30|無印</t>
        </is>
      </c>
      <c r="V207" s="42" t="inlineStr">
        <is>
          <t>同一価格表・前頁凡例を継承</t>
        </is>
      </c>
    </row>
    <row r="208">
      <c r="A208" s="43" t="inlineStr">
        <is>
          <t>SZ-SL-000205</t>
        </is>
      </c>
      <c r="B208" s="43" t="inlineStr">
        <is>
          <t>SER-LIX-SAMOSL</t>
        </is>
      </c>
      <c r="C208" s="43" t="inlineStr">
        <is>
          <t>WT-SL-SHUTTER-HIKI</t>
        </is>
      </c>
      <c r="D208" s="43" t="inlineStr">
        <is>
          <t>シャッター付引違い窓</t>
        </is>
      </c>
      <c r="E208" s="43" t="inlineStr">
        <is>
          <t>SP-SL-SHUT-E-VENT</t>
        </is>
      </c>
      <c r="F208" s="43" t="inlineStr">
        <is>
          <t>在来・204</t>
        </is>
      </c>
      <c r="G208" s="43" t="inlineStr">
        <is>
          <t>15009</t>
        </is>
      </c>
      <c r="H208" s="43" t="inlineStr">
        <is>
          <t>150</t>
        </is>
      </c>
      <c r="I208" s="43" t="inlineStr">
        <is>
          <t>09</t>
        </is>
      </c>
      <c r="J208" s="222" t="n">
        <v>1540</v>
      </c>
      <c r="K208" s="222" t="n">
        <v>970</v>
      </c>
      <c r="L208" s="43" t="inlineStr">
        <is>
          <t>在来・204｜電動</t>
        </is>
      </c>
      <c r="M208" s="178" t="b">
        <v>1</v>
      </c>
      <c r="N208" s="43" t="inlineStr">
        <is>
          <t>カタログ個別可否確認済み</t>
        </is>
      </c>
      <c r="O208" s="222" t="n">
        <v>33</v>
      </c>
      <c r="P208" s="222" t="n">
        <v>31</v>
      </c>
      <c r="Q208" s="43" t="inlineStr">
        <is>
          <t>202604_LIXIL_サーモスＬ_業務用資料集_完成品価格表.pdf</t>
        </is>
      </c>
      <c r="R208" s="43" t="inlineStr">
        <is>
          <t>規格呼称は親品種で確認済み。固有仕様ごとの価格設定有無（＿＿表示等）は次QAで最終確定。</t>
        </is>
      </c>
      <c r="S208" s="42" t="inlineStr">
        <is>
          <t>無印</t>
        </is>
      </c>
      <c r="T208" s="42" t="n">
        <v>30</v>
      </c>
      <c r="U208" s="42" t="inlineStr">
        <is>
          <t>P30|無印</t>
        </is>
      </c>
      <c r="V208" s="42" t="inlineStr">
        <is>
          <t>同一価格表・前頁凡例を継承</t>
        </is>
      </c>
    </row>
    <row r="209">
      <c r="A209" s="43" t="inlineStr">
        <is>
          <t>SZ-SL-000206</t>
        </is>
      </c>
      <c r="B209" s="43" t="inlineStr">
        <is>
          <t>SER-LIX-SAMOSL</t>
        </is>
      </c>
      <c r="C209" s="43" t="inlineStr">
        <is>
          <t>WT-SL-SHUTTER-HIKI</t>
        </is>
      </c>
      <c r="D209" s="43" t="inlineStr">
        <is>
          <t>シャッター付引違い窓</t>
        </is>
      </c>
      <c r="E209" s="43" t="inlineStr">
        <is>
          <t>SP-SL-SHUT-E-VENT</t>
        </is>
      </c>
      <c r="F209" s="43" t="inlineStr">
        <is>
          <t>在来・204</t>
        </is>
      </c>
      <c r="G209" s="43" t="inlineStr">
        <is>
          <t>15011</t>
        </is>
      </c>
      <c r="H209" s="43" t="inlineStr">
        <is>
          <t>150</t>
        </is>
      </c>
      <c r="I209" s="43" t="inlineStr">
        <is>
          <t>11</t>
        </is>
      </c>
      <c r="J209" s="222" t="n">
        <v>1540</v>
      </c>
      <c r="K209" s="222" t="n">
        <v>1170</v>
      </c>
      <c r="L209" s="43" t="inlineStr">
        <is>
          <t>在来・204｜電動</t>
        </is>
      </c>
      <c r="M209" s="178" t="b">
        <v>1</v>
      </c>
      <c r="N209" s="43" t="inlineStr">
        <is>
          <t>カタログ個別可否確認済み</t>
        </is>
      </c>
      <c r="O209" s="222" t="n">
        <v>33</v>
      </c>
      <c r="P209" s="222" t="n">
        <v>31</v>
      </c>
      <c r="Q209" s="43" t="inlineStr">
        <is>
          <t>202604_LIXIL_サーモスＬ_業務用資料集_完成品価格表.pdf</t>
        </is>
      </c>
      <c r="R209" s="43" t="inlineStr">
        <is>
          <t>規格呼称は親品種で確認済み。固有仕様ごとの価格設定有無（＿＿表示等）は次QAで最終確定。</t>
        </is>
      </c>
      <c r="S209" s="42" t="inlineStr">
        <is>
          <t>無印</t>
        </is>
      </c>
      <c r="T209" s="42" t="n">
        <v>30</v>
      </c>
      <c r="U209" s="42" t="inlineStr">
        <is>
          <t>P30|無印</t>
        </is>
      </c>
      <c r="V209" s="42" t="inlineStr">
        <is>
          <t>同一価格表・前頁凡例を継承</t>
        </is>
      </c>
    </row>
    <row r="210">
      <c r="A210" s="43" t="inlineStr">
        <is>
          <t>SZ-SL-000207</t>
        </is>
      </c>
      <c r="B210" s="43" t="inlineStr">
        <is>
          <t>SER-LIX-SAMOSL</t>
        </is>
      </c>
      <c r="C210" s="43" t="inlineStr">
        <is>
          <t>WT-SL-SHUTTER-HIKI</t>
        </is>
      </c>
      <c r="D210" s="43" t="inlineStr">
        <is>
          <t>シャッター付引違い窓</t>
        </is>
      </c>
      <c r="E210" s="43" t="inlineStr">
        <is>
          <t>SP-SL-SHUT-E-VENT</t>
        </is>
      </c>
      <c r="F210" s="43" t="inlineStr">
        <is>
          <t>在来・204</t>
        </is>
      </c>
      <c r="G210" s="43" t="inlineStr">
        <is>
          <t>16009</t>
        </is>
      </c>
      <c r="H210" s="43" t="inlineStr">
        <is>
          <t>160</t>
        </is>
      </c>
      <c r="I210" s="43" t="inlineStr">
        <is>
          <t>09</t>
        </is>
      </c>
      <c r="J210" s="222" t="n">
        <v>1640</v>
      </c>
      <c r="K210" s="222" t="n">
        <v>970</v>
      </c>
      <c r="L210" s="43" t="inlineStr">
        <is>
          <t>在来・204｜電動</t>
        </is>
      </c>
      <c r="M210" s="178" t="b">
        <v>1</v>
      </c>
      <c r="N210" s="43" t="inlineStr">
        <is>
          <t>カタログ個別可否確認済み</t>
        </is>
      </c>
      <c r="O210" s="222" t="n">
        <v>33</v>
      </c>
      <c r="P210" s="222" t="n">
        <v>31</v>
      </c>
      <c r="Q210" s="43" t="inlineStr">
        <is>
          <t>202604_LIXIL_サーモスＬ_業務用資料集_完成品価格表.pdf</t>
        </is>
      </c>
      <c r="R210" s="43" t="inlineStr">
        <is>
          <t>規格呼称は親品種で確認済み。固有仕様ごとの価格設定有無（＿＿表示等）は次QAで最終確定。</t>
        </is>
      </c>
      <c r="S210" s="42" t="inlineStr">
        <is>
          <t>無印</t>
        </is>
      </c>
      <c r="T210" s="42" t="n">
        <v>30</v>
      </c>
      <c r="U210" s="42" t="inlineStr">
        <is>
          <t>P30|無印</t>
        </is>
      </c>
      <c r="V210" s="42" t="inlineStr">
        <is>
          <t>同一価格表・前頁凡例を継承</t>
        </is>
      </c>
    </row>
    <row r="211">
      <c r="A211" s="43" t="inlineStr">
        <is>
          <t>SZ-SL-000208</t>
        </is>
      </c>
      <c r="B211" s="43" t="inlineStr">
        <is>
          <t>SER-LIX-SAMOSL</t>
        </is>
      </c>
      <c r="C211" s="43" t="inlineStr">
        <is>
          <t>WT-SL-SHUTTER-HIKI</t>
        </is>
      </c>
      <c r="D211" s="43" t="inlineStr">
        <is>
          <t>シャッター付引違い窓</t>
        </is>
      </c>
      <c r="E211" s="43" t="inlineStr">
        <is>
          <t>SP-SL-SHUT-E-VENT</t>
        </is>
      </c>
      <c r="F211" s="43" t="inlineStr">
        <is>
          <t>在来・204</t>
        </is>
      </c>
      <c r="G211" s="43" t="inlineStr">
        <is>
          <t>16011</t>
        </is>
      </c>
      <c r="H211" s="43" t="inlineStr">
        <is>
          <t>160</t>
        </is>
      </c>
      <c r="I211" s="43" t="inlineStr">
        <is>
          <t>11</t>
        </is>
      </c>
      <c r="J211" s="222" t="n">
        <v>1640</v>
      </c>
      <c r="K211" s="222" t="n">
        <v>1170</v>
      </c>
      <c r="L211" s="43" t="inlineStr">
        <is>
          <t>在来・204｜電動</t>
        </is>
      </c>
      <c r="M211" s="178" t="b">
        <v>1</v>
      </c>
      <c r="N211" s="43" t="inlineStr">
        <is>
          <t>カタログ個別可否確認済み</t>
        </is>
      </c>
      <c r="O211" s="222" t="n">
        <v>33</v>
      </c>
      <c r="P211" s="222" t="n">
        <v>31</v>
      </c>
      <c r="Q211" s="43" t="inlineStr">
        <is>
          <t>202604_LIXIL_サーモスＬ_業務用資料集_完成品価格表.pdf</t>
        </is>
      </c>
      <c r="R211" s="43" t="inlineStr">
        <is>
          <t>規格呼称は親品種で確認済み。固有仕様ごとの価格設定有無（＿＿表示等）は次QAで最終確定。</t>
        </is>
      </c>
      <c r="S211" s="42" t="inlineStr">
        <is>
          <t>無印</t>
        </is>
      </c>
      <c r="T211" s="42" t="n">
        <v>30</v>
      </c>
      <c r="U211" s="42" t="inlineStr">
        <is>
          <t>P30|無印</t>
        </is>
      </c>
      <c r="V211" s="42" t="inlineStr">
        <is>
          <t>同一価格表・前頁凡例を継承</t>
        </is>
      </c>
    </row>
    <row r="212">
      <c r="A212" s="43" t="inlineStr">
        <is>
          <t>SZ-SL-000209</t>
        </is>
      </c>
      <c r="B212" s="43" t="inlineStr">
        <is>
          <t>SER-LIX-SAMOSL</t>
        </is>
      </c>
      <c r="C212" s="43" t="inlineStr">
        <is>
          <t>WT-SL-SHUTTER-HIKI</t>
        </is>
      </c>
      <c r="D212" s="43" t="inlineStr">
        <is>
          <t>シャッター付引違い窓</t>
        </is>
      </c>
      <c r="E212" s="43" t="inlineStr">
        <is>
          <t>SP-SL-SHUT-E-VENT</t>
        </is>
      </c>
      <c r="F212" s="43" t="inlineStr">
        <is>
          <t>在来・204</t>
        </is>
      </c>
      <c r="G212" s="43" t="inlineStr">
        <is>
          <t>16507</t>
        </is>
      </c>
      <c r="H212" s="43" t="inlineStr">
        <is>
          <t>165</t>
        </is>
      </c>
      <c r="I212" s="43" t="inlineStr">
        <is>
          <t>07</t>
        </is>
      </c>
      <c r="J212" s="222" t="n">
        <v>1690</v>
      </c>
      <c r="K212" s="222" t="n">
        <v>770</v>
      </c>
      <c r="L212" s="43" t="inlineStr">
        <is>
          <t>在来・204｜電動</t>
        </is>
      </c>
      <c r="M212" s="178" t="b">
        <v>1</v>
      </c>
      <c r="N212" s="43" t="inlineStr">
        <is>
          <t>カタログ個別可否確認済み</t>
        </is>
      </c>
      <c r="O212" s="222" t="n">
        <v>33</v>
      </c>
      <c r="P212" s="222" t="n">
        <v>31</v>
      </c>
      <c r="Q212" s="43" t="inlineStr">
        <is>
          <t>202604_LIXIL_サーモスＬ_業務用資料集_完成品価格表.pdf</t>
        </is>
      </c>
      <c r="R212" s="43" t="inlineStr">
        <is>
          <t>規格呼称は親品種で確認済み。固有仕様ごとの価格設定有無（＿＿表示等）は次QAで最終確定。</t>
        </is>
      </c>
      <c r="S212" s="42" t="inlineStr">
        <is>
          <t>無印</t>
        </is>
      </c>
      <c r="T212" s="42" t="n">
        <v>30</v>
      </c>
      <c r="U212" s="42" t="inlineStr">
        <is>
          <t>P30|無印</t>
        </is>
      </c>
      <c r="V212" s="42" t="inlineStr">
        <is>
          <t>同一価格表・前頁凡例を継承</t>
        </is>
      </c>
    </row>
    <row r="213">
      <c r="A213" s="43" t="inlineStr">
        <is>
          <t>SZ-SL-000210</t>
        </is>
      </c>
      <c r="B213" s="43" t="inlineStr">
        <is>
          <t>SER-LIX-SAMOSL</t>
        </is>
      </c>
      <c r="C213" s="43" t="inlineStr">
        <is>
          <t>WT-SL-SHUTTER-HIKI</t>
        </is>
      </c>
      <c r="D213" s="43" t="inlineStr">
        <is>
          <t>シャッター付引違い窓</t>
        </is>
      </c>
      <c r="E213" s="43" t="inlineStr">
        <is>
          <t>SP-SL-SHUT-E-VENT</t>
        </is>
      </c>
      <c r="F213" s="43" t="inlineStr">
        <is>
          <t>在来・204</t>
        </is>
      </c>
      <c r="G213" s="43" t="inlineStr">
        <is>
          <t>16509</t>
        </is>
      </c>
      <c r="H213" s="43" t="inlineStr">
        <is>
          <t>165</t>
        </is>
      </c>
      <c r="I213" s="43" t="inlineStr">
        <is>
          <t>09</t>
        </is>
      </c>
      <c r="J213" s="222" t="n">
        <v>1690</v>
      </c>
      <c r="K213" s="222" t="n">
        <v>970</v>
      </c>
      <c r="L213" s="43" t="inlineStr">
        <is>
          <t>在来・204｜電動</t>
        </is>
      </c>
      <c r="M213" s="178" t="b">
        <v>1</v>
      </c>
      <c r="N213" s="43" t="inlineStr">
        <is>
          <t>カタログ個別可否確認済み</t>
        </is>
      </c>
      <c r="O213" s="222" t="n">
        <v>33</v>
      </c>
      <c r="P213" s="222" t="n">
        <v>31</v>
      </c>
      <c r="Q213" s="43" t="inlineStr">
        <is>
          <t>202604_LIXIL_サーモスＬ_業務用資料集_完成品価格表.pdf</t>
        </is>
      </c>
      <c r="R213" s="43" t="inlineStr">
        <is>
          <t>規格呼称は親品種で確認済み。固有仕様ごとの価格設定有無（＿＿表示等）は次QAで最終確定。</t>
        </is>
      </c>
      <c r="S213" s="42" t="inlineStr">
        <is>
          <t>無印</t>
        </is>
      </c>
      <c r="T213" s="42" t="n">
        <v>30</v>
      </c>
      <c r="U213" s="42" t="inlineStr">
        <is>
          <t>P30|無印</t>
        </is>
      </c>
      <c r="V213" s="42" t="inlineStr">
        <is>
          <t>同一価格表・前頁凡例を継承</t>
        </is>
      </c>
    </row>
    <row r="214">
      <c r="A214" s="43" t="inlineStr">
        <is>
          <t>SZ-SL-000211</t>
        </is>
      </c>
      <c r="B214" s="43" t="inlineStr">
        <is>
          <t>SER-LIX-SAMOSL</t>
        </is>
      </c>
      <c r="C214" s="43" t="inlineStr">
        <is>
          <t>WT-SL-SHUTTER-HIKI</t>
        </is>
      </c>
      <c r="D214" s="43" t="inlineStr">
        <is>
          <t>シャッター付引違い窓</t>
        </is>
      </c>
      <c r="E214" s="43" t="inlineStr">
        <is>
          <t>SP-SL-SHUT-E-VENT</t>
        </is>
      </c>
      <c r="F214" s="43" t="inlineStr">
        <is>
          <t>在来・204</t>
        </is>
      </c>
      <c r="G214" s="43" t="inlineStr">
        <is>
          <t>16511</t>
        </is>
      </c>
      <c r="H214" s="43" t="inlineStr">
        <is>
          <t>165</t>
        </is>
      </c>
      <c r="I214" s="43" t="inlineStr">
        <is>
          <t>11</t>
        </is>
      </c>
      <c r="J214" s="222" t="n">
        <v>1690</v>
      </c>
      <c r="K214" s="222" t="n">
        <v>1170</v>
      </c>
      <c r="L214" s="43" t="inlineStr">
        <is>
          <t>在来・204｜電動</t>
        </is>
      </c>
      <c r="M214" s="178" t="b">
        <v>1</v>
      </c>
      <c r="N214" s="43" t="inlineStr">
        <is>
          <t>カタログ個別可否確認済み</t>
        </is>
      </c>
      <c r="O214" s="222" t="n">
        <v>33</v>
      </c>
      <c r="P214" s="222" t="n">
        <v>31</v>
      </c>
      <c r="Q214" s="43" t="inlineStr">
        <is>
          <t>202604_LIXIL_サーモスＬ_業務用資料集_完成品価格表.pdf</t>
        </is>
      </c>
      <c r="R214" s="43" t="inlineStr">
        <is>
          <t>規格呼称は親品種で確認済み。固有仕様ごとの価格設定有無（＿＿表示等）は次QAで最終確定。</t>
        </is>
      </c>
      <c r="S214" s="42" t="inlineStr">
        <is>
          <t>無印</t>
        </is>
      </c>
      <c r="T214" s="42" t="n">
        <v>30</v>
      </c>
      <c r="U214" s="42" t="inlineStr">
        <is>
          <t>P30|無印</t>
        </is>
      </c>
      <c r="V214" s="42" t="inlineStr">
        <is>
          <t>同一価格表・前頁凡例を継承</t>
        </is>
      </c>
    </row>
    <row r="215">
      <c r="A215" s="43" t="inlineStr">
        <is>
          <t>SZ-SL-000212</t>
        </is>
      </c>
      <c r="B215" s="43" t="inlineStr">
        <is>
          <t>SER-LIX-SAMOSL</t>
        </is>
      </c>
      <c r="C215" s="43" t="inlineStr">
        <is>
          <t>WT-SL-SHUTTER-HIKI</t>
        </is>
      </c>
      <c r="D215" s="43" t="inlineStr">
        <is>
          <t>シャッター付引違い窓</t>
        </is>
      </c>
      <c r="E215" s="43" t="inlineStr">
        <is>
          <t>SP-SL-SHUT-E-VENT</t>
        </is>
      </c>
      <c r="F215" s="43" t="inlineStr">
        <is>
          <t>在来・204</t>
        </is>
      </c>
      <c r="G215" s="43" t="inlineStr">
        <is>
          <t>17409</t>
        </is>
      </c>
      <c r="H215" s="43" t="inlineStr">
        <is>
          <t>174</t>
        </is>
      </c>
      <c r="I215" s="43" t="inlineStr">
        <is>
          <t>09</t>
        </is>
      </c>
      <c r="J215" s="222" t="n">
        <v>1780</v>
      </c>
      <c r="K215" s="222" t="n">
        <v>970</v>
      </c>
      <c r="L215" s="43" t="inlineStr">
        <is>
          <t>在来・204｜電動</t>
        </is>
      </c>
      <c r="M215" s="178" t="b">
        <v>1</v>
      </c>
      <c r="N215" s="43" t="inlineStr">
        <is>
          <t>カタログ個別可否確認済み</t>
        </is>
      </c>
      <c r="O215" s="222" t="n">
        <v>33</v>
      </c>
      <c r="P215" s="222" t="n">
        <v>31</v>
      </c>
      <c r="Q215" s="43" t="inlineStr">
        <is>
          <t>202604_LIXIL_サーモスＬ_業務用資料集_完成品価格表.pdf</t>
        </is>
      </c>
      <c r="R215" s="43" t="inlineStr">
        <is>
          <t>規格呼称は親品種で確認済み。固有仕様ごとの価格設定有無（＿＿表示等）は次QAで最終確定。</t>
        </is>
      </c>
      <c r="S215" s="42" t="inlineStr">
        <is>
          <t>無印</t>
        </is>
      </c>
      <c r="T215" s="42" t="n">
        <v>30</v>
      </c>
      <c r="U215" s="42" t="inlineStr">
        <is>
          <t>P30|無印</t>
        </is>
      </c>
      <c r="V215" s="42" t="inlineStr">
        <is>
          <t>同一価格表・前頁凡例を継承</t>
        </is>
      </c>
    </row>
    <row r="216">
      <c r="A216" s="43" t="inlineStr">
        <is>
          <t>SZ-SL-000213</t>
        </is>
      </c>
      <c r="B216" s="43" t="inlineStr">
        <is>
          <t>SER-LIX-SAMOSL</t>
        </is>
      </c>
      <c r="C216" s="43" t="inlineStr">
        <is>
          <t>WT-SL-SHUTTER-HIKI</t>
        </is>
      </c>
      <c r="D216" s="43" t="inlineStr">
        <is>
          <t>シャッター付引違い窓</t>
        </is>
      </c>
      <c r="E216" s="43" t="inlineStr">
        <is>
          <t>SP-SL-SHUT-E-VENT</t>
        </is>
      </c>
      <c r="F216" s="43" t="inlineStr">
        <is>
          <t>在来・204</t>
        </is>
      </c>
      <c r="G216" s="43" t="inlineStr">
        <is>
          <t>17411</t>
        </is>
      </c>
      <c r="H216" s="43" t="inlineStr">
        <is>
          <t>174</t>
        </is>
      </c>
      <c r="I216" s="43" t="inlineStr">
        <is>
          <t>11</t>
        </is>
      </c>
      <c r="J216" s="222" t="n">
        <v>1780</v>
      </c>
      <c r="K216" s="222" t="n">
        <v>1170</v>
      </c>
      <c r="L216" s="43" t="inlineStr">
        <is>
          <t>在来・204｜電動</t>
        </is>
      </c>
      <c r="M216" s="178" t="b">
        <v>1</v>
      </c>
      <c r="N216" s="43" t="inlineStr">
        <is>
          <t>カタログ個別可否確認済み</t>
        </is>
      </c>
      <c r="O216" s="222" t="n">
        <v>33</v>
      </c>
      <c r="P216" s="222" t="n">
        <v>31</v>
      </c>
      <c r="Q216" s="43" t="inlineStr">
        <is>
          <t>202604_LIXIL_サーモスＬ_業務用資料集_完成品価格表.pdf</t>
        </is>
      </c>
      <c r="R216" s="43" t="inlineStr">
        <is>
          <t>規格呼称は親品種で確認済み。固有仕様ごとの価格設定有無（＿＿表示等）は次QAで最終確定。</t>
        </is>
      </c>
      <c r="S216" s="42" t="inlineStr">
        <is>
          <t>無印</t>
        </is>
      </c>
      <c r="T216" s="42" t="n">
        <v>30</v>
      </c>
      <c r="U216" s="42" t="inlineStr">
        <is>
          <t>P30|無印</t>
        </is>
      </c>
      <c r="V216" s="42" t="inlineStr">
        <is>
          <t>同一価格表・前頁凡例を継承</t>
        </is>
      </c>
    </row>
    <row r="217">
      <c r="A217" s="43" t="inlineStr">
        <is>
          <t>SZ-SL-000214</t>
        </is>
      </c>
      <c r="B217" s="43" t="inlineStr">
        <is>
          <t>SER-LIX-SAMOSL</t>
        </is>
      </c>
      <c r="C217" s="43" t="inlineStr">
        <is>
          <t>WT-SL-SHUTTER-HIKI</t>
        </is>
      </c>
      <c r="D217" s="43" t="inlineStr">
        <is>
          <t>シャッター付引違い窓</t>
        </is>
      </c>
      <c r="E217" s="43" t="inlineStr">
        <is>
          <t>SP-SL-SHUT-E-VENT</t>
        </is>
      </c>
      <c r="F217" s="43" t="inlineStr">
        <is>
          <t>在来・204</t>
        </is>
      </c>
      <c r="G217" s="43" t="inlineStr">
        <is>
          <t>17609</t>
        </is>
      </c>
      <c r="H217" s="43" t="inlineStr">
        <is>
          <t>176</t>
        </is>
      </c>
      <c r="I217" s="43" t="inlineStr">
        <is>
          <t>09</t>
        </is>
      </c>
      <c r="J217" s="222" t="n">
        <v>1800</v>
      </c>
      <c r="K217" s="222" t="n">
        <v>970</v>
      </c>
      <c r="L217" s="43" t="inlineStr">
        <is>
          <t>在来・204｜電動</t>
        </is>
      </c>
      <c r="M217" s="178" t="b">
        <v>1</v>
      </c>
      <c r="N217" s="43" t="inlineStr">
        <is>
          <t>カタログ個別可否確認済み</t>
        </is>
      </c>
      <c r="O217" s="222" t="n">
        <v>33</v>
      </c>
      <c r="P217" s="222" t="n">
        <v>31</v>
      </c>
      <c r="Q217" s="43" t="inlineStr">
        <is>
          <t>202604_LIXIL_サーモスＬ_業務用資料集_完成品価格表.pdf</t>
        </is>
      </c>
      <c r="R217" s="43" t="inlineStr">
        <is>
          <t>規格呼称は親品種で確認済み。固有仕様ごとの価格設定有無（＿＿表示等）は次QAで最終確定。</t>
        </is>
      </c>
      <c r="S217" s="42" t="inlineStr">
        <is>
          <t>無印</t>
        </is>
      </c>
      <c r="T217" s="42" t="n">
        <v>30</v>
      </c>
      <c r="U217" s="42" t="inlineStr">
        <is>
          <t>P30|無印</t>
        </is>
      </c>
      <c r="V217" s="42" t="inlineStr">
        <is>
          <t>同一価格表・前頁凡例を継承</t>
        </is>
      </c>
    </row>
    <row r="218">
      <c r="A218" s="43" t="inlineStr">
        <is>
          <t>SZ-SL-000215</t>
        </is>
      </c>
      <c r="B218" s="43" t="inlineStr">
        <is>
          <t>SER-LIX-SAMOSL</t>
        </is>
      </c>
      <c r="C218" s="43" t="inlineStr">
        <is>
          <t>WT-SL-SHUTTER-HIKI</t>
        </is>
      </c>
      <c r="D218" s="43" t="inlineStr">
        <is>
          <t>シャッター付引違い窓</t>
        </is>
      </c>
      <c r="E218" s="43" t="inlineStr">
        <is>
          <t>SP-SL-SHUT-E-VENT</t>
        </is>
      </c>
      <c r="F218" s="43" t="inlineStr">
        <is>
          <t>在来・204</t>
        </is>
      </c>
      <c r="G218" s="43" t="inlineStr">
        <is>
          <t>17611</t>
        </is>
      </c>
      <c r="H218" s="43" t="inlineStr">
        <is>
          <t>176</t>
        </is>
      </c>
      <c r="I218" s="43" t="inlineStr">
        <is>
          <t>11</t>
        </is>
      </c>
      <c r="J218" s="222" t="n">
        <v>1800</v>
      </c>
      <c r="K218" s="222" t="n">
        <v>1170</v>
      </c>
      <c r="L218" s="43" t="inlineStr">
        <is>
          <t>在来・204｜電動</t>
        </is>
      </c>
      <c r="M218" s="178" t="b">
        <v>1</v>
      </c>
      <c r="N218" s="43" t="inlineStr">
        <is>
          <t>カタログ個別可否確認済み</t>
        </is>
      </c>
      <c r="O218" s="222" t="n">
        <v>33</v>
      </c>
      <c r="P218" s="222" t="n">
        <v>31</v>
      </c>
      <c r="Q218" s="43" t="inlineStr">
        <is>
          <t>202604_LIXIL_サーモスＬ_業務用資料集_完成品価格表.pdf</t>
        </is>
      </c>
      <c r="R218" s="43" t="inlineStr">
        <is>
          <t>規格呼称は親品種で確認済み。固有仕様ごとの価格設定有無（＿＿表示等）は次QAで最終確定。</t>
        </is>
      </c>
      <c r="S218" s="42" t="inlineStr">
        <is>
          <t>無印</t>
        </is>
      </c>
      <c r="T218" s="42" t="n">
        <v>30</v>
      </c>
      <c r="U218" s="42" t="inlineStr">
        <is>
          <t>P30|無印</t>
        </is>
      </c>
      <c r="V218" s="42" t="inlineStr">
        <is>
          <t>同一価格表・前頁凡例を継承</t>
        </is>
      </c>
    </row>
    <row r="219">
      <c r="A219" s="43" t="inlineStr">
        <is>
          <t>SZ-SL-000216</t>
        </is>
      </c>
      <c r="B219" s="43" t="inlineStr">
        <is>
          <t>SER-LIX-SAMOSL</t>
        </is>
      </c>
      <c r="C219" s="43" t="inlineStr">
        <is>
          <t>WT-SL-SHUTTER-HIKI</t>
        </is>
      </c>
      <c r="D219" s="43" t="inlineStr">
        <is>
          <t>シャッター付引違い窓</t>
        </is>
      </c>
      <c r="E219" s="43" t="inlineStr">
        <is>
          <t>SP-SL-SHUT-E-WIND</t>
        </is>
      </c>
      <c r="F219" s="43" t="inlineStr">
        <is>
          <t>在来・204</t>
        </is>
      </c>
      <c r="G219" s="43" t="inlineStr">
        <is>
          <t>15009</t>
        </is>
      </c>
      <c r="H219" s="43" t="inlineStr">
        <is>
          <t>150</t>
        </is>
      </c>
      <c r="I219" s="43" t="inlineStr">
        <is>
          <t>09</t>
        </is>
      </c>
      <c r="J219" s="222" t="n">
        <v>1540</v>
      </c>
      <c r="K219" s="222" t="n">
        <v>970</v>
      </c>
      <c r="L219" s="43" t="inlineStr">
        <is>
          <t>在来・204｜電動</t>
        </is>
      </c>
      <c r="M219" s="178" t="b">
        <v>1</v>
      </c>
      <c r="N219" s="43" t="inlineStr">
        <is>
          <t>カタログ個別可否確認済み</t>
        </is>
      </c>
      <c r="O219" s="222" t="n">
        <v>33</v>
      </c>
      <c r="P219" s="222" t="n">
        <v>31</v>
      </c>
      <c r="Q219" s="43" t="inlineStr">
        <is>
          <t>202604_LIXIL_サーモスＬ_業務用資料集_完成品価格表.pdf</t>
        </is>
      </c>
      <c r="R219" s="43" t="inlineStr">
        <is>
          <t>規格呼称は親品種で確認済み。固有仕様ごとの価格設定有無（＿＿表示等）は次QAで最終確定。</t>
        </is>
      </c>
      <c r="S219" s="42" t="inlineStr">
        <is>
          <t>無印</t>
        </is>
      </c>
      <c r="T219" s="42" t="n">
        <v>30</v>
      </c>
      <c r="U219" s="42" t="inlineStr">
        <is>
          <t>P30|無印</t>
        </is>
      </c>
      <c r="V219" s="42" t="inlineStr">
        <is>
          <t>同一価格表・前頁凡例を継承</t>
        </is>
      </c>
    </row>
    <row r="220">
      <c r="A220" s="43" t="inlineStr">
        <is>
          <t>SZ-SL-000217</t>
        </is>
      </c>
      <c r="B220" s="43" t="inlineStr">
        <is>
          <t>SER-LIX-SAMOSL</t>
        </is>
      </c>
      <c r="C220" s="43" t="inlineStr">
        <is>
          <t>WT-SL-SHUTTER-HIKI</t>
        </is>
      </c>
      <c r="D220" s="43" t="inlineStr">
        <is>
          <t>シャッター付引違い窓</t>
        </is>
      </c>
      <c r="E220" s="43" t="inlineStr">
        <is>
          <t>SP-SL-SHUT-E-WIND</t>
        </is>
      </c>
      <c r="F220" s="43" t="inlineStr">
        <is>
          <t>在来・204</t>
        </is>
      </c>
      <c r="G220" s="43" t="inlineStr">
        <is>
          <t>15011</t>
        </is>
      </c>
      <c r="H220" s="43" t="inlineStr">
        <is>
          <t>150</t>
        </is>
      </c>
      <c r="I220" s="43" t="inlineStr">
        <is>
          <t>11</t>
        </is>
      </c>
      <c r="J220" s="222" t="n">
        <v>1540</v>
      </c>
      <c r="K220" s="222" t="n">
        <v>1170</v>
      </c>
      <c r="L220" s="43" t="inlineStr">
        <is>
          <t>在来・204｜電動</t>
        </is>
      </c>
      <c r="M220" s="178" t="b">
        <v>1</v>
      </c>
      <c r="N220" s="43" t="inlineStr">
        <is>
          <t>カタログ個別可否確認済み</t>
        </is>
      </c>
      <c r="O220" s="222" t="n">
        <v>33</v>
      </c>
      <c r="P220" s="222" t="n">
        <v>31</v>
      </c>
      <c r="Q220" s="43" t="inlineStr">
        <is>
          <t>202604_LIXIL_サーモスＬ_業務用資料集_完成品価格表.pdf</t>
        </is>
      </c>
      <c r="R220" s="43" t="inlineStr">
        <is>
          <t>規格呼称は親品種で確認済み。固有仕様ごとの価格設定有無（＿＿表示等）は次QAで最終確定。</t>
        </is>
      </c>
      <c r="S220" s="42" t="inlineStr">
        <is>
          <t>無印</t>
        </is>
      </c>
      <c r="T220" s="42" t="n">
        <v>30</v>
      </c>
      <c r="U220" s="42" t="inlineStr">
        <is>
          <t>P30|無印</t>
        </is>
      </c>
      <c r="V220" s="42" t="inlineStr">
        <is>
          <t>同一価格表・前頁凡例を継承</t>
        </is>
      </c>
    </row>
    <row r="221">
      <c r="A221" s="43" t="inlineStr">
        <is>
          <t>SZ-SL-000218</t>
        </is>
      </c>
      <c r="B221" s="43" t="inlineStr">
        <is>
          <t>SER-LIX-SAMOSL</t>
        </is>
      </c>
      <c r="C221" s="43" t="inlineStr">
        <is>
          <t>WT-SL-SHUTTER-HIKI</t>
        </is>
      </c>
      <c r="D221" s="43" t="inlineStr">
        <is>
          <t>シャッター付引違い窓</t>
        </is>
      </c>
      <c r="E221" s="43" t="inlineStr">
        <is>
          <t>SP-SL-SHUT-E-WIND</t>
        </is>
      </c>
      <c r="F221" s="43" t="inlineStr">
        <is>
          <t>在来・204</t>
        </is>
      </c>
      <c r="G221" s="43" t="inlineStr">
        <is>
          <t>16009</t>
        </is>
      </c>
      <c r="H221" s="43" t="inlineStr">
        <is>
          <t>160</t>
        </is>
      </c>
      <c r="I221" s="43" t="inlineStr">
        <is>
          <t>09</t>
        </is>
      </c>
      <c r="J221" s="222" t="n">
        <v>1640</v>
      </c>
      <c r="K221" s="222" t="n">
        <v>970</v>
      </c>
      <c r="L221" s="43" t="inlineStr">
        <is>
          <t>在来・204｜電動</t>
        </is>
      </c>
      <c r="M221" s="178" t="b">
        <v>1</v>
      </c>
      <c r="N221" s="43" t="inlineStr">
        <is>
          <t>カタログ個別可否確認済み</t>
        </is>
      </c>
      <c r="O221" s="222" t="n">
        <v>33</v>
      </c>
      <c r="P221" s="222" t="n">
        <v>31</v>
      </c>
      <c r="Q221" s="43" t="inlineStr">
        <is>
          <t>202604_LIXIL_サーモスＬ_業務用資料集_完成品価格表.pdf</t>
        </is>
      </c>
      <c r="R221" s="43" t="inlineStr">
        <is>
          <t>規格呼称は親品種で確認済み。固有仕様ごとの価格設定有無（＿＿表示等）は次QAで最終確定。</t>
        </is>
      </c>
      <c r="S221" s="42" t="inlineStr">
        <is>
          <t>無印</t>
        </is>
      </c>
      <c r="T221" s="42" t="n">
        <v>30</v>
      </c>
      <c r="U221" s="42" t="inlineStr">
        <is>
          <t>P30|無印</t>
        </is>
      </c>
      <c r="V221" s="42" t="inlineStr">
        <is>
          <t>同一価格表・前頁凡例を継承</t>
        </is>
      </c>
    </row>
    <row r="222">
      <c r="A222" s="43" t="inlineStr">
        <is>
          <t>SZ-SL-000219</t>
        </is>
      </c>
      <c r="B222" s="43" t="inlineStr">
        <is>
          <t>SER-LIX-SAMOSL</t>
        </is>
      </c>
      <c r="C222" s="43" t="inlineStr">
        <is>
          <t>WT-SL-SHUTTER-HIKI</t>
        </is>
      </c>
      <c r="D222" s="43" t="inlineStr">
        <is>
          <t>シャッター付引違い窓</t>
        </is>
      </c>
      <c r="E222" s="43" t="inlineStr">
        <is>
          <t>SP-SL-SHUT-E-WIND</t>
        </is>
      </c>
      <c r="F222" s="43" t="inlineStr">
        <is>
          <t>在来・204</t>
        </is>
      </c>
      <c r="G222" s="43" t="inlineStr">
        <is>
          <t>16011</t>
        </is>
      </c>
      <c r="H222" s="43" t="inlineStr">
        <is>
          <t>160</t>
        </is>
      </c>
      <c r="I222" s="43" t="inlineStr">
        <is>
          <t>11</t>
        </is>
      </c>
      <c r="J222" s="222" t="n">
        <v>1640</v>
      </c>
      <c r="K222" s="222" t="n">
        <v>1170</v>
      </c>
      <c r="L222" s="43" t="inlineStr">
        <is>
          <t>在来・204｜電動</t>
        </is>
      </c>
      <c r="M222" s="178" t="b">
        <v>1</v>
      </c>
      <c r="N222" s="43" t="inlineStr">
        <is>
          <t>カタログ個別可否確認済み</t>
        </is>
      </c>
      <c r="O222" s="222" t="n">
        <v>33</v>
      </c>
      <c r="P222" s="222" t="n">
        <v>31</v>
      </c>
      <c r="Q222" s="43" t="inlineStr">
        <is>
          <t>202604_LIXIL_サーモスＬ_業務用資料集_完成品価格表.pdf</t>
        </is>
      </c>
      <c r="R222" s="43" t="inlineStr">
        <is>
          <t>規格呼称は親品種で確認済み。固有仕様ごとの価格設定有無（＿＿表示等）は次QAで最終確定。</t>
        </is>
      </c>
      <c r="S222" s="42" t="inlineStr">
        <is>
          <t>無印</t>
        </is>
      </c>
      <c r="T222" s="42" t="n">
        <v>30</v>
      </c>
      <c r="U222" s="42" t="inlineStr">
        <is>
          <t>P30|無印</t>
        </is>
      </c>
      <c r="V222" s="42" t="inlineStr">
        <is>
          <t>同一価格表・前頁凡例を継承</t>
        </is>
      </c>
    </row>
    <row r="223">
      <c r="A223" s="43" t="inlineStr">
        <is>
          <t>SZ-SL-000220</t>
        </is>
      </c>
      <c r="B223" s="43" t="inlineStr">
        <is>
          <t>SER-LIX-SAMOSL</t>
        </is>
      </c>
      <c r="C223" s="43" t="inlineStr">
        <is>
          <t>WT-SL-SHUTTER-HIKI</t>
        </is>
      </c>
      <c r="D223" s="43" t="inlineStr">
        <is>
          <t>シャッター付引違い窓</t>
        </is>
      </c>
      <c r="E223" s="43" t="inlineStr">
        <is>
          <t>SP-SL-SHUT-E-WIND</t>
        </is>
      </c>
      <c r="F223" s="43" t="inlineStr">
        <is>
          <t>在来・204</t>
        </is>
      </c>
      <c r="G223" s="43" t="inlineStr">
        <is>
          <t>16507</t>
        </is>
      </c>
      <c r="H223" s="43" t="inlineStr">
        <is>
          <t>165</t>
        </is>
      </c>
      <c r="I223" s="43" t="inlineStr">
        <is>
          <t>07</t>
        </is>
      </c>
      <c r="J223" s="222" t="n">
        <v>1690</v>
      </c>
      <c r="K223" s="222" t="n">
        <v>770</v>
      </c>
      <c r="L223" s="43" t="inlineStr">
        <is>
          <t>在来・204｜電動</t>
        </is>
      </c>
      <c r="M223" s="178" t="b">
        <v>1</v>
      </c>
      <c r="N223" s="43" t="inlineStr">
        <is>
          <t>カタログ個別可否確認済み</t>
        </is>
      </c>
      <c r="O223" s="222" t="n">
        <v>33</v>
      </c>
      <c r="P223" s="222" t="n">
        <v>31</v>
      </c>
      <c r="Q223" s="43" t="inlineStr">
        <is>
          <t>202604_LIXIL_サーモスＬ_業務用資料集_完成品価格表.pdf</t>
        </is>
      </c>
      <c r="R223" s="43" t="inlineStr">
        <is>
          <t>規格呼称は親品種で確認済み。固有仕様ごとの価格設定有無（＿＿表示等）は次QAで最終確定。</t>
        </is>
      </c>
      <c r="S223" s="42" t="inlineStr">
        <is>
          <t>無印</t>
        </is>
      </c>
      <c r="T223" s="42" t="n">
        <v>30</v>
      </c>
      <c r="U223" s="42" t="inlineStr">
        <is>
          <t>P30|無印</t>
        </is>
      </c>
      <c r="V223" s="42" t="inlineStr">
        <is>
          <t>同一価格表・前頁凡例を継承</t>
        </is>
      </c>
    </row>
    <row r="224">
      <c r="A224" s="43" t="inlineStr">
        <is>
          <t>SZ-SL-000221</t>
        </is>
      </c>
      <c r="B224" s="43" t="inlineStr">
        <is>
          <t>SER-LIX-SAMOSL</t>
        </is>
      </c>
      <c r="C224" s="43" t="inlineStr">
        <is>
          <t>WT-SL-SHUTTER-HIKI</t>
        </is>
      </c>
      <c r="D224" s="43" t="inlineStr">
        <is>
          <t>シャッター付引違い窓</t>
        </is>
      </c>
      <c r="E224" s="43" t="inlineStr">
        <is>
          <t>SP-SL-SHUT-E-WIND</t>
        </is>
      </c>
      <c r="F224" s="43" t="inlineStr">
        <is>
          <t>在来・204</t>
        </is>
      </c>
      <c r="G224" s="43" t="inlineStr">
        <is>
          <t>16509</t>
        </is>
      </c>
      <c r="H224" s="43" t="inlineStr">
        <is>
          <t>165</t>
        </is>
      </c>
      <c r="I224" s="43" t="inlineStr">
        <is>
          <t>09</t>
        </is>
      </c>
      <c r="J224" s="222" t="n">
        <v>1690</v>
      </c>
      <c r="K224" s="222" t="n">
        <v>970</v>
      </c>
      <c r="L224" s="43" t="inlineStr">
        <is>
          <t>在来・204｜電動</t>
        </is>
      </c>
      <c r="M224" s="178" t="b">
        <v>1</v>
      </c>
      <c r="N224" s="43" t="inlineStr">
        <is>
          <t>カタログ個別可否確認済み</t>
        </is>
      </c>
      <c r="O224" s="222" t="n">
        <v>33</v>
      </c>
      <c r="P224" s="222" t="n">
        <v>31</v>
      </c>
      <c r="Q224" s="43" t="inlineStr">
        <is>
          <t>202604_LIXIL_サーモスＬ_業務用資料集_完成品価格表.pdf</t>
        </is>
      </c>
      <c r="R224" s="43" t="inlineStr">
        <is>
          <t>規格呼称は親品種で確認済み。固有仕様ごとの価格設定有無（＿＿表示等）は次QAで最終確定。</t>
        </is>
      </c>
      <c r="S224" s="42" t="inlineStr">
        <is>
          <t>無印</t>
        </is>
      </c>
      <c r="T224" s="42" t="n">
        <v>30</v>
      </c>
      <c r="U224" s="42" t="inlineStr">
        <is>
          <t>P30|無印</t>
        </is>
      </c>
      <c r="V224" s="42" t="inlineStr">
        <is>
          <t>同一価格表・前頁凡例を継承</t>
        </is>
      </c>
    </row>
    <row r="225">
      <c r="A225" s="43" t="inlineStr">
        <is>
          <t>SZ-SL-000222</t>
        </is>
      </c>
      <c r="B225" s="43" t="inlineStr">
        <is>
          <t>SER-LIX-SAMOSL</t>
        </is>
      </c>
      <c r="C225" s="43" t="inlineStr">
        <is>
          <t>WT-SL-SHUTTER-HIKI</t>
        </is>
      </c>
      <c r="D225" s="43" t="inlineStr">
        <is>
          <t>シャッター付引違い窓</t>
        </is>
      </c>
      <c r="E225" s="43" t="inlineStr">
        <is>
          <t>SP-SL-SHUT-E-WIND</t>
        </is>
      </c>
      <c r="F225" s="43" t="inlineStr">
        <is>
          <t>在来・204</t>
        </is>
      </c>
      <c r="G225" s="43" t="inlineStr">
        <is>
          <t>16511</t>
        </is>
      </c>
      <c r="H225" s="43" t="inlineStr">
        <is>
          <t>165</t>
        </is>
      </c>
      <c r="I225" s="43" t="inlineStr">
        <is>
          <t>11</t>
        </is>
      </c>
      <c r="J225" s="222" t="n">
        <v>1690</v>
      </c>
      <c r="K225" s="222" t="n">
        <v>1170</v>
      </c>
      <c r="L225" s="43" t="inlineStr">
        <is>
          <t>在来・204｜電動</t>
        </is>
      </c>
      <c r="M225" s="178" t="b">
        <v>1</v>
      </c>
      <c r="N225" s="43" t="inlineStr">
        <is>
          <t>カタログ個別可否確認済み</t>
        </is>
      </c>
      <c r="O225" s="222" t="n">
        <v>33</v>
      </c>
      <c r="P225" s="222" t="n">
        <v>31</v>
      </c>
      <c r="Q225" s="43" t="inlineStr">
        <is>
          <t>202604_LIXIL_サーモスＬ_業務用資料集_完成品価格表.pdf</t>
        </is>
      </c>
      <c r="R225" s="43" t="inlineStr">
        <is>
          <t>規格呼称は親品種で確認済み。固有仕様ごとの価格設定有無（＿＿表示等）は次QAで最終確定。</t>
        </is>
      </c>
      <c r="S225" s="42" t="inlineStr">
        <is>
          <t>無印</t>
        </is>
      </c>
      <c r="T225" s="42" t="n">
        <v>30</v>
      </c>
      <c r="U225" s="42" t="inlineStr">
        <is>
          <t>P30|無印</t>
        </is>
      </c>
      <c r="V225" s="42" t="inlineStr">
        <is>
          <t>同一価格表・前頁凡例を継承</t>
        </is>
      </c>
    </row>
    <row r="226">
      <c r="A226" s="43" t="inlineStr">
        <is>
          <t>SZ-SL-000223</t>
        </is>
      </c>
      <c r="B226" s="43" t="inlineStr">
        <is>
          <t>SER-LIX-SAMOSL</t>
        </is>
      </c>
      <c r="C226" s="43" t="inlineStr">
        <is>
          <t>WT-SL-SHUTTER-HIKI</t>
        </is>
      </c>
      <c r="D226" s="43" t="inlineStr">
        <is>
          <t>シャッター付引違い窓</t>
        </is>
      </c>
      <c r="E226" s="43" t="inlineStr">
        <is>
          <t>SP-SL-SHUT-E-WIND</t>
        </is>
      </c>
      <c r="F226" s="43" t="inlineStr">
        <is>
          <t>在来・204</t>
        </is>
      </c>
      <c r="G226" s="43" t="inlineStr">
        <is>
          <t>17409</t>
        </is>
      </c>
      <c r="H226" s="43" t="inlineStr">
        <is>
          <t>174</t>
        </is>
      </c>
      <c r="I226" s="43" t="inlineStr">
        <is>
          <t>09</t>
        </is>
      </c>
      <c r="J226" s="222" t="n">
        <v>1780</v>
      </c>
      <c r="K226" s="222" t="n">
        <v>970</v>
      </c>
      <c r="L226" s="43" t="inlineStr">
        <is>
          <t>在来・204｜電動</t>
        </is>
      </c>
      <c r="M226" s="178" t="b">
        <v>0</v>
      </c>
      <c r="N226" s="43" t="inlineStr">
        <is>
          <t>設定なし（価格表確認済み）</t>
        </is>
      </c>
      <c r="O226" s="222" t="n">
        <v>33</v>
      </c>
      <c r="P226" s="222" t="n">
        <v>31</v>
      </c>
      <c r="Q226" s="43" t="inlineStr">
        <is>
          <t>202604_LIXIL_サーモスＬ_業務用資料集_完成品価格表.pdf</t>
        </is>
      </c>
      <c r="R226" s="43" t="inlineStr">
        <is>
          <t>規格呼称は親品種で確認済み。固有仕様ごとの価格設定有無（＿＿表示等）は次QAで最終確定。</t>
        </is>
      </c>
      <c r="S226" s="42" t="inlineStr">
        <is>
          <t>無印</t>
        </is>
      </c>
      <c r="T226" s="42" t="n">
        <v>30</v>
      </c>
      <c r="U226" s="42" t="inlineStr">
        <is>
          <t>P30|無印</t>
        </is>
      </c>
      <c r="V226" s="42" t="inlineStr">
        <is>
          <t>同一価格表・前頁凡例を継承</t>
        </is>
      </c>
    </row>
    <row r="227">
      <c r="A227" s="43" t="inlineStr">
        <is>
          <t>SZ-SL-000224</t>
        </is>
      </c>
      <c r="B227" s="43" t="inlineStr">
        <is>
          <t>SER-LIX-SAMOSL</t>
        </is>
      </c>
      <c r="C227" s="43" t="inlineStr">
        <is>
          <t>WT-SL-SHUTTER-HIKI</t>
        </is>
      </c>
      <c r="D227" s="43" t="inlineStr">
        <is>
          <t>シャッター付引違い窓</t>
        </is>
      </c>
      <c r="E227" s="43" t="inlineStr">
        <is>
          <t>SP-SL-SHUT-E-WIND</t>
        </is>
      </c>
      <c r="F227" s="43" t="inlineStr">
        <is>
          <t>在来・204</t>
        </is>
      </c>
      <c r="G227" s="43" t="inlineStr">
        <is>
          <t>17411</t>
        </is>
      </c>
      <c r="H227" s="43" t="inlineStr">
        <is>
          <t>174</t>
        </is>
      </c>
      <c r="I227" s="43" t="inlineStr">
        <is>
          <t>11</t>
        </is>
      </c>
      <c r="J227" s="222" t="n">
        <v>1780</v>
      </c>
      <c r="K227" s="222" t="n">
        <v>1170</v>
      </c>
      <c r="L227" s="43" t="inlineStr">
        <is>
          <t>在来・204｜電動</t>
        </is>
      </c>
      <c r="M227" s="178" t="b">
        <v>0</v>
      </c>
      <c r="N227" s="43" t="inlineStr">
        <is>
          <t>設定なし（価格表確認済み）</t>
        </is>
      </c>
      <c r="O227" s="222" t="n">
        <v>33</v>
      </c>
      <c r="P227" s="222" t="n">
        <v>31</v>
      </c>
      <c r="Q227" s="43" t="inlineStr">
        <is>
          <t>202604_LIXIL_サーモスＬ_業務用資料集_完成品価格表.pdf</t>
        </is>
      </c>
      <c r="R227" s="43" t="inlineStr">
        <is>
          <t>規格呼称は親品種で確認済み。固有仕様ごとの価格設定有無（＿＿表示等）は次QAで最終確定。</t>
        </is>
      </c>
      <c r="S227" s="42" t="inlineStr">
        <is>
          <t>無印</t>
        </is>
      </c>
      <c r="T227" s="42" t="n">
        <v>30</v>
      </c>
      <c r="U227" s="42" t="inlineStr">
        <is>
          <t>P30|無印</t>
        </is>
      </c>
      <c r="V227" s="42" t="inlineStr">
        <is>
          <t>同一価格表・前頁凡例を継承</t>
        </is>
      </c>
    </row>
    <row r="228">
      <c r="A228" s="43" t="inlineStr">
        <is>
          <t>SZ-SL-000225</t>
        </is>
      </c>
      <c r="B228" s="43" t="inlineStr">
        <is>
          <t>SER-LIX-SAMOSL</t>
        </is>
      </c>
      <c r="C228" s="43" t="inlineStr">
        <is>
          <t>WT-SL-SHUTTER-HIKI</t>
        </is>
      </c>
      <c r="D228" s="43" t="inlineStr">
        <is>
          <t>シャッター付引違い窓</t>
        </is>
      </c>
      <c r="E228" s="43" t="inlineStr">
        <is>
          <t>SP-SL-SHUT-E-WIND</t>
        </is>
      </c>
      <c r="F228" s="43" t="inlineStr">
        <is>
          <t>在来・204</t>
        </is>
      </c>
      <c r="G228" s="43" t="inlineStr">
        <is>
          <t>17609</t>
        </is>
      </c>
      <c r="H228" s="43" t="inlineStr">
        <is>
          <t>176</t>
        </is>
      </c>
      <c r="I228" s="43" t="inlineStr">
        <is>
          <t>09</t>
        </is>
      </c>
      <c r="J228" s="222" t="n">
        <v>1800</v>
      </c>
      <c r="K228" s="222" t="n">
        <v>970</v>
      </c>
      <c r="L228" s="43" t="inlineStr">
        <is>
          <t>在来・204｜電動</t>
        </is>
      </c>
      <c r="M228" s="178" t="b">
        <v>0</v>
      </c>
      <c r="N228" s="43" t="inlineStr">
        <is>
          <t>設定なし（価格表確認済み）</t>
        </is>
      </c>
      <c r="O228" s="222" t="n">
        <v>33</v>
      </c>
      <c r="P228" s="222" t="n">
        <v>31</v>
      </c>
      <c r="Q228" s="43" t="inlineStr">
        <is>
          <t>202604_LIXIL_サーモスＬ_業務用資料集_完成品価格表.pdf</t>
        </is>
      </c>
      <c r="R228" s="43" t="inlineStr">
        <is>
          <t>規格呼称は親品種で確認済み。固有仕様ごとの価格設定有無（＿＿表示等）は次QAで最終確定。</t>
        </is>
      </c>
      <c r="S228" s="42" t="inlineStr">
        <is>
          <t>無印</t>
        </is>
      </c>
      <c r="T228" s="42" t="n">
        <v>30</v>
      </c>
      <c r="U228" s="42" t="inlineStr">
        <is>
          <t>P30|無印</t>
        </is>
      </c>
      <c r="V228" s="42" t="inlineStr">
        <is>
          <t>同一価格表・前頁凡例を継承</t>
        </is>
      </c>
    </row>
    <row r="229">
      <c r="A229" s="43" t="inlineStr">
        <is>
          <t>SZ-SL-000226</t>
        </is>
      </c>
      <c r="B229" s="43" t="inlineStr">
        <is>
          <t>SER-LIX-SAMOSL</t>
        </is>
      </c>
      <c r="C229" s="43" t="inlineStr">
        <is>
          <t>WT-SL-SHUTTER-HIKI</t>
        </is>
      </c>
      <c r="D229" s="43" t="inlineStr">
        <is>
          <t>シャッター付引違い窓</t>
        </is>
      </c>
      <c r="E229" s="43" t="inlineStr">
        <is>
          <t>SP-SL-SHUT-E-WIND</t>
        </is>
      </c>
      <c r="F229" s="43" t="inlineStr">
        <is>
          <t>在来・204</t>
        </is>
      </c>
      <c r="G229" s="43" t="inlineStr">
        <is>
          <t>17611</t>
        </is>
      </c>
      <c r="H229" s="43" t="inlineStr">
        <is>
          <t>176</t>
        </is>
      </c>
      <c r="I229" s="43" t="inlineStr">
        <is>
          <t>11</t>
        </is>
      </c>
      <c r="J229" s="222" t="n">
        <v>1800</v>
      </c>
      <c r="K229" s="222" t="n">
        <v>1170</v>
      </c>
      <c r="L229" s="43" t="inlineStr">
        <is>
          <t>在来・204｜電動</t>
        </is>
      </c>
      <c r="M229" s="178" t="b">
        <v>0</v>
      </c>
      <c r="N229" s="43" t="inlineStr">
        <is>
          <t>設定なし（価格表確認済み）</t>
        </is>
      </c>
      <c r="O229" s="222" t="n">
        <v>33</v>
      </c>
      <c r="P229" s="222" t="n">
        <v>31</v>
      </c>
      <c r="Q229" s="43" t="inlineStr">
        <is>
          <t>202604_LIXIL_サーモスＬ_業務用資料集_完成品価格表.pdf</t>
        </is>
      </c>
      <c r="R229" s="43" t="inlineStr">
        <is>
          <t>規格呼称は親品種で確認済み。固有仕様ごとの価格設定有無（＿＿表示等）は次QAで最終確定。</t>
        </is>
      </c>
      <c r="S229" s="42" t="inlineStr">
        <is>
          <t>無印</t>
        </is>
      </c>
      <c r="T229" s="42" t="n">
        <v>30</v>
      </c>
      <c r="U229" s="42" t="inlineStr">
        <is>
          <t>P30|無印</t>
        </is>
      </c>
      <c r="V229" s="42" t="inlineStr">
        <is>
          <t>同一価格表・前頁凡例を継承</t>
        </is>
      </c>
    </row>
    <row r="230">
      <c r="A230" s="43" t="inlineStr">
        <is>
          <t>SZ-SL-000227</t>
        </is>
      </c>
      <c r="B230" s="43" t="inlineStr">
        <is>
          <t>SER-LIX-SAMOSL</t>
        </is>
      </c>
      <c r="C230" s="43" t="inlineStr">
        <is>
          <t>WT-SL-SHUTTER-HIKI</t>
        </is>
      </c>
      <c r="D230" s="43" t="inlineStr">
        <is>
          <t>シャッター付引違い窓</t>
        </is>
      </c>
      <c r="E230" s="43" t="inlineStr">
        <is>
          <t>SP-SL-SHUT-E-STD</t>
        </is>
      </c>
      <c r="F230" s="43" t="inlineStr">
        <is>
          <t>在来・204</t>
        </is>
      </c>
      <c r="G230" s="43" t="inlineStr">
        <is>
          <t>18009</t>
        </is>
      </c>
      <c r="H230" s="43" t="inlineStr">
        <is>
          <t>180</t>
        </is>
      </c>
      <c r="I230" s="43" t="inlineStr">
        <is>
          <t>09</t>
        </is>
      </c>
      <c r="J230" s="222" t="n">
        <v>1845</v>
      </c>
      <c r="K230" s="222" t="n">
        <v>970</v>
      </c>
      <c r="L230" s="43" t="inlineStr">
        <is>
          <t>在来・204｜電動</t>
        </is>
      </c>
      <c r="M230" s="178" t="b">
        <v>1</v>
      </c>
      <c r="N230" s="43" t="inlineStr">
        <is>
          <t>カタログ規格確認済み</t>
        </is>
      </c>
      <c r="O230" s="222" t="n">
        <v>34</v>
      </c>
      <c r="P230" s="222" t="n">
        <v>32</v>
      </c>
      <c r="Q230" s="43" t="inlineStr">
        <is>
          <t>202604_LIXIL_サーモスＬ_業務用資料集_完成品価格表.pdf</t>
        </is>
      </c>
      <c r="R230" s="43" t="n"/>
      <c r="S230" s="42" t="inlineStr">
        <is>
          <t>無印</t>
        </is>
      </c>
      <c r="T230" s="42" t="n">
        <v>33</v>
      </c>
      <c r="U230" s="42" t="inlineStr">
        <is>
          <t>P33|無印</t>
        </is>
      </c>
      <c r="V230" s="42" t="inlineStr">
        <is>
          <t>同一価格表・次頁凡例を継承</t>
        </is>
      </c>
    </row>
    <row r="231">
      <c r="A231" s="43" t="inlineStr">
        <is>
          <t>SZ-SL-000228</t>
        </is>
      </c>
      <c r="B231" s="43" t="inlineStr">
        <is>
          <t>SER-LIX-SAMOSL</t>
        </is>
      </c>
      <c r="C231" s="43" t="inlineStr">
        <is>
          <t>WT-SL-SHUTTER-HIKI</t>
        </is>
      </c>
      <c r="D231" s="43" t="inlineStr">
        <is>
          <t>シャッター付引違い窓</t>
        </is>
      </c>
      <c r="E231" s="43" t="inlineStr">
        <is>
          <t>SP-SL-SHUT-E-STD</t>
        </is>
      </c>
      <c r="F231" s="43" t="inlineStr">
        <is>
          <t>在来・204</t>
        </is>
      </c>
      <c r="G231" s="43" t="inlineStr">
        <is>
          <t>18011</t>
        </is>
      </c>
      <c r="H231" s="43" t="inlineStr">
        <is>
          <t>180</t>
        </is>
      </c>
      <c r="I231" s="43" t="inlineStr">
        <is>
          <t>11</t>
        </is>
      </c>
      <c r="J231" s="222" t="n">
        <v>1845</v>
      </c>
      <c r="K231" s="222" t="n">
        <v>1170</v>
      </c>
      <c r="L231" s="43" t="inlineStr">
        <is>
          <t>在来・204｜電動</t>
        </is>
      </c>
      <c r="M231" s="178" t="b">
        <v>1</v>
      </c>
      <c r="N231" s="43" t="inlineStr">
        <is>
          <t>カタログ規格確認済み</t>
        </is>
      </c>
      <c r="O231" s="222" t="n">
        <v>34</v>
      </c>
      <c r="P231" s="222" t="n">
        <v>32</v>
      </c>
      <c r="Q231" s="43" t="inlineStr">
        <is>
          <t>202604_LIXIL_サーモスＬ_業務用資料集_完成品価格表.pdf</t>
        </is>
      </c>
      <c r="R231" s="43" t="n"/>
      <c r="S231" s="42" t="inlineStr">
        <is>
          <t>無印</t>
        </is>
      </c>
      <c r="T231" s="42" t="n">
        <v>33</v>
      </c>
      <c r="U231" s="42" t="inlineStr">
        <is>
          <t>P33|無印</t>
        </is>
      </c>
      <c r="V231" s="42" t="inlineStr">
        <is>
          <t>同一価格表・次頁凡例を継承</t>
        </is>
      </c>
    </row>
    <row r="232">
      <c r="A232" s="43" t="inlineStr">
        <is>
          <t>SZ-SL-000229</t>
        </is>
      </c>
      <c r="B232" s="43" t="inlineStr">
        <is>
          <t>SER-LIX-SAMOSL</t>
        </is>
      </c>
      <c r="C232" s="43" t="inlineStr">
        <is>
          <t>WT-SL-SHUTTER-HIKI</t>
        </is>
      </c>
      <c r="D232" s="43" t="inlineStr">
        <is>
          <t>シャッター付引違い窓</t>
        </is>
      </c>
      <c r="E232" s="43" t="inlineStr">
        <is>
          <t>SP-SL-SHUT-E-STD</t>
        </is>
      </c>
      <c r="F232" s="43" t="inlineStr">
        <is>
          <t>在来・204</t>
        </is>
      </c>
      <c r="G232" s="43" t="inlineStr">
        <is>
          <t>18609</t>
        </is>
      </c>
      <c r="H232" s="43" t="inlineStr">
        <is>
          <t>186</t>
        </is>
      </c>
      <c r="I232" s="43" t="inlineStr">
        <is>
          <t>09</t>
        </is>
      </c>
      <c r="J232" s="222" t="n">
        <v>1900</v>
      </c>
      <c r="K232" s="222" t="n">
        <v>970</v>
      </c>
      <c r="L232" s="43" t="inlineStr">
        <is>
          <t>在来・204｜電動</t>
        </is>
      </c>
      <c r="M232" s="178" t="b">
        <v>1</v>
      </c>
      <c r="N232" s="43" t="inlineStr">
        <is>
          <t>カタログ規格確認済み</t>
        </is>
      </c>
      <c r="O232" s="222" t="n">
        <v>34</v>
      </c>
      <c r="P232" s="222" t="n">
        <v>32</v>
      </c>
      <c r="Q232" s="43" t="inlineStr">
        <is>
          <t>202604_LIXIL_サーモスＬ_業務用資料集_完成品価格表.pdf</t>
        </is>
      </c>
      <c r="R232" s="43" t="n"/>
      <c r="S232" s="42" t="inlineStr">
        <is>
          <t>無印</t>
        </is>
      </c>
      <c r="T232" s="42" t="n">
        <v>33</v>
      </c>
      <c r="U232" s="42" t="inlineStr">
        <is>
          <t>P33|無印</t>
        </is>
      </c>
      <c r="V232" s="42" t="inlineStr">
        <is>
          <t>同一価格表・次頁凡例を継承</t>
        </is>
      </c>
    </row>
    <row r="233">
      <c r="A233" s="43" t="inlineStr">
        <is>
          <t>SZ-SL-000230</t>
        </is>
      </c>
      <c r="B233" s="43" t="inlineStr">
        <is>
          <t>SER-LIX-SAMOSL</t>
        </is>
      </c>
      <c r="C233" s="43" t="inlineStr">
        <is>
          <t>WT-SL-SHUTTER-HIKI</t>
        </is>
      </c>
      <c r="D233" s="43" t="inlineStr">
        <is>
          <t>シャッター付引違い窓</t>
        </is>
      </c>
      <c r="E233" s="43" t="inlineStr">
        <is>
          <t>SP-SL-SHUT-E-STD</t>
        </is>
      </c>
      <c r="F233" s="43" t="inlineStr">
        <is>
          <t>在来・204</t>
        </is>
      </c>
      <c r="G233" s="43" t="inlineStr">
        <is>
          <t>18611</t>
        </is>
      </c>
      <c r="H233" s="43" t="inlineStr">
        <is>
          <t>186</t>
        </is>
      </c>
      <c r="I233" s="43" t="inlineStr">
        <is>
          <t>11</t>
        </is>
      </c>
      <c r="J233" s="222" t="n">
        <v>1900</v>
      </c>
      <c r="K233" s="222" t="n">
        <v>1170</v>
      </c>
      <c r="L233" s="43" t="inlineStr">
        <is>
          <t>在来・204｜電動</t>
        </is>
      </c>
      <c r="M233" s="178" t="b">
        <v>1</v>
      </c>
      <c r="N233" s="43" t="inlineStr">
        <is>
          <t>カタログ規格確認済み</t>
        </is>
      </c>
      <c r="O233" s="222" t="n">
        <v>34</v>
      </c>
      <c r="P233" s="222" t="n">
        <v>32</v>
      </c>
      <c r="Q233" s="43" t="inlineStr">
        <is>
          <t>202604_LIXIL_サーモスＬ_業務用資料集_完成品価格表.pdf</t>
        </is>
      </c>
      <c r="R233" s="43" t="n"/>
      <c r="S233" s="42" t="inlineStr">
        <is>
          <t>★</t>
        </is>
      </c>
      <c r="T233" s="42" t="n">
        <v>33</v>
      </c>
      <c r="U233" s="42" t="inlineStr">
        <is>
          <t>P33|★</t>
        </is>
      </c>
      <c r="V233" s="42" t="inlineStr">
        <is>
          <t>同一価格表・次頁凡例を継承</t>
        </is>
      </c>
    </row>
    <row r="234">
      <c r="A234" s="43" t="inlineStr">
        <is>
          <t>SZ-SL-000231</t>
        </is>
      </c>
      <c r="B234" s="43" t="inlineStr">
        <is>
          <t>SER-LIX-SAMOSL</t>
        </is>
      </c>
      <c r="C234" s="43" t="inlineStr">
        <is>
          <t>WT-SL-SHUTTER-HIKI</t>
        </is>
      </c>
      <c r="D234" s="43" t="inlineStr">
        <is>
          <t>シャッター付引違い窓</t>
        </is>
      </c>
      <c r="E234" s="43" t="inlineStr">
        <is>
          <t>SP-SL-SHUT-E-VENT</t>
        </is>
      </c>
      <c r="F234" s="43" t="inlineStr">
        <is>
          <t>在来・204</t>
        </is>
      </c>
      <c r="G234" s="43" t="inlineStr">
        <is>
          <t>18009</t>
        </is>
      </c>
      <c r="H234" s="43" t="inlineStr">
        <is>
          <t>180</t>
        </is>
      </c>
      <c r="I234" s="43" t="inlineStr">
        <is>
          <t>09</t>
        </is>
      </c>
      <c r="J234" s="222" t="n">
        <v>1845</v>
      </c>
      <c r="K234" s="222" t="n">
        <v>970</v>
      </c>
      <c r="L234" s="43" t="inlineStr">
        <is>
          <t>在来・204｜電動</t>
        </is>
      </c>
      <c r="M234" s="178" t="b">
        <v>1</v>
      </c>
      <c r="N234" s="43" t="inlineStr">
        <is>
          <t>カタログ個別可否確認済み</t>
        </is>
      </c>
      <c r="O234" s="222" t="n">
        <v>34</v>
      </c>
      <c r="P234" s="222" t="n">
        <v>32</v>
      </c>
      <c r="Q234" s="43" t="inlineStr">
        <is>
          <t>202604_LIXIL_サーモスＬ_業務用資料集_完成品価格表.pdf</t>
        </is>
      </c>
      <c r="R234" s="43" t="inlineStr">
        <is>
          <t>規格呼称は親品種で確認済み。固有仕様ごとの価格設定有無（＿＿表示等）は次QAで最終確定。</t>
        </is>
      </c>
      <c r="S234" s="42" t="inlineStr">
        <is>
          <t>無印</t>
        </is>
      </c>
      <c r="T234" s="42" t="n">
        <v>33</v>
      </c>
      <c r="U234" s="42" t="inlineStr">
        <is>
          <t>P33|無印</t>
        </is>
      </c>
      <c r="V234" s="42" t="inlineStr">
        <is>
          <t>同一価格表・次頁凡例を継承</t>
        </is>
      </c>
    </row>
    <row r="235">
      <c r="A235" s="43" t="inlineStr">
        <is>
          <t>SZ-SL-000232</t>
        </is>
      </c>
      <c r="B235" s="43" t="inlineStr">
        <is>
          <t>SER-LIX-SAMOSL</t>
        </is>
      </c>
      <c r="C235" s="43" t="inlineStr">
        <is>
          <t>WT-SL-SHUTTER-HIKI</t>
        </is>
      </c>
      <c r="D235" s="43" t="inlineStr">
        <is>
          <t>シャッター付引違い窓</t>
        </is>
      </c>
      <c r="E235" s="43" t="inlineStr">
        <is>
          <t>SP-SL-SHUT-E-VENT</t>
        </is>
      </c>
      <c r="F235" s="43" t="inlineStr">
        <is>
          <t>在来・204</t>
        </is>
      </c>
      <c r="G235" s="43" t="inlineStr">
        <is>
          <t>18011</t>
        </is>
      </c>
      <c r="H235" s="43" t="inlineStr">
        <is>
          <t>180</t>
        </is>
      </c>
      <c r="I235" s="43" t="inlineStr">
        <is>
          <t>11</t>
        </is>
      </c>
      <c r="J235" s="222" t="n">
        <v>1845</v>
      </c>
      <c r="K235" s="222" t="n">
        <v>1170</v>
      </c>
      <c r="L235" s="43" t="inlineStr">
        <is>
          <t>在来・204｜電動</t>
        </is>
      </c>
      <c r="M235" s="178" t="b">
        <v>1</v>
      </c>
      <c r="N235" s="43" t="inlineStr">
        <is>
          <t>カタログ個別可否確認済み</t>
        </is>
      </c>
      <c r="O235" s="222" t="n">
        <v>34</v>
      </c>
      <c r="P235" s="222" t="n">
        <v>32</v>
      </c>
      <c r="Q235" s="43" t="inlineStr">
        <is>
          <t>202604_LIXIL_サーモスＬ_業務用資料集_完成品価格表.pdf</t>
        </is>
      </c>
      <c r="R235" s="43" t="inlineStr">
        <is>
          <t>規格呼称は親品種で確認済み。固有仕様ごとの価格設定有無（＿＿表示等）は次QAで最終確定。</t>
        </is>
      </c>
      <c r="S235" s="42" t="inlineStr">
        <is>
          <t>無印</t>
        </is>
      </c>
      <c r="T235" s="42" t="n">
        <v>33</v>
      </c>
      <c r="U235" s="42" t="inlineStr">
        <is>
          <t>P33|無印</t>
        </is>
      </c>
      <c r="V235" s="42" t="inlineStr">
        <is>
          <t>同一価格表・次頁凡例を継承</t>
        </is>
      </c>
    </row>
    <row r="236">
      <c r="A236" s="43" t="inlineStr">
        <is>
          <t>SZ-SL-000233</t>
        </is>
      </c>
      <c r="B236" s="43" t="inlineStr">
        <is>
          <t>SER-LIX-SAMOSL</t>
        </is>
      </c>
      <c r="C236" s="43" t="inlineStr">
        <is>
          <t>WT-SL-SHUTTER-HIKI</t>
        </is>
      </c>
      <c r="D236" s="43" t="inlineStr">
        <is>
          <t>シャッター付引違い窓</t>
        </is>
      </c>
      <c r="E236" s="43" t="inlineStr">
        <is>
          <t>SP-SL-SHUT-E-VENT</t>
        </is>
      </c>
      <c r="F236" s="43" t="inlineStr">
        <is>
          <t>在来・204</t>
        </is>
      </c>
      <c r="G236" s="43" t="inlineStr">
        <is>
          <t>18609</t>
        </is>
      </c>
      <c r="H236" s="43" t="inlineStr">
        <is>
          <t>186</t>
        </is>
      </c>
      <c r="I236" s="43" t="inlineStr">
        <is>
          <t>09</t>
        </is>
      </c>
      <c r="J236" s="222" t="n">
        <v>1900</v>
      </c>
      <c r="K236" s="222" t="n">
        <v>970</v>
      </c>
      <c r="L236" s="43" t="inlineStr">
        <is>
          <t>在来・204｜電動</t>
        </is>
      </c>
      <c r="M236" s="178" t="b">
        <v>1</v>
      </c>
      <c r="N236" s="43" t="inlineStr">
        <is>
          <t>カタログ個別可否確認済み</t>
        </is>
      </c>
      <c r="O236" s="222" t="n">
        <v>34</v>
      </c>
      <c r="P236" s="222" t="n">
        <v>32</v>
      </c>
      <c r="Q236" s="43" t="inlineStr">
        <is>
          <t>202604_LIXIL_サーモスＬ_業務用資料集_完成品価格表.pdf</t>
        </is>
      </c>
      <c r="R236" s="43" t="inlineStr">
        <is>
          <t>規格呼称は親品種で確認済み。固有仕様ごとの価格設定有無（＿＿表示等）は次QAで最終確定。</t>
        </is>
      </c>
      <c r="S236" s="42" t="inlineStr">
        <is>
          <t>無印</t>
        </is>
      </c>
      <c r="T236" s="42" t="n">
        <v>33</v>
      </c>
      <c r="U236" s="42" t="inlineStr">
        <is>
          <t>P33|無印</t>
        </is>
      </c>
      <c r="V236" s="42" t="inlineStr">
        <is>
          <t>同一価格表・次頁凡例を継承</t>
        </is>
      </c>
    </row>
    <row r="237">
      <c r="A237" s="43" t="inlineStr">
        <is>
          <t>SZ-SL-000234</t>
        </is>
      </c>
      <c r="B237" s="43" t="inlineStr">
        <is>
          <t>SER-LIX-SAMOSL</t>
        </is>
      </c>
      <c r="C237" s="43" t="inlineStr">
        <is>
          <t>WT-SL-SHUTTER-HIKI</t>
        </is>
      </c>
      <c r="D237" s="43" t="inlineStr">
        <is>
          <t>シャッター付引違い窓</t>
        </is>
      </c>
      <c r="E237" s="43" t="inlineStr">
        <is>
          <t>SP-SL-SHUT-E-VENT</t>
        </is>
      </c>
      <c r="F237" s="43" t="inlineStr">
        <is>
          <t>在来・204</t>
        </is>
      </c>
      <c r="G237" s="43" t="inlineStr">
        <is>
          <t>18611</t>
        </is>
      </c>
      <c r="H237" s="43" t="inlineStr">
        <is>
          <t>186</t>
        </is>
      </c>
      <c r="I237" s="43" t="inlineStr">
        <is>
          <t>11</t>
        </is>
      </c>
      <c r="J237" s="222" t="n">
        <v>1900</v>
      </c>
      <c r="K237" s="222" t="n">
        <v>1170</v>
      </c>
      <c r="L237" s="43" t="inlineStr">
        <is>
          <t>在来・204｜電動</t>
        </is>
      </c>
      <c r="M237" s="178" t="b">
        <v>1</v>
      </c>
      <c r="N237" s="43" t="inlineStr">
        <is>
          <t>カタログ個別可否確認済み</t>
        </is>
      </c>
      <c r="O237" s="222" t="n">
        <v>34</v>
      </c>
      <c r="P237" s="222" t="n">
        <v>32</v>
      </c>
      <c r="Q237" s="43" t="inlineStr">
        <is>
          <t>202604_LIXIL_サーモスＬ_業務用資料集_完成品価格表.pdf</t>
        </is>
      </c>
      <c r="R237" s="43" t="inlineStr">
        <is>
          <t>規格呼称は親品種で確認済み。固有仕様ごとの価格設定有無（＿＿表示等）は次QAで最終確定。</t>
        </is>
      </c>
      <c r="S237" s="42" t="inlineStr">
        <is>
          <t>★</t>
        </is>
      </c>
      <c r="T237" s="42" t="n">
        <v>33</v>
      </c>
      <c r="U237" s="42" t="inlineStr">
        <is>
          <t>P33|★</t>
        </is>
      </c>
      <c r="V237" s="42" t="inlineStr">
        <is>
          <t>同一価格表・次頁凡例を継承</t>
        </is>
      </c>
    </row>
    <row r="238">
      <c r="A238" s="43" t="inlineStr">
        <is>
          <t>SZ-SL-000235</t>
        </is>
      </c>
      <c r="B238" s="43" t="inlineStr">
        <is>
          <t>SER-LIX-SAMOSL</t>
        </is>
      </c>
      <c r="C238" s="43" t="inlineStr">
        <is>
          <t>WT-SL-SHUTTER-HIKI</t>
        </is>
      </c>
      <c r="D238" s="43" t="inlineStr">
        <is>
          <t>シャッター付引違い窓</t>
        </is>
      </c>
      <c r="E238" s="43" t="inlineStr">
        <is>
          <t>SP-SL-SHUT-E-WIND</t>
        </is>
      </c>
      <c r="F238" s="43" t="inlineStr">
        <is>
          <t>在来・204</t>
        </is>
      </c>
      <c r="G238" s="43" t="inlineStr">
        <is>
          <t>18009</t>
        </is>
      </c>
      <c r="H238" s="43" t="inlineStr">
        <is>
          <t>180</t>
        </is>
      </c>
      <c r="I238" s="43" t="inlineStr">
        <is>
          <t>09</t>
        </is>
      </c>
      <c r="J238" s="222" t="n">
        <v>1845</v>
      </c>
      <c r="K238" s="222" t="n">
        <v>970</v>
      </c>
      <c r="L238" s="43" t="inlineStr">
        <is>
          <t>在来・204｜電動</t>
        </is>
      </c>
      <c r="M238" s="178" t="b">
        <v>0</v>
      </c>
      <c r="N238" s="43" t="inlineStr">
        <is>
          <t>設定なし（価格表確認済み）</t>
        </is>
      </c>
      <c r="O238" s="222" t="n">
        <v>34</v>
      </c>
      <c r="P238" s="222" t="n">
        <v>32</v>
      </c>
      <c r="Q238" s="43" t="inlineStr">
        <is>
          <t>202604_LIXIL_サーモスＬ_業務用資料集_完成品価格表.pdf</t>
        </is>
      </c>
      <c r="R238" s="43" t="inlineStr">
        <is>
          <t>規格呼称は親品種で確認済み。固有仕様ごとの価格設定有無（＿＿表示等）は次QAで最終確定。</t>
        </is>
      </c>
      <c r="S238" s="42" t="inlineStr">
        <is>
          <t>無印</t>
        </is>
      </c>
      <c r="T238" s="42" t="n">
        <v>33</v>
      </c>
      <c r="U238" s="42" t="inlineStr">
        <is>
          <t>P33|無印</t>
        </is>
      </c>
      <c r="V238" s="42" t="inlineStr">
        <is>
          <t>同一価格表・次頁凡例を継承</t>
        </is>
      </c>
    </row>
    <row r="239">
      <c r="A239" s="43" t="inlineStr">
        <is>
          <t>SZ-SL-000236</t>
        </is>
      </c>
      <c r="B239" s="43" t="inlineStr">
        <is>
          <t>SER-LIX-SAMOSL</t>
        </is>
      </c>
      <c r="C239" s="43" t="inlineStr">
        <is>
          <t>WT-SL-SHUTTER-HIKI</t>
        </is>
      </c>
      <c r="D239" s="43" t="inlineStr">
        <is>
          <t>シャッター付引違い窓</t>
        </is>
      </c>
      <c r="E239" s="43" t="inlineStr">
        <is>
          <t>SP-SL-SHUT-E-WIND</t>
        </is>
      </c>
      <c r="F239" s="43" t="inlineStr">
        <is>
          <t>在来・204</t>
        </is>
      </c>
      <c r="G239" s="43" t="inlineStr">
        <is>
          <t>18011</t>
        </is>
      </c>
      <c r="H239" s="43" t="inlineStr">
        <is>
          <t>180</t>
        </is>
      </c>
      <c r="I239" s="43" t="inlineStr">
        <is>
          <t>11</t>
        </is>
      </c>
      <c r="J239" s="222" t="n">
        <v>1845</v>
      </c>
      <c r="K239" s="222" t="n">
        <v>1170</v>
      </c>
      <c r="L239" s="43" t="inlineStr">
        <is>
          <t>在来・204｜電動</t>
        </is>
      </c>
      <c r="M239" s="178" t="b">
        <v>0</v>
      </c>
      <c r="N239" s="43" t="inlineStr">
        <is>
          <t>設定なし（価格表確認済み）</t>
        </is>
      </c>
      <c r="O239" s="222" t="n">
        <v>34</v>
      </c>
      <c r="P239" s="222" t="n">
        <v>32</v>
      </c>
      <c r="Q239" s="43" t="inlineStr">
        <is>
          <t>202604_LIXIL_サーモスＬ_業務用資料集_完成品価格表.pdf</t>
        </is>
      </c>
      <c r="R239" s="43" t="inlineStr">
        <is>
          <t>規格呼称は親品種で確認済み。固有仕様ごとの価格設定有無（＿＿表示等）は次QAで最終確定。</t>
        </is>
      </c>
      <c r="S239" s="42" t="inlineStr">
        <is>
          <t>無印</t>
        </is>
      </c>
      <c r="T239" s="42" t="n">
        <v>33</v>
      </c>
      <c r="U239" s="42" t="inlineStr">
        <is>
          <t>P33|無印</t>
        </is>
      </c>
      <c r="V239" s="42" t="inlineStr">
        <is>
          <t>同一価格表・次頁凡例を継承</t>
        </is>
      </c>
    </row>
    <row r="240">
      <c r="A240" s="43" t="inlineStr">
        <is>
          <t>SZ-SL-000237</t>
        </is>
      </c>
      <c r="B240" s="43" t="inlineStr">
        <is>
          <t>SER-LIX-SAMOSL</t>
        </is>
      </c>
      <c r="C240" s="43" t="inlineStr">
        <is>
          <t>WT-SL-SHUTTER-HIKI</t>
        </is>
      </c>
      <c r="D240" s="43" t="inlineStr">
        <is>
          <t>シャッター付引違い窓</t>
        </is>
      </c>
      <c r="E240" s="43" t="inlineStr">
        <is>
          <t>SP-SL-SHUT-E-WIND</t>
        </is>
      </c>
      <c r="F240" s="43" t="inlineStr">
        <is>
          <t>在来・204</t>
        </is>
      </c>
      <c r="G240" s="43" t="inlineStr">
        <is>
          <t>18609</t>
        </is>
      </c>
      <c r="H240" s="43" t="inlineStr">
        <is>
          <t>186</t>
        </is>
      </c>
      <c r="I240" s="43" t="inlineStr">
        <is>
          <t>09</t>
        </is>
      </c>
      <c r="J240" s="222" t="n">
        <v>1900</v>
      </c>
      <c r="K240" s="222" t="n">
        <v>970</v>
      </c>
      <c r="L240" s="43" t="inlineStr">
        <is>
          <t>在来・204｜電動</t>
        </is>
      </c>
      <c r="M240" s="178" t="b">
        <v>0</v>
      </c>
      <c r="N240" s="43" t="inlineStr">
        <is>
          <t>設定なし（価格表確認済み）</t>
        </is>
      </c>
      <c r="O240" s="222" t="n">
        <v>34</v>
      </c>
      <c r="P240" s="222" t="n">
        <v>32</v>
      </c>
      <c r="Q240" s="43" t="inlineStr">
        <is>
          <t>202604_LIXIL_サーモスＬ_業務用資料集_完成品価格表.pdf</t>
        </is>
      </c>
      <c r="R240" s="43" t="inlineStr">
        <is>
          <t>規格呼称は親品種で確認済み。固有仕様ごとの価格設定有無（＿＿表示等）は次QAで最終確定。</t>
        </is>
      </c>
      <c r="S240" s="42" t="inlineStr">
        <is>
          <t>無印</t>
        </is>
      </c>
      <c r="T240" s="42" t="n">
        <v>33</v>
      </c>
      <c r="U240" s="42" t="inlineStr">
        <is>
          <t>P33|無印</t>
        </is>
      </c>
      <c r="V240" s="42" t="inlineStr">
        <is>
          <t>同一価格表・次頁凡例を継承</t>
        </is>
      </c>
    </row>
    <row r="241">
      <c r="A241" s="43" t="inlineStr">
        <is>
          <t>SZ-SL-000238</t>
        </is>
      </c>
      <c r="B241" s="43" t="inlineStr">
        <is>
          <t>SER-LIX-SAMOSL</t>
        </is>
      </c>
      <c r="C241" s="43" t="inlineStr">
        <is>
          <t>WT-SL-SHUTTER-HIKI</t>
        </is>
      </c>
      <c r="D241" s="43" t="inlineStr">
        <is>
          <t>シャッター付引違い窓</t>
        </is>
      </c>
      <c r="E241" s="43" t="inlineStr">
        <is>
          <t>SP-SL-SHUT-E-WIND</t>
        </is>
      </c>
      <c r="F241" s="43" t="inlineStr">
        <is>
          <t>在来・204</t>
        </is>
      </c>
      <c r="G241" s="43" t="inlineStr">
        <is>
          <t>18611</t>
        </is>
      </c>
      <c r="H241" s="43" t="inlineStr">
        <is>
          <t>186</t>
        </is>
      </c>
      <c r="I241" s="43" t="inlineStr">
        <is>
          <t>11</t>
        </is>
      </c>
      <c r="J241" s="222" t="n">
        <v>1900</v>
      </c>
      <c r="K241" s="222" t="n">
        <v>1170</v>
      </c>
      <c r="L241" s="43" t="inlineStr">
        <is>
          <t>在来・204｜電動</t>
        </is>
      </c>
      <c r="M241" s="178" t="b">
        <v>0</v>
      </c>
      <c r="N241" s="43" t="inlineStr">
        <is>
          <t>設定なし（価格表確認済み）</t>
        </is>
      </c>
      <c r="O241" s="222" t="n">
        <v>34</v>
      </c>
      <c r="P241" s="222" t="n">
        <v>32</v>
      </c>
      <c r="Q241" s="43" t="inlineStr">
        <is>
          <t>202604_LIXIL_サーモスＬ_業務用資料集_完成品価格表.pdf</t>
        </is>
      </c>
      <c r="R241" s="43" t="inlineStr">
        <is>
          <t>規格呼称は親品種で確認済み。固有仕様ごとの価格設定有無（＿＿表示等）は次QAで最終確定。</t>
        </is>
      </c>
      <c r="S241" s="42" t="inlineStr">
        <is>
          <t>★</t>
        </is>
      </c>
      <c r="T241" s="42" t="n">
        <v>33</v>
      </c>
      <c r="U241" s="42" t="inlineStr">
        <is>
          <t>P33|★</t>
        </is>
      </c>
      <c r="V241" s="42" t="inlineStr">
        <is>
          <t>同一価格表・次頁凡例を継承</t>
        </is>
      </c>
    </row>
    <row r="242">
      <c r="A242" s="43" t="inlineStr">
        <is>
          <t>SZ-SL-000239</t>
        </is>
      </c>
      <c r="B242" s="43" t="inlineStr">
        <is>
          <t>SER-LIX-SAMOSL</t>
        </is>
      </c>
      <c r="C242" s="43" t="inlineStr">
        <is>
          <t>WT-SL-SHUTTER-HIKI</t>
        </is>
      </c>
      <c r="D242" s="43" t="inlineStr">
        <is>
          <t>シャッター付引違い窓</t>
        </is>
      </c>
      <c r="E242" s="43" t="inlineStr">
        <is>
          <t>SP-SL-SHUT-E-STD</t>
        </is>
      </c>
      <c r="F242" s="43" t="inlineStr">
        <is>
          <t>在来・204</t>
        </is>
      </c>
      <c r="G242" s="43" t="inlineStr">
        <is>
          <t>25111-2</t>
        </is>
      </c>
      <c r="H242" s="43" t="inlineStr">
        <is>
          <t>251-2</t>
        </is>
      </c>
      <c r="I242" s="43" t="inlineStr">
        <is>
          <t>11</t>
        </is>
      </c>
      <c r="J242" s="222" t="n">
        <v>2550</v>
      </c>
      <c r="K242" s="222" t="n">
        <v>1170</v>
      </c>
      <c r="L242" s="43" t="inlineStr">
        <is>
          <t>在来・204｜電動</t>
        </is>
      </c>
      <c r="M242" s="178" t="b">
        <v>1</v>
      </c>
      <c r="N242" s="43" t="inlineStr">
        <is>
          <t>カタログ規格確認済み</t>
        </is>
      </c>
      <c r="O242" s="222" t="n">
        <v>35</v>
      </c>
      <c r="P242" s="222" t="n">
        <v>33</v>
      </c>
      <c r="Q242" s="43" t="inlineStr">
        <is>
          <t>202604_LIXIL_サーモスＬ_業務用資料集_完成品価格表.pdf</t>
        </is>
      </c>
      <c r="R242" s="43" t="n"/>
      <c r="S242" s="42" t="inlineStr">
        <is>
          <t>☆</t>
        </is>
      </c>
      <c r="T242" s="42" t="n">
        <v>33</v>
      </c>
      <c r="U242" s="42" t="inlineStr">
        <is>
          <t>P33|☆</t>
        </is>
      </c>
      <c r="V242" s="42" t="inlineStr">
        <is>
          <t>同頁凡例へ直接連動</t>
        </is>
      </c>
    </row>
    <row r="243">
      <c r="A243" s="43" t="inlineStr">
        <is>
          <t>SZ-SL-000240</t>
        </is>
      </c>
      <c r="B243" s="43" t="inlineStr">
        <is>
          <t>SER-LIX-SAMOSL</t>
        </is>
      </c>
      <c r="C243" s="43" t="inlineStr">
        <is>
          <t>WT-SL-SHUTTER-HIKI</t>
        </is>
      </c>
      <c r="D243" s="43" t="inlineStr">
        <is>
          <t>シャッター付引違い窓</t>
        </is>
      </c>
      <c r="E243" s="43" t="inlineStr">
        <is>
          <t>SP-SL-SHUT-E-STD</t>
        </is>
      </c>
      <c r="F243" s="43" t="inlineStr">
        <is>
          <t>在来・204</t>
        </is>
      </c>
      <c r="G243" s="43" t="inlineStr">
        <is>
          <t>25111-4</t>
        </is>
      </c>
      <c r="H243" s="43" t="inlineStr">
        <is>
          <t>251-4</t>
        </is>
      </c>
      <c r="I243" s="43" t="inlineStr">
        <is>
          <t>11</t>
        </is>
      </c>
      <c r="J243" s="222" t="n">
        <v>2550</v>
      </c>
      <c r="K243" s="222" t="n">
        <v>1170</v>
      </c>
      <c r="L243" s="43" t="inlineStr">
        <is>
          <t>在来・204｜電動</t>
        </is>
      </c>
      <c r="M243" s="178" t="b">
        <v>1</v>
      </c>
      <c r="N243" s="43" t="inlineStr">
        <is>
          <t>カタログ規格確認済み</t>
        </is>
      </c>
      <c r="O243" s="222" t="n">
        <v>35</v>
      </c>
      <c r="P243" s="222" t="n">
        <v>33</v>
      </c>
      <c r="Q243" s="43" t="inlineStr">
        <is>
          <t>202604_LIXIL_サーモスＬ_業務用資料集_完成品価格表.pdf</t>
        </is>
      </c>
      <c r="R243" s="43" t="n"/>
      <c r="S243" s="42" t="inlineStr">
        <is>
          <t>無印</t>
        </is>
      </c>
      <c r="T243" s="42" t="n">
        <v>33</v>
      </c>
      <c r="U243" s="42" t="inlineStr">
        <is>
          <t>P33|無印</t>
        </is>
      </c>
      <c r="V243" s="42" t="inlineStr">
        <is>
          <t>同頁凡例へ直接連動</t>
        </is>
      </c>
    </row>
    <row r="244">
      <c r="A244" s="43" t="inlineStr">
        <is>
          <t>SZ-SL-000241</t>
        </is>
      </c>
      <c r="B244" s="43" t="inlineStr">
        <is>
          <t>SER-LIX-SAMOSL</t>
        </is>
      </c>
      <c r="C244" s="43" t="inlineStr">
        <is>
          <t>WT-SL-SHUTTER-HIKI</t>
        </is>
      </c>
      <c r="D244" s="43" t="inlineStr">
        <is>
          <t>シャッター付引違い窓</t>
        </is>
      </c>
      <c r="E244" s="43" t="inlineStr">
        <is>
          <t>SP-SL-SHUT-E-STD</t>
        </is>
      </c>
      <c r="F244" s="43" t="inlineStr">
        <is>
          <t>在来・204</t>
        </is>
      </c>
      <c r="G244" s="43" t="inlineStr">
        <is>
          <t>25611-2</t>
        </is>
      </c>
      <c r="H244" s="43" t="inlineStr">
        <is>
          <t>256-2</t>
        </is>
      </c>
      <c r="I244" s="43" t="inlineStr">
        <is>
          <t>11</t>
        </is>
      </c>
      <c r="J244" s="222" t="n">
        <v>2600</v>
      </c>
      <c r="K244" s="222" t="n">
        <v>1170</v>
      </c>
      <c r="L244" s="43" t="inlineStr">
        <is>
          <t>在来・204｜電動</t>
        </is>
      </c>
      <c r="M244" s="178" t="b">
        <v>1</v>
      </c>
      <c r="N244" s="43" t="inlineStr">
        <is>
          <t>カタログ規格確認済み</t>
        </is>
      </c>
      <c r="O244" s="222" t="n">
        <v>35</v>
      </c>
      <c r="P244" s="222" t="n">
        <v>33</v>
      </c>
      <c r="Q244" s="43" t="inlineStr">
        <is>
          <t>202604_LIXIL_サーモスＬ_業務用資料集_完成品価格表.pdf</t>
        </is>
      </c>
      <c r="R244" s="43" t="n"/>
      <c r="S244" s="42" t="inlineStr">
        <is>
          <t>☆</t>
        </is>
      </c>
      <c r="T244" s="42" t="n">
        <v>33</v>
      </c>
      <c r="U244" s="42" t="inlineStr">
        <is>
          <t>P33|☆</t>
        </is>
      </c>
      <c r="V244" s="42" t="inlineStr">
        <is>
          <t>同頁凡例へ直接連動</t>
        </is>
      </c>
    </row>
    <row r="245">
      <c r="A245" s="43" t="inlineStr">
        <is>
          <t>SZ-SL-000242</t>
        </is>
      </c>
      <c r="B245" s="43" t="inlineStr">
        <is>
          <t>SER-LIX-SAMOSL</t>
        </is>
      </c>
      <c r="C245" s="43" t="inlineStr">
        <is>
          <t>WT-SL-SHUTTER-HIKI</t>
        </is>
      </c>
      <c r="D245" s="43" t="inlineStr">
        <is>
          <t>シャッター付引違い窓</t>
        </is>
      </c>
      <c r="E245" s="43" t="inlineStr">
        <is>
          <t>SP-SL-SHUT-E-STD</t>
        </is>
      </c>
      <c r="F245" s="43" t="inlineStr">
        <is>
          <t>在来・204</t>
        </is>
      </c>
      <c r="G245" s="43" t="inlineStr">
        <is>
          <t>25611-4</t>
        </is>
      </c>
      <c r="H245" s="43" t="inlineStr">
        <is>
          <t>256-4</t>
        </is>
      </c>
      <c r="I245" s="43" t="inlineStr">
        <is>
          <t>11</t>
        </is>
      </c>
      <c r="J245" s="222" t="n">
        <v>2600</v>
      </c>
      <c r="K245" s="222" t="n">
        <v>1170</v>
      </c>
      <c r="L245" s="43" t="inlineStr">
        <is>
          <t>在来・204｜電動</t>
        </is>
      </c>
      <c r="M245" s="178" t="b">
        <v>1</v>
      </c>
      <c r="N245" s="43" t="inlineStr">
        <is>
          <t>カタログ規格確認済み</t>
        </is>
      </c>
      <c r="O245" s="222" t="n">
        <v>35</v>
      </c>
      <c r="P245" s="222" t="n">
        <v>33</v>
      </c>
      <c r="Q245" s="43" t="inlineStr">
        <is>
          <t>202604_LIXIL_サーモスＬ_業務用資料集_完成品価格表.pdf</t>
        </is>
      </c>
      <c r="R245" s="43" t="n"/>
      <c r="S245" s="42" t="inlineStr">
        <is>
          <t>無印</t>
        </is>
      </c>
      <c r="T245" s="42" t="n">
        <v>33</v>
      </c>
      <c r="U245" s="42" t="inlineStr">
        <is>
          <t>P33|無印</t>
        </is>
      </c>
      <c r="V245" s="42" t="inlineStr">
        <is>
          <t>同頁凡例へ直接連動</t>
        </is>
      </c>
    </row>
    <row r="246">
      <c r="A246" s="43" t="inlineStr">
        <is>
          <t>SZ-SL-000243</t>
        </is>
      </c>
      <c r="B246" s="43" t="inlineStr">
        <is>
          <t>SER-LIX-SAMOSL</t>
        </is>
      </c>
      <c r="C246" s="43" t="inlineStr">
        <is>
          <t>WT-SL-SHUTTER-HIKI</t>
        </is>
      </c>
      <c r="D246" s="43" t="inlineStr">
        <is>
          <t>シャッター付引違い窓</t>
        </is>
      </c>
      <c r="E246" s="43" t="inlineStr">
        <is>
          <t>SP-SL-SHUT-E-VENT</t>
        </is>
      </c>
      <c r="F246" s="43" t="inlineStr">
        <is>
          <t>在来・204</t>
        </is>
      </c>
      <c r="G246" s="43" t="inlineStr">
        <is>
          <t>25111-2</t>
        </is>
      </c>
      <c r="H246" s="43" t="inlineStr">
        <is>
          <t>251-2</t>
        </is>
      </c>
      <c r="I246" s="43" t="inlineStr">
        <is>
          <t>11</t>
        </is>
      </c>
      <c r="J246" s="222" t="n">
        <v>2550</v>
      </c>
      <c r="K246" s="222" t="n">
        <v>1170</v>
      </c>
      <c r="L246" s="43" t="inlineStr">
        <is>
          <t>在来・204｜電動</t>
        </is>
      </c>
      <c r="M246" s="178" t="b">
        <v>1</v>
      </c>
      <c r="N246" s="43" t="inlineStr">
        <is>
          <t>カタログ個別可否確認済み</t>
        </is>
      </c>
      <c r="O246" s="222" t="n">
        <v>35</v>
      </c>
      <c r="P246" s="222" t="n">
        <v>33</v>
      </c>
      <c r="Q246" s="43" t="inlineStr">
        <is>
          <t>202604_LIXIL_サーモスＬ_業務用資料集_完成品価格表.pdf</t>
        </is>
      </c>
      <c r="R246" s="43" t="inlineStr">
        <is>
          <t>規格呼称は親品種で確認済み。固有仕様ごとの価格設定有無（＿＿表示等）は次QAで最終確定。</t>
        </is>
      </c>
      <c r="S246" s="42" t="inlineStr">
        <is>
          <t>☆</t>
        </is>
      </c>
      <c r="T246" s="42" t="n">
        <v>33</v>
      </c>
      <c r="U246" s="42" t="inlineStr">
        <is>
          <t>P33|☆</t>
        </is>
      </c>
      <c r="V246" s="42" t="inlineStr">
        <is>
          <t>同頁凡例へ直接連動</t>
        </is>
      </c>
    </row>
    <row r="247">
      <c r="A247" s="43" t="inlineStr">
        <is>
          <t>SZ-SL-000244</t>
        </is>
      </c>
      <c r="B247" s="43" t="inlineStr">
        <is>
          <t>SER-LIX-SAMOSL</t>
        </is>
      </c>
      <c r="C247" s="43" t="inlineStr">
        <is>
          <t>WT-SL-SHUTTER-HIKI</t>
        </is>
      </c>
      <c r="D247" s="43" t="inlineStr">
        <is>
          <t>シャッター付引違い窓</t>
        </is>
      </c>
      <c r="E247" s="43" t="inlineStr">
        <is>
          <t>SP-SL-SHUT-E-VENT</t>
        </is>
      </c>
      <c r="F247" s="43" t="inlineStr">
        <is>
          <t>在来・204</t>
        </is>
      </c>
      <c r="G247" s="43" t="inlineStr">
        <is>
          <t>25111-4</t>
        </is>
      </c>
      <c r="H247" s="43" t="inlineStr">
        <is>
          <t>251-4</t>
        </is>
      </c>
      <c r="I247" s="43" t="inlineStr">
        <is>
          <t>11</t>
        </is>
      </c>
      <c r="J247" s="222" t="n">
        <v>2550</v>
      </c>
      <c r="K247" s="222" t="n">
        <v>1170</v>
      </c>
      <c r="L247" s="43" t="inlineStr">
        <is>
          <t>在来・204｜電動</t>
        </is>
      </c>
      <c r="M247" s="178" t="b">
        <v>1</v>
      </c>
      <c r="N247" s="43" t="inlineStr">
        <is>
          <t>カタログ個別可否確認済み</t>
        </is>
      </c>
      <c r="O247" s="222" t="n">
        <v>35</v>
      </c>
      <c r="P247" s="222" t="n">
        <v>33</v>
      </c>
      <c r="Q247" s="43" t="inlineStr">
        <is>
          <t>202604_LIXIL_サーモスＬ_業務用資料集_完成品価格表.pdf</t>
        </is>
      </c>
      <c r="R247" s="43" t="inlineStr">
        <is>
          <t>規格呼称は親品種で確認済み。固有仕様ごとの価格設定有無（＿＿表示等）は次QAで最終確定。</t>
        </is>
      </c>
      <c r="S247" s="42" t="inlineStr">
        <is>
          <t>無印</t>
        </is>
      </c>
      <c r="T247" s="42" t="n">
        <v>33</v>
      </c>
      <c r="U247" s="42" t="inlineStr">
        <is>
          <t>P33|無印</t>
        </is>
      </c>
      <c r="V247" s="42" t="inlineStr">
        <is>
          <t>同頁凡例へ直接連動</t>
        </is>
      </c>
    </row>
    <row r="248">
      <c r="A248" s="43" t="inlineStr">
        <is>
          <t>SZ-SL-000245</t>
        </is>
      </c>
      <c r="B248" s="43" t="inlineStr">
        <is>
          <t>SER-LIX-SAMOSL</t>
        </is>
      </c>
      <c r="C248" s="43" t="inlineStr">
        <is>
          <t>WT-SL-SHUTTER-HIKI</t>
        </is>
      </c>
      <c r="D248" s="43" t="inlineStr">
        <is>
          <t>シャッター付引違い窓</t>
        </is>
      </c>
      <c r="E248" s="43" t="inlineStr">
        <is>
          <t>SP-SL-SHUT-E-VENT</t>
        </is>
      </c>
      <c r="F248" s="43" t="inlineStr">
        <is>
          <t>在来・204</t>
        </is>
      </c>
      <c r="G248" s="43" t="inlineStr">
        <is>
          <t>25611-2</t>
        </is>
      </c>
      <c r="H248" s="43" t="inlineStr">
        <is>
          <t>256-2</t>
        </is>
      </c>
      <c r="I248" s="43" t="inlineStr">
        <is>
          <t>11</t>
        </is>
      </c>
      <c r="J248" s="222" t="n">
        <v>2600</v>
      </c>
      <c r="K248" s="222" t="n">
        <v>1170</v>
      </c>
      <c r="L248" s="43" t="inlineStr">
        <is>
          <t>在来・204｜電動</t>
        </is>
      </c>
      <c r="M248" s="178" t="b">
        <v>1</v>
      </c>
      <c r="N248" s="43" t="inlineStr">
        <is>
          <t>カタログ個別可否確認済み</t>
        </is>
      </c>
      <c r="O248" s="222" t="n">
        <v>35</v>
      </c>
      <c r="P248" s="222" t="n">
        <v>33</v>
      </c>
      <c r="Q248" s="43" t="inlineStr">
        <is>
          <t>202604_LIXIL_サーモスＬ_業務用資料集_完成品価格表.pdf</t>
        </is>
      </c>
      <c r="R248" s="43" t="inlineStr">
        <is>
          <t>規格呼称は親品種で確認済み。固有仕様ごとの価格設定有無（＿＿表示等）は次QAで最終確定。</t>
        </is>
      </c>
      <c r="S248" s="42" t="inlineStr">
        <is>
          <t>☆</t>
        </is>
      </c>
      <c r="T248" s="42" t="n">
        <v>33</v>
      </c>
      <c r="U248" s="42" t="inlineStr">
        <is>
          <t>P33|☆</t>
        </is>
      </c>
      <c r="V248" s="42" t="inlineStr">
        <is>
          <t>同頁凡例へ直接連動</t>
        </is>
      </c>
    </row>
    <row r="249">
      <c r="A249" s="43" t="inlineStr">
        <is>
          <t>SZ-SL-000246</t>
        </is>
      </c>
      <c r="B249" s="43" t="inlineStr">
        <is>
          <t>SER-LIX-SAMOSL</t>
        </is>
      </c>
      <c r="C249" s="43" t="inlineStr">
        <is>
          <t>WT-SL-SHUTTER-HIKI</t>
        </is>
      </c>
      <c r="D249" s="43" t="inlineStr">
        <is>
          <t>シャッター付引違い窓</t>
        </is>
      </c>
      <c r="E249" s="43" t="inlineStr">
        <is>
          <t>SP-SL-SHUT-E-VENT</t>
        </is>
      </c>
      <c r="F249" s="43" t="inlineStr">
        <is>
          <t>在来・204</t>
        </is>
      </c>
      <c r="G249" s="43" t="inlineStr">
        <is>
          <t>25611-4</t>
        </is>
      </c>
      <c r="H249" s="43" t="inlineStr">
        <is>
          <t>256-4</t>
        </is>
      </c>
      <c r="I249" s="43" t="inlineStr">
        <is>
          <t>11</t>
        </is>
      </c>
      <c r="J249" s="222" t="n">
        <v>2600</v>
      </c>
      <c r="K249" s="222" t="n">
        <v>1170</v>
      </c>
      <c r="L249" s="43" t="inlineStr">
        <is>
          <t>在来・204｜電動</t>
        </is>
      </c>
      <c r="M249" s="178" t="b">
        <v>1</v>
      </c>
      <c r="N249" s="43" t="inlineStr">
        <is>
          <t>カタログ個別可否確認済み</t>
        </is>
      </c>
      <c r="O249" s="222" t="n">
        <v>35</v>
      </c>
      <c r="P249" s="222" t="n">
        <v>33</v>
      </c>
      <c r="Q249" s="43" t="inlineStr">
        <is>
          <t>202604_LIXIL_サーモスＬ_業務用資料集_完成品価格表.pdf</t>
        </is>
      </c>
      <c r="R249" s="43" t="inlineStr">
        <is>
          <t>規格呼称は親品種で確認済み。固有仕様ごとの価格設定有無（＿＿表示等）は次QAで最終確定。</t>
        </is>
      </c>
      <c r="S249" s="42" t="inlineStr">
        <is>
          <t>無印</t>
        </is>
      </c>
      <c r="T249" s="42" t="n">
        <v>33</v>
      </c>
      <c r="U249" s="42" t="inlineStr">
        <is>
          <t>P33|無印</t>
        </is>
      </c>
      <c r="V249" s="42" t="inlineStr">
        <is>
          <t>同頁凡例へ直接連動</t>
        </is>
      </c>
    </row>
    <row r="250">
      <c r="A250" s="43" t="inlineStr">
        <is>
          <t>SZ-SL-000247</t>
        </is>
      </c>
      <c r="B250" s="43" t="inlineStr">
        <is>
          <t>SER-LIX-SAMOSL</t>
        </is>
      </c>
      <c r="C250" s="43" t="inlineStr">
        <is>
          <t>WT-SL-SHUTTER-HIKI</t>
        </is>
      </c>
      <c r="D250" s="43" t="inlineStr">
        <is>
          <t>シャッター付引違い窓</t>
        </is>
      </c>
      <c r="E250" s="43" t="inlineStr">
        <is>
          <t>SP-SL-SHUT-E-WIND</t>
        </is>
      </c>
      <c r="F250" s="43" t="inlineStr">
        <is>
          <t>在来・204</t>
        </is>
      </c>
      <c r="G250" s="43" t="inlineStr">
        <is>
          <t>25111-2</t>
        </is>
      </c>
      <c r="H250" s="43" t="inlineStr">
        <is>
          <t>251-2</t>
        </is>
      </c>
      <c r="I250" s="43" t="inlineStr">
        <is>
          <t>11</t>
        </is>
      </c>
      <c r="J250" s="222" t="n">
        <v>2550</v>
      </c>
      <c r="K250" s="222" t="n">
        <v>1170</v>
      </c>
      <c r="L250" s="43" t="inlineStr">
        <is>
          <t>在来・204｜電動</t>
        </is>
      </c>
      <c r="M250" s="178" t="b">
        <v>1</v>
      </c>
      <c r="N250" s="43" t="inlineStr">
        <is>
          <t>カタログ個別可否確認済み</t>
        </is>
      </c>
      <c r="O250" s="222" t="n">
        <v>35</v>
      </c>
      <c r="P250" s="222" t="n">
        <v>33</v>
      </c>
      <c r="Q250" s="43" t="inlineStr">
        <is>
          <t>202604_LIXIL_サーモスＬ_業務用資料集_完成品価格表.pdf</t>
        </is>
      </c>
      <c r="R250" s="43" t="inlineStr">
        <is>
          <t>規格呼称は親品種で確認済み。固有仕様ごとの価格設定有無（＿＿表示等）は次QAで最終確定。</t>
        </is>
      </c>
      <c r="S250" s="42" t="inlineStr">
        <is>
          <t>☆</t>
        </is>
      </c>
      <c r="T250" s="42" t="n">
        <v>33</v>
      </c>
      <c r="U250" s="42" t="inlineStr">
        <is>
          <t>P33|☆</t>
        </is>
      </c>
      <c r="V250" s="42" t="inlineStr">
        <is>
          <t>同頁凡例へ直接連動</t>
        </is>
      </c>
    </row>
    <row r="251">
      <c r="A251" s="43" t="inlineStr">
        <is>
          <t>SZ-SL-000248</t>
        </is>
      </c>
      <c r="B251" s="43" t="inlineStr">
        <is>
          <t>SER-LIX-SAMOSL</t>
        </is>
      </c>
      <c r="C251" s="43" t="inlineStr">
        <is>
          <t>WT-SL-SHUTTER-HIKI</t>
        </is>
      </c>
      <c r="D251" s="43" t="inlineStr">
        <is>
          <t>シャッター付引違い窓</t>
        </is>
      </c>
      <c r="E251" s="43" t="inlineStr">
        <is>
          <t>SP-SL-SHUT-E-WIND</t>
        </is>
      </c>
      <c r="F251" s="43" t="inlineStr">
        <is>
          <t>在来・204</t>
        </is>
      </c>
      <c r="G251" s="43" t="inlineStr">
        <is>
          <t>25111-4</t>
        </is>
      </c>
      <c r="H251" s="43" t="inlineStr">
        <is>
          <t>251-4</t>
        </is>
      </c>
      <c r="I251" s="43" t="inlineStr">
        <is>
          <t>11</t>
        </is>
      </c>
      <c r="J251" s="222" t="n">
        <v>2550</v>
      </c>
      <c r="K251" s="222" t="n">
        <v>1170</v>
      </c>
      <c r="L251" s="43" t="inlineStr">
        <is>
          <t>在来・204｜電動</t>
        </is>
      </c>
      <c r="M251" s="178" t="b">
        <v>1</v>
      </c>
      <c r="N251" s="43" t="inlineStr">
        <is>
          <t>カタログ個別可否確認済み</t>
        </is>
      </c>
      <c r="O251" s="222" t="n">
        <v>35</v>
      </c>
      <c r="P251" s="222" t="n">
        <v>33</v>
      </c>
      <c r="Q251" s="43" t="inlineStr">
        <is>
          <t>202604_LIXIL_サーモスＬ_業務用資料集_完成品価格表.pdf</t>
        </is>
      </c>
      <c r="R251" s="43" t="inlineStr">
        <is>
          <t>規格呼称は親品種で確認済み。固有仕様ごとの価格設定有無（＿＿表示等）は次QAで最終確定。</t>
        </is>
      </c>
      <c r="S251" s="42" t="inlineStr">
        <is>
          <t>無印</t>
        </is>
      </c>
      <c r="T251" s="42" t="n">
        <v>33</v>
      </c>
      <c r="U251" s="42" t="inlineStr">
        <is>
          <t>P33|無印</t>
        </is>
      </c>
      <c r="V251" s="42" t="inlineStr">
        <is>
          <t>同頁凡例へ直接連動</t>
        </is>
      </c>
    </row>
    <row r="252">
      <c r="A252" s="43" t="inlineStr">
        <is>
          <t>SZ-SL-000249</t>
        </is>
      </c>
      <c r="B252" s="43" t="inlineStr">
        <is>
          <t>SER-LIX-SAMOSL</t>
        </is>
      </c>
      <c r="C252" s="43" t="inlineStr">
        <is>
          <t>WT-SL-SHUTTER-HIKI</t>
        </is>
      </c>
      <c r="D252" s="43" t="inlineStr">
        <is>
          <t>シャッター付引違い窓</t>
        </is>
      </c>
      <c r="E252" s="43" t="inlineStr">
        <is>
          <t>SP-SL-SHUT-E-WIND</t>
        </is>
      </c>
      <c r="F252" s="43" t="inlineStr">
        <is>
          <t>在来・204</t>
        </is>
      </c>
      <c r="G252" s="43" t="inlineStr">
        <is>
          <t>25611-2</t>
        </is>
      </c>
      <c r="H252" s="43" t="inlineStr">
        <is>
          <t>256-2</t>
        </is>
      </c>
      <c r="I252" s="43" t="inlineStr">
        <is>
          <t>11</t>
        </is>
      </c>
      <c r="J252" s="222" t="n">
        <v>2600</v>
      </c>
      <c r="K252" s="222" t="n">
        <v>1170</v>
      </c>
      <c r="L252" s="43" t="inlineStr">
        <is>
          <t>在来・204｜電動</t>
        </is>
      </c>
      <c r="M252" s="178" t="b">
        <v>1</v>
      </c>
      <c r="N252" s="43" t="inlineStr">
        <is>
          <t>カタログ個別可否確認済み</t>
        </is>
      </c>
      <c r="O252" s="222" t="n">
        <v>35</v>
      </c>
      <c r="P252" s="222" t="n">
        <v>33</v>
      </c>
      <c r="Q252" s="43" t="inlineStr">
        <is>
          <t>202604_LIXIL_サーモスＬ_業務用資料集_完成品価格表.pdf</t>
        </is>
      </c>
      <c r="R252" s="43" t="inlineStr">
        <is>
          <t>規格呼称は親品種で確認済み。固有仕様ごとの価格設定有無（＿＿表示等）は次QAで最終確定。</t>
        </is>
      </c>
      <c r="S252" s="42" t="inlineStr">
        <is>
          <t>☆</t>
        </is>
      </c>
      <c r="T252" s="42" t="n">
        <v>33</v>
      </c>
      <c r="U252" s="42" t="inlineStr">
        <is>
          <t>P33|☆</t>
        </is>
      </c>
      <c r="V252" s="42" t="inlineStr">
        <is>
          <t>同頁凡例へ直接連動</t>
        </is>
      </c>
    </row>
    <row r="253">
      <c r="A253" s="43" t="inlineStr">
        <is>
          <t>SZ-SL-000250</t>
        </is>
      </c>
      <c r="B253" s="43" t="inlineStr">
        <is>
          <t>SER-LIX-SAMOSL</t>
        </is>
      </c>
      <c r="C253" s="43" t="inlineStr">
        <is>
          <t>WT-SL-SHUTTER-HIKI</t>
        </is>
      </c>
      <c r="D253" s="43" t="inlineStr">
        <is>
          <t>シャッター付引違い窓</t>
        </is>
      </c>
      <c r="E253" s="43" t="inlineStr">
        <is>
          <t>SP-SL-SHUT-E-WIND</t>
        </is>
      </c>
      <c r="F253" s="43" t="inlineStr">
        <is>
          <t>在来・204</t>
        </is>
      </c>
      <c r="G253" s="43" t="inlineStr">
        <is>
          <t>25611-4</t>
        </is>
      </c>
      <c r="H253" s="43" t="inlineStr">
        <is>
          <t>256-4</t>
        </is>
      </c>
      <c r="I253" s="43" t="inlineStr">
        <is>
          <t>11</t>
        </is>
      </c>
      <c r="J253" s="222" t="n">
        <v>2600</v>
      </c>
      <c r="K253" s="222" t="n">
        <v>1170</v>
      </c>
      <c r="L253" s="43" t="inlineStr">
        <is>
          <t>在来・204｜電動</t>
        </is>
      </c>
      <c r="M253" s="178" t="b">
        <v>1</v>
      </c>
      <c r="N253" s="43" t="inlineStr">
        <is>
          <t>カタログ個別可否確認済み</t>
        </is>
      </c>
      <c r="O253" s="222" t="n">
        <v>35</v>
      </c>
      <c r="P253" s="222" t="n">
        <v>33</v>
      </c>
      <c r="Q253" s="43" t="inlineStr">
        <is>
          <t>202604_LIXIL_サーモスＬ_業務用資料集_完成品価格表.pdf</t>
        </is>
      </c>
      <c r="R253" s="43" t="inlineStr">
        <is>
          <t>規格呼称は親品種で確認済み。固有仕様ごとの価格設定有無（＿＿表示等）は次QAで最終確定。</t>
        </is>
      </c>
      <c r="S253" s="42" t="inlineStr">
        <is>
          <t>無印</t>
        </is>
      </c>
      <c r="T253" s="42" t="n">
        <v>33</v>
      </c>
      <c r="U253" s="42" t="inlineStr">
        <is>
          <t>P33|無印</t>
        </is>
      </c>
      <c r="V253" s="42" t="inlineStr">
        <is>
          <t>同頁凡例へ直接連動</t>
        </is>
      </c>
    </row>
    <row r="254">
      <c r="A254" s="43" t="inlineStr">
        <is>
          <t>SZ-SL-000251</t>
        </is>
      </c>
      <c r="B254" s="43" t="inlineStr">
        <is>
          <t>SER-LIX-SAMOSL</t>
        </is>
      </c>
      <c r="C254" s="43" t="inlineStr">
        <is>
          <t>WT-SL-SHUTTER-HIKI</t>
        </is>
      </c>
      <c r="D254" s="43" t="inlineStr">
        <is>
          <t>シャッター付引違い窓</t>
        </is>
      </c>
      <c r="E254" s="43" t="inlineStr">
        <is>
          <t>SP-SL-SHUT-E-STD</t>
        </is>
      </c>
      <c r="F254" s="43" t="inlineStr">
        <is>
          <t>在来・204</t>
        </is>
      </c>
      <c r="G254" s="43" t="inlineStr">
        <is>
          <t>11413</t>
        </is>
      </c>
      <c r="H254" s="43" t="inlineStr">
        <is>
          <t>114</t>
        </is>
      </c>
      <c r="I254" s="43" t="inlineStr">
        <is>
          <t>13</t>
        </is>
      </c>
      <c r="J254" s="222" t="n">
        <v>1185</v>
      </c>
      <c r="K254" s="222" t="n">
        <v>1370</v>
      </c>
      <c r="L254" s="43" t="inlineStr">
        <is>
          <t>在来・204｜電動</t>
        </is>
      </c>
      <c r="M254" s="178" t="b">
        <v>1</v>
      </c>
      <c r="N254" s="43" t="inlineStr">
        <is>
          <t>カタログ規格確認済み</t>
        </is>
      </c>
      <c r="O254" s="222" t="n">
        <v>36</v>
      </c>
      <c r="P254" s="222" t="n">
        <v>34</v>
      </c>
      <c r="Q254" s="43" t="inlineStr">
        <is>
          <t>202604_LIXIL_サーモスＬ_業務用資料集_完成品価格表.pdf</t>
        </is>
      </c>
      <c r="R254" s="43" t="n"/>
      <c r="S254" s="42" t="inlineStr">
        <is>
          <t>無印</t>
        </is>
      </c>
      <c r="T254" s="42" t="n">
        <v>34</v>
      </c>
      <c r="U254" s="42" t="inlineStr">
        <is>
          <t>P34|無印</t>
        </is>
      </c>
      <c r="V254" s="42" t="inlineStr">
        <is>
          <t>同頁凡例へ直接連動</t>
        </is>
      </c>
    </row>
    <row r="255">
      <c r="A255" s="43" t="inlineStr">
        <is>
          <t>SZ-SL-000252</t>
        </is>
      </c>
      <c r="B255" s="43" t="inlineStr">
        <is>
          <t>SER-LIX-SAMOSL</t>
        </is>
      </c>
      <c r="C255" s="43" t="inlineStr">
        <is>
          <t>WT-SL-SHUTTER-HIKI</t>
        </is>
      </c>
      <c r="D255" s="43" t="inlineStr">
        <is>
          <t>シャッター付引違い窓</t>
        </is>
      </c>
      <c r="E255" s="43" t="inlineStr">
        <is>
          <t>SP-SL-SHUT-E-STD</t>
        </is>
      </c>
      <c r="F255" s="43" t="inlineStr">
        <is>
          <t>在来・204</t>
        </is>
      </c>
      <c r="G255" s="43" t="inlineStr">
        <is>
          <t>11913</t>
        </is>
      </c>
      <c r="H255" s="43" t="inlineStr">
        <is>
          <t>119</t>
        </is>
      </c>
      <c r="I255" s="43" t="inlineStr">
        <is>
          <t>13</t>
        </is>
      </c>
      <c r="J255" s="222" t="n">
        <v>1235</v>
      </c>
      <c r="K255" s="222" t="n">
        <v>1370</v>
      </c>
      <c r="L255" s="43" t="inlineStr">
        <is>
          <t>在来・204｜電動</t>
        </is>
      </c>
      <c r="M255" s="178" t="b">
        <v>1</v>
      </c>
      <c r="N255" s="43" t="inlineStr">
        <is>
          <t>カタログ規格確認済み</t>
        </is>
      </c>
      <c r="O255" s="222" t="n">
        <v>36</v>
      </c>
      <c r="P255" s="222" t="n">
        <v>34</v>
      </c>
      <c r="Q255" s="43" t="inlineStr">
        <is>
          <t>202604_LIXIL_サーモスＬ_業務用資料集_完成品価格表.pdf</t>
        </is>
      </c>
      <c r="R255" s="43" t="n"/>
      <c r="S255" s="42" t="inlineStr">
        <is>
          <t>無印</t>
        </is>
      </c>
      <c r="T255" s="42" t="n">
        <v>34</v>
      </c>
      <c r="U255" s="42" t="inlineStr">
        <is>
          <t>P34|無印</t>
        </is>
      </c>
      <c r="V255" s="42" t="inlineStr">
        <is>
          <t>同頁凡例へ直接連動</t>
        </is>
      </c>
    </row>
    <row r="256">
      <c r="A256" s="43" t="inlineStr">
        <is>
          <t>SZ-SL-000253</t>
        </is>
      </c>
      <c r="B256" s="43" t="inlineStr">
        <is>
          <t>SER-LIX-SAMOSL</t>
        </is>
      </c>
      <c r="C256" s="43" t="inlineStr">
        <is>
          <t>WT-SL-SHUTTER-HIKI</t>
        </is>
      </c>
      <c r="D256" s="43" t="inlineStr">
        <is>
          <t>シャッター付引違い窓</t>
        </is>
      </c>
      <c r="E256" s="43" t="inlineStr">
        <is>
          <t>SP-SL-SHUT-E-STD</t>
        </is>
      </c>
      <c r="F256" s="43" t="inlineStr">
        <is>
          <t>在来・204</t>
        </is>
      </c>
      <c r="G256" s="43" t="inlineStr">
        <is>
          <t>12813</t>
        </is>
      </c>
      <c r="H256" s="43" t="inlineStr">
        <is>
          <t>128</t>
        </is>
      </c>
      <c r="I256" s="43" t="inlineStr">
        <is>
          <t>13</t>
        </is>
      </c>
      <c r="J256" s="222" t="n">
        <v>1320</v>
      </c>
      <c r="K256" s="222" t="n">
        <v>1370</v>
      </c>
      <c r="L256" s="43" t="inlineStr">
        <is>
          <t>在来・204｜電動</t>
        </is>
      </c>
      <c r="M256" s="178" t="b">
        <v>1</v>
      </c>
      <c r="N256" s="43" t="inlineStr">
        <is>
          <t>カタログ規格確認済み</t>
        </is>
      </c>
      <c r="O256" s="222" t="n">
        <v>36</v>
      </c>
      <c r="P256" s="222" t="n">
        <v>34</v>
      </c>
      <c r="Q256" s="43" t="inlineStr">
        <is>
          <t>202604_LIXIL_サーモスＬ_業務用資料集_完成品価格表.pdf</t>
        </is>
      </c>
      <c r="R256" s="43" t="n"/>
      <c r="S256" s="42" t="inlineStr">
        <is>
          <t>無印</t>
        </is>
      </c>
      <c r="T256" s="42" t="n">
        <v>34</v>
      </c>
      <c r="U256" s="42" t="inlineStr">
        <is>
          <t>P34|無印</t>
        </is>
      </c>
      <c r="V256" s="42" t="inlineStr">
        <is>
          <t>同頁凡例へ直接連動</t>
        </is>
      </c>
    </row>
    <row r="257">
      <c r="A257" s="43" t="inlineStr">
        <is>
          <t>SZ-SL-000254</t>
        </is>
      </c>
      <c r="B257" s="43" t="inlineStr">
        <is>
          <t>SER-LIX-SAMOSL</t>
        </is>
      </c>
      <c r="C257" s="43" t="inlineStr">
        <is>
          <t>WT-SL-SHUTTER-HIKI</t>
        </is>
      </c>
      <c r="D257" s="43" t="inlineStr">
        <is>
          <t>シャッター付引違い窓</t>
        </is>
      </c>
      <c r="E257" s="43" t="inlineStr">
        <is>
          <t>SP-SL-SHUT-E-STD</t>
        </is>
      </c>
      <c r="F257" s="43" t="inlineStr">
        <is>
          <t>在来・204</t>
        </is>
      </c>
      <c r="G257" s="43" t="inlineStr">
        <is>
          <t>13313</t>
        </is>
      </c>
      <c r="H257" s="43" t="inlineStr">
        <is>
          <t>133</t>
        </is>
      </c>
      <c r="I257" s="43" t="inlineStr">
        <is>
          <t>13</t>
        </is>
      </c>
      <c r="J257" s="222" t="n">
        <v>1370</v>
      </c>
      <c r="K257" s="222" t="n">
        <v>1370</v>
      </c>
      <c r="L257" s="43" t="inlineStr">
        <is>
          <t>在来・204｜電動</t>
        </is>
      </c>
      <c r="M257" s="178" t="b">
        <v>1</v>
      </c>
      <c r="N257" s="43" t="inlineStr">
        <is>
          <t>カタログ規格確認済み</t>
        </is>
      </c>
      <c r="O257" s="222" t="n">
        <v>36</v>
      </c>
      <c r="P257" s="222" t="n">
        <v>34</v>
      </c>
      <c r="Q257" s="43" t="inlineStr">
        <is>
          <t>202604_LIXIL_サーモスＬ_業務用資料集_完成品価格表.pdf</t>
        </is>
      </c>
      <c r="R257" s="43" t="n"/>
      <c r="S257" s="42" t="inlineStr">
        <is>
          <t>無印</t>
        </is>
      </c>
      <c r="T257" s="42" t="n">
        <v>34</v>
      </c>
      <c r="U257" s="42" t="inlineStr">
        <is>
          <t>P34|無印</t>
        </is>
      </c>
      <c r="V257" s="42" t="inlineStr">
        <is>
          <t>同頁凡例へ直接連動</t>
        </is>
      </c>
    </row>
    <row r="258">
      <c r="A258" s="43" t="inlineStr">
        <is>
          <t>SZ-SL-000255</t>
        </is>
      </c>
      <c r="B258" s="43" t="inlineStr">
        <is>
          <t>SER-LIX-SAMOSL</t>
        </is>
      </c>
      <c r="C258" s="43" t="inlineStr">
        <is>
          <t>WT-SL-SHUTTER-HIKI</t>
        </is>
      </c>
      <c r="D258" s="43" t="inlineStr">
        <is>
          <t>シャッター付引違い窓</t>
        </is>
      </c>
      <c r="E258" s="43" t="inlineStr">
        <is>
          <t>SP-SL-SHUT-E-VENT</t>
        </is>
      </c>
      <c r="F258" s="43" t="inlineStr">
        <is>
          <t>在来・204</t>
        </is>
      </c>
      <c r="G258" s="43" t="inlineStr">
        <is>
          <t>11413</t>
        </is>
      </c>
      <c r="H258" s="43" t="inlineStr">
        <is>
          <t>114</t>
        </is>
      </c>
      <c r="I258" s="43" t="inlineStr">
        <is>
          <t>13</t>
        </is>
      </c>
      <c r="J258" s="222" t="n">
        <v>1185</v>
      </c>
      <c r="K258" s="222" t="n">
        <v>1370</v>
      </c>
      <c r="L258" s="43" t="inlineStr">
        <is>
          <t>在来・204｜電動</t>
        </is>
      </c>
      <c r="M258" s="178" t="b">
        <v>1</v>
      </c>
      <c r="N258" s="43" t="inlineStr">
        <is>
          <t>カタログ個別可否確認済み</t>
        </is>
      </c>
      <c r="O258" s="222" t="n">
        <v>36</v>
      </c>
      <c r="P258" s="222" t="n">
        <v>34</v>
      </c>
      <c r="Q258" s="43" t="inlineStr">
        <is>
          <t>202604_LIXIL_サーモスＬ_業務用資料集_完成品価格表.pdf</t>
        </is>
      </c>
      <c r="R258" s="43" t="inlineStr">
        <is>
          <t>規格呼称は親品種で確認済み。固有仕様ごとの価格設定有無（＿＿表示等）は次QAで最終確定。</t>
        </is>
      </c>
      <c r="S258" s="42" t="inlineStr">
        <is>
          <t>無印</t>
        </is>
      </c>
      <c r="T258" s="42" t="n">
        <v>34</v>
      </c>
      <c r="U258" s="42" t="inlineStr">
        <is>
          <t>P34|無印</t>
        </is>
      </c>
      <c r="V258" s="42" t="inlineStr">
        <is>
          <t>同頁凡例へ直接連動</t>
        </is>
      </c>
    </row>
    <row r="259">
      <c r="A259" s="43" t="inlineStr">
        <is>
          <t>SZ-SL-000256</t>
        </is>
      </c>
      <c r="B259" s="43" t="inlineStr">
        <is>
          <t>SER-LIX-SAMOSL</t>
        </is>
      </c>
      <c r="C259" s="43" t="inlineStr">
        <is>
          <t>WT-SL-SHUTTER-HIKI</t>
        </is>
      </c>
      <c r="D259" s="43" t="inlineStr">
        <is>
          <t>シャッター付引違い窓</t>
        </is>
      </c>
      <c r="E259" s="43" t="inlineStr">
        <is>
          <t>SP-SL-SHUT-E-VENT</t>
        </is>
      </c>
      <c r="F259" s="43" t="inlineStr">
        <is>
          <t>在来・204</t>
        </is>
      </c>
      <c r="G259" s="43" t="inlineStr">
        <is>
          <t>11913</t>
        </is>
      </c>
      <c r="H259" s="43" t="inlineStr">
        <is>
          <t>119</t>
        </is>
      </c>
      <c r="I259" s="43" t="inlineStr">
        <is>
          <t>13</t>
        </is>
      </c>
      <c r="J259" s="222" t="n">
        <v>1235</v>
      </c>
      <c r="K259" s="222" t="n">
        <v>1370</v>
      </c>
      <c r="L259" s="43" t="inlineStr">
        <is>
          <t>在来・204｜電動</t>
        </is>
      </c>
      <c r="M259" s="178" t="b">
        <v>1</v>
      </c>
      <c r="N259" s="43" t="inlineStr">
        <is>
          <t>カタログ個別可否確認済み</t>
        </is>
      </c>
      <c r="O259" s="222" t="n">
        <v>36</v>
      </c>
      <c r="P259" s="222" t="n">
        <v>34</v>
      </c>
      <c r="Q259" s="43" t="inlineStr">
        <is>
          <t>202604_LIXIL_サーモスＬ_業務用資料集_完成品価格表.pdf</t>
        </is>
      </c>
      <c r="R259" s="43" t="inlineStr">
        <is>
          <t>規格呼称は親品種で確認済み。固有仕様ごとの価格設定有無（＿＿表示等）は次QAで最終確定。</t>
        </is>
      </c>
      <c r="S259" s="42" t="inlineStr">
        <is>
          <t>無印</t>
        </is>
      </c>
      <c r="T259" s="42" t="n">
        <v>34</v>
      </c>
      <c r="U259" s="42" t="inlineStr">
        <is>
          <t>P34|無印</t>
        </is>
      </c>
      <c r="V259" s="42" t="inlineStr">
        <is>
          <t>同頁凡例へ直接連動</t>
        </is>
      </c>
    </row>
    <row r="260">
      <c r="A260" s="43" t="inlineStr">
        <is>
          <t>SZ-SL-000257</t>
        </is>
      </c>
      <c r="B260" s="43" t="inlineStr">
        <is>
          <t>SER-LIX-SAMOSL</t>
        </is>
      </c>
      <c r="C260" s="43" t="inlineStr">
        <is>
          <t>WT-SL-SHUTTER-HIKI</t>
        </is>
      </c>
      <c r="D260" s="43" t="inlineStr">
        <is>
          <t>シャッター付引違い窓</t>
        </is>
      </c>
      <c r="E260" s="43" t="inlineStr">
        <is>
          <t>SP-SL-SHUT-E-VENT</t>
        </is>
      </c>
      <c r="F260" s="43" t="inlineStr">
        <is>
          <t>在来・204</t>
        </is>
      </c>
      <c r="G260" s="43" t="inlineStr">
        <is>
          <t>12813</t>
        </is>
      </c>
      <c r="H260" s="43" t="inlineStr">
        <is>
          <t>128</t>
        </is>
      </c>
      <c r="I260" s="43" t="inlineStr">
        <is>
          <t>13</t>
        </is>
      </c>
      <c r="J260" s="222" t="n">
        <v>1320</v>
      </c>
      <c r="K260" s="222" t="n">
        <v>1370</v>
      </c>
      <c r="L260" s="43" t="inlineStr">
        <is>
          <t>在来・204｜電動</t>
        </is>
      </c>
      <c r="M260" s="178" t="b">
        <v>1</v>
      </c>
      <c r="N260" s="43" t="inlineStr">
        <is>
          <t>カタログ個別可否確認済み</t>
        </is>
      </c>
      <c r="O260" s="222" t="n">
        <v>36</v>
      </c>
      <c r="P260" s="222" t="n">
        <v>34</v>
      </c>
      <c r="Q260" s="43" t="inlineStr">
        <is>
          <t>202604_LIXIL_サーモスＬ_業務用資料集_完成品価格表.pdf</t>
        </is>
      </c>
      <c r="R260" s="43" t="inlineStr">
        <is>
          <t>規格呼称は親品種で確認済み。固有仕様ごとの価格設定有無（＿＿表示等）は次QAで最終確定。</t>
        </is>
      </c>
      <c r="S260" s="42" t="inlineStr">
        <is>
          <t>無印</t>
        </is>
      </c>
      <c r="T260" s="42" t="n">
        <v>34</v>
      </c>
      <c r="U260" s="42" t="inlineStr">
        <is>
          <t>P34|無印</t>
        </is>
      </c>
      <c r="V260" s="42" t="inlineStr">
        <is>
          <t>同頁凡例へ直接連動</t>
        </is>
      </c>
    </row>
    <row r="261">
      <c r="A261" s="43" t="inlineStr">
        <is>
          <t>SZ-SL-000258</t>
        </is>
      </c>
      <c r="B261" s="43" t="inlineStr">
        <is>
          <t>SER-LIX-SAMOSL</t>
        </is>
      </c>
      <c r="C261" s="43" t="inlineStr">
        <is>
          <t>WT-SL-SHUTTER-HIKI</t>
        </is>
      </c>
      <c r="D261" s="43" t="inlineStr">
        <is>
          <t>シャッター付引違い窓</t>
        </is>
      </c>
      <c r="E261" s="43" t="inlineStr">
        <is>
          <t>SP-SL-SHUT-E-VENT</t>
        </is>
      </c>
      <c r="F261" s="43" t="inlineStr">
        <is>
          <t>在来・204</t>
        </is>
      </c>
      <c r="G261" s="43" t="inlineStr">
        <is>
          <t>13313</t>
        </is>
      </c>
      <c r="H261" s="43" t="inlineStr">
        <is>
          <t>133</t>
        </is>
      </c>
      <c r="I261" s="43" t="inlineStr">
        <is>
          <t>13</t>
        </is>
      </c>
      <c r="J261" s="222" t="n">
        <v>1370</v>
      </c>
      <c r="K261" s="222" t="n">
        <v>1370</v>
      </c>
      <c r="L261" s="43" t="inlineStr">
        <is>
          <t>在来・204｜電動</t>
        </is>
      </c>
      <c r="M261" s="178" t="b">
        <v>1</v>
      </c>
      <c r="N261" s="43" t="inlineStr">
        <is>
          <t>カタログ個別可否確認済み</t>
        </is>
      </c>
      <c r="O261" s="222" t="n">
        <v>36</v>
      </c>
      <c r="P261" s="222" t="n">
        <v>34</v>
      </c>
      <c r="Q261" s="43" t="inlineStr">
        <is>
          <t>202604_LIXIL_サーモスＬ_業務用資料集_完成品価格表.pdf</t>
        </is>
      </c>
      <c r="R261" s="43" t="inlineStr">
        <is>
          <t>規格呼称は親品種で確認済み。固有仕様ごとの価格設定有無（＿＿表示等）は次QAで最終確定。</t>
        </is>
      </c>
      <c r="S261" s="42" t="inlineStr">
        <is>
          <t>無印</t>
        </is>
      </c>
      <c r="T261" s="42" t="n">
        <v>34</v>
      </c>
      <c r="U261" s="42" t="inlineStr">
        <is>
          <t>P34|無印</t>
        </is>
      </c>
      <c r="V261" s="42" t="inlineStr">
        <is>
          <t>同頁凡例へ直接連動</t>
        </is>
      </c>
    </row>
    <row r="262">
      <c r="A262" s="43" t="inlineStr">
        <is>
          <t>SZ-SL-000259</t>
        </is>
      </c>
      <c r="B262" s="43" t="inlineStr">
        <is>
          <t>SER-LIX-SAMOSL</t>
        </is>
      </c>
      <c r="C262" s="43" t="inlineStr">
        <is>
          <t>WT-SL-SHUTTER-HIKI</t>
        </is>
      </c>
      <c r="D262" s="43" t="inlineStr">
        <is>
          <t>シャッター付引違い窓</t>
        </is>
      </c>
      <c r="E262" s="43" t="inlineStr">
        <is>
          <t>SP-SL-SHUT-E-WIND</t>
        </is>
      </c>
      <c r="F262" s="43" t="inlineStr">
        <is>
          <t>在来・204</t>
        </is>
      </c>
      <c r="G262" s="43" t="inlineStr">
        <is>
          <t>11413</t>
        </is>
      </c>
      <c r="H262" s="43" t="inlineStr">
        <is>
          <t>114</t>
        </is>
      </c>
      <c r="I262" s="43" t="inlineStr">
        <is>
          <t>13</t>
        </is>
      </c>
      <c r="J262" s="222" t="n">
        <v>1185</v>
      </c>
      <c r="K262" s="222" t="n">
        <v>1370</v>
      </c>
      <c r="L262" s="43" t="inlineStr">
        <is>
          <t>在来・204｜電動</t>
        </is>
      </c>
      <c r="M262" s="178" t="b">
        <v>1</v>
      </c>
      <c r="N262" s="43" t="inlineStr">
        <is>
          <t>カタログ個別可否確認済み</t>
        </is>
      </c>
      <c r="O262" s="222" t="n">
        <v>36</v>
      </c>
      <c r="P262" s="222" t="n">
        <v>34</v>
      </c>
      <c r="Q262" s="43" t="inlineStr">
        <is>
          <t>202604_LIXIL_サーモスＬ_業務用資料集_完成品価格表.pdf</t>
        </is>
      </c>
      <c r="R262" s="43" t="inlineStr">
        <is>
          <t>規格呼称は親品種で確認済み。固有仕様ごとの価格設定有無（＿＿表示等）は次QAで最終確定。</t>
        </is>
      </c>
      <c r="S262" s="42" t="inlineStr">
        <is>
          <t>無印</t>
        </is>
      </c>
      <c r="T262" s="42" t="n">
        <v>34</v>
      </c>
      <c r="U262" s="42" t="inlineStr">
        <is>
          <t>P34|無印</t>
        </is>
      </c>
      <c r="V262" s="42" t="inlineStr">
        <is>
          <t>同頁凡例へ直接連動</t>
        </is>
      </c>
    </row>
    <row r="263">
      <c r="A263" s="43" t="inlineStr">
        <is>
          <t>SZ-SL-000260</t>
        </is>
      </c>
      <c r="B263" s="43" t="inlineStr">
        <is>
          <t>SER-LIX-SAMOSL</t>
        </is>
      </c>
      <c r="C263" s="43" t="inlineStr">
        <is>
          <t>WT-SL-SHUTTER-HIKI</t>
        </is>
      </c>
      <c r="D263" s="43" t="inlineStr">
        <is>
          <t>シャッター付引違い窓</t>
        </is>
      </c>
      <c r="E263" s="43" t="inlineStr">
        <is>
          <t>SP-SL-SHUT-E-WIND</t>
        </is>
      </c>
      <c r="F263" s="43" t="inlineStr">
        <is>
          <t>在来・204</t>
        </is>
      </c>
      <c r="G263" s="43" t="inlineStr">
        <is>
          <t>11913</t>
        </is>
      </c>
      <c r="H263" s="43" t="inlineStr">
        <is>
          <t>119</t>
        </is>
      </c>
      <c r="I263" s="43" t="inlineStr">
        <is>
          <t>13</t>
        </is>
      </c>
      <c r="J263" s="222" t="n">
        <v>1235</v>
      </c>
      <c r="K263" s="222" t="n">
        <v>1370</v>
      </c>
      <c r="L263" s="43" t="inlineStr">
        <is>
          <t>在来・204｜電動</t>
        </is>
      </c>
      <c r="M263" s="178" t="b">
        <v>1</v>
      </c>
      <c r="N263" s="43" t="inlineStr">
        <is>
          <t>カタログ個別可否確認済み</t>
        </is>
      </c>
      <c r="O263" s="222" t="n">
        <v>36</v>
      </c>
      <c r="P263" s="222" t="n">
        <v>34</v>
      </c>
      <c r="Q263" s="43" t="inlineStr">
        <is>
          <t>202604_LIXIL_サーモスＬ_業務用資料集_完成品価格表.pdf</t>
        </is>
      </c>
      <c r="R263" s="43" t="inlineStr">
        <is>
          <t>規格呼称は親品種で確認済み。固有仕様ごとの価格設定有無（＿＿表示等）は次QAで最終確定。</t>
        </is>
      </c>
      <c r="S263" s="42" t="inlineStr">
        <is>
          <t>無印</t>
        </is>
      </c>
      <c r="T263" s="42" t="n">
        <v>34</v>
      </c>
      <c r="U263" s="42" t="inlineStr">
        <is>
          <t>P34|無印</t>
        </is>
      </c>
      <c r="V263" s="42" t="inlineStr">
        <is>
          <t>同頁凡例へ直接連動</t>
        </is>
      </c>
    </row>
    <row r="264">
      <c r="A264" s="43" t="inlineStr">
        <is>
          <t>SZ-SL-000261</t>
        </is>
      </c>
      <c r="B264" s="43" t="inlineStr">
        <is>
          <t>SER-LIX-SAMOSL</t>
        </is>
      </c>
      <c r="C264" s="43" t="inlineStr">
        <is>
          <t>WT-SL-SHUTTER-HIKI</t>
        </is>
      </c>
      <c r="D264" s="43" t="inlineStr">
        <is>
          <t>シャッター付引違い窓</t>
        </is>
      </c>
      <c r="E264" s="43" t="inlineStr">
        <is>
          <t>SP-SL-SHUT-E-WIND</t>
        </is>
      </c>
      <c r="F264" s="43" t="inlineStr">
        <is>
          <t>在来・204</t>
        </is>
      </c>
      <c r="G264" s="43" t="inlineStr">
        <is>
          <t>12813</t>
        </is>
      </c>
      <c r="H264" s="43" t="inlineStr">
        <is>
          <t>128</t>
        </is>
      </c>
      <c r="I264" s="43" t="inlineStr">
        <is>
          <t>13</t>
        </is>
      </c>
      <c r="J264" s="222" t="n">
        <v>1320</v>
      </c>
      <c r="K264" s="222" t="n">
        <v>1370</v>
      </c>
      <c r="L264" s="43" t="inlineStr">
        <is>
          <t>在来・204｜電動</t>
        </is>
      </c>
      <c r="M264" s="178" t="b">
        <v>0</v>
      </c>
      <c r="N264" s="43" t="inlineStr">
        <is>
          <t>設定なし（価格表確認済み）</t>
        </is>
      </c>
      <c r="O264" s="222" t="n">
        <v>36</v>
      </c>
      <c r="P264" s="222" t="n">
        <v>34</v>
      </c>
      <c r="Q264" s="43" t="inlineStr">
        <is>
          <t>202604_LIXIL_サーモスＬ_業務用資料集_完成品価格表.pdf</t>
        </is>
      </c>
      <c r="R264" s="43" t="inlineStr">
        <is>
          <t>規格呼称は親品種で確認済み。固有仕様ごとの価格設定有無（＿＿表示等）は次QAで最終確定。</t>
        </is>
      </c>
      <c r="S264" s="42" t="inlineStr">
        <is>
          <t>無印</t>
        </is>
      </c>
      <c r="T264" s="42" t="n">
        <v>34</v>
      </c>
      <c r="U264" s="42" t="inlineStr">
        <is>
          <t>P34|無印</t>
        </is>
      </c>
      <c r="V264" s="42" t="inlineStr">
        <is>
          <t>同頁凡例へ直接連動</t>
        </is>
      </c>
    </row>
    <row r="265">
      <c r="A265" s="43" t="inlineStr">
        <is>
          <t>SZ-SL-000262</t>
        </is>
      </c>
      <c r="B265" s="43" t="inlineStr">
        <is>
          <t>SER-LIX-SAMOSL</t>
        </is>
      </c>
      <c r="C265" s="43" t="inlineStr">
        <is>
          <t>WT-SL-SHUTTER-HIKI</t>
        </is>
      </c>
      <c r="D265" s="43" t="inlineStr">
        <is>
          <t>シャッター付引違い窓</t>
        </is>
      </c>
      <c r="E265" s="43" t="inlineStr">
        <is>
          <t>SP-SL-SHUT-E-WIND</t>
        </is>
      </c>
      <c r="F265" s="43" t="inlineStr">
        <is>
          <t>在来・204</t>
        </is>
      </c>
      <c r="G265" s="43" t="inlineStr">
        <is>
          <t>13313</t>
        </is>
      </c>
      <c r="H265" s="43" t="inlineStr">
        <is>
          <t>133</t>
        </is>
      </c>
      <c r="I265" s="43" t="inlineStr">
        <is>
          <t>13</t>
        </is>
      </c>
      <c r="J265" s="222" t="n">
        <v>1370</v>
      </c>
      <c r="K265" s="222" t="n">
        <v>1370</v>
      </c>
      <c r="L265" s="43" t="inlineStr">
        <is>
          <t>在来・204｜電動</t>
        </is>
      </c>
      <c r="M265" s="178" t="b">
        <v>0</v>
      </c>
      <c r="N265" s="43" t="inlineStr">
        <is>
          <t>設定なし（価格表確認済み）</t>
        </is>
      </c>
      <c r="O265" s="222" t="n">
        <v>36</v>
      </c>
      <c r="P265" s="222" t="n">
        <v>34</v>
      </c>
      <c r="Q265" s="43" t="inlineStr">
        <is>
          <t>202604_LIXIL_サーモスＬ_業務用資料集_完成品価格表.pdf</t>
        </is>
      </c>
      <c r="R265" s="43" t="inlineStr">
        <is>
          <t>規格呼称は親品種で確認済み。固有仕様ごとの価格設定有無（＿＿表示等）は次QAで最終確定。</t>
        </is>
      </c>
      <c r="S265" s="42" t="inlineStr">
        <is>
          <t>無印</t>
        </is>
      </c>
      <c r="T265" s="42" t="n">
        <v>34</v>
      </c>
      <c r="U265" s="42" t="inlineStr">
        <is>
          <t>P34|無印</t>
        </is>
      </c>
      <c r="V265" s="42" t="inlineStr">
        <is>
          <t>同頁凡例へ直接連動</t>
        </is>
      </c>
    </row>
    <row r="266">
      <c r="A266" s="43" t="inlineStr">
        <is>
          <t>SZ-SL-000263</t>
        </is>
      </c>
      <c r="B266" s="43" t="inlineStr">
        <is>
          <t>SER-LIX-SAMOSL</t>
        </is>
      </c>
      <c r="C266" s="43" t="inlineStr">
        <is>
          <t>WT-SL-SHUTTER-HIKI</t>
        </is>
      </c>
      <c r="D266" s="43" t="inlineStr">
        <is>
          <t>シャッター付引違い窓</t>
        </is>
      </c>
      <c r="E266" s="43" t="inlineStr">
        <is>
          <t>SP-SL-SHUT-E-STD</t>
        </is>
      </c>
      <c r="F266" s="43" t="inlineStr">
        <is>
          <t>在来・204</t>
        </is>
      </c>
      <c r="G266" s="43" t="inlineStr">
        <is>
          <t>15013</t>
        </is>
      </c>
      <c r="H266" s="43" t="inlineStr">
        <is>
          <t>150</t>
        </is>
      </c>
      <c r="I266" s="43" t="inlineStr">
        <is>
          <t>13</t>
        </is>
      </c>
      <c r="J266" s="222" t="n">
        <v>1540</v>
      </c>
      <c r="K266" s="222" t="n">
        <v>1370</v>
      </c>
      <c r="L266" s="43" t="inlineStr">
        <is>
          <t>在来・204｜電動</t>
        </is>
      </c>
      <c r="M266" s="178" t="b">
        <v>1</v>
      </c>
      <c r="N266" s="43" t="inlineStr">
        <is>
          <t>カタログ規格確認済み</t>
        </is>
      </c>
      <c r="O266" s="222" t="n">
        <v>37</v>
      </c>
      <c r="P266" s="222" t="n">
        <v>35</v>
      </c>
      <c r="Q266" s="43" t="inlineStr">
        <is>
          <t>202604_LIXIL_サーモスＬ_業務用資料集_完成品価格表.pdf</t>
        </is>
      </c>
      <c r="R266" s="43" t="n"/>
      <c r="S266" s="42" t="inlineStr">
        <is>
          <t>無印</t>
        </is>
      </c>
      <c r="T266" s="42" t="n">
        <v>34</v>
      </c>
      <c r="U266" s="42" t="inlineStr">
        <is>
          <t>P34|無印</t>
        </is>
      </c>
      <c r="V266" s="42" t="inlineStr">
        <is>
          <t>同一価格表・前頁凡例を継承</t>
        </is>
      </c>
    </row>
    <row r="267">
      <c r="A267" s="43" t="inlineStr">
        <is>
          <t>SZ-SL-000264</t>
        </is>
      </c>
      <c r="B267" s="43" t="inlineStr">
        <is>
          <t>SER-LIX-SAMOSL</t>
        </is>
      </c>
      <c r="C267" s="43" t="inlineStr">
        <is>
          <t>WT-SL-SHUTTER-HIKI</t>
        </is>
      </c>
      <c r="D267" s="43" t="inlineStr">
        <is>
          <t>シャッター付引違い窓</t>
        </is>
      </c>
      <c r="E267" s="43" t="inlineStr">
        <is>
          <t>SP-SL-SHUT-E-STD</t>
        </is>
      </c>
      <c r="F267" s="43" t="inlineStr">
        <is>
          <t>在来・204</t>
        </is>
      </c>
      <c r="G267" s="43" t="inlineStr">
        <is>
          <t>15015</t>
        </is>
      </c>
      <c r="H267" s="43" t="inlineStr">
        <is>
          <t>150</t>
        </is>
      </c>
      <c r="I267" s="43" t="inlineStr">
        <is>
          <t>15</t>
        </is>
      </c>
      <c r="J267" s="222" t="n">
        <v>1540</v>
      </c>
      <c r="K267" s="222" t="n">
        <v>1570</v>
      </c>
      <c r="L267" s="43" t="inlineStr">
        <is>
          <t>在来・204｜電動</t>
        </is>
      </c>
      <c r="M267" s="178" t="b">
        <v>1</v>
      </c>
      <c r="N267" s="43" t="inlineStr">
        <is>
          <t>カタログ規格確認済み</t>
        </is>
      </c>
      <c r="O267" s="222" t="n">
        <v>37</v>
      </c>
      <c r="P267" s="222" t="n">
        <v>35</v>
      </c>
      <c r="Q267" s="43" t="inlineStr">
        <is>
          <t>202604_LIXIL_サーモスＬ_業務用資料集_完成品価格表.pdf</t>
        </is>
      </c>
      <c r="R267" s="43" t="n"/>
      <c r="S267" s="42" t="inlineStr">
        <is>
          <t>○</t>
        </is>
      </c>
      <c r="T267" s="42" t="n">
        <v>34</v>
      </c>
      <c r="U267" s="42" t="inlineStr">
        <is>
          <t>P34|○</t>
        </is>
      </c>
      <c r="V267" s="42" t="inlineStr">
        <is>
          <t>同一価格表・前頁凡例を継承</t>
        </is>
      </c>
    </row>
    <row r="268">
      <c r="A268" s="43" t="inlineStr">
        <is>
          <t>SZ-SL-000265</t>
        </is>
      </c>
      <c r="B268" s="43" t="inlineStr">
        <is>
          <t>SER-LIX-SAMOSL</t>
        </is>
      </c>
      <c r="C268" s="43" t="inlineStr">
        <is>
          <t>WT-SL-SHUTTER-HIKI</t>
        </is>
      </c>
      <c r="D268" s="43" t="inlineStr">
        <is>
          <t>シャッター付引違い窓</t>
        </is>
      </c>
      <c r="E268" s="43" t="inlineStr">
        <is>
          <t>SP-SL-SHUT-E-STD</t>
        </is>
      </c>
      <c r="F268" s="43" t="inlineStr">
        <is>
          <t>在来・204</t>
        </is>
      </c>
      <c r="G268" s="43" t="inlineStr">
        <is>
          <t>16013</t>
        </is>
      </c>
      <c r="H268" s="43" t="inlineStr">
        <is>
          <t>160</t>
        </is>
      </c>
      <c r="I268" s="43" t="inlineStr">
        <is>
          <t>13</t>
        </is>
      </c>
      <c r="J268" s="222" t="n">
        <v>1640</v>
      </c>
      <c r="K268" s="222" t="n">
        <v>1370</v>
      </c>
      <c r="L268" s="43" t="inlineStr">
        <is>
          <t>在来・204｜電動</t>
        </is>
      </c>
      <c r="M268" s="178" t="b">
        <v>1</v>
      </c>
      <c r="N268" s="43" t="inlineStr">
        <is>
          <t>カタログ規格確認済み</t>
        </is>
      </c>
      <c r="O268" s="222" t="n">
        <v>37</v>
      </c>
      <c r="P268" s="222" t="n">
        <v>35</v>
      </c>
      <c r="Q268" s="43" t="inlineStr">
        <is>
          <t>202604_LIXIL_サーモスＬ_業務用資料集_完成品価格表.pdf</t>
        </is>
      </c>
      <c r="R268" s="43" t="n"/>
      <c r="S268" s="42" t="inlineStr">
        <is>
          <t>★</t>
        </is>
      </c>
      <c r="T268" s="42" t="n">
        <v>34</v>
      </c>
      <c r="U268" s="42" t="inlineStr">
        <is>
          <t>P34|★</t>
        </is>
      </c>
      <c r="V268" s="42" t="inlineStr">
        <is>
          <t>同一価格表・前頁凡例を継承</t>
        </is>
      </c>
    </row>
    <row r="269">
      <c r="A269" s="43" t="inlineStr">
        <is>
          <t>SZ-SL-000266</t>
        </is>
      </c>
      <c r="B269" s="43" t="inlineStr">
        <is>
          <t>SER-LIX-SAMOSL</t>
        </is>
      </c>
      <c r="C269" s="43" t="inlineStr">
        <is>
          <t>WT-SL-SHUTTER-HIKI</t>
        </is>
      </c>
      <c r="D269" s="43" t="inlineStr">
        <is>
          <t>シャッター付引違い窓</t>
        </is>
      </c>
      <c r="E269" s="43" t="inlineStr">
        <is>
          <t>SP-SL-SHUT-E-STD</t>
        </is>
      </c>
      <c r="F269" s="43" t="inlineStr">
        <is>
          <t>在来・204</t>
        </is>
      </c>
      <c r="G269" s="43" t="inlineStr">
        <is>
          <t>16015</t>
        </is>
      </c>
      <c r="H269" s="43" t="inlineStr">
        <is>
          <t>160</t>
        </is>
      </c>
      <c r="I269" s="43" t="inlineStr">
        <is>
          <t>15</t>
        </is>
      </c>
      <c r="J269" s="222" t="n">
        <v>1640</v>
      </c>
      <c r="K269" s="222" t="n">
        <v>1570</v>
      </c>
      <c r="L269" s="43" t="inlineStr">
        <is>
          <t>在来・204｜電動</t>
        </is>
      </c>
      <c r="M269" s="178" t="b">
        <v>1</v>
      </c>
      <c r="N269" s="43" t="inlineStr">
        <is>
          <t>カタログ規格確認済み</t>
        </is>
      </c>
      <c r="O269" s="222" t="n">
        <v>37</v>
      </c>
      <c r="P269" s="222" t="n">
        <v>35</v>
      </c>
      <c r="Q269" s="43" t="inlineStr">
        <is>
          <t>202604_LIXIL_サーモスＬ_業務用資料集_完成品価格表.pdf</t>
        </is>
      </c>
      <c r="R269" s="43" t="n"/>
      <c r="S269" s="42" t="inlineStr">
        <is>
          <t>○</t>
        </is>
      </c>
      <c r="T269" s="42" t="n">
        <v>34</v>
      </c>
      <c r="U269" s="42" t="inlineStr">
        <is>
          <t>P34|○</t>
        </is>
      </c>
      <c r="V269" s="42" t="inlineStr">
        <is>
          <t>同一価格表・前頁凡例を継承</t>
        </is>
      </c>
    </row>
    <row r="270">
      <c r="A270" s="43" t="inlineStr">
        <is>
          <t>SZ-SL-000267</t>
        </is>
      </c>
      <c r="B270" s="43" t="inlineStr">
        <is>
          <t>SER-LIX-SAMOSL</t>
        </is>
      </c>
      <c r="C270" s="43" t="inlineStr">
        <is>
          <t>WT-SL-SHUTTER-HIKI</t>
        </is>
      </c>
      <c r="D270" s="43" t="inlineStr">
        <is>
          <t>シャッター付引違い窓</t>
        </is>
      </c>
      <c r="E270" s="43" t="inlineStr">
        <is>
          <t>SP-SL-SHUT-E-STD</t>
        </is>
      </c>
      <c r="F270" s="43" t="inlineStr">
        <is>
          <t>在来・204</t>
        </is>
      </c>
      <c r="G270" s="43" t="inlineStr">
        <is>
          <t>16513</t>
        </is>
      </c>
      <c r="H270" s="43" t="inlineStr">
        <is>
          <t>165</t>
        </is>
      </c>
      <c r="I270" s="43" t="inlineStr">
        <is>
          <t>13</t>
        </is>
      </c>
      <c r="J270" s="222" t="n">
        <v>1690</v>
      </c>
      <c r="K270" s="222" t="n">
        <v>1370</v>
      </c>
      <c r="L270" s="43" t="inlineStr">
        <is>
          <t>在来・204｜電動</t>
        </is>
      </c>
      <c r="M270" s="178" t="b">
        <v>1</v>
      </c>
      <c r="N270" s="43" t="inlineStr">
        <is>
          <t>カタログ規格確認済み</t>
        </is>
      </c>
      <c r="O270" s="222" t="n">
        <v>37</v>
      </c>
      <c r="P270" s="222" t="n">
        <v>35</v>
      </c>
      <c r="Q270" s="43" t="inlineStr">
        <is>
          <t>202604_LIXIL_サーモスＬ_業務用資料集_完成品価格表.pdf</t>
        </is>
      </c>
      <c r="R270" s="43" t="n"/>
      <c r="S270" s="42" t="inlineStr">
        <is>
          <t>★</t>
        </is>
      </c>
      <c r="T270" s="42" t="n">
        <v>34</v>
      </c>
      <c r="U270" s="42" t="inlineStr">
        <is>
          <t>P34|★</t>
        </is>
      </c>
      <c r="V270" s="42" t="inlineStr">
        <is>
          <t>同一価格表・前頁凡例を継承</t>
        </is>
      </c>
    </row>
    <row r="271">
      <c r="A271" s="43" t="inlineStr">
        <is>
          <t>SZ-SL-000268</t>
        </is>
      </c>
      <c r="B271" s="43" t="inlineStr">
        <is>
          <t>SER-LIX-SAMOSL</t>
        </is>
      </c>
      <c r="C271" s="43" t="inlineStr">
        <is>
          <t>WT-SL-SHUTTER-HIKI</t>
        </is>
      </c>
      <c r="D271" s="43" t="inlineStr">
        <is>
          <t>シャッター付引違い窓</t>
        </is>
      </c>
      <c r="E271" s="43" t="inlineStr">
        <is>
          <t>SP-SL-SHUT-E-STD</t>
        </is>
      </c>
      <c r="F271" s="43" t="inlineStr">
        <is>
          <t>在来・204</t>
        </is>
      </c>
      <c r="G271" s="43" t="inlineStr">
        <is>
          <t>16515</t>
        </is>
      </c>
      <c r="H271" s="43" t="inlineStr">
        <is>
          <t>165</t>
        </is>
      </c>
      <c r="I271" s="43" t="inlineStr">
        <is>
          <t>15</t>
        </is>
      </c>
      <c r="J271" s="222" t="n">
        <v>1690</v>
      </c>
      <c r="K271" s="222" t="n">
        <v>1570</v>
      </c>
      <c r="L271" s="43" t="inlineStr">
        <is>
          <t>在来・204｜電動</t>
        </is>
      </c>
      <c r="M271" s="178" t="b">
        <v>1</v>
      </c>
      <c r="N271" s="43" t="inlineStr">
        <is>
          <t>カタログ規格確認済み</t>
        </is>
      </c>
      <c r="O271" s="222" t="n">
        <v>37</v>
      </c>
      <c r="P271" s="222" t="n">
        <v>35</v>
      </c>
      <c r="Q271" s="43" t="inlineStr">
        <is>
          <t>202604_LIXIL_サーモスＬ_業務用資料集_完成品価格表.pdf</t>
        </is>
      </c>
      <c r="R271" s="43" t="n"/>
      <c r="S271" s="42" t="inlineStr">
        <is>
          <t>○</t>
        </is>
      </c>
      <c r="T271" s="42" t="n">
        <v>34</v>
      </c>
      <c r="U271" s="42" t="inlineStr">
        <is>
          <t>P34|○</t>
        </is>
      </c>
      <c r="V271" s="42" t="inlineStr">
        <is>
          <t>同一価格表・前頁凡例を継承</t>
        </is>
      </c>
    </row>
    <row r="272">
      <c r="A272" s="43" t="inlineStr">
        <is>
          <t>SZ-SL-000269</t>
        </is>
      </c>
      <c r="B272" s="43" t="inlineStr">
        <is>
          <t>SER-LIX-SAMOSL</t>
        </is>
      </c>
      <c r="C272" s="43" t="inlineStr">
        <is>
          <t>WT-SL-SHUTTER-HIKI</t>
        </is>
      </c>
      <c r="D272" s="43" t="inlineStr">
        <is>
          <t>シャッター付引違い窓</t>
        </is>
      </c>
      <c r="E272" s="43" t="inlineStr">
        <is>
          <t>SP-SL-SHUT-E-STD</t>
        </is>
      </c>
      <c r="F272" s="43" t="inlineStr">
        <is>
          <t>在来・204</t>
        </is>
      </c>
      <c r="G272" s="43" t="inlineStr">
        <is>
          <t>17413</t>
        </is>
      </c>
      <c r="H272" s="43" t="inlineStr">
        <is>
          <t>174</t>
        </is>
      </c>
      <c r="I272" s="43" t="inlineStr">
        <is>
          <t>13</t>
        </is>
      </c>
      <c r="J272" s="222" t="n">
        <v>1780</v>
      </c>
      <c r="K272" s="222" t="n">
        <v>1370</v>
      </c>
      <c r="L272" s="43" t="inlineStr">
        <is>
          <t>在来・204｜電動</t>
        </is>
      </c>
      <c r="M272" s="178" t="b">
        <v>1</v>
      </c>
      <c r="N272" s="43" t="inlineStr">
        <is>
          <t>カタログ規格確認済み</t>
        </is>
      </c>
      <c r="O272" s="222" t="n">
        <v>37</v>
      </c>
      <c r="P272" s="222" t="n">
        <v>35</v>
      </c>
      <c r="Q272" s="43" t="inlineStr">
        <is>
          <t>202604_LIXIL_サーモスＬ_業務用資料集_完成品価格表.pdf</t>
        </is>
      </c>
      <c r="R272" s="43" t="n"/>
      <c r="S272" s="42" t="inlineStr">
        <is>
          <t>★</t>
        </is>
      </c>
      <c r="T272" s="42" t="n">
        <v>34</v>
      </c>
      <c r="U272" s="42" t="inlineStr">
        <is>
          <t>P34|★</t>
        </is>
      </c>
      <c r="V272" s="42" t="inlineStr">
        <is>
          <t>同一価格表・前頁凡例を継承</t>
        </is>
      </c>
    </row>
    <row r="273">
      <c r="A273" s="43" t="inlineStr">
        <is>
          <t>SZ-SL-000270</t>
        </is>
      </c>
      <c r="B273" s="43" t="inlineStr">
        <is>
          <t>SER-LIX-SAMOSL</t>
        </is>
      </c>
      <c r="C273" s="43" t="inlineStr">
        <is>
          <t>WT-SL-SHUTTER-HIKI</t>
        </is>
      </c>
      <c r="D273" s="43" t="inlineStr">
        <is>
          <t>シャッター付引違い窓</t>
        </is>
      </c>
      <c r="E273" s="43" t="inlineStr">
        <is>
          <t>SP-SL-SHUT-E-STD</t>
        </is>
      </c>
      <c r="F273" s="43" t="inlineStr">
        <is>
          <t>在来・204</t>
        </is>
      </c>
      <c r="G273" s="43" t="inlineStr">
        <is>
          <t>17613</t>
        </is>
      </c>
      <c r="H273" s="43" t="inlineStr">
        <is>
          <t>176</t>
        </is>
      </c>
      <c r="I273" s="43" t="inlineStr">
        <is>
          <t>13</t>
        </is>
      </c>
      <c r="J273" s="222" t="n">
        <v>1800</v>
      </c>
      <c r="K273" s="222" t="n">
        <v>1370</v>
      </c>
      <c r="L273" s="43" t="inlineStr">
        <is>
          <t>在来・204｜電動</t>
        </is>
      </c>
      <c r="M273" s="178" t="b">
        <v>1</v>
      </c>
      <c r="N273" s="43" t="inlineStr">
        <is>
          <t>カタログ規格確認済み</t>
        </is>
      </c>
      <c r="O273" s="222" t="n">
        <v>37</v>
      </c>
      <c r="P273" s="222" t="n">
        <v>35</v>
      </c>
      <c r="Q273" s="43" t="inlineStr">
        <is>
          <t>202604_LIXIL_サーモスＬ_業務用資料集_完成品価格表.pdf</t>
        </is>
      </c>
      <c r="R273" s="43" t="n"/>
      <c r="S273" s="42" t="inlineStr">
        <is>
          <t>★</t>
        </is>
      </c>
      <c r="T273" s="42" t="n">
        <v>34</v>
      </c>
      <c r="U273" s="42" t="inlineStr">
        <is>
          <t>P34|★</t>
        </is>
      </c>
      <c r="V273" s="42" t="inlineStr">
        <is>
          <t>同一価格表・前頁凡例を継承</t>
        </is>
      </c>
    </row>
    <row r="274">
      <c r="A274" s="43" t="inlineStr">
        <is>
          <t>SZ-SL-000271</t>
        </is>
      </c>
      <c r="B274" s="43" t="inlineStr">
        <is>
          <t>SER-LIX-SAMOSL</t>
        </is>
      </c>
      <c r="C274" s="43" t="inlineStr">
        <is>
          <t>WT-SL-SHUTTER-HIKI</t>
        </is>
      </c>
      <c r="D274" s="43" t="inlineStr">
        <is>
          <t>シャッター付引違い窓</t>
        </is>
      </c>
      <c r="E274" s="43" t="inlineStr">
        <is>
          <t>SP-SL-SHUT-E-VENT</t>
        </is>
      </c>
      <c r="F274" s="43" t="inlineStr">
        <is>
          <t>在来・204</t>
        </is>
      </c>
      <c r="G274" s="43" t="inlineStr">
        <is>
          <t>15013</t>
        </is>
      </c>
      <c r="H274" s="43" t="inlineStr">
        <is>
          <t>150</t>
        </is>
      </c>
      <c r="I274" s="43" t="inlineStr">
        <is>
          <t>13</t>
        </is>
      </c>
      <c r="J274" s="222" t="n">
        <v>1540</v>
      </c>
      <c r="K274" s="222" t="n">
        <v>1370</v>
      </c>
      <c r="L274" s="43" t="inlineStr">
        <is>
          <t>在来・204｜電動</t>
        </is>
      </c>
      <c r="M274" s="178" t="b">
        <v>1</v>
      </c>
      <c r="N274" s="43" t="inlineStr">
        <is>
          <t>カタログ個別可否確認済み</t>
        </is>
      </c>
      <c r="O274" s="222" t="n">
        <v>37</v>
      </c>
      <c r="P274" s="222" t="n">
        <v>35</v>
      </c>
      <c r="Q274" s="43" t="inlineStr">
        <is>
          <t>202604_LIXIL_サーモスＬ_業務用資料集_完成品価格表.pdf</t>
        </is>
      </c>
      <c r="R274" s="43" t="inlineStr">
        <is>
          <t>規格呼称は親品種で確認済み。固有仕様ごとの価格設定有無（＿＿表示等）は次QAで最終確定。</t>
        </is>
      </c>
      <c r="S274" s="42" t="inlineStr">
        <is>
          <t>無印</t>
        </is>
      </c>
      <c r="T274" s="42" t="n">
        <v>34</v>
      </c>
      <c r="U274" s="42" t="inlineStr">
        <is>
          <t>P34|無印</t>
        </is>
      </c>
      <c r="V274" s="42" t="inlineStr">
        <is>
          <t>同一価格表・前頁凡例を継承</t>
        </is>
      </c>
    </row>
    <row r="275">
      <c r="A275" s="43" t="inlineStr">
        <is>
          <t>SZ-SL-000272</t>
        </is>
      </c>
      <c r="B275" s="43" t="inlineStr">
        <is>
          <t>SER-LIX-SAMOSL</t>
        </is>
      </c>
      <c r="C275" s="43" t="inlineStr">
        <is>
          <t>WT-SL-SHUTTER-HIKI</t>
        </is>
      </c>
      <c r="D275" s="43" t="inlineStr">
        <is>
          <t>シャッター付引違い窓</t>
        </is>
      </c>
      <c r="E275" s="43" t="inlineStr">
        <is>
          <t>SP-SL-SHUT-E-VENT</t>
        </is>
      </c>
      <c r="F275" s="43" t="inlineStr">
        <is>
          <t>在来・204</t>
        </is>
      </c>
      <c r="G275" s="43" t="inlineStr">
        <is>
          <t>15015</t>
        </is>
      </c>
      <c r="H275" s="43" t="inlineStr">
        <is>
          <t>150</t>
        </is>
      </c>
      <c r="I275" s="43" t="inlineStr">
        <is>
          <t>15</t>
        </is>
      </c>
      <c r="J275" s="222" t="n">
        <v>1540</v>
      </c>
      <c r="K275" s="222" t="n">
        <v>1570</v>
      </c>
      <c r="L275" s="43" t="inlineStr">
        <is>
          <t>在来・204｜電動</t>
        </is>
      </c>
      <c r="M275" s="178" t="b">
        <v>1</v>
      </c>
      <c r="N275" s="43" t="inlineStr">
        <is>
          <t>カタログ個別可否確認済み</t>
        </is>
      </c>
      <c r="O275" s="222" t="n">
        <v>37</v>
      </c>
      <c r="P275" s="222" t="n">
        <v>35</v>
      </c>
      <c r="Q275" s="43" t="inlineStr">
        <is>
          <t>202604_LIXIL_サーモスＬ_業務用資料集_完成品価格表.pdf</t>
        </is>
      </c>
      <c r="R275" s="43" t="inlineStr">
        <is>
          <t>規格呼称は親品種で確認済み。固有仕様ごとの価格設定有無（＿＿表示等）は次QAで最終確定。</t>
        </is>
      </c>
      <c r="S275" s="42" t="inlineStr">
        <is>
          <t>○</t>
        </is>
      </c>
      <c r="T275" s="42" t="n">
        <v>34</v>
      </c>
      <c r="U275" s="42" t="inlineStr">
        <is>
          <t>P34|○</t>
        </is>
      </c>
      <c r="V275" s="42" t="inlineStr">
        <is>
          <t>同一価格表・前頁凡例を継承</t>
        </is>
      </c>
    </row>
    <row r="276">
      <c r="A276" s="43" t="inlineStr">
        <is>
          <t>SZ-SL-000273</t>
        </is>
      </c>
      <c r="B276" s="43" t="inlineStr">
        <is>
          <t>SER-LIX-SAMOSL</t>
        </is>
      </c>
      <c r="C276" s="43" t="inlineStr">
        <is>
          <t>WT-SL-SHUTTER-HIKI</t>
        </is>
      </c>
      <c r="D276" s="43" t="inlineStr">
        <is>
          <t>シャッター付引違い窓</t>
        </is>
      </c>
      <c r="E276" s="43" t="inlineStr">
        <is>
          <t>SP-SL-SHUT-E-VENT</t>
        </is>
      </c>
      <c r="F276" s="43" t="inlineStr">
        <is>
          <t>在来・204</t>
        </is>
      </c>
      <c r="G276" s="43" t="inlineStr">
        <is>
          <t>16013</t>
        </is>
      </c>
      <c r="H276" s="43" t="inlineStr">
        <is>
          <t>160</t>
        </is>
      </c>
      <c r="I276" s="43" t="inlineStr">
        <is>
          <t>13</t>
        </is>
      </c>
      <c r="J276" s="222" t="n">
        <v>1640</v>
      </c>
      <c r="K276" s="222" t="n">
        <v>1370</v>
      </c>
      <c r="L276" s="43" t="inlineStr">
        <is>
          <t>在来・204｜電動</t>
        </is>
      </c>
      <c r="M276" s="178" t="b">
        <v>1</v>
      </c>
      <c r="N276" s="43" t="inlineStr">
        <is>
          <t>カタログ個別可否確認済み</t>
        </is>
      </c>
      <c r="O276" s="222" t="n">
        <v>37</v>
      </c>
      <c r="P276" s="222" t="n">
        <v>35</v>
      </c>
      <c r="Q276" s="43" t="inlineStr">
        <is>
          <t>202604_LIXIL_サーモスＬ_業務用資料集_完成品価格表.pdf</t>
        </is>
      </c>
      <c r="R276" s="43" t="inlineStr">
        <is>
          <t>規格呼称は親品種で確認済み。固有仕様ごとの価格設定有無（＿＿表示等）は次QAで最終確定。</t>
        </is>
      </c>
      <c r="S276" s="42" t="inlineStr">
        <is>
          <t>★</t>
        </is>
      </c>
      <c r="T276" s="42" t="n">
        <v>34</v>
      </c>
      <c r="U276" s="42" t="inlineStr">
        <is>
          <t>P34|★</t>
        </is>
      </c>
      <c r="V276" s="42" t="inlineStr">
        <is>
          <t>同一価格表・前頁凡例を継承</t>
        </is>
      </c>
    </row>
    <row r="277">
      <c r="A277" s="43" t="inlineStr">
        <is>
          <t>SZ-SL-000274</t>
        </is>
      </c>
      <c r="B277" s="43" t="inlineStr">
        <is>
          <t>SER-LIX-SAMOSL</t>
        </is>
      </c>
      <c r="C277" s="43" t="inlineStr">
        <is>
          <t>WT-SL-SHUTTER-HIKI</t>
        </is>
      </c>
      <c r="D277" s="43" t="inlineStr">
        <is>
          <t>シャッター付引違い窓</t>
        </is>
      </c>
      <c r="E277" s="43" t="inlineStr">
        <is>
          <t>SP-SL-SHUT-E-VENT</t>
        </is>
      </c>
      <c r="F277" s="43" t="inlineStr">
        <is>
          <t>在来・204</t>
        </is>
      </c>
      <c r="G277" s="43" t="inlineStr">
        <is>
          <t>16015</t>
        </is>
      </c>
      <c r="H277" s="43" t="inlineStr">
        <is>
          <t>160</t>
        </is>
      </c>
      <c r="I277" s="43" t="inlineStr">
        <is>
          <t>15</t>
        </is>
      </c>
      <c r="J277" s="222" t="n">
        <v>1640</v>
      </c>
      <c r="K277" s="222" t="n">
        <v>1570</v>
      </c>
      <c r="L277" s="43" t="inlineStr">
        <is>
          <t>在来・204｜電動</t>
        </is>
      </c>
      <c r="M277" s="178" t="b">
        <v>1</v>
      </c>
      <c r="N277" s="43" t="inlineStr">
        <is>
          <t>カタログ個別可否確認済み</t>
        </is>
      </c>
      <c r="O277" s="222" t="n">
        <v>37</v>
      </c>
      <c r="P277" s="222" t="n">
        <v>35</v>
      </c>
      <c r="Q277" s="43" t="inlineStr">
        <is>
          <t>202604_LIXIL_サーモスＬ_業務用資料集_完成品価格表.pdf</t>
        </is>
      </c>
      <c r="R277" s="43" t="inlineStr">
        <is>
          <t>規格呼称は親品種で確認済み。固有仕様ごとの価格設定有無（＿＿表示等）は次QAで最終確定。</t>
        </is>
      </c>
      <c r="S277" s="42" t="inlineStr">
        <is>
          <t>○</t>
        </is>
      </c>
      <c r="T277" s="42" t="n">
        <v>34</v>
      </c>
      <c r="U277" s="42" t="inlineStr">
        <is>
          <t>P34|○</t>
        </is>
      </c>
      <c r="V277" s="42" t="inlineStr">
        <is>
          <t>同一価格表・前頁凡例を継承</t>
        </is>
      </c>
    </row>
    <row r="278">
      <c r="A278" s="43" t="inlineStr">
        <is>
          <t>SZ-SL-000275</t>
        </is>
      </c>
      <c r="B278" s="43" t="inlineStr">
        <is>
          <t>SER-LIX-SAMOSL</t>
        </is>
      </c>
      <c r="C278" s="43" t="inlineStr">
        <is>
          <t>WT-SL-SHUTTER-HIKI</t>
        </is>
      </c>
      <c r="D278" s="43" t="inlineStr">
        <is>
          <t>シャッター付引違い窓</t>
        </is>
      </c>
      <c r="E278" s="43" t="inlineStr">
        <is>
          <t>SP-SL-SHUT-E-VENT</t>
        </is>
      </c>
      <c r="F278" s="43" t="inlineStr">
        <is>
          <t>在来・204</t>
        </is>
      </c>
      <c r="G278" s="43" t="inlineStr">
        <is>
          <t>16513</t>
        </is>
      </c>
      <c r="H278" s="43" t="inlineStr">
        <is>
          <t>165</t>
        </is>
      </c>
      <c r="I278" s="43" t="inlineStr">
        <is>
          <t>13</t>
        </is>
      </c>
      <c r="J278" s="222" t="n">
        <v>1690</v>
      </c>
      <c r="K278" s="222" t="n">
        <v>1370</v>
      </c>
      <c r="L278" s="43" t="inlineStr">
        <is>
          <t>在来・204｜電動</t>
        </is>
      </c>
      <c r="M278" s="178" t="b">
        <v>1</v>
      </c>
      <c r="N278" s="43" t="inlineStr">
        <is>
          <t>カタログ個別可否確認済み</t>
        </is>
      </c>
      <c r="O278" s="222" t="n">
        <v>37</v>
      </c>
      <c r="P278" s="222" t="n">
        <v>35</v>
      </c>
      <c r="Q278" s="43" t="inlineStr">
        <is>
          <t>202604_LIXIL_サーモスＬ_業務用資料集_完成品価格表.pdf</t>
        </is>
      </c>
      <c r="R278" s="43" t="inlineStr">
        <is>
          <t>規格呼称は親品種で確認済み。固有仕様ごとの価格設定有無（＿＿表示等）は次QAで最終確定。</t>
        </is>
      </c>
      <c r="S278" s="42" t="inlineStr">
        <is>
          <t>★</t>
        </is>
      </c>
      <c r="T278" s="42" t="n">
        <v>34</v>
      </c>
      <c r="U278" s="42" t="inlineStr">
        <is>
          <t>P34|★</t>
        </is>
      </c>
      <c r="V278" s="42" t="inlineStr">
        <is>
          <t>同一価格表・前頁凡例を継承</t>
        </is>
      </c>
    </row>
    <row r="279">
      <c r="A279" s="43" t="inlineStr">
        <is>
          <t>SZ-SL-000276</t>
        </is>
      </c>
      <c r="B279" s="43" t="inlineStr">
        <is>
          <t>SER-LIX-SAMOSL</t>
        </is>
      </c>
      <c r="C279" s="43" t="inlineStr">
        <is>
          <t>WT-SL-SHUTTER-HIKI</t>
        </is>
      </c>
      <c r="D279" s="43" t="inlineStr">
        <is>
          <t>シャッター付引違い窓</t>
        </is>
      </c>
      <c r="E279" s="43" t="inlineStr">
        <is>
          <t>SP-SL-SHUT-E-VENT</t>
        </is>
      </c>
      <c r="F279" s="43" t="inlineStr">
        <is>
          <t>在来・204</t>
        </is>
      </c>
      <c r="G279" s="43" t="inlineStr">
        <is>
          <t>16515</t>
        </is>
      </c>
      <c r="H279" s="43" t="inlineStr">
        <is>
          <t>165</t>
        </is>
      </c>
      <c r="I279" s="43" t="inlineStr">
        <is>
          <t>15</t>
        </is>
      </c>
      <c r="J279" s="222" t="n">
        <v>1690</v>
      </c>
      <c r="K279" s="222" t="n">
        <v>1570</v>
      </c>
      <c r="L279" s="43" t="inlineStr">
        <is>
          <t>在来・204｜電動</t>
        </is>
      </c>
      <c r="M279" s="178" t="b">
        <v>1</v>
      </c>
      <c r="N279" s="43" t="inlineStr">
        <is>
          <t>カタログ個別可否確認済み</t>
        </is>
      </c>
      <c r="O279" s="222" t="n">
        <v>37</v>
      </c>
      <c r="P279" s="222" t="n">
        <v>35</v>
      </c>
      <c r="Q279" s="43" t="inlineStr">
        <is>
          <t>202604_LIXIL_サーモスＬ_業務用資料集_完成品価格表.pdf</t>
        </is>
      </c>
      <c r="R279" s="43" t="inlineStr">
        <is>
          <t>規格呼称は親品種で確認済み。固有仕様ごとの価格設定有無（＿＿表示等）は次QAで最終確定。</t>
        </is>
      </c>
      <c r="S279" s="42" t="inlineStr">
        <is>
          <t>○</t>
        </is>
      </c>
      <c r="T279" s="42" t="n">
        <v>34</v>
      </c>
      <c r="U279" s="42" t="inlineStr">
        <is>
          <t>P34|○</t>
        </is>
      </c>
      <c r="V279" s="42" t="inlineStr">
        <is>
          <t>同一価格表・前頁凡例を継承</t>
        </is>
      </c>
    </row>
    <row r="280">
      <c r="A280" s="43" t="inlineStr">
        <is>
          <t>SZ-SL-000277</t>
        </is>
      </c>
      <c r="B280" s="43" t="inlineStr">
        <is>
          <t>SER-LIX-SAMOSL</t>
        </is>
      </c>
      <c r="C280" s="43" t="inlineStr">
        <is>
          <t>WT-SL-SHUTTER-HIKI</t>
        </is>
      </c>
      <c r="D280" s="43" t="inlineStr">
        <is>
          <t>シャッター付引違い窓</t>
        </is>
      </c>
      <c r="E280" s="43" t="inlineStr">
        <is>
          <t>SP-SL-SHUT-E-VENT</t>
        </is>
      </c>
      <c r="F280" s="43" t="inlineStr">
        <is>
          <t>在来・204</t>
        </is>
      </c>
      <c r="G280" s="43" t="inlineStr">
        <is>
          <t>17413</t>
        </is>
      </c>
      <c r="H280" s="43" t="inlineStr">
        <is>
          <t>174</t>
        </is>
      </c>
      <c r="I280" s="43" t="inlineStr">
        <is>
          <t>13</t>
        </is>
      </c>
      <c r="J280" s="222" t="n">
        <v>1780</v>
      </c>
      <c r="K280" s="222" t="n">
        <v>1370</v>
      </c>
      <c r="L280" s="43" t="inlineStr">
        <is>
          <t>在来・204｜電動</t>
        </is>
      </c>
      <c r="M280" s="178" t="b">
        <v>1</v>
      </c>
      <c r="N280" s="43" t="inlineStr">
        <is>
          <t>カタログ個別可否確認済み</t>
        </is>
      </c>
      <c r="O280" s="222" t="n">
        <v>37</v>
      </c>
      <c r="P280" s="222" t="n">
        <v>35</v>
      </c>
      <c r="Q280" s="43" t="inlineStr">
        <is>
          <t>202604_LIXIL_サーモスＬ_業務用資料集_完成品価格表.pdf</t>
        </is>
      </c>
      <c r="R280" s="43" t="inlineStr">
        <is>
          <t>規格呼称は親品種で確認済み。固有仕様ごとの価格設定有無（＿＿表示等）は次QAで最終確定。</t>
        </is>
      </c>
      <c r="S280" s="42" t="inlineStr">
        <is>
          <t>★</t>
        </is>
      </c>
      <c r="T280" s="42" t="n">
        <v>34</v>
      </c>
      <c r="U280" s="42" t="inlineStr">
        <is>
          <t>P34|★</t>
        </is>
      </c>
      <c r="V280" s="42" t="inlineStr">
        <is>
          <t>同一価格表・前頁凡例を継承</t>
        </is>
      </c>
    </row>
    <row r="281">
      <c r="A281" s="43" t="inlineStr">
        <is>
          <t>SZ-SL-000278</t>
        </is>
      </c>
      <c r="B281" s="43" t="inlineStr">
        <is>
          <t>SER-LIX-SAMOSL</t>
        </is>
      </c>
      <c r="C281" s="43" t="inlineStr">
        <is>
          <t>WT-SL-SHUTTER-HIKI</t>
        </is>
      </c>
      <c r="D281" s="43" t="inlineStr">
        <is>
          <t>シャッター付引違い窓</t>
        </is>
      </c>
      <c r="E281" s="43" t="inlineStr">
        <is>
          <t>SP-SL-SHUT-E-VENT</t>
        </is>
      </c>
      <c r="F281" s="43" t="inlineStr">
        <is>
          <t>在来・204</t>
        </is>
      </c>
      <c r="G281" s="43" t="inlineStr">
        <is>
          <t>17613</t>
        </is>
      </c>
      <c r="H281" s="43" t="inlineStr">
        <is>
          <t>176</t>
        </is>
      </c>
      <c r="I281" s="43" t="inlineStr">
        <is>
          <t>13</t>
        </is>
      </c>
      <c r="J281" s="222" t="n">
        <v>1800</v>
      </c>
      <c r="K281" s="222" t="n">
        <v>1370</v>
      </c>
      <c r="L281" s="43" t="inlineStr">
        <is>
          <t>在来・204｜電動</t>
        </is>
      </c>
      <c r="M281" s="178" t="b">
        <v>1</v>
      </c>
      <c r="N281" s="43" t="inlineStr">
        <is>
          <t>カタログ個別可否確認済み</t>
        </is>
      </c>
      <c r="O281" s="222" t="n">
        <v>37</v>
      </c>
      <c r="P281" s="222" t="n">
        <v>35</v>
      </c>
      <c r="Q281" s="43" t="inlineStr">
        <is>
          <t>202604_LIXIL_サーモスＬ_業務用資料集_完成品価格表.pdf</t>
        </is>
      </c>
      <c r="R281" s="43" t="inlineStr">
        <is>
          <t>規格呼称は親品種で確認済み。固有仕様ごとの価格設定有無（＿＿表示等）は次QAで最終確定。</t>
        </is>
      </c>
      <c r="S281" s="42" t="inlineStr">
        <is>
          <t>★</t>
        </is>
      </c>
      <c r="T281" s="42" t="n">
        <v>34</v>
      </c>
      <c r="U281" s="42" t="inlineStr">
        <is>
          <t>P34|★</t>
        </is>
      </c>
      <c r="V281" s="42" t="inlineStr">
        <is>
          <t>同一価格表・前頁凡例を継承</t>
        </is>
      </c>
    </row>
    <row r="282">
      <c r="A282" s="43" t="inlineStr">
        <is>
          <t>SZ-SL-000279</t>
        </is>
      </c>
      <c r="B282" s="43" t="inlineStr">
        <is>
          <t>SER-LIX-SAMOSL</t>
        </is>
      </c>
      <c r="C282" s="43" t="inlineStr">
        <is>
          <t>WT-SL-SHUTTER-HIKI</t>
        </is>
      </c>
      <c r="D282" s="43" t="inlineStr">
        <is>
          <t>シャッター付引違い窓</t>
        </is>
      </c>
      <c r="E282" s="43" t="inlineStr">
        <is>
          <t>SP-SL-SHUT-E-WIND</t>
        </is>
      </c>
      <c r="F282" s="43" t="inlineStr">
        <is>
          <t>在来・204</t>
        </is>
      </c>
      <c r="G282" s="43" t="inlineStr">
        <is>
          <t>15013</t>
        </is>
      </c>
      <c r="H282" s="43" t="inlineStr">
        <is>
          <t>150</t>
        </is>
      </c>
      <c r="I282" s="43" t="inlineStr">
        <is>
          <t>13</t>
        </is>
      </c>
      <c r="J282" s="222" t="n">
        <v>1540</v>
      </c>
      <c r="K282" s="222" t="n">
        <v>1370</v>
      </c>
      <c r="L282" s="43" t="inlineStr">
        <is>
          <t>在来・204｜電動</t>
        </is>
      </c>
      <c r="M282" s="178" t="b">
        <v>1</v>
      </c>
      <c r="N282" s="43" t="inlineStr">
        <is>
          <t>カタログ個別可否確認済み</t>
        </is>
      </c>
      <c r="O282" s="222" t="n">
        <v>37</v>
      </c>
      <c r="P282" s="222" t="n">
        <v>35</v>
      </c>
      <c r="Q282" s="43" t="inlineStr">
        <is>
          <t>202604_LIXIL_サーモスＬ_業務用資料集_完成品価格表.pdf</t>
        </is>
      </c>
      <c r="R282" s="43" t="inlineStr">
        <is>
          <t>規格呼称は親品種で確認済み。固有仕様ごとの価格設定有無（＿＿表示等）は次QAで最終確定。</t>
        </is>
      </c>
      <c r="S282" s="42" t="inlineStr">
        <is>
          <t>無印</t>
        </is>
      </c>
      <c r="T282" s="42" t="n">
        <v>34</v>
      </c>
      <c r="U282" s="42" t="inlineStr">
        <is>
          <t>P34|無印</t>
        </is>
      </c>
      <c r="V282" s="42" t="inlineStr">
        <is>
          <t>同一価格表・前頁凡例を継承</t>
        </is>
      </c>
    </row>
    <row r="283">
      <c r="A283" s="43" t="inlineStr">
        <is>
          <t>SZ-SL-000280</t>
        </is>
      </c>
      <c r="B283" s="43" t="inlineStr">
        <is>
          <t>SER-LIX-SAMOSL</t>
        </is>
      </c>
      <c r="C283" s="43" t="inlineStr">
        <is>
          <t>WT-SL-SHUTTER-HIKI</t>
        </is>
      </c>
      <c r="D283" s="43" t="inlineStr">
        <is>
          <t>シャッター付引違い窓</t>
        </is>
      </c>
      <c r="E283" s="43" t="inlineStr">
        <is>
          <t>SP-SL-SHUT-E-WIND</t>
        </is>
      </c>
      <c r="F283" s="43" t="inlineStr">
        <is>
          <t>在来・204</t>
        </is>
      </c>
      <c r="G283" s="43" t="inlineStr">
        <is>
          <t>15015</t>
        </is>
      </c>
      <c r="H283" s="43" t="inlineStr">
        <is>
          <t>150</t>
        </is>
      </c>
      <c r="I283" s="43" t="inlineStr">
        <is>
          <t>15</t>
        </is>
      </c>
      <c r="J283" s="222" t="n">
        <v>1540</v>
      </c>
      <c r="K283" s="222" t="n">
        <v>1570</v>
      </c>
      <c r="L283" s="43" t="inlineStr">
        <is>
          <t>在来・204｜電動</t>
        </is>
      </c>
      <c r="M283" s="178" t="b">
        <v>1</v>
      </c>
      <c r="N283" s="43" t="inlineStr">
        <is>
          <t>カタログ個別可否確認済み</t>
        </is>
      </c>
      <c r="O283" s="222" t="n">
        <v>37</v>
      </c>
      <c r="P283" s="222" t="n">
        <v>35</v>
      </c>
      <c r="Q283" s="43" t="inlineStr">
        <is>
          <t>202604_LIXIL_サーモスＬ_業務用資料集_完成品価格表.pdf</t>
        </is>
      </c>
      <c r="R283" s="43" t="inlineStr">
        <is>
          <t>規格呼称は親品種で確認済み。固有仕様ごとの価格設定有無（＿＿表示等）は次QAで最終確定。</t>
        </is>
      </c>
      <c r="S283" s="42" t="inlineStr">
        <is>
          <t>○</t>
        </is>
      </c>
      <c r="T283" s="42" t="n">
        <v>34</v>
      </c>
      <c r="U283" s="42" t="inlineStr">
        <is>
          <t>P34|○</t>
        </is>
      </c>
      <c r="V283" s="42" t="inlineStr">
        <is>
          <t>同一価格表・前頁凡例を継承</t>
        </is>
      </c>
    </row>
    <row r="284">
      <c r="A284" s="43" t="inlineStr">
        <is>
          <t>SZ-SL-000281</t>
        </is>
      </c>
      <c r="B284" s="43" t="inlineStr">
        <is>
          <t>SER-LIX-SAMOSL</t>
        </is>
      </c>
      <c r="C284" s="43" t="inlineStr">
        <is>
          <t>WT-SL-SHUTTER-HIKI</t>
        </is>
      </c>
      <c r="D284" s="43" t="inlineStr">
        <is>
          <t>シャッター付引違い窓</t>
        </is>
      </c>
      <c r="E284" s="43" t="inlineStr">
        <is>
          <t>SP-SL-SHUT-E-WIND</t>
        </is>
      </c>
      <c r="F284" s="43" t="inlineStr">
        <is>
          <t>在来・204</t>
        </is>
      </c>
      <c r="G284" s="43" t="inlineStr">
        <is>
          <t>16013</t>
        </is>
      </c>
      <c r="H284" s="43" t="inlineStr">
        <is>
          <t>160</t>
        </is>
      </c>
      <c r="I284" s="43" t="inlineStr">
        <is>
          <t>13</t>
        </is>
      </c>
      <c r="J284" s="222" t="n">
        <v>1640</v>
      </c>
      <c r="K284" s="222" t="n">
        <v>1370</v>
      </c>
      <c r="L284" s="43" t="inlineStr">
        <is>
          <t>在来・204｜電動</t>
        </is>
      </c>
      <c r="M284" s="178" t="b">
        <v>1</v>
      </c>
      <c r="N284" s="43" t="inlineStr">
        <is>
          <t>カタログ個別可否確認済み</t>
        </is>
      </c>
      <c r="O284" s="222" t="n">
        <v>37</v>
      </c>
      <c r="P284" s="222" t="n">
        <v>35</v>
      </c>
      <c r="Q284" s="43" t="inlineStr">
        <is>
          <t>202604_LIXIL_サーモスＬ_業務用資料集_完成品価格表.pdf</t>
        </is>
      </c>
      <c r="R284" s="43" t="inlineStr">
        <is>
          <t>規格呼称は親品種で確認済み。固有仕様ごとの価格設定有無（＿＿表示等）は次QAで最終確定。</t>
        </is>
      </c>
      <c r="S284" s="42" t="inlineStr">
        <is>
          <t>★</t>
        </is>
      </c>
      <c r="T284" s="42" t="n">
        <v>34</v>
      </c>
      <c r="U284" s="42" t="inlineStr">
        <is>
          <t>P34|★</t>
        </is>
      </c>
      <c r="V284" s="42" t="inlineStr">
        <is>
          <t>同一価格表・前頁凡例を継承</t>
        </is>
      </c>
    </row>
    <row r="285">
      <c r="A285" s="43" t="inlineStr">
        <is>
          <t>SZ-SL-000282</t>
        </is>
      </c>
      <c r="B285" s="43" t="inlineStr">
        <is>
          <t>SER-LIX-SAMOSL</t>
        </is>
      </c>
      <c r="C285" s="43" t="inlineStr">
        <is>
          <t>WT-SL-SHUTTER-HIKI</t>
        </is>
      </c>
      <c r="D285" s="43" t="inlineStr">
        <is>
          <t>シャッター付引違い窓</t>
        </is>
      </c>
      <c r="E285" s="43" t="inlineStr">
        <is>
          <t>SP-SL-SHUT-E-WIND</t>
        </is>
      </c>
      <c r="F285" s="43" t="inlineStr">
        <is>
          <t>在来・204</t>
        </is>
      </c>
      <c r="G285" s="43" t="inlineStr">
        <is>
          <t>16015</t>
        </is>
      </c>
      <c r="H285" s="43" t="inlineStr">
        <is>
          <t>160</t>
        </is>
      </c>
      <c r="I285" s="43" t="inlineStr">
        <is>
          <t>15</t>
        </is>
      </c>
      <c r="J285" s="222" t="n">
        <v>1640</v>
      </c>
      <c r="K285" s="222" t="n">
        <v>1570</v>
      </c>
      <c r="L285" s="43" t="inlineStr">
        <is>
          <t>在来・204｜電動</t>
        </is>
      </c>
      <c r="M285" s="178" t="b">
        <v>1</v>
      </c>
      <c r="N285" s="43" t="inlineStr">
        <is>
          <t>カタログ個別可否確認済み</t>
        </is>
      </c>
      <c r="O285" s="222" t="n">
        <v>37</v>
      </c>
      <c r="P285" s="222" t="n">
        <v>35</v>
      </c>
      <c r="Q285" s="43" t="inlineStr">
        <is>
          <t>202604_LIXIL_サーモスＬ_業務用資料集_完成品価格表.pdf</t>
        </is>
      </c>
      <c r="R285" s="43" t="inlineStr">
        <is>
          <t>規格呼称は親品種で確認済み。固有仕様ごとの価格設定有無（＿＿表示等）は次QAで最終確定。</t>
        </is>
      </c>
      <c r="S285" s="42" t="inlineStr">
        <is>
          <t>○</t>
        </is>
      </c>
      <c r="T285" s="42" t="n">
        <v>34</v>
      </c>
      <c r="U285" s="42" t="inlineStr">
        <is>
          <t>P34|○</t>
        </is>
      </c>
      <c r="V285" s="42" t="inlineStr">
        <is>
          <t>同一価格表・前頁凡例を継承</t>
        </is>
      </c>
    </row>
    <row r="286">
      <c r="A286" s="43" t="inlineStr">
        <is>
          <t>SZ-SL-000283</t>
        </is>
      </c>
      <c r="B286" s="43" t="inlineStr">
        <is>
          <t>SER-LIX-SAMOSL</t>
        </is>
      </c>
      <c r="C286" s="43" t="inlineStr">
        <is>
          <t>WT-SL-SHUTTER-HIKI</t>
        </is>
      </c>
      <c r="D286" s="43" t="inlineStr">
        <is>
          <t>シャッター付引違い窓</t>
        </is>
      </c>
      <c r="E286" s="43" t="inlineStr">
        <is>
          <t>SP-SL-SHUT-E-WIND</t>
        </is>
      </c>
      <c r="F286" s="43" t="inlineStr">
        <is>
          <t>在来・204</t>
        </is>
      </c>
      <c r="G286" s="43" t="inlineStr">
        <is>
          <t>16513</t>
        </is>
      </c>
      <c r="H286" s="43" t="inlineStr">
        <is>
          <t>165</t>
        </is>
      </c>
      <c r="I286" s="43" t="inlineStr">
        <is>
          <t>13</t>
        </is>
      </c>
      <c r="J286" s="222" t="n">
        <v>1690</v>
      </c>
      <c r="K286" s="222" t="n">
        <v>1370</v>
      </c>
      <c r="L286" s="43" t="inlineStr">
        <is>
          <t>在来・204｜電動</t>
        </is>
      </c>
      <c r="M286" s="178" t="b">
        <v>1</v>
      </c>
      <c r="N286" s="43" t="inlineStr">
        <is>
          <t>カタログ個別可否確認済み</t>
        </is>
      </c>
      <c r="O286" s="222" t="n">
        <v>37</v>
      </c>
      <c r="P286" s="222" t="n">
        <v>35</v>
      </c>
      <c r="Q286" s="43" t="inlineStr">
        <is>
          <t>202604_LIXIL_サーモスＬ_業務用資料集_完成品価格表.pdf</t>
        </is>
      </c>
      <c r="R286" s="43" t="inlineStr">
        <is>
          <t>規格呼称は親品種で確認済み。固有仕様ごとの価格設定有無（＿＿表示等）は次QAで最終確定。</t>
        </is>
      </c>
      <c r="S286" s="42" t="inlineStr">
        <is>
          <t>★</t>
        </is>
      </c>
      <c r="T286" s="42" t="n">
        <v>34</v>
      </c>
      <c r="U286" s="42" t="inlineStr">
        <is>
          <t>P34|★</t>
        </is>
      </c>
      <c r="V286" s="42" t="inlineStr">
        <is>
          <t>同一価格表・前頁凡例を継承</t>
        </is>
      </c>
    </row>
    <row r="287">
      <c r="A287" s="43" t="inlineStr">
        <is>
          <t>SZ-SL-000284</t>
        </is>
      </c>
      <c r="B287" s="43" t="inlineStr">
        <is>
          <t>SER-LIX-SAMOSL</t>
        </is>
      </c>
      <c r="C287" s="43" t="inlineStr">
        <is>
          <t>WT-SL-SHUTTER-HIKI</t>
        </is>
      </c>
      <c r="D287" s="43" t="inlineStr">
        <is>
          <t>シャッター付引違い窓</t>
        </is>
      </c>
      <c r="E287" s="43" t="inlineStr">
        <is>
          <t>SP-SL-SHUT-E-WIND</t>
        </is>
      </c>
      <c r="F287" s="43" t="inlineStr">
        <is>
          <t>在来・204</t>
        </is>
      </c>
      <c r="G287" s="43" t="inlineStr">
        <is>
          <t>16515</t>
        </is>
      </c>
      <c r="H287" s="43" t="inlineStr">
        <is>
          <t>165</t>
        </is>
      </c>
      <c r="I287" s="43" t="inlineStr">
        <is>
          <t>15</t>
        </is>
      </c>
      <c r="J287" s="222" t="n">
        <v>1690</v>
      </c>
      <c r="K287" s="222" t="n">
        <v>1570</v>
      </c>
      <c r="L287" s="43" t="inlineStr">
        <is>
          <t>在来・204｜電動</t>
        </is>
      </c>
      <c r="M287" s="178" t="b">
        <v>1</v>
      </c>
      <c r="N287" s="43" t="inlineStr">
        <is>
          <t>カタログ個別可否確認済み</t>
        </is>
      </c>
      <c r="O287" s="222" t="n">
        <v>37</v>
      </c>
      <c r="P287" s="222" t="n">
        <v>35</v>
      </c>
      <c r="Q287" s="43" t="inlineStr">
        <is>
          <t>202604_LIXIL_サーモスＬ_業務用資料集_完成品価格表.pdf</t>
        </is>
      </c>
      <c r="R287" s="43" t="inlineStr">
        <is>
          <t>規格呼称は親品種で確認済み。固有仕様ごとの価格設定有無（＿＿表示等）は次QAで最終確定。</t>
        </is>
      </c>
      <c r="S287" s="42" t="inlineStr">
        <is>
          <t>○</t>
        </is>
      </c>
      <c r="T287" s="42" t="n">
        <v>34</v>
      </c>
      <c r="U287" s="42" t="inlineStr">
        <is>
          <t>P34|○</t>
        </is>
      </c>
      <c r="V287" s="42" t="inlineStr">
        <is>
          <t>同一価格表・前頁凡例を継承</t>
        </is>
      </c>
    </row>
    <row r="288">
      <c r="A288" s="43" t="inlineStr">
        <is>
          <t>SZ-SL-000285</t>
        </is>
      </c>
      <c r="B288" s="43" t="inlineStr">
        <is>
          <t>SER-LIX-SAMOSL</t>
        </is>
      </c>
      <c r="C288" s="43" t="inlineStr">
        <is>
          <t>WT-SL-SHUTTER-HIKI</t>
        </is>
      </c>
      <c r="D288" s="43" t="inlineStr">
        <is>
          <t>シャッター付引違い窓</t>
        </is>
      </c>
      <c r="E288" s="43" t="inlineStr">
        <is>
          <t>SP-SL-SHUT-E-WIND</t>
        </is>
      </c>
      <c r="F288" s="43" t="inlineStr">
        <is>
          <t>在来・204</t>
        </is>
      </c>
      <c r="G288" s="43" t="inlineStr">
        <is>
          <t>17413</t>
        </is>
      </c>
      <c r="H288" s="43" t="inlineStr">
        <is>
          <t>174</t>
        </is>
      </c>
      <c r="I288" s="43" t="inlineStr">
        <is>
          <t>13</t>
        </is>
      </c>
      <c r="J288" s="222" t="n">
        <v>1780</v>
      </c>
      <c r="K288" s="222" t="n">
        <v>1370</v>
      </c>
      <c r="L288" s="43" t="inlineStr">
        <is>
          <t>在来・204｜電動</t>
        </is>
      </c>
      <c r="M288" s="178" t="b">
        <v>0</v>
      </c>
      <c r="N288" s="43" t="inlineStr">
        <is>
          <t>設定なし（価格表確認済み）</t>
        </is>
      </c>
      <c r="O288" s="222" t="n">
        <v>37</v>
      </c>
      <c r="P288" s="222" t="n">
        <v>35</v>
      </c>
      <c r="Q288" s="43" t="inlineStr">
        <is>
          <t>202604_LIXIL_サーモスＬ_業務用資料集_完成品価格表.pdf</t>
        </is>
      </c>
      <c r="R288" s="43" t="inlineStr">
        <is>
          <t>規格呼称は親品種で確認済み。固有仕様ごとの価格設定有無（＿＿表示等）は次QAで最終確定。</t>
        </is>
      </c>
      <c r="S288" s="42" t="inlineStr">
        <is>
          <t>★</t>
        </is>
      </c>
      <c r="T288" s="42" t="n">
        <v>34</v>
      </c>
      <c r="U288" s="42" t="inlineStr">
        <is>
          <t>P34|★</t>
        </is>
      </c>
      <c r="V288" s="42" t="inlineStr">
        <is>
          <t>同一価格表・前頁凡例を継承</t>
        </is>
      </c>
    </row>
    <row r="289">
      <c r="A289" s="43" t="inlineStr">
        <is>
          <t>SZ-SL-000286</t>
        </is>
      </c>
      <c r="B289" s="43" t="inlineStr">
        <is>
          <t>SER-LIX-SAMOSL</t>
        </is>
      </c>
      <c r="C289" s="43" t="inlineStr">
        <is>
          <t>WT-SL-SHUTTER-HIKI</t>
        </is>
      </c>
      <c r="D289" s="43" t="inlineStr">
        <is>
          <t>シャッター付引違い窓</t>
        </is>
      </c>
      <c r="E289" s="43" t="inlineStr">
        <is>
          <t>SP-SL-SHUT-E-WIND</t>
        </is>
      </c>
      <c r="F289" s="43" t="inlineStr">
        <is>
          <t>在来・204</t>
        </is>
      </c>
      <c r="G289" s="43" t="inlineStr">
        <is>
          <t>17613</t>
        </is>
      </c>
      <c r="H289" s="43" t="inlineStr">
        <is>
          <t>176</t>
        </is>
      </c>
      <c r="I289" s="43" t="inlineStr">
        <is>
          <t>13</t>
        </is>
      </c>
      <c r="J289" s="222" t="n">
        <v>1800</v>
      </c>
      <c r="K289" s="222" t="n">
        <v>1370</v>
      </c>
      <c r="L289" s="43" t="inlineStr">
        <is>
          <t>在来・204｜電動</t>
        </is>
      </c>
      <c r="M289" s="178" t="b">
        <v>0</v>
      </c>
      <c r="N289" s="43" t="inlineStr">
        <is>
          <t>設定なし（価格表確認済み）</t>
        </is>
      </c>
      <c r="O289" s="222" t="n">
        <v>37</v>
      </c>
      <c r="P289" s="222" t="n">
        <v>35</v>
      </c>
      <c r="Q289" s="43" t="inlineStr">
        <is>
          <t>202604_LIXIL_サーモスＬ_業務用資料集_完成品価格表.pdf</t>
        </is>
      </c>
      <c r="R289" s="43" t="inlineStr">
        <is>
          <t>規格呼称は親品種で確認済み。固有仕様ごとの価格設定有無（＿＿表示等）は次QAで最終確定。</t>
        </is>
      </c>
      <c r="S289" s="42" t="inlineStr">
        <is>
          <t>★</t>
        </is>
      </c>
      <c r="T289" s="42" t="n">
        <v>34</v>
      </c>
      <c r="U289" s="42" t="inlineStr">
        <is>
          <t>P34|★</t>
        </is>
      </c>
      <c r="V289" s="42" t="inlineStr">
        <is>
          <t>同一価格表・前頁凡例を継承</t>
        </is>
      </c>
    </row>
    <row r="290">
      <c r="A290" s="43" t="inlineStr">
        <is>
          <t>SZ-SL-000287</t>
        </is>
      </c>
      <c r="B290" s="43" t="inlineStr">
        <is>
          <t>SER-LIX-SAMOSL</t>
        </is>
      </c>
      <c r="C290" s="43" t="inlineStr">
        <is>
          <t>WT-SL-SHUTTER-HIKI</t>
        </is>
      </c>
      <c r="D290" s="43" t="inlineStr">
        <is>
          <t>シャッター付引違い窓</t>
        </is>
      </c>
      <c r="E290" s="43" t="inlineStr">
        <is>
          <t>SP-SL-SHUT-E-STD</t>
        </is>
      </c>
      <c r="F290" s="43" t="inlineStr">
        <is>
          <t>在来・204</t>
        </is>
      </c>
      <c r="G290" s="43" t="inlineStr">
        <is>
          <t>18013</t>
        </is>
      </c>
      <c r="H290" s="43" t="inlineStr">
        <is>
          <t>180</t>
        </is>
      </c>
      <c r="I290" s="43" t="inlineStr">
        <is>
          <t>13</t>
        </is>
      </c>
      <c r="J290" s="222" t="n">
        <v>1845</v>
      </c>
      <c r="K290" s="222" t="n">
        <v>1370</v>
      </c>
      <c r="L290" s="43" t="inlineStr">
        <is>
          <t>在来・204｜電動</t>
        </is>
      </c>
      <c r="M290" s="178" t="b">
        <v>1</v>
      </c>
      <c r="N290" s="43" t="inlineStr">
        <is>
          <t>カタログ規格確認済み</t>
        </is>
      </c>
      <c r="O290" s="222" t="n">
        <v>38</v>
      </c>
      <c r="P290" s="222" t="n">
        <v>36</v>
      </c>
      <c r="Q290" s="43" t="inlineStr">
        <is>
          <t>202604_LIXIL_サーモスＬ_業務用資料集_完成品価格表.pdf</t>
        </is>
      </c>
      <c r="R290" s="43" t="n"/>
      <c r="S290" s="42" t="inlineStr">
        <is>
          <t>★</t>
        </is>
      </c>
      <c r="T290" s="42" t="n">
        <v>36</v>
      </c>
      <c r="U290" s="42" t="inlineStr">
        <is>
          <t>P36|★</t>
        </is>
      </c>
      <c r="V290" s="42" t="inlineStr">
        <is>
          <t>同頁凡例へ直接連動</t>
        </is>
      </c>
    </row>
    <row r="291">
      <c r="A291" s="43" t="inlineStr">
        <is>
          <t>SZ-SL-000288</t>
        </is>
      </c>
      <c r="B291" s="43" t="inlineStr">
        <is>
          <t>SER-LIX-SAMOSL</t>
        </is>
      </c>
      <c r="C291" s="43" t="inlineStr">
        <is>
          <t>WT-SL-SHUTTER-HIKI</t>
        </is>
      </c>
      <c r="D291" s="43" t="inlineStr">
        <is>
          <t>シャッター付引違い窓</t>
        </is>
      </c>
      <c r="E291" s="43" t="inlineStr">
        <is>
          <t>SP-SL-SHUT-E-STD</t>
        </is>
      </c>
      <c r="F291" s="43" t="inlineStr">
        <is>
          <t>在来・204</t>
        </is>
      </c>
      <c r="G291" s="43" t="inlineStr">
        <is>
          <t>18613</t>
        </is>
      </c>
      <c r="H291" s="43" t="inlineStr">
        <is>
          <t>186</t>
        </is>
      </c>
      <c r="I291" s="43" t="inlineStr">
        <is>
          <t>13</t>
        </is>
      </c>
      <c r="J291" s="222" t="n">
        <v>1900</v>
      </c>
      <c r="K291" s="222" t="n">
        <v>1370</v>
      </c>
      <c r="L291" s="43" t="inlineStr">
        <is>
          <t>在来・204｜電動</t>
        </is>
      </c>
      <c r="M291" s="178" t="b">
        <v>1</v>
      </c>
      <c r="N291" s="43" t="inlineStr">
        <is>
          <t>カタログ規格確認済み</t>
        </is>
      </c>
      <c r="O291" s="222" t="n">
        <v>38</v>
      </c>
      <c r="P291" s="222" t="n">
        <v>36</v>
      </c>
      <c r="Q291" s="43" t="inlineStr">
        <is>
          <t>202604_LIXIL_サーモスＬ_業務用資料集_完成品価格表.pdf</t>
        </is>
      </c>
      <c r="R291" s="43" t="n"/>
      <c r="S291" s="42" t="inlineStr">
        <is>
          <t>★</t>
        </is>
      </c>
      <c r="T291" s="42" t="n">
        <v>36</v>
      </c>
      <c r="U291" s="42" t="inlineStr">
        <is>
          <t>P36|★</t>
        </is>
      </c>
      <c r="V291" s="42" t="inlineStr">
        <is>
          <t>同頁凡例へ直接連動</t>
        </is>
      </c>
    </row>
    <row r="292">
      <c r="A292" s="43" t="inlineStr">
        <is>
          <t>SZ-SL-000289</t>
        </is>
      </c>
      <c r="B292" s="43" t="inlineStr">
        <is>
          <t>SER-LIX-SAMOSL</t>
        </is>
      </c>
      <c r="C292" s="43" t="inlineStr">
        <is>
          <t>WT-SL-SHUTTER-HIKI</t>
        </is>
      </c>
      <c r="D292" s="43" t="inlineStr">
        <is>
          <t>シャッター付引違い窓</t>
        </is>
      </c>
      <c r="E292" s="43" t="inlineStr">
        <is>
          <t>SP-SL-SHUT-E-VENT</t>
        </is>
      </c>
      <c r="F292" s="43" t="inlineStr">
        <is>
          <t>在来・204</t>
        </is>
      </c>
      <c r="G292" s="43" t="inlineStr">
        <is>
          <t>18013</t>
        </is>
      </c>
      <c r="H292" s="43" t="inlineStr">
        <is>
          <t>180</t>
        </is>
      </c>
      <c r="I292" s="43" t="inlineStr">
        <is>
          <t>13</t>
        </is>
      </c>
      <c r="J292" s="222" t="n">
        <v>1845</v>
      </c>
      <c r="K292" s="222" t="n">
        <v>1370</v>
      </c>
      <c r="L292" s="43" t="inlineStr">
        <is>
          <t>在来・204｜電動</t>
        </is>
      </c>
      <c r="M292" s="178" t="b">
        <v>1</v>
      </c>
      <c r="N292" s="43" t="inlineStr">
        <is>
          <t>カタログ個別可否確認済み</t>
        </is>
      </c>
      <c r="O292" s="222" t="n">
        <v>38</v>
      </c>
      <c r="P292" s="222" t="n">
        <v>36</v>
      </c>
      <c r="Q292" s="43" t="inlineStr">
        <is>
          <t>202604_LIXIL_サーモスＬ_業務用資料集_完成品価格表.pdf</t>
        </is>
      </c>
      <c r="R292" s="43" t="inlineStr">
        <is>
          <t>規格呼称は親品種で確認済み。固有仕様ごとの価格設定有無（＿＿表示等）は次QAで最終確定。</t>
        </is>
      </c>
      <c r="S292" s="42" t="inlineStr">
        <is>
          <t>★</t>
        </is>
      </c>
      <c r="T292" s="42" t="n">
        <v>36</v>
      </c>
      <c r="U292" s="42" t="inlineStr">
        <is>
          <t>P36|★</t>
        </is>
      </c>
      <c r="V292" s="42" t="inlineStr">
        <is>
          <t>同頁凡例へ直接連動</t>
        </is>
      </c>
    </row>
    <row r="293">
      <c r="A293" s="43" t="inlineStr">
        <is>
          <t>SZ-SL-000290</t>
        </is>
      </c>
      <c r="B293" s="43" t="inlineStr">
        <is>
          <t>SER-LIX-SAMOSL</t>
        </is>
      </c>
      <c r="C293" s="43" t="inlineStr">
        <is>
          <t>WT-SL-SHUTTER-HIKI</t>
        </is>
      </c>
      <c r="D293" s="43" t="inlineStr">
        <is>
          <t>シャッター付引違い窓</t>
        </is>
      </c>
      <c r="E293" s="43" t="inlineStr">
        <is>
          <t>SP-SL-SHUT-E-VENT</t>
        </is>
      </c>
      <c r="F293" s="43" t="inlineStr">
        <is>
          <t>在来・204</t>
        </is>
      </c>
      <c r="G293" s="43" t="inlineStr">
        <is>
          <t>18613</t>
        </is>
      </c>
      <c r="H293" s="43" t="inlineStr">
        <is>
          <t>186</t>
        </is>
      </c>
      <c r="I293" s="43" t="inlineStr">
        <is>
          <t>13</t>
        </is>
      </c>
      <c r="J293" s="222" t="n">
        <v>1900</v>
      </c>
      <c r="K293" s="222" t="n">
        <v>1370</v>
      </c>
      <c r="L293" s="43" t="inlineStr">
        <is>
          <t>在来・204｜電動</t>
        </is>
      </c>
      <c r="M293" s="178" t="b">
        <v>1</v>
      </c>
      <c r="N293" s="43" t="inlineStr">
        <is>
          <t>カタログ個別可否確認済み</t>
        </is>
      </c>
      <c r="O293" s="222" t="n">
        <v>38</v>
      </c>
      <c r="P293" s="222" t="n">
        <v>36</v>
      </c>
      <c r="Q293" s="43" t="inlineStr">
        <is>
          <t>202604_LIXIL_サーモスＬ_業務用資料集_完成品価格表.pdf</t>
        </is>
      </c>
      <c r="R293" s="43" t="inlineStr">
        <is>
          <t>規格呼称は親品種で確認済み。固有仕様ごとの価格設定有無（＿＿表示等）は次QAで最終確定。</t>
        </is>
      </c>
      <c r="S293" s="42" t="inlineStr">
        <is>
          <t>★</t>
        </is>
      </c>
      <c r="T293" s="42" t="n">
        <v>36</v>
      </c>
      <c r="U293" s="42" t="inlineStr">
        <is>
          <t>P36|★</t>
        </is>
      </c>
      <c r="V293" s="42" t="inlineStr">
        <is>
          <t>同頁凡例へ直接連動</t>
        </is>
      </c>
    </row>
    <row r="294">
      <c r="A294" s="43" t="inlineStr">
        <is>
          <t>SZ-SL-000291</t>
        </is>
      </c>
      <c r="B294" s="43" t="inlineStr">
        <is>
          <t>SER-LIX-SAMOSL</t>
        </is>
      </c>
      <c r="C294" s="43" t="inlineStr">
        <is>
          <t>WT-SL-SHUTTER-HIKI</t>
        </is>
      </c>
      <c r="D294" s="43" t="inlineStr">
        <is>
          <t>シャッター付引違い窓</t>
        </is>
      </c>
      <c r="E294" s="43" t="inlineStr">
        <is>
          <t>SP-SL-SHUT-E-WIND</t>
        </is>
      </c>
      <c r="F294" s="43" t="inlineStr">
        <is>
          <t>在来・204</t>
        </is>
      </c>
      <c r="G294" s="43" t="inlineStr">
        <is>
          <t>18013</t>
        </is>
      </c>
      <c r="H294" s="43" t="inlineStr">
        <is>
          <t>180</t>
        </is>
      </c>
      <c r="I294" s="43" t="inlineStr">
        <is>
          <t>13</t>
        </is>
      </c>
      <c r="J294" s="222" t="n">
        <v>1845</v>
      </c>
      <c r="K294" s="222" t="n">
        <v>1370</v>
      </c>
      <c r="L294" s="43" t="inlineStr">
        <is>
          <t>在来・204｜電動</t>
        </is>
      </c>
      <c r="M294" s="178" t="b">
        <v>0</v>
      </c>
      <c r="N294" s="43" t="inlineStr">
        <is>
          <t>設定なし（価格表確認済み）</t>
        </is>
      </c>
      <c r="O294" s="222" t="n">
        <v>38</v>
      </c>
      <c r="P294" s="222" t="n">
        <v>36</v>
      </c>
      <c r="Q294" s="43" t="inlineStr">
        <is>
          <t>202604_LIXIL_サーモスＬ_業務用資料集_完成品価格表.pdf</t>
        </is>
      </c>
      <c r="R294" s="43" t="inlineStr">
        <is>
          <t>規格呼称は親品種で確認済み。固有仕様ごとの価格設定有無（＿＿表示等）は次QAで最終確定。</t>
        </is>
      </c>
      <c r="S294" s="42" t="inlineStr">
        <is>
          <t>★</t>
        </is>
      </c>
      <c r="T294" s="42" t="n">
        <v>36</v>
      </c>
      <c r="U294" s="42" t="inlineStr">
        <is>
          <t>P36|★</t>
        </is>
      </c>
      <c r="V294" s="42" t="inlineStr">
        <is>
          <t>同頁凡例へ直接連動</t>
        </is>
      </c>
    </row>
    <row r="295">
      <c r="A295" s="43" t="inlineStr">
        <is>
          <t>SZ-SL-000292</t>
        </is>
      </c>
      <c r="B295" s="43" t="inlineStr">
        <is>
          <t>SER-LIX-SAMOSL</t>
        </is>
      </c>
      <c r="C295" s="43" t="inlineStr">
        <is>
          <t>WT-SL-SHUTTER-HIKI</t>
        </is>
      </c>
      <c r="D295" s="43" t="inlineStr">
        <is>
          <t>シャッター付引違い窓</t>
        </is>
      </c>
      <c r="E295" s="43" t="inlineStr">
        <is>
          <t>SP-SL-SHUT-E-WIND</t>
        </is>
      </c>
      <c r="F295" s="43" t="inlineStr">
        <is>
          <t>在来・204</t>
        </is>
      </c>
      <c r="G295" s="43" t="inlineStr">
        <is>
          <t>18613</t>
        </is>
      </c>
      <c r="H295" s="43" t="inlineStr">
        <is>
          <t>186</t>
        </is>
      </c>
      <c r="I295" s="43" t="inlineStr">
        <is>
          <t>13</t>
        </is>
      </c>
      <c r="J295" s="222" t="n">
        <v>1900</v>
      </c>
      <c r="K295" s="222" t="n">
        <v>1370</v>
      </c>
      <c r="L295" s="43" t="inlineStr">
        <is>
          <t>在来・204｜電動</t>
        </is>
      </c>
      <c r="M295" s="178" t="b">
        <v>0</v>
      </c>
      <c r="N295" s="43" t="inlineStr">
        <is>
          <t>設定なし（価格表確認済み）</t>
        </is>
      </c>
      <c r="O295" s="222" t="n">
        <v>38</v>
      </c>
      <c r="P295" s="222" t="n">
        <v>36</v>
      </c>
      <c r="Q295" s="43" t="inlineStr">
        <is>
          <t>202604_LIXIL_サーモスＬ_業務用資料集_完成品価格表.pdf</t>
        </is>
      </c>
      <c r="R295" s="43" t="inlineStr">
        <is>
          <t>規格呼称は親品種で確認済み。固有仕様ごとの価格設定有無（＿＿表示等）は次QAで最終確定。</t>
        </is>
      </c>
      <c r="S295" s="42" t="inlineStr">
        <is>
          <t>★</t>
        </is>
      </c>
      <c r="T295" s="42" t="n">
        <v>36</v>
      </c>
      <c r="U295" s="42" t="inlineStr">
        <is>
          <t>P36|★</t>
        </is>
      </c>
      <c r="V295" s="42" t="inlineStr">
        <is>
          <t>同頁凡例へ直接連動</t>
        </is>
      </c>
    </row>
    <row r="296">
      <c r="A296" s="43" t="inlineStr">
        <is>
          <t>SZ-SL-000293</t>
        </is>
      </c>
      <c r="B296" s="43" t="inlineStr">
        <is>
          <t>SER-LIX-SAMOSL</t>
        </is>
      </c>
      <c r="C296" s="43" t="inlineStr">
        <is>
          <t>WT-SL-SHUTTER-HIKI</t>
        </is>
      </c>
      <c r="D296" s="43" t="inlineStr">
        <is>
          <t>シャッター付引違い窓</t>
        </is>
      </c>
      <c r="E296" s="43" t="inlineStr">
        <is>
          <t>SP-SL-SHUT-E-STD</t>
        </is>
      </c>
      <c r="F296" s="43" t="inlineStr">
        <is>
          <t>在来・204</t>
        </is>
      </c>
      <c r="G296" s="43" t="inlineStr">
        <is>
          <t>25113-2</t>
        </is>
      </c>
      <c r="H296" s="43" t="inlineStr">
        <is>
          <t>251-2</t>
        </is>
      </c>
      <c r="I296" s="43" t="inlineStr">
        <is>
          <t>13</t>
        </is>
      </c>
      <c r="J296" s="222" t="n">
        <v>2550</v>
      </c>
      <c r="K296" s="222" t="n">
        <v>1370</v>
      </c>
      <c r="L296" s="43" t="inlineStr">
        <is>
          <t>在来・204｜電動</t>
        </is>
      </c>
      <c r="M296" s="178" t="b">
        <v>1</v>
      </c>
      <c r="N296" s="43" t="inlineStr">
        <is>
          <t>カタログ規格確認済み</t>
        </is>
      </c>
      <c r="O296" s="222" t="n">
        <v>39</v>
      </c>
      <c r="P296" s="222" t="n">
        <v>37</v>
      </c>
      <c r="Q296" s="43" t="inlineStr">
        <is>
          <t>202604_LIXIL_サーモスＬ_業務用資料集_完成品価格表.pdf</t>
        </is>
      </c>
      <c r="R296" s="43" t="n"/>
      <c r="S296" s="42" t="inlineStr">
        <is>
          <t>●</t>
        </is>
      </c>
      <c r="T296" s="42" t="n">
        <v>36</v>
      </c>
      <c r="U296" s="42" t="inlineStr">
        <is>
          <t>P36|●</t>
        </is>
      </c>
      <c r="V296" s="42" t="inlineStr">
        <is>
          <t>同一価格表・前頁凡例を継承</t>
        </is>
      </c>
    </row>
    <row r="297">
      <c r="A297" s="43" t="inlineStr">
        <is>
          <t>SZ-SL-000294</t>
        </is>
      </c>
      <c r="B297" s="43" t="inlineStr">
        <is>
          <t>SER-LIX-SAMOSL</t>
        </is>
      </c>
      <c r="C297" s="43" t="inlineStr">
        <is>
          <t>WT-SL-SHUTTER-HIKI</t>
        </is>
      </c>
      <c r="D297" s="43" t="inlineStr">
        <is>
          <t>シャッター付引違い窓</t>
        </is>
      </c>
      <c r="E297" s="43" t="inlineStr">
        <is>
          <t>SP-SL-SHUT-E-STD</t>
        </is>
      </c>
      <c r="F297" s="43" t="inlineStr">
        <is>
          <t>在来・204</t>
        </is>
      </c>
      <c r="G297" s="43" t="inlineStr">
        <is>
          <t>25113-4</t>
        </is>
      </c>
      <c r="H297" s="43" t="inlineStr">
        <is>
          <t>251-4</t>
        </is>
      </c>
      <c r="I297" s="43" t="inlineStr">
        <is>
          <t>13</t>
        </is>
      </c>
      <c r="J297" s="222" t="n">
        <v>2550</v>
      </c>
      <c r="K297" s="222" t="n">
        <v>1370</v>
      </c>
      <c r="L297" s="43" t="inlineStr">
        <is>
          <t>在来・204｜電動</t>
        </is>
      </c>
      <c r="M297" s="178" t="b">
        <v>1</v>
      </c>
      <c r="N297" s="43" t="inlineStr">
        <is>
          <t>カタログ規格確認済み</t>
        </is>
      </c>
      <c r="O297" s="222" t="n">
        <v>39</v>
      </c>
      <c r="P297" s="222" t="n">
        <v>37</v>
      </c>
      <c r="Q297" s="43" t="inlineStr">
        <is>
          <t>202604_LIXIL_サーモスＬ_業務用資料集_完成品価格表.pdf</t>
        </is>
      </c>
      <c r="R297" s="43" t="n"/>
      <c r="S297" s="42" t="inlineStr">
        <is>
          <t>無印</t>
        </is>
      </c>
      <c r="T297" s="42" t="n">
        <v>36</v>
      </c>
      <c r="U297" s="42" t="inlineStr">
        <is>
          <t>P36|無印</t>
        </is>
      </c>
      <c r="V297" s="42" t="inlineStr">
        <is>
          <t>同一価格表・前頁凡例を継承</t>
        </is>
      </c>
    </row>
    <row r="298">
      <c r="A298" s="43" t="inlineStr">
        <is>
          <t>SZ-SL-000295</t>
        </is>
      </c>
      <c r="B298" s="43" t="inlineStr">
        <is>
          <t>SER-LIX-SAMOSL</t>
        </is>
      </c>
      <c r="C298" s="43" t="inlineStr">
        <is>
          <t>WT-SL-SHUTTER-HIKI</t>
        </is>
      </c>
      <c r="D298" s="43" t="inlineStr">
        <is>
          <t>シャッター付引違い窓</t>
        </is>
      </c>
      <c r="E298" s="43" t="inlineStr">
        <is>
          <t>SP-SL-SHUT-E-STD</t>
        </is>
      </c>
      <c r="F298" s="43" t="inlineStr">
        <is>
          <t>在来・204</t>
        </is>
      </c>
      <c r="G298" s="43" t="inlineStr">
        <is>
          <t>25613-2</t>
        </is>
      </c>
      <c r="H298" s="43" t="inlineStr">
        <is>
          <t>256-2</t>
        </is>
      </c>
      <c r="I298" s="43" t="inlineStr">
        <is>
          <t>13</t>
        </is>
      </c>
      <c r="J298" s="222" t="n">
        <v>2600</v>
      </c>
      <c r="K298" s="222" t="n">
        <v>1370</v>
      </c>
      <c r="L298" s="43" t="inlineStr">
        <is>
          <t>在来・204｜電動</t>
        </is>
      </c>
      <c r="M298" s="178" t="b">
        <v>1</v>
      </c>
      <c r="N298" s="43" t="inlineStr">
        <is>
          <t>カタログ規格確認済み</t>
        </is>
      </c>
      <c r="O298" s="222" t="n">
        <v>39</v>
      </c>
      <c r="P298" s="222" t="n">
        <v>37</v>
      </c>
      <c r="Q298" s="43" t="inlineStr">
        <is>
          <t>202604_LIXIL_サーモスＬ_業務用資料集_完成品価格表.pdf</t>
        </is>
      </c>
      <c r="R298" s="43" t="n"/>
      <c r="S298" s="42" t="inlineStr">
        <is>
          <t>●</t>
        </is>
      </c>
      <c r="T298" s="42" t="n">
        <v>36</v>
      </c>
      <c r="U298" s="42" t="inlineStr">
        <is>
          <t>P36|●</t>
        </is>
      </c>
      <c r="V298" s="42" t="inlineStr">
        <is>
          <t>同一価格表・前頁凡例を継承</t>
        </is>
      </c>
    </row>
    <row r="299">
      <c r="A299" s="43" t="inlineStr">
        <is>
          <t>SZ-SL-000296</t>
        </is>
      </c>
      <c r="B299" s="43" t="inlineStr">
        <is>
          <t>SER-LIX-SAMOSL</t>
        </is>
      </c>
      <c r="C299" s="43" t="inlineStr">
        <is>
          <t>WT-SL-SHUTTER-HIKI</t>
        </is>
      </c>
      <c r="D299" s="43" t="inlineStr">
        <is>
          <t>シャッター付引違い窓</t>
        </is>
      </c>
      <c r="E299" s="43" t="inlineStr">
        <is>
          <t>SP-SL-SHUT-E-STD</t>
        </is>
      </c>
      <c r="F299" s="43" t="inlineStr">
        <is>
          <t>在来・204</t>
        </is>
      </c>
      <c r="G299" s="43" t="inlineStr">
        <is>
          <t>25613-4</t>
        </is>
      </c>
      <c r="H299" s="43" t="inlineStr">
        <is>
          <t>256-4</t>
        </is>
      </c>
      <c r="I299" s="43" t="inlineStr">
        <is>
          <t>13</t>
        </is>
      </c>
      <c r="J299" s="222" t="n">
        <v>2600</v>
      </c>
      <c r="K299" s="222" t="n">
        <v>1370</v>
      </c>
      <c r="L299" s="43" t="inlineStr">
        <is>
          <t>在来・204｜電動</t>
        </is>
      </c>
      <c r="M299" s="178" t="b">
        <v>1</v>
      </c>
      <c r="N299" s="43" t="inlineStr">
        <is>
          <t>カタログ規格確認済み</t>
        </is>
      </c>
      <c r="O299" s="222" t="n">
        <v>39</v>
      </c>
      <c r="P299" s="222" t="n">
        <v>37</v>
      </c>
      <c r="Q299" s="43" t="inlineStr">
        <is>
          <t>202604_LIXIL_サーモスＬ_業務用資料集_完成品価格表.pdf</t>
        </is>
      </c>
      <c r="R299" s="43" t="n"/>
      <c r="S299" s="42" t="inlineStr">
        <is>
          <t>無印</t>
        </is>
      </c>
      <c r="T299" s="42" t="n">
        <v>36</v>
      </c>
      <c r="U299" s="42" t="inlineStr">
        <is>
          <t>P36|無印</t>
        </is>
      </c>
      <c r="V299" s="42" t="inlineStr">
        <is>
          <t>同一価格表・前頁凡例を継承</t>
        </is>
      </c>
    </row>
    <row r="300">
      <c r="A300" s="43" t="inlineStr">
        <is>
          <t>SZ-SL-000297</t>
        </is>
      </c>
      <c r="B300" s="43" t="inlineStr">
        <is>
          <t>SER-LIX-SAMOSL</t>
        </is>
      </c>
      <c r="C300" s="43" t="inlineStr">
        <is>
          <t>WT-SL-SHUTTER-HIKI</t>
        </is>
      </c>
      <c r="D300" s="43" t="inlineStr">
        <is>
          <t>シャッター付引違い窓</t>
        </is>
      </c>
      <c r="E300" s="43" t="inlineStr">
        <is>
          <t>SP-SL-SHUT-E-VENT</t>
        </is>
      </c>
      <c r="F300" s="43" t="inlineStr">
        <is>
          <t>在来・204</t>
        </is>
      </c>
      <c r="G300" s="43" t="inlineStr">
        <is>
          <t>25113-2</t>
        </is>
      </c>
      <c r="H300" s="43" t="inlineStr">
        <is>
          <t>251-2</t>
        </is>
      </c>
      <c r="I300" s="43" t="inlineStr">
        <is>
          <t>13</t>
        </is>
      </c>
      <c r="J300" s="222" t="n">
        <v>2550</v>
      </c>
      <c r="K300" s="222" t="n">
        <v>1370</v>
      </c>
      <c r="L300" s="43" t="inlineStr">
        <is>
          <t>在来・204｜電動</t>
        </is>
      </c>
      <c r="M300" s="178" t="b">
        <v>1</v>
      </c>
      <c r="N300" s="43" t="inlineStr">
        <is>
          <t>カタログ個別可否確認済み</t>
        </is>
      </c>
      <c r="O300" s="222" t="n">
        <v>39</v>
      </c>
      <c r="P300" s="222" t="n">
        <v>37</v>
      </c>
      <c r="Q300" s="43" t="inlineStr">
        <is>
          <t>202604_LIXIL_サーモスＬ_業務用資料集_完成品価格表.pdf</t>
        </is>
      </c>
      <c r="R300" s="43" t="inlineStr">
        <is>
          <t>規格呼称は親品種で確認済み。固有仕様ごとの価格設定有無（＿＿表示等）は次QAで最終確定。</t>
        </is>
      </c>
      <c r="S300" s="42" t="inlineStr">
        <is>
          <t>●</t>
        </is>
      </c>
      <c r="T300" s="42" t="n">
        <v>36</v>
      </c>
      <c r="U300" s="42" t="inlineStr">
        <is>
          <t>P36|●</t>
        </is>
      </c>
      <c r="V300" s="42" t="inlineStr">
        <is>
          <t>同一価格表・前頁凡例を継承</t>
        </is>
      </c>
    </row>
    <row r="301">
      <c r="A301" s="43" t="inlineStr">
        <is>
          <t>SZ-SL-000298</t>
        </is>
      </c>
      <c r="B301" s="43" t="inlineStr">
        <is>
          <t>SER-LIX-SAMOSL</t>
        </is>
      </c>
      <c r="C301" s="43" t="inlineStr">
        <is>
          <t>WT-SL-SHUTTER-HIKI</t>
        </is>
      </c>
      <c r="D301" s="43" t="inlineStr">
        <is>
          <t>シャッター付引違い窓</t>
        </is>
      </c>
      <c r="E301" s="43" t="inlineStr">
        <is>
          <t>SP-SL-SHUT-E-VENT</t>
        </is>
      </c>
      <c r="F301" s="43" t="inlineStr">
        <is>
          <t>在来・204</t>
        </is>
      </c>
      <c r="G301" s="43" t="inlineStr">
        <is>
          <t>25113-4</t>
        </is>
      </c>
      <c r="H301" s="43" t="inlineStr">
        <is>
          <t>251-4</t>
        </is>
      </c>
      <c r="I301" s="43" t="inlineStr">
        <is>
          <t>13</t>
        </is>
      </c>
      <c r="J301" s="222" t="n">
        <v>2550</v>
      </c>
      <c r="K301" s="222" t="n">
        <v>1370</v>
      </c>
      <c r="L301" s="43" t="inlineStr">
        <is>
          <t>在来・204｜電動</t>
        </is>
      </c>
      <c r="M301" s="178" t="b">
        <v>1</v>
      </c>
      <c r="N301" s="43" t="inlineStr">
        <is>
          <t>カタログ個別可否確認済み</t>
        </is>
      </c>
      <c r="O301" s="222" t="n">
        <v>39</v>
      </c>
      <c r="P301" s="222" t="n">
        <v>37</v>
      </c>
      <c r="Q301" s="43" t="inlineStr">
        <is>
          <t>202604_LIXIL_サーモスＬ_業務用資料集_完成品価格表.pdf</t>
        </is>
      </c>
      <c r="R301" s="43" t="inlineStr">
        <is>
          <t>規格呼称は親品種で確認済み。固有仕様ごとの価格設定有無（＿＿表示等）は次QAで最終確定。</t>
        </is>
      </c>
      <c r="S301" s="42" t="inlineStr">
        <is>
          <t>無印</t>
        </is>
      </c>
      <c r="T301" s="42" t="n">
        <v>36</v>
      </c>
      <c r="U301" s="42" t="inlineStr">
        <is>
          <t>P36|無印</t>
        </is>
      </c>
      <c r="V301" s="42" t="inlineStr">
        <is>
          <t>同一価格表・前頁凡例を継承</t>
        </is>
      </c>
    </row>
    <row r="302">
      <c r="A302" s="43" t="inlineStr">
        <is>
          <t>SZ-SL-000299</t>
        </is>
      </c>
      <c r="B302" s="43" t="inlineStr">
        <is>
          <t>SER-LIX-SAMOSL</t>
        </is>
      </c>
      <c r="C302" s="43" t="inlineStr">
        <is>
          <t>WT-SL-SHUTTER-HIKI</t>
        </is>
      </c>
      <c r="D302" s="43" t="inlineStr">
        <is>
          <t>シャッター付引違い窓</t>
        </is>
      </c>
      <c r="E302" s="43" t="inlineStr">
        <is>
          <t>SP-SL-SHUT-E-VENT</t>
        </is>
      </c>
      <c r="F302" s="43" t="inlineStr">
        <is>
          <t>在来・204</t>
        </is>
      </c>
      <c r="G302" s="43" t="inlineStr">
        <is>
          <t>25613-2</t>
        </is>
      </c>
      <c r="H302" s="43" t="inlineStr">
        <is>
          <t>256-2</t>
        </is>
      </c>
      <c r="I302" s="43" t="inlineStr">
        <is>
          <t>13</t>
        </is>
      </c>
      <c r="J302" s="222" t="n">
        <v>2600</v>
      </c>
      <c r="K302" s="222" t="n">
        <v>1370</v>
      </c>
      <c r="L302" s="43" t="inlineStr">
        <is>
          <t>在来・204｜電動</t>
        </is>
      </c>
      <c r="M302" s="178" t="b">
        <v>1</v>
      </c>
      <c r="N302" s="43" t="inlineStr">
        <is>
          <t>カタログ個別可否確認済み</t>
        </is>
      </c>
      <c r="O302" s="222" t="n">
        <v>39</v>
      </c>
      <c r="P302" s="222" t="n">
        <v>37</v>
      </c>
      <c r="Q302" s="43" t="inlineStr">
        <is>
          <t>202604_LIXIL_サーモスＬ_業務用資料集_完成品価格表.pdf</t>
        </is>
      </c>
      <c r="R302" s="43" t="inlineStr">
        <is>
          <t>規格呼称は親品種で確認済み。固有仕様ごとの価格設定有無（＿＿表示等）は次QAで最終確定。</t>
        </is>
      </c>
      <c r="S302" s="42" t="inlineStr">
        <is>
          <t>●</t>
        </is>
      </c>
      <c r="T302" s="42" t="n">
        <v>36</v>
      </c>
      <c r="U302" s="42" t="inlineStr">
        <is>
          <t>P36|●</t>
        </is>
      </c>
      <c r="V302" s="42" t="inlineStr">
        <is>
          <t>同一価格表・前頁凡例を継承</t>
        </is>
      </c>
    </row>
    <row r="303">
      <c r="A303" s="43" t="inlineStr">
        <is>
          <t>SZ-SL-000300</t>
        </is>
      </c>
      <c r="B303" s="43" t="inlineStr">
        <is>
          <t>SER-LIX-SAMOSL</t>
        </is>
      </c>
      <c r="C303" s="43" t="inlineStr">
        <is>
          <t>WT-SL-SHUTTER-HIKI</t>
        </is>
      </c>
      <c r="D303" s="43" t="inlineStr">
        <is>
          <t>シャッター付引違い窓</t>
        </is>
      </c>
      <c r="E303" s="43" t="inlineStr">
        <is>
          <t>SP-SL-SHUT-E-VENT</t>
        </is>
      </c>
      <c r="F303" s="43" t="inlineStr">
        <is>
          <t>在来・204</t>
        </is>
      </c>
      <c r="G303" s="43" t="inlineStr">
        <is>
          <t>25613-4</t>
        </is>
      </c>
      <c r="H303" s="43" t="inlineStr">
        <is>
          <t>256-4</t>
        </is>
      </c>
      <c r="I303" s="43" t="inlineStr">
        <is>
          <t>13</t>
        </is>
      </c>
      <c r="J303" s="222" t="n">
        <v>2600</v>
      </c>
      <c r="K303" s="222" t="n">
        <v>1370</v>
      </c>
      <c r="L303" s="43" t="inlineStr">
        <is>
          <t>在来・204｜電動</t>
        </is>
      </c>
      <c r="M303" s="178" t="b">
        <v>1</v>
      </c>
      <c r="N303" s="43" t="inlineStr">
        <is>
          <t>カタログ個別可否確認済み</t>
        </is>
      </c>
      <c r="O303" s="222" t="n">
        <v>39</v>
      </c>
      <c r="P303" s="222" t="n">
        <v>37</v>
      </c>
      <c r="Q303" s="43" t="inlineStr">
        <is>
          <t>202604_LIXIL_サーモスＬ_業務用資料集_完成品価格表.pdf</t>
        </is>
      </c>
      <c r="R303" s="43" t="inlineStr">
        <is>
          <t>規格呼称は親品種で確認済み。固有仕様ごとの価格設定有無（＿＿表示等）は次QAで最終確定。</t>
        </is>
      </c>
      <c r="S303" s="42" t="inlineStr">
        <is>
          <t>無印</t>
        </is>
      </c>
      <c r="T303" s="42" t="n">
        <v>36</v>
      </c>
      <c r="U303" s="42" t="inlineStr">
        <is>
          <t>P36|無印</t>
        </is>
      </c>
      <c r="V303" s="42" t="inlineStr">
        <is>
          <t>同一価格表・前頁凡例を継承</t>
        </is>
      </c>
    </row>
    <row r="304">
      <c r="A304" s="43" t="inlineStr">
        <is>
          <t>SZ-SL-000301</t>
        </is>
      </c>
      <c r="B304" s="43" t="inlineStr">
        <is>
          <t>SER-LIX-SAMOSL</t>
        </is>
      </c>
      <c r="C304" s="43" t="inlineStr">
        <is>
          <t>WT-SL-SHUTTER-HIKI</t>
        </is>
      </c>
      <c r="D304" s="43" t="inlineStr">
        <is>
          <t>シャッター付引違い窓</t>
        </is>
      </c>
      <c r="E304" s="43" t="inlineStr">
        <is>
          <t>SP-SL-SHUT-E-WIND</t>
        </is>
      </c>
      <c r="F304" s="43" t="inlineStr">
        <is>
          <t>在来・204</t>
        </is>
      </c>
      <c r="G304" s="43" t="inlineStr">
        <is>
          <t>25113-2</t>
        </is>
      </c>
      <c r="H304" s="43" t="inlineStr">
        <is>
          <t>251-2</t>
        </is>
      </c>
      <c r="I304" s="43" t="inlineStr">
        <is>
          <t>13</t>
        </is>
      </c>
      <c r="J304" s="222" t="n">
        <v>2550</v>
      </c>
      <c r="K304" s="222" t="n">
        <v>1370</v>
      </c>
      <c r="L304" s="43" t="inlineStr">
        <is>
          <t>在来・204｜電動</t>
        </is>
      </c>
      <c r="M304" s="178" t="b">
        <v>1</v>
      </c>
      <c r="N304" s="43" t="inlineStr">
        <is>
          <t>カタログ個別可否確認済み</t>
        </is>
      </c>
      <c r="O304" s="222" t="n">
        <v>39</v>
      </c>
      <c r="P304" s="222" t="n">
        <v>37</v>
      </c>
      <c r="Q304" s="43" t="inlineStr">
        <is>
          <t>202604_LIXIL_サーモスＬ_業務用資料集_完成品価格表.pdf</t>
        </is>
      </c>
      <c r="R304" s="43" t="inlineStr">
        <is>
          <t>規格呼称は親品種で確認済み。固有仕様ごとの価格設定有無（＿＿表示等）は次QAで最終確定。</t>
        </is>
      </c>
      <c r="S304" s="42" t="inlineStr">
        <is>
          <t>●</t>
        </is>
      </c>
      <c r="T304" s="42" t="n">
        <v>36</v>
      </c>
      <c r="U304" s="42" t="inlineStr">
        <is>
          <t>P36|●</t>
        </is>
      </c>
      <c r="V304" s="42" t="inlineStr">
        <is>
          <t>同一価格表・前頁凡例を継承</t>
        </is>
      </c>
    </row>
    <row r="305">
      <c r="A305" s="43" t="inlineStr">
        <is>
          <t>SZ-SL-000302</t>
        </is>
      </c>
      <c r="B305" s="43" t="inlineStr">
        <is>
          <t>SER-LIX-SAMOSL</t>
        </is>
      </c>
      <c r="C305" s="43" t="inlineStr">
        <is>
          <t>WT-SL-SHUTTER-HIKI</t>
        </is>
      </c>
      <c r="D305" s="43" t="inlineStr">
        <is>
          <t>シャッター付引違い窓</t>
        </is>
      </c>
      <c r="E305" s="43" t="inlineStr">
        <is>
          <t>SP-SL-SHUT-E-WIND</t>
        </is>
      </c>
      <c r="F305" s="43" t="inlineStr">
        <is>
          <t>在来・204</t>
        </is>
      </c>
      <c r="G305" s="43" t="inlineStr">
        <is>
          <t>25113-4</t>
        </is>
      </c>
      <c r="H305" s="43" t="inlineStr">
        <is>
          <t>251-4</t>
        </is>
      </c>
      <c r="I305" s="43" t="inlineStr">
        <is>
          <t>13</t>
        </is>
      </c>
      <c r="J305" s="222" t="n">
        <v>2550</v>
      </c>
      <c r="K305" s="222" t="n">
        <v>1370</v>
      </c>
      <c r="L305" s="43" t="inlineStr">
        <is>
          <t>在来・204｜電動</t>
        </is>
      </c>
      <c r="M305" s="178" t="b">
        <v>1</v>
      </c>
      <c r="N305" s="43" t="inlineStr">
        <is>
          <t>カタログ個別可否確認済み</t>
        </is>
      </c>
      <c r="O305" s="222" t="n">
        <v>39</v>
      </c>
      <c r="P305" s="222" t="n">
        <v>37</v>
      </c>
      <c r="Q305" s="43" t="inlineStr">
        <is>
          <t>202604_LIXIL_サーモスＬ_業務用資料集_完成品価格表.pdf</t>
        </is>
      </c>
      <c r="R305" s="43" t="inlineStr">
        <is>
          <t>規格呼称は親品種で確認済み。固有仕様ごとの価格設定有無（＿＿表示等）は次QAで最終確定。</t>
        </is>
      </c>
      <c r="S305" s="42" t="inlineStr">
        <is>
          <t>無印</t>
        </is>
      </c>
      <c r="T305" s="42" t="n">
        <v>36</v>
      </c>
      <c r="U305" s="42" t="inlineStr">
        <is>
          <t>P36|無印</t>
        </is>
      </c>
      <c r="V305" s="42" t="inlineStr">
        <is>
          <t>同一価格表・前頁凡例を継承</t>
        </is>
      </c>
    </row>
    <row r="306">
      <c r="A306" s="43" t="inlineStr">
        <is>
          <t>SZ-SL-000303</t>
        </is>
      </c>
      <c r="B306" s="43" t="inlineStr">
        <is>
          <t>SER-LIX-SAMOSL</t>
        </is>
      </c>
      <c r="C306" s="43" t="inlineStr">
        <is>
          <t>WT-SL-SHUTTER-HIKI</t>
        </is>
      </c>
      <c r="D306" s="43" t="inlineStr">
        <is>
          <t>シャッター付引違い窓</t>
        </is>
      </c>
      <c r="E306" s="43" t="inlineStr">
        <is>
          <t>SP-SL-SHUT-E-WIND</t>
        </is>
      </c>
      <c r="F306" s="43" t="inlineStr">
        <is>
          <t>在来・204</t>
        </is>
      </c>
      <c r="G306" s="43" t="inlineStr">
        <is>
          <t>25613-2</t>
        </is>
      </c>
      <c r="H306" s="43" t="inlineStr">
        <is>
          <t>256-2</t>
        </is>
      </c>
      <c r="I306" s="43" t="inlineStr">
        <is>
          <t>13</t>
        </is>
      </c>
      <c r="J306" s="222" t="n">
        <v>2600</v>
      </c>
      <c r="K306" s="222" t="n">
        <v>1370</v>
      </c>
      <c r="L306" s="43" t="inlineStr">
        <is>
          <t>在来・204｜電動</t>
        </is>
      </c>
      <c r="M306" s="178" t="b">
        <v>1</v>
      </c>
      <c r="N306" s="43" t="inlineStr">
        <is>
          <t>カタログ個別可否確認済み</t>
        </is>
      </c>
      <c r="O306" s="222" t="n">
        <v>39</v>
      </c>
      <c r="P306" s="222" t="n">
        <v>37</v>
      </c>
      <c r="Q306" s="43" t="inlineStr">
        <is>
          <t>202604_LIXIL_サーモスＬ_業務用資料集_完成品価格表.pdf</t>
        </is>
      </c>
      <c r="R306" s="43" t="inlineStr">
        <is>
          <t>規格呼称は親品種で確認済み。固有仕様ごとの価格設定有無（＿＿表示等）は次QAで最終確定。</t>
        </is>
      </c>
      <c r="S306" s="42" t="inlineStr">
        <is>
          <t>●</t>
        </is>
      </c>
      <c r="T306" s="42" t="n">
        <v>36</v>
      </c>
      <c r="U306" s="42" t="inlineStr">
        <is>
          <t>P36|●</t>
        </is>
      </c>
      <c r="V306" s="42" t="inlineStr">
        <is>
          <t>同一価格表・前頁凡例を継承</t>
        </is>
      </c>
    </row>
    <row r="307">
      <c r="A307" s="43" t="inlineStr">
        <is>
          <t>SZ-SL-000304</t>
        </is>
      </c>
      <c r="B307" s="43" t="inlineStr">
        <is>
          <t>SER-LIX-SAMOSL</t>
        </is>
      </c>
      <c r="C307" s="43" t="inlineStr">
        <is>
          <t>WT-SL-SHUTTER-HIKI</t>
        </is>
      </c>
      <c r="D307" s="43" t="inlineStr">
        <is>
          <t>シャッター付引違い窓</t>
        </is>
      </c>
      <c r="E307" s="43" t="inlineStr">
        <is>
          <t>SP-SL-SHUT-E-WIND</t>
        </is>
      </c>
      <c r="F307" s="43" t="inlineStr">
        <is>
          <t>在来・204</t>
        </is>
      </c>
      <c r="G307" s="43" t="inlineStr">
        <is>
          <t>25613-4</t>
        </is>
      </c>
      <c r="H307" s="43" t="inlineStr">
        <is>
          <t>256-4</t>
        </is>
      </c>
      <c r="I307" s="43" t="inlineStr">
        <is>
          <t>13</t>
        </is>
      </c>
      <c r="J307" s="222" t="n">
        <v>2600</v>
      </c>
      <c r="K307" s="222" t="n">
        <v>1370</v>
      </c>
      <c r="L307" s="43" t="inlineStr">
        <is>
          <t>在来・204｜電動</t>
        </is>
      </c>
      <c r="M307" s="178" t="b">
        <v>1</v>
      </c>
      <c r="N307" s="43" t="inlineStr">
        <is>
          <t>カタログ個別可否確認済み</t>
        </is>
      </c>
      <c r="O307" s="222" t="n">
        <v>39</v>
      </c>
      <c r="P307" s="222" t="n">
        <v>37</v>
      </c>
      <c r="Q307" s="43" t="inlineStr">
        <is>
          <t>202604_LIXIL_サーモスＬ_業務用資料集_完成品価格表.pdf</t>
        </is>
      </c>
      <c r="R307" s="43" t="inlineStr">
        <is>
          <t>規格呼称は親品種で確認済み。固有仕様ごとの価格設定有無（＿＿表示等）は次QAで最終確定。</t>
        </is>
      </c>
      <c r="S307" s="42" t="inlineStr">
        <is>
          <t>無印</t>
        </is>
      </c>
      <c r="T307" s="42" t="n">
        <v>36</v>
      </c>
      <c r="U307" s="42" t="inlineStr">
        <is>
          <t>P36|無印</t>
        </is>
      </c>
      <c r="V307" s="42" t="inlineStr">
        <is>
          <t>同一価格表・前頁凡例を継承</t>
        </is>
      </c>
    </row>
    <row r="308">
      <c r="A308" s="43" t="inlineStr">
        <is>
          <t>SZ-SL-000305</t>
        </is>
      </c>
      <c r="B308" s="43" t="inlineStr">
        <is>
          <t>SER-LIX-SAMOSL</t>
        </is>
      </c>
      <c r="C308" s="43" t="inlineStr">
        <is>
          <t>WT-SL-SHUTTER-HIKI</t>
        </is>
      </c>
      <c r="D308" s="43" t="inlineStr">
        <is>
          <t>シャッター付引違い窓</t>
        </is>
      </c>
      <c r="E308" s="43" t="inlineStr">
        <is>
          <t>SP-SL-SHUT-E-STD</t>
        </is>
      </c>
      <c r="F308" s="43" t="inlineStr">
        <is>
          <t>在来</t>
        </is>
      </c>
      <c r="G308" s="43" t="inlineStr">
        <is>
          <t>11918</t>
        </is>
      </c>
      <c r="H308" s="43" t="inlineStr">
        <is>
          <t>119</t>
        </is>
      </c>
      <c r="I308" s="43" t="inlineStr">
        <is>
          <t>18</t>
        </is>
      </c>
      <c r="J308" s="222" t="n">
        <v>1235</v>
      </c>
      <c r="K308" s="222" t="n">
        <v>1830</v>
      </c>
      <c r="L308" s="43" t="inlineStr">
        <is>
          <t>在来｜電動</t>
        </is>
      </c>
      <c r="M308" s="178" t="b">
        <v>1</v>
      </c>
      <c r="N308" s="43" t="inlineStr">
        <is>
          <t>カタログ規格確認済み</t>
        </is>
      </c>
      <c r="O308" s="222" t="n">
        <v>40</v>
      </c>
      <c r="P308" s="222" t="n">
        <v>38</v>
      </c>
      <c r="Q308" s="43" t="inlineStr">
        <is>
          <t>202604_LIXIL_サーモスＬ_業務用資料集_完成品価格表.pdf</t>
        </is>
      </c>
      <c r="R308" s="43" t="n"/>
      <c r="S308" s="42" t="inlineStr">
        <is>
          <t>無印</t>
        </is>
      </c>
      <c r="T308" s="42" t="n">
        <v>38</v>
      </c>
      <c r="U308" s="42" t="inlineStr">
        <is>
          <t>P38|無印</t>
        </is>
      </c>
      <c r="V308" s="42" t="inlineStr">
        <is>
          <t>同頁凡例へ直接連動</t>
        </is>
      </c>
    </row>
    <row r="309">
      <c r="A309" s="43" t="inlineStr">
        <is>
          <t>SZ-SL-000306</t>
        </is>
      </c>
      <c r="B309" s="43" t="inlineStr">
        <is>
          <t>SER-LIX-SAMOSL</t>
        </is>
      </c>
      <c r="C309" s="43" t="inlineStr">
        <is>
          <t>WT-SL-SHUTTER-HIKI</t>
        </is>
      </c>
      <c r="D309" s="43" t="inlineStr">
        <is>
          <t>シャッター付引違い窓</t>
        </is>
      </c>
      <c r="E309" s="43" t="inlineStr">
        <is>
          <t>SP-SL-SHUT-E-STD</t>
        </is>
      </c>
      <c r="F309" s="43" t="inlineStr">
        <is>
          <t>在来</t>
        </is>
      </c>
      <c r="G309" s="43" t="inlineStr">
        <is>
          <t>11920</t>
        </is>
      </c>
      <c r="H309" s="43" t="inlineStr">
        <is>
          <t>119</t>
        </is>
      </c>
      <c r="I309" s="43" t="inlineStr">
        <is>
          <t>20</t>
        </is>
      </c>
      <c r="J309" s="222" t="n">
        <v>1235</v>
      </c>
      <c r="K309" s="222" t="n">
        <v>2030</v>
      </c>
      <c r="L309" s="43" t="inlineStr">
        <is>
          <t>在来｜電動</t>
        </is>
      </c>
      <c r="M309" s="178" t="b">
        <v>1</v>
      </c>
      <c r="N309" s="43" t="inlineStr">
        <is>
          <t>カタログ規格確認済み</t>
        </is>
      </c>
      <c r="O309" s="222" t="n">
        <v>40</v>
      </c>
      <c r="P309" s="222" t="n">
        <v>38</v>
      </c>
      <c r="Q309" s="43" t="inlineStr">
        <is>
          <t>202604_LIXIL_サーモスＬ_業務用資料集_完成品価格表.pdf</t>
        </is>
      </c>
      <c r="R309" s="43" t="n"/>
      <c r="S309" s="42" t="inlineStr">
        <is>
          <t>無印</t>
        </is>
      </c>
      <c r="T309" s="42" t="n">
        <v>38</v>
      </c>
      <c r="U309" s="42" t="inlineStr">
        <is>
          <t>P38|無印</t>
        </is>
      </c>
      <c r="V309" s="42" t="inlineStr">
        <is>
          <t>同頁凡例へ直接連動</t>
        </is>
      </c>
    </row>
    <row r="310">
      <c r="A310" s="43" t="inlineStr">
        <is>
          <t>SZ-SL-000307</t>
        </is>
      </c>
      <c r="B310" s="43" t="inlineStr">
        <is>
          <t>SER-LIX-SAMOSL</t>
        </is>
      </c>
      <c r="C310" s="43" t="inlineStr">
        <is>
          <t>WT-SL-SHUTTER-HIKI</t>
        </is>
      </c>
      <c r="D310" s="43" t="inlineStr">
        <is>
          <t>シャッター付引違い窓</t>
        </is>
      </c>
      <c r="E310" s="43" t="inlineStr">
        <is>
          <t>SP-SL-SHUT-E-STD</t>
        </is>
      </c>
      <c r="F310" s="43" t="inlineStr">
        <is>
          <t>在来</t>
        </is>
      </c>
      <c r="G310" s="43" t="inlineStr">
        <is>
          <t>13318</t>
        </is>
      </c>
      <c r="H310" s="43" t="inlineStr">
        <is>
          <t>133</t>
        </is>
      </c>
      <c r="I310" s="43" t="inlineStr">
        <is>
          <t>18</t>
        </is>
      </c>
      <c r="J310" s="222" t="n">
        <v>1370</v>
      </c>
      <c r="K310" s="222" t="n">
        <v>1830</v>
      </c>
      <c r="L310" s="43" t="inlineStr">
        <is>
          <t>在来｜電動</t>
        </is>
      </c>
      <c r="M310" s="178" t="b">
        <v>1</v>
      </c>
      <c r="N310" s="43" t="inlineStr">
        <is>
          <t>カタログ規格確認済み</t>
        </is>
      </c>
      <c r="O310" s="222" t="n">
        <v>40</v>
      </c>
      <c r="P310" s="222" t="n">
        <v>38</v>
      </c>
      <c r="Q310" s="43" t="inlineStr">
        <is>
          <t>202604_LIXIL_サーモスＬ_業務用資料集_完成品価格表.pdf</t>
        </is>
      </c>
      <c r="R310" s="43" t="n"/>
      <c r="S310" s="42" t="inlineStr">
        <is>
          <t>無印</t>
        </is>
      </c>
      <c r="T310" s="42" t="n">
        <v>38</v>
      </c>
      <c r="U310" s="42" t="inlineStr">
        <is>
          <t>P38|無印</t>
        </is>
      </c>
      <c r="V310" s="42" t="inlineStr">
        <is>
          <t>同頁凡例へ直接連動</t>
        </is>
      </c>
    </row>
    <row r="311">
      <c r="A311" s="43" t="inlineStr">
        <is>
          <t>SZ-SL-000308</t>
        </is>
      </c>
      <c r="B311" s="43" t="inlineStr">
        <is>
          <t>SER-LIX-SAMOSL</t>
        </is>
      </c>
      <c r="C311" s="43" t="inlineStr">
        <is>
          <t>WT-SL-SHUTTER-HIKI</t>
        </is>
      </c>
      <c r="D311" s="43" t="inlineStr">
        <is>
          <t>シャッター付引違い窓</t>
        </is>
      </c>
      <c r="E311" s="43" t="inlineStr">
        <is>
          <t>SP-SL-SHUT-E-STD</t>
        </is>
      </c>
      <c r="F311" s="43" t="inlineStr">
        <is>
          <t>在来</t>
        </is>
      </c>
      <c r="G311" s="43" t="inlineStr">
        <is>
          <t>13320</t>
        </is>
      </c>
      <c r="H311" s="43" t="inlineStr">
        <is>
          <t>133</t>
        </is>
      </c>
      <c r="I311" s="43" t="inlineStr">
        <is>
          <t>20</t>
        </is>
      </c>
      <c r="J311" s="222" t="n">
        <v>1370</v>
      </c>
      <c r="K311" s="222" t="n">
        <v>2030</v>
      </c>
      <c r="L311" s="43" t="inlineStr">
        <is>
          <t>在来｜電動</t>
        </is>
      </c>
      <c r="M311" s="178" t="b">
        <v>1</v>
      </c>
      <c r="N311" s="43" t="inlineStr">
        <is>
          <t>カタログ規格確認済み</t>
        </is>
      </c>
      <c r="O311" s="222" t="n">
        <v>40</v>
      </c>
      <c r="P311" s="222" t="n">
        <v>38</v>
      </c>
      <c r="Q311" s="43" t="inlineStr">
        <is>
          <t>202604_LIXIL_サーモスＬ_業務用資料集_完成品価格表.pdf</t>
        </is>
      </c>
      <c r="R311" s="43" t="n"/>
      <c r="S311" s="42" t="inlineStr">
        <is>
          <t>無印</t>
        </is>
      </c>
      <c r="T311" s="42" t="n">
        <v>38</v>
      </c>
      <c r="U311" s="42" t="inlineStr">
        <is>
          <t>P38|無印</t>
        </is>
      </c>
      <c r="V311" s="42" t="inlineStr">
        <is>
          <t>同頁凡例へ直接連動</t>
        </is>
      </c>
    </row>
    <row r="312">
      <c r="A312" s="43" t="inlineStr">
        <is>
          <t>SZ-SL-000309</t>
        </is>
      </c>
      <c r="B312" s="43" t="inlineStr">
        <is>
          <t>SER-LIX-SAMOSL</t>
        </is>
      </c>
      <c r="C312" s="43" t="inlineStr">
        <is>
          <t>WT-SL-SHUTTER-HIKI</t>
        </is>
      </c>
      <c r="D312" s="43" t="inlineStr">
        <is>
          <t>シャッター付引違い窓</t>
        </is>
      </c>
      <c r="E312" s="43" t="inlineStr">
        <is>
          <t>SP-SL-SHUT-E-STD</t>
        </is>
      </c>
      <c r="F312" s="43" t="inlineStr">
        <is>
          <t>在来</t>
        </is>
      </c>
      <c r="G312" s="43" t="inlineStr">
        <is>
          <t>15018</t>
        </is>
      </c>
      <c r="H312" s="43" t="inlineStr">
        <is>
          <t>150</t>
        </is>
      </c>
      <c r="I312" s="43" t="inlineStr">
        <is>
          <t>18</t>
        </is>
      </c>
      <c r="J312" s="222" t="n">
        <v>1540</v>
      </c>
      <c r="K312" s="222" t="n">
        <v>1830</v>
      </c>
      <c r="L312" s="43" t="inlineStr">
        <is>
          <t>在来｜電動</t>
        </is>
      </c>
      <c r="M312" s="178" t="b">
        <v>1</v>
      </c>
      <c r="N312" s="43" t="inlineStr">
        <is>
          <t>カタログ規格確認済み</t>
        </is>
      </c>
      <c r="O312" s="222" t="n">
        <v>40</v>
      </c>
      <c r="P312" s="222" t="n">
        <v>38</v>
      </c>
      <c r="Q312" s="43" t="inlineStr">
        <is>
          <t>202604_LIXIL_サーモスＬ_業務用資料集_完成品価格表.pdf</t>
        </is>
      </c>
      <c r="R312" s="43" t="n"/>
      <c r="S312" s="42" t="inlineStr">
        <is>
          <t>無印</t>
        </is>
      </c>
      <c r="T312" s="42" t="n">
        <v>38</v>
      </c>
      <c r="U312" s="42" t="inlineStr">
        <is>
          <t>P38|無印</t>
        </is>
      </c>
      <c r="V312" s="42" t="inlineStr">
        <is>
          <t>同頁凡例へ直接連動</t>
        </is>
      </c>
    </row>
    <row r="313">
      <c r="A313" s="43" t="inlineStr">
        <is>
          <t>SZ-SL-000310</t>
        </is>
      </c>
      <c r="B313" s="43" t="inlineStr">
        <is>
          <t>SER-LIX-SAMOSL</t>
        </is>
      </c>
      <c r="C313" s="43" t="inlineStr">
        <is>
          <t>WT-SL-SHUTTER-HIKI</t>
        </is>
      </c>
      <c r="D313" s="43" t="inlineStr">
        <is>
          <t>シャッター付引違い窓</t>
        </is>
      </c>
      <c r="E313" s="43" t="inlineStr">
        <is>
          <t>SP-SL-SHUT-E-STD</t>
        </is>
      </c>
      <c r="F313" s="43" t="inlineStr">
        <is>
          <t>在来</t>
        </is>
      </c>
      <c r="G313" s="43" t="inlineStr">
        <is>
          <t>15020</t>
        </is>
      </c>
      <c r="H313" s="43" t="inlineStr">
        <is>
          <t>150</t>
        </is>
      </c>
      <c r="I313" s="43" t="inlineStr">
        <is>
          <t>20</t>
        </is>
      </c>
      <c r="J313" s="222" t="n">
        <v>1540</v>
      </c>
      <c r="K313" s="222" t="n">
        <v>2030</v>
      </c>
      <c r="L313" s="43" t="inlineStr">
        <is>
          <t>在来｜電動</t>
        </is>
      </c>
      <c r="M313" s="178" t="b">
        <v>1</v>
      </c>
      <c r="N313" s="43" t="inlineStr">
        <is>
          <t>カタログ規格確認済み</t>
        </is>
      </c>
      <c r="O313" s="222" t="n">
        <v>40</v>
      </c>
      <c r="P313" s="222" t="n">
        <v>38</v>
      </c>
      <c r="Q313" s="43" t="inlineStr">
        <is>
          <t>202604_LIXIL_サーモスＬ_業務用資料集_完成品価格表.pdf</t>
        </is>
      </c>
      <c r="R313" s="43" t="n"/>
      <c r="S313" s="42" t="inlineStr">
        <is>
          <t>○</t>
        </is>
      </c>
      <c r="T313" s="42" t="n">
        <v>38</v>
      </c>
      <c r="U313" s="42" t="inlineStr">
        <is>
          <t>P38|○</t>
        </is>
      </c>
      <c r="V313" s="42" t="inlineStr">
        <is>
          <t>同頁凡例へ直接連動</t>
        </is>
      </c>
    </row>
    <row r="314">
      <c r="A314" s="43" t="inlineStr">
        <is>
          <t>SZ-SL-000311</t>
        </is>
      </c>
      <c r="B314" s="43" t="inlineStr">
        <is>
          <t>SER-LIX-SAMOSL</t>
        </is>
      </c>
      <c r="C314" s="43" t="inlineStr">
        <is>
          <t>WT-SL-SHUTTER-HIKI</t>
        </is>
      </c>
      <c r="D314" s="43" t="inlineStr">
        <is>
          <t>シャッター付引違い窓</t>
        </is>
      </c>
      <c r="E314" s="43" t="inlineStr">
        <is>
          <t>SP-SL-SHUT-E-STD</t>
        </is>
      </c>
      <c r="F314" s="43" t="inlineStr">
        <is>
          <t>在来</t>
        </is>
      </c>
      <c r="G314" s="43" t="inlineStr">
        <is>
          <t>16018</t>
        </is>
      </c>
      <c r="H314" s="43" t="inlineStr">
        <is>
          <t>160</t>
        </is>
      </c>
      <c r="I314" s="43" t="inlineStr">
        <is>
          <t>18</t>
        </is>
      </c>
      <c r="J314" s="222" t="n">
        <v>1640</v>
      </c>
      <c r="K314" s="222" t="n">
        <v>1830</v>
      </c>
      <c r="L314" s="43" t="inlineStr">
        <is>
          <t>在来｜電動</t>
        </is>
      </c>
      <c r="M314" s="178" t="b">
        <v>1</v>
      </c>
      <c r="N314" s="43" t="inlineStr">
        <is>
          <t>カタログ規格確認済み</t>
        </is>
      </c>
      <c r="O314" s="222" t="n">
        <v>40</v>
      </c>
      <c r="P314" s="222" t="n">
        <v>38</v>
      </c>
      <c r="Q314" s="43" t="inlineStr">
        <is>
          <t>202604_LIXIL_サーモスＬ_業務用資料集_完成品価格表.pdf</t>
        </is>
      </c>
      <c r="R314" s="43" t="n"/>
      <c r="S314" s="42" t="inlineStr">
        <is>
          <t>無印</t>
        </is>
      </c>
      <c r="T314" s="42" t="n">
        <v>38</v>
      </c>
      <c r="U314" s="42" t="inlineStr">
        <is>
          <t>P38|無印</t>
        </is>
      </c>
      <c r="V314" s="42" t="inlineStr">
        <is>
          <t>同頁凡例へ直接連動</t>
        </is>
      </c>
    </row>
    <row r="315">
      <c r="A315" s="43" t="inlineStr">
        <is>
          <t>SZ-SL-000312</t>
        </is>
      </c>
      <c r="B315" s="43" t="inlineStr">
        <is>
          <t>SER-LIX-SAMOSL</t>
        </is>
      </c>
      <c r="C315" s="43" t="inlineStr">
        <is>
          <t>WT-SL-SHUTTER-HIKI</t>
        </is>
      </c>
      <c r="D315" s="43" t="inlineStr">
        <is>
          <t>シャッター付引違い窓</t>
        </is>
      </c>
      <c r="E315" s="43" t="inlineStr">
        <is>
          <t>SP-SL-SHUT-E-STD</t>
        </is>
      </c>
      <c r="F315" s="43" t="inlineStr">
        <is>
          <t>在来</t>
        </is>
      </c>
      <c r="G315" s="43" t="inlineStr">
        <is>
          <t>16020</t>
        </is>
      </c>
      <c r="H315" s="43" t="inlineStr">
        <is>
          <t>160</t>
        </is>
      </c>
      <c r="I315" s="43" t="inlineStr">
        <is>
          <t>20</t>
        </is>
      </c>
      <c r="J315" s="222" t="n">
        <v>1640</v>
      </c>
      <c r="K315" s="222" t="n">
        <v>2030</v>
      </c>
      <c r="L315" s="43" t="inlineStr">
        <is>
          <t>在来｜電動</t>
        </is>
      </c>
      <c r="M315" s="178" t="b">
        <v>1</v>
      </c>
      <c r="N315" s="43" t="inlineStr">
        <is>
          <t>カタログ規格確認済み</t>
        </is>
      </c>
      <c r="O315" s="222" t="n">
        <v>40</v>
      </c>
      <c r="P315" s="222" t="n">
        <v>38</v>
      </c>
      <c r="Q315" s="43" t="inlineStr">
        <is>
          <t>202604_LIXIL_サーモスＬ_業務用資料集_完成品価格表.pdf</t>
        </is>
      </c>
      <c r="R315" s="43" t="n"/>
      <c r="S315" s="42" t="inlineStr">
        <is>
          <t>▲</t>
        </is>
      </c>
      <c r="T315" s="42" t="n">
        <v>38</v>
      </c>
      <c r="U315" s="42" t="inlineStr">
        <is>
          <t>P38|▲</t>
        </is>
      </c>
      <c r="V315" s="42" t="inlineStr">
        <is>
          <t>同頁凡例へ直接連動</t>
        </is>
      </c>
    </row>
    <row r="316">
      <c r="A316" s="43" t="inlineStr">
        <is>
          <t>SZ-SL-000313</t>
        </is>
      </c>
      <c r="B316" s="43" t="inlineStr">
        <is>
          <t>SER-LIX-SAMOSL</t>
        </is>
      </c>
      <c r="C316" s="43" t="inlineStr">
        <is>
          <t>WT-SL-SHUTTER-HIKI</t>
        </is>
      </c>
      <c r="D316" s="43" t="inlineStr">
        <is>
          <t>シャッター付引違い窓</t>
        </is>
      </c>
      <c r="E316" s="43" t="inlineStr">
        <is>
          <t>SP-SL-SHUT-E-VENT</t>
        </is>
      </c>
      <c r="F316" s="43" t="inlineStr">
        <is>
          <t>在来</t>
        </is>
      </c>
      <c r="G316" s="43" t="inlineStr">
        <is>
          <t>11918</t>
        </is>
      </c>
      <c r="H316" s="43" t="inlineStr">
        <is>
          <t>119</t>
        </is>
      </c>
      <c r="I316" s="43" t="inlineStr">
        <is>
          <t>18</t>
        </is>
      </c>
      <c r="J316" s="222" t="n">
        <v>1235</v>
      </c>
      <c r="K316" s="222" t="n">
        <v>1830</v>
      </c>
      <c r="L316" s="43" t="inlineStr">
        <is>
          <t>在来｜電動</t>
        </is>
      </c>
      <c r="M316" s="178" t="b">
        <v>1</v>
      </c>
      <c r="N316" s="43" t="inlineStr">
        <is>
          <t>カタログ個別可否確認済み</t>
        </is>
      </c>
      <c r="O316" s="222" t="n">
        <v>40</v>
      </c>
      <c r="P316" s="222" t="n">
        <v>38</v>
      </c>
      <c r="Q316" s="43" t="inlineStr">
        <is>
          <t>202604_LIXIL_サーモスＬ_業務用資料集_完成品価格表.pdf</t>
        </is>
      </c>
      <c r="R316" s="43" t="inlineStr">
        <is>
          <t>規格呼称は親品種で確認済み。固有仕様ごとの価格設定有無（＿＿表示等）は次QAで最終確定。</t>
        </is>
      </c>
      <c r="S316" s="42" t="inlineStr">
        <is>
          <t>無印</t>
        </is>
      </c>
      <c r="T316" s="42" t="n">
        <v>38</v>
      </c>
      <c r="U316" s="42" t="inlineStr">
        <is>
          <t>P38|無印</t>
        </is>
      </c>
      <c r="V316" s="42" t="inlineStr">
        <is>
          <t>同頁凡例へ直接連動</t>
        </is>
      </c>
    </row>
    <row r="317">
      <c r="A317" s="43" t="inlineStr">
        <is>
          <t>SZ-SL-000314</t>
        </is>
      </c>
      <c r="B317" s="43" t="inlineStr">
        <is>
          <t>SER-LIX-SAMOSL</t>
        </is>
      </c>
      <c r="C317" s="43" t="inlineStr">
        <is>
          <t>WT-SL-SHUTTER-HIKI</t>
        </is>
      </c>
      <c r="D317" s="43" t="inlineStr">
        <is>
          <t>シャッター付引違い窓</t>
        </is>
      </c>
      <c r="E317" s="43" t="inlineStr">
        <is>
          <t>SP-SL-SHUT-E-VENT</t>
        </is>
      </c>
      <c r="F317" s="43" t="inlineStr">
        <is>
          <t>在来</t>
        </is>
      </c>
      <c r="G317" s="43" t="inlineStr">
        <is>
          <t>11920</t>
        </is>
      </c>
      <c r="H317" s="43" t="inlineStr">
        <is>
          <t>119</t>
        </is>
      </c>
      <c r="I317" s="43" t="inlineStr">
        <is>
          <t>20</t>
        </is>
      </c>
      <c r="J317" s="222" t="n">
        <v>1235</v>
      </c>
      <c r="K317" s="222" t="n">
        <v>2030</v>
      </c>
      <c r="L317" s="43" t="inlineStr">
        <is>
          <t>在来｜電動</t>
        </is>
      </c>
      <c r="M317" s="178" t="b">
        <v>1</v>
      </c>
      <c r="N317" s="43" t="inlineStr">
        <is>
          <t>カタログ個別可否確認済み</t>
        </is>
      </c>
      <c r="O317" s="222" t="n">
        <v>40</v>
      </c>
      <c r="P317" s="222" t="n">
        <v>38</v>
      </c>
      <c r="Q317" s="43" t="inlineStr">
        <is>
          <t>202604_LIXIL_サーモスＬ_業務用資料集_完成品価格表.pdf</t>
        </is>
      </c>
      <c r="R317" s="43" t="inlineStr">
        <is>
          <t>規格呼称は親品種で確認済み。固有仕様ごとの価格設定有無（＿＿表示等）は次QAで最終確定。</t>
        </is>
      </c>
      <c r="S317" s="42" t="inlineStr">
        <is>
          <t>無印</t>
        </is>
      </c>
      <c r="T317" s="42" t="n">
        <v>38</v>
      </c>
      <c r="U317" s="42" t="inlineStr">
        <is>
          <t>P38|無印</t>
        </is>
      </c>
      <c r="V317" s="42" t="inlineStr">
        <is>
          <t>同頁凡例へ直接連動</t>
        </is>
      </c>
    </row>
    <row r="318">
      <c r="A318" s="43" t="inlineStr">
        <is>
          <t>SZ-SL-000315</t>
        </is>
      </c>
      <c r="B318" s="43" t="inlineStr">
        <is>
          <t>SER-LIX-SAMOSL</t>
        </is>
      </c>
      <c r="C318" s="43" t="inlineStr">
        <is>
          <t>WT-SL-SHUTTER-HIKI</t>
        </is>
      </c>
      <c r="D318" s="43" t="inlineStr">
        <is>
          <t>シャッター付引違い窓</t>
        </is>
      </c>
      <c r="E318" s="43" t="inlineStr">
        <is>
          <t>SP-SL-SHUT-E-VENT</t>
        </is>
      </c>
      <c r="F318" s="43" t="inlineStr">
        <is>
          <t>在来</t>
        </is>
      </c>
      <c r="G318" s="43" t="inlineStr">
        <is>
          <t>13318</t>
        </is>
      </c>
      <c r="H318" s="43" t="inlineStr">
        <is>
          <t>133</t>
        </is>
      </c>
      <c r="I318" s="43" t="inlineStr">
        <is>
          <t>18</t>
        </is>
      </c>
      <c r="J318" s="222" t="n">
        <v>1370</v>
      </c>
      <c r="K318" s="222" t="n">
        <v>1830</v>
      </c>
      <c r="L318" s="43" t="inlineStr">
        <is>
          <t>在来｜電動</t>
        </is>
      </c>
      <c r="M318" s="178" t="b">
        <v>1</v>
      </c>
      <c r="N318" s="43" t="inlineStr">
        <is>
          <t>カタログ個別可否確認済み</t>
        </is>
      </c>
      <c r="O318" s="222" t="n">
        <v>40</v>
      </c>
      <c r="P318" s="222" t="n">
        <v>38</v>
      </c>
      <c r="Q318" s="43" t="inlineStr">
        <is>
          <t>202604_LIXIL_サーモスＬ_業務用資料集_完成品価格表.pdf</t>
        </is>
      </c>
      <c r="R318" s="43" t="inlineStr">
        <is>
          <t>規格呼称は親品種で確認済み。固有仕様ごとの価格設定有無（＿＿表示等）は次QAで最終確定。</t>
        </is>
      </c>
      <c r="S318" s="42" t="inlineStr">
        <is>
          <t>無印</t>
        </is>
      </c>
      <c r="T318" s="42" t="n">
        <v>38</v>
      </c>
      <c r="U318" s="42" t="inlineStr">
        <is>
          <t>P38|無印</t>
        </is>
      </c>
      <c r="V318" s="42" t="inlineStr">
        <is>
          <t>同頁凡例へ直接連動</t>
        </is>
      </c>
    </row>
    <row r="319">
      <c r="A319" s="43" t="inlineStr">
        <is>
          <t>SZ-SL-000316</t>
        </is>
      </c>
      <c r="B319" s="43" t="inlineStr">
        <is>
          <t>SER-LIX-SAMOSL</t>
        </is>
      </c>
      <c r="C319" s="43" t="inlineStr">
        <is>
          <t>WT-SL-SHUTTER-HIKI</t>
        </is>
      </c>
      <c r="D319" s="43" t="inlineStr">
        <is>
          <t>シャッター付引違い窓</t>
        </is>
      </c>
      <c r="E319" s="43" t="inlineStr">
        <is>
          <t>SP-SL-SHUT-E-VENT</t>
        </is>
      </c>
      <c r="F319" s="43" t="inlineStr">
        <is>
          <t>在来</t>
        </is>
      </c>
      <c r="G319" s="43" t="inlineStr">
        <is>
          <t>13320</t>
        </is>
      </c>
      <c r="H319" s="43" t="inlineStr">
        <is>
          <t>133</t>
        </is>
      </c>
      <c r="I319" s="43" t="inlineStr">
        <is>
          <t>20</t>
        </is>
      </c>
      <c r="J319" s="222" t="n">
        <v>1370</v>
      </c>
      <c r="K319" s="222" t="n">
        <v>2030</v>
      </c>
      <c r="L319" s="43" t="inlineStr">
        <is>
          <t>在来｜電動</t>
        </is>
      </c>
      <c r="M319" s="178" t="b">
        <v>1</v>
      </c>
      <c r="N319" s="43" t="inlineStr">
        <is>
          <t>カタログ個別可否確認済み</t>
        </is>
      </c>
      <c r="O319" s="222" t="n">
        <v>40</v>
      </c>
      <c r="P319" s="222" t="n">
        <v>38</v>
      </c>
      <c r="Q319" s="43" t="inlineStr">
        <is>
          <t>202604_LIXIL_サーモスＬ_業務用資料集_完成品価格表.pdf</t>
        </is>
      </c>
      <c r="R319" s="43" t="inlineStr">
        <is>
          <t>規格呼称は親品種で確認済み。固有仕様ごとの価格設定有無（＿＿表示等）は次QAで最終確定。</t>
        </is>
      </c>
      <c r="S319" s="42" t="inlineStr">
        <is>
          <t>無印</t>
        </is>
      </c>
      <c r="T319" s="42" t="n">
        <v>38</v>
      </c>
      <c r="U319" s="42" t="inlineStr">
        <is>
          <t>P38|無印</t>
        </is>
      </c>
      <c r="V319" s="42" t="inlineStr">
        <is>
          <t>同頁凡例へ直接連動</t>
        </is>
      </c>
    </row>
    <row r="320">
      <c r="A320" s="43" t="inlineStr">
        <is>
          <t>SZ-SL-000317</t>
        </is>
      </c>
      <c r="B320" s="43" t="inlineStr">
        <is>
          <t>SER-LIX-SAMOSL</t>
        </is>
      </c>
      <c r="C320" s="43" t="inlineStr">
        <is>
          <t>WT-SL-SHUTTER-HIKI</t>
        </is>
      </c>
      <c r="D320" s="43" t="inlineStr">
        <is>
          <t>シャッター付引違い窓</t>
        </is>
      </c>
      <c r="E320" s="43" t="inlineStr">
        <is>
          <t>SP-SL-SHUT-E-VENT</t>
        </is>
      </c>
      <c r="F320" s="43" t="inlineStr">
        <is>
          <t>在来</t>
        </is>
      </c>
      <c r="G320" s="43" t="inlineStr">
        <is>
          <t>15018</t>
        </is>
      </c>
      <c r="H320" s="43" t="inlineStr">
        <is>
          <t>150</t>
        </is>
      </c>
      <c r="I320" s="43" t="inlineStr">
        <is>
          <t>18</t>
        </is>
      </c>
      <c r="J320" s="222" t="n">
        <v>1540</v>
      </c>
      <c r="K320" s="222" t="n">
        <v>1830</v>
      </c>
      <c r="L320" s="43" t="inlineStr">
        <is>
          <t>在来｜電動</t>
        </is>
      </c>
      <c r="M320" s="178" t="b">
        <v>1</v>
      </c>
      <c r="N320" s="43" t="inlineStr">
        <is>
          <t>カタログ個別可否確認済み</t>
        </is>
      </c>
      <c r="O320" s="222" t="n">
        <v>40</v>
      </c>
      <c r="P320" s="222" t="n">
        <v>38</v>
      </c>
      <c r="Q320" s="43" t="inlineStr">
        <is>
          <t>202604_LIXIL_サーモスＬ_業務用資料集_完成品価格表.pdf</t>
        </is>
      </c>
      <c r="R320" s="43" t="inlineStr">
        <is>
          <t>規格呼称は親品種で確認済み。固有仕様ごとの価格設定有無（＿＿表示等）は次QAで最終確定。</t>
        </is>
      </c>
      <c r="S320" s="42" t="inlineStr">
        <is>
          <t>無印</t>
        </is>
      </c>
      <c r="T320" s="42" t="n">
        <v>38</v>
      </c>
      <c r="U320" s="42" t="inlineStr">
        <is>
          <t>P38|無印</t>
        </is>
      </c>
      <c r="V320" s="42" t="inlineStr">
        <is>
          <t>同頁凡例へ直接連動</t>
        </is>
      </c>
    </row>
    <row r="321">
      <c r="A321" s="43" t="inlineStr">
        <is>
          <t>SZ-SL-000318</t>
        </is>
      </c>
      <c r="B321" s="43" t="inlineStr">
        <is>
          <t>SER-LIX-SAMOSL</t>
        </is>
      </c>
      <c r="C321" s="43" t="inlineStr">
        <is>
          <t>WT-SL-SHUTTER-HIKI</t>
        </is>
      </c>
      <c r="D321" s="43" t="inlineStr">
        <is>
          <t>シャッター付引違い窓</t>
        </is>
      </c>
      <c r="E321" s="43" t="inlineStr">
        <is>
          <t>SP-SL-SHUT-E-VENT</t>
        </is>
      </c>
      <c r="F321" s="43" t="inlineStr">
        <is>
          <t>在来</t>
        </is>
      </c>
      <c r="G321" s="43" t="inlineStr">
        <is>
          <t>15020</t>
        </is>
      </c>
      <c r="H321" s="43" t="inlineStr">
        <is>
          <t>150</t>
        </is>
      </c>
      <c r="I321" s="43" t="inlineStr">
        <is>
          <t>20</t>
        </is>
      </c>
      <c r="J321" s="222" t="n">
        <v>1540</v>
      </c>
      <c r="K321" s="222" t="n">
        <v>2030</v>
      </c>
      <c r="L321" s="43" t="inlineStr">
        <is>
          <t>在来｜電動</t>
        </is>
      </c>
      <c r="M321" s="178" t="b">
        <v>1</v>
      </c>
      <c r="N321" s="43" t="inlineStr">
        <is>
          <t>カタログ個別可否確認済み</t>
        </is>
      </c>
      <c r="O321" s="222" t="n">
        <v>40</v>
      </c>
      <c r="P321" s="222" t="n">
        <v>38</v>
      </c>
      <c r="Q321" s="43" t="inlineStr">
        <is>
          <t>202604_LIXIL_サーモスＬ_業務用資料集_完成品価格表.pdf</t>
        </is>
      </c>
      <c r="R321" s="43" t="inlineStr">
        <is>
          <t>規格呼称は親品種で確認済み。固有仕様ごとの価格設定有無（＿＿表示等）は次QAで最終確定。</t>
        </is>
      </c>
      <c r="S321" s="42" t="inlineStr">
        <is>
          <t>○</t>
        </is>
      </c>
      <c r="T321" s="42" t="n">
        <v>38</v>
      </c>
      <c r="U321" s="42" t="inlineStr">
        <is>
          <t>P38|○</t>
        </is>
      </c>
      <c r="V321" s="42" t="inlineStr">
        <is>
          <t>同頁凡例へ直接連動</t>
        </is>
      </c>
    </row>
    <row r="322">
      <c r="A322" s="43" t="inlineStr">
        <is>
          <t>SZ-SL-000319</t>
        </is>
      </c>
      <c r="B322" s="43" t="inlineStr">
        <is>
          <t>SER-LIX-SAMOSL</t>
        </is>
      </c>
      <c r="C322" s="43" t="inlineStr">
        <is>
          <t>WT-SL-SHUTTER-HIKI</t>
        </is>
      </c>
      <c r="D322" s="43" t="inlineStr">
        <is>
          <t>シャッター付引違い窓</t>
        </is>
      </c>
      <c r="E322" s="43" t="inlineStr">
        <is>
          <t>SP-SL-SHUT-E-VENT</t>
        </is>
      </c>
      <c r="F322" s="43" t="inlineStr">
        <is>
          <t>在来</t>
        </is>
      </c>
      <c r="G322" s="43" t="inlineStr">
        <is>
          <t>16018</t>
        </is>
      </c>
      <c r="H322" s="43" t="inlineStr">
        <is>
          <t>160</t>
        </is>
      </c>
      <c r="I322" s="43" t="inlineStr">
        <is>
          <t>18</t>
        </is>
      </c>
      <c r="J322" s="222" t="n">
        <v>1640</v>
      </c>
      <c r="K322" s="222" t="n">
        <v>1830</v>
      </c>
      <c r="L322" s="43" t="inlineStr">
        <is>
          <t>在来｜電動</t>
        </is>
      </c>
      <c r="M322" s="178" t="b">
        <v>1</v>
      </c>
      <c r="N322" s="43" t="inlineStr">
        <is>
          <t>カタログ個別可否確認済み</t>
        </is>
      </c>
      <c r="O322" s="222" t="n">
        <v>40</v>
      </c>
      <c r="P322" s="222" t="n">
        <v>38</v>
      </c>
      <c r="Q322" s="43" t="inlineStr">
        <is>
          <t>202604_LIXIL_サーモスＬ_業務用資料集_完成品価格表.pdf</t>
        </is>
      </c>
      <c r="R322" s="43" t="inlineStr">
        <is>
          <t>規格呼称は親品種で確認済み。固有仕様ごとの価格設定有無（＿＿表示等）は次QAで最終確定。</t>
        </is>
      </c>
      <c r="S322" s="42" t="inlineStr">
        <is>
          <t>無印</t>
        </is>
      </c>
      <c r="T322" s="42" t="n">
        <v>38</v>
      </c>
      <c r="U322" s="42" t="inlineStr">
        <is>
          <t>P38|無印</t>
        </is>
      </c>
      <c r="V322" s="42" t="inlineStr">
        <is>
          <t>同頁凡例へ直接連動</t>
        </is>
      </c>
    </row>
    <row r="323">
      <c r="A323" s="43" t="inlineStr">
        <is>
          <t>SZ-SL-000320</t>
        </is>
      </c>
      <c r="B323" s="43" t="inlineStr">
        <is>
          <t>SER-LIX-SAMOSL</t>
        </is>
      </c>
      <c r="C323" s="43" t="inlineStr">
        <is>
          <t>WT-SL-SHUTTER-HIKI</t>
        </is>
      </c>
      <c r="D323" s="43" t="inlineStr">
        <is>
          <t>シャッター付引違い窓</t>
        </is>
      </c>
      <c r="E323" s="43" t="inlineStr">
        <is>
          <t>SP-SL-SHUT-E-VENT</t>
        </is>
      </c>
      <c r="F323" s="43" t="inlineStr">
        <is>
          <t>在来</t>
        </is>
      </c>
      <c r="G323" s="43" t="inlineStr">
        <is>
          <t>16020</t>
        </is>
      </c>
      <c r="H323" s="43" t="inlineStr">
        <is>
          <t>160</t>
        </is>
      </c>
      <c r="I323" s="43" t="inlineStr">
        <is>
          <t>20</t>
        </is>
      </c>
      <c r="J323" s="222" t="n">
        <v>1640</v>
      </c>
      <c r="K323" s="222" t="n">
        <v>2030</v>
      </c>
      <c r="L323" s="43" t="inlineStr">
        <is>
          <t>在来｜電動</t>
        </is>
      </c>
      <c r="M323" s="178" t="b">
        <v>1</v>
      </c>
      <c r="N323" s="43" t="inlineStr">
        <is>
          <t>カタログ個別可否確認済み</t>
        </is>
      </c>
      <c r="O323" s="222" t="n">
        <v>40</v>
      </c>
      <c r="P323" s="222" t="n">
        <v>38</v>
      </c>
      <c r="Q323" s="43" t="inlineStr">
        <is>
          <t>202604_LIXIL_サーモスＬ_業務用資料集_完成品価格表.pdf</t>
        </is>
      </c>
      <c r="R323" s="43" t="inlineStr">
        <is>
          <t>規格呼称は親品種で確認済み。固有仕様ごとの価格設定有無（＿＿表示等）は次QAで最終確定。</t>
        </is>
      </c>
      <c r="S323" s="42" t="inlineStr">
        <is>
          <t>▲</t>
        </is>
      </c>
      <c r="T323" s="42" t="n">
        <v>38</v>
      </c>
      <c r="U323" s="42" t="inlineStr">
        <is>
          <t>P38|▲</t>
        </is>
      </c>
      <c r="V323" s="42" t="inlineStr">
        <is>
          <t>同頁凡例へ直接連動</t>
        </is>
      </c>
    </row>
    <row r="324">
      <c r="A324" s="43" t="inlineStr">
        <is>
          <t>SZ-SL-000321</t>
        </is>
      </c>
      <c r="B324" s="43" t="inlineStr">
        <is>
          <t>SER-LIX-SAMOSL</t>
        </is>
      </c>
      <c r="C324" s="43" t="inlineStr">
        <is>
          <t>WT-SL-SHUTTER-HIKI</t>
        </is>
      </c>
      <c r="D324" s="43" t="inlineStr">
        <is>
          <t>シャッター付引違い窓</t>
        </is>
      </c>
      <c r="E324" s="43" t="inlineStr">
        <is>
          <t>SP-SL-SHUT-E-WIND</t>
        </is>
      </c>
      <c r="F324" s="43" t="inlineStr">
        <is>
          <t>在来</t>
        </is>
      </c>
      <c r="G324" s="43" t="inlineStr">
        <is>
          <t>11918</t>
        </is>
      </c>
      <c r="H324" s="43" t="inlineStr">
        <is>
          <t>119</t>
        </is>
      </c>
      <c r="I324" s="43" t="inlineStr">
        <is>
          <t>18</t>
        </is>
      </c>
      <c r="J324" s="222" t="n">
        <v>1235</v>
      </c>
      <c r="K324" s="222" t="n">
        <v>1830</v>
      </c>
      <c r="L324" s="43" t="inlineStr">
        <is>
          <t>在来｜電動</t>
        </is>
      </c>
      <c r="M324" s="178" t="b">
        <v>1</v>
      </c>
      <c r="N324" s="43" t="inlineStr">
        <is>
          <t>カタログ個別可否確認済み</t>
        </is>
      </c>
      <c r="O324" s="222" t="n">
        <v>40</v>
      </c>
      <c r="P324" s="222" t="n">
        <v>38</v>
      </c>
      <c r="Q324" s="43" t="inlineStr">
        <is>
          <t>202604_LIXIL_サーモスＬ_業務用資料集_完成品価格表.pdf</t>
        </is>
      </c>
      <c r="R324" s="43" t="inlineStr">
        <is>
          <t>規格呼称は親品種で確認済み。固有仕様ごとの価格設定有無（＿＿表示等）は次QAで最終確定。</t>
        </is>
      </c>
      <c r="S324" s="42" t="inlineStr">
        <is>
          <t>無印</t>
        </is>
      </c>
      <c r="T324" s="42" t="n">
        <v>38</v>
      </c>
      <c r="U324" s="42" t="inlineStr">
        <is>
          <t>P38|無印</t>
        </is>
      </c>
      <c r="V324" s="42" t="inlineStr">
        <is>
          <t>同頁凡例へ直接連動</t>
        </is>
      </c>
    </row>
    <row r="325">
      <c r="A325" s="43" t="inlineStr">
        <is>
          <t>SZ-SL-000322</t>
        </is>
      </c>
      <c r="B325" s="43" t="inlineStr">
        <is>
          <t>SER-LIX-SAMOSL</t>
        </is>
      </c>
      <c r="C325" s="43" t="inlineStr">
        <is>
          <t>WT-SL-SHUTTER-HIKI</t>
        </is>
      </c>
      <c r="D325" s="43" t="inlineStr">
        <is>
          <t>シャッター付引違い窓</t>
        </is>
      </c>
      <c r="E325" s="43" t="inlineStr">
        <is>
          <t>SP-SL-SHUT-E-WIND</t>
        </is>
      </c>
      <c r="F325" s="43" t="inlineStr">
        <is>
          <t>在来</t>
        </is>
      </c>
      <c r="G325" s="43" t="inlineStr">
        <is>
          <t>11920</t>
        </is>
      </c>
      <c r="H325" s="43" t="inlineStr">
        <is>
          <t>119</t>
        </is>
      </c>
      <c r="I325" s="43" t="inlineStr">
        <is>
          <t>20</t>
        </is>
      </c>
      <c r="J325" s="222" t="n">
        <v>1235</v>
      </c>
      <c r="K325" s="222" t="n">
        <v>2030</v>
      </c>
      <c r="L325" s="43" t="inlineStr">
        <is>
          <t>在来｜電動</t>
        </is>
      </c>
      <c r="M325" s="178" t="b">
        <v>1</v>
      </c>
      <c r="N325" s="43" t="inlineStr">
        <is>
          <t>カタログ個別可否確認済み</t>
        </is>
      </c>
      <c r="O325" s="222" t="n">
        <v>40</v>
      </c>
      <c r="P325" s="222" t="n">
        <v>38</v>
      </c>
      <c r="Q325" s="43" t="inlineStr">
        <is>
          <t>202604_LIXIL_サーモスＬ_業務用資料集_完成品価格表.pdf</t>
        </is>
      </c>
      <c r="R325" s="43" t="inlineStr">
        <is>
          <t>規格呼称は親品種で確認済み。固有仕様ごとの価格設定有無（＿＿表示等）は次QAで最終確定。</t>
        </is>
      </c>
      <c r="S325" s="42" t="inlineStr">
        <is>
          <t>無印</t>
        </is>
      </c>
      <c r="T325" s="42" t="n">
        <v>38</v>
      </c>
      <c r="U325" s="42" t="inlineStr">
        <is>
          <t>P38|無印</t>
        </is>
      </c>
      <c r="V325" s="42" t="inlineStr">
        <is>
          <t>同頁凡例へ直接連動</t>
        </is>
      </c>
    </row>
    <row r="326">
      <c r="A326" s="43" t="inlineStr">
        <is>
          <t>SZ-SL-000323</t>
        </is>
      </c>
      <c r="B326" s="43" t="inlineStr">
        <is>
          <t>SER-LIX-SAMOSL</t>
        </is>
      </c>
      <c r="C326" s="43" t="inlineStr">
        <is>
          <t>WT-SL-SHUTTER-HIKI</t>
        </is>
      </c>
      <c r="D326" s="43" t="inlineStr">
        <is>
          <t>シャッター付引違い窓</t>
        </is>
      </c>
      <c r="E326" s="43" t="inlineStr">
        <is>
          <t>SP-SL-SHUT-E-WIND</t>
        </is>
      </c>
      <c r="F326" s="43" t="inlineStr">
        <is>
          <t>在来</t>
        </is>
      </c>
      <c r="G326" s="43" t="inlineStr">
        <is>
          <t>13318</t>
        </is>
      </c>
      <c r="H326" s="43" t="inlineStr">
        <is>
          <t>133</t>
        </is>
      </c>
      <c r="I326" s="43" t="inlineStr">
        <is>
          <t>18</t>
        </is>
      </c>
      <c r="J326" s="222" t="n">
        <v>1370</v>
      </c>
      <c r="K326" s="222" t="n">
        <v>1830</v>
      </c>
      <c r="L326" s="43" t="inlineStr">
        <is>
          <t>在来｜電動</t>
        </is>
      </c>
      <c r="M326" s="178" t="b">
        <v>0</v>
      </c>
      <c r="N326" s="43" t="inlineStr">
        <is>
          <t>設定なし（価格表確認済み）</t>
        </is>
      </c>
      <c r="O326" s="222" t="n">
        <v>40</v>
      </c>
      <c r="P326" s="222" t="n">
        <v>38</v>
      </c>
      <c r="Q326" s="43" t="inlineStr">
        <is>
          <t>202604_LIXIL_サーモスＬ_業務用資料集_完成品価格表.pdf</t>
        </is>
      </c>
      <c r="R326" s="43" t="inlineStr">
        <is>
          <t>規格呼称は親品種で確認済み。固有仕様ごとの価格設定有無（＿＿表示等）は次QAで最終確定。</t>
        </is>
      </c>
      <c r="S326" s="42" t="inlineStr">
        <is>
          <t>無印</t>
        </is>
      </c>
      <c r="T326" s="42" t="n">
        <v>38</v>
      </c>
      <c r="U326" s="42" t="inlineStr">
        <is>
          <t>P38|無印</t>
        </is>
      </c>
      <c r="V326" s="42" t="inlineStr">
        <is>
          <t>同頁凡例へ直接連動</t>
        </is>
      </c>
    </row>
    <row r="327">
      <c r="A327" s="43" t="inlineStr">
        <is>
          <t>SZ-SL-000324</t>
        </is>
      </c>
      <c r="B327" s="43" t="inlineStr">
        <is>
          <t>SER-LIX-SAMOSL</t>
        </is>
      </c>
      <c r="C327" s="43" t="inlineStr">
        <is>
          <t>WT-SL-SHUTTER-HIKI</t>
        </is>
      </c>
      <c r="D327" s="43" t="inlineStr">
        <is>
          <t>シャッター付引違い窓</t>
        </is>
      </c>
      <c r="E327" s="43" t="inlineStr">
        <is>
          <t>SP-SL-SHUT-E-WIND</t>
        </is>
      </c>
      <c r="F327" s="43" t="inlineStr">
        <is>
          <t>在来</t>
        </is>
      </c>
      <c r="G327" s="43" t="inlineStr">
        <is>
          <t>13320</t>
        </is>
      </c>
      <c r="H327" s="43" t="inlineStr">
        <is>
          <t>133</t>
        </is>
      </c>
      <c r="I327" s="43" t="inlineStr">
        <is>
          <t>20</t>
        </is>
      </c>
      <c r="J327" s="222" t="n">
        <v>1370</v>
      </c>
      <c r="K327" s="222" t="n">
        <v>2030</v>
      </c>
      <c r="L327" s="43" t="inlineStr">
        <is>
          <t>在来｜電動</t>
        </is>
      </c>
      <c r="M327" s="178" t="b">
        <v>0</v>
      </c>
      <c r="N327" s="43" t="inlineStr">
        <is>
          <t>設定なし（価格表確認済み）</t>
        </is>
      </c>
      <c r="O327" s="222" t="n">
        <v>40</v>
      </c>
      <c r="P327" s="222" t="n">
        <v>38</v>
      </c>
      <c r="Q327" s="43" t="inlineStr">
        <is>
          <t>202604_LIXIL_サーモスＬ_業務用資料集_完成品価格表.pdf</t>
        </is>
      </c>
      <c r="R327" s="43" t="inlineStr">
        <is>
          <t>規格呼称は親品種で確認済み。固有仕様ごとの価格設定有無（＿＿表示等）は次QAで最終確定。</t>
        </is>
      </c>
      <c r="S327" s="42" t="inlineStr">
        <is>
          <t>無印</t>
        </is>
      </c>
      <c r="T327" s="42" t="n">
        <v>38</v>
      </c>
      <c r="U327" s="42" t="inlineStr">
        <is>
          <t>P38|無印</t>
        </is>
      </c>
      <c r="V327" s="42" t="inlineStr">
        <is>
          <t>同頁凡例へ直接連動</t>
        </is>
      </c>
    </row>
    <row r="328">
      <c r="A328" s="43" t="inlineStr">
        <is>
          <t>SZ-SL-000325</t>
        </is>
      </c>
      <c r="B328" s="43" t="inlineStr">
        <is>
          <t>SER-LIX-SAMOSL</t>
        </is>
      </c>
      <c r="C328" s="43" t="inlineStr">
        <is>
          <t>WT-SL-SHUTTER-HIKI</t>
        </is>
      </c>
      <c r="D328" s="43" t="inlineStr">
        <is>
          <t>シャッター付引違い窓</t>
        </is>
      </c>
      <c r="E328" s="43" t="inlineStr">
        <is>
          <t>SP-SL-SHUT-E-WIND</t>
        </is>
      </c>
      <c r="F328" s="43" t="inlineStr">
        <is>
          <t>在来</t>
        </is>
      </c>
      <c r="G328" s="43" t="inlineStr">
        <is>
          <t>15018</t>
        </is>
      </c>
      <c r="H328" s="43" t="inlineStr">
        <is>
          <t>150</t>
        </is>
      </c>
      <c r="I328" s="43" t="inlineStr">
        <is>
          <t>18</t>
        </is>
      </c>
      <c r="J328" s="222" t="n">
        <v>1540</v>
      </c>
      <c r="K328" s="222" t="n">
        <v>1830</v>
      </c>
      <c r="L328" s="43" t="inlineStr">
        <is>
          <t>在来｜電動</t>
        </is>
      </c>
      <c r="M328" s="178" t="b">
        <v>1</v>
      </c>
      <c r="N328" s="43" t="inlineStr">
        <is>
          <t>カタログ個別可否確認済み</t>
        </is>
      </c>
      <c r="O328" s="222" t="n">
        <v>40</v>
      </c>
      <c r="P328" s="222" t="n">
        <v>38</v>
      </c>
      <c r="Q328" s="43" t="inlineStr">
        <is>
          <t>202604_LIXIL_サーモスＬ_業務用資料集_完成品価格表.pdf</t>
        </is>
      </c>
      <c r="R328" s="43" t="inlineStr">
        <is>
          <t>規格呼称は親品種で確認済み。固有仕様ごとの価格設定有無（＿＿表示等）は次QAで最終確定。</t>
        </is>
      </c>
      <c r="S328" s="42" t="inlineStr">
        <is>
          <t>無印</t>
        </is>
      </c>
      <c r="T328" s="42" t="n">
        <v>38</v>
      </c>
      <c r="U328" s="42" t="inlineStr">
        <is>
          <t>P38|無印</t>
        </is>
      </c>
      <c r="V328" s="42" t="inlineStr">
        <is>
          <t>同頁凡例へ直接連動</t>
        </is>
      </c>
    </row>
    <row r="329">
      <c r="A329" s="43" t="inlineStr">
        <is>
          <t>SZ-SL-000326</t>
        </is>
      </c>
      <c r="B329" s="43" t="inlineStr">
        <is>
          <t>SER-LIX-SAMOSL</t>
        </is>
      </c>
      <c r="C329" s="43" t="inlineStr">
        <is>
          <t>WT-SL-SHUTTER-HIKI</t>
        </is>
      </c>
      <c r="D329" s="43" t="inlineStr">
        <is>
          <t>シャッター付引違い窓</t>
        </is>
      </c>
      <c r="E329" s="43" t="inlineStr">
        <is>
          <t>SP-SL-SHUT-E-WIND</t>
        </is>
      </c>
      <c r="F329" s="43" t="inlineStr">
        <is>
          <t>在来</t>
        </is>
      </c>
      <c r="G329" s="43" t="inlineStr">
        <is>
          <t>15020</t>
        </is>
      </c>
      <c r="H329" s="43" t="inlineStr">
        <is>
          <t>150</t>
        </is>
      </c>
      <c r="I329" s="43" t="inlineStr">
        <is>
          <t>20</t>
        </is>
      </c>
      <c r="J329" s="222" t="n">
        <v>1540</v>
      </c>
      <c r="K329" s="222" t="n">
        <v>2030</v>
      </c>
      <c r="L329" s="43" t="inlineStr">
        <is>
          <t>在来｜電動</t>
        </is>
      </c>
      <c r="M329" s="178" t="b">
        <v>1</v>
      </c>
      <c r="N329" s="43" t="inlineStr">
        <is>
          <t>カタログ個別可否確認済み</t>
        </is>
      </c>
      <c r="O329" s="222" t="n">
        <v>40</v>
      </c>
      <c r="P329" s="222" t="n">
        <v>38</v>
      </c>
      <c r="Q329" s="43" t="inlineStr">
        <is>
          <t>202604_LIXIL_サーモスＬ_業務用資料集_完成品価格表.pdf</t>
        </is>
      </c>
      <c r="R329" s="43" t="inlineStr">
        <is>
          <t>規格呼称は親品種で確認済み。固有仕様ごとの価格設定有無（＿＿表示等）は次QAで最終確定。</t>
        </is>
      </c>
      <c r="S329" s="42" t="inlineStr">
        <is>
          <t>○</t>
        </is>
      </c>
      <c r="T329" s="42" t="n">
        <v>38</v>
      </c>
      <c r="U329" s="42" t="inlineStr">
        <is>
          <t>P38|○</t>
        </is>
      </c>
      <c r="V329" s="42" t="inlineStr">
        <is>
          <t>同頁凡例へ直接連動</t>
        </is>
      </c>
    </row>
    <row r="330">
      <c r="A330" s="43" t="inlineStr">
        <is>
          <t>SZ-SL-000327</t>
        </is>
      </c>
      <c r="B330" s="43" t="inlineStr">
        <is>
          <t>SER-LIX-SAMOSL</t>
        </is>
      </c>
      <c r="C330" s="43" t="inlineStr">
        <is>
          <t>WT-SL-SHUTTER-HIKI</t>
        </is>
      </c>
      <c r="D330" s="43" t="inlineStr">
        <is>
          <t>シャッター付引違い窓</t>
        </is>
      </c>
      <c r="E330" s="43" t="inlineStr">
        <is>
          <t>SP-SL-SHUT-E-WIND</t>
        </is>
      </c>
      <c r="F330" s="43" t="inlineStr">
        <is>
          <t>在来</t>
        </is>
      </c>
      <c r="G330" s="43" t="inlineStr">
        <is>
          <t>16018</t>
        </is>
      </c>
      <c r="H330" s="43" t="inlineStr">
        <is>
          <t>160</t>
        </is>
      </c>
      <c r="I330" s="43" t="inlineStr">
        <is>
          <t>18</t>
        </is>
      </c>
      <c r="J330" s="222" t="n">
        <v>1640</v>
      </c>
      <c r="K330" s="222" t="n">
        <v>1830</v>
      </c>
      <c r="L330" s="43" t="inlineStr">
        <is>
          <t>在来｜電動</t>
        </is>
      </c>
      <c r="M330" s="178" t="b">
        <v>1</v>
      </c>
      <c r="N330" s="43" t="inlineStr">
        <is>
          <t>カタログ個別可否確認済み</t>
        </is>
      </c>
      <c r="O330" s="222" t="n">
        <v>40</v>
      </c>
      <c r="P330" s="222" t="n">
        <v>38</v>
      </c>
      <c r="Q330" s="43" t="inlineStr">
        <is>
          <t>202604_LIXIL_サーモスＬ_業務用資料集_完成品価格表.pdf</t>
        </is>
      </c>
      <c r="R330" s="43" t="inlineStr">
        <is>
          <t>規格呼称は親品種で確認済み。固有仕様ごとの価格設定有無（＿＿表示等）は次QAで最終確定。</t>
        </is>
      </c>
      <c r="S330" s="42" t="inlineStr">
        <is>
          <t>無印</t>
        </is>
      </c>
      <c r="T330" s="42" t="n">
        <v>38</v>
      </c>
      <c r="U330" s="42" t="inlineStr">
        <is>
          <t>P38|無印</t>
        </is>
      </c>
      <c r="V330" s="42" t="inlineStr">
        <is>
          <t>同頁凡例へ直接連動</t>
        </is>
      </c>
    </row>
    <row r="331">
      <c r="A331" s="43" t="inlineStr">
        <is>
          <t>SZ-SL-000328</t>
        </is>
      </c>
      <c r="B331" s="43" t="inlineStr">
        <is>
          <t>SER-LIX-SAMOSL</t>
        </is>
      </c>
      <c r="C331" s="43" t="inlineStr">
        <is>
          <t>WT-SL-SHUTTER-HIKI</t>
        </is>
      </c>
      <c r="D331" s="43" t="inlineStr">
        <is>
          <t>シャッター付引違い窓</t>
        </is>
      </c>
      <c r="E331" s="43" t="inlineStr">
        <is>
          <t>SP-SL-SHUT-E-WIND</t>
        </is>
      </c>
      <c r="F331" s="43" t="inlineStr">
        <is>
          <t>在来</t>
        </is>
      </c>
      <c r="G331" s="43" t="inlineStr">
        <is>
          <t>16020</t>
        </is>
      </c>
      <c r="H331" s="43" t="inlineStr">
        <is>
          <t>160</t>
        </is>
      </c>
      <c r="I331" s="43" t="inlineStr">
        <is>
          <t>20</t>
        </is>
      </c>
      <c r="J331" s="222" t="n">
        <v>1640</v>
      </c>
      <c r="K331" s="222" t="n">
        <v>2030</v>
      </c>
      <c r="L331" s="43" t="inlineStr">
        <is>
          <t>在来｜電動</t>
        </is>
      </c>
      <c r="M331" s="178" t="b">
        <v>1</v>
      </c>
      <c r="N331" s="43" t="inlineStr">
        <is>
          <t>カタログ個別可否確認済み</t>
        </is>
      </c>
      <c r="O331" s="222" t="n">
        <v>40</v>
      </c>
      <c r="P331" s="222" t="n">
        <v>38</v>
      </c>
      <c r="Q331" s="43" t="inlineStr">
        <is>
          <t>202604_LIXIL_サーモスＬ_業務用資料集_完成品価格表.pdf</t>
        </is>
      </c>
      <c r="R331" s="43" t="inlineStr">
        <is>
          <t>規格呼称は親品種で確認済み。固有仕様ごとの価格設定有無（＿＿表示等）は次QAで最終確定。</t>
        </is>
      </c>
      <c r="S331" s="42" t="inlineStr">
        <is>
          <t>▲</t>
        </is>
      </c>
      <c r="T331" s="42" t="n">
        <v>38</v>
      </c>
      <c r="U331" s="42" t="inlineStr">
        <is>
          <t>P38|▲</t>
        </is>
      </c>
      <c r="V331" s="42" t="inlineStr">
        <is>
          <t>同頁凡例へ直接連動</t>
        </is>
      </c>
    </row>
    <row r="332">
      <c r="A332" s="43" t="inlineStr">
        <is>
          <t>SZ-SL-000329</t>
        </is>
      </c>
      <c r="B332" s="43" t="inlineStr">
        <is>
          <t>SER-LIX-SAMOSL</t>
        </is>
      </c>
      <c r="C332" s="43" t="inlineStr">
        <is>
          <t>WT-SL-SHUTTER-HIKI</t>
        </is>
      </c>
      <c r="D332" s="43" t="inlineStr">
        <is>
          <t>シャッター付引違い窓</t>
        </is>
      </c>
      <c r="E332" s="43" t="inlineStr">
        <is>
          <t>SP-SL-SHUT-E-STD</t>
        </is>
      </c>
      <c r="F332" s="43" t="inlineStr">
        <is>
          <t>在来</t>
        </is>
      </c>
      <c r="G332" s="43" t="inlineStr">
        <is>
          <t>16518</t>
        </is>
      </c>
      <c r="H332" s="43" t="inlineStr">
        <is>
          <t>165</t>
        </is>
      </c>
      <c r="I332" s="43" t="inlineStr">
        <is>
          <t>18</t>
        </is>
      </c>
      <c r="J332" s="222" t="n">
        <v>1690</v>
      </c>
      <c r="K332" s="222" t="n">
        <v>1830</v>
      </c>
      <c r="L332" s="43" t="inlineStr">
        <is>
          <t>在来｜電動</t>
        </is>
      </c>
      <c r="M332" s="178" t="b">
        <v>1</v>
      </c>
      <c r="N332" s="43" t="inlineStr">
        <is>
          <t>カタログ規格確認済み</t>
        </is>
      </c>
      <c r="O332" s="222" t="n">
        <v>41</v>
      </c>
      <c r="P332" s="222" t="n">
        <v>39</v>
      </c>
      <c r="Q332" s="43" t="inlineStr">
        <is>
          <t>202604_LIXIL_サーモスＬ_業務用資料集_完成品価格表.pdf</t>
        </is>
      </c>
      <c r="R332" s="43" t="n"/>
      <c r="S332" s="42" t="inlineStr">
        <is>
          <t>無印</t>
        </is>
      </c>
      <c r="T332" s="42" t="n">
        <v>38</v>
      </c>
      <c r="U332" s="42" t="inlineStr">
        <is>
          <t>P38|無印</t>
        </is>
      </c>
      <c r="V332" s="42" t="inlineStr">
        <is>
          <t>同一価格表・前頁凡例を継承</t>
        </is>
      </c>
    </row>
    <row r="333">
      <c r="A333" s="43" t="inlineStr">
        <is>
          <t>SZ-SL-000330</t>
        </is>
      </c>
      <c r="B333" s="43" t="inlineStr">
        <is>
          <t>SER-LIX-SAMOSL</t>
        </is>
      </c>
      <c r="C333" s="43" t="inlineStr">
        <is>
          <t>WT-SL-SHUTTER-HIKI</t>
        </is>
      </c>
      <c r="D333" s="43" t="inlineStr">
        <is>
          <t>シャッター付引違い窓</t>
        </is>
      </c>
      <c r="E333" s="43" t="inlineStr">
        <is>
          <t>SP-SL-SHUT-E-STD</t>
        </is>
      </c>
      <c r="F333" s="43" t="inlineStr">
        <is>
          <t>在来</t>
        </is>
      </c>
      <c r="G333" s="43" t="inlineStr">
        <is>
          <t>16520</t>
        </is>
      </c>
      <c r="H333" s="43" t="inlineStr">
        <is>
          <t>165</t>
        </is>
      </c>
      <c r="I333" s="43" t="inlineStr">
        <is>
          <t>20</t>
        </is>
      </c>
      <c r="J333" s="222" t="n">
        <v>1690</v>
      </c>
      <c r="K333" s="222" t="n">
        <v>2030</v>
      </c>
      <c r="L333" s="43" t="inlineStr">
        <is>
          <t>在来｜電動</t>
        </is>
      </c>
      <c r="M333" s="178" t="b">
        <v>1</v>
      </c>
      <c r="N333" s="43" t="inlineStr">
        <is>
          <t>カタログ規格確認済み</t>
        </is>
      </c>
      <c r="O333" s="222" t="n">
        <v>41</v>
      </c>
      <c r="P333" s="222" t="n">
        <v>39</v>
      </c>
      <c r="Q333" s="43" t="inlineStr">
        <is>
          <t>202604_LIXIL_サーモスＬ_業務用資料集_完成品価格表.pdf</t>
        </is>
      </c>
      <c r="R333" s="43" t="n"/>
      <c r="S333" s="42" t="inlineStr">
        <is>
          <t>★</t>
        </is>
      </c>
      <c r="T333" s="42" t="n">
        <v>38</v>
      </c>
      <c r="U333" s="42" t="inlineStr">
        <is>
          <t>P38|★</t>
        </is>
      </c>
      <c r="V333" s="42" t="inlineStr">
        <is>
          <t>同一価格表・前頁凡例を継承</t>
        </is>
      </c>
    </row>
    <row r="334">
      <c r="A334" s="43" t="inlineStr">
        <is>
          <t>SZ-SL-000331</t>
        </is>
      </c>
      <c r="B334" s="43" t="inlineStr">
        <is>
          <t>SER-LIX-SAMOSL</t>
        </is>
      </c>
      <c r="C334" s="43" t="inlineStr">
        <is>
          <t>WT-SL-SHUTTER-HIKI</t>
        </is>
      </c>
      <c r="D334" s="43" t="inlineStr">
        <is>
          <t>シャッター付引違い窓</t>
        </is>
      </c>
      <c r="E334" s="43" t="inlineStr">
        <is>
          <t>SP-SL-SHUT-E-STD</t>
        </is>
      </c>
      <c r="F334" s="43" t="inlineStr">
        <is>
          <t>在来</t>
        </is>
      </c>
      <c r="G334" s="43" t="inlineStr">
        <is>
          <t>17418</t>
        </is>
      </c>
      <c r="H334" s="43" t="inlineStr">
        <is>
          <t>174</t>
        </is>
      </c>
      <c r="I334" s="43" t="inlineStr">
        <is>
          <t>18</t>
        </is>
      </c>
      <c r="J334" s="222" t="n">
        <v>1780</v>
      </c>
      <c r="K334" s="222" t="n">
        <v>1830</v>
      </c>
      <c r="L334" s="43" t="inlineStr">
        <is>
          <t>在来｜電動</t>
        </is>
      </c>
      <c r="M334" s="178" t="b">
        <v>1</v>
      </c>
      <c r="N334" s="43" t="inlineStr">
        <is>
          <t>カタログ規格確認済み</t>
        </is>
      </c>
      <c r="O334" s="222" t="n">
        <v>41</v>
      </c>
      <c r="P334" s="222" t="n">
        <v>39</v>
      </c>
      <c r="Q334" s="43" t="inlineStr">
        <is>
          <t>202604_LIXIL_サーモスＬ_業務用資料集_完成品価格表.pdf</t>
        </is>
      </c>
      <c r="R334" s="43" t="n"/>
      <c r="S334" s="42" t="inlineStr">
        <is>
          <t>無印</t>
        </is>
      </c>
      <c r="T334" s="42" t="n">
        <v>38</v>
      </c>
      <c r="U334" s="42" t="inlineStr">
        <is>
          <t>P38|無印</t>
        </is>
      </c>
      <c r="V334" s="42" t="inlineStr">
        <is>
          <t>同一価格表・前頁凡例を継承</t>
        </is>
      </c>
    </row>
    <row r="335">
      <c r="A335" s="43" t="inlineStr">
        <is>
          <t>SZ-SL-000332</t>
        </is>
      </c>
      <c r="B335" s="43" t="inlineStr">
        <is>
          <t>SER-LIX-SAMOSL</t>
        </is>
      </c>
      <c r="C335" s="43" t="inlineStr">
        <is>
          <t>WT-SL-SHUTTER-HIKI</t>
        </is>
      </c>
      <c r="D335" s="43" t="inlineStr">
        <is>
          <t>シャッター付引違い窓</t>
        </is>
      </c>
      <c r="E335" s="43" t="inlineStr">
        <is>
          <t>SP-SL-SHUT-E-STD</t>
        </is>
      </c>
      <c r="F335" s="43" t="inlineStr">
        <is>
          <t>在来</t>
        </is>
      </c>
      <c r="G335" s="43" t="inlineStr">
        <is>
          <t>17420</t>
        </is>
      </c>
      <c r="H335" s="43" t="inlineStr">
        <is>
          <t>174</t>
        </is>
      </c>
      <c r="I335" s="43" t="inlineStr">
        <is>
          <t>20</t>
        </is>
      </c>
      <c r="J335" s="222" t="n">
        <v>1780</v>
      </c>
      <c r="K335" s="222" t="n">
        <v>2030</v>
      </c>
      <c r="L335" s="43" t="inlineStr">
        <is>
          <t>在来｜電動</t>
        </is>
      </c>
      <c r="M335" s="178" t="b">
        <v>1</v>
      </c>
      <c r="N335" s="43" t="inlineStr">
        <is>
          <t>カタログ規格確認済み</t>
        </is>
      </c>
      <c r="O335" s="222" t="n">
        <v>41</v>
      </c>
      <c r="P335" s="222" t="n">
        <v>39</v>
      </c>
      <c r="Q335" s="43" t="inlineStr">
        <is>
          <t>202604_LIXIL_サーモスＬ_業務用資料集_完成品価格表.pdf</t>
        </is>
      </c>
      <c r="R335" s="43" t="n"/>
      <c r="S335" s="42" t="inlineStr">
        <is>
          <t>★</t>
        </is>
      </c>
      <c r="T335" s="42" t="n">
        <v>38</v>
      </c>
      <c r="U335" s="42" t="inlineStr">
        <is>
          <t>P38|★</t>
        </is>
      </c>
      <c r="V335" s="42" t="inlineStr">
        <is>
          <t>同一価格表・前頁凡例を継承</t>
        </is>
      </c>
    </row>
    <row r="336">
      <c r="A336" s="43" t="inlineStr">
        <is>
          <t>SZ-SL-000333</t>
        </is>
      </c>
      <c r="B336" s="43" t="inlineStr">
        <is>
          <t>SER-LIX-SAMOSL</t>
        </is>
      </c>
      <c r="C336" s="43" t="inlineStr">
        <is>
          <t>WT-SL-SHUTTER-HIKI</t>
        </is>
      </c>
      <c r="D336" s="43" t="inlineStr">
        <is>
          <t>シャッター付引違い窓</t>
        </is>
      </c>
      <c r="E336" s="43" t="inlineStr">
        <is>
          <t>SP-SL-SHUT-E-STD</t>
        </is>
      </c>
      <c r="F336" s="43" t="inlineStr">
        <is>
          <t>在来</t>
        </is>
      </c>
      <c r="G336" s="43" t="inlineStr">
        <is>
          <t>17618</t>
        </is>
      </c>
      <c r="H336" s="43" t="inlineStr">
        <is>
          <t>176</t>
        </is>
      </c>
      <c r="I336" s="43" t="inlineStr">
        <is>
          <t>18</t>
        </is>
      </c>
      <c r="J336" s="222" t="n">
        <v>1800</v>
      </c>
      <c r="K336" s="222" t="n">
        <v>1830</v>
      </c>
      <c r="L336" s="43" t="inlineStr">
        <is>
          <t>在来｜電動</t>
        </is>
      </c>
      <c r="M336" s="178" t="b">
        <v>1</v>
      </c>
      <c r="N336" s="43" t="inlineStr">
        <is>
          <t>カタログ規格確認済み</t>
        </is>
      </c>
      <c r="O336" s="222" t="n">
        <v>41</v>
      </c>
      <c r="P336" s="222" t="n">
        <v>39</v>
      </c>
      <c r="Q336" s="43" t="inlineStr">
        <is>
          <t>202604_LIXIL_サーモスＬ_業務用資料集_完成品価格表.pdf</t>
        </is>
      </c>
      <c r="R336" s="43" t="n"/>
      <c r="S336" s="42" t="inlineStr">
        <is>
          <t>無印</t>
        </is>
      </c>
      <c r="T336" s="42" t="n">
        <v>38</v>
      </c>
      <c r="U336" s="42" t="inlineStr">
        <is>
          <t>P38|無印</t>
        </is>
      </c>
      <c r="V336" s="42" t="inlineStr">
        <is>
          <t>同一価格表・前頁凡例を継承</t>
        </is>
      </c>
    </row>
    <row r="337">
      <c r="A337" s="43" t="inlineStr">
        <is>
          <t>SZ-SL-000334</t>
        </is>
      </c>
      <c r="B337" s="43" t="inlineStr">
        <is>
          <t>SER-LIX-SAMOSL</t>
        </is>
      </c>
      <c r="C337" s="43" t="inlineStr">
        <is>
          <t>WT-SL-SHUTTER-HIKI</t>
        </is>
      </c>
      <c r="D337" s="43" t="inlineStr">
        <is>
          <t>シャッター付引違い窓</t>
        </is>
      </c>
      <c r="E337" s="43" t="inlineStr">
        <is>
          <t>SP-SL-SHUT-E-STD</t>
        </is>
      </c>
      <c r="F337" s="43" t="inlineStr">
        <is>
          <t>在来</t>
        </is>
      </c>
      <c r="G337" s="43" t="inlineStr">
        <is>
          <t>17620</t>
        </is>
      </c>
      <c r="H337" s="43" t="inlineStr">
        <is>
          <t>176</t>
        </is>
      </c>
      <c r="I337" s="43" t="inlineStr">
        <is>
          <t>20</t>
        </is>
      </c>
      <c r="J337" s="222" t="n">
        <v>1800</v>
      </c>
      <c r="K337" s="222" t="n">
        <v>2030</v>
      </c>
      <c r="L337" s="43" t="inlineStr">
        <is>
          <t>在来｜電動</t>
        </is>
      </c>
      <c r="M337" s="178" t="b">
        <v>1</v>
      </c>
      <c r="N337" s="43" t="inlineStr">
        <is>
          <t>カタログ規格確認済み</t>
        </is>
      </c>
      <c r="O337" s="222" t="n">
        <v>41</v>
      </c>
      <c r="P337" s="222" t="n">
        <v>39</v>
      </c>
      <c r="Q337" s="43" t="inlineStr">
        <is>
          <t>202604_LIXIL_サーモスＬ_業務用資料集_完成品価格表.pdf</t>
        </is>
      </c>
      <c r="R337" s="43" t="n"/>
      <c r="S337" s="42" t="inlineStr">
        <is>
          <t>★</t>
        </is>
      </c>
      <c r="T337" s="42" t="n">
        <v>38</v>
      </c>
      <c r="U337" s="42" t="inlineStr">
        <is>
          <t>P38|★</t>
        </is>
      </c>
      <c r="V337" s="42" t="inlineStr">
        <is>
          <t>同一価格表・前頁凡例を継承</t>
        </is>
      </c>
    </row>
    <row r="338">
      <c r="A338" s="43" t="inlineStr">
        <is>
          <t>SZ-SL-000335</t>
        </is>
      </c>
      <c r="B338" s="43" t="inlineStr">
        <is>
          <t>SER-LIX-SAMOSL</t>
        </is>
      </c>
      <c r="C338" s="43" t="inlineStr">
        <is>
          <t>WT-SL-SHUTTER-HIKI</t>
        </is>
      </c>
      <c r="D338" s="43" t="inlineStr">
        <is>
          <t>シャッター付引違い窓</t>
        </is>
      </c>
      <c r="E338" s="43" t="inlineStr">
        <is>
          <t>SP-SL-SHUT-E-STD</t>
        </is>
      </c>
      <c r="F338" s="43" t="inlineStr">
        <is>
          <t>在来</t>
        </is>
      </c>
      <c r="G338" s="43" t="inlineStr">
        <is>
          <t>18018</t>
        </is>
      </c>
      <c r="H338" s="43" t="inlineStr">
        <is>
          <t>180</t>
        </is>
      </c>
      <c r="I338" s="43" t="inlineStr">
        <is>
          <t>18</t>
        </is>
      </c>
      <c r="J338" s="222" t="n">
        <v>1845</v>
      </c>
      <c r="K338" s="222" t="n">
        <v>1830</v>
      </c>
      <c r="L338" s="43" t="inlineStr">
        <is>
          <t>在来｜電動</t>
        </is>
      </c>
      <c r="M338" s="178" t="b">
        <v>1</v>
      </c>
      <c r="N338" s="43" t="inlineStr">
        <is>
          <t>カタログ規格確認済み</t>
        </is>
      </c>
      <c r="O338" s="222" t="n">
        <v>41</v>
      </c>
      <c r="P338" s="222" t="n">
        <v>39</v>
      </c>
      <c r="Q338" s="43" t="inlineStr">
        <is>
          <t>202604_LIXIL_サーモスＬ_業務用資料集_完成品価格表.pdf</t>
        </is>
      </c>
      <c r="R338" s="43" t="n"/>
      <c r="S338" s="42" t="inlineStr">
        <is>
          <t>★</t>
        </is>
      </c>
      <c r="T338" s="42" t="n">
        <v>38</v>
      </c>
      <c r="U338" s="42" t="inlineStr">
        <is>
          <t>P38|★</t>
        </is>
      </c>
      <c r="V338" s="42" t="inlineStr">
        <is>
          <t>同一価格表・前頁凡例を継承</t>
        </is>
      </c>
    </row>
    <row r="339">
      <c r="A339" s="43" t="inlineStr">
        <is>
          <t>SZ-SL-000336</t>
        </is>
      </c>
      <c r="B339" s="43" t="inlineStr">
        <is>
          <t>SER-LIX-SAMOSL</t>
        </is>
      </c>
      <c r="C339" s="43" t="inlineStr">
        <is>
          <t>WT-SL-SHUTTER-HIKI</t>
        </is>
      </c>
      <c r="D339" s="43" t="inlineStr">
        <is>
          <t>シャッター付引違い窓</t>
        </is>
      </c>
      <c r="E339" s="43" t="inlineStr">
        <is>
          <t>SP-SL-SHUT-E-STD</t>
        </is>
      </c>
      <c r="F339" s="43" t="inlineStr">
        <is>
          <t>在来</t>
        </is>
      </c>
      <c r="G339" s="43" t="inlineStr">
        <is>
          <t>18020</t>
        </is>
      </c>
      <c r="H339" s="43" t="inlineStr">
        <is>
          <t>180</t>
        </is>
      </c>
      <c r="I339" s="43" t="inlineStr">
        <is>
          <t>20</t>
        </is>
      </c>
      <c r="J339" s="222" t="n">
        <v>1845</v>
      </c>
      <c r="K339" s="222" t="n">
        <v>2030</v>
      </c>
      <c r="L339" s="43" t="inlineStr">
        <is>
          <t>在来｜電動</t>
        </is>
      </c>
      <c r="M339" s="178" t="b">
        <v>1</v>
      </c>
      <c r="N339" s="43" t="inlineStr">
        <is>
          <t>カタログ規格確認済み</t>
        </is>
      </c>
      <c r="O339" s="222" t="n">
        <v>41</v>
      </c>
      <c r="P339" s="222" t="n">
        <v>39</v>
      </c>
      <c r="Q339" s="43" t="inlineStr">
        <is>
          <t>202604_LIXIL_サーモスＬ_業務用資料集_完成品価格表.pdf</t>
        </is>
      </c>
      <c r="R339" s="43" t="n"/>
      <c r="S339" s="42" t="inlineStr">
        <is>
          <t>★</t>
        </is>
      </c>
      <c r="T339" s="42" t="n">
        <v>38</v>
      </c>
      <c r="U339" s="42" t="inlineStr">
        <is>
          <t>P38|★</t>
        </is>
      </c>
      <c r="V339" s="42" t="inlineStr">
        <is>
          <t>同一価格表・前頁凡例を継承</t>
        </is>
      </c>
    </row>
    <row r="340">
      <c r="A340" s="43" t="inlineStr">
        <is>
          <t>SZ-SL-000337</t>
        </is>
      </c>
      <c r="B340" s="43" t="inlineStr">
        <is>
          <t>SER-LIX-SAMOSL</t>
        </is>
      </c>
      <c r="C340" s="43" t="inlineStr">
        <is>
          <t>WT-SL-SHUTTER-HIKI</t>
        </is>
      </c>
      <c r="D340" s="43" t="inlineStr">
        <is>
          <t>シャッター付引違い窓</t>
        </is>
      </c>
      <c r="E340" s="43" t="inlineStr">
        <is>
          <t>SP-SL-SHUT-E-VENT</t>
        </is>
      </c>
      <c r="F340" s="43" t="inlineStr">
        <is>
          <t>在来</t>
        </is>
      </c>
      <c r="G340" s="43" t="inlineStr">
        <is>
          <t>16518</t>
        </is>
      </c>
      <c r="H340" s="43" t="inlineStr">
        <is>
          <t>165</t>
        </is>
      </c>
      <c r="I340" s="43" t="inlineStr">
        <is>
          <t>18</t>
        </is>
      </c>
      <c r="J340" s="222" t="n">
        <v>1690</v>
      </c>
      <c r="K340" s="222" t="n">
        <v>1830</v>
      </c>
      <c r="L340" s="43" t="inlineStr">
        <is>
          <t>在来｜電動</t>
        </is>
      </c>
      <c r="M340" s="178" t="b">
        <v>1</v>
      </c>
      <c r="N340" s="43" t="inlineStr">
        <is>
          <t>カタログ個別可否確認済み</t>
        </is>
      </c>
      <c r="O340" s="222" t="n">
        <v>41</v>
      </c>
      <c r="P340" s="222" t="n">
        <v>39</v>
      </c>
      <c r="Q340" s="43" t="inlineStr">
        <is>
          <t>202604_LIXIL_サーモスＬ_業務用資料集_完成品価格表.pdf</t>
        </is>
      </c>
      <c r="R340" s="43" t="inlineStr">
        <is>
          <t>規格呼称は親品種で確認済み。固有仕様ごとの価格設定有無（＿＿表示等）は次QAで最終確定。</t>
        </is>
      </c>
      <c r="S340" s="42" t="inlineStr">
        <is>
          <t>無印</t>
        </is>
      </c>
      <c r="T340" s="42" t="n">
        <v>38</v>
      </c>
      <c r="U340" s="42" t="inlineStr">
        <is>
          <t>P38|無印</t>
        </is>
      </c>
      <c r="V340" s="42" t="inlineStr">
        <is>
          <t>同一価格表・前頁凡例を継承</t>
        </is>
      </c>
    </row>
    <row r="341">
      <c r="A341" s="43" t="inlineStr">
        <is>
          <t>SZ-SL-000338</t>
        </is>
      </c>
      <c r="B341" s="43" t="inlineStr">
        <is>
          <t>SER-LIX-SAMOSL</t>
        </is>
      </c>
      <c r="C341" s="43" t="inlineStr">
        <is>
          <t>WT-SL-SHUTTER-HIKI</t>
        </is>
      </c>
      <c r="D341" s="43" t="inlineStr">
        <is>
          <t>シャッター付引違い窓</t>
        </is>
      </c>
      <c r="E341" s="43" t="inlineStr">
        <is>
          <t>SP-SL-SHUT-E-VENT</t>
        </is>
      </c>
      <c r="F341" s="43" t="inlineStr">
        <is>
          <t>在来</t>
        </is>
      </c>
      <c r="G341" s="43" t="inlineStr">
        <is>
          <t>16520</t>
        </is>
      </c>
      <c r="H341" s="43" t="inlineStr">
        <is>
          <t>165</t>
        </is>
      </c>
      <c r="I341" s="43" t="inlineStr">
        <is>
          <t>20</t>
        </is>
      </c>
      <c r="J341" s="222" t="n">
        <v>1690</v>
      </c>
      <c r="K341" s="222" t="n">
        <v>2030</v>
      </c>
      <c r="L341" s="43" t="inlineStr">
        <is>
          <t>在来｜電動</t>
        </is>
      </c>
      <c r="M341" s="178" t="b">
        <v>1</v>
      </c>
      <c r="N341" s="43" t="inlineStr">
        <is>
          <t>カタログ個別可否確認済み</t>
        </is>
      </c>
      <c r="O341" s="222" t="n">
        <v>41</v>
      </c>
      <c r="P341" s="222" t="n">
        <v>39</v>
      </c>
      <c r="Q341" s="43" t="inlineStr">
        <is>
          <t>202604_LIXIL_サーモスＬ_業務用資料集_完成品価格表.pdf</t>
        </is>
      </c>
      <c r="R341" s="43" t="inlineStr">
        <is>
          <t>規格呼称は親品種で確認済み。固有仕様ごとの価格設定有無（＿＿表示等）は次QAで最終確定。</t>
        </is>
      </c>
      <c r="S341" s="42" t="inlineStr">
        <is>
          <t>★</t>
        </is>
      </c>
      <c r="T341" s="42" t="n">
        <v>38</v>
      </c>
      <c r="U341" s="42" t="inlineStr">
        <is>
          <t>P38|★</t>
        </is>
      </c>
      <c r="V341" s="42" t="inlineStr">
        <is>
          <t>同一価格表・前頁凡例を継承</t>
        </is>
      </c>
    </row>
    <row r="342">
      <c r="A342" s="43" t="inlineStr">
        <is>
          <t>SZ-SL-000339</t>
        </is>
      </c>
      <c r="B342" s="43" t="inlineStr">
        <is>
          <t>SER-LIX-SAMOSL</t>
        </is>
      </c>
      <c r="C342" s="43" t="inlineStr">
        <is>
          <t>WT-SL-SHUTTER-HIKI</t>
        </is>
      </c>
      <c r="D342" s="43" t="inlineStr">
        <is>
          <t>シャッター付引違い窓</t>
        </is>
      </c>
      <c r="E342" s="43" t="inlineStr">
        <is>
          <t>SP-SL-SHUT-E-VENT</t>
        </is>
      </c>
      <c r="F342" s="43" t="inlineStr">
        <is>
          <t>在来</t>
        </is>
      </c>
      <c r="G342" s="43" t="inlineStr">
        <is>
          <t>17418</t>
        </is>
      </c>
      <c r="H342" s="43" t="inlineStr">
        <is>
          <t>174</t>
        </is>
      </c>
      <c r="I342" s="43" t="inlineStr">
        <is>
          <t>18</t>
        </is>
      </c>
      <c r="J342" s="222" t="n">
        <v>1780</v>
      </c>
      <c r="K342" s="222" t="n">
        <v>1830</v>
      </c>
      <c r="L342" s="43" t="inlineStr">
        <is>
          <t>在来｜電動</t>
        </is>
      </c>
      <c r="M342" s="178" t="b">
        <v>1</v>
      </c>
      <c r="N342" s="43" t="inlineStr">
        <is>
          <t>カタログ個別可否確認済み</t>
        </is>
      </c>
      <c r="O342" s="222" t="n">
        <v>41</v>
      </c>
      <c r="P342" s="222" t="n">
        <v>39</v>
      </c>
      <c r="Q342" s="43" t="inlineStr">
        <is>
          <t>202604_LIXIL_サーモスＬ_業務用資料集_完成品価格表.pdf</t>
        </is>
      </c>
      <c r="R342" s="43" t="inlineStr">
        <is>
          <t>規格呼称は親品種で確認済み。固有仕様ごとの価格設定有無（＿＿表示等）は次QAで最終確定。</t>
        </is>
      </c>
      <c r="S342" s="42" t="inlineStr">
        <is>
          <t>無印</t>
        </is>
      </c>
      <c r="T342" s="42" t="n">
        <v>38</v>
      </c>
      <c r="U342" s="42" t="inlineStr">
        <is>
          <t>P38|無印</t>
        </is>
      </c>
      <c r="V342" s="42" t="inlineStr">
        <is>
          <t>同一価格表・前頁凡例を継承</t>
        </is>
      </c>
    </row>
    <row r="343">
      <c r="A343" s="43" t="inlineStr">
        <is>
          <t>SZ-SL-000340</t>
        </is>
      </c>
      <c r="B343" s="43" t="inlineStr">
        <is>
          <t>SER-LIX-SAMOSL</t>
        </is>
      </c>
      <c r="C343" s="43" t="inlineStr">
        <is>
          <t>WT-SL-SHUTTER-HIKI</t>
        </is>
      </c>
      <c r="D343" s="43" t="inlineStr">
        <is>
          <t>シャッター付引違い窓</t>
        </is>
      </c>
      <c r="E343" s="43" t="inlineStr">
        <is>
          <t>SP-SL-SHUT-E-VENT</t>
        </is>
      </c>
      <c r="F343" s="43" t="inlineStr">
        <is>
          <t>在来</t>
        </is>
      </c>
      <c r="G343" s="43" t="inlineStr">
        <is>
          <t>17420</t>
        </is>
      </c>
      <c r="H343" s="43" t="inlineStr">
        <is>
          <t>174</t>
        </is>
      </c>
      <c r="I343" s="43" t="inlineStr">
        <is>
          <t>20</t>
        </is>
      </c>
      <c r="J343" s="222" t="n">
        <v>1780</v>
      </c>
      <c r="K343" s="222" t="n">
        <v>2030</v>
      </c>
      <c r="L343" s="43" t="inlineStr">
        <is>
          <t>在来｜電動</t>
        </is>
      </c>
      <c r="M343" s="178" t="b">
        <v>1</v>
      </c>
      <c r="N343" s="43" t="inlineStr">
        <is>
          <t>カタログ個別可否確認済み</t>
        </is>
      </c>
      <c r="O343" s="222" t="n">
        <v>41</v>
      </c>
      <c r="P343" s="222" t="n">
        <v>39</v>
      </c>
      <c r="Q343" s="43" t="inlineStr">
        <is>
          <t>202604_LIXIL_サーモスＬ_業務用資料集_完成品価格表.pdf</t>
        </is>
      </c>
      <c r="R343" s="43" t="inlineStr">
        <is>
          <t>規格呼称は親品種で確認済み。固有仕様ごとの価格設定有無（＿＿表示等）は次QAで最終確定。</t>
        </is>
      </c>
      <c r="S343" s="42" t="inlineStr">
        <is>
          <t>★</t>
        </is>
      </c>
      <c r="T343" s="42" t="n">
        <v>38</v>
      </c>
      <c r="U343" s="42" t="inlineStr">
        <is>
          <t>P38|★</t>
        </is>
      </c>
      <c r="V343" s="42" t="inlineStr">
        <is>
          <t>同一価格表・前頁凡例を継承</t>
        </is>
      </c>
    </row>
    <row r="344">
      <c r="A344" s="43" t="inlineStr">
        <is>
          <t>SZ-SL-000341</t>
        </is>
      </c>
      <c r="B344" s="43" t="inlineStr">
        <is>
          <t>SER-LIX-SAMOSL</t>
        </is>
      </c>
      <c r="C344" s="43" t="inlineStr">
        <is>
          <t>WT-SL-SHUTTER-HIKI</t>
        </is>
      </c>
      <c r="D344" s="43" t="inlineStr">
        <is>
          <t>シャッター付引違い窓</t>
        </is>
      </c>
      <c r="E344" s="43" t="inlineStr">
        <is>
          <t>SP-SL-SHUT-E-VENT</t>
        </is>
      </c>
      <c r="F344" s="43" t="inlineStr">
        <is>
          <t>在来</t>
        </is>
      </c>
      <c r="G344" s="43" t="inlineStr">
        <is>
          <t>17618</t>
        </is>
      </c>
      <c r="H344" s="43" t="inlineStr">
        <is>
          <t>176</t>
        </is>
      </c>
      <c r="I344" s="43" t="inlineStr">
        <is>
          <t>18</t>
        </is>
      </c>
      <c r="J344" s="222" t="n">
        <v>1800</v>
      </c>
      <c r="K344" s="222" t="n">
        <v>1830</v>
      </c>
      <c r="L344" s="43" t="inlineStr">
        <is>
          <t>在来｜電動</t>
        </is>
      </c>
      <c r="M344" s="178" t="b">
        <v>1</v>
      </c>
      <c r="N344" s="43" t="inlineStr">
        <is>
          <t>カタログ個別可否確認済み</t>
        </is>
      </c>
      <c r="O344" s="222" t="n">
        <v>41</v>
      </c>
      <c r="P344" s="222" t="n">
        <v>39</v>
      </c>
      <c r="Q344" s="43" t="inlineStr">
        <is>
          <t>202604_LIXIL_サーモスＬ_業務用資料集_完成品価格表.pdf</t>
        </is>
      </c>
      <c r="R344" s="43" t="inlineStr">
        <is>
          <t>規格呼称は親品種で確認済み。固有仕様ごとの価格設定有無（＿＿表示等）は次QAで最終確定。</t>
        </is>
      </c>
      <c r="S344" s="42" t="inlineStr">
        <is>
          <t>無印</t>
        </is>
      </c>
      <c r="T344" s="42" t="n">
        <v>38</v>
      </c>
      <c r="U344" s="42" t="inlineStr">
        <is>
          <t>P38|無印</t>
        </is>
      </c>
      <c r="V344" s="42" t="inlineStr">
        <is>
          <t>同一価格表・前頁凡例を継承</t>
        </is>
      </c>
    </row>
    <row r="345">
      <c r="A345" s="43" t="inlineStr">
        <is>
          <t>SZ-SL-000342</t>
        </is>
      </c>
      <c r="B345" s="43" t="inlineStr">
        <is>
          <t>SER-LIX-SAMOSL</t>
        </is>
      </c>
      <c r="C345" s="43" t="inlineStr">
        <is>
          <t>WT-SL-SHUTTER-HIKI</t>
        </is>
      </c>
      <c r="D345" s="43" t="inlineStr">
        <is>
          <t>シャッター付引違い窓</t>
        </is>
      </c>
      <c r="E345" s="43" t="inlineStr">
        <is>
          <t>SP-SL-SHUT-E-VENT</t>
        </is>
      </c>
      <c r="F345" s="43" t="inlineStr">
        <is>
          <t>在来</t>
        </is>
      </c>
      <c r="G345" s="43" t="inlineStr">
        <is>
          <t>17620</t>
        </is>
      </c>
      <c r="H345" s="43" t="inlineStr">
        <is>
          <t>176</t>
        </is>
      </c>
      <c r="I345" s="43" t="inlineStr">
        <is>
          <t>20</t>
        </is>
      </c>
      <c r="J345" s="222" t="n">
        <v>1800</v>
      </c>
      <c r="K345" s="222" t="n">
        <v>2030</v>
      </c>
      <c r="L345" s="43" t="inlineStr">
        <is>
          <t>在来｜電動</t>
        </is>
      </c>
      <c r="M345" s="178" t="b">
        <v>1</v>
      </c>
      <c r="N345" s="43" t="inlineStr">
        <is>
          <t>カタログ個別可否確認済み</t>
        </is>
      </c>
      <c r="O345" s="222" t="n">
        <v>41</v>
      </c>
      <c r="P345" s="222" t="n">
        <v>39</v>
      </c>
      <c r="Q345" s="43" t="inlineStr">
        <is>
          <t>202604_LIXIL_サーモスＬ_業務用資料集_完成品価格表.pdf</t>
        </is>
      </c>
      <c r="R345" s="43" t="inlineStr">
        <is>
          <t>規格呼称は親品種で確認済み。固有仕様ごとの価格設定有無（＿＿表示等）は次QAで最終確定。</t>
        </is>
      </c>
      <c r="S345" s="42" t="inlineStr">
        <is>
          <t>★</t>
        </is>
      </c>
      <c r="T345" s="42" t="n">
        <v>38</v>
      </c>
      <c r="U345" s="42" t="inlineStr">
        <is>
          <t>P38|★</t>
        </is>
      </c>
      <c r="V345" s="42" t="inlineStr">
        <is>
          <t>同一価格表・前頁凡例を継承</t>
        </is>
      </c>
    </row>
    <row r="346">
      <c r="A346" s="43" t="inlineStr">
        <is>
          <t>SZ-SL-000343</t>
        </is>
      </c>
      <c r="B346" s="43" t="inlineStr">
        <is>
          <t>SER-LIX-SAMOSL</t>
        </is>
      </c>
      <c r="C346" s="43" t="inlineStr">
        <is>
          <t>WT-SL-SHUTTER-HIKI</t>
        </is>
      </c>
      <c r="D346" s="43" t="inlineStr">
        <is>
          <t>シャッター付引違い窓</t>
        </is>
      </c>
      <c r="E346" s="43" t="inlineStr">
        <is>
          <t>SP-SL-SHUT-E-VENT</t>
        </is>
      </c>
      <c r="F346" s="43" t="inlineStr">
        <is>
          <t>在来</t>
        </is>
      </c>
      <c r="G346" s="43" t="inlineStr">
        <is>
          <t>18018</t>
        </is>
      </c>
      <c r="H346" s="43" t="inlineStr">
        <is>
          <t>180</t>
        </is>
      </c>
      <c r="I346" s="43" t="inlineStr">
        <is>
          <t>18</t>
        </is>
      </c>
      <c r="J346" s="222" t="n">
        <v>1845</v>
      </c>
      <c r="K346" s="222" t="n">
        <v>1830</v>
      </c>
      <c r="L346" s="43" t="inlineStr">
        <is>
          <t>在来｜電動</t>
        </is>
      </c>
      <c r="M346" s="178" t="b">
        <v>1</v>
      </c>
      <c r="N346" s="43" t="inlineStr">
        <is>
          <t>カタログ個別可否確認済み</t>
        </is>
      </c>
      <c r="O346" s="222" t="n">
        <v>41</v>
      </c>
      <c r="P346" s="222" t="n">
        <v>39</v>
      </c>
      <c r="Q346" s="43" t="inlineStr">
        <is>
          <t>202604_LIXIL_サーモスＬ_業務用資料集_完成品価格表.pdf</t>
        </is>
      </c>
      <c r="R346" s="43" t="inlineStr">
        <is>
          <t>規格呼称は親品種で確認済み。固有仕様ごとの価格設定有無（＿＿表示等）は次QAで最終確定。</t>
        </is>
      </c>
      <c r="S346" s="42" t="inlineStr">
        <is>
          <t>★</t>
        </is>
      </c>
      <c r="T346" s="42" t="n">
        <v>38</v>
      </c>
      <c r="U346" s="42" t="inlineStr">
        <is>
          <t>P38|★</t>
        </is>
      </c>
      <c r="V346" s="42" t="inlineStr">
        <is>
          <t>同一価格表・前頁凡例を継承</t>
        </is>
      </c>
    </row>
    <row r="347">
      <c r="A347" s="43" t="inlineStr">
        <is>
          <t>SZ-SL-000344</t>
        </is>
      </c>
      <c r="B347" s="43" t="inlineStr">
        <is>
          <t>SER-LIX-SAMOSL</t>
        </is>
      </c>
      <c r="C347" s="43" t="inlineStr">
        <is>
          <t>WT-SL-SHUTTER-HIKI</t>
        </is>
      </c>
      <c r="D347" s="43" t="inlineStr">
        <is>
          <t>シャッター付引違い窓</t>
        </is>
      </c>
      <c r="E347" s="43" t="inlineStr">
        <is>
          <t>SP-SL-SHUT-E-VENT</t>
        </is>
      </c>
      <c r="F347" s="43" t="inlineStr">
        <is>
          <t>在来</t>
        </is>
      </c>
      <c r="G347" s="43" t="inlineStr">
        <is>
          <t>18020</t>
        </is>
      </c>
      <c r="H347" s="43" t="inlineStr">
        <is>
          <t>180</t>
        </is>
      </c>
      <c r="I347" s="43" t="inlineStr">
        <is>
          <t>20</t>
        </is>
      </c>
      <c r="J347" s="222" t="n">
        <v>1845</v>
      </c>
      <c r="K347" s="222" t="n">
        <v>2030</v>
      </c>
      <c r="L347" s="43" t="inlineStr">
        <is>
          <t>在来｜電動</t>
        </is>
      </c>
      <c r="M347" s="178" t="b">
        <v>1</v>
      </c>
      <c r="N347" s="43" t="inlineStr">
        <is>
          <t>カタログ個別可否確認済み</t>
        </is>
      </c>
      <c r="O347" s="222" t="n">
        <v>41</v>
      </c>
      <c r="P347" s="222" t="n">
        <v>39</v>
      </c>
      <c r="Q347" s="43" t="inlineStr">
        <is>
          <t>202604_LIXIL_サーモスＬ_業務用資料集_完成品価格表.pdf</t>
        </is>
      </c>
      <c r="R347" s="43" t="inlineStr">
        <is>
          <t>規格呼称は親品種で確認済み。固有仕様ごとの価格設定有無（＿＿表示等）は次QAで最終確定。</t>
        </is>
      </c>
      <c r="S347" s="42" t="inlineStr">
        <is>
          <t>★</t>
        </is>
      </c>
      <c r="T347" s="42" t="n">
        <v>38</v>
      </c>
      <c r="U347" s="42" t="inlineStr">
        <is>
          <t>P38|★</t>
        </is>
      </c>
      <c r="V347" s="42" t="inlineStr">
        <is>
          <t>同一価格表・前頁凡例を継承</t>
        </is>
      </c>
    </row>
    <row r="348">
      <c r="A348" s="43" t="inlineStr">
        <is>
          <t>SZ-SL-000345</t>
        </is>
      </c>
      <c r="B348" s="43" t="inlineStr">
        <is>
          <t>SER-LIX-SAMOSL</t>
        </is>
      </c>
      <c r="C348" s="43" t="inlineStr">
        <is>
          <t>WT-SL-SHUTTER-HIKI</t>
        </is>
      </c>
      <c r="D348" s="43" t="inlineStr">
        <is>
          <t>シャッター付引違い窓</t>
        </is>
      </c>
      <c r="E348" s="43" t="inlineStr">
        <is>
          <t>SP-SL-SHUT-E-WIND</t>
        </is>
      </c>
      <c r="F348" s="43" t="inlineStr">
        <is>
          <t>在来</t>
        </is>
      </c>
      <c r="G348" s="43" t="inlineStr">
        <is>
          <t>16518</t>
        </is>
      </c>
      <c r="H348" s="43" t="inlineStr">
        <is>
          <t>165</t>
        </is>
      </c>
      <c r="I348" s="43" t="inlineStr">
        <is>
          <t>18</t>
        </is>
      </c>
      <c r="J348" s="222" t="n">
        <v>1690</v>
      </c>
      <c r="K348" s="222" t="n">
        <v>1830</v>
      </c>
      <c r="L348" s="43" t="inlineStr">
        <is>
          <t>在来｜電動</t>
        </is>
      </c>
      <c r="M348" s="178" t="b">
        <v>1</v>
      </c>
      <c r="N348" s="43" t="inlineStr">
        <is>
          <t>カタログ個別可否確認済み</t>
        </is>
      </c>
      <c r="O348" s="222" t="n">
        <v>41</v>
      </c>
      <c r="P348" s="222" t="n">
        <v>39</v>
      </c>
      <c r="Q348" s="43" t="inlineStr">
        <is>
          <t>202604_LIXIL_サーモスＬ_業務用資料集_完成品価格表.pdf</t>
        </is>
      </c>
      <c r="R348" s="43" t="inlineStr">
        <is>
          <t>規格呼称は親品種で確認済み。固有仕様ごとの価格設定有無（＿＿表示等）は次QAで最終確定。</t>
        </is>
      </c>
      <c r="S348" s="42" t="inlineStr">
        <is>
          <t>無印</t>
        </is>
      </c>
      <c r="T348" s="42" t="n">
        <v>38</v>
      </c>
      <c r="U348" s="42" t="inlineStr">
        <is>
          <t>P38|無印</t>
        </is>
      </c>
      <c r="V348" s="42" t="inlineStr">
        <is>
          <t>同一価格表・前頁凡例を継承</t>
        </is>
      </c>
    </row>
    <row r="349">
      <c r="A349" s="43" t="inlineStr">
        <is>
          <t>SZ-SL-000346</t>
        </is>
      </c>
      <c r="B349" s="43" t="inlineStr">
        <is>
          <t>SER-LIX-SAMOSL</t>
        </is>
      </c>
      <c r="C349" s="43" t="inlineStr">
        <is>
          <t>WT-SL-SHUTTER-HIKI</t>
        </is>
      </c>
      <c r="D349" s="43" t="inlineStr">
        <is>
          <t>シャッター付引違い窓</t>
        </is>
      </c>
      <c r="E349" s="43" t="inlineStr">
        <is>
          <t>SP-SL-SHUT-E-WIND</t>
        </is>
      </c>
      <c r="F349" s="43" t="inlineStr">
        <is>
          <t>在来</t>
        </is>
      </c>
      <c r="G349" s="43" t="inlineStr">
        <is>
          <t>16520</t>
        </is>
      </c>
      <c r="H349" s="43" t="inlineStr">
        <is>
          <t>165</t>
        </is>
      </c>
      <c r="I349" s="43" t="inlineStr">
        <is>
          <t>20</t>
        </is>
      </c>
      <c r="J349" s="222" t="n">
        <v>1690</v>
      </c>
      <c r="K349" s="222" t="n">
        <v>2030</v>
      </c>
      <c r="L349" s="43" t="inlineStr">
        <is>
          <t>在来｜電動</t>
        </is>
      </c>
      <c r="M349" s="178" t="b">
        <v>1</v>
      </c>
      <c r="N349" s="43" t="inlineStr">
        <is>
          <t>カタログ個別可否確認済み</t>
        </is>
      </c>
      <c r="O349" s="222" t="n">
        <v>41</v>
      </c>
      <c r="P349" s="222" t="n">
        <v>39</v>
      </c>
      <c r="Q349" s="43" t="inlineStr">
        <is>
          <t>202604_LIXIL_サーモスＬ_業務用資料集_完成品価格表.pdf</t>
        </is>
      </c>
      <c r="R349" s="43" t="inlineStr">
        <is>
          <t>規格呼称は親品種で確認済み。固有仕様ごとの価格設定有無（＿＿表示等）は次QAで最終確定。</t>
        </is>
      </c>
      <c r="S349" s="42" t="inlineStr">
        <is>
          <t>★</t>
        </is>
      </c>
      <c r="T349" s="42" t="n">
        <v>38</v>
      </c>
      <c r="U349" s="42" t="inlineStr">
        <is>
          <t>P38|★</t>
        </is>
      </c>
      <c r="V349" s="42" t="inlineStr">
        <is>
          <t>同一価格表・前頁凡例を継承</t>
        </is>
      </c>
    </row>
    <row r="350">
      <c r="A350" s="43" t="inlineStr">
        <is>
          <t>SZ-SL-000347</t>
        </is>
      </c>
      <c r="B350" s="43" t="inlineStr">
        <is>
          <t>SER-LIX-SAMOSL</t>
        </is>
      </c>
      <c r="C350" s="43" t="inlineStr">
        <is>
          <t>WT-SL-SHUTTER-HIKI</t>
        </is>
      </c>
      <c r="D350" s="43" t="inlineStr">
        <is>
          <t>シャッター付引違い窓</t>
        </is>
      </c>
      <c r="E350" s="43" t="inlineStr">
        <is>
          <t>SP-SL-SHUT-E-WIND</t>
        </is>
      </c>
      <c r="F350" s="43" t="inlineStr">
        <is>
          <t>在来</t>
        </is>
      </c>
      <c r="G350" s="43" t="inlineStr">
        <is>
          <t>17418</t>
        </is>
      </c>
      <c r="H350" s="43" t="inlineStr">
        <is>
          <t>174</t>
        </is>
      </c>
      <c r="I350" s="43" t="inlineStr">
        <is>
          <t>18</t>
        </is>
      </c>
      <c r="J350" s="222" t="n">
        <v>1780</v>
      </c>
      <c r="K350" s="222" t="n">
        <v>1830</v>
      </c>
      <c r="L350" s="43" t="inlineStr">
        <is>
          <t>在来｜電動</t>
        </is>
      </c>
      <c r="M350" s="178" t="b">
        <v>0</v>
      </c>
      <c r="N350" s="43" t="inlineStr">
        <is>
          <t>設定なし（価格表確認済み）</t>
        </is>
      </c>
      <c r="O350" s="222" t="n">
        <v>41</v>
      </c>
      <c r="P350" s="222" t="n">
        <v>39</v>
      </c>
      <c r="Q350" s="43" t="inlineStr">
        <is>
          <t>202604_LIXIL_サーモスＬ_業務用資料集_完成品価格表.pdf</t>
        </is>
      </c>
      <c r="R350" s="43" t="inlineStr">
        <is>
          <t>規格呼称は親品種で確認済み。固有仕様ごとの価格設定有無（＿＿表示等）は次QAで最終確定。</t>
        </is>
      </c>
      <c r="S350" s="42" t="inlineStr">
        <is>
          <t>無印</t>
        </is>
      </c>
      <c r="T350" s="42" t="n">
        <v>38</v>
      </c>
      <c r="U350" s="42" t="inlineStr">
        <is>
          <t>P38|無印</t>
        </is>
      </c>
      <c r="V350" s="42" t="inlineStr">
        <is>
          <t>同一価格表・前頁凡例を継承</t>
        </is>
      </c>
    </row>
    <row r="351">
      <c r="A351" s="43" t="inlineStr">
        <is>
          <t>SZ-SL-000348</t>
        </is>
      </c>
      <c r="B351" s="43" t="inlineStr">
        <is>
          <t>SER-LIX-SAMOSL</t>
        </is>
      </c>
      <c r="C351" s="43" t="inlineStr">
        <is>
          <t>WT-SL-SHUTTER-HIKI</t>
        </is>
      </c>
      <c r="D351" s="43" t="inlineStr">
        <is>
          <t>シャッター付引違い窓</t>
        </is>
      </c>
      <c r="E351" s="43" t="inlineStr">
        <is>
          <t>SP-SL-SHUT-E-WIND</t>
        </is>
      </c>
      <c r="F351" s="43" t="inlineStr">
        <is>
          <t>在来</t>
        </is>
      </c>
      <c r="G351" s="43" t="inlineStr">
        <is>
          <t>17420</t>
        </is>
      </c>
      <c r="H351" s="43" t="inlineStr">
        <is>
          <t>174</t>
        </is>
      </c>
      <c r="I351" s="43" t="inlineStr">
        <is>
          <t>20</t>
        </is>
      </c>
      <c r="J351" s="222" t="n">
        <v>1780</v>
      </c>
      <c r="K351" s="222" t="n">
        <v>2030</v>
      </c>
      <c r="L351" s="43" t="inlineStr">
        <is>
          <t>在来｜電動</t>
        </is>
      </c>
      <c r="M351" s="178" t="b">
        <v>0</v>
      </c>
      <c r="N351" s="43" t="inlineStr">
        <is>
          <t>設定なし（価格表確認済み）</t>
        </is>
      </c>
      <c r="O351" s="222" t="n">
        <v>41</v>
      </c>
      <c r="P351" s="222" t="n">
        <v>39</v>
      </c>
      <c r="Q351" s="43" t="inlineStr">
        <is>
          <t>202604_LIXIL_サーモスＬ_業務用資料集_完成品価格表.pdf</t>
        </is>
      </c>
      <c r="R351" s="43" t="inlineStr">
        <is>
          <t>規格呼称は親品種で確認済み。固有仕様ごとの価格設定有無（＿＿表示等）は次QAで最終確定。</t>
        </is>
      </c>
      <c r="S351" s="42" t="inlineStr">
        <is>
          <t>★</t>
        </is>
      </c>
      <c r="T351" s="42" t="n">
        <v>38</v>
      </c>
      <c r="U351" s="42" t="inlineStr">
        <is>
          <t>P38|★</t>
        </is>
      </c>
      <c r="V351" s="42" t="inlineStr">
        <is>
          <t>同一価格表・前頁凡例を継承</t>
        </is>
      </c>
    </row>
    <row r="352">
      <c r="A352" s="43" t="inlineStr">
        <is>
          <t>SZ-SL-000349</t>
        </is>
      </c>
      <c r="B352" s="43" t="inlineStr">
        <is>
          <t>SER-LIX-SAMOSL</t>
        </is>
      </c>
      <c r="C352" s="43" t="inlineStr">
        <is>
          <t>WT-SL-SHUTTER-HIKI</t>
        </is>
      </c>
      <c r="D352" s="43" t="inlineStr">
        <is>
          <t>シャッター付引違い窓</t>
        </is>
      </c>
      <c r="E352" s="43" t="inlineStr">
        <is>
          <t>SP-SL-SHUT-E-WIND</t>
        </is>
      </c>
      <c r="F352" s="43" t="inlineStr">
        <is>
          <t>在来</t>
        </is>
      </c>
      <c r="G352" s="43" t="inlineStr">
        <is>
          <t>17618</t>
        </is>
      </c>
      <c r="H352" s="43" t="inlineStr">
        <is>
          <t>176</t>
        </is>
      </c>
      <c r="I352" s="43" t="inlineStr">
        <is>
          <t>18</t>
        </is>
      </c>
      <c r="J352" s="222" t="n">
        <v>1800</v>
      </c>
      <c r="K352" s="222" t="n">
        <v>1830</v>
      </c>
      <c r="L352" s="43" t="inlineStr">
        <is>
          <t>在来｜電動</t>
        </is>
      </c>
      <c r="M352" s="178" t="b">
        <v>0</v>
      </c>
      <c r="N352" s="43" t="inlineStr">
        <is>
          <t>設定なし（価格表確認済み）</t>
        </is>
      </c>
      <c r="O352" s="222" t="n">
        <v>41</v>
      </c>
      <c r="P352" s="222" t="n">
        <v>39</v>
      </c>
      <c r="Q352" s="43" t="inlineStr">
        <is>
          <t>202604_LIXIL_サーモスＬ_業務用資料集_完成品価格表.pdf</t>
        </is>
      </c>
      <c r="R352" s="43" t="inlineStr">
        <is>
          <t>規格呼称は親品種で確認済み。固有仕様ごとの価格設定有無（＿＿表示等）は次QAで最終確定。</t>
        </is>
      </c>
      <c r="S352" s="42" t="inlineStr">
        <is>
          <t>無印</t>
        </is>
      </c>
      <c r="T352" s="42" t="n">
        <v>38</v>
      </c>
      <c r="U352" s="42" t="inlineStr">
        <is>
          <t>P38|無印</t>
        </is>
      </c>
      <c r="V352" s="42" t="inlineStr">
        <is>
          <t>同一価格表・前頁凡例を継承</t>
        </is>
      </c>
    </row>
    <row r="353">
      <c r="A353" s="43" t="inlineStr">
        <is>
          <t>SZ-SL-000350</t>
        </is>
      </c>
      <c r="B353" s="43" t="inlineStr">
        <is>
          <t>SER-LIX-SAMOSL</t>
        </is>
      </c>
      <c r="C353" s="43" t="inlineStr">
        <is>
          <t>WT-SL-SHUTTER-HIKI</t>
        </is>
      </c>
      <c r="D353" s="43" t="inlineStr">
        <is>
          <t>シャッター付引違い窓</t>
        </is>
      </c>
      <c r="E353" s="43" t="inlineStr">
        <is>
          <t>SP-SL-SHUT-E-WIND</t>
        </is>
      </c>
      <c r="F353" s="43" t="inlineStr">
        <is>
          <t>在来</t>
        </is>
      </c>
      <c r="G353" s="43" t="inlineStr">
        <is>
          <t>17620</t>
        </is>
      </c>
      <c r="H353" s="43" t="inlineStr">
        <is>
          <t>176</t>
        </is>
      </c>
      <c r="I353" s="43" t="inlineStr">
        <is>
          <t>20</t>
        </is>
      </c>
      <c r="J353" s="222" t="n">
        <v>1800</v>
      </c>
      <c r="K353" s="222" t="n">
        <v>2030</v>
      </c>
      <c r="L353" s="43" t="inlineStr">
        <is>
          <t>在来｜電動</t>
        </is>
      </c>
      <c r="M353" s="178" t="b">
        <v>0</v>
      </c>
      <c r="N353" s="43" t="inlineStr">
        <is>
          <t>設定なし（価格表確認済み）</t>
        </is>
      </c>
      <c r="O353" s="222" t="n">
        <v>41</v>
      </c>
      <c r="P353" s="222" t="n">
        <v>39</v>
      </c>
      <c r="Q353" s="43" t="inlineStr">
        <is>
          <t>202604_LIXIL_サーモスＬ_業務用資料集_完成品価格表.pdf</t>
        </is>
      </c>
      <c r="R353" s="43" t="inlineStr">
        <is>
          <t>規格呼称は親品種で確認済み。固有仕様ごとの価格設定有無（＿＿表示等）は次QAで最終確定。</t>
        </is>
      </c>
      <c r="S353" s="42" t="inlineStr">
        <is>
          <t>★</t>
        </is>
      </c>
      <c r="T353" s="42" t="n">
        <v>38</v>
      </c>
      <c r="U353" s="42" t="inlineStr">
        <is>
          <t>P38|★</t>
        </is>
      </c>
      <c r="V353" s="42" t="inlineStr">
        <is>
          <t>同一価格表・前頁凡例を継承</t>
        </is>
      </c>
    </row>
    <row r="354">
      <c r="A354" s="43" t="inlineStr">
        <is>
          <t>SZ-SL-000351</t>
        </is>
      </c>
      <c r="B354" s="43" t="inlineStr">
        <is>
          <t>SER-LIX-SAMOSL</t>
        </is>
      </c>
      <c r="C354" s="43" t="inlineStr">
        <is>
          <t>WT-SL-SHUTTER-HIKI</t>
        </is>
      </c>
      <c r="D354" s="43" t="inlineStr">
        <is>
          <t>シャッター付引違い窓</t>
        </is>
      </c>
      <c r="E354" s="43" t="inlineStr">
        <is>
          <t>SP-SL-SHUT-E-WIND</t>
        </is>
      </c>
      <c r="F354" s="43" t="inlineStr">
        <is>
          <t>在来</t>
        </is>
      </c>
      <c r="G354" s="43" t="inlineStr">
        <is>
          <t>18018</t>
        </is>
      </c>
      <c r="H354" s="43" t="inlineStr">
        <is>
          <t>180</t>
        </is>
      </c>
      <c r="I354" s="43" t="inlineStr">
        <is>
          <t>18</t>
        </is>
      </c>
      <c r="J354" s="222" t="n">
        <v>1845</v>
      </c>
      <c r="K354" s="222" t="n">
        <v>1830</v>
      </c>
      <c r="L354" s="43" t="inlineStr">
        <is>
          <t>在来｜電動</t>
        </is>
      </c>
      <c r="M354" s="178" t="b">
        <v>0</v>
      </c>
      <c r="N354" s="43" t="inlineStr">
        <is>
          <t>設定なし（価格表確認済み）</t>
        </is>
      </c>
      <c r="O354" s="222" t="n">
        <v>41</v>
      </c>
      <c r="P354" s="222" t="n">
        <v>39</v>
      </c>
      <c r="Q354" s="43" t="inlineStr">
        <is>
          <t>202604_LIXIL_サーモスＬ_業務用資料集_完成品価格表.pdf</t>
        </is>
      </c>
      <c r="R354" s="43" t="inlineStr">
        <is>
          <t>規格呼称は親品種で確認済み。固有仕様ごとの価格設定有無（＿＿表示等）は次QAで最終確定。</t>
        </is>
      </c>
      <c r="S354" s="42" t="inlineStr">
        <is>
          <t>★</t>
        </is>
      </c>
      <c r="T354" s="42" t="n">
        <v>38</v>
      </c>
      <c r="U354" s="42" t="inlineStr">
        <is>
          <t>P38|★</t>
        </is>
      </c>
      <c r="V354" s="42" t="inlineStr">
        <is>
          <t>同一価格表・前頁凡例を継承</t>
        </is>
      </c>
    </row>
    <row r="355">
      <c r="A355" s="43" t="inlineStr">
        <is>
          <t>SZ-SL-000352</t>
        </is>
      </c>
      <c r="B355" s="43" t="inlineStr">
        <is>
          <t>SER-LIX-SAMOSL</t>
        </is>
      </c>
      <c r="C355" s="43" t="inlineStr">
        <is>
          <t>WT-SL-SHUTTER-HIKI</t>
        </is>
      </c>
      <c r="D355" s="43" t="inlineStr">
        <is>
          <t>シャッター付引違い窓</t>
        </is>
      </c>
      <c r="E355" s="43" t="inlineStr">
        <is>
          <t>SP-SL-SHUT-E-WIND</t>
        </is>
      </c>
      <c r="F355" s="43" t="inlineStr">
        <is>
          <t>在来</t>
        </is>
      </c>
      <c r="G355" s="43" t="inlineStr">
        <is>
          <t>18020</t>
        </is>
      </c>
      <c r="H355" s="43" t="inlineStr">
        <is>
          <t>180</t>
        </is>
      </c>
      <c r="I355" s="43" t="inlineStr">
        <is>
          <t>20</t>
        </is>
      </c>
      <c r="J355" s="222" t="n">
        <v>1845</v>
      </c>
      <c r="K355" s="222" t="n">
        <v>2030</v>
      </c>
      <c r="L355" s="43" t="inlineStr">
        <is>
          <t>在来｜電動</t>
        </is>
      </c>
      <c r="M355" s="178" t="b">
        <v>0</v>
      </c>
      <c r="N355" s="43" t="inlineStr">
        <is>
          <t>設定なし（価格表確認済み）</t>
        </is>
      </c>
      <c r="O355" s="222" t="n">
        <v>41</v>
      </c>
      <c r="P355" s="222" t="n">
        <v>39</v>
      </c>
      <c r="Q355" s="43" t="inlineStr">
        <is>
          <t>202604_LIXIL_サーモスＬ_業務用資料集_完成品価格表.pdf</t>
        </is>
      </c>
      <c r="R355" s="43" t="inlineStr">
        <is>
          <t>規格呼称は親品種で確認済み。固有仕様ごとの価格設定有無（＿＿表示等）は次QAで最終確定。</t>
        </is>
      </c>
      <c r="S355" s="42" t="inlineStr">
        <is>
          <t>★</t>
        </is>
      </c>
      <c r="T355" s="42" t="n">
        <v>38</v>
      </c>
      <c r="U355" s="42" t="inlineStr">
        <is>
          <t>P38|★</t>
        </is>
      </c>
      <c r="V355" s="42" t="inlineStr">
        <is>
          <t>同一価格表・前頁凡例を継承</t>
        </is>
      </c>
    </row>
    <row r="356">
      <c r="A356" s="43" t="inlineStr">
        <is>
          <t>SZ-SL-000353</t>
        </is>
      </c>
      <c r="B356" s="43" t="inlineStr">
        <is>
          <t>SER-LIX-SAMOSL</t>
        </is>
      </c>
      <c r="C356" s="43" t="inlineStr">
        <is>
          <t>WT-SL-SHUTTER-HIKI</t>
        </is>
      </c>
      <c r="D356" s="43" t="inlineStr">
        <is>
          <t>シャッター付引違い窓</t>
        </is>
      </c>
      <c r="E356" s="43" t="inlineStr">
        <is>
          <t>SP-SL-SHUT-E-STD</t>
        </is>
      </c>
      <c r="F356" s="43" t="inlineStr">
        <is>
          <t>在来</t>
        </is>
      </c>
      <c r="G356" s="43" t="inlineStr">
        <is>
          <t>18618</t>
        </is>
      </c>
      <c r="H356" s="43" t="inlineStr">
        <is>
          <t>186</t>
        </is>
      </c>
      <c r="I356" s="43" t="inlineStr">
        <is>
          <t>18</t>
        </is>
      </c>
      <c r="J356" s="222" t="n">
        <v>1900</v>
      </c>
      <c r="K356" s="222" t="n">
        <v>1830</v>
      </c>
      <c r="L356" s="43" t="inlineStr">
        <is>
          <t>在来｜電動</t>
        </is>
      </c>
      <c r="M356" s="178" t="b">
        <v>1</v>
      </c>
      <c r="N356" s="43" t="inlineStr">
        <is>
          <t>カタログ規格確認済み</t>
        </is>
      </c>
      <c r="O356" s="222" t="n">
        <v>42</v>
      </c>
      <c r="P356" s="222" t="n">
        <v>40</v>
      </c>
      <c r="Q356" s="43" t="inlineStr">
        <is>
          <t>202604_LIXIL_サーモスＬ_業務用資料集_完成品価格表.pdf</t>
        </is>
      </c>
      <c r="R356" s="43" t="n"/>
      <c r="S356" s="42" t="inlineStr">
        <is>
          <t>★</t>
        </is>
      </c>
      <c r="T356" s="42" t="n">
        <v>40</v>
      </c>
      <c r="U356" s="42" t="inlineStr">
        <is>
          <t>P40|★</t>
        </is>
      </c>
      <c r="V356" s="42" t="inlineStr">
        <is>
          <t>同頁凡例へ直接連動</t>
        </is>
      </c>
    </row>
    <row r="357">
      <c r="A357" s="43" t="inlineStr">
        <is>
          <t>SZ-SL-000354</t>
        </is>
      </c>
      <c r="B357" s="43" t="inlineStr">
        <is>
          <t>SER-LIX-SAMOSL</t>
        </is>
      </c>
      <c r="C357" s="43" t="inlineStr">
        <is>
          <t>WT-SL-SHUTTER-HIKI</t>
        </is>
      </c>
      <c r="D357" s="43" t="inlineStr">
        <is>
          <t>シャッター付引違い窓</t>
        </is>
      </c>
      <c r="E357" s="43" t="inlineStr">
        <is>
          <t>SP-SL-SHUT-E-STD</t>
        </is>
      </c>
      <c r="F357" s="43" t="inlineStr">
        <is>
          <t>在来</t>
        </is>
      </c>
      <c r="G357" s="43" t="inlineStr">
        <is>
          <t>18620</t>
        </is>
      </c>
      <c r="H357" s="43" t="inlineStr">
        <is>
          <t>186</t>
        </is>
      </c>
      <c r="I357" s="43" t="inlineStr">
        <is>
          <t>20</t>
        </is>
      </c>
      <c r="J357" s="222" t="n">
        <v>1900</v>
      </c>
      <c r="K357" s="222" t="n">
        <v>2030</v>
      </c>
      <c r="L357" s="43" t="inlineStr">
        <is>
          <t>在来｜電動</t>
        </is>
      </c>
      <c r="M357" s="178" t="b">
        <v>1</v>
      </c>
      <c r="N357" s="43" t="inlineStr">
        <is>
          <t>カタログ規格確認済み</t>
        </is>
      </c>
      <c r="O357" s="222" t="n">
        <v>42</v>
      </c>
      <c r="P357" s="222" t="n">
        <v>40</v>
      </c>
      <c r="Q357" s="43" t="inlineStr">
        <is>
          <t>202604_LIXIL_サーモスＬ_業務用資料集_完成品価格表.pdf</t>
        </is>
      </c>
      <c r="R357" s="43" t="n"/>
      <c r="S357" s="42" t="inlineStr">
        <is>
          <t>★</t>
        </is>
      </c>
      <c r="T357" s="42" t="n">
        <v>40</v>
      </c>
      <c r="U357" s="42" t="inlineStr">
        <is>
          <t>P40|★</t>
        </is>
      </c>
      <c r="V357" s="42" t="inlineStr">
        <is>
          <t>同頁凡例へ直接連動</t>
        </is>
      </c>
    </row>
    <row r="358">
      <c r="A358" s="43" t="inlineStr">
        <is>
          <t>SZ-SL-000355</t>
        </is>
      </c>
      <c r="B358" s="43" t="inlineStr">
        <is>
          <t>SER-LIX-SAMOSL</t>
        </is>
      </c>
      <c r="C358" s="43" t="inlineStr">
        <is>
          <t>WT-SL-SHUTTER-HIKI</t>
        </is>
      </c>
      <c r="D358" s="43" t="inlineStr">
        <is>
          <t>シャッター付引違い窓</t>
        </is>
      </c>
      <c r="E358" s="43" t="inlineStr">
        <is>
          <t>SP-SL-SHUT-E-STD</t>
        </is>
      </c>
      <c r="F358" s="43" t="inlineStr">
        <is>
          <t>在来</t>
        </is>
      </c>
      <c r="G358" s="43" t="inlineStr">
        <is>
          <t>25118-2</t>
        </is>
      </c>
      <c r="H358" s="43" t="inlineStr">
        <is>
          <t>251-2</t>
        </is>
      </c>
      <c r="I358" s="43" t="inlineStr">
        <is>
          <t>18</t>
        </is>
      </c>
      <c r="J358" s="222" t="n">
        <v>2550</v>
      </c>
      <c r="K358" s="222" t="n">
        <v>1830</v>
      </c>
      <c r="L358" s="43" t="inlineStr">
        <is>
          <t>在来｜電動</t>
        </is>
      </c>
      <c r="M358" s="178" t="b">
        <v>1</v>
      </c>
      <c r="N358" s="43" t="inlineStr">
        <is>
          <t>カタログ規格確認済み</t>
        </is>
      </c>
      <c r="O358" s="222" t="n">
        <v>42</v>
      </c>
      <c r="P358" s="222" t="n">
        <v>40</v>
      </c>
      <c r="Q358" s="43" t="inlineStr">
        <is>
          <t>202604_LIXIL_サーモスＬ_業務用資料集_完成品価格表.pdf</t>
        </is>
      </c>
      <c r="R358" s="43" t="n"/>
      <c r="S358" s="42" t="inlineStr">
        <is>
          <t>☆</t>
        </is>
      </c>
      <c r="T358" s="42" t="n">
        <v>40</v>
      </c>
      <c r="U358" s="42" t="inlineStr">
        <is>
          <t>P40|☆</t>
        </is>
      </c>
      <c r="V358" s="42" t="inlineStr">
        <is>
          <t>同頁凡例へ直接連動</t>
        </is>
      </c>
    </row>
    <row r="359">
      <c r="A359" s="43" t="inlineStr">
        <is>
          <t>SZ-SL-000356</t>
        </is>
      </c>
      <c r="B359" s="43" t="inlineStr">
        <is>
          <t>SER-LIX-SAMOSL</t>
        </is>
      </c>
      <c r="C359" s="43" t="inlineStr">
        <is>
          <t>WT-SL-SHUTTER-HIKI</t>
        </is>
      </c>
      <c r="D359" s="43" t="inlineStr">
        <is>
          <t>シャッター付引違い窓</t>
        </is>
      </c>
      <c r="E359" s="43" t="inlineStr">
        <is>
          <t>SP-SL-SHUT-E-STD</t>
        </is>
      </c>
      <c r="F359" s="43" t="inlineStr">
        <is>
          <t>在来</t>
        </is>
      </c>
      <c r="G359" s="43" t="inlineStr">
        <is>
          <t>25118-4</t>
        </is>
      </c>
      <c r="H359" s="43" t="inlineStr">
        <is>
          <t>251-4</t>
        </is>
      </c>
      <c r="I359" s="43" t="inlineStr">
        <is>
          <t>18</t>
        </is>
      </c>
      <c r="J359" s="222" t="n">
        <v>2550</v>
      </c>
      <c r="K359" s="222" t="n">
        <v>1830</v>
      </c>
      <c r="L359" s="43" t="inlineStr">
        <is>
          <t>在来｜電動</t>
        </is>
      </c>
      <c r="M359" s="178" t="b">
        <v>1</v>
      </c>
      <c r="N359" s="43" t="inlineStr">
        <is>
          <t>カタログ規格確認済み</t>
        </is>
      </c>
      <c r="O359" s="222" t="n">
        <v>42</v>
      </c>
      <c r="P359" s="222" t="n">
        <v>40</v>
      </c>
      <c r="Q359" s="43" t="inlineStr">
        <is>
          <t>202604_LIXIL_サーモスＬ_業務用資料集_完成品価格表.pdf</t>
        </is>
      </c>
      <c r="R359" s="43" t="n"/>
      <c r="S359" s="42" t="inlineStr">
        <is>
          <t>無印</t>
        </is>
      </c>
      <c r="T359" s="42" t="n">
        <v>40</v>
      </c>
      <c r="U359" s="42" t="inlineStr">
        <is>
          <t>P40|無印</t>
        </is>
      </c>
      <c r="V359" s="42" t="inlineStr">
        <is>
          <t>同頁凡例へ直接連動</t>
        </is>
      </c>
    </row>
    <row r="360">
      <c r="A360" s="43" t="inlineStr">
        <is>
          <t>SZ-SL-000357</t>
        </is>
      </c>
      <c r="B360" s="43" t="inlineStr">
        <is>
          <t>SER-LIX-SAMOSL</t>
        </is>
      </c>
      <c r="C360" s="43" t="inlineStr">
        <is>
          <t>WT-SL-SHUTTER-HIKI</t>
        </is>
      </c>
      <c r="D360" s="43" t="inlineStr">
        <is>
          <t>シャッター付引違い窓</t>
        </is>
      </c>
      <c r="E360" s="43" t="inlineStr">
        <is>
          <t>SP-SL-SHUT-E-STD</t>
        </is>
      </c>
      <c r="F360" s="43" t="inlineStr">
        <is>
          <t>在来</t>
        </is>
      </c>
      <c r="G360" s="43" t="inlineStr">
        <is>
          <t>25120-2</t>
        </is>
      </c>
      <c r="H360" s="43" t="inlineStr">
        <is>
          <t>251-2</t>
        </is>
      </c>
      <c r="I360" s="43" t="inlineStr">
        <is>
          <t>20</t>
        </is>
      </c>
      <c r="J360" s="222" t="n">
        <v>2550</v>
      </c>
      <c r="K360" s="222" t="n">
        <v>2030</v>
      </c>
      <c r="L360" s="43" t="inlineStr">
        <is>
          <t>在来｜電動</t>
        </is>
      </c>
      <c r="M360" s="178" t="b">
        <v>1</v>
      </c>
      <c r="N360" s="43" t="inlineStr">
        <is>
          <t>カタログ規格確認済み</t>
        </is>
      </c>
      <c r="O360" s="222" t="n">
        <v>42</v>
      </c>
      <c r="P360" s="222" t="n">
        <v>40</v>
      </c>
      <c r="Q360" s="43" t="inlineStr">
        <is>
          <t>202604_LIXIL_サーモスＬ_業務用資料集_完成品価格表.pdf</t>
        </is>
      </c>
      <c r="R360" s="43" t="n"/>
      <c r="S360" s="42" t="inlineStr">
        <is>
          <t>◆</t>
        </is>
      </c>
      <c r="T360" s="42" t="n">
        <v>40</v>
      </c>
      <c r="U360" s="42" t="inlineStr">
        <is>
          <t>P40|◆</t>
        </is>
      </c>
      <c r="V360" s="42" t="inlineStr">
        <is>
          <t>同頁凡例へ直接連動</t>
        </is>
      </c>
    </row>
    <row r="361">
      <c r="A361" s="43" t="inlineStr">
        <is>
          <t>SZ-SL-000358</t>
        </is>
      </c>
      <c r="B361" s="43" t="inlineStr">
        <is>
          <t>SER-LIX-SAMOSL</t>
        </is>
      </c>
      <c r="C361" s="43" t="inlineStr">
        <is>
          <t>WT-SL-SHUTTER-HIKI</t>
        </is>
      </c>
      <c r="D361" s="43" t="inlineStr">
        <is>
          <t>シャッター付引違い窓</t>
        </is>
      </c>
      <c r="E361" s="43" t="inlineStr">
        <is>
          <t>SP-SL-SHUT-E-STD</t>
        </is>
      </c>
      <c r="F361" s="43" t="inlineStr">
        <is>
          <t>在来</t>
        </is>
      </c>
      <c r="G361" s="43" t="inlineStr">
        <is>
          <t>25120-4</t>
        </is>
      </c>
      <c r="H361" s="43" t="inlineStr">
        <is>
          <t>251-4</t>
        </is>
      </c>
      <c r="I361" s="43" t="inlineStr">
        <is>
          <t>20</t>
        </is>
      </c>
      <c r="J361" s="222" t="n">
        <v>2550</v>
      </c>
      <c r="K361" s="222" t="n">
        <v>2030</v>
      </c>
      <c r="L361" s="43" t="inlineStr">
        <is>
          <t>在来｜電動</t>
        </is>
      </c>
      <c r="M361" s="178" t="b">
        <v>1</v>
      </c>
      <c r="N361" s="43" t="inlineStr">
        <is>
          <t>カタログ規格確認済み</t>
        </is>
      </c>
      <c r="O361" s="222" t="n">
        <v>42</v>
      </c>
      <c r="P361" s="222" t="n">
        <v>40</v>
      </c>
      <c r="Q361" s="43" t="inlineStr">
        <is>
          <t>202604_LIXIL_サーモスＬ_業務用資料集_完成品価格表.pdf</t>
        </is>
      </c>
      <c r="R361" s="43" t="n"/>
      <c r="S361" s="42" t="inlineStr">
        <is>
          <t>無印</t>
        </is>
      </c>
      <c r="T361" s="42" t="n">
        <v>40</v>
      </c>
      <c r="U361" s="42" t="inlineStr">
        <is>
          <t>P40|無印</t>
        </is>
      </c>
      <c r="V361" s="42" t="inlineStr">
        <is>
          <t>同頁凡例へ直接連動</t>
        </is>
      </c>
    </row>
    <row r="362">
      <c r="A362" s="43" t="inlineStr">
        <is>
          <t>SZ-SL-000359</t>
        </is>
      </c>
      <c r="B362" s="43" t="inlineStr">
        <is>
          <t>SER-LIX-SAMOSL</t>
        </is>
      </c>
      <c r="C362" s="43" t="inlineStr">
        <is>
          <t>WT-SL-SHUTTER-HIKI</t>
        </is>
      </c>
      <c r="D362" s="43" t="inlineStr">
        <is>
          <t>シャッター付引違い窓</t>
        </is>
      </c>
      <c r="E362" s="43" t="inlineStr">
        <is>
          <t>SP-SL-SHUT-E-VENT</t>
        </is>
      </c>
      <c r="F362" s="43" t="inlineStr">
        <is>
          <t>在来</t>
        </is>
      </c>
      <c r="G362" s="43" t="inlineStr">
        <is>
          <t>18618</t>
        </is>
      </c>
      <c r="H362" s="43" t="inlineStr">
        <is>
          <t>186</t>
        </is>
      </c>
      <c r="I362" s="43" t="inlineStr">
        <is>
          <t>18</t>
        </is>
      </c>
      <c r="J362" s="222" t="n">
        <v>1900</v>
      </c>
      <c r="K362" s="222" t="n">
        <v>1830</v>
      </c>
      <c r="L362" s="43" t="inlineStr">
        <is>
          <t>在来｜電動</t>
        </is>
      </c>
      <c r="M362" s="178" t="b">
        <v>1</v>
      </c>
      <c r="N362" s="43" t="inlineStr">
        <is>
          <t>カタログ個別可否確認済み</t>
        </is>
      </c>
      <c r="O362" s="222" t="n">
        <v>42</v>
      </c>
      <c r="P362" s="222" t="n">
        <v>40</v>
      </c>
      <c r="Q362" s="43" t="inlineStr">
        <is>
          <t>202604_LIXIL_サーモスＬ_業務用資料集_完成品価格表.pdf</t>
        </is>
      </c>
      <c r="R362" s="43" t="inlineStr">
        <is>
          <t>規格呼称は親品種で確認済み。固有仕様ごとの価格設定有無（＿＿表示等）は次QAで最終確定。</t>
        </is>
      </c>
      <c r="S362" s="42" t="inlineStr">
        <is>
          <t>★</t>
        </is>
      </c>
      <c r="T362" s="42" t="n">
        <v>40</v>
      </c>
      <c r="U362" s="42" t="inlineStr">
        <is>
          <t>P40|★</t>
        </is>
      </c>
      <c r="V362" s="42" t="inlineStr">
        <is>
          <t>同頁凡例へ直接連動</t>
        </is>
      </c>
    </row>
    <row r="363">
      <c r="A363" s="43" t="inlineStr">
        <is>
          <t>SZ-SL-000360</t>
        </is>
      </c>
      <c r="B363" s="43" t="inlineStr">
        <is>
          <t>SER-LIX-SAMOSL</t>
        </is>
      </c>
      <c r="C363" s="43" t="inlineStr">
        <is>
          <t>WT-SL-SHUTTER-HIKI</t>
        </is>
      </c>
      <c r="D363" s="43" t="inlineStr">
        <is>
          <t>シャッター付引違い窓</t>
        </is>
      </c>
      <c r="E363" s="43" t="inlineStr">
        <is>
          <t>SP-SL-SHUT-E-VENT</t>
        </is>
      </c>
      <c r="F363" s="43" t="inlineStr">
        <is>
          <t>在来</t>
        </is>
      </c>
      <c r="G363" s="43" t="inlineStr">
        <is>
          <t>18620</t>
        </is>
      </c>
      <c r="H363" s="43" t="inlineStr">
        <is>
          <t>186</t>
        </is>
      </c>
      <c r="I363" s="43" t="inlineStr">
        <is>
          <t>20</t>
        </is>
      </c>
      <c r="J363" s="222" t="n">
        <v>1900</v>
      </c>
      <c r="K363" s="222" t="n">
        <v>2030</v>
      </c>
      <c r="L363" s="43" t="inlineStr">
        <is>
          <t>在来｜電動</t>
        </is>
      </c>
      <c r="M363" s="178" t="b">
        <v>1</v>
      </c>
      <c r="N363" s="43" t="inlineStr">
        <is>
          <t>カタログ個別可否確認済み</t>
        </is>
      </c>
      <c r="O363" s="222" t="n">
        <v>42</v>
      </c>
      <c r="P363" s="222" t="n">
        <v>40</v>
      </c>
      <c r="Q363" s="43" t="inlineStr">
        <is>
          <t>202604_LIXIL_サーモスＬ_業務用資料集_完成品価格表.pdf</t>
        </is>
      </c>
      <c r="R363" s="43" t="inlineStr">
        <is>
          <t>規格呼称は親品種で確認済み。固有仕様ごとの価格設定有無（＿＿表示等）は次QAで最終確定。</t>
        </is>
      </c>
      <c r="S363" s="42" t="inlineStr">
        <is>
          <t>★</t>
        </is>
      </c>
      <c r="T363" s="42" t="n">
        <v>40</v>
      </c>
      <c r="U363" s="42" t="inlineStr">
        <is>
          <t>P40|★</t>
        </is>
      </c>
      <c r="V363" s="42" t="inlineStr">
        <is>
          <t>同頁凡例へ直接連動</t>
        </is>
      </c>
    </row>
    <row r="364">
      <c r="A364" s="43" t="inlineStr">
        <is>
          <t>SZ-SL-000361</t>
        </is>
      </c>
      <c r="B364" s="43" t="inlineStr">
        <is>
          <t>SER-LIX-SAMOSL</t>
        </is>
      </c>
      <c r="C364" s="43" t="inlineStr">
        <is>
          <t>WT-SL-SHUTTER-HIKI</t>
        </is>
      </c>
      <c r="D364" s="43" t="inlineStr">
        <is>
          <t>シャッター付引違い窓</t>
        </is>
      </c>
      <c r="E364" s="43" t="inlineStr">
        <is>
          <t>SP-SL-SHUT-E-VENT</t>
        </is>
      </c>
      <c r="F364" s="43" t="inlineStr">
        <is>
          <t>在来</t>
        </is>
      </c>
      <c r="G364" s="43" t="inlineStr">
        <is>
          <t>25118-2</t>
        </is>
      </c>
      <c r="H364" s="43" t="inlineStr">
        <is>
          <t>251-2</t>
        </is>
      </c>
      <c r="I364" s="43" t="inlineStr">
        <is>
          <t>18</t>
        </is>
      </c>
      <c r="J364" s="222" t="n">
        <v>2550</v>
      </c>
      <c r="K364" s="222" t="n">
        <v>1830</v>
      </c>
      <c r="L364" s="43" t="inlineStr">
        <is>
          <t>在来｜電動</t>
        </is>
      </c>
      <c r="M364" s="178" t="b">
        <v>1</v>
      </c>
      <c r="N364" s="43" t="inlineStr">
        <is>
          <t>カタログ個別可否確認済み</t>
        </is>
      </c>
      <c r="O364" s="222" t="n">
        <v>42</v>
      </c>
      <c r="P364" s="222" t="n">
        <v>40</v>
      </c>
      <c r="Q364" s="43" t="inlineStr">
        <is>
          <t>202604_LIXIL_サーモスＬ_業務用資料集_完成品価格表.pdf</t>
        </is>
      </c>
      <c r="R364" s="43" t="inlineStr">
        <is>
          <t>規格呼称は親品種で確認済み。固有仕様ごとの価格設定有無（＿＿表示等）は次QAで最終確定。</t>
        </is>
      </c>
      <c r="S364" s="42" t="inlineStr">
        <is>
          <t>☆</t>
        </is>
      </c>
      <c r="T364" s="42" t="n">
        <v>40</v>
      </c>
      <c r="U364" s="42" t="inlineStr">
        <is>
          <t>P40|☆</t>
        </is>
      </c>
      <c r="V364" s="42" t="inlineStr">
        <is>
          <t>同頁凡例へ直接連動</t>
        </is>
      </c>
    </row>
    <row r="365">
      <c r="A365" s="43" t="inlineStr">
        <is>
          <t>SZ-SL-000362</t>
        </is>
      </c>
      <c r="B365" s="43" t="inlineStr">
        <is>
          <t>SER-LIX-SAMOSL</t>
        </is>
      </c>
      <c r="C365" s="43" t="inlineStr">
        <is>
          <t>WT-SL-SHUTTER-HIKI</t>
        </is>
      </c>
      <c r="D365" s="43" t="inlineStr">
        <is>
          <t>シャッター付引違い窓</t>
        </is>
      </c>
      <c r="E365" s="43" t="inlineStr">
        <is>
          <t>SP-SL-SHUT-E-VENT</t>
        </is>
      </c>
      <c r="F365" s="43" t="inlineStr">
        <is>
          <t>在来</t>
        </is>
      </c>
      <c r="G365" s="43" t="inlineStr">
        <is>
          <t>25118-4</t>
        </is>
      </c>
      <c r="H365" s="43" t="inlineStr">
        <is>
          <t>251-4</t>
        </is>
      </c>
      <c r="I365" s="43" t="inlineStr">
        <is>
          <t>18</t>
        </is>
      </c>
      <c r="J365" s="222" t="n">
        <v>2550</v>
      </c>
      <c r="K365" s="222" t="n">
        <v>1830</v>
      </c>
      <c r="L365" s="43" t="inlineStr">
        <is>
          <t>在来｜電動</t>
        </is>
      </c>
      <c r="M365" s="178" t="b">
        <v>1</v>
      </c>
      <c r="N365" s="43" t="inlineStr">
        <is>
          <t>カタログ個別可否確認済み</t>
        </is>
      </c>
      <c r="O365" s="222" t="n">
        <v>42</v>
      </c>
      <c r="P365" s="222" t="n">
        <v>40</v>
      </c>
      <c r="Q365" s="43" t="inlineStr">
        <is>
          <t>202604_LIXIL_サーモスＬ_業務用資料集_完成品価格表.pdf</t>
        </is>
      </c>
      <c r="R365" s="43" t="inlineStr">
        <is>
          <t>規格呼称は親品種で確認済み。固有仕様ごとの価格設定有無（＿＿表示等）は次QAで最終確定。</t>
        </is>
      </c>
      <c r="S365" s="42" t="inlineStr">
        <is>
          <t>無印</t>
        </is>
      </c>
      <c r="T365" s="42" t="n">
        <v>40</v>
      </c>
      <c r="U365" s="42" t="inlineStr">
        <is>
          <t>P40|無印</t>
        </is>
      </c>
      <c r="V365" s="42" t="inlineStr">
        <is>
          <t>同頁凡例へ直接連動</t>
        </is>
      </c>
    </row>
    <row r="366">
      <c r="A366" s="43" t="inlineStr">
        <is>
          <t>SZ-SL-000363</t>
        </is>
      </c>
      <c r="B366" s="43" t="inlineStr">
        <is>
          <t>SER-LIX-SAMOSL</t>
        </is>
      </c>
      <c r="C366" s="43" t="inlineStr">
        <is>
          <t>WT-SL-SHUTTER-HIKI</t>
        </is>
      </c>
      <c r="D366" s="43" t="inlineStr">
        <is>
          <t>シャッター付引違い窓</t>
        </is>
      </c>
      <c r="E366" s="43" t="inlineStr">
        <is>
          <t>SP-SL-SHUT-E-VENT</t>
        </is>
      </c>
      <c r="F366" s="43" t="inlineStr">
        <is>
          <t>在来</t>
        </is>
      </c>
      <c r="G366" s="43" t="inlineStr">
        <is>
          <t>25120-2</t>
        </is>
      </c>
      <c r="H366" s="43" t="inlineStr">
        <is>
          <t>251-2</t>
        </is>
      </c>
      <c r="I366" s="43" t="inlineStr">
        <is>
          <t>20</t>
        </is>
      </c>
      <c r="J366" s="222" t="n">
        <v>2550</v>
      </c>
      <c r="K366" s="222" t="n">
        <v>2030</v>
      </c>
      <c r="L366" s="43" t="inlineStr">
        <is>
          <t>在来｜電動</t>
        </is>
      </c>
      <c r="M366" s="178" t="b">
        <v>1</v>
      </c>
      <c r="N366" s="43" t="inlineStr">
        <is>
          <t>カタログ個別可否確認済み</t>
        </is>
      </c>
      <c r="O366" s="222" t="n">
        <v>42</v>
      </c>
      <c r="P366" s="222" t="n">
        <v>40</v>
      </c>
      <c r="Q366" s="43" t="inlineStr">
        <is>
          <t>202604_LIXIL_サーモスＬ_業務用資料集_完成品価格表.pdf</t>
        </is>
      </c>
      <c r="R366" s="43" t="inlineStr">
        <is>
          <t>規格呼称は親品種で確認済み。固有仕様ごとの価格設定有無（＿＿表示等）は次QAで最終確定。</t>
        </is>
      </c>
      <c r="S366" s="42" t="inlineStr">
        <is>
          <t>◆</t>
        </is>
      </c>
      <c r="T366" s="42" t="n">
        <v>40</v>
      </c>
      <c r="U366" s="42" t="inlineStr">
        <is>
          <t>P40|◆</t>
        </is>
      </c>
      <c r="V366" s="42" t="inlineStr">
        <is>
          <t>同頁凡例へ直接連動</t>
        </is>
      </c>
    </row>
    <row r="367">
      <c r="A367" s="43" t="inlineStr">
        <is>
          <t>SZ-SL-000364</t>
        </is>
      </c>
      <c r="B367" s="43" t="inlineStr">
        <is>
          <t>SER-LIX-SAMOSL</t>
        </is>
      </c>
      <c r="C367" s="43" t="inlineStr">
        <is>
          <t>WT-SL-SHUTTER-HIKI</t>
        </is>
      </c>
      <c r="D367" s="43" t="inlineStr">
        <is>
          <t>シャッター付引違い窓</t>
        </is>
      </c>
      <c r="E367" s="43" t="inlineStr">
        <is>
          <t>SP-SL-SHUT-E-VENT</t>
        </is>
      </c>
      <c r="F367" s="43" t="inlineStr">
        <is>
          <t>在来</t>
        </is>
      </c>
      <c r="G367" s="43" t="inlineStr">
        <is>
          <t>25120-4</t>
        </is>
      </c>
      <c r="H367" s="43" t="inlineStr">
        <is>
          <t>251-4</t>
        </is>
      </c>
      <c r="I367" s="43" t="inlineStr">
        <is>
          <t>20</t>
        </is>
      </c>
      <c r="J367" s="222" t="n">
        <v>2550</v>
      </c>
      <c r="K367" s="222" t="n">
        <v>2030</v>
      </c>
      <c r="L367" s="43" t="inlineStr">
        <is>
          <t>在来｜電動</t>
        </is>
      </c>
      <c r="M367" s="178" t="b">
        <v>1</v>
      </c>
      <c r="N367" s="43" t="inlineStr">
        <is>
          <t>カタログ個別可否確認済み</t>
        </is>
      </c>
      <c r="O367" s="222" t="n">
        <v>42</v>
      </c>
      <c r="P367" s="222" t="n">
        <v>40</v>
      </c>
      <c r="Q367" s="43" t="inlineStr">
        <is>
          <t>202604_LIXIL_サーモスＬ_業務用資料集_完成品価格表.pdf</t>
        </is>
      </c>
      <c r="R367" s="43" t="inlineStr">
        <is>
          <t>規格呼称は親品種で確認済み。固有仕様ごとの価格設定有無（＿＿表示等）は次QAで最終確定。</t>
        </is>
      </c>
      <c r="S367" s="42" t="inlineStr">
        <is>
          <t>無印</t>
        </is>
      </c>
      <c r="T367" s="42" t="n">
        <v>40</v>
      </c>
      <c r="U367" s="42" t="inlineStr">
        <is>
          <t>P40|無印</t>
        </is>
      </c>
      <c r="V367" s="42" t="inlineStr">
        <is>
          <t>同頁凡例へ直接連動</t>
        </is>
      </c>
    </row>
    <row r="368">
      <c r="A368" s="43" t="inlineStr">
        <is>
          <t>SZ-SL-000365</t>
        </is>
      </c>
      <c r="B368" s="43" t="inlineStr">
        <is>
          <t>SER-LIX-SAMOSL</t>
        </is>
      </c>
      <c r="C368" s="43" t="inlineStr">
        <is>
          <t>WT-SL-SHUTTER-HIKI</t>
        </is>
      </c>
      <c r="D368" s="43" t="inlineStr">
        <is>
          <t>シャッター付引違い窓</t>
        </is>
      </c>
      <c r="E368" s="43" t="inlineStr">
        <is>
          <t>SP-SL-SHUT-E-WIND</t>
        </is>
      </c>
      <c r="F368" s="43" t="inlineStr">
        <is>
          <t>在来</t>
        </is>
      </c>
      <c r="G368" s="43" t="inlineStr">
        <is>
          <t>18618</t>
        </is>
      </c>
      <c r="H368" s="43" t="inlineStr">
        <is>
          <t>186</t>
        </is>
      </c>
      <c r="I368" s="43" t="inlineStr">
        <is>
          <t>18</t>
        </is>
      </c>
      <c r="J368" s="222" t="n">
        <v>1900</v>
      </c>
      <c r="K368" s="222" t="n">
        <v>1830</v>
      </c>
      <c r="L368" s="43" t="inlineStr">
        <is>
          <t>在来｜電動</t>
        </is>
      </c>
      <c r="M368" s="178" t="b">
        <v>0</v>
      </c>
      <c r="N368" s="43" t="inlineStr">
        <is>
          <t>設定なし（価格表確認済み）</t>
        </is>
      </c>
      <c r="O368" s="222" t="n">
        <v>42</v>
      </c>
      <c r="P368" s="222" t="n">
        <v>40</v>
      </c>
      <c r="Q368" s="43" t="inlineStr">
        <is>
          <t>202604_LIXIL_サーモスＬ_業務用資料集_完成品価格表.pdf</t>
        </is>
      </c>
      <c r="R368" s="43" t="inlineStr">
        <is>
          <t>規格呼称は親品種で確認済み。固有仕様ごとの価格設定有無（＿＿表示等）は次QAで最終確定。</t>
        </is>
      </c>
      <c r="S368" s="42" t="inlineStr">
        <is>
          <t>★</t>
        </is>
      </c>
      <c r="T368" s="42" t="n">
        <v>40</v>
      </c>
      <c r="U368" s="42" t="inlineStr">
        <is>
          <t>P40|★</t>
        </is>
      </c>
      <c r="V368" s="42" t="inlineStr">
        <is>
          <t>同頁凡例へ直接連動</t>
        </is>
      </c>
    </row>
    <row r="369">
      <c r="A369" s="43" t="inlineStr">
        <is>
          <t>SZ-SL-000366</t>
        </is>
      </c>
      <c r="B369" s="43" t="inlineStr">
        <is>
          <t>SER-LIX-SAMOSL</t>
        </is>
      </c>
      <c r="C369" s="43" t="inlineStr">
        <is>
          <t>WT-SL-SHUTTER-HIKI</t>
        </is>
      </c>
      <c r="D369" s="43" t="inlineStr">
        <is>
          <t>シャッター付引違い窓</t>
        </is>
      </c>
      <c r="E369" s="43" t="inlineStr">
        <is>
          <t>SP-SL-SHUT-E-WIND</t>
        </is>
      </c>
      <c r="F369" s="43" t="inlineStr">
        <is>
          <t>在来</t>
        </is>
      </c>
      <c r="G369" s="43" t="inlineStr">
        <is>
          <t>18620</t>
        </is>
      </c>
      <c r="H369" s="43" t="inlineStr">
        <is>
          <t>186</t>
        </is>
      </c>
      <c r="I369" s="43" t="inlineStr">
        <is>
          <t>20</t>
        </is>
      </c>
      <c r="J369" s="222" t="n">
        <v>1900</v>
      </c>
      <c r="K369" s="222" t="n">
        <v>2030</v>
      </c>
      <c r="L369" s="43" t="inlineStr">
        <is>
          <t>在来｜電動</t>
        </is>
      </c>
      <c r="M369" s="178" t="b">
        <v>0</v>
      </c>
      <c r="N369" s="43" t="inlineStr">
        <is>
          <t>設定なし（価格表確認済み）</t>
        </is>
      </c>
      <c r="O369" s="222" t="n">
        <v>42</v>
      </c>
      <c r="P369" s="222" t="n">
        <v>40</v>
      </c>
      <c r="Q369" s="43" t="inlineStr">
        <is>
          <t>202604_LIXIL_サーモスＬ_業務用資料集_完成品価格表.pdf</t>
        </is>
      </c>
      <c r="R369" s="43" t="inlineStr">
        <is>
          <t>規格呼称は親品種で確認済み。固有仕様ごとの価格設定有無（＿＿表示等）は次QAで最終確定。</t>
        </is>
      </c>
      <c r="S369" s="42" t="inlineStr">
        <is>
          <t>★</t>
        </is>
      </c>
      <c r="T369" s="42" t="n">
        <v>40</v>
      </c>
      <c r="U369" s="42" t="inlineStr">
        <is>
          <t>P40|★</t>
        </is>
      </c>
      <c r="V369" s="42" t="inlineStr">
        <is>
          <t>同頁凡例へ直接連動</t>
        </is>
      </c>
    </row>
    <row r="370">
      <c r="A370" s="43" t="inlineStr">
        <is>
          <t>SZ-SL-000367</t>
        </is>
      </c>
      <c r="B370" s="43" t="inlineStr">
        <is>
          <t>SER-LIX-SAMOSL</t>
        </is>
      </c>
      <c r="C370" s="43" t="inlineStr">
        <is>
          <t>WT-SL-SHUTTER-HIKI</t>
        </is>
      </c>
      <c r="D370" s="43" t="inlineStr">
        <is>
          <t>シャッター付引違い窓</t>
        </is>
      </c>
      <c r="E370" s="43" t="inlineStr">
        <is>
          <t>SP-SL-SHUT-E-WIND</t>
        </is>
      </c>
      <c r="F370" s="43" t="inlineStr">
        <is>
          <t>在来</t>
        </is>
      </c>
      <c r="G370" s="43" t="inlineStr">
        <is>
          <t>25118-2</t>
        </is>
      </c>
      <c r="H370" s="43" t="inlineStr">
        <is>
          <t>251-2</t>
        </is>
      </c>
      <c r="I370" s="43" t="inlineStr">
        <is>
          <t>18</t>
        </is>
      </c>
      <c r="J370" s="222" t="n">
        <v>2550</v>
      </c>
      <c r="K370" s="222" t="n">
        <v>1830</v>
      </c>
      <c r="L370" s="43" t="inlineStr">
        <is>
          <t>在来｜電動</t>
        </is>
      </c>
      <c r="M370" s="178" t="b">
        <v>1</v>
      </c>
      <c r="N370" s="43" t="inlineStr">
        <is>
          <t>カタログ個別可否確認済み</t>
        </is>
      </c>
      <c r="O370" s="222" t="n">
        <v>42</v>
      </c>
      <c r="P370" s="222" t="n">
        <v>40</v>
      </c>
      <c r="Q370" s="43" t="inlineStr">
        <is>
          <t>202604_LIXIL_サーモスＬ_業務用資料集_完成品価格表.pdf</t>
        </is>
      </c>
      <c r="R370" s="43" t="inlineStr">
        <is>
          <t>規格呼称は親品種で確認済み。固有仕様ごとの価格設定有無（＿＿表示等）は次QAで最終確定。</t>
        </is>
      </c>
      <c r="S370" s="42" t="inlineStr">
        <is>
          <t>☆</t>
        </is>
      </c>
      <c r="T370" s="42" t="n">
        <v>40</v>
      </c>
      <c r="U370" s="42" t="inlineStr">
        <is>
          <t>P40|☆</t>
        </is>
      </c>
      <c r="V370" s="42" t="inlineStr">
        <is>
          <t>同頁凡例へ直接連動</t>
        </is>
      </c>
    </row>
    <row r="371">
      <c r="A371" s="43" t="inlineStr">
        <is>
          <t>SZ-SL-000368</t>
        </is>
      </c>
      <c r="B371" s="43" t="inlineStr">
        <is>
          <t>SER-LIX-SAMOSL</t>
        </is>
      </c>
      <c r="C371" s="43" t="inlineStr">
        <is>
          <t>WT-SL-SHUTTER-HIKI</t>
        </is>
      </c>
      <c r="D371" s="43" t="inlineStr">
        <is>
          <t>シャッター付引違い窓</t>
        </is>
      </c>
      <c r="E371" s="43" t="inlineStr">
        <is>
          <t>SP-SL-SHUT-E-WIND</t>
        </is>
      </c>
      <c r="F371" s="43" t="inlineStr">
        <is>
          <t>在来</t>
        </is>
      </c>
      <c r="G371" s="43" t="inlineStr">
        <is>
          <t>25118-4</t>
        </is>
      </c>
      <c r="H371" s="43" t="inlineStr">
        <is>
          <t>251-4</t>
        </is>
      </c>
      <c r="I371" s="43" t="inlineStr">
        <is>
          <t>18</t>
        </is>
      </c>
      <c r="J371" s="222" t="n">
        <v>2550</v>
      </c>
      <c r="K371" s="222" t="n">
        <v>1830</v>
      </c>
      <c r="L371" s="43" t="inlineStr">
        <is>
          <t>在来｜電動</t>
        </is>
      </c>
      <c r="M371" s="178" t="b">
        <v>1</v>
      </c>
      <c r="N371" s="43" t="inlineStr">
        <is>
          <t>カタログ個別可否確認済み</t>
        </is>
      </c>
      <c r="O371" s="222" t="n">
        <v>42</v>
      </c>
      <c r="P371" s="222" t="n">
        <v>40</v>
      </c>
      <c r="Q371" s="43" t="inlineStr">
        <is>
          <t>202604_LIXIL_サーモスＬ_業務用資料集_完成品価格表.pdf</t>
        </is>
      </c>
      <c r="R371" s="43" t="inlineStr">
        <is>
          <t>規格呼称は親品種で確認済み。固有仕様ごとの価格設定有無（＿＿表示等）は次QAで最終確定。</t>
        </is>
      </c>
      <c r="S371" s="42" t="inlineStr">
        <is>
          <t>無印</t>
        </is>
      </c>
      <c r="T371" s="42" t="n">
        <v>40</v>
      </c>
      <c r="U371" s="42" t="inlineStr">
        <is>
          <t>P40|無印</t>
        </is>
      </c>
      <c r="V371" s="42" t="inlineStr">
        <is>
          <t>同頁凡例へ直接連動</t>
        </is>
      </c>
    </row>
    <row r="372">
      <c r="A372" s="43" t="inlineStr">
        <is>
          <t>SZ-SL-000369</t>
        </is>
      </c>
      <c r="B372" s="43" t="inlineStr">
        <is>
          <t>SER-LIX-SAMOSL</t>
        </is>
      </c>
      <c r="C372" s="43" t="inlineStr">
        <is>
          <t>WT-SL-SHUTTER-HIKI</t>
        </is>
      </c>
      <c r="D372" s="43" t="inlineStr">
        <is>
          <t>シャッター付引違い窓</t>
        </is>
      </c>
      <c r="E372" s="43" t="inlineStr">
        <is>
          <t>SP-SL-SHUT-E-WIND</t>
        </is>
      </c>
      <c r="F372" s="43" t="inlineStr">
        <is>
          <t>在来</t>
        </is>
      </c>
      <c r="G372" s="43" t="inlineStr">
        <is>
          <t>25120-2</t>
        </is>
      </c>
      <c r="H372" s="43" t="inlineStr">
        <is>
          <t>251-2</t>
        </is>
      </c>
      <c r="I372" s="43" t="inlineStr">
        <is>
          <t>20</t>
        </is>
      </c>
      <c r="J372" s="222" t="n">
        <v>2550</v>
      </c>
      <c r="K372" s="222" t="n">
        <v>2030</v>
      </c>
      <c r="L372" s="43" t="inlineStr">
        <is>
          <t>在来｜電動</t>
        </is>
      </c>
      <c r="M372" s="178" t="b">
        <v>1</v>
      </c>
      <c r="N372" s="43" t="inlineStr">
        <is>
          <t>カタログ個別可否確認済み</t>
        </is>
      </c>
      <c r="O372" s="222" t="n">
        <v>42</v>
      </c>
      <c r="P372" s="222" t="n">
        <v>40</v>
      </c>
      <c r="Q372" s="43" t="inlineStr">
        <is>
          <t>202604_LIXIL_サーモスＬ_業務用資料集_完成品価格表.pdf</t>
        </is>
      </c>
      <c r="R372" s="43" t="inlineStr">
        <is>
          <t>規格呼称は親品種で確認済み。固有仕様ごとの価格設定有無（＿＿表示等）は次QAで最終確定。</t>
        </is>
      </c>
      <c r="S372" s="42" t="inlineStr">
        <is>
          <t>◆</t>
        </is>
      </c>
      <c r="T372" s="42" t="n">
        <v>40</v>
      </c>
      <c r="U372" s="42" t="inlineStr">
        <is>
          <t>P40|◆</t>
        </is>
      </c>
      <c r="V372" s="42" t="inlineStr">
        <is>
          <t>同頁凡例へ直接連動</t>
        </is>
      </c>
    </row>
    <row r="373">
      <c r="A373" s="43" t="inlineStr">
        <is>
          <t>SZ-SL-000370</t>
        </is>
      </c>
      <c r="B373" s="43" t="inlineStr">
        <is>
          <t>SER-LIX-SAMOSL</t>
        </is>
      </c>
      <c r="C373" s="43" t="inlineStr">
        <is>
          <t>WT-SL-SHUTTER-HIKI</t>
        </is>
      </c>
      <c r="D373" s="43" t="inlineStr">
        <is>
          <t>シャッター付引違い窓</t>
        </is>
      </c>
      <c r="E373" s="43" t="inlineStr">
        <is>
          <t>SP-SL-SHUT-E-WIND</t>
        </is>
      </c>
      <c r="F373" s="43" t="inlineStr">
        <is>
          <t>在来</t>
        </is>
      </c>
      <c r="G373" s="43" t="inlineStr">
        <is>
          <t>25120-4</t>
        </is>
      </c>
      <c r="H373" s="43" t="inlineStr">
        <is>
          <t>251-4</t>
        </is>
      </c>
      <c r="I373" s="43" t="inlineStr">
        <is>
          <t>20</t>
        </is>
      </c>
      <c r="J373" s="222" t="n">
        <v>2550</v>
      </c>
      <c r="K373" s="222" t="n">
        <v>2030</v>
      </c>
      <c r="L373" s="43" t="inlineStr">
        <is>
          <t>在来｜電動</t>
        </is>
      </c>
      <c r="M373" s="178" t="b">
        <v>1</v>
      </c>
      <c r="N373" s="43" t="inlineStr">
        <is>
          <t>カタログ個別可否確認済み</t>
        </is>
      </c>
      <c r="O373" s="222" t="n">
        <v>42</v>
      </c>
      <c r="P373" s="222" t="n">
        <v>40</v>
      </c>
      <c r="Q373" s="43" t="inlineStr">
        <is>
          <t>202604_LIXIL_サーモスＬ_業務用資料集_完成品価格表.pdf</t>
        </is>
      </c>
      <c r="R373" s="43" t="inlineStr">
        <is>
          <t>規格呼称は親品種で確認済み。固有仕様ごとの価格設定有無（＿＿表示等）は次QAで最終確定。</t>
        </is>
      </c>
      <c r="S373" s="42" t="inlineStr">
        <is>
          <t>無印</t>
        </is>
      </c>
      <c r="T373" s="42" t="n">
        <v>40</v>
      </c>
      <c r="U373" s="42" t="inlineStr">
        <is>
          <t>P40|無印</t>
        </is>
      </c>
      <c r="V373" s="42" t="inlineStr">
        <is>
          <t>同頁凡例へ直接連動</t>
        </is>
      </c>
    </row>
    <row r="374">
      <c r="A374" s="43" t="inlineStr">
        <is>
          <t>SZ-SL-000371</t>
        </is>
      </c>
      <c r="B374" s="43" t="inlineStr">
        <is>
          <t>SER-LIX-SAMOSL</t>
        </is>
      </c>
      <c r="C374" s="43" t="inlineStr">
        <is>
          <t>WT-SL-SHUTTER-HIKI</t>
        </is>
      </c>
      <c r="D374" s="43" t="inlineStr">
        <is>
          <t>シャッター付引違い窓</t>
        </is>
      </c>
      <c r="E374" s="43" t="inlineStr">
        <is>
          <t>SP-SL-SHUT-E-STD</t>
        </is>
      </c>
      <c r="F374" s="43" t="inlineStr">
        <is>
          <t>在来</t>
        </is>
      </c>
      <c r="G374" s="43" t="inlineStr">
        <is>
          <t>25618-2</t>
        </is>
      </c>
      <c r="H374" s="43" t="inlineStr">
        <is>
          <t>256-2</t>
        </is>
      </c>
      <c r="I374" s="43" t="inlineStr">
        <is>
          <t>18</t>
        </is>
      </c>
      <c r="J374" s="222" t="n">
        <v>2600</v>
      </c>
      <c r="K374" s="222" t="n">
        <v>1830</v>
      </c>
      <c r="L374" s="43" t="inlineStr">
        <is>
          <t>在来｜電動</t>
        </is>
      </c>
      <c r="M374" s="178" t="b">
        <v>1</v>
      </c>
      <c r="N374" s="43" t="inlineStr">
        <is>
          <t>カタログ規格確認済み</t>
        </is>
      </c>
      <c r="O374" s="222" t="n">
        <v>43</v>
      </c>
      <c r="P374" s="222" t="n">
        <v>41</v>
      </c>
      <c r="Q374" s="43" t="inlineStr">
        <is>
          <t>202604_LIXIL_サーモスＬ_業務用資料集_完成品価格表.pdf</t>
        </is>
      </c>
      <c r="R374" s="43" t="n"/>
      <c r="S374" s="42" t="inlineStr">
        <is>
          <t>◆</t>
        </is>
      </c>
      <c r="T374" s="42" t="n">
        <v>40</v>
      </c>
      <c r="U374" s="42" t="inlineStr">
        <is>
          <t>P40|◆</t>
        </is>
      </c>
      <c r="V374" s="42" t="inlineStr">
        <is>
          <t>同一価格表・前頁凡例を継承</t>
        </is>
      </c>
    </row>
    <row r="375">
      <c r="A375" s="43" t="inlineStr">
        <is>
          <t>SZ-SL-000372</t>
        </is>
      </c>
      <c r="B375" s="43" t="inlineStr">
        <is>
          <t>SER-LIX-SAMOSL</t>
        </is>
      </c>
      <c r="C375" s="43" t="inlineStr">
        <is>
          <t>WT-SL-SHUTTER-HIKI</t>
        </is>
      </c>
      <c r="D375" s="43" t="inlineStr">
        <is>
          <t>シャッター付引違い窓</t>
        </is>
      </c>
      <c r="E375" s="43" t="inlineStr">
        <is>
          <t>SP-SL-SHUT-E-STD</t>
        </is>
      </c>
      <c r="F375" s="43" t="inlineStr">
        <is>
          <t>在来</t>
        </is>
      </c>
      <c r="G375" s="43" t="inlineStr">
        <is>
          <t>25618-4</t>
        </is>
      </c>
      <c r="H375" s="43" t="inlineStr">
        <is>
          <t>256-4</t>
        </is>
      </c>
      <c r="I375" s="43" t="inlineStr">
        <is>
          <t>18</t>
        </is>
      </c>
      <c r="J375" s="222" t="n">
        <v>2600</v>
      </c>
      <c r="K375" s="222" t="n">
        <v>1830</v>
      </c>
      <c r="L375" s="43" t="inlineStr">
        <is>
          <t>在来｜電動</t>
        </is>
      </c>
      <c r="M375" s="178" t="b">
        <v>1</v>
      </c>
      <c r="N375" s="43" t="inlineStr">
        <is>
          <t>カタログ規格確認済み</t>
        </is>
      </c>
      <c r="O375" s="222" t="n">
        <v>43</v>
      </c>
      <c r="P375" s="222" t="n">
        <v>41</v>
      </c>
      <c r="Q375" s="43" t="inlineStr">
        <is>
          <t>202604_LIXIL_サーモスＬ_業務用資料集_完成品価格表.pdf</t>
        </is>
      </c>
      <c r="R375" s="43" t="n"/>
      <c r="S375" s="42" t="inlineStr">
        <is>
          <t>無印</t>
        </is>
      </c>
      <c r="T375" s="42" t="n">
        <v>40</v>
      </c>
      <c r="U375" s="42" t="inlineStr">
        <is>
          <t>P40|無印</t>
        </is>
      </c>
      <c r="V375" s="42" t="inlineStr">
        <is>
          <t>同一価格表・前頁凡例を継承</t>
        </is>
      </c>
    </row>
    <row r="376">
      <c r="A376" s="43" t="inlineStr">
        <is>
          <t>SZ-SL-000373</t>
        </is>
      </c>
      <c r="B376" s="43" t="inlineStr">
        <is>
          <t>SER-LIX-SAMOSL</t>
        </is>
      </c>
      <c r="C376" s="43" t="inlineStr">
        <is>
          <t>WT-SL-SHUTTER-HIKI</t>
        </is>
      </c>
      <c r="D376" s="43" t="inlineStr">
        <is>
          <t>シャッター付引違い窓</t>
        </is>
      </c>
      <c r="E376" s="43" t="inlineStr">
        <is>
          <t>SP-SL-SHUT-E-STD</t>
        </is>
      </c>
      <c r="F376" s="43" t="inlineStr">
        <is>
          <t>在来</t>
        </is>
      </c>
      <c r="G376" s="43" t="inlineStr">
        <is>
          <t>25620-2</t>
        </is>
      </c>
      <c r="H376" s="43" t="inlineStr">
        <is>
          <t>256-2</t>
        </is>
      </c>
      <c r="I376" s="43" t="inlineStr">
        <is>
          <t>20</t>
        </is>
      </c>
      <c r="J376" s="222" t="n">
        <v>2600</v>
      </c>
      <c r="K376" s="222" t="n">
        <v>2030</v>
      </c>
      <c r="L376" s="43" t="inlineStr">
        <is>
          <t>在来｜電動</t>
        </is>
      </c>
      <c r="M376" s="178" t="b">
        <v>1</v>
      </c>
      <c r="N376" s="43" t="inlineStr">
        <is>
          <t>カタログ規格確認済み</t>
        </is>
      </c>
      <c r="O376" s="222" t="n">
        <v>43</v>
      </c>
      <c r="P376" s="222" t="n">
        <v>41</v>
      </c>
      <c r="Q376" s="43" t="inlineStr">
        <is>
          <t>202604_LIXIL_サーモスＬ_業務用資料集_完成品価格表.pdf</t>
        </is>
      </c>
      <c r="R376" s="43" t="n"/>
      <c r="S376" s="42" t="inlineStr">
        <is>
          <t>◆</t>
        </is>
      </c>
      <c r="T376" s="42" t="n">
        <v>40</v>
      </c>
      <c r="U376" s="42" t="inlineStr">
        <is>
          <t>P40|◆</t>
        </is>
      </c>
      <c r="V376" s="42" t="inlineStr">
        <is>
          <t>同一価格表・前頁凡例を継承</t>
        </is>
      </c>
    </row>
    <row r="377">
      <c r="A377" s="43" t="inlineStr">
        <is>
          <t>SZ-SL-000374</t>
        </is>
      </c>
      <c r="B377" s="43" t="inlineStr">
        <is>
          <t>SER-LIX-SAMOSL</t>
        </is>
      </c>
      <c r="C377" s="43" t="inlineStr">
        <is>
          <t>WT-SL-SHUTTER-HIKI</t>
        </is>
      </c>
      <c r="D377" s="43" t="inlineStr">
        <is>
          <t>シャッター付引違い窓</t>
        </is>
      </c>
      <c r="E377" s="43" t="inlineStr">
        <is>
          <t>SP-SL-SHUT-E-STD</t>
        </is>
      </c>
      <c r="F377" s="43" t="inlineStr">
        <is>
          <t>在来</t>
        </is>
      </c>
      <c r="G377" s="43" t="inlineStr">
        <is>
          <t>25620-4</t>
        </is>
      </c>
      <c r="H377" s="43" t="inlineStr">
        <is>
          <t>256-4</t>
        </is>
      </c>
      <c r="I377" s="43" t="inlineStr">
        <is>
          <t>20</t>
        </is>
      </c>
      <c r="J377" s="222" t="n">
        <v>2600</v>
      </c>
      <c r="K377" s="222" t="n">
        <v>2030</v>
      </c>
      <c r="L377" s="43" t="inlineStr">
        <is>
          <t>在来｜電動</t>
        </is>
      </c>
      <c r="M377" s="178" t="b">
        <v>1</v>
      </c>
      <c r="N377" s="43" t="inlineStr">
        <is>
          <t>カタログ規格確認済み</t>
        </is>
      </c>
      <c r="O377" s="222" t="n">
        <v>43</v>
      </c>
      <c r="P377" s="222" t="n">
        <v>41</v>
      </c>
      <c r="Q377" s="43" t="inlineStr">
        <is>
          <t>202604_LIXIL_サーモスＬ_業務用資料集_完成品価格表.pdf</t>
        </is>
      </c>
      <c r="R377" s="43" t="n"/>
      <c r="S377" s="42" t="inlineStr">
        <is>
          <t>無印</t>
        </is>
      </c>
      <c r="T377" s="42" t="n">
        <v>40</v>
      </c>
      <c r="U377" s="42" t="inlineStr">
        <is>
          <t>P40|無印</t>
        </is>
      </c>
      <c r="V377" s="42" t="inlineStr">
        <is>
          <t>同一価格表・前頁凡例を継承</t>
        </is>
      </c>
    </row>
    <row r="378">
      <c r="A378" s="43" t="inlineStr">
        <is>
          <t>SZ-SL-000375</t>
        </is>
      </c>
      <c r="B378" s="43" t="inlineStr">
        <is>
          <t>SER-LIX-SAMOSL</t>
        </is>
      </c>
      <c r="C378" s="43" t="inlineStr">
        <is>
          <t>WT-SL-SHUTTER-HIKI</t>
        </is>
      </c>
      <c r="D378" s="43" t="inlineStr">
        <is>
          <t>シャッター付引違い窓</t>
        </is>
      </c>
      <c r="E378" s="43" t="inlineStr">
        <is>
          <t>SP-SL-SHUT-E-STD</t>
        </is>
      </c>
      <c r="F378" s="43" t="inlineStr">
        <is>
          <t>在来</t>
        </is>
      </c>
      <c r="G378" s="43" t="inlineStr">
        <is>
          <t>34718</t>
        </is>
      </c>
      <c r="H378" s="43" t="inlineStr">
        <is>
          <t>347</t>
        </is>
      </c>
      <c r="I378" s="43" t="inlineStr">
        <is>
          <t>18</t>
        </is>
      </c>
      <c r="J378" s="222" t="n">
        <v>3510</v>
      </c>
      <c r="K378" s="222" t="n">
        <v>1830</v>
      </c>
      <c r="L378" s="43" t="inlineStr">
        <is>
          <t>在来｜電動</t>
        </is>
      </c>
      <c r="M378" s="178" t="b">
        <v>1</v>
      </c>
      <c r="N378" s="43" t="inlineStr">
        <is>
          <t>カタログ規格確認済み</t>
        </is>
      </c>
      <c r="O378" s="222" t="n">
        <v>43</v>
      </c>
      <c r="P378" s="222" t="n">
        <v>41</v>
      </c>
      <c r="Q378" s="43" t="inlineStr">
        <is>
          <t>202604_LIXIL_サーモスＬ_業務用資料集_完成品価格表.pdf</t>
        </is>
      </c>
      <c r="R378" s="43" t="n"/>
      <c r="S378" s="42" t="inlineStr">
        <is>
          <t>無印</t>
        </is>
      </c>
      <c r="T378" s="42" t="n">
        <v>40</v>
      </c>
      <c r="U378" s="42" t="inlineStr">
        <is>
          <t>P40|無印</t>
        </is>
      </c>
      <c r="V378" s="42" t="inlineStr">
        <is>
          <t>同一価格表・前頁凡例を継承</t>
        </is>
      </c>
    </row>
    <row r="379">
      <c r="A379" s="43" t="inlineStr">
        <is>
          <t>SZ-SL-000376</t>
        </is>
      </c>
      <c r="B379" s="43" t="inlineStr">
        <is>
          <t>SER-LIX-SAMOSL</t>
        </is>
      </c>
      <c r="C379" s="43" t="inlineStr">
        <is>
          <t>WT-SL-SHUTTER-HIKI</t>
        </is>
      </c>
      <c r="D379" s="43" t="inlineStr">
        <is>
          <t>シャッター付引違い窓</t>
        </is>
      </c>
      <c r="E379" s="43" t="inlineStr">
        <is>
          <t>SP-SL-SHUT-E-STD</t>
        </is>
      </c>
      <c r="F379" s="43" t="inlineStr">
        <is>
          <t>在来</t>
        </is>
      </c>
      <c r="G379" s="43" t="inlineStr">
        <is>
          <t>34720</t>
        </is>
      </c>
      <c r="H379" s="43" t="inlineStr">
        <is>
          <t>347</t>
        </is>
      </c>
      <c r="I379" s="43" t="inlineStr">
        <is>
          <t>20</t>
        </is>
      </c>
      <c r="J379" s="222" t="n">
        <v>3510</v>
      </c>
      <c r="K379" s="222" t="n">
        <v>2030</v>
      </c>
      <c r="L379" s="43" t="inlineStr">
        <is>
          <t>在来｜電動</t>
        </is>
      </c>
      <c r="M379" s="178" t="b">
        <v>1</v>
      </c>
      <c r="N379" s="43" t="inlineStr">
        <is>
          <t>カタログ規格確認済み</t>
        </is>
      </c>
      <c r="O379" s="222" t="n">
        <v>43</v>
      </c>
      <c r="P379" s="222" t="n">
        <v>41</v>
      </c>
      <c r="Q379" s="43" t="inlineStr">
        <is>
          <t>202604_LIXIL_サーモスＬ_業務用資料集_完成品価格表.pdf</t>
        </is>
      </c>
      <c r="R379" s="43" t="n"/>
      <c r="S379" s="42" t="inlineStr">
        <is>
          <t>★</t>
        </is>
      </c>
      <c r="T379" s="42" t="n">
        <v>40</v>
      </c>
      <c r="U379" s="42" t="inlineStr">
        <is>
          <t>P40|★</t>
        </is>
      </c>
      <c r="V379" s="42" t="inlineStr">
        <is>
          <t>同一価格表・前頁凡例を継承</t>
        </is>
      </c>
    </row>
    <row r="380">
      <c r="A380" s="43" t="inlineStr">
        <is>
          <t>SZ-SL-000377</t>
        </is>
      </c>
      <c r="B380" s="43" t="inlineStr">
        <is>
          <t>SER-LIX-SAMOSL</t>
        </is>
      </c>
      <c r="C380" s="43" t="inlineStr">
        <is>
          <t>WT-SL-SHUTTER-HIKI</t>
        </is>
      </c>
      <c r="D380" s="43" t="inlineStr">
        <is>
          <t>シャッター付引違い窓</t>
        </is>
      </c>
      <c r="E380" s="43" t="inlineStr">
        <is>
          <t>SP-SL-SHUT-E-VENT</t>
        </is>
      </c>
      <c r="F380" s="43" t="inlineStr">
        <is>
          <t>在来</t>
        </is>
      </c>
      <c r="G380" s="43" t="inlineStr">
        <is>
          <t>25618-2</t>
        </is>
      </c>
      <c r="H380" s="43" t="inlineStr">
        <is>
          <t>256-2</t>
        </is>
      </c>
      <c r="I380" s="43" t="inlineStr">
        <is>
          <t>18</t>
        </is>
      </c>
      <c r="J380" s="222" t="n">
        <v>2600</v>
      </c>
      <c r="K380" s="222" t="n">
        <v>1830</v>
      </c>
      <c r="L380" s="43" t="inlineStr">
        <is>
          <t>在来｜電動</t>
        </is>
      </c>
      <c r="M380" s="178" t="b">
        <v>1</v>
      </c>
      <c r="N380" s="43" t="inlineStr">
        <is>
          <t>カタログ個別可否確認済み</t>
        </is>
      </c>
      <c r="O380" s="222" t="n">
        <v>43</v>
      </c>
      <c r="P380" s="222" t="n">
        <v>41</v>
      </c>
      <c r="Q380" s="43" t="inlineStr">
        <is>
          <t>202604_LIXIL_サーモスＬ_業務用資料集_完成品価格表.pdf</t>
        </is>
      </c>
      <c r="R380" s="43" t="inlineStr">
        <is>
          <t>規格呼称は親品種で確認済み。固有仕様ごとの価格設定有無（＿＿表示等）は次QAで最終確定。</t>
        </is>
      </c>
      <c r="S380" s="42" t="inlineStr">
        <is>
          <t>◆</t>
        </is>
      </c>
      <c r="T380" s="42" t="n">
        <v>40</v>
      </c>
      <c r="U380" s="42" t="inlineStr">
        <is>
          <t>P40|◆</t>
        </is>
      </c>
      <c r="V380" s="42" t="inlineStr">
        <is>
          <t>同一価格表・前頁凡例を継承</t>
        </is>
      </c>
    </row>
    <row r="381">
      <c r="A381" s="43" t="inlineStr">
        <is>
          <t>SZ-SL-000378</t>
        </is>
      </c>
      <c r="B381" s="43" t="inlineStr">
        <is>
          <t>SER-LIX-SAMOSL</t>
        </is>
      </c>
      <c r="C381" s="43" t="inlineStr">
        <is>
          <t>WT-SL-SHUTTER-HIKI</t>
        </is>
      </c>
      <c r="D381" s="43" t="inlineStr">
        <is>
          <t>シャッター付引違い窓</t>
        </is>
      </c>
      <c r="E381" s="43" t="inlineStr">
        <is>
          <t>SP-SL-SHUT-E-VENT</t>
        </is>
      </c>
      <c r="F381" s="43" t="inlineStr">
        <is>
          <t>在来</t>
        </is>
      </c>
      <c r="G381" s="43" t="inlineStr">
        <is>
          <t>25618-4</t>
        </is>
      </c>
      <c r="H381" s="43" t="inlineStr">
        <is>
          <t>256-4</t>
        </is>
      </c>
      <c r="I381" s="43" t="inlineStr">
        <is>
          <t>18</t>
        </is>
      </c>
      <c r="J381" s="222" t="n">
        <v>2600</v>
      </c>
      <c r="K381" s="222" t="n">
        <v>1830</v>
      </c>
      <c r="L381" s="43" t="inlineStr">
        <is>
          <t>在来｜電動</t>
        </is>
      </c>
      <c r="M381" s="178" t="b">
        <v>1</v>
      </c>
      <c r="N381" s="43" t="inlineStr">
        <is>
          <t>カタログ個別可否確認済み</t>
        </is>
      </c>
      <c r="O381" s="222" t="n">
        <v>43</v>
      </c>
      <c r="P381" s="222" t="n">
        <v>41</v>
      </c>
      <c r="Q381" s="43" t="inlineStr">
        <is>
          <t>202604_LIXIL_サーモスＬ_業務用資料集_完成品価格表.pdf</t>
        </is>
      </c>
      <c r="R381" s="43" t="inlineStr">
        <is>
          <t>規格呼称は親品種で確認済み。固有仕様ごとの価格設定有無（＿＿表示等）は次QAで最終確定。</t>
        </is>
      </c>
      <c r="S381" s="42" t="inlineStr">
        <is>
          <t>無印</t>
        </is>
      </c>
      <c r="T381" s="42" t="n">
        <v>40</v>
      </c>
      <c r="U381" s="42" t="inlineStr">
        <is>
          <t>P40|無印</t>
        </is>
      </c>
      <c r="V381" s="42" t="inlineStr">
        <is>
          <t>同一価格表・前頁凡例を継承</t>
        </is>
      </c>
    </row>
    <row r="382">
      <c r="A382" s="43" t="inlineStr">
        <is>
          <t>SZ-SL-000379</t>
        </is>
      </c>
      <c r="B382" s="43" t="inlineStr">
        <is>
          <t>SER-LIX-SAMOSL</t>
        </is>
      </c>
      <c r="C382" s="43" t="inlineStr">
        <is>
          <t>WT-SL-SHUTTER-HIKI</t>
        </is>
      </c>
      <c r="D382" s="43" t="inlineStr">
        <is>
          <t>シャッター付引違い窓</t>
        </is>
      </c>
      <c r="E382" s="43" t="inlineStr">
        <is>
          <t>SP-SL-SHUT-E-VENT</t>
        </is>
      </c>
      <c r="F382" s="43" t="inlineStr">
        <is>
          <t>在来</t>
        </is>
      </c>
      <c r="G382" s="43" t="inlineStr">
        <is>
          <t>25620-2</t>
        </is>
      </c>
      <c r="H382" s="43" t="inlineStr">
        <is>
          <t>256-2</t>
        </is>
      </c>
      <c r="I382" s="43" t="inlineStr">
        <is>
          <t>20</t>
        </is>
      </c>
      <c r="J382" s="222" t="n">
        <v>2600</v>
      </c>
      <c r="K382" s="222" t="n">
        <v>2030</v>
      </c>
      <c r="L382" s="43" t="inlineStr">
        <is>
          <t>在来｜電動</t>
        </is>
      </c>
      <c r="M382" s="178" t="b">
        <v>1</v>
      </c>
      <c r="N382" s="43" t="inlineStr">
        <is>
          <t>カタログ個別可否確認済み</t>
        </is>
      </c>
      <c r="O382" s="222" t="n">
        <v>43</v>
      </c>
      <c r="P382" s="222" t="n">
        <v>41</v>
      </c>
      <c r="Q382" s="43" t="inlineStr">
        <is>
          <t>202604_LIXIL_サーモスＬ_業務用資料集_完成品価格表.pdf</t>
        </is>
      </c>
      <c r="R382" s="43" t="inlineStr">
        <is>
          <t>規格呼称は親品種で確認済み。固有仕様ごとの価格設定有無（＿＿表示等）は次QAで最終確定。</t>
        </is>
      </c>
      <c r="S382" s="42" t="inlineStr">
        <is>
          <t>◆</t>
        </is>
      </c>
      <c r="T382" s="42" t="n">
        <v>40</v>
      </c>
      <c r="U382" s="42" t="inlineStr">
        <is>
          <t>P40|◆</t>
        </is>
      </c>
      <c r="V382" s="42" t="inlineStr">
        <is>
          <t>同一価格表・前頁凡例を継承</t>
        </is>
      </c>
    </row>
    <row r="383">
      <c r="A383" s="43" t="inlineStr">
        <is>
          <t>SZ-SL-000380</t>
        </is>
      </c>
      <c r="B383" s="43" t="inlineStr">
        <is>
          <t>SER-LIX-SAMOSL</t>
        </is>
      </c>
      <c r="C383" s="43" t="inlineStr">
        <is>
          <t>WT-SL-SHUTTER-HIKI</t>
        </is>
      </c>
      <c r="D383" s="43" t="inlineStr">
        <is>
          <t>シャッター付引違い窓</t>
        </is>
      </c>
      <c r="E383" s="43" t="inlineStr">
        <is>
          <t>SP-SL-SHUT-E-VENT</t>
        </is>
      </c>
      <c r="F383" s="43" t="inlineStr">
        <is>
          <t>在来</t>
        </is>
      </c>
      <c r="G383" s="43" t="inlineStr">
        <is>
          <t>25620-4</t>
        </is>
      </c>
      <c r="H383" s="43" t="inlineStr">
        <is>
          <t>256-4</t>
        </is>
      </c>
      <c r="I383" s="43" t="inlineStr">
        <is>
          <t>20</t>
        </is>
      </c>
      <c r="J383" s="222" t="n">
        <v>2600</v>
      </c>
      <c r="K383" s="222" t="n">
        <v>2030</v>
      </c>
      <c r="L383" s="43" t="inlineStr">
        <is>
          <t>在来｜電動</t>
        </is>
      </c>
      <c r="M383" s="178" t="b">
        <v>1</v>
      </c>
      <c r="N383" s="43" t="inlineStr">
        <is>
          <t>カタログ個別可否確認済み</t>
        </is>
      </c>
      <c r="O383" s="222" t="n">
        <v>43</v>
      </c>
      <c r="P383" s="222" t="n">
        <v>41</v>
      </c>
      <c r="Q383" s="43" t="inlineStr">
        <is>
          <t>202604_LIXIL_サーモスＬ_業務用資料集_完成品価格表.pdf</t>
        </is>
      </c>
      <c r="R383" s="43" t="inlineStr">
        <is>
          <t>規格呼称は親品種で確認済み。固有仕様ごとの価格設定有無（＿＿表示等）は次QAで最終確定。</t>
        </is>
      </c>
      <c r="S383" s="42" t="inlineStr">
        <is>
          <t>無印</t>
        </is>
      </c>
      <c r="T383" s="42" t="n">
        <v>40</v>
      </c>
      <c r="U383" s="42" t="inlineStr">
        <is>
          <t>P40|無印</t>
        </is>
      </c>
      <c r="V383" s="42" t="inlineStr">
        <is>
          <t>同一価格表・前頁凡例を継承</t>
        </is>
      </c>
    </row>
    <row r="384">
      <c r="A384" s="43" t="inlineStr">
        <is>
          <t>SZ-SL-000381</t>
        </is>
      </c>
      <c r="B384" s="43" t="inlineStr">
        <is>
          <t>SER-LIX-SAMOSL</t>
        </is>
      </c>
      <c r="C384" s="43" t="inlineStr">
        <is>
          <t>WT-SL-SHUTTER-HIKI</t>
        </is>
      </c>
      <c r="D384" s="43" t="inlineStr">
        <is>
          <t>シャッター付引違い窓</t>
        </is>
      </c>
      <c r="E384" s="43" t="inlineStr">
        <is>
          <t>SP-SL-SHUT-E-VENT</t>
        </is>
      </c>
      <c r="F384" s="43" t="inlineStr">
        <is>
          <t>在来</t>
        </is>
      </c>
      <c r="G384" s="43" t="inlineStr">
        <is>
          <t>34718</t>
        </is>
      </c>
      <c r="H384" s="43" t="inlineStr">
        <is>
          <t>347</t>
        </is>
      </c>
      <c r="I384" s="43" t="inlineStr">
        <is>
          <t>18</t>
        </is>
      </c>
      <c r="J384" s="222" t="n">
        <v>3510</v>
      </c>
      <c r="K384" s="222" t="n">
        <v>1830</v>
      </c>
      <c r="L384" s="43" t="inlineStr">
        <is>
          <t>在来｜電動</t>
        </is>
      </c>
      <c r="M384" s="178" t="b">
        <v>1</v>
      </c>
      <c r="N384" s="43" t="inlineStr">
        <is>
          <t>カタログ個別可否確認済み</t>
        </is>
      </c>
      <c r="O384" s="222" t="n">
        <v>43</v>
      </c>
      <c r="P384" s="222" t="n">
        <v>41</v>
      </c>
      <c r="Q384" s="43" t="inlineStr">
        <is>
          <t>202604_LIXIL_サーモスＬ_業務用資料集_完成品価格表.pdf</t>
        </is>
      </c>
      <c r="R384" s="43" t="inlineStr">
        <is>
          <t>規格呼称は親品種で確認済み。固有仕様ごとの価格設定有無（＿＿表示等）は次QAで最終確定。</t>
        </is>
      </c>
      <c r="S384" s="42" t="inlineStr">
        <is>
          <t>無印</t>
        </is>
      </c>
      <c r="T384" s="42" t="n">
        <v>40</v>
      </c>
      <c r="U384" s="42" t="inlineStr">
        <is>
          <t>P40|無印</t>
        </is>
      </c>
      <c r="V384" s="42" t="inlineStr">
        <is>
          <t>同一価格表・前頁凡例を継承</t>
        </is>
      </c>
    </row>
    <row r="385">
      <c r="A385" s="43" t="inlineStr">
        <is>
          <t>SZ-SL-000382</t>
        </is>
      </c>
      <c r="B385" s="43" t="inlineStr">
        <is>
          <t>SER-LIX-SAMOSL</t>
        </is>
      </c>
      <c r="C385" s="43" t="inlineStr">
        <is>
          <t>WT-SL-SHUTTER-HIKI</t>
        </is>
      </c>
      <c r="D385" s="43" t="inlineStr">
        <is>
          <t>シャッター付引違い窓</t>
        </is>
      </c>
      <c r="E385" s="43" t="inlineStr">
        <is>
          <t>SP-SL-SHUT-E-VENT</t>
        </is>
      </c>
      <c r="F385" s="43" t="inlineStr">
        <is>
          <t>在来</t>
        </is>
      </c>
      <c r="G385" s="43" t="inlineStr">
        <is>
          <t>34720</t>
        </is>
      </c>
      <c r="H385" s="43" t="inlineStr">
        <is>
          <t>347</t>
        </is>
      </c>
      <c r="I385" s="43" t="inlineStr">
        <is>
          <t>20</t>
        </is>
      </c>
      <c r="J385" s="222" t="n">
        <v>3510</v>
      </c>
      <c r="K385" s="222" t="n">
        <v>2030</v>
      </c>
      <c r="L385" s="43" t="inlineStr">
        <is>
          <t>在来｜電動</t>
        </is>
      </c>
      <c r="M385" s="178" t="b">
        <v>1</v>
      </c>
      <c r="N385" s="43" t="inlineStr">
        <is>
          <t>カタログ個別可否確認済み</t>
        </is>
      </c>
      <c r="O385" s="222" t="n">
        <v>43</v>
      </c>
      <c r="P385" s="222" t="n">
        <v>41</v>
      </c>
      <c r="Q385" s="43" t="inlineStr">
        <is>
          <t>202604_LIXIL_サーモスＬ_業務用資料集_完成品価格表.pdf</t>
        </is>
      </c>
      <c r="R385" s="43" t="inlineStr">
        <is>
          <t>規格呼称は親品種で確認済み。固有仕様ごとの価格設定有無（＿＿表示等）は次QAで最終確定。</t>
        </is>
      </c>
      <c r="S385" s="42" t="inlineStr">
        <is>
          <t>★</t>
        </is>
      </c>
      <c r="T385" s="42" t="n">
        <v>40</v>
      </c>
      <c r="U385" s="42" t="inlineStr">
        <is>
          <t>P40|★</t>
        </is>
      </c>
      <c r="V385" s="42" t="inlineStr">
        <is>
          <t>同一価格表・前頁凡例を継承</t>
        </is>
      </c>
    </row>
    <row r="386">
      <c r="A386" s="43" t="inlineStr">
        <is>
          <t>SZ-SL-000383</t>
        </is>
      </c>
      <c r="B386" s="43" t="inlineStr">
        <is>
          <t>SER-LIX-SAMOSL</t>
        </is>
      </c>
      <c r="C386" s="43" t="inlineStr">
        <is>
          <t>WT-SL-SHUTTER-HIKI</t>
        </is>
      </c>
      <c r="D386" s="43" t="inlineStr">
        <is>
          <t>シャッター付引違い窓</t>
        </is>
      </c>
      <c r="E386" s="43" t="inlineStr">
        <is>
          <t>SP-SL-SHUT-E-WIND</t>
        </is>
      </c>
      <c r="F386" s="43" t="inlineStr">
        <is>
          <t>在来</t>
        </is>
      </c>
      <c r="G386" s="43" t="inlineStr">
        <is>
          <t>25618-2</t>
        </is>
      </c>
      <c r="H386" s="43" t="inlineStr">
        <is>
          <t>256-2</t>
        </is>
      </c>
      <c r="I386" s="43" t="inlineStr">
        <is>
          <t>18</t>
        </is>
      </c>
      <c r="J386" s="222" t="n">
        <v>2600</v>
      </c>
      <c r="K386" s="222" t="n">
        <v>1830</v>
      </c>
      <c r="L386" s="43" t="inlineStr">
        <is>
          <t>在来｜電動</t>
        </is>
      </c>
      <c r="M386" s="178" t="b">
        <v>1</v>
      </c>
      <c r="N386" s="43" t="inlineStr">
        <is>
          <t>カタログ個別可否確認済み</t>
        </is>
      </c>
      <c r="O386" s="222" t="n">
        <v>43</v>
      </c>
      <c r="P386" s="222" t="n">
        <v>41</v>
      </c>
      <c r="Q386" s="43" t="inlineStr">
        <is>
          <t>202604_LIXIL_サーモスＬ_業務用資料集_完成品価格表.pdf</t>
        </is>
      </c>
      <c r="R386" s="43" t="inlineStr">
        <is>
          <t>規格呼称は親品種で確認済み。固有仕様ごとの価格設定有無（＿＿表示等）は次QAで最終確定。</t>
        </is>
      </c>
      <c r="S386" s="42" t="inlineStr">
        <is>
          <t>◆</t>
        </is>
      </c>
      <c r="T386" s="42" t="n">
        <v>40</v>
      </c>
      <c r="U386" s="42" t="inlineStr">
        <is>
          <t>P40|◆</t>
        </is>
      </c>
      <c r="V386" s="42" t="inlineStr">
        <is>
          <t>同一価格表・前頁凡例を継承</t>
        </is>
      </c>
    </row>
    <row r="387">
      <c r="A387" s="43" t="inlineStr">
        <is>
          <t>SZ-SL-000384</t>
        </is>
      </c>
      <c r="B387" s="43" t="inlineStr">
        <is>
          <t>SER-LIX-SAMOSL</t>
        </is>
      </c>
      <c r="C387" s="43" t="inlineStr">
        <is>
          <t>WT-SL-SHUTTER-HIKI</t>
        </is>
      </c>
      <c r="D387" s="43" t="inlineStr">
        <is>
          <t>シャッター付引違い窓</t>
        </is>
      </c>
      <c r="E387" s="43" t="inlineStr">
        <is>
          <t>SP-SL-SHUT-E-WIND</t>
        </is>
      </c>
      <c r="F387" s="43" t="inlineStr">
        <is>
          <t>在来</t>
        </is>
      </c>
      <c r="G387" s="43" t="inlineStr">
        <is>
          <t>25618-4</t>
        </is>
      </c>
      <c r="H387" s="43" t="inlineStr">
        <is>
          <t>256-4</t>
        </is>
      </c>
      <c r="I387" s="43" t="inlineStr">
        <is>
          <t>18</t>
        </is>
      </c>
      <c r="J387" s="222" t="n">
        <v>2600</v>
      </c>
      <c r="K387" s="222" t="n">
        <v>1830</v>
      </c>
      <c r="L387" s="43" t="inlineStr">
        <is>
          <t>在来｜電動</t>
        </is>
      </c>
      <c r="M387" s="178" t="b">
        <v>1</v>
      </c>
      <c r="N387" s="43" t="inlineStr">
        <is>
          <t>カタログ個別可否確認済み</t>
        </is>
      </c>
      <c r="O387" s="222" t="n">
        <v>43</v>
      </c>
      <c r="P387" s="222" t="n">
        <v>41</v>
      </c>
      <c r="Q387" s="43" t="inlineStr">
        <is>
          <t>202604_LIXIL_サーモスＬ_業務用資料集_完成品価格表.pdf</t>
        </is>
      </c>
      <c r="R387" s="43" t="inlineStr">
        <is>
          <t>規格呼称は親品種で確認済み。固有仕様ごとの価格設定有無（＿＿表示等）は次QAで最終確定。</t>
        </is>
      </c>
      <c r="S387" s="42" t="inlineStr">
        <is>
          <t>無印</t>
        </is>
      </c>
      <c r="T387" s="42" t="n">
        <v>40</v>
      </c>
      <c r="U387" s="42" t="inlineStr">
        <is>
          <t>P40|無印</t>
        </is>
      </c>
      <c r="V387" s="42" t="inlineStr">
        <is>
          <t>同一価格表・前頁凡例を継承</t>
        </is>
      </c>
    </row>
    <row r="388">
      <c r="A388" s="43" t="inlineStr">
        <is>
          <t>SZ-SL-000385</t>
        </is>
      </c>
      <c r="B388" s="43" t="inlineStr">
        <is>
          <t>SER-LIX-SAMOSL</t>
        </is>
      </c>
      <c r="C388" s="43" t="inlineStr">
        <is>
          <t>WT-SL-SHUTTER-HIKI</t>
        </is>
      </c>
      <c r="D388" s="43" t="inlineStr">
        <is>
          <t>シャッター付引違い窓</t>
        </is>
      </c>
      <c r="E388" s="43" t="inlineStr">
        <is>
          <t>SP-SL-SHUT-E-WIND</t>
        </is>
      </c>
      <c r="F388" s="43" t="inlineStr">
        <is>
          <t>在来</t>
        </is>
      </c>
      <c r="G388" s="43" t="inlineStr">
        <is>
          <t>25620-2</t>
        </is>
      </c>
      <c r="H388" s="43" t="inlineStr">
        <is>
          <t>256-2</t>
        </is>
      </c>
      <c r="I388" s="43" t="inlineStr">
        <is>
          <t>20</t>
        </is>
      </c>
      <c r="J388" s="222" t="n">
        <v>2600</v>
      </c>
      <c r="K388" s="222" t="n">
        <v>2030</v>
      </c>
      <c r="L388" s="43" t="inlineStr">
        <is>
          <t>在来｜電動</t>
        </is>
      </c>
      <c r="M388" s="178" t="b">
        <v>1</v>
      </c>
      <c r="N388" s="43" t="inlineStr">
        <is>
          <t>カタログ個別可否確認済み</t>
        </is>
      </c>
      <c r="O388" s="222" t="n">
        <v>43</v>
      </c>
      <c r="P388" s="222" t="n">
        <v>41</v>
      </c>
      <c r="Q388" s="43" t="inlineStr">
        <is>
          <t>202604_LIXIL_サーモスＬ_業務用資料集_完成品価格表.pdf</t>
        </is>
      </c>
      <c r="R388" s="43" t="inlineStr">
        <is>
          <t>規格呼称は親品種で確認済み。固有仕様ごとの価格設定有無（＿＿表示等）は次QAで最終確定。</t>
        </is>
      </c>
      <c r="S388" s="42" t="inlineStr">
        <is>
          <t>◆</t>
        </is>
      </c>
      <c r="T388" s="42" t="n">
        <v>40</v>
      </c>
      <c r="U388" s="42" t="inlineStr">
        <is>
          <t>P40|◆</t>
        </is>
      </c>
      <c r="V388" s="42" t="inlineStr">
        <is>
          <t>同一価格表・前頁凡例を継承</t>
        </is>
      </c>
    </row>
    <row r="389">
      <c r="A389" s="43" t="inlineStr">
        <is>
          <t>SZ-SL-000386</t>
        </is>
      </c>
      <c r="B389" s="43" t="inlineStr">
        <is>
          <t>SER-LIX-SAMOSL</t>
        </is>
      </c>
      <c r="C389" s="43" t="inlineStr">
        <is>
          <t>WT-SL-SHUTTER-HIKI</t>
        </is>
      </c>
      <c r="D389" s="43" t="inlineStr">
        <is>
          <t>シャッター付引違い窓</t>
        </is>
      </c>
      <c r="E389" s="43" t="inlineStr">
        <is>
          <t>SP-SL-SHUT-E-WIND</t>
        </is>
      </c>
      <c r="F389" s="43" t="inlineStr">
        <is>
          <t>在来</t>
        </is>
      </c>
      <c r="G389" s="43" t="inlineStr">
        <is>
          <t>25620-4</t>
        </is>
      </c>
      <c r="H389" s="43" t="inlineStr">
        <is>
          <t>256-4</t>
        </is>
      </c>
      <c r="I389" s="43" t="inlineStr">
        <is>
          <t>20</t>
        </is>
      </c>
      <c r="J389" s="222" t="n">
        <v>2600</v>
      </c>
      <c r="K389" s="222" t="n">
        <v>2030</v>
      </c>
      <c r="L389" s="43" t="inlineStr">
        <is>
          <t>在来｜電動</t>
        </is>
      </c>
      <c r="M389" s="178" t="b">
        <v>1</v>
      </c>
      <c r="N389" s="43" t="inlineStr">
        <is>
          <t>カタログ個別可否確認済み</t>
        </is>
      </c>
      <c r="O389" s="222" t="n">
        <v>43</v>
      </c>
      <c r="P389" s="222" t="n">
        <v>41</v>
      </c>
      <c r="Q389" s="43" t="inlineStr">
        <is>
          <t>202604_LIXIL_サーモスＬ_業務用資料集_完成品価格表.pdf</t>
        </is>
      </c>
      <c r="R389" s="43" t="inlineStr">
        <is>
          <t>規格呼称は親品種で確認済み。固有仕様ごとの価格設定有無（＿＿表示等）は次QAで最終確定。</t>
        </is>
      </c>
      <c r="S389" s="42" t="inlineStr">
        <is>
          <t>無印</t>
        </is>
      </c>
      <c r="T389" s="42" t="n">
        <v>40</v>
      </c>
      <c r="U389" s="42" t="inlineStr">
        <is>
          <t>P40|無印</t>
        </is>
      </c>
      <c r="V389" s="42" t="inlineStr">
        <is>
          <t>同一価格表・前頁凡例を継承</t>
        </is>
      </c>
    </row>
    <row r="390">
      <c r="A390" s="43" t="inlineStr">
        <is>
          <t>SZ-SL-000387</t>
        </is>
      </c>
      <c r="B390" s="43" t="inlineStr">
        <is>
          <t>SER-LIX-SAMOSL</t>
        </is>
      </c>
      <c r="C390" s="43" t="inlineStr">
        <is>
          <t>WT-SL-SHUTTER-HIKI</t>
        </is>
      </c>
      <c r="D390" s="43" t="inlineStr">
        <is>
          <t>シャッター付引違い窓</t>
        </is>
      </c>
      <c r="E390" s="43" t="inlineStr">
        <is>
          <t>SP-SL-SHUT-E-WIND</t>
        </is>
      </c>
      <c r="F390" s="43" t="inlineStr">
        <is>
          <t>在来</t>
        </is>
      </c>
      <c r="G390" s="43" t="inlineStr">
        <is>
          <t>34718</t>
        </is>
      </c>
      <c r="H390" s="43" t="inlineStr">
        <is>
          <t>347</t>
        </is>
      </c>
      <c r="I390" s="43" t="inlineStr">
        <is>
          <t>18</t>
        </is>
      </c>
      <c r="J390" s="222" t="n">
        <v>3510</v>
      </c>
      <c r="K390" s="222" t="n">
        <v>1830</v>
      </c>
      <c r="L390" s="43" t="inlineStr">
        <is>
          <t>在来｜電動</t>
        </is>
      </c>
      <c r="M390" s="178" t="b">
        <v>0</v>
      </c>
      <c r="N390" s="43" t="inlineStr">
        <is>
          <t>設定なし（価格表確認済み）</t>
        </is>
      </c>
      <c r="O390" s="222" t="n">
        <v>43</v>
      </c>
      <c r="P390" s="222" t="n">
        <v>41</v>
      </c>
      <c r="Q390" s="43" t="inlineStr">
        <is>
          <t>202604_LIXIL_サーモスＬ_業務用資料集_完成品価格表.pdf</t>
        </is>
      </c>
      <c r="R390" s="43" t="inlineStr">
        <is>
          <t>規格呼称は親品種で確認済み。固有仕様ごとの価格設定有無（＿＿表示等）は次QAで最終確定。</t>
        </is>
      </c>
      <c r="S390" s="42" t="inlineStr">
        <is>
          <t>無印</t>
        </is>
      </c>
      <c r="T390" s="42" t="n">
        <v>40</v>
      </c>
      <c r="U390" s="42" t="inlineStr">
        <is>
          <t>P40|無印</t>
        </is>
      </c>
      <c r="V390" s="42" t="inlineStr">
        <is>
          <t>同一価格表・前頁凡例を継承</t>
        </is>
      </c>
    </row>
    <row r="391">
      <c r="A391" s="43" t="inlineStr">
        <is>
          <t>SZ-SL-000388</t>
        </is>
      </c>
      <c r="B391" s="43" t="inlineStr">
        <is>
          <t>SER-LIX-SAMOSL</t>
        </is>
      </c>
      <c r="C391" s="43" t="inlineStr">
        <is>
          <t>WT-SL-SHUTTER-HIKI</t>
        </is>
      </c>
      <c r="D391" s="43" t="inlineStr">
        <is>
          <t>シャッター付引違い窓</t>
        </is>
      </c>
      <c r="E391" s="43" t="inlineStr">
        <is>
          <t>SP-SL-SHUT-E-WIND</t>
        </is>
      </c>
      <c r="F391" s="43" t="inlineStr">
        <is>
          <t>在来</t>
        </is>
      </c>
      <c r="G391" s="43" t="inlineStr">
        <is>
          <t>34720</t>
        </is>
      </c>
      <c r="H391" s="43" t="inlineStr">
        <is>
          <t>347</t>
        </is>
      </c>
      <c r="I391" s="43" t="inlineStr">
        <is>
          <t>20</t>
        </is>
      </c>
      <c r="J391" s="222" t="n">
        <v>3510</v>
      </c>
      <c r="K391" s="222" t="n">
        <v>2030</v>
      </c>
      <c r="L391" s="43" t="inlineStr">
        <is>
          <t>在来｜電動</t>
        </is>
      </c>
      <c r="M391" s="178" t="b">
        <v>0</v>
      </c>
      <c r="N391" s="43" t="inlineStr">
        <is>
          <t>設定なし（価格表確認済み）</t>
        </is>
      </c>
      <c r="O391" s="222" t="n">
        <v>43</v>
      </c>
      <c r="P391" s="222" t="n">
        <v>41</v>
      </c>
      <c r="Q391" s="43" t="inlineStr">
        <is>
          <t>202604_LIXIL_サーモスＬ_業務用資料集_完成品価格表.pdf</t>
        </is>
      </c>
      <c r="R391" s="43" t="inlineStr">
        <is>
          <t>規格呼称は親品種で確認済み。固有仕様ごとの価格設定有無（＿＿表示等）は次QAで最終確定。</t>
        </is>
      </c>
      <c r="S391" s="42" t="inlineStr">
        <is>
          <t>★</t>
        </is>
      </c>
      <c r="T391" s="42" t="n">
        <v>40</v>
      </c>
      <c r="U391" s="42" t="inlineStr">
        <is>
          <t>P40|★</t>
        </is>
      </c>
      <c r="V391" s="42" t="inlineStr">
        <is>
          <t>同一価格表・前頁凡例を継承</t>
        </is>
      </c>
    </row>
    <row r="392">
      <c r="A392" s="43" t="inlineStr">
        <is>
          <t>SZ-SL-000389</t>
        </is>
      </c>
      <c r="B392" s="43" t="inlineStr">
        <is>
          <t>SER-LIX-SAMOSL</t>
        </is>
      </c>
      <c r="C392" s="43" t="inlineStr">
        <is>
          <t>WT-SL-SHUTTER-HIKI</t>
        </is>
      </c>
      <c r="D392" s="43" t="inlineStr">
        <is>
          <t>シャッター付引違い窓</t>
        </is>
      </c>
      <c r="E392" s="43" t="inlineStr">
        <is>
          <t>SP-SL-SHUT-E-STD</t>
        </is>
      </c>
      <c r="F392" s="43" t="inlineStr">
        <is>
          <t>在来</t>
        </is>
      </c>
      <c r="G392" s="43" t="inlineStr">
        <is>
          <t>15022</t>
        </is>
      </c>
      <c r="H392" s="43" t="inlineStr">
        <is>
          <t>150</t>
        </is>
      </c>
      <c r="I392" s="43" t="inlineStr">
        <is>
          <t>22</t>
        </is>
      </c>
      <c r="J392" s="222" t="n">
        <v>1540</v>
      </c>
      <c r="K392" s="222" t="n">
        <v>2230</v>
      </c>
      <c r="L392" s="43" t="inlineStr">
        <is>
          <t>在来｜電動</t>
        </is>
      </c>
      <c r="M392" s="178" t="b">
        <v>1</v>
      </c>
      <c r="N392" s="43" t="inlineStr">
        <is>
          <t>カタログ規格確認済み</t>
        </is>
      </c>
      <c r="O392" s="222" t="n">
        <v>44</v>
      </c>
      <c r="P392" s="222" t="n">
        <v>42</v>
      </c>
      <c r="Q392" s="43" t="inlineStr">
        <is>
          <t>202604_LIXIL_サーモスＬ_業務用資料集_完成品価格表.pdf</t>
        </is>
      </c>
      <c r="R392" s="43" t="n"/>
      <c r="S392" s="42" t="inlineStr">
        <is>
          <t>★</t>
        </is>
      </c>
      <c r="T392" s="42" t="n">
        <v>42</v>
      </c>
      <c r="U392" s="42" t="inlineStr">
        <is>
          <t>P42|★</t>
        </is>
      </c>
      <c r="V392" s="42" t="inlineStr">
        <is>
          <t>同頁凡例へ直接連動</t>
        </is>
      </c>
    </row>
    <row r="393">
      <c r="A393" s="43" t="inlineStr">
        <is>
          <t>SZ-SL-000390</t>
        </is>
      </c>
      <c r="B393" s="43" t="inlineStr">
        <is>
          <t>SER-LIX-SAMOSL</t>
        </is>
      </c>
      <c r="C393" s="43" t="inlineStr">
        <is>
          <t>WT-SL-SHUTTER-HIKI</t>
        </is>
      </c>
      <c r="D393" s="43" t="inlineStr">
        <is>
          <t>シャッター付引違い窓</t>
        </is>
      </c>
      <c r="E393" s="43" t="inlineStr">
        <is>
          <t>SP-SL-SHUT-E-STD</t>
        </is>
      </c>
      <c r="F393" s="43" t="inlineStr">
        <is>
          <t>在来</t>
        </is>
      </c>
      <c r="G393" s="43" t="inlineStr">
        <is>
          <t>15024</t>
        </is>
      </c>
      <c r="H393" s="43" t="inlineStr">
        <is>
          <t>150</t>
        </is>
      </c>
      <c r="I393" s="43" t="inlineStr">
        <is>
          <t>24</t>
        </is>
      </c>
      <c r="J393" s="222" t="n">
        <v>1540</v>
      </c>
      <c r="K393" s="222" t="n">
        <v>2430</v>
      </c>
      <c r="L393" s="43" t="inlineStr">
        <is>
          <t>在来｜電動</t>
        </is>
      </c>
      <c r="M393" s="178" t="b">
        <v>1</v>
      </c>
      <c r="N393" s="43" t="inlineStr">
        <is>
          <t>カタログ規格確認済み</t>
        </is>
      </c>
      <c r="O393" s="222" t="n">
        <v>44</v>
      </c>
      <c r="P393" s="222" t="n">
        <v>42</v>
      </c>
      <c r="Q393" s="43" t="inlineStr">
        <is>
          <t>202604_LIXIL_サーモスＬ_業務用資料集_完成品価格表.pdf</t>
        </is>
      </c>
      <c r="R393" s="43" t="n"/>
      <c r="S393" s="42" t="inlineStr">
        <is>
          <t>★</t>
        </is>
      </c>
      <c r="T393" s="42" t="n">
        <v>42</v>
      </c>
      <c r="U393" s="42" t="inlineStr">
        <is>
          <t>P42|★</t>
        </is>
      </c>
      <c r="V393" s="42" t="inlineStr">
        <is>
          <t>同頁凡例へ直接連動</t>
        </is>
      </c>
    </row>
    <row r="394">
      <c r="A394" s="43" t="inlineStr">
        <is>
          <t>SZ-SL-000391</t>
        </is>
      </c>
      <c r="B394" s="43" t="inlineStr">
        <is>
          <t>SER-LIX-SAMOSL</t>
        </is>
      </c>
      <c r="C394" s="43" t="inlineStr">
        <is>
          <t>WT-SL-SHUTTER-HIKI</t>
        </is>
      </c>
      <c r="D394" s="43" t="inlineStr">
        <is>
          <t>シャッター付引違い窓</t>
        </is>
      </c>
      <c r="E394" s="43" t="inlineStr">
        <is>
          <t>SP-SL-SHUT-E-STD</t>
        </is>
      </c>
      <c r="F394" s="43" t="inlineStr">
        <is>
          <t>在来</t>
        </is>
      </c>
      <c r="G394" s="43" t="inlineStr">
        <is>
          <t>16022</t>
        </is>
      </c>
      <c r="H394" s="43" t="inlineStr">
        <is>
          <t>160</t>
        </is>
      </c>
      <c r="I394" s="43" t="inlineStr">
        <is>
          <t>22</t>
        </is>
      </c>
      <c r="J394" s="222" t="n">
        <v>1640</v>
      </c>
      <c r="K394" s="222" t="n">
        <v>2230</v>
      </c>
      <c r="L394" s="43" t="inlineStr">
        <is>
          <t>在来｜電動</t>
        </is>
      </c>
      <c r="M394" s="178" t="b">
        <v>1</v>
      </c>
      <c r="N394" s="43" t="inlineStr">
        <is>
          <t>カタログ規格確認済み</t>
        </is>
      </c>
      <c r="O394" s="222" t="n">
        <v>44</v>
      </c>
      <c r="P394" s="222" t="n">
        <v>42</v>
      </c>
      <c r="Q394" s="43" t="inlineStr">
        <is>
          <t>202604_LIXIL_サーモスＬ_業務用資料集_完成品価格表.pdf</t>
        </is>
      </c>
      <c r="R394" s="43" t="n"/>
      <c r="S394" s="42" t="inlineStr">
        <is>
          <t>★</t>
        </is>
      </c>
      <c r="T394" s="42" t="n">
        <v>42</v>
      </c>
      <c r="U394" s="42" t="inlineStr">
        <is>
          <t>P42|★</t>
        </is>
      </c>
      <c r="V394" s="42" t="inlineStr">
        <is>
          <t>同頁凡例へ直接連動</t>
        </is>
      </c>
    </row>
    <row r="395">
      <c r="A395" s="43" t="inlineStr">
        <is>
          <t>SZ-SL-000392</t>
        </is>
      </c>
      <c r="B395" s="43" t="inlineStr">
        <is>
          <t>SER-LIX-SAMOSL</t>
        </is>
      </c>
      <c r="C395" s="43" t="inlineStr">
        <is>
          <t>WT-SL-SHUTTER-HIKI</t>
        </is>
      </c>
      <c r="D395" s="43" t="inlineStr">
        <is>
          <t>シャッター付引違い窓</t>
        </is>
      </c>
      <c r="E395" s="43" t="inlineStr">
        <is>
          <t>SP-SL-SHUT-E-STD</t>
        </is>
      </c>
      <c r="F395" s="43" t="inlineStr">
        <is>
          <t>在来</t>
        </is>
      </c>
      <c r="G395" s="43" t="inlineStr">
        <is>
          <t>16024</t>
        </is>
      </c>
      <c r="H395" s="43" t="inlineStr">
        <is>
          <t>160</t>
        </is>
      </c>
      <c r="I395" s="43" t="inlineStr">
        <is>
          <t>24</t>
        </is>
      </c>
      <c r="J395" s="222" t="n">
        <v>1640</v>
      </c>
      <c r="K395" s="222" t="n">
        <v>2430</v>
      </c>
      <c r="L395" s="43" t="inlineStr">
        <is>
          <t>在来｜電動</t>
        </is>
      </c>
      <c r="M395" s="178" t="b">
        <v>1</v>
      </c>
      <c r="N395" s="43" t="inlineStr">
        <is>
          <t>カタログ規格確認済み</t>
        </is>
      </c>
      <c r="O395" s="222" t="n">
        <v>44</v>
      </c>
      <c r="P395" s="222" t="n">
        <v>42</v>
      </c>
      <c r="Q395" s="43" t="inlineStr">
        <is>
          <t>202604_LIXIL_サーモスＬ_業務用資料集_完成品価格表.pdf</t>
        </is>
      </c>
      <c r="R395" s="43" t="n"/>
      <c r="S395" s="42" t="inlineStr">
        <is>
          <t>★</t>
        </is>
      </c>
      <c r="T395" s="42" t="n">
        <v>42</v>
      </c>
      <c r="U395" s="42" t="inlineStr">
        <is>
          <t>P42|★</t>
        </is>
      </c>
      <c r="V395" s="42" t="inlineStr">
        <is>
          <t>同頁凡例へ直接連動</t>
        </is>
      </c>
    </row>
    <row r="396">
      <c r="A396" s="43" t="inlineStr">
        <is>
          <t>SZ-SL-000393</t>
        </is>
      </c>
      <c r="B396" s="43" t="inlineStr">
        <is>
          <t>SER-LIX-SAMOSL</t>
        </is>
      </c>
      <c r="C396" s="43" t="inlineStr">
        <is>
          <t>WT-SL-SHUTTER-HIKI</t>
        </is>
      </c>
      <c r="D396" s="43" t="inlineStr">
        <is>
          <t>シャッター付引違い窓</t>
        </is>
      </c>
      <c r="E396" s="43" t="inlineStr">
        <is>
          <t>SP-SL-SHUT-E-VENT</t>
        </is>
      </c>
      <c r="F396" s="43" t="inlineStr">
        <is>
          <t>在来</t>
        </is>
      </c>
      <c r="G396" s="43" t="inlineStr">
        <is>
          <t>15022</t>
        </is>
      </c>
      <c r="H396" s="43" t="inlineStr">
        <is>
          <t>150</t>
        </is>
      </c>
      <c r="I396" s="43" t="inlineStr">
        <is>
          <t>22</t>
        </is>
      </c>
      <c r="J396" s="222" t="n">
        <v>1540</v>
      </c>
      <c r="K396" s="222" t="n">
        <v>2230</v>
      </c>
      <c r="L396" s="43" t="inlineStr">
        <is>
          <t>在来｜電動</t>
        </is>
      </c>
      <c r="M396" s="178" t="b">
        <v>1</v>
      </c>
      <c r="N396" s="43" t="inlineStr">
        <is>
          <t>カタログ個別可否確認済み</t>
        </is>
      </c>
      <c r="O396" s="222" t="n">
        <v>44</v>
      </c>
      <c r="P396" s="222" t="n">
        <v>42</v>
      </c>
      <c r="Q396" s="43" t="inlineStr">
        <is>
          <t>202604_LIXIL_サーモスＬ_業務用資料集_完成品価格表.pdf</t>
        </is>
      </c>
      <c r="R396" s="43" t="inlineStr">
        <is>
          <t>規格呼称は親品種で確認済み。固有仕様ごとの価格設定有無（＿＿表示等）は次QAで最終確定。</t>
        </is>
      </c>
      <c r="S396" s="42" t="inlineStr">
        <is>
          <t>★</t>
        </is>
      </c>
      <c r="T396" s="42" t="n">
        <v>42</v>
      </c>
      <c r="U396" s="42" t="inlineStr">
        <is>
          <t>P42|★</t>
        </is>
      </c>
      <c r="V396" s="42" t="inlineStr">
        <is>
          <t>同頁凡例へ直接連動</t>
        </is>
      </c>
    </row>
    <row r="397">
      <c r="A397" s="43" t="inlineStr">
        <is>
          <t>SZ-SL-000394</t>
        </is>
      </c>
      <c r="B397" s="43" t="inlineStr">
        <is>
          <t>SER-LIX-SAMOSL</t>
        </is>
      </c>
      <c r="C397" s="43" t="inlineStr">
        <is>
          <t>WT-SL-SHUTTER-HIKI</t>
        </is>
      </c>
      <c r="D397" s="43" t="inlineStr">
        <is>
          <t>シャッター付引違い窓</t>
        </is>
      </c>
      <c r="E397" s="43" t="inlineStr">
        <is>
          <t>SP-SL-SHUT-E-VENT</t>
        </is>
      </c>
      <c r="F397" s="43" t="inlineStr">
        <is>
          <t>在来</t>
        </is>
      </c>
      <c r="G397" s="43" t="inlineStr">
        <is>
          <t>15024</t>
        </is>
      </c>
      <c r="H397" s="43" t="inlineStr">
        <is>
          <t>150</t>
        </is>
      </c>
      <c r="I397" s="43" t="inlineStr">
        <is>
          <t>24</t>
        </is>
      </c>
      <c r="J397" s="222" t="n">
        <v>1540</v>
      </c>
      <c r="K397" s="222" t="n">
        <v>2430</v>
      </c>
      <c r="L397" s="43" t="inlineStr">
        <is>
          <t>在来｜電動</t>
        </is>
      </c>
      <c r="M397" s="178" t="b">
        <v>0</v>
      </c>
      <c r="N397" s="43" t="inlineStr">
        <is>
          <t>設定なし（価格表確認済み）</t>
        </is>
      </c>
      <c r="O397" s="222" t="n">
        <v>44</v>
      </c>
      <c r="P397" s="222" t="n">
        <v>42</v>
      </c>
      <c r="Q397" s="43" t="inlineStr">
        <is>
          <t>202604_LIXIL_サーモスＬ_業務用資料集_完成品価格表.pdf</t>
        </is>
      </c>
      <c r="R397" s="43" t="inlineStr">
        <is>
          <t>規格呼称は親品種で確認済み。固有仕様ごとの価格設定有無（＿＿表示等）は次QAで最終確定。</t>
        </is>
      </c>
      <c r="S397" s="42" t="inlineStr">
        <is>
          <t>★</t>
        </is>
      </c>
      <c r="T397" s="42" t="n">
        <v>42</v>
      </c>
      <c r="U397" s="42" t="inlineStr">
        <is>
          <t>P42|★</t>
        </is>
      </c>
      <c r="V397" s="42" t="inlineStr">
        <is>
          <t>同頁凡例へ直接連動</t>
        </is>
      </c>
    </row>
    <row r="398">
      <c r="A398" s="43" t="inlineStr">
        <is>
          <t>SZ-SL-000395</t>
        </is>
      </c>
      <c r="B398" s="43" t="inlineStr">
        <is>
          <t>SER-LIX-SAMOSL</t>
        </is>
      </c>
      <c r="C398" s="43" t="inlineStr">
        <is>
          <t>WT-SL-SHUTTER-HIKI</t>
        </is>
      </c>
      <c r="D398" s="43" t="inlineStr">
        <is>
          <t>シャッター付引違い窓</t>
        </is>
      </c>
      <c r="E398" s="43" t="inlineStr">
        <is>
          <t>SP-SL-SHUT-E-VENT</t>
        </is>
      </c>
      <c r="F398" s="43" t="inlineStr">
        <is>
          <t>在来</t>
        </is>
      </c>
      <c r="G398" s="43" t="inlineStr">
        <is>
          <t>16022</t>
        </is>
      </c>
      <c r="H398" s="43" t="inlineStr">
        <is>
          <t>160</t>
        </is>
      </c>
      <c r="I398" s="43" t="inlineStr">
        <is>
          <t>22</t>
        </is>
      </c>
      <c r="J398" s="222" t="n">
        <v>1640</v>
      </c>
      <c r="K398" s="222" t="n">
        <v>2230</v>
      </c>
      <c r="L398" s="43" t="inlineStr">
        <is>
          <t>在来｜電動</t>
        </is>
      </c>
      <c r="M398" s="178" t="b">
        <v>1</v>
      </c>
      <c r="N398" s="43" t="inlineStr">
        <is>
          <t>カタログ個別可否確認済み</t>
        </is>
      </c>
      <c r="O398" s="222" t="n">
        <v>44</v>
      </c>
      <c r="P398" s="222" t="n">
        <v>42</v>
      </c>
      <c r="Q398" s="43" t="inlineStr">
        <is>
          <t>202604_LIXIL_サーモスＬ_業務用資料集_完成品価格表.pdf</t>
        </is>
      </c>
      <c r="R398" s="43" t="inlineStr">
        <is>
          <t>規格呼称は親品種で確認済み。固有仕様ごとの価格設定有無（＿＿表示等）は次QAで最終確定。</t>
        </is>
      </c>
      <c r="S398" s="42" t="inlineStr">
        <is>
          <t>★</t>
        </is>
      </c>
      <c r="T398" s="42" t="n">
        <v>42</v>
      </c>
      <c r="U398" s="42" t="inlineStr">
        <is>
          <t>P42|★</t>
        </is>
      </c>
      <c r="V398" s="42" t="inlineStr">
        <is>
          <t>同頁凡例へ直接連動</t>
        </is>
      </c>
    </row>
    <row r="399">
      <c r="A399" s="43" t="inlineStr">
        <is>
          <t>SZ-SL-000396</t>
        </is>
      </c>
      <c r="B399" s="43" t="inlineStr">
        <is>
          <t>SER-LIX-SAMOSL</t>
        </is>
      </c>
      <c r="C399" s="43" t="inlineStr">
        <is>
          <t>WT-SL-SHUTTER-HIKI</t>
        </is>
      </c>
      <c r="D399" s="43" t="inlineStr">
        <is>
          <t>シャッター付引違い窓</t>
        </is>
      </c>
      <c r="E399" s="43" t="inlineStr">
        <is>
          <t>SP-SL-SHUT-E-VENT</t>
        </is>
      </c>
      <c r="F399" s="43" t="inlineStr">
        <is>
          <t>在来</t>
        </is>
      </c>
      <c r="G399" s="43" t="inlineStr">
        <is>
          <t>16024</t>
        </is>
      </c>
      <c r="H399" s="43" t="inlineStr">
        <is>
          <t>160</t>
        </is>
      </c>
      <c r="I399" s="43" t="inlineStr">
        <is>
          <t>24</t>
        </is>
      </c>
      <c r="J399" s="222" t="n">
        <v>1640</v>
      </c>
      <c r="K399" s="222" t="n">
        <v>2430</v>
      </c>
      <c r="L399" s="43" t="inlineStr">
        <is>
          <t>在来｜電動</t>
        </is>
      </c>
      <c r="M399" s="178" t="b">
        <v>0</v>
      </c>
      <c r="N399" s="43" t="inlineStr">
        <is>
          <t>設定なし（価格表確認済み）</t>
        </is>
      </c>
      <c r="O399" s="222" t="n">
        <v>44</v>
      </c>
      <c r="P399" s="222" t="n">
        <v>42</v>
      </c>
      <c r="Q399" s="43" t="inlineStr">
        <is>
          <t>202604_LIXIL_サーモスＬ_業務用資料集_完成品価格表.pdf</t>
        </is>
      </c>
      <c r="R399" s="43" t="inlineStr">
        <is>
          <t>規格呼称は親品種で確認済み。固有仕様ごとの価格設定有無（＿＿表示等）は次QAで最終確定。</t>
        </is>
      </c>
      <c r="S399" s="42" t="inlineStr">
        <is>
          <t>★</t>
        </is>
      </c>
      <c r="T399" s="42" t="n">
        <v>42</v>
      </c>
      <c r="U399" s="42" t="inlineStr">
        <is>
          <t>P42|★</t>
        </is>
      </c>
      <c r="V399" s="42" t="inlineStr">
        <is>
          <t>同頁凡例へ直接連動</t>
        </is>
      </c>
    </row>
    <row r="400">
      <c r="A400" s="43" t="inlineStr">
        <is>
          <t>SZ-SL-000397</t>
        </is>
      </c>
      <c r="B400" s="43" t="inlineStr">
        <is>
          <t>SER-LIX-SAMOSL</t>
        </is>
      </c>
      <c r="C400" s="43" t="inlineStr">
        <is>
          <t>WT-SL-SHUTTER-HIKI</t>
        </is>
      </c>
      <c r="D400" s="43" t="inlineStr">
        <is>
          <t>シャッター付引違い窓</t>
        </is>
      </c>
      <c r="E400" s="43" t="inlineStr">
        <is>
          <t>SP-SL-SHUT-E-WIND</t>
        </is>
      </c>
      <c r="F400" s="43" t="inlineStr">
        <is>
          <t>在来</t>
        </is>
      </c>
      <c r="G400" s="43" t="inlineStr">
        <is>
          <t>15022</t>
        </is>
      </c>
      <c r="H400" s="43" t="inlineStr">
        <is>
          <t>150</t>
        </is>
      </c>
      <c r="I400" s="43" t="inlineStr">
        <is>
          <t>22</t>
        </is>
      </c>
      <c r="J400" s="222" t="n">
        <v>1540</v>
      </c>
      <c r="K400" s="222" t="n">
        <v>2230</v>
      </c>
      <c r="L400" s="43" t="inlineStr">
        <is>
          <t>在来｜電動</t>
        </is>
      </c>
      <c r="M400" s="178" t="b">
        <v>1</v>
      </c>
      <c r="N400" s="43" t="inlineStr">
        <is>
          <t>カタログ個別可否確認済み</t>
        </is>
      </c>
      <c r="O400" s="222" t="n">
        <v>44</v>
      </c>
      <c r="P400" s="222" t="n">
        <v>42</v>
      </c>
      <c r="Q400" s="43" t="inlineStr">
        <is>
          <t>202604_LIXIL_サーモスＬ_業務用資料集_完成品価格表.pdf</t>
        </is>
      </c>
      <c r="R400" s="43" t="inlineStr">
        <is>
          <t>規格呼称は親品種で確認済み。固有仕様ごとの価格設定有無（＿＿表示等）は次QAで最終確定。</t>
        </is>
      </c>
      <c r="S400" s="42" t="inlineStr">
        <is>
          <t>★</t>
        </is>
      </c>
      <c r="T400" s="42" t="n">
        <v>42</v>
      </c>
      <c r="U400" s="42" t="inlineStr">
        <is>
          <t>P42|★</t>
        </is>
      </c>
      <c r="V400" s="42" t="inlineStr">
        <is>
          <t>同頁凡例へ直接連動</t>
        </is>
      </c>
    </row>
    <row r="401">
      <c r="A401" s="43" t="inlineStr">
        <is>
          <t>SZ-SL-000398</t>
        </is>
      </c>
      <c r="B401" s="43" t="inlineStr">
        <is>
          <t>SER-LIX-SAMOSL</t>
        </is>
      </c>
      <c r="C401" s="43" t="inlineStr">
        <is>
          <t>WT-SL-SHUTTER-HIKI</t>
        </is>
      </c>
      <c r="D401" s="43" t="inlineStr">
        <is>
          <t>シャッター付引違い窓</t>
        </is>
      </c>
      <c r="E401" s="43" t="inlineStr">
        <is>
          <t>SP-SL-SHUT-E-WIND</t>
        </is>
      </c>
      <c r="F401" s="43" t="inlineStr">
        <is>
          <t>在来</t>
        </is>
      </c>
      <c r="G401" s="43" t="inlineStr">
        <is>
          <t>15024</t>
        </is>
      </c>
      <c r="H401" s="43" t="inlineStr">
        <is>
          <t>150</t>
        </is>
      </c>
      <c r="I401" s="43" t="inlineStr">
        <is>
          <t>24</t>
        </is>
      </c>
      <c r="J401" s="222" t="n">
        <v>1540</v>
      </c>
      <c r="K401" s="222" t="n">
        <v>2430</v>
      </c>
      <c r="L401" s="43" t="inlineStr">
        <is>
          <t>在来｜電動</t>
        </is>
      </c>
      <c r="M401" s="178" t="b">
        <v>0</v>
      </c>
      <c r="N401" s="43" t="inlineStr">
        <is>
          <t>設定なし（価格表確認済み）</t>
        </is>
      </c>
      <c r="O401" s="222" t="n">
        <v>44</v>
      </c>
      <c r="P401" s="222" t="n">
        <v>42</v>
      </c>
      <c r="Q401" s="43" t="inlineStr">
        <is>
          <t>202604_LIXIL_サーモスＬ_業務用資料集_完成品価格表.pdf</t>
        </is>
      </c>
      <c r="R401" s="43" t="inlineStr">
        <is>
          <t>規格呼称は親品種で確認済み。固有仕様ごとの価格設定有無（＿＿表示等）は次QAで最終確定。</t>
        </is>
      </c>
      <c r="S401" s="42" t="inlineStr">
        <is>
          <t>★</t>
        </is>
      </c>
      <c r="T401" s="42" t="n">
        <v>42</v>
      </c>
      <c r="U401" s="42" t="inlineStr">
        <is>
          <t>P42|★</t>
        </is>
      </c>
      <c r="V401" s="42" t="inlineStr">
        <is>
          <t>同頁凡例へ直接連動</t>
        </is>
      </c>
    </row>
    <row r="402">
      <c r="A402" s="43" t="inlineStr">
        <is>
          <t>SZ-SL-000399</t>
        </is>
      </c>
      <c r="B402" s="43" t="inlineStr">
        <is>
          <t>SER-LIX-SAMOSL</t>
        </is>
      </c>
      <c r="C402" s="43" t="inlineStr">
        <is>
          <t>WT-SL-SHUTTER-HIKI</t>
        </is>
      </c>
      <c r="D402" s="43" t="inlineStr">
        <is>
          <t>シャッター付引違い窓</t>
        </is>
      </c>
      <c r="E402" s="43" t="inlineStr">
        <is>
          <t>SP-SL-SHUT-E-WIND</t>
        </is>
      </c>
      <c r="F402" s="43" t="inlineStr">
        <is>
          <t>在来</t>
        </is>
      </c>
      <c r="G402" s="43" t="inlineStr">
        <is>
          <t>16022</t>
        </is>
      </c>
      <c r="H402" s="43" t="inlineStr">
        <is>
          <t>160</t>
        </is>
      </c>
      <c r="I402" s="43" t="inlineStr">
        <is>
          <t>22</t>
        </is>
      </c>
      <c r="J402" s="222" t="n">
        <v>1640</v>
      </c>
      <c r="K402" s="222" t="n">
        <v>2230</v>
      </c>
      <c r="L402" s="43" t="inlineStr">
        <is>
          <t>在来｜電動</t>
        </is>
      </c>
      <c r="M402" s="178" t="b">
        <v>1</v>
      </c>
      <c r="N402" s="43" t="inlineStr">
        <is>
          <t>カタログ個別可否確認済み</t>
        </is>
      </c>
      <c r="O402" s="222" t="n">
        <v>44</v>
      </c>
      <c r="P402" s="222" t="n">
        <v>42</v>
      </c>
      <c r="Q402" s="43" t="inlineStr">
        <is>
          <t>202604_LIXIL_サーモスＬ_業務用資料集_完成品価格表.pdf</t>
        </is>
      </c>
      <c r="R402" s="43" t="inlineStr">
        <is>
          <t>規格呼称は親品種で確認済み。固有仕様ごとの価格設定有無（＿＿表示等）は次QAで最終確定。</t>
        </is>
      </c>
      <c r="S402" s="42" t="inlineStr">
        <is>
          <t>★</t>
        </is>
      </c>
      <c r="T402" s="42" t="n">
        <v>42</v>
      </c>
      <c r="U402" s="42" t="inlineStr">
        <is>
          <t>P42|★</t>
        </is>
      </c>
      <c r="V402" s="42" t="inlineStr">
        <is>
          <t>同頁凡例へ直接連動</t>
        </is>
      </c>
    </row>
    <row r="403">
      <c r="A403" s="43" t="inlineStr">
        <is>
          <t>SZ-SL-000400</t>
        </is>
      </c>
      <c r="B403" s="43" t="inlineStr">
        <is>
          <t>SER-LIX-SAMOSL</t>
        </is>
      </c>
      <c r="C403" s="43" t="inlineStr">
        <is>
          <t>WT-SL-SHUTTER-HIKI</t>
        </is>
      </c>
      <c r="D403" s="43" t="inlineStr">
        <is>
          <t>シャッター付引違い窓</t>
        </is>
      </c>
      <c r="E403" s="43" t="inlineStr">
        <is>
          <t>SP-SL-SHUT-E-WIND</t>
        </is>
      </c>
      <c r="F403" s="43" t="inlineStr">
        <is>
          <t>在来</t>
        </is>
      </c>
      <c r="G403" s="43" t="inlineStr">
        <is>
          <t>16024</t>
        </is>
      </c>
      <c r="H403" s="43" t="inlineStr">
        <is>
          <t>160</t>
        </is>
      </c>
      <c r="I403" s="43" t="inlineStr">
        <is>
          <t>24</t>
        </is>
      </c>
      <c r="J403" s="222" t="n">
        <v>1640</v>
      </c>
      <c r="K403" s="222" t="n">
        <v>2430</v>
      </c>
      <c r="L403" s="43" t="inlineStr">
        <is>
          <t>在来｜電動</t>
        </is>
      </c>
      <c r="M403" s="178" t="b">
        <v>0</v>
      </c>
      <c r="N403" s="43" t="inlineStr">
        <is>
          <t>設定なし（価格表確認済み）</t>
        </is>
      </c>
      <c r="O403" s="222" t="n">
        <v>44</v>
      </c>
      <c r="P403" s="222" t="n">
        <v>42</v>
      </c>
      <c r="Q403" s="43" t="inlineStr">
        <is>
          <t>202604_LIXIL_サーモスＬ_業務用資料集_完成品価格表.pdf</t>
        </is>
      </c>
      <c r="R403" s="43" t="inlineStr">
        <is>
          <t>規格呼称は親品種で確認済み。固有仕様ごとの価格設定有無（＿＿表示等）は次QAで最終確定。</t>
        </is>
      </c>
      <c r="S403" s="42" t="inlineStr">
        <is>
          <t>★</t>
        </is>
      </c>
      <c r="T403" s="42" t="n">
        <v>42</v>
      </c>
      <c r="U403" s="42" t="inlineStr">
        <is>
          <t>P42|★</t>
        </is>
      </c>
      <c r="V403" s="42" t="inlineStr">
        <is>
          <t>同頁凡例へ直接連動</t>
        </is>
      </c>
    </row>
    <row r="404">
      <c r="A404" s="43" t="inlineStr">
        <is>
          <t>SZ-SL-000401</t>
        </is>
      </c>
      <c r="B404" s="43" t="inlineStr">
        <is>
          <t>SER-LIX-SAMOSL</t>
        </is>
      </c>
      <c r="C404" s="43" t="inlineStr">
        <is>
          <t>WT-SL-SHUTTER-HIKI</t>
        </is>
      </c>
      <c r="D404" s="43" t="inlineStr">
        <is>
          <t>シャッター付引違い窓</t>
        </is>
      </c>
      <c r="E404" s="43" t="inlineStr">
        <is>
          <t>SP-SL-SHUT-E-STD</t>
        </is>
      </c>
      <c r="F404" s="43" t="inlineStr">
        <is>
          <t>在来</t>
        </is>
      </c>
      <c r="G404" s="43" t="inlineStr">
        <is>
          <t>16522</t>
        </is>
      </c>
      <c r="H404" s="43" t="inlineStr">
        <is>
          <t>165</t>
        </is>
      </c>
      <c r="I404" s="43" t="inlineStr">
        <is>
          <t>22</t>
        </is>
      </c>
      <c r="J404" s="222" t="n">
        <v>1690</v>
      </c>
      <c r="K404" s="222" t="n">
        <v>2230</v>
      </c>
      <c r="L404" s="43" t="inlineStr">
        <is>
          <t>在来｜電動</t>
        </is>
      </c>
      <c r="M404" s="178" t="b">
        <v>1</v>
      </c>
      <c r="N404" s="43" t="inlineStr">
        <is>
          <t>カタログ規格確認済み</t>
        </is>
      </c>
      <c r="O404" s="222" t="n">
        <v>45</v>
      </c>
      <c r="P404" s="222" t="n">
        <v>43</v>
      </c>
      <c r="Q404" s="43" t="inlineStr">
        <is>
          <t>202604_LIXIL_サーモスＬ_業務用資料集_完成品価格表.pdf</t>
        </is>
      </c>
      <c r="R404" s="43" t="n"/>
      <c r="S404" s="42" t="inlineStr">
        <is>
          <t>★</t>
        </is>
      </c>
      <c r="T404" s="42" t="n">
        <v>42</v>
      </c>
      <c r="U404" s="42" t="inlineStr">
        <is>
          <t>P42|★</t>
        </is>
      </c>
      <c r="V404" s="42" t="inlineStr">
        <is>
          <t>同一価格表・前頁凡例を継承</t>
        </is>
      </c>
    </row>
    <row r="405">
      <c r="A405" s="43" t="inlineStr">
        <is>
          <t>SZ-SL-000402</t>
        </is>
      </c>
      <c r="B405" s="43" t="inlineStr">
        <is>
          <t>SER-LIX-SAMOSL</t>
        </is>
      </c>
      <c r="C405" s="43" t="inlineStr">
        <is>
          <t>WT-SL-SHUTTER-HIKI</t>
        </is>
      </c>
      <c r="D405" s="43" t="inlineStr">
        <is>
          <t>シャッター付引違い窓</t>
        </is>
      </c>
      <c r="E405" s="43" t="inlineStr">
        <is>
          <t>SP-SL-SHUT-E-STD</t>
        </is>
      </c>
      <c r="F405" s="43" t="inlineStr">
        <is>
          <t>在来</t>
        </is>
      </c>
      <c r="G405" s="43" t="inlineStr">
        <is>
          <t>16524</t>
        </is>
      </c>
      <c r="H405" s="43" t="inlineStr">
        <is>
          <t>165</t>
        </is>
      </c>
      <c r="I405" s="43" t="inlineStr">
        <is>
          <t>24</t>
        </is>
      </c>
      <c r="J405" s="222" t="n">
        <v>1690</v>
      </c>
      <c r="K405" s="222" t="n">
        <v>2430</v>
      </c>
      <c r="L405" s="43" t="inlineStr">
        <is>
          <t>在来｜電動</t>
        </is>
      </c>
      <c r="M405" s="178" t="b">
        <v>1</v>
      </c>
      <c r="N405" s="43" t="inlineStr">
        <is>
          <t>カタログ規格確認済み</t>
        </is>
      </c>
      <c r="O405" s="222" t="n">
        <v>45</v>
      </c>
      <c r="P405" s="222" t="n">
        <v>43</v>
      </c>
      <c r="Q405" s="43" t="inlineStr">
        <is>
          <t>202604_LIXIL_サーモスＬ_業務用資料集_完成品価格表.pdf</t>
        </is>
      </c>
      <c r="R405" s="43" t="n"/>
      <c r="S405" s="42" t="inlineStr">
        <is>
          <t>★</t>
        </is>
      </c>
      <c r="T405" s="42" t="n">
        <v>42</v>
      </c>
      <c r="U405" s="42" t="inlineStr">
        <is>
          <t>P42|★</t>
        </is>
      </c>
      <c r="V405" s="42" t="inlineStr">
        <is>
          <t>同一価格表・前頁凡例を継承</t>
        </is>
      </c>
    </row>
    <row r="406">
      <c r="A406" s="43" t="inlineStr">
        <is>
          <t>SZ-SL-000403</t>
        </is>
      </c>
      <c r="B406" s="43" t="inlineStr">
        <is>
          <t>SER-LIX-SAMOSL</t>
        </is>
      </c>
      <c r="C406" s="43" t="inlineStr">
        <is>
          <t>WT-SL-SHUTTER-HIKI</t>
        </is>
      </c>
      <c r="D406" s="43" t="inlineStr">
        <is>
          <t>シャッター付引違い窓</t>
        </is>
      </c>
      <c r="E406" s="43" t="inlineStr">
        <is>
          <t>SP-SL-SHUT-E-STD</t>
        </is>
      </c>
      <c r="F406" s="43" t="inlineStr">
        <is>
          <t>在来</t>
        </is>
      </c>
      <c r="G406" s="43" t="inlineStr">
        <is>
          <t>17422</t>
        </is>
      </c>
      <c r="H406" s="43" t="inlineStr">
        <is>
          <t>174</t>
        </is>
      </c>
      <c r="I406" s="43" t="inlineStr">
        <is>
          <t>22</t>
        </is>
      </c>
      <c r="J406" s="222" t="n">
        <v>1780</v>
      </c>
      <c r="K406" s="222" t="n">
        <v>2230</v>
      </c>
      <c r="L406" s="43" t="inlineStr">
        <is>
          <t>在来｜電動</t>
        </is>
      </c>
      <c r="M406" s="178" t="b">
        <v>1</v>
      </c>
      <c r="N406" s="43" t="inlineStr">
        <is>
          <t>カタログ規格確認済み</t>
        </is>
      </c>
      <c r="O406" s="222" t="n">
        <v>45</v>
      </c>
      <c r="P406" s="222" t="n">
        <v>43</v>
      </c>
      <c r="Q406" s="43" t="inlineStr">
        <is>
          <t>202604_LIXIL_サーモスＬ_業務用資料集_完成品価格表.pdf</t>
        </is>
      </c>
      <c r="R406" s="43" t="n"/>
      <c r="S406" s="42" t="inlineStr">
        <is>
          <t>★</t>
        </is>
      </c>
      <c r="T406" s="42" t="n">
        <v>42</v>
      </c>
      <c r="U406" s="42" t="inlineStr">
        <is>
          <t>P42|★</t>
        </is>
      </c>
      <c r="V406" s="42" t="inlineStr">
        <is>
          <t>同一価格表・前頁凡例を継承</t>
        </is>
      </c>
    </row>
    <row r="407">
      <c r="A407" s="43" t="inlineStr">
        <is>
          <t>SZ-SL-000404</t>
        </is>
      </c>
      <c r="B407" s="43" t="inlineStr">
        <is>
          <t>SER-LIX-SAMOSL</t>
        </is>
      </c>
      <c r="C407" s="43" t="inlineStr">
        <is>
          <t>WT-SL-SHUTTER-HIKI</t>
        </is>
      </c>
      <c r="D407" s="43" t="inlineStr">
        <is>
          <t>シャッター付引違い窓</t>
        </is>
      </c>
      <c r="E407" s="43" t="inlineStr">
        <is>
          <t>SP-SL-SHUT-E-STD</t>
        </is>
      </c>
      <c r="F407" s="43" t="inlineStr">
        <is>
          <t>在来</t>
        </is>
      </c>
      <c r="G407" s="43" t="inlineStr">
        <is>
          <t>17424</t>
        </is>
      </c>
      <c r="H407" s="43" t="inlineStr">
        <is>
          <t>174</t>
        </is>
      </c>
      <c r="I407" s="43" t="inlineStr">
        <is>
          <t>24</t>
        </is>
      </c>
      <c r="J407" s="222" t="n">
        <v>1780</v>
      </c>
      <c r="K407" s="222" t="n">
        <v>2430</v>
      </c>
      <c r="L407" s="43" t="inlineStr">
        <is>
          <t>在来｜電動</t>
        </is>
      </c>
      <c r="M407" s="178" t="b">
        <v>1</v>
      </c>
      <c r="N407" s="43" t="inlineStr">
        <is>
          <t>カタログ規格確認済み</t>
        </is>
      </c>
      <c r="O407" s="222" t="n">
        <v>45</v>
      </c>
      <c r="P407" s="222" t="n">
        <v>43</v>
      </c>
      <c r="Q407" s="43" t="inlineStr">
        <is>
          <t>202604_LIXIL_サーモスＬ_業務用資料集_完成品価格表.pdf</t>
        </is>
      </c>
      <c r="R407" s="43" t="n"/>
      <c r="S407" s="42" t="inlineStr">
        <is>
          <t>★</t>
        </is>
      </c>
      <c r="T407" s="42" t="n">
        <v>42</v>
      </c>
      <c r="U407" s="42" t="inlineStr">
        <is>
          <t>P42|★</t>
        </is>
      </c>
      <c r="V407" s="42" t="inlineStr">
        <is>
          <t>同一価格表・前頁凡例を継承</t>
        </is>
      </c>
    </row>
    <row r="408">
      <c r="A408" s="43" t="inlineStr">
        <is>
          <t>SZ-SL-000405</t>
        </is>
      </c>
      <c r="B408" s="43" t="inlineStr">
        <is>
          <t>SER-LIX-SAMOSL</t>
        </is>
      </c>
      <c r="C408" s="43" t="inlineStr">
        <is>
          <t>WT-SL-SHUTTER-HIKI</t>
        </is>
      </c>
      <c r="D408" s="43" t="inlineStr">
        <is>
          <t>シャッター付引違い窓</t>
        </is>
      </c>
      <c r="E408" s="43" t="inlineStr">
        <is>
          <t>SP-SL-SHUT-E-STD</t>
        </is>
      </c>
      <c r="F408" s="43" t="inlineStr">
        <is>
          <t>在来</t>
        </is>
      </c>
      <c r="G408" s="43" t="inlineStr">
        <is>
          <t>17622</t>
        </is>
      </c>
      <c r="H408" s="43" t="inlineStr">
        <is>
          <t>176</t>
        </is>
      </c>
      <c r="I408" s="43" t="inlineStr">
        <is>
          <t>22</t>
        </is>
      </c>
      <c r="J408" s="222" t="n">
        <v>1800</v>
      </c>
      <c r="K408" s="222" t="n">
        <v>2230</v>
      </c>
      <c r="L408" s="43" t="inlineStr">
        <is>
          <t>在来｜電動</t>
        </is>
      </c>
      <c r="M408" s="178" t="b">
        <v>1</v>
      </c>
      <c r="N408" s="43" t="inlineStr">
        <is>
          <t>カタログ規格確認済み</t>
        </is>
      </c>
      <c r="O408" s="222" t="n">
        <v>45</v>
      </c>
      <c r="P408" s="222" t="n">
        <v>43</v>
      </c>
      <c r="Q408" s="43" t="inlineStr">
        <is>
          <t>202604_LIXIL_サーモスＬ_業務用資料集_完成品価格表.pdf</t>
        </is>
      </c>
      <c r="R408" s="43" t="n"/>
      <c r="S408" s="42" t="inlineStr">
        <is>
          <t>★</t>
        </is>
      </c>
      <c r="T408" s="42" t="n">
        <v>42</v>
      </c>
      <c r="U408" s="42" t="inlineStr">
        <is>
          <t>P42|★</t>
        </is>
      </c>
      <c r="V408" s="42" t="inlineStr">
        <is>
          <t>同一価格表・前頁凡例を継承</t>
        </is>
      </c>
    </row>
    <row r="409">
      <c r="A409" s="43" t="inlineStr">
        <is>
          <t>SZ-SL-000406</t>
        </is>
      </c>
      <c r="B409" s="43" t="inlineStr">
        <is>
          <t>SER-LIX-SAMOSL</t>
        </is>
      </c>
      <c r="C409" s="43" t="inlineStr">
        <is>
          <t>WT-SL-SHUTTER-HIKI</t>
        </is>
      </c>
      <c r="D409" s="43" t="inlineStr">
        <is>
          <t>シャッター付引違い窓</t>
        </is>
      </c>
      <c r="E409" s="43" t="inlineStr">
        <is>
          <t>SP-SL-SHUT-E-STD</t>
        </is>
      </c>
      <c r="F409" s="43" t="inlineStr">
        <is>
          <t>在来</t>
        </is>
      </c>
      <c r="G409" s="43" t="inlineStr">
        <is>
          <t>17624</t>
        </is>
      </c>
      <c r="H409" s="43" t="inlineStr">
        <is>
          <t>176</t>
        </is>
      </c>
      <c r="I409" s="43" t="inlineStr">
        <is>
          <t>24</t>
        </is>
      </c>
      <c r="J409" s="222" t="n">
        <v>1800</v>
      </c>
      <c r="K409" s="222" t="n">
        <v>2430</v>
      </c>
      <c r="L409" s="43" t="inlineStr">
        <is>
          <t>在来｜電動</t>
        </is>
      </c>
      <c r="M409" s="178" t="b">
        <v>1</v>
      </c>
      <c r="N409" s="43" t="inlineStr">
        <is>
          <t>カタログ規格確認済み</t>
        </is>
      </c>
      <c r="O409" s="222" t="n">
        <v>45</v>
      </c>
      <c r="P409" s="222" t="n">
        <v>43</v>
      </c>
      <c r="Q409" s="43" t="inlineStr">
        <is>
          <t>202604_LIXIL_サーモスＬ_業務用資料集_完成品価格表.pdf</t>
        </is>
      </c>
      <c r="R409" s="43" t="n"/>
      <c r="S409" s="42" t="inlineStr">
        <is>
          <t>★</t>
        </is>
      </c>
      <c r="T409" s="42" t="n">
        <v>42</v>
      </c>
      <c r="U409" s="42" t="inlineStr">
        <is>
          <t>P42|★</t>
        </is>
      </c>
      <c r="V409" s="42" t="inlineStr">
        <is>
          <t>同一価格表・前頁凡例を継承</t>
        </is>
      </c>
    </row>
    <row r="410">
      <c r="A410" s="43" t="inlineStr">
        <is>
          <t>SZ-SL-000407</t>
        </is>
      </c>
      <c r="B410" s="43" t="inlineStr">
        <is>
          <t>SER-LIX-SAMOSL</t>
        </is>
      </c>
      <c r="C410" s="43" t="inlineStr">
        <is>
          <t>WT-SL-SHUTTER-HIKI</t>
        </is>
      </c>
      <c r="D410" s="43" t="inlineStr">
        <is>
          <t>シャッター付引違い窓</t>
        </is>
      </c>
      <c r="E410" s="43" t="inlineStr">
        <is>
          <t>SP-SL-SHUT-E-STD</t>
        </is>
      </c>
      <c r="F410" s="43" t="inlineStr">
        <is>
          <t>在来</t>
        </is>
      </c>
      <c r="G410" s="43" t="inlineStr">
        <is>
          <t>18022</t>
        </is>
      </c>
      <c r="H410" s="43" t="inlineStr">
        <is>
          <t>180</t>
        </is>
      </c>
      <c r="I410" s="43" t="inlineStr">
        <is>
          <t>22</t>
        </is>
      </c>
      <c r="J410" s="222" t="n">
        <v>1845</v>
      </c>
      <c r="K410" s="222" t="n">
        <v>2230</v>
      </c>
      <c r="L410" s="43" t="inlineStr">
        <is>
          <t>在来｜電動</t>
        </is>
      </c>
      <c r="M410" s="178" t="b">
        <v>1</v>
      </c>
      <c r="N410" s="43" t="inlineStr">
        <is>
          <t>カタログ規格確認済み</t>
        </is>
      </c>
      <c r="O410" s="222" t="n">
        <v>45</v>
      </c>
      <c r="P410" s="222" t="n">
        <v>43</v>
      </c>
      <c r="Q410" s="43" t="inlineStr">
        <is>
          <t>202604_LIXIL_サーモスＬ_業務用資料集_完成品価格表.pdf</t>
        </is>
      </c>
      <c r="R410" s="43" t="n"/>
      <c r="S410" s="42" t="inlineStr">
        <is>
          <t>★</t>
        </is>
      </c>
      <c r="T410" s="42" t="n">
        <v>42</v>
      </c>
      <c r="U410" s="42" t="inlineStr">
        <is>
          <t>P42|★</t>
        </is>
      </c>
      <c r="V410" s="42" t="inlineStr">
        <is>
          <t>同一価格表・前頁凡例を継承</t>
        </is>
      </c>
    </row>
    <row r="411">
      <c r="A411" s="43" t="inlineStr">
        <is>
          <t>SZ-SL-000408</t>
        </is>
      </c>
      <c r="B411" s="43" t="inlineStr">
        <is>
          <t>SER-LIX-SAMOSL</t>
        </is>
      </c>
      <c r="C411" s="43" t="inlineStr">
        <is>
          <t>WT-SL-SHUTTER-HIKI</t>
        </is>
      </c>
      <c r="D411" s="43" t="inlineStr">
        <is>
          <t>シャッター付引違い窓</t>
        </is>
      </c>
      <c r="E411" s="43" t="inlineStr">
        <is>
          <t>SP-SL-SHUT-E-STD</t>
        </is>
      </c>
      <c r="F411" s="43" t="inlineStr">
        <is>
          <t>在来</t>
        </is>
      </c>
      <c r="G411" s="43" t="inlineStr">
        <is>
          <t>18024</t>
        </is>
      </c>
      <c r="H411" s="43" t="inlineStr">
        <is>
          <t>180</t>
        </is>
      </c>
      <c r="I411" s="43" t="inlineStr">
        <is>
          <t>24</t>
        </is>
      </c>
      <c r="J411" s="222" t="n">
        <v>1845</v>
      </c>
      <c r="K411" s="222" t="n">
        <v>2430</v>
      </c>
      <c r="L411" s="43" t="inlineStr">
        <is>
          <t>在来｜電動</t>
        </is>
      </c>
      <c r="M411" s="178" t="b">
        <v>1</v>
      </c>
      <c r="N411" s="43" t="inlineStr">
        <is>
          <t>カタログ規格確認済み</t>
        </is>
      </c>
      <c r="O411" s="222" t="n">
        <v>45</v>
      </c>
      <c r="P411" s="222" t="n">
        <v>43</v>
      </c>
      <c r="Q411" s="43" t="inlineStr">
        <is>
          <t>202604_LIXIL_サーモスＬ_業務用資料集_完成品価格表.pdf</t>
        </is>
      </c>
      <c r="R411" s="43" t="n"/>
      <c r="S411" s="42" t="inlineStr">
        <is>
          <t>☆</t>
        </is>
      </c>
      <c r="T411" s="42" t="n">
        <v>42</v>
      </c>
      <c r="U411" s="42" t="inlineStr">
        <is>
          <t>P42|☆</t>
        </is>
      </c>
      <c r="V411" s="42" t="inlineStr">
        <is>
          <t>同一価格表・前頁凡例を継承</t>
        </is>
      </c>
    </row>
    <row r="412">
      <c r="A412" s="43" t="inlineStr">
        <is>
          <t>SZ-SL-000409</t>
        </is>
      </c>
      <c r="B412" s="43" t="inlineStr">
        <is>
          <t>SER-LIX-SAMOSL</t>
        </is>
      </c>
      <c r="C412" s="43" t="inlineStr">
        <is>
          <t>WT-SL-SHUTTER-HIKI</t>
        </is>
      </c>
      <c r="D412" s="43" t="inlineStr">
        <is>
          <t>シャッター付引違い窓</t>
        </is>
      </c>
      <c r="E412" s="43" t="inlineStr">
        <is>
          <t>SP-SL-SHUT-E-VENT</t>
        </is>
      </c>
      <c r="F412" s="43" t="inlineStr">
        <is>
          <t>在来</t>
        </is>
      </c>
      <c r="G412" s="43" t="inlineStr">
        <is>
          <t>16522</t>
        </is>
      </c>
      <c r="H412" s="43" t="inlineStr">
        <is>
          <t>165</t>
        </is>
      </c>
      <c r="I412" s="43" t="inlineStr">
        <is>
          <t>22</t>
        </is>
      </c>
      <c r="J412" s="222" t="n">
        <v>1690</v>
      </c>
      <c r="K412" s="222" t="n">
        <v>2230</v>
      </c>
      <c r="L412" s="43" t="inlineStr">
        <is>
          <t>在来｜電動</t>
        </is>
      </c>
      <c r="M412" s="178" t="b">
        <v>1</v>
      </c>
      <c r="N412" s="43" t="inlineStr">
        <is>
          <t>カタログ個別可否確認済み</t>
        </is>
      </c>
      <c r="O412" s="222" t="n">
        <v>45</v>
      </c>
      <c r="P412" s="222" t="n">
        <v>43</v>
      </c>
      <c r="Q412" s="43" t="inlineStr">
        <is>
          <t>202604_LIXIL_サーモスＬ_業務用資料集_完成品価格表.pdf</t>
        </is>
      </c>
      <c r="R412" s="43" t="inlineStr">
        <is>
          <t>規格呼称は親品種で確認済み。固有仕様ごとの価格設定有無（＿＿表示等）は次QAで最終確定。</t>
        </is>
      </c>
      <c r="S412" s="42" t="inlineStr">
        <is>
          <t>★</t>
        </is>
      </c>
      <c r="T412" s="42" t="n">
        <v>42</v>
      </c>
      <c r="U412" s="42" t="inlineStr">
        <is>
          <t>P42|★</t>
        </is>
      </c>
      <c r="V412" s="42" t="inlineStr">
        <is>
          <t>同一価格表・前頁凡例を継承</t>
        </is>
      </c>
    </row>
    <row r="413">
      <c r="A413" s="43" t="inlineStr">
        <is>
          <t>SZ-SL-000410</t>
        </is>
      </c>
      <c r="B413" s="43" t="inlineStr">
        <is>
          <t>SER-LIX-SAMOSL</t>
        </is>
      </c>
      <c r="C413" s="43" t="inlineStr">
        <is>
          <t>WT-SL-SHUTTER-HIKI</t>
        </is>
      </c>
      <c r="D413" s="43" t="inlineStr">
        <is>
          <t>シャッター付引違い窓</t>
        </is>
      </c>
      <c r="E413" s="43" t="inlineStr">
        <is>
          <t>SP-SL-SHUT-E-VENT</t>
        </is>
      </c>
      <c r="F413" s="43" t="inlineStr">
        <is>
          <t>在来</t>
        </is>
      </c>
      <c r="G413" s="43" t="inlineStr">
        <is>
          <t>16524</t>
        </is>
      </c>
      <c r="H413" s="43" t="inlineStr">
        <is>
          <t>165</t>
        </is>
      </c>
      <c r="I413" s="43" t="inlineStr">
        <is>
          <t>24</t>
        </is>
      </c>
      <c r="J413" s="222" t="n">
        <v>1690</v>
      </c>
      <c r="K413" s="222" t="n">
        <v>2430</v>
      </c>
      <c r="L413" s="43" t="inlineStr">
        <is>
          <t>在来｜電動</t>
        </is>
      </c>
      <c r="M413" s="178" t="b">
        <v>0</v>
      </c>
      <c r="N413" s="43" t="inlineStr">
        <is>
          <t>設定なし（価格表確認済み）</t>
        </is>
      </c>
      <c r="O413" s="222" t="n">
        <v>45</v>
      </c>
      <c r="P413" s="222" t="n">
        <v>43</v>
      </c>
      <c r="Q413" s="43" t="inlineStr">
        <is>
          <t>202604_LIXIL_サーモスＬ_業務用資料集_完成品価格表.pdf</t>
        </is>
      </c>
      <c r="R413" s="43" t="inlineStr">
        <is>
          <t>規格呼称は親品種で確認済み。固有仕様ごとの価格設定有無（＿＿表示等）は次QAで最終確定。</t>
        </is>
      </c>
      <c r="S413" s="42" t="inlineStr">
        <is>
          <t>★</t>
        </is>
      </c>
      <c r="T413" s="42" t="n">
        <v>42</v>
      </c>
      <c r="U413" s="42" t="inlineStr">
        <is>
          <t>P42|★</t>
        </is>
      </c>
      <c r="V413" s="42" t="inlineStr">
        <is>
          <t>同一価格表・前頁凡例を継承</t>
        </is>
      </c>
    </row>
    <row r="414">
      <c r="A414" s="43" t="inlineStr">
        <is>
          <t>SZ-SL-000411</t>
        </is>
      </c>
      <c r="B414" s="43" t="inlineStr">
        <is>
          <t>SER-LIX-SAMOSL</t>
        </is>
      </c>
      <c r="C414" s="43" t="inlineStr">
        <is>
          <t>WT-SL-SHUTTER-HIKI</t>
        </is>
      </c>
      <c r="D414" s="43" t="inlineStr">
        <is>
          <t>シャッター付引違い窓</t>
        </is>
      </c>
      <c r="E414" s="43" t="inlineStr">
        <is>
          <t>SP-SL-SHUT-E-VENT</t>
        </is>
      </c>
      <c r="F414" s="43" t="inlineStr">
        <is>
          <t>在来</t>
        </is>
      </c>
      <c r="G414" s="43" t="inlineStr">
        <is>
          <t>17422</t>
        </is>
      </c>
      <c r="H414" s="43" t="inlineStr">
        <is>
          <t>174</t>
        </is>
      </c>
      <c r="I414" s="43" t="inlineStr">
        <is>
          <t>22</t>
        </is>
      </c>
      <c r="J414" s="222" t="n">
        <v>1780</v>
      </c>
      <c r="K414" s="222" t="n">
        <v>2230</v>
      </c>
      <c r="L414" s="43" t="inlineStr">
        <is>
          <t>在来｜電動</t>
        </is>
      </c>
      <c r="M414" s="178" t="b">
        <v>1</v>
      </c>
      <c r="N414" s="43" t="inlineStr">
        <is>
          <t>カタログ個別可否確認済み</t>
        </is>
      </c>
      <c r="O414" s="222" t="n">
        <v>45</v>
      </c>
      <c r="P414" s="222" t="n">
        <v>43</v>
      </c>
      <c r="Q414" s="43" t="inlineStr">
        <is>
          <t>202604_LIXIL_サーモスＬ_業務用資料集_完成品価格表.pdf</t>
        </is>
      </c>
      <c r="R414" s="43" t="inlineStr">
        <is>
          <t>規格呼称は親品種で確認済み。固有仕様ごとの価格設定有無（＿＿表示等）は次QAで最終確定。</t>
        </is>
      </c>
      <c r="S414" s="42" t="inlineStr">
        <is>
          <t>★</t>
        </is>
      </c>
      <c r="T414" s="42" t="n">
        <v>42</v>
      </c>
      <c r="U414" s="42" t="inlineStr">
        <is>
          <t>P42|★</t>
        </is>
      </c>
      <c r="V414" s="42" t="inlineStr">
        <is>
          <t>同一価格表・前頁凡例を継承</t>
        </is>
      </c>
    </row>
    <row r="415">
      <c r="A415" s="43" t="inlineStr">
        <is>
          <t>SZ-SL-000412</t>
        </is>
      </c>
      <c r="B415" s="43" t="inlineStr">
        <is>
          <t>SER-LIX-SAMOSL</t>
        </is>
      </c>
      <c r="C415" s="43" t="inlineStr">
        <is>
          <t>WT-SL-SHUTTER-HIKI</t>
        </is>
      </c>
      <c r="D415" s="43" t="inlineStr">
        <is>
          <t>シャッター付引違い窓</t>
        </is>
      </c>
      <c r="E415" s="43" t="inlineStr">
        <is>
          <t>SP-SL-SHUT-E-VENT</t>
        </is>
      </c>
      <c r="F415" s="43" t="inlineStr">
        <is>
          <t>在来</t>
        </is>
      </c>
      <c r="G415" s="43" t="inlineStr">
        <is>
          <t>17424</t>
        </is>
      </c>
      <c r="H415" s="43" t="inlineStr">
        <is>
          <t>174</t>
        </is>
      </c>
      <c r="I415" s="43" t="inlineStr">
        <is>
          <t>24</t>
        </is>
      </c>
      <c r="J415" s="222" t="n">
        <v>1780</v>
      </c>
      <c r="K415" s="222" t="n">
        <v>2430</v>
      </c>
      <c r="L415" s="43" t="inlineStr">
        <is>
          <t>在来｜電動</t>
        </is>
      </c>
      <c r="M415" s="178" t="b">
        <v>0</v>
      </c>
      <c r="N415" s="43" t="inlineStr">
        <is>
          <t>設定なし（価格表確認済み）</t>
        </is>
      </c>
      <c r="O415" s="222" t="n">
        <v>45</v>
      </c>
      <c r="P415" s="222" t="n">
        <v>43</v>
      </c>
      <c r="Q415" s="43" t="inlineStr">
        <is>
          <t>202604_LIXIL_サーモスＬ_業務用資料集_完成品価格表.pdf</t>
        </is>
      </c>
      <c r="R415" s="43" t="inlineStr">
        <is>
          <t>規格呼称は親品種で確認済み。固有仕様ごとの価格設定有無（＿＿表示等）は次QAで最終確定。</t>
        </is>
      </c>
      <c r="S415" s="42" t="inlineStr">
        <is>
          <t>★</t>
        </is>
      </c>
      <c r="T415" s="42" t="n">
        <v>42</v>
      </c>
      <c r="U415" s="42" t="inlineStr">
        <is>
          <t>P42|★</t>
        </is>
      </c>
      <c r="V415" s="42" t="inlineStr">
        <is>
          <t>同一価格表・前頁凡例を継承</t>
        </is>
      </c>
    </row>
    <row r="416">
      <c r="A416" s="43" t="inlineStr">
        <is>
          <t>SZ-SL-000413</t>
        </is>
      </c>
      <c r="B416" s="43" t="inlineStr">
        <is>
          <t>SER-LIX-SAMOSL</t>
        </is>
      </c>
      <c r="C416" s="43" t="inlineStr">
        <is>
          <t>WT-SL-SHUTTER-HIKI</t>
        </is>
      </c>
      <c r="D416" s="43" t="inlineStr">
        <is>
          <t>シャッター付引違い窓</t>
        </is>
      </c>
      <c r="E416" s="43" t="inlineStr">
        <is>
          <t>SP-SL-SHUT-E-VENT</t>
        </is>
      </c>
      <c r="F416" s="43" t="inlineStr">
        <is>
          <t>在来</t>
        </is>
      </c>
      <c r="G416" s="43" t="inlineStr">
        <is>
          <t>17622</t>
        </is>
      </c>
      <c r="H416" s="43" t="inlineStr">
        <is>
          <t>176</t>
        </is>
      </c>
      <c r="I416" s="43" t="inlineStr">
        <is>
          <t>22</t>
        </is>
      </c>
      <c r="J416" s="222" t="n">
        <v>1800</v>
      </c>
      <c r="K416" s="222" t="n">
        <v>2230</v>
      </c>
      <c r="L416" s="43" t="inlineStr">
        <is>
          <t>在来｜電動</t>
        </is>
      </c>
      <c r="M416" s="178" t="b">
        <v>1</v>
      </c>
      <c r="N416" s="43" t="inlineStr">
        <is>
          <t>カタログ個別可否確認済み</t>
        </is>
      </c>
      <c r="O416" s="222" t="n">
        <v>45</v>
      </c>
      <c r="P416" s="222" t="n">
        <v>43</v>
      </c>
      <c r="Q416" s="43" t="inlineStr">
        <is>
          <t>202604_LIXIL_サーモスＬ_業務用資料集_完成品価格表.pdf</t>
        </is>
      </c>
      <c r="R416" s="43" t="inlineStr">
        <is>
          <t>規格呼称は親品種で確認済み。固有仕様ごとの価格設定有無（＿＿表示等）は次QAで最終確定。</t>
        </is>
      </c>
      <c r="S416" s="42" t="inlineStr">
        <is>
          <t>★</t>
        </is>
      </c>
      <c r="T416" s="42" t="n">
        <v>42</v>
      </c>
      <c r="U416" s="42" t="inlineStr">
        <is>
          <t>P42|★</t>
        </is>
      </c>
      <c r="V416" s="42" t="inlineStr">
        <is>
          <t>同一価格表・前頁凡例を継承</t>
        </is>
      </c>
    </row>
    <row r="417">
      <c r="A417" s="43" t="inlineStr">
        <is>
          <t>SZ-SL-000414</t>
        </is>
      </c>
      <c r="B417" s="43" t="inlineStr">
        <is>
          <t>SER-LIX-SAMOSL</t>
        </is>
      </c>
      <c r="C417" s="43" t="inlineStr">
        <is>
          <t>WT-SL-SHUTTER-HIKI</t>
        </is>
      </c>
      <c r="D417" s="43" t="inlineStr">
        <is>
          <t>シャッター付引違い窓</t>
        </is>
      </c>
      <c r="E417" s="43" t="inlineStr">
        <is>
          <t>SP-SL-SHUT-E-VENT</t>
        </is>
      </c>
      <c r="F417" s="43" t="inlineStr">
        <is>
          <t>在来</t>
        </is>
      </c>
      <c r="G417" s="43" t="inlineStr">
        <is>
          <t>17624</t>
        </is>
      </c>
      <c r="H417" s="43" t="inlineStr">
        <is>
          <t>176</t>
        </is>
      </c>
      <c r="I417" s="43" t="inlineStr">
        <is>
          <t>24</t>
        </is>
      </c>
      <c r="J417" s="222" t="n">
        <v>1800</v>
      </c>
      <c r="K417" s="222" t="n">
        <v>2430</v>
      </c>
      <c r="L417" s="43" t="inlineStr">
        <is>
          <t>在来｜電動</t>
        </is>
      </c>
      <c r="M417" s="178" t="b">
        <v>0</v>
      </c>
      <c r="N417" s="43" t="inlineStr">
        <is>
          <t>設定なし（価格表確認済み）</t>
        </is>
      </c>
      <c r="O417" s="222" t="n">
        <v>45</v>
      </c>
      <c r="P417" s="222" t="n">
        <v>43</v>
      </c>
      <c r="Q417" s="43" t="inlineStr">
        <is>
          <t>202604_LIXIL_サーモスＬ_業務用資料集_完成品価格表.pdf</t>
        </is>
      </c>
      <c r="R417" s="43" t="inlineStr">
        <is>
          <t>規格呼称は親品種で確認済み。固有仕様ごとの価格設定有無（＿＿表示等）は次QAで最終確定。</t>
        </is>
      </c>
      <c r="S417" s="42" t="inlineStr">
        <is>
          <t>★</t>
        </is>
      </c>
      <c r="T417" s="42" t="n">
        <v>42</v>
      </c>
      <c r="U417" s="42" t="inlineStr">
        <is>
          <t>P42|★</t>
        </is>
      </c>
      <c r="V417" s="42" t="inlineStr">
        <is>
          <t>同一価格表・前頁凡例を継承</t>
        </is>
      </c>
    </row>
    <row r="418">
      <c r="A418" s="43" t="inlineStr">
        <is>
          <t>SZ-SL-000415</t>
        </is>
      </c>
      <c r="B418" s="43" t="inlineStr">
        <is>
          <t>SER-LIX-SAMOSL</t>
        </is>
      </c>
      <c r="C418" s="43" t="inlineStr">
        <is>
          <t>WT-SL-SHUTTER-HIKI</t>
        </is>
      </c>
      <c r="D418" s="43" t="inlineStr">
        <is>
          <t>シャッター付引違い窓</t>
        </is>
      </c>
      <c r="E418" s="43" t="inlineStr">
        <is>
          <t>SP-SL-SHUT-E-VENT</t>
        </is>
      </c>
      <c r="F418" s="43" t="inlineStr">
        <is>
          <t>在来</t>
        </is>
      </c>
      <c r="G418" s="43" t="inlineStr">
        <is>
          <t>18022</t>
        </is>
      </c>
      <c r="H418" s="43" t="inlineStr">
        <is>
          <t>180</t>
        </is>
      </c>
      <c r="I418" s="43" t="inlineStr">
        <is>
          <t>22</t>
        </is>
      </c>
      <c r="J418" s="222" t="n">
        <v>1845</v>
      </c>
      <c r="K418" s="222" t="n">
        <v>2230</v>
      </c>
      <c r="L418" s="43" t="inlineStr">
        <is>
          <t>在来｜電動</t>
        </is>
      </c>
      <c r="M418" s="178" t="b">
        <v>1</v>
      </c>
      <c r="N418" s="43" t="inlineStr">
        <is>
          <t>カタログ個別可否確認済み</t>
        </is>
      </c>
      <c r="O418" s="222" t="n">
        <v>45</v>
      </c>
      <c r="P418" s="222" t="n">
        <v>43</v>
      </c>
      <c r="Q418" s="43" t="inlineStr">
        <is>
          <t>202604_LIXIL_サーモスＬ_業務用資料集_完成品価格表.pdf</t>
        </is>
      </c>
      <c r="R418" s="43" t="inlineStr">
        <is>
          <t>規格呼称は親品種で確認済み。固有仕様ごとの価格設定有無（＿＿表示等）は次QAで最終確定。</t>
        </is>
      </c>
      <c r="S418" s="42" t="inlineStr">
        <is>
          <t>★</t>
        </is>
      </c>
      <c r="T418" s="42" t="n">
        <v>42</v>
      </c>
      <c r="U418" s="42" t="inlineStr">
        <is>
          <t>P42|★</t>
        </is>
      </c>
      <c r="V418" s="42" t="inlineStr">
        <is>
          <t>同一価格表・前頁凡例を継承</t>
        </is>
      </c>
    </row>
    <row r="419">
      <c r="A419" s="43" t="inlineStr">
        <is>
          <t>SZ-SL-000416</t>
        </is>
      </c>
      <c r="B419" s="43" t="inlineStr">
        <is>
          <t>SER-LIX-SAMOSL</t>
        </is>
      </c>
      <c r="C419" s="43" t="inlineStr">
        <is>
          <t>WT-SL-SHUTTER-HIKI</t>
        </is>
      </c>
      <c r="D419" s="43" t="inlineStr">
        <is>
          <t>シャッター付引違い窓</t>
        </is>
      </c>
      <c r="E419" s="43" t="inlineStr">
        <is>
          <t>SP-SL-SHUT-E-VENT</t>
        </is>
      </c>
      <c r="F419" s="43" t="inlineStr">
        <is>
          <t>在来</t>
        </is>
      </c>
      <c r="G419" s="43" t="inlineStr">
        <is>
          <t>18024</t>
        </is>
      </c>
      <c r="H419" s="43" t="inlineStr">
        <is>
          <t>180</t>
        </is>
      </c>
      <c r="I419" s="43" t="inlineStr">
        <is>
          <t>24</t>
        </is>
      </c>
      <c r="J419" s="222" t="n">
        <v>1845</v>
      </c>
      <c r="K419" s="222" t="n">
        <v>2430</v>
      </c>
      <c r="L419" s="43" t="inlineStr">
        <is>
          <t>在来｜電動</t>
        </is>
      </c>
      <c r="M419" s="178" t="b">
        <v>0</v>
      </c>
      <c r="N419" s="43" t="inlineStr">
        <is>
          <t>設定なし（価格表確認済み）</t>
        </is>
      </c>
      <c r="O419" s="222" t="n">
        <v>45</v>
      </c>
      <c r="P419" s="222" t="n">
        <v>43</v>
      </c>
      <c r="Q419" s="43" t="inlineStr">
        <is>
          <t>202604_LIXIL_サーモスＬ_業務用資料集_完成品価格表.pdf</t>
        </is>
      </c>
      <c r="R419" s="43" t="inlineStr">
        <is>
          <t>規格呼称は親品種で確認済み。固有仕様ごとの価格設定有無（＿＿表示等）は次QAで最終確定。</t>
        </is>
      </c>
      <c r="S419" s="42" t="inlineStr">
        <is>
          <t>☆</t>
        </is>
      </c>
      <c r="T419" s="42" t="n">
        <v>42</v>
      </c>
      <c r="U419" s="42" t="inlineStr">
        <is>
          <t>P42|☆</t>
        </is>
      </c>
      <c r="V419" s="42" t="inlineStr">
        <is>
          <t>同一価格表・前頁凡例を継承</t>
        </is>
      </c>
    </row>
    <row r="420">
      <c r="A420" s="43" t="inlineStr">
        <is>
          <t>SZ-SL-000417</t>
        </is>
      </c>
      <c r="B420" s="43" t="inlineStr">
        <is>
          <t>SER-LIX-SAMOSL</t>
        </is>
      </c>
      <c r="C420" s="43" t="inlineStr">
        <is>
          <t>WT-SL-SHUTTER-HIKI</t>
        </is>
      </c>
      <c r="D420" s="43" t="inlineStr">
        <is>
          <t>シャッター付引違い窓</t>
        </is>
      </c>
      <c r="E420" s="43" t="inlineStr">
        <is>
          <t>SP-SL-SHUT-E-WIND</t>
        </is>
      </c>
      <c r="F420" s="43" t="inlineStr">
        <is>
          <t>在来</t>
        </is>
      </c>
      <c r="G420" s="43" t="inlineStr">
        <is>
          <t>16522</t>
        </is>
      </c>
      <c r="H420" s="43" t="inlineStr">
        <is>
          <t>165</t>
        </is>
      </c>
      <c r="I420" s="43" t="inlineStr">
        <is>
          <t>22</t>
        </is>
      </c>
      <c r="J420" s="222" t="n">
        <v>1690</v>
      </c>
      <c r="K420" s="222" t="n">
        <v>2230</v>
      </c>
      <c r="L420" s="43" t="inlineStr">
        <is>
          <t>在来｜電動</t>
        </is>
      </c>
      <c r="M420" s="178" t="b">
        <v>1</v>
      </c>
      <c r="N420" s="43" t="inlineStr">
        <is>
          <t>カタログ個別可否確認済み</t>
        </is>
      </c>
      <c r="O420" s="222" t="n">
        <v>45</v>
      </c>
      <c r="P420" s="222" t="n">
        <v>43</v>
      </c>
      <c r="Q420" s="43" t="inlineStr">
        <is>
          <t>202604_LIXIL_サーモスＬ_業務用資料集_完成品価格表.pdf</t>
        </is>
      </c>
      <c r="R420" s="43" t="inlineStr">
        <is>
          <t>規格呼称は親品種で確認済み。固有仕様ごとの価格設定有無（＿＿表示等）は次QAで最終確定。</t>
        </is>
      </c>
      <c r="S420" s="42" t="inlineStr">
        <is>
          <t>★</t>
        </is>
      </c>
      <c r="T420" s="42" t="n">
        <v>42</v>
      </c>
      <c r="U420" s="42" t="inlineStr">
        <is>
          <t>P42|★</t>
        </is>
      </c>
      <c r="V420" s="42" t="inlineStr">
        <is>
          <t>同一価格表・前頁凡例を継承</t>
        </is>
      </c>
    </row>
    <row r="421">
      <c r="A421" s="43" t="inlineStr">
        <is>
          <t>SZ-SL-000418</t>
        </is>
      </c>
      <c r="B421" s="43" t="inlineStr">
        <is>
          <t>SER-LIX-SAMOSL</t>
        </is>
      </c>
      <c r="C421" s="43" t="inlineStr">
        <is>
          <t>WT-SL-SHUTTER-HIKI</t>
        </is>
      </c>
      <c r="D421" s="43" t="inlineStr">
        <is>
          <t>シャッター付引違い窓</t>
        </is>
      </c>
      <c r="E421" s="43" t="inlineStr">
        <is>
          <t>SP-SL-SHUT-E-WIND</t>
        </is>
      </c>
      <c r="F421" s="43" t="inlineStr">
        <is>
          <t>在来</t>
        </is>
      </c>
      <c r="G421" s="43" t="inlineStr">
        <is>
          <t>16524</t>
        </is>
      </c>
      <c r="H421" s="43" t="inlineStr">
        <is>
          <t>165</t>
        </is>
      </c>
      <c r="I421" s="43" t="inlineStr">
        <is>
          <t>24</t>
        </is>
      </c>
      <c r="J421" s="222" t="n">
        <v>1690</v>
      </c>
      <c r="K421" s="222" t="n">
        <v>2430</v>
      </c>
      <c r="L421" s="43" t="inlineStr">
        <is>
          <t>在来｜電動</t>
        </is>
      </c>
      <c r="M421" s="178" t="b">
        <v>0</v>
      </c>
      <c r="N421" s="43" t="inlineStr">
        <is>
          <t>設定なし（価格表確認済み）</t>
        </is>
      </c>
      <c r="O421" s="222" t="n">
        <v>45</v>
      </c>
      <c r="P421" s="222" t="n">
        <v>43</v>
      </c>
      <c r="Q421" s="43" t="inlineStr">
        <is>
          <t>202604_LIXIL_サーモスＬ_業務用資料集_完成品価格表.pdf</t>
        </is>
      </c>
      <c r="R421" s="43" t="inlineStr">
        <is>
          <t>規格呼称は親品種で確認済み。固有仕様ごとの価格設定有無（＿＿表示等）は次QAで最終確定。</t>
        </is>
      </c>
      <c r="S421" s="42" t="inlineStr">
        <is>
          <t>★</t>
        </is>
      </c>
      <c r="T421" s="42" t="n">
        <v>42</v>
      </c>
      <c r="U421" s="42" t="inlineStr">
        <is>
          <t>P42|★</t>
        </is>
      </c>
      <c r="V421" s="42" t="inlineStr">
        <is>
          <t>同一価格表・前頁凡例を継承</t>
        </is>
      </c>
    </row>
    <row r="422">
      <c r="A422" s="43" t="inlineStr">
        <is>
          <t>SZ-SL-000419</t>
        </is>
      </c>
      <c r="B422" s="43" t="inlineStr">
        <is>
          <t>SER-LIX-SAMOSL</t>
        </is>
      </c>
      <c r="C422" s="43" t="inlineStr">
        <is>
          <t>WT-SL-SHUTTER-HIKI</t>
        </is>
      </c>
      <c r="D422" s="43" t="inlineStr">
        <is>
          <t>シャッター付引違い窓</t>
        </is>
      </c>
      <c r="E422" s="43" t="inlineStr">
        <is>
          <t>SP-SL-SHUT-E-WIND</t>
        </is>
      </c>
      <c r="F422" s="43" t="inlineStr">
        <is>
          <t>在来</t>
        </is>
      </c>
      <c r="G422" s="43" t="inlineStr">
        <is>
          <t>17422</t>
        </is>
      </c>
      <c r="H422" s="43" t="inlineStr">
        <is>
          <t>174</t>
        </is>
      </c>
      <c r="I422" s="43" t="inlineStr">
        <is>
          <t>22</t>
        </is>
      </c>
      <c r="J422" s="222" t="n">
        <v>1780</v>
      </c>
      <c r="K422" s="222" t="n">
        <v>2230</v>
      </c>
      <c r="L422" s="43" t="inlineStr">
        <is>
          <t>在来｜電動</t>
        </is>
      </c>
      <c r="M422" s="178" t="b">
        <v>0</v>
      </c>
      <c r="N422" s="43" t="inlineStr">
        <is>
          <t>設定なし（価格表確認済み）</t>
        </is>
      </c>
      <c r="O422" s="222" t="n">
        <v>45</v>
      </c>
      <c r="P422" s="222" t="n">
        <v>43</v>
      </c>
      <c r="Q422" s="43" t="inlineStr">
        <is>
          <t>202604_LIXIL_サーモスＬ_業務用資料集_完成品価格表.pdf</t>
        </is>
      </c>
      <c r="R422" s="43" t="inlineStr">
        <is>
          <t>規格呼称は親品種で確認済み。固有仕様ごとの価格設定有無（＿＿表示等）は次QAで最終確定。</t>
        </is>
      </c>
      <c r="S422" s="42" t="inlineStr">
        <is>
          <t>★</t>
        </is>
      </c>
      <c r="T422" s="42" t="n">
        <v>42</v>
      </c>
      <c r="U422" s="42" t="inlineStr">
        <is>
          <t>P42|★</t>
        </is>
      </c>
      <c r="V422" s="42" t="inlineStr">
        <is>
          <t>同一価格表・前頁凡例を継承</t>
        </is>
      </c>
    </row>
    <row r="423">
      <c r="A423" s="43" t="inlineStr">
        <is>
          <t>SZ-SL-000420</t>
        </is>
      </c>
      <c r="B423" s="43" t="inlineStr">
        <is>
          <t>SER-LIX-SAMOSL</t>
        </is>
      </c>
      <c r="C423" s="43" t="inlineStr">
        <is>
          <t>WT-SL-SHUTTER-HIKI</t>
        </is>
      </c>
      <c r="D423" s="43" t="inlineStr">
        <is>
          <t>シャッター付引違い窓</t>
        </is>
      </c>
      <c r="E423" s="43" t="inlineStr">
        <is>
          <t>SP-SL-SHUT-E-WIND</t>
        </is>
      </c>
      <c r="F423" s="43" t="inlineStr">
        <is>
          <t>在来</t>
        </is>
      </c>
      <c r="G423" s="43" t="inlineStr">
        <is>
          <t>17424</t>
        </is>
      </c>
      <c r="H423" s="43" t="inlineStr">
        <is>
          <t>174</t>
        </is>
      </c>
      <c r="I423" s="43" t="inlineStr">
        <is>
          <t>24</t>
        </is>
      </c>
      <c r="J423" s="222" t="n">
        <v>1780</v>
      </c>
      <c r="K423" s="222" t="n">
        <v>2430</v>
      </c>
      <c r="L423" s="43" t="inlineStr">
        <is>
          <t>在来｜電動</t>
        </is>
      </c>
      <c r="M423" s="178" t="b">
        <v>0</v>
      </c>
      <c r="N423" s="43" t="inlineStr">
        <is>
          <t>設定なし（価格表確認済み）</t>
        </is>
      </c>
      <c r="O423" s="222" t="n">
        <v>45</v>
      </c>
      <c r="P423" s="222" t="n">
        <v>43</v>
      </c>
      <c r="Q423" s="43" t="inlineStr">
        <is>
          <t>202604_LIXIL_サーモスＬ_業務用資料集_完成品価格表.pdf</t>
        </is>
      </c>
      <c r="R423" s="43" t="inlineStr">
        <is>
          <t>規格呼称は親品種で確認済み。固有仕様ごとの価格設定有無（＿＿表示等）は次QAで最終確定。</t>
        </is>
      </c>
      <c r="S423" s="42" t="inlineStr">
        <is>
          <t>★</t>
        </is>
      </c>
      <c r="T423" s="42" t="n">
        <v>42</v>
      </c>
      <c r="U423" s="42" t="inlineStr">
        <is>
          <t>P42|★</t>
        </is>
      </c>
      <c r="V423" s="42" t="inlineStr">
        <is>
          <t>同一価格表・前頁凡例を継承</t>
        </is>
      </c>
    </row>
    <row r="424">
      <c r="A424" s="43" t="inlineStr">
        <is>
          <t>SZ-SL-000421</t>
        </is>
      </c>
      <c r="B424" s="43" t="inlineStr">
        <is>
          <t>SER-LIX-SAMOSL</t>
        </is>
      </c>
      <c r="C424" s="43" t="inlineStr">
        <is>
          <t>WT-SL-SHUTTER-HIKI</t>
        </is>
      </c>
      <c r="D424" s="43" t="inlineStr">
        <is>
          <t>シャッター付引違い窓</t>
        </is>
      </c>
      <c r="E424" s="43" t="inlineStr">
        <is>
          <t>SP-SL-SHUT-E-WIND</t>
        </is>
      </c>
      <c r="F424" s="43" t="inlineStr">
        <is>
          <t>在来</t>
        </is>
      </c>
      <c r="G424" s="43" t="inlineStr">
        <is>
          <t>17622</t>
        </is>
      </c>
      <c r="H424" s="43" t="inlineStr">
        <is>
          <t>176</t>
        </is>
      </c>
      <c r="I424" s="43" t="inlineStr">
        <is>
          <t>22</t>
        </is>
      </c>
      <c r="J424" s="222" t="n">
        <v>1800</v>
      </c>
      <c r="K424" s="222" t="n">
        <v>2230</v>
      </c>
      <c r="L424" s="43" t="inlineStr">
        <is>
          <t>在来｜電動</t>
        </is>
      </c>
      <c r="M424" s="178" t="b">
        <v>0</v>
      </c>
      <c r="N424" s="43" t="inlineStr">
        <is>
          <t>設定なし（価格表確認済み）</t>
        </is>
      </c>
      <c r="O424" s="222" t="n">
        <v>45</v>
      </c>
      <c r="P424" s="222" t="n">
        <v>43</v>
      </c>
      <c r="Q424" s="43" t="inlineStr">
        <is>
          <t>202604_LIXIL_サーモスＬ_業務用資料集_完成品価格表.pdf</t>
        </is>
      </c>
      <c r="R424" s="43" t="inlineStr">
        <is>
          <t>規格呼称は親品種で確認済み。固有仕様ごとの価格設定有無（＿＿表示等）は次QAで最終確定。</t>
        </is>
      </c>
      <c r="S424" s="42" t="inlineStr">
        <is>
          <t>★</t>
        </is>
      </c>
      <c r="T424" s="42" t="n">
        <v>42</v>
      </c>
      <c r="U424" s="42" t="inlineStr">
        <is>
          <t>P42|★</t>
        </is>
      </c>
      <c r="V424" s="42" t="inlineStr">
        <is>
          <t>同一価格表・前頁凡例を継承</t>
        </is>
      </c>
    </row>
    <row r="425">
      <c r="A425" s="43" t="inlineStr">
        <is>
          <t>SZ-SL-000422</t>
        </is>
      </c>
      <c r="B425" s="43" t="inlineStr">
        <is>
          <t>SER-LIX-SAMOSL</t>
        </is>
      </c>
      <c r="C425" s="43" t="inlineStr">
        <is>
          <t>WT-SL-SHUTTER-HIKI</t>
        </is>
      </c>
      <c r="D425" s="43" t="inlineStr">
        <is>
          <t>シャッター付引違い窓</t>
        </is>
      </c>
      <c r="E425" s="43" t="inlineStr">
        <is>
          <t>SP-SL-SHUT-E-WIND</t>
        </is>
      </c>
      <c r="F425" s="43" t="inlineStr">
        <is>
          <t>在来</t>
        </is>
      </c>
      <c r="G425" s="43" t="inlineStr">
        <is>
          <t>17624</t>
        </is>
      </c>
      <c r="H425" s="43" t="inlineStr">
        <is>
          <t>176</t>
        </is>
      </c>
      <c r="I425" s="43" t="inlineStr">
        <is>
          <t>24</t>
        </is>
      </c>
      <c r="J425" s="222" t="n">
        <v>1800</v>
      </c>
      <c r="K425" s="222" t="n">
        <v>2430</v>
      </c>
      <c r="L425" s="43" t="inlineStr">
        <is>
          <t>在来｜電動</t>
        </is>
      </c>
      <c r="M425" s="178" t="b">
        <v>0</v>
      </c>
      <c r="N425" s="43" t="inlineStr">
        <is>
          <t>設定なし（価格表確認済み）</t>
        </is>
      </c>
      <c r="O425" s="222" t="n">
        <v>45</v>
      </c>
      <c r="P425" s="222" t="n">
        <v>43</v>
      </c>
      <c r="Q425" s="43" t="inlineStr">
        <is>
          <t>202604_LIXIL_サーモスＬ_業務用資料集_完成品価格表.pdf</t>
        </is>
      </c>
      <c r="R425" s="43" t="inlineStr">
        <is>
          <t>規格呼称は親品種で確認済み。固有仕様ごとの価格設定有無（＿＿表示等）は次QAで最終確定。</t>
        </is>
      </c>
      <c r="S425" s="42" t="inlineStr">
        <is>
          <t>★</t>
        </is>
      </c>
      <c r="T425" s="42" t="n">
        <v>42</v>
      </c>
      <c r="U425" s="42" t="inlineStr">
        <is>
          <t>P42|★</t>
        </is>
      </c>
      <c r="V425" s="42" t="inlineStr">
        <is>
          <t>同一価格表・前頁凡例を継承</t>
        </is>
      </c>
    </row>
    <row r="426">
      <c r="A426" s="43" t="inlineStr">
        <is>
          <t>SZ-SL-000423</t>
        </is>
      </c>
      <c r="B426" s="43" t="inlineStr">
        <is>
          <t>SER-LIX-SAMOSL</t>
        </is>
      </c>
      <c r="C426" s="43" t="inlineStr">
        <is>
          <t>WT-SL-SHUTTER-HIKI</t>
        </is>
      </c>
      <c r="D426" s="43" t="inlineStr">
        <is>
          <t>シャッター付引違い窓</t>
        </is>
      </c>
      <c r="E426" s="43" t="inlineStr">
        <is>
          <t>SP-SL-SHUT-E-WIND</t>
        </is>
      </c>
      <c r="F426" s="43" t="inlineStr">
        <is>
          <t>在来</t>
        </is>
      </c>
      <c r="G426" s="43" t="inlineStr">
        <is>
          <t>18022</t>
        </is>
      </c>
      <c r="H426" s="43" t="inlineStr">
        <is>
          <t>180</t>
        </is>
      </c>
      <c r="I426" s="43" t="inlineStr">
        <is>
          <t>22</t>
        </is>
      </c>
      <c r="J426" s="222" t="n">
        <v>1845</v>
      </c>
      <c r="K426" s="222" t="n">
        <v>2230</v>
      </c>
      <c r="L426" s="43" t="inlineStr">
        <is>
          <t>在来｜電動</t>
        </is>
      </c>
      <c r="M426" s="178" t="b">
        <v>0</v>
      </c>
      <c r="N426" s="43" t="inlineStr">
        <is>
          <t>設定なし（価格表確認済み）</t>
        </is>
      </c>
      <c r="O426" s="222" t="n">
        <v>45</v>
      </c>
      <c r="P426" s="222" t="n">
        <v>43</v>
      </c>
      <c r="Q426" s="43" t="inlineStr">
        <is>
          <t>202604_LIXIL_サーモスＬ_業務用資料集_完成品価格表.pdf</t>
        </is>
      </c>
      <c r="R426" s="43" t="inlineStr">
        <is>
          <t>規格呼称は親品種で確認済み。固有仕様ごとの価格設定有無（＿＿表示等）は次QAで最終確定。</t>
        </is>
      </c>
      <c r="S426" s="42" t="inlineStr">
        <is>
          <t>★</t>
        </is>
      </c>
      <c r="T426" s="42" t="n">
        <v>42</v>
      </c>
      <c r="U426" s="42" t="inlineStr">
        <is>
          <t>P42|★</t>
        </is>
      </c>
      <c r="V426" s="42" t="inlineStr">
        <is>
          <t>同一価格表・前頁凡例を継承</t>
        </is>
      </c>
    </row>
    <row r="427">
      <c r="A427" s="43" t="inlineStr">
        <is>
          <t>SZ-SL-000424</t>
        </is>
      </c>
      <c r="B427" s="43" t="inlineStr">
        <is>
          <t>SER-LIX-SAMOSL</t>
        </is>
      </c>
      <c r="C427" s="43" t="inlineStr">
        <is>
          <t>WT-SL-SHUTTER-HIKI</t>
        </is>
      </c>
      <c r="D427" s="43" t="inlineStr">
        <is>
          <t>シャッター付引違い窓</t>
        </is>
      </c>
      <c r="E427" s="43" t="inlineStr">
        <is>
          <t>SP-SL-SHUT-E-WIND</t>
        </is>
      </c>
      <c r="F427" s="43" t="inlineStr">
        <is>
          <t>在来</t>
        </is>
      </c>
      <c r="G427" s="43" t="inlineStr">
        <is>
          <t>18024</t>
        </is>
      </c>
      <c r="H427" s="43" t="inlineStr">
        <is>
          <t>180</t>
        </is>
      </c>
      <c r="I427" s="43" t="inlineStr">
        <is>
          <t>24</t>
        </is>
      </c>
      <c r="J427" s="222" t="n">
        <v>1845</v>
      </c>
      <c r="K427" s="222" t="n">
        <v>2430</v>
      </c>
      <c r="L427" s="43" t="inlineStr">
        <is>
          <t>在来｜電動</t>
        </is>
      </c>
      <c r="M427" s="178" t="b">
        <v>0</v>
      </c>
      <c r="N427" s="43" t="inlineStr">
        <is>
          <t>設定なし（価格表確認済み）</t>
        </is>
      </c>
      <c r="O427" s="222" t="n">
        <v>45</v>
      </c>
      <c r="P427" s="222" t="n">
        <v>43</v>
      </c>
      <c r="Q427" s="43" t="inlineStr">
        <is>
          <t>202604_LIXIL_サーモスＬ_業務用資料集_完成品価格表.pdf</t>
        </is>
      </c>
      <c r="R427" s="43" t="inlineStr">
        <is>
          <t>規格呼称は親品種で確認済み。固有仕様ごとの価格設定有無（＿＿表示等）は次QAで最終確定。</t>
        </is>
      </c>
      <c r="S427" s="42" t="inlineStr">
        <is>
          <t>☆</t>
        </is>
      </c>
      <c r="T427" s="42" t="n">
        <v>42</v>
      </c>
      <c r="U427" s="42" t="inlineStr">
        <is>
          <t>P42|☆</t>
        </is>
      </c>
      <c r="V427" s="42" t="inlineStr">
        <is>
          <t>同一価格表・前頁凡例を継承</t>
        </is>
      </c>
    </row>
    <row r="428">
      <c r="A428" s="43" t="inlineStr">
        <is>
          <t>SZ-SL-000425</t>
        </is>
      </c>
      <c r="B428" s="43" t="inlineStr">
        <is>
          <t>SER-LIX-SAMOSL</t>
        </is>
      </c>
      <c r="C428" s="43" t="inlineStr">
        <is>
          <t>WT-SL-SHUTTER-HIKI</t>
        </is>
      </c>
      <c r="D428" s="43" t="inlineStr">
        <is>
          <t>シャッター付引違い窓</t>
        </is>
      </c>
      <c r="E428" s="43" t="inlineStr">
        <is>
          <t>SP-SL-SHUT-E-STD</t>
        </is>
      </c>
      <c r="F428" s="43" t="inlineStr">
        <is>
          <t>在来</t>
        </is>
      </c>
      <c r="G428" s="43" t="inlineStr">
        <is>
          <t>18622</t>
        </is>
      </c>
      <c r="H428" s="43" t="inlineStr">
        <is>
          <t>186</t>
        </is>
      </c>
      <c r="I428" s="43" t="inlineStr">
        <is>
          <t>22</t>
        </is>
      </c>
      <c r="J428" s="222" t="n">
        <v>1900</v>
      </c>
      <c r="K428" s="222" t="n">
        <v>2230</v>
      </c>
      <c r="L428" s="43" t="inlineStr">
        <is>
          <t>在来｜電動</t>
        </is>
      </c>
      <c r="M428" s="178" t="b">
        <v>1</v>
      </c>
      <c r="N428" s="43" t="inlineStr">
        <is>
          <t>カタログ規格確認済み</t>
        </is>
      </c>
      <c r="O428" s="222" t="n">
        <v>46</v>
      </c>
      <c r="P428" s="222" t="n">
        <v>44</v>
      </c>
      <c r="Q428" s="43" t="inlineStr">
        <is>
          <t>202604_LIXIL_サーモスＬ_業務用資料集_完成品価格表.pdf</t>
        </is>
      </c>
      <c r="R428" s="43" t="n"/>
      <c r="S428" s="42" t="inlineStr">
        <is>
          <t>★</t>
        </is>
      </c>
      <c r="T428" s="42" t="n">
        <v>45</v>
      </c>
      <c r="U428" s="42" t="inlineStr">
        <is>
          <t>P45|★</t>
        </is>
      </c>
      <c r="V428" s="42" t="inlineStr">
        <is>
          <t>同一価格表・次頁凡例を継承</t>
        </is>
      </c>
    </row>
    <row r="429">
      <c r="A429" s="43" t="inlineStr">
        <is>
          <t>SZ-SL-000426</t>
        </is>
      </c>
      <c r="B429" s="43" t="inlineStr">
        <is>
          <t>SER-LIX-SAMOSL</t>
        </is>
      </c>
      <c r="C429" s="43" t="inlineStr">
        <is>
          <t>WT-SL-SHUTTER-HIKI</t>
        </is>
      </c>
      <c r="D429" s="43" t="inlineStr">
        <is>
          <t>シャッター付引違い窓</t>
        </is>
      </c>
      <c r="E429" s="43" t="inlineStr">
        <is>
          <t>SP-SL-SHUT-E-STD</t>
        </is>
      </c>
      <c r="F429" s="43" t="inlineStr">
        <is>
          <t>在来</t>
        </is>
      </c>
      <c r="G429" s="43" t="inlineStr">
        <is>
          <t>18624</t>
        </is>
      </c>
      <c r="H429" s="43" t="inlineStr">
        <is>
          <t>186</t>
        </is>
      </c>
      <c r="I429" s="43" t="inlineStr">
        <is>
          <t>24</t>
        </is>
      </c>
      <c r="J429" s="222" t="n">
        <v>1900</v>
      </c>
      <c r="K429" s="222" t="n">
        <v>2430</v>
      </c>
      <c r="L429" s="43" t="inlineStr">
        <is>
          <t>在来｜電動</t>
        </is>
      </c>
      <c r="M429" s="178" t="b">
        <v>1</v>
      </c>
      <c r="N429" s="43" t="inlineStr">
        <is>
          <t>カタログ規格確認済み</t>
        </is>
      </c>
      <c r="O429" s="222" t="n">
        <v>46</v>
      </c>
      <c r="P429" s="222" t="n">
        <v>44</v>
      </c>
      <c r="Q429" s="43" t="inlineStr">
        <is>
          <t>202604_LIXIL_サーモスＬ_業務用資料集_完成品価格表.pdf</t>
        </is>
      </c>
      <c r="R429" s="43" t="n"/>
      <c r="S429" s="42" t="inlineStr">
        <is>
          <t>☆</t>
        </is>
      </c>
      <c r="T429" s="42" t="n">
        <v>45</v>
      </c>
      <c r="U429" s="42" t="inlineStr">
        <is>
          <t>P45|☆</t>
        </is>
      </c>
      <c r="V429" s="42" t="inlineStr">
        <is>
          <t>同一価格表・次頁凡例を継承</t>
        </is>
      </c>
    </row>
    <row r="430">
      <c r="A430" s="43" t="inlineStr">
        <is>
          <t>SZ-SL-000427</t>
        </is>
      </c>
      <c r="B430" s="43" t="inlineStr">
        <is>
          <t>SER-LIX-SAMOSL</t>
        </is>
      </c>
      <c r="C430" s="43" t="inlineStr">
        <is>
          <t>WT-SL-SHUTTER-HIKI</t>
        </is>
      </c>
      <c r="D430" s="43" t="inlineStr">
        <is>
          <t>シャッター付引違い窓</t>
        </is>
      </c>
      <c r="E430" s="43" t="inlineStr">
        <is>
          <t>SP-SL-SHUT-E-STD</t>
        </is>
      </c>
      <c r="F430" s="43" t="inlineStr">
        <is>
          <t>在来</t>
        </is>
      </c>
      <c r="G430" s="43" t="inlineStr">
        <is>
          <t>25122-2</t>
        </is>
      </c>
      <c r="H430" s="43" t="inlineStr">
        <is>
          <t>251-2</t>
        </is>
      </c>
      <c r="I430" s="43" t="inlineStr">
        <is>
          <t>22</t>
        </is>
      </c>
      <c r="J430" s="222" t="n">
        <v>2550</v>
      </c>
      <c r="K430" s="222" t="n">
        <v>2230</v>
      </c>
      <c r="L430" s="43" t="inlineStr">
        <is>
          <t>在来｜電動</t>
        </is>
      </c>
      <c r="M430" s="178" t="b">
        <v>1</v>
      </c>
      <c r="N430" s="43" t="inlineStr">
        <is>
          <t>カタログ規格確認済み</t>
        </is>
      </c>
      <c r="O430" s="222" t="n">
        <v>46</v>
      </c>
      <c r="P430" s="222" t="n">
        <v>44</v>
      </c>
      <c r="Q430" s="43" t="inlineStr">
        <is>
          <t>202604_LIXIL_サーモスＬ_業務用資料集_完成品価格表.pdf</t>
        </is>
      </c>
      <c r="R430" s="43" t="n"/>
      <c r="S430" s="42" t="inlineStr">
        <is>
          <t>◆</t>
        </is>
      </c>
      <c r="T430" s="42" t="n">
        <v>45</v>
      </c>
      <c r="U430" s="42" t="inlineStr">
        <is>
          <t>P45|◆</t>
        </is>
      </c>
      <c r="V430" s="42" t="inlineStr">
        <is>
          <t>同一価格表・次頁凡例を継承</t>
        </is>
      </c>
    </row>
    <row r="431">
      <c r="A431" s="43" t="inlineStr">
        <is>
          <t>SZ-SL-000428</t>
        </is>
      </c>
      <c r="B431" s="43" t="inlineStr">
        <is>
          <t>SER-LIX-SAMOSL</t>
        </is>
      </c>
      <c r="C431" s="43" t="inlineStr">
        <is>
          <t>WT-SL-SHUTTER-HIKI</t>
        </is>
      </c>
      <c r="D431" s="43" t="inlineStr">
        <is>
          <t>シャッター付引違い窓</t>
        </is>
      </c>
      <c r="E431" s="43" t="inlineStr">
        <is>
          <t>SP-SL-SHUT-E-STD</t>
        </is>
      </c>
      <c r="F431" s="43" t="inlineStr">
        <is>
          <t>在来</t>
        </is>
      </c>
      <c r="G431" s="43" t="inlineStr">
        <is>
          <t>25122-4</t>
        </is>
      </c>
      <c r="H431" s="43" t="inlineStr">
        <is>
          <t>251-4</t>
        </is>
      </c>
      <c r="I431" s="43" t="inlineStr">
        <is>
          <t>22</t>
        </is>
      </c>
      <c r="J431" s="222" t="n">
        <v>2550</v>
      </c>
      <c r="K431" s="222" t="n">
        <v>2230</v>
      </c>
      <c r="L431" s="43" t="inlineStr">
        <is>
          <t>在来｜電動</t>
        </is>
      </c>
      <c r="M431" s="178" t="b">
        <v>1</v>
      </c>
      <c r="N431" s="43" t="inlineStr">
        <is>
          <t>カタログ規格確認済み</t>
        </is>
      </c>
      <c r="O431" s="222" t="n">
        <v>46</v>
      </c>
      <c r="P431" s="222" t="n">
        <v>44</v>
      </c>
      <c r="Q431" s="43" t="inlineStr">
        <is>
          <t>202604_LIXIL_サーモスＬ_業務用資料集_完成品価格表.pdf</t>
        </is>
      </c>
      <c r="R431" s="43" t="n"/>
      <c r="S431" s="42" t="inlineStr">
        <is>
          <t>★</t>
        </is>
      </c>
      <c r="T431" s="42" t="n">
        <v>45</v>
      </c>
      <c r="U431" s="42" t="inlineStr">
        <is>
          <t>P45|★</t>
        </is>
      </c>
      <c r="V431" s="42" t="inlineStr">
        <is>
          <t>同一価格表・次頁凡例を継承</t>
        </is>
      </c>
    </row>
    <row r="432">
      <c r="A432" s="43" t="inlineStr">
        <is>
          <t>SZ-SL-000429</t>
        </is>
      </c>
      <c r="B432" s="43" t="inlineStr">
        <is>
          <t>SER-LIX-SAMOSL</t>
        </is>
      </c>
      <c r="C432" s="43" t="inlineStr">
        <is>
          <t>WT-SL-SHUTTER-HIKI</t>
        </is>
      </c>
      <c r="D432" s="43" t="inlineStr">
        <is>
          <t>シャッター付引違い窓</t>
        </is>
      </c>
      <c r="E432" s="43" t="inlineStr">
        <is>
          <t>SP-SL-SHUT-E-STD</t>
        </is>
      </c>
      <c r="F432" s="43" t="inlineStr">
        <is>
          <t>在来</t>
        </is>
      </c>
      <c r="G432" s="43" t="inlineStr">
        <is>
          <t>25124-2</t>
        </is>
      </c>
      <c r="H432" s="43" t="inlineStr">
        <is>
          <t>251-2</t>
        </is>
      </c>
      <c r="I432" s="43" t="inlineStr">
        <is>
          <t>24</t>
        </is>
      </c>
      <c r="J432" s="222" t="n">
        <v>2550</v>
      </c>
      <c r="K432" s="222" t="n">
        <v>2430</v>
      </c>
      <c r="L432" s="43" t="inlineStr">
        <is>
          <t>在来｜電動</t>
        </is>
      </c>
      <c r="M432" s="178" t="b">
        <v>1</v>
      </c>
      <c r="N432" s="43" t="inlineStr">
        <is>
          <t>カタログ規格確認済み</t>
        </is>
      </c>
      <c r="O432" s="222" t="n">
        <v>46</v>
      </c>
      <c r="P432" s="222" t="n">
        <v>44</v>
      </c>
      <c r="Q432" s="43" t="inlineStr">
        <is>
          <t>202604_LIXIL_サーモスＬ_業務用資料集_完成品価格表.pdf</t>
        </is>
      </c>
      <c r="R432" s="43" t="n"/>
      <c r="S432" s="42" t="inlineStr">
        <is>
          <t>●</t>
        </is>
      </c>
      <c r="T432" s="42" t="n">
        <v>45</v>
      </c>
      <c r="U432" s="42" t="inlineStr">
        <is>
          <t>P45|●</t>
        </is>
      </c>
      <c r="V432" s="42" t="inlineStr">
        <is>
          <t>同一価格表・次頁凡例を継承</t>
        </is>
      </c>
    </row>
    <row r="433">
      <c r="A433" s="43" t="inlineStr">
        <is>
          <t>SZ-SL-000430</t>
        </is>
      </c>
      <c r="B433" s="43" t="inlineStr">
        <is>
          <t>SER-LIX-SAMOSL</t>
        </is>
      </c>
      <c r="C433" s="43" t="inlineStr">
        <is>
          <t>WT-SL-SHUTTER-HIKI</t>
        </is>
      </c>
      <c r="D433" s="43" t="inlineStr">
        <is>
          <t>シャッター付引違い窓</t>
        </is>
      </c>
      <c r="E433" s="43" t="inlineStr">
        <is>
          <t>SP-SL-SHUT-E-STD</t>
        </is>
      </c>
      <c r="F433" s="43" t="inlineStr">
        <is>
          <t>在来</t>
        </is>
      </c>
      <c r="G433" s="43" t="inlineStr">
        <is>
          <t>25124-4</t>
        </is>
      </c>
      <c r="H433" s="43" t="inlineStr">
        <is>
          <t>251-4</t>
        </is>
      </c>
      <c r="I433" s="43" t="inlineStr">
        <is>
          <t>24</t>
        </is>
      </c>
      <c r="J433" s="222" t="n">
        <v>2550</v>
      </c>
      <c r="K433" s="222" t="n">
        <v>2430</v>
      </c>
      <c r="L433" s="43" t="inlineStr">
        <is>
          <t>在来｜電動</t>
        </is>
      </c>
      <c r="M433" s="178" t="b">
        <v>1</v>
      </c>
      <c r="N433" s="43" t="inlineStr">
        <is>
          <t>カタログ規格確認済み</t>
        </is>
      </c>
      <c r="O433" s="222" t="n">
        <v>46</v>
      </c>
      <c r="P433" s="222" t="n">
        <v>44</v>
      </c>
      <c r="Q433" s="43" t="inlineStr">
        <is>
          <t>202604_LIXIL_サーモスＬ_業務用資料集_完成品価格表.pdf</t>
        </is>
      </c>
      <c r="R433" s="43" t="n"/>
      <c r="S433" s="42" t="inlineStr">
        <is>
          <t>★</t>
        </is>
      </c>
      <c r="T433" s="42" t="n">
        <v>45</v>
      </c>
      <c r="U433" s="42" t="inlineStr">
        <is>
          <t>P45|★</t>
        </is>
      </c>
      <c r="V433" s="42" t="inlineStr">
        <is>
          <t>同一価格表・次頁凡例を継承</t>
        </is>
      </c>
    </row>
    <row r="434">
      <c r="A434" s="43" t="inlineStr">
        <is>
          <t>SZ-SL-000431</t>
        </is>
      </c>
      <c r="B434" s="43" t="inlineStr">
        <is>
          <t>SER-LIX-SAMOSL</t>
        </is>
      </c>
      <c r="C434" s="43" t="inlineStr">
        <is>
          <t>WT-SL-SHUTTER-HIKI</t>
        </is>
      </c>
      <c r="D434" s="43" t="inlineStr">
        <is>
          <t>シャッター付引違い窓</t>
        </is>
      </c>
      <c r="E434" s="43" t="inlineStr">
        <is>
          <t>SP-SL-SHUT-E-VENT</t>
        </is>
      </c>
      <c r="F434" s="43" t="inlineStr">
        <is>
          <t>在来</t>
        </is>
      </c>
      <c r="G434" s="43" t="inlineStr">
        <is>
          <t>18622</t>
        </is>
      </c>
      <c r="H434" s="43" t="inlineStr">
        <is>
          <t>186</t>
        </is>
      </c>
      <c r="I434" s="43" t="inlineStr">
        <is>
          <t>22</t>
        </is>
      </c>
      <c r="J434" s="222" t="n">
        <v>1900</v>
      </c>
      <c r="K434" s="222" t="n">
        <v>2230</v>
      </c>
      <c r="L434" s="43" t="inlineStr">
        <is>
          <t>在来｜電動</t>
        </is>
      </c>
      <c r="M434" s="178" t="b">
        <v>1</v>
      </c>
      <c r="N434" s="43" t="inlineStr">
        <is>
          <t>カタログ個別可否確認済み</t>
        </is>
      </c>
      <c r="O434" s="222" t="n">
        <v>46</v>
      </c>
      <c r="P434" s="222" t="n">
        <v>44</v>
      </c>
      <c r="Q434" s="43" t="inlineStr">
        <is>
          <t>202604_LIXIL_サーモスＬ_業務用資料集_完成品価格表.pdf</t>
        </is>
      </c>
      <c r="R434" s="43" t="inlineStr">
        <is>
          <t>規格呼称は親品種で確認済み。固有仕様ごとの価格設定有無（＿＿表示等）は次QAで最終確定。</t>
        </is>
      </c>
      <c r="S434" s="42" t="inlineStr">
        <is>
          <t>★</t>
        </is>
      </c>
      <c r="T434" s="42" t="n">
        <v>45</v>
      </c>
      <c r="U434" s="42" t="inlineStr">
        <is>
          <t>P45|★</t>
        </is>
      </c>
      <c r="V434" s="42" t="inlineStr">
        <is>
          <t>同一価格表・次頁凡例を継承</t>
        </is>
      </c>
    </row>
    <row r="435">
      <c r="A435" s="43" t="inlineStr">
        <is>
          <t>SZ-SL-000432</t>
        </is>
      </c>
      <c r="B435" s="43" t="inlineStr">
        <is>
          <t>SER-LIX-SAMOSL</t>
        </is>
      </c>
      <c r="C435" s="43" t="inlineStr">
        <is>
          <t>WT-SL-SHUTTER-HIKI</t>
        </is>
      </c>
      <c r="D435" s="43" t="inlineStr">
        <is>
          <t>シャッター付引違い窓</t>
        </is>
      </c>
      <c r="E435" s="43" t="inlineStr">
        <is>
          <t>SP-SL-SHUT-E-VENT</t>
        </is>
      </c>
      <c r="F435" s="43" t="inlineStr">
        <is>
          <t>在来</t>
        </is>
      </c>
      <c r="G435" s="43" t="inlineStr">
        <is>
          <t>18624</t>
        </is>
      </c>
      <c r="H435" s="43" t="inlineStr">
        <is>
          <t>186</t>
        </is>
      </c>
      <c r="I435" s="43" t="inlineStr">
        <is>
          <t>24</t>
        </is>
      </c>
      <c r="J435" s="222" t="n">
        <v>1900</v>
      </c>
      <c r="K435" s="222" t="n">
        <v>2430</v>
      </c>
      <c r="L435" s="43" t="inlineStr">
        <is>
          <t>在来｜電動</t>
        </is>
      </c>
      <c r="M435" s="178" t="b">
        <v>0</v>
      </c>
      <c r="N435" s="43" t="inlineStr">
        <is>
          <t>設定なし（価格表確認済み）</t>
        </is>
      </c>
      <c r="O435" s="222" t="n">
        <v>46</v>
      </c>
      <c r="P435" s="222" t="n">
        <v>44</v>
      </c>
      <c r="Q435" s="43" t="inlineStr">
        <is>
          <t>202604_LIXIL_サーモスＬ_業務用資料集_完成品価格表.pdf</t>
        </is>
      </c>
      <c r="R435" s="43" t="inlineStr">
        <is>
          <t>規格呼称は親品種で確認済み。固有仕様ごとの価格設定有無（＿＿表示等）は次QAで最終確定。</t>
        </is>
      </c>
      <c r="S435" s="42" t="inlineStr">
        <is>
          <t>☆</t>
        </is>
      </c>
      <c r="T435" s="42" t="n">
        <v>45</v>
      </c>
      <c r="U435" s="42" t="inlineStr">
        <is>
          <t>P45|☆</t>
        </is>
      </c>
      <c r="V435" s="42" t="inlineStr">
        <is>
          <t>同一価格表・次頁凡例を継承</t>
        </is>
      </c>
    </row>
    <row r="436">
      <c r="A436" s="43" t="inlineStr">
        <is>
          <t>SZ-SL-000433</t>
        </is>
      </c>
      <c r="B436" s="43" t="inlineStr">
        <is>
          <t>SER-LIX-SAMOSL</t>
        </is>
      </c>
      <c r="C436" s="43" t="inlineStr">
        <is>
          <t>WT-SL-SHUTTER-HIKI</t>
        </is>
      </c>
      <c r="D436" s="43" t="inlineStr">
        <is>
          <t>シャッター付引違い窓</t>
        </is>
      </c>
      <c r="E436" s="43" t="inlineStr">
        <is>
          <t>SP-SL-SHUT-E-VENT</t>
        </is>
      </c>
      <c r="F436" s="43" t="inlineStr">
        <is>
          <t>在来</t>
        </is>
      </c>
      <c r="G436" s="43" t="inlineStr">
        <is>
          <t>25122-2</t>
        </is>
      </c>
      <c r="H436" s="43" t="inlineStr">
        <is>
          <t>251-2</t>
        </is>
      </c>
      <c r="I436" s="43" t="inlineStr">
        <is>
          <t>22</t>
        </is>
      </c>
      <c r="J436" s="222" t="n">
        <v>2550</v>
      </c>
      <c r="K436" s="222" t="n">
        <v>2230</v>
      </c>
      <c r="L436" s="43" t="inlineStr">
        <is>
          <t>在来｜電動</t>
        </is>
      </c>
      <c r="M436" s="178" t="b">
        <v>1</v>
      </c>
      <c r="N436" s="43" t="inlineStr">
        <is>
          <t>カタログ個別可否確認済み</t>
        </is>
      </c>
      <c r="O436" s="222" t="n">
        <v>46</v>
      </c>
      <c r="P436" s="222" t="n">
        <v>44</v>
      </c>
      <c r="Q436" s="43" t="inlineStr">
        <is>
          <t>202604_LIXIL_サーモスＬ_業務用資料集_完成品価格表.pdf</t>
        </is>
      </c>
      <c r="R436" s="43" t="inlineStr">
        <is>
          <t>規格呼称は親品種で確認済み。固有仕様ごとの価格設定有無（＿＿表示等）は次QAで最終確定。</t>
        </is>
      </c>
      <c r="S436" s="42" t="inlineStr">
        <is>
          <t>◆</t>
        </is>
      </c>
      <c r="T436" s="42" t="n">
        <v>45</v>
      </c>
      <c r="U436" s="42" t="inlineStr">
        <is>
          <t>P45|◆</t>
        </is>
      </c>
      <c r="V436" s="42" t="inlineStr">
        <is>
          <t>同一価格表・次頁凡例を継承</t>
        </is>
      </c>
    </row>
    <row r="437">
      <c r="A437" s="43" t="inlineStr">
        <is>
          <t>SZ-SL-000434</t>
        </is>
      </c>
      <c r="B437" s="43" t="inlineStr">
        <is>
          <t>SER-LIX-SAMOSL</t>
        </is>
      </c>
      <c r="C437" s="43" t="inlineStr">
        <is>
          <t>WT-SL-SHUTTER-HIKI</t>
        </is>
      </c>
      <c r="D437" s="43" t="inlineStr">
        <is>
          <t>シャッター付引違い窓</t>
        </is>
      </c>
      <c r="E437" s="43" t="inlineStr">
        <is>
          <t>SP-SL-SHUT-E-VENT</t>
        </is>
      </c>
      <c r="F437" s="43" t="inlineStr">
        <is>
          <t>在来</t>
        </is>
      </c>
      <c r="G437" s="43" t="inlineStr">
        <is>
          <t>25122-4</t>
        </is>
      </c>
      <c r="H437" s="43" t="inlineStr">
        <is>
          <t>251-4</t>
        </is>
      </c>
      <c r="I437" s="43" t="inlineStr">
        <is>
          <t>22</t>
        </is>
      </c>
      <c r="J437" s="222" t="n">
        <v>2550</v>
      </c>
      <c r="K437" s="222" t="n">
        <v>2230</v>
      </c>
      <c r="L437" s="43" t="inlineStr">
        <is>
          <t>在来｜電動</t>
        </is>
      </c>
      <c r="M437" s="178" t="b">
        <v>1</v>
      </c>
      <c r="N437" s="43" t="inlineStr">
        <is>
          <t>カタログ個別可否確認済み</t>
        </is>
      </c>
      <c r="O437" s="222" t="n">
        <v>46</v>
      </c>
      <c r="P437" s="222" t="n">
        <v>44</v>
      </c>
      <c r="Q437" s="43" t="inlineStr">
        <is>
          <t>202604_LIXIL_サーモスＬ_業務用資料集_完成品価格表.pdf</t>
        </is>
      </c>
      <c r="R437" s="43" t="inlineStr">
        <is>
          <t>規格呼称は親品種で確認済み。固有仕様ごとの価格設定有無（＿＿表示等）は次QAで最終確定。</t>
        </is>
      </c>
      <c r="S437" s="42" t="inlineStr">
        <is>
          <t>★</t>
        </is>
      </c>
      <c r="T437" s="42" t="n">
        <v>45</v>
      </c>
      <c r="U437" s="42" t="inlineStr">
        <is>
          <t>P45|★</t>
        </is>
      </c>
      <c r="V437" s="42" t="inlineStr">
        <is>
          <t>同一価格表・次頁凡例を継承</t>
        </is>
      </c>
    </row>
    <row r="438">
      <c r="A438" s="43" t="inlineStr">
        <is>
          <t>SZ-SL-000435</t>
        </is>
      </c>
      <c r="B438" s="43" t="inlineStr">
        <is>
          <t>SER-LIX-SAMOSL</t>
        </is>
      </c>
      <c r="C438" s="43" t="inlineStr">
        <is>
          <t>WT-SL-SHUTTER-HIKI</t>
        </is>
      </c>
      <c r="D438" s="43" t="inlineStr">
        <is>
          <t>シャッター付引違い窓</t>
        </is>
      </c>
      <c r="E438" s="43" t="inlineStr">
        <is>
          <t>SP-SL-SHUT-E-VENT</t>
        </is>
      </c>
      <c r="F438" s="43" t="inlineStr">
        <is>
          <t>在来</t>
        </is>
      </c>
      <c r="G438" s="43" t="inlineStr">
        <is>
          <t>25124-2</t>
        </is>
      </c>
      <c r="H438" s="43" t="inlineStr">
        <is>
          <t>251-2</t>
        </is>
      </c>
      <c r="I438" s="43" t="inlineStr">
        <is>
          <t>24</t>
        </is>
      </c>
      <c r="J438" s="222" t="n">
        <v>2550</v>
      </c>
      <c r="K438" s="222" t="n">
        <v>2430</v>
      </c>
      <c r="L438" s="43" t="inlineStr">
        <is>
          <t>在来｜電動</t>
        </is>
      </c>
      <c r="M438" s="178" t="b">
        <v>0</v>
      </c>
      <c r="N438" s="43" t="inlineStr">
        <is>
          <t>設定なし（価格表確認済み）</t>
        </is>
      </c>
      <c r="O438" s="222" t="n">
        <v>46</v>
      </c>
      <c r="P438" s="222" t="n">
        <v>44</v>
      </c>
      <c r="Q438" s="43" t="inlineStr">
        <is>
          <t>202604_LIXIL_サーモスＬ_業務用資料集_完成品価格表.pdf</t>
        </is>
      </c>
      <c r="R438" s="43" t="inlineStr">
        <is>
          <t>規格呼称は親品種で確認済み。固有仕様ごとの価格設定有無（＿＿表示等）は次QAで最終確定。</t>
        </is>
      </c>
      <c r="S438" s="42" t="inlineStr">
        <is>
          <t>●</t>
        </is>
      </c>
      <c r="T438" s="42" t="n">
        <v>45</v>
      </c>
      <c r="U438" s="42" t="inlineStr">
        <is>
          <t>P45|●</t>
        </is>
      </c>
      <c r="V438" s="42" t="inlineStr">
        <is>
          <t>同一価格表・次頁凡例を継承</t>
        </is>
      </c>
    </row>
    <row r="439">
      <c r="A439" s="43" t="inlineStr">
        <is>
          <t>SZ-SL-000436</t>
        </is>
      </c>
      <c r="B439" s="43" t="inlineStr">
        <is>
          <t>SER-LIX-SAMOSL</t>
        </is>
      </c>
      <c r="C439" s="43" t="inlineStr">
        <is>
          <t>WT-SL-SHUTTER-HIKI</t>
        </is>
      </c>
      <c r="D439" s="43" t="inlineStr">
        <is>
          <t>シャッター付引違い窓</t>
        </is>
      </c>
      <c r="E439" s="43" t="inlineStr">
        <is>
          <t>SP-SL-SHUT-E-VENT</t>
        </is>
      </c>
      <c r="F439" s="43" t="inlineStr">
        <is>
          <t>在来</t>
        </is>
      </c>
      <c r="G439" s="43" t="inlineStr">
        <is>
          <t>25124-4</t>
        </is>
      </c>
      <c r="H439" s="43" t="inlineStr">
        <is>
          <t>251-4</t>
        </is>
      </c>
      <c r="I439" s="43" t="inlineStr">
        <is>
          <t>24</t>
        </is>
      </c>
      <c r="J439" s="222" t="n">
        <v>2550</v>
      </c>
      <c r="K439" s="222" t="n">
        <v>2430</v>
      </c>
      <c r="L439" s="43" t="inlineStr">
        <is>
          <t>在来｜電動</t>
        </is>
      </c>
      <c r="M439" s="178" t="b">
        <v>0</v>
      </c>
      <c r="N439" s="43" t="inlineStr">
        <is>
          <t>設定なし（価格表確認済み）</t>
        </is>
      </c>
      <c r="O439" s="222" t="n">
        <v>46</v>
      </c>
      <c r="P439" s="222" t="n">
        <v>44</v>
      </c>
      <c r="Q439" s="43" t="inlineStr">
        <is>
          <t>202604_LIXIL_サーモスＬ_業務用資料集_完成品価格表.pdf</t>
        </is>
      </c>
      <c r="R439" s="43" t="inlineStr">
        <is>
          <t>規格呼称は親品種で確認済み。固有仕様ごとの価格設定有無（＿＿表示等）は次QAで最終確定。</t>
        </is>
      </c>
      <c r="S439" s="42" t="inlineStr">
        <is>
          <t>★</t>
        </is>
      </c>
      <c r="T439" s="42" t="n">
        <v>45</v>
      </c>
      <c r="U439" s="42" t="inlineStr">
        <is>
          <t>P45|★</t>
        </is>
      </c>
      <c r="V439" s="42" t="inlineStr">
        <is>
          <t>同一価格表・次頁凡例を継承</t>
        </is>
      </c>
    </row>
    <row r="440">
      <c r="A440" s="43" t="inlineStr">
        <is>
          <t>SZ-SL-000437</t>
        </is>
      </c>
      <c r="B440" s="43" t="inlineStr">
        <is>
          <t>SER-LIX-SAMOSL</t>
        </is>
      </c>
      <c r="C440" s="43" t="inlineStr">
        <is>
          <t>WT-SL-SHUTTER-HIKI</t>
        </is>
      </c>
      <c r="D440" s="43" t="inlineStr">
        <is>
          <t>シャッター付引違い窓</t>
        </is>
      </c>
      <c r="E440" s="43" t="inlineStr">
        <is>
          <t>SP-SL-SHUT-E-WIND</t>
        </is>
      </c>
      <c r="F440" s="43" t="inlineStr">
        <is>
          <t>在来</t>
        </is>
      </c>
      <c r="G440" s="43" t="inlineStr">
        <is>
          <t>18622</t>
        </is>
      </c>
      <c r="H440" s="43" t="inlineStr">
        <is>
          <t>186</t>
        </is>
      </c>
      <c r="I440" s="43" t="inlineStr">
        <is>
          <t>22</t>
        </is>
      </c>
      <c r="J440" s="222" t="n">
        <v>1900</v>
      </c>
      <c r="K440" s="222" t="n">
        <v>2230</v>
      </c>
      <c r="L440" s="43" t="inlineStr">
        <is>
          <t>在来｜電動</t>
        </is>
      </c>
      <c r="M440" s="178" t="b">
        <v>0</v>
      </c>
      <c r="N440" s="43" t="inlineStr">
        <is>
          <t>設定なし（価格表確認済み）</t>
        </is>
      </c>
      <c r="O440" s="222" t="n">
        <v>46</v>
      </c>
      <c r="P440" s="222" t="n">
        <v>44</v>
      </c>
      <c r="Q440" s="43" t="inlineStr">
        <is>
          <t>202604_LIXIL_サーモスＬ_業務用資料集_完成品価格表.pdf</t>
        </is>
      </c>
      <c r="R440" s="43" t="inlineStr">
        <is>
          <t>規格呼称は親品種で確認済み。固有仕様ごとの価格設定有無（＿＿表示等）は次QAで最終確定。</t>
        </is>
      </c>
      <c r="S440" s="42" t="inlineStr">
        <is>
          <t>★</t>
        </is>
      </c>
      <c r="T440" s="42" t="n">
        <v>45</v>
      </c>
      <c r="U440" s="42" t="inlineStr">
        <is>
          <t>P45|★</t>
        </is>
      </c>
      <c r="V440" s="42" t="inlineStr">
        <is>
          <t>同一価格表・次頁凡例を継承</t>
        </is>
      </c>
    </row>
    <row r="441">
      <c r="A441" s="43" t="inlineStr">
        <is>
          <t>SZ-SL-000438</t>
        </is>
      </c>
      <c r="B441" s="43" t="inlineStr">
        <is>
          <t>SER-LIX-SAMOSL</t>
        </is>
      </c>
      <c r="C441" s="43" t="inlineStr">
        <is>
          <t>WT-SL-SHUTTER-HIKI</t>
        </is>
      </c>
      <c r="D441" s="43" t="inlineStr">
        <is>
          <t>シャッター付引違い窓</t>
        </is>
      </c>
      <c r="E441" s="43" t="inlineStr">
        <is>
          <t>SP-SL-SHUT-E-WIND</t>
        </is>
      </c>
      <c r="F441" s="43" t="inlineStr">
        <is>
          <t>在来</t>
        </is>
      </c>
      <c r="G441" s="43" t="inlineStr">
        <is>
          <t>18624</t>
        </is>
      </c>
      <c r="H441" s="43" t="inlineStr">
        <is>
          <t>186</t>
        </is>
      </c>
      <c r="I441" s="43" t="inlineStr">
        <is>
          <t>24</t>
        </is>
      </c>
      <c r="J441" s="222" t="n">
        <v>1900</v>
      </c>
      <c r="K441" s="222" t="n">
        <v>2430</v>
      </c>
      <c r="L441" s="43" t="inlineStr">
        <is>
          <t>在来｜電動</t>
        </is>
      </c>
      <c r="M441" s="178" t="b">
        <v>0</v>
      </c>
      <c r="N441" s="43" t="inlineStr">
        <is>
          <t>設定なし（価格表確認済み）</t>
        </is>
      </c>
      <c r="O441" s="222" t="n">
        <v>46</v>
      </c>
      <c r="P441" s="222" t="n">
        <v>44</v>
      </c>
      <c r="Q441" s="43" t="inlineStr">
        <is>
          <t>202604_LIXIL_サーモスＬ_業務用資料集_完成品価格表.pdf</t>
        </is>
      </c>
      <c r="R441" s="43" t="inlineStr">
        <is>
          <t>規格呼称は親品種で確認済み。固有仕様ごとの価格設定有無（＿＿表示等）は次QAで最終確定。</t>
        </is>
      </c>
      <c r="S441" s="42" t="inlineStr">
        <is>
          <t>☆</t>
        </is>
      </c>
      <c r="T441" s="42" t="n">
        <v>45</v>
      </c>
      <c r="U441" s="42" t="inlineStr">
        <is>
          <t>P45|☆</t>
        </is>
      </c>
      <c r="V441" s="42" t="inlineStr">
        <is>
          <t>同一価格表・次頁凡例を継承</t>
        </is>
      </c>
    </row>
    <row r="442">
      <c r="A442" s="43" t="inlineStr">
        <is>
          <t>SZ-SL-000439</t>
        </is>
      </c>
      <c r="B442" s="43" t="inlineStr">
        <is>
          <t>SER-LIX-SAMOSL</t>
        </is>
      </c>
      <c r="C442" s="43" t="inlineStr">
        <is>
          <t>WT-SL-SHUTTER-HIKI</t>
        </is>
      </c>
      <c r="D442" s="43" t="inlineStr">
        <is>
          <t>シャッター付引違い窓</t>
        </is>
      </c>
      <c r="E442" s="43" t="inlineStr">
        <is>
          <t>SP-SL-SHUT-E-WIND</t>
        </is>
      </c>
      <c r="F442" s="43" t="inlineStr">
        <is>
          <t>在来</t>
        </is>
      </c>
      <c r="G442" s="43" t="inlineStr">
        <is>
          <t>25122-2</t>
        </is>
      </c>
      <c r="H442" s="43" t="inlineStr">
        <is>
          <t>251-2</t>
        </is>
      </c>
      <c r="I442" s="43" t="inlineStr">
        <is>
          <t>22</t>
        </is>
      </c>
      <c r="J442" s="222" t="n">
        <v>2550</v>
      </c>
      <c r="K442" s="222" t="n">
        <v>2230</v>
      </c>
      <c r="L442" s="43" t="inlineStr">
        <is>
          <t>在来｜電動</t>
        </is>
      </c>
      <c r="M442" s="178" t="b">
        <v>1</v>
      </c>
      <c r="N442" s="43" t="inlineStr">
        <is>
          <t>カタログ個別可否確認済み</t>
        </is>
      </c>
      <c r="O442" s="222" t="n">
        <v>46</v>
      </c>
      <c r="P442" s="222" t="n">
        <v>44</v>
      </c>
      <c r="Q442" s="43" t="inlineStr">
        <is>
          <t>202604_LIXIL_サーモスＬ_業務用資料集_完成品価格表.pdf</t>
        </is>
      </c>
      <c r="R442" s="43" t="inlineStr">
        <is>
          <t>規格呼称は親品種で確認済み。固有仕様ごとの価格設定有無（＿＿表示等）は次QAで最終確定。</t>
        </is>
      </c>
      <c r="S442" s="42" t="inlineStr">
        <is>
          <t>◆</t>
        </is>
      </c>
      <c r="T442" s="42" t="n">
        <v>45</v>
      </c>
      <c r="U442" s="42" t="inlineStr">
        <is>
          <t>P45|◆</t>
        </is>
      </c>
      <c r="V442" s="42" t="inlineStr">
        <is>
          <t>同一価格表・次頁凡例を継承</t>
        </is>
      </c>
    </row>
    <row r="443">
      <c r="A443" s="43" t="inlineStr">
        <is>
          <t>SZ-SL-000440</t>
        </is>
      </c>
      <c r="B443" s="43" t="inlineStr">
        <is>
          <t>SER-LIX-SAMOSL</t>
        </is>
      </c>
      <c r="C443" s="43" t="inlineStr">
        <is>
          <t>WT-SL-SHUTTER-HIKI</t>
        </is>
      </c>
      <c r="D443" s="43" t="inlineStr">
        <is>
          <t>シャッター付引違い窓</t>
        </is>
      </c>
      <c r="E443" s="43" t="inlineStr">
        <is>
          <t>SP-SL-SHUT-E-WIND</t>
        </is>
      </c>
      <c r="F443" s="43" t="inlineStr">
        <is>
          <t>在来</t>
        </is>
      </c>
      <c r="G443" s="43" t="inlineStr">
        <is>
          <t>25122-4</t>
        </is>
      </c>
      <c r="H443" s="43" t="inlineStr">
        <is>
          <t>251-4</t>
        </is>
      </c>
      <c r="I443" s="43" t="inlineStr">
        <is>
          <t>22</t>
        </is>
      </c>
      <c r="J443" s="222" t="n">
        <v>2550</v>
      </c>
      <c r="K443" s="222" t="n">
        <v>2230</v>
      </c>
      <c r="L443" s="43" t="inlineStr">
        <is>
          <t>在来｜電動</t>
        </is>
      </c>
      <c r="M443" s="178" t="b">
        <v>1</v>
      </c>
      <c r="N443" s="43" t="inlineStr">
        <is>
          <t>カタログ個別可否確認済み</t>
        </is>
      </c>
      <c r="O443" s="222" t="n">
        <v>46</v>
      </c>
      <c r="P443" s="222" t="n">
        <v>44</v>
      </c>
      <c r="Q443" s="43" t="inlineStr">
        <is>
          <t>202604_LIXIL_サーモスＬ_業務用資料集_完成品価格表.pdf</t>
        </is>
      </c>
      <c r="R443" s="43" t="inlineStr">
        <is>
          <t>規格呼称は親品種で確認済み。固有仕様ごとの価格設定有無（＿＿表示等）は次QAで最終確定。</t>
        </is>
      </c>
      <c r="S443" s="42" t="inlineStr">
        <is>
          <t>★</t>
        </is>
      </c>
      <c r="T443" s="42" t="n">
        <v>45</v>
      </c>
      <c r="U443" s="42" t="inlineStr">
        <is>
          <t>P45|★</t>
        </is>
      </c>
      <c r="V443" s="42" t="inlineStr">
        <is>
          <t>同一価格表・次頁凡例を継承</t>
        </is>
      </c>
    </row>
    <row r="444">
      <c r="A444" s="43" t="inlineStr">
        <is>
          <t>SZ-SL-000441</t>
        </is>
      </c>
      <c r="B444" s="43" t="inlineStr">
        <is>
          <t>SER-LIX-SAMOSL</t>
        </is>
      </c>
      <c r="C444" s="43" t="inlineStr">
        <is>
          <t>WT-SL-SHUTTER-HIKI</t>
        </is>
      </c>
      <c r="D444" s="43" t="inlineStr">
        <is>
          <t>シャッター付引違い窓</t>
        </is>
      </c>
      <c r="E444" s="43" t="inlineStr">
        <is>
          <t>SP-SL-SHUT-E-WIND</t>
        </is>
      </c>
      <c r="F444" s="43" t="inlineStr">
        <is>
          <t>在来</t>
        </is>
      </c>
      <c r="G444" s="43" t="inlineStr">
        <is>
          <t>25124-2</t>
        </is>
      </c>
      <c r="H444" s="43" t="inlineStr">
        <is>
          <t>251-2</t>
        </is>
      </c>
      <c r="I444" s="43" t="inlineStr">
        <is>
          <t>24</t>
        </is>
      </c>
      <c r="J444" s="222" t="n">
        <v>2550</v>
      </c>
      <c r="K444" s="222" t="n">
        <v>2430</v>
      </c>
      <c r="L444" s="43" t="inlineStr">
        <is>
          <t>在来｜電動</t>
        </is>
      </c>
      <c r="M444" s="178" t="b">
        <v>0</v>
      </c>
      <c r="N444" s="43" t="inlineStr">
        <is>
          <t>設定なし（価格表確認済み）</t>
        </is>
      </c>
      <c r="O444" s="222" t="n">
        <v>46</v>
      </c>
      <c r="P444" s="222" t="n">
        <v>44</v>
      </c>
      <c r="Q444" s="43" t="inlineStr">
        <is>
          <t>202604_LIXIL_サーモスＬ_業務用資料集_完成品価格表.pdf</t>
        </is>
      </c>
      <c r="R444" s="43" t="inlineStr">
        <is>
          <t>規格呼称は親品種で確認済み。固有仕様ごとの価格設定有無（＿＿表示等）は次QAで最終確定。</t>
        </is>
      </c>
      <c r="S444" s="42" t="inlineStr">
        <is>
          <t>●</t>
        </is>
      </c>
      <c r="T444" s="42" t="n">
        <v>45</v>
      </c>
      <c r="U444" s="42" t="inlineStr">
        <is>
          <t>P45|●</t>
        </is>
      </c>
      <c r="V444" s="42" t="inlineStr">
        <is>
          <t>同一価格表・次頁凡例を継承</t>
        </is>
      </c>
    </row>
    <row r="445">
      <c r="A445" s="43" t="inlineStr">
        <is>
          <t>SZ-SL-000442</t>
        </is>
      </c>
      <c r="B445" s="43" t="inlineStr">
        <is>
          <t>SER-LIX-SAMOSL</t>
        </is>
      </c>
      <c r="C445" s="43" t="inlineStr">
        <is>
          <t>WT-SL-SHUTTER-HIKI</t>
        </is>
      </c>
      <c r="D445" s="43" t="inlineStr">
        <is>
          <t>シャッター付引違い窓</t>
        </is>
      </c>
      <c r="E445" s="43" t="inlineStr">
        <is>
          <t>SP-SL-SHUT-E-WIND</t>
        </is>
      </c>
      <c r="F445" s="43" t="inlineStr">
        <is>
          <t>在来</t>
        </is>
      </c>
      <c r="G445" s="43" t="inlineStr">
        <is>
          <t>25124-4</t>
        </is>
      </c>
      <c r="H445" s="43" t="inlineStr">
        <is>
          <t>251-4</t>
        </is>
      </c>
      <c r="I445" s="43" t="inlineStr">
        <is>
          <t>24</t>
        </is>
      </c>
      <c r="J445" s="222" t="n">
        <v>2550</v>
      </c>
      <c r="K445" s="222" t="n">
        <v>2430</v>
      </c>
      <c r="L445" s="43" t="inlineStr">
        <is>
          <t>在来｜電動</t>
        </is>
      </c>
      <c r="M445" s="178" t="b">
        <v>0</v>
      </c>
      <c r="N445" s="43" t="inlineStr">
        <is>
          <t>設定なし（価格表確認済み）</t>
        </is>
      </c>
      <c r="O445" s="222" t="n">
        <v>46</v>
      </c>
      <c r="P445" s="222" t="n">
        <v>44</v>
      </c>
      <c r="Q445" s="43" t="inlineStr">
        <is>
          <t>202604_LIXIL_サーモスＬ_業務用資料集_完成品価格表.pdf</t>
        </is>
      </c>
      <c r="R445" s="43" t="inlineStr">
        <is>
          <t>規格呼称は親品種で確認済み。固有仕様ごとの価格設定有無（＿＿表示等）は次QAで最終確定。</t>
        </is>
      </c>
      <c r="S445" s="42" t="inlineStr">
        <is>
          <t>★</t>
        </is>
      </c>
      <c r="T445" s="42" t="n">
        <v>45</v>
      </c>
      <c r="U445" s="42" t="inlineStr">
        <is>
          <t>P45|★</t>
        </is>
      </c>
      <c r="V445" s="42" t="inlineStr">
        <is>
          <t>同一価格表・次頁凡例を継承</t>
        </is>
      </c>
    </row>
    <row r="446">
      <c r="A446" s="43" t="inlineStr">
        <is>
          <t>SZ-SL-000443</t>
        </is>
      </c>
      <c r="B446" s="43" t="inlineStr">
        <is>
          <t>SER-LIX-SAMOSL</t>
        </is>
      </c>
      <c r="C446" s="43" t="inlineStr">
        <is>
          <t>WT-SL-SHUTTER-HIKI</t>
        </is>
      </c>
      <c r="D446" s="43" t="inlineStr">
        <is>
          <t>シャッター付引違い窓</t>
        </is>
      </c>
      <c r="E446" s="43" t="inlineStr">
        <is>
          <t>SP-SL-SHUT-E-STD</t>
        </is>
      </c>
      <c r="F446" s="43" t="inlineStr">
        <is>
          <t>在来</t>
        </is>
      </c>
      <c r="G446" s="43" t="inlineStr">
        <is>
          <t>25622-2</t>
        </is>
      </c>
      <c r="H446" s="43" t="inlineStr">
        <is>
          <t>256-2</t>
        </is>
      </c>
      <c r="I446" s="43" t="inlineStr">
        <is>
          <t>22</t>
        </is>
      </c>
      <c r="J446" s="222" t="n">
        <v>2600</v>
      </c>
      <c r="K446" s="222" t="n">
        <v>2230</v>
      </c>
      <c r="L446" s="43" t="inlineStr">
        <is>
          <t>在来｜電動</t>
        </is>
      </c>
      <c r="M446" s="178" t="b">
        <v>1</v>
      </c>
      <c r="N446" s="43" t="inlineStr">
        <is>
          <t>カタログ規格確認済み</t>
        </is>
      </c>
      <c r="O446" s="222" t="n">
        <v>47</v>
      </c>
      <c r="P446" s="222" t="n">
        <v>45</v>
      </c>
      <c r="Q446" s="43" t="inlineStr">
        <is>
          <t>202604_LIXIL_サーモスＬ_業務用資料集_完成品価格表.pdf</t>
        </is>
      </c>
      <c r="R446" s="43" t="n"/>
      <c r="S446" s="42" t="inlineStr">
        <is>
          <t>◆</t>
        </is>
      </c>
      <c r="T446" s="42" t="n">
        <v>45</v>
      </c>
      <c r="U446" s="42" t="inlineStr">
        <is>
          <t>P45|◆</t>
        </is>
      </c>
      <c r="V446" s="42" t="inlineStr">
        <is>
          <t>同頁凡例へ直接連動</t>
        </is>
      </c>
    </row>
    <row r="447">
      <c r="A447" s="43" t="inlineStr">
        <is>
          <t>SZ-SL-000444</t>
        </is>
      </c>
      <c r="B447" s="43" t="inlineStr">
        <is>
          <t>SER-LIX-SAMOSL</t>
        </is>
      </c>
      <c r="C447" s="43" t="inlineStr">
        <is>
          <t>WT-SL-SHUTTER-HIKI</t>
        </is>
      </c>
      <c r="D447" s="43" t="inlineStr">
        <is>
          <t>シャッター付引違い窓</t>
        </is>
      </c>
      <c r="E447" s="43" t="inlineStr">
        <is>
          <t>SP-SL-SHUT-E-STD</t>
        </is>
      </c>
      <c r="F447" s="43" t="inlineStr">
        <is>
          <t>在来</t>
        </is>
      </c>
      <c r="G447" s="43" t="inlineStr">
        <is>
          <t>25622-4</t>
        </is>
      </c>
      <c r="H447" s="43" t="inlineStr">
        <is>
          <t>256-4</t>
        </is>
      </c>
      <c r="I447" s="43" t="inlineStr">
        <is>
          <t>22</t>
        </is>
      </c>
      <c r="J447" s="222" t="n">
        <v>2600</v>
      </c>
      <c r="K447" s="222" t="n">
        <v>2230</v>
      </c>
      <c r="L447" s="43" t="inlineStr">
        <is>
          <t>在来｜電動</t>
        </is>
      </c>
      <c r="M447" s="178" t="b">
        <v>1</v>
      </c>
      <c r="N447" s="43" t="inlineStr">
        <is>
          <t>カタログ規格確認済み</t>
        </is>
      </c>
      <c r="O447" s="222" t="n">
        <v>47</v>
      </c>
      <c r="P447" s="222" t="n">
        <v>45</v>
      </c>
      <c r="Q447" s="43" t="inlineStr">
        <is>
          <t>202604_LIXIL_サーモスＬ_業務用資料集_完成品価格表.pdf</t>
        </is>
      </c>
      <c r="R447" s="43" t="n"/>
      <c r="S447" s="42" t="inlineStr">
        <is>
          <t>★</t>
        </is>
      </c>
      <c r="T447" s="42" t="n">
        <v>45</v>
      </c>
      <c r="U447" s="42" t="inlineStr">
        <is>
          <t>P45|★</t>
        </is>
      </c>
      <c r="V447" s="42" t="inlineStr">
        <is>
          <t>同頁凡例へ直接連動</t>
        </is>
      </c>
    </row>
    <row r="448">
      <c r="A448" s="43" t="inlineStr">
        <is>
          <t>SZ-SL-000445</t>
        </is>
      </c>
      <c r="B448" s="43" t="inlineStr">
        <is>
          <t>SER-LIX-SAMOSL</t>
        </is>
      </c>
      <c r="C448" s="43" t="inlineStr">
        <is>
          <t>WT-SL-SHUTTER-HIKI</t>
        </is>
      </c>
      <c r="D448" s="43" t="inlineStr">
        <is>
          <t>シャッター付引違い窓</t>
        </is>
      </c>
      <c r="E448" s="43" t="inlineStr">
        <is>
          <t>SP-SL-SHUT-E-STD</t>
        </is>
      </c>
      <c r="F448" s="43" t="inlineStr">
        <is>
          <t>在来</t>
        </is>
      </c>
      <c r="G448" s="43" t="inlineStr">
        <is>
          <t>25624-2</t>
        </is>
      </c>
      <c r="H448" s="43" t="inlineStr">
        <is>
          <t>256-2</t>
        </is>
      </c>
      <c r="I448" s="43" t="inlineStr">
        <is>
          <t>24</t>
        </is>
      </c>
      <c r="J448" s="222" t="n">
        <v>2600</v>
      </c>
      <c r="K448" s="222" t="n">
        <v>2430</v>
      </c>
      <c r="L448" s="43" t="inlineStr">
        <is>
          <t>在来｜電動</t>
        </is>
      </c>
      <c r="M448" s="178" t="b">
        <v>1</v>
      </c>
      <c r="N448" s="43" t="inlineStr">
        <is>
          <t>カタログ規格確認済み</t>
        </is>
      </c>
      <c r="O448" s="222" t="n">
        <v>47</v>
      </c>
      <c r="P448" s="222" t="n">
        <v>45</v>
      </c>
      <c r="Q448" s="43" t="inlineStr">
        <is>
          <t>202604_LIXIL_サーモスＬ_業務用資料集_完成品価格表.pdf</t>
        </is>
      </c>
      <c r="R448" s="43" t="n"/>
      <c r="S448" s="42" t="inlineStr">
        <is>
          <t>●</t>
        </is>
      </c>
      <c r="T448" s="42" t="n">
        <v>45</v>
      </c>
      <c r="U448" s="42" t="inlineStr">
        <is>
          <t>P45|●</t>
        </is>
      </c>
      <c r="V448" s="42" t="inlineStr">
        <is>
          <t>同頁凡例へ直接連動</t>
        </is>
      </c>
    </row>
    <row r="449">
      <c r="A449" s="43" t="inlineStr">
        <is>
          <t>SZ-SL-000446</t>
        </is>
      </c>
      <c r="B449" s="43" t="inlineStr">
        <is>
          <t>SER-LIX-SAMOSL</t>
        </is>
      </c>
      <c r="C449" s="43" t="inlineStr">
        <is>
          <t>WT-SL-SHUTTER-HIKI</t>
        </is>
      </c>
      <c r="D449" s="43" t="inlineStr">
        <is>
          <t>シャッター付引違い窓</t>
        </is>
      </c>
      <c r="E449" s="43" t="inlineStr">
        <is>
          <t>SP-SL-SHUT-E-STD</t>
        </is>
      </c>
      <c r="F449" s="43" t="inlineStr">
        <is>
          <t>在来</t>
        </is>
      </c>
      <c r="G449" s="43" t="inlineStr">
        <is>
          <t>25624-4</t>
        </is>
      </c>
      <c r="H449" s="43" t="inlineStr">
        <is>
          <t>256-4</t>
        </is>
      </c>
      <c r="I449" s="43" t="inlineStr">
        <is>
          <t>24</t>
        </is>
      </c>
      <c r="J449" s="222" t="n">
        <v>2600</v>
      </c>
      <c r="K449" s="222" t="n">
        <v>2430</v>
      </c>
      <c r="L449" s="43" t="inlineStr">
        <is>
          <t>在来｜電動</t>
        </is>
      </c>
      <c r="M449" s="178" t="b">
        <v>1</v>
      </c>
      <c r="N449" s="43" t="inlineStr">
        <is>
          <t>カタログ規格確認済み</t>
        </is>
      </c>
      <c r="O449" s="222" t="n">
        <v>47</v>
      </c>
      <c r="P449" s="222" t="n">
        <v>45</v>
      </c>
      <c r="Q449" s="43" t="inlineStr">
        <is>
          <t>202604_LIXIL_サーモスＬ_業務用資料集_完成品価格表.pdf</t>
        </is>
      </c>
      <c r="R449" s="43" t="n"/>
      <c r="S449" s="42" t="inlineStr">
        <is>
          <t>★</t>
        </is>
      </c>
      <c r="T449" s="42" t="n">
        <v>45</v>
      </c>
      <c r="U449" s="42" t="inlineStr">
        <is>
          <t>P45|★</t>
        </is>
      </c>
      <c r="V449" s="42" t="inlineStr">
        <is>
          <t>同頁凡例へ直接連動</t>
        </is>
      </c>
    </row>
    <row r="450">
      <c r="A450" s="43" t="inlineStr">
        <is>
          <t>SZ-SL-000447</t>
        </is>
      </c>
      <c r="B450" s="43" t="inlineStr">
        <is>
          <t>SER-LIX-SAMOSL</t>
        </is>
      </c>
      <c r="C450" s="43" t="inlineStr">
        <is>
          <t>WT-SL-SHUTTER-HIKI</t>
        </is>
      </c>
      <c r="D450" s="43" t="inlineStr">
        <is>
          <t>シャッター付引違い窓</t>
        </is>
      </c>
      <c r="E450" s="43" t="inlineStr">
        <is>
          <t>SP-SL-SHUT-E-STD</t>
        </is>
      </c>
      <c r="F450" s="43" t="inlineStr">
        <is>
          <t>在来</t>
        </is>
      </c>
      <c r="G450" s="43" t="inlineStr">
        <is>
          <t>34722</t>
        </is>
      </c>
      <c r="H450" s="43" t="inlineStr">
        <is>
          <t>347</t>
        </is>
      </c>
      <c r="I450" s="43" t="inlineStr">
        <is>
          <t>22</t>
        </is>
      </c>
      <c r="J450" s="222" t="n">
        <v>3510</v>
      </c>
      <c r="K450" s="222" t="n">
        <v>2230</v>
      </c>
      <c r="L450" s="43" t="inlineStr">
        <is>
          <t>在来｜電動</t>
        </is>
      </c>
      <c r="M450" s="178" t="b">
        <v>1</v>
      </c>
      <c r="N450" s="43" t="inlineStr">
        <is>
          <t>カタログ規格確認済み</t>
        </is>
      </c>
      <c r="O450" s="222" t="n">
        <v>47</v>
      </c>
      <c r="P450" s="222" t="n">
        <v>45</v>
      </c>
      <c r="Q450" s="43" t="inlineStr">
        <is>
          <t>202604_LIXIL_サーモスＬ_業務用資料集_完成品価格表.pdf</t>
        </is>
      </c>
      <c r="R450" s="43" t="n"/>
      <c r="S450" s="42" t="inlineStr">
        <is>
          <t>★</t>
        </is>
      </c>
      <c r="T450" s="42" t="n">
        <v>45</v>
      </c>
      <c r="U450" s="42" t="inlineStr">
        <is>
          <t>P45|★</t>
        </is>
      </c>
      <c r="V450" s="42" t="inlineStr">
        <is>
          <t>同頁凡例へ直接連動</t>
        </is>
      </c>
    </row>
    <row r="451">
      <c r="A451" s="43" t="inlineStr">
        <is>
          <t>SZ-SL-000448</t>
        </is>
      </c>
      <c r="B451" s="43" t="inlineStr">
        <is>
          <t>SER-LIX-SAMOSL</t>
        </is>
      </c>
      <c r="C451" s="43" t="inlineStr">
        <is>
          <t>WT-SL-SHUTTER-HIKI</t>
        </is>
      </c>
      <c r="D451" s="43" t="inlineStr">
        <is>
          <t>シャッター付引違い窓</t>
        </is>
      </c>
      <c r="E451" s="43" t="inlineStr">
        <is>
          <t>SP-SL-SHUT-E-STD</t>
        </is>
      </c>
      <c r="F451" s="43" t="inlineStr">
        <is>
          <t>在来</t>
        </is>
      </c>
      <c r="G451" s="43" t="inlineStr">
        <is>
          <t>34724</t>
        </is>
      </c>
      <c r="H451" s="43" t="inlineStr">
        <is>
          <t>347</t>
        </is>
      </c>
      <c r="I451" s="43" t="inlineStr">
        <is>
          <t>24</t>
        </is>
      </c>
      <c r="J451" s="222" t="n">
        <v>3510</v>
      </c>
      <c r="K451" s="222" t="n">
        <v>2430</v>
      </c>
      <c r="L451" s="43" t="inlineStr">
        <is>
          <t>在来｜電動</t>
        </is>
      </c>
      <c r="M451" s="178" t="b">
        <v>1</v>
      </c>
      <c r="N451" s="43" t="inlineStr">
        <is>
          <t>カタログ規格確認済み</t>
        </is>
      </c>
      <c r="O451" s="222" t="n">
        <v>47</v>
      </c>
      <c r="P451" s="222" t="n">
        <v>45</v>
      </c>
      <c r="Q451" s="43" t="inlineStr">
        <is>
          <t>202604_LIXIL_サーモスＬ_業務用資料集_完成品価格表.pdf</t>
        </is>
      </c>
      <c r="R451" s="43" t="n"/>
      <c r="S451" s="42" t="inlineStr">
        <is>
          <t>◇</t>
        </is>
      </c>
      <c r="T451" s="42" t="n">
        <v>45</v>
      </c>
      <c r="U451" s="42" t="inlineStr">
        <is>
          <t>P45|◇</t>
        </is>
      </c>
      <c r="V451" s="42" t="inlineStr">
        <is>
          <t>同頁凡例へ直接連動</t>
        </is>
      </c>
    </row>
    <row r="452">
      <c r="A452" s="43" t="inlineStr">
        <is>
          <t>SZ-SL-000449</t>
        </is>
      </c>
      <c r="B452" s="43" t="inlineStr">
        <is>
          <t>SER-LIX-SAMOSL</t>
        </is>
      </c>
      <c r="C452" s="43" t="inlineStr">
        <is>
          <t>WT-SL-SHUTTER-HIKI</t>
        </is>
      </c>
      <c r="D452" s="43" t="inlineStr">
        <is>
          <t>シャッター付引違い窓</t>
        </is>
      </c>
      <c r="E452" s="43" t="inlineStr">
        <is>
          <t>SP-SL-SHUT-E-VENT</t>
        </is>
      </c>
      <c r="F452" s="43" t="inlineStr">
        <is>
          <t>在来</t>
        </is>
      </c>
      <c r="G452" s="43" t="inlineStr">
        <is>
          <t>25622-2</t>
        </is>
      </c>
      <c r="H452" s="43" t="inlineStr">
        <is>
          <t>256-2</t>
        </is>
      </c>
      <c r="I452" s="43" t="inlineStr">
        <is>
          <t>22</t>
        </is>
      </c>
      <c r="J452" s="222" t="n">
        <v>2600</v>
      </c>
      <c r="K452" s="222" t="n">
        <v>2230</v>
      </c>
      <c r="L452" s="43" t="inlineStr">
        <is>
          <t>在来｜電動</t>
        </is>
      </c>
      <c r="M452" s="178" t="b">
        <v>1</v>
      </c>
      <c r="N452" s="43" t="inlineStr">
        <is>
          <t>カタログ個別可否確認済み</t>
        </is>
      </c>
      <c r="O452" s="222" t="n">
        <v>47</v>
      </c>
      <c r="P452" s="222" t="n">
        <v>45</v>
      </c>
      <c r="Q452" s="43" t="inlineStr">
        <is>
          <t>202604_LIXIL_サーモスＬ_業務用資料集_完成品価格表.pdf</t>
        </is>
      </c>
      <c r="R452" s="43" t="inlineStr">
        <is>
          <t>規格呼称は親品種で確認済み。固有仕様ごとの価格設定有無（＿＿表示等）は次QAで最終確定。</t>
        </is>
      </c>
      <c r="S452" s="42" t="inlineStr">
        <is>
          <t>◆</t>
        </is>
      </c>
      <c r="T452" s="42" t="n">
        <v>45</v>
      </c>
      <c r="U452" s="42" t="inlineStr">
        <is>
          <t>P45|◆</t>
        </is>
      </c>
      <c r="V452" s="42" t="inlineStr">
        <is>
          <t>同頁凡例へ直接連動</t>
        </is>
      </c>
    </row>
    <row r="453">
      <c r="A453" s="43" t="inlineStr">
        <is>
          <t>SZ-SL-000450</t>
        </is>
      </c>
      <c r="B453" s="43" t="inlineStr">
        <is>
          <t>SER-LIX-SAMOSL</t>
        </is>
      </c>
      <c r="C453" s="43" t="inlineStr">
        <is>
          <t>WT-SL-SHUTTER-HIKI</t>
        </is>
      </c>
      <c r="D453" s="43" t="inlineStr">
        <is>
          <t>シャッター付引違い窓</t>
        </is>
      </c>
      <c r="E453" s="43" t="inlineStr">
        <is>
          <t>SP-SL-SHUT-E-VENT</t>
        </is>
      </c>
      <c r="F453" s="43" t="inlineStr">
        <is>
          <t>在来</t>
        </is>
      </c>
      <c r="G453" s="43" t="inlineStr">
        <is>
          <t>25622-4</t>
        </is>
      </c>
      <c r="H453" s="43" t="inlineStr">
        <is>
          <t>256-4</t>
        </is>
      </c>
      <c r="I453" s="43" t="inlineStr">
        <is>
          <t>22</t>
        </is>
      </c>
      <c r="J453" s="222" t="n">
        <v>2600</v>
      </c>
      <c r="K453" s="222" t="n">
        <v>2230</v>
      </c>
      <c r="L453" s="43" t="inlineStr">
        <is>
          <t>在来｜電動</t>
        </is>
      </c>
      <c r="M453" s="178" t="b">
        <v>1</v>
      </c>
      <c r="N453" s="43" t="inlineStr">
        <is>
          <t>カタログ個別可否確認済み</t>
        </is>
      </c>
      <c r="O453" s="222" t="n">
        <v>47</v>
      </c>
      <c r="P453" s="222" t="n">
        <v>45</v>
      </c>
      <c r="Q453" s="43" t="inlineStr">
        <is>
          <t>202604_LIXIL_サーモスＬ_業務用資料集_完成品価格表.pdf</t>
        </is>
      </c>
      <c r="R453" s="43" t="inlineStr">
        <is>
          <t>規格呼称は親品種で確認済み。固有仕様ごとの価格設定有無（＿＿表示等）は次QAで最終確定。</t>
        </is>
      </c>
      <c r="S453" s="42" t="inlineStr">
        <is>
          <t>★</t>
        </is>
      </c>
      <c r="T453" s="42" t="n">
        <v>45</v>
      </c>
      <c r="U453" s="42" t="inlineStr">
        <is>
          <t>P45|★</t>
        </is>
      </c>
      <c r="V453" s="42" t="inlineStr">
        <is>
          <t>同頁凡例へ直接連動</t>
        </is>
      </c>
    </row>
    <row r="454">
      <c r="A454" s="43" t="inlineStr">
        <is>
          <t>SZ-SL-000451</t>
        </is>
      </c>
      <c r="B454" s="43" t="inlineStr">
        <is>
          <t>SER-LIX-SAMOSL</t>
        </is>
      </c>
      <c r="C454" s="43" t="inlineStr">
        <is>
          <t>WT-SL-SHUTTER-HIKI</t>
        </is>
      </c>
      <c r="D454" s="43" t="inlineStr">
        <is>
          <t>シャッター付引違い窓</t>
        </is>
      </c>
      <c r="E454" s="43" t="inlineStr">
        <is>
          <t>SP-SL-SHUT-E-VENT</t>
        </is>
      </c>
      <c r="F454" s="43" t="inlineStr">
        <is>
          <t>在来</t>
        </is>
      </c>
      <c r="G454" s="43" t="inlineStr">
        <is>
          <t>25624-2</t>
        </is>
      </c>
      <c r="H454" s="43" t="inlineStr">
        <is>
          <t>256-2</t>
        </is>
      </c>
      <c r="I454" s="43" t="inlineStr">
        <is>
          <t>24</t>
        </is>
      </c>
      <c r="J454" s="222" t="n">
        <v>2600</v>
      </c>
      <c r="K454" s="222" t="n">
        <v>2430</v>
      </c>
      <c r="L454" s="43" t="inlineStr">
        <is>
          <t>在来｜電動</t>
        </is>
      </c>
      <c r="M454" s="178" t="b">
        <v>0</v>
      </c>
      <c r="N454" s="43" t="inlineStr">
        <is>
          <t>設定なし（価格表確認済み）</t>
        </is>
      </c>
      <c r="O454" s="222" t="n">
        <v>47</v>
      </c>
      <c r="P454" s="222" t="n">
        <v>45</v>
      </c>
      <c r="Q454" s="43" t="inlineStr">
        <is>
          <t>202604_LIXIL_サーモスＬ_業務用資料集_完成品価格表.pdf</t>
        </is>
      </c>
      <c r="R454" s="43" t="inlineStr">
        <is>
          <t>規格呼称は親品種で確認済み。固有仕様ごとの価格設定有無（＿＿表示等）は次QAで最終確定。</t>
        </is>
      </c>
      <c r="S454" s="42" t="inlineStr">
        <is>
          <t>●</t>
        </is>
      </c>
      <c r="T454" s="42" t="n">
        <v>45</v>
      </c>
      <c r="U454" s="42" t="inlineStr">
        <is>
          <t>P45|●</t>
        </is>
      </c>
      <c r="V454" s="42" t="inlineStr">
        <is>
          <t>同頁凡例へ直接連動</t>
        </is>
      </c>
    </row>
    <row r="455">
      <c r="A455" s="43" t="inlineStr">
        <is>
          <t>SZ-SL-000452</t>
        </is>
      </c>
      <c r="B455" s="43" t="inlineStr">
        <is>
          <t>SER-LIX-SAMOSL</t>
        </is>
      </c>
      <c r="C455" s="43" t="inlineStr">
        <is>
          <t>WT-SL-SHUTTER-HIKI</t>
        </is>
      </c>
      <c r="D455" s="43" t="inlineStr">
        <is>
          <t>シャッター付引違い窓</t>
        </is>
      </c>
      <c r="E455" s="43" t="inlineStr">
        <is>
          <t>SP-SL-SHUT-E-VENT</t>
        </is>
      </c>
      <c r="F455" s="43" t="inlineStr">
        <is>
          <t>在来</t>
        </is>
      </c>
      <c r="G455" s="43" t="inlineStr">
        <is>
          <t>25624-4</t>
        </is>
      </c>
      <c r="H455" s="43" t="inlineStr">
        <is>
          <t>256-4</t>
        </is>
      </c>
      <c r="I455" s="43" t="inlineStr">
        <is>
          <t>24</t>
        </is>
      </c>
      <c r="J455" s="222" t="n">
        <v>2600</v>
      </c>
      <c r="K455" s="222" t="n">
        <v>2430</v>
      </c>
      <c r="L455" s="43" t="inlineStr">
        <is>
          <t>在来｜電動</t>
        </is>
      </c>
      <c r="M455" s="178" t="b">
        <v>0</v>
      </c>
      <c r="N455" s="43" t="inlineStr">
        <is>
          <t>設定なし（価格表確認済み）</t>
        </is>
      </c>
      <c r="O455" s="222" t="n">
        <v>47</v>
      </c>
      <c r="P455" s="222" t="n">
        <v>45</v>
      </c>
      <c r="Q455" s="43" t="inlineStr">
        <is>
          <t>202604_LIXIL_サーモスＬ_業務用資料集_完成品価格表.pdf</t>
        </is>
      </c>
      <c r="R455" s="43" t="inlineStr">
        <is>
          <t>規格呼称は親品種で確認済み。固有仕様ごとの価格設定有無（＿＿表示等）は次QAで最終確定。</t>
        </is>
      </c>
      <c r="S455" s="42" t="inlineStr">
        <is>
          <t>★</t>
        </is>
      </c>
      <c r="T455" s="42" t="n">
        <v>45</v>
      </c>
      <c r="U455" s="42" t="inlineStr">
        <is>
          <t>P45|★</t>
        </is>
      </c>
      <c r="V455" s="42" t="inlineStr">
        <is>
          <t>同頁凡例へ直接連動</t>
        </is>
      </c>
    </row>
    <row r="456">
      <c r="A456" s="43" t="inlineStr">
        <is>
          <t>SZ-SL-000453</t>
        </is>
      </c>
      <c r="B456" s="43" t="inlineStr">
        <is>
          <t>SER-LIX-SAMOSL</t>
        </is>
      </c>
      <c r="C456" s="43" t="inlineStr">
        <is>
          <t>WT-SL-SHUTTER-HIKI</t>
        </is>
      </c>
      <c r="D456" s="43" t="inlineStr">
        <is>
          <t>シャッター付引違い窓</t>
        </is>
      </c>
      <c r="E456" s="43" t="inlineStr">
        <is>
          <t>SP-SL-SHUT-E-VENT</t>
        </is>
      </c>
      <c r="F456" s="43" t="inlineStr">
        <is>
          <t>在来</t>
        </is>
      </c>
      <c r="G456" s="43" t="inlineStr">
        <is>
          <t>34722</t>
        </is>
      </c>
      <c r="H456" s="43" t="inlineStr">
        <is>
          <t>347</t>
        </is>
      </c>
      <c r="I456" s="43" t="inlineStr">
        <is>
          <t>22</t>
        </is>
      </c>
      <c r="J456" s="222" t="n">
        <v>3510</v>
      </c>
      <c r="K456" s="222" t="n">
        <v>2230</v>
      </c>
      <c r="L456" s="43" t="inlineStr">
        <is>
          <t>在来｜電動</t>
        </is>
      </c>
      <c r="M456" s="178" t="b">
        <v>1</v>
      </c>
      <c r="N456" s="43" t="inlineStr">
        <is>
          <t>カタログ個別可否確認済み</t>
        </is>
      </c>
      <c r="O456" s="222" t="n">
        <v>47</v>
      </c>
      <c r="P456" s="222" t="n">
        <v>45</v>
      </c>
      <c r="Q456" s="43" t="inlineStr">
        <is>
          <t>202604_LIXIL_サーモスＬ_業務用資料集_完成品価格表.pdf</t>
        </is>
      </c>
      <c r="R456" s="43" t="inlineStr">
        <is>
          <t>規格呼称は親品種で確認済み。固有仕様ごとの価格設定有無（＿＿表示等）は次QAで最終確定。</t>
        </is>
      </c>
      <c r="S456" s="42" t="inlineStr">
        <is>
          <t>★</t>
        </is>
      </c>
      <c r="T456" s="42" t="n">
        <v>45</v>
      </c>
      <c r="U456" s="42" t="inlineStr">
        <is>
          <t>P45|★</t>
        </is>
      </c>
      <c r="V456" s="42" t="inlineStr">
        <is>
          <t>同頁凡例へ直接連動</t>
        </is>
      </c>
    </row>
    <row r="457">
      <c r="A457" s="43" t="inlineStr">
        <is>
          <t>SZ-SL-000454</t>
        </is>
      </c>
      <c r="B457" s="43" t="inlineStr">
        <is>
          <t>SER-LIX-SAMOSL</t>
        </is>
      </c>
      <c r="C457" s="43" t="inlineStr">
        <is>
          <t>WT-SL-SHUTTER-HIKI</t>
        </is>
      </c>
      <c r="D457" s="43" t="inlineStr">
        <is>
          <t>シャッター付引違い窓</t>
        </is>
      </c>
      <c r="E457" s="43" t="inlineStr">
        <is>
          <t>SP-SL-SHUT-E-VENT</t>
        </is>
      </c>
      <c r="F457" s="43" t="inlineStr">
        <is>
          <t>在来</t>
        </is>
      </c>
      <c r="G457" s="43" t="inlineStr">
        <is>
          <t>34724</t>
        </is>
      </c>
      <c r="H457" s="43" t="inlineStr">
        <is>
          <t>347</t>
        </is>
      </c>
      <c r="I457" s="43" t="inlineStr">
        <is>
          <t>24</t>
        </is>
      </c>
      <c r="J457" s="222" t="n">
        <v>3510</v>
      </c>
      <c r="K457" s="222" t="n">
        <v>2430</v>
      </c>
      <c r="L457" s="43" t="inlineStr">
        <is>
          <t>在来｜電動</t>
        </is>
      </c>
      <c r="M457" s="178" t="b">
        <v>0</v>
      </c>
      <c r="N457" s="43" t="inlineStr">
        <is>
          <t>設定なし（価格表確認済み）</t>
        </is>
      </c>
      <c r="O457" s="222" t="n">
        <v>47</v>
      </c>
      <c r="P457" s="222" t="n">
        <v>45</v>
      </c>
      <c r="Q457" s="43" t="inlineStr">
        <is>
          <t>202604_LIXIL_サーモスＬ_業務用資料集_完成品価格表.pdf</t>
        </is>
      </c>
      <c r="R457" s="43" t="inlineStr">
        <is>
          <t>規格呼称は親品種で確認済み。固有仕様ごとの価格設定有無（＿＿表示等）は次QAで最終確定。</t>
        </is>
      </c>
      <c r="S457" s="42" t="inlineStr">
        <is>
          <t>◇</t>
        </is>
      </c>
      <c r="T457" s="42" t="n">
        <v>45</v>
      </c>
      <c r="U457" s="42" t="inlineStr">
        <is>
          <t>P45|◇</t>
        </is>
      </c>
      <c r="V457" s="42" t="inlineStr">
        <is>
          <t>同頁凡例へ直接連動</t>
        </is>
      </c>
    </row>
    <row r="458">
      <c r="A458" s="43" t="inlineStr">
        <is>
          <t>SZ-SL-000455</t>
        </is>
      </c>
      <c r="B458" s="43" t="inlineStr">
        <is>
          <t>SER-LIX-SAMOSL</t>
        </is>
      </c>
      <c r="C458" s="43" t="inlineStr">
        <is>
          <t>WT-SL-SHUTTER-HIKI</t>
        </is>
      </c>
      <c r="D458" s="43" t="inlineStr">
        <is>
          <t>シャッター付引違い窓</t>
        </is>
      </c>
      <c r="E458" s="43" t="inlineStr">
        <is>
          <t>SP-SL-SHUT-E-WIND</t>
        </is>
      </c>
      <c r="F458" s="43" t="inlineStr">
        <is>
          <t>在来</t>
        </is>
      </c>
      <c r="G458" s="43" t="inlineStr">
        <is>
          <t>25622-2</t>
        </is>
      </c>
      <c r="H458" s="43" t="inlineStr">
        <is>
          <t>256-2</t>
        </is>
      </c>
      <c r="I458" s="43" t="inlineStr">
        <is>
          <t>22</t>
        </is>
      </c>
      <c r="J458" s="222" t="n">
        <v>2600</v>
      </c>
      <c r="K458" s="222" t="n">
        <v>2230</v>
      </c>
      <c r="L458" s="43" t="inlineStr">
        <is>
          <t>在来｜電動</t>
        </is>
      </c>
      <c r="M458" s="178" t="b">
        <v>1</v>
      </c>
      <c r="N458" s="43" t="inlineStr">
        <is>
          <t>カタログ個別可否確認済み</t>
        </is>
      </c>
      <c r="O458" s="222" t="n">
        <v>47</v>
      </c>
      <c r="P458" s="222" t="n">
        <v>45</v>
      </c>
      <c r="Q458" s="43" t="inlineStr">
        <is>
          <t>202604_LIXIL_サーモスＬ_業務用資料集_完成品価格表.pdf</t>
        </is>
      </c>
      <c r="R458" s="43" t="inlineStr">
        <is>
          <t>規格呼称は親品種で確認済み。固有仕様ごとの価格設定有無（＿＿表示等）は次QAで最終確定。</t>
        </is>
      </c>
      <c r="S458" s="42" t="inlineStr">
        <is>
          <t>◆</t>
        </is>
      </c>
      <c r="T458" s="42" t="n">
        <v>45</v>
      </c>
      <c r="U458" s="42" t="inlineStr">
        <is>
          <t>P45|◆</t>
        </is>
      </c>
      <c r="V458" s="42" t="inlineStr">
        <is>
          <t>同頁凡例へ直接連動</t>
        </is>
      </c>
    </row>
    <row r="459">
      <c r="A459" s="43" t="inlineStr">
        <is>
          <t>SZ-SL-000456</t>
        </is>
      </c>
      <c r="B459" s="43" t="inlineStr">
        <is>
          <t>SER-LIX-SAMOSL</t>
        </is>
      </c>
      <c r="C459" s="43" t="inlineStr">
        <is>
          <t>WT-SL-SHUTTER-HIKI</t>
        </is>
      </c>
      <c r="D459" s="43" t="inlineStr">
        <is>
          <t>シャッター付引違い窓</t>
        </is>
      </c>
      <c r="E459" s="43" t="inlineStr">
        <is>
          <t>SP-SL-SHUT-E-WIND</t>
        </is>
      </c>
      <c r="F459" s="43" t="inlineStr">
        <is>
          <t>在来</t>
        </is>
      </c>
      <c r="G459" s="43" t="inlineStr">
        <is>
          <t>25622-4</t>
        </is>
      </c>
      <c r="H459" s="43" t="inlineStr">
        <is>
          <t>256-4</t>
        </is>
      </c>
      <c r="I459" s="43" t="inlineStr">
        <is>
          <t>22</t>
        </is>
      </c>
      <c r="J459" s="222" t="n">
        <v>2600</v>
      </c>
      <c r="K459" s="222" t="n">
        <v>2230</v>
      </c>
      <c r="L459" s="43" t="inlineStr">
        <is>
          <t>在来｜電動</t>
        </is>
      </c>
      <c r="M459" s="178" t="b">
        <v>1</v>
      </c>
      <c r="N459" s="43" t="inlineStr">
        <is>
          <t>カタログ個別可否確認済み</t>
        </is>
      </c>
      <c r="O459" s="222" t="n">
        <v>47</v>
      </c>
      <c r="P459" s="222" t="n">
        <v>45</v>
      </c>
      <c r="Q459" s="43" t="inlineStr">
        <is>
          <t>202604_LIXIL_サーモスＬ_業務用資料集_完成品価格表.pdf</t>
        </is>
      </c>
      <c r="R459" s="43" t="inlineStr">
        <is>
          <t>規格呼称は親品種で確認済み。固有仕様ごとの価格設定有無（＿＿表示等）は次QAで最終確定。</t>
        </is>
      </c>
      <c r="S459" s="42" t="inlineStr">
        <is>
          <t>★</t>
        </is>
      </c>
      <c r="T459" s="42" t="n">
        <v>45</v>
      </c>
      <c r="U459" s="42" t="inlineStr">
        <is>
          <t>P45|★</t>
        </is>
      </c>
      <c r="V459" s="42" t="inlineStr">
        <is>
          <t>同頁凡例へ直接連動</t>
        </is>
      </c>
    </row>
    <row r="460">
      <c r="A460" s="43" t="inlineStr">
        <is>
          <t>SZ-SL-000457</t>
        </is>
      </c>
      <c r="B460" s="43" t="inlineStr">
        <is>
          <t>SER-LIX-SAMOSL</t>
        </is>
      </c>
      <c r="C460" s="43" t="inlineStr">
        <is>
          <t>WT-SL-SHUTTER-HIKI</t>
        </is>
      </c>
      <c r="D460" s="43" t="inlineStr">
        <is>
          <t>シャッター付引違い窓</t>
        </is>
      </c>
      <c r="E460" s="43" t="inlineStr">
        <is>
          <t>SP-SL-SHUT-E-WIND</t>
        </is>
      </c>
      <c r="F460" s="43" t="inlineStr">
        <is>
          <t>在来</t>
        </is>
      </c>
      <c r="G460" s="43" t="inlineStr">
        <is>
          <t>25624-2</t>
        </is>
      </c>
      <c r="H460" s="43" t="inlineStr">
        <is>
          <t>256-2</t>
        </is>
      </c>
      <c r="I460" s="43" t="inlineStr">
        <is>
          <t>24</t>
        </is>
      </c>
      <c r="J460" s="222" t="n">
        <v>2600</v>
      </c>
      <c r="K460" s="222" t="n">
        <v>2430</v>
      </c>
      <c r="L460" s="43" t="inlineStr">
        <is>
          <t>在来｜電動</t>
        </is>
      </c>
      <c r="M460" s="178" t="b">
        <v>0</v>
      </c>
      <c r="N460" s="43" t="inlineStr">
        <is>
          <t>設定なし（価格表確認済み）</t>
        </is>
      </c>
      <c r="O460" s="222" t="n">
        <v>47</v>
      </c>
      <c r="P460" s="222" t="n">
        <v>45</v>
      </c>
      <c r="Q460" s="43" t="inlineStr">
        <is>
          <t>202604_LIXIL_サーモスＬ_業務用資料集_完成品価格表.pdf</t>
        </is>
      </c>
      <c r="R460" s="43" t="inlineStr">
        <is>
          <t>規格呼称は親品種で確認済み。固有仕様ごとの価格設定有無（＿＿表示等）は次QAで最終確定。</t>
        </is>
      </c>
      <c r="S460" s="42" t="inlineStr">
        <is>
          <t>●</t>
        </is>
      </c>
      <c r="T460" s="42" t="n">
        <v>45</v>
      </c>
      <c r="U460" s="42" t="inlineStr">
        <is>
          <t>P45|●</t>
        </is>
      </c>
      <c r="V460" s="42" t="inlineStr">
        <is>
          <t>同頁凡例へ直接連動</t>
        </is>
      </c>
    </row>
    <row r="461">
      <c r="A461" s="43" t="inlineStr">
        <is>
          <t>SZ-SL-000458</t>
        </is>
      </c>
      <c r="B461" s="43" t="inlineStr">
        <is>
          <t>SER-LIX-SAMOSL</t>
        </is>
      </c>
      <c r="C461" s="43" t="inlineStr">
        <is>
          <t>WT-SL-SHUTTER-HIKI</t>
        </is>
      </c>
      <c r="D461" s="43" t="inlineStr">
        <is>
          <t>シャッター付引違い窓</t>
        </is>
      </c>
      <c r="E461" s="43" t="inlineStr">
        <is>
          <t>SP-SL-SHUT-E-WIND</t>
        </is>
      </c>
      <c r="F461" s="43" t="inlineStr">
        <is>
          <t>在来</t>
        </is>
      </c>
      <c r="G461" s="43" t="inlineStr">
        <is>
          <t>25624-4</t>
        </is>
      </c>
      <c r="H461" s="43" t="inlineStr">
        <is>
          <t>256-4</t>
        </is>
      </c>
      <c r="I461" s="43" t="inlineStr">
        <is>
          <t>24</t>
        </is>
      </c>
      <c r="J461" s="222" t="n">
        <v>2600</v>
      </c>
      <c r="K461" s="222" t="n">
        <v>2430</v>
      </c>
      <c r="L461" s="43" t="inlineStr">
        <is>
          <t>在来｜電動</t>
        </is>
      </c>
      <c r="M461" s="178" t="b">
        <v>0</v>
      </c>
      <c r="N461" s="43" t="inlineStr">
        <is>
          <t>設定なし（価格表確認済み）</t>
        </is>
      </c>
      <c r="O461" s="222" t="n">
        <v>47</v>
      </c>
      <c r="P461" s="222" t="n">
        <v>45</v>
      </c>
      <c r="Q461" s="43" t="inlineStr">
        <is>
          <t>202604_LIXIL_サーモスＬ_業務用資料集_完成品価格表.pdf</t>
        </is>
      </c>
      <c r="R461" s="43" t="inlineStr">
        <is>
          <t>規格呼称は親品種で確認済み。固有仕様ごとの価格設定有無（＿＿表示等）は次QAで最終確定。</t>
        </is>
      </c>
      <c r="S461" s="42" t="inlineStr">
        <is>
          <t>★</t>
        </is>
      </c>
      <c r="T461" s="42" t="n">
        <v>45</v>
      </c>
      <c r="U461" s="42" t="inlineStr">
        <is>
          <t>P45|★</t>
        </is>
      </c>
      <c r="V461" s="42" t="inlineStr">
        <is>
          <t>同頁凡例へ直接連動</t>
        </is>
      </c>
    </row>
    <row r="462">
      <c r="A462" s="43" t="inlineStr">
        <is>
          <t>SZ-SL-000459</t>
        </is>
      </c>
      <c r="B462" s="43" t="inlineStr">
        <is>
          <t>SER-LIX-SAMOSL</t>
        </is>
      </c>
      <c r="C462" s="43" t="inlineStr">
        <is>
          <t>WT-SL-SHUTTER-HIKI</t>
        </is>
      </c>
      <c r="D462" s="43" t="inlineStr">
        <is>
          <t>シャッター付引違い窓</t>
        </is>
      </c>
      <c r="E462" s="43" t="inlineStr">
        <is>
          <t>SP-SL-SHUT-E-WIND</t>
        </is>
      </c>
      <c r="F462" s="43" t="inlineStr">
        <is>
          <t>在来</t>
        </is>
      </c>
      <c r="G462" s="43" t="inlineStr">
        <is>
          <t>34722</t>
        </is>
      </c>
      <c r="H462" s="43" t="inlineStr">
        <is>
          <t>347</t>
        </is>
      </c>
      <c r="I462" s="43" t="inlineStr">
        <is>
          <t>22</t>
        </is>
      </c>
      <c r="J462" s="222" t="n">
        <v>3510</v>
      </c>
      <c r="K462" s="222" t="n">
        <v>2230</v>
      </c>
      <c r="L462" s="43" t="inlineStr">
        <is>
          <t>在来｜電動</t>
        </is>
      </c>
      <c r="M462" s="178" t="b">
        <v>0</v>
      </c>
      <c r="N462" s="43" t="inlineStr">
        <is>
          <t>設定なし（価格表確認済み）</t>
        </is>
      </c>
      <c r="O462" s="222" t="n">
        <v>47</v>
      </c>
      <c r="P462" s="222" t="n">
        <v>45</v>
      </c>
      <c r="Q462" s="43" t="inlineStr">
        <is>
          <t>202604_LIXIL_サーモスＬ_業務用資料集_完成品価格表.pdf</t>
        </is>
      </c>
      <c r="R462" s="43" t="inlineStr">
        <is>
          <t>規格呼称は親品種で確認済み。固有仕様ごとの価格設定有無（＿＿表示等）は次QAで最終確定。</t>
        </is>
      </c>
      <c r="S462" s="42" t="inlineStr">
        <is>
          <t>★</t>
        </is>
      </c>
      <c r="T462" s="42" t="n">
        <v>45</v>
      </c>
      <c r="U462" s="42" t="inlineStr">
        <is>
          <t>P45|★</t>
        </is>
      </c>
      <c r="V462" s="42" t="inlineStr">
        <is>
          <t>同頁凡例へ直接連動</t>
        </is>
      </c>
    </row>
    <row r="463">
      <c r="A463" s="43" t="inlineStr">
        <is>
          <t>SZ-SL-000460</t>
        </is>
      </c>
      <c r="B463" s="43" t="inlineStr">
        <is>
          <t>SER-LIX-SAMOSL</t>
        </is>
      </c>
      <c r="C463" s="43" t="inlineStr">
        <is>
          <t>WT-SL-SHUTTER-HIKI</t>
        </is>
      </c>
      <c r="D463" s="43" t="inlineStr">
        <is>
          <t>シャッター付引違い窓</t>
        </is>
      </c>
      <c r="E463" s="43" t="inlineStr">
        <is>
          <t>SP-SL-SHUT-E-WIND</t>
        </is>
      </c>
      <c r="F463" s="43" t="inlineStr">
        <is>
          <t>在来</t>
        </is>
      </c>
      <c r="G463" s="43" t="inlineStr">
        <is>
          <t>34724</t>
        </is>
      </c>
      <c r="H463" s="43" t="inlineStr">
        <is>
          <t>347</t>
        </is>
      </c>
      <c r="I463" s="43" t="inlineStr">
        <is>
          <t>24</t>
        </is>
      </c>
      <c r="J463" s="222" t="n">
        <v>3510</v>
      </c>
      <c r="K463" s="222" t="n">
        <v>2430</v>
      </c>
      <c r="L463" s="43" t="inlineStr">
        <is>
          <t>在来｜電動</t>
        </is>
      </c>
      <c r="M463" s="178" t="b">
        <v>0</v>
      </c>
      <c r="N463" s="43" t="inlineStr">
        <is>
          <t>設定なし（価格表確認済み）</t>
        </is>
      </c>
      <c r="O463" s="222" t="n">
        <v>47</v>
      </c>
      <c r="P463" s="222" t="n">
        <v>45</v>
      </c>
      <c r="Q463" s="43" t="inlineStr">
        <is>
          <t>202604_LIXIL_サーモスＬ_業務用資料集_完成品価格表.pdf</t>
        </is>
      </c>
      <c r="R463" s="43" t="inlineStr">
        <is>
          <t>規格呼称は親品種で確認済み。固有仕様ごとの価格設定有無（＿＿表示等）は次QAで最終確定。</t>
        </is>
      </c>
      <c r="S463" s="42" t="inlineStr">
        <is>
          <t>◇</t>
        </is>
      </c>
      <c r="T463" s="42" t="n">
        <v>45</v>
      </c>
      <c r="U463" s="42" t="inlineStr">
        <is>
          <t>P45|◇</t>
        </is>
      </c>
      <c r="V463" s="42" t="inlineStr">
        <is>
          <t>同頁凡例へ直接連動</t>
        </is>
      </c>
    </row>
    <row r="464">
      <c r="A464" s="43" t="inlineStr">
        <is>
          <t>SZ-SL-000461</t>
        </is>
      </c>
      <c r="B464" s="43" t="inlineStr">
        <is>
          <t>SER-LIX-SAMOSL</t>
        </is>
      </c>
      <c r="C464" s="43" t="inlineStr">
        <is>
          <t>WT-SL-SHUTTER-HIKI</t>
        </is>
      </c>
      <c r="D464" s="43" t="inlineStr">
        <is>
          <t>シャッター付引違い窓</t>
        </is>
      </c>
      <c r="E464" s="43" t="inlineStr">
        <is>
          <t>SP-SL-SHUT-E-STD</t>
        </is>
      </c>
      <c r="F464" s="43" t="inlineStr">
        <is>
          <t>204</t>
        </is>
      </c>
      <c r="G464" s="43" t="inlineStr">
        <is>
          <t>24318-2</t>
        </is>
      </c>
      <c r="H464" s="43" t="inlineStr">
        <is>
          <t>243-2</t>
        </is>
      </c>
      <c r="I464" s="43" t="inlineStr">
        <is>
          <t>18</t>
        </is>
      </c>
      <c r="J464" s="222" t="n">
        <v>2470</v>
      </c>
      <c r="K464" s="222" t="n">
        <v>1830</v>
      </c>
      <c r="L464" s="43" t="inlineStr">
        <is>
          <t>204｜電動</t>
        </is>
      </c>
      <c r="M464" s="178" t="b">
        <v>1</v>
      </c>
      <c r="N464" s="43" t="inlineStr">
        <is>
          <t>カタログ規格確認済み</t>
        </is>
      </c>
      <c r="O464" s="222" t="n">
        <v>48</v>
      </c>
      <c r="P464" s="222" t="n">
        <v>46</v>
      </c>
      <c r="Q464" s="43" t="inlineStr">
        <is>
          <t>202604_LIXIL_サーモスＬ_業務用資料集_完成品価格表.pdf</t>
        </is>
      </c>
      <c r="R464" s="43" t="n"/>
      <c r="S464" s="42" t="inlineStr">
        <is>
          <t>☆</t>
        </is>
      </c>
      <c r="T464" s="42" t="n">
        <v>46</v>
      </c>
      <c r="U464" s="42" t="inlineStr">
        <is>
          <t>P46|☆</t>
        </is>
      </c>
      <c r="V464" s="42" t="inlineStr">
        <is>
          <t>同頁凡例へ直接連動</t>
        </is>
      </c>
    </row>
    <row r="465">
      <c r="A465" s="43" t="inlineStr">
        <is>
          <t>SZ-SL-000462</t>
        </is>
      </c>
      <c r="B465" s="43" t="inlineStr">
        <is>
          <t>SER-LIX-SAMOSL</t>
        </is>
      </c>
      <c r="C465" s="43" t="inlineStr">
        <is>
          <t>WT-SL-SHUTTER-HIKI</t>
        </is>
      </c>
      <c r="D465" s="43" t="inlineStr">
        <is>
          <t>シャッター付引違い窓</t>
        </is>
      </c>
      <c r="E465" s="43" t="inlineStr">
        <is>
          <t>SP-SL-SHUT-E-STD</t>
        </is>
      </c>
      <c r="F465" s="43" t="inlineStr">
        <is>
          <t>204</t>
        </is>
      </c>
      <c r="G465" s="43" t="inlineStr">
        <is>
          <t>24320-2</t>
        </is>
      </c>
      <c r="H465" s="43" t="inlineStr">
        <is>
          <t>243-2</t>
        </is>
      </c>
      <c r="I465" s="43" t="inlineStr">
        <is>
          <t>20</t>
        </is>
      </c>
      <c r="J465" s="222" t="n">
        <v>2470</v>
      </c>
      <c r="K465" s="222" t="n">
        <v>2030</v>
      </c>
      <c r="L465" s="43" t="inlineStr">
        <is>
          <t>204｜電動</t>
        </is>
      </c>
      <c r="M465" s="178" t="b">
        <v>1</v>
      </c>
      <c r="N465" s="43" t="inlineStr">
        <is>
          <t>カタログ規格確認済み</t>
        </is>
      </c>
      <c r="O465" s="222" t="n">
        <v>48</v>
      </c>
      <c r="P465" s="222" t="n">
        <v>46</v>
      </c>
      <c r="Q465" s="43" t="inlineStr">
        <is>
          <t>202604_LIXIL_サーモスＬ_業務用資料集_完成品価格表.pdf</t>
        </is>
      </c>
      <c r="R465" s="43" t="n"/>
      <c r="S465" s="42" t="inlineStr">
        <is>
          <t>◆</t>
        </is>
      </c>
      <c r="T465" s="42" t="n">
        <v>46</v>
      </c>
      <c r="U465" s="42" t="inlineStr">
        <is>
          <t>P46|◆</t>
        </is>
      </c>
      <c r="V465" s="42" t="inlineStr">
        <is>
          <t>同頁凡例へ直接連動</t>
        </is>
      </c>
    </row>
    <row r="466">
      <c r="A466" s="43" t="inlineStr">
        <is>
          <t>SZ-SL-000463</t>
        </is>
      </c>
      <c r="B466" s="43" t="inlineStr">
        <is>
          <t>SER-LIX-SAMOSL</t>
        </is>
      </c>
      <c r="C466" s="43" t="inlineStr">
        <is>
          <t>WT-SL-SHUTTER-HIKI</t>
        </is>
      </c>
      <c r="D466" s="43" t="inlineStr">
        <is>
          <t>シャッター付引違い窓</t>
        </is>
      </c>
      <c r="E466" s="43" t="inlineStr">
        <is>
          <t>SP-SL-SHUT-E-VENT</t>
        </is>
      </c>
      <c r="F466" s="43" t="inlineStr">
        <is>
          <t>204</t>
        </is>
      </c>
      <c r="G466" s="43" t="inlineStr">
        <is>
          <t>24318-2</t>
        </is>
      </c>
      <c r="H466" s="43" t="inlineStr">
        <is>
          <t>243-2</t>
        </is>
      </c>
      <c r="I466" s="43" t="inlineStr">
        <is>
          <t>18</t>
        </is>
      </c>
      <c r="J466" s="222" t="n">
        <v>2470</v>
      </c>
      <c r="K466" s="222" t="n">
        <v>1830</v>
      </c>
      <c r="L466" s="43" t="inlineStr">
        <is>
          <t>204｜電動</t>
        </is>
      </c>
      <c r="M466" s="178" t="b">
        <v>1</v>
      </c>
      <c r="N466" s="43" t="inlineStr">
        <is>
          <t>カタログ個別可否確認済み</t>
        </is>
      </c>
      <c r="O466" s="222" t="n">
        <v>48</v>
      </c>
      <c r="P466" s="222" t="n">
        <v>46</v>
      </c>
      <c r="Q466" s="43" t="inlineStr">
        <is>
          <t>202604_LIXIL_サーモスＬ_業務用資料集_完成品価格表.pdf</t>
        </is>
      </c>
      <c r="R466" s="43" t="inlineStr">
        <is>
          <t>規格呼称は親品種で確認済み。固有仕様ごとの価格設定有無（＿＿表示等）は次QAで最終確定。</t>
        </is>
      </c>
      <c r="S466" s="42" t="inlineStr">
        <is>
          <t>☆</t>
        </is>
      </c>
      <c r="T466" s="42" t="n">
        <v>46</v>
      </c>
      <c r="U466" s="42" t="inlineStr">
        <is>
          <t>P46|☆</t>
        </is>
      </c>
      <c r="V466" s="42" t="inlineStr">
        <is>
          <t>同頁凡例へ直接連動</t>
        </is>
      </c>
    </row>
    <row r="467">
      <c r="A467" s="43" t="inlineStr">
        <is>
          <t>SZ-SL-000464</t>
        </is>
      </c>
      <c r="B467" s="43" t="inlineStr">
        <is>
          <t>SER-LIX-SAMOSL</t>
        </is>
      </c>
      <c r="C467" s="43" t="inlineStr">
        <is>
          <t>WT-SL-SHUTTER-HIKI</t>
        </is>
      </c>
      <c r="D467" s="43" t="inlineStr">
        <is>
          <t>シャッター付引違い窓</t>
        </is>
      </c>
      <c r="E467" s="43" t="inlineStr">
        <is>
          <t>SP-SL-SHUT-E-VENT</t>
        </is>
      </c>
      <c r="F467" s="43" t="inlineStr">
        <is>
          <t>204</t>
        </is>
      </c>
      <c r="G467" s="43" t="inlineStr">
        <is>
          <t>24320-2</t>
        </is>
      </c>
      <c r="H467" s="43" t="inlineStr">
        <is>
          <t>243-2</t>
        </is>
      </c>
      <c r="I467" s="43" t="inlineStr">
        <is>
          <t>20</t>
        </is>
      </c>
      <c r="J467" s="222" t="n">
        <v>2470</v>
      </c>
      <c r="K467" s="222" t="n">
        <v>2030</v>
      </c>
      <c r="L467" s="43" t="inlineStr">
        <is>
          <t>204｜電動</t>
        </is>
      </c>
      <c r="M467" s="178" t="b">
        <v>1</v>
      </c>
      <c r="N467" s="43" t="inlineStr">
        <is>
          <t>カタログ個別可否確認済み</t>
        </is>
      </c>
      <c r="O467" s="222" t="n">
        <v>48</v>
      </c>
      <c r="P467" s="222" t="n">
        <v>46</v>
      </c>
      <c r="Q467" s="43" t="inlineStr">
        <is>
          <t>202604_LIXIL_サーモスＬ_業務用資料集_完成品価格表.pdf</t>
        </is>
      </c>
      <c r="R467" s="43" t="inlineStr">
        <is>
          <t>規格呼称は親品種で確認済み。固有仕様ごとの価格設定有無（＿＿表示等）は次QAで最終確定。</t>
        </is>
      </c>
      <c r="S467" s="42" t="inlineStr">
        <is>
          <t>◆</t>
        </is>
      </c>
      <c r="T467" s="42" t="n">
        <v>46</v>
      </c>
      <c r="U467" s="42" t="inlineStr">
        <is>
          <t>P46|◆</t>
        </is>
      </c>
      <c r="V467" s="42" t="inlineStr">
        <is>
          <t>同頁凡例へ直接連動</t>
        </is>
      </c>
    </row>
    <row r="468">
      <c r="A468" s="43" t="inlineStr">
        <is>
          <t>SZ-SL-000465</t>
        </is>
      </c>
      <c r="B468" s="43" t="inlineStr">
        <is>
          <t>SER-LIX-SAMOSL</t>
        </is>
      </c>
      <c r="C468" s="43" t="inlineStr">
        <is>
          <t>WT-SL-SHUTTER-HIKI</t>
        </is>
      </c>
      <c r="D468" s="43" t="inlineStr">
        <is>
          <t>シャッター付引違い窓</t>
        </is>
      </c>
      <c r="E468" s="43" t="inlineStr">
        <is>
          <t>SP-SL-SHUT-E-WIND</t>
        </is>
      </c>
      <c r="F468" s="43" t="inlineStr">
        <is>
          <t>204</t>
        </is>
      </c>
      <c r="G468" s="43" t="inlineStr">
        <is>
          <t>24318-2</t>
        </is>
      </c>
      <c r="H468" s="43" t="inlineStr">
        <is>
          <t>243-2</t>
        </is>
      </c>
      <c r="I468" s="43" t="inlineStr">
        <is>
          <t>18</t>
        </is>
      </c>
      <c r="J468" s="222" t="n">
        <v>2470</v>
      </c>
      <c r="K468" s="222" t="n">
        <v>1830</v>
      </c>
      <c r="L468" s="43" t="inlineStr">
        <is>
          <t>204｜電動</t>
        </is>
      </c>
      <c r="M468" s="178" t="b">
        <v>1</v>
      </c>
      <c r="N468" s="43" t="inlineStr">
        <is>
          <t>カタログ個別可否確認済み</t>
        </is>
      </c>
      <c r="O468" s="222" t="n">
        <v>48</v>
      </c>
      <c r="P468" s="222" t="n">
        <v>46</v>
      </c>
      <c r="Q468" s="43" t="inlineStr">
        <is>
          <t>202604_LIXIL_サーモスＬ_業務用資料集_完成品価格表.pdf</t>
        </is>
      </c>
      <c r="R468" s="43" t="inlineStr">
        <is>
          <t>規格呼称は親品種で確認済み。固有仕様ごとの価格設定有無（＿＿表示等）は次QAで最終確定。</t>
        </is>
      </c>
      <c r="S468" s="42" t="inlineStr">
        <is>
          <t>☆</t>
        </is>
      </c>
      <c r="T468" s="42" t="n">
        <v>46</v>
      </c>
      <c r="U468" s="42" t="inlineStr">
        <is>
          <t>P46|☆</t>
        </is>
      </c>
      <c r="V468" s="42" t="inlineStr">
        <is>
          <t>同頁凡例へ直接連動</t>
        </is>
      </c>
    </row>
    <row r="469">
      <c r="A469" s="43" t="inlineStr">
        <is>
          <t>SZ-SL-000466</t>
        </is>
      </c>
      <c r="B469" s="43" t="inlineStr">
        <is>
          <t>SER-LIX-SAMOSL</t>
        </is>
      </c>
      <c r="C469" s="43" t="inlineStr">
        <is>
          <t>WT-SL-SHUTTER-HIKI</t>
        </is>
      </c>
      <c r="D469" s="43" t="inlineStr">
        <is>
          <t>シャッター付引違い窓</t>
        </is>
      </c>
      <c r="E469" s="43" t="inlineStr">
        <is>
          <t>SP-SL-SHUT-E-WIND</t>
        </is>
      </c>
      <c r="F469" s="43" t="inlineStr">
        <is>
          <t>204</t>
        </is>
      </c>
      <c r="G469" s="43" t="inlineStr">
        <is>
          <t>24320-2</t>
        </is>
      </c>
      <c r="H469" s="43" t="inlineStr">
        <is>
          <t>243-2</t>
        </is>
      </c>
      <c r="I469" s="43" t="inlineStr">
        <is>
          <t>20</t>
        </is>
      </c>
      <c r="J469" s="222" t="n">
        <v>2470</v>
      </c>
      <c r="K469" s="222" t="n">
        <v>2030</v>
      </c>
      <c r="L469" s="43" t="inlineStr">
        <is>
          <t>204｜電動</t>
        </is>
      </c>
      <c r="M469" s="178" t="b">
        <v>1</v>
      </c>
      <c r="N469" s="43" t="inlineStr">
        <is>
          <t>カタログ個別可否確認済み</t>
        </is>
      </c>
      <c r="O469" s="222" t="n">
        <v>48</v>
      </c>
      <c r="P469" s="222" t="n">
        <v>46</v>
      </c>
      <c r="Q469" s="43" t="inlineStr">
        <is>
          <t>202604_LIXIL_サーモスＬ_業務用資料集_完成品価格表.pdf</t>
        </is>
      </c>
      <c r="R469" s="43" t="inlineStr">
        <is>
          <t>規格呼称は親品種で確認済み。固有仕様ごとの価格設定有無（＿＿表示等）は次QAで最終確定。</t>
        </is>
      </c>
      <c r="S469" s="42" t="inlineStr">
        <is>
          <t>◆</t>
        </is>
      </c>
      <c r="T469" s="42" t="n">
        <v>46</v>
      </c>
      <c r="U469" s="42" t="inlineStr">
        <is>
          <t>P46|◆</t>
        </is>
      </c>
      <c r="V469" s="42" t="inlineStr">
        <is>
          <t>同頁凡例へ直接連動</t>
        </is>
      </c>
    </row>
    <row r="470">
      <c r="A470" s="43" t="inlineStr">
        <is>
          <t>SZ-SL-000467</t>
        </is>
      </c>
      <c r="B470" s="43" t="inlineStr">
        <is>
          <t>SER-LIX-SAMOSL</t>
        </is>
      </c>
      <c r="C470" s="43" t="inlineStr">
        <is>
          <t>WT-SL-SHUTTER-HIKI</t>
        </is>
      </c>
      <c r="D470" s="43" t="inlineStr">
        <is>
          <t>シャッター付引違い窓</t>
        </is>
      </c>
      <c r="E470" s="43" t="inlineStr">
        <is>
          <t>SP-SL-SHUT-E-STD</t>
        </is>
      </c>
      <c r="F470" s="43" t="inlineStr">
        <is>
          <t>204</t>
        </is>
      </c>
      <c r="G470" s="43" t="inlineStr">
        <is>
          <t>24322-2</t>
        </is>
      </c>
      <c r="H470" s="43" t="inlineStr">
        <is>
          <t>243-2</t>
        </is>
      </c>
      <c r="I470" s="43" t="inlineStr">
        <is>
          <t>22</t>
        </is>
      </c>
      <c r="J470" s="222" t="n">
        <v>2470</v>
      </c>
      <c r="K470" s="222" t="n">
        <v>2230</v>
      </c>
      <c r="L470" s="43" t="inlineStr">
        <is>
          <t>204｜電動</t>
        </is>
      </c>
      <c r="M470" s="178" t="b">
        <v>1</v>
      </c>
      <c r="N470" s="43" t="inlineStr">
        <is>
          <t>カタログ規格確認済み</t>
        </is>
      </c>
      <c r="O470" s="222" t="n">
        <v>50</v>
      </c>
      <c r="P470" s="222" t="n">
        <v>48</v>
      </c>
      <c r="Q470" s="43" t="inlineStr">
        <is>
          <t>202604_LIXIL_サーモスＬ_業務用資料集_完成品価格表.pdf</t>
        </is>
      </c>
      <c r="R470" s="43" t="n"/>
      <c r="S470" s="42" t="inlineStr">
        <is>
          <t>◆</t>
        </is>
      </c>
      <c r="T470" s="42" t="n">
        <v>48</v>
      </c>
      <c r="U470" s="42" t="inlineStr">
        <is>
          <t>P48|◆</t>
        </is>
      </c>
      <c r="V470" s="42" t="inlineStr">
        <is>
          <t>同頁凡例へ直接連動</t>
        </is>
      </c>
    </row>
    <row r="471">
      <c r="A471" s="43" t="inlineStr">
        <is>
          <t>SZ-SL-000468</t>
        </is>
      </c>
      <c r="B471" s="43" t="inlineStr">
        <is>
          <t>SER-LIX-SAMOSL</t>
        </is>
      </c>
      <c r="C471" s="43" t="inlineStr">
        <is>
          <t>WT-SL-SHUTTER-HIKI</t>
        </is>
      </c>
      <c r="D471" s="43" t="inlineStr">
        <is>
          <t>シャッター付引違い窓</t>
        </is>
      </c>
      <c r="E471" s="43" t="inlineStr">
        <is>
          <t>SP-SL-SHUT-E-STD</t>
        </is>
      </c>
      <c r="F471" s="43" t="inlineStr">
        <is>
          <t>204</t>
        </is>
      </c>
      <c r="G471" s="43" t="inlineStr">
        <is>
          <t>24324-2</t>
        </is>
      </c>
      <c r="H471" s="43" t="inlineStr">
        <is>
          <t>243-2</t>
        </is>
      </c>
      <c r="I471" s="43" t="inlineStr">
        <is>
          <t>24</t>
        </is>
      </c>
      <c r="J471" s="222" t="n">
        <v>2470</v>
      </c>
      <c r="K471" s="222" t="n">
        <v>2430</v>
      </c>
      <c r="L471" s="43" t="inlineStr">
        <is>
          <t>204｜電動</t>
        </is>
      </c>
      <c r="M471" s="178" t="b">
        <v>1</v>
      </c>
      <c r="N471" s="43" t="inlineStr">
        <is>
          <t>カタログ規格確認済み</t>
        </is>
      </c>
      <c r="O471" s="222" t="n">
        <v>50</v>
      </c>
      <c r="P471" s="222" t="n">
        <v>48</v>
      </c>
      <c r="Q471" s="43" t="inlineStr">
        <is>
          <t>202604_LIXIL_サーモスＬ_業務用資料集_完成品価格表.pdf</t>
        </is>
      </c>
      <c r="R471" s="43" t="n"/>
      <c r="S471" s="42" t="inlineStr">
        <is>
          <t>●</t>
        </is>
      </c>
      <c r="T471" s="42" t="n">
        <v>48</v>
      </c>
      <c r="U471" s="42" t="inlineStr">
        <is>
          <t>P48|●</t>
        </is>
      </c>
      <c r="V471" s="42" t="inlineStr">
        <is>
          <t>同頁凡例へ直接連動</t>
        </is>
      </c>
    </row>
    <row r="472">
      <c r="A472" s="43" t="inlineStr">
        <is>
          <t>SZ-SL-000469</t>
        </is>
      </c>
      <c r="B472" s="43" t="inlineStr">
        <is>
          <t>SER-LIX-SAMOSL</t>
        </is>
      </c>
      <c r="C472" s="43" t="inlineStr">
        <is>
          <t>WT-SL-SHUTTER-HIKI</t>
        </is>
      </c>
      <c r="D472" s="43" t="inlineStr">
        <is>
          <t>シャッター付引違い窓</t>
        </is>
      </c>
      <c r="E472" s="43" t="inlineStr">
        <is>
          <t>SP-SL-SHUT-E-VENT</t>
        </is>
      </c>
      <c r="F472" s="43" t="inlineStr">
        <is>
          <t>204</t>
        </is>
      </c>
      <c r="G472" s="43" t="inlineStr">
        <is>
          <t>24322-2</t>
        </is>
      </c>
      <c r="H472" s="43" t="inlineStr">
        <is>
          <t>243-2</t>
        </is>
      </c>
      <c r="I472" s="43" t="inlineStr">
        <is>
          <t>22</t>
        </is>
      </c>
      <c r="J472" s="222" t="n">
        <v>2470</v>
      </c>
      <c r="K472" s="222" t="n">
        <v>2230</v>
      </c>
      <c r="L472" s="43" t="inlineStr">
        <is>
          <t>204｜電動</t>
        </is>
      </c>
      <c r="M472" s="178" t="b">
        <v>1</v>
      </c>
      <c r="N472" s="43" t="inlineStr">
        <is>
          <t>カタログ個別可否確認済み</t>
        </is>
      </c>
      <c r="O472" s="222" t="n">
        <v>50</v>
      </c>
      <c r="P472" s="222" t="n">
        <v>48</v>
      </c>
      <c r="Q472" s="43" t="inlineStr">
        <is>
          <t>202604_LIXIL_サーモスＬ_業務用資料集_完成品価格表.pdf</t>
        </is>
      </c>
      <c r="R472" s="43" t="inlineStr">
        <is>
          <t>規格呼称は親品種で確認済み。固有仕様ごとの価格設定有無（＿＿表示等）は次QAで最終確定。</t>
        </is>
      </c>
      <c r="S472" s="42" t="inlineStr">
        <is>
          <t>◆</t>
        </is>
      </c>
      <c r="T472" s="42" t="n">
        <v>48</v>
      </c>
      <c r="U472" s="42" t="inlineStr">
        <is>
          <t>P48|◆</t>
        </is>
      </c>
      <c r="V472" s="42" t="inlineStr">
        <is>
          <t>同頁凡例へ直接連動</t>
        </is>
      </c>
    </row>
    <row r="473">
      <c r="A473" s="43" t="inlineStr">
        <is>
          <t>SZ-SL-000470</t>
        </is>
      </c>
      <c r="B473" s="43" t="inlineStr">
        <is>
          <t>SER-LIX-SAMOSL</t>
        </is>
      </c>
      <c r="C473" s="43" t="inlineStr">
        <is>
          <t>WT-SL-SHUTTER-HIKI</t>
        </is>
      </c>
      <c r="D473" s="43" t="inlineStr">
        <is>
          <t>シャッター付引違い窓</t>
        </is>
      </c>
      <c r="E473" s="43" t="inlineStr">
        <is>
          <t>SP-SL-SHUT-E-VENT</t>
        </is>
      </c>
      <c r="F473" s="43" t="inlineStr">
        <is>
          <t>204</t>
        </is>
      </c>
      <c r="G473" s="43" t="inlineStr">
        <is>
          <t>24324-2</t>
        </is>
      </c>
      <c r="H473" s="43" t="inlineStr">
        <is>
          <t>243-2</t>
        </is>
      </c>
      <c r="I473" s="43" t="inlineStr">
        <is>
          <t>24</t>
        </is>
      </c>
      <c r="J473" s="222" t="n">
        <v>2470</v>
      </c>
      <c r="K473" s="222" t="n">
        <v>2430</v>
      </c>
      <c r="L473" s="43" t="inlineStr">
        <is>
          <t>204｜電動</t>
        </is>
      </c>
      <c r="M473" s="178" t="b">
        <v>0</v>
      </c>
      <c r="N473" s="43" t="inlineStr">
        <is>
          <t>設定なし（価格表確認済み）</t>
        </is>
      </c>
      <c r="O473" s="222" t="n">
        <v>50</v>
      </c>
      <c r="P473" s="222" t="n">
        <v>48</v>
      </c>
      <c r="Q473" s="43" t="inlineStr">
        <is>
          <t>202604_LIXIL_サーモスＬ_業務用資料集_完成品価格表.pdf</t>
        </is>
      </c>
      <c r="R473" s="43" t="inlineStr">
        <is>
          <t>規格呼称は親品種で確認済み。固有仕様ごとの価格設定有無（＿＿表示等）は次QAで最終確定。</t>
        </is>
      </c>
      <c r="S473" s="42" t="inlineStr">
        <is>
          <t>●</t>
        </is>
      </c>
      <c r="T473" s="42" t="n">
        <v>48</v>
      </c>
      <c r="U473" s="42" t="inlineStr">
        <is>
          <t>P48|●</t>
        </is>
      </c>
      <c r="V473" s="42" t="inlineStr">
        <is>
          <t>同頁凡例へ直接連動</t>
        </is>
      </c>
    </row>
    <row r="474">
      <c r="A474" s="43" t="inlineStr">
        <is>
          <t>SZ-SL-000471</t>
        </is>
      </c>
      <c r="B474" s="43" t="inlineStr">
        <is>
          <t>SER-LIX-SAMOSL</t>
        </is>
      </c>
      <c r="C474" s="43" t="inlineStr">
        <is>
          <t>WT-SL-SHUTTER-HIKI</t>
        </is>
      </c>
      <c r="D474" s="43" t="inlineStr">
        <is>
          <t>シャッター付引違い窓</t>
        </is>
      </c>
      <c r="E474" s="43" t="inlineStr">
        <is>
          <t>SP-SL-SHUT-E-WIND</t>
        </is>
      </c>
      <c r="F474" s="43" t="inlineStr">
        <is>
          <t>204</t>
        </is>
      </c>
      <c r="G474" s="43" t="inlineStr">
        <is>
          <t>24322-2</t>
        </is>
      </c>
      <c r="H474" s="43" t="inlineStr">
        <is>
          <t>243-2</t>
        </is>
      </c>
      <c r="I474" s="43" t="inlineStr">
        <is>
          <t>22</t>
        </is>
      </c>
      <c r="J474" s="222" t="n">
        <v>2470</v>
      </c>
      <c r="K474" s="222" t="n">
        <v>2230</v>
      </c>
      <c r="L474" s="43" t="inlineStr">
        <is>
          <t>204｜電動</t>
        </is>
      </c>
      <c r="M474" s="178" t="b">
        <v>1</v>
      </c>
      <c r="N474" s="43" t="inlineStr">
        <is>
          <t>カタログ個別可否確認済み</t>
        </is>
      </c>
      <c r="O474" s="222" t="n">
        <v>50</v>
      </c>
      <c r="P474" s="222" t="n">
        <v>48</v>
      </c>
      <c r="Q474" s="43" t="inlineStr">
        <is>
          <t>202604_LIXIL_サーモスＬ_業務用資料集_完成品価格表.pdf</t>
        </is>
      </c>
      <c r="R474" s="43" t="inlineStr">
        <is>
          <t>規格呼称は親品種で確認済み。固有仕様ごとの価格設定有無（＿＿表示等）は次QAで最終確定。</t>
        </is>
      </c>
      <c r="S474" s="42" t="inlineStr">
        <is>
          <t>◆</t>
        </is>
      </c>
      <c r="T474" s="42" t="n">
        <v>48</v>
      </c>
      <c r="U474" s="42" t="inlineStr">
        <is>
          <t>P48|◆</t>
        </is>
      </c>
      <c r="V474" s="42" t="inlineStr">
        <is>
          <t>同頁凡例へ直接連動</t>
        </is>
      </c>
    </row>
    <row r="475">
      <c r="A475" s="43" t="inlineStr">
        <is>
          <t>SZ-SL-000472</t>
        </is>
      </c>
      <c r="B475" s="43" t="inlineStr">
        <is>
          <t>SER-LIX-SAMOSL</t>
        </is>
      </c>
      <c r="C475" s="43" t="inlineStr">
        <is>
          <t>WT-SL-SHUTTER-HIKI</t>
        </is>
      </c>
      <c r="D475" s="43" t="inlineStr">
        <is>
          <t>シャッター付引違い窓</t>
        </is>
      </c>
      <c r="E475" s="43" t="inlineStr">
        <is>
          <t>SP-SL-SHUT-E-WIND</t>
        </is>
      </c>
      <c r="F475" s="43" t="inlineStr">
        <is>
          <t>204</t>
        </is>
      </c>
      <c r="G475" s="43" t="inlineStr">
        <is>
          <t>24324-2</t>
        </is>
      </c>
      <c r="H475" s="43" t="inlineStr">
        <is>
          <t>243-2</t>
        </is>
      </c>
      <c r="I475" s="43" t="inlineStr">
        <is>
          <t>24</t>
        </is>
      </c>
      <c r="J475" s="222" t="n">
        <v>2470</v>
      </c>
      <c r="K475" s="222" t="n">
        <v>2430</v>
      </c>
      <c r="L475" s="43" t="inlineStr">
        <is>
          <t>204｜電動</t>
        </is>
      </c>
      <c r="M475" s="178" t="b">
        <v>0</v>
      </c>
      <c r="N475" s="43" t="inlineStr">
        <is>
          <t>設定なし（価格表確認済み）</t>
        </is>
      </c>
      <c r="O475" s="222" t="n">
        <v>50</v>
      </c>
      <c r="P475" s="222" t="n">
        <v>48</v>
      </c>
      <c r="Q475" s="43" t="inlineStr">
        <is>
          <t>202604_LIXIL_サーモスＬ_業務用資料集_完成品価格表.pdf</t>
        </is>
      </c>
      <c r="R475" s="43" t="inlineStr">
        <is>
          <t>規格呼称は親品種で確認済み。固有仕様ごとの価格設定有無（＿＿表示等）は次QAで最終確定。</t>
        </is>
      </c>
      <c r="S475" s="42" t="inlineStr">
        <is>
          <t>●</t>
        </is>
      </c>
      <c r="T475" s="42" t="n">
        <v>48</v>
      </c>
      <c r="U475" s="42" t="inlineStr">
        <is>
          <t>P48|●</t>
        </is>
      </c>
      <c r="V475" s="42" t="inlineStr">
        <is>
          <t>同頁凡例へ直接連動</t>
        </is>
      </c>
    </row>
    <row r="476">
      <c r="A476" s="43" t="inlineStr">
        <is>
          <t>SZ-SL-000473</t>
        </is>
      </c>
      <c r="B476" s="43" t="inlineStr">
        <is>
          <t>SER-LIX-SAMOSL</t>
        </is>
      </c>
      <c r="C476" s="43" t="inlineStr">
        <is>
          <t>WT-SL-SHUTTER-HIKI</t>
        </is>
      </c>
      <c r="D476" s="43" t="inlineStr">
        <is>
          <t>シャッター付引違い窓</t>
        </is>
      </c>
      <c r="E476" s="43" t="inlineStr">
        <is>
          <t>SP-SL-SHUT-M-STD</t>
        </is>
      </c>
      <c r="F476" s="43" t="inlineStr">
        <is>
          <t>在来・204</t>
        </is>
      </c>
      <c r="G476" s="43" t="inlineStr">
        <is>
          <t>17809</t>
        </is>
      </c>
      <c r="H476" s="43" t="inlineStr">
        <is>
          <t>178</t>
        </is>
      </c>
      <c r="I476" s="43" t="inlineStr">
        <is>
          <t>09</t>
        </is>
      </c>
      <c r="J476" s="222" t="n">
        <v>1820</v>
      </c>
      <c r="K476" s="222" t="n">
        <v>970</v>
      </c>
      <c r="L476" s="43" t="inlineStr">
        <is>
          <t>在来・204｜手動</t>
        </is>
      </c>
      <c r="M476" s="178" t="b">
        <v>1</v>
      </c>
      <c r="N476" s="43" t="inlineStr">
        <is>
          <t>カタログ規格確認済み</t>
        </is>
      </c>
      <c r="O476" s="222" t="n">
        <v>58</v>
      </c>
      <c r="P476" s="222" t="n">
        <v>56</v>
      </c>
      <c r="Q476" s="43" t="inlineStr">
        <is>
          <t>202604_LIXIL_サーモスＬ_業務用資料集_完成品価格表.pdf</t>
        </is>
      </c>
      <c r="R476" s="43" t="n"/>
      <c r="S476" s="42" t="inlineStr">
        <is>
          <t>無印</t>
        </is>
      </c>
      <c r="T476" s="42" t="n">
        <v>57</v>
      </c>
      <c r="U476" s="42" t="inlineStr">
        <is>
          <t>P57|無印</t>
        </is>
      </c>
      <c r="V476" s="42" t="inlineStr">
        <is>
          <t>同一価格表・次頁凡例を継承</t>
        </is>
      </c>
    </row>
    <row r="477">
      <c r="A477" s="43" t="inlineStr">
        <is>
          <t>SZ-SL-000474</t>
        </is>
      </c>
      <c r="B477" s="43" t="inlineStr">
        <is>
          <t>SER-LIX-SAMOSL</t>
        </is>
      </c>
      <c r="C477" s="43" t="inlineStr">
        <is>
          <t>WT-SL-SHUTTER-HIKI</t>
        </is>
      </c>
      <c r="D477" s="43" t="inlineStr">
        <is>
          <t>シャッター付引違い窓</t>
        </is>
      </c>
      <c r="E477" s="43" t="inlineStr">
        <is>
          <t>SP-SL-SHUT-M-STD</t>
        </is>
      </c>
      <c r="F477" s="43" t="inlineStr">
        <is>
          <t>在来・204</t>
        </is>
      </c>
      <c r="G477" s="43" t="inlineStr">
        <is>
          <t>17811</t>
        </is>
      </c>
      <c r="H477" s="43" t="inlineStr">
        <is>
          <t>178</t>
        </is>
      </c>
      <c r="I477" s="43" t="inlineStr">
        <is>
          <t>11</t>
        </is>
      </c>
      <c r="J477" s="222" t="n">
        <v>1820</v>
      </c>
      <c r="K477" s="222" t="n">
        <v>1170</v>
      </c>
      <c r="L477" s="43" t="inlineStr">
        <is>
          <t>在来・204｜手動</t>
        </is>
      </c>
      <c r="M477" s="178" t="b">
        <v>1</v>
      </c>
      <c r="N477" s="43" t="inlineStr">
        <is>
          <t>カタログ規格確認済み</t>
        </is>
      </c>
      <c r="O477" s="222" t="n">
        <v>58</v>
      </c>
      <c r="P477" s="222" t="n">
        <v>56</v>
      </c>
      <c r="Q477" s="43" t="inlineStr">
        <is>
          <t>202604_LIXIL_サーモスＬ_業務用資料集_完成品価格表.pdf</t>
        </is>
      </c>
      <c r="R477" s="43" t="n"/>
      <c r="S477" s="42" t="inlineStr">
        <is>
          <t>無印</t>
        </is>
      </c>
      <c r="T477" s="42" t="n">
        <v>57</v>
      </c>
      <c r="U477" s="42" t="inlineStr">
        <is>
          <t>P57|無印</t>
        </is>
      </c>
      <c r="V477" s="42" t="inlineStr">
        <is>
          <t>同一価格表・次頁凡例を継承</t>
        </is>
      </c>
    </row>
    <row r="478">
      <c r="A478" s="43" t="inlineStr">
        <is>
          <t>SZ-SL-000475</t>
        </is>
      </c>
      <c r="B478" s="43" t="inlineStr">
        <is>
          <t>SER-LIX-SAMOSL</t>
        </is>
      </c>
      <c r="C478" s="43" t="inlineStr">
        <is>
          <t>WT-SL-SHUTTER-HIKI</t>
        </is>
      </c>
      <c r="D478" s="43" t="inlineStr">
        <is>
          <t>シャッター付引違い窓</t>
        </is>
      </c>
      <c r="E478" s="43" t="inlineStr">
        <is>
          <t>SP-SL-SHUT-M-STD</t>
        </is>
      </c>
      <c r="F478" s="43" t="inlineStr">
        <is>
          <t>在来・204</t>
        </is>
      </c>
      <c r="G478" s="43" t="inlineStr">
        <is>
          <t>17813</t>
        </is>
      </c>
      <c r="H478" s="43" t="inlineStr">
        <is>
          <t>178</t>
        </is>
      </c>
      <c r="I478" s="43" t="inlineStr">
        <is>
          <t>13</t>
        </is>
      </c>
      <c r="J478" s="222" t="n">
        <v>1820</v>
      </c>
      <c r="K478" s="222" t="n">
        <v>1370</v>
      </c>
      <c r="L478" s="43" t="inlineStr">
        <is>
          <t>在来・204｜手動</t>
        </is>
      </c>
      <c r="M478" s="178" t="b">
        <v>1</v>
      </c>
      <c r="N478" s="43" t="inlineStr">
        <is>
          <t>カタログ規格確認済み</t>
        </is>
      </c>
      <c r="O478" s="222" t="n">
        <v>58</v>
      </c>
      <c r="P478" s="222" t="n">
        <v>56</v>
      </c>
      <c r="Q478" s="43" t="inlineStr">
        <is>
          <t>202604_LIXIL_サーモスＬ_業務用資料集_完成品価格表.pdf</t>
        </is>
      </c>
      <c r="R478" s="43" t="n"/>
      <c r="S478" s="42" t="inlineStr">
        <is>
          <t>★</t>
        </is>
      </c>
      <c r="T478" s="42" t="n">
        <v>57</v>
      </c>
      <c r="U478" s="42" t="inlineStr">
        <is>
          <t>P57|★</t>
        </is>
      </c>
      <c r="V478" s="42" t="inlineStr">
        <is>
          <t>同一価格表・次頁凡例を継承</t>
        </is>
      </c>
    </row>
    <row r="479">
      <c r="A479" s="43" t="inlineStr">
        <is>
          <t>SZ-SL-000476</t>
        </is>
      </c>
      <c r="B479" s="43" t="inlineStr">
        <is>
          <t>SER-LIX-SAMOSL</t>
        </is>
      </c>
      <c r="C479" s="43" t="inlineStr">
        <is>
          <t>WT-SL-SHUTTER-HIKI</t>
        </is>
      </c>
      <c r="D479" s="43" t="inlineStr">
        <is>
          <t>シャッター付引違い窓</t>
        </is>
      </c>
      <c r="E479" s="43" t="inlineStr">
        <is>
          <t>SP-SL-SHUT-M-STD</t>
        </is>
      </c>
      <c r="F479" s="43" t="inlineStr">
        <is>
          <t>在来・204</t>
        </is>
      </c>
      <c r="G479" s="43" t="inlineStr">
        <is>
          <t>18309</t>
        </is>
      </c>
      <c r="H479" s="43" t="inlineStr">
        <is>
          <t>183</t>
        </is>
      </c>
      <c r="I479" s="43" t="inlineStr">
        <is>
          <t>09</t>
        </is>
      </c>
      <c r="J479" s="222" t="n">
        <v>1870</v>
      </c>
      <c r="K479" s="222" t="n">
        <v>970</v>
      </c>
      <c r="L479" s="43" t="inlineStr">
        <is>
          <t>在来・204｜手動</t>
        </is>
      </c>
      <c r="M479" s="178" t="b">
        <v>1</v>
      </c>
      <c r="N479" s="43" t="inlineStr">
        <is>
          <t>カタログ規格確認済み</t>
        </is>
      </c>
      <c r="O479" s="222" t="n">
        <v>58</v>
      </c>
      <c r="P479" s="222" t="n">
        <v>56</v>
      </c>
      <c r="Q479" s="43" t="inlineStr">
        <is>
          <t>202604_LIXIL_サーモスＬ_業務用資料集_完成品価格表.pdf</t>
        </is>
      </c>
      <c r="R479" s="43" t="n"/>
      <c r="S479" s="42" t="inlineStr">
        <is>
          <t>無印</t>
        </is>
      </c>
      <c r="T479" s="42" t="n">
        <v>57</v>
      </c>
      <c r="U479" s="42" t="inlineStr">
        <is>
          <t>P57|無印</t>
        </is>
      </c>
      <c r="V479" s="42" t="inlineStr">
        <is>
          <t>同一価格表・次頁凡例を継承</t>
        </is>
      </c>
    </row>
    <row r="480">
      <c r="A480" s="43" t="inlineStr">
        <is>
          <t>SZ-SL-000477</t>
        </is>
      </c>
      <c r="B480" s="43" t="inlineStr">
        <is>
          <t>SER-LIX-SAMOSL</t>
        </is>
      </c>
      <c r="C480" s="43" t="inlineStr">
        <is>
          <t>WT-SL-SHUTTER-HIKI</t>
        </is>
      </c>
      <c r="D480" s="43" t="inlineStr">
        <is>
          <t>シャッター付引違い窓</t>
        </is>
      </c>
      <c r="E480" s="43" t="inlineStr">
        <is>
          <t>SP-SL-SHUT-M-STD</t>
        </is>
      </c>
      <c r="F480" s="43" t="inlineStr">
        <is>
          <t>在来・204</t>
        </is>
      </c>
      <c r="G480" s="43" t="inlineStr">
        <is>
          <t>18311</t>
        </is>
      </c>
      <c r="H480" s="43" t="inlineStr">
        <is>
          <t>183</t>
        </is>
      </c>
      <c r="I480" s="43" t="inlineStr">
        <is>
          <t>11</t>
        </is>
      </c>
      <c r="J480" s="222" t="n">
        <v>1870</v>
      </c>
      <c r="K480" s="222" t="n">
        <v>1170</v>
      </c>
      <c r="L480" s="43" t="inlineStr">
        <is>
          <t>在来・204｜手動</t>
        </is>
      </c>
      <c r="M480" s="178" t="b">
        <v>1</v>
      </c>
      <c r="N480" s="43" t="inlineStr">
        <is>
          <t>カタログ規格確認済み</t>
        </is>
      </c>
      <c r="O480" s="222" t="n">
        <v>58</v>
      </c>
      <c r="P480" s="222" t="n">
        <v>56</v>
      </c>
      <c r="Q480" s="43" t="inlineStr">
        <is>
          <t>202604_LIXIL_サーモスＬ_業務用資料集_完成品価格表.pdf</t>
        </is>
      </c>
      <c r="R480" s="43" t="n"/>
      <c r="S480" s="42" t="inlineStr">
        <is>
          <t>無印</t>
        </is>
      </c>
      <c r="T480" s="42" t="n">
        <v>57</v>
      </c>
      <c r="U480" s="42" t="inlineStr">
        <is>
          <t>P57|無印</t>
        </is>
      </c>
      <c r="V480" s="42" t="inlineStr">
        <is>
          <t>同一価格表・次頁凡例を継承</t>
        </is>
      </c>
    </row>
    <row r="481">
      <c r="A481" s="43" t="inlineStr">
        <is>
          <t>SZ-SL-000478</t>
        </is>
      </c>
      <c r="B481" s="43" t="inlineStr">
        <is>
          <t>SER-LIX-SAMOSL</t>
        </is>
      </c>
      <c r="C481" s="43" t="inlineStr">
        <is>
          <t>WT-SL-SHUTTER-HIKI</t>
        </is>
      </c>
      <c r="D481" s="43" t="inlineStr">
        <is>
          <t>シャッター付引違い窓</t>
        </is>
      </c>
      <c r="E481" s="43" t="inlineStr">
        <is>
          <t>SP-SL-SHUT-M-STD</t>
        </is>
      </c>
      <c r="F481" s="43" t="inlineStr">
        <is>
          <t>在来・204</t>
        </is>
      </c>
      <c r="G481" s="43" t="inlineStr">
        <is>
          <t>18313</t>
        </is>
      </c>
      <c r="H481" s="43" t="inlineStr">
        <is>
          <t>183</t>
        </is>
      </c>
      <c r="I481" s="43" t="inlineStr">
        <is>
          <t>13</t>
        </is>
      </c>
      <c r="J481" s="222" t="n">
        <v>1870</v>
      </c>
      <c r="K481" s="222" t="n">
        <v>1370</v>
      </c>
      <c r="L481" s="43" t="inlineStr">
        <is>
          <t>在来・204｜手動</t>
        </is>
      </c>
      <c r="M481" s="178" t="b">
        <v>1</v>
      </c>
      <c r="N481" s="43" t="inlineStr">
        <is>
          <t>カタログ規格確認済み</t>
        </is>
      </c>
      <c r="O481" s="222" t="n">
        <v>58</v>
      </c>
      <c r="P481" s="222" t="n">
        <v>56</v>
      </c>
      <c r="Q481" s="43" t="inlineStr">
        <is>
          <t>202604_LIXIL_サーモスＬ_業務用資料集_完成品価格表.pdf</t>
        </is>
      </c>
      <c r="R481" s="43" t="n"/>
      <c r="S481" s="42" t="inlineStr">
        <is>
          <t>★</t>
        </is>
      </c>
      <c r="T481" s="42" t="n">
        <v>57</v>
      </c>
      <c r="U481" s="42" t="inlineStr">
        <is>
          <t>P57|★</t>
        </is>
      </c>
      <c r="V481" s="42" t="inlineStr">
        <is>
          <t>同一価格表・次頁凡例を継承</t>
        </is>
      </c>
    </row>
    <row r="482">
      <c r="A482" s="43" t="inlineStr">
        <is>
          <t>SZ-SL-000479</t>
        </is>
      </c>
      <c r="B482" s="43" t="inlineStr">
        <is>
          <t>SER-LIX-SAMOSL</t>
        </is>
      </c>
      <c r="C482" s="43" t="inlineStr">
        <is>
          <t>WT-SL-SHUTTER-HIKI</t>
        </is>
      </c>
      <c r="D482" s="43" t="inlineStr">
        <is>
          <t>シャッター付引違い窓</t>
        </is>
      </c>
      <c r="E482" s="43" t="inlineStr">
        <is>
          <t>SP-SL-SHUT-M-WIND</t>
        </is>
      </c>
      <c r="F482" s="43" t="inlineStr">
        <is>
          <t>在来・204</t>
        </is>
      </c>
      <c r="G482" s="43" t="inlineStr">
        <is>
          <t>17809</t>
        </is>
      </c>
      <c r="H482" s="43" t="inlineStr">
        <is>
          <t>178</t>
        </is>
      </c>
      <c r="I482" s="43" t="inlineStr">
        <is>
          <t>09</t>
        </is>
      </c>
      <c r="J482" s="222" t="n">
        <v>1820</v>
      </c>
      <c r="K482" s="222" t="n">
        <v>970</v>
      </c>
      <c r="L482" s="43" t="inlineStr">
        <is>
          <t>在来・204｜手動</t>
        </is>
      </c>
      <c r="M482" s="178" t="b">
        <v>0</v>
      </c>
      <c r="N482" s="43" t="inlineStr">
        <is>
          <t>設定なし（価格表確認済み）</t>
        </is>
      </c>
      <c r="O482" s="222" t="n">
        <v>58</v>
      </c>
      <c r="P482" s="222" t="n">
        <v>56</v>
      </c>
      <c r="Q482" s="43" t="inlineStr">
        <is>
          <t>202604_LIXIL_サーモスＬ_業務用資料集_完成品価格表.pdf</t>
        </is>
      </c>
      <c r="R482" s="43" t="inlineStr">
        <is>
          <t>規格呼称は親品種で確認済み。固有仕様ごとの価格設定有無（＿＿表示等）は次QAで最終確定。</t>
        </is>
      </c>
      <c r="S482" s="42" t="inlineStr">
        <is>
          <t>無印</t>
        </is>
      </c>
      <c r="T482" s="42" t="n">
        <v>57</v>
      </c>
      <c r="U482" s="42" t="inlineStr">
        <is>
          <t>P57|無印</t>
        </is>
      </c>
      <c r="V482" s="42" t="inlineStr">
        <is>
          <t>同一価格表・次頁凡例を継承</t>
        </is>
      </c>
    </row>
    <row r="483">
      <c r="A483" s="43" t="inlineStr">
        <is>
          <t>SZ-SL-000480</t>
        </is>
      </c>
      <c r="B483" s="43" t="inlineStr">
        <is>
          <t>SER-LIX-SAMOSL</t>
        </is>
      </c>
      <c r="C483" s="43" t="inlineStr">
        <is>
          <t>WT-SL-SHUTTER-HIKI</t>
        </is>
      </c>
      <c r="D483" s="43" t="inlineStr">
        <is>
          <t>シャッター付引違い窓</t>
        </is>
      </c>
      <c r="E483" s="43" t="inlineStr">
        <is>
          <t>SP-SL-SHUT-M-WIND</t>
        </is>
      </c>
      <c r="F483" s="43" t="inlineStr">
        <is>
          <t>在来・204</t>
        </is>
      </c>
      <c r="G483" s="43" t="inlineStr">
        <is>
          <t>17811</t>
        </is>
      </c>
      <c r="H483" s="43" t="inlineStr">
        <is>
          <t>178</t>
        </is>
      </c>
      <c r="I483" s="43" t="inlineStr">
        <is>
          <t>11</t>
        </is>
      </c>
      <c r="J483" s="222" t="n">
        <v>1820</v>
      </c>
      <c r="K483" s="222" t="n">
        <v>1170</v>
      </c>
      <c r="L483" s="43" t="inlineStr">
        <is>
          <t>在来・204｜手動</t>
        </is>
      </c>
      <c r="M483" s="178" t="b">
        <v>0</v>
      </c>
      <c r="N483" s="43" t="inlineStr">
        <is>
          <t>設定なし（価格表確認済み）</t>
        </is>
      </c>
      <c r="O483" s="222" t="n">
        <v>58</v>
      </c>
      <c r="P483" s="222" t="n">
        <v>56</v>
      </c>
      <c r="Q483" s="43" t="inlineStr">
        <is>
          <t>202604_LIXIL_サーモスＬ_業務用資料集_完成品価格表.pdf</t>
        </is>
      </c>
      <c r="R483" s="43" t="inlineStr">
        <is>
          <t>規格呼称は親品種で確認済み。固有仕様ごとの価格設定有無（＿＿表示等）は次QAで最終確定。</t>
        </is>
      </c>
      <c r="S483" s="42" t="inlineStr">
        <is>
          <t>無印</t>
        </is>
      </c>
      <c r="T483" s="42" t="n">
        <v>57</v>
      </c>
      <c r="U483" s="42" t="inlineStr">
        <is>
          <t>P57|無印</t>
        </is>
      </c>
      <c r="V483" s="42" t="inlineStr">
        <is>
          <t>同一価格表・次頁凡例を継承</t>
        </is>
      </c>
    </row>
    <row r="484">
      <c r="A484" s="43" t="inlineStr">
        <is>
          <t>SZ-SL-000481</t>
        </is>
      </c>
      <c r="B484" s="43" t="inlineStr">
        <is>
          <t>SER-LIX-SAMOSL</t>
        </is>
      </c>
      <c r="C484" s="43" t="inlineStr">
        <is>
          <t>WT-SL-SHUTTER-HIKI</t>
        </is>
      </c>
      <c r="D484" s="43" t="inlineStr">
        <is>
          <t>シャッター付引違い窓</t>
        </is>
      </c>
      <c r="E484" s="43" t="inlineStr">
        <is>
          <t>SP-SL-SHUT-M-WIND</t>
        </is>
      </c>
      <c r="F484" s="43" t="inlineStr">
        <is>
          <t>在来・204</t>
        </is>
      </c>
      <c r="G484" s="43" t="inlineStr">
        <is>
          <t>17813</t>
        </is>
      </c>
      <c r="H484" s="43" t="inlineStr">
        <is>
          <t>178</t>
        </is>
      </c>
      <c r="I484" s="43" t="inlineStr">
        <is>
          <t>13</t>
        </is>
      </c>
      <c r="J484" s="222" t="n">
        <v>1820</v>
      </c>
      <c r="K484" s="222" t="n">
        <v>1370</v>
      </c>
      <c r="L484" s="43" t="inlineStr">
        <is>
          <t>在来・204｜手動</t>
        </is>
      </c>
      <c r="M484" s="178" t="b">
        <v>0</v>
      </c>
      <c r="N484" s="43" t="inlineStr">
        <is>
          <t>設定なし（価格表確認済み）</t>
        </is>
      </c>
      <c r="O484" s="222" t="n">
        <v>58</v>
      </c>
      <c r="P484" s="222" t="n">
        <v>56</v>
      </c>
      <c r="Q484" s="43" t="inlineStr">
        <is>
          <t>202604_LIXIL_サーモスＬ_業務用資料集_完成品価格表.pdf</t>
        </is>
      </c>
      <c r="R484" s="43" t="inlineStr">
        <is>
          <t>規格呼称は親品種で確認済み。固有仕様ごとの価格設定有無（＿＿表示等）は次QAで最終確定。</t>
        </is>
      </c>
      <c r="S484" s="42" t="inlineStr">
        <is>
          <t>★</t>
        </is>
      </c>
      <c r="T484" s="42" t="n">
        <v>57</v>
      </c>
      <c r="U484" s="42" t="inlineStr">
        <is>
          <t>P57|★</t>
        </is>
      </c>
      <c r="V484" s="42" t="inlineStr">
        <is>
          <t>同一価格表・次頁凡例を継承</t>
        </is>
      </c>
    </row>
    <row r="485">
      <c r="A485" s="43" t="inlineStr">
        <is>
          <t>SZ-SL-000482</t>
        </is>
      </c>
      <c r="B485" s="43" t="inlineStr">
        <is>
          <t>SER-LIX-SAMOSL</t>
        </is>
      </c>
      <c r="C485" s="43" t="inlineStr">
        <is>
          <t>WT-SL-SHUTTER-HIKI</t>
        </is>
      </c>
      <c r="D485" s="43" t="inlineStr">
        <is>
          <t>シャッター付引違い窓</t>
        </is>
      </c>
      <c r="E485" s="43" t="inlineStr">
        <is>
          <t>SP-SL-SHUT-M-WIND</t>
        </is>
      </c>
      <c r="F485" s="43" t="inlineStr">
        <is>
          <t>在来・204</t>
        </is>
      </c>
      <c r="G485" s="43" t="inlineStr">
        <is>
          <t>18309</t>
        </is>
      </c>
      <c r="H485" s="43" t="inlineStr">
        <is>
          <t>183</t>
        </is>
      </c>
      <c r="I485" s="43" t="inlineStr">
        <is>
          <t>09</t>
        </is>
      </c>
      <c r="J485" s="222" t="n">
        <v>1870</v>
      </c>
      <c r="K485" s="222" t="n">
        <v>970</v>
      </c>
      <c r="L485" s="43" t="inlineStr">
        <is>
          <t>在来・204｜手動</t>
        </is>
      </c>
      <c r="M485" s="178" t="b">
        <v>0</v>
      </c>
      <c r="N485" s="43" t="inlineStr">
        <is>
          <t>設定なし（価格表確認済み）</t>
        </is>
      </c>
      <c r="O485" s="222" t="n">
        <v>58</v>
      </c>
      <c r="P485" s="222" t="n">
        <v>56</v>
      </c>
      <c r="Q485" s="43" t="inlineStr">
        <is>
          <t>202604_LIXIL_サーモスＬ_業務用資料集_完成品価格表.pdf</t>
        </is>
      </c>
      <c r="R485" s="43" t="inlineStr">
        <is>
          <t>規格呼称は親品種で確認済み。固有仕様ごとの価格設定有無（＿＿表示等）は次QAで最終確定。</t>
        </is>
      </c>
      <c r="S485" s="42" t="inlineStr">
        <is>
          <t>無印</t>
        </is>
      </c>
      <c r="T485" s="42" t="n">
        <v>57</v>
      </c>
      <c r="U485" s="42" t="inlineStr">
        <is>
          <t>P57|無印</t>
        </is>
      </c>
      <c r="V485" s="42" t="inlineStr">
        <is>
          <t>同一価格表・次頁凡例を継承</t>
        </is>
      </c>
    </row>
    <row r="486">
      <c r="A486" s="43" t="inlineStr">
        <is>
          <t>SZ-SL-000483</t>
        </is>
      </c>
      <c r="B486" s="43" t="inlineStr">
        <is>
          <t>SER-LIX-SAMOSL</t>
        </is>
      </c>
      <c r="C486" s="43" t="inlineStr">
        <is>
          <t>WT-SL-SHUTTER-HIKI</t>
        </is>
      </c>
      <c r="D486" s="43" t="inlineStr">
        <is>
          <t>シャッター付引違い窓</t>
        </is>
      </c>
      <c r="E486" s="43" t="inlineStr">
        <is>
          <t>SP-SL-SHUT-M-WIND</t>
        </is>
      </c>
      <c r="F486" s="43" t="inlineStr">
        <is>
          <t>在来・204</t>
        </is>
      </c>
      <c r="G486" s="43" t="inlineStr">
        <is>
          <t>18311</t>
        </is>
      </c>
      <c r="H486" s="43" t="inlineStr">
        <is>
          <t>183</t>
        </is>
      </c>
      <c r="I486" s="43" t="inlineStr">
        <is>
          <t>11</t>
        </is>
      </c>
      <c r="J486" s="222" t="n">
        <v>1870</v>
      </c>
      <c r="K486" s="222" t="n">
        <v>1170</v>
      </c>
      <c r="L486" s="43" t="inlineStr">
        <is>
          <t>在来・204｜手動</t>
        </is>
      </c>
      <c r="M486" s="178" t="b">
        <v>0</v>
      </c>
      <c r="N486" s="43" t="inlineStr">
        <is>
          <t>設定なし（価格表確認済み）</t>
        </is>
      </c>
      <c r="O486" s="222" t="n">
        <v>58</v>
      </c>
      <c r="P486" s="222" t="n">
        <v>56</v>
      </c>
      <c r="Q486" s="43" t="inlineStr">
        <is>
          <t>202604_LIXIL_サーモスＬ_業務用資料集_完成品価格表.pdf</t>
        </is>
      </c>
      <c r="R486" s="43" t="inlineStr">
        <is>
          <t>規格呼称は親品種で確認済み。固有仕様ごとの価格設定有無（＿＿表示等）は次QAで最終確定。</t>
        </is>
      </c>
      <c r="S486" s="42" t="inlineStr">
        <is>
          <t>無印</t>
        </is>
      </c>
      <c r="T486" s="42" t="n">
        <v>57</v>
      </c>
      <c r="U486" s="42" t="inlineStr">
        <is>
          <t>P57|無印</t>
        </is>
      </c>
      <c r="V486" s="42" t="inlineStr">
        <is>
          <t>同一価格表・次頁凡例を継承</t>
        </is>
      </c>
    </row>
    <row r="487">
      <c r="A487" s="43" t="inlineStr">
        <is>
          <t>SZ-SL-000484</t>
        </is>
      </c>
      <c r="B487" s="43" t="inlineStr">
        <is>
          <t>SER-LIX-SAMOSL</t>
        </is>
      </c>
      <c r="C487" s="43" t="inlineStr">
        <is>
          <t>WT-SL-SHUTTER-HIKI</t>
        </is>
      </c>
      <c r="D487" s="43" t="inlineStr">
        <is>
          <t>シャッター付引違い窓</t>
        </is>
      </c>
      <c r="E487" s="43" t="inlineStr">
        <is>
          <t>SP-SL-SHUT-M-WIND</t>
        </is>
      </c>
      <c r="F487" s="43" t="inlineStr">
        <is>
          <t>在来・204</t>
        </is>
      </c>
      <c r="G487" s="43" t="inlineStr">
        <is>
          <t>18313</t>
        </is>
      </c>
      <c r="H487" s="43" t="inlineStr">
        <is>
          <t>183</t>
        </is>
      </c>
      <c r="I487" s="43" t="inlineStr">
        <is>
          <t>13</t>
        </is>
      </c>
      <c r="J487" s="222" t="n">
        <v>1870</v>
      </c>
      <c r="K487" s="222" t="n">
        <v>1370</v>
      </c>
      <c r="L487" s="43" t="inlineStr">
        <is>
          <t>在来・204｜手動</t>
        </is>
      </c>
      <c r="M487" s="178" t="b">
        <v>0</v>
      </c>
      <c r="N487" s="43" t="inlineStr">
        <is>
          <t>設定なし（価格表確認済み）</t>
        </is>
      </c>
      <c r="O487" s="222" t="n">
        <v>58</v>
      </c>
      <c r="P487" s="222" t="n">
        <v>56</v>
      </c>
      <c r="Q487" s="43" t="inlineStr">
        <is>
          <t>202604_LIXIL_サーモスＬ_業務用資料集_完成品価格表.pdf</t>
        </is>
      </c>
      <c r="R487" s="43" t="inlineStr">
        <is>
          <t>規格呼称は親品種で確認済み。固有仕様ごとの価格設定有無（＿＿表示等）は次QAで最終確定。</t>
        </is>
      </c>
      <c r="S487" s="42" t="inlineStr">
        <is>
          <t>★</t>
        </is>
      </c>
      <c r="T487" s="42" t="n">
        <v>57</v>
      </c>
      <c r="U487" s="42" t="inlineStr">
        <is>
          <t>P57|★</t>
        </is>
      </c>
      <c r="V487" s="42" t="inlineStr">
        <is>
          <t>同一価格表・次頁凡例を継承</t>
        </is>
      </c>
    </row>
    <row r="488">
      <c r="A488" s="43" t="inlineStr">
        <is>
          <t>SZ-SL-000485</t>
        </is>
      </c>
      <c r="B488" s="43" t="inlineStr">
        <is>
          <t>SER-LIX-SAMOSL</t>
        </is>
      </c>
      <c r="C488" s="43" t="inlineStr">
        <is>
          <t>WT-SL-SHUTTER-HIKI</t>
        </is>
      </c>
      <c r="D488" s="43" t="inlineStr">
        <is>
          <t>シャッター付引違い窓</t>
        </is>
      </c>
      <c r="E488" s="43" t="inlineStr">
        <is>
          <t>SP-SL-SHUT-M-STD</t>
        </is>
      </c>
      <c r="F488" s="43" t="inlineStr">
        <is>
          <t>在来</t>
        </is>
      </c>
      <c r="G488" s="43" t="inlineStr">
        <is>
          <t>17818</t>
        </is>
      </c>
      <c r="H488" s="43" t="inlineStr">
        <is>
          <t>178</t>
        </is>
      </c>
      <c r="I488" s="43" t="inlineStr">
        <is>
          <t>18</t>
        </is>
      </c>
      <c r="J488" s="222" t="n">
        <v>1820</v>
      </c>
      <c r="K488" s="222" t="n">
        <v>1830</v>
      </c>
      <c r="L488" s="43" t="inlineStr">
        <is>
          <t>在来｜手動｜テラス①</t>
        </is>
      </c>
      <c r="M488" s="178" t="b">
        <v>1</v>
      </c>
      <c r="N488" s="43" t="inlineStr">
        <is>
          <t>カタログ規格確認済み</t>
        </is>
      </c>
      <c r="O488" s="222" t="n">
        <v>61</v>
      </c>
      <c r="P488" s="222" t="n">
        <v>59</v>
      </c>
      <c r="Q488" s="43" t="inlineStr">
        <is>
          <t>202604_LIXIL_サーモスＬ_業務用資料集_完成品価格表.pdf</t>
        </is>
      </c>
      <c r="R488" s="43" t="n"/>
      <c r="S488" s="42" t="inlineStr">
        <is>
          <t>▲</t>
        </is>
      </c>
      <c r="T488" s="42" t="n">
        <v>59</v>
      </c>
      <c r="U488" s="42" t="inlineStr">
        <is>
          <t>P59|▲</t>
        </is>
      </c>
      <c r="V488" s="42" t="inlineStr">
        <is>
          <t>同頁凡例へ直接連動</t>
        </is>
      </c>
    </row>
    <row r="489">
      <c r="A489" s="43" t="inlineStr">
        <is>
          <t>SZ-SL-000486</t>
        </is>
      </c>
      <c r="B489" s="43" t="inlineStr">
        <is>
          <t>SER-LIX-SAMOSL</t>
        </is>
      </c>
      <c r="C489" s="43" t="inlineStr">
        <is>
          <t>WT-SL-SHUTTER-HIKI</t>
        </is>
      </c>
      <c r="D489" s="43" t="inlineStr">
        <is>
          <t>シャッター付引違い窓</t>
        </is>
      </c>
      <c r="E489" s="43" t="inlineStr">
        <is>
          <t>SP-SL-SHUT-M-STD</t>
        </is>
      </c>
      <c r="F489" s="43" t="inlineStr">
        <is>
          <t>在来</t>
        </is>
      </c>
      <c r="G489" s="43" t="inlineStr">
        <is>
          <t>17820</t>
        </is>
      </c>
      <c r="H489" s="43" t="inlineStr">
        <is>
          <t>178</t>
        </is>
      </c>
      <c r="I489" s="43" t="inlineStr">
        <is>
          <t>20</t>
        </is>
      </c>
      <c r="J489" s="222" t="n">
        <v>1820</v>
      </c>
      <c r="K489" s="222" t="n">
        <v>2030</v>
      </c>
      <c r="L489" s="43" t="inlineStr">
        <is>
          <t>在来｜手動｜テラス①</t>
        </is>
      </c>
      <c r="M489" s="178" t="b">
        <v>1</v>
      </c>
      <c r="N489" s="43" t="inlineStr">
        <is>
          <t>カタログ規格確認済み</t>
        </is>
      </c>
      <c r="O489" s="222" t="n">
        <v>61</v>
      </c>
      <c r="P489" s="222" t="n">
        <v>59</v>
      </c>
      <c r="Q489" s="43" t="inlineStr">
        <is>
          <t>202604_LIXIL_サーモスＬ_業務用資料集_完成品価格表.pdf</t>
        </is>
      </c>
      <c r="R489" s="43" t="n"/>
      <c r="S489" s="42" t="inlineStr">
        <is>
          <t>★</t>
        </is>
      </c>
      <c r="T489" s="42" t="n">
        <v>59</v>
      </c>
      <c r="U489" s="42" t="inlineStr">
        <is>
          <t>P59|★</t>
        </is>
      </c>
      <c r="V489" s="42" t="inlineStr">
        <is>
          <t>同頁凡例へ直接連動</t>
        </is>
      </c>
    </row>
    <row r="490">
      <c r="A490" s="43" t="inlineStr">
        <is>
          <t>SZ-SL-000487</t>
        </is>
      </c>
      <c r="B490" s="43" t="inlineStr">
        <is>
          <t>SER-LIX-SAMOSL</t>
        </is>
      </c>
      <c r="C490" s="43" t="inlineStr">
        <is>
          <t>WT-SL-SHUTTER-HIKI</t>
        </is>
      </c>
      <c r="D490" s="43" t="inlineStr">
        <is>
          <t>シャッター付引違い窓</t>
        </is>
      </c>
      <c r="E490" s="43" t="inlineStr">
        <is>
          <t>SP-SL-SHUT-M-STD</t>
        </is>
      </c>
      <c r="F490" s="43" t="inlineStr">
        <is>
          <t>在来</t>
        </is>
      </c>
      <c r="G490" s="43" t="inlineStr">
        <is>
          <t>17822</t>
        </is>
      </c>
      <c r="H490" s="43" t="inlineStr">
        <is>
          <t>178</t>
        </is>
      </c>
      <c r="I490" s="43" t="inlineStr">
        <is>
          <t>22</t>
        </is>
      </c>
      <c r="J490" s="222" t="n">
        <v>1820</v>
      </c>
      <c r="K490" s="222" t="n">
        <v>2230</v>
      </c>
      <c r="L490" s="43" t="inlineStr">
        <is>
          <t>在来｜手動｜テラス①</t>
        </is>
      </c>
      <c r="M490" s="178" t="b">
        <v>1</v>
      </c>
      <c r="N490" s="43" t="inlineStr">
        <is>
          <t>カタログ規格確認済み</t>
        </is>
      </c>
      <c r="O490" s="222" t="n">
        <v>61</v>
      </c>
      <c r="P490" s="222" t="n">
        <v>59</v>
      </c>
      <c r="Q490" s="43" t="inlineStr">
        <is>
          <t>202604_LIXIL_サーモスＬ_業務用資料集_完成品価格表.pdf</t>
        </is>
      </c>
      <c r="R490" s="43" t="n"/>
      <c r="S490" s="42" t="inlineStr">
        <is>
          <t>★</t>
        </is>
      </c>
      <c r="T490" s="42" t="n">
        <v>59</v>
      </c>
      <c r="U490" s="42" t="inlineStr">
        <is>
          <t>P59|★</t>
        </is>
      </c>
      <c r="V490" s="42" t="inlineStr">
        <is>
          <t>同頁凡例へ直接連動</t>
        </is>
      </c>
    </row>
    <row r="491">
      <c r="A491" s="43" t="inlineStr">
        <is>
          <t>SZ-SL-000488</t>
        </is>
      </c>
      <c r="B491" s="43" t="inlineStr">
        <is>
          <t>SER-LIX-SAMOSL</t>
        </is>
      </c>
      <c r="C491" s="43" t="inlineStr">
        <is>
          <t>WT-SL-SHUTTER-HIKI</t>
        </is>
      </c>
      <c r="D491" s="43" t="inlineStr">
        <is>
          <t>シャッター付引違い窓</t>
        </is>
      </c>
      <c r="E491" s="43" t="inlineStr">
        <is>
          <t>SP-SL-SHUT-M-WIND</t>
        </is>
      </c>
      <c r="F491" s="43" t="inlineStr">
        <is>
          <t>在来</t>
        </is>
      </c>
      <c r="G491" s="43" t="inlineStr">
        <is>
          <t>17818</t>
        </is>
      </c>
      <c r="H491" s="43" t="inlineStr">
        <is>
          <t>178</t>
        </is>
      </c>
      <c r="I491" s="43" t="inlineStr">
        <is>
          <t>18</t>
        </is>
      </c>
      <c r="J491" s="222" t="n">
        <v>1820</v>
      </c>
      <c r="K491" s="222" t="n">
        <v>1830</v>
      </c>
      <c r="L491" s="43" t="inlineStr">
        <is>
          <t>在来｜手動｜テラス①</t>
        </is>
      </c>
      <c r="M491" s="178" t="b">
        <v>0</v>
      </c>
      <c r="N491" s="43" t="inlineStr">
        <is>
          <t>設定なし（価格表確認済み）</t>
        </is>
      </c>
      <c r="O491" s="222" t="n">
        <v>61</v>
      </c>
      <c r="P491" s="222" t="n">
        <v>59</v>
      </c>
      <c r="Q491" s="43" t="inlineStr">
        <is>
          <t>202604_LIXIL_サーモスＬ_業務用資料集_完成品価格表.pdf</t>
        </is>
      </c>
      <c r="R491" s="43" t="inlineStr">
        <is>
          <t>規格呼称は親品種で確認済み。固有仕様ごとの価格設定有無（＿＿表示等）は次QAで最終確定。</t>
        </is>
      </c>
      <c r="S491" s="42" t="inlineStr">
        <is>
          <t>▲</t>
        </is>
      </c>
      <c r="T491" s="42" t="n">
        <v>59</v>
      </c>
      <c r="U491" s="42" t="inlineStr">
        <is>
          <t>P59|▲</t>
        </is>
      </c>
      <c r="V491" s="42" t="inlineStr">
        <is>
          <t>同頁凡例へ直接連動</t>
        </is>
      </c>
    </row>
    <row r="492">
      <c r="A492" s="43" t="inlineStr">
        <is>
          <t>SZ-SL-000489</t>
        </is>
      </c>
      <c r="B492" s="43" t="inlineStr">
        <is>
          <t>SER-LIX-SAMOSL</t>
        </is>
      </c>
      <c r="C492" s="43" t="inlineStr">
        <is>
          <t>WT-SL-SHUTTER-HIKI</t>
        </is>
      </c>
      <c r="D492" s="43" t="inlineStr">
        <is>
          <t>シャッター付引違い窓</t>
        </is>
      </c>
      <c r="E492" s="43" t="inlineStr">
        <is>
          <t>SP-SL-SHUT-M-WIND</t>
        </is>
      </c>
      <c r="F492" s="43" t="inlineStr">
        <is>
          <t>在来</t>
        </is>
      </c>
      <c r="G492" s="43" t="inlineStr">
        <is>
          <t>17820</t>
        </is>
      </c>
      <c r="H492" s="43" t="inlineStr">
        <is>
          <t>178</t>
        </is>
      </c>
      <c r="I492" s="43" t="inlineStr">
        <is>
          <t>20</t>
        </is>
      </c>
      <c r="J492" s="222" t="n">
        <v>1820</v>
      </c>
      <c r="K492" s="222" t="n">
        <v>2030</v>
      </c>
      <c r="L492" s="43" t="inlineStr">
        <is>
          <t>在来｜手動｜テラス①</t>
        </is>
      </c>
      <c r="M492" s="178" t="b">
        <v>0</v>
      </c>
      <c r="N492" s="43" t="inlineStr">
        <is>
          <t>設定なし（価格表確認済み）</t>
        </is>
      </c>
      <c r="O492" s="222" t="n">
        <v>61</v>
      </c>
      <c r="P492" s="222" t="n">
        <v>59</v>
      </c>
      <c r="Q492" s="43" t="inlineStr">
        <is>
          <t>202604_LIXIL_サーモスＬ_業務用資料集_完成品価格表.pdf</t>
        </is>
      </c>
      <c r="R492" s="43" t="inlineStr">
        <is>
          <t>規格呼称は親品種で確認済み。固有仕様ごとの価格設定有無（＿＿表示等）は次QAで最終確定。</t>
        </is>
      </c>
      <c r="S492" s="42" t="inlineStr">
        <is>
          <t>★</t>
        </is>
      </c>
      <c r="T492" s="42" t="n">
        <v>59</v>
      </c>
      <c r="U492" s="42" t="inlineStr">
        <is>
          <t>P59|★</t>
        </is>
      </c>
      <c r="V492" s="42" t="inlineStr">
        <is>
          <t>同頁凡例へ直接連動</t>
        </is>
      </c>
    </row>
    <row r="493">
      <c r="A493" s="43" t="inlineStr">
        <is>
          <t>SZ-SL-000490</t>
        </is>
      </c>
      <c r="B493" s="43" t="inlineStr">
        <is>
          <t>SER-LIX-SAMOSL</t>
        </is>
      </c>
      <c r="C493" s="43" t="inlineStr">
        <is>
          <t>WT-SL-SHUTTER-HIKI</t>
        </is>
      </c>
      <c r="D493" s="43" t="inlineStr">
        <is>
          <t>シャッター付引違い窓</t>
        </is>
      </c>
      <c r="E493" s="43" t="inlineStr">
        <is>
          <t>SP-SL-SHUT-M-WIND</t>
        </is>
      </c>
      <c r="F493" s="43" t="inlineStr">
        <is>
          <t>在来</t>
        </is>
      </c>
      <c r="G493" s="43" t="inlineStr">
        <is>
          <t>17822</t>
        </is>
      </c>
      <c r="H493" s="43" t="inlineStr">
        <is>
          <t>178</t>
        </is>
      </c>
      <c r="I493" s="43" t="inlineStr">
        <is>
          <t>22</t>
        </is>
      </c>
      <c r="J493" s="222" t="n">
        <v>1820</v>
      </c>
      <c r="K493" s="222" t="n">
        <v>2230</v>
      </c>
      <c r="L493" s="43" t="inlineStr">
        <is>
          <t>在来｜手動｜テラス①</t>
        </is>
      </c>
      <c r="M493" s="178" t="b">
        <v>0</v>
      </c>
      <c r="N493" s="43" t="inlineStr">
        <is>
          <t>設定なし（価格表確認済み）</t>
        </is>
      </c>
      <c r="O493" s="222" t="n">
        <v>61</v>
      </c>
      <c r="P493" s="222" t="n">
        <v>59</v>
      </c>
      <c r="Q493" s="43" t="inlineStr">
        <is>
          <t>202604_LIXIL_サーモスＬ_業務用資料集_完成品価格表.pdf</t>
        </is>
      </c>
      <c r="R493" s="43" t="inlineStr">
        <is>
          <t>規格呼称は親品種で確認済み。固有仕様ごとの価格設定有無（＿＿表示等）は次QAで最終確定。</t>
        </is>
      </c>
      <c r="S493" s="42" t="inlineStr">
        <is>
          <t>★</t>
        </is>
      </c>
      <c r="T493" s="42" t="n">
        <v>59</v>
      </c>
      <c r="U493" s="42" t="inlineStr">
        <is>
          <t>P59|★</t>
        </is>
      </c>
      <c r="V493" s="42" t="inlineStr">
        <is>
          <t>同頁凡例へ直接連動</t>
        </is>
      </c>
    </row>
    <row r="494">
      <c r="A494" s="43" t="inlineStr">
        <is>
          <t>SZ-SL-000491</t>
        </is>
      </c>
      <c r="B494" s="43" t="inlineStr">
        <is>
          <t>SER-LIX-SAMOSL</t>
        </is>
      </c>
      <c r="C494" s="43" t="inlineStr">
        <is>
          <t>WT-SL-SHUTTER-HIKI</t>
        </is>
      </c>
      <c r="D494" s="43" t="inlineStr">
        <is>
          <t>シャッター付引違い窓</t>
        </is>
      </c>
      <c r="E494" s="43" t="inlineStr">
        <is>
          <t>SP-SL-SHUT-M-STD</t>
        </is>
      </c>
      <c r="F494" s="43" t="inlineStr">
        <is>
          <t>在来</t>
        </is>
      </c>
      <c r="G494" s="43" t="inlineStr">
        <is>
          <t>18318</t>
        </is>
      </c>
      <c r="H494" s="43" t="inlineStr">
        <is>
          <t>183</t>
        </is>
      </c>
      <c r="I494" s="43" t="inlineStr">
        <is>
          <t>18</t>
        </is>
      </c>
      <c r="J494" s="222" t="n">
        <v>1870</v>
      </c>
      <c r="K494" s="222" t="n">
        <v>1830</v>
      </c>
      <c r="L494" s="43" t="inlineStr">
        <is>
          <t>在来｜手動｜テラス②</t>
        </is>
      </c>
      <c r="M494" s="178" t="b">
        <v>1</v>
      </c>
      <c r="N494" s="43" t="inlineStr">
        <is>
          <t>カタログ規格確認済み</t>
        </is>
      </c>
      <c r="O494" s="222" t="n">
        <v>62</v>
      </c>
      <c r="P494" s="222" t="n">
        <v>60</v>
      </c>
      <c r="Q494" s="43" t="inlineStr">
        <is>
          <t>202604_LIXIL_サーモスＬ_業務用資料集_完成品価格表.pdf</t>
        </is>
      </c>
      <c r="R494" s="43" t="n"/>
      <c r="S494" s="42" t="inlineStr">
        <is>
          <t>★</t>
        </is>
      </c>
      <c r="T494" s="42" t="n">
        <v>61</v>
      </c>
      <c r="U494" s="42" t="inlineStr">
        <is>
          <t>P61|★</t>
        </is>
      </c>
      <c r="V494" s="42" t="inlineStr">
        <is>
          <t>同一価格表・次頁凡例を継承</t>
        </is>
      </c>
    </row>
    <row r="495">
      <c r="A495" s="43" t="inlineStr">
        <is>
          <t>SZ-SL-000492</t>
        </is>
      </c>
      <c r="B495" s="43" t="inlineStr">
        <is>
          <t>SER-LIX-SAMOSL</t>
        </is>
      </c>
      <c r="C495" s="43" t="inlineStr">
        <is>
          <t>WT-SL-SHUTTER-HIKI</t>
        </is>
      </c>
      <c r="D495" s="43" t="inlineStr">
        <is>
          <t>シャッター付引違い窓</t>
        </is>
      </c>
      <c r="E495" s="43" t="inlineStr">
        <is>
          <t>SP-SL-SHUT-M-STD</t>
        </is>
      </c>
      <c r="F495" s="43" t="inlineStr">
        <is>
          <t>在来</t>
        </is>
      </c>
      <c r="G495" s="43" t="inlineStr">
        <is>
          <t>18320</t>
        </is>
      </c>
      <c r="H495" s="43" t="inlineStr">
        <is>
          <t>183</t>
        </is>
      </c>
      <c r="I495" s="43" t="inlineStr">
        <is>
          <t>20</t>
        </is>
      </c>
      <c r="J495" s="222" t="n">
        <v>1870</v>
      </c>
      <c r="K495" s="222" t="n">
        <v>2030</v>
      </c>
      <c r="L495" s="43" t="inlineStr">
        <is>
          <t>在来｜手動｜テラス②</t>
        </is>
      </c>
      <c r="M495" s="178" t="b">
        <v>1</v>
      </c>
      <c r="N495" s="43" t="inlineStr">
        <is>
          <t>カタログ規格確認済み</t>
        </is>
      </c>
      <c r="O495" s="222" t="n">
        <v>62</v>
      </c>
      <c r="P495" s="222" t="n">
        <v>60</v>
      </c>
      <c r="Q495" s="43" t="inlineStr">
        <is>
          <t>202604_LIXIL_サーモスＬ_業務用資料集_完成品価格表.pdf</t>
        </is>
      </c>
      <c r="R495" s="43" t="n"/>
      <c r="S495" s="42" t="inlineStr">
        <is>
          <t>★</t>
        </is>
      </c>
      <c r="T495" s="42" t="n">
        <v>61</v>
      </c>
      <c r="U495" s="42" t="inlineStr">
        <is>
          <t>P61|★</t>
        </is>
      </c>
      <c r="V495" s="42" t="inlineStr">
        <is>
          <t>同一価格表・次頁凡例を継承</t>
        </is>
      </c>
    </row>
    <row r="496">
      <c r="A496" s="43" t="inlineStr">
        <is>
          <t>SZ-SL-000493</t>
        </is>
      </c>
      <c r="B496" s="43" t="inlineStr">
        <is>
          <t>SER-LIX-SAMOSL</t>
        </is>
      </c>
      <c r="C496" s="43" t="inlineStr">
        <is>
          <t>WT-SL-SHUTTER-HIKI</t>
        </is>
      </c>
      <c r="D496" s="43" t="inlineStr">
        <is>
          <t>シャッター付引違い窓</t>
        </is>
      </c>
      <c r="E496" s="43" t="inlineStr">
        <is>
          <t>SP-SL-SHUT-M-STD</t>
        </is>
      </c>
      <c r="F496" s="43" t="inlineStr">
        <is>
          <t>在来</t>
        </is>
      </c>
      <c r="G496" s="43" t="inlineStr">
        <is>
          <t>18322</t>
        </is>
      </c>
      <c r="H496" s="43" t="inlineStr">
        <is>
          <t>183</t>
        </is>
      </c>
      <c r="I496" s="43" t="inlineStr">
        <is>
          <t>22</t>
        </is>
      </c>
      <c r="J496" s="222" t="n">
        <v>1870</v>
      </c>
      <c r="K496" s="222" t="n">
        <v>2230</v>
      </c>
      <c r="L496" s="43" t="inlineStr">
        <is>
          <t>在来｜手動｜テラス②</t>
        </is>
      </c>
      <c r="M496" s="178" t="b">
        <v>1</v>
      </c>
      <c r="N496" s="43" t="inlineStr">
        <is>
          <t>カタログ規格確認済み</t>
        </is>
      </c>
      <c r="O496" s="222" t="n">
        <v>62</v>
      </c>
      <c r="P496" s="222" t="n">
        <v>60</v>
      </c>
      <c r="Q496" s="43" t="inlineStr">
        <is>
          <t>202604_LIXIL_サーモスＬ_業務用資料集_完成品価格表.pdf</t>
        </is>
      </c>
      <c r="R496" s="43" t="n"/>
      <c r="S496" s="42" t="inlineStr">
        <is>
          <t>★</t>
        </is>
      </c>
      <c r="T496" s="42" t="n">
        <v>61</v>
      </c>
      <c r="U496" s="42" t="inlineStr">
        <is>
          <t>P61|★</t>
        </is>
      </c>
      <c r="V496" s="42" t="inlineStr">
        <is>
          <t>同一価格表・次頁凡例を継承</t>
        </is>
      </c>
    </row>
    <row r="497">
      <c r="A497" s="43" t="inlineStr">
        <is>
          <t>SZ-SL-000494</t>
        </is>
      </c>
      <c r="B497" s="43" t="inlineStr">
        <is>
          <t>SER-LIX-SAMOSL</t>
        </is>
      </c>
      <c r="C497" s="43" t="inlineStr">
        <is>
          <t>WT-SL-SHUTTER-HIKI</t>
        </is>
      </c>
      <c r="D497" s="43" t="inlineStr">
        <is>
          <t>シャッター付引違い窓</t>
        </is>
      </c>
      <c r="E497" s="43" t="inlineStr">
        <is>
          <t>SP-SL-SHUT-M-WIND</t>
        </is>
      </c>
      <c r="F497" s="43" t="inlineStr">
        <is>
          <t>在来</t>
        </is>
      </c>
      <c r="G497" s="43" t="inlineStr">
        <is>
          <t>18318</t>
        </is>
      </c>
      <c r="H497" s="43" t="inlineStr">
        <is>
          <t>183</t>
        </is>
      </c>
      <c r="I497" s="43" t="inlineStr">
        <is>
          <t>18</t>
        </is>
      </c>
      <c r="J497" s="222" t="n">
        <v>1870</v>
      </c>
      <c r="K497" s="222" t="n">
        <v>1830</v>
      </c>
      <c r="L497" s="43" t="inlineStr">
        <is>
          <t>在来｜手動｜テラス②</t>
        </is>
      </c>
      <c r="M497" s="178" t="b">
        <v>0</v>
      </c>
      <c r="N497" s="43" t="inlineStr">
        <is>
          <t>設定なし（価格表確認済み）</t>
        </is>
      </c>
      <c r="O497" s="222" t="n">
        <v>62</v>
      </c>
      <c r="P497" s="222" t="n">
        <v>60</v>
      </c>
      <c r="Q497" s="43" t="inlineStr">
        <is>
          <t>202604_LIXIL_サーモスＬ_業務用資料集_完成品価格表.pdf</t>
        </is>
      </c>
      <c r="R497" s="43" t="inlineStr">
        <is>
          <t>規格呼称は親品種で確認済み。固有仕様ごとの価格設定有無（＿＿表示等）は次QAで最終確定。</t>
        </is>
      </c>
      <c r="S497" s="42" t="inlineStr">
        <is>
          <t>★</t>
        </is>
      </c>
      <c r="T497" s="42" t="n">
        <v>61</v>
      </c>
      <c r="U497" s="42" t="inlineStr">
        <is>
          <t>P61|★</t>
        </is>
      </c>
      <c r="V497" s="42" t="inlineStr">
        <is>
          <t>同一価格表・次頁凡例を継承</t>
        </is>
      </c>
    </row>
    <row r="498">
      <c r="A498" s="43" t="inlineStr">
        <is>
          <t>SZ-SL-000495</t>
        </is>
      </c>
      <c r="B498" s="43" t="inlineStr">
        <is>
          <t>SER-LIX-SAMOSL</t>
        </is>
      </c>
      <c r="C498" s="43" t="inlineStr">
        <is>
          <t>WT-SL-SHUTTER-HIKI</t>
        </is>
      </c>
      <c r="D498" s="43" t="inlineStr">
        <is>
          <t>シャッター付引違い窓</t>
        </is>
      </c>
      <c r="E498" s="43" t="inlineStr">
        <is>
          <t>SP-SL-SHUT-M-WIND</t>
        </is>
      </c>
      <c r="F498" s="43" t="inlineStr">
        <is>
          <t>在来</t>
        </is>
      </c>
      <c r="G498" s="43" t="inlineStr">
        <is>
          <t>18320</t>
        </is>
      </c>
      <c r="H498" s="43" t="inlineStr">
        <is>
          <t>183</t>
        </is>
      </c>
      <c r="I498" s="43" t="inlineStr">
        <is>
          <t>20</t>
        </is>
      </c>
      <c r="J498" s="222" t="n">
        <v>1870</v>
      </c>
      <c r="K498" s="222" t="n">
        <v>2030</v>
      </c>
      <c r="L498" s="43" t="inlineStr">
        <is>
          <t>在来｜手動｜テラス②</t>
        </is>
      </c>
      <c r="M498" s="178" t="b">
        <v>0</v>
      </c>
      <c r="N498" s="43" t="inlineStr">
        <is>
          <t>設定なし（価格表確認済み）</t>
        </is>
      </c>
      <c r="O498" s="222" t="n">
        <v>62</v>
      </c>
      <c r="P498" s="222" t="n">
        <v>60</v>
      </c>
      <c r="Q498" s="43" t="inlineStr">
        <is>
          <t>202604_LIXIL_サーモスＬ_業務用資料集_完成品価格表.pdf</t>
        </is>
      </c>
      <c r="R498" s="43" t="inlineStr">
        <is>
          <t>規格呼称は親品種で確認済み。固有仕様ごとの価格設定有無（＿＿表示等）は次QAで最終確定。</t>
        </is>
      </c>
      <c r="S498" s="42" t="inlineStr">
        <is>
          <t>★</t>
        </is>
      </c>
      <c r="T498" s="42" t="n">
        <v>61</v>
      </c>
      <c r="U498" s="42" t="inlineStr">
        <is>
          <t>P61|★</t>
        </is>
      </c>
      <c r="V498" s="42" t="inlineStr">
        <is>
          <t>同一価格表・次頁凡例を継承</t>
        </is>
      </c>
    </row>
    <row r="499">
      <c r="A499" s="43" t="inlineStr">
        <is>
          <t>SZ-SL-000496</t>
        </is>
      </c>
      <c r="B499" s="43" t="inlineStr">
        <is>
          <t>SER-LIX-SAMOSL</t>
        </is>
      </c>
      <c r="C499" s="43" t="inlineStr">
        <is>
          <t>WT-SL-SHUTTER-HIKI</t>
        </is>
      </c>
      <c r="D499" s="43" t="inlineStr">
        <is>
          <t>シャッター付引違い窓</t>
        </is>
      </c>
      <c r="E499" s="43" t="inlineStr">
        <is>
          <t>SP-SL-SHUT-M-WIND</t>
        </is>
      </c>
      <c r="F499" s="43" t="inlineStr">
        <is>
          <t>在来</t>
        </is>
      </c>
      <c r="G499" s="43" t="inlineStr">
        <is>
          <t>18322</t>
        </is>
      </c>
      <c r="H499" s="43" t="inlineStr">
        <is>
          <t>183</t>
        </is>
      </c>
      <c r="I499" s="43" t="inlineStr">
        <is>
          <t>22</t>
        </is>
      </c>
      <c r="J499" s="222" t="n">
        <v>1870</v>
      </c>
      <c r="K499" s="222" t="n">
        <v>2230</v>
      </c>
      <c r="L499" s="43" t="inlineStr">
        <is>
          <t>在来｜手動｜テラス②</t>
        </is>
      </c>
      <c r="M499" s="178" t="b">
        <v>0</v>
      </c>
      <c r="N499" s="43" t="inlineStr">
        <is>
          <t>設定なし（価格表確認済み）</t>
        </is>
      </c>
      <c r="O499" s="222" t="n">
        <v>62</v>
      </c>
      <c r="P499" s="222" t="n">
        <v>60</v>
      </c>
      <c r="Q499" s="43" t="inlineStr">
        <is>
          <t>202604_LIXIL_サーモスＬ_業務用資料集_完成品価格表.pdf</t>
        </is>
      </c>
      <c r="R499" s="43" t="inlineStr">
        <is>
          <t>規格呼称は親品種で確認済み。固有仕様ごとの価格設定有無（＿＿表示等）は次QAで最終確定。</t>
        </is>
      </c>
      <c r="S499" s="42" t="inlineStr">
        <is>
          <t>★</t>
        </is>
      </c>
      <c r="T499" s="42" t="n">
        <v>61</v>
      </c>
      <c r="U499" s="42" t="inlineStr">
        <is>
          <t>P61|★</t>
        </is>
      </c>
      <c r="V499" s="42" t="inlineStr">
        <is>
          <t>同一価格表・次頁凡例を継承</t>
        </is>
      </c>
    </row>
    <row r="500">
      <c r="A500" s="43" t="inlineStr">
        <is>
          <t>SZ-SL-000497</t>
        </is>
      </c>
      <c r="B500" s="43" t="inlineStr">
        <is>
          <t>SER-LIX-SAMOSL</t>
        </is>
      </c>
      <c r="C500" s="43" t="inlineStr">
        <is>
          <t>WT-SL-AMADO-HIKI</t>
        </is>
      </c>
      <c r="D500" s="43" t="inlineStr">
        <is>
          <t>雨戸付引違い窓</t>
        </is>
      </c>
      <c r="E500" s="43" t="inlineStr">
        <is>
          <t>*</t>
        </is>
      </c>
      <c r="F500" s="43" t="inlineStr">
        <is>
          <t>在来・204</t>
        </is>
      </c>
      <c r="G500" s="43" t="inlineStr">
        <is>
          <t>11409</t>
        </is>
      </c>
      <c r="H500" s="43" t="inlineStr">
        <is>
          <t>114</t>
        </is>
      </c>
      <c r="I500" s="43" t="inlineStr">
        <is>
          <t>09</t>
        </is>
      </c>
      <c r="J500" s="222" t="n">
        <v>1185</v>
      </c>
      <c r="K500" s="222" t="n">
        <v>970</v>
      </c>
      <c r="L500" s="43" t="inlineStr">
        <is>
          <t>在来・204</t>
        </is>
      </c>
      <c r="M500" s="178" t="b">
        <v>1</v>
      </c>
      <c r="N500" s="43" t="inlineStr">
        <is>
          <t>サイズ共通</t>
        </is>
      </c>
      <c r="O500" s="222" t="n">
        <v>68</v>
      </c>
      <c r="P500" s="222" t="n">
        <v>66</v>
      </c>
      <c r="Q500" s="43" t="inlineStr">
        <is>
          <t>202604_LIXIL_サーモスＬ_業務用資料集_完成品価格表.pdf</t>
        </is>
      </c>
      <c r="R500" s="43" t="inlineStr">
        <is>
          <t>固有仕様ID='*'：サイズは当該窓種の固有仕様間で共通扱い。個別部材の設定可否は関係表で制御。</t>
        </is>
      </c>
      <c r="S500" s="42" t="inlineStr">
        <is>
          <t>無印</t>
        </is>
      </c>
      <c r="T500" s="42" t="n">
        <v>66</v>
      </c>
      <c r="U500" s="42" t="inlineStr">
        <is>
          <t>P66|無印</t>
        </is>
      </c>
      <c r="V500" s="42" t="inlineStr">
        <is>
          <t>同頁凡例へ直接連動</t>
        </is>
      </c>
    </row>
    <row r="501">
      <c r="A501" s="43" t="inlineStr">
        <is>
          <t>SZ-SL-000498</t>
        </is>
      </c>
      <c r="B501" s="43" t="inlineStr">
        <is>
          <t>SER-LIX-SAMOSL</t>
        </is>
      </c>
      <c r="C501" s="43" t="inlineStr">
        <is>
          <t>WT-SL-AMADO-HIKI</t>
        </is>
      </c>
      <c r="D501" s="43" t="inlineStr">
        <is>
          <t>雨戸付引違い窓</t>
        </is>
      </c>
      <c r="E501" s="43" t="inlineStr">
        <is>
          <t>*</t>
        </is>
      </c>
      <c r="F501" s="43" t="inlineStr">
        <is>
          <t>在来・204</t>
        </is>
      </c>
      <c r="G501" s="43" t="inlineStr">
        <is>
          <t>11411</t>
        </is>
      </c>
      <c r="H501" s="43" t="inlineStr">
        <is>
          <t>114</t>
        </is>
      </c>
      <c r="I501" s="43" t="inlineStr">
        <is>
          <t>11</t>
        </is>
      </c>
      <c r="J501" s="222" t="n">
        <v>1185</v>
      </c>
      <c r="K501" s="222" t="n">
        <v>1170</v>
      </c>
      <c r="L501" s="43" t="inlineStr">
        <is>
          <t>在来・204</t>
        </is>
      </c>
      <c r="M501" s="178" t="b">
        <v>1</v>
      </c>
      <c r="N501" s="43" t="inlineStr">
        <is>
          <t>サイズ共通</t>
        </is>
      </c>
      <c r="O501" s="222" t="n">
        <v>68</v>
      </c>
      <c r="P501" s="222" t="n">
        <v>66</v>
      </c>
      <c r="Q501" s="43" t="inlineStr">
        <is>
          <t>202604_LIXIL_サーモスＬ_業務用資料集_完成品価格表.pdf</t>
        </is>
      </c>
      <c r="R501" s="43" t="inlineStr">
        <is>
          <t>固有仕様ID='*'：サイズは当該窓種の固有仕様間で共通扱い。個別部材の設定可否は関係表で制御。</t>
        </is>
      </c>
      <c r="S501" s="42" t="inlineStr">
        <is>
          <t>無印</t>
        </is>
      </c>
      <c r="T501" s="42" t="n">
        <v>66</v>
      </c>
      <c r="U501" s="42" t="inlineStr">
        <is>
          <t>P66|無印</t>
        </is>
      </c>
      <c r="V501" s="42" t="inlineStr">
        <is>
          <t>同頁凡例へ直接連動</t>
        </is>
      </c>
    </row>
    <row r="502">
      <c r="A502" s="43" t="inlineStr">
        <is>
          <t>SZ-SL-000499</t>
        </is>
      </c>
      <c r="B502" s="43" t="inlineStr">
        <is>
          <t>SER-LIX-SAMOSL</t>
        </is>
      </c>
      <c r="C502" s="43" t="inlineStr">
        <is>
          <t>WT-SL-AMADO-HIKI</t>
        </is>
      </c>
      <c r="D502" s="43" t="inlineStr">
        <is>
          <t>雨戸付引違い窓</t>
        </is>
      </c>
      <c r="E502" s="43" t="inlineStr">
        <is>
          <t>*</t>
        </is>
      </c>
      <c r="F502" s="43" t="inlineStr">
        <is>
          <t>在来・204</t>
        </is>
      </c>
      <c r="G502" s="43" t="inlineStr">
        <is>
          <t>11909</t>
        </is>
      </c>
      <c r="H502" s="43" t="inlineStr">
        <is>
          <t>119</t>
        </is>
      </c>
      <c r="I502" s="43" t="inlineStr">
        <is>
          <t>09</t>
        </is>
      </c>
      <c r="J502" s="222" t="n">
        <v>1235</v>
      </c>
      <c r="K502" s="222" t="n">
        <v>970</v>
      </c>
      <c r="L502" s="43" t="inlineStr">
        <is>
          <t>在来・204</t>
        </is>
      </c>
      <c r="M502" s="178" t="b">
        <v>1</v>
      </c>
      <c r="N502" s="43" t="inlineStr">
        <is>
          <t>サイズ共通</t>
        </is>
      </c>
      <c r="O502" s="222" t="n">
        <v>68</v>
      </c>
      <c r="P502" s="222" t="n">
        <v>66</v>
      </c>
      <c r="Q502" s="43" t="inlineStr">
        <is>
          <t>202604_LIXIL_サーモスＬ_業務用資料集_完成品価格表.pdf</t>
        </is>
      </c>
      <c r="R502" s="43" t="inlineStr">
        <is>
          <t>固有仕様ID='*'：サイズは当該窓種の固有仕様間で共通扱い。個別部材の設定可否は関係表で制御。</t>
        </is>
      </c>
      <c r="S502" s="42" t="inlineStr">
        <is>
          <t>無印</t>
        </is>
      </c>
      <c r="T502" s="42" t="n">
        <v>66</v>
      </c>
      <c r="U502" s="42" t="inlineStr">
        <is>
          <t>P66|無印</t>
        </is>
      </c>
      <c r="V502" s="42" t="inlineStr">
        <is>
          <t>同頁凡例へ直接連動</t>
        </is>
      </c>
    </row>
    <row r="503">
      <c r="A503" s="43" t="inlineStr">
        <is>
          <t>SZ-SL-000500</t>
        </is>
      </c>
      <c r="B503" s="43" t="inlineStr">
        <is>
          <t>SER-LIX-SAMOSL</t>
        </is>
      </c>
      <c r="C503" s="43" t="inlineStr">
        <is>
          <t>WT-SL-AMADO-HIKI</t>
        </is>
      </c>
      <c r="D503" s="43" t="inlineStr">
        <is>
          <t>雨戸付引違い窓</t>
        </is>
      </c>
      <c r="E503" s="43" t="inlineStr">
        <is>
          <t>*</t>
        </is>
      </c>
      <c r="F503" s="43" t="inlineStr">
        <is>
          <t>在来・204</t>
        </is>
      </c>
      <c r="G503" s="43" t="inlineStr">
        <is>
          <t>11911</t>
        </is>
      </c>
      <c r="H503" s="43" t="inlineStr">
        <is>
          <t>119</t>
        </is>
      </c>
      <c r="I503" s="43" t="inlineStr">
        <is>
          <t>11</t>
        </is>
      </c>
      <c r="J503" s="222" t="n">
        <v>1235</v>
      </c>
      <c r="K503" s="222" t="n">
        <v>1170</v>
      </c>
      <c r="L503" s="43" t="inlineStr">
        <is>
          <t>在来・204</t>
        </is>
      </c>
      <c r="M503" s="178" t="b">
        <v>1</v>
      </c>
      <c r="N503" s="43" t="inlineStr">
        <is>
          <t>サイズ共通</t>
        </is>
      </c>
      <c r="O503" s="222" t="n">
        <v>68</v>
      </c>
      <c r="P503" s="222" t="n">
        <v>66</v>
      </c>
      <c r="Q503" s="43" t="inlineStr">
        <is>
          <t>202604_LIXIL_サーモスＬ_業務用資料集_完成品価格表.pdf</t>
        </is>
      </c>
      <c r="R503" s="43" t="inlineStr">
        <is>
          <t>固有仕様ID='*'：サイズは当該窓種の固有仕様間で共通扱い。個別部材の設定可否は関係表で制御。</t>
        </is>
      </c>
      <c r="S503" s="42" t="inlineStr">
        <is>
          <t>無印</t>
        </is>
      </c>
      <c r="T503" s="42" t="n">
        <v>66</v>
      </c>
      <c r="U503" s="42" t="inlineStr">
        <is>
          <t>P66|無印</t>
        </is>
      </c>
      <c r="V503" s="42" t="inlineStr">
        <is>
          <t>同頁凡例へ直接連動</t>
        </is>
      </c>
    </row>
    <row r="504">
      <c r="A504" s="43" t="inlineStr">
        <is>
          <t>SZ-SL-000501</t>
        </is>
      </c>
      <c r="B504" s="43" t="inlineStr">
        <is>
          <t>SER-LIX-SAMOSL</t>
        </is>
      </c>
      <c r="C504" s="43" t="inlineStr">
        <is>
          <t>WT-SL-AMADO-HIKI</t>
        </is>
      </c>
      <c r="D504" s="43" t="inlineStr">
        <is>
          <t>雨戸付引違い窓</t>
        </is>
      </c>
      <c r="E504" s="43" t="inlineStr">
        <is>
          <t>*</t>
        </is>
      </c>
      <c r="F504" s="43" t="inlineStr">
        <is>
          <t>在来・204</t>
        </is>
      </c>
      <c r="G504" s="43" t="inlineStr">
        <is>
          <t>12809</t>
        </is>
      </c>
      <c r="H504" s="43" t="inlineStr">
        <is>
          <t>128</t>
        </is>
      </c>
      <c r="I504" s="43" t="inlineStr">
        <is>
          <t>09</t>
        </is>
      </c>
      <c r="J504" s="222" t="n">
        <v>1320</v>
      </c>
      <c r="K504" s="222" t="n">
        <v>970</v>
      </c>
      <c r="L504" s="43" t="inlineStr">
        <is>
          <t>在来・204</t>
        </is>
      </c>
      <c r="M504" s="178" t="b">
        <v>1</v>
      </c>
      <c r="N504" s="43" t="inlineStr">
        <is>
          <t>サイズ共通</t>
        </is>
      </c>
      <c r="O504" s="222" t="n">
        <v>68</v>
      </c>
      <c r="P504" s="222" t="n">
        <v>66</v>
      </c>
      <c r="Q504" s="43" t="inlineStr">
        <is>
          <t>202604_LIXIL_サーモスＬ_業務用資料集_完成品価格表.pdf</t>
        </is>
      </c>
      <c r="R504" s="43" t="inlineStr">
        <is>
          <t>固有仕様ID='*'：サイズは当該窓種の固有仕様間で共通扱い。個別部材の設定可否は関係表で制御。</t>
        </is>
      </c>
      <c r="S504" s="42" t="inlineStr">
        <is>
          <t>無印</t>
        </is>
      </c>
      <c r="T504" s="42" t="n">
        <v>66</v>
      </c>
      <c r="U504" s="42" t="inlineStr">
        <is>
          <t>P66|無印</t>
        </is>
      </c>
      <c r="V504" s="42" t="inlineStr">
        <is>
          <t>同頁凡例へ直接連動</t>
        </is>
      </c>
    </row>
    <row r="505">
      <c r="A505" s="43" t="inlineStr">
        <is>
          <t>SZ-SL-000502</t>
        </is>
      </c>
      <c r="B505" s="43" t="inlineStr">
        <is>
          <t>SER-LIX-SAMOSL</t>
        </is>
      </c>
      <c r="C505" s="43" t="inlineStr">
        <is>
          <t>WT-SL-AMADO-HIKI</t>
        </is>
      </c>
      <c r="D505" s="43" t="inlineStr">
        <is>
          <t>雨戸付引違い窓</t>
        </is>
      </c>
      <c r="E505" s="43" t="inlineStr">
        <is>
          <t>*</t>
        </is>
      </c>
      <c r="F505" s="43" t="inlineStr">
        <is>
          <t>在来・204</t>
        </is>
      </c>
      <c r="G505" s="43" t="inlineStr">
        <is>
          <t>12811</t>
        </is>
      </c>
      <c r="H505" s="43" t="inlineStr">
        <is>
          <t>128</t>
        </is>
      </c>
      <c r="I505" s="43" t="inlineStr">
        <is>
          <t>11</t>
        </is>
      </c>
      <c r="J505" s="222" t="n">
        <v>1320</v>
      </c>
      <c r="K505" s="222" t="n">
        <v>1170</v>
      </c>
      <c r="L505" s="43" t="inlineStr">
        <is>
          <t>在来・204</t>
        </is>
      </c>
      <c r="M505" s="178" t="b">
        <v>1</v>
      </c>
      <c r="N505" s="43" t="inlineStr">
        <is>
          <t>サイズ共通</t>
        </is>
      </c>
      <c r="O505" s="222" t="n">
        <v>68</v>
      </c>
      <c r="P505" s="222" t="n">
        <v>66</v>
      </c>
      <c r="Q505" s="43" t="inlineStr">
        <is>
          <t>202604_LIXIL_サーモスＬ_業務用資料集_完成品価格表.pdf</t>
        </is>
      </c>
      <c r="R505" s="43" t="inlineStr">
        <is>
          <t>固有仕様ID='*'：サイズは当該窓種の固有仕様間で共通扱い。個別部材の設定可否は関係表で制御。</t>
        </is>
      </c>
      <c r="S505" s="42" t="inlineStr">
        <is>
          <t>無印</t>
        </is>
      </c>
      <c r="T505" s="42" t="n">
        <v>66</v>
      </c>
      <c r="U505" s="42" t="inlineStr">
        <is>
          <t>P66|無印</t>
        </is>
      </c>
      <c r="V505" s="42" t="inlineStr">
        <is>
          <t>同頁凡例へ直接連動</t>
        </is>
      </c>
    </row>
    <row r="506">
      <c r="A506" s="43" t="inlineStr">
        <is>
          <t>SZ-SL-000503</t>
        </is>
      </c>
      <c r="B506" s="43" t="inlineStr">
        <is>
          <t>SER-LIX-SAMOSL</t>
        </is>
      </c>
      <c r="C506" s="43" t="inlineStr">
        <is>
          <t>WT-SL-AMADO-HIKI</t>
        </is>
      </c>
      <c r="D506" s="43" t="inlineStr">
        <is>
          <t>雨戸付引違い窓</t>
        </is>
      </c>
      <c r="E506" s="43" t="inlineStr">
        <is>
          <t>*</t>
        </is>
      </c>
      <c r="F506" s="43" t="inlineStr">
        <is>
          <t>在来・204</t>
        </is>
      </c>
      <c r="G506" s="43" t="inlineStr">
        <is>
          <t>13309</t>
        </is>
      </c>
      <c r="H506" s="43" t="inlineStr">
        <is>
          <t>133</t>
        </is>
      </c>
      <c r="I506" s="43" t="inlineStr">
        <is>
          <t>09</t>
        </is>
      </c>
      <c r="J506" s="222" t="n">
        <v>1370</v>
      </c>
      <c r="K506" s="222" t="n">
        <v>970</v>
      </c>
      <c r="L506" s="43" t="inlineStr">
        <is>
          <t>在来・204</t>
        </is>
      </c>
      <c r="M506" s="178" t="b">
        <v>1</v>
      </c>
      <c r="N506" s="43" t="inlineStr">
        <is>
          <t>サイズ共通</t>
        </is>
      </c>
      <c r="O506" s="222" t="n">
        <v>68</v>
      </c>
      <c r="P506" s="222" t="n">
        <v>66</v>
      </c>
      <c r="Q506" s="43" t="inlineStr">
        <is>
          <t>202604_LIXIL_サーモスＬ_業務用資料集_完成品価格表.pdf</t>
        </is>
      </c>
      <c r="R506" s="43" t="inlineStr">
        <is>
          <t>固有仕様ID='*'：サイズは当該窓種の固有仕様間で共通扱い。個別部材の設定可否は関係表で制御。</t>
        </is>
      </c>
      <c r="S506" s="42" t="inlineStr">
        <is>
          <t>無印</t>
        </is>
      </c>
      <c r="T506" s="42" t="n">
        <v>66</v>
      </c>
      <c r="U506" s="42" t="inlineStr">
        <is>
          <t>P66|無印</t>
        </is>
      </c>
      <c r="V506" s="42" t="inlineStr">
        <is>
          <t>同頁凡例へ直接連動</t>
        </is>
      </c>
    </row>
    <row r="507">
      <c r="A507" s="43" t="inlineStr">
        <is>
          <t>SZ-SL-000504</t>
        </is>
      </c>
      <c r="B507" s="43" t="inlineStr">
        <is>
          <t>SER-LIX-SAMOSL</t>
        </is>
      </c>
      <c r="C507" s="43" t="inlineStr">
        <is>
          <t>WT-SL-AMADO-HIKI</t>
        </is>
      </c>
      <c r="D507" s="43" t="inlineStr">
        <is>
          <t>雨戸付引違い窓</t>
        </is>
      </c>
      <c r="E507" s="43" t="inlineStr">
        <is>
          <t>*</t>
        </is>
      </c>
      <c r="F507" s="43" t="inlineStr">
        <is>
          <t>在来・204</t>
        </is>
      </c>
      <c r="G507" s="43" t="inlineStr">
        <is>
          <t>13311</t>
        </is>
      </c>
      <c r="H507" s="43" t="inlineStr">
        <is>
          <t>133</t>
        </is>
      </c>
      <c r="I507" s="43" t="inlineStr">
        <is>
          <t>11</t>
        </is>
      </c>
      <c r="J507" s="222" t="n">
        <v>1370</v>
      </c>
      <c r="K507" s="222" t="n">
        <v>1170</v>
      </c>
      <c r="L507" s="43" t="inlineStr">
        <is>
          <t>在来・204</t>
        </is>
      </c>
      <c r="M507" s="178" t="b">
        <v>1</v>
      </c>
      <c r="N507" s="43" t="inlineStr">
        <is>
          <t>サイズ共通</t>
        </is>
      </c>
      <c r="O507" s="222" t="n">
        <v>68</v>
      </c>
      <c r="P507" s="222" t="n">
        <v>66</v>
      </c>
      <c r="Q507" s="43" t="inlineStr">
        <is>
          <t>202604_LIXIL_サーモスＬ_業務用資料集_完成品価格表.pdf</t>
        </is>
      </c>
      <c r="R507" s="43" t="inlineStr">
        <is>
          <t>固有仕様ID='*'：サイズは当該窓種の固有仕様間で共通扱い。個別部材の設定可否は関係表で制御。</t>
        </is>
      </c>
      <c r="S507" s="42" t="inlineStr">
        <is>
          <t>無印</t>
        </is>
      </c>
      <c r="T507" s="42" t="n">
        <v>66</v>
      </c>
      <c r="U507" s="42" t="inlineStr">
        <is>
          <t>P66|無印</t>
        </is>
      </c>
      <c r="V507" s="42" t="inlineStr">
        <is>
          <t>同頁凡例へ直接連動</t>
        </is>
      </c>
    </row>
    <row r="508">
      <c r="A508" s="43" t="inlineStr">
        <is>
          <t>SZ-SL-000505</t>
        </is>
      </c>
      <c r="B508" s="43" t="inlineStr">
        <is>
          <t>SER-LIX-SAMOSL</t>
        </is>
      </c>
      <c r="C508" s="43" t="inlineStr">
        <is>
          <t>WT-SL-AMADO-HIKI</t>
        </is>
      </c>
      <c r="D508" s="43" t="inlineStr">
        <is>
          <t>雨戸付引違い窓</t>
        </is>
      </c>
      <c r="E508" s="43" t="inlineStr">
        <is>
          <t>*</t>
        </is>
      </c>
      <c r="F508" s="43" t="inlineStr">
        <is>
          <t>在来・204</t>
        </is>
      </c>
      <c r="G508" s="43" t="inlineStr">
        <is>
          <t>16507</t>
        </is>
      </c>
      <c r="H508" s="43" t="inlineStr">
        <is>
          <t>165</t>
        </is>
      </c>
      <c r="I508" s="43" t="inlineStr">
        <is>
          <t>07</t>
        </is>
      </c>
      <c r="J508" s="222" t="n">
        <v>1690</v>
      </c>
      <c r="K508" s="222" t="n">
        <v>770</v>
      </c>
      <c r="L508" s="43" t="inlineStr">
        <is>
          <t>在来・204</t>
        </is>
      </c>
      <c r="M508" s="178" t="b">
        <v>1</v>
      </c>
      <c r="N508" s="43" t="inlineStr">
        <is>
          <t>サイズ共通</t>
        </is>
      </c>
      <c r="O508" s="222" t="n">
        <v>70</v>
      </c>
      <c r="P508" s="222" t="n">
        <v>68</v>
      </c>
      <c r="Q508" s="43" t="inlineStr">
        <is>
          <t>202604_LIXIL_サーモスＬ_業務用資料集_完成品価格表.pdf</t>
        </is>
      </c>
      <c r="R508" s="43" t="inlineStr">
        <is>
          <t>固有仕様ID='*'：サイズは当該窓種の固有仕様間で共通扱い。個別部材の設定可否は関係表で制御。</t>
        </is>
      </c>
      <c r="S508" s="42" t="inlineStr">
        <is>
          <t>無印</t>
        </is>
      </c>
      <c r="T508" s="42" t="n">
        <v>68</v>
      </c>
      <c r="U508" s="42" t="inlineStr">
        <is>
          <t>P68|無印</t>
        </is>
      </c>
      <c r="V508" s="42" t="inlineStr">
        <is>
          <t>同頁凡例へ直接連動</t>
        </is>
      </c>
    </row>
    <row r="509">
      <c r="A509" s="43" t="inlineStr">
        <is>
          <t>SZ-SL-000506</t>
        </is>
      </c>
      <c r="B509" s="43" t="inlineStr">
        <is>
          <t>SER-LIX-SAMOSL</t>
        </is>
      </c>
      <c r="C509" s="43" t="inlineStr">
        <is>
          <t>WT-SL-AMADO-HIKI</t>
        </is>
      </c>
      <c r="D509" s="43" t="inlineStr">
        <is>
          <t>雨戸付引違い窓</t>
        </is>
      </c>
      <c r="E509" s="43" t="inlineStr">
        <is>
          <t>*</t>
        </is>
      </c>
      <c r="F509" s="43" t="inlineStr">
        <is>
          <t>在来・204</t>
        </is>
      </c>
      <c r="G509" s="43" t="inlineStr">
        <is>
          <t>16509</t>
        </is>
      </c>
      <c r="H509" s="43" t="inlineStr">
        <is>
          <t>165</t>
        </is>
      </c>
      <c r="I509" s="43" t="inlineStr">
        <is>
          <t>09</t>
        </is>
      </c>
      <c r="J509" s="222" t="n">
        <v>1690</v>
      </c>
      <c r="K509" s="222" t="n">
        <v>970</v>
      </c>
      <c r="L509" s="43" t="inlineStr">
        <is>
          <t>在来・204</t>
        </is>
      </c>
      <c r="M509" s="178" t="b">
        <v>1</v>
      </c>
      <c r="N509" s="43" t="inlineStr">
        <is>
          <t>サイズ共通</t>
        </is>
      </c>
      <c r="O509" s="222" t="n">
        <v>70</v>
      </c>
      <c r="P509" s="222" t="n">
        <v>68</v>
      </c>
      <c r="Q509" s="43" t="inlineStr">
        <is>
          <t>202604_LIXIL_サーモスＬ_業務用資料集_完成品価格表.pdf</t>
        </is>
      </c>
      <c r="R509" s="43" t="inlineStr">
        <is>
          <t>固有仕様ID='*'：サイズは当該窓種の固有仕様間で共通扱い。個別部材の設定可否は関係表で制御。</t>
        </is>
      </c>
      <c r="S509" s="42" t="inlineStr">
        <is>
          <t>無印</t>
        </is>
      </c>
      <c r="T509" s="42" t="n">
        <v>68</v>
      </c>
      <c r="U509" s="42" t="inlineStr">
        <is>
          <t>P68|無印</t>
        </is>
      </c>
      <c r="V509" s="42" t="inlineStr">
        <is>
          <t>同頁凡例へ直接連動</t>
        </is>
      </c>
    </row>
    <row r="510">
      <c r="A510" s="43" t="inlineStr">
        <is>
          <t>SZ-SL-000507</t>
        </is>
      </c>
      <c r="B510" s="43" t="inlineStr">
        <is>
          <t>SER-LIX-SAMOSL</t>
        </is>
      </c>
      <c r="C510" s="43" t="inlineStr">
        <is>
          <t>WT-SL-AMADO-HIKI</t>
        </is>
      </c>
      <c r="D510" s="43" t="inlineStr">
        <is>
          <t>雨戸付引違い窓</t>
        </is>
      </c>
      <c r="E510" s="43" t="inlineStr">
        <is>
          <t>*</t>
        </is>
      </c>
      <c r="F510" s="43" t="inlineStr">
        <is>
          <t>在来・204</t>
        </is>
      </c>
      <c r="G510" s="43" t="inlineStr">
        <is>
          <t>16511</t>
        </is>
      </c>
      <c r="H510" s="43" t="inlineStr">
        <is>
          <t>165</t>
        </is>
      </c>
      <c r="I510" s="43" t="inlineStr">
        <is>
          <t>11</t>
        </is>
      </c>
      <c r="J510" s="222" t="n">
        <v>1690</v>
      </c>
      <c r="K510" s="222" t="n">
        <v>1170</v>
      </c>
      <c r="L510" s="43" t="inlineStr">
        <is>
          <t>在来・204</t>
        </is>
      </c>
      <c r="M510" s="178" t="b">
        <v>1</v>
      </c>
      <c r="N510" s="43" t="inlineStr">
        <is>
          <t>サイズ共通</t>
        </is>
      </c>
      <c r="O510" s="222" t="n">
        <v>70</v>
      </c>
      <c r="P510" s="222" t="n">
        <v>68</v>
      </c>
      <c r="Q510" s="43" t="inlineStr">
        <is>
          <t>202604_LIXIL_サーモスＬ_業務用資料集_完成品価格表.pdf</t>
        </is>
      </c>
      <c r="R510" s="43" t="inlineStr">
        <is>
          <t>固有仕様ID='*'：サイズは当該窓種の固有仕様間で共通扱い。個別部材の設定可否は関係表で制御。</t>
        </is>
      </c>
      <c r="S510" s="42" t="inlineStr">
        <is>
          <t>無印</t>
        </is>
      </c>
      <c r="T510" s="42" t="n">
        <v>68</v>
      </c>
      <c r="U510" s="42" t="inlineStr">
        <is>
          <t>P68|無印</t>
        </is>
      </c>
      <c r="V510" s="42" t="inlineStr">
        <is>
          <t>同頁凡例へ直接連動</t>
        </is>
      </c>
    </row>
    <row r="511">
      <c r="A511" s="43" t="inlineStr">
        <is>
          <t>SZ-SL-000508</t>
        </is>
      </c>
      <c r="B511" s="43" t="inlineStr">
        <is>
          <t>SER-LIX-SAMOSL</t>
        </is>
      </c>
      <c r="C511" s="43" t="inlineStr">
        <is>
          <t>WT-SL-AMADO-HIKI</t>
        </is>
      </c>
      <c r="D511" s="43" t="inlineStr">
        <is>
          <t>雨戸付引違い窓</t>
        </is>
      </c>
      <c r="E511" s="43" t="inlineStr">
        <is>
          <t>*</t>
        </is>
      </c>
      <c r="F511" s="43" t="inlineStr">
        <is>
          <t>在来・204</t>
        </is>
      </c>
      <c r="G511" s="43" t="inlineStr">
        <is>
          <t>17407</t>
        </is>
      </c>
      <c r="H511" s="43" t="inlineStr">
        <is>
          <t>174</t>
        </is>
      </c>
      <c r="I511" s="43" t="inlineStr">
        <is>
          <t>07</t>
        </is>
      </c>
      <c r="J511" s="222" t="n">
        <v>1780</v>
      </c>
      <c r="K511" s="222" t="n">
        <v>770</v>
      </c>
      <c r="L511" s="43" t="inlineStr">
        <is>
          <t>在来・204</t>
        </is>
      </c>
      <c r="M511" s="178" t="b">
        <v>1</v>
      </c>
      <c r="N511" s="43" t="inlineStr">
        <is>
          <t>サイズ共通</t>
        </is>
      </c>
      <c r="O511" s="222" t="n">
        <v>70</v>
      </c>
      <c r="P511" s="222" t="n">
        <v>68</v>
      </c>
      <c r="Q511" s="43" t="inlineStr">
        <is>
          <t>202604_LIXIL_サーモスＬ_業務用資料集_完成品価格表.pdf</t>
        </is>
      </c>
      <c r="R511" s="43" t="inlineStr">
        <is>
          <t>固有仕様ID='*'：サイズは当該窓種の固有仕様間で共通扱い。個別部材の設定可否は関係表で制御。</t>
        </is>
      </c>
      <c r="S511" s="42" t="inlineStr">
        <is>
          <t>無印</t>
        </is>
      </c>
      <c r="T511" s="42" t="n">
        <v>68</v>
      </c>
      <c r="U511" s="42" t="inlineStr">
        <is>
          <t>P68|無印</t>
        </is>
      </c>
      <c r="V511" s="42" t="inlineStr">
        <is>
          <t>同頁凡例へ直接連動</t>
        </is>
      </c>
    </row>
    <row r="512">
      <c r="A512" s="43" t="inlineStr">
        <is>
          <t>SZ-SL-000509</t>
        </is>
      </c>
      <c r="B512" s="43" t="inlineStr">
        <is>
          <t>SER-LIX-SAMOSL</t>
        </is>
      </c>
      <c r="C512" s="43" t="inlineStr">
        <is>
          <t>WT-SL-AMADO-HIKI</t>
        </is>
      </c>
      <c r="D512" s="43" t="inlineStr">
        <is>
          <t>雨戸付引違い窓</t>
        </is>
      </c>
      <c r="E512" s="43" t="inlineStr">
        <is>
          <t>*</t>
        </is>
      </c>
      <c r="F512" s="43" t="inlineStr">
        <is>
          <t>在来・204</t>
        </is>
      </c>
      <c r="G512" s="43" t="inlineStr">
        <is>
          <t>17409</t>
        </is>
      </c>
      <c r="H512" s="43" t="inlineStr">
        <is>
          <t>174</t>
        </is>
      </c>
      <c r="I512" s="43" t="inlineStr">
        <is>
          <t>09</t>
        </is>
      </c>
      <c r="J512" s="222" t="n">
        <v>1780</v>
      </c>
      <c r="K512" s="222" t="n">
        <v>970</v>
      </c>
      <c r="L512" s="43" t="inlineStr">
        <is>
          <t>在来・204</t>
        </is>
      </c>
      <c r="M512" s="178" t="b">
        <v>1</v>
      </c>
      <c r="N512" s="43" t="inlineStr">
        <is>
          <t>サイズ共通</t>
        </is>
      </c>
      <c r="O512" s="222" t="n">
        <v>70</v>
      </c>
      <c r="P512" s="222" t="n">
        <v>68</v>
      </c>
      <c r="Q512" s="43" t="inlineStr">
        <is>
          <t>202604_LIXIL_サーモスＬ_業務用資料集_完成品価格表.pdf</t>
        </is>
      </c>
      <c r="R512" s="43" t="inlineStr">
        <is>
          <t>固有仕様ID='*'：サイズは当該窓種の固有仕様間で共通扱い。個別部材の設定可否は関係表で制御。</t>
        </is>
      </c>
      <c r="S512" s="42" t="inlineStr">
        <is>
          <t>無印</t>
        </is>
      </c>
      <c r="T512" s="42" t="n">
        <v>68</v>
      </c>
      <c r="U512" s="42" t="inlineStr">
        <is>
          <t>P68|無印</t>
        </is>
      </c>
      <c r="V512" s="42" t="inlineStr">
        <is>
          <t>同頁凡例へ直接連動</t>
        </is>
      </c>
    </row>
    <row r="513">
      <c r="A513" s="43" t="inlineStr">
        <is>
          <t>SZ-SL-000510</t>
        </is>
      </c>
      <c r="B513" s="43" t="inlineStr">
        <is>
          <t>SER-LIX-SAMOSL</t>
        </is>
      </c>
      <c r="C513" s="43" t="inlineStr">
        <is>
          <t>WT-SL-AMADO-HIKI</t>
        </is>
      </c>
      <c r="D513" s="43" t="inlineStr">
        <is>
          <t>雨戸付引違い窓</t>
        </is>
      </c>
      <c r="E513" s="43" t="inlineStr">
        <is>
          <t>*</t>
        </is>
      </c>
      <c r="F513" s="43" t="inlineStr">
        <is>
          <t>在来・204</t>
        </is>
      </c>
      <c r="G513" s="43" t="inlineStr">
        <is>
          <t>17411</t>
        </is>
      </c>
      <c r="H513" s="43" t="inlineStr">
        <is>
          <t>174</t>
        </is>
      </c>
      <c r="I513" s="43" t="inlineStr">
        <is>
          <t>11</t>
        </is>
      </c>
      <c r="J513" s="222" t="n">
        <v>1780</v>
      </c>
      <c r="K513" s="222" t="n">
        <v>1170</v>
      </c>
      <c r="L513" s="43" t="inlineStr">
        <is>
          <t>在来・204</t>
        </is>
      </c>
      <c r="M513" s="178" t="b">
        <v>1</v>
      </c>
      <c r="N513" s="43" t="inlineStr">
        <is>
          <t>サイズ共通</t>
        </is>
      </c>
      <c r="O513" s="222" t="n">
        <v>70</v>
      </c>
      <c r="P513" s="222" t="n">
        <v>68</v>
      </c>
      <c r="Q513" s="43" t="inlineStr">
        <is>
          <t>202604_LIXIL_サーモスＬ_業務用資料集_完成品価格表.pdf</t>
        </is>
      </c>
      <c r="R513" s="43" t="inlineStr">
        <is>
          <t>固有仕様ID='*'：サイズは当該窓種の固有仕様間で共通扱い。個別部材の設定可否は関係表で制御。</t>
        </is>
      </c>
      <c r="S513" s="42" t="inlineStr">
        <is>
          <t>無印</t>
        </is>
      </c>
      <c r="T513" s="42" t="n">
        <v>68</v>
      </c>
      <c r="U513" s="42" t="inlineStr">
        <is>
          <t>P68|無印</t>
        </is>
      </c>
      <c r="V513" s="42" t="inlineStr">
        <is>
          <t>同頁凡例へ直接連動</t>
        </is>
      </c>
    </row>
    <row r="514">
      <c r="A514" s="43" t="inlineStr">
        <is>
          <t>SZ-SL-000511</t>
        </is>
      </c>
      <c r="B514" s="43" t="inlineStr">
        <is>
          <t>SER-LIX-SAMOSL</t>
        </is>
      </c>
      <c r="C514" s="43" t="inlineStr">
        <is>
          <t>WT-SL-AMADO-HIKI</t>
        </is>
      </c>
      <c r="D514" s="43" t="inlineStr">
        <is>
          <t>雨戸付引違い窓</t>
        </is>
      </c>
      <c r="E514" s="43" t="inlineStr">
        <is>
          <t>*</t>
        </is>
      </c>
      <c r="F514" s="43" t="inlineStr">
        <is>
          <t>在来・204</t>
        </is>
      </c>
      <c r="G514" s="43" t="inlineStr">
        <is>
          <t>17607</t>
        </is>
      </c>
      <c r="H514" s="43" t="inlineStr">
        <is>
          <t>176</t>
        </is>
      </c>
      <c r="I514" s="43" t="inlineStr">
        <is>
          <t>07</t>
        </is>
      </c>
      <c r="J514" s="222" t="n">
        <v>1800</v>
      </c>
      <c r="K514" s="222" t="n">
        <v>770</v>
      </c>
      <c r="L514" s="43" t="inlineStr">
        <is>
          <t>在来・204</t>
        </is>
      </c>
      <c r="M514" s="178" t="b">
        <v>1</v>
      </c>
      <c r="N514" s="43" t="inlineStr">
        <is>
          <t>サイズ共通</t>
        </is>
      </c>
      <c r="O514" s="222" t="n">
        <v>70</v>
      </c>
      <c r="P514" s="222" t="n">
        <v>68</v>
      </c>
      <c r="Q514" s="43" t="inlineStr">
        <is>
          <t>202604_LIXIL_サーモスＬ_業務用資料集_完成品価格表.pdf</t>
        </is>
      </c>
      <c r="R514" s="43" t="inlineStr">
        <is>
          <t>固有仕様ID='*'：サイズは当該窓種の固有仕様間で共通扱い。個別部材の設定可否は関係表で制御。</t>
        </is>
      </c>
      <c r="S514" s="42" t="inlineStr">
        <is>
          <t>無印</t>
        </is>
      </c>
      <c r="T514" s="42" t="n">
        <v>68</v>
      </c>
      <c r="U514" s="42" t="inlineStr">
        <is>
          <t>P68|無印</t>
        </is>
      </c>
      <c r="V514" s="42" t="inlineStr">
        <is>
          <t>同頁凡例へ直接連動</t>
        </is>
      </c>
    </row>
    <row r="515">
      <c r="A515" s="43" t="inlineStr">
        <is>
          <t>SZ-SL-000512</t>
        </is>
      </c>
      <c r="B515" s="43" t="inlineStr">
        <is>
          <t>SER-LIX-SAMOSL</t>
        </is>
      </c>
      <c r="C515" s="43" t="inlineStr">
        <is>
          <t>WT-SL-AMADO-HIKI</t>
        </is>
      </c>
      <c r="D515" s="43" t="inlineStr">
        <is>
          <t>雨戸付引違い窓</t>
        </is>
      </c>
      <c r="E515" s="43" t="inlineStr">
        <is>
          <t>*</t>
        </is>
      </c>
      <c r="F515" s="43" t="inlineStr">
        <is>
          <t>在来・204</t>
        </is>
      </c>
      <c r="G515" s="43" t="inlineStr">
        <is>
          <t>17609</t>
        </is>
      </c>
      <c r="H515" s="43" t="inlineStr">
        <is>
          <t>176</t>
        </is>
      </c>
      <c r="I515" s="43" t="inlineStr">
        <is>
          <t>09</t>
        </is>
      </c>
      <c r="J515" s="222" t="n">
        <v>1800</v>
      </c>
      <c r="K515" s="222" t="n">
        <v>970</v>
      </c>
      <c r="L515" s="43" t="inlineStr">
        <is>
          <t>在来・204</t>
        </is>
      </c>
      <c r="M515" s="178" t="b">
        <v>1</v>
      </c>
      <c r="N515" s="43" t="inlineStr">
        <is>
          <t>サイズ共通</t>
        </is>
      </c>
      <c r="O515" s="222" t="n">
        <v>70</v>
      </c>
      <c r="P515" s="222" t="n">
        <v>68</v>
      </c>
      <c r="Q515" s="43" t="inlineStr">
        <is>
          <t>202604_LIXIL_サーモスＬ_業務用資料集_完成品価格表.pdf</t>
        </is>
      </c>
      <c r="R515" s="43" t="inlineStr">
        <is>
          <t>固有仕様ID='*'：サイズは当該窓種の固有仕様間で共通扱い。個別部材の設定可否は関係表で制御。</t>
        </is>
      </c>
      <c r="S515" s="42" t="inlineStr">
        <is>
          <t>無印</t>
        </is>
      </c>
      <c r="T515" s="42" t="n">
        <v>68</v>
      </c>
      <c r="U515" s="42" t="inlineStr">
        <is>
          <t>P68|無印</t>
        </is>
      </c>
      <c r="V515" s="42" t="inlineStr">
        <is>
          <t>同頁凡例へ直接連動</t>
        </is>
      </c>
    </row>
    <row r="516">
      <c r="A516" s="43" t="inlineStr">
        <is>
          <t>SZ-SL-000513</t>
        </is>
      </c>
      <c r="B516" s="43" t="inlineStr">
        <is>
          <t>SER-LIX-SAMOSL</t>
        </is>
      </c>
      <c r="C516" s="43" t="inlineStr">
        <is>
          <t>WT-SL-AMADO-HIKI</t>
        </is>
      </c>
      <c r="D516" s="43" t="inlineStr">
        <is>
          <t>雨戸付引違い窓</t>
        </is>
      </c>
      <c r="E516" s="43" t="inlineStr">
        <is>
          <t>*</t>
        </is>
      </c>
      <c r="F516" s="43" t="inlineStr">
        <is>
          <t>在来・204</t>
        </is>
      </c>
      <c r="G516" s="43" t="inlineStr">
        <is>
          <t>17611</t>
        </is>
      </c>
      <c r="H516" s="43" t="inlineStr">
        <is>
          <t>176</t>
        </is>
      </c>
      <c r="I516" s="43" t="inlineStr">
        <is>
          <t>11</t>
        </is>
      </c>
      <c r="J516" s="222" t="n">
        <v>1800</v>
      </c>
      <c r="K516" s="222" t="n">
        <v>1170</v>
      </c>
      <c r="L516" s="43" t="inlineStr">
        <is>
          <t>在来・204</t>
        </is>
      </c>
      <c r="M516" s="178" t="b">
        <v>1</v>
      </c>
      <c r="N516" s="43" t="inlineStr">
        <is>
          <t>サイズ共通</t>
        </is>
      </c>
      <c r="O516" s="222" t="n">
        <v>70</v>
      </c>
      <c r="P516" s="222" t="n">
        <v>68</v>
      </c>
      <c r="Q516" s="43" t="inlineStr">
        <is>
          <t>202604_LIXIL_サーモスＬ_業務用資料集_完成品価格表.pdf</t>
        </is>
      </c>
      <c r="R516" s="43" t="inlineStr">
        <is>
          <t>固有仕様ID='*'：サイズは当該窓種の固有仕様間で共通扱い。個別部材の設定可否は関係表で制御。</t>
        </is>
      </c>
      <c r="S516" s="42" t="inlineStr">
        <is>
          <t>無印</t>
        </is>
      </c>
      <c r="T516" s="42" t="n">
        <v>68</v>
      </c>
      <c r="U516" s="42" t="inlineStr">
        <is>
          <t>P68|無印</t>
        </is>
      </c>
      <c r="V516" s="42" t="inlineStr">
        <is>
          <t>同頁凡例へ直接連動</t>
        </is>
      </c>
    </row>
    <row r="517">
      <c r="A517" s="43" t="inlineStr">
        <is>
          <t>SZ-SL-000514</t>
        </is>
      </c>
      <c r="B517" s="43" t="inlineStr">
        <is>
          <t>SER-LIX-SAMOSL</t>
        </is>
      </c>
      <c r="C517" s="43" t="inlineStr">
        <is>
          <t>WT-SL-AMADO-HIKI</t>
        </is>
      </c>
      <c r="D517" s="43" t="inlineStr">
        <is>
          <t>雨戸付引違い窓</t>
        </is>
      </c>
      <c r="E517" s="43" t="inlineStr">
        <is>
          <t>*</t>
        </is>
      </c>
      <c r="F517" s="43" t="inlineStr">
        <is>
          <t>在来・204</t>
        </is>
      </c>
      <c r="G517" s="43" t="inlineStr">
        <is>
          <t>11413</t>
        </is>
      </c>
      <c r="H517" s="43" t="inlineStr">
        <is>
          <t>114</t>
        </is>
      </c>
      <c r="I517" s="43" t="inlineStr">
        <is>
          <t>13</t>
        </is>
      </c>
      <c r="J517" s="222" t="n">
        <v>1185</v>
      </c>
      <c r="K517" s="222" t="n">
        <v>1370</v>
      </c>
      <c r="L517" s="43" t="inlineStr">
        <is>
          <t>在来・204</t>
        </is>
      </c>
      <c r="M517" s="178" t="b">
        <v>1</v>
      </c>
      <c r="N517" s="43" t="inlineStr">
        <is>
          <t>サイズ共通</t>
        </is>
      </c>
      <c r="O517" s="222" t="n">
        <v>72</v>
      </c>
      <c r="P517" s="222" t="n">
        <v>70</v>
      </c>
      <c r="Q517" s="43" t="inlineStr">
        <is>
          <t>202604_LIXIL_サーモスＬ_業務用資料集_完成品価格表.pdf</t>
        </is>
      </c>
      <c r="R517" s="43" t="inlineStr">
        <is>
          <t>固有仕様ID='*'：サイズは当該窓種の固有仕様間で共通扱い。個別部材の設定可否は関係表で制御。</t>
        </is>
      </c>
      <c r="S517" s="42" t="inlineStr">
        <is>
          <t>無印</t>
        </is>
      </c>
      <c r="T517" s="42" t="n">
        <v>70</v>
      </c>
      <c r="U517" s="42" t="inlineStr">
        <is>
          <t>P70|無印</t>
        </is>
      </c>
      <c r="V517" s="42" t="inlineStr">
        <is>
          <t>同頁凡例へ直接連動</t>
        </is>
      </c>
    </row>
    <row r="518">
      <c r="A518" s="43" t="inlineStr">
        <is>
          <t>SZ-SL-000515</t>
        </is>
      </c>
      <c r="B518" s="43" t="inlineStr">
        <is>
          <t>SER-LIX-SAMOSL</t>
        </is>
      </c>
      <c r="C518" s="43" t="inlineStr">
        <is>
          <t>WT-SL-AMADO-HIKI</t>
        </is>
      </c>
      <c r="D518" s="43" t="inlineStr">
        <is>
          <t>雨戸付引違い窓</t>
        </is>
      </c>
      <c r="E518" s="43" t="inlineStr">
        <is>
          <t>*</t>
        </is>
      </c>
      <c r="F518" s="43" t="inlineStr">
        <is>
          <t>在来・204</t>
        </is>
      </c>
      <c r="G518" s="43" t="inlineStr">
        <is>
          <t>11913</t>
        </is>
      </c>
      <c r="H518" s="43" t="inlineStr">
        <is>
          <t>119</t>
        </is>
      </c>
      <c r="I518" s="43" t="inlineStr">
        <is>
          <t>13</t>
        </is>
      </c>
      <c r="J518" s="222" t="n">
        <v>1235</v>
      </c>
      <c r="K518" s="222" t="n">
        <v>1370</v>
      </c>
      <c r="L518" s="43" t="inlineStr">
        <is>
          <t>在来・204</t>
        </is>
      </c>
      <c r="M518" s="178" t="b">
        <v>1</v>
      </c>
      <c r="N518" s="43" t="inlineStr">
        <is>
          <t>サイズ共通</t>
        </is>
      </c>
      <c r="O518" s="222" t="n">
        <v>72</v>
      </c>
      <c r="P518" s="222" t="n">
        <v>70</v>
      </c>
      <c r="Q518" s="43" t="inlineStr">
        <is>
          <t>202604_LIXIL_サーモスＬ_業務用資料集_完成品価格表.pdf</t>
        </is>
      </c>
      <c r="R518" s="43" t="inlineStr">
        <is>
          <t>固有仕様ID='*'：サイズは当該窓種の固有仕様間で共通扱い。個別部材の設定可否は関係表で制御。</t>
        </is>
      </c>
      <c r="S518" s="42" t="inlineStr">
        <is>
          <t>無印</t>
        </is>
      </c>
      <c r="T518" s="42" t="n">
        <v>70</v>
      </c>
      <c r="U518" s="42" t="inlineStr">
        <is>
          <t>P70|無印</t>
        </is>
      </c>
      <c r="V518" s="42" t="inlineStr">
        <is>
          <t>同頁凡例へ直接連動</t>
        </is>
      </c>
    </row>
    <row r="519">
      <c r="A519" s="43" t="inlineStr">
        <is>
          <t>SZ-SL-000516</t>
        </is>
      </c>
      <c r="B519" s="43" t="inlineStr">
        <is>
          <t>SER-LIX-SAMOSL</t>
        </is>
      </c>
      <c r="C519" s="43" t="inlineStr">
        <is>
          <t>WT-SL-AMADO-HIKI</t>
        </is>
      </c>
      <c r="D519" s="43" t="inlineStr">
        <is>
          <t>雨戸付引違い窓</t>
        </is>
      </c>
      <c r="E519" s="43" t="inlineStr">
        <is>
          <t>*</t>
        </is>
      </c>
      <c r="F519" s="43" t="inlineStr">
        <is>
          <t>在来・204</t>
        </is>
      </c>
      <c r="G519" s="43" t="inlineStr">
        <is>
          <t>12813</t>
        </is>
      </c>
      <c r="H519" s="43" t="inlineStr">
        <is>
          <t>128</t>
        </is>
      </c>
      <c r="I519" s="43" t="inlineStr">
        <is>
          <t>13</t>
        </is>
      </c>
      <c r="J519" s="222" t="n">
        <v>1320</v>
      </c>
      <c r="K519" s="222" t="n">
        <v>1370</v>
      </c>
      <c r="L519" s="43" t="inlineStr">
        <is>
          <t>在来・204</t>
        </is>
      </c>
      <c r="M519" s="178" t="b">
        <v>1</v>
      </c>
      <c r="N519" s="43" t="inlineStr">
        <is>
          <t>サイズ共通</t>
        </is>
      </c>
      <c r="O519" s="222" t="n">
        <v>72</v>
      </c>
      <c r="P519" s="222" t="n">
        <v>70</v>
      </c>
      <c r="Q519" s="43" t="inlineStr">
        <is>
          <t>202604_LIXIL_サーモスＬ_業務用資料集_完成品価格表.pdf</t>
        </is>
      </c>
      <c r="R519" s="43" t="inlineStr">
        <is>
          <t>固有仕様ID='*'：サイズは当該窓種の固有仕様間で共通扱い。個別部材の設定可否は関係表で制御。</t>
        </is>
      </c>
      <c r="S519" s="42" t="inlineStr">
        <is>
          <t>無印</t>
        </is>
      </c>
      <c r="T519" s="42" t="n">
        <v>70</v>
      </c>
      <c r="U519" s="42" t="inlineStr">
        <is>
          <t>P70|無印</t>
        </is>
      </c>
      <c r="V519" s="42" t="inlineStr">
        <is>
          <t>同頁凡例へ直接連動</t>
        </is>
      </c>
    </row>
    <row r="520">
      <c r="A520" s="43" t="inlineStr">
        <is>
          <t>SZ-SL-000517</t>
        </is>
      </c>
      <c r="B520" s="43" t="inlineStr">
        <is>
          <t>SER-LIX-SAMOSL</t>
        </is>
      </c>
      <c r="C520" s="43" t="inlineStr">
        <is>
          <t>WT-SL-AMADO-HIKI</t>
        </is>
      </c>
      <c r="D520" s="43" t="inlineStr">
        <is>
          <t>雨戸付引違い窓</t>
        </is>
      </c>
      <c r="E520" s="43" t="inlineStr">
        <is>
          <t>*</t>
        </is>
      </c>
      <c r="F520" s="43" t="inlineStr">
        <is>
          <t>在来・204</t>
        </is>
      </c>
      <c r="G520" s="43" t="inlineStr">
        <is>
          <t>13313</t>
        </is>
      </c>
      <c r="H520" s="43" t="inlineStr">
        <is>
          <t>133</t>
        </is>
      </c>
      <c r="I520" s="43" t="inlineStr">
        <is>
          <t>13</t>
        </is>
      </c>
      <c r="J520" s="222" t="n">
        <v>1370</v>
      </c>
      <c r="K520" s="222" t="n">
        <v>1370</v>
      </c>
      <c r="L520" s="43" t="inlineStr">
        <is>
          <t>在来・204</t>
        </is>
      </c>
      <c r="M520" s="178" t="b">
        <v>1</v>
      </c>
      <c r="N520" s="43" t="inlineStr">
        <is>
          <t>サイズ共通</t>
        </is>
      </c>
      <c r="O520" s="222" t="n">
        <v>72</v>
      </c>
      <c r="P520" s="222" t="n">
        <v>70</v>
      </c>
      <c r="Q520" s="43" t="inlineStr">
        <is>
          <t>202604_LIXIL_サーモスＬ_業務用資料集_完成品価格表.pdf</t>
        </is>
      </c>
      <c r="R520" s="43" t="inlineStr">
        <is>
          <t>固有仕様ID='*'：サイズは当該窓種の固有仕様間で共通扱い。個別部材の設定可否は関係表で制御。</t>
        </is>
      </c>
      <c r="S520" s="42" t="inlineStr">
        <is>
          <t>無印</t>
        </is>
      </c>
      <c r="T520" s="42" t="n">
        <v>70</v>
      </c>
      <c r="U520" s="42" t="inlineStr">
        <is>
          <t>P70|無印</t>
        </is>
      </c>
      <c r="V520" s="42" t="inlineStr">
        <is>
          <t>同頁凡例へ直接連動</t>
        </is>
      </c>
    </row>
    <row r="521">
      <c r="A521" s="43" t="inlineStr">
        <is>
          <t>SZ-SL-000518</t>
        </is>
      </c>
      <c r="B521" s="43" t="inlineStr">
        <is>
          <t>SER-LIX-SAMOSL</t>
        </is>
      </c>
      <c r="C521" s="43" t="inlineStr">
        <is>
          <t>WT-SL-AMADO-HIKI</t>
        </is>
      </c>
      <c r="D521" s="43" t="inlineStr">
        <is>
          <t>雨戸付引違い窓</t>
        </is>
      </c>
      <c r="E521" s="43" t="inlineStr">
        <is>
          <t>*</t>
        </is>
      </c>
      <c r="F521" s="43" t="inlineStr">
        <is>
          <t>在来・204</t>
        </is>
      </c>
      <c r="G521" s="43" t="inlineStr">
        <is>
          <t>16513</t>
        </is>
      </c>
      <c r="H521" s="43" t="inlineStr">
        <is>
          <t>165</t>
        </is>
      </c>
      <c r="I521" s="43" t="inlineStr">
        <is>
          <t>13</t>
        </is>
      </c>
      <c r="J521" s="222" t="n">
        <v>1690</v>
      </c>
      <c r="K521" s="222" t="n">
        <v>1370</v>
      </c>
      <c r="L521" s="43" t="inlineStr">
        <is>
          <t>在来・204</t>
        </is>
      </c>
      <c r="M521" s="178" t="b">
        <v>1</v>
      </c>
      <c r="N521" s="43" t="inlineStr">
        <is>
          <t>サイズ共通</t>
        </is>
      </c>
      <c r="O521" s="222" t="n">
        <v>74</v>
      </c>
      <c r="P521" s="222" t="n">
        <v>72</v>
      </c>
      <c r="Q521" s="43" t="inlineStr">
        <is>
          <t>202604_LIXIL_サーモスＬ_業務用資料集_完成品価格表.pdf</t>
        </is>
      </c>
      <c r="R521" s="43" t="inlineStr">
        <is>
          <t>固有仕様ID='*'：サイズは当該窓種の固有仕様間で共通扱い。個別部材の設定可否は関係表で制御。</t>
        </is>
      </c>
      <c r="S521" s="42" t="inlineStr">
        <is>
          <t>★</t>
        </is>
      </c>
      <c r="T521" s="42" t="n">
        <v>72</v>
      </c>
      <c r="U521" s="42" t="inlineStr">
        <is>
          <t>P72|★</t>
        </is>
      </c>
      <c r="V521" s="42" t="inlineStr">
        <is>
          <t>同頁凡例へ直接連動</t>
        </is>
      </c>
    </row>
    <row r="522">
      <c r="A522" s="43" t="inlineStr">
        <is>
          <t>SZ-SL-000519</t>
        </is>
      </c>
      <c r="B522" s="43" t="inlineStr">
        <is>
          <t>SER-LIX-SAMOSL</t>
        </is>
      </c>
      <c r="C522" s="43" t="inlineStr">
        <is>
          <t>WT-SL-AMADO-HIKI</t>
        </is>
      </c>
      <c r="D522" s="43" t="inlineStr">
        <is>
          <t>雨戸付引違い窓</t>
        </is>
      </c>
      <c r="E522" s="43" t="inlineStr">
        <is>
          <t>*</t>
        </is>
      </c>
      <c r="F522" s="43" t="inlineStr">
        <is>
          <t>在来・204</t>
        </is>
      </c>
      <c r="G522" s="43" t="inlineStr">
        <is>
          <t>16515</t>
        </is>
      </c>
      <c r="H522" s="43" t="inlineStr">
        <is>
          <t>165</t>
        </is>
      </c>
      <c r="I522" s="43" t="inlineStr">
        <is>
          <t>15</t>
        </is>
      </c>
      <c r="J522" s="222" t="n">
        <v>1690</v>
      </c>
      <c r="K522" s="222" t="n">
        <v>1570</v>
      </c>
      <c r="L522" s="43" t="inlineStr">
        <is>
          <t>在来・204</t>
        </is>
      </c>
      <c r="M522" s="178" t="b">
        <v>1</v>
      </c>
      <c r="N522" s="43" t="inlineStr">
        <is>
          <t>サイズ共通</t>
        </is>
      </c>
      <c r="O522" s="222" t="n">
        <v>74</v>
      </c>
      <c r="P522" s="222" t="n">
        <v>72</v>
      </c>
      <c r="Q522" s="43" t="inlineStr">
        <is>
          <t>202604_LIXIL_サーモスＬ_業務用資料集_完成品価格表.pdf</t>
        </is>
      </c>
      <c r="R522" s="43" t="inlineStr">
        <is>
          <t>固有仕様ID='*'：サイズは当該窓種の固有仕様間で共通扱い。個別部材の設定可否は関係表で制御。</t>
        </is>
      </c>
      <c r="S522" s="42" t="inlineStr">
        <is>
          <t>○</t>
        </is>
      </c>
      <c r="T522" s="42" t="n">
        <v>72</v>
      </c>
      <c r="U522" s="42" t="inlineStr">
        <is>
          <t>P72|○</t>
        </is>
      </c>
      <c r="V522" s="42" t="inlineStr">
        <is>
          <t>同頁凡例へ直接連動</t>
        </is>
      </c>
    </row>
    <row r="523">
      <c r="A523" s="43" t="inlineStr">
        <is>
          <t>SZ-SL-000520</t>
        </is>
      </c>
      <c r="B523" s="43" t="inlineStr">
        <is>
          <t>SER-LIX-SAMOSL</t>
        </is>
      </c>
      <c r="C523" s="43" t="inlineStr">
        <is>
          <t>WT-SL-AMADO-HIKI</t>
        </is>
      </c>
      <c r="D523" s="43" t="inlineStr">
        <is>
          <t>雨戸付引違い窓</t>
        </is>
      </c>
      <c r="E523" s="43" t="inlineStr">
        <is>
          <t>*</t>
        </is>
      </c>
      <c r="F523" s="43" t="inlineStr">
        <is>
          <t>在来・204</t>
        </is>
      </c>
      <c r="G523" s="43" t="inlineStr">
        <is>
          <t>17413</t>
        </is>
      </c>
      <c r="H523" s="43" t="inlineStr">
        <is>
          <t>174</t>
        </is>
      </c>
      <c r="I523" s="43" t="inlineStr">
        <is>
          <t>13</t>
        </is>
      </c>
      <c r="J523" s="222" t="n">
        <v>1780</v>
      </c>
      <c r="K523" s="222" t="n">
        <v>1370</v>
      </c>
      <c r="L523" s="43" t="inlineStr">
        <is>
          <t>在来・204</t>
        </is>
      </c>
      <c r="M523" s="178" t="b">
        <v>1</v>
      </c>
      <c r="N523" s="43" t="inlineStr">
        <is>
          <t>サイズ共通</t>
        </is>
      </c>
      <c r="O523" s="222" t="n">
        <v>74</v>
      </c>
      <c r="P523" s="222" t="n">
        <v>72</v>
      </c>
      <c r="Q523" s="43" t="inlineStr">
        <is>
          <t>202604_LIXIL_サーモスＬ_業務用資料集_完成品価格表.pdf</t>
        </is>
      </c>
      <c r="R523" s="43" t="inlineStr">
        <is>
          <t>固有仕様ID='*'：サイズは当該窓種の固有仕様間で共通扱い。個別部材の設定可否は関係表で制御。</t>
        </is>
      </c>
      <c r="S523" s="42" t="inlineStr">
        <is>
          <t>★</t>
        </is>
      </c>
      <c r="T523" s="42" t="n">
        <v>72</v>
      </c>
      <c r="U523" s="42" t="inlineStr">
        <is>
          <t>P72|★</t>
        </is>
      </c>
      <c r="V523" s="42" t="inlineStr">
        <is>
          <t>同頁凡例へ直接連動</t>
        </is>
      </c>
    </row>
    <row r="524">
      <c r="A524" s="43" t="inlineStr">
        <is>
          <t>SZ-SL-000521</t>
        </is>
      </c>
      <c r="B524" s="43" t="inlineStr">
        <is>
          <t>SER-LIX-SAMOSL</t>
        </is>
      </c>
      <c r="C524" s="43" t="inlineStr">
        <is>
          <t>WT-SL-AMADO-HIKI</t>
        </is>
      </c>
      <c r="D524" s="43" t="inlineStr">
        <is>
          <t>雨戸付引違い窓</t>
        </is>
      </c>
      <c r="E524" s="43" t="inlineStr">
        <is>
          <t>*</t>
        </is>
      </c>
      <c r="F524" s="43" t="inlineStr">
        <is>
          <t>在来・204</t>
        </is>
      </c>
      <c r="G524" s="43" t="inlineStr">
        <is>
          <t>17613</t>
        </is>
      </c>
      <c r="H524" s="43" t="inlineStr">
        <is>
          <t>176</t>
        </is>
      </c>
      <c r="I524" s="43" t="inlineStr">
        <is>
          <t>13</t>
        </is>
      </c>
      <c r="J524" s="222" t="n">
        <v>1800</v>
      </c>
      <c r="K524" s="222" t="n">
        <v>1370</v>
      </c>
      <c r="L524" s="43" t="inlineStr">
        <is>
          <t>在来・204</t>
        </is>
      </c>
      <c r="M524" s="178" t="b">
        <v>1</v>
      </c>
      <c r="N524" s="43" t="inlineStr">
        <is>
          <t>サイズ共通</t>
        </is>
      </c>
      <c r="O524" s="222" t="n">
        <v>74</v>
      </c>
      <c r="P524" s="222" t="n">
        <v>72</v>
      </c>
      <c r="Q524" s="43" t="inlineStr">
        <is>
          <t>202604_LIXIL_サーモスＬ_業務用資料集_完成品価格表.pdf</t>
        </is>
      </c>
      <c r="R524" s="43" t="inlineStr">
        <is>
          <t>固有仕様ID='*'：サイズは当該窓種の固有仕様間で共通扱い。個別部材の設定可否は関係表で制御。</t>
        </is>
      </c>
      <c r="S524" s="42" t="inlineStr">
        <is>
          <t>★</t>
        </is>
      </c>
      <c r="T524" s="42" t="n">
        <v>72</v>
      </c>
      <c r="U524" s="42" t="inlineStr">
        <is>
          <t>P72|★</t>
        </is>
      </c>
      <c r="V524" s="42" t="inlineStr">
        <is>
          <t>同頁凡例へ直接連動</t>
        </is>
      </c>
    </row>
    <row r="525">
      <c r="A525" s="43" t="inlineStr">
        <is>
          <t>SZ-SL-000522</t>
        </is>
      </c>
      <c r="B525" s="43" t="inlineStr">
        <is>
          <t>SER-LIX-SAMOSL</t>
        </is>
      </c>
      <c r="C525" s="43" t="inlineStr">
        <is>
          <t>WT-SL-AMADO-HIKI</t>
        </is>
      </c>
      <c r="D525" s="43" t="inlineStr">
        <is>
          <t>雨戸付引違い窓</t>
        </is>
      </c>
      <c r="E525" s="43" t="inlineStr">
        <is>
          <t>*</t>
        </is>
      </c>
      <c r="F525" s="43" t="inlineStr">
        <is>
          <t>在来・204</t>
        </is>
      </c>
      <c r="G525" s="43" t="inlineStr">
        <is>
          <t>25111-2</t>
        </is>
      </c>
      <c r="H525" s="43" t="inlineStr">
        <is>
          <t>251-2</t>
        </is>
      </c>
      <c r="I525" s="43" t="inlineStr">
        <is>
          <t>11</t>
        </is>
      </c>
      <c r="J525" s="222" t="n">
        <v>2550</v>
      </c>
      <c r="K525" s="222" t="n">
        <v>1170</v>
      </c>
      <c r="L525" s="43" t="inlineStr">
        <is>
          <t>在来・204</t>
        </is>
      </c>
      <c r="M525" s="178" t="b">
        <v>1</v>
      </c>
      <c r="N525" s="43" t="inlineStr">
        <is>
          <t>サイズ共通</t>
        </is>
      </c>
      <c r="O525" s="222" t="n">
        <v>76</v>
      </c>
      <c r="P525" s="222" t="n">
        <v>74</v>
      </c>
      <c r="Q525" s="43" t="inlineStr">
        <is>
          <t>202604_LIXIL_サーモスＬ_業務用資料集_完成品価格表.pdf</t>
        </is>
      </c>
      <c r="R525" s="43" t="inlineStr">
        <is>
          <t>固有仕様ID='*'：サイズは当該窓種の固有仕様間で共通扱い。個別部材の設定可否は関係表で制御。</t>
        </is>
      </c>
      <c r="S525" s="42" t="inlineStr">
        <is>
          <t>☆</t>
        </is>
      </c>
      <c r="T525" s="42" t="n">
        <v>74</v>
      </c>
      <c r="U525" s="42" t="inlineStr">
        <is>
          <t>P74|☆</t>
        </is>
      </c>
      <c r="V525" s="42" t="inlineStr">
        <is>
          <t>同頁凡例へ直接連動</t>
        </is>
      </c>
    </row>
    <row r="526">
      <c r="A526" s="43" t="inlineStr">
        <is>
          <t>SZ-SL-000523</t>
        </is>
      </c>
      <c r="B526" s="43" t="inlineStr">
        <is>
          <t>SER-LIX-SAMOSL</t>
        </is>
      </c>
      <c r="C526" s="43" t="inlineStr">
        <is>
          <t>WT-SL-AMADO-HIKI</t>
        </is>
      </c>
      <c r="D526" s="43" t="inlineStr">
        <is>
          <t>雨戸付引違い窓</t>
        </is>
      </c>
      <c r="E526" s="43" t="inlineStr">
        <is>
          <t>*</t>
        </is>
      </c>
      <c r="F526" s="43" t="inlineStr">
        <is>
          <t>在来・204</t>
        </is>
      </c>
      <c r="G526" s="43" t="inlineStr">
        <is>
          <t>25111-4</t>
        </is>
      </c>
      <c r="H526" s="43" t="inlineStr">
        <is>
          <t>251-4</t>
        </is>
      </c>
      <c r="I526" s="43" t="inlineStr">
        <is>
          <t>11</t>
        </is>
      </c>
      <c r="J526" s="222" t="n">
        <v>2550</v>
      </c>
      <c r="K526" s="222" t="n">
        <v>1170</v>
      </c>
      <c r="L526" s="43" t="inlineStr">
        <is>
          <t>在来・204</t>
        </is>
      </c>
      <c r="M526" s="178" t="b">
        <v>1</v>
      </c>
      <c r="N526" s="43" t="inlineStr">
        <is>
          <t>サイズ共通</t>
        </is>
      </c>
      <c r="O526" s="222" t="n">
        <v>76</v>
      </c>
      <c r="P526" s="222" t="n">
        <v>74</v>
      </c>
      <c r="Q526" s="43" t="inlineStr">
        <is>
          <t>202604_LIXIL_サーモスＬ_業務用資料集_完成品価格表.pdf</t>
        </is>
      </c>
      <c r="R526" s="43" t="inlineStr">
        <is>
          <t>固有仕様ID='*'：サイズは当該窓種の固有仕様間で共通扱い。個別部材の設定可否は関係表で制御。</t>
        </is>
      </c>
      <c r="S526" s="42" t="inlineStr">
        <is>
          <t>無印</t>
        </is>
      </c>
      <c r="T526" s="42" t="n">
        <v>74</v>
      </c>
      <c r="U526" s="42" t="inlineStr">
        <is>
          <t>P74|無印</t>
        </is>
      </c>
      <c r="V526" s="42" t="inlineStr">
        <is>
          <t>同頁凡例へ直接連動</t>
        </is>
      </c>
    </row>
    <row r="527">
      <c r="A527" s="43" t="inlineStr">
        <is>
          <t>SZ-SL-000524</t>
        </is>
      </c>
      <c r="B527" s="43" t="inlineStr">
        <is>
          <t>SER-LIX-SAMOSL</t>
        </is>
      </c>
      <c r="C527" s="43" t="inlineStr">
        <is>
          <t>WT-SL-AMADO-HIKI</t>
        </is>
      </c>
      <c r="D527" s="43" t="inlineStr">
        <is>
          <t>雨戸付引違い窓</t>
        </is>
      </c>
      <c r="E527" s="43" t="inlineStr">
        <is>
          <t>*</t>
        </is>
      </c>
      <c r="F527" s="43" t="inlineStr">
        <is>
          <t>在来・204</t>
        </is>
      </c>
      <c r="G527" s="43" t="inlineStr">
        <is>
          <t>25611-2</t>
        </is>
      </c>
      <c r="H527" s="43" t="inlineStr">
        <is>
          <t>256-2</t>
        </is>
      </c>
      <c r="I527" s="43" t="inlineStr">
        <is>
          <t>11</t>
        </is>
      </c>
      <c r="J527" s="222" t="n">
        <v>2600</v>
      </c>
      <c r="K527" s="222" t="n">
        <v>1170</v>
      </c>
      <c r="L527" s="43" t="inlineStr">
        <is>
          <t>在来・204</t>
        </is>
      </c>
      <c r="M527" s="178" t="b">
        <v>1</v>
      </c>
      <c r="N527" s="43" t="inlineStr">
        <is>
          <t>サイズ共通</t>
        </is>
      </c>
      <c r="O527" s="222" t="n">
        <v>76</v>
      </c>
      <c r="P527" s="222" t="n">
        <v>74</v>
      </c>
      <c r="Q527" s="43" t="inlineStr">
        <is>
          <t>202604_LIXIL_サーモスＬ_業務用資料集_完成品価格表.pdf</t>
        </is>
      </c>
      <c r="R527" s="43" t="inlineStr">
        <is>
          <t>固有仕様ID='*'：サイズは当該窓種の固有仕様間で共通扱い。個別部材の設定可否は関係表で制御。</t>
        </is>
      </c>
      <c r="S527" s="42" t="inlineStr">
        <is>
          <t>☆</t>
        </is>
      </c>
      <c r="T527" s="42" t="n">
        <v>74</v>
      </c>
      <c r="U527" s="42" t="inlineStr">
        <is>
          <t>P74|☆</t>
        </is>
      </c>
      <c r="V527" s="42" t="inlineStr">
        <is>
          <t>同頁凡例へ直接連動</t>
        </is>
      </c>
    </row>
    <row r="528">
      <c r="A528" s="43" t="inlineStr">
        <is>
          <t>SZ-SL-000525</t>
        </is>
      </c>
      <c r="B528" s="43" t="inlineStr">
        <is>
          <t>SER-LIX-SAMOSL</t>
        </is>
      </c>
      <c r="C528" s="43" t="inlineStr">
        <is>
          <t>WT-SL-AMADO-HIKI</t>
        </is>
      </c>
      <c r="D528" s="43" t="inlineStr">
        <is>
          <t>雨戸付引違い窓</t>
        </is>
      </c>
      <c r="E528" s="43" t="inlineStr">
        <is>
          <t>*</t>
        </is>
      </c>
      <c r="F528" s="43" t="inlineStr">
        <is>
          <t>在来・204</t>
        </is>
      </c>
      <c r="G528" s="43" t="inlineStr">
        <is>
          <t>25611-4</t>
        </is>
      </c>
      <c r="H528" s="43" t="inlineStr">
        <is>
          <t>256-4</t>
        </is>
      </c>
      <c r="I528" s="43" t="inlineStr">
        <is>
          <t>11</t>
        </is>
      </c>
      <c r="J528" s="222" t="n">
        <v>2600</v>
      </c>
      <c r="K528" s="222" t="n">
        <v>1170</v>
      </c>
      <c r="L528" s="43" t="inlineStr">
        <is>
          <t>在来・204</t>
        </is>
      </c>
      <c r="M528" s="178" t="b">
        <v>1</v>
      </c>
      <c r="N528" s="43" t="inlineStr">
        <is>
          <t>サイズ共通</t>
        </is>
      </c>
      <c r="O528" s="222" t="n">
        <v>76</v>
      </c>
      <c r="P528" s="222" t="n">
        <v>74</v>
      </c>
      <c r="Q528" s="43" t="inlineStr">
        <is>
          <t>202604_LIXIL_サーモスＬ_業務用資料集_完成品価格表.pdf</t>
        </is>
      </c>
      <c r="R528" s="43" t="inlineStr">
        <is>
          <t>固有仕様ID='*'：サイズは当該窓種の固有仕様間で共通扱い。個別部材の設定可否は関係表で制御。</t>
        </is>
      </c>
      <c r="S528" s="42" t="inlineStr">
        <is>
          <t>無印</t>
        </is>
      </c>
      <c r="T528" s="42" t="n">
        <v>74</v>
      </c>
      <c r="U528" s="42" t="inlineStr">
        <is>
          <t>P74|無印</t>
        </is>
      </c>
      <c r="V528" s="42" t="inlineStr">
        <is>
          <t>同頁凡例へ直接連動</t>
        </is>
      </c>
    </row>
    <row r="529">
      <c r="A529" s="43" t="inlineStr">
        <is>
          <t>SZ-SL-000526</t>
        </is>
      </c>
      <c r="B529" s="43" t="inlineStr">
        <is>
          <t>SER-LIX-SAMOSL</t>
        </is>
      </c>
      <c r="C529" s="43" t="inlineStr">
        <is>
          <t>WT-SL-AMADO-HIKI</t>
        </is>
      </c>
      <c r="D529" s="43" t="inlineStr">
        <is>
          <t>雨戸付引違い窓</t>
        </is>
      </c>
      <c r="E529" s="43" t="inlineStr">
        <is>
          <t>*</t>
        </is>
      </c>
      <c r="F529" s="43" t="inlineStr">
        <is>
          <t>在来・204</t>
        </is>
      </c>
      <c r="G529" s="43" t="inlineStr">
        <is>
          <t>25113-2</t>
        </is>
      </c>
      <c r="H529" s="43" t="inlineStr">
        <is>
          <t>251-2</t>
        </is>
      </c>
      <c r="I529" s="43" t="inlineStr">
        <is>
          <t>13</t>
        </is>
      </c>
      <c r="J529" s="222" t="n">
        <v>2550</v>
      </c>
      <c r="K529" s="222" t="n">
        <v>1370</v>
      </c>
      <c r="L529" s="43" t="inlineStr">
        <is>
          <t>在来・204</t>
        </is>
      </c>
      <c r="M529" s="178" t="b">
        <v>1</v>
      </c>
      <c r="N529" s="43" t="inlineStr">
        <is>
          <t>サイズ共通</t>
        </is>
      </c>
      <c r="O529" s="222" t="n">
        <v>78</v>
      </c>
      <c r="P529" s="222" t="n">
        <v>76</v>
      </c>
      <c r="Q529" s="43" t="inlineStr">
        <is>
          <t>202604_LIXIL_サーモスＬ_業務用資料集_完成品価格表.pdf</t>
        </is>
      </c>
      <c r="R529" s="43" t="inlineStr">
        <is>
          <t>固有仕様ID='*'：サイズは当該窓種の固有仕様間で共通扱い。個別部材の設定可否は関係表で制御。</t>
        </is>
      </c>
      <c r="S529" s="42" t="inlineStr">
        <is>
          <t>●</t>
        </is>
      </c>
      <c r="T529" s="42" t="n">
        <v>76</v>
      </c>
      <c r="U529" s="42" t="inlineStr">
        <is>
          <t>P76|●</t>
        </is>
      </c>
      <c r="V529" s="42" t="inlineStr">
        <is>
          <t>同頁凡例へ直接連動</t>
        </is>
      </c>
    </row>
    <row r="530">
      <c r="A530" s="43" t="inlineStr">
        <is>
          <t>SZ-SL-000527</t>
        </is>
      </c>
      <c r="B530" s="43" t="inlineStr">
        <is>
          <t>SER-LIX-SAMOSL</t>
        </is>
      </c>
      <c r="C530" s="43" t="inlineStr">
        <is>
          <t>WT-SL-AMADO-HIKI</t>
        </is>
      </c>
      <c r="D530" s="43" t="inlineStr">
        <is>
          <t>雨戸付引違い窓</t>
        </is>
      </c>
      <c r="E530" s="43" t="inlineStr">
        <is>
          <t>*</t>
        </is>
      </c>
      <c r="F530" s="43" t="inlineStr">
        <is>
          <t>在来・204</t>
        </is>
      </c>
      <c r="G530" s="43" t="inlineStr">
        <is>
          <t>25113-4</t>
        </is>
      </c>
      <c r="H530" s="43" t="inlineStr">
        <is>
          <t>251-4</t>
        </is>
      </c>
      <c r="I530" s="43" t="inlineStr">
        <is>
          <t>13</t>
        </is>
      </c>
      <c r="J530" s="222" t="n">
        <v>2550</v>
      </c>
      <c r="K530" s="222" t="n">
        <v>1370</v>
      </c>
      <c r="L530" s="43" t="inlineStr">
        <is>
          <t>在来・204</t>
        </is>
      </c>
      <c r="M530" s="178" t="b">
        <v>1</v>
      </c>
      <c r="N530" s="43" t="inlineStr">
        <is>
          <t>サイズ共通</t>
        </is>
      </c>
      <c r="O530" s="222" t="n">
        <v>78</v>
      </c>
      <c r="P530" s="222" t="n">
        <v>76</v>
      </c>
      <c r="Q530" s="43" t="inlineStr">
        <is>
          <t>202604_LIXIL_サーモスＬ_業務用資料集_完成品価格表.pdf</t>
        </is>
      </c>
      <c r="R530" s="43" t="inlineStr">
        <is>
          <t>固有仕様ID='*'：サイズは当該窓種の固有仕様間で共通扱い。個別部材の設定可否は関係表で制御。</t>
        </is>
      </c>
      <c r="S530" s="42" t="inlineStr">
        <is>
          <t>無印</t>
        </is>
      </c>
      <c r="T530" s="42" t="n">
        <v>76</v>
      </c>
      <c r="U530" s="42" t="inlineStr">
        <is>
          <t>P76|無印</t>
        </is>
      </c>
      <c r="V530" s="42" t="inlineStr">
        <is>
          <t>同頁凡例へ直接連動</t>
        </is>
      </c>
    </row>
    <row r="531">
      <c r="A531" s="43" t="inlineStr">
        <is>
          <t>SZ-SL-000528</t>
        </is>
      </c>
      <c r="B531" s="43" t="inlineStr">
        <is>
          <t>SER-LIX-SAMOSL</t>
        </is>
      </c>
      <c r="C531" s="43" t="inlineStr">
        <is>
          <t>WT-SL-AMADO-HIKI</t>
        </is>
      </c>
      <c r="D531" s="43" t="inlineStr">
        <is>
          <t>雨戸付引違い窓</t>
        </is>
      </c>
      <c r="E531" s="43" t="inlineStr">
        <is>
          <t>*</t>
        </is>
      </c>
      <c r="F531" s="43" t="inlineStr">
        <is>
          <t>在来・204</t>
        </is>
      </c>
      <c r="G531" s="43" t="inlineStr">
        <is>
          <t>25613-2</t>
        </is>
      </c>
      <c r="H531" s="43" t="inlineStr">
        <is>
          <t>256-2</t>
        </is>
      </c>
      <c r="I531" s="43" t="inlineStr">
        <is>
          <t>13</t>
        </is>
      </c>
      <c r="J531" s="222" t="n">
        <v>2600</v>
      </c>
      <c r="K531" s="222" t="n">
        <v>1370</v>
      </c>
      <c r="L531" s="43" t="inlineStr">
        <is>
          <t>在来・204</t>
        </is>
      </c>
      <c r="M531" s="178" t="b">
        <v>1</v>
      </c>
      <c r="N531" s="43" t="inlineStr">
        <is>
          <t>サイズ共通</t>
        </is>
      </c>
      <c r="O531" s="222" t="n">
        <v>78</v>
      </c>
      <c r="P531" s="222" t="n">
        <v>76</v>
      </c>
      <c r="Q531" s="43" t="inlineStr">
        <is>
          <t>202604_LIXIL_サーモスＬ_業務用資料集_完成品価格表.pdf</t>
        </is>
      </c>
      <c r="R531" s="43" t="inlineStr">
        <is>
          <t>固有仕様ID='*'：サイズは当該窓種の固有仕様間で共通扱い。個別部材の設定可否は関係表で制御。</t>
        </is>
      </c>
      <c r="S531" s="42" t="inlineStr">
        <is>
          <t>●</t>
        </is>
      </c>
      <c r="T531" s="42" t="n">
        <v>76</v>
      </c>
      <c r="U531" s="42" t="inlineStr">
        <is>
          <t>P76|●</t>
        </is>
      </c>
      <c r="V531" s="42" t="inlineStr">
        <is>
          <t>同頁凡例へ直接連動</t>
        </is>
      </c>
    </row>
    <row r="532">
      <c r="A532" s="43" t="inlineStr">
        <is>
          <t>SZ-SL-000529</t>
        </is>
      </c>
      <c r="B532" s="43" t="inlineStr">
        <is>
          <t>SER-LIX-SAMOSL</t>
        </is>
      </c>
      <c r="C532" s="43" t="inlineStr">
        <is>
          <t>WT-SL-AMADO-HIKI</t>
        </is>
      </c>
      <c r="D532" s="43" t="inlineStr">
        <is>
          <t>雨戸付引違い窓</t>
        </is>
      </c>
      <c r="E532" s="43" t="inlineStr">
        <is>
          <t>*</t>
        </is>
      </c>
      <c r="F532" s="43" t="inlineStr">
        <is>
          <t>在来・204</t>
        </is>
      </c>
      <c r="G532" s="43" t="inlineStr">
        <is>
          <t>25613-4</t>
        </is>
      </c>
      <c r="H532" s="43" t="inlineStr">
        <is>
          <t>256-4</t>
        </is>
      </c>
      <c r="I532" s="43" t="inlineStr">
        <is>
          <t>13</t>
        </is>
      </c>
      <c r="J532" s="222" t="n">
        <v>2600</v>
      </c>
      <c r="K532" s="222" t="n">
        <v>1370</v>
      </c>
      <c r="L532" s="43" t="inlineStr">
        <is>
          <t>在来・204</t>
        </is>
      </c>
      <c r="M532" s="178" t="b">
        <v>1</v>
      </c>
      <c r="N532" s="43" t="inlineStr">
        <is>
          <t>サイズ共通</t>
        </is>
      </c>
      <c r="O532" s="222" t="n">
        <v>78</v>
      </c>
      <c r="P532" s="222" t="n">
        <v>76</v>
      </c>
      <c r="Q532" s="43" t="inlineStr">
        <is>
          <t>202604_LIXIL_サーモスＬ_業務用資料集_完成品価格表.pdf</t>
        </is>
      </c>
      <c r="R532" s="43" t="inlineStr">
        <is>
          <t>固有仕様ID='*'：サイズは当該窓種の固有仕様間で共通扱い。個別部材の設定可否は関係表で制御。</t>
        </is>
      </c>
      <c r="S532" s="42" t="inlineStr">
        <is>
          <t>無印</t>
        </is>
      </c>
      <c r="T532" s="42" t="n">
        <v>76</v>
      </c>
      <c r="U532" s="42" t="inlineStr">
        <is>
          <t>P76|無印</t>
        </is>
      </c>
      <c r="V532" s="42" t="inlineStr">
        <is>
          <t>同頁凡例へ直接連動</t>
        </is>
      </c>
    </row>
    <row r="533">
      <c r="A533" s="43" t="inlineStr">
        <is>
          <t>SZ-SL-000530</t>
        </is>
      </c>
      <c r="B533" s="43" t="inlineStr">
        <is>
          <t>SER-LIX-SAMOSL</t>
        </is>
      </c>
      <c r="C533" s="43" t="inlineStr">
        <is>
          <t>WT-SL-AMADO-HIKI</t>
        </is>
      </c>
      <c r="D533" s="43" t="inlineStr">
        <is>
          <t>雨戸付引違い窓</t>
        </is>
      </c>
      <c r="E533" s="43" t="inlineStr">
        <is>
          <t>*</t>
        </is>
      </c>
      <c r="F533" s="43" t="inlineStr">
        <is>
          <t>在来</t>
        </is>
      </c>
      <c r="G533" s="43" t="inlineStr">
        <is>
          <t>15018</t>
        </is>
      </c>
      <c r="H533" s="43" t="inlineStr">
        <is>
          <t>150</t>
        </is>
      </c>
      <c r="I533" s="43" t="inlineStr">
        <is>
          <t>18</t>
        </is>
      </c>
      <c r="J533" s="222" t="n">
        <v>1540</v>
      </c>
      <c r="K533" s="222" t="n">
        <v>1830</v>
      </c>
      <c r="L533" s="43" t="inlineStr">
        <is>
          <t>在来</t>
        </is>
      </c>
      <c r="M533" s="178" t="b">
        <v>1</v>
      </c>
      <c r="N533" s="43" t="inlineStr">
        <is>
          <t>サイズ共通</t>
        </is>
      </c>
      <c r="O533" s="222" t="n">
        <v>80</v>
      </c>
      <c r="P533" s="222" t="n">
        <v>78</v>
      </c>
      <c r="Q533" s="43" t="inlineStr">
        <is>
          <t>202604_LIXIL_サーモスＬ_業務用資料集_完成品価格表.pdf</t>
        </is>
      </c>
      <c r="R533" s="43" t="inlineStr">
        <is>
          <t>固有仕様ID='*'：サイズは当該窓種の固有仕様間で共通扱い。個別部材の設定可否は関係表で制御。</t>
        </is>
      </c>
      <c r="S533" s="42" t="inlineStr">
        <is>
          <t>無印</t>
        </is>
      </c>
      <c r="T533" s="42" t="n">
        <v>79</v>
      </c>
      <c r="U533" s="42" t="inlineStr">
        <is>
          <t>P79|無印</t>
        </is>
      </c>
      <c r="V533" s="42" t="inlineStr">
        <is>
          <t>同一価格表・次頁凡例を継承</t>
        </is>
      </c>
    </row>
    <row r="534">
      <c r="A534" s="43" t="inlineStr">
        <is>
          <t>SZ-SL-000531</t>
        </is>
      </c>
      <c r="B534" s="43" t="inlineStr">
        <is>
          <t>SER-LIX-SAMOSL</t>
        </is>
      </c>
      <c r="C534" s="43" t="inlineStr">
        <is>
          <t>WT-SL-AMADO-HIKI</t>
        </is>
      </c>
      <c r="D534" s="43" t="inlineStr">
        <is>
          <t>雨戸付引違い窓</t>
        </is>
      </c>
      <c r="E534" s="43" t="inlineStr">
        <is>
          <t>*</t>
        </is>
      </c>
      <c r="F534" s="43" t="inlineStr">
        <is>
          <t>在来</t>
        </is>
      </c>
      <c r="G534" s="43" t="inlineStr">
        <is>
          <t>15020</t>
        </is>
      </c>
      <c r="H534" s="43" t="inlineStr">
        <is>
          <t>150</t>
        </is>
      </c>
      <c r="I534" s="43" t="inlineStr">
        <is>
          <t>20</t>
        </is>
      </c>
      <c r="J534" s="222" t="n">
        <v>1540</v>
      </c>
      <c r="K534" s="222" t="n">
        <v>2030</v>
      </c>
      <c r="L534" s="43" t="inlineStr">
        <is>
          <t>在来</t>
        </is>
      </c>
      <c r="M534" s="178" t="b">
        <v>1</v>
      </c>
      <c r="N534" s="43" t="inlineStr">
        <is>
          <t>サイズ共通</t>
        </is>
      </c>
      <c r="O534" s="222" t="n">
        <v>80</v>
      </c>
      <c r="P534" s="222" t="n">
        <v>78</v>
      </c>
      <c r="Q534" s="43" t="inlineStr">
        <is>
          <t>202604_LIXIL_サーモスＬ_業務用資料集_完成品価格表.pdf</t>
        </is>
      </c>
      <c r="R534" s="43" t="inlineStr">
        <is>
          <t>固有仕様ID='*'：サイズは当該窓種の固有仕様間で共通扱い。個別部材の設定可否は関係表で制御。</t>
        </is>
      </c>
      <c r="S534" s="42" t="inlineStr">
        <is>
          <t>▲</t>
        </is>
      </c>
      <c r="T534" s="42" t="n">
        <v>79</v>
      </c>
      <c r="U534" s="42" t="inlineStr">
        <is>
          <t>P79|▲</t>
        </is>
      </c>
      <c r="V534" s="42" t="inlineStr">
        <is>
          <t>同一価格表・次頁凡例を継承</t>
        </is>
      </c>
    </row>
    <row r="535">
      <c r="A535" s="43" t="inlineStr">
        <is>
          <t>SZ-SL-000532</t>
        </is>
      </c>
      <c r="B535" s="43" t="inlineStr">
        <is>
          <t>SER-LIX-SAMOSL</t>
        </is>
      </c>
      <c r="C535" s="43" t="inlineStr">
        <is>
          <t>WT-SL-AMADO-HIKI</t>
        </is>
      </c>
      <c r="D535" s="43" t="inlineStr">
        <is>
          <t>雨戸付引違い窓</t>
        </is>
      </c>
      <c r="E535" s="43" t="inlineStr">
        <is>
          <t>*</t>
        </is>
      </c>
      <c r="F535" s="43" t="inlineStr">
        <is>
          <t>在来</t>
        </is>
      </c>
      <c r="G535" s="43" t="inlineStr">
        <is>
          <t>16018</t>
        </is>
      </c>
      <c r="H535" s="43" t="inlineStr">
        <is>
          <t>160</t>
        </is>
      </c>
      <c r="I535" s="43" t="inlineStr">
        <is>
          <t>18</t>
        </is>
      </c>
      <c r="J535" s="222" t="n">
        <v>1640</v>
      </c>
      <c r="K535" s="222" t="n">
        <v>1830</v>
      </c>
      <c r="L535" s="43" t="inlineStr">
        <is>
          <t>在来</t>
        </is>
      </c>
      <c r="M535" s="178" t="b">
        <v>1</v>
      </c>
      <c r="N535" s="43" t="inlineStr">
        <is>
          <t>サイズ共通</t>
        </is>
      </c>
      <c r="O535" s="222" t="n">
        <v>80</v>
      </c>
      <c r="P535" s="222" t="n">
        <v>78</v>
      </c>
      <c r="Q535" s="43" t="inlineStr">
        <is>
          <t>202604_LIXIL_サーモスＬ_業務用資料集_完成品価格表.pdf</t>
        </is>
      </c>
      <c r="R535" s="43" t="inlineStr">
        <is>
          <t>固有仕様ID='*'：サイズは当該窓種の固有仕様間で共通扱い。個別部材の設定可否は関係表で制御。</t>
        </is>
      </c>
      <c r="S535" s="42" t="inlineStr">
        <is>
          <t>無印</t>
        </is>
      </c>
      <c r="T535" s="42" t="n">
        <v>79</v>
      </c>
      <c r="U535" s="42" t="inlineStr">
        <is>
          <t>P79|無印</t>
        </is>
      </c>
      <c r="V535" s="42" t="inlineStr">
        <is>
          <t>同一価格表・次頁凡例を継承</t>
        </is>
      </c>
    </row>
    <row r="536">
      <c r="A536" s="43" t="inlineStr">
        <is>
          <t>SZ-SL-000533</t>
        </is>
      </c>
      <c r="B536" s="43" t="inlineStr">
        <is>
          <t>SER-LIX-SAMOSL</t>
        </is>
      </c>
      <c r="C536" s="43" t="inlineStr">
        <is>
          <t>WT-SL-AMADO-HIKI</t>
        </is>
      </c>
      <c r="D536" s="43" t="inlineStr">
        <is>
          <t>雨戸付引違い窓</t>
        </is>
      </c>
      <c r="E536" s="43" t="inlineStr">
        <is>
          <t>*</t>
        </is>
      </c>
      <c r="F536" s="43" t="inlineStr">
        <is>
          <t>在来</t>
        </is>
      </c>
      <c r="G536" s="43" t="inlineStr">
        <is>
          <t>16020</t>
        </is>
      </c>
      <c r="H536" s="43" t="inlineStr">
        <is>
          <t>160</t>
        </is>
      </c>
      <c r="I536" s="43" t="inlineStr">
        <is>
          <t>20</t>
        </is>
      </c>
      <c r="J536" s="222" t="n">
        <v>1640</v>
      </c>
      <c r="K536" s="222" t="n">
        <v>2030</v>
      </c>
      <c r="L536" s="43" t="inlineStr">
        <is>
          <t>在来</t>
        </is>
      </c>
      <c r="M536" s="178" t="b">
        <v>1</v>
      </c>
      <c r="N536" s="43" t="inlineStr">
        <is>
          <t>サイズ共通</t>
        </is>
      </c>
      <c r="O536" s="222" t="n">
        <v>80</v>
      </c>
      <c r="P536" s="222" t="n">
        <v>78</v>
      </c>
      <c r="Q536" s="43" t="inlineStr">
        <is>
          <t>202604_LIXIL_サーモスＬ_業務用資料集_完成品価格表.pdf</t>
        </is>
      </c>
      <c r="R536" s="43" t="inlineStr">
        <is>
          <t>固有仕様ID='*'：サイズは当該窓種の固有仕様間で共通扱い。個別部材の設定可否は関係表で制御。</t>
        </is>
      </c>
      <c r="S536" s="42" t="inlineStr">
        <is>
          <t>△</t>
        </is>
      </c>
      <c r="T536" s="42" t="n">
        <v>79</v>
      </c>
      <c r="U536" s="42" t="inlineStr">
        <is>
          <t>P79|△</t>
        </is>
      </c>
      <c r="V536" s="42" t="inlineStr">
        <is>
          <t>同一価格表・次頁凡例を継承</t>
        </is>
      </c>
    </row>
    <row r="537">
      <c r="A537" s="43" t="inlineStr">
        <is>
          <t>SZ-SL-000534</t>
        </is>
      </c>
      <c r="B537" s="43" t="inlineStr">
        <is>
          <t>SER-LIX-SAMOSL</t>
        </is>
      </c>
      <c r="C537" s="43" t="inlineStr">
        <is>
          <t>WT-SL-AMADO-HIKI</t>
        </is>
      </c>
      <c r="D537" s="43" t="inlineStr">
        <is>
          <t>雨戸付引違い窓</t>
        </is>
      </c>
      <c r="E537" s="43" t="inlineStr">
        <is>
          <t>*</t>
        </is>
      </c>
      <c r="F537" s="43" t="inlineStr">
        <is>
          <t>在来</t>
        </is>
      </c>
      <c r="G537" s="43" t="inlineStr">
        <is>
          <t>16518</t>
        </is>
      </c>
      <c r="H537" s="43" t="inlineStr">
        <is>
          <t>165</t>
        </is>
      </c>
      <c r="I537" s="43" t="inlineStr">
        <is>
          <t>18</t>
        </is>
      </c>
      <c r="J537" s="222" t="n">
        <v>1690</v>
      </c>
      <c r="K537" s="222" t="n">
        <v>1830</v>
      </c>
      <c r="L537" s="43" t="inlineStr">
        <is>
          <t>在来</t>
        </is>
      </c>
      <c r="M537" s="178" t="b">
        <v>1</v>
      </c>
      <c r="N537" s="43" t="inlineStr">
        <is>
          <t>サイズ共通</t>
        </is>
      </c>
      <c r="O537" s="222" t="n">
        <v>80</v>
      </c>
      <c r="P537" s="222" t="n">
        <v>78</v>
      </c>
      <c r="Q537" s="43" t="inlineStr">
        <is>
          <t>202604_LIXIL_サーモスＬ_業務用資料集_完成品価格表.pdf</t>
        </is>
      </c>
      <c r="R537" s="43" t="inlineStr">
        <is>
          <t>固有仕様ID='*'：サイズは当該窓種の固有仕様間で共通扱い。個別部材の設定可否は関係表で制御。</t>
        </is>
      </c>
      <c r="S537" s="42" t="inlineStr">
        <is>
          <t>無印</t>
        </is>
      </c>
      <c r="T537" s="42" t="n">
        <v>79</v>
      </c>
      <c r="U537" s="42" t="inlineStr">
        <is>
          <t>P79|無印</t>
        </is>
      </c>
      <c r="V537" s="42" t="inlineStr">
        <is>
          <t>同一価格表・次頁凡例を継承</t>
        </is>
      </c>
    </row>
    <row r="538">
      <c r="A538" s="43" t="inlineStr">
        <is>
          <t>SZ-SL-000535</t>
        </is>
      </c>
      <c r="B538" s="43" t="inlineStr">
        <is>
          <t>SER-LIX-SAMOSL</t>
        </is>
      </c>
      <c r="C538" s="43" t="inlineStr">
        <is>
          <t>WT-SL-AMADO-HIKI</t>
        </is>
      </c>
      <c r="D538" s="43" t="inlineStr">
        <is>
          <t>雨戸付引違い窓</t>
        </is>
      </c>
      <c r="E538" s="43" t="inlineStr">
        <is>
          <t>*</t>
        </is>
      </c>
      <c r="F538" s="43" t="inlineStr">
        <is>
          <t>在来</t>
        </is>
      </c>
      <c r="G538" s="43" t="inlineStr">
        <is>
          <t>16520</t>
        </is>
      </c>
      <c r="H538" s="43" t="inlineStr">
        <is>
          <t>165</t>
        </is>
      </c>
      <c r="I538" s="43" t="inlineStr">
        <is>
          <t>20</t>
        </is>
      </c>
      <c r="J538" s="222" t="n">
        <v>1690</v>
      </c>
      <c r="K538" s="222" t="n">
        <v>2030</v>
      </c>
      <c r="L538" s="43" t="inlineStr">
        <is>
          <t>在来</t>
        </is>
      </c>
      <c r="M538" s="178" t="b">
        <v>1</v>
      </c>
      <c r="N538" s="43" t="inlineStr">
        <is>
          <t>サイズ共通</t>
        </is>
      </c>
      <c r="O538" s="222" t="n">
        <v>80</v>
      </c>
      <c r="P538" s="222" t="n">
        <v>78</v>
      </c>
      <c r="Q538" s="43" t="inlineStr">
        <is>
          <t>202604_LIXIL_サーモスＬ_業務用資料集_完成品価格表.pdf</t>
        </is>
      </c>
      <c r="R538" s="43" t="inlineStr">
        <is>
          <t>固有仕様ID='*'：サイズは当該窓種の固有仕様間で共通扱い。個別部材の設定可否は関係表で制御。</t>
        </is>
      </c>
      <c r="S538" s="42" t="inlineStr">
        <is>
          <t>★</t>
        </is>
      </c>
      <c r="T538" s="42" t="n">
        <v>79</v>
      </c>
      <c r="U538" s="42" t="inlineStr">
        <is>
          <t>P79|★</t>
        </is>
      </c>
      <c r="V538" s="42" t="inlineStr">
        <is>
          <t>同一価格表・次頁凡例を継承</t>
        </is>
      </c>
    </row>
    <row r="539">
      <c r="A539" s="43" t="inlineStr">
        <is>
          <t>SZ-SL-000536</t>
        </is>
      </c>
      <c r="B539" s="43" t="inlineStr">
        <is>
          <t>SER-LIX-SAMOSL</t>
        </is>
      </c>
      <c r="C539" s="43" t="inlineStr">
        <is>
          <t>WT-SL-AMADO-HIKI</t>
        </is>
      </c>
      <c r="D539" s="43" t="inlineStr">
        <is>
          <t>雨戸付引違い窓</t>
        </is>
      </c>
      <c r="E539" s="43" t="inlineStr">
        <is>
          <t>*</t>
        </is>
      </c>
      <c r="F539" s="43" t="inlineStr">
        <is>
          <t>在来</t>
        </is>
      </c>
      <c r="G539" s="43" t="inlineStr">
        <is>
          <t>18618</t>
        </is>
      </c>
      <c r="H539" s="43" t="inlineStr">
        <is>
          <t>186</t>
        </is>
      </c>
      <c r="I539" s="43" t="inlineStr">
        <is>
          <t>18</t>
        </is>
      </c>
      <c r="J539" s="222" t="n">
        <v>1900</v>
      </c>
      <c r="K539" s="222" t="n">
        <v>1830</v>
      </c>
      <c r="L539" s="43" t="inlineStr">
        <is>
          <t>在来</t>
        </is>
      </c>
      <c r="M539" s="178" t="b">
        <v>1</v>
      </c>
      <c r="N539" s="43" t="inlineStr">
        <is>
          <t>サイズ共通</t>
        </is>
      </c>
      <c r="O539" s="222" t="n">
        <v>82</v>
      </c>
      <c r="P539" s="222" t="n">
        <v>80</v>
      </c>
      <c r="Q539" s="43" t="inlineStr">
        <is>
          <t>202604_LIXIL_サーモスＬ_業務用資料集_完成品価格表.pdf</t>
        </is>
      </c>
      <c r="R539" s="43" t="inlineStr">
        <is>
          <t>固有仕様ID='*'：サイズは当該窓種の固有仕様間で共通扱い。個別部材の設定可否は関係表で制御。</t>
        </is>
      </c>
      <c r="S539" s="42" t="inlineStr">
        <is>
          <t>★</t>
        </is>
      </c>
      <c r="T539" s="42" t="n">
        <v>81</v>
      </c>
      <c r="U539" s="42" t="inlineStr">
        <is>
          <t>P81|★</t>
        </is>
      </c>
      <c r="V539" s="42" t="inlineStr">
        <is>
          <t>同一価格表・次頁凡例を継承</t>
        </is>
      </c>
    </row>
    <row r="540">
      <c r="A540" s="43" t="inlineStr">
        <is>
          <t>SZ-SL-000537</t>
        </is>
      </c>
      <c r="B540" s="43" t="inlineStr">
        <is>
          <t>SER-LIX-SAMOSL</t>
        </is>
      </c>
      <c r="C540" s="43" t="inlineStr">
        <is>
          <t>WT-SL-AMADO-HIKI</t>
        </is>
      </c>
      <c r="D540" s="43" t="inlineStr">
        <is>
          <t>雨戸付引違い窓</t>
        </is>
      </c>
      <c r="E540" s="43" t="inlineStr">
        <is>
          <t>*</t>
        </is>
      </c>
      <c r="F540" s="43" t="inlineStr">
        <is>
          <t>在来</t>
        </is>
      </c>
      <c r="G540" s="43" t="inlineStr">
        <is>
          <t>18620</t>
        </is>
      </c>
      <c r="H540" s="43" t="inlineStr">
        <is>
          <t>186</t>
        </is>
      </c>
      <c r="I540" s="43" t="inlineStr">
        <is>
          <t>20</t>
        </is>
      </c>
      <c r="J540" s="222" t="n">
        <v>1900</v>
      </c>
      <c r="K540" s="222" t="n">
        <v>2030</v>
      </c>
      <c r="L540" s="43" t="inlineStr">
        <is>
          <t>在来</t>
        </is>
      </c>
      <c r="M540" s="178" t="b">
        <v>1</v>
      </c>
      <c r="N540" s="43" t="inlineStr">
        <is>
          <t>サイズ共通</t>
        </is>
      </c>
      <c r="O540" s="222" t="n">
        <v>82</v>
      </c>
      <c r="P540" s="222" t="n">
        <v>80</v>
      </c>
      <c r="Q540" s="43" t="inlineStr">
        <is>
          <t>202604_LIXIL_サーモスＬ_業務用資料集_完成品価格表.pdf</t>
        </is>
      </c>
      <c r="R540" s="43" t="inlineStr">
        <is>
          <t>固有仕様ID='*'：サイズは当該窓種の固有仕様間で共通扱い。個別部材の設定可否は関係表で制御。</t>
        </is>
      </c>
      <c r="S540" s="42" t="inlineStr">
        <is>
          <t>★</t>
        </is>
      </c>
      <c r="T540" s="42" t="n">
        <v>81</v>
      </c>
      <c r="U540" s="42" t="inlineStr">
        <is>
          <t>P81|★</t>
        </is>
      </c>
      <c r="V540" s="42" t="inlineStr">
        <is>
          <t>同一価格表・次頁凡例を継承</t>
        </is>
      </c>
    </row>
    <row r="541">
      <c r="A541" s="43" t="inlineStr">
        <is>
          <t>SZ-SL-000538</t>
        </is>
      </c>
      <c r="B541" s="43" t="inlineStr">
        <is>
          <t>SER-LIX-SAMOSL</t>
        </is>
      </c>
      <c r="C541" s="43" t="inlineStr">
        <is>
          <t>WT-SL-AMADO-HIKI</t>
        </is>
      </c>
      <c r="D541" s="43" t="inlineStr">
        <is>
          <t>雨戸付引違い窓</t>
        </is>
      </c>
      <c r="E541" s="43" t="inlineStr">
        <is>
          <t>*</t>
        </is>
      </c>
      <c r="F541" s="43" t="inlineStr">
        <is>
          <t>在来</t>
        </is>
      </c>
      <c r="G541" s="43" t="inlineStr">
        <is>
          <t>25118-2</t>
        </is>
      </c>
      <c r="H541" s="43" t="inlineStr">
        <is>
          <t>251-2</t>
        </is>
      </c>
      <c r="I541" s="43" t="inlineStr">
        <is>
          <t>18</t>
        </is>
      </c>
      <c r="J541" s="222" t="n">
        <v>2550</v>
      </c>
      <c r="K541" s="222" t="n">
        <v>1830</v>
      </c>
      <c r="L541" s="43" t="inlineStr">
        <is>
          <t>在来</t>
        </is>
      </c>
      <c r="M541" s="178" t="b">
        <v>1</v>
      </c>
      <c r="N541" s="43" t="inlineStr">
        <is>
          <t>サイズ共通</t>
        </is>
      </c>
      <c r="O541" s="222" t="n">
        <v>82</v>
      </c>
      <c r="P541" s="222" t="n">
        <v>80</v>
      </c>
      <c r="Q541" s="43" t="inlineStr">
        <is>
          <t>202604_LIXIL_サーモスＬ_業務用資料集_完成品価格表.pdf</t>
        </is>
      </c>
      <c r="R541" s="43" t="inlineStr">
        <is>
          <t>固有仕様ID='*'：サイズは当該窓種の固有仕様間で共通扱い。個別部材の設定可否は関係表で制御。</t>
        </is>
      </c>
      <c r="S541" s="42" t="inlineStr">
        <is>
          <t>☆</t>
        </is>
      </c>
      <c r="T541" s="42" t="n">
        <v>81</v>
      </c>
      <c r="U541" s="42" t="inlineStr">
        <is>
          <t>P81|☆</t>
        </is>
      </c>
      <c r="V541" s="42" t="inlineStr">
        <is>
          <t>同一価格表・次頁凡例を継承</t>
        </is>
      </c>
    </row>
    <row r="542">
      <c r="A542" s="43" t="inlineStr">
        <is>
          <t>SZ-SL-000539</t>
        </is>
      </c>
      <c r="B542" s="43" t="inlineStr">
        <is>
          <t>SER-LIX-SAMOSL</t>
        </is>
      </c>
      <c r="C542" s="43" t="inlineStr">
        <is>
          <t>WT-SL-AMADO-HIKI</t>
        </is>
      </c>
      <c r="D542" s="43" t="inlineStr">
        <is>
          <t>雨戸付引違い窓</t>
        </is>
      </c>
      <c r="E542" s="43" t="inlineStr">
        <is>
          <t>*</t>
        </is>
      </c>
      <c r="F542" s="43" t="inlineStr">
        <is>
          <t>在来</t>
        </is>
      </c>
      <c r="G542" s="43" t="inlineStr">
        <is>
          <t>25118-4</t>
        </is>
      </c>
      <c r="H542" s="43" t="inlineStr">
        <is>
          <t>251-4</t>
        </is>
      </c>
      <c r="I542" s="43" t="inlineStr">
        <is>
          <t>18</t>
        </is>
      </c>
      <c r="J542" s="222" t="n">
        <v>2550</v>
      </c>
      <c r="K542" s="222" t="n">
        <v>1830</v>
      </c>
      <c r="L542" s="43" t="inlineStr">
        <is>
          <t>在来</t>
        </is>
      </c>
      <c r="M542" s="178" t="b">
        <v>1</v>
      </c>
      <c r="N542" s="43" t="inlineStr">
        <is>
          <t>サイズ共通</t>
        </is>
      </c>
      <c r="O542" s="222" t="n">
        <v>82</v>
      </c>
      <c r="P542" s="222" t="n">
        <v>80</v>
      </c>
      <c r="Q542" s="43" t="inlineStr">
        <is>
          <t>202604_LIXIL_サーモスＬ_業務用資料集_完成品価格表.pdf</t>
        </is>
      </c>
      <c r="R542" s="43" t="inlineStr">
        <is>
          <t>固有仕様ID='*'：サイズは当該窓種の固有仕様間で共通扱い。個別部材の設定可否は関係表で制御。</t>
        </is>
      </c>
      <c r="S542" s="42" t="inlineStr">
        <is>
          <t>無印</t>
        </is>
      </c>
      <c r="T542" s="42" t="n">
        <v>81</v>
      </c>
      <c r="U542" s="42" t="inlineStr">
        <is>
          <t>P81|無印</t>
        </is>
      </c>
      <c r="V542" s="42" t="inlineStr">
        <is>
          <t>同一価格表・次頁凡例を継承</t>
        </is>
      </c>
    </row>
    <row r="543">
      <c r="A543" s="43" t="inlineStr">
        <is>
          <t>SZ-SL-000540</t>
        </is>
      </c>
      <c r="B543" s="43" t="inlineStr">
        <is>
          <t>SER-LIX-SAMOSL</t>
        </is>
      </c>
      <c r="C543" s="43" t="inlineStr">
        <is>
          <t>WT-SL-AMADO-HIKI</t>
        </is>
      </c>
      <c r="D543" s="43" t="inlineStr">
        <is>
          <t>雨戸付引違い窓</t>
        </is>
      </c>
      <c r="E543" s="43" t="inlineStr">
        <is>
          <t>*</t>
        </is>
      </c>
      <c r="F543" s="43" t="inlineStr">
        <is>
          <t>在来</t>
        </is>
      </c>
      <c r="G543" s="43" t="inlineStr">
        <is>
          <t>25120-2</t>
        </is>
      </c>
      <c r="H543" s="43" t="inlineStr">
        <is>
          <t>251-2</t>
        </is>
      </c>
      <c r="I543" s="43" t="inlineStr">
        <is>
          <t>20</t>
        </is>
      </c>
      <c r="J543" s="222" t="n">
        <v>2550</v>
      </c>
      <c r="K543" s="222" t="n">
        <v>2030</v>
      </c>
      <c r="L543" s="43" t="inlineStr">
        <is>
          <t>在来</t>
        </is>
      </c>
      <c r="M543" s="178" t="b">
        <v>1</v>
      </c>
      <c r="N543" s="43" t="inlineStr">
        <is>
          <t>サイズ共通</t>
        </is>
      </c>
      <c r="O543" s="222" t="n">
        <v>82</v>
      </c>
      <c r="P543" s="222" t="n">
        <v>80</v>
      </c>
      <c r="Q543" s="43" t="inlineStr">
        <is>
          <t>202604_LIXIL_サーモスＬ_業務用資料集_完成品価格表.pdf</t>
        </is>
      </c>
      <c r="R543" s="43" t="inlineStr">
        <is>
          <t>固有仕様ID='*'：サイズは当該窓種の固有仕様間で共通扱い。個別部材の設定可否は関係表で制御。</t>
        </is>
      </c>
      <c r="S543" s="42" t="inlineStr">
        <is>
          <t>◆</t>
        </is>
      </c>
      <c r="T543" s="42" t="n">
        <v>81</v>
      </c>
      <c r="U543" s="42" t="inlineStr">
        <is>
          <t>P81|◆</t>
        </is>
      </c>
      <c r="V543" s="42" t="inlineStr">
        <is>
          <t>同一価格表・次頁凡例を継承</t>
        </is>
      </c>
    </row>
    <row r="544">
      <c r="A544" s="43" t="inlineStr">
        <is>
          <t>SZ-SL-000541</t>
        </is>
      </c>
      <c r="B544" s="43" t="inlineStr">
        <is>
          <t>SER-LIX-SAMOSL</t>
        </is>
      </c>
      <c r="C544" s="43" t="inlineStr">
        <is>
          <t>WT-SL-AMADO-HIKI</t>
        </is>
      </c>
      <c r="D544" s="43" t="inlineStr">
        <is>
          <t>雨戸付引違い窓</t>
        </is>
      </c>
      <c r="E544" s="43" t="inlineStr">
        <is>
          <t>*</t>
        </is>
      </c>
      <c r="F544" s="43" t="inlineStr">
        <is>
          <t>在来</t>
        </is>
      </c>
      <c r="G544" s="43" t="inlineStr">
        <is>
          <t>25120-4</t>
        </is>
      </c>
      <c r="H544" s="43" t="inlineStr">
        <is>
          <t>251-4</t>
        </is>
      </c>
      <c r="I544" s="43" t="inlineStr">
        <is>
          <t>20</t>
        </is>
      </c>
      <c r="J544" s="222" t="n">
        <v>2550</v>
      </c>
      <c r="K544" s="222" t="n">
        <v>2030</v>
      </c>
      <c r="L544" s="43" t="inlineStr">
        <is>
          <t>在来</t>
        </is>
      </c>
      <c r="M544" s="178" t="b">
        <v>1</v>
      </c>
      <c r="N544" s="43" t="inlineStr">
        <is>
          <t>サイズ共通</t>
        </is>
      </c>
      <c r="O544" s="222" t="n">
        <v>82</v>
      </c>
      <c r="P544" s="222" t="n">
        <v>80</v>
      </c>
      <c r="Q544" s="43" t="inlineStr">
        <is>
          <t>202604_LIXIL_サーモスＬ_業務用資料集_完成品価格表.pdf</t>
        </is>
      </c>
      <c r="R544" s="43" t="inlineStr">
        <is>
          <t>固有仕様ID='*'：サイズは当該窓種の固有仕様間で共通扱い。個別部材の設定可否は関係表で制御。</t>
        </is>
      </c>
      <c r="S544" s="42" t="inlineStr">
        <is>
          <t>無印</t>
        </is>
      </c>
      <c r="T544" s="42" t="n">
        <v>81</v>
      </c>
      <c r="U544" s="42" t="inlineStr">
        <is>
          <t>P81|無印</t>
        </is>
      </c>
      <c r="V544" s="42" t="inlineStr">
        <is>
          <t>同一価格表・次頁凡例を継承</t>
        </is>
      </c>
    </row>
    <row r="545">
      <c r="A545" s="43" t="inlineStr">
        <is>
          <t>SZ-SL-000542</t>
        </is>
      </c>
      <c r="B545" s="43" t="inlineStr">
        <is>
          <t>SER-LIX-SAMOSL</t>
        </is>
      </c>
      <c r="C545" s="43" t="inlineStr">
        <is>
          <t>WT-SL-AMADO-HIKI</t>
        </is>
      </c>
      <c r="D545" s="43" t="inlineStr">
        <is>
          <t>雨戸付引違い窓</t>
        </is>
      </c>
      <c r="E545" s="43" t="inlineStr">
        <is>
          <t>*</t>
        </is>
      </c>
      <c r="F545" s="43" t="inlineStr">
        <is>
          <t>在来</t>
        </is>
      </c>
      <c r="G545" s="43" t="inlineStr">
        <is>
          <t>25618-2</t>
        </is>
      </c>
      <c r="H545" s="43" t="inlineStr">
        <is>
          <t>256-2</t>
        </is>
      </c>
      <c r="I545" s="43" t="inlineStr">
        <is>
          <t>18</t>
        </is>
      </c>
      <c r="J545" s="222" t="n">
        <v>2600</v>
      </c>
      <c r="K545" s="222" t="n">
        <v>1830</v>
      </c>
      <c r="L545" s="43" t="inlineStr">
        <is>
          <t>在来</t>
        </is>
      </c>
      <c r="M545" s="178" t="b">
        <v>1</v>
      </c>
      <c r="N545" s="43" t="inlineStr">
        <is>
          <t>サイズ共通</t>
        </is>
      </c>
      <c r="O545" s="222" t="n">
        <v>82</v>
      </c>
      <c r="P545" s="222" t="n">
        <v>80</v>
      </c>
      <c r="Q545" s="43" t="inlineStr">
        <is>
          <t>202604_LIXIL_サーモスＬ_業務用資料集_完成品価格表.pdf</t>
        </is>
      </c>
      <c r="R545" s="43" t="inlineStr">
        <is>
          <t>固有仕様ID='*'：サイズは当該窓種の固有仕様間で共通扱い。個別部材の設定可否は関係表で制御。</t>
        </is>
      </c>
      <c r="S545" s="42" t="inlineStr">
        <is>
          <t>◆</t>
        </is>
      </c>
      <c r="T545" s="42" t="n">
        <v>81</v>
      </c>
      <c r="U545" s="42" t="inlineStr">
        <is>
          <t>P81|◆</t>
        </is>
      </c>
      <c r="V545" s="42" t="inlineStr">
        <is>
          <t>同一価格表・次頁凡例を継承</t>
        </is>
      </c>
    </row>
    <row r="546">
      <c r="A546" s="43" t="inlineStr">
        <is>
          <t>SZ-SL-000543</t>
        </is>
      </c>
      <c r="B546" s="43" t="inlineStr">
        <is>
          <t>SER-LIX-SAMOSL</t>
        </is>
      </c>
      <c r="C546" s="43" t="inlineStr">
        <is>
          <t>WT-SL-AMADO-HIKI</t>
        </is>
      </c>
      <c r="D546" s="43" t="inlineStr">
        <is>
          <t>雨戸付引違い窓</t>
        </is>
      </c>
      <c r="E546" s="43" t="inlineStr">
        <is>
          <t>*</t>
        </is>
      </c>
      <c r="F546" s="43" t="inlineStr">
        <is>
          <t>在来</t>
        </is>
      </c>
      <c r="G546" s="43" t="inlineStr">
        <is>
          <t>25620-2</t>
        </is>
      </c>
      <c r="H546" s="43" t="inlineStr">
        <is>
          <t>256-2</t>
        </is>
      </c>
      <c r="I546" s="43" t="inlineStr">
        <is>
          <t>20</t>
        </is>
      </c>
      <c r="J546" s="222" t="n">
        <v>2600</v>
      </c>
      <c r="K546" s="222" t="n">
        <v>2030</v>
      </c>
      <c r="L546" s="43" t="inlineStr">
        <is>
          <t>在来</t>
        </is>
      </c>
      <c r="M546" s="178" t="b">
        <v>1</v>
      </c>
      <c r="N546" s="43" t="inlineStr">
        <is>
          <t>サイズ共通</t>
        </is>
      </c>
      <c r="O546" s="222" t="n">
        <v>82</v>
      </c>
      <c r="P546" s="222" t="n">
        <v>80</v>
      </c>
      <c r="Q546" s="43" t="inlineStr">
        <is>
          <t>202604_LIXIL_サーモスＬ_業務用資料集_完成品価格表.pdf</t>
        </is>
      </c>
      <c r="R546" s="43" t="inlineStr">
        <is>
          <t>固有仕様ID='*'：サイズは当該窓種の固有仕様間で共通扱い。個別部材の設定可否は関係表で制御。</t>
        </is>
      </c>
      <c r="S546" s="42" t="inlineStr">
        <is>
          <t>◆</t>
        </is>
      </c>
      <c r="T546" s="42" t="n">
        <v>81</v>
      </c>
      <c r="U546" s="42" t="inlineStr">
        <is>
          <t>P81|◆</t>
        </is>
      </c>
      <c r="V546" s="42" t="inlineStr">
        <is>
          <t>同一価格表・次頁凡例を継承</t>
        </is>
      </c>
    </row>
    <row r="547">
      <c r="A547" s="43" t="inlineStr">
        <is>
          <t>SZ-SL-000544</t>
        </is>
      </c>
      <c r="B547" s="43" t="inlineStr">
        <is>
          <t>SER-LIX-SAMOSL</t>
        </is>
      </c>
      <c r="C547" s="43" t="inlineStr">
        <is>
          <t>WT-SL-AMADO-HIKI</t>
        </is>
      </c>
      <c r="D547" s="43" t="inlineStr">
        <is>
          <t>雨戸付引違い窓</t>
        </is>
      </c>
      <c r="E547" s="43" t="inlineStr">
        <is>
          <t>*</t>
        </is>
      </c>
      <c r="F547" s="43" t="inlineStr">
        <is>
          <t>在来</t>
        </is>
      </c>
      <c r="G547" s="43" t="inlineStr">
        <is>
          <t>15022</t>
        </is>
      </c>
      <c r="H547" s="43" t="inlineStr">
        <is>
          <t>150</t>
        </is>
      </c>
      <c r="I547" s="43" t="inlineStr">
        <is>
          <t>22</t>
        </is>
      </c>
      <c r="J547" s="222" t="n">
        <v>1540</v>
      </c>
      <c r="K547" s="222" t="n">
        <v>2230</v>
      </c>
      <c r="L547" s="43" t="inlineStr">
        <is>
          <t>在来</t>
        </is>
      </c>
      <c r="M547" s="178" t="b">
        <v>1</v>
      </c>
      <c r="N547" s="43" t="inlineStr">
        <is>
          <t>サイズ共通</t>
        </is>
      </c>
      <c r="O547" s="222" t="n">
        <v>84</v>
      </c>
      <c r="P547" s="222" t="n">
        <v>82</v>
      </c>
      <c r="Q547" s="43" t="inlineStr">
        <is>
          <t>202604_LIXIL_サーモスＬ_業務用資料集_完成品価格表.pdf</t>
        </is>
      </c>
      <c r="R547" s="43" t="inlineStr">
        <is>
          <t>固有仕様ID='*'：サイズは当該窓種の固有仕様間で共通扱い。個別部材の設定可否は関係表で制御。</t>
        </is>
      </c>
      <c r="S547" s="42" t="inlineStr">
        <is>
          <t>★</t>
        </is>
      </c>
      <c r="T547" s="42" t="n">
        <v>82</v>
      </c>
      <c r="U547" s="42" t="inlineStr">
        <is>
          <t>P82|★</t>
        </is>
      </c>
      <c r="V547" s="42" t="inlineStr">
        <is>
          <t>同頁凡例へ直接連動</t>
        </is>
      </c>
    </row>
    <row r="548">
      <c r="A548" s="43" t="inlineStr">
        <is>
          <t>SZ-SL-000545</t>
        </is>
      </c>
      <c r="B548" s="43" t="inlineStr">
        <is>
          <t>SER-LIX-SAMOSL</t>
        </is>
      </c>
      <c r="C548" s="43" t="inlineStr">
        <is>
          <t>WT-SL-AMADO-HIKI</t>
        </is>
      </c>
      <c r="D548" s="43" t="inlineStr">
        <is>
          <t>雨戸付引違い窓</t>
        </is>
      </c>
      <c r="E548" s="43" t="inlineStr">
        <is>
          <t>*</t>
        </is>
      </c>
      <c r="F548" s="43" t="inlineStr">
        <is>
          <t>在来</t>
        </is>
      </c>
      <c r="G548" s="43" t="inlineStr">
        <is>
          <t>16022</t>
        </is>
      </c>
      <c r="H548" s="43" t="inlineStr">
        <is>
          <t>160</t>
        </is>
      </c>
      <c r="I548" s="43" t="inlineStr">
        <is>
          <t>22</t>
        </is>
      </c>
      <c r="J548" s="222" t="n">
        <v>1640</v>
      </c>
      <c r="K548" s="222" t="n">
        <v>2230</v>
      </c>
      <c r="L548" s="43" t="inlineStr">
        <is>
          <t>在来</t>
        </is>
      </c>
      <c r="M548" s="178" t="b">
        <v>1</v>
      </c>
      <c r="N548" s="43" t="inlineStr">
        <is>
          <t>サイズ共通</t>
        </is>
      </c>
      <c r="O548" s="222" t="n">
        <v>84</v>
      </c>
      <c r="P548" s="222" t="n">
        <v>82</v>
      </c>
      <c r="Q548" s="43" t="inlineStr">
        <is>
          <t>202604_LIXIL_サーモスＬ_業務用資料集_完成品価格表.pdf</t>
        </is>
      </c>
      <c r="R548" s="43" t="inlineStr">
        <is>
          <t>固有仕様ID='*'：サイズは当該窓種の固有仕様間で共通扱い。個別部材の設定可否は関係表で制御。</t>
        </is>
      </c>
      <c r="S548" s="42" t="inlineStr">
        <is>
          <t>★</t>
        </is>
      </c>
      <c r="T548" s="42" t="n">
        <v>82</v>
      </c>
      <c r="U548" s="42" t="inlineStr">
        <is>
          <t>P82|★</t>
        </is>
      </c>
      <c r="V548" s="42" t="inlineStr">
        <is>
          <t>同頁凡例へ直接連動</t>
        </is>
      </c>
    </row>
    <row r="549">
      <c r="A549" s="43" t="inlineStr">
        <is>
          <t>SZ-SL-000546</t>
        </is>
      </c>
      <c r="B549" s="43" t="inlineStr">
        <is>
          <t>SER-LIX-SAMOSL</t>
        </is>
      </c>
      <c r="C549" s="43" t="inlineStr">
        <is>
          <t>WT-SL-AMADO-HIKI</t>
        </is>
      </c>
      <c r="D549" s="43" t="inlineStr">
        <is>
          <t>雨戸付引違い窓</t>
        </is>
      </c>
      <c r="E549" s="43" t="inlineStr">
        <is>
          <t>*</t>
        </is>
      </c>
      <c r="F549" s="43" t="inlineStr">
        <is>
          <t>在来</t>
        </is>
      </c>
      <c r="G549" s="43" t="inlineStr">
        <is>
          <t>16522</t>
        </is>
      </c>
      <c r="H549" s="43" t="inlineStr">
        <is>
          <t>165</t>
        </is>
      </c>
      <c r="I549" s="43" t="inlineStr">
        <is>
          <t>22</t>
        </is>
      </c>
      <c r="J549" s="222" t="n">
        <v>1690</v>
      </c>
      <c r="K549" s="222" t="n">
        <v>2230</v>
      </c>
      <c r="L549" s="43" t="inlineStr">
        <is>
          <t>在来</t>
        </is>
      </c>
      <c r="M549" s="178" t="b">
        <v>1</v>
      </c>
      <c r="N549" s="43" t="inlineStr">
        <is>
          <t>サイズ共通</t>
        </is>
      </c>
      <c r="O549" s="222" t="n">
        <v>84</v>
      </c>
      <c r="P549" s="222" t="n">
        <v>82</v>
      </c>
      <c r="Q549" s="43" t="inlineStr">
        <is>
          <t>202604_LIXIL_サーモスＬ_業務用資料集_完成品価格表.pdf</t>
        </is>
      </c>
      <c r="R549" s="43" t="inlineStr">
        <is>
          <t>固有仕様ID='*'：サイズは当該窓種の固有仕様間で共通扱い。個別部材の設定可否は関係表で制御。</t>
        </is>
      </c>
      <c r="S549" s="42" t="inlineStr">
        <is>
          <t>★</t>
        </is>
      </c>
      <c r="T549" s="42" t="n">
        <v>82</v>
      </c>
      <c r="U549" s="42" t="inlineStr">
        <is>
          <t>P82|★</t>
        </is>
      </c>
      <c r="V549" s="42" t="inlineStr">
        <is>
          <t>同頁凡例へ直接連動</t>
        </is>
      </c>
    </row>
    <row r="550">
      <c r="A550" s="43" t="inlineStr">
        <is>
          <t>SZ-SL-000547</t>
        </is>
      </c>
      <c r="B550" s="43" t="inlineStr">
        <is>
          <t>SER-LIX-SAMOSL</t>
        </is>
      </c>
      <c r="C550" s="43" t="inlineStr">
        <is>
          <t>WT-SL-AMADO-HIKI</t>
        </is>
      </c>
      <c r="D550" s="43" t="inlineStr">
        <is>
          <t>雨戸付引違い窓</t>
        </is>
      </c>
      <c r="E550" s="43" t="inlineStr">
        <is>
          <t>*</t>
        </is>
      </c>
      <c r="F550" s="43" t="inlineStr">
        <is>
          <t>在来</t>
        </is>
      </c>
      <c r="G550" s="43" t="inlineStr">
        <is>
          <t>18622</t>
        </is>
      </c>
      <c r="H550" s="43" t="inlineStr">
        <is>
          <t>186</t>
        </is>
      </c>
      <c r="I550" s="43" t="inlineStr">
        <is>
          <t>22</t>
        </is>
      </c>
      <c r="J550" s="222" t="n">
        <v>1900</v>
      </c>
      <c r="K550" s="222" t="n">
        <v>2230</v>
      </c>
      <c r="L550" s="43" t="inlineStr">
        <is>
          <t>在来</t>
        </is>
      </c>
      <c r="M550" s="178" t="b">
        <v>1</v>
      </c>
      <c r="N550" s="43" t="inlineStr">
        <is>
          <t>サイズ共通</t>
        </is>
      </c>
      <c r="O550" s="222" t="n">
        <v>86</v>
      </c>
      <c r="P550" s="222" t="n">
        <v>84</v>
      </c>
      <c r="Q550" s="43" t="inlineStr">
        <is>
          <t>202604_LIXIL_サーモスＬ_業務用資料集_完成品価格表.pdf</t>
        </is>
      </c>
      <c r="R550" s="43" t="inlineStr">
        <is>
          <t>固有仕様ID='*'：サイズは当該窓種の固有仕様間で共通扱い。個別部材の設定可否は関係表で制御。</t>
        </is>
      </c>
      <c r="S550" s="42" t="inlineStr">
        <is>
          <t>★</t>
        </is>
      </c>
      <c r="T550" s="42" t="n">
        <v>84</v>
      </c>
      <c r="U550" s="42" t="inlineStr">
        <is>
          <t>P84|★</t>
        </is>
      </c>
      <c r="V550" s="42" t="inlineStr">
        <is>
          <t>同頁凡例へ直接連動</t>
        </is>
      </c>
    </row>
    <row r="551">
      <c r="A551" s="43" t="inlineStr">
        <is>
          <t>SZ-SL-000548</t>
        </is>
      </c>
      <c r="B551" s="43" t="inlineStr">
        <is>
          <t>SER-LIX-SAMOSL</t>
        </is>
      </c>
      <c r="C551" s="43" t="inlineStr">
        <is>
          <t>WT-SL-AMADO-HIKI</t>
        </is>
      </c>
      <c r="D551" s="43" t="inlineStr">
        <is>
          <t>雨戸付引違い窓</t>
        </is>
      </c>
      <c r="E551" s="43" t="inlineStr">
        <is>
          <t>*</t>
        </is>
      </c>
      <c r="F551" s="43" t="inlineStr">
        <is>
          <t>在来</t>
        </is>
      </c>
      <c r="G551" s="43" t="inlineStr">
        <is>
          <t>25122-2</t>
        </is>
      </c>
      <c r="H551" s="43" t="inlineStr">
        <is>
          <t>251-2</t>
        </is>
      </c>
      <c r="I551" s="43" t="inlineStr">
        <is>
          <t>22</t>
        </is>
      </c>
      <c r="J551" s="222" t="n">
        <v>2550</v>
      </c>
      <c r="K551" s="222" t="n">
        <v>2230</v>
      </c>
      <c r="L551" s="43" t="inlineStr">
        <is>
          <t>在来</t>
        </is>
      </c>
      <c r="M551" s="178" t="b">
        <v>1</v>
      </c>
      <c r="N551" s="43" t="inlineStr">
        <is>
          <t>サイズ共通</t>
        </is>
      </c>
      <c r="O551" s="222" t="n">
        <v>86</v>
      </c>
      <c r="P551" s="222" t="n">
        <v>84</v>
      </c>
      <c r="Q551" s="43" t="inlineStr">
        <is>
          <t>202604_LIXIL_サーモスＬ_業務用資料集_完成品価格表.pdf</t>
        </is>
      </c>
      <c r="R551" s="43" t="inlineStr">
        <is>
          <t>固有仕様ID='*'：サイズは当該窓種の固有仕様間で共通扱い。個別部材の設定可否は関係表で制御。</t>
        </is>
      </c>
      <c r="S551" s="42" t="inlineStr">
        <is>
          <t>◆</t>
        </is>
      </c>
      <c r="T551" s="42" t="n">
        <v>84</v>
      </c>
      <c r="U551" s="42" t="inlineStr">
        <is>
          <t>P84|◆</t>
        </is>
      </c>
      <c r="V551" s="42" t="inlineStr">
        <is>
          <t>同頁凡例へ直接連動</t>
        </is>
      </c>
    </row>
    <row r="552">
      <c r="A552" s="43" t="inlineStr">
        <is>
          <t>SZ-SL-000549</t>
        </is>
      </c>
      <c r="B552" s="43" t="inlineStr">
        <is>
          <t>SER-LIX-SAMOSL</t>
        </is>
      </c>
      <c r="C552" s="43" t="inlineStr">
        <is>
          <t>WT-SL-AMADO-HIKI</t>
        </is>
      </c>
      <c r="D552" s="43" t="inlineStr">
        <is>
          <t>雨戸付引違い窓</t>
        </is>
      </c>
      <c r="E552" s="43" t="inlineStr">
        <is>
          <t>*</t>
        </is>
      </c>
      <c r="F552" s="43" t="inlineStr">
        <is>
          <t>在来</t>
        </is>
      </c>
      <c r="G552" s="43" t="inlineStr">
        <is>
          <t>25122-4</t>
        </is>
      </c>
      <c r="H552" s="43" t="inlineStr">
        <is>
          <t>251-4</t>
        </is>
      </c>
      <c r="I552" s="43" t="inlineStr">
        <is>
          <t>22</t>
        </is>
      </c>
      <c r="J552" s="222" t="n">
        <v>2550</v>
      </c>
      <c r="K552" s="222" t="n">
        <v>2230</v>
      </c>
      <c r="L552" s="43" t="inlineStr">
        <is>
          <t>在来</t>
        </is>
      </c>
      <c r="M552" s="178" t="b">
        <v>1</v>
      </c>
      <c r="N552" s="43" t="inlineStr">
        <is>
          <t>サイズ共通</t>
        </is>
      </c>
      <c r="O552" s="222" t="n">
        <v>86</v>
      </c>
      <c r="P552" s="222" t="n">
        <v>84</v>
      </c>
      <c r="Q552" s="43" t="inlineStr">
        <is>
          <t>202604_LIXIL_サーモスＬ_業務用資料集_完成品価格表.pdf</t>
        </is>
      </c>
      <c r="R552" s="43" t="inlineStr">
        <is>
          <t>固有仕様ID='*'：サイズは当該窓種の固有仕様間で共通扱い。個別部材の設定可否は関係表で制御。</t>
        </is>
      </c>
      <c r="S552" s="42" t="inlineStr">
        <is>
          <t>★</t>
        </is>
      </c>
      <c r="T552" s="42" t="n">
        <v>84</v>
      </c>
      <c r="U552" s="42" t="inlineStr">
        <is>
          <t>P84|★</t>
        </is>
      </c>
      <c r="V552" s="42" t="inlineStr">
        <is>
          <t>同頁凡例へ直接連動</t>
        </is>
      </c>
    </row>
    <row r="553">
      <c r="A553" s="43" t="inlineStr">
        <is>
          <t>SZ-SL-000550</t>
        </is>
      </c>
      <c r="B553" s="43" t="inlineStr">
        <is>
          <t>SER-LIX-SAMOSL</t>
        </is>
      </c>
      <c r="C553" s="43" t="inlineStr">
        <is>
          <t>WT-SL-AMADO-HIKI</t>
        </is>
      </c>
      <c r="D553" s="43" t="inlineStr">
        <is>
          <t>雨戸付引違い窓</t>
        </is>
      </c>
      <c r="E553" s="43" t="inlineStr">
        <is>
          <t>*</t>
        </is>
      </c>
      <c r="F553" s="43" t="inlineStr">
        <is>
          <t>在来</t>
        </is>
      </c>
      <c r="G553" s="43" t="inlineStr">
        <is>
          <t>25622-2</t>
        </is>
      </c>
      <c r="H553" s="43" t="inlineStr">
        <is>
          <t>256-2</t>
        </is>
      </c>
      <c r="I553" s="43" t="inlineStr">
        <is>
          <t>22</t>
        </is>
      </c>
      <c r="J553" s="222" t="n">
        <v>2600</v>
      </c>
      <c r="K553" s="222" t="n">
        <v>2230</v>
      </c>
      <c r="L553" s="43" t="inlineStr">
        <is>
          <t>在来</t>
        </is>
      </c>
      <c r="M553" s="178" t="b">
        <v>1</v>
      </c>
      <c r="N553" s="43" t="inlineStr">
        <is>
          <t>サイズ共通</t>
        </is>
      </c>
      <c r="O553" s="222" t="n">
        <v>86</v>
      </c>
      <c r="P553" s="222" t="n">
        <v>84</v>
      </c>
      <c r="Q553" s="43" t="inlineStr">
        <is>
          <t>202604_LIXIL_サーモスＬ_業務用資料集_完成品価格表.pdf</t>
        </is>
      </c>
      <c r="R553" s="43" t="inlineStr">
        <is>
          <t>固有仕様ID='*'：サイズは当該窓種の固有仕様間で共通扱い。個別部材の設定可否は関係表で制御。</t>
        </is>
      </c>
      <c r="S553" s="42" t="inlineStr">
        <is>
          <t>◆</t>
        </is>
      </c>
      <c r="T553" s="42" t="n">
        <v>84</v>
      </c>
      <c r="U553" s="42" t="inlineStr">
        <is>
          <t>P84|◆</t>
        </is>
      </c>
      <c r="V553" s="42" t="inlineStr">
        <is>
          <t>同頁凡例へ直接連動</t>
        </is>
      </c>
    </row>
    <row r="554">
      <c r="A554" s="43" t="inlineStr">
        <is>
          <t>SZ-SL-000551</t>
        </is>
      </c>
      <c r="B554" s="43" t="inlineStr">
        <is>
          <t>SER-LIX-SAMOSL</t>
        </is>
      </c>
      <c r="C554" s="43" t="inlineStr">
        <is>
          <t>WT-SL-MENKOSHI-HIKI</t>
        </is>
      </c>
      <c r="D554" s="43" t="inlineStr">
        <is>
          <t>面格子付引違い窓</t>
        </is>
      </c>
      <c r="E554" s="43" t="inlineStr">
        <is>
          <t>SP-SL-GRILLE-DIA</t>
        </is>
      </c>
      <c r="F554" s="43" t="inlineStr">
        <is>
          <t>在来・204</t>
        </is>
      </c>
      <c r="G554" s="43" t="inlineStr">
        <is>
          <t>06003</t>
        </is>
      </c>
      <c r="H554" s="43" t="inlineStr">
        <is>
          <t>060</t>
        </is>
      </c>
      <c r="I554" s="43" t="inlineStr">
        <is>
          <t>03</t>
        </is>
      </c>
      <c r="J554" s="222" t="n">
        <v>640</v>
      </c>
      <c r="K554" s="222" t="n">
        <v>370</v>
      </c>
      <c r="L554" s="43" t="inlineStr">
        <is>
          <t>在来・204</t>
        </is>
      </c>
      <c r="M554" s="178" t="b">
        <v>1</v>
      </c>
      <c r="N554" s="43" t="inlineStr">
        <is>
          <t>カタログ個別可否確認済み</t>
        </is>
      </c>
      <c r="O554" s="222" t="n">
        <v>92</v>
      </c>
      <c r="P554" s="222" t="n">
        <v>90</v>
      </c>
      <c r="Q554" s="43" t="inlineStr">
        <is>
          <t>202604_LIXIL_サーモスＬ_業務用資料集_完成品価格表.pdf</t>
        </is>
      </c>
      <c r="R554" s="43" t="inlineStr">
        <is>
          <t>規格呼称は親品種で確認済み。固有仕様ごとの価格設定有無（＿＿表示等）は次QAで最終確定。</t>
        </is>
      </c>
      <c r="S554" s="42" t="inlineStr">
        <is>
          <t>無印</t>
        </is>
      </c>
      <c r="T554" s="42" t="n">
        <v>90</v>
      </c>
      <c r="U554" s="42" t="inlineStr">
        <is>
          <t>P90|無印</t>
        </is>
      </c>
      <c r="V554" s="42" t="inlineStr">
        <is>
          <t>同頁凡例へ直接連動</t>
        </is>
      </c>
    </row>
    <row r="555">
      <c r="A555" s="43" t="inlineStr">
        <is>
          <t>SZ-SL-000552</t>
        </is>
      </c>
      <c r="B555" s="43" t="inlineStr">
        <is>
          <t>SER-LIX-SAMOSL</t>
        </is>
      </c>
      <c r="C555" s="43" t="inlineStr">
        <is>
          <t>WT-SL-MENKOSHI-HIKI</t>
        </is>
      </c>
      <c r="D555" s="43" t="inlineStr">
        <is>
          <t>面格子付引違い窓</t>
        </is>
      </c>
      <c r="E555" s="43" t="inlineStr">
        <is>
          <t>SP-SL-GRILLE-DIA</t>
        </is>
      </c>
      <c r="F555" s="43" t="inlineStr">
        <is>
          <t>在来・204</t>
        </is>
      </c>
      <c r="G555" s="43" t="inlineStr">
        <is>
          <t>06903</t>
        </is>
      </c>
      <c r="H555" s="43" t="inlineStr">
        <is>
          <t>069</t>
        </is>
      </c>
      <c r="I555" s="43" t="inlineStr">
        <is>
          <t>03</t>
        </is>
      </c>
      <c r="J555" s="222" t="n">
        <v>730</v>
      </c>
      <c r="K555" s="222" t="n">
        <v>370</v>
      </c>
      <c r="L555" s="43" t="inlineStr">
        <is>
          <t>在来・204</t>
        </is>
      </c>
      <c r="M555" s="178" t="b">
        <v>1</v>
      </c>
      <c r="N555" s="43" t="inlineStr">
        <is>
          <t>カタログ個別可否確認済み</t>
        </is>
      </c>
      <c r="O555" s="222" t="n">
        <v>92</v>
      </c>
      <c r="P555" s="222" t="n">
        <v>90</v>
      </c>
      <c r="Q555" s="43" t="inlineStr">
        <is>
          <t>202604_LIXIL_サーモスＬ_業務用資料集_完成品価格表.pdf</t>
        </is>
      </c>
      <c r="R555" s="43" t="inlineStr">
        <is>
          <t>規格呼称は親品種で確認済み。固有仕様ごとの価格設定有無（＿＿表示等）は次QAで最終確定。</t>
        </is>
      </c>
      <c r="S555" s="42" t="inlineStr">
        <is>
          <t>無印</t>
        </is>
      </c>
      <c r="T555" s="42" t="n">
        <v>90</v>
      </c>
      <c r="U555" s="42" t="inlineStr">
        <is>
          <t>P90|無印</t>
        </is>
      </c>
      <c r="V555" s="42" t="inlineStr">
        <is>
          <t>同頁凡例へ直接連動</t>
        </is>
      </c>
    </row>
    <row r="556">
      <c r="A556" s="43" t="inlineStr">
        <is>
          <t>SZ-SL-000553</t>
        </is>
      </c>
      <c r="B556" s="43" t="inlineStr">
        <is>
          <t>SER-LIX-SAMOSL</t>
        </is>
      </c>
      <c r="C556" s="43" t="inlineStr">
        <is>
          <t>WT-SL-MENKOSHI-HIKI</t>
        </is>
      </c>
      <c r="D556" s="43" t="inlineStr">
        <is>
          <t>面格子付引違い窓</t>
        </is>
      </c>
      <c r="E556" s="43" t="inlineStr">
        <is>
          <t>SP-SL-GRILLE-DIA</t>
        </is>
      </c>
      <c r="F556" s="43" t="inlineStr">
        <is>
          <t>在来・204</t>
        </is>
      </c>
      <c r="G556" s="43" t="inlineStr">
        <is>
          <t>07403</t>
        </is>
      </c>
      <c r="H556" s="43" t="inlineStr">
        <is>
          <t>074</t>
        </is>
      </c>
      <c r="I556" s="43" t="inlineStr">
        <is>
          <t>03</t>
        </is>
      </c>
      <c r="J556" s="222" t="n">
        <v>780</v>
      </c>
      <c r="K556" s="222" t="n">
        <v>370</v>
      </c>
      <c r="L556" s="43" t="inlineStr">
        <is>
          <t>在来・204</t>
        </is>
      </c>
      <c r="M556" s="178" t="b">
        <v>1</v>
      </c>
      <c r="N556" s="43" t="inlineStr">
        <is>
          <t>カタログ個別可否確認済み</t>
        </is>
      </c>
      <c r="O556" s="222" t="n">
        <v>92</v>
      </c>
      <c r="P556" s="222" t="n">
        <v>90</v>
      </c>
      <c r="Q556" s="43" t="inlineStr">
        <is>
          <t>202604_LIXIL_サーモスＬ_業務用資料集_完成品価格表.pdf</t>
        </is>
      </c>
      <c r="R556" s="43" t="inlineStr">
        <is>
          <t>規格呼称は親品種で確認済み。固有仕様ごとの価格設定有無（＿＿表示等）は次QAで最終確定。</t>
        </is>
      </c>
      <c r="S556" s="42" t="inlineStr">
        <is>
          <t>無印</t>
        </is>
      </c>
      <c r="T556" s="42" t="n">
        <v>90</v>
      </c>
      <c r="U556" s="42" t="inlineStr">
        <is>
          <t>P90|無印</t>
        </is>
      </c>
      <c r="V556" s="42" t="inlineStr">
        <is>
          <t>同頁凡例へ直接連動</t>
        </is>
      </c>
    </row>
    <row r="557">
      <c r="A557" s="43" t="inlineStr">
        <is>
          <t>SZ-SL-000554</t>
        </is>
      </c>
      <c r="B557" s="43" t="inlineStr">
        <is>
          <t>SER-LIX-SAMOSL</t>
        </is>
      </c>
      <c r="C557" s="43" t="inlineStr">
        <is>
          <t>WT-SL-MENKOSHI-HIKI</t>
        </is>
      </c>
      <c r="D557" s="43" t="inlineStr">
        <is>
          <t>面格子付引違い窓</t>
        </is>
      </c>
      <c r="E557" s="43" t="inlineStr">
        <is>
          <t>SP-SL-GRILLE-H</t>
        </is>
      </c>
      <c r="F557" s="43" t="inlineStr">
        <is>
          <t>在来・204</t>
        </is>
      </c>
      <c r="G557" s="43" t="inlineStr">
        <is>
          <t>06003</t>
        </is>
      </c>
      <c r="H557" s="43" t="inlineStr">
        <is>
          <t>060</t>
        </is>
      </c>
      <c r="I557" s="43" t="inlineStr">
        <is>
          <t>03</t>
        </is>
      </c>
      <c r="J557" s="222" t="n">
        <v>640</v>
      </c>
      <c r="K557" s="222" t="n">
        <v>370</v>
      </c>
      <c r="L557" s="43" t="inlineStr">
        <is>
          <t>在来・204</t>
        </is>
      </c>
      <c r="M557" s="178" t="b">
        <v>1</v>
      </c>
      <c r="N557" s="43" t="inlineStr">
        <is>
          <t>カタログ個別可否確認済み</t>
        </is>
      </c>
      <c r="O557" s="222" t="n">
        <v>92</v>
      </c>
      <c r="P557" s="222" t="n">
        <v>90</v>
      </c>
      <c r="Q557" s="43" t="inlineStr">
        <is>
          <t>202604_LIXIL_サーモスＬ_業務用資料集_完成品価格表.pdf</t>
        </is>
      </c>
      <c r="R557" s="43" t="inlineStr">
        <is>
          <t>規格呼称は親品種で確認済み。固有仕様ごとの価格設定有無（＿＿表示等）は次QAで最終確定。</t>
        </is>
      </c>
      <c r="S557" s="42" t="inlineStr">
        <is>
          <t>無印</t>
        </is>
      </c>
      <c r="T557" s="42" t="n">
        <v>90</v>
      </c>
      <c r="U557" s="42" t="inlineStr">
        <is>
          <t>P90|無印</t>
        </is>
      </c>
      <c r="V557" s="42" t="inlineStr">
        <is>
          <t>同頁凡例へ直接連動</t>
        </is>
      </c>
    </row>
    <row r="558">
      <c r="A558" s="43" t="inlineStr">
        <is>
          <t>SZ-SL-000555</t>
        </is>
      </c>
      <c r="B558" s="43" t="inlineStr">
        <is>
          <t>SER-LIX-SAMOSL</t>
        </is>
      </c>
      <c r="C558" s="43" t="inlineStr">
        <is>
          <t>WT-SL-MENKOSHI-HIKI</t>
        </is>
      </c>
      <c r="D558" s="43" t="inlineStr">
        <is>
          <t>面格子付引違い窓</t>
        </is>
      </c>
      <c r="E558" s="43" t="inlineStr">
        <is>
          <t>SP-SL-GRILLE-H</t>
        </is>
      </c>
      <c r="F558" s="43" t="inlineStr">
        <is>
          <t>在来・204</t>
        </is>
      </c>
      <c r="G558" s="43" t="inlineStr">
        <is>
          <t>06903</t>
        </is>
      </c>
      <c r="H558" s="43" t="inlineStr">
        <is>
          <t>069</t>
        </is>
      </c>
      <c r="I558" s="43" t="inlineStr">
        <is>
          <t>03</t>
        </is>
      </c>
      <c r="J558" s="222" t="n">
        <v>730</v>
      </c>
      <c r="K558" s="222" t="n">
        <v>370</v>
      </c>
      <c r="L558" s="43" t="inlineStr">
        <is>
          <t>在来・204</t>
        </is>
      </c>
      <c r="M558" s="178" t="b">
        <v>1</v>
      </c>
      <c r="N558" s="43" t="inlineStr">
        <is>
          <t>カタログ個別可否確認済み</t>
        </is>
      </c>
      <c r="O558" s="222" t="n">
        <v>92</v>
      </c>
      <c r="P558" s="222" t="n">
        <v>90</v>
      </c>
      <c r="Q558" s="43" t="inlineStr">
        <is>
          <t>202604_LIXIL_サーモスＬ_業務用資料集_完成品価格表.pdf</t>
        </is>
      </c>
      <c r="R558" s="43" t="inlineStr">
        <is>
          <t>規格呼称は親品種で確認済み。固有仕様ごとの価格設定有無（＿＿表示等）は次QAで最終確定。</t>
        </is>
      </c>
      <c r="S558" s="42" t="inlineStr">
        <is>
          <t>無印</t>
        </is>
      </c>
      <c r="T558" s="42" t="n">
        <v>90</v>
      </c>
      <c r="U558" s="42" t="inlineStr">
        <is>
          <t>P90|無印</t>
        </is>
      </c>
      <c r="V558" s="42" t="inlineStr">
        <is>
          <t>同頁凡例へ直接連動</t>
        </is>
      </c>
    </row>
    <row r="559">
      <c r="A559" s="43" t="inlineStr">
        <is>
          <t>SZ-SL-000556</t>
        </is>
      </c>
      <c r="B559" s="43" t="inlineStr">
        <is>
          <t>SER-LIX-SAMOSL</t>
        </is>
      </c>
      <c r="C559" s="43" t="inlineStr">
        <is>
          <t>WT-SL-MENKOSHI-HIKI</t>
        </is>
      </c>
      <c r="D559" s="43" t="inlineStr">
        <is>
          <t>面格子付引違い窓</t>
        </is>
      </c>
      <c r="E559" s="43" t="inlineStr">
        <is>
          <t>SP-SL-GRILLE-H</t>
        </is>
      </c>
      <c r="F559" s="43" t="inlineStr">
        <is>
          <t>在来・204</t>
        </is>
      </c>
      <c r="G559" s="43" t="inlineStr">
        <is>
          <t>07403</t>
        </is>
      </c>
      <c r="H559" s="43" t="inlineStr">
        <is>
          <t>074</t>
        </is>
      </c>
      <c r="I559" s="43" t="inlineStr">
        <is>
          <t>03</t>
        </is>
      </c>
      <c r="J559" s="222" t="n">
        <v>780</v>
      </c>
      <c r="K559" s="222" t="n">
        <v>370</v>
      </c>
      <c r="L559" s="43" t="inlineStr">
        <is>
          <t>在来・204</t>
        </is>
      </c>
      <c r="M559" s="178" t="b">
        <v>1</v>
      </c>
      <c r="N559" s="43" t="inlineStr">
        <is>
          <t>カタログ個別可否確認済み</t>
        </is>
      </c>
      <c r="O559" s="222" t="n">
        <v>92</v>
      </c>
      <c r="P559" s="222" t="n">
        <v>90</v>
      </c>
      <c r="Q559" s="43" t="inlineStr">
        <is>
          <t>202604_LIXIL_サーモスＬ_業務用資料集_完成品価格表.pdf</t>
        </is>
      </c>
      <c r="R559" s="43" t="inlineStr">
        <is>
          <t>規格呼称は親品種で確認済み。固有仕様ごとの価格設定有無（＿＿表示等）は次QAで最終確定。</t>
        </is>
      </c>
      <c r="S559" s="42" t="inlineStr">
        <is>
          <t>無印</t>
        </is>
      </c>
      <c r="T559" s="42" t="n">
        <v>90</v>
      </c>
      <c r="U559" s="42" t="inlineStr">
        <is>
          <t>P90|無印</t>
        </is>
      </c>
      <c r="V559" s="42" t="inlineStr">
        <is>
          <t>同頁凡例へ直接連動</t>
        </is>
      </c>
    </row>
    <row r="560">
      <c r="A560" s="43" t="inlineStr">
        <is>
          <t>SZ-SL-000557</t>
        </is>
      </c>
      <c r="B560" s="43" t="inlineStr">
        <is>
          <t>SER-LIX-SAMOSL</t>
        </is>
      </c>
      <c r="C560" s="43" t="inlineStr">
        <is>
          <t>WT-SL-MENKOSHI-HIKI</t>
        </is>
      </c>
      <c r="D560" s="43" t="inlineStr">
        <is>
          <t>面格子付引違い窓</t>
        </is>
      </c>
      <c r="E560" s="43" t="inlineStr">
        <is>
          <t>SP-SL-GRILLE-IGETA</t>
        </is>
      </c>
      <c r="F560" s="43" t="inlineStr">
        <is>
          <t>在来・204</t>
        </is>
      </c>
      <c r="G560" s="43" t="inlineStr">
        <is>
          <t>06003</t>
        </is>
      </c>
      <c r="H560" s="43" t="inlineStr">
        <is>
          <t>060</t>
        </is>
      </c>
      <c r="I560" s="43" t="inlineStr">
        <is>
          <t>03</t>
        </is>
      </c>
      <c r="J560" s="222" t="n">
        <v>640</v>
      </c>
      <c r="K560" s="222" t="n">
        <v>370</v>
      </c>
      <c r="L560" s="43" t="inlineStr">
        <is>
          <t>在来・204</t>
        </is>
      </c>
      <c r="M560" s="178" t="b">
        <v>1</v>
      </c>
      <c r="N560" s="43" t="inlineStr">
        <is>
          <t>カタログ個別可否確認済み</t>
        </is>
      </c>
      <c r="O560" s="222" t="n">
        <v>92</v>
      </c>
      <c r="P560" s="222" t="n">
        <v>90</v>
      </c>
      <c r="Q560" s="43" t="inlineStr">
        <is>
          <t>202604_LIXIL_サーモスＬ_業務用資料集_完成品価格表.pdf</t>
        </is>
      </c>
      <c r="R560" s="43" t="inlineStr">
        <is>
          <t>規格呼称は親品種で確認済み。固有仕様ごとの価格設定有無（＿＿表示等）は次QAで最終確定。</t>
        </is>
      </c>
      <c r="S560" s="42" t="inlineStr">
        <is>
          <t>無印</t>
        </is>
      </c>
      <c r="T560" s="42" t="n">
        <v>90</v>
      </c>
      <c r="U560" s="42" t="inlineStr">
        <is>
          <t>P90|無印</t>
        </is>
      </c>
      <c r="V560" s="42" t="inlineStr">
        <is>
          <t>同頁凡例へ直接連動</t>
        </is>
      </c>
    </row>
    <row r="561">
      <c r="A561" s="43" t="inlineStr">
        <is>
          <t>SZ-SL-000558</t>
        </is>
      </c>
      <c r="B561" s="43" t="inlineStr">
        <is>
          <t>SER-LIX-SAMOSL</t>
        </is>
      </c>
      <c r="C561" s="43" t="inlineStr">
        <is>
          <t>WT-SL-MENKOSHI-HIKI</t>
        </is>
      </c>
      <c r="D561" s="43" t="inlineStr">
        <is>
          <t>面格子付引違い窓</t>
        </is>
      </c>
      <c r="E561" s="43" t="inlineStr">
        <is>
          <t>SP-SL-GRILLE-IGETA</t>
        </is>
      </c>
      <c r="F561" s="43" t="inlineStr">
        <is>
          <t>在来・204</t>
        </is>
      </c>
      <c r="G561" s="43" t="inlineStr">
        <is>
          <t>06903</t>
        </is>
      </c>
      <c r="H561" s="43" t="inlineStr">
        <is>
          <t>069</t>
        </is>
      </c>
      <c r="I561" s="43" t="inlineStr">
        <is>
          <t>03</t>
        </is>
      </c>
      <c r="J561" s="222" t="n">
        <v>730</v>
      </c>
      <c r="K561" s="222" t="n">
        <v>370</v>
      </c>
      <c r="L561" s="43" t="inlineStr">
        <is>
          <t>在来・204</t>
        </is>
      </c>
      <c r="M561" s="178" t="b">
        <v>1</v>
      </c>
      <c r="N561" s="43" t="inlineStr">
        <is>
          <t>カタログ個別可否確認済み</t>
        </is>
      </c>
      <c r="O561" s="222" t="n">
        <v>92</v>
      </c>
      <c r="P561" s="222" t="n">
        <v>90</v>
      </c>
      <c r="Q561" s="43" t="inlineStr">
        <is>
          <t>202604_LIXIL_サーモスＬ_業務用資料集_完成品価格表.pdf</t>
        </is>
      </c>
      <c r="R561" s="43" t="inlineStr">
        <is>
          <t>規格呼称は親品種で確認済み。固有仕様ごとの価格設定有無（＿＿表示等）は次QAで最終確定。</t>
        </is>
      </c>
      <c r="S561" s="42" t="inlineStr">
        <is>
          <t>無印</t>
        </is>
      </c>
      <c r="T561" s="42" t="n">
        <v>90</v>
      </c>
      <c r="U561" s="42" t="inlineStr">
        <is>
          <t>P90|無印</t>
        </is>
      </c>
      <c r="V561" s="42" t="inlineStr">
        <is>
          <t>同頁凡例へ直接連動</t>
        </is>
      </c>
    </row>
    <row r="562">
      <c r="A562" s="43" t="inlineStr">
        <is>
          <t>SZ-SL-000559</t>
        </is>
      </c>
      <c r="B562" s="43" t="inlineStr">
        <is>
          <t>SER-LIX-SAMOSL</t>
        </is>
      </c>
      <c r="C562" s="43" t="inlineStr">
        <is>
          <t>WT-SL-MENKOSHI-HIKI</t>
        </is>
      </c>
      <c r="D562" s="43" t="inlineStr">
        <is>
          <t>面格子付引違い窓</t>
        </is>
      </c>
      <c r="E562" s="43" t="inlineStr">
        <is>
          <t>SP-SL-GRILLE-IGETA</t>
        </is>
      </c>
      <c r="F562" s="43" t="inlineStr">
        <is>
          <t>在来・204</t>
        </is>
      </c>
      <c r="G562" s="43" t="inlineStr">
        <is>
          <t>07403</t>
        </is>
      </c>
      <c r="H562" s="43" t="inlineStr">
        <is>
          <t>074</t>
        </is>
      </c>
      <c r="I562" s="43" t="inlineStr">
        <is>
          <t>03</t>
        </is>
      </c>
      <c r="J562" s="222" t="n">
        <v>780</v>
      </c>
      <c r="K562" s="222" t="n">
        <v>370</v>
      </c>
      <c r="L562" s="43" t="inlineStr">
        <is>
          <t>在来・204</t>
        </is>
      </c>
      <c r="M562" s="178" t="b">
        <v>1</v>
      </c>
      <c r="N562" s="43" t="inlineStr">
        <is>
          <t>カタログ個別可否確認済み</t>
        </is>
      </c>
      <c r="O562" s="222" t="n">
        <v>92</v>
      </c>
      <c r="P562" s="222" t="n">
        <v>90</v>
      </c>
      <c r="Q562" s="43" t="inlineStr">
        <is>
          <t>202604_LIXIL_サーモスＬ_業務用資料集_完成品価格表.pdf</t>
        </is>
      </c>
      <c r="R562" s="43" t="inlineStr">
        <is>
          <t>規格呼称は親品種で確認済み。固有仕様ごとの価格設定有無（＿＿表示等）は次QAで最終確定。</t>
        </is>
      </c>
      <c r="S562" s="42" t="inlineStr">
        <is>
          <t>無印</t>
        </is>
      </c>
      <c r="T562" s="42" t="n">
        <v>90</v>
      </c>
      <c r="U562" s="42" t="inlineStr">
        <is>
          <t>P90|無印</t>
        </is>
      </c>
      <c r="V562" s="42" t="inlineStr">
        <is>
          <t>同頁凡例へ直接連動</t>
        </is>
      </c>
    </row>
    <row r="563">
      <c r="A563" s="43" t="inlineStr">
        <is>
          <t>SZ-SL-000560</t>
        </is>
      </c>
      <c r="B563" s="43" t="inlineStr">
        <is>
          <t>SER-LIX-SAMOSL</t>
        </is>
      </c>
      <c r="C563" s="43" t="inlineStr">
        <is>
          <t>WT-SL-MENKOSHI-HIKI</t>
        </is>
      </c>
      <c r="D563" s="43" t="inlineStr">
        <is>
          <t>面格子付引違い窓</t>
        </is>
      </c>
      <c r="E563" s="43" t="inlineStr">
        <is>
          <t>SP-SL-GRILLE-V</t>
        </is>
      </c>
      <c r="F563" s="43" t="inlineStr">
        <is>
          <t>在来・204</t>
        </is>
      </c>
      <c r="G563" s="43" t="inlineStr">
        <is>
          <t>06003</t>
        </is>
      </c>
      <c r="H563" s="43" t="inlineStr">
        <is>
          <t>060</t>
        </is>
      </c>
      <c r="I563" s="43" t="inlineStr">
        <is>
          <t>03</t>
        </is>
      </c>
      <c r="J563" s="222" t="n">
        <v>640</v>
      </c>
      <c r="K563" s="222" t="n">
        <v>370</v>
      </c>
      <c r="L563" s="43" t="inlineStr">
        <is>
          <t>在来・204</t>
        </is>
      </c>
      <c r="M563" s="178" t="b">
        <v>1</v>
      </c>
      <c r="N563" s="43" t="inlineStr">
        <is>
          <t>カタログ個別可否確認済み</t>
        </is>
      </c>
      <c r="O563" s="222" t="n">
        <v>92</v>
      </c>
      <c r="P563" s="222" t="n">
        <v>90</v>
      </c>
      <c r="Q563" s="43" t="inlineStr">
        <is>
          <t>202604_LIXIL_サーモスＬ_業務用資料集_完成品価格表.pdf</t>
        </is>
      </c>
      <c r="R563" s="43" t="inlineStr">
        <is>
          <t>規格呼称は親品種で確認済み。固有仕様ごとの価格設定有無（＿＿表示等）は次QAで最終確定。</t>
        </is>
      </c>
      <c r="S563" s="42" t="inlineStr">
        <is>
          <t>無印</t>
        </is>
      </c>
      <c r="T563" s="42" t="n">
        <v>90</v>
      </c>
      <c r="U563" s="42" t="inlineStr">
        <is>
          <t>P90|無印</t>
        </is>
      </c>
      <c r="V563" s="42" t="inlineStr">
        <is>
          <t>同頁凡例へ直接連動</t>
        </is>
      </c>
    </row>
    <row r="564">
      <c r="A564" s="43" t="inlineStr">
        <is>
          <t>SZ-SL-000561</t>
        </is>
      </c>
      <c r="B564" s="43" t="inlineStr">
        <is>
          <t>SER-LIX-SAMOSL</t>
        </is>
      </c>
      <c r="C564" s="43" t="inlineStr">
        <is>
          <t>WT-SL-MENKOSHI-HIKI</t>
        </is>
      </c>
      <c r="D564" s="43" t="inlineStr">
        <is>
          <t>面格子付引違い窓</t>
        </is>
      </c>
      <c r="E564" s="43" t="inlineStr">
        <is>
          <t>SP-SL-GRILLE-V</t>
        </is>
      </c>
      <c r="F564" s="43" t="inlineStr">
        <is>
          <t>在来・204</t>
        </is>
      </c>
      <c r="G564" s="43" t="inlineStr">
        <is>
          <t>06903</t>
        </is>
      </c>
      <c r="H564" s="43" t="inlineStr">
        <is>
          <t>069</t>
        </is>
      </c>
      <c r="I564" s="43" t="inlineStr">
        <is>
          <t>03</t>
        </is>
      </c>
      <c r="J564" s="222" t="n">
        <v>730</v>
      </c>
      <c r="K564" s="222" t="n">
        <v>370</v>
      </c>
      <c r="L564" s="43" t="inlineStr">
        <is>
          <t>在来・204</t>
        </is>
      </c>
      <c r="M564" s="178" t="b">
        <v>1</v>
      </c>
      <c r="N564" s="43" t="inlineStr">
        <is>
          <t>カタログ個別可否確認済み</t>
        </is>
      </c>
      <c r="O564" s="222" t="n">
        <v>92</v>
      </c>
      <c r="P564" s="222" t="n">
        <v>90</v>
      </c>
      <c r="Q564" s="43" t="inlineStr">
        <is>
          <t>202604_LIXIL_サーモスＬ_業務用資料集_完成品価格表.pdf</t>
        </is>
      </c>
      <c r="R564" s="43" t="inlineStr">
        <is>
          <t>規格呼称は親品種で確認済み。固有仕様ごとの価格設定有無（＿＿表示等）は次QAで最終確定。</t>
        </is>
      </c>
      <c r="S564" s="42" t="inlineStr">
        <is>
          <t>無印</t>
        </is>
      </c>
      <c r="T564" s="42" t="n">
        <v>90</v>
      </c>
      <c r="U564" s="42" t="inlineStr">
        <is>
          <t>P90|無印</t>
        </is>
      </c>
      <c r="V564" s="42" t="inlineStr">
        <is>
          <t>同頁凡例へ直接連動</t>
        </is>
      </c>
    </row>
    <row r="565">
      <c r="A565" s="43" t="inlineStr">
        <is>
          <t>SZ-SL-000562</t>
        </is>
      </c>
      <c r="B565" s="43" t="inlineStr">
        <is>
          <t>SER-LIX-SAMOSL</t>
        </is>
      </c>
      <c r="C565" s="43" t="inlineStr">
        <is>
          <t>WT-SL-MENKOSHI-HIKI</t>
        </is>
      </c>
      <c r="D565" s="43" t="inlineStr">
        <is>
          <t>面格子付引違い窓</t>
        </is>
      </c>
      <c r="E565" s="43" t="inlineStr">
        <is>
          <t>SP-SL-GRILLE-V</t>
        </is>
      </c>
      <c r="F565" s="43" t="inlineStr">
        <is>
          <t>在来・204</t>
        </is>
      </c>
      <c r="G565" s="43" t="inlineStr">
        <is>
          <t>07403</t>
        </is>
      </c>
      <c r="H565" s="43" t="inlineStr">
        <is>
          <t>074</t>
        </is>
      </c>
      <c r="I565" s="43" t="inlineStr">
        <is>
          <t>03</t>
        </is>
      </c>
      <c r="J565" s="222" t="n">
        <v>780</v>
      </c>
      <c r="K565" s="222" t="n">
        <v>370</v>
      </c>
      <c r="L565" s="43" t="inlineStr">
        <is>
          <t>在来・204</t>
        </is>
      </c>
      <c r="M565" s="178" t="b">
        <v>1</v>
      </c>
      <c r="N565" s="43" t="inlineStr">
        <is>
          <t>カタログ個別可否確認済み</t>
        </is>
      </c>
      <c r="O565" s="222" t="n">
        <v>92</v>
      </c>
      <c r="P565" s="222" t="n">
        <v>90</v>
      </c>
      <c r="Q565" s="43" t="inlineStr">
        <is>
          <t>202604_LIXIL_サーモスＬ_業務用資料集_完成品価格表.pdf</t>
        </is>
      </c>
      <c r="R565" s="43" t="inlineStr">
        <is>
          <t>規格呼称は親品種で確認済み。固有仕様ごとの価格設定有無（＿＿表示等）は次QAで最終確定。</t>
        </is>
      </c>
      <c r="S565" s="42" t="inlineStr">
        <is>
          <t>無印</t>
        </is>
      </c>
      <c r="T565" s="42" t="n">
        <v>90</v>
      </c>
      <c r="U565" s="42" t="inlineStr">
        <is>
          <t>P90|無印</t>
        </is>
      </c>
      <c r="V565" s="42" t="inlineStr">
        <is>
          <t>同頁凡例へ直接連動</t>
        </is>
      </c>
    </row>
    <row r="566">
      <c r="A566" s="43" t="inlineStr">
        <is>
          <t>SZ-SL-000563</t>
        </is>
      </c>
      <c r="B566" s="43" t="inlineStr">
        <is>
          <t>SER-LIX-SAMOSL</t>
        </is>
      </c>
      <c r="C566" s="43" t="inlineStr">
        <is>
          <t>WT-SL-MENKOSHI-HIKI</t>
        </is>
      </c>
      <c r="D566" s="43" t="inlineStr">
        <is>
          <t>面格子付引違い窓</t>
        </is>
      </c>
      <c r="E566" s="43" t="inlineStr">
        <is>
          <t>SP-SL-GRILLE-DIA</t>
        </is>
      </c>
      <c r="F566" s="43" t="inlineStr">
        <is>
          <t>在来・204</t>
        </is>
      </c>
      <c r="G566" s="43" t="inlineStr">
        <is>
          <t>06005</t>
        </is>
      </c>
      <c r="H566" s="43" t="inlineStr">
        <is>
          <t>060</t>
        </is>
      </c>
      <c r="I566" s="43" t="inlineStr">
        <is>
          <t>05</t>
        </is>
      </c>
      <c r="J566" s="222" t="n">
        <v>640</v>
      </c>
      <c r="K566" s="222" t="n">
        <v>570</v>
      </c>
      <c r="L566" s="43" t="inlineStr">
        <is>
          <t>在来・204</t>
        </is>
      </c>
      <c r="M566" s="178" t="b">
        <v>1</v>
      </c>
      <c r="N566" s="43" t="inlineStr">
        <is>
          <t>カタログ個別可否確認済み</t>
        </is>
      </c>
      <c r="O566" s="222" t="n">
        <v>96</v>
      </c>
      <c r="P566" s="222" t="n">
        <v>94</v>
      </c>
      <c r="Q566" s="43" t="inlineStr">
        <is>
          <t>202604_LIXIL_サーモスＬ_業務用資料集_完成品価格表.pdf</t>
        </is>
      </c>
      <c r="R566" s="43" t="inlineStr">
        <is>
          <t>規格呼称は親品種で確認済み。固有仕様ごとの価格設定有無（＿＿表示等）は次QAで最終確定。</t>
        </is>
      </c>
      <c r="S566" s="42" t="inlineStr">
        <is>
          <t>無印</t>
        </is>
      </c>
      <c r="T566" s="42" t="n">
        <v>94</v>
      </c>
      <c r="U566" s="42" t="inlineStr">
        <is>
          <t>P94|無印</t>
        </is>
      </c>
      <c r="V566" s="42" t="inlineStr">
        <is>
          <t>同頁凡例へ直接連動</t>
        </is>
      </c>
    </row>
    <row r="567">
      <c r="A567" s="43" t="inlineStr">
        <is>
          <t>SZ-SL-000564</t>
        </is>
      </c>
      <c r="B567" s="43" t="inlineStr">
        <is>
          <t>SER-LIX-SAMOSL</t>
        </is>
      </c>
      <c r="C567" s="43" t="inlineStr">
        <is>
          <t>WT-SL-MENKOSHI-HIKI</t>
        </is>
      </c>
      <c r="D567" s="43" t="inlineStr">
        <is>
          <t>面格子付引違い窓</t>
        </is>
      </c>
      <c r="E567" s="43" t="inlineStr">
        <is>
          <t>SP-SL-GRILLE-DIA</t>
        </is>
      </c>
      <c r="F567" s="43" t="inlineStr">
        <is>
          <t>在来・204</t>
        </is>
      </c>
      <c r="G567" s="43" t="inlineStr">
        <is>
          <t>06905</t>
        </is>
      </c>
      <c r="H567" s="43" t="inlineStr">
        <is>
          <t>069</t>
        </is>
      </c>
      <c r="I567" s="43" t="inlineStr">
        <is>
          <t>05</t>
        </is>
      </c>
      <c r="J567" s="222" t="n">
        <v>730</v>
      </c>
      <c r="K567" s="222" t="n">
        <v>570</v>
      </c>
      <c r="L567" s="43" t="inlineStr">
        <is>
          <t>在来・204</t>
        </is>
      </c>
      <c r="M567" s="178" t="b">
        <v>1</v>
      </c>
      <c r="N567" s="43" t="inlineStr">
        <is>
          <t>カタログ個別可否確認済み</t>
        </is>
      </c>
      <c r="O567" s="222" t="n">
        <v>96</v>
      </c>
      <c r="P567" s="222" t="n">
        <v>94</v>
      </c>
      <c r="Q567" s="43" t="inlineStr">
        <is>
          <t>202604_LIXIL_サーモスＬ_業務用資料集_完成品価格表.pdf</t>
        </is>
      </c>
      <c r="R567" s="43" t="inlineStr">
        <is>
          <t>規格呼称は親品種で確認済み。固有仕様ごとの価格設定有無（＿＿表示等）は次QAで最終確定。</t>
        </is>
      </c>
      <c r="S567" s="42" t="inlineStr">
        <is>
          <t>無印</t>
        </is>
      </c>
      <c r="T567" s="42" t="n">
        <v>94</v>
      </c>
      <c r="U567" s="42" t="inlineStr">
        <is>
          <t>P94|無印</t>
        </is>
      </c>
      <c r="V567" s="42" t="inlineStr">
        <is>
          <t>同頁凡例へ直接連動</t>
        </is>
      </c>
    </row>
    <row r="568">
      <c r="A568" s="43" t="inlineStr">
        <is>
          <t>SZ-SL-000565</t>
        </is>
      </c>
      <c r="B568" s="43" t="inlineStr">
        <is>
          <t>SER-LIX-SAMOSL</t>
        </is>
      </c>
      <c r="C568" s="43" t="inlineStr">
        <is>
          <t>WT-SL-MENKOSHI-HIKI</t>
        </is>
      </c>
      <c r="D568" s="43" t="inlineStr">
        <is>
          <t>面格子付引違い窓</t>
        </is>
      </c>
      <c r="E568" s="43" t="inlineStr">
        <is>
          <t>SP-SL-GRILLE-DIA</t>
        </is>
      </c>
      <c r="F568" s="43" t="inlineStr">
        <is>
          <t>在来・204</t>
        </is>
      </c>
      <c r="G568" s="43" t="inlineStr">
        <is>
          <t>07405</t>
        </is>
      </c>
      <c r="H568" s="43" t="inlineStr">
        <is>
          <t>074</t>
        </is>
      </c>
      <c r="I568" s="43" t="inlineStr">
        <is>
          <t>05</t>
        </is>
      </c>
      <c r="J568" s="222" t="n">
        <v>780</v>
      </c>
      <c r="K568" s="222" t="n">
        <v>570</v>
      </c>
      <c r="L568" s="43" t="inlineStr">
        <is>
          <t>在来・204</t>
        </is>
      </c>
      <c r="M568" s="178" t="b">
        <v>1</v>
      </c>
      <c r="N568" s="43" t="inlineStr">
        <is>
          <t>カタログ個別可否確認済み</t>
        </is>
      </c>
      <c r="O568" s="222" t="n">
        <v>96</v>
      </c>
      <c r="P568" s="222" t="n">
        <v>94</v>
      </c>
      <c r="Q568" s="43" t="inlineStr">
        <is>
          <t>202604_LIXIL_サーモスＬ_業務用資料集_完成品価格表.pdf</t>
        </is>
      </c>
      <c r="R568" s="43" t="inlineStr">
        <is>
          <t>規格呼称は親品種で確認済み。固有仕様ごとの価格設定有無（＿＿表示等）は次QAで最終確定。</t>
        </is>
      </c>
      <c r="S568" s="42" t="inlineStr">
        <is>
          <t>無印</t>
        </is>
      </c>
      <c r="T568" s="42" t="n">
        <v>94</v>
      </c>
      <c r="U568" s="42" t="inlineStr">
        <is>
          <t>P94|無印</t>
        </is>
      </c>
      <c r="V568" s="42" t="inlineStr">
        <is>
          <t>同頁凡例へ直接連動</t>
        </is>
      </c>
    </row>
    <row r="569">
      <c r="A569" s="43" t="inlineStr">
        <is>
          <t>SZ-SL-000566</t>
        </is>
      </c>
      <c r="B569" s="43" t="inlineStr">
        <is>
          <t>SER-LIX-SAMOSL</t>
        </is>
      </c>
      <c r="C569" s="43" t="inlineStr">
        <is>
          <t>WT-SL-MENKOSHI-HIKI</t>
        </is>
      </c>
      <c r="D569" s="43" t="inlineStr">
        <is>
          <t>面格子付引違い窓</t>
        </is>
      </c>
      <c r="E569" s="43" t="inlineStr">
        <is>
          <t>SP-SL-GRILLE-DIA</t>
        </is>
      </c>
      <c r="F569" s="43" t="inlineStr">
        <is>
          <t>在来・204</t>
        </is>
      </c>
      <c r="G569" s="43" t="inlineStr">
        <is>
          <t>07805</t>
        </is>
      </c>
      <c r="H569" s="43" t="inlineStr">
        <is>
          <t>078</t>
        </is>
      </c>
      <c r="I569" s="43" t="inlineStr">
        <is>
          <t>05</t>
        </is>
      </c>
      <c r="J569" s="222" t="n">
        <v>820</v>
      </c>
      <c r="K569" s="222" t="n">
        <v>570</v>
      </c>
      <c r="L569" s="43" t="inlineStr">
        <is>
          <t>在来・204</t>
        </is>
      </c>
      <c r="M569" s="178" t="b">
        <v>1</v>
      </c>
      <c r="N569" s="43" t="inlineStr">
        <is>
          <t>カタログ個別可否確認済み</t>
        </is>
      </c>
      <c r="O569" s="222" t="n">
        <v>96</v>
      </c>
      <c r="P569" s="222" t="n">
        <v>94</v>
      </c>
      <c r="Q569" s="43" t="inlineStr">
        <is>
          <t>202604_LIXIL_サーモスＬ_業務用資料集_完成品価格表.pdf</t>
        </is>
      </c>
      <c r="R569" s="43" t="inlineStr">
        <is>
          <t>規格呼称は親品種で確認済み。固有仕様ごとの価格設定有無（＿＿表示等）は次QAで最終確定。</t>
        </is>
      </c>
      <c r="S569" s="42" t="inlineStr">
        <is>
          <t>無印</t>
        </is>
      </c>
      <c r="T569" s="42" t="n">
        <v>94</v>
      </c>
      <c r="U569" s="42" t="inlineStr">
        <is>
          <t>P94|無印</t>
        </is>
      </c>
      <c r="V569" s="42" t="inlineStr">
        <is>
          <t>同頁凡例へ直接連動</t>
        </is>
      </c>
    </row>
    <row r="570">
      <c r="A570" s="43" t="inlineStr">
        <is>
          <t>SZ-SL-000567</t>
        </is>
      </c>
      <c r="B570" s="43" t="inlineStr">
        <is>
          <t>SER-LIX-SAMOSL</t>
        </is>
      </c>
      <c r="C570" s="43" t="inlineStr">
        <is>
          <t>WT-SL-MENKOSHI-HIKI</t>
        </is>
      </c>
      <c r="D570" s="43" t="inlineStr">
        <is>
          <t>面格子付引違い窓</t>
        </is>
      </c>
      <c r="E570" s="43" t="inlineStr">
        <is>
          <t>SP-SL-GRILLE-H</t>
        </is>
      </c>
      <c r="F570" s="43" t="inlineStr">
        <is>
          <t>在来・204</t>
        </is>
      </c>
      <c r="G570" s="43" t="inlineStr">
        <is>
          <t>06005</t>
        </is>
      </c>
      <c r="H570" s="43" t="inlineStr">
        <is>
          <t>060</t>
        </is>
      </c>
      <c r="I570" s="43" t="inlineStr">
        <is>
          <t>05</t>
        </is>
      </c>
      <c r="J570" s="222" t="n">
        <v>640</v>
      </c>
      <c r="K570" s="222" t="n">
        <v>570</v>
      </c>
      <c r="L570" s="43" t="inlineStr">
        <is>
          <t>在来・204</t>
        </is>
      </c>
      <c r="M570" s="178" t="b">
        <v>1</v>
      </c>
      <c r="N570" s="43" t="inlineStr">
        <is>
          <t>カタログ個別可否確認済み</t>
        </is>
      </c>
      <c r="O570" s="222" t="n">
        <v>96</v>
      </c>
      <c r="P570" s="222" t="n">
        <v>94</v>
      </c>
      <c r="Q570" s="43" t="inlineStr">
        <is>
          <t>202604_LIXIL_サーモスＬ_業務用資料集_完成品価格表.pdf</t>
        </is>
      </c>
      <c r="R570" s="43" t="inlineStr">
        <is>
          <t>規格呼称は親品種で確認済み。固有仕様ごとの価格設定有無（＿＿表示等）は次QAで最終確定。</t>
        </is>
      </c>
      <c r="S570" s="42" t="inlineStr">
        <is>
          <t>無印</t>
        </is>
      </c>
      <c r="T570" s="42" t="n">
        <v>94</v>
      </c>
      <c r="U570" s="42" t="inlineStr">
        <is>
          <t>P94|無印</t>
        </is>
      </c>
      <c r="V570" s="42" t="inlineStr">
        <is>
          <t>同頁凡例へ直接連動</t>
        </is>
      </c>
    </row>
    <row r="571">
      <c r="A571" s="43" t="inlineStr">
        <is>
          <t>SZ-SL-000568</t>
        </is>
      </c>
      <c r="B571" s="43" t="inlineStr">
        <is>
          <t>SER-LIX-SAMOSL</t>
        </is>
      </c>
      <c r="C571" s="43" t="inlineStr">
        <is>
          <t>WT-SL-MENKOSHI-HIKI</t>
        </is>
      </c>
      <c r="D571" s="43" t="inlineStr">
        <is>
          <t>面格子付引違い窓</t>
        </is>
      </c>
      <c r="E571" s="43" t="inlineStr">
        <is>
          <t>SP-SL-GRILLE-H</t>
        </is>
      </c>
      <c r="F571" s="43" t="inlineStr">
        <is>
          <t>在来・204</t>
        </is>
      </c>
      <c r="G571" s="43" t="inlineStr">
        <is>
          <t>06905</t>
        </is>
      </c>
      <c r="H571" s="43" t="inlineStr">
        <is>
          <t>069</t>
        </is>
      </c>
      <c r="I571" s="43" t="inlineStr">
        <is>
          <t>05</t>
        </is>
      </c>
      <c r="J571" s="222" t="n">
        <v>730</v>
      </c>
      <c r="K571" s="222" t="n">
        <v>570</v>
      </c>
      <c r="L571" s="43" t="inlineStr">
        <is>
          <t>在来・204</t>
        </is>
      </c>
      <c r="M571" s="178" t="b">
        <v>1</v>
      </c>
      <c r="N571" s="43" t="inlineStr">
        <is>
          <t>カタログ個別可否確認済み</t>
        </is>
      </c>
      <c r="O571" s="222" t="n">
        <v>96</v>
      </c>
      <c r="P571" s="222" t="n">
        <v>94</v>
      </c>
      <c r="Q571" s="43" t="inlineStr">
        <is>
          <t>202604_LIXIL_サーモスＬ_業務用資料集_完成品価格表.pdf</t>
        </is>
      </c>
      <c r="R571" s="43" t="inlineStr">
        <is>
          <t>規格呼称は親品種で確認済み。固有仕様ごとの価格設定有無（＿＿表示等）は次QAで最終確定。</t>
        </is>
      </c>
      <c r="S571" s="42" t="inlineStr">
        <is>
          <t>無印</t>
        </is>
      </c>
      <c r="T571" s="42" t="n">
        <v>94</v>
      </c>
      <c r="U571" s="42" t="inlineStr">
        <is>
          <t>P94|無印</t>
        </is>
      </c>
      <c r="V571" s="42" t="inlineStr">
        <is>
          <t>同頁凡例へ直接連動</t>
        </is>
      </c>
    </row>
    <row r="572">
      <c r="A572" s="43" t="inlineStr">
        <is>
          <t>SZ-SL-000569</t>
        </is>
      </c>
      <c r="B572" s="43" t="inlineStr">
        <is>
          <t>SER-LIX-SAMOSL</t>
        </is>
      </c>
      <c r="C572" s="43" t="inlineStr">
        <is>
          <t>WT-SL-MENKOSHI-HIKI</t>
        </is>
      </c>
      <c r="D572" s="43" t="inlineStr">
        <is>
          <t>面格子付引違い窓</t>
        </is>
      </c>
      <c r="E572" s="43" t="inlineStr">
        <is>
          <t>SP-SL-GRILLE-H</t>
        </is>
      </c>
      <c r="F572" s="43" t="inlineStr">
        <is>
          <t>在来・204</t>
        </is>
      </c>
      <c r="G572" s="43" t="inlineStr">
        <is>
          <t>07405</t>
        </is>
      </c>
      <c r="H572" s="43" t="inlineStr">
        <is>
          <t>074</t>
        </is>
      </c>
      <c r="I572" s="43" t="inlineStr">
        <is>
          <t>05</t>
        </is>
      </c>
      <c r="J572" s="222" t="n">
        <v>780</v>
      </c>
      <c r="K572" s="222" t="n">
        <v>570</v>
      </c>
      <c r="L572" s="43" t="inlineStr">
        <is>
          <t>在来・204</t>
        </is>
      </c>
      <c r="M572" s="178" t="b">
        <v>1</v>
      </c>
      <c r="N572" s="43" t="inlineStr">
        <is>
          <t>カタログ個別可否確認済み</t>
        </is>
      </c>
      <c r="O572" s="222" t="n">
        <v>96</v>
      </c>
      <c r="P572" s="222" t="n">
        <v>94</v>
      </c>
      <c r="Q572" s="43" t="inlineStr">
        <is>
          <t>202604_LIXIL_サーモスＬ_業務用資料集_完成品価格表.pdf</t>
        </is>
      </c>
      <c r="R572" s="43" t="inlineStr">
        <is>
          <t>規格呼称は親品種で確認済み。固有仕様ごとの価格設定有無（＿＿表示等）は次QAで最終確定。</t>
        </is>
      </c>
      <c r="S572" s="42" t="inlineStr">
        <is>
          <t>無印</t>
        </is>
      </c>
      <c r="T572" s="42" t="n">
        <v>94</v>
      </c>
      <c r="U572" s="42" t="inlineStr">
        <is>
          <t>P94|無印</t>
        </is>
      </c>
      <c r="V572" s="42" t="inlineStr">
        <is>
          <t>同頁凡例へ直接連動</t>
        </is>
      </c>
    </row>
    <row r="573">
      <c r="A573" s="43" t="inlineStr">
        <is>
          <t>SZ-SL-000570</t>
        </is>
      </c>
      <c r="B573" s="43" t="inlineStr">
        <is>
          <t>SER-LIX-SAMOSL</t>
        </is>
      </c>
      <c r="C573" s="43" t="inlineStr">
        <is>
          <t>WT-SL-MENKOSHI-HIKI</t>
        </is>
      </c>
      <c r="D573" s="43" t="inlineStr">
        <is>
          <t>面格子付引違い窓</t>
        </is>
      </c>
      <c r="E573" s="43" t="inlineStr">
        <is>
          <t>SP-SL-GRILLE-H</t>
        </is>
      </c>
      <c r="F573" s="43" t="inlineStr">
        <is>
          <t>在来・204</t>
        </is>
      </c>
      <c r="G573" s="43" t="inlineStr">
        <is>
          <t>07805</t>
        </is>
      </c>
      <c r="H573" s="43" t="inlineStr">
        <is>
          <t>078</t>
        </is>
      </c>
      <c r="I573" s="43" t="inlineStr">
        <is>
          <t>05</t>
        </is>
      </c>
      <c r="J573" s="222" t="n">
        <v>820</v>
      </c>
      <c r="K573" s="222" t="n">
        <v>570</v>
      </c>
      <c r="L573" s="43" t="inlineStr">
        <is>
          <t>在来・204</t>
        </is>
      </c>
      <c r="M573" s="178" t="b">
        <v>1</v>
      </c>
      <c r="N573" s="43" t="inlineStr">
        <is>
          <t>カタログ個別可否確認済み</t>
        </is>
      </c>
      <c r="O573" s="222" t="n">
        <v>96</v>
      </c>
      <c r="P573" s="222" t="n">
        <v>94</v>
      </c>
      <c r="Q573" s="43" t="inlineStr">
        <is>
          <t>202604_LIXIL_サーモスＬ_業務用資料集_完成品価格表.pdf</t>
        </is>
      </c>
      <c r="R573" s="43" t="inlineStr">
        <is>
          <t>規格呼称は親品種で確認済み。固有仕様ごとの価格設定有無（＿＿表示等）は次QAで最終確定。</t>
        </is>
      </c>
      <c r="S573" s="42" t="inlineStr">
        <is>
          <t>無印</t>
        </is>
      </c>
      <c r="T573" s="42" t="n">
        <v>94</v>
      </c>
      <c r="U573" s="42" t="inlineStr">
        <is>
          <t>P94|無印</t>
        </is>
      </c>
      <c r="V573" s="42" t="inlineStr">
        <is>
          <t>同頁凡例へ直接連動</t>
        </is>
      </c>
    </row>
    <row r="574">
      <c r="A574" s="43" t="inlineStr">
        <is>
          <t>SZ-SL-000571</t>
        </is>
      </c>
      <c r="B574" s="43" t="inlineStr">
        <is>
          <t>SER-LIX-SAMOSL</t>
        </is>
      </c>
      <c r="C574" s="43" t="inlineStr">
        <is>
          <t>WT-SL-MENKOSHI-HIKI</t>
        </is>
      </c>
      <c r="D574" s="43" t="inlineStr">
        <is>
          <t>面格子付引違い窓</t>
        </is>
      </c>
      <c r="E574" s="43" t="inlineStr">
        <is>
          <t>SP-SL-GRILLE-IGETA</t>
        </is>
      </c>
      <c r="F574" s="43" t="inlineStr">
        <is>
          <t>在来・204</t>
        </is>
      </c>
      <c r="G574" s="43" t="inlineStr">
        <is>
          <t>06005</t>
        </is>
      </c>
      <c r="H574" s="43" t="inlineStr">
        <is>
          <t>060</t>
        </is>
      </c>
      <c r="I574" s="43" t="inlineStr">
        <is>
          <t>05</t>
        </is>
      </c>
      <c r="J574" s="222" t="n">
        <v>640</v>
      </c>
      <c r="K574" s="222" t="n">
        <v>570</v>
      </c>
      <c r="L574" s="43" t="inlineStr">
        <is>
          <t>在来・204</t>
        </is>
      </c>
      <c r="M574" s="178" t="b">
        <v>1</v>
      </c>
      <c r="N574" s="43" t="inlineStr">
        <is>
          <t>カタログ個別可否確認済み</t>
        </is>
      </c>
      <c r="O574" s="222" t="n">
        <v>96</v>
      </c>
      <c r="P574" s="222" t="n">
        <v>94</v>
      </c>
      <c r="Q574" s="43" t="inlineStr">
        <is>
          <t>202604_LIXIL_サーモスＬ_業務用資料集_完成品価格表.pdf</t>
        </is>
      </c>
      <c r="R574" s="43" t="inlineStr">
        <is>
          <t>規格呼称は親品種で確認済み。固有仕様ごとの価格設定有無（＿＿表示等）は次QAで最終確定。</t>
        </is>
      </c>
      <c r="S574" s="42" t="inlineStr">
        <is>
          <t>無印</t>
        </is>
      </c>
      <c r="T574" s="42" t="n">
        <v>94</v>
      </c>
      <c r="U574" s="42" t="inlineStr">
        <is>
          <t>P94|無印</t>
        </is>
      </c>
      <c r="V574" s="42" t="inlineStr">
        <is>
          <t>同頁凡例へ直接連動</t>
        </is>
      </c>
    </row>
    <row r="575">
      <c r="A575" s="43" t="inlineStr">
        <is>
          <t>SZ-SL-000572</t>
        </is>
      </c>
      <c r="B575" s="43" t="inlineStr">
        <is>
          <t>SER-LIX-SAMOSL</t>
        </is>
      </c>
      <c r="C575" s="43" t="inlineStr">
        <is>
          <t>WT-SL-MENKOSHI-HIKI</t>
        </is>
      </c>
      <c r="D575" s="43" t="inlineStr">
        <is>
          <t>面格子付引違い窓</t>
        </is>
      </c>
      <c r="E575" s="43" t="inlineStr">
        <is>
          <t>SP-SL-GRILLE-IGETA</t>
        </is>
      </c>
      <c r="F575" s="43" t="inlineStr">
        <is>
          <t>在来・204</t>
        </is>
      </c>
      <c r="G575" s="43" t="inlineStr">
        <is>
          <t>06905</t>
        </is>
      </c>
      <c r="H575" s="43" t="inlineStr">
        <is>
          <t>069</t>
        </is>
      </c>
      <c r="I575" s="43" t="inlineStr">
        <is>
          <t>05</t>
        </is>
      </c>
      <c r="J575" s="222" t="n">
        <v>730</v>
      </c>
      <c r="K575" s="222" t="n">
        <v>570</v>
      </c>
      <c r="L575" s="43" t="inlineStr">
        <is>
          <t>在来・204</t>
        </is>
      </c>
      <c r="M575" s="178" t="b">
        <v>1</v>
      </c>
      <c r="N575" s="43" t="inlineStr">
        <is>
          <t>カタログ個別可否確認済み</t>
        </is>
      </c>
      <c r="O575" s="222" t="n">
        <v>96</v>
      </c>
      <c r="P575" s="222" t="n">
        <v>94</v>
      </c>
      <c r="Q575" s="43" t="inlineStr">
        <is>
          <t>202604_LIXIL_サーモスＬ_業務用資料集_完成品価格表.pdf</t>
        </is>
      </c>
      <c r="R575" s="43" t="inlineStr">
        <is>
          <t>規格呼称は親品種で確認済み。固有仕様ごとの価格設定有無（＿＿表示等）は次QAで最終確定。</t>
        </is>
      </c>
      <c r="S575" s="42" t="inlineStr">
        <is>
          <t>無印</t>
        </is>
      </c>
      <c r="T575" s="42" t="n">
        <v>94</v>
      </c>
      <c r="U575" s="42" t="inlineStr">
        <is>
          <t>P94|無印</t>
        </is>
      </c>
      <c r="V575" s="42" t="inlineStr">
        <is>
          <t>同頁凡例へ直接連動</t>
        </is>
      </c>
    </row>
    <row r="576">
      <c r="A576" s="43" t="inlineStr">
        <is>
          <t>SZ-SL-000573</t>
        </is>
      </c>
      <c r="B576" s="43" t="inlineStr">
        <is>
          <t>SER-LIX-SAMOSL</t>
        </is>
      </c>
      <c r="C576" s="43" t="inlineStr">
        <is>
          <t>WT-SL-MENKOSHI-HIKI</t>
        </is>
      </c>
      <c r="D576" s="43" t="inlineStr">
        <is>
          <t>面格子付引違い窓</t>
        </is>
      </c>
      <c r="E576" s="43" t="inlineStr">
        <is>
          <t>SP-SL-GRILLE-IGETA</t>
        </is>
      </c>
      <c r="F576" s="43" t="inlineStr">
        <is>
          <t>在来・204</t>
        </is>
      </c>
      <c r="G576" s="43" t="inlineStr">
        <is>
          <t>07405</t>
        </is>
      </c>
      <c r="H576" s="43" t="inlineStr">
        <is>
          <t>074</t>
        </is>
      </c>
      <c r="I576" s="43" t="inlineStr">
        <is>
          <t>05</t>
        </is>
      </c>
      <c r="J576" s="222" t="n">
        <v>780</v>
      </c>
      <c r="K576" s="222" t="n">
        <v>570</v>
      </c>
      <c r="L576" s="43" t="inlineStr">
        <is>
          <t>在来・204</t>
        </is>
      </c>
      <c r="M576" s="178" t="b">
        <v>1</v>
      </c>
      <c r="N576" s="43" t="inlineStr">
        <is>
          <t>カタログ個別可否確認済み</t>
        </is>
      </c>
      <c r="O576" s="222" t="n">
        <v>96</v>
      </c>
      <c r="P576" s="222" t="n">
        <v>94</v>
      </c>
      <c r="Q576" s="43" t="inlineStr">
        <is>
          <t>202604_LIXIL_サーモスＬ_業務用資料集_完成品価格表.pdf</t>
        </is>
      </c>
      <c r="R576" s="43" t="inlineStr">
        <is>
          <t>規格呼称は親品種で確認済み。固有仕様ごとの価格設定有無（＿＿表示等）は次QAで最終確定。</t>
        </is>
      </c>
      <c r="S576" s="42" t="inlineStr">
        <is>
          <t>無印</t>
        </is>
      </c>
      <c r="T576" s="42" t="n">
        <v>94</v>
      </c>
      <c r="U576" s="42" t="inlineStr">
        <is>
          <t>P94|無印</t>
        </is>
      </c>
      <c r="V576" s="42" t="inlineStr">
        <is>
          <t>同頁凡例へ直接連動</t>
        </is>
      </c>
    </row>
    <row r="577">
      <c r="A577" s="43" t="inlineStr">
        <is>
          <t>SZ-SL-000574</t>
        </is>
      </c>
      <c r="B577" s="43" t="inlineStr">
        <is>
          <t>SER-LIX-SAMOSL</t>
        </is>
      </c>
      <c r="C577" s="43" t="inlineStr">
        <is>
          <t>WT-SL-MENKOSHI-HIKI</t>
        </is>
      </c>
      <c r="D577" s="43" t="inlineStr">
        <is>
          <t>面格子付引違い窓</t>
        </is>
      </c>
      <c r="E577" s="43" t="inlineStr">
        <is>
          <t>SP-SL-GRILLE-IGETA</t>
        </is>
      </c>
      <c r="F577" s="43" t="inlineStr">
        <is>
          <t>在来・204</t>
        </is>
      </c>
      <c r="G577" s="43" t="inlineStr">
        <is>
          <t>07805</t>
        </is>
      </c>
      <c r="H577" s="43" t="inlineStr">
        <is>
          <t>078</t>
        </is>
      </c>
      <c r="I577" s="43" t="inlineStr">
        <is>
          <t>05</t>
        </is>
      </c>
      <c r="J577" s="222" t="n">
        <v>820</v>
      </c>
      <c r="K577" s="222" t="n">
        <v>570</v>
      </c>
      <c r="L577" s="43" t="inlineStr">
        <is>
          <t>在来・204</t>
        </is>
      </c>
      <c r="M577" s="178" t="b">
        <v>1</v>
      </c>
      <c r="N577" s="43" t="inlineStr">
        <is>
          <t>カタログ個別可否確認済み</t>
        </is>
      </c>
      <c r="O577" s="222" t="n">
        <v>96</v>
      </c>
      <c r="P577" s="222" t="n">
        <v>94</v>
      </c>
      <c r="Q577" s="43" t="inlineStr">
        <is>
          <t>202604_LIXIL_サーモスＬ_業務用資料集_完成品価格表.pdf</t>
        </is>
      </c>
      <c r="R577" s="43" t="inlineStr">
        <is>
          <t>規格呼称は親品種で確認済み。固有仕様ごとの価格設定有無（＿＿表示等）は次QAで最終確定。</t>
        </is>
      </c>
      <c r="S577" s="42" t="inlineStr">
        <is>
          <t>無印</t>
        </is>
      </c>
      <c r="T577" s="42" t="n">
        <v>94</v>
      </c>
      <c r="U577" s="42" t="inlineStr">
        <is>
          <t>P94|無印</t>
        </is>
      </c>
      <c r="V577" s="42" t="inlineStr">
        <is>
          <t>同頁凡例へ直接連動</t>
        </is>
      </c>
    </row>
    <row r="578">
      <c r="A578" s="43" t="inlineStr">
        <is>
          <t>SZ-SL-000575</t>
        </is>
      </c>
      <c r="B578" s="43" t="inlineStr">
        <is>
          <t>SER-LIX-SAMOSL</t>
        </is>
      </c>
      <c r="C578" s="43" t="inlineStr">
        <is>
          <t>WT-SL-MENKOSHI-HIKI</t>
        </is>
      </c>
      <c r="D578" s="43" t="inlineStr">
        <is>
          <t>面格子付引違い窓</t>
        </is>
      </c>
      <c r="E578" s="43" t="inlineStr">
        <is>
          <t>SP-SL-GRILLE-V</t>
        </is>
      </c>
      <c r="F578" s="43" t="inlineStr">
        <is>
          <t>在来・204</t>
        </is>
      </c>
      <c r="G578" s="43" t="inlineStr">
        <is>
          <t>06005</t>
        </is>
      </c>
      <c r="H578" s="43" t="inlineStr">
        <is>
          <t>060</t>
        </is>
      </c>
      <c r="I578" s="43" t="inlineStr">
        <is>
          <t>05</t>
        </is>
      </c>
      <c r="J578" s="222" t="n">
        <v>640</v>
      </c>
      <c r="K578" s="222" t="n">
        <v>570</v>
      </c>
      <c r="L578" s="43" t="inlineStr">
        <is>
          <t>在来・204</t>
        </is>
      </c>
      <c r="M578" s="178" t="b">
        <v>1</v>
      </c>
      <c r="N578" s="43" t="inlineStr">
        <is>
          <t>カタログ個別可否確認済み</t>
        </is>
      </c>
      <c r="O578" s="222" t="n">
        <v>96</v>
      </c>
      <c r="P578" s="222" t="n">
        <v>94</v>
      </c>
      <c r="Q578" s="43" t="inlineStr">
        <is>
          <t>202604_LIXIL_サーモスＬ_業務用資料集_完成品価格表.pdf</t>
        </is>
      </c>
      <c r="R578" s="43" t="inlineStr">
        <is>
          <t>規格呼称は親品種で確認済み。固有仕様ごとの価格設定有無（＿＿表示等）は次QAで最終確定。</t>
        </is>
      </c>
      <c r="S578" s="42" t="inlineStr">
        <is>
          <t>無印</t>
        </is>
      </c>
      <c r="T578" s="42" t="n">
        <v>94</v>
      </c>
      <c r="U578" s="42" t="inlineStr">
        <is>
          <t>P94|無印</t>
        </is>
      </c>
      <c r="V578" s="42" t="inlineStr">
        <is>
          <t>同頁凡例へ直接連動</t>
        </is>
      </c>
    </row>
    <row r="579">
      <c r="A579" s="43" t="inlineStr">
        <is>
          <t>SZ-SL-000576</t>
        </is>
      </c>
      <c r="B579" s="43" t="inlineStr">
        <is>
          <t>SER-LIX-SAMOSL</t>
        </is>
      </c>
      <c r="C579" s="43" t="inlineStr">
        <is>
          <t>WT-SL-MENKOSHI-HIKI</t>
        </is>
      </c>
      <c r="D579" s="43" t="inlineStr">
        <is>
          <t>面格子付引違い窓</t>
        </is>
      </c>
      <c r="E579" s="43" t="inlineStr">
        <is>
          <t>SP-SL-GRILLE-V</t>
        </is>
      </c>
      <c r="F579" s="43" t="inlineStr">
        <is>
          <t>在来・204</t>
        </is>
      </c>
      <c r="G579" s="43" t="inlineStr">
        <is>
          <t>06905</t>
        </is>
      </c>
      <c r="H579" s="43" t="inlineStr">
        <is>
          <t>069</t>
        </is>
      </c>
      <c r="I579" s="43" t="inlineStr">
        <is>
          <t>05</t>
        </is>
      </c>
      <c r="J579" s="222" t="n">
        <v>730</v>
      </c>
      <c r="K579" s="222" t="n">
        <v>570</v>
      </c>
      <c r="L579" s="43" t="inlineStr">
        <is>
          <t>在来・204</t>
        </is>
      </c>
      <c r="M579" s="178" t="b">
        <v>1</v>
      </c>
      <c r="N579" s="43" t="inlineStr">
        <is>
          <t>カタログ個別可否確認済み</t>
        </is>
      </c>
      <c r="O579" s="222" t="n">
        <v>96</v>
      </c>
      <c r="P579" s="222" t="n">
        <v>94</v>
      </c>
      <c r="Q579" s="43" t="inlineStr">
        <is>
          <t>202604_LIXIL_サーモスＬ_業務用資料集_完成品価格表.pdf</t>
        </is>
      </c>
      <c r="R579" s="43" t="inlineStr">
        <is>
          <t>規格呼称は親品種で確認済み。固有仕様ごとの価格設定有無（＿＿表示等）は次QAで最終確定。</t>
        </is>
      </c>
      <c r="S579" s="42" t="inlineStr">
        <is>
          <t>無印</t>
        </is>
      </c>
      <c r="T579" s="42" t="n">
        <v>94</v>
      </c>
      <c r="U579" s="42" t="inlineStr">
        <is>
          <t>P94|無印</t>
        </is>
      </c>
      <c r="V579" s="42" t="inlineStr">
        <is>
          <t>同頁凡例へ直接連動</t>
        </is>
      </c>
    </row>
    <row r="580">
      <c r="A580" s="43" t="inlineStr">
        <is>
          <t>SZ-SL-000577</t>
        </is>
      </c>
      <c r="B580" s="43" t="inlineStr">
        <is>
          <t>SER-LIX-SAMOSL</t>
        </is>
      </c>
      <c r="C580" s="43" t="inlineStr">
        <is>
          <t>WT-SL-MENKOSHI-HIKI</t>
        </is>
      </c>
      <c r="D580" s="43" t="inlineStr">
        <is>
          <t>面格子付引違い窓</t>
        </is>
      </c>
      <c r="E580" s="43" t="inlineStr">
        <is>
          <t>SP-SL-GRILLE-V</t>
        </is>
      </c>
      <c r="F580" s="43" t="inlineStr">
        <is>
          <t>在来・204</t>
        </is>
      </c>
      <c r="G580" s="43" t="inlineStr">
        <is>
          <t>07405</t>
        </is>
      </c>
      <c r="H580" s="43" t="inlineStr">
        <is>
          <t>074</t>
        </is>
      </c>
      <c r="I580" s="43" t="inlineStr">
        <is>
          <t>05</t>
        </is>
      </c>
      <c r="J580" s="222" t="n">
        <v>780</v>
      </c>
      <c r="K580" s="222" t="n">
        <v>570</v>
      </c>
      <c r="L580" s="43" t="inlineStr">
        <is>
          <t>在来・204</t>
        </is>
      </c>
      <c r="M580" s="178" t="b">
        <v>1</v>
      </c>
      <c r="N580" s="43" t="inlineStr">
        <is>
          <t>カタログ個別可否確認済み</t>
        </is>
      </c>
      <c r="O580" s="222" t="n">
        <v>96</v>
      </c>
      <c r="P580" s="222" t="n">
        <v>94</v>
      </c>
      <c r="Q580" s="43" t="inlineStr">
        <is>
          <t>202604_LIXIL_サーモスＬ_業務用資料集_完成品価格表.pdf</t>
        </is>
      </c>
      <c r="R580" s="43" t="inlineStr">
        <is>
          <t>規格呼称は親品種で確認済み。固有仕様ごとの価格設定有無（＿＿表示等）は次QAで最終確定。</t>
        </is>
      </c>
      <c r="S580" s="42" t="inlineStr">
        <is>
          <t>無印</t>
        </is>
      </c>
      <c r="T580" s="42" t="n">
        <v>94</v>
      </c>
      <c r="U580" s="42" t="inlineStr">
        <is>
          <t>P94|無印</t>
        </is>
      </c>
      <c r="V580" s="42" t="inlineStr">
        <is>
          <t>同頁凡例へ直接連動</t>
        </is>
      </c>
    </row>
    <row r="581">
      <c r="A581" s="43" t="inlineStr">
        <is>
          <t>SZ-SL-000578</t>
        </is>
      </c>
      <c r="B581" s="43" t="inlineStr">
        <is>
          <t>SER-LIX-SAMOSL</t>
        </is>
      </c>
      <c r="C581" s="43" t="inlineStr">
        <is>
          <t>WT-SL-MENKOSHI-HIKI</t>
        </is>
      </c>
      <c r="D581" s="43" t="inlineStr">
        <is>
          <t>面格子付引違い窓</t>
        </is>
      </c>
      <c r="E581" s="43" t="inlineStr">
        <is>
          <t>SP-SL-GRILLE-V</t>
        </is>
      </c>
      <c r="F581" s="43" t="inlineStr">
        <is>
          <t>在来・204</t>
        </is>
      </c>
      <c r="G581" s="43" t="inlineStr">
        <is>
          <t>07805</t>
        </is>
      </c>
      <c r="H581" s="43" t="inlineStr">
        <is>
          <t>078</t>
        </is>
      </c>
      <c r="I581" s="43" t="inlineStr">
        <is>
          <t>05</t>
        </is>
      </c>
      <c r="J581" s="222" t="n">
        <v>820</v>
      </c>
      <c r="K581" s="222" t="n">
        <v>570</v>
      </c>
      <c r="L581" s="43" t="inlineStr">
        <is>
          <t>在来・204</t>
        </is>
      </c>
      <c r="M581" s="178" t="b">
        <v>1</v>
      </c>
      <c r="N581" s="43" t="inlineStr">
        <is>
          <t>カタログ個別可否確認済み</t>
        </is>
      </c>
      <c r="O581" s="222" t="n">
        <v>96</v>
      </c>
      <c r="P581" s="222" t="n">
        <v>94</v>
      </c>
      <c r="Q581" s="43" t="inlineStr">
        <is>
          <t>202604_LIXIL_サーモスＬ_業務用資料集_完成品価格表.pdf</t>
        </is>
      </c>
      <c r="R581" s="43" t="inlineStr">
        <is>
          <t>規格呼称は親品種で確認済み。固有仕様ごとの価格設定有無（＿＿表示等）は次QAで最終確定。</t>
        </is>
      </c>
      <c r="S581" s="42" t="inlineStr">
        <is>
          <t>無印</t>
        </is>
      </c>
      <c r="T581" s="42" t="n">
        <v>94</v>
      </c>
      <c r="U581" s="42" t="inlineStr">
        <is>
          <t>P94|無印</t>
        </is>
      </c>
      <c r="V581" s="42" t="inlineStr">
        <is>
          <t>同頁凡例へ直接連動</t>
        </is>
      </c>
    </row>
    <row r="582">
      <c r="A582" s="43" t="inlineStr">
        <is>
          <t>SZ-SL-000579</t>
        </is>
      </c>
      <c r="B582" s="43" t="inlineStr">
        <is>
          <t>SER-LIX-SAMOSL</t>
        </is>
      </c>
      <c r="C582" s="43" t="inlineStr">
        <is>
          <t>WT-SL-MENKOSHI-HIKI</t>
        </is>
      </c>
      <c r="D582" s="43" t="inlineStr">
        <is>
          <t>面格子付引違い窓</t>
        </is>
      </c>
      <c r="E582" s="43" t="inlineStr">
        <is>
          <t>SP-SL-GRILLE-DIA</t>
        </is>
      </c>
      <c r="F582" s="43" t="inlineStr">
        <is>
          <t>在来・204</t>
        </is>
      </c>
      <c r="G582" s="43" t="inlineStr">
        <is>
          <t>08005</t>
        </is>
      </c>
      <c r="H582" s="43" t="inlineStr">
        <is>
          <t>080</t>
        </is>
      </c>
      <c r="I582" s="43" t="inlineStr">
        <is>
          <t>05</t>
        </is>
      </c>
      <c r="J582" s="222" t="n">
        <v>845</v>
      </c>
      <c r="K582" s="222" t="n">
        <v>570</v>
      </c>
      <c r="L582" s="43" t="inlineStr">
        <is>
          <t>在来・204</t>
        </is>
      </c>
      <c r="M582" s="178" t="b">
        <v>1</v>
      </c>
      <c r="N582" s="43" t="inlineStr">
        <is>
          <t>カタログ個別可否確認済み</t>
        </is>
      </c>
      <c r="O582" s="222" t="n">
        <v>97</v>
      </c>
      <c r="P582" s="222" t="n">
        <v>95</v>
      </c>
      <c r="Q582" s="43" t="inlineStr">
        <is>
          <t>202604_LIXIL_サーモスＬ_業務用資料集_完成品価格表.pdf</t>
        </is>
      </c>
      <c r="R582" s="43" t="inlineStr">
        <is>
          <t>規格呼称は親品種で確認済み。固有仕様ごとの価格設定有無（＿＿表示等）は次QAで最終確定。</t>
        </is>
      </c>
      <c r="S582" s="42" t="inlineStr">
        <is>
          <t>無印</t>
        </is>
      </c>
      <c r="T582" s="42" t="n">
        <v>94</v>
      </c>
      <c r="U582" s="42" t="inlineStr">
        <is>
          <t>P94|無印</t>
        </is>
      </c>
      <c r="V582" s="42" t="inlineStr">
        <is>
          <t>同一価格表・前頁凡例を継承</t>
        </is>
      </c>
    </row>
    <row r="583">
      <c r="A583" s="43" t="inlineStr">
        <is>
          <t>SZ-SL-000580</t>
        </is>
      </c>
      <c r="B583" s="43" t="inlineStr">
        <is>
          <t>SER-LIX-SAMOSL</t>
        </is>
      </c>
      <c r="C583" s="43" t="inlineStr">
        <is>
          <t>WT-SL-MENKOSHI-HIKI</t>
        </is>
      </c>
      <c r="D583" s="43" t="inlineStr">
        <is>
          <t>面格子付引違い窓</t>
        </is>
      </c>
      <c r="E583" s="43" t="inlineStr">
        <is>
          <t>SP-SL-GRILLE-DIA</t>
        </is>
      </c>
      <c r="F583" s="43" t="inlineStr">
        <is>
          <t>在来・204</t>
        </is>
      </c>
      <c r="G583" s="43" t="inlineStr">
        <is>
          <t>08305</t>
        </is>
      </c>
      <c r="H583" s="43" t="inlineStr">
        <is>
          <t>083</t>
        </is>
      </c>
      <c r="I583" s="43" t="inlineStr">
        <is>
          <t>05</t>
        </is>
      </c>
      <c r="J583" s="222" t="n">
        <v>870</v>
      </c>
      <c r="K583" s="222" t="n">
        <v>570</v>
      </c>
      <c r="L583" s="43" t="inlineStr">
        <is>
          <t>在来・204</t>
        </is>
      </c>
      <c r="M583" s="178" t="b">
        <v>1</v>
      </c>
      <c r="N583" s="43" t="inlineStr">
        <is>
          <t>カタログ個別可否確認済み</t>
        </is>
      </c>
      <c r="O583" s="222" t="n">
        <v>97</v>
      </c>
      <c r="P583" s="222" t="n">
        <v>95</v>
      </c>
      <c r="Q583" s="43" t="inlineStr">
        <is>
          <t>202604_LIXIL_サーモスＬ_業務用資料集_完成品価格表.pdf</t>
        </is>
      </c>
      <c r="R583" s="43" t="inlineStr">
        <is>
          <t>規格呼称は親品種で確認済み。固有仕様ごとの価格設定有無（＿＿表示等）は次QAで最終確定。</t>
        </is>
      </c>
      <c r="S583" s="42" t="inlineStr">
        <is>
          <t>無印</t>
        </is>
      </c>
      <c r="T583" s="42" t="n">
        <v>94</v>
      </c>
      <c r="U583" s="42" t="inlineStr">
        <is>
          <t>P94|無印</t>
        </is>
      </c>
      <c r="V583" s="42" t="inlineStr">
        <is>
          <t>同一価格表・前頁凡例を継承</t>
        </is>
      </c>
    </row>
    <row r="584">
      <c r="A584" s="43" t="inlineStr">
        <is>
          <t>SZ-SL-000581</t>
        </is>
      </c>
      <c r="B584" s="43" t="inlineStr">
        <is>
          <t>SER-LIX-SAMOSL</t>
        </is>
      </c>
      <c r="C584" s="43" t="inlineStr">
        <is>
          <t>WT-SL-MENKOSHI-HIKI</t>
        </is>
      </c>
      <c r="D584" s="43" t="inlineStr">
        <is>
          <t>面格子付引違い窓</t>
        </is>
      </c>
      <c r="E584" s="43" t="inlineStr">
        <is>
          <t>SP-SL-GRILLE-DIA</t>
        </is>
      </c>
      <c r="F584" s="43" t="inlineStr">
        <is>
          <t>在来・204</t>
        </is>
      </c>
      <c r="G584" s="43" t="inlineStr">
        <is>
          <t>11405</t>
        </is>
      </c>
      <c r="H584" s="43" t="inlineStr">
        <is>
          <t>114</t>
        </is>
      </c>
      <c r="I584" s="43" t="inlineStr">
        <is>
          <t>05</t>
        </is>
      </c>
      <c r="J584" s="222" t="n">
        <v>1185</v>
      </c>
      <c r="K584" s="222" t="n">
        <v>570</v>
      </c>
      <c r="L584" s="43" t="inlineStr">
        <is>
          <t>在来・204</t>
        </is>
      </c>
      <c r="M584" s="178" t="b">
        <v>1</v>
      </c>
      <c r="N584" s="43" t="inlineStr">
        <is>
          <t>カタログ個別可否確認済み</t>
        </is>
      </c>
      <c r="O584" s="222" t="n">
        <v>97</v>
      </c>
      <c r="P584" s="222" t="n">
        <v>95</v>
      </c>
      <c r="Q584" s="43" t="inlineStr">
        <is>
          <t>202604_LIXIL_サーモスＬ_業務用資料集_完成品価格表.pdf</t>
        </is>
      </c>
      <c r="R584" s="43" t="inlineStr">
        <is>
          <t>規格呼称は親品種で確認済み。固有仕様ごとの価格設定有無（＿＿表示等）は次QAで最終確定。</t>
        </is>
      </c>
      <c r="S584" s="42" t="inlineStr">
        <is>
          <t>無印</t>
        </is>
      </c>
      <c r="T584" s="42" t="n">
        <v>94</v>
      </c>
      <c r="U584" s="42" t="inlineStr">
        <is>
          <t>P94|無印</t>
        </is>
      </c>
      <c r="V584" s="42" t="inlineStr">
        <is>
          <t>同一価格表・前頁凡例を継承</t>
        </is>
      </c>
    </row>
    <row r="585">
      <c r="A585" s="43" t="inlineStr">
        <is>
          <t>SZ-SL-000582</t>
        </is>
      </c>
      <c r="B585" s="43" t="inlineStr">
        <is>
          <t>SER-LIX-SAMOSL</t>
        </is>
      </c>
      <c r="C585" s="43" t="inlineStr">
        <is>
          <t>WT-SL-MENKOSHI-HIKI</t>
        </is>
      </c>
      <c r="D585" s="43" t="inlineStr">
        <is>
          <t>面格子付引違い窓</t>
        </is>
      </c>
      <c r="E585" s="43" t="inlineStr">
        <is>
          <t>SP-SL-GRILLE-DIA</t>
        </is>
      </c>
      <c r="F585" s="43" t="inlineStr">
        <is>
          <t>在来・204</t>
        </is>
      </c>
      <c r="G585" s="43" t="inlineStr">
        <is>
          <t>11905</t>
        </is>
      </c>
      <c r="H585" s="43" t="inlineStr">
        <is>
          <t>119</t>
        </is>
      </c>
      <c r="I585" s="43" t="inlineStr">
        <is>
          <t>05</t>
        </is>
      </c>
      <c r="J585" s="222" t="n">
        <v>1235</v>
      </c>
      <c r="K585" s="222" t="n">
        <v>570</v>
      </c>
      <c r="L585" s="43" t="inlineStr">
        <is>
          <t>在来・204</t>
        </is>
      </c>
      <c r="M585" s="178" t="b">
        <v>1</v>
      </c>
      <c r="N585" s="43" t="inlineStr">
        <is>
          <t>カタログ個別可否確認済み</t>
        </is>
      </c>
      <c r="O585" s="222" t="n">
        <v>97</v>
      </c>
      <c r="P585" s="222" t="n">
        <v>95</v>
      </c>
      <c r="Q585" s="43" t="inlineStr">
        <is>
          <t>202604_LIXIL_サーモスＬ_業務用資料集_完成品価格表.pdf</t>
        </is>
      </c>
      <c r="R585" s="43" t="inlineStr">
        <is>
          <t>規格呼称は親品種で確認済み。固有仕様ごとの価格設定有無（＿＿表示等）は次QAで最終確定。</t>
        </is>
      </c>
      <c r="S585" s="42" t="inlineStr">
        <is>
          <t>無印</t>
        </is>
      </c>
      <c r="T585" s="42" t="n">
        <v>94</v>
      </c>
      <c r="U585" s="42" t="inlineStr">
        <is>
          <t>P94|無印</t>
        </is>
      </c>
      <c r="V585" s="42" t="inlineStr">
        <is>
          <t>同一価格表・前頁凡例を継承</t>
        </is>
      </c>
    </row>
    <row r="586">
      <c r="A586" s="43" t="inlineStr">
        <is>
          <t>SZ-SL-000583</t>
        </is>
      </c>
      <c r="B586" s="43" t="inlineStr">
        <is>
          <t>SER-LIX-SAMOSL</t>
        </is>
      </c>
      <c r="C586" s="43" t="inlineStr">
        <is>
          <t>WT-SL-MENKOSHI-HIKI</t>
        </is>
      </c>
      <c r="D586" s="43" t="inlineStr">
        <is>
          <t>面格子付引違い窓</t>
        </is>
      </c>
      <c r="E586" s="43" t="inlineStr">
        <is>
          <t>SP-SL-GRILLE-DIA</t>
        </is>
      </c>
      <c r="F586" s="43" t="inlineStr">
        <is>
          <t>在来・204</t>
        </is>
      </c>
      <c r="G586" s="43" t="inlineStr">
        <is>
          <t>12805</t>
        </is>
      </c>
      <c r="H586" s="43" t="inlineStr">
        <is>
          <t>128</t>
        </is>
      </c>
      <c r="I586" s="43" t="inlineStr">
        <is>
          <t>05</t>
        </is>
      </c>
      <c r="J586" s="222" t="n">
        <v>1320</v>
      </c>
      <c r="K586" s="222" t="n">
        <v>570</v>
      </c>
      <c r="L586" s="43" t="inlineStr">
        <is>
          <t>在来・204</t>
        </is>
      </c>
      <c r="M586" s="178" t="b">
        <v>1</v>
      </c>
      <c r="N586" s="43" t="inlineStr">
        <is>
          <t>カタログ個別可否確認済み</t>
        </is>
      </c>
      <c r="O586" s="222" t="n">
        <v>97</v>
      </c>
      <c r="P586" s="222" t="n">
        <v>95</v>
      </c>
      <c r="Q586" s="43" t="inlineStr">
        <is>
          <t>202604_LIXIL_サーモスＬ_業務用資料集_完成品価格表.pdf</t>
        </is>
      </c>
      <c r="R586" s="43" t="inlineStr">
        <is>
          <t>規格呼称は親品種で確認済み。固有仕様ごとの価格設定有無（＿＿表示等）は次QAで最終確定。</t>
        </is>
      </c>
      <c r="S586" s="42" t="inlineStr">
        <is>
          <t>無印</t>
        </is>
      </c>
      <c r="T586" s="42" t="n">
        <v>94</v>
      </c>
      <c r="U586" s="42" t="inlineStr">
        <is>
          <t>P94|無印</t>
        </is>
      </c>
      <c r="V586" s="42" t="inlineStr">
        <is>
          <t>同一価格表・前頁凡例を継承</t>
        </is>
      </c>
    </row>
    <row r="587">
      <c r="A587" s="43" t="inlineStr">
        <is>
          <t>SZ-SL-000584</t>
        </is>
      </c>
      <c r="B587" s="43" t="inlineStr">
        <is>
          <t>SER-LIX-SAMOSL</t>
        </is>
      </c>
      <c r="C587" s="43" t="inlineStr">
        <is>
          <t>WT-SL-MENKOSHI-HIKI</t>
        </is>
      </c>
      <c r="D587" s="43" t="inlineStr">
        <is>
          <t>面格子付引違い窓</t>
        </is>
      </c>
      <c r="E587" s="43" t="inlineStr">
        <is>
          <t>SP-SL-GRILLE-H</t>
        </is>
      </c>
      <c r="F587" s="43" t="inlineStr">
        <is>
          <t>在来・204</t>
        </is>
      </c>
      <c r="G587" s="43" t="inlineStr">
        <is>
          <t>08005</t>
        </is>
      </c>
      <c r="H587" s="43" t="inlineStr">
        <is>
          <t>080</t>
        </is>
      </c>
      <c r="I587" s="43" t="inlineStr">
        <is>
          <t>05</t>
        </is>
      </c>
      <c r="J587" s="222" t="n">
        <v>845</v>
      </c>
      <c r="K587" s="222" t="n">
        <v>570</v>
      </c>
      <c r="L587" s="43" t="inlineStr">
        <is>
          <t>在来・204</t>
        </is>
      </c>
      <c r="M587" s="178" t="b">
        <v>1</v>
      </c>
      <c r="N587" s="43" t="inlineStr">
        <is>
          <t>カタログ個別可否確認済み</t>
        </is>
      </c>
      <c r="O587" s="222" t="n">
        <v>97</v>
      </c>
      <c r="P587" s="222" t="n">
        <v>95</v>
      </c>
      <c r="Q587" s="43" t="inlineStr">
        <is>
          <t>202604_LIXIL_サーモスＬ_業務用資料集_完成品価格表.pdf</t>
        </is>
      </c>
      <c r="R587" s="43" t="inlineStr">
        <is>
          <t>規格呼称は親品種で確認済み。固有仕様ごとの価格設定有無（＿＿表示等）は次QAで最終確定。</t>
        </is>
      </c>
      <c r="S587" s="42" t="inlineStr">
        <is>
          <t>無印</t>
        </is>
      </c>
      <c r="T587" s="42" t="n">
        <v>94</v>
      </c>
      <c r="U587" s="42" t="inlineStr">
        <is>
          <t>P94|無印</t>
        </is>
      </c>
      <c r="V587" s="42" t="inlineStr">
        <is>
          <t>同一価格表・前頁凡例を継承</t>
        </is>
      </c>
    </row>
    <row r="588">
      <c r="A588" s="43" t="inlineStr">
        <is>
          <t>SZ-SL-000585</t>
        </is>
      </c>
      <c r="B588" s="43" t="inlineStr">
        <is>
          <t>SER-LIX-SAMOSL</t>
        </is>
      </c>
      <c r="C588" s="43" t="inlineStr">
        <is>
          <t>WT-SL-MENKOSHI-HIKI</t>
        </is>
      </c>
      <c r="D588" s="43" t="inlineStr">
        <is>
          <t>面格子付引違い窓</t>
        </is>
      </c>
      <c r="E588" s="43" t="inlineStr">
        <is>
          <t>SP-SL-GRILLE-H</t>
        </is>
      </c>
      <c r="F588" s="43" t="inlineStr">
        <is>
          <t>在来・204</t>
        </is>
      </c>
      <c r="G588" s="43" t="inlineStr">
        <is>
          <t>08305</t>
        </is>
      </c>
      <c r="H588" s="43" t="inlineStr">
        <is>
          <t>083</t>
        </is>
      </c>
      <c r="I588" s="43" t="inlineStr">
        <is>
          <t>05</t>
        </is>
      </c>
      <c r="J588" s="222" t="n">
        <v>870</v>
      </c>
      <c r="K588" s="222" t="n">
        <v>570</v>
      </c>
      <c r="L588" s="43" t="inlineStr">
        <is>
          <t>在来・204</t>
        </is>
      </c>
      <c r="M588" s="178" t="b">
        <v>1</v>
      </c>
      <c r="N588" s="43" t="inlineStr">
        <is>
          <t>カタログ個別可否確認済み</t>
        </is>
      </c>
      <c r="O588" s="222" t="n">
        <v>97</v>
      </c>
      <c r="P588" s="222" t="n">
        <v>95</v>
      </c>
      <c r="Q588" s="43" t="inlineStr">
        <is>
          <t>202604_LIXIL_サーモスＬ_業務用資料集_完成品価格表.pdf</t>
        </is>
      </c>
      <c r="R588" s="43" t="inlineStr">
        <is>
          <t>規格呼称は親品種で確認済み。固有仕様ごとの価格設定有無（＿＿表示等）は次QAで最終確定。</t>
        </is>
      </c>
      <c r="S588" s="42" t="inlineStr">
        <is>
          <t>無印</t>
        </is>
      </c>
      <c r="T588" s="42" t="n">
        <v>94</v>
      </c>
      <c r="U588" s="42" t="inlineStr">
        <is>
          <t>P94|無印</t>
        </is>
      </c>
      <c r="V588" s="42" t="inlineStr">
        <is>
          <t>同一価格表・前頁凡例を継承</t>
        </is>
      </c>
    </row>
    <row r="589">
      <c r="A589" s="43" t="inlineStr">
        <is>
          <t>SZ-SL-000586</t>
        </is>
      </c>
      <c r="B589" s="43" t="inlineStr">
        <is>
          <t>SER-LIX-SAMOSL</t>
        </is>
      </c>
      <c r="C589" s="43" t="inlineStr">
        <is>
          <t>WT-SL-MENKOSHI-HIKI</t>
        </is>
      </c>
      <c r="D589" s="43" t="inlineStr">
        <is>
          <t>面格子付引違い窓</t>
        </is>
      </c>
      <c r="E589" s="43" t="inlineStr">
        <is>
          <t>SP-SL-GRILLE-H</t>
        </is>
      </c>
      <c r="F589" s="43" t="inlineStr">
        <is>
          <t>在来・204</t>
        </is>
      </c>
      <c r="G589" s="43" t="inlineStr">
        <is>
          <t>11405</t>
        </is>
      </c>
      <c r="H589" s="43" t="inlineStr">
        <is>
          <t>114</t>
        </is>
      </c>
      <c r="I589" s="43" t="inlineStr">
        <is>
          <t>05</t>
        </is>
      </c>
      <c r="J589" s="222" t="n">
        <v>1185</v>
      </c>
      <c r="K589" s="222" t="n">
        <v>570</v>
      </c>
      <c r="L589" s="43" t="inlineStr">
        <is>
          <t>在来・204</t>
        </is>
      </c>
      <c r="M589" s="178" t="b">
        <v>1</v>
      </c>
      <c r="N589" s="43" t="inlineStr">
        <is>
          <t>カタログ個別可否確認済み</t>
        </is>
      </c>
      <c r="O589" s="222" t="n">
        <v>97</v>
      </c>
      <c r="P589" s="222" t="n">
        <v>95</v>
      </c>
      <c r="Q589" s="43" t="inlineStr">
        <is>
          <t>202604_LIXIL_サーモスＬ_業務用資料集_完成品価格表.pdf</t>
        </is>
      </c>
      <c r="R589" s="43" t="inlineStr">
        <is>
          <t>規格呼称は親品種で確認済み。固有仕様ごとの価格設定有無（＿＿表示等）は次QAで最終確定。</t>
        </is>
      </c>
      <c r="S589" s="42" t="inlineStr">
        <is>
          <t>無印</t>
        </is>
      </c>
      <c r="T589" s="42" t="n">
        <v>94</v>
      </c>
      <c r="U589" s="42" t="inlineStr">
        <is>
          <t>P94|無印</t>
        </is>
      </c>
      <c r="V589" s="42" t="inlineStr">
        <is>
          <t>同一価格表・前頁凡例を継承</t>
        </is>
      </c>
    </row>
    <row r="590">
      <c r="A590" s="43" t="inlineStr">
        <is>
          <t>SZ-SL-000587</t>
        </is>
      </c>
      <c r="B590" s="43" t="inlineStr">
        <is>
          <t>SER-LIX-SAMOSL</t>
        </is>
      </c>
      <c r="C590" s="43" t="inlineStr">
        <is>
          <t>WT-SL-MENKOSHI-HIKI</t>
        </is>
      </c>
      <c r="D590" s="43" t="inlineStr">
        <is>
          <t>面格子付引違い窓</t>
        </is>
      </c>
      <c r="E590" s="43" t="inlineStr">
        <is>
          <t>SP-SL-GRILLE-H</t>
        </is>
      </c>
      <c r="F590" s="43" t="inlineStr">
        <is>
          <t>在来・204</t>
        </is>
      </c>
      <c r="G590" s="43" t="inlineStr">
        <is>
          <t>11905</t>
        </is>
      </c>
      <c r="H590" s="43" t="inlineStr">
        <is>
          <t>119</t>
        </is>
      </c>
      <c r="I590" s="43" t="inlineStr">
        <is>
          <t>05</t>
        </is>
      </c>
      <c r="J590" s="222" t="n">
        <v>1235</v>
      </c>
      <c r="K590" s="222" t="n">
        <v>570</v>
      </c>
      <c r="L590" s="43" t="inlineStr">
        <is>
          <t>在来・204</t>
        </is>
      </c>
      <c r="M590" s="178" t="b">
        <v>1</v>
      </c>
      <c r="N590" s="43" t="inlineStr">
        <is>
          <t>カタログ個別可否確認済み</t>
        </is>
      </c>
      <c r="O590" s="222" t="n">
        <v>97</v>
      </c>
      <c r="P590" s="222" t="n">
        <v>95</v>
      </c>
      <c r="Q590" s="43" t="inlineStr">
        <is>
          <t>202604_LIXIL_サーモスＬ_業務用資料集_完成品価格表.pdf</t>
        </is>
      </c>
      <c r="R590" s="43" t="inlineStr">
        <is>
          <t>規格呼称は親品種で確認済み。固有仕様ごとの価格設定有無（＿＿表示等）は次QAで最終確定。</t>
        </is>
      </c>
      <c r="S590" s="42" t="inlineStr">
        <is>
          <t>無印</t>
        </is>
      </c>
      <c r="T590" s="42" t="n">
        <v>94</v>
      </c>
      <c r="U590" s="42" t="inlineStr">
        <is>
          <t>P94|無印</t>
        </is>
      </c>
      <c r="V590" s="42" t="inlineStr">
        <is>
          <t>同一価格表・前頁凡例を継承</t>
        </is>
      </c>
    </row>
    <row r="591">
      <c r="A591" s="43" t="inlineStr">
        <is>
          <t>SZ-SL-000588</t>
        </is>
      </c>
      <c r="B591" s="43" t="inlineStr">
        <is>
          <t>SER-LIX-SAMOSL</t>
        </is>
      </c>
      <c r="C591" s="43" t="inlineStr">
        <is>
          <t>WT-SL-MENKOSHI-HIKI</t>
        </is>
      </c>
      <c r="D591" s="43" t="inlineStr">
        <is>
          <t>面格子付引違い窓</t>
        </is>
      </c>
      <c r="E591" s="43" t="inlineStr">
        <is>
          <t>SP-SL-GRILLE-H</t>
        </is>
      </c>
      <c r="F591" s="43" t="inlineStr">
        <is>
          <t>在来・204</t>
        </is>
      </c>
      <c r="G591" s="43" t="inlineStr">
        <is>
          <t>12805</t>
        </is>
      </c>
      <c r="H591" s="43" t="inlineStr">
        <is>
          <t>128</t>
        </is>
      </c>
      <c r="I591" s="43" t="inlineStr">
        <is>
          <t>05</t>
        </is>
      </c>
      <c r="J591" s="222" t="n">
        <v>1320</v>
      </c>
      <c r="K591" s="222" t="n">
        <v>570</v>
      </c>
      <c r="L591" s="43" t="inlineStr">
        <is>
          <t>在来・204</t>
        </is>
      </c>
      <c r="M591" s="178" t="b">
        <v>1</v>
      </c>
      <c r="N591" s="43" t="inlineStr">
        <is>
          <t>カタログ個別可否確認済み</t>
        </is>
      </c>
      <c r="O591" s="222" t="n">
        <v>97</v>
      </c>
      <c r="P591" s="222" t="n">
        <v>95</v>
      </c>
      <c r="Q591" s="43" t="inlineStr">
        <is>
          <t>202604_LIXIL_サーモスＬ_業務用資料集_完成品価格表.pdf</t>
        </is>
      </c>
      <c r="R591" s="43" t="inlineStr">
        <is>
          <t>規格呼称は親品種で確認済み。固有仕様ごとの価格設定有無（＿＿表示等）は次QAで最終確定。</t>
        </is>
      </c>
      <c r="S591" s="42" t="inlineStr">
        <is>
          <t>無印</t>
        </is>
      </c>
      <c r="T591" s="42" t="n">
        <v>94</v>
      </c>
      <c r="U591" s="42" t="inlineStr">
        <is>
          <t>P94|無印</t>
        </is>
      </c>
      <c r="V591" s="42" t="inlineStr">
        <is>
          <t>同一価格表・前頁凡例を継承</t>
        </is>
      </c>
    </row>
    <row r="592">
      <c r="A592" s="43" t="inlineStr">
        <is>
          <t>SZ-SL-000589</t>
        </is>
      </c>
      <c r="B592" s="43" t="inlineStr">
        <is>
          <t>SER-LIX-SAMOSL</t>
        </is>
      </c>
      <c r="C592" s="43" t="inlineStr">
        <is>
          <t>WT-SL-MENKOSHI-HIKI</t>
        </is>
      </c>
      <c r="D592" s="43" t="inlineStr">
        <is>
          <t>面格子付引違い窓</t>
        </is>
      </c>
      <c r="E592" s="43" t="inlineStr">
        <is>
          <t>SP-SL-GRILLE-IGETA</t>
        </is>
      </c>
      <c r="F592" s="43" t="inlineStr">
        <is>
          <t>在来・204</t>
        </is>
      </c>
      <c r="G592" s="43" t="inlineStr">
        <is>
          <t>08005</t>
        </is>
      </c>
      <c r="H592" s="43" t="inlineStr">
        <is>
          <t>080</t>
        </is>
      </c>
      <c r="I592" s="43" t="inlineStr">
        <is>
          <t>05</t>
        </is>
      </c>
      <c r="J592" s="222" t="n">
        <v>845</v>
      </c>
      <c r="K592" s="222" t="n">
        <v>570</v>
      </c>
      <c r="L592" s="43" t="inlineStr">
        <is>
          <t>在来・204</t>
        </is>
      </c>
      <c r="M592" s="178" t="b">
        <v>1</v>
      </c>
      <c r="N592" s="43" t="inlineStr">
        <is>
          <t>カタログ個別可否確認済み</t>
        </is>
      </c>
      <c r="O592" s="222" t="n">
        <v>97</v>
      </c>
      <c r="P592" s="222" t="n">
        <v>95</v>
      </c>
      <c r="Q592" s="43" t="inlineStr">
        <is>
          <t>202604_LIXIL_サーモスＬ_業務用資料集_完成品価格表.pdf</t>
        </is>
      </c>
      <c r="R592" s="43" t="inlineStr">
        <is>
          <t>規格呼称は親品種で確認済み。固有仕様ごとの価格設定有無（＿＿表示等）は次QAで最終確定。</t>
        </is>
      </c>
      <c r="S592" s="42" t="inlineStr">
        <is>
          <t>無印</t>
        </is>
      </c>
      <c r="T592" s="42" t="n">
        <v>94</v>
      </c>
      <c r="U592" s="42" t="inlineStr">
        <is>
          <t>P94|無印</t>
        </is>
      </c>
      <c r="V592" s="42" t="inlineStr">
        <is>
          <t>同一価格表・前頁凡例を継承</t>
        </is>
      </c>
    </row>
    <row r="593">
      <c r="A593" s="43" t="inlineStr">
        <is>
          <t>SZ-SL-000590</t>
        </is>
      </c>
      <c r="B593" s="43" t="inlineStr">
        <is>
          <t>SER-LIX-SAMOSL</t>
        </is>
      </c>
      <c r="C593" s="43" t="inlineStr">
        <is>
          <t>WT-SL-MENKOSHI-HIKI</t>
        </is>
      </c>
      <c r="D593" s="43" t="inlineStr">
        <is>
          <t>面格子付引違い窓</t>
        </is>
      </c>
      <c r="E593" s="43" t="inlineStr">
        <is>
          <t>SP-SL-GRILLE-IGETA</t>
        </is>
      </c>
      <c r="F593" s="43" t="inlineStr">
        <is>
          <t>在来・204</t>
        </is>
      </c>
      <c r="G593" s="43" t="inlineStr">
        <is>
          <t>08305</t>
        </is>
      </c>
      <c r="H593" s="43" t="inlineStr">
        <is>
          <t>083</t>
        </is>
      </c>
      <c r="I593" s="43" t="inlineStr">
        <is>
          <t>05</t>
        </is>
      </c>
      <c r="J593" s="222" t="n">
        <v>870</v>
      </c>
      <c r="K593" s="222" t="n">
        <v>570</v>
      </c>
      <c r="L593" s="43" t="inlineStr">
        <is>
          <t>在来・204</t>
        </is>
      </c>
      <c r="M593" s="178" t="b">
        <v>1</v>
      </c>
      <c r="N593" s="43" t="inlineStr">
        <is>
          <t>カタログ個別可否確認済み</t>
        </is>
      </c>
      <c r="O593" s="222" t="n">
        <v>97</v>
      </c>
      <c r="P593" s="222" t="n">
        <v>95</v>
      </c>
      <c r="Q593" s="43" t="inlineStr">
        <is>
          <t>202604_LIXIL_サーモスＬ_業務用資料集_完成品価格表.pdf</t>
        </is>
      </c>
      <c r="R593" s="43" t="inlineStr">
        <is>
          <t>規格呼称は親品種で確認済み。固有仕様ごとの価格設定有無（＿＿表示等）は次QAで最終確定。</t>
        </is>
      </c>
      <c r="S593" s="42" t="inlineStr">
        <is>
          <t>無印</t>
        </is>
      </c>
      <c r="T593" s="42" t="n">
        <v>94</v>
      </c>
      <c r="U593" s="42" t="inlineStr">
        <is>
          <t>P94|無印</t>
        </is>
      </c>
      <c r="V593" s="42" t="inlineStr">
        <is>
          <t>同一価格表・前頁凡例を継承</t>
        </is>
      </c>
    </row>
    <row r="594">
      <c r="A594" s="43" t="inlineStr">
        <is>
          <t>SZ-SL-000591</t>
        </is>
      </c>
      <c r="B594" s="43" t="inlineStr">
        <is>
          <t>SER-LIX-SAMOSL</t>
        </is>
      </c>
      <c r="C594" s="43" t="inlineStr">
        <is>
          <t>WT-SL-MENKOSHI-HIKI</t>
        </is>
      </c>
      <c r="D594" s="43" t="inlineStr">
        <is>
          <t>面格子付引違い窓</t>
        </is>
      </c>
      <c r="E594" s="43" t="inlineStr">
        <is>
          <t>SP-SL-GRILLE-IGETA</t>
        </is>
      </c>
      <c r="F594" s="43" t="inlineStr">
        <is>
          <t>在来・204</t>
        </is>
      </c>
      <c r="G594" s="43" t="inlineStr">
        <is>
          <t>11405</t>
        </is>
      </c>
      <c r="H594" s="43" t="inlineStr">
        <is>
          <t>114</t>
        </is>
      </c>
      <c r="I594" s="43" t="inlineStr">
        <is>
          <t>05</t>
        </is>
      </c>
      <c r="J594" s="222" t="n">
        <v>1185</v>
      </c>
      <c r="K594" s="222" t="n">
        <v>570</v>
      </c>
      <c r="L594" s="43" t="inlineStr">
        <is>
          <t>在来・204</t>
        </is>
      </c>
      <c r="M594" s="178" t="b">
        <v>1</v>
      </c>
      <c r="N594" s="43" t="inlineStr">
        <is>
          <t>カタログ個別可否確認済み</t>
        </is>
      </c>
      <c r="O594" s="222" t="n">
        <v>97</v>
      </c>
      <c r="P594" s="222" t="n">
        <v>95</v>
      </c>
      <c r="Q594" s="43" t="inlineStr">
        <is>
          <t>202604_LIXIL_サーモスＬ_業務用資料集_完成品価格表.pdf</t>
        </is>
      </c>
      <c r="R594" s="43" t="inlineStr">
        <is>
          <t>規格呼称は親品種で確認済み。固有仕様ごとの価格設定有無（＿＿表示等）は次QAで最終確定。</t>
        </is>
      </c>
      <c r="S594" s="42" t="inlineStr">
        <is>
          <t>無印</t>
        </is>
      </c>
      <c r="T594" s="42" t="n">
        <v>94</v>
      </c>
      <c r="U594" s="42" t="inlineStr">
        <is>
          <t>P94|無印</t>
        </is>
      </c>
      <c r="V594" s="42" t="inlineStr">
        <is>
          <t>同一価格表・前頁凡例を継承</t>
        </is>
      </c>
    </row>
    <row r="595">
      <c r="A595" s="43" t="inlineStr">
        <is>
          <t>SZ-SL-000592</t>
        </is>
      </c>
      <c r="B595" s="43" t="inlineStr">
        <is>
          <t>SER-LIX-SAMOSL</t>
        </is>
      </c>
      <c r="C595" s="43" t="inlineStr">
        <is>
          <t>WT-SL-MENKOSHI-HIKI</t>
        </is>
      </c>
      <c r="D595" s="43" t="inlineStr">
        <is>
          <t>面格子付引違い窓</t>
        </is>
      </c>
      <c r="E595" s="43" t="inlineStr">
        <is>
          <t>SP-SL-GRILLE-IGETA</t>
        </is>
      </c>
      <c r="F595" s="43" t="inlineStr">
        <is>
          <t>在来・204</t>
        </is>
      </c>
      <c r="G595" s="43" t="inlineStr">
        <is>
          <t>11905</t>
        </is>
      </c>
      <c r="H595" s="43" t="inlineStr">
        <is>
          <t>119</t>
        </is>
      </c>
      <c r="I595" s="43" t="inlineStr">
        <is>
          <t>05</t>
        </is>
      </c>
      <c r="J595" s="222" t="n">
        <v>1235</v>
      </c>
      <c r="K595" s="222" t="n">
        <v>570</v>
      </c>
      <c r="L595" s="43" t="inlineStr">
        <is>
          <t>在来・204</t>
        </is>
      </c>
      <c r="M595" s="178" t="b">
        <v>1</v>
      </c>
      <c r="N595" s="43" t="inlineStr">
        <is>
          <t>カタログ個別可否確認済み</t>
        </is>
      </c>
      <c r="O595" s="222" t="n">
        <v>97</v>
      </c>
      <c r="P595" s="222" t="n">
        <v>95</v>
      </c>
      <c r="Q595" s="43" t="inlineStr">
        <is>
          <t>202604_LIXIL_サーモスＬ_業務用資料集_完成品価格表.pdf</t>
        </is>
      </c>
      <c r="R595" s="43" t="inlineStr">
        <is>
          <t>規格呼称は親品種で確認済み。固有仕様ごとの価格設定有無（＿＿表示等）は次QAで最終確定。</t>
        </is>
      </c>
      <c r="S595" s="42" t="inlineStr">
        <is>
          <t>無印</t>
        </is>
      </c>
      <c r="T595" s="42" t="n">
        <v>94</v>
      </c>
      <c r="U595" s="42" t="inlineStr">
        <is>
          <t>P94|無印</t>
        </is>
      </c>
      <c r="V595" s="42" t="inlineStr">
        <is>
          <t>同一価格表・前頁凡例を継承</t>
        </is>
      </c>
    </row>
    <row r="596">
      <c r="A596" s="43" t="inlineStr">
        <is>
          <t>SZ-SL-000593</t>
        </is>
      </c>
      <c r="B596" s="43" t="inlineStr">
        <is>
          <t>SER-LIX-SAMOSL</t>
        </is>
      </c>
      <c r="C596" s="43" t="inlineStr">
        <is>
          <t>WT-SL-MENKOSHI-HIKI</t>
        </is>
      </c>
      <c r="D596" s="43" t="inlineStr">
        <is>
          <t>面格子付引違い窓</t>
        </is>
      </c>
      <c r="E596" s="43" t="inlineStr">
        <is>
          <t>SP-SL-GRILLE-IGETA</t>
        </is>
      </c>
      <c r="F596" s="43" t="inlineStr">
        <is>
          <t>在来・204</t>
        </is>
      </c>
      <c r="G596" s="43" t="inlineStr">
        <is>
          <t>12805</t>
        </is>
      </c>
      <c r="H596" s="43" t="inlineStr">
        <is>
          <t>128</t>
        </is>
      </c>
      <c r="I596" s="43" t="inlineStr">
        <is>
          <t>05</t>
        </is>
      </c>
      <c r="J596" s="222" t="n">
        <v>1320</v>
      </c>
      <c r="K596" s="222" t="n">
        <v>570</v>
      </c>
      <c r="L596" s="43" t="inlineStr">
        <is>
          <t>在来・204</t>
        </is>
      </c>
      <c r="M596" s="178" t="b">
        <v>1</v>
      </c>
      <c r="N596" s="43" t="inlineStr">
        <is>
          <t>カタログ個別可否確認済み</t>
        </is>
      </c>
      <c r="O596" s="222" t="n">
        <v>97</v>
      </c>
      <c r="P596" s="222" t="n">
        <v>95</v>
      </c>
      <c r="Q596" s="43" t="inlineStr">
        <is>
          <t>202604_LIXIL_サーモスＬ_業務用資料集_完成品価格表.pdf</t>
        </is>
      </c>
      <c r="R596" s="43" t="inlineStr">
        <is>
          <t>規格呼称は親品種で確認済み。固有仕様ごとの価格設定有無（＿＿表示等）は次QAで最終確定。</t>
        </is>
      </c>
      <c r="S596" s="42" t="inlineStr">
        <is>
          <t>無印</t>
        </is>
      </c>
      <c r="T596" s="42" t="n">
        <v>94</v>
      </c>
      <c r="U596" s="42" t="inlineStr">
        <is>
          <t>P94|無印</t>
        </is>
      </c>
      <c r="V596" s="42" t="inlineStr">
        <is>
          <t>同一価格表・前頁凡例を継承</t>
        </is>
      </c>
    </row>
    <row r="597">
      <c r="A597" s="43" t="inlineStr">
        <is>
          <t>SZ-SL-000594</t>
        </is>
      </c>
      <c r="B597" s="43" t="inlineStr">
        <is>
          <t>SER-LIX-SAMOSL</t>
        </is>
      </c>
      <c r="C597" s="43" t="inlineStr">
        <is>
          <t>WT-SL-MENKOSHI-HIKI</t>
        </is>
      </c>
      <c r="D597" s="43" t="inlineStr">
        <is>
          <t>面格子付引違い窓</t>
        </is>
      </c>
      <c r="E597" s="43" t="inlineStr">
        <is>
          <t>SP-SL-GRILLE-V</t>
        </is>
      </c>
      <c r="F597" s="43" t="inlineStr">
        <is>
          <t>在来・204</t>
        </is>
      </c>
      <c r="G597" s="43" t="inlineStr">
        <is>
          <t>08005</t>
        </is>
      </c>
      <c r="H597" s="43" t="inlineStr">
        <is>
          <t>080</t>
        </is>
      </c>
      <c r="I597" s="43" t="inlineStr">
        <is>
          <t>05</t>
        </is>
      </c>
      <c r="J597" s="222" t="n">
        <v>845</v>
      </c>
      <c r="K597" s="222" t="n">
        <v>570</v>
      </c>
      <c r="L597" s="43" t="inlineStr">
        <is>
          <t>在来・204</t>
        </is>
      </c>
      <c r="M597" s="178" t="b">
        <v>1</v>
      </c>
      <c r="N597" s="43" t="inlineStr">
        <is>
          <t>カタログ個別可否確認済み</t>
        </is>
      </c>
      <c r="O597" s="222" t="n">
        <v>97</v>
      </c>
      <c r="P597" s="222" t="n">
        <v>95</v>
      </c>
      <c r="Q597" s="43" t="inlineStr">
        <is>
          <t>202604_LIXIL_サーモスＬ_業務用資料集_完成品価格表.pdf</t>
        </is>
      </c>
      <c r="R597" s="43" t="inlineStr">
        <is>
          <t>規格呼称は親品種で確認済み。固有仕様ごとの価格設定有無（＿＿表示等）は次QAで最終確定。</t>
        </is>
      </c>
      <c r="S597" s="42" t="inlineStr">
        <is>
          <t>無印</t>
        </is>
      </c>
      <c r="T597" s="42" t="n">
        <v>94</v>
      </c>
      <c r="U597" s="42" t="inlineStr">
        <is>
          <t>P94|無印</t>
        </is>
      </c>
      <c r="V597" s="42" t="inlineStr">
        <is>
          <t>同一価格表・前頁凡例を継承</t>
        </is>
      </c>
    </row>
    <row r="598">
      <c r="A598" s="43" t="inlineStr">
        <is>
          <t>SZ-SL-000595</t>
        </is>
      </c>
      <c r="B598" s="43" t="inlineStr">
        <is>
          <t>SER-LIX-SAMOSL</t>
        </is>
      </c>
      <c r="C598" s="43" t="inlineStr">
        <is>
          <t>WT-SL-MENKOSHI-HIKI</t>
        </is>
      </c>
      <c r="D598" s="43" t="inlineStr">
        <is>
          <t>面格子付引違い窓</t>
        </is>
      </c>
      <c r="E598" s="43" t="inlineStr">
        <is>
          <t>SP-SL-GRILLE-V</t>
        </is>
      </c>
      <c r="F598" s="43" t="inlineStr">
        <is>
          <t>在来・204</t>
        </is>
      </c>
      <c r="G598" s="43" t="inlineStr">
        <is>
          <t>08305</t>
        </is>
      </c>
      <c r="H598" s="43" t="inlineStr">
        <is>
          <t>083</t>
        </is>
      </c>
      <c r="I598" s="43" t="inlineStr">
        <is>
          <t>05</t>
        </is>
      </c>
      <c r="J598" s="222" t="n">
        <v>870</v>
      </c>
      <c r="K598" s="222" t="n">
        <v>570</v>
      </c>
      <c r="L598" s="43" t="inlineStr">
        <is>
          <t>在来・204</t>
        </is>
      </c>
      <c r="M598" s="178" t="b">
        <v>1</v>
      </c>
      <c r="N598" s="43" t="inlineStr">
        <is>
          <t>カタログ個別可否確認済み</t>
        </is>
      </c>
      <c r="O598" s="222" t="n">
        <v>97</v>
      </c>
      <c r="P598" s="222" t="n">
        <v>95</v>
      </c>
      <c r="Q598" s="43" t="inlineStr">
        <is>
          <t>202604_LIXIL_サーモスＬ_業務用資料集_完成品価格表.pdf</t>
        </is>
      </c>
      <c r="R598" s="43" t="inlineStr">
        <is>
          <t>規格呼称は親品種で確認済み。固有仕様ごとの価格設定有無（＿＿表示等）は次QAで最終確定。</t>
        </is>
      </c>
      <c r="S598" s="42" t="inlineStr">
        <is>
          <t>無印</t>
        </is>
      </c>
      <c r="T598" s="42" t="n">
        <v>94</v>
      </c>
      <c r="U598" s="42" t="inlineStr">
        <is>
          <t>P94|無印</t>
        </is>
      </c>
      <c r="V598" s="42" t="inlineStr">
        <is>
          <t>同一価格表・前頁凡例を継承</t>
        </is>
      </c>
    </row>
    <row r="599">
      <c r="A599" s="43" t="inlineStr">
        <is>
          <t>SZ-SL-000596</t>
        </is>
      </c>
      <c r="B599" s="43" t="inlineStr">
        <is>
          <t>SER-LIX-SAMOSL</t>
        </is>
      </c>
      <c r="C599" s="43" t="inlineStr">
        <is>
          <t>WT-SL-MENKOSHI-HIKI</t>
        </is>
      </c>
      <c r="D599" s="43" t="inlineStr">
        <is>
          <t>面格子付引違い窓</t>
        </is>
      </c>
      <c r="E599" s="43" t="inlineStr">
        <is>
          <t>SP-SL-GRILLE-V</t>
        </is>
      </c>
      <c r="F599" s="43" t="inlineStr">
        <is>
          <t>在来・204</t>
        </is>
      </c>
      <c r="G599" s="43" t="inlineStr">
        <is>
          <t>11405</t>
        </is>
      </c>
      <c r="H599" s="43" t="inlineStr">
        <is>
          <t>114</t>
        </is>
      </c>
      <c r="I599" s="43" t="inlineStr">
        <is>
          <t>05</t>
        </is>
      </c>
      <c r="J599" s="222" t="n">
        <v>1185</v>
      </c>
      <c r="K599" s="222" t="n">
        <v>570</v>
      </c>
      <c r="L599" s="43" t="inlineStr">
        <is>
          <t>在来・204</t>
        </is>
      </c>
      <c r="M599" s="178" t="b">
        <v>1</v>
      </c>
      <c r="N599" s="43" t="inlineStr">
        <is>
          <t>カタログ個別可否確認済み</t>
        </is>
      </c>
      <c r="O599" s="222" t="n">
        <v>97</v>
      </c>
      <c r="P599" s="222" t="n">
        <v>95</v>
      </c>
      <c r="Q599" s="43" t="inlineStr">
        <is>
          <t>202604_LIXIL_サーモスＬ_業務用資料集_完成品価格表.pdf</t>
        </is>
      </c>
      <c r="R599" s="43" t="inlineStr">
        <is>
          <t>規格呼称は親品種で確認済み。固有仕様ごとの価格設定有無（＿＿表示等）は次QAで最終確定。</t>
        </is>
      </c>
      <c r="S599" s="42" t="inlineStr">
        <is>
          <t>無印</t>
        </is>
      </c>
      <c r="T599" s="42" t="n">
        <v>94</v>
      </c>
      <c r="U599" s="42" t="inlineStr">
        <is>
          <t>P94|無印</t>
        </is>
      </c>
      <c r="V599" s="42" t="inlineStr">
        <is>
          <t>同一価格表・前頁凡例を継承</t>
        </is>
      </c>
    </row>
    <row r="600">
      <c r="A600" s="43" t="inlineStr">
        <is>
          <t>SZ-SL-000597</t>
        </is>
      </c>
      <c r="B600" s="43" t="inlineStr">
        <is>
          <t>SER-LIX-SAMOSL</t>
        </is>
      </c>
      <c r="C600" s="43" t="inlineStr">
        <is>
          <t>WT-SL-MENKOSHI-HIKI</t>
        </is>
      </c>
      <c r="D600" s="43" t="inlineStr">
        <is>
          <t>面格子付引違い窓</t>
        </is>
      </c>
      <c r="E600" s="43" t="inlineStr">
        <is>
          <t>SP-SL-GRILLE-V</t>
        </is>
      </c>
      <c r="F600" s="43" t="inlineStr">
        <is>
          <t>在来・204</t>
        </is>
      </c>
      <c r="G600" s="43" t="inlineStr">
        <is>
          <t>11905</t>
        </is>
      </c>
      <c r="H600" s="43" t="inlineStr">
        <is>
          <t>119</t>
        </is>
      </c>
      <c r="I600" s="43" t="inlineStr">
        <is>
          <t>05</t>
        </is>
      </c>
      <c r="J600" s="222" t="n">
        <v>1235</v>
      </c>
      <c r="K600" s="222" t="n">
        <v>570</v>
      </c>
      <c r="L600" s="43" t="inlineStr">
        <is>
          <t>在来・204</t>
        </is>
      </c>
      <c r="M600" s="178" t="b">
        <v>1</v>
      </c>
      <c r="N600" s="43" t="inlineStr">
        <is>
          <t>カタログ個別可否確認済み</t>
        </is>
      </c>
      <c r="O600" s="222" t="n">
        <v>97</v>
      </c>
      <c r="P600" s="222" t="n">
        <v>95</v>
      </c>
      <c r="Q600" s="43" t="inlineStr">
        <is>
          <t>202604_LIXIL_サーモスＬ_業務用資料集_完成品価格表.pdf</t>
        </is>
      </c>
      <c r="R600" s="43" t="inlineStr">
        <is>
          <t>規格呼称は親品種で確認済み。固有仕様ごとの価格設定有無（＿＿表示等）は次QAで最終確定。</t>
        </is>
      </c>
      <c r="S600" s="42" t="inlineStr">
        <is>
          <t>無印</t>
        </is>
      </c>
      <c r="T600" s="42" t="n">
        <v>94</v>
      </c>
      <c r="U600" s="42" t="inlineStr">
        <is>
          <t>P94|無印</t>
        </is>
      </c>
      <c r="V600" s="42" t="inlineStr">
        <is>
          <t>同一価格表・前頁凡例を継承</t>
        </is>
      </c>
    </row>
    <row r="601">
      <c r="A601" s="43" t="inlineStr">
        <is>
          <t>SZ-SL-000598</t>
        </is>
      </c>
      <c r="B601" s="43" t="inlineStr">
        <is>
          <t>SER-LIX-SAMOSL</t>
        </is>
      </c>
      <c r="C601" s="43" t="inlineStr">
        <is>
          <t>WT-SL-MENKOSHI-HIKI</t>
        </is>
      </c>
      <c r="D601" s="43" t="inlineStr">
        <is>
          <t>面格子付引違い窓</t>
        </is>
      </c>
      <c r="E601" s="43" t="inlineStr">
        <is>
          <t>SP-SL-GRILLE-V</t>
        </is>
      </c>
      <c r="F601" s="43" t="inlineStr">
        <is>
          <t>在来・204</t>
        </is>
      </c>
      <c r="G601" s="43" t="inlineStr">
        <is>
          <t>12805</t>
        </is>
      </c>
      <c r="H601" s="43" t="inlineStr">
        <is>
          <t>128</t>
        </is>
      </c>
      <c r="I601" s="43" t="inlineStr">
        <is>
          <t>05</t>
        </is>
      </c>
      <c r="J601" s="222" t="n">
        <v>1320</v>
      </c>
      <c r="K601" s="222" t="n">
        <v>570</v>
      </c>
      <c r="L601" s="43" t="inlineStr">
        <is>
          <t>在来・204</t>
        </is>
      </c>
      <c r="M601" s="178" t="b">
        <v>1</v>
      </c>
      <c r="N601" s="43" t="inlineStr">
        <is>
          <t>カタログ個別可否確認済み</t>
        </is>
      </c>
      <c r="O601" s="222" t="n">
        <v>97</v>
      </c>
      <c r="P601" s="222" t="n">
        <v>95</v>
      </c>
      <c r="Q601" s="43" t="inlineStr">
        <is>
          <t>202604_LIXIL_サーモスＬ_業務用資料集_完成品価格表.pdf</t>
        </is>
      </c>
      <c r="R601" s="43" t="inlineStr">
        <is>
          <t>規格呼称は親品種で確認済み。固有仕様ごとの価格設定有無（＿＿表示等）は次QAで最終確定。</t>
        </is>
      </c>
      <c r="S601" s="42" t="inlineStr">
        <is>
          <t>無印</t>
        </is>
      </c>
      <c r="T601" s="42" t="n">
        <v>94</v>
      </c>
      <c r="U601" s="42" t="inlineStr">
        <is>
          <t>P94|無印</t>
        </is>
      </c>
      <c r="V601" s="42" t="inlineStr">
        <is>
          <t>同一価格表・前頁凡例を継承</t>
        </is>
      </c>
    </row>
    <row r="602">
      <c r="A602" s="43" t="inlineStr">
        <is>
          <t>SZ-SL-000599</t>
        </is>
      </c>
      <c r="B602" s="43" t="inlineStr">
        <is>
          <t>SER-LIX-SAMOSL</t>
        </is>
      </c>
      <c r="C602" s="43" t="inlineStr">
        <is>
          <t>WT-SL-MENKOSHI-HIKI</t>
        </is>
      </c>
      <c r="D602" s="43" t="inlineStr">
        <is>
          <t>面格子付引違い窓</t>
        </is>
      </c>
      <c r="E602" s="43" t="inlineStr">
        <is>
          <t>SP-SL-GRILLE-DIA</t>
        </is>
      </c>
      <c r="F602" s="43" t="inlineStr">
        <is>
          <t>在来・204</t>
        </is>
      </c>
      <c r="G602" s="43" t="inlineStr">
        <is>
          <t>13305</t>
        </is>
      </c>
      <c r="H602" s="43" t="inlineStr">
        <is>
          <t>133</t>
        </is>
      </c>
      <c r="I602" s="43" t="inlineStr">
        <is>
          <t>05</t>
        </is>
      </c>
      <c r="J602" s="222" t="n">
        <v>1370</v>
      </c>
      <c r="K602" s="222" t="n">
        <v>570</v>
      </c>
      <c r="L602" s="43" t="inlineStr">
        <is>
          <t>在来・204</t>
        </is>
      </c>
      <c r="M602" s="178" t="b">
        <v>1</v>
      </c>
      <c r="N602" s="43" t="inlineStr">
        <is>
          <t>カタログ個別可否確認済み</t>
        </is>
      </c>
      <c r="O602" s="222" t="n">
        <v>98</v>
      </c>
      <c r="P602" s="222" t="n">
        <v>96</v>
      </c>
      <c r="Q602" s="43" t="inlineStr">
        <is>
          <t>202604_LIXIL_サーモスＬ_業務用資料集_完成品価格表.pdf</t>
        </is>
      </c>
      <c r="R602" s="43" t="inlineStr">
        <is>
          <t>規格呼称は親品種で確認済み。固有仕様ごとの価格設定有無（＿＿表示等）は次QAで最終確定。</t>
        </is>
      </c>
      <c r="S602" s="42" t="inlineStr">
        <is>
          <t>無印</t>
        </is>
      </c>
      <c r="T602" s="42" t="n">
        <v>96</v>
      </c>
      <c r="U602" s="42" t="inlineStr">
        <is>
          <t>P96|無印</t>
        </is>
      </c>
      <c r="V602" s="42" t="inlineStr">
        <is>
          <t>同頁凡例へ直接連動</t>
        </is>
      </c>
    </row>
    <row r="603">
      <c r="A603" s="43" t="inlineStr">
        <is>
          <t>SZ-SL-000600</t>
        </is>
      </c>
      <c r="B603" s="43" t="inlineStr">
        <is>
          <t>SER-LIX-SAMOSL</t>
        </is>
      </c>
      <c r="C603" s="43" t="inlineStr">
        <is>
          <t>WT-SL-MENKOSHI-HIKI</t>
        </is>
      </c>
      <c r="D603" s="43" t="inlineStr">
        <is>
          <t>面格子付引違い窓</t>
        </is>
      </c>
      <c r="E603" s="43" t="inlineStr">
        <is>
          <t>SP-SL-GRILLE-DIA</t>
        </is>
      </c>
      <c r="F603" s="43" t="inlineStr">
        <is>
          <t>在来・204</t>
        </is>
      </c>
      <c r="G603" s="43" t="inlineStr">
        <is>
          <t>15005</t>
        </is>
      </c>
      <c r="H603" s="43" t="inlineStr">
        <is>
          <t>150</t>
        </is>
      </c>
      <c r="I603" s="43" t="inlineStr">
        <is>
          <t>05</t>
        </is>
      </c>
      <c r="J603" s="222" t="n">
        <v>1540</v>
      </c>
      <c r="K603" s="222" t="n">
        <v>570</v>
      </c>
      <c r="L603" s="43" t="inlineStr">
        <is>
          <t>在来・204</t>
        </is>
      </c>
      <c r="M603" s="178" t="b">
        <v>1</v>
      </c>
      <c r="N603" s="43" t="inlineStr">
        <is>
          <t>カタログ個別可否確認済み</t>
        </is>
      </c>
      <c r="O603" s="222" t="n">
        <v>98</v>
      </c>
      <c r="P603" s="222" t="n">
        <v>96</v>
      </c>
      <c r="Q603" s="43" t="inlineStr">
        <is>
          <t>202604_LIXIL_サーモスＬ_業務用資料集_完成品価格表.pdf</t>
        </is>
      </c>
      <c r="R603" s="43" t="inlineStr">
        <is>
          <t>規格呼称は親品種で確認済み。固有仕様ごとの価格設定有無（＿＿表示等）は次QAで最終確定。</t>
        </is>
      </c>
      <c r="S603" s="42" t="inlineStr">
        <is>
          <t>無印</t>
        </is>
      </c>
      <c r="T603" s="42" t="n">
        <v>96</v>
      </c>
      <c r="U603" s="42" t="inlineStr">
        <is>
          <t>P96|無印</t>
        </is>
      </c>
      <c r="V603" s="42" t="inlineStr">
        <is>
          <t>同頁凡例へ直接連動</t>
        </is>
      </c>
    </row>
    <row r="604">
      <c r="A604" s="43" t="inlineStr">
        <is>
          <t>SZ-SL-000601</t>
        </is>
      </c>
      <c r="B604" s="43" t="inlineStr">
        <is>
          <t>SER-LIX-SAMOSL</t>
        </is>
      </c>
      <c r="C604" s="43" t="inlineStr">
        <is>
          <t>WT-SL-MENKOSHI-HIKI</t>
        </is>
      </c>
      <c r="D604" s="43" t="inlineStr">
        <is>
          <t>面格子付引違い窓</t>
        </is>
      </c>
      <c r="E604" s="43" t="inlineStr">
        <is>
          <t>SP-SL-GRILLE-DIA</t>
        </is>
      </c>
      <c r="F604" s="43" t="inlineStr">
        <is>
          <t>在来・204</t>
        </is>
      </c>
      <c r="G604" s="43" t="inlineStr">
        <is>
          <t>16005</t>
        </is>
      </c>
      <c r="H604" s="43" t="inlineStr">
        <is>
          <t>160</t>
        </is>
      </c>
      <c r="I604" s="43" t="inlineStr">
        <is>
          <t>05</t>
        </is>
      </c>
      <c r="J604" s="222" t="n">
        <v>1640</v>
      </c>
      <c r="K604" s="222" t="n">
        <v>570</v>
      </c>
      <c r="L604" s="43" t="inlineStr">
        <is>
          <t>在来・204</t>
        </is>
      </c>
      <c r="M604" s="178" t="b">
        <v>1</v>
      </c>
      <c r="N604" s="43" t="inlineStr">
        <is>
          <t>カタログ個別可否確認済み</t>
        </is>
      </c>
      <c r="O604" s="222" t="n">
        <v>98</v>
      </c>
      <c r="P604" s="222" t="n">
        <v>96</v>
      </c>
      <c r="Q604" s="43" t="inlineStr">
        <is>
          <t>202604_LIXIL_サーモスＬ_業務用資料集_完成品価格表.pdf</t>
        </is>
      </c>
      <c r="R604" s="43" t="inlineStr">
        <is>
          <t>規格呼称は親品種で確認済み。固有仕様ごとの価格設定有無（＿＿表示等）は次QAで最終確定。</t>
        </is>
      </c>
      <c r="S604" s="42" t="inlineStr">
        <is>
          <t>無印</t>
        </is>
      </c>
      <c r="T604" s="42" t="n">
        <v>96</v>
      </c>
      <c r="U604" s="42" t="inlineStr">
        <is>
          <t>P96|無印</t>
        </is>
      </c>
      <c r="V604" s="42" t="inlineStr">
        <is>
          <t>同頁凡例へ直接連動</t>
        </is>
      </c>
    </row>
    <row r="605">
      <c r="A605" s="43" t="inlineStr">
        <is>
          <t>SZ-SL-000602</t>
        </is>
      </c>
      <c r="B605" s="43" t="inlineStr">
        <is>
          <t>SER-LIX-SAMOSL</t>
        </is>
      </c>
      <c r="C605" s="43" t="inlineStr">
        <is>
          <t>WT-SL-MENKOSHI-HIKI</t>
        </is>
      </c>
      <c r="D605" s="43" t="inlineStr">
        <is>
          <t>面格子付引違い窓</t>
        </is>
      </c>
      <c r="E605" s="43" t="inlineStr">
        <is>
          <t>SP-SL-GRILLE-DIA</t>
        </is>
      </c>
      <c r="F605" s="43" t="inlineStr">
        <is>
          <t>在来・204</t>
        </is>
      </c>
      <c r="G605" s="43" t="inlineStr">
        <is>
          <t>16505</t>
        </is>
      </c>
      <c r="H605" s="43" t="inlineStr">
        <is>
          <t>165</t>
        </is>
      </c>
      <c r="I605" s="43" t="inlineStr">
        <is>
          <t>05</t>
        </is>
      </c>
      <c r="J605" s="222" t="n">
        <v>1690</v>
      </c>
      <c r="K605" s="222" t="n">
        <v>570</v>
      </c>
      <c r="L605" s="43" t="inlineStr">
        <is>
          <t>在来・204</t>
        </is>
      </c>
      <c r="M605" s="178" t="b">
        <v>1</v>
      </c>
      <c r="N605" s="43" t="inlineStr">
        <is>
          <t>カタログ個別可否確認済み</t>
        </is>
      </c>
      <c r="O605" s="222" t="n">
        <v>98</v>
      </c>
      <c r="P605" s="222" t="n">
        <v>96</v>
      </c>
      <c r="Q605" s="43" t="inlineStr">
        <is>
          <t>202604_LIXIL_サーモスＬ_業務用資料集_完成品価格表.pdf</t>
        </is>
      </c>
      <c r="R605" s="43" t="inlineStr">
        <is>
          <t>規格呼称は親品種で確認済み。固有仕様ごとの価格設定有無（＿＿表示等）は次QAで最終確定。</t>
        </is>
      </c>
      <c r="S605" s="42" t="inlineStr">
        <is>
          <t>無印</t>
        </is>
      </c>
      <c r="T605" s="42" t="n">
        <v>96</v>
      </c>
      <c r="U605" s="42" t="inlineStr">
        <is>
          <t>P96|無印</t>
        </is>
      </c>
      <c r="V605" s="42" t="inlineStr">
        <is>
          <t>同頁凡例へ直接連動</t>
        </is>
      </c>
    </row>
    <row r="606">
      <c r="A606" s="43" t="inlineStr">
        <is>
          <t>SZ-SL-000603</t>
        </is>
      </c>
      <c r="B606" s="43" t="inlineStr">
        <is>
          <t>SER-LIX-SAMOSL</t>
        </is>
      </c>
      <c r="C606" s="43" t="inlineStr">
        <is>
          <t>WT-SL-MENKOSHI-HIKI</t>
        </is>
      </c>
      <c r="D606" s="43" t="inlineStr">
        <is>
          <t>面格子付引違い窓</t>
        </is>
      </c>
      <c r="E606" s="43" t="inlineStr">
        <is>
          <t>SP-SL-GRILLE-H</t>
        </is>
      </c>
      <c r="F606" s="43" t="inlineStr">
        <is>
          <t>在来・204</t>
        </is>
      </c>
      <c r="G606" s="43" t="inlineStr">
        <is>
          <t>13305</t>
        </is>
      </c>
      <c r="H606" s="43" t="inlineStr">
        <is>
          <t>133</t>
        </is>
      </c>
      <c r="I606" s="43" t="inlineStr">
        <is>
          <t>05</t>
        </is>
      </c>
      <c r="J606" s="222" t="n">
        <v>1370</v>
      </c>
      <c r="K606" s="222" t="n">
        <v>570</v>
      </c>
      <c r="L606" s="43" t="inlineStr">
        <is>
          <t>在来・204</t>
        </is>
      </c>
      <c r="M606" s="178" t="b">
        <v>1</v>
      </c>
      <c r="N606" s="43" t="inlineStr">
        <is>
          <t>カタログ個別可否確認済み</t>
        </is>
      </c>
      <c r="O606" s="222" t="n">
        <v>98</v>
      </c>
      <c r="P606" s="222" t="n">
        <v>96</v>
      </c>
      <c r="Q606" s="43" t="inlineStr">
        <is>
          <t>202604_LIXIL_サーモスＬ_業務用資料集_完成品価格表.pdf</t>
        </is>
      </c>
      <c r="R606" s="43" t="inlineStr">
        <is>
          <t>規格呼称は親品種で確認済み。固有仕様ごとの価格設定有無（＿＿表示等）は次QAで最終確定。</t>
        </is>
      </c>
      <c r="S606" s="42" t="inlineStr">
        <is>
          <t>無印</t>
        </is>
      </c>
      <c r="T606" s="42" t="n">
        <v>96</v>
      </c>
      <c r="U606" s="42" t="inlineStr">
        <is>
          <t>P96|無印</t>
        </is>
      </c>
      <c r="V606" s="42" t="inlineStr">
        <is>
          <t>同頁凡例へ直接連動</t>
        </is>
      </c>
    </row>
    <row r="607">
      <c r="A607" s="43" t="inlineStr">
        <is>
          <t>SZ-SL-000604</t>
        </is>
      </c>
      <c r="B607" s="43" t="inlineStr">
        <is>
          <t>SER-LIX-SAMOSL</t>
        </is>
      </c>
      <c r="C607" s="43" t="inlineStr">
        <is>
          <t>WT-SL-MENKOSHI-HIKI</t>
        </is>
      </c>
      <c r="D607" s="43" t="inlineStr">
        <is>
          <t>面格子付引違い窓</t>
        </is>
      </c>
      <c r="E607" s="43" t="inlineStr">
        <is>
          <t>SP-SL-GRILLE-H</t>
        </is>
      </c>
      <c r="F607" s="43" t="inlineStr">
        <is>
          <t>在来・204</t>
        </is>
      </c>
      <c r="G607" s="43" t="inlineStr">
        <is>
          <t>15005</t>
        </is>
      </c>
      <c r="H607" s="43" t="inlineStr">
        <is>
          <t>150</t>
        </is>
      </c>
      <c r="I607" s="43" t="inlineStr">
        <is>
          <t>05</t>
        </is>
      </c>
      <c r="J607" s="222" t="n">
        <v>1540</v>
      </c>
      <c r="K607" s="222" t="n">
        <v>570</v>
      </c>
      <c r="L607" s="43" t="inlineStr">
        <is>
          <t>在来・204</t>
        </is>
      </c>
      <c r="M607" s="178" t="b">
        <v>0</v>
      </c>
      <c r="N607" s="43" t="inlineStr">
        <is>
          <t>設定なし（価格表確認済み）</t>
        </is>
      </c>
      <c r="O607" s="222" t="n">
        <v>98</v>
      </c>
      <c r="P607" s="222" t="n">
        <v>96</v>
      </c>
      <c r="Q607" s="43" t="inlineStr">
        <is>
          <t>202604_LIXIL_サーモスＬ_業務用資料集_完成品価格表.pdf</t>
        </is>
      </c>
      <c r="R607" s="43" t="inlineStr">
        <is>
          <t>規格呼称は親品種で確認済み。固有仕様ごとの価格設定有無（＿＿表示等）は次QAで最終確定。</t>
        </is>
      </c>
      <c r="S607" s="42" t="inlineStr">
        <is>
          <t>無印</t>
        </is>
      </c>
      <c r="T607" s="42" t="n">
        <v>96</v>
      </c>
      <c r="U607" s="42" t="inlineStr">
        <is>
          <t>P96|無印</t>
        </is>
      </c>
      <c r="V607" s="42" t="inlineStr">
        <is>
          <t>同頁凡例へ直接連動</t>
        </is>
      </c>
    </row>
    <row r="608">
      <c r="A608" s="43" t="inlineStr">
        <is>
          <t>SZ-SL-000605</t>
        </is>
      </c>
      <c r="B608" s="43" t="inlineStr">
        <is>
          <t>SER-LIX-SAMOSL</t>
        </is>
      </c>
      <c r="C608" s="43" t="inlineStr">
        <is>
          <t>WT-SL-MENKOSHI-HIKI</t>
        </is>
      </c>
      <c r="D608" s="43" t="inlineStr">
        <is>
          <t>面格子付引違い窓</t>
        </is>
      </c>
      <c r="E608" s="43" t="inlineStr">
        <is>
          <t>SP-SL-GRILLE-H</t>
        </is>
      </c>
      <c r="F608" s="43" t="inlineStr">
        <is>
          <t>在来・204</t>
        </is>
      </c>
      <c r="G608" s="43" t="inlineStr">
        <is>
          <t>16005</t>
        </is>
      </c>
      <c r="H608" s="43" t="inlineStr">
        <is>
          <t>160</t>
        </is>
      </c>
      <c r="I608" s="43" t="inlineStr">
        <is>
          <t>05</t>
        </is>
      </c>
      <c r="J608" s="222" t="n">
        <v>1640</v>
      </c>
      <c r="K608" s="222" t="n">
        <v>570</v>
      </c>
      <c r="L608" s="43" t="inlineStr">
        <is>
          <t>在来・204</t>
        </is>
      </c>
      <c r="M608" s="178" t="b">
        <v>0</v>
      </c>
      <c r="N608" s="43" t="inlineStr">
        <is>
          <t>設定なし（価格表確認済み）</t>
        </is>
      </c>
      <c r="O608" s="222" t="n">
        <v>98</v>
      </c>
      <c r="P608" s="222" t="n">
        <v>96</v>
      </c>
      <c r="Q608" s="43" t="inlineStr">
        <is>
          <t>202604_LIXIL_サーモスＬ_業務用資料集_完成品価格表.pdf</t>
        </is>
      </c>
      <c r="R608" s="43" t="inlineStr">
        <is>
          <t>規格呼称は親品種で確認済み。固有仕様ごとの価格設定有無（＿＿表示等）は次QAで最終確定。</t>
        </is>
      </c>
      <c r="S608" s="42" t="inlineStr">
        <is>
          <t>無印</t>
        </is>
      </c>
      <c r="T608" s="42" t="n">
        <v>96</v>
      </c>
      <c r="U608" s="42" t="inlineStr">
        <is>
          <t>P96|無印</t>
        </is>
      </c>
      <c r="V608" s="42" t="inlineStr">
        <is>
          <t>同頁凡例へ直接連動</t>
        </is>
      </c>
    </row>
    <row r="609">
      <c r="A609" s="43" t="inlineStr">
        <is>
          <t>SZ-SL-000606</t>
        </is>
      </c>
      <c r="B609" s="43" t="inlineStr">
        <is>
          <t>SER-LIX-SAMOSL</t>
        </is>
      </c>
      <c r="C609" s="43" t="inlineStr">
        <is>
          <t>WT-SL-MENKOSHI-HIKI</t>
        </is>
      </c>
      <c r="D609" s="43" t="inlineStr">
        <is>
          <t>面格子付引違い窓</t>
        </is>
      </c>
      <c r="E609" s="43" t="inlineStr">
        <is>
          <t>SP-SL-GRILLE-H</t>
        </is>
      </c>
      <c r="F609" s="43" t="inlineStr">
        <is>
          <t>在来・204</t>
        </is>
      </c>
      <c r="G609" s="43" t="inlineStr">
        <is>
          <t>16505</t>
        </is>
      </c>
      <c r="H609" s="43" t="inlineStr">
        <is>
          <t>165</t>
        </is>
      </c>
      <c r="I609" s="43" t="inlineStr">
        <is>
          <t>05</t>
        </is>
      </c>
      <c r="J609" s="222" t="n">
        <v>1690</v>
      </c>
      <c r="K609" s="222" t="n">
        <v>570</v>
      </c>
      <c r="L609" s="43" t="inlineStr">
        <is>
          <t>在来・204</t>
        </is>
      </c>
      <c r="M609" s="178" t="b">
        <v>0</v>
      </c>
      <c r="N609" s="43" t="inlineStr">
        <is>
          <t>設定なし（価格表確認済み）</t>
        </is>
      </c>
      <c r="O609" s="222" t="n">
        <v>98</v>
      </c>
      <c r="P609" s="222" t="n">
        <v>96</v>
      </c>
      <c r="Q609" s="43" t="inlineStr">
        <is>
          <t>202604_LIXIL_サーモスＬ_業務用資料集_完成品価格表.pdf</t>
        </is>
      </c>
      <c r="R609" s="43" t="inlineStr">
        <is>
          <t>規格呼称は親品種で確認済み。固有仕様ごとの価格設定有無（＿＿表示等）は次QAで最終確定。</t>
        </is>
      </c>
      <c r="S609" s="42" t="inlineStr">
        <is>
          <t>無印</t>
        </is>
      </c>
      <c r="T609" s="42" t="n">
        <v>96</v>
      </c>
      <c r="U609" s="42" t="inlineStr">
        <is>
          <t>P96|無印</t>
        </is>
      </c>
      <c r="V609" s="42" t="inlineStr">
        <is>
          <t>同頁凡例へ直接連動</t>
        </is>
      </c>
    </row>
    <row r="610">
      <c r="A610" s="43" t="inlineStr">
        <is>
          <t>SZ-SL-000607</t>
        </is>
      </c>
      <c r="B610" s="43" t="inlineStr">
        <is>
          <t>SER-LIX-SAMOSL</t>
        </is>
      </c>
      <c r="C610" s="43" t="inlineStr">
        <is>
          <t>WT-SL-MENKOSHI-HIKI</t>
        </is>
      </c>
      <c r="D610" s="43" t="inlineStr">
        <is>
          <t>面格子付引違い窓</t>
        </is>
      </c>
      <c r="E610" s="43" t="inlineStr">
        <is>
          <t>SP-SL-GRILLE-IGETA</t>
        </is>
      </c>
      <c r="F610" s="43" t="inlineStr">
        <is>
          <t>在来・204</t>
        </is>
      </c>
      <c r="G610" s="43" t="inlineStr">
        <is>
          <t>13305</t>
        </is>
      </c>
      <c r="H610" s="43" t="inlineStr">
        <is>
          <t>133</t>
        </is>
      </c>
      <c r="I610" s="43" t="inlineStr">
        <is>
          <t>05</t>
        </is>
      </c>
      <c r="J610" s="222" t="n">
        <v>1370</v>
      </c>
      <c r="K610" s="222" t="n">
        <v>570</v>
      </c>
      <c r="L610" s="43" t="inlineStr">
        <is>
          <t>在来・204</t>
        </is>
      </c>
      <c r="M610" s="178" t="b">
        <v>1</v>
      </c>
      <c r="N610" s="43" t="inlineStr">
        <is>
          <t>カタログ個別可否確認済み</t>
        </is>
      </c>
      <c r="O610" s="222" t="n">
        <v>98</v>
      </c>
      <c r="P610" s="222" t="n">
        <v>96</v>
      </c>
      <c r="Q610" s="43" t="inlineStr">
        <is>
          <t>202604_LIXIL_サーモスＬ_業務用資料集_完成品価格表.pdf</t>
        </is>
      </c>
      <c r="R610" s="43" t="inlineStr">
        <is>
          <t>規格呼称は親品種で確認済み。固有仕様ごとの価格設定有無（＿＿表示等）は次QAで最終確定。</t>
        </is>
      </c>
      <c r="S610" s="42" t="inlineStr">
        <is>
          <t>無印</t>
        </is>
      </c>
      <c r="T610" s="42" t="n">
        <v>96</v>
      </c>
      <c r="U610" s="42" t="inlineStr">
        <is>
          <t>P96|無印</t>
        </is>
      </c>
      <c r="V610" s="42" t="inlineStr">
        <is>
          <t>同頁凡例へ直接連動</t>
        </is>
      </c>
    </row>
    <row r="611">
      <c r="A611" s="43" t="inlineStr">
        <is>
          <t>SZ-SL-000608</t>
        </is>
      </c>
      <c r="B611" s="43" t="inlineStr">
        <is>
          <t>SER-LIX-SAMOSL</t>
        </is>
      </c>
      <c r="C611" s="43" t="inlineStr">
        <is>
          <t>WT-SL-MENKOSHI-HIKI</t>
        </is>
      </c>
      <c r="D611" s="43" t="inlineStr">
        <is>
          <t>面格子付引違い窓</t>
        </is>
      </c>
      <c r="E611" s="43" t="inlineStr">
        <is>
          <t>SP-SL-GRILLE-IGETA</t>
        </is>
      </c>
      <c r="F611" s="43" t="inlineStr">
        <is>
          <t>在来・204</t>
        </is>
      </c>
      <c r="G611" s="43" t="inlineStr">
        <is>
          <t>15005</t>
        </is>
      </c>
      <c r="H611" s="43" t="inlineStr">
        <is>
          <t>150</t>
        </is>
      </c>
      <c r="I611" s="43" t="inlineStr">
        <is>
          <t>05</t>
        </is>
      </c>
      <c r="J611" s="222" t="n">
        <v>1540</v>
      </c>
      <c r="K611" s="222" t="n">
        <v>570</v>
      </c>
      <c r="L611" s="43" t="inlineStr">
        <is>
          <t>在来・204</t>
        </is>
      </c>
      <c r="M611" s="178" t="b">
        <v>1</v>
      </c>
      <c r="N611" s="43" t="inlineStr">
        <is>
          <t>カタログ個別可否確認済み</t>
        </is>
      </c>
      <c r="O611" s="222" t="n">
        <v>98</v>
      </c>
      <c r="P611" s="222" t="n">
        <v>96</v>
      </c>
      <c r="Q611" s="43" t="inlineStr">
        <is>
          <t>202604_LIXIL_サーモスＬ_業務用資料集_完成品価格表.pdf</t>
        </is>
      </c>
      <c r="R611" s="43" t="inlineStr">
        <is>
          <t>規格呼称は親品種で確認済み。固有仕様ごとの価格設定有無（＿＿表示等）は次QAで最終確定。</t>
        </is>
      </c>
      <c r="S611" s="42" t="inlineStr">
        <is>
          <t>無印</t>
        </is>
      </c>
      <c r="T611" s="42" t="n">
        <v>96</v>
      </c>
      <c r="U611" s="42" t="inlineStr">
        <is>
          <t>P96|無印</t>
        </is>
      </c>
      <c r="V611" s="42" t="inlineStr">
        <is>
          <t>同頁凡例へ直接連動</t>
        </is>
      </c>
    </row>
    <row r="612">
      <c r="A612" s="43" t="inlineStr">
        <is>
          <t>SZ-SL-000609</t>
        </is>
      </c>
      <c r="B612" s="43" t="inlineStr">
        <is>
          <t>SER-LIX-SAMOSL</t>
        </is>
      </c>
      <c r="C612" s="43" t="inlineStr">
        <is>
          <t>WT-SL-MENKOSHI-HIKI</t>
        </is>
      </c>
      <c r="D612" s="43" t="inlineStr">
        <is>
          <t>面格子付引違い窓</t>
        </is>
      </c>
      <c r="E612" s="43" t="inlineStr">
        <is>
          <t>SP-SL-GRILLE-IGETA</t>
        </is>
      </c>
      <c r="F612" s="43" t="inlineStr">
        <is>
          <t>在来・204</t>
        </is>
      </c>
      <c r="G612" s="43" t="inlineStr">
        <is>
          <t>16005</t>
        </is>
      </c>
      <c r="H612" s="43" t="inlineStr">
        <is>
          <t>160</t>
        </is>
      </c>
      <c r="I612" s="43" t="inlineStr">
        <is>
          <t>05</t>
        </is>
      </c>
      <c r="J612" s="222" t="n">
        <v>1640</v>
      </c>
      <c r="K612" s="222" t="n">
        <v>570</v>
      </c>
      <c r="L612" s="43" t="inlineStr">
        <is>
          <t>在来・204</t>
        </is>
      </c>
      <c r="M612" s="178" t="b">
        <v>1</v>
      </c>
      <c r="N612" s="43" t="inlineStr">
        <is>
          <t>カタログ個別可否確認済み</t>
        </is>
      </c>
      <c r="O612" s="222" t="n">
        <v>98</v>
      </c>
      <c r="P612" s="222" t="n">
        <v>96</v>
      </c>
      <c r="Q612" s="43" t="inlineStr">
        <is>
          <t>202604_LIXIL_サーモスＬ_業務用資料集_完成品価格表.pdf</t>
        </is>
      </c>
      <c r="R612" s="43" t="inlineStr">
        <is>
          <t>規格呼称は親品種で確認済み。固有仕様ごとの価格設定有無（＿＿表示等）は次QAで最終確定。</t>
        </is>
      </c>
      <c r="S612" s="42" t="inlineStr">
        <is>
          <t>無印</t>
        </is>
      </c>
      <c r="T612" s="42" t="n">
        <v>96</v>
      </c>
      <c r="U612" s="42" t="inlineStr">
        <is>
          <t>P96|無印</t>
        </is>
      </c>
      <c r="V612" s="42" t="inlineStr">
        <is>
          <t>同頁凡例へ直接連動</t>
        </is>
      </c>
    </row>
    <row r="613">
      <c r="A613" s="43" t="inlineStr">
        <is>
          <t>SZ-SL-000610</t>
        </is>
      </c>
      <c r="B613" s="43" t="inlineStr">
        <is>
          <t>SER-LIX-SAMOSL</t>
        </is>
      </c>
      <c r="C613" s="43" t="inlineStr">
        <is>
          <t>WT-SL-MENKOSHI-HIKI</t>
        </is>
      </c>
      <c r="D613" s="43" t="inlineStr">
        <is>
          <t>面格子付引違い窓</t>
        </is>
      </c>
      <c r="E613" s="43" t="inlineStr">
        <is>
          <t>SP-SL-GRILLE-IGETA</t>
        </is>
      </c>
      <c r="F613" s="43" t="inlineStr">
        <is>
          <t>在来・204</t>
        </is>
      </c>
      <c r="G613" s="43" t="inlineStr">
        <is>
          <t>16505</t>
        </is>
      </c>
      <c r="H613" s="43" t="inlineStr">
        <is>
          <t>165</t>
        </is>
      </c>
      <c r="I613" s="43" t="inlineStr">
        <is>
          <t>05</t>
        </is>
      </c>
      <c r="J613" s="222" t="n">
        <v>1690</v>
      </c>
      <c r="K613" s="222" t="n">
        <v>570</v>
      </c>
      <c r="L613" s="43" t="inlineStr">
        <is>
          <t>在来・204</t>
        </is>
      </c>
      <c r="M613" s="178" t="b">
        <v>1</v>
      </c>
      <c r="N613" s="43" t="inlineStr">
        <is>
          <t>カタログ個別可否確認済み</t>
        </is>
      </c>
      <c r="O613" s="222" t="n">
        <v>98</v>
      </c>
      <c r="P613" s="222" t="n">
        <v>96</v>
      </c>
      <c r="Q613" s="43" t="inlineStr">
        <is>
          <t>202604_LIXIL_サーモスＬ_業務用資料集_完成品価格表.pdf</t>
        </is>
      </c>
      <c r="R613" s="43" t="inlineStr">
        <is>
          <t>規格呼称は親品種で確認済み。固有仕様ごとの価格設定有無（＿＿表示等）は次QAで最終確定。</t>
        </is>
      </c>
      <c r="S613" s="42" t="inlineStr">
        <is>
          <t>無印</t>
        </is>
      </c>
      <c r="T613" s="42" t="n">
        <v>96</v>
      </c>
      <c r="U613" s="42" t="inlineStr">
        <is>
          <t>P96|無印</t>
        </is>
      </c>
      <c r="V613" s="42" t="inlineStr">
        <is>
          <t>同頁凡例へ直接連動</t>
        </is>
      </c>
    </row>
    <row r="614">
      <c r="A614" s="43" t="inlineStr">
        <is>
          <t>SZ-SL-000611</t>
        </is>
      </c>
      <c r="B614" s="43" t="inlineStr">
        <is>
          <t>SER-LIX-SAMOSL</t>
        </is>
      </c>
      <c r="C614" s="43" t="inlineStr">
        <is>
          <t>WT-SL-MENKOSHI-HIKI</t>
        </is>
      </c>
      <c r="D614" s="43" t="inlineStr">
        <is>
          <t>面格子付引違い窓</t>
        </is>
      </c>
      <c r="E614" s="43" t="inlineStr">
        <is>
          <t>SP-SL-GRILLE-V</t>
        </is>
      </c>
      <c r="F614" s="43" t="inlineStr">
        <is>
          <t>在来・204</t>
        </is>
      </c>
      <c r="G614" s="43" t="inlineStr">
        <is>
          <t>13305</t>
        </is>
      </c>
      <c r="H614" s="43" t="inlineStr">
        <is>
          <t>133</t>
        </is>
      </c>
      <c r="I614" s="43" t="inlineStr">
        <is>
          <t>05</t>
        </is>
      </c>
      <c r="J614" s="222" t="n">
        <v>1370</v>
      </c>
      <c r="K614" s="222" t="n">
        <v>570</v>
      </c>
      <c r="L614" s="43" t="inlineStr">
        <is>
          <t>在来・204</t>
        </is>
      </c>
      <c r="M614" s="178" t="b">
        <v>1</v>
      </c>
      <c r="N614" s="43" t="inlineStr">
        <is>
          <t>カタログ個別可否確認済み</t>
        </is>
      </c>
      <c r="O614" s="222" t="n">
        <v>98</v>
      </c>
      <c r="P614" s="222" t="n">
        <v>96</v>
      </c>
      <c r="Q614" s="43" t="inlineStr">
        <is>
          <t>202604_LIXIL_サーモスＬ_業務用資料集_完成品価格表.pdf</t>
        </is>
      </c>
      <c r="R614" s="43" t="inlineStr">
        <is>
          <t>規格呼称は親品種で確認済み。固有仕様ごとの価格設定有無（＿＿表示等）は次QAで最終確定。</t>
        </is>
      </c>
      <c r="S614" s="42" t="inlineStr">
        <is>
          <t>無印</t>
        </is>
      </c>
      <c r="T614" s="42" t="n">
        <v>96</v>
      </c>
      <c r="U614" s="42" t="inlineStr">
        <is>
          <t>P96|無印</t>
        </is>
      </c>
      <c r="V614" s="42" t="inlineStr">
        <is>
          <t>同頁凡例へ直接連動</t>
        </is>
      </c>
    </row>
    <row r="615">
      <c r="A615" s="43" t="inlineStr">
        <is>
          <t>SZ-SL-000612</t>
        </is>
      </c>
      <c r="B615" s="43" t="inlineStr">
        <is>
          <t>SER-LIX-SAMOSL</t>
        </is>
      </c>
      <c r="C615" s="43" t="inlineStr">
        <is>
          <t>WT-SL-MENKOSHI-HIKI</t>
        </is>
      </c>
      <c r="D615" s="43" t="inlineStr">
        <is>
          <t>面格子付引違い窓</t>
        </is>
      </c>
      <c r="E615" s="43" t="inlineStr">
        <is>
          <t>SP-SL-GRILLE-V</t>
        </is>
      </c>
      <c r="F615" s="43" t="inlineStr">
        <is>
          <t>在来・204</t>
        </is>
      </c>
      <c r="G615" s="43" t="inlineStr">
        <is>
          <t>15005</t>
        </is>
      </c>
      <c r="H615" s="43" t="inlineStr">
        <is>
          <t>150</t>
        </is>
      </c>
      <c r="I615" s="43" t="inlineStr">
        <is>
          <t>05</t>
        </is>
      </c>
      <c r="J615" s="222" t="n">
        <v>1540</v>
      </c>
      <c r="K615" s="222" t="n">
        <v>570</v>
      </c>
      <c r="L615" s="43" t="inlineStr">
        <is>
          <t>在来・204</t>
        </is>
      </c>
      <c r="M615" s="178" t="b">
        <v>1</v>
      </c>
      <c r="N615" s="43" t="inlineStr">
        <is>
          <t>カタログ個別可否確認済み</t>
        </is>
      </c>
      <c r="O615" s="222" t="n">
        <v>98</v>
      </c>
      <c r="P615" s="222" t="n">
        <v>96</v>
      </c>
      <c r="Q615" s="43" t="inlineStr">
        <is>
          <t>202604_LIXIL_サーモスＬ_業務用資料集_完成品価格表.pdf</t>
        </is>
      </c>
      <c r="R615" s="43" t="inlineStr">
        <is>
          <t>規格呼称は親品種で確認済み。固有仕様ごとの価格設定有無（＿＿表示等）は次QAで最終確定。</t>
        </is>
      </c>
      <c r="S615" s="42" t="inlineStr">
        <is>
          <t>無印</t>
        </is>
      </c>
      <c r="T615" s="42" t="n">
        <v>96</v>
      </c>
      <c r="U615" s="42" t="inlineStr">
        <is>
          <t>P96|無印</t>
        </is>
      </c>
      <c r="V615" s="42" t="inlineStr">
        <is>
          <t>同頁凡例へ直接連動</t>
        </is>
      </c>
    </row>
    <row r="616">
      <c r="A616" s="43" t="inlineStr">
        <is>
          <t>SZ-SL-000613</t>
        </is>
      </c>
      <c r="B616" s="43" t="inlineStr">
        <is>
          <t>SER-LIX-SAMOSL</t>
        </is>
      </c>
      <c r="C616" s="43" t="inlineStr">
        <is>
          <t>WT-SL-MENKOSHI-HIKI</t>
        </is>
      </c>
      <c r="D616" s="43" t="inlineStr">
        <is>
          <t>面格子付引違い窓</t>
        </is>
      </c>
      <c r="E616" s="43" t="inlineStr">
        <is>
          <t>SP-SL-GRILLE-V</t>
        </is>
      </c>
      <c r="F616" s="43" t="inlineStr">
        <is>
          <t>在来・204</t>
        </is>
      </c>
      <c r="G616" s="43" t="inlineStr">
        <is>
          <t>16005</t>
        </is>
      </c>
      <c r="H616" s="43" t="inlineStr">
        <is>
          <t>160</t>
        </is>
      </c>
      <c r="I616" s="43" t="inlineStr">
        <is>
          <t>05</t>
        </is>
      </c>
      <c r="J616" s="222" t="n">
        <v>1640</v>
      </c>
      <c r="K616" s="222" t="n">
        <v>570</v>
      </c>
      <c r="L616" s="43" t="inlineStr">
        <is>
          <t>在来・204</t>
        </is>
      </c>
      <c r="M616" s="178" t="b">
        <v>1</v>
      </c>
      <c r="N616" s="43" t="inlineStr">
        <is>
          <t>カタログ個別可否確認済み</t>
        </is>
      </c>
      <c r="O616" s="222" t="n">
        <v>98</v>
      </c>
      <c r="P616" s="222" t="n">
        <v>96</v>
      </c>
      <c r="Q616" s="43" t="inlineStr">
        <is>
          <t>202604_LIXIL_サーモスＬ_業務用資料集_完成品価格表.pdf</t>
        </is>
      </c>
      <c r="R616" s="43" t="inlineStr">
        <is>
          <t>規格呼称は親品種で確認済み。固有仕様ごとの価格設定有無（＿＿表示等）は次QAで最終確定。</t>
        </is>
      </c>
      <c r="S616" s="42" t="inlineStr">
        <is>
          <t>無印</t>
        </is>
      </c>
      <c r="T616" s="42" t="n">
        <v>96</v>
      </c>
      <c r="U616" s="42" t="inlineStr">
        <is>
          <t>P96|無印</t>
        </is>
      </c>
      <c r="V616" s="42" t="inlineStr">
        <is>
          <t>同頁凡例へ直接連動</t>
        </is>
      </c>
    </row>
    <row r="617">
      <c r="A617" s="43" t="inlineStr">
        <is>
          <t>SZ-SL-000614</t>
        </is>
      </c>
      <c r="B617" s="43" t="inlineStr">
        <is>
          <t>SER-LIX-SAMOSL</t>
        </is>
      </c>
      <c r="C617" s="43" t="inlineStr">
        <is>
          <t>WT-SL-MENKOSHI-HIKI</t>
        </is>
      </c>
      <c r="D617" s="43" t="inlineStr">
        <is>
          <t>面格子付引違い窓</t>
        </is>
      </c>
      <c r="E617" s="43" t="inlineStr">
        <is>
          <t>SP-SL-GRILLE-V</t>
        </is>
      </c>
      <c r="F617" s="43" t="inlineStr">
        <is>
          <t>在来・204</t>
        </is>
      </c>
      <c r="G617" s="43" t="inlineStr">
        <is>
          <t>16505</t>
        </is>
      </c>
      <c r="H617" s="43" t="inlineStr">
        <is>
          <t>165</t>
        </is>
      </c>
      <c r="I617" s="43" t="inlineStr">
        <is>
          <t>05</t>
        </is>
      </c>
      <c r="J617" s="222" t="n">
        <v>1690</v>
      </c>
      <c r="K617" s="222" t="n">
        <v>570</v>
      </c>
      <c r="L617" s="43" t="inlineStr">
        <is>
          <t>在来・204</t>
        </is>
      </c>
      <c r="M617" s="178" t="b">
        <v>1</v>
      </c>
      <c r="N617" s="43" t="inlineStr">
        <is>
          <t>カタログ個別可否確認済み</t>
        </is>
      </c>
      <c r="O617" s="222" t="n">
        <v>98</v>
      </c>
      <c r="P617" s="222" t="n">
        <v>96</v>
      </c>
      <c r="Q617" s="43" t="inlineStr">
        <is>
          <t>202604_LIXIL_サーモスＬ_業務用資料集_完成品価格表.pdf</t>
        </is>
      </c>
      <c r="R617" s="43" t="inlineStr">
        <is>
          <t>規格呼称は親品種で確認済み。固有仕様ごとの価格設定有無（＿＿表示等）は次QAで最終確定。</t>
        </is>
      </c>
      <c r="S617" s="42" t="inlineStr">
        <is>
          <t>無印</t>
        </is>
      </c>
      <c r="T617" s="42" t="n">
        <v>96</v>
      </c>
      <c r="U617" s="42" t="inlineStr">
        <is>
          <t>P96|無印</t>
        </is>
      </c>
      <c r="V617" s="42" t="inlineStr">
        <is>
          <t>同頁凡例へ直接連動</t>
        </is>
      </c>
    </row>
    <row r="618">
      <c r="A618" s="43" t="inlineStr">
        <is>
          <t>SZ-SL-000615</t>
        </is>
      </c>
      <c r="B618" s="43" t="inlineStr">
        <is>
          <t>SER-LIX-SAMOSL</t>
        </is>
      </c>
      <c r="C618" s="43" t="inlineStr">
        <is>
          <t>WT-SL-MENKOSHI-HIKI</t>
        </is>
      </c>
      <c r="D618" s="43" t="inlineStr">
        <is>
          <t>面格子付引違い窓</t>
        </is>
      </c>
      <c r="E618" s="43" t="inlineStr">
        <is>
          <t>SP-SL-GRILLE-DIA</t>
        </is>
      </c>
      <c r="F618" s="43" t="inlineStr">
        <is>
          <t>在来・204</t>
        </is>
      </c>
      <c r="G618" s="43" t="inlineStr">
        <is>
          <t>17405</t>
        </is>
      </c>
      <c r="H618" s="43" t="inlineStr">
        <is>
          <t>174</t>
        </is>
      </c>
      <c r="I618" s="43" t="inlineStr">
        <is>
          <t>05</t>
        </is>
      </c>
      <c r="J618" s="222" t="n">
        <v>1780</v>
      </c>
      <c r="K618" s="222" t="n">
        <v>570</v>
      </c>
      <c r="L618" s="43" t="inlineStr">
        <is>
          <t>在来・204</t>
        </is>
      </c>
      <c r="M618" s="178" t="b">
        <v>1</v>
      </c>
      <c r="N618" s="43" t="inlineStr">
        <is>
          <t>カタログ個別可否確認済み</t>
        </is>
      </c>
      <c r="O618" s="222" t="n">
        <v>99</v>
      </c>
      <c r="P618" s="222" t="n">
        <v>97</v>
      </c>
      <c r="Q618" s="43" t="inlineStr">
        <is>
          <t>202604_LIXIL_サーモスＬ_業務用資料集_完成品価格表.pdf</t>
        </is>
      </c>
      <c r="R618" s="43" t="inlineStr">
        <is>
          <t>規格呼称は親品種で確認済み。固有仕様ごとの価格設定有無（＿＿表示等）は次QAで最終確定。</t>
        </is>
      </c>
      <c r="S618" s="42" t="inlineStr">
        <is>
          <t>無印</t>
        </is>
      </c>
      <c r="T618" s="42" t="n">
        <v>96</v>
      </c>
      <c r="U618" s="42" t="inlineStr">
        <is>
          <t>P96|無印</t>
        </is>
      </c>
      <c r="V618" s="42" t="inlineStr">
        <is>
          <t>同一価格表・前頁凡例を継承</t>
        </is>
      </c>
    </row>
    <row r="619">
      <c r="A619" s="43" t="inlineStr">
        <is>
          <t>SZ-SL-000616</t>
        </is>
      </c>
      <c r="B619" s="43" t="inlineStr">
        <is>
          <t>SER-LIX-SAMOSL</t>
        </is>
      </c>
      <c r="C619" s="43" t="inlineStr">
        <is>
          <t>WT-SL-MENKOSHI-HIKI</t>
        </is>
      </c>
      <c r="D619" s="43" t="inlineStr">
        <is>
          <t>面格子付引違い窓</t>
        </is>
      </c>
      <c r="E619" s="43" t="inlineStr">
        <is>
          <t>SP-SL-GRILLE-DIA</t>
        </is>
      </c>
      <c r="F619" s="43" t="inlineStr">
        <is>
          <t>在来・204</t>
        </is>
      </c>
      <c r="G619" s="43" t="inlineStr">
        <is>
          <t>17605</t>
        </is>
      </c>
      <c r="H619" s="43" t="inlineStr">
        <is>
          <t>176</t>
        </is>
      </c>
      <c r="I619" s="43" t="inlineStr">
        <is>
          <t>05</t>
        </is>
      </c>
      <c r="J619" s="222" t="n">
        <v>1800</v>
      </c>
      <c r="K619" s="222" t="n">
        <v>570</v>
      </c>
      <c r="L619" s="43" t="inlineStr">
        <is>
          <t>在来・204</t>
        </is>
      </c>
      <c r="M619" s="178" t="b">
        <v>1</v>
      </c>
      <c r="N619" s="43" t="inlineStr">
        <is>
          <t>カタログ個別可否確認済み</t>
        </is>
      </c>
      <c r="O619" s="222" t="n">
        <v>99</v>
      </c>
      <c r="P619" s="222" t="n">
        <v>97</v>
      </c>
      <c r="Q619" s="43" t="inlineStr">
        <is>
          <t>202604_LIXIL_サーモスＬ_業務用資料集_完成品価格表.pdf</t>
        </is>
      </c>
      <c r="R619" s="43" t="inlineStr">
        <is>
          <t>規格呼称は親品種で確認済み。固有仕様ごとの価格設定有無（＿＿表示等）は次QAで最終確定。</t>
        </is>
      </c>
      <c r="S619" s="42" t="inlineStr">
        <is>
          <t>無印</t>
        </is>
      </c>
      <c r="T619" s="42" t="n">
        <v>96</v>
      </c>
      <c r="U619" s="42" t="inlineStr">
        <is>
          <t>P96|無印</t>
        </is>
      </c>
      <c r="V619" s="42" t="inlineStr">
        <is>
          <t>同一価格表・前頁凡例を継承</t>
        </is>
      </c>
    </row>
    <row r="620">
      <c r="A620" s="43" t="inlineStr">
        <is>
          <t>SZ-SL-000617</t>
        </is>
      </c>
      <c r="B620" s="43" t="inlineStr">
        <is>
          <t>SER-LIX-SAMOSL</t>
        </is>
      </c>
      <c r="C620" s="43" t="inlineStr">
        <is>
          <t>WT-SL-MENKOSHI-HIKI</t>
        </is>
      </c>
      <c r="D620" s="43" t="inlineStr">
        <is>
          <t>面格子付引違い窓</t>
        </is>
      </c>
      <c r="E620" s="43" t="inlineStr">
        <is>
          <t>SP-SL-GRILLE-DIA</t>
        </is>
      </c>
      <c r="F620" s="43" t="inlineStr">
        <is>
          <t>在来・204</t>
        </is>
      </c>
      <c r="G620" s="43" t="inlineStr">
        <is>
          <t>18005</t>
        </is>
      </c>
      <c r="H620" s="43" t="inlineStr">
        <is>
          <t>180</t>
        </is>
      </c>
      <c r="I620" s="43" t="inlineStr">
        <is>
          <t>05</t>
        </is>
      </c>
      <c r="J620" s="222" t="n">
        <v>1845</v>
      </c>
      <c r="K620" s="222" t="n">
        <v>570</v>
      </c>
      <c r="L620" s="43" t="inlineStr">
        <is>
          <t>在来・204</t>
        </is>
      </c>
      <c r="M620" s="178" t="b">
        <v>1</v>
      </c>
      <c r="N620" s="43" t="inlineStr">
        <is>
          <t>カタログ個別可否確認済み</t>
        </is>
      </c>
      <c r="O620" s="222" t="n">
        <v>99</v>
      </c>
      <c r="P620" s="222" t="n">
        <v>97</v>
      </c>
      <c r="Q620" s="43" t="inlineStr">
        <is>
          <t>202604_LIXIL_サーモスＬ_業務用資料集_完成品価格表.pdf</t>
        </is>
      </c>
      <c r="R620" s="43" t="inlineStr">
        <is>
          <t>規格呼称は親品種で確認済み。固有仕様ごとの価格設定有無（＿＿表示等）は次QAで最終確定。</t>
        </is>
      </c>
      <c r="S620" s="42" t="inlineStr">
        <is>
          <t>無印</t>
        </is>
      </c>
      <c r="T620" s="42" t="n">
        <v>96</v>
      </c>
      <c r="U620" s="42" t="inlineStr">
        <is>
          <t>P96|無印</t>
        </is>
      </c>
      <c r="V620" s="42" t="inlineStr">
        <is>
          <t>同一価格表・前頁凡例を継承</t>
        </is>
      </c>
    </row>
    <row r="621">
      <c r="A621" s="43" t="inlineStr">
        <is>
          <t>SZ-SL-000618</t>
        </is>
      </c>
      <c r="B621" s="43" t="inlineStr">
        <is>
          <t>SER-LIX-SAMOSL</t>
        </is>
      </c>
      <c r="C621" s="43" t="inlineStr">
        <is>
          <t>WT-SL-MENKOSHI-HIKI</t>
        </is>
      </c>
      <c r="D621" s="43" t="inlineStr">
        <is>
          <t>面格子付引違い窓</t>
        </is>
      </c>
      <c r="E621" s="43" t="inlineStr">
        <is>
          <t>SP-SL-GRILLE-DIA</t>
        </is>
      </c>
      <c r="F621" s="43" t="inlineStr">
        <is>
          <t>在来・204</t>
        </is>
      </c>
      <c r="G621" s="43" t="inlineStr">
        <is>
          <t>18605</t>
        </is>
      </c>
      <c r="H621" s="43" t="inlineStr">
        <is>
          <t>186</t>
        </is>
      </c>
      <c r="I621" s="43" t="inlineStr">
        <is>
          <t>05</t>
        </is>
      </c>
      <c r="J621" s="222" t="n">
        <v>1900</v>
      </c>
      <c r="K621" s="222" t="n">
        <v>570</v>
      </c>
      <c r="L621" s="43" t="inlineStr">
        <is>
          <t>在来・204</t>
        </is>
      </c>
      <c r="M621" s="178" t="b">
        <v>1</v>
      </c>
      <c r="N621" s="43" t="inlineStr">
        <is>
          <t>カタログ個別可否確認済み</t>
        </is>
      </c>
      <c r="O621" s="222" t="n">
        <v>99</v>
      </c>
      <c r="P621" s="222" t="n">
        <v>97</v>
      </c>
      <c r="Q621" s="43" t="inlineStr">
        <is>
          <t>202604_LIXIL_サーモスＬ_業務用資料集_完成品価格表.pdf</t>
        </is>
      </c>
      <c r="R621" s="43" t="inlineStr">
        <is>
          <t>規格呼称は親品種で確認済み。固有仕様ごとの価格設定有無（＿＿表示等）は次QAで最終確定。</t>
        </is>
      </c>
      <c r="S621" s="42" t="inlineStr">
        <is>
          <t>無印</t>
        </is>
      </c>
      <c r="T621" s="42" t="n">
        <v>96</v>
      </c>
      <c r="U621" s="42" t="inlineStr">
        <is>
          <t>P96|無印</t>
        </is>
      </c>
      <c r="V621" s="42" t="inlineStr">
        <is>
          <t>同一価格表・前頁凡例を継承</t>
        </is>
      </c>
    </row>
    <row r="622">
      <c r="A622" s="43" t="inlineStr">
        <is>
          <t>SZ-SL-000619</t>
        </is>
      </c>
      <c r="B622" s="43" t="inlineStr">
        <is>
          <t>SER-LIX-SAMOSL</t>
        </is>
      </c>
      <c r="C622" s="43" t="inlineStr">
        <is>
          <t>WT-SL-MENKOSHI-HIKI</t>
        </is>
      </c>
      <c r="D622" s="43" t="inlineStr">
        <is>
          <t>面格子付引違い窓</t>
        </is>
      </c>
      <c r="E622" s="43" t="inlineStr">
        <is>
          <t>SP-SL-GRILLE-H</t>
        </is>
      </c>
      <c r="F622" s="43" t="inlineStr">
        <is>
          <t>在来・204</t>
        </is>
      </c>
      <c r="G622" s="43" t="inlineStr">
        <is>
          <t>17405</t>
        </is>
      </c>
      <c r="H622" s="43" t="inlineStr">
        <is>
          <t>174</t>
        </is>
      </c>
      <c r="I622" s="43" t="inlineStr">
        <is>
          <t>05</t>
        </is>
      </c>
      <c r="J622" s="222" t="n">
        <v>1780</v>
      </c>
      <c r="K622" s="222" t="n">
        <v>570</v>
      </c>
      <c r="L622" s="43" t="inlineStr">
        <is>
          <t>在来・204</t>
        </is>
      </c>
      <c r="M622" s="178" t="b">
        <v>0</v>
      </c>
      <c r="N622" s="43" t="inlineStr">
        <is>
          <t>設定なし（価格表確認済み）</t>
        </is>
      </c>
      <c r="O622" s="222" t="n">
        <v>99</v>
      </c>
      <c r="P622" s="222" t="n">
        <v>97</v>
      </c>
      <c r="Q622" s="43" t="inlineStr">
        <is>
          <t>202604_LIXIL_サーモスＬ_業務用資料集_完成品価格表.pdf</t>
        </is>
      </c>
      <c r="R622" s="43" t="inlineStr">
        <is>
          <t>規格呼称は親品種で確認済み。固有仕様ごとの価格設定有無（＿＿表示等）は次QAで最終確定。</t>
        </is>
      </c>
      <c r="S622" s="42" t="inlineStr">
        <is>
          <t>無印</t>
        </is>
      </c>
      <c r="T622" s="42" t="n">
        <v>96</v>
      </c>
      <c r="U622" s="42" t="inlineStr">
        <is>
          <t>P96|無印</t>
        </is>
      </c>
      <c r="V622" s="42" t="inlineStr">
        <is>
          <t>同一価格表・前頁凡例を継承</t>
        </is>
      </c>
    </row>
    <row r="623">
      <c r="A623" s="43" t="inlineStr">
        <is>
          <t>SZ-SL-000620</t>
        </is>
      </c>
      <c r="B623" s="43" t="inlineStr">
        <is>
          <t>SER-LIX-SAMOSL</t>
        </is>
      </c>
      <c r="C623" s="43" t="inlineStr">
        <is>
          <t>WT-SL-MENKOSHI-HIKI</t>
        </is>
      </c>
      <c r="D623" s="43" t="inlineStr">
        <is>
          <t>面格子付引違い窓</t>
        </is>
      </c>
      <c r="E623" s="43" t="inlineStr">
        <is>
          <t>SP-SL-GRILLE-H</t>
        </is>
      </c>
      <c r="F623" s="43" t="inlineStr">
        <is>
          <t>在来・204</t>
        </is>
      </c>
      <c r="G623" s="43" t="inlineStr">
        <is>
          <t>17605</t>
        </is>
      </c>
      <c r="H623" s="43" t="inlineStr">
        <is>
          <t>176</t>
        </is>
      </c>
      <c r="I623" s="43" t="inlineStr">
        <is>
          <t>05</t>
        </is>
      </c>
      <c r="J623" s="222" t="n">
        <v>1800</v>
      </c>
      <c r="K623" s="222" t="n">
        <v>570</v>
      </c>
      <c r="L623" s="43" t="inlineStr">
        <is>
          <t>在来・204</t>
        </is>
      </c>
      <c r="M623" s="178" t="b">
        <v>0</v>
      </c>
      <c r="N623" s="43" t="inlineStr">
        <is>
          <t>設定なし（価格表確認済み）</t>
        </is>
      </c>
      <c r="O623" s="222" t="n">
        <v>99</v>
      </c>
      <c r="P623" s="222" t="n">
        <v>97</v>
      </c>
      <c r="Q623" s="43" t="inlineStr">
        <is>
          <t>202604_LIXIL_サーモスＬ_業務用資料集_完成品価格表.pdf</t>
        </is>
      </c>
      <c r="R623" s="43" t="inlineStr">
        <is>
          <t>規格呼称は親品種で確認済み。固有仕様ごとの価格設定有無（＿＿表示等）は次QAで最終確定。</t>
        </is>
      </c>
      <c r="S623" s="42" t="inlineStr">
        <is>
          <t>無印</t>
        </is>
      </c>
      <c r="T623" s="42" t="n">
        <v>96</v>
      </c>
      <c r="U623" s="42" t="inlineStr">
        <is>
          <t>P96|無印</t>
        </is>
      </c>
      <c r="V623" s="42" t="inlineStr">
        <is>
          <t>同一価格表・前頁凡例を継承</t>
        </is>
      </c>
    </row>
    <row r="624">
      <c r="A624" s="43" t="inlineStr">
        <is>
          <t>SZ-SL-000621</t>
        </is>
      </c>
      <c r="B624" s="43" t="inlineStr">
        <is>
          <t>SER-LIX-SAMOSL</t>
        </is>
      </c>
      <c r="C624" s="43" t="inlineStr">
        <is>
          <t>WT-SL-MENKOSHI-HIKI</t>
        </is>
      </c>
      <c r="D624" s="43" t="inlineStr">
        <is>
          <t>面格子付引違い窓</t>
        </is>
      </c>
      <c r="E624" s="43" t="inlineStr">
        <is>
          <t>SP-SL-GRILLE-H</t>
        </is>
      </c>
      <c r="F624" s="43" t="inlineStr">
        <is>
          <t>在来・204</t>
        </is>
      </c>
      <c r="G624" s="43" t="inlineStr">
        <is>
          <t>18005</t>
        </is>
      </c>
      <c r="H624" s="43" t="inlineStr">
        <is>
          <t>180</t>
        </is>
      </c>
      <c r="I624" s="43" t="inlineStr">
        <is>
          <t>05</t>
        </is>
      </c>
      <c r="J624" s="222" t="n">
        <v>1845</v>
      </c>
      <c r="K624" s="222" t="n">
        <v>570</v>
      </c>
      <c r="L624" s="43" t="inlineStr">
        <is>
          <t>在来・204</t>
        </is>
      </c>
      <c r="M624" s="178" t="b">
        <v>0</v>
      </c>
      <c r="N624" s="43" t="inlineStr">
        <is>
          <t>設定なし（価格表確認済み）</t>
        </is>
      </c>
      <c r="O624" s="222" t="n">
        <v>99</v>
      </c>
      <c r="P624" s="222" t="n">
        <v>97</v>
      </c>
      <c r="Q624" s="43" t="inlineStr">
        <is>
          <t>202604_LIXIL_サーモスＬ_業務用資料集_完成品価格表.pdf</t>
        </is>
      </c>
      <c r="R624" s="43" t="inlineStr">
        <is>
          <t>規格呼称は親品種で確認済み。固有仕様ごとの価格設定有無（＿＿表示等）は次QAで最終確定。</t>
        </is>
      </c>
      <c r="S624" s="42" t="inlineStr">
        <is>
          <t>無印</t>
        </is>
      </c>
      <c r="T624" s="42" t="n">
        <v>96</v>
      </c>
      <c r="U624" s="42" t="inlineStr">
        <is>
          <t>P96|無印</t>
        </is>
      </c>
      <c r="V624" s="42" t="inlineStr">
        <is>
          <t>同一価格表・前頁凡例を継承</t>
        </is>
      </c>
    </row>
    <row r="625">
      <c r="A625" s="43" t="inlineStr">
        <is>
          <t>SZ-SL-000622</t>
        </is>
      </c>
      <c r="B625" s="43" t="inlineStr">
        <is>
          <t>SER-LIX-SAMOSL</t>
        </is>
      </c>
      <c r="C625" s="43" t="inlineStr">
        <is>
          <t>WT-SL-MENKOSHI-HIKI</t>
        </is>
      </c>
      <c r="D625" s="43" t="inlineStr">
        <is>
          <t>面格子付引違い窓</t>
        </is>
      </c>
      <c r="E625" s="43" t="inlineStr">
        <is>
          <t>SP-SL-GRILLE-H</t>
        </is>
      </c>
      <c r="F625" s="43" t="inlineStr">
        <is>
          <t>在来・204</t>
        </is>
      </c>
      <c r="G625" s="43" t="inlineStr">
        <is>
          <t>18605</t>
        </is>
      </c>
      <c r="H625" s="43" t="inlineStr">
        <is>
          <t>186</t>
        </is>
      </c>
      <c r="I625" s="43" t="inlineStr">
        <is>
          <t>05</t>
        </is>
      </c>
      <c r="J625" s="222" t="n">
        <v>1900</v>
      </c>
      <c r="K625" s="222" t="n">
        <v>570</v>
      </c>
      <c r="L625" s="43" t="inlineStr">
        <is>
          <t>在来・204</t>
        </is>
      </c>
      <c r="M625" s="178" t="b">
        <v>0</v>
      </c>
      <c r="N625" s="43" t="inlineStr">
        <is>
          <t>設定なし（価格表確認済み）</t>
        </is>
      </c>
      <c r="O625" s="222" t="n">
        <v>99</v>
      </c>
      <c r="P625" s="222" t="n">
        <v>97</v>
      </c>
      <c r="Q625" s="43" t="inlineStr">
        <is>
          <t>202604_LIXIL_サーモスＬ_業務用資料集_完成品価格表.pdf</t>
        </is>
      </c>
      <c r="R625" s="43" t="inlineStr">
        <is>
          <t>規格呼称は親品種で確認済み。固有仕様ごとの価格設定有無（＿＿表示等）は次QAで最終確定。</t>
        </is>
      </c>
      <c r="S625" s="42" t="inlineStr">
        <is>
          <t>無印</t>
        </is>
      </c>
      <c r="T625" s="42" t="n">
        <v>96</v>
      </c>
      <c r="U625" s="42" t="inlineStr">
        <is>
          <t>P96|無印</t>
        </is>
      </c>
      <c r="V625" s="42" t="inlineStr">
        <is>
          <t>同一価格表・前頁凡例を継承</t>
        </is>
      </c>
    </row>
    <row r="626">
      <c r="A626" s="43" t="inlineStr">
        <is>
          <t>SZ-SL-000623</t>
        </is>
      </c>
      <c r="B626" s="43" t="inlineStr">
        <is>
          <t>SER-LIX-SAMOSL</t>
        </is>
      </c>
      <c r="C626" s="43" t="inlineStr">
        <is>
          <t>WT-SL-MENKOSHI-HIKI</t>
        </is>
      </c>
      <c r="D626" s="43" t="inlineStr">
        <is>
          <t>面格子付引違い窓</t>
        </is>
      </c>
      <c r="E626" s="43" t="inlineStr">
        <is>
          <t>SP-SL-GRILLE-IGETA</t>
        </is>
      </c>
      <c r="F626" s="43" t="inlineStr">
        <is>
          <t>在来・204</t>
        </is>
      </c>
      <c r="G626" s="43" t="inlineStr">
        <is>
          <t>17405</t>
        </is>
      </c>
      <c r="H626" s="43" t="inlineStr">
        <is>
          <t>174</t>
        </is>
      </c>
      <c r="I626" s="43" t="inlineStr">
        <is>
          <t>05</t>
        </is>
      </c>
      <c r="J626" s="222" t="n">
        <v>1780</v>
      </c>
      <c r="K626" s="222" t="n">
        <v>570</v>
      </c>
      <c r="L626" s="43" t="inlineStr">
        <is>
          <t>在来・204</t>
        </is>
      </c>
      <c r="M626" s="178" t="b">
        <v>1</v>
      </c>
      <c r="N626" s="43" t="inlineStr">
        <is>
          <t>カタログ個別可否確認済み</t>
        </is>
      </c>
      <c r="O626" s="222" t="n">
        <v>99</v>
      </c>
      <c r="P626" s="222" t="n">
        <v>97</v>
      </c>
      <c r="Q626" s="43" t="inlineStr">
        <is>
          <t>202604_LIXIL_サーモスＬ_業務用資料集_完成品価格表.pdf</t>
        </is>
      </c>
      <c r="R626" s="43" t="inlineStr">
        <is>
          <t>規格呼称は親品種で確認済み。固有仕様ごとの価格設定有無（＿＿表示等）は次QAで最終確定。</t>
        </is>
      </c>
      <c r="S626" s="42" t="inlineStr">
        <is>
          <t>無印</t>
        </is>
      </c>
      <c r="T626" s="42" t="n">
        <v>96</v>
      </c>
      <c r="U626" s="42" t="inlineStr">
        <is>
          <t>P96|無印</t>
        </is>
      </c>
      <c r="V626" s="42" t="inlineStr">
        <is>
          <t>同一価格表・前頁凡例を継承</t>
        </is>
      </c>
    </row>
    <row r="627">
      <c r="A627" s="43" t="inlineStr">
        <is>
          <t>SZ-SL-000624</t>
        </is>
      </c>
      <c r="B627" s="43" t="inlineStr">
        <is>
          <t>SER-LIX-SAMOSL</t>
        </is>
      </c>
      <c r="C627" s="43" t="inlineStr">
        <is>
          <t>WT-SL-MENKOSHI-HIKI</t>
        </is>
      </c>
      <c r="D627" s="43" t="inlineStr">
        <is>
          <t>面格子付引違い窓</t>
        </is>
      </c>
      <c r="E627" s="43" t="inlineStr">
        <is>
          <t>SP-SL-GRILLE-IGETA</t>
        </is>
      </c>
      <c r="F627" s="43" t="inlineStr">
        <is>
          <t>在来・204</t>
        </is>
      </c>
      <c r="G627" s="43" t="inlineStr">
        <is>
          <t>17605</t>
        </is>
      </c>
      <c r="H627" s="43" t="inlineStr">
        <is>
          <t>176</t>
        </is>
      </c>
      <c r="I627" s="43" t="inlineStr">
        <is>
          <t>05</t>
        </is>
      </c>
      <c r="J627" s="222" t="n">
        <v>1800</v>
      </c>
      <c r="K627" s="222" t="n">
        <v>570</v>
      </c>
      <c r="L627" s="43" t="inlineStr">
        <is>
          <t>在来・204</t>
        </is>
      </c>
      <c r="M627" s="178" t="b">
        <v>1</v>
      </c>
      <c r="N627" s="43" t="inlineStr">
        <is>
          <t>カタログ個別可否確認済み</t>
        </is>
      </c>
      <c r="O627" s="222" t="n">
        <v>99</v>
      </c>
      <c r="P627" s="222" t="n">
        <v>97</v>
      </c>
      <c r="Q627" s="43" t="inlineStr">
        <is>
          <t>202604_LIXIL_サーモスＬ_業務用資料集_完成品価格表.pdf</t>
        </is>
      </c>
      <c r="R627" s="43" t="inlineStr">
        <is>
          <t>規格呼称は親品種で確認済み。固有仕様ごとの価格設定有無（＿＿表示等）は次QAで最終確定。</t>
        </is>
      </c>
      <c r="S627" s="42" t="inlineStr">
        <is>
          <t>無印</t>
        </is>
      </c>
      <c r="T627" s="42" t="n">
        <v>96</v>
      </c>
      <c r="U627" s="42" t="inlineStr">
        <is>
          <t>P96|無印</t>
        </is>
      </c>
      <c r="V627" s="42" t="inlineStr">
        <is>
          <t>同一価格表・前頁凡例を継承</t>
        </is>
      </c>
    </row>
    <row r="628">
      <c r="A628" s="43" t="inlineStr">
        <is>
          <t>SZ-SL-000625</t>
        </is>
      </c>
      <c r="B628" s="43" t="inlineStr">
        <is>
          <t>SER-LIX-SAMOSL</t>
        </is>
      </c>
      <c r="C628" s="43" t="inlineStr">
        <is>
          <t>WT-SL-MENKOSHI-HIKI</t>
        </is>
      </c>
      <c r="D628" s="43" t="inlineStr">
        <is>
          <t>面格子付引違い窓</t>
        </is>
      </c>
      <c r="E628" s="43" t="inlineStr">
        <is>
          <t>SP-SL-GRILLE-IGETA</t>
        </is>
      </c>
      <c r="F628" s="43" t="inlineStr">
        <is>
          <t>在来・204</t>
        </is>
      </c>
      <c r="G628" s="43" t="inlineStr">
        <is>
          <t>18005</t>
        </is>
      </c>
      <c r="H628" s="43" t="inlineStr">
        <is>
          <t>180</t>
        </is>
      </c>
      <c r="I628" s="43" t="inlineStr">
        <is>
          <t>05</t>
        </is>
      </c>
      <c r="J628" s="222" t="n">
        <v>1845</v>
      </c>
      <c r="K628" s="222" t="n">
        <v>570</v>
      </c>
      <c r="L628" s="43" t="inlineStr">
        <is>
          <t>在来・204</t>
        </is>
      </c>
      <c r="M628" s="178" t="b">
        <v>1</v>
      </c>
      <c r="N628" s="43" t="inlineStr">
        <is>
          <t>カタログ個別可否確認済み</t>
        </is>
      </c>
      <c r="O628" s="222" t="n">
        <v>99</v>
      </c>
      <c r="P628" s="222" t="n">
        <v>97</v>
      </c>
      <c r="Q628" s="43" t="inlineStr">
        <is>
          <t>202604_LIXIL_サーモスＬ_業務用資料集_完成品価格表.pdf</t>
        </is>
      </c>
      <c r="R628" s="43" t="inlineStr">
        <is>
          <t>規格呼称は親品種で確認済み。固有仕様ごとの価格設定有無（＿＿表示等）は次QAで最終確定。</t>
        </is>
      </c>
      <c r="S628" s="42" t="inlineStr">
        <is>
          <t>無印</t>
        </is>
      </c>
      <c r="T628" s="42" t="n">
        <v>96</v>
      </c>
      <c r="U628" s="42" t="inlineStr">
        <is>
          <t>P96|無印</t>
        </is>
      </c>
      <c r="V628" s="42" t="inlineStr">
        <is>
          <t>同一価格表・前頁凡例を継承</t>
        </is>
      </c>
    </row>
    <row r="629">
      <c r="A629" s="43" t="inlineStr">
        <is>
          <t>SZ-SL-000626</t>
        </is>
      </c>
      <c r="B629" s="43" t="inlineStr">
        <is>
          <t>SER-LIX-SAMOSL</t>
        </is>
      </c>
      <c r="C629" s="43" t="inlineStr">
        <is>
          <t>WT-SL-MENKOSHI-HIKI</t>
        </is>
      </c>
      <c r="D629" s="43" t="inlineStr">
        <is>
          <t>面格子付引違い窓</t>
        </is>
      </c>
      <c r="E629" s="43" t="inlineStr">
        <is>
          <t>SP-SL-GRILLE-IGETA</t>
        </is>
      </c>
      <c r="F629" s="43" t="inlineStr">
        <is>
          <t>在来・204</t>
        </is>
      </c>
      <c r="G629" s="43" t="inlineStr">
        <is>
          <t>18605</t>
        </is>
      </c>
      <c r="H629" s="43" t="inlineStr">
        <is>
          <t>186</t>
        </is>
      </c>
      <c r="I629" s="43" t="inlineStr">
        <is>
          <t>05</t>
        </is>
      </c>
      <c r="J629" s="222" t="n">
        <v>1900</v>
      </c>
      <c r="K629" s="222" t="n">
        <v>570</v>
      </c>
      <c r="L629" s="43" t="inlineStr">
        <is>
          <t>在来・204</t>
        </is>
      </c>
      <c r="M629" s="178" t="b">
        <v>1</v>
      </c>
      <c r="N629" s="43" t="inlineStr">
        <is>
          <t>カタログ個別可否確認済み</t>
        </is>
      </c>
      <c r="O629" s="222" t="n">
        <v>99</v>
      </c>
      <c r="P629" s="222" t="n">
        <v>97</v>
      </c>
      <c r="Q629" s="43" t="inlineStr">
        <is>
          <t>202604_LIXIL_サーモスＬ_業務用資料集_完成品価格表.pdf</t>
        </is>
      </c>
      <c r="R629" s="43" t="inlineStr">
        <is>
          <t>規格呼称は親品種で確認済み。固有仕様ごとの価格設定有無（＿＿表示等）は次QAで最終確定。</t>
        </is>
      </c>
      <c r="S629" s="42" t="inlineStr">
        <is>
          <t>無印</t>
        </is>
      </c>
      <c r="T629" s="42" t="n">
        <v>96</v>
      </c>
      <c r="U629" s="42" t="inlineStr">
        <is>
          <t>P96|無印</t>
        </is>
      </c>
      <c r="V629" s="42" t="inlineStr">
        <is>
          <t>同一価格表・前頁凡例を継承</t>
        </is>
      </c>
    </row>
    <row r="630">
      <c r="A630" s="43" t="inlineStr">
        <is>
          <t>SZ-SL-000627</t>
        </is>
      </c>
      <c r="B630" s="43" t="inlineStr">
        <is>
          <t>SER-LIX-SAMOSL</t>
        </is>
      </c>
      <c r="C630" s="43" t="inlineStr">
        <is>
          <t>WT-SL-MENKOSHI-HIKI</t>
        </is>
      </c>
      <c r="D630" s="43" t="inlineStr">
        <is>
          <t>面格子付引違い窓</t>
        </is>
      </c>
      <c r="E630" s="43" t="inlineStr">
        <is>
          <t>SP-SL-GRILLE-V</t>
        </is>
      </c>
      <c r="F630" s="43" t="inlineStr">
        <is>
          <t>在来・204</t>
        </is>
      </c>
      <c r="G630" s="43" t="inlineStr">
        <is>
          <t>17405</t>
        </is>
      </c>
      <c r="H630" s="43" t="inlineStr">
        <is>
          <t>174</t>
        </is>
      </c>
      <c r="I630" s="43" t="inlineStr">
        <is>
          <t>05</t>
        </is>
      </c>
      <c r="J630" s="222" t="n">
        <v>1780</v>
      </c>
      <c r="K630" s="222" t="n">
        <v>570</v>
      </c>
      <c r="L630" s="43" t="inlineStr">
        <is>
          <t>在来・204</t>
        </is>
      </c>
      <c r="M630" s="178" t="b">
        <v>1</v>
      </c>
      <c r="N630" s="43" t="inlineStr">
        <is>
          <t>カタログ個別可否確認済み</t>
        </is>
      </c>
      <c r="O630" s="222" t="n">
        <v>99</v>
      </c>
      <c r="P630" s="222" t="n">
        <v>97</v>
      </c>
      <c r="Q630" s="43" t="inlineStr">
        <is>
          <t>202604_LIXIL_サーモスＬ_業務用資料集_完成品価格表.pdf</t>
        </is>
      </c>
      <c r="R630" s="43" t="inlineStr">
        <is>
          <t>規格呼称は親品種で確認済み。固有仕様ごとの価格設定有無（＿＿表示等）は次QAで最終確定。</t>
        </is>
      </c>
      <c r="S630" s="42" t="inlineStr">
        <is>
          <t>無印</t>
        </is>
      </c>
      <c r="T630" s="42" t="n">
        <v>96</v>
      </c>
      <c r="U630" s="42" t="inlineStr">
        <is>
          <t>P96|無印</t>
        </is>
      </c>
      <c r="V630" s="42" t="inlineStr">
        <is>
          <t>同一価格表・前頁凡例を継承</t>
        </is>
      </c>
    </row>
    <row r="631">
      <c r="A631" s="43" t="inlineStr">
        <is>
          <t>SZ-SL-000628</t>
        </is>
      </c>
      <c r="B631" s="43" t="inlineStr">
        <is>
          <t>SER-LIX-SAMOSL</t>
        </is>
      </c>
      <c r="C631" s="43" t="inlineStr">
        <is>
          <t>WT-SL-MENKOSHI-HIKI</t>
        </is>
      </c>
      <c r="D631" s="43" t="inlineStr">
        <is>
          <t>面格子付引違い窓</t>
        </is>
      </c>
      <c r="E631" s="43" t="inlineStr">
        <is>
          <t>SP-SL-GRILLE-V</t>
        </is>
      </c>
      <c r="F631" s="43" t="inlineStr">
        <is>
          <t>在来・204</t>
        </is>
      </c>
      <c r="G631" s="43" t="inlineStr">
        <is>
          <t>17605</t>
        </is>
      </c>
      <c r="H631" s="43" t="inlineStr">
        <is>
          <t>176</t>
        </is>
      </c>
      <c r="I631" s="43" t="inlineStr">
        <is>
          <t>05</t>
        </is>
      </c>
      <c r="J631" s="222" t="n">
        <v>1800</v>
      </c>
      <c r="K631" s="222" t="n">
        <v>570</v>
      </c>
      <c r="L631" s="43" t="inlineStr">
        <is>
          <t>在来・204</t>
        </is>
      </c>
      <c r="M631" s="178" t="b">
        <v>1</v>
      </c>
      <c r="N631" s="43" t="inlineStr">
        <is>
          <t>カタログ個別可否確認済み</t>
        </is>
      </c>
      <c r="O631" s="222" t="n">
        <v>99</v>
      </c>
      <c r="P631" s="222" t="n">
        <v>97</v>
      </c>
      <c r="Q631" s="43" t="inlineStr">
        <is>
          <t>202604_LIXIL_サーモスＬ_業務用資料集_完成品価格表.pdf</t>
        </is>
      </c>
      <c r="R631" s="43" t="inlineStr">
        <is>
          <t>規格呼称は親品種で確認済み。固有仕様ごとの価格設定有無（＿＿表示等）は次QAで最終確定。</t>
        </is>
      </c>
      <c r="S631" s="42" t="inlineStr">
        <is>
          <t>無印</t>
        </is>
      </c>
      <c r="T631" s="42" t="n">
        <v>96</v>
      </c>
      <c r="U631" s="42" t="inlineStr">
        <is>
          <t>P96|無印</t>
        </is>
      </c>
      <c r="V631" s="42" t="inlineStr">
        <is>
          <t>同一価格表・前頁凡例を継承</t>
        </is>
      </c>
    </row>
    <row r="632">
      <c r="A632" s="43" t="inlineStr">
        <is>
          <t>SZ-SL-000629</t>
        </is>
      </c>
      <c r="B632" s="43" t="inlineStr">
        <is>
          <t>SER-LIX-SAMOSL</t>
        </is>
      </c>
      <c r="C632" s="43" t="inlineStr">
        <is>
          <t>WT-SL-MENKOSHI-HIKI</t>
        </is>
      </c>
      <c r="D632" s="43" t="inlineStr">
        <is>
          <t>面格子付引違い窓</t>
        </is>
      </c>
      <c r="E632" s="43" t="inlineStr">
        <is>
          <t>SP-SL-GRILLE-V</t>
        </is>
      </c>
      <c r="F632" s="43" t="inlineStr">
        <is>
          <t>在来・204</t>
        </is>
      </c>
      <c r="G632" s="43" t="inlineStr">
        <is>
          <t>18005</t>
        </is>
      </c>
      <c r="H632" s="43" t="inlineStr">
        <is>
          <t>180</t>
        </is>
      </c>
      <c r="I632" s="43" t="inlineStr">
        <is>
          <t>05</t>
        </is>
      </c>
      <c r="J632" s="222" t="n">
        <v>1845</v>
      </c>
      <c r="K632" s="222" t="n">
        <v>570</v>
      </c>
      <c r="L632" s="43" t="inlineStr">
        <is>
          <t>在来・204</t>
        </is>
      </c>
      <c r="M632" s="178" t="b">
        <v>1</v>
      </c>
      <c r="N632" s="43" t="inlineStr">
        <is>
          <t>カタログ個別可否確認済み</t>
        </is>
      </c>
      <c r="O632" s="222" t="n">
        <v>99</v>
      </c>
      <c r="P632" s="222" t="n">
        <v>97</v>
      </c>
      <c r="Q632" s="43" t="inlineStr">
        <is>
          <t>202604_LIXIL_サーモスＬ_業務用資料集_完成品価格表.pdf</t>
        </is>
      </c>
      <c r="R632" s="43" t="inlineStr">
        <is>
          <t>規格呼称は親品種で確認済み。固有仕様ごとの価格設定有無（＿＿表示等）は次QAで最終確定。</t>
        </is>
      </c>
      <c r="S632" s="42" t="inlineStr">
        <is>
          <t>無印</t>
        </is>
      </c>
      <c r="T632" s="42" t="n">
        <v>96</v>
      </c>
      <c r="U632" s="42" t="inlineStr">
        <is>
          <t>P96|無印</t>
        </is>
      </c>
      <c r="V632" s="42" t="inlineStr">
        <is>
          <t>同一価格表・前頁凡例を継承</t>
        </is>
      </c>
    </row>
    <row r="633">
      <c r="A633" s="43" t="inlineStr">
        <is>
          <t>SZ-SL-000630</t>
        </is>
      </c>
      <c r="B633" s="43" t="inlineStr">
        <is>
          <t>SER-LIX-SAMOSL</t>
        </is>
      </c>
      <c r="C633" s="43" t="inlineStr">
        <is>
          <t>WT-SL-MENKOSHI-HIKI</t>
        </is>
      </c>
      <c r="D633" s="43" t="inlineStr">
        <is>
          <t>面格子付引違い窓</t>
        </is>
      </c>
      <c r="E633" s="43" t="inlineStr">
        <is>
          <t>SP-SL-GRILLE-V</t>
        </is>
      </c>
      <c r="F633" s="43" t="inlineStr">
        <is>
          <t>在来・204</t>
        </is>
      </c>
      <c r="G633" s="43" t="inlineStr">
        <is>
          <t>18605</t>
        </is>
      </c>
      <c r="H633" s="43" t="inlineStr">
        <is>
          <t>186</t>
        </is>
      </c>
      <c r="I633" s="43" t="inlineStr">
        <is>
          <t>05</t>
        </is>
      </c>
      <c r="J633" s="222" t="n">
        <v>1900</v>
      </c>
      <c r="K633" s="222" t="n">
        <v>570</v>
      </c>
      <c r="L633" s="43" t="inlineStr">
        <is>
          <t>在来・204</t>
        </is>
      </c>
      <c r="M633" s="178" t="b">
        <v>1</v>
      </c>
      <c r="N633" s="43" t="inlineStr">
        <is>
          <t>カタログ個別可否確認済み</t>
        </is>
      </c>
      <c r="O633" s="222" t="n">
        <v>99</v>
      </c>
      <c r="P633" s="222" t="n">
        <v>97</v>
      </c>
      <c r="Q633" s="43" t="inlineStr">
        <is>
          <t>202604_LIXIL_サーモスＬ_業務用資料集_完成品価格表.pdf</t>
        </is>
      </c>
      <c r="R633" s="43" t="inlineStr">
        <is>
          <t>規格呼称は親品種で確認済み。固有仕様ごとの価格設定有無（＿＿表示等）は次QAで最終確定。</t>
        </is>
      </c>
      <c r="S633" s="42" t="inlineStr">
        <is>
          <t>無印</t>
        </is>
      </c>
      <c r="T633" s="42" t="n">
        <v>96</v>
      </c>
      <c r="U633" s="42" t="inlineStr">
        <is>
          <t>P96|無印</t>
        </is>
      </c>
      <c r="V633" s="42" t="inlineStr">
        <is>
          <t>同一価格表・前頁凡例を継承</t>
        </is>
      </c>
    </row>
    <row r="634">
      <c r="A634" s="43" t="inlineStr">
        <is>
          <t>SZ-SL-000631</t>
        </is>
      </c>
      <c r="B634" s="43" t="inlineStr">
        <is>
          <t>SER-LIX-SAMOSL</t>
        </is>
      </c>
      <c r="C634" s="43" t="inlineStr">
        <is>
          <t>WT-SL-MENKOSHI-HIKI</t>
        </is>
      </c>
      <c r="D634" s="43" t="inlineStr">
        <is>
          <t>面格子付引違い窓</t>
        </is>
      </c>
      <c r="E634" s="43" t="inlineStr">
        <is>
          <t>SP-SL-GRILLE-DIA</t>
        </is>
      </c>
      <c r="F634" s="43" t="inlineStr">
        <is>
          <t>在来・204</t>
        </is>
      </c>
      <c r="G634" s="43" t="inlineStr">
        <is>
          <t>06007</t>
        </is>
      </c>
      <c r="H634" s="43" t="inlineStr">
        <is>
          <t>060</t>
        </is>
      </c>
      <c r="I634" s="43" t="inlineStr">
        <is>
          <t>07</t>
        </is>
      </c>
      <c r="J634" s="222" t="n">
        <v>640</v>
      </c>
      <c r="K634" s="222" t="n">
        <v>770</v>
      </c>
      <c r="L634" s="43" t="inlineStr">
        <is>
          <t>在来・204</t>
        </is>
      </c>
      <c r="M634" s="178" t="b">
        <v>1</v>
      </c>
      <c r="N634" s="43" t="inlineStr">
        <is>
          <t>カタログ個別可否確認済み</t>
        </is>
      </c>
      <c r="O634" s="222" t="n">
        <v>100</v>
      </c>
      <c r="P634" s="222" t="n">
        <v>98</v>
      </c>
      <c r="Q634" s="43" t="inlineStr">
        <is>
          <t>202604_LIXIL_サーモスＬ_業務用資料集_完成品価格表.pdf</t>
        </is>
      </c>
      <c r="R634" s="43" t="inlineStr">
        <is>
          <t>規格呼称は親品種で確認済み。固有仕様ごとの価格設定有無（＿＿表示等）は次QAで最終確定。</t>
        </is>
      </c>
      <c r="S634" s="42" t="inlineStr">
        <is>
          <t>無印</t>
        </is>
      </c>
      <c r="T634" s="42" t="n">
        <v>98</v>
      </c>
      <c r="U634" s="42" t="inlineStr">
        <is>
          <t>P98|無印</t>
        </is>
      </c>
      <c r="V634" s="42" t="inlineStr">
        <is>
          <t>同頁凡例へ直接連動</t>
        </is>
      </c>
    </row>
    <row r="635">
      <c r="A635" s="43" t="inlineStr">
        <is>
          <t>SZ-SL-000632</t>
        </is>
      </c>
      <c r="B635" s="43" t="inlineStr">
        <is>
          <t>SER-LIX-SAMOSL</t>
        </is>
      </c>
      <c r="C635" s="43" t="inlineStr">
        <is>
          <t>WT-SL-MENKOSHI-HIKI</t>
        </is>
      </c>
      <c r="D635" s="43" t="inlineStr">
        <is>
          <t>面格子付引違い窓</t>
        </is>
      </c>
      <c r="E635" s="43" t="inlineStr">
        <is>
          <t>SP-SL-GRILLE-DIA</t>
        </is>
      </c>
      <c r="F635" s="43" t="inlineStr">
        <is>
          <t>在来・204</t>
        </is>
      </c>
      <c r="G635" s="43" t="inlineStr">
        <is>
          <t>06907</t>
        </is>
      </c>
      <c r="H635" s="43" t="inlineStr">
        <is>
          <t>069</t>
        </is>
      </c>
      <c r="I635" s="43" t="inlineStr">
        <is>
          <t>07</t>
        </is>
      </c>
      <c r="J635" s="222" t="n">
        <v>730</v>
      </c>
      <c r="K635" s="222" t="n">
        <v>770</v>
      </c>
      <c r="L635" s="43" t="inlineStr">
        <is>
          <t>在来・204</t>
        </is>
      </c>
      <c r="M635" s="178" t="b">
        <v>1</v>
      </c>
      <c r="N635" s="43" t="inlineStr">
        <is>
          <t>カタログ個別可否確認済み</t>
        </is>
      </c>
      <c r="O635" s="222" t="n">
        <v>100</v>
      </c>
      <c r="P635" s="222" t="n">
        <v>98</v>
      </c>
      <c r="Q635" s="43" t="inlineStr">
        <is>
          <t>202604_LIXIL_サーモスＬ_業務用資料集_完成品価格表.pdf</t>
        </is>
      </c>
      <c r="R635" s="43" t="inlineStr">
        <is>
          <t>規格呼称は親品種で確認済み。固有仕様ごとの価格設定有無（＿＿表示等）は次QAで最終確定。</t>
        </is>
      </c>
      <c r="S635" s="42" t="inlineStr">
        <is>
          <t>無印</t>
        </is>
      </c>
      <c r="T635" s="42" t="n">
        <v>98</v>
      </c>
      <c r="U635" s="42" t="inlineStr">
        <is>
          <t>P98|無印</t>
        </is>
      </c>
      <c r="V635" s="42" t="inlineStr">
        <is>
          <t>同頁凡例へ直接連動</t>
        </is>
      </c>
    </row>
    <row r="636">
      <c r="A636" s="43" t="inlineStr">
        <is>
          <t>SZ-SL-000633</t>
        </is>
      </c>
      <c r="B636" s="43" t="inlineStr">
        <is>
          <t>SER-LIX-SAMOSL</t>
        </is>
      </c>
      <c r="C636" s="43" t="inlineStr">
        <is>
          <t>WT-SL-MENKOSHI-HIKI</t>
        </is>
      </c>
      <c r="D636" s="43" t="inlineStr">
        <is>
          <t>面格子付引違い窓</t>
        </is>
      </c>
      <c r="E636" s="43" t="inlineStr">
        <is>
          <t>SP-SL-GRILLE-DIA</t>
        </is>
      </c>
      <c r="F636" s="43" t="inlineStr">
        <is>
          <t>在来・204</t>
        </is>
      </c>
      <c r="G636" s="43" t="inlineStr">
        <is>
          <t>07407</t>
        </is>
      </c>
      <c r="H636" s="43" t="inlineStr">
        <is>
          <t>074</t>
        </is>
      </c>
      <c r="I636" s="43" t="inlineStr">
        <is>
          <t>07</t>
        </is>
      </c>
      <c r="J636" s="222" t="n">
        <v>780</v>
      </c>
      <c r="K636" s="222" t="n">
        <v>770</v>
      </c>
      <c r="L636" s="43" t="inlineStr">
        <is>
          <t>在来・204</t>
        </is>
      </c>
      <c r="M636" s="178" t="b">
        <v>1</v>
      </c>
      <c r="N636" s="43" t="inlineStr">
        <is>
          <t>カタログ個別可否確認済み</t>
        </is>
      </c>
      <c r="O636" s="222" t="n">
        <v>100</v>
      </c>
      <c r="P636" s="222" t="n">
        <v>98</v>
      </c>
      <c r="Q636" s="43" t="inlineStr">
        <is>
          <t>202604_LIXIL_サーモスＬ_業務用資料集_完成品価格表.pdf</t>
        </is>
      </c>
      <c r="R636" s="43" t="inlineStr">
        <is>
          <t>規格呼称は親品種で確認済み。固有仕様ごとの価格設定有無（＿＿表示等）は次QAで最終確定。</t>
        </is>
      </c>
      <c r="S636" s="42" t="inlineStr">
        <is>
          <t>無印</t>
        </is>
      </c>
      <c r="T636" s="42" t="n">
        <v>98</v>
      </c>
      <c r="U636" s="42" t="inlineStr">
        <is>
          <t>P98|無印</t>
        </is>
      </c>
      <c r="V636" s="42" t="inlineStr">
        <is>
          <t>同頁凡例へ直接連動</t>
        </is>
      </c>
    </row>
    <row r="637">
      <c r="A637" s="43" t="inlineStr">
        <is>
          <t>SZ-SL-000634</t>
        </is>
      </c>
      <c r="B637" s="43" t="inlineStr">
        <is>
          <t>SER-LIX-SAMOSL</t>
        </is>
      </c>
      <c r="C637" s="43" t="inlineStr">
        <is>
          <t>WT-SL-MENKOSHI-HIKI</t>
        </is>
      </c>
      <c r="D637" s="43" t="inlineStr">
        <is>
          <t>面格子付引違い窓</t>
        </is>
      </c>
      <c r="E637" s="43" t="inlineStr">
        <is>
          <t>SP-SL-GRILLE-DIA</t>
        </is>
      </c>
      <c r="F637" s="43" t="inlineStr">
        <is>
          <t>在来・204</t>
        </is>
      </c>
      <c r="G637" s="43" t="inlineStr">
        <is>
          <t>07807</t>
        </is>
      </c>
      <c r="H637" s="43" t="inlineStr">
        <is>
          <t>078</t>
        </is>
      </c>
      <c r="I637" s="43" t="inlineStr">
        <is>
          <t>07</t>
        </is>
      </c>
      <c r="J637" s="222" t="n">
        <v>820</v>
      </c>
      <c r="K637" s="222" t="n">
        <v>770</v>
      </c>
      <c r="L637" s="43" t="inlineStr">
        <is>
          <t>在来・204</t>
        </is>
      </c>
      <c r="M637" s="178" t="b">
        <v>1</v>
      </c>
      <c r="N637" s="43" t="inlineStr">
        <is>
          <t>カタログ個別可否確認済み</t>
        </is>
      </c>
      <c r="O637" s="222" t="n">
        <v>100</v>
      </c>
      <c r="P637" s="222" t="n">
        <v>98</v>
      </c>
      <c r="Q637" s="43" t="inlineStr">
        <is>
          <t>202604_LIXIL_サーモスＬ_業務用資料集_完成品価格表.pdf</t>
        </is>
      </c>
      <c r="R637" s="43" t="inlineStr">
        <is>
          <t>規格呼称は親品種で確認済み。固有仕様ごとの価格設定有無（＿＿表示等）は次QAで最終確定。</t>
        </is>
      </c>
      <c r="S637" s="42" t="inlineStr">
        <is>
          <t>無印</t>
        </is>
      </c>
      <c r="T637" s="42" t="n">
        <v>98</v>
      </c>
      <c r="U637" s="42" t="inlineStr">
        <is>
          <t>P98|無印</t>
        </is>
      </c>
      <c r="V637" s="42" t="inlineStr">
        <is>
          <t>同頁凡例へ直接連動</t>
        </is>
      </c>
    </row>
    <row r="638">
      <c r="A638" s="43" t="inlineStr">
        <is>
          <t>SZ-SL-000635</t>
        </is>
      </c>
      <c r="B638" s="43" t="inlineStr">
        <is>
          <t>SER-LIX-SAMOSL</t>
        </is>
      </c>
      <c r="C638" s="43" t="inlineStr">
        <is>
          <t>WT-SL-MENKOSHI-HIKI</t>
        </is>
      </c>
      <c r="D638" s="43" t="inlineStr">
        <is>
          <t>面格子付引違い窓</t>
        </is>
      </c>
      <c r="E638" s="43" t="inlineStr">
        <is>
          <t>SP-SL-GRILLE-H</t>
        </is>
      </c>
      <c r="F638" s="43" t="inlineStr">
        <is>
          <t>在来・204</t>
        </is>
      </c>
      <c r="G638" s="43" t="inlineStr">
        <is>
          <t>06007</t>
        </is>
      </c>
      <c r="H638" s="43" t="inlineStr">
        <is>
          <t>060</t>
        </is>
      </c>
      <c r="I638" s="43" t="inlineStr">
        <is>
          <t>07</t>
        </is>
      </c>
      <c r="J638" s="222" t="n">
        <v>640</v>
      </c>
      <c r="K638" s="222" t="n">
        <v>770</v>
      </c>
      <c r="L638" s="43" t="inlineStr">
        <is>
          <t>在来・204</t>
        </is>
      </c>
      <c r="M638" s="178" t="b">
        <v>1</v>
      </c>
      <c r="N638" s="43" t="inlineStr">
        <is>
          <t>カタログ個別可否確認済み</t>
        </is>
      </c>
      <c r="O638" s="222" t="n">
        <v>100</v>
      </c>
      <c r="P638" s="222" t="n">
        <v>98</v>
      </c>
      <c r="Q638" s="43" t="inlineStr">
        <is>
          <t>202604_LIXIL_サーモスＬ_業務用資料集_完成品価格表.pdf</t>
        </is>
      </c>
      <c r="R638" s="43" t="inlineStr">
        <is>
          <t>規格呼称は親品種で確認済み。固有仕様ごとの価格設定有無（＿＿表示等）は次QAで最終確定。</t>
        </is>
      </c>
      <c r="S638" s="42" t="inlineStr">
        <is>
          <t>無印</t>
        </is>
      </c>
      <c r="T638" s="42" t="n">
        <v>98</v>
      </c>
      <c r="U638" s="42" t="inlineStr">
        <is>
          <t>P98|無印</t>
        </is>
      </c>
      <c r="V638" s="42" t="inlineStr">
        <is>
          <t>同頁凡例へ直接連動</t>
        </is>
      </c>
    </row>
    <row r="639">
      <c r="A639" s="43" t="inlineStr">
        <is>
          <t>SZ-SL-000636</t>
        </is>
      </c>
      <c r="B639" s="43" t="inlineStr">
        <is>
          <t>SER-LIX-SAMOSL</t>
        </is>
      </c>
      <c r="C639" s="43" t="inlineStr">
        <is>
          <t>WT-SL-MENKOSHI-HIKI</t>
        </is>
      </c>
      <c r="D639" s="43" t="inlineStr">
        <is>
          <t>面格子付引違い窓</t>
        </is>
      </c>
      <c r="E639" s="43" t="inlineStr">
        <is>
          <t>SP-SL-GRILLE-H</t>
        </is>
      </c>
      <c r="F639" s="43" t="inlineStr">
        <is>
          <t>在来・204</t>
        </is>
      </c>
      <c r="G639" s="43" t="inlineStr">
        <is>
          <t>06907</t>
        </is>
      </c>
      <c r="H639" s="43" t="inlineStr">
        <is>
          <t>069</t>
        </is>
      </c>
      <c r="I639" s="43" t="inlineStr">
        <is>
          <t>07</t>
        </is>
      </c>
      <c r="J639" s="222" t="n">
        <v>730</v>
      </c>
      <c r="K639" s="222" t="n">
        <v>770</v>
      </c>
      <c r="L639" s="43" t="inlineStr">
        <is>
          <t>在来・204</t>
        </is>
      </c>
      <c r="M639" s="178" t="b">
        <v>1</v>
      </c>
      <c r="N639" s="43" t="inlineStr">
        <is>
          <t>カタログ個別可否確認済み</t>
        </is>
      </c>
      <c r="O639" s="222" t="n">
        <v>100</v>
      </c>
      <c r="P639" s="222" t="n">
        <v>98</v>
      </c>
      <c r="Q639" s="43" t="inlineStr">
        <is>
          <t>202604_LIXIL_サーモスＬ_業務用資料集_完成品価格表.pdf</t>
        </is>
      </c>
      <c r="R639" s="43" t="inlineStr">
        <is>
          <t>規格呼称は親品種で確認済み。固有仕様ごとの価格設定有無（＿＿表示等）は次QAで最終確定。</t>
        </is>
      </c>
      <c r="S639" s="42" t="inlineStr">
        <is>
          <t>無印</t>
        </is>
      </c>
      <c r="T639" s="42" t="n">
        <v>98</v>
      </c>
      <c r="U639" s="42" t="inlineStr">
        <is>
          <t>P98|無印</t>
        </is>
      </c>
      <c r="V639" s="42" t="inlineStr">
        <is>
          <t>同頁凡例へ直接連動</t>
        </is>
      </c>
    </row>
    <row r="640">
      <c r="A640" s="43" t="inlineStr">
        <is>
          <t>SZ-SL-000637</t>
        </is>
      </c>
      <c r="B640" s="43" t="inlineStr">
        <is>
          <t>SER-LIX-SAMOSL</t>
        </is>
      </c>
      <c r="C640" s="43" t="inlineStr">
        <is>
          <t>WT-SL-MENKOSHI-HIKI</t>
        </is>
      </c>
      <c r="D640" s="43" t="inlineStr">
        <is>
          <t>面格子付引違い窓</t>
        </is>
      </c>
      <c r="E640" s="43" t="inlineStr">
        <is>
          <t>SP-SL-GRILLE-H</t>
        </is>
      </c>
      <c r="F640" s="43" t="inlineStr">
        <is>
          <t>在来・204</t>
        </is>
      </c>
      <c r="G640" s="43" t="inlineStr">
        <is>
          <t>07407</t>
        </is>
      </c>
      <c r="H640" s="43" t="inlineStr">
        <is>
          <t>074</t>
        </is>
      </c>
      <c r="I640" s="43" t="inlineStr">
        <is>
          <t>07</t>
        </is>
      </c>
      <c r="J640" s="222" t="n">
        <v>780</v>
      </c>
      <c r="K640" s="222" t="n">
        <v>770</v>
      </c>
      <c r="L640" s="43" t="inlineStr">
        <is>
          <t>在来・204</t>
        </is>
      </c>
      <c r="M640" s="178" t="b">
        <v>1</v>
      </c>
      <c r="N640" s="43" t="inlineStr">
        <is>
          <t>カタログ個別可否確認済み</t>
        </is>
      </c>
      <c r="O640" s="222" t="n">
        <v>100</v>
      </c>
      <c r="P640" s="222" t="n">
        <v>98</v>
      </c>
      <c r="Q640" s="43" t="inlineStr">
        <is>
          <t>202604_LIXIL_サーモスＬ_業務用資料集_完成品価格表.pdf</t>
        </is>
      </c>
      <c r="R640" s="43" t="inlineStr">
        <is>
          <t>規格呼称は親品種で確認済み。固有仕様ごとの価格設定有無（＿＿表示等）は次QAで最終確定。</t>
        </is>
      </c>
      <c r="S640" s="42" t="inlineStr">
        <is>
          <t>無印</t>
        </is>
      </c>
      <c r="T640" s="42" t="n">
        <v>98</v>
      </c>
      <c r="U640" s="42" t="inlineStr">
        <is>
          <t>P98|無印</t>
        </is>
      </c>
      <c r="V640" s="42" t="inlineStr">
        <is>
          <t>同頁凡例へ直接連動</t>
        </is>
      </c>
    </row>
    <row r="641">
      <c r="A641" s="43" t="inlineStr">
        <is>
          <t>SZ-SL-000638</t>
        </is>
      </c>
      <c r="B641" s="43" t="inlineStr">
        <is>
          <t>SER-LIX-SAMOSL</t>
        </is>
      </c>
      <c r="C641" s="43" t="inlineStr">
        <is>
          <t>WT-SL-MENKOSHI-HIKI</t>
        </is>
      </c>
      <c r="D641" s="43" t="inlineStr">
        <is>
          <t>面格子付引違い窓</t>
        </is>
      </c>
      <c r="E641" s="43" t="inlineStr">
        <is>
          <t>SP-SL-GRILLE-H</t>
        </is>
      </c>
      <c r="F641" s="43" t="inlineStr">
        <is>
          <t>在来・204</t>
        </is>
      </c>
      <c r="G641" s="43" t="inlineStr">
        <is>
          <t>07807</t>
        </is>
      </c>
      <c r="H641" s="43" t="inlineStr">
        <is>
          <t>078</t>
        </is>
      </c>
      <c r="I641" s="43" t="inlineStr">
        <is>
          <t>07</t>
        </is>
      </c>
      <c r="J641" s="222" t="n">
        <v>820</v>
      </c>
      <c r="K641" s="222" t="n">
        <v>770</v>
      </c>
      <c r="L641" s="43" t="inlineStr">
        <is>
          <t>在来・204</t>
        </is>
      </c>
      <c r="M641" s="178" t="b">
        <v>1</v>
      </c>
      <c r="N641" s="43" t="inlineStr">
        <is>
          <t>カタログ個別可否確認済み</t>
        </is>
      </c>
      <c r="O641" s="222" t="n">
        <v>100</v>
      </c>
      <c r="P641" s="222" t="n">
        <v>98</v>
      </c>
      <c r="Q641" s="43" t="inlineStr">
        <is>
          <t>202604_LIXIL_サーモスＬ_業務用資料集_完成品価格表.pdf</t>
        </is>
      </c>
      <c r="R641" s="43" t="inlineStr">
        <is>
          <t>規格呼称は親品種で確認済み。固有仕様ごとの価格設定有無（＿＿表示等）は次QAで最終確定。</t>
        </is>
      </c>
      <c r="S641" s="42" t="inlineStr">
        <is>
          <t>無印</t>
        </is>
      </c>
      <c r="T641" s="42" t="n">
        <v>98</v>
      </c>
      <c r="U641" s="42" t="inlineStr">
        <is>
          <t>P98|無印</t>
        </is>
      </c>
      <c r="V641" s="42" t="inlineStr">
        <is>
          <t>同頁凡例へ直接連動</t>
        </is>
      </c>
    </row>
    <row r="642">
      <c r="A642" s="43" t="inlineStr">
        <is>
          <t>SZ-SL-000639</t>
        </is>
      </c>
      <c r="B642" s="43" t="inlineStr">
        <is>
          <t>SER-LIX-SAMOSL</t>
        </is>
      </c>
      <c r="C642" s="43" t="inlineStr">
        <is>
          <t>WT-SL-MENKOSHI-HIKI</t>
        </is>
      </c>
      <c r="D642" s="43" t="inlineStr">
        <is>
          <t>面格子付引違い窓</t>
        </is>
      </c>
      <c r="E642" s="43" t="inlineStr">
        <is>
          <t>SP-SL-GRILLE-IGETA</t>
        </is>
      </c>
      <c r="F642" s="43" t="inlineStr">
        <is>
          <t>在来・204</t>
        </is>
      </c>
      <c r="G642" s="43" t="inlineStr">
        <is>
          <t>06007</t>
        </is>
      </c>
      <c r="H642" s="43" t="inlineStr">
        <is>
          <t>060</t>
        </is>
      </c>
      <c r="I642" s="43" t="inlineStr">
        <is>
          <t>07</t>
        </is>
      </c>
      <c r="J642" s="222" t="n">
        <v>640</v>
      </c>
      <c r="K642" s="222" t="n">
        <v>770</v>
      </c>
      <c r="L642" s="43" t="inlineStr">
        <is>
          <t>在来・204</t>
        </is>
      </c>
      <c r="M642" s="178" t="b">
        <v>1</v>
      </c>
      <c r="N642" s="43" t="inlineStr">
        <is>
          <t>カタログ個別可否確認済み</t>
        </is>
      </c>
      <c r="O642" s="222" t="n">
        <v>100</v>
      </c>
      <c r="P642" s="222" t="n">
        <v>98</v>
      </c>
      <c r="Q642" s="43" t="inlineStr">
        <is>
          <t>202604_LIXIL_サーモスＬ_業務用資料集_完成品価格表.pdf</t>
        </is>
      </c>
      <c r="R642" s="43" t="inlineStr">
        <is>
          <t>規格呼称は親品種で確認済み。固有仕様ごとの価格設定有無（＿＿表示等）は次QAで最終確定。</t>
        </is>
      </c>
      <c r="S642" s="42" t="inlineStr">
        <is>
          <t>無印</t>
        </is>
      </c>
      <c r="T642" s="42" t="n">
        <v>98</v>
      </c>
      <c r="U642" s="42" t="inlineStr">
        <is>
          <t>P98|無印</t>
        </is>
      </c>
      <c r="V642" s="42" t="inlineStr">
        <is>
          <t>同頁凡例へ直接連動</t>
        </is>
      </c>
    </row>
    <row r="643">
      <c r="A643" s="43" t="inlineStr">
        <is>
          <t>SZ-SL-000640</t>
        </is>
      </c>
      <c r="B643" s="43" t="inlineStr">
        <is>
          <t>SER-LIX-SAMOSL</t>
        </is>
      </c>
      <c r="C643" s="43" t="inlineStr">
        <is>
          <t>WT-SL-MENKOSHI-HIKI</t>
        </is>
      </c>
      <c r="D643" s="43" t="inlineStr">
        <is>
          <t>面格子付引違い窓</t>
        </is>
      </c>
      <c r="E643" s="43" t="inlineStr">
        <is>
          <t>SP-SL-GRILLE-IGETA</t>
        </is>
      </c>
      <c r="F643" s="43" t="inlineStr">
        <is>
          <t>在来・204</t>
        </is>
      </c>
      <c r="G643" s="43" t="inlineStr">
        <is>
          <t>06907</t>
        </is>
      </c>
      <c r="H643" s="43" t="inlineStr">
        <is>
          <t>069</t>
        </is>
      </c>
      <c r="I643" s="43" t="inlineStr">
        <is>
          <t>07</t>
        </is>
      </c>
      <c r="J643" s="222" t="n">
        <v>730</v>
      </c>
      <c r="K643" s="222" t="n">
        <v>770</v>
      </c>
      <c r="L643" s="43" t="inlineStr">
        <is>
          <t>在来・204</t>
        </is>
      </c>
      <c r="M643" s="178" t="b">
        <v>1</v>
      </c>
      <c r="N643" s="43" t="inlineStr">
        <is>
          <t>カタログ個別可否確認済み</t>
        </is>
      </c>
      <c r="O643" s="222" t="n">
        <v>100</v>
      </c>
      <c r="P643" s="222" t="n">
        <v>98</v>
      </c>
      <c r="Q643" s="43" t="inlineStr">
        <is>
          <t>202604_LIXIL_サーモスＬ_業務用資料集_完成品価格表.pdf</t>
        </is>
      </c>
      <c r="R643" s="43" t="inlineStr">
        <is>
          <t>規格呼称は親品種で確認済み。固有仕様ごとの価格設定有無（＿＿表示等）は次QAで最終確定。</t>
        </is>
      </c>
      <c r="S643" s="42" t="inlineStr">
        <is>
          <t>無印</t>
        </is>
      </c>
      <c r="T643" s="42" t="n">
        <v>98</v>
      </c>
      <c r="U643" s="42" t="inlineStr">
        <is>
          <t>P98|無印</t>
        </is>
      </c>
      <c r="V643" s="42" t="inlineStr">
        <is>
          <t>同頁凡例へ直接連動</t>
        </is>
      </c>
    </row>
    <row r="644">
      <c r="A644" s="43" t="inlineStr">
        <is>
          <t>SZ-SL-000641</t>
        </is>
      </c>
      <c r="B644" s="43" t="inlineStr">
        <is>
          <t>SER-LIX-SAMOSL</t>
        </is>
      </c>
      <c r="C644" s="43" t="inlineStr">
        <is>
          <t>WT-SL-MENKOSHI-HIKI</t>
        </is>
      </c>
      <c r="D644" s="43" t="inlineStr">
        <is>
          <t>面格子付引違い窓</t>
        </is>
      </c>
      <c r="E644" s="43" t="inlineStr">
        <is>
          <t>SP-SL-GRILLE-IGETA</t>
        </is>
      </c>
      <c r="F644" s="43" t="inlineStr">
        <is>
          <t>在来・204</t>
        </is>
      </c>
      <c r="G644" s="43" t="inlineStr">
        <is>
          <t>07407</t>
        </is>
      </c>
      <c r="H644" s="43" t="inlineStr">
        <is>
          <t>074</t>
        </is>
      </c>
      <c r="I644" s="43" t="inlineStr">
        <is>
          <t>07</t>
        </is>
      </c>
      <c r="J644" s="222" t="n">
        <v>780</v>
      </c>
      <c r="K644" s="222" t="n">
        <v>770</v>
      </c>
      <c r="L644" s="43" t="inlineStr">
        <is>
          <t>在来・204</t>
        </is>
      </c>
      <c r="M644" s="178" t="b">
        <v>1</v>
      </c>
      <c r="N644" s="43" t="inlineStr">
        <is>
          <t>カタログ個別可否確認済み</t>
        </is>
      </c>
      <c r="O644" s="222" t="n">
        <v>100</v>
      </c>
      <c r="P644" s="222" t="n">
        <v>98</v>
      </c>
      <c r="Q644" s="43" t="inlineStr">
        <is>
          <t>202604_LIXIL_サーモスＬ_業務用資料集_完成品価格表.pdf</t>
        </is>
      </c>
      <c r="R644" s="43" t="inlineStr">
        <is>
          <t>規格呼称は親品種で確認済み。固有仕様ごとの価格設定有無（＿＿表示等）は次QAで最終確定。</t>
        </is>
      </c>
      <c r="S644" s="42" t="inlineStr">
        <is>
          <t>無印</t>
        </is>
      </c>
      <c r="T644" s="42" t="n">
        <v>98</v>
      </c>
      <c r="U644" s="42" t="inlineStr">
        <is>
          <t>P98|無印</t>
        </is>
      </c>
      <c r="V644" s="42" t="inlineStr">
        <is>
          <t>同頁凡例へ直接連動</t>
        </is>
      </c>
    </row>
    <row r="645">
      <c r="A645" s="43" t="inlineStr">
        <is>
          <t>SZ-SL-000642</t>
        </is>
      </c>
      <c r="B645" s="43" t="inlineStr">
        <is>
          <t>SER-LIX-SAMOSL</t>
        </is>
      </c>
      <c r="C645" s="43" t="inlineStr">
        <is>
          <t>WT-SL-MENKOSHI-HIKI</t>
        </is>
      </c>
      <c r="D645" s="43" t="inlineStr">
        <is>
          <t>面格子付引違い窓</t>
        </is>
      </c>
      <c r="E645" s="43" t="inlineStr">
        <is>
          <t>SP-SL-GRILLE-IGETA</t>
        </is>
      </c>
      <c r="F645" s="43" t="inlineStr">
        <is>
          <t>在来・204</t>
        </is>
      </c>
      <c r="G645" s="43" t="inlineStr">
        <is>
          <t>07807</t>
        </is>
      </c>
      <c r="H645" s="43" t="inlineStr">
        <is>
          <t>078</t>
        </is>
      </c>
      <c r="I645" s="43" t="inlineStr">
        <is>
          <t>07</t>
        </is>
      </c>
      <c r="J645" s="222" t="n">
        <v>820</v>
      </c>
      <c r="K645" s="222" t="n">
        <v>770</v>
      </c>
      <c r="L645" s="43" t="inlineStr">
        <is>
          <t>在来・204</t>
        </is>
      </c>
      <c r="M645" s="178" t="b">
        <v>1</v>
      </c>
      <c r="N645" s="43" t="inlineStr">
        <is>
          <t>カタログ個別可否確認済み</t>
        </is>
      </c>
      <c r="O645" s="222" t="n">
        <v>100</v>
      </c>
      <c r="P645" s="222" t="n">
        <v>98</v>
      </c>
      <c r="Q645" s="43" t="inlineStr">
        <is>
          <t>202604_LIXIL_サーモスＬ_業務用資料集_完成品価格表.pdf</t>
        </is>
      </c>
      <c r="R645" s="43" t="inlineStr">
        <is>
          <t>規格呼称は親品種で確認済み。固有仕様ごとの価格設定有無（＿＿表示等）は次QAで最終確定。</t>
        </is>
      </c>
      <c r="S645" s="42" t="inlineStr">
        <is>
          <t>無印</t>
        </is>
      </c>
      <c r="T645" s="42" t="n">
        <v>98</v>
      </c>
      <c r="U645" s="42" t="inlineStr">
        <is>
          <t>P98|無印</t>
        </is>
      </c>
      <c r="V645" s="42" t="inlineStr">
        <is>
          <t>同頁凡例へ直接連動</t>
        </is>
      </c>
    </row>
    <row r="646">
      <c r="A646" s="43" t="inlineStr">
        <is>
          <t>SZ-SL-000643</t>
        </is>
      </c>
      <c r="B646" s="43" t="inlineStr">
        <is>
          <t>SER-LIX-SAMOSL</t>
        </is>
      </c>
      <c r="C646" s="43" t="inlineStr">
        <is>
          <t>WT-SL-MENKOSHI-HIKI</t>
        </is>
      </c>
      <c r="D646" s="43" t="inlineStr">
        <is>
          <t>面格子付引違い窓</t>
        </is>
      </c>
      <c r="E646" s="43" t="inlineStr">
        <is>
          <t>SP-SL-GRILLE-V</t>
        </is>
      </c>
      <c r="F646" s="43" t="inlineStr">
        <is>
          <t>在来・204</t>
        </is>
      </c>
      <c r="G646" s="43" t="inlineStr">
        <is>
          <t>06007</t>
        </is>
      </c>
      <c r="H646" s="43" t="inlineStr">
        <is>
          <t>060</t>
        </is>
      </c>
      <c r="I646" s="43" t="inlineStr">
        <is>
          <t>07</t>
        </is>
      </c>
      <c r="J646" s="222" t="n">
        <v>640</v>
      </c>
      <c r="K646" s="222" t="n">
        <v>770</v>
      </c>
      <c r="L646" s="43" t="inlineStr">
        <is>
          <t>在来・204</t>
        </is>
      </c>
      <c r="M646" s="178" t="b">
        <v>1</v>
      </c>
      <c r="N646" s="43" t="inlineStr">
        <is>
          <t>カタログ個別可否確認済み</t>
        </is>
      </c>
      <c r="O646" s="222" t="n">
        <v>100</v>
      </c>
      <c r="P646" s="222" t="n">
        <v>98</v>
      </c>
      <c r="Q646" s="43" t="inlineStr">
        <is>
          <t>202604_LIXIL_サーモスＬ_業務用資料集_完成品価格表.pdf</t>
        </is>
      </c>
      <c r="R646" s="43" t="inlineStr">
        <is>
          <t>規格呼称は親品種で確認済み。固有仕様ごとの価格設定有無（＿＿表示等）は次QAで最終確定。</t>
        </is>
      </c>
      <c r="S646" s="42" t="inlineStr">
        <is>
          <t>無印</t>
        </is>
      </c>
      <c r="T646" s="42" t="n">
        <v>98</v>
      </c>
      <c r="U646" s="42" t="inlineStr">
        <is>
          <t>P98|無印</t>
        </is>
      </c>
      <c r="V646" s="42" t="inlineStr">
        <is>
          <t>同頁凡例へ直接連動</t>
        </is>
      </c>
    </row>
    <row r="647">
      <c r="A647" s="43" t="inlineStr">
        <is>
          <t>SZ-SL-000644</t>
        </is>
      </c>
      <c r="B647" s="43" t="inlineStr">
        <is>
          <t>SER-LIX-SAMOSL</t>
        </is>
      </c>
      <c r="C647" s="43" t="inlineStr">
        <is>
          <t>WT-SL-MENKOSHI-HIKI</t>
        </is>
      </c>
      <c r="D647" s="43" t="inlineStr">
        <is>
          <t>面格子付引違い窓</t>
        </is>
      </c>
      <c r="E647" s="43" t="inlineStr">
        <is>
          <t>SP-SL-GRILLE-V</t>
        </is>
      </c>
      <c r="F647" s="43" t="inlineStr">
        <is>
          <t>在来・204</t>
        </is>
      </c>
      <c r="G647" s="43" t="inlineStr">
        <is>
          <t>06907</t>
        </is>
      </c>
      <c r="H647" s="43" t="inlineStr">
        <is>
          <t>069</t>
        </is>
      </c>
      <c r="I647" s="43" t="inlineStr">
        <is>
          <t>07</t>
        </is>
      </c>
      <c r="J647" s="222" t="n">
        <v>730</v>
      </c>
      <c r="K647" s="222" t="n">
        <v>770</v>
      </c>
      <c r="L647" s="43" t="inlineStr">
        <is>
          <t>在来・204</t>
        </is>
      </c>
      <c r="M647" s="178" t="b">
        <v>1</v>
      </c>
      <c r="N647" s="43" t="inlineStr">
        <is>
          <t>カタログ個別可否確認済み</t>
        </is>
      </c>
      <c r="O647" s="222" t="n">
        <v>100</v>
      </c>
      <c r="P647" s="222" t="n">
        <v>98</v>
      </c>
      <c r="Q647" s="43" t="inlineStr">
        <is>
          <t>202604_LIXIL_サーモスＬ_業務用資料集_完成品価格表.pdf</t>
        </is>
      </c>
      <c r="R647" s="43" t="inlineStr">
        <is>
          <t>規格呼称は親品種で確認済み。固有仕様ごとの価格設定有無（＿＿表示等）は次QAで最終確定。</t>
        </is>
      </c>
      <c r="S647" s="42" t="inlineStr">
        <is>
          <t>無印</t>
        </is>
      </c>
      <c r="T647" s="42" t="n">
        <v>98</v>
      </c>
      <c r="U647" s="42" t="inlineStr">
        <is>
          <t>P98|無印</t>
        </is>
      </c>
      <c r="V647" s="42" t="inlineStr">
        <is>
          <t>同頁凡例へ直接連動</t>
        </is>
      </c>
    </row>
    <row r="648">
      <c r="A648" s="43" t="inlineStr">
        <is>
          <t>SZ-SL-000645</t>
        </is>
      </c>
      <c r="B648" s="43" t="inlineStr">
        <is>
          <t>SER-LIX-SAMOSL</t>
        </is>
      </c>
      <c r="C648" s="43" t="inlineStr">
        <is>
          <t>WT-SL-MENKOSHI-HIKI</t>
        </is>
      </c>
      <c r="D648" s="43" t="inlineStr">
        <is>
          <t>面格子付引違い窓</t>
        </is>
      </c>
      <c r="E648" s="43" t="inlineStr">
        <is>
          <t>SP-SL-GRILLE-V</t>
        </is>
      </c>
      <c r="F648" s="43" t="inlineStr">
        <is>
          <t>在来・204</t>
        </is>
      </c>
      <c r="G648" s="43" t="inlineStr">
        <is>
          <t>07407</t>
        </is>
      </c>
      <c r="H648" s="43" t="inlineStr">
        <is>
          <t>074</t>
        </is>
      </c>
      <c r="I648" s="43" t="inlineStr">
        <is>
          <t>07</t>
        </is>
      </c>
      <c r="J648" s="222" t="n">
        <v>780</v>
      </c>
      <c r="K648" s="222" t="n">
        <v>770</v>
      </c>
      <c r="L648" s="43" t="inlineStr">
        <is>
          <t>在来・204</t>
        </is>
      </c>
      <c r="M648" s="178" t="b">
        <v>1</v>
      </c>
      <c r="N648" s="43" t="inlineStr">
        <is>
          <t>カタログ個別可否確認済み</t>
        </is>
      </c>
      <c r="O648" s="222" t="n">
        <v>100</v>
      </c>
      <c r="P648" s="222" t="n">
        <v>98</v>
      </c>
      <c r="Q648" s="43" t="inlineStr">
        <is>
          <t>202604_LIXIL_サーモスＬ_業務用資料集_完成品価格表.pdf</t>
        </is>
      </c>
      <c r="R648" s="43" t="inlineStr">
        <is>
          <t>規格呼称は親品種で確認済み。固有仕様ごとの価格設定有無（＿＿表示等）は次QAで最終確定。</t>
        </is>
      </c>
      <c r="S648" s="42" t="inlineStr">
        <is>
          <t>無印</t>
        </is>
      </c>
      <c r="T648" s="42" t="n">
        <v>98</v>
      </c>
      <c r="U648" s="42" t="inlineStr">
        <is>
          <t>P98|無印</t>
        </is>
      </c>
      <c r="V648" s="42" t="inlineStr">
        <is>
          <t>同頁凡例へ直接連動</t>
        </is>
      </c>
    </row>
    <row r="649">
      <c r="A649" s="43" t="inlineStr">
        <is>
          <t>SZ-SL-000646</t>
        </is>
      </c>
      <c r="B649" s="43" t="inlineStr">
        <is>
          <t>SER-LIX-SAMOSL</t>
        </is>
      </c>
      <c r="C649" s="43" t="inlineStr">
        <is>
          <t>WT-SL-MENKOSHI-HIKI</t>
        </is>
      </c>
      <c r="D649" s="43" t="inlineStr">
        <is>
          <t>面格子付引違い窓</t>
        </is>
      </c>
      <c r="E649" s="43" t="inlineStr">
        <is>
          <t>SP-SL-GRILLE-V</t>
        </is>
      </c>
      <c r="F649" s="43" t="inlineStr">
        <is>
          <t>在来・204</t>
        </is>
      </c>
      <c r="G649" s="43" t="inlineStr">
        <is>
          <t>07807</t>
        </is>
      </c>
      <c r="H649" s="43" t="inlineStr">
        <is>
          <t>078</t>
        </is>
      </c>
      <c r="I649" s="43" t="inlineStr">
        <is>
          <t>07</t>
        </is>
      </c>
      <c r="J649" s="222" t="n">
        <v>820</v>
      </c>
      <c r="K649" s="222" t="n">
        <v>770</v>
      </c>
      <c r="L649" s="43" t="inlineStr">
        <is>
          <t>在来・204</t>
        </is>
      </c>
      <c r="M649" s="178" t="b">
        <v>1</v>
      </c>
      <c r="N649" s="43" t="inlineStr">
        <is>
          <t>カタログ個別可否確認済み</t>
        </is>
      </c>
      <c r="O649" s="222" t="n">
        <v>100</v>
      </c>
      <c r="P649" s="222" t="n">
        <v>98</v>
      </c>
      <c r="Q649" s="43" t="inlineStr">
        <is>
          <t>202604_LIXIL_サーモスＬ_業務用資料集_完成品価格表.pdf</t>
        </is>
      </c>
      <c r="R649" s="43" t="inlineStr">
        <is>
          <t>規格呼称は親品種で確認済み。固有仕様ごとの価格設定有無（＿＿表示等）は次QAで最終確定。</t>
        </is>
      </c>
      <c r="S649" s="42" t="inlineStr">
        <is>
          <t>無印</t>
        </is>
      </c>
      <c r="T649" s="42" t="n">
        <v>98</v>
      </c>
      <c r="U649" s="42" t="inlineStr">
        <is>
          <t>P98|無印</t>
        </is>
      </c>
      <c r="V649" s="42" t="inlineStr">
        <is>
          <t>同頁凡例へ直接連動</t>
        </is>
      </c>
    </row>
    <row r="650">
      <c r="A650" s="43" t="inlineStr">
        <is>
          <t>SZ-SL-000647</t>
        </is>
      </c>
      <c r="B650" s="43" t="inlineStr">
        <is>
          <t>SER-LIX-SAMOSL</t>
        </is>
      </c>
      <c r="C650" s="43" t="inlineStr">
        <is>
          <t>WT-SL-MENKOSHI-HIKI</t>
        </is>
      </c>
      <c r="D650" s="43" t="inlineStr">
        <is>
          <t>面格子付引違い窓</t>
        </is>
      </c>
      <c r="E650" s="43" t="inlineStr">
        <is>
          <t>SP-SL-GRILLE-DIA</t>
        </is>
      </c>
      <c r="F650" s="43" t="inlineStr">
        <is>
          <t>在来・204</t>
        </is>
      </c>
      <c r="G650" s="43" t="inlineStr">
        <is>
          <t>08007</t>
        </is>
      </c>
      <c r="H650" s="43" t="inlineStr">
        <is>
          <t>080</t>
        </is>
      </c>
      <c r="I650" s="43" t="inlineStr">
        <is>
          <t>07</t>
        </is>
      </c>
      <c r="J650" s="222" t="n">
        <v>845</v>
      </c>
      <c r="K650" s="222" t="n">
        <v>770</v>
      </c>
      <c r="L650" s="43" t="inlineStr">
        <is>
          <t>在来・204</t>
        </is>
      </c>
      <c r="M650" s="178" t="b">
        <v>1</v>
      </c>
      <c r="N650" s="43" t="inlineStr">
        <is>
          <t>カタログ個別可否確認済み</t>
        </is>
      </c>
      <c r="O650" s="222" t="n">
        <v>101</v>
      </c>
      <c r="P650" s="222" t="n">
        <v>99</v>
      </c>
      <c r="Q650" s="43" t="inlineStr">
        <is>
          <t>202604_LIXIL_サーモスＬ_業務用資料集_完成品価格表.pdf</t>
        </is>
      </c>
      <c r="R650" s="43" t="inlineStr">
        <is>
          <t>規格呼称は親品種で確認済み。固有仕様ごとの価格設定有無（＿＿表示等）は次QAで最終確定。</t>
        </is>
      </c>
      <c r="S650" s="42" t="inlineStr">
        <is>
          <t>無印</t>
        </is>
      </c>
      <c r="T650" s="42" t="n">
        <v>98</v>
      </c>
      <c r="U650" s="42" t="inlineStr">
        <is>
          <t>P98|無印</t>
        </is>
      </c>
      <c r="V650" s="42" t="inlineStr">
        <is>
          <t>同一価格表・前頁凡例を継承</t>
        </is>
      </c>
    </row>
    <row r="651">
      <c r="A651" s="43" t="inlineStr">
        <is>
          <t>SZ-SL-000648</t>
        </is>
      </c>
      <c r="B651" s="43" t="inlineStr">
        <is>
          <t>SER-LIX-SAMOSL</t>
        </is>
      </c>
      <c r="C651" s="43" t="inlineStr">
        <is>
          <t>WT-SL-MENKOSHI-HIKI</t>
        </is>
      </c>
      <c r="D651" s="43" t="inlineStr">
        <is>
          <t>面格子付引違い窓</t>
        </is>
      </c>
      <c r="E651" s="43" t="inlineStr">
        <is>
          <t>SP-SL-GRILLE-DIA</t>
        </is>
      </c>
      <c r="F651" s="43" t="inlineStr">
        <is>
          <t>在来・204</t>
        </is>
      </c>
      <c r="G651" s="43" t="inlineStr">
        <is>
          <t>08307</t>
        </is>
      </c>
      <c r="H651" s="43" t="inlineStr">
        <is>
          <t>083</t>
        </is>
      </c>
      <c r="I651" s="43" t="inlineStr">
        <is>
          <t>07</t>
        </is>
      </c>
      <c r="J651" s="222" t="n">
        <v>870</v>
      </c>
      <c r="K651" s="222" t="n">
        <v>770</v>
      </c>
      <c r="L651" s="43" t="inlineStr">
        <is>
          <t>在来・204</t>
        </is>
      </c>
      <c r="M651" s="178" t="b">
        <v>1</v>
      </c>
      <c r="N651" s="43" t="inlineStr">
        <is>
          <t>カタログ個別可否確認済み</t>
        </is>
      </c>
      <c r="O651" s="222" t="n">
        <v>101</v>
      </c>
      <c r="P651" s="222" t="n">
        <v>99</v>
      </c>
      <c r="Q651" s="43" t="inlineStr">
        <is>
          <t>202604_LIXIL_サーモスＬ_業務用資料集_完成品価格表.pdf</t>
        </is>
      </c>
      <c r="R651" s="43" t="inlineStr">
        <is>
          <t>規格呼称は親品種で確認済み。固有仕様ごとの価格設定有無（＿＿表示等）は次QAで最終確定。</t>
        </is>
      </c>
      <c r="S651" s="42" t="inlineStr">
        <is>
          <t>無印</t>
        </is>
      </c>
      <c r="T651" s="42" t="n">
        <v>98</v>
      </c>
      <c r="U651" s="42" t="inlineStr">
        <is>
          <t>P98|無印</t>
        </is>
      </c>
      <c r="V651" s="42" t="inlineStr">
        <is>
          <t>同一価格表・前頁凡例を継承</t>
        </is>
      </c>
    </row>
    <row r="652">
      <c r="A652" s="43" t="inlineStr">
        <is>
          <t>SZ-SL-000649</t>
        </is>
      </c>
      <c r="B652" s="43" t="inlineStr">
        <is>
          <t>SER-LIX-SAMOSL</t>
        </is>
      </c>
      <c r="C652" s="43" t="inlineStr">
        <is>
          <t>WT-SL-MENKOSHI-HIKI</t>
        </is>
      </c>
      <c r="D652" s="43" t="inlineStr">
        <is>
          <t>面格子付引違い窓</t>
        </is>
      </c>
      <c r="E652" s="43" t="inlineStr">
        <is>
          <t>SP-SL-GRILLE-DIA</t>
        </is>
      </c>
      <c r="F652" s="43" t="inlineStr">
        <is>
          <t>在来・204</t>
        </is>
      </c>
      <c r="G652" s="43" t="inlineStr">
        <is>
          <t>11407</t>
        </is>
      </c>
      <c r="H652" s="43" t="inlineStr">
        <is>
          <t>114</t>
        </is>
      </c>
      <c r="I652" s="43" t="inlineStr">
        <is>
          <t>07</t>
        </is>
      </c>
      <c r="J652" s="222" t="n">
        <v>1185</v>
      </c>
      <c r="K652" s="222" t="n">
        <v>770</v>
      </c>
      <c r="L652" s="43" t="inlineStr">
        <is>
          <t>在来・204</t>
        </is>
      </c>
      <c r="M652" s="178" t="b">
        <v>1</v>
      </c>
      <c r="N652" s="43" t="inlineStr">
        <is>
          <t>カタログ個別可否確認済み</t>
        </is>
      </c>
      <c r="O652" s="222" t="n">
        <v>101</v>
      </c>
      <c r="P652" s="222" t="n">
        <v>99</v>
      </c>
      <c r="Q652" s="43" t="inlineStr">
        <is>
          <t>202604_LIXIL_サーモスＬ_業務用資料集_完成品価格表.pdf</t>
        </is>
      </c>
      <c r="R652" s="43" t="inlineStr">
        <is>
          <t>規格呼称は親品種で確認済み。固有仕様ごとの価格設定有無（＿＿表示等）は次QAで最終確定。</t>
        </is>
      </c>
      <c r="S652" s="42" t="inlineStr">
        <is>
          <t>無印</t>
        </is>
      </c>
      <c r="T652" s="42" t="n">
        <v>98</v>
      </c>
      <c r="U652" s="42" t="inlineStr">
        <is>
          <t>P98|無印</t>
        </is>
      </c>
      <c r="V652" s="42" t="inlineStr">
        <is>
          <t>同一価格表・前頁凡例を継承</t>
        </is>
      </c>
    </row>
    <row r="653">
      <c r="A653" s="43" t="inlineStr">
        <is>
          <t>SZ-SL-000650</t>
        </is>
      </c>
      <c r="B653" s="43" t="inlineStr">
        <is>
          <t>SER-LIX-SAMOSL</t>
        </is>
      </c>
      <c r="C653" s="43" t="inlineStr">
        <is>
          <t>WT-SL-MENKOSHI-HIKI</t>
        </is>
      </c>
      <c r="D653" s="43" t="inlineStr">
        <is>
          <t>面格子付引違い窓</t>
        </is>
      </c>
      <c r="E653" s="43" t="inlineStr">
        <is>
          <t>SP-SL-GRILLE-DIA</t>
        </is>
      </c>
      <c r="F653" s="43" t="inlineStr">
        <is>
          <t>在来・204</t>
        </is>
      </c>
      <c r="G653" s="43" t="inlineStr">
        <is>
          <t>11907</t>
        </is>
      </c>
      <c r="H653" s="43" t="inlineStr">
        <is>
          <t>119</t>
        </is>
      </c>
      <c r="I653" s="43" t="inlineStr">
        <is>
          <t>07</t>
        </is>
      </c>
      <c r="J653" s="222" t="n">
        <v>1235</v>
      </c>
      <c r="K653" s="222" t="n">
        <v>770</v>
      </c>
      <c r="L653" s="43" t="inlineStr">
        <is>
          <t>在来・204</t>
        </is>
      </c>
      <c r="M653" s="178" t="b">
        <v>1</v>
      </c>
      <c r="N653" s="43" t="inlineStr">
        <is>
          <t>カタログ個別可否確認済み</t>
        </is>
      </c>
      <c r="O653" s="222" t="n">
        <v>101</v>
      </c>
      <c r="P653" s="222" t="n">
        <v>99</v>
      </c>
      <c r="Q653" s="43" t="inlineStr">
        <is>
          <t>202604_LIXIL_サーモスＬ_業務用資料集_完成品価格表.pdf</t>
        </is>
      </c>
      <c r="R653" s="43" t="inlineStr">
        <is>
          <t>規格呼称は親品種で確認済み。固有仕様ごとの価格設定有無（＿＿表示等）は次QAで最終確定。</t>
        </is>
      </c>
      <c r="S653" s="42" t="inlineStr">
        <is>
          <t>無印</t>
        </is>
      </c>
      <c r="T653" s="42" t="n">
        <v>98</v>
      </c>
      <c r="U653" s="42" t="inlineStr">
        <is>
          <t>P98|無印</t>
        </is>
      </c>
      <c r="V653" s="42" t="inlineStr">
        <is>
          <t>同一価格表・前頁凡例を継承</t>
        </is>
      </c>
    </row>
    <row r="654">
      <c r="A654" s="43" t="inlineStr">
        <is>
          <t>SZ-SL-000651</t>
        </is>
      </c>
      <c r="B654" s="43" t="inlineStr">
        <is>
          <t>SER-LIX-SAMOSL</t>
        </is>
      </c>
      <c r="C654" s="43" t="inlineStr">
        <is>
          <t>WT-SL-MENKOSHI-HIKI</t>
        </is>
      </c>
      <c r="D654" s="43" t="inlineStr">
        <is>
          <t>面格子付引違い窓</t>
        </is>
      </c>
      <c r="E654" s="43" t="inlineStr">
        <is>
          <t>SP-SL-GRILLE-DIA</t>
        </is>
      </c>
      <c r="F654" s="43" t="inlineStr">
        <is>
          <t>在来・204</t>
        </is>
      </c>
      <c r="G654" s="43" t="inlineStr">
        <is>
          <t>12807</t>
        </is>
      </c>
      <c r="H654" s="43" t="inlineStr">
        <is>
          <t>128</t>
        </is>
      </c>
      <c r="I654" s="43" t="inlineStr">
        <is>
          <t>07</t>
        </is>
      </c>
      <c r="J654" s="222" t="n">
        <v>1320</v>
      </c>
      <c r="K654" s="222" t="n">
        <v>770</v>
      </c>
      <c r="L654" s="43" t="inlineStr">
        <is>
          <t>在来・204</t>
        </is>
      </c>
      <c r="M654" s="178" t="b">
        <v>1</v>
      </c>
      <c r="N654" s="43" t="inlineStr">
        <is>
          <t>カタログ個別可否確認済み</t>
        </is>
      </c>
      <c r="O654" s="222" t="n">
        <v>101</v>
      </c>
      <c r="P654" s="222" t="n">
        <v>99</v>
      </c>
      <c r="Q654" s="43" t="inlineStr">
        <is>
          <t>202604_LIXIL_サーモスＬ_業務用資料集_完成品価格表.pdf</t>
        </is>
      </c>
      <c r="R654" s="43" t="inlineStr">
        <is>
          <t>規格呼称は親品種で確認済み。固有仕様ごとの価格設定有無（＿＿表示等）は次QAで最終確定。</t>
        </is>
      </c>
      <c r="S654" s="42" t="inlineStr">
        <is>
          <t>無印</t>
        </is>
      </c>
      <c r="T654" s="42" t="n">
        <v>98</v>
      </c>
      <c r="U654" s="42" t="inlineStr">
        <is>
          <t>P98|無印</t>
        </is>
      </c>
      <c r="V654" s="42" t="inlineStr">
        <is>
          <t>同一価格表・前頁凡例を継承</t>
        </is>
      </c>
    </row>
    <row r="655">
      <c r="A655" s="43" t="inlineStr">
        <is>
          <t>SZ-SL-000652</t>
        </is>
      </c>
      <c r="B655" s="43" t="inlineStr">
        <is>
          <t>SER-LIX-SAMOSL</t>
        </is>
      </c>
      <c r="C655" s="43" t="inlineStr">
        <is>
          <t>WT-SL-MENKOSHI-HIKI</t>
        </is>
      </c>
      <c r="D655" s="43" t="inlineStr">
        <is>
          <t>面格子付引違い窓</t>
        </is>
      </c>
      <c r="E655" s="43" t="inlineStr">
        <is>
          <t>SP-SL-GRILLE-H</t>
        </is>
      </c>
      <c r="F655" s="43" t="inlineStr">
        <is>
          <t>在来・204</t>
        </is>
      </c>
      <c r="G655" s="43" t="inlineStr">
        <is>
          <t>08007</t>
        </is>
      </c>
      <c r="H655" s="43" t="inlineStr">
        <is>
          <t>080</t>
        </is>
      </c>
      <c r="I655" s="43" t="inlineStr">
        <is>
          <t>07</t>
        </is>
      </c>
      <c r="J655" s="222" t="n">
        <v>845</v>
      </c>
      <c r="K655" s="222" t="n">
        <v>770</v>
      </c>
      <c r="L655" s="43" t="inlineStr">
        <is>
          <t>在来・204</t>
        </is>
      </c>
      <c r="M655" s="178" t="b">
        <v>1</v>
      </c>
      <c r="N655" s="43" t="inlineStr">
        <is>
          <t>カタログ個別可否確認済み</t>
        </is>
      </c>
      <c r="O655" s="222" t="n">
        <v>101</v>
      </c>
      <c r="P655" s="222" t="n">
        <v>99</v>
      </c>
      <c r="Q655" s="43" t="inlineStr">
        <is>
          <t>202604_LIXIL_サーモスＬ_業務用資料集_完成品価格表.pdf</t>
        </is>
      </c>
      <c r="R655" s="43" t="inlineStr">
        <is>
          <t>規格呼称は親品種で確認済み。固有仕様ごとの価格設定有無（＿＿表示等）は次QAで最終確定。</t>
        </is>
      </c>
      <c r="S655" s="42" t="inlineStr">
        <is>
          <t>無印</t>
        </is>
      </c>
      <c r="T655" s="42" t="n">
        <v>98</v>
      </c>
      <c r="U655" s="42" t="inlineStr">
        <is>
          <t>P98|無印</t>
        </is>
      </c>
      <c r="V655" s="42" t="inlineStr">
        <is>
          <t>同一価格表・前頁凡例を継承</t>
        </is>
      </c>
    </row>
    <row r="656">
      <c r="A656" s="43" t="inlineStr">
        <is>
          <t>SZ-SL-000653</t>
        </is>
      </c>
      <c r="B656" s="43" t="inlineStr">
        <is>
          <t>SER-LIX-SAMOSL</t>
        </is>
      </c>
      <c r="C656" s="43" t="inlineStr">
        <is>
          <t>WT-SL-MENKOSHI-HIKI</t>
        </is>
      </c>
      <c r="D656" s="43" t="inlineStr">
        <is>
          <t>面格子付引違い窓</t>
        </is>
      </c>
      <c r="E656" s="43" t="inlineStr">
        <is>
          <t>SP-SL-GRILLE-H</t>
        </is>
      </c>
      <c r="F656" s="43" t="inlineStr">
        <is>
          <t>在来・204</t>
        </is>
      </c>
      <c r="G656" s="43" t="inlineStr">
        <is>
          <t>08307</t>
        </is>
      </c>
      <c r="H656" s="43" t="inlineStr">
        <is>
          <t>083</t>
        </is>
      </c>
      <c r="I656" s="43" t="inlineStr">
        <is>
          <t>07</t>
        </is>
      </c>
      <c r="J656" s="222" t="n">
        <v>870</v>
      </c>
      <c r="K656" s="222" t="n">
        <v>770</v>
      </c>
      <c r="L656" s="43" t="inlineStr">
        <is>
          <t>在来・204</t>
        </is>
      </c>
      <c r="M656" s="178" t="b">
        <v>1</v>
      </c>
      <c r="N656" s="43" t="inlineStr">
        <is>
          <t>カタログ個別可否確認済み</t>
        </is>
      </c>
      <c r="O656" s="222" t="n">
        <v>101</v>
      </c>
      <c r="P656" s="222" t="n">
        <v>99</v>
      </c>
      <c r="Q656" s="43" t="inlineStr">
        <is>
          <t>202604_LIXIL_サーモスＬ_業務用資料集_完成品価格表.pdf</t>
        </is>
      </c>
      <c r="R656" s="43" t="inlineStr">
        <is>
          <t>規格呼称は親品種で確認済み。固有仕様ごとの価格設定有無（＿＿表示等）は次QAで最終確定。</t>
        </is>
      </c>
      <c r="S656" s="42" t="inlineStr">
        <is>
          <t>無印</t>
        </is>
      </c>
      <c r="T656" s="42" t="n">
        <v>98</v>
      </c>
      <c r="U656" s="42" t="inlineStr">
        <is>
          <t>P98|無印</t>
        </is>
      </c>
      <c r="V656" s="42" t="inlineStr">
        <is>
          <t>同一価格表・前頁凡例を継承</t>
        </is>
      </c>
    </row>
    <row r="657">
      <c r="A657" s="43" t="inlineStr">
        <is>
          <t>SZ-SL-000654</t>
        </is>
      </c>
      <c r="B657" s="43" t="inlineStr">
        <is>
          <t>SER-LIX-SAMOSL</t>
        </is>
      </c>
      <c r="C657" s="43" t="inlineStr">
        <is>
          <t>WT-SL-MENKOSHI-HIKI</t>
        </is>
      </c>
      <c r="D657" s="43" t="inlineStr">
        <is>
          <t>面格子付引違い窓</t>
        </is>
      </c>
      <c r="E657" s="43" t="inlineStr">
        <is>
          <t>SP-SL-GRILLE-H</t>
        </is>
      </c>
      <c r="F657" s="43" t="inlineStr">
        <is>
          <t>在来・204</t>
        </is>
      </c>
      <c r="G657" s="43" t="inlineStr">
        <is>
          <t>11407</t>
        </is>
      </c>
      <c r="H657" s="43" t="inlineStr">
        <is>
          <t>114</t>
        </is>
      </c>
      <c r="I657" s="43" t="inlineStr">
        <is>
          <t>07</t>
        </is>
      </c>
      <c r="J657" s="222" t="n">
        <v>1185</v>
      </c>
      <c r="K657" s="222" t="n">
        <v>770</v>
      </c>
      <c r="L657" s="43" t="inlineStr">
        <is>
          <t>在来・204</t>
        </is>
      </c>
      <c r="M657" s="178" t="b">
        <v>1</v>
      </c>
      <c r="N657" s="43" t="inlineStr">
        <is>
          <t>カタログ個別可否確認済み</t>
        </is>
      </c>
      <c r="O657" s="222" t="n">
        <v>101</v>
      </c>
      <c r="P657" s="222" t="n">
        <v>99</v>
      </c>
      <c r="Q657" s="43" t="inlineStr">
        <is>
          <t>202604_LIXIL_サーモスＬ_業務用資料集_完成品価格表.pdf</t>
        </is>
      </c>
      <c r="R657" s="43" t="inlineStr">
        <is>
          <t>規格呼称は親品種で確認済み。固有仕様ごとの価格設定有無（＿＿表示等）は次QAで最終確定。</t>
        </is>
      </c>
      <c r="S657" s="42" t="inlineStr">
        <is>
          <t>無印</t>
        </is>
      </c>
      <c r="T657" s="42" t="n">
        <v>98</v>
      </c>
      <c r="U657" s="42" t="inlineStr">
        <is>
          <t>P98|無印</t>
        </is>
      </c>
      <c r="V657" s="42" t="inlineStr">
        <is>
          <t>同一価格表・前頁凡例を継承</t>
        </is>
      </c>
    </row>
    <row r="658">
      <c r="A658" s="43" t="inlineStr">
        <is>
          <t>SZ-SL-000655</t>
        </is>
      </c>
      <c r="B658" s="43" t="inlineStr">
        <is>
          <t>SER-LIX-SAMOSL</t>
        </is>
      </c>
      <c r="C658" s="43" t="inlineStr">
        <is>
          <t>WT-SL-MENKOSHI-HIKI</t>
        </is>
      </c>
      <c r="D658" s="43" t="inlineStr">
        <is>
          <t>面格子付引違い窓</t>
        </is>
      </c>
      <c r="E658" s="43" t="inlineStr">
        <is>
          <t>SP-SL-GRILLE-H</t>
        </is>
      </c>
      <c r="F658" s="43" t="inlineStr">
        <is>
          <t>在来・204</t>
        </is>
      </c>
      <c r="G658" s="43" t="inlineStr">
        <is>
          <t>11907</t>
        </is>
      </c>
      <c r="H658" s="43" t="inlineStr">
        <is>
          <t>119</t>
        </is>
      </c>
      <c r="I658" s="43" t="inlineStr">
        <is>
          <t>07</t>
        </is>
      </c>
      <c r="J658" s="222" t="n">
        <v>1235</v>
      </c>
      <c r="K658" s="222" t="n">
        <v>770</v>
      </c>
      <c r="L658" s="43" t="inlineStr">
        <is>
          <t>在来・204</t>
        </is>
      </c>
      <c r="M658" s="178" t="b">
        <v>1</v>
      </c>
      <c r="N658" s="43" t="inlineStr">
        <is>
          <t>カタログ個別可否確認済み</t>
        </is>
      </c>
      <c r="O658" s="222" t="n">
        <v>101</v>
      </c>
      <c r="P658" s="222" t="n">
        <v>99</v>
      </c>
      <c r="Q658" s="43" t="inlineStr">
        <is>
          <t>202604_LIXIL_サーモスＬ_業務用資料集_完成品価格表.pdf</t>
        </is>
      </c>
      <c r="R658" s="43" t="inlineStr">
        <is>
          <t>規格呼称は親品種で確認済み。固有仕様ごとの価格設定有無（＿＿表示等）は次QAで最終確定。</t>
        </is>
      </c>
      <c r="S658" s="42" t="inlineStr">
        <is>
          <t>無印</t>
        </is>
      </c>
      <c r="T658" s="42" t="n">
        <v>98</v>
      </c>
      <c r="U658" s="42" t="inlineStr">
        <is>
          <t>P98|無印</t>
        </is>
      </c>
      <c r="V658" s="42" t="inlineStr">
        <is>
          <t>同一価格表・前頁凡例を継承</t>
        </is>
      </c>
    </row>
    <row r="659">
      <c r="A659" s="43" t="inlineStr">
        <is>
          <t>SZ-SL-000656</t>
        </is>
      </c>
      <c r="B659" s="43" t="inlineStr">
        <is>
          <t>SER-LIX-SAMOSL</t>
        </is>
      </c>
      <c r="C659" s="43" t="inlineStr">
        <is>
          <t>WT-SL-MENKOSHI-HIKI</t>
        </is>
      </c>
      <c r="D659" s="43" t="inlineStr">
        <is>
          <t>面格子付引違い窓</t>
        </is>
      </c>
      <c r="E659" s="43" t="inlineStr">
        <is>
          <t>SP-SL-GRILLE-H</t>
        </is>
      </c>
      <c r="F659" s="43" t="inlineStr">
        <is>
          <t>在来・204</t>
        </is>
      </c>
      <c r="G659" s="43" t="inlineStr">
        <is>
          <t>12807</t>
        </is>
      </c>
      <c r="H659" s="43" t="inlineStr">
        <is>
          <t>128</t>
        </is>
      </c>
      <c r="I659" s="43" t="inlineStr">
        <is>
          <t>07</t>
        </is>
      </c>
      <c r="J659" s="222" t="n">
        <v>1320</v>
      </c>
      <c r="K659" s="222" t="n">
        <v>770</v>
      </c>
      <c r="L659" s="43" t="inlineStr">
        <is>
          <t>在来・204</t>
        </is>
      </c>
      <c r="M659" s="178" t="b">
        <v>1</v>
      </c>
      <c r="N659" s="43" t="inlineStr">
        <is>
          <t>カタログ個別可否確認済み</t>
        </is>
      </c>
      <c r="O659" s="222" t="n">
        <v>101</v>
      </c>
      <c r="P659" s="222" t="n">
        <v>99</v>
      </c>
      <c r="Q659" s="43" t="inlineStr">
        <is>
          <t>202604_LIXIL_サーモスＬ_業務用資料集_完成品価格表.pdf</t>
        </is>
      </c>
      <c r="R659" s="43" t="inlineStr">
        <is>
          <t>規格呼称は親品種で確認済み。固有仕様ごとの価格設定有無（＿＿表示等）は次QAで最終確定。</t>
        </is>
      </c>
      <c r="S659" s="42" t="inlineStr">
        <is>
          <t>無印</t>
        </is>
      </c>
      <c r="T659" s="42" t="n">
        <v>98</v>
      </c>
      <c r="U659" s="42" t="inlineStr">
        <is>
          <t>P98|無印</t>
        </is>
      </c>
      <c r="V659" s="42" t="inlineStr">
        <is>
          <t>同一価格表・前頁凡例を継承</t>
        </is>
      </c>
    </row>
    <row r="660">
      <c r="A660" s="43" t="inlineStr">
        <is>
          <t>SZ-SL-000657</t>
        </is>
      </c>
      <c r="B660" s="43" t="inlineStr">
        <is>
          <t>SER-LIX-SAMOSL</t>
        </is>
      </c>
      <c r="C660" s="43" t="inlineStr">
        <is>
          <t>WT-SL-MENKOSHI-HIKI</t>
        </is>
      </c>
      <c r="D660" s="43" t="inlineStr">
        <is>
          <t>面格子付引違い窓</t>
        </is>
      </c>
      <c r="E660" s="43" t="inlineStr">
        <is>
          <t>SP-SL-GRILLE-IGETA</t>
        </is>
      </c>
      <c r="F660" s="43" t="inlineStr">
        <is>
          <t>在来・204</t>
        </is>
      </c>
      <c r="G660" s="43" t="inlineStr">
        <is>
          <t>08007</t>
        </is>
      </c>
      <c r="H660" s="43" t="inlineStr">
        <is>
          <t>080</t>
        </is>
      </c>
      <c r="I660" s="43" t="inlineStr">
        <is>
          <t>07</t>
        </is>
      </c>
      <c r="J660" s="222" t="n">
        <v>845</v>
      </c>
      <c r="K660" s="222" t="n">
        <v>770</v>
      </c>
      <c r="L660" s="43" t="inlineStr">
        <is>
          <t>在来・204</t>
        </is>
      </c>
      <c r="M660" s="178" t="b">
        <v>1</v>
      </c>
      <c r="N660" s="43" t="inlineStr">
        <is>
          <t>カタログ個別可否確認済み</t>
        </is>
      </c>
      <c r="O660" s="222" t="n">
        <v>101</v>
      </c>
      <c r="P660" s="222" t="n">
        <v>99</v>
      </c>
      <c r="Q660" s="43" t="inlineStr">
        <is>
          <t>202604_LIXIL_サーモスＬ_業務用資料集_完成品価格表.pdf</t>
        </is>
      </c>
      <c r="R660" s="43" t="inlineStr">
        <is>
          <t>規格呼称は親品種で確認済み。固有仕様ごとの価格設定有無（＿＿表示等）は次QAで最終確定。</t>
        </is>
      </c>
      <c r="S660" s="42" t="inlineStr">
        <is>
          <t>無印</t>
        </is>
      </c>
      <c r="T660" s="42" t="n">
        <v>98</v>
      </c>
      <c r="U660" s="42" t="inlineStr">
        <is>
          <t>P98|無印</t>
        </is>
      </c>
      <c r="V660" s="42" t="inlineStr">
        <is>
          <t>同一価格表・前頁凡例を継承</t>
        </is>
      </c>
    </row>
    <row r="661">
      <c r="A661" s="43" t="inlineStr">
        <is>
          <t>SZ-SL-000658</t>
        </is>
      </c>
      <c r="B661" s="43" t="inlineStr">
        <is>
          <t>SER-LIX-SAMOSL</t>
        </is>
      </c>
      <c r="C661" s="43" t="inlineStr">
        <is>
          <t>WT-SL-MENKOSHI-HIKI</t>
        </is>
      </c>
      <c r="D661" s="43" t="inlineStr">
        <is>
          <t>面格子付引違い窓</t>
        </is>
      </c>
      <c r="E661" s="43" t="inlineStr">
        <is>
          <t>SP-SL-GRILLE-IGETA</t>
        </is>
      </c>
      <c r="F661" s="43" t="inlineStr">
        <is>
          <t>在来・204</t>
        </is>
      </c>
      <c r="G661" s="43" t="inlineStr">
        <is>
          <t>08307</t>
        </is>
      </c>
      <c r="H661" s="43" t="inlineStr">
        <is>
          <t>083</t>
        </is>
      </c>
      <c r="I661" s="43" t="inlineStr">
        <is>
          <t>07</t>
        </is>
      </c>
      <c r="J661" s="222" t="n">
        <v>870</v>
      </c>
      <c r="K661" s="222" t="n">
        <v>770</v>
      </c>
      <c r="L661" s="43" t="inlineStr">
        <is>
          <t>在来・204</t>
        </is>
      </c>
      <c r="M661" s="178" t="b">
        <v>1</v>
      </c>
      <c r="N661" s="43" t="inlineStr">
        <is>
          <t>カタログ個別可否確認済み</t>
        </is>
      </c>
      <c r="O661" s="222" t="n">
        <v>101</v>
      </c>
      <c r="P661" s="222" t="n">
        <v>99</v>
      </c>
      <c r="Q661" s="43" t="inlineStr">
        <is>
          <t>202604_LIXIL_サーモスＬ_業務用資料集_完成品価格表.pdf</t>
        </is>
      </c>
      <c r="R661" s="43" t="inlineStr">
        <is>
          <t>規格呼称は親品種で確認済み。固有仕様ごとの価格設定有無（＿＿表示等）は次QAで最終確定。</t>
        </is>
      </c>
      <c r="S661" s="42" t="inlineStr">
        <is>
          <t>無印</t>
        </is>
      </c>
      <c r="T661" s="42" t="n">
        <v>98</v>
      </c>
      <c r="U661" s="42" t="inlineStr">
        <is>
          <t>P98|無印</t>
        </is>
      </c>
      <c r="V661" s="42" t="inlineStr">
        <is>
          <t>同一価格表・前頁凡例を継承</t>
        </is>
      </c>
    </row>
    <row r="662">
      <c r="A662" s="43" t="inlineStr">
        <is>
          <t>SZ-SL-000659</t>
        </is>
      </c>
      <c r="B662" s="43" t="inlineStr">
        <is>
          <t>SER-LIX-SAMOSL</t>
        </is>
      </c>
      <c r="C662" s="43" t="inlineStr">
        <is>
          <t>WT-SL-MENKOSHI-HIKI</t>
        </is>
      </c>
      <c r="D662" s="43" t="inlineStr">
        <is>
          <t>面格子付引違い窓</t>
        </is>
      </c>
      <c r="E662" s="43" t="inlineStr">
        <is>
          <t>SP-SL-GRILLE-IGETA</t>
        </is>
      </c>
      <c r="F662" s="43" t="inlineStr">
        <is>
          <t>在来・204</t>
        </is>
      </c>
      <c r="G662" s="43" t="inlineStr">
        <is>
          <t>11407</t>
        </is>
      </c>
      <c r="H662" s="43" t="inlineStr">
        <is>
          <t>114</t>
        </is>
      </c>
      <c r="I662" s="43" t="inlineStr">
        <is>
          <t>07</t>
        </is>
      </c>
      <c r="J662" s="222" t="n">
        <v>1185</v>
      </c>
      <c r="K662" s="222" t="n">
        <v>770</v>
      </c>
      <c r="L662" s="43" t="inlineStr">
        <is>
          <t>在来・204</t>
        </is>
      </c>
      <c r="M662" s="178" t="b">
        <v>1</v>
      </c>
      <c r="N662" s="43" t="inlineStr">
        <is>
          <t>カタログ個別可否確認済み</t>
        </is>
      </c>
      <c r="O662" s="222" t="n">
        <v>101</v>
      </c>
      <c r="P662" s="222" t="n">
        <v>99</v>
      </c>
      <c r="Q662" s="43" t="inlineStr">
        <is>
          <t>202604_LIXIL_サーモスＬ_業務用資料集_完成品価格表.pdf</t>
        </is>
      </c>
      <c r="R662" s="43" t="inlineStr">
        <is>
          <t>規格呼称は親品種で確認済み。固有仕様ごとの価格設定有無（＿＿表示等）は次QAで最終確定。</t>
        </is>
      </c>
      <c r="S662" s="42" t="inlineStr">
        <is>
          <t>無印</t>
        </is>
      </c>
      <c r="T662" s="42" t="n">
        <v>98</v>
      </c>
      <c r="U662" s="42" t="inlineStr">
        <is>
          <t>P98|無印</t>
        </is>
      </c>
      <c r="V662" s="42" t="inlineStr">
        <is>
          <t>同一価格表・前頁凡例を継承</t>
        </is>
      </c>
    </row>
    <row r="663">
      <c r="A663" s="43" t="inlineStr">
        <is>
          <t>SZ-SL-000660</t>
        </is>
      </c>
      <c r="B663" s="43" t="inlineStr">
        <is>
          <t>SER-LIX-SAMOSL</t>
        </is>
      </c>
      <c r="C663" s="43" t="inlineStr">
        <is>
          <t>WT-SL-MENKOSHI-HIKI</t>
        </is>
      </c>
      <c r="D663" s="43" t="inlineStr">
        <is>
          <t>面格子付引違い窓</t>
        </is>
      </c>
      <c r="E663" s="43" t="inlineStr">
        <is>
          <t>SP-SL-GRILLE-IGETA</t>
        </is>
      </c>
      <c r="F663" s="43" t="inlineStr">
        <is>
          <t>在来・204</t>
        </is>
      </c>
      <c r="G663" s="43" t="inlineStr">
        <is>
          <t>11907</t>
        </is>
      </c>
      <c r="H663" s="43" t="inlineStr">
        <is>
          <t>119</t>
        </is>
      </c>
      <c r="I663" s="43" t="inlineStr">
        <is>
          <t>07</t>
        </is>
      </c>
      <c r="J663" s="222" t="n">
        <v>1235</v>
      </c>
      <c r="K663" s="222" t="n">
        <v>770</v>
      </c>
      <c r="L663" s="43" t="inlineStr">
        <is>
          <t>在来・204</t>
        </is>
      </c>
      <c r="M663" s="178" t="b">
        <v>1</v>
      </c>
      <c r="N663" s="43" t="inlineStr">
        <is>
          <t>カタログ個別可否確認済み</t>
        </is>
      </c>
      <c r="O663" s="222" t="n">
        <v>101</v>
      </c>
      <c r="P663" s="222" t="n">
        <v>99</v>
      </c>
      <c r="Q663" s="43" t="inlineStr">
        <is>
          <t>202604_LIXIL_サーモスＬ_業務用資料集_完成品価格表.pdf</t>
        </is>
      </c>
      <c r="R663" s="43" t="inlineStr">
        <is>
          <t>規格呼称は親品種で確認済み。固有仕様ごとの価格設定有無（＿＿表示等）は次QAで最終確定。</t>
        </is>
      </c>
      <c r="S663" s="42" t="inlineStr">
        <is>
          <t>無印</t>
        </is>
      </c>
      <c r="T663" s="42" t="n">
        <v>98</v>
      </c>
      <c r="U663" s="42" t="inlineStr">
        <is>
          <t>P98|無印</t>
        </is>
      </c>
      <c r="V663" s="42" t="inlineStr">
        <is>
          <t>同一価格表・前頁凡例を継承</t>
        </is>
      </c>
    </row>
    <row r="664">
      <c r="A664" s="43" t="inlineStr">
        <is>
          <t>SZ-SL-000661</t>
        </is>
      </c>
      <c r="B664" s="43" t="inlineStr">
        <is>
          <t>SER-LIX-SAMOSL</t>
        </is>
      </c>
      <c r="C664" s="43" t="inlineStr">
        <is>
          <t>WT-SL-MENKOSHI-HIKI</t>
        </is>
      </c>
      <c r="D664" s="43" t="inlineStr">
        <is>
          <t>面格子付引違い窓</t>
        </is>
      </c>
      <c r="E664" s="43" t="inlineStr">
        <is>
          <t>SP-SL-GRILLE-IGETA</t>
        </is>
      </c>
      <c r="F664" s="43" t="inlineStr">
        <is>
          <t>在来・204</t>
        </is>
      </c>
      <c r="G664" s="43" t="inlineStr">
        <is>
          <t>12807</t>
        </is>
      </c>
      <c r="H664" s="43" t="inlineStr">
        <is>
          <t>128</t>
        </is>
      </c>
      <c r="I664" s="43" t="inlineStr">
        <is>
          <t>07</t>
        </is>
      </c>
      <c r="J664" s="222" t="n">
        <v>1320</v>
      </c>
      <c r="K664" s="222" t="n">
        <v>770</v>
      </c>
      <c r="L664" s="43" t="inlineStr">
        <is>
          <t>在来・204</t>
        </is>
      </c>
      <c r="M664" s="178" t="b">
        <v>1</v>
      </c>
      <c r="N664" s="43" t="inlineStr">
        <is>
          <t>カタログ個別可否確認済み</t>
        </is>
      </c>
      <c r="O664" s="222" t="n">
        <v>101</v>
      </c>
      <c r="P664" s="222" t="n">
        <v>99</v>
      </c>
      <c r="Q664" s="43" t="inlineStr">
        <is>
          <t>202604_LIXIL_サーモスＬ_業務用資料集_完成品価格表.pdf</t>
        </is>
      </c>
      <c r="R664" s="43" t="inlineStr">
        <is>
          <t>規格呼称は親品種で確認済み。固有仕様ごとの価格設定有無（＿＿表示等）は次QAで最終確定。</t>
        </is>
      </c>
      <c r="S664" s="42" t="inlineStr">
        <is>
          <t>無印</t>
        </is>
      </c>
      <c r="T664" s="42" t="n">
        <v>98</v>
      </c>
      <c r="U664" s="42" t="inlineStr">
        <is>
          <t>P98|無印</t>
        </is>
      </c>
      <c r="V664" s="42" t="inlineStr">
        <is>
          <t>同一価格表・前頁凡例を継承</t>
        </is>
      </c>
    </row>
    <row r="665">
      <c r="A665" s="43" t="inlineStr">
        <is>
          <t>SZ-SL-000662</t>
        </is>
      </c>
      <c r="B665" s="43" t="inlineStr">
        <is>
          <t>SER-LIX-SAMOSL</t>
        </is>
      </c>
      <c r="C665" s="43" t="inlineStr">
        <is>
          <t>WT-SL-MENKOSHI-HIKI</t>
        </is>
      </c>
      <c r="D665" s="43" t="inlineStr">
        <is>
          <t>面格子付引違い窓</t>
        </is>
      </c>
      <c r="E665" s="43" t="inlineStr">
        <is>
          <t>SP-SL-GRILLE-V</t>
        </is>
      </c>
      <c r="F665" s="43" t="inlineStr">
        <is>
          <t>在来・204</t>
        </is>
      </c>
      <c r="G665" s="43" t="inlineStr">
        <is>
          <t>08007</t>
        </is>
      </c>
      <c r="H665" s="43" t="inlineStr">
        <is>
          <t>080</t>
        </is>
      </c>
      <c r="I665" s="43" t="inlineStr">
        <is>
          <t>07</t>
        </is>
      </c>
      <c r="J665" s="222" t="n">
        <v>845</v>
      </c>
      <c r="K665" s="222" t="n">
        <v>770</v>
      </c>
      <c r="L665" s="43" t="inlineStr">
        <is>
          <t>在来・204</t>
        </is>
      </c>
      <c r="M665" s="178" t="b">
        <v>1</v>
      </c>
      <c r="N665" s="43" t="inlineStr">
        <is>
          <t>カタログ個別可否確認済み</t>
        </is>
      </c>
      <c r="O665" s="222" t="n">
        <v>101</v>
      </c>
      <c r="P665" s="222" t="n">
        <v>99</v>
      </c>
      <c r="Q665" s="43" t="inlineStr">
        <is>
          <t>202604_LIXIL_サーモスＬ_業務用資料集_完成品価格表.pdf</t>
        </is>
      </c>
      <c r="R665" s="43" t="inlineStr">
        <is>
          <t>規格呼称は親品種で確認済み。固有仕様ごとの価格設定有無（＿＿表示等）は次QAで最終確定。</t>
        </is>
      </c>
      <c r="S665" s="42" t="inlineStr">
        <is>
          <t>無印</t>
        </is>
      </c>
      <c r="T665" s="42" t="n">
        <v>98</v>
      </c>
      <c r="U665" s="42" t="inlineStr">
        <is>
          <t>P98|無印</t>
        </is>
      </c>
      <c r="V665" s="42" t="inlineStr">
        <is>
          <t>同一価格表・前頁凡例を継承</t>
        </is>
      </c>
    </row>
    <row r="666">
      <c r="A666" s="43" t="inlineStr">
        <is>
          <t>SZ-SL-000663</t>
        </is>
      </c>
      <c r="B666" s="43" t="inlineStr">
        <is>
          <t>SER-LIX-SAMOSL</t>
        </is>
      </c>
      <c r="C666" s="43" t="inlineStr">
        <is>
          <t>WT-SL-MENKOSHI-HIKI</t>
        </is>
      </c>
      <c r="D666" s="43" t="inlineStr">
        <is>
          <t>面格子付引違い窓</t>
        </is>
      </c>
      <c r="E666" s="43" t="inlineStr">
        <is>
          <t>SP-SL-GRILLE-V</t>
        </is>
      </c>
      <c r="F666" s="43" t="inlineStr">
        <is>
          <t>在来・204</t>
        </is>
      </c>
      <c r="G666" s="43" t="inlineStr">
        <is>
          <t>08307</t>
        </is>
      </c>
      <c r="H666" s="43" t="inlineStr">
        <is>
          <t>083</t>
        </is>
      </c>
      <c r="I666" s="43" t="inlineStr">
        <is>
          <t>07</t>
        </is>
      </c>
      <c r="J666" s="222" t="n">
        <v>870</v>
      </c>
      <c r="K666" s="222" t="n">
        <v>770</v>
      </c>
      <c r="L666" s="43" t="inlineStr">
        <is>
          <t>在来・204</t>
        </is>
      </c>
      <c r="M666" s="178" t="b">
        <v>1</v>
      </c>
      <c r="N666" s="43" t="inlineStr">
        <is>
          <t>カタログ個別可否確認済み</t>
        </is>
      </c>
      <c r="O666" s="222" t="n">
        <v>101</v>
      </c>
      <c r="P666" s="222" t="n">
        <v>99</v>
      </c>
      <c r="Q666" s="43" t="inlineStr">
        <is>
          <t>202604_LIXIL_サーモスＬ_業務用資料集_完成品価格表.pdf</t>
        </is>
      </c>
      <c r="R666" s="43" t="inlineStr">
        <is>
          <t>規格呼称は親品種で確認済み。固有仕様ごとの価格設定有無（＿＿表示等）は次QAで最終確定。</t>
        </is>
      </c>
      <c r="S666" s="42" t="inlineStr">
        <is>
          <t>無印</t>
        </is>
      </c>
      <c r="T666" s="42" t="n">
        <v>98</v>
      </c>
      <c r="U666" s="42" t="inlineStr">
        <is>
          <t>P98|無印</t>
        </is>
      </c>
      <c r="V666" s="42" t="inlineStr">
        <is>
          <t>同一価格表・前頁凡例を継承</t>
        </is>
      </c>
    </row>
    <row r="667">
      <c r="A667" s="43" t="inlineStr">
        <is>
          <t>SZ-SL-000664</t>
        </is>
      </c>
      <c r="B667" s="43" t="inlineStr">
        <is>
          <t>SER-LIX-SAMOSL</t>
        </is>
      </c>
      <c r="C667" s="43" t="inlineStr">
        <is>
          <t>WT-SL-MENKOSHI-HIKI</t>
        </is>
      </c>
      <c r="D667" s="43" t="inlineStr">
        <is>
          <t>面格子付引違い窓</t>
        </is>
      </c>
      <c r="E667" s="43" t="inlineStr">
        <is>
          <t>SP-SL-GRILLE-V</t>
        </is>
      </c>
      <c r="F667" s="43" t="inlineStr">
        <is>
          <t>在来・204</t>
        </is>
      </c>
      <c r="G667" s="43" t="inlineStr">
        <is>
          <t>11407</t>
        </is>
      </c>
      <c r="H667" s="43" t="inlineStr">
        <is>
          <t>114</t>
        </is>
      </c>
      <c r="I667" s="43" t="inlineStr">
        <is>
          <t>07</t>
        </is>
      </c>
      <c r="J667" s="222" t="n">
        <v>1185</v>
      </c>
      <c r="K667" s="222" t="n">
        <v>770</v>
      </c>
      <c r="L667" s="43" t="inlineStr">
        <is>
          <t>在来・204</t>
        </is>
      </c>
      <c r="M667" s="178" t="b">
        <v>1</v>
      </c>
      <c r="N667" s="43" t="inlineStr">
        <is>
          <t>カタログ個別可否確認済み</t>
        </is>
      </c>
      <c r="O667" s="222" t="n">
        <v>101</v>
      </c>
      <c r="P667" s="222" t="n">
        <v>99</v>
      </c>
      <c r="Q667" s="43" t="inlineStr">
        <is>
          <t>202604_LIXIL_サーモスＬ_業務用資料集_完成品価格表.pdf</t>
        </is>
      </c>
      <c r="R667" s="43" t="inlineStr">
        <is>
          <t>規格呼称は親品種で確認済み。固有仕様ごとの価格設定有無（＿＿表示等）は次QAで最終確定。</t>
        </is>
      </c>
      <c r="S667" s="42" t="inlineStr">
        <is>
          <t>無印</t>
        </is>
      </c>
      <c r="T667" s="42" t="n">
        <v>98</v>
      </c>
      <c r="U667" s="42" t="inlineStr">
        <is>
          <t>P98|無印</t>
        </is>
      </c>
      <c r="V667" s="42" t="inlineStr">
        <is>
          <t>同一価格表・前頁凡例を継承</t>
        </is>
      </c>
    </row>
    <row r="668">
      <c r="A668" s="43" t="inlineStr">
        <is>
          <t>SZ-SL-000665</t>
        </is>
      </c>
      <c r="B668" s="43" t="inlineStr">
        <is>
          <t>SER-LIX-SAMOSL</t>
        </is>
      </c>
      <c r="C668" s="43" t="inlineStr">
        <is>
          <t>WT-SL-MENKOSHI-HIKI</t>
        </is>
      </c>
      <c r="D668" s="43" t="inlineStr">
        <is>
          <t>面格子付引違い窓</t>
        </is>
      </c>
      <c r="E668" s="43" t="inlineStr">
        <is>
          <t>SP-SL-GRILLE-V</t>
        </is>
      </c>
      <c r="F668" s="43" t="inlineStr">
        <is>
          <t>在来・204</t>
        </is>
      </c>
      <c r="G668" s="43" t="inlineStr">
        <is>
          <t>11907</t>
        </is>
      </c>
      <c r="H668" s="43" t="inlineStr">
        <is>
          <t>119</t>
        </is>
      </c>
      <c r="I668" s="43" t="inlineStr">
        <is>
          <t>07</t>
        </is>
      </c>
      <c r="J668" s="222" t="n">
        <v>1235</v>
      </c>
      <c r="K668" s="222" t="n">
        <v>770</v>
      </c>
      <c r="L668" s="43" t="inlineStr">
        <is>
          <t>在来・204</t>
        </is>
      </c>
      <c r="M668" s="178" t="b">
        <v>1</v>
      </c>
      <c r="N668" s="43" t="inlineStr">
        <is>
          <t>カタログ個別可否確認済み</t>
        </is>
      </c>
      <c r="O668" s="222" t="n">
        <v>101</v>
      </c>
      <c r="P668" s="222" t="n">
        <v>99</v>
      </c>
      <c r="Q668" s="43" t="inlineStr">
        <is>
          <t>202604_LIXIL_サーモスＬ_業務用資料集_完成品価格表.pdf</t>
        </is>
      </c>
      <c r="R668" s="43" t="inlineStr">
        <is>
          <t>規格呼称は親品種で確認済み。固有仕様ごとの価格設定有無（＿＿表示等）は次QAで最終確定。</t>
        </is>
      </c>
      <c r="S668" s="42" t="inlineStr">
        <is>
          <t>無印</t>
        </is>
      </c>
      <c r="T668" s="42" t="n">
        <v>98</v>
      </c>
      <c r="U668" s="42" t="inlineStr">
        <is>
          <t>P98|無印</t>
        </is>
      </c>
      <c r="V668" s="42" t="inlineStr">
        <is>
          <t>同一価格表・前頁凡例を継承</t>
        </is>
      </c>
    </row>
    <row r="669">
      <c r="A669" s="43" t="inlineStr">
        <is>
          <t>SZ-SL-000666</t>
        </is>
      </c>
      <c r="B669" s="43" t="inlineStr">
        <is>
          <t>SER-LIX-SAMOSL</t>
        </is>
      </c>
      <c r="C669" s="43" t="inlineStr">
        <is>
          <t>WT-SL-MENKOSHI-HIKI</t>
        </is>
      </c>
      <c r="D669" s="43" t="inlineStr">
        <is>
          <t>面格子付引違い窓</t>
        </is>
      </c>
      <c r="E669" s="43" t="inlineStr">
        <is>
          <t>SP-SL-GRILLE-V</t>
        </is>
      </c>
      <c r="F669" s="43" t="inlineStr">
        <is>
          <t>在来・204</t>
        </is>
      </c>
      <c r="G669" s="43" t="inlineStr">
        <is>
          <t>12807</t>
        </is>
      </c>
      <c r="H669" s="43" t="inlineStr">
        <is>
          <t>128</t>
        </is>
      </c>
      <c r="I669" s="43" t="inlineStr">
        <is>
          <t>07</t>
        </is>
      </c>
      <c r="J669" s="222" t="n">
        <v>1320</v>
      </c>
      <c r="K669" s="222" t="n">
        <v>770</v>
      </c>
      <c r="L669" s="43" t="inlineStr">
        <is>
          <t>在来・204</t>
        </is>
      </c>
      <c r="M669" s="178" t="b">
        <v>1</v>
      </c>
      <c r="N669" s="43" t="inlineStr">
        <is>
          <t>カタログ個別可否確認済み</t>
        </is>
      </c>
      <c r="O669" s="222" t="n">
        <v>101</v>
      </c>
      <c r="P669" s="222" t="n">
        <v>99</v>
      </c>
      <c r="Q669" s="43" t="inlineStr">
        <is>
          <t>202604_LIXIL_サーモスＬ_業務用資料集_完成品価格表.pdf</t>
        </is>
      </c>
      <c r="R669" s="43" t="inlineStr">
        <is>
          <t>規格呼称は親品種で確認済み。固有仕様ごとの価格設定有無（＿＿表示等）は次QAで最終確定。</t>
        </is>
      </c>
      <c r="S669" s="42" t="inlineStr">
        <is>
          <t>無印</t>
        </is>
      </c>
      <c r="T669" s="42" t="n">
        <v>98</v>
      </c>
      <c r="U669" s="42" t="inlineStr">
        <is>
          <t>P98|無印</t>
        </is>
      </c>
      <c r="V669" s="42" t="inlineStr">
        <is>
          <t>同一価格表・前頁凡例を継承</t>
        </is>
      </c>
    </row>
    <row r="670">
      <c r="A670" s="43" t="inlineStr">
        <is>
          <t>SZ-SL-000667</t>
        </is>
      </c>
      <c r="B670" s="43" t="inlineStr">
        <is>
          <t>SER-LIX-SAMOSL</t>
        </is>
      </c>
      <c r="C670" s="43" t="inlineStr">
        <is>
          <t>WT-SL-MENKOSHI-HIKI</t>
        </is>
      </c>
      <c r="D670" s="43" t="inlineStr">
        <is>
          <t>面格子付引違い窓</t>
        </is>
      </c>
      <c r="E670" s="43" t="inlineStr">
        <is>
          <t>SP-SL-GRILLE-DIA</t>
        </is>
      </c>
      <c r="F670" s="43" t="inlineStr">
        <is>
          <t>在来・204</t>
        </is>
      </c>
      <c r="G670" s="43" t="inlineStr">
        <is>
          <t>13307</t>
        </is>
      </c>
      <c r="H670" s="43" t="inlineStr">
        <is>
          <t>133</t>
        </is>
      </c>
      <c r="I670" s="43" t="inlineStr">
        <is>
          <t>07</t>
        </is>
      </c>
      <c r="J670" s="222" t="n">
        <v>1370</v>
      </c>
      <c r="K670" s="222" t="n">
        <v>770</v>
      </c>
      <c r="L670" s="43" t="inlineStr">
        <is>
          <t>在来・204</t>
        </is>
      </c>
      <c r="M670" s="178" t="b">
        <v>1</v>
      </c>
      <c r="N670" s="43" t="inlineStr">
        <is>
          <t>カタログ個別可否確認済み</t>
        </is>
      </c>
      <c r="O670" s="222" t="n">
        <v>102</v>
      </c>
      <c r="P670" s="222" t="n">
        <v>100</v>
      </c>
      <c r="Q670" s="43" t="inlineStr">
        <is>
          <t>202604_LIXIL_サーモスＬ_業務用資料集_完成品価格表.pdf</t>
        </is>
      </c>
      <c r="R670" s="43" t="inlineStr">
        <is>
          <t>規格呼称は親品種で確認済み。固有仕様ごとの価格設定有無（＿＿表示等）は次QAで最終確定。</t>
        </is>
      </c>
      <c r="S670" s="42" t="inlineStr">
        <is>
          <t>無印</t>
        </is>
      </c>
      <c r="T670" s="42" t="n">
        <v>100</v>
      </c>
      <c r="U670" s="42" t="inlineStr">
        <is>
          <t>P100|無印</t>
        </is>
      </c>
      <c r="V670" s="42" t="inlineStr">
        <is>
          <t>同頁凡例へ直接連動</t>
        </is>
      </c>
    </row>
    <row r="671">
      <c r="A671" s="43" t="inlineStr">
        <is>
          <t>SZ-SL-000668</t>
        </is>
      </c>
      <c r="B671" s="43" t="inlineStr">
        <is>
          <t>SER-LIX-SAMOSL</t>
        </is>
      </c>
      <c r="C671" s="43" t="inlineStr">
        <is>
          <t>WT-SL-MENKOSHI-HIKI</t>
        </is>
      </c>
      <c r="D671" s="43" t="inlineStr">
        <is>
          <t>面格子付引違い窓</t>
        </is>
      </c>
      <c r="E671" s="43" t="inlineStr">
        <is>
          <t>SP-SL-GRILLE-DIA</t>
        </is>
      </c>
      <c r="F671" s="43" t="inlineStr">
        <is>
          <t>在来・204</t>
        </is>
      </c>
      <c r="G671" s="43" t="inlineStr">
        <is>
          <t>15007</t>
        </is>
      </c>
      <c r="H671" s="43" t="inlineStr">
        <is>
          <t>150</t>
        </is>
      </c>
      <c r="I671" s="43" t="inlineStr">
        <is>
          <t>07</t>
        </is>
      </c>
      <c r="J671" s="222" t="n">
        <v>1540</v>
      </c>
      <c r="K671" s="222" t="n">
        <v>770</v>
      </c>
      <c r="L671" s="43" t="inlineStr">
        <is>
          <t>在来・204</t>
        </is>
      </c>
      <c r="M671" s="178" t="b">
        <v>1</v>
      </c>
      <c r="N671" s="43" t="inlineStr">
        <is>
          <t>カタログ個別可否確認済み</t>
        </is>
      </c>
      <c r="O671" s="222" t="n">
        <v>102</v>
      </c>
      <c r="P671" s="222" t="n">
        <v>100</v>
      </c>
      <c r="Q671" s="43" t="inlineStr">
        <is>
          <t>202604_LIXIL_サーモスＬ_業務用資料集_完成品価格表.pdf</t>
        </is>
      </c>
      <c r="R671" s="43" t="inlineStr">
        <is>
          <t>規格呼称は親品種で確認済み。固有仕様ごとの価格設定有無（＿＿表示等）は次QAで最終確定。</t>
        </is>
      </c>
      <c r="S671" s="42" t="inlineStr">
        <is>
          <t>無印</t>
        </is>
      </c>
      <c r="T671" s="42" t="n">
        <v>100</v>
      </c>
      <c r="U671" s="42" t="inlineStr">
        <is>
          <t>P100|無印</t>
        </is>
      </c>
      <c r="V671" s="42" t="inlineStr">
        <is>
          <t>同頁凡例へ直接連動</t>
        </is>
      </c>
    </row>
    <row r="672">
      <c r="A672" s="43" t="inlineStr">
        <is>
          <t>SZ-SL-000669</t>
        </is>
      </c>
      <c r="B672" s="43" t="inlineStr">
        <is>
          <t>SER-LIX-SAMOSL</t>
        </is>
      </c>
      <c r="C672" s="43" t="inlineStr">
        <is>
          <t>WT-SL-MENKOSHI-HIKI</t>
        </is>
      </c>
      <c r="D672" s="43" t="inlineStr">
        <is>
          <t>面格子付引違い窓</t>
        </is>
      </c>
      <c r="E672" s="43" t="inlineStr">
        <is>
          <t>SP-SL-GRILLE-DIA</t>
        </is>
      </c>
      <c r="F672" s="43" t="inlineStr">
        <is>
          <t>在来・204</t>
        </is>
      </c>
      <c r="G672" s="43" t="inlineStr">
        <is>
          <t>16007</t>
        </is>
      </c>
      <c r="H672" s="43" t="inlineStr">
        <is>
          <t>160</t>
        </is>
      </c>
      <c r="I672" s="43" t="inlineStr">
        <is>
          <t>07</t>
        </is>
      </c>
      <c r="J672" s="222" t="n">
        <v>1640</v>
      </c>
      <c r="K672" s="222" t="n">
        <v>770</v>
      </c>
      <c r="L672" s="43" t="inlineStr">
        <is>
          <t>在来・204</t>
        </is>
      </c>
      <c r="M672" s="178" t="b">
        <v>1</v>
      </c>
      <c r="N672" s="43" t="inlineStr">
        <is>
          <t>カタログ個別可否確認済み</t>
        </is>
      </c>
      <c r="O672" s="222" t="n">
        <v>102</v>
      </c>
      <c r="P672" s="222" t="n">
        <v>100</v>
      </c>
      <c r="Q672" s="43" t="inlineStr">
        <is>
          <t>202604_LIXIL_サーモスＬ_業務用資料集_完成品価格表.pdf</t>
        </is>
      </c>
      <c r="R672" s="43" t="inlineStr">
        <is>
          <t>規格呼称は親品種で確認済み。固有仕様ごとの価格設定有無（＿＿表示等）は次QAで最終確定。</t>
        </is>
      </c>
      <c r="S672" s="42" t="inlineStr">
        <is>
          <t>無印</t>
        </is>
      </c>
      <c r="T672" s="42" t="n">
        <v>100</v>
      </c>
      <c r="U672" s="42" t="inlineStr">
        <is>
          <t>P100|無印</t>
        </is>
      </c>
      <c r="V672" s="42" t="inlineStr">
        <is>
          <t>同頁凡例へ直接連動</t>
        </is>
      </c>
    </row>
    <row r="673">
      <c r="A673" s="43" t="inlineStr">
        <is>
          <t>SZ-SL-000670</t>
        </is>
      </c>
      <c r="B673" s="43" t="inlineStr">
        <is>
          <t>SER-LIX-SAMOSL</t>
        </is>
      </c>
      <c r="C673" s="43" t="inlineStr">
        <is>
          <t>WT-SL-MENKOSHI-HIKI</t>
        </is>
      </c>
      <c r="D673" s="43" t="inlineStr">
        <is>
          <t>面格子付引違い窓</t>
        </is>
      </c>
      <c r="E673" s="43" t="inlineStr">
        <is>
          <t>SP-SL-GRILLE-DIA</t>
        </is>
      </c>
      <c r="F673" s="43" t="inlineStr">
        <is>
          <t>在来・204</t>
        </is>
      </c>
      <c r="G673" s="43" t="inlineStr">
        <is>
          <t>16507</t>
        </is>
      </c>
      <c r="H673" s="43" t="inlineStr">
        <is>
          <t>165</t>
        </is>
      </c>
      <c r="I673" s="43" t="inlineStr">
        <is>
          <t>07</t>
        </is>
      </c>
      <c r="J673" s="222" t="n">
        <v>1690</v>
      </c>
      <c r="K673" s="222" t="n">
        <v>770</v>
      </c>
      <c r="L673" s="43" t="inlineStr">
        <is>
          <t>在来・204</t>
        </is>
      </c>
      <c r="M673" s="178" t="b">
        <v>1</v>
      </c>
      <c r="N673" s="43" t="inlineStr">
        <is>
          <t>カタログ個別可否確認済み</t>
        </is>
      </c>
      <c r="O673" s="222" t="n">
        <v>102</v>
      </c>
      <c r="P673" s="222" t="n">
        <v>100</v>
      </c>
      <c r="Q673" s="43" t="inlineStr">
        <is>
          <t>202604_LIXIL_サーモスＬ_業務用資料集_完成品価格表.pdf</t>
        </is>
      </c>
      <c r="R673" s="43" t="inlineStr">
        <is>
          <t>規格呼称は親品種で確認済み。固有仕様ごとの価格設定有無（＿＿表示等）は次QAで最終確定。</t>
        </is>
      </c>
      <c r="S673" s="42" t="inlineStr">
        <is>
          <t>無印</t>
        </is>
      </c>
      <c r="T673" s="42" t="n">
        <v>100</v>
      </c>
      <c r="U673" s="42" t="inlineStr">
        <is>
          <t>P100|無印</t>
        </is>
      </c>
      <c r="V673" s="42" t="inlineStr">
        <is>
          <t>同頁凡例へ直接連動</t>
        </is>
      </c>
    </row>
    <row r="674">
      <c r="A674" s="43" t="inlineStr">
        <is>
          <t>SZ-SL-000671</t>
        </is>
      </c>
      <c r="B674" s="43" t="inlineStr">
        <is>
          <t>SER-LIX-SAMOSL</t>
        </is>
      </c>
      <c r="C674" s="43" t="inlineStr">
        <is>
          <t>WT-SL-MENKOSHI-HIKI</t>
        </is>
      </c>
      <c r="D674" s="43" t="inlineStr">
        <is>
          <t>面格子付引違い窓</t>
        </is>
      </c>
      <c r="E674" s="43" t="inlineStr">
        <is>
          <t>SP-SL-GRILLE-H</t>
        </is>
      </c>
      <c r="F674" s="43" t="inlineStr">
        <is>
          <t>在来・204</t>
        </is>
      </c>
      <c r="G674" s="43" t="inlineStr">
        <is>
          <t>13307</t>
        </is>
      </c>
      <c r="H674" s="43" t="inlineStr">
        <is>
          <t>133</t>
        </is>
      </c>
      <c r="I674" s="43" t="inlineStr">
        <is>
          <t>07</t>
        </is>
      </c>
      <c r="J674" s="222" t="n">
        <v>1370</v>
      </c>
      <c r="K674" s="222" t="n">
        <v>770</v>
      </c>
      <c r="L674" s="43" t="inlineStr">
        <is>
          <t>在来・204</t>
        </is>
      </c>
      <c r="M674" s="178" t="b">
        <v>1</v>
      </c>
      <c r="N674" s="43" t="inlineStr">
        <is>
          <t>カタログ個別可否確認済み</t>
        </is>
      </c>
      <c r="O674" s="222" t="n">
        <v>102</v>
      </c>
      <c r="P674" s="222" t="n">
        <v>100</v>
      </c>
      <c r="Q674" s="43" t="inlineStr">
        <is>
          <t>202604_LIXIL_サーモスＬ_業務用資料集_完成品価格表.pdf</t>
        </is>
      </c>
      <c r="R674" s="43" t="inlineStr">
        <is>
          <t>規格呼称は親品種で確認済み。固有仕様ごとの価格設定有無（＿＿表示等）は次QAで最終確定。</t>
        </is>
      </c>
      <c r="S674" s="42" t="inlineStr">
        <is>
          <t>無印</t>
        </is>
      </c>
      <c r="T674" s="42" t="n">
        <v>100</v>
      </c>
      <c r="U674" s="42" t="inlineStr">
        <is>
          <t>P100|無印</t>
        </is>
      </c>
      <c r="V674" s="42" t="inlineStr">
        <is>
          <t>同頁凡例へ直接連動</t>
        </is>
      </c>
    </row>
    <row r="675">
      <c r="A675" s="43" t="inlineStr">
        <is>
          <t>SZ-SL-000672</t>
        </is>
      </c>
      <c r="B675" s="43" t="inlineStr">
        <is>
          <t>SER-LIX-SAMOSL</t>
        </is>
      </c>
      <c r="C675" s="43" t="inlineStr">
        <is>
          <t>WT-SL-MENKOSHI-HIKI</t>
        </is>
      </c>
      <c r="D675" s="43" t="inlineStr">
        <is>
          <t>面格子付引違い窓</t>
        </is>
      </c>
      <c r="E675" s="43" t="inlineStr">
        <is>
          <t>SP-SL-GRILLE-H</t>
        </is>
      </c>
      <c r="F675" s="43" t="inlineStr">
        <is>
          <t>在来・204</t>
        </is>
      </c>
      <c r="G675" s="43" t="inlineStr">
        <is>
          <t>15007</t>
        </is>
      </c>
      <c r="H675" s="43" t="inlineStr">
        <is>
          <t>150</t>
        </is>
      </c>
      <c r="I675" s="43" t="inlineStr">
        <is>
          <t>07</t>
        </is>
      </c>
      <c r="J675" s="222" t="n">
        <v>1540</v>
      </c>
      <c r="K675" s="222" t="n">
        <v>770</v>
      </c>
      <c r="L675" s="43" t="inlineStr">
        <is>
          <t>在来・204</t>
        </is>
      </c>
      <c r="M675" s="178" t="b">
        <v>0</v>
      </c>
      <c r="N675" s="43" t="inlineStr">
        <is>
          <t>設定なし（価格表確認済み）</t>
        </is>
      </c>
      <c r="O675" s="222" t="n">
        <v>102</v>
      </c>
      <c r="P675" s="222" t="n">
        <v>100</v>
      </c>
      <c r="Q675" s="43" t="inlineStr">
        <is>
          <t>202604_LIXIL_サーモスＬ_業務用資料集_完成品価格表.pdf</t>
        </is>
      </c>
      <c r="R675" s="43" t="inlineStr">
        <is>
          <t>規格呼称は親品種で確認済み。固有仕様ごとの価格設定有無（＿＿表示等）は次QAで最終確定。</t>
        </is>
      </c>
      <c r="S675" s="42" t="inlineStr">
        <is>
          <t>無印</t>
        </is>
      </c>
      <c r="T675" s="42" t="n">
        <v>100</v>
      </c>
      <c r="U675" s="42" t="inlineStr">
        <is>
          <t>P100|無印</t>
        </is>
      </c>
      <c r="V675" s="42" t="inlineStr">
        <is>
          <t>同頁凡例へ直接連動</t>
        </is>
      </c>
    </row>
    <row r="676">
      <c r="A676" s="43" t="inlineStr">
        <is>
          <t>SZ-SL-000673</t>
        </is>
      </c>
      <c r="B676" s="43" t="inlineStr">
        <is>
          <t>SER-LIX-SAMOSL</t>
        </is>
      </c>
      <c r="C676" s="43" t="inlineStr">
        <is>
          <t>WT-SL-MENKOSHI-HIKI</t>
        </is>
      </c>
      <c r="D676" s="43" t="inlineStr">
        <is>
          <t>面格子付引違い窓</t>
        </is>
      </c>
      <c r="E676" s="43" t="inlineStr">
        <is>
          <t>SP-SL-GRILLE-H</t>
        </is>
      </c>
      <c r="F676" s="43" t="inlineStr">
        <is>
          <t>在来・204</t>
        </is>
      </c>
      <c r="G676" s="43" t="inlineStr">
        <is>
          <t>16007</t>
        </is>
      </c>
      <c r="H676" s="43" t="inlineStr">
        <is>
          <t>160</t>
        </is>
      </c>
      <c r="I676" s="43" t="inlineStr">
        <is>
          <t>07</t>
        </is>
      </c>
      <c r="J676" s="222" t="n">
        <v>1640</v>
      </c>
      <c r="K676" s="222" t="n">
        <v>770</v>
      </c>
      <c r="L676" s="43" t="inlineStr">
        <is>
          <t>在来・204</t>
        </is>
      </c>
      <c r="M676" s="178" t="b">
        <v>0</v>
      </c>
      <c r="N676" s="43" t="inlineStr">
        <is>
          <t>設定なし（価格表確認済み）</t>
        </is>
      </c>
      <c r="O676" s="222" t="n">
        <v>102</v>
      </c>
      <c r="P676" s="222" t="n">
        <v>100</v>
      </c>
      <c r="Q676" s="43" t="inlineStr">
        <is>
          <t>202604_LIXIL_サーモスＬ_業務用資料集_完成品価格表.pdf</t>
        </is>
      </c>
      <c r="R676" s="43" t="inlineStr">
        <is>
          <t>規格呼称は親品種で確認済み。固有仕様ごとの価格設定有無（＿＿表示等）は次QAで最終確定。</t>
        </is>
      </c>
      <c r="S676" s="42" t="inlineStr">
        <is>
          <t>無印</t>
        </is>
      </c>
      <c r="T676" s="42" t="n">
        <v>100</v>
      </c>
      <c r="U676" s="42" t="inlineStr">
        <is>
          <t>P100|無印</t>
        </is>
      </c>
      <c r="V676" s="42" t="inlineStr">
        <is>
          <t>同頁凡例へ直接連動</t>
        </is>
      </c>
    </row>
    <row r="677">
      <c r="A677" s="43" t="inlineStr">
        <is>
          <t>SZ-SL-000674</t>
        </is>
      </c>
      <c r="B677" s="43" t="inlineStr">
        <is>
          <t>SER-LIX-SAMOSL</t>
        </is>
      </c>
      <c r="C677" s="43" t="inlineStr">
        <is>
          <t>WT-SL-MENKOSHI-HIKI</t>
        </is>
      </c>
      <c r="D677" s="43" t="inlineStr">
        <is>
          <t>面格子付引違い窓</t>
        </is>
      </c>
      <c r="E677" s="43" t="inlineStr">
        <is>
          <t>SP-SL-GRILLE-H</t>
        </is>
      </c>
      <c r="F677" s="43" t="inlineStr">
        <is>
          <t>在来・204</t>
        </is>
      </c>
      <c r="G677" s="43" t="inlineStr">
        <is>
          <t>16507</t>
        </is>
      </c>
      <c r="H677" s="43" t="inlineStr">
        <is>
          <t>165</t>
        </is>
      </c>
      <c r="I677" s="43" t="inlineStr">
        <is>
          <t>07</t>
        </is>
      </c>
      <c r="J677" s="222" t="n">
        <v>1690</v>
      </c>
      <c r="K677" s="222" t="n">
        <v>770</v>
      </c>
      <c r="L677" s="43" t="inlineStr">
        <is>
          <t>在来・204</t>
        </is>
      </c>
      <c r="M677" s="178" t="b">
        <v>0</v>
      </c>
      <c r="N677" s="43" t="inlineStr">
        <is>
          <t>設定なし（価格表確認済み）</t>
        </is>
      </c>
      <c r="O677" s="222" t="n">
        <v>102</v>
      </c>
      <c r="P677" s="222" t="n">
        <v>100</v>
      </c>
      <c r="Q677" s="43" t="inlineStr">
        <is>
          <t>202604_LIXIL_サーモスＬ_業務用資料集_完成品価格表.pdf</t>
        </is>
      </c>
      <c r="R677" s="43" t="inlineStr">
        <is>
          <t>規格呼称は親品種で確認済み。固有仕様ごとの価格設定有無（＿＿表示等）は次QAで最終確定。</t>
        </is>
      </c>
      <c r="S677" s="42" t="inlineStr">
        <is>
          <t>無印</t>
        </is>
      </c>
      <c r="T677" s="42" t="n">
        <v>100</v>
      </c>
      <c r="U677" s="42" t="inlineStr">
        <is>
          <t>P100|無印</t>
        </is>
      </c>
      <c r="V677" s="42" t="inlineStr">
        <is>
          <t>同頁凡例へ直接連動</t>
        </is>
      </c>
    </row>
    <row r="678">
      <c r="A678" s="43" t="inlineStr">
        <is>
          <t>SZ-SL-000675</t>
        </is>
      </c>
      <c r="B678" s="43" t="inlineStr">
        <is>
          <t>SER-LIX-SAMOSL</t>
        </is>
      </c>
      <c r="C678" s="43" t="inlineStr">
        <is>
          <t>WT-SL-MENKOSHI-HIKI</t>
        </is>
      </c>
      <c r="D678" s="43" t="inlineStr">
        <is>
          <t>面格子付引違い窓</t>
        </is>
      </c>
      <c r="E678" s="43" t="inlineStr">
        <is>
          <t>SP-SL-GRILLE-IGETA</t>
        </is>
      </c>
      <c r="F678" s="43" t="inlineStr">
        <is>
          <t>在来・204</t>
        </is>
      </c>
      <c r="G678" s="43" t="inlineStr">
        <is>
          <t>13307</t>
        </is>
      </c>
      <c r="H678" s="43" t="inlineStr">
        <is>
          <t>133</t>
        </is>
      </c>
      <c r="I678" s="43" t="inlineStr">
        <is>
          <t>07</t>
        </is>
      </c>
      <c r="J678" s="222" t="n">
        <v>1370</v>
      </c>
      <c r="K678" s="222" t="n">
        <v>770</v>
      </c>
      <c r="L678" s="43" t="inlineStr">
        <is>
          <t>在来・204</t>
        </is>
      </c>
      <c r="M678" s="178" t="b">
        <v>1</v>
      </c>
      <c r="N678" s="43" t="inlineStr">
        <is>
          <t>カタログ個別可否確認済み</t>
        </is>
      </c>
      <c r="O678" s="222" t="n">
        <v>102</v>
      </c>
      <c r="P678" s="222" t="n">
        <v>100</v>
      </c>
      <c r="Q678" s="43" t="inlineStr">
        <is>
          <t>202604_LIXIL_サーモスＬ_業務用資料集_完成品価格表.pdf</t>
        </is>
      </c>
      <c r="R678" s="43" t="inlineStr">
        <is>
          <t>規格呼称は親品種で確認済み。固有仕様ごとの価格設定有無（＿＿表示等）は次QAで最終確定。</t>
        </is>
      </c>
      <c r="S678" s="42" t="inlineStr">
        <is>
          <t>無印</t>
        </is>
      </c>
      <c r="T678" s="42" t="n">
        <v>100</v>
      </c>
      <c r="U678" s="42" t="inlineStr">
        <is>
          <t>P100|無印</t>
        </is>
      </c>
      <c r="V678" s="42" t="inlineStr">
        <is>
          <t>同頁凡例へ直接連動</t>
        </is>
      </c>
    </row>
    <row r="679">
      <c r="A679" s="43" t="inlineStr">
        <is>
          <t>SZ-SL-000676</t>
        </is>
      </c>
      <c r="B679" s="43" t="inlineStr">
        <is>
          <t>SER-LIX-SAMOSL</t>
        </is>
      </c>
      <c r="C679" s="43" t="inlineStr">
        <is>
          <t>WT-SL-MENKOSHI-HIKI</t>
        </is>
      </c>
      <c r="D679" s="43" t="inlineStr">
        <is>
          <t>面格子付引違い窓</t>
        </is>
      </c>
      <c r="E679" s="43" t="inlineStr">
        <is>
          <t>SP-SL-GRILLE-IGETA</t>
        </is>
      </c>
      <c r="F679" s="43" t="inlineStr">
        <is>
          <t>在来・204</t>
        </is>
      </c>
      <c r="G679" s="43" t="inlineStr">
        <is>
          <t>15007</t>
        </is>
      </c>
      <c r="H679" s="43" t="inlineStr">
        <is>
          <t>150</t>
        </is>
      </c>
      <c r="I679" s="43" t="inlineStr">
        <is>
          <t>07</t>
        </is>
      </c>
      <c r="J679" s="222" t="n">
        <v>1540</v>
      </c>
      <c r="K679" s="222" t="n">
        <v>770</v>
      </c>
      <c r="L679" s="43" t="inlineStr">
        <is>
          <t>在来・204</t>
        </is>
      </c>
      <c r="M679" s="178" t="b">
        <v>1</v>
      </c>
      <c r="N679" s="43" t="inlineStr">
        <is>
          <t>カタログ個別可否確認済み</t>
        </is>
      </c>
      <c r="O679" s="222" t="n">
        <v>102</v>
      </c>
      <c r="P679" s="222" t="n">
        <v>100</v>
      </c>
      <c r="Q679" s="43" t="inlineStr">
        <is>
          <t>202604_LIXIL_サーモスＬ_業務用資料集_完成品価格表.pdf</t>
        </is>
      </c>
      <c r="R679" s="43" t="inlineStr">
        <is>
          <t>規格呼称は親品種で確認済み。固有仕様ごとの価格設定有無（＿＿表示等）は次QAで最終確定。</t>
        </is>
      </c>
      <c r="S679" s="42" t="inlineStr">
        <is>
          <t>無印</t>
        </is>
      </c>
      <c r="T679" s="42" t="n">
        <v>100</v>
      </c>
      <c r="U679" s="42" t="inlineStr">
        <is>
          <t>P100|無印</t>
        </is>
      </c>
      <c r="V679" s="42" t="inlineStr">
        <is>
          <t>同頁凡例へ直接連動</t>
        </is>
      </c>
    </row>
    <row r="680">
      <c r="A680" s="43" t="inlineStr">
        <is>
          <t>SZ-SL-000677</t>
        </is>
      </c>
      <c r="B680" s="43" t="inlineStr">
        <is>
          <t>SER-LIX-SAMOSL</t>
        </is>
      </c>
      <c r="C680" s="43" t="inlineStr">
        <is>
          <t>WT-SL-MENKOSHI-HIKI</t>
        </is>
      </c>
      <c r="D680" s="43" t="inlineStr">
        <is>
          <t>面格子付引違い窓</t>
        </is>
      </c>
      <c r="E680" s="43" t="inlineStr">
        <is>
          <t>SP-SL-GRILLE-IGETA</t>
        </is>
      </c>
      <c r="F680" s="43" t="inlineStr">
        <is>
          <t>在来・204</t>
        </is>
      </c>
      <c r="G680" s="43" t="inlineStr">
        <is>
          <t>16007</t>
        </is>
      </c>
      <c r="H680" s="43" t="inlineStr">
        <is>
          <t>160</t>
        </is>
      </c>
      <c r="I680" s="43" t="inlineStr">
        <is>
          <t>07</t>
        </is>
      </c>
      <c r="J680" s="222" t="n">
        <v>1640</v>
      </c>
      <c r="K680" s="222" t="n">
        <v>770</v>
      </c>
      <c r="L680" s="43" t="inlineStr">
        <is>
          <t>在来・204</t>
        </is>
      </c>
      <c r="M680" s="178" t="b">
        <v>1</v>
      </c>
      <c r="N680" s="43" t="inlineStr">
        <is>
          <t>カタログ個別可否確認済み</t>
        </is>
      </c>
      <c r="O680" s="222" t="n">
        <v>102</v>
      </c>
      <c r="P680" s="222" t="n">
        <v>100</v>
      </c>
      <c r="Q680" s="43" t="inlineStr">
        <is>
          <t>202604_LIXIL_サーモスＬ_業務用資料集_完成品価格表.pdf</t>
        </is>
      </c>
      <c r="R680" s="43" t="inlineStr">
        <is>
          <t>規格呼称は親品種で確認済み。固有仕様ごとの価格設定有無（＿＿表示等）は次QAで最終確定。</t>
        </is>
      </c>
      <c r="S680" s="42" t="inlineStr">
        <is>
          <t>無印</t>
        </is>
      </c>
      <c r="T680" s="42" t="n">
        <v>100</v>
      </c>
      <c r="U680" s="42" t="inlineStr">
        <is>
          <t>P100|無印</t>
        </is>
      </c>
      <c r="V680" s="42" t="inlineStr">
        <is>
          <t>同頁凡例へ直接連動</t>
        </is>
      </c>
    </row>
    <row r="681">
      <c r="A681" s="43" t="inlineStr">
        <is>
          <t>SZ-SL-000678</t>
        </is>
      </c>
      <c r="B681" s="43" t="inlineStr">
        <is>
          <t>SER-LIX-SAMOSL</t>
        </is>
      </c>
      <c r="C681" s="43" t="inlineStr">
        <is>
          <t>WT-SL-MENKOSHI-HIKI</t>
        </is>
      </c>
      <c r="D681" s="43" t="inlineStr">
        <is>
          <t>面格子付引違い窓</t>
        </is>
      </c>
      <c r="E681" s="43" t="inlineStr">
        <is>
          <t>SP-SL-GRILLE-IGETA</t>
        </is>
      </c>
      <c r="F681" s="43" t="inlineStr">
        <is>
          <t>在来・204</t>
        </is>
      </c>
      <c r="G681" s="43" t="inlineStr">
        <is>
          <t>16507</t>
        </is>
      </c>
      <c r="H681" s="43" t="inlineStr">
        <is>
          <t>165</t>
        </is>
      </c>
      <c r="I681" s="43" t="inlineStr">
        <is>
          <t>07</t>
        </is>
      </c>
      <c r="J681" s="222" t="n">
        <v>1690</v>
      </c>
      <c r="K681" s="222" t="n">
        <v>770</v>
      </c>
      <c r="L681" s="43" t="inlineStr">
        <is>
          <t>在来・204</t>
        </is>
      </c>
      <c r="M681" s="178" t="b">
        <v>1</v>
      </c>
      <c r="N681" s="43" t="inlineStr">
        <is>
          <t>カタログ個別可否確認済み</t>
        </is>
      </c>
      <c r="O681" s="222" t="n">
        <v>102</v>
      </c>
      <c r="P681" s="222" t="n">
        <v>100</v>
      </c>
      <c r="Q681" s="43" t="inlineStr">
        <is>
          <t>202604_LIXIL_サーモスＬ_業務用資料集_完成品価格表.pdf</t>
        </is>
      </c>
      <c r="R681" s="43" t="inlineStr">
        <is>
          <t>規格呼称は親品種で確認済み。固有仕様ごとの価格設定有無（＿＿表示等）は次QAで最終確定。</t>
        </is>
      </c>
      <c r="S681" s="42" t="inlineStr">
        <is>
          <t>無印</t>
        </is>
      </c>
      <c r="T681" s="42" t="n">
        <v>100</v>
      </c>
      <c r="U681" s="42" t="inlineStr">
        <is>
          <t>P100|無印</t>
        </is>
      </c>
      <c r="V681" s="42" t="inlineStr">
        <is>
          <t>同頁凡例へ直接連動</t>
        </is>
      </c>
    </row>
    <row r="682">
      <c r="A682" s="43" t="inlineStr">
        <is>
          <t>SZ-SL-000679</t>
        </is>
      </c>
      <c r="B682" s="43" t="inlineStr">
        <is>
          <t>SER-LIX-SAMOSL</t>
        </is>
      </c>
      <c r="C682" s="43" t="inlineStr">
        <is>
          <t>WT-SL-MENKOSHI-HIKI</t>
        </is>
      </c>
      <c r="D682" s="43" t="inlineStr">
        <is>
          <t>面格子付引違い窓</t>
        </is>
      </c>
      <c r="E682" s="43" t="inlineStr">
        <is>
          <t>SP-SL-GRILLE-V</t>
        </is>
      </c>
      <c r="F682" s="43" t="inlineStr">
        <is>
          <t>在来・204</t>
        </is>
      </c>
      <c r="G682" s="43" t="inlineStr">
        <is>
          <t>13307</t>
        </is>
      </c>
      <c r="H682" s="43" t="inlineStr">
        <is>
          <t>133</t>
        </is>
      </c>
      <c r="I682" s="43" t="inlineStr">
        <is>
          <t>07</t>
        </is>
      </c>
      <c r="J682" s="222" t="n">
        <v>1370</v>
      </c>
      <c r="K682" s="222" t="n">
        <v>770</v>
      </c>
      <c r="L682" s="43" t="inlineStr">
        <is>
          <t>在来・204</t>
        </is>
      </c>
      <c r="M682" s="178" t="b">
        <v>1</v>
      </c>
      <c r="N682" s="43" t="inlineStr">
        <is>
          <t>カタログ個別可否確認済み</t>
        </is>
      </c>
      <c r="O682" s="222" t="n">
        <v>102</v>
      </c>
      <c r="P682" s="222" t="n">
        <v>100</v>
      </c>
      <c r="Q682" s="43" t="inlineStr">
        <is>
          <t>202604_LIXIL_サーモスＬ_業務用資料集_完成品価格表.pdf</t>
        </is>
      </c>
      <c r="R682" s="43" t="inlineStr">
        <is>
          <t>規格呼称は親品種で確認済み。固有仕様ごとの価格設定有無（＿＿表示等）は次QAで最終確定。</t>
        </is>
      </c>
      <c r="S682" s="42" t="inlineStr">
        <is>
          <t>無印</t>
        </is>
      </c>
      <c r="T682" s="42" t="n">
        <v>100</v>
      </c>
      <c r="U682" s="42" t="inlineStr">
        <is>
          <t>P100|無印</t>
        </is>
      </c>
      <c r="V682" s="42" t="inlineStr">
        <is>
          <t>同頁凡例へ直接連動</t>
        </is>
      </c>
    </row>
    <row r="683">
      <c r="A683" s="43" t="inlineStr">
        <is>
          <t>SZ-SL-000680</t>
        </is>
      </c>
      <c r="B683" s="43" t="inlineStr">
        <is>
          <t>SER-LIX-SAMOSL</t>
        </is>
      </c>
      <c r="C683" s="43" t="inlineStr">
        <is>
          <t>WT-SL-MENKOSHI-HIKI</t>
        </is>
      </c>
      <c r="D683" s="43" t="inlineStr">
        <is>
          <t>面格子付引違い窓</t>
        </is>
      </c>
      <c r="E683" s="43" t="inlineStr">
        <is>
          <t>SP-SL-GRILLE-V</t>
        </is>
      </c>
      <c r="F683" s="43" t="inlineStr">
        <is>
          <t>在来・204</t>
        </is>
      </c>
      <c r="G683" s="43" t="inlineStr">
        <is>
          <t>15007</t>
        </is>
      </c>
      <c r="H683" s="43" t="inlineStr">
        <is>
          <t>150</t>
        </is>
      </c>
      <c r="I683" s="43" t="inlineStr">
        <is>
          <t>07</t>
        </is>
      </c>
      <c r="J683" s="222" t="n">
        <v>1540</v>
      </c>
      <c r="K683" s="222" t="n">
        <v>770</v>
      </c>
      <c r="L683" s="43" t="inlineStr">
        <is>
          <t>在来・204</t>
        </is>
      </c>
      <c r="M683" s="178" t="b">
        <v>1</v>
      </c>
      <c r="N683" s="43" t="inlineStr">
        <is>
          <t>カタログ個別可否確認済み</t>
        </is>
      </c>
      <c r="O683" s="222" t="n">
        <v>102</v>
      </c>
      <c r="P683" s="222" t="n">
        <v>100</v>
      </c>
      <c r="Q683" s="43" t="inlineStr">
        <is>
          <t>202604_LIXIL_サーモスＬ_業務用資料集_完成品価格表.pdf</t>
        </is>
      </c>
      <c r="R683" s="43" t="inlineStr">
        <is>
          <t>規格呼称は親品種で確認済み。固有仕様ごとの価格設定有無（＿＿表示等）は次QAで最終確定。</t>
        </is>
      </c>
      <c r="S683" s="42" t="inlineStr">
        <is>
          <t>無印</t>
        </is>
      </c>
      <c r="T683" s="42" t="n">
        <v>100</v>
      </c>
      <c r="U683" s="42" t="inlineStr">
        <is>
          <t>P100|無印</t>
        </is>
      </c>
      <c r="V683" s="42" t="inlineStr">
        <is>
          <t>同頁凡例へ直接連動</t>
        </is>
      </c>
    </row>
    <row r="684">
      <c r="A684" s="43" t="inlineStr">
        <is>
          <t>SZ-SL-000681</t>
        </is>
      </c>
      <c r="B684" s="43" t="inlineStr">
        <is>
          <t>SER-LIX-SAMOSL</t>
        </is>
      </c>
      <c r="C684" s="43" t="inlineStr">
        <is>
          <t>WT-SL-MENKOSHI-HIKI</t>
        </is>
      </c>
      <c r="D684" s="43" t="inlineStr">
        <is>
          <t>面格子付引違い窓</t>
        </is>
      </c>
      <c r="E684" s="43" t="inlineStr">
        <is>
          <t>SP-SL-GRILLE-V</t>
        </is>
      </c>
      <c r="F684" s="43" t="inlineStr">
        <is>
          <t>在来・204</t>
        </is>
      </c>
      <c r="G684" s="43" t="inlineStr">
        <is>
          <t>16007</t>
        </is>
      </c>
      <c r="H684" s="43" t="inlineStr">
        <is>
          <t>160</t>
        </is>
      </c>
      <c r="I684" s="43" t="inlineStr">
        <is>
          <t>07</t>
        </is>
      </c>
      <c r="J684" s="222" t="n">
        <v>1640</v>
      </c>
      <c r="K684" s="222" t="n">
        <v>770</v>
      </c>
      <c r="L684" s="43" t="inlineStr">
        <is>
          <t>在来・204</t>
        </is>
      </c>
      <c r="M684" s="178" t="b">
        <v>1</v>
      </c>
      <c r="N684" s="43" t="inlineStr">
        <is>
          <t>カタログ個別可否確認済み</t>
        </is>
      </c>
      <c r="O684" s="222" t="n">
        <v>102</v>
      </c>
      <c r="P684" s="222" t="n">
        <v>100</v>
      </c>
      <c r="Q684" s="43" t="inlineStr">
        <is>
          <t>202604_LIXIL_サーモスＬ_業務用資料集_完成品価格表.pdf</t>
        </is>
      </c>
      <c r="R684" s="43" t="inlineStr">
        <is>
          <t>規格呼称は親品種で確認済み。固有仕様ごとの価格設定有無（＿＿表示等）は次QAで最終確定。</t>
        </is>
      </c>
      <c r="S684" s="42" t="inlineStr">
        <is>
          <t>無印</t>
        </is>
      </c>
      <c r="T684" s="42" t="n">
        <v>100</v>
      </c>
      <c r="U684" s="42" t="inlineStr">
        <is>
          <t>P100|無印</t>
        </is>
      </c>
      <c r="V684" s="42" t="inlineStr">
        <is>
          <t>同頁凡例へ直接連動</t>
        </is>
      </c>
    </row>
    <row r="685">
      <c r="A685" s="43" t="inlineStr">
        <is>
          <t>SZ-SL-000682</t>
        </is>
      </c>
      <c r="B685" s="43" t="inlineStr">
        <is>
          <t>SER-LIX-SAMOSL</t>
        </is>
      </c>
      <c r="C685" s="43" t="inlineStr">
        <is>
          <t>WT-SL-MENKOSHI-HIKI</t>
        </is>
      </c>
      <c r="D685" s="43" t="inlineStr">
        <is>
          <t>面格子付引違い窓</t>
        </is>
      </c>
      <c r="E685" s="43" t="inlineStr">
        <is>
          <t>SP-SL-GRILLE-V</t>
        </is>
      </c>
      <c r="F685" s="43" t="inlineStr">
        <is>
          <t>在来・204</t>
        </is>
      </c>
      <c r="G685" s="43" t="inlineStr">
        <is>
          <t>16507</t>
        </is>
      </c>
      <c r="H685" s="43" t="inlineStr">
        <is>
          <t>165</t>
        </is>
      </c>
      <c r="I685" s="43" t="inlineStr">
        <is>
          <t>07</t>
        </is>
      </c>
      <c r="J685" s="222" t="n">
        <v>1690</v>
      </c>
      <c r="K685" s="222" t="n">
        <v>770</v>
      </c>
      <c r="L685" s="43" t="inlineStr">
        <is>
          <t>在来・204</t>
        </is>
      </c>
      <c r="M685" s="178" t="b">
        <v>1</v>
      </c>
      <c r="N685" s="43" t="inlineStr">
        <is>
          <t>カタログ個別可否確認済み</t>
        </is>
      </c>
      <c r="O685" s="222" t="n">
        <v>102</v>
      </c>
      <c r="P685" s="222" t="n">
        <v>100</v>
      </c>
      <c r="Q685" s="43" t="inlineStr">
        <is>
          <t>202604_LIXIL_サーモスＬ_業務用資料集_完成品価格表.pdf</t>
        </is>
      </c>
      <c r="R685" s="43" t="inlineStr">
        <is>
          <t>規格呼称は親品種で確認済み。固有仕様ごとの価格設定有無（＿＿表示等）は次QAで最終確定。</t>
        </is>
      </c>
      <c r="S685" s="42" t="inlineStr">
        <is>
          <t>無印</t>
        </is>
      </c>
      <c r="T685" s="42" t="n">
        <v>100</v>
      </c>
      <c r="U685" s="42" t="inlineStr">
        <is>
          <t>P100|無印</t>
        </is>
      </c>
      <c r="V685" s="42" t="inlineStr">
        <is>
          <t>同頁凡例へ直接連動</t>
        </is>
      </c>
    </row>
    <row r="686">
      <c r="A686" s="43" t="inlineStr">
        <is>
          <t>SZ-SL-000683</t>
        </is>
      </c>
      <c r="B686" s="43" t="inlineStr">
        <is>
          <t>SER-LIX-SAMOSL</t>
        </is>
      </c>
      <c r="C686" s="43" t="inlineStr">
        <is>
          <t>WT-SL-MENKOSHI-HIKI</t>
        </is>
      </c>
      <c r="D686" s="43" t="inlineStr">
        <is>
          <t>面格子付引違い窓</t>
        </is>
      </c>
      <c r="E686" s="43" t="inlineStr">
        <is>
          <t>SP-SL-GRILLE-DIA</t>
        </is>
      </c>
      <c r="F686" s="43" t="inlineStr">
        <is>
          <t>在来・204</t>
        </is>
      </c>
      <c r="G686" s="43" t="inlineStr">
        <is>
          <t>17407</t>
        </is>
      </c>
      <c r="H686" s="43" t="inlineStr">
        <is>
          <t>174</t>
        </is>
      </c>
      <c r="I686" s="43" t="inlineStr">
        <is>
          <t>07</t>
        </is>
      </c>
      <c r="J686" s="222" t="n">
        <v>1780</v>
      </c>
      <c r="K686" s="222" t="n">
        <v>770</v>
      </c>
      <c r="L686" s="43" t="inlineStr">
        <is>
          <t>在来・204</t>
        </is>
      </c>
      <c r="M686" s="178" t="b">
        <v>1</v>
      </c>
      <c r="N686" s="43" t="inlineStr">
        <is>
          <t>カタログ個別可否確認済み</t>
        </is>
      </c>
      <c r="O686" s="222" t="n">
        <v>103</v>
      </c>
      <c r="P686" s="222" t="n">
        <v>101</v>
      </c>
      <c r="Q686" s="43" t="inlineStr">
        <is>
          <t>202604_LIXIL_サーモスＬ_業務用資料集_完成品価格表.pdf</t>
        </is>
      </c>
      <c r="R686" s="43" t="inlineStr">
        <is>
          <t>規格呼称は親品種で確認済み。固有仕様ごとの価格設定有無（＿＿表示等）は次QAで最終確定。</t>
        </is>
      </c>
      <c r="S686" s="42" t="inlineStr">
        <is>
          <t>無印</t>
        </is>
      </c>
      <c r="T686" s="42" t="n">
        <v>100</v>
      </c>
      <c r="U686" s="42" t="inlineStr">
        <is>
          <t>P100|無印</t>
        </is>
      </c>
      <c r="V686" s="42" t="inlineStr">
        <is>
          <t>同一価格表・前頁凡例を継承</t>
        </is>
      </c>
    </row>
    <row r="687">
      <c r="A687" s="43" t="inlineStr">
        <is>
          <t>SZ-SL-000684</t>
        </is>
      </c>
      <c r="B687" s="43" t="inlineStr">
        <is>
          <t>SER-LIX-SAMOSL</t>
        </is>
      </c>
      <c r="C687" s="43" t="inlineStr">
        <is>
          <t>WT-SL-MENKOSHI-HIKI</t>
        </is>
      </c>
      <c r="D687" s="43" t="inlineStr">
        <is>
          <t>面格子付引違い窓</t>
        </is>
      </c>
      <c r="E687" s="43" t="inlineStr">
        <is>
          <t>SP-SL-GRILLE-DIA</t>
        </is>
      </c>
      <c r="F687" s="43" t="inlineStr">
        <is>
          <t>在来・204</t>
        </is>
      </c>
      <c r="G687" s="43" t="inlineStr">
        <is>
          <t>17607</t>
        </is>
      </c>
      <c r="H687" s="43" t="inlineStr">
        <is>
          <t>176</t>
        </is>
      </c>
      <c r="I687" s="43" t="inlineStr">
        <is>
          <t>07</t>
        </is>
      </c>
      <c r="J687" s="222" t="n">
        <v>1800</v>
      </c>
      <c r="K687" s="222" t="n">
        <v>770</v>
      </c>
      <c r="L687" s="43" t="inlineStr">
        <is>
          <t>在来・204</t>
        </is>
      </c>
      <c r="M687" s="178" t="b">
        <v>1</v>
      </c>
      <c r="N687" s="43" t="inlineStr">
        <is>
          <t>カタログ個別可否確認済み</t>
        </is>
      </c>
      <c r="O687" s="222" t="n">
        <v>103</v>
      </c>
      <c r="P687" s="222" t="n">
        <v>101</v>
      </c>
      <c r="Q687" s="43" t="inlineStr">
        <is>
          <t>202604_LIXIL_サーモスＬ_業務用資料集_完成品価格表.pdf</t>
        </is>
      </c>
      <c r="R687" s="43" t="inlineStr">
        <is>
          <t>規格呼称は親品種で確認済み。固有仕様ごとの価格設定有無（＿＿表示等）は次QAで最終確定。</t>
        </is>
      </c>
      <c r="S687" s="42" t="inlineStr">
        <is>
          <t>無印</t>
        </is>
      </c>
      <c r="T687" s="42" t="n">
        <v>100</v>
      </c>
      <c r="U687" s="42" t="inlineStr">
        <is>
          <t>P100|無印</t>
        </is>
      </c>
      <c r="V687" s="42" t="inlineStr">
        <is>
          <t>同一価格表・前頁凡例を継承</t>
        </is>
      </c>
    </row>
    <row r="688">
      <c r="A688" s="43" t="inlineStr">
        <is>
          <t>SZ-SL-000685</t>
        </is>
      </c>
      <c r="B688" s="43" t="inlineStr">
        <is>
          <t>SER-LIX-SAMOSL</t>
        </is>
      </c>
      <c r="C688" s="43" t="inlineStr">
        <is>
          <t>WT-SL-MENKOSHI-HIKI</t>
        </is>
      </c>
      <c r="D688" s="43" t="inlineStr">
        <is>
          <t>面格子付引違い窓</t>
        </is>
      </c>
      <c r="E688" s="43" t="inlineStr">
        <is>
          <t>SP-SL-GRILLE-DIA</t>
        </is>
      </c>
      <c r="F688" s="43" t="inlineStr">
        <is>
          <t>在来・204</t>
        </is>
      </c>
      <c r="G688" s="43" t="inlineStr">
        <is>
          <t>18007</t>
        </is>
      </c>
      <c r="H688" s="43" t="inlineStr">
        <is>
          <t>180</t>
        </is>
      </c>
      <c r="I688" s="43" t="inlineStr">
        <is>
          <t>07</t>
        </is>
      </c>
      <c r="J688" s="222" t="n">
        <v>1845</v>
      </c>
      <c r="K688" s="222" t="n">
        <v>770</v>
      </c>
      <c r="L688" s="43" t="inlineStr">
        <is>
          <t>在来・204</t>
        </is>
      </c>
      <c r="M688" s="178" t="b">
        <v>1</v>
      </c>
      <c r="N688" s="43" t="inlineStr">
        <is>
          <t>カタログ個別可否確認済み</t>
        </is>
      </c>
      <c r="O688" s="222" t="n">
        <v>103</v>
      </c>
      <c r="P688" s="222" t="n">
        <v>101</v>
      </c>
      <c r="Q688" s="43" t="inlineStr">
        <is>
          <t>202604_LIXIL_サーモスＬ_業務用資料集_完成品価格表.pdf</t>
        </is>
      </c>
      <c r="R688" s="43" t="inlineStr">
        <is>
          <t>規格呼称は親品種で確認済み。固有仕様ごとの価格設定有無（＿＿表示等）は次QAで最終確定。</t>
        </is>
      </c>
      <c r="S688" s="42" t="inlineStr">
        <is>
          <t>無印</t>
        </is>
      </c>
      <c r="T688" s="42" t="n">
        <v>100</v>
      </c>
      <c r="U688" s="42" t="inlineStr">
        <is>
          <t>P100|無印</t>
        </is>
      </c>
      <c r="V688" s="42" t="inlineStr">
        <is>
          <t>同一価格表・前頁凡例を継承</t>
        </is>
      </c>
    </row>
    <row r="689">
      <c r="A689" s="43" t="inlineStr">
        <is>
          <t>SZ-SL-000686</t>
        </is>
      </c>
      <c r="B689" s="43" t="inlineStr">
        <is>
          <t>SER-LIX-SAMOSL</t>
        </is>
      </c>
      <c r="C689" s="43" t="inlineStr">
        <is>
          <t>WT-SL-MENKOSHI-HIKI</t>
        </is>
      </c>
      <c r="D689" s="43" t="inlineStr">
        <is>
          <t>面格子付引違い窓</t>
        </is>
      </c>
      <c r="E689" s="43" t="inlineStr">
        <is>
          <t>SP-SL-GRILLE-DIA</t>
        </is>
      </c>
      <c r="F689" s="43" t="inlineStr">
        <is>
          <t>在来・204</t>
        </is>
      </c>
      <c r="G689" s="43" t="inlineStr">
        <is>
          <t>18607</t>
        </is>
      </c>
      <c r="H689" s="43" t="inlineStr">
        <is>
          <t>186</t>
        </is>
      </c>
      <c r="I689" s="43" t="inlineStr">
        <is>
          <t>07</t>
        </is>
      </c>
      <c r="J689" s="222" t="n">
        <v>1900</v>
      </c>
      <c r="K689" s="222" t="n">
        <v>770</v>
      </c>
      <c r="L689" s="43" t="inlineStr">
        <is>
          <t>在来・204</t>
        </is>
      </c>
      <c r="M689" s="178" t="b">
        <v>1</v>
      </c>
      <c r="N689" s="43" t="inlineStr">
        <is>
          <t>カタログ個別可否確認済み</t>
        </is>
      </c>
      <c r="O689" s="222" t="n">
        <v>103</v>
      </c>
      <c r="P689" s="222" t="n">
        <v>101</v>
      </c>
      <c r="Q689" s="43" t="inlineStr">
        <is>
          <t>202604_LIXIL_サーモスＬ_業務用資料集_完成品価格表.pdf</t>
        </is>
      </c>
      <c r="R689" s="43" t="inlineStr">
        <is>
          <t>規格呼称は親品種で確認済み。固有仕様ごとの価格設定有無（＿＿表示等）は次QAで最終確定。</t>
        </is>
      </c>
      <c r="S689" s="42" t="inlineStr">
        <is>
          <t>無印</t>
        </is>
      </c>
      <c r="T689" s="42" t="n">
        <v>100</v>
      </c>
      <c r="U689" s="42" t="inlineStr">
        <is>
          <t>P100|無印</t>
        </is>
      </c>
      <c r="V689" s="42" t="inlineStr">
        <is>
          <t>同一価格表・前頁凡例を継承</t>
        </is>
      </c>
    </row>
    <row r="690">
      <c r="A690" s="43" t="inlineStr">
        <is>
          <t>SZ-SL-000687</t>
        </is>
      </c>
      <c r="B690" s="43" t="inlineStr">
        <is>
          <t>SER-LIX-SAMOSL</t>
        </is>
      </c>
      <c r="C690" s="43" t="inlineStr">
        <is>
          <t>WT-SL-MENKOSHI-HIKI</t>
        </is>
      </c>
      <c r="D690" s="43" t="inlineStr">
        <is>
          <t>面格子付引違い窓</t>
        </is>
      </c>
      <c r="E690" s="43" t="inlineStr">
        <is>
          <t>SP-SL-GRILLE-H</t>
        </is>
      </c>
      <c r="F690" s="43" t="inlineStr">
        <is>
          <t>在来・204</t>
        </is>
      </c>
      <c r="G690" s="43" t="inlineStr">
        <is>
          <t>17407</t>
        </is>
      </c>
      <c r="H690" s="43" t="inlineStr">
        <is>
          <t>174</t>
        </is>
      </c>
      <c r="I690" s="43" t="inlineStr">
        <is>
          <t>07</t>
        </is>
      </c>
      <c r="J690" s="222" t="n">
        <v>1780</v>
      </c>
      <c r="K690" s="222" t="n">
        <v>770</v>
      </c>
      <c r="L690" s="43" t="inlineStr">
        <is>
          <t>在来・204</t>
        </is>
      </c>
      <c r="M690" s="178" t="b">
        <v>0</v>
      </c>
      <c r="N690" s="43" t="inlineStr">
        <is>
          <t>設定なし（価格表確認済み）</t>
        </is>
      </c>
      <c r="O690" s="222" t="n">
        <v>103</v>
      </c>
      <c r="P690" s="222" t="n">
        <v>101</v>
      </c>
      <c r="Q690" s="43" t="inlineStr">
        <is>
          <t>202604_LIXIL_サーモスＬ_業務用資料集_完成品価格表.pdf</t>
        </is>
      </c>
      <c r="R690" s="43" t="inlineStr">
        <is>
          <t>規格呼称は親品種で確認済み。固有仕様ごとの価格設定有無（＿＿表示等）は次QAで最終確定。</t>
        </is>
      </c>
      <c r="S690" s="42" t="inlineStr">
        <is>
          <t>無印</t>
        </is>
      </c>
      <c r="T690" s="42" t="n">
        <v>100</v>
      </c>
      <c r="U690" s="42" t="inlineStr">
        <is>
          <t>P100|無印</t>
        </is>
      </c>
      <c r="V690" s="42" t="inlineStr">
        <is>
          <t>同一価格表・前頁凡例を継承</t>
        </is>
      </c>
    </row>
    <row r="691">
      <c r="A691" s="43" t="inlineStr">
        <is>
          <t>SZ-SL-000688</t>
        </is>
      </c>
      <c r="B691" s="43" t="inlineStr">
        <is>
          <t>SER-LIX-SAMOSL</t>
        </is>
      </c>
      <c r="C691" s="43" t="inlineStr">
        <is>
          <t>WT-SL-MENKOSHI-HIKI</t>
        </is>
      </c>
      <c r="D691" s="43" t="inlineStr">
        <is>
          <t>面格子付引違い窓</t>
        </is>
      </c>
      <c r="E691" s="43" t="inlineStr">
        <is>
          <t>SP-SL-GRILLE-H</t>
        </is>
      </c>
      <c r="F691" s="43" t="inlineStr">
        <is>
          <t>在来・204</t>
        </is>
      </c>
      <c r="G691" s="43" t="inlineStr">
        <is>
          <t>17607</t>
        </is>
      </c>
      <c r="H691" s="43" t="inlineStr">
        <is>
          <t>176</t>
        </is>
      </c>
      <c r="I691" s="43" t="inlineStr">
        <is>
          <t>07</t>
        </is>
      </c>
      <c r="J691" s="222" t="n">
        <v>1800</v>
      </c>
      <c r="K691" s="222" t="n">
        <v>770</v>
      </c>
      <c r="L691" s="43" t="inlineStr">
        <is>
          <t>在来・204</t>
        </is>
      </c>
      <c r="M691" s="178" t="b">
        <v>0</v>
      </c>
      <c r="N691" s="43" t="inlineStr">
        <is>
          <t>設定なし（価格表確認済み）</t>
        </is>
      </c>
      <c r="O691" s="222" t="n">
        <v>103</v>
      </c>
      <c r="P691" s="222" t="n">
        <v>101</v>
      </c>
      <c r="Q691" s="43" t="inlineStr">
        <is>
          <t>202604_LIXIL_サーモスＬ_業務用資料集_完成品価格表.pdf</t>
        </is>
      </c>
      <c r="R691" s="43" t="inlineStr">
        <is>
          <t>規格呼称は親品種で確認済み。固有仕様ごとの価格設定有無（＿＿表示等）は次QAで最終確定。</t>
        </is>
      </c>
      <c r="S691" s="42" t="inlineStr">
        <is>
          <t>無印</t>
        </is>
      </c>
      <c r="T691" s="42" t="n">
        <v>100</v>
      </c>
      <c r="U691" s="42" t="inlineStr">
        <is>
          <t>P100|無印</t>
        </is>
      </c>
      <c r="V691" s="42" t="inlineStr">
        <is>
          <t>同一価格表・前頁凡例を継承</t>
        </is>
      </c>
    </row>
    <row r="692">
      <c r="A692" s="43" t="inlineStr">
        <is>
          <t>SZ-SL-000689</t>
        </is>
      </c>
      <c r="B692" s="43" t="inlineStr">
        <is>
          <t>SER-LIX-SAMOSL</t>
        </is>
      </c>
      <c r="C692" s="43" t="inlineStr">
        <is>
          <t>WT-SL-MENKOSHI-HIKI</t>
        </is>
      </c>
      <c r="D692" s="43" t="inlineStr">
        <is>
          <t>面格子付引違い窓</t>
        </is>
      </c>
      <c r="E692" s="43" t="inlineStr">
        <is>
          <t>SP-SL-GRILLE-H</t>
        </is>
      </c>
      <c r="F692" s="43" t="inlineStr">
        <is>
          <t>在来・204</t>
        </is>
      </c>
      <c r="G692" s="43" t="inlineStr">
        <is>
          <t>18007</t>
        </is>
      </c>
      <c r="H692" s="43" t="inlineStr">
        <is>
          <t>180</t>
        </is>
      </c>
      <c r="I692" s="43" t="inlineStr">
        <is>
          <t>07</t>
        </is>
      </c>
      <c r="J692" s="222" t="n">
        <v>1845</v>
      </c>
      <c r="K692" s="222" t="n">
        <v>770</v>
      </c>
      <c r="L692" s="43" t="inlineStr">
        <is>
          <t>在来・204</t>
        </is>
      </c>
      <c r="M692" s="178" t="b">
        <v>0</v>
      </c>
      <c r="N692" s="43" t="inlineStr">
        <is>
          <t>設定なし（価格表確認済み）</t>
        </is>
      </c>
      <c r="O692" s="222" t="n">
        <v>103</v>
      </c>
      <c r="P692" s="222" t="n">
        <v>101</v>
      </c>
      <c r="Q692" s="43" t="inlineStr">
        <is>
          <t>202604_LIXIL_サーモスＬ_業務用資料集_完成品価格表.pdf</t>
        </is>
      </c>
      <c r="R692" s="43" t="inlineStr">
        <is>
          <t>規格呼称は親品種で確認済み。固有仕様ごとの価格設定有無（＿＿表示等）は次QAで最終確定。</t>
        </is>
      </c>
      <c r="S692" s="42" t="inlineStr">
        <is>
          <t>無印</t>
        </is>
      </c>
      <c r="T692" s="42" t="n">
        <v>100</v>
      </c>
      <c r="U692" s="42" t="inlineStr">
        <is>
          <t>P100|無印</t>
        </is>
      </c>
      <c r="V692" s="42" t="inlineStr">
        <is>
          <t>同一価格表・前頁凡例を継承</t>
        </is>
      </c>
    </row>
    <row r="693">
      <c r="A693" s="43" t="inlineStr">
        <is>
          <t>SZ-SL-000690</t>
        </is>
      </c>
      <c r="B693" s="43" t="inlineStr">
        <is>
          <t>SER-LIX-SAMOSL</t>
        </is>
      </c>
      <c r="C693" s="43" t="inlineStr">
        <is>
          <t>WT-SL-MENKOSHI-HIKI</t>
        </is>
      </c>
      <c r="D693" s="43" t="inlineStr">
        <is>
          <t>面格子付引違い窓</t>
        </is>
      </c>
      <c r="E693" s="43" t="inlineStr">
        <is>
          <t>SP-SL-GRILLE-H</t>
        </is>
      </c>
      <c r="F693" s="43" t="inlineStr">
        <is>
          <t>在来・204</t>
        </is>
      </c>
      <c r="G693" s="43" t="inlineStr">
        <is>
          <t>18607</t>
        </is>
      </c>
      <c r="H693" s="43" t="inlineStr">
        <is>
          <t>186</t>
        </is>
      </c>
      <c r="I693" s="43" t="inlineStr">
        <is>
          <t>07</t>
        </is>
      </c>
      <c r="J693" s="222" t="n">
        <v>1900</v>
      </c>
      <c r="K693" s="222" t="n">
        <v>770</v>
      </c>
      <c r="L693" s="43" t="inlineStr">
        <is>
          <t>在来・204</t>
        </is>
      </c>
      <c r="M693" s="178" t="b">
        <v>0</v>
      </c>
      <c r="N693" s="43" t="inlineStr">
        <is>
          <t>設定なし（価格表確認済み）</t>
        </is>
      </c>
      <c r="O693" s="222" t="n">
        <v>103</v>
      </c>
      <c r="P693" s="222" t="n">
        <v>101</v>
      </c>
      <c r="Q693" s="43" t="inlineStr">
        <is>
          <t>202604_LIXIL_サーモスＬ_業務用資料集_完成品価格表.pdf</t>
        </is>
      </c>
      <c r="R693" s="43" t="inlineStr">
        <is>
          <t>規格呼称は親品種で確認済み。固有仕様ごとの価格設定有無（＿＿表示等）は次QAで最終確定。</t>
        </is>
      </c>
      <c r="S693" s="42" t="inlineStr">
        <is>
          <t>無印</t>
        </is>
      </c>
      <c r="T693" s="42" t="n">
        <v>100</v>
      </c>
      <c r="U693" s="42" t="inlineStr">
        <is>
          <t>P100|無印</t>
        </is>
      </c>
      <c r="V693" s="42" t="inlineStr">
        <is>
          <t>同一価格表・前頁凡例を継承</t>
        </is>
      </c>
    </row>
    <row r="694">
      <c r="A694" s="43" t="inlineStr">
        <is>
          <t>SZ-SL-000691</t>
        </is>
      </c>
      <c r="B694" s="43" t="inlineStr">
        <is>
          <t>SER-LIX-SAMOSL</t>
        </is>
      </c>
      <c r="C694" s="43" t="inlineStr">
        <is>
          <t>WT-SL-MENKOSHI-HIKI</t>
        </is>
      </c>
      <c r="D694" s="43" t="inlineStr">
        <is>
          <t>面格子付引違い窓</t>
        </is>
      </c>
      <c r="E694" s="43" t="inlineStr">
        <is>
          <t>SP-SL-GRILLE-IGETA</t>
        </is>
      </c>
      <c r="F694" s="43" t="inlineStr">
        <is>
          <t>在来・204</t>
        </is>
      </c>
      <c r="G694" s="43" t="inlineStr">
        <is>
          <t>17407</t>
        </is>
      </c>
      <c r="H694" s="43" t="inlineStr">
        <is>
          <t>174</t>
        </is>
      </c>
      <c r="I694" s="43" t="inlineStr">
        <is>
          <t>07</t>
        </is>
      </c>
      <c r="J694" s="222" t="n">
        <v>1780</v>
      </c>
      <c r="K694" s="222" t="n">
        <v>770</v>
      </c>
      <c r="L694" s="43" t="inlineStr">
        <is>
          <t>在来・204</t>
        </is>
      </c>
      <c r="M694" s="178" t="b">
        <v>1</v>
      </c>
      <c r="N694" s="43" t="inlineStr">
        <is>
          <t>カタログ個別可否確認済み</t>
        </is>
      </c>
      <c r="O694" s="222" t="n">
        <v>103</v>
      </c>
      <c r="P694" s="222" t="n">
        <v>101</v>
      </c>
      <c r="Q694" s="43" t="inlineStr">
        <is>
          <t>202604_LIXIL_サーモスＬ_業務用資料集_完成品価格表.pdf</t>
        </is>
      </c>
      <c r="R694" s="43" t="inlineStr">
        <is>
          <t>規格呼称は親品種で確認済み。固有仕様ごとの価格設定有無（＿＿表示等）は次QAで最終確定。</t>
        </is>
      </c>
      <c r="S694" s="42" t="inlineStr">
        <is>
          <t>無印</t>
        </is>
      </c>
      <c r="T694" s="42" t="n">
        <v>100</v>
      </c>
      <c r="U694" s="42" t="inlineStr">
        <is>
          <t>P100|無印</t>
        </is>
      </c>
      <c r="V694" s="42" t="inlineStr">
        <is>
          <t>同一価格表・前頁凡例を継承</t>
        </is>
      </c>
    </row>
    <row r="695">
      <c r="A695" s="43" t="inlineStr">
        <is>
          <t>SZ-SL-000692</t>
        </is>
      </c>
      <c r="B695" s="43" t="inlineStr">
        <is>
          <t>SER-LIX-SAMOSL</t>
        </is>
      </c>
      <c r="C695" s="43" t="inlineStr">
        <is>
          <t>WT-SL-MENKOSHI-HIKI</t>
        </is>
      </c>
      <c r="D695" s="43" t="inlineStr">
        <is>
          <t>面格子付引違い窓</t>
        </is>
      </c>
      <c r="E695" s="43" t="inlineStr">
        <is>
          <t>SP-SL-GRILLE-IGETA</t>
        </is>
      </c>
      <c r="F695" s="43" t="inlineStr">
        <is>
          <t>在来・204</t>
        </is>
      </c>
      <c r="G695" s="43" t="inlineStr">
        <is>
          <t>17607</t>
        </is>
      </c>
      <c r="H695" s="43" t="inlineStr">
        <is>
          <t>176</t>
        </is>
      </c>
      <c r="I695" s="43" t="inlineStr">
        <is>
          <t>07</t>
        </is>
      </c>
      <c r="J695" s="222" t="n">
        <v>1800</v>
      </c>
      <c r="K695" s="222" t="n">
        <v>770</v>
      </c>
      <c r="L695" s="43" t="inlineStr">
        <is>
          <t>在来・204</t>
        </is>
      </c>
      <c r="M695" s="178" t="b">
        <v>1</v>
      </c>
      <c r="N695" s="43" t="inlineStr">
        <is>
          <t>カタログ個別可否確認済み</t>
        </is>
      </c>
      <c r="O695" s="222" t="n">
        <v>103</v>
      </c>
      <c r="P695" s="222" t="n">
        <v>101</v>
      </c>
      <c r="Q695" s="43" t="inlineStr">
        <is>
          <t>202604_LIXIL_サーモスＬ_業務用資料集_完成品価格表.pdf</t>
        </is>
      </c>
      <c r="R695" s="43" t="inlineStr">
        <is>
          <t>規格呼称は親品種で確認済み。固有仕様ごとの価格設定有無（＿＿表示等）は次QAで最終確定。</t>
        </is>
      </c>
      <c r="S695" s="42" t="inlineStr">
        <is>
          <t>無印</t>
        </is>
      </c>
      <c r="T695" s="42" t="n">
        <v>100</v>
      </c>
      <c r="U695" s="42" t="inlineStr">
        <is>
          <t>P100|無印</t>
        </is>
      </c>
      <c r="V695" s="42" t="inlineStr">
        <is>
          <t>同一価格表・前頁凡例を継承</t>
        </is>
      </c>
    </row>
    <row r="696">
      <c r="A696" s="43" t="inlineStr">
        <is>
          <t>SZ-SL-000693</t>
        </is>
      </c>
      <c r="B696" s="43" t="inlineStr">
        <is>
          <t>SER-LIX-SAMOSL</t>
        </is>
      </c>
      <c r="C696" s="43" t="inlineStr">
        <is>
          <t>WT-SL-MENKOSHI-HIKI</t>
        </is>
      </c>
      <c r="D696" s="43" t="inlineStr">
        <is>
          <t>面格子付引違い窓</t>
        </is>
      </c>
      <c r="E696" s="43" t="inlineStr">
        <is>
          <t>SP-SL-GRILLE-IGETA</t>
        </is>
      </c>
      <c r="F696" s="43" t="inlineStr">
        <is>
          <t>在来・204</t>
        </is>
      </c>
      <c r="G696" s="43" t="inlineStr">
        <is>
          <t>18007</t>
        </is>
      </c>
      <c r="H696" s="43" t="inlineStr">
        <is>
          <t>180</t>
        </is>
      </c>
      <c r="I696" s="43" t="inlineStr">
        <is>
          <t>07</t>
        </is>
      </c>
      <c r="J696" s="222" t="n">
        <v>1845</v>
      </c>
      <c r="K696" s="222" t="n">
        <v>770</v>
      </c>
      <c r="L696" s="43" t="inlineStr">
        <is>
          <t>在来・204</t>
        </is>
      </c>
      <c r="M696" s="178" t="b">
        <v>1</v>
      </c>
      <c r="N696" s="43" t="inlineStr">
        <is>
          <t>カタログ個別可否確認済み</t>
        </is>
      </c>
      <c r="O696" s="222" t="n">
        <v>103</v>
      </c>
      <c r="P696" s="222" t="n">
        <v>101</v>
      </c>
      <c r="Q696" s="43" t="inlineStr">
        <is>
          <t>202604_LIXIL_サーモスＬ_業務用資料集_完成品価格表.pdf</t>
        </is>
      </c>
      <c r="R696" s="43" t="inlineStr">
        <is>
          <t>規格呼称は親品種で確認済み。固有仕様ごとの価格設定有無（＿＿表示等）は次QAで最終確定。</t>
        </is>
      </c>
      <c r="S696" s="42" t="inlineStr">
        <is>
          <t>無印</t>
        </is>
      </c>
      <c r="T696" s="42" t="n">
        <v>100</v>
      </c>
      <c r="U696" s="42" t="inlineStr">
        <is>
          <t>P100|無印</t>
        </is>
      </c>
      <c r="V696" s="42" t="inlineStr">
        <is>
          <t>同一価格表・前頁凡例を継承</t>
        </is>
      </c>
    </row>
    <row r="697">
      <c r="A697" s="43" t="inlineStr">
        <is>
          <t>SZ-SL-000694</t>
        </is>
      </c>
      <c r="B697" s="43" t="inlineStr">
        <is>
          <t>SER-LIX-SAMOSL</t>
        </is>
      </c>
      <c r="C697" s="43" t="inlineStr">
        <is>
          <t>WT-SL-MENKOSHI-HIKI</t>
        </is>
      </c>
      <c r="D697" s="43" t="inlineStr">
        <is>
          <t>面格子付引違い窓</t>
        </is>
      </c>
      <c r="E697" s="43" t="inlineStr">
        <is>
          <t>SP-SL-GRILLE-IGETA</t>
        </is>
      </c>
      <c r="F697" s="43" t="inlineStr">
        <is>
          <t>在来・204</t>
        </is>
      </c>
      <c r="G697" s="43" t="inlineStr">
        <is>
          <t>18607</t>
        </is>
      </c>
      <c r="H697" s="43" t="inlineStr">
        <is>
          <t>186</t>
        </is>
      </c>
      <c r="I697" s="43" t="inlineStr">
        <is>
          <t>07</t>
        </is>
      </c>
      <c r="J697" s="222" t="n">
        <v>1900</v>
      </c>
      <c r="K697" s="222" t="n">
        <v>770</v>
      </c>
      <c r="L697" s="43" t="inlineStr">
        <is>
          <t>在来・204</t>
        </is>
      </c>
      <c r="M697" s="178" t="b">
        <v>1</v>
      </c>
      <c r="N697" s="43" t="inlineStr">
        <is>
          <t>カタログ個別可否確認済み</t>
        </is>
      </c>
      <c r="O697" s="222" t="n">
        <v>103</v>
      </c>
      <c r="P697" s="222" t="n">
        <v>101</v>
      </c>
      <c r="Q697" s="43" t="inlineStr">
        <is>
          <t>202604_LIXIL_サーモスＬ_業務用資料集_完成品価格表.pdf</t>
        </is>
      </c>
      <c r="R697" s="43" t="inlineStr">
        <is>
          <t>規格呼称は親品種で確認済み。固有仕様ごとの価格設定有無（＿＿表示等）は次QAで最終確定。</t>
        </is>
      </c>
      <c r="S697" s="42" t="inlineStr">
        <is>
          <t>無印</t>
        </is>
      </c>
      <c r="T697" s="42" t="n">
        <v>100</v>
      </c>
      <c r="U697" s="42" t="inlineStr">
        <is>
          <t>P100|無印</t>
        </is>
      </c>
      <c r="V697" s="42" t="inlineStr">
        <is>
          <t>同一価格表・前頁凡例を継承</t>
        </is>
      </c>
    </row>
    <row r="698">
      <c r="A698" s="43" t="inlineStr">
        <is>
          <t>SZ-SL-000695</t>
        </is>
      </c>
      <c r="B698" s="43" t="inlineStr">
        <is>
          <t>SER-LIX-SAMOSL</t>
        </is>
      </c>
      <c r="C698" s="43" t="inlineStr">
        <is>
          <t>WT-SL-MENKOSHI-HIKI</t>
        </is>
      </c>
      <c r="D698" s="43" t="inlineStr">
        <is>
          <t>面格子付引違い窓</t>
        </is>
      </c>
      <c r="E698" s="43" t="inlineStr">
        <is>
          <t>SP-SL-GRILLE-V</t>
        </is>
      </c>
      <c r="F698" s="43" t="inlineStr">
        <is>
          <t>在来・204</t>
        </is>
      </c>
      <c r="G698" s="43" t="inlineStr">
        <is>
          <t>17407</t>
        </is>
      </c>
      <c r="H698" s="43" t="inlineStr">
        <is>
          <t>174</t>
        </is>
      </c>
      <c r="I698" s="43" t="inlineStr">
        <is>
          <t>07</t>
        </is>
      </c>
      <c r="J698" s="222" t="n">
        <v>1780</v>
      </c>
      <c r="K698" s="222" t="n">
        <v>770</v>
      </c>
      <c r="L698" s="43" t="inlineStr">
        <is>
          <t>在来・204</t>
        </is>
      </c>
      <c r="M698" s="178" t="b">
        <v>1</v>
      </c>
      <c r="N698" s="43" t="inlineStr">
        <is>
          <t>カタログ個別可否確認済み</t>
        </is>
      </c>
      <c r="O698" s="222" t="n">
        <v>103</v>
      </c>
      <c r="P698" s="222" t="n">
        <v>101</v>
      </c>
      <c r="Q698" s="43" t="inlineStr">
        <is>
          <t>202604_LIXIL_サーモスＬ_業務用資料集_完成品価格表.pdf</t>
        </is>
      </c>
      <c r="R698" s="43" t="inlineStr">
        <is>
          <t>規格呼称は親品種で確認済み。固有仕様ごとの価格設定有無（＿＿表示等）は次QAで最終確定。</t>
        </is>
      </c>
      <c r="S698" s="42" t="inlineStr">
        <is>
          <t>無印</t>
        </is>
      </c>
      <c r="T698" s="42" t="n">
        <v>100</v>
      </c>
      <c r="U698" s="42" t="inlineStr">
        <is>
          <t>P100|無印</t>
        </is>
      </c>
      <c r="V698" s="42" t="inlineStr">
        <is>
          <t>同一価格表・前頁凡例を継承</t>
        </is>
      </c>
    </row>
    <row r="699">
      <c r="A699" s="43" t="inlineStr">
        <is>
          <t>SZ-SL-000696</t>
        </is>
      </c>
      <c r="B699" s="43" t="inlineStr">
        <is>
          <t>SER-LIX-SAMOSL</t>
        </is>
      </c>
      <c r="C699" s="43" t="inlineStr">
        <is>
          <t>WT-SL-MENKOSHI-HIKI</t>
        </is>
      </c>
      <c r="D699" s="43" t="inlineStr">
        <is>
          <t>面格子付引違い窓</t>
        </is>
      </c>
      <c r="E699" s="43" t="inlineStr">
        <is>
          <t>SP-SL-GRILLE-V</t>
        </is>
      </c>
      <c r="F699" s="43" t="inlineStr">
        <is>
          <t>在来・204</t>
        </is>
      </c>
      <c r="G699" s="43" t="inlineStr">
        <is>
          <t>17607</t>
        </is>
      </c>
      <c r="H699" s="43" t="inlineStr">
        <is>
          <t>176</t>
        </is>
      </c>
      <c r="I699" s="43" t="inlineStr">
        <is>
          <t>07</t>
        </is>
      </c>
      <c r="J699" s="222" t="n">
        <v>1800</v>
      </c>
      <c r="K699" s="222" t="n">
        <v>770</v>
      </c>
      <c r="L699" s="43" t="inlineStr">
        <is>
          <t>在来・204</t>
        </is>
      </c>
      <c r="M699" s="178" t="b">
        <v>1</v>
      </c>
      <c r="N699" s="43" t="inlineStr">
        <is>
          <t>カタログ個別可否確認済み</t>
        </is>
      </c>
      <c r="O699" s="222" t="n">
        <v>103</v>
      </c>
      <c r="P699" s="222" t="n">
        <v>101</v>
      </c>
      <c r="Q699" s="43" t="inlineStr">
        <is>
          <t>202604_LIXIL_サーモスＬ_業務用資料集_完成品価格表.pdf</t>
        </is>
      </c>
      <c r="R699" s="43" t="inlineStr">
        <is>
          <t>規格呼称は親品種で確認済み。固有仕様ごとの価格設定有無（＿＿表示等）は次QAで最終確定。</t>
        </is>
      </c>
      <c r="S699" s="42" t="inlineStr">
        <is>
          <t>無印</t>
        </is>
      </c>
      <c r="T699" s="42" t="n">
        <v>100</v>
      </c>
      <c r="U699" s="42" t="inlineStr">
        <is>
          <t>P100|無印</t>
        </is>
      </c>
      <c r="V699" s="42" t="inlineStr">
        <is>
          <t>同一価格表・前頁凡例を継承</t>
        </is>
      </c>
    </row>
    <row r="700">
      <c r="A700" s="43" t="inlineStr">
        <is>
          <t>SZ-SL-000697</t>
        </is>
      </c>
      <c r="B700" s="43" t="inlineStr">
        <is>
          <t>SER-LIX-SAMOSL</t>
        </is>
      </c>
      <c r="C700" s="43" t="inlineStr">
        <is>
          <t>WT-SL-MENKOSHI-HIKI</t>
        </is>
      </c>
      <c r="D700" s="43" t="inlineStr">
        <is>
          <t>面格子付引違い窓</t>
        </is>
      </c>
      <c r="E700" s="43" t="inlineStr">
        <is>
          <t>SP-SL-GRILLE-V</t>
        </is>
      </c>
      <c r="F700" s="43" t="inlineStr">
        <is>
          <t>在来・204</t>
        </is>
      </c>
      <c r="G700" s="43" t="inlineStr">
        <is>
          <t>18007</t>
        </is>
      </c>
      <c r="H700" s="43" t="inlineStr">
        <is>
          <t>180</t>
        </is>
      </c>
      <c r="I700" s="43" t="inlineStr">
        <is>
          <t>07</t>
        </is>
      </c>
      <c r="J700" s="222" t="n">
        <v>1845</v>
      </c>
      <c r="K700" s="222" t="n">
        <v>770</v>
      </c>
      <c r="L700" s="43" t="inlineStr">
        <is>
          <t>在来・204</t>
        </is>
      </c>
      <c r="M700" s="178" t="b">
        <v>1</v>
      </c>
      <c r="N700" s="43" t="inlineStr">
        <is>
          <t>カタログ個別可否確認済み</t>
        </is>
      </c>
      <c r="O700" s="222" t="n">
        <v>103</v>
      </c>
      <c r="P700" s="222" t="n">
        <v>101</v>
      </c>
      <c r="Q700" s="43" t="inlineStr">
        <is>
          <t>202604_LIXIL_サーモスＬ_業務用資料集_完成品価格表.pdf</t>
        </is>
      </c>
      <c r="R700" s="43" t="inlineStr">
        <is>
          <t>規格呼称は親品種で確認済み。固有仕様ごとの価格設定有無（＿＿表示等）は次QAで最終確定。</t>
        </is>
      </c>
      <c r="S700" s="42" t="inlineStr">
        <is>
          <t>無印</t>
        </is>
      </c>
      <c r="T700" s="42" t="n">
        <v>100</v>
      </c>
      <c r="U700" s="42" t="inlineStr">
        <is>
          <t>P100|無印</t>
        </is>
      </c>
      <c r="V700" s="42" t="inlineStr">
        <is>
          <t>同一価格表・前頁凡例を継承</t>
        </is>
      </c>
    </row>
    <row r="701">
      <c r="A701" s="43" t="inlineStr">
        <is>
          <t>SZ-SL-000698</t>
        </is>
      </c>
      <c r="B701" s="43" t="inlineStr">
        <is>
          <t>SER-LIX-SAMOSL</t>
        </is>
      </c>
      <c r="C701" s="43" t="inlineStr">
        <is>
          <t>WT-SL-MENKOSHI-HIKI</t>
        </is>
      </c>
      <c r="D701" s="43" t="inlineStr">
        <is>
          <t>面格子付引違い窓</t>
        </is>
      </c>
      <c r="E701" s="43" t="inlineStr">
        <is>
          <t>SP-SL-GRILLE-V</t>
        </is>
      </c>
      <c r="F701" s="43" t="inlineStr">
        <is>
          <t>在来・204</t>
        </is>
      </c>
      <c r="G701" s="43" t="inlineStr">
        <is>
          <t>18607</t>
        </is>
      </c>
      <c r="H701" s="43" t="inlineStr">
        <is>
          <t>186</t>
        </is>
      </c>
      <c r="I701" s="43" t="inlineStr">
        <is>
          <t>07</t>
        </is>
      </c>
      <c r="J701" s="222" t="n">
        <v>1900</v>
      </c>
      <c r="K701" s="222" t="n">
        <v>770</v>
      </c>
      <c r="L701" s="43" t="inlineStr">
        <is>
          <t>在来・204</t>
        </is>
      </c>
      <c r="M701" s="178" t="b">
        <v>1</v>
      </c>
      <c r="N701" s="43" t="inlineStr">
        <is>
          <t>カタログ個別可否確認済み</t>
        </is>
      </c>
      <c r="O701" s="222" t="n">
        <v>103</v>
      </c>
      <c r="P701" s="222" t="n">
        <v>101</v>
      </c>
      <c r="Q701" s="43" t="inlineStr">
        <is>
          <t>202604_LIXIL_サーモスＬ_業務用資料集_完成品価格表.pdf</t>
        </is>
      </c>
      <c r="R701" s="43" t="inlineStr">
        <is>
          <t>規格呼称は親品種で確認済み。固有仕様ごとの価格設定有無（＿＿表示等）は次QAで最終確定。</t>
        </is>
      </c>
      <c r="S701" s="42" t="inlineStr">
        <is>
          <t>無印</t>
        </is>
      </c>
      <c r="T701" s="42" t="n">
        <v>100</v>
      </c>
      <c r="U701" s="42" t="inlineStr">
        <is>
          <t>P100|無印</t>
        </is>
      </c>
      <c r="V701" s="42" t="inlineStr">
        <is>
          <t>同一価格表・前頁凡例を継承</t>
        </is>
      </c>
    </row>
    <row r="702">
      <c r="A702" s="43" t="inlineStr">
        <is>
          <t>SZ-SL-000699</t>
        </is>
      </c>
      <c r="B702" s="43" t="inlineStr">
        <is>
          <t>SER-LIX-SAMOSL</t>
        </is>
      </c>
      <c r="C702" s="43" t="inlineStr">
        <is>
          <t>WT-SL-MENKOSHI-HIKI</t>
        </is>
      </c>
      <c r="D702" s="43" t="inlineStr">
        <is>
          <t>面格子付引違い窓</t>
        </is>
      </c>
      <c r="E702" s="43" t="inlineStr">
        <is>
          <t>SP-SL-GRILLE-DIA</t>
        </is>
      </c>
      <c r="F702" s="43" t="inlineStr">
        <is>
          <t>在来・204</t>
        </is>
      </c>
      <c r="G702" s="43" t="inlineStr">
        <is>
          <t>06009</t>
        </is>
      </c>
      <c r="H702" s="43" t="inlineStr">
        <is>
          <t>060</t>
        </is>
      </c>
      <c r="I702" s="43" t="inlineStr">
        <is>
          <t>09</t>
        </is>
      </c>
      <c r="J702" s="222" t="n">
        <v>640</v>
      </c>
      <c r="K702" s="222" t="n">
        <v>970</v>
      </c>
      <c r="L702" s="43" t="inlineStr">
        <is>
          <t>在来・204</t>
        </is>
      </c>
      <c r="M702" s="178" t="b">
        <v>1</v>
      </c>
      <c r="N702" s="43" t="inlineStr">
        <is>
          <t>カタログ個別可否確認済み</t>
        </is>
      </c>
      <c r="O702" s="222" t="n">
        <v>104</v>
      </c>
      <c r="P702" s="222" t="n">
        <v>102</v>
      </c>
      <c r="Q702" s="43" t="inlineStr">
        <is>
          <t>202604_LIXIL_サーモスＬ_業務用資料集_完成品価格表.pdf</t>
        </is>
      </c>
      <c r="R702" s="43" t="inlineStr">
        <is>
          <t>規格呼称は親品種で確認済み。固有仕様ごとの価格設定有無（＿＿表示等）は次QAで最終確定。</t>
        </is>
      </c>
      <c r="S702" s="42" t="inlineStr">
        <is>
          <t>無印</t>
        </is>
      </c>
      <c r="T702" s="42" t="n">
        <v>102</v>
      </c>
      <c r="U702" s="42" t="inlineStr">
        <is>
          <t>P102|無印</t>
        </is>
      </c>
      <c r="V702" s="42" t="inlineStr">
        <is>
          <t>同頁凡例へ直接連動</t>
        </is>
      </c>
    </row>
    <row r="703">
      <c r="A703" s="43" t="inlineStr">
        <is>
          <t>SZ-SL-000700</t>
        </is>
      </c>
      <c r="B703" s="43" t="inlineStr">
        <is>
          <t>SER-LIX-SAMOSL</t>
        </is>
      </c>
      <c r="C703" s="43" t="inlineStr">
        <is>
          <t>WT-SL-MENKOSHI-HIKI</t>
        </is>
      </c>
      <c r="D703" s="43" t="inlineStr">
        <is>
          <t>面格子付引違い窓</t>
        </is>
      </c>
      <c r="E703" s="43" t="inlineStr">
        <is>
          <t>SP-SL-GRILLE-DIA</t>
        </is>
      </c>
      <c r="F703" s="43" t="inlineStr">
        <is>
          <t>在来・204</t>
        </is>
      </c>
      <c r="G703" s="43" t="inlineStr">
        <is>
          <t>06909</t>
        </is>
      </c>
      <c r="H703" s="43" t="inlineStr">
        <is>
          <t>069</t>
        </is>
      </c>
      <c r="I703" s="43" t="inlineStr">
        <is>
          <t>09</t>
        </is>
      </c>
      <c r="J703" s="222" t="n">
        <v>730</v>
      </c>
      <c r="K703" s="222" t="n">
        <v>970</v>
      </c>
      <c r="L703" s="43" t="inlineStr">
        <is>
          <t>在来・204</t>
        </is>
      </c>
      <c r="M703" s="178" t="b">
        <v>1</v>
      </c>
      <c r="N703" s="43" t="inlineStr">
        <is>
          <t>カタログ個別可否確認済み</t>
        </is>
      </c>
      <c r="O703" s="222" t="n">
        <v>104</v>
      </c>
      <c r="P703" s="222" t="n">
        <v>102</v>
      </c>
      <c r="Q703" s="43" t="inlineStr">
        <is>
          <t>202604_LIXIL_サーモスＬ_業務用資料集_完成品価格表.pdf</t>
        </is>
      </c>
      <c r="R703" s="43" t="inlineStr">
        <is>
          <t>規格呼称は親品種で確認済み。固有仕様ごとの価格設定有無（＿＿表示等）は次QAで最終確定。</t>
        </is>
      </c>
      <c r="S703" s="42" t="inlineStr">
        <is>
          <t>無印</t>
        </is>
      </c>
      <c r="T703" s="42" t="n">
        <v>102</v>
      </c>
      <c r="U703" s="42" t="inlineStr">
        <is>
          <t>P102|無印</t>
        </is>
      </c>
      <c r="V703" s="42" t="inlineStr">
        <is>
          <t>同頁凡例へ直接連動</t>
        </is>
      </c>
    </row>
    <row r="704">
      <c r="A704" s="43" t="inlineStr">
        <is>
          <t>SZ-SL-000701</t>
        </is>
      </c>
      <c r="B704" s="43" t="inlineStr">
        <is>
          <t>SER-LIX-SAMOSL</t>
        </is>
      </c>
      <c r="C704" s="43" t="inlineStr">
        <is>
          <t>WT-SL-MENKOSHI-HIKI</t>
        </is>
      </c>
      <c r="D704" s="43" t="inlineStr">
        <is>
          <t>面格子付引違い窓</t>
        </is>
      </c>
      <c r="E704" s="43" t="inlineStr">
        <is>
          <t>SP-SL-GRILLE-DIA</t>
        </is>
      </c>
      <c r="F704" s="43" t="inlineStr">
        <is>
          <t>在来・204</t>
        </is>
      </c>
      <c r="G704" s="43" t="inlineStr">
        <is>
          <t>07409</t>
        </is>
      </c>
      <c r="H704" s="43" t="inlineStr">
        <is>
          <t>074</t>
        </is>
      </c>
      <c r="I704" s="43" t="inlineStr">
        <is>
          <t>09</t>
        </is>
      </c>
      <c r="J704" s="222" t="n">
        <v>780</v>
      </c>
      <c r="K704" s="222" t="n">
        <v>970</v>
      </c>
      <c r="L704" s="43" t="inlineStr">
        <is>
          <t>在来・204</t>
        </is>
      </c>
      <c r="M704" s="178" t="b">
        <v>1</v>
      </c>
      <c r="N704" s="43" t="inlineStr">
        <is>
          <t>カタログ個別可否確認済み</t>
        </is>
      </c>
      <c r="O704" s="222" t="n">
        <v>104</v>
      </c>
      <c r="P704" s="222" t="n">
        <v>102</v>
      </c>
      <c r="Q704" s="43" t="inlineStr">
        <is>
          <t>202604_LIXIL_サーモスＬ_業務用資料集_完成品価格表.pdf</t>
        </is>
      </c>
      <c r="R704" s="43" t="inlineStr">
        <is>
          <t>規格呼称は親品種で確認済み。固有仕様ごとの価格設定有無（＿＿表示等）は次QAで最終確定。</t>
        </is>
      </c>
      <c r="S704" s="42" t="inlineStr">
        <is>
          <t>無印</t>
        </is>
      </c>
      <c r="T704" s="42" t="n">
        <v>102</v>
      </c>
      <c r="U704" s="42" t="inlineStr">
        <is>
          <t>P102|無印</t>
        </is>
      </c>
      <c r="V704" s="42" t="inlineStr">
        <is>
          <t>同頁凡例へ直接連動</t>
        </is>
      </c>
    </row>
    <row r="705">
      <c r="A705" s="43" t="inlineStr">
        <is>
          <t>SZ-SL-000702</t>
        </is>
      </c>
      <c r="B705" s="43" t="inlineStr">
        <is>
          <t>SER-LIX-SAMOSL</t>
        </is>
      </c>
      <c r="C705" s="43" t="inlineStr">
        <is>
          <t>WT-SL-MENKOSHI-HIKI</t>
        </is>
      </c>
      <c r="D705" s="43" t="inlineStr">
        <is>
          <t>面格子付引違い窓</t>
        </is>
      </c>
      <c r="E705" s="43" t="inlineStr">
        <is>
          <t>SP-SL-GRILLE-DIA</t>
        </is>
      </c>
      <c r="F705" s="43" t="inlineStr">
        <is>
          <t>在来・204</t>
        </is>
      </c>
      <c r="G705" s="43" t="inlineStr">
        <is>
          <t>07809</t>
        </is>
      </c>
      <c r="H705" s="43" t="inlineStr">
        <is>
          <t>078</t>
        </is>
      </c>
      <c r="I705" s="43" t="inlineStr">
        <is>
          <t>09</t>
        </is>
      </c>
      <c r="J705" s="222" t="n">
        <v>820</v>
      </c>
      <c r="K705" s="222" t="n">
        <v>970</v>
      </c>
      <c r="L705" s="43" t="inlineStr">
        <is>
          <t>在来・204</t>
        </is>
      </c>
      <c r="M705" s="178" t="b">
        <v>1</v>
      </c>
      <c r="N705" s="43" t="inlineStr">
        <is>
          <t>カタログ個別可否確認済み</t>
        </is>
      </c>
      <c r="O705" s="222" t="n">
        <v>104</v>
      </c>
      <c r="P705" s="222" t="n">
        <v>102</v>
      </c>
      <c r="Q705" s="43" t="inlineStr">
        <is>
          <t>202604_LIXIL_サーモスＬ_業務用資料集_完成品価格表.pdf</t>
        </is>
      </c>
      <c r="R705" s="43" t="inlineStr">
        <is>
          <t>規格呼称は親品種で確認済み。固有仕様ごとの価格設定有無（＿＿表示等）は次QAで最終確定。</t>
        </is>
      </c>
      <c r="S705" s="42" t="inlineStr">
        <is>
          <t>無印</t>
        </is>
      </c>
      <c r="T705" s="42" t="n">
        <v>102</v>
      </c>
      <c r="U705" s="42" t="inlineStr">
        <is>
          <t>P102|無印</t>
        </is>
      </c>
      <c r="V705" s="42" t="inlineStr">
        <is>
          <t>同頁凡例へ直接連動</t>
        </is>
      </c>
    </row>
    <row r="706">
      <c r="A706" s="43" t="inlineStr">
        <is>
          <t>SZ-SL-000703</t>
        </is>
      </c>
      <c r="B706" s="43" t="inlineStr">
        <is>
          <t>SER-LIX-SAMOSL</t>
        </is>
      </c>
      <c r="C706" s="43" t="inlineStr">
        <is>
          <t>WT-SL-MENKOSHI-HIKI</t>
        </is>
      </c>
      <c r="D706" s="43" t="inlineStr">
        <is>
          <t>面格子付引違い窓</t>
        </is>
      </c>
      <c r="E706" s="43" t="inlineStr">
        <is>
          <t>SP-SL-GRILLE-H</t>
        </is>
      </c>
      <c r="F706" s="43" t="inlineStr">
        <is>
          <t>在来・204</t>
        </is>
      </c>
      <c r="G706" s="43" t="inlineStr">
        <is>
          <t>06009</t>
        </is>
      </c>
      <c r="H706" s="43" t="inlineStr">
        <is>
          <t>060</t>
        </is>
      </c>
      <c r="I706" s="43" t="inlineStr">
        <is>
          <t>09</t>
        </is>
      </c>
      <c r="J706" s="222" t="n">
        <v>640</v>
      </c>
      <c r="K706" s="222" t="n">
        <v>970</v>
      </c>
      <c r="L706" s="43" t="inlineStr">
        <is>
          <t>在来・204</t>
        </is>
      </c>
      <c r="M706" s="178" t="b">
        <v>1</v>
      </c>
      <c r="N706" s="43" t="inlineStr">
        <is>
          <t>カタログ個別可否確認済み</t>
        </is>
      </c>
      <c r="O706" s="222" t="n">
        <v>104</v>
      </c>
      <c r="P706" s="222" t="n">
        <v>102</v>
      </c>
      <c r="Q706" s="43" t="inlineStr">
        <is>
          <t>202604_LIXIL_サーモスＬ_業務用資料集_完成品価格表.pdf</t>
        </is>
      </c>
      <c r="R706" s="43" t="inlineStr">
        <is>
          <t>規格呼称は親品種で確認済み。固有仕様ごとの価格設定有無（＿＿表示等）は次QAで最終確定。</t>
        </is>
      </c>
      <c r="S706" s="42" t="inlineStr">
        <is>
          <t>無印</t>
        </is>
      </c>
      <c r="T706" s="42" t="n">
        <v>102</v>
      </c>
      <c r="U706" s="42" t="inlineStr">
        <is>
          <t>P102|無印</t>
        </is>
      </c>
      <c r="V706" s="42" t="inlineStr">
        <is>
          <t>同頁凡例へ直接連動</t>
        </is>
      </c>
    </row>
    <row r="707">
      <c r="A707" s="43" t="inlineStr">
        <is>
          <t>SZ-SL-000704</t>
        </is>
      </c>
      <c r="B707" s="43" t="inlineStr">
        <is>
          <t>SER-LIX-SAMOSL</t>
        </is>
      </c>
      <c r="C707" s="43" t="inlineStr">
        <is>
          <t>WT-SL-MENKOSHI-HIKI</t>
        </is>
      </c>
      <c r="D707" s="43" t="inlineStr">
        <is>
          <t>面格子付引違い窓</t>
        </is>
      </c>
      <c r="E707" s="43" t="inlineStr">
        <is>
          <t>SP-SL-GRILLE-H</t>
        </is>
      </c>
      <c r="F707" s="43" t="inlineStr">
        <is>
          <t>在来・204</t>
        </is>
      </c>
      <c r="G707" s="43" t="inlineStr">
        <is>
          <t>06909</t>
        </is>
      </c>
      <c r="H707" s="43" t="inlineStr">
        <is>
          <t>069</t>
        </is>
      </c>
      <c r="I707" s="43" t="inlineStr">
        <is>
          <t>09</t>
        </is>
      </c>
      <c r="J707" s="222" t="n">
        <v>730</v>
      </c>
      <c r="K707" s="222" t="n">
        <v>970</v>
      </c>
      <c r="L707" s="43" t="inlineStr">
        <is>
          <t>在来・204</t>
        </is>
      </c>
      <c r="M707" s="178" t="b">
        <v>1</v>
      </c>
      <c r="N707" s="43" t="inlineStr">
        <is>
          <t>カタログ個別可否確認済み</t>
        </is>
      </c>
      <c r="O707" s="222" t="n">
        <v>104</v>
      </c>
      <c r="P707" s="222" t="n">
        <v>102</v>
      </c>
      <c r="Q707" s="43" t="inlineStr">
        <is>
          <t>202604_LIXIL_サーモスＬ_業務用資料集_完成品価格表.pdf</t>
        </is>
      </c>
      <c r="R707" s="43" t="inlineStr">
        <is>
          <t>規格呼称は親品種で確認済み。固有仕様ごとの価格設定有無（＿＿表示等）は次QAで最終確定。</t>
        </is>
      </c>
      <c r="S707" s="42" t="inlineStr">
        <is>
          <t>無印</t>
        </is>
      </c>
      <c r="T707" s="42" t="n">
        <v>102</v>
      </c>
      <c r="U707" s="42" t="inlineStr">
        <is>
          <t>P102|無印</t>
        </is>
      </c>
      <c r="V707" s="42" t="inlineStr">
        <is>
          <t>同頁凡例へ直接連動</t>
        </is>
      </c>
    </row>
    <row r="708">
      <c r="A708" s="43" t="inlineStr">
        <is>
          <t>SZ-SL-000705</t>
        </is>
      </c>
      <c r="B708" s="43" t="inlineStr">
        <is>
          <t>SER-LIX-SAMOSL</t>
        </is>
      </c>
      <c r="C708" s="43" t="inlineStr">
        <is>
          <t>WT-SL-MENKOSHI-HIKI</t>
        </is>
      </c>
      <c r="D708" s="43" t="inlineStr">
        <is>
          <t>面格子付引違い窓</t>
        </is>
      </c>
      <c r="E708" s="43" t="inlineStr">
        <is>
          <t>SP-SL-GRILLE-H</t>
        </is>
      </c>
      <c r="F708" s="43" t="inlineStr">
        <is>
          <t>在来・204</t>
        </is>
      </c>
      <c r="G708" s="43" t="inlineStr">
        <is>
          <t>07409</t>
        </is>
      </c>
      <c r="H708" s="43" t="inlineStr">
        <is>
          <t>074</t>
        </is>
      </c>
      <c r="I708" s="43" t="inlineStr">
        <is>
          <t>09</t>
        </is>
      </c>
      <c r="J708" s="222" t="n">
        <v>780</v>
      </c>
      <c r="K708" s="222" t="n">
        <v>970</v>
      </c>
      <c r="L708" s="43" t="inlineStr">
        <is>
          <t>在来・204</t>
        </is>
      </c>
      <c r="M708" s="178" t="b">
        <v>1</v>
      </c>
      <c r="N708" s="43" t="inlineStr">
        <is>
          <t>カタログ個別可否確認済み</t>
        </is>
      </c>
      <c r="O708" s="222" t="n">
        <v>104</v>
      </c>
      <c r="P708" s="222" t="n">
        <v>102</v>
      </c>
      <c r="Q708" s="43" t="inlineStr">
        <is>
          <t>202604_LIXIL_サーモスＬ_業務用資料集_完成品価格表.pdf</t>
        </is>
      </c>
      <c r="R708" s="43" t="inlineStr">
        <is>
          <t>規格呼称は親品種で確認済み。固有仕様ごとの価格設定有無（＿＿表示等）は次QAで最終確定。</t>
        </is>
      </c>
      <c r="S708" s="42" t="inlineStr">
        <is>
          <t>無印</t>
        </is>
      </c>
      <c r="T708" s="42" t="n">
        <v>102</v>
      </c>
      <c r="U708" s="42" t="inlineStr">
        <is>
          <t>P102|無印</t>
        </is>
      </c>
      <c r="V708" s="42" t="inlineStr">
        <is>
          <t>同頁凡例へ直接連動</t>
        </is>
      </c>
    </row>
    <row r="709">
      <c r="A709" s="43" t="inlineStr">
        <is>
          <t>SZ-SL-000706</t>
        </is>
      </c>
      <c r="B709" s="43" t="inlineStr">
        <is>
          <t>SER-LIX-SAMOSL</t>
        </is>
      </c>
      <c r="C709" s="43" t="inlineStr">
        <is>
          <t>WT-SL-MENKOSHI-HIKI</t>
        </is>
      </c>
      <c r="D709" s="43" t="inlineStr">
        <is>
          <t>面格子付引違い窓</t>
        </is>
      </c>
      <c r="E709" s="43" t="inlineStr">
        <is>
          <t>SP-SL-GRILLE-H</t>
        </is>
      </c>
      <c r="F709" s="43" t="inlineStr">
        <is>
          <t>在来・204</t>
        </is>
      </c>
      <c r="G709" s="43" t="inlineStr">
        <is>
          <t>07809</t>
        </is>
      </c>
      <c r="H709" s="43" t="inlineStr">
        <is>
          <t>078</t>
        </is>
      </c>
      <c r="I709" s="43" t="inlineStr">
        <is>
          <t>09</t>
        </is>
      </c>
      <c r="J709" s="222" t="n">
        <v>820</v>
      </c>
      <c r="K709" s="222" t="n">
        <v>970</v>
      </c>
      <c r="L709" s="43" t="inlineStr">
        <is>
          <t>在来・204</t>
        </is>
      </c>
      <c r="M709" s="178" t="b">
        <v>1</v>
      </c>
      <c r="N709" s="43" t="inlineStr">
        <is>
          <t>カタログ個別可否確認済み</t>
        </is>
      </c>
      <c r="O709" s="222" t="n">
        <v>104</v>
      </c>
      <c r="P709" s="222" t="n">
        <v>102</v>
      </c>
      <c r="Q709" s="43" t="inlineStr">
        <is>
          <t>202604_LIXIL_サーモスＬ_業務用資料集_完成品価格表.pdf</t>
        </is>
      </c>
      <c r="R709" s="43" t="inlineStr">
        <is>
          <t>規格呼称は親品種で確認済み。固有仕様ごとの価格設定有無（＿＿表示等）は次QAで最終確定。</t>
        </is>
      </c>
      <c r="S709" s="42" t="inlineStr">
        <is>
          <t>無印</t>
        </is>
      </c>
      <c r="T709" s="42" t="n">
        <v>102</v>
      </c>
      <c r="U709" s="42" t="inlineStr">
        <is>
          <t>P102|無印</t>
        </is>
      </c>
      <c r="V709" s="42" t="inlineStr">
        <is>
          <t>同頁凡例へ直接連動</t>
        </is>
      </c>
    </row>
    <row r="710">
      <c r="A710" s="43" t="inlineStr">
        <is>
          <t>SZ-SL-000707</t>
        </is>
      </c>
      <c r="B710" s="43" t="inlineStr">
        <is>
          <t>SER-LIX-SAMOSL</t>
        </is>
      </c>
      <c r="C710" s="43" t="inlineStr">
        <is>
          <t>WT-SL-MENKOSHI-HIKI</t>
        </is>
      </c>
      <c r="D710" s="43" t="inlineStr">
        <is>
          <t>面格子付引違い窓</t>
        </is>
      </c>
      <c r="E710" s="43" t="inlineStr">
        <is>
          <t>SP-SL-GRILLE-IGETA</t>
        </is>
      </c>
      <c r="F710" s="43" t="inlineStr">
        <is>
          <t>在来・204</t>
        </is>
      </c>
      <c r="G710" s="43" t="inlineStr">
        <is>
          <t>06009</t>
        </is>
      </c>
      <c r="H710" s="43" t="inlineStr">
        <is>
          <t>060</t>
        </is>
      </c>
      <c r="I710" s="43" t="inlineStr">
        <is>
          <t>09</t>
        </is>
      </c>
      <c r="J710" s="222" t="n">
        <v>640</v>
      </c>
      <c r="K710" s="222" t="n">
        <v>970</v>
      </c>
      <c r="L710" s="43" t="inlineStr">
        <is>
          <t>在来・204</t>
        </is>
      </c>
      <c r="M710" s="178" t="b">
        <v>1</v>
      </c>
      <c r="N710" s="43" t="inlineStr">
        <is>
          <t>カタログ個別可否確認済み</t>
        </is>
      </c>
      <c r="O710" s="222" t="n">
        <v>104</v>
      </c>
      <c r="P710" s="222" t="n">
        <v>102</v>
      </c>
      <c r="Q710" s="43" t="inlineStr">
        <is>
          <t>202604_LIXIL_サーモスＬ_業務用資料集_完成品価格表.pdf</t>
        </is>
      </c>
      <c r="R710" s="43" t="inlineStr">
        <is>
          <t>規格呼称は親品種で確認済み。固有仕様ごとの価格設定有無（＿＿表示等）は次QAで最終確定。</t>
        </is>
      </c>
      <c r="S710" s="42" t="inlineStr">
        <is>
          <t>無印</t>
        </is>
      </c>
      <c r="T710" s="42" t="n">
        <v>102</v>
      </c>
      <c r="U710" s="42" t="inlineStr">
        <is>
          <t>P102|無印</t>
        </is>
      </c>
      <c r="V710" s="42" t="inlineStr">
        <is>
          <t>同頁凡例へ直接連動</t>
        </is>
      </c>
    </row>
    <row r="711">
      <c r="A711" s="43" t="inlineStr">
        <is>
          <t>SZ-SL-000708</t>
        </is>
      </c>
      <c r="B711" s="43" t="inlineStr">
        <is>
          <t>SER-LIX-SAMOSL</t>
        </is>
      </c>
      <c r="C711" s="43" t="inlineStr">
        <is>
          <t>WT-SL-MENKOSHI-HIKI</t>
        </is>
      </c>
      <c r="D711" s="43" t="inlineStr">
        <is>
          <t>面格子付引違い窓</t>
        </is>
      </c>
      <c r="E711" s="43" t="inlineStr">
        <is>
          <t>SP-SL-GRILLE-IGETA</t>
        </is>
      </c>
      <c r="F711" s="43" t="inlineStr">
        <is>
          <t>在来・204</t>
        </is>
      </c>
      <c r="G711" s="43" t="inlineStr">
        <is>
          <t>06909</t>
        </is>
      </c>
      <c r="H711" s="43" t="inlineStr">
        <is>
          <t>069</t>
        </is>
      </c>
      <c r="I711" s="43" t="inlineStr">
        <is>
          <t>09</t>
        </is>
      </c>
      <c r="J711" s="222" t="n">
        <v>730</v>
      </c>
      <c r="K711" s="222" t="n">
        <v>970</v>
      </c>
      <c r="L711" s="43" t="inlineStr">
        <is>
          <t>在来・204</t>
        </is>
      </c>
      <c r="M711" s="178" t="b">
        <v>1</v>
      </c>
      <c r="N711" s="43" t="inlineStr">
        <is>
          <t>カタログ個別可否確認済み</t>
        </is>
      </c>
      <c r="O711" s="222" t="n">
        <v>104</v>
      </c>
      <c r="P711" s="222" t="n">
        <v>102</v>
      </c>
      <c r="Q711" s="43" t="inlineStr">
        <is>
          <t>202604_LIXIL_サーモスＬ_業務用資料集_完成品価格表.pdf</t>
        </is>
      </c>
      <c r="R711" s="43" t="inlineStr">
        <is>
          <t>規格呼称は親品種で確認済み。固有仕様ごとの価格設定有無（＿＿表示等）は次QAで最終確定。</t>
        </is>
      </c>
      <c r="S711" s="42" t="inlineStr">
        <is>
          <t>無印</t>
        </is>
      </c>
      <c r="T711" s="42" t="n">
        <v>102</v>
      </c>
      <c r="U711" s="42" t="inlineStr">
        <is>
          <t>P102|無印</t>
        </is>
      </c>
      <c r="V711" s="42" t="inlineStr">
        <is>
          <t>同頁凡例へ直接連動</t>
        </is>
      </c>
    </row>
    <row r="712">
      <c r="A712" s="43" t="inlineStr">
        <is>
          <t>SZ-SL-000709</t>
        </is>
      </c>
      <c r="B712" s="43" t="inlineStr">
        <is>
          <t>SER-LIX-SAMOSL</t>
        </is>
      </c>
      <c r="C712" s="43" t="inlineStr">
        <is>
          <t>WT-SL-MENKOSHI-HIKI</t>
        </is>
      </c>
      <c r="D712" s="43" t="inlineStr">
        <is>
          <t>面格子付引違い窓</t>
        </is>
      </c>
      <c r="E712" s="43" t="inlineStr">
        <is>
          <t>SP-SL-GRILLE-IGETA</t>
        </is>
      </c>
      <c r="F712" s="43" t="inlineStr">
        <is>
          <t>在来・204</t>
        </is>
      </c>
      <c r="G712" s="43" t="inlineStr">
        <is>
          <t>07409</t>
        </is>
      </c>
      <c r="H712" s="43" t="inlineStr">
        <is>
          <t>074</t>
        </is>
      </c>
      <c r="I712" s="43" t="inlineStr">
        <is>
          <t>09</t>
        </is>
      </c>
      <c r="J712" s="222" t="n">
        <v>780</v>
      </c>
      <c r="K712" s="222" t="n">
        <v>970</v>
      </c>
      <c r="L712" s="43" t="inlineStr">
        <is>
          <t>在来・204</t>
        </is>
      </c>
      <c r="M712" s="178" t="b">
        <v>1</v>
      </c>
      <c r="N712" s="43" t="inlineStr">
        <is>
          <t>カタログ個別可否確認済み</t>
        </is>
      </c>
      <c r="O712" s="222" t="n">
        <v>104</v>
      </c>
      <c r="P712" s="222" t="n">
        <v>102</v>
      </c>
      <c r="Q712" s="43" t="inlineStr">
        <is>
          <t>202604_LIXIL_サーモスＬ_業務用資料集_完成品価格表.pdf</t>
        </is>
      </c>
      <c r="R712" s="43" t="inlineStr">
        <is>
          <t>規格呼称は親品種で確認済み。固有仕様ごとの価格設定有無（＿＿表示等）は次QAで最終確定。</t>
        </is>
      </c>
      <c r="S712" s="42" t="inlineStr">
        <is>
          <t>無印</t>
        </is>
      </c>
      <c r="T712" s="42" t="n">
        <v>102</v>
      </c>
      <c r="U712" s="42" t="inlineStr">
        <is>
          <t>P102|無印</t>
        </is>
      </c>
      <c r="V712" s="42" t="inlineStr">
        <is>
          <t>同頁凡例へ直接連動</t>
        </is>
      </c>
    </row>
    <row r="713">
      <c r="A713" s="43" t="inlineStr">
        <is>
          <t>SZ-SL-000710</t>
        </is>
      </c>
      <c r="B713" s="43" t="inlineStr">
        <is>
          <t>SER-LIX-SAMOSL</t>
        </is>
      </c>
      <c r="C713" s="43" t="inlineStr">
        <is>
          <t>WT-SL-MENKOSHI-HIKI</t>
        </is>
      </c>
      <c r="D713" s="43" t="inlineStr">
        <is>
          <t>面格子付引違い窓</t>
        </is>
      </c>
      <c r="E713" s="43" t="inlineStr">
        <is>
          <t>SP-SL-GRILLE-IGETA</t>
        </is>
      </c>
      <c r="F713" s="43" t="inlineStr">
        <is>
          <t>在来・204</t>
        </is>
      </c>
      <c r="G713" s="43" t="inlineStr">
        <is>
          <t>07809</t>
        </is>
      </c>
      <c r="H713" s="43" t="inlineStr">
        <is>
          <t>078</t>
        </is>
      </c>
      <c r="I713" s="43" t="inlineStr">
        <is>
          <t>09</t>
        </is>
      </c>
      <c r="J713" s="222" t="n">
        <v>820</v>
      </c>
      <c r="K713" s="222" t="n">
        <v>970</v>
      </c>
      <c r="L713" s="43" t="inlineStr">
        <is>
          <t>在来・204</t>
        </is>
      </c>
      <c r="M713" s="178" t="b">
        <v>1</v>
      </c>
      <c r="N713" s="43" t="inlineStr">
        <is>
          <t>カタログ個別可否確認済み</t>
        </is>
      </c>
      <c r="O713" s="222" t="n">
        <v>104</v>
      </c>
      <c r="P713" s="222" t="n">
        <v>102</v>
      </c>
      <c r="Q713" s="43" t="inlineStr">
        <is>
          <t>202604_LIXIL_サーモスＬ_業務用資料集_完成品価格表.pdf</t>
        </is>
      </c>
      <c r="R713" s="43" t="inlineStr">
        <is>
          <t>規格呼称は親品種で確認済み。固有仕様ごとの価格設定有無（＿＿表示等）は次QAで最終確定。</t>
        </is>
      </c>
      <c r="S713" s="42" t="inlineStr">
        <is>
          <t>無印</t>
        </is>
      </c>
      <c r="T713" s="42" t="n">
        <v>102</v>
      </c>
      <c r="U713" s="42" t="inlineStr">
        <is>
          <t>P102|無印</t>
        </is>
      </c>
      <c r="V713" s="42" t="inlineStr">
        <is>
          <t>同頁凡例へ直接連動</t>
        </is>
      </c>
    </row>
    <row r="714">
      <c r="A714" s="43" t="inlineStr">
        <is>
          <t>SZ-SL-000711</t>
        </is>
      </c>
      <c r="B714" s="43" t="inlineStr">
        <is>
          <t>SER-LIX-SAMOSL</t>
        </is>
      </c>
      <c r="C714" s="43" t="inlineStr">
        <is>
          <t>WT-SL-MENKOSHI-HIKI</t>
        </is>
      </c>
      <c r="D714" s="43" t="inlineStr">
        <is>
          <t>面格子付引違い窓</t>
        </is>
      </c>
      <c r="E714" s="43" t="inlineStr">
        <is>
          <t>SP-SL-GRILLE-V</t>
        </is>
      </c>
      <c r="F714" s="43" t="inlineStr">
        <is>
          <t>在来・204</t>
        </is>
      </c>
      <c r="G714" s="43" t="inlineStr">
        <is>
          <t>06009</t>
        </is>
      </c>
      <c r="H714" s="43" t="inlineStr">
        <is>
          <t>060</t>
        </is>
      </c>
      <c r="I714" s="43" t="inlineStr">
        <is>
          <t>09</t>
        </is>
      </c>
      <c r="J714" s="222" t="n">
        <v>640</v>
      </c>
      <c r="K714" s="222" t="n">
        <v>970</v>
      </c>
      <c r="L714" s="43" t="inlineStr">
        <is>
          <t>在来・204</t>
        </is>
      </c>
      <c r="M714" s="178" t="b">
        <v>1</v>
      </c>
      <c r="N714" s="43" t="inlineStr">
        <is>
          <t>カタログ個別可否確認済み</t>
        </is>
      </c>
      <c r="O714" s="222" t="n">
        <v>104</v>
      </c>
      <c r="P714" s="222" t="n">
        <v>102</v>
      </c>
      <c r="Q714" s="43" t="inlineStr">
        <is>
          <t>202604_LIXIL_サーモスＬ_業務用資料集_完成品価格表.pdf</t>
        </is>
      </c>
      <c r="R714" s="43" t="inlineStr">
        <is>
          <t>規格呼称は親品種で確認済み。固有仕様ごとの価格設定有無（＿＿表示等）は次QAで最終確定。</t>
        </is>
      </c>
      <c r="S714" s="42" t="inlineStr">
        <is>
          <t>無印</t>
        </is>
      </c>
      <c r="T714" s="42" t="n">
        <v>102</v>
      </c>
      <c r="U714" s="42" t="inlineStr">
        <is>
          <t>P102|無印</t>
        </is>
      </c>
      <c r="V714" s="42" t="inlineStr">
        <is>
          <t>同頁凡例へ直接連動</t>
        </is>
      </c>
    </row>
    <row r="715">
      <c r="A715" s="43" t="inlineStr">
        <is>
          <t>SZ-SL-000712</t>
        </is>
      </c>
      <c r="B715" s="43" t="inlineStr">
        <is>
          <t>SER-LIX-SAMOSL</t>
        </is>
      </c>
      <c r="C715" s="43" t="inlineStr">
        <is>
          <t>WT-SL-MENKOSHI-HIKI</t>
        </is>
      </c>
      <c r="D715" s="43" t="inlineStr">
        <is>
          <t>面格子付引違い窓</t>
        </is>
      </c>
      <c r="E715" s="43" t="inlineStr">
        <is>
          <t>SP-SL-GRILLE-V</t>
        </is>
      </c>
      <c r="F715" s="43" t="inlineStr">
        <is>
          <t>在来・204</t>
        </is>
      </c>
      <c r="G715" s="43" t="inlineStr">
        <is>
          <t>06909</t>
        </is>
      </c>
      <c r="H715" s="43" t="inlineStr">
        <is>
          <t>069</t>
        </is>
      </c>
      <c r="I715" s="43" t="inlineStr">
        <is>
          <t>09</t>
        </is>
      </c>
      <c r="J715" s="222" t="n">
        <v>730</v>
      </c>
      <c r="K715" s="222" t="n">
        <v>970</v>
      </c>
      <c r="L715" s="43" t="inlineStr">
        <is>
          <t>在来・204</t>
        </is>
      </c>
      <c r="M715" s="178" t="b">
        <v>1</v>
      </c>
      <c r="N715" s="43" t="inlineStr">
        <is>
          <t>カタログ個別可否確認済み</t>
        </is>
      </c>
      <c r="O715" s="222" t="n">
        <v>104</v>
      </c>
      <c r="P715" s="222" t="n">
        <v>102</v>
      </c>
      <c r="Q715" s="43" t="inlineStr">
        <is>
          <t>202604_LIXIL_サーモスＬ_業務用資料集_完成品価格表.pdf</t>
        </is>
      </c>
      <c r="R715" s="43" t="inlineStr">
        <is>
          <t>規格呼称は親品種で確認済み。固有仕様ごとの価格設定有無（＿＿表示等）は次QAで最終確定。</t>
        </is>
      </c>
      <c r="S715" s="42" t="inlineStr">
        <is>
          <t>無印</t>
        </is>
      </c>
      <c r="T715" s="42" t="n">
        <v>102</v>
      </c>
      <c r="U715" s="42" t="inlineStr">
        <is>
          <t>P102|無印</t>
        </is>
      </c>
      <c r="V715" s="42" t="inlineStr">
        <is>
          <t>同頁凡例へ直接連動</t>
        </is>
      </c>
    </row>
    <row r="716">
      <c r="A716" s="43" t="inlineStr">
        <is>
          <t>SZ-SL-000713</t>
        </is>
      </c>
      <c r="B716" s="43" t="inlineStr">
        <is>
          <t>SER-LIX-SAMOSL</t>
        </is>
      </c>
      <c r="C716" s="43" t="inlineStr">
        <is>
          <t>WT-SL-MENKOSHI-HIKI</t>
        </is>
      </c>
      <c r="D716" s="43" t="inlineStr">
        <is>
          <t>面格子付引違い窓</t>
        </is>
      </c>
      <c r="E716" s="43" t="inlineStr">
        <is>
          <t>SP-SL-GRILLE-V</t>
        </is>
      </c>
      <c r="F716" s="43" t="inlineStr">
        <is>
          <t>在来・204</t>
        </is>
      </c>
      <c r="G716" s="43" t="inlineStr">
        <is>
          <t>07409</t>
        </is>
      </c>
      <c r="H716" s="43" t="inlineStr">
        <is>
          <t>074</t>
        </is>
      </c>
      <c r="I716" s="43" t="inlineStr">
        <is>
          <t>09</t>
        </is>
      </c>
      <c r="J716" s="222" t="n">
        <v>780</v>
      </c>
      <c r="K716" s="222" t="n">
        <v>970</v>
      </c>
      <c r="L716" s="43" t="inlineStr">
        <is>
          <t>在来・204</t>
        </is>
      </c>
      <c r="M716" s="178" t="b">
        <v>1</v>
      </c>
      <c r="N716" s="43" t="inlineStr">
        <is>
          <t>カタログ個別可否確認済み</t>
        </is>
      </c>
      <c r="O716" s="222" t="n">
        <v>104</v>
      </c>
      <c r="P716" s="222" t="n">
        <v>102</v>
      </c>
      <c r="Q716" s="43" t="inlineStr">
        <is>
          <t>202604_LIXIL_サーモスＬ_業務用資料集_完成品価格表.pdf</t>
        </is>
      </c>
      <c r="R716" s="43" t="inlineStr">
        <is>
          <t>規格呼称は親品種で確認済み。固有仕様ごとの価格設定有無（＿＿表示等）は次QAで最終確定。</t>
        </is>
      </c>
      <c r="S716" s="42" t="inlineStr">
        <is>
          <t>無印</t>
        </is>
      </c>
      <c r="T716" s="42" t="n">
        <v>102</v>
      </c>
      <c r="U716" s="42" t="inlineStr">
        <is>
          <t>P102|無印</t>
        </is>
      </c>
      <c r="V716" s="42" t="inlineStr">
        <is>
          <t>同頁凡例へ直接連動</t>
        </is>
      </c>
    </row>
    <row r="717">
      <c r="A717" s="43" t="inlineStr">
        <is>
          <t>SZ-SL-000714</t>
        </is>
      </c>
      <c r="B717" s="43" t="inlineStr">
        <is>
          <t>SER-LIX-SAMOSL</t>
        </is>
      </c>
      <c r="C717" s="43" t="inlineStr">
        <is>
          <t>WT-SL-MENKOSHI-HIKI</t>
        </is>
      </c>
      <c r="D717" s="43" t="inlineStr">
        <is>
          <t>面格子付引違い窓</t>
        </is>
      </c>
      <c r="E717" s="43" t="inlineStr">
        <is>
          <t>SP-SL-GRILLE-V</t>
        </is>
      </c>
      <c r="F717" s="43" t="inlineStr">
        <is>
          <t>在来・204</t>
        </is>
      </c>
      <c r="G717" s="43" t="inlineStr">
        <is>
          <t>07809</t>
        </is>
      </c>
      <c r="H717" s="43" t="inlineStr">
        <is>
          <t>078</t>
        </is>
      </c>
      <c r="I717" s="43" t="inlineStr">
        <is>
          <t>09</t>
        </is>
      </c>
      <c r="J717" s="222" t="n">
        <v>820</v>
      </c>
      <c r="K717" s="222" t="n">
        <v>970</v>
      </c>
      <c r="L717" s="43" t="inlineStr">
        <is>
          <t>在来・204</t>
        </is>
      </c>
      <c r="M717" s="178" t="b">
        <v>1</v>
      </c>
      <c r="N717" s="43" t="inlineStr">
        <is>
          <t>カタログ個別可否確認済み</t>
        </is>
      </c>
      <c r="O717" s="222" t="n">
        <v>104</v>
      </c>
      <c r="P717" s="222" t="n">
        <v>102</v>
      </c>
      <c r="Q717" s="43" t="inlineStr">
        <is>
          <t>202604_LIXIL_サーモスＬ_業務用資料集_完成品価格表.pdf</t>
        </is>
      </c>
      <c r="R717" s="43" t="inlineStr">
        <is>
          <t>規格呼称は親品種で確認済み。固有仕様ごとの価格設定有無（＿＿表示等）は次QAで最終確定。</t>
        </is>
      </c>
      <c r="S717" s="42" t="inlineStr">
        <is>
          <t>無印</t>
        </is>
      </c>
      <c r="T717" s="42" t="n">
        <v>102</v>
      </c>
      <c r="U717" s="42" t="inlineStr">
        <is>
          <t>P102|無印</t>
        </is>
      </c>
      <c r="V717" s="42" t="inlineStr">
        <is>
          <t>同頁凡例へ直接連動</t>
        </is>
      </c>
    </row>
    <row r="718">
      <c r="A718" s="43" t="inlineStr">
        <is>
          <t>SZ-SL-000715</t>
        </is>
      </c>
      <c r="B718" s="43" t="inlineStr">
        <is>
          <t>SER-LIX-SAMOSL</t>
        </is>
      </c>
      <c r="C718" s="43" t="inlineStr">
        <is>
          <t>WT-SL-MENKOSHI-HIKI</t>
        </is>
      </c>
      <c r="D718" s="43" t="inlineStr">
        <is>
          <t>面格子付引違い窓</t>
        </is>
      </c>
      <c r="E718" s="43" t="inlineStr">
        <is>
          <t>SP-SL-GRILLE-DIA</t>
        </is>
      </c>
      <c r="F718" s="43" t="inlineStr">
        <is>
          <t>在来・204</t>
        </is>
      </c>
      <c r="G718" s="43" t="inlineStr">
        <is>
          <t>08009</t>
        </is>
      </c>
      <c r="H718" s="43" t="inlineStr">
        <is>
          <t>080</t>
        </is>
      </c>
      <c r="I718" s="43" t="inlineStr">
        <is>
          <t>09</t>
        </is>
      </c>
      <c r="J718" s="222" t="n">
        <v>845</v>
      </c>
      <c r="K718" s="222" t="n">
        <v>970</v>
      </c>
      <c r="L718" s="43" t="inlineStr">
        <is>
          <t>在来・204</t>
        </is>
      </c>
      <c r="M718" s="178" t="b">
        <v>1</v>
      </c>
      <c r="N718" s="43" t="inlineStr">
        <is>
          <t>カタログ個別可否確認済み</t>
        </is>
      </c>
      <c r="O718" s="222" t="n">
        <v>105</v>
      </c>
      <c r="P718" s="222" t="n">
        <v>103</v>
      </c>
      <c r="Q718" s="43" t="inlineStr">
        <is>
          <t>202604_LIXIL_サーモスＬ_業務用資料集_完成品価格表.pdf</t>
        </is>
      </c>
      <c r="R718" s="43" t="inlineStr">
        <is>
          <t>規格呼称は親品種で確認済み。固有仕様ごとの価格設定有無（＿＿表示等）は次QAで最終確定。</t>
        </is>
      </c>
      <c r="S718" s="42" t="inlineStr">
        <is>
          <t>無印</t>
        </is>
      </c>
      <c r="T718" s="42" t="n">
        <v>102</v>
      </c>
      <c r="U718" s="42" t="inlineStr">
        <is>
          <t>P102|無印</t>
        </is>
      </c>
      <c r="V718" s="42" t="inlineStr">
        <is>
          <t>同一価格表・前頁凡例を継承</t>
        </is>
      </c>
    </row>
    <row r="719">
      <c r="A719" s="43" t="inlineStr">
        <is>
          <t>SZ-SL-000716</t>
        </is>
      </c>
      <c r="B719" s="43" t="inlineStr">
        <is>
          <t>SER-LIX-SAMOSL</t>
        </is>
      </c>
      <c r="C719" s="43" t="inlineStr">
        <is>
          <t>WT-SL-MENKOSHI-HIKI</t>
        </is>
      </c>
      <c r="D719" s="43" t="inlineStr">
        <is>
          <t>面格子付引違い窓</t>
        </is>
      </c>
      <c r="E719" s="43" t="inlineStr">
        <is>
          <t>SP-SL-GRILLE-DIA</t>
        </is>
      </c>
      <c r="F719" s="43" t="inlineStr">
        <is>
          <t>在来・204</t>
        </is>
      </c>
      <c r="G719" s="43" t="inlineStr">
        <is>
          <t>08309</t>
        </is>
      </c>
      <c r="H719" s="43" t="inlineStr">
        <is>
          <t>083</t>
        </is>
      </c>
      <c r="I719" s="43" t="inlineStr">
        <is>
          <t>09</t>
        </is>
      </c>
      <c r="J719" s="222" t="n">
        <v>870</v>
      </c>
      <c r="K719" s="222" t="n">
        <v>970</v>
      </c>
      <c r="L719" s="43" t="inlineStr">
        <is>
          <t>在来・204</t>
        </is>
      </c>
      <c r="M719" s="178" t="b">
        <v>1</v>
      </c>
      <c r="N719" s="43" t="inlineStr">
        <is>
          <t>カタログ個別可否確認済み</t>
        </is>
      </c>
      <c r="O719" s="222" t="n">
        <v>105</v>
      </c>
      <c r="P719" s="222" t="n">
        <v>103</v>
      </c>
      <c r="Q719" s="43" t="inlineStr">
        <is>
          <t>202604_LIXIL_サーモスＬ_業務用資料集_完成品価格表.pdf</t>
        </is>
      </c>
      <c r="R719" s="43" t="inlineStr">
        <is>
          <t>規格呼称は親品種で確認済み。固有仕様ごとの価格設定有無（＿＿表示等）は次QAで最終確定。</t>
        </is>
      </c>
      <c r="S719" s="42" t="inlineStr">
        <is>
          <t>無印</t>
        </is>
      </c>
      <c r="T719" s="42" t="n">
        <v>102</v>
      </c>
      <c r="U719" s="42" t="inlineStr">
        <is>
          <t>P102|無印</t>
        </is>
      </c>
      <c r="V719" s="42" t="inlineStr">
        <is>
          <t>同一価格表・前頁凡例を継承</t>
        </is>
      </c>
    </row>
    <row r="720">
      <c r="A720" s="43" t="inlineStr">
        <is>
          <t>SZ-SL-000717</t>
        </is>
      </c>
      <c r="B720" s="43" t="inlineStr">
        <is>
          <t>SER-LIX-SAMOSL</t>
        </is>
      </c>
      <c r="C720" s="43" t="inlineStr">
        <is>
          <t>WT-SL-MENKOSHI-HIKI</t>
        </is>
      </c>
      <c r="D720" s="43" t="inlineStr">
        <is>
          <t>面格子付引違い窓</t>
        </is>
      </c>
      <c r="E720" s="43" t="inlineStr">
        <is>
          <t>SP-SL-GRILLE-DIA</t>
        </is>
      </c>
      <c r="F720" s="43" t="inlineStr">
        <is>
          <t>在来・204</t>
        </is>
      </c>
      <c r="G720" s="43" t="inlineStr">
        <is>
          <t>11409</t>
        </is>
      </c>
      <c r="H720" s="43" t="inlineStr">
        <is>
          <t>114</t>
        </is>
      </c>
      <c r="I720" s="43" t="inlineStr">
        <is>
          <t>09</t>
        </is>
      </c>
      <c r="J720" s="222" t="n">
        <v>1185</v>
      </c>
      <c r="K720" s="222" t="n">
        <v>970</v>
      </c>
      <c r="L720" s="43" t="inlineStr">
        <is>
          <t>在来・204</t>
        </is>
      </c>
      <c r="M720" s="178" t="b">
        <v>1</v>
      </c>
      <c r="N720" s="43" t="inlineStr">
        <is>
          <t>カタログ個別可否確認済み</t>
        </is>
      </c>
      <c r="O720" s="222" t="n">
        <v>105</v>
      </c>
      <c r="P720" s="222" t="n">
        <v>103</v>
      </c>
      <c r="Q720" s="43" t="inlineStr">
        <is>
          <t>202604_LIXIL_サーモスＬ_業務用資料集_完成品価格表.pdf</t>
        </is>
      </c>
      <c r="R720" s="43" t="inlineStr">
        <is>
          <t>規格呼称は親品種で確認済み。固有仕様ごとの価格設定有無（＿＿表示等）は次QAで最終確定。</t>
        </is>
      </c>
      <c r="S720" s="42" t="inlineStr">
        <is>
          <t>無印</t>
        </is>
      </c>
      <c r="T720" s="42" t="n">
        <v>102</v>
      </c>
      <c r="U720" s="42" t="inlineStr">
        <is>
          <t>P102|無印</t>
        </is>
      </c>
      <c r="V720" s="42" t="inlineStr">
        <is>
          <t>同一価格表・前頁凡例を継承</t>
        </is>
      </c>
    </row>
    <row r="721">
      <c r="A721" s="43" t="inlineStr">
        <is>
          <t>SZ-SL-000718</t>
        </is>
      </c>
      <c r="B721" s="43" t="inlineStr">
        <is>
          <t>SER-LIX-SAMOSL</t>
        </is>
      </c>
      <c r="C721" s="43" t="inlineStr">
        <is>
          <t>WT-SL-MENKOSHI-HIKI</t>
        </is>
      </c>
      <c r="D721" s="43" t="inlineStr">
        <is>
          <t>面格子付引違い窓</t>
        </is>
      </c>
      <c r="E721" s="43" t="inlineStr">
        <is>
          <t>SP-SL-GRILLE-DIA</t>
        </is>
      </c>
      <c r="F721" s="43" t="inlineStr">
        <is>
          <t>在来・204</t>
        </is>
      </c>
      <c r="G721" s="43" t="inlineStr">
        <is>
          <t>11909</t>
        </is>
      </c>
      <c r="H721" s="43" t="inlineStr">
        <is>
          <t>119</t>
        </is>
      </c>
      <c r="I721" s="43" t="inlineStr">
        <is>
          <t>09</t>
        </is>
      </c>
      <c r="J721" s="222" t="n">
        <v>1235</v>
      </c>
      <c r="K721" s="222" t="n">
        <v>970</v>
      </c>
      <c r="L721" s="43" t="inlineStr">
        <is>
          <t>在来・204</t>
        </is>
      </c>
      <c r="M721" s="178" t="b">
        <v>1</v>
      </c>
      <c r="N721" s="43" t="inlineStr">
        <is>
          <t>カタログ個別可否確認済み</t>
        </is>
      </c>
      <c r="O721" s="222" t="n">
        <v>105</v>
      </c>
      <c r="P721" s="222" t="n">
        <v>103</v>
      </c>
      <c r="Q721" s="43" t="inlineStr">
        <is>
          <t>202604_LIXIL_サーモスＬ_業務用資料集_完成品価格表.pdf</t>
        </is>
      </c>
      <c r="R721" s="43" t="inlineStr">
        <is>
          <t>規格呼称は親品種で確認済み。固有仕様ごとの価格設定有無（＿＿表示等）は次QAで最終確定。</t>
        </is>
      </c>
      <c r="S721" s="42" t="inlineStr">
        <is>
          <t>無印</t>
        </is>
      </c>
      <c r="T721" s="42" t="n">
        <v>102</v>
      </c>
      <c r="U721" s="42" t="inlineStr">
        <is>
          <t>P102|無印</t>
        </is>
      </c>
      <c r="V721" s="42" t="inlineStr">
        <is>
          <t>同一価格表・前頁凡例を継承</t>
        </is>
      </c>
    </row>
    <row r="722">
      <c r="A722" s="43" t="inlineStr">
        <is>
          <t>SZ-SL-000719</t>
        </is>
      </c>
      <c r="B722" s="43" t="inlineStr">
        <is>
          <t>SER-LIX-SAMOSL</t>
        </is>
      </c>
      <c r="C722" s="43" t="inlineStr">
        <is>
          <t>WT-SL-MENKOSHI-HIKI</t>
        </is>
      </c>
      <c r="D722" s="43" t="inlineStr">
        <is>
          <t>面格子付引違い窓</t>
        </is>
      </c>
      <c r="E722" s="43" t="inlineStr">
        <is>
          <t>SP-SL-GRILLE-DIA</t>
        </is>
      </c>
      <c r="F722" s="43" t="inlineStr">
        <is>
          <t>在来・204</t>
        </is>
      </c>
      <c r="G722" s="43" t="inlineStr">
        <is>
          <t>12809</t>
        </is>
      </c>
      <c r="H722" s="43" t="inlineStr">
        <is>
          <t>128</t>
        </is>
      </c>
      <c r="I722" s="43" t="inlineStr">
        <is>
          <t>09</t>
        </is>
      </c>
      <c r="J722" s="222" t="n">
        <v>1320</v>
      </c>
      <c r="K722" s="222" t="n">
        <v>970</v>
      </c>
      <c r="L722" s="43" t="inlineStr">
        <is>
          <t>在来・204</t>
        </is>
      </c>
      <c r="M722" s="178" t="b">
        <v>1</v>
      </c>
      <c r="N722" s="43" t="inlineStr">
        <is>
          <t>カタログ個別可否確認済み</t>
        </is>
      </c>
      <c r="O722" s="222" t="n">
        <v>105</v>
      </c>
      <c r="P722" s="222" t="n">
        <v>103</v>
      </c>
      <c r="Q722" s="43" t="inlineStr">
        <is>
          <t>202604_LIXIL_サーモスＬ_業務用資料集_完成品価格表.pdf</t>
        </is>
      </c>
      <c r="R722" s="43" t="inlineStr">
        <is>
          <t>規格呼称は親品種で確認済み。固有仕様ごとの価格設定有無（＿＿表示等）は次QAで最終確定。</t>
        </is>
      </c>
      <c r="S722" s="42" t="inlineStr">
        <is>
          <t>無印</t>
        </is>
      </c>
      <c r="T722" s="42" t="n">
        <v>102</v>
      </c>
      <c r="U722" s="42" t="inlineStr">
        <is>
          <t>P102|無印</t>
        </is>
      </c>
      <c r="V722" s="42" t="inlineStr">
        <is>
          <t>同一価格表・前頁凡例を継承</t>
        </is>
      </c>
    </row>
    <row r="723">
      <c r="A723" s="43" t="inlineStr">
        <is>
          <t>SZ-SL-000720</t>
        </is>
      </c>
      <c r="B723" s="43" t="inlineStr">
        <is>
          <t>SER-LIX-SAMOSL</t>
        </is>
      </c>
      <c r="C723" s="43" t="inlineStr">
        <is>
          <t>WT-SL-MENKOSHI-HIKI</t>
        </is>
      </c>
      <c r="D723" s="43" t="inlineStr">
        <is>
          <t>面格子付引違い窓</t>
        </is>
      </c>
      <c r="E723" s="43" t="inlineStr">
        <is>
          <t>SP-SL-GRILLE-H</t>
        </is>
      </c>
      <c r="F723" s="43" t="inlineStr">
        <is>
          <t>在来・204</t>
        </is>
      </c>
      <c r="G723" s="43" t="inlineStr">
        <is>
          <t>08009</t>
        </is>
      </c>
      <c r="H723" s="43" t="inlineStr">
        <is>
          <t>080</t>
        </is>
      </c>
      <c r="I723" s="43" t="inlineStr">
        <is>
          <t>09</t>
        </is>
      </c>
      <c r="J723" s="222" t="n">
        <v>845</v>
      </c>
      <c r="K723" s="222" t="n">
        <v>970</v>
      </c>
      <c r="L723" s="43" t="inlineStr">
        <is>
          <t>在来・204</t>
        </is>
      </c>
      <c r="M723" s="178" t="b">
        <v>1</v>
      </c>
      <c r="N723" s="43" t="inlineStr">
        <is>
          <t>カタログ個別可否確認済み</t>
        </is>
      </c>
      <c r="O723" s="222" t="n">
        <v>105</v>
      </c>
      <c r="P723" s="222" t="n">
        <v>103</v>
      </c>
      <c r="Q723" s="43" t="inlineStr">
        <is>
          <t>202604_LIXIL_サーモスＬ_業務用資料集_完成品価格表.pdf</t>
        </is>
      </c>
      <c r="R723" s="43" t="inlineStr">
        <is>
          <t>規格呼称は親品種で確認済み。固有仕様ごとの価格設定有無（＿＿表示等）は次QAで最終確定。</t>
        </is>
      </c>
      <c r="S723" s="42" t="inlineStr">
        <is>
          <t>無印</t>
        </is>
      </c>
      <c r="T723" s="42" t="n">
        <v>102</v>
      </c>
      <c r="U723" s="42" t="inlineStr">
        <is>
          <t>P102|無印</t>
        </is>
      </c>
      <c r="V723" s="42" t="inlineStr">
        <is>
          <t>同一価格表・前頁凡例を継承</t>
        </is>
      </c>
    </row>
    <row r="724">
      <c r="A724" s="43" t="inlineStr">
        <is>
          <t>SZ-SL-000721</t>
        </is>
      </c>
      <c r="B724" s="43" t="inlineStr">
        <is>
          <t>SER-LIX-SAMOSL</t>
        </is>
      </c>
      <c r="C724" s="43" t="inlineStr">
        <is>
          <t>WT-SL-MENKOSHI-HIKI</t>
        </is>
      </c>
      <c r="D724" s="43" t="inlineStr">
        <is>
          <t>面格子付引違い窓</t>
        </is>
      </c>
      <c r="E724" s="43" t="inlineStr">
        <is>
          <t>SP-SL-GRILLE-H</t>
        </is>
      </c>
      <c r="F724" s="43" t="inlineStr">
        <is>
          <t>在来・204</t>
        </is>
      </c>
      <c r="G724" s="43" t="inlineStr">
        <is>
          <t>08309</t>
        </is>
      </c>
      <c r="H724" s="43" t="inlineStr">
        <is>
          <t>083</t>
        </is>
      </c>
      <c r="I724" s="43" t="inlineStr">
        <is>
          <t>09</t>
        </is>
      </c>
      <c r="J724" s="222" t="n">
        <v>870</v>
      </c>
      <c r="K724" s="222" t="n">
        <v>970</v>
      </c>
      <c r="L724" s="43" t="inlineStr">
        <is>
          <t>在来・204</t>
        </is>
      </c>
      <c r="M724" s="178" t="b">
        <v>1</v>
      </c>
      <c r="N724" s="43" t="inlineStr">
        <is>
          <t>カタログ個別可否確認済み</t>
        </is>
      </c>
      <c r="O724" s="222" t="n">
        <v>105</v>
      </c>
      <c r="P724" s="222" t="n">
        <v>103</v>
      </c>
      <c r="Q724" s="43" t="inlineStr">
        <is>
          <t>202604_LIXIL_サーモスＬ_業務用資料集_完成品価格表.pdf</t>
        </is>
      </c>
      <c r="R724" s="43" t="inlineStr">
        <is>
          <t>規格呼称は親品種で確認済み。固有仕様ごとの価格設定有無（＿＿表示等）は次QAで最終確定。</t>
        </is>
      </c>
      <c r="S724" s="42" t="inlineStr">
        <is>
          <t>無印</t>
        </is>
      </c>
      <c r="T724" s="42" t="n">
        <v>102</v>
      </c>
      <c r="U724" s="42" t="inlineStr">
        <is>
          <t>P102|無印</t>
        </is>
      </c>
      <c r="V724" s="42" t="inlineStr">
        <is>
          <t>同一価格表・前頁凡例を継承</t>
        </is>
      </c>
    </row>
    <row r="725">
      <c r="A725" s="43" t="inlineStr">
        <is>
          <t>SZ-SL-000722</t>
        </is>
      </c>
      <c r="B725" s="43" t="inlineStr">
        <is>
          <t>SER-LIX-SAMOSL</t>
        </is>
      </c>
      <c r="C725" s="43" t="inlineStr">
        <is>
          <t>WT-SL-MENKOSHI-HIKI</t>
        </is>
      </c>
      <c r="D725" s="43" t="inlineStr">
        <is>
          <t>面格子付引違い窓</t>
        </is>
      </c>
      <c r="E725" s="43" t="inlineStr">
        <is>
          <t>SP-SL-GRILLE-H</t>
        </is>
      </c>
      <c r="F725" s="43" t="inlineStr">
        <is>
          <t>在来・204</t>
        </is>
      </c>
      <c r="G725" s="43" t="inlineStr">
        <is>
          <t>11409</t>
        </is>
      </c>
      <c r="H725" s="43" t="inlineStr">
        <is>
          <t>114</t>
        </is>
      </c>
      <c r="I725" s="43" t="inlineStr">
        <is>
          <t>09</t>
        </is>
      </c>
      <c r="J725" s="222" t="n">
        <v>1185</v>
      </c>
      <c r="K725" s="222" t="n">
        <v>970</v>
      </c>
      <c r="L725" s="43" t="inlineStr">
        <is>
          <t>在来・204</t>
        </is>
      </c>
      <c r="M725" s="178" t="b">
        <v>1</v>
      </c>
      <c r="N725" s="43" t="inlineStr">
        <is>
          <t>カタログ個別可否確認済み</t>
        </is>
      </c>
      <c r="O725" s="222" t="n">
        <v>105</v>
      </c>
      <c r="P725" s="222" t="n">
        <v>103</v>
      </c>
      <c r="Q725" s="43" t="inlineStr">
        <is>
          <t>202604_LIXIL_サーモスＬ_業務用資料集_完成品価格表.pdf</t>
        </is>
      </c>
      <c r="R725" s="43" t="inlineStr">
        <is>
          <t>規格呼称は親品種で確認済み。固有仕様ごとの価格設定有無（＿＿表示等）は次QAで最終確定。</t>
        </is>
      </c>
      <c r="S725" s="42" t="inlineStr">
        <is>
          <t>無印</t>
        </is>
      </c>
      <c r="T725" s="42" t="n">
        <v>102</v>
      </c>
      <c r="U725" s="42" t="inlineStr">
        <is>
          <t>P102|無印</t>
        </is>
      </c>
      <c r="V725" s="42" t="inlineStr">
        <is>
          <t>同一価格表・前頁凡例を継承</t>
        </is>
      </c>
    </row>
    <row r="726">
      <c r="A726" s="43" t="inlineStr">
        <is>
          <t>SZ-SL-000723</t>
        </is>
      </c>
      <c r="B726" s="43" t="inlineStr">
        <is>
          <t>SER-LIX-SAMOSL</t>
        </is>
      </c>
      <c r="C726" s="43" t="inlineStr">
        <is>
          <t>WT-SL-MENKOSHI-HIKI</t>
        </is>
      </c>
      <c r="D726" s="43" t="inlineStr">
        <is>
          <t>面格子付引違い窓</t>
        </is>
      </c>
      <c r="E726" s="43" t="inlineStr">
        <is>
          <t>SP-SL-GRILLE-H</t>
        </is>
      </c>
      <c r="F726" s="43" t="inlineStr">
        <is>
          <t>在来・204</t>
        </is>
      </c>
      <c r="G726" s="43" t="inlineStr">
        <is>
          <t>11909</t>
        </is>
      </c>
      <c r="H726" s="43" t="inlineStr">
        <is>
          <t>119</t>
        </is>
      </c>
      <c r="I726" s="43" t="inlineStr">
        <is>
          <t>09</t>
        </is>
      </c>
      <c r="J726" s="222" t="n">
        <v>1235</v>
      </c>
      <c r="K726" s="222" t="n">
        <v>970</v>
      </c>
      <c r="L726" s="43" t="inlineStr">
        <is>
          <t>在来・204</t>
        </is>
      </c>
      <c r="M726" s="178" t="b">
        <v>1</v>
      </c>
      <c r="N726" s="43" t="inlineStr">
        <is>
          <t>カタログ個別可否確認済み</t>
        </is>
      </c>
      <c r="O726" s="222" t="n">
        <v>105</v>
      </c>
      <c r="P726" s="222" t="n">
        <v>103</v>
      </c>
      <c r="Q726" s="43" t="inlineStr">
        <is>
          <t>202604_LIXIL_サーモスＬ_業務用資料集_完成品価格表.pdf</t>
        </is>
      </c>
      <c r="R726" s="43" t="inlineStr">
        <is>
          <t>規格呼称は親品種で確認済み。固有仕様ごとの価格設定有無（＿＿表示等）は次QAで最終確定。</t>
        </is>
      </c>
      <c r="S726" s="42" t="inlineStr">
        <is>
          <t>無印</t>
        </is>
      </c>
      <c r="T726" s="42" t="n">
        <v>102</v>
      </c>
      <c r="U726" s="42" t="inlineStr">
        <is>
          <t>P102|無印</t>
        </is>
      </c>
      <c r="V726" s="42" t="inlineStr">
        <is>
          <t>同一価格表・前頁凡例を継承</t>
        </is>
      </c>
    </row>
    <row r="727">
      <c r="A727" s="43" t="inlineStr">
        <is>
          <t>SZ-SL-000724</t>
        </is>
      </c>
      <c r="B727" s="43" t="inlineStr">
        <is>
          <t>SER-LIX-SAMOSL</t>
        </is>
      </c>
      <c r="C727" s="43" t="inlineStr">
        <is>
          <t>WT-SL-MENKOSHI-HIKI</t>
        </is>
      </c>
      <c r="D727" s="43" t="inlineStr">
        <is>
          <t>面格子付引違い窓</t>
        </is>
      </c>
      <c r="E727" s="43" t="inlineStr">
        <is>
          <t>SP-SL-GRILLE-H</t>
        </is>
      </c>
      <c r="F727" s="43" t="inlineStr">
        <is>
          <t>在来・204</t>
        </is>
      </c>
      <c r="G727" s="43" t="inlineStr">
        <is>
          <t>12809</t>
        </is>
      </c>
      <c r="H727" s="43" t="inlineStr">
        <is>
          <t>128</t>
        </is>
      </c>
      <c r="I727" s="43" t="inlineStr">
        <is>
          <t>09</t>
        </is>
      </c>
      <c r="J727" s="222" t="n">
        <v>1320</v>
      </c>
      <c r="K727" s="222" t="n">
        <v>970</v>
      </c>
      <c r="L727" s="43" t="inlineStr">
        <is>
          <t>在来・204</t>
        </is>
      </c>
      <c r="M727" s="178" t="b">
        <v>1</v>
      </c>
      <c r="N727" s="43" t="inlineStr">
        <is>
          <t>カタログ個別可否確認済み</t>
        </is>
      </c>
      <c r="O727" s="222" t="n">
        <v>105</v>
      </c>
      <c r="P727" s="222" t="n">
        <v>103</v>
      </c>
      <c r="Q727" s="43" t="inlineStr">
        <is>
          <t>202604_LIXIL_サーモスＬ_業務用資料集_完成品価格表.pdf</t>
        </is>
      </c>
      <c r="R727" s="43" t="inlineStr">
        <is>
          <t>規格呼称は親品種で確認済み。固有仕様ごとの価格設定有無（＿＿表示等）は次QAで最終確定。</t>
        </is>
      </c>
      <c r="S727" s="42" t="inlineStr">
        <is>
          <t>無印</t>
        </is>
      </c>
      <c r="T727" s="42" t="n">
        <v>102</v>
      </c>
      <c r="U727" s="42" t="inlineStr">
        <is>
          <t>P102|無印</t>
        </is>
      </c>
      <c r="V727" s="42" t="inlineStr">
        <is>
          <t>同一価格表・前頁凡例を継承</t>
        </is>
      </c>
    </row>
    <row r="728">
      <c r="A728" s="43" t="inlineStr">
        <is>
          <t>SZ-SL-000725</t>
        </is>
      </c>
      <c r="B728" s="43" t="inlineStr">
        <is>
          <t>SER-LIX-SAMOSL</t>
        </is>
      </c>
      <c r="C728" s="43" t="inlineStr">
        <is>
          <t>WT-SL-MENKOSHI-HIKI</t>
        </is>
      </c>
      <c r="D728" s="43" t="inlineStr">
        <is>
          <t>面格子付引違い窓</t>
        </is>
      </c>
      <c r="E728" s="43" t="inlineStr">
        <is>
          <t>SP-SL-GRILLE-IGETA</t>
        </is>
      </c>
      <c r="F728" s="43" t="inlineStr">
        <is>
          <t>在来・204</t>
        </is>
      </c>
      <c r="G728" s="43" t="inlineStr">
        <is>
          <t>08009</t>
        </is>
      </c>
      <c r="H728" s="43" t="inlineStr">
        <is>
          <t>080</t>
        </is>
      </c>
      <c r="I728" s="43" t="inlineStr">
        <is>
          <t>09</t>
        </is>
      </c>
      <c r="J728" s="222" t="n">
        <v>845</v>
      </c>
      <c r="K728" s="222" t="n">
        <v>970</v>
      </c>
      <c r="L728" s="43" t="inlineStr">
        <is>
          <t>在来・204</t>
        </is>
      </c>
      <c r="M728" s="178" t="b">
        <v>1</v>
      </c>
      <c r="N728" s="43" t="inlineStr">
        <is>
          <t>カタログ個別可否確認済み</t>
        </is>
      </c>
      <c r="O728" s="222" t="n">
        <v>105</v>
      </c>
      <c r="P728" s="222" t="n">
        <v>103</v>
      </c>
      <c r="Q728" s="43" t="inlineStr">
        <is>
          <t>202604_LIXIL_サーモスＬ_業務用資料集_完成品価格表.pdf</t>
        </is>
      </c>
      <c r="R728" s="43" t="inlineStr">
        <is>
          <t>規格呼称は親品種で確認済み。固有仕様ごとの価格設定有無（＿＿表示等）は次QAで最終確定。</t>
        </is>
      </c>
      <c r="S728" s="42" t="inlineStr">
        <is>
          <t>無印</t>
        </is>
      </c>
      <c r="T728" s="42" t="n">
        <v>102</v>
      </c>
      <c r="U728" s="42" t="inlineStr">
        <is>
          <t>P102|無印</t>
        </is>
      </c>
      <c r="V728" s="42" t="inlineStr">
        <is>
          <t>同一価格表・前頁凡例を継承</t>
        </is>
      </c>
    </row>
    <row r="729">
      <c r="A729" s="43" t="inlineStr">
        <is>
          <t>SZ-SL-000726</t>
        </is>
      </c>
      <c r="B729" s="43" t="inlineStr">
        <is>
          <t>SER-LIX-SAMOSL</t>
        </is>
      </c>
      <c r="C729" s="43" t="inlineStr">
        <is>
          <t>WT-SL-MENKOSHI-HIKI</t>
        </is>
      </c>
      <c r="D729" s="43" t="inlineStr">
        <is>
          <t>面格子付引違い窓</t>
        </is>
      </c>
      <c r="E729" s="43" t="inlineStr">
        <is>
          <t>SP-SL-GRILLE-IGETA</t>
        </is>
      </c>
      <c r="F729" s="43" t="inlineStr">
        <is>
          <t>在来・204</t>
        </is>
      </c>
      <c r="G729" s="43" t="inlineStr">
        <is>
          <t>08309</t>
        </is>
      </c>
      <c r="H729" s="43" t="inlineStr">
        <is>
          <t>083</t>
        </is>
      </c>
      <c r="I729" s="43" t="inlineStr">
        <is>
          <t>09</t>
        </is>
      </c>
      <c r="J729" s="222" t="n">
        <v>870</v>
      </c>
      <c r="K729" s="222" t="n">
        <v>970</v>
      </c>
      <c r="L729" s="43" t="inlineStr">
        <is>
          <t>在来・204</t>
        </is>
      </c>
      <c r="M729" s="178" t="b">
        <v>1</v>
      </c>
      <c r="N729" s="43" t="inlineStr">
        <is>
          <t>カタログ個別可否確認済み</t>
        </is>
      </c>
      <c r="O729" s="222" t="n">
        <v>105</v>
      </c>
      <c r="P729" s="222" t="n">
        <v>103</v>
      </c>
      <c r="Q729" s="43" t="inlineStr">
        <is>
          <t>202604_LIXIL_サーモスＬ_業務用資料集_完成品価格表.pdf</t>
        </is>
      </c>
      <c r="R729" s="43" t="inlineStr">
        <is>
          <t>規格呼称は親品種で確認済み。固有仕様ごとの価格設定有無（＿＿表示等）は次QAで最終確定。</t>
        </is>
      </c>
      <c r="S729" s="42" t="inlineStr">
        <is>
          <t>無印</t>
        </is>
      </c>
      <c r="T729" s="42" t="n">
        <v>102</v>
      </c>
      <c r="U729" s="42" t="inlineStr">
        <is>
          <t>P102|無印</t>
        </is>
      </c>
      <c r="V729" s="42" t="inlineStr">
        <is>
          <t>同一価格表・前頁凡例を継承</t>
        </is>
      </c>
    </row>
    <row r="730">
      <c r="A730" s="43" t="inlineStr">
        <is>
          <t>SZ-SL-000727</t>
        </is>
      </c>
      <c r="B730" s="43" t="inlineStr">
        <is>
          <t>SER-LIX-SAMOSL</t>
        </is>
      </c>
      <c r="C730" s="43" t="inlineStr">
        <is>
          <t>WT-SL-MENKOSHI-HIKI</t>
        </is>
      </c>
      <c r="D730" s="43" t="inlineStr">
        <is>
          <t>面格子付引違い窓</t>
        </is>
      </c>
      <c r="E730" s="43" t="inlineStr">
        <is>
          <t>SP-SL-GRILLE-IGETA</t>
        </is>
      </c>
      <c r="F730" s="43" t="inlineStr">
        <is>
          <t>在来・204</t>
        </is>
      </c>
      <c r="G730" s="43" t="inlineStr">
        <is>
          <t>11409</t>
        </is>
      </c>
      <c r="H730" s="43" t="inlineStr">
        <is>
          <t>114</t>
        </is>
      </c>
      <c r="I730" s="43" t="inlineStr">
        <is>
          <t>09</t>
        </is>
      </c>
      <c r="J730" s="222" t="n">
        <v>1185</v>
      </c>
      <c r="K730" s="222" t="n">
        <v>970</v>
      </c>
      <c r="L730" s="43" t="inlineStr">
        <is>
          <t>在来・204</t>
        </is>
      </c>
      <c r="M730" s="178" t="b">
        <v>1</v>
      </c>
      <c r="N730" s="43" t="inlineStr">
        <is>
          <t>カタログ個別可否確認済み</t>
        </is>
      </c>
      <c r="O730" s="222" t="n">
        <v>105</v>
      </c>
      <c r="P730" s="222" t="n">
        <v>103</v>
      </c>
      <c r="Q730" s="43" t="inlineStr">
        <is>
          <t>202604_LIXIL_サーモスＬ_業務用資料集_完成品価格表.pdf</t>
        </is>
      </c>
      <c r="R730" s="43" t="inlineStr">
        <is>
          <t>規格呼称は親品種で確認済み。固有仕様ごとの価格設定有無（＿＿表示等）は次QAで最終確定。</t>
        </is>
      </c>
      <c r="S730" s="42" t="inlineStr">
        <is>
          <t>無印</t>
        </is>
      </c>
      <c r="T730" s="42" t="n">
        <v>102</v>
      </c>
      <c r="U730" s="42" t="inlineStr">
        <is>
          <t>P102|無印</t>
        </is>
      </c>
      <c r="V730" s="42" t="inlineStr">
        <is>
          <t>同一価格表・前頁凡例を継承</t>
        </is>
      </c>
    </row>
    <row r="731">
      <c r="A731" s="43" t="inlineStr">
        <is>
          <t>SZ-SL-000728</t>
        </is>
      </c>
      <c r="B731" s="43" t="inlineStr">
        <is>
          <t>SER-LIX-SAMOSL</t>
        </is>
      </c>
      <c r="C731" s="43" t="inlineStr">
        <is>
          <t>WT-SL-MENKOSHI-HIKI</t>
        </is>
      </c>
      <c r="D731" s="43" t="inlineStr">
        <is>
          <t>面格子付引違い窓</t>
        </is>
      </c>
      <c r="E731" s="43" t="inlineStr">
        <is>
          <t>SP-SL-GRILLE-IGETA</t>
        </is>
      </c>
      <c r="F731" s="43" t="inlineStr">
        <is>
          <t>在来・204</t>
        </is>
      </c>
      <c r="G731" s="43" t="inlineStr">
        <is>
          <t>11909</t>
        </is>
      </c>
      <c r="H731" s="43" t="inlineStr">
        <is>
          <t>119</t>
        </is>
      </c>
      <c r="I731" s="43" t="inlineStr">
        <is>
          <t>09</t>
        </is>
      </c>
      <c r="J731" s="222" t="n">
        <v>1235</v>
      </c>
      <c r="K731" s="222" t="n">
        <v>970</v>
      </c>
      <c r="L731" s="43" t="inlineStr">
        <is>
          <t>在来・204</t>
        </is>
      </c>
      <c r="M731" s="178" t="b">
        <v>1</v>
      </c>
      <c r="N731" s="43" t="inlineStr">
        <is>
          <t>カタログ個別可否確認済み</t>
        </is>
      </c>
      <c r="O731" s="222" t="n">
        <v>105</v>
      </c>
      <c r="P731" s="222" t="n">
        <v>103</v>
      </c>
      <c r="Q731" s="43" t="inlineStr">
        <is>
          <t>202604_LIXIL_サーモスＬ_業務用資料集_完成品価格表.pdf</t>
        </is>
      </c>
      <c r="R731" s="43" t="inlineStr">
        <is>
          <t>規格呼称は親品種で確認済み。固有仕様ごとの価格設定有無（＿＿表示等）は次QAで最終確定。</t>
        </is>
      </c>
      <c r="S731" s="42" t="inlineStr">
        <is>
          <t>無印</t>
        </is>
      </c>
      <c r="T731" s="42" t="n">
        <v>102</v>
      </c>
      <c r="U731" s="42" t="inlineStr">
        <is>
          <t>P102|無印</t>
        </is>
      </c>
      <c r="V731" s="42" t="inlineStr">
        <is>
          <t>同一価格表・前頁凡例を継承</t>
        </is>
      </c>
    </row>
    <row r="732">
      <c r="A732" s="43" t="inlineStr">
        <is>
          <t>SZ-SL-000729</t>
        </is>
      </c>
      <c r="B732" s="43" t="inlineStr">
        <is>
          <t>SER-LIX-SAMOSL</t>
        </is>
      </c>
      <c r="C732" s="43" t="inlineStr">
        <is>
          <t>WT-SL-MENKOSHI-HIKI</t>
        </is>
      </c>
      <c r="D732" s="43" t="inlineStr">
        <is>
          <t>面格子付引違い窓</t>
        </is>
      </c>
      <c r="E732" s="43" t="inlineStr">
        <is>
          <t>SP-SL-GRILLE-IGETA</t>
        </is>
      </c>
      <c r="F732" s="43" t="inlineStr">
        <is>
          <t>在来・204</t>
        </is>
      </c>
      <c r="G732" s="43" t="inlineStr">
        <is>
          <t>12809</t>
        </is>
      </c>
      <c r="H732" s="43" t="inlineStr">
        <is>
          <t>128</t>
        </is>
      </c>
      <c r="I732" s="43" t="inlineStr">
        <is>
          <t>09</t>
        </is>
      </c>
      <c r="J732" s="222" t="n">
        <v>1320</v>
      </c>
      <c r="K732" s="222" t="n">
        <v>970</v>
      </c>
      <c r="L732" s="43" t="inlineStr">
        <is>
          <t>在来・204</t>
        </is>
      </c>
      <c r="M732" s="178" t="b">
        <v>1</v>
      </c>
      <c r="N732" s="43" t="inlineStr">
        <is>
          <t>カタログ個別可否確認済み</t>
        </is>
      </c>
      <c r="O732" s="222" t="n">
        <v>105</v>
      </c>
      <c r="P732" s="222" t="n">
        <v>103</v>
      </c>
      <c r="Q732" s="43" t="inlineStr">
        <is>
          <t>202604_LIXIL_サーモスＬ_業務用資料集_完成品価格表.pdf</t>
        </is>
      </c>
      <c r="R732" s="43" t="inlineStr">
        <is>
          <t>規格呼称は親品種で確認済み。固有仕様ごとの価格設定有無（＿＿表示等）は次QAで最終確定。</t>
        </is>
      </c>
      <c r="S732" s="42" t="inlineStr">
        <is>
          <t>無印</t>
        </is>
      </c>
      <c r="T732" s="42" t="n">
        <v>102</v>
      </c>
      <c r="U732" s="42" t="inlineStr">
        <is>
          <t>P102|無印</t>
        </is>
      </c>
      <c r="V732" s="42" t="inlineStr">
        <is>
          <t>同一価格表・前頁凡例を継承</t>
        </is>
      </c>
    </row>
    <row r="733">
      <c r="A733" s="43" t="inlineStr">
        <is>
          <t>SZ-SL-000730</t>
        </is>
      </c>
      <c r="B733" s="43" t="inlineStr">
        <is>
          <t>SER-LIX-SAMOSL</t>
        </is>
      </c>
      <c r="C733" s="43" t="inlineStr">
        <is>
          <t>WT-SL-MENKOSHI-HIKI</t>
        </is>
      </c>
      <c r="D733" s="43" t="inlineStr">
        <is>
          <t>面格子付引違い窓</t>
        </is>
      </c>
      <c r="E733" s="43" t="inlineStr">
        <is>
          <t>SP-SL-GRILLE-V</t>
        </is>
      </c>
      <c r="F733" s="43" t="inlineStr">
        <is>
          <t>在来・204</t>
        </is>
      </c>
      <c r="G733" s="43" t="inlineStr">
        <is>
          <t>08009</t>
        </is>
      </c>
      <c r="H733" s="43" t="inlineStr">
        <is>
          <t>080</t>
        </is>
      </c>
      <c r="I733" s="43" t="inlineStr">
        <is>
          <t>09</t>
        </is>
      </c>
      <c r="J733" s="222" t="n">
        <v>845</v>
      </c>
      <c r="K733" s="222" t="n">
        <v>970</v>
      </c>
      <c r="L733" s="43" t="inlineStr">
        <is>
          <t>在来・204</t>
        </is>
      </c>
      <c r="M733" s="178" t="b">
        <v>1</v>
      </c>
      <c r="N733" s="43" t="inlineStr">
        <is>
          <t>カタログ個別可否確認済み</t>
        </is>
      </c>
      <c r="O733" s="222" t="n">
        <v>105</v>
      </c>
      <c r="P733" s="222" t="n">
        <v>103</v>
      </c>
      <c r="Q733" s="43" t="inlineStr">
        <is>
          <t>202604_LIXIL_サーモスＬ_業務用資料集_完成品価格表.pdf</t>
        </is>
      </c>
      <c r="R733" s="43" t="inlineStr">
        <is>
          <t>規格呼称は親品種で確認済み。固有仕様ごとの価格設定有無（＿＿表示等）は次QAで最終確定。</t>
        </is>
      </c>
      <c r="S733" s="42" t="inlineStr">
        <is>
          <t>無印</t>
        </is>
      </c>
      <c r="T733" s="42" t="n">
        <v>102</v>
      </c>
      <c r="U733" s="42" t="inlineStr">
        <is>
          <t>P102|無印</t>
        </is>
      </c>
      <c r="V733" s="42" t="inlineStr">
        <is>
          <t>同一価格表・前頁凡例を継承</t>
        </is>
      </c>
    </row>
    <row r="734">
      <c r="A734" s="43" t="inlineStr">
        <is>
          <t>SZ-SL-000731</t>
        </is>
      </c>
      <c r="B734" s="43" t="inlineStr">
        <is>
          <t>SER-LIX-SAMOSL</t>
        </is>
      </c>
      <c r="C734" s="43" t="inlineStr">
        <is>
          <t>WT-SL-MENKOSHI-HIKI</t>
        </is>
      </c>
      <c r="D734" s="43" t="inlineStr">
        <is>
          <t>面格子付引違い窓</t>
        </is>
      </c>
      <c r="E734" s="43" t="inlineStr">
        <is>
          <t>SP-SL-GRILLE-V</t>
        </is>
      </c>
      <c r="F734" s="43" t="inlineStr">
        <is>
          <t>在来・204</t>
        </is>
      </c>
      <c r="G734" s="43" t="inlineStr">
        <is>
          <t>08309</t>
        </is>
      </c>
      <c r="H734" s="43" t="inlineStr">
        <is>
          <t>083</t>
        </is>
      </c>
      <c r="I734" s="43" t="inlineStr">
        <is>
          <t>09</t>
        </is>
      </c>
      <c r="J734" s="222" t="n">
        <v>870</v>
      </c>
      <c r="K734" s="222" t="n">
        <v>970</v>
      </c>
      <c r="L734" s="43" t="inlineStr">
        <is>
          <t>在来・204</t>
        </is>
      </c>
      <c r="M734" s="178" t="b">
        <v>1</v>
      </c>
      <c r="N734" s="43" t="inlineStr">
        <is>
          <t>カタログ個別可否確認済み</t>
        </is>
      </c>
      <c r="O734" s="222" t="n">
        <v>105</v>
      </c>
      <c r="P734" s="222" t="n">
        <v>103</v>
      </c>
      <c r="Q734" s="43" t="inlineStr">
        <is>
          <t>202604_LIXIL_サーモスＬ_業務用資料集_完成品価格表.pdf</t>
        </is>
      </c>
      <c r="R734" s="43" t="inlineStr">
        <is>
          <t>規格呼称は親品種で確認済み。固有仕様ごとの価格設定有無（＿＿表示等）は次QAで最終確定。</t>
        </is>
      </c>
      <c r="S734" s="42" t="inlineStr">
        <is>
          <t>無印</t>
        </is>
      </c>
      <c r="T734" s="42" t="n">
        <v>102</v>
      </c>
      <c r="U734" s="42" t="inlineStr">
        <is>
          <t>P102|無印</t>
        </is>
      </c>
      <c r="V734" s="42" t="inlineStr">
        <is>
          <t>同一価格表・前頁凡例を継承</t>
        </is>
      </c>
    </row>
    <row r="735">
      <c r="A735" s="43" t="inlineStr">
        <is>
          <t>SZ-SL-000732</t>
        </is>
      </c>
      <c r="B735" s="43" t="inlineStr">
        <is>
          <t>SER-LIX-SAMOSL</t>
        </is>
      </c>
      <c r="C735" s="43" t="inlineStr">
        <is>
          <t>WT-SL-MENKOSHI-HIKI</t>
        </is>
      </c>
      <c r="D735" s="43" t="inlineStr">
        <is>
          <t>面格子付引違い窓</t>
        </is>
      </c>
      <c r="E735" s="43" t="inlineStr">
        <is>
          <t>SP-SL-GRILLE-V</t>
        </is>
      </c>
      <c r="F735" s="43" t="inlineStr">
        <is>
          <t>在来・204</t>
        </is>
      </c>
      <c r="G735" s="43" t="inlineStr">
        <is>
          <t>11409</t>
        </is>
      </c>
      <c r="H735" s="43" t="inlineStr">
        <is>
          <t>114</t>
        </is>
      </c>
      <c r="I735" s="43" t="inlineStr">
        <is>
          <t>09</t>
        </is>
      </c>
      <c r="J735" s="222" t="n">
        <v>1185</v>
      </c>
      <c r="K735" s="222" t="n">
        <v>970</v>
      </c>
      <c r="L735" s="43" t="inlineStr">
        <is>
          <t>在来・204</t>
        </is>
      </c>
      <c r="M735" s="178" t="b">
        <v>1</v>
      </c>
      <c r="N735" s="43" t="inlineStr">
        <is>
          <t>カタログ個別可否確認済み</t>
        </is>
      </c>
      <c r="O735" s="222" t="n">
        <v>105</v>
      </c>
      <c r="P735" s="222" t="n">
        <v>103</v>
      </c>
      <c r="Q735" s="43" t="inlineStr">
        <is>
          <t>202604_LIXIL_サーモスＬ_業務用資料集_完成品価格表.pdf</t>
        </is>
      </c>
      <c r="R735" s="43" t="inlineStr">
        <is>
          <t>規格呼称は親品種で確認済み。固有仕様ごとの価格設定有無（＿＿表示等）は次QAで最終確定。</t>
        </is>
      </c>
      <c r="S735" s="42" t="inlineStr">
        <is>
          <t>無印</t>
        </is>
      </c>
      <c r="T735" s="42" t="n">
        <v>102</v>
      </c>
      <c r="U735" s="42" t="inlineStr">
        <is>
          <t>P102|無印</t>
        </is>
      </c>
      <c r="V735" s="42" t="inlineStr">
        <is>
          <t>同一価格表・前頁凡例を継承</t>
        </is>
      </c>
    </row>
    <row r="736">
      <c r="A736" s="43" t="inlineStr">
        <is>
          <t>SZ-SL-000733</t>
        </is>
      </c>
      <c r="B736" s="43" t="inlineStr">
        <is>
          <t>SER-LIX-SAMOSL</t>
        </is>
      </c>
      <c r="C736" s="43" t="inlineStr">
        <is>
          <t>WT-SL-MENKOSHI-HIKI</t>
        </is>
      </c>
      <c r="D736" s="43" t="inlineStr">
        <is>
          <t>面格子付引違い窓</t>
        </is>
      </c>
      <c r="E736" s="43" t="inlineStr">
        <is>
          <t>SP-SL-GRILLE-V</t>
        </is>
      </c>
      <c r="F736" s="43" t="inlineStr">
        <is>
          <t>在来・204</t>
        </is>
      </c>
      <c r="G736" s="43" t="inlineStr">
        <is>
          <t>11909</t>
        </is>
      </c>
      <c r="H736" s="43" t="inlineStr">
        <is>
          <t>119</t>
        </is>
      </c>
      <c r="I736" s="43" t="inlineStr">
        <is>
          <t>09</t>
        </is>
      </c>
      <c r="J736" s="222" t="n">
        <v>1235</v>
      </c>
      <c r="K736" s="222" t="n">
        <v>970</v>
      </c>
      <c r="L736" s="43" t="inlineStr">
        <is>
          <t>在来・204</t>
        </is>
      </c>
      <c r="M736" s="178" t="b">
        <v>1</v>
      </c>
      <c r="N736" s="43" t="inlineStr">
        <is>
          <t>カタログ個別可否確認済み</t>
        </is>
      </c>
      <c r="O736" s="222" t="n">
        <v>105</v>
      </c>
      <c r="P736" s="222" t="n">
        <v>103</v>
      </c>
      <c r="Q736" s="43" t="inlineStr">
        <is>
          <t>202604_LIXIL_サーモスＬ_業務用資料集_完成品価格表.pdf</t>
        </is>
      </c>
      <c r="R736" s="43" t="inlineStr">
        <is>
          <t>規格呼称は親品種で確認済み。固有仕様ごとの価格設定有無（＿＿表示等）は次QAで最終確定。</t>
        </is>
      </c>
      <c r="S736" s="42" t="inlineStr">
        <is>
          <t>無印</t>
        </is>
      </c>
      <c r="T736" s="42" t="n">
        <v>102</v>
      </c>
      <c r="U736" s="42" t="inlineStr">
        <is>
          <t>P102|無印</t>
        </is>
      </c>
      <c r="V736" s="42" t="inlineStr">
        <is>
          <t>同一価格表・前頁凡例を継承</t>
        </is>
      </c>
    </row>
    <row r="737">
      <c r="A737" s="43" t="inlineStr">
        <is>
          <t>SZ-SL-000734</t>
        </is>
      </c>
      <c r="B737" s="43" t="inlineStr">
        <is>
          <t>SER-LIX-SAMOSL</t>
        </is>
      </c>
      <c r="C737" s="43" t="inlineStr">
        <is>
          <t>WT-SL-MENKOSHI-HIKI</t>
        </is>
      </c>
      <c r="D737" s="43" t="inlineStr">
        <is>
          <t>面格子付引違い窓</t>
        </is>
      </c>
      <c r="E737" s="43" t="inlineStr">
        <is>
          <t>SP-SL-GRILLE-V</t>
        </is>
      </c>
      <c r="F737" s="43" t="inlineStr">
        <is>
          <t>在来・204</t>
        </is>
      </c>
      <c r="G737" s="43" t="inlineStr">
        <is>
          <t>12809</t>
        </is>
      </c>
      <c r="H737" s="43" t="inlineStr">
        <is>
          <t>128</t>
        </is>
      </c>
      <c r="I737" s="43" t="inlineStr">
        <is>
          <t>09</t>
        </is>
      </c>
      <c r="J737" s="222" t="n">
        <v>1320</v>
      </c>
      <c r="K737" s="222" t="n">
        <v>970</v>
      </c>
      <c r="L737" s="43" t="inlineStr">
        <is>
          <t>在来・204</t>
        </is>
      </c>
      <c r="M737" s="178" t="b">
        <v>1</v>
      </c>
      <c r="N737" s="43" t="inlineStr">
        <is>
          <t>カタログ個別可否確認済み</t>
        </is>
      </c>
      <c r="O737" s="222" t="n">
        <v>105</v>
      </c>
      <c r="P737" s="222" t="n">
        <v>103</v>
      </c>
      <c r="Q737" s="43" t="inlineStr">
        <is>
          <t>202604_LIXIL_サーモスＬ_業務用資料集_完成品価格表.pdf</t>
        </is>
      </c>
      <c r="R737" s="43" t="inlineStr">
        <is>
          <t>規格呼称は親品種で確認済み。固有仕様ごとの価格設定有無（＿＿表示等）は次QAで最終確定。</t>
        </is>
      </c>
      <c r="S737" s="42" t="inlineStr">
        <is>
          <t>無印</t>
        </is>
      </c>
      <c r="T737" s="42" t="n">
        <v>102</v>
      </c>
      <c r="U737" s="42" t="inlineStr">
        <is>
          <t>P102|無印</t>
        </is>
      </c>
      <c r="V737" s="42" t="inlineStr">
        <is>
          <t>同一価格表・前頁凡例を継承</t>
        </is>
      </c>
    </row>
    <row r="738">
      <c r="A738" s="43" t="inlineStr">
        <is>
          <t>SZ-SL-000735</t>
        </is>
      </c>
      <c r="B738" s="43" t="inlineStr">
        <is>
          <t>SER-LIX-SAMOSL</t>
        </is>
      </c>
      <c r="C738" s="43" t="inlineStr">
        <is>
          <t>WT-SL-MENKOSHI-HIKI</t>
        </is>
      </c>
      <c r="D738" s="43" t="inlineStr">
        <is>
          <t>面格子付引違い窓</t>
        </is>
      </c>
      <c r="E738" s="43" t="inlineStr">
        <is>
          <t>SP-SL-GRILLE-DIA</t>
        </is>
      </c>
      <c r="F738" s="43" t="inlineStr">
        <is>
          <t>在来・204</t>
        </is>
      </c>
      <c r="G738" s="43" t="inlineStr">
        <is>
          <t>13309</t>
        </is>
      </c>
      <c r="H738" s="43" t="inlineStr">
        <is>
          <t>133</t>
        </is>
      </c>
      <c r="I738" s="43" t="inlineStr">
        <is>
          <t>09</t>
        </is>
      </c>
      <c r="J738" s="222" t="n">
        <v>1370</v>
      </c>
      <c r="K738" s="222" t="n">
        <v>970</v>
      </c>
      <c r="L738" s="43" t="inlineStr">
        <is>
          <t>在来・204</t>
        </is>
      </c>
      <c r="M738" s="178" t="b">
        <v>1</v>
      </c>
      <c r="N738" s="43" t="inlineStr">
        <is>
          <t>カタログ個別可否確認済み</t>
        </is>
      </c>
      <c r="O738" s="222" t="n">
        <v>106</v>
      </c>
      <c r="P738" s="222" t="n">
        <v>104</v>
      </c>
      <c r="Q738" s="43" t="inlineStr">
        <is>
          <t>202604_LIXIL_サーモスＬ_業務用資料集_完成品価格表.pdf</t>
        </is>
      </c>
      <c r="R738" s="43" t="inlineStr">
        <is>
          <t>規格呼称は親品種で確認済み。固有仕様ごとの価格設定有無（＿＿表示等）は次QAで最終確定。</t>
        </is>
      </c>
      <c r="S738" s="42" t="inlineStr">
        <is>
          <t>無印</t>
        </is>
      </c>
      <c r="T738" s="42" t="n">
        <v>104</v>
      </c>
      <c r="U738" s="42" t="inlineStr">
        <is>
          <t>P104|無印</t>
        </is>
      </c>
      <c r="V738" s="42" t="inlineStr">
        <is>
          <t>同頁凡例へ直接連動</t>
        </is>
      </c>
    </row>
    <row r="739">
      <c r="A739" s="43" t="inlineStr">
        <is>
          <t>SZ-SL-000736</t>
        </is>
      </c>
      <c r="B739" s="43" t="inlineStr">
        <is>
          <t>SER-LIX-SAMOSL</t>
        </is>
      </c>
      <c r="C739" s="43" t="inlineStr">
        <is>
          <t>WT-SL-MENKOSHI-HIKI</t>
        </is>
      </c>
      <c r="D739" s="43" t="inlineStr">
        <is>
          <t>面格子付引違い窓</t>
        </is>
      </c>
      <c r="E739" s="43" t="inlineStr">
        <is>
          <t>SP-SL-GRILLE-DIA</t>
        </is>
      </c>
      <c r="F739" s="43" t="inlineStr">
        <is>
          <t>在来・204</t>
        </is>
      </c>
      <c r="G739" s="43" t="inlineStr">
        <is>
          <t>15009</t>
        </is>
      </c>
      <c r="H739" s="43" t="inlineStr">
        <is>
          <t>150</t>
        </is>
      </c>
      <c r="I739" s="43" t="inlineStr">
        <is>
          <t>09</t>
        </is>
      </c>
      <c r="J739" s="222" t="n">
        <v>1540</v>
      </c>
      <c r="K739" s="222" t="n">
        <v>970</v>
      </c>
      <c r="L739" s="43" t="inlineStr">
        <is>
          <t>在来・204</t>
        </is>
      </c>
      <c r="M739" s="178" t="b">
        <v>1</v>
      </c>
      <c r="N739" s="43" t="inlineStr">
        <is>
          <t>カタログ個別可否確認済み</t>
        </is>
      </c>
      <c r="O739" s="222" t="n">
        <v>106</v>
      </c>
      <c r="P739" s="222" t="n">
        <v>104</v>
      </c>
      <c r="Q739" s="43" t="inlineStr">
        <is>
          <t>202604_LIXIL_サーモスＬ_業務用資料集_完成品価格表.pdf</t>
        </is>
      </c>
      <c r="R739" s="43" t="inlineStr">
        <is>
          <t>規格呼称は親品種で確認済み。固有仕様ごとの価格設定有無（＿＿表示等）は次QAで最終確定。</t>
        </is>
      </c>
      <c r="S739" s="42" t="inlineStr">
        <is>
          <t>無印</t>
        </is>
      </c>
      <c r="T739" s="42" t="n">
        <v>104</v>
      </c>
      <c r="U739" s="42" t="inlineStr">
        <is>
          <t>P104|無印</t>
        </is>
      </c>
      <c r="V739" s="42" t="inlineStr">
        <is>
          <t>同頁凡例へ直接連動</t>
        </is>
      </c>
    </row>
    <row r="740">
      <c r="A740" s="43" t="inlineStr">
        <is>
          <t>SZ-SL-000737</t>
        </is>
      </c>
      <c r="B740" s="43" t="inlineStr">
        <is>
          <t>SER-LIX-SAMOSL</t>
        </is>
      </c>
      <c r="C740" s="43" t="inlineStr">
        <is>
          <t>WT-SL-MENKOSHI-HIKI</t>
        </is>
      </c>
      <c r="D740" s="43" t="inlineStr">
        <is>
          <t>面格子付引違い窓</t>
        </is>
      </c>
      <c r="E740" s="43" t="inlineStr">
        <is>
          <t>SP-SL-GRILLE-DIA</t>
        </is>
      </c>
      <c r="F740" s="43" t="inlineStr">
        <is>
          <t>在来・204</t>
        </is>
      </c>
      <c r="G740" s="43" t="inlineStr">
        <is>
          <t>16009</t>
        </is>
      </c>
      <c r="H740" s="43" t="inlineStr">
        <is>
          <t>160</t>
        </is>
      </c>
      <c r="I740" s="43" t="inlineStr">
        <is>
          <t>09</t>
        </is>
      </c>
      <c r="J740" s="222" t="n">
        <v>1640</v>
      </c>
      <c r="K740" s="222" t="n">
        <v>970</v>
      </c>
      <c r="L740" s="43" t="inlineStr">
        <is>
          <t>在来・204</t>
        </is>
      </c>
      <c r="M740" s="178" t="b">
        <v>1</v>
      </c>
      <c r="N740" s="43" t="inlineStr">
        <is>
          <t>カタログ個別可否確認済み</t>
        </is>
      </c>
      <c r="O740" s="222" t="n">
        <v>106</v>
      </c>
      <c r="P740" s="222" t="n">
        <v>104</v>
      </c>
      <c r="Q740" s="43" t="inlineStr">
        <is>
          <t>202604_LIXIL_サーモスＬ_業務用資料集_完成品価格表.pdf</t>
        </is>
      </c>
      <c r="R740" s="43" t="inlineStr">
        <is>
          <t>規格呼称は親品種で確認済み。固有仕様ごとの価格設定有無（＿＿表示等）は次QAで最終確定。</t>
        </is>
      </c>
      <c r="S740" s="42" t="inlineStr">
        <is>
          <t>無印</t>
        </is>
      </c>
      <c r="T740" s="42" t="n">
        <v>104</v>
      </c>
      <c r="U740" s="42" t="inlineStr">
        <is>
          <t>P104|無印</t>
        </is>
      </c>
      <c r="V740" s="42" t="inlineStr">
        <is>
          <t>同頁凡例へ直接連動</t>
        </is>
      </c>
    </row>
    <row r="741">
      <c r="A741" s="43" t="inlineStr">
        <is>
          <t>SZ-SL-000738</t>
        </is>
      </c>
      <c r="B741" s="43" t="inlineStr">
        <is>
          <t>SER-LIX-SAMOSL</t>
        </is>
      </c>
      <c r="C741" s="43" t="inlineStr">
        <is>
          <t>WT-SL-MENKOSHI-HIKI</t>
        </is>
      </c>
      <c r="D741" s="43" t="inlineStr">
        <is>
          <t>面格子付引違い窓</t>
        </is>
      </c>
      <c r="E741" s="43" t="inlineStr">
        <is>
          <t>SP-SL-GRILLE-DIA</t>
        </is>
      </c>
      <c r="F741" s="43" t="inlineStr">
        <is>
          <t>在来・204</t>
        </is>
      </c>
      <c r="G741" s="43" t="inlineStr">
        <is>
          <t>16509</t>
        </is>
      </c>
      <c r="H741" s="43" t="inlineStr">
        <is>
          <t>165</t>
        </is>
      </c>
      <c r="I741" s="43" t="inlineStr">
        <is>
          <t>09</t>
        </is>
      </c>
      <c r="J741" s="222" t="n">
        <v>1690</v>
      </c>
      <c r="K741" s="222" t="n">
        <v>970</v>
      </c>
      <c r="L741" s="43" t="inlineStr">
        <is>
          <t>在来・204</t>
        </is>
      </c>
      <c r="M741" s="178" t="b">
        <v>1</v>
      </c>
      <c r="N741" s="43" t="inlineStr">
        <is>
          <t>カタログ個別可否確認済み</t>
        </is>
      </c>
      <c r="O741" s="222" t="n">
        <v>106</v>
      </c>
      <c r="P741" s="222" t="n">
        <v>104</v>
      </c>
      <c r="Q741" s="43" t="inlineStr">
        <is>
          <t>202604_LIXIL_サーモスＬ_業務用資料集_完成品価格表.pdf</t>
        </is>
      </c>
      <c r="R741" s="43" t="inlineStr">
        <is>
          <t>規格呼称は親品種で確認済み。固有仕様ごとの価格設定有無（＿＿表示等）は次QAで最終確定。</t>
        </is>
      </c>
      <c r="S741" s="42" t="inlineStr">
        <is>
          <t>無印</t>
        </is>
      </c>
      <c r="T741" s="42" t="n">
        <v>104</v>
      </c>
      <c r="U741" s="42" t="inlineStr">
        <is>
          <t>P104|無印</t>
        </is>
      </c>
      <c r="V741" s="42" t="inlineStr">
        <is>
          <t>同頁凡例へ直接連動</t>
        </is>
      </c>
    </row>
    <row r="742">
      <c r="A742" s="43" t="inlineStr">
        <is>
          <t>SZ-SL-000739</t>
        </is>
      </c>
      <c r="B742" s="43" t="inlineStr">
        <is>
          <t>SER-LIX-SAMOSL</t>
        </is>
      </c>
      <c r="C742" s="43" t="inlineStr">
        <is>
          <t>WT-SL-MENKOSHI-HIKI</t>
        </is>
      </c>
      <c r="D742" s="43" t="inlineStr">
        <is>
          <t>面格子付引違い窓</t>
        </is>
      </c>
      <c r="E742" s="43" t="inlineStr">
        <is>
          <t>SP-SL-GRILLE-H</t>
        </is>
      </c>
      <c r="F742" s="43" t="inlineStr">
        <is>
          <t>在来・204</t>
        </is>
      </c>
      <c r="G742" s="43" t="inlineStr">
        <is>
          <t>13309</t>
        </is>
      </c>
      <c r="H742" s="43" t="inlineStr">
        <is>
          <t>133</t>
        </is>
      </c>
      <c r="I742" s="43" t="inlineStr">
        <is>
          <t>09</t>
        </is>
      </c>
      <c r="J742" s="222" t="n">
        <v>1370</v>
      </c>
      <c r="K742" s="222" t="n">
        <v>970</v>
      </c>
      <c r="L742" s="43" t="inlineStr">
        <is>
          <t>在来・204</t>
        </is>
      </c>
      <c r="M742" s="178" t="b">
        <v>1</v>
      </c>
      <c r="N742" s="43" t="inlineStr">
        <is>
          <t>カタログ個別可否確認済み</t>
        </is>
      </c>
      <c r="O742" s="222" t="n">
        <v>106</v>
      </c>
      <c r="P742" s="222" t="n">
        <v>104</v>
      </c>
      <c r="Q742" s="43" t="inlineStr">
        <is>
          <t>202604_LIXIL_サーモスＬ_業務用資料集_完成品価格表.pdf</t>
        </is>
      </c>
      <c r="R742" s="43" t="inlineStr">
        <is>
          <t>規格呼称は親品種で確認済み。固有仕様ごとの価格設定有無（＿＿表示等）は次QAで最終確定。</t>
        </is>
      </c>
      <c r="S742" s="42" t="inlineStr">
        <is>
          <t>無印</t>
        </is>
      </c>
      <c r="T742" s="42" t="n">
        <v>104</v>
      </c>
      <c r="U742" s="42" t="inlineStr">
        <is>
          <t>P104|無印</t>
        </is>
      </c>
      <c r="V742" s="42" t="inlineStr">
        <is>
          <t>同頁凡例へ直接連動</t>
        </is>
      </c>
    </row>
    <row r="743">
      <c r="A743" s="43" t="inlineStr">
        <is>
          <t>SZ-SL-000740</t>
        </is>
      </c>
      <c r="B743" s="43" t="inlineStr">
        <is>
          <t>SER-LIX-SAMOSL</t>
        </is>
      </c>
      <c r="C743" s="43" t="inlineStr">
        <is>
          <t>WT-SL-MENKOSHI-HIKI</t>
        </is>
      </c>
      <c r="D743" s="43" t="inlineStr">
        <is>
          <t>面格子付引違い窓</t>
        </is>
      </c>
      <c r="E743" s="43" t="inlineStr">
        <is>
          <t>SP-SL-GRILLE-H</t>
        </is>
      </c>
      <c r="F743" s="43" t="inlineStr">
        <is>
          <t>在来・204</t>
        </is>
      </c>
      <c r="G743" s="43" t="inlineStr">
        <is>
          <t>15009</t>
        </is>
      </c>
      <c r="H743" s="43" t="inlineStr">
        <is>
          <t>150</t>
        </is>
      </c>
      <c r="I743" s="43" t="inlineStr">
        <is>
          <t>09</t>
        </is>
      </c>
      <c r="J743" s="222" t="n">
        <v>1540</v>
      </c>
      <c r="K743" s="222" t="n">
        <v>970</v>
      </c>
      <c r="L743" s="43" t="inlineStr">
        <is>
          <t>在来・204</t>
        </is>
      </c>
      <c r="M743" s="178" t="b">
        <v>0</v>
      </c>
      <c r="N743" s="43" t="inlineStr">
        <is>
          <t>設定なし（価格表確認済み）</t>
        </is>
      </c>
      <c r="O743" s="222" t="n">
        <v>106</v>
      </c>
      <c r="P743" s="222" t="n">
        <v>104</v>
      </c>
      <c r="Q743" s="43" t="inlineStr">
        <is>
          <t>202604_LIXIL_サーモスＬ_業務用資料集_完成品価格表.pdf</t>
        </is>
      </c>
      <c r="R743" s="43" t="inlineStr">
        <is>
          <t>規格呼称は親品種で確認済み。固有仕様ごとの価格設定有無（＿＿表示等）は次QAで最終確定。</t>
        </is>
      </c>
      <c r="S743" s="42" t="inlineStr">
        <is>
          <t>無印</t>
        </is>
      </c>
      <c r="T743" s="42" t="n">
        <v>104</v>
      </c>
      <c r="U743" s="42" t="inlineStr">
        <is>
          <t>P104|無印</t>
        </is>
      </c>
      <c r="V743" s="42" t="inlineStr">
        <is>
          <t>同頁凡例へ直接連動</t>
        </is>
      </c>
    </row>
    <row r="744">
      <c r="A744" s="43" t="inlineStr">
        <is>
          <t>SZ-SL-000741</t>
        </is>
      </c>
      <c r="B744" s="43" t="inlineStr">
        <is>
          <t>SER-LIX-SAMOSL</t>
        </is>
      </c>
      <c r="C744" s="43" t="inlineStr">
        <is>
          <t>WT-SL-MENKOSHI-HIKI</t>
        </is>
      </c>
      <c r="D744" s="43" t="inlineStr">
        <is>
          <t>面格子付引違い窓</t>
        </is>
      </c>
      <c r="E744" s="43" t="inlineStr">
        <is>
          <t>SP-SL-GRILLE-H</t>
        </is>
      </c>
      <c r="F744" s="43" t="inlineStr">
        <is>
          <t>在来・204</t>
        </is>
      </c>
      <c r="G744" s="43" t="inlineStr">
        <is>
          <t>16009</t>
        </is>
      </c>
      <c r="H744" s="43" t="inlineStr">
        <is>
          <t>160</t>
        </is>
      </c>
      <c r="I744" s="43" t="inlineStr">
        <is>
          <t>09</t>
        </is>
      </c>
      <c r="J744" s="222" t="n">
        <v>1640</v>
      </c>
      <c r="K744" s="222" t="n">
        <v>970</v>
      </c>
      <c r="L744" s="43" t="inlineStr">
        <is>
          <t>在来・204</t>
        </is>
      </c>
      <c r="M744" s="178" t="b">
        <v>0</v>
      </c>
      <c r="N744" s="43" t="inlineStr">
        <is>
          <t>設定なし（価格表確認済み）</t>
        </is>
      </c>
      <c r="O744" s="222" t="n">
        <v>106</v>
      </c>
      <c r="P744" s="222" t="n">
        <v>104</v>
      </c>
      <c r="Q744" s="43" t="inlineStr">
        <is>
          <t>202604_LIXIL_サーモスＬ_業務用資料集_完成品価格表.pdf</t>
        </is>
      </c>
      <c r="R744" s="43" t="inlineStr">
        <is>
          <t>規格呼称は親品種で確認済み。固有仕様ごとの価格設定有無（＿＿表示等）は次QAで最終確定。</t>
        </is>
      </c>
      <c r="S744" s="42" t="inlineStr">
        <is>
          <t>無印</t>
        </is>
      </c>
      <c r="T744" s="42" t="n">
        <v>104</v>
      </c>
      <c r="U744" s="42" t="inlineStr">
        <is>
          <t>P104|無印</t>
        </is>
      </c>
      <c r="V744" s="42" t="inlineStr">
        <is>
          <t>同頁凡例へ直接連動</t>
        </is>
      </c>
    </row>
    <row r="745">
      <c r="A745" s="43" t="inlineStr">
        <is>
          <t>SZ-SL-000742</t>
        </is>
      </c>
      <c r="B745" s="43" t="inlineStr">
        <is>
          <t>SER-LIX-SAMOSL</t>
        </is>
      </c>
      <c r="C745" s="43" t="inlineStr">
        <is>
          <t>WT-SL-MENKOSHI-HIKI</t>
        </is>
      </c>
      <c r="D745" s="43" t="inlineStr">
        <is>
          <t>面格子付引違い窓</t>
        </is>
      </c>
      <c r="E745" s="43" t="inlineStr">
        <is>
          <t>SP-SL-GRILLE-H</t>
        </is>
      </c>
      <c r="F745" s="43" t="inlineStr">
        <is>
          <t>在来・204</t>
        </is>
      </c>
      <c r="G745" s="43" t="inlineStr">
        <is>
          <t>16509</t>
        </is>
      </c>
      <c r="H745" s="43" t="inlineStr">
        <is>
          <t>165</t>
        </is>
      </c>
      <c r="I745" s="43" t="inlineStr">
        <is>
          <t>09</t>
        </is>
      </c>
      <c r="J745" s="222" t="n">
        <v>1690</v>
      </c>
      <c r="K745" s="222" t="n">
        <v>970</v>
      </c>
      <c r="L745" s="43" t="inlineStr">
        <is>
          <t>在来・204</t>
        </is>
      </c>
      <c r="M745" s="178" t="b">
        <v>0</v>
      </c>
      <c r="N745" s="43" t="inlineStr">
        <is>
          <t>設定なし（価格表確認済み）</t>
        </is>
      </c>
      <c r="O745" s="222" t="n">
        <v>106</v>
      </c>
      <c r="P745" s="222" t="n">
        <v>104</v>
      </c>
      <c r="Q745" s="43" t="inlineStr">
        <is>
          <t>202604_LIXIL_サーモスＬ_業務用資料集_完成品価格表.pdf</t>
        </is>
      </c>
      <c r="R745" s="43" t="inlineStr">
        <is>
          <t>規格呼称は親品種で確認済み。固有仕様ごとの価格設定有無（＿＿表示等）は次QAで最終確定。</t>
        </is>
      </c>
      <c r="S745" s="42" t="inlineStr">
        <is>
          <t>無印</t>
        </is>
      </c>
      <c r="T745" s="42" t="n">
        <v>104</v>
      </c>
      <c r="U745" s="42" t="inlineStr">
        <is>
          <t>P104|無印</t>
        </is>
      </c>
      <c r="V745" s="42" t="inlineStr">
        <is>
          <t>同頁凡例へ直接連動</t>
        </is>
      </c>
    </row>
    <row r="746">
      <c r="A746" s="43" t="inlineStr">
        <is>
          <t>SZ-SL-000743</t>
        </is>
      </c>
      <c r="B746" s="43" t="inlineStr">
        <is>
          <t>SER-LIX-SAMOSL</t>
        </is>
      </c>
      <c r="C746" s="43" t="inlineStr">
        <is>
          <t>WT-SL-MENKOSHI-HIKI</t>
        </is>
      </c>
      <c r="D746" s="43" t="inlineStr">
        <is>
          <t>面格子付引違い窓</t>
        </is>
      </c>
      <c r="E746" s="43" t="inlineStr">
        <is>
          <t>SP-SL-GRILLE-IGETA</t>
        </is>
      </c>
      <c r="F746" s="43" t="inlineStr">
        <is>
          <t>在来・204</t>
        </is>
      </c>
      <c r="G746" s="43" t="inlineStr">
        <is>
          <t>13309</t>
        </is>
      </c>
      <c r="H746" s="43" t="inlineStr">
        <is>
          <t>133</t>
        </is>
      </c>
      <c r="I746" s="43" t="inlineStr">
        <is>
          <t>09</t>
        </is>
      </c>
      <c r="J746" s="222" t="n">
        <v>1370</v>
      </c>
      <c r="K746" s="222" t="n">
        <v>970</v>
      </c>
      <c r="L746" s="43" t="inlineStr">
        <is>
          <t>在来・204</t>
        </is>
      </c>
      <c r="M746" s="178" t="b">
        <v>1</v>
      </c>
      <c r="N746" s="43" t="inlineStr">
        <is>
          <t>カタログ個別可否確認済み</t>
        </is>
      </c>
      <c r="O746" s="222" t="n">
        <v>106</v>
      </c>
      <c r="P746" s="222" t="n">
        <v>104</v>
      </c>
      <c r="Q746" s="43" t="inlineStr">
        <is>
          <t>202604_LIXIL_サーモスＬ_業務用資料集_完成品価格表.pdf</t>
        </is>
      </c>
      <c r="R746" s="43" t="inlineStr">
        <is>
          <t>規格呼称は親品種で確認済み。固有仕様ごとの価格設定有無（＿＿表示等）は次QAで最終確定。</t>
        </is>
      </c>
      <c r="S746" s="42" t="inlineStr">
        <is>
          <t>無印</t>
        </is>
      </c>
      <c r="T746" s="42" t="n">
        <v>104</v>
      </c>
      <c r="U746" s="42" t="inlineStr">
        <is>
          <t>P104|無印</t>
        </is>
      </c>
      <c r="V746" s="42" t="inlineStr">
        <is>
          <t>同頁凡例へ直接連動</t>
        </is>
      </c>
    </row>
    <row r="747">
      <c r="A747" s="43" t="inlineStr">
        <is>
          <t>SZ-SL-000744</t>
        </is>
      </c>
      <c r="B747" s="43" t="inlineStr">
        <is>
          <t>SER-LIX-SAMOSL</t>
        </is>
      </c>
      <c r="C747" s="43" t="inlineStr">
        <is>
          <t>WT-SL-MENKOSHI-HIKI</t>
        </is>
      </c>
      <c r="D747" s="43" t="inlineStr">
        <is>
          <t>面格子付引違い窓</t>
        </is>
      </c>
      <c r="E747" s="43" t="inlineStr">
        <is>
          <t>SP-SL-GRILLE-IGETA</t>
        </is>
      </c>
      <c r="F747" s="43" t="inlineStr">
        <is>
          <t>在来・204</t>
        </is>
      </c>
      <c r="G747" s="43" t="inlineStr">
        <is>
          <t>15009</t>
        </is>
      </c>
      <c r="H747" s="43" t="inlineStr">
        <is>
          <t>150</t>
        </is>
      </c>
      <c r="I747" s="43" t="inlineStr">
        <is>
          <t>09</t>
        </is>
      </c>
      <c r="J747" s="222" t="n">
        <v>1540</v>
      </c>
      <c r="K747" s="222" t="n">
        <v>970</v>
      </c>
      <c r="L747" s="43" t="inlineStr">
        <is>
          <t>在来・204</t>
        </is>
      </c>
      <c r="M747" s="178" t="b">
        <v>1</v>
      </c>
      <c r="N747" s="43" t="inlineStr">
        <is>
          <t>カタログ個別可否確認済み</t>
        </is>
      </c>
      <c r="O747" s="222" t="n">
        <v>106</v>
      </c>
      <c r="P747" s="222" t="n">
        <v>104</v>
      </c>
      <c r="Q747" s="43" t="inlineStr">
        <is>
          <t>202604_LIXIL_サーモスＬ_業務用資料集_完成品価格表.pdf</t>
        </is>
      </c>
      <c r="R747" s="43" t="inlineStr">
        <is>
          <t>規格呼称は親品種で確認済み。固有仕様ごとの価格設定有無（＿＿表示等）は次QAで最終確定。</t>
        </is>
      </c>
      <c r="S747" s="42" t="inlineStr">
        <is>
          <t>無印</t>
        </is>
      </c>
      <c r="T747" s="42" t="n">
        <v>104</v>
      </c>
      <c r="U747" s="42" t="inlineStr">
        <is>
          <t>P104|無印</t>
        </is>
      </c>
      <c r="V747" s="42" t="inlineStr">
        <is>
          <t>同頁凡例へ直接連動</t>
        </is>
      </c>
    </row>
    <row r="748">
      <c r="A748" s="43" t="inlineStr">
        <is>
          <t>SZ-SL-000745</t>
        </is>
      </c>
      <c r="B748" s="43" t="inlineStr">
        <is>
          <t>SER-LIX-SAMOSL</t>
        </is>
      </c>
      <c r="C748" s="43" t="inlineStr">
        <is>
          <t>WT-SL-MENKOSHI-HIKI</t>
        </is>
      </c>
      <c r="D748" s="43" t="inlineStr">
        <is>
          <t>面格子付引違い窓</t>
        </is>
      </c>
      <c r="E748" s="43" t="inlineStr">
        <is>
          <t>SP-SL-GRILLE-IGETA</t>
        </is>
      </c>
      <c r="F748" s="43" t="inlineStr">
        <is>
          <t>在来・204</t>
        </is>
      </c>
      <c r="G748" s="43" t="inlineStr">
        <is>
          <t>16009</t>
        </is>
      </c>
      <c r="H748" s="43" t="inlineStr">
        <is>
          <t>160</t>
        </is>
      </c>
      <c r="I748" s="43" t="inlineStr">
        <is>
          <t>09</t>
        </is>
      </c>
      <c r="J748" s="222" t="n">
        <v>1640</v>
      </c>
      <c r="K748" s="222" t="n">
        <v>970</v>
      </c>
      <c r="L748" s="43" t="inlineStr">
        <is>
          <t>在来・204</t>
        </is>
      </c>
      <c r="M748" s="178" t="b">
        <v>1</v>
      </c>
      <c r="N748" s="43" t="inlineStr">
        <is>
          <t>カタログ個別可否確認済み</t>
        </is>
      </c>
      <c r="O748" s="222" t="n">
        <v>106</v>
      </c>
      <c r="P748" s="222" t="n">
        <v>104</v>
      </c>
      <c r="Q748" s="43" t="inlineStr">
        <is>
          <t>202604_LIXIL_サーモスＬ_業務用資料集_完成品価格表.pdf</t>
        </is>
      </c>
      <c r="R748" s="43" t="inlineStr">
        <is>
          <t>規格呼称は親品種で確認済み。固有仕様ごとの価格設定有無（＿＿表示等）は次QAで最終確定。</t>
        </is>
      </c>
      <c r="S748" s="42" t="inlineStr">
        <is>
          <t>無印</t>
        </is>
      </c>
      <c r="T748" s="42" t="n">
        <v>104</v>
      </c>
      <c r="U748" s="42" t="inlineStr">
        <is>
          <t>P104|無印</t>
        </is>
      </c>
      <c r="V748" s="42" t="inlineStr">
        <is>
          <t>同頁凡例へ直接連動</t>
        </is>
      </c>
    </row>
    <row r="749">
      <c r="A749" s="43" t="inlineStr">
        <is>
          <t>SZ-SL-000746</t>
        </is>
      </c>
      <c r="B749" s="43" t="inlineStr">
        <is>
          <t>SER-LIX-SAMOSL</t>
        </is>
      </c>
      <c r="C749" s="43" t="inlineStr">
        <is>
          <t>WT-SL-MENKOSHI-HIKI</t>
        </is>
      </c>
      <c r="D749" s="43" t="inlineStr">
        <is>
          <t>面格子付引違い窓</t>
        </is>
      </c>
      <c r="E749" s="43" t="inlineStr">
        <is>
          <t>SP-SL-GRILLE-IGETA</t>
        </is>
      </c>
      <c r="F749" s="43" t="inlineStr">
        <is>
          <t>在来・204</t>
        </is>
      </c>
      <c r="G749" s="43" t="inlineStr">
        <is>
          <t>16509</t>
        </is>
      </c>
      <c r="H749" s="43" t="inlineStr">
        <is>
          <t>165</t>
        </is>
      </c>
      <c r="I749" s="43" t="inlineStr">
        <is>
          <t>09</t>
        </is>
      </c>
      <c r="J749" s="222" t="n">
        <v>1690</v>
      </c>
      <c r="K749" s="222" t="n">
        <v>970</v>
      </c>
      <c r="L749" s="43" t="inlineStr">
        <is>
          <t>在来・204</t>
        </is>
      </c>
      <c r="M749" s="178" t="b">
        <v>1</v>
      </c>
      <c r="N749" s="43" t="inlineStr">
        <is>
          <t>カタログ個別可否確認済み</t>
        </is>
      </c>
      <c r="O749" s="222" t="n">
        <v>106</v>
      </c>
      <c r="P749" s="222" t="n">
        <v>104</v>
      </c>
      <c r="Q749" s="43" t="inlineStr">
        <is>
          <t>202604_LIXIL_サーモスＬ_業務用資料集_完成品価格表.pdf</t>
        </is>
      </c>
      <c r="R749" s="43" t="inlineStr">
        <is>
          <t>規格呼称は親品種で確認済み。固有仕様ごとの価格設定有無（＿＿表示等）は次QAで最終確定。</t>
        </is>
      </c>
      <c r="S749" s="42" t="inlineStr">
        <is>
          <t>無印</t>
        </is>
      </c>
      <c r="T749" s="42" t="n">
        <v>104</v>
      </c>
      <c r="U749" s="42" t="inlineStr">
        <is>
          <t>P104|無印</t>
        </is>
      </c>
      <c r="V749" s="42" t="inlineStr">
        <is>
          <t>同頁凡例へ直接連動</t>
        </is>
      </c>
    </row>
    <row r="750">
      <c r="A750" s="43" t="inlineStr">
        <is>
          <t>SZ-SL-000747</t>
        </is>
      </c>
      <c r="B750" s="43" t="inlineStr">
        <is>
          <t>SER-LIX-SAMOSL</t>
        </is>
      </c>
      <c r="C750" s="43" t="inlineStr">
        <is>
          <t>WT-SL-MENKOSHI-HIKI</t>
        </is>
      </c>
      <c r="D750" s="43" t="inlineStr">
        <is>
          <t>面格子付引違い窓</t>
        </is>
      </c>
      <c r="E750" s="43" t="inlineStr">
        <is>
          <t>SP-SL-GRILLE-V</t>
        </is>
      </c>
      <c r="F750" s="43" t="inlineStr">
        <is>
          <t>在来・204</t>
        </is>
      </c>
      <c r="G750" s="43" t="inlineStr">
        <is>
          <t>13309</t>
        </is>
      </c>
      <c r="H750" s="43" t="inlineStr">
        <is>
          <t>133</t>
        </is>
      </c>
      <c r="I750" s="43" t="inlineStr">
        <is>
          <t>09</t>
        </is>
      </c>
      <c r="J750" s="222" t="n">
        <v>1370</v>
      </c>
      <c r="K750" s="222" t="n">
        <v>970</v>
      </c>
      <c r="L750" s="43" t="inlineStr">
        <is>
          <t>在来・204</t>
        </is>
      </c>
      <c r="M750" s="178" t="b">
        <v>1</v>
      </c>
      <c r="N750" s="43" t="inlineStr">
        <is>
          <t>カタログ個別可否確認済み</t>
        </is>
      </c>
      <c r="O750" s="222" t="n">
        <v>106</v>
      </c>
      <c r="P750" s="222" t="n">
        <v>104</v>
      </c>
      <c r="Q750" s="43" t="inlineStr">
        <is>
          <t>202604_LIXIL_サーモスＬ_業務用資料集_完成品価格表.pdf</t>
        </is>
      </c>
      <c r="R750" s="43" t="inlineStr">
        <is>
          <t>規格呼称は親品種で確認済み。固有仕様ごとの価格設定有無（＿＿表示等）は次QAで最終確定。</t>
        </is>
      </c>
      <c r="S750" s="42" t="inlineStr">
        <is>
          <t>無印</t>
        </is>
      </c>
      <c r="T750" s="42" t="n">
        <v>104</v>
      </c>
      <c r="U750" s="42" t="inlineStr">
        <is>
          <t>P104|無印</t>
        </is>
      </c>
      <c r="V750" s="42" t="inlineStr">
        <is>
          <t>同頁凡例へ直接連動</t>
        </is>
      </c>
    </row>
    <row r="751">
      <c r="A751" s="43" t="inlineStr">
        <is>
          <t>SZ-SL-000748</t>
        </is>
      </c>
      <c r="B751" s="43" t="inlineStr">
        <is>
          <t>SER-LIX-SAMOSL</t>
        </is>
      </c>
      <c r="C751" s="43" t="inlineStr">
        <is>
          <t>WT-SL-MENKOSHI-HIKI</t>
        </is>
      </c>
      <c r="D751" s="43" t="inlineStr">
        <is>
          <t>面格子付引違い窓</t>
        </is>
      </c>
      <c r="E751" s="43" t="inlineStr">
        <is>
          <t>SP-SL-GRILLE-V</t>
        </is>
      </c>
      <c r="F751" s="43" t="inlineStr">
        <is>
          <t>在来・204</t>
        </is>
      </c>
      <c r="G751" s="43" t="inlineStr">
        <is>
          <t>15009</t>
        </is>
      </c>
      <c r="H751" s="43" t="inlineStr">
        <is>
          <t>150</t>
        </is>
      </c>
      <c r="I751" s="43" t="inlineStr">
        <is>
          <t>09</t>
        </is>
      </c>
      <c r="J751" s="222" t="n">
        <v>1540</v>
      </c>
      <c r="K751" s="222" t="n">
        <v>970</v>
      </c>
      <c r="L751" s="43" t="inlineStr">
        <is>
          <t>在来・204</t>
        </is>
      </c>
      <c r="M751" s="178" t="b">
        <v>1</v>
      </c>
      <c r="N751" s="43" t="inlineStr">
        <is>
          <t>カタログ個別可否確認済み</t>
        </is>
      </c>
      <c r="O751" s="222" t="n">
        <v>106</v>
      </c>
      <c r="P751" s="222" t="n">
        <v>104</v>
      </c>
      <c r="Q751" s="43" t="inlineStr">
        <is>
          <t>202604_LIXIL_サーモスＬ_業務用資料集_完成品価格表.pdf</t>
        </is>
      </c>
      <c r="R751" s="43" t="inlineStr">
        <is>
          <t>規格呼称は親品種で確認済み。固有仕様ごとの価格設定有無（＿＿表示等）は次QAで最終確定。</t>
        </is>
      </c>
      <c r="S751" s="42" t="inlineStr">
        <is>
          <t>無印</t>
        </is>
      </c>
      <c r="T751" s="42" t="n">
        <v>104</v>
      </c>
      <c r="U751" s="42" t="inlineStr">
        <is>
          <t>P104|無印</t>
        </is>
      </c>
      <c r="V751" s="42" t="inlineStr">
        <is>
          <t>同頁凡例へ直接連動</t>
        </is>
      </c>
    </row>
    <row r="752">
      <c r="A752" s="43" t="inlineStr">
        <is>
          <t>SZ-SL-000749</t>
        </is>
      </c>
      <c r="B752" s="43" t="inlineStr">
        <is>
          <t>SER-LIX-SAMOSL</t>
        </is>
      </c>
      <c r="C752" s="43" t="inlineStr">
        <is>
          <t>WT-SL-MENKOSHI-HIKI</t>
        </is>
      </c>
      <c r="D752" s="43" t="inlineStr">
        <is>
          <t>面格子付引違い窓</t>
        </is>
      </c>
      <c r="E752" s="43" t="inlineStr">
        <is>
          <t>SP-SL-GRILLE-V</t>
        </is>
      </c>
      <c r="F752" s="43" t="inlineStr">
        <is>
          <t>在来・204</t>
        </is>
      </c>
      <c r="G752" s="43" t="inlineStr">
        <is>
          <t>16009</t>
        </is>
      </c>
      <c r="H752" s="43" t="inlineStr">
        <is>
          <t>160</t>
        </is>
      </c>
      <c r="I752" s="43" t="inlineStr">
        <is>
          <t>09</t>
        </is>
      </c>
      <c r="J752" s="222" t="n">
        <v>1640</v>
      </c>
      <c r="K752" s="222" t="n">
        <v>970</v>
      </c>
      <c r="L752" s="43" t="inlineStr">
        <is>
          <t>在来・204</t>
        </is>
      </c>
      <c r="M752" s="178" t="b">
        <v>1</v>
      </c>
      <c r="N752" s="43" t="inlineStr">
        <is>
          <t>カタログ個別可否確認済み</t>
        </is>
      </c>
      <c r="O752" s="222" t="n">
        <v>106</v>
      </c>
      <c r="P752" s="222" t="n">
        <v>104</v>
      </c>
      <c r="Q752" s="43" t="inlineStr">
        <is>
          <t>202604_LIXIL_サーモスＬ_業務用資料集_完成品価格表.pdf</t>
        </is>
      </c>
      <c r="R752" s="43" t="inlineStr">
        <is>
          <t>規格呼称は親品種で確認済み。固有仕様ごとの価格設定有無（＿＿表示等）は次QAで最終確定。</t>
        </is>
      </c>
      <c r="S752" s="42" t="inlineStr">
        <is>
          <t>無印</t>
        </is>
      </c>
      <c r="T752" s="42" t="n">
        <v>104</v>
      </c>
      <c r="U752" s="42" t="inlineStr">
        <is>
          <t>P104|無印</t>
        </is>
      </c>
      <c r="V752" s="42" t="inlineStr">
        <is>
          <t>同頁凡例へ直接連動</t>
        </is>
      </c>
    </row>
    <row r="753">
      <c r="A753" s="43" t="inlineStr">
        <is>
          <t>SZ-SL-000750</t>
        </is>
      </c>
      <c r="B753" s="43" t="inlineStr">
        <is>
          <t>SER-LIX-SAMOSL</t>
        </is>
      </c>
      <c r="C753" s="43" t="inlineStr">
        <is>
          <t>WT-SL-MENKOSHI-HIKI</t>
        </is>
      </c>
      <c r="D753" s="43" t="inlineStr">
        <is>
          <t>面格子付引違い窓</t>
        </is>
      </c>
      <c r="E753" s="43" t="inlineStr">
        <is>
          <t>SP-SL-GRILLE-V</t>
        </is>
      </c>
      <c r="F753" s="43" t="inlineStr">
        <is>
          <t>在来・204</t>
        </is>
      </c>
      <c r="G753" s="43" t="inlineStr">
        <is>
          <t>16509</t>
        </is>
      </c>
      <c r="H753" s="43" t="inlineStr">
        <is>
          <t>165</t>
        </is>
      </c>
      <c r="I753" s="43" t="inlineStr">
        <is>
          <t>09</t>
        </is>
      </c>
      <c r="J753" s="222" t="n">
        <v>1690</v>
      </c>
      <c r="K753" s="222" t="n">
        <v>970</v>
      </c>
      <c r="L753" s="43" t="inlineStr">
        <is>
          <t>在来・204</t>
        </is>
      </c>
      <c r="M753" s="178" t="b">
        <v>1</v>
      </c>
      <c r="N753" s="43" t="inlineStr">
        <is>
          <t>カタログ個別可否確認済み</t>
        </is>
      </c>
      <c r="O753" s="222" t="n">
        <v>106</v>
      </c>
      <c r="P753" s="222" t="n">
        <v>104</v>
      </c>
      <c r="Q753" s="43" t="inlineStr">
        <is>
          <t>202604_LIXIL_サーモスＬ_業務用資料集_完成品価格表.pdf</t>
        </is>
      </c>
      <c r="R753" s="43" t="inlineStr">
        <is>
          <t>規格呼称は親品種で確認済み。固有仕様ごとの価格設定有無（＿＿表示等）は次QAで最終確定。</t>
        </is>
      </c>
      <c r="S753" s="42" t="inlineStr">
        <is>
          <t>無印</t>
        </is>
      </c>
      <c r="T753" s="42" t="n">
        <v>104</v>
      </c>
      <c r="U753" s="42" t="inlineStr">
        <is>
          <t>P104|無印</t>
        </is>
      </c>
      <c r="V753" s="42" t="inlineStr">
        <is>
          <t>同頁凡例へ直接連動</t>
        </is>
      </c>
    </row>
    <row r="754">
      <c r="A754" s="43" t="inlineStr">
        <is>
          <t>SZ-SL-000751</t>
        </is>
      </c>
      <c r="B754" s="43" t="inlineStr">
        <is>
          <t>SER-LIX-SAMOSL</t>
        </is>
      </c>
      <c r="C754" s="43" t="inlineStr">
        <is>
          <t>WT-SL-MENKOSHI-HIKI</t>
        </is>
      </c>
      <c r="D754" s="43" t="inlineStr">
        <is>
          <t>面格子付引違い窓</t>
        </is>
      </c>
      <c r="E754" s="43" t="inlineStr">
        <is>
          <t>SP-SL-GRILLE-DIA</t>
        </is>
      </c>
      <c r="F754" s="43" t="inlineStr">
        <is>
          <t>在来・204</t>
        </is>
      </c>
      <c r="G754" s="43" t="inlineStr">
        <is>
          <t>17409</t>
        </is>
      </c>
      <c r="H754" s="43" t="inlineStr">
        <is>
          <t>174</t>
        </is>
      </c>
      <c r="I754" s="43" t="inlineStr">
        <is>
          <t>09</t>
        </is>
      </c>
      <c r="J754" s="222" t="n">
        <v>1780</v>
      </c>
      <c r="K754" s="222" t="n">
        <v>970</v>
      </c>
      <c r="L754" s="43" t="inlineStr">
        <is>
          <t>在来・204</t>
        </is>
      </c>
      <c r="M754" s="178" t="b">
        <v>1</v>
      </c>
      <c r="N754" s="43" t="inlineStr">
        <is>
          <t>カタログ個別可否確認済み</t>
        </is>
      </c>
      <c r="O754" s="222" t="n">
        <v>107</v>
      </c>
      <c r="P754" s="222" t="n">
        <v>105</v>
      </c>
      <c r="Q754" s="43" t="inlineStr">
        <is>
          <t>202604_LIXIL_サーモスＬ_業務用資料集_完成品価格表.pdf</t>
        </is>
      </c>
      <c r="R754" s="43" t="inlineStr">
        <is>
          <t>規格呼称は親品種で確認済み。固有仕様ごとの価格設定有無（＿＿表示等）は次QAで最終確定。</t>
        </is>
      </c>
      <c r="S754" s="42" t="inlineStr">
        <is>
          <t>無印</t>
        </is>
      </c>
      <c r="T754" s="42" t="n">
        <v>104</v>
      </c>
      <c r="U754" s="42" t="inlineStr">
        <is>
          <t>P104|無印</t>
        </is>
      </c>
      <c r="V754" s="42" t="inlineStr">
        <is>
          <t>同一価格表・前頁凡例を継承</t>
        </is>
      </c>
    </row>
    <row r="755">
      <c r="A755" s="43" t="inlineStr">
        <is>
          <t>SZ-SL-000752</t>
        </is>
      </c>
      <c r="B755" s="43" t="inlineStr">
        <is>
          <t>SER-LIX-SAMOSL</t>
        </is>
      </c>
      <c r="C755" s="43" t="inlineStr">
        <is>
          <t>WT-SL-MENKOSHI-HIKI</t>
        </is>
      </c>
      <c r="D755" s="43" t="inlineStr">
        <is>
          <t>面格子付引違い窓</t>
        </is>
      </c>
      <c r="E755" s="43" t="inlineStr">
        <is>
          <t>SP-SL-GRILLE-DIA</t>
        </is>
      </c>
      <c r="F755" s="43" t="inlineStr">
        <is>
          <t>在来・204</t>
        </is>
      </c>
      <c r="G755" s="43" t="inlineStr">
        <is>
          <t>17609</t>
        </is>
      </c>
      <c r="H755" s="43" t="inlineStr">
        <is>
          <t>176</t>
        </is>
      </c>
      <c r="I755" s="43" t="inlineStr">
        <is>
          <t>09</t>
        </is>
      </c>
      <c r="J755" s="222" t="n">
        <v>1800</v>
      </c>
      <c r="K755" s="222" t="n">
        <v>970</v>
      </c>
      <c r="L755" s="43" t="inlineStr">
        <is>
          <t>在来・204</t>
        </is>
      </c>
      <c r="M755" s="178" t="b">
        <v>1</v>
      </c>
      <c r="N755" s="43" t="inlineStr">
        <is>
          <t>カタログ個別可否確認済み</t>
        </is>
      </c>
      <c r="O755" s="222" t="n">
        <v>107</v>
      </c>
      <c r="P755" s="222" t="n">
        <v>105</v>
      </c>
      <c r="Q755" s="43" t="inlineStr">
        <is>
          <t>202604_LIXIL_サーモスＬ_業務用資料集_完成品価格表.pdf</t>
        </is>
      </c>
      <c r="R755" s="43" t="inlineStr">
        <is>
          <t>規格呼称は親品種で確認済み。固有仕様ごとの価格設定有無（＿＿表示等）は次QAで最終確定。</t>
        </is>
      </c>
      <c r="S755" s="42" t="inlineStr">
        <is>
          <t>無印</t>
        </is>
      </c>
      <c r="T755" s="42" t="n">
        <v>104</v>
      </c>
      <c r="U755" s="42" t="inlineStr">
        <is>
          <t>P104|無印</t>
        </is>
      </c>
      <c r="V755" s="42" t="inlineStr">
        <is>
          <t>同一価格表・前頁凡例を継承</t>
        </is>
      </c>
    </row>
    <row r="756">
      <c r="A756" s="43" t="inlineStr">
        <is>
          <t>SZ-SL-000753</t>
        </is>
      </c>
      <c r="B756" s="43" t="inlineStr">
        <is>
          <t>SER-LIX-SAMOSL</t>
        </is>
      </c>
      <c r="C756" s="43" t="inlineStr">
        <is>
          <t>WT-SL-MENKOSHI-HIKI</t>
        </is>
      </c>
      <c r="D756" s="43" t="inlineStr">
        <is>
          <t>面格子付引違い窓</t>
        </is>
      </c>
      <c r="E756" s="43" t="inlineStr">
        <is>
          <t>SP-SL-GRILLE-DIA</t>
        </is>
      </c>
      <c r="F756" s="43" t="inlineStr">
        <is>
          <t>在来・204</t>
        </is>
      </c>
      <c r="G756" s="43" t="inlineStr">
        <is>
          <t>18009</t>
        </is>
      </c>
      <c r="H756" s="43" t="inlineStr">
        <is>
          <t>180</t>
        </is>
      </c>
      <c r="I756" s="43" t="inlineStr">
        <is>
          <t>09</t>
        </is>
      </c>
      <c r="J756" s="222" t="n">
        <v>1845</v>
      </c>
      <c r="K756" s="222" t="n">
        <v>970</v>
      </c>
      <c r="L756" s="43" t="inlineStr">
        <is>
          <t>在来・204</t>
        </is>
      </c>
      <c r="M756" s="178" t="b">
        <v>1</v>
      </c>
      <c r="N756" s="43" t="inlineStr">
        <is>
          <t>カタログ個別可否確認済み</t>
        </is>
      </c>
      <c r="O756" s="222" t="n">
        <v>107</v>
      </c>
      <c r="P756" s="222" t="n">
        <v>105</v>
      </c>
      <c r="Q756" s="43" t="inlineStr">
        <is>
          <t>202604_LIXIL_サーモスＬ_業務用資料集_完成品価格表.pdf</t>
        </is>
      </c>
      <c r="R756" s="43" t="inlineStr">
        <is>
          <t>規格呼称は親品種で確認済み。固有仕様ごとの価格設定有無（＿＿表示等）は次QAで最終確定。</t>
        </is>
      </c>
      <c r="S756" s="42" t="inlineStr">
        <is>
          <t>無印</t>
        </is>
      </c>
      <c r="T756" s="42" t="n">
        <v>104</v>
      </c>
      <c r="U756" s="42" t="inlineStr">
        <is>
          <t>P104|無印</t>
        </is>
      </c>
      <c r="V756" s="42" t="inlineStr">
        <is>
          <t>同一価格表・前頁凡例を継承</t>
        </is>
      </c>
    </row>
    <row r="757">
      <c r="A757" s="43" t="inlineStr">
        <is>
          <t>SZ-SL-000754</t>
        </is>
      </c>
      <c r="B757" s="43" t="inlineStr">
        <is>
          <t>SER-LIX-SAMOSL</t>
        </is>
      </c>
      <c r="C757" s="43" t="inlineStr">
        <is>
          <t>WT-SL-MENKOSHI-HIKI</t>
        </is>
      </c>
      <c r="D757" s="43" t="inlineStr">
        <is>
          <t>面格子付引違い窓</t>
        </is>
      </c>
      <c r="E757" s="43" t="inlineStr">
        <is>
          <t>SP-SL-GRILLE-DIA</t>
        </is>
      </c>
      <c r="F757" s="43" t="inlineStr">
        <is>
          <t>在来・204</t>
        </is>
      </c>
      <c r="G757" s="43" t="inlineStr">
        <is>
          <t>18609</t>
        </is>
      </c>
      <c r="H757" s="43" t="inlineStr">
        <is>
          <t>186</t>
        </is>
      </c>
      <c r="I757" s="43" t="inlineStr">
        <is>
          <t>09</t>
        </is>
      </c>
      <c r="J757" s="222" t="n">
        <v>1900</v>
      </c>
      <c r="K757" s="222" t="n">
        <v>970</v>
      </c>
      <c r="L757" s="43" t="inlineStr">
        <is>
          <t>在来・204</t>
        </is>
      </c>
      <c r="M757" s="178" t="b">
        <v>1</v>
      </c>
      <c r="N757" s="43" t="inlineStr">
        <is>
          <t>カタログ個別可否確認済み</t>
        </is>
      </c>
      <c r="O757" s="222" t="n">
        <v>107</v>
      </c>
      <c r="P757" s="222" t="n">
        <v>105</v>
      </c>
      <c r="Q757" s="43" t="inlineStr">
        <is>
          <t>202604_LIXIL_サーモスＬ_業務用資料集_完成品価格表.pdf</t>
        </is>
      </c>
      <c r="R757" s="43" t="inlineStr">
        <is>
          <t>規格呼称は親品種で確認済み。固有仕様ごとの価格設定有無（＿＿表示等）は次QAで最終確定。</t>
        </is>
      </c>
      <c r="S757" s="42" t="inlineStr">
        <is>
          <t>無印</t>
        </is>
      </c>
      <c r="T757" s="42" t="n">
        <v>104</v>
      </c>
      <c r="U757" s="42" t="inlineStr">
        <is>
          <t>P104|無印</t>
        </is>
      </c>
      <c r="V757" s="42" t="inlineStr">
        <is>
          <t>同一価格表・前頁凡例を継承</t>
        </is>
      </c>
    </row>
    <row r="758">
      <c r="A758" s="43" t="inlineStr">
        <is>
          <t>SZ-SL-000755</t>
        </is>
      </c>
      <c r="B758" s="43" t="inlineStr">
        <is>
          <t>SER-LIX-SAMOSL</t>
        </is>
      </c>
      <c r="C758" s="43" t="inlineStr">
        <is>
          <t>WT-SL-MENKOSHI-HIKI</t>
        </is>
      </c>
      <c r="D758" s="43" t="inlineStr">
        <is>
          <t>面格子付引違い窓</t>
        </is>
      </c>
      <c r="E758" s="43" t="inlineStr">
        <is>
          <t>SP-SL-GRILLE-H</t>
        </is>
      </c>
      <c r="F758" s="43" t="inlineStr">
        <is>
          <t>在来・204</t>
        </is>
      </c>
      <c r="G758" s="43" t="inlineStr">
        <is>
          <t>17409</t>
        </is>
      </c>
      <c r="H758" s="43" t="inlineStr">
        <is>
          <t>174</t>
        </is>
      </c>
      <c r="I758" s="43" t="inlineStr">
        <is>
          <t>09</t>
        </is>
      </c>
      <c r="J758" s="222" t="n">
        <v>1780</v>
      </c>
      <c r="K758" s="222" t="n">
        <v>970</v>
      </c>
      <c r="L758" s="43" t="inlineStr">
        <is>
          <t>在来・204</t>
        </is>
      </c>
      <c r="M758" s="178" t="b">
        <v>0</v>
      </c>
      <c r="N758" s="43" t="inlineStr">
        <is>
          <t>設定なし（価格表確認済み）</t>
        </is>
      </c>
      <c r="O758" s="222" t="n">
        <v>107</v>
      </c>
      <c r="P758" s="222" t="n">
        <v>105</v>
      </c>
      <c r="Q758" s="43" t="inlineStr">
        <is>
          <t>202604_LIXIL_サーモスＬ_業務用資料集_完成品価格表.pdf</t>
        </is>
      </c>
      <c r="R758" s="43" t="inlineStr">
        <is>
          <t>規格呼称は親品種で確認済み。固有仕様ごとの価格設定有無（＿＿表示等）は次QAで最終確定。</t>
        </is>
      </c>
      <c r="S758" s="42" t="inlineStr">
        <is>
          <t>無印</t>
        </is>
      </c>
      <c r="T758" s="42" t="n">
        <v>104</v>
      </c>
      <c r="U758" s="42" t="inlineStr">
        <is>
          <t>P104|無印</t>
        </is>
      </c>
      <c r="V758" s="42" t="inlineStr">
        <is>
          <t>同一価格表・前頁凡例を継承</t>
        </is>
      </c>
    </row>
    <row r="759">
      <c r="A759" s="43" t="inlineStr">
        <is>
          <t>SZ-SL-000756</t>
        </is>
      </c>
      <c r="B759" s="43" t="inlineStr">
        <is>
          <t>SER-LIX-SAMOSL</t>
        </is>
      </c>
      <c r="C759" s="43" t="inlineStr">
        <is>
          <t>WT-SL-MENKOSHI-HIKI</t>
        </is>
      </c>
      <c r="D759" s="43" t="inlineStr">
        <is>
          <t>面格子付引違い窓</t>
        </is>
      </c>
      <c r="E759" s="43" t="inlineStr">
        <is>
          <t>SP-SL-GRILLE-H</t>
        </is>
      </c>
      <c r="F759" s="43" t="inlineStr">
        <is>
          <t>在来・204</t>
        </is>
      </c>
      <c r="G759" s="43" t="inlineStr">
        <is>
          <t>17609</t>
        </is>
      </c>
      <c r="H759" s="43" t="inlineStr">
        <is>
          <t>176</t>
        </is>
      </c>
      <c r="I759" s="43" t="inlineStr">
        <is>
          <t>09</t>
        </is>
      </c>
      <c r="J759" s="222" t="n">
        <v>1800</v>
      </c>
      <c r="K759" s="222" t="n">
        <v>970</v>
      </c>
      <c r="L759" s="43" t="inlineStr">
        <is>
          <t>在来・204</t>
        </is>
      </c>
      <c r="M759" s="178" t="b">
        <v>0</v>
      </c>
      <c r="N759" s="43" t="inlineStr">
        <is>
          <t>設定なし（価格表確認済み）</t>
        </is>
      </c>
      <c r="O759" s="222" t="n">
        <v>107</v>
      </c>
      <c r="P759" s="222" t="n">
        <v>105</v>
      </c>
      <c r="Q759" s="43" t="inlineStr">
        <is>
          <t>202604_LIXIL_サーモスＬ_業務用資料集_完成品価格表.pdf</t>
        </is>
      </c>
      <c r="R759" s="43" t="inlineStr">
        <is>
          <t>規格呼称は親品種で確認済み。固有仕様ごとの価格設定有無（＿＿表示等）は次QAで最終確定。</t>
        </is>
      </c>
      <c r="S759" s="42" t="inlineStr">
        <is>
          <t>無印</t>
        </is>
      </c>
      <c r="T759" s="42" t="n">
        <v>104</v>
      </c>
      <c r="U759" s="42" t="inlineStr">
        <is>
          <t>P104|無印</t>
        </is>
      </c>
      <c r="V759" s="42" t="inlineStr">
        <is>
          <t>同一価格表・前頁凡例を継承</t>
        </is>
      </c>
    </row>
    <row r="760">
      <c r="A760" s="43" t="inlineStr">
        <is>
          <t>SZ-SL-000757</t>
        </is>
      </c>
      <c r="B760" s="43" t="inlineStr">
        <is>
          <t>SER-LIX-SAMOSL</t>
        </is>
      </c>
      <c r="C760" s="43" t="inlineStr">
        <is>
          <t>WT-SL-MENKOSHI-HIKI</t>
        </is>
      </c>
      <c r="D760" s="43" t="inlineStr">
        <is>
          <t>面格子付引違い窓</t>
        </is>
      </c>
      <c r="E760" s="43" t="inlineStr">
        <is>
          <t>SP-SL-GRILLE-H</t>
        </is>
      </c>
      <c r="F760" s="43" t="inlineStr">
        <is>
          <t>在来・204</t>
        </is>
      </c>
      <c r="G760" s="43" t="inlineStr">
        <is>
          <t>18009</t>
        </is>
      </c>
      <c r="H760" s="43" t="inlineStr">
        <is>
          <t>180</t>
        </is>
      </c>
      <c r="I760" s="43" t="inlineStr">
        <is>
          <t>09</t>
        </is>
      </c>
      <c r="J760" s="222" t="n">
        <v>1845</v>
      </c>
      <c r="K760" s="222" t="n">
        <v>970</v>
      </c>
      <c r="L760" s="43" t="inlineStr">
        <is>
          <t>在来・204</t>
        </is>
      </c>
      <c r="M760" s="178" t="b">
        <v>0</v>
      </c>
      <c r="N760" s="43" t="inlineStr">
        <is>
          <t>設定なし（価格表確認済み）</t>
        </is>
      </c>
      <c r="O760" s="222" t="n">
        <v>107</v>
      </c>
      <c r="P760" s="222" t="n">
        <v>105</v>
      </c>
      <c r="Q760" s="43" t="inlineStr">
        <is>
          <t>202604_LIXIL_サーモスＬ_業務用資料集_完成品価格表.pdf</t>
        </is>
      </c>
      <c r="R760" s="43" t="inlineStr">
        <is>
          <t>規格呼称は親品種で確認済み。固有仕様ごとの価格設定有無（＿＿表示等）は次QAで最終確定。</t>
        </is>
      </c>
      <c r="S760" s="42" t="inlineStr">
        <is>
          <t>無印</t>
        </is>
      </c>
      <c r="T760" s="42" t="n">
        <v>104</v>
      </c>
      <c r="U760" s="42" t="inlineStr">
        <is>
          <t>P104|無印</t>
        </is>
      </c>
      <c r="V760" s="42" t="inlineStr">
        <is>
          <t>同一価格表・前頁凡例を継承</t>
        </is>
      </c>
    </row>
    <row r="761">
      <c r="A761" s="43" t="inlineStr">
        <is>
          <t>SZ-SL-000758</t>
        </is>
      </c>
      <c r="B761" s="43" t="inlineStr">
        <is>
          <t>SER-LIX-SAMOSL</t>
        </is>
      </c>
      <c r="C761" s="43" t="inlineStr">
        <is>
          <t>WT-SL-MENKOSHI-HIKI</t>
        </is>
      </c>
      <c r="D761" s="43" t="inlineStr">
        <is>
          <t>面格子付引違い窓</t>
        </is>
      </c>
      <c r="E761" s="43" t="inlineStr">
        <is>
          <t>SP-SL-GRILLE-H</t>
        </is>
      </c>
      <c r="F761" s="43" t="inlineStr">
        <is>
          <t>在来・204</t>
        </is>
      </c>
      <c r="G761" s="43" t="inlineStr">
        <is>
          <t>18609</t>
        </is>
      </c>
      <c r="H761" s="43" t="inlineStr">
        <is>
          <t>186</t>
        </is>
      </c>
      <c r="I761" s="43" t="inlineStr">
        <is>
          <t>09</t>
        </is>
      </c>
      <c r="J761" s="222" t="n">
        <v>1900</v>
      </c>
      <c r="K761" s="222" t="n">
        <v>970</v>
      </c>
      <c r="L761" s="43" t="inlineStr">
        <is>
          <t>在来・204</t>
        </is>
      </c>
      <c r="M761" s="178" t="b">
        <v>0</v>
      </c>
      <c r="N761" s="43" t="inlineStr">
        <is>
          <t>設定なし（価格表確認済み）</t>
        </is>
      </c>
      <c r="O761" s="222" t="n">
        <v>107</v>
      </c>
      <c r="P761" s="222" t="n">
        <v>105</v>
      </c>
      <c r="Q761" s="43" t="inlineStr">
        <is>
          <t>202604_LIXIL_サーモスＬ_業務用資料集_完成品価格表.pdf</t>
        </is>
      </c>
      <c r="R761" s="43" t="inlineStr">
        <is>
          <t>規格呼称は親品種で確認済み。固有仕様ごとの価格設定有無（＿＿表示等）は次QAで最終確定。</t>
        </is>
      </c>
      <c r="S761" s="42" t="inlineStr">
        <is>
          <t>無印</t>
        </is>
      </c>
      <c r="T761" s="42" t="n">
        <v>104</v>
      </c>
      <c r="U761" s="42" t="inlineStr">
        <is>
          <t>P104|無印</t>
        </is>
      </c>
      <c r="V761" s="42" t="inlineStr">
        <is>
          <t>同一価格表・前頁凡例を継承</t>
        </is>
      </c>
    </row>
    <row r="762">
      <c r="A762" s="43" t="inlineStr">
        <is>
          <t>SZ-SL-000759</t>
        </is>
      </c>
      <c r="B762" s="43" t="inlineStr">
        <is>
          <t>SER-LIX-SAMOSL</t>
        </is>
      </c>
      <c r="C762" s="43" t="inlineStr">
        <is>
          <t>WT-SL-MENKOSHI-HIKI</t>
        </is>
      </c>
      <c r="D762" s="43" t="inlineStr">
        <is>
          <t>面格子付引違い窓</t>
        </is>
      </c>
      <c r="E762" s="43" t="inlineStr">
        <is>
          <t>SP-SL-GRILLE-IGETA</t>
        </is>
      </c>
      <c r="F762" s="43" t="inlineStr">
        <is>
          <t>在来・204</t>
        </is>
      </c>
      <c r="G762" s="43" t="inlineStr">
        <is>
          <t>17409</t>
        </is>
      </c>
      <c r="H762" s="43" t="inlineStr">
        <is>
          <t>174</t>
        </is>
      </c>
      <c r="I762" s="43" t="inlineStr">
        <is>
          <t>09</t>
        </is>
      </c>
      <c r="J762" s="222" t="n">
        <v>1780</v>
      </c>
      <c r="K762" s="222" t="n">
        <v>970</v>
      </c>
      <c r="L762" s="43" t="inlineStr">
        <is>
          <t>在来・204</t>
        </is>
      </c>
      <c r="M762" s="178" t="b">
        <v>1</v>
      </c>
      <c r="N762" s="43" t="inlineStr">
        <is>
          <t>カタログ個別可否確認済み</t>
        </is>
      </c>
      <c r="O762" s="222" t="n">
        <v>107</v>
      </c>
      <c r="P762" s="222" t="n">
        <v>105</v>
      </c>
      <c r="Q762" s="43" t="inlineStr">
        <is>
          <t>202604_LIXIL_サーモスＬ_業務用資料集_完成品価格表.pdf</t>
        </is>
      </c>
      <c r="R762" s="43" t="inlineStr">
        <is>
          <t>規格呼称は親品種で確認済み。固有仕様ごとの価格設定有無（＿＿表示等）は次QAで最終確定。</t>
        </is>
      </c>
      <c r="S762" s="42" t="inlineStr">
        <is>
          <t>無印</t>
        </is>
      </c>
      <c r="T762" s="42" t="n">
        <v>104</v>
      </c>
      <c r="U762" s="42" t="inlineStr">
        <is>
          <t>P104|無印</t>
        </is>
      </c>
      <c r="V762" s="42" t="inlineStr">
        <is>
          <t>同一価格表・前頁凡例を継承</t>
        </is>
      </c>
    </row>
    <row r="763">
      <c r="A763" s="43" t="inlineStr">
        <is>
          <t>SZ-SL-000760</t>
        </is>
      </c>
      <c r="B763" s="43" t="inlineStr">
        <is>
          <t>SER-LIX-SAMOSL</t>
        </is>
      </c>
      <c r="C763" s="43" t="inlineStr">
        <is>
          <t>WT-SL-MENKOSHI-HIKI</t>
        </is>
      </c>
      <c r="D763" s="43" t="inlineStr">
        <is>
          <t>面格子付引違い窓</t>
        </is>
      </c>
      <c r="E763" s="43" t="inlineStr">
        <is>
          <t>SP-SL-GRILLE-IGETA</t>
        </is>
      </c>
      <c r="F763" s="43" t="inlineStr">
        <is>
          <t>在来・204</t>
        </is>
      </c>
      <c r="G763" s="43" t="inlineStr">
        <is>
          <t>17609</t>
        </is>
      </c>
      <c r="H763" s="43" t="inlineStr">
        <is>
          <t>176</t>
        </is>
      </c>
      <c r="I763" s="43" t="inlineStr">
        <is>
          <t>09</t>
        </is>
      </c>
      <c r="J763" s="222" t="n">
        <v>1800</v>
      </c>
      <c r="K763" s="222" t="n">
        <v>970</v>
      </c>
      <c r="L763" s="43" t="inlineStr">
        <is>
          <t>在来・204</t>
        </is>
      </c>
      <c r="M763" s="178" t="b">
        <v>1</v>
      </c>
      <c r="N763" s="43" t="inlineStr">
        <is>
          <t>カタログ個別可否確認済み</t>
        </is>
      </c>
      <c r="O763" s="222" t="n">
        <v>107</v>
      </c>
      <c r="P763" s="222" t="n">
        <v>105</v>
      </c>
      <c r="Q763" s="43" t="inlineStr">
        <is>
          <t>202604_LIXIL_サーモスＬ_業務用資料集_完成品価格表.pdf</t>
        </is>
      </c>
      <c r="R763" s="43" t="inlineStr">
        <is>
          <t>規格呼称は親品種で確認済み。固有仕様ごとの価格設定有無（＿＿表示等）は次QAで最終確定。</t>
        </is>
      </c>
      <c r="S763" s="42" t="inlineStr">
        <is>
          <t>無印</t>
        </is>
      </c>
      <c r="T763" s="42" t="n">
        <v>104</v>
      </c>
      <c r="U763" s="42" t="inlineStr">
        <is>
          <t>P104|無印</t>
        </is>
      </c>
      <c r="V763" s="42" t="inlineStr">
        <is>
          <t>同一価格表・前頁凡例を継承</t>
        </is>
      </c>
    </row>
    <row r="764">
      <c r="A764" s="43" t="inlineStr">
        <is>
          <t>SZ-SL-000761</t>
        </is>
      </c>
      <c r="B764" s="43" t="inlineStr">
        <is>
          <t>SER-LIX-SAMOSL</t>
        </is>
      </c>
      <c r="C764" s="43" t="inlineStr">
        <is>
          <t>WT-SL-MENKOSHI-HIKI</t>
        </is>
      </c>
      <c r="D764" s="43" t="inlineStr">
        <is>
          <t>面格子付引違い窓</t>
        </is>
      </c>
      <c r="E764" s="43" t="inlineStr">
        <is>
          <t>SP-SL-GRILLE-IGETA</t>
        </is>
      </c>
      <c r="F764" s="43" t="inlineStr">
        <is>
          <t>在来・204</t>
        </is>
      </c>
      <c r="G764" s="43" t="inlineStr">
        <is>
          <t>18009</t>
        </is>
      </c>
      <c r="H764" s="43" t="inlineStr">
        <is>
          <t>180</t>
        </is>
      </c>
      <c r="I764" s="43" t="inlineStr">
        <is>
          <t>09</t>
        </is>
      </c>
      <c r="J764" s="222" t="n">
        <v>1845</v>
      </c>
      <c r="K764" s="222" t="n">
        <v>970</v>
      </c>
      <c r="L764" s="43" t="inlineStr">
        <is>
          <t>在来・204</t>
        </is>
      </c>
      <c r="M764" s="178" t="b">
        <v>1</v>
      </c>
      <c r="N764" s="43" t="inlineStr">
        <is>
          <t>カタログ個別可否確認済み</t>
        </is>
      </c>
      <c r="O764" s="222" t="n">
        <v>107</v>
      </c>
      <c r="P764" s="222" t="n">
        <v>105</v>
      </c>
      <c r="Q764" s="43" t="inlineStr">
        <is>
          <t>202604_LIXIL_サーモスＬ_業務用資料集_完成品価格表.pdf</t>
        </is>
      </c>
      <c r="R764" s="43" t="inlineStr">
        <is>
          <t>規格呼称は親品種で確認済み。固有仕様ごとの価格設定有無（＿＿表示等）は次QAで最終確定。</t>
        </is>
      </c>
      <c r="S764" s="42" t="inlineStr">
        <is>
          <t>無印</t>
        </is>
      </c>
      <c r="T764" s="42" t="n">
        <v>104</v>
      </c>
      <c r="U764" s="42" t="inlineStr">
        <is>
          <t>P104|無印</t>
        </is>
      </c>
      <c r="V764" s="42" t="inlineStr">
        <is>
          <t>同一価格表・前頁凡例を継承</t>
        </is>
      </c>
    </row>
    <row r="765">
      <c r="A765" s="43" t="inlineStr">
        <is>
          <t>SZ-SL-000762</t>
        </is>
      </c>
      <c r="B765" s="43" t="inlineStr">
        <is>
          <t>SER-LIX-SAMOSL</t>
        </is>
      </c>
      <c r="C765" s="43" t="inlineStr">
        <is>
          <t>WT-SL-MENKOSHI-HIKI</t>
        </is>
      </c>
      <c r="D765" s="43" t="inlineStr">
        <is>
          <t>面格子付引違い窓</t>
        </is>
      </c>
      <c r="E765" s="43" t="inlineStr">
        <is>
          <t>SP-SL-GRILLE-IGETA</t>
        </is>
      </c>
      <c r="F765" s="43" t="inlineStr">
        <is>
          <t>在来・204</t>
        </is>
      </c>
      <c r="G765" s="43" t="inlineStr">
        <is>
          <t>18609</t>
        </is>
      </c>
      <c r="H765" s="43" t="inlineStr">
        <is>
          <t>186</t>
        </is>
      </c>
      <c r="I765" s="43" t="inlineStr">
        <is>
          <t>09</t>
        </is>
      </c>
      <c r="J765" s="222" t="n">
        <v>1900</v>
      </c>
      <c r="K765" s="222" t="n">
        <v>970</v>
      </c>
      <c r="L765" s="43" t="inlineStr">
        <is>
          <t>在来・204</t>
        </is>
      </c>
      <c r="M765" s="178" t="b">
        <v>1</v>
      </c>
      <c r="N765" s="43" t="inlineStr">
        <is>
          <t>カタログ個別可否確認済み</t>
        </is>
      </c>
      <c r="O765" s="222" t="n">
        <v>107</v>
      </c>
      <c r="P765" s="222" t="n">
        <v>105</v>
      </c>
      <c r="Q765" s="43" t="inlineStr">
        <is>
          <t>202604_LIXIL_サーモスＬ_業務用資料集_完成品価格表.pdf</t>
        </is>
      </c>
      <c r="R765" s="43" t="inlineStr">
        <is>
          <t>規格呼称は親品種で確認済み。固有仕様ごとの価格設定有無（＿＿表示等）は次QAで最終確定。</t>
        </is>
      </c>
      <c r="S765" s="42" t="inlineStr">
        <is>
          <t>無印</t>
        </is>
      </c>
      <c r="T765" s="42" t="n">
        <v>104</v>
      </c>
      <c r="U765" s="42" t="inlineStr">
        <is>
          <t>P104|無印</t>
        </is>
      </c>
      <c r="V765" s="42" t="inlineStr">
        <is>
          <t>同一価格表・前頁凡例を継承</t>
        </is>
      </c>
    </row>
    <row r="766">
      <c r="A766" s="43" t="inlineStr">
        <is>
          <t>SZ-SL-000763</t>
        </is>
      </c>
      <c r="B766" s="43" t="inlineStr">
        <is>
          <t>SER-LIX-SAMOSL</t>
        </is>
      </c>
      <c r="C766" s="43" t="inlineStr">
        <is>
          <t>WT-SL-MENKOSHI-HIKI</t>
        </is>
      </c>
      <c r="D766" s="43" t="inlineStr">
        <is>
          <t>面格子付引違い窓</t>
        </is>
      </c>
      <c r="E766" s="43" t="inlineStr">
        <is>
          <t>SP-SL-GRILLE-V</t>
        </is>
      </c>
      <c r="F766" s="43" t="inlineStr">
        <is>
          <t>在来・204</t>
        </is>
      </c>
      <c r="G766" s="43" t="inlineStr">
        <is>
          <t>17409</t>
        </is>
      </c>
      <c r="H766" s="43" t="inlineStr">
        <is>
          <t>174</t>
        </is>
      </c>
      <c r="I766" s="43" t="inlineStr">
        <is>
          <t>09</t>
        </is>
      </c>
      <c r="J766" s="222" t="n">
        <v>1780</v>
      </c>
      <c r="K766" s="222" t="n">
        <v>970</v>
      </c>
      <c r="L766" s="43" t="inlineStr">
        <is>
          <t>在来・204</t>
        </is>
      </c>
      <c r="M766" s="178" t="b">
        <v>1</v>
      </c>
      <c r="N766" s="43" t="inlineStr">
        <is>
          <t>カタログ個別可否確認済み</t>
        </is>
      </c>
      <c r="O766" s="222" t="n">
        <v>107</v>
      </c>
      <c r="P766" s="222" t="n">
        <v>105</v>
      </c>
      <c r="Q766" s="43" t="inlineStr">
        <is>
          <t>202604_LIXIL_サーモスＬ_業務用資料集_完成品価格表.pdf</t>
        </is>
      </c>
      <c r="R766" s="43" t="inlineStr">
        <is>
          <t>規格呼称は親品種で確認済み。固有仕様ごとの価格設定有無（＿＿表示等）は次QAで最終確定。</t>
        </is>
      </c>
      <c r="S766" s="42" t="inlineStr">
        <is>
          <t>無印</t>
        </is>
      </c>
      <c r="T766" s="42" t="n">
        <v>104</v>
      </c>
      <c r="U766" s="42" t="inlineStr">
        <is>
          <t>P104|無印</t>
        </is>
      </c>
      <c r="V766" s="42" t="inlineStr">
        <is>
          <t>同一価格表・前頁凡例を継承</t>
        </is>
      </c>
    </row>
    <row r="767">
      <c r="A767" s="43" t="inlineStr">
        <is>
          <t>SZ-SL-000764</t>
        </is>
      </c>
      <c r="B767" s="43" t="inlineStr">
        <is>
          <t>SER-LIX-SAMOSL</t>
        </is>
      </c>
      <c r="C767" s="43" t="inlineStr">
        <is>
          <t>WT-SL-MENKOSHI-HIKI</t>
        </is>
      </c>
      <c r="D767" s="43" t="inlineStr">
        <is>
          <t>面格子付引違い窓</t>
        </is>
      </c>
      <c r="E767" s="43" t="inlineStr">
        <is>
          <t>SP-SL-GRILLE-V</t>
        </is>
      </c>
      <c r="F767" s="43" t="inlineStr">
        <is>
          <t>在来・204</t>
        </is>
      </c>
      <c r="G767" s="43" t="inlineStr">
        <is>
          <t>17609</t>
        </is>
      </c>
      <c r="H767" s="43" t="inlineStr">
        <is>
          <t>176</t>
        </is>
      </c>
      <c r="I767" s="43" t="inlineStr">
        <is>
          <t>09</t>
        </is>
      </c>
      <c r="J767" s="222" t="n">
        <v>1800</v>
      </c>
      <c r="K767" s="222" t="n">
        <v>970</v>
      </c>
      <c r="L767" s="43" t="inlineStr">
        <is>
          <t>在来・204</t>
        </is>
      </c>
      <c r="M767" s="178" t="b">
        <v>1</v>
      </c>
      <c r="N767" s="43" t="inlineStr">
        <is>
          <t>カタログ個別可否確認済み</t>
        </is>
      </c>
      <c r="O767" s="222" t="n">
        <v>107</v>
      </c>
      <c r="P767" s="222" t="n">
        <v>105</v>
      </c>
      <c r="Q767" s="43" t="inlineStr">
        <is>
          <t>202604_LIXIL_サーモスＬ_業務用資料集_完成品価格表.pdf</t>
        </is>
      </c>
      <c r="R767" s="43" t="inlineStr">
        <is>
          <t>規格呼称は親品種で確認済み。固有仕様ごとの価格設定有無（＿＿表示等）は次QAで最終確定。</t>
        </is>
      </c>
      <c r="S767" s="42" t="inlineStr">
        <is>
          <t>無印</t>
        </is>
      </c>
      <c r="T767" s="42" t="n">
        <v>104</v>
      </c>
      <c r="U767" s="42" t="inlineStr">
        <is>
          <t>P104|無印</t>
        </is>
      </c>
      <c r="V767" s="42" t="inlineStr">
        <is>
          <t>同一価格表・前頁凡例を継承</t>
        </is>
      </c>
    </row>
    <row r="768">
      <c r="A768" s="43" t="inlineStr">
        <is>
          <t>SZ-SL-000765</t>
        </is>
      </c>
      <c r="B768" s="43" t="inlineStr">
        <is>
          <t>SER-LIX-SAMOSL</t>
        </is>
      </c>
      <c r="C768" s="43" t="inlineStr">
        <is>
          <t>WT-SL-MENKOSHI-HIKI</t>
        </is>
      </c>
      <c r="D768" s="43" t="inlineStr">
        <is>
          <t>面格子付引違い窓</t>
        </is>
      </c>
      <c r="E768" s="43" t="inlineStr">
        <is>
          <t>SP-SL-GRILLE-V</t>
        </is>
      </c>
      <c r="F768" s="43" t="inlineStr">
        <is>
          <t>在来・204</t>
        </is>
      </c>
      <c r="G768" s="43" t="inlineStr">
        <is>
          <t>18009</t>
        </is>
      </c>
      <c r="H768" s="43" t="inlineStr">
        <is>
          <t>180</t>
        </is>
      </c>
      <c r="I768" s="43" t="inlineStr">
        <is>
          <t>09</t>
        </is>
      </c>
      <c r="J768" s="222" t="n">
        <v>1845</v>
      </c>
      <c r="K768" s="222" t="n">
        <v>970</v>
      </c>
      <c r="L768" s="43" t="inlineStr">
        <is>
          <t>在来・204</t>
        </is>
      </c>
      <c r="M768" s="178" t="b">
        <v>1</v>
      </c>
      <c r="N768" s="43" t="inlineStr">
        <is>
          <t>カタログ個別可否確認済み</t>
        </is>
      </c>
      <c r="O768" s="222" t="n">
        <v>107</v>
      </c>
      <c r="P768" s="222" t="n">
        <v>105</v>
      </c>
      <c r="Q768" s="43" t="inlineStr">
        <is>
          <t>202604_LIXIL_サーモスＬ_業務用資料集_完成品価格表.pdf</t>
        </is>
      </c>
      <c r="R768" s="43" t="inlineStr">
        <is>
          <t>規格呼称は親品種で確認済み。固有仕様ごとの価格設定有無（＿＿表示等）は次QAで最終確定。</t>
        </is>
      </c>
      <c r="S768" s="42" t="inlineStr">
        <is>
          <t>無印</t>
        </is>
      </c>
      <c r="T768" s="42" t="n">
        <v>104</v>
      </c>
      <c r="U768" s="42" t="inlineStr">
        <is>
          <t>P104|無印</t>
        </is>
      </c>
      <c r="V768" s="42" t="inlineStr">
        <is>
          <t>同一価格表・前頁凡例を継承</t>
        </is>
      </c>
    </row>
    <row r="769">
      <c r="A769" s="43" t="inlineStr">
        <is>
          <t>SZ-SL-000766</t>
        </is>
      </c>
      <c r="B769" s="43" t="inlineStr">
        <is>
          <t>SER-LIX-SAMOSL</t>
        </is>
      </c>
      <c r="C769" s="43" t="inlineStr">
        <is>
          <t>WT-SL-MENKOSHI-HIKI</t>
        </is>
      </c>
      <c r="D769" s="43" t="inlineStr">
        <is>
          <t>面格子付引違い窓</t>
        </is>
      </c>
      <c r="E769" s="43" t="inlineStr">
        <is>
          <t>SP-SL-GRILLE-V</t>
        </is>
      </c>
      <c r="F769" s="43" t="inlineStr">
        <is>
          <t>在来・204</t>
        </is>
      </c>
      <c r="G769" s="43" t="inlineStr">
        <is>
          <t>18609</t>
        </is>
      </c>
      <c r="H769" s="43" t="inlineStr">
        <is>
          <t>186</t>
        </is>
      </c>
      <c r="I769" s="43" t="inlineStr">
        <is>
          <t>09</t>
        </is>
      </c>
      <c r="J769" s="222" t="n">
        <v>1900</v>
      </c>
      <c r="K769" s="222" t="n">
        <v>970</v>
      </c>
      <c r="L769" s="43" t="inlineStr">
        <is>
          <t>在来・204</t>
        </is>
      </c>
      <c r="M769" s="178" t="b">
        <v>1</v>
      </c>
      <c r="N769" s="43" t="inlineStr">
        <is>
          <t>カタログ個別可否確認済み</t>
        </is>
      </c>
      <c r="O769" s="222" t="n">
        <v>107</v>
      </c>
      <c r="P769" s="222" t="n">
        <v>105</v>
      </c>
      <c r="Q769" s="43" t="inlineStr">
        <is>
          <t>202604_LIXIL_サーモスＬ_業務用資料集_完成品価格表.pdf</t>
        </is>
      </c>
      <c r="R769" s="43" t="inlineStr">
        <is>
          <t>規格呼称は親品種で確認済み。固有仕様ごとの価格設定有無（＿＿表示等）は次QAで最終確定。</t>
        </is>
      </c>
      <c r="S769" s="42" t="inlineStr">
        <is>
          <t>無印</t>
        </is>
      </c>
      <c r="T769" s="42" t="n">
        <v>104</v>
      </c>
      <c r="U769" s="42" t="inlineStr">
        <is>
          <t>P104|無印</t>
        </is>
      </c>
      <c r="V769" s="42" t="inlineStr">
        <is>
          <t>同一価格表・前頁凡例を継承</t>
        </is>
      </c>
    </row>
    <row r="770">
      <c r="A770" s="43" t="inlineStr">
        <is>
          <t>SZ-SL-000767</t>
        </is>
      </c>
      <c r="B770" s="43" t="inlineStr">
        <is>
          <t>SER-LIX-SAMOSL</t>
        </is>
      </c>
      <c r="C770" s="43" t="inlineStr">
        <is>
          <t>WT-SL-MENKOSHI-HIKI</t>
        </is>
      </c>
      <c r="D770" s="43" t="inlineStr">
        <is>
          <t>面格子付引違い窓</t>
        </is>
      </c>
      <c r="E770" s="43" t="inlineStr">
        <is>
          <t>SP-SL-GRILLE-DIA</t>
        </is>
      </c>
      <c r="F770" s="43" t="inlineStr">
        <is>
          <t>在来・204</t>
        </is>
      </c>
      <c r="G770" s="43" t="inlineStr">
        <is>
          <t>07411</t>
        </is>
      </c>
      <c r="H770" s="43" t="inlineStr">
        <is>
          <t>074</t>
        </is>
      </c>
      <c r="I770" s="43" t="inlineStr">
        <is>
          <t>11</t>
        </is>
      </c>
      <c r="J770" s="222" t="n">
        <v>780</v>
      </c>
      <c r="K770" s="222" t="n">
        <v>1170</v>
      </c>
      <c r="L770" s="43" t="inlineStr">
        <is>
          <t>在来・204</t>
        </is>
      </c>
      <c r="M770" s="178" t="b">
        <v>1</v>
      </c>
      <c r="N770" s="43" t="inlineStr">
        <is>
          <t>カタログ個別可否確認済み</t>
        </is>
      </c>
      <c r="O770" s="222" t="n">
        <v>108</v>
      </c>
      <c r="P770" s="222" t="n">
        <v>106</v>
      </c>
      <c r="Q770" s="43" t="inlineStr">
        <is>
          <t>202604_LIXIL_サーモスＬ_業務用資料集_完成品価格表.pdf</t>
        </is>
      </c>
      <c r="R770" s="43" t="inlineStr">
        <is>
          <t>規格呼称は親品種で確認済み。固有仕様ごとの価格設定有無（＿＿表示等）は次QAで最終確定。</t>
        </is>
      </c>
      <c r="S770" s="42" t="inlineStr">
        <is>
          <t>無印</t>
        </is>
      </c>
      <c r="T770" s="42" t="n">
        <v>106</v>
      </c>
      <c r="U770" s="42" t="inlineStr">
        <is>
          <t>P106|無印</t>
        </is>
      </c>
      <c r="V770" s="42" t="inlineStr">
        <is>
          <t>同頁凡例へ直接連動</t>
        </is>
      </c>
    </row>
    <row r="771">
      <c r="A771" s="43" t="inlineStr">
        <is>
          <t>SZ-SL-000768</t>
        </is>
      </c>
      <c r="B771" s="43" t="inlineStr">
        <is>
          <t>SER-LIX-SAMOSL</t>
        </is>
      </c>
      <c r="C771" s="43" t="inlineStr">
        <is>
          <t>WT-SL-MENKOSHI-HIKI</t>
        </is>
      </c>
      <c r="D771" s="43" t="inlineStr">
        <is>
          <t>面格子付引違い窓</t>
        </is>
      </c>
      <c r="E771" s="43" t="inlineStr">
        <is>
          <t>SP-SL-GRILLE-H</t>
        </is>
      </c>
      <c r="F771" s="43" t="inlineStr">
        <is>
          <t>在来・204</t>
        </is>
      </c>
      <c r="G771" s="43" t="inlineStr">
        <is>
          <t>07411</t>
        </is>
      </c>
      <c r="H771" s="43" t="inlineStr">
        <is>
          <t>074</t>
        </is>
      </c>
      <c r="I771" s="43" t="inlineStr">
        <is>
          <t>11</t>
        </is>
      </c>
      <c r="J771" s="222" t="n">
        <v>780</v>
      </c>
      <c r="K771" s="222" t="n">
        <v>1170</v>
      </c>
      <c r="L771" s="43" t="inlineStr">
        <is>
          <t>在来・204</t>
        </is>
      </c>
      <c r="M771" s="178" t="b">
        <v>1</v>
      </c>
      <c r="N771" s="43" t="inlineStr">
        <is>
          <t>カタログ個別可否確認済み</t>
        </is>
      </c>
      <c r="O771" s="222" t="n">
        <v>108</v>
      </c>
      <c r="P771" s="222" t="n">
        <v>106</v>
      </c>
      <c r="Q771" s="43" t="inlineStr">
        <is>
          <t>202604_LIXIL_サーモスＬ_業務用資料集_完成品価格表.pdf</t>
        </is>
      </c>
      <c r="R771" s="43" t="inlineStr">
        <is>
          <t>規格呼称は親品種で確認済み。固有仕様ごとの価格設定有無（＿＿表示等）は次QAで最終確定。</t>
        </is>
      </c>
      <c r="S771" s="42" t="inlineStr">
        <is>
          <t>無印</t>
        </is>
      </c>
      <c r="T771" s="42" t="n">
        <v>106</v>
      </c>
      <c r="U771" s="42" t="inlineStr">
        <is>
          <t>P106|無印</t>
        </is>
      </c>
      <c r="V771" s="42" t="inlineStr">
        <is>
          <t>同頁凡例へ直接連動</t>
        </is>
      </c>
    </row>
    <row r="772">
      <c r="A772" s="43" t="inlineStr">
        <is>
          <t>SZ-SL-000769</t>
        </is>
      </c>
      <c r="B772" s="43" t="inlineStr">
        <is>
          <t>SER-LIX-SAMOSL</t>
        </is>
      </c>
      <c r="C772" s="43" t="inlineStr">
        <is>
          <t>WT-SL-MENKOSHI-HIKI</t>
        </is>
      </c>
      <c r="D772" s="43" t="inlineStr">
        <is>
          <t>面格子付引違い窓</t>
        </is>
      </c>
      <c r="E772" s="43" t="inlineStr">
        <is>
          <t>SP-SL-GRILLE-IGETA</t>
        </is>
      </c>
      <c r="F772" s="43" t="inlineStr">
        <is>
          <t>在来・204</t>
        </is>
      </c>
      <c r="G772" s="43" t="inlineStr">
        <is>
          <t>07411</t>
        </is>
      </c>
      <c r="H772" s="43" t="inlineStr">
        <is>
          <t>074</t>
        </is>
      </c>
      <c r="I772" s="43" t="inlineStr">
        <is>
          <t>11</t>
        </is>
      </c>
      <c r="J772" s="222" t="n">
        <v>780</v>
      </c>
      <c r="K772" s="222" t="n">
        <v>1170</v>
      </c>
      <c r="L772" s="43" t="inlineStr">
        <is>
          <t>在来・204</t>
        </is>
      </c>
      <c r="M772" s="178" t="b">
        <v>1</v>
      </c>
      <c r="N772" s="43" t="inlineStr">
        <is>
          <t>カタログ個別可否確認済み</t>
        </is>
      </c>
      <c r="O772" s="222" t="n">
        <v>108</v>
      </c>
      <c r="P772" s="222" t="n">
        <v>106</v>
      </c>
      <c r="Q772" s="43" t="inlineStr">
        <is>
          <t>202604_LIXIL_サーモスＬ_業務用資料集_完成品価格表.pdf</t>
        </is>
      </c>
      <c r="R772" s="43" t="inlineStr">
        <is>
          <t>規格呼称は親品種で確認済み。固有仕様ごとの価格設定有無（＿＿表示等）は次QAで最終確定。</t>
        </is>
      </c>
      <c r="S772" s="42" t="inlineStr">
        <is>
          <t>無印</t>
        </is>
      </c>
      <c r="T772" s="42" t="n">
        <v>106</v>
      </c>
      <c r="U772" s="42" t="inlineStr">
        <is>
          <t>P106|無印</t>
        </is>
      </c>
      <c r="V772" s="42" t="inlineStr">
        <is>
          <t>同頁凡例へ直接連動</t>
        </is>
      </c>
    </row>
    <row r="773">
      <c r="A773" s="43" t="inlineStr">
        <is>
          <t>SZ-SL-000770</t>
        </is>
      </c>
      <c r="B773" s="43" t="inlineStr">
        <is>
          <t>SER-LIX-SAMOSL</t>
        </is>
      </c>
      <c r="C773" s="43" t="inlineStr">
        <is>
          <t>WT-SL-MENKOSHI-HIKI</t>
        </is>
      </c>
      <c r="D773" s="43" t="inlineStr">
        <is>
          <t>面格子付引違い窓</t>
        </is>
      </c>
      <c r="E773" s="43" t="inlineStr">
        <is>
          <t>SP-SL-GRILLE-V</t>
        </is>
      </c>
      <c r="F773" s="43" t="inlineStr">
        <is>
          <t>在来・204</t>
        </is>
      </c>
      <c r="G773" s="43" t="inlineStr">
        <is>
          <t>07411</t>
        </is>
      </c>
      <c r="H773" s="43" t="inlineStr">
        <is>
          <t>074</t>
        </is>
      </c>
      <c r="I773" s="43" t="inlineStr">
        <is>
          <t>11</t>
        </is>
      </c>
      <c r="J773" s="222" t="n">
        <v>780</v>
      </c>
      <c r="K773" s="222" t="n">
        <v>1170</v>
      </c>
      <c r="L773" s="43" t="inlineStr">
        <is>
          <t>在来・204</t>
        </is>
      </c>
      <c r="M773" s="178" t="b">
        <v>1</v>
      </c>
      <c r="N773" s="43" t="inlineStr">
        <is>
          <t>カタログ個別可否確認済み</t>
        </is>
      </c>
      <c r="O773" s="222" t="n">
        <v>108</v>
      </c>
      <c r="P773" s="222" t="n">
        <v>106</v>
      </c>
      <c r="Q773" s="43" t="inlineStr">
        <is>
          <t>202604_LIXIL_サーモスＬ_業務用資料集_完成品価格表.pdf</t>
        </is>
      </c>
      <c r="R773" s="43" t="inlineStr">
        <is>
          <t>規格呼称は親品種で確認済み。固有仕様ごとの価格設定有無（＿＿表示等）は次QAで最終確定。</t>
        </is>
      </c>
      <c r="S773" s="42" t="inlineStr">
        <is>
          <t>無印</t>
        </is>
      </c>
      <c r="T773" s="42" t="n">
        <v>106</v>
      </c>
      <c r="U773" s="42" t="inlineStr">
        <is>
          <t>P106|無印</t>
        </is>
      </c>
      <c r="V773" s="42" t="inlineStr">
        <is>
          <t>同頁凡例へ直接連動</t>
        </is>
      </c>
    </row>
    <row r="774">
      <c r="A774" s="43" t="inlineStr">
        <is>
          <t>SZ-SL-000771</t>
        </is>
      </c>
      <c r="B774" s="43" t="inlineStr">
        <is>
          <t>SER-LIX-SAMOSL</t>
        </is>
      </c>
      <c r="C774" s="43" t="inlineStr">
        <is>
          <t>WT-SL-MENKOSHI-HIKI</t>
        </is>
      </c>
      <c r="D774" s="43" t="inlineStr">
        <is>
          <t>面格子付引違い窓</t>
        </is>
      </c>
      <c r="E774" s="43" t="inlineStr">
        <is>
          <t>SP-SL-GRILLE-DIA</t>
        </is>
      </c>
      <c r="F774" s="43" t="inlineStr">
        <is>
          <t>在来・204</t>
        </is>
      </c>
      <c r="G774" s="43" t="inlineStr">
        <is>
          <t>08011</t>
        </is>
      </c>
      <c r="H774" s="43" t="inlineStr">
        <is>
          <t>080</t>
        </is>
      </c>
      <c r="I774" s="43" t="inlineStr">
        <is>
          <t>11</t>
        </is>
      </c>
      <c r="J774" s="222" t="n">
        <v>845</v>
      </c>
      <c r="K774" s="222" t="n">
        <v>1170</v>
      </c>
      <c r="L774" s="43" t="inlineStr">
        <is>
          <t>在来・204</t>
        </is>
      </c>
      <c r="M774" s="178" t="b">
        <v>1</v>
      </c>
      <c r="N774" s="43" t="inlineStr">
        <is>
          <t>カタログ個別可否確認済み</t>
        </is>
      </c>
      <c r="O774" s="222" t="n">
        <v>109</v>
      </c>
      <c r="P774" s="222" t="n">
        <v>107</v>
      </c>
      <c r="Q774" s="43" t="inlineStr">
        <is>
          <t>202604_LIXIL_サーモスＬ_業務用資料集_完成品価格表.pdf</t>
        </is>
      </c>
      <c r="R774" s="43" t="inlineStr">
        <is>
          <t>規格呼称は親品種で確認済み。固有仕様ごとの価格設定有無（＿＿表示等）は次QAで最終確定。</t>
        </is>
      </c>
      <c r="S774" s="42" t="inlineStr">
        <is>
          <t>無印</t>
        </is>
      </c>
      <c r="T774" s="42" t="n">
        <v>106</v>
      </c>
      <c r="U774" s="42" t="inlineStr">
        <is>
          <t>P106|無印</t>
        </is>
      </c>
      <c r="V774" s="42" t="inlineStr">
        <is>
          <t>同一価格表・前頁凡例を継承</t>
        </is>
      </c>
    </row>
    <row r="775">
      <c r="A775" s="43" t="inlineStr">
        <is>
          <t>SZ-SL-000772</t>
        </is>
      </c>
      <c r="B775" s="43" t="inlineStr">
        <is>
          <t>SER-LIX-SAMOSL</t>
        </is>
      </c>
      <c r="C775" s="43" t="inlineStr">
        <is>
          <t>WT-SL-MENKOSHI-HIKI</t>
        </is>
      </c>
      <c r="D775" s="43" t="inlineStr">
        <is>
          <t>面格子付引違い窓</t>
        </is>
      </c>
      <c r="E775" s="43" t="inlineStr">
        <is>
          <t>SP-SL-GRILLE-DIA</t>
        </is>
      </c>
      <c r="F775" s="43" t="inlineStr">
        <is>
          <t>在来・204</t>
        </is>
      </c>
      <c r="G775" s="43" t="inlineStr">
        <is>
          <t>08311</t>
        </is>
      </c>
      <c r="H775" s="43" t="inlineStr">
        <is>
          <t>083</t>
        </is>
      </c>
      <c r="I775" s="43" t="inlineStr">
        <is>
          <t>11</t>
        </is>
      </c>
      <c r="J775" s="222" t="n">
        <v>870</v>
      </c>
      <c r="K775" s="222" t="n">
        <v>1170</v>
      </c>
      <c r="L775" s="43" t="inlineStr">
        <is>
          <t>在来・204</t>
        </is>
      </c>
      <c r="M775" s="178" t="b">
        <v>1</v>
      </c>
      <c r="N775" s="43" t="inlineStr">
        <is>
          <t>カタログ個別可否確認済み</t>
        </is>
      </c>
      <c r="O775" s="222" t="n">
        <v>109</v>
      </c>
      <c r="P775" s="222" t="n">
        <v>107</v>
      </c>
      <c r="Q775" s="43" t="inlineStr">
        <is>
          <t>202604_LIXIL_サーモスＬ_業務用資料集_完成品価格表.pdf</t>
        </is>
      </c>
      <c r="R775" s="43" t="inlineStr">
        <is>
          <t>規格呼称は親品種で確認済み。固有仕様ごとの価格設定有無（＿＿表示等）は次QAで最終確定。</t>
        </is>
      </c>
      <c r="S775" s="42" t="inlineStr">
        <is>
          <t>無印</t>
        </is>
      </c>
      <c r="T775" s="42" t="n">
        <v>106</v>
      </c>
      <c r="U775" s="42" t="inlineStr">
        <is>
          <t>P106|無印</t>
        </is>
      </c>
      <c r="V775" s="42" t="inlineStr">
        <is>
          <t>同一価格表・前頁凡例を継承</t>
        </is>
      </c>
    </row>
    <row r="776">
      <c r="A776" s="43" t="inlineStr">
        <is>
          <t>SZ-SL-000773</t>
        </is>
      </c>
      <c r="B776" s="43" t="inlineStr">
        <is>
          <t>SER-LIX-SAMOSL</t>
        </is>
      </c>
      <c r="C776" s="43" t="inlineStr">
        <is>
          <t>WT-SL-MENKOSHI-HIKI</t>
        </is>
      </c>
      <c r="D776" s="43" t="inlineStr">
        <is>
          <t>面格子付引違い窓</t>
        </is>
      </c>
      <c r="E776" s="43" t="inlineStr">
        <is>
          <t>SP-SL-GRILLE-DIA</t>
        </is>
      </c>
      <c r="F776" s="43" t="inlineStr">
        <is>
          <t>在来・204</t>
        </is>
      </c>
      <c r="G776" s="43" t="inlineStr">
        <is>
          <t>11411</t>
        </is>
      </c>
      <c r="H776" s="43" t="inlineStr">
        <is>
          <t>114</t>
        </is>
      </c>
      <c r="I776" s="43" t="inlineStr">
        <is>
          <t>11</t>
        </is>
      </c>
      <c r="J776" s="222" t="n">
        <v>1185</v>
      </c>
      <c r="K776" s="222" t="n">
        <v>1170</v>
      </c>
      <c r="L776" s="43" t="inlineStr">
        <is>
          <t>在来・204</t>
        </is>
      </c>
      <c r="M776" s="178" t="b">
        <v>1</v>
      </c>
      <c r="N776" s="43" t="inlineStr">
        <is>
          <t>カタログ個別可否確認済み</t>
        </is>
      </c>
      <c r="O776" s="222" t="n">
        <v>109</v>
      </c>
      <c r="P776" s="222" t="n">
        <v>107</v>
      </c>
      <c r="Q776" s="43" t="inlineStr">
        <is>
          <t>202604_LIXIL_サーモスＬ_業務用資料集_完成品価格表.pdf</t>
        </is>
      </c>
      <c r="R776" s="43" t="inlineStr">
        <is>
          <t>規格呼称は親品種で確認済み。固有仕様ごとの価格設定有無（＿＿表示等）は次QAで最終確定。</t>
        </is>
      </c>
      <c r="S776" s="42" t="inlineStr">
        <is>
          <t>無印</t>
        </is>
      </c>
      <c r="T776" s="42" t="n">
        <v>106</v>
      </c>
      <c r="U776" s="42" t="inlineStr">
        <is>
          <t>P106|無印</t>
        </is>
      </c>
      <c r="V776" s="42" t="inlineStr">
        <is>
          <t>同一価格表・前頁凡例を継承</t>
        </is>
      </c>
    </row>
    <row r="777">
      <c r="A777" s="43" t="inlineStr">
        <is>
          <t>SZ-SL-000774</t>
        </is>
      </c>
      <c r="B777" s="43" t="inlineStr">
        <is>
          <t>SER-LIX-SAMOSL</t>
        </is>
      </c>
      <c r="C777" s="43" t="inlineStr">
        <is>
          <t>WT-SL-MENKOSHI-HIKI</t>
        </is>
      </c>
      <c r="D777" s="43" t="inlineStr">
        <is>
          <t>面格子付引違い窓</t>
        </is>
      </c>
      <c r="E777" s="43" t="inlineStr">
        <is>
          <t>SP-SL-GRILLE-DIA</t>
        </is>
      </c>
      <c r="F777" s="43" t="inlineStr">
        <is>
          <t>在来・204</t>
        </is>
      </c>
      <c r="G777" s="43" t="inlineStr">
        <is>
          <t>11911</t>
        </is>
      </c>
      <c r="H777" s="43" t="inlineStr">
        <is>
          <t>119</t>
        </is>
      </c>
      <c r="I777" s="43" t="inlineStr">
        <is>
          <t>11</t>
        </is>
      </c>
      <c r="J777" s="222" t="n">
        <v>1235</v>
      </c>
      <c r="K777" s="222" t="n">
        <v>1170</v>
      </c>
      <c r="L777" s="43" t="inlineStr">
        <is>
          <t>在来・204</t>
        </is>
      </c>
      <c r="M777" s="178" t="b">
        <v>1</v>
      </c>
      <c r="N777" s="43" t="inlineStr">
        <is>
          <t>カタログ個別可否確認済み</t>
        </is>
      </c>
      <c r="O777" s="222" t="n">
        <v>109</v>
      </c>
      <c r="P777" s="222" t="n">
        <v>107</v>
      </c>
      <c r="Q777" s="43" t="inlineStr">
        <is>
          <t>202604_LIXIL_サーモスＬ_業務用資料集_完成品価格表.pdf</t>
        </is>
      </c>
      <c r="R777" s="43" t="inlineStr">
        <is>
          <t>規格呼称は親品種で確認済み。固有仕様ごとの価格設定有無（＿＿表示等）は次QAで最終確定。</t>
        </is>
      </c>
      <c r="S777" s="42" t="inlineStr">
        <is>
          <t>無印</t>
        </is>
      </c>
      <c r="T777" s="42" t="n">
        <v>106</v>
      </c>
      <c r="U777" s="42" t="inlineStr">
        <is>
          <t>P106|無印</t>
        </is>
      </c>
      <c r="V777" s="42" t="inlineStr">
        <is>
          <t>同一価格表・前頁凡例を継承</t>
        </is>
      </c>
    </row>
    <row r="778">
      <c r="A778" s="43" t="inlineStr">
        <is>
          <t>SZ-SL-000775</t>
        </is>
      </c>
      <c r="B778" s="43" t="inlineStr">
        <is>
          <t>SER-LIX-SAMOSL</t>
        </is>
      </c>
      <c r="C778" s="43" t="inlineStr">
        <is>
          <t>WT-SL-MENKOSHI-HIKI</t>
        </is>
      </c>
      <c r="D778" s="43" t="inlineStr">
        <is>
          <t>面格子付引違い窓</t>
        </is>
      </c>
      <c r="E778" s="43" t="inlineStr">
        <is>
          <t>SP-SL-GRILLE-DIA</t>
        </is>
      </c>
      <c r="F778" s="43" t="inlineStr">
        <is>
          <t>在来・204</t>
        </is>
      </c>
      <c r="G778" s="43" t="inlineStr">
        <is>
          <t>12811</t>
        </is>
      </c>
      <c r="H778" s="43" t="inlineStr">
        <is>
          <t>128</t>
        </is>
      </c>
      <c r="I778" s="43" t="inlineStr">
        <is>
          <t>11</t>
        </is>
      </c>
      <c r="J778" s="222" t="n">
        <v>1320</v>
      </c>
      <c r="K778" s="222" t="n">
        <v>1170</v>
      </c>
      <c r="L778" s="43" t="inlineStr">
        <is>
          <t>在来・204</t>
        </is>
      </c>
      <c r="M778" s="178" t="b">
        <v>1</v>
      </c>
      <c r="N778" s="43" t="inlineStr">
        <is>
          <t>カタログ個別可否確認済み</t>
        </is>
      </c>
      <c r="O778" s="222" t="n">
        <v>109</v>
      </c>
      <c r="P778" s="222" t="n">
        <v>107</v>
      </c>
      <c r="Q778" s="43" t="inlineStr">
        <is>
          <t>202604_LIXIL_サーモスＬ_業務用資料集_完成品価格表.pdf</t>
        </is>
      </c>
      <c r="R778" s="43" t="inlineStr">
        <is>
          <t>規格呼称は親品種で確認済み。固有仕様ごとの価格設定有無（＿＿表示等）は次QAで最終確定。</t>
        </is>
      </c>
      <c r="S778" s="42" t="inlineStr">
        <is>
          <t>無印</t>
        </is>
      </c>
      <c r="T778" s="42" t="n">
        <v>106</v>
      </c>
      <c r="U778" s="42" t="inlineStr">
        <is>
          <t>P106|無印</t>
        </is>
      </c>
      <c r="V778" s="42" t="inlineStr">
        <is>
          <t>同一価格表・前頁凡例を継承</t>
        </is>
      </c>
    </row>
    <row r="779">
      <c r="A779" s="43" t="inlineStr">
        <is>
          <t>SZ-SL-000776</t>
        </is>
      </c>
      <c r="B779" s="43" t="inlineStr">
        <is>
          <t>SER-LIX-SAMOSL</t>
        </is>
      </c>
      <c r="C779" s="43" t="inlineStr">
        <is>
          <t>WT-SL-MENKOSHI-HIKI</t>
        </is>
      </c>
      <c r="D779" s="43" t="inlineStr">
        <is>
          <t>面格子付引違い窓</t>
        </is>
      </c>
      <c r="E779" s="43" t="inlineStr">
        <is>
          <t>SP-SL-GRILLE-H</t>
        </is>
      </c>
      <c r="F779" s="43" t="inlineStr">
        <is>
          <t>在来・204</t>
        </is>
      </c>
      <c r="G779" s="43" t="inlineStr">
        <is>
          <t>08011</t>
        </is>
      </c>
      <c r="H779" s="43" t="inlineStr">
        <is>
          <t>080</t>
        </is>
      </c>
      <c r="I779" s="43" t="inlineStr">
        <is>
          <t>11</t>
        </is>
      </c>
      <c r="J779" s="222" t="n">
        <v>845</v>
      </c>
      <c r="K779" s="222" t="n">
        <v>1170</v>
      </c>
      <c r="L779" s="43" t="inlineStr">
        <is>
          <t>在来・204</t>
        </is>
      </c>
      <c r="M779" s="178" t="b">
        <v>1</v>
      </c>
      <c r="N779" s="43" t="inlineStr">
        <is>
          <t>カタログ個別可否確認済み</t>
        </is>
      </c>
      <c r="O779" s="222" t="n">
        <v>109</v>
      </c>
      <c r="P779" s="222" t="n">
        <v>107</v>
      </c>
      <c r="Q779" s="43" t="inlineStr">
        <is>
          <t>202604_LIXIL_サーモスＬ_業務用資料集_完成品価格表.pdf</t>
        </is>
      </c>
      <c r="R779" s="43" t="inlineStr">
        <is>
          <t>規格呼称は親品種で確認済み。固有仕様ごとの価格設定有無（＿＿表示等）は次QAで最終確定。</t>
        </is>
      </c>
      <c r="S779" s="42" t="inlineStr">
        <is>
          <t>無印</t>
        </is>
      </c>
      <c r="T779" s="42" t="n">
        <v>106</v>
      </c>
      <c r="U779" s="42" t="inlineStr">
        <is>
          <t>P106|無印</t>
        </is>
      </c>
      <c r="V779" s="42" t="inlineStr">
        <is>
          <t>同一価格表・前頁凡例を継承</t>
        </is>
      </c>
    </row>
    <row r="780">
      <c r="A780" s="43" t="inlineStr">
        <is>
          <t>SZ-SL-000777</t>
        </is>
      </c>
      <c r="B780" s="43" t="inlineStr">
        <is>
          <t>SER-LIX-SAMOSL</t>
        </is>
      </c>
      <c r="C780" s="43" t="inlineStr">
        <is>
          <t>WT-SL-MENKOSHI-HIKI</t>
        </is>
      </c>
      <c r="D780" s="43" t="inlineStr">
        <is>
          <t>面格子付引違い窓</t>
        </is>
      </c>
      <c r="E780" s="43" t="inlineStr">
        <is>
          <t>SP-SL-GRILLE-H</t>
        </is>
      </c>
      <c r="F780" s="43" t="inlineStr">
        <is>
          <t>在来・204</t>
        </is>
      </c>
      <c r="G780" s="43" t="inlineStr">
        <is>
          <t>08311</t>
        </is>
      </c>
      <c r="H780" s="43" t="inlineStr">
        <is>
          <t>083</t>
        </is>
      </c>
      <c r="I780" s="43" t="inlineStr">
        <is>
          <t>11</t>
        </is>
      </c>
      <c r="J780" s="222" t="n">
        <v>870</v>
      </c>
      <c r="K780" s="222" t="n">
        <v>1170</v>
      </c>
      <c r="L780" s="43" t="inlineStr">
        <is>
          <t>在来・204</t>
        </is>
      </c>
      <c r="M780" s="178" t="b">
        <v>1</v>
      </c>
      <c r="N780" s="43" t="inlineStr">
        <is>
          <t>カタログ個別可否確認済み</t>
        </is>
      </c>
      <c r="O780" s="222" t="n">
        <v>109</v>
      </c>
      <c r="P780" s="222" t="n">
        <v>107</v>
      </c>
      <c r="Q780" s="43" t="inlineStr">
        <is>
          <t>202604_LIXIL_サーモスＬ_業務用資料集_完成品価格表.pdf</t>
        </is>
      </c>
      <c r="R780" s="43" t="inlineStr">
        <is>
          <t>規格呼称は親品種で確認済み。固有仕様ごとの価格設定有無（＿＿表示等）は次QAで最終確定。</t>
        </is>
      </c>
      <c r="S780" s="42" t="inlineStr">
        <is>
          <t>無印</t>
        </is>
      </c>
      <c r="T780" s="42" t="n">
        <v>106</v>
      </c>
      <c r="U780" s="42" t="inlineStr">
        <is>
          <t>P106|無印</t>
        </is>
      </c>
      <c r="V780" s="42" t="inlineStr">
        <is>
          <t>同一価格表・前頁凡例を継承</t>
        </is>
      </c>
    </row>
    <row r="781">
      <c r="A781" s="43" t="inlineStr">
        <is>
          <t>SZ-SL-000778</t>
        </is>
      </c>
      <c r="B781" s="43" t="inlineStr">
        <is>
          <t>SER-LIX-SAMOSL</t>
        </is>
      </c>
      <c r="C781" s="43" t="inlineStr">
        <is>
          <t>WT-SL-MENKOSHI-HIKI</t>
        </is>
      </c>
      <c r="D781" s="43" t="inlineStr">
        <is>
          <t>面格子付引違い窓</t>
        </is>
      </c>
      <c r="E781" s="43" t="inlineStr">
        <is>
          <t>SP-SL-GRILLE-H</t>
        </is>
      </c>
      <c r="F781" s="43" t="inlineStr">
        <is>
          <t>在来・204</t>
        </is>
      </c>
      <c r="G781" s="43" t="inlineStr">
        <is>
          <t>11411</t>
        </is>
      </c>
      <c r="H781" s="43" t="inlineStr">
        <is>
          <t>114</t>
        </is>
      </c>
      <c r="I781" s="43" t="inlineStr">
        <is>
          <t>11</t>
        </is>
      </c>
      <c r="J781" s="222" t="n">
        <v>1185</v>
      </c>
      <c r="K781" s="222" t="n">
        <v>1170</v>
      </c>
      <c r="L781" s="43" t="inlineStr">
        <is>
          <t>在来・204</t>
        </is>
      </c>
      <c r="M781" s="178" t="b">
        <v>1</v>
      </c>
      <c r="N781" s="43" t="inlineStr">
        <is>
          <t>カタログ個別可否確認済み</t>
        </is>
      </c>
      <c r="O781" s="222" t="n">
        <v>109</v>
      </c>
      <c r="P781" s="222" t="n">
        <v>107</v>
      </c>
      <c r="Q781" s="43" t="inlineStr">
        <is>
          <t>202604_LIXIL_サーモスＬ_業務用資料集_完成品価格表.pdf</t>
        </is>
      </c>
      <c r="R781" s="43" t="inlineStr">
        <is>
          <t>規格呼称は親品種で確認済み。固有仕様ごとの価格設定有無（＿＿表示等）は次QAで最終確定。</t>
        </is>
      </c>
      <c r="S781" s="42" t="inlineStr">
        <is>
          <t>無印</t>
        </is>
      </c>
      <c r="T781" s="42" t="n">
        <v>106</v>
      </c>
      <c r="U781" s="42" t="inlineStr">
        <is>
          <t>P106|無印</t>
        </is>
      </c>
      <c r="V781" s="42" t="inlineStr">
        <is>
          <t>同一価格表・前頁凡例を継承</t>
        </is>
      </c>
    </row>
    <row r="782">
      <c r="A782" s="43" t="inlineStr">
        <is>
          <t>SZ-SL-000779</t>
        </is>
      </c>
      <c r="B782" s="43" t="inlineStr">
        <is>
          <t>SER-LIX-SAMOSL</t>
        </is>
      </c>
      <c r="C782" s="43" t="inlineStr">
        <is>
          <t>WT-SL-MENKOSHI-HIKI</t>
        </is>
      </c>
      <c r="D782" s="43" t="inlineStr">
        <is>
          <t>面格子付引違い窓</t>
        </is>
      </c>
      <c r="E782" s="43" t="inlineStr">
        <is>
          <t>SP-SL-GRILLE-H</t>
        </is>
      </c>
      <c r="F782" s="43" t="inlineStr">
        <is>
          <t>在来・204</t>
        </is>
      </c>
      <c r="G782" s="43" t="inlineStr">
        <is>
          <t>11911</t>
        </is>
      </c>
      <c r="H782" s="43" t="inlineStr">
        <is>
          <t>119</t>
        </is>
      </c>
      <c r="I782" s="43" t="inlineStr">
        <is>
          <t>11</t>
        </is>
      </c>
      <c r="J782" s="222" t="n">
        <v>1235</v>
      </c>
      <c r="K782" s="222" t="n">
        <v>1170</v>
      </c>
      <c r="L782" s="43" t="inlineStr">
        <is>
          <t>在来・204</t>
        </is>
      </c>
      <c r="M782" s="178" t="b">
        <v>1</v>
      </c>
      <c r="N782" s="43" t="inlineStr">
        <is>
          <t>カタログ個別可否確認済み</t>
        </is>
      </c>
      <c r="O782" s="222" t="n">
        <v>109</v>
      </c>
      <c r="P782" s="222" t="n">
        <v>107</v>
      </c>
      <c r="Q782" s="43" t="inlineStr">
        <is>
          <t>202604_LIXIL_サーモスＬ_業務用資料集_完成品価格表.pdf</t>
        </is>
      </c>
      <c r="R782" s="43" t="inlineStr">
        <is>
          <t>規格呼称は親品種で確認済み。固有仕様ごとの価格設定有無（＿＿表示等）は次QAで最終確定。</t>
        </is>
      </c>
      <c r="S782" s="42" t="inlineStr">
        <is>
          <t>無印</t>
        </is>
      </c>
      <c r="T782" s="42" t="n">
        <v>106</v>
      </c>
      <c r="U782" s="42" t="inlineStr">
        <is>
          <t>P106|無印</t>
        </is>
      </c>
      <c r="V782" s="42" t="inlineStr">
        <is>
          <t>同一価格表・前頁凡例を継承</t>
        </is>
      </c>
    </row>
    <row r="783">
      <c r="A783" s="43" t="inlineStr">
        <is>
          <t>SZ-SL-000780</t>
        </is>
      </c>
      <c r="B783" s="43" t="inlineStr">
        <is>
          <t>SER-LIX-SAMOSL</t>
        </is>
      </c>
      <c r="C783" s="43" t="inlineStr">
        <is>
          <t>WT-SL-MENKOSHI-HIKI</t>
        </is>
      </c>
      <c r="D783" s="43" t="inlineStr">
        <is>
          <t>面格子付引違い窓</t>
        </is>
      </c>
      <c r="E783" s="43" t="inlineStr">
        <is>
          <t>SP-SL-GRILLE-H</t>
        </is>
      </c>
      <c r="F783" s="43" t="inlineStr">
        <is>
          <t>在来・204</t>
        </is>
      </c>
      <c r="G783" s="43" t="inlineStr">
        <is>
          <t>12811</t>
        </is>
      </c>
      <c r="H783" s="43" t="inlineStr">
        <is>
          <t>128</t>
        </is>
      </c>
      <c r="I783" s="43" t="inlineStr">
        <is>
          <t>11</t>
        </is>
      </c>
      <c r="J783" s="222" t="n">
        <v>1320</v>
      </c>
      <c r="K783" s="222" t="n">
        <v>1170</v>
      </c>
      <c r="L783" s="43" t="inlineStr">
        <is>
          <t>在来・204</t>
        </is>
      </c>
      <c r="M783" s="178" t="b">
        <v>1</v>
      </c>
      <c r="N783" s="43" t="inlineStr">
        <is>
          <t>カタログ個別可否確認済み</t>
        </is>
      </c>
      <c r="O783" s="222" t="n">
        <v>109</v>
      </c>
      <c r="P783" s="222" t="n">
        <v>107</v>
      </c>
      <c r="Q783" s="43" t="inlineStr">
        <is>
          <t>202604_LIXIL_サーモスＬ_業務用資料集_完成品価格表.pdf</t>
        </is>
      </c>
      <c r="R783" s="43" t="inlineStr">
        <is>
          <t>規格呼称は親品種で確認済み。固有仕様ごとの価格設定有無（＿＿表示等）は次QAで最終確定。</t>
        </is>
      </c>
      <c r="S783" s="42" t="inlineStr">
        <is>
          <t>無印</t>
        </is>
      </c>
      <c r="T783" s="42" t="n">
        <v>106</v>
      </c>
      <c r="U783" s="42" t="inlineStr">
        <is>
          <t>P106|無印</t>
        </is>
      </c>
      <c r="V783" s="42" t="inlineStr">
        <is>
          <t>同一価格表・前頁凡例を継承</t>
        </is>
      </c>
    </row>
    <row r="784">
      <c r="A784" s="43" t="inlineStr">
        <is>
          <t>SZ-SL-000781</t>
        </is>
      </c>
      <c r="B784" s="43" t="inlineStr">
        <is>
          <t>SER-LIX-SAMOSL</t>
        </is>
      </c>
      <c r="C784" s="43" t="inlineStr">
        <is>
          <t>WT-SL-MENKOSHI-HIKI</t>
        </is>
      </c>
      <c r="D784" s="43" t="inlineStr">
        <is>
          <t>面格子付引違い窓</t>
        </is>
      </c>
      <c r="E784" s="43" t="inlineStr">
        <is>
          <t>SP-SL-GRILLE-IGETA</t>
        </is>
      </c>
      <c r="F784" s="43" t="inlineStr">
        <is>
          <t>在来・204</t>
        </is>
      </c>
      <c r="G784" s="43" t="inlineStr">
        <is>
          <t>08011</t>
        </is>
      </c>
      <c r="H784" s="43" t="inlineStr">
        <is>
          <t>080</t>
        </is>
      </c>
      <c r="I784" s="43" t="inlineStr">
        <is>
          <t>11</t>
        </is>
      </c>
      <c r="J784" s="222" t="n">
        <v>845</v>
      </c>
      <c r="K784" s="222" t="n">
        <v>1170</v>
      </c>
      <c r="L784" s="43" t="inlineStr">
        <is>
          <t>在来・204</t>
        </is>
      </c>
      <c r="M784" s="178" t="b">
        <v>1</v>
      </c>
      <c r="N784" s="43" t="inlineStr">
        <is>
          <t>カタログ個別可否確認済み</t>
        </is>
      </c>
      <c r="O784" s="222" t="n">
        <v>109</v>
      </c>
      <c r="P784" s="222" t="n">
        <v>107</v>
      </c>
      <c r="Q784" s="43" t="inlineStr">
        <is>
          <t>202604_LIXIL_サーモスＬ_業務用資料集_完成品価格表.pdf</t>
        </is>
      </c>
      <c r="R784" s="43" t="inlineStr">
        <is>
          <t>規格呼称は親品種で確認済み。固有仕様ごとの価格設定有無（＿＿表示等）は次QAで最終確定。</t>
        </is>
      </c>
      <c r="S784" s="42" t="inlineStr">
        <is>
          <t>無印</t>
        </is>
      </c>
      <c r="T784" s="42" t="n">
        <v>106</v>
      </c>
      <c r="U784" s="42" t="inlineStr">
        <is>
          <t>P106|無印</t>
        </is>
      </c>
      <c r="V784" s="42" t="inlineStr">
        <is>
          <t>同一価格表・前頁凡例を継承</t>
        </is>
      </c>
    </row>
    <row r="785">
      <c r="A785" s="43" t="inlineStr">
        <is>
          <t>SZ-SL-000782</t>
        </is>
      </c>
      <c r="B785" s="43" t="inlineStr">
        <is>
          <t>SER-LIX-SAMOSL</t>
        </is>
      </c>
      <c r="C785" s="43" t="inlineStr">
        <is>
          <t>WT-SL-MENKOSHI-HIKI</t>
        </is>
      </c>
      <c r="D785" s="43" t="inlineStr">
        <is>
          <t>面格子付引違い窓</t>
        </is>
      </c>
      <c r="E785" s="43" t="inlineStr">
        <is>
          <t>SP-SL-GRILLE-IGETA</t>
        </is>
      </c>
      <c r="F785" s="43" t="inlineStr">
        <is>
          <t>在来・204</t>
        </is>
      </c>
      <c r="G785" s="43" t="inlineStr">
        <is>
          <t>08311</t>
        </is>
      </c>
      <c r="H785" s="43" t="inlineStr">
        <is>
          <t>083</t>
        </is>
      </c>
      <c r="I785" s="43" t="inlineStr">
        <is>
          <t>11</t>
        </is>
      </c>
      <c r="J785" s="222" t="n">
        <v>870</v>
      </c>
      <c r="K785" s="222" t="n">
        <v>1170</v>
      </c>
      <c r="L785" s="43" t="inlineStr">
        <is>
          <t>在来・204</t>
        </is>
      </c>
      <c r="M785" s="178" t="b">
        <v>1</v>
      </c>
      <c r="N785" s="43" t="inlineStr">
        <is>
          <t>カタログ個別可否確認済み</t>
        </is>
      </c>
      <c r="O785" s="222" t="n">
        <v>109</v>
      </c>
      <c r="P785" s="222" t="n">
        <v>107</v>
      </c>
      <c r="Q785" s="43" t="inlineStr">
        <is>
          <t>202604_LIXIL_サーモスＬ_業務用資料集_完成品価格表.pdf</t>
        </is>
      </c>
      <c r="R785" s="43" t="inlineStr">
        <is>
          <t>規格呼称は親品種で確認済み。固有仕様ごとの価格設定有無（＿＿表示等）は次QAで最終確定。</t>
        </is>
      </c>
      <c r="S785" s="42" t="inlineStr">
        <is>
          <t>無印</t>
        </is>
      </c>
      <c r="T785" s="42" t="n">
        <v>106</v>
      </c>
      <c r="U785" s="42" t="inlineStr">
        <is>
          <t>P106|無印</t>
        </is>
      </c>
      <c r="V785" s="42" t="inlineStr">
        <is>
          <t>同一価格表・前頁凡例を継承</t>
        </is>
      </c>
    </row>
    <row r="786">
      <c r="A786" s="43" t="inlineStr">
        <is>
          <t>SZ-SL-000783</t>
        </is>
      </c>
      <c r="B786" s="43" t="inlineStr">
        <is>
          <t>SER-LIX-SAMOSL</t>
        </is>
      </c>
      <c r="C786" s="43" t="inlineStr">
        <is>
          <t>WT-SL-MENKOSHI-HIKI</t>
        </is>
      </c>
      <c r="D786" s="43" t="inlineStr">
        <is>
          <t>面格子付引違い窓</t>
        </is>
      </c>
      <c r="E786" s="43" t="inlineStr">
        <is>
          <t>SP-SL-GRILLE-IGETA</t>
        </is>
      </c>
      <c r="F786" s="43" t="inlineStr">
        <is>
          <t>在来・204</t>
        </is>
      </c>
      <c r="G786" s="43" t="inlineStr">
        <is>
          <t>11411</t>
        </is>
      </c>
      <c r="H786" s="43" t="inlineStr">
        <is>
          <t>114</t>
        </is>
      </c>
      <c r="I786" s="43" t="inlineStr">
        <is>
          <t>11</t>
        </is>
      </c>
      <c r="J786" s="222" t="n">
        <v>1185</v>
      </c>
      <c r="K786" s="222" t="n">
        <v>1170</v>
      </c>
      <c r="L786" s="43" t="inlineStr">
        <is>
          <t>在来・204</t>
        </is>
      </c>
      <c r="M786" s="178" t="b">
        <v>1</v>
      </c>
      <c r="N786" s="43" t="inlineStr">
        <is>
          <t>カタログ個別可否確認済み</t>
        </is>
      </c>
      <c r="O786" s="222" t="n">
        <v>109</v>
      </c>
      <c r="P786" s="222" t="n">
        <v>107</v>
      </c>
      <c r="Q786" s="43" t="inlineStr">
        <is>
          <t>202604_LIXIL_サーモスＬ_業務用資料集_完成品価格表.pdf</t>
        </is>
      </c>
      <c r="R786" s="43" t="inlineStr">
        <is>
          <t>規格呼称は親品種で確認済み。固有仕様ごとの価格設定有無（＿＿表示等）は次QAで最終確定。</t>
        </is>
      </c>
      <c r="S786" s="42" t="inlineStr">
        <is>
          <t>無印</t>
        </is>
      </c>
      <c r="T786" s="42" t="n">
        <v>106</v>
      </c>
      <c r="U786" s="42" t="inlineStr">
        <is>
          <t>P106|無印</t>
        </is>
      </c>
      <c r="V786" s="42" t="inlineStr">
        <is>
          <t>同一価格表・前頁凡例を継承</t>
        </is>
      </c>
    </row>
    <row r="787">
      <c r="A787" s="43" t="inlineStr">
        <is>
          <t>SZ-SL-000784</t>
        </is>
      </c>
      <c r="B787" s="43" t="inlineStr">
        <is>
          <t>SER-LIX-SAMOSL</t>
        </is>
      </c>
      <c r="C787" s="43" t="inlineStr">
        <is>
          <t>WT-SL-MENKOSHI-HIKI</t>
        </is>
      </c>
      <c r="D787" s="43" t="inlineStr">
        <is>
          <t>面格子付引違い窓</t>
        </is>
      </c>
      <c r="E787" s="43" t="inlineStr">
        <is>
          <t>SP-SL-GRILLE-IGETA</t>
        </is>
      </c>
      <c r="F787" s="43" t="inlineStr">
        <is>
          <t>在来・204</t>
        </is>
      </c>
      <c r="G787" s="43" t="inlineStr">
        <is>
          <t>11911</t>
        </is>
      </c>
      <c r="H787" s="43" t="inlineStr">
        <is>
          <t>119</t>
        </is>
      </c>
      <c r="I787" s="43" t="inlineStr">
        <is>
          <t>11</t>
        </is>
      </c>
      <c r="J787" s="222" t="n">
        <v>1235</v>
      </c>
      <c r="K787" s="222" t="n">
        <v>1170</v>
      </c>
      <c r="L787" s="43" t="inlineStr">
        <is>
          <t>在来・204</t>
        </is>
      </c>
      <c r="M787" s="178" t="b">
        <v>1</v>
      </c>
      <c r="N787" s="43" t="inlineStr">
        <is>
          <t>カタログ個別可否確認済み</t>
        </is>
      </c>
      <c r="O787" s="222" t="n">
        <v>109</v>
      </c>
      <c r="P787" s="222" t="n">
        <v>107</v>
      </c>
      <c r="Q787" s="43" t="inlineStr">
        <is>
          <t>202604_LIXIL_サーモスＬ_業務用資料集_完成品価格表.pdf</t>
        </is>
      </c>
      <c r="R787" s="43" t="inlineStr">
        <is>
          <t>規格呼称は親品種で確認済み。固有仕様ごとの価格設定有無（＿＿表示等）は次QAで最終確定。</t>
        </is>
      </c>
      <c r="S787" s="42" t="inlineStr">
        <is>
          <t>無印</t>
        </is>
      </c>
      <c r="T787" s="42" t="n">
        <v>106</v>
      </c>
      <c r="U787" s="42" t="inlineStr">
        <is>
          <t>P106|無印</t>
        </is>
      </c>
      <c r="V787" s="42" t="inlineStr">
        <is>
          <t>同一価格表・前頁凡例を継承</t>
        </is>
      </c>
    </row>
    <row r="788">
      <c r="A788" s="43" t="inlineStr">
        <is>
          <t>SZ-SL-000785</t>
        </is>
      </c>
      <c r="B788" s="43" t="inlineStr">
        <is>
          <t>SER-LIX-SAMOSL</t>
        </is>
      </c>
      <c r="C788" s="43" t="inlineStr">
        <is>
          <t>WT-SL-MENKOSHI-HIKI</t>
        </is>
      </c>
      <c r="D788" s="43" t="inlineStr">
        <is>
          <t>面格子付引違い窓</t>
        </is>
      </c>
      <c r="E788" s="43" t="inlineStr">
        <is>
          <t>SP-SL-GRILLE-IGETA</t>
        </is>
      </c>
      <c r="F788" s="43" t="inlineStr">
        <is>
          <t>在来・204</t>
        </is>
      </c>
      <c r="G788" s="43" t="inlineStr">
        <is>
          <t>12811</t>
        </is>
      </c>
      <c r="H788" s="43" t="inlineStr">
        <is>
          <t>128</t>
        </is>
      </c>
      <c r="I788" s="43" t="inlineStr">
        <is>
          <t>11</t>
        </is>
      </c>
      <c r="J788" s="222" t="n">
        <v>1320</v>
      </c>
      <c r="K788" s="222" t="n">
        <v>1170</v>
      </c>
      <c r="L788" s="43" t="inlineStr">
        <is>
          <t>在来・204</t>
        </is>
      </c>
      <c r="M788" s="178" t="b">
        <v>1</v>
      </c>
      <c r="N788" s="43" t="inlineStr">
        <is>
          <t>カタログ個別可否確認済み</t>
        </is>
      </c>
      <c r="O788" s="222" t="n">
        <v>109</v>
      </c>
      <c r="P788" s="222" t="n">
        <v>107</v>
      </c>
      <c r="Q788" s="43" t="inlineStr">
        <is>
          <t>202604_LIXIL_サーモスＬ_業務用資料集_完成品価格表.pdf</t>
        </is>
      </c>
      <c r="R788" s="43" t="inlineStr">
        <is>
          <t>規格呼称は親品種で確認済み。固有仕様ごとの価格設定有無（＿＿表示等）は次QAで最終確定。</t>
        </is>
      </c>
      <c r="S788" s="42" t="inlineStr">
        <is>
          <t>無印</t>
        </is>
      </c>
      <c r="T788" s="42" t="n">
        <v>106</v>
      </c>
      <c r="U788" s="42" t="inlineStr">
        <is>
          <t>P106|無印</t>
        </is>
      </c>
      <c r="V788" s="42" t="inlineStr">
        <is>
          <t>同一価格表・前頁凡例を継承</t>
        </is>
      </c>
    </row>
    <row r="789">
      <c r="A789" s="43" t="inlineStr">
        <is>
          <t>SZ-SL-000786</t>
        </is>
      </c>
      <c r="B789" s="43" t="inlineStr">
        <is>
          <t>SER-LIX-SAMOSL</t>
        </is>
      </c>
      <c r="C789" s="43" t="inlineStr">
        <is>
          <t>WT-SL-MENKOSHI-HIKI</t>
        </is>
      </c>
      <c r="D789" s="43" t="inlineStr">
        <is>
          <t>面格子付引違い窓</t>
        </is>
      </c>
      <c r="E789" s="43" t="inlineStr">
        <is>
          <t>SP-SL-GRILLE-V</t>
        </is>
      </c>
      <c r="F789" s="43" t="inlineStr">
        <is>
          <t>在来・204</t>
        </is>
      </c>
      <c r="G789" s="43" t="inlineStr">
        <is>
          <t>08011</t>
        </is>
      </c>
      <c r="H789" s="43" t="inlineStr">
        <is>
          <t>080</t>
        </is>
      </c>
      <c r="I789" s="43" t="inlineStr">
        <is>
          <t>11</t>
        </is>
      </c>
      <c r="J789" s="222" t="n">
        <v>845</v>
      </c>
      <c r="K789" s="222" t="n">
        <v>1170</v>
      </c>
      <c r="L789" s="43" t="inlineStr">
        <is>
          <t>在来・204</t>
        </is>
      </c>
      <c r="M789" s="178" t="b">
        <v>1</v>
      </c>
      <c r="N789" s="43" t="inlineStr">
        <is>
          <t>カタログ個別可否確認済み</t>
        </is>
      </c>
      <c r="O789" s="222" t="n">
        <v>109</v>
      </c>
      <c r="P789" s="222" t="n">
        <v>107</v>
      </c>
      <c r="Q789" s="43" t="inlineStr">
        <is>
          <t>202604_LIXIL_サーモスＬ_業務用資料集_完成品価格表.pdf</t>
        </is>
      </c>
      <c r="R789" s="43" t="inlineStr">
        <is>
          <t>規格呼称は親品種で確認済み。固有仕様ごとの価格設定有無（＿＿表示等）は次QAで最終確定。</t>
        </is>
      </c>
      <c r="S789" s="42" t="inlineStr">
        <is>
          <t>無印</t>
        </is>
      </c>
      <c r="T789" s="42" t="n">
        <v>106</v>
      </c>
      <c r="U789" s="42" t="inlineStr">
        <is>
          <t>P106|無印</t>
        </is>
      </c>
      <c r="V789" s="42" t="inlineStr">
        <is>
          <t>同一価格表・前頁凡例を継承</t>
        </is>
      </c>
    </row>
    <row r="790">
      <c r="A790" s="43" t="inlineStr">
        <is>
          <t>SZ-SL-000787</t>
        </is>
      </c>
      <c r="B790" s="43" t="inlineStr">
        <is>
          <t>SER-LIX-SAMOSL</t>
        </is>
      </c>
      <c r="C790" s="43" t="inlineStr">
        <is>
          <t>WT-SL-MENKOSHI-HIKI</t>
        </is>
      </c>
      <c r="D790" s="43" t="inlineStr">
        <is>
          <t>面格子付引違い窓</t>
        </is>
      </c>
      <c r="E790" s="43" t="inlineStr">
        <is>
          <t>SP-SL-GRILLE-V</t>
        </is>
      </c>
      <c r="F790" s="43" t="inlineStr">
        <is>
          <t>在来・204</t>
        </is>
      </c>
      <c r="G790" s="43" t="inlineStr">
        <is>
          <t>08311</t>
        </is>
      </c>
      <c r="H790" s="43" t="inlineStr">
        <is>
          <t>083</t>
        </is>
      </c>
      <c r="I790" s="43" t="inlineStr">
        <is>
          <t>11</t>
        </is>
      </c>
      <c r="J790" s="222" t="n">
        <v>870</v>
      </c>
      <c r="K790" s="222" t="n">
        <v>1170</v>
      </c>
      <c r="L790" s="43" t="inlineStr">
        <is>
          <t>在来・204</t>
        </is>
      </c>
      <c r="M790" s="178" t="b">
        <v>1</v>
      </c>
      <c r="N790" s="43" t="inlineStr">
        <is>
          <t>カタログ個別可否確認済み</t>
        </is>
      </c>
      <c r="O790" s="222" t="n">
        <v>109</v>
      </c>
      <c r="P790" s="222" t="n">
        <v>107</v>
      </c>
      <c r="Q790" s="43" t="inlineStr">
        <is>
          <t>202604_LIXIL_サーモスＬ_業務用資料集_完成品価格表.pdf</t>
        </is>
      </c>
      <c r="R790" s="43" t="inlineStr">
        <is>
          <t>規格呼称は親品種で確認済み。固有仕様ごとの価格設定有無（＿＿表示等）は次QAで最終確定。</t>
        </is>
      </c>
      <c r="S790" s="42" t="inlineStr">
        <is>
          <t>無印</t>
        </is>
      </c>
      <c r="T790" s="42" t="n">
        <v>106</v>
      </c>
      <c r="U790" s="42" t="inlineStr">
        <is>
          <t>P106|無印</t>
        </is>
      </c>
      <c r="V790" s="42" t="inlineStr">
        <is>
          <t>同一価格表・前頁凡例を継承</t>
        </is>
      </c>
    </row>
    <row r="791">
      <c r="A791" s="43" t="inlineStr">
        <is>
          <t>SZ-SL-000788</t>
        </is>
      </c>
      <c r="B791" s="43" t="inlineStr">
        <is>
          <t>SER-LIX-SAMOSL</t>
        </is>
      </c>
      <c r="C791" s="43" t="inlineStr">
        <is>
          <t>WT-SL-MENKOSHI-HIKI</t>
        </is>
      </c>
      <c r="D791" s="43" t="inlineStr">
        <is>
          <t>面格子付引違い窓</t>
        </is>
      </c>
      <c r="E791" s="43" t="inlineStr">
        <is>
          <t>SP-SL-GRILLE-V</t>
        </is>
      </c>
      <c r="F791" s="43" t="inlineStr">
        <is>
          <t>在来・204</t>
        </is>
      </c>
      <c r="G791" s="43" t="inlineStr">
        <is>
          <t>11411</t>
        </is>
      </c>
      <c r="H791" s="43" t="inlineStr">
        <is>
          <t>114</t>
        </is>
      </c>
      <c r="I791" s="43" t="inlineStr">
        <is>
          <t>11</t>
        </is>
      </c>
      <c r="J791" s="222" t="n">
        <v>1185</v>
      </c>
      <c r="K791" s="222" t="n">
        <v>1170</v>
      </c>
      <c r="L791" s="43" t="inlineStr">
        <is>
          <t>在来・204</t>
        </is>
      </c>
      <c r="M791" s="178" t="b">
        <v>1</v>
      </c>
      <c r="N791" s="43" t="inlineStr">
        <is>
          <t>カタログ個別可否確認済み</t>
        </is>
      </c>
      <c r="O791" s="222" t="n">
        <v>109</v>
      </c>
      <c r="P791" s="222" t="n">
        <v>107</v>
      </c>
      <c r="Q791" s="43" t="inlineStr">
        <is>
          <t>202604_LIXIL_サーモスＬ_業務用資料集_完成品価格表.pdf</t>
        </is>
      </c>
      <c r="R791" s="43" t="inlineStr">
        <is>
          <t>規格呼称は親品種で確認済み。固有仕様ごとの価格設定有無（＿＿表示等）は次QAで最終確定。</t>
        </is>
      </c>
      <c r="S791" s="42" t="inlineStr">
        <is>
          <t>無印</t>
        </is>
      </c>
      <c r="T791" s="42" t="n">
        <v>106</v>
      </c>
      <c r="U791" s="42" t="inlineStr">
        <is>
          <t>P106|無印</t>
        </is>
      </c>
      <c r="V791" s="42" t="inlineStr">
        <is>
          <t>同一価格表・前頁凡例を継承</t>
        </is>
      </c>
    </row>
    <row r="792">
      <c r="A792" s="43" t="inlineStr">
        <is>
          <t>SZ-SL-000789</t>
        </is>
      </c>
      <c r="B792" s="43" t="inlineStr">
        <is>
          <t>SER-LIX-SAMOSL</t>
        </is>
      </c>
      <c r="C792" s="43" t="inlineStr">
        <is>
          <t>WT-SL-MENKOSHI-HIKI</t>
        </is>
      </c>
      <c r="D792" s="43" t="inlineStr">
        <is>
          <t>面格子付引違い窓</t>
        </is>
      </c>
      <c r="E792" s="43" t="inlineStr">
        <is>
          <t>SP-SL-GRILLE-V</t>
        </is>
      </c>
      <c r="F792" s="43" t="inlineStr">
        <is>
          <t>在来・204</t>
        </is>
      </c>
      <c r="G792" s="43" t="inlineStr">
        <is>
          <t>11911</t>
        </is>
      </c>
      <c r="H792" s="43" t="inlineStr">
        <is>
          <t>119</t>
        </is>
      </c>
      <c r="I792" s="43" t="inlineStr">
        <is>
          <t>11</t>
        </is>
      </c>
      <c r="J792" s="222" t="n">
        <v>1235</v>
      </c>
      <c r="K792" s="222" t="n">
        <v>1170</v>
      </c>
      <c r="L792" s="43" t="inlineStr">
        <is>
          <t>在来・204</t>
        </is>
      </c>
      <c r="M792" s="178" t="b">
        <v>1</v>
      </c>
      <c r="N792" s="43" t="inlineStr">
        <is>
          <t>カタログ個別可否確認済み</t>
        </is>
      </c>
      <c r="O792" s="222" t="n">
        <v>109</v>
      </c>
      <c r="P792" s="222" t="n">
        <v>107</v>
      </c>
      <c r="Q792" s="43" t="inlineStr">
        <is>
          <t>202604_LIXIL_サーモスＬ_業務用資料集_完成品価格表.pdf</t>
        </is>
      </c>
      <c r="R792" s="43" t="inlineStr">
        <is>
          <t>規格呼称は親品種で確認済み。固有仕様ごとの価格設定有無（＿＿表示等）は次QAで最終確定。</t>
        </is>
      </c>
      <c r="S792" s="42" t="inlineStr">
        <is>
          <t>無印</t>
        </is>
      </c>
      <c r="T792" s="42" t="n">
        <v>106</v>
      </c>
      <c r="U792" s="42" t="inlineStr">
        <is>
          <t>P106|無印</t>
        </is>
      </c>
      <c r="V792" s="42" t="inlineStr">
        <is>
          <t>同一価格表・前頁凡例を継承</t>
        </is>
      </c>
    </row>
    <row r="793">
      <c r="A793" s="43" t="inlineStr">
        <is>
          <t>SZ-SL-000790</t>
        </is>
      </c>
      <c r="B793" s="43" t="inlineStr">
        <is>
          <t>SER-LIX-SAMOSL</t>
        </is>
      </c>
      <c r="C793" s="43" t="inlineStr">
        <is>
          <t>WT-SL-MENKOSHI-HIKI</t>
        </is>
      </c>
      <c r="D793" s="43" t="inlineStr">
        <is>
          <t>面格子付引違い窓</t>
        </is>
      </c>
      <c r="E793" s="43" t="inlineStr">
        <is>
          <t>SP-SL-GRILLE-V</t>
        </is>
      </c>
      <c r="F793" s="43" t="inlineStr">
        <is>
          <t>在来・204</t>
        </is>
      </c>
      <c r="G793" s="43" t="inlineStr">
        <is>
          <t>12811</t>
        </is>
      </c>
      <c r="H793" s="43" t="inlineStr">
        <is>
          <t>128</t>
        </is>
      </c>
      <c r="I793" s="43" t="inlineStr">
        <is>
          <t>11</t>
        </is>
      </c>
      <c r="J793" s="222" t="n">
        <v>1320</v>
      </c>
      <c r="K793" s="222" t="n">
        <v>1170</v>
      </c>
      <c r="L793" s="43" t="inlineStr">
        <is>
          <t>在来・204</t>
        </is>
      </c>
      <c r="M793" s="178" t="b">
        <v>1</v>
      </c>
      <c r="N793" s="43" t="inlineStr">
        <is>
          <t>カタログ個別可否確認済み</t>
        </is>
      </c>
      <c r="O793" s="222" t="n">
        <v>109</v>
      </c>
      <c r="P793" s="222" t="n">
        <v>107</v>
      </c>
      <c r="Q793" s="43" t="inlineStr">
        <is>
          <t>202604_LIXIL_サーモスＬ_業務用資料集_完成品価格表.pdf</t>
        </is>
      </c>
      <c r="R793" s="43" t="inlineStr">
        <is>
          <t>規格呼称は親品種で確認済み。固有仕様ごとの価格設定有無（＿＿表示等）は次QAで最終確定。</t>
        </is>
      </c>
      <c r="S793" s="42" t="inlineStr">
        <is>
          <t>無印</t>
        </is>
      </c>
      <c r="T793" s="42" t="n">
        <v>106</v>
      </c>
      <c r="U793" s="42" t="inlineStr">
        <is>
          <t>P106|無印</t>
        </is>
      </c>
      <c r="V793" s="42" t="inlineStr">
        <is>
          <t>同一価格表・前頁凡例を継承</t>
        </is>
      </c>
    </row>
    <row r="794">
      <c r="A794" s="43" t="inlineStr">
        <is>
          <t>SZ-SL-000791</t>
        </is>
      </c>
      <c r="B794" s="43" t="inlineStr">
        <is>
          <t>SER-LIX-SAMOSL</t>
        </is>
      </c>
      <c r="C794" s="43" t="inlineStr">
        <is>
          <t>WT-SL-MENKOSHI-HIKI</t>
        </is>
      </c>
      <c r="D794" s="43" t="inlineStr">
        <is>
          <t>面格子付引違い窓</t>
        </is>
      </c>
      <c r="E794" s="43" t="inlineStr">
        <is>
          <t>SP-SL-GRILLE-DIA</t>
        </is>
      </c>
      <c r="F794" s="43" t="inlineStr">
        <is>
          <t>在来・204</t>
        </is>
      </c>
      <c r="G794" s="43" t="inlineStr">
        <is>
          <t>13311</t>
        </is>
      </c>
      <c r="H794" s="43" t="inlineStr">
        <is>
          <t>133</t>
        </is>
      </c>
      <c r="I794" s="43" t="inlineStr">
        <is>
          <t>11</t>
        </is>
      </c>
      <c r="J794" s="222" t="n">
        <v>1370</v>
      </c>
      <c r="K794" s="222" t="n">
        <v>1170</v>
      </c>
      <c r="L794" s="43" t="inlineStr">
        <is>
          <t>在来・204</t>
        </is>
      </c>
      <c r="M794" s="178" t="b">
        <v>1</v>
      </c>
      <c r="N794" s="43" t="inlineStr">
        <is>
          <t>カタログ個別可否確認済み</t>
        </is>
      </c>
      <c r="O794" s="222" t="n">
        <v>110</v>
      </c>
      <c r="P794" s="222" t="n">
        <v>108</v>
      </c>
      <c r="Q794" s="43" t="inlineStr">
        <is>
          <t>202604_LIXIL_サーモスＬ_業務用資料集_完成品価格表.pdf</t>
        </is>
      </c>
      <c r="R794" s="43" t="inlineStr">
        <is>
          <t>規格呼称は親品種で確認済み。固有仕様ごとの価格設定有無（＿＿表示等）は次QAで最終確定。</t>
        </is>
      </c>
      <c r="S794" s="42" t="inlineStr">
        <is>
          <t>無印</t>
        </is>
      </c>
      <c r="T794" s="42" t="n">
        <v>108</v>
      </c>
      <c r="U794" s="42" t="inlineStr">
        <is>
          <t>P108|無印</t>
        </is>
      </c>
      <c r="V794" s="42" t="inlineStr">
        <is>
          <t>同頁凡例へ直接連動</t>
        </is>
      </c>
    </row>
    <row r="795">
      <c r="A795" s="43" t="inlineStr">
        <is>
          <t>SZ-SL-000792</t>
        </is>
      </c>
      <c r="B795" s="43" t="inlineStr">
        <is>
          <t>SER-LIX-SAMOSL</t>
        </is>
      </c>
      <c r="C795" s="43" t="inlineStr">
        <is>
          <t>WT-SL-MENKOSHI-HIKI</t>
        </is>
      </c>
      <c r="D795" s="43" t="inlineStr">
        <is>
          <t>面格子付引違い窓</t>
        </is>
      </c>
      <c r="E795" s="43" t="inlineStr">
        <is>
          <t>SP-SL-GRILLE-DIA</t>
        </is>
      </c>
      <c r="F795" s="43" t="inlineStr">
        <is>
          <t>在来・204</t>
        </is>
      </c>
      <c r="G795" s="43" t="inlineStr">
        <is>
          <t>15011</t>
        </is>
      </c>
      <c r="H795" s="43" t="inlineStr">
        <is>
          <t>150</t>
        </is>
      </c>
      <c r="I795" s="43" t="inlineStr">
        <is>
          <t>11</t>
        </is>
      </c>
      <c r="J795" s="222" t="n">
        <v>1540</v>
      </c>
      <c r="K795" s="222" t="n">
        <v>1170</v>
      </c>
      <c r="L795" s="43" t="inlineStr">
        <is>
          <t>在来・204</t>
        </is>
      </c>
      <c r="M795" s="178" t="b">
        <v>1</v>
      </c>
      <c r="N795" s="43" t="inlineStr">
        <is>
          <t>カタログ個別可否確認済み</t>
        </is>
      </c>
      <c r="O795" s="222" t="n">
        <v>110</v>
      </c>
      <c r="P795" s="222" t="n">
        <v>108</v>
      </c>
      <c r="Q795" s="43" t="inlineStr">
        <is>
          <t>202604_LIXIL_サーモスＬ_業務用資料集_完成品価格表.pdf</t>
        </is>
      </c>
      <c r="R795" s="43" t="inlineStr">
        <is>
          <t>規格呼称は親品種で確認済み。固有仕様ごとの価格設定有無（＿＿表示等）は次QAで最終確定。</t>
        </is>
      </c>
      <c r="S795" s="42" t="inlineStr">
        <is>
          <t>無印</t>
        </is>
      </c>
      <c r="T795" s="42" t="n">
        <v>108</v>
      </c>
      <c r="U795" s="42" t="inlineStr">
        <is>
          <t>P108|無印</t>
        </is>
      </c>
      <c r="V795" s="42" t="inlineStr">
        <is>
          <t>同頁凡例へ直接連動</t>
        </is>
      </c>
    </row>
    <row r="796">
      <c r="A796" s="43" t="inlineStr">
        <is>
          <t>SZ-SL-000793</t>
        </is>
      </c>
      <c r="B796" s="43" t="inlineStr">
        <is>
          <t>SER-LIX-SAMOSL</t>
        </is>
      </c>
      <c r="C796" s="43" t="inlineStr">
        <is>
          <t>WT-SL-MENKOSHI-HIKI</t>
        </is>
      </c>
      <c r="D796" s="43" t="inlineStr">
        <is>
          <t>面格子付引違い窓</t>
        </is>
      </c>
      <c r="E796" s="43" t="inlineStr">
        <is>
          <t>SP-SL-GRILLE-DIA</t>
        </is>
      </c>
      <c r="F796" s="43" t="inlineStr">
        <is>
          <t>在来・204</t>
        </is>
      </c>
      <c r="G796" s="43" t="inlineStr">
        <is>
          <t>16011</t>
        </is>
      </c>
      <c r="H796" s="43" t="inlineStr">
        <is>
          <t>160</t>
        </is>
      </c>
      <c r="I796" s="43" t="inlineStr">
        <is>
          <t>11</t>
        </is>
      </c>
      <c r="J796" s="222" t="n">
        <v>1640</v>
      </c>
      <c r="K796" s="222" t="n">
        <v>1170</v>
      </c>
      <c r="L796" s="43" t="inlineStr">
        <is>
          <t>在来・204</t>
        </is>
      </c>
      <c r="M796" s="178" t="b">
        <v>1</v>
      </c>
      <c r="N796" s="43" t="inlineStr">
        <is>
          <t>カタログ個別可否確認済み</t>
        </is>
      </c>
      <c r="O796" s="222" t="n">
        <v>110</v>
      </c>
      <c r="P796" s="222" t="n">
        <v>108</v>
      </c>
      <c r="Q796" s="43" t="inlineStr">
        <is>
          <t>202604_LIXIL_サーモスＬ_業務用資料集_完成品価格表.pdf</t>
        </is>
      </c>
      <c r="R796" s="43" t="inlineStr">
        <is>
          <t>規格呼称は親品種で確認済み。固有仕様ごとの価格設定有無（＿＿表示等）は次QAで最終確定。</t>
        </is>
      </c>
      <c r="S796" s="42" t="inlineStr">
        <is>
          <t>無印</t>
        </is>
      </c>
      <c r="T796" s="42" t="n">
        <v>108</v>
      </c>
      <c r="U796" s="42" t="inlineStr">
        <is>
          <t>P108|無印</t>
        </is>
      </c>
      <c r="V796" s="42" t="inlineStr">
        <is>
          <t>同頁凡例へ直接連動</t>
        </is>
      </c>
    </row>
    <row r="797">
      <c r="A797" s="43" t="inlineStr">
        <is>
          <t>SZ-SL-000794</t>
        </is>
      </c>
      <c r="B797" s="43" t="inlineStr">
        <is>
          <t>SER-LIX-SAMOSL</t>
        </is>
      </c>
      <c r="C797" s="43" t="inlineStr">
        <is>
          <t>WT-SL-MENKOSHI-HIKI</t>
        </is>
      </c>
      <c r="D797" s="43" t="inlineStr">
        <is>
          <t>面格子付引違い窓</t>
        </is>
      </c>
      <c r="E797" s="43" t="inlineStr">
        <is>
          <t>SP-SL-GRILLE-DIA</t>
        </is>
      </c>
      <c r="F797" s="43" t="inlineStr">
        <is>
          <t>在来・204</t>
        </is>
      </c>
      <c r="G797" s="43" t="inlineStr">
        <is>
          <t>16511</t>
        </is>
      </c>
      <c r="H797" s="43" t="inlineStr">
        <is>
          <t>165</t>
        </is>
      </c>
      <c r="I797" s="43" t="inlineStr">
        <is>
          <t>11</t>
        </is>
      </c>
      <c r="J797" s="222" t="n">
        <v>1690</v>
      </c>
      <c r="K797" s="222" t="n">
        <v>1170</v>
      </c>
      <c r="L797" s="43" t="inlineStr">
        <is>
          <t>在来・204</t>
        </is>
      </c>
      <c r="M797" s="178" t="b">
        <v>1</v>
      </c>
      <c r="N797" s="43" t="inlineStr">
        <is>
          <t>カタログ個別可否確認済み</t>
        </is>
      </c>
      <c r="O797" s="222" t="n">
        <v>110</v>
      </c>
      <c r="P797" s="222" t="n">
        <v>108</v>
      </c>
      <c r="Q797" s="43" t="inlineStr">
        <is>
          <t>202604_LIXIL_サーモスＬ_業務用資料集_完成品価格表.pdf</t>
        </is>
      </c>
      <c r="R797" s="43" t="inlineStr">
        <is>
          <t>規格呼称は親品種で確認済み。固有仕様ごとの価格設定有無（＿＿表示等）は次QAで最終確定。</t>
        </is>
      </c>
      <c r="S797" s="42" t="inlineStr">
        <is>
          <t>無印</t>
        </is>
      </c>
      <c r="T797" s="42" t="n">
        <v>108</v>
      </c>
      <c r="U797" s="42" t="inlineStr">
        <is>
          <t>P108|無印</t>
        </is>
      </c>
      <c r="V797" s="42" t="inlineStr">
        <is>
          <t>同頁凡例へ直接連動</t>
        </is>
      </c>
    </row>
    <row r="798">
      <c r="A798" s="43" t="inlineStr">
        <is>
          <t>SZ-SL-000795</t>
        </is>
      </c>
      <c r="B798" s="43" t="inlineStr">
        <is>
          <t>SER-LIX-SAMOSL</t>
        </is>
      </c>
      <c r="C798" s="43" t="inlineStr">
        <is>
          <t>WT-SL-MENKOSHI-HIKI</t>
        </is>
      </c>
      <c r="D798" s="43" t="inlineStr">
        <is>
          <t>面格子付引違い窓</t>
        </is>
      </c>
      <c r="E798" s="43" t="inlineStr">
        <is>
          <t>SP-SL-GRILLE-H</t>
        </is>
      </c>
      <c r="F798" s="43" t="inlineStr">
        <is>
          <t>在来・204</t>
        </is>
      </c>
      <c r="G798" s="43" t="inlineStr">
        <is>
          <t>13311</t>
        </is>
      </c>
      <c r="H798" s="43" t="inlineStr">
        <is>
          <t>133</t>
        </is>
      </c>
      <c r="I798" s="43" t="inlineStr">
        <is>
          <t>11</t>
        </is>
      </c>
      <c r="J798" s="222" t="n">
        <v>1370</v>
      </c>
      <c r="K798" s="222" t="n">
        <v>1170</v>
      </c>
      <c r="L798" s="43" t="inlineStr">
        <is>
          <t>在来・204</t>
        </is>
      </c>
      <c r="M798" s="178" t="b">
        <v>1</v>
      </c>
      <c r="N798" s="43" t="inlineStr">
        <is>
          <t>カタログ個別可否確認済み</t>
        </is>
      </c>
      <c r="O798" s="222" t="n">
        <v>110</v>
      </c>
      <c r="P798" s="222" t="n">
        <v>108</v>
      </c>
      <c r="Q798" s="43" t="inlineStr">
        <is>
          <t>202604_LIXIL_サーモスＬ_業務用資料集_完成品価格表.pdf</t>
        </is>
      </c>
      <c r="R798" s="43" t="inlineStr">
        <is>
          <t>規格呼称は親品種で確認済み。固有仕様ごとの価格設定有無（＿＿表示等）は次QAで最終確定。</t>
        </is>
      </c>
      <c r="S798" s="42" t="inlineStr">
        <is>
          <t>無印</t>
        </is>
      </c>
      <c r="T798" s="42" t="n">
        <v>108</v>
      </c>
      <c r="U798" s="42" t="inlineStr">
        <is>
          <t>P108|無印</t>
        </is>
      </c>
      <c r="V798" s="42" t="inlineStr">
        <is>
          <t>同頁凡例へ直接連動</t>
        </is>
      </c>
    </row>
    <row r="799">
      <c r="A799" s="43" t="inlineStr">
        <is>
          <t>SZ-SL-000796</t>
        </is>
      </c>
      <c r="B799" s="43" t="inlineStr">
        <is>
          <t>SER-LIX-SAMOSL</t>
        </is>
      </c>
      <c r="C799" s="43" t="inlineStr">
        <is>
          <t>WT-SL-MENKOSHI-HIKI</t>
        </is>
      </c>
      <c r="D799" s="43" t="inlineStr">
        <is>
          <t>面格子付引違い窓</t>
        </is>
      </c>
      <c r="E799" s="43" t="inlineStr">
        <is>
          <t>SP-SL-GRILLE-H</t>
        </is>
      </c>
      <c r="F799" s="43" t="inlineStr">
        <is>
          <t>在来・204</t>
        </is>
      </c>
      <c r="G799" s="43" t="inlineStr">
        <is>
          <t>15011</t>
        </is>
      </c>
      <c r="H799" s="43" t="inlineStr">
        <is>
          <t>150</t>
        </is>
      </c>
      <c r="I799" s="43" t="inlineStr">
        <is>
          <t>11</t>
        </is>
      </c>
      <c r="J799" s="222" t="n">
        <v>1540</v>
      </c>
      <c r="K799" s="222" t="n">
        <v>1170</v>
      </c>
      <c r="L799" s="43" t="inlineStr">
        <is>
          <t>在来・204</t>
        </is>
      </c>
      <c r="M799" s="178" t="b">
        <v>0</v>
      </c>
      <c r="N799" s="43" t="inlineStr">
        <is>
          <t>設定なし（価格表確認済み）</t>
        </is>
      </c>
      <c r="O799" s="222" t="n">
        <v>110</v>
      </c>
      <c r="P799" s="222" t="n">
        <v>108</v>
      </c>
      <c r="Q799" s="43" t="inlineStr">
        <is>
          <t>202604_LIXIL_サーモスＬ_業務用資料集_完成品価格表.pdf</t>
        </is>
      </c>
      <c r="R799" s="43" t="inlineStr">
        <is>
          <t>規格呼称は親品種で確認済み。固有仕様ごとの価格設定有無（＿＿表示等）は次QAで最終確定。</t>
        </is>
      </c>
      <c r="S799" s="42" t="inlineStr">
        <is>
          <t>無印</t>
        </is>
      </c>
      <c r="T799" s="42" t="n">
        <v>108</v>
      </c>
      <c r="U799" s="42" t="inlineStr">
        <is>
          <t>P108|無印</t>
        </is>
      </c>
      <c r="V799" s="42" t="inlineStr">
        <is>
          <t>同頁凡例へ直接連動</t>
        </is>
      </c>
    </row>
    <row r="800">
      <c r="A800" s="43" t="inlineStr">
        <is>
          <t>SZ-SL-000797</t>
        </is>
      </c>
      <c r="B800" s="43" t="inlineStr">
        <is>
          <t>SER-LIX-SAMOSL</t>
        </is>
      </c>
      <c r="C800" s="43" t="inlineStr">
        <is>
          <t>WT-SL-MENKOSHI-HIKI</t>
        </is>
      </c>
      <c r="D800" s="43" t="inlineStr">
        <is>
          <t>面格子付引違い窓</t>
        </is>
      </c>
      <c r="E800" s="43" t="inlineStr">
        <is>
          <t>SP-SL-GRILLE-H</t>
        </is>
      </c>
      <c r="F800" s="43" t="inlineStr">
        <is>
          <t>在来・204</t>
        </is>
      </c>
      <c r="G800" s="43" t="inlineStr">
        <is>
          <t>16011</t>
        </is>
      </c>
      <c r="H800" s="43" t="inlineStr">
        <is>
          <t>160</t>
        </is>
      </c>
      <c r="I800" s="43" t="inlineStr">
        <is>
          <t>11</t>
        </is>
      </c>
      <c r="J800" s="222" t="n">
        <v>1640</v>
      </c>
      <c r="K800" s="222" t="n">
        <v>1170</v>
      </c>
      <c r="L800" s="43" t="inlineStr">
        <is>
          <t>在来・204</t>
        </is>
      </c>
      <c r="M800" s="178" t="b">
        <v>0</v>
      </c>
      <c r="N800" s="43" t="inlineStr">
        <is>
          <t>設定なし（価格表確認済み）</t>
        </is>
      </c>
      <c r="O800" s="222" t="n">
        <v>110</v>
      </c>
      <c r="P800" s="222" t="n">
        <v>108</v>
      </c>
      <c r="Q800" s="43" t="inlineStr">
        <is>
          <t>202604_LIXIL_サーモスＬ_業務用資料集_完成品価格表.pdf</t>
        </is>
      </c>
      <c r="R800" s="43" t="inlineStr">
        <is>
          <t>規格呼称は親品種で確認済み。固有仕様ごとの価格設定有無（＿＿表示等）は次QAで最終確定。</t>
        </is>
      </c>
      <c r="S800" s="42" t="inlineStr">
        <is>
          <t>無印</t>
        </is>
      </c>
      <c r="T800" s="42" t="n">
        <v>108</v>
      </c>
      <c r="U800" s="42" t="inlineStr">
        <is>
          <t>P108|無印</t>
        </is>
      </c>
      <c r="V800" s="42" t="inlineStr">
        <is>
          <t>同頁凡例へ直接連動</t>
        </is>
      </c>
    </row>
    <row r="801">
      <c r="A801" s="43" t="inlineStr">
        <is>
          <t>SZ-SL-000798</t>
        </is>
      </c>
      <c r="B801" s="43" t="inlineStr">
        <is>
          <t>SER-LIX-SAMOSL</t>
        </is>
      </c>
      <c r="C801" s="43" t="inlineStr">
        <is>
          <t>WT-SL-MENKOSHI-HIKI</t>
        </is>
      </c>
      <c r="D801" s="43" t="inlineStr">
        <is>
          <t>面格子付引違い窓</t>
        </is>
      </c>
      <c r="E801" s="43" t="inlineStr">
        <is>
          <t>SP-SL-GRILLE-H</t>
        </is>
      </c>
      <c r="F801" s="43" t="inlineStr">
        <is>
          <t>在来・204</t>
        </is>
      </c>
      <c r="G801" s="43" t="inlineStr">
        <is>
          <t>16511</t>
        </is>
      </c>
      <c r="H801" s="43" t="inlineStr">
        <is>
          <t>165</t>
        </is>
      </c>
      <c r="I801" s="43" t="inlineStr">
        <is>
          <t>11</t>
        </is>
      </c>
      <c r="J801" s="222" t="n">
        <v>1690</v>
      </c>
      <c r="K801" s="222" t="n">
        <v>1170</v>
      </c>
      <c r="L801" s="43" t="inlineStr">
        <is>
          <t>在来・204</t>
        </is>
      </c>
      <c r="M801" s="178" t="b">
        <v>0</v>
      </c>
      <c r="N801" s="43" t="inlineStr">
        <is>
          <t>設定なし（価格表確認済み）</t>
        </is>
      </c>
      <c r="O801" s="222" t="n">
        <v>110</v>
      </c>
      <c r="P801" s="222" t="n">
        <v>108</v>
      </c>
      <c r="Q801" s="43" t="inlineStr">
        <is>
          <t>202604_LIXIL_サーモスＬ_業務用資料集_完成品価格表.pdf</t>
        </is>
      </c>
      <c r="R801" s="43" t="inlineStr">
        <is>
          <t>規格呼称は親品種で確認済み。固有仕様ごとの価格設定有無（＿＿表示等）は次QAで最終確定。</t>
        </is>
      </c>
      <c r="S801" s="42" t="inlineStr">
        <is>
          <t>無印</t>
        </is>
      </c>
      <c r="T801" s="42" t="n">
        <v>108</v>
      </c>
      <c r="U801" s="42" t="inlineStr">
        <is>
          <t>P108|無印</t>
        </is>
      </c>
      <c r="V801" s="42" t="inlineStr">
        <is>
          <t>同頁凡例へ直接連動</t>
        </is>
      </c>
    </row>
    <row r="802">
      <c r="A802" s="43" t="inlineStr">
        <is>
          <t>SZ-SL-000799</t>
        </is>
      </c>
      <c r="B802" s="43" t="inlineStr">
        <is>
          <t>SER-LIX-SAMOSL</t>
        </is>
      </c>
      <c r="C802" s="43" t="inlineStr">
        <is>
          <t>WT-SL-MENKOSHI-HIKI</t>
        </is>
      </c>
      <c r="D802" s="43" t="inlineStr">
        <is>
          <t>面格子付引違い窓</t>
        </is>
      </c>
      <c r="E802" s="43" t="inlineStr">
        <is>
          <t>SP-SL-GRILLE-IGETA</t>
        </is>
      </c>
      <c r="F802" s="43" t="inlineStr">
        <is>
          <t>在来・204</t>
        </is>
      </c>
      <c r="G802" s="43" t="inlineStr">
        <is>
          <t>13311</t>
        </is>
      </c>
      <c r="H802" s="43" t="inlineStr">
        <is>
          <t>133</t>
        </is>
      </c>
      <c r="I802" s="43" t="inlineStr">
        <is>
          <t>11</t>
        </is>
      </c>
      <c r="J802" s="222" t="n">
        <v>1370</v>
      </c>
      <c r="K802" s="222" t="n">
        <v>1170</v>
      </c>
      <c r="L802" s="43" t="inlineStr">
        <is>
          <t>在来・204</t>
        </is>
      </c>
      <c r="M802" s="178" t="b">
        <v>1</v>
      </c>
      <c r="N802" s="43" t="inlineStr">
        <is>
          <t>カタログ個別可否確認済み</t>
        </is>
      </c>
      <c r="O802" s="222" t="n">
        <v>110</v>
      </c>
      <c r="P802" s="222" t="n">
        <v>108</v>
      </c>
      <c r="Q802" s="43" t="inlineStr">
        <is>
          <t>202604_LIXIL_サーモスＬ_業務用資料集_完成品価格表.pdf</t>
        </is>
      </c>
      <c r="R802" s="43" t="inlineStr">
        <is>
          <t>規格呼称は親品種で確認済み。固有仕様ごとの価格設定有無（＿＿表示等）は次QAで最終確定。</t>
        </is>
      </c>
      <c r="S802" s="42" t="inlineStr">
        <is>
          <t>無印</t>
        </is>
      </c>
      <c r="T802" s="42" t="n">
        <v>108</v>
      </c>
      <c r="U802" s="42" t="inlineStr">
        <is>
          <t>P108|無印</t>
        </is>
      </c>
      <c r="V802" s="42" t="inlineStr">
        <is>
          <t>同頁凡例へ直接連動</t>
        </is>
      </c>
    </row>
    <row r="803">
      <c r="A803" s="43" t="inlineStr">
        <is>
          <t>SZ-SL-000800</t>
        </is>
      </c>
      <c r="B803" s="43" t="inlineStr">
        <is>
          <t>SER-LIX-SAMOSL</t>
        </is>
      </c>
      <c r="C803" s="43" t="inlineStr">
        <is>
          <t>WT-SL-MENKOSHI-HIKI</t>
        </is>
      </c>
      <c r="D803" s="43" t="inlineStr">
        <is>
          <t>面格子付引違い窓</t>
        </is>
      </c>
      <c r="E803" s="43" t="inlineStr">
        <is>
          <t>SP-SL-GRILLE-IGETA</t>
        </is>
      </c>
      <c r="F803" s="43" t="inlineStr">
        <is>
          <t>在来・204</t>
        </is>
      </c>
      <c r="G803" s="43" t="inlineStr">
        <is>
          <t>15011</t>
        </is>
      </c>
      <c r="H803" s="43" t="inlineStr">
        <is>
          <t>150</t>
        </is>
      </c>
      <c r="I803" s="43" t="inlineStr">
        <is>
          <t>11</t>
        </is>
      </c>
      <c r="J803" s="222" t="n">
        <v>1540</v>
      </c>
      <c r="K803" s="222" t="n">
        <v>1170</v>
      </c>
      <c r="L803" s="43" t="inlineStr">
        <is>
          <t>在来・204</t>
        </is>
      </c>
      <c r="M803" s="178" t="b">
        <v>1</v>
      </c>
      <c r="N803" s="43" t="inlineStr">
        <is>
          <t>カタログ個別可否確認済み</t>
        </is>
      </c>
      <c r="O803" s="222" t="n">
        <v>110</v>
      </c>
      <c r="P803" s="222" t="n">
        <v>108</v>
      </c>
      <c r="Q803" s="43" t="inlineStr">
        <is>
          <t>202604_LIXIL_サーモスＬ_業務用資料集_完成品価格表.pdf</t>
        </is>
      </c>
      <c r="R803" s="43" t="inlineStr">
        <is>
          <t>規格呼称は親品種で確認済み。固有仕様ごとの価格設定有無（＿＿表示等）は次QAで最終確定。</t>
        </is>
      </c>
      <c r="S803" s="42" t="inlineStr">
        <is>
          <t>無印</t>
        </is>
      </c>
      <c r="T803" s="42" t="n">
        <v>108</v>
      </c>
      <c r="U803" s="42" t="inlineStr">
        <is>
          <t>P108|無印</t>
        </is>
      </c>
      <c r="V803" s="42" t="inlineStr">
        <is>
          <t>同頁凡例へ直接連動</t>
        </is>
      </c>
    </row>
    <row r="804">
      <c r="A804" s="43" t="inlineStr">
        <is>
          <t>SZ-SL-000801</t>
        </is>
      </c>
      <c r="B804" s="43" t="inlineStr">
        <is>
          <t>SER-LIX-SAMOSL</t>
        </is>
      </c>
      <c r="C804" s="43" t="inlineStr">
        <is>
          <t>WT-SL-MENKOSHI-HIKI</t>
        </is>
      </c>
      <c r="D804" s="43" t="inlineStr">
        <is>
          <t>面格子付引違い窓</t>
        </is>
      </c>
      <c r="E804" s="43" t="inlineStr">
        <is>
          <t>SP-SL-GRILLE-IGETA</t>
        </is>
      </c>
      <c r="F804" s="43" t="inlineStr">
        <is>
          <t>在来・204</t>
        </is>
      </c>
      <c r="G804" s="43" t="inlineStr">
        <is>
          <t>16011</t>
        </is>
      </c>
      <c r="H804" s="43" t="inlineStr">
        <is>
          <t>160</t>
        </is>
      </c>
      <c r="I804" s="43" t="inlineStr">
        <is>
          <t>11</t>
        </is>
      </c>
      <c r="J804" s="222" t="n">
        <v>1640</v>
      </c>
      <c r="K804" s="222" t="n">
        <v>1170</v>
      </c>
      <c r="L804" s="43" t="inlineStr">
        <is>
          <t>在来・204</t>
        </is>
      </c>
      <c r="M804" s="178" t="b">
        <v>1</v>
      </c>
      <c r="N804" s="43" t="inlineStr">
        <is>
          <t>カタログ個別可否確認済み</t>
        </is>
      </c>
      <c r="O804" s="222" t="n">
        <v>110</v>
      </c>
      <c r="P804" s="222" t="n">
        <v>108</v>
      </c>
      <c r="Q804" s="43" t="inlineStr">
        <is>
          <t>202604_LIXIL_サーモスＬ_業務用資料集_完成品価格表.pdf</t>
        </is>
      </c>
      <c r="R804" s="43" t="inlineStr">
        <is>
          <t>規格呼称は親品種で確認済み。固有仕様ごとの価格設定有無（＿＿表示等）は次QAで最終確定。</t>
        </is>
      </c>
      <c r="S804" s="42" t="inlineStr">
        <is>
          <t>無印</t>
        </is>
      </c>
      <c r="T804" s="42" t="n">
        <v>108</v>
      </c>
      <c r="U804" s="42" t="inlineStr">
        <is>
          <t>P108|無印</t>
        </is>
      </c>
      <c r="V804" s="42" t="inlineStr">
        <is>
          <t>同頁凡例へ直接連動</t>
        </is>
      </c>
    </row>
    <row r="805">
      <c r="A805" s="43" t="inlineStr">
        <is>
          <t>SZ-SL-000802</t>
        </is>
      </c>
      <c r="B805" s="43" t="inlineStr">
        <is>
          <t>SER-LIX-SAMOSL</t>
        </is>
      </c>
      <c r="C805" s="43" t="inlineStr">
        <is>
          <t>WT-SL-MENKOSHI-HIKI</t>
        </is>
      </c>
      <c r="D805" s="43" t="inlineStr">
        <is>
          <t>面格子付引違い窓</t>
        </is>
      </c>
      <c r="E805" s="43" t="inlineStr">
        <is>
          <t>SP-SL-GRILLE-IGETA</t>
        </is>
      </c>
      <c r="F805" s="43" t="inlineStr">
        <is>
          <t>在来・204</t>
        </is>
      </c>
      <c r="G805" s="43" t="inlineStr">
        <is>
          <t>16511</t>
        </is>
      </c>
      <c r="H805" s="43" t="inlineStr">
        <is>
          <t>165</t>
        </is>
      </c>
      <c r="I805" s="43" t="inlineStr">
        <is>
          <t>11</t>
        </is>
      </c>
      <c r="J805" s="222" t="n">
        <v>1690</v>
      </c>
      <c r="K805" s="222" t="n">
        <v>1170</v>
      </c>
      <c r="L805" s="43" t="inlineStr">
        <is>
          <t>在来・204</t>
        </is>
      </c>
      <c r="M805" s="178" t="b">
        <v>1</v>
      </c>
      <c r="N805" s="43" t="inlineStr">
        <is>
          <t>カタログ個別可否確認済み</t>
        </is>
      </c>
      <c r="O805" s="222" t="n">
        <v>110</v>
      </c>
      <c r="P805" s="222" t="n">
        <v>108</v>
      </c>
      <c r="Q805" s="43" t="inlineStr">
        <is>
          <t>202604_LIXIL_サーモスＬ_業務用資料集_完成品価格表.pdf</t>
        </is>
      </c>
      <c r="R805" s="43" t="inlineStr">
        <is>
          <t>規格呼称は親品種で確認済み。固有仕様ごとの価格設定有無（＿＿表示等）は次QAで最終確定。</t>
        </is>
      </c>
      <c r="S805" s="42" t="inlineStr">
        <is>
          <t>無印</t>
        </is>
      </c>
      <c r="T805" s="42" t="n">
        <v>108</v>
      </c>
      <c r="U805" s="42" t="inlineStr">
        <is>
          <t>P108|無印</t>
        </is>
      </c>
      <c r="V805" s="42" t="inlineStr">
        <is>
          <t>同頁凡例へ直接連動</t>
        </is>
      </c>
    </row>
    <row r="806">
      <c r="A806" s="43" t="inlineStr">
        <is>
          <t>SZ-SL-000803</t>
        </is>
      </c>
      <c r="B806" s="43" t="inlineStr">
        <is>
          <t>SER-LIX-SAMOSL</t>
        </is>
      </c>
      <c r="C806" s="43" t="inlineStr">
        <is>
          <t>WT-SL-MENKOSHI-HIKI</t>
        </is>
      </c>
      <c r="D806" s="43" t="inlineStr">
        <is>
          <t>面格子付引違い窓</t>
        </is>
      </c>
      <c r="E806" s="43" t="inlineStr">
        <is>
          <t>SP-SL-GRILLE-V</t>
        </is>
      </c>
      <c r="F806" s="43" t="inlineStr">
        <is>
          <t>在来・204</t>
        </is>
      </c>
      <c r="G806" s="43" t="inlineStr">
        <is>
          <t>13311</t>
        </is>
      </c>
      <c r="H806" s="43" t="inlineStr">
        <is>
          <t>133</t>
        </is>
      </c>
      <c r="I806" s="43" t="inlineStr">
        <is>
          <t>11</t>
        </is>
      </c>
      <c r="J806" s="222" t="n">
        <v>1370</v>
      </c>
      <c r="K806" s="222" t="n">
        <v>1170</v>
      </c>
      <c r="L806" s="43" t="inlineStr">
        <is>
          <t>在来・204</t>
        </is>
      </c>
      <c r="M806" s="178" t="b">
        <v>1</v>
      </c>
      <c r="N806" s="43" t="inlineStr">
        <is>
          <t>カタログ個別可否確認済み</t>
        </is>
      </c>
      <c r="O806" s="222" t="n">
        <v>110</v>
      </c>
      <c r="P806" s="222" t="n">
        <v>108</v>
      </c>
      <c r="Q806" s="43" t="inlineStr">
        <is>
          <t>202604_LIXIL_サーモスＬ_業務用資料集_完成品価格表.pdf</t>
        </is>
      </c>
      <c r="R806" s="43" t="inlineStr">
        <is>
          <t>規格呼称は親品種で確認済み。固有仕様ごとの価格設定有無（＿＿表示等）は次QAで最終確定。</t>
        </is>
      </c>
      <c r="S806" s="42" t="inlineStr">
        <is>
          <t>無印</t>
        </is>
      </c>
      <c r="T806" s="42" t="n">
        <v>108</v>
      </c>
      <c r="U806" s="42" t="inlineStr">
        <is>
          <t>P108|無印</t>
        </is>
      </c>
      <c r="V806" s="42" t="inlineStr">
        <is>
          <t>同頁凡例へ直接連動</t>
        </is>
      </c>
    </row>
    <row r="807">
      <c r="A807" s="43" t="inlineStr">
        <is>
          <t>SZ-SL-000804</t>
        </is>
      </c>
      <c r="B807" s="43" t="inlineStr">
        <is>
          <t>SER-LIX-SAMOSL</t>
        </is>
      </c>
      <c r="C807" s="43" t="inlineStr">
        <is>
          <t>WT-SL-MENKOSHI-HIKI</t>
        </is>
      </c>
      <c r="D807" s="43" t="inlineStr">
        <is>
          <t>面格子付引違い窓</t>
        </is>
      </c>
      <c r="E807" s="43" t="inlineStr">
        <is>
          <t>SP-SL-GRILLE-V</t>
        </is>
      </c>
      <c r="F807" s="43" t="inlineStr">
        <is>
          <t>在来・204</t>
        </is>
      </c>
      <c r="G807" s="43" t="inlineStr">
        <is>
          <t>15011</t>
        </is>
      </c>
      <c r="H807" s="43" t="inlineStr">
        <is>
          <t>150</t>
        </is>
      </c>
      <c r="I807" s="43" t="inlineStr">
        <is>
          <t>11</t>
        </is>
      </c>
      <c r="J807" s="222" t="n">
        <v>1540</v>
      </c>
      <c r="K807" s="222" t="n">
        <v>1170</v>
      </c>
      <c r="L807" s="43" t="inlineStr">
        <is>
          <t>在来・204</t>
        </is>
      </c>
      <c r="M807" s="178" t="b">
        <v>1</v>
      </c>
      <c r="N807" s="43" t="inlineStr">
        <is>
          <t>カタログ個別可否確認済み</t>
        </is>
      </c>
      <c r="O807" s="222" t="n">
        <v>110</v>
      </c>
      <c r="P807" s="222" t="n">
        <v>108</v>
      </c>
      <c r="Q807" s="43" t="inlineStr">
        <is>
          <t>202604_LIXIL_サーモスＬ_業務用資料集_完成品価格表.pdf</t>
        </is>
      </c>
      <c r="R807" s="43" t="inlineStr">
        <is>
          <t>規格呼称は親品種で確認済み。固有仕様ごとの価格設定有無（＿＿表示等）は次QAで最終確定。</t>
        </is>
      </c>
      <c r="S807" s="42" t="inlineStr">
        <is>
          <t>無印</t>
        </is>
      </c>
      <c r="T807" s="42" t="n">
        <v>108</v>
      </c>
      <c r="U807" s="42" t="inlineStr">
        <is>
          <t>P108|無印</t>
        </is>
      </c>
      <c r="V807" s="42" t="inlineStr">
        <is>
          <t>同頁凡例へ直接連動</t>
        </is>
      </c>
    </row>
    <row r="808">
      <c r="A808" s="43" t="inlineStr">
        <is>
          <t>SZ-SL-000805</t>
        </is>
      </c>
      <c r="B808" s="43" t="inlineStr">
        <is>
          <t>SER-LIX-SAMOSL</t>
        </is>
      </c>
      <c r="C808" s="43" t="inlineStr">
        <is>
          <t>WT-SL-MENKOSHI-HIKI</t>
        </is>
      </c>
      <c r="D808" s="43" t="inlineStr">
        <is>
          <t>面格子付引違い窓</t>
        </is>
      </c>
      <c r="E808" s="43" t="inlineStr">
        <is>
          <t>SP-SL-GRILLE-V</t>
        </is>
      </c>
      <c r="F808" s="43" t="inlineStr">
        <is>
          <t>在来・204</t>
        </is>
      </c>
      <c r="G808" s="43" t="inlineStr">
        <is>
          <t>16011</t>
        </is>
      </c>
      <c r="H808" s="43" t="inlineStr">
        <is>
          <t>160</t>
        </is>
      </c>
      <c r="I808" s="43" t="inlineStr">
        <is>
          <t>11</t>
        </is>
      </c>
      <c r="J808" s="222" t="n">
        <v>1640</v>
      </c>
      <c r="K808" s="222" t="n">
        <v>1170</v>
      </c>
      <c r="L808" s="43" t="inlineStr">
        <is>
          <t>在来・204</t>
        </is>
      </c>
      <c r="M808" s="178" t="b">
        <v>1</v>
      </c>
      <c r="N808" s="43" t="inlineStr">
        <is>
          <t>カタログ個別可否確認済み</t>
        </is>
      </c>
      <c r="O808" s="222" t="n">
        <v>110</v>
      </c>
      <c r="P808" s="222" t="n">
        <v>108</v>
      </c>
      <c r="Q808" s="43" t="inlineStr">
        <is>
          <t>202604_LIXIL_サーモスＬ_業務用資料集_完成品価格表.pdf</t>
        </is>
      </c>
      <c r="R808" s="43" t="inlineStr">
        <is>
          <t>規格呼称は親品種で確認済み。固有仕様ごとの価格設定有無（＿＿表示等）は次QAで最終確定。</t>
        </is>
      </c>
      <c r="S808" s="42" t="inlineStr">
        <is>
          <t>無印</t>
        </is>
      </c>
      <c r="T808" s="42" t="n">
        <v>108</v>
      </c>
      <c r="U808" s="42" t="inlineStr">
        <is>
          <t>P108|無印</t>
        </is>
      </c>
      <c r="V808" s="42" t="inlineStr">
        <is>
          <t>同頁凡例へ直接連動</t>
        </is>
      </c>
    </row>
    <row r="809">
      <c r="A809" s="43" t="inlineStr">
        <is>
          <t>SZ-SL-000806</t>
        </is>
      </c>
      <c r="B809" s="43" t="inlineStr">
        <is>
          <t>SER-LIX-SAMOSL</t>
        </is>
      </c>
      <c r="C809" s="43" t="inlineStr">
        <is>
          <t>WT-SL-MENKOSHI-HIKI</t>
        </is>
      </c>
      <c r="D809" s="43" t="inlineStr">
        <is>
          <t>面格子付引違い窓</t>
        </is>
      </c>
      <c r="E809" s="43" t="inlineStr">
        <is>
          <t>SP-SL-GRILLE-V</t>
        </is>
      </c>
      <c r="F809" s="43" t="inlineStr">
        <is>
          <t>在来・204</t>
        </is>
      </c>
      <c r="G809" s="43" t="inlineStr">
        <is>
          <t>16511</t>
        </is>
      </c>
      <c r="H809" s="43" t="inlineStr">
        <is>
          <t>165</t>
        </is>
      </c>
      <c r="I809" s="43" t="inlineStr">
        <is>
          <t>11</t>
        </is>
      </c>
      <c r="J809" s="222" t="n">
        <v>1690</v>
      </c>
      <c r="K809" s="222" t="n">
        <v>1170</v>
      </c>
      <c r="L809" s="43" t="inlineStr">
        <is>
          <t>在来・204</t>
        </is>
      </c>
      <c r="M809" s="178" t="b">
        <v>1</v>
      </c>
      <c r="N809" s="43" t="inlineStr">
        <is>
          <t>カタログ個別可否確認済み</t>
        </is>
      </c>
      <c r="O809" s="222" t="n">
        <v>110</v>
      </c>
      <c r="P809" s="222" t="n">
        <v>108</v>
      </c>
      <c r="Q809" s="43" t="inlineStr">
        <is>
          <t>202604_LIXIL_サーモスＬ_業務用資料集_完成品価格表.pdf</t>
        </is>
      </c>
      <c r="R809" s="43" t="inlineStr">
        <is>
          <t>規格呼称は親品種で確認済み。固有仕様ごとの価格設定有無（＿＿表示等）は次QAで最終確定。</t>
        </is>
      </c>
      <c r="S809" s="42" t="inlineStr">
        <is>
          <t>無印</t>
        </is>
      </c>
      <c r="T809" s="42" t="n">
        <v>108</v>
      </c>
      <c r="U809" s="42" t="inlineStr">
        <is>
          <t>P108|無印</t>
        </is>
      </c>
      <c r="V809" s="42" t="inlineStr">
        <is>
          <t>同頁凡例へ直接連動</t>
        </is>
      </c>
    </row>
    <row r="810">
      <c r="A810" s="43" t="inlineStr">
        <is>
          <t>SZ-SL-000807</t>
        </is>
      </c>
      <c r="B810" s="43" t="inlineStr">
        <is>
          <t>SER-LIX-SAMOSL</t>
        </is>
      </c>
      <c r="C810" s="43" t="inlineStr">
        <is>
          <t>WT-SL-MENKOSHI-HIKI</t>
        </is>
      </c>
      <c r="D810" s="43" t="inlineStr">
        <is>
          <t>面格子付引違い窓</t>
        </is>
      </c>
      <c r="E810" s="43" t="inlineStr">
        <is>
          <t>SP-SL-GRILLE-DIA</t>
        </is>
      </c>
      <c r="F810" s="43" t="inlineStr">
        <is>
          <t>在来・204</t>
        </is>
      </c>
      <c r="G810" s="43" t="inlineStr">
        <is>
          <t>17411</t>
        </is>
      </c>
      <c r="H810" s="43" t="inlineStr">
        <is>
          <t>174</t>
        </is>
      </c>
      <c r="I810" s="43" t="inlineStr">
        <is>
          <t>11</t>
        </is>
      </c>
      <c r="J810" s="222" t="n">
        <v>1780</v>
      </c>
      <c r="K810" s="222" t="n">
        <v>1170</v>
      </c>
      <c r="L810" s="43" t="inlineStr">
        <is>
          <t>在来・204</t>
        </is>
      </c>
      <c r="M810" s="178" t="b">
        <v>1</v>
      </c>
      <c r="N810" s="43" t="inlineStr">
        <is>
          <t>カタログ個別可否確認済み</t>
        </is>
      </c>
      <c r="O810" s="222" t="n">
        <v>111</v>
      </c>
      <c r="P810" s="222" t="n">
        <v>109</v>
      </c>
      <c r="Q810" s="43" t="inlineStr">
        <is>
          <t>202604_LIXIL_サーモスＬ_業務用資料集_完成品価格表.pdf</t>
        </is>
      </c>
      <c r="R810" s="43" t="inlineStr">
        <is>
          <t>規格呼称は親品種で確認済み。固有仕様ごとの価格設定有無（＿＿表示等）は次QAで最終確定。</t>
        </is>
      </c>
      <c r="S810" s="42" t="inlineStr">
        <is>
          <t>無印</t>
        </is>
      </c>
      <c r="T810" s="42" t="n">
        <v>108</v>
      </c>
      <c r="U810" s="42" t="inlineStr">
        <is>
          <t>P108|無印</t>
        </is>
      </c>
      <c r="V810" s="42" t="inlineStr">
        <is>
          <t>同一価格表・前頁凡例を継承</t>
        </is>
      </c>
    </row>
    <row r="811">
      <c r="A811" s="43" t="inlineStr">
        <is>
          <t>SZ-SL-000808</t>
        </is>
      </c>
      <c r="B811" s="43" t="inlineStr">
        <is>
          <t>SER-LIX-SAMOSL</t>
        </is>
      </c>
      <c r="C811" s="43" t="inlineStr">
        <is>
          <t>WT-SL-MENKOSHI-HIKI</t>
        </is>
      </c>
      <c r="D811" s="43" t="inlineStr">
        <is>
          <t>面格子付引違い窓</t>
        </is>
      </c>
      <c r="E811" s="43" t="inlineStr">
        <is>
          <t>SP-SL-GRILLE-DIA</t>
        </is>
      </c>
      <c r="F811" s="43" t="inlineStr">
        <is>
          <t>在来・204</t>
        </is>
      </c>
      <c r="G811" s="43" t="inlineStr">
        <is>
          <t>17611</t>
        </is>
      </c>
      <c r="H811" s="43" t="inlineStr">
        <is>
          <t>176</t>
        </is>
      </c>
      <c r="I811" s="43" t="inlineStr">
        <is>
          <t>11</t>
        </is>
      </c>
      <c r="J811" s="222" t="n">
        <v>1800</v>
      </c>
      <c r="K811" s="222" t="n">
        <v>1170</v>
      </c>
      <c r="L811" s="43" t="inlineStr">
        <is>
          <t>在来・204</t>
        </is>
      </c>
      <c r="M811" s="178" t="b">
        <v>1</v>
      </c>
      <c r="N811" s="43" t="inlineStr">
        <is>
          <t>カタログ個別可否確認済み</t>
        </is>
      </c>
      <c r="O811" s="222" t="n">
        <v>111</v>
      </c>
      <c r="P811" s="222" t="n">
        <v>109</v>
      </c>
      <c r="Q811" s="43" t="inlineStr">
        <is>
          <t>202604_LIXIL_サーモスＬ_業務用資料集_完成品価格表.pdf</t>
        </is>
      </c>
      <c r="R811" s="43" t="inlineStr">
        <is>
          <t>規格呼称は親品種で確認済み。固有仕様ごとの価格設定有無（＿＿表示等）は次QAで最終確定。</t>
        </is>
      </c>
      <c r="S811" s="42" t="inlineStr">
        <is>
          <t>無印</t>
        </is>
      </c>
      <c r="T811" s="42" t="n">
        <v>108</v>
      </c>
      <c r="U811" s="42" t="inlineStr">
        <is>
          <t>P108|無印</t>
        </is>
      </c>
      <c r="V811" s="42" t="inlineStr">
        <is>
          <t>同一価格表・前頁凡例を継承</t>
        </is>
      </c>
    </row>
    <row r="812">
      <c r="A812" s="43" t="inlineStr">
        <is>
          <t>SZ-SL-000809</t>
        </is>
      </c>
      <c r="B812" s="43" t="inlineStr">
        <is>
          <t>SER-LIX-SAMOSL</t>
        </is>
      </c>
      <c r="C812" s="43" t="inlineStr">
        <is>
          <t>WT-SL-MENKOSHI-HIKI</t>
        </is>
      </c>
      <c r="D812" s="43" t="inlineStr">
        <is>
          <t>面格子付引違い窓</t>
        </is>
      </c>
      <c r="E812" s="43" t="inlineStr">
        <is>
          <t>SP-SL-GRILLE-DIA</t>
        </is>
      </c>
      <c r="F812" s="43" t="inlineStr">
        <is>
          <t>在来・204</t>
        </is>
      </c>
      <c r="G812" s="43" t="inlineStr">
        <is>
          <t>18011</t>
        </is>
      </c>
      <c r="H812" s="43" t="inlineStr">
        <is>
          <t>180</t>
        </is>
      </c>
      <c r="I812" s="43" t="inlineStr">
        <is>
          <t>11</t>
        </is>
      </c>
      <c r="J812" s="222" t="n">
        <v>1845</v>
      </c>
      <c r="K812" s="222" t="n">
        <v>1170</v>
      </c>
      <c r="L812" s="43" t="inlineStr">
        <is>
          <t>在来・204</t>
        </is>
      </c>
      <c r="M812" s="178" t="b">
        <v>1</v>
      </c>
      <c r="N812" s="43" t="inlineStr">
        <is>
          <t>カタログ個別可否確認済み</t>
        </is>
      </c>
      <c r="O812" s="222" t="n">
        <v>111</v>
      </c>
      <c r="P812" s="222" t="n">
        <v>109</v>
      </c>
      <c r="Q812" s="43" t="inlineStr">
        <is>
          <t>202604_LIXIL_サーモスＬ_業務用資料集_完成品価格表.pdf</t>
        </is>
      </c>
      <c r="R812" s="43" t="inlineStr">
        <is>
          <t>規格呼称は親品種で確認済み。固有仕様ごとの価格設定有無（＿＿表示等）は次QAで最終確定。</t>
        </is>
      </c>
      <c r="S812" s="42" t="inlineStr">
        <is>
          <t>無印</t>
        </is>
      </c>
      <c r="T812" s="42" t="n">
        <v>108</v>
      </c>
      <c r="U812" s="42" t="inlineStr">
        <is>
          <t>P108|無印</t>
        </is>
      </c>
      <c r="V812" s="42" t="inlineStr">
        <is>
          <t>同一価格表・前頁凡例を継承</t>
        </is>
      </c>
    </row>
    <row r="813">
      <c r="A813" s="43" t="inlineStr">
        <is>
          <t>SZ-SL-000810</t>
        </is>
      </c>
      <c r="B813" s="43" t="inlineStr">
        <is>
          <t>SER-LIX-SAMOSL</t>
        </is>
      </c>
      <c r="C813" s="43" t="inlineStr">
        <is>
          <t>WT-SL-MENKOSHI-HIKI</t>
        </is>
      </c>
      <c r="D813" s="43" t="inlineStr">
        <is>
          <t>面格子付引違い窓</t>
        </is>
      </c>
      <c r="E813" s="43" t="inlineStr">
        <is>
          <t>SP-SL-GRILLE-DIA</t>
        </is>
      </c>
      <c r="F813" s="43" t="inlineStr">
        <is>
          <t>在来・204</t>
        </is>
      </c>
      <c r="G813" s="43" t="inlineStr">
        <is>
          <t>18611</t>
        </is>
      </c>
      <c r="H813" s="43" t="inlineStr">
        <is>
          <t>186</t>
        </is>
      </c>
      <c r="I813" s="43" t="inlineStr">
        <is>
          <t>11</t>
        </is>
      </c>
      <c r="J813" s="222" t="n">
        <v>1900</v>
      </c>
      <c r="K813" s="222" t="n">
        <v>1170</v>
      </c>
      <c r="L813" s="43" t="inlineStr">
        <is>
          <t>在来・204</t>
        </is>
      </c>
      <c r="M813" s="178" t="b">
        <v>1</v>
      </c>
      <c r="N813" s="43" t="inlineStr">
        <is>
          <t>カタログ個別可否確認済み</t>
        </is>
      </c>
      <c r="O813" s="222" t="n">
        <v>111</v>
      </c>
      <c r="P813" s="222" t="n">
        <v>109</v>
      </c>
      <c r="Q813" s="43" t="inlineStr">
        <is>
          <t>202604_LIXIL_サーモスＬ_業務用資料集_完成品価格表.pdf</t>
        </is>
      </c>
      <c r="R813" s="43" t="inlineStr">
        <is>
          <t>規格呼称は親品種で確認済み。固有仕様ごとの価格設定有無（＿＿表示等）は次QAで最終確定。</t>
        </is>
      </c>
      <c r="S813" s="42" t="inlineStr">
        <is>
          <t>★</t>
        </is>
      </c>
      <c r="T813" s="42" t="n">
        <v>108</v>
      </c>
      <c r="U813" s="42" t="inlineStr">
        <is>
          <t>P108|★</t>
        </is>
      </c>
      <c r="V813" s="42" t="inlineStr">
        <is>
          <t>同一価格表・前頁凡例を継承</t>
        </is>
      </c>
    </row>
    <row r="814">
      <c r="A814" s="43" t="inlineStr">
        <is>
          <t>SZ-SL-000811</t>
        </is>
      </c>
      <c r="B814" s="43" t="inlineStr">
        <is>
          <t>SER-LIX-SAMOSL</t>
        </is>
      </c>
      <c r="C814" s="43" t="inlineStr">
        <is>
          <t>WT-SL-MENKOSHI-HIKI</t>
        </is>
      </c>
      <c r="D814" s="43" t="inlineStr">
        <is>
          <t>面格子付引違い窓</t>
        </is>
      </c>
      <c r="E814" s="43" t="inlineStr">
        <is>
          <t>SP-SL-GRILLE-H</t>
        </is>
      </c>
      <c r="F814" s="43" t="inlineStr">
        <is>
          <t>在来・204</t>
        </is>
      </c>
      <c r="G814" s="43" t="inlineStr">
        <is>
          <t>17411</t>
        </is>
      </c>
      <c r="H814" s="43" t="inlineStr">
        <is>
          <t>174</t>
        </is>
      </c>
      <c r="I814" s="43" t="inlineStr">
        <is>
          <t>11</t>
        </is>
      </c>
      <c r="J814" s="222" t="n">
        <v>1780</v>
      </c>
      <c r="K814" s="222" t="n">
        <v>1170</v>
      </c>
      <c r="L814" s="43" t="inlineStr">
        <is>
          <t>在来・204</t>
        </is>
      </c>
      <c r="M814" s="178" t="b">
        <v>0</v>
      </c>
      <c r="N814" s="43" t="inlineStr">
        <is>
          <t>設定なし（価格表確認済み）</t>
        </is>
      </c>
      <c r="O814" s="222" t="n">
        <v>111</v>
      </c>
      <c r="P814" s="222" t="n">
        <v>109</v>
      </c>
      <c r="Q814" s="43" t="inlineStr">
        <is>
          <t>202604_LIXIL_サーモスＬ_業務用資料集_完成品価格表.pdf</t>
        </is>
      </c>
      <c r="R814" s="43" t="inlineStr">
        <is>
          <t>規格呼称は親品種で確認済み。固有仕様ごとの価格設定有無（＿＿表示等）は次QAで最終確定。</t>
        </is>
      </c>
      <c r="S814" s="42" t="inlineStr">
        <is>
          <t>無印</t>
        </is>
      </c>
      <c r="T814" s="42" t="n">
        <v>108</v>
      </c>
      <c r="U814" s="42" t="inlineStr">
        <is>
          <t>P108|無印</t>
        </is>
      </c>
      <c r="V814" s="42" t="inlineStr">
        <is>
          <t>同一価格表・前頁凡例を継承</t>
        </is>
      </c>
    </row>
    <row r="815">
      <c r="A815" s="43" t="inlineStr">
        <is>
          <t>SZ-SL-000812</t>
        </is>
      </c>
      <c r="B815" s="43" t="inlineStr">
        <is>
          <t>SER-LIX-SAMOSL</t>
        </is>
      </c>
      <c r="C815" s="43" t="inlineStr">
        <is>
          <t>WT-SL-MENKOSHI-HIKI</t>
        </is>
      </c>
      <c r="D815" s="43" t="inlineStr">
        <is>
          <t>面格子付引違い窓</t>
        </is>
      </c>
      <c r="E815" s="43" t="inlineStr">
        <is>
          <t>SP-SL-GRILLE-H</t>
        </is>
      </c>
      <c r="F815" s="43" t="inlineStr">
        <is>
          <t>在来・204</t>
        </is>
      </c>
      <c r="G815" s="43" t="inlineStr">
        <is>
          <t>17611</t>
        </is>
      </c>
      <c r="H815" s="43" t="inlineStr">
        <is>
          <t>176</t>
        </is>
      </c>
      <c r="I815" s="43" t="inlineStr">
        <is>
          <t>11</t>
        </is>
      </c>
      <c r="J815" s="222" t="n">
        <v>1800</v>
      </c>
      <c r="K815" s="222" t="n">
        <v>1170</v>
      </c>
      <c r="L815" s="43" t="inlineStr">
        <is>
          <t>在来・204</t>
        </is>
      </c>
      <c r="M815" s="178" t="b">
        <v>0</v>
      </c>
      <c r="N815" s="43" t="inlineStr">
        <is>
          <t>設定なし（価格表確認済み）</t>
        </is>
      </c>
      <c r="O815" s="222" t="n">
        <v>111</v>
      </c>
      <c r="P815" s="222" t="n">
        <v>109</v>
      </c>
      <c r="Q815" s="43" t="inlineStr">
        <is>
          <t>202604_LIXIL_サーモスＬ_業務用資料集_完成品価格表.pdf</t>
        </is>
      </c>
      <c r="R815" s="43" t="inlineStr">
        <is>
          <t>規格呼称は親品種で確認済み。固有仕様ごとの価格設定有無（＿＿表示等）は次QAで最終確定。</t>
        </is>
      </c>
      <c r="S815" s="42" t="inlineStr">
        <is>
          <t>無印</t>
        </is>
      </c>
      <c r="T815" s="42" t="n">
        <v>108</v>
      </c>
      <c r="U815" s="42" t="inlineStr">
        <is>
          <t>P108|無印</t>
        </is>
      </c>
      <c r="V815" s="42" t="inlineStr">
        <is>
          <t>同一価格表・前頁凡例を継承</t>
        </is>
      </c>
    </row>
    <row r="816">
      <c r="A816" s="43" t="inlineStr">
        <is>
          <t>SZ-SL-000813</t>
        </is>
      </c>
      <c r="B816" s="43" t="inlineStr">
        <is>
          <t>SER-LIX-SAMOSL</t>
        </is>
      </c>
      <c r="C816" s="43" t="inlineStr">
        <is>
          <t>WT-SL-MENKOSHI-HIKI</t>
        </is>
      </c>
      <c r="D816" s="43" t="inlineStr">
        <is>
          <t>面格子付引違い窓</t>
        </is>
      </c>
      <c r="E816" s="43" t="inlineStr">
        <is>
          <t>SP-SL-GRILLE-H</t>
        </is>
      </c>
      <c r="F816" s="43" t="inlineStr">
        <is>
          <t>在来・204</t>
        </is>
      </c>
      <c r="G816" s="43" t="inlineStr">
        <is>
          <t>18011</t>
        </is>
      </c>
      <c r="H816" s="43" t="inlineStr">
        <is>
          <t>180</t>
        </is>
      </c>
      <c r="I816" s="43" t="inlineStr">
        <is>
          <t>11</t>
        </is>
      </c>
      <c r="J816" s="222" t="n">
        <v>1845</v>
      </c>
      <c r="K816" s="222" t="n">
        <v>1170</v>
      </c>
      <c r="L816" s="43" t="inlineStr">
        <is>
          <t>在来・204</t>
        </is>
      </c>
      <c r="M816" s="178" t="b">
        <v>0</v>
      </c>
      <c r="N816" s="43" t="inlineStr">
        <is>
          <t>設定なし（価格表確認済み）</t>
        </is>
      </c>
      <c r="O816" s="222" t="n">
        <v>111</v>
      </c>
      <c r="P816" s="222" t="n">
        <v>109</v>
      </c>
      <c r="Q816" s="43" t="inlineStr">
        <is>
          <t>202604_LIXIL_サーモスＬ_業務用資料集_完成品価格表.pdf</t>
        </is>
      </c>
      <c r="R816" s="43" t="inlineStr">
        <is>
          <t>規格呼称は親品種で確認済み。固有仕様ごとの価格設定有無（＿＿表示等）は次QAで最終確定。</t>
        </is>
      </c>
      <c r="S816" s="42" t="inlineStr">
        <is>
          <t>無印</t>
        </is>
      </c>
      <c r="T816" s="42" t="n">
        <v>108</v>
      </c>
      <c r="U816" s="42" t="inlineStr">
        <is>
          <t>P108|無印</t>
        </is>
      </c>
      <c r="V816" s="42" t="inlineStr">
        <is>
          <t>同一価格表・前頁凡例を継承</t>
        </is>
      </c>
    </row>
    <row r="817">
      <c r="A817" s="43" t="inlineStr">
        <is>
          <t>SZ-SL-000814</t>
        </is>
      </c>
      <c r="B817" s="43" t="inlineStr">
        <is>
          <t>SER-LIX-SAMOSL</t>
        </is>
      </c>
      <c r="C817" s="43" t="inlineStr">
        <is>
          <t>WT-SL-MENKOSHI-HIKI</t>
        </is>
      </c>
      <c r="D817" s="43" t="inlineStr">
        <is>
          <t>面格子付引違い窓</t>
        </is>
      </c>
      <c r="E817" s="43" t="inlineStr">
        <is>
          <t>SP-SL-GRILLE-H</t>
        </is>
      </c>
      <c r="F817" s="43" t="inlineStr">
        <is>
          <t>在来・204</t>
        </is>
      </c>
      <c r="G817" s="43" t="inlineStr">
        <is>
          <t>18611</t>
        </is>
      </c>
      <c r="H817" s="43" t="inlineStr">
        <is>
          <t>186</t>
        </is>
      </c>
      <c r="I817" s="43" t="inlineStr">
        <is>
          <t>11</t>
        </is>
      </c>
      <c r="J817" s="222" t="n">
        <v>1900</v>
      </c>
      <c r="K817" s="222" t="n">
        <v>1170</v>
      </c>
      <c r="L817" s="43" t="inlineStr">
        <is>
          <t>在来・204</t>
        </is>
      </c>
      <c r="M817" s="178" t="b">
        <v>0</v>
      </c>
      <c r="N817" s="43" t="inlineStr">
        <is>
          <t>設定なし（価格表確認済み）</t>
        </is>
      </c>
      <c r="O817" s="222" t="n">
        <v>111</v>
      </c>
      <c r="P817" s="222" t="n">
        <v>109</v>
      </c>
      <c r="Q817" s="43" t="inlineStr">
        <is>
          <t>202604_LIXIL_サーモスＬ_業務用資料集_完成品価格表.pdf</t>
        </is>
      </c>
      <c r="R817" s="43" t="inlineStr">
        <is>
          <t>規格呼称は親品種で確認済み。固有仕様ごとの価格設定有無（＿＿表示等）は次QAで最終確定。</t>
        </is>
      </c>
      <c r="S817" s="42" t="inlineStr">
        <is>
          <t>★</t>
        </is>
      </c>
      <c r="T817" s="42" t="n">
        <v>108</v>
      </c>
      <c r="U817" s="42" t="inlineStr">
        <is>
          <t>P108|★</t>
        </is>
      </c>
      <c r="V817" s="42" t="inlineStr">
        <is>
          <t>同一価格表・前頁凡例を継承</t>
        </is>
      </c>
    </row>
    <row r="818">
      <c r="A818" s="43" t="inlineStr">
        <is>
          <t>SZ-SL-000815</t>
        </is>
      </c>
      <c r="B818" s="43" t="inlineStr">
        <is>
          <t>SER-LIX-SAMOSL</t>
        </is>
      </c>
      <c r="C818" s="43" t="inlineStr">
        <is>
          <t>WT-SL-MENKOSHI-HIKI</t>
        </is>
      </c>
      <c r="D818" s="43" t="inlineStr">
        <is>
          <t>面格子付引違い窓</t>
        </is>
      </c>
      <c r="E818" s="43" t="inlineStr">
        <is>
          <t>SP-SL-GRILLE-IGETA</t>
        </is>
      </c>
      <c r="F818" s="43" t="inlineStr">
        <is>
          <t>在来・204</t>
        </is>
      </c>
      <c r="G818" s="43" t="inlineStr">
        <is>
          <t>17411</t>
        </is>
      </c>
      <c r="H818" s="43" t="inlineStr">
        <is>
          <t>174</t>
        </is>
      </c>
      <c r="I818" s="43" t="inlineStr">
        <is>
          <t>11</t>
        </is>
      </c>
      <c r="J818" s="222" t="n">
        <v>1780</v>
      </c>
      <c r="K818" s="222" t="n">
        <v>1170</v>
      </c>
      <c r="L818" s="43" t="inlineStr">
        <is>
          <t>在来・204</t>
        </is>
      </c>
      <c r="M818" s="178" t="b">
        <v>1</v>
      </c>
      <c r="N818" s="43" t="inlineStr">
        <is>
          <t>カタログ個別可否確認済み</t>
        </is>
      </c>
      <c r="O818" s="222" t="n">
        <v>111</v>
      </c>
      <c r="P818" s="222" t="n">
        <v>109</v>
      </c>
      <c r="Q818" s="43" t="inlineStr">
        <is>
          <t>202604_LIXIL_サーモスＬ_業務用資料集_完成品価格表.pdf</t>
        </is>
      </c>
      <c r="R818" s="43" t="inlineStr">
        <is>
          <t>規格呼称は親品種で確認済み。固有仕様ごとの価格設定有無（＿＿表示等）は次QAで最終確定。</t>
        </is>
      </c>
      <c r="S818" s="42" t="inlineStr">
        <is>
          <t>無印</t>
        </is>
      </c>
      <c r="T818" s="42" t="n">
        <v>108</v>
      </c>
      <c r="U818" s="42" t="inlineStr">
        <is>
          <t>P108|無印</t>
        </is>
      </c>
      <c r="V818" s="42" t="inlineStr">
        <is>
          <t>同一価格表・前頁凡例を継承</t>
        </is>
      </c>
    </row>
    <row r="819">
      <c r="A819" s="43" t="inlineStr">
        <is>
          <t>SZ-SL-000816</t>
        </is>
      </c>
      <c r="B819" s="43" t="inlineStr">
        <is>
          <t>SER-LIX-SAMOSL</t>
        </is>
      </c>
      <c r="C819" s="43" t="inlineStr">
        <is>
          <t>WT-SL-MENKOSHI-HIKI</t>
        </is>
      </c>
      <c r="D819" s="43" t="inlineStr">
        <is>
          <t>面格子付引違い窓</t>
        </is>
      </c>
      <c r="E819" s="43" t="inlineStr">
        <is>
          <t>SP-SL-GRILLE-IGETA</t>
        </is>
      </c>
      <c r="F819" s="43" t="inlineStr">
        <is>
          <t>在来・204</t>
        </is>
      </c>
      <c r="G819" s="43" t="inlineStr">
        <is>
          <t>17611</t>
        </is>
      </c>
      <c r="H819" s="43" t="inlineStr">
        <is>
          <t>176</t>
        </is>
      </c>
      <c r="I819" s="43" t="inlineStr">
        <is>
          <t>11</t>
        </is>
      </c>
      <c r="J819" s="222" t="n">
        <v>1800</v>
      </c>
      <c r="K819" s="222" t="n">
        <v>1170</v>
      </c>
      <c r="L819" s="43" t="inlineStr">
        <is>
          <t>在来・204</t>
        </is>
      </c>
      <c r="M819" s="178" t="b">
        <v>1</v>
      </c>
      <c r="N819" s="43" t="inlineStr">
        <is>
          <t>カタログ個別可否確認済み</t>
        </is>
      </c>
      <c r="O819" s="222" t="n">
        <v>111</v>
      </c>
      <c r="P819" s="222" t="n">
        <v>109</v>
      </c>
      <c r="Q819" s="43" t="inlineStr">
        <is>
          <t>202604_LIXIL_サーモスＬ_業務用資料集_完成品価格表.pdf</t>
        </is>
      </c>
      <c r="R819" s="43" t="inlineStr">
        <is>
          <t>規格呼称は親品種で確認済み。固有仕様ごとの価格設定有無（＿＿表示等）は次QAで最終確定。</t>
        </is>
      </c>
      <c r="S819" s="42" t="inlineStr">
        <is>
          <t>無印</t>
        </is>
      </c>
      <c r="T819" s="42" t="n">
        <v>108</v>
      </c>
      <c r="U819" s="42" t="inlineStr">
        <is>
          <t>P108|無印</t>
        </is>
      </c>
      <c r="V819" s="42" t="inlineStr">
        <is>
          <t>同一価格表・前頁凡例を継承</t>
        </is>
      </c>
    </row>
    <row r="820">
      <c r="A820" s="43" t="inlineStr">
        <is>
          <t>SZ-SL-000817</t>
        </is>
      </c>
      <c r="B820" s="43" t="inlineStr">
        <is>
          <t>SER-LIX-SAMOSL</t>
        </is>
      </c>
      <c r="C820" s="43" t="inlineStr">
        <is>
          <t>WT-SL-MENKOSHI-HIKI</t>
        </is>
      </c>
      <c r="D820" s="43" t="inlineStr">
        <is>
          <t>面格子付引違い窓</t>
        </is>
      </c>
      <c r="E820" s="43" t="inlineStr">
        <is>
          <t>SP-SL-GRILLE-IGETA</t>
        </is>
      </c>
      <c r="F820" s="43" t="inlineStr">
        <is>
          <t>在来・204</t>
        </is>
      </c>
      <c r="G820" s="43" t="inlineStr">
        <is>
          <t>18011</t>
        </is>
      </c>
      <c r="H820" s="43" t="inlineStr">
        <is>
          <t>180</t>
        </is>
      </c>
      <c r="I820" s="43" t="inlineStr">
        <is>
          <t>11</t>
        </is>
      </c>
      <c r="J820" s="222" t="n">
        <v>1845</v>
      </c>
      <c r="K820" s="222" t="n">
        <v>1170</v>
      </c>
      <c r="L820" s="43" t="inlineStr">
        <is>
          <t>在来・204</t>
        </is>
      </c>
      <c r="M820" s="178" t="b">
        <v>1</v>
      </c>
      <c r="N820" s="43" t="inlineStr">
        <is>
          <t>カタログ個別可否確認済み</t>
        </is>
      </c>
      <c r="O820" s="222" t="n">
        <v>111</v>
      </c>
      <c r="P820" s="222" t="n">
        <v>109</v>
      </c>
      <c r="Q820" s="43" t="inlineStr">
        <is>
          <t>202604_LIXIL_サーモスＬ_業務用資料集_完成品価格表.pdf</t>
        </is>
      </c>
      <c r="R820" s="43" t="inlineStr">
        <is>
          <t>規格呼称は親品種で確認済み。固有仕様ごとの価格設定有無（＿＿表示等）は次QAで最終確定。</t>
        </is>
      </c>
      <c r="S820" s="42" t="inlineStr">
        <is>
          <t>無印</t>
        </is>
      </c>
      <c r="T820" s="42" t="n">
        <v>108</v>
      </c>
      <c r="U820" s="42" t="inlineStr">
        <is>
          <t>P108|無印</t>
        </is>
      </c>
      <c r="V820" s="42" t="inlineStr">
        <is>
          <t>同一価格表・前頁凡例を継承</t>
        </is>
      </c>
    </row>
    <row r="821">
      <c r="A821" s="43" t="inlineStr">
        <is>
          <t>SZ-SL-000818</t>
        </is>
      </c>
      <c r="B821" s="43" t="inlineStr">
        <is>
          <t>SER-LIX-SAMOSL</t>
        </is>
      </c>
      <c r="C821" s="43" t="inlineStr">
        <is>
          <t>WT-SL-MENKOSHI-HIKI</t>
        </is>
      </c>
      <c r="D821" s="43" t="inlineStr">
        <is>
          <t>面格子付引違い窓</t>
        </is>
      </c>
      <c r="E821" s="43" t="inlineStr">
        <is>
          <t>SP-SL-GRILLE-IGETA</t>
        </is>
      </c>
      <c r="F821" s="43" t="inlineStr">
        <is>
          <t>在来・204</t>
        </is>
      </c>
      <c r="G821" s="43" t="inlineStr">
        <is>
          <t>18611</t>
        </is>
      </c>
      <c r="H821" s="43" t="inlineStr">
        <is>
          <t>186</t>
        </is>
      </c>
      <c r="I821" s="43" t="inlineStr">
        <is>
          <t>11</t>
        </is>
      </c>
      <c r="J821" s="222" t="n">
        <v>1900</v>
      </c>
      <c r="K821" s="222" t="n">
        <v>1170</v>
      </c>
      <c r="L821" s="43" t="inlineStr">
        <is>
          <t>在来・204</t>
        </is>
      </c>
      <c r="M821" s="178" t="b">
        <v>1</v>
      </c>
      <c r="N821" s="43" t="inlineStr">
        <is>
          <t>カタログ個別可否確認済み</t>
        </is>
      </c>
      <c r="O821" s="222" t="n">
        <v>111</v>
      </c>
      <c r="P821" s="222" t="n">
        <v>109</v>
      </c>
      <c r="Q821" s="43" t="inlineStr">
        <is>
          <t>202604_LIXIL_サーモスＬ_業務用資料集_完成品価格表.pdf</t>
        </is>
      </c>
      <c r="R821" s="43" t="inlineStr">
        <is>
          <t>規格呼称は親品種で確認済み。固有仕様ごとの価格設定有無（＿＿表示等）は次QAで最終確定。</t>
        </is>
      </c>
      <c r="S821" s="42" t="inlineStr">
        <is>
          <t>★</t>
        </is>
      </c>
      <c r="T821" s="42" t="n">
        <v>108</v>
      </c>
      <c r="U821" s="42" t="inlineStr">
        <is>
          <t>P108|★</t>
        </is>
      </c>
      <c r="V821" s="42" t="inlineStr">
        <is>
          <t>同一価格表・前頁凡例を継承</t>
        </is>
      </c>
    </row>
    <row r="822">
      <c r="A822" s="43" t="inlineStr">
        <is>
          <t>SZ-SL-000819</t>
        </is>
      </c>
      <c r="B822" s="43" t="inlineStr">
        <is>
          <t>SER-LIX-SAMOSL</t>
        </is>
      </c>
      <c r="C822" s="43" t="inlineStr">
        <is>
          <t>WT-SL-MENKOSHI-HIKI</t>
        </is>
      </c>
      <c r="D822" s="43" t="inlineStr">
        <is>
          <t>面格子付引違い窓</t>
        </is>
      </c>
      <c r="E822" s="43" t="inlineStr">
        <is>
          <t>SP-SL-GRILLE-V</t>
        </is>
      </c>
      <c r="F822" s="43" t="inlineStr">
        <is>
          <t>在来・204</t>
        </is>
      </c>
      <c r="G822" s="43" t="inlineStr">
        <is>
          <t>17411</t>
        </is>
      </c>
      <c r="H822" s="43" t="inlineStr">
        <is>
          <t>174</t>
        </is>
      </c>
      <c r="I822" s="43" t="inlineStr">
        <is>
          <t>11</t>
        </is>
      </c>
      <c r="J822" s="222" t="n">
        <v>1780</v>
      </c>
      <c r="K822" s="222" t="n">
        <v>1170</v>
      </c>
      <c r="L822" s="43" t="inlineStr">
        <is>
          <t>在来・204</t>
        </is>
      </c>
      <c r="M822" s="178" t="b">
        <v>1</v>
      </c>
      <c r="N822" s="43" t="inlineStr">
        <is>
          <t>カタログ個別可否確認済み</t>
        </is>
      </c>
      <c r="O822" s="222" t="n">
        <v>111</v>
      </c>
      <c r="P822" s="222" t="n">
        <v>109</v>
      </c>
      <c r="Q822" s="43" t="inlineStr">
        <is>
          <t>202604_LIXIL_サーモスＬ_業務用資料集_完成品価格表.pdf</t>
        </is>
      </c>
      <c r="R822" s="43" t="inlineStr">
        <is>
          <t>規格呼称は親品種で確認済み。固有仕様ごとの価格設定有無（＿＿表示等）は次QAで最終確定。</t>
        </is>
      </c>
      <c r="S822" s="42" t="inlineStr">
        <is>
          <t>無印</t>
        </is>
      </c>
      <c r="T822" s="42" t="n">
        <v>108</v>
      </c>
      <c r="U822" s="42" t="inlineStr">
        <is>
          <t>P108|無印</t>
        </is>
      </c>
      <c r="V822" s="42" t="inlineStr">
        <is>
          <t>同一価格表・前頁凡例を継承</t>
        </is>
      </c>
    </row>
    <row r="823">
      <c r="A823" s="43" t="inlineStr">
        <is>
          <t>SZ-SL-000820</t>
        </is>
      </c>
      <c r="B823" s="43" t="inlineStr">
        <is>
          <t>SER-LIX-SAMOSL</t>
        </is>
      </c>
      <c r="C823" s="43" t="inlineStr">
        <is>
          <t>WT-SL-MENKOSHI-HIKI</t>
        </is>
      </c>
      <c r="D823" s="43" t="inlineStr">
        <is>
          <t>面格子付引違い窓</t>
        </is>
      </c>
      <c r="E823" s="43" t="inlineStr">
        <is>
          <t>SP-SL-GRILLE-V</t>
        </is>
      </c>
      <c r="F823" s="43" t="inlineStr">
        <is>
          <t>在来・204</t>
        </is>
      </c>
      <c r="G823" s="43" t="inlineStr">
        <is>
          <t>17611</t>
        </is>
      </c>
      <c r="H823" s="43" t="inlineStr">
        <is>
          <t>176</t>
        </is>
      </c>
      <c r="I823" s="43" t="inlineStr">
        <is>
          <t>11</t>
        </is>
      </c>
      <c r="J823" s="222" t="n">
        <v>1800</v>
      </c>
      <c r="K823" s="222" t="n">
        <v>1170</v>
      </c>
      <c r="L823" s="43" t="inlineStr">
        <is>
          <t>在来・204</t>
        </is>
      </c>
      <c r="M823" s="178" t="b">
        <v>1</v>
      </c>
      <c r="N823" s="43" t="inlineStr">
        <is>
          <t>カタログ個別可否確認済み</t>
        </is>
      </c>
      <c r="O823" s="222" t="n">
        <v>111</v>
      </c>
      <c r="P823" s="222" t="n">
        <v>109</v>
      </c>
      <c r="Q823" s="43" t="inlineStr">
        <is>
          <t>202604_LIXIL_サーモスＬ_業務用資料集_完成品価格表.pdf</t>
        </is>
      </c>
      <c r="R823" s="43" t="inlineStr">
        <is>
          <t>規格呼称は親品種で確認済み。固有仕様ごとの価格設定有無（＿＿表示等）は次QAで最終確定。</t>
        </is>
      </c>
      <c r="S823" s="42" t="inlineStr">
        <is>
          <t>無印</t>
        </is>
      </c>
      <c r="T823" s="42" t="n">
        <v>108</v>
      </c>
      <c r="U823" s="42" t="inlineStr">
        <is>
          <t>P108|無印</t>
        </is>
      </c>
      <c r="V823" s="42" t="inlineStr">
        <is>
          <t>同一価格表・前頁凡例を継承</t>
        </is>
      </c>
    </row>
    <row r="824">
      <c r="A824" s="43" t="inlineStr">
        <is>
          <t>SZ-SL-000821</t>
        </is>
      </c>
      <c r="B824" s="43" t="inlineStr">
        <is>
          <t>SER-LIX-SAMOSL</t>
        </is>
      </c>
      <c r="C824" s="43" t="inlineStr">
        <is>
          <t>WT-SL-MENKOSHI-HIKI</t>
        </is>
      </c>
      <c r="D824" s="43" t="inlineStr">
        <is>
          <t>面格子付引違い窓</t>
        </is>
      </c>
      <c r="E824" s="43" t="inlineStr">
        <is>
          <t>SP-SL-GRILLE-V</t>
        </is>
      </c>
      <c r="F824" s="43" t="inlineStr">
        <is>
          <t>在来・204</t>
        </is>
      </c>
      <c r="G824" s="43" t="inlineStr">
        <is>
          <t>18011</t>
        </is>
      </c>
      <c r="H824" s="43" t="inlineStr">
        <is>
          <t>180</t>
        </is>
      </c>
      <c r="I824" s="43" t="inlineStr">
        <is>
          <t>11</t>
        </is>
      </c>
      <c r="J824" s="222" t="n">
        <v>1845</v>
      </c>
      <c r="K824" s="222" t="n">
        <v>1170</v>
      </c>
      <c r="L824" s="43" t="inlineStr">
        <is>
          <t>在来・204</t>
        </is>
      </c>
      <c r="M824" s="178" t="b">
        <v>1</v>
      </c>
      <c r="N824" s="43" t="inlineStr">
        <is>
          <t>カタログ個別可否確認済み</t>
        </is>
      </c>
      <c r="O824" s="222" t="n">
        <v>111</v>
      </c>
      <c r="P824" s="222" t="n">
        <v>109</v>
      </c>
      <c r="Q824" s="43" t="inlineStr">
        <is>
          <t>202604_LIXIL_サーモスＬ_業務用資料集_完成品価格表.pdf</t>
        </is>
      </c>
      <c r="R824" s="43" t="inlineStr">
        <is>
          <t>規格呼称は親品種で確認済み。固有仕様ごとの価格設定有無（＿＿表示等）は次QAで最終確定。</t>
        </is>
      </c>
      <c r="S824" s="42" t="inlineStr">
        <is>
          <t>無印</t>
        </is>
      </c>
      <c r="T824" s="42" t="n">
        <v>108</v>
      </c>
      <c r="U824" s="42" t="inlineStr">
        <is>
          <t>P108|無印</t>
        </is>
      </c>
      <c r="V824" s="42" t="inlineStr">
        <is>
          <t>同一価格表・前頁凡例を継承</t>
        </is>
      </c>
    </row>
    <row r="825">
      <c r="A825" s="43" t="inlineStr">
        <is>
          <t>SZ-SL-000822</t>
        </is>
      </c>
      <c r="B825" s="43" t="inlineStr">
        <is>
          <t>SER-LIX-SAMOSL</t>
        </is>
      </c>
      <c r="C825" s="43" t="inlineStr">
        <is>
          <t>WT-SL-MENKOSHI-HIKI</t>
        </is>
      </c>
      <c r="D825" s="43" t="inlineStr">
        <is>
          <t>面格子付引違い窓</t>
        </is>
      </c>
      <c r="E825" s="43" t="inlineStr">
        <is>
          <t>SP-SL-GRILLE-V</t>
        </is>
      </c>
      <c r="F825" s="43" t="inlineStr">
        <is>
          <t>在来・204</t>
        </is>
      </c>
      <c r="G825" s="43" t="inlineStr">
        <is>
          <t>18611</t>
        </is>
      </c>
      <c r="H825" s="43" t="inlineStr">
        <is>
          <t>186</t>
        </is>
      </c>
      <c r="I825" s="43" t="inlineStr">
        <is>
          <t>11</t>
        </is>
      </c>
      <c r="J825" s="222" t="n">
        <v>1900</v>
      </c>
      <c r="K825" s="222" t="n">
        <v>1170</v>
      </c>
      <c r="L825" s="43" t="inlineStr">
        <is>
          <t>在来・204</t>
        </is>
      </c>
      <c r="M825" s="178" t="b">
        <v>1</v>
      </c>
      <c r="N825" s="43" t="inlineStr">
        <is>
          <t>カタログ個別可否確認済み</t>
        </is>
      </c>
      <c r="O825" s="222" t="n">
        <v>111</v>
      </c>
      <c r="P825" s="222" t="n">
        <v>109</v>
      </c>
      <c r="Q825" s="43" t="inlineStr">
        <is>
          <t>202604_LIXIL_サーモスＬ_業務用資料集_完成品価格表.pdf</t>
        </is>
      </c>
      <c r="R825" s="43" t="inlineStr">
        <is>
          <t>規格呼称は親品種で確認済み。固有仕様ごとの価格設定有無（＿＿表示等）は次QAで最終確定。</t>
        </is>
      </c>
      <c r="S825" s="42" t="inlineStr">
        <is>
          <t>★</t>
        </is>
      </c>
      <c r="T825" s="42" t="n">
        <v>108</v>
      </c>
      <c r="U825" s="42" t="inlineStr">
        <is>
          <t>P108|★</t>
        </is>
      </c>
      <c r="V825" s="42" t="inlineStr">
        <is>
          <t>同一価格表・前頁凡例を継承</t>
        </is>
      </c>
    </row>
    <row r="826">
      <c r="A826" s="43" t="inlineStr">
        <is>
          <t>SZ-SL-000823</t>
        </is>
      </c>
      <c r="B826" s="43" t="inlineStr">
        <is>
          <t>SER-LIX-SAMOSL</t>
        </is>
      </c>
      <c r="C826" s="43" t="inlineStr">
        <is>
          <t>WT-SL-MENKOSHI-HIKI</t>
        </is>
      </c>
      <c r="D826" s="43" t="inlineStr">
        <is>
          <t>面格子付引違い窓</t>
        </is>
      </c>
      <c r="E826" s="43" t="inlineStr">
        <is>
          <t>SP-SL-GRILLE-DIA</t>
        </is>
      </c>
      <c r="F826" s="43" t="inlineStr">
        <is>
          <t>在来・204</t>
        </is>
      </c>
      <c r="G826" s="43" t="inlineStr">
        <is>
          <t>11413</t>
        </is>
      </c>
      <c r="H826" s="43" t="inlineStr">
        <is>
          <t>114</t>
        </is>
      </c>
      <c r="I826" s="43" t="inlineStr">
        <is>
          <t>13</t>
        </is>
      </c>
      <c r="J826" s="222" t="n">
        <v>1185</v>
      </c>
      <c r="K826" s="222" t="n">
        <v>1370</v>
      </c>
      <c r="L826" s="43" t="inlineStr">
        <is>
          <t>在来・204</t>
        </is>
      </c>
      <c r="M826" s="178" t="b">
        <v>1</v>
      </c>
      <c r="N826" s="43" t="inlineStr">
        <is>
          <t>カタログ個別可否確認済み</t>
        </is>
      </c>
      <c r="O826" s="222" t="n">
        <v>113</v>
      </c>
      <c r="P826" s="222" t="n">
        <v>111</v>
      </c>
      <c r="Q826" s="43" t="inlineStr">
        <is>
          <t>202604_LIXIL_サーモスＬ_業務用資料集_完成品価格表.pdf</t>
        </is>
      </c>
      <c r="R826" s="43" t="inlineStr">
        <is>
          <t>規格呼称は親品種で確認済み。固有仕様ごとの価格設定有無（＿＿表示等）は次QAで最終確定。</t>
        </is>
      </c>
      <c r="S826" s="42" t="inlineStr">
        <is>
          <t>無印</t>
        </is>
      </c>
      <c r="T826" s="42" t="n">
        <v>110</v>
      </c>
      <c r="U826" s="42" t="inlineStr">
        <is>
          <t>P110|無印</t>
        </is>
      </c>
      <c r="V826" s="42" t="inlineStr">
        <is>
          <t>同一価格表・前頁凡例を継承</t>
        </is>
      </c>
    </row>
    <row r="827">
      <c r="A827" s="43" t="inlineStr">
        <is>
          <t>SZ-SL-000824</t>
        </is>
      </c>
      <c r="B827" s="43" t="inlineStr">
        <is>
          <t>SER-LIX-SAMOSL</t>
        </is>
      </c>
      <c r="C827" s="43" t="inlineStr">
        <is>
          <t>WT-SL-MENKOSHI-HIKI</t>
        </is>
      </c>
      <c r="D827" s="43" t="inlineStr">
        <is>
          <t>面格子付引違い窓</t>
        </is>
      </c>
      <c r="E827" s="43" t="inlineStr">
        <is>
          <t>SP-SL-GRILLE-DIA</t>
        </is>
      </c>
      <c r="F827" s="43" t="inlineStr">
        <is>
          <t>在来・204</t>
        </is>
      </c>
      <c r="G827" s="43" t="inlineStr">
        <is>
          <t>11913</t>
        </is>
      </c>
      <c r="H827" s="43" t="inlineStr">
        <is>
          <t>119</t>
        </is>
      </c>
      <c r="I827" s="43" t="inlineStr">
        <is>
          <t>13</t>
        </is>
      </c>
      <c r="J827" s="222" t="n">
        <v>1235</v>
      </c>
      <c r="K827" s="222" t="n">
        <v>1370</v>
      </c>
      <c r="L827" s="43" t="inlineStr">
        <is>
          <t>在来・204</t>
        </is>
      </c>
      <c r="M827" s="178" t="b">
        <v>1</v>
      </c>
      <c r="N827" s="43" t="inlineStr">
        <is>
          <t>カタログ個別可否確認済み</t>
        </is>
      </c>
      <c r="O827" s="222" t="n">
        <v>113</v>
      </c>
      <c r="P827" s="222" t="n">
        <v>111</v>
      </c>
      <c r="Q827" s="43" t="inlineStr">
        <is>
          <t>202604_LIXIL_サーモスＬ_業務用資料集_完成品価格表.pdf</t>
        </is>
      </c>
      <c r="R827" s="43" t="inlineStr">
        <is>
          <t>規格呼称は親品種で確認済み。固有仕様ごとの価格設定有無（＿＿表示等）は次QAで最終確定。</t>
        </is>
      </c>
      <c r="S827" s="42" t="inlineStr">
        <is>
          <t>無印</t>
        </is>
      </c>
      <c r="T827" s="42" t="n">
        <v>110</v>
      </c>
      <c r="U827" s="42" t="inlineStr">
        <is>
          <t>P110|無印</t>
        </is>
      </c>
      <c r="V827" s="42" t="inlineStr">
        <is>
          <t>同一価格表・前頁凡例を継承</t>
        </is>
      </c>
    </row>
    <row r="828">
      <c r="A828" s="43" t="inlineStr">
        <is>
          <t>SZ-SL-000825</t>
        </is>
      </c>
      <c r="B828" s="43" t="inlineStr">
        <is>
          <t>SER-LIX-SAMOSL</t>
        </is>
      </c>
      <c r="C828" s="43" t="inlineStr">
        <is>
          <t>WT-SL-MENKOSHI-HIKI</t>
        </is>
      </c>
      <c r="D828" s="43" t="inlineStr">
        <is>
          <t>面格子付引違い窓</t>
        </is>
      </c>
      <c r="E828" s="43" t="inlineStr">
        <is>
          <t>SP-SL-GRILLE-H</t>
        </is>
      </c>
      <c r="F828" s="43" t="inlineStr">
        <is>
          <t>在来・204</t>
        </is>
      </c>
      <c r="G828" s="43" t="inlineStr">
        <is>
          <t>11413</t>
        </is>
      </c>
      <c r="H828" s="43" t="inlineStr">
        <is>
          <t>114</t>
        </is>
      </c>
      <c r="I828" s="43" t="inlineStr">
        <is>
          <t>13</t>
        </is>
      </c>
      <c r="J828" s="222" t="n">
        <v>1185</v>
      </c>
      <c r="K828" s="222" t="n">
        <v>1370</v>
      </c>
      <c r="L828" s="43" t="inlineStr">
        <is>
          <t>在来・204</t>
        </is>
      </c>
      <c r="M828" s="178" t="b">
        <v>1</v>
      </c>
      <c r="N828" s="43" t="inlineStr">
        <is>
          <t>カタログ個別可否確認済み</t>
        </is>
      </c>
      <c r="O828" s="222" t="n">
        <v>113</v>
      </c>
      <c r="P828" s="222" t="n">
        <v>111</v>
      </c>
      <c r="Q828" s="43" t="inlineStr">
        <is>
          <t>202604_LIXIL_サーモスＬ_業務用資料集_完成品価格表.pdf</t>
        </is>
      </c>
      <c r="R828" s="43" t="inlineStr">
        <is>
          <t>規格呼称は親品種で確認済み。固有仕様ごとの価格設定有無（＿＿表示等）は次QAで最終確定。</t>
        </is>
      </c>
      <c r="S828" s="42" t="inlineStr">
        <is>
          <t>無印</t>
        </is>
      </c>
      <c r="T828" s="42" t="n">
        <v>110</v>
      </c>
      <c r="U828" s="42" t="inlineStr">
        <is>
          <t>P110|無印</t>
        </is>
      </c>
      <c r="V828" s="42" t="inlineStr">
        <is>
          <t>同一価格表・前頁凡例を継承</t>
        </is>
      </c>
    </row>
    <row r="829">
      <c r="A829" s="43" t="inlineStr">
        <is>
          <t>SZ-SL-000826</t>
        </is>
      </c>
      <c r="B829" s="43" t="inlineStr">
        <is>
          <t>SER-LIX-SAMOSL</t>
        </is>
      </c>
      <c r="C829" s="43" t="inlineStr">
        <is>
          <t>WT-SL-MENKOSHI-HIKI</t>
        </is>
      </c>
      <c r="D829" s="43" t="inlineStr">
        <is>
          <t>面格子付引違い窓</t>
        </is>
      </c>
      <c r="E829" s="43" t="inlineStr">
        <is>
          <t>SP-SL-GRILLE-H</t>
        </is>
      </c>
      <c r="F829" s="43" t="inlineStr">
        <is>
          <t>在来・204</t>
        </is>
      </c>
      <c r="G829" s="43" t="inlineStr">
        <is>
          <t>11913</t>
        </is>
      </c>
      <c r="H829" s="43" t="inlineStr">
        <is>
          <t>119</t>
        </is>
      </c>
      <c r="I829" s="43" t="inlineStr">
        <is>
          <t>13</t>
        </is>
      </c>
      <c r="J829" s="222" t="n">
        <v>1235</v>
      </c>
      <c r="K829" s="222" t="n">
        <v>1370</v>
      </c>
      <c r="L829" s="43" t="inlineStr">
        <is>
          <t>在来・204</t>
        </is>
      </c>
      <c r="M829" s="178" t="b">
        <v>1</v>
      </c>
      <c r="N829" s="43" t="inlineStr">
        <is>
          <t>カタログ個別可否確認済み</t>
        </is>
      </c>
      <c r="O829" s="222" t="n">
        <v>113</v>
      </c>
      <c r="P829" s="222" t="n">
        <v>111</v>
      </c>
      <c r="Q829" s="43" t="inlineStr">
        <is>
          <t>202604_LIXIL_サーモスＬ_業務用資料集_完成品価格表.pdf</t>
        </is>
      </c>
      <c r="R829" s="43" t="inlineStr">
        <is>
          <t>規格呼称は親品種で確認済み。固有仕様ごとの価格設定有無（＿＿表示等）は次QAで最終確定。</t>
        </is>
      </c>
      <c r="S829" s="42" t="inlineStr">
        <is>
          <t>無印</t>
        </is>
      </c>
      <c r="T829" s="42" t="n">
        <v>110</v>
      </c>
      <c r="U829" s="42" t="inlineStr">
        <is>
          <t>P110|無印</t>
        </is>
      </c>
      <c r="V829" s="42" t="inlineStr">
        <is>
          <t>同一価格表・前頁凡例を継承</t>
        </is>
      </c>
    </row>
    <row r="830">
      <c r="A830" s="43" t="inlineStr">
        <is>
          <t>SZ-SL-000827</t>
        </is>
      </c>
      <c r="B830" s="43" t="inlineStr">
        <is>
          <t>SER-LIX-SAMOSL</t>
        </is>
      </c>
      <c r="C830" s="43" t="inlineStr">
        <is>
          <t>WT-SL-MENKOSHI-HIKI</t>
        </is>
      </c>
      <c r="D830" s="43" t="inlineStr">
        <is>
          <t>面格子付引違い窓</t>
        </is>
      </c>
      <c r="E830" s="43" t="inlineStr">
        <is>
          <t>SP-SL-GRILLE-IGETA</t>
        </is>
      </c>
      <c r="F830" s="43" t="inlineStr">
        <is>
          <t>在来・204</t>
        </is>
      </c>
      <c r="G830" s="43" t="inlineStr">
        <is>
          <t>11413</t>
        </is>
      </c>
      <c r="H830" s="43" t="inlineStr">
        <is>
          <t>114</t>
        </is>
      </c>
      <c r="I830" s="43" t="inlineStr">
        <is>
          <t>13</t>
        </is>
      </c>
      <c r="J830" s="222" t="n">
        <v>1185</v>
      </c>
      <c r="K830" s="222" t="n">
        <v>1370</v>
      </c>
      <c r="L830" s="43" t="inlineStr">
        <is>
          <t>在来・204</t>
        </is>
      </c>
      <c r="M830" s="178" t="b">
        <v>1</v>
      </c>
      <c r="N830" s="43" t="inlineStr">
        <is>
          <t>カタログ個別可否確認済み</t>
        </is>
      </c>
      <c r="O830" s="222" t="n">
        <v>113</v>
      </c>
      <c r="P830" s="222" t="n">
        <v>111</v>
      </c>
      <c r="Q830" s="43" t="inlineStr">
        <is>
          <t>202604_LIXIL_サーモスＬ_業務用資料集_完成品価格表.pdf</t>
        </is>
      </c>
      <c r="R830" s="43" t="inlineStr">
        <is>
          <t>規格呼称は親品種で確認済み。固有仕様ごとの価格設定有無（＿＿表示等）は次QAで最終確定。</t>
        </is>
      </c>
      <c r="S830" s="42" t="inlineStr">
        <is>
          <t>無印</t>
        </is>
      </c>
      <c r="T830" s="42" t="n">
        <v>110</v>
      </c>
      <c r="U830" s="42" t="inlineStr">
        <is>
          <t>P110|無印</t>
        </is>
      </c>
      <c r="V830" s="42" t="inlineStr">
        <is>
          <t>同一価格表・前頁凡例を継承</t>
        </is>
      </c>
    </row>
    <row r="831">
      <c r="A831" s="43" t="inlineStr">
        <is>
          <t>SZ-SL-000828</t>
        </is>
      </c>
      <c r="B831" s="43" t="inlineStr">
        <is>
          <t>SER-LIX-SAMOSL</t>
        </is>
      </c>
      <c r="C831" s="43" t="inlineStr">
        <is>
          <t>WT-SL-MENKOSHI-HIKI</t>
        </is>
      </c>
      <c r="D831" s="43" t="inlineStr">
        <is>
          <t>面格子付引違い窓</t>
        </is>
      </c>
      <c r="E831" s="43" t="inlineStr">
        <is>
          <t>SP-SL-GRILLE-IGETA</t>
        </is>
      </c>
      <c r="F831" s="43" t="inlineStr">
        <is>
          <t>在来・204</t>
        </is>
      </c>
      <c r="G831" s="43" t="inlineStr">
        <is>
          <t>11913</t>
        </is>
      </c>
      <c r="H831" s="43" t="inlineStr">
        <is>
          <t>119</t>
        </is>
      </c>
      <c r="I831" s="43" t="inlineStr">
        <is>
          <t>13</t>
        </is>
      </c>
      <c r="J831" s="222" t="n">
        <v>1235</v>
      </c>
      <c r="K831" s="222" t="n">
        <v>1370</v>
      </c>
      <c r="L831" s="43" t="inlineStr">
        <is>
          <t>在来・204</t>
        </is>
      </c>
      <c r="M831" s="178" t="b">
        <v>1</v>
      </c>
      <c r="N831" s="43" t="inlineStr">
        <is>
          <t>カタログ個別可否確認済み</t>
        </is>
      </c>
      <c r="O831" s="222" t="n">
        <v>113</v>
      </c>
      <c r="P831" s="222" t="n">
        <v>111</v>
      </c>
      <c r="Q831" s="43" t="inlineStr">
        <is>
          <t>202604_LIXIL_サーモスＬ_業務用資料集_完成品価格表.pdf</t>
        </is>
      </c>
      <c r="R831" s="43" t="inlineStr">
        <is>
          <t>規格呼称は親品種で確認済み。固有仕様ごとの価格設定有無（＿＿表示等）は次QAで最終確定。</t>
        </is>
      </c>
      <c r="S831" s="42" t="inlineStr">
        <is>
          <t>無印</t>
        </is>
      </c>
      <c r="T831" s="42" t="n">
        <v>110</v>
      </c>
      <c r="U831" s="42" t="inlineStr">
        <is>
          <t>P110|無印</t>
        </is>
      </c>
      <c r="V831" s="42" t="inlineStr">
        <is>
          <t>同一価格表・前頁凡例を継承</t>
        </is>
      </c>
    </row>
    <row r="832">
      <c r="A832" s="43" t="inlineStr">
        <is>
          <t>SZ-SL-000829</t>
        </is>
      </c>
      <c r="B832" s="43" t="inlineStr">
        <is>
          <t>SER-LIX-SAMOSL</t>
        </is>
      </c>
      <c r="C832" s="43" t="inlineStr">
        <is>
          <t>WT-SL-MENKOSHI-HIKI</t>
        </is>
      </c>
      <c r="D832" s="43" t="inlineStr">
        <is>
          <t>面格子付引違い窓</t>
        </is>
      </c>
      <c r="E832" s="43" t="inlineStr">
        <is>
          <t>SP-SL-GRILLE-V</t>
        </is>
      </c>
      <c r="F832" s="43" t="inlineStr">
        <is>
          <t>在来・204</t>
        </is>
      </c>
      <c r="G832" s="43" t="inlineStr">
        <is>
          <t>11413</t>
        </is>
      </c>
      <c r="H832" s="43" t="inlineStr">
        <is>
          <t>114</t>
        </is>
      </c>
      <c r="I832" s="43" t="inlineStr">
        <is>
          <t>13</t>
        </is>
      </c>
      <c r="J832" s="222" t="n">
        <v>1185</v>
      </c>
      <c r="K832" s="222" t="n">
        <v>1370</v>
      </c>
      <c r="L832" s="43" t="inlineStr">
        <is>
          <t>在来・204</t>
        </is>
      </c>
      <c r="M832" s="178" t="b">
        <v>1</v>
      </c>
      <c r="N832" s="43" t="inlineStr">
        <is>
          <t>カタログ個別可否確認済み</t>
        </is>
      </c>
      <c r="O832" s="222" t="n">
        <v>113</v>
      </c>
      <c r="P832" s="222" t="n">
        <v>111</v>
      </c>
      <c r="Q832" s="43" t="inlineStr">
        <is>
          <t>202604_LIXIL_サーモスＬ_業務用資料集_完成品価格表.pdf</t>
        </is>
      </c>
      <c r="R832" s="43" t="inlineStr">
        <is>
          <t>規格呼称は親品種で確認済み。固有仕様ごとの価格設定有無（＿＿表示等）は次QAで最終確定。</t>
        </is>
      </c>
      <c r="S832" s="42" t="inlineStr">
        <is>
          <t>無印</t>
        </is>
      </c>
      <c r="T832" s="42" t="n">
        <v>110</v>
      </c>
      <c r="U832" s="42" t="inlineStr">
        <is>
          <t>P110|無印</t>
        </is>
      </c>
      <c r="V832" s="42" t="inlineStr">
        <is>
          <t>同一価格表・前頁凡例を継承</t>
        </is>
      </c>
    </row>
    <row r="833">
      <c r="A833" s="43" t="inlineStr">
        <is>
          <t>SZ-SL-000830</t>
        </is>
      </c>
      <c r="B833" s="43" t="inlineStr">
        <is>
          <t>SER-LIX-SAMOSL</t>
        </is>
      </c>
      <c r="C833" s="43" t="inlineStr">
        <is>
          <t>WT-SL-MENKOSHI-HIKI</t>
        </is>
      </c>
      <c r="D833" s="43" t="inlineStr">
        <is>
          <t>面格子付引違い窓</t>
        </is>
      </c>
      <c r="E833" s="43" t="inlineStr">
        <is>
          <t>SP-SL-GRILLE-V</t>
        </is>
      </c>
      <c r="F833" s="43" t="inlineStr">
        <is>
          <t>在来・204</t>
        </is>
      </c>
      <c r="G833" s="43" t="inlineStr">
        <is>
          <t>11913</t>
        </is>
      </c>
      <c r="H833" s="43" t="inlineStr">
        <is>
          <t>119</t>
        </is>
      </c>
      <c r="I833" s="43" t="inlineStr">
        <is>
          <t>13</t>
        </is>
      </c>
      <c r="J833" s="222" t="n">
        <v>1235</v>
      </c>
      <c r="K833" s="222" t="n">
        <v>1370</v>
      </c>
      <c r="L833" s="43" t="inlineStr">
        <is>
          <t>在来・204</t>
        </is>
      </c>
      <c r="M833" s="178" t="b">
        <v>1</v>
      </c>
      <c r="N833" s="43" t="inlineStr">
        <is>
          <t>カタログ個別可否確認済み</t>
        </is>
      </c>
      <c r="O833" s="222" t="n">
        <v>113</v>
      </c>
      <c r="P833" s="222" t="n">
        <v>111</v>
      </c>
      <c r="Q833" s="43" t="inlineStr">
        <is>
          <t>202604_LIXIL_サーモスＬ_業務用資料集_完成品価格表.pdf</t>
        </is>
      </c>
      <c r="R833" s="43" t="inlineStr">
        <is>
          <t>規格呼称は親品種で確認済み。固有仕様ごとの価格設定有無（＿＿表示等）は次QAで最終確定。</t>
        </is>
      </c>
      <c r="S833" s="42" t="inlineStr">
        <is>
          <t>無印</t>
        </is>
      </c>
      <c r="T833" s="42" t="n">
        <v>110</v>
      </c>
      <c r="U833" s="42" t="inlineStr">
        <is>
          <t>P110|無印</t>
        </is>
      </c>
      <c r="V833" s="42" t="inlineStr">
        <is>
          <t>同一価格表・前頁凡例を継承</t>
        </is>
      </c>
    </row>
    <row r="834">
      <c r="A834" s="43" t="inlineStr">
        <is>
          <t>SZ-SL-000831</t>
        </is>
      </c>
      <c r="B834" s="43" t="inlineStr">
        <is>
          <t>SER-LIX-SAMOSL</t>
        </is>
      </c>
      <c r="C834" s="43" t="inlineStr">
        <is>
          <t>WT-SL-MENKOSHI-HIKI</t>
        </is>
      </c>
      <c r="D834" s="43" t="inlineStr">
        <is>
          <t>面格子付引違い窓</t>
        </is>
      </c>
      <c r="E834" s="43" t="inlineStr">
        <is>
          <t>SP-SL-GRILLE-DIA</t>
        </is>
      </c>
      <c r="F834" s="43" t="inlineStr">
        <is>
          <t>在来・204</t>
        </is>
      </c>
      <c r="G834" s="43" t="inlineStr">
        <is>
          <t>15013</t>
        </is>
      </c>
      <c r="H834" s="43" t="inlineStr">
        <is>
          <t>150</t>
        </is>
      </c>
      <c r="I834" s="43" t="inlineStr">
        <is>
          <t>13</t>
        </is>
      </c>
      <c r="J834" s="222" t="n">
        <v>1540</v>
      </c>
      <c r="K834" s="222" t="n">
        <v>1370</v>
      </c>
      <c r="L834" s="43" t="inlineStr">
        <is>
          <t>在来・204</t>
        </is>
      </c>
      <c r="M834" s="178" t="b">
        <v>1</v>
      </c>
      <c r="N834" s="43" t="inlineStr">
        <is>
          <t>カタログ個別可否確認済み</t>
        </is>
      </c>
      <c r="O834" s="222" t="n">
        <v>114</v>
      </c>
      <c r="P834" s="222" t="n">
        <v>112</v>
      </c>
      <c r="Q834" s="43" t="inlineStr">
        <is>
          <t>202604_LIXIL_サーモスＬ_業務用資料集_完成品価格表.pdf</t>
        </is>
      </c>
      <c r="R834" s="43" t="inlineStr">
        <is>
          <t>規格呼称は親品種で確認済み。固有仕様ごとの価格設定有無（＿＿表示等）は次QAで最終確定。</t>
        </is>
      </c>
      <c r="S834" s="42" t="inlineStr">
        <is>
          <t>無印</t>
        </is>
      </c>
      <c r="T834" s="42" t="n">
        <v>112</v>
      </c>
      <c r="U834" s="42" t="inlineStr">
        <is>
          <t>P112|無印</t>
        </is>
      </c>
      <c r="V834" s="42" t="inlineStr">
        <is>
          <t>同頁凡例へ直接連動</t>
        </is>
      </c>
    </row>
    <row r="835">
      <c r="A835" s="43" t="inlineStr">
        <is>
          <t>SZ-SL-000832</t>
        </is>
      </c>
      <c r="B835" s="43" t="inlineStr">
        <is>
          <t>SER-LIX-SAMOSL</t>
        </is>
      </c>
      <c r="C835" s="43" t="inlineStr">
        <is>
          <t>WT-SL-MENKOSHI-HIKI</t>
        </is>
      </c>
      <c r="D835" s="43" t="inlineStr">
        <is>
          <t>面格子付引違い窓</t>
        </is>
      </c>
      <c r="E835" s="43" t="inlineStr">
        <is>
          <t>SP-SL-GRILLE-DIA</t>
        </is>
      </c>
      <c r="F835" s="43" t="inlineStr">
        <is>
          <t>在来・204</t>
        </is>
      </c>
      <c r="G835" s="43" t="inlineStr">
        <is>
          <t>16013</t>
        </is>
      </c>
      <c r="H835" s="43" t="inlineStr">
        <is>
          <t>160</t>
        </is>
      </c>
      <c r="I835" s="43" t="inlineStr">
        <is>
          <t>13</t>
        </is>
      </c>
      <c r="J835" s="222" t="n">
        <v>1640</v>
      </c>
      <c r="K835" s="222" t="n">
        <v>1370</v>
      </c>
      <c r="L835" s="43" t="inlineStr">
        <is>
          <t>在来・204</t>
        </is>
      </c>
      <c r="M835" s="178" t="b">
        <v>1</v>
      </c>
      <c r="N835" s="43" t="inlineStr">
        <is>
          <t>カタログ個別可否確認済み</t>
        </is>
      </c>
      <c r="O835" s="222" t="n">
        <v>114</v>
      </c>
      <c r="P835" s="222" t="n">
        <v>112</v>
      </c>
      <c r="Q835" s="43" t="inlineStr">
        <is>
          <t>202604_LIXIL_サーモスＬ_業務用資料集_完成品価格表.pdf</t>
        </is>
      </c>
      <c r="R835" s="43" t="inlineStr">
        <is>
          <t>規格呼称は親品種で確認済み。固有仕様ごとの価格設定有無（＿＿表示等）は次QAで最終確定。</t>
        </is>
      </c>
      <c r="S835" s="42" t="inlineStr">
        <is>
          <t>★</t>
        </is>
      </c>
      <c r="T835" s="42" t="n">
        <v>112</v>
      </c>
      <c r="U835" s="42" t="inlineStr">
        <is>
          <t>P112|★</t>
        </is>
      </c>
      <c r="V835" s="42" t="inlineStr">
        <is>
          <t>同頁凡例へ直接連動</t>
        </is>
      </c>
    </row>
    <row r="836">
      <c r="A836" s="43" t="inlineStr">
        <is>
          <t>SZ-SL-000833</t>
        </is>
      </c>
      <c r="B836" s="43" t="inlineStr">
        <is>
          <t>SER-LIX-SAMOSL</t>
        </is>
      </c>
      <c r="C836" s="43" t="inlineStr">
        <is>
          <t>WT-SL-MENKOSHI-HIKI</t>
        </is>
      </c>
      <c r="D836" s="43" t="inlineStr">
        <is>
          <t>面格子付引違い窓</t>
        </is>
      </c>
      <c r="E836" s="43" t="inlineStr">
        <is>
          <t>SP-SL-GRILLE-DIA</t>
        </is>
      </c>
      <c r="F836" s="43" t="inlineStr">
        <is>
          <t>在来・204</t>
        </is>
      </c>
      <c r="G836" s="43" t="inlineStr">
        <is>
          <t>16513</t>
        </is>
      </c>
      <c r="H836" s="43" t="inlineStr">
        <is>
          <t>165</t>
        </is>
      </c>
      <c r="I836" s="43" t="inlineStr">
        <is>
          <t>13</t>
        </is>
      </c>
      <c r="J836" s="222" t="n">
        <v>1690</v>
      </c>
      <c r="K836" s="222" t="n">
        <v>1370</v>
      </c>
      <c r="L836" s="43" t="inlineStr">
        <is>
          <t>在来・204</t>
        </is>
      </c>
      <c r="M836" s="178" t="b">
        <v>1</v>
      </c>
      <c r="N836" s="43" t="inlineStr">
        <is>
          <t>カタログ個別可否確認済み</t>
        </is>
      </c>
      <c r="O836" s="222" t="n">
        <v>114</v>
      </c>
      <c r="P836" s="222" t="n">
        <v>112</v>
      </c>
      <c r="Q836" s="43" t="inlineStr">
        <is>
          <t>202604_LIXIL_サーモスＬ_業務用資料集_完成品価格表.pdf</t>
        </is>
      </c>
      <c r="R836" s="43" t="inlineStr">
        <is>
          <t>規格呼称は親品種で確認済み。固有仕様ごとの価格設定有無（＿＿表示等）は次QAで最終確定。</t>
        </is>
      </c>
      <c r="S836" s="42" t="inlineStr">
        <is>
          <t>★</t>
        </is>
      </c>
      <c r="T836" s="42" t="n">
        <v>112</v>
      </c>
      <c r="U836" s="42" t="inlineStr">
        <is>
          <t>P112|★</t>
        </is>
      </c>
      <c r="V836" s="42" t="inlineStr">
        <is>
          <t>同頁凡例へ直接連動</t>
        </is>
      </c>
    </row>
    <row r="837">
      <c r="A837" s="43" t="inlineStr">
        <is>
          <t>SZ-SL-000834</t>
        </is>
      </c>
      <c r="B837" s="43" t="inlineStr">
        <is>
          <t>SER-LIX-SAMOSL</t>
        </is>
      </c>
      <c r="C837" s="43" t="inlineStr">
        <is>
          <t>WT-SL-MENKOSHI-HIKI</t>
        </is>
      </c>
      <c r="D837" s="43" t="inlineStr">
        <is>
          <t>面格子付引違い窓</t>
        </is>
      </c>
      <c r="E837" s="43" t="inlineStr">
        <is>
          <t>SP-SL-GRILLE-H</t>
        </is>
      </c>
      <c r="F837" s="43" t="inlineStr">
        <is>
          <t>在来・204</t>
        </is>
      </c>
      <c r="G837" s="43" t="inlineStr">
        <is>
          <t>15013</t>
        </is>
      </c>
      <c r="H837" s="43" t="inlineStr">
        <is>
          <t>150</t>
        </is>
      </c>
      <c r="I837" s="43" t="inlineStr">
        <is>
          <t>13</t>
        </is>
      </c>
      <c r="J837" s="222" t="n">
        <v>1540</v>
      </c>
      <c r="K837" s="222" t="n">
        <v>1370</v>
      </c>
      <c r="L837" s="43" t="inlineStr">
        <is>
          <t>在来・204</t>
        </is>
      </c>
      <c r="M837" s="178" t="b">
        <v>0</v>
      </c>
      <c r="N837" s="43" t="inlineStr">
        <is>
          <t>設定なし（価格表確認済み）</t>
        </is>
      </c>
      <c r="O837" s="222" t="n">
        <v>114</v>
      </c>
      <c r="P837" s="222" t="n">
        <v>112</v>
      </c>
      <c r="Q837" s="43" t="inlineStr">
        <is>
          <t>202604_LIXIL_サーモスＬ_業務用資料集_完成品価格表.pdf</t>
        </is>
      </c>
      <c r="R837" s="43" t="inlineStr">
        <is>
          <t>規格呼称は親品種で確認済み。固有仕様ごとの価格設定有無（＿＿表示等）は次QAで最終確定。</t>
        </is>
      </c>
      <c r="S837" s="42" t="inlineStr">
        <is>
          <t>無印</t>
        </is>
      </c>
      <c r="T837" s="42" t="n">
        <v>112</v>
      </c>
      <c r="U837" s="42" t="inlineStr">
        <is>
          <t>P112|無印</t>
        </is>
      </c>
      <c r="V837" s="42" t="inlineStr">
        <is>
          <t>同頁凡例へ直接連動</t>
        </is>
      </c>
    </row>
    <row r="838">
      <c r="A838" s="43" t="inlineStr">
        <is>
          <t>SZ-SL-000835</t>
        </is>
      </c>
      <c r="B838" s="43" t="inlineStr">
        <is>
          <t>SER-LIX-SAMOSL</t>
        </is>
      </c>
      <c r="C838" s="43" t="inlineStr">
        <is>
          <t>WT-SL-MENKOSHI-HIKI</t>
        </is>
      </c>
      <c r="D838" s="43" t="inlineStr">
        <is>
          <t>面格子付引違い窓</t>
        </is>
      </c>
      <c r="E838" s="43" t="inlineStr">
        <is>
          <t>SP-SL-GRILLE-H</t>
        </is>
      </c>
      <c r="F838" s="43" t="inlineStr">
        <is>
          <t>在来・204</t>
        </is>
      </c>
      <c r="G838" s="43" t="inlineStr">
        <is>
          <t>16013</t>
        </is>
      </c>
      <c r="H838" s="43" t="inlineStr">
        <is>
          <t>160</t>
        </is>
      </c>
      <c r="I838" s="43" t="inlineStr">
        <is>
          <t>13</t>
        </is>
      </c>
      <c r="J838" s="222" t="n">
        <v>1640</v>
      </c>
      <c r="K838" s="222" t="n">
        <v>1370</v>
      </c>
      <c r="L838" s="43" t="inlineStr">
        <is>
          <t>在来・204</t>
        </is>
      </c>
      <c r="M838" s="178" t="b">
        <v>0</v>
      </c>
      <c r="N838" s="43" t="inlineStr">
        <is>
          <t>設定なし（価格表確認済み）</t>
        </is>
      </c>
      <c r="O838" s="222" t="n">
        <v>114</v>
      </c>
      <c r="P838" s="222" t="n">
        <v>112</v>
      </c>
      <c r="Q838" s="43" t="inlineStr">
        <is>
          <t>202604_LIXIL_サーモスＬ_業務用資料集_完成品価格表.pdf</t>
        </is>
      </c>
      <c r="R838" s="43" t="inlineStr">
        <is>
          <t>規格呼称は親品種で確認済み。固有仕様ごとの価格設定有無（＿＿表示等）は次QAで最終確定。</t>
        </is>
      </c>
      <c r="S838" s="42" t="inlineStr">
        <is>
          <t>★</t>
        </is>
      </c>
      <c r="T838" s="42" t="n">
        <v>112</v>
      </c>
      <c r="U838" s="42" t="inlineStr">
        <is>
          <t>P112|★</t>
        </is>
      </c>
      <c r="V838" s="42" t="inlineStr">
        <is>
          <t>同頁凡例へ直接連動</t>
        </is>
      </c>
    </row>
    <row r="839">
      <c r="A839" s="43" t="inlineStr">
        <is>
          <t>SZ-SL-000836</t>
        </is>
      </c>
      <c r="B839" s="43" t="inlineStr">
        <is>
          <t>SER-LIX-SAMOSL</t>
        </is>
      </c>
      <c r="C839" s="43" t="inlineStr">
        <is>
          <t>WT-SL-MENKOSHI-HIKI</t>
        </is>
      </c>
      <c r="D839" s="43" t="inlineStr">
        <is>
          <t>面格子付引違い窓</t>
        </is>
      </c>
      <c r="E839" s="43" t="inlineStr">
        <is>
          <t>SP-SL-GRILLE-H</t>
        </is>
      </c>
      <c r="F839" s="43" t="inlineStr">
        <is>
          <t>在来・204</t>
        </is>
      </c>
      <c r="G839" s="43" t="inlineStr">
        <is>
          <t>16513</t>
        </is>
      </c>
      <c r="H839" s="43" t="inlineStr">
        <is>
          <t>165</t>
        </is>
      </c>
      <c r="I839" s="43" t="inlineStr">
        <is>
          <t>13</t>
        </is>
      </c>
      <c r="J839" s="222" t="n">
        <v>1690</v>
      </c>
      <c r="K839" s="222" t="n">
        <v>1370</v>
      </c>
      <c r="L839" s="43" t="inlineStr">
        <is>
          <t>在来・204</t>
        </is>
      </c>
      <c r="M839" s="178" t="b">
        <v>0</v>
      </c>
      <c r="N839" s="43" t="inlineStr">
        <is>
          <t>設定なし（価格表確認済み）</t>
        </is>
      </c>
      <c r="O839" s="222" t="n">
        <v>114</v>
      </c>
      <c r="P839" s="222" t="n">
        <v>112</v>
      </c>
      <c r="Q839" s="43" t="inlineStr">
        <is>
          <t>202604_LIXIL_サーモスＬ_業務用資料集_完成品価格表.pdf</t>
        </is>
      </c>
      <c r="R839" s="43" t="inlineStr">
        <is>
          <t>規格呼称は親品種で確認済み。固有仕様ごとの価格設定有無（＿＿表示等）は次QAで最終確定。</t>
        </is>
      </c>
      <c r="S839" s="42" t="inlineStr">
        <is>
          <t>★</t>
        </is>
      </c>
      <c r="T839" s="42" t="n">
        <v>112</v>
      </c>
      <c r="U839" s="42" t="inlineStr">
        <is>
          <t>P112|★</t>
        </is>
      </c>
      <c r="V839" s="42" t="inlineStr">
        <is>
          <t>同頁凡例へ直接連動</t>
        </is>
      </c>
    </row>
    <row r="840">
      <c r="A840" s="43" t="inlineStr">
        <is>
          <t>SZ-SL-000837</t>
        </is>
      </c>
      <c r="B840" s="43" t="inlineStr">
        <is>
          <t>SER-LIX-SAMOSL</t>
        </is>
      </c>
      <c r="C840" s="43" t="inlineStr">
        <is>
          <t>WT-SL-MENKOSHI-HIKI</t>
        </is>
      </c>
      <c r="D840" s="43" t="inlineStr">
        <is>
          <t>面格子付引違い窓</t>
        </is>
      </c>
      <c r="E840" s="43" t="inlineStr">
        <is>
          <t>SP-SL-GRILLE-IGETA</t>
        </is>
      </c>
      <c r="F840" s="43" t="inlineStr">
        <is>
          <t>在来・204</t>
        </is>
      </c>
      <c r="G840" s="43" t="inlineStr">
        <is>
          <t>15013</t>
        </is>
      </c>
      <c r="H840" s="43" t="inlineStr">
        <is>
          <t>150</t>
        </is>
      </c>
      <c r="I840" s="43" t="inlineStr">
        <is>
          <t>13</t>
        </is>
      </c>
      <c r="J840" s="222" t="n">
        <v>1540</v>
      </c>
      <c r="K840" s="222" t="n">
        <v>1370</v>
      </c>
      <c r="L840" s="43" t="inlineStr">
        <is>
          <t>在来・204</t>
        </is>
      </c>
      <c r="M840" s="178" t="b">
        <v>1</v>
      </c>
      <c r="N840" s="43" t="inlineStr">
        <is>
          <t>カタログ個別可否確認済み</t>
        </is>
      </c>
      <c r="O840" s="222" t="n">
        <v>114</v>
      </c>
      <c r="P840" s="222" t="n">
        <v>112</v>
      </c>
      <c r="Q840" s="43" t="inlineStr">
        <is>
          <t>202604_LIXIL_サーモスＬ_業務用資料集_完成品価格表.pdf</t>
        </is>
      </c>
      <c r="R840" s="43" t="inlineStr">
        <is>
          <t>規格呼称は親品種で確認済み。固有仕様ごとの価格設定有無（＿＿表示等）は次QAで最終確定。</t>
        </is>
      </c>
      <c r="S840" s="42" t="inlineStr">
        <is>
          <t>無印</t>
        </is>
      </c>
      <c r="T840" s="42" t="n">
        <v>112</v>
      </c>
      <c r="U840" s="42" t="inlineStr">
        <is>
          <t>P112|無印</t>
        </is>
      </c>
      <c r="V840" s="42" t="inlineStr">
        <is>
          <t>同頁凡例へ直接連動</t>
        </is>
      </c>
    </row>
    <row r="841">
      <c r="A841" s="43" t="inlineStr">
        <is>
          <t>SZ-SL-000838</t>
        </is>
      </c>
      <c r="B841" s="43" t="inlineStr">
        <is>
          <t>SER-LIX-SAMOSL</t>
        </is>
      </c>
      <c r="C841" s="43" t="inlineStr">
        <is>
          <t>WT-SL-MENKOSHI-HIKI</t>
        </is>
      </c>
      <c r="D841" s="43" t="inlineStr">
        <is>
          <t>面格子付引違い窓</t>
        </is>
      </c>
      <c r="E841" s="43" t="inlineStr">
        <is>
          <t>SP-SL-GRILLE-IGETA</t>
        </is>
      </c>
      <c r="F841" s="43" t="inlineStr">
        <is>
          <t>在来・204</t>
        </is>
      </c>
      <c r="G841" s="43" t="inlineStr">
        <is>
          <t>16013</t>
        </is>
      </c>
      <c r="H841" s="43" t="inlineStr">
        <is>
          <t>160</t>
        </is>
      </c>
      <c r="I841" s="43" t="inlineStr">
        <is>
          <t>13</t>
        </is>
      </c>
      <c r="J841" s="222" t="n">
        <v>1640</v>
      </c>
      <c r="K841" s="222" t="n">
        <v>1370</v>
      </c>
      <c r="L841" s="43" t="inlineStr">
        <is>
          <t>在来・204</t>
        </is>
      </c>
      <c r="M841" s="178" t="b">
        <v>1</v>
      </c>
      <c r="N841" s="43" t="inlineStr">
        <is>
          <t>カタログ個別可否確認済み</t>
        </is>
      </c>
      <c r="O841" s="222" t="n">
        <v>114</v>
      </c>
      <c r="P841" s="222" t="n">
        <v>112</v>
      </c>
      <c r="Q841" s="43" t="inlineStr">
        <is>
          <t>202604_LIXIL_サーモスＬ_業務用資料集_完成品価格表.pdf</t>
        </is>
      </c>
      <c r="R841" s="43" t="inlineStr">
        <is>
          <t>規格呼称は親品種で確認済み。固有仕様ごとの価格設定有無（＿＿表示等）は次QAで最終確定。</t>
        </is>
      </c>
      <c r="S841" s="42" t="inlineStr">
        <is>
          <t>★</t>
        </is>
      </c>
      <c r="T841" s="42" t="n">
        <v>112</v>
      </c>
      <c r="U841" s="42" t="inlineStr">
        <is>
          <t>P112|★</t>
        </is>
      </c>
      <c r="V841" s="42" t="inlineStr">
        <is>
          <t>同頁凡例へ直接連動</t>
        </is>
      </c>
    </row>
    <row r="842">
      <c r="A842" s="43" t="inlineStr">
        <is>
          <t>SZ-SL-000839</t>
        </is>
      </c>
      <c r="B842" s="43" t="inlineStr">
        <is>
          <t>SER-LIX-SAMOSL</t>
        </is>
      </c>
      <c r="C842" s="43" t="inlineStr">
        <is>
          <t>WT-SL-MENKOSHI-HIKI</t>
        </is>
      </c>
      <c r="D842" s="43" t="inlineStr">
        <is>
          <t>面格子付引違い窓</t>
        </is>
      </c>
      <c r="E842" s="43" t="inlineStr">
        <is>
          <t>SP-SL-GRILLE-IGETA</t>
        </is>
      </c>
      <c r="F842" s="43" t="inlineStr">
        <is>
          <t>在来・204</t>
        </is>
      </c>
      <c r="G842" s="43" t="inlineStr">
        <is>
          <t>16513</t>
        </is>
      </c>
      <c r="H842" s="43" t="inlineStr">
        <is>
          <t>165</t>
        </is>
      </c>
      <c r="I842" s="43" t="inlineStr">
        <is>
          <t>13</t>
        </is>
      </c>
      <c r="J842" s="222" t="n">
        <v>1690</v>
      </c>
      <c r="K842" s="222" t="n">
        <v>1370</v>
      </c>
      <c r="L842" s="43" t="inlineStr">
        <is>
          <t>在来・204</t>
        </is>
      </c>
      <c r="M842" s="178" t="b">
        <v>1</v>
      </c>
      <c r="N842" s="43" t="inlineStr">
        <is>
          <t>カタログ個別可否確認済み</t>
        </is>
      </c>
      <c r="O842" s="222" t="n">
        <v>114</v>
      </c>
      <c r="P842" s="222" t="n">
        <v>112</v>
      </c>
      <c r="Q842" s="43" t="inlineStr">
        <is>
          <t>202604_LIXIL_サーモスＬ_業務用資料集_完成品価格表.pdf</t>
        </is>
      </c>
      <c r="R842" s="43" t="inlineStr">
        <is>
          <t>規格呼称は親品種で確認済み。固有仕様ごとの価格設定有無（＿＿表示等）は次QAで最終確定。</t>
        </is>
      </c>
      <c r="S842" s="42" t="inlineStr">
        <is>
          <t>★</t>
        </is>
      </c>
      <c r="T842" s="42" t="n">
        <v>112</v>
      </c>
      <c r="U842" s="42" t="inlineStr">
        <is>
          <t>P112|★</t>
        </is>
      </c>
      <c r="V842" s="42" t="inlineStr">
        <is>
          <t>同頁凡例へ直接連動</t>
        </is>
      </c>
    </row>
    <row r="843">
      <c r="A843" s="43" t="inlineStr">
        <is>
          <t>SZ-SL-000840</t>
        </is>
      </c>
      <c r="B843" s="43" t="inlineStr">
        <is>
          <t>SER-LIX-SAMOSL</t>
        </is>
      </c>
      <c r="C843" s="43" t="inlineStr">
        <is>
          <t>WT-SL-MENKOSHI-HIKI</t>
        </is>
      </c>
      <c r="D843" s="43" t="inlineStr">
        <is>
          <t>面格子付引違い窓</t>
        </is>
      </c>
      <c r="E843" s="43" t="inlineStr">
        <is>
          <t>SP-SL-GRILLE-V</t>
        </is>
      </c>
      <c r="F843" s="43" t="inlineStr">
        <is>
          <t>在来・204</t>
        </is>
      </c>
      <c r="G843" s="43" t="inlineStr">
        <is>
          <t>15013</t>
        </is>
      </c>
      <c r="H843" s="43" t="inlineStr">
        <is>
          <t>150</t>
        </is>
      </c>
      <c r="I843" s="43" t="inlineStr">
        <is>
          <t>13</t>
        </is>
      </c>
      <c r="J843" s="222" t="n">
        <v>1540</v>
      </c>
      <c r="K843" s="222" t="n">
        <v>1370</v>
      </c>
      <c r="L843" s="43" t="inlineStr">
        <is>
          <t>在来・204</t>
        </is>
      </c>
      <c r="M843" s="178" t="b">
        <v>1</v>
      </c>
      <c r="N843" s="43" t="inlineStr">
        <is>
          <t>カタログ個別可否確認済み</t>
        </is>
      </c>
      <c r="O843" s="222" t="n">
        <v>114</v>
      </c>
      <c r="P843" s="222" t="n">
        <v>112</v>
      </c>
      <c r="Q843" s="43" t="inlineStr">
        <is>
          <t>202604_LIXIL_サーモスＬ_業務用資料集_完成品価格表.pdf</t>
        </is>
      </c>
      <c r="R843" s="43" t="inlineStr">
        <is>
          <t>規格呼称は親品種で確認済み。固有仕様ごとの価格設定有無（＿＿表示等）は次QAで最終確定。</t>
        </is>
      </c>
      <c r="S843" s="42" t="inlineStr">
        <is>
          <t>無印</t>
        </is>
      </c>
      <c r="T843" s="42" t="n">
        <v>112</v>
      </c>
      <c r="U843" s="42" t="inlineStr">
        <is>
          <t>P112|無印</t>
        </is>
      </c>
      <c r="V843" s="42" t="inlineStr">
        <is>
          <t>同頁凡例へ直接連動</t>
        </is>
      </c>
    </row>
    <row r="844">
      <c r="A844" s="43" t="inlineStr">
        <is>
          <t>SZ-SL-000841</t>
        </is>
      </c>
      <c r="B844" s="43" t="inlineStr">
        <is>
          <t>SER-LIX-SAMOSL</t>
        </is>
      </c>
      <c r="C844" s="43" t="inlineStr">
        <is>
          <t>WT-SL-MENKOSHI-HIKI</t>
        </is>
      </c>
      <c r="D844" s="43" t="inlineStr">
        <is>
          <t>面格子付引違い窓</t>
        </is>
      </c>
      <c r="E844" s="43" t="inlineStr">
        <is>
          <t>SP-SL-GRILLE-V</t>
        </is>
      </c>
      <c r="F844" s="43" t="inlineStr">
        <is>
          <t>在来・204</t>
        </is>
      </c>
      <c r="G844" s="43" t="inlineStr">
        <is>
          <t>16013</t>
        </is>
      </c>
      <c r="H844" s="43" t="inlineStr">
        <is>
          <t>160</t>
        </is>
      </c>
      <c r="I844" s="43" t="inlineStr">
        <is>
          <t>13</t>
        </is>
      </c>
      <c r="J844" s="222" t="n">
        <v>1640</v>
      </c>
      <c r="K844" s="222" t="n">
        <v>1370</v>
      </c>
      <c r="L844" s="43" t="inlineStr">
        <is>
          <t>在来・204</t>
        </is>
      </c>
      <c r="M844" s="178" t="b">
        <v>1</v>
      </c>
      <c r="N844" s="43" t="inlineStr">
        <is>
          <t>カタログ個別可否確認済み</t>
        </is>
      </c>
      <c r="O844" s="222" t="n">
        <v>114</v>
      </c>
      <c r="P844" s="222" t="n">
        <v>112</v>
      </c>
      <c r="Q844" s="43" t="inlineStr">
        <is>
          <t>202604_LIXIL_サーモスＬ_業務用資料集_完成品価格表.pdf</t>
        </is>
      </c>
      <c r="R844" s="43" t="inlineStr">
        <is>
          <t>規格呼称は親品種で確認済み。固有仕様ごとの価格設定有無（＿＿表示等）は次QAで最終確定。</t>
        </is>
      </c>
      <c r="S844" s="42" t="inlineStr">
        <is>
          <t>★</t>
        </is>
      </c>
      <c r="T844" s="42" t="n">
        <v>112</v>
      </c>
      <c r="U844" s="42" t="inlineStr">
        <is>
          <t>P112|★</t>
        </is>
      </c>
      <c r="V844" s="42" t="inlineStr">
        <is>
          <t>同頁凡例へ直接連動</t>
        </is>
      </c>
    </row>
    <row r="845">
      <c r="A845" s="43" t="inlineStr">
        <is>
          <t>SZ-SL-000842</t>
        </is>
      </c>
      <c r="B845" s="43" t="inlineStr">
        <is>
          <t>SER-LIX-SAMOSL</t>
        </is>
      </c>
      <c r="C845" s="43" t="inlineStr">
        <is>
          <t>WT-SL-MENKOSHI-HIKI</t>
        </is>
      </c>
      <c r="D845" s="43" t="inlineStr">
        <is>
          <t>面格子付引違い窓</t>
        </is>
      </c>
      <c r="E845" s="43" t="inlineStr">
        <is>
          <t>SP-SL-GRILLE-V</t>
        </is>
      </c>
      <c r="F845" s="43" t="inlineStr">
        <is>
          <t>在来・204</t>
        </is>
      </c>
      <c r="G845" s="43" t="inlineStr">
        <is>
          <t>16513</t>
        </is>
      </c>
      <c r="H845" s="43" t="inlineStr">
        <is>
          <t>165</t>
        </is>
      </c>
      <c r="I845" s="43" t="inlineStr">
        <is>
          <t>13</t>
        </is>
      </c>
      <c r="J845" s="222" t="n">
        <v>1690</v>
      </c>
      <c r="K845" s="222" t="n">
        <v>1370</v>
      </c>
      <c r="L845" s="43" t="inlineStr">
        <is>
          <t>在来・204</t>
        </is>
      </c>
      <c r="M845" s="178" t="b">
        <v>1</v>
      </c>
      <c r="N845" s="43" t="inlineStr">
        <is>
          <t>カタログ個別可否確認済み</t>
        </is>
      </c>
      <c r="O845" s="222" t="n">
        <v>114</v>
      </c>
      <c r="P845" s="222" t="n">
        <v>112</v>
      </c>
      <c r="Q845" s="43" t="inlineStr">
        <is>
          <t>202604_LIXIL_サーモスＬ_業務用資料集_完成品価格表.pdf</t>
        </is>
      </c>
      <c r="R845" s="43" t="inlineStr">
        <is>
          <t>規格呼称は親品種で確認済み。固有仕様ごとの価格設定有無（＿＿表示等）は次QAで最終確定。</t>
        </is>
      </c>
      <c r="S845" s="42" t="inlineStr">
        <is>
          <t>★</t>
        </is>
      </c>
      <c r="T845" s="42" t="n">
        <v>112</v>
      </c>
      <c r="U845" s="42" t="inlineStr">
        <is>
          <t>P112|★</t>
        </is>
      </c>
      <c r="V845" s="42" t="inlineStr">
        <is>
          <t>同頁凡例へ直接連動</t>
        </is>
      </c>
    </row>
    <row r="846">
      <c r="A846" s="43" t="inlineStr">
        <is>
          <t>SZ-SL-000843</t>
        </is>
      </c>
      <c r="B846" s="43" t="inlineStr">
        <is>
          <t>SER-LIX-SAMOSL</t>
        </is>
      </c>
      <c r="C846" s="43" t="inlineStr">
        <is>
          <t>WT-SL-TATE-SUBERI</t>
        </is>
      </c>
      <c r="D846" s="43" t="inlineStr">
        <is>
          <t>縦すべり出し窓（オペレーター）</t>
        </is>
      </c>
      <c r="E846" s="43" t="inlineStr">
        <is>
          <t>SP-SL-TATE-OP</t>
        </is>
      </c>
      <c r="F846" s="43" t="inlineStr">
        <is>
          <t>在来・204</t>
        </is>
      </c>
      <c r="G846" s="43" t="inlineStr">
        <is>
          <t>02109</t>
        </is>
      </c>
      <c r="H846" s="43" t="inlineStr">
        <is>
          <t>021</t>
        </is>
      </c>
      <c r="I846" s="43" t="inlineStr">
        <is>
          <t>09</t>
        </is>
      </c>
      <c r="J846" s="222" t="n">
        <v>250</v>
      </c>
      <c r="K846" s="222" t="n">
        <v>970</v>
      </c>
      <c r="L846" s="43" t="inlineStr">
        <is>
          <t>在来・204</t>
        </is>
      </c>
      <c r="M846" s="178" t="b">
        <v>0</v>
      </c>
      <c r="N846" s="43" t="inlineStr">
        <is>
          <t>v0.5履歴：詳細構成へ置換</t>
        </is>
      </c>
      <c r="O846" s="222" t="n">
        <v>116</v>
      </c>
      <c r="P846" s="222" t="n">
        <v>114</v>
      </c>
      <c r="Q846" s="43" t="inlineStr">
        <is>
          <t>202604_LIXIL_サーモスＬ_業務用資料集_完成品価格表.pdf</t>
        </is>
      </c>
      <c r="R846" s="43" t="inlineStr">
        <is>
          <t>旧汎用オペレーター行。v0.5でT/TF/TFT・FIX押縁別の詳細行へ置換。</t>
        </is>
      </c>
      <c r="S846" s="42" t="inlineStr">
        <is>
          <t>無印</t>
        </is>
      </c>
      <c r="T846" s="42" t="n">
        <v>114</v>
      </c>
      <c r="U846" s="42" t="inlineStr">
        <is>
          <t>P114|無印</t>
        </is>
      </c>
      <c r="V846" s="42" t="inlineStr">
        <is>
          <t>同頁凡例へ直接連動</t>
        </is>
      </c>
    </row>
    <row r="847">
      <c r="A847" s="43" t="inlineStr">
        <is>
          <t>SZ-SL-000844</t>
        </is>
      </c>
      <c r="B847" s="43" t="inlineStr">
        <is>
          <t>SER-LIX-SAMOSL</t>
        </is>
      </c>
      <c r="C847" s="43" t="inlineStr">
        <is>
          <t>WT-SL-TATE-SUBERI</t>
        </is>
      </c>
      <c r="D847" s="43" t="inlineStr">
        <is>
          <t>縦すべり出し窓（オペレーター）</t>
        </is>
      </c>
      <c r="E847" s="43" t="inlineStr">
        <is>
          <t>SP-SL-TATE-OP</t>
        </is>
      </c>
      <c r="F847" s="43" t="inlineStr">
        <is>
          <t>在来・204</t>
        </is>
      </c>
      <c r="G847" s="43" t="inlineStr">
        <is>
          <t>02111</t>
        </is>
      </c>
      <c r="H847" s="43" t="inlineStr">
        <is>
          <t>021</t>
        </is>
      </c>
      <c r="I847" s="43" t="inlineStr">
        <is>
          <t>11</t>
        </is>
      </c>
      <c r="J847" s="222" t="n">
        <v>250</v>
      </c>
      <c r="K847" s="222" t="n">
        <v>1170</v>
      </c>
      <c r="L847" s="43" t="inlineStr">
        <is>
          <t>在来・204</t>
        </is>
      </c>
      <c r="M847" s="178" t="b">
        <v>0</v>
      </c>
      <c r="N847" s="43" t="inlineStr">
        <is>
          <t>v0.5履歴：詳細構成へ置換</t>
        </is>
      </c>
      <c r="O847" s="222" t="n">
        <v>116</v>
      </c>
      <c r="P847" s="222" t="n">
        <v>114</v>
      </c>
      <c r="Q847" s="43" t="inlineStr">
        <is>
          <t>202604_LIXIL_サーモスＬ_業務用資料集_完成品価格表.pdf</t>
        </is>
      </c>
      <c r="R847" s="43" t="inlineStr">
        <is>
          <t>旧汎用オペレーター行。v0.5でT/TF/TFT・FIX押縁別の詳細行へ置換。</t>
        </is>
      </c>
      <c r="S847" s="42" t="inlineStr">
        <is>
          <t>無印</t>
        </is>
      </c>
      <c r="T847" s="42" t="n">
        <v>114</v>
      </c>
      <c r="U847" s="42" t="inlineStr">
        <is>
          <t>P114|無印</t>
        </is>
      </c>
      <c r="V847" s="42" t="inlineStr">
        <is>
          <t>同頁凡例へ直接連動</t>
        </is>
      </c>
    </row>
    <row r="848">
      <c r="A848" s="43" t="inlineStr">
        <is>
          <t>SZ-SL-000845</t>
        </is>
      </c>
      <c r="B848" s="43" t="inlineStr">
        <is>
          <t>SER-LIX-SAMOSL</t>
        </is>
      </c>
      <c r="C848" s="43" t="inlineStr">
        <is>
          <t>WT-SL-TATE-SUBERI</t>
        </is>
      </c>
      <c r="D848" s="43" t="inlineStr">
        <is>
          <t>縦すべり出し窓（オペレーター）</t>
        </is>
      </c>
      <c r="E848" s="43" t="inlineStr">
        <is>
          <t>SP-SL-TATE-OP</t>
        </is>
      </c>
      <c r="F848" s="43" t="inlineStr">
        <is>
          <t>在来・204</t>
        </is>
      </c>
      <c r="G848" s="43" t="inlineStr">
        <is>
          <t>02113</t>
        </is>
      </c>
      <c r="H848" s="43" t="inlineStr">
        <is>
          <t>021</t>
        </is>
      </c>
      <c r="I848" s="43" t="inlineStr">
        <is>
          <t>13</t>
        </is>
      </c>
      <c r="J848" s="222" t="n">
        <v>250</v>
      </c>
      <c r="K848" s="222" t="n">
        <v>1370</v>
      </c>
      <c r="L848" s="43" t="inlineStr">
        <is>
          <t>在来・204</t>
        </is>
      </c>
      <c r="M848" s="178" t="b">
        <v>0</v>
      </c>
      <c r="N848" s="43" t="inlineStr">
        <is>
          <t>v0.5履歴：詳細構成へ置換</t>
        </is>
      </c>
      <c r="O848" s="222" t="n">
        <v>116</v>
      </c>
      <c r="P848" s="222" t="n">
        <v>114</v>
      </c>
      <c r="Q848" s="43" t="inlineStr">
        <is>
          <t>202604_LIXIL_サーモスＬ_業務用資料集_完成品価格表.pdf</t>
        </is>
      </c>
      <c r="R848" s="43" t="inlineStr">
        <is>
          <t>旧汎用オペレーター行。v0.5でT/TF/TFT・FIX押縁別の詳細行へ置換。</t>
        </is>
      </c>
      <c r="S848" s="42" t="inlineStr">
        <is>
          <t>無印</t>
        </is>
      </c>
      <c r="T848" s="42" t="n">
        <v>114</v>
      </c>
      <c r="U848" s="42" t="inlineStr">
        <is>
          <t>P114|無印</t>
        </is>
      </c>
      <c r="V848" s="42" t="inlineStr">
        <is>
          <t>同頁凡例へ直接連動</t>
        </is>
      </c>
    </row>
    <row r="849">
      <c r="A849" s="43" t="inlineStr">
        <is>
          <t>SZ-SL-000846</t>
        </is>
      </c>
      <c r="B849" s="43" t="inlineStr">
        <is>
          <t>SER-LIX-SAMOSL</t>
        </is>
      </c>
      <c r="C849" s="43" t="inlineStr">
        <is>
          <t>WT-SL-TATE-SUBERI</t>
        </is>
      </c>
      <c r="D849" s="43" t="inlineStr">
        <is>
          <t>縦すべり出し窓（オペレーター）</t>
        </is>
      </c>
      <c r="E849" s="43" t="inlineStr">
        <is>
          <t>SP-SL-TATE-OP</t>
        </is>
      </c>
      <c r="F849" s="43" t="inlineStr">
        <is>
          <t>在来・204</t>
        </is>
      </c>
      <c r="G849" s="43" t="inlineStr">
        <is>
          <t>02115</t>
        </is>
      </c>
      <c r="H849" s="43" t="inlineStr">
        <is>
          <t>021</t>
        </is>
      </c>
      <c r="I849" s="43" t="inlineStr">
        <is>
          <t>15</t>
        </is>
      </c>
      <c r="J849" s="222" t="n">
        <v>250</v>
      </c>
      <c r="K849" s="222" t="n">
        <v>1570</v>
      </c>
      <c r="L849" s="43" t="inlineStr">
        <is>
          <t>在来・204</t>
        </is>
      </c>
      <c r="M849" s="178" t="b">
        <v>0</v>
      </c>
      <c r="N849" s="43" t="inlineStr">
        <is>
          <t>v0.5履歴：詳細構成へ置換</t>
        </is>
      </c>
      <c r="O849" s="222" t="n">
        <v>116</v>
      </c>
      <c r="P849" s="222" t="n">
        <v>114</v>
      </c>
      <c r="Q849" s="43" t="inlineStr">
        <is>
          <t>202604_LIXIL_サーモスＬ_業務用資料集_完成品価格表.pdf</t>
        </is>
      </c>
      <c r="R849" s="43" t="inlineStr">
        <is>
          <t>旧汎用オペレーター行。v0.5でT/TF/TFT・FIX押縁別の詳細行へ置換。</t>
        </is>
      </c>
      <c r="S849" s="42" t="inlineStr">
        <is>
          <t>無印</t>
        </is>
      </c>
      <c r="T849" s="42" t="n">
        <v>114</v>
      </c>
      <c r="U849" s="42" t="inlineStr">
        <is>
          <t>P114|無印</t>
        </is>
      </c>
      <c r="V849" s="42" t="inlineStr">
        <is>
          <t>同頁凡例へ直接連動</t>
        </is>
      </c>
    </row>
    <row r="850">
      <c r="A850" s="43" t="inlineStr">
        <is>
          <t>SZ-SL-000847</t>
        </is>
      </c>
      <c r="B850" s="43" t="inlineStr">
        <is>
          <t>SER-LIX-SAMOSL</t>
        </is>
      </c>
      <c r="C850" s="43" t="inlineStr">
        <is>
          <t>WT-SL-TATE-SUBERI</t>
        </is>
      </c>
      <c r="D850" s="43" t="inlineStr">
        <is>
          <t>縦すべり出し窓（オペレーター）</t>
        </is>
      </c>
      <c r="E850" s="43" t="inlineStr">
        <is>
          <t>SP-SL-TATE-OP</t>
        </is>
      </c>
      <c r="F850" s="43" t="inlineStr">
        <is>
          <t>在来・204</t>
        </is>
      </c>
      <c r="G850" s="43" t="inlineStr">
        <is>
          <t>02309</t>
        </is>
      </c>
      <c r="H850" s="43" t="inlineStr">
        <is>
          <t>023</t>
        </is>
      </c>
      <c r="I850" s="43" t="inlineStr">
        <is>
          <t>09</t>
        </is>
      </c>
      <c r="J850" s="222" t="n">
        <v>275</v>
      </c>
      <c r="K850" s="222" t="n">
        <v>970</v>
      </c>
      <c r="L850" s="43" t="inlineStr">
        <is>
          <t>在来・204</t>
        </is>
      </c>
      <c r="M850" s="178" t="b">
        <v>0</v>
      </c>
      <c r="N850" s="43" t="inlineStr">
        <is>
          <t>v0.5履歴：詳細構成へ置換</t>
        </is>
      </c>
      <c r="O850" s="222" t="n">
        <v>116</v>
      </c>
      <c r="P850" s="222" t="n">
        <v>114</v>
      </c>
      <c r="Q850" s="43" t="inlineStr">
        <is>
          <t>202604_LIXIL_サーモスＬ_業務用資料集_完成品価格表.pdf</t>
        </is>
      </c>
      <c r="R850" s="43" t="inlineStr">
        <is>
          <t>旧汎用オペレーター行。v0.5でT/TF/TFT・FIX押縁別の詳細行へ置換。</t>
        </is>
      </c>
      <c r="S850" s="42" t="inlineStr">
        <is>
          <t>無印</t>
        </is>
      </c>
      <c r="T850" s="42" t="n">
        <v>114</v>
      </c>
      <c r="U850" s="42" t="inlineStr">
        <is>
          <t>P114|無印</t>
        </is>
      </c>
      <c r="V850" s="42" t="inlineStr">
        <is>
          <t>同頁凡例へ直接連動</t>
        </is>
      </c>
    </row>
    <row r="851">
      <c r="A851" s="43" t="inlineStr">
        <is>
          <t>SZ-SL-000848</t>
        </is>
      </c>
      <c r="B851" s="43" t="inlineStr">
        <is>
          <t>SER-LIX-SAMOSL</t>
        </is>
      </c>
      <c r="C851" s="43" t="inlineStr">
        <is>
          <t>WT-SL-TATE-SUBERI</t>
        </is>
      </c>
      <c r="D851" s="43" t="inlineStr">
        <is>
          <t>縦すべり出し窓（オペレーター）</t>
        </is>
      </c>
      <c r="E851" s="43" t="inlineStr">
        <is>
          <t>SP-SL-TATE-OP</t>
        </is>
      </c>
      <c r="F851" s="43" t="inlineStr">
        <is>
          <t>在来・204</t>
        </is>
      </c>
      <c r="G851" s="43" t="inlineStr">
        <is>
          <t>02311</t>
        </is>
      </c>
      <c r="H851" s="43" t="inlineStr">
        <is>
          <t>023</t>
        </is>
      </c>
      <c r="I851" s="43" t="inlineStr">
        <is>
          <t>11</t>
        </is>
      </c>
      <c r="J851" s="222" t="n">
        <v>275</v>
      </c>
      <c r="K851" s="222" t="n">
        <v>1170</v>
      </c>
      <c r="L851" s="43" t="inlineStr">
        <is>
          <t>在来・204</t>
        </is>
      </c>
      <c r="M851" s="178" t="b">
        <v>0</v>
      </c>
      <c r="N851" s="43" t="inlineStr">
        <is>
          <t>v0.5履歴：詳細構成へ置換</t>
        </is>
      </c>
      <c r="O851" s="222" t="n">
        <v>116</v>
      </c>
      <c r="P851" s="222" t="n">
        <v>114</v>
      </c>
      <c r="Q851" s="43" t="inlineStr">
        <is>
          <t>202604_LIXIL_サーモスＬ_業務用資料集_完成品価格表.pdf</t>
        </is>
      </c>
      <c r="R851" s="43" t="inlineStr">
        <is>
          <t>旧汎用オペレーター行。v0.5でT/TF/TFT・FIX押縁別の詳細行へ置換。</t>
        </is>
      </c>
      <c r="S851" s="42" t="inlineStr">
        <is>
          <t>無印</t>
        </is>
      </c>
      <c r="T851" s="42" t="n">
        <v>114</v>
      </c>
      <c r="U851" s="42" t="inlineStr">
        <is>
          <t>P114|無印</t>
        </is>
      </c>
      <c r="V851" s="42" t="inlineStr">
        <is>
          <t>同頁凡例へ直接連動</t>
        </is>
      </c>
    </row>
    <row r="852">
      <c r="A852" s="43" t="inlineStr">
        <is>
          <t>SZ-SL-000849</t>
        </is>
      </c>
      <c r="B852" s="43" t="inlineStr">
        <is>
          <t>SER-LIX-SAMOSL</t>
        </is>
      </c>
      <c r="C852" s="43" t="inlineStr">
        <is>
          <t>WT-SL-TATE-SUBERI</t>
        </is>
      </c>
      <c r="D852" s="43" t="inlineStr">
        <is>
          <t>縦すべり出し窓（オペレーター）</t>
        </is>
      </c>
      <c r="E852" s="43" t="inlineStr">
        <is>
          <t>SP-SL-TATE-OP</t>
        </is>
      </c>
      <c r="F852" s="43" t="inlineStr">
        <is>
          <t>在来・204</t>
        </is>
      </c>
      <c r="G852" s="43" t="inlineStr">
        <is>
          <t>02313</t>
        </is>
      </c>
      <c r="H852" s="43" t="inlineStr">
        <is>
          <t>023</t>
        </is>
      </c>
      <c r="I852" s="43" t="inlineStr">
        <is>
          <t>13</t>
        </is>
      </c>
      <c r="J852" s="222" t="n">
        <v>275</v>
      </c>
      <c r="K852" s="222" t="n">
        <v>1370</v>
      </c>
      <c r="L852" s="43" t="inlineStr">
        <is>
          <t>在来・204</t>
        </is>
      </c>
      <c r="M852" s="178" t="b">
        <v>0</v>
      </c>
      <c r="N852" s="43" t="inlineStr">
        <is>
          <t>v0.5履歴：詳細構成へ置換</t>
        </is>
      </c>
      <c r="O852" s="222" t="n">
        <v>116</v>
      </c>
      <c r="P852" s="222" t="n">
        <v>114</v>
      </c>
      <c r="Q852" s="43" t="inlineStr">
        <is>
          <t>202604_LIXIL_サーモスＬ_業務用資料集_完成品価格表.pdf</t>
        </is>
      </c>
      <c r="R852" s="43" t="inlineStr">
        <is>
          <t>旧汎用オペレーター行。v0.5でT/TF/TFT・FIX押縁別の詳細行へ置換。</t>
        </is>
      </c>
      <c r="S852" s="42" t="inlineStr">
        <is>
          <t>無印</t>
        </is>
      </c>
      <c r="T852" s="42" t="n">
        <v>114</v>
      </c>
      <c r="U852" s="42" t="inlineStr">
        <is>
          <t>P114|無印</t>
        </is>
      </c>
      <c r="V852" s="42" t="inlineStr">
        <is>
          <t>同頁凡例へ直接連動</t>
        </is>
      </c>
    </row>
    <row r="853">
      <c r="A853" s="43" t="inlineStr">
        <is>
          <t>SZ-SL-000850</t>
        </is>
      </c>
      <c r="B853" s="43" t="inlineStr">
        <is>
          <t>SER-LIX-SAMOSL</t>
        </is>
      </c>
      <c r="C853" s="43" t="inlineStr">
        <is>
          <t>WT-SL-TATE-SUBERI</t>
        </is>
      </c>
      <c r="D853" s="43" t="inlineStr">
        <is>
          <t>縦すべり出し窓（オペレーター）</t>
        </is>
      </c>
      <c r="E853" s="43" t="inlineStr">
        <is>
          <t>SP-SL-TATE-OP</t>
        </is>
      </c>
      <c r="F853" s="43" t="inlineStr">
        <is>
          <t>在来・204</t>
        </is>
      </c>
      <c r="G853" s="43" t="inlineStr">
        <is>
          <t>02607</t>
        </is>
      </c>
      <c r="H853" s="43" t="inlineStr">
        <is>
          <t>026</t>
        </is>
      </c>
      <c r="I853" s="43" t="inlineStr">
        <is>
          <t>07</t>
        </is>
      </c>
      <c r="J853" s="222" t="n">
        <v>300</v>
      </c>
      <c r="K853" s="222" t="n">
        <v>770</v>
      </c>
      <c r="L853" s="43" t="inlineStr">
        <is>
          <t>在来・204</t>
        </is>
      </c>
      <c r="M853" s="178" t="b">
        <v>0</v>
      </c>
      <c r="N853" s="43" t="inlineStr">
        <is>
          <t>v0.5履歴：詳細構成へ置換</t>
        </is>
      </c>
      <c r="O853" s="222" t="n">
        <v>116</v>
      </c>
      <c r="P853" s="222" t="n">
        <v>114</v>
      </c>
      <c r="Q853" s="43" t="inlineStr">
        <is>
          <t>202604_LIXIL_サーモスＬ_業務用資料集_完成品価格表.pdf</t>
        </is>
      </c>
      <c r="R853" s="43" t="inlineStr">
        <is>
          <t>旧汎用オペレーター行。v0.5でT/TF/TFT・FIX押縁別の詳細行へ置換。</t>
        </is>
      </c>
      <c r="S853" s="42" t="inlineStr">
        <is>
          <t>無印</t>
        </is>
      </c>
      <c r="T853" s="42" t="n">
        <v>114</v>
      </c>
      <c r="U853" s="42" t="inlineStr">
        <is>
          <t>P114|無印</t>
        </is>
      </c>
      <c r="V853" s="42" t="inlineStr">
        <is>
          <t>同頁凡例へ直接連動</t>
        </is>
      </c>
    </row>
    <row r="854">
      <c r="A854" s="43" t="inlineStr">
        <is>
          <t>SZ-SL-000851</t>
        </is>
      </c>
      <c r="B854" s="43" t="inlineStr">
        <is>
          <t>SER-LIX-SAMOSL</t>
        </is>
      </c>
      <c r="C854" s="43" t="inlineStr">
        <is>
          <t>WT-SL-TATE-SUBERI</t>
        </is>
      </c>
      <c r="D854" s="43" t="inlineStr">
        <is>
          <t>縦すべり出し窓（オペレーター）</t>
        </is>
      </c>
      <c r="E854" s="43" t="inlineStr">
        <is>
          <t>SP-SL-TATE-OP</t>
        </is>
      </c>
      <c r="F854" s="43" t="inlineStr">
        <is>
          <t>在来・204</t>
        </is>
      </c>
      <c r="G854" s="43" t="inlineStr">
        <is>
          <t>02609</t>
        </is>
      </c>
      <c r="H854" s="43" t="inlineStr">
        <is>
          <t>026</t>
        </is>
      </c>
      <c r="I854" s="43" t="inlineStr">
        <is>
          <t>09</t>
        </is>
      </c>
      <c r="J854" s="222" t="n">
        <v>300</v>
      </c>
      <c r="K854" s="222" t="n">
        <v>970</v>
      </c>
      <c r="L854" s="43" t="inlineStr">
        <is>
          <t>在来・204</t>
        </is>
      </c>
      <c r="M854" s="178" t="b">
        <v>0</v>
      </c>
      <c r="N854" s="43" t="inlineStr">
        <is>
          <t>v0.5履歴：詳細構成へ置換</t>
        </is>
      </c>
      <c r="O854" s="222" t="n">
        <v>116</v>
      </c>
      <c r="P854" s="222" t="n">
        <v>114</v>
      </c>
      <c r="Q854" s="43" t="inlineStr">
        <is>
          <t>202604_LIXIL_サーモスＬ_業務用資料集_完成品価格表.pdf</t>
        </is>
      </c>
      <c r="R854" s="43" t="inlineStr">
        <is>
          <t>旧汎用オペレーター行。v0.5でT/TF/TFT・FIX押縁別の詳細行へ置換。</t>
        </is>
      </c>
      <c r="S854" s="42" t="inlineStr">
        <is>
          <t>無印</t>
        </is>
      </c>
      <c r="T854" s="42" t="n">
        <v>114</v>
      </c>
      <c r="U854" s="42" t="inlineStr">
        <is>
          <t>P114|無印</t>
        </is>
      </c>
      <c r="V854" s="42" t="inlineStr">
        <is>
          <t>同頁凡例へ直接連動</t>
        </is>
      </c>
    </row>
    <row r="855">
      <c r="A855" s="43" t="inlineStr">
        <is>
          <t>SZ-SL-000852</t>
        </is>
      </c>
      <c r="B855" s="43" t="inlineStr">
        <is>
          <t>SER-LIX-SAMOSL</t>
        </is>
      </c>
      <c r="C855" s="43" t="inlineStr">
        <is>
          <t>WT-SL-TATE-SUBERI</t>
        </is>
      </c>
      <c r="D855" s="43" t="inlineStr">
        <is>
          <t>縦すべり出し窓（オペレーター）</t>
        </is>
      </c>
      <c r="E855" s="43" t="inlineStr">
        <is>
          <t>SP-SL-TATE-OP</t>
        </is>
      </c>
      <c r="F855" s="43" t="inlineStr">
        <is>
          <t>在来・204</t>
        </is>
      </c>
      <c r="G855" s="43" t="inlineStr">
        <is>
          <t>02611</t>
        </is>
      </c>
      <c r="H855" s="43" t="inlineStr">
        <is>
          <t>026</t>
        </is>
      </c>
      <c r="I855" s="43" t="inlineStr">
        <is>
          <t>11</t>
        </is>
      </c>
      <c r="J855" s="222" t="n">
        <v>300</v>
      </c>
      <c r="K855" s="222" t="n">
        <v>1170</v>
      </c>
      <c r="L855" s="43" t="inlineStr">
        <is>
          <t>在来・204</t>
        </is>
      </c>
      <c r="M855" s="178" t="b">
        <v>0</v>
      </c>
      <c r="N855" s="43" t="inlineStr">
        <is>
          <t>v0.5履歴：詳細構成へ置換</t>
        </is>
      </c>
      <c r="O855" s="222" t="n">
        <v>116</v>
      </c>
      <c r="P855" s="222" t="n">
        <v>114</v>
      </c>
      <c r="Q855" s="43" t="inlineStr">
        <is>
          <t>202604_LIXIL_サーモスＬ_業務用資料集_完成品価格表.pdf</t>
        </is>
      </c>
      <c r="R855" s="43" t="inlineStr">
        <is>
          <t>旧汎用オペレーター行。v0.5でT/TF/TFT・FIX押縁別の詳細行へ置換。</t>
        </is>
      </c>
      <c r="S855" s="42" t="inlineStr">
        <is>
          <t>無印</t>
        </is>
      </c>
      <c r="T855" s="42" t="n">
        <v>114</v>
      </c>
      <c r="U855" s="42" t="inlineStr">
        <is>
          <t>P114|無印</t>
        </is>
      </c>
      <c r="V855" s="42" t="inlineStr">
        <is>
          <t>同頁凡例へ直接連動</t>
        </is>
      </c>
    </row>
    <row r="856">
      <c r="A856" s="43" t="inlineStr">
        <is>
          <t>SZ-SL-000853</t>
        </is>
      </c>
      <c r="B856" s="43" t="inlineStr">
        <is>
          <t>SER-LIX-SAMOSL</t>
        </is>
      </c>
      <c r="C856" s="43" t="inlineStr">
        <is>
          <t>WT-SL-TATE-SUBERI</t>
        </is>
      </c>
      <c r="D856" s="43" t="inlineStr">
        <is>
          <t>縦すべり出し窓（オペレーター）</t>
        </is>
      </c>
      <c r="E856" s="43" t="inlineStr">
        <is>
          <t>SP-SL-TATE-OP</t>
        </is>
      </c>
      <c r="F856" s="43" t="inlineStr">
        <is>
          <t>在来・204</t>
        </is>
      </c>
      <c r="G856" s="43" t="inlineStr">
        <is>
          <t>02613</t>
        </is>
      </c>
      <c r="H856" s="43" t="inlineStr">
        <is>
          <t>026</t>
        </is>
      </c>
      <c r="I856" s="43" t="inlineStr">
        <is>
          <t>13</t>
        </is>
      </c>
      <c r="J856" s="222" t="n">
        <v>300</v>
      </c>
      <c r="K856" s="222" t="n">
        <v>1370</v>
      </c>
      <c r="L856" s="43" t="inlineStr">
        <is>
          <t>在来・204</t>
        </is>
      </c>
      <c r="M856" s="178" t="b">
        <v>0</v>
      </c>
      <c r="N856" s="43" t="inlineStr">
        <is>
          <t>v0.5履歴：詳細構成へ置換</t>
        </is>
      </c>
      <c r="O856" s="222" t="n">
        <v>116</v>
      </c>
      <c r="P856" s="222" t="n">
        <v>114</v>
      </c>
      <c r="Q856" s="43" t="inlineStr">
        <is>
          <t>202604_LIXIL_サーモスＬ_業務用資料集_完成品価格表.pdf</t>
        </is>
      </c>
      <c r="R856" s="43" t="inlineStr">
        <is>
          <t>旧汎用オペレーター行。v0.5でT/TF/TFT・FIX押縁別の詳細行へ置換。</t>
        </is>
      </c>
      <c r="S856" s="42" t="inlineStr">
        <is>
          <t>無印</t>
        </is>
      </c>
      <c r="T856" s="42" t="n">
        <v>114</v>
      </c>
      <c r="U856" s="42" t="inlineStr">
        <is>
          <t>P114|無印</t>
        </is>
      </c>
      <c r="V856" s="42" t="inlineStr">
        <is>
          <t>同頁凡例へ直接連動</t>
        </is>
      </c>
    </row>
    <row r="857">
      <c r="A857" s="43" t="inlineStr">
        <is>
          <t>SZ-SL-000854</t>
        </is>
      </c>
      <c r="B857" s="43" t="inlineStr">
        <is>
          <t>SER-LIX-SAMOSL</t>
        </is>
      </c>
      <c r="C857" s="43" t="inlineStr">
        <is>
          <t>WT-SL-TATE-SUBERI</t>
        </is>
      </c>
      <c r="D857" s="43" t="inlineStr">
        <is>
          <t>縦すべり出し窓（オペレーター）</t>
        </is>
      </c>
      <c r="E857" s="43" t="inlineStr">
        <is>
          <t>SP-SL-TATE-OP</t>
        </is>
      </c>
      <c r="F857" s="43" t="inlineStr">
        <is>
          <t>在来・204</t>
        </is>
      </c>
      <c r="G857" s="43" t="inlineStr">
        <is>
          <t>02615</t>
        </is>
      </c>
      <c r="H857" s="43" t="inlineStr">
        <is>
          <t>026</t>
        </is>
      </c>
      <c r="I857" s="43" t="inlineStr">
        <is>
          <t>15</t>
        </is>
      </c>
      <c r="J857" s="222" t="n">
        <v>300</v>
      </c>
      <c r="K857" s="222" t="n">
        <v>1570</v>
      </c>
      <c r="L857" s="43" t="inlineStr">
        <is>
          <t>在来・204</t>
        </is>
      </c>
      <c r="M857" s="178" t="b">
        <v>0</v>
      </c>
      <c r="N857" s="43" t="inlineStr">
        <is>
          <t>v0.5履歴：詳細構成へ置換</t>
        </is>
      </c>
      <c r="O857" s="222" t="n">
        <v>116</v>
      </c>
      <c r="P857" s="222" t="n">
        <v>114</v>
      </c>
      <c r="Q857" s="43" t="inlineStr">
        <is>
          <t>202604_LIXIL_サーモスＬ_業務用資料集_完成品価格表.pdf</t>
        </is>
      </c>
      <c r="R857" s="43" t="inlineStr">
        <is>
          <t>旧汎用オペレーター行。v0.5でT/TF/TFT・FIX押縁別の詳細行へ置換。</t>
        </is>
      </c>
      <c r="S857" s="42" t="inlineStr">
        <is>
          <t>無印</t>
        </is>
      </c>
      <c r="T857" s="42" t="n">
        <v>114</v>
      </c>
      <c r="U857" s="42" t="inlineStr">
        <is>
          <t>P114|無印</t>
        </is>
      </c>
      <c r="V857" s="42" t="inlineStr">
        <is>
          <t>同頁凡例へ直接連動</t>
        </is>
      </c>
    </row>
    <row r="858">
      <c r="A858" s="43" t="inlineStr">
        <is>
          <t>SZ-SL-000855</t>
        </is>
      </c>
      <c r="B858" s="43" t="inlineStr">
        <is>
          <t>SER-LIX-SAMOSL</t>
        </is>
      </c>
      <c r="C858" s="43" t="inlineStr">
        <is>
          <t>WT-SL-TATE-SUBERI</t>
        </is>
      </c>
      <c r="D858" s="43" t="inlineStr">
        <is>
          <t>縦すべり出し窓（オペレーター）</t>
        </is>
      </c>
      <c r="E858" s="43" t="inlineStr">
        <is>
          <t>SP-SL-TATE-OP</t>
        </is>
      </c>
      <c r="F858" s="43" t="inlineStr">
        <is>
          <t>在来・204</t>
        </is>
      </c>
      <c r="G858" s="43" t="inlineStr">
        <is>
          <t>03109</t>
        </is>
      </c>
      <c r="H858" s="43" t="inlineStr">
        <is>
          <t>031</t>
        </is>
      </c>
      <c r="I858" s="43" t="inlineStr">
        <is>
          <t>09</t>
        </is>
      </c>
      <c r="J858" s="222" t="n">
        <v>350</v>
      </c>
      <c r="K858" s="222" t="n">
        <v>970</v>
      </c>
      <c r="L858" s="43" t="inlineStr">
        <is>
          <t>在来・204</t>
        </is>
      </c>
      <c r="M858" s="178" t="b">
        <v>0</v>
      </c>
      <c r="N858" s="43" t="inlineStr">
        <is>
          <t>v0.5履歴：詳細構成へ置換</t>
        </is>
      </c>
      <c r="O858" s="222" t="n">
        <v>117</v>
      </c>
      <c r="P858" s="222" t="n">
        <v>115</v>
      </c>
      <c r="Q858" s="43" t="inlineStr">
        <is>
          <t>202604_LIXIL_サーモスＬ_業務用資料集_完成品価格表.pdf</t>
        </is>
      </c>
      <c r="R858" s="43" t="inlineStr">
        <is>
          <t>旧汎用オペレーター行。v0.5でT/TF/TFT・FIX押縁別の詳細行へ置換。</t>
        </is>
      </c>
      <c r="S858" s="42" t="inlineStr">
        <is>
          <t>無印</t>
        </is>
      </c>
      <c r="T858" s="42" t="n">
        <v>114</v>
      </c>
      <c r="U858" s="42" t="inlineStr">
        <is>
          <t>P114|無印</t>
        </is>
      </c>
      <c r="V858" s="42" t="inlineStr">
        <is>
          <t>同一価格表・前頁凡例を継承</t>
        </is>
      </c>
    </row>
    <row r="859">
      <c r="A859" s="43" t="inlineStr">
        <is>
          <t>SZ-SL-000856</t>
        </is>
      </c>
      <c r="B859" s="43" t="inlineStr">
        <is>
          <t>SER-LIX-SAMOSL</t>
        </is>
      </c>
      <c r="C859" s="43" t="inlineStr">
        <is>
          <t>WT-SL-TATE-SUBERI</t>
        </is>
      </c>
      <c r="D859" s="43" t="inlineStr">
        <is>
          <t>縦すべり出し窓（オペレーター）</t>
        </is>
      </c>
      <c r="E859" s="43" t="inlineStr">
        <is>
          <t>SP-SL-TATE-OP</t>
        </is>
      </c>
      <c r="F859" s="43" t="inlineStr">
        <is>
          <t>在来・204</t>
        </is>
      </c>
      <c r="G859" s="43" t="inlineStr">
        <is>
          <t>03111</t>
        </is>
      </c>
      <c r="H859" s="43" t="inlineStr">
        <is>
          <t>031</t>
        </is>
      </c>
      <c r="I859" s="43" t="inlineStr">
        <is>
          <t>11</t>
        </is>
      </c>
      <c r="J859" s="222" t="n">
        <v>350</v>
      </c>
      <c r="K859" s="222" t="n">
        <v>1170</v>
      </c>
      <c r="L859" s="43" t="inlineStr">
        <is>
          <t>在来・204</t>
        </is>
      </c>
      <c r="M859" s="178" t="b">
        <v>0</v>
      </c>
      <c r="N859" s="43" t="inlineStr">
        <is>
          <t>v0.5履歴：詳細構成へ置換</t>
        </is>
      </c>
      <c r="O859" s="222" t="n">
        <v>117</v>
      </c>
      <c r="P859" s="222" t="n">
        <v>115</v>
      </c>
      <c r="Q859" s="43" t="inlineStr">
        <is>
          <t>202604_LIXIL_サーモスＬ_業務用資料集_完成品価格表.pdf</t>
        </is>
      </c>
      <c r="R859" s="43" t="inlineStr">
        <is>
          <t>旧汎用オペレーター行。v0.5でT/TF/TFT・FIX押縁別の詳細行へ置換。</t>
        </is>
      </c>
      <c r="S859" s="42" t="inlineStr">
        <is>
          <t>無印</t>
        </is>
      </c>
      <c r="T859" s="42" t="n">
        <v>114</v>
      </c>
      <c r="U859" s="42" t="inlineStr">
        <is>
          <t>P114|無印</t>
        </is>
      </c>
      <c r="V859" s="42" t="inlineStr">
        <is>
          <t>同一価格表・前頁凡例を継承</t>
        </is>
      </c>
    </row>
    <row r="860">
      <c r="A860" s="43" t="inlineStr">
        <is>
          <t>SZ-SL-000857</t>
        </is>
      </c>
      <c r="B860" s="43" t="inlineStr">
        <is>
          <t>SER-LIX-SAMOSL</t>
        </is>
      </c>
      <c r="C860" s="43" t="inlineStr">
        <is>
          <t>WT-SL-TATE-SUBERI</t>
        </is>
      </c>
      <c r="D860" s="43" t="inlineStr">
        <is>
          <t>縦すべり出し窓（オペレーター）</t>
        </is>
      </c>
      <c r="E860" s="43" t="inlineStr">
        <is>
          <t>SP-SL-TATE-OP</t>
        </is>
      </c>
      <c r="F860" s="43" t="inlineStr">
        <is>
          <t>在来・204</t>
        </is>
      </c>
      <c r="G860" s="43" t="inlineStr">
        <is>
          <t>03113</t>
        </is>
      </c>
      <c r="H860" s="43" t="inlineStr">
        <is>
          <t>031</t>
        </is>
      </c>
      <c r="I860" s="43" t="inlineStr">
        <is>
          <t>13</t>
        </is>
      </c>
      <c r="J860" s="222" t="n">
        <v>350</v>
      </c>
      <c r="K860" s="222" t="n">
        <v>1370</v>
      </c>
      <c r="L860" s="43" t="inlineStr">
        <is>
          <t>在来・204</t>
        </is>
      </c>
      <c r="M860" s="178" t="b">
        <v>0</v>
      </c>
      <c r="N860" s="43" t="inlineStr">
        <is>
          <t>v0.5履歴：詳細構成へ置換</t>
        </is>
      </c>
      <c r="O860" s="222" t="n">
        <v>117</v>
      </c>
      <c r="P860" s="222" t="n">
        <v>115</v>
      </c>
      <c r="Q860" s="43" t="inlineStr">
        <is>
          <t>202604_LIXIL_サーモスＬ_業務用資料集_完成品価格表.pdf</t>
        </is>
      </c>
      <c r="R860" s="43" t="inlineStr">
        <is>
          <t>旧汎用オペレーター行。v0.5でT/TF/TFT・FIX押縁別の詳細行へ置換。</t>
        </is>
      </c>
      <c r="S860" s="42" t="inlineStr">
        <is>
          <t>無印</t>
        </is>
      </c>
      <c r="T860" s="42" t="n">
        <v>114</v>
      </c>
      <c r="U860" s="42" t="inlineStr">
        <is>
          <t>P114|無印</t>
        </is>
      </c>
      <c r="V860" s="42" t="inlineStr">
        <is>
          <t>同一価格表・前頁凡例を継承</t>
        </is>
      </c>
    </row>
    <row r="861">
      <c r="A861" s="43" t="inlineStr">
        <is>
          <t>SZ-SL-000858</t>
        </is>
      </c>
      <c r="B861" s="43" t="inlineStr">
        <is>
          <t>SER-LIX-SAMOSL</t>
        </is>
      </c>
      <c r="C861" s="43" t="inlineStr">
        <is>
          <t>WT-SL-TATE-SUBERI</t>
        </is>
      </c>
      <c r="D861" s="43" t="inlineStr">
        <is>
          <t>縦すべり出し窓（オペレーター）</t>
        </is>
      </c>
      <c r="E861" s="43" t="inlineStr">
        <is>
          <t>SP-SL-TATE-OP</t>
        </is>
      </c>
      <c r="F861" s="43" t="inlineStr">
        <is>
          <t>在来・204</t>
        </is>
      </c>
      <c r="G861" s="43" t="inlineStr">
        <is>
          <t>03115</t>
        </is>
      </c>
      <c r="H861" s="43" t="inlineStr">
        <is>
          <t>031</t>
        </is>
      </c>
      <c r="I861" s="43" t="inlineStr">
        <is>
          <t>15</t>
        </is>
      </c>
      <c r="J861" s="222" t="n">
        <v>350</v>
      </c>
      <c r="K861" s="222" t="n">
        <v>1570</v>
      </c>
      <c r="L861" s="43" t="inlineStr">
        <is>
          <t>在来・204</t>
        </is>
      </c>
      <c r="M861" s="178" t="b">
        <v>0</v>
      </c>
      <c r="N861" s="43" t="inlineStr">
        <is>
          <t>v0.5履歴：詳細構成へ置換</t>
        </is>
      </c>
      <c r="O861" s="222" t="n">
        <v>117</v>
      </c>
      <c r="P861" s="222" t="n">
        <v>115</v>
      </c>
      <c r="Q861" s="43" t="inlineStr">
        <is>
          <t>202604_LIXIL_サーモスＬ_業務用資料集_完成品価格表.pdf</t>
        </is>
      </c>
      <c r="R861" s="43" t="inlineStr">
        <is>
          <t>旧汎用オペレーター行。v0.5でT/TF/TFT・FIX押縁別の詳細行へ置換。</t>
        </is>
      </c>
      <c r="S861" s="42" t="inlineStr">
        <is>
          <t>無印</t>
        </is>
      </c>
      <c r="T861" s="42" t="n">
        <v>114</v>
      </c>
      <c r="U861" s="42" t="inlineStr">
        <is>
          <t>P114|無印</t>
        </is>
      </c>
      <c r="V861" s="42" t="inlineStr">
        <is>
          <t>同一価格表・前頁凡例を継承</t>
        </is>
      </c>
    </row>
    <row r="862">
      <c r="A862" s="43" t="inlineStr">
        <is>
          <t>SZ-SL-000859</t>
        </is>
      </c>
      <c r="B862" s="43" t="inlineStr">
        <is>
          <t>SER-LIX-SAMOSL</t>
        </is>
      </c>
      <c r="C862" s="43" t="inlineStr">
        <is>
          <t>WT-SL-TATE-SUBERI</t>
        </is>
      </c>
      <c r="D862" s="43" t="inlineStr">
        <is>
          <t>縦すべり出し窓（オペレーター）</t>
        </is>
      </c>
      <c r="E862" s="43" t="inlineStr">
        <is>
          <t>SP-SL-TATE-OP</t>
        </is>
      </c>
      <c r="F862" s="43" t="inlineStr">
        <is>
          <t>在来・204</t>
        </is>
      </c>
      <c r="G862" s="43" t="inlineStr">
        <is>
          <t>03607</t>
        </is>
      </c>
      <c r="H862" s="43" t="inlineStr">
        <is>
          <t>036</t>
        </is>
      </c>
      <c r="I862" s="43" t="inlineStr">
        <is>
          <t>07</t>
        </is>
      </c>
      <c r="J862" s="222" t="n">
        <v>405</v>
      </c>
      <c r="K862" s="222" t="n">
        <v>770</v>
      </c>
      <c r="L862" s="43" t="inlineStr">
        <is>
          <t>在来・204</t>
        </is>
      </c>
      <c r="M862" s="178" t="b">
        <v>0</v>
      </c>
      <c r="N862" s="43" t="inlineStr">
        <is>
          <t>v0.5履歴：詳細構成へ置換</t>
        </is>
      </c>
      <c r="O862" s="222" t="n">
        <v>117</v>
      </c>
      <c r="P862" s="222" t="n">
        <v>115</v>
      </c>
      <c r="Q862" s="43" t="inlineStr">
        <is>
          <t>202604_LIXIL_サーモスＬ_業務用資料集_完成品価格表.pdf</t>
        </is>
      </c>
      <c r="R862" s="43" t="inlineStr">
        <is>
          <t>旧汎用オペレーター行。v0.5でT/TF/TFT・FIX押縁別の詳細行へ置換。</t>
        </is>
      </c>
      <c r="S862" s="42" t="inlineStr">
        <is>
          <t>無印</t>
        </is>
      </c>
      <c r="T862" s="42" t="n">
        <v>114</v>
      </c>
      <c r="U862" s="42" t="inlineStr">
        <is>
          <t>P114|無印</t>
        </is>
      </c>
      <c r="V862" s="42" t="inlineStr">
        <is>
          <t>同一価格表・前頁凡例を継承</t>
        </is>
      </c>
    </row>
    <row r="863">
      <c r="A863" s="43" t="inlineStr">
        <is>
          <t>SZ-SL-000860</t>
        </is>
      </c>
      <c r="B863" s="43" t="inlineStr">
        <is>
          <t>SER-LIX-SAMOSL</t>
        </is>
      </c>
      <c r="C863" s="43" t="inlineStr">
        <is>
          <t>WT-SL-TATE-SUBERI</t>
        </is>
      </c>
      <c r="D863" s="43" t="inlineStr">
        <is>
          <t>縦すべり出し窓（オペレーター）</t>
        </is>
      </c>
      <c r="E863" s="43" t="inlineStr">
        <is>
          <t>SP-SL-TATE-OP</t>
        </is>
      </c>
      <c r="F863" s="43" t="inlineStr">
        <is>
          <t>在来・204</t>
        </is>
      </c>
      <c r="G863" s="43" t="inlineStr">
        <is>
          <t>03609</t>
        </is>
      </c>
      <c r="H863" s="43" t="inlineStr">
        <is>
          <t>036</t>
        </is>
      </c>
      <c r="I863" s="43" t="inlineStr">
        <is>
          <t>09</t>
        </is>
      </c>
      <c r="J863" s="222" t="n">
        <v>405</v>
      </c>
      <c r="K863" s="222" t="n">
        <v>970</v>
      </c>
      <c r="L863" s="43" t="inlineStr">
        <is>
          <t>在来・204</t>
        </is>
      </c>
      <c r="M863" s="178" t="b">
        <v>0</v>
      </c>
      <c r="N863" s="43" t="inlineStr">
        <is>
          <t>v0.5履歴：詳細構成へ置換</t>
        </is>
      </c>
      <c r="O863" s="222" t="n">
        <v>117</v>
      </c>
      <c r="P863" s="222" t="n">
        <v>115</v>
      </c>
      <c r="Q863" s="43" t="inlineStr">
        <is>
          <t>202604_LIXIL_サーモスＬ_業務用資料集_完成品価格表.pdf</t>
        </is>
      </c>
      <c r="R863" s="43" t="inlineStr">
        <is>
          <t>旧汎用オペレーター行。v0.5でT/TF/TFT・FIX押縁別の詳細行へ置換。</t>
        </is>
      </c>
      <c r="S863" s="42" t="inlineStr">
        <is>
          <t>無印</t>
        </is>
      </c>
      <c r="T863" s="42" t="n">
        <v>114</v>
      </c>
      <c r="U863" s="42" t="inlineStr">
        <is>
          <t>P114|無印</t>
        </is>
      </c>
      <c r="V863" s="42" t="inlineStr">
        <is>
          <t>同一価格表・前頁凡例を継承</t>
        </is>
      </c>
    </row>
    <row r="864">
      <c r="A864" s="43" t="inlineStr">
        <is>
          <t>SZ-SL-000861</t>
        </is>
      </c>
      <c r="B864" s="43" t="inlineStr">
        <is>
          <t>SER-LIX-SAMOSL</t>
        </is>
      </c>
      <c r="C864" s="43" t="inlineStr">
        <is>
          <t>WT-SL-TATE-SUBERI</t>
        </is>
      </c>
      <c r="D864" s="43" t="inlineStr">
        <is>
          <t>縦すべり出し窓（オペレーター）</t>
        </is>
      </c>
      <c r="E864" s="43" t="inlineStr">
        <is>
          <t>SP-SL-TATE-OP</t>
        </is>
      </c>
      <c r="F864" s="43" t="inlineStr">
        <is>
          <t>在来・204</t>
        </is>
      </c>
      <c r="G864" s="43" t="inlineStr">
        <is>
          <t>03611</t>
        </is>
      </c>
      <c r="H864" s="43" t="inlineStr">
        <is>
          <t>036</t>
        </is>
      </c>
      <c r="I864" s="43" t="inlineStr">
        <is>
          <t>11</t>
        </is>
      </c>
      <c r="J864" s="222" t="n">
        <v>405</v>
      </c>
      <c r="K864" s="222" t="n">
        <v>1170</v>
      </c>
      <c r="L864" s="43" t="inlineStr">
        <is>
          <t>在来・204</t>
        </is>
      </c>
      <c r="M864" s="178" t="b">
        <v>0</v>
      </c>
      <c r="N864" s="43" t="inlineStr">
        <is>
          <t>v0.5履歴：詳細構成へ置換</t>
        </is>
      </c>
      <c r="O864" s="222" t="n">
        <v>117</v>
      </c>
      <c r="P864" s="222" t="n">
        <v>115</v>
      </c>
      <c r="Q864" s="43" t="inlineStr">
        <is>
          <t>202604_LIXIL_サーモスＬ_業務用資料集_完成品価格表.pdf</t>
        </is>
      </c>
      <c r="R864" s="43" t="inlineStr">
        <is>
          <t>旧汎用オペレーター行。v0.5でT/TF/TFT・FIX押縁別の詳細行へ置換。</t>
        </is>
      </c>
      <c r="S864" s="42" t="inlineStr">
        <is>
          <t>無印</t>
        </is>
      </c>
      <c r="T864" s="42" t="n">
        <v>114</v>
      </c>
      <c r="U864" s="42" t="inlineStr">
        <is>
          <t>P114|無印</t>
        </is>
      </c>
      <c r="V864" s="42" t="inlineStr">
        <is>
          <t>同一価格表・前頁凡例を継承</t>
        </is>
      </c>
    </row>
    <row r="865">
      <c r="A865" s="43" t="inlineStr">
        <is>
          <t>SZ-SL-000862</t>
        </is>
      </c>
      <c r="B865" s="43" t="inlineStr">
        <is>
          <t>SER-LIX-SAMOSL</t>
        </is>
      </c>
      <c r="C865" s="43" t="inlineStr">
        <is>
          <t>WT-SL-TATE-SUBERI</t>
        </is>
      </c>
      <c r="D865" s="43" t="inlineStr">
        <is>
          <t>縦すべり出し窓（オペレーター）</t>
        </is>
      </c>
      <c r="E865" s="43" t="inlineStr">
        <is>
          <t>SP-SL-TATE-OP</t>
        </is>
      </c>
      <c r="F865" s="43" t="inlineStr">
        <is>
          <t>在来・204</t>
        </is>
      </c>
      <c r="G865" s="43" t="inlineStr">
        <is>
          <t>03613</t>
        </is>
      </c>
      <c r="H865" s="43" t="inlineStr">
        <is>
          <t>036</t>
        </is>
      </c>
      <c r="I865" s="43" t="inlineStr">
        <is>
          <t>13</t>
        </is>
      </c>
      <c r="J865" s="222" t="n">
        <v>405</v>
      </c>
      <c r="K865" s="222" t="n">
        <v>1370</v>
      </c>
      <c r="L865" s="43" t="inlineStr">
        <is>
          <t>在来・204</t>
        </is>
      </c>
      <c r="M865" s="178" t="b">
        <v>0</v>
      </c>
      <c r="N865" s="43" t="inlineStr">
        <is>
          <t>v0.5履歴：詳細構成へ置換</t>
        </is>
      </c>
      <c r="O865" s="222" t="n">
        <v>117</v>
      </c>
      <c r="P865" s="222" t="n">
        <v>115</v>
      </c>
      <c r="Q865" s="43" t="inlineStr">
        <is>
          <t>202604_LIXIL_サーモスＬ_業務用資料集_完成品価格表.pdf</t>
        </is>
      </c>
      <c r="R865" s="43" t="inlineStr">
        <is>
          <t>旧汎用オペレーター行。v0.5でT/TF/TFT・FIX押縁別の詳細行へ置換。</t>
        </is>
      </c>
      <c r="S865" s="42" t="inlineStr">
        <is>
          <t>無印</t>
        </is>
      </c>
      <c r="T865" s="42" t="n">
        <v>114</v>
      </c>
      <c r="U865" s="42" t="inlineStr">
        <is>
          <t>P114|無印</t>
        </is>
      </c>
      <c r="V865" s="42" t="inlineStr">
        <is>
          <t>同一価格表・前頁凡例を継承</t>
        </is>
      </c>
    </row>
    <row r="866">
      <c r="A866" s="43" t="inlineStr">
        <is>
          <t>SZ-SL-000863</t>
        </is>
      </c>
      <c r="B866" s="43" t="inlineStr">
        <is>
          <t>SER-LIX-SAMOSL</t>
        </is>
      </c>
      <c r="C866" s="43" t="inlineStr">
        <is>
          <t>WT-SL-TATE-SUBERI</t>
        </is>
      </c>
      <c r="D866" s="43" t="inlineStr">
        <is>
          <t>縦すべり出し窓（オペレーター）</t>
        </is>
      </c>
      <c r="E866" s="43" t="inlineStr">
        <is>
          <t>SP-SL-TATE-OP</t>
        </is>
      </c>
      <c r="F866" s="43" t="inlineStr">
        <is>
          <t>在来・204</t>
        </is>
      </c>
      <c r="G866" s="43" t="inlineStr">
        <is>
          <t>06007</t>
        </is>
      </c>
      <c r="H866" s="43" t="inlineStr">
        <is>
          <t>060</t>
        </is>
      </c>
      <c r="I866" s="43" t="inlineStr">
        <is>
          <t>07</t>
        </is>
      </c>
      <c r="J866" s="222" t="n">
        <v>640</v>
      </c>
      <c r="K866" s="222" t="n">
        <v>770</v>
      </c>
      <c r="L866" s="43" t="inlineStr">
        <is>
          <t>在来・204</t>
        </is>
      </c>
      <c r="M866" s="178" t="b">
        <v>0</v>
      </c>
      <c r="N866" s="43" t="inlineStr">
        <is>
          <t>v0.5履歴：詳細構成へ置換</t>
        </is>
      </c>
      <c r="O866" s="222" t="n">
        <v>117</v>
      </c>
      <c r="P866" s="222" t="n">
        <v>115</v>
      </c>
      <c r="Q866" s="43" t="inlineStr">
        <is>
          <t>202604_LIXIL_サーモスＬ_業務用資料集_完成品価格表.pdf</t>
        </is>
      </c>
      <c r="R866" s="43" t="inlineStr">
        <is>
          <t>旧汎用オペレーター行。v0.5でT/TF/TFT・FIX押縁別の詳細行へ置換。</t>
        </is>
      </c>
      <c r="S866" s="42" t="inlineStr">
        <is>
          <t>無印</t>
        </is>
      </c>
      <c r="T866" s="42" t="n">
        <v>114</v>
      </c>
      <c r="U866" s="42" t="inlineStr">
        <is>
          <t>P114|無印</t>
        </is>
      </c>
      <c r="V866" s="42" t="inlineStr">
        <is>
          <t>同一価格表・前頁凡例を継承</t>
        </is>
      </c>
    </row>
    <row r="867">
      <c r="A867" s="43" t="inlineStr">
        <is>
          <t>SZ-SL-000864</t>
        </is>
      </c>
      <c r="B867" s="43" t="inlineStr">
        <is>
          <t>SER-LIX-SAMOSL</t>
        </is>
      </c>
      <c r="C867" s="43" t="inlineStr">
        <is>
          <t>WT-SL-TATE-SUBERI</t>
        </is>
      </c>
      <c r="D867" s="43" t="inlineStr">
        <is>
          <t>縦すべり出し窓（オペレーター）</t>
        </is>
      </c>
      <c r="E867" s="43" t="inlineStr">
        <is>
          <t>SP-SL-TATE-OP</t>
        </is>
      </c>
      <c r="F867" s="43" t="inlineStr">
        <is>
          <t>在来・204</t>
        </is>
      </c>
      <c r="G867" s="43" t="inlineStr">
        <is>
          <t>06009</t>
        </is>
      </c>
      <c r="H867" s="43" t="inlineStr">
        <is>
          <t>060</t>
        </is>
      </c>
      <c r="I867" s="43" t="inlineStr">
        <is>
          <t>09</t>
        </is>
      </c>
      <c r="J867" s="222" t="n">
        <v>640</v>
      </c>
      <c r="K867" s="222" t="n">
        <v>970</v>
      </c>
      <c r="L867" s="43" t="inlineStr">
        <is>
          <t>在来・204</t>
        </is>
      </c>
      <c r="M867" s="178" t="b">
        <v>0</v>
      </c>
      <c r="N867" s="43" t="inlineStr">
        <is>
          <t>v0.5履歴：詳細構成へ置換</t>
        </is>
      </c>
      <c r="O867" s="222" t="n">
        <v>117</v>
      </c>
      <c r="P867" s="222" t="n">
        <v>115</v>
      </c>
      <c r="Q867" s="43" t="inlineStr">
        <is>
          <t>202604_LIXIL_サーモスＬ_業務用資料集_完成品価格表.pdf</t>
        </is>
      </c>
      <c r="R867" s="43" t="inlineStr">
        <is>
          <t>旧汎用オペレーター行。v0.5でT/TF/TFT・FIX押縁別の詳細行へ置換。</t>
        </is>
      </c>
      <c r="S867" s="42" t="inlineStr">
        <is>
          <t>無印</t>
        </is>
      </c>
      <c r="T867" s="42" t="n">
        <v>114</v>
      </c>
      <c r="U867" s="42" t="inlineStr">
        <is>
          <t>P114|無印</t>
        </is>
      </c>
      <c r="V867" s="42" t="inlineStr">
        <is>
          <t>同一価格表・前頁凡例を継承</t>
        </is>
      </c>
    </row>
    <row r="868">
      <c r="A868" s="43" t="inlineStr">
        <is>
          <t>SZ-SL-000865</t>
        </is>
      </c>
      <c r="B868" s="43" t="inlineStr">
        <is>
          <t>SER-LIX-SAMOSL</t>
        </is>
      </c>
      <c r="C868" s="43" t="inlineStr">
        <is>
          <t>WT-SL-TATE-SUBERI</t>
        </is>
      </c>
      <c r="D868" s="43" t="inlineStr">
        <is>
          <t>縦すべり出し窓（オペレーター）</t>
        </is>
      </c>
      <c r="E868" s="43" t="inlineStr">
        <is>
          <t>SP-SL-TATE-OP</t>
        </is>
      </c>
      <c r="F868" s="43" t="inlineStr">
        <is>
          <t>在来・204</t>
        </is>
      </c>
      <c r="G868" s="43" t="inlineStr">
        <is>
          <t>06011</t>
        </is>
      </c>
      <c r="H868" s="43" t="inlineStr">
        <is>
          <t>060</t>
        </is>
      </c>
      <c r="I868" s="43" t="inlineStr">
        <is>
          <t>11</t>
        </is>
      </c>
      <c r="J868" s="222" t="n">
        <v>640</v>
      </c>
      <c r="K868" s="222" t="n">
        <v>1170</v>
      </c>
      <c r="L868" s="43" t="inlineStr">
        <is>
          <t>在来・204</t>
        </is>
      </c>
      <c r="M868" s="178" t="b">
        <v>0</v>
      </c>
      <c r="N868" s="43" t="inlineStr">
        <is>
          <t>v0.5履歴：詳細構成へ置換</t>
        </is>
      </c>
      <c r="O868" s="222" t="n">
        <v>117</v>
      </c>
      <c r="P868" s="222" t="n">
        <v>115</v>
      </c>
      <c r="Q868" s="43" t="inlineStr">
        <is>
          <t>202604_LIXIL_サーモスＬ_業務用資料集_完成品価格表.pdf</t>
        </is>
      </c>
      <c r="R868" s="43" t="inlineStr">
        <is>
          <t>旧汎用オペレーター行。v0.5でT/TF/TFT・FIX押縁別の詳細行へ置換。</t>
        </is>
      </c>
      <c r="S868" s="42" t="inlineStr">
        <is>
          <t>無印</t>
        </is>
      </c>
      <c r="T868" s="42" t="n">
        <v>114</v>
      </c>
      <c r="U868" s="42" t="inlineStr">
        <is>
          <t>P114|無印</t>
        </is>
      </c>
      <c r="V868" s="42" t="inlineStr">
        <is>
          <t>同一価格表・前頁凡例を継承</t>
        </is>
      </c>
    </row>
    <row r="869">
      <c r="A869" s="43" t="inlineStr">
        <is>
          <t>SZ-SL-000866</t>
        </is>
      </c>
      <c r="B869" s="43" t="inlineStr">
        <is>
          <t>SER-LIX-SAMOSL</t>
        </is>
      </c>
      <c r="C869" s="43" t="inlineStr">
        <is>
          <t>WT-SL-TATE-SUBERI</t>
        </is>
      </c>
      <c r="D869" s="43" t="inlineStr">
        <is>
          <t>縦すべり出し窓（オペレーター）</t>
        </is>
      </c>
      <c r="E869" s="43" t="inlineStr">
        <is>
          <t>SP-SL-TATE-OP</t>
        </is>
      </c>
      <c r="F869" s="43" t="inlineStr">
        <is>
          <t>在来・204</t>
        </is>
      </c>
      <c r="G869" s="43" t="inlineStr">
        <is>
          <t>06013</t>
        </is>
      </c>
      <c r="H869" s="43" t="inlineStr">
        <is>
          <t>060</t>
        </is>
      </c>
      <c r="I869" s="43" t="inlineStr">
        <is>
          <t>13</t>
        </is>
      </c>
      <c r="J869" s="222" t="n">
        <v>640</v>
      </c>
      <c r="K869" s="222" t="n">
        <v>1370</v>
      </c>
      <c r="L869" s="43" t="inlineStr">
        <is>
          <t>在来・204</t>
        </is>
      </c>
      <c r="M869" s="178" t="b">
        <v>0</v>
      </c>
      <c r="N869" s="43" t="inlineStr">
        <is>
          <t>v0.5履歴：詳細構成へ置換</t>
        </is>
      </c>
      <c r="O869" s="222" t="n">
        <v>117</v>
      </c>
      <c r="P869" s="222" t="n">
        <v>115</v>
      </c>
      <c r="Q869" s="43" t="inlineStr">
        <is>
          <t>202604_LIXIL_サーモスＬ_業務用資料集_完成品価格表.pdf</t>
        </is>
      </c>
      <c r="R869" s="43" t="inlineStr">
        <is>
          <t>旧汎用オペレーター行。v0.5でT/TF/TFT・FIX押縁別の詳細行へ置換。</t>
        </is>
      </c>
      <c r="S869" s="42" t="inlineStr">
        <is>
          <t>無印</t>
        </is>
      </c>
      <c r="T869" s="42" t="n">
        <v>114</v>
      </c>
      <c r="U869" s="42" t="inlineStr">
        <is>
          <t>P114|無印</t>
        </is>
      </c>
      <c r="V869" s="42" t="inlineStr">
        <is>
          <t>同一価格表・前頁凡例を継承</t>
        </is>
      </c>
    </row>
    <row r="870">
      <c r="A870" s="43" t="inlineStr">
        <is>
          <t>SZ-SL-000867</t>
        </is>
      </c>
      <c r="B870" s="43" t="inlineStr">
        <is>
          <t>SER-LIX-SAMOSL</t>
        </is>
      </c>
      <c r="C870" s="43" t="inlineStr">
        <is>
          <t>WT-SL-TATE-SUBERI</t>
        </is>
      </c>
      <c r="D870" s="43" t="inlineStr">
        <is>
          <t>縦すべり出し窓（オペレーター）</t>
        </is>
      </c>
      <c r="E870" s="43" t="inlineStr">
        <is>
          <t>SP-SL-TATE-OP</t>
        </is>
      </c>
      <c r="F870" s="43" t="inlineStr">
        <is>
          <t>在来・204</t>
        </is>
      </c>
      <c r="G870" s="43" t="inlineStr">
        <is>
          <t>02118</t>
        </is>
      </c>
      <c r="H870" s="43" t="inlineStr">
        <is>
          <t>021</t>
        </is>
      </c>
      <c r="I870" s="43" t="inlineStr">
        <is>
          <t>18</t>
        </is>
      </c>
      <c r="J870" s="222" t="n">
        <v>250</v>
      </c>
      <c r="K870" s="222" t="n">
        <v>1870</v>
      </c>
      <c r="L870" s="43" t="inlineStr">
        <is>
          <t>在来・204</t>
        </is>
      </c>
      <c r="M870" s="178" t="b">
        <v>0</v>
      </c>
      <c r="N870" s="43" t="inlineStr">
        <is>
          <t>v0.5履歴：詳細構成へ置換</t>
        </is>
      </c>
      <c r="O870" s="222" t="n">
        <v>118</v>
      </c>
      <c r="P870" s="222" t="n">
        <v>116</v>
      </c>
      <c r="Q870" s="43" t="inlineStr">
        <is>
          <t>202604_LIXIL_サーモスＬ_業務用資料集_完成品価格表.pdf</t>
        </is>
      </c>
      <c r="R870" s="43" t="inlineStr">
        <is>
          <t>旧汎用オペレーター行。v0.5でT/TF/TFT・FIX押縁別の詳細行へ置換。</t>
        </is>
      </c>
      <c r="S870" s="42" t="inlineStr">
        <is>
          <t>無印</t>
        </is>
      </c>
      <c r="T870" s="42" t="n">
        <v>116</v>
      </c>
      <c r="U870" s="42" t="inlineStr">
        <is>
          <t>P116|無印</t>
        </is>
      </c>
      <c r="V870" s="42" t="inlineStr">
        <is>
          <t>同頁凡例へ直接連動</t>
        </is>
      </c>
    </row>
    <row r="871">
      <c r="A871" s="43" t="inlineStr">
        <is>
          <t>SZ-SL-000868</t>
        </is>
      </c>
      <c r="B871" s="43" t="inlineStr">
        <is>
          <t>SER-LIX-SAMOSL</t>
        </is>
      </c>
      <c r="C871" s="43" t="inlineStr">
        <is>
          <t>WT-SL-TATE-SUBERI</t>
        </is>
      </c>
      <c r="D871" s="43" t="inlineStr">
        <is>
          <t>縦すべり出し窓（オペレーター）</t>
        </is>
      </c>
      <c r="E871" s="43" t="inlineStr">
        <is>
          <t>SP-SL-TATE-OP</t>
        </is>
      </c>
      <c r="F871" s="43" t="inlineStr">
        <is>
          <t>在来・204</t>
        </is>
      </c>
      <c r="G871" s="43" t="inlineStr">
        <is>
          <t>02120</t>
        </is>
      </c>
      <c r="H871" s="43" t="inlineStr">
        <is>
          <t>021</t>
        </is>
      </c>
      <c r="I871" s="43" t="inlineStr">
        <is>
          <t>20</t>
        </is>
      </c>
      <c r="J871" s="222" t="n">
        <v>250</v>
      </c>
      <c r="K871" s="222" t="n">
        <v>2070</v>
      </c>
      <c r="L871" s="43" t="inlineStr">
        <is>
          <t>在来・204</t>
        </is>
      </c>
      <c r="M871" s="178" t="b">
        <v>0</v>
      </c>
      <c r="N871" s="43" t="inlineStr">
        <is>
          <t>v0.5履歴：詳細構成へ置換</t>
        </is>
      </c>
      <c r="O871" s="222" t="n">
        <v>118</v>
      </c>
      <c r="P871" s="222" t="n">
        <v>116</v>
      </c>
      <c r="Q871" s="43" t="inlineStr">
        <is>
          <t>202604_LIXIL_サーモスＬ_業務用資料集_完成品価格表.pdf</t>
        </is>
      </c>
      <c r="R871" s="43" t="inlineStr">
        <is>
          <t>旧汎用オペレーター行。v0.5でT/TF/TFT・FIX押縁別の詳細行へ置換。</t>
        </is>
      </c>
      <c r="S871" s="42" t="inlineStr">
        <is>
          <t>無印</t>
        </is>
      </c>
      <c r="T871" s="42" t="n">
        <v>116</v>
      </c>
      <c r="U871" s="42" t="inlineStr">
        <is>
          <t>P116|無印</t>
        </is>
      </c>
      <c r="V871" s="42" t="inlineStr">
        <is>
          <t>同頁凡例へ直接連動</t>
        </is>
      </c>
    </row>
    <row r="872">
      <c r="A872" s="43" t="inlineStr">
        <is>
          <t>SZ-SL-000869</t>
        </is>
      </c>
      <c r="B872" s="43" t="inlineStr">
        <is>
          <t>SER-LIX-SAMOSL</t>
        </is>
      </c>
      <c r="C872" s="43" t="inlineStr">
        <is>
          <t>WT-SL-TATE-SUBERI</t>
        </is>
      </c>
      <c r="D872" s="43" t="inlineStr">
        <is>
          <t>縦すべり出し窓（オペレーター）</t>
        </is>
      </c>
      <c r="E872" s="43" t="inlineStr">
        <is>
          <t>SP-SL-TATE-OP</t>
        </is>
      </c>
      <c r="F872" s="43" t="inlineStr">
        <is>
          <t>在来・204</t>
        </is>
      </c>
      <c r="G872" s="43" t="inlineStr">
        <is>
          <t>02122</t>
        </is>
      </c>
      <c r="H872" s="43" t="inlineStr">
        <is>
          <t>021</t>
        </is>
      </c>
      <c r="I872" s="43" t="inlineStr">
        <is>
          <t>22</t>
        </is>
      </c>
      <c r="J872" s="222" t="n">
        <v>250</v>
      </c>
      <c r="K872" s="222" t="n">
        <v>2270</v>
      </c>
      <c r="L872" s="43" t="inlineStr">
        <is>
          <t>在来・204</t>
        </is>
      </c>
      <c r="M872" s="178" t="b">
        <v>0</v>
      </c>
      <c r="N872" s="43" t="inlineStr">
        <is>
          <t>v0.5履歴：詳細構成へ置換</t>
        </is>
      </c>
      <c r="O872" s="222" t="n">
        <v>118</v>
      </c>
      <c r="P872" s="222" t="n">
        <v>116</v>
      </c>
      <c r="Q872" s="43" t="inlineStr">
        <is>
          <t>202604_LIXIL_サーモスＬ_業務用資料集_完成品価格表.pdf</t>
        </is>
      </c>
      <c r="R872" s="43" t="inlineStr">
        <is>
          <t>旧汎用オペレーター行。v0.5でT/TF/TFT・FIX押縁別の詳細行へ置換。</t>
        </is>
      </c>
      <c r="S872" s="42" t="inlineStr">
        <is>
          <t>無印</t>
        </is>
      </c>
      <c r="T872" s="42" t="n">
        <v>116</v>
      </c>
      <c r="U872" s="42" t="inlineStr">
        <is>
          <t>P116|無印</t>
        </is>
      </c>
      <c r="V872" s="42" t="inlineStr">
        <is>
          <t>同頁凡例へ直接連動</t>
        </is>
      </c>
    </row>
    <row r="873">
      <c r="A873" s="43" t="inlineStr">
        <is>
          <t>SZ-SL-000870</t>
        </is>
      </c>
      <c r="B873" s="43" t="inlineStr">
        <is>
          <t>SER-LIX-SAMOSL</t>
        </is>
      </c>
      <c r="C873" s="43" t="inlineStr">
        <is>
          <t>WT-SL-TATE-SUBERI</t>
        </is>
      </c>
      <c r="D873" s="43" t="inlineStr">
        <is>
          <t>縦すべり出し窓（オペレーター）</t>
        </is>
      </c>
      <c r="E873" s="43" t="inlineStr">
        <is>
          <t>SP-SL-TATE-OP</t>
        </is>
      </c>
      <c r="F873" s="43" t="inlineStr">
        <is>
          <t>在来・204</t>
        </is>
      </c>
      <c r="G873" s="43" t="inlineStr">
        <is>
          <t>02618</t>
        </is>
      </c>
      <c r="H873" s="43" t="inlineStr">
        <is>
          <t>026</t>
        </is>
      </c>
      <c r="I873" s="43" t="inlineStr">
        <is>
          <t>18</t>
        </is>
      </c>
      <c r="J873" s="222" t="n">
        <v>300</v>
      </c>
      <c r="K873" s="222" t="n">
        <v>1870</v>
      </c>
      <c r="L873" s="43" t="inlineStr">
        <is>
          <t>在来・204</t>
        </is>
      </c>
      <c r="M873" s="178" t="b">
        <v>0</v>
      </c>
      <c r="N873" s="43" t="inlineStr">
        <is>
          <t>v0.5履歴：詳細構成へ置換</t>
        </is>
      </c>
      <c r="O873" s="222" t="n">
        <v>118</v>
      </c>
      <c r="P873" s="222" t="n">
        <v>116</v>
      </c>
      <c r="Q873" s="43" t="inlineStr">
        <is>
          <t>202604_LIXIL_サーモスＬ_業務用資料集_完成品価格表.pdf</t>
        </is>
      </c>
      <c r="R873" s="43" t="inlineStr">
        <is>
          <t>旧汎用オペレーター行。v0.5でT/TF/TFT・FIX押縁別の詳細行へ置換。</t>
        </is>
      </c>
      <c r="S873" s="42" t="inlineStr">
        <is>
          <t>無印</t>
        </is>
      </c>
      <c r="T873" s="42" t="n">
        <v>116</v>
      </c>
      <c r="U873" s="42" t="inlineStr">
        <is>
          <t>P116|無印</t>
        </is>
      </c>
      <c r="V873" s="42" t="inlineStr">
        <is>
          <t>同頁凡例へ直接連動</t>
        </is>
      </c>
    </row>
    <row r="874">
      <c r="A874" s="43" t="inlineStr">
        <is>
          <t>SZ-SL-000871</t>
        </is>
      </c>
      <c r="B874" s="43" t="inlineStr">
        <is>
          <t>SER-LIX-SAMOSL</t>
        </is>
      </c>
      <c r="C874" s="43" t="inlineStr">
        <is>
          <t>WT-SL-TATE-SUBERI</t>
        </is>
      </c>
      <c r="D874" s="43" t="inlineStr">
        <is>
          <t>縦すべり出し窓（オペレーター）</t>
        </is>
      </c>
      <c r="E874" s="43" t="inlineStr">
        <is>
          <t>SP-SL-TATE-OP</t>
        </is>
      </c>
      <c r="F874" s="43" t="inlineStr">
        <is>
          <t>在来・204</t>
        </is>
      </c>
      <c r="G874" s="43" t="inlineStr">
        <is>
          <t>02620</t>
        </is>
      </c>
      <c r="H874" s="43" t="inlineStr">
        <is>
          <t>026</t>
        </is>
      </c>
      <c r="I874" s="43" t="inlineStr">
        <is>
          <t>20</t>
        </is>
      </c>
      <c r="J874" s="222" t="n">
        <v>300</v>
      </c>
      <c r="K874" s="222" t="n">
        <v>2070</v>
      </c>
      <c r="L874" s="43" t="inlineStr">
        <is>
          <t>在来・204</t>
        </is>
      </c>
      <c r="M874" s="178" t="b">
        <v>0</v>
      </c>
      <c r="N874" s="43" t="inlineStr">
        <is>
          <t>v0.5履歴：詳細構成へ置換</t>
        </is>
      </c>
      <c r="O874" s="222" t="n">
        <v>118</v>
      </c>
      <c r="P874" s="222" t="n">
        <v>116</v>
      </c>
      <c r="Q874" s="43" t="inlineStr">
        <is>
          <t>202604_LIXIL_サーモスＬ_業務用資料集_完成品価格表.pdf</t>
        </is>
      </c>
      <c r="R874" s="43" t="inlineStr">
        <is>
          <t>旧汎用オペレーター行。v0.5でT/TF/TFT・FIX押縁別の詳細行へ置換。</t>
        </is>
      </c>
      <c r="S874" s="42" t="inlineStr">
        <is>
          <t>無印</t>
        </is>
      </c>
      <c r="T874" s="42" t="n">
        <v>116</v>
      </c>
      <c r="U874" s="42" t="inlineStr">
        <is>
          <t>P116|無印</t>
        </is>
      </c>
      <c r="V874" s="42" t="inlineStr">
        <is>
          <t>同頁凡例へ直接連動</t>
        </is>
      </c>
    </row>
    <row r="875">
      <c r="A875" s="43" t="inlineStr">
        <is>
          <t>SZ-SL-000872</t>
        </is>
      </c>
      <c r="B875" s="43" t="inlineStr">
        <is>
          <t>SER-LIX-SAMOSL</t>
        </is>
      </c>
      <c r="C875" s="43" t="inlineStr">
        <is>
          <t>WT-SL-TATE-SUBERI</t>
        </is>
      </c>
      <c r="D875" s="43" t="inlineStr">
        <is>
          <t>縦すべり出し窓（オペレーター）</t>
        </is>
      </c>
      <c r="E875" s="43" t="inlineStr">
        <is>
          <t>SP-SL-TATE-OP</t>
        </is>
      </c>
      <c r="F875" s="43" t="inlineStr">
        <is>
          <t>在来・204</t>
        </is>
      </c>
      <c r="G875" s="43" t="inlineStr">
        <is>
          <t>02622</t>
        </is>
      </c>
      <c r="H875" s="43" t="inlineStr">
        <is>
          <t>026</t>
        </is>
      </c>
      <c r="I875" s="43" t="inlineStr">
        <is>
          <t>22</t>
        </is>
      </c>
      <c r="J875" s="222" t="n">
        <v>300</v>
      </c>
      <c r="K875" s="222" t="n">
        <v>2270</v>
      </c>
      <c r="L875" s="43" t="inlineStr">
        <is>
          <t>在来・204</t>
        </is>
      </c>
      <c r="M875" s="178" t="b">
        <v>0</v>
      </c>
      <c r="N875" s="43" t="inlineStr">
        <is>
          <t>v0.5履歴：詳細構成へ置換</t>
        </is>
      </c>
      <c r="O875" s="222" t="n">
        <v>118</v>
      </c>
      <c r="P875" s="222" t="n">
        <v>116</v>
      </c>
      <c r="Q875" s="43" t="inlineStr">
        <is>
          <t>202604_LIXIL_サーモスＬ_業務用資料集_完成品価格表.pdf</t>
        </is>
      </c>
      <c r="R875" s="43" t="inlineStr">
        <is>
          <t>旧汎用オペレーター行。v0.5でT/TF/TFT・FIX押縁別の詳細行へ置換。</t>
        </is>
      </c>
      <c r="S875" s="42" t="inlineStr">
        <is>
          <t>無印</t>
        </is>
      </c>
      <c r="T875" s="42" t="n">
        <v>116</v>
      </c>
      <c r="U875" s="42" t="inlineStr">
        <is>
          <t>P116|無印</t>
        </is>
      </c>
      <c r="V875" s="42" t="inlineStr">
        <is>
          <t>同頁凡例へ直接連動</t>
        </is>
      </c>
    </row>
    <row r="876">
      <c r="A876" s="43" t="inlineStr">
        <is>
          <t>SZ-SL-000873</t>
        </is>
      </c>
      <c r="B876" s="43" t="inlineStr">
        <is>
          <t>SER-LIX-SAMOSL</t>
        </is>
      </c>
      <c r="C876" s="43" t="inlineStr">
        <is>
          <t>WT-SL-TATE-SUBERI</t>
        </is>
      </c>
      <c r="D876" s="43" t="inlineStr">
        <is>
          <t>縦すべり出し窓（オペレーター）</t>
        </is>
      </c>
      <c r="E876" s="43" t="inlineStr">
        <is>
          <t>SP-SL-TATE-OP</t>
        </is>
      </c>
      <c r="F876" s="43" t="inlineStr">
        <is>
          <t>在来・204</t>
        </is>
      </c>
      <c r="G876" s="43" t="inlineStr">
        <is>
          <t>03118</t>
        </is>
      </c>
      <c r="H876" s="43" t="inlineStr">
        <is>
          <t>031</t>
        </is>
      </c>
      <c r="I876" s="43" t="inlineStr">
        <is>
          <t>18</t>
        </is>
      </c>
      <c r="J876" s="222" t="n">
        <v>350</v>
      </c>
      <c r="K876" s="222" t="n">
        <v>1870</v>
      </c>
      <c r="L876" s="43" t="inlineStr">
        <is>
          <t>在来・204</t>
        </is>
      </c>
      <c r="M876" s="178" t="b">
        <v>0</v>
      </c>
      <c r="N876" s="43" t="inlineStr">
        <is>
          <t>v0.5履歴：詳細構成へ置換</t>
        </is>
      </c>
      <c r="O876" s="222" t="n">
        <v>119</v>
      </c>
      <c r="P876" s="222" t="n">
        <v>117</v>
      </c>
      <c r="Q876" s="43" t="inlineStr">
        <is>
          <t>202604_LIXIL_サーモスＬ_業務用資料集_完成品価格表.pdf</t>
        </is>
      </c>
      <c r="R876" s="43" t="inlineStr">
        <is>
          <t>旧汎用オペレーター行。v0.5でT/TF/TFT・FIX押縁別の詳細行へ置換。</t>
        </is>
      </c>
      <c r="S876" s="42" t="inlineStr">
        <is>
          <t>無印</t>
        </is>
      </c>
      <c r="T876" s="42" t="n">
        <v>116</v>
      </c>
      <c r="U876" s="42" t="inlineStr">
        <is>
          <t>P116|無印</t>
        </is>
      </c>
      <c r="V876" s="42" t="inlineStr">
        <is>
          <t>同一価格表・前頁凡例を継承</t>
        </is>
      </c>
    </row>
    <row r="877">
      <c r="A877" s="43" t="inlineStr">
        <is>
          <t>SZ-SL-000874</t>
        </is>
      </c>
      <c r="B877" s="43" t="inlineStr">
        <is>
          <t>SER-LIX-SAMOSL</t>
        </is>
      </c>
      <c r="C877" s="43" t="inlineStr">
        <is>
          <t>WT-SL-TATE-SUBERI</t>
        </is>
      </c>
      <c r="D877" s="43" t="inlineStr">
        <is>
          <t>縦すべり出し窓（オペレーター）</t>
        </is>
      </c>
      <c r="E877" s="43" t="inlineStr">
        <is>
          <t>SP-SL-TATE-OP</t>
        </is>
      </c>
      <c r="F877" s="43" t="inlineStr">
        <is>
          <t>在来・204</t>
        </is>
      </c>
      <c r="G877" s="43" t="inlineStr">
        <is>
          <t>03120</t>
        </is>
      </c>
      <c r="H877" s="43" t="inlineStr">
        <is>
          <t>031</t>
        </is>
      </c>
      <c r="I877" s="43" t="inlineStr">
        <is>
          <t>20</t>
        </is>
      </c>
      <c r="J877" s="222" t="n">
        <v>350</v>
      </c>
      <c r="K877" s="222" t="n">
        <v>2070</v>
      </c>
      <c r="L877" s="43" t="inlineStr">
        <is>
          <t>在来・204</t>
        </is>
      </c>
      <c r="M877" s="178" t="b">
        <v>0</v>
      </c>
      <c r="N877" s="43" t="inlineStr">
        <is>
          <t>v0.5履歴：詳細構成へ置換</t>
        </is>
      </c>
      <c r="O877" s="222" t="n">
        <v>119</v>
      </c>
      <c r="P877" s="222" t="n">
        <v>117</v>
      </c>
      <c r="Q877" s="43" t="inlineStr">
        <is>
          <t>202604_LIXIL_サーモスＬ_業務用資料集_完成品価格表.pdf</t>
        </is>
      </c>
      <c r="R877" s="43" t="inlineStr">
        <is>
          <t>旧汎用オペレーター行。v0.5でT/TF/TFT・FIX押縁別の詳細行へ置換。</t>
        </is>
      </c>
      <c r="S877" s="42" t="inlineStr">
        <is>
          <t>無印</t>
        </is>
      </c>
      <c r="T877" s="42" t="n">
        <v>116</v>
      </c>
      <c r="U877" s="42" t="inlineStr">
        <is>
          <t>P116|無印</t>
        </is>
      </c>
      <c r="V877" s="42" t="inlineStr">
        <is>
          <t>同一価格表・前頁凡例を継承</t>
        </is>
      </c>
    </row>
    <row r="878">
      <c r="A878" s="43" t="inlineStr">
        <is>
          <t>SZ-SL-000875</t>
        </is>
      </c>
      <c r="B878" s="43" t="inlineStr">
        <is>
          <t>SER-LIX-SAMOSL</t>
        </is>
      </c>
      <c r="C878" s="43" t="inlineStr">
        <is>
          <t>WT-SL-TATE-SUBERI</t>
        </is>
      </c>
      <c r="D878" s="43" t="inlineStr">
        <is>
          <t>縦すべり出し窓（オペレーター）</t>
        </is>
      </c>
      <c r="E878" s="43" t="inlineStr">
        <is>
          <t>SP-SL-TATE-OP</t>
        </is>
      </c>
      <c r="F878" s="43" t="inlineStr">
        <is>
          <t>在来・204</t>
        </is>
      </c>
      <c r="G878" s="43" t="inlineStr">
        <is>
          <t>03122</t>
        </is>
      </c>
      <c r="H878" s="43" t="inlineStr">
        <is>
          <t>031</t>
        </is>
      </c>
      <c r="I878" s="43" t="inlineStr">
        <is>
          <t>22</t>
        </is>
      </c>
      <c r="J878" s="222" t="n">
        <v>350</v>
      </c>
      <c r="K878" s="222" t="n">
        <v>2270</v>
      </c>
      <c r="L878" s="43" t="inlineStr">
        <is>
          <t>在来・204</t>
        </is>
      </c>
      <c r="M878" s="178" t="b">
        <v>0</v>
      </c>
      <c r="N878" s="43" t="inlineStr">
        <is>
          <t>v0.5履歴：詳細構成へ置換</t>
        </is>
      </c>
      <c r="O878" s="222" t="n">
        <v>119</v>
      </c>
      <c r="P878" s="222" t="n">
        <v>117</v>
      </c>
      <c r="Q878" s="43" t="inlineStr">
        <is>
          <t>202604_LIXIL_サーモスＬ_業務用資料集_完成品価格表.pdf</t>
        </is>
      </c>
      <c r="R878" s="43" t="inlineStr">
        <is>
          <t>旧汎用オペレーター行。v0.5でT/TF/TFT・FIX押縁別の詳細行へ置換。</t>
        </is>
      </c>
      <c r="S878" s="42" t="inlineStr">
        <is>
          <t>無印</t>
        </is>
      </c>
      <c r="T878" s="42" t="n">
        <v>116</v>
      </c>
      <c r="U878" s="42" t="inlineStr">
        <is>
          <t>P116|無印</t>
        </is>
      </c>
      <c r="V878" s="42" t="inlineStr">
        <is>
          <t>同一価格表・前頁凡例を継承</t>
        </is>
      </c>
    </row>
    <row r="879">
      <c r="A879" s="43" t="inlineStr">
        <is>
          <t>SZ-SL-000876</t>
        </is>
      </c>
      <c r="B879" s="43" t="inlineStr">
        <is>
          <t>SER-LIX-SAMOSL</t>
        </is>
      </c>
      <c r="C879" s="43" t="inlineStr">
        <is>
          <t>WT-SL-TATE-SUBERI</t>
        </is>
      </c>
      <c r="D879" s="43" t="inlineStr">
        <is>
          <t>縦すべり出し窓（オペレーター）</t>
        </is>
      </c>
      <c r="E879" s="43" t="inlineStr">
        <is>
          <t>SP-SL-TATE-OP</t>
        </is>
      </c>
      <c r="F879" s="43" t="inlineStr">
        <is>
          <t>在来・204</t>
        </is>
      </c>
      <c r="G879" s="43" t="inlineStr">
        <is>
          <t>11409</t>
        </is>
      </c>
      <c r="H879" s="43" t="inlineStr">
        <is>
          <t>114</t>
        </is>
      </c>
      <c r="I879" s="43" t="inlineStr">
        <is>
          <t>09</t>
        </is>
      </c>
      <c r="J879" s="222" t="n">
        <v>1185</v>
      </c>
      <c r="K879" s="222" t="n">
        <v>970</v>
      </c>
      <c r="L879" s="43" t="inlineStr">
        <is>
          <t>在来・204</t>
        </is>
      </c>
      <c r="M879" s="178" t="b">
        <v>0</v>
      </c>
      <c r="N879" s="43" t="inlineStr">
        <is>
          <t>v0.5履歴：詳細構成へ置換</t>
        </is>
      </c>
      <c r="O879" s="222" t="n">
        <v>120</v>
      </c>
      <c r="P879" s="222" t="n">
        <v>118</v>
      </c>
      <c r="Q879" s="43" t="inlineStr">
        <is>
          <t>202604_LIXIL_サーモスＬ_業務用資料集_完成品価格表.pdf</t>
        </is>
      </c>
      <c r="R879" s="43" t="inlineStr">
        <is>
          <t>旧汎用オペレーター行。v0.5でT/TF/TFT・FIX押縁別の詳細行へ置換。</t>
        </is>
      </c>
      <c r="S879" s="42" t="inlineStr">
        <is>
          <t>無印</t>
        </is>
      </c>
      <c r="T879" s="42" t="n">
        <v>118</v>
      </c>
      <c r="U879" s="42" t="inlineStr">
        <is>
          <t>P118|無印</t>
        </is>
      </c>
      <c r="V879" s="42" t="inlineStr">
        <is>
          <t>同頁凡例へ直接連動</t>
        </is>
      </c>
    </row>
    <row r="880">
      <c r="A880" s="43" t="inlineStr">
        <is>
          <t>SZ-SL-000877</t>
        </is>
      </c>
      <c r="B880" s="43" t="inlineStr">
        <is>
          <t>SER-LIX-SAMOSL</t>
        </is>
      </c>
      <c r="C880" s="43" t="inlineStr">
        <is>
          <t>WT-SL-TATE-SUBERI</t>
        </is>
      </c>
      <c r="D880" s="43" t="inlineStr">
        <is>
          <t>縦すべり出し窓（オペレーター）</t>
        </is>
      </c>
      <c r="E880" s="43" t="inlineStr">
        <is>
          <t>SP-SL-TATE-OP</t>
        </is>
      </c>
      <c r="F880" s="43" t="inlineStr">
        <is>
          <t>在来・204</t>
        </is>
      </c>
      <c r="G880" s="43" t="inlineStr">
        <is>
          <t>11411</t>
        </is>
      </c>
      <c r="H880" s="43" t="inlineStr">
        <is>
          <t>114</t>
        </is>
      </c>
      <c r="I880" s="43" t="inlineStr">
        <is>
          <t>11</t>
        </is>
      </c>
      <c r="J880" s="222" t="n">
        <v>1185</v>
      </c>
      <c r="K880" s="222" t="n">
        <v>1170</v>
      </c>
      <c r="L880" s="43" t="inlineStr">
        <is>
          <t>在来・204</t>
        </is>
      </c>
      <c r="M880" s="178" t="b">
        <v>0</v>
      </c>
      <c r="N880" s="43" t="inlineStr">
        <is>
          <t>v0.5履歴：詳細構成へ置換</t>
        </is>
      </c>
      <c r="O880" s="222" t="n">
        <v>120</v>
      </c>
      <c r="P880" s="222" t="n">
        <v>118</v>
      </c>
      <c r="Q880" s="43" t="inlineStr">
        <is>
          <t>202604_LIXIL_サーモスＬ_業務用資料集_完成品価格表.pdf</t>
        </is>
      </c>
      <c r="R880" s="43" t="inlineStr">
        <is>
          <t>旧汎用オペレーター行。v0.5でT/TF/TFT・FIX押縁別の詳細行へ置換。</t>
        </is>
      </c>
      <c r="S880" s="42" t="inlineStr">
        <is>
          <t>無印</t>
        </is>
      </c>
      <c r="T880" s="42" t="n">
        <v>118</v>
      </c>
      <c r="U880" s="42" t="inlineStr">
        <is>
          <t>P118|無印</t>
        </is>
      </c>
      <c r="V880" s="42" t="inlineStr">
        <is>
          <t>同頁凡例へ直接連動</t>
        </is>
      </c>
    </row>
    <row r="881">
      <c r="A881" s="43" t="inlineStr">
        <is>
          <t>SZ-SL-000878</t>
        </is>
      </c>
      <c r="B881" s="43" t="inlineStr">
        <is>
          <t>SER-LIX-SAMOSL</t>
        </is>
      </c>
      <c r="C881" s="43" t="inlineStr">
        <is>
          <t>WT-SL-TATE-SUBERI</t>
        </is>
      </c>
      <c r="D881" s="43" t="inlineStr">
        <is>
          <t>縦すべり出し窓（オペレーター）</t>
        </is>
      </c>
      <c r="E881" s="43" t="inlineStr">
        <is>
          <t>SP-SL-TATE-OP</t>
        </is>
      </c>
      <c r="F881" s="43" t="inlineStr">
        <is>
          <t>在来・204</t>
        </is>
      </c>
      <c r="G881" s="43" t="inlineStr">
        <is>
          <t>11413</t>
        </is>
      </c>
      <c r="H881" s="43" t="inlineStr">
        <is>
          <t>114</t>
        </is>
      </c>
      <c r="I881" s="43" t="inlineStr">
        <is>
          <t>13</t>
        </is>
      </c>
      <c r="J881" s="222" t="n">
        <v>1185</v>
      </c>
      <c r="K881" s="222" t="n">
        <v>1370</v>
      </c>
      <c r="L881" s="43" t="inlineStr">
        <is>
          <t>在来・204</t>
        </is>
      </c>
      <c r="M881" s="178" t="b">
        <v>0</v>
      </c>
      <c r="N881" s="43" t="inlineStr">
        <is>
          <t>v0.5履歴：詳細構成へ置換</t>
        </is>
      </c>
      <c r="O881" s="222" t="n">
        <v>120</v>
      </c>
      <c r="P881" s="222" t="n">
        <v>118</v>
      </c>
      <c r="Q881" s="43" t="inlineStr">
        <is>
          <t>202604_LIXIL_サーモスＬ_業務用資料集_完成品価格表.pdf</t>
        </is>
      </c>
      <c r="R881" s="43" t="inlineStr">
        <is>
          <t>旧汎用オペレーター行。v0.5でT/TF/TFT・FIX押縁別の詳細行へ置換。</t>
        </is>
      </c>
      <c r="S881" s="42" t="inlineStr">
        <is>
          <t>無印</t>
        </is>
      </c>
      <c r="T881" s="42" t="n">
        <v>118</v>
      </c>
      <c r="U881" s="42" t="inlineStr">
        <is>
          <t>P118|無印</t>
        </is>
      </c>
      <c r="V881" s="42" t="inlineStr">
        <is>
          <t>同頁凡例へ直接連動</t>
        </is>
      </c>
    </row>
    <row r="882">
      <c r="A882" s="43" t="inlineStr">
        <is>
          <t>SZ-SL-000879</t>
        </is>
      </c>
      <c r="B882" s="43" t="inlineStr">
        <is>
          <t>SER-LIX-SAMOSL</t>
        </is>
      </c>
      <c r="C882" s="43" t="inlineStr">
        <is>
          <t>WT-SL-TATE-SUBERI</t>
        </is>
      </c>
      <c r="D882" s="43" t="inlineStr">
        <is>
          <t>縦すべり出し窓（オペレーター）</t>
        </is>
      </c>
      <c r="E882" s="43" t="inlineStr">
        <is>
          <t>SP-SL-TATE-OP</t>
        </is>
      </c>
      <c r="F882" s="43" t="inlineStr">
        <is>
          <t>在来・204</t>
        </is>
      </c>
      <c r="G882" s="43" t="inlineStr">
        <is>
          <t>11909</t>
        </is>
      </c>
      <c r="H882" s="43" t="inlineStr">
        <is>
          <t>119</t>
        </is>
      </c>
      <c r="I882" s="43" t="inlineStr">
        <is>
          <t>09</t>
        </is>
      </c>
      <c r="J882" s="222" t="n">
        <v>1235</v>
      </c>
      <c r="K882" s="222" t="n">
        <v>970</v>
      </c>
      <c r="L882" s="43" t="inlineStr">
        <is>
          <t>在来・204</t>
        </is>
      </c>
      <c r="M882" s="178" t="b">
        <v>0</v>
      </c>
      <c r="N882" s="43" t="inlineStr">
        <is>
          <t>v0.5履歴：詳細構成へ置換</t>
        </is>
      </c>
      <c r="O882" s="222" t="n">
        <v>120</v>
      </c>
      <c r="P882" s="222" t="n">
        <v>118</v>
      </c>
      <c r="Q882" s="43" t="inlineStr">
        <is>
          <t>202604_LIXIL_サーモスＬ_業務用資料集_完成品価格表.pdf</t>
        </is>
      </c>
      <c r="R882" s="43" t="inlineStr">
        <is>
          <t>旧汎用オペレーター行。v0.5でT/TF/TFT・FIX押縁別の詳細行へ置換。</t>
        </is>
      </c>
      <c r="S882" s="42" t="inlineStr">
        <is>
          <t>無印</t>
        </is>
      </c>
      <c r="T882" s="42" t="n">
        <v>118</v>
      </c>
      <c r="U882" s="42" t="inlineStr">
        <is>
          <t>P118|無印</t>
        </is>
      </c>
      <c r="V882" s="42" t="inlineStr">
        <is>
          <t>同頁凡例へ直接連動</t>
        </is>
      </c>
    </row>
    <row r="883">
      <c r="A883" s="43" t="inlineStr">
        <is>
          <t>SZ-SL-000880</t>
        </is>
      </c>
      <c r="B883" s="43" t="inlineStr">
        <is>
          <t>SER-LIX-SAMOSL</t>
        </is>
      </c>
      <c r="C883" s="43" t="inlineStr">
        <is>
          <t>WT-SL-TATE-SUBERI</t>
        </is>
      </c>
      <c r="D883" s="43" t="inlineStr">
        <is>
          <t>縦すべり出し窓（オペレーター）</t>
        </is>
      </c>
      <c r="E883" s="43" t="inlineStr">
        <is>
          <t>SP-SL-TATE-OP</t>
        </is>
      </c>
      <c r="F883" s="43" t="inlineStr">
        <is>
          <t>在来・204</t>
        </is>
      </c>
      <c r="G883" s="43" t="inlineStr">
        <is>
          <t>11911</t>
        </is>
      </c>
      <c r="H883" s="43" t="inlineStr">
        <is>
          <t>119</t>
        </is>
      </c>
      <c r="I883" s="43" t="inlineStr">
        <is>
          <t>11</t>
        </is>
      </c>
      <c r="J883" s="222" t="n">
        <v>1235</v>
      </c>
      <c r="K883" s="222" t="n">
        <v>1170</v>
      </c>
      <c r="L883" s="43" t="inlineStr">
        <is>
          <t>在来・204</t>
        </is>
      </c>
      <c r="M883" s="178" t="b">
        <v>0</v>
      </c>
      <c r="N883" s="43" t="inlineStr">
        <is>
          <t>v0.5履歴：詳細構成へ置換</t>
        </is>
      </c>
      <c r="O883" s="222" t="n">
        <v>120</v>
      </c>
      <c r="P883" s="222" t="n">
        <v>118</v>
      </c>
      <c r="Q883" s="43" t="inlineStr">
        <is>
          <t>202604_LIXIL_サーモスＬ_業務用資料集_完成品価格表.pdf</t>
        </is>
      </c>
      <c r="R883" s="43" t="inlineStr">
        <is>
          <t>旧汎用オペレーター行。v0.5でT/TF/TFT・FIX押縁別の詳細行へ置換。</t>
        </is>
      </c>
      <c r="S883" s="42" t="inlineStr">
        <is>
          <t>無印</t>
        </is>
      </c>
      <c r="T883" s="42" t="n">
        <v>118</v>
      </c>
      <c r="U883" s="42" t="inlineStr">
        <is>
          <t>P118|無印</t>
        </is>
      </c>
      <c r="V883" s="42" t="inlineStr">
        <is>
          <t>同頁凡例へ直接連動</t>
        </is>
      </c>
    </row>
    <row r="884">
      <c r="A884" s="43" t="inlineStr">
        <is>
          <t>SZ-SL-000881</t>
        </is>
      </c>
      <c r="B884" s="43" t="inlineStr">
        <is>
          <t>SER-LIX-SAMOSL</t>
        </is>
      </c>
      <c r="C884" s="43" t="inlineStr">
        <is>
          <t>WT-SL-TATE-SUBERI</t>
        </is>
      </c>
      <c r="D884" s="43" t="inlineStr">
        <is>
          <t>縦すべり出し窓（オペレーター）</t>
        </is>
      </c>
      <c r="E884" s="43" t="inlineStr">
        <is>
          <t>SP-SL-TATE-OP</t>
        </is>
      </c>
      <c r="F884" s="43" t="inlineStr">
        <is>
          <t>在来・204</t>
        </is>
      </c>
      <c r="G884" s="43" t="inlineStr">
        <is>
          <t>11913</t>
        </is>
      </c>
      <c r="H884" s="43" t="inlineStr">
        <is>
          <t>119</t>
        </is>
      </c>
      <c r="I884" s="43" t="inlineStr">
        <is>
          <t>13</t>
        </is>
      </c>
      <c r="J884" s="222" t="n">
        <v>1235</v>
      </c>
      <c r="K884" s="222" t="n">
        <v>1370</v>
      </c>
      <c r="L884" s="43" t="inlineStr">
        <is>
          <t>在来・204</t>
        </is>
      </c>
      <c r="M884" s="178" t="b">
        <v>0</v>
      </c>
      <c r="N884" s="43" t="inlineStr">
        <is>
          <t>v0.5履歴：詳細構成へ置換</t>
        </is>
      </c>
      <c r="O884" s="222" t="n">
        <v>120</v>
      </c>
      <c r="P884" s="222" t="n">
        <v>118</v>
      </c>
      <c r="Q884" s="43" t="inlineStr">
        <is>
          <t>202604_LIXIL_サーモスＬ_業務用資料集_完成品価格表.pdf</t>
        </is>
      </c>
      <c r="R884" s="43" t="inlineStr">
        <is>
          <t>旧汎用オペレーター行。v0.5でT/TF/TFT・FIX押縁別の詳細行へ置換。</t>
        </is>
      </c>
      <c r="S884" s="42" t="inlineStr">
        <is>
          <t>★</t>
        </is>
      </c>
      <c r="T884" s="42" t="n">
        <v>118</v>
      </c>
      <c r="U884" s="42" t="inlineStr">
        <is>
          <t>P118|★</t>
        </is>
      </c>
      <c r="V884" s="42" t="inlineStr">
        <is>
          <t>同頁凡例へ直接連動</t>
        </is>
      </c>
    </row>
    <row r="885">
      <c r="A885" s="43" t="inlineStr">
        <is>
          <t>SZ-SL-000882</t>
        </is>
      </c>
      <c r="B885" s="43" t="inlineStr">
        <is>
          <t>SER-LIX-SAMOSL</t>
        </is>
      </c>
      <c r="C885" s="43" t="inlineStr">
        <is>
          <t>WT-SL-TATE-SUBERI</t>
        </is>
      </c>
      <c r="D885" s="43" t="inlineStr">
        <is>
          <t>縦すべり出し窓（オペレーター）</t>
        </is>
      </c>
      <c r="E885" s="43" t="inlineStr">
        <is>
          <t>SP-SL-TATE-OP</t>
        </is>
      </c>
      <c r="F885" s="43" t="inlineStr">
        <is>
          <t>在来・204</t>
        </is>
      </c>
      <c r="G885" s="43" t="inlineStr">
        <is>
          <t>16009</t>
        </is>
      </c>
      <c r="H885" s="43" t="inlineStr">
        <is>
          <t>160</t>
        </is>
      </c>
      <c r="I885" s="43" t="inlineStr">
        <is>
          <t>09</t>
        </is>
      </c>
      <c r="J885" s="222" t="n">
        <v>1640</v>
      </c>
      <c r="K885" s="222" t="n">
        <v>970</v>
      </c>
      <c r="L885" s="43" t="inlineStr">
        <is>
          <t>在来・204</t>
        </is>
      </c>
      <c r="M885" s="178" t="b">
        <v>0</v>
      </c>
      <c r="N885" s="43" t="inlineStr">
        <is>
          <t>v0.5履歴：詳細構成へ置換</t>
        </is>
      </c>
      <c r="O885" s="222" t="n">
        <v>120</v>
      </c>
      <c r="P885" s="222" t="n">
        <v>118</v>
      </c>
      <c r="Q885" s="43" t="inlineStr">
        <is>
          <t>202604_LIXIL_サーモスＬ_業務用資料集_完成品価格表.pdf</t>
        </is>
      </c>
      <c r="R885" s="43" t="inlineStr">
        <is>
          <t>旧汎用オペレーター行。v0.5でT/TF/TFT・FIX押縁別の詳細行へ置換。</t>
        </is>
      </c>
      <c r="S885" s="42" t="inlineStr">
        <is>
          <t>無印</t>
        </is>
      </c>
      <c r="T885" s="42" t="n">
        <v>118</v>
      </c>
      <c r="U885" s="42" t="inlineStr">
        <is>
          <t>P118|無印</t>
        </is>
      </c>
      <c r="V885" s="42" t="inlineStr">
        <is>
          <t>同頁凡例へ直接連動</t>
        </is>
      </c>
    </row>
    <row r="886">
      <c r="A886" s="43" t="inlineStr">
        <is>
          <t>SZ-SL-000883</t>
        </is>
      </c>
      <c r="B886" s="43" t="inlineStr">
        <is>
          <t>SER-LIX-SAMOSL</t>
        </is>
      </c>
      <c r="C886" s="43" t="inlineStr">
        <is>
          <t>WT-SL-TATE-SUBERI</t>
        </is>
      </c>
      <c r="D886" s="43" t="inlineStr">
        <is>
          <t>縦すべり出し窓（オペレーター）</t>
        </is>
      </c>
      <c r="E886" s="43" t="inlineStr">
        <is>
          <t>SP-SL-TATE-OP</t>
        </is>
      </c>
      <c r="F886" s="43" t="inlineStr">
        <is>
          <t>在来・204</t>
        </is>
      </c>
      <c r="G886" s="43" t="inlineStr">
        <is>
          <t>16011</t>
        </is>
      </c>
      <c r="H886" s="43" t="inlineStr">
        <is>
          <t>160</t>
        </is>
      </c>
      <c r="I886" s="43" t="inlineStr">
        <is>
          <t>11</t>
        </is>
      </c>
      <c r="J886" s="222" t="n">
        <v>1640</v>
      </c>
      <c r="K886" s="222" t="n">
        <v>1170</v>
      </c>
      <c r="L886" s="43" t="inlineStr">
        <is>
          <t>在来・204</t>
        </is>
      </c>
      <c r="M886" s="178" t="b">
        <v>0</v>
      </c>
      <c r="N886" s="43" t="inlineStr">
        <is>
          <t>v0.5履歴：詳細構成へ置換</t>
        </is>
      </c>
      <c r="O886" s="222" t="n">
        <v>120</v>
      </c>
      <c r="P886" s="222" t="n">
        <v>118</v>
      </c>
      <c r="Q886" s="43" t="inlineStr">
        <is>
          <t>202604_LIXIL_サーモスＬ_業務用資料集_完成品価格表.pdf</t>
        </is>
      </c>
      <c r="R886" s="43" t="inlineStr">
        <is>
          <t>旧汎用オペレーター行。v0.5でT/TF/TFT・FIX押縁別の詳細行へ置換。</t>
        </is>
      </c>
      <c r="S886" s="42" t="inlineStr">
        <is>
          <t>★</t>
        </is>
      </c>
      <c r="T886" s="42" t="n">
        <v>118</v>
      </c>
      <c r="U886" s="42" t="inlineStr">
        <is>
          <t>P118|★</t>
        </is>
      </c>
      <c r="V886" s="42" t="inlineStr">
        <is>
          <t>同頁凡例へ直接連動</t>
        </is>
      </c>
    </row>
    <row r="887">
      <c r="A887" s="43" t="inlineStr">
        <is>
          <t>SZ-SL-000884</t>
        </is>
      </c>
      <c r="B887" s="43" t="inlineStr">
        <is>
          <t>SER-LIX-SAMOSL</t>
        </is>
      </c>
      <c r="C887" s="43" t="inlineStr">
        <is>
          <t>WT-SL-TATE-SUBERI</t>
        </is>
      </c>
      <c r="D887" s="43" t="inlineStr">
        <is>
          <t>縦すべり出し窓（オペレーター）</t>
        </is>
      </c>
      <c r="E887" s="43" t="inlineStr">
        <is>
          <t>SP-SL-TATE-OP</t>
        </is>
      </c>
      <c r="F887" s="43" t="inlineStr">
        <is>
          <t>在来・204</t>
        </is>
      </c>
      <c r="G887" s="43" t="inlineStr">
        <is>
          <t>16013</t>
        </is>
      </c>
      <c r="H887" s="43" t="inlineStr">
        <is>
          <t>160</t>
        </is>
      </c>
      <c r="I887" s="43" t="inlineStr">
        <is>
          <t>13</t>
        </is>
      </c>
      <c r="J887" s="222" t="n">
        <v>1640</v>
      </c>
      <c r="K887" s="222" t="n">
        <v>1370</v>
      </c>
      <c r="L887" s="43" t="inlineStr">
        <is>
          <t>在来・204</t>
        </is>
      </c>
      <c r="M887" s="178" t="b">
        <v>0</v>
      </c>
      <c r="N887" s="43" t="inlineStr">
        <is>
          <t>v0.5履歴：詳細構成へ置換</t>
        </is>
      </c>
      <c r="O887" s="222" t="n">
        <v>120</v>
      </c>
      <c r="P887" s="222" t="n">
        <v>118</v>
      </c>
      <c r="Q887" s="43" t="inlineStr">
        <is>
          <t>202604_LIXIL_サーモスＬ_業務用資料集_完成品価格表.pdf</t>
        </is>
      </c>
      <c r="R887" s="43" t="inlineStr">
        <is>
          <t>旧汎用オペレーター行。v0.5でT/TF/TFT・FIX押縁別の詳細行へ置換。</t>
        </is>
      </c>
      <c r="S887" s="42" t="inlineStr">
        <is>
          <t>★</t>
        </is>
      </c>
      <c r="T887" s="42" t="n">
        <v>118</v>
      </c>
      <c r="U887" s="42" t="inlineStr">
        <is>
          <t>P118|★</t>
        </is>
      </c>
      <c r="V887" s="42" t="inlineStr">
        <is>
          <t>同頁凡例へ直接連動</t>
        </is>
      </c>
    </row>
    <row r="888">
      <c r="A888" s="43" t="inlineStr">
        <is>
          <t>SZ-SL-000885</t>
        </is>
      </c>
      <c r="B888" s="43" t="inlineStr">
        <is>
          <t>SER-LIX-SAMOSL</t>
        </is>
      </c>
      <c r="C888" s="43" t="inlineStr">
        <is>
          <t>WT-SL-TATE-SUBERI</t>
        </is>
      </c>
      <c r="D888" s="43" t="inlineStr">
        <is>
          <t>縦すべり出し窓（オペレーター）</t>
        </is>
      </c>
      <c r="E888" s="43" t="inlineStr">
        <is>
          <t>SP-SL-TATE-OP</t>
        </is>
      </c>
      <c r="F888" s="43" t="inlineStr">
        <is>
          <t>在来・204</t>
        </is>
      </c>
      <c r="G888" s="43" t="inlineStr">
        <is>
          <t>16509</t>
        </is>
      </c>
      <c r="H888" s="43" t="inlineStr">
        <is>
          <t>165</t>
        </is>
      </c>
      <c r="I888" s="43" t="inlineStr">
        <is>
          <t>09</t>
        </is>
      </c>
      <c r="J888" s="222" t="n">
        <v>1690</v>
      </c>
      <c r="K888" s="222" t="n">
        <v>970</v>
      </c>
      <c r="L888" s="43" t="inlineStr">
        <is>
          <t>在来・204</t>
        </is>
      </c>
      <c r="M888" s="178" t="b">
        <v>0</v>
      </c>
      <c r="N888" s="43" t="inlineStr">
        <is>
          <t>v0.5履歴：詳細構成へ置換</t>
        </is>
      </c>
      <c r="O888" s="222" t="n">
        <v>120</v>
      </c>
      <c r="P888" s="222" t="n">
        <v>118</v>
      </c>
      <c r="Q888" s="43" t="inlineStr">
        <is>
          <t>202604_LIXIL_サーモスＬ_業務用資料集_完成品価格表.pdf</t>
        </is>
      </c>
      <c r="R888" s="43" t="inlineStr">
        <is>
          <t>旧汎用オペレーター行。v0.5でT/TF/TFT・FIX押縁別の詳細行へ置換。</t>
        </is>
      </c>
      <c r="S888" s="42" t="inlineStr">
        <is>
          <t>無印</t>
        </is>
      </c>
      <c r="T888" s="42" t="n">
        <v>118</v>
      </c>
      <c r="U888" s="42" t="inlineStr">
        <is>
          <t>P118|無印</t>
        </is>
      </c>
      <c r="V888" s="42" t="inlineStr">
        <is>
          <t>同頁凡例へ直接連動</t>
        </is>
      </c>
    </row>
    <row r="889">
      <c r="A889" s="43" t="inlineStr">
        <is>
          <t>SZ-SL-000886</t>
        </is>
      </c>
      <c r="B889" s="43" t="inlineStr">
        <is>
          <t>SER-LIX-SAMOSL</t>
        </is>
      </c>
      <c r="C889" s="43" t="inlineStr">
        <is>
          <t>WT-SL-TATE-SUBERI</t>
        </is>
      </c>
      <c r="D889" s="43" t="inlineStr">
        <is>
          <t>縦すべり出し窓（オペレーター）</t>
        </is>
      </c>
      <c r="E889" s="43" t="inlineStr">
        <is>
          <t>SP-SL-TATE-OP</t>
        </is>
      </c>
      <c r="F889" s="43" t="inlineStr">
        <is>
          <t>在来・204</t>
        </is>
      </c>
      <c r="G889" s="43" t="inlineStr">
        <is>
          <t>16511</t>
        </is>
      </c>
      <c r="H889" s="43" t="inlineStr">
        <is>
          <t>165</t>
        </is>
      </c>
      <c r="I889" s="43" t="inlineStr">
        <is>
          <t>11</t>
        </is>
      </c>
      <c r="J889" s="222" t="n">
        <v>1690</v>
      </c>
      <c r="K889" s="222" t="n">
        <v>1170</v>
      </c>
      <c r="L889" s="43" t="inlineStr">
        <is>
          <t>在来・204</t>
        </is>
      </c>
      <c r="M889" s="178" t="b">
        <v>0</v>
      </c>
      <c r="N889" s="43" t="inlineStr">
        <is>
          <t>v0.5履歴：詳細構成へ置換</t>
        </is>
      </c>
      <c r="O889" s="222" t="n">
        <v>120</v>
      </c>
      <c r="P889" s="222" t="n">
        <v>118</v>
      </c>
      <c r="Q889" s="43" t="inlineStr">
        <is>
          <t>202604_LIXIL_サーモスＬ_業務用資料集_完成品価格表.pdf</t>
        </is>
      </c>
      <c r="R889" s="43" t="inlineStr">
        <is>
          <t>旧汎用オペレーター行。v0.5でT/TF/TFT・FIX押縁別の詳細行へ置換。</t>
        </is>
      </c>
      <c r="S889" s="42" t="inlineStr">
        <is>
          <t>★</t>
        </is>
      </c>
      <c r="T889" s="42" t="n">
        <v>118</v>
      </c>
      <c r="U889" s="42" t="inlineStr">
        <is>
          <t>P118|★</t>
        </is>
      </c>
      <c r="V889" s="42" t="inlineStr">
        <is>
          <t>同頁凡例へ直接連動</t>
        </is>
      </c>
    </row>
    <row r="890">
      <c r="A890" s="43" t="inlineStr">
        <is>
          <t>SZ-SL-000887</t>
        </is>
      </c>
      <c r="B890" s="43" t="inlineStr">
        <is>
          <t>SER-LIX-SAMOSL</t>
        </is>
      </c>
      <c r="C890" s="43" t="inlineStr">
        <is>
          <t>WT-SL-TATE-SUBERI</t>
        </is>
      </c>
      <c r="D890" s="43" t="inlineStr">
        <is>
          <t>縦すべり出し窓（オペレーター）</t>
        </is>
      </c>
      <c r="E890" s="43" t="inlineStr">
        <is>
          <t>SP-SL-TATE-OP</t>
        </is>
      </c>
      <c r="F890" s="43" t="inlineStr">
        <is>
          <t>在来・204</t>
        </is>
      </c>
      <c r="G890" s="43" t="inlineStr">
        <is>
          <t>16513</t>
        </is>
      </c>
      <c r="H890" s="43" t="inlineStr">
        <is>
          <t>165</t>
        </is>
      </c>
      <c r="I890" s="43" t="inlineStr">
        <is>
          <t>13</t>
        </is>
      </c>
      <c r="J890" s="222" t="n">
        <v>1690</v>
      </c>
      <c r="K890" s="222" t="n">
        <v>1370</v>
      </c>
      <c r="L890" s="43" t="inlineStr">
        <is>
          <t>在来・204</t>
        </is>
      </c>
      <c r="M890" s="178" t="b">
        <v>0</v>
      </c>
      <c r="N890" s="43" t="inlineStr">
        <is>
          <t>v0.5履歴：詳細構成へ置換</t>
        </is>
      </c>
      <c r="O890" s="222" t="n">
        <v>120</v>
      </c>
      <c r="P890" s="222" t="n">
        <v>118</v>
      </c>
      <c r="Q890" s="43" t="inlineStr">
        <is>
          <t>202604_LIXIL_サーモスＬ_業務用資料集_完成品価格表.pdf</t>
        </is>
      </c>
      <c r="R890" s="43" t="inlineStr">
        <is>
          <t>旧汎用オペレーター行。v0.5でT/TF/TFT・FIX押縁別の詳細行へ置換。</t>
        </is>
      </c>
      <c r="S890" s="42" t="inlineStr">
        <is>
          <t>☆</t>
        </is>
      </c>
      <c r="T890" s="42" t="n">
        <v>118</v>
      </c>
      <c r="U890" s="42" t="inlineStr">
        <is>
          <t>P118|☆</t>
        </is>
      </c>
      <c r="V890" s="42" t="inlineStr">
        <is>
          <t>同頁凡例へ直接連動</t>
        </is>
      </c>
    </row>
    <row r="891">
      <c r="A891" s="43" t="inlineStr">
        <is>
          <t>SZ-SL-000888</t>
        </is>
      </c>
      <c r="B891" s="43" t="inlineStr">
        <is>
          <t>SER-LIX-SAMOSL</t>
        </is>
      </c>
      <c r="C891" s="43" t="inlineStr">
        <is>
          <t>WT-SL-YOKO-SUBERI</t>
        </is>
      </c>
      <c r="D891" s="43" t="inlineStr">
        <is>
          <t>横すべり出し窓（オペレーター）</t>
        </is>
      </c>
      <c r="E891" s="43" t="inlineStr">
        <is>
          <t>SP-SL-YOKO-OP</t>
        </is>
      </c>
      <c r="F891" s="43" t="inlineStr">
        <is>
          <t>在来・204</t>
        </is>
      </c>
      <c r="G891" s="43" t="inlineStr">
        <is>
          <t>026023</t>
        </is>
      </c>
      <c r="H891" s="43" t="inlineStr">
        <is>
          <t>026</t>
        </is>
      </c>
      <c r="I891" s="43" t="inlineStr">
        <is>
          <t>023</t>
        </is>
      </c>
      <c r="J891" s="222" t="n">
        <v>300</v>
      </c>
      <c r="K891" s="222" t="n">
        <v>300</v>
      </c>
      <c r="L891" s="43" t="inlineStr">
        <is>
          <t>在来・204</t>
        </is>
      </c>
      <c r="M891" s="178" t="b">
        <v>1</v>
      </c>
      <c r="N891" s="43" t="inlineStr">
        <is>
          <t>カタログ規格確認済み</t>
        </is>
      </c>
      <c r="O891" s="222" t="n">
        <v>132</v>
      </c>
      <c r="P891" s="222" t="n">
        <v>130</v>
      </c>
      <c r="Q891" s="43" t="inlineStr">
        <is>
          <t>202604_LIXIL_サーモスＬ_業務用資料集_完成品価格表.pdf</t>
        </is>
      </c>
      <c r="R891" s="43" t="n"/>
      <c r="S891" s="42" t="inlineStr">
        <is>
          <t>無印</t>
        </is>
      </c>
      <c r="T891" s="42" t="n">
        <v>131</v>
      </c>
      <c r="U891" s="42" t="inlineStr">
        <is>
          <t>P131|無印</t>
        </is>
      </c>
      <c r="V891" s="42" t="inlineStr">
        <is>
          <t>同一価格表・次頁凡例を継承</t>
        </is>
      </c>
    </row>
    <row r="892">
      <c r="A892" s="43" t="inlineStr">
        <is>
          <t>SZ-SL-000889</t>
        </is>
      </c>
      <c r="B892" s="43" t="inlineStr">
        <is>
          <t>SER-LIX-SAMOSL</t>
        </is>
      </c>
      <c r="C892" s="43" t="inlineStr">
        <is>
          <t>WT-SL-YOKO-SUBERI</t>
        </is>
      </c>
      <c r="D892" s="43" t="inlineStr">
        <is>
          <t>横すべり出し窓（オペレーター）</t>
        </is>
      </c>
      <c r="E892" s="43" t="inlineStr">
        <is>
          <t>SP-SL-YOKO-OP</t>
        </is>
      </c>
      <c r="F892" s="43" t="inlineStr">
        <is>
          <t>在来・204</t>
        </is>
      </c>
      <c r="G892" s="43" t="inlineStr">
        <is>
          <t>031028</t>
        </is>
      </c>
      <c r="H892" s="43" t="inlineStr">
        <is>
          <t>031</t>
        </is>
      </c>
      <c r="I892" s="43" t="inlineStr">
        <is>
          <t>028</t>
        </is>
      </c>
      <c r="J892" s="222" t="n">
        <v>350</v>
      </c>
      <c r="K892" s="222" t="n">
        <v>350</v>
      </c>
      <c r="L892" s="43" t="inlineStr">
        <is>
          <t>在来・204</t>
        </is>
      </c>
      <c r="M892" s="178" t="b">
        <v>1</v>
      </c>
      <c r="N892" s="43" t="inlineStr">
        <is>
          <t>カタログ規格確認済み</t>
        </is>
      </c>
      <c r="O892" s="222" t="n">
        <v>132</v>
      </c>
      <c r="P892" s="222" t="n">
        <v>130</v>
      </c>
      <c r="Q892" s="43" t="inlineStr">
        <is>
          <t>202604_LIXIL_サーモスＬ_業務用資料集_完成品価格表.pdf</t>
        </is>
      </c>
      <c r="R892" s="43" t="n"/>
      <c r="S892" s="42" t="inlineStr">
        <is>
          <t>無印</t>
        </is>
      </c>
      <c r="T892" s="42" t="n">
        <v>131</v>
      </c>
      <c r="U892" s="42" t="inlineStr">
        <is>
          <t>P131|無印</t>
        </is>
      </c>
      <c r="V892" s="42" t="inlineStr">
        <is>
          <t>同一価格表・次頁凡例を継承</t>
        </is>
      </c>
    </row>
    <row r="893">
      <c r="A893" s="43" t="inlineStr">
        <is>
          <t>SZ-SL-000890</t>
        </is>
      </c>
      <c r="B893" s="43" t="inlineStr">
        <is>
          <t>SER-LIX-SAMOSL</t>
        </is>
      </c>
      <c r="C893" s="43" t="inlineStr">
        <is>
          <t>WT-SL-YOKO-SUBERI</t>
        </is>
      </c>
      <c r="D893" s="43" t="inlineStr">
        <is>
          <t>横すべり出し窓（オペレーター）</t>
        </is>
      </c>
      <c r="E893" s="43" t="inlineStr">
        <is>
          <t>SP-SL-YOKO-OP</t>
        </is>
      </c>
      <c r="F893" s="43" t="inlineStr">
        <is>
          <t>在来・204</t>
        </is>
      </c>
      <c r="G893" s="43" t="inlineStr">
        <is>
          <t>03603</t>
        </is>
      </c>
      <c r="H893" s="43" t="inlineStr">
        <is>
          <t>036</t>
        </is>
      </c>
      <c r="I893" s="43" t="inlineStr">
        <is>
          <t>03</t>
        </is>
      </c>
      <c r="J893" s="222" t="n">
        <v>405</v>
      </c>
      <c r="K893" s="222" t="n">
        <v>370</v>
      </c>
      <c r="L893" s="43" t="inlineStr">
        <is>
          <t>在来・204</t>
        </is>
      </c>
      <c r="M893" s="178" t="b">
        <v>1</v>
      </c>
      <c r="N893" s="43" t="inlineStr">
        <is>
          <t>カタログ規格確認済み</t>
        </is>
      </c>
      <c r="O893" s="222" t="n">
        <v>132</v>
      </c>
      <c r="P893" s="222" t="n">
        <v>130</v>
      </c>
      <c r="Q893" s="43" t="inlineStr">
        <is>
          <t>202604_LIXIL_サーモスＬ_業務用資料集_完成品価格表.pdf</t>
        </is>
      </c>
      <c r="R893" s="43" t="n"/>
      <c r="S893" s="42" t="inlineStr">
        <is>
          <t>無印</t>
        </is>
      </c>
      <c r="T893" s="42" t="n">
        <v>131</v>
      </c>
      <c r="U893" s="42" t="inlineStr">
        <is>
          <t>P131|無印</t>
        </is>
      </c>
      <c r="V893" s="42" t="inlineStr">
        <is>
          <t>同一価格表・次頁凡例を継承</t>
        </is>
      </c>
    </row>
    <row r="894">
      <c r="A894" s="43" t="inlineStr">
        <is>
          <t>SZ-SL-000891</t>
        </is>
      </c>
      <c r="B894" s="43" t="inlineStr">
        <is>
          <t>SER-LIX-SAMOSL</t>
        </is>
      </c>
      <c r="C894" s="43" t="inlineStr">
        <is>
          <t>WT-SL-YOKO-SUBERI</t>
        </is>
      </c>
      <c r="D894" s="43" t="inlineStr">
        <is>
          <t>横すべり出し窓（オペレーター）</t>
        </is>
      </c>
      <c r="E894" s="43" t="inlineStr">
        <is>
          <t>SP-SL-YOKO-OP</t>
        </is>
      </c>
      <c r="F894" s="43" t="inlineStr">
        <is>
          <t>在来・204</t>
        </is>
      </c>
      <c r="G894" s="43" t="inlineStr">
        <is>
          <t>036033</t>
        </is>
      </c>
      <c r="H894" s="43" t="inlineStr">
        <is>
          <t>036</t>
        </is>
      </c>
      <c r="I894" s="43" t="inlineStr">
        <is>
          <t>033</t>
        </is>
      </c>
      <c r="J894" s="222" t="n">
        <v>405</v>
      </c>
      <c r="K894" s="222" t="n">
        <v>405</v>
      </c>
      <c r="L894" s="43" t="inlineStr">
        <is>
          <t>在来・204</t>
        </is>
      </c>
      <c r="M894" s="178" t="b">
        <v>1</v>
      </c>
      <c r="N894" s="43" t="inlineStr">
        <is>
          <t>カタログ規格確認済み</t>
        </is>
      </c>
      <c r="O894" s="222" t="n">
        <v>132</v>
      </c>
      <c r="P894" s="222" t="n">
        <v>130</v>
      </c>
      <c r="Q894" s="43" t="inlineStr">
        <is>
          <t>202604_LIXIL_サーモスＬ_業務用資料集_完成品価格表.pdf</t>
        </is>
      </c>
      <c r="R894" s="43" t="n"/>
      <c r="S894" s="42" t="inlineStr">
        <is>
          <t>無印</t>
        </is>
      </c>
      <c r="T894" s="42" t="n">
        <v>131</v>
      </c>
      <c r="U894" s="42" t="inlineStr">
        <is>
          <t>P131|無印</t>
        </is>
      </c>
      <c r="V894" s="42" t="inlineStr">
        <is>
          <t>同一価格表・次頁凡例を継承</t>
        </is>
      </c>
    </row>
    <row r="895">
      <c r="A895" s="43" t="inlineStr">
        <is>
          <t>SZ-SL-000892</t>
        </is>
      </c>
      <c r="B895" s="43" t="inlineStr">
        <is>
          <t>SER-LIX-SAMOSL</t>
        </is>
      </c>
      <c r="C895" s="43" t="inlineStr">
        <is>
          <t>WT-SL-YOKO-SUBERI</t>
        </is>
      </c>
      <c r="D895" s="43" t="inlineStr">
        <is>
          <t>横すべり出し窓（オペレーター）</t>
        </is>
      </c>
      <c r="E895" s="43" t="inlineStr">
        <is>
          <t>SP-SL-YOKO-OP</t>
        </is>
      </c>
      <c r="F895" s="43" t="inlineStr">
        <is>
          <t>在来・204</t>
        </is>
      </c>
      <c r="G895" s="43" t="inlineStr">
        <is>
          <t>03605</t>
        </is>
      </c>
      <c r="H895" s="43" t="inlineStr">
        <is>
          <t>036</t>
        </is>
      </c>
      <c r="I895" s="43" t="inlineStr">
        <is>
          <t>05</t>
        </is>
      </c>
      <c r="J895" s="222" t="n">
        <v>405</v>
      </c>
      <c r="K895" s="222" t="n">
        <v>570</v>
      </c>
      <c r="L895" s="43" t="inlineStr">
        <is>
          <t>在来・204</t>
        </is>
      </c>
      <c r="M895" s="178" t="b">
        <v>1</v>
      </c>
      <c r="N895" s="43" t="inlineStr">
        <is>
          <t>カタログ規格確認済み</t>
        </is>
      </c>
      <c r="O895" s="222" t="n">
        <v>132</v>
      </c>
      <c r="P895" s="222" t="n">
        <v>130</v>
      </c>
      <c r="Q895" s="43" t="inlineStr">
        <is>
          <t>202604_LIXIL_サーモスＬ_業務用資料集_完成品価格表.pdf</t>
        </is>
      </c>
      <c r="R895" s="43" t="n"/>
      <c r="S895" s="42" t="inlineStr">
        <is>
          <t>無印</t>
        </is>
      </c>
      <c r="T895" s="42" t="n">
        <v>131</v>
      </c>
      <c r="U895" s="42" t="inlineStr">
        <is>
          <t>P131|無印</t>
        </is>
      </c>
      <c r="V895" s="42" t="inlineStr">
        <is>
          <t>同一価格表・次頁凡例を継承</t>
        </is>
      </c>
    </row>
    <row r="896">
      <c r="A896" s="43" t="inlineStr">
        <is>
          <t>SZ-SL-000893</t>
        </is>
      </c>
      <c r="B896" s="43" t="inlineStr">
        <is>
          <t>SER-LIX-SAMOSL</t>
        </is>
      </c>
      <c r="C896" s="43" t="inlineStr">
        <is>
          <t>WT-SL-YOKO-SUBERI</t>
        </is>
      </c>
      <c r="D896" s="43" t="inlineStr">
        <is>
          <t>横すべり出し窓（オペレーター）</t>
        </is>
      </c>
      <c r="E896" s="43" t="inlineStr">
        <is>
          <t>SP-SL-YOKO-OP</t>
        </is>
      </c>
      <c r="F896" s="43" t="inlineStr">
        <is>
          <t>在来・204</t>
        </is>
      </c>
      <c r="G896" s="43" t="inlineStr">
        <is>
          <t>041038</t>
        </is>
      </c>
      <c r="H896" s="43" t="inlineStr">
        <is>
          <t>041</t>
        </is>
      </c>
      <c r="I896" s="43" t="inlineStr">
        <is>
          <t>038</t>
        </is>
      </c>
      <c r="J896" s="222" t="n">
        <v>450</v>
      </c>
      <c r="K896" s="222" t="n">
        <v>450</v>
      </c>
      <c r="L896" s="43" t="inlineStr">
        <is>
          <t>在来・204</t>
        </is>
      </c>
      <c r="M896" s="178" t="b">
        <v>1</v>
      </c>
      <c r="N896" s="43" t="inlineStr">
        <is>
          <t>カタログ規格確認済み</t>
        </is>
      </c>
      <c r="O896" s="222" t="n">
        <v>132</v>
      </c>
      <c r="P896" s="222" t="n">
        <v>130</v>
      </c>
      <c r="Q896" s="43" t="inlineStr">
        <is>
          <t>202604_LIXIL_サーモスＬ_業務用資料集_完成品価格表.pdf</t>
        </is>
      </c>
      <c r="R896" s="43" t="n"/>
      <c r="S896" s="42" t="inlineStr">
        <is>
          <t>無印</t>
        </is>
      </c>
      <c r="T896" s="42" t="n">
        <v>131</v>
      </c>
      <c r="U896" s="42" t="inlineStr">
        <is>
          <t>P131|無印</t>
        </is>
      </c>
      <c r="V896" s="42" t="inlineStr">
        <is>
          <t>同一価格表・次頁凡例を継承</t>
        </is>
      </c>
    </row>
    <row r="897">
      <c r="A897" s="43" t="inlineStr">
        <is>
          <t>SZ-SL-000894</t>
        </is>
      </c>
      <c r="B897" s="43" t="inlineStr">
        <is>
          <t>SER-LIX-SAMOSL</t>
        </is>
      </c>
      <c r="C897" s="43" t="inlineStr">
        <is>
          <t>WT-SL-YOKO-SUBERI</t>
        </is>
      </c>
      <c r="D897" s="43" t="inlineStr">
        <is>
          <t>横すべり出し窓（オペレーター）</t>
        </is>
      </c>
      <c r="E897" s="43" t="inlineStr">
        <is>
          <t>SP-SL-YOKO-OP</t>
        </is>
      </c>
      <c r="F897" s="43" t="inlineStr">
        <is>
          <t>在来・204</t>
        </is>
      </c>
      <c r="G897" s="43" t="inlineStr">
        <is>
          <t>06003</t>
        </is>
      </c>
      <c r="H897" s="43" t="inlineStr">
        <is>
          <t>060</t>
        </is>
      </c>
      <c r="I897" s="43" t="inlineStr">
        <is>
          <t>03</t>
        </is>
      </c>
      <c r="J897" s="222" t="n">
        <v>640</v>
      </c>
      <c r="K897" s="222" t="n">
        <v>370</v>
      </c>
      <c r="L897" s="43" t="inlineStr">
        <is>
          <t>在来・204</t>
        </is>
      </c>
      <c r="M897" s="178" t="b">
        <v>1</v>
      </c>
      <c r="N897" s="43" t="inlineStr">
        <is>
          <t>カタログ規格確認済み</t>
        </is>
      </c>
      <c r="O897" s="222" t="n">
        <v>133</v>
      </c>
      <c r="P897" s="222" t="n">
        <v>131</v>
      </c>
      <c r="Q897" s="43" t="inlineStr">
        <is>
          <t>202604_LIXIL_サーモスＬ_業務用資料集_完成品価格表.pdf</t>
        </is>
      </c>
      <c r="R897" s="43" t="n"/>
      <c r="S897" s="42" t="inlineStr">
        <is>
          <t>無印</t>
        </is>
      </c>
      <c r="T897" s="42" t="n">
        <v>131</v>
      </c>
      <c r="U897" s="42" t="inlineStr">
        <is>
          <t>P131|無印</t>
        </is>
      </c>
      <c r="V897" s="42" t="inlineStr">
        <is>
          <t>同頁凡例へ直接連動</t>
        </is>
      </c>
    </row>
    <row r="898">
      <c r="A898" s="43" t="inlineStr">
        <is>
          <t>SZ-SL-000895</t>
        </is>
      </c>
      <c r="B898" s="43" t="inlineStr">
        <is>
          <t>SER-LIX-SAMOSL</t>
        </is>
      </c>
      <c r="C898" s="43" t="inlineStr">
        <is>
          <t>WT-SL-YOKO-SUBERI</t>
        </is>
      </c>
      <c r="D898" s="43" t="inlineStr">
        <is>
          <t>横すべり出し窓（オペレーター）</t>
        </is>
      </c>
      <c r="E898" s="43" t="inlineStr">
        <is>
          <t>SP-SL-YOKO-OP</t>
        </is>
      </c>
      <c r="F898" s="43" t="inlineStr">
        <is>
          <t>在来・204</t>
        </is>
      </c>
      <c r="G898" s="43" t="inlineStr">
        <is>
          <t>06005</t>
        </is>
      </c>
      <c r="H898" s="43" t="inlineStr">
        <is>
          <t>060</t>
        </is>
      </c>
      <c r="I898" s="43" t="inlineStr">
        <is>
          <t>05</t>
        </is>
      </c>
      <c r="J898" s="222" t="n">
        <v>640</v>
      </c>
      <c r="K898" s="222" t="n">
        <v>570</v>
      </c>
      <c r="L898" s="43" t="inlineStr">
        <is>
          <t>在来・204</t>
        </is>
      </c>
      <c r="M898" s="178" t="b">
        <v>1</v>
      </c>
      <c r="N898" s="43" t="inlineStr">
        <is>
          <t>カタログ規格確認済み</t>
        </is>
      </c>
      <c r="O898" s="222" t="n">
        <v>133</v>
      </c>
      <c r="P898" s="222" t="n">
        <v>131</v>
      </c>
      <c r="Q898" s="43" t="inlineStr">
        <is>
          <t>202604_LIXIL_サーモスＬ_業務用資料集_完成品価格表.pdf</t>
        </is>
      </c>
      <c r="R898" s="43" t="n"/>
      <c r="S898" s="42" t="inlineStr">
        <is>
          <t>無印</t>
        </is>
      </c>
      <c r="T898" s="42" t="n">
        <v>131</v>
      </c>
      <c r="U898" s="42" t="inlineStr">
        <is>
          <t>P131|無印</t>
        </is>
      </c>
      <c r="V898" s="42" t="inlineStr">
        <is>
          <t>同頁凡例へ直接連動</t>
        </is>
      </c>
    </row>
    <row r="899">
      <c r="A899" s="43" t="inlineStr">
        <is>
          <t>SZ-SL-000896</t>
        </is>
      </c>
      <c r="B899" s="43" t="inlineStr">
        <is>
          <t>SER-LIX-SAMOSL</t>
        </is>
      </c>
      <c r="C899" s="43" t="inlineStr">
        <is>
          <t>WT-SL-YOKO-SUBERI</t>
        </is>
      </c>
      <c r="D899" s="43" t="inlineStr">
        <is>
          <t>横すべり出し窓（オペレーター）</t>
        </is>
      </c>
      <c r="E899" s="43" t="inlineStr">
        <is>
          <t>SP-SL-YOKO-OP</t>
        </is>
      </c>
      <c r="F899" s="43" t="inlineStr">
        <is>
          <t>在来・204</t>
        </is>
      </c>
      <c r="G899" s="43" t="inlineStr">
        <is>
          <t>06903</t>
        </is>
      </c>
      <c r="H899" s="43" t="inlineStr">
        <is>
          <t>069</t>
        </is>
      </c>
      <c r="I899" s="43" t="inlineStr">
        <is>
          <t>03</t>
        </is>
      </c>
      <c r="J899" s="222" t="n">
        <v>730</v>
      </c>
      <c r="K899" s="222" t="n">
        <v>370</v>
      </c>
      <c r="L899" s="43" t="inlineStr">
        <is>
          <t>在来・204</t>
        </is>
      </c>
      <c r="M899" s="178" t="b">
        <v>1</v>
      </c>
      <c r="N899" s="43" t="inlineStr">
        <is>
          <t>カタログ規格確認済み</t>
        </is>
      </c>
      <c r="O899" s="222" t="n">
        <v>133</v>
      </c>
      <c r="P899" s="222" t="n">
        <v>131</v>
      </c>
      <c r="Q899" s="43" t="inlineStr">
        <is>
          <t>202604_LIXIL_サーモスＬ_業務用資料集_完成品価格表.pdf</t>
        </is>
      </c>
      <c r="R899" s="43" t="n"/>
      <c r="S899" s="42" t="inlineStr">
        <is>
          <t>無印</t>
        </is>
      </c>
      <c r="T899" s="42" t="n">
        <v>131</v>
      </c>
      <c r="U899" s="42" t="inlineStr">
        <is>
          <t>P131|無印</t>
        </is>
      </c>
      <c r="V899" s="42" t="inlineStr">
        <is>
          <t>同頁凡例へ直接連動</t>
        </is>
      </c>
    </row>
    <row r="900">
      <c r="A900" s="43" t="inlineStr">
        <is>
          <t>SZ-SL-000897</t>
        </is>
      </c>
      <c r="B900" s="43" t="inlineStr">
        <is>
          <t>SER-LIX-SAMOSL</t>
        </is>
      </c>
      <c r="C900" s="43" t="inlineStr">
        <is>
          <t>WT-SL-YOKO-SUBERI</t>
        </is>
      </c>
      <c r="D900" s="43" t="inlineStr">
        <is>
          <t>横すべり出し窓（オペレーター）</t>
        </is>
      </c>
      <c r="E900" s="43" t="inlineStr">
        <is>
          <t>SP-SL-YOKO-OP</t>
        </is>
      </c>
      <c r="F900" s="43" t="inlineStr">
        <is>
          <t>在来・204</t>
        </is>
      </c>
      <c r="G900" s="43" t="inlineStr">
        <is>
          <t>06905</t>
        </is>
      </c>
      <c r="H900" s="43" t="inlineStr">
        <is>
          <t>069</t>
        </is>
      </c>
      <c r="I900" s="43" t="inlineStr">
        <is>
          <t>05</t>
        </is>
      </c>
      <c r="J900" s="222" t="n">
        <v>730</v>
      </c>
      <c r="K900" s="222" t="n">
        <v>570</v>
      </c>
      <c r="L900" s="43" t="inlineStr">
        <is>
          <t>在来・204</t>
        </is>
      </c>
      <c r="M900" s="178" t="b">
        <v>1</v>
      </c>
      <c r="N900" s="43" t="inlineStr">
        <is>
          <t>カタログ規格確認済み</t>
        </is>
      </c>
      <c r="O900" s="222" t="n">
        <v>133</v>
      </c>
      <c r="P900" s="222" t="n">
        <v>131</v>
      </c>
      <c r="Q900" s="43" t="inlineStr">
        <is>
          <t>202604_LIXIL_サーモスＬ_業務用資料集_完成品価格表.pdf</t>
        </is>
      </c>
      <c r="R900" s="43" t="n"/>
      <c r="S900" s="42" t="inlineStr">
        <is>
          <t>無印</t>
        </is>
      </c>
      <c r="T900" s="42" t="n">
        <v>131</v>
      </c>
      <c r="U900" s="42" t="inlineStr">
        <is>
          <t>P131|無印</t>
        </is>
      </c>
      <c r="V900" s="42" t="inlineStr">
        <is>
          <t>同頁凡例へ直接連動</t>
        </is>
      </c>
    </row>
    <row r="901">
      <c r="A901" s="43" t="inlineStr">
        <is>
          <t>SZ-SL-000898</t>
        </is>
      </c>
      <c r="B901" s="43" t="inlineStr">
        <is>
          <t>SER-LIX-SAMOSL</t>
        </is>
      </c>
      <c r="C901" s="43" t="inlineStr">
        <is>
          <t>WT-SL-YOKO-SUBERI</t>
        </is>
      </c>
      <c r="D901" s="43" t="inlineStr">
        <is>
          <t>横すべり出し窓（オペレーター）</t>
        </is>
      </c>
      <c r="E901" s="43" t="inlineStr">
        <is>
          <t>SP-SL-YOKO-OP</t>
        </is>
      </c>
      <c r="F901" s="43" t="inlineStr">
        <is>
          <t>在来・204</t>
        </is>
      </c>
      <c r="G901" s="43" t="inlineStr">
        <is>
          <t>07403</t>
        </is>
      </c>
      <c r="H901" s="43" t="inlineStr">
        <is>
          <t>074</t>
        </is>
      </c>
      <c r="I901" s="43" t="inlineStr">
        <is>
          <t>03</t>
        </is>
      </c>
      <c r="J901" s="222" t="n">
        <v>780</v>
      </c>
      <c r="K901" s="222" t="n">
        <v>370</v>
      </c>
      <c r="L901" s="43" t="inlineStr">
        <is>
          <t>在来・204</t>
        </is>
      </c>
      <c r="M901" s="178" t="b">
        <v>1</v>
      </c>
      <c r="N901" s="43" t="inlineStr">
        <is>
          <t>カタログ規格確認済み</t>
        </is>
      </c>
      <c r="O901" s="222" t="n">
        <v>133</v>
      </c>
      <c r="P901" s="222" t="n">
        <v>131</v>
      </c>
      <c r="Q901" s="43" t="inlineStr">
        <is>
          <t>202604_LIXIL_サーモスＬ_業務用資料集_完成品価格表.pdf</t>
        </is>
      </c>
      <c r="R901" s="43" t="n"/>
      <c r="S901" s="42" t="inlineStr">
        <is>
          <t>無印</t>
        </is>
      </c>
      <c r="T901" s="42" t="n">
        <v>131</v>
      </c>
      <c r="U901" s="42" t="inlineStr">
        <is>
          <t>P131|無印</t>
        </is>
      </c>
      <c r="V901" s="42" t="inlineStr">
        <is>
          <t>同頁凡例へ直接連動</t>
        </is>
      </c>
    </row>
    <row r="902">
      <c r="A902" s="43" t="inlineStr">
        <is>
          <t>SZ-SL-000899</t>
        </is>
      </c>
      <c r="B902" s="43" t="inlineStr">
        <is>
          <t>SER-LIX-SAMOSL</t>
        </is>
      </c>
      <c r="C902" s="43" t="inlineStr">
        <is>
          <t>WT-SL-YOKO-SUBERI</t>
        </is>
      </c>
      <c r="D902" s="43" t="inlineStr">
        <is>
          <t>横すべり出し窓（オペレーター）</t>
        </is>
      </c>
      <c r="E902" s="43" t="inlineStr">
        <is>
          <t>SP-SL-YOKO-OP</t>
        </is>
      </c>
      <c r="F902" s="43" t="inlineStr">
        <is>
          <t>在来・204</t>
        </is>
      </c>
      <c r="G902" s="43" t="inlineStr">
        <is>
          <t>07405</t>
        </is>
      </c>
      <c r="H902" s="43" t="inlineStr">
        <is>
          <t>074</t>
        </is>
      </c>
      <c r="I902" s="43" t="inlineStr">
        <is>
          <t>05</t>
        </is>
      </c>
      <c r="J902" s="222" t="n">
        <v>780</v>
      </c>
      <c r="K902" s="222" t="n">
        <v>570</v>
      </c>
      <c r="L902" s="43" t="inlineStr">
        <is>
          <t>在来・204</t>
        </is>
      </c>
      <c r="M902" s="178" t="b">
        <v>1</v>
      </c>
      <c r="N902" s="43" t="inlineStr">
        <is>
          <t>カタログ規格確認済み</t>
        </is>
      </c>
      <c r="O902" s="222" t="n">
        <v>133</v>
      </c>
      <c r="P902" s="222" t="n">
        <v>131</v>
      </c>
      <c r="Q902" s="43" t="inlineStr">
        <is>
          <t>202604_LIXIL_サーモスＬ_業務用資料集_完成品価格表.pdf</t>
        </is>
      </c>
      <c r="R902" s="43" t="n"/>
      <c r="S902" s="42" t="inlineStr">
        <is>
          <t>無印</t>
        </is>
      </c>
      <c r="T902" s="42" t="n">
        <v>131</v>
      </c>
      <c r="U902" s="42" t="inlineStr">
        <is>
          <t>P131|無印</t>
        </is>
      </c>
      <c r="V902" s="42" t="inlineStr">
        <is>
          <t>同頁凡例へ直接連動</t>
        </is>
      </c>
    </row>
    <row r="903">
      <c r="A903" s="43" t="inlineStr">
        <is>
          <t>SZ-SL-000900</t>
        </is>
      </c>
      <c r="B903" s="43" t="inlineStr">
        <is>
          <t>SER-LIX-SAMOSL</t>
        </is>
      </c>
      <c r="C903" s="43" t="inlineStr">
        <is>
          <t>WT-SL-YOKO-SUBERI</t>
        </is>
      </c>
      <c r="D903" s="43" t="inlineStr">
        <is>
          <t>横すべり出し窓（オペレーター）</t>
        </is>
      </c>
      <c r="E903" s="43" t="inlineStr">
        <is>
          <t>SP-SL-YOKO-OP</t>
        </is>
      </c>
      <c r="F903" s="43" t="inlineStr">
        <is>
          <t>在来・204</t>
        </is>
      </c>
      <c r="G903" s="43" t="inlineStr">
        <is>
          <t>03607</t>
        </is>
      </c>
      <c r="H903" s="43" t="inlineStr">
        <is>
          <t>036</t>
        </is>
      </c>
      <c r="I903" s="43" t="inlineStr">
        <is>
          <t>07</t>
        </is>
      </c>
      <c r="J903" s="222" t="n">
        <v>405</v>
      </c>
      <c r="K903" s="222" t="n">
        <v>770</v>
      </c>
      <c r="L903" s="43" t="inlineStr">
        <is>
          <t>在来・204</t>
        </is>
      </c>
      <c r="M903" s="178" t="b">
        <v>1</v>
      </c>
      <c r="N903" s="43" t="inlineStr">
        <is>
          <t>カタログ規格確認済み</t>
        </is>
      </c>
      <c r="O903" s="222" t="n">
        <v>134</v>
      </c>
      <c r="P903" s="222" t="n">
        <v>132</v>
      </c>
      <c r="Q903" s="43" t="inlineStr">
        <is>
          <t>202604_LIXIL_サーモスＬ_業務用資料集_完成品価格表.pdf</t>
        </is>
      </c>
      <c r="R903" s="43" t="n"/>
      <c r="S903" s="42" t="inlineStr">
        <is>
          <t>無印</t>
        </is>
      </c>
      <c r="T903" s="42" t="n">
        <v>132</v>
      </c>
      <c r="U903" s="42" t="inlineStr">
        <is>
          <t>P132|無印</t>
        </is>
      </c>
      <c r="V903" s="42" t="inlineStr">
        <is>
          <t>同頁凡例へ直接連動</t>
        </is>
      </c>
    </row>
    <row r="904">
      <c r="A904" s="43" t="inlineStr">
        <is>
          <t>SZ-SL-000901</t>
        </is>
      </c>
      <c r="B904" s="43" t="inlineStr">
        <is>
          <t>SER-LIX-SAMOSL</t>
        </is>
      </c>
      <c r="C904" s="43" t="inlineStr">
        <is>
          <t>WT-SL-YOKO-SUBERI</t>
        </is>
      </c>
      <c r="D904" s="43" t="inlineStr">
        <is>
          <t>横すべり出し窓（オペレーター）</t>
        </is>
      </c>
      <c r="E904" s="43" t="inlineStr">
        <is>
          <t>SP-SL-YOKO-OP</t>
        </is>
      </c>
      <c r="F904" s="43" t="inlineStr">
        <is>
          <t>在来・204</t>
        </is>
      </c>
      <c r="G904" s="43" t="inlineStr">
        <is>
          <t>060057</t>
        </is>
      </c>
      <c r="H904" s="43" t="inlineStr">
        <is>
          <t>060</t>
        </is>
      </c>
      <c r="I904" s="43" t="inlineStr">
        <is>
          <t>057</t>
        </is>
      </c>
      <c r="J904" s="222" t="n">
        <v>640</v>
      </c>
      <c r="K904" s="222" t="n">
        <v>640</v>
      </c>
      <c r="L904" s="43" t="inlineStr">
        <is>
          <t>在来・204</t>
        </is>
      </c>
      <c r="M904" s="178" t="b">
        <v>1</v>
      </c>
      <c r="N904" s="43" t="inlineStr">
        <is>
          <t>カタログ規格確認済み</t>
        </is>
      </c>
      <c r="O904" s="222" t="n">
        <v>135</v>
      </c>
      <c r="P904" s="222" t="n">
        <v>133</v>
      </c>
      <c r="Q904" s="43" t="inlineStr">
        <is>
          <t>202604_LIXIL_サーモスＬ_業務用資料集_完成品価格表.pdf</t>
        </is>
      </c>
      <c r="R904" s="43" t="n"/>
      <c r="S904" s="42" t="inlineStr">
        <is>
          <t>無印</t>
        </is>
      </c>
      <c r="T904" s="42" t="n">
        <v>132</v>
      </c>
      <c r="U904" s="42" t="inlineStr">
        <is>
          <t>P132|無印</t>
        </is>
      </c>
      <c r="V904" s="42" t="inlineStr">
        <is>
          <t>同一価格表・前頁凡例を継承</t>
        </is>
      </c>
    </row>
    <row r="905">
      <c r="A905" s="43" t="inlineStr">
        <is>
          <t>SZ-SL-000902</t>
        </is>
      </c>
      <c r="B905" s="43" t="inlineStr">
        <is>
          <t>SER-LIX-SAMOSL</t>
        </is>
      </c>
      <c r="C905" s="43" t="inlineStr">
        <is>
          <t>WT-SL-YOKO-SUBERI</t>
        </is>
      </c>
      <c r="D905" s="43" t="inlineStr">
        <is>
          <t>横すべり出し窓（オペレーター）</t>
        </is>
      </c>
      <c r="E905" s="43" t="inlineStr">
        <is>
          <t>SP-SL-YOKO-OP</t>
        </is>
      </c>
      <c r="F905" s="43" t="inlineStr">
        <is>
          <t>在来・204</t>
        </is>
      </c>
      <c r="G905" s="43" t="inlineStr">
        <is>
          <t>06007</t>
        </is>
      </c>
      <c r="H905" s="43" t="inlineStr">
        <is>
          <t>060</t>
        </is>
      </c>
      <c r="I905" s="43" t="inlineStr">
        <is>
          <t>07</t>
        </is>
      </c>
      <c r="J905" s="222" t="n">
        <v>640</v>
      </c>
      <c r="K905" s="222" t="n">
        <v>770</v>
      </c>
      <c r="L905" s="43" t="inlineStr">
        <is>
          <t>在来・204</t>
        </is>
      </c>
      <c r="M905" s="178" t="b">
        <v>1</v>
      </c>
      <c r="N905" s="43" t="inlineStr">
        <is>
          <t>カタログ規格確認済み</t>
        </is>
      </c>
      <c r="O905" s="222" t="n">
        <v>135</v>
      </c>
      <c r="P905" s="222" t="n">
        <v>133</v>
      </c>
      <c r="Q905" s="43" t="inlineStr">
        <is>
          <t>202604_LIXIL_サーモスＬ_業務用資料集_完成品価格表.pdf</t>
        </is>
      </c>
      <c r="R905" s="43" t="n"/>
      <c r="S905" s="42" t="inlineStr">
        <is>
          <t>無印</t>
        </is>
      </c>
      <c r="T905" s="42" t="n">
        <v>132</v>
      </c>
      <c r="U905" s="42" t="inlineStr">
        <is>
          <t>P132|無印</t>
        </is>
      </c>
      <c r="V905" s="42" t="inlineStr">
        <is>
          <t>同一価格表・前頁凡例を継承</t>
        </is>
      </c>
    </row>
    <row r="906">
      <c r="A906" s="43" t="inlineStr">
        <is>
          <t>SZ-SL-000903</t>
        </is>
      </c>
      <c r="B906" s="43" t="inlineStr">
        <is>
          <t>SER-LIX-SAMOSL</t>
        </is>
      </c>
      <c r="C906" s="43" t="inlineStr">
        <is>
          <t>WT-SL-YOKO-SUBERI</t>
        </is>
      </c>
      <c r="D906" s="43" t="inlineStr">
        <is>
          <t>横すべり出し窓（オペレーター）</t>
        </is>
      </c>
      <c r="E906" s="43" t="inlineStr">
        <is>
          <t>SP-SL-YOKO-OP</t>
        </is>
      </c>
      <c r="F906" s="43" t="inlineStr">
        <is>
          <t>在来・204</t>
        </is>
      </c>
      <c r="G906" s="43" t="inlineStr">
        <is>
          <t>06009</t>
        </is>
      </c>
      <c r="H906" s="43" t="inlineStr">
        <is>
          <t>060</t>
        </is>
      </c>
      <c r="I906" s="43" t="inlineStr">
        <is>
          <t>09</t>
        </is>
      </c>
      <c r="J906" s="222" t="n">
        <v>640</v>
      </c>
      <c r="K906" s="222" t="n">
        <v>970</v>
      </c>
      <c r="L906" s="43" t="inlineStr">
        <is>
          <t>在来・204</t>
        </is>
      </c>
      <c r="M906" s="178" t="b">
        <v>1</v>
      </c>
      <c r="N906" s="43" t="inlineStr">
        <is>
          <t>カタログ規格確認済み</t>
        </is>
      </c>
      <c r="O906" s="222" t="n">
        <v>135</v>
      </c>
      <c r="P906" s="222" t="n">
        <v>133</v>
      </c>
      <c r="Q906" s="43" t="inlineStr">
        <is>
          <t>202604_LIXIL_サーモスＬ_業務用資料集_完成品価格表.pdf</t>
        </is>
      </c>
      <c r="R906" s="43" t="n"/>
      <c r="S906" s="42" t="inlineStr">
        <is>
          <t>無印</t>
        </is>
      </c>
      <c r="T906" s="42" t="n">
        <v>132</v>
      </c>
      <c r="U906" s="42" t="inlineStr">
        <is>
          <t>P132|無印</t>
        </is>
      </c>
      <c r="V906" s="42" t="inlineStr">
        <is>
          <t>同一価格表・前頁凡例を継承</t>
        </is>
      </c>
    </row>
    <row r="907">
      <c r="A907" s="43" t="inlineStr">
        <is>
          <t>SZ-SL-000904</t>
        </is>
      </c>
      <c r="B907" s="43" t="inlineStr">
        <is>
          <t>SER-LIX-SAMOSL</t>
        </is>
      </c>
      <c r="C907" s="43" t="inlineStr">
        <is>
          <t>WT-SL-YOKO-SUBERI</t>
        </is>
      </c>
      <c r="D907" s="43" t="inlineStr">
        <is>
          <t>横すべり出し窓（オペレーター）</t>
        </is>
      </c>
      <c r="E907" s="43" t="inlineStr">
        <is>
          <t>SP-SL-YOKO-OP</t>
        </is>
      </c>
      <c r="F907" s="43" t="inlineStr">
        <is>
          <t>在来・204</t>
        </is>
      </c>
      <c r="G907" s="43" t="inlineStr">
        <is>
          <t>06907</t>
        </is>
      </c>
      <c r="H907" s="43" t="inlineStr">
        <is>
          <t>069</t>
        </is>
      </c>
      <c r="I907" s="43" t="inlineStr">
        <is>
          <t>07</t>
        </is>
      </c>
      <c r="J907" s="222" t="n">
        <v>730</v>
      </c>
      <c r="K907" s="222" t="n">
        <v>770</v>
      </c>
      <c r="L907" s="43" t="inlineStr">
        <is>
          <t>在来・204</t>
        </is>
      </c>
      <c r="M907" s="178" t="b">
        <v>1</v>
      </c>
      <c r="N907" s="43" t="inlineStr">
        <is>
          <t>カタログ規格確認済み</t>
        </is>
      </c>
      <c r="O907" s="222" t="n">
        <v>135</v>
      </c>
      <c r="P907" s="222" t="n">
        <v>133</v>
      </c>
      <c r="Q907" s="43" t="inlineStr">
        <is>
          <t>202604_LIXIL_サーモスＬ_業務用資料集_完成品価格表.pdf</t>
        </is>
      </c>
      <c r="R907" s="43" t="n"/>
      <c r="S907" s="42" t="inlineStr">
        <is>
          <t>無印</t>
        </is>
      </c>
      <c r="T907" s="42" t="n">
        <v>132</v>
      </c>
      <c r="U907" s="42" t="inlineStr">
        <is>
          <t>P132|無印</t>
        </is>
      </c>
      <c r="V907" s="42" t="inlineStr">
        <is>
          <t>同一価格表・前頁凡例を継承</t>
        </is>
      </c>
    </row>
    <row r="908">
      <c r="A908" s="43" t="inlineStr">
        <is>
          <t>SZ-SL-000905</t>
        </is>
      </c>
      <c r="B908" s="43" t="inlineStr">
        <is>
          <t>SER-LIX-SAMOSL</t>
        </is>
      </c>
      <c r="C908" s="43" t="inlineStr">
        <is>
          <t>WT-SL-YOKO-SUBERI</t>
        </is>
      </c>
      <c r="D908" s="43" t="inlineStr">
        <is>
          <t>横すべり出し窓（オペレーター）</t>
        </is>
      </c>
      <c r="E908" s="43" t="inlineStr">
        <is>
          <t>SP-SL-YOKO-OP</t>
        </is>
      </c>
      <c r="F908" s="43" t="inlineStr">
        <is>
          <t>在来・204</t>
        </is>
      </c>
      <c r="G908" s="43" t="inlineStr">
        <is>
          <t>06909</t>
        </is>
      </c>
      <c r="H908" s="43" t="inlineStr">
        <is>
          <t>069</t>
        </is>
      </c>
      <c r="I908" s="43" t="inlineStr">
        <is>
          <t>09</t>
        </is>
      </c>
      <c r="J908" s="222" t="n">
        <v>730</v>
      </c>
      <c r="K908" s="222" t="n">
        <v>970</v>
      </c>
      <c r="L908" s="43" t="inlineStr">
        <is>
          <t>在来・204</t>
        </is>
      </c>
      <c r="M908" s="178" t="b">
        <v>1</v>
      </c>
      <c r="N908" s="43" t="inlineStr">
        <is>
          <t>カタログ規格確認済み</t>
        </is>
      </c>
      <c r="O908" s="222" t="n">
        <v>135</v>
      </c>
      <c r="P908" s="222" t="n">
        <v>133</v>
      </c>
      <c r="Q908" s="43" t="inlineStr">
        <is>
          <t>202604_LIXIL_サーモスＬ_業務用資料集_完成品価格表.pdf</t>
        </is>
      </c>
      <c r="R908" s="43" t="n"/>
      <c r="S908" s="42" t="inlineStr">
        <is>
          <t>無印</t>
        </is>
      </c>
      <c r="T908" s="42" t="n">
        <v>132</v>
      </c>
      <c r="U908" s="42" t="inlineStr">
        <is>
          <t>P132|無印</t>
        </is>
      </c>
      <c r="V908" s="42" t="inlineStr">
        <is>
          <t>同一価格表・前頁凡例を継承</t>
        </is>
      </c>
    </row>
    <row r="909">
      <c r="A909" s="43" t="inlineStr">
        <is>
          <t>SZ-SL-000906</t>
        </is>
      </c>
      <c r="B909" s="43" t="inlineStr">
        <is>
          <t>SER-LIX-SAMOSL</t>
        </is>
      </c>
      <c r="C909" s="43" t="inlineStr">
        <is>
          <t>WT-SL-YOKO-SUBERI</t>
        </is>
      </c>
      <c r="D909" s="43" t="inlineStr">
        <is>
          <t>横すべり出し窓（オペレーター）</t>
        </is>
      </c>
      <c r="E909" s="43" t="inlineStr">
        <is>
          <t>SP-SL-YOKO-OP</t>
        </is>
      </c>
      <c r="F909" s="43" t="inlineStr">
        <is>
          <t>在来・204</t>
        </is>
      </c>
      <c r="G909" s="43" t="inlineStr">
        <is>
          <t>07407</t>
        </is>
      </c>
      <c r="H909" s="43" t="inlineStr">
        <is>
          <t>074</t>
        </is>
      </c>
      <c r="I909" s="43" t="inlineStr">
        <is>
          <t>07</t>
        </is>
      </c>
      <c r="J909" s="222" t="n">
        <v>780</v>
      </c>
      <c r="K909" s="222" t="n">
        <v>770</v>
      </c>
      <c r="L909" s="43" t="inlineStr">
        <is>
          <t>在来・204</t>
        </is>
      </c>
      <c r="M909" s="178" t="b">
        <v>1</v>
      </c>
      <c r="N909" s="43" t="inlineStr">
        <is>
          <t>カタログ規格確認済み</t>
        </is>
      </c>
      <c r="O909" s="222" t="n">
        <v>135</v>
      </c>
      <c r="P909" s="222" t="n">
        <v>133</v>
      </c>
      <c r="Q909" s="43" t="inlineStr">
        <is>
          <t>202604_LIXIL_サーモスＬ_業務用資料集_完成品価格表.pdf</t>
        </is>
      </c>
      <c r="R909" s="43" t="n"/>
      <c r="S909" s="42" t="inlineStr">
        <is>
          <t>無印</t>
        </is>
      </c>
      <c r="T909" s="42" t="n">
        <v>132</v>
      </c>
      <c r="U909" s="42" t="inlineStr">
        <is>
          <t>P132|無印</t>
        </is>
      </c>
      <c r="V909" s="42" t="inlineStr">
        <is>
          <t>同一価格表・前頁凡例を継承</t>
        </is>
      </c>
    </row>
    <row r="910">
      <c r="A910" s="43" t="inlineStr">
        <is>
          <t>SZ-SL-000907</t>
        </is>
      </c>
      <c r="B910" s="43" t="inlineStr">
        <is>
          <t>SER-LIX-SAMOSL</t>
        </is>
      </c>
      <c r="C910" s="43" t="inlineStr">
        <is>
          <t>WT-SL-YOKO-SUBERI</t>
        </is>
      </c>
      <c r="D910" s="43" t="inlineStr">
        <is>
          <t>横すべり出し窓（オペレーター）</t>
        </is>
      </c>
      <c r="E910" s="43" t="inlineStr">
        <is>
          <t>SP-SL-YOKO-OP</t>
        </is>
      </c>
      <c r="F910" s="43" t="inlineStr">
        <is>
          <t>在来・204</t>
        </is>
      </c>
      <c r="G910" s="43" t="inlineStr">
        <is>
          <t>07409</t>
        </is>
      </c>
      <c r="H910" s="43" t="inlineStr">
        <is>
          <t>074</t>
        </is>
      </c>
      <c r="I910" s="43" t="inlineStr">
        <is>
          <t>09</t>
        </is>
      </c>
      <c r="J910" s="222" t="n">
        <v>780</v>
      </c>
      <c r="K910" s="222" t="n">
        <v>970</v>
      </c>
      <c r="L910" s="43" t="inlineStr">
        <is>
          <t>在来・204</t>
        </is>
      </c>
      <c r="M910" s="178" t="b">
        <v>1</v>
      </c>
      <c r="N910" s="43" t="inlineStr">
        <is>
          <t>カタログ規格確認済み</t>
        </is>
      </c>
      <c r="O910" s="222" t="n">
        <v>135</v>
      </c>
      <c r="P910" s="222" t="n">
        <v>133</v>
      </c>
      <c r="Q910" s="43" t="inlineStr">
        <is>
          <t>202604_LIXIL_サーモスＬ_業務用資料集_完成品価格表.pdf</t>
        </is>
      </c>
      <c r="R910" s="43" t="n"/>
      <c r="S910" s="42" t="inlineStr">
        <is>
          <t>無印</t>
        </is>
      </c>
      <c r="T910" s="42" t="n">
        <v>132</v>
      </c>
      <c r="U910" s="42" t="inlineStr">
        <is>
          <t>P132|無印</t>
        </is>
      </c>
      <c r="V910" s="42" t="inlineStr">
        <is>
          <t>同一価格表・前頁凡例を継承</t>
        </is>
      </c>
    </row>
    <row r="911">
      <c r="A911" s="43" t="inlineStr">
        <is>
          <t>SZ-SL-000908</t>
        </is>
      </c>
      <c r="B911" s="43" t="inlineStr">
        <is>
          <t>SER-LIX-SAMOSL</t>
        </is>
      </c>
      <c r="C911" s="43" t="inlineStr">
        <is>
          <t>WT-SL-YOKO-SUBERI</t>
        </is>
      </c>
      <c r="D911" s="43" t="inlineStr">
        <is>
          <t>横すべり出し窓（オペレーター）</t>
        </is>
      </c>
      <c r="E911" s="43" t="inlineStr">
        <is>
          <t>SP-SL-YOKO-OP</t>
        </is>
      </c>
      <c r="F911" s="43" t="inlineStr">
        <is>
          <t>在来・204</t>
        </is>
      </c>
      <c r="G911" s="43" t="inlineStr">
        <is>
          <t>096093</t>
        </is>
      </c>
      <c r="H911" s="43" t="inlineStr">
        <is>
          <t>096</t>
        </is>
      </c>
      <c r="I911" s="43" t="inlineStr">
        <is>
          <t>093</t>
        </is>
      </c>
      <c r="J911" s="222" t="n">
        <v>1000</v>
      </c>
      <c r="K911" s="222" t="n">
        <v>1000</v>
      </c>
      <c r="L911" s="43" t="inlineStr">
        <is>
          <t>在来・204</t>
        </is>
      </c>
      <c r="M911" s="178" t="b">
        <v>1</v>
      </c>
      <c r="N911" s="43" t="inlineStr">
        <is>
          <t>カタログ規格確認済み</t>
        </is>
      </c>
      <c r="O911" s="222" t="n">
        <v>135</v>
      </c>
      <c r="P911" s="222" t="n">
        <v>133</v>
      </c>
      <c r="Q911" s="43" t="inlineStr">
        <is>
          <t>202604_LIXIL_サーモスＬ_業務用資料集_完成品価格表.pdf</t>
        </is>
      </c>
      <c r="R911" s="43" t="n"/>
      <c r="S911" s="42" t="inlineStr">
        <is>
          <t>無印</t>
        </is>
      </c>
      <c r="T911" s="42" t="n">
        <v>132</v>
      </c>
      <c r="U911" s="42" t="inlineStr">
        <is>
          <t>P132|無印</t>
        </is>
      </c>
      <c r="V911" s="42" t="inlineStr">
        <is>
          <t>同一価格表・前頁凡例を継承</t>
        </is>
      </c>
    </row>
    <row r="912">
      <c r="A912" s="43" t="inlineStr">
        <is>
          <t>SZ-SL-000909</t>
        </is>
      </c>
      <c r="B912" s="43" t="inlineStr">
        <is>
          <t>SER-LIX-SAMOSL</t>
        </is>
      </c>
      <c r="C912" s="43" t="inlineStr">
        <is>
          <t>WT-SL-YOKO-SUBERI</t>
        </is>
      </c>
      <c r="D912" s="43" t="inlineStr">
        <is>
          <t>横すべり出し窓（オペレーター）</t>
        </is>
      </c>
      <c r="E912" s="43" t="inlineStr">
        <is>
          <t>SP-SL-YOKO-OP</t>
        </is>
      </c>
      <c r="F912" s="43" t="inlineStr">
        <is>
          <t>在来・204</t>
        </is>
      </c>
      <c r="G912" s="43" t="inlineStr">
        <is>
          <t>119116</t>
        </is>
      </c>
      <c r="H912" s="43" t="inlineStr">
        <is>
          <t>119</t>
        </is>
      </c>
      <c r="I912" s="43" t="inlineStr">
        <is>
          <t>116</t>
        </is>
      </c>
      <c r="J912" s="222" t="n">
        <v>1235</v>
      </c>
      <c r="K912" s="222" t="n">
        <v>1235</v>
      </c>
      <c r="L912" s="43" t="inlineStr">
        <is>
          <t>在来・204</t>
        </is>
      </c>
      <c r="M912" s="178" t="b">
        <v>1</v>
      </c>
      <c r="N912" s="43" t="inlineStr">
        <is>
          <t>カタログ規格確認済み</t>
        </is>
      </c>
      <c r="O912" s="222" t="n">
        <v>135</v>
      </c>
      <c r="P912" s="222" t="n">
        <v>133</v>
      </c>
      <c r="Q912" s="43" t="inlineStr">
        <is>
          <t>202604_LIXIL_サーモスＬ_業務用資料集_完成品価格表.pdf</t>
        </is>
      </c>
      <c r="R912" s="43" t="n"/>
      <c r="S912" s="42" t="inlineStr">
        <is>
          <t>★</t>
        </is>
      </c>
      <c r="T912" s="42" t="n">
        <v>132</v>
      </c>
      <c r="U912" s="42" t="inlineStr">
        <is>
          <t>P132|★</t>
        </is>
      </c>
      <c r="V912" s="42" t="inlineStr">
        <is>
          <t>同一価格表・前頁凡例を継承</t>
        </is>
      </c>
    </row>
    <row r="913">
      <c r="A913" s="43" t="inlineStr">
        <is>
          <t>SZ-SL-000910</t>
        </is>
      </c>
      <c r="B913" s="43" t="inlineStr">
        <is>
          <t>SER-LIX-SAMOSL</t>
        </is>
      </c>
      <c r="C913" s="43" t="inlineStr">
        <is>
          <t>WT-SL-KOSHO-YOKO</t>
        </is>
      </c>
      <c r="D913" s="43" t="inlineStr">
        <is>
          <t>高所用横すべり出し窓</t>
        </is>
      </c>
      <c r="E913" s="43" t="inlineStr">
        <is>
          <t>*</t>
        </is>
      </c>
      <c r="F913" s="43" t="inlineStr">
        <is>
          <t>在来・204</t>
        </is>
      </c>
      <c r="G913" s="43" t="inlineStr">
        <is>
          <t>069023</t>
        </is>
      </c>
      <c r="H913" s="43" t="inlineStr">
        <is>
          <t>069</t>
        </is>
      </c>
      <c r="I913" s="43" t="inlineStr">
        <is>
          <t>023</t>
        </is>
      </c>
      <c r="J913" s="222" t="n">
        <v>730</v>
      </c>
      <c r="K913" s="222" t="n">
        <v>300</v>
      </c>
      <c r="L913" s="43" t="inlineStr">
        <is>
          <t>在来・204</t>
        </is>
      </c>
      <c r="M913" s="178" t="b">
        <v>1</v>
      </c>
      <c r="N913" s="43" t="inlineStr">
        <is>
          <t>サイズ共通</t>
        </is>
      </c>
      <c r="O913" s="222" t="n">
        <v>140</v>
      </c>
      <c r="P913" s="222" t="n">
        <v>138</v>
      </c>
      <c r="Q913" s="43" t="inlineStr">
        <is>
          <t>202604_LIXIL_サーモスＬ_業務用資料集_完成品価格表.pdf</t>
        </is>
      </c>
      <c r="R913" s="43" t="inlineStr">
        <is>
          <t>固有仕様ID='*'：サイズは当該窓種の固有仕様間で共通扱い。個別部材の設定可否は関係表で制御。</t>
        </is>
      </c>
      <c r="S913" s="42" t="inlineStr">
        <is>
          <t>無印</t>
        </is>
      </c>
      <c r="T913" s="42" t="n">
        <v>138</v>
      </c>
      <c r="U913" s="42" t="inlineStr">
        <is>
          <t>P138|無印</t>
        </is>
      </c>
      <c r="V913" s="42" t="inlineStr">
        <is>
          <t>同頁凡例へ直接連動</t>
        </is>
      </c>
    </row>
    <row r="914">
      <c r="A914" s="43" t="inlineStr">
        <is>
          <t>SZ-SL-000911</t>
        </is>
      </c>
      <c r="B914" s="43" t="inlineStr">
        <is>
          <t>SER-LIX-SAMOSL</t>
        </is>
      </c>
      <c r="C914" s="43" t="inlineStr">
        <is>
          <t>WT-SL-KOSHO-YOKO</t>
        </is>
      </c>
      <c r="D914" s="43" t="inlineStr">
        <is>
          <t>高所用横すべり出し窓</t>
        </is>
      </c>
      <c r="E914" s="43" t="inlineStr">
        <is>
          <t>*</t>
        </is>
      </c>
      <c r="F914" s="43" t="inlineStr">
        <is>
          <t>在来・204</t>
        </is>
      </c>
      <c r="G914" s="43" t="inlineStr">
        <is>
          <t>069028</t>
        </is>
      </c>
      <c r="H914" s="43" t="inlineStr">
        <is>
          <t>069</t>
        </is>
      </c>
      <c r="I914" s="43" t="inlineStr">
        <is>
          <t>028</t>
        </is>
      </c>
      <c r="J914" s="222" t="n">
        <v>730</v>
      </c>
      <c r="K914" s="222" t="n">
        <v>350</v>
      </c>
      <c r="L914" s="43" t="inlineStr">
        <is>
          <t>在来・204</t>
        </is>
      </c>
      <c r="M914" s="178" t="b">
        <v>1</v>
      </c>
      <c r="N914" s="43" t="inlineStr">
        <is>
          <t>サイズ共通</t>
        </is>
      </c>
      <c r="O914" s="222" t="n">
        <v>140</v>
      </c>
      <c r="P914" s="222" t="n">
        <v>138</v>
      </c>
      <c r="Q914" s="43" t="inlineStr">
        <is>
          <t>202604_LIXIL_サーモスＬ_業務用資料集_完成品価格表.pdf</t>
        </is>
      </c>
      <c r="R914" s="43" t="inlineStr">
        <is>
          <t>固有仕様ID='*'：サイズは当該窓種の固有仕様間で共通扱い。個別部材の設定可否は関係表で制御。</t>
        </is>
      </c>
      <c r="S914" s="42" t="inlineStr">
        <is>
          <t>無印</t>
        </is>
      </c>
      <c r="T914" s="42" t="n">
        <v>138</v>
      </c>
      <c r="U914" s="42" t="inlineStr">
        <is>
          <t>P138|無印</t>
        </is>
      </c>
      <c r="V914" s="42" t="inlineStr">
        <is>
          <t>同頁凡例へ直接連動</t>
        </is>
      </c>
    </row>
    <row r="915">
      <c r="A915" s="43" t="inlineStr">
        <is>
          <t>SZ-SL-000912</t>
        </is>
      </c>
      <c r="B915" s="43" t="inlineStr">
        <is>
          <t>SER-LIX-SAMOSL</t>
        </is>
      </c>
      <c r="C915" s="43" t="inlineStr">
        <is>
          <t>WT-SL-KOSHO-YOKO</t>
        </is>
      </c>
      <c r="D915" s="43" t="inlineStr">
        <is>
          <t>高所用横すべり出し窓</t>
        </is>
      </c>
      <c r="E915" s="43" t="inlineStr">
        <is>
          <t>*</t>
        </is>
      </c>
      <c r="F915" s="43" t="inlineStr">
        <is>
          <t>在来・204</t>
        </is>
      </c>
      <c r="G915" s="43" t="inlineStr">
        <is>
          <t>06903</t>
        </is>
      </c>
      <c r="H915" s="43" t="inlineStr">
        <is>
          <t>069</t>
        </is>
      </c>
      <c r="I915" s="43" t="inlineStr">
        <is>
          <t>03</t>
        </is>
      </c>
      <c r="J915" s="222" t="n">
        <v>730</v>
      </c>
      <c r="K915" s="222" t="n">
        <v>370</v>
      </c>
      <c r="L915" s="43" t="inlineStr">
        <is>
          <t>在来・204</t>
        </is>
      </c>
      <c r="M915" s="178" t="b">
        <v>1</v>
      </c>
      <c r="N915" s="43" t="inlineStr">
        <is>
          <t>サイズ共通</t>
        </is>
      </c>
      <c r="O915" s="222" t="n">
        <v>140</v>
      </c>
      <c r="P915" s="222" t="n">
        <v>138</v>
      </c>
      <c r="Q915" s="43" t="inlineStr">
        <is>
          <t>202604_LIXIL_サーモスＬ_業務用資料集_完成品価格表.pdf</t>
        </is>
      </c>
      <c r="R915" s="43" t="inlineStr">
        <is>
          <t>固有仕様ID='*'：サイズは当該窓種の固有仕様間で共通扱い。個別部材の設定可否は関係表で制御。</t>
        </is>
      </c>
      <c r="S915" s="42" t="inlineStr">
        <is>
          <t>無印</t>
        </is>
      </c>
      <c r="T915" s="42" t="n">
        <v>138</v>
      </c>
      <c r="U915" s="42" t="inlineStr">
        <is>
          <t>P138|無印</t>
        </is>
      </c>
      <c r="V915" s="42" t="inlineStr">
        <is>
          <t>同頁凡例へ直接連動</t>
        </is>
      </c>
    </row>
    <row r="916">
      <c r="A916" s="43" t="inlineStr">
        <is>
          <t>SZ-SL-000913</t>
        </is>
      </c>
      <c r="B916" s="43" t="inlineStr">
        <is>
          <t>SER-LIX-SAMOSL</t>
        </is>
      </c>
      <c r="C916" s="43" t="inlineStr">
        <is>
          <t>WT-SL-KOSHO-YOKO</t>
        </is>
      </c>
      <c r="D916" s="43" t="inlineStr">
        <is>
          <t>高所用横すべり出し窓</t>
        </is>
      </c>
      <c r="E916" s="43" t="inlineStr">
        <is>
          <t>*</t>
        </is>
      </c>
      <c r="F916" s="43" t="inlineStr">
        <is>
          <t>在来・204</t>
        </is>
      </c>
      <c r="G916" s="43" t="inlineStr">
        <is>
          <t>06905</t>
        </is>
      </c>
      <c r="H916" s="43" t="inlineStr">
        <is>
          <t>069</t>
        </is>
      </c>
      <c r="I916" s="43" t="inlineStr">
        <is>
          <t>05</t>
        </is>
      </c>
      <c r="J916" s="222" t="n">
        <v>730</v>
      </c>
      <c r="K916" s="222" t="n">
        <v>570</v>
      </c>
      <c r="L916" s="43" t="inlineStr">
        <is>
          <t>在来・204</t>
        </is>
      </c>
      <c r="M916" s="178" t="b">
        <v>1</v>
      </c>
      <c r="N916" s="43" t="inlineStr">
        <is>
          <t>サイズ共通</t>
        </is>
      </c>
      <c r="O916" s="222" t="n">
        <v>140</v>
      </c>
      <c r="P916" s="222" t="n">
        <v>138</v>
      </c>
      <c r="Q916" s="43" t="inlineStr">
        <is>
          <t>202604_LIXIL_サーモスＬ_業務用資料集_完成品価格表.pdf</t>
        </is>
      </c>
      <c r="R916" s="43" t="inlineStr">
        <is>
          <t>固有仕様ID='*'：サイズは当該窓種の固有仕様間で共通扱い。個別部材の設定可否は関係表で制御。</t>
        </is>
      </c>
      <c r="S916" s="42" t="inlineStr">
        <is>
          <t>無印</t>
        </is>
      </c>
      <c r="T916" s="42" t="n">
        <v>138</v>
      </c>
      <c r="U916" s="42" t="inlineStr">
        <is>
          <t>P138|無印</t>
        </is>
      </c>
      <c r="V916" s="42" t="inlineStr">
        <is>
          <t>同頁凡例へ直接連動</t>
        </is>
      </c>
    </row>
    <row r="917">
      <c r="A917" s="43" t="inlineStr">
        <is>
          <t>SZ-SL-000914</t>
        </is>
      </c>
      <c r="B917" s="43" t="inlineStr">
        <is>
          <t>SER-LIX-SAMOSL</t>
        </is>
      </c>
      <c r="C917" s="43" t="inlineStr">
        <is>
          <t>WT-SL-KOSHO-YOKO</t>
        </is>
      </c>
      <c r="D917" s="43" t="inlineStr">
        <is>
          <t>高所用横すべり出し窓</t>
        </is>
      </c>
      <c r="E917" s="43" t="inlineStr">
        <is>
          <t>*</t>
        </is>
      </c>
      <c r="F917" s="43" t="inlineStr">
        <is>
          <t>在来・204</t>
        </is>
      </c>
      <c r="G917" s="43" t="inlineStr">
        <is>
          <t>074023</t>
        </is>
      </c>
      <c r="H917" s="43" t="inlineStr">
        <is>
          <t>074</t>
        </is>
      </c>
      <c r="I917" s="43" t="inlineStr">
        <is>
          <t>023</t>
        </is>
      </c>
      <c r="J917" s="222" t="n">
        <v>780</v>
      </c>
      <c r="K917" s="222" t="n">
        <v>300</v>
      </c>
      <c r="L917" s="43" t="inlineStr">
        <is>
          <t>在来・204</t>
        </is>
      </c>
      <c r="M917" s="178" t="b">
        <v>1</v>
      </c>
      <c r="N917" s="43" t="inlineStr">
        <is>
          <t>サイズ共通</t>
        </is>
      </c>
      <c r="O917" s="222" t="n">
        <v>140</v>
      </c>
      <c r="P917" s="222" t="n">
        <v>138</v>
      </c>
      <c r="Q917" s="43" t="inlineStr">
        <is>
          <t>202604_LIXIL_サーモスＬ_業務用資料集_完成品価格表.pdf</t>
        </is>
      </c>
      <c r="R917" s="43" t="inlineStr">
        <is>
          <t>固有仕様ID='*'：サイズは当該窓種の固有仕様間で共通扱い。個別部材の設定可否は関係表で制御。</t>
        </is>
      </c>
      <c r="S917" s="42" t="inlineStr">
        <is>
          <t>無印</t>
        </is>
      </c>
      <c r="T917" s="42" t="n">
        <v>138</v>
      </c>
      <c r="U917" s="42" t="inlineStr">
        <is>
          <t>P138|無印</t>
        </is>
      </c>
      <c r="V917" s="42" t="inlineStr">
        <is>
          <t>同頁凡例へ直接連動</t>
        </is>
      </c>
    </row>
    <row r="918">
      <c r="A918" s="43" t="inlineStr">
        <is>
          <t>SZ-SL-000915</t>
        </is>
      </c>
      <c r="B918" s="43" t="inlineStr">
        <is>
          <t>SER-LIX-SAMOSL</t>
        </is>
      </c>
      <c r="C918" s="43" t="inlineStr">
        <is>
          <t>WT-SL-KOSHO-YOKO</t>
        </is>
      </c>
      <c r="D918" s="43" t="inlineStr">
        <is>
          <t>高所用横すべり出し窓</t>
        </is>
      </c>
      <c r="E918" s="43" t="inlineStr">
        <is>
          <t>*</t>
        </is>
      </c>
      <c r="F918" s="43" t="inlineStr">
        <is>
          <t>在来・204</t>
        </is>
      </c>
      <c r="G918" s="43" t="inlineStr">
        <is>
          <t>074028</t>
        </is>
      </c>
      <c r="H918" s="43" t="inlineStr">
        <is>
          <t>074</t>
        </is>
      </c>
      <c r="I918" s="43" t="inlineStr">
        <is>
          <t>028</t>
        </is>
      </c>
      <c r="J918" s="222" t="n">
        <v>780</v>
      </c>
      <c r="K918" s="222" t="n">
        <v>350</v>
      </c>
      <c r="L918" s="43" t="inlineStr">
        <is>
          <t>在来・204</t>
        </is>
      </c>
      <c r="M918" s="178" t="b">
        <v>1</v>
      </c>
      <c r="N918" s="43" t="inlineStr">
        <is>
          <t>サイズ共通</t>
        </is>
      </c>
      <c r="O918" s="222" t="n">
        <v>140</v>
      </c>
      <c r="P918" s="222" t="n">
        <v>138</v>
      </c>
      <c r="Q918" s="43" t="inlineStr">
        <is>
          <t>202604_LIXIL_サーモスＬ_業務用資料集_完成品価格表.pdf</t>
        </is>
      </c>
      <c r="R918" s="43" t="inlineStr">
        <is>
          <t>固有仕様ID='*'：サイズは当該窓種の固有仕様間で共通扱い。個別部材の設定可否は関係表で制御。</t>
        </is>
      </c>
      <c r="S918" s="42" t="inlineStr">
        <is>
          <t>無印</t>
        </is>
      </c>
      <c r="T918" s="42" t="n">
        <v>138</v>
      </c>
      <c r="U918" s="42" t="inlineStr">
        <is>
          <t>P138|無印</t>
        </is>
      </c>
      <c r="V918" s="42" t="inlineStr">
        <is>
          <t>同頁凡例へ直接連動</t>
        </is>
      </c>
    </row>
    <row r="919">
      <c r="A919" s="43" t="inlineStr">
        <is>
          <t>SZ-SL-000916</t>
        </is>
      </c>
      <c r="B919" s="43" t="inlineStr">
        <is>
          <t>SER-LIX-SAMOSL</t>
        </is>
      </c>
      <c r="C919" s="43" t="inlineStr">
        <is>
          <t>WT-SL-KOSHO-YOKO</t>
        </is>
      </c>
      <c r="D919" s="43" t="inlineStr">
        <is>
          <t>高所用横すべり出し窓</t>
        </is>
      </c>
      <c r="E919" s="43" t="inlineStr">
        <is>
          <t>*</t>
        </is>
      </c>
      <c r="F919" s="43" t="inlineStr">
        <is>
          <t>在来・204</t>
        </is>
      </c>
      <c r="G919" s="43" t="inlineStr">
        <is>
          <t>07403</t>
        </is>
      </c>
      <c r="H919" s="43" t="inlineStr">
        <is>
          <t>074</t>
        </is>
      </c>
      <c r="I919" s="43" t="inlineStr">
        <is>
          <t>03</t>
        </is>
      </c>
      <c r="J919" s="222" t="n">
        <v>780</v>
      </c>
      <c r="K919" s="222" t="n">
        <v>370</v>
      </c>
      <c r="L919" s="43" t="inlineStr">
        <is>
          <t>在来・204</t>
        </is>
      </c>
      <c r="M919" s="178" t="b">
        <v>1</v>
      </c>
      <c r="N919" s="43" t="inlineStr">
        <is>
          <t>サイズ共通</t>
        </is>
      </c>
      <c r="O919" s="222" t="n">
        <v>140</v>
      </c>
      <c r="P919" s="222" t="n">
        <v>138</v>
      </c>
      <c r="Q919" s="43" t="inlineStr">
        <is>
          <t>202604_LIXIL_サーモスＬ_業務用資料集_完成品価格表.pdf</t>
        </is>
      </c>
      <c r="R919" s="43" t="inlineStr">
        <is>
          <t>固有仕様ID='*'：サイズは当該窓種の固有仕様間で共通扱い。個別部材の設定可否は関係表で制御。</t>
        </is>
      </c>
      <c r="S919" s="42" t="inlineStr">
        <is>
          <t>無印</t>
        </is>
      </c>
      <c r="T919" s="42" t="n">
        <v>138</v>
      </c>
      <c r="U919" s="42" t="inlineStr">
        <is>
          <t>P138|無印</t>
        </is>
      </c>
      <c r="V919" s="42" t="inlineStr">
        <is>
          <t>同頁凡例へ直接連動</t>
        </is>
      </c>
    </row>
    <row r="920">
      <c r="A920" s="43" t="inlineStr">
        <is>
          <t>SZ-SL-000917</t>
        </is>
      </c>
      <c r="B920" s="43" t="inlineStr">
        <is>
          <t>SER-LIX-SAMOSL</t>
        </is>
      </c>
      <c r="C920" s="43" t="inlineStr">
        <is>
          <t>WT-SL-KOSHO-YOKO</t>
        </is>
      </c>
      <c r="D920" s="43" t="inlineStr">
        <is>
          <t>高所用横すべり出し窓</t>
        </is>
      </c>
      <c r="E920" s="43" t="inlineStr">
        <is>
          <t>*</t>
        </is>
      </c>
      <c r="F920" s="43" t="inlineStr">
        <is>
          <t>在来・204</t>
        </is>
      </c>
      <c r="G920" s="43" t="inlineStr">
        <is>
          <t>07405</t>
        </is>
      </c>
      <c r="H920" s="43" t="inlineStr">
        <is>
          <t>074</t>
        </is>
      </c>
      <c r="I920" s="43" t="inlineStr">
        <is>
          <t>05</t>
        </is>
      </c>
      <c r="J920" s="222" t="n">
        <v>780</v>
      </c>
      <c r="K920" s="222" t="n">
        <v>570</v>
      </c>
      <c r="L920" s="43" t="inlineStr">
        <is>
          <t>在来・204</t>
        </is>
      </c>
      <c r="M920" s="178" t="b">
        <v>1</v>
      </c>
      <c r="N920" s="43" t="inlineStr">
        <is>
          <t>サイズ共通</t>
        </is>
      </c>
      <c r="O920" s="222" t="n">
        <v>140</v>
      </c>
      <c r="P920" s="222" t="n">
        <v>138</v>
      </c>
      <c r="Q920" s="43" t="inlineStr">
        <is>
          <t>202604_LIXIL_サーモスＬ_業務用資料集_完成品価格表.pdf</t>
        </is>
      </c>
      <c r="R920" s="43" t="inlineStr">
        <is>
          <t>固有仕様ID='*'：サイズは当該窓種の固有仕様間で共通扱い。個別部材の設定可否は関係表で制御。</t>
        </is>
      </c>
      <c r="S920" s="42" t="inlineStr">
        <is>
          <t>無印</t>
        </is>
      </c>
      <c r="T920" s="42" t="n">
        <v>138</v>
      </c>
      <c r="U920" s="42" t="inlineStr">
        <is>
          <t>P138|無印</t>
        </is>
      </c>
      <c r="V920" s="42" t="inlineStr">
        <is>
          <t>同頁凡例へ直接連動</t>
        </is>
      </c>
    </row>
    <row r="921">
      <c r="A921" s="43" t="inlineStr">
        <is>
          <t>SZ-SL-000918</t>
        </is>
      </c>
      <c r="B921" s="43" t="inlineStr">
        <is>
          <t>SER-LIX-SAMOSL</t>
        </is>
      </c>
      <c r="C921" s="43" t="inlineStr">
        <is>
          <t>WT-SL-KOSHO-YOKO</t>
        </is>
      </c>
      <c r="D921" s="43" t="inlineStr">
        <is>
          <t>高所用横すべり出し窓</t>
        </is>
      </c>
      <c r="E921" s="43" t="inlineStr">
        <is>
          <t>*</t>
        </is>
      </c>
      <c r="F921" s="43" t="inlineStr">
        <is>
          <t>在来・204</t>
        </is>
      </c>
      <c r="G921" s="43" t="inlineStr">
        <is>
          <t>114023</t>
        </is>
      </c>
      <c r="H921" s="43" t="inlineStr">
        <is>
          <t>114</t>
        </is>
      </c>
      <c r="I921" s="43" t="inlineStr">
        <is>
          <t>023</t>
        </is>
      </c>
      <c r="J921" s="222" t="n">
        <v>1185</v>
      </c>
      <c r="K921" s="222" t="n">
        <v>300</v>
      </c>
      <c r="L921" s="43" t="inlineStr">
        <is>
          <t>在来・204</t>
        </is>
      </c>
      <c r="M921" s="178" t="b">
        <v>1</v>
      </c>
      <c r="N921" s="43" t="inlineStr">
        <is>
          <t>サイズ共通</t>
        </is>
      </c>
      <c r="O921" s="222" t="n">
        <v>141</v>
      </c>
      <c r="P921" s="222" t="n">
        <v>139</v>
      </c>
      <c r="Q921" s="43" t="inlineStr">
        <is>
          <t>202604_LIXIL_サーモスＬ_業務用資料集_完成品価格表.pdf</t>
        </is>
      </c>
      <c r="R921" s="43" t="inlineStr">
        <is>
          <t>固有仕様ID='*'：サイズは当該窓種の固有仕様間で共通扱い。個別部材の設定可否は関係表で制御。</t>
        </is>
      </c>
      <c r="S921" s="42" t="inlineStr">
        <is>
          <t>無印</t>
        </is>
      </c>
      <c r="T921" s="42" t="n">
        <v>138</v>
      </c>
      <c r="U921" s="42" t="inlineStr">
        <is>
          <t>P138|無印</t>
        </is>
      </c>
      <c r="V921" s="42" t="inlineStr">
        <is>
          <t>同一価格表・前頁凡例を継承</t>
        </is>
      </c>
    </row>
    <row r="922">
      <c r="A922" s="43" t="inlineStr">
        <is>
          <t>SZ-SL-000919</t>
        </is>
      </c>
      <c r="B922" s="43" t="inlineStr">
        <is>
          <t>SER-LIX-SAMOSL</t>
        </is>
      </c>
      <c r="C922" s="43" t="inlineStr">
        <is>
          <t>WT-SL-KOSHO-YOKO</t>
        </is>
      </c>
      <c r="D922" s="43" t="inlineStr">
        <is>
          <t>高所用横すべり出し窓</t>
        </is>
      </c>
      <c r="E922" s="43" t="inlineStr">
        <is>
          <t>*</t>
        </is>
      </c>
      <c r="F922" s="43" t="inlineStr">
        <is>
          <t>在来・204</t>
        </is>
      </c>
      <c r="G922" s="43" t="inlineStr">
        <is>
          <t>114028</t>
        </is>
      </c>
      <c r="H922" s="43" t="inlineStr">
        <is>
          <t>114</t>
        </is>
      </c>
      <c r="I922" s="43" t="inlineStr">
        <is>
          <t>028</t>
        </is>
      </c>
      <c r="J922" s="222" t="n">
        <v>1185</v>
      </c>
      <c r="K922" s="222" t="n">
        <v>350</v>
      </c>
      <c r="L922" s="43" t="inlineStr">
        <is>
          <t>在来・204</t>
        </is>
      </c>
      <c r="M922" s="178" t="b">
        <v>1</v>
      </c>
      <c r="N922" s="43" t="inlineStr">
        <is>
          <t>サイズ共通</t>
        </is>
      </c>
      <c r="O922" s="222" t="n">
        <v>141</v>
      </c>
      <c r="P922" s="222" t="n">
        <v>139</v>
      </c>
      <c r="Q922" s="43" t="inlineStr">
        <is>
          <t>202604_LIXIL_サーモスＬ_業務用資料集_完成品価格表.pdf</t>
        </is>
      </c>
      <c r="R922" s="43" t="inlineStr">
        <is>
          <t>固有仕様ID='*'：サイズは当該窓種の固有仕様間で共通扱い。個別部材の設定可否は関係表で制御。</t>
        </is>
      </c>
      <c r="S922" s="42" t="inlineStr">
        <is>
          <t>無印</t>
        </is>
      </c>
      <c r="T922" s="42" t="n">
        <v>138</v>
      </c>
      <c r="U922" s="42" t="inlineStr">
        <is>
          <t>P138|無印</t>
        </is>
      </c>
      <c r="V922" s="42" t="inlineStr">
        <is>
          <t>同一価格表・前頁凡例を継承</t>
        </is>
      </c>
    </row>
    <row r="923">
      <c r="A923" s="43" t="inlineStr">
        <is>
          <t>SZ-SL-000920</t>
        </is>
      </c>
      <c r="B923" s="43" t="inlineStr">
        <is>
          <t>SER-LIX-SAMOSL</t>
        </is>
      </c>
      <c r="C923" s="43" t="inlineStr">
        <is>
          <t>WT-SL-KOSHO-YOKO</t>
        </is>
      </c>
      <c r="D923" s="43" t="inlineStr">
        <is>
          <t>高所用横すべり出し窓</t>
        </is>
      </c>
      <c r="E923" s="43" t="inlineStr">
        <is>
          <t>*</t>
        </is>
      </c>
      <c r="F923" s="43" t="inlineStr">
        <is>
          <t>在来・204</t>
        </is>
      </c>
      <c r="G923" s="43" t="inlineStr">
        <is>
          <t>11403</t>
        </is>
      </c>
      <c r="H923" s="43" t="inlineStr">
        <is>
          <t>114</t>
        </is>
      </c>
      <c r="I923" s="43" t="inlineStr">
        <is>
          <t>03</t>
        </is>
      </c>
      <c r="J923" s="222" t="n">
        <v>1185</v>
      </c>
      <c r="K923" s="222" t="n">
        <v>370</v>
      </c>
      <c r="L923" s="43" t="inlineStr">
        <is>
          <t>在来・204</t>
        </is>
      </c>
      <c r="M923" s="178" t="b">
        <v>1</v>
      </c>
      <c r="N923" s="43" t="inlineStr">
        <is>
          <t>サイズ共通</t>
        </is>
      </c>
      <c r="O923" s="222" t="n">
        <v>141</v>
      </c>
      <c r="P923" s="222" t="n">
        <v>139</v>
      </c>
      <c r="Q923" s="43" t="inlineStr">
        <is>
          <t>202604_LIXIL_サーモスＬ_業務用資料集_完成品価格表.pdf</t>
        </is>
      </c>
      <c r="R923" s="43" t="inlineStr">
        <is>
          <t>固有仕様ID='*'：サイズは当該窓種の固有仕様間で共通扱い。個別部材の設定可否は関係表で制御。</t>
        </is>
      </c>
      <c r="S923" s="42" t="inlineStr">
        <is>
          <t>無印</t>
        </is>
      </c>
      <c r="T923" s="42" t="n">
        <v>138</v>
      </c>
      <c r="U923" s="42" t="inlineStr">
        <is>
          <t>P138|無印</t>
        </is>
      </c>
      <c r="V923" s="42" t="inlineStr">
        <is>
          <t>同一価格表・前頁凡例を継承</t>
        </is>
      </c>
    </row>
    <row r="924">
      <c r="A924" s="43" t="inlineStr">
        <is>
          <t>SZ-SL-000921</t>
        </is>
      </c>
      <c r="B924" s="43" t="inlineStr">
        <is>
          <t>SER-LIX-SAMOSL</t>
        </is>
      </c>
      <c r="C924" s="43" t="inlineStr">
        <is>
          <t>WT-SL-KOSHO-YOKO</t>
        </is>
      </c>
      <c r="D924" s="43" t="inlineStr">
        <is>
          <t>高所用横すべり出し窓</t>
        </is>
      </c>
      <c r="E924" s="43" t="inlineStr">
        <is>
          <t>*</t>
        </is>
      </c>
      <c r="F924" s="43" t="inlineStr">
        <is>
          <t>在来・204</t>
        </is>
      </c>
      <c r="G924" s="43" t="inlineStr">
        <is>
          <t>11405</t>
        </is>
      </c>
      <c r="H924" s="43" t="inlineStr">
        <is>
          <t>114</t>
        </is>
      </c>
      <c r="I924" s="43" t="inlineStr">
        <is>
          <t>05</t>
        </is>
      </c>
      <c r="J924" s="222" t="n">
        <v>1185</v>
      </c>
      <c r="K924" s="222" t="n">
        <v>570</v>
      </c>
      <c r="L924" s="43" t="inlineStr">
        <is>
          <t>在来・204</t>
        </is>
      </c>
      <c r="M924" s="178" t="b">
        <v>1</v>
      </c>
      <c r="N924" s="43" t="inlineStr">
        <is>
          <t>サイズ共通</t>
        </is>
      </c>
      <c r="O924" s="222" t="n">
        <v>141</v>
      </c>
      <c r="P924" s="222" t="n">
        <v>139</v>
      </c>
      <c r="Q924" s="43" t="inlineStr">
        <is>
          <t>202604_LIXIL_サーモスＬ_業務用資料集_完成品価格表.pdf</t>
        </is>
      </c>
      <c r="R924" s="43" t="inlineStr">
        <is>
          <t>固有仕様ID='*'：サイズは当該窓種の固有仕様間で共通扱い。個別部材の設定可否は関係表で制御。</t>
        </is>
      </c>
      <c r="S924" s="42" t="inlineStr">
        <is>
          <t>無印</t>
        </is>
      </c>
      <c r="T924" s="42" t="n">
        <v>138</v>
      </c>
      <c r="U924" s="42" t="inlineStr">
        <is>
          <t>P138|無印</t>
        </is>
      </c>
      <c r="V924" s="42" t="inlineStr">
        <is>
          <t>同一価格表・前頁凡例を継承</t>
        </is>
      </c>
    </row>
    <row r="925">
      <c r="A925" s="43" t="inlineStr">
        <is>
          <t>SZ-SL-000922</t>
        </is>
      </c>
      <c r="B925" s="43" t="inlineStr">
        <is>
          <t>SER-LIX-SAMOSL</t>
        </is>
      </c>
      <c r="C925" s="43" t="inlineStr">
        <is>
          <t>WT-SL-KOSHO-YOKO</t>
        </is>
      </c>
      <c r="D925" s="43" t="inlineStr">
        <is>
          <t>高所用横すべり出し窓</t>
        </is>
      </c>
      <c r="E925" s="43" t="inlineStr">
        <is>
          <t>*</t>
        </is>
      </c>
      <c r="F925" s="43" t="inlineStr">
        <is>
          <t>在来・204</t>
        </is>
      </c>
      <c r="G925" s="43" t="inlineStr">
        <is>
          <t>119023</t>
        </is>
      </c>
      <c r="H925" s="43" t="inlineStr">
        <is>
          <t>119</t>
        </is>
      </c>
      <c r="I925" s="43" t="inlineStr">
        <is>
          <t>023</t>
        </is>
      </c>
      <c r="J925" s="222" t="n">
        <v>1235</v>
      </c>
      <c r="K925" s="222" t="n">
        <v>300</v>
      </c>
      <c r="L925" s="43" t="inlineStr">
        <is>
          <t>在来・204</t>
        </is>
      </c>
      <c r="M925" s="178" t="b">
        <v>1</v>
      </c>
      <c r="N925" s="43" t="inlineStr">
        <is>
          <t>サイズ共通</t>
        </is>
      </c>
      <c r="O925" s="222" t="n">
        <v>141</v>
      </c>
      <c r="P925" s="222" t="n">
        <v>139</v>
      </c>
      <c r="Q925" s="43" t="inlineStr">
        <is>
          <t>202604_LIXIL_サーモスＬ_業務用資料集_完成品価格表.pdf</t>
        </is>
      </c>
      <c r="R925" s="43" t="inlineStr">
        <is>
          <t>固有仕様ID='*'：サイズは当該窓種の固有仕様間で共通扱い。個別部材の設定可否は関係表で制御。</t>
        </is>
      </c>
      <c r="S925" s="42" t="inlineStr">
        <is>
          <t>無印</t>
        </is>
      </c>
      <c r="T925" s="42" t="n">
        <v>138</v>
      </c>
      <c r="U925" s="42" t="inlineStr">
        <is>
          <t>P138|無印</t>
        </is>
      </c>
      <c r="V925" s="42" t="inlineStr">
        <is>
          <t>同一価格表・前頁凡例を継承</t>
        </is>
      </c>
    </row>
    <row r="926">
      <c r="A926" s="43" t="inlineStr">
        <is>
          <t>SZ-SL-000923</t>
        </is>
      </c>
      <c r="B926" s="43" t="inlineStr">
        <is>
          <t>SER-LIX-SAMOSL</t>
        </is>
      </c>
      <c r="C926" s="43" t="inlineStr">
        <is>
          <t>WT-SL-KOSHO-YOKO</t>
        </is>
      </c>
      <c r="D926" s="43" t="inlineStr">
        <is>
          <t>高所用横すべり出し窓</t>
        </is>
      </c>
      <c r="E926" s="43" t="inlineStr">
        <is>
          <t>*</t>
        </is>
      </c>
      <c r="F926" s="43" t="inlineStr">
        <is>
          <t>在来・204</t>
        </is>
      </c>
      <c r="G926" s="43" t="inlineStr">
        <is>
          <t>119028</t>
        </is>
      </c>
      <c r="H926" s="43" t="inlineStr">
        <is>
          <t>119</t>
        </is>
      </c>
      <c r="I926" s="43" t="inlineStr">
        <is>
          <t>028</t>
        </is>
      </c>
      <c r="J926" s="222" t="n">
        <v>1235</v>
      </c>
      <c r="K926" s="222" t="n">
        <v>350</v>
      </c>
      <c r="L926" s="43" t="inlineStr">
        <is>
          <t>在来・204</t>
        </is>
      </c>
      <c r="M926" s="178" t="b">
        <v>1</v>
      </c>
      <c r="N926" s="43" t="inlineStr">
        <is>
          <t>サイズ共通</t>
        </is>
      </c>
      <c r="O926" s="222" t="n">
        <v>141</v>
      </c>
      <c r="P926" s="222" t="n">
        <v>139</v>
      </c>
      <c r="Q926" s="43" t="inlineStr">
        <is>
          <t>202604_LIXIL_サーモスＬ_業務用資料集_完成品価格表.pdf</t>
        </is>
      </c>
      <c r="R926" s="43" t="inlineStr">
        <is>
          <t>固有仕様ID='*'：サイズは当該窓種の固有仕様間で共通扱い。個別部材の設定可否は関係表で制御。</t>
        </is>
      </c>
      <c r="S926" s="42" t="inlineStr">
        <is>
          <t>無印</t>
        </is>
      </c>
      <c r="T926" s="42" t="n">
        <v>138</v>
      </c>
      <c r="U926" s="42" t="inlineStr">
        <is>
          <t>P138|無印</t>
        </is>
      </c>
      <c r="V926" s="42" t="inlineStr">
        <is>
          <t>同一価格表・前頁凡例を継承</t>
        </is>
      </c>
    </row>
    <row r="927">
      <c r="A927" s="43" t="inlineStr">
        <is>
          <t>SZ-SL-000924</t>
        </is>
      </c>
      <c r="B927" s="43" t="inlineStr">
        <is>
          <t>SER-LIX-SAMOSL</t>
        </is>
      </c>
      <c r="C927" s="43" t="inlineStr">
        <is>
          <t>WT-SL-KOSHO-YOKO</t>
        </is>
      </c>
      <c r="D927" s="43" t="inlineStr">
        <is>
          <t>高所用横すべり出し窓</t>
        </is>
      </c>
      <c r="E927" s="43" t="inlineStr">
        <is>
          <t>*</t>
        </is>
      </c>
      <c r="F927" s="43" t="inlineStr">
        <is>
          <t>在来・204</t>
        </is>
      </c>
      <c r="G927" s="43" t="inlineStr">
        <is>
          <t>11903</t>
        </is>
      </c>
      <c r="H927" s="43" t="inlineStr">
        <is>
          <t>119</t>
        </is>
      </c>
      <c r="I927" s="43" t="inlineStr">
        <is>
          <t>03</t>
        </is>
      </c>
      <c r="J927" s="222" t="n">
        <v>1235</v>
      </c>
      <c r="K927" s="222" t="n">
        <v>370</v>
      </c>
      <c r="L927" s="43" t="inlineStr">
        <is>
          <t>在来・204</t>
        </is>
      </c>
      <c r="M927" s="178" t="b">
        <v>1</v>
      </c>
      <c r="N927" s="43" t="inlineStr">
        <is>
          <t>サイズ共通</t>
        </is>
      </c>
      <c r="O927" s="222" t="n">
        <v>141</v>
      </c>
      <c r="P927" s="222" t="n">
        <v>139</v>
      </c>
      <c r="Q927" s="43" t="inlineStr">
        <is>
          <t>202604_LIXIL_サーモスＬ_業務用資料集_完成品価格表.pdf</t>
        </is>
      </c>
      <c r="R927" s="43" t="inlineStr">
        <is>
          <t>固有仕様ID='*'：サイズは当該窓種の固有仕様間で共通扱い。個別部材の設定可否は関係表で制御。</t>
        </is>
      </c>
      <c r="S927" s="42" t="inlineStr">
        <is>
          <t>無印</t>
        </is>
      </c>
      <c r="T927" s="42" t="n">
        <v>138</v>
      </c>
      <c r="U927" s="42" t="inlineStr">
        <is>
          <t>P138|無印</t>
        </is>
      </c>
      <c r="V927" s="42" t="inlineStr">
        <is>
          <t>同一価格表・前頁凡例を継承</t>
        </is>
      </c>
    </row>
    <row r="928">
      <c r="A928" s="43" t="inlineStr">
        <is>
          <t>SZ-SL-000925</t>
        </is>
      </c>
      <c r="B928" s="43" t="inlineStr">
        <is>
          <t>SER-LIX-SAMOSL</t>
        </is>
      </c>
      <c r="C928" s="43" t="inlineStr">
        <is>
          <t>WT-SL-KOSHO-YOKO</t>
        </is>
      </c>
      <c r="D928" s="43" t="inlineStr">
        <is>
          <t>高所用横すべり出し窓</t>
        </is>
      </c>
      <c r="E928" s="43" t="inlineStr">
        <is>
          <t>*</t>
        </is>
      </c>
      <c r="F928" s="43" t="inlineStr">
        <is>
          <t>在来・204</t>
        </is>
      </c>
      <c r="G928" s="43" t="inlineStr">
        <is>
          <t>11905</t>
        </is>
      </c>
      <c r="H928" s="43" t="inlineStr">
        <is>
          <t>119</t>
        </is>
      </c>
      <c r="I928" s="43" t="inlineStr">
        <is>
          <t>05</t>
        </is>
      </c>
      <c r="J928" s="222" t="n">
        <v>1235</v>
      </c>
      <c r="K928" s="222" t="n">
        <v>570</v>
      </c>
      <c r="L928" s="43" t="inlineStr">
        <is>
          <t>在来・204</t>
        </is>
      </c>
      <c r="M928" s="178" t="b">
        <v>1</v>
      </c>
      <c r="N928" s="43" t="inlineStr">
        <is>
          <t>サイズ共通</t>
        </is>
      </c>
      <c r="O928" s="222" t="n">
        <v>141</v>
      </c>
      <c r="P928" s="222" t="n">
        <v>139</v>
      </c>
      <c r="Q928" s="43" t="inlineStr">
        <is>
          <t>202604_LIXIL_サーモスＬ_業務用資料集_完成品価格表.pdf</t>
        </is>
      </c>
      <c r="R928" s="43" t="inlineStr">
        <is>
          <t>固有仕様ID='*'：サイズは当該窓種の固有仕様間で共通扱い。個別部材の設定可否は関係表で制御。</t>
        </is>
      </c>
      <c r="S928" s="42" t="inlineStr">
        <is>
          <t>無印</t>
        </is>
      </c>
      <c r="T928" s="42" t="n">
        <v>138</v>
      </c>
      <c r="U928" s="42" t="inlineStr">
        <is>
          <t>P138|無印</t>
        </is>
      </c>
      <c r="V928" s="42" t="inlineStr">
        <is>
          <t>同一価格表・前頁凡例を継承</t>
        </is>
      </c>
    </row>
    <row r="929">
      <c r="A929" s="43" t="inlineStr">
        <is>
          <t>SZ-SL-000926</t>
        </is>
      </c>
      <c r="B929" s="43" t="inlineStr">
        <is>
          <t>SER-LIX-SAMOSL</t>
        </is>
      </c>
      <c r="C929" s="43" t="inlineStr">
        <is>
          <t>WT-SL-KOSHO-YOKO</t>
        </is>
      </c>
      <c r="D929" s="43" t="inlineStr">
        <is>
          <t>高所用横すべり出し窓</t>
        </is>
      </c>
      <c r="E929" s="43" t="inlineStr">
        <is>
          <t>*</t>
        </is>
      </c>
      <c r="F929" s="43" t="inlineStr">
        <is>
          <t>在来・204</t>
        </is>
      </c>
      <c r="G929" s="43" t="inlineStr">
        <is>
          <t>160023</t>
        </is>
      </c>
      <c r="H929" s="43" t="inlineStr">
        <is>
          <t>160</t>
        </is>
      </c>
      <c r="I929" s="43" t="inlineStr">
        <is>
          <t>023</t>
        </is>
      </c>
      <c r="J929" s="222" t="n">
        <v>1640</v>
      </c>
      <c r="K929" s="222" t="n">
        <v>300</v>
      </c>
      <c r="L929" s="43" t="inlineStr">
        <is>
          <t>在来・204</t>
        </is>
      </c>
      <c r="M929" s="178" t="b">
        <v>1</v>
      </c>
      <c r="N929" s="43" t="inlineStr">
        <is>
          <t>サイズ共通</t>
        </is>
      </c>
      <c r="O929" s="222" t="n">
        <v>141</v>
      </c>
      <c r="P929" s="222" t="n">
        <v>139</v>
      </c>
      <c r="Q929" s="43" t="inlineStr">
        <is>
          <t>202604_LIXIL_サーモスＬ_業務用資料集_完成品価格表.pdf</t>
        </is>
      </c>
      <c r="R929" s="43" t="inlineStr">
        <is>
          <t>固有仕様ID='*'：サイズは当該窓種の固有仕様間で共通扱い。個別部材の設定可否は関係表で制御。</t>
        </is>
      </c>
      <c r="S929" s="42" t="inlineStr">
        <is>
          <t>無印</t>
        </is>
      </c>
      <c r="T929" s="42" t="n">
        <v>138</v>
      </c>
      <c r="U929" s="42" t="inlineStr">
        <is>
          <t>P138|無印</t>
        </is>
      </c>
      <c r="V929" s="42" t="inlineStr">
        <is>
          <t>同一価格表・前頁凡例を継承</t>
        </is>
      </c>
    </row>
    <row r="930">
      <c r="A930" s="43" t="inlineStr">
        <is>
          <t>SZ-SL-000927</t>
        </is>
      </c>
      <c r="B930" s="43" t="inlineStr">
        <is>
          <t>SER-LIX-SAMOSL</t>
        </is>
      </c>
      <c r="C930" s="43" t="inlineStr">
        <is>
          <t>WT-SL-KOSHO-YOKO</t>
        </is>
      </c>
      <c r="D930" s="43" t="inlineStr">
        <is>
          <t>高所用横すべり出し窓</t>
        </is>
      </c>
      <c r="E930" s="43" t="inlineStr">
        <is>
          <t>*</t>
        </is>
      </c>
      <c r="F930" s="43" t="inlineStr">
        <is>
          <t>在来・204</t>
        </is>
      </c>
      <c r="G930" s="43" t="inlineStr">
        <is>
          <t>160028</t>
        </is>
      </c>
      <c r="H930" s="43" t="inlineStr">
        <is>
          <t>160</t>
        </is>
      </c>
      <c r="I930" s="43" t="inlineStr">
        <is>
          <t>028</t>
        </is>
      </c>
      <c r="J930" s="222" t="n">
        <v>1640</v>
      </c>
      <c r="K930" s="222" t="n">
        <v>350</v>
      </c>
      <c r="L930" s="43" t="inlineStr">
        <is>
          <t>在来・204</t>
        </is>
      </c>
      <c r="M930" s="178" t="b">
        <v>1</v>
      </c>
      <c r="N930" s="43" t="inlineStr">
        <is>
          <t>サイズ共通</t>
        </is>
      </c>
      <c r="O930" s="222" t="n">
        <v>141</v>
      </c>
      <c r="P930" s="222" t="n">
        <v>139</v>
      </c>
      <c r="Q930" s="43" t="inlineStr">
        <is>
          <t>202604_LIXIL_サーモスＬ_業務用資料集_完成品価格表.pdf</t>
        </is>
      </c>
      <c r="R930" s="43" t="inlineStr">
        <is>
          <t>固有仕様ID='*'：サイズは当該窓種の固有仕様間で共通扱い。個別部材の設定可否は関係表で制御。</t>
        </is>
      </c>
      <c r="S930" s="42" t="inlineStr">
        <is>
          <t>無印</t>
        </is>
      </c>
      <c r="T930" s="42" t="n">
        <v>138</v>
      </c>
      <c r="U930" s="42" t="inlineStr">
        <is>
          <t>P138|無印</t>
        </is>
      </c>
      <c r="V930" s="42" t="inlineStr">
        <is>
          <t>同一価格表・前頁凡例を継承</t>
        </is>
      </c>
    </row>
    <row r="931">
      <c r="A931" s="43" t="inlineStr">
        <is>
          <t>SZ-SL-000928</t>
        </is>
      </c>
      <c r="B931" s="43" t="inlineStr">
        <is>
          <t>SER-LIX-SAMOSL</t>
        </is>
      </c>
      <c r="C931" s="43" t="inlineStr">
        <is>
          <t>WT-SL-KOSHO-YOKO</t>
        </is>
      </c>
      <c r="D931" s="43" t="inlineStr">
        <is>
          <t>高所用横すべり出し窓</t>
        </is>
      </c>
      <c r="E931" s="43" t="inlineStr">
        <is>
          <t>*</t>
        </is>
      </c>
      <c r="F931" s="43" t="inlineStr">
        <is>
          <t>在来・204</t>
        </is>
      </c>
      <c r="G931" s="43" t="inlineStr">
        <is>
          <t>16003</t>
        </is>
      </c>
      <c r="H931" s="43" t="inlineStr">
        <is>
          <t>160</t>
        </is>
      </c>
      <c r="I931" s="43" t="inlineStr">
        <is>
          <t>03</t>
        </is>
      </c>
      <c r="J931" s="222" t="n">
        <v>1640</v>
      </c>
      <c r="K931" s="222" t="n">
        <v>370</v>
      </c>
      <c r="L931" s="43" t="inlineStr">
        <is>
          <t>在来・204</t>
        </is>
      </c>
      <c r="M931" s="178" t="b">
        <v>1</v>
      </c>
      <c r="N931" s="43" t="inlineStr">
        <is>
          <t>サイズ共通</t>
        </is>
      </c>
      <c r="O931" s="222" t="n">
        <v>141</v>
      </c>
      <c r="P931" s="222" t="n">
        <v>139</v>
      </c>
      <c r="Q931" s="43" t="inlineStr">
        <is>
          <t>202604_LIXIL_サーモスＬ_業務用資料集_完成品価格表.pdf</t>
        </is>
      </c>
      <c r="R931" s="43" t="inlineStr">
        <is>
          <t>固有仕様ID='*'：サイズは当該窓種の固有仕様間で共通扱い。個別部材の設定可否は関係表で制御。</t>
        </is>
      </c>
      <c r="S931" s="42" t="inlineStr">
        <is>
          <t>無印</t>
        </is>
      </c>
      <c r="T931" s="42" t="n">
        <v>138</v>
      </c>
      <c r="U931" s="42" t="inlineStr">
        <is>
          <t>P138|無印</t>
        </is>
      </c>
      <c r="V931" s="42" t="inlineStr">
        <is>
          <t>同一価格表・前頁凡例を継承</t>
        </is>
      </c>
    </row>
    <row r="932">
      <c r="A932" s="43" t="inlineStr">
        <is>
          <t>SZ-SL-000929</t>
        </is>
      </c>
      <c r="B932" s="43" t="inlineStr">
        <is>
          <t>SER-LIX-SAMOSL</t>
        </is>
      </c>
      <c r="C932" s="43" t="inlineStr">
        <is>
          <t>WT-SL-KOSHO-YOKO</t>
        </is>
      </c>
      <c r="D932" s="43" t="inlineStr">
        <is>
          <t>高所用横すべり出し窓</t>
        </is>
      </c>
      <c r="E932" s="43" t="inlineStr">
        <is>
          <t>*</t>
        </is>
      </c>
      <c r="F932" s="43" t="inlineStr">
        <is>
          <t>在来・204</t>
        </is>
      </c>
      <c r="G932" s="43" t="inlineStr">
        <is>
          <t>16005</t>
        </is>
      </c>
      <c r="H932" s="43" t="inlineStr">
        <is>
          <t>160</t>
        </is>
      </c>
      <c r="I932" s="43" t="inlineStr">
        <is>
          <t>05</t>
        </is>
      </c>
      <c r="J932" s="222" t="n">
        <v>1640</v>
      </c>
      <c r="K932" s="222" t="n">
        <v>570</v>
      </c>
      <c r="L932" s="43" t="inlineStr">
        <is>
          <t>在来・204</t>
        </is>
      </c>
      <c r="M932" s="178" t="b">
        <v>1</v>
      </c>
      <c r="N932" s="43" t="inlineStr">
        <is>
          <t>サイズ共通</t>
        </is>
      </c>
      <c r="O932" s="222" t="n">
        <v>141</v>
      </c>
      <c r="P932" s="222" t="n">
        <v>139</v>
      </c>
      <c r="Q932" s="43" t="inlineStr">
        <is>
          <t>202604_LIXIL_サーモスＬ_業務用資料集_完成品価格表.pdf</t>
        </is>
      </c>
      <c r="R932" s="43" t="inlineStr">
        <is>
          <t>固有仕様ID='*'：サイズは当該窓種の固有仕様間で共通扱い。個別部材の設定可否は関係表で制御。</t>
        </is>
      </c>
      <c r="S932" s="42" t="inlineStr">
        <is>
          <t>無印</t>
        </is>
      </c>
      <c r="T932" s="42" t="n">
        <v>138</v>
      </c>
      <c r="U932" s="42" t="inlineStr">
        <is>
          <t>P138|無印</t>
        </is>
      </c>
      <c r="V932" s="42" t="inlineStr">
        <is>
          <t>同一価格表・前頁凡例を継承</t>
        </is>
      </c>
    </row>
    <row r="933">
      <c r="A933" s="43" t="inlineStr">
        <is>
          <t>SZ-SL-000930</t>
        </is>
      </c>
      <c r="B933" s="43" t="inlineStr">
        <is>
          <t>SER-LIX-SAMOSL</t>
        </is>
      </c>
      <c r="C933" s="43" t="inlineStr">
        <is>
          <t>WT-SL-KOSHO-YOKO</t>
        </is>
      </c>
      <c r="D933" s="43" t="inlineStr">
        <is>
          <t>高所用横すべり出し窓</t>
        </is>
      </c>
      <c r="E933" s="43" t="inlineStr">
        <is>
          <t>*</t>
        </is>
      </c>
      <c r="F933" s="43" t="inlineStr">
        <is>
          <t>在来・204</t>
        </is>
      </c>
      <c r="G933" s="43" t="inlineStr">
        <is>
          <t>165023</t>
        </is>
      </c>
      <c r="H933" s="43" t="inlineStr">
        <is>
          <t>165</t>
        </is>
      </c>
      <c r="I933" s="43" t="inlineStr">
        <is>
          <t>023</t>
        </is>
      </c>
      <c r="J933" s="222" t="n">
        <v>1690</v>
      </c>
      <c r="K933" s="222" t="n">
        <v>300</v>
      </c>
      <c r="L933" s="43" t="inlineStr">
        <is>
          <t>在来・204</t>
        </is>
      </c>
      <c r="M933" s="178" t="b">
        <v>1</v>
      </c>
      <c r="N933" s="43" t="inlineStr">
        <is>
          <t>サイズ共通</t>
        </is>
      </c>
      <c r="O933" s="222" t="n">
        <v>141</v>
      </c>
      <c r="P933" s="222" t="n">
        <v>139</v>
      </c>
      <c r="Q933" s="43" t="inlineStr">
        <is>
          <t>202604_LIXIL_サーモスＬ_業務用資料集_完成品価格表.pdf</t>
        </is>
      </c>
      <c r="R933" s="43" t="inlineStr">
        <is>
          <t>固有仕様ID='*'：サイズは当該窓種の固有仕様間で共通扱い。個別部材の設定可否は関係表で制御。</t>
        </is>
      </c>
      <c r="S933" s="42" t="inlineStr">
        <is>
          <t>無印</t>
        </is>
      </c>
      <c r="T933" s="42" t="n">
        <v>138</v>
      </c>
      <c r="U933" s="42" t="inlineStr">
        <is>
          <t>P138|無印</t>
        </is>
      </c>
      <c r="V933" s="42" t="inlineStr">
        <is>
          <t>同一価格表・前頁凡例を継承</t>
        </is>
      </c>
    </row>
    <row r="934">
      <c r="A934" s="43" t="inlineStr">
        <is>
          <t>SZ-SL-000931</t>
        </is>
      </c>
      <c r="B934" s="43" t="inlineStr">
        <is>
          <t>SER-LIX-SAMOSL</t>
        </is>
      </c>
      <c r="C934" s="43" t="inlineStr">
        <is>
          <t>WT-SL-KOSHO-YOKO</t>
        </is>
      </c>
      <c r="D934" s="43" t="inlineStr">
        <is>
          <t>高所用横すべり出し窓</t>
        </is>
      </c>
      <c r="E934" s="43" t="inlineStr">
        <is>
          <t>*</t>
        </is>
      </c>
      <c r="F934" s="43" t="inlineStr">
        <is>
          <t>在来・204</t>
        </is>
      </c>
      <c r="G934" s="43" t="inlineStr">
        <is>
          <t>165028</t>
        </is>
      </c>
      <c r="H934" s="43" t="inlineStr">
        <is>
          <t>165</t>
        </is>
      </c>
      <c r="I934" s="43" t="inlineStr">
        <is>
          <t>028</t>
        </is>
      </c>
      <c r="J934" s="222" t="n">
        <v>1690</v>
      </c>
      <c r="K934" s="222" t="n">
        <v>350</v>
      </c>
      <c r="L934" s="43" t="inlineStr">
        <is>
          <t>在来・204</t>
        </is>
      </c>
      <c r="M934" s="178" t="b">
        <v>1</v>
      </c>
      <c r="N934" s="43" t="inlineStr">
        <is>
          <t>サイズ共通</t>
        </is>
      </c>
      <c r="O934" s="222" t="n">
        <v>141</v>
      </c>
      <c r="P934" s="222" t="n">
        <v>139</v>
      </c>
      <c r="Q934" s="43" t="inlineStr">
        <is>
          <t>202604_LIXIL_サーモスＬ_業務用資料集_完成品価格表.pdf</t>
        </is>
      </c>
      <c r="R934" s="43" t="inlineStr">
        <is>
          <t>固有仕様ID='*'：サイズは当該窓種の固有仕様間で共通扱い。個別部材の設定可否は関係表で制御。</t>
        </is>
      </c>
      <c r="S934" s="42" t="inlineStr">
        <is>
          <t>無印</t>
        </is>
      </c>
      <c r="T934" s="42" t="n">
        <v>138</v>
      </c>
      <c r="U934" s="42" t="inlineStr">
        <is>
          <t>P138|無印</t>
        </is>
      </c>
      <c r="V934" s="42" t="inlineStr">
        <is>
          <t>同一価格表・前頁凡例を継承</t>
        </is>
      </c>
    </row>
    <row r="935">
      <c r="A935" s="43" t="inlineStr">
        <is>
          <t>SZ-SL-000932</t>
        </is>
      </c>
      <c r="B935" s="43" t="inlineStr">
        <is>
          <t>SER-LIX-SAMOSL</t>
        </is>
      </c>
      <c r="C935" s="43" t="inlineStr">
        <is>
          <t>WT-SL-KOSHO-YOKO</t>
        </is>
      </c>
      <c r="D935" s="43" t="inlineStr">
        <is>
          <t>高所用横すべり出し窓</t>
        </is>
      </c>
      <c r="E935" s="43" t="inlineStr">
        <is>
          <t>*</t>
        </is>
      </c>
      <c r="F935" s="43" t="inlineStr">
        <is>
          <t>在来・204</t>
        </is>
      </c>
      <c r="G935" s="43" t="inlineStr">
        <is>
          <t>16503</t>
        </is>
      </c>
      <c r="H935" s="43" t="inlineStr">
        <is>
          <t>165</t>
        </is>
      </c>
      <c r="I935" s="43" t="inlineStr">
        <is>
          <t>03</t>
        </is>
      </c>
      <c r="J935" s="222" t="n">
        <v>1690</v>
      </c>
      <c r="K935" s="222" t="n">
        <v>370</v>
      </c>
      <c r="L935" s="43" t="inlineStr">
        <is>
          <t>在来・204</t>
        </is>
      </c>
      <c r="M935" s="178" t="b">
        <v>1</v>
      </c>
      <c r="N935" s="43" t="inlineStr">
        <is>
          <t>サイズ共通</t>
        </is>
      </c>
      <c r="O935" s="222" t="n">
        <v>141</v>
      </c>
      <c r="P935" s="222" t="n">
        <v>139</v>
      </c>
      <c r="Q935" s="43" t="inlineStr">
        <is>
          <t>202604_LIXIL_サーモスＬ_業務用資料集_完成品価格表.pdf</t>
        </is>
      </c>
      <c r="R935" s="43" t="inlineStr">
        <is>
          <t>固有仕様ID='*'：サイズは当該窓種の固有仕様間で共通扱い。個別部材の設定可否は関係表で制御。</t>
        </is>
      </c>
      <c r="S935" s="42" t="inlineStr">
        <is>
          <t>無印</t>
        </is>
      </c>
      <c r="T935" s="42" t="n">
        <v>138</v>
      </c>
      <c r="U935" s="42" t="inlineStr">
        <is>
          <t>P138|無印</t>
        </is>
      </c>
      <c r="V935" s="42" t="inlineStr">
        <is>
          <t>同一価格表・前頁凡例を継承</t>
        </is>
      </c>
    </row>
    <row r="936">
      <c r="A936" s="43" t="inlineStr">
        <is>
          <t>SZ-SL-000933</t>
        </is>
      </c>
      <c r="B936" s="43" t="inlineStr">
        <is>
          <t>SER-LIX-SAMOSL</t>
        </is>
      </c>
      <c r="C936" s="43" t="inlineStr">
        <is>
          <t>WT-SL-KOSHO-YOKO</t>
        </is>
      </c>
      <c r="D936" s="43" t="inlineStr">
        <is>
          <t>高所用横すべり出し窓</t>
        </is>
      </c>
      <c r="E936" s="43" t="inlineStr">
        <is>
          <t>*</t>
        </is>
      </c>
      <c r="F936" s="43" t="inlineStr">
        <is>
          <t>在来・204</t>
        </is>
      </c>
      <c r="G936" s="43" t="inlineStr">
        <is>
          <t>16505</t>
        </is>
      </c>
      <c r="H936" s="43" t="inlineStr">
        <is>
          <t>165</t>
        </is>
      </c>
      <c r="I936" s="43" t="inlineStr">
        <is>
          <t>05</t>
        </is>
      </c>
      <c r="J936" s="222" t="n">
        <v>1690</v>
      </c>
      <c r="K936" s="222" t="n">
        <v>570</v>
      </c>
      <c r="L936" s="43" t="inlineStr">
        <is>
          <t>在来・204</t>
        </is>
      </c>
      <c r="M936" s="178" t="b">
        <v>1</v>
      </c>
      <c r="N936" s="43" t="inlineStr">
        <is>
          <t>サイズ共通</t>
        </is>
      </c>
      <c r="O936" s="222" t="n">
        <v>141</v>
      </c>
      <c r="P936" s="222" t="n">
        <v>139</v>
      </c>
      <c r="Q936" s="43" t="inlineStr">
        <is>
          <t>202604_LIXIL_サーモスＬ_業務用資料集_完成品価格表.pdf</t>
        </is>
      </c>
      <c r="R936" s="43" t="inlineStr">
        <is>
          <t>固有仕様ID='*'：サイズは当該窓種の固有仕様間で共通扱い。個別部材の設定可否は関係表で制御。</t>
        </is>
      </c>
      <c r="S936" s="42" t="inlineStr">
        <is>
          <t>無印</t>
        </is>
      </c>
      <c r="T936" s="42" t="n">
        <v>138</v>
      </c>
      <c r="U936" s="42" t="inlineStr">
        <is>
          <t>P138|無印</t>
        </is>
      </c>
      <c r="V936" s="42" t="inlineStr">
        <is>
          <t>同一価格表・前頁凡例を継承</t>
        </is>
      </c>
    </row>
    <row r="937">
      <c r="A937" s="43" t="inlineStr">
        <is>
          <t>SZ-SL-000934</t>
        </is>
      </c>
      <c r="B937" s="43" t="inlineStr">
        <is>
          <t>SER-LIX-SAMOSL</t>
        </is>
      </c>
      <c r="C937" s="43" t="inlineStr">
        <is>
          <t>WT-SL-KOSHO-YOKO</t>
        </is>
      </c>
      <c r="D937" s="43" t="inlineStr">
        <is>
          <t>高所用横すべり出し窓</t>
        </is>
      </c>
      <c r="E937" s="43" t="inlineStr">
        <is>
          <t>*</t>
        </is>
      </c>
      <c r="F937" s="43" t="inlineStr">
        <is>
          <t>在来・204</t>
        </is>
      </c>
      <c r="G937" s="43" t="inlineStr">
        <is>
          <t>03607</t>
        </is>
      </c>
      <c r="H937" s="43" t="inlineStr">
        <is>
          <t>036</t>
        </is>
      </c>
      <c r="I937" s="43" t="inlineStr">
        <is>
          <t>07</t>
        </is>
      </c>
      <c r="J937" s="222" t="n">
        <v>405</v>
      </c>
      <c r="K937" s="222" t="n">
        <v>770</v>
      </c>
      <c r="L937" s="43" t="inlineStr">
        <is>
          <t>在来・204</t>
        </is>
      </c>
      <c r="M937" s="178" t="b">
        <v>1</v>
      </c>
      <c r="N937" s="43" t="inlineStr">
        <is>
          <t>サイズ共通</t>
        </is>
      </c>
      <c r="O937" s="222" t="n">
        <v>142</v>
      </c>
      <c r="P937" s="222" t="n">
        <v>140</v>
      </c>
      <c r="Q937" s="43" t="inlineStr">
        <is>
          <t>202604_LIXIL_サーモスＬ_業務用資料集_完成品価格表.pdf</t>
        </is>
      </c>
      <c r="R937" s="43" t="inlineStr">
        <is>
          <t>固有仕様ID='*'：サイズは当該窓種の固有仕様間で共通扱い。個別部材の設定可否は関係表で制御。</t>
        </is>
      </c>
      <c r="S937" s="42" t="inlineStr">
        <is>
          <t>無印</t>
        </is>
      </c>
      <c r="T937" s="42" t="n">
        <v>140</v>
      </c>
      <c r="U937" s="42" t="inlineStr">
        <is>
          <t>P140|無印</t>
        </is>
      </c>
      <c r="V937" s="42" t="inlineStr">
        <is>
          <t>同頁凡例へ直接連動</t>
        </is>
      </c>
    </row>
    <row r="938">
      <c r="A938" s="43" t="inlineStr">
        <is>
          <t>SZ-SL-000935</t>
        </is>
      </c>
      <c r="B938" s="43" t="inlineStr">
        <is>
          <t>SER-LIX-SAMOSL</t>
        </is>
      </c>
      <c r="C938" s="43" t="inlineStr">
        <is>
          <t>WT-SL-KOSHO-YOKO</t>
        </is>
      </c>
      <c r="D938" s="43" t="inlineStr">
        <is>
          <t>高所用横すべり出し窓</t>
        </is>
      </c>
      <c r="E938" s="43" t="inlineStr">
        <is>
          <t>*</t>
        </is>
      </c>
      <c r="F938" s="43" t="inlineStr">
        <is>
          <t>在来・204</t>
        </is>
      </c>
      <c r="G938" s="43" t="inlineStr">
        <is>
          <t>03609</t>
        </is>
      </c>
      <c r="H938" s="43" t="inlineStr">
        <is>
          <t>036</t>
        </is>
      </c>
      <c r="I938" s="43" t="inlineStr">
        <is>
          <t>09</t>
        </is>
      </c>
      <c r="J938" s="222" t="n">
        <v>405</v>
      </c>
      <c r="K938" s="222" t="n">
        <v>970</v>
      </c>
      <c r="L938" s="43" t="inlineStr">
        <is>
          <t>在来・204</t>
        </is>
      </c>
      <c r="M938" s="178" t="b">
        <v>1</v>
      </c>
      <c r="N938" s="43" t="inlineStr">
        <is>
          <t>サイズ共通</t>
        </is>
      </c>
      <c r="O938" s="222" t="n">
        <v>142</v>
      </c>
      <c r="P938" s="222" t="n">
        <v>140</v>
      </c>
      <c r="Q938" s="43" t="inlineStr">
        <is>
          <t>202604_LIXIL_サーモスＬ_業務用資料集_完成品価格表.pdf</t>
        </is>
      </c>
      <c r="R938" s="43" t="inlineStr">
        <is>
          <t>固有仕様ID='*'：サイズは当該窓種の固有仕様間で共通扱い。個別部材の設定可否は関係表で制御。</t>
        </is>
      </c>
      <c r="S938" s="42" t="inlineStr">
        <is>
          <t>無印</t>
        </is>
      </c>
      <c r="T938" s="42" t="n">
        <v>140</v>
      </c>
      <c r="U938" s="42" t="inlineStr">
        <is>
          <t>P140|無印</t>
        </is>
      </c>
      <c r="V938" s="42" t="inlineStr">
        <is>
          <t>同頁凡例へ直接連動</t>
        </is>
      </c>
    </row>
    <row r="939">
      <c r="A939" s="43" t="inlineStr">
        <is>
          <t>SZ-SL-000936</t>
        </is>
      </c>
      <c r="B939" s="43" t="inlineStr">
        <is>
          <t>SER-LIX-SAMOSL</t>
        </is>
      </c>
      <c r="C939" s="43" t="inlineStr">
        <is>
          <t>WT-SL-KOSHO-YOKO</t>
        </is>
      </c>
      <c r="D939" s="43" t="inlineStr">
        <is>
          <t>高所用横すべり出し窓</t>
        </is>
      </c>
      <c r="E939" s="43" t="inlineStr">
        <is>
          <t>*</t>
        </is>
      </c>
      <c r="F939" s="43" t="inlineStr">
        <is>
          <t>在来・204</t>
        </is>
      </c>
      <c r="G939" s="43" t="inlineStr">
        <is>
          <t>03611</t>
        </is>
      </c>
      <c r="H939" s="43" t="inlineStr">
        <is>
          <t>036</t>
        </is>
      </c>
      <c r="I939" s="43" t="inlineStr">
        <is>
          <t>11</t>
        </is>
      </c>
      <c r="J939" s="222" t="n">
        <v>405</v>
      </c>
      <c r="K939" s="222" t="n">
        <v>1170</v>
      </c>
      <c r="L939" s="43" t="inlineStr">
        <is>
          <t>在来・204</t>
        </is>
      </c>
      <c r="M939" s="178" t="b">
        <v>1</v>
      </c>
      <c r="N939" s="43" t="inlineStr">
        <is>
          <t>サイズ共通</t>
        </is>
      </c>
      <c r="O939" s="222" t="n">
        <v>142</v>
      </c>
      <c r="P939" s="222" t="n">
        <v>140</v>
      </c>
      <c r="Q939" s="43" t="inlineStr">
        <is>
          <t>202604_LIXIL_サーモスＬ_業務用資料集_完成品価格表.pdf</t>
        </is>
      </c>
      <c r="R939" s="43" t="inlineStr">
        <is>
          <t>固有仕様ID='*'：サイズは当該窓種の固有仕様間で共通扱い。個別部材の設定可否は関係表で制御。</t>
        </is>
      </c>
      <c r="S939" s="42" t="inlineStr">
        <is>
          <t>無印</t>
        </is>
      </c>
      <c r="T939" s="42" t="n">
        <v>140</v>
      </c>
      <c r="U939" s="42" t="inlineStr">
        <is>
          <t>P140|無印</t>
        </is>
      </c>
      <c r="V939" s="42" t="inlineStr">
        <is>
          <t>同頁凡例へ直接連動</t>
        </is>
      </c>
    </row>
    <row r="940">
      <c r="A940" s="43" t="inlineStr">
        <is>
          <t>SZ-SL-000937</t>
        </is>
      </c>
      <c r="B940" s="43" t="inlineStr">
        <is>
          <t>SER-LIX-SAMOSL</t>
        </is>
      </c>
      <c r="C940" s="43" t="inlineStr">
        <is>
          <t>WT-SL-KOSHO-YOKO</t>
        </is>
      </c>
      <c r="D940" s="43" t="inlineStr">
        <is>
          <t>高所用横すべり出し窓</t>
        </is>
      </c>
      <c r="E940" s="43" t="inlineStr">
        <is>
          <t>*</t>
        </is>
      </c>
      <c r="F940" s="43" t="inlineStr">
        <is>
          <t>在来・204</t>
        </is>
      </c>
      <c r="G940" s="43" t="inlineStr">
        <is>
          <t>03613</t>
        </is>
      </c>
      <c r="H940" s="43" t="inlineStr">
        <is>
          <t>036</t>
        </is>
      </c>
      <c r="I940" s="43" t="inlineStr">
        <is>
          <t>13</t>
        </is>
      </c>
      <c r="J940" s="222" t="n">
        <v>405</v>
      </c>
      <c r="K940" s="222" t="n">
        <v>1370</v>
      </c>
      <c r="L940" s="43" t="inlineStr">
        <is>
          <t>在来・204</t>
        </is>
      </c>
      <c r="M940" s="178" t="b">
        <v>1</v>
      </c>
      <c r="N940" s="43" t="inlineStr">
        <is>
          <t>サイズ共通</t>
        </is>
      </c>
      <c r="O940" s="222" t="n">
        <v>142</v>
      </c>
      <c r="P940" s="222" t="n">
        <v>140</v>
      </c>
      <c r="Q940" s="43" t="inlineStr">
        <is>
          <t>202604_LIXIL_サーモスＬ_業務用資料集_完成品価格表.pdf</t>
        </is>
      </c>
      <c r="R940" s="43" t="inlineStr">
        <is>
          <t>固有仕様ID='*'：サイズは当該窓種の固有仕様間で共通扱い。個別部材の設定可否は関係表で制御。</t>
        </is>
      </c>
      <c r="S940" s="42" t="inlineStr">
        <is>
          <t>無印</t>
        </is>
      </c>
      <c r="T940" s="42" t="n">
        <v>140</v>
      </c>
      <c r="U940" s="42" t="inlineStr">
        <is>
          <t>P140|無印</t>
        </is>
      </c>
      <c r="V940" s="42" t="inlineStr">
        <is>
          <t>同頁凡例へ直接連動</t>
        </is>
      </c>
    </row>
    <row r="941">
      <c r="A941" s="43" t="inlineStr">
        <is>
          <t>SZ-SL-000938</t>
        </is>
      </c>
      <c r="B941" s="43" t="inlineStr">
        <is>
          <t>SER-LIX-SAMOSL</t>
        </is>
      </c>
      <c r="C941" s="43" t="inlineStr">
        <is>
          <t>WT-SL-KOSHO-YOKO</t>
        </is>
      </c>
      <c r="D941" s="43" t="inlineStr">
        <is>
          <t>高所用横すべり出し窓</t>
        </is>
      </c>
      <c r="E941" s="43" t="inlineStr">
        <is>
          <t>*</t>
        </is>
      </c>
      <c r="F941" s="43" t="inlineStr">
        <is>
          <t>在来・204</t>
        </is>
      </c>
      <c r="G941" s="43" t="inlineStr">
        <is>
          <t>06007</t>
        </is>
      </c>
      <c r="H941" s="43" t="inlineStr">
        <is>
          <t>060</t>
        </is>
      </c>
      <c r="I941" s="43" t="inlineStr">
        <is>
          <t>07</t>
        </is>
      </c>
      <c r="J941" s="222" t="n">
        <v>640</v>
      </c>
      <c r="K941" s="222" t="n">
        <v>770</v>
      </c>
      <c r="L941" s="43" t="inlineStr">
        <is>
          <t>在来・204</t>
        </is>
      </c>
      <c r="M941" s="178" t="b">
        <v>1</v>
      </c>
      <c r="N941" s="43" t="inlineStr">
        <is>
          <t>サイズ共通</t>
        </is>
      </c>
      <c r="O941" s="222" t="n">
        <v>142</v>
      </c>
      <c r="P941" s="222" t="n">
        <v>140</v>
      </c>
      <c r="Q941" s="43" t="inlineStr">
        <is>
          <t>202604_LIXIL_サーモスＬ_業務用資料集_完成品価格表.pdf</t>
        </is>
      </c>
      <c r="R941" s="43" t="inlineStr">
        <is>
          <t>固有仕様ID='*'：サイズは当該窓種の固有仕様間で共通扱い。個別部材の設定可否は関係表で制御。</t>
        </is>
      </c>
      <c r="S941" s="42" t="inlineStr">
        <is>
          <t>無印</t>
        </is>
      </c>
      <c r="T941" s="42" t="n">
        <v>140</v>
      </c>
      <c r="U941" s="42" t="inlineStr">
        <is>
          <t>P140|無印</t>
        </is>
      </c>
      <c r="V941" s="42" t="inlineStr">
        <is>
          <t>同頁凡例へ直接連動</t>
        </is>
      </c>
    </row>
    <row r="942">
      <c r="A942" s="43" t="inlineStr">
        <is>
          <t>SZ-SL-000939</t>
        </is>
      </c>
      <c r="B942" s="43" t="inlineStr">
        <is>
          <t>SER-LIX-SAMOSL</t>
        </is>
      </c>
      <c r="C942" s="43" t="inlineStr">
        <is>
          <t>WT-SL-KOSHO-YOKO</t>
        </is>
      </c>
      <c r="D942" s="43" t="inlineStr">
        <is>
          <t>高所用横すべり出し窓</t>
        </is>
      </c>
      <c r="E942" s="43" t="inlineStr">
        <is>
          <t>*</t>
        </is>
      </c>
      <c r="F942" s="43" t="inlineStr">
        <is>
          <t>在来・204</t>
        </is>
      </c>
      <c r="G942" s="43" t="inlineStr">
        <is>
          <t>06009</t>
        </is>
      </c>
      <c r="H942" s="43" t="inlineStr">
        <is>
          <t>060</t>
        </is>
      </c>
      <c r="I942" s="43" t="inlineStr">
        <is>
          <t>09</t>
        </is>
      </c>
      <c r="J942" s="222" t="n">
        <v>640</v>
      </c>
      <c r="K942" s="222" t="n">
        <v>970</v>
      </c>
      <c r="L942" s="43" t="inlineStr">
        <is>
          <t>在来・204</t>
        </is>
      </c>
      <c r="M942" s="178" t="b">
        <v>1</v>
      </c>
      <c r="N942" s="43" t="inlineStr">
        <is>
          <t>サイズ共通</t>
        </is>
      </c>
      <c r="O942" s="222" t="n">
        <v>142</v>
      </c>
      <c r="P942" s="222" t="n">
        <v>140</v>
      </c>
      <c r="Q942" s="43" t="inlineStr">
        <is>
          <t>202604_LIXIL_サーモスＬ_業務用資料集_完成品価格表.pdf</t>
        </is>
      </c>
      <c r="R942" s="43" t="inlineStr">
        <is>
          <t>固有仕様ID='*'：サイズは当該窓種の固有仕様間で共通扱い。個別部材の設定可否は関係表で制御。</t>
        </is>
      </c>
      <c r="S942" s="42" t="inlineStr">
        <is>
          <t>無印</t>
        </is>
      </c>
      <c r="T942" s="42" t="n">
        <v>140</v>
      </c>
      <c r="U942" s="42" t="inlineStr">
        <is>
          <t>P140|無印</t>
        </is>
      </c>
      <c r="V942" s="42" t="inlineStr">
        <is>
          <t>同頁凡例へ直接連動</t>
        </is>
      </c>
    </row>
    <row r="943">
      <c r="A943" s="43" t="inlineStr">
        <is>
          <t>SZ-SL-000940</t>
        </is>
      </c>
      <c r="B943" s="43" t="inlineStr">
        <is>
          <t>SER-LIX-SAMOSL</t>
        </is>
      </c>
      <c r="C943" s="43" t="inlineStr">
        <is>
          <t>WT-SL-KOSHO-YOKO</t>
        </is>
      </c>
      <c r="D943" s="43" t="inlineStr">
        <is>
          <t>高所用横すべり出し窓</t>
        </is>
      </c>
      <c r="E943" s="43" t="inlineStr">
        <is>
          <t>*</t>
        </is>
      </c>
      <c r="F943" s="43" t="inlineStr">
        <is>
          <t>在来・204</t>
        </is>
      </c>
      <c r="G943" s="43" t="inlineStr">
        <is>
          <t>06011</t>
        </is>
      </c>
      <c r="H943" s="43" t="inlineStr">
        <is>
          <t>060</t>
        </is>
      </c>
      <c r="I943" s="43" t="inlineStr">
        <is>
          <t>11</t>
        </is>
      </c>
      <c r="J943" s="222" t="n">
        <v>640</v>
      </c>
      <c r="K943" s="222" t="n">
        <v>1170</v>
      </c>
      <c r="L943" s="43" t="inlineStr">
        <is>
          <t>在来・204</t>
        </is>
      </c>
      <c r="M943" s="178" t="b">
        <v>1</v>
      </c>
      <c r="N943" s="43" t="inlineStr">
        <is>
          <t>サイズ共通</t>
        </is>
      </c>
      <c r="O943" s="222" t="n">
        <v>142</v>
      </c>
      <c r="P943" s="222" t="n">
        <v>140</v>
      </c>
      <c r="Q943" s="43" t="inlineStr">
        <is>
          <t>202604_LIXIL_サーモスＬ_業務用資料集_完成品価格表.pdf</t>
        </is>
      </c>
      <c r="R943" s="43" t="inlineStr">
        <is>
          <t>固有仕様ID='*'：サイズは当該窓種の固有仕様間で共通扱い。個別部材の設定可否は関係表で制御。</t>
        </is>
      </c>
      <c r="S943" s="42" t="inlineStr">
        <is>
          <t>無印</t>
        </is>
      </c>
      <c r="T943" s="42" t="n">
        <v>140</v>
      </c>
      <c r="U943" s="42" t="inlineStr">
        <is>
          <t>P140|無印</t>
        </is>
      </c>
      <c r="V943" s="42" t="inlineStr">
        <is>
          <t>同頁凡例へ直接連動</t>
        </is>
      </c>
    </row>
    <row r="944">
      <c r="A944" s="43" t="inlineStr">
        <is>
          <t>SZ-SL-000941</t>
        </is>
      </c>
      <c r="B944" s="43" t="inlineStr">
        <is>
          <t>SER-LIX-SAMOSL</t>
        </is>
      </c>
      <c r="C944" s="43" t="inlineStr">
        <is>
          <t>WT-SL-KOSHO-YOKO</t>
        </is>
      </c>
      <c r="D944" s="43" t="inlineStr">
        <is>
          <t>高所用横すべり出し窓</t>
        </is>
      </c>
      <c r="E944" s="43" t="inlineStr">
        <is>
          <t>*</t>
        </is>
      </c>
      <c r="F944" s="43" t="inlineStr">
        <is>
          <t>在来・204</t>
        </is>
      </c>
      <c r="G944" s="43" t="inlineStr">
        <is>
          <t>06013</t>
        </is>
      </c>
      <c r="H944" s="43" t="inlineStr">
        <is>
          <t>060</t>
        </is>
      </c>
      <c r="I944" s="43" t="inlineStr">
        <is>
          <t>13</t>
        </is>
      </c>
      <c r="J944" s="222" t="n">
        <v>640</v>
      </c>
      <c r="K944" s="222" t="n">
        <v>1370</v>
      </c>
      <c r="L944" s="43" t="inlineStr">
        <is>
          <t>在来・204</t>
        </is>
      </c>
      <c r="M944" s="178" t="b">
        <v>1</v>
      </c>
      <c r="N944" s="43" t="inlineStr">
        <is>
          <t>サイズ共通</t>
        </is>
      </c>
      <c r="O944" s="222" t="n">
        <v>142</v>
      </c>
      <c r="P944" s="222" t="n">
        <v>140</v>
      </c>
      <c r="Q944" s="43" t="inlineStr">
        <is>
          <t>202604_LIXIL_サーモスＬ_業務用資料集_完成品価格表.pdf</t>
        </is>
      </c>
      <c r="R944" s="43" t="inlineStr">
        <is>
          <t>固有仕様ID='*'：サイズは当該窓種の固有仕様間で共通扱い。個別部材の設定可否は関係表で制御。</t>
        </is>
      </c>
      <c r="S944" s="42" t="inlineStr">
        <is>
          <t>★</t>
        </is>
      </c>
      <c r="T944" s="42" t="n">
        <v>140</v>
      </c>
      <c r="U944" s="42" t="inlineStr">
        <is>
          <t>P140|★</t>
        </is>
      </c>
      <c r="V944" s="42" t="inlineStr">
        <is>
          <t>同頁凡例へ直接連動</t>
        </is>
      </c>
    </row>
    <row r="945">
      <c r="A945" s="43" t="inlineStr">
        <is>
          <t>SZ-SL-000942</t>
        </is>
      </c>
      <c r="B945" s="43" t="inlineStr">
        <is>
          <t>SER-LIX-SAMOSL</t>
        </is>
      </c>
      <c r="C945" s="43" t="inlineStr">
        <is>
          <t>WT-SL-KOSHO-YOKO</t>
        </is>
      </c>
      <c r="D945" s="43" t="inlineStr">
        <is>
          <t>高所用横すべり出し窓</t>
        </is>
      </c>
      <c r="E945" s="43" t="inlineStr">
        <is>
          <t>*</t>
        </is>
      </c>
      <c r="F945" s="43" t="inlineStr">
        <is>
          <t>在来・204</t>
        </is>
      </c>
      <c r="G945" s="43" t="inlineStr">
        <is>
          <t>06907</t>
        </is>
      </c>
      <c r="H945" s="43" t="inlineStr">
        <is>
          <t>069</t>
        </is>
      </c>
      <c r="I945" s="43" t="inlineStr">
        <is>
          <t>07</t>
        </is>
      </c>
      <c r="J945" s="222" t="n">
        <v>730</v>
      </c>
      <c r="K945" s="222" t="n">
        <v>770</v>
      </c>
      <c r="L945" s="43" t="inlineStr">
        <is>
          <t>在来・204</t>
        </is>
      </c>
      <c r="M945" s="178" t="b">
        <v>1</v>
      </c>
      <c r="N945" s="43" t="inlineStr">
        <is>
          <t>サイズ共通</t>
        </is>
      </c>
      <c r="O945" s="222" t="n">
        <v>142</v>
      </c>
      <c r="P945" s="222" t="n">
        <v>140</v>
      </c>
      <c r="Q945" s="43" t="inlineStr">
        <is>
          <t>202604_LIXIL_サーモスＬ_業務用資料集_完成品価格表.pdf</t>
        </is>
      </c>
      <c r="R945" s="43" t="inlineStr">
        <is>
          <t>固有仕様ID='*'：サイズは当該窓種の固有仕様間で共通扱い。個別部材の設定可否は関係表で制御。</t>
        </is>
      </c>
      <c r="S945" s="42" t="inlineStr">
        <is>
          <t>無印</t>
        </is>
      </c>
      <c r="T945" s="42" t="n">
        <v>140</v>
      </c>
      <c r="U945" s="42" t="inlineStr">
        <is>
          <t>P140|無印</t>
        </is>
      </c>
      <c r="V945" s="42" t="inlineStr">
        <is>
          <t>同頁凡例へ直接連動</t>
        </is>
      </c>
    </row>
    <row r="946">
      <c r="A946" s="43" t="inlineStr">
        <is>
          <t>SZ-SL-000943</t>
        </is>
      </c>
      <c r="B946" s="43" t="inlineStr">
        <is>
          <t>SER-LIX-SAMOSL</t>
        </is>
      </c>
      <c r="C946" s="43" t="inlineStr">
        <is>
          <t>WT-SL-KOSHO-YOKO</t>
        </is>
      </c>
      <c r="D946" s="43" t="inlineStr">
        <is>
          <t>高所用横すべり出し窓</t>
        </is>
      </c>
      <c r="E946" s="43" t="inlineStr">
        <is>
          <t>*</t>
        </is>
      </c>
      <c r="F946" s="43" t="inlineStr">
        <is>
          <t>在来・204</t>
        </is>
      </c>
      <c r="G946" s="43" t="inlineStr">
        <is>
          <t>06909</t>
        </is>
      </c>
      <c r="H946" s="43" t="inlineStr">
        <is>
          <t>069</t>
        </is>
      </c>
      <c r="I946" s="43" t="inlineStr">
        <is>
          <t>09</t>
        </is>
      </c>
      <c r="J946" s="222" t="n">
        <v>730</v>
      </c>
      <c r="K946" s="222" t="n">
        <v>970</v>
      </c>
      <c r="L946" s="43" t="inlineStr">
        <is>
          <t>在来・204</t>
        </is>
      </c>
      <c r="M946" s="178" t="b">
        <v>1</v>
      </c>
      <c r="N946" s="43" t="inlineStr">
        <is>
          <t>サイズ共通</t>
        </is>
      </c>
      <c r="O946" s="222" t="n">
        <v>142</v>
      </c>
      <c r="P946" s="222" t="n">
        <v>140</v>
      </c>
      <c r="Q946" s="43" t="inlineStr">
        <is>
          <t>202604_LIXIL_サーモスＬ_業務用資料集_完成品価格表.pdf</t>
        </is>
      </c>
      <c r="R946" s="43" t="inlineStr">
        <is>
          <t>固有仕様ID='*'：サイズは当該窓種の固有仕様間で共通扱い。個別部材の設定可否は関係表で制御。</t>
        </is>
      </c>
      <c r="S946" s="42" t="inlineStr">
        <is>
          <t>無印</t>
        </is>
      </c>
      <c r="T946" s="42" t="n">
        <v>140</v>
      </c>
      <c r="U946" s="42" t="inlineStr">
        <is>
          <t>P140|無印</t>
        </is>
      </c>
      <c r="V946" s="42" t="inlineStr">
        <is>
          <t>同頁凡例へ直接連動</t>
        </is>
      </c>
    </row>
    <row r="947">
      <c r="A947" s="43" t="inlineStr">
        <is>
          <t>SZ-SL-000944</t>
        </is>
      </c>
      <c r="B947" s="43" t="inlineStr">
        <is>
          <t>SER-LIX-SAMOSL</t>
        </is>
      </c>
      <c r="C947" s="43" t="inlineStr">
        <is>
          <t>WT-SL-KOSHO-YOKO</t>
        </is>
      </c>
      <c r="D947" s="43" t="inlineStr">
        <is>
          <t>高所用横すべり出し窓</t>
        </is>
      </c>
      <c r="E947" s="43" t="inlineStr">
        <is>
          <t>*</t>
        </is>
      </c>
      <c r="F947" s="43" t="inlineStr">
        <is>
          <t>在来・204</t>
        </is>
      </c>
      <c r="G947" s="43" t="inlineStr">
        <is>
          <t>07407</t>
        </is>
      </c>
      <c r="H947" s="43" t="inlineStr">
        <is>
          <t>074</t>
        </is>
      </c>
      <c r="I947" s="43" t="inlineStr">
        <is>
          <t>07</t>
        </is>
      </c>
      <c r="J947" s="222" t="n">
        <v>780</v>
      </c>
      <c r="K947" s="222" t="n">
        <v>770</v>
      </c>
      <c r="L947" s="43" t="inlineStr">
        <is>
          <t>在来・204</t>
        </is>
      </c>
      <c r="M947" s="178" t="b">
        <v>1</v>
      </c>
      <c r="N947" s="43" t="inlineStr">
        <is>
          <t>サイズ共通</t>
        </is>
      </c>
      <c r="O947" s="222" t="n">
        <v>142</v>
      </c>
      <c r="P947" s="222" t="n">
        <v>140</v>
      </c>
      <c r="Q947" s="43" t="inlineStr">
        <is>
          <t>202604_LIXIL_サーモスＬ_業務用資料集_完成品価格表.pdf</t>
        </is>
      </c>
      <c r="R947" s="43" t="inlineStr">
        <is>
          <t>固有仕様ID='*'：サイズは当該窓種の固有仕様間で共通扱い。個別部材の設定可否は関係表で制御。</t>
        </is>
      </c>
      <c r="S947" s="42" t="inlineStr">
        <is>
          <t>無印</t>
        </is>
      </c>
      <c r="T947" s="42" t="n">
        <v>140</v>
      </c>
      <c r="U947" s="42" t="inlineStr">
        <is>
          <t>P140|無印</t>
        </is>
      </c>
      <c r="V947" s="42" t="inlineStr">
        <is>
          <t>同頁凡例へ直接連動</t>
        </is>
      </c>
    </row>
    <row r="948">
      <c r="A948" s="43" t="inlineStr">
        <is>
          <t>SZ-SL-000945</t>
        </is>
      </c>
      <c r="B948" s="43" t="inlineStr">
        <is>
          <t>SER-LIX-SAMOSL</t>
        </is>
      </c>
      <c r="C948" s="43" t="inlineStr">
        <is>
          <t>WT-SL-KOSHO-YOKO</t>
        </is>
      </c>
      <c r="D948" s="43" t="inlineStr">
        <is>
          <t>高所用横すべり出し窓</t>
        </is>
      </c>
      <c r="E948" s="43" t="inlineStr">
        <is>
          <t>*</t>
        </is>
      </c>
      <c r="F948" s="43" t="inlineStr">
        <is>
          <t>在来・204</t>
        </is>
      </c>
      <c r="G948" s="43" t="inlineStr">
        <is>
          <t>07409</t>
        </is>
      </c>
      <c r="H948" s="43" t="inlineStr">
        <is>
          <t>074</t>
        </is>
      </c>
      <c r="I948" s="43" t="inlineStr">
        <is>
          <t>09</t>
        </is>
      </c>
      <c r="J948" s="222" t="n">
        <v>780</v>
      </c>
      <c r="K948" s="222" t="n">
        <v>970</v>
      </c>
      <c r="L948" s="43" t="inlineStr">
        <is>
          <t>在来・204</t>
        </is>
      </c>
      <c r="M948" s="178" t="b">
        <v>1</v>
      </c>
      <c r="N948" s="43" t="inlineStr">
        <is>
          <t>サイズ共通</t>
        </is>
      </c>
      <c r="O948" s="222" t="n">
        <v>142</v>
      </c>
      <c r="P948" s="222" t="n">
        <v>140</v>
      </c>
      <c r="Q948" s="43" t="inlineStr">
        <is>
          <t>202604_LIXIL_サーモスＬ_業務用資料集_完成品価格表.pdf</t>
        </is>
      </c>
      <c r="R948" s="43" t="inlineStr">
        <is>
          <t>固有仕様ID='*'：サイズは当該窓種の固有仕様間で共通扱い。個別部材の設定可否は関係表で制御。</t>
        </is>
      </c>
      <c r="S948" s="42" t="inlineStr">
        <is>
          <t>無印</t>
        </is>
      </c>
      <c r="T948" s="42" t="n">
        <v>140</v>
      </c>
      <c r="U948" s="42" t="inlineStr">
        <is>
          <t>P140|無印</t>
        </is>
      </c>
      <c r="V948" s="42" t="inlineStr">
        <is>
          <t>同頁凡例へ直接連動</t>
        </is>
      </c>
    </row>
    <row r="949">
      <c r="A949" s="43" t="inlineStr">
        <is>
          <t>SZ-SL-000946</t>
        </is>
      </c>
      <c r="B949" s="43" t="inlineStr">
        <is>
          <t>SER-LIX-SAMOSL</t>
        </is>
      </c>
      <c r="C949" s="43" t="inlineStr">
        <is>
          <t>WT-SL-AGE-SAGE-FS</t>
        </is>
      </c>
      <c r="D949" s="43" t="inlineStr">
        <is>
          <t>上げ下げ窓FS</t>
        </is>
      </c>
      <c r="E949" s="43" t="n"/>
      <c r="F949" s="43" t="inlineStr">
        <is>
          <t>在来・204</t>
        </is>
      </c>
      <c r="G949" s="43" t="inlineStr">
        <is>
          <t>02607</t>
        </is>
      </c>
      <c r="H949" s="43" t="inlineStr">
        <is>
          <t>026</t>
        </is>
      </c>
      <c r="I949" s="43" t="inlineStr">
        <is>
          <t>07</t>
        </is>
      </c>
      <c r="J949" s="222" t="n">
        <v>300</v>
      </c>
      <c r="K949" s="222" t="n">
        <v>770</v>
      </c>
      <c r="L949" s="43" t="inlineStr">
        <is>
          <t>在来・204</t>
        </is>
      </c>
      <c r="M949" s="178" t="b">
        <v>1</v>
      </c>
      <c r="N949" s="43" t="inlineStr">
        <is>
          <t>カタログ規格確認済み</t>
        </is>
      </c>
      <c r="O949" s="222" t="n">
        <v>144</v>
      </c>
      <c r="P949" s="222" t="n">
        <v>142</v>
      </c>
      <c r="Q949" s="43" t="inlineStr">
        <is>
          <t>202604_LIXIL_サーモスＬ_業務用資料集_完成品価格表.pdf</t>
        </is>
      </c>
      <c r="R949" s="43" t="n"/>
      <c r="S949" s="42" t="inlineStr">
        <is>
          <t>無印</t>
        </is>
      </c>
      <c r="T949" s="42" t="n">
        <v>143</v>
      </c>
      <c r="U949" s="42" t="inlineStr">
        <is>
          <t>P143|無印</t>
        </is>
      </c>
      <c r="V949" s="42" t="inlineStr">
        <is>
          <t>同一価格表・次頁凡例を継承</t>
        </is>
      </c>
    </row>
    <row r="950">
      <c r="A950" s="43" t="inlineStr">
        <is>
          <t>SZ-SL-000947</t>
        </is>
      </c>
      <c r="B950" s="43" t="inlineStr">
        <is>
          <t>SER-LIX-SAMOSL</t>
        </is>
      </c>
      <c r="C950" s="43" t="inlineStr">
        <is>
          <t>WT-SL-AGE-SAGE-FS</t>
        </is>
      </c>
      <c r="D950" s="43" t="inlineStr">
        <is>
          <t>上げ下げ窓FS</t>
        </is>
      </c>
      <c r="E950" s="43" t="n"/>
      <c r="F950" s="43" t="inlineStr">
        <is>
          <t>在来・204</t>
        </is>
      </c>
      <c r="G950" s="43" t="inlineStr">
        <is>
          <t>02609</t>
        </is>
      </c>
      <c r="H950" s="43" t="inlineStr">
        <is>
          <t>026</t>
        </is>
      </c>
      <c r="I950" s="43" t="inlineStr">
        <is>
          <t>09</t>
        </is>
      </c>
      <c r="J950" s="222" t="n">
        <v>300</v>
      </c>
      <c r="K950" s="222" t="n">
        <v>970</v>
      </c>
      <c r="L950" s="43" t="inlineStr">
        <is>
          <t>在来・204</t>
        </is>
      </c>
      <c r="M950" s="178" t="b">
        <v>1</v>
      </c>
      <c r="N950" s="43" t="inlineStr">
        <is>
          <t>カタログ規格確認済み</t>
        </is>
      </c>
      <c r="O950" s="222" t="n">
        <v>144</v>
      </c>
      <c r="P950" s="222" t="n">
        <v>142</v>
      </c>
      <c r="Q950" s="43" t="inlineStr">
        <is>
          <t>202604_LIXIL_サーモスＬ_業務用資料集_完成品価格表.pdf</t>
        </is>
      </c>
      <c r="R950" s="43" t="n"/>
      <c r="S950" s="42" t="inlineStr">
        <is>
          <t>無印</t>
        </is>
      </c>
      <c r="T950" s="42" t="n">
        <v>143</v>
      </c>
      <c r="U950" s="42" t="inlineStr">
        <is>
          <t>P143|無印</t>
        </is>
      </c>
      <c r="V950" s="42" t="inlineStr">
        <is>
          <t>同一価格表・次頁凡例を継承</t>
        </is>
      </c>
    </row>
    <row r="951">
      <c r="A951" s="43" t="inlineStr">
        <is>
          <t>SZ-SL-000948</t>
        </is>
      </c>
      <c r="B951" s="43" t="inlineStr">
        <is>
          <t>SER-LIX-SAMOSL</t>
        </is>
      </c>
      <c r="C951" s="43" t="inlineStr">
        <is>
          <t>WT-SL-AGE-SAGE-FS</t>
        </is>
      </c>
      <c r="D951" s="43" t="inlineStr">
        <is>
          <t>上げ下げ窓FS</t>
        </is>
      </c>
      <c r="E951" s="43" t="n"/>
      <c r="F951" s="43" t="inlineStr">
        <is>
          <t>在来・204</t>
        </is>
      </c>
      <c r="G951" s="43" t="inlineStr">
        <is>
          <t>02611</t>
        </is>
      </c>
      <c r="H951" s="43" t="inlineStr">
        <is>
          <t>026</t>
        </is>
      </c>
      <c r="I951" s="43" t="inlineStr">
        <is>
          <t>11</t>
        </is>
      </c>
      <c r="J951" s="222" t="n">
        <v>300</v>
      </c>
      <c r="K951" s="222" t="n">
        <v>1170</v>
      </c>
      <c r="L951" s="43" t="inlineStr">
        <is>
          <t>在来・204</t>
        </is>
      </c>
      <c r="M951" s="178" t="b">
        <v>1</v>
      </c>
      <c r="N951" s="43" t="inlineStr">
        <is>
          <t>カタログ規格確認済み</t>
        </is>
      </c>
      <c r="O951" s="222" t="n">
        <v>144</v>
      </c>
      <c r="P951" s="222" t="n">
        <v>142</v>
      </c>
      <c r="Q951" s="43" t="inlineStr">
        <is>
          <t>202604_LIXIL_サーモスＬ_業務用資料集_完成品価格表.pdf</t>
        </is>
      </c>
      <c r="R951" s="43" t="n"/>
      <c r="S951" s="42" t="inlineStr">
        <is>
          <t>無印</t>
        </is>
      </c>
      <c r="T951" s="42" t="n">
        <v>143</v>
      </c>
      <c r="U951" s="42" t="inlineStr">
        <is>
          <t>P143|無印</t>
        </is>
      </c>
      <c r="V951" s="42" t="inlineStr">
        <is>
          <t>同一価格表・次頁凡例を継承</t>
        </is>
      </c>
    </row>
    <row r="952">
      <c r="A952" s="43" t="inlineStr">
        <is>
          <t>SZ-SL-000949</t>
        </is>
      </c>
      <c r="B952" s="43" t="inlineStr">
        <is>
          <t>SER-LIX-SAMOSL</t>
        </is>
      </c>
      <c r="C952" s="43" t="inlineStr">
        <is>
          <t>WT-SL-AGE-SAGE-FS</t>
        </is>
      </c>
      <c r="D952" s="43" t="inlineStr">
        <is>
          <t>上げ下げ窓FS</t>
        </is>
      </c>
      <c r="E952" s="43" t="n"/>
      <c r="F952" s="43" t="inlineStr">
        <is>
          <t>在来・204</t>
        </is>
      </c>
      <c r="G952" s="43" t="inlineStr">
        <is>
          <t>02613</t>
        </is>
      </c>
      <c r="H952" s="43" t="inlineStr">
        <is>
          <t>026</t>
        </is>
      </c>
      <c r="I952" s="43" t="inlineStr">
        <is>
          <t>13</t>
        </is>
      </c>
      <c r="J952" s="222" t="n">
        <v>300</v>
      </c>
      <c r="K952" s="222" t="n">
        <v>1370</v>
      </c>
      <c r="L952" s="43" t="inlineStr">
        <is>
          <t>在来・204</t>
        </is>
      </c>
      <c r="M952" s="178" t="b">
        <v>1</v>
      </c>
      <c r="N952" s="43" t="inlineStr">
        <is>
          <t>カタログ規格確認済み</t>
        </is>
      </c>
      <c r="O952" s="222" t="n">
        <v>144</v>
      </c>
      <c r="P952" s="222" t="n">
        <v>142</v>
      </c>
      <c r="Q952" s="43" t="inlineStr">
        <is>
          <t>202604_LIXIL_サーモスＬ_業務用資料集_完成品価格表.pdf</t>
        </is>
      </c>
      <c r="R952" s="43" t="n"/>
      <c r="S952" s="42" t="inlineStr">
        <is>
          <t>無印</t>
        </is>
      </c>
      <c r="T952" s="42" t="n">
        <v>143</v>
      </c>
      <c r="U952" s="42" t="inlineStr">
        <is>
          <t>P143|無印</t>
        </is>
      </c>
      <c r="V952" s="42" t="inlineStr">
        <is>
          <t>同一価格表・次頁凡例を継承</t>
        </is>
      </c>
    </row>
    <row r="953">
      <c r="A953" s="43" t="inlineStr">
        <is>
          <t>SZ-SL-000950</t>
        </is>
      </c>
      <c r="B953" s="43" t="inlineStr">
        <is>
          <t>SER-LIX-SAMOSL</t>
        </is>
      </c>
      <c r="C953" s="43" t="inlineStr">
        <is>
          <t>WT-SL-AGE-SAGE-FS</t>
        </is>
      </c>
      <c r="D953" s="43" t="inlineStr">
        <is>
          <t>上げ下げ窓FS</t>
        </is>
      </c>
      <c r="E953" s="43" t="n"/>
      <c r="F953" s="43" t="inlineStr">
        <is>
          <t>在来・204</t>
        </is>
      </c>
      <c r="G953" s="43" t="inlineStr">
        <is>
          <t>03607</t>
        </is>
      </c>
      <c r="H953" s="43" t="inlineStr">
        <is>
          <t>036</t>
        </is>
      </c>
      <c r="I953" s="43" t="inlineStr">
        <is>
          <t>07</t>
        </is>
      </c>
      <c r="J953" s="222" t="n">
        <v>405</v>
      </c>
      <c r="K953" s="222" t="n">
        <v>770</v>
      </c>
      <c r="L953" s="43" t="inlineStr">
        <is>
          <t>在来・204</t>
        </is>
      </c>
      <c r="M953" s="178" t="b">
        <v>1</v>
      </c>
      <c r="N953" s="43" t="inlineStr">
        <is>
          <t>カタログ規格確認済み</t>
        </is>
      </c>
      <c r="O953" s="222" t="n">
        <v>144</v>
      </c>
      <c r="P953" s="222" t="n">
        <v>142</v>
      </c>
      <c r="Q953" s="43" t="inlineStr">
        <is>
          <t>202604_LIXIL_サーモスＬ_業務用資料集_完成品価格表.pdf</t>
        </is>
      </c>
      <c r="R953" s="43" t="n"/>
      <c r="S953" s="42" t="inlineStr">
        <is>
          <t>無印</t>
        </is>
      </c>
      <c r="T953" s="42" t="n">
        <v>143</v>
      </c>
      <c r="U953" s="42" t="inlineStr">
        <is>
          <t>P143|無印</t>
        </is>
      </c>
      <c r="V953" s="42" t="inlineStr">
        <is>
          <t>同一価格表・次頁凡例を継承</t>
        </is>
      </c>
    </row>
    <row r="954">
      <c r="A954" s="43" t="inlineStr">
        <is>
          <t>SZ-SL-000951</t>
        </is>
      </c>
      <c r="B954" s="43" t="inlineStr">
        <is>
          <t>SER-LIX-SAMOSL</t>
        </is>
      </c>
      <c r="C954" s="43" t="inlineStr">
        <is>
          <t>WT-SL-AGE-SAGE-FS</t>
        </is>
      </c>
      <c r="D954" s="43" t="inlineStr">
        <is>
          <t>上げ下げ窓FS</t>
        </is>
      </c>
      <c r="E954" s="43" t="n"/>
      <c r="F954" s="43" t="inlineStr">
        <is>
          <t>在来・204</t>
        </is>
      </c>
      <c r="G954" s="43" t="inlineStr">
        <is>
          <t>03609</t>
        </is>
      </c>
      <c r="H954" s="43" t="inlineStr">
        <is>
          <t>036</t>
        </is>
      </c>
      <c r="I954" s="43" t="inlineStr">
        <is>
          <t>09</t>
        </is>
      </c>
      <c r="J954" s="222" t="n">
        <v>405</v>
      </c>
      <c r="K954" s="222" t="n">
        <v>970</v>
      </c>
      <c r="L954" s="43" t="inlineStr">
        <is>
          <t>在来・204</t>
        </is>
      </c>
      <c r="M954" s="178" t="b">
        <v>1</v>
      </c>
      <c r="N954" s="43" t="inlineStr">
        <is>
          <t>カタログ規格確認済み</t>
        </is>
      </c>
      <c r="O954" s="222" t="n">
        <v>144</v>
      </c>
      <c r="P954" s="222" t="n">
        <v>142</v>
      </c>
      <c r="Q954" s="43" t="inlineStr">
        <is>
          <t>202604_LIXIL_サーモスＬ_業務用資料集_完成品価格表.pdf</t>
        </is>
      </c>
      <c r="R954" s="43" t="n"/>
      <c r="S954" s="42" t="inlineStr">
        <is>
          <t>無印</t>
        </is>
      </c>
      <c r="T954" s="42" t="n">
        <v>143</v>
      </c>
      <c r="U954" s="42" t="inlineStr">
        <is>
          <t>P143|無印</t>
        </is>
      </c>
      <c r="V954" s="42" t="inlineStr">
        <is>
          <t>同一価格表・次頁凡例を継承</t>
        </is>
      </c>
    </row>
    <row r="955">
      <c r="A955" s="43" t="inlineStr">
        <is>
          <t>SZ-SL-000952</t>
        </is>
      </c>
      <c r="B955" s="43" t="inlineStr">
        <is>
          <t>SER-LIX-SAMOSL</t>
        </is>
      </c>
      <c r="C955" s="43" t="inlineStr">
        <is>
          <t>WT-SL-AGE-SAGE-FS</t>
        </is>
      </c>
      <c r="D955" s="43" t="inlineStr">
        <is>
          <t>上げ下げ窓FS</t>
        </is>
      </c>
      <c r="E955" s="43" t="n"/>
      <c r="F955" s="43" t="inlineStr">
        <is>
          <t>在来・204</t>
        </is>
      </c>
      <c r="G955" s="43" t="inlineStr">
        <is>
          <t>03611</t>
        </is>
      </c>
      <c r="H955" s="43" t="inlineStr">
        <is>
          <t>036</t>
        </is>
      </c>
      <c r="I955" s="43" t="inlineStr">
        <is>
          <t>11</t>
        </is>
      </c>
      <c r="J955" s="222" t="n">
        <v>405</v>
      </c>
      <c r="K955" s="222" t="n">
        <v>1170</v>
      </c>
      <c r="L955" s="43" t="inlineStr">
        <is>
          <t>在来・204</t>
        </is>
      </c>
      <c r="M955" s="178" t="b">
        <v>1</v>
      </c>
      <c r="N955" s="43" t="inlineStr">
        <is>
          <t>カタログ規格確認済み</t>
        </is>
      </c>
      <c r="O955" s="222" t="n">
        <v>144</v>
      </c>
      <c r="P955" s="222" t="n">
        <v>142</v>
      </c>
      <c r="Q955" s="43" t="inlineStr">
        <is>
          <t>202604_LIXIL_サーモスＬ_業務用資料集_完成品価格表.pdf</t>
        </is>
      </c>
      <c r="R955" s="43" t="n"/>
      <c r="S955" s="42" t="inlineStr">
        <is>
          <t>無印</t>
        </is>
      </c>
      <c r="T955" s="42" t="n">
        <v>143</v>
      </c>
      <c r="U955" s="42" t="inlineStr">
        <is>
          <t>P143|無印</t>
        </is>
      </c>
      <c r="V955" s="42" t="inlineStr">
        <is>
          <t>同一価格表・次頁凡例を継承</t>
        </is>
      </c>
    </row>
    <row r="956">
      <c r="A956" s="43" t="inlineStr">
        <is>
          <t>SZ-SL-000953</t>
        </is>
      </c>
      <c r="B956" s="43" t="inlineStr">
        <is>
          <t>SER-LIX-SAMOSL</t>
        </is>
      </c>
      <c r="C956" s="43" t="inlineStr">
        <is>
          <t>WT-SL-AGE-SAGE-FS</t>
        </is>
      </c>
      <c r="D956" s="43" t="inlineStr">
        <is>
          <t>上げ下げ窓FS</t>
        </is>
      </c>
      <c r="E956" s="43" t="n"/>
      <c r="F956" s="43" t="inlineStr">
        <is>
          <t>在来・204</t>
        </is>
      </c>
      <c r="G956" s="43" t="inlineStr">
        <is>
          <t>03613</t>
        </is>
      </c>
      <c r="H956" s="43" t="inlineStr">
        <is>
          <t>036</t>
        </is>
      </c>
      <c r="I956" s="43" t="inlineStr">
        <is>
          <t>13</t>
        </is>
      </c>
      <c r="J956" s="222" t="n">
        <v>405</v>
      </c>
      <c r="K956" s="222" t="n">
        <v>1370</v>
      </c>
      <c r="L956" s="43" t="inlineStr">
        <is>
          <t>在来・204</t>
        </is>
      </c>
      <c r="M956" s="178" t="b">
        <v>1</v>
      </c>
      <c r="N956" s="43" t="inlineStr">
        <is>
          <t>カタログ規格確認済み</t>
        </is>
      </c>
      <c r="O956" s="222" t="n">
        <v>144</v>
      </c>
      <c r="P956" s="222" t="n">
        <v>142</v>
      </c>
      <c r="Q956" s="43" t="inlineStr">
        <is>
          <t>202604_LIXIL_サーモスＬ_業務用資料集_完成品価格表.pdf</t>
        </is>
      </c>
      <c r="R956" s="43" t="n"/>
      <c r="S956" s="42" t="inlineStr">
        <is>
          <t>無印</t>
        </is>
      </c>
      <c r="T956" s="42" t="n">
        <v>143</v>
      </c>
      <c r="U956" s="42" t="inlineStr">
        <is>
          <t>P143|無印</t>
        </is>
      </c>
      <c r="V956" s="42" t="inlineStr">
        <is>
          <t>同一価格表・次頁凡例を継承</t>
        </is>
      </c>
    </row>
    <row r="957">
      <c r="A957" s="43" t="inlineStr">
        <is>
          <t>SZ-SL-000954</t>
        </is>
      </c>
      <c r="B957" s="43" t="inlineStr">
        <is>
          <t>SER-LIX-SAMOSL</t>
        </is>
      </c>
      <c r="C957" s="43" t="inlineStr">
        <is>
          <t>WT-SL-AGE-SAGE-FS</t>
        </is>
      </c>
      <c r="D957" s="43" t="inlineStr">
        <is>
          <t>上げ下げ窓FS</t>
        </is>
      </c>
      <c r="E957" s="43" t="n"/>
      <c r="F957" s="43" t="inlineStr">
        <is>
          <t>在来・204</t>
        </is>
      </c>
      <c r="G957" s="43" t="inlineStr">
        <is>
          <t>03615</t>
        </is>
      </c>
      <c r="H957" s="43" t="inlineStr">
        <is>
          <t>036</t>
        </is>
      </c>
      <c r="I957" s="43" t="inlineStr">
        <is>
          <t>15</t>
        </is>
      </c>
      <c r="J957" s="222" t="n">
        <v>405</v>
      </c>
      <c r="K957" s="222" t="n">
        <v>1570</v>
      </c>
      <c r="L957" s="43" t="inlineStr">
        <is>
          <t>在来・204</t>
        </is>
      </c>
      <c r="M957" s="178" t="b">
        <v>1</v>
      </c>
      <c r="N957" s="43" t="inlineStr">
        <is>
          <t>カタログ規格確認済み</t>
        </is>
      </c>
      <c r="O957" s="222" t="n">
        <v>144</v>
      </c>
      <c r="P957" s="222" t="n">
        <v>142</v>
      </c>
      <c r="Q957" s="43" t="inlineStr">
        <is>
          <t>202604_LIXIL_サーモスＬ_業務用資料集_完成品価格表.pdf</t>
        </is>
      </c>
      <c r="R957" s="43" t="n"/>
      <c r="S957" s="42" t="inlineStr">
        <is>
          <t>無印</t>
        </is>
      </c>
      <c r="T957" s="42" t="n">
        <v>143</v>
      </c>
      <c r="U957" s="42" t="inlineStr">
        <is>
          <t>P143|無印</t>
        </is>
      </c>
      <c r="V957" s="42" t="inlineStr">
        <is>
          <t>同一価格表・次頁凡例を継承</t>
        </is>
      </c>
    </row>
    <row r="958">
      <c r="A958" s="43" t="inlineStr">
        <is>
          <t>SZ-SL-000955</t>
        </is>
      </c>
      <c r="B958" s="43" t="inlineStr">
        <is>
          <t>SER-LIX-SAMOSL</t>
        </is>
      </c>
      <c r="C958" s="43" t="inlineStr">
        <is>
          <t>WT-SL-AGE-SAGE-FS</t>
        </is>
      </c>
      <c r="D958" s="43" t="inlineStr">
        <is>
          <t>上げ下げ窓FS</t>
        </is>
      </c>
      <c r="E958" s="43" t="n"/>
      <c r="F958" s="43" t="inlineStr">
        <is>
          <t>在来・204</t>
        </is>
      </c>
      <c r="G958" s="43" t="inlineStr">
        <is>
          <t>06007</t>
        </is>
      </c>
      <c r="H958" s="43" t="inlineStr">
        <is>
          <t>060</t>
        </is>
      </c>
      <c r="I958" s="43" t="inlineStr">
        <is>
          <t>07</t>
        </is>
      </c>
      <c r="J958" s="222" t="n">
        <v>640</v>
      </c>
      <c r="K958" s="222" t="n">
        <v>770</v>
      </c>
      <c r="L958" s="43" t="inlineStr">
        <is>
          <t>在来・204</t>
        </is>
      </c>
      <c r="M958" s="178" t="b">
        <v>1</v>
      </c>
      <c r="N958" s="43" t="inlineStr">
        <is>
          <t>カタログ規格確認済み</t>
        </is>
      </c>
      <c r="O958" s="222" t="n">
        <v>144</v>
      </c>
      <c r="P958" s="222" t="n">
        <v>142</v>
      </c>
      <c r="Q958" s="43" t="inlineStr">
        <is>
          <t>202604_LIXIL_サーモスＬ_業務用資料集_完成品価格表.pdf</t>
        </is>
      </c>
      <c r="R958" s="43" t="n"/>
      <c r="S958" s="42" t="inlineStr">
        <is>
          <t>無印</t>
        </is>
      </c>
      <c r="T958" s="42" t="n">
        <v>143</v>
      </c>
      <c r="U958" s="42" t="inlineStr">
        <is>
          <t>P143|無印</t>
        </is>
      </c>
      <c r="V958" s="42" t="inlineStr">
        <is>
          <t>同一価格表・次頁凡例を継承</t>
        </is>
      </c>
    </row>
    <row r="959">
      <c r="A959" s="43" t="inlineStr">
        <is>
          <t>SZ-SL-000956</t>
        </is>
      </c>
      <c r="B959" s="43" t="inlineStr">
        <is>
          <t>SER-LIX-SAMOSL</t>
        </is>
      </c>
      <c r="C959" s="43" t="inlineStr">
        <is>
          <t>WT-SL-AGE-SAGE-FS</t>
        </is>
      </c>
      <c r="D959" s="43" t="inlineStr">
        <is>
          <t>上げ下げ窓FS</t>
        </is>
      </c>
      <c r="E959" s="43" t="n"/>
      <c r="F959" s="43" t="inlineStr">
        <is>
          <t>在来・204</t>
        </is>
      </c>
      <c r="G959" s="43" t="inlineStr">
        <is>
          <t>06009</t>
        </is>
      </c>
      <c r="H959" s="43" t="inlineStr">
        <is>
          <t>060</t>
        </is>
      </c>
      <c r="I959" s="43" t="inlineStr">
        <is>
          <t>09</t>
        </is>
      </c>
      <c r="J959" s="222" t="n">
        <v>640</v>
      </c>
      <c r="K959" s="222" t="n">
        <v>970</v>
      </c>
      <c r="L959" s="43" t="inlineStr">
        <is>
          <t>在来・204</t>
        </is>
      </c>
      <c r="M959" s="178" t="b">
        <v>1</v>
      </c>
      <c r="N959" s="43" t="inlineStr">
        <is>
          <t>カタログ規格確認済み</t>
        </is>
      </c>
      <c r="O959" s="222" t="n">
        <v>144</v>
      </c>
      <c r="P959" s="222" t="n">
        <v>142</v>
      </c>
      <c r="Q959" s="43" t="inlineStr">
        <is>
          <t>202604_LIXIL_サーモスＬ_業務用資料集_完成品価格表.pdf</t>
        </is>
      </c>
      <c r="R959" s="43" t="n"/>
      <c r="S959" s="42" t="inlineStr">
        <is>
          <t>無印</t>
        </is>
      </c>
      <c r="T959" s="42" t="n">
        <v>143</v>
      </c>
      <c r="U959" s="42" t="inlineStr">
        <is>
          <t>P143|無印</t>
        </is>
      </c>
      <c r="V959" s="42" t="inlineStr">
        <is>
          <t>同一価格表・次頁凡例を継承</t>
        </is>
      </c>
    </row>
    <row r="960">
      <c r="A960" s="43" t="inlineStr">
        <is>
          <t>SZ-SL-000957</t>
        </is>
      </c>
      <c r="B960" s="43" t="inlineStr">
        <is>
          <t>SER-LIX-SAMOSL</t>
        </is>
      </c>
      <c r="C960" s="43" t="inlineStr">
        <is>
          <t>WT-SL-AGE-SAGE-FS</t>
        </is>
      </c>
      <c r="D960" s="43" t="inlineStr">
        <is>
          <t>上げ下げ窓FS</t>
        </is>
      </c>
      <c r="E960" s="43" t="n"/>
      <c r="F960" s="43" t="inlineStr">
        <is>
          <t>在来・204</t>
        </is>
      </c>
      <c r="G960" s="43" t="inlineStr">
        <is>
          <t>06011</t>
        </is>
      </c>
      <c r="H960" s="43" t="inlineStr">
        <is>
          <t>060</t>
        </is>
      </c>
      <c r="I960" s="43" t="inlineStr">
        <is>
          <t>11</t>
        </is>
      </c>
      <c r="J960" s="222" t="n">
        <v>640</v>
      </c>
      <c r="K960" s="222" t="n">
        <v>1170</v>
      </c>
      <c r="L960" s="43" t="inlineStr">
        <is>
          <t>在来・204</t>
        </is>
      </c>
      <c r="M960" s="178" t="b">
        <v>1</v>
      </c>
      <c r="N960" s="43" t="inlineStr">
        <is>
          <t>カタログ規格確認済み</t>
        </is>
      </c>
      <c r="O960" s="222" t="n">
        <v>144</v>
      </c>
      <c r="P960" s="222" t="n">
        <v>142</v>
      </c>
      <c r="Q960" s="43" t="inlineStr">
        <is>
          <t>202604_LIXIL_サーモスＬ_業務用資料集_完成品価格表.pdf</t>
        </is>
      </c>
      <c r="R960" s="43" t="n"/>
      <c r="S960" s="42" t="inlineStr">
        <is>
          <t>無印</t>
        </is>
      </c>
      <c r="T960" s="42" t="n">
        <v>143</v>
      </c>
      <c r="U960" s="42" t="inlineStr">
        <is>
          <t>P143|無印</t>
        </is>
      </c>
      <c r="V960" s="42" t="inlineStr">
        <is>
          <t>同一価格表・次頁凡例を継承</t>
        </is>
      </c>
    </row>
    <row r="961">
      <c r="A961" s="43" t="inlineStr">
        <is>
          <t>SZ-SL-000958</t>
        </is>
      </c>
      <c r="B961" s="43" t="inlineStr">
        <is>
          <t>SER-LIX-SAMOSL</t>
        </is>
      </c>
      <c r="C961" s="43" t="inlineStr">
        <is>
          <t>WT-SL-AGE-SAGE-FS</t>
        </is>
      </c>
      <c r="D961" s="43" t="inlineStr">
        <is>
          <t>上げ下げ窓FS</t>
        </is>
      </c>
      <c r="E961" s="43" t="n"/>
      <c r="F961" s="43" t="inlineStr">
        <is>
          <t>在来・204</t>
        </is>
      </c>
      <c r="G961" s="43" t="inlineStr">
        <is>
          <t>06013</t>
        </is>
      </c>
      <c r="H961" s="43" t="inlineStr">
        <is>
          <t>060</t>
        </is>
      </c>
      <c r="I961" s="43" t="inlineStr">
        <is>
          <t>13</t>
        </is>
      </c>
      <c r="J961" s="222" t="n">
        <v>640</v>
      </c>
      <c r="K961" s="222" t="n">
        <v>1370</v>
      </c>
      <c r="L961" s="43" t="inlineStr">
        <is>
          <t>在来・204</t>
        </is>
      </c>
      <c r="M961" s="178" t="b">
        <v>1</v>
      </c>
      <c r="N961" s="43" t="inlineStr">
        <is>
          <t>カタログ規格確認済み</t>
        </is>
      </c>
      <c r="O961" s="222" t="n">
        <v>144</v>
      </c>
      <c r="P961" s="222" t="n">
        <v>142</v>
      </c>
      <c r="Q961" s="43" t="inlineStr">
        <is>
          <t>202604_LIXIL_サーモスＬ_業務用資料集_完成品価格表.pdf</t>
        </is>
      </c>
      <c r="R961" s="43" t="n"/>
      <c r="S961" s="42" t="inlineStr">
        <is>
          <t>無印</t>
        </is>
      </c>
      <c r="T961" s="42" t="n">
        <v>143</v>
      </c>
      <c r="U961" s="42" t="inlineStr">
        <is>
          <t>P143|無印</t>
        </is>
      </c>
      <c r="V961" s="42" t="inlineStr">
        <is>
          <t>同一価格表・次頁凡例を継承</t>
        </is>
      </c>
    </row>
    <row r="962">
      <c r="A962" s="43" t="inlineStr">
        <is>
          <t>SZ-SL-000959</t>
        </is>
      </c>
      <c r="B962" s="43" t="inlineStr">
        <is>
          <t>SER-LIX-SAMOSL</t>
        </is>
      </c>
      <c r="C962" s="43" t="inlineStr">
        <is>
          <t>WT-SL-AGE-SAGE-FS</t>
        </is>
      </c>
      <c r="D962" s="43" t="inlineStr">
        <is>
          <t>上げ下げ窓FS</t>
        </is>
      </c>
      <c r="E962" s="43" t="n"/>
      <c r="F962" s="43" t="inlineStr">
        <is>
          <t>在来・204</t>
        </is>
      </c>
      <c r="G962" s="43" t="inlineStr">
        <is>
          <t>06015</t>
        </is>
      </c>
      <c r="H962" s="43" t="inlineStr">
        <is>
          <t>060</t>
        </is>
      </c>
      <c r="I962" s="43" t="inlineStr">
        <is>
          <t>15</t>
        </is>
      </c>
      <c r="J962" s="222" t="n">
        <v>640</v>
      </c>
      <c r="K962" s="222" t="n">
        <v>1570</v>
      </c>
      <c r="L962" s="43" t="inlineStr">
        <is>
          <t>在来・204</t>
        </is>
      </c>
      <c r="M962" s="178" t="b">
        <v>1</v>
      </c>
      <c r="N962" s="43" t="inlineStr">
        <is>
          <t>カタログ規格確認済み</t>
        </is>
      </c>
      <c r="O962" s="222" t="n">
        <v>144</v>
      </c>
      <c r="P962" s="222" t="n">
        <v>142</v>
      </c>
      <c r="Q962" s="43" t="inlineStr">
        <is>
          <t>202604_LIXIL_サーモスＬ_業務用資料集_完成品価格表.pdf</t>
        </is>
      </c>
      <c r="R962" s="43" t="n"/>
      <c r="S962" s="42" t="inlineStr">
        <is>
          <t>無印</t>
        </is>
      </c>
      <c r="T962" s="42" t="n">
        <v>143</v>
      </c>
      <c r="U962" s="42" t="inlineStr">
        <is>
          <t>P143|無印</t>
        </is>
      </c>
      <c r="V962" s="42" t="inlineStr">
        <is>
          <t>同一価格表・次頁凡例を継承</t>
        </is>
      </c>
    </row>
    <row r="963">
      <c r="A963" s="43" t="inlineStr">
        <is>
          <t>SZ-SL-000960</t>
        </is>
      </c>
      <c r="B963" s="43" t="inlineStr">
        <is>
          <t>SER-LIX-SAMOSL</t>
        </is>
      </c>
      <c r="C963" s="43" t="inlineStr">
        <is>
          <t>WT-SL-AGE-SAGE-FS</t>
        </is>
      </c>
      <c r="D963" s="43" t="inlineStr">
        <is>
          <t>上げ下げ窓FS</t>
        </is>
      </c>
      <c r="E963" s="43" t="n"/>
      <c r="F963" s="43" t="inlineStr">
        <is>
          <t>在来・204</t>
        </is>
      </c>
      <c r="G963" s="43" t="inlineStr">
        <is>
          <t>06907</t>
        </is>
      </c>
      <c r="H963" s="43" t="inlineStr">
        <is>
          <t>069</t>
        </is>
      </c>
      <c r="I963" s="43" t="inlineStr">
        <is>
          <t>07</t>
        </is>
      </c>
      <c r="J963" s="222" t="n">
        <v>730</v>
      </c>
      <c r="K963" s="222" t="n">
        <v>770</v>
      </c>
      <c r="L963" s="43" t="inlineStr">
        <is>
          <t>在来・204</t>
        </is>
      </c>
      <c r="M963" s="178" t="b">
        <v>1</v>
      </c>
      <c r="N963" s="43" t="inlineStr">
        <is>
          <t>カタログ規格確認済み</t>
        </is>
      </c>
      <c r="O963" s="222" t="n">
        <v>144</v>
      </c>
      <c r="P963" s="222" t="n">
        <v>142</v>
      </c>
      <c r="Q963" s="43" t="inlineStr">
        <is>
          <t>202604_LIXIL_サーモスＬ_業務用資料集_完成品価格表.pdf</t>
        </is>
      </c>
      <c r="R963" s="43" t="n"/>
      <c r="S963" s="42" t="inlineStr">
        <is>
          <t>無印</t>
        </is>
      </c>
      <c r="T963" s="42" t="n">
        <v>143</v>
      </c>
      <c r="U963" s="42" t="inlineStr">
        <is>
          <t>P143|無印</t>
        </is>
      </c>
      <c r="V963" s="42" t="inlineStr">
        <is>
          <t>同一価格表・次頁凡例を継承</t>
        </is>
      </c>
    </row>
    <row r="964">
      <c r="A964" s="43" t="inlineStr">
        <is>
          <t>SZ-SL-000961</t>
        </is>
      </c>
      <c r="B964" s="43" t="inlineStr">
        <is>
          <t>SER-LIX-SAMOSL</t>
        </is>
      </c>
      <c r="C964" s="43" t="inlineStr">
        <is>
          <t>WT-SL-AGE-SAGE-FS</t>
        </is>
      </c>
      <c r="D964" s="43" t="inlineStr">
        <is>
          <t>上げ下げ窓FS</t>
        </is>
      </c>
      <c r="E964" s="43" t="n"/>
      <c r="F964" s="43" t="inlineStr">
        <is>
          <t>在来・204</t>
        </is>
      </c>
      <c r="G964" s="43" t="inlineStr">
        <is>
          <t>06909</t>
        </is>
      </c>
      <c r="H964" s="43" t="inlineStr">
        <is>
          <t>069</t>
        </is>
      </c>
      <c r="I964" s="43" t="inlineStr">
        <is>
          <t>09</t>
        </is>
      </c>
      <c r="J964" s="222" t="n">
        <v>730</v>
      </c>
      <c r="K964" s="222" t="n">
        <v>970</v>
      </c>
      <c r="L964" s="43" t="inlineStr">
        <is>
          <t>在来・204</t>
        </is>
      </c>
      <c r="M964" s="178" t="b">
        <v>1</v>
      </c>
      <c r="N964" s="43" t="inlineStr">
        <is>
          <t>カタログ規格確認済み</t>
        </is>
      </c>
      <c r="O964" s="222" t="n">
        <v>144</v>
      </c>
      <c r="P964" s="222" t="n">
        <v>142</v>
      </c>
      <c r="Q964" s="43" t="inlineStr">
        <is>
          <t>202604_LIXIL_サーモスＬ_業務用資料集_完成品価格表.pdf</t>
        </is>
      </c>
      <c r="R964" s="43" t="n"/>
      <c r="S964" s="42" t="inlineStr">
        <is>
          <t>無印</t>
        </is>
      </c>
      <c r="T964" s="42" t="n">
        <v>143</v>
      </c>
      <c r="U964" s="42" t="inlineStr">
        <is>
          <t>P143|無印</t>
        </is>
      </c>
      <c r="V964" s="42" t="inlineStr">
        <is>
          <t>同一価格表・次頁凡例を継承</t>
        </is>
      </c>
    </row>
    <row r="965">
      <c r="A965" s="43" t="inlineStr">
        <is>
          <t>SZ-SL-000962</t>
        </is>
      </c>
      <c r="B965" s="43" t="inlineStr">
        <is>
          <t>SER-LIX-SAMOSL</t>
        </is>
      </c>
      <c r="C965" s="43" t="inlineStr">
        <is>
          <t>WT-SL-AGE-SAGE-FS</t>
        </is>
      </c>
      <c r="D965" s="43" t="inlineStr">
        <is>
          <t>上げ下げ窓FS</t>
        </is>
      </c>
      <c r="E965" s="43" t="n"/>
      <c r="F965" s="43" t="inlineStr">
        <is>
          <t>在来・204</t>
        </is>
      </c>
      <c r="G965" s="43" t="inlineStr">
        <is>
          <t>06911</t>
        </is>
      </c>
      <c r="H965" s="43" t="inlineStr">
        <is>
          <t>069</t>
        </is>
      </c>
      <c r="I965" s="43" t="inlineStr">
        <is>
          <t>11</t>
        </is>
      </c>
      <c r="J965" s="222" t="n">
        <v>730</v>
      </c>
      <c r="K965" s="222" t="n">
        <v>1170</v>
      </c>
      <c r="L965" s="43" t="inlineStr">
        <is>
          <t>在来・204</t>
        </is>
      </c>
      <c r="M965" s="178" t="b">
        <v>1</v>
      </c>
      <c r="N965" s="43" t="inlineStr">
        <is>
          <t>カタログ規格確認済み</t>
        </is>
      </c>
      <c r="O965" s="222" t="n">
        <v>144</v>
      </c>
      <c r="P965" s="222" t="n">
        <v>142</v>
      </c>
      <c r="Q965" s="43" t="inlineStr">
        <is>
          <t>202604_LIXIL_サーモスＬ_業務用資料集_完成品価格表.pdf</t>
        </is>
      </c>
      <c r="R965" s="43" t="n"/>
      <c r="S965" s="42" t="inlineStr">
        <is>
          <t>無印</t>
        </is>
      </c>
      <c r="T965" s="42" t="n">
        <v>143</v>
      </c>
      <c r="U965" s="42" t="inlineStr">
        <is>
          <t>P143|無印</t>
        </is>
      </c>
      <c r="V965" s="42" t="inlineStr">
        <is>
          <t>同一価格表・次頁凡例を継承</t>
        </is>
      </c>
    </row>
    <row r="966">
      <c r="A966" s="43" t="inlineStr">
        <is>
          <t>SZ-SL-000963</t>
        </is>
      </c>
      <c r="B966" s="43" t="inlineStr">
        <is>
          <t>SER-LIX-SAMOSL</t>
        </is>
      </c>
      <c r="C966" s="43" t="inlineStr">
        <is>
          <t>WT-SL-AGE-SAGE-FS</t>
        </is>
      </c>
      <c r="D966" s="43" t="inlineStr">
        <is>
          <t>上げ下げ窓FS</t>
        </is>
      </c>
      <c r="E966" s="43" t="n"/>
      <c r="F966" s="43" t="inlineStr">
        <is>
          <t>在来・204</t>
        </is>
      </c>
      <c r="G966" s="43" t="inlineStr">
        <is>
          <t>06913</t>
        </is>
      </c>
      <c r="H966" s="43" t="inlineStr">
        <is>
          <t>069</t>
        </is>
      </c>
      <c r="I966" s="43" t="inlineStr">
        <is>
          <t>13</t>
        </is>
      </c>
      <c r="J966" s="222" t="n">
        <v>730</v>
      </c>
      <c r="K966" s="222" t="n">
        <v>1370</v>
      </c>
      <c r="L966" s="43" t="inlineStr">
        <is>
          <t>在来・204</t>
        </is>
      </c>
      <c r="M966" s="178" t="b">
        <v>1</v>
      </c>
      <c r="N966" s="43" t="inlineStr">
        <is>
          <t>カタログ規格確認済み</t>
        </is>
      </c>
      <c r="O966" s="222" t="n">
        <v>144</v>
      </c>
      <c r="P966" s="222" t="n">
        <v>142</v>
      </c>
      <c r="Q966" s="43" t="inlineStr">
        <is>
          <t>202604_LIXIL_サーモスＬ_業務用資料集_完成品価格表.pdf</t>
        </is>
      </c>
      <c r="R966" s="43" t="n"/>
      <c r="S966" s="42" t="inlineStr">
        <is>
          <t>無印</t>
        </is>
      </c>
      <c r="T966" s="42" t="n">
        <v>143</v>
      </c>
      <c r="U966" s="42" t="inlineStr">
        <is>
          <t>P143|無印</t>
        </is>
      </c>
      <c r="V966" s="42" t="inlineStr">
        <is>
          <t>同一価格表・次頁凡例を継承</t>
        </is>
      </c>
    </row>
    <row r="967">
      <c r="A967" s="43" t="inlineStr">
        <is>
          <t>SZ-SL-000964</t>
        </is>
      </c>
      <c r="B967" s="43" t="inlineStr">
        <is>
          <t>SER-LIX-SAMOSL</t>
        </is>
      </c>
      <c r="C967" s="43" t="inlineStr">
        <is>
          <t>WT-SL-AGE-SAGE-FS</t>
        </is>
      </c>
      <c r="D967" s="43" t="inlineStr">
        <is>
          <t>上げ下げ窓FS</t>
        </is>
      </c>
      <c r="E967" s="43" t="n"/>
      <c r="F967" s="43" t="inlineStr">
        <is>
          <t>在来・204</t>
        </is>
      </c>
      <c r="G967" s="43" t="inlineStr">
        <is>
          <t>06915</t>
        </is>
      </c>
      <c r="H967" s="43" t="inlineStr">
        <is>
          <t>069</t>
        </is>
      </c>
      <c r="I967" s="43" t="inlineStr">
        <is>
          <t>15</t>
        </is>
      </c>
      <c r="J967" s="222" t="n">
        <v>730</v>
      </c>
      <c r="K967" s="222" t="n">
        <v>1570</v>
      </c>
      <c r="L967" s="43" t="inlineStr">
        <is>
          <t>在来・204</t>
        </is>
      </c>
      <c r="M967" s="178" t="b">
        <v>1</v>
      </c>
      <c r="N967" s="43" t="inlineStr">
        <is>
          <t>カタログ規格確認済み</t>
        </is>
      </c>
      <c r="O967" s="222" t="n">
        <v>144</v>
      </c>
      <c r="P967" s="222" t="n">
        <v>142</v>
      </c>
      <c r="Q967" s="43" t="inlineStr">
        <is>
          <t>202604_LIXIL_サーモスＬ_業務用資料集_完成品価格表.pdf</t>
        </is>
      </c>
      <c r="R967" s="43" t="n"/>
      <c r="S967" s="42" t="inlineStr">
        <is>
          <t>無印</t>
        </is>
      </c>
      <c r="T967" s="42" t="n">
        <v>143</v>
      </c>
      <c r="U967" s="42" t="inlineStr">
        <is>
          <t>P143|無印</t>
        </is>
      </c>
      <c r="V967" s="42" t="inlineStr">
        <is>
          <t>同一価格表・次頁凡例を継承</t>
        </is>
      </c>
    </row>
    <row r="968">
      <c r="A968" s="43" t="inlineStr">
        <is>
          <t>SZ-SL-000965</t>
        </is>
      </c>
      <c r="B968" s="43" t="inlineStr">
        <is>
          <t>SER-LIX-SAMOSL</t>
        </is>
      </c>
      <c r="C968" s="43" t="inlineStr">
        <is>
          <t>WT-SL-MENKOSHI-AGE-FS</t>
        </is>
      </c>
      <c r="D968" s="43" t="inlineStr">
        <is>
          <t>面格子付上げ下げ窓FS</t>
        </is>
      </c>
      <c r="E968" s="43" t="inlineStr">
        <is>
          <t>SP-SL-AGE-GRILLE-DIA</t>
        </is>
      </c>
      <c r="F968" s="43" t="inlineStr">
        <is>
          <t>在来・204</t>
        </is>
      </c>
      <c r="G968" s="43" t="inlineStr">
        <is>
          <t>02607</t>
        </is>
      </c>
      <c r="H968" s="43" t="inlineStr">
        <is>
          <t>026</t>
        </is>
      </c>
      <c r="I968" s="43" t="inlineStr">
        <is>
          <t>07</t>
        </is>
      </c>
      <c r="J968" s="222" t="n">
        <v>300</v>
      </c>
      <c r="K968" s="222" t="n">
        <v>770</v>
      </c>
      <c r="L968" s="43" t="inlineStr">
        <is>
          <t>在来・204</t>
        </is>
      </c>
      <c r="M968" s="178" t="b">
        <v>1</v>
      </c>
      <c r="N968" s="43" t="inlineStr">
        <is>
          <t>カタログ個別可否確認済み</t>
        </is>
      </c>
      <c r="O968" s="222" t="n">
        <v>146</v>
      </c>
      <c r="P968" s="222" t="n">
        <v>144</v>
      </c>
      <c r="Q968" s="43" t="inlineStr">
        <is>
          <t>202604_LIXIL_サーモスＬ_業務用資料集_完成品価格表.pdf</t>
        </is>
      </c>
      <c r="R968" s="43" t="inlineStr">
        <is>
          <t>規格呼称は親品種で確認済み。固有仕様ごとの価格設定有無（＿＿表示等）は次QAで最終確定。</t>
        </is>
      </c>
      <c r="S968" s="42" t="inlineStr">
        <is>
          <t>無印</t>
        </is>
      </c>
      <c r="T968" s="42" t="n">
        <v>144</v>
      </c>
      <c r="U968" s="42" t="inlineStr">
        <is>
          <t>P144|無印</t>
        </is>
      </c>
      <c r="V968" s="42" t="inlineStr">
        <is>
          <t>同頁凡例へ直接連動</t>
        </is>
      </c>
    </row>
    <row r="969">
      <c r="A969" s="43" t="inlineStr">
        <is>
          <t>SZ-SL-000966</t>
        </is>
      </c>
      <c r="B969" s="43" t="inlineStr">
        <is>
          <t>SER-LIX-SAMOSL</t>
        </is>
      </c>
      <c r="C969" s="43" t="inlineStr">
        <is>
          <t>WT-SL-MENKOSHI-AGE-FS</t>
        </is>
      </c>
      <c r="D969" s="43" t="inlineStr">
        <is>
          <t>面格子付上げ下げ窓FS</t>
        </is>
      </c>
      <c r="E969" s="43" t="inlineStr">
        <is>
          <t>SP-SL-AGE-GRILLE-DIA</t>
        </is>
      </c>
      <c r="F969" s="43" t="inlineStr">
        <is>
          <t>在来・204</t>
        </is>
      </c>
      <c r="G969" s="43" t="inlineStr">
        <is>
          <t>03607</t>
        </is>
      </c>
      <c r="H969" s="43" t="inlineStr">
        <is>
          <t>036</t>
        </is>
      </c>
      <c r="I969" s="43" t="inlineStr">
        <is>
          <t>07</t>
        </is>
      </c>
      <c r="J969" s="222" t="n">
        <v>405</v>
      </c>
      <c r="K969" s="222" t="n">
        <v>770</v>
      </c>
      <c r="L969" s="43" t="inlineStr">
        <is>
          <t>在来・204</t>
        </is>
      </c>
      <c r="M969" s="178" t="b">
        <v>1</v>
      </c>
      <c r="N969" s="43" t="inlineStr">
        <is>
          <t>カタログ個別可否確認済み</t>
        </is>
      </c>
      <c r="O969" s="222" t="n">
        <v>146</v>
      </c>
      <c r="P969" s="222" t="n">
        <v>144</v>
      </c>
      <c r="Q969" s="43" t="inlineStr">
        <is>
          <t>202604_LIXIL_サーモスＬ_業務用資料集_完成品価格表.pdf</t>
        </is>
      </c>
      <c r="R969" s="43" t="inlineStr">
        <is>
          <t>規格呼称は親品種で確認済み。固有仕様ごとの価格設定有無（＿＿表示等）は次QAで最終確定。</t>
        </is>
      </c>
      <c r="S969" s="42" t="inlineStr">
        <is>
          <t>無印</t>
        </is>
      </c>
      <c r="T969" s="42" t="n">
        <v>144</v>
      </c>
      <c r="U969" s="42" t="inlineStr">
        <is>
          <t>P144|無印</t>
        </is>
      </c>
      <c r="V969" s="42" t="inlineStr">
        <is>
          <t>同頁凡例へ直接連動</t>
        </is>
      </c>
    </row>
    <row r="970">
      <c r="A970" s="43" t="inlineStr">
        <is>
          <t>SZ-SL-000967</t>
        </is>
      </c>
      <c r="B970" s="43" t="inlineStr">
        <is>
          <t>SER-LIX-SAMOSL</t>
        </is>
      </c>
      <c r="C970" s="43" t="inlineStr">
        <is>
          <t>WT-SL-MENKOSHI-AGE-FS</t>
        </is>
      </c>
      <c r="D970" s="43" t="inlineStr">
        <is>
          <t>面格子付上げ下げ窓FS</t>
        </is>
      </c>
      <c r="E970" s="43" t="inlineStr">
        <is>
          <t>SP-SL-AGE-GRILLE-DIA</t>
        </is>
      </c>
      <c r="F970" s="43" t="inlineStr">
        <is>
          <t>在来・204</t>
        </is>
      </c>
      <c r="G970" s="43" t="inlineStr">
        <is>
          <t>06007</t>
        </is>
      </c>
      <c r="H970" s="43" t="inlineStr">
        <is>
          <t>060</t>
        </is>
      </c>
      <c r="I970" s="43" t="inlineStr">
        <is>
          <t>07</t>
        </is>
      </c>
      <c r="J970" s="222" t="n">
        <v>640</v>
      </c>
      <c r="K970" s="222" t="n">
        <v>770</v>
      </c>
      <c r="L970" s="43" t="inlineStr">
        <is>
          <t>在来・204</t>
        </is>
      </c>
      <c r="M970" s="178" t="b">
        <v>1</v>
      </c>
      <c r="N970" s="43" t="inlineStr">
        <is>
          <t>カタログ個別可否確認済み</t>
        </is>
      </c>
      <c r="O970" s="222" t="n">
        <v>146</v>
      </c>
      <c r="P970" s="222" t="n">
        <v>144</v>
      </c>
      <c r="Q970" s="43" t="inlineStr">
        <is>
          <t>202604_LIXIL_サーモスＬ_業務用資料集_完成品価格表.pdf</t>
        </is>
      </c>
      <c r="R970" s="43" t="inlineStr">
        <is>
          <t>規格呼称は親品種で確認済み。固有仕様ごとの価格設定有無（＿＿表示等）は次QAで最終確定。</t>
        </is>
      </c>
      <c r="S970" s="42" t="inlineStr">
        <is>
          <t>無印</t>
        </is>
      </c>
      <c r="T970" s="42" t="n">
        <v>144</v>
      </c>
      <c r="U970" s="42" t="inlineStr">
        <is>
          <t>P144|無印</t>
        </is>
      </c>
      <c r="V970" s="42" t="inlineStr">
        <is>
          <t>同頁凡例へ直接連動</t>
        </is>
      </c>
    </row>
    <row r="971">
      <c r="A971" s="43" t="inlineStr">
        <is>
          <t>SZ-SL-000968</t>
        </is>
      </c>
      <c r="B971" s="43" t="inlineStr">
        <is>
          <t>SER-LIX-SAMOSL</t>
        </is>
      </c>
      <c r="C971" s="43" t="inlineStr">
        <is>
          <t>WT-SL-MENKOSHI-AGE-FS</t>
        </is>
      </c>
      <c r="D971" s="43" t="inlineStr">
        <is>
          <t>面格子付上げ下げ窓FS</t>
        </is>
      </c>
      <c r="E971" s="43" t="inlineStr">
        <is>
          <t>SP-SL-AGE-GRILLE-DIA</t>
        </is>
      </c>
      <c r="F971" s="43" t="inlineStr">
        <is>
          <t>在来・204</t>
        </is>
      </c>
      <c r="G971" s="43" t="inlineStr">
        <is>
          <t>06907</t>
        </is>
      </c>
      <c r="H971" s="43" t="inlineStr">
        <is>
          <t>069</t>
        </is>
      </c>
      <c r="I971" s="43" t="inlineStr">
        <is>
          <t>07</t>
        </is>
      </c>
      <c r="J971" s="222" t="n">
        <v>730</v>
      </c>
      <c r="K971" s="222" t="n">
        <v>770</v>
      </c>
      <c r="L971" s="43" t="inlineStr">
        <is>
          <t>在来・204</t>
        </is>
      </c>
      <c r="M971" s="178" t="b">
        <v>1</v>
      </c>
      <c r="N971" s="43" t="inlineStr">
        <is>
          <t>カタログ個別可否確認済み</t>
        </is>
      </c>
      <c r="O971" s="222" t="n">
        <v>146</v>
      </c>
      <c r="P971" s="222" t="n">
        <v>144</v>
      </c>
      <c r="Q971" s="43" t="inlineStr">
        <is>
          <t>202604_LIXIL_サーモスＬ_業務用資料集_完成品価格表.pdf</t>
        </is>
      </c>
      <c r="R971" s="43" t="inlineStr">
        <is>
          <t>規格呼称は親品種で確認済み。固有仕様ごとの価格設定有無（＿＿表示等）は次QAで最終確定。</t>
        </is>
      </c>
      <c r="S971" s="42" t="inlineStr">
        <is>
          <t>無印</t>
        </is>
      </c>
      <c r="T971" s="42" t="n">
        <v>144</v>
      </c>
      <c r="U971" s="42" t="inlineStr">
        <is>
          <t>P144|無印</t>
        </is>
      </c>
      <c r="V971" s="42" t="inlineStr">
        <is>
          <t>同頁凡例へ直接連動</t>
        </is>
      </c>
    </row>
    <row r="972">
      <c r="A972" s="43" t="inlineStr">
        <is>
          <t>SZ-SL-000969</t>
        </is>
      </c>
      <c r="B972" s="43" t="inlineStr">
        <is>
          <t>SER-LIX-SAMOSL</t>
        </is>
      </c>
      <c r="C972" s="43" t="inlineStr">
        <is>
          <t>WT-SL-MENKOSHI-AGE-FS</t>
        </is>
      </c>
      <c r="D972" s="43" t="inlineStr">
        <is>
          <t>面格子付上げ下げ窓FS</t>
        </is>
      </c>
      <c r="E972" s="43" t="inlineStr">
        <is>
          <t>SP-SL-AGE-GRILLE-DIA</t>
        </is>
      </c>
      <c r="F972" s="43" t="inlineStr">
        <is>
          <t>在来・204</t>
        </is>
      </c>
      <c r="G972" s="43" t="inlineStr">
        <is>
          <t>07407</t>
        </is>
      </c>
      <c r="H972" s="43" t="inlineStr">
        <is>
          <t>074</t>
        </is>
      </c>
      <c r="I972" s="43" t="inlineStr">
        <is>
          <t>07</t>
        </is>
      </c>
      <c r="J972" s="222" t="n">
        <v>780</v>
      </c>
      <c r="K972" s="222" t="n">
        <v>770</v>
      </c>
      <c r="L972" s="43" t="inlineStr">
        <is>
          <t>在来・204</t>
        </is>
      </c>
      <c r="M972" s="178" t="b">
        <v>1</v>
      </c>
      <c r="N972" s="43" t="inlineStr">
        <is>
          <t>カタログ個別可否確認済み</t>
        </is>
      </c>
      <c r="O972" s="222" t="n">
        <v>146</v>
      </c>
      <c r="P972" s="222" t="n">
        <v>144</v>
      </c>
      <c r="Q972" s="43" t="inlineStr">
        <is>
          <t>202604_LIXIL_サーモスＬ_業務用資料集_完成品価格表.pdf</t>
        </is>
      </c>
      <c r="R972" s="43" t="inlineStr">
        <is>
          <t>規格呼称は親品種で確認済み。固有仕様ごとの価格設定有無（＿＿表示等）は次QAで最終確定。</t>
        </is>
      </c>
      <c r="S972" s="42" t="inlineStr">
        <is>
          <t>無印</t>
        </is>
      </c>
      <c r="T972" s="42" t="n">
        <v>144</v>
      </c>
      <c r="U972" s="42" t="inlineStr">
        <is>
          <t>P144|無印</t>
        </is>
      </c>
      <c r="V972" s="42" t="inlineStr">
        <is>
          <t>同頁凡例へ直接連動</t>
        </is>
      </c>
    </row>
    <row r="973">
      <c r="A973" s="43" t="inlineStr">
        <is>
          <t>SZ-SL-000970</t>
        </is>
      </c>
      <c r="B973" s="43" t="inlineStr">
        <is>
          <t>SER-LIX-SAMOSL</t>
        </is>
      </c>
      <c r="C973" s="43" t="inlineStr">
        <is>
          <t>WT-SL-MENKOSHI-AGE-FS</t>
        </is>
      </c>
      <c r="D973" s="43" t="inlineStr">
        <is>
          <t>面格子付上げ下げ窓FS</t>
        </is>
      </c>
      <c r="E973" s="43" t="inlineStr">
        <is>
          <t>SP-SL-AGE-GRILLE-H</t>
        </is>
      </c>
      <c r="F973" s="43" t="inlineStr">
        <is>
          <t>在来・204</t>
        </is>
      </c>
      <c r="G973" s="43" t="inlineStr">
        <is>
          <t>02607</t>
        </is>
      </c>
      <c r="H973" s="43" t="inlineStr">
        <is>
          <t>026</t>
        </is>
      </c>
      <c r="I973" s="43" t="inlineStr">
        <is>
          <t>07</t>
        </is>
      </c>
      <c r="J973" s="222" t="n">
        <v>300</v>
      </c>
      <c r="K973" s="222" t="n">
        <v>770</v>
      </c>
      <c r="L973" s="43" t="inlineStr">
        <is>
          <t>在来・204</t>
        </is>
      </c>
      <c r="M973" s="178" t="b">
        <v>1</v>
      </c>
      <c r="N973" s="43" t="inlineStr">
        <is>
          <t>カタログ個別可否確認済み</t>
        </is>
      </c>
      <c r="O973" s="222" t="n">
        <v>146</v>
      </c>
      <c r="P973" s="222" t="n">
        <v>144</v>
      </c>
      <c r="Q973" s="43" t="inlineStr">
        <is>
          <t>202604_LIXIL_サーモスＬ_業務用資料集_完成品価格表.pdf</t>
        </is>
      </c>
      <c r="R973" s="43" t="inlineStr">
        <is>
          <t>規格呼称は親品種で確認済み。固有仕様ごとの価格設定有無（＿＿表示等）は次QAで最終確定。</t>
        </is>
      </c>
      <c r="S973" s="42" t="inlineStr">
        <is>
          <t>無印</t>
        </is>
      </c>
      <c r="T973" s="42" t="n">
        <v>144</v>
      </c>
      <c r="U973" s="42" t="inlineStr">
        <is>
          <t>P144|無印</t>
        </is>
      </c>
      <c r="V973" s="42" t="inlineStr">
        <is>
          <t>同頁凡例へ直接連動</t>
        </is>
      </c>
    </row>
    <row r="974">
      <c r="A974" s="43" t="inlineStr">
        <is>
          <t>SZ-SL-000971</t>
        </is>
      </c>
      <c r="B974" s="43" t="inlineStr">
        <is>
          <t>SER-LIX-SAMOSL</t>
        </is>
      </c>
      <c r="C974" s="43" t="inlineStr">
        <is>
          <t>WT-SL-MENKOSHI-AGE-FS</t>
        </is>
      </c>
      <c r="D974" s="43" t="inlineStr">
        <is>
          <t>面格子付上げ下げ窓FS</t>
        </is>
      </c>
      <c r="E974" s="43" t="inlineStr">
        <is>
          <t>SP-SL-AGE-GRILLE-H</t>
        </is>
      </c>
      <c r="F974" s="43" t="inlineStr">
        <is>
          <t>在来・204</t>
        </is>
      </c>
      <c r="G974" s="43" t="inlineStr">
        <is>
          <t>03607</t>
        </is>
      </c>
      <c r="H974" s="43" t="inlineStr">
        <is>
          <t>036</t>
        </is>
      </c>
      <c r="I974" s="43" t="inlineStr">
        <is>
          <t>07</t>
        </is>
      </c>
      <c r="J974" s="222" t="n">
        <v>405</v>
      </c>
      <c r="K974" s="222" t="n">
        <v>770</v>
      </c>
      <c r="L974" s="43" t="inlineStr">
        <is>
          <t>在来・204</t>
        </is>
      </c>
      <c r="M974" s="178" t="b">
        <v>1</v>
      </c>
      <c r="N974" s="43" t="inlineStr">
        <is>
          <t>カタログ個別可否確認済み</t>
        </is>
      </c>
      <c r="O974" s="222" t="n">
        <v>146</v>
      </c>
      <c r="P974" s="222" t="n">
        <v>144</v>
      </c>
      <c r="Q974" s="43" t="inlineStr">
        <is>
          <t>202604_LIXIL_サーモスＬ_業務用資料集_完成品価格表.pdf</t>
        </is>
      </c>
      <c r="R974" s="43" t="inlineStr">
        <is>
          <t>規格呼称は親品種で確認済み。固有仕様ごとの価格設定有無（＿＿表示等）は次QAで最終確定。</t>
        </is>
      </c>
      <c r="S974" s="42" t="inlineStr">
        <is>
          <t>無印</t>
        </is>
      </c>
      <c r="T974" s="42" t="n">
        <v>144</v>
      </c>
      <c r="U974" s="42" t="inlineStr">
        <is>
          <t>P144|無印</t>
        </is>
      </c>
      <c r="V974" s="42" t="inlineStr">
        <is>
          <t>同頁凡例へ直接連動</t>
        </is>
      </c>
    </row>
    <row r="975">
      <c r="A975" s="43" t="inlineStr">
        <is>
          <t>SZ-SL-000972</t>
        </is>
      </c>
      <c r="B975" s="43" t="inlineStr">
        <is>
          <t>SER-LIX-SAMOSL</t>
        </is>
      </c>
      <c r="C975" s="43" t="inlineStr">
        <is>
          <t>WT-SL-MENKOSHI-AGE-FS</t>
        </is>
      </c>
      <c r="D975" s="43" t="inlineStr">
        <is>
          <t>面格子付上げ下げ窓FS</t>
        </is>
      </c>
      <c r="E975" s="43" t="inlineStr">
        <is>
          <t>SP-SL-AGE-GRILLE-H</t>
        </is>
      </c>
      <c r="F975" s="43" t="inlineStr">
        <is>
          <t>在来・204</t>
        </is>
      </c>
      <c r="G975" s="43" t="inlineStr">
        <is>
          <t>06007</t>
        </is>
      </c>
      <c r="H975" s="43" t="inlineStr">
        <is>
          <t>060</t>
        </is>
      </c>
      <c r="I975" s="43" t="inlineStr">
        <is>
          <t>07</t>
        </is>
      </c>
      <c r="J975" s="222" t="n">
        <v>640</v>
      </c>
      <c r="K975" s="222" t="n">
        <v>770</v>
      </c>
      <c r="L975" s="43" t="inlineStr">
        <is>
          <t>在来・204</t>
        </is>
      </c>
      <c r="M975" s="178" t="b">
        <v>1</v>
      </c>
      <c r="N975" s="43" t="inlineStr">
        <is>
          <t>カタログ個別可否確認済み</t>
        </is>
      </c>
      <c r="O975" s="222" t="n">
        <v>146</v>
      </c>
      <c r="P975" s="222" t="n">
        <v>144</v>
      </c>
      <c r="Q975" s="43" t="inlineStr">
        <is>
          <t>202604_LIXIL_サーモスＬ_業務用資料集_完成品価格表.pdf</t>
        </is>
      </c>
      <c r="R975" s="43" t="inlineStr">
        <is>
          <t>規格呼称は親品種で確認済み。固有仕様ごとの価格設定有無（＿＿表示等）は次QAで最終確定。</t>
        </is>
      </c>
      <c r="S975" s="42" t="inlineStr">
        <is>
          <t>無印</t>
        </is>
      </c>
      <c r="T975" s="42" t="n">
        <v>144</v>
      </c>
      <c r="U975" s="42" t="inlineStr">
        <is>
          <t>P144|無印</t>
        </is>
      </c>
      <c r="V975" s="42" t="inlineStr">
        <is>
          <t>同頁凡例へ直接連動</t>
        </is>
      </c>
    </row>
    <row r="976">
      <c r="A976" s="43" t="inlineStr">
        <is>
          <t>SZ-SL-000973</t>
        </is>
      </c>
      <c r="B976" s="43" t="inlineStr">
        <is>
          <t>SER-LIX-SAMOSL</t>
        </is>
      </c>
      <c r="C976" s="43" t="inlineStr">
        <is>
          <t>WT-SL-MENKOSHI-AGE-FS</t>
        </is>
      </c>
      <c r="D976" s="43" t="inlineStr">
        <is>
          <t>面格子付上げ下げ窓FS</t>
        </is>
      </c>
      <c r="E976" s="43" t="inlineStr">
        <is>
          <t>SP-SL-AGE-GRILLE-H</t>
        </is>
      </c>
      <c r="F976" s="43" t="inlineStr">
        <is>
          <t>在来・204</t>
        </is>
      </c>
      <c r="G976" s="43" t="inlineStr">
        <is>
          <t>06907</t>
        </is>
      </c>
      <c r="H976" s="43" t="inlineStr">
        <is>
          <t>069</t>
        </is>
      </c>
      <c r="I976" s="43" t="inlineStr">
        <is>
          <t>07</t>
        </is>
      </c>
      <c r="J976" s="222" t="n">
        <v>730</v>
      </c>
      <c r="K976" s="222" t="n">
        <v>770</v>
      </c>
      <c r="L976" s="43" t="inlineStr">
        <is>
          <t>在来・204</t>
        </is>
      </c>
      <c r="M976" s="178" t="b">
        <v>1</v>
      </c>
      <c r="N976" s="43" t="inlineStr">
        <is>
          <t>カタログ個別可否確認済み</t>
        </is>
      </c>
      <c r="O976" s="222" t="n">
        <v>146</v>
      </c>
      <c r="P976" s="222" t="n">
        <v>144</v>
      </c>
      <c r="Q976" s="43" t="inlineStr">
        <is>
          <t>202604_LIXIL_サーモスＬ_業務用資料集_完成品価格表.pdf</t>
        </is>
      </c>
      <c r="R976" s="43" t="inlineStr">
        <is>
          <t>規格呼称は親品種で確認済み。固有仕様ごとの価格設定有無（＿＿表示等）は次QAで最終確定。</t>
        </is>
      </c>
      <c r="S976" s="42" t="inlineStr">
        <is>
          <t>無印</t>
        </is>
      </c>
      <c r="T976" s="42" t="n">
        <v>144</v>
      </c>
      <c r="U976" s="42" t="inlineStr">
        <is>
          <t>P144|無印</t>
        </is>
      </c>
      <c r="V976" s="42" t="inlineStr">
        <is>
          <t>同頁凡例へ直接連動</t>
        </is>
      </c>
    </row>
    <row r="977">
      <c r="A977" s="43" t="inlineStr">
        <is>
          <t>SZ-SL-000974</t>
        </is>
      </c>
      <c r="B977" s="43" t="inlineStr">
        <is>
          <t>SER-LIX-SAMOSL</t>
        </is>
      </c>
      <c r="C977" s="43" t="inlineStr">
        <is>
          <t>WT-SL-MENKOSHI-AGE-FS</t>
        </is>
      </c>
      <c r="D977" s="43" t="inlineStr">
        <is>
          <t>面格子付上げ下げ窓FS</t>
        </is>
      </c>
      <c r="E977" s="43" t="inlineStr">
        <is>
          <t>SP-SL-AGE-GRILLE-H</t>
        </is>
      </c>
      <c r="F977" s="43" t="inlineStr">
        <is>
          <t>在来・204</t>
        </is>
      </c>
      <c r="G977" s="43" t="inlineStr">
        <is>
          <t>07407</t>
        </is>
      </c>
      <c r="H977" s="43" t="inlineStr">
        <is>
          <t>074</t>
        </is>
      </c>
      <c r="I977" s="43" t="inlineStr">
        <is>
          <t>07</t>
        </is>
      </c>
      <c r="J977" s="222" t="n">
        <v>780</v>
      </c>
      <c r="K977" s="222" t="n">
        <v>770</v>
      </c>
      <c r="L977" s="43" t="inlineStr">
        <is>
          <t>在来・204</t>
        </is>
      </c>
      <c r="M977" s="178" t="b">
        <v>1</v>
      </c>
      <c r="N977" s="43" t="inlineStr">
        <is>
          <t>カタログ個別可否確認済み</t>
        </is>
      </c>
      <c r="O977" s="222" t="n">
        <v>146</v>
      </c>
      <c r="P977" s="222" t="n">
        <v>144</v>
      </c>
      <c r="Q977" s="43" t="inlineStr">
        <is>
          <t>202604_LIXIL_サーモスＬ_業務用資料集_完成品価格表.pdf</t>
        </is>
      </c>
      <c r="R977" s="43" t="inlineStr">
        <is>
          <t>規格呼称は親品種で確認済み。固有仕様ごとの価格設定有無（＿＿表示等）は次QAで最終確定。</t>
        </is>
      </c>
      <c r="S977" s="42" t="inlineStr">
        <is>
          <t>無印</t>
        </is>
      </c>
      <c r="T977" s="42" t="n">
        <v>144</v>
      </c>
      <c r="U977" s="42" t="inlineStr">
        <is>
          <t>P144|無印</t>
        </is>
      </c>
      <c r="V977" s="42" t="inlineStr">
        <is>
          <t>同頁凡例へ直接連動</t>
        </is>
      </c>
    </row>
    <row r="978">
      <c r="A978" s="43" t="inlineStr">
        <is>
          <t>SZ-SL-000975</t>
        </is>
      </c>
      <c r="B978" s="43" t="inlineStr">
        <is>
          <t>SER-LIX-SAMOSL</t>
        </is>
      </c>
      <c r="C978" s="43" t="inlineStr">
        <is>
          <t>WT-SL-MENKOSHI-AGE-FS</t>
        </is>
      </c>
      <c r="D978" s="43" t="inlineStr">
        <is>
          <t>面格子付上げ下げ窓FS</t>
        </is>
      </c>
      <c r="E978" s="43" t="inlineStr">
        <is>
          <t>SP-SL-AGE-GRILLE-IGETA</t>
        </is>
      </c>
      <c r="F978" s="43" t="inlineStr">
        <is>
          <t>在来・204</t>
        </is>
      </c>
      <c r="G978" s="43" t="inlineStr">
        <is>
          <t>02607</t>
        </is>
      </c>
      <c r="H978" s="43" t="inlineStr">
        <is>
          <t>026</t>
        </is>
      </c>
      <c r="I978" s="43" t="inlineStr">
        <is>
          <t>07</t>
        </is>
      </c>
      <c r="J978" s="222" t="n">
        <v>300</v>
      </c>
      <c r="K978" s="222" t="n">
        <v>770</v>
      </c>
      <c r="L978" s="43" t="inlineStr">
        <is>
          <t>在来・204</t>
        </is>
      </c>
      <c r="M978" s="178" t="b">
        <v>1</v>
      </c>
      <c r="N978" s="43" t="inlineStr">
        <is>
          <t>カタログ個別可否確認済み</t>
        </is>
      </c>
      <c r="O978" s="222" t="n">
        <v>146</v>
      </c>
      <c r="P978" s="222" t="n">
        <v>144</v>
      </c>
      <c r="Q978" s="43" t="inlineStr">
        <is>
          <t>202604_LIXIL_サーモスＬ_業務用資料集_完成品価格表.pdf</t>
        </is>
      </c>
      <c r="R978" s="43" t="inlineStr">
        <is>
          <t>規格呼称は親品種で確認済み。固有仕様ごとの価格設定有無（＿＿表示等）は次QAで最終確定。</t>
        </is>
      </c>
      <c r="S978" s="42" t="inlineStr">
        <is>
          <t>無印</t>
        </is>
      </c>
      <c r="T978" s="42" t="n">
        <v>144</v>
      </c>
      <c r="U978" s="42" t="inlineStr">
        <is>
          <t>P144|無印</t>
        </is>
      </c>
      <c r="V978" s="42" t="inlineStr">
        <is>
          <t>同頁凡例へ直接連動</t>
        </is>
      </c>
    </row>
    <row r="979">
      <c r="A979" s="43" t="inlineStr">
        <is>
          <t>SZ-SL-000976</t>
        </is>
      </c>
      <c r="B979" s="43" t="inlineStr">
        <is>
          <t>SER-LIX-SAMOSL</t>
        </is>
      </c>
      <c r="C979" s="43" t="inlineStr">
        <is>
          <t>WT-SL-MENKOSHI-AGE-FS</t>
        </is>
      </c>
      <c r="D979" s="43" t="inlineStr">
        <is>
          <t>面格子付上げ下げ窓FS</t>
        </is>
      </c>
      <c r="E979" s="43" t="inlineStr">
        <is>
          <t>SP-SL-AGE-GRILLE-IGETA</t>
        </is>
      </c>
      <c r="F979" s="43" t="inlineStr">
        <is>
          <t>在来・204</t>
        </is>
      </c>
      <c r="G979" s="43" t="inlineStr">
        <is>
          <t>03607</t>
        </is>
      </c>
      <c r="H979" s="43" t="inlineStr">
        <is>
          <t>036</t>
        </is>
      </c>
      <c r="I979" s="43" t="inlineStr">
        <is>
          <t>07</t>
        </is>
      </c>
      <c r="J979" s="222" t="n">
        <v>405</v>
      </c>
      <c r="K979" s="222" t="n">
        <v>770</v>
      </c>
      <c r="L979" s="43" t="inlineStr">
        <is>
          <t>在来・204</t>
        </is>
      </c>
      <c r="M979" s="178" t="b">
        <v>1</v>
      </c>
      <c r="N979" s="43" t="inlineStr">
        <is>
          <t>カタログ個別可否確認済み</t>
        </is>
      </c>
      <c r="O979" s="222" t="n">
        <v>146</v>
      </c>
      <c r="P979" s="222" t="n">
        <v>144</v>
      </c>
      <c r="Q979" s="43" t="inlineStr">
        <is>
          <t>202604_LIXIL_サーモスＬ_業務用資料集_完成品価格表.pdf</t>
        </is>
      </c>
      <c r="R979" s="43" t="inlineStr">
        <is>
          <t>規格呼称は親品種で確認済み。固有仕様ごとの価格設定有無（＿＿表示等）は次QAで最終確定。</t>
        </is>
      </c>
      <c r="S979" s="42" t="inlineStr">
        <is>
          <t>無印</t>
        </is>
      </c>
      <c r="T979" s="42" t="n">
        <v>144</v>
      </c>
      <c r="U979" s="42" t="inlineStr">
        <is>
          <t>P144|無印</t>
        </is>
      </c>
      <c r="V979" s="42" t="inlineStr">
        <is>
          <t>同頁凡例へ直接連動</t>
        </is>
      </c>
    </row>
    <row r="980">
      <c r="A980" s="43" t="inlineStr">
        <is>
          <t>SZ-SL-000977</t>
        </is>
      </c>
      <c r="B980" s="43" t="inlineStr">
        <is>
          <t>SER-LIX-SAMOSL</t>
        </is>
      </c>
      <c r="C980" s="43" t="inlineStr">
        <is>
          <t>WT-SL-MENKOSHI-AGE-FS</t>
        </is>
      </c>
      <c r="D980" s="43" t="inlineStr">
        <is>
          <t>面格子付上げ下げ窓FS</t>
        </is>
      </c>
      <c r="E980" s="43" t="inlineStr">
        <is>
          <t>SP-SL-AGE-GRILLE-IGETA</t>
        </is>
      </c>
      <c r="F980" s="43" t="inlineStr">
        <is>
          <t>在来・204</t>
        </is>
      </c>
      <c r="G980" s="43" t="inlineStr">
        <is>
          <t>06007</t>
        </is>
      </c>
      <c r="H980" s="43" t="inlineStr">
        <is>
          <t>060</t>
        </is>
      </c>
      <c r="I980" s="43" t="inlineStr">
        <is>
          <t>07</t>
        </is>
      </c>
      <c r="J980" s="222" t="n">
        <v>640</v>
      </c>
      <c r="K980" s="222" t="n">
        <v>770</v>
      </c>
      <c r="L980" s="43" t="inlineStr">
        <is>
          <t>在来・204</t>
        </is>
      </c>
      <c r="M980" s="178" t="b">
        <v>1</v>
      </c>
      <c r="N980" s="43" t="inlineStr">
        <is>
          <t>カタログ個別可否確認済み</t>
        </is>
      </c>
      <c r="O980" s="222" t="n">
        <v>146</v>
      </c>
      <c r="P980" s="222" t="n">
        <v>144</v>
      </c>
      <c r="Q980" s="43" t="inlineStr">
        <is>
          <t>202604_LIXIL_サーモスＬ_業務用資料集_完成品価格表.pdf</t>
        </is>
      </c>
      <c r="R980" s="43" t="inlineStr">
        <is>
          <t>規格呼称は親品種で確認済み。固有仕様ごとの価格設定有無（＿＿表示等）は次QAで最終確定。</t>
        </is>
      </c>
      <c r="S980" s="42" t="inlineStr">
        <is>
          <t>無印</t>
        </is>
      </c>
      <c r="T980" s="42" t="n">
        <v>144</v>
      </c>
      <c r="U980" s="42" t="inlineStr">
        <is>
          <t>P144|無印</t>
        </is>
      </c>
      <c r="V980" s="42" t="inlineStr">
        <is>
          <t>同頁凡例へ直接連動</t>
        </is>
      </c>
    </row>
    <row r="981">
      <c r="A981" s="43" t="inlineStr">
        <is>
          <t>SZ-SL-000978</t>
        </is>
      </c>
      <c r="B981" s="43" t="inlineStr">
        <is>
          <t>SER-LIX-SAMOSL</t>
        </is>
      </c>
      <c r="C981" s="43" t="inlineStr">
        <is>
          <t>WT-SL-MENKOSHI-AGE-FS</t>
        </is>
      </c>
      <c r="D981" s="43" t="inlineStr">
        <is>
          <t>面格子付上げ下げ窓FS</t>
        </is>
      </c>
      <c r="E981" s="43" t="inlineStr">
        <is>
          <t>SP-SL-AGE-GRILLE-IGETA</t>
        </is>
      </c>
      <c r="F981" s="43" t="inlineStr">
        <is>
          <t>在来・204</t>
        </is>
      </c>
      <c r="G981" s="43" t="inlineStr">
        <is>
          <t>06907</t>
        </is>
      </c>
      <c r="H981" s="43" t="inlineStr">
        <is>
          <t>069</t>
        </is>
      </c>
      <c r="I981" s="43" t="inlineStr">
        <is>
          <t>07</t>
        </is>
      </c>
      <c r="J981" s="222" t="n">
        <v>730</v>
      </c>
      <c r="K981" s="222" t="n">
        <v>770</v>
      </c>
      <c r="L981" s="43" t="inlineStr">
        <is>
          <t>在来・204</t>
        </is>
      </c>
      <c r="M981" s="178" t="b">
        <v>1</v>
      </c>
      <c r="N981" s="43" t="inlineStr">
        <is>
          <t>カタログ個別可否確認済み</t>
        </is>
      </c>
      <c r="O981" s="222" t="n">
        <v>146</v>
      </c>
      <c r="P981" s="222" t="n">
        <v>144</v>
      </c>
      <c r="Q981" s="43" t="inlineStr">
        <is>
          <t>202604_LIXIL_サーモスＬ_業務用資料集_完成品価格表.pdf</t>
        </is>
      </c>
      <c r="R981" s="43" t="inlineStr">
        <is>
          <t>規格呼称は親品種で確認済み。固有仕様ごとの価格設定有無（＿＿表示等）は次QAで最終確定。</t>
        </is>
      </c>
      <c r="S981" s="42" t="inlineStr">
        <is>
          <t>無印</t>
        </is>
      </c>
      <c r="T981" s="42" t="n">
        <v>144</v>
      </c>
      <c r="U981" s="42" t="inlineStr">
        <is>
          <t>P144|無印</t>
        </is>
      </c>
      <c r="V981" s="42" t="inlineStr">
        <is>
          <t>同頁凡例へ直接連動</t>
        </is>
      </c>
    </row>
    <row r="982">
      <c r="A982" s="43" t="inlineStr">
        <is>
          <t>SZ-SL-000979</t>
        </is>
      </c>
      <c r="B982" s="43" t="inlineStr">
        <is>
          <t>SER-LIX-SAMOSL</t>
        </is>
      </c>
      <c r="C982" s="43" t="inlineStr">
        <is>
          <t>WT-SL-MENKOSHI-AGE-FS</t>
        </is>
      </c>
      <c r="D982" s="43" t="inlineStr">
        <is>
          <t>面格子付上げ下げ窓FS</t>
        </is>
      </c>
      <c r="E982" s="43" t="inlineStr">
        <is>
          <t>SP-SL-AGE-GRILLE-IGETA</t>
        </is>
      </c>
      <c r="F982" s="43" t="inlineStr">
        <is>
          <t>在来・204</t>
        </is>
      </c>
      <c r="G982" s="43" t="inlineStr">
        <is>
          <t>07407</t>
        </is>
      </c>
      <c r="H982" s="43" t="inlineStr">
        <is>
          <t>074</t>
        </is>
      </c>
      <c r="I982" s="43" t="inlineStr">
        <is>
          <t>07</t>
        </is>
      </c>
      <c r="J982" s="222" t="n">
        <v>780</v>
      </c>
      <c r="K982" s="222" t="n">
        <v>770</v>
      </c>
      <c r="L982" s="43" t="inlineStr">
        <is>
          <t>在来・204</t>
        </is>
      </c>
      <c r="M982" s="178" t="b">
        <v>1</v>
      </c>
      <c r="N982" s="43" t="inlineStr">
        <is>
          <t>カタログ個別可否確認済み</t>
        </is>
      </c>
      <c r="O982" s="222" t="n">
        <v>146</v>
      </c>
      <c r="P982" s="222" t="n">
        <v>144</v>
      </c>
      <c r="Q982" s="43" t="inlineStr">
        <is>
          <t>202604_LIXIL_サーモスＬ_業務用資料集_完成品価格表.pdf</t>
        </is>
      </c>
      <c r="R982" s="43" t="inlineStr">
        <is>
          <t>規格呼称は親品種で確認済み。固有仕様ごとの価格設定有無（＿＿表示等）は次QAで最終確定。</t>
        </is>
      </c>
      <c r="S982" s="42" t="inlineStr">
        <is>
          <t>無印</t>
        </is>
      </c>
      <c r="T982" s="42" t="n">
        <v>144</v>
      </c>
      <c r="U982" s="42" t="inlineStr">
        <is>
          <t>P144|無印</t>
        </is>
      </c>
      <c r="V982" s="42" t="inlineStr">
        <is>
          <t>同頁凡例へ直接連動</t>
        </is>
      </c>
    </row>
    <row r="983">
      <c r="A983" s="43" t="inlineStr">
        <is>
          <t>SZ-SL-000980</t>
        </is>
      </c>
      <c r="B983" s="43" t="inlineStr">
        <is>
          <t>SER-LIX-SAMOSL</t>
        </is>
      </c>
      <c r="C983" s="43" t="inlineStr">
        <is>
          <t>WT-SL-MENKOSHI-AGE-FS</t>
        </is>
      </c>
      <c r="D983" s="43" t="inlineStr">
        <is>
          <t>面格子付上げ下げ窓FS</t>
        </is>
      </c>
      <c r="E983" s="43" t="inlineStr">
        <is>
          <t>SP-SL-AGE-GRILLE-V</t>
        </is>
      </c>
      <c r="F983" s="43" t="inlineStr">
        <is>
          <t>在来・204</t>
        </is>
      </c>
      <c r="G983" s="43" t="inlineStr">
        <is>
          <t>02607</t>
        </is>
      </c>
      <c r="H983" s="43" t="inlineStr">
        <is>
          <t>026</t>
        </is>
      </c>
      <c r="I983" s="43" t="inlineStr">
        <is>
          <t>07</t>
        </is>
      </c>
      <c r="J983" s="222" t="n">
        <v>300</v>
      </c>
      <c r="K983" s="222" t="n">
        <v>770</v>
      </c>
      <c r="L983" s="43" t="inlineStr">
        <is>
          <t>在来・204</t>
        </is>
      </c>
      <c r="M983" s="178" t="b">
        <v>1</v>
      </c>
      <c r="N983" s="43" t="inlineStr">
        <is>
          <t>カタログ個別可否確認済み</t>
        </is>
      </c>
      <c r="O983" s="222" t="n">
        <v>146</v>
      </c>
      <c r="P983" s="222" t="n">
        <v>144</v>
      </c>
      <c r="Q983" s="43" t="inlineStr">
        <is>
          <t>202604_LIXIL_サーモスＬ_業務用資料集_完成品価格表.pdf</t>
        </is>
      </c>
      <c r="R983" s="43" t="inlineStr">
        <is>
          <t>規格呼称は親品種で確認済み。固有仕様ごとの価格設定有無（＿＿表示等）は次QAで最終確定。</t>
        </is>
      </c>
      <c r="S983" s="42" t="inlineStr">
        <is>
          <t>無印</t>
        </is>
      </c>
      <c r="T983" s="42" t="n">
        <v>144</v>
      </c>
      <c r="U983" s="42" t="inlineStr">
        <is>
          <t>P144|無印</t>
        </is>
      </c>
      <c r="V983" s="42" t="inlineStr">
        <is>
          <t>同頁凡例へ直接連動</t>
        </is>
      </c>
    </row>
    <row r="984">
      <c r="A984" s="43" t="inlineStr">
        <is>
          <t>SZ-SL-000981</t>
        </is>
      </c>
      <c r="B984" s="43" t="inlineStr">
        <is>
          <t>SER-LIX-SAMOSL</t>
        </is>
      </c>
      <c r="C984" s="43" t="inlineStr">
        <is>
          <t>WT-SL-MENKOSHI-AGE-FS</t>
        </is>
      </c>
      <c r="D984" s="43" t="inlineStr">
        <is>
          <t>面格子付上げ下げ窓FS</t>
        </is>
      </c>
      <c r="E984" s="43" t="inlineStr">
        <is>
          <t>SP-SL-AGE-GRILLE-V</t>
        </is>
      </c>
      <c r="F984" s="43" t="inlineStr">
        <is>
          <t>在来・204</t>
        </is>
      </c>
      <c r="G984" s="43" t="inlineStr">
        <is>
          <t>03607</t>
        </is>
      </c>
      <c r="H984" s="43" t="inlineStr">
        <is>
          <t>036</t>
        </is>
      </c>
      <c r="I984" s="43" t="inlineStr">
        <is>
          <t>07</t>
        </is>
      </c>
      <c r="J984" s="222" t="n">
        <v>405</v>
      </c>
      <c r="K984" s="222" t="n">
        <v>770</v>
      </c>
      <c r="L984" s="43" t="inlineStr">
        <is>
          <t>在来・204</t>
        </is>
      </c>
      <c r="M984" s="178" t="b">
        <v>1</v>
      </c>
      <c r="N984" s="43" t="inlineStr">
        <is>
          <t>カタログ個別可否確認済み</t>
        </is>
      </c>
      <c r="O984" s="222" t="n">
        <v>146</v>
      </c>
      <c r="P984" s="222" t="n">
        <v>144</v>
      </c>
      <c r="Q984" s="43" t="inlineStr">
        <is>
          <t>202604_LIXIL_サーモスＬ_業務用資料集_完成品価格表.pdf</t>
        </is>
      </c>
      <c r="R984" s="43" t="inlineStr">
        <is>
          <t>規格呼称は親品種で確認済み。固有仕様ごとの価格設定有無（＿＿表示等）は次QAで最終確定。</t>
        </is>
      </c>
      <c r="S984" s="42" t="inlineStr">
        <is>
          <t>無印</t>
        </is>
      </c>
      <c r="T984" s="42" t="n">
        <v>144</v>
      </c>
      <c r="U984" s="42" t="inlineStr">
        <is>
          <t>P144|無印</t>
        </is>
      </c>
      <c r="V984" s="42" t="inlineStr">
        <is>
          <t>同頁凡例へ直接連動</t>
        </is>
      </c>
    </row>
    <row r="985">
      <c r="A985" s="43" t="inlineStr">
        <is>
          <t>SZ-SL-000982</t>
        </is>
      </c>
      <c r="B985" s="43" t="inlineStr">
        <is>
          <t>SER-LIX-SAMOSL</t>
        </is>
      </c>
      <c r="C985" s="43" t="inlineStr">
        <is>
          <t>WT-SL-MENKOSHI-AGE-FS</t>
        </is>
      </c>
      <c r="D985" s="43" t="inlineStr">
        <is>
          <t>面格子付上げ下げ窓FS</t>
        </is>
      </c>
      <c r="E985" s="43" t="inlineStr">
        <is>
          <t>SP-SL-AGE-GRILLE-V</t>
        </is>
      </c>
      <c r="F985" s="43" t="inlineStr">
        <is>
          <t>在来・204</t>
        </is>
      </c>
      <c r="G985" s="43" t="inlineStr">
        <is>
          <t>06007</t>
        </is>
      </c>
      <c r="H985" s="43" t="inlineStr">
        <is>
          <t>060</t>
        </is>
      </c>
      <c r="I985" s="43" t="inlineStr">
        <is>
          <t>07</t>
        </is>
      </c>
      <c r="J985" s="222" t="n">
        <v>640</v>
      </c>
      <c r="K985" s="222" t="n">
        <v>770</v>
      </c>
      <c r="L985" s="43" t="inlineStr">
        <is>
          <t>在来・204</t>
        </is>
      </c>
      <c r="M985" s="178" t="b">
        <v>1</v>
      </c>
      <c r="N985" s="43" t="inlineStr">
        <is>
          <t>カタログ個別可否確認済み</t>
        </is>
      </c>
      <c r="O985" s="222" t="n">
        <v>146</v>
      </c>
      <c r="P985" s="222" t="n">
        <v>144</v>
      </c>
      <c r="Q985" s="43" t="inlineStr">
        <is>
          <t>202604_LIXIL_サーモスＬ_業務用資料集_完成品価格表.pdf</t>
        </is>
      </c>
      <c r="R985" s="43" t="inlineStr">
        <is>
          <t>規格呼称は親品種で確認済み。固有仕様ごとの価格設定有無（＿＿表示等）は次QAで最終確定。</t>
        </is>
      </c>
      <c r="S985" s="42" t="inlineStr">
        <is>
          <t>無印</t>
        </is>
      </c>
      <c r="T985" s="42" t="n">
        <v>144</v>
      </c>
      <c r="U985" s="42" t="inlineStr">
        <is>
          <t>P144|無印</t>
        </is>
      </c>
      <c r="V985" s="42" t="inlineStr">
        <is>
          <t>同頁凡例へ直接連動</t>
        </is>
      </c>
    </row>
    <row r="986">
      <c r="A986" s="43" t="inlineStr">
        <is>
          <t>SZ-SL-000983</t>
        </is>
      </c>
      <c r="B986" s="43" t="inlineStr">
        <is>
          <t>SER-LIX-SAMOSL</t>
        </is>
      </c>
      <c r="C986" s="43" t="inlineStr">
        <is>
          <t>WT-SL-MENKOSHI-AGE-FS</t>
        </is>
      </c>
      <c r="D986" s="43" t="inlineStr">
        <is>
          <t>面格子付上げ下げ窓FS</t>
        </is>
      </c>
      <c r="E986" s="43" t="inlineStr">
        <is>
          <t>SP-SL-AGE-GRILLE-V</t>
        </is>
      </c>
      <c r="F986" s="43" t="inlineStr">
        <is>
          <t>在来・204</t>
        </is>
      </c>
      <c r="G986" s="43" t="inlineStr">
        <is>
          <t>06907</t>
        </is>
      </c>
      <c r="H986" s="43" t="inlineStr">
        <is>
          <t>069</t>
        </is>
      </c>
      <c r="I986" s="43" t="inlineStr">
        <is>
          <t>07</t>
        </is>
      </c>
      <c r="J986" s="222" t="n">
        <v>730</v>
      </c>
      <c r="K986" s="222" t="n">
        <v>770</v>
      </c>
      <c r="L986" s="43" t="inlineStr">
        <is>
          <t>在来・204</t>
        </is>
      </c>
      <c r="M986" s="178" t="b">
        <v>1</v>
      </c>
      <c r="N986" s="43" t="inlineStr">
        <is>
          <t>カタログ個別可否確認済み</t>
        </is>
      </c>
      <c r="O986" s="222" t="n">
        <v>146</v>
      </c>
      <c r="P986" s="222" t="n">
        <v>144</v>
      </c>
      <c r="Q986" s="43" t="inlineStr">
        <is>
          <t>202604_LIXIL_サーモスＬ_業務用資料集_完成品価格表.pdf</t>
        </is>
      </c>
      <c r="R986" s="43" t="inlineStr">
        <is>
          <t>規格呼称は親品種で確認済み。固有仕様ごとの価格設定有無（＿＿表示等）は次QAで最終確定。</t>
        </is>
      </c>
      <c r="S986" s="42" t="inlineStr">
        <is>
          <t>無印</t>
        </is>
      </c>
      <c r="T986" s="42" t="n">
        <v>144</v>
      </c>
      <c r="U986" s="42" t="inlineStr">
        <is>
          <t>P144|無印</t>
        </is>
      </c>
      <c r="V986" s="42" t="inlineStr">
        <is>
          <t>同頁凡例へ直接連動</t>
        </is>
      </c>
    </row>
    <row r="987">
      <c r="A987" s="43" t="inlineStr">
        <is>
          <t>SZ-SL-000984</t>
        </is>
      </c>
      <c r="B987" s="43" t="inlineStr">
        <is>
          <t>SER-LIX-SAMOSL</t>
        </is>
      </c>
      <c r="C987" s="43" t="inlineStr">
        <is>
          <t>WT-SL-MENKOSHI-AGE-FS</t>
        </is>
      </c>
      <c r="D987" s="43" t="inlineStr">
        <is>
          <t>面格子付上げ下げ窓FS</t>
        </is>
      </c>
      <c r="E987" s="43" t="inlineStr">
        <is>
          <t>SP-SL-AGE-GRILLE-V</t>
        </is>
      </c>
      <c r="F987" s="43" t="inlineStr">
        <is>
          <t>在来・204</t>
        </is>
      </c>
      <c r="G987" s="43" t="inlineStr">
        <is>
          <t>07407</t>
        </is>
      </c>
      <c r="H987" s="43" t="inlineStr">
        <is>
          <t>074</t>
        </is>
      </c>
      <c r="I987" s="43" t="inlineStr">
        <is>
          <t>07</t>
        </is>
      </c>
      <c r="J987" s="222" t="n">
        <v>780</v>
      </c>
      <c r="K987" s="222" t="n">
        <v>770</v>
      </c>
      <c r="L987" s="43" t="inlineStr">
        <is>
          <t>在来・204</t>
        </is>
      </c>
      <c r="M987" s="178" t="b">
        <v>1</v>
      </c>
      <c r="N987" s="43" t="inlineStr">
        <is>
          <t>カタログ個別可否確認済み</t>
        </is>
      </c>
      <c r="O987" s="222" t="n">
        <v>146</v>
      </c>
      <c r="P987" s="222" t="n">
        <v>144</v>
      </c>
      <c r="Q987" s="43" t="inlineStr">
        <is>
          <t>202604_LIXIL_サーモスＬ_業務用資料集_完成品価格表.pdf</t>
        </is>
      </c>
      <c r="R987" s="43" t="inlineStr">
        <is>
          <t>規格呼称は親品種で確認済み。固有仕様ごとの価格設定有無（＿＿表示等）は次QAで最終確定。</t>
        </is>
      </c>
      <c r="S987" s="42" t="inlineStr">
        <is>
          <t>無印</t>
        </is>
      </c>
      <c r="T987" s="42" t="n">
        <v>144</v>
      </c>
      <c r="U987" s="42" t="inlineStr">
        <is>
          <t>P144|無印</t>
        </is>
      </c>
      <c r="V987" s="42" t="inlineStr">
        <is>
          <t>同頁凡例へ直接連動</t>
        </is>
      </c>
    </row>
    <row r="988">
      <c r="A988" s="43" t="inlineStr">
        <is>
          <t>SZ-SL-000985</t>
        </is>
      </c>
      <c r="B988" s="43" t="inlineStr">
        <is>
          <t>SER-LIX-SAMOSL</t>
        </is>
      </c>
      <c r="C988" s="43" t="inlineStr">
        <is>
          <t>WT-SL-MENKOSHI-AGE-FS</t>
        </is>
      </c>
      <c r="D988" s="43" t="inlineStr">
        <is>
          <t>面格子付上げ下げ窓FS</t>
        </is>
      </c>
      <c r="E988" s="43" t="inlineStr">
        <is>
          <t>SP-SL-AGE-GRILLE-DIA</t>
        </is>
      </c>
      <c r="F988" s="43" t="inlineStr">
        <is>
          <t>在来・204</t>
        </is>
      </c>
      <c r="G988" s="43" t="inlineStr">
        <is>
          <t>02609</t>
        </is>
      </c>
      <c r="H988" s="43" t="inlineStr">
        <is>
          <t>026</t>
        </is>
      </c>
      <c r="I988" s="43" t="inlineStr">
        <is>
          <t>09</t>
        </is>
      </c>
      <c r="J988" s="222" t="n">
        <v>300</v>
      </c>
      <c r="K988" s="222" t="n">
        <v>970</v>
      </c>
      <c r="L988" s="43" t="inlineStr">
        <is>
          <t>在来・204</t>
        </is>
      </c>
      <c r="M988" s="178" t="b">
        <v>1</v>
      </c>
      <c r="N988" s="43" t="inlineStr">
        <is>
          <t>カタログ個別可否確認済み</t>
        </is>
      </c>
      <c r="O988" s="222" t="n">
        <v>147</v>
      </c>
      <c r="P988" s="222" t="n">
        <v>145</v>
      </c>
      <c r="Q988" s="43" t="inlineStr">
        <is>
          <t>202604_LIXIL_サーモスＬ_業務用資料集_完成品価格表.pdf</t>
        </is>
      </c>
      <c r="R988" s="43" t="inlineStr">
        <is>
          <t>規格呼称は親品種で確認済み。固有仕様ごとの価格設定有無（＿＿表示等）は次QAで最終確定。</t>
        </is>
      </c>
      <c r="S988" s="42" t="inlineStr">
        <is>
          <t>無印</t>
        </is>
      </c>
      <c r="T988" s="42" t="n">
        <v>145</v>
      </c>
      <c r="U988" s="42" t="inlineStr">
        <is>
          <t>P145|無印</t>
        </is>
      </c>
      <c r="V988" s="42" t="inlineStr">
        <is>
          <t>同頁凡例へ直接連動</t>
        </is>
      </c>
    </row>
    <row r="989">
      <c r="A989" s="43" t="inlineStr">
        <is>
          <t>SZ-SL-000986</t>
        </is>
      </c>
      <c r="B989" s="43" t="inlineStr">
        <is>
          <t>SER-LIX-SAMOSL</t>
        </is>
      </c>
      <c r="C989" s="43" t="inlineStr">
        <is>
          <t>WT-SL-MENKOSHI-AGE-FS</t>
        </is>
      </c>
      <c r="D989" s="43" t="inlineStr">
        <is>
          <t>面格子付上げ下げ窓FS</t>
        </is>
      </c>
      <c r="E989" s="43" t="inlineStr">
        <is>
          <t>SP-SL-AGE-GRILLE-DIA</t>
        </is>
      </c>
      <c r="F989" s="43" t="inlineStr">
        <is>
          <t>在来・204</t>
        </is>
      </c>
      <c r="G989" s="43" t="inlineStr">
        <is>
          <t>03609</t>
        </is>
      </c>
      <c r="H989" s="43" t="inlineStr">
        <is>
          <t>036</t>
        </is>
      </c>
      <c r="I989" s="43" t="inlineStr">
        <is>
          <t>09</t>
        </is>
      </c>
      <c r="J989" s="222" t="n">
        <v>405</v>
      </c>
      <c r="K989" s="222" t="n">
        <v>970</v>
      </c>
      <c r="L989" s="43" t="inlineStr">
        <is>
          <t>在来・204</t>
        </is>
      </c>
      <c r="M989" s="178" t="b">
        <v>1</v>
      </c>
      <c r="N989" s="43" t="inlineStr">
        <is>
          <t>カタログ個別可否確認済み</t>
        </is>
      </c>
      <c r="O989" s="222" t="n">
        <v>147</v>
      </c>
      <c r="P989" s="222" t="n">
        <v>145</v>
      </c>
      <c r="Q989" s="43" t="inlineStr">
        <is>
          <t>202604_LIXIL_サーモスＬ_業務用資料集_完成品価格表.pdf</t>
        </is>
      </c>
      <c r="R989" s="43" t="inlineStr">
        <is>
          <t>規格呼称は親品種で確認済み。固有仕様ごとの価格設定有無（＿＿表示等）は次QAで最終確定。</t>
        </is>
      </c>
      <c r="S989" s="42" t="inlineStr">
        <is>
          <t>無印</t>
        </is>
      </c>
      <c r="T989" s="42" t="n">
        <v>145</v>
      </c>
      <c r="U989" s="42" t="inlineStr">
        <is>
          <t>P145|無印</t>
        </is>
      </c>
      <c r="V989" s="42" t="inlineStr">
        <is>
          <t>同頁凡例へ直接連動</t>
        </is>
      </c>
    </row>
    <row r="990">
      <c r="A990" s="43" t="inlineStr">
        <is>
          <t>SZ-SL-000987</t>
        </is>
      </c>
      <c r="B990" s="43" t="inlineStr">
        <is>
          <t>SER-LIX-SAMOSL</t>
        </is>
      </c>
      <c r="C990" s="43" t="inlineStr">
        <is>
          <t>WT-SL-MENKOSHI-AGE-FS</t>
        </is>
      </c>
      <c r="D990" s="43" t="inlineStr">
        <is>
          <t>面格子付上げ下げ窓FS</t>
        </is>
      </c>
      <c r="E990" s="43" t="inlineStr">
        <is>
          <t>SP-SL-AGE-GRILLE-DIA</t>
        </is>
      </c>
      <c r="F990" s="43" t="inlineStr">
        <is>
          <t>在来・204</t>
        </is>
      </c>
      <c r="G990" s="43" t="inlineStr">
        <is>
          <t>06009</t>
        </is>
      </c>
      <c r="H990" s="43" t="inlineStr">
        <is>
          <t>060</t>
        </is>
      </c>
      <c r="I990" s="43" t="inlineStr">
        <is>
          <t>09</t>
        </is>
      </c>
      <c r="J990" s="222" t="n">
        <v>640</v>
      </c>
      <c r="K990" s="222" t="n">
        <v>970</v>
      </c>
      <c r="L990" s="43" t="inlineStr">
        <is>
          <t>在来・204</t>
        </is>
      </c>
      <c r="M990" s="178" t="b">
        <v>1</v>
      </c>
      <c r="N990" s="43" t="inlineStr">
        <is>
          <t>カタログ個別可否確認済み</t>
        </is>
      </c>
      <c r="O990" s="222" t="n">
        <v>147</v>
      </c>
      <c r="P990" s="222" t="n">
        <v>145</v>
      </c>
      <c r="Q990" s="43" t="inlineStr">
        <is>
          <t>202604_LIXIL_サーモスＬ_業務用資料集_完成品価格表.pdf</t>
        </is>
      </c>
      <c r="R990" s="43" t="inlineStr">
        <is>
          <t>規格呼称は親品種で確認済み。固有仕様ごとの価格設定有無（＿＿表示等）は次QAで最終確定。</t>
        </is>
      </c>
      <c r="S990" s="42" t="inlineStr">
        <is>
          <t>無印</t>
        </is>
      </c>
      <c r="T990" s="42" t="n">
        <v>145</v>
      </c>
      <c r="U990" s="42" t="inlineStr">
        <is>
          <t>P145|無印</t>
        </is>
      </c>
      <c r="V990" s="42" t="inlineStr">
        <is>
          <t>同頁凡例へ直接連動</t>
        </is>
      </c>
    </row>
    <row r="991">
      <c r="A991" s="43" t="inlineStr">
        <is>
          <t>SZ-SL-000988</t>
        </is>
      </c>
      <c r="B991" s="43" t="inlineStr">
        <is>
          <t>SER-LIX-SAMOSL</t>
        </is>
      </c>
      <c r="C991" s="43" t="inlineStr">
        <is>
          <t>WT-SL-MENKOSHI-AGE-FS</t>
        </is>
      </c>
      <c r="D991" s="43" t="inlineStr">
        <is>
          <t>面格子付上げ下げ窓FS</t>
        </is>
      </c>
      <c r="E991" s="43" t="inlineStr">
        <is>
          <t>SP-SL-AGE-GRILLE-DIA</t>
        </is>
      </c>
      <c r="F991" s="43" t="inlineStr">
        <is>
          <t>在来・204</t>
        </is>
      </c>
      <c r="G991" s="43" t="inlineStr">
        <is>
          <t>06909</t>
        </is>
      </c>
      <c r="H991" s="43" t="inlineStr">
        <is>
          <t>069</t>
        </is>
      </c>
      <c r="I991" s="43" t="inlineStr">
        <is>
          <t>09</t>
        </is>
      </c>
      <c r="J991" s="222" t="n">
        <v>730</v>
      </c>
      <c r="K991" s="222" t="n">
        <v>970</v>
      </c>
      <c r="L991" s="43" t="inlineStr">
        <is>
          <t>在来・204</t>
        </is>
      </c>
      <c r="M991" s="178" t="b">
        <v>1</v>
      </c>
      <c r="N991" s="43" t="inlineStr">
        <is>
          <t>カタログ個別可否確認済み</t>
        </is>
      </c>
      <c r="O991" s="222" t="n">
        <v>147</v>
      </c>
      <c r="P991" s="222" t="n">
        <v>145</v>
      </c>
      <c r="Q991" s="43" t="inlineStr">
        <is>
          <t>202604_LIXIL_サーモスＬ_業務用資料集_完成品価格表.pdf</t>
        </is>
      </c>
      <c r="R991" s="43" t="inlineStr">
        <is>
          <t>規格呼称は親品種で確認済み。固有仕様ごとの価格設定有無（＿＿表示等）は次QAで最終確定。</t>
        </is>
      </c>
      <c r="S991" s="42" t="inlineStr">
        <is>
          <t>無印</t>
        </is>
      </c>
      <c r="T991" s="42" t="n">
        <v>145</v>
      </c>
      <c r="U991" s="42" t="inlineStr">
        <is>
          <t>P145|無印</t>
        </is>
      </c>
      <c r="V991" s="42" t="inlineStr">
        <is>
          <t>同頁凡例へ直接連動</t>
        </is>
      </c>
    </row>
    <row r="992">
      <c r="A992" s="43" t="inlineStr">
        <is>
          <t>SZ-SL-000989</t>
        </is>
      </c>
      <c r="B992" s="43" t="inlineStr">
        <is>
          <t>SER-LIX-SAMOSL</t>
        </is>
      </c>
      <c r="C992" s="43" t="inlineStr">
        <is>
          <t>WT-SL-MENKOSHI-AGE-FS</t>
        </is>
      </c>
      <c r="D992" s="43" t="inlineStr">
        <is>
          <t>面格子付上げ下げ窓FS</t>
        </is>
      </c>
      <c r="E992" s="43" t="inlineStr">
        <is>
          <t>SP-SL-AGE-GRILLE-DIA</t>
        </is>
      </c>
      <c r="F992" s="43" t="inlineStr">
        <is>
          <t>在来・204</t>
        </is>
      </c>
      <c r="G992" s="43" t="inlineStr">
        <is>
          <t>07409</t>
        </is>
      </c>
      <c r="H992" s="43" t="inlineStr">
        <is>
          <t>074</t>
        </is>
      </c>
      <c r="I992" s="43" t="inlineStr">
        <is>
          <t>09</t>
        </is>
      </c>
      <c r="J992" s="222" t="n">
        <v>780</v>
      </c>
      <c r="K992" s="222" t="n">
        <v>970</v>
      </c>
      <c r="L992" s="43" t="inlineStr">
        <is>
          <t>在来・204</t>
        </is>
      </c>
      <c r="M992" s="178" t="b">
        <v>1</v>
      </c>
      <c r="N992" s="43" t="inlineStr">
        <is>
          <t>カタログ個別可否確認済み</t>
        </is>
      </c>
      <c r="O992" s="222" t="n">
        <v>147</v>
      </c>
      <c r="P992" s="222" t="n">
        <v>145</v>
      </c>
      <c r="Q992" s="43" t="inlineStr">
        <is>
          <t>202604_LIXIL_サーモスＬ_業務用資料集_完成品価格表.pdf</t>
        </is>
      </c>
      <c r="R992" s="43" t="inlineStr">
        <is>
          <t>規格呼称は親品種で確認済み。固有仕様ごとの価格設定有無（＿＿表示等）は次QAで最終確定。</t>
        </is>
      </c>
      <c r="S992" s="42" t="inlineStr">
        <is>
          <t>無印</t>
        </is>
      </c>
      <c r="T992" s="42" t="n">
        <v>145</v>
      </c>
      <c r="U992" s="42" t="inlineStr">
        <is>
          <t>P145|無印</t>
        </is>
      </c>
      <c r="V992" s="42" t="inlineStr">
        <is>
          <t>同頁凡例へ直接連動</t>
        </is>
      </c>
    </row>
    <row r="993">
      <c r="A993" s="43" t="inlineStr">
        <is>
          <t>SZ-SL-000990</t>
        </is>
      </c>
      <c r="B993" s="43" t="inlineStr">
        <is>
          <t>SER-LIX-SAMOSL</t>
        </is>
      </c>
      <c r="C993" s="43" t="inlineStr">
        <is>
          <t>WT-SL-MENKOSHI-AGE-FS</t>
        </is>
      </c>
      <c r="D993" s="43" t="inlineStr">
        <is>
          <t>面格子付上げ下げ窓FS</t>
        </is>
      </c>
      <c r="E993" s="43" t="inlineStr">
        <is>
          <t>SP-SL-AGE-GRILLE-H</t>
        </is>
      </c>
      <c r="F993" s="43" t="inlineStr">
        <is>
          <t>在来・204</t>
        </is>
      </c>
      <c r="G993" s="43" t="inlineStr">
        <is>
          <t>02609</t>
        </is>
      </c>
      <c r="H993" s="43" t="inlineStr">
        <is>
          <t>026</t>
        </is>
      </c>
      <c r="I993" s="43" t="inlineStr">
        <is>
          <t>09</t>
        </is>
      </c>
      <c r="J993" s="222" t="n">
        <v>300</v>
      </c>
      <c r="K993" s="222" t="n">
        <v>970</v>
      </c>
      <c r="L993" s="43" t="inlineStr">
        <is>
          <t>在来・204</t>
        </is>
      </c>
      <c r="M993" s="178" t="b">
        <v>1</v>
      </c>
      <c r="N993" s="43" t="inlineStr">
        <is>
          <t>カタログ個別可否確認済み</t>
        </is>
      </c>
      <c r="O993" s="222" t="n">
        <v>147</v>
      </c>
      <c r="P993" s="222" t="n">
        <v>145</v>
      </c>
      <c r="Q993" s="43" t="inlineStr">
        <is>
          <t>202604_LIXIL_サーモスＬ_業務用資料集_完成品価格表.pdf</t>
        </is>
      </c>
      <c r="R993" s="43" t="inlineStr">
        <is>
          <t>規格呼称は親品種で確認済み。固有仕様ごとの価格設定有無（＿＿表示等）は次QAで最終確定。</t>
        </is>
      </c>
      <c r="S993" s="42" t="inlineStr">
        <is>
          <t>無印</t>
        </is>
      </c>
      <c r="T993" s="42" t="n">
        <v>145</v>
      </c>
      <c r="U993" s="42" t="inlineStr">
        <is>
          <t>P145|無印</t>
        </is>
      </c>
      <c r="V993" s="42" t="inlineStr">
        <is>
          <t>同頁凡例へ直接連動</t>
        </is>
      </c>
    </row>
    <row r="994">
      <c r="A994" s="43" t="inlineStr">
        <is>
          <t>SZ-SL-000991</t>
        </is>
      </c>
      <c r="B994" s="43" t="inlineStr">
        <is>
          <t>SER-LIX-SAMOSL</t>
        </is>
      </c>
      <c r="C994" s="43" t="inlineStr">
        <is>
          <t>WT-SL-MENKOSHI-AGE-FS</t>
        </is>
      </c>
      <c r="D994" s="43" t="inlineStr">
        <is>
          <t>面格子付上げ下げ窓FS</t>
        </is>
      </c>
      <c r="E994" s="43" t="inlineStr">
        <is>
          <t>SP-SL-AGE-GRILLE-H</t>
        </is>
      </c>
      <c r="F994" s="43" t="inlineStr">
        <is>
          <t>在来・204</t>
        </is>
      </c>
      <c r="G994" s="43" t="inlineStr">
        <is>
          <t>03609</t>
        </is>
      </c>
      <c r="H994" s="43" t="inlineStr">
        <is>
          <t>036</t>
        </is>
      </c>
      <c r="I994" s="43" t="inlineStr">
        <is>
          <t>09</t>
        </is>
      </c>
      <c r="J994" s="222" t="n">
        <v>405</v>
      </c>
      <c r="K994" s="222" t="n">
        <v>970</v>
      </c>
      <c r="L994" s="43" t="inlineStr">
        <is>
          <t>在来・204</t>
        </is>
      </c>
      <c r="M994" s="178" t="b">
        <v>1</v>
      </c>
      <c r="N994" s="43" t="inlineStr">
        <is>
          <t>カタログ個別可否確認済み</t>
        </is>
      </c>
      <c r="O994" s="222" t="n">
        <v>147</v>
      </c>
      <c r="P994" s="222" t="n">
        <v>145</v>
      </c>
      <c r="Q994" s="43" t="inlineStr">
        <is>
          <t>202604_LIXIL_サーモスＬ_業務用資料集_完成品価格表.pdf</t>
        </is>
      </c>
      <c r="R994" s="43" t="inlineStr">
        <is>
          <t>規格呼称は親品種で確認済み。固有仕様ごとの価格設定有無（＿＿表示等）は次QAで最終確定。</t>
        </is>
      </c>
      <c r="S994" s="42" t="inlineStr">
        <is>
          <t>無印</t>
        </is>
      </c>
      <c r="T994" s="42" t="n">
        <v>145</v>
      </c>
      <c r="U994" s="42" t="inlineStr">
        <is>
          <t>P145|無印</t>
        </is>
      </c>
      <c r="V994" s="42" t="inlineStr">
        <is>
          <t>同頁凡例へ直接連動</t>
        </is>
      </c>
    </row>
    <row r="995">
      <c r="A995" s="43" t="inlineStr">
        <is>
          <t>SZ-SL-000992</t>
        </is>
      </c>
      <c r="B995" s="43" t="inlineStr">
        <is>
          <t>SER-LIX-SAMOSL</t>
        </is>
      </c>
      <c r="C995" s="43" t="inlineStr">
        <is>
          <t>WT-SL-MENKOSHI-AGE-FS</t>
        </is>
      </c>
      <c r="D995" s="43" t="inlineStr">
        <is>
          <t>面格子付上げ下げ窓FS</t>
        </is>
      </c>
      <c r="E995" s="43" t="inlineStr">
        <is>
          <t>SP-SL-AGE-GRILLE-H</t>
        </is>
      </c>
      <c r="F995" s="43" t="inlineStr">
        <is>
          <t>在来・204</t>
        </is>
      </c>
      <c r="G995" s="43" t="inlineStr">
        <is>
          <t>06009</t>
        </is>
      </c>
      <c r="H995" s="43" t="inlineStr">
        <is>
          <t>060</t>
        </is>
      </c>
      <c r="I995" s="43" t="inlineStr">
        <is>
          <t>09</t>
        </is>
      </c>
      <c r="J995" s="222" t="n">
        <v>640</v>
      </c>
      <c r="K995" s="222" t="n">
        <v>970</v>
      </c>
      <c r="L995" s="43" t="inlineStr">
        <is>
          <t>在来・204</t>
        </is>
      </c>
      <c r="M995" s="178" t="b">
        <v>1</v>
      </c>
      <c r="N995" s="43" t="inlineStr">
        <is>
          <t>カタログ個別可否確認済み</t>
        </is>
      </c>
      <c r="O995" s="222" t="n">
        <v>147</v>
      </c>
      <c r="P995" s="222" t="n">
        <v>145</v>
      </c>
      <c r="Q995" s="43" t="inlineStr">
        <is>
          <t>202604_LIXIL_サーモスＬ_業務用資料集_完成品価格表.pdf</t>
        </is>
      </c>
      <c r="R995" s="43" t="inlineStr">
        <is>
          <t>規格呼称は親品種で確認済み。固有仕様ごとの価格設定有無（＿＿表示等）は次QAで最終確定。</t>
        </is>
      </c>
      <c r="S995" s="42" t="inlineStr">
        <is>
          <t>無印</t>
        </is>
      </c>
      <c r="T995" s="42" t="n">
        <v>145</v>
      </c>
      <c r="U995" s="42" t="inlineStr">
        <is>
          <t>P145|無印</t>
        </is>
      </c>
      <c r="V995" s="42" t="inlineStr">
        <is>
          <t>同頁凡例へ直接連動</t>
        </is>
      </c>
    </row>
    <row r="996">
      <c r="A996" s="43" t="inlineStr">
        <is>
          <t>SZ-SL-000993</t>
        </is>
      </c>
      <c r="B996" s="43" t="inlineStr">
        <is>
          <t>SER-LIX-SAMOSL</t>
        </is>
      </c>
      <c r="C996" s="43" t="inlineStr">
        <is>
          <t>WT-SL-MENKOSHI-AGE-FS</t>
        </is>
      </c>
      <c r="D996" s="43" t="inlineStr">
        <is>
          <t>面格子付上げ下げ窓FS</t>
        </is>
      </c>
      <c r="E996" s="43" t="inlineStr">
        <is>
          <t>SP-SL-AGE-GRILLE-H</t>
        </is>
      </c>
      <c r="F996" s="43" t="inlineStr">
        <is>
          <t>在来・204</t>
        </is>
      </c>
      <c r="G996" s="43" t="inlineStr">
        <is>
          <t>06909</t>
        </is>
      </c>
      <c r="H996" s="43" t="inlineStr">
        <is>
          <t>069</t>
        </is>
      </c>
      <c r="I996" s="43" t="inlineStr">
        <is>
          <t>09</t>
        </is>
      </c>
      <c r="J996" s="222" t="n">
        <v>730</v>
      </c>
      <c r="K996" s="222" t="n">
        <v>970</v>
      </c>
      <c r="L996" s="43" t="inlineStr">
        <is>
          <t>在来・204</t>
        </is>
      </c>
      <c r="M996" s="178" t="b">
        <v>1</v>
      </c>
      <c r="N996" s="43" t="inlineStr">
        <is>
          <t>カタログ個別可否確認済み</t>
        </is>
      </c>
      <c r="O996" s="222" t="n">
        <v>147</v>
      </c>
      <c r="P996" s="222" t="n">
        <v>145</v>
      </c>
      <c r="Q996" s="43" t="inlineStr">
        <is>
          <t>202604_LIXIL_サーモスＬ_業務用資料集_完成品価格表.pdf</t>
        </is>
      </c>
      <c r="R996" s="43" t="inlineStr">
        <is>
          <t>規格呼称は親品種で確認済み。固有仕様ごとの価格設定有無（＿＿表示等）は次QAで最終確定。</t>
        </is>
      </c>
      <c r="S996" s="42" t="inlineStr">
        <is>
          <t>無印</t>
        </is>
      </c>
      <c r="T996" s="42" t="n">
        <v>145</v>
      </c>
      <c r="U996" s="42" t="inlineStr">
        <is>
          <t>P145|無印</t>
        </is>
      </c>
      <c r="V996" s="42" t="inlineStr">
        <is>
          <t>同頁凡例へ直接連動</t>
        </is>
      </c>
    </row>
    <row r="997">
      <c r="A997" s="43" t="inlineStr">
        <is>
          <t>SZ-SL-000994</t>
        </is>
      </c>
      <c r="B997" s="43" t="inlineStr">
        <is>
          <t>SER-LIX-SAMOSL</t>
        </is>
      </c>
      <c r="C997" s="43" t="inlineStr">
        <is>
          <t>WT-SL-MENKOSHI-AGE-FS</t>
        </is>
      </c>
      <c r="D997" s="43" t="inlineStr">
        <is>
          <t>面格子付上げ下げ窓FS</t>
        </is>
      </c>
      <c r="E997" s="43" t="inlineStr">
        <is>
          <t>SP-SL-AGE-GRILLE-H</t>
        </is>
      </c>
      <c r="F997" s="43" t="inlineStr">
        <is>
          <t>在来・204</t>
        </is>
      </c>
      <c r="G997" s="43" t="inlineStr">
        <is>
          <t>07409</t>
        </is>
      </c>
      <c r="H997" s="43" t="inlineStr">
        <is>
          <t>074</t>
        </is>
      </c>
      <c r="I997" s="43" t="inlineStr">
        <is>
          <t>09</t>
        </is>
      </c>
      <c r="J997" s="222" t="n">
        <v>780</v>
      </c>
      <c r="K997" s="222" t="n">
        <v>970</v>
      </c>
      <c r="L997" s="43" t="inlineStr">
        <is>
          <t>在来・204</t>
        </is>
      </c>
      <c r="M997" s="178" t="b">
        <v>1</v>
      </c>
      <c r="N997" s="43" t="inlineStr">
        <is>
          <t>カタログ個別可否確認済み</t>
        </is>
      </c>
      <c r="O997" s="222" t="n">
        <v>147</v>
      </c>
      <c r="P997" s="222" t="n">
        <v>145</v>
      </c>
      <c r="Q997" s="43" t="inlineStr">
        <is>
          <t>202604_LIXIL_サーモスＬ_業務用資料集_完成品価格表.pdf</t>
        </is>
      </c>
      <c r="R997" s="43" t="inlineStr">
        <is>
          <t>規格呼称は親品種で確認済み。固有仕様ごとの価格設定有無（＿＿表示等）は次QAで最終確定。</t>
        </is>
      </c>
      <c r="S997" s="42" t="inlineStr">
        <is>
          <t>無印</t>
        </is>
      </c>
      <c r="T997" s="42" t="n">
        <v>145</v>
      </c>
      <c r="U997" s="42" t="inlineStr">
        <is>
          <t>P145|無印</t>
        </is>
      </c>
      <c r="V997" s="42" t="inlineStr">
        <is>
          <t>同頁凡例へ直接連動</t>
        </is>
      </c>
    </row>
    <row r="998">
      <c r="A998" s="43" t="inlineStr">
        <is>
          <t>SZ-SL-000995</t>
        </is>
      </c>
      <c r="B998" s="43" t="inlineStr">
        <is>
          <t>SER-LIX-SAMOSL</t>
        </is>
      </c>
      <c r="C998" s="43" t="inlineStr">
        <is>
          <t>WT-SL-MENKOSHI-AGE-FS</t>
        </is>
      </c>
      <c r="D998" s="43" t="inlineStr">
        <is>
          <t>面格子付上げ下げ窓FS</t>
        </is>
      </c>
      <c r="E998" s="43" t="inlineStr">
        <is>
          <t>SP-SL-AGE-GRILLE-IGETA</t>
        </is>
      </c>
      <c r="F998" s="43" t="inlineStr">
        <is>
          <t>在来・204</t>
        </is>
      </c>
      <c r="G998" s="43" t="inlineStr">
        <is>
          <t>02609</t>
        </is>
      </c>
      <c r="H998" s="43" t="inlineStr">
        <is>
          <t>026</t>
        </is>
      </c>
      <c r="I998" s="43" t="inlineStr">
        <is>
          <t>09</t>
        </is>
      </c>
      <c r="J998" s="222" t="n">
        <v>300</v>
      </c>
      <c r="K998" s="222" t="n">
        <v>970</v>
      </c>
      <c r="L998" s="43" t="inlineStr">
        <is>
          <t>在来・204</t>
        </is>
      </c>
      <c r="M998" s="178" t="b">
        <v>1</v>
      </c>
      <c r="N998" s="43" t="inlineStr">
        <is>
          <t>カタログ個別可否確認済み</t>
        </is>
      </c>
      <c r="O998" s="222" t="n">
        <v>147</v>
      </c>
      <c r="P998" s="222" t="n">
        <v>145</v>
      </c>
      <c r="Q998" s="43" t="inlineStr">
        <is>
          <t>202604_LIXIL_サーモスＬ_業務用資料集_完成品価格表.pdf</t>
        </is>
      </c>
      <c r="R998" s="43" t="inlineStr">
        <is>
          <t>規格呼称は親品種で確認済み。固有仕様ごとの価格設定有無（＿＿表示等）は次QAで最終確定。</t>
        </is>
      </c>
      <c r="S998" s="42" t="inlineStr">
        <is>
          <t>無印</t>
        </is>
      </c>
      <c r="T998" s="42" t="n">
        <v>145</v>
      </c>
      <c r="U998" s="42" t="inlineStr">
        <is>
          <t>P145|無印</t>
        </is>
      </c>
      <c r="V998" s="42" t="inlineStr">
        <is>
          <t>同頁凡例へ直接連動</t>
        </is>
      </c>
    </row>
    <row r="999">
      <c r="A999" s="43" t="inlineStr">
        <is>
          <t>SZ-SL-000996</t>
        </is>
      </c>
      <c r="B999" s="43" t="inlineStr">
        <is>
          <t>SER-LIX-SAMOSL</t>
        </is>
      </c>
      <c r="C999" s="43" t="inlineStr">
        <is>
          <t>WT-SL-MENKOSHI-AGE-FS</t>
        </is>
      </c>
      <c r="D999" s="43" t="inlineStr">
        <is>
          <t>面格子付上げ下げ窓FS</t>
        </is>
      </c>
      <c r="E999" s="43" t="inlineStr">
        <is>
          <t>SP-SL-AGE-GRILLE-IGETA</t>
        </is>
      </c>
      <c r="F999" s="43" t="inlineStr">
        <is>
          <t>在来・204</t>
        </is>
      </c>
      <c r="G999" s="43" t="inlineStr">
        <is>
          <t>03609</t>
        </is>
      </c>
      <c r="H999" s="43" t="inlineStr">
        <is>
          <t>036</t>
        </is>
      </c>
      <c r="I999" s="43" t="inlineStr">
        <is>
          <t>09</t>
        </is>
      </c>
      <c r="J999" s="222" t="n">
        <v>405</v>
      </c>
      <c r="K999" s="222" t="n">
        <v>970</v>
      </c>
      <c r="L999" s="43" t="inlineStr">
        <is>
          <t>在来・204</t>
        </is>
      </c>
      <c r="M999" s="178" t="b">
        <v>1</v>
      </c>
      <c r="N999" s="43" t="inlineStr">
        <is>
          <t>カタログ個別可否確認済み</t>
        </is>
      </c>
      <c r="O999" s="222" t="n">
        <v>147</v>
      </c>
      <c r="P999" s="222" t="n">
        <v>145</v>
      </c>
      <c r="Q999" s="43" t="inlineStr">
        <is>
          <t>202604_LIXIL_サーモスＬ_業務用資料集_完成品価格表.pdf</t>
        </is>
      </c>
      <c r="R999" s="43" t="inlineStr">
        <is>
          <t>規格呼称は親品種で確認済み。固有仕様ごとの価格設定有無（＿＿表示等）は次QAで最終確定。</t>
        </is>
      </c>
      <c r="S999" s="42" t="inlineStr">
        <is>
          <t>無印</t>
        </is>
      </c>
      <c r="T999" s="42" t="n">
        <v>145</v>
      </c>
      <c r="U999" s="42" t="inlineStr">
        <is>
          <t>P145|無印</t>
        </is>
      </c>
      <c r="V999" s="42" t="inlineStr">
        <is>
          <t>同頁凡例へ直接連動</t>
        </is>
      </c>
    </row>
    <row r="1000">
      <c r="A1000" s="43" t="inlineStr">
        <is>
          <t>SZ-SL-000997</t>
        </is>
      </c>
      <c r="B1000" s="43" t="inlineStr">
        <is>
          <t>SER-LIX-SAMOSL</t>
        </is>
      </c>
      <c r="C1000" s="43" t="inlineStr">
        <is>
          <t>WT-SL-MENKOSHI-AGE-FS</t>
        </is>
      </c>
      <c r="D1000" s="43" t="inlineStr">
        <is>
          <t>面格子付上げ下げ窓FS</t>
        </is>
      </c>
      <c r="E1000" s="43" t="inlineStr">
        <is>
          <t>SP-SL-AGE-GRILLE-IGETA</t>
        </is>
      </c>
      <c r="F1000" s="43" t="inlineStr">
        <is>
          <t>在来・204</t>
        </is>
      </c>
      <c r="G1000" s="43" t="inlineStr">
        <is>
          <t>06009</t>
        </is>
      </c>
      <c r="H1000" s="43" t="inlineStr">
        <is>
          <t>060</t>
        </is>
      </c>
      <c r="I1000" s="43" t="inlineStr">
        <is>
          <t>09</t>
        </is>
      </c>
      <c r="J1000" s="222" t="n">
        <v>640</v>
      </c>
      <c r="K1000" s="222" t="n">
        <v>970</v>
      </c>
      <c r="L1000" s="43" t="inlineStr">
        <is>
          <t>在来・204</t>
        </is>
      </c>
      <c r="M1000" s="178" t="b">
        <v>1</v>
      </c>
      <c r="N1000" s="43" t="inlineStr">
        <is>
          <t>カタログ個別可否確認済み</t>
        </is>
      </c>
      <c r="O1000" s="222" t="n">
        <v>147</v>
      </c>
      <c r="P1000" s="222" t="n">
        <v>145</v>
      </c>
      <c r="Q1000" s="43" t="inlineStr">
        <is>
          <t>202604_LIXIL_サーモスＬ_業務用資料集_完成品価格表.pdf</t>
        </is>
      </c>
      <c r="R1000" s="43" t="inlineStr">
        <is>
          <t>規格呼称は親品種で確認済み。固有仕様ごとの価格設定有無（＿＿表示等）は次QAで最終確定。</t>
        </is>
      </c>
      <c r="S1000" s="42" t="inlineStr">
        <is>
          <t>無印</t>
        </is>
      </c>
      <c r="T1000" s="42" t="n">
        <v>145</v>
      </c>
      <c r="U1000" s="42" t="inlineStr">
        <is>
          <t>P145|無印</t>
        </is>
      </c>
      <c r="V1000" s="42" t="inlineStr">
        <is>
          <t>同頁凡例へ直接連動</t>
        </is>
      </c>
    </row>
    <row r="1001">
      <c r="A1001" s="43" t="inlineStr">
        <is>
          <t>SZ-SL-000998</t>
        </is>
      </c>
      <c r="B1001" s="43" t="inlineStr">
        <is>
          <t>SER-LIX-SAMOSL</t>
        </is>
      </c>
      <c r="C1001" s="43" t="inlineStr">
        <is>
          <t>WT-SL-MENKOSHI-AGE-FS</t>
        </is>
      </c>
      <c r="D1001" s="43" t="inlineStr">
        <is>
          <t>面格子付上げ下げ窓FS</t>
        </is>
      </c>
      <c r="E1001" s="43" t="inlineStr">
        <is>
          <t>SP-SL-AGE-GRILLE-IGETA</t>
        </is>
      </c>
      <c r="F1001" s="43" t="inlineStr">
        <is>
          <t>在来・204</t>
        </is>
      </c>
      <c r="G1001" s="43" t="inlineStr">
        <is>
          <t>06909</t>
        </is>
      </c>
      <c r="H1001" s="43" t="inlineStr">
        <is>
          <t>069</t>
        </is>
      </c>
      <c r="I1001" s="43" t="inlineStr">
        <is>
          <t>09</t>
        </is>
      </c>
      <c r="J1001" s="222" t="n">
        <v>730</v>
      </c>
      <c r="K1001" s="222" t="n">
        <v>970</v>
      </c>
      <c r="L1001" s="43" t="inlineStr">
        <is>
          <t>在来・204</t>
        </is>
      </c>
      <c r="M1001" s="178" t="b">
        <v>1</v>
      </c>
      <c r="N1001" s="43" t="inlineStr">
        <is>
          <t>カタログ個別可否確認済み</t>
        </is>
      </c>
      <c r="O1001" s="222" t="n">
        <v>147</v>
      </c>
      <c r="P1001" s="222" t="n">
        <v>145</v>
      </c>
      <c r="Q1001" s="43" t="inlineStr">
        <is>
          <t>202604_LIXIL_サーモスＬ_業務用資料集_完成品価格表.pdf</t>
        </is>
      </c>
      <c r="R1001" s="43" t="inlineStr">
        <is>
          <t>規格呼称は親品種で確認済み。固有仕様ごとの価格設定有無（＿＿表示等）は次QAで最終確定。</t>
        </is>
      </c>
      <c r="S1001" s="42" t="inlineStr">
        <is>
          <t>無印</t>
        </is>
      </c>
      <c r="T1001" s="42" t="n">
        <v>145</v>
      </c>
      <c r="U1001" s="42" t="inlineStr">
        <is>
          <t>P145|無印</t>
        </is>
      </c>
      <c r="V1001" s="42" t="inlineStr">
        <is>
          <t>同頁凡例へ直接連動</t>
        </is>
      </c>
    </row>
    <row r="1002">
      <c r="A1002" s="43" t="inlineStr">
        <is>
          <t>SZ-SL-000999</t>
        </is>
      </c>
      <c r="B1002" s="43" t="inlineStr">
        <is>
          <t>SER-LIX-SAMOSL</t>
        </is>
      </c>
      <c r="C1002" s="43" t="inlineStr">
        <is>
          <t>WT-SL-MENKOSHI-AGE-FS</t>
        </is>
      </c>
      <c r="D1002" s="43" t="inlineStr">
        <is>
          <t>面格子付上げ下げ窓FS</t>
        </is>
      </c>
      <c r="E1002" s="43" t="inlineStr">
        <is>
          <t>SP-SL-AGE-GRILLE-IGETA</t>
        </is>
      </c>
      <c r="F1002" s="43" t="inlineStr">
        <is>
          <t>在来・204</t>
        </is>
      </c>
      <c r="G1002" s="43" t="inlineStr">
        <is>
          <t>07409</t>
        </is>
      </c>
      <c r="H1002" s="43" t="inlineStr">
        <is>
          <t>074</t>
        </is>
      </c>
      <c r="I1002" s="43" t="inlineStr">
        <is>
          <t>09</t>
        </is>
      </c>
      <c r="J1002" s="222" t="n">
        <v>780</v>
      </c>
      <c r="K1002" s="222" t="n">
        <v>970</v>
      </c>
      <c r="L1002" s="43" t="inlineStr">
        <is>
          <t>在来・204</t>
        </is>
      </c>
      <c r="M1002" s="178" t="b">
        <v>1</v>
      </c>
      <c r="N1002" s="43" t="inlineStr">
        <is>
          <t>カタログ個別可否確認済み</t>
        </is>
      </c>
      <c r="O1002" s="222" t="n">
        <v>147</v>
      </c>
      <c r="P1002" s="222" t="n">
        <v>145</v>
      </c>
      <c r="Q1002" s="43" t="inlineStr">
        <is>
          <t>202604_LIXIL_サーモスＬ_業務用資料集_完成品価格表.pdf</t>
        </is>
      </c>
      <c r="R1002" s="43" t="inlineStr">
        <is>
          <t>規格呼称は親品種で確認済み。固有仕様ごとの価格設定有無（＿＿表示等）は次QAで最終確定。</t>
        </is>
      </c>
      <c r="S1002" s="42" t="inlineStr">
        <is>
          <t>無印</t>
        </is>
      </c>
      <c r="T1002" s="42" t="n">
        <v>145</v>
      </c>
      <c r="U1002" s="42" t="inlineStr">
        <is>
          <t>P145|無印</t>
        </is>
      </c>
      <c r="V1002" s="42" t="inlineStr">
        <is>
          <t>同頁凡例へ直接連動</t>
        </is>
      </c>
    </row>
    <row r="1003">
      <c r="A1003" s="43" t="inlineStr">
        <is>
          <t>SZ-SL-001000</t>
        </is>
      </c>
      <c r="B1003" s="43" t="inlineStr">
        <is>
          <t>SER-LIX-SAMOSL</t>
        </is>
      </c>
      <c r="C1003" s="43" t="inlineStr">
        <is>
          <t>WT-SL-MENKOSHI-AGE-FS</t>
        </is>
      </c>
      <c r="D1003" s="43" t="inlineStr">
        <is>
          <t>面格子付上げ下げ窓FS</t>
        </is>
      </c>
      <c r="E1003" s="43" t="inlineStr">
        <is>
          <t>SP-SL-AGE-GRILLE-V</t>
        </is>
      </c>
      <c r="F1003" s="43" t="inlineStr">
        <is>
          <t>在来・204</t>
        </is>
      </c>
      <c r="G1003" s="43" t="inlineStr">
        <is>
          <t>02609</t>
        </is>
      </c>
      <c r="H1003" s="43" t="inlineStr">
        <is>
          <t>026</t>
        </is>
      </c>
      <c r="I1003" s="43" t="inlineStr">
        <is>
          <t>09</t>
        </is>
      </c>
      <c r="J1003" s="222" t="n">
        <v>300</v>
      </c>
      <c r="K1003" s="222" t="n">
        <v>970</v>
      </c>
      <c r="L1003" s="43" t="inlineStr">
        <is>
          <t>在来・204</t>
        </is>
      </c>
      <c r="M1003" s="178" t="b">
        <v>1</v>
      </c>
      <c r="N1003" s="43" t="inlineStr">
        <is>
          <t>カタログ個別可否確認済み</t>
        </is>
      </c>
      <c r="O1003" s="222" t="n">
        <v>147</v>
      </c>
      <c r="P1003" s="222" t="n">
        <v>145</v>
      </c>
      <c r="Q1003" s="43" t="inlineStr">
        <is>
          <t>202604_LIXIL_サーモスＬ_業務用資料集_完成品価格表.pdf</t>
        </is>
      </c>
      <c r="R1003" s="43" t="inlineStr">
        <is>
          <t>規格呼称は親品種で確認済み。固有仕様ごとの価格設定有無（＿＿表示等）は次QAで最終確定。</t>
        </is>
      </c>
      <c r="S1003" s="42" t="inlineStr">
        <is>
          <t>無印</t>
        </is>
      </c>
      <c r="T1003" s="42" t="n">
        <v>145</v>
      </c>
      <c r="U1003" s="42" t="inlineStr">
        <is>
          <t>P145|無印</t>
        </is>
      </c>
      <c r="V1003" s="42" t="inlineStr">
        <is>
          <t>同頁凡例へ直接連動</t>
        </is>
      </c>
    </row>
    <row r="1004">
      <c r="A1004" s="43" t="inlineStr">
        <is>
          <t>SZ-SL-001001</t>
        </is>
      </c>
      <c r="B1004" s="43" t="inlineStr">
        <is>
          <t>SER-LIX-SAMOSL</t>
        </is>
      </c>
      <c r="C1004" s="43" t="inlineStr">
        <is>
          <t>WT-SL-MENKOSHI-AGE-FS</t>
        </is>
      </c>
      <c r="D1004" s="43" t="inlineStr">
        <is>
          <t>面格子付上げ下げ窓FS</t>
        </is>
      </c>
      <c r="E1004" s="43" t="inlineStr">
        <is>
          <t>SP-SL-AGE-GRILLE-V</t>
        </is>
      </c>
      <c r="F1004" s="43" t="inlineStr">
        <is>
          <t>在来・204</t>
        </is>
      </c>
      <c r="G1004" s="43" t="inlineStr">
        <is>
          <t>03609</t>
        </is>
      </c>
      <c r="H1004" s="43" t="inlineStr">
        <is>
          <t>036</t>
        </is>
      </c>
      <c r="I1004" s="43" t="inlineStr">
        <is>
          <t>09</t>
        </is>
      </c>
      <c r="J1004" s="222" t="n">
        <v>405</v>
      </c>
      <c r="K1004" s="222" t="n">
        <v>970</v>
      </c>
      <c r="L1004" s="43" t="inlineStr">
        <is>
          <t>在来・204</t>
        </is>
      </c>
      <c r="M1004" s="178" t="b">
        <v>1</v>
      </c>
      <c r="N1004" s="43" t="inlineStr">
        <is>
          <t>カタログ個別可否確認済み</t>
        </is>
      </c>
      <c r="O1004" s="222" t="n">
        <v>147</v>
      </c>
      <c r="P1004" s="222" t="n">
        <v>145</v>
      </c>
      <c r="Q1004" s="43" t="inlineStr">
        <is>
          <t>202604_LIXIL_サーモスＬ_業務用資料集_完成品価格表.pdf</t>
        </is>
      </c>
      <c r="R1004" s="43" t="inlineStr">
        <is>
          <t>規格呼称は親品種で確認済み。固有仕様ごとの価格設定有無（＿＿表示等）は次QAで最終確定。</t>
        </is>
      </c>
      <c r="S1004" s="42" t="inlineStr">
        <is>
          <t>無印</t>
        </is>
      </c>
      <c r="T1004" s="42" t="n">
        <v>145</v>
      </c>
      <c r="U1004" s="42" t="inlineStr">
        <is>
          <t>P145|無印</t>
        </is>
      </c>
      <c r="V1004" s="42" t="inlineStr">
        <is>
          <t>同頁凡例へ直接連動</t>
        </is>
      </c>
    </row>
    <row r="1005">
      <c r="A1005" s="43" t="inlineStr">
        <is>
          <t>SZ-SL-001002</t>
        </is>
      </c>
      <c r="B1005" s="43" t="inlineStr">
        <is>
          <t>SER-LIX-SAMOSL</t>
        </is>
      </c>
      <c r="C1005" s="43" t="inlineStr">
        <is>
          <t>WT-SL-MENKOSHI-AGE-FS</t>
        </is>
      </c>
      <c r="D1005" s="43" t="inlineStr">
        <is>
          <t>面格子付上げ下げ窓FS</t>
        </is>
      </c>
      <c r="E1005" s="43" t="inlineStr">
        <is>
          <t>SP-SL-AGE-GRILLE-V</t>
        </is>
      </c>
      <c r="F1005" s="43" t="inlineStr">
        <is>
          <t>在来・204</t>
        </is>
      </c>
      <c r="G1005" s="43" t="inlineStr">
        <is>
          <t>06009</t>
        </is>
      </c>
      <c r="H1005" s="43" t="inlineStr">
        <is>
          <t>060</t>
        </is>
      </c>
      <c r="I1005" s="43" t="inlineStr">
        <is>
          <t>09</t>
        </is>
      </c>
      <c r="J1005" s="222" t="n">
        <v>640</v>
      </c>
      <c r="K1005" s="222" t="n">
        <v>970</v>
      </c>
      <c r="L1005" s="43" t="inlineStr">
        <is>
          <t>在来・204</t>
        </is>
      </c>
      <c r="M1005" s="178" t="b">
        <v>1</v>
      </c>
      <c r="N1005" s="43" t="inlineStr">
        <is>
          <t>カタログ個別可否確認済み</t>
        </is>
      </c>
      <c r="O1005" s="222" t="n">
        <v>147</v>
      </c>
      <c r="P1005" s="222" t="n">
        <v>145</v>
      </c>
      <c r="Q1005" s="43" t="inlineStr">
        <is>
          <t>202604_LIXIL_サーモスＬ_業務用資料集_完成品価格表.pdf</t>
        </is>
      </c>
      <c r="R1005" s="43" t="inlineStr">
        <is>
          <t>規格呼称は親品種で確認済み。固有仕様ごとの価格設定有無（＿＿表示等）は次QAで最終確定。</t>
        </is>
      </c>
      <c r="S1005" s="42" t="inlineStr">
        <is>
          <t>無印</t>
        </is>
      </c>
      <c r="T1005" s="42" t="n">
        <v>145</v>
      </c>
      <c r="U1005" s="42" t="inlineStr">
        <is>
          <t>P145|無印</t>
        </is>
      </c>
      <c r="V1005" s="42" t="inlineStr">
        <is>
          <t>同頁凡例へ直接連動</t>
        </is>
      </c>
    </row>
    <row r="1006">
      <c r="A1006" s="43" t="inlineStr">
        <is>
          <t>SZ-SL-001003</t>
        </is>
      </c>
      <c r="B1006" s="43" t="inlineStr">
        <is>
          <t>SER-LIX-SAMOSL</t>
        </is>
      </c>
      <c r="C1006" s="43" t="inlineStr">
        <is>
          <t>WT-SL-MENKOSHI-AGE-FS</t>
        </is>
      </c>
      <c r="D1006" s="43" t="inlineStr">
        <is>
          <t>面格子付上げ下げ窓FS</t>
        </is>
      </c>
      <c r="E1006" s="43" t="inlineStr">
        <is>
          <t>SP-SL-AGE-GRILLE-V</t>
        </is>
      </c>
      <c r="F1006" s="43" t="inlineStr">
        <is>
          <t>在来・204</t>
        </is>
      </c>
      <c r="G1006" s="43" t="inlineStr">
        <is>
          <t>06909</t>
        </is>
      </c>
      <c r="H1006" s="43" t="inlineStr">
        <is>
          <t>069</t>
        </is>
      </c>
      <c r="I1006" s="43" t="inlineStr">
        <is>
          <t>09</t>
        </is>
      </c>
      <c r="J1006" s="222" t="n">
        <v>730</v>
      </c>
      <c r="K1006" s="222" t="n">
        <v>970</v>
      </c>
      <c r="L1006" s="43" t="inlineStr">
        <is>
          <t>在来・204</t>
        </is>
      </c>
      <c r="M1006" s="178" t="b">
        <v>1</v>
      </c>
      <c r="N1006" s="43" t="inlineStr">
        <is>
          <t>カタログ個別可否確認済み</t>
        </is>
      </c>
      <c r="O1006" s="222" t="n">
        <v>147</v>
      </c>
      <c r="P1006" s="222" t="n">
        <v>145</v>
      </c>
      <c r="Q1006" s="43" t="inlineStr">
        <is>
          <t>202604_LIXIL_サーモスＬ_業務用資料集_完成品価格表.pdf</t>
        </is>
      </c>
      <c r="R1006" s="43" t="inlineStr">
        <is>
          <t>規格呼称は親品種で確認済み。固有仕様ごとの価格設定有無（＿＿表示等）は次QAで最終確定。</t>
        </is>
      </c>
      <c r="S1006" s="42" t="inlineStr">
        <is>
          <t>無印</t>
        </is>
      </c>
      <c r="T1006" s="42" t="n">
        <v>145</v>
      </c>
      <c r="U1006" s="42" t="inlineStr">
        <is>
          <t>P145|無印</t>
        </is>
      </c>
      <c r="V1006" s="42" t="inlineStr">
        <is>
          <t>同頁凡例へ直接連動</t>
        </is>
      </c>
    </row>
    <row r="1007">
      <c r="A1007" s="43" t="inlineStr">
        <is>
          <t>SZ-SL-001004</t>
        </is>
      </c>
      <c r="B1007" s="43" t="inlineStr">
        <is>
          <t>SER-LIX-SAMOSL</t>
        </is>
      </c>
      <c r="C1007" s="43" t="inlineStr">
        <is>
          <t>WT-SL-MENKOSHI-AGE-FS</t>
        </is>
      </c>
      <c r="D1007" s="43" t="inlineStr">
        <is>
          <t>面格子付上げ下げ窓FS</t>
        </is>
      </c>
      <c r="E1007" s="43" t="inlineStr">
        <is>
          <t>SP-SL-AGE-GRILLE-V</t>
        </is>
      </c>
      <c r="F1007" s="43" t="inlineStr">
        <is>
          <t>在来・204</t>
        </is>
      </c>
      <c r="G1007" s="43" t="inlineStr">
        <is>
          <t>07409</t>
        </is>
      </c>
      <c r="H1007" s="43" t="inlineStr">
        <is>
          <t>074</t>
        </is>
      </c>
      <c r="I1007" s="43" t="inlineStr">
        <is>
          <t>09</t>
        </is>
      </c>
      <c r="J1007" s="222" t="n">
        <v>780</v>
      </c>
      <c r="K1007" s="222" t="n">
        <v>970</v>
      </c>
      <c r="L1007" s="43" t="inlineStr">
        <is>
          <t>在来・204</t>
        </is>
      </c>
      <c r="M1007" s="178" t="b">
        <v>1</v>
      </c>
      <c r="N1007" s="43" t="inlineStr">
        <is>
          <t>カタログ個別可否確認済み</t>
        </is>
      </c>
      <c r="O1007" s="222" t="n">
        <v>147</v>
      </c>
      <c r="P1007" s="222" t="n">
        <v>145</v>
      </c>
      <c r="Q1007" s="43" t="inlineStr">
        <is>
          <t>202604_LIXIL_サーモスＬ_業務用資料集_完成品価格表.pdf</t>
        </is>
      </c>
      <c r="R1007" s="43" t="inlineStr">
        <is>
          <t>規格呼称は親品種で確認済み。固有仕様ごとの価格設定有無（＿＿表示等）は次QAで最終確定。</t>
        </is>
      </c>
      <c r="S1007" s="42" t="inlineStr">
        <is>
          <t>無印</t>
        </is>
      </c>
      <c r="T1007" s="42" t="n">
        <v>145</v>
      </c>
      <c r="U1007" s="42" t="inlineStr">
        <is>
          <t>P145|無印</t>
        </is>
      </c>
      <c r="V1007" s="42" t="inlineStr">
        <is>
          <t>同頁凡例へ直接連動</t>
        </is>
      </c>
    </row>
    <row r="1008">
      <c r="A1008" s="43" t="inlineStr">
        <is>
          <t>SZ-SL-001005</t>
        </is>
      </c>
      <c r="B1008" s="43" t="inlineStr">
        <is>
          <t>SER-LIX-SAMOSL</t>
        </is>
      </c>
      <c r="C1008" s="43" t="inlineStr">
        <is>
          <t>WT-SL-MENKOSHI-AGE-FS</t>
        </is>
      </c>
      <c r="D1008" s="43" t="inlineStr">
        <is>
          <t>面格子付上げ下げ窓FS</t>
        </is>
      </c>
      <c r="E1008" s="43" t="inlineStr">
        <is>
          <t>SP-SL-AGE-GRILLE-DIA</t>
        </is>
      </c>
      <c r="F1008" s="43" t="inlineStr">
        <is>
          <t>在来・204</t>
        </is>
      </c>
      <c r="G1008" s="43" t="inlineStr">
        <is>
          <t>02611</t>
        </is>
      </c>
      <c r="H1008" s="43" t="inlineStr">
        <is>
          <t>026</t>
        </is>
      </c>
      <c r="I1008" s="43" t="inlineStr">
        <is>
          <t>11</t>
        </is>
      </c>
      <c r="J1008" s="222" t="n">
        <v>300</v>
      </c>
      <c r="K1008" s="222" t="n">
        <v>1170</v>
      </c>
      <c r="L1008" s="43" t="inlineStr">
        <is>
          <t>在来・204</t>
        </is>
      </c>
      <c r="M1008" s="178" t="b">
        <v>1</v>
      </c>
      <c r="N1008" s="43" t="inlineStr">
        <is>
          <t>カタログ個別可否確認済み</t>
        </is>
      </c>
      <c r="O1008" s="222" t="n">
        <v>148</v>
      </c>
      <c r="P1008" s="222" t="n">
        <v>146</v>
      </c>
      <c r="Q1008" s="43" t="inlineStr">
        <is>
          <t>202604_LIXIL_サーモスＬ_業務用資料集_完成品価格表.pdf</t>
        </is>
      </c>
      <c r="R1008" s="43" t="inlineStr">
        <is>
          <t>規格呼称は親品種で確認済み。固有仕様ごとの価格設定有無（＿＿表示等）は次QAで最終確定。</t>
        </is>
      </c>
      <c r="S1008" s="42" t="inlineStr">
        <is>
          <t>無印</t>
        </is>
      </c>
      <c r="T1008" s="42" t="n">
        <v>146</v>
      </c>
      <c r="U1008" s="42" t="inlineStr">
        <is>
          <t>P146|無印</t>
        </is>
      </c>
      <c r="V1008" s="42" t="inlineStr">
        <is>
          <t>同頁凡例へ直接連動</t>
        </is>
      </c>
    </row>
    <row r="1009">
      <c r="A1009" s="43" t="inlineStr">
        <is>
          <t>SZ-SL-001006</t>
        </is>
      </c>
      <c r="B1009" s="43" t="inlineStr">
        <is>
          <t>SER-LIX-SAMOSL</t>
        </is>
      </c>
      <c r="C1009" s="43" t="inlineStr">
        <is>
          <t>WT-SL-MENKOSHI-AGE-FS</t>
        </is>
      </c>
      <c r="D1009" s="43" t="inlineStr">
        <is>
          <t>面格子付上げ下げ窓FS</t>
        </is>
      </c>
      <c r="E1009" s="43" t="inlineStr">
        <is>
          <t>SP-SL-AGE-GRILLE-DIA</t>
        </is>
      </c>
      <c r="F1009" s="43" t="inlineStr">
        <is>
          <t>在来・204</t>
        </is>
      </c>
      <c r="G1009" s="43" t="inlineStr">
        <is>
          <t>03611</t>
        </is>
      </c>
      <c r="H1009" s="43" t="inlineStr">
        <is>
          <t>036</t>
        </is>
      </c>
      <c r="I1009" s="43" t="inlineStr">
        <is>
          <t>11</t>
        </is>
      </c>
      <c r="J1009" s="222" t="n">
        <v>405</v>
      </c>
      <c r="K1009" s="222" t="n">
        <v>1170</v>
      </c>
      <c r="L1009" s="43" t="inlineStr">
        <is>
          <t>在来・204</t>
        </is>
      </c>
      <c r="M1009" s="178" t="b">
        <v>1</v>
      </c>
      <c r="N1009" s="43" t="inlineStr">
        <is>
          <t>カタログ個別可否確認済み</t>
        </is>
      </c>
      <c r="O1009" s="222" t="n">
        <v>148</v>
      </c>
      <c r="P1009" s="222" t="n">
        <v>146</v>
      </c>
      <c r="Q1009" s="43" t="inlineStr">
        <is>
          <t>202604_LIXIL_サーモスＬ_業務用資料集_完成品価格表.pdf</t>
        </is>
      </c>
      <c r="R1009" s="43" t="inlineStr">
        <is>
          <t>規格呼称は親品種で確認済み。固有仕様ごとの価格設定有無（＿＿表示等）は次QAで最終確定。</t>
        </is>
      </c>
      <c r="S1009" s="42" t="inlineStr">
        <is>
          <t>無印</t>
        </is>
      </c>
      <c r="T1009" s="42" t="n">
        <v>146</v>
      </c>
      <c r="U1009" s="42" t="inlineStr">
        <is>
          <t>P146|無印</t>
        </is>
      </c>
      <c r="V1009" s="42" t="inlineStr">
        <is>
          <t>同頁凡例へ直接連動</t>
        </is>
      </c>
    </row>
    <row r="1010">
      <c r="A1010" s="43" t="inlineStr">
        <is>
          <t>SZ-SL-001007</t>
        </is>
      </c>
      <c r="B1010" s="43" t="inlineStr">
        <is>
          <t>SER-LIX-SAMOSL</t>
        </is>
      </c>
      <c r="C1010" s="43" t="inlineStr">
        <is>
          <t>WT-SL-MENKOSHI-AGE-FS</t>
        </is>
      </c>
      <c r="D1010" s="43" t="inlineStr">
        <is>
          <t>面格子付上げ下げ窓FS</t>
        </is>
      </c>
      <c r="E1010" s="43" t="inlineStr">
        <is>
          <t>SP-SL-AGE-GRILLE-DIA</t>
        </is>
      </c>
      <c r="F1010" s="43" t="inlineStr">
        <is>
          <t>在来・204</t>
        </is>
      </c>
      <c r="G1010" s="43" t="inlineStr">
        <is>
          <t>06011</t>
        </is>
      </c>
      <c r="H1010" s="43" t="inlineStr">
        <is>
          <t>060</t>
        </is>
      </c>
      <c r="I1010" s="43" t="inlineStr">
        <is>
          <t>11</t>
        </is>
      </c>
      <c r="J1010" s="222" t="n">
        <v>640</v>
      </c>
      <c r="K1010" s="222" t="n">
        <v>1170</v>
      </c>
      <c r="L1010" s="43" t="inlineStr">
        <is>
          <t>在来・204</t>
        </is>
      </c>
      <c r="M1010" s="178" t="b">
        <v>1</v>
      </c>
      <c r="N1010" s="43" t="inlineStr">
        <is>
          <t>カタログ個別可否確認済み</t>
        </is>
      </c>
      <c r="O1010" s="222" t="n">
        <v>148</v>
      </c>
      <c r="P1010" s="222" t="n">
        <v>146</v>
      </c>
      <c r="Q1010" s="43" t="inlineStr">
        <is>
          <t>202604_LIXIL_サーモスＬ_業務用資料集_完成品価格表.pdf</t>
        </is>
      </c>
      <c r="R1010" s="43" t="inlineStr">
        <is>
          <t>規格呼称は親品種で確認済み。固有仕様ごとの価格設定有無（＿＿表示等）は次QAで最終確定。</t>
        </is>
      </c>
      <c r="S1010" s="42" t="inlineStr">
        <is>
          <t>無印</t>
        </is>
      </c>
      <c r="T1010" s="42" t="n">
        <v>146</v>
      </c>
      <c r="U1010" s="42" t="inlineStr">
        <is>
          <t>P146|無印</t>
        </is>
      </c>
      <c r="V1010" s="42" t="inlineStr">
        <is>
          <t>同頁凡例へ直接連動</t>
        </is>
      </c>
    </row>
    <row r="1011">
      <c r="A1011" s="43" t="inlineStr">
        <is>
          <t>SZ-SL-001008</t>
        </is>
      </c>
      <c r="B1011" s="43" t="inlineStr">
        <is>
          <t>SER-LIX-SAMOSL</t>
        </is>
      </c>
      <c r="C1011" s="43" t="inlineStr">
        <is>
          <t>WT-SL-MENKOSHI-AGE-FS</t>
        </is>
      </c>
      <c r="D1011" s="43" t="inlineStr">
        <is>
          <t>面格子付上げ下げ窓FS</t>
        </is>
      </c>
      <c r="E1011" s="43" t="inlineStr">
        <is>
          <t>SP-SL-AGE-GRILLE-DIA</t>
        </is>
      </c>
      <c r="F1011" s="43" t="inlineStr">
        <is>
          <t>在来・204</t>
        </is>
      </c>
      <c r="G1011" s="43" t="inlineStr">
        <is>
          <t>06911</t>
        </is>
      </c>
      <c r="H1011" s="43" t="inlineStr">
        <is>
          <t>069</t>
        </is>
      </c>
      <c r="I1011" s="43" t="inlineStr">
        <is>
          <t>11</t>
        </is>
      </c>
      <c r="J1011" s="222" t="n">
        <v>730</v>
      </c>
      <c r="K1011" s="222" t="n">
        <v>1170</v>
      </c>
      <c r="L1011" s="43" t="inlineStr">
        <is>
          <t>在来・204</t>
        </is>
      </c>
      <c r="M1011" s="178" t="b">
        <v>1</v>
      </c>
      <c r="N1011" s="43" t="inlineStr">
        <is>
          <t>カタログ個別可否確認済み</t>
        </is>
      </c>
      <c r="O1011" s="222" t="n">
        <v>148</v>
      </c>
      <c r="P1011" s="222" t="n">
        <v>146</v>
      </c>
      <c r="Q1011" s="43" t="inlineStr">
        <is>
          <t>202604_LIXIL_サーモスＬ_業務用資料集_完成品価格表.pdf</t>
        </is>
      </c>
      <c r="R1011" s="43" t="inlineStr">
        <is>
          <t>規格呼称は親品種で確認済み。固有仕様ごとの価格設定有無（＿＿表示等）は次QAで最終確定。</t>
        </is>
      </c>
      <c r="S1011" s="42" t="inlineStr">
        <is>
          <t>無印</t>
        </is>
      </c>
      <c r="T1011" s="42" t="n">
        <v>146</v>
      </c>
      <c r="U1011" s="42" t="inlineStr">
        <is>
          <t>P146|無印</t>
        </is>
      </c>
      <c r="V1011" s="42" t="inlineStr">
        <is>
          <t>同頁凡例へ直接連動</t>
        </is>
      </c>
    </row>
    <row r="1012">
      <c r="A1012" s="43" t="inlineStr">
        <is>
          <t>SZ-SL-001009</t>
        </is>
      </c>
      <c r="B1012" s="43" t="inlineStr">
        <is>
          <t>SER-LIX-SAMOSL</t>
        </is>
      </c>
      <c r="C1012" s="43" t="inlineStr">
        <is>
          <t>WT-SL-MENKOSHI-AGE-FS</t>
        </is>
      </c>
      <c r="D1012" s="43" t="inlineStr">
        <is>
          <t>面格子付上げ下げ窓FS</t>
        </is>
      </c>
      <c r="E1012" s="43" t="inlineStr">
        <is>
          <t>SP-SL-AGE-GRILLE-DIA</t>
        </is>
      </c>
      <c r="F1012" s="43" t="inlineStr">
        <is>
          <t>在来・204</t>
        </is>
      </c>
      <c r="G1012" s="43" t="inlineStr">
        <is>
          <t>07411</t>
        </is>
      </c>
      <c r="H1012" s="43" t="inlineStr">
        <is>
          <t>074</t>
        </is>
      </c>
      <c r="I1012" s="43" t="inlineStr">
        <is>
          <t>11</t>
        </is>
      </c>
      <c r="J1012" s="222" t="n">
        <v>780</v>
      </c>
      <c r="K1012" s="222" t="n">
        <v>1170</v>
      </c>
      <c r="L1012" s="43" t="inlineStr">
        <is>
          <t>在来・204</t>
        </is>
      </c>
      <c r="M1012" s="178" t="b">
        <v>1</v>
      </c>
      <c r="N1012" s="43" t="inlineStr">
        <is>
          <t>カタログ個別可否確認済み</t>
        </is>
      </c>
      <c r="O1012" s="222" t="n">
        <v>148</v>
      </c>
      <c r="P1012" s="222" t="n">
        <v>146</v>
      </c>
      <c r="Q1012" s="43" t="inlineStr">
        <is>
          <t>202604_LIXIL_サーモスＬ_業務用資料集_完成品価格表.pdf</t>
        </is>
      </c>
      <c r="R1012" s="43" t="inlineStr">
        <is>
          <t>規格呼称は親品種で確認済み。固有仕様ごとの価格設定有無（＿＿表示等）は次QAで最終確定。</t>
        </is>
      </c>
      <c r="S1012" s="42" t="inlineStr">
        <is>
          <t>無印</t>
        </is>
      </c>
      <c r="T1012" s="42" t="n">
        <v>146</v>
      </c>
      <c r="U1012" s="42" t="inlineStr">
        <is>
          <t>P146|無印</t>
        </is>
      </c>
      <c r="V1012" s="42" t="inlineStr">
        <is>
          <t>同頁凡例へ直接連動</t>
        </is>
      </c>
    </row>
    <row r="1013">
      <c r="A1013" s="43" t="inlineStr">
        <is>
          <t>SZ-SL-001010</t>
        </is>
      </c>
      <c r="B1013" s="43" t="inlineStr">
        <is>
          <t>SER-LIX-SAMOSL</t>
        </is>
      </c>
      <c r="C1013" s="43" t="inlineStr">
        <is>
          <t>WT-SL-MENKOSHI-AGE-FS</t>
        </is>
      </c>
      <c r="D1013" s="43" t="inlineStr">
        <is>
          <t>面格子付上げ下げ窓FS</t>
        </is>
      </c>
      <c r="E1013" s="43" t="inlineStr">
        <is>
          <t>SP-SL-AGE-GRILLE-H</t>
        </is>
      </c>
      <c r="F1013" s="43" t="inlineStr">
        <is>
          <t>在来・204</t>
        </is>
      </c>
      <c r="G1013" s="43" t="inlineStr">
        <is>
          <t>02611</t>
        </is>
      </c>
      <c r="H1013" s="43" t="inlineStr">
        <is>
          <t>026</t>
        </is>
      </c>
      <c r="I1013" s="43" t="inlineStr">
        <is>
          <t>11</t>
        </is>
      </c>
      <c r="J1013" s="222" t="n">
        <v>300</v>
      </c>
      <c r="K1013" s="222" t="n">
        <v>1170</v>
      </c>
      <c r="L1013" s="43" t="inlineStr">
        <is>
          <t>在来・204</t>
        </is>
      </c>
      <c r="M1013" s="178" t="b">
        <v>1</v>
      </c>
      <c r="N1013" s="43" t="inlineStr">
        <is>
          <t>カタログ個別可否確認済み</t>
        </is>
      </c>
      <c r="O1013" s="222" t="n">
        <v>148</v>
      </c>
      <c r="P1013" s="222" t="n">
        <v>146</v>
      </c>
      <c r="Q1013" s="43" t="inlineStr">
        <is>
          <t>202604_LIXIL_サーモスＬ_業務用資料集_完成品価格表.pdf</t>
        </is>
      </c>
      <c r="R1013" s="43" t="inlineStr">
        <is>
          <t>規格呼称は親品種で確認済み。固有仕様ごとの価格設定有無（＿＿表示等）は次QAで最終確定。</t>
        </is>
      </c>
      <c r="S1013" s="42" t="inlineStr">
        <is>
          <t>無印</t>
        </is>
      </c>
      <c r="T1013" s="42" t="n">
        <v>146</v>
      </c>
      <c r="U1013" s="42" t="inlineStr">
        <is>
          <t>P146|無印</t>
        </is>
      </c>
      <c r="V1013" s="42" t="inlineStr">
        <is>
          <t>同頁凡例へ直接連動</t>
        </is>
      </c>
    </row>
    <row r="1014">
      <c r="A1014" s="43" t="inlineStr">
        <is>
          <t>SZ-SL-001011</t>
        </is>
      </c>
      <c r="B1014" s="43" t="inlineStr">
        <is>
          <t>SER-LIX-SAMOSL</t>
        </is>
      </c>
      <c r="C1014" s="43" t="inlineStr">
        <is>
          <t>WT-SL-MENKOSHI-AGE-FS</t>
        </is>
      </c>
      <c r="D1014" s="43" t="inlineStr">
        <is>
          <t>面格子付上げ下げ窓FS</t>
        </is>
      </c>
      <c r="E1014" s="43" t="inlineStr">
        <is>
          <t>SP-SL-AGE-GRILLE-H</t>
        </is>
      </c>
      <c r="F1014" s="43" t="inlineStr">
        <is>
          <t>在来・204</t>
        </is>
      </c>
      <c r="G1014" s="43" t="inlineStr">
        <is>
          <t>03611</t>
        </is>
      </c>
      <c r="H1014" s="43" t="inlineStr">
        <is>
          <t>036</t>
        </is>
      </c>
      <c r="I1014" s="43" t="inlineStr">
        <is>
          <t>11</t>
        </is>
      </c>
      <c r="J1014" s="222" t="n">
        <v>405</v>
      </c>
      <c r="K1014" s="222" t="n">
        <v>1170</v>
      </c>
      <c r="L1014" s="43" t="inlineStr">
        <is>
          <t>在来・204</t>
        </is>
      </c>
      <c r="M1014" s="178" t="b">
        <v>1</v>
      </c>
      <c r="N1014" s="43" t="inlineStr">
        <is>
          <t>カタログ個別可否確認済み</t>
        </is>
      </c>
      <c r="O1014" s="222" t="n">
        <v>148</v>
      </c>
      <c r="P1014" s="222" t="n">
        <v>146</v>
      </c>
      <c r="Q1014" s="43" t="inlineStr">
        <is>
          <t>202604_LIXIL_サーモスＬ_業務用資料集_完成品価格表.pdf</t>
        </is>
      </c>
      <c r="R1014" s="43" t="inlineStr">
        <is>
          <t>規格呼称は親品種で確認済み。固有仕様ごとの価格設定有無（＿＿表示等）は次QAで最終確定。</t>
        </is>
      </c>
      <c r="S1014" s="42" t="inlineStr">
        <is>
          <t>無印</t>
        </is>
      </c>
      <c r="T1014" s="42" t="n">
        <v>146</v>
      </c>
      <c r="U1014" s="42" t="inlineStr">
        <is>
          <t>P146|無印</t>
        </is>
      </c>
      <c r="V1014" s="42" t="inlineStr">
        <is>
          <t>同頁凡例へ直接連動</t>
        </is>
      </c>
    </row>
    <row r="1015">
      <c r="A1015" s="43" t="inlineStr">
        <is>
          <t>SZ-SL-001012</t>
        </is>
      </c>
      <c r="B1015" s="43" t="inlineStr">
        <is>
          <t>SER-LIX-SAMOSL</t>
        </is>
      </c>
      <c r="C1015" s="43" t="inlineStr">
        <is>
          <t>WT-SL-MENKOSHI-AGE-FS</t>
        </is>
      </c>
      <c r="D1015" s="43" t="inlineStr">
        <is>
          <t>面格子付上げ下げ窓FS</t>
        </is>
      </c>
      <c r="E1015" s="43" t="inlineStr">
        <is>
          <t>SP-SL-AGE-GRILLE-H</t>
        </is>
      </c>
      <c r="F1015" s="43" t="inlineStr">
        <is>
          <t>在来・204</t>
        </is>
      </c>
      <c r="G1015" s="43" t="inlineStr">
        <is>
          <t>06011</t>
        </is>
      </c>
      <c r="H1015" s="43" t="inlineStr">
        <is>
          <t>060</t>
        </is>
      </c>
      <c r="I1015" s="43" t="inlineStr">
        <is>
          <t>11</t>
        </is>
      </c>
      <c r="J1015" s="222" t="n">
        <v>640</v>
      </c>
      <c r="K1015" s="222" t="n">
        <v>1170</v>
      </c>
      <c r="L1015" s="43" t="inlineStr">
        <is>
          <t>在来・204</t>
        </is>
      </c>
      <c r="M1015" s="178" t="b">
        <v>1</v>
      </c>
      <c r="N1015" s="43" t="inlineStr">
        <is>
          <t>カタログ個別可否確認済み</t>
        </is>
      </c>
      <c r="O1015" s="222" t="n">
        <v>148</v>
      </c>
      <c r="P1015" s="222" t="n">
        <v>146</v>
      </c>
      <c r="Q1015" s="43" t="inlineStr">
        <is>
          <t>202604_LIXIL_サーモスＬ_業務用資料集_完成品価格表.pdf</t>
        </is>
      </c>
      <c r="R1015" s="43" t="inlineStr">
        <is>
          <t>規格呼称は親品種で確認済み。固有仕様ごとの価格設定有無（＿＿表示等）は次QAで最終確定。</t>
        </is>
      </c>
      <c r="S1015" s="42" t="inlineStr">
        <is>
          <t>無印</t>
        </is>
      </c>
      <c r="T1015" s="42" t="n">
        <v>146</v>
      </c>
      <c r="U1015" s="42" t="inlineStr">
        <is>
          <t>P146|無印</t>
        </is>
      </c>
      <c r="V1015" s="42" t="inlineStr">
        <is>
          <t>同頁凡例へ直接連動</t>
        </is>
      </c>
    </row>
    <row r="1016">
      <c r="A1016" s="43" t="inlineStr">
        <is>
          <t>SZ-SL-001013</t>
        </is>
      </c>
      <c r="B1016" s="43" t="inlineStr">
        <is>
          <t>SER-LIX-SAMOSL</t>
        </is>
      </c>
      <c r="C1016" s="43" t="inlineStr">
        <is>
          <t>WT-SL-MENKOSHI-AGE-FS</t>
        </is>
      </c>
      <c r="D1016" s="43" t="inlineStr">
        <is>
          <t>面格子付上げ下げ窓FS</t>
        </is>
      </c>
      <c r="E1016" s="43" t="inlineStr">
        <is>
          <t>SP-SL-AGE-GRILLE-H</t>
        </is>
      </c>
      <c r="F1016" s="43" t="inlineStr">
        <is>
          <t>在来・204</t>
        </is>
      </c>
      <c r="G1016" s="43" t="inlineStr">
        <is>
          <t>06911</t>
        </is>
      </c>
      <c r="H1016" s="43" t="inlineStr">
        <is>
          <t>069</t>
        </is>
      </c>
      <c r="I1016" s="43" t="inlineStr">
        <is>
          <t>11</t>
        </is>
      </c>
      <c r="J1016" s="222" t="n">
        <v>730</v>
      </c>
      <c r="K1016" s="222" t="n">
        <v>1170</v>
      </c>
      <c r="L1016" s="43" t="inlineStr">
        <is>
          <t>在来・204</t>
        </is>
      </c>
      <c r="M1016" s="178" t="b">
        <v>1</v>
      </c>
      <c r="N1016" s="43" t="inlineStr">
        <is>
          <t>カタログ個別可否確認済み</t>
        </is>
      </c>
      <c r="O1016" s="222" t="n">
        <v>148</v>
      </c>
      <c r="P1016" s="222" t="n">
        <v>146</v>
      </c>
      <c r="Q1016" s="43" t="inlineStr">
        <is>
          <t>202604_LIXIL_サーモスＬ_業務用資料集_完成品価格表.pdf</t>
        </is>
      </c>
      <c r="R1016" s="43" t="inlineStr">
        <is>
          <t>規格呼称は親品種で確認済み。固有仕様ごとの価格設定有無（＿＿表示等）は次QAで最終確定。</t>
        </is>
      </c>
      <c r="S1016" s="42" t="inlineStr">
        <is>
          <t>無印</t>
        </is>
      </c>
      <c r="T1016" s="42" t="n">
        <v>146</v>
      </c>
      <c r="U1016" s="42" t="inlineStr">
        <is>
          <t>P146|無印</t>
        </is>
      </c>
      <c r="V1016" s="42" t="inlineStr">
        <is>
          <t>同頁凡例へ直接連動</t>
        </is>
      </c>
    </row>
    <row r="1017">
      <c r="A1017" s="43" t="inlineStr">
        <is>
          <t>SZ-SL-001014</t>
        </is>
      </c>
      <c r="B1017" s="43" t="inlineStr">
        <is>
          <t>SER-LIX-SAMOSL</t>
        </is>
      </c>
      <c r="C1017" s="43" t="inlineStr">
        <is>
          <t>WT-SL-MENKOSHI-AGE-FS</t>
        </is>
      </c>
      <c r="D1017" s="43" t="inlineStr">
        <is>
          <t>面格子付上げ下げ窓FS</t>
        </is>
      </c>
      <c r="E1017" s="43" t="inlineStr">
        <is>
          <t>SP-SL-AGE-GRILLE-H</t>
        </is>
      </c>
      <c r="F1017" s="43" t="inlineStr">
        <is>
          <t>在来・204</t>
        </is>
      </c>
      <c r="G1017" s="43" t="inlineStr">
        <is>
          <t>07411</t>
        </is>
      </c>
      <c r="H1017" s="43" t="inlineStr">
        <is>
          <t>074</t>
        </is>
      </c>
      <c r="I1017" s="43" t="inlineStr">
        <is>
          <t>11</t>
        </is>
      </c>
      <c r="J1017" s="222" t="n">
        <v>780</v>
      </c>
      <c r="K1017" s="222" t="n">
        <v>1170</v>
      </c>
      <c r="L1017" s="43" t="inlineStr">
        <is>
          <t>在来・204</t>
        </is>
      </c>
      <c r="M1017" s="178" t="b">
        <v>1</v>
      </c>
      <c r="N1017" s="43" t="inlineStr">
        <is>
          <t>カタログ個別可否確認済み</t>
        </is>
      </c>
      <c r="O1017" s="222" t="n">
        <v>148</v>
      </c>
      <c r="P1017" s="222" t="n">
        <v>146</v>
      </c>
      <c r="Q1017" s="43" t="inlineStr">
        <is>
          <t>202604_LIXIL_サーモスＬ_業務用資料集_完成品価格表.pdf</t>
        </is>
      </c>
      <c r="R1017" s="43" t="inlineStr">
        <is>
          <t>規格呼称は親品種で確認済み。固有仕様ごとの価格設定有無（＿＿表示等）は次QAで最終確定。</t>
        </is>
      </c>
      <c r="S1017" s="42" t="inlineStr">
        <is>
          <t>無印</t>
        </is>
      </c>
      <c r="T1017" s="42" t="n">
        <v>146</v>
      </c>
      <c r="U1017" s="42" t="inlineStr">
        <is>
          <t>P146|無印</t>
        </is>
      </c>
      <c r="V1017" s="42" t="inlineStr">
        <is>
          <t>同頁凡例へ直接連動</t>
        </is>
      </c>
    </row>
    <row r="1018">
      <c r="A1018" s="43" t="inlineStr">
        <is>
          <t>SZ-SL-001015</t>
        </is>
      </c>
      <c r="B1018" s="43" t="inlineStr">
        <is>
          <t>SER-LIX-SAMOSL</t>
        </is>
      </c>
      <c r="C1018" s="43" t="inlineStr">
        <is>
          <t>WT-SL-MENKOSHI-AGE-FS</t>
        </is>
      </c>
      <c r="D1018" s="43" t="inlineStr">
        <is>
          <t>面格子付上げ下げ窓FS</t>
        </is>
      </c>
      <c r="E1018" s="43" t="inlineStr">
        <is>
          <t>SP-SL-AGE-GRILLE-IGETA</t>
        </is>
      </c>
      <c r="F1018" s="43" t="inlineStr">
        <is>
          <t>在来・204</t>
        </is>
      </c>
      <c r="G1018" s="43" t="inlineStr">
        <is>
          <t>02611</t>
        </is>
      </c>
      <c r="H1018" s="43" t="inlineStr">
        <is>
          <t>026</t>
        </is>
      </c>
      <c r="I1018" s="43" t="inlineStr">
        <is>
          <t>11</t>
        </is>
      </c>
      <c r="J1018" s="222" t="n">
        <v>300</v>
      </c>
      <c r="K1018" s="222" t="n">
        <v>1170</v>
      </c>
      <c r="L1018" s="43" t="inlineStr">
        <is>
          <t>在来・204</t>
        </is>
      </c>
      <c r="M1018" s="178" t="b">
        <v>1</v>
      </c>
      <c r="N1018" s="43" t="inlineStr">
        <is>
          <t>カタログ個別可否確認済み</t>
        </is>
      </c>
      <c r="O1018" s="222" t="n">
        <v>148</v>
      </c>
      <c r="P1018" s="222" t="n">
        <v>146</v>
      </c>
      <c r="Q1018" s="43" t="inlineStr">
        <is>
          <t>202604_LIXIL_サーモスＬ_業務用資料集_完成品価格表.pdf</t>
        </is>
      </c>
      <c r="R1018" s="43" t="inlineStr">
        <is>
          <t>規格呼称は親品種で確認済み。固有仕様ごとの価格設定有無（＿＿表示等）は次QAで最終確定。</t>
        </is>
      </c>
      <c r="S1018" s="42" t="inlineStr">
        <is>
          <t>無印</t>
        </is>
      </c>
      <c r="T1018" s="42" t="n">
        <v>146</v>
      </c>
      <c r="U1018" s="42" t="inlineStr">
        <is>
          <t>P146|無印</t>
        </is>
      </c>
      <c r="V1018" s="42" t="inlineStr">
        <is>
          <t>同頁凡例へ直接連動</t>
        </is>
      </c>
    </row>
    <row r="1019">
      <c r="A1019" s="43" t="inlineStr">
        <is>
          <t>SZ-SL-001016</t>
        </is>
      </c>
      <c r="B1019" s="43" t="inlineStr">
        <is>
          <t>SER-LIX-SAMOSL</t>
        </is>
      </c>
      <c r="C1019" s="43" t="inlineStr">
        <is>
          <t>WT-SL-MENKOSHI-AGE-FS</t>
        </is>
      </c>
      <c r="D1019" s="43" t="inlineStr">
        <is>
          <t>面格子付上げ下げ窓FS</t>
        </is>
      </c>
      <c r="E1019" s="43" t="inlineStr">
        <is>
          <t>SP-SL-AGE-GRILLE-IGETA</t>
        </is>
      </c>
      <c r="F1019" s="43" t="inlineStr">
        <is>
          <t>在来・204</t>
        </is>
      </c>
      <c r="G1019" s="43" t="inlineStr">
        <is>
          <t>03611</t>
        </is>
      </c>
      <c r="H1019" s="43" t="inlineStr">
        <is>
          <t>036</t>
        </is>
      </c>
      <c r="I1019" s="43" t="inlineStr">
        <is>
          <t>11</t>
        </is>
      </c>
      <c r="J1019" s="222" t="n">
        <v>405</v>
      </c>
      <c r="K1019" s="222" t="n">
        <v>1170</v>
      </c>
      <c r="L1019" s="43" t="inlineStr">
        <is>
          <t>在来・204</t>
        </is>
      </c>
      <c r="M1019" s="178" t="b">
        <v>1</v>
      </c>
      <c r="N1019" s="43" t="inlineStr">
        <is>
          <t>カタログ個別可否確認済み</t>
        </is>
      </c>
      <c r="O1019" s="222" t="n">
        <v>148</v>
      </c>
      <c r="P1019" s="222" t="n">
        <v>146</v>
      </c>
      <c r="Q1019" s="43" t="inlineStr">
        <is>
          <t>202604_LIXIL_サーモスＬ_業務用資料集_完成品価格表.pdf</t>
        </is>
      </c>
      <c r="R1019" s="43" t="inlineStr">
        <is>
          <t>規格呼称は親品種で確認済み。固有仕様ごとの価格設定有無（＿＿表示等）は次QAで最終確定。</t>
        </is>
      </c>
      <c r="S1019" s="42" t="inlineStr">
        <is>
          <t>無印</t>
        </is>
      </c>
      <c r="T1019" s="42" t="n">
        <v>146</v>
      </c>
      <c r="U1019" s="42" t="inlineStr">
        <is>
          <t>P146|無印</t>
        </is>
      </c>
      <c r="V1019" s="42" t="inlineStr">
        <is>
          <t>同頁凡例へ直接連動</t>
        </is>
      </c>
    </row>
    <row r="1020">
      <c r="A1020" s="43" t="inlineStr">
        <is>
          <t>SZ-SL-001017</t>
        </is>
      </c>
      <c r="B1020" s="43" t="inlineStr">
        <is>
          <t>SER-LIX-SAMOSL</t>
        </is>
      </c>
      <c r="C1020" s="43" t="inlineStr">
        <is>
          <t>WT-SL-MENKOSHI-AGE-FS</t>
        </is>
      </c>
      <c r="D1020" s="43" t="inlineStr">
        <is>
          <t>面格子付上げ下げ窓FS</t>
        </is>
      </c>
      <c r="E1020" s="43" t="inlineStr">
        <is>
          <t>SP-SL-AGE-GRILLE-IGETA</t>
        </is>
      </c>
      <c r="F1020" s="43" t="inlineStr">
        <is>
          <t>在来・204</t>
        </is>
      </c>
      <c r="G1020" s="43" t="inlineStr">
        <is>
          <t>06011</t>
        </is>
      </c>
      <c r="H1020" s="43" t="inlineStr">
        <is>
          <t>060</t>
        </is>
      </c>
      <c r="I1020" s="43" t="inlineStr">
        <is>
          <t>11</t>
        </is>
      </c>
      <c r="J1020" s="222" t="n">
        <v>640</v>
      </c>
      <c r="K1020" s="222" t="n">
        <v>1170</v>
      </c>
      <c r="L1020" s="43" t="inlineStr">
        <is>
          <t>在来・204</t>
        </is>
      </c>
      <c r="M1020" s="178" t="b">
        <v>1</v>
      </c>
      <c r="N1020" s="43" t="inlineStr">
        <is>
          <t>カタログ個別可否確認済み</t>
        </is>
      </c>
      <c r="O1020" s="222" t="n">
        <v>148</v>
      </c>
      <c r="P1020" s="222" t="n">
        <v>146</v>
      </c>
      <c r="Q1020" s="43" t="inlineStr">
        <is>
          <t>202604_LIXIL_サーモスＬ_業務用資料集_完成品価格表.pdf</t>
        </is>
      </c>
      <c r="R1020" s="43" t="inlineStr">
        <is>
          <t>規格呼称は親品種で確認済み。固有仕様ごとの価格設定有無（＿＿表示等）は次QAで最終確定。</t>
        </is>
      </c>
      <c r="S1020" s="42" t="inlineStr">
        <is>
          <t>無印</t>
        </is>
      </c>
      <c r="T1020" s="42" t="n">
        <v>146</v>
      </c>
      <c r="U1020" s="42" t="inlineStr">
        <is>
          <t>P146|無印</t>
        </is>
      </c>
      <c r="V1020" s="42" t="inlineStr">
        <is>
          <t>同頁凡例へ直接連動</t>
        </is>
      </c>
    </row>
    <row r="1021">
      <c r="A1021" s="43" t="inlineStr">
        <is>
          <t>SZ-SL-001018</t>
        </is>
      </c>
      <c r="B1021" s="43" t="inlineStr">
        <is>
          <t>SER-LIX-SAMOSL</t>
        </is>
      </c>
      <c r="C1021" s="43" t="inlineStr">
        <is>
          <t>WT-SL-MENKOSHI-AGE-FS</t>
        </is>
      </c>
      <c r="D1021" s="43" t="inlineStr">
        <is>
          <t>面格子付上げ下げ窓FS</t>
        </is>
      </c>
      <c r="E1021" s="43" t="inlineStr">
        <is>
          <t>SP-SL-AGE-GRILLE-IGETA</t>
        </is>
      </c>
      <c r="F1021" s="43" t="inlineStr">
        <is>
          <t>在来・204</t>
        </is>
      </c>
      <c r="G1021" s="43" t="inlineStr">
        <is>
          <t>06911</t>
        </is>
      </c>
      <c r="H1021" s="43" t="inlineStr">
        <is>
          <t>069</t>
        </is>
      </c>
      <c r="I1021" s="43" t="inlineStr">
        <is>
          <t>11</t>
        </is>
      </c>
      <c r="J1021" s="222" t="n">
        <v>730</v>
      </c>
      <c r="K1021" s="222" t="n">
        <v>1170</v>
      </c>
      <c r="L1021" s="43" t="inlineStr">
        <is>
          <t>在来・204</t>
        </is>
      </c>
      <c r="M1021" s="178" t="b">
        <v>1</v>
      </c>
      <c r="N1021" s="43" t="inlineStr">
        <is>
          <t>カタログ個別可否確認済み</t>
        </is>
      </c>
      <c r="O1021" s="222" t="n">
        <v>148</v>
      </c>
      <c r="P1021" s="222" t="n">
        <v>146</v>
      </c>
      <c r="Q1021" s="43" t="inlineStr">
        <is>
          <t>202604_LIXIL_サーモスＬ_業務用資料集_完成品価格表.pdf</t>
        </is>
      </c>
      <c r="R1021" s="43" t="inlineStr">
        <is>
          <t>規格呼称は親品種で確認済み。固有仕様ごとの価格設定有無（＿＿表示等）は次QAで最終確定。</t>
        </is>
      </c>
      <c r="S1021" s="42" t="inlineStr">
        <is>
          <t>無印</t>
        </is>
      </c>
      <c r="T1021" s="42" t="n">
        <v>146</v>
      </c>
      <c r="U1021" s="42" t="inlineStr">
        <is>
          <t>P146|無印</t>
        </is>
      </c>
      <c r="V1021" s="42" t="inlineStr">
        <is>
          <t>同頁凡例へ直接連動</t>
        </is>
      </c>
    </row>
    <row r="1022">
      <c r="A1022" s="43" t="inlineStr">
        <is>
          <t>SZ-SL-001019</t>
        </is>
      </c>
      <c r="B1022" s="43" t="inlineStr">
        <is>
          <t>SER-LIX-SAMOSL</t>
        </is>
      </c>
      <c r="C1022" s="43" t="inlineStr">
        <is>
          <t>WT-SL-MENKOSHI-AGE-FS</t>
        </is>
      </c>
      <c r="D1022" s="43" t="inlineStr">
        <is>
          <t>面格子付上げ下げ窓FS</t>
        </is>
      </c>
      <c r="E1022" s="43" t="inlineStr">
        <is>
          <t>SP-SL-AGE-GRILLE-IGETA</t>
        </is>
      </c>
      <c r="F1022" s="43" t="inlineStr">
        <is>
          <t>在来・204</t>
        </is>
      </c>
      <c r="G1022" s="43" t="inlineStr">
        <is>
          <t>07411</t>
        </is>
      </c>
      <c r="H1022" s="43" t="inlineStr">
        <is>
          <t>074</t>
        </is>
      </c>
      <c r="I1022" s="43" t="inlineStr">
        <is>
          <t>11</t>
        </is>
      </c>
      <c r="J1022" s="222" t="n">
        <v>780</v>
      </c>
      <c r="K1022" s="222" t="n">
        <v>1170</v>
      </c>
      <c r="L1022" s="43" t="inlineStr">
        <is>
          <t>在来・204</t>
        </is>
      </c>
      <c r="M1022" s="178" t="b">
        <v>1</v>
      </c>
      <c r="N1022" s="43" t="inlineStr">
        <is>
          <t>カタログ個別可否確認済み</t>
        </is>
      </c>
      <c r="O1022" s="222" t="n">
        <v>148</v>
      </c>
      <c r="P1022" s="222" t="n">
        <v>146</v>
      </c>
      <c r="Q1022" s="43" t="inlineStr">
        <is>
          <t>202604_LIXIL_サーモスＬ_業務用資料集_完成品価格表.pdf</t>
        </is>
      </c>
      <c r="R1022" s="43" t="inlineStr">
        <is>
          <t>規格呼称は親品種で確認済み。固有仕様ごとの価格設定有無（＿＿表示等）は次QAで最終確定。</t>
        </is>
      </c>
      <c r="S1022" s="42" t="inlineStr">
        <is>
          <t>無印</t>
        </is>
      </c>
      <c r="T1022" s="42" t="n">
        <v>146</v>
      </c>
      <c r="U1022" s="42" t="inlineStr">
        <is>
          <t>P146|無印</t>
        </is>
      </c>
      <c r="V1022" s="42" t="inlineStr">
        <is>
          <t>同頁凡例へ直接連動</t>
        </is>
      </c>
    </row>
    <row r="1023">
      <c r="A1023" s="43" t="inlineStr">
        <is>
          <t>SZ-SL-001020</t>
        </is>
      </c>
      <c r="B1023" s="43" t="inlineStr">
        <is>
          <t>SER-LIX-SAMOSL</t>
        </is>
      </c>
      <c r="C1023" s="43" t="inlineStr">
        <is>
          <t>WT-SL-MENKOSHI-AGE-FS</t>
        </is>
      </c>
      <c r="D1023" s="43" t="inlineStr">
        <is>
          <t>面格子付上げ下げ窓FS</t>
        </is>
      </c>
      <c r="E1023" s="43" t="inlineStr">
        <is>
          <t>SP-SL-AGE-GRILLE-V</t>
        </is>
      </c>
      <c r="F1023" s="43" t="inlineStr">
        <is>
          <t>在来・204</t>
        </is>
      </c>
      <c r="G1023" s="43" t="inlineStr">
        <is>
          <t>02611</t>
        </is>
      </c>
      <c r="H1023" s="43" t="inlineStr">
        <is>
          <t>026</t>
        </is>
      </c>
      <c r="I1023" s="43" t="inlineStr">
        <is>
          <t>11</t>
        </is>
      </c>
      <c r="J1023" s="222" t="n">
        <v>300</v>
      </c>
      <c r="K1023" s="222" t="n">
        <v>1170</v>
      </c>
      <c r="L1023" s="43" t="inlineStr">
        <is>
          <t>在来・204</t>
        </is>
      </c>
      <c r="M1023" s="178" t="b">
        <v>1</v>
      </c>
      <c r="N1023" s="43" t="inlineStr">
        <is>
          <t>カタログ個別可否確認済み</t>
        </is>
      </c>
      <c r="O1023" s="222" t="n">
        <v>148</v>
      </c>
      <c r="P1023" s="222" t="n">
        <v>146</v>
      </c>
      <c r="Q1023" s="43" t="inlineStr">
        <is>
          <t>202604_LIXIL_サーモスＬ_業務用資料集_完成品価格表.pdf</t>
        </is>
      </c>
      <c r="R1023" s="43" t="inlineStr">
        <is>
          <t>規格呼称は親品種で確認済み。固有仕様ごとの価格設定有無（＿＿表示等）は次QAで最終確定。</t>
        </is>
      </c>
      <c r="S1023" s="42" t="inlineStr">
        <is>
          <t>無印</t>
        </is>
      </c>
      <c r="T1023" s="42" t="n">
        <v>146</v>
      </c>
      <c r="U1023" s="42" t="inlineStr">
        <is>
          <t>P146|無印</t>
        </is>
      </c>
      <c r="V1023" s="42" t="inlineStr">
        <is>
          <t>同頁凡例へ直接連動</t>
        </is>
      </c>
    </row>
    <row r="1024">
      <c r="A1024" s="43" t="inlineStr">
        <is>
          <t>SZ-SL-001021</t>
        </is>
      </c>
      <c r="B1024" s="43" t="inlineStr">
        <is>
          <t>SER-LIX-SAMOSL</t>
        </is>
      </c>
      <c r="C1024" s="43" t="inlineStr">
        <is>
          <t>WT-SL-MENKOSHI-AGE-FS</t>
        </is>
      </c>
      <c r="D1024" s="43" t="inlineStr">
        <is>
          <t>面格子付上げ下げ窓FS</t>
        </is>
      </c>
      <c r="E1024" s="43" t="inlineStr">
        <is>
          <t>SP-SL-AGE-GRILLE-V</t>
        </is>
      </c>
      <c r="F1024" s="43" t="inlineStr">
        <is>
          <t>在来・204</t>
        </is>
      </c>
      <c r="G1024" s="43" t="inlineStr">
        <is>
          <t>03611</t>
        </is>
      </c>
      <c r="H1024" s="43" t="inlineStr">
        <is>
          <t>036</t>
        </is>
      </c>
      <c r="I1024" s="43" t="inlineStr">
        <is>
          <t>11</t>
        </is>
      </c>
      <c r="J1024" s="222" t="n">
        <v>405</v>
      </c>
      <c r="K1024" s="222" t="n">
        <v>1170</v>
      </c>
      <c r="L1024" s="43" t="inlineStr">
        <is>
          <t>在来・204</t>
        </is>
      </c>
      <c r="M1024" s="178" t="b">
        <v>1</v>
      </c>
      <c r="N1024" s="43" t="inlineStr">
        <is>
          <t>カタログ個別可否確認済み</t>
        </is>
      </c>
      <c r="O1024" s="222" t="n">
        <v>148</v>
      </c>
      <c r="P1024" s="222" t="n">
        <v>146</v>
      </c>
      <c r="Q1024" s="43" t="inlineStr">
        <is>
          <t>202604_LIXIL_サーモスＬ_業務用資料集_完成品価格表.pdf</t>
        </is>
      </c>
      <c r="R1024" s="43" t="inlineStr">
        <is>
          <t>規格呼称は親品種で確認済み。固有仕様ごとの価格設定有無（＿＿表示等）は次QAで最終確定。</t>
        </is>
      </c>
      <c r="S1024" s="42" t="inlineStr">
        <is>
          <t>無印</t>
        </is>
      </c>
      <c r="T1024" s="42" t="n">
        <v>146</v>
      </c>
      <c r="U1024" s="42" t="inlineStr">
        <is>
          <t>P146|無印</t>
        </is>
      </c>
      <c r="V1024" s="42" t="inlineStr">
        <is>
          <t>同頁凡例へ直接連動</t>
        </is>
      </c>
    </row>
    <row r="1025">
      <c r="A1025" s="43" t="inlineStr">
        <is>
          <t>SZ-SL-001022</t>
        </is>
      </c>
      <c r="B1025" s="43" t="inlineStr">
        <is>
          <t>SER-LIX-SAMOSL</t>
        </is>
      </c>
      <c r="C1025" s="43" t="inlineStr">
        <is>
          <t>WT-SL-MENKOSHI-AGE-FS</t>
        </is>
      </c>
      <c r="D1025" s="43" t="inlineStr">
        <is>
          <t>面格子付上げ下げ窓FS</t>
        </is>
      </c>
      <c r="E1025" s="43" t="inlineStr">
        <is>
          <t>SP-SL-AGE-GRILLE-V</t>
        </is>
      </c>
      <c r="F1025" s="43" t="inlineStr">
        <is>
          <t>在来・204</t>
        </is>
      </c>
      <c r="G1025" s="43" t="inlineStr">
        <is>
          <t>06011</t>
        </is>
      </c>
      <c r="H1025" s="43" t="inlineStr">
        <is>
          <t>060</t>
        </is>
      </c>
      <c r="I1025" s="43" t="inlineStr">
        <is>
          <t>11</t>
        </is>
      </c>
      <c r="J1025" s="222" t="n">
        <v>640</v>
      </c>
      <c r="K1025" s="222" t="n">
        <v>1170</v>
      </c>
      <c r="L1025" s="43" t="inlineStr">
        <is>
          <t>在来・204</t>
        </is>
      </c>
      <c r="M1025" s="178" t="b">
        <v>1</v>
      </c>
      <c r="N1025" s="43" t="inlineStr">
        <is>
          <t>カタログ個別可否確認済み</t>
        </is>
      </c>
      <c r="O1025" s="222" t="n">
        <v>148</v>
      </c>
      <c r="P1025" s="222" t="n">
        <v>146</v>
      </c>
      <c r="Q1025" s="43" t="inlineStr">
        <is>
          <t>202604_LIXIL_サーモスＬ_業務用資料集_完成品価格表.pdf</t>
        </is>
      </c>
      <c r="R1025" s="43" t="inlineStr">
        <is>
          <t>規格呼称は親品種で確認済み。固有仕様ごとの価格設定有無（＿＿表示等）は次QAで最終確定。</t>
        </is>
      </c>
      <c r="S1025" s="42" t="inlineStr">
        <is>
          <t>無印</t>
        </is>
      </c>
      <c r="T1025" s="42" t="n">
        <v>146</v>
      </c>
      <c r="U1025" s="42" t="inlineStr">
        <is>
          <t>P146|無印</t>
        </is>
      </c>
      <c r="V1025" s="42" t="inlineStr">
        <is>
          <t>同頁凡例へ直接連動</t>
        </is>
      </c>
    </row>
    <row r="1026">
      <c r="A1026" s="43" t="inlineStr">
        <is>
          <t>SZ-SL-001023</t>
        </is>
      </c>
      <c r="B1026" s="43" t="inlineStr">
        <is>
          <t>SER-LIX-SAMOSL</t>
        </is>
      </c>
      <c r="C1026" s="43" t="inlineStr">
        <is>
          <t>WT-SL-MENKOSHI-AGE-FS</t>
        </is>
      </c>
      <c r="D1026" s="43" t="inlineStr">
        <is>
          <t>面格子付上げ下げ窓FS</t>
        </is>
      </c>
      <c r="E1026" s="43" t="inlineStr">
        <is>
          <t>SP-SL-AGE-GRILLE-V</t>
        </is>
      </c>
      <c r="F1026" s="43" t="inlineStr">
        <is>
          <t>在来・204</t>
        </is>
      </c>
      <c r="G1026" s="43" t="inlineStr">
        <is>
          <t>06911</t>
        </is>
      </c>
      <c r="H1026" s="43" t="inlineStr">
        <is>
          <t>069</t>
        </is>
      </c>
      <c r="I1026" s="43" t="inlineStr">
        <is>
          <t>11</t>
        </is>
      </c>
      <c r="J1026" s="222" t="n">
        <v>730</v>
      </c>
      <c r="K1026" s="222" t="n">
        <v>1170</v>
      </c>
      <c r="L1026" s="43" t="inlineStr">
        <is>
          <t>在来・204</t>
        </is>
      </c>
      <c r="M1026" s="178" t="b">
        <v>1</v>
      </c>
      <c r="N1026" s="43" t="inlineStr">
        <is>
          <t>カタログ個別可否確認済み</t>
        </is>
      </c>
      <c r="O1026" s="222" t="n">
        <v>148</v>
      </c>
      <c r="P1026" s="222" t="n">
        <v>146</v>
      </c>
      <c r="Q1026" s="43" t="inlineStr">
        <is>
          <t>202604_LIXIL_サーモスＬ_業務用資料集_完成品価格表.pdf</t>
        </is>
      </c>
      <c r="R1026" s="43" t="inlineStr">
        <is>
          <t>規格呼称は親品種で確認済み。固有仕様ごとの価格設定有無（＿＿表示等）は次QAで最終確定。</t>
        </is>
      </c>
      <c r="S1026" s="42" t="inlineStr">
        <is>
          <t>無印</t>
        </is>
      </c>
      <c r="T1026" s="42" t="n">
        <v>146</v>
      </c>
      <c r="U1026" s="42" t="inlineStr">
        <is>
          <t>P146|無印</t>
        </is>
      </c>
      <c r="V1026" s="42" t="inlineStr">
        <is>
          <t>同頁凡例へ直接連動</t>
        </is>
      </c>
    </row>
    <row r="1027">
      <c r="A1027" s="43" t="inlineStr">
        <is>
          <t>SZ-SL-001024</t>
        </is>
      </c>
      <c r="B1027" s="43" t="inlineStr">
        <is>
          <t>SER-LIX-SAMOSL</t>
        </is>
      </c>
      <c r="C1027" s="43" t="inlineStr">
        <is>
          <t>WT-SL-MENKOSHI-AGE-FS</t>
        </is>
      </c>
      <c r="D1027" s="43" t="inlineStr">
        <is>
          <t>面格子付上げ下げ窓FS</t>
        </is>
      </c>
      <c r="E1027" s="43" t="inlineStr">
        <is>
          <t>SP-SL-AGE-GRILLE-V</t>
        </is>
      </c>
      <c r="F1027" s="43" t="inlineStr">
        <is>
          <t>在来・204</t>
        </is>
      </c>
      <c r="G1027" s="43" t="inlineStr">
        <is>
          <t>07411</t>
        </is>
      </c>
      <c r="H1027" s="43" t="inlineStr">
        <is>
          <t>074</t>
        </is>
      </c>
      <c r="I1027" s="43" t="inlineStr">
        <is>
          <t>11</t>
        </is>
      </c>
      <c r="J1027" s="222" t="n">
        <v>780</v>
      </c>
      <c r="K1027" s="222" t="n">
        <v>1170</v>
      </c>
      <c r="L1027" s="43" t="inlineStr">
        <is>
          <t>在来・204</t>
        </is>
      </c>
      <c r="M1027" s="178" t="b">
        <v>1</v>
      </c>
      <c r="N1027" s="43" t="inlineStr">
        <is>
          <t>カタログ個別可否確認済み</t>
        </is>
      </c>
      <c r="O1027" s="222" t="n">
        <v>148</v>
      </c>
      <c r="P1027" s="222" t="n">
        <v>146</v>
      </c>
      <c r="Q1027" s="43" t="inlineStr">
        <is>
          <t>202604_LIXIL_サーモスＬ_業務用資料集_完成品価格表.pdf</t>
        </is>
      </c>
      <c r="R1027" s="43" t="inlineStr">
        <is>
          <t>規格呼称は親品種で確認済み。固有仕様ごとの価格設定有無（＿＿表示等）は次QAで最終確定。</t>
        </is>
      </c>
      <c r="S1027" s="42" t="inlineStr">
        <is>
          <t>無印</t>
        </is>
      </c>
      <c r="T1027" s="42" t="n">
        <v>146</v>
      </c>
      <c r="U1027" s="42" t="inlineStr">
        <is>
          <t>P146|無印</t>
        </is>
      </c>
      <c r="V1027" s="42" t="inlineStr">
        <is>
          <t>同頁凡例へ直接連動</t>
        </is>
      </c>
    </row>
    <row r="1028">
      <c r="A1028" s="43" t="inlineStr">
        <is>
          <t>SZ-SL-001025</t>
        </is>
      </c>
      <c r="B1028" s="43" t="inlineStr">
        <is>
          <t>SER-LIX-SAMOSL</t>
        </is>
      </c>
      <c r="C1028" s="43" t="inlineStr">
        <is>
          <t>WT-SL-MENKOSHI-AGE-FS</t>
        </is>
      </c>
      <c r="D1028" s="43" t="inlineStr">
        <is>
          <t>面格子付上げ下げ窓FS</t>
        </is>
      </c>
      <c r="E1028" s="43" t="inlineStr">
        <is>
          <t>SP-SL-AGE-GRILLE-DIA</t>
        </is>
      </c>
      <c r="F1028" s="43" t="inlineStr">
        <is>
          <t>在来・204</t>
        </is>
      </c>
      <c r="G1028" s="43" t="inlineStr">
        <is>
          <t>02613</t>
        </is>
      </c>
      <c r="H1028" s="43" t="inlineStr">
        <is>
          <t>026</t>
        </is>
      </c>
      <c r="I1028" s="43" t="inlineStr">
        <is>
          <t>13</t>
        </is>
      </c>
      <c r="J1028" s="222" t="n">
        <v>300</v>
      </c>
      <c r="K1028" s="222" t="n">
        <v>1370</v>
      </c>
      <c r="L1028" s="43" t="inlineStr">
        <is>
          <t>在来・204</t>
        </is>
      </c>
      <c r="M1028" s="178" t="b">
        <v>1</v>
      </c>
      <c r="N1028" s="43" t="inlineStr">
        <is>
          <t>カタログ個別可否確認済み</t>
        </is>
      </c>
      <c r="O1028" s="222" t="n">
        <v>149</v>
      </c>
      <c r="P1028" s="222" t="n">
        <v>147</v>
      </c>
      <c r="Q1028" s="43" t="inlineStr">
        <is>
          <t>202604_LIXIL_サーモスＬ_業務用資料集_完成品価格表.pdf</t>
        </is>
      </c>
      <c r="R1028" s="43" t="inlineStr">
        <is>
          <t>規格呼称は親品種で確認済み。固有仕様ごとの価格設定有無（＿＿表示等）は次QAで最終確定。</t>
        </is>
      </c>
      <c r="S1028" s="42" t="inlineStr">
        <is>
          <t>無印</t>
        </is>
      </c>
      <c r="T1028" s="42" t="n">
        <v>147</v>
      </c>
      <c r="U1028" s="42" t="inlineStr">
        <is>
          <t>P147|無印</t>
        </is>
      </c>
      <c r="V1028" s="42" t="inlineStr">
        <is>
          <t>同頁凡例へ直接連動</t>
        </is>
      </c>
    </row>
    <row r="1029">
      <c r="A1029" s="43" t="inlineStr">
        <is>
          <t>SZ-SL-001026</t>
        </is>
      </c>
      <c r="B1029" s="43" t="inlineStr">
        <is>
          <t>SER-LIX-SAMOSL</t>
        </is>
      </c>
      <c r="C1029" s="43" t="inlineStr">
        <is>
          <t>WT-SL-MENKOSHI-AGE-FS</t>
        </is>
      </c>
      <c r="D1029" s="43" t="inlineStr">
        <is>
          <t>面格子付上げ下げ窓FS</t>
        </is>
      </c>
      <c r="E1029" s="43" t="inlineStr">
        <is>
          <t>SP-SL-AGE-GRILLE-DIA</t>
        </is>
      </c>
      <c r="F1029" s="43" t="inlineStr">
        <is>
          <t>在来・204</t>
        </is>
      </c>
      <c r="G1029" s="43" t="inlineStr">
        <is>
          <t>03613</t>
        </is>
      </c>
      <c r="H1029" s="43" t="inlineStr">
        <is>
          <t>036</t>
        </is>
      </c>
      <c r="I1029" s="43" t="inlineStr">
        <is>
          <t>13</t>
        </is>
      </c>
      <c r="J1029" s="222" t="n">
        <v>405</v>
      </c>
      <c r="K1029" s="222" t="n">
        <v>1370</v>
      </c>
      <c r="L1029" s="43" t="inlineStr">
        <is>
          <t>在来・204</t>
        </is>
      </c>
      <c r="M1029" s="178" t="b">
        <v>1</v>
      </c>
      <c r="N1029" s="43" t="inlineStr">
        <is>
          <t>カタログ個別可否確認済み</t>
        </is>
      </c>
      <c r="O1029" s="222" t="n">
        <v>149</v>
      </c>
      <c r="P1029" s="222" t="n">
        <v>147</v>
      </c>
      <c r="Q1029" s="43" t="inlineStr">
        <is>
          <t>202604_LIXIL_サーモスＬ_業務用資料集_完成品価格表.pdf</t>
        </is>
      </c>
      <c r="R1029" s="43" t="inlineStr">
        <is>
          <t>規格呼称は親品種で確認済み。固有仕様ごとの価格設定有無（＿＿表示等）は次QAで最終確定。</t>
        </is>
      </c>
      <c r="S1029" s="42" t="inlineStr">
        <is>
          <t>無印</t>
        </is>
      </c>
      <c r="T1029" s="42" t="n">
        <v>147</v>
      </c>
      <c r="U1029" s="42" t="inlineStr">
        <is>
          <t>P147|無印</t>
        </is>
      </c>
      <c r="V1029" s="42" t="inlineStr">
        <is>
          <t>同頁凡例へ直接連動</t>
        </is>
      </c>
    </row>
    <row r="1030">
      <c r="A1030" s="43" t="inlineStr">
        <is>
          <t>SZ-SL-001027</t>
        </is>
      </c>
      <c r="B1030" s="43" t="inlineStr">
        <is>
          <t>SER-LIX-SAMOSL</t>
        </is>
      </c>
      <c r="C1030" s="43" t="inlineStr">
        <is>
          <t>WT-SL-MENKOSHI-AGE-FS</t>
        </is>
      </c>
      <c r="D1030" s="43" t="inlineStr">
        <is>
          <t>面格子付上げ下げ窓FS</t>
        </is>
      </c>
      <c r="E1030" s="43" t="inlineStr">
        <is>
          <t>SP-SL-AGE-GRILLE-DIA</t>
        </is>
      </c>
      <c r="F1030" s="43" t="inlineStr">
        <is>
          <t>在来・204</t>
        </is>
      </c>
      <c r="G1030" s="43" t="inlineStr">
        <is>
          <t>06013</t>
        </is>
      </c>
      <c r="H1030" s="43" t="inlineStr">
        <is>
          <t>060</t>
        </is>
      </c>
      <c r="I1030" s="43" t="inlineStr">
        <is>
          <t>13</t>
        </is>
      </c>
      <c r="J1030" s="222" t="n">
        <v>640</v>
      </c>
      <c r="K1030" s="222" t="n">
        <v>1370</v>
      </c>
      <c r="L1030" s="43" t="inlineStr">
        <is>
          <t>在来・204</t>
        </is>
      </c>
      <c r="M1030" s="178" t="b">
        <v>1</v>
      </c>
      <c r="N1030" s="43" t="inlineStr">
        <is>
          <t>カタログ個別可否確認済み</t>
        </is>
      </c>
      <c r="O1030" s="222" t="n">
        <v>149</v>
      </c>
      <c r="P1030" s="222" t="n">
        <v>147</v>
      </c>
      <c r="Q1030" s="43" t="inlineStr">
        <is>
          <t>202604_LIXIL_サーモスＬ_業務用資料集_完成品価格表.pdf</t>
        </is>
      </c>
      <c r="R1030" s="43" t="inlineStr">
        <is>
          <t>規格呼称は親品種で確認済み。固有仕様ごとの価格設定有無（＿＿表示等）は次QAで最終確定。</t>
        </is>
      </c>
      <c r="S1030" s="42" t="inlineStr">
        <is>
          <t>無印</t>
        </is>
      </c>
      <c r="T1030" s="42" t="n">
        <v>147</v>
      </c>
      <c r="U1030" s="42" t="inlineStr">
        <is>
          <t>P147|無印</t>
        </is>
      </c>
      <c r="V1030" s="42" t="inlineStr">
        <is>
          <t>同頁凡例へ直接連動</t>
        </is>
      </c>
    </row>
    <row r="1031">
      <c r="A1031" s="43" t="inlineStr">
        <is>
          <t>SZ-SL-001028</t>
        </is>
      </c>
      <c r="B1031" s="43" t="inlineStr">
        <is>
          <t>SER-LIX-SAMOSL</t>
        </is>
      </c>
      <c r="C1031" s="43" t="inlineStr">
        <is>
          <t>WT-SL-MENKOSHI-AGE-FS</t>
        </is>
      </c>
      <c r="D1031" s="43" t="inlineStr">
        <is>
          <t>面格子付上げ下げ窓FS</t>
        </is>
      </c>
      <c r="E1031" s="43" t="inlineStr">
        <is>
          <t>SP-SL-AGE-GRILLE-DIA</t>
        </is>
      </c>
      <c r="F1031" s="43" t="inlineStr">
        <is>
          <t>在来・204</t>
        </is>
      </c>
      <c r="G1031" s="43" t="inlineStr">
        <is>
          <t>06913</t>
        </is>
      </c>
      <c r="H1031" s="43" t="inlineStr">
        <is>
          <t>069</t>
        </is>
      </c>
      <c r="I1031" s="43" t="inlineStr">
        <is>
          <t>13</t>
        </is>
      </c>
      <c r="J1031" s="222" t="n">
        <v>730</v>
      </c>
      <c r="K1031" s="222" t="n">
        <v>1370</v>
      </c>
      <c r="L1031" s="43" t="inlineStr">
        <is>
          <t>在来・204</t>
        </is>
      </c>
      <c r="M1031" s="178" t="b">
        <v>1</v>
      </c>
      <c r="N1031" s="43" t="inlineStr">
        <is>
          <t>カタログ個別可否確認済み</t>
        </is>
      </c>
      <c r="O1031" s="222" t="n">
        <v>149</v>
      </c>
      <c r="P1031" s="222" t="n">
        <v>147</v>
      </c>
      <c r="Q1031" s="43" t="inlineStr">
        <is>
          <t>202604_LIXIL_サーモスＬ_業務用資料集_完成品価格表.pdf</t>
        </is>
      </c>
      <c r="R1031" s="43" t="inlineStr">
        <is>
          <t>規格呼称は親品種で確認済み。固有仕様ごとの価格設定有無（＿＿表示等）は次QAで最終確定。</t>
        </is>
      </c>
      <c r="S1031" s="42" t="inlineStr">
        <is>
          <t>無印</t>
        </is>
      </c>
      <c r="T1031" s="42" t="n">
        <v>147</v>
      </c>
      <c r="U1031" s="42" t="inlineStr">
        <is>
          <t>P147|無印</t>
        </is>
      </c>
      <c r="V1031" s="42" t="inlineStr">
        <is>
          <t>同頁凡例へ直接連動</t>
        </is>
      </c>
    </row>
    <row r="1032">
      <c r="A1032" s="43" t="inlineStr">
        <is>
          <t>SZ-SL-001029</t>
        </is>
      </c>
      <c r="B1032" s="43" t="inlineStr">
        <is>
          <t>SER-LIX-SAMOSL</t>
        </is>
      </c>
      <c r="C1032" s="43" t="inlineStr">
        <is>
          <t>WT-SL-MENKOSHI-AGE-FS</t>
        </is>
      </c>
      <c r="D1032" s="43" t="inlineStr">
        <is>
          <t>面格子付上げ下げ窓FS</t>
        </is>
      </c>
      <c r="E1032" s="43" t="inlineStr">
        <is>
          <t>SP-SL-AGE-GRILLE-DIA</t>
        </is>
      </c>
      <c r="F1032" s="43" t="inlineStr">
        <is>
          <t>在来・204</t>
        </is>
      </c>
      <c r="G1032" s="43" t="inlineStr">
        <is>
          <t>07413</t>
        </is>
      </c>
      <c r="H1032" s="43" t="inlineStr">
        <is>
          <t>074</t>
        </is>
      </c>
      <c r="I1032" s="43" t="inlineStr">
        <is>
          <t>13</t>
        </is>
      </c>
      <c r="J1032" s="222" t="n">
        <v>780</v>
      </c>
      <c r="K1032" s="222" t="n">
        <v>1370</v>
      </c>
      <c r="L1032" s="43" t="inlineStr">
        <is>
          <t>在来・204</t>
        </is>
      </c>
      <c r="M1032" s="178" t="b">
        <v>1</v>
      </c>
      <c r="N1032" s="43" t="inlineStr">
        <is>
          <t>カタログ個別可否確認済み</t>
        </is>
      </c>
      <c r="O1032" s="222" t="n">
        <v>149</v>
      </c>
      <c r="P1032" s="222" t="n">
        <v>147</v>
      </c>
      <c r="Q1032" s="43" t="inlineStr">
        <is>
          <t>202604_LIXIL_サーモスＬ_業務用資料集_完成品価格表.pdf</t>
        </is>
      </c>
      <c r="R1032" s="43" t="inlineStr">
        <is>
          <t>規格呼称は親品種で確認済み。固有仕様ごとの価格設定有無（＿＿表示等）は次QAで最終確定。</t>
        </is>
      </c>
      <c r="S1032" s="42" t="inlineStr">
        <is>
          <t>無印</t>
        </is>
      </c>
      <c r="T1032" s="42" t="n">
        <v>147</v>
      </c>
      <c r="U1032" s="42" t="inlineStr">
        <is>
          <t>P147|無印</t>
        </is>
      </c>
      <c r="V1032" s="42" t="inlineStr">
        <is>
          <t>同頁凡例へ直接連動</t>
        </is>
      </c>
    </row>
    <row r="1033">
      <c r="A1033" s="43" t="inlineStr">
        <is>
          <t>SZ-SL-001030</t>
        </is>
      </c>
      <c r="B1033" s="43" t="inlineStr">
        <is>
          <t>SER-LIX-SAMOSL</t>
        </is>
      </c>
      <c r="C1033" s="43" t="inlineStr">
        <is>
          <t>WT-SL-MENKOSHI-AGE-FS</t>
        </is>
      </c>
      <c r="D1033" s="43" t="inlineStr">
        <is>
          <t>面格子付上げ下げ窓FS</t>
        </is>
      </c>
      <c r="E1033" s="43" t="inlineStr">
        <is>
          <t>SP-SL-AGE-GRILLE-H</t>
        </is>
      </c>
      <c r="F1033" s="43" t="inlineStr">
        <is>
          <t>在来・204</t>
        </is>
      </c>
      <c r="G1033" s="43" t="inlineStr">
        <is>
          <t>02613</t>
        </is>
      </c>
      <c r="H1033" s="43" t="inlineStr">
        <is>
          <t>026</t>
        </is>
      </c>
      <c r="I1033" s="43" t="inlineStr">
        <is>
          <t>13</t>
        </is>
      </c>
      <c r="J1033" s="222" t="n">
        <v>300</v>
      </c>
      <c r="K1033" s="222" t="n">
        <v>1370</v>
      </c>
      <c r="L1033" s="43" t="inlineStr">
        <is>
          <t>在来・204</t>
        </is>
      </c>
      <c r="M1033" s="178" t="b">
        <v>1</v>
      </c>
      <c r="N1033" s="43" t="inlineStr">
        <is>
          <t>カタログ個別可否確認済み</t>
        </is>
      </c>
      <c r="O1033" s="222" t="n">
        <v>149</v>
      </c>
      <c r="P1033" s="222" t="n">
        <v>147</v>
      </c>
      <c r="Q1033" s="43" t="inlineStr">
        <is>
          <t>202604_LIXIL_サーモスＬ_業務用資料集_完成品価格表.pdf</t>
        </is>
      </c>
      <c r="R1033" s="43" t="inlineStr">
        <is>
          <t>規格呼称は親品種で確認済み。固有仕様ごとの価格設定有無（＿＿表示等）は次QAで最終確定。</t>
        </is>
      </c>
      <c r="S1033" s="42" t="inlineStr">
        <is>
          <t>無印</t>
        </is>
      </c>
      <c r="T1033" s="42" t="n">
        <v>147</v>
      </c>
      <c r="U1033" s="42" t="inlineStr">
        <is>
          <t>P147|無印</t>
        </is>
      </c>
      <c r="V1033" s="42" t="inlineStr">
        <is>
          <t>同頁凡例へ直接連動</t>
        </is>
      </c>
    </row>
    <row r="1034">
      <c r="A1034" s="43" t="inlineStr">
        <is>
          <t>SZ-SL-001031</t>
        </is>
      </c>
      <c r="B1034" s="43" t="inlineStr">
        <is>
          <t>SER-LIX-SAMOSL</t>
        </is>
      </c>
      <c r="C1034" s="43" t="inlineStr">
        <is>
          <t>WT-SL-MENKOSHI-AGE-FS</t>
        </is>
      </c>
      <c r="D1034" s="43" t="inlineStr">
        <is>
          <t>面格子付上げ下げ窓FS</t>
        </is>
      </c>
      <c r="E1034" s="43" t="inlineStr">
        <is>
          <t>SP-SL-AGE-GRILLE-H</t>
        </is>
      </c>
      <c r="F1034" s="43" t="inlineStr">
        <is>
          <t>在来・204</t>
        </is>
      </c>
      <c r="G1034" s="43" t="inlineStr">
        <is>
          <t>03613</t>
        </is>
      </c>
      <c r="H1034" s="43" t="inlineStr">
        <is>
          <t>036</t>
        </is>
      </c>
      <c r="I1034" s="43" t="inlineStr">
        <is>
          <t>13</t>
        </is>
      </c>
      <c r="J1034" s="222" t="n">
        <v>405</v>
      </c>
      <c r="K1034" s="222" t="n">
        <v>1370</v>
      </c>
      <c r="L1034" s="43" t="inlineStr">
        <is>
          <t>在来・204</t>
        </is>
      </c>
      <c r="M1034" s="178" t="b">
        <v>1</v>
      </c>
      <c r="N1034" s="43" t="inlineStr">
        <is>
          <t>カタログ個別可否確認済み</t>
        </is>
      </c>
      <c r="O1034" s="222" t="n">
        <v>149</v>
      </c>
      <c r="P1034" s="222" t="n">
        <v>147</v>
      </c>
      <c r="Q1034" s="43" t="inlineStr">
        <is>
          <t>202604_LIXIL_サーモスＬ_業務用資料集_完成品価格表.pdf</t>
        </is>
      </c>
      <c r="R1034" s="43" t="inlineStr">
        <is>
          <t>規格呼称は親品種で確認済み。固有仕様ごとの価格設定有無（＿＿表示等）は次QAで最終確定。</t>
        </is>
      </c>
      <c r="S1034" s="42" t="inlineStr">
        <is>
          <t>無印</t>
        </is>
      </c>
      <c r="T1034" s="42" t="n">
        <v>147</v>
      </c>
      <c r="U1034" s="42" t="inlineStr">
        <is>
          <t>P147|無印</t>
        </is>
      </c>
      <c r="V1034" s="42" t="inlineStr">
        <is>
          <t>同頁凡例へ直接連動</t>
        </is>
      </c>
    </row>
    <row r="1035">
      <c r="A1035" s="43" t="inlineStr">
        <is>
          <t>SZ-SL-001032</t>
        </is>
      </c>
      <c r="B1035" s="43" t="inlineStr">
        <is>
          <t>SER-LIX-SAMOSL</t>
        </is>
      </c>
      <c r="C1035" s="43" t="inlineStr">
        <is>
          <t>WT-SL-MENKOSHI-AGE-FS</t>
        </is>
      </c>
      <c r="D1035" s="43" t="inlineStr">
        <is>
          <t>面格子付上げ下げ窓FS</t>
        </is>
      </c>
      <c r="E1035" s="43" t="inlineStr">
        <is>
          <t>SP-SL-AGE-GRILLE-H</t>
        </is>
      </c>
      <c r="F1035" s="43" t="inlineStr">
        <is>
          <t>在来・204</t>
        </is>
      </c>
      <c r="G1035" s="43" t="inlineStr">
        <is>
          <t>06013</t>
        </is>
      </c>
      <c r="H1035" s="43" t="inlineStr">
        <is>
          <t>060</t>
        </is>
      </c>
      <c r="I1035" s="43" t="inlineStr">
        <is>
          <t>13</t>
        </is>
      </c>
      <c r="J1035" s="222" t="n">
        <v>640</v>
      </c>
      <c r="K1035" s="222" t="n">
        <v>1370</v>
      </c>
      <c r="L1035" s="43" t="inlineStr">
        <is>
          <t>在来・204</t>
        </is>
      </c>
      <c r="M1035" s="178" t="b">
        <v>1</v>
      </c>
      <c r="N1035" s="43" t="inlineStr">
        <is>
          <t>カタログ個別可否確認済み</t>
        </is>
      </c>
      <c r="O1035" s="222" t="n">
        <v>149</v>
      </c>
      <c r="P1035" s="222" t="n">
        <v>147</v>
      </c>
      <c r="Q1035" s="43" t="inlineStr">
        <is>
          <t>202604_LIXIL_サーモスＬ_業務用資料集_完成品価格表.pdf</t>
        </is>
      </c>
      <c r="R1035" s="43" t="inlineStr">
        <is>
          <t>規格呼称は親品種で確認済み。固有仕様ごとの価格設定有無（＿＿表示等）は次QAで最終確定。</t>
        </is>
      </c>
      <c r="S1035" s="42" t="inlineStr">
        <is>
          <t>無印</t>
        </is>
      </c>
      <c r="T1035" s="42" t="n">
        <v>147</v>
      </c>
      <c r="U1035" s="42" t="inlineStr">
        <is>
          <t>P147|無印</t>
        </is>
      </c>
      <c r="V1035" s="42" t="inlineStr">
        <is>
          <t>同頁凡例へ直接連動</t>
        </is>
      </c>
    </row>
    <row r="1036">
      <c r="A1036" s="43" t="inlineStr">
        <is>
          <t>SZ-SL-001033</t>
        </is>
      </c>
      <c r="B1036" s="43" t="inlineStr">
        <is>
          <t>SER-LIX-SAMOSL</t>
        </is>
      </c>
      <c r="C1036" s="43" t="inlineStr">
        <is>
          <t>WT-SL-MENKOSHI-AGE-FS</t>
        </is>
      </c>
      <c r="D1036" s="43" t="inlineStr">
        <is>
          <t>面格子付上げ下げ窓FS</t>
        </is>
      </c>
      <c r="E1036" s="43" t="inlineStr">
        <is>
          <t>SP-SL-AGE-GRILLE-H</t>
        </is>
      </c>
      <c r="F1036" s="43" t="inlineStr">
        <is>
          <t>在来・204</t>
        </is>
      </c>
      <c r="G1036" s="43" t="inlineStr">
        <is>
          <t>06913</t>
        </is>
      </c>
      <c r="H1036" s="43" t="inlineStr">
        <is>
          <t>069</t>
        </is>
      </c>
      <c r="I1036" s="43" t="inlineStr">
        <is>
          <t>13</t>
        </is>
      </c>
      <c r="J1036" s="222" t="n">
        <v>730</v>
      </c>
      <c r="K1036" s="222" t="n">
        <v>1370</v>
      </c>
      <c r="L1036" s="43" t="inlineStr">
        <is>
          <t>在来・204</t>
        </is>
      </c>
      <c r="M1036" s="178" t="b">
        <v>1</v>
      </c>
      <c r="N1036" s="43" t="inlineStr">
        <is>
          <t>カタログ個別可否確認済み</t>
        </is>
      </c>
      <c r="O1036" s="222" t="n">
        <v>149</v>
      </c>
      <c r="P1036" s="222" t="n">
        <v>147</v>
      </c>
      <c r="Q1036" s="43" t="inlineStr">
        <is>
          <t>202604_LIXIL_サーモスＬ_業務用資料集_完成品価格表.pdf</t>
        </is>
      </c>
      <c r="R1036" s="43" t="inlineStr">
        <is>
          <t>規格呼称は親品種で確認済み。固有仕様ごとの価格設定有無（＿＿表示等）は次QAで最終確定。</t>
        </is>
      </c>
      <c r="S1036" s="42" t="inlineStr">
        <is>
          <t>無印</t>
        </is>
      </c>
      <c r="T1036" s="42" t="n">
        <v>147</v>
      </c>
      <c r="U1036" s="42" t="inlineStr">
        <is>
          <t>P147|無印</t>
        </is>
      </c>
      <c r="V1036" s="42" t="inlineStr">
        <is>
          <t>同頁凡例へ直接連動</t>
        </is>
      </c>
    </row>
    <row r="1037">
      <c r="A1037" s="43" t="inlineStr">
        <is>
          <t>SZ-SL-001034</t>
        </is>
      </c>
      <c r="B1037" s="43" t="inlineStr">
        <is>
          <t>SER-LIX-SAMOSL</t>
        </is>
      </c>
      <c r="C1037" s="43" t="inlineStr">
        <is>
          <t>WT-SL-MENKOSHI-AGE-FS</t>
        </is>
      </c>
      <c r="D1037" s="43" t="inlineStr">
        <is>
          <t>面格子付上げ下げ窓FS</t>
        </is>
      </c>
      <c r="E1037" s="43" t="inlineStr">
        <is>
          <t>SP-SL-AGE-GRILLE-H</t>
        </is>
      </c>
      <c r="F1037" s="43" t="inlineStr">
        <is>
          <t>在来・204</t>
        </is>
      </c>
      <c r="G1037" s="43" t="inlineStr">
        <is>
          <t>07413</t>
        </is>
      </c>
      <c r="H1037" s="43" t="inlineStr">
        <is>
          <t>074</t>
        </is>
      </c>
      <c r="I1037" s="43" t="inlineStr">
        <is>
          <t>13</t>
        </is>
      </c>
      <c r="J1037" s="222" t="n">
        <v>780</v>
      </c>
      <c r="K1037" s="222" t="n">
        <v>1370</v>
      </c>
      <c r="L1037" s="43" t="inlineStr">
        <is>
          <t>在来・204</t>
        </is>
      </c>
      <c r="M1037" s="178" t="b">
        <v>1</v>
      </c>
      <c r="N1037" s="43" t="inlineStr">
        <is>
          <t>カタログ個別可否確認済み</t>
        </is>
      </c>
      <c r="O1037" s="222" t="n">
        <v>149</v>
      </c>
      <c r="P1037" s="222" t="n">
        <v>147</v>
      </c>
      <c r="Q1037" s="43" t="inlineStr">
        <is>
          <t>202604_LIXIL_サーモスＬ_業務用資料集_完成品価格表.pdf</t>
        </is>
      </c>
      <c r="R1037" s="43" t="inlineStr">
        <is>
          <t>規格呼称は親品種で確認済み。固有仕様ごとの価格設定有無（＿＿表示等）は次QAで最終確定。</t>
        </is>
      </c>
      <c r="S1037" s="42" t="inlineStr">
        <is>
          <t>無印</t>
        </is>
      </c>
      <c r="T1037" s="42" t="n">
        <v>147</v>
      </c>
      <c r="U1037" s="42" t="inlineStr">
        <is>
          <t>P147|無印</t>
        </is>
      </c>
      <c r="V1037" s="42" t="inlineStr">
        <is>
          <t>同頁凡例へ直接連動</t>
        </is>
      </c>
    </row>
    <row r="1038">
      <c r="A1038" s="43" t="inlineStr">
        <is>
          <t>SZ-SL-001035</t>
        </is>
      </c>
      <c r="B1038" s="43" t="inlineStr">
        <is>
          <t>SER-LIX-SAMOSL</t>
        </is>
      </c>
      <c r="C1038" s="43" t="inlineStr">
        <is>
          <t>WT-SL-MENKOSHI-AGE-FS</t>
        </is>
      </c>
      <c r="D1038" s="43" t="inlineStr">
        <is>
          <t>面格子付上げ下げ窓FS</t>
        </is>
      </c>
      <c r="E1038" s="43" t="inlineStr">
        <is>
          <t>SP-SL-AGE-GRILLE-IGETA</t>
        </is>
      </c>
      <c r="F1038" s="43" t="inlineStr">
        <is>
          <t>在来・204</t>
        </is>
      </c>
      <c r="G1038" s="43" t="inlineStr">
        <is>
          <t>02613</t>
        </is>
      </c>
      <c r="H1038" s="43" t="inlineStr">
        <is>
          <t>026</t>
        </is>
      </c>
      <c r="I1038" s="43" t="inlineStr">
        <is>
          <t>13</t>
        </is>
      </c>
      <c r="J1038" s="222" t="n">
        <v>300</v>
      </c>
      <c r="K1038" s="222" t="n">
        <v>1370</v>
      </c>
      <c r="L1038" s="43" t="inlineStr">
        <is>
          <t>在来・204</t>
        </is>
      </c>
      <c r="M1038" s="178" t="b">
        <v>1</v>
      </c>
      <c r="N1038" s="43" t="inlineStr">
        <is>
          <t>カタログ個別可否確認済み</t>
        </is>
      </c>
      <c r="O1038" s="222" t="n">
        <v>149</v>
      </c>
      <c r="P1038" s="222" t="n">
        <v>147</v>
      </c>
      <c r="Q1038" s="43" t="inlineStr">
        <is>
          <t>202604_LIXIL_サーモスＬ_業務用資料集_完成品価格表.pdf</t>
        </is>
      </c>
      <c r="R1038" s="43" t="inlineStr">
        <is>
          <t>規格呼称は親品種で確認済み。固有仕様ごとの価格設定有無（＿＿表示等）は次QAで最終確定。</t>
        </is>
      </c>
      <c r="S1038" s="42" t="inlineStr">
        <is>
          <t>無印</t>
        </is>
      </c>
      <c r="T1038" s="42" t="n">
        <v>147</v>
      </c>
      <c r="U1038" s="42" t="inlineStr">
        <is>
          <t>P147|無印</t>
        </is>
      </c>
      <c r="V1038" s="42" t="inlineStr">
        <is>
          <t>同頁凡例へ直接連動</t>
        </is>
      </c>
    </row>
    <row r="1039">
      <c r="A1039" s="43" t="inlineStr">
        <is>
          <t>SZ-SL-001036</t>
        </is>
      </c>
      <c r="B1039" s="43" t="inlineStr">
        <is>
          <t>SER-LIX-SAMOSL</t>
        </is>
      </c>
      <c r="C1039" s="43" t="inlineStr">
        <is>
          <t>WT-SL-MENKOSHI-AGE-FS</t>
        </is>
      </c>
      <c r="D1039" s="43" t="inlineStr">
        <is>
          <t>面格子付上げ下げ窓FS</t>
        </is>
      </c>
      <c r="E1039" s="43" t="inlineStr">
        <is>
          <t>SP-SL-AGE-GRILLE-IGETA</t>
        </is>
      </c>
      <c r="F1039" s="43" t="inlineStr">
        <is>
          <t>在来・204</t>
        </is>
      </c>
      <c r="G1039" s="43" t="inlineStr">
        <is>
          <t>03613</t>
        </is>
      </c>
      <c r="H1039" s="43" t="inlineStr">
        <is>
          <t>036</t>
        </is>
      </c>
      <c r="I1039" s="43" t="inlineStr">
        <is>
          <t>13</t>
        </is>
      </c>
      <c r="J1039" s="222" t="n">
        <v>405</v>
      </c>
      <c r="K1039" s="222" t="n">
        <v>1370</v>
      </c>
      <c r="L1039" s="43" t="inlineStr">
        <is>
          <t>在来・204</t>
        </is>
      </c>
      <c r="M1039" s="178" t="b">
        <v>1</v>
      </c>
      <c r="N1039" s="43" t="inlineStr">
        <is>
          <t>カタログ個別可否確認済み</t>
        </is>
      </c>
      <c r="O1039" s="222" t="n">
        <v>149</v>
      </c>
      <c r="P1039" s="222" t="n">
        <v>147</v>
      </c>
      <c r="Q1039" s="43" t="inlineStr">
        <is>
          <t>202604_LIXIL_サーモスＬ_業務用資料集_完成品価格表.pdf</t>
        </is>
      </c>
      <c r="R1039" s="43" t="inlineStr">
        <is>
          <t>規格呼称は親品種で確認済み。固有仕様ごとの価格設定有無（＿＿表示等）は次QAで最終確定。</t>
        </is>
      </c>
      <c r="S1039" s="42" t="inlineStr">
        <is>
          <t>無印</t>
        </is>
      </c>
      <c r="T1039" s="42" t="n">
        <v>147</v>
      </c>
      <c r="U1039" s="42" t="inlineStr">
        <is>
          <t>P147|無印</t>
        </is>
      </c>
      <c r="V1039" s="42" t="inlineStr">
        <is>
          <t>同頁凡例へ直接連動</t>
        </is>
      </c>
    </row>
    <row r="1040">
      <c r="A1040" s="43" t="inlineStr">
        <is>
          <t>SZ-SL-001037</t>
        </is>
      </c>
      <c r="B1040" s="43" t="inlineStr">
        <is>
          <t>SER-LIX-SAMOSL</t>
        </is>
      </c>
      <c r="C1040" s="43" t="inlineStr">
        <is>
          <t>WT-SL-MENKOSHI-AGE-FS</t>
        </is>
      </c>
      <c r="D1040" s="43" t="inlineStr">
        <is>
          <t>面格子付上げ下げ窓FS</t>
        </is>
      </c>
      <c r="E1040" s="43" t="inlineStr">
        <is>
          <t>SP-SL-AGE-GRILLE-IGETA</t>
        </is>
      </c>
      <c r="F1040" s="43" t="inlineStr">
        <is>
          <t>在来・204</t>
        </is>
      </c>
      <c r="G1040" s="43" t="inlineStr">
        <is>
          <t>06013</t>
        </is>
      </c>
      <c r="H1040" s="43" t="inlineStr">
        <is>
          <t>060</t>
        </is>
      </c>
      <c r="I1040" s="43" t="inlineStr">
        <is>
          <t>13</t>
        </is>
      </c>
      <c r="J1040" s="222" t="n">
        <v>640</v>
      </c>
      <c r="K1040" s="222" t="n">
        <v>1370</v>
      </c>
      <c r="L1040" s="43" t="inlineStr">
        <is>
          <t>在来・204</t>
        </is>
      </c>
      <c r="M1040" s="178" t="b">
        <v>1</v>
      </c>
      <c r="N1040" s="43" t="inlineStr">
        <is>
          <t>カタログ個別可否確認済み</t>
        </is>
      </c>
      <c r="O1040" s="222" t="n">
        <v>149</v>
      </c>
      <c r="P1040" s="222" t="n">
        <v>147</v>
      </c>
      <c r="Q1040" s="43" t="inlineStr">
        <is>
          <t>202604_LIXIL_サーモスＬ_業務用資料集_完成品価格表.pdf</t>
        </is>
      </c>
      <c r="R1040" s="43" t="inlineStr">
        <is>
          <t>規格呼称は親品種で確認済み。固有仕様ごとの価格設定有無（＿＿表示等）は次QAで最終確定。</t>
        </is>
      </c>
      <c r="S1040" s="42" t="inlineStr">
        <is>
          <t>無印</t>
        </is>
      </c>
      <c r="T1040" s="42" t="n">
        <v>147</v>
      </c>
      <c r="U1040" s="42" t="inlineStr">
        <is>
          <t>P147|無印</t>
        </is>
      </c>
      <c r="V1040" s="42" t="inlineStr">
        <is>
          <t>同頁凡例へ直接連動</t>
        </is>
      </c>
    </row>
    <row r="1041">
      <c r="A1041" s="43" t="inlineStr">
        <is>
          <t>SZ-SL-001038</t>
        </is>
      </c>
      <c r="B1041" s="43" t="inlineStr">
        <is>
          <t>SER-LIX-SAMOSL</t>
        </is>
      </c>
      <c r="C1041" s="43" t="inlineStr">
        <is>
          <t>WT-SL-MENKOSHI-AGE-FS</t>
        </is>
      </c>
      <c r="D1041" s="43" t="inlineStr">
        <is>
          <t>面格子付上げ下げ窓FS</t>
        </is>
      </c>
      <c r="E1041" s="43" t="inlineStr">
        <is>
          <t>SP-SL-AGE-GRILLE-IGETA</t>
        </is>
      </c>
      <c r="F1041" s="43" t="inlineStr">
        <is>
          <t>在来・204</t>
        </is>
      </c>
      <c r="G1041" s="43" t="inlineStr">
        <is>
          <t>06913</t>
        </is>
      </c>
      <c r="H1041" s="43" t="inlineStr">
        <is>
          <t>069</t>
        </is>
      </c>
      <c r="I1041" s="43" t="inlineStr">
        <is>
          <t>13</t>
        </is>
      </c>
      <c r="J1041" s="222" t="n">
        <v>730</v>
      </c>
      <c r="K1041" s="222" t="n">
        <v>1370</v>
      </c>
      <c r="L1041" s="43" t="inlineStr">
        <is>
          <t>在来・204</t>
        </is>
      </c>
      <c r="M1041" s="178" t="b">
        <v>1</v>
      </c>
      <c r="N1041" s="43" t="inlineStr">
        <is>
          <t>カタログ個別可否確認済み</t>
        </is>
      </c>
      <c r="O1041" s="222" t="n">
        <v>149</v>
      </c>
      <c r="P1041" s="222" t="n">
        <v>147</v>
      </c>
      <c r="Q1041" s="43" t="inlineStr">
        <is>
          <t>202604_LIXIL_サーモスＬ_業務用資料集_完成品価格表.pdf</t>
        </is>
      </c>
      <c r="R1041" s="43" t="inlineStr">
        <is>
          <t>規格呼称は親品種で確認済み。固有仕様ごとの価格設定有無（＿＿表示等）は次QAで最終確定。</t>
        </is>
      </c>
      <c r="S1041" s="42" t="inlineStr">
        <is>
          <t>無印</t>
        </is>
      </c>
      <c r="T1041" s="42" t="n">
        <v>147</v>
      </c>
      <c r="U1041" s="42" t="inlineStr">
        <is>
          <t>P147|無印</t>
        </is>
      </c>
      <c r="V1041" s="42" t="inlineStr">
        <is>
          <t>同頁凡例へ直接連動</t>
        </is>
      </c>
    </row>
    <row r="1042">
      <c r="A1042" s="43" t="inlineStr">
        <is>
          <t>SZ-SL-001039</t>
        </is>
      </c>
      <c r="B1042" s="43" t="inlineStr">
        <is>
          <t>SER-LIX-SAMOSL</t>
        </is>
      </c>
      <c r="C1042" s="43" t="inlineStr">
        <is>
          <t>WT-SL-MENKOSHI-AGE-FS</t>
        </is>
      </c>
      <c r="D1042" s="43" t="inlineStr">
        <is>
          <t>面格子付上げ下げ窓FS</t>
        </is>
      </c>
      <c r="E1042" s="43" t="inlineStr">
        <is>
          <t>SP-SL-AGE-GRILLE-IGETA</t>
        </is>
      </c>
      <c r="F1042" s="43" t="inlineStr">
        <is>
          <t>在来・204</t>
        </is>
      </c>
      <c r="G1042" s="43" t="inlineStr">
        <is>
          <t>07413</t>
        </is>
      </c>
      <c r="H1042" s="43" t="inlineStr">
        <is>
          <t>074</t>
        </is>
      </c>
      <c r="I1042" s="43" t="inlineStr">
        <is>
          <t>13</t>
        </is>
      </c>
      <c r="J1042" s="222" t="n">
        <v>780</v>
      </c>
      <c r="K1042" s="222" t="n">
        <v>1370</v>
      </c>
      <c r="L1042" s="43" t="inlineStr">
        <is>
          <t>在来・204</t>
        </is>
      </c>
      <c r="M1042" s="178" t="b">
        <v>1</v>
      </c>
      <c r="N1042" s="43" t="inlineStr">
        <is>
          <t>カタログ個別可否確認済み</t>
        </is>
      </c>
      <c r="O1042" s="222" t="n">
        <v>149</v>
      </c>
      <c r="P1042" s="222" t="n">
        <v>147</v>
      </c>
      <c r="Q1042" s="43" t="inlineStr">
        <is>
          <t>202604_LIXIL_サーモスＬ_業務用資料集_完成品価格表.pdf</t>
        </is>
      </c>
      <c r="R1042" s="43" t="inlineStr">
        <is>
          <t>規格呼称は親品種で確認済み。固有仕様ごとの価格設定有無（＿＿表示等）は次QAで最終確定。</t>
        </is>
      </c>
      <c r="S1042" s="42" t="inlineStr">
        <is>
          <t>無印</t>
        </is>
      </c>
      <c r="T1042" s="42" t="n">
        <v>147</v>
      </c>
      <c r="U1042" s="42" t="inlineStr">
        <is>
          <t>P147|無印</t>
        </is>
      </c>
      <c r="V1042" s="42" t="inlineStr">
        <is>
          <t>同頁凡例へ直接連動</t>
        </is>
      </c>
    </row>
    <row r="1043">
      <c r="A1043" s="43" t="inlineStr">
        <is>
          <t>SZ-SL-001040</t>
        </is>
      </c>
      <c r="B1043" s="43" t="inlineStr">
        <is>
          <t>SER-LIX-SAMOSL</t>
        </is>
      </c>
      <c r="C1043" s="43" t="inlineStr">
        <is>
          <t>WT-SL-MENKOSHI-AGE-FS</t>
        </is>
      </c>
      <c r="D1043" s="43" t="inlineStr">
        <is>
          <t>面格子付上げ下げ窓FS</t>
        </is>
      </c>
      <c r="E1043" s="43" t="inlineStr">
        <is>
          <t>SP-SL-AGE-GRILLE-V</t>
        </is>
      </c>
      <c r="F1043" s="43" t="inlineStr">
        <is>
          <t>在来・204</t>
        </is>
      </c>
      <c r="G1043" s="43" t="inlineStr">
        <is>
          <t>02613</t>
        </is>
      </c>
      <c r="H1043" s="43" t="inlineStr">
        <is>
          <t>026</t>
        </is>
      </c>
      <c r="I1043" s="43" t="inlineStr">
        <is>
          <t>13</t>
        </is>
      </c>
      <c r="J1043" s="222" t="n">
        <v>300</v>
      </c>
      <c r="K1043" s="222" t="n">
        <v>1370</v>
      </c>
      <c r="L1043" s="43" t="inlineStr">
        <is>
          <t>在来・204</t>
        </is>
      </c>
      <c r="M1043" s="178" t="b">
        <v>1</v>
      </c>
      <c r="N1043" s="43" t="inlineStr">
        <is>
          <t>カタログ個別可否確認済み</t>
        </is>
      </c>
      <c r="O1043" s="222" t="n">
        <v>149</v>
      </c>
      <c r="P1043" s="222" t="n">
        <v>147</v>
      </c>
      <c r="Q1043" s="43" t="inlineStr">
        <is>
          <t>202604_LIXIL_サーモスＬ_業務用資料集_完成品価格表.pdf</t>
        </is>
      </c>
      <c r="R1043" s="43" t="inlineStr">
        <is>
          <t>規格呼称は親品種で確認済み。固有仕様ごとの価格設定有無（＿＿表示等）は次QAで最終確定。</t>
        </is>
      </c>
      <c r="S1043" s="42" t="inlineStr">
        <is>
          <t>無印</t>
        </is>
      </c>
      <c r="T1043" s="42" t="n">
        <v>147</v>
      </c>
      <c r="U1043" s="42" t="inlineStr">
        <is>
          <t>P147|無印</t>
        </is>
      </c>
      <c r="V1043" s="42" t="inlineStr">
        <is>
          <t>同頁凡例へ直接連動</t>
        </is>
      </c>
    </row>
    <row r="1044">
      <c r="A1044" s="43" t="inlineStr">
        <is>
          <t>SZ-SL-001041</t>
        </is>
      </c>
      <c r="B1044" s="43" t="inlineStr">
        <is>
          <t>SER-LIX-SAMOSL</t>
        </is>
      </c>
      <c r="C1044" s="43" t="inlineStr">
        <is>
          <t>WT-SL-MENKOSHI-AGE-FS</t>
        </is>
      </c>
      <c r="D1044" s="43" t="inlineStr">
        <is>
          <t>面格子付上げ下げ窓FS</t>
        </is>
      </c>
      <c r="E1044" s="43" t="inlineStr">
        <is>
          <t>SP-SL-AGE-GRILLE-V</t>
        </is>
      </c>
      <c r="F1044" s="43" t="inlineStr">
        <is>
          <t>在来・204</t>
        </is>
      </c>
      <c r="G1044" s="43" t="inlineStr">
        <is>
          <t>03613</t>
        </is>
      </c>
      <c r="H1044" s="43" t="inlineStr">
        <is>
          <t>036</t>
        </is>
      </c>
      <c r="I1044" s="43" t="inlineStr">
        <is>
          <t>13</t>
        </is>
      </c>
      <c r="J1044" s="222" t="n">
        <v>405</v>
      </c>
      <c r="K1044" s="222" t="n">
        <v>1370</v>
      </c>
      <c r="L1044" s="43" t="inlineStr">
        <is>
          <t>在来・204</t>
        </is>
      </c>
      <c r="M1044" s="178" t="b">
        <v>1</v>
      </c>
      <c r="N1044" s="43" t="inlineStr">
        <is>
          <t>カタログ個別可否確認済み</t>
        </is>
      </c>
      <c r="O1044" s="222" t="n">
        <v>149</v>
      </c>
      <c r="P1044" s="222" t="n">
        <v>147</v>
      </c>
      <c r="Q1044" s="43" t="inlineStr">
        <is>
          <t>202604_LIXIL_サーモスＬ_業務用資料集_完成品価格表.pdf</t>
        </is>
      </c>
      <c r="R1044" s="43" t="inlineStr">
        <is>
          <t>規格呼称は親品種で確認済み。固有仕様ごとの価格設定有無（＿＿表示等）は次QAで最終確定。</t>
        </is>
      </c>
      <c r="S1044" s="42" t="inlineStr">
        <is>
          <t>無印</t>
        </is>
      </c>
      <c r="T1044" s="42" t="n">
        <v>147</v>
      </c>
      <c r="U1044" s="42" t="inlineStr">
        <is>
          <t>P147|無印</t>
        </is>
      </c>
      <c r="V1044" s="42" t="inlineStr">
        <is>
          <t>同頁凡例へ直接連動</t>
        </is>
      </c>
    </row>
    <row r="1045">
      <c r="A1045" s="43" t="inlineStr">
        <is>
          <t>SZ-SL-001042</t>
        </is>
      </c>
      <c r="B1045" s="43" t="inlineStr">
        <is>
          <t>SER-LIX-SAMOSL</t>
        </is>
      </c>
      <c r="C1045" s="43" t="inlineStr">
        <is>
          <t>WT-SL-MENKOSHI-AGE-FS</t>
        </is>
      </c>
      <c r="D1045" s="43" t="inlineStr">
        <is>
          <t>面格子付上げ下げ窓FS</t>
        </is>
      </c>
      <c r="E1045" s="43" t="inlineStr">
        <is>
          <t>SP-SL-AGE-GRILLE-V</t>
        </is>
      </c>
      <c r="F1045" s="43" t="inlineStr">
        <is>
          <t>在来・204</t>
        </is>
      </c>
      <c r="G1045" s="43" t="inlineStr">
        <is>
          <t>06013</t>
        </is>
      </c>
      <c r="H1045" s="43" t="inlineStr">
        <is>
          <t>060</t>
        </is>
      </c>
      <c r="I1045" s="43" t="inlineStr">
        <is>
          <t>13</t>
        </is>
      </c>
      <c r="J1045" s="222" t="n">
        <v>640</v>
      </c>
      <c r="K1045" s="222" t="n">
        <v>1370</v>
      </c>
      <c r="L1045" s="43" t="inlineStr">
        <is>
          <t>在来・204</t>
        </is>
      </c>
      <c r="M1045" s="178" t="b">
        <v>1</v>
      </c>
      <c r="N1045" s="43" t="inlineStr">
        <is>
          <t>カタログ個別可否確認済み</t>
        </is>
      </c>
      <c r="O1045" s="222" t="n">
        <v>149</v>
      </c>
      <c r="P1045" s="222" t="n">
        <v>147</v>
      </c>
      <c r="Q1045" s="43" t="inlineStr">
        <is>
          <t>202604_LIXIL_サーモスＬ_業務用資料集_完成品価格表.pdf</t>
        </is>
      </c>
      <c r="R1045" s="43" t="inlineStr">
        <is>
          <t>規格呼称は親品種で確認済み。固有仕様ごとの価格設定有無（＿＿表示等）は次QAで最終確定。</t>
        </is>
      </c>
      <c r="S1045" s="42" t="inlineStr">
        <is>
          <t>無印</t>
        </is>
      </c>
      <c r="T1045" s="42" t="n">
        <v>147</v>
      </c>
      <c r="U1045" s="42" t="inlineStr">
        <is>
          <t>P147|無印</t>
        </is>
      </c>
      <c r="V1045" s="42" t="inlineStr">
        <is>
          <t>同頁凡例へ直接連動</t>
        </is>
      </c>
    </row>
    <row r="1046">
      <c r="A1046" s="43" t="inlineStr">
        <is>
          <t>SZ-SL-001043</t>
        </is>
      </c>
      <c r="B1046" s="43" t="inlineStr">
        <is>
          <t>SER-LIX-SAMOSL</t>
        </is>
      </c>
      <c r="C1046" s="43" t="inlineStr">
        <is>
          <t>WT-SL-MENKOSHI-AGE-FS</t>
        </is>
      </c>
      <c r="D1046" s="43" t="inlineStr">
        <is>
          <t>面格子付上げ下げ窓FS</t>
        </is>
      </c>
      <c r="E1046" s="43" t="inlineStr">
        <is>
          <t>SP-SL-AGE-GRILLE-V</t>
        </is>
      </c>
      <c r="F1046" s="43" t="inlineStr">
        <is>
          <t>在来・204</t>
        </is>
      </c>
      <c r="G1046" s="43" t="inlineStr">
        <is>
          <t>06913</t>
        </is>
      </c>
      <c r="H1046" s="43" t="inlineStr">
        <is>
          <t>069</t>
        </is>
      </c>
      <c r="I1046" s="43" t="inlineStr">
        <is>
          <t>13</t>
        </is>
      </c>
      <c r="J1046" s="222" t="n">
        <v>730</v>
      </c>
      <c r="K1046" s="222" t="n">
        <v>1370</v>
      </c>
      <c r="L1046" s="43" t="inlineStr">
        <is>
          <t>在来・204</t>
        </is>
      </c>
      <c r="M1046" s="178" t="b">
        <v>1</v>
      </c>
      <c r="N1046" s="43" t="inlineStr">
        <is>
          <t>カタログ個別可否確認済み</t>
        </is>
      </c>
      <c r="O1046" s="222" t="n">
        <v>149</v>
      </c>
      <c r="P1046" s="222" t="n">
        <v>147</v>
      </c>
      <c r="Q1046" s="43" t="inlineStr">
        <is>
          <t>202604_LIXIL_サーモスＬ_業務用資料集_完成品価格表.pdf</t>
        </is>
      </c>
      <c r="R1046" s="43" t="inlineStr">
        <is>
          <t>規格呼称は親品種で確認済み。固有仕様ごとの価格設定有無（＿＿表示等）は次QAで最終確定。</t>
        </is>
      </c>
      <c r="S1046" s="42" t="inlineStr">
        <is>
          <t>無印</t>
        </is>
      </c>
      <c r="T1046" s="42" t="n">
        <v>147</v>
      </c>
      <c r="U1046" s="42" t="inlineStr">
        <is>
          <t>P147|無印</t>
        </is>
      </c>
      <c r="V1046" s="42" t="inlineStr">
        <is>
          <t>同頁凡例へ直接連動</t>
        </is>
      </c>
    </row>
    <row r="1047">
      <c r="A1047" s="43" t="inlineStr">
        <is>
          <t>SZ-SL-001044</t>
        </is>
      </c>
      <c r="B1047" s="43" t="inlineStr">
        <is>
          <t>SER-LIX-SAMOSL</t>
        </is>
      </c>
      <c r="C1047" s="43" t="inlineStr">
        <is>
          <t>WT-SL-MENKOSHI-AGE-FS</t>
        </is>
      </c>
      <c r="D1047" s="43" t="inlineStr">
        <is>
          <t>面格子付上げ下げ窓FS</t>
        </is>
      </c>
      <c r="E1047" s="43" t="inlineStr">
        <is>
          <t>SP-SL-AGE-GRILLE-V</t>
        </is>
      </c>
      <c r="F1047" s="43" t="inlineStr">
        <is>
          <t>在来・204</t>
        </is>
      </c>
      <c r="G1047" s="43" t="inlineStr">
        <is>
          <t>07413</t>
        </is>
      </c>
      <c r="H1047" s="43" t="inlineStr">
        <is>
          <t>074</t>
        </is>
      </c>
      <c r="I1047" s="43" t="inlineStr">
        <is>
          <t>13</t>
        </is>
      </c>
      <c r="J1047" s="222" t="n">
        <v>780</v>
      </c>
      <c r="K1047" s="222" t="n">
        <v>1370</v>
      </c>
      <c r="L1047" s="43" t="inlineStr">
        <is>
          <t>在来・204</t>
        </is>
      </c>
      <c r="M1047" s="178" t="b">
        <v>1</v>
      </c>
      <c r="N1047" s="43" t="inlineStr">
        <is>
          <t>カタログ個別可否確認済み</t>
        </is>
      </c>
      <c r="O1047" s="222" t="n">
        <v>149</v>
      </c>
      <c r="P1047" s="222" t="n">
        <v>147</v>
      </c>
      <c r="Q1047" s="43" t="inlineStr">
        <is>
          <t>202604_LIXIL_サーモスＬ_業務用資料集_完成品価格表.pdf</t>
        </is>
      </c>
      <c r="R1047" s="43" t="inlineStr">
        <is>
          <t>規格呼称は親品種で確認済み。固有仕様ごとの価格設定有無（＿＿表示等）は次QAで最終確定。</t>
        </is>
      </c>
      <c r="S1047" s="42" t="inlineStr">
        <is>
          <t>無印</t>
        </is>
      </c>
      <c r="T1047" s="42" t="n">
        <v>147</v>
      </c>
      <c r="U1047" s="42" t="inlineStr">
        <is>
          <t>P147|無印</t>
        </is>
      </c>
      <c r="V1047" s="42" t="inlineStr">
        <is>
          <t>同頁凡例へ直接連動</t>
        </is>
      </c>
    </row>
    <row r="1048">
      <c r="A1048" s="43" t="inlineStr">
        <is>
          <t>SZ-SL-001045</t>
        </is>
      </c>
      <c r="B1048" s="43" t="inlineStr">
        <is>
          <t>SER-LIX-SAMOSL</t>
        </is>
      </c>
      <c r="C1048" s="43" t="inlineStr">
        <is>
          <t>WT-SL-FIX-OUT</t>
        </is>
      </c>
      <c r="D1048" s="43" t="inlineStr">
        <is>
          <t>FIX窓（外押縁タイプ）</t>
        </is>
      </c>
      <c r="E1048" s="43" t="n"/>
      <c r="F1048" s="43" t="inlineStr">
        <is>
          <t>在来・204</t>
        </is>
      </c>
      <c r="G1048" s="43" t="inlineStr">
        <is>
          <t>016013</t>
        </is>
      </c>
      <c r="H1048" s="43" t="inlineStr">
        <is>
          <t>016</t>
        </is>
      </c>
      <c r="I1048" s="43" t="inlineStr">
        <is>
          <t>013</t>
        </is>
      </c>
      <c r="J1048" s="222" t="n">
        <v>200</v>
      </c>
      <c r="K1048" s="222" t="n">
        <v>200</v>
      </c>
      <c r="L1048" s="43" t="inlineStr">
        <is>
          <t>在来・204｜マド①</t>
        </is>
      </c>
      <c r="M1048" s="178" t="b">
        <v>1</v>
      </c>
      <c r="N1048" s="43" t="inlineStr">
        <is>
          <t>カタログ規格確認済み</t>
        </is>
      </c>
      <c r="O1048" s="222" t="n">
        <v>150</v>
      </c>
      <c r="P1048" s="222" t="n">
        <v>148</v>
      </c>
      <c r="Q1048" s="43" t="inlineStr">
        <is>
          <t>202604_LIXIL_サーモスＬ_業務用資料集_完成品価格表.pdf</t>
        </is>
      </c>
      <c r="R1048" s="43" t="n"/>
      <c r="S1048" s="42" t="inlineStr">
        <is>
          <t>無印</t>
        </is>
      </c>
      <c r="T1048" s="42" t="n">
        <v>149</v>
      </c>
      <c r="U1048" s="42" t="inlineStr">
        <is>
          <t>P149|無印</t>
        </is>
      </c>
      <c r="V1048" s="42" t="inlineStr">
        <is>
          <t>同一価格表・次頁凡例を継承</t>
        </is>
      </c>
    </row>
    <row r="1049">
      <c r="A1049" s="43" t="inlineStr">
        <is>
          <t>SZ-SL-001046</t>
        </is>
      </c>
      <c r="B1049" s="43" t="inlineStr">
        <is>
          <t>SER-LIX-SAMOSL</t>
        </is>
      </c>
      <c r="C1049" s="43" t="inlineStr">
        <is>
          <t>WT-SL-FIX-OUT</t>
        </is>
      </c>
      <c r="D1049" s="43" t="inlineStr">
        <is>
          <t>FIX窓（外押縁タイプ）</t>
        </is>
      </c>
      <c r="E1049" s="43" t="n"/>
      <c r="F1049" s="43" t="inlineStr">
        <is>
          <t>在来・204</t>
        </is>
      </c>
      <c r="G1049" s="43" t="inlineStr">
        <is>
          <t>021018</t>
        </is>
      </c>
      <c r="H1049" s="43" t="inlineStr">
        <is>
          <t>021</t>
        </is>
      </c>
      <c r="I1049" s="43" t="inlineStr">
        <is>
          <t>018</t>
        </is>
      </c>
      <c r="J1049" s="222" t="n">
        <v>250</v>
      </c>
      <c r="K1049" s="222" t="n">
        <v>250</v>
      </c>
      <c r="L1049" s="43" t="inlineStr">
        <is>
          <t>在来・204｜マド①</t>
        </is>
      </c>
      <c r="M1049" s="178" t="b">
        <v>1</v>
      </c>
      <c r="N1049" s="43" t="inlineStr">
        <is>
          <t>カタログ規格確認済み</t>
        </is>
      </c>
      <c r="O1049" s="222" t="n">
        <v>150</v>
      </c>
      <c r="P1049" s="222" t="n">
        <v>148</v>
      </c>
      <c r="Q1049" s="43" t="inlineStr">
        <is>
          <t>202604_LIXIL_サーモスＬ_業務用資料集_完成品価格表.pdf</t>
        </is>
      </c>
      <c r="R1049" s="43" t="n"/>
      <c r="S1049" s="42" t="inlineStr">
        <is>
          <t>無印</t>
        </is>
      </c>
      <c r="T1049" s="42" t="n">
        <v>149</v>
      </c>
      <c r="U1049" s="42" t="inlineStr">
        <is>
          <t>P149|無印</t>
        </is>
      </c>
      <c r="V1049" s="42" t="inlineStr">
        <is>
          <t>同一価格表・次頁凡例を継承</t>
        </is>
      </c>
    </row>
    <row r="1050">
      <c r="A1050" s="43" t="inlineStr">
        <is>
          <t>SZ-SL-001047</t>
        </is>
      </c>
      <c r="B1050" s="43" t="inlineStr">
        <is>
          <t>SER-LIX-SAMOSL</t>
        </is>
      </c>
      <c r="C1050" s="43" t="inlineStr">
        <is>
          <t>WT-SL-FIX-OUT</t>
        </is>
      </c>
      <c r="D1050" s="43" t="inlineStr">
        <is>
          <t>FIX窓（外押縁タイプ）</t>
        </is>
      </c>
      <c r="E1050" s="43" t="n"/>
      <c r="F1050" s="43" t="inlineStr">
        <is>
          <t>在来・204</t>
        </is>
      </c>
      <c r="G1050" s="43" t="inlineStr">
        <is>
          <t>026023</t>
        </is>
      </c>
      <c r="H1050" s="43" t="inlineStr">
        <is>
          <t>026</t>
        </is>
      </c>
      <c r="I1050" s="43" t="inlineStr">
        <is>
          <t>023</t>
        </is>
      </c>
      <c r="J1050" s="222" t="n">
        <v>300</v>
      </c>
      <c r="K1050" s="222" t="n">
        <v>300</v>
      </c>
      <c r="L1050" s="43" t="inlineStr">
        <is>
          <t>在来・204｜マド①</t>
        </is>
      </c>
      <c r="M1050" s="178" t="b">
        <v>1</v>
      </c>
      <c r="N1050" s="43" t="inlineStr">
        <is>
          <t>カタログ規格確認済み</t>
        </is>
      </c>
      <c r="O1050" s="222" t="n">
        <v>150</v>
      </c>
      <c r="P1050" s="222" t="n">
        <v>148</v>
      </c>
      <c r="Q1050" s="43" t="inlineStr">
        <is>
          <t>202604_LIXIL_サーモスＬ_業務用資料集_完成品価格表.pdf</t>
        </is>
      </c>
      <c r="R1050" s="43" t="n"/>
      <c r="S1050" s="42" t="inlineStr">
        <is>
          <t>無印</t>
        </is>
      </c>
      <c r="T1050" s="42" t="n">
        <v>149</v>
      </c>
      <c r="U1050" s="42" t="inlineStr">
        <is>
          <t>P149|無印</t>
        </is>
      </c>
      <c r="V1050" s="42" t="inlineStr">
        <is>
          <t>同一価格表・次頁凡例を継承</t>
        </is>
      </c>
    </row>
    <row r="1051">
      <c r="A1051" s="43" t="inlineStr">
        <is>
          <t>SZ-SL-001048</t>
        </is>
      </c>
      <c r="B1051" s="43" t="inlineStr">
        <is>
          <t>SER-LIX-SAMOSL</t>
        </is>
      </c>
      <c r="C1051" s="43" t="inlineStr">
        <is>
          <t>WT-SL-FIX-OUT</t>
        </is>
      </c>
      <c r="D1051" s="43" t="inlineStr">
        <is>
          <t>FIX窓（外押縁タイプ）</t>
        </is>
      </c>
      <c r="E1051" s="43" t="n"/>
      <c r="F1051" s="43" t="inlineStr">
        <is>
          <t>在来・204</t>
        </is>
      </c>
      <c r="G1051" s="43" t="inlineStr">
        <is>
          <t>031028</t>
        </is>
      </c>
      <c r="H1051" s="43" t="inlineStr">
        <is>
          <t>031</t>
        </is>
      </c>
      <c r="I1051" s="43" t="inlineStr">
        <is>
          <t>028</t>
        </is>
      </c>
      <c r="J1051" s="222" t="n">
        <v>350</v>
      </c>
      <c r="K1051" s="222" t="n">
        <v>350</v>
      </c>
      <c r="L1051" s="43" t="inlineStr">
        <is>
          <t>在来・204｜マド①</t>
        </is>
      </c>
      <c r="M1051" s="178" t="b">
        <v>1</v>
      </c>
      <c r="N1051" s="43" t="inlineStr">
        <is>
          <t>カタログ規格確認済み</t>
        </is>
      </c>
      <c r="O1051" s="222" t="n">
        <v>151</v>
      </c>
      <c r="P1051" s="222" t="n">
        <v>149</v>
      </c>
      <c r="Q1051" s="43" t="inlineStr">
        <is>
          <t>202604_LIXIL_サーモスＬ_業務用資料集_完成品価格表.pdf</t>
        </is>
      </c>
      <c r="R1051" s="43" t="n"/>
      <c r="S1051" s="42" t="inlineStr">
        <is>
          <t>無印</t>
        </is>
      </c>
      <c r="T1051" s="42" t="n">
        <v>149</v>
      </c>
      <c r="U1051" s="42" t="inlineStr">
        <is>
          <t>P149|無印</t>
        </is>
      </c>
      <c r="V1051" s="42" t="inlineStr">
        <is>
          <t>同頁凡例へ直接連動</t>
        </is>
      </c>
    </row>
    <row r="1052">
      <c r="A1052" s="43" t="inlineStr">
        <is>
          <t>SZ-SL-001049</t>
        </is>
      </c>
      <c r="B1052" s="43" t="inlineStr">
        <is>
          <t>SER-LIX-SAMOSL</t>
        </is>
      </c>
      <c r="C1052" s="43" t="inlineStr">
        <is>
          <t>WT-SL-FIX-OUT</t>
        </is>
      </c>
      <c r="D1052" s="43" t="inlineStr">
        <is>
          <t>FIX窓（外押縁タイプ）</t>
        </is>
      </c>
      <c r="E1052" s="43" t="n"/>
      <c r="F1052" s="43" t="inlineStr">
        <is>
          <t>在来・204</t>
        </is>
      </c>
      <c r="G1052" s="43" t="inlineStr">
        <is>
          <t>03603</t>
        </is>
      </c>
      <c r="H1052" s="43" t="inlineStr">
        <is>
          <t>036</t>
        </is>
      </c>
      <c r="I1052" s="43" t="inlineStr">
        <is>
          <t>03</t>
        </is>
      </c>
      <c r="J1052" s="222" t="n">
        <v>405</v>
      </c>
      <c r="K1052" s="222" t="n">
        <v>370</v>
      </c>
      <c r="L1052" s="43" t="inlineStr">
        <is>
          <t>在来・204｜マド①</t>
        </is>
      </c>
      <c r="M1052" s="178" t="b">
        <v>1</v>
      </c>
      <c r="N1052" s="43" t="inlineStr">
        <is>
          <t>カタログ規格確認済み</t>
        </is>
      </c>
      <c r="O1052" s="222" t="n">
        <v>151</v>
      </c>
      <c r="P1052" s="222" t="n">
        <v>149</v>
      </c>
      <c r="Q1052" s="43" t="inlineStr">
        <is>
          <t>202604_LIXIL_サーモスＬ_業務用資料集_完成品価格表.pdf</t>
        </is>
      </c>
      <c r="R1052" s="43" t="n"/>
      <c r="S1052" s="42" t="inlineStr">
        <is>
          <t>無印</t>
        </is>
      </c>
      <c r="T1052" s="42" t="n">
        <v>149</v>
      </c>
      <c r="U1052" s="42" t="inlineStr">
        <is>
          <t>P149|無印</t>
        </is>
      </c>
      <c r="V1052" s="42" t="inlineStr">
        <is>
          <t>同頁凡例へ直接連動</t>
        </is>
      </c>
    </row>
    <row r="1053">
      <c r="A1053" s="43" t="inlineStr">
        <is>
          <t>SZ-SL-001050</t>
        </is>
      </c>
      <c r="B1053" s="43" t="inlineStr">
        <is>
          <t>SER-LIX-SAMOSL</t>
        </is>
      </c>
      <c r="C1053" s="43" t="inlineStr">
        <is>
          <t>WT-SL-FIX-OUT</t>
        </is>
      </c>
      <c r="D1053" s="43" t="inlineStr">
        <is>
          <t>FIX窓（外押縁タイプ）</t>
        </is>
      </c>
      <c r="E1053" s="43" t="n"/>
      <c r="F1053" s="43" t="inlineStr">
        <is>
          <t>在来・204</t>
        </is>
      </c>
      <c r="G1053" s="43" t="inlineStr">
        <is>
          <t>036033</t>
        </is>
      </c>
      <c r="H1053" s="43" t="inlineStr">
        <is>
          <t>036</t>
        </is>
      </c>
      <c r="I1053" s="43" t="inlineStr">
        <is>
          <t>033</t>
        </is>
      </c>
      <c r="J1053" s="222" t="n">
        <v>405</v>
      </c>
      <c r="K1053" s="222" t="n">
        <v>405</v>
      </c>
      <c r="L1053" s="43" t="inlineStr">
        <is>
          <t>在来・204｜マド①</t>
        </is>
      </c>
      <c r="M1053" s="178" t="b">
        <v>1</v>
      </c>
      <c r="N1053" s="43" t="inlineStr">
        <is>
          <t>カタログ規格確認済み</t>
        </is>
      </c>
      <c r="O1053" s="222" t="n">
        <v>151</v>
      </c>
      <c r="P1053" s="222" t="n">
        <v>149</v>
      </c>
      <c r="Q1053" s="43" t="inlineStr">
        <is>
          <t>202604_LIXIL_サーモスＬ_業務用資料集_完成品価格表.pdf</t>
        </is>
      </c>
      <c r="R1053" s="43" t="n"/>
      <c r="S1053" s="42" t="inlineStr">
        <is>
          <t>無印</t>
        </is>
      </c>
      <c r="T1053" s="42" t="n">
        <v>149</v>
      </c>
      <c r="U1053" s="42" t="inlineStr">
        <is>
          <t>P149|無印</t>
        </is>
      </c>
      <c r="V1053" s="42" t="inlineStr">
        <is>
          <t>同頁凡例へ直接連動</t>
        </is>
      </c>
    </row>
    <row r="1054">
      <c r="A1054" s="43" t="inlineStr">
        <is>
          <t>SZ-SL-001051</t>
        </is>
      </c>
      <c r="B1054" s="43" t="inlineStr">
        <is>
          <t>SER-LIX-SAMOSL</t>
        </is>
      </c>
      <c r="C1054" s="43" t="inlineStr">
        <is>
          <t>WT-SL-FIX-OUT</t>
        </is>
      </c>
      <c r="D1054" s="43" t="inlineStr">
        <is>
          <t>FIX窓（外押縁タイプ）</t>
        </is>
      </c>
      <c r="E1054" s="43" t="n"/>
      <c r="F1054" s="43" t="inlineStr">
        <is>
          <t>在来・204</t>
        </is>
      </c>
      <c r="G1054" s="43" t="inlineStr">
        <is>
          <t>06003</t>
        </is>
      </c>
      <c r="H1054" s="43" t="inlineStr">
        <is>
          <t>060</t>
        </is>
      </c>
      <c r="I1054" s="43" t="inlineStr">
        <is>
          <t>03</t>
        </is>
      </c>
      <c r="J1054" s="222" t="n">
        <v>640</v>
      </c>
      <c r="K1054" s="222" t="n">
        <v>370</v>
      </c>
      <c r="L1054" s="43" t="inlineStr">
        <is>
          <t>在来・204｜マド①</t>
        </is>
      </c>
      <c r="M1054" s="178" t="b">
        <v>1</v>
      </c>
      <c r="N1054" s="43" t="inlineStr">
        <is>
          <t>カタログ規格確認済み</t>
        </is>
      </c>
      <c r="O1054" s="222" t="n">
        <v>151</v>
      </c>
      <c r="P1054" s="222" t="n">
        <v>149</v>
      </c>
      <c r="Q1054" s="43" t="inlineStr">
        <is>
          <t>202604_LIXIL_サーモスＬ_業務用資料集_完成品価格表.pdf</t>
        </is>
      </c>
      <c r="R1054" s="43" t="n"/>
      <c r="S1054" s="42" t="inlineStr">
        <is>
          <t>無印</t>
        </is>
      </c>
      <c r="T1054" s="42" t="n">
        <v>149</v>
      </c>
      <c r="U1054" s="42" t="inlineStr">
        <is>
          <t>P149|無印</t>
        </is>
      </c>
      <c r="V1054" s="42" t="inlineStr">
        <is>
          <t>同頁凡例へ直接連動</t>
        </is>
      </c>
    </row>
    <row r="1055">
      <c r="A1055" s="43" t="inlineStr">
        <is>
          <t>SZ-SL-001052</t>
        </is>
      </c>
      <c r="B1055" s="43" t="inlineStr">
        <is>
          <t>SER-LIX-SAMOSL</t>
        </is>
      </c>
      <c r="C1055" s="43" t="inlineStr">
        <is>
          <t>WT-SL-FIX-OUT</t>
        </is>
      </c>
      <c r="D1055" s="43" t="inlineStr">
        <is>
          <t>FIX窓（外押縁タイプ）</t>
        </is>
      </c>
      <c r="E1055" s="43" t="n"/>
      <c r="F1055" s="43" t="inlineStr">
        <is>
          <t>在来・204</t>
        </is>
      </c>
      <c r="G1055" s="43" t="inlineStr">
        <is>
          <t>069018</t>
        </is>
      </c>
      <c r="H1055" s="43" t="inlineStr">
        <is>
          <t>069</t>
        </is>
      </c>
      <c r="I1055" s="43" t="inlineStr">
        <is>
          <t>018</t>
        </is>
      </c>
      <c r="J1055" s="222" t="n">
        <v>730</v>
      </c>
      <c r="K1055" s="222" t="n">
        <v>250</v>
      </c>
      <c r="L1055" s="43" t="inlineStr">
        <is>
          <t>在来・204｜マド②</t>
        </is>
      </c>
      <c r="M1055" s="178" t="b">
        <v>1</v>
      </c>
      <c r="N1055" s="43" t="inlineStr">
        <is>
          <t>カタログ規格確認済み</t>
        </is>
      </c>
      <c r="O1055" s="222" t="n">
        <v>152</v>
      </c>
      <c r="P1055" s="222" t="n">
        <v>150</v>
      </c>
      <c r="Q1055" s="43" t="inlineStr">
        <is>
          <t>202604_LIXIL_サーモスＬ_業務用資料集_完成品価格表.pdf</t>
        </is>
      </c>
      <c r="R1055" s="43" t="n"/>
      <c r="S1055" s="42" t="inlineStr">
        <is>
          <t>無印</t>
        </is>
      </c>
      <c r="T1055" s="42" t="n">
        <v>151</v>
      </c>
      <c r="U1055" s="42" t="inlineStr">
        <is>
          <t>P151|無印</t>
        </is>
      </c>
      <c r="V1055" s="42" t="inlineStr">
        <is>
          <t>同一価格表・次頁凡例を継承</t>
        </is>
      </c>
    </row>
    <row r="1056">
      <c r="A1056" s="43" t="inlineStr">
        <is>
          <t>SZ-SL-001053</t>
        </is>
      </c>
      <c r="B1056" s="43" t="inlineStr">
        <is>
          <t>SER-LIX-SAMOSL</t>
        </is>
      </c>
      <c r="C1056" s="43" t="inlineStr">
        <is>
          <t>WT-SL-FIX-OUT</t>
        </is>
      </c>
      <c r="D1056" s="43" t="inlineStr">
        <is>
          <t>FIX窓（外押縁タイプ）</t>
        </is>
      </c>
      <c r="E1056" s="43" t="n"/>
      <c r="F1056" s="43" t="inlineStr">
        <is>
          <t>在来・204</t>
        </is>
      </c>
      <c r="G1056" s="43" t="inlineStr">
        <is>
          <t>069023</t>
        </is>
      </c>
      <c r="H1056" s="43" t="inlineStr">
        <is>
          <t>069</t>
        </is>
      </c>
      <c r="I1056" s="43" t="inlineStr">
        <is>
          <t>023</t>
        </is>
      </c>
      <c r="J1056" s="222" t="n">
        <v>730</v>
      </c>
      <c r="K1056" s="222" t="n">
        <v>300</v>
      </c>
      <c r="L1056" s="43" t="inlineStr">
        <is>
          <t>在来・204｜マド②</t>
        </is>
      </c>
      <c r="M1056" s="178" t="b">
        <v>1</v>
      </c>
      <c r="N1056" s="43" t="inlineStr">
        <is>
          <t>カタログ規格確認済み</t>
        </is>
      </c>
      <c r="O1056" s="222" t="n">
        <v>152</v>
      </c>
      <c r="P1056" s="222" t="n">
        <v>150</v>
      </c>
      <c r="Q1056" s="43" t="inlineStr">
        <is>
          <t>202604_LIXIL_サーモスＬ_業務用資料集_完成品価格表.pdf</t>
        </is>
      </c>
      <c r="R1056" s="43" t="n"/>
      <c r="S1056" s="42" t="inlineStr">
        <is>
          <t>無印</t>
        </is>
      </c>
      <c r="T1056" s="42" t="n">
        <v>151</v>
      </c>
      <c r="U1056" s="42" t="inlineStr">
        <is>
          <t>P151|無印</t>
        </is>
      </c>
      <c r="V1056" s="42" t="inlineStr">
        <is>
          <t>同一価格表・次頁凡例を継承</t>
        </is>
      </c>
    </row>
    <row r="1057">
      <c r="A1057" s="43" t="inlineStr">
        <is>
          <t>SZ-SL-001054</t>
        </is>
      </c>
      <c r="B1057" s="43" t="inlineStr">
        <is>
          <t>SER-LIX-SAMOSL</t>
        </is>
      </c>
      <c r="C1057" s="43" t="inlineStr">
        <is>
          <t>WT-SL-FIX-OUT</t>
        </is>
      </c>
      <c r="D1057" s="43" t="inlineStr">
        <is>
          <t>FIX窓（外押縁タイプ）</t>
        </is>
      </c>
      <c r="E1057" s="43" t="n"/>
      <c r="F1057" s="43" t="inlineStr">
        <is>
          <t>在来・204</t>
        </is>
      </c>
      <c r="G1057" s="43" t="inlineStr">
        <is>
          <t>069028</t>
        </is>
      </c>
      <c r="H1057" s="43" t="inlineStr">
        <is>
          <t>069</t>
        </is>
      </c>
      <c r="I1057" s="43" t="inlineStr">
        <is>
          <t>028</t>
        </is>
      </c>
      <c r="J1057" s="222" t="n">
        <v>730</v>
      </c>
      <c r="K1057" s="222" t="n">
        <v>350</v>
      </c>
      <c r="L1057" s="43" t="inlineStr">
        <is>
          <t>在来・204｜マド②</t>
        </is>
      </c>
      <c r="M1057" s="178" t="b">
        <v>1</v>
      </c>
      <c r="N1057" s="43" t="inlineStr">
        <is>
          <t>カタログ規格確認済み</t>
        </is>
      </c>
      <c r="O1057" s="222" t="n">
        <v>152</v>
      </c>
      <c r="P1057" s="222" t="n">
        <v>150</v>
      </c>
      <c r="Q1057" s="43" t="inlineStr">
        <is>
          <t>202604_LIXIL_サーモスＬ_業務用資料集_完成品価格表.pdf</t>
        </is>
      </c>
      <c r="R1057" s="43" t="n"/>
      <c r="S1057" s="42" t="inlineStr">
        <is>
          <t>無印</t>
        </is>
      </c>
      <c r="T1057" s="42" t="n">
        <v>151</v>
      </c>
      <c r="U1057" s="42" t="inlineStr">
        <is>
          <t>P151|無印</t>
        </is>
      </c>
      <c r="V1057" s="42" t="inlineStr">
        <is>
          <t>同一価格表・次頁凡例を継承</t>
        </is>
      </c>
    </row>
    <row r="1058">
      <c r="A1058" s="43" t="inlineStr">
        <is>
          <t>SZ-SL-001055</t>
        </is>
      </c>
      <c r="B1058" s="43" t="inlineStr">
        <is>
          <t>SER-LIX-SAMOSL</t>
        </is>
      </c>
      <c r="C1058" s="43" t="inlineStr">
        <is>
          <t>WT-SL-FIX-OUT</t>
        </is>
      </c>
      <c r="D1058" s="43" t="inlineStr">
        <is>
          <t>FIX窓（外押縁タイプ）</t>
        </is>
      </c>
      <c r="E1058" s="43" t="n"/>
      <c r="F1058" s="43" t="inlineStr">
        <is>
          <t>在来・204</t>
        </is>
      </c>
      <c r="G1058" s="43" t="inlineStr">
        <is>
          <t>074018</t>
        </is>
      </c>
      <c r="H1058" s="43" t="inlineStr">
        <is>
          <t>074</t>
        </is>
      </c>
      <c r="I1058" s="43" t="inlineStr">
        <is>
          <t>018</t>
        </is>
      </c>
      <c r="J1058" s="222" t="n">
        <v>780</v>
      </c>
      <c r="K1058" s="222" t="n">
        <v>250</v>
      </c>
      <c r="L1058" s="43" t="inlineStr">
        <is>
          <t>在来・204｜マド②</t>
        </is>
      </c>
      <c r="M1058" s="178" t="b">
        <v>1</v>
      </c>
      <c r="N1058" s="43" t="inlineStr">
        <is>
          <t>カタログ規格確認済み</t>
        </is>
      </c>
      <c r="O1058" s="222" t="n">
        <v>152</v>
      </c>
      <c r="P1058" s="222" t="n">
        <v>150</v>
      </c>
      <c r="Q1058" s="43" t="inlineStr">
        <is>
          <t>202604_LIXIL_サーモスＬ_業務用資料集_完成品価格表.pdf</t>
        </is>
      </c>
      <c r="R1058" s="43" t="n"/>
      <c r="S1058" s="42" t="inlineStr">
        <is>
          <t>無印</t>
        </is>
      </c>
      <c r="T1058" s="42" t="n">
        <v>151</v>
      </c>
      <c r="U1058" s="42" t="inlineStr">
        <is>
          <t>P151|無印</t>
        </is>
      </c>
      <c r="V1058" s="42" t="inlineStr">
        <is>
          <t>同一価格表・次頁凡例を継承</t>
        </is>
      </c>
    </row>
    <row r="1059">
      <c r="A1059" s="43" t="inlineStr">
        <is>
          <t>SZ-SL-001056</t>
        </is>
      </c>
      <c r="B1059" s="43" t="inlineStr">
        <is>
          <t>SER-LIX-SAMOSL</t>
        </is>
      </c>
      <c r="C1059" s="43" t="inlineStr">
        <is>
          <t>WT-SL-FIX-OUT</t>
        </is>
      </c>
      <c r="D1059" s="43" t="inlineStr">
        <is>
          <t>FIX窓（外押縁タイプ）</t>
        </is>
      </c>
      <c r="E1059" s="43" t="n"/>
      <c r="F1059" s="43" t="inlineStr">
        <is>
          <t>在来・204</t>
        </is>
      </c>
      <c r="G1059" s="43" t="inlineStr">
        <is>
          <t>074023</t>
        </is>
      </c>
      <c r="H1059" s="43" t="inlineStr">
        <is>
          <t>074</t>
        </is>
      </c>
      <c r="I1059" s="43" t="inlineStr">
        <is>
          <t>023</t>
        </is>
      </c>
      <c r="J1059" s="222" t="n">
        <v>780</v>
      </c>
      <c r="K1059" s="222" t="n">
        <v>300</v>
      </c>
      <c r="L1059" s="43" t="inlineStr">
        <is>
          <t>在来・204｜マド②</t>
        </is>
      </c>
      <c r="M1059" s="178" t="b">
        <v>1</v>
      </c>
      <c r="N1059" s="43" t="inlineStr">
        <is>
          <t>カタログ規格確認済み</t>
        </is>
      </c>
      <c r="O1059" s="222" t="n">
        <v>152</v>
      </c>
      <c r="P1059" s="222" t="n">
        <v>150</v>
      </c>
      <c r="Q1059" s="43" t="inlineStr">
        <is>
          <t>202604_LIXIL_サーモスＬ_業務用資料集_完成品価格表.pdf</t>
        </is>
      </c>
      <c r="R1059" s="43" t="n"/>
      <c r="S1059" s="42" t="inlineStr">
        <is>
          <t>無印</t>
        </is>
      </c>
      <c r="T1059" s="42" t="n">
        <v>151</v>
      </c>
      <c r="U1059" s="42" t="inlineStr">
        <is>
          <t>P151|無印</t>
        </is>
      </c>
      <c r="V1059" s="42" t="inlineStr">
        <is>
          <t>同一価格表・次頁凡例を継承</t>
        </is>
      </c>
    </row>
    <row r="1060">
      <c r="A1060" s="43" t="inlineStr">
        <is>
          <t>SZ-SL-001057</t>
        </is>
      </c>
      <c r="B1060" s="43" t="inlineStr">
        <is>
          <t>SER-LIX-SAMOSL</t>
        </is>
      </c>
      <c r="C1060" s="43" t="inlineStr">
        <is>
          <t>WT-SL-FIX-OUT</t>
        </is>
      </c>
      <c r="D1060" s="43" t="inlineStr">
        <is>
          <t>FIX窓（外押縁タイプ）</t>
        </is>
      </c>
      <c r="E1060" s="43" t="n"/>
      <c r="F1060" s="43" t="inlineStr">
        <is>
          <t>在来・204</t>
        </is>
      </c>
      <c r="G1060" s="43" t="inlineStr">
        <is>
          <t>074028</t>
        </is>
      </c>
      <c r="H1060" s="43" t="inlineStr">
        <is>
          <t>074</t>
        </is>
      </c>
      <c r="I1060" s="43" t="inlineStr">
        <is>
          <t>028</t>
        </is>
      </c>
      <c r="J1060" s="222" t="n">
        <v>780</v>
      </c>
      <c r="K1060" s="222" t="n">
        <v>350</v>
      </c>
      <c r="L1060" s="43" t="inlineStr">
        <is>
          <t>在来・204｜マド②</t>
        </is>
      </c>
      <c r="M1060" s="178" t="b">
        <v>1</v>
      </c>
      <c r="N1060" s="43" t="inlineStr">
        <is>
          <t>カタログ規格確認済み</t>
        </is>
      </c>
      <c r="O1060" s="222" t="n">
        <v>152</v>
      </c>
      <c r="P1060" s="222" t="n">
        <v>150</v>
      </c>
      <c r="Q1060" s="43" t="inlineStr">
        <is>
          <t>202604_LIXIL_サーモスＬ_業務用資料集_完成品価格表.pdf</t>
        </is>
      </c>
      <c r="R1060" s="43" t="n"/>
      <c r="S1060" s="42" t="inlineStr">
        <is>
          <t>無印</t>
        </is>
      </c>
      <c r="T1060" s="42" t="n">
        <v>151</v>
      </c>
      <c r="U1060" s="42" t="inlineStr">
        <is>
          <t>P151|無印</t>
        </is>
      </c>
      <c r="V1060" s="42" t="inlineStr">
        <is>
          <t>同一価格表・次頁凡例を継承</t>
        </is>
      </c>
    </row>
    <row r="1061">
      <c r="A1061" s="43" t="inlineStr">
        <is>
          <t>SZ-SL-001058</t>
        </is>
      </c>
      <c r="B1061" s="43" t="inlineStr">
        <is>
          <t>SER-LIX-SAMOSL</t>
        </is>
      </c>
      <c r="C1061" s="43" t="inlineStr">
        <is>
          <t>WT-SL-FIX-OUT</t>
        </is>
      </c>
      <c r="D1061" s="43" t="inlineStr">
        <is>
          <t>FIX窓（外押縁タイプ）</t>
        </is>
      </c>
      <c r="E1061" s="43" t="n"/>
      <c r="F1061" s="43" t="inlineStr">
        <is>
          <t>在来・204</t>
        </is>
      </c>
      <c r="G1061" s="43" t="inlineStr">
        <is>
          <t>07403</t>
        </is>
      </c>
      <c r="H1061" s="43" t="inlineStr">
        <is>
          <t>074</t>
        </is>
      </c>
      <c r="I1061" s="43" t="inlineStr">
        <is>
          <t>03</t>
        </is>
      </c>
      <c r="J1061" s="222" t="n">
        <v>780</v>
      </c>
      <c r="K1061" s="222" t="n">
        <v>370</v>
      </c>
      <c r="L1061" s="43" t="inlineStr">
        <is>
          <t>在来・204｜マド②</t>
        </is>
      </c>
      <c r="M1061" s="178" t="b">
        <v>1</v>
      </c>
      <c r="N1061" s="43" t="inlineStr">
        <is>
          <t>カタログ規格確認済み</t>
        </is>
      </c>
      <c r="O1061" s="222" t="n">
        <v>152</v>
      </c>
      <c r="P1061" s="222" t="n">
        <v>150</v>
      </c>
      <c r="Q1061" s="43" t="inlineStr">
        <is>
          <t>202604_LIXIL_サーモスＬ_業務用資料集_完成品価格表.pdf</t>
        </is>
      </c>
      <c r="R1061" s="43" t="n"/>
      <c r="S1061" s="42" t="inlineStr">
        <is>
          <t>無印</t>
        </is>
      </c>
      <c r="T1061" s="42" t="n">
        <v>151</v>
      </c>
      <c r="U1061" s="42" t="inlineStr">
        <is>
          <t>P151|無印</t>
        </is>
      </c>
      <c r="V1061" s="42" t="inlineStr">
        <is>
          <t>同一価格表・次頁凡例を継承</t>
        </is>
      </c>
    </row>
    <row r="1062">
      <c r="A1062" s="43" t="inlineStr">
        <is>
          <t>SZ-SL-001059</t>
        </is>
      </c>
      <c r="B1062" s="43" t="inlineStr">
        <is>
          <t>SER-LIX-SAMOSL</t>
        </is>
      </c>
      <c r="C1062" s="43" t="inlineStr">
        <is>
          <t>WT-SL-FIX-OUT</t>
        </is>
      </c>
      <c r="D1062" s="43" t="inlineStr">
        <is>
          <t>FIX窓（外押縁タイプ）</t>
        </is>
      </c>
      <c r="E1062" s="43" t="n"/>
      <c r="F1062" s="43" t="inlineStr">
        <is>
          <t>在来・204</t>
        </is>
      </c>
      <c r="G1062" s="43" t="inlineStr">
        <is>
          <t>114018</t>
        </is>
      </c>
      <c r="H1062" s="43" t="inlineStr">
        <is>
          <t>114</t>
        </is>
      </c>
      <c r="I1062" s="43" t="inlineStr">
        <is>
          <t>018</t>
        </is>
      </c>
      <c r="J1062" s="222" t="n">
        <v>1185</v>
      </c>
      <c r="K1062" s="222" t="n">
        <v>250</v>
      </c>
      <c r="L1062" s="43" t="inlineStr">
        <is>
          <t>在来・204｜マド②</t>
        </is>
      </c>
      <c r="M1062" s="178" t="b">
        <v>1</v>
      </c>
      <c r="N1062" s="43" t="inlineStr">
        <is>
          <t>カタログ規格確認済み</t>
        </is>
      </c>
      <c r="O1062" s="222" t="n">
        <v>152</v>
      </c>
      <c r="P1062" s="222" t="n">
        <v>150</v>
      </c>
      <c r="Q1062" s="43" t="inlineStr">
        <is>
          <t>202604_LIXIL_サーモスＬ_業務用資料集_完成品価格表.pdf</t>
        </is>
      </c>
      <c r="R1062" s="43" t="n"/>
      <c r="S1062" s="42" t="inlineStr">
        <is>
          <t>無印</t>
        </is>
      </c>
      <c r="T1062" s="42" t="n">
        <v>151</v>
      </c>
      <c r="U1062" s="42" t="inlineStr">
        <is>
          <t>P151|無印</t>
        </is>
      </c>
      <c r="V1062" s="42" t="inlineStr">
        <is>
          <t>同一価格表・次頁凡例を継承</t>
        </is>
      </c>
    </row>
    <row r="1063">
      <c r="A1063" s="43" t="inlineStr">
        <is>
          <t>SZ-SL-001060</t>
        </is>
      </c>
      <c r="B1063" s="43" t="inlineStr">
        <is>
          <t>SER-LIX-SAMOSL</t>
        </is>
      </c>
      <c r="C1063" s="43" t="inlineStr">
        <is>
          <t>WT-SL-FIX-OUT</t>
        </is>
      </c>
      <c r="D1063" s="43" t="inlineStr">
        <is>
          <t>FIX窓（外押縁タイプ）</t>
        </is>
      </c>
      <c r="E1063" s="43" t="n"/>
      <c r="F1063" s="43" t="inlineStr">
        <is>
          <t>在来・204</t>
        </is>
      </c>
      <c r="G1063" s="43" t="inlineStr">
        <is>
          <t>114023</t>
        </is>
      </c>
      <c r="H1063" s="43" t="inlineStr">
        <is>
          <t>114</t>
        </is>
      </c>
      <c r="I1063" s="43" t="inlineStr">
        <is>
          <t>023</t>
        </is>
      </c>
      <c r="J1063" s="222" t="n">
        <v>1185</v>
      </c>
      <c r="K1063" s="222" t="n">
        <v>300</v>
      </c>
      <c r="L1063" s="43" t="inlineStr">
        <is>
          <t>在来・204｜マド②</t>
        </is>
      </c>
      <c r="M1063" s="178" t="b">
        <v>1</v>
      </c>
      <c r="N1063" s="43" t="inlineStr">
        <is>
          <t>カタログ規格確認済み</t>
        </is>
      </c>
      <c r="O1063" s="222" t="n">
        <v>152</v>
      </c>
      <c r="P1063" s="222" t="n">
        <v>150</v>
      </c>
      <c r="Q1063" s="43" t="inlineStr">
        <is>
          <t>202604_LIXIL_サーモスＬ_業務用資料集_完成品価格表.pdf</t>
        </is>
      </c>
      <c r="R1063" s="43" t="n"/>
      <c r="S1063" s="42" t="inlineStr">
        <is>
          <t>無印</t>
        </is>
      </c>
      <c r="T1063" s="42" t="n">
        <v>151</v>
      </c>
      <c r="U1063" s="42" t="inlineStr">
        <is>
          <t>P151|無印</t>
        </is>
      </c>
      <c r="V1063" s="42" t="inlineStr">
        <is>
          <t>同一価格表・次頁凡例を継承</t>
        </is>
      </c>
    </row>
    <row r="1064">
      <c r="A1064" s="43" t="inlineStr">
        <is>
          <t>SZ-SL-001061</t>
        </is>
      </c>
      <c r="B1064" s="43" t="inlineStr">
        <is>
          <t>SER-LIX-SAMOSL</t>
        </is>
      </c>
      <c r="C1064" s="43" t="inlineStr">
        <is>
          <t>WT-SL-FIX-OUT</t>
        </is>
      </c>
      <c r="D1064" s="43" t="inlineStr">
        <is>
          <t>FIX窓（外押縁タイプ）</t>
        </is>
      </c>
      <c r="E1064" s="43" t="n"/>
      <c r="F1064" s="43" t="inlineStr">
        <is>
          <t>在来・204</t>
        </is>
      </c>
      <c r="G1064" s="43" t="inlineStr">
        <is>
          <t>114028</t>
        </is>
      </c>
      <c r="H1064" s="43" t="inlineStr">
        <is>
          <t>114</t>
        </is>
      </c>
      <c r="I1064" s="43" t="inlineStr">
        <is>
          <t>028</t>
        </is>
      </c>
      <c r="J1064" s="222" t="n">
        <v>1185</v>
      </c>
      <c r="K1064" s="222" t="n">
        <v>350</v>
      </c>
      <c r="L1064" s="43" t="inlineStr">
        <is>
          <t>在来・204｜マド②</t>
        </is>
      </c>
      <c r="M1064" s="178" t="b">
        <v>1</v>
      </c>
      <c r="N1064" s="43" t="inlineStr">
        <is>
          <t>カタログ規格確認済み</t>
        </is>
      </c>
      <c r="O1064" s="222" t="n">
        <v>152</v>
      </c>
      <c r="P1064" s="222" t="n">
        <v>150</v>
      </c>
      <c r="Q1064" s="43" t="inlineStr">
        <is>
          <t>202604_LIXIL_サーモスＬ_業務用資料集_完成品価格表.pdf</t>
        </is>
      </c>
      <c r="R1064" s="43" t="n"/>
      <c r="S1064" s="42" t="inlineStr">
        <is>
          <t>無印</t>
        </is>
      </c>
      <c r="T1064" s="42" t="n">
        <v>151</v>
      </c>
      <c r="U1064" s="42" t="inlineStr">
        <is>
          <t>P151|無印</t>
        </is>
      </c>
      <c r="V1064" s="42" t="inlineStr">
        <is>
          <t>同一価格表・次頁凡例を継承</t>
        </is>
      </c>
    </row>
    <row r="1065">
      <c r="A1065" s="43" t="inlineStr">
        <is>
          <t>SZ-SL-001062</t>
        </is>
      </c>
      <c r="B1065" s="43" t="inlineStr">
        <is>
          <t>SER-LIX-SAMOSL</t>
        </is>
      </c>
      <c r="C1065" s="43" t="inlineStr">
        <is>
          <t>WT-SL-FIX-OUT</t>
        </is>
      </c>
      <c r="D1065" s="43" t="inlineStr">
        <is>
          <t>FIX窓（外押縁タイプ）</t>
        </is>
      </c>
      <c r="E1065" s="43" t="n"/>
      <c r="F1065" s="43" t="inlineStr">
        <is>
          <t>在来・204</t>
        </is>
      </c>
      <c r="G1065" s="43" t="inlineStr">
        <is>
          <t>119018</t>
        </is>
      </c>
      <c r="H1065" s="43" t="inlineStr">
        <is>
          <t>119</t>
        </is>
      </c>
      <c r="I1065" s="43" t="inlineStr">
        <is>
          <t>018</t>
        </is>
      </c>
      <c r="J1065" s="222" t="n">
        <v>1235</v>
      </c>
      <c r="K1065" s="222" t="n">
        <v>250</v>
      </c>
      <c r="L1065" s="43" t="inlineStr">
        <is>
          <t>在来・204｜マド②</t>
        </is>
      </c>
      <c r="M1065" s="178" t="b">
        <v>1</v>
      </c>
      <c r="N1065" s="43" t="inlineStr">
        <is>
          <t>カタログ規格確認済み</t>
        </is>
      </c>
      <c r="O1065" s="222" t="n">
        <v>153</v>
      </c>
      <c r="P1065" s="222" t="n">
        <v>151</v>
      </c>
      <c r="Q1065" s="43" t="inlineStr">
        <is>
          <t>202604_LIXIL_サーモスＬ_業務用資料集_完成品価格表.pdf</t>
        </is>
      </c>
      <c r="R1065" s="43" t="n"/>
      <c r="S1065" s="42" t="inlineStr">
        <is>
          <t>無印</t>
        </is>
      </c>
      <c r="T1065" s="42" t="n">
        <v>151</v>
      </c>
      <c r="U1065" s="42" t="inlineStr">
        <is>
          <t>P151|無印</t>
        </is>
      </c>
      <c r="V1065" s="42" t="inlineStr">
        <is>
          <t>同頁凡例へ直接連動</t>
        </is>
      </c>
    </row>
    <row r="1066">
      <c r="A1066" s="43" t="inlineStr">
        <is>
          <t>SZ-SL-001063</t>
        </is>
      </c>
      <c r="B1066" s="43" t="inlineStr">
        <is>
          <t>SER-LIX-SAMOSL</t>
        </is>
      </c>
      <c r="C1066" s="43" t="inlineStr">
        <is>
          <t>WT-SL-FIX-OUT</t>
        </is>
      </c>
      <c r="D1066" s="43" t="inlineStr">
        <is>
          <t>FIX窓（外押縁タイプ）</t>
        </is>
      </c>
      <c r="E1066" s="43" t="n"/>
      <c r="F1066" s="43" t="inlineStr">
        <is>
          <t>在来・204</t>
        </is>
      </c>
      <c r="G1066" s="43" t="inlineStr">
        <is>
          <t>119023</t>
        </is>
      </c>
      <c r="H1066" s="43" t="inlineStr">
        <is>
          <t>119</t>
        </is>
      </c>
      <c r="I1066" s="43" t="inlineStr">
        <is>
          <t>023</t>
        </is>
      </c>
      <c r="J1066" s="222" t="n">
        <v>1235</v>
      </c>
      <c r="K1066" s="222" t="n">
        <v>300</v>
      </c>
      <c r="L1066" s="43" t="inlineStr">
        <is>
          <t>在来・204｜マド②</t>
        </is>
      </c>
      <c r="M1066" s="178" t="b">
        <v>1</v>
      </c>
      <c r="N1066" s="43" t="inlineStr">
        <is>
          <t>カタログ規格確認済み</t>
        </is>
      </c>
      <c r="O1066" s="222" t="n">
        <v>153</v>
      </c>
      <c r="P1066" s="222" t="n">
        <v>151</v>
      </c>
      <c r="Q1066" s="43" t="inlineStr">
        <is>
          <t>202604_LIXIL_サーモスＬ_業務用資料集_完成品価格表.pdf</t>
        </is>
      </c>
      <c r="R1066" s="43" t="n"/>
      <c r="S1066" s="42" t="inlineStr">
        <is>
          <t>無印</t>
        </is>
      </c>
      <c r="T1066" s="42" t="n">
        <v>151</v>
      </c>
      <c r="U1066" s="42" t="inlineStr">
        <is>
          <t>P151|無印</t>
        </is>
      </c>
      <c r="V1066" s="42" t="inlineStr">
        <is>
          <t>同頁凡例へ直接連動</t>
        </is>
      </c>
    </row>
    <row r="1067">
      <c r="A1067" s="43" t="inlineStr">
        <is>
          <t>SZ-SL-001064</t>
        </is>
      </c>
      <c r="B1067" s="43" t="inlineStr">
        <is>
          <t>SER-LIX-SAMOSL</t>
        </is>
      </c>
      <c r="C1067" s="43" t="inlineStr">
        <is>
          <t>WT-SL-FIX-OUT</t>
        </is>
      </c>
      <c r="D1067" s="43" t="inlineStr">
        <is>
          <t>FIX窓（外押縁タイプ）</t>
        </is>
      </c>
      <c r="E1067" s="43" t="n"/>
      <c r="F1067" s="43" t="inlineStr">
        <is>
          <t>在来・204</t>
        </is>
      </c>
      <c r="G1067" s="43" t="inlineStr">
        <is>
          <t>119028</t>
        </is>
      </c>
      <c r="H1067" s="43" t="inlineStr">
        <is>
          <t>119</t>
        </is>
      </c>
      <c r="I1067" s="43" t="inlineStr">
        <is>
          <t>028</t>
        </is>
      </c>
      <c r="J1067" s="222" t="n">
        <v>1235</v>
      </c>
      <c r="K1067" s="222" t="n">
        <v>350</v>
      </c>
      <c r="L1067" s="43" t="inlineStr">
        <is>
          <t>在来・204｜マド②</t>
        </is>
      </c>
      <c r="M1067" s="178" t="b">
        <v>1</v>
      </c>
      <c r="N1067" s="43" t="inlineStr">
        <is>
          <t>カタログ規格確認済み</t>
        </is>
      </c>
      <c r="O1067" s="222" t="n">
        <v>153</v>
      </c>
      <c r="P1067" s="222" t="n">
        <v>151</v>
      </c>
      <c r="Q1067" s="43" t="inlineStr">
        <is>
          <t>202604_LIXIL_サーモスＬ_業務用資料集_完成品価格表.pdf</t>
        </is>
      </c>
      <c r="R1067" s="43" t="n"/>
      <c r="S1067" s="42" t="inlineStr">
        <is>
          <t>無印</t>
        </is>
      </c>
      <c r="T1067" s="42" t="n">
        <v>151</v>
      </c>
      <c r="U1067" s="42" t="inlineStr">
        <is>
          <t>P151|無印</t>
        </is>
      </c>
      <c r="V1067" s="42" t="inlineStr">
        <is>
          <t>同頁凡例へ直接連動</t>
        </is>
      </c>
    </row>
    <row r="1068">
      <c r="A1068" s="43" t="inlineStr">
        <is>
          <t>SZ-SL-001065</t>
        </is>
      </c>
      <c r="B1068" s="43" t="inlineStr">
        <is>
          <t>SER-LIX-SAMOSL</t>
        </is>
      </c>
      <c r="C1068" s="43" t="inlineStr">
        <is>
          <t>WT-SL-FIX-OUT</t>
        </is>
      </c>
      <c r="D1068" s="43" t="inlineStr">
        <is>
          <t>FIX窓（外押縁タイプ）</t>
        </is>
      </c>
      <c r="E1068" s="43" t="n"/>
      <c r="F1068" s="43" t="inlineStr">
        <is>
          <t>在来・204</t>
        </is>
      </c>
      <c r="G1068" s="43" t="inlineStr">
        <is>
          <t>11903</t>
        </is>
      </c>
      <c r="H1068" s="43" t="inlineStr">
        <is>
          <t>119</t>
        </is>
      </c>
      <c r="I1068" s="43" t="inlineStr">
        <is>
          <t>03</t>
        </is>
      </c>
      <c r="J1068" s="222" t="n">
        <v>1235</v>
      </c>
      <c r="K1068" s="222" t="n">
        <v>370</v>
      </c>
      <c r="L1068" s="43" t="inlineStr">
        <is>
          <t>在来・204｜マド②</t>
        </is>
      </c>
      <c r="M1068" s="178" t="b">
        <v>1</v>
      </c>
      <c r="N1068" s="43" t="inlineStr">
        <is>
          <t>カタログ規格確認済み</t>
        </is>
      </c>
      <c r="O1068" s="222" t="n">
        <v>153</v>
      </c>
      <c r="P1068" s="222" t="n">
        <v>151</v>
      </c>
      <c r="Q1068" s="43" t="inlineStr">
        <is>
          <t>202604_LIXIL_サーモスＬ_業務用資料集_完成品価格表.pdf</t>
        </is>
      </c>
      <c r="R1068" s="43" t="n"/>
      <c r="S1068" s="42" t="inlineStr">
        <is>
          <t>無印</t>
        </is>
      </c>
      <c r="T1068" s="42" t="n">
        <v>151</v>
      </c>
      <c r="U1068" s="42" t="inlineStr">
        <is>
          <t>P151|無印</t>
        </is>
      </c>
      <c r="V1068" s="42" t="inlineStr">
        <is>
          <t>同頁凡例へ直接連動</t>
        </is>
      </c>
    </row>
    <row r="1069">
      <c r="A1069" s="43" t="inlineStr">
        <is>
          <t>SZ-SL-001066</t>
        </is>
      </c>
      <c r="B1069" s="43" t="inlineStr">
        <is>
          <t>SER-LIX-SAMOSL</t>
        </is>
      </c>
      <c r="C1069" s="43" t="inlineStr">
        <is>
          <t>WT-SL-FIX-OUT</t>
        </is>
      </c>
      <c r="D1069" s="43" t="inlineStr">
        <is>
          <t>FIX窓（外押縁タイプ）</t>
        </is>
      </c>
      <c r="E1069" s="43" t="n"/>
      <c r="F1069" s="43" t="inlineStr">
        <is>
          <t>在来・204</t>
        </is>
      </c>
      <c r="G1069" s="43" t="inlineStr">
        <is>
          <t>160018</t>
        </is>
      </c>
      <c r="H1069" s="43" t="inlineStr">
        <is>
          <t>160</t>
        </is>
      </c>
      <c r="I1069" s="43" t="inlineStr">
        <is>
          <t>018</t>
        </is>
      </c>
      <c r="J1069" s="222" t="n">
        <v>1640</v>
      </c>
      <c r="K1069" s="222" t="n">
        <v>250</v>
      </c>
      <c r="L1069" s="43" t="inlineStr">
        <is>
          <t>在来・204｜マド②</t>
        </is>
      </c>
      <c r="M1069" s="178" t="b">
        <v>1</v>
      </c>
      <c r="N1069" s="43" t="inlineStr">
        <is>
          <t>カタログ規格確認済み</t>
        </is>
      </c>
      <c r="O1069" s="222" t="n">
        <v>153</v>
      </c>
      <c r="P1069" s="222" t="n">
        <v>151</v>
      </c>
      <c r="Q1069" s="43" t="inlineStr">
        <is>
          <t>202604_LIXIL_サーモスＬ_業務用資料集_完成品価格表.pdf</t>
        </is>
      </c>
      <c r="R1069" s="43" t="n"/>
      <c r="S1069" s="42" t="inlineStr">
        <is>
          <t>無印</t>
        </is>
      </c>
      <c r="T1069" s="42" t="n">
        <v>151</v>
      </c>
      <c r="U1069" s="42" t="inlineStr">
        <is>
          <t>P151|無印</t>
        </is>
      </c>
      <c r="V1069" s="42" t="inlineStr">
        <is>
          <t>同頁凡例へ直接連動</t>
        </is>
      </c>
    </row>
    <row r="1070">
      <c r="A1070" s="43" t="inlineStr">
        <is>
          <t>SZ-SL-001067</t>
        </is>
      </c>
      <c r="B1070" s="43" t="inlineStr">
        <is>
          <t>SER-LIX-SAMOSL</t>
        </is>
      </c>
      <c r="C1070" s="43" t="inlineStr">
        <is>
          <t>WT-SL-FIX-OUT</t>
        </is>
      </c>
      <c r="D1070" s="43" t="inlineStr">
        <is>
          <t>FIX窓（外押縁タイプ）</t>
        </is>
      </c>
      <c r="E1070" s="43" t="n"/>
      <c r="F1070" s="43" t="inlineStr">
        <is>
          <t>在来・204</t>
        </is>
      </c>
      <c r="G1070" s="43" t="inlineStr">
        <is>
          <t>160023</t>
        </is>
      </c>
      <c r="H1070" s="43" t="inlineStr">
        <is>
          <t>160</t>
        </is>
      </c>
      <c r="I1070" s="43" t="inlineStr">
        <is>
          <t>023</t>
        </is>
      </c>
      <c r="J1070" s="222" t="n">
        <v>1640</v>
      </c>
      <c r="K1070" s="222" t="n">
        <v>300</v>
      </c>
      <c r="L1070" s="43" t="inlineStr">
        <is>
          <t>在来・204｜マド②</t>
        </is>
      </c>
      <c r="M1070" s="178" t="b">
        <v>1</v>
      </c>
      <c r="N1070" s="43" t="inlineStr">
        <is>
          <t>カタログ規格確認済み</t>
        </is>
      </c>
      <c r="O1070" s="222" t="n">
        <v>153</v>
      </c>
      <c r="P1070" s="222" t="n">
        <v>151</v>
      </c>
      <c r="Q1070" s="43" t="inlineStr">
        <is>
          <t>202604_LIXIL_サーモスＬ_業務用資料集_完成品価格表.pdf</t>
        </is>
      </c>
      <c r="R1070" s="43" t="n"/>
      <c r="S1070" s="42" t="inlineStr">
        <is>
          <t>無印</t>
        </is>
      </c>
      <c r="T1070" s="42" t="n">
        <v>151</v>
      </c>
      <c r="U1070" s="42" t="inlineStr">
        <is>
          <t>P151|無印</t>
        </is>
      </c>
      <c r="V1070" s="42" t="inlineStr">
        <is>
          <t>同頁凡例へ直接連動</t>
        </is>
      </c>
    </row>
    <row r="1071">
      <c r="A1071" s="43" t="inlineStr">
        <is>
          <t>SZ-SL-001068</t>
        </is>
      </c>
      <c r="B1071" s="43" t="inlineStr">
        <is>
          <t>SER-LIX-SAMOSL</t>
        </is>
      </c>
      <c r="C1071" s="43" t="inlineStr">
        <is>
          <t>WT-SL-FIX-OUT</t>
        </is>
      </c>
      <c r="D1071" s="43" t="inlineStr">
        <is>
          <t>FIX窓（外押縁タイプ）</t>
        </is>
      </c>
      <c r="E1071" s="43" t="n"/>
      <c r="F1071" s="43" t="inlineStr">
        <is>
          <t>在来・204</t>
        </is>
      </c>
      <c r="G1071" s="43" t="inlineStr">
        <is>
          <t>160028</t>
        </is>
      </c>
      <c r="H1071" s="43" t="inlineStr">
        <is>
          <t>160</t>
        </is>
      </c>
      <c r="I1071" s="43" t="inlineStr">
        <is>
          <t>028</t>
        </is>
      </c>
      <c r="J1071" s="222" t="n">
        <v>1640</v>
      </c>
      <c r="K1071" s="222" t="n">
        <v>350</v>
      </c>
      <c r="L1071" s="43" t="inlineStr">
        <is>
          <t>在来・204｜マド②</t>
        </is>
      </c>
      <c r="M1071" s="178" t="b">
        <v>1</v>
      </c>
      <c r="N1071" s="43" t="inlineStr">
        <is>
          <t>カタログ規格確認済み</t>
        </is>
      </c>
      <c r="O1071" s="222" t="n">
        <v>153</v>
      </c>
      <c r="P1071" s="222" t="n">
        <v>151</v>
      </c>
      <c r="Q1071" s="43" t="inlineStr">
        <is>
          <t>202604_LIXIL_サーモスＬ_業務用資料集_完成品価格表.pdf</t>
        </is>
      </c>
      <c r="R1071" s="43" t="n"/>
      <c r="S1071" s="42" t="inlineStr">
        <is>
          <t>無印</t>
        </is>
      </c>
      <c r="T1071" s="42" t="n">
        <v>151</v>
      </c>
      <c r="U1071" s="42" t="inlineStr">
        <is>
          <t>P151|無印</t>
        </is>
      </c>
      <c r="V1071" s="42" t="inlineStr">
        <is>
          <t>同頁凡例へ直接連動</t>
        </is>
      </c>
    </row>
    <row r="1072">
      <c r="A1072" s="43" t="inlineStr">
        <is>
          <t>SZ-SL-001069</t>
        </is>
      </c>
      <c r="B1072" s="43" t="inlineStr">
        <is>
          <t>SER-LIX-SAMOSL</t>
        </is>
      </c>
      <c r="C1072" s="43" t="inlineStr">
        <is>
          <t>WT-SL-FIX-OUT</t>
        </is>
      </c>
      <c r="D1072" s="43" t="inlineStr">
        <is>
          <t>FIX窓（外押縁タイプ）</t>
        </is>
      </c>
      <c r="E1072" s="43" t="n"/>
      <c r="F1072" s="43" t="inlineStr">
        <is>
          <t>在来・204</t>
        </is>
      </c>
      <c r="G1072" s="43" t="inlineStr">
        <is>
          <t>165018</t>
        </is>
      </c>
      <c r="H1072" s="43" t="inlineStr">
        <is>
          <t>165</t>
        </is>
      </c>
      <c r="I1072" s="43" t="inlineStr">
        <is>
          <t>018</t>
        </is>
      </c>
      <c r="J1072" s="222" t="n">
        <v>1690</v>
      </c>
      <c r="K1072" s="222" t="n">
        <v>250</v>
      </c>
      <c r="L1072" s="43" t="inlineStr">
        <is>
          <t>在来・204｜マド②</t>
        </is>
      </c>
      <c r="M1072" s="178" t="b">
        <v>1</v>
      </c>
      <c r="N1072" s="43" t="inlineStr">
        <is>
          <t>カタログ規格確認済み</t>
        </is>
      </c>
      <c r="O1072" s="222" t="n">
        <v>153</v>
      </c>
      <c r="P1072" s="222" t="n">
        <v>151</v>
      </c>
      <c r="Q1072" s="43" t="inlineStr">
        <is>
          <t>202604_LIXIL_サーモスＬ_業務用資料集_完成品価格表.pdf</t>
        </is>
      </c>
      <c r="R1072" s="43" t="n"/>
      <c r="S1072" s="42" t="inlineStr">
        <is>
          <t>無印</t>
        </is>
      </c>
      <c r="T1072" s="42" t="n">
        <v>151</v>
      </c>
      <c r="U1072" s="42" t="inlineStr">
        <is>
          <t>P151|無印</t>
        </is>
      </c>
      <c r="V1072" s="42" t="inlineStr">
        <is>
          <t>同頁凡例へ直接連動</t>
        </is>
      </c>
    </row>
    <row r="1073">
      <c r="A1073" s="43" t="inlineStr">
        <is>
          <t>SZ-SL-001070</t>
        </is>
      </c>
      <c r="B1073" s="43" t="inlineStr">
        <is>
          <t>SER-LIX-SAMOSL</t>
        </is>
      </c>
      <c r="C1073" s="43" t="inlineStr">
        <is>
          <t>WT-SL-FIX-OUT</t>
        </is>
      </c>
      <c r="D1073" s="43" t="inlineStr">
        <is>
          <t>FIX窓（外押縁タイプ）</t>
        </is>
      </c>
      <c r="E1073" s="43" t="n"/>
      <c r="F1073" s="43" t="inlineStr">
        <is>
          <t>在来・204</t>
        </is>
      </c>
      <c r="G1073" s="43" t="inlineStr">
        <is>
          <t>165023</t>
        </is>
      </c>
      <c r="H1073" s="43" t="inlineStr">
        <is>
          <t>165</t>
        </is>
      </c>
      <c r="I1073" s="43" t="inlineStr">
        <is>
          <t>023</t>
        </is>
      </c>
      <c r="J1073" s="222" t="n">
        <v>1690</v>
      </c>
      <c r="K1073" s="222" t="n">
        <v>300</v>
      </c>
      <c r="L1073" s="43" t="inlineStr">
        <is>
          <t>在来・204｜マド②</t>
        </is>
      </c>
      <c r="M1073" s="178" t="b">
        <v>1</v>
      </c>
      <c r="N1073" s="43" t="inlineStr">
        <is>
          <t>カタログ規格確認済み</t>
        </is>
      </c>
      <c r="O1073" s="222" t="n">
        <v>153</v>
      </c>
      <c r="P1073" s="222" t="n">
        <v>151</v>
      </c>
      <c r="Q1073" s="43" t="inlineStr">
        <is>
          <t>202604_LIXIL_サーモスＬ_業務用資料集_完成品価格表.pdf</t>
        </is>
      </c>
      <c r="R1073" s="43" t="n"/>
      <c r="S1073" s="42" t="inlineStr">
        <is>
          <t>無印</t>
        </is>
      </c>
      <c r="T1073" s="42" t="n">
        <v>151</v>
      </c>
      <c r="U1073" s="42" t="inlineStr">
        <is>
          <t>P151|無印</t>
        </is>
      </c>
      <c r="V1073" s="42" t="inlineStr">
        <is>
          <t>同頁凡例へ直接連動</t>
        </is>
      </c>
    </row>
    <row r="1074">
      <c r="A1074" s="43" t="inlineStr">
        <is>
          <t>SZ-SL-001071</t>
        </is>
      </c>
      <c r="B1074" s="43" t="inlineStr">
        <is>
          <t>SER-LIX-SAMOSL</t>
        </is>
      </c>
      <c r="C1074" s="43" t="inlineStr">
        <is>
          <t>WT-SL-FIX-OUT</t>
        </is>
      </c>
      <c r="D1074" s="43" t="inlineStr">
        <is>
          <t>FIX窓（外押縁タイプ）</t>
        </is>
      </c>
      <c r="E1074" s="43" t="n"/>
      <c r="F1074" s="43" t="inlineStr">
        <is>
          <t>在来・204</t>
        </is>
      </c>
      <c r="G1074" s="43" t="inlineStr">
        <is>
          <t>165028</t>
        </is>
      </c>
      <c r="H1074" s="43" t="inlineStr">
        <is>
          <t>165</t>
        </is>
      </c>
      <c r="I1074" s="43" t="inlineStr">
        <is>
          <t>028</t>
        </is>
      </c>
      <c r="J1074" s="222" t="n">
        <v>1690</v>
      </c>
      <c r="K1074" s="222" t="n">
        <v>350</v>
      </c>
      <c r="L1074" s="43" t="inlineStr">
        <is>
          <t>在来・204｜マド②</t>
        </is>
      </c>
      <c r="M1074" s="178" t="b">
        <v>1</v>
      </c>
      <c r="N1074" s="43" t="inlineStr">
        <is>
          <t>カタログ規格確認済み</t>
        </is>
      </c>
      <c r="O1074" s="222" t="n">
        <v>153</v>
      </c>
      <c r="P1074" s="222" t="n">
        <v>151</v>
      </c>
      <c r="Q1074" s="43" t="inlineStr">
        <is>
          <t>202604_LIXIL_サーモスＬ_業務用資料集_完成品価格表.pdf</t>
        </is>
      </c>
      <c r="R1074" s="43" t="n"/>
      <c r="S1074" s="42" t="inlineStr">
        <is>
          <t>無印</t>
        </is>
      </c>
      <c r="T1074" s="42" t="n">
        <v>151</v>
      </c>
      <c r="U1074" s="42" t="inlineStr">
        <is>
          <t>P151|無印</t>
        </is>
      </c>
      <c r="V1074" s="42" t="inlineStr">
        <is>
          <t>同頁凡例へ直接連動</t>
        </is>
      </c>
    </row>
    <row r="1075">
      <c r="A1075" s="43" t="inlineStr">
        <is>
          <t>SZ-SL-001072</t>
        </is>
      </c>
      <c r="B1075" s="43" t="inlineStr">
        <is>
          <t>SER-LIX-SAMOSL</t>
        </is>
      </c>
      <c r="C1075" s="43" t="inlineStr">
        <is>
          <t>WT-SL-FIX-OUT</t>
        </is>
      </c>
      <c r="D1075" s="43" t="inlineStr">
        <is>
          <t>FIX窓（外押縁タイプ）</t>
        </is>
      </c>
      <c r="E1075" s="43" t="n"/>
      <c r="F1075" s="43" t="inlineStr">
        <is>
          <t>在来・204</t>
        </is>
      </c>
      <c r="G1075" s="43" t="inlineStr">
        <is>
          <t>03605</t>
        </is>
      </c>
      <c r="H1075" s="43" t="inlineStr">
        <is>
          <t>036</t>
        </is>
      </c>
      <c r="I1075" s="43" t="inlineStr">
        <is>
          <t>05</t>
        </is>
      </c>
      <c r="J1075" s="222" t="n">
        <v>405</v>
      </c>
      <c r="K1075" s="222" t="n">
        <v>570</v>
      </c>
      <c r="L1075" s="43" t="inlineStr">
        <is>
          <t>在来・204｜マド③</t>
        </is>
      </c>
      <c r="M1075" s="178" t="b">
        <v>1</v>
      </c>
      <c r="N1075" s="43" t="inlineStr">
        <is>
          <t>カタログ規格確認済み</t>
        </is>
      </c>
      <c r="O1075" s="222" t="n">
        <v>155</v>
      </c>
      <c r="P1075" s="222" t="n">
        <v>153</v>
      </c>
      <c r="Q1075" s="43" t="inlineStr">
        <is>
          <t>202604_LIXIL_サーモスＬ_業務用資料集_完成品価格表.pdf</t>
        </is>
      </c>
      <c r="R1075" s="43" t="n"/>
      <c r="S1075" s="42" t="inlineStr">
        <is>
          <t>無印</t>
        </is>
      </c>
      <c r="T1075" s="42" t="n">
        <v>152</v>
      </c>
      <c r="U1075" s="42" t="inlineStr">
        <is>
          <t>P152|無印</t>
        </is>
      </c>
      <c r="V1075" s="42" t="inlineStr">
        <is>
          <t>同一価格表・前頁凡例を継承</t>
        </is>
      </c>
    </row>
    <row r="1076">
      <c r="A1076" s="43" t="inlineStr">
        <is>
          <t>SZ-SL-001073</t>
        </is>
      </c>
      <c r="B1076" s="43" t="inlineStr">
        <is>
          <t>SER-LIX-SAMOSL</t>
        </is>
      </c>
      <c r="C1076" s="43" t="inlineStr">
        <is>
          <t>WT-SL-FIX-OUT</t>
        </is>
      </c>
      <c r="D1076" s="43" t="inlineStr">
        <is>
          <t>FIX窓（外押縁タイプ）</t>
        </is>
      </c>
      <c r="E1076" s="43" t="n"/>
      <c r="F1076" s="43" t="inlineStr">
        <is>
          <t>在来・204</t>
        </is>
      </c>
      <c r="G1076" s="43" t="inlineStr">
        <is>
          <t>03607</t>
        </is>
      </c>
      <c r="H1076" s="43" t="inlineStr">
        <is>
          <t>036</t>
        </is>
      </c>
      <c r="I1076" s="43" t="inlineStr">
        <is>
          <t>07</t>
        </is>
      </c>
      <c r="J1076" s="222" t="n">
        <v>405</v>
      </c>
      <c r="K1076" s="222" t="n">
        <v>770</v>
      </c>
      <c r="L1076" s="43" t="inlineStr">
        <is>
          <t>在来・204｜マド③</t>
        </is>
      </c>
      <c r="M1076" s="178" t="b">
        <v>1</v>
      </c>
      <c r="N1076" s="43" t="inlineStr">
        <is>
          <t>カタログ規格確認済み</t>
        </is>
      </c>
      <c r="O1076" s="222" t="n">
        <v>155</v>
      </c>
      <c r="P1076" s="222" t="n">
        <v>153</v>
      </c>
      <c r="Q1076" s="43" t="inlineStr">
        <is>
          <t>202604_LIXIL_サーモスＬ_業務用資料集_完成品価格表.pdf</t>
        </is>
      </c>
      <c r="R1076" s="43" t="n"/>
      <c r="S1076" s="42" t="inlineStr">
        <is>
          <t>無印</t>
        </is>
      </c>
      <c r="T1076" s="42" t="n">
        <v>152</v>
      </c>
      <c r="U1076" s="42" t="inlineStr">
        <is>
          <t>P152|無印</t>
        </is>
      </c>
      <c r="V1076" s="42" t="inlineStr">
        <is>
          <t>同一価格表・前頁凡例を継承</t>
        </is>
      </c>
    </row>
    <row r="1077">
      <c r="A1077" s="43" t="inlineStr">
        <is>
          <t>SZ-SL-001074</t>
        </is>
      </c>
      <c r="B1077" s="43" t="inlineStr">
        <is>
          <t>SER-LIX-SAMOSL</t>
        </is>
      </c>
      <c r="C1077" s="43" t="inlineStr">
        <is>
          <t>WT-SL-FIX-OUT</t>
        </is>
      </c>
      <c r="D1077" s="43" t="inlineStr">
        <is>
          <t>FIX窓（外押縁タイプ）</t>
        </is>
      </c>
      <c r="E1077" s="43" t="n"/>
      <c r="F1077" s="43" t="inlineStr">
        <is>
          <t>在来・204</t>
        </is>
      </c>
      <c r="G1077" s="43" t="inlineStr">
        <is>
          <t>041038</t>
        </is>
      </c>
      <c r="H1077" s="43" t="inlineStr">
        <is>
          <t>041</t>
        </is>
      </c>
      <c r="I1077" s="43" t="inlineStr">
        <is>
          <t>038</t>
        </is>
      </c>
      <c r="J1077" s="222" t="n">
        <v>450</v>
      </c>
      <c r="K1077" s="222" t="n">
        <v>450</v>
      </c>
      <c r="L1077" s="43" t="inlineStr">
        <is>
          <t>在来・204｜マド③</t>
        </is>
      </c>
      <c r="M1077" s="178" t="b">
        <v>1</v>
      </c>
      <c r="N1077" s="43" t="inlineStr">
        <is>
          <t>カタログ規格確認済み</t>
        </is>
      </c>
      <c r="O1077" s="222" t="n">
        <v>155</v>
      </c>
      <c r="P1077" s="222" t="n">
        <v>153</v>
      </c>
      <c r="Q1077" s="43" t="inlineStr">
        <is>
          <t>202604_LIXIL_サーモスＬ_業務用資料集_完成品価格表.pdf</t>
        </is>
      </c>
      <c r="R1077" s="43" t="n"/>
      <c r="S1077" s="42" t="inlineStr">
        <is>
          <t>無印</t>
        </is>
      </c>
      <c r="T1077" s="42" t="n">
        <v>152</v>
      </c>
      <c r="U1077" s="42" t="inlineStr">
        <is>
          <t>P152|無印</t>
        </is>
      </c>
      <c r="V1077" s="42" t="inlineStr">
        <is>
          <t>同一価格表・前頁凡例を継承</t>
        </is>
      </c>
    </row>
    <row r="1078">
      <c r="A1078" s="43" t="inlineStr">
        <is>
          <t>SZ-SL-001075</t>
        </is>
      </c>
      <c r="B1078" s="43" t="inlineStr">
        <is>
          <t>SER-LIX-SAMOSL</t>
        </is>
      </c>
      <c r="C1078" s="43" t="inlineStr">
        <is>
          <t>WT-SL-FIX-OUT</t>
        </is>
      </c>
      <c r="D1078" s="43" t="inlineStr">
        <is>
          <t>FIX窓（外押縁タイプ）</t>
        </is>
      </c>
      <c r="E1078" s="43" t="n"/>
      <c r="F1078" s="43" t="inlineStr">
        <is>
          <t>在来・204</t>
        </is>
      </c>
      <c r="G1078" s="43" t="inlineStr">
        <is>
          <t>06005</t>
        </is>
      </c>
      <c r="H1078" s="43" t="inlineStr">
        <is>
          <t>060</t>
        </is>
      </c>
      <c r="I1078" s="43" t="inlineStr">
        <is>
          <t>05</t>
        </is>
      </c>
      <c r="J1078" s="222" t="n">
        <v>640</v>
      </c>
      <c r="K1078" s="222" t="n">
        <v>570</v>
      </c>
      <c r="L1078" s="43" t="inlineStr">
        <is>
          <t>在来・204｜マド③</t>
        </is>
      </c>
      <c r="M1078" s="178" t="b">
        <v>1</v>
      </c>
      <c r="N1078" s="43" t="inlineStr">
        <is>
          <t>カタログ規格確認済み</t>
        </is>
      </c>
      <c r="O1078" s="222" t="n">
        <v>155</v>
      </c>
      <c r="P1078" s="222" t="n">
        <v>153</v>
      </c>
      <c r="Q1078" s="43" t="inlineStr">
        <is>
          <t>202604_LIXIL_サーモスＬ_業務用資料集_完成品価格表.pdf</t>
        </is>
      </c>
      <c r="R1078" s="43" t="n"/>
      <c r="S1078" s="42" t="inlineStr">
        <is>
          <t>無印</t>
        </is>
      </c>
      <c r="T1078" s="42" t="n">
        <v>152</v>
      </c>
      <c r="U1078" s="42" t="inlineStr">
        <is>
          <t>P152|無印</t>
        </is>
      </c>
      <c r="V1078" s="42" t="inlineStr">
        <is>
          <t>同一価格表・前頁凡例を継承</t>
        </is>
      </c>
    </row>
    <row r="1079">
      <c r="A1079" s="43" t="inlineStr">
        <is>
          <t>SZ-SL-001076</t>
        </is>
      </c>
      <c r="B1079" s="43" t="inlineStr">
        <is>
          <t>SER-LIX-SAMOSL</t>
        </is>
      </c>
      <c r="C1079" s="43" t="inlineStr">
        <is>
          <t>WT-SL-FIX-OUT</t>
        </is>
      </c>
      <c r="D1079" s="43" t="inlineStr">
        <is>
          <t>FIX窓（外押縁タイプ）</t>
        </is>
      </c>
      <c r="E1079" s="43" t="n"/>
      <c r="F1079" s="43" t="inlineStr">
        <is>
          <t>在来・204</t>
        </is>
      </c>
      <c r="G1079" s="43" t="inlineStr">
        <is>
          <t>060057</t>
        </is>
      </c>
      <c r="H1079" s="43" t="inlineStr">
        <is>
          <t>060</t>
        </is>
      </c>
      <c r="I1079" s="43" t="inlineStr">
        <is>
          <t>057</t>
        </is>
      </c>
      <c r="J1079" s="222" t="n">
        <v>640</v>
      </c>
      <c r="K1079" s="222" t="n">
        <v>640</v>
      </c>
      <c r="L1079" s="43" t="inlineStr">
        <is>
          <t>在来・204｜マド③</t>
        </is>
      </c>
      <c r="M1079" s="178" t="b">
        <v>1</v>
      </c>
      <c r="N1079" s="43" t="inlineStr">
        <is>
          <t>カタログ規格確認済み</t>
        </is>
      </c>
      <c r="O1079" s="222" t="n">
        <v>155</v>
      </c>
      <c r="P1079" s="222" t="n">
        <v>153</v>
      </c>
      <c r="Q1079" s="43" t="inlineStr">
        <is>
          <t>202604_LIXIL_サーモスＬ_業務用資料集_完成品価格表.pdf</t>
        </is>
      </c>
      <c r="R1079" s="43" t="n"/>
      <c r="S1079" s="42" t="inlineStr">
        <is>
          <t>無印</t>
        </is>
      </c>
      <c r="T1079" s="42" t="n">
        <v>152</v>
      </c>
      <c r="U1079" s="42" t="inlineStr">
        <is>
          <t>P152|無印</t>
        </is>
      </c>
      <c r="V1079" s="42" t="inlineStr">
        <is>
          <t>同一価格表・前頁凡例を継承</t>
        </is>
      </c>
    </row>
    <row r="1080">
      <c r="A1080" s="43" t="inlineStr">
        <is>
          <t>SZ-SL-001077</t>
        </is>
      </c>
      <c r="B1080" s="43" t="inlineStr">
        <is>
          <t>SER-LIX-SAMOSL</t>
        </is>
      </c>
      <c r="C1080" s="43" t="inlineStr">
        <is>
          <t>WT-SL-FIX-OUT</t>
        </is>
      </c>
      <c r="D1080" s="43" t="inlineStr">
        <is>
          <t>FIX窓（外押縁タイプ）</t>
        </is>
      </c>
      <c r="E1080" s="43" t="n"/>
      <c r="F1080" s="43" t="inlineStr">
        <is>
          <t>在来・204</t>
        </is>
      </c>
      <c r="G1080" s="43" t="inlineStr">
        <is>
          <t>06007</t>
        </is>
      </c>
      <c r="H1080" s="43" t="inlineStr">
        <is>
          <t>060</t>
        </is>
      </c>
      <c r="I1080" s="43" t="inlineStr">
        <is>
          <t>07</t>
        </is>
      </c>
      <c r="J1080" s="222" t="n">
        <v>640</v>
      </c>
      <c r="K1080" s="222" t="n">
        <v>770</v>
      </c>
      <c r="L1080" s="43" t="inlineStr">
        <is>
          <t>在来・204｜マド③</t>
        </is>
      </c>
      <c r="M1080" s="178" t="b">
        <v>1</v>
      </c>
      <c r="N1080" s="43" t="inlineStr">
        <is>
          <t>カタログ規格確認済み</t>
        </is>
      </c>
      <c r="O1080" s="222" t="n">
        <v>155</v>
      </c>
      <c r="P1080" s="222" t="n">
        <v>153</v>
      </c>
      <c r="Q1080" s="43" t="inlineStr">
        <is>
          <t>202604_LIXIL_サーモスＬ_業務用資料集_完成品価格表.pdf</t>
        </is>
      </c>
      <c r="R1080" s="43" t="n"/>
      <c r="S1080" s="42" t="inlineStr">
        <is>
          <t>無印</t>
        </is>
      </c>
      <c r="T1080" s="42" t="n">
        <v>152</v>
      </c>
      <c r="U1080" s="42" t="inlineStr">
        <is>
          <t>P152|無印</t>
        </is>
      </c>
      <c r="V1080" s="42" t="inlineStr">
        <is>
          <t>同一価格表・前頁凡例を継承</t>
        </is>
      </c>
    </row>
    <row r="1081">
      <c r="A1081" s="43" t="inlineStr">
        <is>
          <t>SZ-SL-001078</t>
        </is>
      </c>
      <c r="B1081" s="43" t="inlineStr">
        <is>
          <t>SER-LIX-SAMOSL</t>
        </is>
      </c>
      <c r="C1081" s="43" t="inlineStr">
        <is>
          <t>WT-SL-FIX-OUT</t>
        </is>
      </c>
      <c r="D1081" s="43" t="inlineStr">
        <is>
          <t>FIX窓（外押縁タイプ）</t>
        </is>
      </c>
      <c r="E1081" s="43" t="n"/>
      <c r="F1081" s="43" t="inlineStr">
        <is>
          <t>在来・204</t>
        </is>
      </c>
      <c r="G1081" s="43" t="inlineStr">
        <is>
          <t>06905</t>
        </is>
      </c>
      <c r="H1081" s="43" t="inlineStr">
        <is>
          <t>069</t>
        </is>
      </c>
      <c r="I1081" s="43" t="inlineStr">
        <is>
          <t>05</t>
        </is>
      </c>
      <c r="J1081" s="222" t="n">
        <v>730</v>
      </c>
      <c r="K1081" s="222" t="n">
        <v>570</v>
      </c>
      <c r="L1081" s="43" t="inlineStr">
        <is>
          <t>在来・204｜マド④</t>
        </is>
      </c>
      <c r="M1081" s="178" t="b">
        <v>1</v>
      </c>
      <c r="N1081" s="43" t="inlineStr">
        <is>
          <t>カタログ規格確認済み</t>
        </is>
      </c>
      <c r="O1081" s="222" t="n">
        <v>156</v>
      </c>
      <c r="P1081" s="222" t="n">
        <v>154</v>
      </c>
      <c r="Q1081" s="43" t="inlineStr">
        <is>
          <t>202604_LIXIL_サーモスＬ_業務用資料集_完成品価格表.pdf</t>
        </is>
      </c>
      <c r="R1081" s="43" t="n"/>
      <c r="S1081" s="42" t="inlineStr">
        <is>
          <t>無印</t>
        </is>
      </c>
      <c r="T1081" s="42" t="n">
        <v>154</v>
      </c>
      <c r="U1081" s="42" t="inlineStr">
        <is>
          <t>P154|無印</t>
        </is>
      </c>
      <c r="V1081" s="42" t="inlineStr">
        <is>
          <t>同頁凡例へ直接連動</t>
        </is>
      </c>
    </row>
    <row r="1082">
      <c r="A1082" s="43" t="inlineStr">
        <is>
          <t>SZ-SL-001079</t>
        </is>
      </c>
      <c r="B1082" s="43" t="inlineStr">
        <is>
          <t>SER-LIX-SAMOSL</t>
        </is>
      </c>
      <c r="C1082" s="43" t="inlineStr">
        <is>
          <t>WT-SL-FIX-OUT</t>
        </is>
      </c>
      <c r="D1082" s="43" t="inlineStr">
        <is>
          <t>FIX窓（外押縁タイプ）</t>
        </is>
      </c>
      <c r="E1082" s="43" t="n"/>
      <c r="F1082" s="43" t="inlineStr">
        <is>
          <t>在来・204</t>
        </is>
      </c>
      <c r="G1082" s="43" t="inlineStr">
        <is>
          <t>06907</t>
        </is>
      </c>
      <c r="H1082" s="43" t="inlineStr">
        <is>
          <t>069</t>
        </is>
      </c>
      <c r="I1082" s="43" t="inlineStr">
        <is>
          <t>07</t>
        </is>
      </c>
      <c r="J1082" s="222" t="n">
        <v>730</v>
      </c>
      <c r="K1082" s="222" t="n">
        <v>770</v>
      </c>
      <c r="L1082" s="43" t="inlineStr">
        <is>
          <t>在来・204｜マド④</t>
        </is>
      </c>
      <c r="M1082" s="178" t="b">
        <v>1</v>
      </c>
      <c r="N1082" s="43" t="inlineStr">
        <is>
          <t>カタログ規格確認済み</t>
        </is>
      </c>
      <c r="O1082" s="222" t="n">
        <v>156</v>
      </c>
      <c r="P1082" s="222" t="n">
        <v>154</v>
      </c>
      <c r="Q1082" s="43" t="inlineStr">
        <is>
          <t>202604_LIXIL_サーモスＬ_業務用資料集_完成品価格表.pdf</t>
        </is>
      </c>
      <c r="R1082" s="43" t="n"/>
      <c r="S1082" s="42" t="inlineStr">
        <is>
          <t>無印</t>
        </is>
      </c>
      <c r="T1082" s="42" t="n">
        <v>154</v>
      </c>
      <c r="U1082" s="42" t="inlineStr">
        <is>
          <t>P154|無印</t>
        </is>
      </c>
      <c r="V1082" s="42" t="inlineStr">
        <is>
          <t>同頁凡例へ直接連動</t>
        </is>
      </c>
    </row>
    <row r="1083">
      <c r="A1083" s="43" t="inlineStr">
        <is>
          <t>SZ-SL-001080</t>
        </is>
      </c>
      <c r="B1083" s="43" t="inlineStr">
        <is>
          <t>SER-LIX-SAMOSL</t>
        </is>
      </c>
      <c r="C1083" s="43" t="inlineStr">
        <is>
          <t>WT-SL-FIX-OUT</t>
        </is>
      </c>
      <c r="D1083" s="43" t="inlineStr">
        <is>
          <t>FIX窓（外押縁タイプ）</t>
        </is>
      </c>
      <c r="E1083" s="43" t="n"/>
      <c r="F1083" s="43" t="inlineStr">
        <is>
          <t>在来・204</t>
        </is>
      </c>
      <c r="G1083" s="43" t="inlineStr">
        <is>
          <t>07405</t>
        </is>
      </c>
      <c r="H1083" s="43" t="inlineStr">
        <is>
          <t>074</t>
        </is>
      </c>
      <c r="I1083" s="43" t="inlineStr">
        <is>
          <t>05</t>
        </is>
      </c>
      <c r="J1083" s="222" t="n">
        <v>780</v>
      </c>
      <c r="K1083" s="222" t="n">
        <v>570</v>
      </c>
      <c r="L1083" s="43" t="inlineStr">
        <is>
          <t>在来・204｜マド④</t>
        </is>
      </c>
      <c r="M1083" s="178" t="b">
        <v>1</v>
      </c>
      <c r="N1083" s="43" t="inlineStr">
        <is>
          <t>カタログ規格確認済み</t>
        </is>
      </c>
      <c r="O1083" s="222" t="n">
        <v>156</v>
      </c>
      <c r="P1083" s="222" t="n">
        <v>154</v>
      </c>
      <c r="Q1083" s="43" t="inlineStr">
        <is>
          <t>202604_LIXIL_サーモスＬ_業務用資料集_完成品価格表.pdf</t>
        </is>
      </c>
      <c r="R1083" s="43" t="n"/>
      <c r="S1083" s="42" t="inlineStr">
        <is>
          <t>無印</t>
        </is>
      </c>
      <c r="T1083" s="42" t="n">
        <v>154</v>
      </c>
      <c r="U1083" s="42" t="inlineStr">
        <is>
          <t>P154|無印</t>
        </is>
      </c>
      <c r="V1083" s="42" t="inlineStr">
        <is>
          <t>同頁凡例へ直接連動</t>
        </is>
      </c>
    </row>
    <row r="1084">
      <c r="A1084" s="43" t="inlineStr">
        <is>
          <t>SZ-SL-001081</t>
        </is>
      </c>
      <c r="B1084" s="43" t="inlineStr">
        <is>
          <t>SER-LIX-SAMOSL</t>
        </is>
      </c>
      <c r="C1084" s="43" t="inlineStr">
        <is>
          <t>WT-SL-FIX-OUT</t>
        </is>
      </c>
      <c r="D1084" s="43" t="inlineStr">
        <is>
          <t>FIX窓（外押縁タイプ）</t>
        </is>
      </c>
      <c r="E1084" s="43" t="n"/>
      <c r="F1084" s="43" t="inlineStr">
        <is>
          <t>在来・204</t>
        </is>
      </c>
      <c r="G1084" s="43" t="inlineStr">
        <is>
          <t>07407</t>
        </is>
      </c>
      <c r="H1084" s="43" t="inlineStr">
        <is>
          <t>074</t>
        </is>
      </c>
      <c r="I1084" s="43" t="inlineStr">
        <is>
          <t>07</t>
        </is>
      </c>
      <c r="J1084" s="222" t="n">
        <v>780</v>
      </c>
      <c r="K1084" s="222" t="n">
        <v>770</v>
      </c>
      <c r="L1084" s="43" t="inlineStr">
        <is>
          <t>在来・204｜マド④</t>
        </is>
      </c>
      <c r="M1084" s="178" t="b">
        <v>1</v>
      </c>
      <c r="N1084" s="43" t="inlineStr">
        <is>
          <t>カタログ規格確認済み</t>
        </is>
      </c>
      <c r="O1084" s="222" t="n">
        <v>156</v>
      </c>
      <c r="P1084" s="222" t="n">
        <v>154</v>
      </c>
      <c r="Q1084" s="43" t="inlineStr">
        <is>
          <t>202604_LIXIL_サーモスＬ_業務用資料集_完成品価格表.pdf</t>
        </is>
      </c>
      <c r="R1084" s="43" t="n"/>
      <c r="S1084" s="42" t="inlineStr">
        <is>
          <t>無印</t>
        </is>
      </c>
      <c r="T1084" s="42" t="n">
        <v>154</v>
      </c>
      <c r="U1084" s="42" t="inlineStr">
        <is>
          <t>P154|無印</t>
        </is>
      </c>
      <c r="V1084" s="42" t="inlineStr">
        <is>
          <t>同頁凡例へ直接連動</t>
        </is>
      </c>
    </row>
    <row r="1085">
      <c r="A1085" s="43" t="inlineStr">
        <is>
          <t>SZ-SL-001082</t>
        </is>
      </c>
      <c r="B1085" s="43" t="inlineStr">
        <is>
          <t>SER-LIX-SAMOSL</t>
        </is>
      </c>
      <c r="C1085" s="43" t="inlineStr">
        <is>
          <t>WT-SL-FIX-OUT</t>
        </is>
      </c>
      <c r="D1085" s="43" t="inlineStr">
        <is>
          <t>FIX窓（外押縁タイプ）</t>
        </is>
      </c>
      <c r="E1085" s="43" t="n"/>
      <c r="F1085" s="43" t="inlineStr">
        <is>
          <t>在来・204</t>
        </is>
      </c>
      <c r="G1085" s="43" t="inlineStr">
        <is>
          <t>11905</t>
        </is>
      </c>
      <c r="H1085" s="43" t="inlineStr">
        <is>
          <t>119</t>
        </is>
      </c>
      <c r="I1085" s="43" t="inlineStr">
        <is>
          <t>05</t>
        </is>
      </c>
      <c r="J1085" s="222" t="n">
        <v>1235</v>
      </c>
      <c r="K1085" s="222" t="n">
        <v>570</v>
      </c>
      <c r="L1085" s="43" t="inlineStr">
        <is>
          <t>在来・204｜マド④</t>
        </is>
      </c>
      <c r="M1085" s="178" t="b">
        <v>1</v>
      </c>
      <c r="N1085" s="43" t="inlineStr">
        <is>
          <t>カタログ規格確認済み</t>
        </is>
      </c>
      <c r="O1085" s="222" t="n">
        <v>157</v>
      </c>
      <c r="P1085" s="222" t="n">
        <v>155</v>
      </c>
      <c r="Q1085" s="43" t="inlineStr">
        <is>
          <t>202604_LIXIL_サーモスＬ_業務用資料集_完成品価格表.pdf</t>
        </is>
      </c>
      <c r="R1085" s="43" t="n"/>
      <c r="S1085" s="42" t="inlineStr">
        <is>
          <t>無印</t>
        </is>
      </c>
      <c r="T1085" s="42" t="n">
        <v>154</v>
      </c>
      <c r="U1085" s="42" t="inlineStr">
        <is>
          <t>P154|無印</t>
        </is>
      </c>
      <c r="V1085" s="42" t="inlineStr">
        <is>
          <t>同一価格表・前頁凡例を継承</t>
        </is>
      </c>
    </row>
    <row r="1086">
      <c r="A1086" s="43" t="inlineStr">
        <is>
          <t>SZ-SL-001083</t>
        </is>
      </c>
      <c r="B1086" s="43" t="inlineStr">
        <is>
          <t>SER-LIX-SAMOSL</t>
        </is>
      </c>
      <c r="C1086" s="43" t="inlineStr">
        <is>
          <t>WT-SL-FIX-OUT</t>
        </is>
      </c>
      <c r="D1086" s="43" t="inlineStr">
        <is>
          <t>FIX窓（外押縁タイプ）</t>
        </is>
      </c>
      <c r="E1086" s="43" t="n"/>
      <c r="F1086" s="43" t="inlineStr">
        <is>
          <t>在来・204</t>
        </is>
      </c>
      <c r="G1086" s="43" t="inlineStr">
        <is>
          <t>11907</t>
        </is>
      </c>
      <c r="H1086" s="43" t="inlineStr">
        <is>
          <t>119</t>
        </is>
      </c>
      <c r="I1086" s="43" t="inlineStr">
        <is>
          <t>07</t>
        </is>
      </c>
      <c r="J1086" s="222" t="n">
        <v>1235</v>
      </c>
      <c r="K1086" s="222" t="n">
        <v>770</v>
      </c>
      <c r="L1086" s="43" t="inlineStr">
        <is>
          <t>在来・204｜マド④</t>
        </is>
      </c>
      <c r="M1086" s="178" t="b">
        <v>1</v>
      </c>
      <c r="N1086" s="43" t="inlineStr">
        <is>
          <t>カタログ規格確認済み</t>
        </is>
      </c>
      <c r="O1086" s="222" t="n">
        <v>157</v>
      </c>
      <c r="P1086" s="222" t="n">
        <v>155</v>
      </c>
      <c r="Q1086" s="43" t="inlineStr">
        <is>
          <t>202604_LIXIL_サーモスＬ_業務用資料集_完成品価格表.pdf</t>
        </is>
      </c>
      <c r="R1086" s="43" t="n"/>
      <c r="S1086" s="42" t="inlineStr">
        <is>
          <t>無印</t>
        </is>
      </c>
      <c r="T1086" s="42" t="n">
        <v>154</v>
      </c>
      <c r="U1086" s="42" t="inlineStr">
        <is>
          <t>P154|無印</t>
        </is>
      </c>
      <c r="V1086" s="42" t="inlineStr">
        <is>
          <t>同一価格表・前頁凡例を継承</t>
        </is>
      </c>
    </row>
    <row r="1087">
      <c r="A1087" s="43" t="inlineStr">
        <is>
          <t>SZ-SL-001084</t>
        </is>
      </c>
      <c r="B1087" s="43" t="inlineStr">
        <is>
          <t>SER-LIX-SAMOSL</t>
        </is>
      </c>
      <c r="C1087" s="43" t="inlineStr">
        <is>
          <t>WT-SL-FIX-OUT</t>
        </is>
      </c>
      <c r="D1087" s="43" t="inlineStr">
        <is>
          <t>FIX窓（外押縁タイプ）</t>
        </is>
      </c>
      <c r="E1087" s="43" t="n"/>
      <c r="F1087" s="43" t="inlineStr">
        <is>
          <t>在来・204</t>
        </is>
      </c>
      <c r="G1087" s="43" t="inlineStr">
        <is>
          <t>16005</t>
        </is>
      </c>
      <c r="H1087" s="43" t="inlineStr">
        <is>
          <t>160</t>
        </is>
      </c>
      <c r="I1087" s="43" t="inlineStr">
        <is>
          <t>05</t>
        </is>
      </c>
      <c r="J1087" s="222" t="n">
        <v>1640</v>
      </c>
      <c r="K1087" s="222" t="n">
        <v>570</v>
      </c>
      <c r="L1087" s="43" t="inlineStr">
        <is>
          <t>在来・204｜マド④</t>
        </is>
      </c>
      <c r="M1087" s="178" t="b">
        <v>1</v>
      </c>
      <c r="N1087" s="43" t="inlineStr">
        <is>
          <t>カタログ規格確認済み</t>
        </is>
      </c>
      <c r="O1087" s="222" t="n">
        <v>157</v>
      </c>
      <c r="P1087" s="222" t="n">
        <v>155</v>
      </c>
      <c r="Q1087" s="43" t="inlineStr">
        <is>
          <t>202604_LIXIL_サーモスＬ_業務用資料集_完成品価格表.pdf</t>
        </is>
      </c>
      <c r="R1087" s="43" t="n"/>
      <c r="S1087" s="42" t="inlineStr">
        <is>
          <t>無印</t>
        </is>
      </c>
      <c r="T1087" s="42" t="n">
        <v>154</v>
      </c>
      <c r="U1087" s="42" t="inlineStr">
        <is>
          <t>P154|無印</t>
        </is>
      </c>
      <c r="V1087" s="42" t="inlineStr">
        <is>
          <t>同一価格表・前頁凡例を継承</t>
        </is>
      </c>
    </row>
    <row r="1088">
      <c r="A1088" s="43" t="inlineStr">
        <is>
          <t>SZ-SL-001085</t>
        </is>
      </c>
      <c r="B1088" s="43" t="inlineStr">
        <is>
          <t>SER-LIX-SAMOSL</t>
        </is>
      </c>
      <c r="C1088" s="43" t="inlineStr">
        <is>
          <t>WT-SL-FIX-OUT</t>
        </is>
      </c>
      <c r="D1088" s="43" t="inlineStr">
        <is>
          <t>FIX窓（外押縁タイプ）</t>
        </is>
      </c>
      <c r="E1088" s="43" t="n"/>
      <c r="F1088" s="43" t="inlineStr">
        <is>
          <t>在来・204</t>
        </is>
      </c>
      <c r="G1088" s="43" t="inlineStr">
        <is>
          <t>16505</t>
        </is>
      </c>
      <c r="H1088" s="43" t="inlineStr">
        <is>
          <t>165</t>
        </is>
      </c>
      <c r="I1088" s="43" t="inlineStr">
        <is>
          <t>05</t>
        </is>
      </c>
      <c r="J1088" s="222" t="n">
        <v>1690</v>
      </c>
      <c r="K1088" s="222" t="n">
        <v>570</v>
      </c>
      <c r="L1088" s="43" t="inlineStr">
        <is>
          <t>在来・204｜マド④</t>
        </is>
      </c>
      <c r="M1088" s="178" t="b">
        <v>1</v>
      </c>
      <c r="N1088" s="43" t="inlineStr">
        <is>
          <t>カタログ規格確認済み</t>
        </is>
      </c>
      <c r="O1088" s="222" t="n">
        <v>157</v>
      </c>
      <c r="P1088" s="222" t="n">
        <v>155</v>
      </c>
      <c r="Q1088" s="43" t="inlineStr">
        <is>
          <t>202604_LIXIL_サーモスＬ_業務用資料集_完成品価格表.pdf</t>
        </is>
      </c>
      <c r="R1088" s="43" t="n"/>
      <c r="S1088" s="42" t="inlineStr">
        <is>
          <t>無印</t>
        </is>
      </c>
      <c r="T1088" s="42" t="n">
        <v>154</v>
      </c>
      <c r="U1088" s="42" t="inlineStr">
        <is>
          <t>P154|無印</t>
        </is>
      </c>
      <c r="V1088" s="42" t="inlineStr">
        <is>
          <t>同一価格表・前頁凡例を継承</t>
        </is>
      </c>
    </row>
    <row r="1089">
      <c r="A1089" s="43" t="inlineStr">
        <is>
          <t>SZ-SL-001086</t>
        </is>
      </c>
      <c r="B1089" s="43" t="inlineStr">
        <is>
          <t>SER-LIX-SAMOSL</t>
        </is>
      </c>
      <c r="C1089" s="43" t="inlineStr">
        <is>
          <t>WT-SL-FIX-OUT</t>
        </is>
      </c>
      <c r="D1089" s="43" t="inlineStr">
        <is>
          <t>FIX窓（外押縁タイプ）</t>
        </is>
      </c>
      <c r="E1089" s="43" t="n"/>
      <c r="F1089" s="43" t="inlineStr">
        <is>
          <t>在来・204</t>
        </is>
      </c>
      <c r="G1089" s="43" t="inlineStr">
        <is>
          <t>16507</t>
        </is>
      </c>
      <c r="H1089" s="43" t="inlineStr">
        <is>
          <t>165</t>
        </is>
      </c>
      <c r="I1089" s="43" t="inlineStr">
        <is>
          <t>07</t>
        </is>
      </c>
      <c r="J1089" s="222" t="n">
        <v>1690</v>
      </c>
      <c r="K1089" s="222" t="n">
        <v>770</v>
      </c>
      <c r="L1089" s="43" t="inlineStr">
        <is>
          <t>在来・204｜マド④</t>
        </is>
      </c>
      <c r="M1089" s="178" t="b">
        <v>1</v>
      </c>
      <c r="N1089" s="43" t="inlineStr">
        <is>
          <t>カタログ規格確認済み</t>
        </is>
      </c>
      <c r="O1089" s="222" t="n">
        <v>157</v>
      </c>
      <c r="P1089" s="222" t="n">
        <v>155</v>
      </c>
      <c r="Q1089" s="43" t="inlineStr">
        <is>
          <t>202604_LIXIL_サーモスＬ_業務用資料集_完成品価格表.pdf</t>
        </is>
      </c>
      <c r="R1089" s="43" t="n"/>
      <c r="S1089" s="42" t="inlineStr">
        <is>
          <t>★</t>
        </is>
      </c>
      <c r="T1089" s="42" t="n">
        <v>154</v>
      </c>
      <c r="U1089" s="42" t="inlineStr">
        <is>
          <t>P154|★</t>
        </is>
      </c>
      <c r="V1089" s="42" t="inlineStr">
        <is>
          <t>同一価格表・前頁凡例を継承</t>
        </is>
      </c>
    </row>
    <row r="1090">
      <c r="A1090" s="43" t="inlineStr">
        <is>
          <t>SZ-SL-001087</t>
        </is>
      </c>
      <c r="B1090" s="43" t="inlineStr">
        <is>
          <t>SER-LIX-SAMOSL</t>
        </is>
      </c>
      <c r="C1090" s="43" t="inlineStr">
        <is>
          <t>WT-SL-FIX-OUT</t>
        </is>
      </c>
      <c r="D1090" s="43" t="inlineStr">
        <is>
          <t>FIX窓（外押縁タイプ）</t>
        </is>
      </c>
      <c r="E1090" s="43" t="n"/>
      <c r="F1090" s="43" t="inlineStr">
        <is>
          <t>在来・204</t>
        </is>
      </c>
      <c r="G1090" s="43" t="inlineStr">
        <is>
          <t>01609</t>
        </is>
      </c>
      <c r="H1090" s="43" t="inlineStr">
        <is>
          <t>016</t>
        </is>
      </c>
      <c r="I1090" s="43" t="inlineStr">
        <is>
          <t>09</t>
        </is>
      </c>
      <c r="J1090" s="222" t="n">
        <v>200</v>
      </c>
      <c r="K1090" s="222" t="n">
        <v>970</v>
      </c>
      <c r="L1090" s="43" t="inlineStr">
        <is>
          <t>在来・204｜マド</t>
        </is>
      </c>
      <c r="M1090" s="178" t="b">
        <v>1</v>
      </c>
      <c r="N1090" s="43" t="inlineStr">
        <is>
          <t>カタログ規格確認済み</t>
        </is>
      </c>
      <c r="O1090" s="222" t="n">
        <v>158</v>
      </c>
      <c r="P1090" s="222" t="n">
        <v>156</v>
      </c>
      <c r="Q1090" s="43" t="inlineStr">
        <is>
          <t>202604_LIXIL_サーモスＬ_業務用資料集_完成品価格表.pdf</t>
        </is>
      </c>
      <c r="R1090" s="43" t="n"/>
      <c r="S1090" s="42" t="inlineStr">
        <is>
          <t>無印</t>
        </is>
      </c>
      <c r="T1090" s="42" t="n">
        <v>157</v>
      </c>
      <c r="U1090" s="42" t="inlineStr">
        <is>
          <t>P157|無印</t>
        </is>
      </c>
      <c r="V1090" s="42" t="inlineStr">
        <is>
          <t>同一価格表・次頁凡例を継承</t>
        </is>
      </c>
    </row>
    <row r="1091">
      <c r="A1091" s="43" t="inlineStr">
        <is>
          <t>SZ-SL-001088</t>
        </is>
      </c>
      <c r="B1091" s="43" t="inlineStr">
        <is>
          <t>SER-LIX-SAMOSL</t>
        </is>
      </c>
      <c r="C1091" s="43" t="inlineStr">
        <is>
          <t>WT-SL-FIX-OUT</t>
        </is>
      </c>
      <c r="D1091" s="43" t="inlineStr">
        <is>
          <t>FIX窓（外押縁タイプ）</t>
        </is>
      </c>
      <c r="E1091" s="43" t="n"/>
      <c r="F1091" s="43" t="inlineStr">
        <is>
          <t>在来・204</t>
        </is>
      </c>
      <c r="G1091" s="43" t="inlineStr">
        <is>
          <t>01611</t>
        </is>
      </c>
      <c r="H1091" s="43" t="inlineStr">
        <is>
          <t>016</t>
        </is>
      </c>
      <c r="I1091" s="43" t="inlineStr">
        <is>
          <t>11</t>
        </is>
      </c>
      <c r="J1091" s="222" t="n">
        <v>200</v>
      </c>
      <c r="K1091" s="222" t="n">
        <v>1170</v>
      </c>
      <c r="L1091" s="43" t="inlineStr">
        <is>
          <t>在来・204｜マド</t>
        </is>
      </c>
      <c r="M1091" s="178" t="b">
        <v>1</v>
      </c>
      <c r="N1091" s="43" t="inlineStr">
        <is>
          <t>カタログ規格確認済み</t>
        </is>
      </c>
      <c r="O1091" s="222" t="n">
        <v>158</v>
      </c>
      <c r="P1091" s="222" t="n">
        <v>156</v>
      </c>
      <c r="Q1091" s="43" t="inlineStr">
        <is>
          <t>202604_LIXIL_サーモスＬ_業務用資料集_完成品価格表.pdf</t>
        </is>
      </c>
      <c r="R1091" s="43" t="n"/>
      <c r="S1091" s="42" t="inlineStr">
        <is>
          <t>無印</t>
        </is>
      </c>
      <c r="T1091" s="42" t="n">
        <v>157</v>
      </c>
      <c r="U1091" s="42" t="inlineStr">
        <is>
          <t>P157|無印</t>
        </is>
      </c>
      <c r="V1091" s="42" t="inlineStr">
        <is>
          <t>同一価格表・次頁凡例を継承</t>
        </is>
      </c>
    </row>
    <row r="1092">
      <c r="A1092" s="43" t="inlineStr">
        <is>
          <t>SZ-SL-001089</t>
        </is>
      </c>
      <c r="B1092" s="43" t="inlineStr">
        <is>
          <t>SER-LIX-SAMOSL</t>
        </is>
      </c>
      <c r="C1092" s="43" t="inlineStr">
        <is>
          <t>WT-SL-FIX-OUT</t>
        </is>
      </c>
      <c r="D1092" s="43" t="inlineStr">
        <is>
          <t>FIX窓（外押縁タイプ）</t>
        </is>
      </c>
      <c r="E1092" s="43" t="n"/>
      <c r="F1092" s="43" t="inlineStr">
        <is>
          <t>在来・204</t>
        </is>
      </c>
      <c r="G1092" s="43" t="inlineStr">
        <is>
          <t>01613</t>
        </is>
      </c>
      <c r="H1092" s="43" t="inlineStr">
        <is>
          <t>016</t>
        </is>
      </c>
      <c r="I1092" s="43" t="inlineStr">
        <is>
          <t>13</t>
        </is>
      </c>
      <c r="J1092" s="222" t="n">
        <v>200</v>
      </c>
      <c r="K1092" s="222" t="n">
        <v>1370</v>
      </c>
      <c r="L1092" s="43" t="inlineStr">
        <is>
          <t>在来・204｜マド</t>
        </is>
      </c>
      <c r="M1092" s="178" t="b">
        <v>1</v>
      </c>
      <c r="N1092" s="43" t="inlineStr">
        <is>
          <t>カタログ規格確認済み</t>
        </is>
      </c>
      <c r="O1092" s="222" t="n">
        <v>158</v>
      </c>
      <c r="P1092" s="222" t="n">
        <v>156</v>
      </c>
      <c r="Q1092" s="43" t="inlineStr">
        <is>
          <t>202604_LIXIL_サーモスＬ_業務用資料集_完成品価格表.pdf</t>
        </is>
      </c>
      <c r="R1092" s="43" t="n"/>
      <c r="S1092" s="42" t="inlineStr">
        <is>
          <t>無印</t>
        </is>
      </c>
      <c r="T1092" s="42" t="n">
        <v>157</v>
      </c>
      <c r="U1092" s="42" t="inlineStr">
        <is>
          <t>P157|無印</t>
        </is>
      </c>
      <c r="V1092" s="42" t="inlineStr">
        <is>
          <t>同一価格表・次頁凡例を継承</t>
        </is>
      </c>
    </row>
    <row r="1093">
      <c r="A1093" s="43" t="inlineStr">
        <is>
          <t>SZ-SL-001090</t>
        </is>
      </c>
      <c r="B1093" s="43" t="inlineStr">
        <is>
          <t>SER-LIX-SAMOSL</t>
        </is>
      </c>
      <c r="C1093" s="43" t="inlineStr">
        <is>
          <t>WT-SL-FIX-OUT</t>
        </is>
      </c>
      <c r="D1093" s="43" t="inlineStr">
        <is>
          <t>FIX窓（外押縁タイプ）</t>
        </is>
      </c>
      <c r="E1093" s="43" t="n"/>
      <c r="F1093" s="43" t="inlineStr">
        <is>
          <t>在来・204</t>
        </is>
      </c>
      <c r="G1093" s="43" t="inlineStr">
        <is>
          <t>01615</t>
        </is>
      </c>
      <c r="H1093" s="43" t="inlineStr">
        <is>
          <t>016</t>
        </is>
      </c>
      <c r="I1093" s="43" t="inlineStr">
        <is>
          <t>15</t>
        </is>
      </c>
      <c r="J1093" s="222" t="n">
        <v>200</v>
      </c>
      <c r="K1093" s="222" t="n">
        <v>1570</v>
      </c>
      <c r="L1093" s="43" t="inlineStr">
        <is>
          <t>在来・204｜マド</t>
        </is>
      </c>
      <c r="M1093" s="178" t="b">
        <v>1</v>
      </c>
      <c r="N1093" s="43" t="inlineStr">
        <is>
          <t>カタログ規格確認済み</t>
        </is>
      </c>
      <c r="O1093" s="222" t="n">
        <v>158</v>
      </c>
      <c r="P1093" s="222" t="n">
        <v>156</v>
      </c>
      <c r="Q1093" s="43" t="inlineStr">
        <is>
          <t>202604_LIXIL_サーモスＬ_業務用資料集_完成品価格表.pdf</t>
        </is>
      </c>
      <c r="R1093" s="43" t="n"/>
      <c r="S1093" s="42" t="inlineStr">
        <is>
          <t>無印</t>
        </is>
      </c>
      <c r="T1093" s="42" t="n">
        <v>157</v>
      </c>
      <c r="U1093" s="42" t="inlineStr">
        <is>
          <t>P157|無印</t>
        </is>
      </c>
      <c r="V1093" s="42" t="inlineStr">
        <is>
          <t>同一価格表・次頁凡例を継承</t>
        </is>
      </c>
    </row>
    <row r="1094">
      <c r="A1094" s="43" t="inlineStr">
        <is>
          <t>SZ-SL-001091</t>
        </is>
      </c>
      <c r="B1094" s="43" t="inlineStr">
        <is>
          <t>SER-LIX-SAMOSL</t>
        </is>
      </c>
      <c r="C1094" s="43" t="inlineStr">
        <is>
          <t>WT-SL-FIX-OUT</t>
        </is>
      </c>
      <c r="D1094" s="43" t="inlineStr">
        <is>
          <t>FIX窓（外押縁タイプ）</t>
        </is>
      </c>
      <c r="E1094" s="43" t="n"/>
      <c r="F1094" s="43" t="inlineStr">
        <is>
          <t>在来・204</t>
        </is>
      </c>
      <c r="G1094" s="43" t="inlineStr">
        <is>
          <t>02109</t>
        </is>
      </c>
      <c r="H1094" s="43" t="inlineStr">
        <is>
          <t>021</t>
        </is>
      </c>
      <c r="I1094" s="43" t="inlineStr">
        <is>
          <t>09</t>
        </is>
      </c>
      <c r="J1094" s="222" t="n">
        <v>250</v>
      </c>
      <c r="K1094" s="222" t="n">
        <v>970</v>
      </c>
      <c r="L1094" s="43" t="inlineStr">
        <is>
          <t>在来・204｜マド</t>
        </is>
      </c>
      <c r="M1094" s="178" t="b">
        <v>1</v>
      </c>
      <c r="N1094" s="43" t="inlineStr">
        <is>
          <t>カタログ規格確認済み</t>
        </is>
      </c>
      <c r="O1094" s="222" t="n">
        <v>158</v>
      </c>
      <c r="P1094" s="222" t="n">
        <v>156</v>
      </c>
      <c r="Q1094" s="43" t="inlineStr">
        <is>
          <t>202604_LIXIL_サーモスＬ_業務用資料集_完成品価格表.pdf</t>
        </is>
      </c>
      <c r="R1094" s="43" t="n"/>
      <c r="S1094" s="42" t="inlineStr">
        <is>
          <t>無印</t>
        </is>
      </c>
      <c r="T1094" s="42" t="n">
        <v>157</v>
      </c>
      <c r="U1094" s="42" t="inlineStr">
        <is>
          <t>P157|無印</t>
        </is>
      </c>
      <c r="V1094" s="42" t="inlineStr">
        <is>
          <t>同一価格表・次頁凡例を継承</t>
        </is>
      </c>
    </row>
    <row r="1095">
      <c r="A1095" s="43" t="inlineStr">
        <is>
          <t>SZ-SL-001092</t>
        </is>
      </c>
      <c r="B1095" s="43" t="inlineStr">
        <is>
          <t>SER-LIX-SAMOSL</t>
        </is>
      </c>
      <c r="C1095" s="43" t="inlineStr">
        <is>
          <t>WT-SL-FIX-OUT</t>
        </is>
      </c>
      <c r="D1095" s="43" t="inlineStr">
        <is>
          <t>FIX窓（外押縁タイプ）</t>
        </is>
      </c>
      <c r="E1095" s="43" t="n"/>
      <c r="F1095" s="43" t="inlineStr">
        <is>
          <t>在来・204</t>
        </is>
      </c>
      <c r="G1095" s="43" t="inlineStr">
        <is>
          <t>02111</t>
        </is>
      </c>
      <c r="H1095" s="43" t="inlineStr">
        <is>
          <t>021</t>
        </is>
      </c>
      <c r="I1095" s="43" t="inlineStr">
        <is>
          <t>11</t>
        </is>
      </c>
      <c r="J1095" s="222" t="n">
        <v>250</v>
      </c>
      <c r="K1095" s="222" t="n">
        <v>1170</v>
      </c>
      <c r="L1095" s="43" t="inlineStr">
        <is>
          <t>在来・204｜マド</t>
        </is>
      </c>
      <c r="M1095" s="178" t="b">
        <v>1</v>
      </c>
      <c r="N1095" s="43" t="inlineStr">
        <is>
          <t>カタログ規格確認済み</t>
        </is>
      </c>
      <c r="O1095" s="222" t="n">
        <v>158</v>
      </c>
      <c r="P1095" s="222" t="n">
        <v>156</v>
      </c>
      <c r="Q1095" s="43" t="inlineStr">
        <is>
          <t>202604_LIXIL_サーモスＬ_業務用資料集_完成品価格表.pdf</t>
        </is>
      </c>
      <c r="R1095" s="43" t="n"/>
      <c r="S1095" s="42" t="inlineStr">
        <is>
          <t>無印</t>
        </is>
      </c>
      <c r="T1095" s="42" t="n">
        <v>157</v>
      </c>
      <c r="U1095" s="42" t="inlineStr">
        <is>
          <t>P157|無印</t>
        </is>
      </c>
      <c r="V1095" s="42" t="inlineStr">
        <is>
          <t>同一価格表・次頁凡例を継承</t>
        </is>
      </c>
    </row>
    <row r="1096">
      <c r="A1096" s="43" t="inlineStr">
        <is>
          <t>SZ-SL-001093</t>
        </is>
      </c>
      <c r="B1096" s="43" t="inlineStr">
        <is>
          <t>SER-LIX-SAMOSL</t>
        </is>
      </c>
      <c r="C1096" s="43" t="inlineStr">
        <is>
          <t>WT-SL-FIX-OUT</t>
        </is>
      </c>
      <c r="D1096" s="43" t="inlineStr">
        <is>
          <t>FIX窓（外押縁タイプ）</t>
        </is>
      </c>
      <c r="E1096" s="43" t="n"/>
      <c r="F1096" s="43" t="inlineStr">
        <is>
          <t>在来・204</t>
        </is>
      </c>
      <c r="G1096" s="43" t="inlineStr">
        <is>
          <t>02113</t>
        </is>
      </c>
      <c r="H1096" s="43" t="inlineStr">
        <is>
          <t>021</t>
        </is>
      </c>
      <c r="I1096" s="43" t="inlineStr">
        <is>
          <t>13</t>
        </is>
      </c>
      <c r="J1096" s="222" t="n">
        <v>250</v>
      </c>
      <c r="K1096" s="222" t="n">
        <v>1370</v>
      </c>
      <c r="L1096" s="43" t="inlineStr">
        <is>
          <t>在来・204｜マド</t>
        </is>
      </c>
      <c r="M1096" s="178" t="b">
        <v>1</v>
      </c>
      <c r="N1096" s="43" t="inlineStr">
        <is>
          <t>カタログ規格確認済み</t>
        </is>
      </c>
      <c r="O1096" s="222" t="n">
        <v>158</v>
      </c>
      <c r="P1096" s="222" t="n">
        <v>156</v>
      </c>
      <c r="Q1096" s="43" t="inlineStr">
        <is>
          <t>202604_LIXIL_サーモスＬ_業務用資料集_完成品価格表.pdf</t>
        </is>
      </c>
      <c r="R1096" s="43" t="n"/>
      <c r="S1096" s="42" t="inlineStr">
        <is>
          <t>無印</t>
        </is>
      </c>
      <c r="T1096" s="42" t="n">
        <v>157</v>
      </c>
      <c r="U1096" s="42" t="inlineStr">
        <is>
          <t>P157|無印</t>
        </is>
      </c>
      <c r="V1096" s="42" t="inlineStr">
        <is>
          <t>同一価格表・次頁凡例を継承</t>
        </is>
      </c>
    </row>
    <row r="1097">
      <c r="A1097" s="43" t="inlineStr">
        <is>
          <t>SZ-SL-001094</t>
        </is>
      </c>
      <c r="B1097" s="43" t="inlineStr">
        <is>
          <t>SER-LIX-SAMOSL</t>
        </is>
      </c>
      <c r="C1097" s="43" t="inlineStr">
        <is>
          <t>WT-SL-FIX-OUT</t>
        </is>
      </c>
      <c r="D1097" s="43" t="inlineStr">
        <is>
          <t>FIX窓（外押縁タイプ）</t>
        </is>
      </c>
      <c r="E1097" s="43" t="n"/>
      <c r="F1097" s="43" t="inlineStr">
        <is>
          <t>在来・204</t>
        </is>
      </c>
      <c r="G1097" s="43" t="inlineStr">
        <is>
          <t>02115</t>
        </is>
      </c>
      <c r="H1097" s="43" t="inlineStr">
        <is>
          <t>021</t>
        </is>
      </c>
      <c r="I1097" s="43" t="inlineStr">
        <is>
          <t>15</t>
        </is>
      </c>
      <c r="J1097" s="222" t="n">
        <v>250</v>
      </c>
      <c r="K1097" s="222" t="n">
        <v>1570</v>
      </c>
      <c r="L1097" s="43" t="inlineStr">
        <is>
          <t>在来・204｜マド</t>
        </is>
      </c>
      <c r="M1097" s="178" t="b">
        <v>1</v>
      </c>
      <c r="N1097" s="43" t="inlineStr">
        <is>
          <t>カタログ規格確認済み</t>
        </is>
      </c>
      <c r="O1097" s="222" t="n">
        <v>158</v>
      </c>
      <c r="P1097" s="222" t="n">
        <v>156</v>
      </c>
      <c r="Q1097" s="43" t="inlineStr">
        <is>
          <t>202604_LIXIL_サーモスＬ_業務用資料集_完成品価格表.pdf</t>
        </is>
      </c>
      <c r="R1097" s="43" t="n"/>
      <c r="S1097" s="42" t="inlineStr">
        <is>
          <t>無印</t>
        </is>
      </c>
      <c r="T1097" s="42" t="n">
        <v>157</v>
      </c>
      <c r="U1097" s="42" t="inlineStr">
        <is>
          <t>P157|無印</t>
        </is>
      </c>
      <c r="V1097" s="42" t="inlineStr">
        <is>
          <t>同一価格表・次頁凡例を継承</t>
        </is>
      </c>
    </row>
    <row r="1098">
      <c r="A1098" s="43" t="inlineStr">
        <is>
          <t>SZ-SL-001095</t>
        </is>
      </c>
      <c r="B1098" s="43" t="inlineStr">
        <is>
          <t>SER-LIX-SAMOSL</t>
        </is>
      </c>
      <c r="C1098" s="43" t="inlineStr">
        <is>
          <t>WT-SL-FIX-OUT</t>
        </is>
      </c>
      <c r="D1098" s="43" t="inlineStr">
        <is>
          <t>FIX窓（外押縁タイプ）</t>
        </is>
      </c>
      <c r="E1098" s="43" t="n"/>
      <c r="F1098" s="43" t="inlineStr">
        <is>
          <t>在来・204</t>
        </is>
      </c>
      <c r="G1098" s="43" t="inlineStr">
        <is>
          <t>02309</t>
        </is>
      </c>
      <c r="H1098" s="43" t="inlineStr">
        <is>
          <t>023</t>
        </is>
      </c>
      <c r="I1098" s="43" t="inlineStr">
        <is>
          <t>09</t>
        </is>
      </c>
      <c r="J1098" s="222" t="n">
        <v>275</v>
      </c>
      <c r="K1098" s="222" t="n">
        <v>970</v>
      </c>
      <c r="L1098" s="43" t="inlineStr">
        <is>
          <t>在来・204｜マド</t>
        </is>
      </c>
      <c r="M1098" s="178" t="b">
        <v>1</v>
      </c>
      <c r="N1098" s="43" t="inlineStr">
        <is>
          <t>カタログ規格確認済み</t>
        </is>
      </c>
      <c r="O1098" s="222" t="n">
        <v>158</v>
      </c>
      <c r="P1098" s="222" t="n">
        <v>156</v>
      </c>
      <c r="Q1098" s="43" t="inlineStr">
        <is>
          <t>202604_LIXIL_サーモスＬ_業務用資料集_完成品価格表.pdf</t>
        </is>
      </c>
      <c r="R1098" s="43" t="n"/>
      <c r="S1098" s="42" t="inlineStr">
        <is>
          <t>無印</t>
        </is>
      </c>
      <c r="T1098" s="42" t="n">
        <v>157</v>
      </c>
      <c r="U1098" s="42" t="inlineStr">
        <is>
          <t>P157|無印</t>
        </is>
      </c>
      <c r="V1098" s="42" t="inlineStr">
        <is>
          <t>同一価格表・次頁凡例を継承</t>
        </is>
      </c>
    </row>
    <row r="1099">
      <c r="A1099" s="43" t="inlineStr">
        <is>
          <t>SZ-SL-001096</t>
        </is>
      </c>
      <c r="B1099" s="43" t="inlineStr">
        <is>
          <t>SER-LIX-SAMOSL</t>
        </is>
      </c>
      <c r="C1099" s="43" t="inlineStr">
        <is>
          <t>WT-SL-FIX-OUT</t>
        </is>
      </c>
      <c r="D1099" s="43" t="inlineStr">
        <is>
          <t>FIX窓（外押縁タイプ）</t>
        </is>
      </c>
      <c r="E1099" s="43" t="n"/>
      <c r="F1099" s="43" t="inlineStr">
        <is>
          <t>在来・204</t>
        </is>
      </c>
      <c r="G1099" s="43" t="inlineStr">
        <is>
          <t>02311</t>
        </is>
      </c>
      <c r="H1099" s="43" t="inlineStr">
        <is>
          <t>023</t>
        </is>
      </c>
      <c r="I1099" s="43" t="inlineStr">
        <is>
          <t>11</t>
        </is>
      </c>
      <c r="J1099" s="222" t="n">
        <v>275</v>
      </c>
      <c r="K1099" s="222" t="n">
        <v>1170</v>
      </c>
      <c r="L1099" s="43" t="inlineStr">
        <is>
          <t>在来・204｜マド</t>
        </is>
      </c>
      <c r="M1099" s="178" t="b">
        <v>1</v>
      </c>
      <c r="N1099" s="43" t="inlineStr">
        <is>
          <t>カタログ規格確認済み</t>
        </is>
      </c>
      <c r="O1099" s="222" t="n">
        <v>158</v>
      </c>
      <c r="P1099" s="222" t="n">
        <v>156</v>
      </c>
      <c r="Q1099" s="43" t="inlineStr">
        <is>
          <t>202604_LIXIL_サーモスＬ_業務用資料集_完成品価格表.pdf</t>
        </is>
      </c>
      <c r="R1099" s="43" t="n"/>
      <c r="S1099" s="42" t="inlineStr">
        <is>
          <t>無印</t>
        </is>
      </c>
      <c r="T1099" s="42" t="n">
        <v>157</v>
      </c>
      <c r="U1099" s="42" t="inlineStr">
        <is>
          <t>P157|無印</t>
        </is>
      </c>
      <c r="V1099" s="42" t="inlineStr">
        <is>
          <t>同一価格表・次頁凡例を継承</t>
        </is>
      </c>
    </row>
    <row r="1100">
      <c r="A1100" s="43" t="inlineStr">
        <is>
          <t>SZ-SL-001097</t>
        </is>
      </c>
      <c r="B1100" s="43" t="inlineStr">
        <is>
          <t>SER-LIX-SAMOSL</t>
        </is>
      </c>
      <c r="C1100" s="43" t="inlineStr">
        <is>
          <t>WT-SL-FIX-OUT</t>
        </is>
      </c>
      <c r="D1100" s="43" t="inlineStr">
        <is>
          <t>FIX窓（外押縁タイプ）</t>
        </is>
      </c>
      <c r="E1100" s="43" t="n"/>
      <c r="F1100" s="43" t="inlineStr">
        <is>
          <t>在来・204</t>
        </is>
      </c>
      <c r="G1100" s="43" t="inlineStr">
        <is>
          <t>02313</t>
        </is>
      </c>
      <c r="H1100" s="43" t="inlineStr">
        <is>
          <t>023</t>
        </is>
      </c>
      <c r="I1100" s="43" t="inlineStr">
        <is>
          <t>13</t>
        </is>
      </c>
      <c r="J1100" s="222" t="n">
        <v>275</v>
      </c>
      <c r="K1100" s="222" t="n">
        <v>1370</v>
      </c>
      <c r="L1100" s="43" t="inlineStr">
        <is>
          <t>在来・204｜マド</t>
        </is>
      </c>
      <c r="M1100" s="178" t="b">
        <v>1</v>
      </c>
      <c r="N1100" s="43" t="inlineStr">
        <is>
          <t>カタログ規格確認済み</t>
        </is>
      </c>
      <c r="O1100" s="222" t="n">
        <v>158</v>
      </c>
      <c r="P1100" s="222" t="n">
        <v>156</v>
      </c>
      <c r="Q1100" s="43" t="inlineStr">
        <is>
          <t>202604_LIXIL_サーモスＬ_業務用資料集_完成品価格表.pdf</t>
        </is>
      </c>
      <c r="R1100" s="43" t="n"/>
      <c r="S1100" s="42" t="inlineStr">
        <is>
          <t>無印</t>
        </is>
      </c>
      <c r="T1100" s="42" t="n">
        <v>157</v>
      </c>
      <c r="U1100" s="42" t="inlineStr">
        <is>
          <t>P157|無印</t>
        </is>
      </c>
      <c r="V1100" s="42" t="inlineStr">
        <is>
          <t>同一価格表・次頁凡例を継承</t>
        </is>
      </c>
    </row>
    <row r="1101">
      <c r="A1101" s="43" t="inlineStr">
        <is>
          <t>SZ-SL-001098</t>
        </is>
      </c>
      <c r="B1101" s="43" t="inlineStr">
        <is>
          <t>SER-LIX-SAMOSL</t>
        </is>
      </c>
      <c r="C1101" s="43" t="inlineStr">
        <is>
          <t>WT-SL-FIX-OUT</t>
        </is>
      </c>
      <c r="D1101" s="43" t="inlineStr">
        <is>
          <t>FIX窓（外押縁タイプ）</t>
        </is>
      </c>
      <c r="E1101" s="43" t="n"/>
      <c r="F1101" s="43" t="inlineStr">
        <is>
          <t>在来・204</t>
        </is>
      </c>
      <c r="G1101" s="43" t="inlineStr">
        <is>
          <t>02609</t>
        </is>
      </c>
      <c r="H1101" s="43" t="inlineStr">
        <is>
          <t>026</t>
        </is>
      </c>
      <c r="I1101" s="43" t="inlineStr">
        <is>
          <t>09</t>
        </is>
      </c>
      <c r="J1101" s="222" t="n">
        <v>300</v>
      </c>
      <c r="K1101" s="222" t="n">
        <v>970</v>
      </c>
      <c r="L1101" s="43" t="inlineStr">
        <is>
          <t>在来・204｜マド</t>
        </is>
      </c>
      <c r="M1101" s="178" t="b">
        <v>1</v>
      </c>
      <c r="N1101" s="43" t="inlineStr">
        <is>
          <t>カタログ規格確認済み</t>
        </is>
      </c>
      <c r="O1101" s="222" t="n">
        <v>158</v>
      </c>
      <c r="P1101" s="222" t="n">
        <v>156</v>
      </c>
      <c r="Q1101" s="43" t="inlineStr">
        <is>
          <t>202604_LIXIL_サーモスＬ_業務用資料集_完成品価格表.pdf</t>
        </is>
      </c>
      <c r="R1101" s="43" t="n"/>
      <c r="S1101" s="42" t="inlineStr">
        <is>
          <t>無印</t>
        </is>
      </c>
      <c r="T1101" s="42" t="n">
        <v>157</v>
      </c>
      <c r="U1101" s="42" t="inlineStr">
        <is>
          <t>P157|無印</t>
        </is>
      </c>
      <c r="V1101" s="42" t="inlineStr">
        <is>
          <t>同一価格表・次頁凡例を継承</t>
        </is>
      </c>
    </row>
    <row r="1102">
      <c r="A1102" s="43" t="inlineStr">
        <is>
          <t>SZ-SL-001099</t>
        </is>
      </c>
      <c r="B1102" s="43" t="inlineStr">
        <is>
          <t>SER-LIX-SAMOSL</t>
        </is>
      </c>
      <c r="C1102" s="43" t="inlineStr">
        <is>
          <t>WT-SL-FIX-OUT</t>
        </is>
      </c>
      <c r="D1102" s="43" t="inlineStr">
        <is>
          <t>FIX窓（外押縁タイプ）</t>
        </is>
      </c>
      <c r="E1102" s="43" t="n"/>
      <c r="F1102" s="43" t="inlineStr">
        <is>
          <t>在来・204</t>
        </is>
      </c>
      <c r="G1102" s="43" t="inlineStr">
        <is>
          <t>02611</t>
        </is>
      </c>
      <c r="H1102" s="43" t="inlineStr">
        <is>
          <t>026</t>
        </is>
      </c>
      <c r="I1102" s="43" t="inlineStr">
        <is>
          <t>11</t>
        </is>
      </c>
      <c r="J1102" s="222" t="n">
        <v>300</v>
      </c>
      <c r="K1102" s="222" t="n">
        <v>1170</v>
      </c>
      <c r="L1102" s="43" t="inlineStr">
        <is>
          <t>在来・204｜マド</t>
        </is>
      </c>
      <c r="M1102" s="178" t="b">
        <v>1</v>
      </c>
      <c r="N1102" s="43" t="inlineStr">
        <is>
          <t>カタログ規格確認済み</t>
        </is>
      </c>
      <c r="O1102" s="222" t="n">
        <v>158</v>
      </c>
      <c r="P1102" s="222" t="n">
        <v>156</v>
      </c>
      <c r="Q1102" s="43" t="inlineStr">
        <is>
          <t>202604_LIXIL_サーモスＬ_業務用資料集_完成品価格表.pdf</t>
        </is>
      </c>
      <c r="R1102" s="43" t="n"/>
      <c r="S1102" s="42" t="inlineStr">
        <is>
          <t>無印</t>
        </is>
      </c>
      <c r="T1102" s="42" t="n">
        <v>157</v>
      </c>
      <c r="U1102" s="42" t="inlineStr">
        <is>
          <t>P157|無印</t>
        </is>
      </c>
      <c r="V1102" s="42" t="inlineStr">
        <is>
          <t>同一価格表・次頁凡例を継承</t>
        </is>
      </c>
    </row>
    <row r="1103">
      <c r="A1103" s="43" t="inlineStr">
        <is>
          <t>SZ-SL-001100</t>
        </is>
      </c>
      <c r="B1103" s="43" t="inlineStr">
        <is>
          <t>SER-LIX-SAMOSL</t>
        </is>
      </c>
      <c r="C1103" s="43" t="inlineStr">
        <is>
          <t>WT-SL-FIX-OUT</t>
        </is>
      </c>
      <c r="D1103" s="43" t="inlineStr">
        <is>
          <t>FIX窓（外押縁タイプ）</t>
        </is>
      </c>
      <c r="E1103" s="43" t="n"/>
      <c r="F1103" s="43" t="inlineStr">
        <is>
          <t>在来・204</t>
        </is>
      </c>
      <c r="G1103" s="43" t="inlineStr">
        <is>
          <t>02613</t>
        </is>
      </c>
      <c r="H1103" s="43" t="inlineStr">
        <is>
          <t>026</t>
        </is>
      </c>
      <c r="I1103" s="43" t="inlineStr">
        <is>
          <t>13</t>
        </is>
      </c>
      <c r="J1103" s="222" t="n">
        <v>300</v>
      </c>
      <c r="K1103" s="222" t="n">
        <v>1370</v>
      </c>
      <c r="L1103" s="43" t="inlineStr">
        <is>
          <t>在来・204｜マド</t>
        </is>
      </c>
      <c r="M1103" s="178" t="b">
        <v>1</v>
      </c>
      <c r="N1103" s="43" t="inlineStr">
        <is>
          <t>カタログ規格確認済み</t>
        </is>
      </c>
      <c r="O1103" s="222" t="n">
        <v>158</v>
      </c>
      <c r="P1103" s="222" t="n">
        <v>156</v>
      </c>
      <c r="Q1103" s="43" t="inlineStr">
        <is>
          <t>202604_LIXIL_サーモスＬ_業務用資料集_完成品価格表.pdf</t>
        </is>
      </c>
      <c r="R1103" s="43" t="n"/>
      <c r="S1103" s="42" t="inlineStr">
        <is>
          <t>無印</t>
        </is>
      </c>
      <c r="T1103" s="42" t="n">
        <v>157</v>
      </c>
      <c r="U1103" s="42" t="inlineStr">
        <is>
          <t>P157|無印</t>
        </is>
      </c>
      <c r="V1103" s="42" t="inlineStr">
        <is>
          <t>同一価格表・次頁凡例を継承</t>
        </is>
      </c>
    </row>
    <row r="1104">
      <c r="A1104" s="43" t="inlineStr">
        <is>
          <t>SZ-SL-001101</t>
        </is>
      </c>
      <c r="B1104" s="43" t="inlineStr">
        <is>
          <t>SER-LIX-SAMOSL</t>
        </is>
      </c>
      <c r="C1104" s="43" t="inlineStr">
        <is>
          <t>WT-SL-FIX-OUT</t>
        </is>
      </c>
      <c r="D1104" s="43" t="inlineStr">
        <is>
          <t>FIX窓（外押縁タイプ）</t>
        </is>
      </c>
      <c r="E1104" s="43" t="n"/>
      <c r="F1104" s="43" t="inlineStr">
        <is>
          <t>在来・204</t>
        </is>
      </c>
      <c r="G1104" s="43" t="inlineStr">
        <is>
          <t>02615</t>
        </is>
      </c>
      <c r="H1104" s="43" t="inlineStr">
        <is>
          <t>026</t>
        </is>
      </c>
      <c r="I1104" s="43" t="inlineStr">
        <is>
          <t>15</t>
        </is>
      </c>
      <c r="J1104" s="222" t="n">
        <v>300</v>
      </c>
      <c r="K1104" s="222" t="n">
        <v>1570</v>
      </c>
      <c r="L1104" s="43" t="inlineStr">
        <is>
          <t>在来・204｜マド</t>
        </is>
      </c>
      <c r="M1104" s="178" t="b">
        <v>1</v>
      </c>
      <c r="N1104" s="43" t="inlineStr">
        <is>
          <t>カタログ規格確認済み</t>
        </is>
      </c>
      <c r="O1104" s="222" t="n">
        <v>158</v>
      </c>
      <c r="P1104" s="222" t="n">
        <v>156</v>
      </c>
      <c r="Q1104" s="43" t="inlineStr">
        <is>
          <t>202604_LIXIL_サーモスＬ_業務用資料集_完成品価格表.pdf</t>
        </is>
      </c>
      <c r="R1104" s="43" t="n"/>
      <c r="S1104" s="42" t="inlineStr">
        <is>
          <t>無印</t>
        </is>
      </c>
      <c r="T1104" s="42" t="n">
        <v>157</v>
      </c>
      <c r="U1104" s="42" t="inlineStr">
        <is>
          <t>P157|無印</t>
        </is>
      </c>
      <c r="V1104" s="42" t="inlineStr">
        <is>
          <t>同一価格表・次頁凡例を継承</t>
        </is>
      </c>
    </row>
    <row r="1105">
      <c r="A1105" s="43" t="inlineStr">
        <is>
          <t>SZ-SL-001102</t>
        </is>
      </c>
      <c r="B1105" s="43" t="inlineStr">
        <is>
          <t>SER-LIX-SAMOSL</t>
        </is>
      </c>
      <c r="C1105" s="43" t="inlineStr">
        <is>
          <t>WT-SL-FIX-OUT</t>
        </is>
      </c>
      <c r="D1105" s="43" t="inlineStr">
        <is>
          <t>FIX窓（外押縁タイプ）</t>
        </is>
      </c>
      <c r="E1105" s="43" t="n"/>
      <c r="F1105" s="43" t="inlineStr">
        <is>
          <t>在来・204</t>
        </is>
      </c>
      <c r="G1105" s="43" t="inlineStr">
        <is>
          <t>03109</t>
        </is>
      </c>
      <c r="H1105" s="43" t="inlineStr">
        <is>
          <t>031</t>
        </is>
      </c>
      <c r="I1105" s="43" t="inlineStr">
        <is>
          <t>09</t>
        </is>
      </c>
      <c r="J1105" s="222" t="n">
        <v>350</v>
      </c>
      <c r="K1105" s="222" t="n">
        <v>970</v>
      </c>
      <c r="L1105" s="43" t="inlineStr">
        <is>
          <t>在来・204｜マド</t>
        </is>
      </c>
      <c r="M1105" s="178" t="b">
        <v>1</v>
      </c>
      <c r="N1105" s="43" t="inlineStr">
        <is>
          <t>カタログ規格確認済み</t>
        </is>
      </c>
      <c r="O1105" s="222" t="n">
        <v>159</v>
      </c>
      <c r="P1105" s="222" t="n">
        <v>157</v>
      </c>
      <c r="Q1105" s="43" t="inlineStr">
        <is>
          <t>202604_LIXIL_サーモスＬ_業務用資料集_完成品価格表.pdf</t>
        </is>
      </c>
      <c r="R1105" s="43" t="n"/>
      <c r="S1105" s="42" t="inlineStr">
        <is>
          <t>無印</t>
        </is>
      </c>
      <c r="T1105" s="42" t="n">
        <v>157</v>
      </c>
      <c r="U1105" s="42" t="inlineStr">
        <is>
          <t>P157|無印</t>
        </is>
      </c>
      <c r="V1105" s="42" t="inlineStr">
        <is>
          <t>同頁凡例へ直接連動</t>
        </is>
      </c>
    </row>
    <row r="1106">
      <c r="A1106" s="43" t="inlineStr">
        <is>
          <t>SZ-SL-001103</t>
        </is>
      </c>
      <c r="B1106" s="43" t="inlineStr">
        <is>
          <t>SER-LIX-SAMOSL</t>
        </is>
      </c>
      <c r="C1106" s="43" t="inlineStr">
        <is>
          <t>WT-SL-FIX-OUT</t>
        </is>
      </c>
      <c r="D1106" s="43" t="inlineStr">
        <is>
          <t>FIX窓（外押縁タイプ）</t>
        </is>
      </c>
      <c r="E1106" s="43" t="n"/>
      <c r="F1106" s="43" t="inlineStr">
        <is>
          <t>在来・204</t>
        </is>
      </c>
      <c r="G1106" s="43" t="inlineStr">
        <is>
          <t>03111</t>
        </is>
      </c>
      <c r="H1106" s="43" t="inlineStr">
        <is>
          <t>031</t>
        </is>
      </c>
      <c r="I1106" s="43" t="inlineStr">
        <is>
          <t>11</t>
        </is>
      </c>
      <c r="J1106" s="222" t="n">
        <v>350</v>
      </c>
      <c r="K1106" s="222" t="n">
        <v>1170</v>
      </c>
      <c r="L1106" s="43" t="inlineStr">
        <is>
          <t>在来・204｜マド</t>
        </is>
      </c>
      <c r="M1106" s="178" t="b">
        <v>1</v>
      </c>
      <c r="N1106" s="43" t="inlineStr">
        <is>
          <t>カタログ規格確認済み</t>
        </is>
      </c>
      <c r="O1106" s="222" t="n">
        <v>159</v>
      </c>
      <c r="P1106" s="222" t="n">
        <v>157</v>
      </c>
      <c r="Q1106" s="43" t="inlineStr">
        <is>
          <t>202604_LIXIL_サーモスＬ_業務用資料集_完成品価格表.pdf</t>
        </is>
      </c>
      <c r="R1106" s="43" t="n"/>
      <c r="S1106" s="42" t="inlineStr">
        <is>
          <t>無印</t>
        </is>
      </c>
      <c r="T1106" s="42" t="n">
        <v>157</v>
      </c>
      <c r="U1106" s="42" t="inlineStr">
        <is>
          <t>P157|無印</t>
        </is>
      </c>
      <c r="V1106" s="42" t="inlineStr">
        <is>
          <t>同頁凡例へ直接連動</t>
        </is>
      </c>
    </row>
    <row r="1107">
      <c r="A1107" s="43" t="inlineStr">
        <is>
          <t>SZ-SL-001104</t>
        </is>
      </c>
      <c r="B1107" s="43" t="inlineStr">
        <is>
          <t>SER-LIX-SAMOSL</t>
        </is>
      </c>
      <c r="C1107" s="43" t="inlineStr">
        <is>
          <t>WT-SL-FIX-OUT</t>
        </is>
      </c>
      <c r="D1107" s="43" t="inlineStr">
        <is>
          <t>FIX窓（外押縁タイプ）</t>
        </is>
      </c>
      <c r="E1107" s="43" t="n"/>
      <c r="F1107" s="43" t="inlineStr">
        <is>
          <t>在来・204</t>
        </is>
      </c>
      <c r="G1107" s="43" t="inlineStr">
        <is>
          <t>03113</t>
        </is>
      </c>
      <c r="H1107" s="43" t="inlineStr">
        <is>
          <t>031</t>
        </is>
      </c>
      <c r="I1107" s="43" t="inlineStr">
        <is>
          <t>13</t>
        </is>
      </c>
      <c r="J1107" s="222" t="n">
        <v>350</v>
      </c>
      <c r="K1107" s="222" t="n">
        <v>1370</v>
      </c>
      <c r="L1107" s="43" t="inlineStr">
        <is>
          <t>在来・204｜マド</t>
        </is>
      </c>
      <c r="M1107" s="178" t="b">
        <v>1</v>
      </c>
      <c r="N1107" s="43" t="inlineStr">
        <is>
          <t>カタログ規格確認済み</t>
        </is>
      </c>
      <c r="O1107" s="222" t="n">
        <v>159</v>
      </c>
      <c r="P1107" s="222" t="n">
        <v>157</v>
      </c>
      <c r="Q1107" s="43" t="inlineStr">
        <is>
          <t>202604_LIXIL_サーモスＬ_業務用資料集_完成品価格表.pdf</t>
        </is>
      </c>
      <c r="R1107" s="43" t="n"/>
      <c r="S1107" s="42" t="inlineStr">
        <is>
          <t>無印</t>
        </is>
      </c>
      <c r="T1107" s="42" t="n">
        <v>157</v>
      </c>
      <c r="U1107" s="42" t="inlineStr">
        <is>
          <t>P157|無印</t>
        </is>
      </c>
      <c r="V1107" s="42" t="inlineStr">
        <is>
          <t>同頁凡例へ直接連動</t>
        </is>
      </c>
    </row>
    <row r="1108">
      <c r="A1108" s="43" t="inlineStr">
        <is>
          <t>SZ-SL-001105</t>
        </is>
      </c>
      <c r="B1108" s="43" t="inlineStr">
        <is>
          <t>SER-LIX-SAMOSL</t>
        </is>
      </c>
      <c r="C1108" s="43" t="inlineStr">
        <is>
          <t>WT-SL-FIX-OUT</t>
        </is>
      </c>
      <c r="D1108" s="43" t="inlineStr">
        <is>
          <t>FIX窓（外押縁タイプ）</t>
        </is>
      </c>
      <c r="E1108" s="43" t="n"/>
      <c r="F1108" s="43" t="inlineStr">
        <is>
          <t>在来・204</t>
        </is>
      </c>
      <c r="G1108" s="43" t="inlineStr">
        <is>
          <t>03115</t>
        </is>
      </c>
      <c r="H1108" s="43" t="inlineStr">
        <is>
          <t>031</t>
        </is>
      </c>
      <c r="I1108" s="43" t="inlineStr">
        <is>
          <t>15</t>
        </is>
      </c>
      <c r="J1108" s="222" t="n">
        <v>350</v>
      </c>
      <c r="K1108" s="222" t="n">
        <v>1570</v>
      </c>
      <c r="L1108" s="43" t="inlineStr">
        <is>
          <t>在来・204｜マド</t>
        </is>
      </c>
      <c r="M1108" s="178" t="b">
        <v>1</v>
      </c>
      <c r="N1108" s="43" t="inlineStr">
        <is>
          <t>カタログ規格確認済み</t>
        </is>
      </c>
      <c r="O1108" s="222" t="n">
        <v>159</v>
      </c>
      <c r="P1108" s="222" t="n">
        <v>157</v>
      </c>
      <c r="Q1108" s="43" t="inlineStr">
        <is>
          <t>202604_LIXIL_サーモスＬ_業務用資料集_完成品価格表.pdf</t>
        </is>
      </c>
      <c r="R1108" s="43" t="n"/>
      <c r="S1108" s="42" t="inlineStr">
        <is>
          <t>無印</t>
        </is>
      </c>
      <c r="T1108" s="42" t="n">
        <v>157</v>
      </c>
      <c r="U1108" s="42" t="inlineStr">
        <is>
          <t>P157|無印</t>
        </is>
      </c>
      <c r="V1108" s="42" t="inlineStr">
        <is>
          <t>同頁凡例へ直接連動</t>
        </is>
      </c>
    </row>
    <row r="1109">
      <c r="A1109" s="43" t="inlineStr">
        <is>
          <t>SZ-SL-001106</t>
        </is>
      </c>
      <c r="B1109" s="43" t="inlineStr">
        <is>
          <t>SER-LIX-SAMOSL</t>
        </is>
      </c>
      <c r="C1109" s="43" t="inlineStr">
        <is>
          <t>WT-SL-FIX-OUT</t>
        </is>
      </c>
      <c r="D1109" s="43" t="inlineStr">
        <is>
          <t>FIX窓（外押縁タイプ）</t>
        </is>
      </c>
      <c r="E1109" s="43" t="n"/>
      <c r="F1109" s="43" t="inlineStr">
        <is>
          <t>在来・204</t>
        </is>
      </c>
      <c r="G1109" s="43" t="inlineStr">
        <is>
          <t>03609</t>
        </is>
      </c>
      <c r="H1109" s="43" t="inlineStr">
        <is>
          <t>036</t>
        </is>
      </c>
      <c r="I1109" s="43" t="inlineStr">
        <is>
          <t>09</t>
        </is>
      </c>
      <c r="J1109" s="222" t="n">
        <v>405</v>
      </c>
      <c r="K1109" s="222" t="n">
        <v>970</v>
      </c>
      <c r="L1109" s="43" t="inlineStr">
        <is>
          <t>在来・204｜マド</t>
        </is>
      </c>
      <c r="M1109" s="178" t="b">
        <v>1</v>
      </c>
      <c r="N1109" s="43" t="inlineStr">
        <is>
          <t>カタログ規格確認済み</t>
        </is>
      </c>
      <c r="O1109" s="222" t="n">
        <v>159</v>
      </c>
      <c r="P1109" s="222" t="n">
        <v>157</v>
      </c>
      <c r="Q1109" s="43" t="inlineStr">
        <is>
          <t>202604_LIXIL_サーモスＬ_業務用資料集_完成品価格表.pdf</t>
        </is>
      </c>
      <c r="R1109" s="43" t="n"/>
      <c r="S1109" s="42" t="inlineStr">
        <is>
          <t>無印</t>
        </is>
      </c>
      <c r="T1109" s="42" t="n">
        <v>157</v>
      </c>
      <c r="U1109" s="42" t="inlineStr">
        <is>
          <t>P157|無印</t>
        </is>
      </c>
      <c r="V1109" s="42" t="inlineStr">
        <is>
          <t>同頁凡例へ直接連動</t>
        </is>
      </c>
    </row>
    <row r="1110">
      <c r="A1110" s="43" t="inlineStr">
        <is>
          <t>SZ-SL-001107</t>
        </is>
      </c>
      <c r="B1110" s="43" t="inlineStr">
        <is>
          <t>SER-LIX-SAMOSL</t>
        </is>
      </c>
      <c r="C1110" s="43" t="inlineStr">
        <is>
          <t>WT-SL-FIX-OUT</t>
        </is>
      </c>
      <c r="D1110" s="43" t="inlineStr">
        <is>
          <t>FIX窓（外押縁タイプ）</t>
        </is>
      </c>
      <c r="E1110" s="43" t="n"/>
      <c r="F1110" s="43" t="inlineStr">
        <is>
          <t>在来・204</t>
        </is>
      </c>
      <c r="G1110" s="43" t="inlineStr">
        <is>
          <t>03611</t>
        </is>
      </c>
      <c r="H1110" s="43" t="inlineStr">
        <is>
          <t>036</t>
        </is>
      </c>
      <c r="I1110" s="43" t="inlineStr">
        <is>
          <t>11</t>
        </is>
      </c>
      <c r="J1110" s="222" t="n">
        <v>405</v>
      </c>
      <c r="K1110" s="222" t="n">
        <v>1170</v>
      </c>
      <c r="L1110" s="43" t="inlineStr">
        <is>
          <t>在来・204｜マド</t>
        </is>
      </c>
      <c r="M1110" s="178" t="b">
        <v>1</v>
      </c>
      <c r="N1110" s="43" t="inlineStr">
        <is>
          <t>カタログ規格確認済み</t>
        </is>
      </c>
      <c r="O1110" s="222" t="n">
        <v>159</v>
      </c>
      <c r="P1110" s="222" t="n">
        <v>157</v>
      </c>
      <c r="Q1110" s="43" t="inlineStr">
        <is>
          <t>202604_LIXIL_サーモスＬ_業務用資料集_完成品価格表.pdf</t>
        </is>
      </c>
      <c r="R1110" s="43" t="n"/>
      <c r="S1110" s="42" t="inlineStr">
        <is>
          <t>無印</t>
        </is>
      </c>
      <c r="T1110" s="42" t="n">
        <v>157</v>
      </c>
      <c r="U1110" s="42" t="inlineStr">
        <is>
          <t>P157|無印</t>
        </is>
      </c>
      <c r="V1110" s="42" t="inlineStr">
        <is>
          <t>同頁凡例へ直接連動</t>
        </is>
      </c>
    </row>
    <row r="1111">
      <c r="A1111" s="43" t="inlineStr">
        <is>
          <t>SZ-SL-001108</t>
        </is>
      </c>
      <c r="B1111" s="43" t="inlineStr">
        <is>
          <t>SER-LIX-SAMOSL</t>
        </is>
      </c>
      <c r="C1111" s="43" t="inlineStr">
        <is>
          <t>WT-SL-FIX-OUT</t>
        </is>
      </c>
      <c r="D1111" s="43" t="inlineStr">
        <is>
          <t>FIX窓（外押縁タイプ）</t>
        </is>
      </c>
      <c r="E1111" s="43" t="n"/>
      <c r="F1111" s="43" t="inlineStr">
        <is>
          <t>在来・204</t>
        </is>
      </c>
      <c r="G1111" s="43" t="inlineStr">
        <is>
          <t>03613</t>
        </is>
      </c>
      <c r="H1111" s="43" t="inlineStr">
        <is>
          <t>036</t>
        </is>
      </c>
      <c r="I1111" s="43" t="inlineStr">
        <is>
          <t>13</t>
        </is>
      </c>
      <c r="J1111" s="222" t="n">
        <v>405</v>
      </c>
      <c r="K1111" s="222" t="n">
        <v>1370</v>
      </c>
      <c r="L1111" s="43" t="inlineStr">
        <is>
          <t>在来・204｜マド</t>
        </is>
      </c>
      <c r="M1111" s="178" t="b">
        <v>1</v>
      </c>
      <c r="N1111" s="43" t="inlineStr">
        <is>
          <t>カタログ規格確認済み</t>
        </is>
      </c>
      <c r="O1111" s="222" t="n">
        <v>159</v>
      </c>
      <c r="P1111" s="222" t="n">
        <v>157</v>
      </c>
      <c r="Q1111" s="43" t="inlineStr">
        <is>
          <t>202604_LIXIL_サーモスＬ_業務用資料集_完成品価格表.pdf</t>
        </is>
      </c>
      <c r="R1111" s="43" t="n"/>
      <c r="S1111" s="42" t="inlineStr">
        <is>
          <t>無印</t>
        </is>
      </c>
      <c r="T1111" s="42" t="n">
        <v>157</v>
      </c>
      <c r="U1111" s="42" t="inlineStr">
        <is>
          <t>P157|無印</t>
        </is>
      </c>
      <c r="V1111" s="42" t="inlineStr">
        <is>
          <t>同頁凡例へ直接連動</t>
        </is>
      </c>
    </row>
    <row r="1112">
      <c r="A1112" s="43" t="inlineStr">
        <is>
          <t>SZ-SL-001109</t>
        </is>
      </c>
      <c r="B1112" s="43" t="inlineStr">
        <is>
          <t>SER-LIX-SAMOSL</t>
        </is>
      </c>
      <c r="C1112" s="43" t="inlineStr">
        <is>
          <t>WT-SL-FIX-OUT</t>
        </is>
      </c>
      <c r="D1112" s="43" t="inlineStr">
        <is>
          <t>FIX窓（外押縁タイプ）</t>
        </is>
      </c>
      <c r="E1112" s="43" t="n"/>
      <c r="F1112" s="43" t="inlineStr">
        <is>
          <t>在来・204</t>
        </is>
      </c>
      <c r="G1112" s="43" t="inlineStr">
        <is>
          <t>03615</t>
        </is>
      </c>
      <c r="H1112" s="43" t="inlineStr">
        <is>
          <t>036</t>
        </is>
      </c>
      <c r="I1112" s="43" t="inlineStr">
        <is>
          <t>15</t>
        </is>
      </c>
      <c r="J1112" s="222" t="n">
        <v>405</v>
      </c>
      <c r="K1112" s="222" t="n">
        <v>1570</v>
      </c>
      <c r="L1112" s="43" t="inlineStr">
        <is>
          <t>在来・204｜マド</t>
        </is>
      </c>
      <c r="M1112" s="178" t="b">
        <v>1</v>
      </c>
      <c r="N1112" s="43" t="inlineStr">
        <is>
          <t>カタログ規格確認済み</t>
        </is>
      </c>
      <c r="O1112" s="222" t="n">
        <v>159</v>
      </c>
      <c r="P1112" s="222" t="n">
        <v>157</v>
      </c>
      <c r="Q1112" s="43" t="inlineStr">
        <is>
          <t>202604_LIXIL_サーモスＬ_業務用資料集_完成品価格表.pdf</t>
        </is>
      </c>
      <c r="R1112" s="43" t="n"/>
      <c r="S1112" s="42" t="inlineStr">
        <is>
          <t>無印</t>
        </is>
      </c>
      <c r="T1112" s="42" t="n">
        <v>157</v>
      </c>
      <c r="U1112" s="42" t="inlineStr">
        <is>
          <t>P157|無印</t>
        </is>
      </c>
      <c r="V1112" s="42" t="inlineStr">
        <is>
          <t>同頁凡例へ直接連動</t>
        </is>
      </c>
    </row>
    <row r="1113">
      <c r="A1113" s="43" t="inlineStr">
        <is>
          <t>SZ-SL-001110</t>
        </is>
      </c>
      <c r="B1113" s="43" t="inlineStr">
        <is>
          <t>SER-LIX-SAMOSL</t>
        </is>
      </c>
      <c r="C1113" s="43" t="inlineStr">
        <is>
          <t>WT-SL-FIX-OUT</t>
        </is>
      </c>
      <c r="D1113" s="43" t="inlineStr">
        <is>
          <t>FIX窓（外押縁タイプ）</t>
        </is>
      </c>
      <c r="E1113" s="43" t="n"/>
      <c r="F1113" s="43" t="inlineStr">
        <is>
          <t>在来・204</t>
        </is>
      </c>
      <c r="G1113" s="43" t="inlineStr">
        <is>
          <t>06009</t>
        </is>
      </c>
      <c r="H1113" s="43" t="inlineStr">
        <is>
          <t>060</t>
        </is>
      </c>
      <c r="I1113" s="43" t="inlineStr">
        <is>
          <t>09</t>
        </is>
      </c>
      <c r="J1113" s="222" t="n">
        <v>640</v>
      </c>
      <c r="K1113" s="222" t="n">
        <v>970</v>
      </c>
      <c r="L1113" s="43" t="inlineStr">
        <is>
          <t>在来・204｜マド</t>
        </is>
      </c>
      <c r="M1113" s="178" t="b">
        <v>1</v>
      </c>
      <c r="N1113" s="43" t="inlineStr">
        <is>
          <t>カタログ規格確認済み</t>
        </is>
      </c>
      <c r="O1113" s="222" t="n">
        <v>159</v>
      </c>
      <c r="P1113" s="222" t="n">
        <v>157</v>
      </c>
      <c r="Q1113" s="43" t="inlineStr">
        <is>
          <t>202604_LIXIL_サーモスＬ_業務用資料集_完成品価格表.pdf</t>
        </is>
      </c>
      <c r="R1113" s="43" t="n"/>
      <c r="S1113" s="42" t="inlineStr">
        <is>
          <t>無印</t>
        </is>
      </c>
      <c r="T1113" s="42" t="n">
        <v>157</v>
      </c>
      <c r="U1113" s="42" t="inlineStr">
        <is>
          <t>P157|無印</t>
        </is>
      </c>
      <c r="V1113" s="42" t="inlineStr">
        <is>
          <t>同頁凡例へ直接連動</t>
        </is>
      </c>
    </row>
    <row r="1114">
      <c r="A1114" s="43" t="inlineStr">
        <is>
          <t>SZ-SL-001111</t>
        </is>
      </c>
      <c r="B1114" s="43" t="inlineStr">
        <is>
          <t>SER-LIX-SAMOSL</t>
        </is>
      </c>
      <c r="C1114" s="43" t="inlineStr">
        <is>
          <t>WT-SL-FIX-OUT</t>
        </is>
      </c>
      <c r="D1114" s="43" t="inlineStr">
        <is>
          <t>FIX窓（外押縁タイプ）</t>
        </is>
      </c>
      <c r="E1114" s="43" t="n"/>
      <c r="F1114" s="43" t="inlineStr">
        <is>
          <t>在来・204</t>
        </is>
      </c>
      <c r="G1114" s="43" t="inlineStr">
        <is>
          <t>06011</t>
        </is>
      </c>
      <c r="H1114" s="43" t="inlineStr">
        <is>
          <t>060</t>
        </is>
      </c>
      <c r="I1114" s="43" t="inlineStr">
        <is>
          <t>11</t>
        </is>
      </c>
      <c r="J1114" s="222" t="n">
        <v>640</v>
      </c>
      <c r="K1114" s="222" t="n">
        <v>1170</v>
      </c>
      <c r="L1114" s="43" t="inlineStr">
        <is>
          <t>在来・204｜マド</t>
        </is>
      </c>
      <c r="M1114" s="178" t="b">
        <v>1</v>
      </c>
      <c r="N1114" s="43" t="inlineStr">
        <is>
          <t>カタログ規格確認済み</t>
        </is>
      </c>
      <c r="O1114" s="222" t="n">
        <v>159</v>
      </c>
      <c r="P1114" s="222" t="n">
        <v>157</v>
      </c>
      <c r="Q1114" s="43" t="inlineStr">
        <is>
          <t>202604_LIXIL_サーモスＬ_業務用資料集_完成品価格表.pdf</t>
        </is>
      </c>
      <c r="R1114" s="43" t="n"/>
      <c r="S1114" s="42" t="inlineStr">
        <is>
          <t>無印</t>
        </is>
      </c>
      <c r="T1114" s="42" t="n">
        <v>157</v>
      </c>
      <c r="U1114" s="42" t="inlineStr">
        <is>
          <t>P157|無印</t>
        </is>
      </c>
      <c r="V1114" s="42" t="inlineStr">
        <is>
          <t>同頁凡例へ直接連動</t>
        </is>
      </c>
    </row>
    <row r="1115">
      <c r="A1115" s="43" t="inlineStr">
        <is>
          <t>SZ-SL-001112</t>
        </is>
      </c>
      <c r="B1115" s="43" t="inlineStr">
        <is>
          <t>SER-LIX-SAMOSL</t>
        </is>
      </c>
      <c r="C1115" s="43" t="inlineStr">
        <is>
          <t>WT-SL-FIX-OUT</t>
        </is>
      </c>
      <c r="D1115" s="43" t="inlineStr">
        <is>
          <t>FIX窓（外押縁タイプ）</t>
        </is>
      </c>
      <c r="E1115" s="43" t="n"/>
      <c r="F1115" s="43" t="inlineStr">
        <is>
          <t>在来・204</t>
        </is>
      </c>
      <c r="G1115" s="43" t="inlineStr">
        <is>
          <t>06013</t>
        </is>
      </c>
      <c r="H1115" s="43" t="inlineStr">
        <is>
          <t>060</t>
        </is>
      </c>
      <c r="I1115" s="43" t="inlineStr">
        <is>
          <t>13</t>
        </is>
      </c>
      <c r="J1115" s="222" t="n">
        <v>640</v>
      </c>
      <c r="K1115" s="222" t="n">
        <v>1370</v>
      </c>
      <c r="L1115" s="43" t="inlineStr">
        <is>
          <t>在来・204｜マド</t>
        </is>
      </c>
      <c r="M1115" s="178" t="b">
        <v>1</v>
      </c>
      <c r="N1115" s="43" t="inlineStr">
        <is>
          <t>カタログ規格確認済み</t>
        </is>
      </c>
      <c r="O1115" s="222" t="n">
        <v>159</v>
      </c>
      <c r="P1115" s="222" t="n">
        <v>157</v>
      </c>
      <c r="Q1115" s="43" t="inlineStr">
        <is>
          <t>202604_LIXIL_サーモスＬ_業務用資料集_完成品価格表.pdf</t>
        </is>
      </c>
      <c r="R1115" s="43" t="n"/>
      <c r="S1115" s="42" t="inlineStr">
        <is>
          <t>無印</t>
        </is>
      </c>
      <c r="T1115" s="42" t="n">
        <v>157</v>
      </c>
      <c r="U1115" s="42" t="inlineStr">
        <is>
          <t>P157|無印</t>
        </is>
      </c>
      <c r="V1115" s="42" t="inlineStr">
        <is>
          <t>同頁凡例へ直接連動</t>
        </is>
      </c>
    </row>
    <row r="1116">
      <c r="A1116" s="43" t="inlineStr">
        <is>
          <t>SZ-SL-001113</t>
        </is>
      </c>
      <c r="B1116" s="43" t="inlineStr">
        <is>
          <t>SER-LIX-SAMOSL</t>
        </is>
      </c>
      <c r="C1116" s="43" t="inlineStr">
        <is>
          <t>WT-SL-FIX-OUT</t>
        </is>
      </c>
      <c r="D1116" s="43" t="inlineStr">
        <is>
          <t>FIX窓（外押縁タイプ）</t>
        </is>
      </c>
      <c r="E1116" s="43" t="n"/>
      <c r="F1116" s="43" t="inlineStr">
        <is>
          <t>在来・204</t>
        </is>
      </c>
      <c r="G1116" s="43" t="inlineStr">
        <is>
          <t>06015</t>
        </is>
      </c>
      <c r="H1116" s="43" t="inlineStr">
        <is>
          <t>060</t>
        </is>
      </c>
      <c r="I1116" s="43" t="inlineStr">
        <is>
          <t>15</t>
        </is>
      </c>
      <c r="J1116" s="222" t="n">
        <v>640</v>
      </c>
      <c r="K1116" s="222" t="n">
        <v>1570</v>
      </c>
      <c r="L1116" s="43" t="inlineStr">
        <is>
          <t>在来・204｜マド</t>
        </is>
      </c>
      <c r="M1116" s="178" t="b">
        <v>1</v>
      </c>
      <c r="N1116" s="43" t="inlineStr">
        <is>
          <t>カタログ規格確認済み</t>
        </is>
      </c>
      <c r="O1116" s="222" t="n">
        <v>159</v>
      </c>
      <c r="P1116" s="222" t="n">
        <v>157</v>
      </c>
      <c r="Q1116" s="43" t="inlineStr">
        <is>
          <t>202604_LIXIL_サーモスＬ_業務用資料集_完成品価格表.pdf</t>
        </is>
      </c>
      <c r="R1116" s="43" t="n"/>
      <c r="S1116" s="42" t="inlineStr">
        <is>
          <t>無印</t>
        </is>
      </c>
      <c r="T1116" s="42" t="n">
        <v>157</v>
      </c>
      <c r="U1116" s="42" t="inlineStr">
        <is>
          <t>P157|無印</t>
        </is>
      </c>
      <c r="V1116" s="42" t="inlineStr">
        <is>
          <t>同頁凡例へ直接連動</t>
        </is>
      </c>
    </row>
    <row r="1117">
      <c r="A1117" s="43" t="inlineStr">
        <is>
          <t>SZ-SL-001114</t>
        </is>
      </c>
      <c r="B1117" s="43" t="inlineStr">
        <is>
          <t>SER-LIX-SAMOSL</t>
        </is>
      </c>
      <c r="C1117" s="43" t="inlineStr">
        <is>
          <t>WT-SL-FIX-OUT</t>
        </is>
      </c>
      <c r="D1117" s="43" t="inlineStr">
        <is>
          <t>FIX窓（外押縁タイプ）</t>
        </is>
      </c>
      <c r="E1117" s="43" t="n"/>
      <c r="F1117" s="43" t="inlineStr">
        <is>
          <t>在来・204</t>
        </is>
      </c>
      <c r="G1117" s="43" t="inlineStr">
        <is>
          <t>06909</t>
        </is>
      </c>
      <c r="H1117" s="43" t="inlineStr">
        <is>
          <t>069</t>
        </is>
      </c>
      <c r="I1117" s="43" t="inlineStr">
        <is>
          <t>09</t>
        </is>
      </c>
      <c r="J1117" s="222" t="n">
        <v>730</v>
      </c>
      <c r="K1117" s="222" t="n">
        <v>970</v>
      </c>
      <c r="L1117" s="43" t="inlineStr">
        <is>
          <t>在来・204｜マド</t>
        </is>
      </c>
      <c r="M1117" s="178" t="b">
        <v>1</v>
      </c>
      <c r="N1117" s="43" t="inlineStr">
        <is>
          <t>カタログ規格確認済み</t>
        </is>
      </c>
      <c r="O1117" s="222" t="n">
        <v>160</v>
      </c>
      <c r="P1117" s="222" t="n">
        <v>158</v>
      </c>
      <c r="Q1117" s="43" t="inlineStr">
        <is>
          <t>202604_LIXIL_サーモスＬ_業務用資料集_完成品価格表.pdf</t>
        </is>
      </c>
      <c r="R1117" s="43" t="n"/>
      <c r="S1117" s="42" t="inlineStr">
        <is>
          <t>無印</t>
        </is>
      </c>
      <c r="T1117" s="42" t="n">
        <v>159</v>
      </c>
      <c r="U1117" s="42" t="inlineStr">
        <is>
          <t>P159|無印</t>
        </is>
      </c>
      <c r="V1117" s="42" t="inlineStr">
        <is>
          <t>同一価格表・次頁凡例を継承</t>
        </is>
      </c>
    </row>
    <row r="1118">
      <c r="A1118" s="43" t="inlineStr">
        <is>
          <t>SZ-SL-001115</t>
        </is>
      </c>
      <c r="B1118" s="43" t="inlineStr">
        <is>
          <t>SER-LIX-SAMOSL</t>
        </is>
      </c>
      <c r="C1118" s="43" t="inlineStr">
        <is>
          <t>WT-SL-FIX-OUT</t>
        </is>
      </c>
      <c r="D1118" s="43" t="inlineStr">
        <is>
          <t>FIX窓（外押縁タイプ）</t>
        </is>
      </c>
      <c r="E1118" s="43" t="n"/>
      <c r="F1118" s="43" t="inlineStr">
        <is>
          <t>在来・204</t>
        </is>
      </c>
      <c r="G1118" s="43" t="inlineStr">
        <is>
          <t>06911</t>
        </is>
      </c>
      <c r="H1118" s="43" t="inlineStr">
        <is>
          <t>069</t>
        </is>
      </c>
      <c r="I1118" s="43" t="inlineStr">
        <is>
          <t>11</t>
        </is>
      </c>
      <c r="J1118" s="222" t="n">
        <v>730</v>
      </c>
      <c r="K1118" s="222" t="n">
        <v>1170</v>
      </c>
      <c r="L1118" s="43" t="inlineStr">
        <is>
          <t>在来・204｜マド</t>
        </is>
      </c>
      <c r="M1118" s="178" t="b">
        <v>1</v>
      </c>
      <c r="N1118" s="43" t="inlineStr">
        <is>
          <t>カタログ規格確認済み</t>
        </is>
      </c>
      <c r="O1118" s="222" t="n">
        <v>160</v>
      </c>
      <c r="P1118" s="222" t="n">
        <v>158</v>
      </c>
      <c r="Q1118" s="43" t="inlineStr">
        <is>
          <t>202604_LIXIL_サーモスＬ_業務用資料集_完成品価格表.pdf</t>
        </is>
      </c>
      <c r="R1118" s="43" t="n"/>
      <c r="S1118" s="42" t="inlineStr">
        <is>
          <t>無印</t>
        </is>
      </c>
      <c r="T1118" s="42" t="n">
        <v>159</v>
      </c>
      <c r="U1118" s="42" t="inlineStr">
        <is>
          <t>P159|無印</t>
        </is>
      </c>
      <c r="V1118" s="42" t="inlineStr">
        <is>
          <t>同一価格表・次頁凡例を継承</t>
        </is>
      </c>
    </row>
    <row r="1119">
      <c r="A1119" s="43" t="inlineStr">
        <is>
          <t>SZ-SL-001116</t>
        </is>
      </c>
      <c r="B1119" s="43" t="inlineStr">
        <is>
          <t>SER-LIX-SAMOSL</t>
        </is>
      </c>
      <c r="C1119" s="43" t="inlineStr">
        <is>
          <t>WT-SL-FIX-OUT</t>
        </is>
      </c>
      <c r="D1119" s="43" t="inlineStr">
        <is>
          <t>FIX窓（外押縁タイプ）</t>
        </is>
      </c>
      <c r="E1119" s="43" t="n"/>
      <c r="F1119" s="43" t="inlineStr">
        <is>
          <t>在来・204</t>
        </is>
      </c>
      <c r="G1119" s="43" t="inlineStr">
        <is>
          <t>06913</t>
        </is>
      </c>
      <c r="H1119" s="43" t="inlineStr">
        <is>
          <t>069</t>
        </is>
      </c>
      <c r="I1119" s="43" t="inlineStr">
        <is>
          <t>13</t>
        </is>
      </c>
      <c r="J1119" s="222" t="n">
        <v>730</v>
      </c>
      <c r="K1119" s="222" t="n">
        <v>1370</v>
      </c>
      <c r="L1119" s="43" t="inlineStr">
        <is>
          <t>在来・204｜マド</t>
        </is>
      </c>
      <c r="M1119" s="178" t="b">
        <v>1</v>
      </c>
      <c r="N1119" s="43" t="inlineStr">
        <is>
          <t>カタログ規格確認済み</t>
        </is>
      </c>
      <c r="O1119" s="222" t="n">
        <v>160</v>
      </c>
      <c r="P1119" s="222" t="n">
        <v>158</v>
      </c>
      <c r="Q1119" s="43" t="inlineStr">
        <is>
          <t>202604_LIXIL_サーモスＬ_業務用資料集_完成品価格表.pdf</t>
        </is>
      </c>
      <c r="R1119" s="43" t="n"/>
      <c r="S1119" s="42" t="inlineStr">
        <is>
          <t>無印</t>
        </is>
      </c>
      <c r="T1119" s="42" t="n">
        <v>159</v>
      </c>
      <c r="U1119" s="42" t="inlineStr">
        <is>
          <t>P159|無印</t>
        </is>
      </c>
      <c r="V1119" s="42" t="inlineStr">
        <is>
          <t>同一価格表・次頁凡例を継承</t>
        </is>
      </c>
    </row>
    <row r="1120">
      <c r="A1120" s="43" t="inlineStr">
        <is>
          <t>SZ-SL-001117</t>
        </is>
      </c>
      <c r="B1120" s="43" t="inlineStr">
        <is>
          <t>SER-LIX-SAMOSL</t>
        </is>
      </c>
      <c r="C1120" s="43" t="inlineStr">
        <is>
          <t>WT-SL-FIX-OUT</t>
        </is>
      </c>
      <c r="D1120" s="43" t="inlineStr">
        <is>
          <t>FIX窓（外押縁タイプ）</t>
        </is>
      </c>
      <c r="E1120" s="43" t="n"/>
      <c r="F1120" s="43" t="inlineStr">
        <is>
          <t>在来・204</t>
        </is>
      </c>
      <c r="G1120" s="43" t="inlineStr">
        <is>
          <t>06915</t>
        </is>
      </c>
      <c r="H1120" s="43" t="inlineStr">
        <is>
          <t>069</t>
        </is>
      </c>
      <c r="I1120" s="43" t="inlineStr">
        <is>
          <t>15</t>
        </is>
      </c>
      <c r="J1120" s="222" t="n">
        <v>730</v>
      </c>
      <c r="K1120" s="222" t="n">
        <v>1570</v>
      </c>
      <c r="L1120" s="43" t="inlineStr">
        <is>
          <t>在来・204｜マド</t>
        </is>
      </c>
      <c r="M1120" s="178" t="b">
        <v>1</v>
      </c>
      <c r="N1120" s="43" t="inlineStr">
        <is>
          <t>カタログ規格確認済み</t>
        </is>
      </c>
      <c r="O1120" s="222" t="n">
        <v>160</v>
      </c>
      <c r="P1120" s="222" t="n">
        <v>158</v>
      </c>
      <c r="Q1120" s="43" t="inlineStr">
        <is>
          <t>202604_LIXIL_サーモスＬ_業務用資料集_完成品価格表.pdf</t>
        </is>
      </c>
      <c r="R1120" s="43" t="n"/>
      <c r="S1120" s="42" t="inlineStr">
        <is>
          <t>★</t>
        </is>
      </c>
      <c r="T1120" s="42" t="n">
        <v>159</v>
      </c>
      <c r="U1120" s="42" t="inlineStr">
        <is>
          <t>P159|★</t>
        </is>
      </c>
      <c r="V1120" s="42" t="inlineStr">
        <is>
          <t>同一価格表・次頁凡例を継承</t>
        </is>
      </c>
    </row>
    <row r="1121">
      <c r="A1121" s="43" t="inlineStr">
        <is>
          <t>SZ-SL-001118</t>
        </is>
      </c>
      <c r="B1121" s="43" t="inlineStr">
        <is>
          <t>SER-LIX-SAMOSL</t>
        </is>
      </c>
      <c r="C1121" s="43" t="inlineStr">
        <is>
          <t>WT-SL-FIX-OUT</t>
        </is>
      </c>
      <c r="D1121" s="43" t="inlineStr">
        <is>
          <t>FIX窓（外押縁タイプ）</t>
        </is>
      </c>
      <c r="E1121" s="43" t="n"/>
      <c r="F1121" s="43" t="inlineStr">
        <is>
          <t>在来・204</t>
        </is>
      </c>
      <c r="G1121" s="43" t="inlineStr">
        <is>
          <t>07409</t>
        </is>
      </c>
      <c r="H1121" s="43" t="inlineStr">
        <is>
          <t>074</t>
        </is>
      </c>
      <c r="I1121" s="43" t="inlineStr">
        <is>
          <t>09</t>
        </is>
      </c>
      <c r="J1121" s="222" t="n">
        <v>780</v>
      </c>
      <c r="K1121" s="222" t="n">
        <v>970</v>
      </c>
      <c r="L1121" s="43" t="inlineStr">
        <is>
          <t>在来・204｜マド</t>
        </is>
      </c>
      <c r="M1121" s="178" t="b">
        <v>1</v>
      </c>
      <c r="N1121" s="43" t="inlineStr">
        <is>
          <t>カタログ規格確認済み</t>
        </is>
      </c>
      <c r="O1121" s="222" t="n">
        <v>160</v>
      </c>
      <c r="P1121" s="222" t="n">
        <v>158</v>
      </c>
      <c r="Q1121" s="43" t="inlineStr">
        <is>
          <t>202604_LIXIL_サーモスＬ_業務用資料集_完成品価格表.pdf</t>
        </is>
      </c>
      <c r="R1121" s="43" t="n"/>
      <c r="S1121" s="42" t="inlineStr">
        <is>
          <t>無印</t>
        </is>
      </c>
      <c r="T1121" s="42" t="n">
        <v>159</v>
      </c>
      <c r="U1121" s="42" t="inlineStr">
        <is>
          <t>P159|無印</t>
        </is>
      </c>
      <c r="V1121" s="42" t="inlineStr">
        <is>
          <t>同一価格表・次頁凡例を継承</t>
        </is>
      </c>
    </row>
    <row r="1122">
      <c r="A1122" s="43" t="inlineStr">
        <is>
          <t>SZ-SL-001119</t>
        </is>
      </c>
      <c r="B1122" s="43" t="inlineStr">
        <is>
          <t>SER-LIX-SAMOSL</t>
        </is>
      </c>
      <c r="C1122" s="43" t="inlineStr">
        <is>
          <t>WT-SL-FIX-OUT</t>
        </is>
      </c>
      <c r="D1122" s="43" t="inlineStr">
        <is>
          <t>FIX窓（外押縁タイプ）</t>
        </is>
      </c>
      <c r="E1122" s="43" t="n"/>
      <c r="F1122" s="43" t="inlineStr">
        <is>
          <t>在来・204</t>
        </is>
      </c>
      <c r="G1122" s="43" t="inlineStr">
        <is>
          <t>07411</t>
        </is>
      </c>
      <c r="H1122" s="43" t="inlineStr">
        <is>
          <t>074</t>
        </is>
      </c>
      <c r="I1122" s="43" t="inlineStr">
        <is>
          <t>11</t>
        </is>
      </c>
      <c r="J1122" s="222" t="n">
        <v>780</v>
      </c>
      <c r="K1122" s="222" t="n">
        <v>1170</v>
      </c>
      <c r="L1122" s="43" t="inlineStr">
        <is>
          <t>在来・204｜マド</t>
        </is>
      </c>
      <c r="M1122" s="178" t="b">
        <v>1</v>
      </c>
      <c r="N1122" s="43" t="inlineStr">
        <is>
          <t>カタログ規格確認済み</t>
        </is>
      </c>
      <c r="O1122" s="222" t="n">
        <v>160</v>
      </c>
      <c r="P1122" s="222" t="n">
        <v>158</v>
      </c>
      <c r="Q1122" s="43" t="inlineStr">
        <is>
          <t>202604_LIXIL_サーモスＬ_業務用資料集_完成品価格表.pdf</t>
        </is>
      </c>
      <c r="R1122" s="43" t="n"/>
      <c r="S1122" s="42" t="inlineStr">
        <is>
          <t>無印</t>
        </is>
      </c>
      <c r="T1122" s="42" t="n">
        <v>159</v>
      </c>
      <c r="U1122" s="42" t="inlineStr">
        <is>
          <t>P159|無印</t>
        </is>
      </c>
      <c r="V1122" s="42" t="inlineStr">
        <is>
          <t>同一価格表・次頁凡例を継承</t>
        </is>
      </c>
    </row>
    <row r="1123">
      <c r="A1123" s="43" t="inlineStr">
        <is>
          <t>SZ-SL-001120</t>
        </is>
      </c>
      <c r="B1123" s="43" t="inlineStr">
        <is>
          <t>SER-LIX-SAMOSL</t>
        </is>
      </c>
      <c r="C1123" s="43" t="inlineStr">
        <is>
          <t>WT-SL-FIX-OUT</t>
        </is>
      </c>
      <c r="D1123" s="43" t="inlineStr">
        <is>
          <t>FIX窓（外押縁タイプ）</t>
        </is>
      </c>
      <c r="E1123" s="43" t="n"/>
      <c r="F1123" s="43" t="inlineStr">
        <is>
          <t>在来・204</t>
        </is>
      </c>
      <c r="G1123" s="43" t="inlineStr">
        <is>
          <t>07413</t>
        </is>
      </c>
      <c r="H1123" s="43" t="inlineStr">
        <is>
          <t>074</t>
        </is>
      </c>
      <c r="I1123" s="43" t="inlineStr">
        <is>
          <t>13</t>
        </is>
      </c>
      <c r="J1123" s="222" t="n">
        <v>780</v>
      </c>
      <c r="K1123" s="222" t="n">
        <v>1370</v>
      </c>
      <c r="L1123" s="43" t="inlineStr">
        <is>
          <t>在来・204｜マド</t>
        </is>
      </c>
      <c r="M1123" s="178" t="b">
        <v>1</v>
      </c>
      <c r="N1123" s="43" t="inlineStr">
        <is>
          <t>カタログ規格確認済み</t>
        </is>
      </c>
      <c r="O1123" s="222" t="n">
        <v>160</v>
      </c>
      <c r="P1123" s="222" t="n">
        <v>158</v>
      </c>
      <c r="Q1123" s="43" t="inlineStr">
        <is>
          <t>202604_LIXIL_サーモスＬ_業務用資料集_完成品価格表.pdf</t>
        </is>
      </c>
      <c r="R1123" s="43" t="n"/>
      <c r="S1123" s="42" t="inlineStr">
        <is>
          <t>★</t>
        </is>
      </c>
      <c r="T1123" s="42" t="n">
        <v>159</v>
      </c>
      <c r="U1123" s="42" t="inlineStr">
        <is>
          <t>P159|★</t>
        </is>
      </c>
      <c r="V1123" s="42" t="inlineStr">
        <is>
          <t>同一価格表・次頁凡例を継承</t>
        </is>
      </c>
    </row>
    <row r="1124">
      <c r="A1124" s="43" t="inlineStr">
        <is>
          <t>SZ-SL-001121</t>
        </is>
      </c>
      <c r="B1124" s="43" t="inlineStr">
        <is>
          <t>SER-LIX-SAMOSL</t>
        </is>
      </c>
      <c r="C1124" s="43" t="inlineStr">
        <is>
          <t>WT-SL-FIX-OUT</t>
        </is>
      </c>
      <c r="D1124" s="43" t="inlineStr">
        <is>
          <t>FIX窓（外押縁タイプ）</t>
        </is>
      </c>
      <c r="E1124" s="43" t="n"/>
      <c r="F1124" s="43" t="inlineStr">
        <is>
          <t>在来・204</t>
        </is>
      </c>
      <c r="G1124" s="43" t="inlineStr">
        <is>
          <t>07415</t>
        </is>
      </c>
      <c r="H1124" s="43" t="inlineStr">
        <is>
          <t>074</t>
        </is>
      </c>
      <c r="I1124" s="43" t="inlineStr">
        <is>
          <t>15</t>
        </is>
      </c>
      <c r="J1124" s="222" t="n">
        <v>780</v>
      </c>
      <c r="K1124" s="222" t="n">
        <v>1570</v>
      </c>
      <c r="L1124" s="43" t="inlineStr">
        <is>
          <t>在来・204｜マド</t>
        </is>
      </c>
      <c r="M1124" s="178" t="b">
        <v>1</v>
      </c>
      <c r="N1124" s="43" t="inlineStr">
        <is>
          <t>カタログ規格確認済み</t>
        </is>
      </c>
      <c r="O1124" s="222" t="n">
        <v>160</v>
      </c>
      <c r="P1124" s="222" t="n">
        <v>158</v>
      </c>
      <c r="Q1124" s="43" t="inlineStr">
        <is>
          <t>202604_LIXIL_サーモスＬ_業務用資料集_完成品価格表.pdf</t>
        </is>
      </c>
      <c r="R1124" s="43" t="n"/>
      <c r="S1124" s="42" t="inlineStr">
        <is>
          <t>★</t>
        </is>
      </c>
      <c r="T1124" s="42" t="n">
        <v>159</v>
      </c>
      <c r="U1124" s="42" t="inlineStr">
        <is>
          <t>P159|★</t>
        </is>
      </c>
      <c r="V1124" s="42" t="inlineStr">
        <is>
          <t>同一価格表・次頁凡例を継承</t>
        </is>
      </c>
    </row>
    <row r="1125">
      <c r="A1125" s="43" t="inlineStr">
        <is>
          <t>SZ-SL-001122</t>
        </is>
      </c>
      <c r="B1125" s="43" t="inlineStr">
        <is>
          <t>SER-LIX-SAMOSL</t>
        </is>
      </c>
      <c r="C1125" s="43" t="inlineStr">
        <is>
          <t>WT-SL-FIX-OUT</t>
        </is>
      </c>
      <c r="D1125" s="43" t="inlineStr">
        <is>
          <t>FIX窓（外押縁タイプ）</t>
        </is>
      </c>
      <c r="E1125" s="43" t="n"/>
      <c r="F1125" s="43" t="inlineStr">
        <is>
          <t>在来・204</t>
        </is>
      </c>
      <c r="G1125" s="43" t="inlineStr">
        <is>
          <t>096093</t>
        </is>
      </c>
      <c r="H1125" s="43" t="inlineStr">
        <is>
          <t>096</t>
        </is>
      </c>
      <c r="I1125" s="43" t="inlineStr">
        <is>
          <t>093</t>
        </is>
      </c>
      <c r="J1125" s="222" t="n">
        <v>1000</v>
      </c>
      <c r="K1125" s="222" t="n">
        <v>1000</v>
      </c>
      <c r="L1125" s="43" t="inlineStr">
        <is>
          <t>在来・204｜マド</t>
        </is>
      </c>
      <c r="M1125" s="178" t="b">
        <v>1</v>
      </c>
      <c r="N1125" s="43" t="inlineStr">
        <is>
          <t>カタログ規格確認済み</t>
        </is>
      </c>
      <c r="O1125" s="222" t="n">
        <v>160</v>
      </c>
      <c r="P1125" s="222" t="n">
        <v>158</v>
      </c>
      <c r="Q1125" s="43" t="inlineStr">
        <is>
          <t>202604_LIXIL_サーモスＬ_業務用資料集_完成品価格表.pdf</t>
        </is>
      </c>
      <c r="R1125" s="43" t="n"/>
      <c r="S1125" s="42" t="inlineStr">
        <is>
          <t>無印</t>
        </is>
      </c>
      <c r="T1125" s="42" t="n">
        <v>159</v>
      </c>
      <c r="U1125" s="42" t="inlineStr">
        <is>
          <t>P159|無印</t>
        </is>
      </c>
      <c r="V1125" s="42" t="inlineStr">
        <is>
          <t>同一価格表・次頁凡例を継承</t>
        </is>
      </c>
    </row>
    <row r="1126">
      <c r="A1126" s="43" t="inlineStr">
        <is>
          <t>SZ-SL-001123</t>
        </is>
      </c>
      <c r="B1126" s="43" t="inlineStr">
        <is>
          <t>SER-LIX-SAMOSL</t>
        </is>
      </c>
      <c r="C1126" s="43" t="inlineStr">
        <is>
          <t>WT-SL-FIX-OUT</t>
        </is>
      </c>
      <c r="D1126" s="43" t="inlineStr">
        <is>
          <t>FIX窓（外押縁タイプ）</t>
        </is>
      </c>
      <c r="E1126" s="43" t="n"/>
      <c r="F1126" s="43" t="inlineStr">
        <is>
          <t>在来・204</t>
        </is>
      </c>
      <c r="G1126" s="43" t="inlineStr">
        <is>
          <t>11909</t>
        </is>
      </c>
      <c r="H1126" s="43" t="inlineStr">
        <is>
          <t>119</t>
        </is>
      </c>
      <c r="I1126" s="43" t="inlineStr">
        <is>
          <t>09</t>
        </is>
      </c>
      <c r="J1126" s="222" t="n">
        <v>1235</v>
      </c>
      <c r="K1126" s="222" t="n">
        <v>970</v>
      </c>
      <c r="L1126" s="43" t="inlineStr">
        <is>
          <t>在来・204｜マド</t>
        </is>
      </c>
      <c r="M1126" s="178" t="b">
        <v>1</v>
      </c>
      <c r="N1126" s="43" t="inlineStr">
        <is>
          <t>カタログ規格確認済み</t>
        </is>
      </c>
      <c r="O1126" s="222" t="n">
        <v>161</v>
      </c>
      <c r="P1126" s="222" t="n">
        <v>159</v>
      </c>
      <c r="Q1126" s="43" t="inlineStr">
        <is>
          <t>202604_LIXIL_サーモスＬ_業務用資料集_完成品価格表.pdf</t>
        </is>
      </c>
      <c r="R1126" s="43" t="n"/>
      <c r="S1126" s="42" t="inlineStr">
        <is>
          <t>★</t>
        </is>
      </c>
      <c r="T1126" s="42" t="n">
        <v>159</v>
      </c>
      <c r="U1126" s="42" t="inlineStr">
        <is>
          <t>P159|★</t>
        </is>
      </c>
      <c r="V1126" s="42" t="inlineStr">
        <is>
          <t>同頁凡例へ直接連動</t>
        </is>
      </c>
    </row>
    <row r="1127">
      <c r="A1127" s="43" t="inlineStr">
        <is>
          <t>SZ-SL-001124</t>
        </is>
      </c>
      <c r="B1127" s="43" t="inlineStr">
        <is>
          <t>SER-LIX-SAMOSL</t>
        </is>
      </c>
      <c r="C1127" s="43" t="inlineStr">
        <is>
          <t>WT-SL-FIX-OUT</t>
        </is>
      </c>
      <c r="D1127" s="43" t="inlineStr">
        <is>
          <t>FIX窓（外押縁タイプ）</t>
        </is>
      </c>
      <c r="E1127" s="43" t="n"/>
      <c r="F1127" s="43" t="inlineStr">
        <is>
          <t>在来・204</t>
        </is>
      </c>
      <c r="G1127" s="43" t="inlineStr">
        <is>
          <t>11911</t>
        </is>
      </c>
      <c r="H1127" s="43" t="inlineStr">
        <is>
          <t>119</t>
        </is>
      </c>
      <c r="I1127" s="43" t="inlineStr">
        <is>
          <t>11</t>
        </is>
      </c>
      <c r="J1127" s="222" t="n">
        <v>1235</v>
      </c>
      <c r="K1127" s="222" t="n">
        <v>1170</v>
      </c>
      <c r="L1127" s="43" t="inlineStr">
        <is>
          <t>在来・204｜マド</t>
        </is>
      </c>
      <c r="M1127" s="178" t="b">
        <v>1</v>
      </c>
      <c r="N1127" s="43" t="inlineStr">
        <is>
          <t>カタログ規格確認済み</t>
        </is>
      </c>
      <c r="O1127" s="222" t="n">
        <v>161</v>
      </c>
      <c r="P1127" s="222" t="n">
        <v>159</v>
      </c>
      <c r="Q1127" s="43" t="inlineStr">
        <is>
          <t>202604_LIXIL_サーモスＬ_業務用資料集_完成品価格表.pdf</t>
        </is>
      </c>
      <c r="R1127" s="43" t="n"/>
      <c r="S1127" s="42" t="inlineStr">
        <is>
          <t>☆</t>
        </is>
      </c>
      <c r="T1127" s="42" t="n">
        <v>159</v>
      </c>
      <c r="U1127" s="42" t="inlineStr">
        <is>
          <t>P159|☆</t>
        </is>
      </c>
      <c r="V1127" s="42" t="inlineStr">
        <is>
          <t>同頁凡例へ直接連動</t>
        </is>
      </c>
    </row>
    <row r="1128">
      <c r="A1128" s="43" t="inlineStr">
        <is>
          <t>SZ-SL-001125</t>
        </is>
      </c>
      <c r="B1128" s="43" t="inlineStr">
        <is>
          <t>SER-LIX-SAMOSL</t>
        </is>
      </c>
      <c r="C1128" s="43" t="inlineStr">
        <is>
          <t>WT-SL-FIX-OUT</t>
        </is>
      </c>
      <c r="D1128" s="43" t="inlineStr">
        <is>
          <t>FIX窓（外押縁タイプ）</t>
        </is>
      </c>
      <c r="E1128" s="43" t="n"/>
      <c r="F1128" s="43" t="inlineStr">
        <is>
          <t>在来・204</t>
        </is>
      </c>
      <c r="G1128" s="43" t="inlineStr">
        <is>
          <t>119116</t>
        </is>
      </c>
      <c r="H1128" s="43" t="inlineStr">
        <is>
          <t>119</t>
        </is>
      </c>
      <c r="I1128" s="43" t="inlineStr">
        <is>
          <t>116</t>
        </is>
      </c>
      <c r="J1128" s="222" t="n">
        <v>1235</v>
      </c>
      <c r="K1128" s="222" t="n">
        <v>1235</v>
      </c>
      <c r="L1128" s="43" t="inlineStr">
        <is>
          <t>在来・204｜マド</t>
        </is>
      </c>
      <c r="M1128" s="178" t="b">
        <v>1</v>
      </c>
      <c r="N1128" s="43" t="inlineStr">
        <is>
          <t>カタログ規格確認済み</t>
        </is>
      </c>
      <c r="O1128" s="222" t="n">
        <v>161</v>
      </c>
      <c r="P1128" s="222" t="n">
        <v>159</v>
      </c>
      <c r="Q1128" s="43" t="inlineStr">
        <is>
          <t>202604_LIXIL_サーモスＬ_業務用資料集_完成品価格表.pdf</t>
        </is>
      </c>
      <c r="R1128" s="43" t="n"/>
      <c r="S1128" s="42" t="inlineStr">
        <is>
          <t>無印</t>
        </is>
      </c>
      <c r="T1128" s="42" t="n">
        <v>159</v>
      </c>
      <c r="U1128" s="42" t="inlineStr">
        <is>
          <t>P159|無印</t>
        </is>
      </c>
      <c r="V1128" s="42" t="inlineStr">
        <is>
          <t>同頁凡例へ直接連動</t>
        </is>
      </c>
    </row>
    <row r="1129">
      <c r="A1129" s="43" t="inlineStr">
        <is>
          <t>SZ-SL-001126</t>
        </is>
      </c>
      <c r="B1129" s="43" t="inlineStr">
        <is>
          <t>SER-LIX-SAMOSL</t>
        </is>
      </c>
      <c r="C1129" s="43" t="inlineStr">
        <is>
          <t>WT-SL-FIX-OUT</t>
        </is>
      </c>
      <c r="D1129" s="43" t="inlineStr">
        <is>
          <t>FIX窓（外押縁タイプ）</t>
        </is>
      </c>
      <c r="E1129" s="43" t="n"/>
      <c r="F1129" s="43" t="inlineStr">
        <is>
          <t>在来・204</t>
        </is>
      </c>
      <c r="G1129" s="43" t="inlineStr">
        <is>
          <t>11913</t>
        </is>
      </c>
      <c r="H1129" s="43" t="inlineStr">
        <is>
          <t>119</t>
        </is>
      </c>
      <c r="I1129" s="43" t="inlineStr">
        <is>
          <t>13</t>
        </is>
      </c>
      <c r="J1129" s="222" t="n">
        <v>1235</v>
      </c>
      <c r="K1129" s="222" t="n">
        <v>1370</v>
      </c>
      <c r="L1129" s="43" t="inlineStr">
        <is>
          <t>在来・204｜マド</t>
        </is>
      </c>
      <c r="M1129" s="178" t="b">
        <v>1</v>
      </c>
      <c r="N1129" s="43" t="inlineStr">
        <is>
          <t>カタログ規格確認済み</t>
        </is>
      </c>
      <c r="O1129" s="222" t="n">
        <v>161</v>
      </c>
      <c r="P1129" s="222" t="n">
        <v>159</v>
      </c>
      <c r="Q1129" s="43" t="inlineStr">
        <is>
          <t>202604_LIXIL_サーモスＬ_業務用資料集_完成品価格表.pdf</t>
        </is>
      </c>
      <c r="R1129" s="43" t="n"/>
      <c r="S1129" s="42" t="inlineStr">
        <is>
          <t>無印</t>
        </is>
      </c>
      <c r="T1129" s="42" t="n">
        <v>159</v>
      </c>
      <c r="U1129" s="42" t="inlineStr">
        <is>
          <t>P159|無印</t>
        </is>
      </c>
      <c r="V1129" s="42" t="inlineStr">
        <is>
          <t>同頁凡例へ直接連動</t>
        </is>
      </c>
    </row>
    <row r="1130">
      <c r="A1130" s="43" t="inlineStr">
        <is>
          <t>SZ-SL-001127</t>
        </is>
      </c>
      <c r="B1130" s="43" t="inlineStr">
        <is>
          <t>SER-LIX-SAMOSL</t>
        </is>
      </c>
      <c r="C1130" s="43" t="inlineStr">
        <is>
          <t>WT-SL-FIX-OUT</t>
        </is>
      </c>
      <c r="D1130" s="43" t="inlineStr">
        <is>
          <t>FIX窓（外押縁タイプ）</t>
        </is>
      </c>
      <c r="E1130" s="43" t="n"/>
      <c r="F1130" s="43" t="inlineStr">
        <is>
          <t>在来・204</t>
        </is>
      </c>
      <c r="G1130" s="43" t="inlineStr">
        <is>
          <t>11915</t>
        </is>
      </c>
      <c r="H1130" s="43" t="inlineStr">
        <is>
          <t>119</t>
        </is>
      </c>
      <c r="I1130" s="43" t="inlineStr">
        <is>
          <t>15</t>
        </is>
      </c>
      <c r="J1130" s="222" t="n">
        <v>1235</v>
      </c>
      <c r="K1130" s="222" t="n">
        <v>1570</v>
      </c>
      <c r="L1130" s="43" t="inlineStr">
        <is>
          <t>在来・204｜マド</t>
        </is>
      </c>
      <c r="M1130" s="178" t="b">
        <v>1</v>
      </c>
      <c r="N1130" s="43" t="inlineStr">
        <is>
          <t>カタログ規格確認済み</t>
        </is>
      </c>
      <c r="O1130" s="222" t="n">
        <v>161</v>
      </c>
      <c r="P1130" s="222" t="n">
        <v>159</v>
      </c>
      <c r="Q1130" s="43" t="inlineStr">
        <is>
          <t>202604_LIXIL_サーモスＬ_業務用資料集_完成品価格表.pdf</t>
        </is>
      </c>
      <c r="R1130" s="43" t="n"/>
      <c r="S1130" s="42" t="inlineStr">
        <is>
          <t>無印</t>
        </is>
      </c>
      <c r="T1130" s="42" t="n">
        <v>159</v>
      </c>
      <c r="U1130" s="42" t="inlineStr">
        <is>
          <t>P159|無印</t>
        </is>
      </c>
      <c r="V1130" s="42" t="inlineStr">
        <is>
          <t>同頁凡例へ直接連動</t>
        </is>
      </c>
    </row>
    <row r="1131">
      <c r="A1131" s="43" t="inlineStr">
        <is>
          <t>SZ-SL-001128</t>
        </is>
      </c>
      <c r="B1131" s="43" t="inlineStr">
        <is>
          <t>SER-LIX-SAMOSL</t>
        </is>
      </c>
      <c r="C1131" s="43" t="inlineStr">
        <is>
          <t>WT-SL-FIX-OUT</t>
        </is>
      </c>
      <c r="D1131" s="43" t="inlineStr">
        <is>
          <t>FIX窓（外押縁タイプ）</t>
        </is>
      </c>
      <c r="E1131" s="43" t="n"/>
      <c r="F1131" s="43" t="inlineStr">
        <is>
          <t>在来・204</t>
        </is>
      </c>
      <c r="G1131" s="43" t="inlineStr">
        <is>
          <t>16509</t>
        </is>
      </c>
      <c r="H1131" s="43" t="inlineStr">
        <is>
          <t>165</t>
        </is>
      </c>
      <c r="I1131" s="43" t="inlineStr">
        <is>
          <t>09</t>
        </is>
      </c>
      <c r="J1131" s="222" t="n">
        <v>1690</v>
      </c>
      <c r="K1131" s="222" t="n">
        <v>970</v>
      </c>
      <c r="L1131" s="43" t="inlineStr">
        <is>
          <t>在来・204｜マド</t>
        </is>
      </c>
      <c r="M1131" s="178" t="b">
        <v>1</v>
      </c>
      <c r="N1131" s="43" t="inlineStr">
        <is>
          <t>カタログ規格確認済み</t>
        </is>
      </c>
      <c r="O1131" s="222" t="n">
        <v>161</v>
      </c>
      <c r="P1131" s="222" t="n">
        <v>159</v>
      </c>
      <c r="Q1131" s="43" t="inlineStr">
        <is>
          <t>202604_LIXIL_サーモスＬ_業務用資料集_完成品価格表.pdf</t>
        </is>
      </c>
      <c r="R1131" s="43" t="n"/>
      <c r="S1131" s="42" t="inlineStr">
        <is>
          <t>無印</t>
        </is>
      </c>
      <c r="T1131" s="42" t="n">
        <v>159</v>
      </c>
      <c r="U1131" s="42" t="inlineStr">
        <is>
          <t>P159|無印</t>
        </is>
      </c>
      <c r="V1131" s="42" t="inlineStr">
        <is>
          <t>同頁凡例へ直接連動</t>
        </is>
      </c>
    </row>
    <row r="1132">
      <c r="A1132" s="43" t="inlineStr">
        <is>
          <t>SZ-SL-001129</t>
        </is>
      </c>
      <c r="B1132" s="43" t="inlineStr">
        <is>
          <t>SER-LIX-SAMOSL</t>
        </is>
      </c>
      <c r="C1132" s="43" t="inlineStr">
        <is>
          <t>WT-SL-FIX-OUT</t>
        </is>
      </c>
      <c r="D1132" s="43" t="inlineStr">
        <is>
          <t>FIX窓（外押縁タイプ）</t>
        </is>
      </c>
      <c r="E1132" s="43" t="n"/>
      <c r="F1132" s="43" t="inlineStr">
        <is>
          <t>在来・204</t>
        </is>
      </c>
      <c r="G1132" s="43" t="inlineStr">
        <is>
          <t>16511</t>
        </is>
      </c>
      <c r="H1132" s="43" t="inlineStr">
        <is>
          <t>165</t>
        </is>
      </c>
      <c r="I1132" s="43" t="inlineStr">
        <is>
          <t>11</t>
        </is>
      </c>
      <c r="J1132" s="222" t="n">
        <v>1690</v>
      </c>
      <c r="K1132" s="222" t="n">
        <v>1170</v>
      </c>
      <c r="L1132" s="43" t="inlineStr">
        <is>
          <t>在来・204｜マド</t>
        </is>
      </c>
      <c r="M1132" s="178" t="b">
        <v>1</v>
      </c>
      <c r="N1132" s="43" t="inlineStr">
        <is>
          <t>カタログ規格確認済み</t>
        </is>
      </c>
      <c r="O1132" s="222" t="n">
        <v>161</v>
      </c>
      <c r="P1132" s="222" t="n">
        <v>159</v>
      </c>
      <c r="Q1132" s="43" t="inlineStr">
        <is>
          <t>202604_LIXIL_サーモスＬ_業務用資料集_完成品価格表.pdf</t>
        </is>
      </c>
      <c r="R1132" s="43" t="n"/>
      <c r="S1132" s="42" t="inlineStr">
        <is>
          <t>無印</t>
        </is>
      </c>
      <c r="T1132" s="42" t="n">
        <v>159</v>
      </c>
      <c r="U1132" s="42" t="inlineStr">
        <is>
          <t>P159|無印</t>
        </is>
      </c>
      <c r="V1132" s="42" t="inlineStr">
        <is>
          <t>同頁凡例へ直接連動</t>
        </is>
      </c>
    </row>
    <row r="1133">
      <c r="A1133" s="43" t="inlineStr">
        <is>
          <t>SZ-SL-001130</t>
        </is>
      </c>
      <c r="B1133" s="43" t="inlineStr">
        <is>
          <t>SER-LIX-SAMOSL</t>
        </is>
      </c>
      <c r="C1133" s="43" t="inlineStr">
        <is>
          <t>WT-SL-FIX-OUT</t>
        </is>
      </c>
      <c r="D1133" s="43" t="inlineStr">
        <is>
          <t>FIX窓（外押縁タイプ）</t>
        </is>
      </c>
      <c r="E1133" s="43" t="n"/>
      <c r="F1133" s="43" t="inlineStr">
        <is>
          <t>在来・204</t>
        </is>
      </c>
      <c r="G1133" s="43" t="inlineStr">
        <is>
          <t>16513</t>
        </is>
      </c>
      <c r="H1133" s="43" t="inlineStr">
        <is>
          <t>165</t>
        </is>
      </c>
      <c r="I1133" s="43" t="inlineStr">
        <is>
          <t>13</t>
        </is>
      </c>
      <c r="J1133" s="222" t="n">
        <v>1690</v>
      </c>
      <c r="K1133" s="222" t="n">
        <v>1370</v>
      </c>
      <c r="L1133" s="43" t="inlineStr">
        <is>
          <t>在来・204｜マド</t>
        </is>
      </c>
      <c r="M1133" s="178" t="b">
        <v>1</v>
      </c>
      <c r="N1133" s="43" t="inlineStr">
        <is>
          <t>カタログ規格確認済み</t>
        </is>
      </c>
      <c r="O1133" s="222" t="n">
        <v>161</v>
      </c>
      <c r="P1133" s="222" t="n">
        <v>159</v>
      </c>
      <c r="Q1133" s="43" t="inlineStr">
        <is>
          <t>202604_LIXIL_サーモスＬ_業務用資料集_完成品価格表.pdf</t>
        </is>
      </c>
      <c r="R1133" s="43" t="n"/>
      <c r="S1133" s="42" t="inlineStr">
        <is>
          <t>●</t>
        </is>
      </c>
      <c r="T1133" s="42" t="n">
        <v>159</v>
      </c>
      <c r="U1133" s="42" t="inlineStr">
        <is>
          <t>P159|●</t>
        </is>
      </c>
      <c r="V1133" s="42" t="inlineStr">
        <is>
          <t>同頁凡例へ直接連動</t>
        </is>
      </c>
    </row>
    <row r="1134">
      <c r="A1134" s="43" t="inlineStr">
        <is>
          <t>SZ-SL-001131</t>
        </is>
      </c>
      <c r="B1134" s="43" t="inlineStr">
        <is>
          <t>SER-LIX-SAMOSL</t>
        </is>
      </c>
      <c r="C1134" s="43" t="inlineStr">
        <is>
          <t>WT-SL-FIX-OUT</t>
        </is>
      </c>
      <c r="D1134" s="43" t="inlineStr">
        <is>
          <t>FIX窓（外押縁タイプ）</t>
        </is>
      </c>
      <c r="E1134" s="43" t="n"/>
      <c r="F1134" s="43" t="inlineStr">
        <is>
          <t>在来・204</t>
        </is>
      </c>
      <c r="G1134" s="43" t="inlineStr">
        <is>
          <t>16515</t>
        </is>
      </c>
      <c r="H1134" s="43" t="inlineStr">
        <is>
          <t>165</t>
        </is>
      </c>
      <c r="I1134" s="43" t="inlineStr">
        <is>
          <t>15</t>
        </is>
      </c>
      <c r="J1134" s="222" t="n">
        <v>1690</v>
      </c>
      <c r="K1134" s="222" t="n">
        <v>1570</v>
      </c>
      <c r="L1134" s="43" t="inlineStr">
        <is>
          <t>在来・204｜マド</t>
        </is>
      </c>
      <c r="M1134" s="178" t="b">
        <v>1</v>
      </c>
      <c r="N1134" s="43" t="inlineStr">
        <is>
          <t>カタログ規格確認済み</t>
        </is>
      </c>
      <c r="O1134" s="222" t="n">
        <v>161</v>
      </c>
      <c r="P1134" s="222" t="n">
        <v>159</v>
      </c>
      <c r="Q1134" s="43" t="inlineStr">
        <is>
          <t>202604_LIXIL_サーモスＬ_業務用資料集_完成品価格表.pdf</t>
        </is>
      </c>
      <c r="R1134" s="43" t="n"/>
      <c r="S1134" s="42" t="inlineStr">
        <is>
          <t>◇</t>
        </is>
      </c>
      <c r="T1134" s="42" t="n">
        <v>159</v>
      </c>
      <c r="U1134" s="42" t="inlineStr">
        <is>
          <t>P159|◇</t>
        </is>
      </c>
      <c r="V1134" s="42" t="inlineStr">
        <is>
          <t>同頁凡例へ直接連動</t>
        </is>
      </c>
    </row>
    <row r="1135">
      <c r="A1135" s="43" t="inlineStr">
        <is>
          <t>SZ-SL-001132</t>
        </is>
      </c>
      <c r="B1135" s="43" t="inlineStr">
        <is>
          <t>SER-LIX-SAMOSL</t>
        </is>
      </c>
      <c r="C1135" s="43" t="inlineStr">
        <is>
          <t>WT-SL-FIX-OUT</t>
        </is>
      </c>
      <c r="D1135" s="43" t="inlineStr">
        <is>
          <t>FIX窓（外押縁タイプ）</t>
        </is>
      </c>
      <c r="E1135" s="43" t="n"/>
      <c r="F1135" s="43" t="inlineStr">
        <is>
          <t>在来・204</t>
        </is>
      </c>
      <c r="G1135" s="43" t="inlineStr">
        <is>
          <t>01618</t>
        </is>
      </c>
      <c r="H1135" s="43" t="inlineStr">
        <is>
          <t>016</t>
        </is>
      </c>
      <c r="I1135" s="43" t="inlineStr">
        <is>
          <t>18</t>
        </is>
      </c>
      <c r="J1135" s="222" t="n">
        <v>200</v>
      </c>
      <c r="K1135" s="222" t="n">
        <v>1830</v>
      </c>
      <c r="L1135" s="43" t="inlineStr">
        <is>
          <t>在来・204｜マド</t>
        </is>
      </c>
      <c r="M1135" s="178" t="b">
        <v>1</v>
      </c>
      <c r="N1135" s="43" t="inlineStr">
        <is>
          <t>カタログ規格確認済み</t>
        </is>
      </c>
      <c r="O1135" s="222" t="n">
        <v>162</v>
      </c>
      <c r="P1135" s="222" t="n">
        <v>160</v>
      </c>
      <c r="Q1135" s="43" t="inlineStr">
        <is>
          <t>202604_LIXIL_サーモスＬ_業務用資料集_完成品価格表.pdf</t>
        </is>
      </c>
      <c r="R1135" s="43" t="n"/>
      <c r="S1135" s="42" t="inlineStr">
        <is>
          <t>無印</t>
        </is>
      </c>
      <c r="T1135" s="42" t="n">
        <v>160</v>
      </c>
      <c r="U1135" s="42" t="inlineStr">
        <is>
          <t>P160|無印</t>
        </is>
      </c>
      <c r="V1135" s="42" t="inlineStr">
        <is>
          <t>同頁凡例へ直接連動</t>
        </is>
      </c>
    </row>
    <row r="1136">
      <c r="A1136" s="43" t="inlineStr">
        <is>
          <t>SZ-SL-001133</t>
        </is>
      </c>
      <c r="B1136" s="43" t="inlineStr">
        <is>
          <t>SER-LIX-SAMOSL</t>
        </is>
      </c>
      <c r="C1136" s="43" t="inlineStr">
        <is>
          <t>WT-SL-FIX-OUT</t>
        </is>
      </c>
      <c r="D1136" s="43" t="inlineStr">
        <is>
          <t>FIX窓（外押縁タイプ）</t>
        </is>
      </c>
      <c r="E1136" s="43" t="n"/>
      <c r="F1136" s="43" t="inlineStr">
        <is>
          <t>在来・204</t>
        </is>
      </c>
      <c r="G1136" s="43" t="inlineStr">
        <is>
          <t>01620</t>
        </is>
      </c>
      <c r="H1136" s="43" t="inlineStr">
        <is>
          <t>016</t>
        </is>
      </c>
      <c r="I1136" s="43" t="inlineStr">
        <is>
          <t>20</t>
        </is>
      </c>
      <c r="J1136" s="222" t="n">
        <v>200</v>
      </c>
      <c r="K1136" s="222" t="n">
        <v>2030</v>
      </c>
      <c r="L1136" s="43" t="inlineStr">
        <is>
          <t>在来・204｜マド</t>
        </is>
      </c>
      <c r="M1136" s="178" t="b">
        <v>1</v>
      </c>
      <c r="N1136" s="43" t="inlineStr">
        <is>
          <t>カタログ規格確認済み</t>
        </is>
      </c>
      <c r="O1136" s="222" t="n">
        <v>162</v>
      </c>
      <c r="P1136" s="222" t="n">
        <v>160</v>
      </c>
      <c r="Q1136" s="43" t="inlineStr">
        <is>
          <t>202604_LIXIL_サーモスＬ_業務用資料集_完成品価格表.pdf</t>
        </is>
      </c>
      <c r="R1136" s="43" t="n"/>
      <c r="S1136" s="42" t="inlineStr">
        <is>
          <t>無印</t>
        </is>
      </c>
      <c r="T1136" s="42" t="n">
        <v>160</v>
      </c>
      <c r="U1136" s="42" t="inlineStr">
        <is>
          <t>P160|無印</t>
        </is>
      </c>
      <c r="V1136" s="42" t="inlineStr">
        <is>
          <t>同頁凡例へ直接連動</t>
        </is>
      </c>
    </row>
    <row r="1137">
      <c r="A1137" s="43" t="inlineStr">
        <is>
          <t>SZ-SL-001134</t>
        </is>
      </c>
      <c r="B1137" s="43" t="inlineStr">
        <is>
          <t>SER-LIX-SAMOSL</t>
        </is>
      </c>
      <c r="C1137" s="43" t="inlineStr">
        <is>
          <t>WT-SL-FIX-OUT</t>
        </is>
      </c>
      <c r="D1137" s="43" t="inlineStr">
        <is>
          <t>FIX窓（外押縁タイプ）</t>
        </is>
      </c>
      <c r="E1137" s="43" t="n"/>
      <c r="F1137" s="43" t="inlineStr">
        <is>
          <t>在来・204</t>
        </is>
      </c>
      <c r="G1137" s="43" t="inlineStr">
        <is>
          <t>01622</t>
        </is>
      </c>
      <c r="H1137" s="43" t="inlineStr">
        <is>
          <t>016</t>
        </is>
      </c>
      <c r="I1137" s="43" t="inlineStr">
        <is>
          <t>22</t>
        </is>
      </c>
      <c r="J1137" s="222" t="n">
        <v>200</v>
      </c>
      <c r="K1137" s="222" t="n">
        <v>2230</v>
      </c>
      <c r="L1137" s="43" t="inlineStr">
        <is>
          <t>在来・204｜マド</t>
        </is>
      </c>
      <c r="M1137" s="178" t="b">
        <v>1</v>
      </c>
      <c r="N1137" s="43" t="inlineStr">
        <is>
          <t>カタログ規格確認済み</t>
        </is>
      </c>
      <c r="O1137" s="222" t="n">
        <v>162</v>
      </c>
      <c r="P1137" s="222" t="n">
        <v>160</v>
      </c>
      <c r="Q1137" s="43" t="inlineStr">
        <is>
          <t>202604_LIXIL_サーモスＬ_業務用資料集_完成品価格表.pdf</t>
        </is>
      </c>
      <c r="R1137" s="43" t="n"/>
      <c r="S1137" s="42" t="inlineStr">
        <is>
          <t>無印</t>
        </is>
      </c>
      <c r="T1137" s="42" t="n">
        <v>160</v>
      </c>
      <c r="U1137" s="42" t="inlineStr">
        <is>
          <t>P160|無印</t>
        </is>
      </c>
      <c r="V1137" s="42" t="inlineStr">
        <is>
          <t>同頁凡例へ直接連動</t>
        </is>
      </c>
    </row>
    <row r="1138">
      <c r="A1138" s="43" t="inlineStr">
        <is>
          <t>SZ-SL-001135</t>
        </is>
      </c>
      <c r="B1138" s="43" t="inlineStr">
        <is>
          <t>SER-LIX-SAMOSL</t>
        </is>
      </c>
      <c r="C1138" s="43" t="inlineStr">
        <is>
          <t>WT-SL-FIX-OUT</t>
        </is>
      </c>
      <c r="D1138" s="43" t="inlineStr">
        <is>
          <t>FIX窓（外押縁タイプ）</t>
        </is>
      </c>
      <c r="E1138" s="43" t="n"/>
      <c r="F1138" s="43" t="inlineStr">
        <is>
          <t>在来・204</t>
        </is>
      </c>
      <c r="G1138" s="43" t="inlineStr">
        <is>
          <t>02118</t>
        </is>
      </c>
      <c r="H1138" s="43" t="inlineStr">
        <is>
          <t>021</t>
        </is>
      </c>
      <c r="I1138" s="43" t="inlineStr">
        <is>
          <t>18</t>
        </is>
      </c>
      <c r="J1138" s="222" t="n">
        <v>250</v>
      </c>
      <c r="K1138" s="222" t="n">
        <v>1830</v>
      </c>
      <c r="L1138" s="43" t="inlineStr">
        <is>
          <t>在来・204｜マド</t>
        </is>
      </c>
      <c r="M1138" s="178" t="b">
        <v>1</v>
      </c>
      <c r="N1138" s="43" t="inlineStr">
        <is>
          <t>カタログ規格確認済み</t>
        </is>
      </c>
      <c r="O1138" s="222" t="n">
        <v>162</v>
      </c>
      <c r="P1138" s="222" t="n">
        <v>160</v>
      </c>
      <c r="Q1138" s="43" t="inlineStr">
        <is>
          <t>202604_LIXIL_サーモスＬ_業務用資料集_完成品価格表.pdf</t>
        </is>
      </c>
      <c r="R1138" s="43" t="n"/>
      <c r="S1138" s="42" t="inlineStr">
        <is>
          <t>無印</t>
        </is>
      </c>
      <c r="T1138" s="42" t="n">
        <v>160</v>
      </c>
      <c r="U1138" s="42" t="inlineStr">
        <is>
          <t>P160|無印</t>
        </is>
      </c>
      <c r="V1138" s="42" t="inlineStr">
        <is>
          <t>同頁凡例へ直接連動</t>
        </is>
      </c>
    </row>
    <row r="1139">
      <c r="A1139" s="43" t="inlineStr">
        <is>
          <t>SZ-SL-001136</t>
        </is>
      </c>
      <c r="B1139" s="43" t="inlineStr">
        <is>
          <t>SER-LIX-SAMOSL</t>
        </is>
      </c>
      <c r="C1139" s="43" t="inlineStr">
        <is>
          <t>WT-SL-FIX-OUT</t>
        </is>
      </c>
      <c r="D1139" s="43" t="inlineStr">
        <is>
          <t>FIX窓（外押縁タイプ）</t>
        </is>
      </c>
      <c r="E1139" s="43" t="n"/>
      <c r="F1139" s="43" t="inlineStr">
        <is>
          <t>在来・204</t>
        </is>
      </c>
      <c r="G1139" s="43" t="inlineStr">
        <is>
          <t>02120</t>
        </is>
      </c>
      <c r="H1139" s="43" t="inlineStr">
        <is>
          <t>021</t>
        </is>
      </c>
      <c r="I1139" s="43" t="inlineStr">
        <is>
          <t>20</t>
        </is>
      </c>
      <c r="J1139" s="222" t="n">
        <v>250</v>
      </c>
      <c r="K1139" s="222" t="n">
        <v>2030</v>
      </c>
      <c r="L1139" s="43" t="inlineStr">
        <is>
          <t>在来・204｜マド</t>
        </is>
      </c>
      <c r="M1139" s="178" t="b">
        <v>1</v>
      </c>
      <c r="N1139" s="43" t="inlineStr">
        <is>
          <t>カタログ規格確認済み</t>
        </is>
      </c>
      <c r="O1139" s="222" t="n">
        <v>162</v>
      </c>
      <c r="P1139" s="222" t="n">
        <v>160</v>
      </c>
      <c r="Q1139" s="43" t="inlineStr">
        <is>
          <t>202604_LIXIL_サーモスＬ_業務用資料集_完成品価格表.pdf</t>
        </is>
      </c>
      <c r="R1139" s="43" t="n"/>
      <c r="S1139" s="42" t="inlineStr">
        <is>
          <t>無印</t>
        </is>
      </c>
      <c r="T1139" s="42" t="n">
        <v>160</v>
      </c>
      <c r="U1139" s="42" t="inlineStr">
        <is>
          <t>P160|無印</t>
        </is>
      </c>
      <c r="V1139" s="42" t="inlineStr">
        <is>
          <t>同頁凡例へ直接連動</t>
        </is>
      </c>
    </row>
    <row r="1140">
      <c r="A1140" s="43" t="inlineStr">
        <is>
          <t>SZ-SL-001137</t>
        </is>
      </c>
      <c r="B1140" s="43" t="inlineStr">
        <is>
          <t>SER-LIX-SAMOSL</t>
        </is>
      </c>
      <c r="C1140" s="43" t="inlineStr">
        <is>
          <t>WT-SL-FIX-OUT</t>
        </is>
      </c>
      <c r="D1140" s="43" t="inlineStr">
        <is>
          <t>FIX窓（外押縁タイプ）</t>
        </is>
      </c>
      <c r="E1140" s="43" t="n"/>
      <c r="F1140" s="43" t="inlineStr">
        <is>
          <t>在来・204</t>
        </is>
      </c>
      <c r="G1140" s="43" t="inlineStr">
        <is>
          <t>02122</t>
        </is>
      </c>
      <c r="H1140" s="43" t="inlineStr">
        <is>
          <t>021</t>
        </is>
      </c>
      <c r="I1140" s="43" t="inlineStr">
        <is>
          <t>22</t>
        </is>
      </c>
      <c r="J1140" s="222" t="n">
        <v>250</v>
      </c>
      <c r="K1140" s="222" t="n">
        <v>2230</v>
      </c>
      <c r="L1140" s="43" t="inlineStr">
        <is>
          <t>在来・204｜マド</t>
        </is>
      </c>
      <c r="M1140" s="178" t="b">
        <v>1</v>
      </c>
      <c r="N1140" s="43" t="inlineStr">
        <is>
          <t>カタログ規格確認済み</t>
        </is>
      </c>
      <c r="O1140" s="222" t="n">
        <v>162</v>
      </c>
      <c r="P1140" s="222" t="n">
        <v>160</v>
      </c>
      <c r="Q1140" s="43" t="inlineStr">
        <is>
          <t>202604_LIXIL_サーモスＬ_業務用資料集_完成品価格表.pdf</t>
        </is>
      </c>
      <c r="R1140" s="43" t="n"/>
      <c r="S1140" s="42" t="inlineStr">
        <is>
          <t>無印</t>
        </is>
      </c>
      <c r="T1140" s="42" t="n">
        <v>160</v>
      </c>
      <c r="U1140" s="42" t="inlineStr">
        <is>
          <t>P160|無印</t>
        </is>
      </c>
      <c r="V1140" s="42" t="inlineStr">
        <is>
          <t>同頁凡例へ直接連動</t>
        </is>
      </c>
    </row>
    <row r="1141">
      <c r="A1141" s="43" t="inlineStr">
        <is>
          <t>SZ-SL-001138</t>
        </is>
      </c>
      <c r="B1141" s="43" t="inlineStr">
        <is>
          <t>SER-LIX-SAMOSL</t>
        </is>
      </c>
      <c r="C1141" s="43" t="inlineStr">
        <is>
          <t>WT-SL-FIX-OUT</t>
        </is>
      </c>
      <c r="D1141" s="43" t="inlineStr">
        <is>
          <t>FIX窓（外押縁タイプ）</t>
        </is>
      </c>
      <c r="E1141" s="43" t="n"/>
      <c r="F1141" s="43" t="inlineStr">
        <is>
          <t>在来・204</t>
        </is>
      </c>
      <c r="G1141" s="43" t="inlineStr">
        <is>
          <t>02618</t>
        </is>
      </c>
      <c r="H1141" s="43" t="inlineStr">
        <is>
          <t>026</t>
        </is>
      </c>
      <c r="I1141" s="43" t="inlineStr">
        <is>
          <t>18</t>
        </is>
      </c>
      <c r="J1141" s="222" t="n">
        <v>300</v>
      </c>
      <c r="K1141" s="222" t="n">
        <v>1830</v>
      </c>
      <c r="L1141" s="43" t="inlineStr">
        <is>
          <t>在来・204｜マド</t>
        </is>
      </c>
      <c r="M1141" s="178" t="b">
        <v>1</v>
      </c>
      <c r="N1141" s="43" t="inlineStr">
        <is>
          <t>カタログ規格確認済み</t>
        </is>
      </c>
      <c r="O1141" s="222" t="n">
        <v>162</v>
      </c>
      <c r="P1141" s="222" t="n">
        <v>160</v>
      </c>
      <c r="Q1141" s="43" t="inlineStr">
        <is>
          <t>202604_LIXIL_サーモスＬ_業務用資料集_完成品価格表.pdf</t>
        </is>
      </c>
      <c r="R1141" s="43" t="n"/>
      <c r="S1141" s="42" t="inlineStr">
        <is>
          <t>無印</t>
        </is>
      </c>
      <c r="T1141" s="42" t="n">
        <v>160</v>
      </c>
      <c r="U1141" s="42" t="inlineStr">
        <is>
          <t>P160|無印</t>
        </is>
      </c>
      <c r="V1141" s="42" t="inlineStr">
        <is>
          <t>同頁凡例へ直接連動</t>
        </is>
      </c>
    </row>
    <row r="1142">
      <c r="A1142" s="43" t="inlineStr">
        <is>
          <t>SZ-SL-001139</t>
        </is>
      </c>
      <c r="B1142" s="43" t="inlineStr">
        <is>
          <t>SER-LIX-SAMOSL</t>
        </is>
      </c>
      <c r="C1142" s="43" t="inlineStr">
        <is>
          <t>WT-SL-FIX-OUT</t>
        </is>
      </c>
      <c r="D1142" s="43" t="inlineStr">
        <is>
          <t>FIX窓（外押縁タイプ）</t>
        </is>
      </c>
      <c r="E1142" s="43" t="n"/>
      <c r="F1142" s="43" t="inlineStr">
        <is>
          <t>在来・204</t>
        </is>
      </c>
      <c r="G1142" s="43" t="inlineStr">
        <is>
          <t>02620</t>
        </is>
      </c>
      <c r="H1142" s="43" t="inlineStr">
        <is>
          <t>026</t>
        </is>
      </c>
      <c r="I1142" s="43" t="inlineStr">
        <is>
          <t>20</t>
        </is>
      </c>
      <c r="J1142" s="222" t="n">
        <v>300</v>
      </c>
      <c r="K1142" s="222" t="n">
        <v>2030</v>
      </c>
      <c r="L1142" s="43" t="inlineStr">
        <is>
          <t>在来・204｜マド</t>
        </is>
      </c>
      <c r="M1142" s="178" t="b">
        <v>1</v>
      </c>
      <c r="N1142" s="43" t="inlineStr">
        <is>
          <t>カタログ規格確認済み</t>
        </is>
      </c>
      <c r="O1142" s="222" t="n">
        <v>162</v>
      </c>
      <c r="P1142" s="222" t="n">
        <v>160</v>
      </c>
      <c r="Q1142" s="43" t="inlineStr">
        <is>
          <t>202604_LIXIL_サーモスＬ_業務用資料集_完成品価格表.pdf</t>
        </is>
      </c>
      <c r="R1142" s="43" t="n"/>
      <c r="S1142" s="42" t="inlineStr">
        <is>
          <t>無印</t>
        </is>
      </c>
      <c r="T1142" s="42" t="n">
        <v>160</v>
      </c>
      <c r="U1142" s="42" t="inlineStr">
        <is>
          <t>P160|無印</t>
        </is>
      </c>
      <c r="V1142" s="42" t="inlineStr">
        <is>
          <t>同頁凡例へ直接連動</t>
        </is>
      </c>
    </row>
    <row r="1143">
      <c r="A1143" s="43" t="inlineStr">
        <is>
          <t>SZ-SL-001140</t>
        </is>
      </c>
      <c r="B1143" s="43" t="inlineStr">
        <is>
          <t>SER-LIX-SAMOSL</t>
        </is>
      </c>
      <c r="C1143" s="43" t="inlineStr">
        <is>
          <t>WT-SL-FIX-OUT</t>
        </is>
      </c>
      <c r="D1143" s="43" t="inlineStr">
        <is>
          <t>FIX窓（外押縁タイプ）</t>
        </is>
      </c>
      <c r="E1143" s="43" t="n"/>
      <c r="F1143" s="43" t="inlineStr">
        <is>
          <t>在来・204</t>
        </is>
      </c>
      <c r="G1143" s="43" t="inlineStr">
        <is>
          <t>02622</t>
        </is>
      </c>
      <c r="H1143" s="43" t="inlineStr">
        <is>
          <t>026</t>
        </is>
      </c>
      <c r="I1143" s="43" t="inlineStr">
        <is>
          <t>22</t>
        </is>
      </c>
      <c r="J1143" s="222" t="n">
        <v>300</v>
      </c>
      <c r="K1143" s="222" t="n">
        <v>2230</v>
      </c>
      <c r="L1143" s="43" t="inlineStr">
        <is>
          <t>在来・204｜マド</t>
        </is>
      </c>
      <c r="M1143" s="178" t="b">
        <v>1</v>
      </c>
      <c r="N1143" s="43" t="inlineStr">
        <is>
          <t>カタログ規格確認済み</t>
        </is>
      </c>
      <c r="O1143" s="222" t="n">
        <v>162</v>
      </c>
      <c r="P1143" s="222" t="n">
        <v>160</v>
      </c>
      <c r="Q1143" s="43" t="inlineStr">
        <is>
          <t>202604_LIXIL_サーモスＬ_業務用資料集_完成品価格表.pdf</t>
        </is>
      </c>
      <c r="R1143" s="43" t="n"/>
      <c r="S1143" s="42" t="inlineStr">
        <is>
          <t>無印</t>
        </is>
      </c>
      <c r="T1143" s="42" t="n">
        <v>160</v>
      </c>
      <c r="U1143" s="42" t="inlineStr">
        <is>
          <t>P160|無印</t>
        </is>
      </c>
      <c r="V1143" s="42" t="inlineStr">
        <is>
          <t>同頁凡例へ直接連動</t>
        </is>
      </c>
    </row>
    <row r="1144">
      <c r="A1144" s="43" t="inlineStr">
        <is>
          <t>SZ-SL-001141</t>
        </is>
      </c>
      <c r="B1144" s="43" t="inlineStr">
        <is>
          <t>SER-LIX-SAMOSL</t>
        </is>
      </c>
      <c r="C1144" s="43" t="inlineStr">
        <is>
          <t>WT-SL-FIX-OUT</t>
        </is>
      </c>
      <c r="D1144" s="43" t="inlineStr">
        <is>
          <t>FIX窓（外押縁タイプ）</t>
        </is>
      </c>
      <c r="E1144" s="43" t="n"/>
      <c r="F1144" s="43" t="inlineStr">
        <is>
          <t>在来・204</t>
        </is>
      </c>
      <c r="G1144" s="43" t="inlineStr">
        <is>
          <t>03118</t>
        </is>
      </c>
      <c r="H1144" s="43" t="inlineStr">
        <is>
          <t>031</t>
        </is>
      </c>
      <c r="I1144" s="43" t="inlineStr">
        <is>
          <t>18</t>
        </is>
      </c>
      <c r="J1144" s="222" t="n">
        <v>350</v>
      </c>
      <c r="K1144" s="222" t="n">
        <v>1830</v>
      </c>
      <c r="L1144" s="43" t="inlineStr">
        <is>
          <t>在来・204｜マド</t>
        </is>
      </c>
      <c r="M1144" s="178" t="b">
        <v>1</v>
      </c>
      <c r="N1144" s="43" t="inlineStr">
        <is>
          <t>カタログ規格確認済み</t>
        </is>
      </c>
      <c r="O1144" s="222" t="n">
        <v>163</v>
      </c>
      <c r="P1144" s="222" t="n">
        <v>161</v>
      </c>
      <c r="Q1144" s="43" t="inlineStr">
        <is>
          <t>202604_LIXIL_サーモスＬ_業務用資料集_完成品価格表.pdf</t>
        </is>
      </c>
      <c r="R1144" s="43" t="n"/>
      <c r="S1144" s="42" t="inlineStr">
        <is>
          <t>無印</t>
        </is>
      </c>
      <c r="T1144" s="42" t="n">
        <v>160</v>
      </c>
      <c r="U1144" s="42" t="inlineStr">
        <is>
          <t>P160|無印</t>
        </is>
      </c>
      <c r="V1144" s="42" t="inlineStr">
        <is>
          <t>同一価格表・前頁凡例を継承</t>
        </is>
      </c>
    </row>
    <row r="1145">
      <c r="A1145" s="43" t="inlineStr">
        <is>
          <t>SZ-SL-001142</t>
        </is>
      </c>
      <c r="B1145" s="43" t="inlineStr">
        <is>
          <t>SER-LIX-SAMOSL</t>
        </is>
      </c>
      <c r="C1145" s="43" t="inlineStr">
        <is>
          <t>WT-SL-FIX-OUT</t>
        </is>
      </c>
      <c r="D1145" s="43" t="inlineStr">
        <is>
          <t>FIX窓（外押縁タイプ）</t>
        </is>
      </c>
      <c r="E1145" s="43" t="n"/>
      <c r="F1145" s="43" t="inlineStr">
        <is>
          <t>在来・204</t>
        </is>
      </c>
      <c r="G1145" s="43" t="inlineStr">
        <is>
          <t>03120</t>
        </is>
      </c>
      <c r="H1145" s="43" t="inlineStr">
        <is>
          <t>031</t>
        </is>
      </c>
      <c r="I1145" s="43" t="inlineStr">
        <is>
          <t>20</t>
        </is>
      </c>
      <c r="J1145" s="222" t="n">
        <v>350</v>
      </c>
      <c r="K1145" s="222" t="n">
        <v>2030</v>
      </c>
      <c r="L1145" s="43" t="inlineStr">
        <is>
          <t>在来・204｜マド</t>
        </is>
      </c>
      <c r="M1145" s="178" t="b">
        <v>1</v>
      </c>
      <c r="N1145" s="43" t="inlineStr">
        <is>
          <t>カタログ規格確認済み</t>
        </is>
      </c>
      <c r="O1145" s="222" t="n">
        <v>163</v>
      </c>
      <c r="P1145" s="222" t="n">
        <v>161</v>
      </c>
      <c r="Q1145" s="43" t="inlineStr">
        <is>
          <t>202604_LIXIL_サーモスＬ_業務用資料集_完成品価格表.pdf</t>
        </is>
      </c>
      <c r="R1145" s="43" t="n"/>
      <c r="S1145" s="42" t="inlineStr">
        <is>
          <t>無印</t>
        </is>
      </c>
      <c r="T1145" s="42" t="n">
        <v>160</v>
      </c>
      <c r="U1145" s="42" t="inlineStr">
        <is>
          <t>P160|無印</t>
        </is>
      </c>
      <c r="V1145" s="42" t="inlineStr">
        <is>
          <t>同一価格表・前頁凡例を継承</t>
        </is>
      </c>
    </row>
    <row r="1146">
      <c r="A1146" s="43" t="inlineStr">
        <is>
          <t>SZ-SL-001143</t>
        </is>
      </c>
      <c r="B1146" s="43" t="inlineStr">
        <is>
          <t>SER-LIX-SAMOSL</t>
        </is>
      </c>
      <c r="C1146" s="43" t="inlineStr">
        <is>
          <t>WT-SL-FIX-OUT</t>
        </is>
      </c>
      <c r="D1146" s="43" t="inlineStr">
        <is>
          <t>FIX窓（外押縁タイプ）</t>
        </is>
      </c>
      <c r="E1146" s="43" t="n"/>
      <c r="F1146" s="43" t="inlineStr">
        <is>
          <t>在来・204</t>
        </is>
      </c>
      <c r="G1146" s="43" t="inlineStr">
        <is>
          <t>03122</t>
        </is>
      </c>
      <c r="H1146" s="43" t="inlineStr">
        <is>
          <t>031</t>
        </is>
      </c>
      <c r="I1146" s="43" t="inlineStr">
        <is>
          <t>22</t>
        </is>
      </c>
      <c r="J1146" s="222" t="n">
        <v>350</v>
      </c>
      <c r="K1146" s="222" t="n">
        <v>2230</v>
      </c>
      <c r="L1146" s="43" t="inlineStr">
        <is>
          <t>在来・204｜マド</t>
        </is>
      </c>
      <c r="M1146" s="178" t="b">
        <v>1</v>
      </c>
      <c r="N1146" s="43" t="inlineStr">
        <is>
          <t>カタログ規格確認済み</t>
        </is>
      </c>
      <c r="O1146" s="222" t="n">
        <v>163</v>
      </c>
      <c r="P1146" s="222" t="n">
        <v>161</v>
      </c>
      <c r="Q1146" s="43" t="inlineStr">
        <is>
          <t>202604_LIXIL_サーモスＬ_業務用資料集_完成品価格表.pdf</t>
        </is>
      </c>
      <c r="R1146" s="43" t="n"/>
      <c r="S1146" s="42" t="inlineStr">
        <is>
          <t>無印</t>
        </is>
      </c>
      <c r="T1146" s="42" t="n">
        <v>160</v>
      </c>
      <c r="U1146" s="42" t="inlineStr">
        <is>
          <t>P160|無印</t>
        </is>
      </c>
      <c r="V1146" s="42" t="inlineStr">
        <is>
          <t>同一価格表・前頁凡例を継承</t>
        </is>
      </c>
    </row>
    <row r="1147">
      <c r="A1147" s="43" t="inlineStr">
        <is>
          <t>SZ-SL-001144</t>
        </is>
      </c>
      <c r="B1147" s="43" t="inlineStr">
        <is>
          <t>SER-LIX-SAMOSL</t>
        </is>
      </c>
      <c r="C1147" s="43" t="inlineStr">
        <is>
          <t>WT-SL-FIX-OUT</t>
        </is>
      </c>
      <c r="D1147" s="43" t="inlineStr">
        <is>
          <t>FIX窓（外押縁タイプ）</t>
        </is>
      </c>
      <c r="E1147" s="43" t="n"/>
      <c r="F1147" s="43" t="inlineStr">
        <is>
          <t>在来</t>
        </is>
      </c>
      <c r="G1147" s="43" t="inlineStr">
        <is>
          <t>03618</t>
        </is>
      </c>
      <c r="H1147" s="43" t="inlineStr">
        <is>
          <t>036</t>
        </is>
      </c>
      <c r="I1147" s="43" t="inlineStr">
        <is>
          <t>18</t>
        </is>
      </c>
      <c r="J1147" s="222" t="n">
        <v>405</v>
      </c>
      <c r="K1147" s="222" t="n">
        <v>1830</v>
      </c>
      <c r="L1147" s="43" t="inlineStr">
        <is>
          <t>在来｜テラス</t>
        </is>
      </c>
      <c r="M1147" s="178" t="b">
        <v>1</v>
      </c>
      <c r="N1147" s="43" t="inlineStr">
        <is>
          <t>カタログ規格確認済み</t>
        </is>
      </c>
      <c r="O1147" s="222" t="n">
        <v>166</v>
      </c>
      <c r="P1147" s="222" t="n">
        <v>164</v>
      </c>
      <c r="Q1147" s="43" t="inlineStr">
        <is>
          <t>202604_LIXIL_サーモスＬ_業務用資料集_完成品価格表.pdf</t>
        </is>
      </c>
      <c r="R1147" s="43" t="n"/>
      <c r="S1147" s="42" t="inlineStr">
        <is>
          <t>無印</t>
        </is>
      </c>
      <c r="T1147" s="42" t="n">
        <v>164</v>
      </c>
      <c r="U1147" s="42" t="inlineStr">
        <is>
          <t>P164|無印</t>
        </is>
      </c>
      <c r="V1147" s="42" t="inlineStr">
        <is>
          <t>同頁凡例へ直接連動</t>
        </is>
      </c>
    </row>
    <row r="1148">
      <c r="A1148" s="43" t="inlineStr">
        <is>
          <t>SZ-SL-001145</t>
        </is>
      </c>
      <c r="B1148" s="43" t="inlineStr">
        <is>
          <t>SER-LIX-SAMOSL</t>
        </is>
      </c>
      <c r="C1148" s="43" t="inlineStr">
        <is>
          <t>WT-SL-FIX-OUT</t>
        </is>
      </c>
      <c r="D1148" s="43" t="inlineStr">
        <is>
          <t>FIX窓（外押縁タイプ）</t>
        </is>
      </c>
      <c r="E1148" s="43" t="n"/>
      <c r="F1148" s="43" t="inlineStr">
        <is>
          <t>在来</t>
        </is>
      </c>
      <c r="G1148" s="43" t="inlineStr">
        <is>
          <t>03620</t>
        </is>
      </c>
      <c r="H1148" s="43" t="inlineStr">
        <is>
          <t>036</t>
        </is>
      </c>
      <c r="I1148" s="43" t="inlineStr">
        <is>
          <t>20</t>
        </is>
      </c>
      <c r="J1148" s="222" t="n">
        <v>405</v>
      </c>
      <c r="K1148" s="222" t="n">
        <v>2030</v>
      </c>
      <c r="L1148" s="43" t="inlineStr">
        <is>
          <t>在来｜テラス</t>
        </is>
      </c>
      <c r="M1148" s="178" t="b">
        <v>1</v>
      </c>
      <c r="N1148" s="43" t="inlineStr">
        <is>
          <t>カタログ規格確認済み</t>
        </is>
      </c>
      <c r="O1148" s="222" t="n">
        <v>166</v>
      </c>
      <c r="P1148" s="222" t="n">
        <v>164</v>
      </c>
      <c r="Q1148" s="43" t="inlineStr">
        <is>
          <t>202604_LIXIL_サーモスＬ_業務用資料集_完成品価格表.pdf</t>
        </is>
      </c>
      <c r="R1148" s="43" t="n"/>
      <c r="S1148" s="42" t="inlineStr">
        <is>
          <t>無印</t>
        </is>
      </c>
      <c r="T1148" s="42" t="n">
        <v>164</v>
      </c>
      <c r="U1148" s="42" t="inlineStr">
        <is>
          <t>P164|無印</t>
        </is>
      </c>
      <c r="V1148" s="42" t="inlineStr">
        <is>
          <t>同頁凡例へ直接連動</t>
        </is>
      </c>
    </row>
    <row r="1149">
      <c r="A1149" s="43" t="inlineStr">
        <is>
          <t>SZ-SL-001146</t>
        </is>
      </c>
      <c r="B1149" s="43" t="inlineStr">
        <is>
          <t>SER-LIX-SAMOSL</t>
        </is>
      </c>
      <c r="C1149" s="43" t="inlineStr">
        <is>
          <t>WT-SL-FIX-OUT</t>
        </is>
      </c>
      <c r="D1149" s="43" t="inlineStr">
        <is>
          <t>FIX窓（外押縁タイプ）</t>
        </is>
      </c>
      <c r="E1149" s="43" t="n"/>
      <c r="F1149" s="43" t="inlineStr">
        <is>
          <t>在来</t>
        </is>
      </c>
      <c r="G1149" s="43" t="inlineStr">
        <is>
          <t>03622</t>
        </is>
      </c>
      <c r="H1149" s="43" t="inlineStr">
        <is>
          <t>036</t>
        </is>
      </c>
      <c r="I1149" s="43" t="inlineStr">
        <is>
          <t>22</t>
        </is>
      </c>
      <c r="J1149" s="222" t="n">
        <v>405</v>
      </c>
      <c r="K1149" s="222" t="n">
        <v>2230</v>
      </c>
      <c r="L1149" s="43" t="inlineStr">
        <is>
          <t>在来｜テラス</t>
        </is>
      </c>
      <c r="M1149" s="178" t="b">
        <v>1</v>
      </c>
      <c r="N1149" s="43" t="inlineStr">
        <is>
          <t>カタログ規格確認済み</t>
        </is>
      </c>
      <c r="O1149" s="222" t="n">
        <v>166</v>
      </c>
      <c r="P1149" s="222" t="n">
        <v>164</v>
      </c>
      <c r="Q1149" s="43" t="inlineStr">
        <is>
          <t>202604_LIXIL_サーモスＬ_業務用資料集_完成品価格表.pdf</t>
        </is>
      </c>
      <c r="R1149" s="43" t="n"/>
      <c r="S1149" s="42" t="inlineStr">
        <is>
          <t>無印</t>
        </is>
      </c>
      <c r="T1149" s="42" t="n">
        <v>164</v>
      </c>
      <c r="U1149" s="42" t="inlineStr">
        <is>
          <t>P164|無印</t>
        </is>
      </c>
      <c r="V1149" s="42" t="inlineStr">
        <is>
          <t>同頁凡例へ直接連動</t>
        </is>
      </c>
    </row>
    <row r="1150">
      <c r="A1150" s="43" t="inlineStr">
        <is>
          <t>SZ-SL-001147</t>
        </is>
      </c>
      <c r="B1150" s="43" t="inlineStr">
        <is>
          <t>SER-LIX-SAMOSL</t>
        </is>
      </c>
      <c r="C1150" s="43" t="inlineStr">
        <is>
          <t>WT-SL-FIX-OUT</t>
        </is>
      </c>
      <c r="D1150" s="43" t="inlineStr">
        <is>
          <t>FIX窓（外押縁タイプ）</t>
        </is>
      </c>
      <c r="E1150" s="43" t="n"/>
      <c r="F1150" s="43" t="inlineStr">
        <is>
          <t>在来</t>
        </is>
      </c>
      <c r="G1150" s="43" t="inlineStr">
        <is>
          <t>03624</t>
        </is>
      </c>
      <c r="H1150" s="43" t="inlineStr">
        <is>
          <t>036</t>
        </is>
      </c>
      <c r="I1150" s="43" t="inlineStr">
        <is>
          <t>24</t>
        </is>
      </c>
      <c r="J1150" s="222" t="n">
        <v>405</v>
      </c>
      <c r="K1150" s="222" t="n">
        <v>2430</v>
      </c>
      <c r="L1150" s="43" t="inlineStr">
        <is>
          <t>在来｜テラス</t>
        </is>
      </c>
      <c r="M1150" s="178" t="b">
        <v>1</v>
      </c>
      <c r="N1150" s="43" t="inlineStr">
        <is>
          <t>カタログ規格確認済み</t>
        </is>
      </c>
      <c r="O1150" s="222" t="n">
        <v>166</v>
      </c>
      <c r="P1150" s="222" t="n">
        <v>164</v>
      </c>
      <c r="Q1150" s="43" t="inlineStr">
        <is>
          <t>202604_LIXIL_サーモスＬ_業務用資料集_完成品価格表.pdf</t>
        </is>
      </c>
      <c r="R1150" s="43" t="n"/>
      <c r="S1150" s="42" t="inlineStr">
        <is>
          <t>無印</t>
        </is>
      </c>
      <c r="T1150" s="42" t="n">
        <v>164</v>
      </c>
      <c r="U1150" s="42" t="inlineStr">
        <is>
          <t>P164|無印</t>
        </is>
      </c>
      <c r="V1150" s="42" t="inlineStr">
        <is>
          <t>同頁凡例へ直接連動</t>
        </is>
      </c>
    </row>
    <row r="1151">
      <c r="A1151" s="43" t="inlineStr">
        <is>
          <t>SZ-SL-001148</t>
        </is>
      </c>
      <c r="B1151" s="43" t="inlineStr">
        <is>
          <t>SER-LIX-SAMOSL</t>
        </is>
      </c>
      <c r="C1151" s="43" t="inlineStr">
        <is>
          <t>WT-SL-FIX-OUT</t>
        </is>
      </c>
      <c r="D1151" s="43" t="inlineStr">
        <is>
          <t>FIX窓（外押縁タイプ）</t>
        </is>
      </c>
      <c r="E1151" s="43" t="n"/>
      <c r="F1151" s="43" t="inlineStr">
        <is>
          <t>在来</t>
        </is>
      </c>
      <c r="G1151" s="43" t="inlineStr">
        <is>
          <t>06018</t>
        </is>
      </c>
      <c r="H1151" s="43" t="inlineStr">
        <is>
          <t>060</t>
        </is>
      </c>
      <c r="I1151" s="43" t="inlineStr">
        <is>
          <t>18</t>
        </is>
      </c>
      <c r="J1151" s="222" t="n">
        <v>640</v>
      </c>
      <c r="K1151" s="222" t="n">
        <v>1830</v>
      </c>
      <c r="L1151" s="43" t="inlineStr">
        <is>
          <t>在来｜テラス</t>
        </is>
      </c>
      <c r="M1151" s="178" t="b">
        <v>1</v>
      </c>
      <c r="N1151" s="43" t="inlineStr">
        <is>
          <t>カタログ規格確認済み</t>
        </is>
      </c>
      <c r="O1151" s="222" t="n">
        <v>166</v>
      </c>
      <c r="P1151" s="222" t="n">
        <v>164</v>
      </c>
      <c r="Q1151" s="43" t="inlineStr">
        <is>
          <t>202604_LIXIL_サーモスＬ_業務用資料集_完成品価格表.pdf</t>
        </is>
      </c>
      <c r="R1151" s="43" t="n"/>
      <c r="S1151" s="42" t="inlineStr">
        <is>
          <t>★</t>
        </is>
      </c>
      <c r="T1151" s="42" t="n">
        <v>164</v>
      </c>
      <c r="U1151" s="42" t="inlineStr">
        <is>
          <t>P164|★</t>
        </is>
      </c>
      <c r="V1151" s="42" t="inlineStr">
        <is>
          <t>同頁凡例へ直接連動</t>
        </is>
      </c>
    </row>
    <row r="1152">
      <c r="A1152" s="43" t="inlineStr">
        <is>
          <t>SZ-SL-001149</t>
        </is>
      </c>
      <c r="B1152" s="43" t="inlineStr">
        <is>
          <t>SER-LIX-SAMOSL</t>
        </is>
      </c>
      <c r="C1152" s="43" t="inlineStr">
        <is>
          <t>WT-SL-FIX-OUT</t>
        </is>
      </c>
      <c r="D1152" s="43" t="inlineStr">
        <is>
          <t>FIX窓（外押縁タイプ）</t>
        </is>
      </c>
      <c r="E1152" s="43" t="n"/>
      <c r="F1152" s="43" t="inlineStr">
        <is>
          <t>在来</t>
        </is>
      </c>
      <c r="G1152" s="43" t="inlineStr">
        <is>
          <t>06020</t>
        </is>
      </c>
      <c r="H1152" s="43" t="inlineStr">
        <is>
          <t>060</t>
        </is>
      </c>
      <c r="I1152" s="43" t="inlineStr">
        <is>
          <t>20</t>
        </is>
      </c>
      <c r="J1152" s="222" t="n">
        <v>640</v>
      </c>
      <c r="K1152" s="222" t="n">
        <v>2030</v>
      </c>
      <c r="L1152" s="43" t="inlineStr">
        <is>
          <t>在来｜テラス</t>
        </is>
      </c>
      <c r="M1152" s="178" t="b">
        <v>1</v>
      </c>
      <c r="N1152" s="43" t="inlineStr">
        <is>
          <t>カタログ規格確認済み</t>
        </is>
      </c>
      <c r="O1152" s="222" t="n">
        <v>166</v>
      </c>
      <c r="P1152" s="222" t="n">
        <v>164</v>
      </c>
      <c r="Q1152" s="43" t="inlineStr">
        <is>
          <t>202604_LIXIL_サーモスＬ_業務用資料集_完成品価格表.pdf</t>
        </is>
      </c>
      <c r="R1152" s="43" t="n"/>
      <c r="S1152" s="42" t="inlineStr">
        <is>
          <t>★</t>
        </is>
      </c>
      <c r="T1152" s="42" t="n">
        <v>164</v>
      </c>
      <c r="U1152" s="42" t="inlineStr">
        <is>
          <t>P164|★</t>
        </is>
      </c>
      <c r="V1152" s="42" t="inlineStr">
        <is>
          <t>同頁凡例へ直接連動</t>
        </is>
      </c>
    </row>
    <row r="1153">
      <c r="A1153" s="43" t="inlineStr">
        <is>
          <t>SZ-SL-001150</t>
        </is>
      </c>
      <c r="B1153" s="43" t="inlineStr">
        <is>
          <t>SER-LIX-SAMOSL</t>
        </is>
      </c>
      <c r="C1153" s="43" t="inlineStr">
        <is>
          <t>WT-SL-FIX-OUT</t>
        </is>
      </c>
      <c r="D1153" s="43" t="inlineStr">
        <is>
          <t>FIX窓（外押縁タイプ）</t>
        </is>
      </c>
      <c r="E1153" s="43" t="n"/>
      <c r="F1153" s="43" t="inlineStr">
        <is>
          <t>在来</t>
        </is>
      </c>
      <c r="G1153" s="43" t="inlineStr">
        <is>
          <t>06022</t>
        </is>
      </c>
      <c r="H1153" s="43" t="inlineStr">
        <is>
          <t>060</t>
        </is>
      </c>
      <c r="I1153" s="43" t="inlineStr">
        <is>
          <t>22</t>
        </is>
      </c>
      <c r="J1153" s="222" t="n">
        <v>640</v>
      </c>
      <c r="K1153" s="222" t="n">
        <v>2230</v>
      </c>
      <c r="L1153" s="43" t="inlineStr">
        <is>
          <t>在来｜テラス</t>
        </is>
      </c>
      <c r="M1153" s="178" t="b">
        <v>1</v>
      </c>
      <c r="N1153" s="43" t="inlineStr">
        <is>
          <t>カタログ規格確認済み</t>
        </is>
      </c>
      <c r="O1153" s="222" t="n">
        <v>166</v>
      </c>
      <c r="P1153" s="222" t="n">
        <v>164</v>
      </c>
      <c r="Q1153" s="43" t="inlineStr">
        <is>
          <t>202604_LIXIL_サーモスＬ_業務用資料集_完成品価格表.pdf</t>
        </is>
      </c>
      <c r="R1153" s="43" t="n"/>
      <c r="S1153" s="42" t="inlineStr">
        <is>
          <t>☆</t>
        </is>
      </c>
      <c r="T1153" s="42" t="n">
        <v>164</v>
      </c>
      <c r="U1153" s="42" t="inlineStr">
        <is>
          <t>P164|☆</t>
        </is>
      </c>
      <c r="V1153" s="42" t="inlineStr">
        <is>
          <t>同頁凡例へ直接連動</t>
        </is>
      </c>
    </row>
    <row r="1154">
      <c r="A1154" s="43" t="inlineStr">
        <is>
          <t>SZ-SL-001151</t>
        </is>
      </c>
      <c r="B1154" s="43" t="inlineStr">
        <is>
          <t>SER-LIX-SAMOSL</t>
        </is>
      </c>
      <c r="C1154" s="43" t="inlineStr">
        <is>
          <t>WT-SL-FIX-OUT</t>
        </is>
      </c>
      <c r="D1154" s="43" t="inlineStr">
        <is>
          <t>FIX窓（外押縁タイプ）</t>
        </is>
      </c>
      <c r="E1154" s="43" t="n"/>
      <c r="F1154" s="43" t="inlineStr">
        <is>
          <t>在来</t>
        </is>
      </c>
      <c r="G1154" s="43" t="inlineStr">
        <is>
          <t>06024</t>
        </is>
      </c>
      <c r="H1154" s="43" t="inlineStr">
        <is>
          <t>060</t>
        </is>
      </c>
      <c r="I1154" s="43" t="inlineStr">
        <is>
          <t>24</t>
        </is>
      </c>
      <c r="J1154" s="222" t="n">
        <v>640</v>
      </c>
      <c r="K1154" s="222" t="n">
        <v>2430</v>
      </c>
      <c r="L1154" s="43" t="inlineStr">
        <is>
          <t>在来｜テラス</t>
        </is>
      </c>
      <c r="M1154" s="178" t="b">
        <v>1</v>
      </c>
      <c r="N1154" s="43" t="inlineStr">
        <is>
          <t>カタログ規格確認済み</t>
        </is>
      </c>
      <c r="O1154" s="222" t="n">
        <v>166</v>
      </c>
      <c r="P1154" s="222" t="n">
        <v>164</v>
      </c>
      <c r="Q1154" s="43" t="inlineStr">
        <is>
          <t>202604_LIXIL_サーモスＬ_業務用資料集_完成品価格表.pdf</t>
        </is>
      </c>
      <c r="R1154" s="43" t="n"/>
      <c r="S1154" s="42" t="inlineStr">
        <is>
          <t>無印</t>
        </is>
      </c>
      <c r="T1154" s="42" t="n">
        <v>164</v>
      </c>
      <c r="U1154" s="42" t="inlineStr">
        <is>
          <t>P164|無印</t>
        </is>
      </c>
      <c r="V1154" s="42" t="inlineStr">
        <is>
          <t>同頁凡例へ直接連動</t>
        </is>
      </c>
    </row>
    <row r="1155">
      <c r="A1155" s="43" t="inlineStr">
        <is>
          <t>SZ-SL-001152</t>
        </is>
      </c>
      <c r="B1155" s="43" t="inlineStr">
        <is>
          <t>SER-LIX-SAMOSL</t>
        </is>
      </c>
      <c r="C1155" s="43" t="inlineStr">
        <is>
          <t>WT-SL-FIX-OUT</t>
        </is>
      </c>
      <c r="D1155" s="43" t="inlineStr">
        <is>
          <t>FIX窓（外押縁タイプ）</t>
        </is>
      </c>
      <c r="E1155" s="43" t="n"/>
      <c r="F1155" s="43" t="inlineStr">
        <is>
          <t>在来</t>
        </is>
      </c>
      <c r="G1155" s="43" t="inlineStr">
        <is>
          <t>06918</t>
        </is>
      </c>
      <c r="H1155" s="43" t="inlineStr">
        <is>
          <t>069</t>
        </is>
      </c>
      <c r="I1155" s="43" t="inlineStr">
        <is>
          <t>18</t>
        </is>
      </c>
      <c r="J1155" s="222" t="n">
        <v>730</v>
      </c>
      <c r="K1155" s="222" t="n">
        <v>1830</v>
      </c>
      <c r="L1155" s="43" t="inlineStr">
        <is>
          <t>在来｜テラス</t>
        </is>
      </c>
      <c r="M1155" s="178" t="b">
        <v>1</v>
      </c>
      <c r="N1155" s="43" t="inlineStr">
        <is>
          <t>カタログ規格確認済み</t>
        </is>
      </c>
      <c r="O1155" s="222" t="n">
        <v>166</v>
      </c>
      <c r="P1155" s="222" t="n">
        <v>164</v>
      </c>
      <c r="Q1155" s="43" t="inlineStr">
        <is>
          <t>202604_LIXIL_サーモスＬ_業務用資料集_完成品価格表.pdf</t>
        </is>
      </c>
      <c r="R1155" s="43" t="n"/>
      <c r="S1155" s="42" t="inlineStr">
        <is>
          <t>★</t>
        </is>
      </c>
      <c r="T1155" s="42" t="n">
        <v>164</v>
      </c>
      <c r="U1155" s="42" t="inlineStr">
        <is>
          <t>P164|★</t>
        </is>
      </c>
      <c r="V1155" s="42" t="inlineStr">
        <is>
          <t>同頁凡例へ直接連動</t>
        </is>
      </c>
    </row>
    <row r="1156">
      <c r="A1156" s="43" t="inlineStr">
        <is>
          <t>SZ-SL-001153</t>
        </is>
      </c>
      <c r="B1156" s="43" t="inlineStr">
        <is>
          <t>SER-LIX-SAMOSL</t>
        </is>
      </c>
      <c r="C1156" s="43" t="inlineStr">
        <is>
          <t>WT-SL-FIX-OUT</t>
        </is>
      </c>
      <c r="D1156" s="43" t="inlineStr">
        <is>
          <t>FIX窓（外押縁タイプ）</t>
        </is>
      </c>
      <c r="E1156" s="43" t="n"/>
      <c r="F1156" s="43" t="inlineStr">
        <is>
          <t>在来</t>
        </is>
      </c>
      <c r="G1156" s="43" t="inlineStr">
        <is>
          <t>06920</t>
        </is>
      </c>
      <c r="H1156" s="43" t="inlineStr">
        <is>
          <t>069</t>
        </is>
      </c>
      <c r="I1156" s="43" t="inlineStr">
        <is>
          <t>20</t>
        </is>
      </c>
      <c r="J1156" s="222" t="n">
        <v>730</v>
      </c>
      <c r="K1156" s="222" t="n">
        <v>2030</v>
      </c>
      <c r="L1156" s="43" t="inlineStr">
        <is>
          <t>在来｜テラス</t>
        </is>
      </c>
      <c r="M1156" s="178" t="b">
        <v>1</v>
      </c>
      <c r="N1156" s="43" t="inlineStr">
        <is>
          <t>カタログ規格確認済み</t>
        </is>
      </c>
      <c r="O1156" s="222" t="n">
        <v>166</v>
      </c>
      <c r="P1156" s="222" t="n">
        <v>164</v>
      </c>
      <c r="Q1156" s="43" t="inlineStr">
        <is>
          <t>202604_LIXIL_サーモスＬ_業務用資料集_完成品価格表.pdf</t>
        </is>
      </c>
      <c r="R1156" s="43" t="n"/>
      <c r="S1156" s="42" t="inlineStr">
        <is>
          <t>無印</t>
        </is>
      </c>
      <c r="T1156" s="42" t="n">
        <v>164</v>
      </c>
      <c r="U1156" s="42" t="inlineStr">
        <is>
          <t>P164|無印</t>
        </is>
      </c>
      <c r="V1156" s="42" t="inlineStr">
        <is>
          <t>同頁凡例へ直接連動</t>
        </is>
      </c>
    </row>
    <row r="1157">
      <c r="A1157" s="43" t="inlineStr">
        <is>
          <t>SZ-SL-001154</t>
        </is>
      </c>
      <c r="B1157" s="43" t="inlineStr">
        <is>
          <t>SER-LIX-SAMOSL</t>
        </is>
      </c>
      <c r="C1157" s="43" t="inlineStr">
        <is>
          <t>WT-SL-FIX-OUT</t>
        </is>
      </c>
      <c r="D1157" s="43" t="inlineStr">
        <is>
          <t>FIX窓（外押縁タイプ）</t>
        </is>
      </c>
      <c r="E1157" s="43" t="n"/>
      <c r="F1157" s="43" t="inlineStr">
        <is>
          <t>在来</t>
        </is>
      </c>
      <c r="G1157" s="43" t="inlineStr">
        <is>
          <t>07418</t>
        </is>
      </c>
      <c r="H1157" s="43" t="inlineStr">
        <is>
          <t>074</t>
        </is>
      </c>
      <c r="I1157" s="43" t="inlineStr">
        <is>
          <t>18</t>
        </is>
      </c>
      <c r="J1157" s="222" t="n">
        <v>780</v>
      </c>
      <c r="K1157" s="222" t="n">
        <v>1830</v>
      </c>
      <c r="L1157" s="43" t="inlineStr">
        <is>
          <t>在来｜テラス</t>
        </is>
      </c>
      <c r="M1157" s="178" t="b">
        <v>1</v>
      </c>
      <c r="N1157" s="43" t="inlineStr">
        <is>
          <t>カタログ規格確認済み</t>
        </is>
      </c>
      <c r="O1157" s="222" t="n">
        <v>166</v>
      </c>
      <c r="P1157" s="222" t="n">
        <v>164</v>
      </c>
      <c r="Q1157" s="43" t="inlineStr">
        <is>
          <t>202604_LIXIL_サーモスＬ_業務用資料集_完成品価格表.pdf</t>
        </is>
      </c>
      <c r="R1157" s="43" t="n"/>
      <c r="S1157" s="42" t="inlineStr">
        <is>
          <t>☆</t>
        </is>
      </c>
      <c r="T1157" s="42" t="n">
        <v>164</v>
      </c>
      <c r="U1157" s="42" t="inlineStr">
        <is>
          <t>P164|☆</t>
        </is>
      </c>
      <c r="V1157" s="42" t="inlineStr">
        <is>
          <t>同頁凡例へ直接連動</t>
        </is>
      </c>
    </row>
    <row r="1158">
      <c r="A1158" s="43" t="inlineStr">
        <is>
          <t>SZ-SL-001155</t>
        </is>
      </c>
      <c r="B1158" s="43" t="inlineStr">
        <is>
          <t>SER-LIX-SAMOSL</t>
        </is>
      </c>
      <c r="C1158" s="43" t="inlineStr">
        <is>
          <t>WT-SL-FIX-OUT</t>
        </is>
      </c>
      <c r="D1158" s="43" t="inlineStr">
        <is>
          <t>FIX窓（外押縁タイプ）</t>
        </is>
      </c>
      <c r="E1158" s="43" t="n"/>
      <c r="F1158" s="43" t="inlineStr">
        <is>
          <t>在来</t>
        </is>
      </c>
      <c r="G1158" s="43" t="inlineStr">
        <is>
          <t>07420</t>
        </is>
      </c>
      <c r="H1158" s="43" t="inlineStr">
        <is>
          <t>074</t>
        </is>
      </c>
      <c r="I1158" s="43" t="inlineStr">
        <is>
          <t>20</t>
        </is>
      </c>
      <c r="J1158" s="222" t="n">
        <v>780</v>
      </c>
      <c r="K1158" s="222" t="n">
        <v>2030</v>
      </c>
      <c r="L1158" s="43" t="inlineStr">
        <is>
          <t>在来｜テラス</t>
        </is>
      </c>
      <c r="M1158" s="178" t="b">
        <v>1</v>
      </c>
      <c r="N1158" s="43" t="inlineStr">
        <is>
          <t>カタログ規格確認済み</t>
        </is>
      </c>
      <c r="O1158" s="222" t="n">
        <v>166</v>
      </c>
      <c r="P1158" s="222" t="n">
        <v>164</v>
      </c>
      <c r="Q1158" s="43" t="inlineStr">
        <is>
          <t>202604_LIXIL_サーモスＬ_業務用資料集_完成品価格表.pdf</t>
        </is>
      </c>
      <c r="R1158" s="43" t="n"/>
      <c r="S1158" s="42" t="inlineStr">
        <is>
          <t>無印</t>
        </is>
      </c>
      <c r="T1158" s="42" t="n">
        <v>164</v>
      </c>
      <c r="U1158" s="42" t="inlineStr">
        <is>
          <t>P164|無印</t>
        </is>
      </c>
      <c r="V1158" s="42" t="inlineStr">
        <is>
          <t>同頁凡例へ直接連動</t>
        </is>
      </c>
    </row>
    <row r="1159">
      <c r="A1159" s="43" t="inlineStr">
        <is>
          <t>SZ-SL-001156</t>
        </is>
      </c>
      <c r="B1159" s="43" t="inlineStr">
        <is>
          <t>SER-LIX-SAMOSL</t>
        </is>
      </c>
      <c r="C1159" s="43" t="inlineStr">
        <is>
          <t>WT-SL-FIX-OUT</t>
        </is>
      </c>
      <c r="D1159" s="43" t="inlineStr">
        <is>
          <t>FIX窓（外押縁タイプ）</t>
        </is>
      </c>
      <c r="E1159" s="43" t="n"/>
      <c r="F1159" s="43" t="inlineStr">
        <is>
          <t>在来</t>
        </is>
      </c>
      <c r="G1159" s="43" t="inlineStr">
        <is>
          <t>07422</t>
        </is>
      </c>
      <c r="H1159" s="43" t="inlineStr">
        <is>
          <t>074</t>
        </is>
      </c>
      <c r="I1159" s="43" t="inlineStr">
        <is>
          <t>22</t>
        </is>
      </c>
      <c r="J1159" s="222" t="n">
        <v>780</v>
      </c>
      <c r="K1159" s="222" t="n">
        <v>2230</v>
      </c>
      <c r="L1159" s="43" t="inlineStr">
        <is>
          <t>在来｜テラス</t>
        </is>
      </c>
      <c r="M1159" s="178" t="b">
        <v>1</v>
      </c>
      <c r="N1159" s="43" t="inlineStr">
        <is>
          <t>カタログ規格確認済み</t>
        </is>
      </c>
      <c r="O1159" s="222" t="n">
        <v>166</v>
      </c>
      <c r="P1159" s="222" t="n">
        <v>164</v>
      </c>
      <c r="Q1159" s="43" t="inlineStr">
        <is>
          <t>202604_LIXIL_サーモスＬ_業務用資料集_完成品価格表.pdf</t>
        </is>
      </c>
      <c r="R1159" s="43" t="n"/>
      <c r="S1159" s="42" t="inlineStr">
        <is>
          <t>無印</t>
        </is>
      </c>
      <c r="T1159" s="42" t="n">
        <v>164</v>
      </c>
      <c r="U1159" s="42" t="inlineStr">
        <is>
          <t>P164|無印</t>
        </is>
      </c>
      <c r="V1159" s="42" t="inlineStr">
        <is>
          <t>同頁凡例へ直接連動</t>
        </is>
      </c>
    </row>
    <row r="1160">
      <c r="A1160" s="43" t="inlineStr">
        <is>
          <t>SZ-SL-001157</t>
        </is>
      </c>
      <c r="B1160" s="43" t="inlineStr">
        <is>
          <t>SER-LIX-SAMOSL</t>
        </is>
      </c>
      <c r="C1160" s="43" t="inlineStr">
        <is>
          <t>WT-SL-FIX-OUT</t>
        </is>
      </c>
      <c r="D1160" s="43" t="inlineStr">
        <is>
          <t>FIX窓（外押縁タイプ）</t>
        </is>
      </c>
      <c r="E1160" s="43" t="n"/>
      <c r="F1160" s="43" t="inlineStr">
        <is>
          <t>在来</t>
        </is>
      </c>
      <c r="G1160" s="43" t="inlineStr">
        <is>
          <t>07424</t>
        </is>
      </c>
      <c r="H1160" s="43" t="inlineStr">
        <is>
          <t>074</t>
        </is>
      </c>
      <c r="I1160" s="43" t="inlineStr">
        <is>
          <t>24</t>
        </is>
      </c>
      <c r="J1160" s="222" t="n">
        <v>780</v>
      </c>
      <c r="K1160" s="222" t="n">
        <v>2430</v>
      </c>
      <c r="L1160" s="43" t="inlineStr">
        <is>
          <t>在来｜テラス</t>
        </is>
      </c>
      <c r="M1160" s="178" t="b">
        <v>1</v>
      </c>
      <c r="N1160" s="43" t="inlineStr">
        <is>
          <t>カタログ規格確認済み</t>
        </is>
      </c>
      <c r="O1160" s="222" t="n">
        <v>166</v>
      </c>
      <c r="P1160" s="222" t="n">
        <v>164</v>
      </c>
      <c r="Q1160" s="43" t="inlineStr">
        <is>
          <t>202604_LIXIL_サーモスＬ_業務用資料集_完成品価格表.pdf</t>
        </is>
      </c>
      <c r="R1160" s="43" t="n"/>
      <c r="S1160" s="42" t="inlineStr">
        <is>
          <t>無印</t>
        </is>
      </c>
      <c r="T1160" s="42" t="n">
        <v>164</v>
      </c>
      <c r="U1160" s="42" t="inlineStr">
        <is>
          <t>P164|無印</t>
        </is>
      </c>
      <c r="V1160" s="42" t="inlineStr">
        <is>
          <t>同頁凡例へ直接連動</t>
        </is>
      </c>
    </row>
    <row r="1161">
      <c r="A1161" s="43" t="inlineStr">
        <is>
          <t>SZ-SL-001158</t>
        </is>
      </c>
      <c r="B1161" s="43" t="inlineStr">
        <is>
          <t>SER-LIX-SAMOSL</t>
        </is>
      </c>
      <c r="C1161" s="43" t="inlineStr">
        <is>
          <t>WT-SL-FIX-OUT</t>
        </is>
      </c>
      <c r="D1161" s="43" t="inlineStr">
        <is>
          <t>FIX窓（外押縁タイプ）</t>
        </is>
      </c>
      <c r="E1161" s="43" t="n"/>
      <c r="F1161" s="43" t="inlineStr">
        <is>
          <t>在来</t>
        </is>
      </c>
      <c r="G1161" s="43" t="inlineStr">
        <is>
          <t>11918</t>
        </is>
      </c>
      <c r="H1161" s="43" t="inlineStr">
        <is>
          <t>119</t>
        </is>
      </c>
      <c r="I1161" s="43" t="inlineStr">
        <is>
          <t>18</t>
        </is>
      </c>
      <c r="J1161" s="222" t="n">
        <v>1235</v>
      </c>
      <c r="K1161" s="222" t="n">
        <v>1830</v>
      </c>
      <c r="L1161" s="43" t="inlineStr">
        <is>
          <t>在来｜テラス</t>
        </is>
      </c>
      <c r="M1161" s="178" t="b">
        <v>1</v>
      </c>
      <c r="N1161" s="43" t="inlineStr">
        <is>
          <t>カタログ規格確認済み</t>
        </is>
      </c>
      <c r="O1161" s="222" t="n">
        <v>167</v>
      </c>
      <c r="P1161" s="222" t="n">
        <v>165</v>
      </c>
      <c r="Q1161" s="43" t="inlineStr">
        <is>
          <t>202604_LIXIL_サーモスＬ_業務用資料集_完成品価格表.pdf</t>
        </is>
      </c>
      <c r="R1161" s="43" t="n"/>
      <c r="S1161" s="42" t="inlineStr">
        <is>
          <t>●</t>
        </is>
      </c>
      <c r="T1161" s="42" t="n">
        <v>164</v>
      </c>
      <c r="U1161" s="42" t="inlineStr">
        <is>
          <t>P164|●</t>
        </is>
      </c>
      <c r="V1161" s="42" t="inlineStr">
        <is>
          <t>同一価格表・前頁凡例を継承</t>
        </is>
      </c>
    </row>
    <row r="1162">
      <c r="A1162" s="43" t="inlineStr">
        <is>
          <t>SZ-SL-001159</t>
        </is>
      </c>
      <c r="B1162" s="43" t="inlineStr">
        <is>
          <t>SER-LIX-SAMOSL</t>
        </is>
      </c>
      <c r="C1162" s="43" t="inlineStr">
        <is>
          <t>WT-SL-FIX-OUT</t>
        </is>
      </c>
      <c r="D1162" s="43" t="inlineStr">
        <is>
          <t>FIX窓（外押縁タイプ）</t>
        </is>
      </c>
      <c r="E1162" s="43" t="n"/>
      <c r="F1162" s="43" t="inlineStr">
        <is>
          <t>在来</t>
        </is>
      </c>
      <c r="G1162" s="43" t="inlineStr">
        <is>
          <t>11920</t>
        </is>
      </c>
      <c r="H1162" s="43" t="inlineStr">
        <is>
          <t>119</t>
        </is>
      </c>
      <c r="I1162" s="43" t="inlineStr">
        <is>
          <t>20</t>
        </is>
      </c>
      <c r="J1162" s="222" t="n">
        <v>1235</v>
      </c>
      <c r="K1162" s="222" t="n">
        <v>2030</v>
      </c>
      <c r="L1162" s="43" t="inlineStr">
        <is>
          <t>在来｜テラス</t>
        </is>
      </c>
      <c r="M1162" s="178" t="b">
        <v>1</v>
      </c>
      <c r="N1162" s="43" t="inlineStr">
        <is>
          <t>カタログ規格確認済み</t>
        </is>
      </c>
      <c r="O1162" s="222" t="n">
        <v>167</v>
      </c>
      <c r="P1162" s="222" t="n">
        <v>165</v>
      </c>
      <c r="Q1162" s="43" t="inlineStr">
        <is>
          <t>202604_LIXIL_サーモスＬ_業務用資料集_完成品価格表.pdf</t>
        </is>
      </c>
      <c r="R1162" s="43" t="n"/>
      <c r="S1162" s="42" t="inlineStr">
        <is>
          <t>◇</t>
        </is>
      </c>
      <c r="T1162" s="42" t="n">
        <v>164</v>
      </c>
      <c r="U1162" s="42" t="inlineStr">
        <is>
          <t>P164|◇</t>
        </is>
      </c>
      <c r="V1162" s="42" t="inlineStr">
        <is>
          <t>同一価格表・前頁凡例を継承</t>
        </is>
      </c>
    </row>
    <row r="1163">
      <c r="A1163" s="43" t="inlineStr">
        <is>
          <t>SZ-SL-001160</t>
        </is>
      </c>
      <c r="B1163" s="43" t="inlineStr">
        <is>
          <t>SER-LIX-SAMOSL</t>
        </is>
      </c>
      <c r="C1163" s="43" t="inlineStr">
        <is>
          <t>WT-SL-FIX-OUT</t>
        </is>
      </c>
      <c r="D1163" s="43" t="inlineStr">
        <is>
          <t>FIX窓（外押縁タイプ）</t>
        </is>
      </c>
      <c r="E1163" s="43" t="n"/>
      <c r="F1163" s="43" t="inlineStr">
        <is>
          <t>在来</t>
        </is>
      </c>
      <c r="G1163" s="43" t="inlineStr">
        <is>
          <t>11922</t>
        </is>
      </c>
      <c r="H1163" s="43" t="inlineStr">
        <is>
          <t>119</t>
        </is>
      </c>
      <c r="I1163" s="43" t="inlineStr">
        <is>
          <t>22</t>
        </is>
      </c>
      <c r="J1163" s="222" t="n">
        <v>1235</v>
      </c>
      <c r="K1163" s="222" t="n">
        <v>2230</v>
      </c>
      <c r="L1163" s="43" t="inlineStr">
        <is>
          <t>在来｜テラス</t>
        </is>
      </c>
      <c r="M1163" s="178" t="b">
        <v>1</v>
      </c>
      <c r="N1163" s="43" t="inlineStr">
        <is>
          <t>カタログ規格確認済み</t>
        </is>
      </c>
      <c r="O1163" s="222" t="n">
        <v>167</v>
      </c>
      <c r="P1163" s="222" t="n">
        <v>165</v>
      </c>
      <c r="Q1163" s="43" t="inlineStr">
        <is>
          <t>202604_LIXIL_サーモスＬ_業務用資料集_完成品価格表.pdf</t>
        </is>
      </c>
      <c r="R1163" s="43" t="n"/>
      <c r="S1163" s="42" t="inlineStr">
        <is>
          <t>◇</t>
        </is>
      </c>
      <c r="T1163" s="42" t="n">
        <v>164</v>
      </c>
      <c r="U1163" s="42" t="inlineStr">
        <is>
          <t>P164|◇</t>
        </is>
      </c>
      <c r="V1163" s="42" t="inlineStr">
        <is>
          <t>同一価格表・前頁凡例を継承</t>
        </is>
      </c>
    </row>
    <row r="1164">
      <c r="A1164" s="43" t="inlineStr">
        <is>
          <t>SZ-SL-001161</t>
        </is>
      </c>
      <c r="B1164" s="43" t="inlineStr">
        <is>
          <t>SER-LIX-SAMOSL</t>
        </is>
      </c>
      <c r="C1164" s="43" t="inlineStr">
        <is>
          <t>WT-SL-FIX-OUT</t>
        </is>
      </c>
      <c r="D1164" s="43" t="inlineStr">
        <is>
          <t>FIX窓（外押縁タイプ）</t>
        </is>
      </c>
      <c r="E1164" s="43" t="n"/>
      <c r="F1164" s="43" t="inlineStr">
        <is>
          <t>在来</t>
        </is>
      </c>
      <c r="G1164" s="43" t="inlineStr">
        <is>
          <t>11924</t>
        </is>
      </c>
      <c r="H1164" s="43" t="inlineStr">
        <is>
          <t>119</t>
        </is>
      </c>
      <c r="I1164" s="43" t="inlineStr">
        <is>
          <t>24</t>
        </is>
      </c>
      <c r="J1164" s="222" t="n">
        <v>1235</v>
      </c>
      <c r="K1164" s="222" t="n">
        <v>2430</v>
      </c>
      <c r="L1164" s="43" t="inlineStr">
        <is>
          <t>在来｜テラス</t>
        </is>
      </c>
      <c r="M1164" s="178" t="b">
        <v>1</v>
      </c>
      <c r="N1164" s="43" t="inlineStr">
        <is>
          <t>カタログ規格確認済み</t>
        </is>
      </c>
      <c r="O1164" s="222" t="n">
        <v>167</v>
      </c>
      <c r="P1164" s="222" t="n">
        <v>165</v>
      </c>
      <c r="Q1164" s="43" t="inlineStr">
        <is>
          <t>202604_LIXIL_サーモスＬ_業務用資料集_完成品価格表.pdf</t>
        </is>
      </c>
      <c r="R1164" s="43" t="n"/>
      <c r="S1164" s="42" t="inlineStr">
        <is>
          <t>無印</t>
        </is>
      </c>
      <c r="T1164" s="42" t="n">
        <v>164</v>
      </c>
      <c r="U1164" s="42" t="inlineStr">
        <is>
          <t>P164|無印</t>
        </is>
      </c>
      <c r="V1164" s="42" t="inlineStr">
        <is>
          <t>同一価格表・前頁凡例を継承</t>
        </is>
      </c>
    </row>
    <row r="1165">
      <c r="A1165" s="43" t="inlineStr">
        <is>
          <t>SZ-SL-001162</t>
        </is>
      </c>
      <c r="B1165" s="43" t="inlineStr">
        <is>
          <t>SER-LIX-SAMOSL</t>
        </is>
      </c>
      <c r="C1165" s="43" t="inlineStr">
        <is>
          <t>WT-SL-FIX-OUT</t>
        </is>
      </c>
      <c r="D1165" s="43" t="inlineStr">
        <is>
          <t>FIX窓（外押縁タイプ）</t>
        </is>
      </c>
      <c r="E1165" s="43" t="n"/>
      <c r="F1165" s="43" t="inlineStr">
        <is>
          <t>在来</t>
        </is>
      </c>
      <c r="G1165" s="43" t="inlineStr">
        <is>
          <t>16518</t>
        </is>
      </c>
      <c r="H1165" s="43" t="inlineStr">
        <is>
          <t>165</t>
        </is>
      </c>
      <c r="I1165" s="43" t="inlineStr">
        <is>
          <t>18</t>
        </is>
      </c>
      <c r="J1165" s="222" t="n">
        <v>1690</v>
      </c>
      <c r="K1165" s="222" t="n">
        <v>1830</v>
      </c>
      <c r="L1165" s="43" t="inlineStr">
        <is>
          <t>在来｜テラス</t>
        </is>
      </c>
      <c r="M1165" s="178" t="b">
        <v>1</v>
      </c>
      <c r="N1165" s="43" t="inlineStr">
        <is>
          <t>カタログ規格確認済み</t>
        </is>
      </c>
      <c r="O1165" s="222" t="n">
        <v>167</v>
      </c>
      <c r="P1165" s="222" t="n">
        <v>165</v>
      </c>
      <c r="Q1165" s="43" t="inlineStr">
        <is>
          <t>202604_LIXIL_サーモスＬ_業務用資料集_完成品価格表.pdf</t>
        </is>
      </c>
      <c r="R1165" s="43" t="n"/>
      <c r="S1165" s="42" t="inlineStr">
        <is>
          <t>○</t>
        </is>
      </c>
      <c r="T1165" s="42" t="n">
        <v>164</v>
      </c>
      <c r="U1165" s="42" t="inlineStr">
        <is>
          <t>P164|○</t>
        </is>
      </c>
      <c r="V1165" s="42" t="inlineStr">
        <is>
          <t>同一価格表・前頁凡例を継承</t>
        </is>
      </c>
    </row>
    <row r="1166">
      <c r="A1166" s="43" t="inlineStr">
        <is>
          <t>SZ-SL-001163</t>
        </is>
      </c>
      <c r="B1166" s="43" t="inlineStr">
        <is>
          <t>SER-LIX-SAMOSL</t>
        </is>
      </c>
      <c r="C1166" s="43" t="inlineStr">
        <is>
          <t>WT-SL-FIX-OUT</t>
        </is>
      </c>
      <c r="D1166" s="43" t="inlineStr">
        <is>
          <t>FIX窓（外押縁タイプ）</t>
        </is>
      </c>
      <c r="E1166" s="43" t="n"/>
      <c r="F1166" s="43" t="inlineStr">
        <is>
          <t>在来</t>
        </is>
      </c>
      <c r="G1166" s="43" t="inlineStr">
        <is>
          <t>16520</t>
        </is>
      </c>
      <c r="H1166" s="43" t="inlineStr">
        <is>
          <t>165</t>
        </is>
      </c>
      <c r="I1166" s="43" t="inlineStr">
        <is>
          <t>20</t>
        </is>
      </c>
      <c r="J1166" s="222" t="n">
        <v>1690</v>
      </c>
      <c r="K1166" s="222" t="n">
        <v>2030</v>
      </c>
      <c r="L1166" s="43" t="inlineStr">
        <is>
          <t>在来｜テラス</t>
        </is>
      </c>
      <c r="M1166" s="178" t="b">
        <v>1</v>
      </c>
      <c r="N1166" s="43" t="inlineStr">
        <is>
          <t>カタログ規格確認済み</t>
        </is>
      </c>
      <c r="O1166" s="222" t="n">
        <v>167</v>
      </c>
      <c r="P1166" s="222" t="n">
        <v>165</v>
      </c>
      <c r="Q1166" s="43" t="inlineStr">
        <is>
          <t>202604_LIXIL_サーモスＬ_業務用資料集_完成品価格表.pdf</t>
        </is>
      </c>
      <c r="R1166" s="43" t="n"/>
      <c r="S1166" s="42" t="inlineStr">
        <is>
          <t>◎</t>
        </is>
      </c>
      <c r="T1166" s="42" t="n">
        <v>164</v>
      </c>
      <c r="U1166" s="42" t="inlineStr">
        <is>
          <t>P164|◎</t>
        </is>
      </c>
      <c r="V1166" s="42" t="inlineStr">
        <is>
          <t>同一価格表・前頁凡例を継承</t>
        </is>
      </c>
    </row>
    <row r="1167">
      <c r="A1167" s="43" t="inlineStr">
        <is>
          <t>SZ-SL-001164</t>
        </is>
      </c>
      <c r="B1167" s="43" t="inlineStr">
        <is>
          <t>SER-LIX-SAMOSL</t>
        </is>
      </c>
      <c r="C1167" s="43" t="inlineStr">
        <is>
          <t>WT-SL-FIX-OUT</t>
        </is>
      </c>
      <c r="D1167" s="43" t="inlineStr">
        <is>
          <t>FIX窓（外押縁タイプ）</t>
        </is>
      </c>
      <c r="E1167" s="43" t="n"/>
      <c r="F1167" s="43" t="inlineStr">
        <is>
          <t>在来</t>
        </is>
      </c>
      <c r="G1167" s="43" t="inlineStr">
        <is>
          <t>16522</t>
        </is>
      </c>
      <c r="H1167" s="43" t="inlineStr">
        <is>
          <t>165</t>
        </is>
      </c>
      <c r="I1167" s="43" t="inlineStr">
        <is>
          <t>22</t>
        </is>
      </c>
      <c r="J1167" s="222" t="n">
        <v>1690</v>
      </c>
      <c r="K1167" s="222" t="n">
        <v>2230</v>
      </c>
      <c r="L1167" s="43" t="inlineStr">
        <is>
          <t>在来｜テラス</t>
        </is>
      </c>
      <c r="M1167" s="178" t="b">
        <v>1</v>
      </c>
      <c r="N1167" s="43" t="inlineStr">
        <is>
          <t>カタログ規格確認済み</t>
        </is>
      </c>
      <c r="O1167" s="222" t="n">
        <v>167</v>
      </c>
      <c r="P1167" s="222" t="n">
        <v>165</v>
      </c>
      <c r="Q1167" s="43" t="inlineStr">
        <is>
          <t>202604_LIXIL_サーモスＬ_業務用資料集_完成品価格表.pdf</t>
        </is>
      </c>
      <c r="R1167" s="43" t="n"/>
      <c r="S1167" s="42" t="inlineStr">
        <is>
          <t>◎</t>
        </is>
      </c>
      <c r="T1167" s="42" t="n">
        <v>164</v>
      </c>
      <c r="U1167" s="42" t="inlineStr">
        <is>
          <t>P164|◎</t>
        </is>
      </c>
      <c r="V1167" s="42" t="inlineStr">
        <is>
          <t>同一価格表・前頁凡例を継承</t>
        </is>
      </c>
    </row>
    <row r="1168">
      <c r="A1168" s="43" t="inlineStr">
        <is>
          <t>SZ-SL-001165</t>
        </is>
      </c>
      <c r="B1168" s="43" t="inlineStr">
        <is>
          <t>SER-LIX-SAMOSL</t>
        </is>
      </c>
      <c r="C1168" s="43" t="inlineStr">
        <is>
          <t>WT-SL-FIX-OUT</t>
        </is>
      </c>
      <c r="D1168" s="43" t="inlineStr">
        <is>
          <t>FIX窓（外押縁タイプ）</t>
        </is>
      </c>
      <c r="E1168" s="43" t="n"/>
      <c r="F1168" s="43" t="inlineStr">
        <is>
          <t>在来</t>
        </is>
      </c>
      <c r="G1168" s="43" t="inlineStr">
        <is>
          <t>16524</t>
        </is>
      </c>
      <c r="H1168" s="43" t="inlineStr">
        <is>
          <t>165</t>
        </is>
      </c>
      <c r="I1168" s="43" t="inlineStr">
        <is>
          <t>24</t>
        </is>
      </c>
      <c r="J1168" s="222" t="n">
        <v>1690</v>
      </c>
      <c r="K1168" s="222" t="n">
        <v>2430</v>
      </c>
      <c r="L1168" s="43" t="inlineStr">
        <is>
          <t>在来｜テラス</t>
        </is>
      </c>
      <c r="M1168" s="178" t="b">
        <v>1</v>
      </c>
      <c r="N1168" s="43" t="inlineStr">
        <is>
          <t>カタログ規格確認済み</t>
        </is>
      </c>
      <c r="O1168" s="222" t="n">
        <v>167</v>
      </c>
      <c r="P1168" s="222" t="n">
        <v>165</v>
      </c>
      <c r="Q1168" s="43" t="inlineStr">
        <is>
          <t>202604_LIXIL_サーモスＬ_業務用資料集_完成品価格表.pdf</t>
        </is>
      </c>
      <c r="R1168" s="43" t="n"/>
      <c r="S1168" s="42" t="inlineStr">
        <is>
          <t>◎</t>
        </is>
      </c>
      <c r="T1168" s="42" t="n">
        <v>164</v>
      </c>
      <c r="U1168" s="42" t="inlineStr">
        <is>
          <t>P164|◎</t>
        </is>
      </c>
      <c r="V1168" s="42" t="inlineStr">
        <is>
          <t>同一価格表・前頁凡例を継承</t>
        </is>
      </c>
    </row>
    <row r="1169">
      <c r="A1169" s="43" t="inlineStr">
        <is>
          <t>SZ-SL-001166</t>
        </is>
      </c>
      <c r="B1169" s="43" t="inlineStr">
        <is>
          <t>SER-LIX-SAMOSL</t>
        </is>
      </c>
      <c r="C1169" s="43" t="inlineStr">
        <is>
          <t>WT-SL-FIX-OUT</t>
        </is>
      </c>
      <c r="D1169" s="43" t="inlineStr">
        <is>
          <t>FIX窓（外押縁タイプ）</t>
        </is>
      </c>
      <c r="E1169" s="43" t="n"/>
      <c r="F1169" s="43" t="inlineStr">
        <is>
          <t>204</t>
        </is>
      </c>
      <c r="G1169" s="43" t="inlineStr">
        <is>
          <t>06922</t>
        </is>
      </c>
      <c r="H1169" s="43" t="inlineStr">
        <is>
          <t>069</t>
        </is>
      </c>
      <c r="I1169" s="43" t="inlineStr">
        <is>
          <t>22</t>
        </is>
      </c>
      <c r="J1169" s="222" t="n">
        <v>730</v>
      </c>
      <c r="K1169" s="222" t="n">
        <v>2230</v>
      </c>
      <c r="L1169" s="43" t="inlineStr">
        <is>
          <t>204｜テラス</t>
        </is>
      </c>
      <c r="M1169" s="178" t="b">
        <v>1</v>
      </c>
      <c r="N1169" s="43" t="inlineStr">
        <is>
          <t>カタログ規格確認済み</t>
        </is>
      </c>
      <c r="O1169" s="222" t="n">
        <v>168</v>
      </c>
      <c r="P1169" s="222" t="n">
        <v>166</v>
      </c>
      <c r="Q1169" s="43" t="inlineStr">
        <is>
          <t>202604_LIXIL_サーモスＬ_業務用資料集_完成品価格表.pdf</t>
        </is>
      </c>
      <c r="R1169" s="43" t="n"/>
      <c r="S1169" s="42" t="inlineStr">
        <is>
          <t>無印</t>
        </is>
      </c>
      <c r="T1169" s="42" t="n">
        <v>166</v>
      </c>
      <c r="U1169" s="42" t="inlineStr">
        <is>
          <t>P166|無印</t>
        </is>
      </c>
      <c r="V1169" s="42" t="inlineStr">
        <is>
          <t>同頁凡例へ直接連動</t>
        </is>
      </c>
    </row>
    <row r="1170">
      <c r="A1170" s="43" t="inlineStr">
        <is>
          <t>SZ-SL-001167</t>
        </is>
      </c>
      <c r="B1170" s="43" t="inlineStr">
        <is>
          <t>SER-LIX-SAMOSL</t>
        </is>
      </c>
      <c r="C1170" s="43" t="inlineStr">
        <is>
          <t>WT-SL-FIX-OUT</t>
        </is>
      </c>
      <c r="D1170" s="43" t="inlineStr">
        <is>
          <t>FIX窓（外押縁タイプ）</t>
        </is>
      </c>
      <c r="E1170" s="43" t="n"/>
      <c r="F1170" s="43" t="inlineStr">
        <is>
          <t>204</t>
        </is>
      </c>
      <c r="G1170" s="43" t="inlineStr">
        <is>
          <t>06924</t>
        </is>
      </c>
      <c r="H1170" s="43" t="inlineStr">
        <is>
          <t>069</t>
        </is>
      </c>
      <c r="I1170" s="43" t="inlineStr">
        <is>
          <t>24</t>
        </is>
      </c>
      <c r="J1170" s="222" t="n">
        <v>730</v>
      </c>
      <c r="K1170" s="222" t="n">
        <v>2430</v>
      </c>
      <c r="L1170" s="43" t="inlineStr">
        <is>
          <t>204｜テラス</t>
        </is>
      </c>
      <c r="M1170" s="178" t="b">
        <v>1</v>
      </c>
      <c r="N1170" s="43" t="inlineStr">
        <is>
          <t>カタログ規格確認済み</t>
        </is>
      </c>
      <c r="O1170" s="222" t="n">
        <v>168</v>
      </c>
      <c r="P1170" s="222" t="n">
        <v>166</v>
      </c>
      <c r="Q1170" s="43" t="inlineStr">
        <is>
          <t>202604_LIXIL_サーモスＬ_業務用資料集_完成品価格表.pdf</t>
        </is>
      </c>
      <c r="R1170" s="43" t="n"/>
      <c r="S1170" s="42" t="inlineStr">
        <is>
          <t>無印</t>
        </is>
      </c>
      <c r="T1170" s="42" t="n">
        <v>166</v>
      </c>
      <c r="U1170" s="42" t="inlineStr">
        <is>
          <t>P166|無印</t>
        </is>
      </c>
      <c r="V1170" s="42" t="inlineStr">
        <is>
          <t>同頁凡例へ直接連動</t>
        </is>
      </c>
    </row>
    <row r="1171">
      <c r="A1171" s="43" t="inlineStr">
        <is>
          <t>SZ-SL-001168</t>
        </is>
      </c>
      <c r="B1171" s="43" t="inlineStr">
        <is>
          <t>SER-LIX-SAMOSL</t>
        </is>
      </c>
      <c r="C1171" s="43" t="inlineStr">
        <is>
          <t>WT-SL-FIX-IN</t>
        </is>
      </c>
      <c r="D1171" s="43" t="inlineStr">
        <is>
          <t>FIX窓（内押縁タイプ）</t>
        </is>
      </c>
      <c r="E1171" s="43" t="n"/>
      <c r="F1171" s="43" t="inlineStr">
        <is>
          <t>在来・204</t>
        </is>
      </c>
      <c r="G1171" s="43" t="inlineStr">
        <is>
          <t>021018</t>
        </is>
      </c>
      <c r="H1171" s="43" t="inlineStr">
        <is>
          <t>021</t>
        </is>
      </c>
      <c r="I1171" s="43" t="inlineStr">
        <is>
          <t>018</t>
        </is>
      </c>
      <c r="J1171" s="222" t="n">
        <v>250</v>
      </c>
      <c r="K1171" s="222" t="n">
        <v>250</v>
      </c>
      <c r="L1171" s="43" t="inlineStr">
        <is>
          <t>在来・204｜マド①</t>
        </is>
      </c>
      <c r="M1171" s="178" t="b">
        <v>1</v>
      </c>
      <c r="N1171" s="43" t="inlineStr">
        <is>
          <t>カタログ規格確認済み</t>
        </is>
      </c>
      <c r="O1171" s="222" t="n">
        <v>170</v>
      </c>
      <c r="P1171" s="222" t="n">
        <v>168</v>
      </c>
      <c r="Q1171" s="43" t="inlineStr">
        <is>
          <t>202604_LIXIL_サーモスＬ_業務用資料集_完成品価格表.pdf</t>
        </is>
      </c>
      <c r="R1171" s="43" t="n"/>
      <c r="S1171" s="42" t="inlineStr">
        <is>
          <t>無印</t>
        </is>
      </c>
      <c r="T1171" s="42" t="n">
        <v>168</v>
      </c>
      <c r="U1171" s="42" t="inlineStr">
        <is>
          <t>P168|無印</t>
        </is>
      </c>
      <c r="V1171" s="42" t="inlineStr">
        <is>
          <t>同頁凡例へ直接連動</t>
        </is>
      </c>
    </row>
    <row r="1172">
      <c r="A1172" s="43" t="inlineStr">
        <is>
          <t>SZ-SL-001169</t>
        </is>
      </c>
      <c r="B1172" s="43" t="inlineStr">
        <is>
          <t>SER-LIX-SAMOSL</t>
        </is>
      </c>
      <c r="C1172" s="43" t="inlineStr">
        <is>
          <t>WT-SL-FIX-IN</t>
        </is>
      </c>
      <c r="D1172" s="43" t="inlineStr">
        <is>
          <t>FIX窓（内押縁タイプ）</t>
        </is>
      </c>
      <c r="E1172" s="43" t="n"/>
      <c r="F1172" s="43" t="inlineStr">
        <is>
          <t>在来・204</t>
        </is>
      </c>
      <c r="G1172" s="43" t="inlineStr">
        <is>
          <t>026023</t>
        </is>
      </c>
      <c r="H1172" s="43" t="inlineStr">
        <is>
          <t>026</t>
        </is>
      </c>
      <c r="I1172" s="43" t="inlineStr">
        <is>
          <t>023</t>
        </is>
      </c>
      <c r="J1172" s="222" t="n">
        <v>300</v>
      </c>
      <c r="K1172" s="222" t="n">
        <v>300</v>
      </c>
      <c r="L1172" s="43" t="inlineStr">
        <is>
          <t>在来・204｜マド①</t>
        </is>
      </c>
      <c r="M1172" s="178" t="b">
        <v>1</v>
      </c>
      <c r="N1172" s="43" t="inlineStr">
        <is>
          <t>カタログ規格確認済み</t>
        </is>
      </c>
      <c r="O1172" s="222" t="n">
        <v>170</v>
      </c>
      <c r="P1172" s="222" t="n">
        <v>168</v>
      </c>
      <c r="Q1172" s="43" t="inlineStr">
        <is>
          <t>202604_LIXIL_サーモスＬ_業務用資料集_完成品価格表.pdf</t>
        </is>
      </c>
      <c r="R1172" s="43" t="n"/>
      <c r="S1172" s="42" t="inlineStr">
        <is>
          <t>無印</t>
        </is>
      </c>
      <c r="T1172" s="42" t="n">
        <v>168</v>
      </c>
      <c r="U1172" s="42" t="inlineStr">
        <is>
          <t>P168|無印</t>
        </is>
      </c>
      <c r="V1172" s="42" t="inlineStr">
        <is>
          <t>同頁凡例へ直接連動</t>
        </is>
      </c>
    </row>
    <row r="1173">
      <c r="A1173" s="43" t="inlineStr">
        <is>
          <t>SZ-SL-001170</t>
        </is>
      </c>
      <c r="B1173" s="43" t="inlineStr">
        <is>
          <t>SER-LIX-SAMOSL</t>
        </is>
      </c>
      <c r="C1173" s="43" t="inlineStr">
        <is>
          <t>WT-SL-FIX-IN</t>
        </is>
      </c>
      <c r="D1173" s="43" t="inlineStr">
        <is>
          <t>FIX窓（内押縁タイプ）</t>
        </is>
      </c>
      <c r="E1173" s="43" t="n"/>
      <c r="F1173" s="43" t="inlineStr">
        <is>
          <t>在来・204</t>
        </is>
      </c>
      <c r="G1173" s="43" t="inlineStr">
        <is>
          <t>031028</t>
        </is>
      </c>
      <c r="H1173" s="43" t="inlineStr">
        <is>
          <t>031</t>
        </is>
      </c>
      <c r="I1173" s="43" t="inlineStr">
        <is>
          <t>028</t>
        </is>
      </c>
      <c r="J1173" s="222" t="n">
        <v>350</v>
      </c>
      <c r="K1173" s="222" t="n">
        <v>350</v>
      </c>
      <c r="L1173" s="43" t="inlineStr">
        <is>
          <t>在来・204｜マド①</t>
        </is>
      </c>
      <c r="M1173" s="178" t="b">
        <v>1</v>
      </c>
      <c r="N1173" s="43" t="inlineStr">
        <is>
          <t>カタログ規格確認済み</t>
        </is>
      </c>
      <c r="O1173" s="222" t="n">
        <v>171</v>
      </c>
      <c r="P1173" s="222" t="n">
        <v>169</v>
      </c>
      <c r="Q1173" s="43" t="inlineStr">
        <is>
          <t>202604_LIXIL_サーモスＬ_業務用資料集_完成品価格表.pdf</t>
        </is>
      </c>
      <c r="R1173" s="43" t="n"/>
      <c r="S1173" s="42" t="inlineStr">
        <is>
          <t>無印</t>
        </is>
      </c>
      <c r="T1173" s="42" t="n">
        <v>168</v>
      </c>
      <c r="U1173" s="42" t="inlineStr">
        <is>
          <t>P168|無印</t>
        </is>
      </c>
      <c r="V1173" s="42" t="inlineStr">
        <is>
          <t>同一価格表・前頁凡例を継承</t>
        </is>
      </c>
    </row>
    <row r="1174">
      <c r="A1174" s="43" t="inlineStr">
        <is>
          <t>SZ-SL-001171</t>
        </is>
      </c>
      <c r="B1174" s="43" t="inlineStr">
        <is>
          <t>SER-LIX-SAMOSL</t>
        </is>
      </c>
      <c r="C1174" s="43" t="inlineStr">
        <is>
          <t>WT-SL-FIX-IN</t>
        </is>
      </c>
      <c r="D1174" s="43" t="inlineStr">
        <is>
          <t>FIX窓（内押縁タイプ）</t>
        </is>
      </c>
      <c r="E1174" s="43" t="n"/>
      <c r="F1174" s="43" t="inlineStr">
        <is>
          <t>在来・204</t>
        </is>
      </c>
      <c r="G1174" s="43" t="inlineStr">
        <is>
          <t>03603</t>
        </is>
      </c>
      <c r="H1174" s="43" t="inlineStr">
        <is>
          <t>036</t>
        </is>
      </c>
      <c r="I1174" s="43" t="inlineStr">
        <is>
          <t>03</t>
        </is>
      </c>
      <c r="J1174" s="222" t="n">
        <v>405</v>
      </c>
      <c r="K1174" s="222" t="n">
        <v>370</v>
      </c>
      <c r="L1174" s="43" t="inlineStr">
        <is>
          <t>在来・204｜マド①</t>
        </is>
      </c>
      <c r="M1174" s="178" t="b">
        <v>1</v>
      </c>
      <c r="N1174" s="43" t="inlineStr">
        <is>
          <t>カタログ規格確認済み</t>
        </is>
      </c>
      <c r="O1174" s="222" t="n">
        <v>171</v>
      </c>
      <c r="P1174" s="222" t="n">
        <v>169</v>
      </c>
      <c r="Q1174" s="43" t="inlineStr">
        <is>
          <t>202604_LIXIL_サーモスＬ_業務用資料集_完成品価格表.pdf</t>
        </is>
      </c>
      <c r="R1174" s="43" t="n"/>
      <c r="S1174" s="42" t="inlineStr">
        <is>
          <t>無印</t>
        </is>
      </c>
      <c r="T1174" s="42" t="n">
        <v>168</v>
      </c>
      <c r="U1174" s="42" t="inlineStr">
        <is>
          <t>P168|無印</t>
        </is>
      </c>
      <c r="V1174" s="42" t="inlineStr">
        <is>
          <t>同一価格表・前頁凡例を継承</t>
        </is>
      </c>
    </row>
    <row r="1175">
      <c r="A1175" s="43" t="inlineStr">
        <is>
          <t>SZ-SL-001172</t>
        </is>
      </c>
      <c r="B1175" s="43" t="inlineStr">
        <is>
          <t>SER-LIX-SAMOSL</t>
        </is>
      </c>
      <c r="C1175" s="43" t="inlineStr">
        <is>
          <t>WT-SL-FIX-IN</t>
        </is>
      </c>
      <c r="D1175" s="43" t="inlineStr">
        <is>
          <t>FIX窓（内押縁タイプ）</t>
        </is>
      </c>
      <c r="E1175" s="43" t="n"/>
      <c r="F1175" s="43" t="inlineStr">
        <is>
          <t>在来・204</t>
        </is>
      </c>
      <c r="G1175" s="43" t="inlineStr">
        <is>
          <t>036033</t>
        </is>
      </c>
      <c r="H1175" s="43" t="inlineStr">
        <is>
          <t>036</t>
        </is>
      </c>
      <c r="I1175" s="43" t="inlineStr">
        <is>
          <t>033</t>
        </is>
      </c>
      <c r="J1175" s="222" t="n">
        <v>405</v>
      </c>
      <c r="K1175" s="222" t="n">
        <v>405</v>
      </c>
      <c r="L1175" s="43" t="inlineStr">
        <is>
          <t>在来・204｜マド①</t>
        </is>
      </c>
      <c r="M1175" s="178" t="b">
        <v>1</v>
      </c>
      <c r="N1175" s="43" t="inlineStr">
        <is>
          <t>カタログ規格確認済み</t>
        </is>
      </c>
      <c r="O1175" s="222" t="n">
        <v>171</v>
      </c>
      <c r="P1175" s="222" t="n">
        <v>169</v>
      </c>
      <c r="Q1175" s="43" t="inlineStr">
        <is>
          <t>202604_LIXIL_サーモスＬ_業務用資料集_完成品価格表.pdf</t>
        </is>
      </c>
      <c r="R1175" s="43" t="n"/>
      <c r="S1175" s="42" t="inlineStr">
        <is>
          <t>無印</t>
        </is>
      </c>
      <c r="T1175" s="42" t="n">
        <v>168</v>
      </c>
      <c r="U1175" s="42" t="inlineStr">
        <is>
          <t>P168|無印</t>
        </is>
      </c>
      <c r="V1175" s="42" t="inlineStr">
        <is>
          <t>同一価格表・前頁凡例を継承</t>
        </is>
      </c>
    </row>
    <row r="1176">
      <c r="A1176" s="43" t="inlineStr">
        <is>
          <t>SZ-SL-001173</t>
        </is>
      </c>
      <c r="B1176" s="43" t="inlineStr">
        <is>
          <t>SER-LIX-SAMOSL</t>
        </is>
      </c>
      <c r="C1176" s="43" t="inlineStr">
        <is>
          <t>WT-SL-FIX-IN</t>
        </is>
      </c>
      <c r="D1176" s="43" t="inlineStr">
        <is>
          <t>FIX窓（内押縁タイプ）</t>
        </is>
      </c>
      <c r="E1176" s="43" t="n"/>
      <c r="F1176" s="43" t="inlineStr">
        <is>
          <t>在来・204</t>
        </is>
      </c>
      <c r="G1176" s="43" t="inlineStr">
        <is>
          <t>06003</t>
        </is>
      </c>
      <c r="H1176" s="43" t="inlineStr">
        <is>
          <t>060</t>
        </is>
      </c>
      <c r="I1176" s="43" t="inlineStr">
        <is>
          <t>03</t>
        </is>
      </c>
      <c r="J1176" s="222" t="n">
        <v>640</v>
      </c>
      <c r="K1176" s="222" t="n">
        <v>370</v>
      </c>
      <c r="L1176" s="43" t="inlineStr">
        <is>
          <t>在来・204｜マド①</t>
        </is>
      </c>
      <c r="M1176" s="178" t="b">
        <v>1</v>
      </c>
      <c r="N1176" s="43" t="inlineStr">
        <is>
          <t>カタログ規格確認済み</t>
        </is>
      </c>
      <c r="O1176" s="222" t="n">
        <v>171</v>
      </c>
      <c r="P1176" s="222" t="n">
        <v>169</v>
      </c>
      <c r="Q1176" s="43" t="inlineStr">
        <is>
          <t>202604_LIXIL_サーモスＬ_業務用資料集_完成品価格表.pdf</t>
        </is>
      </c>
      <c r="R1176" s="43" t="n"/>
      <c r="S1176" s="42" t="inlineStr">
        <is>
          <t>無印</t>
        </is>
      </c>
      <c r="T1176" s="42" t="n">
        <v>168</v>
      </c>
      <c r="U1176" s="42" t="inlineStr">
        <is>
          <t>P168|無印</t>
        </is>
      </c>
      <c r="V1176" s="42" t="inlineStr">
        <is>
          <t>同一価格表・前頁凡例を継承</t>
        </is>
      </c>
    </row>
    <row r="1177">
      <c r="A1177" s="43" t="inlineStr">
        <is>
          <t>SZ-SL-001174</t>
        </is>
      </c>
      <c r="B1177" s="43" t="inlineStr">
        <is>
          <t>SER-LIX-SAMOSL</t>
        </is>
      </c>
      <c r="C1177" s="43" t="inlineStr">
        <is>
          <t>WT-SL-FIX-IN</t>
        </is>
      </c>
      <c r="D1177" s="43" t="inlineStr">
        <is>
          <t>FIX窓（内押縁タイプ）</t>
        </is>
      </c>
      <c r="E1177" s="43" t="n"/>
      <c r="F1177" s="43" t="inlineStr">
        <is>
          <t>在来・204</t>
        </is>
      </c>
      <c r="G1177" s="43" t="inlineStr">
        <is>
          <t>069018</t>
        </is>
      </c>
      <c r="H1177" s="43" t="inlineStr">
        <is>
          <t>069</t>
        </is>
      </c>
      <c r="I1177" s="43" t="inlineStr">
        <is>
          <t>018</t>
        </is>
      </c>
      <c r="J1177" s="222" t="n">
        <v>730</v>
      </c>
      <c r="K1177" s="222" t="n">
        <v>250</v>
      </c>
      <c r="L1177" s="43" t="inlineStr">
        <is>
          <t>在来・204｜マド②</t>
        </is>
      </c>
      <c r="M1177" s="178" t="b">
        <v>1</v>
      </c>
      <c r="N1177" s="43" t="inlineStr">
        <is>
          <t>カタログ規格確認済み</t>
        </is>
      </c>
      <c r="O1177" s="222" t="n">
        <v>172</v>
      </c>
      <c r="P1177" s="222" t="n">
        <v>170</v>
      </c>
      <c r="Q1177" s="43" t="inlineStr">
        <is>
          <t>202604_LIXIL_サーモスＬ_業務用資料集_完成品価格表.pdf</t>
        </is>
      </c>
      <c r="R1177" s="43" t="n"/>
      <c r="S1177" s="42" t="inlineStr">
        <is>
          <t>無印</t>
        </is>
      </c>
      <c r="T1177" s="42" t="n">
        <v>170</v>
      </c>
      <c r="U1177" s="42" t="inlineStr">
        <is>
          <t>P170|無印</t>
        </is>
      </c>
      <c r="V1177" s="42" t="inlineStr">
        <is>
          <t>同頁凡例へ直接連動</t>
        </is>
      </c>
    </row>
    <row r="1178">
      <c r="A1178" s="43" t="inlineStr">
        <is>
          <t>SZ-SL-001175</t>
        </is>
      </c>
      <c r="B1178" s="43" t="inlineStr">
        <is>
          <t>SER-LIX-SAMOSL</t>
        </is>
      </c>
      <c r="C1178" s="43" t="inlineStr">
        <is>
          <t>WT-SL-FIX-IN</t>
        </is>
      </c>
      <c r="D1178" s="43" t="inlineStr">
        <is>
          <t>FIX窓（内押縁タイプ）</t>
        </is>
      </c>
      <c r="E1178" s="43" t="n"/>
      <c r="F1178" s="43" t="inlineStr">
        <is>
          <t>在来・204</t>
        </is>
      </c>
      <c r="G1178" s="43" t="inlineStr">
        <is>
          <t>069023</t>
        </is>
      </c>
      <c r="H1178" s="43" t="inlineStr">
        <is>
          <t>069</t>
        </is>
      </c>
      <c r="I1178" s="43" t="inlineStr">
        <is>
          <t>023</t>
        </is>
      </c>
      <c r="J1178" s="222" t="n">
        <v>730</v>
      </c>
      <c r="K1178" s="222" t="n">
        <v>300</v>
      </c>
      <c r="L1178" s="43" t="inlineStr">
        <is>
          <t>在来・204｜マド②</t>
        </is>
      </c>
      <c r="M1178" s="178" t="b">
        <v>1</v>
      </c>
      <c r="N1178" s="43" t="inlineStr">
        <is>
          <t>カタログ規格確認済み</t>
        </is>
      </c>
      <c r="O1178" s="222" t="n">
        <v>172</v>
      </c>
      <c r="P1178" s="222" t="n">
        <v>170</v>
      </c>
      <c r="Q1178" s="43" t="inlineStr">
        <is>
          <t>202604_LIXIL_サーモスＬ_業務用資料集_完成品価格表.pdf</t>
        </is>
      </c>
      <c r="R1178" s="43" t="n"/>
      <c r="S1178" s="42" t="inlineStr">
        <is>
          <t>無印</t>
        </is>
      </c>
      <c r="T1178" s="42" t="n">
        <v>170</v>
      </c>
      <c r="U1178" s="42" t="inlineStr">
        <is>
          <t>P170|無印</t>
        </is>
      </c>
      <c r="V1178" s="42" t="inlineStr">
        <is>
          <t>同頁凡例へ直接連動</t>
        </is>
      </c>
    </row>
    <row r="1179">
      <c r="A1179" s="43" t="inlineStr">
        <is>
          <t>SZ-SL-001176</t>
        </is>
      </c>
      <c r="B1179" s="43" t="inlineStr">
        <is>
          <t>SER-LIX-SAMOSL</t>
        </is>
      </c>
      <c r="C1179" s="43" t="inlineStr">
        <is>
          <t>WT-SL-FIX-IN</t>
        </is>
      </c>
      <c r="D1179" s="43" t="inlineStr">
        <is>
          <t>FIX窓（内押縁タイプ）</t>
        </is>
      </c>
      <c r="E1179" s="43" t="n"/>
      <c r="F1179" s="43" t="inlineStr">
        <is>
          <t>在来・204</t>
        </is>
      </c>
      <c r="G1179" s="43" t="inlineStr">
        <is>
          <t>069028</t>
        </is>
      </c>
      <c r="H1179" s="43" t="inlineStr">
        <is>
          <t>069</t>
        </is>
      </c>
      <c r="I1179" s="43" t="inlineStr">
        <is>
          <t>028</t>
        </is>
      </c>
      <c r="J1179" s="222" t="n">
        <v>730</v>
      </c>
      <c r="K1179" s="222" t="n">
        <v>350</v>
      </c>
      <c r="L1179" s="43" t="inlineStr">
        <is>
          <t>在来・204｜マド②</t>
        </is>
      </c>
      <c r="M1179" s="178" t="b">
        <v>1</v>
      </c>
      <c r="N1179" s="43" t="inlineStr">
        <is>
          <t>カタログ規格確認済み</t>
        </is>
      </c>
      <c r="O1179" s="222" t="n">
        <v>172</v>
      </c>
      <c r="P1179" s="222" t="n">
        <v>170</v>
      </c>
      <c r="Q1179" s="43" t="inlineStr">
        <is>
          <t>202604_LIXIL_サーモスＬ_業務用資料集_完成品価格表.pdf</t>
        </is>
      </c>
      <c r="R1179" s="43" t="n"/>
      <c r="S1179" s="42" t="inlineStr">
        <is>
          <t>無印</t>
        </is>
      </c>
      <c r="T1179" s="42" t="n">
        <v>170</v>
      </c>
      <c r="U1179" s="42" t="inlineStr">
        <is>
          <t>P170|無印</t>
        </is>
      </c>
      <c r="V1179" s="42" t="inlineStr">
        <is>
          <t>同頁凡例へ直接連動</t>
        </is>
      </c>
    </row>
    <row r="1180">
      <c r="A1180" s="43" t="inlineStr">
        <is>
          <t>SZ-SL-001177</t>
        </is>
      </c>
      <c r="B1180" s="43" t="inlineStr">
        <is>
          <t>SER-LIX-SAMOSL</t>
        </is>
      </c>
      <c r="C1180" s="43" t="inlineStr">
        <is>
          <t>WT-SL-FIX-IN</t>
        </is>
      </c>
      <c r="D1180" s="43" t="inlineStr">
        <is>
          <t>FIX窓（内押縁タイプ）</t>
        </is>
      </c>
      <c r="E1180" s="43" t="n"/>
      <c r="F1180" s="43" t="inlineStr">
        <is>
          <t>在来・204</t>
        </is>
      </c>
      <c r="G1180" s="43" t="inlineStr">
        <is>
          <t>074018</t>
        </is>
      </c>
      <c r="H1180" s="43" t="inlineStr">
        <is>
          <t>074</t>
        </is>
      </c>
      <c r="I1180" s="43" t="inlineStr">
        <is>
          <t>018</t>
        </is>
      </c>
      <c r="J1180" s="222" t="n">
        <v>780</v>
      </c>
      <c r="K1180" s="222" t="n">
        <v>250</v>
      </c>
      <c r="L1180" s="43" t="inlineStr">
        <is>
          <t>在来・204｜マド②</t>
        </is>
      </c>
      <c r="M1180" s="178" t="b">
        <v>1</v>
      </c>
      <c r="N1180" s="43" t="inlineStr">
        <is>
          <t>カタログ規格確認済み</t>
        </is>
      </c>
      <c r="O1180" s="222" t="n">
        <v>172</v>
      </c>
      <c r="P1180" s="222" t="n">
        <v>170</v>
      </c>
      <c r="Q1180" s="43" t="inlineStr">
        <is>
          <t>202604_LIXIL_サーモスＬ_業務用資料集_完成品価格表.pdf</t>
        </is>
      </c>
      <c r="R1180" s="43" t="n"/>
      <c r="S1180" s="42" t="inlineStr">
        <is>
          <t>無印</t>
        </is>
      </c>
      <c r="T1180" s="42" t="n">
        <v>170</v>
      </c>
      <c r="U1180" s="42" t="inlineStr">
        <is>
          <t>P170|無印</t>
        </is>
      </c>
      <c r="V1180" s="42" t="inlineStr">
        <is>
          <t>同頁凡例へ直接連動</t>
        </is>
      </c>
    </row>
    <row r="1181">
      <c r="A1181" s="43" t="inlineStr">
        <is>
          <t>SZ-SL-001178</t>
        </is>
      </c>
      <c r="B1181" s="43" t="inlineStr">
        <is>
          <t>SER-LIX-SAMOSL</t>
        </is>
      </c>
      <c r="C1181" s="43" t="inlineStr">
        <is>
          <t>WT-SL-FIX-IN</t>
        </is>
      </c>
      <c r="D1181" s="43" t="inlineStr">
        <is>
          <t>FIX窓（内押縁タイプ）</t>
        </is>
      </c>
      <c r="E1181" s="43" t="n"/>
      <c r="F1181" s="43" t="inlineStr">
        <is>
          <t>在来・204</t>
        </is>
      </c>
      <c r="G1181" s="43" t="inlineStr">
        <is>
          <t>074023</t>
        </is>
      </c>
      <c r="H1181" s="43" t="inlineStr">
        <is>
          <t>074</t>
        </is>
      </c>
      <c r="I1181" s="43" t="inlineStr">
        <is>
          <t>023</t>
        </is>
      </c>
      <c r="J1181" s="222" t="n">
        <v>780</v>
      </c>
      <c r="K1181" s="222" t="n">
        <v>300</v>
      </c>
      <c r="L1181" s="43" t="inlineStr">
        <is>
          <t>在来・204｜マド②</t>
        </is>
      </c>
      <c r="M1181" s="178" t="b">
        <v>1</v>
      </c>
      <c r="N1181" s="43" t="inlineStr">
        <is>
          <t>カタログ規格確認済み</t>
        </is>
      </c>
      <c r="O1181" s="222" t="n">
        <v>172</v>
      </c>
      <c r="P1181" s="222" t="n">
        <v>170</v>
      </c>
      <c r="Q1181" s="43" t="inlineStr">
        <is>
          <t>202604_LIXIL_サーモスＬ_業務用資料集_完成品価格表.pdf</t>
        </is>
      </c>
      <c r="R1181" s="43" t="n"/>
      <c r="S1181" s="42" t="inlineStr">
        <is>
          <t>無印</t>
        </is>
      </c>
      <c r="T1181" s="42" t="n">
        <v>170</v>
      </c>
      <c r="U1181" s="42" t="inlineStr">
        <is>
          <t>P170|無印</t>
        </is>
      </c>
      <c r="V1181" s="42" t="inlineStr">
        <is>
          <t>同頁凡例へ直接連動</t>
        </is>
      </c>
    </row>
    <row r="1182">
      <c r="A1182" s="43" t="inlineStr">
        <is>
          <t>SZ-SL-001179</t>
        </is>
      </c>
      <c r="B1182" s="43" t="inlineStr">
        <is>
          <t>SER-LIX-SAMOSL</t>
        </is>
      </c>
      <c r="C1182" s="43" t="inlineStr">
        <is>
          <t>WT-SL-FIX-IN</t>
        </is>
      </c>
      <c r="D1182" s="43" t="inlineStr">
        <is>
          <t>FIX窓（内押縁タイプ）</t>
        </is>
      </c>
      <c r="E1182" s="43" t="n"/>
      <c r="F1182" s="43" t="inlineStr">
        <is>
          <t>在来・204</t>
        </is>
      </c>
      <c r="G1182" s="43" t="inlineStr">
        <is>
          <t>074028</t>
        </is>
      </c>
      <c r="H1182" s="43" t="inlineStr">
        <is>
          <t>074</t>
        </is>
      </c>
      <c r="I1182" s="43" t="inlineStr">
        <is>
          <t>028</t>
        </is>
      </c>
      <c r="J1182" s="222" t="n">
        <v>780</v>
      </c>
      <c r="K1182" s="222" t="n">
        <v>350</v>
      </c>
      <c r="L1182" s="43" t="inlineStr">
        <is>
          <t>在来・204｜マド②</t>
        </is>
      </c>
      <c r="M1182" s="178" t="b">
        <v>1</v>
      </c>
      <c r="N1182" s="43" t="inlineStr">
        <is>
          <t>カタログ規格確認済み</t>
        </is>
      </c>
      <c r="O1182" s="222" t="n">
        <v>172</v>
      </c>
      <c r="P1182" s="222" t="n">
        <v>170</v>
      </c>
      <c r="Q1182" s="43" t="inlineStr">
        <is>
          <t>202604_LIXIL_サーモスＬ_業務用資料集_完成品価格表.pdf</t>
        </is>
      </c>
      <c r="R1182" s="43" t="n"/>
      <c r="S1182" s="42" t="inlineStr">
        <is>
          <t>無印</t>
        </is>
      </c>
      <c r="T1182" s="42" t="n">
        <v>170</v>
      </c>
      <c r="U1182" s="42" t="inlineStr">
        <is>
          <t>P170|無印</t>
        </is>
      </c>
      <c r="V1182" s="42" t="inlineStr">
        <is>
          <t>同頁凡例へ直接連動</t>
        </is>
      </c>
    </row>
    <row r="1183">
      <c r="A1183" s="43" t="inlineStr">
        <is>
          <t>SZ-SL-001180</t>
        </is>
      </c>
      <c r="B1183" s="43" t="inlineStr">
        <is>
          <t>SER-LIX-SAMOSL</t>
        </is>
      </c>
      <c r="C1183" s="43" t="inlineStr">
        <is>
          <t>WT-SL-FIX-IN</t>
        </is>
      </c>
      <c r="D1183" s="43" t="inlineStr">
        <is>
          <t>FIX窓（内押縁タイプ）</t>
        </is>
      </c>
      <c r="E1183" s="43" t="n"/>
      <c r="F1183" s="43" t="inlineStr">
        <is>
          <t>在来・204</t>
        </is>
      </c>
      <c r="G1183" s="43" t="inlineStr">
        <is>
          <t>07403</t>
        </is>
      </c>
      <c r="H1183" s="43" t="inlineStr">
        <is>
          <t>074</t>
        </is>
      </c>
      <c r="I1183" s="43" t="inlineStr">
        <is>
          <t>03</t>
        </is>
      </c>
      <c r="J1183" s="222" t="n">
        <v>780</v>
      </c>
      <c r="K1183" s="222" t="n">
        <v>370</v>
      </c>
      <c r="L1183" s="43" t="inlineStr">
        <is>
          <t>在来・204｜マド②</t>
        </is>
      </c>
      <c r="M1183" s="178" t="b">
        <v>1</v>
      </c>
      <c r="N1183" s="43" t="inlineStr">
        <is>
          <t>カタログ規格確認済み</t>
        </is>
      </c>
      <c r="O1183" s="222" t="n">
        <v>172</v>
      </c>
      <c r="P1183" s="222" t="n">
        <v>170</v>
      </c>
      <c r="Q1183" s="43" t="inlineStr">
        <is>
          <t>202604_LIXIL_サーモスＬ_業務用資料集_完成品価格表.pdf</t>
        </is>
      </c>
      <c r="R1183" s="43" t="n"/>
      <c r="S1183" s="42" t="inlineStr">
        <is>
          <t>無印</t>
        </is>
      </c>
      <c r="T1183" s="42" t="n">
        <v>170</v>
      </c>
      <c r="U1183" s="42" t="inlineStr">
        <is>
          <t>P170|無印</t>
        </is>
      </c>
      <c r="V1183" s="42" t="inlineStr">
        <is>
          <t>同頁凡例へ直接連動</t>
        </is>
      </c>
    </row>
    <row r="1184">
      <c r="A1184" s="43" t="inlineStr">
        <is>
          <t>SZ-SL-001181</t>
        </is>
      </c>
      <c r="B1184" s="43" t="inlineStr">
        <is>
          <t>SER-LIX-SAMOSL</t>
        </is>
      </c>
      <c r="C1184" s="43" t="inlineStr">
        <is>
          <t>WT-SL-FIX-IN</t>
        </is>
      </c>
      <c r="D1184" s="43" t="inlineStr">
        <is>
          <t>FIX窓（内押縁タイプ）</t>
        </is>
      </c>
      <c r="E1184" s="43" t="n"/>
      <c r="F1184" s="43" t="inlineStr">
        <is>
          <t>在来・204</t>
        </is>
      </c>
      <c r="G1184" s="43" t="inlineStr">
        <is>
          <t>114018</t>
        </is>
      </c>
      <c r="H1184" s="43" t="inlineStr">
        <is>
          <t>114</t>
        </is>
      </c>
      <c r="I1184" s="43" t="inlineStr">
        <is>
          <t>018</t>
        </is>
      </c>
      <c r="J1184" s="222" t="n">
        <v>1185</v>
      </c>
      <c r="K1184" s="222" t="n">
        <v>250</v>
      </c>
      <c r="L1184" s="43" t="inlineStr">
        <is>
          <t>在来・204｜マド②</t>
        </is>
      </c>
      <c r="M1184" s="178" t="b">
        <v>1</v>
      </c>
      <c r="N1184" s="43" t="inlineStr">
        <is>
          <t>カタログ規格確認済み</t>
        </is>
      </c>
      <c r="O1184" s="222" t="n">
        <v>172</v>
      </c>
      <c r="P1184" s="222" t="n">
        <v>170</v>
      </c>
      <c r="Q1184" s="43" t="inlineStr">
        <is>
          <t>202604_LIXIL_サーモスＬ_業務用資料集_完成品価格表.pdf</t>
        </is>
      </c>
      <c r="R1184" s="43" t="n"/>
      <c r="S1184" s="42" t="inlineStr">
        <is>
          <t>無印</t>
        </is>
      </c>
      <c r="T1184" s="42" t="n">
        <v>170</v>
      </c>
      <c r="U1184" s="42" t="inlineStr">
        <is>
          <t>P170|無印</t>
        </is>
      </c>
      <c r="V1184" s="42" t="inlineStr">
        <is>
          <t>同頁凡例へ直接連動</t>
        </is>
      </c>
    </row>
    <row r="1185">
      <c r="A1185" s="43" t="inlineStr">
        <is>
          <t>SZ-SL-001182</t>
        </is>
      </c>
      <c r="B1185" s="43" t="inlineStr">
        <is>
          <t>SER-LIX-SAMOSL</t>
        </is>
      </c>
      <c r="C1185" s="43" t="inlineStr">
        <is>
          <t>WT-SL-FIX-IN</t>
        </is>
      </c>
      <c r="D1185" s="43" t="inlineStr">
        <is>
          <t>FIX窓（内押縁タイプ）</t>
        </is>
      </c>
      <c r="E1185" s="43" t="n"/>
      <c r="F1185" s="43" t="inlineStr">
        <is>
          <t>在来・204</t>
        </is>
      </c>
      <c r="G1185" s="43" t="inlineStr">
        <is>
          <t>114023</t>
        </is>
      </c>
      <c r="H1185" s="43" t="inlineStr">
        <is>
          <t>114</t>
        </is>
      </c>
      <c r="I1185" s="43" t="inlineStr">
        <is>
          <t>023</t>
        </is>
      </c>
      <c r="J1185" s="222" t="n">
        <v>1185</v>
      </c>
      <c r="K1185" s="222" t="n">
        <v>300</v>
      </c>
      <c r="L1185" s="43" t="inlineStr">
        <is>
          <t>在来・204｜マド②</t>
        </is>
      </c>
      <c r="M1185" s="178" t="b">
        <v>1</v>
      </c>
      <c r="N1185" s="43" t="inlineStr">
        <is>
          <t>カタログ規格確認済み</t>
        </is>
      </c>
      <c r="O1185" s="222" t="n">
        <v>172</v>
      </c>
      <c r="P1185" s="222" t="n">
        <v>170</v>
      </c>
      <c r="Q1185" s="43" t="inlineStr">
        <is>
          <t>202604_LIXIL_サーモスＬ_業務用資料集_完成品価格表.pdf</t>
        </is>
      </c>
      <c r="R1185" s="43" t="n"/>
      <c r="S1185" s="42" t="inlineStr">
        <is>
          <t>無印</t>
        </is>
      </c>
      <c r="T1185" s="42" t="n">
        <v>170</v>
      </c>
      <c r="U1185" s="42" t="inlineStr">
        <is>
          <t>P170|無印</t>
        </is>
      </c>
      <c r="V1185" s="42" t="inlineStr">
        <is>
          <t>同頁凡例へ直接連動</t>
        </is>
      </c>
    </row>
    <row r="1186">
      <c r="A1186" s="43" t="inlineStr">
        <is>
          <t>SZ-SL-001183</t>
        </is>
      </c>
      <c r="B1186" s="43" t="inlineStr">
        <is>
          <t>SER-LIX-SAMOSL</t>
        </is>
      </c>
      <c r="C1186" s="43" t="inlineStr">
        <is>
          <t>WT-SL-FIX-IN</t>
        </is>
      </c>
      <c r="D1186" s="43" t="inlineStr">
        <is>
          <t>FIX窓（内押縁タイプ）</t>
        </is>
      </c>
      <c r="E1186" s="43" t="n"/>
      <c r="F1186" s="43" t="inlineStr">
        <is>
          <t>在来・204</t>
        </is>
      </c>
      <c r="G1186" s="43" t="inlineStr">
        <is>
          <t>114028</t>
        </is>
      </c>
      <c r="H1186" s="43" t="inlineStr">
        <is>
          <t>114</t>
        </is>
      </c>
      <c r="I1186" s="43" t="inlineStr">
        <is>
          <t>028</t>
        </is>
      </c>
      <c r="J1186" s="222" t="n">
        <v>1185</v>
      </c>
      <c r="K1186" s="222" t="n">
        <v>350</v>
      </c>
      <c r="L1186" s="43" t="inlineStr">
        <is>
          <t>在来・204｜マド②</t>
        </is>
      </c>
      <c r="M1186" s="178" t="b">
        <v>1</v>
      </c>
      <c r="N1186" s="43" t="inlineStr">
        <is>
          <t>カタログ規格確認済み</t>
        </is>
      </c>
      <c r="O1186" s="222" t="n">
        <v>172</v>
      </c>
      <c r="P1186" s="222" t="n">
        <v>170</v>
      </c>
      <c r="Q1186" s="43" t="inlineStr">
        <is>
          <t>202604_LIXIL_サーモスＬ_業務用資料集_完成品価格表.pdf</t>
        </is>
      </c>
      <c r="R1186" s="43" t="n"/>
      <c r="S1186" s="42" t="inlineStr">
        <is>
          <t>無印</t>
        </is>
      </c>
      <c r="T1186" s="42" t="n">
        <v>170</v>
      </c>
      <c r="U1186" s="42" t="inlineStr">
        <is>
          <t>P170|無印</t>
        </is>
      </c>
      <c r="V1186" s="42" t="inlineStr">
        <is>
          <t>同頁凡例へ直接連動</t>
        </is>
      </c>
    </row>
    <row r="1187">
      <c r="A1187" s="43" t="inlineStr">
        <is>
          <t>SZ-SL-001184</t>
        </is>
      </c>
      <c r="B1187" s="43" t="inlineStr">
        <is>
          <t>SER-LIX-SAMOSL</t>
        </is>
      </c>
      <c r="C1187" s="43" t="inlineStr">
        <is>
          <t>WT-SL-FIX-IN</t>
        </is>
      </c>
      <c r="D1187" s="43" t="inlineStr">
        <is>
          <t>FIX窓（内押縁タイプ）</t>
        </is>
      </c>
      <c r="E1187" s="43" t="n"/>
      <c r="F1187" s="43" t="inlineStr">
        <is>
          <t>在来・204</t>
        </is>
      </c>
      <c r="G1187" s="43" t="inlineStr">
        <is>
          <t>119018</t>
        </is>
      </c>
      <c r="H1187" s="43" t="inlineStr">
        <is>
          <t>119</t>
        </is>
      </c>
      <c r="I1187" s="43" t="inlineStr">
        <is>
          <t>018</t>
        </is>
      </c>
      <c r="J1187" s="222" t="n">
        <v>1235</v>
      </c>
      <c r="K1187" s="222" t="n">
        <v>250</v>
      </c>
      <c r="L1187" s="43" t="inlineStr">
        <is>
          <t>在来・204｜マド②</t>
        </is>
      </c>
      <c r="M1187" s="178" t="b">
        <v>1</v>
      </c>
      <c r="N1187" s="43" t="inlineStr">
        <is>
          <t>カタログ規格確認済み</t>
        </is>
      </c>
      <c r="O1187" s="222" t="n">
        <v>173</v>
      </c>
      <c r="P1187" s="222" t="n">
        <v>171</v>
      </c>
      <c r="Q1187" s="43" t="inlineStr">
        <is>
          <t>202604_LIXIL_サーモスＬ_業務用資料集_完成品価格表.pdf</t>
        </is>
      </c>
      <c r="R1187" s="43" t="n"/>
      <c r="S1187" s="42" t="inlineStr">
        <is>
          <t>無印</t>
        </is>
      </c>
      <c r="T1187" s="42" t="n">
        <v>170</v>
      </c>
      <c r="U1187" s="42" t="inlineStr">
        <is>
          <t>P170|無印</t>
        </is>
      </c>
      <c r="V1187" s="42" t="inlineStr">
        <is>
          <t>同一価格表・前頁凡例を継承</t>
        </is>
      </c>
    </row>
    <row r="1188">
      <c r="A1188" s="43" t="inlineStr">
        <is>
          <t>SZ-SL-001185</t>
        </is>
      </c>
      <c r="B1188" s="43" t="inlineStr">
        <is>
          <t>SER-LIX-SAMOSL</t>
        </is>
      </c>
      <c r="C1188" s="43" t="inlineStr">
        <is>
          <t>WT-SL-FIX-IN</t>
        </is>
      </c>
      <c r="D1188" s="43" t="inlineStr">
        <is>
          <t>FIX窓（内押縁タイプ）</t>
        </is>
      </c>
      <c r="E1188" s="43" t="n"/>
      <c r="F1188" s="43" t="inlineStr">
        <is>
          <t>在来・204</t>
        </is>
      </c>
      <c r="G1188" s="43" t="inlineStr">
        <is>
          <t>119023</t>
        </is>
      </c>
      <c r="H1188" s="43" t="inlineStr">
        <is>
          <t>119</t>
        </is>
      </c>
      <c r="I1188" s="43" t="inlineStr">
        <is>
          <t>023</t>
        </is>
      </c>
      <c r="J1188" s="222" t="n">
        <v>1235</v>
      </c>
      <c r="K1188" s="222" t="n">
        <v>300</v>
      </c>
      <c r="L1188" s="43" t="inlineStr">
        <is>
          <t>在来・204｜マド②</t>
        </is>
      </c>
      <c r="M1188" s="178" t="b">
        <v>1</v>
      </c>
      <c r="N1188" s="43" t="inlineStr">
        <is>
          <t>カタログ規格確認済み</t>
        </is>
      </c>
      <c r="O1188" s="222" t="n">
        <v>173</v>
      </c>
      <c r="P1188" s="222" t="n">
        <v>171</v>
      </c>
      <c r="Q1188" s="43" t="inlineStr">
        <is>
          <t>202604_LIXIL_サーモスＬ_業務用資料集_完成品価格表.pdf</t>
        </is>
      </c>
      <c r="R1188" s="43" t="n"/>
      <c r="S1188" s="42" t="inlineStr">
        <is>
          <t>無印</t>
        </is>
      </c>
      <c r="T1188" s="42" t="n">
        <v>170</v>
      </c>
      <c r="U1188" s="42" t="inlineStr">
        <is>
          <t>P170|無印</t>
        </is>
      </c>
      <c r="V1188" s="42" t="inlineStr">
        <is>
          <t>同一価格表・前頁凡例を継承</t>
        </is>
      </c>
    </row>
    <row r="1189">
      <c r="A1189" s="43" t="inlineStr">
        <is>
          <t>SZ-SL-001186</t>
        </is>
      </c>
      <c r="B1189" s="43" t="inlineStr">
        <is>
          <t>SER-LIX-SAMOSL</t>
        </is>
      </c>
      <c r="C1189" s="43" t="inlineStr">
        <is>
          <t>WT-SL-FIX-IN</t>
        </is>
      </c>
      <c r="D1189" s="43" t="inlineStr">
        <is>
          <t>FIX窓（内押縁タイプ）</t>
        </is>
      </c>
      <c r="E1189" s="43" t="n"/>
      <c r="F1189" s="43" t="inlineStr">
        <is>
          <t>在来・204</t>
        </is>
      </c>
      <c r="G1189" s="43" t="inlineStr">
        <is>
          <t>119028</t>
        </is>
      </c>
      <c r="H1189" s="43" t="inlineStr">
        <is>
          <t>119</t>
        </is>
      </c>
      <c r="I1189" s="43" t="inlineStr">
        <is>
          <t>028</t>
        </is>
      </c>
      <c r="J1189" s="222" t="n">
        <v>1235</v>
      </c>
      <c r="K1189" s="222" t="n">
        <v>350</v>
      </c>
      <c r="L1189" s="43" t="inlineStr">
        <is>
          <t>在来・204｜マド②</t>
        </is>
      </c>
      <c r="M1189" s="178" t="b">
        <v>1</v>
      </c>
      <c r="N1189" s="43" t="inlineStr">
        <is>
          <t>カタログ規格確認済み</t>
        </is>
      </c>
      <c r="O1189" s="222" t="n">
        <v>173</v>
      </c>
      <c r="P1189" s="222" t="n">
        <v>171</v>
      </c>
      <c r="Q1189" s="43" t="inlineStr">
        <is>
          <t>202604_LIXIL_サーモスＬ_業務用資料集_完成品価格表.pdf</t>
        </is>
      </c>
      <c r="R1189" s="43" t="n"/>
      <c r="S1189" s="42" t="inlineStr">
        <is>
          <t>無印</t>
        </is>
      </c>
      <c r="T1189" s="42" t="n">
        <v>170</v>
      </c>
      <c r="U1189" s="42" t="inlineStr">
        <is>
          <t>P170|無印</t>
        </is>
      </c>
      <c r="V1189" s="42" t="inlineStr">
        <is>
          <t>同一価格表・前頁凡例を継承</t>
        </is>
      </c>
    </row>
    <row r="1190">
      <c r="A1190" s="43" t="inlineStr">
        <is>
          <t>SZ-SL-001187</t>
        </is>
      </c>
      <c r="B1190" s="43" t="inlineStr">
        <is>
          <t>SER-LIX-SAMOSL</t>
        </is>
      </c>
      <c r="C1190" s="43" t="inlineStr">
        <is>
          <t>WT-SL-FIX-IN</t>
        </is>
      </c>
      <c r="D1190" s="43" t="inlineStr">
        <is>
          <t>FIX窓（内押縁タイプ）</t>
        </is>
      </c>
      <c r="E1190" s="43" t="n"/>
      <c r="F1190" s="43" t="inlineStr">
        <is>
          <t>在来・204</t>
        </is>
      </c>
      <c r="G1190" s="43" t="inlineStr">
        <is>
          <t>11903</t>
        </is>
      </c>
      <c r="H1190" s="43" t="inlineStr">
        <is>
          <t>119</t>
        </is>
      </c>
      <c r="I1190" s="43" t="inlineStr">
        <is>
          <t>03</t>
        </is>
      </c>
      <c r="J1190" s="222" t="n">
        <v>1235</v>
      </c>
      <c r="K1190" s="222" t="n">
        <v>370</v>
      </c>
      <c r="L1190" s="43" t="inlineStr">
        <is>
          <t>在来・204｜マド②</t>
        </is>
      </c>
      <c r="M1190" s="178" t="b">
        <v>1</v>
      </c>
      <c r="N1190" s="43" t="inlineStr">
        <is>
          <t>カタログ規格確認済み</t>
        </is>
      </c>
      <c r="O1190" s="222" t="n">
        <v>173</v>
      </c>
      <c r="P1190" s="222" t="n">
        <v>171</v>
      </c>
      <c r="Q1190" s="43" t="inlineStr">
        <is>
          <t>202604_LIXIL_サーモスＬ_業務用資料集_完成品価格表.pdf</t>
        </is>
      </c>
      <c r="R1190" s="43" t="n"/>
      <c r="S1190" s="42" t="inlineStr">
        <is>
          <t>無印</t>
        </is>
      </c>
      <c r="T1190" s="42" t="n">
        <v>170</v>
      </c>
      <c r="U1190" s="42" t="inlineStr">
        <is>
          <t>P170|無印</t>
        </is>
      </c>
      <c r="V1190" s="42" t="inlineStr">
        <is>
          <t>同一価格表・前頁凡例を継承</t>
        </is>
      </c>
    </row>
    <row r="1191">
      <c r="A1191" s="43" t="inlineStr">
        <is>
          <t>SZ-SL-001188</t>
        </is>
      </c>
      <c r="B1191" s="43" t="inlineStr">
        <is>
          <t>SER-LIX-SAMOSL</t>
        </is>
      </c>
      <c r="C1191" s="43" t="inlineStr">
        <is>
          <t>WT-SL-FIX-IN</t>
        </is>
      </c>
      <c r="D1191" s="43" t="inlineStr">
        <is>
          <t>FIX窓（内押縁タイプ）</t>
        </is>
      </c>
      <c r="E1191" s="43" t="n"/>
      <c r="F1191" s="43" t="inlineStr">
        <is>
          <t>在来・204</t>
        </is>
      </c>
      <c r="G1191" s="43" t="inlineStr">
        <is>
          <t>160018</t>
        </is>
      </c>
      <c r="H1191" s="43" t="inlineStr">
        <is>
          <t>160</t>
        </is>
      </c>
      <c r="I1191" s="43" t="inlineStr">
        <is>
          <t>018</t>
        </is>
      </c>
      <c r="J1191" s="222" t="n">
        <v>1640</v>
      </c>
      <c r="K1191" s="222" t="n">
        <v>250</v>
      </c>
      <c r="L1191" s="43" t="inlineStr">
        <is>
          <t>在来・204｜マド②</t>
        </is>
      </c>
      <c r="M1191" s="178" t="b">
        <v>1</v>
      </c>
      <c r="N1191" s="43" t="inlineStr">
        <is>
          <t>カタログ規格確認済み</t>
        </is>
      </c>
      <c r="O1191" s="222" t="n">
        <v>173</v>
      </c>
      <c r="P1191" s="222" t="n">
        <v>171</v>
      </c>
      <c r="Q1191" s="43" t="inlineStr">
        <is>
          <t>202604_LIXIL_サーモスＬ_業務用資料集_完成品価格表.pdf</t>
        </is>
      </c>
      <c r="R1191" s="43" t="n"/>
      <c r="S1191" s="42" t="inlineStr">
        <is>
          <t>無印</t>
        </is>
      </c>
      <c r="T1191" s="42" t="n">
        <v>170</v>
      </c>
      <c r="U1191" s="42" t="inlineStr">
        <is>
          <t>P170|無印</t>
        </is>
      </c>
      <c r="V1191" s="42" t="inlineStr">
        <is>
          <t>同一価格表・前頁凡例を継承</t>
        </is>
      </c>
    </row>
    <row r="1192">
      <c r="A1192" s="43" t="inlineStr">
        <is>
          <t>SZ-SL-001189</t>
        </is>
      </c>
      <c r="B1192" s="43" t="inlineStr">
        <is>
          <t>SER-LIX-SAMOSL</t>
        </is>
      </c>
      <c r="C1192" s="43" t="inlineStr">
        <is>
          <t>WT-SL-FIX-IN</t>
        </is>
      </c>
      <c r="D1192" s="43" t="inlineStr">
        <is>
          <t>FIX窓（内押縁タイプ）</t>
        </is>
      </c>
      <c r="E1192" s="43" t="n"/>
      <c r="F1192" s="43" t="inlineStr">
        <is>
          <t>在来・204</t>
        </is>
      </c>
      <c r="G1192" s="43" t="inlineStr">
        <is>
          <t>160023</t>
        </is>
      </c>
      <c r="H1192" s="43" t="inlineStr">
        <is>
          <t>160</t>
        </is>
      </c>
      <c r="I1192" s="43" t="inlineStr">
        <is>
          <t>023</t>
        </is>
      </c>
      <c r="J1192" s="222" t="n">
        <v>1640</v>
      </c>
      <c r="K1192" s="222" t="n">
        <v>300</v>
      </c>
      <c r="L1192" s="43" t="inlineStr">
        <is>
          <t>在来・204｜マド②</t>
        </is>
      </c>
      <c r="M1192" s="178" t="b">
        <v>1</v>
      </c>
      <c r="N1192" s="43" t="inlineStr">
        <is>
          <t>カタログ規格確認済み</t>
        </is>
      </c>
      <c r="O1192" s="222" t="n">
        <v>173</v>
      </c>
      <c r="P1192" s="222" t="n">
        <v>171</v>
      </c>
      <c r="Q1192" s="43" t="inlineStr">
        <is>
          <t>202604_LIXIL_サーモスＬ_業務用資料集_完成品価格表.pdf</t>
        </is>
      </c>
      <c r="R1192" s="43" t="n"/>
      <c r="S1192" s="42" t="inlineStr">
        <is>
          <t>無印</t>
        </is>
      </c>
      <c r="T1192" s="42" t="n">
        <v>170</v>
      </c>
      <c r="U1192" s="42" t="inlineStr">
        <is>
          <t>P170|無印</t>
        </is>
      </c>
      <c r="V1192" s="42" t="inlineStr">
        <is>
          <t>同一価格表・前頁凡例を継承</t>
        </is>
      </c>
    </row>
    <row r="1193">
      <c r="A1193" s="43" t="inlineStr">
        <is>
          <t>SZ-SL-001190</t>
        </is>
      </c>
      <c r="B1193" s="43" t="inlineStr">
        <is>
          <t>SER-LIX-SAMOSL</t>
        </is>
      </c>
      <c r="C1193" s="43" t="inlineStr">
        <is>
          <t>WT-SL-FIX-IN</t>
        </is>
      </c>
      <c r="D1193" s="43" t="inlineStr">
        <is>
          <t>FIX窓（内押縁タイプ）</t>
        </is>
      </c>
      <c r="E1193" s="43" t="n"/>
      <c r="F1193" s="43" t="inlineStr">
        <is>
          <t>在来・204</t>
        </is>
      </c>
      <c r="G1193" s="43" t="inlineStr">
        <is>
          <t>160028</t>
        </is>
      </c>
      <c r="H1193" s="43" t="inlineStr">
        <is>
          <t>160</t>
        </is>
      </c>
      <c r="I1193" s="43" t="inlineStr">
        <is>
          <t>028</t>
        </is>
      </c>
      <c r="J1193" s="222" t="n">
        <v>1640</v>
      </c>
      <c r="K1193" s="222" t="n">
        <v>350</v>
      </c>
      <c r="L1193" s="43" t="inlineStr">
        <is>
          <t>在来・204｜マド②</t>
        </is>
      </c>
      <c r="M1193" s="178" t="b">
        <v>1</v>
      </c>
      <c r="N1193" s="43" t="inlineStr">
        <is>
          <t>カタログ規格確認済み</t>
        </is>
      </c>
      <c r="O1193" s="222" t="n">
        <v>173</v>
      </c>
      <c r="P1193" s="222" t="n">
        <v>171</v>
      </c>
      <c r="Q1193" s="43" t="inlineStr">
        <is>
          <t>202604_LIXIL_サーモスＬ_業務用資料集_完成品価格表.pdf</t>
        </is>
      </c>
      <c r="R1193" s="43" t="n"/>
      <c r="S1193" s="42" t="inlineStr">
        <is>
          <t>無印</t>
        </is>
      </c>
      <c r="T1193" s="42" t="n">
        <v>170</v>
      </c>
      <c r="U1193" s="42" t="inlineStr">
        <is>
          <t>P170|無印</t>
        </is>
      </c>
      <c r="V1193" s="42" t="inlineStr">
        <is>
          <t>同一価格表・前頁凡例を継承</t>
        </is>
      </c>
    </row>
    <row r="1194">
      <c r="A1194" s="43" t="inlineStr">
        <is>
          <t>SZ-SL-001191</t>
        </is>
      </c>
      <c r="B1194" s="43" t="inlineStr">
        <is>
          <t>SER-LIX-SAMOSL</t>
        </is>
      </c>
      <c r="C1194" s="43" t="inlineStr">
        <is>
          <t>WT-SL-FIX-IN</t>
        </is>
      </c>
      <c r="D1194" s="43" t="inlineStr">
        <is>
          <t>FIX窓（内押縁タイプ）</t>
        </is>
      </c>
      <c r="E1194" s="43" t="n"/>
      <c r="F1194" s="43" t="inlineStr">
        <is>
          <t>在来・204</t>
        </is>
      </c>
      <c r="G1194" s="43" t="inlineStr">
        <is>
          <t>165018</t>
        </is>
      </c>
      <c r="H1194" s="43" t="inlineStr">
        <is>
          <t>165</t>
        </is>
      </c>
      <c r="I1194" s="43" t="inlineStr">
        <is>
          <t>018</t>
        </is>
      </c>
      <c r="J1194" s="222" t="n">
        <v>1690</v>
      </c>
      <c r="K1194" s="222" t="n">
        <v>250</v>
      </c>
      <c r="L1194" s="43" t="inlineStr">
        <is>
          <t>在来・204｜マド②</t>
        </is>
      </c>
      <c r="M1194" s="178" t="b">
        <v>1</v>
      </c>
      <c r="N1194" s="43" t="inlineStr">
        <is>
          <t>カタログ規格確認済み</t>
        </is>
      </c>
      <c r="O1194" s="222" t="n">
        <v>173</v>
      </c>
      <c r="P1194" s="222" t="n">
        <v>171</v>
      </c>
      <c r="Q1194" s="43" t="inlineStr">
        <is>
          <t>202604_LIXIL_サーモスＬ_業務用資料集_完成品価格表.pdf</t>
        </is>
      </c>
      <c r="R1194" s="43" t="n"/>
      <c r="S1194" s="42" t="inlineStr">
        <is>
          <t>無印</t>
        </is>
      </c>
      <c r="T1194" s="42" t="n">
        <v>170</v>
      </c>
      <c r="U1194" s="42" t="inlineStr">
        <is>
          <t>P170|無印</t>
        </is>
      </c>
      <c r="V1194" s="42" t="inlineStr">
        <is>
          <t>同一価格表・前頁凡例を継承</t>
        </is>
      </c>
    </row>
    <row r="1195">
      <c r="A1195" s="43" t="inlineStr">
        <is>
          <t>SZ-SL-001192</t>
        </is>
      </c>
      <c r="B1195" s="43" t="inlineStr">
        <is>
          <t>SER-LIX-SAMOSL</t>
        </is>
      </c>
      <c r="C1195" s="43" t="inlineStr">
        <is>
          <t>WT-SL-FIX-IN</t>
        </is>
      </c>
      <c r="D1195" s="43" t="inlineStr">
        <is>
          <t>FIX窓（内押縁タイプ）</t>
        </is>
      </c>
      <c r="E1195" s="43" t="n"/>
      <c r="F1195" s="43" t="inlineStr">
        <is>
          <t>在来・204</t>
        </is>
      </c>
      <c r="G1195" s="43" t="inlineStr">
        <is>
          <t>165023</t>
        </is>
      </c>
      <c r="H1195" s="43" t="inlineStr">
        <is>
          <t>165</t>
        </is>
      </c>
      <c r="I1195" s="43" t="inlineStr">
        <is>
          <t>023</t>
        </is>
      </c>
      <c r="J1195" s="222" t="n">
        <v>1690</v>
      </c>
      <c r="K1195" s="222" t="n">
        <v>300</v>
      </c>
      <c r="L1195" s="43" t="inlineStr">
        <is>
          <t>在来・204｜マド②</t>
        </is>
      </c>
      <c r="M1195" s="178" t="b">
        <v>1</v>
      </c>
      <c r="N1195" s="43" t="inlineStr">
        <is>
          <t>カタログ規格確認済み</t>
        </is>
      </c>
      <c r="O1195" s="222" t="n">
        <v>173</v>
      </c>
      <c r="P1195" s="222" t="n">
        <v>171</v>
      </c>
      <c r="Q1195" s="43" t="inlineStr">
        <is>
          <t>202604_LIXIL_サーモスＬ_業務用資料集_完成品価格表.pdf</t>
        </is>
      </c>
      <c r="R1195" s="43" t="n"/>
      <c r="S1195" s="42" t="inlineStr">
        <is>
          <t>無印</t>
        </is>
      </c>
      <c r="T1195" s="42" t="n">
        <v>170</v>
      </c>
      <c r="U1195" s="42" t="inlineStr">
        <is>
          <t>P170|無印</t>
        </is>
      </c>
      <c r="V1195" s="42" t="inlineStr">
        <is>
          <t>同一価格表・前頁凡例を継承</t>
        </is>
      </c>
    </row>
    <row r="1196">
      <c r="A1196" s="43" t="inlineStr">
        <is>
          <t>SZ-SL-001193</t>
        </is>
      </c>
      <c r="B1196" s="43" t="inlineStr">
        <is>
          <t>SER-LIX-SAMOSL</t>
        </is>
      </c>
      <c r="C1196" s="43" t="inlineStr">
        <is>
          <t>WT-SL-FIX-IN</t>
        </is>
      </c>
      <c r="D1196" s="43" t="inlineStr">
        <is>
          <t>FIX窓（内押縁タイプ）</t>
        </is>
      </c>
      <c r="E1196" s="43" t="n"/>
      <c r="F1196" s="43" t="inlineStr">
        <is>
          <t>在来・204</t>
        </is>
      </c>
      <c r="G1196" s="43" t="inlineStr">
        <is>
          <t>165028</t>
        </is>
      </c>
      <c r="H1196" s="43" t="inlineStr">
        <is>
          <t>165</t>
        </is>
      </c>
      <c r="I1196" s="43" t="inlineStr">
        <is>
          <t>028</t>
        </is>
      </c>
      <c r="J1196" s="222" t="n">
        <v>1690</v>
      </c>
      <c r="K1196" s="222" t="n">
        <v>350</v>
      </c>
      <c r="L1196" s="43" t="inlineStr">
        <is>
          <t>在来・204｜マド②</t>
        </is>
      </c>
      <c r="M1196" s="178" t="b">
        <v>1</v>
      </c>
      <c r="N1196" s="43" t="inlineStr">
        <is>
          <t>カタログ規格確認済み</t>
        </is>
      </c>
      <c r="O1196" s="222" t="n">
        <v>173</v>
      </c>
      <c r="P1196" s="222" t="n">
        <v>171</v>
      </c>
      <c r="Q1196" s="43" t="inlineStr">
        <is>
          <t>202604_LIXIL_サーモスＬ_業務用資料集_完成品価格表.pdf</t>
        </is>
      </c>
      <c r="R1196" s="43" t="n"/>
      <c r="S1196" s="42" t="inlineStr">
        <is>
          <t>無印</t>
        </is>
      </c>
      <c r="T1196" s="42" t="n">
        <v>170</v>
      </c>
      <c r="U1196" s="42" t="inlineStr">
        <is>
          <t>P170|無印</t>
        </is>
      </c>
      <c r="V1196" s="42" t="inlineStr">
        <is>
          <t>同一価格表・前頁凡例を継承</t>
        </is>
      </c>
    </row>
    <row r="1197">
      <c r="A1197" s="43" t="inlineStr">
        <is>
          <t>SZ-SL-001194</t>
        </is>
      </c>
      <c r="B1197" s="43" t="inlineStr">
        <is>
          <t>SER-LIX-SAMOSL</t>
        </is>
      </c>
      <c r="C1197" s="43" t="inlineStr">
        <is>
          <t>WT-SL-FIX-IN</t>
        </is>
      </c>
      <c r="D1197" s="43" t="inlineStr">
        <is>
          <t>FIX窓（内押縁タイプ）</t>
        </is>
      </c>
      <c r="E1197" s="43" t="n"/>
      <c r="F1197" s="43" t="inlineStr">
        <is>
          <t>在来・204</t>
        </is>
      </c>
      <c r="G1197" s="43" t="inlineStr">
        <is>
          <t>03605</t>
        </is>
      </c>
      <c r="H1197" s="43" t="inlineStr">
        <is>
          <t>036</t>
        </is>
      </c>
      <c r="I1197" s="43" t="inlineStr">
        <is>
          <t>05</t>
        </is>
      </c>
      <c r="J1197" s="222" t="n">
        <v>405</v>
      </c>
      <c r="K1197" s="222" t="n">
        <v>570</v>
      </c>
      <c r="L1197" s="43" t="inlineStr">
        <is>
          <t>在来・204｜マド③</t>
        </is>
      </c>
      <c r="M1197" s="178" t="b">
        <v>1</v>
      </c>
      <c r="N1197" s="43" t="inlineStr">
        <is>
          <t>カタログ規格確認済み</t>
        </is>
      </c>
      <c r="O1197" s="222" t="n">
        <v>175</v>
      </c>
      <c r="P1197" s="222" t="n">
        <v>173</v>
      </c>
      <c r="Q1197" s="43" t="inlineStr">
        <is>
          <t>202604_LIXIL_サーモスＬ_業務用資料集_完成品価格表.pdf</t>
        </is>
      </c>
      <c r="R1197" s="43" t="n"/>
      <c r="S1197" s="42" t="inlineStr">
        <is>
          <t>無印</t>
        </is>
      </c>
      <c r="T1197" s="42" t="n">
        <v>172</v>
      </c>
      <c r="U1197" s="42" t="inlineStr">
        <is>
          <t>P172|無印</t>
        </is>
      </c>
      <c r="V1197" s="42" t="inlineStr">
        <is>
          <t>同一価格表・前頁凡例を継承</t>
        </is>
      </c>
    </row>
    <row r="1198">
      <c r="A1198" s="43" t="inlineStr">
        <is>
          <t>SZ-SL-001195</t>
        </is>
      </c>
      <c r="B1198" s="43" t="inlineStr">
        <is>
          <t>SER-LIX-SAMOSL</t>
        </is>
      </c>
      <c r="C1198" s="43" t="inlineStr">
        <is>
          <t>WT-SL-FIX-IN</t>
        </is>
      </c>
      <c r="D1198" s="43" t="inlineStr">
        <is>
          <t>FIX窓（内押縁タイプ）</t>
        </is>
      </c>
      <c r="E1198" s="43" t="n"/>
      <c r="F1198" s="43" t="inlineStr">
        <is>
          <t>在来・204</t>
        </is>
      </c>
      <c r="G1198" s="43" t="inlineStr">
        <is>
          <t>03607</t>
        </is>
      </c>
      <c r="H1198" s="43" t="inlineStr">
        <is>
          <t>036</t>
        </is>
      </c>
      <c r="I1198" s="43" t="inlineStr">
        <is>
          <t>07</t>
        </is>
      </c>
      <c r="J1198" s="222" t="n">
        <v>405</v>
      </c>
      <c r="K1198" s="222" t="n">
        <v>770</v>
      </c>
      <c r="L1198" s="43" t="inlineStr">
        <is>
          <t>在来・204｜マド③</t>
        </is>
      </c>
      <c r="M1198" s="178" t="b">
        <v>1</v>
      </c>
      <c r="N1198" s="43" t="inlineStr">
        <is>
          <t>カタログ規格確認済み</t>
        </is>
      </c>
      <c r="O1198" s="222" t="n">
        <v>175</v>
      </c>
      <c r="P1198" s="222" t="n">
        <v>173</v>
      </c>
      <c r="Q1198" s="43" t="inlineStr">
        <is>
          <t>202604_LIXIL_サーモスＬ_業務用資料集_完成品価格表.pdf</t>
        </is>
      </c>
      <c r="R1198" s="43" t="n"/>
      <c r="S1198" s="42" t="inlineStr">
        <is>
          <t>無印</t>
        </is>
      </c>
      <c r="T1198" s="42" t="n">
        <v>172</v>
      </c>
      <c r="U1198" s="42" t="inlineStr">
        <is>
          <t>P172|無印</t>
        </is>
      </c>
      <c r="V1198" s="42" t="inlineStr">
        <is>
          <t>同一価格表・前頁凡例を継承</t>
        </is>
      </c>
    </row>
    <row r="1199">
      <c r="A1199" s="43" t="inlineStr">
        <is>
          <t>SZ-SL-001196</t>
        </is>
      </c>
      <c r="B1199" s="43" t="inlineStr">
        <is>
          <t>SER-LIX-SAMOSL</t>
        </is>
      </c>
      <c r="C1199" s="43" t="inlineStr">
        <is>
          <t>WT-SL-FIX-IN</t>
        </is>
      </c>
      <c r="D1199" s="43" t="inlineStr">
        <is>
          <t>FIX窓（内押縁タイプ）</t>
        </is>
      </c>
      <c r="E1199" s="43" t="n"/>
      <c r="F1199" s="43" t="inlineStr">
        <is>
          <t>在来・204</t>
        </is>
      </c>
      <c r="G1199" s="43" t="inlineStr">
        <is>
          <t>041038</t>
        </is>
      </c>
      <c r="H1199" s="43" t="inlineStr">
        <is>
          <t>041</t>
        </is>
      </c>
      <c r="I1199" s="43" t="inlineStr">
        <is>
          <t>038</t>
        </is>
      </c>
      <c r="J1199" s="222" t="n">
        <v>450</v>
      </c>
      <c r="K1199" s="222" t="n">
        <v>450</v>
      </c>
      <c r="L1199" s="43" t="inlineStr">
        <is>
          <t>在来・204｜マド③</t>
        </is>
      </c>
      <c r="M1199" s="178" t="b">
        <v>1</v>
      </c>
      <c r="N1199" s="43" t="inlineStr">
        <is>
          <t>カタログ規格確認済み</t>
        </is>
      </c>
      <c r="O1199" s="222" t="n">
        <v>175</v>
      </c>
      <c r="P1199" s="222" t="n">
        <v>173</v>
      </c>
      <c r="Q1199" s="43" t="inlineStr">
        <is>
          <t>202604_LIXIL_サーモスＬ_業務用資料集_完成品価格表.pdf</t>
        </is>
      </c>
      <c r="R1199" s="43" t="n"/>
      <c r="S1199" s="42" t="inlineStr">
        <is>
          <t>無印</t>
        </is>
      </c>
      <c r="T1199" s="42" t="n">
        <v>172</v>
      </c>
      <c r="U1199" s="42" t="inlineStr">
        <is>
          <t>P172|無印</t>
        </is>
      </c>
      <c r="V1199" s="42" t="inlineStr">
        <is>
          <t>同一価格表・前頁凡例を継承</t>
        </is>
      </c>
    </row>
    <row r="1200">
      <c r="A1200" s="43" t="inlineStr">
        <is>
          <t>SZ-SL-001197</t>
        </is>
      </c>
      <c r="B1200" s="43" t="inlineStr">
        <is>
          <t>SER-LIX-SAMOSL</t>
        </is>
      </c>
      <c r="C1200" s="43" t="inlineStr">
        <is>
          <t>WT-SL-FIX-IN</t>
        </is>
      </c>
      <c r="D1200" s="43" t="inlineStr">
        <is>
          <t>FIX窓（内押縁タイプ）</t>
        </is>
      </c>
      <c r="E1200" s="43" t="n"/>
      <c r="F1200" s="43" t="inlineStr">
        <is>
          <t>在来・204</t>
        </is>
      </c>
      <c r="G1200" s="43" t="inlineStr">
        <is>
          <t>06005</t>
        </is>
      </c>
      <c r="H1200" s="43" t="inlineStr">
        <is>
          <t>060</t>
        </is>
      </c>
      <c r="I1200" s="43" t="inlineStr">
        <is>
          <t>05</t>
        </is>
      </c>
      <c r="J1200" s="222" t="n">
        <v>640</v>
      </c>
      <c r="K1200" s="222" t="n">
        <v>570</v>
      </c>
      <c r="L1200" s="43" t="inlineStr">
        <is>
          <t>在来・204｜マド③</t>
        </is>
      </c>
      <c r="M1200" s="178" t="b">
        <v>1</v>
      </c>
      <c r="N1200" s="43" t="inlineStr">
        <is>
          <t>カタログ規格確認済み</t>
        </is>
      </c>
      <c r="O1200" s="222" t="n">
        <v>175</v>
      </c>
      <c r="P1200" s="222" t="n">
        <v>173</v>
      </c>
      <c r="Q1200" s="43" t="inlineStr">
        <is>
          <t>202604_LIXIL_サーモスＬ_業務用資料集_完成品価格表.pdf</t>
        </is>
      </c>
      <c r="R1200" s="43" t="n"/>
      <c r="S1200" s="42" t="inlineStr">
        <is>
          <t>無印</t>
        </is>
      </c>
      <c r="T1200" s="42" t="n">
        <v>172</v>
      </c>
      <c r="U1200" s="42" t="inlineStr">
        <is>
          <t>P172|無印</t>
        </is>
      </c>
      <c r="V1200" s="42" t="inlineStr">
        <is>
          <t>同一価格表・前頁凡例を継承</t>
        </is>
      </c>
    </row>
    <row r="1201">
      <c r="A1201" s="43" t="inlineStr">
        <is>
          <t>SZ-SL-001198</t>
        </is>
      </c>
      <c r="B1201" s="43" t="inlineStr">
        <is>
          <t>SER-LIX-SAMOSL</t>
        </is>
      </c>
      <c r="C1201" s="43" t="inlineStr">
        <is>
          <t>WT-SL-FIX-IN</t>
        </is>
      </c>
      <c r="D1201" s="43" t="inlineStr">
        <is>
          <t>FIX窓（内押縁タイプ）</t>
        </is>
      </c>
      <c r="E1201" s="43" t="n"/>
      <c r="F1201" s="43" t="inlineStr">
        <is>
          <t>在来・204</t>
        </is>
      </c>
      <c r="G1201" s="43" t="inlineStr">
        <is>
          <t>060057</t>
        </is>
      </c>
      <c r="H1201" s="43" t="inlineStr">
        <is>
          <t>060</t>
        </is>
      </c>
      <c r="I1201" s="43" t="inlineStr">
        <is>
          <t>057</t>
        </is>
      </c>
      <c r="J1201" s="222" t="n">
        <v>640</v>
      </c>
      <c r="K1201" s="222" t="n">
        <v>640</v>
      </c>
      <c r="L1201" s="43" t="inlineStr">
        <is>
          <t>在来・204｜マド③</t>
        </is>
      </c>
      <c r="M1201" s="178" t="b">
        <v>1</v>
      </c>
      <c r="N1201" s="43" t="inlineStr">
        <is>
          <t>カタログ規格確認済み</t>
        </is>
      </c>
      <c r="O1201" s="222" t="n">
        <v>175</v>
      </c>
      <c r="P1201" s="222" t="n">
        <v>173</v>
      </c>
      <c r="Q1201" s="43" t="inlineStr">
        <is>
          <t>202604_LIXIL_サーモスＬ_業務用資料集_完成品価格表.pdf</t>
        </is>
      </c>
      <c r="R1201" s="43" t="n"/>
      <c r="S1201" s="42" t="inlineStr">
        <is>
          <t>無印</t>
        </is>
      </c>
      <c r="T1201" s="42" t="n">
        <v>172</v>
      </c>
      <c r="U1201" s="42" t="inlineStr">
        <is>
          <t>P172|無印</t>
        </is>
      </c>
      <c r="V1201" s="42" t="inlineStr">
        <is>
          <t>同一価格表・前頁凡例を継承</t>
        </is>
      </c>
    </row>
    <row r="1202">
      <c r="A1202" s="43" t="inlineStr">
        <is>
          <t>SZ-SL-001199</t>
        </is>
      </c>
      <c r="B1202" s="43" t="inlineStr">
        <is>
          <t>SER-LIX-SAMOSL</t>
        </is>
      </c>
      <c r="C1202" s="43" t="inlineStr">
        <is>
          <t>WT-SL-FIX-IN</t>
        </is>
      </c>
      <c r="D1202" s="43" t="inlineStr">
        <is>
          <t>FIX窓（内押縁タイプ）</t>
        </is>
      </c>
      <c r="E1202" s="43" t="n"/>
      <c r="F1202" s="43" t="inlineStr">
        <is>
          <t>在来・204</t>
        </is>
      </c>
      <c r="G1202" s="43" t="inlineStr">
        <is>
          <t>06007</t>
        </is>
      </c>
      <c r="H1202" s="43" t="inlineStr">
        <is>
          <t>060</t>
        </is>
      </c>
      <c r="I1202" s="43" t="inlineStr">
        <is>
          <t>07</t>
        </is>
      </c>
      <c r="J1202" s="222" t="n">
        <v>640</v>
      </c>
      <c r="K1202" s="222" t="n">
        <v>770</v>
      </c>
      <c r="L1202" s="43" t="inlineStr">
        <is>
          <t>在来・204｜マド③</t>
        </is>
      </c>
      <c r="M1202" s="178" t="b">
        <v>1</v>
      </c>
      <c r="N1202" s="43" t="inlineStr">
        <is>
          <t>カタログ規格確認済み</t>
        </is>
      </c>
      <c r="O1202" s="222" t="n">
        <v>175</v>
      </c>
      <c r="P1202" s="222" t="n">
        <v>173</v>
      </c>
      <c r="Q1202" s="43" t="inlineStr">
        <is>
          <t>202604_LIXIL_サーモスＬ_業務用資料集_完成品価格表.pdf</t>
        </is>
      </c>
      <c r="R1202" s="43" t="n"/>
      <c r="S1202" s="42" t="inlineStr">
        <is>
          <t>無印</t>
        </is>
      </c>
      <c r="T1202" s="42" t="n">
        <v>172</v>
      </c>
      <c r="U1202" s="42" t="inlineStr">
        <is>
          <t>P172|無印</t>
        </is>
      </c>
      <c r="V1202" s="42" t="inlineStr">
        <is>
          <t>同一価格表・前頁凡例を継承</t>
        </is>
      </c>
    </row>
    <row r="1203">
      <c r="A1203" s="43" t="inlineStr">
        <is>
          <t>SZ-SL-001200</t>
        </is>
      </c>
      <c r="B1203" s="43" t="inlineStr">
        <is>
          <t>SER-LIX-SAMOSL</t>
        </is>
      </c>
      <c r="C1203" s="43" t="inlineStr">
        <is>
          <t>WT-SL-FIX-IN</t>
        </is>
      </c>
      <c r="D1203" s="43" t="inlineStr">
        <is>
          <t>FIX窓（内押縁タイプ）</t>
        </is>
      </c>
      <c r="E1203" s="43" t="n"/>
      <c r="F1203" s="43" t="inlineStr">
        <is>
          <t>在来・204</t>
        </is>
      </c>
      <c r="G1203" s="43" t="inlineStr">
        <is>
          <t>06905</t>
        </is>
      </c>
      <c r="H1203" s="43" t="inlineStr">
        <is>
          <t>069</t>
        </is>
      </c>
      <c r="I1203" s="43" t="inlineStr">
        <is>
          <t>05</t>
        </is>
      </c>
      <c r="J1203" s="222" t="n">
        <v>730</v>
      </c>
      <c r="K1203" s="222" t="n">
        <v>570</v>
      </c>
      <c r="L1203" s="43" t="inlineStr">
        <is>
          <t>在来・204｜マド④</t>
        </is>
      </c>
      <c r="M1203" s="178" t="b">
        <v>1</v>
      </c>
      <c r="N1203" s="43" t="inlineStr">
        <is>
          <t>カタログ規格確認済み</t>
        </is>
      </c>
      <c r="O1203" s="222" t="n">
        <v>176</v>
      </c>
      <c r="P1203" s="222" t="n">
        <v>174</v>
      </c>
      <c r="Q1203" s="43" t="inlineStr">
        <is>
          <t>202604_LIXIL_サーモスＬ_業務用資料集_完成品価格表.pdf</t>
        </is>
      </c>
      <c r="R1203" s="43" t="n"/>
      <c r="S1203" s="42" t="inlineStr">
        <is>
          <t>無印</t>
        </is>
      </c>
      <c r="T1203" s="42" t="n">
        <v>174</v>
      </c>
      <c r="U1203" s="42" t="inlineStr">
        <is>
          <t>P174|無印</t>
        </is>
      </c>
      <c r="V1203" s="42" t="inlineStr">
        <is>
          <t>同頁凡例へ直接連動</t>
        </is>
      </c>
    </row>
    <row r="1204">
      <c r="A1204" s="43" t="inlineStr">
        <is>
          <t>SZ-SL-001201</t>
        </is>
      </c>
      <c r="B1204" s="43" t="inlineStr">
        <is>
          <t>SER-LIX-SAMOSL</t>
        </is>
      </c>
      <c r="C1204" s="43" t="inlineStr">
        <is>
          <t>WT-SL-FIX-IN</t>
        </is>
      </c>
      <c r="D1204" s="43" t="inlineStr">
        <is>
          <t>FIX窓（内押縁タイプ）</t>
        </is>
      </c>
      <c r="E1204" s="43" t="n"/>
      <c r="F1204" s="43" t="inlineStr">
        <is>
          <t>在来・204</t>
        </is>
      </c>
      <c r="G1204" s="43" t="inlineStr">
        <is>
          <t>06907</t>
        </is>
      </c>
      <c r="H1204" s="43" t="inlineStr">
        <is>
          <t>069</t>
        </is>
      </c>
      <c r="I1204" s="43" t="inlineStr">
        <is>
          <t>07</t>
        </is>
      </c>
      <c r="J1204" s="222" t="n">
        <v>730</v>
      </c>
      <c r="K1204" s="222" t="n">
        <v>770</v>
      </c>
      <c r="L1204" s="43" t="inlineStr">
        <is>
          <t>在来・204｜マド④</t>
        </is>
      </c>
      <c r="M1204" s="178" t="b">
        <v>1</v>
      </c>
      <c r="N1204" s="43" t="inlineStr">
        <is>
          <t>カタログ規格確認済み</t>
        </is>
      </c>
      <c r="O1204" s="222" t="n">
        <v>176</v>
      </c>
      <c r="P1204" s="222" t="n">
        <v>174</v>
      </c>
      <c r="Q1204" s="43" t="inlineStr">
        <is>
          <t>202604_LIXIL_サーモスＬ_業務用資料集_完成品価格表.pdf</t>
        </is>
      </c>
      <c r="R1204" s="43" t="n"/>
      <c r="S1204" s="42" t="inlineStr">
        <is>
          <t>無印</t>
        </is>
      </c>
      <c r="T1204" s="42" t="n">
        <v>174</v>
      </c>
      <c r="U1204" s="42" t="inlineStr">
        <is>
          <t>P174|無印</t>
        </is>
      </c>
      <c r="V1204" s="42" t="inlineStr">
        <is>
          <t>同頁凡例へ直接連動</t>
        </is>
      </c>
    </row>
    <row r="1205">
      <c r="A1205" s="43" t="inlineStr">
        <is>
          <t>SZ-SL-001202</t>
        </is>
      </c>
      <c r="B1205" s="43" t="inlineStr">
        <is>
          <t>SER-LIX-SAMOSL</t>
        </is>
      </c>
      <c r="C1205" s="43" t="inlineStr">
        <is>
          <t>WT-SL-FIX-IN</t>
        </is>
      </c>
      <c r="D1205" s="43" t="inlineStr">
        <is>
          <t>FIX窓（内押縁タイプ）</t>
        </is>
      </c>
      <c r="E1205" s="43" t="n"/>
      <c r="F1205" s="43" t="inlineStr">
        <is>
          <t>在来・204</t>
        </is>
      </c>
      <c r="G1205" s="43" t="inlineStr">
        <is>
          <t>07405</t>
        </is>
      </c>
      <c r="H1205" s="43" t="inlineStr">
        <is>
          <t>074</t>
        </is>
      </c>
      <c r="I1205" s="43" t="inlineStr">
        <is>
          <t>05</t>
        </is>
      </c>
      <c r="J1205" s="222" t="n">
        <v>780</v>
      </c>
      <c r="K1205" s="222" t="n">
        <v>570</v>
      </c>
      <c r="L1205" s="43" t="inlineStr">
        <is>
          <t>在来・204｜マド④</t>
        </is>
      </c>
      <c r="M1205" s="178" t="b">
        <v>1</v>
      </c>
      <c r="N1205" s="43" t="inlineStr">
        <is>
          <t>カタログ規格確認済み</t>
        </is>
      </c>
      <c r="O1205" s="222" t="n">
        <v>176</v>
      </c>
      <c r="P1205" s="222" t="n">
        <v>174</v>
      </c>
      <c r="Q1205" s="43" t="inlineStr">
        <is>
          <t>202604_LIXIL_サーモスＬ_業務用資料集_完成品価格表.pdf</t>
        </is>
      </c>
      <c r="R1205" s="43" t="n"/>
      <c r="S1205" s="42" t="inlineStr">
        <is>
          <t>無印</t>
        </is>
      </c>
      <c r="T1205" s="42" t="n">
        <v>174</v>
      </c>
      <c r="U1205" s="42" t="inlineStr">
        <is>
          <t>P174|無印</t>
        </is>
      </c>
      <c r="V1205" s="42" t="inlineStr">
        <is>
          <t>同頁凡例へ直接連動</t>
        </is>
      </c>
    </row>
    <row r="1206">
      <c r="A1206" s="43" t="inlineStr">
        <is>
          <t>SZ-SL-001203</t>
        </is>
      </c>
      <c r="B1206" s="43" t="inlineStr">
        <is>
          <t>SER-LIX-SAMOSL</t>
        </is>
      </c>
      <c r="C1206" s="43" t="inlineStr">
        <is>
          <t>WT-SL-FIX-IN</t>
        </is>
      </c>
      <c r="D1206" s="43" t="inlineStr">
        <is>
          <t>FIX窓（内押縁タイプ）</t>
        </is>
      </c>
      <c r="E1206" s="43" t="n"/>
      <c r="F1206" s="43" t="inlineStr">
        <is>
          <t>在来・204</t>
        </is>
      </c>
      <c r="G1206" s="43" t="inlineStr">
        <is>
          <t>07407</t>
        </is>
      </c>
      <c r="H1206" s="43" t="inlineStr">
        <is>
          <t>074</t>
        </is>
      </c>
      <c r="I1206" s="43" t="inlineStr">
        <is>
          <t>07</t>
        </is>
      </c>
      <c r="J1206" s="222" t="n">
        <v>780</v>
      </c>
      <c r="K1206" s="222" t="n">
        <v>770</v>
      </c>
      <c r="L1206" s="43" t="inlineStr">
        <is>
          <t>在来・204｜マド④</t>
        </is>
      </c>
      <c r="M1206" s="178" t="b">
        <v>1</v>
      </c>
      <c r="N1206" s="43" t="inlineStr">
        <is>
          <t>カタログ規格確認済み</t>
        </is>
      </c>
      <c r="O1206" s="222" t="n">
        <v>176</v>
      </c>
      <c r="P1206" s="222" t="n">
        <v>174</v>
      </c>
      <c r="Q1206" s="43" t="inlineStr">
        <is>
          <t>202604_LIXIL_サーモスＬ_業務用資料集_完成品価格表.pdf</t>
        </is>
      </c>
      <c r="R1206" s="43" t="n"/>
      <c r="S1206" s="42" t="inlineStr">
        <is>
          <t>無印</t>
        </is>
      </c>
      <c r="T1206" s="42" t="n">
        <v>174</v>
      </c>
      <c r="U1206" s="42" t="inlineStr">
        <is>
          <t>P174|無印</t>
        </is>
      </c>
      <c r="V1206" s="42" t="inlineStr">
        <is>
          <t>同頁凡例へ直接連動</t>
        </is>
      </c>
    </row>
    <row r="1207">
      <c r="A1207" s="43" t="inlineStr">
        <is>
          <t>SZ-SL-001204</t>
        </is>
      </c>
      <c r="B1207" s="43" t="inlineStr">
        <is>
          <t>SER-LIX-SAMOSL</t>
        </is>
      </c>
      <c r="C1207" s="43" t="inlineStr">
        <is>
          <t>WT-SL-FIX-IN</t>
        </is>
      </c>
      <c r="D1207" s="43" t="inlineStr">
        <is>
          <t>FIX窓（内押縁タイプ）</t>
        </is>
      </c>
      <c r="E1207" s="43" t="n"/>
      <c r="F1207" s="43" t="inlineStr">
        <is>
          <t>在来・204</t>
        </is>
      </c>
      <c r="G1207" s="43" t="inlineStr">
        <is>
          <t>11905</t>
        </is>
      </c>
      <c r="H1207" s="43" t="inlineStr">
        <is>
          <t>119</t>
        </is>
      </c>
      <c r="I1207" s="43" t="inlineStr">
        <is>
          <t>05</t>
        </is>
      </c>
      <c r="J1207" s="222" t="n">
        <v>1235</v>
      </c>
      <c r="K1207" s="222" t="n">
        <v>570</v>
      </c>
      <c r="L1207" s="43" t="inlineStr">
        <is>
          <t>在来・204｜マド④</t>
        </is>
      </c>
      <c r="M1207" s="178" t="b">
        <v>1</v>
      </c>
      <c r="N1207" s="43" t="inlineStr">
        <is>
          <t>カタログ規格確認済み</t>
        </is>
      </c>
      <c r="O1207" s="222" t="n">
        <v>177</v>
      </c>
      <c r="P1207" s="222" t="n">
        <v>175</v>
      </c>
      <c r="Q1207" s="43" t="inlineStr">
        <is>
          <t>202604_LIXIL_サーモスＬ_業務用資料集_完成品価格表.pdf</t>
        </is>
      </c>
      <c r="R1207" s="43" t="n"/>
      <c r="S1207" s="42" t="inlineStr">
        <is>
          <t>無印</t>
        </is>
      </c>
      <c r="T1207" s="42" t="n">
        <v>174</v>
      </c>
      <c r="U1207" s="42" t="inlineStr">
        <is>
          <t>P174|無印</t>
        </is>
      </c>
      <c r="V1207" s="42" t="inlineStr">
        <is>
          <t>同一価格表・前頁凡例を継承</t>
        </is>
      </c>
    </row>
    <row r="1208">
      <c r="A1208" s="43" t="inlineStr">
        <is>
          <t>SZ-SL-001205</t>
        </is>
      </c>
      <c r="B1208" s="43" t="inlineStr">
        <is>
          <t>SER-LIX-SAMOSL</t>
        </is>
      </c>
      <c r="C1208" s="43" t="inlineStr">
        <is>
          <t>WT-SL-FIX-IN</t>
        </is>
      </c>
      <c r="D1208" s="43" t="inlineStr">
        <is>
          <t>FIX窓（内押縁タイプ）</t>
        </is>
      </c>
      <c r="E1208" s="43" t="n"/>
      <c r="F1208" s="43" t="inlineStr">
        <is>
          <t>在来・204</t>
        </is>
      </c>
      <c r="G1208" s="43" t="inlineStr">
        <is>
          <t>11907</t>
        </is>
      </c>
      <c r="H1208" s="43" t="inlineStr">
        <is>
          <t>119</t>
        </is>
      </c>
      <c r="I1208" s="43" t="inlineStr">
        <is>
          <t>07</t>
        </is>
      </c>
      <c r="J1208" s="222" t="n">
        <v>1235</v>
      </c>
      <c r="K1208" s="222" t="n">
        <v>770</v>
      </c>
      <c r="L1208" s="43" t="inlineStr">
        <is>
          <t>在来・204｜マド④</t>
        </is>
      </c>
      <c r="M1208" s="178" t="b">
        <v>1</v>
      </c>
      <c r="N1208" s="43" t="inlineStr">
        <is>
          <t>カタログ規格確認済み</t>
        </is>
      </c>
      <c r="O1208" s="222" t="n">
        <v>177</v>
      </c>
      <c r="P1208" s="222" t="n">
        <v>175</v>
      </c>
      <c r="Q1208" s="43" t="inlineStr">
        <is>
          <t>202604_LIXIL_サーモスＬ_業務用資料集_完成品価格表.pdf</t>
        </is>
      </c>
      <c r="R1208" s="43" t="n"/>
      <c r="S1208" s="42" t="inlineStr">
        <is>
          <t>無印</t>
        </is>
      </c>
      <c r="T1208" s="42" t="n">
        <v>174</v>
      </c>
      <c r="U1208" s="42" t="inlineStr">
        <is>
          <t>P174|無印</t>
        </is>
      </c>
      <c r="V1208" s="42" t="inlineStr">
        <is>
          <t>同一価格表・前頁凡例を継承</t>
        </is>
      </c>
    </row>
    <row r="1209">
      <c r="A1209" s="43" t="inlineStr">
        <is>
          <t>SZ-SL-001206</t>
        </is>
      </c>
      <c r="B1209" s="43" t="inlineStr">
        <is>
          <t>SER-LIX-SAMOSL</t>
        </is>
      </c>
      <c r="C1209" s="43" t="inlineStr">
        <is>
          <t>WT-SL-FIX-IN</t>
        </is>
      </c>
      <c r="D1209" s="43" t="inlineStr">
        <is>
          <t>FIX窓（内押縁タイプ）</t>
        </is>
      </c>
      <c r="E1209" s="43" t="n"/>
      <c r="F1209" s="43" t="inlineStr">
        <is>
          <t>在来・204</t>
        </is>
      </c>
      <c r="G1209" s="43" t="inlineStr">
        <is>
          <t>16005</t>
        </is>
      </c>
      <c r="H1209" s="43" t="inlineStr">
        <is>
          <t>160</t>
        </is>
      </c>
      <c r="I1209" s="43" t="inlineStr">
        <is>
          <t>05</t>
        </is>
      </c>
      <c r="J1209" s="222" t="n">
        <v>1640</v>
      </c>
      <c r="K1209" s="222" t="n">
        <v>570</v>
      </c>
      <c r="L1209" s="43" t="inlineStr">
        <is>
          <t>在来・204｜マド④</t>
        </is>
      </c>
      <c r="M1209" s="178" t="b">
        <v>1</v>
      </c>
      <c r="N1209" s="43" t="inlineStr">
        <is>
          <t>カタログ規格確認済み</t>
        </is>
      </c>
      <c r="O1209" s="222" t="n">
        <v>177</v>
      </c>
      <c r="P1209" s="222" t="n">
        <v>175</v>
      </c>
      <c r="Q1209" s="43" t="inlineStr">
        <is>
          <t>202604_LIXIL_サーモスＬ_業務用資料集_完成品価格表.pdf</t>
        </is>
      </c>
      <c r="R1209" s="43" t="n"/>
      <c r="S1209" s="42" t="inlineStr">
        <is>
          <t>無印</t>
        </is>
      </c>
      <c r="T1209" s="42" t="n">
        <v>174</v>
      </c>
      <c r="U1209" s="42" t="inlineStr">
        <is>
          <t>P174|無印</t>
        </is>
      </c>
      <c r="V1209" s="42" t="inlineStr">
        <is>
          <t>同一価格表・前頁凡例を継承</t>
        </is>
      </c>
    </row>
    <row r="1210">
      <c r="A1210" s="43" t="inlineStr">
        <is>
          <t>SZ-SL-001207</t>
        </is>
      </c>
      <c r="B1210" s="43" t="inlineStr">
        <is>
          <t>SER-LIX-SAMOSL</t>
        </is>
      </c>
      <c r="C1210" s="43" t="inlineStr">
        <is>
          <t>WT-SL-FIX-IN</t>
        </is>
      </c>
      <c r="D1210" s="43" t="inlineStr">
        <is>
          <t>FIX窓（内押縁タイプ）</t>
        </is>
      </c>
      <c r="E1210" s="43" t="n"/>
      <c r="F1210" s="43" t="inlineStr">
        <is>
          <t>在来・204</t>
        </is>
      </c>
      <c r="G1210" s="43" t="inlineStr">
        <is>
          <t>16505</t>
        </is>
      </c>
      <c r="H1210" s="43" t="inlineStr">
        <is>
          <t>165</t>
        </is>
      </c>
      <c r="I1210" s="43" t="inlineStr">
        <is>
          <t>05</t>
        </is>
      </c>
      <c r="J1210" s="222" t="n">
        <v>1690</v>
      </c>
      <c r="K1210" s="222" t="n">
        <v>570</v>
      </c>
      <c r="L1210" s="43" t="inlineStr">
        <is>
          <t>在来・204｜マド④</t>
        </is>
      </c>
      <c r="M1210" s="178" t="b">
        <v>1</v>
      </c>
      <c r="N1210" s="43" t="inlineStr">
        <is>
          <t>カタログ規格確認済み</t>
        </is>
      </c>
      <c r="O1210" s="222" t="n">
        <v>177</v>
      </c>
      <c r="P1210" s="222" t="n">
        <v>175</v>
      </c>
      <c r="Q1210" s="43" t="inlineStr">
        <is>
          <t>202604_LIXIL_サーモスＬ_業務用資料集_完成品価格表.pdf</t>
        </is>
      </c>
      <c r="R1210" s="43" t="n"/>
      <c r="S1210" s="42" t="inlineStr">
        <is>
          <t>無印</t>
        </is>
      </c>
      <c r="T1210" s="42" t="n">
        <v>174</v>
      </c>
      <c r="U1210" s="42" t="inlineStr">
        <is>
          <t>P174|無印</t>
        </is>
      </c>
      <c r="V1210" s="42" t="inlineStr">
        <is>
          <t>同一価格表・前頁凡例を継承</t>
        </is>
      </c>
    </row>
    <row r="1211">
      <c r="A1211" s="43" t="inlineStr">
        <is>
          <t>SZ-SL-001208</t>
        </is>
      </c>
      <c r="B1211" s="43" t="inlineStr">
        <is>
          <t>SER-LIX-SAMOSL</t>
        </is>
      </c>
      <c r="C1211" s="43" t="inlineStr">
        <is>
          <t>WT-SL-FIX-IN</t>
        </is>
      </c>
      <c r="D1211" s="43" t="inlineStr">
        <is>
          <t>FIX窓（内押縁タイプ）</t>
        </is>
      </c>
      <c r="E1211" s="43" t="n"/>
      <c r="F1211" s="43" t="inlineStr">
        <is>
          <t>在来・204</t>
        </is>
      </c>
      <c r="G1211" s="43" t="inlineStr">
        <is>
          <t>16507</t>
        </is>
      </c>
      <c r="H1211" s="43" t="inlineStr">
        <is>
          <t>165</t>
        </is>
      </c>
      <c r="I1211" s="43" t="inlineStr">
        <is>
          <t>07</t>
        </is>
      </c>
      <c r="J1211" s="222" t="n">
        <v>1690</v>
      </c>
      <c r="K1211" s="222" t="n">
        <v>770</v>
      </c>
      <c r="L1211" s="43" t="inlineStr">
        <is>
          <t>在来・204｜マド④</t>
        </is>
      </c>
      <c r="M1211" s="178" t="b">
        <v>1</v>
      </c>
      <c r="N1211" s="43" t="inlineStr">
        <is>
          <t>カタログ規格確認済み</t>
        </is>
      </c>
      <c r="O1211" s="222" t="n">
        <v>177</v>
      </c>
      <c r="P1211" s="222" t="n">
        <v>175</v>
      </c>
      <c r="Q1211" s="43" t="inlineStr">
        <is>
          <t>202604_LIXIL_サーモスＬ_業務用資料集_完成品価格表.pdf</t>
        </is>
      </c>
      <c r="R1211" s="43" t="n"/>
      <c r="S1211" s="42" t="inlineStr">
        <is>
          <t>★</t>
        </is>
      </c>
      <c r="T1211" s="42" t="n">
        <v>174</v>
      </c>
      <c r="U1211" s="42" t="inlineStr">
        <is>
          <t>P174|★</t>
        </is>
      </c>
      <c r="V1211" s="42" t="inlineStr">
        <is>
          <t>同一価格表・前頁凡例を継承</t>
        </is>
      </c>
    </row>
    <row r="1212">
      <c r="A1212" s="43" t="inlineStr">
        <is>
          <t>SZ-SL-001209</t>
        </is>
      </c>
      <c r="B1212" s="43" t="inlineStr">
        <is>
          <t>SER-LIX-SAMOSL</t>
        </is>
      </c>
      <c r="C1212" s="43" t="inlineStr">
        <is>
          <t>WT-SL-FIX-IN</t>
        </is>
      </c>
      <c r="D1212" s="43" t="inlineStr">
        <is>
          <t>FIX窓（内押縁タイプ）</t>
        </is>
      </c>
      <c r="E1212" s="43" t="n"/>
      <c r="F1212" s="43" t="inlineStr">
        <is>
          <t>在来・204</t>
        </is>
      </c>
      <c r="G1212" s="43" t="inlineStr">
        <is>
          <t>01609</t>
        </is>
      </c>
      <c r="H1212" s="43" t="inlineStr">
        <is>
          <t>016</t>
        </is>
      </c>
      <c r="I1212" s="43" t="inlineStr">
        <is>
          <t>09</t>
        </is>
      </c>
      <c r="J1212" s="222" t="n">
        <v>200</v>
      </c>
      <c r="K1212" s="222" t="n">
        <v>970</v>
      </c>
      <c r="L1212" s="43" t="inlineStr">
        <is>
          <t>在来・204｜マド</t>
        </is>
      </c>
      <c r="M1212" s="178" t="b">
        <v>1</v>
      </c>
      <c r="N1212" s="43" t="inlineStr">
        <is>
          <t>カタログ規格確認済み</t>
        </is>
      </c>
      <c r="O1212" s="222" t="n">
        <v>178</v>
      </c>
      <c r="P1212" s="222" t="n">
        <v>176</v>
      </c>
      <c r="Q1212" s="43" t="inlineStr">
        <is>
          <t>202604_LIXIL_サーモスＬ_業務用資料集_完成品価格表.pdf</t>
        </is>
      </c>
      <c r="R1212" s="43" t="n"/>
      <c r="S1212" s="42" t="inlineStr">
        <is>
          <t>無印</t>
        </is>
      </c>
      <c r="T1212" s="42" t="n">
        <v>177</v>
      </c>
      <c r="U1212" s="42" t="inlineStr">
        <is>
          <t>P177|無印</t>
        </is>
      </c>
      <c r="V1212" s="42" t="inlineStr">
        <is>
          <t>同一価格表・次頁凡例を継承</t>
        </is>
      </c>
    </row>
    <row r="1213">
      <c r="A1213" s="43" t="inlineStr">
        <is>
          <t>SZ-SL-001210</t>
        </is>
      </c>
      <c r="B1213" s="43" t="inlineStr">
        <is>
          <t>SER-LIX-SAMOSL</t>
        </is>
      </c>
      <c r="C1213" s="43" t="inlineStr">
        <is>
          <t>WT-SL-FIX-IN</t>
        </is>
      </c>
      <c r="D1213" s="43" t="inlineStr">
        <is>
          <t>FIX窓（内押縁タイプ）</t>
        </is>
      </c>
      <c r="E1213" s="43" t="n"/>
      <c r="F1213" s="43" t="inlineStr">
        <is>
          <t>在来・204</t>
        </is>
      </c>
      <c r="G1213" s="43" t="inlineStr">
        <is>
          <t>01611</t>
        </is>
      </c>
      <c r="H1213" s="43" t="inlineStr">
        <is>
          <t>016</t>
        </is>
      </c>
      <c r="I1213" s="43" t="inlineStr">
        <is>
          <t>11</t>
        </is>
      </c>
      <c r="J1213" s="222" t="n">
        <v>200</v>
      </c>
      <c r="K1213" s="222" t="n">
        <v>1170</v>
      </c>
      <c r="L1213" s="43" t="inlineStr">
        <is>
          <t>在来・204｜マド</t>
        </is>
      </c>
      <c r="M1213" s="178" t="b">
        <v>1</v>
      </c>
      <c r="N1213" s="43" t="inlineStr">
        <is>
          <t>カタログ規格確認済み</t>
        </is>
      </c>
      <c r="O1213" s="222" t="n">
        <v>178</v>
      </c>
      <c r="P1213" s="222" t="n">
        <v>176</v>
      </c>
      <c r="Q1213" s="43" t="inlineStr">
        <is>
          <t>202604_LIXIL_サーモスＬ_業務用資料集_完成品価格表.pdf</t>
        </is>
      </c>
      <c r="R1213" s="43" t="n"/>
      <c r="S1213" s="42" t="inlineStr">
        <is>
          <t>無印</t>
        </is>
      </c>
      <c r="T1213" s="42" t="n">
        <v>177</v>
      </c>
      <c r="U1213" s="42" t="inlineStr">
        <is>
          <t>P177|無印</t>
        </is>
      </c>
      <c r="V1213" s="42" t="inlineStr">
        <is>
          <t>同一価格表・次頁凡例を継承</t>
        </is>
      </c>
    </row>
    <row r="1214">
      <c r="A1214" s="43" t="inlineStr">
        <is>
          <t>SZ-SL-001211</t>
        </is>
      </c>
      <c r="B1214" s="43" t="inlineStr">
        <is>
          <t>SER-LIX-SAMOSL</t>
        </is>
      </c>
      <c r="C1214" s="43" t="inlineStr">
        <is>
          <t>WT-SL-FIX-IN</t>
        </is>
      </c>
      <c r="D1214" s="43" t="inlineStr">
        <is>
          <t>FIX窓（内押縁タイプ）</t>
        </is>
      </c>
      <c r="E1214" s="43" t="n"/>
      <c r="F1214" s="43" t="inlineStr">
        <is>
          <t>在来・204</t>
        </is>
      </c>
      <c r="G1214" s="43" t="inlineStr">
        <is>
          <t>01613</t>
        </is>
      </c>
      <c r="H1214" s="43" t="inlineStr">
        <is>
          <t>016</t>
        </is>
      </c>
      <c r="I1214" s="43" t="inlineStr">
        <is>
          <t>13</t>
        </is>
      </c>
      <c r="J1214" s="222" t="n">
        <v>200</v>
      </c>
      <c r="K1214" s="222" t="n">
        <v>1370</v>
      </c>
      <c r="L1214" s="43" t="inlineStr">
        <is>
          <t>在来・204｜マド</t>
        </is>
      </c>
      <c r="M1214" s="178" t="b">
        <v>1</v>
      </c>
      <c r="N1214" s="43" t="inlineStr">
        <is>
          <t>カタログ規格確認済み</t>
        </is>
      </c>
      <c r="O1214" s="222" t="n">
        <v>178</v>
      </c>
      <c r="P1214" s="222" t="n">
        <v>176</v>
      </c>
      <c r="Q1214" s="43" t="inlineStr">
        <is>
          <t>202604_LIXIL_サーモスＬ_業務用資料集_完成品価格表.pdf</t>
        </is>
      </c>
      <c r="R1214" s="43" t="n"/>
      <c r="S1214" s="42" t="inlineStr">
        <is>
          <t>無印</t>
        </is>
      </c>
      <c r="T1214" s="42" t="n">
        <v>177</v>
      </c>
      <c r="U1214" s="42" t="inlineStr">
        <is>
          <t>P177|無印</t>
        </is>
      </c>
      <c r="V1214" s="42" t="inlineStr">
        <is>
          <t>同一価格表・次頁凡例を継承</t>
        </is>
      </c>
    </row>
    <row r="1215">
      <c r="A1215" s="43" t="inlineStr">
        <is>
          <t>SZ-SL-001212</t>
        </is>
      </c>
      <c r="B1215" s="43" t="inlineStr">
        <is>
          <t>SER-LIX-SAMOSL</t>
        </is>
      </c>
      <c r="C1215" s="43" t="inlineStr">
        <is>
          <t>WT-SL-FIX-IN</t>
        </is>
      </c>
      <c r="D1215" s="43" t="inlineStr">
        <is>
          <t>FIX窓（内押縁タイプ）</t>
        </is>
      </c>
      <c r="E1215" s="43" t="n"/>
      <c r="F1215" s="43" t="inlineStr">
        <is>
          <t>在来・204</t>
        </is>
      </c>
      <c r="G1215" s="43" t="inlineStr">
        <is>
          <t>01615</t>
        </is>
      </c>
      <c r="H1215" s="43" t="inlineStr">
        <is>
          <t>016</t>
        </is>
      </c>
      <c r="I1215" s="43" t="inlineStr">
        <is>
          <t>15</t>
        </is>
      </c>
      <c r="J1215" s="222" t="n">
        <v>200</v>
      </c>
      <c r="K1215" s="222" t="n">
        <v>1570</v>
      </c>
      <c r="L1215" s="43" t="inlineStr">
        <is>
          <t>在来・204｜マド</t>
        </is>
      </c>
      <c r="M1215" s="178" t="b">
        <v>1</v>
      </c>
      <c r="N1215" s="43" t="inlineStr">
        <is>
          <t>カタログ規格確認済み</t>
        </is>
      </c>
      <c r="O1215" s="222" t="n">
        <v>178</v>
      </c>
      <c r="P1215" s="222" t="n">
        <v>176</v>
      </c>
      <c r="Q1215" s="43" t="inlineStr">
        <is>
          <t>202604_LIXIL_サーモスＬ_業務用資料集_完成品価格表.pdf</t>
        </is>
      </c>
      <c r="R1215" s="43" t="n"/>
      <c r="S1215" s="42" t="inlineStr">
        <is>
          <t>無印</t>
        </is>
      </c>
      <c r="T1215" s="42" t="n">
        <v>177</v>
      </c>
      <c r="U1215" s="42" t="inlineStr">
        <is>
          <t>P177|無印</t>
        </is>
      </c>
      <c r="V1215" s="42" t="inlineStr">
        <is>
          <t>同一価格表・次頁凡例を継承</t>
        </is>
      </c>
    </row>
    <row r="1216">
      <c r="A1216" s="43" t="inlineStr">
        <is>
          <t>SZ-SL-001213</t>
        </is>
      </c>
      <c r="B1216" s="43" t="inlineStr">
        <is>
          <t>SER-LIX-SAMOSL</t>
        </is>
      </c>
      <c r="C1216" s="43" t="inlineStr">
        <is>
          <t>WT-SL-FIX-IN</t>
        </is>
      </c>
      <c r="D1216" s="43" t="inlineStr">
        <is>
          <t>FIX窓（内押縁タイプ）</t>
        </is>
      </c>
      <c r="E1216" s="43" t="n"/>
      <c r="F1216" s="43" t="inlineStr">
        <is>
          <t>在来・204</t>
        </is>
      </c>
      <c r="G1216" s="43" t="inlineStr">
        <is>
          <t>02109</t>
        </is>
      </c>
      <c r="H1216" s="43" t="inlineStr">
        <is>
          <t>021</t>
        </is>
      </c>
      <c r="I1216" s="43" t="inlineStr">
        <is>
          <t>09</t>
        </is>
      </c>
      <c r="J1216" s="222" t="n">
        <v>250</v>
      </c>
      <c r="K1216" s="222" t="n">
        <v>970</v>
      </c>
      <c r="L1216" s="43" t="inlineStr">
        <is>
          <t>在来・204｜マド</t>
        </is>
      </c>
      <c r="M1216" s="178" t="b">
        <v>1</v>
      </c>
      <c r="N1216" s="43" t="inlineStr">
        <is>
          <t>カタログ規格確認済み</t>
        </is>
      </c>
      <c r="O1216" s="222" t="n">
        <v>178</v>
      </c>
      <c r="P1216" s="222" t="n">
        <v>176</v>
      </c>
      <c r="Q1216" s="43" t="inlineStr">
        <is>
          <t>202604_LIXIL_サーモスＬ_業務用資料集_完成品価格表.pdf</t>
        </is>
      </c>
      <c r="R1216" s="43" t="n"/>
      <c r="S1216" s="42" t="inlineStr">
        <is>
          <t>無印</t>
        </is>
      </c>
      <c r="T1216" s="42" t="n">
        <v>177</v>
      </c>
      <c r="U1216" s="42" t="inlineStr">
        <is>
          <t>P177|無印</t>
        </is>
      </c>
      <c r="V1216" s="42" t="inlineStr">
        <is>
          <t>同一価格表・次頁凡例を継承</t>
        </is>
      </c>
    </row>
    <row r="1217">
      <c r="A1217" s="43" t="inlineStr">
        <is>
          <t>SZ-SL-001214</t>
        </is>
      </c>
      <c r="B1217" s="43" t="inlineStr">
        <is>
          <t>SER-LIX-SAMOSL</t>
        </is>
      </c>
      <c r="C1217" s="43" t="inlineStr">
        <is>
          <t>WT-SL-FIX-IN</t>
        </is>
      </c>
      <c r="D1217" s="43" t="inlineStr">
        <is>
          <t>FIX窓（内押縁タイプ）</t>
        </is>
      </c>
      <c r="E1217" s="43" t="n"/>
      <c r="F1217" s="43" t="inlineStr">
        <is>
          <t>在来・204</t>
        </is>
      </c>
      <c r="G1217" s="43" t="inlineStr">
        <is>
          <t>02111</t>
        </is>
      </c>
      <c r="H1217" s="43" t="inlineStr">
        <is>
          <t>021</t>
        </is>
      </c>
      <c r="I1217" s="43" t="inlineStr">
        <is>
          <t>11</t>
        </is>
      </c>
      <c r="J1217" s="222" t="n">
        <v>250</v>
      </c>
      <c r="K1217" s="222" t="n">
        <v>1170</v>
      </c>
      <c r="L1217" s="43" t="inlineStr">
        <is>
          <t>在来・204｜マド</t>
        </is>
      </c>
      <c r="M1217" s="178" t="b">
        <v>1</v>
      </c>
      <c r="N1217" s="43" t="inlineStr">
        <is>
          <t>カタログ規格確認済み</t>
        </is>
      </c>
      <c r="O1217" s="222" t="n">
        <v>178</v>
      </c>
      <c r="P1217" s="222" t="n">
        <v>176</v>
      </c>
      <c r="Q1217" s="43" t="inlineStr">
        <is>
          <t>202604_LIXIL_サーモスＬ_業務用資料集_完成品価格表.pdf</t>
        </is>
      </c>
      <c r="R1217" s="43" t="n"/>
      <c r="S1217" s="42" t="inlineStr">
        <is>
          <t>無印</t>
        </is>
      </c>
      <c r="T1217" s="42" t="n">
        <v>177</v>
      </c>
      <c r="U1217" s="42" t="inlineStr">
        <is>
          <t>P177|無印</t>
        </is>
      </c>
      <c r="V1217" s="42" t="inlineStr">
        <is>
          <t>同一価格表・次頁凡例を継承</t>
        </is>
      </c>
    </row>
    <row r="1218">
      <c r="A1218" s="43" t="inlineStr">
        <is>
          <t>SZ-SL-001215</t>
        </is>
      </c>
      <c r="B1218" s="43" t="inlineStr">
        <is>
          <t>SER-LIX-SAMOSL</t>
        </is>
      </c>
      <c r="C1218" s="43" t="inlineStr">
        <is>
          <t>WT-SL-FIX-IN</t>
        </is>
      </c>
      <c r="D1218" s="43" t="inlineStr">
        <is>
          <t>FIX窓（内押縁タイプ）</t>
        </is>
      </c>
      <c r="E1218" s="43" t="n"/>
      <c r="F1218" s="43" t="inlineStr">
        <is>
          <t>在来・204</t>
        </is>
      </c>
      <c r="G1218" s="43" t="inlineStr">
        <is>
          <t>02113</t>
        </is>
      </c>
      <c r="H1218" s="43" t="inlineStr">
        <is>
          <t>021</t>
        </is>
      </c>
      <c r="I1218" s="43" t="inlineStr">
        <is>
          <t>13</t>
        </is>
      </c>
      <c r="J1218" s="222" t="n">
        <v>250</v>
      </c>
      <c r="K1218" s="222" t="n">
        <v>1370</v>
      </c>
      <c r="L1218" s="43" t="inlineStr">
        <is>
          <t>在来・204｜マド</t>
        </is>
      </c>
      <c r="M1218" s="178" t="b">
        <v>1</v>
      </c>
      <c r="N1218" s="43" t="inlineStr">
        <is>
          <t>カタログ規格確認済み</t>
        </is>
      </c>
      <c r="O1218" s="222" t="n">
        <v>178</v>
      </c>
      <c r="P1218" s="222" t="n">
        <v>176</v>
      </c>
      <c r="Q1218" s="43" t="inlineStr">
        <is>
          <t>202604_LIXIL_サーモスＬ_業務用資料集_完成品価格表.pdf</t>
        </is>
      </c>
      <c r="R1218" s="43" t="n"/>
      <c r="S1218" s="42" t="inlineStr">
        <is>
          <t>無印</t>
        </is>
      </c>
      <c r="T1218" s="42" t="n">
        <v>177</v>
      </c>
      <c r="U1218" s="42" t="inlineStr">
        <is>
          <t>P177|無印</t>
        </is>
      </c>
      <c r="V1218" s="42" t="inlineStr">
        <is>
          <t>同一価格表・次頁凡例を継承</t>
        </is>
      </c>
    </row>
    <row r="1219">
      <c r="A1219" s="43" t="inlineStr">
        <is>
          <t>SZ-SL-001216</t>
        </is>
      </c>
      <c r="B1219" s="43" t="inlineStr">
        <is>
          <t>SER-LIX-SAMOSL</t>
        </is>
      </c>
      <c r="C1219" s="43" t="inlineStr">
        <is>
          <t>WT-SL-FIX-IN</t>
        </is>
      </c>
      <c r="D1219" s="43" t="inlineStr">
        <is>
          <t>FIX窓（内押縁タイプ）</t>
        </is>
      </c>
      <c r="E1219" s="43" t="n"/>
      <c r="F1219" s="43" t="inlineStr">
        <is>
          <t>在来・204</t>
        </is>
      </c>
      <c r="G1219" s="43" t="inlineStr">
        <is>
          <t>02115</t>
        </is>
      </c>
      <c r="H1219" s="43" t="inlineStr">
        <is>
          <t>021</t>
        </is>
      </c>
      <c r="I1219" s="43" t="inlineStr">
        <is>
          <t>15</t>
        </is>
      </c>
      <c r="J1219" s="222" t="n">
        <v>250</v>
      </c>
      <c r="K1219" s="222" t="n">
        <v>1570</v>
      </c>
      <c r="L1219" s="43" t="inlineStr">
        <is>
          <t>在来・204｜マド</t>
        </is>
      </c>
      <c r="M1219" s="178" t="b">
        <v>1</v>
      </c>
      <c r="N1219" s="43" t="inlineStr">
        <is>
          <t>カタログ規格確認済み</t>
        </is>
      </c>
      <c r="O1219" s="222" t="n">
        <v>178</v>
      </c>
      <c r="P1219" s="222" t="n">
        <v>176</v>
      </c>
      <c r="Q1219" s="43" t="inlineStr">
        <is>
          <t>202604_LIXIL_サーモスＬ_業務用資料集_完成品価格表.pdf</t>
        </is>
      </c>
      <c r="R1219" s="43" t="n"/>
      <c r="S1219" s="42" t="inlineStr">
        <is>
          <t>無印</t>
        </is>
      </c>
      <c r="T1219" s="42" t="n">
        <v>177</v>
      </c>
      <c r="U1219" s="42" t="inlineStr">
        <is>
          <t>P177|無印</t>
        </is>
      </c>
      <c r="V1219" s="42" t="inlineStr">
        <is>
          <t>同一価格表・次頁凡例を継承</t>
        </is>
      </c>
    </row>
    <row r="1220">
      <c r="A1220" s="43" t="inlineStr">
        <is>
          <t>SZ-SL-001217</t>
        </is>
      </c>
      <c r="B1220" s="43" t="inlineStr">
        <is>
          <t>SER-LIX-SAMOSL</t>
        </is>
      </c>
      <c r="C1220" s="43" t="inlineStr">
        <is>
          <t>WT-SL-FIX-IN</t>
        </is>
      </c>
      <c r="D1220" s="43" t="inlineStr">
        <is>
          <t>FIX窓（内押縁タイプ）</t>
        </is>
      </c>
      <c r="E1220" s="43" t="n"/>
      <c r="F1220" s="43" t="inlineStr">
        <is>
          <t>在来・204</t>
        </is>
      </c>
      <c r="G1220" s="43" t="inlineStr">
        <is>
          <t>02309</t>
        </is>
      </c>
      <c r="H1220" s="43" t="inlineStr">
        <is>
          <t>023</t>
        </is>
      </c>
      <c r="I1220" s="43" t="inlineStr">
        <is>
          <t>09</t>
        </is>
      </c>
      <c r="J1220" s="222" t="n">
        <v>275</v>
      </c>
      <c r="K1220" s="222" t="n">
        <v>970</v>
      </c>
      <c r="L1220" s="43" t="inlineStr">
        <is>
          <t>在来・204｜マド</t>
        </is>
      </c>
      <c r="M1220" s="178" t="b">
        <v>1</v>
      </c>
      <c r="N1220" s="43" t="inlineStr">
        <is>
          <t>カタログ規格確認済み</t>
        </is>
      </c>
      <c r="O1220" s="222" t="n">
        <v>178</v>
      </c>
      <c r="P1220" s="222" t="n">
        <v>176</v>
      </c>
      <c r="Q1220" s="43" t="inlineStr">
        <is>
          <t>202604_LIXIL_サーモスＬ_業務用資料集_完成品価格表.pdf</t>
        </is>
      </c>
      <c r="R1220" s="43" t="n"/>
      <c r="S1220" s="42" t="inlineStr">
        <is>
          <t>無印</t>
        </is>
      </c>
      <c r="T1220" s="42" t="n">
        <v>177</v>
      </c>
      <c r="U1220" s="42" t="inlineStr">
        <is>
          <t>P177|無印</t>
        </is>
      </c>
      <c r="V1220" s="42" t="inlineStr">
        <is>
          <t>同一価格表・次頁凡例を継承</t>
        </is>
      </c>
    </row>
    <row r="1221">
      <c r="A1221" s="43" t="inlineStr">
        <is>
          <t>SZ-SL-001218</t>
        </is>
      </c>
      <c r="B1221" s="43" t="inlineStr">
        <is>
          <t>SER-LIX-SAMOSL</t>
        </is>
      </c>
      <c r="C1221" s="43" t="inlineStr">
        <is>
          <t>WT-SL-FIX-IN</t>
        </is>
      </c>
      <c r="D1221" s="43" t="inlineStr">
        <is>
          <t>FIX窓（内押縁タイプ）</t>
        </is>
      </c>
      <c r="E1221" s="43" t="n"/>
      <c r="F1221" s="43" t="inlineStr">
        <is>
          <t>在来・204</t>
        </is>
      </c>
      <c r="G1221" s="43" t="inlineStr">
        <is>
          <t>02311</t>
        </is>
      </c>
      <c r="H1221" s="43" t="inlineStr">
        <is>
          <t>023</t>
        </is>
      </c>
      <c r="I1221" s="43" t="inlineStr">
        <is>
          <t>11</t>
        </is>
      </c>
      <c r="J1221" s="222" t="n">
        <v>275</v>
      </c>
      <c r="K1221" s="222" t="n">
        <v>1170</v>
      </c>
      <c r="L1221" s="43" t="inlineStr">
        <is>
          <t>在来・204｜マド</t>
        </is>
      </c>
      <c r="M1221" s="178" t="b">
        <v>1</v>
      </c>
      <c r="N1221" s="43" t="inlineStr">
        <is>
          <t>カタログ規格確認済み</t>
        </is>
      </c>
      <c r="O1221" s="222" t="n">
        <v>178</v>
      </c>
      <c r="P1221" s="222" t="n">
        <v>176</v>
      </c>
      <c r="Q1221" s="43" t="inlineStr">
        <is>
          <t>202604_LIXIL_サーモスＬ_業務用資料集_完成品価格表.pdf</t>
        </is>
      </c>
      <c r="R1221" s="43" t="n"/>
      <c r="S1221" s="42" t="inlineStr">
        <is>
          <t>無印</t>
        </is>
      </c>
      <c r="T1221" s="42" t="n">
        <v>177</v>
      </c>
      <c r="U1221" s="42" t="inlineStr">
        <is>
          <t>P177|無印</t>
        </is>
      </c>
      <c r="V1221" s="42" t="inlineStr">
        <is>
          <t>同一価格表・次頁凡例を継承</t>
        </is>
      </c>
    </row>
    <row r="1222">
      <c r="A1222" s="43" t="inlineStr">
        <is>
          <t>SZ-SL-001219</t>
        </is>
      </c>
      <c r="B1222" s="43" t="inlineStr">
        <is>
          <t>SER-LIX-SAMOSL</t>
        </is>
      </c>
      <c r="C1222" s="43" t="inlineStr">
        <is>
          <t>WT-SL-FIX-IN</t>
        </is>
      </c>
      <c r="D1222" s="43" t="inlineStr">
        <is>
          <t>FIX窓（内押縁タイプ）</t>
        </is>
      </c>
      <c r="E1222" s="43" t="n"/>
      <c r="F1222" s="43" t="inlineStr">
        <is>
          <t>在来・204</t>
        </is>
      </c>
      <c r="G1222" s="43" t="inlineStr">
        <is>
          <t>02313</t>
        </is>
      </c>
      <c r="H1222" s="43" t="inlineStr">
        <is>
          <t>023</t>
        </is>
      </c>
      <c r="I1222" s="43" t="inlineStr">
        <is>
          <t>13</t>
        </is>
      </c>
      <c r="J1222" s="222" t="n">
        <v>275</v>
      </c>
      <c r="K1222" s="222" t="n">
        <v>1370</v>
      </c>
      <c r="L1222" s="43" t="inlineStr">
        <is>
          <t>在来・204｜マド</t>
        </is>
      </c>
      <c r="M1222" s="178" t="b">
        <v>1</v>
      </c>
      <c r="N1222" s="43" t="inlineStr">
        <is>
          <t>カタログ規格確認済み</t>
        </is>
      </c>
      <c r="O1222" s="222" t="n">
        <v>178</v>
      </c>
      <c r="P1222" s="222" t="n">
        <v>176</v>
      </c>
      <c r="Q1222" s="43" t="inlineStr">
        <is>
          <t>202604_LIXIL_サーモスＬ_業務用資料集_完成品価格表.pdf</t>
        </is>
      </c>
      <c r="R1222" s="43" t="n"/>
      <c r="S1222" s="42" t="inlineStr">
        <is>
          <t>無印</t>
        </is>
      </c>
      <c r="T1222" s="42" t="n">
        <v>177</v>
      </c>
      <c r="U1222" s="42" t="inlineStr">
        <is>
          <t>P177|無印</t>
        </is>
      </c>
      <c r="V1222" s="42" t="inlineStr">
        <is>
          <t>同一価格表・次頁凡例を継承</t>
        </is>
      </c>
    </row>
    <row r="1223">
      <c r="A1223" s="43" t="inlineStr">
        <is>
          <t>SZ-SL-001220</t>
        </is>
      </c>
      <c r="B1223" s="43" t="inlineStr">
        <is>
          <t>SER-LIX-SAMOSL</t>
        </is>
      </c>
      <c r="C1223" s="43" t="inlineStr">
        <is>
          <t>WT-SL-FIX-IN</t>
        </is>
      </c>
      <c r="D1223" s="43" t="inlineStr">
        <is>
          <t>FIX窓（内押縁タイプ）</t>
        </is>
      </c>
      <c r="E1223" s="43" t="n"/>
      <c r="F1223" s="43" t="inlineStr">
        <is>
          <t>在来・204</t>
        </is>
      </c>
      <c r="G1223" s="43" t="inlineStr">
        <is>
          <t>02609</t>
        </is>
      </c>
      <c r="H1223" s="43" t="inlineStr">
        <is>
          <t>026</t>
        </is>
      </c>
      <c r="I1223" s="43" t="inlineStr">
        <is>
          <t>09</t>
        </is>
      </c>
      <c r="J1223" s="222" t="n">
        <v>300</v>
      </c>
      <c r="K1223" s="222" t="n">
        <v>970</v>
      </c>
      <c r="L1223" s="43" t="inlineStr">
        <is>
          <t>在来・204｜マド</t>
        </is>
      </c>
      <c r="M1223" s="178" t="b">
        <v>1</v>
      </c>
      <c r="N1223" s="43" t="inlineStr">
        <is>
          <t>カタログ規格確認済み</t>
        </is>
      </c>
      <c r="O1223" s="222" t="n">
        <v>178</v>
      </c>
      <c r="P1223" s="222" t="n">
        <v>176</v>
      </c>
      <c r="Q1223" s="43" t="inlineStr">
        <is>
          <t>202604_LIXIL_サーモスＬ_業務用資料集_完成品価格表.pdf</t>
        </is>
      </c>
      <c r="R1223" s="43" t="n"/>
      <c r="S1223" s="42" t="inlineStr">
        <is>
          <t>無印</t>
        </is>
      </c>
      <c r="T1223" s="42" t="n">
        <v>177</v>
      </c>
      <c r="U1223" s="42" t="inlineStr">
        <is>
          <t>P177|無印</t>
        </is>
      </c>
      <c r="V1223" s="42" t="inlineStr">
        <is>
          <t>同一価格表・次頁凡例を継承</t>
        </is>
      </c>
    </row>
    <row r="1224">
      <c r="A1224" s="43" t="inlineStr">
        <is>
          <t>SZ-SL-001221</t>
        </is>
      </c>
      <c r="B1224" s="43" t="inlineStr">
        <is>
          <t>SER-LIX-SAMOSL</t>
        </is>
      </c>
      <c r="C1224" s="43" t="inlineStr">
        <is>
          <t>WT-SL-FIX-IN</t>
        </is>
      </c>
      <c r="D1224" s="43" t="inlineStr">
        <is>
          <t>FIX窓（内押縁タイプ）</t>
        </is>
      </c>
      <c r="E1224" s="43" t="n"/>
      <c r="F1224" s="43" t="inlineStr">
        <is>
          <t>在来・204</t>
        </is>
      </c>
      <c r="G1224" s="43" t="inlineStr">
        <is>
          <t>02611</t>
        </is>
      </c>
      <c r="H1224" s="43" t="inlineStr">
        <is>
          <t>026</t>
        </is>
      </c>
      <c r="I1224" s="43" t="inlineStr">
        <is>
          <t>11</t>
        </is>
      </c>
      <c r="J1224" s="222" t="n">
        <v>300</v>
      </c>
      <c r="K1224" s="222" t="n">
        <v>1170</v>
      </c>
      <c r="L1224" s="43" t="inlineStr">
        <is>
          <t>在来・204｜マド</t>
        </is>
      </c>
      <c r="M1224" s="178" t="b">
        <v>1</v>
      </c>
      <c r="N1224" s="43" t="inlineStr">
        <is>
          <t>カタログ規格確認済み</t>
        </is>
      </c>
      <c r="O1224" s="222" t="n">
        <v>178</v>
      </c>
      <c r="P1224" s="222" t="n">
        <v>176</v>
      </c>
      <c r="Q1224" s="43" t="inlineStr">
        <is>
          <t>202604_LIXIL_サーモスＬ_業務用資料集_完成品価格表.pdf</t>
        </is>
      </c>
      <c r="R1224" s="43" t="n"/>
      <c r="S1224" s="42" t="inlineStr">
        <is>
          <t>無印</t>
        </is>
      </c>
      <c r="T1224" s="42" t="n">
        <v>177</v>
      </c>
      <c r="U1224" s="42" t="inlineStr">
        <is>
          <t>P177|無印</t>
        </is>
      </c>
      <c r="V1224" s="42" t="inlineStr">
        <is>
          <t>同一価格表・次頁凡例を継承</t>
        </is>
      </c>
    </row>
    <row r="1225">
      <c r="A1225" s="43" t="inlineStr">
        <is>
          <t>SZ-SL-001222</t>
        </is>
      </c>
      <c r="B1225" s="43" t="inlineStr">
        <is>
          <t>SER-LIX-SAMOSL</t>
        </is>
      </c>
      <c r="C1225" s="43" t="inlineStr">
        <is>
          <t>WT-SL-FIX-IN</t>
        </is>
      </c>
      <c r="D1225" s="43" t="inlineStr">
        <is>
          <t>FIX窓（内押縁タイプ）</t>
        </is>
      </c>
      <c r="E1225" s="43" t="n"/>
      <c r="F1225" s="43" t="inlineStr">
        <is>
          <t>在来・204</t>
        </is>
      </c>
      <c r="G1225" s="43" t="inlineStr">
        <is>
          <t>02613</t>
        </is>
      </c>
      <c r="H1225" s="43" t="inlineStr">
        <is>
          <t>026</t>
        </is>
      </c>
      <c r="I1225" s="43" t="inlineStr">
        <is>
          <t>13</t>
        </is>
      </c>
      <c r="J1225" s="222" t="n">
        <v>300</v>
      </c>
      <c r="K1225" s="222" t="n">
        <v>1370</v>
      </c>
      <c r="L1225" s="43" t="inlineStr">
        <is>
          <t>在来・204｜マド</t>
        </is>
      </c>
      <c r="M1225" s="178" t="b">
        <v>1</v>
      </c>
      <c r="N1225" s="43" t="inlineStr">
        <is>
          <t>カタログ規格確認済み</t>
        </is>
      </c>
      <c r="O1225" s="222" t="n">
        <v>178</v>
      </c>
      <c r="P1225" s="222" t="n">
        <v>176</v>
      </c>
      <c r="Q1225" s="43" t="inlineStr">
        <is>
          <t>202604_LIXIL_サーモスＬ_業務用資料集_完成品価格表.pdf</t>
        </is>
      </c>
      <c r="R1225" s="43" t="n"/>
      <c r="S1225" s="42" t="inlineStr">
        <is>
          <t>無印</t>
        </is>
      </c>
      <c r="T1225" s="42" t="n">
        <v>177</v>
      </c>
      <c r="U1225" s="42" t="inlineStr">
        <is>
          <t>P177|無印</t>
        </is>
      </c>
      <c r="V1225" s="42" t="inlineStr">
        <is>
          <t>同一価格表・次頁凡例を継承</t>
        </is>
      </c>
    </row>
    <row r="1226">
      <c r="A1226" s="43" t="inlineStr">
        <is>
          <t>SZ-SL-001223</t>
        </is>
      </c>
      <c r="B1226" s="43" t="inlineStr">
        <is>
          <t>SER-LIX-SAMOSL</t>
        </is>
      </c>
      <c r="C1226" s="43" t="inlineStr">
        <is>
          <t>WT-SL-FIX-IN</t>
        </is>
      </c>
      <c r="D1226" s="43" t="inlineStr">
        <is>
          <t>FIX窓（内押縁タイプ）</t>
        </is>
      </c>
      <c r="E1226" s="43" t="n"/>
      <c r="F1226" s="43" t="inlineStr">
        <is>
          <t>在来・204</t>
        </is>
      </c>
      <c r="G1226" s="43" t="inlineStr">
        <is>
          <t>02615</t>
        </is>
      </c>
      <c r="H1226" s="43" t="inlineStr">
        <is>
          <t>026</t>
        </is>
      </c>
      <c r="I1226" s="43" t="inlineStr">
        <is>
          <t>15</t>
        </is>
      </c>
      <c r="J1226" s="222" t="n">
        <v>300</v>
      </c>
      <c r="K1226" s="222" t="n">
        <v>1570</v>
      </c>
      <c r="L1226" s="43" t="inlineStr">
        <is>
          <t>在来・204｜マド</t>
        </is>
      </c>
      <c r="M1226" s="178" t="b">
        <v>1</v>
      </c>
      <c r="N1226" s="43" t="inlineStr">
        <is>
          <t>カタログ規格確認済み</t>
        </is>
      </c>
      <c r="O1226" s="222" t="n">
        <v>178</v>
      </c>
      <c r="P1226" s="222" t="n">
        <v>176</v>
      </c>
      <c r="Q1226" s="43" t="inlineStr">
        <is>
          <t>202604_LIXIL_サーモスＬ_業務用資料集_完成品価格表.pdf</t>
        </is>
      </c>
      <c r="R1226" s="43" t="n"/>
      <c r="S1226" s="42" t="inlineStr">
        <is>
          <t>無印</t>
        </is>
      </c>
      <c r="T1226" s="42" t="n">
        <v>177</v>
      </c>
      <c r="U1226" s="42" t="inlineStr">
        <is>
          <t>P177|無印</t>
        </is>
      </c>
      <c r="V1226" s="42" t="inlineStr">
        <is>
          <t>同一価格表・次頁凡例を継承</t>
        </is>
      </c>
    </row>
    <row r="1227">
      <c r="A1227" s="43" t="inlineStr">
        <is>
          <t>SZ-SL-001224</t>
        </is>
      </c>
      <c r="B1227" s="43" t="inlineStr">
        <is>
          <t>SER-LIX-SAMOSL</t>
        </is>
      </c>
      <c r="C1227" s="43" t="inlineStr">
        <is>
          <t>WT-SL-FIX-IN</t>
        </is>
      </c>
      <c r="D1227" s="43" t="inlineStr">
        <is>
          <t>FIX窓（内押縁タイプ）</t>
        </is>
      </c>
      <c r="E1227" s="43" t="n"/>
      <c r="F1227" s="43" t="inlineStr">
        <is>
          <t>在来・204</t>
        </is>
      </c>
      <c r="G1227" s="43" t="inlineStr">
        <is>
          <t>03109</t>
        </is>
      </c>
      <c r="H1227" s="43" t="inlineStr">
        <is>
          <t>031</t>
        </is>
      </c>
      <c r="I1227" s="43" t="inlineStr">
        <is>
          <t>09</t>
        </is>
      </c>
      <c r="J1227" s="222" t="n">
        <v>350</v>
      </c>
      <c r="K1227" s="222" t="n">
        <v>970</v>
      </c>
      <c r="L1227" s="43" t="inlineStr">
        <is>
          <t>在来・204｜マド</t>
        </is>
      </c>
      <c r="M1227" s="178" t="b">
        <v>1</v>
      </c>
      <c r="N1227" s="43" t="inlineStr">
        <is>
          <t>カタログ規格確認済み</t>
        </is>
      </c>
      <c r="O1227" s="222" t="n">
        <v>179</v>
      </c>
      <c r="P1227" s="222" t="n">
        <v>177</v>
      </c>
      <c r="Q1227" s="43" t="inlineStr">
        <is>
          <t>202604_LIXIL_サーモスＬ_業務用資料集_完成品価格表.pdf</t>
        </is>
      </c>
      <c r="R1227" s="43" t="n"/>
      <c r="S1227" s="42" t="inlineStr">
        <is>
          <t>無印</t>
        </is>
      </c>
      <c r="T1227" s="42" t="n">
        <v>177</v>
      </c>
      <c r="U1227" s="42" t="inlineStr">
        <is>
          <t>P177|無印</t>
        </is>
      </c>
      <c r="V1227" s="42" t="inlineStr">
        <is>
          <t>同頁凡例へ直接連動</t>
        </is>
      </c>
    </row>
    <row r="1228">
      <c r="A1228" s="43" t="inlineStr">
        <is>
          <t>SZ-SL-001225</t>
        </is>
      </c>
      <c r="B1228" s="43" t="inlineStr">
        <is>
          <t>SER-LIX-SAMOSL</t>
        </is>
      </c>
      <c r="C1228" s="43" t="inlineStr">
        <is>
          <t>WT-SL-FIX-IN</t>
        </is>
      </c>
      <c r="D1228" s="43" t="inlineStr">
        <is>
          <t>FIX窓（内押縁タイプ）</t>
        </is>
      </c>
      <c r="E1228" s="43" t="n"/>
      <c r="F1228" s="43" t="inlineStr">
        <is>
          <t>在来・204</t>
        </is>
      </c>
      <c r="G1228" s="43" t="inlineStr">
        <is>
          <t>03111</t>
        </is>
      </c>
      <c r="H1228" s="43" t="inlineStr">
        <is>
          <t>031</t>
        </is>
      </c>
      <c r="I1228" s="43" t="inlineStr">
        <is>
          <t>11</t>
        </is>
      </c>
      <c r="J1228" s="222" t="n">
        <v>350</v>
      </c>
      <c r="K1228" s="222" t="n">
        <v>1170</v>
      </c>
      <c r="L1228" s="43" t="inlineStr">
        <is>
          <t>在来・204｜マド</t>
        </is>
      </c>
      <c r="M1228" s="178" t="b">
        <v>1</v>
      </c>
      <c r="N1228" s="43" t="inlineStr">
        <is>
          <t>カタログ規格確認済み</t>
        </is>
      </c>
      <c r="O1228" s="222" t="n">
        <v>179</v>
      </c>
      <c r="P1228" s="222" t="n">
        <v>177</v>
      </c>
      <c r="Q1228" s="43" t="inlineStr">
        <is>
          <t>202604_LIXIL_サーモスＬ_業務用資料集_完成品価格表.pdf</t>
        </is>
      </c>
      <c r="R1228" s="43" t="n"/>
      <c r="S1228" s="42" t="inlineStr">
        <is>
          <t>無印</t>
        </is>
      </c>
      <c r="T1228" s="42" t="n">
        <v>177</v>
      </c>
      <c r="U1228" s="42" t="inlineStr">
        <is>
          <t>P177|無印</t>
        </is>
      </c>
      <c r="V1228" s="42" t="inlineStr">
        <is>
          <t>同頁凡例へ直接連動</t>
        </is>
      </c>
    </row>
    <row r="1229">
      <c r="A1229" s="43" t="inlineStr">
        <is>
          <t>SZ-SL-001226</t>
        </is>
      </c>
      <c r="B1229" s="43" t="inlineStr">
        <is>
          <t>SER-LIX-SAMOSL</t>
        </is>
      </c>
      <c r="C1229" s="43" t="inlineStr">
        <is>
          <t>WT-SL-FIX-IN</t>
        </is>
      </c>
      <c r="D1229" s="43" t="inlineStr">
        <is>
          <t>FIX窓（内押縁タイプ）</t>
        </is>
      </c>
      <c r="E1229" s="43" t="n"/>
      <c r="F1229" s="43" t="inlineStr">
        <is>
          <t>在来・204</t>
        </is>
      </c>
      <c r="G1229" s="43" t="inlineStr">
        <is>
          <t>03113</t>
        </is>
      </c>
      <c r="H1229" s="43" t="inlineStr">
        <is>
          <t>031</t>
        </is>
      </c>
      <c r="I1229" s="43" t="inlineStr">
        <is>
          <t>13</t>
        </is>
      </c>
      <c r="J1229" s="222" t="n">
        <v>350</v>
      </c>
      <c r="K1229" s="222" t="n">
        <v>1370</v>
      </c>
      <c r="L1229" s="43" t="inlineStr">
        <is>
          <t>在来・204｜マド</t>
        </is>
      </c>
      <c r="M1229" s="178" t="b">
        <v>1</v>
      </c>
      <c r="N1229" s="43" t="inlineStr">
        <is>
          <t>カタログ規格確認済み</t>
        </is>
      </c>
      <c r="O1229" s="222" t="n">
        <v>179</v>
      </c>
      <c r="P1229" s="222" t="n">
        <v>177</v>
      </c>
      <c r="Q1229" s="43" t="inlineStr">
        <is>
          <t>202604_LIXIL_サーモスＬ_業務用資料集_完成品価格表.pdf</t>
        </is>
      </c>
      <c r="R1229" s="43" t="n"/>
      <c r="S1229" s="42" t="inlineStr">
        <is>
          <t>無印</t>
        </is>
      </c>
      <c r="T1229" s="42" t="n">
        <v>177</v>
      </c>
      <c r="U1229" s="42" t="inlineStr">
        <is>
          <t>P177|無印</t>
        </is>
      </c>
      <c r="V1229" s="42" t="inlineStr">
        <is>
          <t>同頁凡例へ直接連動</t>
        </is>
      </c>
    </row>
    <row r="1230">
      <c r="A1230" s="43" t="inlineStr">
        <is>
          <t>SZ-SL-001227</t>
        </is>
      </c>
      <c r="B1230" s="43" t="inlineStr">
        <is>
          <t>SER-LIX-SAMOSL</t>
        </is>
      </c>
      <c r="C1230" s="43" t="inlineStr">
        <is>
          <t>WT-SL-FIX-IN</t>
        </is>
      </c>
      <c r="D1230" s="43" t="inlineStr">
        <is>
          <t>FIX窓（内押縁タイプ）</t>
        </is>
      </c>
      <c r="E1230" s="43" t="n"/>
      <c r="F1230" s="43" t="inlineStr">
        <is>
          <t>在来・204</t>
        </is>
      </c>
      <c r="G1230" s="43" t="inlineStr">
        <is>
          <t>03115</t>
        </is>
      </c>
      <c r="H1230" s="43" t="inlineStr">
        <is>
          <t>031</t>
        </is>
      </c>
      <c r="I1230" s="43" t="inlineStr">
        <is>
          <t>15</t>
        </is>
      </c>
      <c r="J1230" s="222" t="n">
        <v>350</v>
      </c>
      <c r="K1230" s="222" t="n">
        <v>1570</v>
      </c>
      <c r="L1230" s="43" t="inlineStr">
        <is>
          <t>在来・204｜マド</t>
        </is>
      </c>
      <c r="M1230" s="178" t="b">
        <v>1</v>
      </c>
      <c r="N1230" s="43" t="inlineStr">
        <is>
          <t>カタログ規格確認済み</t>
        </is>
      </c>
      <c r="O1230" s="222" t="n">
        <v>179</v>
      </c>
      <c r="P1230" s="222" t="n">
        <v>177</v>
      </c>
      <c r="Q1230" s="43" t="inlineStr">
        <is>
          <t>202604_LIXIL_サーモスＬ_業務用資料集_完成品価格表.pdf</t>
        </is>
      </c>
      <c r="R1230" s="43" t="n"/>
      <c r="S1230" s="42" t="inlineStr">
        <is>
          <t>無印</t>
        </is>
      </c>
      <c r="T1230" s="42" t="n">
        <v>177</v>
      </c>
      <c r="U1230" s="42" t="inlineStr">
        <is>
          <t>P177|無印</t>
        </is>
      </c>
      <c r="V1230" s="42" t="inlineStr">
        <is>
          <t>同頁凡例へ直接連動</t>
        </is>
      </c>
    </row>
    <row r="1231">
      <c r="A1231" s="43" t="inlineStr">
        <is>
          <t>SZ-SL-001228</t>
        </is>
      </c>
      <c r="B1231" s="43" t="inlineStr">
        <is>
          <t>SER-LIX-SAMOSL</t>
        </is>
      </c>
      <c r="C1231" s="43" t="inlineStr">
        <is>
          <t>WT-SL-FIX-IN</t>
        </is>
      </c>
      <c r="D1231" s="43" t="inlineStr">
        <is>
          <t>FIX窓（内押縁タイプ）</t>
        </is>
      </c>
      <c r="E1231" s="43" t="n"/>
      <c r="F1231" s="43" t="inlineStr">
        <is>
          <t>在来・204</t>
        </is>
      </c>
      <c r="G1231" s="43" t="inlineStr">
        <is>
          <t>03609</t>
        </is>
      </c>
      <c r="H1231" s="43" t="inlineStr">
        <is>
          <t>036</t>
        </is>
      </c>
      <c r="I1231" s="43" t="inlineStr">
        <is>
          <t>09</t>
        </is>
      </c>
      <c r="J1231" s="222" t="n">
        <v>405</v>
      </c>
      <c r="K1231" s="222" t="n">
        <v>970</v>
      </c>
      <c r="L1231" s="43" t="inlineStr">
        <is>
          <t>在来・204｜マド</t>
        </is>
      </c>
      <c r="M1231" s="178" t="b">
        <v>1</v>
      </c>
      <c r="N1231" s="43" t="inlineStr">
        <is>
          <t>カタログ規格確認済み</t>
        </is>
      </c>
      <c r="O1231" s="222" t="n">
        <v>179</v>
      </c>
      <c r="P1231" s="222" t="n">
        <v>177</v>
      </c>
      <c r="Q1231" s="43" t="inlineStr">
        <is>
          <t>202604_LIXIL_サーモスＬ_業務用資料集_完成品価格表.pdf</t>
        </is>
      </c>
      <c r="R1231" s="43" t="n"/>
      <c r="S1231" s="42" t="inlineStr">
        <is>
          <t>無印</t>
        </is>
      </c>
      <c r="T1231" s="42" t="n">
        <v>177</v>
      </c>
      <c r="U1231" s="42" t="inlineStr">
        <is>
          <t>P177|無印</t>
        </is>
      </c>
      <c r="V1231" s="42" t="inlineStr">
        <is>
          <t>同頁凡例へ直接連動</t>
        </is>
      </c>
    </row>
    <row r="1232">
      <c r="A1232" s="43" t="inlineStr">
        <is>
          <t>SZ-SL-001229</t>
        </is>
      </c>
      <c r="B1232" s="43" t="inlineStr">
        <is>
          <t>SER-LIX-SAMOSL</t>
        </is>
      </c>
      <c r="C1232" s="43" t="inlineStr">
        <is>
          <t>WT-SL-FIX-IN</t>
        </is>
      </c>
      <c r="D1232" s="43" t="inlineStr">
        <is>
          <t>FIX窓（内押縁タイプ）</t>
        </is>
      </c>
      <c r="E1232" s="43" t="n"/>
      <c r="F1232" s="43" t="inlineStr">
        <is>
          <t>在来・204</t>
        </is>
      </c>
      <c r="G1232" s="43" t="inlineStr">
        <is>
          <t>03611</t>
        </is>
      </c>
      <c r="H1232" s="43" t="inlineStr">
        <is>
          <t>036</t>
        </is>
      </c>
      <c r="I1232" s="43" t="inlineStr">
        <is>
          <t>11</t>
        </is>
      </c>
      <c r="J1232" s="222" t="n">
        <v>405</v>
      </c>
      <c r="K1232" s="222" t="n">
        <v>1170</v>
      </c>
      <c r="L1232" s="43" t="inlineStr">
        <is>
          <t>在来・204｜マド</t>
        </is>
      </c>
      <c r="M1232" s="178" t="b">
        <v>1</v>
      </c>
      <c r="N1232" s="43" t="inlineStr">
        <is>
          <t>カタログ規格確認済み</t>
        </is>
      </c>
      <c r="O1232" s="222" t="n">
        <v>179</v>
      </c>
      <c r="P1232" s="222" t="n">
        <v>177</v>
      </c>
      <c r="Q1232" s="43" t="inlineStr">
        <is>
          <t>202604_LIXIL_サーモスＬ_業務用資料集_完成品価格表.pdf</t>
        </is>
      </c>
      <c r="R1232" s="43" t="n"/>
      <c r="S1232" s="42" t="inlineStr">
        <is>
          <t>無印</t>
        </is>
      </c>
      <c r="T1232" s="42" t="n">
        <v>177</v>
      </c>
      <c r="U1232" s="42" t="inlineStr">
        <is>
          <t>P177|無印</t>
        </is>
      </c>
      <c r="V1232" s="42" t="inlineStr">
        <is>
          <t>同頁凡例へ直接連動</t>
        </is>
      </c>
    </row>
    <row r="1233">
      <c r="A1233" s="43" t="inlineStr">
        <is>
          <t>SZ-SL-001230</t>
        </is>
      </c>
      <c r="B1233" s="43" t="inlineStr">
        <is>
          <t>SER-LIX-SAMOSL</t>
        </is>
      </c>
      <c r="C1233" s="43" t="inlineStr">
        <is>
          <t>WT-SL-FIX-IN</t>
        </is>
      </c>
      <c r="D1233" s="43" t="inlineStr">
        <is>
          <t>FIX窓（内押縁タイプ）</t>
        </is>
      </c>
      <c r="E1233" s="43" t="n"/>
      <c r="F1233" s="43" t="inlineStr">
        <is>
          <t>在来・204</t>
        </is>
      </c>
      <c r="G1233" s="43" t="inlineStr">
        <is>
          <t>03613</t>
        </is>
      </c>
      <c r="H1233" s="43" t="inlineStr">
        <is>
          <t>036</t>
        </is>
      </c>
      <c r="I1233" s="43" t="inlineStr">
        <is>
          <t>13</t>
        </is>
      </c>
      <c r="J1233" s="222" t="n">
        <v>405</v>
      </c>
      <c r="K1233" s="222" t="n">
        <v>1370</v>
      </c>
      <c r="L1233" s="43" t="inlineStr">
        <is>
          <t>在来・204｜マド</t>
        </is>
      </c>
      <c r="M1233" s="178" t="b">
        <v>1</v>
      </c>
      <c r="N1233" s="43" t="inlineStr">
        <is>
          <t>カタログ規格確認済み</t>
        </is>
      </c>
      <c r="O1233" s="222" t="n">
        <v>179</v>
      </c>
      <c r="P1233" s="222" t="n">
        <v>177</v>
      </c>
      <c r="Q1233" s="43" t="inlineStr">
        <is>
          <t>202604_LIXIL_サーモスＬ_業務用資料集_完成品価格表.pdf</t>
        </is>
      </c>
      <c r="R1233" s="43" t="n"/>
      <c r="S1233" s="42" t="inlineStr">
        <is>
          <t>無印</t>
        </is>
      </c>
      <c r="T1233" s="42" t="n">
        <v>177</v>
      </c>
      <c r="U1233" s="42" t="inlineStr">
        <is>
          <t>P177|無印</t>
        </is>
      </c>
      <c r="V1233" s="42" t="inlineStr">
        <is>
          <t>同頁凡例へ直接連動</t>
        </is>
      </c>
    </row>
    <row r="1234">
      <c r="A1234" s="43" t="inlineStr">
        <is>
          <t>SZ-SL-001231</t>
        </is>
      </c>
      <c r="B1234" s="43" t="inlineStr">
        <is>
          <t>SER-LIX-SAMOSL</t>
        </is>
      </c>
      <c r="C1234" s="43" t="inlineStr">
        <is>
          <t>WT-SL-FIX-IN</t>
        </is>
      </c>
      <c r="D1234" s="43" t="inlineStr">
        <is>
          <t>FIX窓（内押縁タイプ）</t>
        </is>
      </c>
      <c r="E1234" s="43" t="n"/>
      <c r="F1234" s="43" t="inlineStr">
        <is>
          <t>在来・204</t>
        </is>
      </c>
      <c r="G1234" s="43" t="inlineStr">
        <is>
          <t>03615</t>
        </is>
      </c>
      <c r="H1234" s="43" t="inlineStr">
        <is>
          <t>036</t>
        </is>
      </c>
      <c r="I1234" s="43" t="inlineStr">
        <is>
          <t>15</t>
        </is>
      </c>
      <c r="J1234" s="222" t="n">
        <v>405</v>
      </c>
      <c r="K1234" s="222" t="n">
        <v>1570</v>
      </c>
      <c r="L1234" s="43" t="inlineStr">
        <is>
          <t>在来・204｜マド</t>
        </is>
      </c>
      <c r="M1234" s="178" t="b">
        <v>1</v>
      </c>
      <c r="N1234" s="43" t="inlineStr">
        <is>
          <t>カタログ規格確認済み</t>
        </is>
      </c>
      <c r="O1234" s="222" t="n">
        <v>179</v>
      </c>
      <c r="P1234" s="222" t="n">
        <v>177</v>
      </c>
      <c r="Q1234" s="43" t="inlineStr">
        <is>
          <t>202604_LIXIL_サーモスＬ_業務用資料集_完成品価格表.pdf</t>
        </is>
      </c>
      <c r="R1234" s="43" t="n"/>
      <c r="S1234" s="42" t="inlineStr">
        <is>
          <t>無印</t>
        </is>
      </c>
      <c r="T1234" s="42" t="n">
        <v>177</v>
      </c>
      <c r="U1234" s="42" t="inlineStr">
        <is>
          <t>P177|無印</t>
        </is>
      </c>
      <c r="V1234" s="42" t="inlineStr">
        <is>
          <t>同頁凡例へ直接連動</t>
        </is>
      </c>
    </row>
    <row r="1235">
      <c r="A1235" s="43" t="inlineStr">
        <is>
          <t>SZ-SL-001232</t>
        </is>
      </c>
      <c r="B1235" s="43" t="inlineStr">
        <is>
          <t>SER-LIX-SAMOSL</t>
        </is>
      </c>
      <c r="C1235" s="43" t="inlineStr">
        <is>
          <t>WT-SL-FIX-IN</t>
        </is>
      </c>
      <c r="D1235" s="43" t="inlineStr">
        <is>
          <t>FIX窓（内押縁タイプ）</t>
        </is>
      </c>
      <c r="E1235" s="43" t="n"/>
      <c r="F1235" s="43" t="inlineStr">
        <is>
          <t>在来・204</t>
        </is>
      </c>
      <c r="G1235" s="43" t="inlineStr">
        <is>
          <t>06009</t>
        </is>
      </c>
      <c r="H1235" s="43" t="inlineStr">
        <is>
          <t>060</t>
        </is>
      </c>
      <c r="I1235" s="43" t="inlineStr">
        <is>
          <t>09</t>
        </is>
      </c>
      <c r="J1235" s="222" t="n">
        <v>640</v>
      </c>
      <c r="K1235" s="222" t="n">
        <v>970</v>
      </c>
      <c r="L1235" s="43" t="inlineStr">
        <is>
          <t>在来・204｜マド</t>
        </is>
      </c>
      <c r="M1235" s="178" t="b">
        <v>1</v>
      </c>
      <c r="N1235" s="43" t="inlineStr">
        <is>
          <t>カタログ規格確認済み</t>
        </is>
      </c>
      <c r="O1235" s="222" t="n">
        <v>179</v>
      </c>
      <c r="P1235" s="222" t="n">
        <v>177</v>
      </c>
      <c r="Q1235" s="43" t="inlineStr">
        <is>
          <t>202604_LIXIL_サーモスＬ_業務用資料集_完成品価格表.pdf</t>
        </is>
      </c>
      <c r="R1235" s="43" t="n"/>
      <c r="S1235" s="42" t="inlineStr">
        <is>
          <t>無印</t>
        </is>
      </c>
      <c r="T1235" s="42" t="n">
        <v>177</v>
      </c>
      <c r="U1235" s="42" t="inlineStr">
        <is>
          <t>P177|無印</t>
        </is>
      </c>
      <c r="V1235" s="42" t="inlineStr">
        <is>
          <t>同頁凡例へ直接連動</t>
        </is>
      </c>
    </row>
    <row r="1236">
      <c r="A1236" s="43" t="inlineStr">
        <is>
          <t>SZ-SL-001233</t>
        </is>
      </c>
      <c r="B1236" s="43" t="inlineStr">
        <is>
          <t>SER-LIX-SAMOSL</t>
        </is>
      </c>
      <c r="C1236" s="43" t="inlineStr">
        <is>
          <t>WT-SL-FIX-IN</t>
        </is>
      </c>
      <c r="D1236" s="43" t="inlineStr">
        <is>
          <t>FIX窓（内押縁タイプ）</t>
        </is>
      </c>
      <c r="E1236" s="43" t="n"/>
      <c r="F1236" s="43" t="inlineStr">
        <is>
          <t>在来・204</t>
        </is>
      </c>
      <c r="G1236" s="43" t="inlineStr">
        <is>
          <t>06011</t>
        </is>
      </c>
      <c r="H1236" s="43" t="inlineStr">
        <is>
          <t>060</t>
        </is>
      </c>
      <c r="I1236" s="43" t="inlineStr">
        <is>
          <t>11</t>
        </is>
      </c>
      <c r="J1236" s="222" t="n">
        <v>640</v>
      </c>
      <c r="K1236" s="222" t="n">
        <v>1170</v>
      </c>
      <c r="L1236" s="43" t="inlineStr">
        <is>
          <t>在来・204｜マド</t>
        </is>
      </c>
      <c r="M1236" s="178" t="b">
        <v>1</v>
      </c>
      <c r="N1236" s="43" t="inlineStr">
        <is>
          <t>カタログ規格確認済み</t>
        </is>
      </c>
      <c r="O1236" s="222" t="n">
        <v>179</v>
      </c>
      <c r="P1236" s="222" t="n">
        <v>177</v>
      </c>
      <c r="Q1236" s="43" t="inlineStr">
        <is>
          <t>202604_LIXIL_サーモスＬ_業務用資料集_完成品価格表.pdf</t>
        </is>
      </c>
      <c r="R1236" s="43" t="n"/>
      <c r="S1236" s="42" t="inlineStr">
        <is>
          <t>無印</t>
        </is>
      </c>
      <c r="T1236" s="42" t="n">
        <v>177</v>
      </c>
      <c r="U1236" s="42" t="inlineStr">
        <is>
          <t>P177|無印</t>
        </is>
      </c>
      <c r="V1236" s="42" t="inlineStr">
        <is>
          <t>同頁凡例へ直接連動</t>
        </is>
      </c>
    </row>
    <row r="1237">
      <c r="A1237" s="43" t="inlineStr">
        <is>
          <t>SZ-SL-001234</t>
        </is>
      </c>
      <c r="B1237" s="43" t="inlineStr">
        <is>
          <t>SER-LIX-SAMOSL</t>
        </is>
      </c>
      <c r="C1237" s="43" t="inlineStr">
        <is>
          <t>WT-SL-FIX-IN</t>
        </is>
      </c>
      <c r="D1237" s="43" t="inlineStr">
        <is>
          <t>FIX窓（内押縁タイプ）</t>
        </is>
      </c>
      <c r="E1237" s="43" t="n"/>
      <c r="F1237" s="43" t="inlineStr">
        <is>
          <t>在来・204</t>
        </is>
      </c>
      <c r="G1237" s="43" t="inlineStr">
        <is>
          <t>06013</t>
        </is>
      </c>
      <c r="H1237" s="43" t="inlineStr">
        <is>
          <t>060</t>
        </is>
      </c>
      <c r="I1237" s="43" t="inlineStr">
        <is>
          <t>13</t>
        </is>
      </c>
      <c r="J1237" s="222" t="n">
        <v>640</v>
      </c>
      <c r="K1237" s="222" t="n">
        <v>1370</v>
      </c>
      <c r="L1237" s="43" t="inlineStr">
        <is>
          <t>在来・204｜マド</t>
        </is>
      </c>
      <c r="M1237" s="178" t="b">
        <v>1</v>
      </c>
      <c r="N1237" s="43" t="inlineStr">
        <is>
          <t>カタログ規格確認済み</t>
        </is>
      </c>
      <c r="O1237" s="222" t="n">
        <v>179</v>
      </c>
      <c r="P1237" s="222" t="n">
        <v>177</v>
      </c>
      <c r="Q1237" s="43" t="inlineStr">
        <is>
          <t>202604_LIXIL_サーモスＬ_業務用資料集_完成品価格表.pdf</t>
        </is>
      </c>
      <c r="R1237" s="43" t="n"/>
      <c r="S1237" s="42" t="inlineStr">
        <is>
          <t>無印</t>
        </is>
      </c>
      <c r="T1237" s="42" t="n">
        <v>177</v>
      </c>
      <c r="U1237" s="42" t="inlineStr">
        <is>
          <t>P177|無印</t>
        </is>
      </c>
      <c r="V1237" s="42" t="inlineStr">
        <is>
          <t>同頁凡例へ直接連動</t>
        </is>
      </c>
    </row>
    <row r="1238">
      <c r="A1238" s="43" t="inlineStr">
        <is>
          <t>SZ-SL-001235</t>
        </is>
      </c>
      <c r="B1238" s="43" t="inlineStr">
        <is>
          <t>SER-LIX-SAMOSL</t>
        </is>
      </c>
      <c r="C1238" s="43" t="inlineStr">
        <is>
          <t>WT-SL-FIX-IN</t>
        </is>
      </c>
      <c r="D1238" s="43" t="inlineStr">
        <is>
          <t>FIX窓（内押縁タイプ）</t>
        </is>
      </c>
      <c r="E1238" s="43" t="n"/>
      <c r="F1238" s="43" t="inlineStr">
        <is>
          <t>在来・204</t>
        </is>
      </c>
      <c r="G1238" s="43" t="inlineStr">
        <is>
          <t>06015</t>
        </is>
      </c>
      <c r="H1238" s="43" t="inlineStr">
        <is>
          <t>060</t>
        </is>
      </c>
      <c r="I1238" s="43" t="inlineStr">
        <is>
          <t>15</t>
        </is>
      </c>
      <c r="J1238" s="222" t="n">
        <v>640</v>
      </c>
      <c r="K1238" s="222" t="n">
        <v>1570</v>
      </c>
      <c r="L1238" s="43" t="inlineStr">
        <is>
          <t>在来・204｜マド</t>
        </is>
      </c>
      <c r="M1238" s="178" t="b">
        <v>1</v>
      </c>
      <c r="N1238" s="43" t="inlineStr">
        <is>
          <t>カタログ規格確認済み</t>
        </is>
      </c>
      <c r="O1238" s="222" t="n">
        <v>179</v>
      </c>
      <c r="P1238" s="222" t="n">
        <v>177</v>
      </c>
      <c r="Q1238" s="43" t="inlineStr">
        <is>
          <t>202604_LIXIL_サーモスＬ_業務用資料集_完成品価格表.pdf</t>
        </is>
      </c>
      <c r="R1238" s="43" t="n"/>
      <c r="S1238" s="42" t="inlineStr">
        <is>
          <t>無印</t>
        </is>
      </c>
      <c r="T1238" s="42" t="n">
        <v>177</v>
      </c>
      <c r="U1238" s="42" t="inlineStr">
        <is>
          <t>P177|無印</t>
        </is>
      </c>
      <c r="V1238" s="42" t="inlineStr">
        <is>
          <t>同頁凡例へ直接連動</t>
        </is>
      </c>
    </row>
    <row r="1239">
      <c r="A1239" s="43" t="inlineStr">
        <is>
          <t>SZ-SL-001236</t>
        </is>
      </c>
      <c r="B1239" s="43" t="inlineStr">
        <is>
          <t>SER-LIX-SAMOSL</t>
        </is>
      </c>
      <c r="C1239" s="43" t="inlineStr">
        <is>
          <t>WT-SL-FIX-IN</t>
        </is>
      </c>
      <c r="D1239" s="43" t="inlineStr">
        <is>
          <t>FIX窓（内押縁タイプ）</t>
        </is>
      </c>
      <c r="E1239" s="43" t="n"/>
      <c r="F1239" s="43" t="inlineStr">
        <is>
          <t>在来・204</t>
        </is>
      </c>
      <c r="G1239" s="43" t="inlineStr">
        <is>
          <t>06909</t>
        </is>
      </c>
      <c r="H1239" s="43" t="inlineStr">
        <is>
          <t>069</t>
        </is>
      </c>
      <c r="I1239" s="43" t="inlineStr">
        <is>
          <t>09</t>
        </is>
      </c>
      <c r="J1239" s="222" t="n">
        <v>730</v>
      </c>
      <c r="K1239" s="222" t="n">
        <v>970</v>
      </c>
      <c r="L1239" s="43" t="inlineStr">
        <is>
          <t>在来・204｜マド</t>
        </is>
      </c>
      <c r="M1239" s="178" t="b">
        <v>1</v>
      </c>
      <c r="N1239" s="43" t="inlineStr">
        <is>
          <t>カタログ規格確認済み</t>
        </is>
      </c>
      <c r="O1239" s="222" t="n">
        <v>180</v>
      </c>
      <c r="P1239" s="222" t="n">
        <v>178</v>
      </c>
      <c r="Q1239" s="43" t="inlineStr">
        <is>
          <t>202604_LIXIL_サーモスＬ_業務用資料集_完成品価格表.pdf</t>
        </is>
      </c>
      <c r="R1239" s="43" t="n"/>
      <c r="S1239" s="42" t="inlineStr">
        <is>
          <t>無印</t>
        </is>
      </c>
      <c r="T1239" s="42" t="n">
        <v>179</v>
      </c>
      <c r="U1239" s="42" t="inlineStr">
        <is>
          <t>P179|無印</t>
        </is>
      </c>
      <c r="V1239" s="42" t="inlineStr">
        <is>
          <t>同一価格表・次頁凡例を継承</t>
        </is>
      </c>
    </row>
    <row r="1240">
      <c r="A1240" s="43" t="inlineStr">
        <is>
          <t>SZ-SL-001237</t>
        </is>
      </c>
      <c r="B1240" s="43" t="inlineStr">
        <is>
          <t>SER-LIX-SAMOSL</t>
        </is>
      </c>
      <c r="C1240" s="43" t="inlineStr">
        <is>
          <t>WT-SL-FIX-IN</t>
        </is>
      </c>
      <c r="D1240" s="43" t="inlineStr">
        <is>
          <t>FIX窓（内押縁タイプ）</t>
        </is>
      </c>
      <c r="E1240" s="43" t="n"/>
      <c r="F1240" s="43" t="inlineStr">
        <is>
          <t>在来・204</t>
        </is>
      </c>
      <c r="G1240" s="43" t="inlineStr">
        <is>
          <t>06911</t>
        </is>
      </c>
      <c r="H1240" s="43" t="inlineStr">
        <is>
          <t>069</t>
        </is>
      </c>
      <c r="I1240" s="43" t="inlineStr">
        <is>
          <t>11</t>
        </is>
      </c>
      <c r="J1240" s="222" t="n">
        <v>730</v>
      </c>
      <c r="K1240" s="222" t="n">
        <v>1170</v>
      </c>
      <c r="L1240" s="43" t="inlineStr">
        <is>
          <t>在来・204｜マド</t>
        </is>
      </c>
      <c r="M1240" s="178" t="b">
        <v>1</v>
      </c>
      <c r="N1240" s="43" t="inlineStr">
        <is>
          <t>カタログ規格確認済み</t>
        </is>
      </c>
      <c r="O1240" s="222" t="n">
        <v>180</v>
      </c>
      <c r="P1240" s="222" t="n">
        <v>178</v>
      </c>
      <c r="Q1240" s="43" t="inlineStr">
        <is>
          <t>202604_LIXIL_サーモスＬ_業務用資料集_完成品価格表.pdf</t>
        </is>
      </c>
      <c r="R1240" s="43" t="n"/>
      <c r="S1240" s="42" t="inlineStr">
        <is>
          <t>無印</t>
        </is>
      </c>
      <c r="T1240" s="42" t="n">
        <v>179</v>
      </c>
      <c r="U1240" s="42" t="inlineStr">
        <is>
          <t>P179|無印</t>
        </is>
      </c>
      <c r="V1240" s="42" t="inlineStr">
        <is>
          <t>同一価格表・次頁凡例を継承</t>
        </is>
      </c>
    </row>
    <row r="1241">
      <c r="A1241" s="43" t="inlineStr">
        <is>
          <t>SZ-SL-001238</t>
        </is>
      </c>
      <c r="B1241" s="43" t="inlineStr">
        <is>
          <t>SER-LIX-SAMOSL</t>
        </is>
      </c>
      <c r="C1241" s="43" t="inlineStr">
        <is>
          <t>WT-SL-FIX-IN</t>
        </is>
      </c>
      <c r="D1241" s="43" t="inlineStr">
        <is>
          <t>FIX窓（内押縁タイプ）</t>
        </is>
      </c>
      <c r="E1241" s="43" t="n"/>
      <c r="F1241" s="43" t="inlineStr">
        <is>
          <t>在来・204</t>
        </is>
      </c>
      <c r="G1241" s="43" t="inlineStr">
        <is>
          <t>06913</t>
        </is>
      </c>
      <c r="H1241" s="43" t="inlineStr">
        <is>
          <t>069</t>
        </is>
      </c>
      <c r="I1241" s="43" t="inlineStr">
        <is>
          <t>13</t>
        </is>
      </c>
      <c r="J1241" s="222" t="n">
        <v>730</v>
      </c>
      <c r="K1241" s="222" t="n">
        <v>1370</v>
      </c>
      <c r="L1241" s="43" t="inlineStr">
        <is>
          <t>在来・204｜マド</t>
        </is>
      </c>
      <c r="M1241" s="178" t="b">
        <v>1</v>
      </c>
      <c r="N1241" s="43" t="inlineStr">
        <is>
          <t>カタログ規格確認済み</t>
        </is>
      </c>
      <c r="O1241" s="222" t="n">
        <v>180</v>
      </c>
      <c r="P1241" s="222" t="n">
        <v>178</v>
      </c>
      <c r="Q1241" s="43" t="inlineStr">
        <is>
          <t>202604_LIXIL_サーモスＬ_業務用資料集_完成品価格表.pdf</t>
        </is>
      </c>
      <c r="R1241" s="43" t="n"/>
      <c r="S1241" s="42" t="inlineStr">
        <is>
          <t>無印</t>
        </is>
      </c>
      <c r="T1241" s="42" t="n">
        <v>179</v>
      </c>
      <c r="U1241" s="42" t="inlineStr">
        <is>
          <t>P179|無印</t>
        </is>
      </c>
      <c r="V1241" s="42" t="inlineStr">
        <is>
          <t>同一価格表・次頁凡例を継承</t>
        </is>
      </c>
    </row>
    <row r="1242">
      <c r="A1242" s="43" t="inlineStr">
        <is>
          <t>SZ-SL-001239</t>
        </is>
      </c>
      <c r="B1242" s="43" t="inlineStr">
        <is>
          <t>SER-LIX-SAMOSL</t>
        </is>
      </c>
      <c r="C1242" s="43" t="inlineStr">
        <is>
          <t>WT-SL-FIX-IN</t>
        </is>
      </c>
      <c r="D1242" s="43" t="inlineStr">
        <is>
          <t>FIX窓（内押縁タイプ）</t>
        </is>
      </c>
      <c r="E1242" s="43" t="n"/>
      <c r="F1242" s="43" t="inlineStr">
        <is>
          <t>在来・204</t>
        </is>
      </c>
      <c r="G1242" s="43" t="inlineStr">
        <is>
          <t>06915</t>
        </is>
      </c>
      <c r="H1242" s="43" t="inlineStr">
        <is>
          <t>069</t>
        </is>
      </c>
      <c r="I1242" s="43" t="inlineStr">
        <is>
          <t>15</t>
        </is>
      </c>
      <c r="J1242" s="222" t="n">
        <v>730</v>
      </c>
      <c r="K1242" s="222" t="n">
        <v>1570</v>
      </c>
      <c r="L1242" s="43" t="inlineStr">
        <is>
          <t>在来・204｜マド</t>
        </is>
      </c>
      <c r="M1242" s="178" t="b">
        <v>1</v>
      </c>
      <c r="N1242" s="43" t="inlineStr">
        <is>
          <t>カタログ規格確認済み</t>
        </is>
      </c>
      <c r="O1242" s="222" t="n">
        <v>180</v>
      </c>
      <c r="P1242" s="222" t="n">
        <v>178</v>
      </c>
      <c r="Q1242" s="43" t="inlineStr">
        <is>
          <t>202604_LIXIL_サーモスＬ_業務用資料集_完成品価格表.pdf</t>
        </is>
      </c>
      <c r="R1242" s="43" t="n"/>
      <c r="S1242" s="42" t="inlineStr">
        <is>
          <t>★</t>
        </is>
      </c>
      <c r="T1242" s="42" t="n">
        <v>179</v>
      </c>
      <c r="U1242" s="42" t="inlineStr">
        <is>
          <t>P179|★</t>
        </is>
      </c>
      <c r="V1242" s="42" t="inlineStr">
        <is>
          <t>同一価格表・次頁凡例を継承</t>
        </is>
      </c>
    </row>
    <row r="1243">
      <c r="A1243" s="43" t="inlineStr">
        <is>
          <t>SZ-SL-001240</t>
        </is>
      </c>
      <c r="B1243" s="43" t="inlineStr">
        <is>
          <t>SER-LIX-SAMOSL</t>
        </is>
      </c>
      <c r="C1243" s="43" t="inlineStr">
        <is>
          <t>WT-SL-FIX-IN</t>
        </is>
      </c>
      <c r="D1243" s="43" t="inlineStr">
        <is>
          <t>FIX窓（内押縁タイプ）</t>
        </is>
      </c>
      <c r="E1243" s="43" t="n"/>
      <c r="F1243" s="43" t="inlineStr">
        <is>
          <t>在来・204</t>
        </is>
      </c>
      <c r="G1243" s="43" t="inlineStr">
        <is>
          <t>07409</t>
        </is>
      </c>
      <c r="H1243" s="43" t="inlineStr">
        <is>
          <t>074</t>
        </is>
      </c>
      <c r="I1243" s="43" t="inlineStr">
        <is>
          <t>09</t>
        </is>
      </c>
      <c r="J1243" s="222" t="n">
        <v>780</v>
      </c>
      <c r="K1243" s="222" t="n">
        <v>970</v>
      </c>
      <c r="L1243" s="43" t="inlineStr">
        <is>
          <t>在来・204｜マド</t>
        </is>
      </c>
      <c r="M1243" s="178" t="b">
        <v>1</v>
      </c>
      <c r="N1243" s="43" t="inlineStr">
        <is>
          <t>カタログ規格確認済み</t>
        </is>
      </c>
      <c r="O1243" s="222" t="n">
        <v>180</v>
      </c>
      <c r="P1243" s="222" t="n">
        <v>178</v>
      </c>
      <c r="Q1243" s="43" t="inlineStr">
        <is>
          <t>202604_LIXIL_サーモスＬ_業務用資料集_完成品価格表.pdf</t>
        </is>
      </c>
      <c r="R1243" s="43" t="n"/>
      <c r="S1243" s="42" t="inlineStr">
        <is>
          <t>無印</t>
        </is>
      </c>
      <c r="T1243" s="42" t="n">
        <v>179</v>
      </c>
      <c r="U1243" s="42" t="inlineStr">
        <is>
          <t>P179|無印</t>
        </is>
      </c>
      <c r="V1243" s="42" t="inlineStr">
        <is>
          <t>同一価格表・次頁凡例を継承</t>
        </is>
      </c>
    </row>
    <row r="1244">
      <c r="A1244" s="43" t="inlineStr">
        <is>
          <t>SZ-SL-001241</t>
        </is>
      </c>
      <c r="B1244" s="43" t="inlineStr">
        <is>
          <t>SER-LIX-SAMOSL</t>
        </is>
      </c>
      <c r="C1244" s="43" t="inlineStr">
        <is>
          <t>WT-SL-FIX-IN</t>
        </is>
      </c>
      <c r="D1244" s="43" t="inlineStr">
        <is>
          <t>FIX窓（内押縁タイプ）</t>
        </is>
      </c>
      <c r="E1244" s="43" t="n"/>
      <c r="F1244" s="43" t="inlineStr">
        <is>
          <t>在来・204</t>
        </is>
      </c>
      <c r="G1244" s="43" t="inlineStr">
        <is>
          <t>07411</t>
        </is>
      </c>
      <c r="H1244" s="43" t="inlineStr">
        <is>
          <t>074</t>
        </is>
      </c>
      <c r="I1244" s="43" t="inlineStr">
        <is>
          <t>11</t>
        </is>
      </c>
      <c r="J1244" s="222" t="n">
        <v>780</v>
      </c>
      <c r="K1244" s="222" t="n">
        <v>1170</v>
      </c>
      <c r="L1244" s="43" t="inlineStr">
        <is>
          <t>在来・204｜マド</t>
        </is>
      </c>
      <c r="M1244" s="178" t="b">
        <v>1</v>
      </c>
      <c r="N1244" s="43" t="inlineStr">
        <is>
          <t>カタログ規格確認済み</t>
        </is>
      </c>
      <c r="O1244" s="222" t="n">
        <v>180</v>
      </c>
      <c r="P1244" s="222" t="n">
        <v>178</v>
      </c>
      <c r="Q1244" s="43" t="inlineStr">
        <is>
          <t>202604_LIXIL_サーモスＬ_業務用資料集_完成品価格表.pdf</t>
        </is>
      </c>
      <c r="R1244" s="43" t="n"/>
      <c r="S1244" s="42" t="inlineStr">
        <is>
          <t>無印</t>
        </is>
      </c>
      <c r="T1244" s="42" t="n">
        <v>179</v>
      </c>
      <c r="U1244" s="42" t="inlineStr">
        <is>
          <t>P179|無印</t>
        </is>
      </c>
      <c r="V1244" s="42" t="inlineStr">
        <is>
          <t>同一価格表・次頁凡例を継承</t>
        </is>
      </c>
    </row>
    <row r="1245">
      <c r="A1245" s="43" t="inlineStr">
        <is>
          <t>SZ-SL-001242</t>
        </is>
      </c>
      <c r="B1245" s="43" t="inlineStr">
        <is>
          <t>SER-LIX-SAMOSL</t>
        </is>
      </c>
      <c r="C1245" s="43" t="inlineStr">
        <is>
          <t>WT-SL-FIX-IN</t>
        </is>
      </c>
      <c r="D1245" s="43" t="inlineStr">
        <is>
          <t>FIX窓（内押縁タイプ）</t>
        </is>
      </c>
      <c r="E1245" s="43" t="n"/>
      <c r="F1245" s="43" t="inlineStr">
        <is>
          <t>在来・204</t>
        </is>
      </c>
      <c r="G1245" s="43" t="inlineStr">
        <is>
          <t>07413</t>
        </is>
      </c>
      <c r="H1245" s="43" t="inlineStr">
        <is>
          <t>074</t>
        </is>
      </c>
      <c r="I1245" s="43" t="inlineStr">
        <is>
          <t>13</t>
        </is>
      </c>
      <c r="J1245" s="222" t="n">
        <v>780</v>
      </c>
      <c r="K1245" s="222" t="n">
        <v>1370</v>
      </c>
      <c r="L1245" s="43" t="inlineStr">
        <is>
          <t>在来・204｜マド</t>
        </is>
      </c>
      <c r="M1245" s="178" t="b">
        <v>1</v>
      </c>
      <c r="N1245" s="43" t="inlineStr">
        <is>
          <t>カタログ規格確認済み</t>
        </is>
      </c>
      <c r="O1245" s="222" t="n">
        <v>180</v>
      </c>
      <c r="P1245" s="222" t="n">
        <v>178</v>
      </c>
      <c r="Q1245" s="43" t="inlineStr">
        <is>
          <t>202604_LIXIL_サーモスＬ_業務用資料集_完成品価格表.pdf</t>
        </is>
      </c>
      <c r="R1245" s="43" t="n"/>
      <c r="S1245" s="42" t="inlineStr">
        <is>
          <t>無印</t>
        </is>
      </c>
      <c r="T1245" s="42" t="n">
        <v>179</v>
      </c>
      <c r="U1245" s="42" t="inlineStr">
        <is>
          <t>P179|無印</t>
        </is>
      </c>
      <c r="V1245" s="42" t="inlineStr">
        <is>
          <t>同一価格表・次頁凡例を継承</t>
        </is>
      </c>
    </row>
    <row r="1246">
      <c r="A1246" s="43" t="inlineStr">
        <is>
          <t>SZ-SL-001243</t>
        </is>
      </c>
      <c r="B1246" s="43" t="inlineStr">
        <is>
          <t>SER-LIX-SAMOSL</t>
        </is>
      </c>
      <c r="C1246" s="43" t="inlineStr">
        <is>
          <t>WT-SL-FIX-IN</t>
        </is>
      </c>
      <c r="D1246" s="43" t="inlineStr">
        <is>
          <t>FIX窓（内押縁タイプ）</t>
        </is>
      </c>
      <c r="E1246" s="43" t="n"/>
      <c r="F1246" s="43" t="inlineStr">
        <is>
          <t>在来・204</t>
        </is>
      </c>
      <c r="G1246" s="43" t="inlineStr">
        <is>
          <t>07415</t>
        </is>
      </c>
      <c r="H1246" s="43" t="inlineStr">
        <is>
          <t>074</t>
        </is>
      </c>
      <c r="I1246" s="43" t="inlineStr">
        <is>
          <t>15</t>
        </is>
      </c>
      <c r="J1246" s="222" t="n">
        <v>780</v>
      </c>
      <c r="K1246" s="222" t="n">
        <v>1570</v>
      </c>
      <c r="L1246" s="43" t="inlineStr">
        <is>
          <t>在来・204｜マド</t>
        </is>
      </c>
      <c r="M1246" s="178" t="b">
        <v>1</v>
      </c>
      <c r="N1246" s="43" t="inlineStr">
        <is>
          <t>カタログ規格確認済み</t>
        </is>
      </c>
      <c r="O1246" s="222" t="n">
        <v>180</v>
      </c>
      <c r="P1246" s="222" t="n">
        <v>178</v>
      </c>
      <c r="Q1246" s="43" t="inlineStr">
        <is>
          <t>202604_LIXIL_サーモスＬ_業務用資料集_完成品価格表.pdf</t>
        </is>
      </c>
      <c r="R1246" s="43" t="n"/>
      <c r="S1246" s="42" t="inlineStr">
        <is>
          <t>★</t>
        </is>
      </c>
      <c r="T1246" s="42" t="n">
        <v>179</v>
      </c>
      <c r="U1246" s="42" t="inlineStr">
        <is>
          <t>P179|★</t>
        </is>
      </c>
      <c r="V1246" s="42" t="inlineStr">
        <is>
          <t>同一価格表・次頁凡例を継承</t>
        </is>
      </c>
    </row>
    <row r="1247">
      <c r="A1247" s="43" t="inlineStr">
        <is>
          <t>SZ-SL-001244</t>
        </is>
      </c>
      <c r="B1247" s="43" t="inlineStr">
        <is>
          <t>SER-LIX-SAMOSL</t>
        </is>
      </c>
      <c r="C1247" s="43" t="inlineStr">
        <is>
          <t>WT-SL-FIX-IN</t>
        </is>
      </c>
      <c r="D1247" s="43" t="inlineStr">
        <is>
          <t>FIX窓（内押縁タイプ）</t>
        </is>
      </c>
      <c r="E1247" s="43" t="n"/>
      <c r="F1247" s="43" t="inlineStr">
        <is>
          <t>在来・204</t>
        </is>
      </c>
      <c r="G1247" s="43" t="inlineStr">
        <is>
          <t>096093</t>
        </is>
      </c>
      <c r="H1247" s="43" t="inlineStr">
        <is>
          <t>096</t>
        </is>
      </c>
      <c r="I1247" s="43" t="inlineStr">
        <is>
          <t>093</t>
        </is>
      </c>
      <c r="J1247" s="222" t="n">
        <v>1000</v>
      </c>
      <c r="K1247" s="222" t="n">
        <v>1000</v>
      </c>
      <c r="L1247" s="43" t="inlineStr">
        <is>
          <t>在来・204｜マド</t>
        </is>
      </c>
      <c r="M1247" s="178" t="b">
        <v>1</v>
      </c>
      <c r="N1247" s="43" t="inlineStr">
        <is>
          <t>カタログ規格確認済み</t>
        </is>
      </c>
      <c r="O1247" s="222" t="n">
        <v>180</v>
      </c>
      <c r="P1247" s="222" t="n">
        <v>178</v>
      </c>
      <c r="Q1247" s="43" t="inlineStr">
        <is>
          <t>202604_LIXIL_サーモスＬ_業務用資料集_完成品価格表.pdf</t>
        </is>
      </c>
      <c r="R1247" s="43" t="n"/>
      <c r="S1247" s="42" t="inlineStr">
        <is>
          <t>無印</t>
        </is>
      </c>
      <c r="T1247" s="42" t="n">
        <v>179</v>
      </c>
      <c r="U1247" s="42" t="inlineStr">
        <is>
          <t>P179|無印</t>
        </is>
      </c>
      <c r="V1247" s="42" t="inlineStr">
        <is>
          <t>同一価格表・次頁凡例を継承</t>
        </is>
      </c>
    </row>
    <row r="1248">
      <c r="A1248" s="43" t="inlineStr">
        <is>
          <t>SZ-SL-001245</t>
        </is>
      </c>
      <c r="B1248" s="43" t="inlineStr">
        <is>
          <t>SER-LIX-SAMOSL</t>
        </is>
      </c>
      <c r="C1248" s="43" t="inlineStr">
        <is>
          <t>WT-SL-FIX-IN</t>
        </is>
      </c>
      <c r="D1248" s="43" t="inlineStr">
        <is>
          <t>FIX窓（内押縁タイプ）</t>
        </is>
      </c>
      <c r="E1248" s="43" t="n"/>
      <c r="F1248" s="43" t="inlineStr">
        <is>
          <t>在来・204</t>
        </is>
      </c>
      <c r="G1248" s="43" t="inlineStr">
        <is>
          <t>11909</t>
        </is>
      </c>
      <c r="H1248" s="43" t="inlineStr">
        <is>
          <t>119</t>
        </is>
      </c>
      <c r="I1248" s="43" t="inlineStr">
        <is>
          <t>09</t>
        </is>
      </c>
      <c r="J1248" s="222" t="n">
        <v>1235</v>
      </c>
      <c r="K1248" s="222" t="n">
        <v>970</v>
      </c>
      <c r="L1248" s="43" t="inlineStr">
        <is>
          <t>在来・204｜マド</t>
        </is>
      </c>
      <c r="M1248" s="178" t="b">
        <v>1</v>
      </c>
      <c r="N1248" s="43" t="inlineStr">
        <is>
          <t>カタログ規格確認済み</t>
        </is>
      </c>
      <c r="O1248" s="222" t="n">
        <v>181</v>
      </c>
      <c r="P1248" s="222" t="n">
        <v>179</v>
      </c>
      <c r="Q1248" s="43" t="inlineStr">
        <is>
          <t>202604_LIXIL_サーモスＬ_業務用資料集_完成品価格表.pdf</t>
        </is>
      </c>
      <c r="R1248" s="43" t="n"/>
      <c r="S1248" s="42" t="inlineStr">
        <is>
          <t>★</t>
        </is>
      </c>
      <c r="T1248" s="42" t="n">
        <v>179</v>
      </c>
      <c r="U1248" s="42" t="inlineStr">
        <is>
          <t>P179|★</t>
        </is>
      </c>
      <c r="V1248" s="42" t="inlineStr">
        <is>
          <t>同頁凡例へ直接連動</t>
        </is>
      </c>
    </row>
    <row r="1249">
      <c r="A1249" s="43" t="inlineStr">
        <is>
          <t>SZ-SL-001246</t>
        </is>
      </c>
      <c r="B1249" s="43" t="inlineStr">
        <is>
          <t>SER-LIX-SAMOSL</t>
        </is>
      </c>
      <c r="C1249" s="43" t="inlineStr">
        <is>
          <t>WT-SL-FIX-IN</t>
        </is>
      </c>
      <c r="D1249" s="43" t="inlineStr">
        <is>
          <t>FIX窓（内押縁タイプ）</t>
        </is>
      </c>
      <c r="E1249" s="43" t="n"/>
      <c r="F1249" s="43" t="inlineStr">
        <is>
          <t>在来・204</t>
        </is>
      </c>
      <c r="G1249" s="43" t="inlineStr">
        <is>
          <t>11911</t>
        </is>
      </c>
      <c r="H1249" s="43" t="inlineStr">
        <is>
          <t>119</t>
        </is>
      </c>
      <c r="I1249" s="43" t="inlineStr">
        <is>
          <t>11</t>
        </is>
      </c>
      <c r="J1249" s="222" t="n">
        <v>1235</v>
      </c>
      <c r="K1249" s="222" t="n">
        <v>1170</v>
      </c>
      <c r="L1249" s="43" t="inlineStr">
        <is>
          <t>在来・204｜マド</t>
        </is>
      </c>
      <c r="M1249" s="178" t="b">
        <v>1</v>
      </c>
      <c r="N1249" s="43" t="inlineStr">
        <is>
          <t>カタログ規格確認済み</t>
        </is>
      </c>
      <c r="O1249" s="222" t="n">
        <v>181</v>
      </c>
      <c r="P1249" s="222" t="n">
        <v>179</v>
      </c>
      <c r="Q1249" s="43" t="inlineStr">
        <is>
          <t>202604_LIXIL_サーモスＬ_業務用資料集_完成品価格表.pdf</t>
        </is>
      </c>
      <c r="R1249" s="43" t="n"/>
      <c r="S1249" s="42" t="inlineStr">
        <is>
          <t>★</t>
        </is>
      </c>
      <c r="T1249" s="42" t="n">
        <v>179</v>
      </c>
      <c r="U1249" s="42" t="inlineStr">
        <is>
          <t>P179|★</t>
        </is>
      </c>
      <c r="V1249" s="42" t="inlineStr">
        <is>
          <t>同頁凡例へ直接連動</t>
        </is>
      </c>
    </row>
    <row r="1250">
      <c r="A1250" s="43" t="inlineStr">
        <is>
          <t>SZ-SL-001247</t>
        </is>
      </c>
      <c r="B1250" s="43" t="inlineStr">
        <is>
          <t>SER-LIX-SAMOSL</t>
        </is>
      </c>
      <c r="C1250" s="43" t="inlineStr">
        <is>
          <t>WT-SL-FIX-IN</t>
        </is>
      </c>
      <c r="D1250" s="43" t="inlineStr">
        <is>
          <t>FIX窓（内押縁タイプ）</t>
        </is>
      </c>
      <c r="E1250" s="43" t="n"/>
      <c r="F1250" s="43" t="inlineStr">
        <is>
          <t>在来・204</t>
        </is>
      </c>
      <c r="G1250" s="43" t="inlineStr">
        <is>
          <t>119116</t>
        </is>
      </c>
      <c r="H1250" s="43" t="inlineStr">
        <is>
          <t>119</t>
        </is>
      </c>
      <c r="I1250" s="43" t="inlineStr">
        <is>
          <t>116</t>
        </is>
      </c>
      <c r="J1250" s="222" t="n">
        <v>1235</v>
      </c>
      <c r="K1250" s="222" t="n">
        <v>1235</v>
      </c>
      <c r="L1250" s="43" t="inlineStr">
        <is>
          <t>在来・204｜マド</t>
        </is>
      </c>
      <c r="M1250" s="178" t="b">
        <v>1</v>
      </c>
      <c r="N1250" s="43" t="inlineStr">
        <is>
          <t>カタログ規格確認済み</t>
        </is>
      </c>
      <c r="O1250" s="222" t="n">
        <v>181</v>
      </c>
      <c r="P1250" s="222" t="n">
        <v>179</v>
      </c>
      <c r="Q1250" s="43" t="inlineStr">
        <is>
          <t>202604_LIXIL_サーモスＬ_業務用資料集_完成品価格表.pdf</t>
        </is>
      </c>
      <c r="R1250" s="43" t="n"/>
      <c r="S1250" s="42" t="inlineStr">
        <is>
          <t>無印</t>
        </is>
      </c>
      <c r="T1250" s="42" t="n">
        <v>179</v>
      </c>
      <c r="U1250" s="42" t="inlineStr">
        <is>
          <t>P179|無印</t>
        </is>
      </c>
      <c r="V1250" s="42" t="inlineStr">
        <is>
          <t>同頁凡例へ直接連動</t>
        </is>
      </c>
    </row>
    <row r="1251">
      <c r="A1251" s="43" t="inlineStr">
        <is>
          <t>SZ-SL-001248</t>
        </is>
      </c>
      <c r="B1251" s="43" t="inlineStr">
        <is>
          <t>SER-LIX-SAMOSL</t>
        </is>
      </c>
      <c r="C1251" s="43" t="inlineStr">
        <is>
          <t>WT-SL-FIX-IN</t>
        </is>
      </c>
      <c r="D1251" s="43" t="inlineStr">
        <is>
          <t>FIX窓（内押縁タイプ）</t>
        </is>
      </c>
      <c r="E1251" s="43" t="n"/>
      <c r="F1251" s="43" t="inlineStr">
        <is>
          <t>在来・204</t>
        </is>
      </c>
      <c r="G1251" s="43" t="inlineStr">
        <is>
          <t>11913</t>
        </is>
      </c>
      <c r="H1251" s="43" t="inlineStr">
        <is>
          <t>119</t>
        </is>
      </c>
      <c r="I1251" s="43" t="inlineStr">
        <is>
          <t>13</t>
        </is>
      </c>
      <c r="J1251" s="222" t="n">
        <v>1235</v>
      </c>
      <c r="K1251" s="222" t="n">
        <v>1370</v>
      </c>
      <c r="L1251" s="43" t="inlineStr">
        <is>
          <t>在来・204｜マド</t>
        </is>
      </c>
      <c r="M1251" s="178" t="b">
        <v>1</v>
      </c>
      <c r="N1251" s="43" t="inlineStr">
        <is>
          <t>カタログ規格確認済み</t>
        </is>
      </c>
      <c r="O1251" s="222" t="n">
        <v>181</v>
      </c>
      <c r="P1251" s="222" t="n">
        <v>179</v>
      </c>
      <c r="Q1251" s="43" t="inlineStr">
        <is>
          <t>202604_LIXIL_サーモスＬ_業務用資料集_完成品価格表.pdf</t>
        </is>
      </c>
      <c r="R1251" s="43" t="n"/>
      <c r="S1251" s="42" t="inlineStr">
        <is>
          <t>無印</t>
        </is>
      </c>
      <c r="T1251" s="42" t="n">
        <v>179</v>
      </c>
      <c r="U1251" s="42" t="inlineStr">
        <is>
          <t>P179|無印</t>
        </is>
      </c>
      <c r="V1251" s="42" t="inlineStr">
        <is>
          <t>同頁凡例へ直接連動</t>
        </is>
      </c>
    </row>
    <row r="1252">
      <c r="A1252" s="43" t="inlineStr">
        <is>
          <t>SZ-SL-001249</t>
        </is>
      </c>
      <c r="B1252" s="43" t="inlineStr">
        <is>
          <t>SER-LIX-SAMOSL</t>
        </is>
      </c>
      <c r="C1252" s="43" t="inlineStr">
        <is>
          <t>WT-SL-FIX-IN</t>
        </is>
      </c>
      <c r="D1252" s="43" t="inlineStr">
        <is>
          <t>FIX窓（内押縁タイプ）</t>
        </is>
      </c>
      <c r="E1252" s="43" t="n"/>
      <c r="F1252" s="43" t="inlineStr">
        <is>
          <t>在来・204</t>
        </is>
      </c>
      <c r="G1252" s="43" t="inlineStr">
        <is>
          <t>11915</t>
        </is>
      </c>
      <c r="H1252" s="43" t="inlineStr">
        <is>
          <t>119</t>
        </is>
      </c>
      <c r="I1252" s="43" t="inlineStr">
        <is>
          <t>15</t>
        </is>
      </c>
      <c r="J1252" s="222" t="n">
        <v>1235</v>
      </c>
      <c r="K1252" s="222" t="n">
        <v>1570</v>
      </c>
      <c r="L1252" s="43" t="inlineStr">
        <is>
          <t>在来・204｜マド</t>
        </is>
      </c>
      <c r="M1252" s="178" t="b">
        <v>1</v>
      </c>
      <c r="N1252" s="43" t="inlineStr">
        <is>
          <t>カタログ規格確認済み</t>
        </is>
      </c>
      <c r="O1252" s="222" t="n">
        <v>181</v>
      </c>
      <c r="P1252" s="222" t="n">
        <v>179</v>
      </c>
      <c r="Q1252" s="43" t="inlineStr">
        <is>
          <t>202604_LIXIL_サーモスＬ_業務用資料集_完成品価格表.pdf</t>
        </is>
      </c>
      <c r="R1252" s="43" t="n"/>
      <c r="S1252" s="42" t="inlineStr">
        <is>
          <t>無印</t>
        </is>
      </c>
      <c r="T1252" s="42" t="n">
        <v>179</v>
      </c>
      <c r="U1252" s="42" t="inlineStr">
        <is>
          <t>P179|無印</t>
        </is>
      </c>
      <c r="V1252" s="42" t="inlineStr">
        <is>
          <t>同頁凡例へ直接連動</t>
        </is>
      </c>
    </row>
    <row r="1253">
      <c r="A1253" s="43" t="inlineStr">
        <is>
          <t>SZ-SL-001250</t>
        </is>
      </c>
      <c r="B1253" s="43" t="inlineStr">
        <is>
          <t>SER-LIX-SAMOSL</t>
        </is>
      </c>
      <c r="C1253" s="43" t="inlineStr">
        <is>
          <t>WT-SL-FIX-IN</t>
        </is>
      </c>
      <c r="D1253" s="43" t="inlineStr">
        <is>
          <t>FIX窓（内押縁タイプ）</t>
        </is>
      </c>
      <c r="E1253" s="43" t="n"/>
      <c r="F1253" s="43" t="inlineStr">
        <is>
          <t>在来・204</t>
        </is>
      </c>
      <c r="G1253" s="43" t="inlineStr">
        <is>
          <t>16509</t>
        </is>
      </c>
      <c r="H1253" s="43" t="inlineStr">
        <is>
          <t>165</t>
        </is>
      </c>
      <c r="I1253" s="43" t="inlineStr">
        <is>
          <t>09</t>
        </is>
      </c>
      <c r="J1253" s="222" t="n">
        <v>1690</v>
      </c>
      <c r="K1253" s="222" t="n">
        <v>970</v>
      </c>
      <c r="L1253" s="43" t="inlineStr">
        <is>
          <t>在来・204｜マド</t>
        </is>
      </c>
      <c r="M1253" s="178" t="b">
        <v>1</v>
      </c>
      <c r="N1253" s="43" t="inlineStr">
        <is>
          <t>カタログ規格確認済み</t>
        </is>
      </c>
      <c r="O1253" s="222" t="n">
        <v>181</v>
      </c>
      <c r="P1253" s="222" t="n">
        <v>179</v>
      </c>
      <c r="Q1253" s="43" t="inlineStr">
        <is>
          <t>202604_LIXIL_サーモスＬ_業務用資料集_完成品価格表.pdf</t>
        </is>
      </c>
      <c r="R1253" s="43" t="n"/>
      <c r="S1253" s="42" t="inlineStr">
        <is>
          <t>無印</t>
        </is>
      </c>
      <c r="T1253" s="42" t="n">
        <v>179</v>
      </c>
      <c r="U1253" s="42" t="inlineStr">
        <is>
          <t>P179|無印</t>
        </is>
      </c>
      <c r="V1253" s="42" t="inlineStr">
        <is>
          <t>同頁凡例へ直接連動</t>
        </is>
      </c>
    </row>
    <row r="1254">
      <c r="A1254" s="43" t="inlineStr">
        <is>
          <t>SZ-SL-001251</t>
        </is>
      </c>
      <c r="B1254" s="43" t="inlineStr">
        <is>
          <t>SER-LIX-SAMOSL</t>
        </is>
      </c>
      <c r="C1254" s="43" t="inlineStr">
        <is>
          <t>WT-SL-FIX-IN</t>
        </is>
      </c>
      <c r="D1254" s="43" t="inlineStr">
        <is>
          <t>FIX窓（内押縁タイプ）</t>
        </is>
      </c>
      <c r="E1254" s="43" t="n"/>
      <c r="F1254" s="43" t="inlineStr">
        <is>
          <t>在来・204</t>
        </is>
      </c>
      <c r="G1254" s="43" t="inlineStr">
        <is>
          <t>16511</t>
        </is>
      </c>
      <c r="H1254" s="43" t="inlineStr">
        <is>
          <t>165</t>
        </is>
      </c>
      <c r="I1254" s="43" t="inlineStr">
        <is>
          <t>11</t>
        </is>
      </c>
      <c r="J1254" s="222" t="n">
        <v>1690</v>
      </c>
      <c r="K1254" s="222" t="n">
        <v>1170</v>
      </c>
      <c r="L1254" s="43" t="inlineStr">
        <is>
          <t>在来・204｜マド</t>
        </is>
      </c>
      <c r="M1254" s="178" t="b">
        <v>1</v>
      </c>
      <c r="N1254" s="43" t="inlineStr">
        <is>
          <t>カタログ規格確認済み</t>
        </is>
      </c>
      <c r="O1254" s="222" t="n">
        <v>181</v>
      </c>
      <c r="P1254" s="222" t="n">
        <v>179</v>
      </c>
      <c r="Q1254" s="43" t="inlineStr">
        <is>
          <t>202604_LIXIL_サーモスＬ_業務用資料集_完成品価格表.pdf</t>
        </is>
      </c>
      <c r="R1254" s="43" t="n"/>
      <c r="S1254" s="42" t="inlineStr">
        <is>
          <t>無印</t>
        </is>
      </c>
      <c r="T1254" s="42" t="n">
        <v>179</v>
      </c>
      <c r="U1254" s="42" t="inlineStr">
        <is>
          <t>P179|無印</t>
        </is>
      </c>
      <c r="V1254" s="42" t="inlineStr">
        <is>
          <t>同頁凡例へ直接連動</t>
        </is>
      </c>
    </row>
    <row r="1255">
      <c r="A1255" s="43" t="inlineStr">
        <is>
          <t>SZ-SL-001252</t>
        </is>
      </c>
      <c r="B1255" s="43" t="inlineStr">
        <is>
          <t>SER-LIX-SAMOSL</t>
        </is>
      </c>
      <c r="C1255" s="43" t="inlineStr">
        <is>
          <t>WT-SL-FIX-IN</t>
        </is>
      </c>
      <c r="D1255" s="43" t="inlineStr">
        <is>
          <t>FIX窓（内押縁タイプ）</t>
        </is>
      </c>
      <c r="E1255" s="43" t="n"/>
      <c r="F1255" s="43" t="inlineStr">
        <is>
          <t>在来・204</t>
        </is>
      </c>
      <c r="G1255" s="43" t="inlineStr">
        <is>
          <t>16513</t>
        </is>
      </c>
      <c r="H1255" s="43" t="inlineStr">
        <is>
          <t>165</t>
        </is>
      </c>
      <c r="I1255" s="43" t="inlineStr">
        <is>
          <t>13</t>
        </is>
      </c>
      <c r="J1255" s="222" t="n">
        <v>1690</v>
      </c>
      <c r="K1255" s="222" t="n">
        <v>1370</v>
      </c>
      <c r="L1255" s="43" t="inlineStr">
        <is>
          <t>在来・204｜マド</t>
        </is>
      </c>
      <c r="M1255" s="178" t="b">
        <v>1</v>
      </c>
      <c r="N1255" s="43" t="inlineStr">
        <is>
          <t>カタログ規格確認済み</t>
        </is>
      </c>
      <c r="O1255" s="222" t="n">
        <v>181</v>
      </c>
      <c r="P1255" s="222" t="n">
        <v>179</v>
      </c>
      <c r="Q1255" s="43" t="inlineStr">
        <is>
          <t>202604_LIXIL_サーモスＬ_業務用資料集_完成品価格表.pdf</t>
        </is>
      </c>
      <c r="R1255" s="43" t="n"/>
      <c r="S1255" s="42" t="inlineStr">
        <is>
          <t>●</t>
        </is>
      </c>
      <c r="T1255" s="42" t="n">
        <v>179</v>
      </c>
      <c r="U1255" s="42" t="inlineStr">
        <is>
          <t>P179|●</t>
        </is>
      </c>
      <c r="V1255" s="42" t="inlineStr">
        <is>
          <t>同頁凡例へ直接連動</t>
        </is>
      </c>
    </row>
    <row r="1256">
      <c r="A1256" s="43" t="inlineStr">
        <is>
          <t>SZ-SL-001253</t>
        </is>
      </c>
      <c r="B1256" s="43" t="inlineStr">
        <is>
          <t>SER-LIX-SAMOSL</t>
        </is>
      </c>
      <c r="C1256" s="43" t="inlineStr">
        <is>
          <t>WT-SL-FIX-IN</t>
        </is>
      </c>
      <c r="D1256" s="43" t="inlineStr">
        <is>
          <t>FIX窓（内押縁タイプ）</t>
        </is>
      </c>
      <c r="E1256" s="43" t="n"/>
      <c r="F1256" s="43" t="inlineStr">
        <is>
          <t>在来・204</t>
        </is>
      </c>
      <c r="G1256" s="43" t="inlineStr">
        <is>
          <t>16515</t>
        </is>
      </c>
      <c r="H1256" s="43" t="inlineStr">
        <is>
          <t>165</t>
        </is>
      </c>
      <c r="I1256" s="43" t="inlineStr">
        <is>
          <t>15</t>
        </is>
      </c>
      <c r="J1256" s="222" t="n">
        <v>1690</v>
      </c>
      <c r="K1256" s="222" t="n">
        <v>1570</v>
      </c>
      <c r="L1256" s="43" t="inlineStr">
        <is>
          <t>在来・204｜マド</t>
        </is>
      </c>
      <c r="M1256" s="178" t="b">
        <v>1</v>
      </c>
      <c r="N1256" s="43" t="inlineStr">
        <is>
          <t>カタログ規格確認済み</t>
        </is>
      </c>
      <c r="O1256" s="222" t="n">
        <v>181</v>
      </c>
      <c r="P1256" s="222" t="n">
        <v>179</v>
      </c>
      <c r="Q1256" s="43" t="inlineStr">
        <is>
          <t>202604_LIXIL_サーモスＬ_業務用資料集_完成品価格表.pdf</t>
        </is>
      </c>
      <c r="R1256" s="43" t="n"/>
      <c r="S1256" s="42" t="inlineStr">
        <is>
          <t>◇</t>
        </is>
      </c>
      <c r="T1256" s="42" t="n">
        <v>179</v>
      </c>
      <c r="U1256" s="42" t="inlineStr">
        <is>
          <t>P179|◇</t>
        </is>
      </c>
      <c r="V1256" s="42" t="inlineStr">
        <is>
          <t>同頁凡例へ直接連動</t>
        </is>
      </c>
    </row>
    <row r="1257">
      <c r="A1257" s="43" t="inlineStr">
        <is>
          <t>SZ-SL-001254</t>
        </is>
      </c>
      <c r="B1257" s="43" t="inlineStr">
        <is>
          <t>SER-LIX-SAMOSL</t>
        </is>
      </c>
      <c r="C1257" s="43" t="inlineStr">
        <is>
          <t>WT-SL-FIX-IN</t>
        </is>
      </c>
      <c r="D1257" s="43" t="inlineStr">
        <is>
          <t>FIX窓（内押縁タイプ）</t>
        </is>
      </c>
      <c r="E1257" s="43" t="n"/>
      <c r="F1257" s="43" t="inlineStr">
        <is>
          <t>在来・204</t>
        </is>
      </c>
      <c r="G1257" s="43" t="inlineStr">
        <is>
          <t>01618</t>
        </is>
      </c>
      <c r="H1257" s="43" t="inlineStr">
        <is>
          <t>016</t>
        </is>
      </c>
      <c r="I1257" s="43" t="inlineStr">
        <is>
          <t>18</t>
        </is>
      </c>
      <c r="J1257" s="222" t="n">
        <v>200</v>
      </c>
      <c r="K1257" s="222" t="n">
        <v>1830</v>
      </c>
      <c r="L1257" s="43" t="inlineStr">
        <is>
          <t>在来・204｜マド</t>
        </is>
      </c>
      <c r="M1257" s="178" t="b">
        <v>1</v>
      </c>
      <c r="N1257" s="43" t="inlineStr">
        <is>
          <t>カタログ規格確認済み</t>
        </is>
      </c>
      <c r="O1257" s="222" t="n">
        <v>182</v>
      </c>
      <c r="P1257" s="222" t="n">
        <v>180</v>
      </c>
      <c r="Q1257" s="43" t="inlineStr">
        <is>
          <t>202604_LIXIL_サーモスＬ_業務用資料集_完成品価格表.pdf</t>
        </is>
      </c>
      <c r="R1257" s="43" t="n"/>
      <c r="S1257" s="42" t="inlineStr">
        <is>
          <t>無印</t>
        </is>
      </c>
      <c r="T1257" s="42" t="n">
        <v>180</v>
      </c>
      <c r="U1257" s="42" t="inlineStr">
        <is>
          <t>P180|無印</t>
        </is>
      </c>
      <c r="V1257" s="42" t="inlineStr">
        <is>
          <t>同頁凡例へ直接連動</t>
        </is>
      </c>
    </row>
    <row r="1258">
      <c r="A1258" s="43" t="inlineStr">
        <is>
          <t>SZ-SL-001255</t>
        </is>
      </c>
      <c r="B1258" s="43" t="inlineStr">
        <is>
          <t>SER-LIX-SAMOSL</t>
        </is>
      </c>
      <c r="C1258" s="43" t="inlineStr">
        <is>
          <t>WT-SL-FIX-IN</t>
        </is>
      </c>
      <c r="D1258" s="43" t="inlineStr">
        <is>
          <t>FIX窓（内押縁タイプ）</t>
        </is>
      </c>
      <c r="E1258" s="43" t="n"/>
      <c r="F1258" s="43" t="inlineStr">
        <is>
          <t>在来・204</t>
        </is>
      </c>
      <c r="G1258" s="43" t="inlineStr">
        <is>
          <t>01620</t>
        </is>
      </c>
      <c r="H1258" s="43" t="inlineStr">
        <is>
          <t>016</t>
        </is>
      </c>
      <c r="I1258" s="43" t="inlineStr">
        <is>
          <t>20</t>
        </is>
      </c>
      <c r="J1258" s="222" t="n">
        <v>200</v>
      </c>
      <c r="K1258" s="222" t="n">
        <v>2030</v>
      </c>
      <c r="L1258" s="43" t="inlineStr">
        <is>
          <t>在来・204｜マド</t>
        </is>
      </c>
      <c r="M1258" s="178" t="b">
        <v>1</v>
      </c>
      <c r="N1258" s="43" t="inlineStr">
        <is>
          <t>カタログ規格確認済み</t>
        </is>
      </c>
      <c r="O1258" s="222" t="n">
        <v>182</v>
      </c>
      <c r="P1258" s="222" t="n">
        <v>180</v>
      </c>
      <c r="Q1258" s="43" t="inlineStr">
        <is>
          <t>202604_LIXIL_サーモスＬ_業務用資料集_完成品価格表.pdf</t>
        </is>
      </c>
      <c r="R1258" s="43" t="n"/>
      <c r="S1258" s="42" t="inlineStr">
        <is>
          <t>無印</t>
        </is>
      </c>
      <c r="T1258" s="42" t="n">
        <v>180</v>
      </c>
      <c r="U1258" s="42" t="inlineStr">
        <is>
          <t>P180|無印</t>
        </is>
      </c>
      <c r="V1258" s="42" t="inlineStr">
        <is>
          <t>同頁凡例へ直接連動</t>
        </is>
      </c>
    </row>
    <row r="1259">
      <c r="A1259" s="43" t="inlineStr">
        <is>
          <t>SZ-SL-001256</t>
        </is>
      </c>
      <c r="B1259" s="43" t="inlineStr">
        <is>
          <t>SER-LIX-SAMOSL</t>
        </is>
      </c>
      <c r="C1259" s="43" t="inlineStr">
        <is>
          <t>WT-SL-FIX-IN</t>
        </is>
      </c>
      <c r="D1259" s="43" t="inlineStr">
        <is>
          <t>FIX窓（内押縁タイプ）</t>
        </is>
      </c>
      <c r="E1259" s="43" t="n"/>
      <c r="F1259" s="43" t="inlineStr">
        <is>
          <t>在来・204</t>
        </is>
      </c>
      <c r="G1259" s="43" t="inlineStr">
        <is>
          <t>01622</t>
        </is>
      </c>
      <c r="H1259" s="43" t="inlineStr">
        <is>
          <t>016</t>
        </is>
      </c>
      <c r="I1259" s="43" t="inlineStr">
        <is>
          <t>22</t>
        </is>
      </c>
      <c r="J1259" s="222" t="n">
        <v>200</v>
      </c>
      <c r="K1259" s="222" t="n">
        <v>2230</v>
      </c>
      <c r="L1259" s="43" t="inlineStr">
        <is>
          <t>在来・204｜マド</t>
        </is>
      </c>
      <c r="M1259" s="178" t="b">
        <v>1</v>
      </c>
      <c r="N1259" s="43" t="inlineStr">
        <is>
          <t>カタログ規格確認済み</t>
        </is>
      </c>
      <c r="O1259" s="222" t="n">
        <v>182</v>
      </c>
      <c r="P1259" s="222" t="n">
        <v>180</v>
      </c>
      <c r="Q1259" s="43" t="inlineStr">
        <is>
          <t>202604_LIXIL_サーモスＬ_業務用資料集_完成品価格表.pdf</t>
        </is>
      </c>
      <c r="R1259" s="43" t="n"/>
      <c r="S1259" s="42" t="inlineStr">
        <is>
          <t>無印</t>
        </is>
      </c>
      <c r="T1259" s="42" t="n">
        <v>180</v>
      </c>
      <c r="U1259" s="42" t="inlineStr">
        <is>
          <t>P180|無印</t>
        </is>
      </c>
      <c r="V1259" s="42" t="inlineStr">
        <is>
          <t>同頁凡例へ直接連動</t>
        </is>
      </c>
    </row>
    <row r="1260">
      <c r="A1260" s="43" t="inlineStr">
        <is>
          <t>SZ-SL-001257</t>
        </is>
      </c>
      <c r="B1260" s="43" t="inlineStr">
        <is>
          <t>SER-LIX-SAMOSL</t>
        </is>
      </c>
      <c r="C1260" s="43" t="inlineStr">
        <is>
          <t>WT-SL-FIX-IN</t>
        </is>
      </c>
      <c r="D1260" s="43" t="inlineStr">
        <is>
          <t>FIX窓（内押縁タイプ）</t>
        </is>
      </c>
      <c r="E1260" s="43" t="n"/>
      <c r="F1260" s="43" t="inlineStr">
        <is>
          <t>在来・204</t>
        </is>
      </c>
      <c r="G1260" s="43" t="inlineStr">
        <is>
          <t>02118</t>
        </is>
      </c>
      <c r="H1260" s="43" t="inlineStr">
        <is>
          <t>021</t>
        </is>
      </c>
      <c r="I1260" s="43" t="inlineStr">
        <is>
          <t>18</t>
        </is>
      </c>
      <c r="J1260" s="222" t="n">
        <v>250</v>
      </c>
      <c r="K1260" s="222" t="n">
        <v>1830</v>
      </c>
      <c r="L1260" s="43" t="inlineStr">
        <is>
          <t>在来・204｜マド</t>
        </is>
      </c>
      <c r="M1260" s="178" t="b">
        <v>1</v>
      </c>
      <c r="N1260" s="43" t="inlineStr">
        <is>
          <t>カタログ規格確認済み</t>
        </is>
      </c>
      <c r="O1260" s="222" t="n">
        <v>182</v>
      </c>
      <c r="P1260" s="222" t="n">
        <v>180</v>
      </c>
      <c r="Q1260" s="43" t="inlineStr">
        <is>
          <t>202604_LIXIL_サーモスＬ_業務用資料集_完成品価格表.pdf</t>
        </is>
      </c>
      <c r="R1260" s="43" t="n"/>
      <c r="S1260" s="42" t="inlineStr">
        <is>
          <t>無印</t>
        </is>
      </c>
      <c r="T1260" s="42" t="n">
        <v>180</v>
      </c>
      <c r="U1260" s="42" t="inlineStr">
        <is>
          <t>P180|無印</t>
        </is>
      </c>
      <c r="V1260" s="42" t="inlineStr">
        <is>
          <t>同頁凡例へ直接連動</t>
        </is>
      </c>
    </row>
    <row r="1261">
      <c r="A1261" s="43" t="inlineStr">
        <is>
          <t>SZ-SL-001258</t>
        </is>
      </c>
      <c r="B1261" s="43" t="inlineStr">
        <is>
          <t>SER-LIX-SAMOSL</t>
        </is>
      </c>
      <c r="C1261" s="43" t="inlineStr">
        <is>
          <t>WT-SL-FIX-IN</t>
        </is>
      </c>
      <c r="D1261" s="43" t="inlineStr">
        <is>
          <t>FIX窓（内押縁タイプ）</t>
        </is>
      </c>
      <c r="E1261" s="43" t="n"/>
      <c r="F1261" s="43" t="inlineStr">
        <is>
          <t>在来・204</t>
        </is>
      </c>
      <c r="G1261" s="43" t="inlineStr">
        <is>
          <t>02120</t>
        </is>
      </c>
      <c r="H1261" s="43" t="inlineStr">
        <is>
          <t>021</t>
        </is>
      </c>
      <c r="I1261" s="43" t="inlineStr">
        <is>
          <t>20</t>
        </is>
      </c>
      <c r="J1261" s="222" t="n">
        <v>250</v>
      </c>
      <c r="K1261" s="222" t="n">
        <v>2030</v>
      </c>
      <c r="L1261" s="43" t="inlineStr">
        <is>
          <t>在来・204｜マド</t>
        </is>
      </c>
      <c r="M1261" s="178" t="b">
        <v>1</v>
      </c>
      <c r="N1261" s="43" t="inlineStr">
        <is>
          <t>カタログ規格確認済み</t>
        </is>
      </c>
      <c r="O1261" s="222" t="n">
        <v>182</v>
      </c>
      <c r="P1261" s="222" t="n">
        <v>180</v>
      </c>
      <c r="Q1261" s="43" t="inlineStr">
        <is>
          <t>202604_LIXIL_サーモスＬ_業務用資料集_完成品価格表.pdf</t>
        </is>
      </c>
      <c r="R1261" s="43" t="n"/>
      <c r="S1261" s="42" t="inlineStr">
        <is>
          <t>無印</t>
        </is>
      </c>
      <c r="T1261" s="42" t="n">
        <v>180</v>
      </c>
      <c r="U1261" s="42" t="inlineStr">
        <is>
          <t>P180|無印</t>
        </is>
      </c>
      <c r="V1261" s="42" t="inlineStr">
        <is>
          <t>同頁凡例へ直接連動</t>
        </is>
      </c>
    </row>
    <row r="1262">
      <c r="A1262" s="43" t="inlineStr">
        <is>
          <t>SZ-SL-001259</t>
        </is>
      </c>
      <c r="B1262" s="43" t="inlineStr">
        <is>
          <t>SER-LIX-SAMOSL</t>
        </is>
      </c>
      <c r="C1262" s="43" t="inlineStr">
        <is>
          <t>WT-SL-FIX-IN</t>
        </is>
      </c>
      <c r="D1262" s="43" t="inlineStr">
        <is>
          <t>FIX窓（内押縁タイプ）</t>
        </is>
      </c>
      <c r="E1262" s="43" t="n"/>
      <c r="F1262" s="43" t="inlineStr">
        <is>
          <t>在来・204</t>
        </is>
      </c>
      <c r="G1262" s="43" t="inlineStr">
        <is>
          <t>02122</t>
        </is>
      </c>
      <c r="H1262" s="43" t="inlineStr">
        <is>
          <t>021</t>
        </is>
      </c>
      <c r="I1262" s="43" t="inlineStr">
        <is>
          <t>22</t>
        </is>
      </c>
      <c r="J1262" s="222" t="n">
        <v>250</v>
      </c>
      <c r="K1262" s="222" t="n">
        <v>2230</v>
      </c>
      <c r="L1262" s="43" t="inlineStr">
        <is>
          <t>在来・204｜マド</t>
        </is>
      </c>
      <c r="M1262" s="178" t="b">
        <v>1</v>
      </c>
      <c r="N1262" s="43" t="inlineStr">
        <is>
          <t>カタログ規格確認済み</t>
        </is>
      </c>
      <c r="O1262" s="222" t="n">
        <v>182</v>
      </c>
      <c r="P1262" s="222" t="n">
        <v>180</v>
      </c>
      <c r="Q1262" s="43" t="inlineStr">
        <is>
          <t>202604_LIXIL_サーモスＬ_業務用資料集_完成品価格表.pdf</t>
        </is>
      </c>
      <c r="R1262" s="43" t="n"/>
      <c r="S1262" s="42" t="inlineStr">
        <is>
          <t>無印</t>
        </is>
      </c>
      <c r="T1262" s="42" t="n">
        <v>180</v>
      </c>
      <c r="U1262" s="42" t="inlineStr">
        <is>
          <t>P180|無印</t>
        </is>
      </c>
      <c r="V1262" s="42" t="inlineStr">
        <is>
          <t>同頁凡例へ直接連動</t>
        </is>
      </c>
    </row>
    <row r="1263">
      <c r="A1263" s="43" t="inlineStr">
        <is>
          <t>SZ-SL-001260</t>
        </is>
      </c>
      <c r="B1263" s="43" t="inlineStr">
        <is>
          <t>SER-LIX-SAMOSL</t>
        </is>
      </c>
      <c r="C1263" s="43" t="inlineStr">
        <is>
          <t>WT-SL-FIX-IN</t>
        </is>
      </c>
      <c r="D1263" s="43" t="inlineStr">
        <is>
          <t>FIX窓（内押縁タイプ）</t>
        </is>
      </c>
      <c r="E1263" s="43" t="n"/>
      <c r="F1263" s="43" t="inlineStr">
        <is>
          <t>在来・204</t>
        </is>
      </c>
      <c r="G1263" s="43" t="inlineStr">
        <is>
          <t>02618</t>
        </is>
      </c>
      <c r="H1263" s="43" t="inlineStr">
        <is>
          <t>026</t>
        </is>
      </c>
      <c r="I1263" s="43" t="inlineStr">
        <is>
          <t>18</t>
        </is>
      </c>
      <c r="J1263" s="222" t="n">
        <v>300</v>
      </c>
      <c r="K1263" s="222" t="n">
        <v>1830</v>
      </c>
      <c r="L1263" s="43" t="inlineStr">
        <is>
          <t>在来・204｜マド</t>
        </is>
      </c>
      <c r="M1263" s="178" t="b">
        <v>1</v>
      </c>
      <c r="N1263" s="43" t="inlineStr">
        <is>
          <t>カタログ規格確認済み</t>
        </is>
      </c>
      <c r="O1263" s="222" t="n">
        <v>182</v>
      </c>
      <c r="P1263" s="222" t="n">
        <v>180</v>
      </c>
      <c r="Q1263" s="43" t="inlineStr">
        <is>
          <t>202604_LIXIL_サーモスＬ_業務用資料集_完成品価格表.pdf</t>
        </is>
      </c>
      <c r="R1263" s="43" t="n"/>
      <c r="S1263" s="42" t="inlineStr">
        <is>
          <t>無印</t>
        </is>
      </c>
      <c r="T1263" s="42" t="n">
        <v>180</v>
      </c>
      <c r="U1263" s="42" t="inlineStr">
        <is>
          <t>P180|無印</t>
        </is>
      </c>
      <c r="V1263" s="42" t="inlineStr">
        <is>
          <t>同頁凡例へ直接連動</t>
        </is>
      </c>
    </row>
    <row r="1264">
      <c r="A1264" s="43" t="inlineStr">
        <is>
          <t>SZ-SL-001261</t>
        </is>
      </c>
      <c r="B1264" s="43" t="inlineStr">
        <is>
          <t>SER-LIX-SAMOSL</t>
        </is>
      </c>
      <c r="C1264" s="43" t="inlineStr">
        <is>
          <t>WT-SL-FIX-IN</t>
        </is>
      </c>
      <c r="D1264" s="43" t="inlineStr">
        <is>
          <t>FIX窓（内押縁タイプ）</t>
        </is>
      </c>
      <c r="E1264" s="43" t="n"/>
      <c r="F1264" s="43" t="inlineStr">
        <is>
          <t>在来・204</t>
        </is>
      </c>
      <c r="G1264" s="43" t="inlineStr">
        <is>
          <t>02620</t>
        </is>
      </c>
      <c r="H1264" s="43" t="inlineStr">
        <is>
          <t>026</t>
        </is>
      </c>
      <c r="I1264" s="43" t="inlineStr">
        <is>
          <t>20</t>
        </is>
      </c>
      <c r="J1264" s="222" t="n">
        <v>300</v>
      </c>
      <c r="K1264" s="222" t="n">
        <v>2030</v>
      </c>
      <c r="L1264" s="43" t="inlineStr">
        <is>
          <t>在来・204｜マド</t>
        </is>
      </c>
      <c r="M1264" s="178" t="b">
        <v>1</v>
      </c>
      <c r="N1264" s="43" t="inlineStr">
        <is>
          <t>カタログ規格確認済み</t>
        </is>
      </c>
      <c r="O1264" s="222" t="n">
        <v>182</v>
      </c>
      <c r="P1264" s="222" t="n">
        <v>180</v>
      </c>
      <c r="Q1264" s="43" t="inlineStr">
        <is>
          <t>202604_LIXIL_サーモスＬ_業務用資料集_完成品価格表.pdf</t>
        </is>
      </c>
      <c r="R1264" s="43" t="n"/>
      <c r="S1264" s="42" t="inlineStr">
        <is>
          <t>無印</t>
        </is>
      </c>
      <c r="T1264" s="42" t="n">
        <v>180</v>
      </c>
      <c r="U1264" s="42" t="inlineStr">
        <is>
          <t>P180|無印</t>
        </is>
      </c>
      <c r="V1264" s="42" t="inlineStr">
        <is>
          <t>同頁凡例へ直接連動</t>
        </is>
      </c>
    </row>
    <row r="1265">
      <c r="A1265" s="43" t="inlineStr">
        <is>
          <t>SZ-SL-001262</t>
        </is>
      </c>
      <c r="B1265" s="43" t="inlineStr">
        <is>
          <t>SER-LIX-SAMOSL</t>
        </is>
      </c>
      <c r="C1265" s="43" t="inlineStr">
        <is>
          <t>WT-SL-FIX-IN</t>
        </is>
      </c>
      <c r="D1265" s="43" t="inlineStr">
        <is>
          <t>FIX窓（内押縁タイプ）</t>
        </is>
      </c>
      <c r="E1265" s="43" t="n"/>
      <c r="F1265" s="43" t="inlineStr">
        <is>
          <t>在来・204</t>
        </is>
      </c>
      <c r="G1265" s="43" t="inlineStr">
        <is>
          <t>02622</t>
        </is>
      </c>
      <c r="H1265" s="43" t="inlineStr">
        <is>
          <t>026</t>
        </is>
      </c>
      <c r="I1265" s="43" t="inlineStr">
        <is>
          <t>22</t>
        </is>
      </c>
      <c r="J1265" s="222" t="n">
        <v>300</v>
      </c>
      <c r="K1265" s="222" t="n">
        <v>2230</v>
      </c>
      <c r="L1265" s="43" t="inlineStr">
        <is>
          <t>在来・204｜マド</t>
        </is>
      </c>
      <c r="M1265" s="178" t="b">
        <v>1</v>
      </c>
      <c r="N1265" s="43" t="inlineStr">
        <is>
          <t>カタログ規格確認済み</t>
        </is>
      </c>
      <c r="O1265" s="222" t="n">
        <v>182</v>
      </c>
      <c r="P1265" s="222" t="n">
        <v>180</v>
      </c>
      <c r="Q1265" s="43" t="inlineStr">
        <is>
          <t>202604_LIXIL_サーモスＬ_業務用資料集_完成品価格表.pdf</t>
        </is>
      </c>
      <c r="R1265" s="43" t="n"/>
      <c r="S1265" s="42" t="inlineStr">
        <is>
          <t>無印</t>
        </is>
      </c>
      <c r="T1265" s="42" t="n">
        <v>180</v>
      </c>
      <c r="U1265" s="42" t="inlineStr">
        <is>
          <t>P180|無印</t>
        </is>
      </c>
      <c r="V1265" s="42" t="inlineStr">
        <is>
          <t>同頁凡例へ直接連動</t>
        </is>
      </c>
    </row>
    <row r="1266">
      <c r="A1266" s="43" t="inlineStr">
        <is>
          <t>SZ-SL-001263</t>
        </is>
      </c>
      <c r="B1266" s="43" t="inlineStr">
        <is>
          <t>SER-LIX-SAMOSL</t>
        </is>
      </c>
      <c r="C1266" s="43" t="inlineStr">
        <is>
          <t>WT-SL-FIX-IN</t>
        </is>
      </c>
      <c r="D1266" s="43" t="inlineStr">
        <is>
          <t>FIX窓（内押縁タイプ）</t>
        </is>
      </c>
      <c r="E1266" s="43" t="n"/>
      <c r="F1266" s="43" t="inlineStr">
        <is>
          <t>在来・204</t>
        </is>
      </c>
      <c r="G1266" s="43" t="inlineStr">
        <is>
          <t>03118</t>
        </is>
      </c>
      <c r="H1266" s="43" t="inlineStr">
        <is>
          <t>031</t>
        </is>
      </c>
      <c r="I1266" s="43" t="inlineStr">
        <is>
          <t>18</t>
        </is>
      </c>
      <c r="J1266" s="222" t="n">
        <v>350</v>
      </c>
      <c r="K1266" s="222" t="n">
        <v>1830</v>
      </c>
      <c r="L1266" s="43" t="inlineStr">
        <is>
          <t>在来・204｜マド</t>
        </is>
      </c>
      <c r="M1266" s="178" t="b">
        <v>1</v>
      </c>
      <c r="N1266" s="43" t="inlineStr">
        <is>
          <t>カタログ規格確認済み</t>
        </is>
      </c>
      <c r="O1266" s="222" t="n">
        <v>183</v>
      </c>
      <c r="P1266" s="222" t="n">
        <v>181</v>
      </c>
      <c r="Q1266" s="43" t="inlineStr">
        <is>
          <t>202604_LIXIL_サーモスＬ_業務用資料集_完成品価格表.pdf</t>
        </is>
      </c>
      <c r="R1266" s="43" t="n"/>
      <c r="S1266" s="42" t="inlineStr">
        <is>
          <t>無印</t>
        </is>
      </c>
      <c r="T1266" s="42" t="n">
        <v>180</v>
      </c>
      <c r="U1266" s="42" t="inlineStr">
        <is>
          <t>P180|無印</t>
        </is>
      </c>
      <c r="V1266" s="42" t="inlineStr">
        <is>
          <t>同一価格表・前頁凡例を継承</t>
        </is>
      </c>
    </row>
    <row r="1267">
      <c r="A1267" s="43" t="inlineStr">
        <is>
          <t>SZ-SL-001264</t>
        </is>
      </c>
      <c r="B1267" s="43" t="inlineStr">
        <is>
          <t>SER-LIX-SAMOSL</t>
        </is>
      </c>
      <c r="C1267" s="43" t="inlineStr">
        <is>
          <t>WT-SL-FIX-IN</t>
        </is>
      </c>
      <c r="D1267" s="43" t="inlineStr">
        <is>
          <t>FIX窓（内押縁タイプ）</t>
        </is>
      </c>
      <c r="E1267" s="43" t="n"/>
      <c r="F1267" s="43" t="inlineStr">
        <is>
          <t>在来・204</t>
        </is>
      </c>
      <c r="G1267" s="43" t="inlineStr">
        <is>
          <t>03120</t>
        </is>
      </c>
      <c r="H1267" s="43" t="inlineStr">
        <is>
          <t>031</t>
        </is>
      </c>
      <c r="I1267" s="43" t="inlineStr">
        <is>
          <t>20</t>
        </is>
      </c>
      <c r="J1267" s="222" t="n">
        <v>350</v>
      </c>
      <c r="K1267" s="222" t="n">
        <v>2030</v>
      </c>
      <c r="L1267" s="43" t="inlineStr">
        <is>
          <t>在来・204｜マド</t>
        </is>
      </c>
      <c r="M1267" s="178" t="b">
        <v>1</v>
      </c>
      <c r="N1267" s="43" t="inlineStr">
        <is>
          <t>カタログ規格確認済み</t>
        </is>
      </c>
      <c r="O1267" s="222" t="n">
        <v>183</v>
      </c>
      <c r="P1267" s="222" t="n">
        <v>181</v>
      </c>
      <c r="Q1267" s="43" t="inlineStr">
        <is>
          <t>202604_LIXIL_サーモスＬ_業務用資料集_完成品価格表.pdf</t>
        </is>
      </c>
      <c r="R1267" s="43" t="n"/>
      <c r="S1267" s="42" t="inlineStr">
        <is>
          <t>無印</t>
        </is>
      </c>
      <c r="T1267" s="42" t="n">
        <v>180</v>
      </c>
      <c r="U1267" s="42" t="inlineStr">
        <is>
          <t>P180|無印</t>
        </is>
      </c>
      <c r="V1267" s="42" t="inlineStr">
        <is>
          <t>同一価格表・前頁凡例を継承</t>
        </is>
      </c>
    </row>
    <row r="1268">
      <c r="A1268" s="43" t="inlineStr">
        <is>
          <t>SZ-SL-001265</t>
        </is>
      </c>
      <c r="B1268" s="43" t="inlineStr">
        <is>
          <t>SER-LIX-SAMOSL</t>
        </is>
      </c>
      <c r="C1268" s="43" t="inlineStr">
        <is>
          <t>WT-SL-FIX-IN</t>
        </is>
      </c>
      <c r="D1268" s="43" t="inlineStr">
        <is>
          <t>FIX窓（内押縁タイプ）</t>
        </is>
      </c>
      <c r="E1268" s="43" t="n"/>
      <c r="F1268" s="43" t="inlineStr">
        <is>
          <t>在来・204</t>
        </is>
      </c>
      <c r="G1268" s="43" t="inlineStr">
        <is>
          <t>03122</t>
        </is>
      </c>
      <c r="H1268" s="43" t="inlineStr">
        <is>
          <t>031</t>
        </is>
      </c>
      <c r="I1268" s="43" t="inlineStr">
        <is>
          <t>22</t>
        </is>
      </c>
      <c r="J1268" s="222" t="n">
        <v>350</v>
      </c>
      <c r="K1268" s="222" t="n">
        <v>2230</v>
      </c>
      <c r="L1268" s="43" t="inlineStr">
        <is>
          <t>在来・204｜マド</t>
        </is>
      </c>
      <c r="M1268" s="178" t="b">
        <v>1</v>
      </c>
      <c r="N1268" s="43" t="inlineStr">
        <is>
          <t>カタログ規格確認済み</t>
        </is>
      </c>
      <c r="O1268" s="222" t="n">
        <v>183</v>
      </c>
      <c r="P1268" s="222" t="n">
        <v>181</v>
      </c>
      <c r="Q1268" s="43" t="inlineStr">
        <is>
          <t>202604_LIXIL_サーモスＬ_業務用資料集_完成品価格表.pdf</t>
        </is>
      </c>
      <c r="R1268" s="43" t="n"/>
      <c r="S1268" s="42" t="inlineStr">
        <is>
          <t>無印</t>
        </is>
      </c>
      <c r="T1268" s="42" t="n">
        <v>180</v>
      </c>
      <c r="U1268" s="42" t="inlineStr">
        <is>
          <t>P180|無印</t>
        </is>
      </c>
      <c r="V1268" s="42" t="inlineStr">
        <is>
          <t>同一価格表・前頁凡例を継承</t>
        </is>
      </c>
    </row>
    <row r="1269">
      <c r="A1269" s="43" t="inlineStr">
        <is>
          <t>SZ-SL-001266</t>
        </is>
      </c>
      <c r="B1269" s="43" t="inlineStr">
        <is>
          <t>SER-LIX-SAMOSL</t>
        </is>
      </c>
      <c r="C1269" s="43" t="inlineStr">
        <is>
          <t>WT-SL-FIX-IN</t>
        </is>
      </c>
      <c r="D1269" s="43" t="inlineStr">
        <is>
          <t>FIX窓（内押縁タイプ）</t>
        </is>
      </c>
      <c r="E1269" s="43" t="n"/>
      <c r="F1269" s="43" t="inlineStr">
        <is>
          <t>在来</t>
        </is>
      </c>
      <c r="G1269" s="43" t="inlineStr">
        <is>
          <t>03618</t>
        </is>
      </c>
      <c r="H1269" s="43" t="inlineStr">
        <is>
          <t>036</t>
        </is>
      </c>
      <c r="I1269" s="43" t="inlineStr">
        <is>
          <t>18</t>
        </is>
      </c>
      <c r="J1269" s="222" t="n">
        <v>405</v>
      </c>
      <c r="K1269" s="222" t="n">
        <v>1830</v>
      </c>
      <c r="L1269" s="43" t="inlineStr">
        <is>
          <t>在来｜テラス</t>
        </is>
      </c>
      <c r="M1269" s="178" t="b">
        <v>1</v>
      </c>
      <c r="N1269" s="43" t="inlineStr">
        <is>
          <t>カタログ規格確認済み</t>
        </is>
      </c>
      <c r="O1269" s="222" t="n">
        <v>186</v>
      </c>
      <c r="P1269" s="222" t="n">
        <v>184</v>
      </c>
      <c r="Q1269" s="43" t="inlineStr">
        <is>
          <t>202604_LIXIL_サーモスＬ_業務用資料集_完成品価格表.pdf</t>
        </is>
      </c>
      <c r="R1269" s="43" t="n"/>
      <c r="S1269" s="42" t="inlineStr">
        <is>
          <t>無印</t>
        </is>
      </c>
      <c r="T1269" s="42" t="n">
        <v>184</v>
      </c>
      <c r="U1269" s="42" t="inlineStr">
        <is>
          <t>P184|無印</t>
        </is>
      </c>
      <c r="V1269" s="42" t="inlineStr">
        <is>
          <t>同頁凡例へ直接連動</t>
        </is>
      </c>
    </row>
    <row r="1270">
      <c r="A1270" s="43" t="inlineStr">
        <is>
          <t>SZ-SL-001267</t>
        </is>
      </c>
      <c r="B1270" s="43" t="inlineStr">
        <is>
          <t>SER-LIX-SAMOSL</t>
        </is>
      </c>
      <c r="C1270" s="43" t="inlineStr">
        <is>
          <t>WT-SL-FIX-IN</t>
        </is>
      </c>
      <c r="D1270" s="43" t="inlineStr">
        <is>
          <t>FIX窓（内押縁タイプ）</t>
        </is>
      </c>
      <c r="E1270" s="43" t="n"/>
      <c r="F1270" s="43" t="inlineStr">
        <is>
          <t>在来</t>
        </is>
      </c>
      <c r="G1270" s="43" t="inlineStr">
        <is>
          <t>03620</t>
        </is>
      </c>
      <c r="H1270" s="43" t="inlineStr">
        <is>
          <t>036</t>
        </is>
      </c>
      <c r="I1270" s="43" t="inlineStr">
        <is>
          <t>20</t>
        </is>
      </c>
      <c r="J1270" s="222" t="n">
        <v>405</v>
      </c>
      <c r="K1270" s="222" t="n">
        <v>2030</v>
      </c>
      <c r="L1270" s="43" t="inlineStr">
        <is>
          <t>在来｜テラス</t>
        </is>
      </c>
      <c r="M1270" s="178" t="b">
        <v>1</v>
      </c>
      <c r="N1270" s="43" t="inlineStr">
        <is>
          <t>カタログ規格確認済み</t>
        </is>
      </c>
      <c r="O1270" s="222" t="n">
        <v>186</v>
      </c>
      <c r="P1270" s="222" t="n">
        <v>184</v>
      </c>
      <c r="Q1270" s="43" t="inlineStr">
        <is>
          <t>202604_LIXIL_サーモスＬ_業務用資料集_完成品価格表.pdf</t>
        </is>
      </c>
      <c r="R1270" s="43" t="n"/>
      <c r="S1270" s="42" t="inlineStr">
        <is>
          <t>無印</t>
        </is>
      </c>
      <c r="T1270" s="42" t="n">
        <v>184</v>
      </c>
      <c r="U1270" s="42" t="inlineStr">
        <is>
          <t>P184|無印</t>
        </is>
      </c>
      <c r="V1270" s="42" t="inlineStr">
        <is>
          <t>同頁凡例へ直接連動</t>
        </is>
      </c>
    </row>
    <row r="1271">
      <c r="A1271" s="43" t="inlineStr">
        <is>
          <t>SZ-SL-001268</t>
        </is>
      </c>
      <c r="B1271" s="43" t="inlineStr">
        <is>
          <t>SER-LIX-SAMOSL</t>
        </is>
      </c>
      <c r="C1271" s="43" t="inlineStr">
        <is>
          <t>WT-SL-FIX-IN</t>
        </is>
      </c>
      <c r="D1271" s="43" t="inlineStr">
        <is>
          <t>FIX窓（内押縁タイプ）</t>
        </is>
      </c>
      <c r="E1271" s="43" t="n"/>
      <c r="F1271" s="43" t="inlineStr">
        <is>
          <t>在来</t>
        </is>
      </c>
      <c r="G1271" s="43" t="inlineStr">
        <is>
          <t>03622</t>
        </is>
      </c>
      <c r="H1271" s="43" t="inlineStr">
        <is>
          <t>036</t>
        </is>
      </c>
      <c r="I1271" s="43" t="inlineStr">
        <is>
          <t>22</t>
        </is>
      </c>
      <c r="J1271" s="222" t="n">
        <v>405</v>
      </c>
      <c r="K1271" s="222" t="n">
        <v>2230</v>
      </c>
      <c r="L1271" s="43" t="inlineStr">
        <is>
          <t>在来｜テラス</t>
        </is>
      </c>
      <c r="M1271" s="178" t="b">
        <v>1</v>
      </c>
      <c r="N1271" s="43" t="inlineStr">
        <is>
          <t>カタログ規格確認済み</t>
        </is>
      </c>
      <c r="O1271" s="222" t="n">
        <v>186</v>
      </c>
      <c r="P1271" s="222" t="n">
        <v>184</v>
      </c>
      <c r="Q1271" s="43" t="inlineStr">
        <is>
          <t>202604_LIXIL_サーモスＬ_業務用資料集_完成品価格表.pdf</t>
        </is>
      </c>
      <c r="R1271" s="43" t="n"/>
      <c r="S1271" s="42" t="inlineStr">
        <is>
          <t>無印</t>
        </is>
      </c>
      <c r="T1271" s="42" t="n">
        <v>184</v>
      </c>
      <c r="U1271" s="42" t="inlineStr">
        <is>
          <t>P184|無印</t>
        </is>
      </c>
      <c r="V1271" s="42" t="inlineStr">
        <is>
          <t>同頁凡例へ直接連動</t>
        </is>
      </c>
    </row>
    <row r="1272">
      <c r="A1272" s="43" t="inlineStr">
        <is>
          <t>SZ-SL-001269</t>
        </is>
      </c>
      <c r="B1272" s="43" t="inlineStr">
        <is>
          <t>SER-LIX-SAMOSL</t>
        </is>
      </c>
      <c r="C1272" s="43" t="inlineStr">
        <is>
          <t>WT-SL-FIX-IN</t>
        </is>
      </c>
      <c r="D1272" s="43" t="inlineStr">
        <is>
          <t>FIX窓（内押縁タイプ）</t>
        </is>
      </c>
      <c r="E1272" s="43" t="n"/>
      <c r="F1272" s="43" t="inlineStr">
        <is>
          <t>在来</t>
        </is>
      </c>
      <c r="G1272" s="43" t="inlineStr">
        <is>
          <t>03624</t>
        </is>
      </c>
      <c r="H1272" s="43" t="inlineStr">
        <is>
          <t>036</t>
        </is>
      </c>
      <c r="I1272" s="43" t="inlineStr">
        <is>
          <t>24</t>
        </is>
      </c>
      <c r="J1272" s="222" t="n">
        <v>405</v>
      </c>
      <c r="K1272" s="222" t="n">
        <v>2430</v>
      </c>
      <c r="L1272" s="43" t="inlineStr">
        <is>
          <t>在来｜テラス</t>
        </is>
      </c>
      <c r="M1272" s="178" t="b">
        <v>1</v>
      </c>
      <c r="N1272" s="43" t="inlineStr">
        <is>
          <t>カタログ規格確認済み</t>
        </is>
      </c>
      <c r="O1272" s="222" t="n">
        <v>186</v>
      </c>
      <c r="P1272" s="222" t="n">
        <v>184</v>
      </c>
      <c r="Q1272" s="43" t="inlineStr">
        <is>
          <t>202604_LIXIL_サーモスＬ_業務用資料集_完成品価格表.pdf</t>
        </is>
      </c>
      <c r="R1272" s="43" t="n"/>
      <c r="S1272" s="42" t="inlineStr">
        <is>
          <t>○</t>
        </is>
      </c>
      <c r="T1272" s="42" t="n">
        <v>184</v>
      </c>
      <c r="U1272" s="42" t="inlineStr">
        <is>
          <t>P184|○</t>
        </is>
      </c>
      <c r="V1272" s="42" t="inlineStr">
        <is>
          <t>同頁凡例へ直接連動</t>
        </is>
      </c>
    </row>
    <row r="1273">
      <c r="A1273" s="43" t="inlineStr">
        <is>
          <t>SZ-SL-001270</t>
        </is>
      </c>
      <c r="B1273" s="43" t="inlineStr">
        <is>
          <t>SER-LIX-SAMOSL</t>
        </is>
      </c>
      <c r="C1273" s="43" t="inlineStr">
        <is>
          <t>WT-SL-FIX-IN</t>
        </is>
      </c>
      <c r="D1273" s="43" t="inlineStr">
        <is>
          <t>FIX窓（内押縁タイプ）</t>
        </is>
      </c>
      <c r="E1273" s="43" t="n"/>
      <c r="F1273" s="43" t="inlineStr">
        <is>
          <t>在来</t>
        </is>
      </c>
      <c r="G1273" s="43" t="inlineStr">
        <is>
          <t>06018</t>
        </is>
      </c>
      <c r="H1273" s="43" t="inlineStr">
        <is>
          <t>060</t>
        </is>
      </c>
      <c r="I1273" s="43" t="inlineStr">
        <is>
          <t>18</t>
        </is>
      </c>
      <c r="J1273" s="222" t="n">
        <v>640</v>
      </c>
      <c r="K1273" s="222" t="n">
        <v>1830</v>
      </c>
      <c r="L1273" s="43" t="inlineStr">
        <is>
          <t>在来｜テラス</t>
        </is>
      </c>
      <c r="M1273" s="178" t="b">
        <v>1</v>
      </c>
      <c r="N1273" s="43" t="inlineStr">
        <is>
          <t>カタログ規格確認済み</t>
        </is>
      </c>
      <c r="O1273" s="222" t="n">
        <v>186</v>
      </c>
      <c r="P1273" s="222" t="n">
        <v>184</v>
      </c>
      <c r="Q1273" s="43" t="inlineStr">
        <is>
          <t>202604_LIXIL_サーモスＬ_業務用資料集_完成品価格表.pdf</t>
        </is>
      </c>
      <c r="R1273" s="43" t="n"/>
      <c r="S1273" s="42" t="inlineStr">
        <is>
          <t>★</t>
        </is>
      </c>
      <c r="T1273" s="42" t="n">
        <v>184</v>
      </c>
      <c r="U1273" s="42" t="inlineStr">
        <is>
          <t>P184|★</t>
        </is>
      </c>
      <c r="V1273" s="42" t="inlineStr">
        <is>
          <t>同頁凡例へ直接連動</t>
        </is>
      </c>
    </row>
    <row r="1274">
      <c r="A1274" s="43" t="inlineStr">
        <is>
          <t>SZ-SL-001271</t>
        </is>
      </c>
      <c r="B1274" s="43" t="inlineStr">
        <is>
          <t>SER-LIX-SAMOSL</t>
        </is>
      </c>
      <c r="C1274" s="43" t="inlineStr">
        <is>
          <t>WT-SL-FIX-IN</t>
        </is>
      </c>
      <c r="D1274" s="43" t="inlineStr">
        <is>
          <t>FIX窓（内押縁タイプ）</t>
        </is>
      </c>
      <c r="E1274" s="43" t="n"/>
      <c r="F1274" s="43" t="inlineStr">
        <is>
          <t>在来</t>
        </is>
      </c>
      <c r="G1274" s="43" t="inlineStr">
        <is>
          <t>06020</t>
        </is>
      </c>
      <c r="H1274" s="43" t="inlineStr">
        <is>
          <t>060</t>
        </is>
      </c>
      <c r="I1274" s="43" t="inlineStr">
        <is>
          <t>20</t>
        </is>
      </c>
      <c r="J1274" s="222" t="n">
        <v>640</v>
      </c>
      <c r="K1274" s="222" t="n">
        <v>2030</v>
      </c>
      <c r="L1274" s="43" t="inlineStr">
        <is>
          <t>在来｜テラス</t>
        </is>
      </c>
      <c r="M1274" s="178" t="b">
        <v>1</v>
      </c>
      <c r="N1274" s="43" t="inlineStr">
        <is>
          <t>カタログ規格確認済み</t>
        </is>
      </c>
      <c r="O1274" s="222" t="n">
        <v>186</v>
      </c>
      <c r="P1274" s="222" t="n">
        <v>184</v>
      </c>
      <c r="Q1274" s="43" t="inlineStr">
        <is>
          <t>202604_LIXIL_サーモスＬ_業務用資料集_完成品価格表.pdf</t>
        </is>
      </c>
      <c r="R1274" s="43" t="n"/>
      <c r="S1274" s="42" t="inlineStr">
        <is>
          <t>★</t>
        </is>
      </c>
      <c r="T1274" s="42" t="n">
        <v>184</v>
      </c>
      <c r="U1274" s="42" t="inlineStr">
        <is>
          <t>P184|★</t>
        </is>
      </c>
      <c r="V1274" s="42" t="inlineStr">
        <is>
          <t>同頁凡例へ直接連動</t>
        </is>
      </c>
    </row>
    <row r="1275">
      <c r="A1275" s="43" t="inlineStr">
        <is>
          <t>SZ-SL-001272</t>
        </is>
      </c>
      <c r="B1275" s="43" t="inlineStr">
        <is>
          <t>SER-LIX-SAMOSL</t>
        </is>
      </c>
      <c r="C1275" s="43" t="inlineStr">
        <is>
          <t>WT-SL-FIX-IN</t>
        </is>
      </c>
      <c r="D1275" s="43" t="inlineStr">
        <is>
          <t>FIX窓（内押縁タイプ）</t>
        </is>
      </c>
      <c r="E1275" s="43" t="n"/>
      <c r="F1275" s="43" t="inlineStr">
        <is>
          <t>在来</t>
        </is>
      </c>
      <c r="G1275" s="43" t="inlineStr">
        <is>
          <t>06022</t>
        </is>
      </c>
      <c r="H1275" s="43" t="inlineStr">
        <is>
          <t>060</t>
        </is>
      </c>
      <c r="I1275" s="43" t="inlineStr">
        <is>
          <t>22</t>
        </is>
      </c>
      <c r="J1275" s="222" t="n">
        <v>640</v>
      </c>
      <c r="K1275" s="222" t="n">
        <v>2230</v>
      </c>
      <c r="L1275" s="43" t="inlineStr">
        <is>
          <t>在来｜テラス</t>
        </is>
      </c>
      <c r="M1275" s="178" t="b">
        <v>1</v>
      </c>
      <c r="N1275" s="43" t="inlineStr">
        <is>
          <t>カタログ規格確認済み</t>
        </is>
      </c>
      <c r="O1275" s="222" t="n">
        <v>186</v>
      </c>
      <c r="P1275" s="222" t="n">
        <v>184</v>
      </c>
      <c r="Q1275" s="43" t="inlineStr">
        <is>
          <t>202604_LIXIL_サーモスＬ_業務用資料集_完成品価格表.pdf</t>
        </is>
      </c>
      <c r="R1275" s="43" t="n"/>
      <c r="S1275" s="42" t="inlineStr">
        <is>
          <t>★</t>
        </is>
      </c>
      <c r="T1275" s="42" t="n">
        <v>184</v>
      </c>
      <c r="U1275" s="42" t="inlineStr">
        <is>
          <t>P184|★</t>
        </is>
      </c>
      <c r="V1275" s="42" t="inlineStr">
        <is>
          <t>同頁凡例へ直接連動</t>
        </is>
      </c>
    </row>
    <row r="1276">
      <c r="A1276" s="43" t="inlineStr">
        <is>
          <t>SZ-SL-001273</t>
        </is>
      </c>
      <c r="B1276" s="43" t="inlineStr">
        <is>
          <t>SER-LIX-SAMOSL</t>
        </is>
      </c>
      <c r="C1276" s="43" t="inlineStr">
        <is>
          <t>WT-SL-FIX-IN</t>
        </is>
      </c>
      <c r="D1276" s="43" t="inlineStr">
        <is>
          <t>FIX窓（内押縁タイプ）</t>
        </is>
      </c>
      <c r="E1276" s="43" t="n"/>
      <c r="F1276" s="43" t="inlineStr">
        <is>
          <t>在来</t>
        </is>
      </c>
      <c r="G1276" s="43" t="inlineStr">
        <is>
          <t>06024</t>
        </is>
      </c>
      <c r="H1276" s="43" t="inlineStr">
        <is>
          <t>060</t>
        </is>
      </c>
      <c r="I1276" s="43" t="inlineStr">
        <is>
          <t>24</t>
        </is>
      </c>
      <c r="J1276" s="222" t="n">
        <v>640</v>
      </c>
      <c r="K1276" s="222" t="n">
        <v>2430</v>
      </c>
      <c r="L1276" s="43" t="inlineStr">
        <is>
          <t>在来｜テラス</t>
        </is>
      </c>
      <c r="M1276" s="178" t="b">
        <v>1</v>
      </c>
      <c r="N1276" s="43" t="inlineStr">
        <is>
          <t>カタログ規格確認済み</t>
        </is>
      </c>
      <c r="O1276" s="222" t="n">
        <v>186</v>
      </c>
      <c r="P1276" s="222" t="n">
        <v>184</v>
      </c>
      <c r="Q1276" s="43" t="inlineStr">
        <is>
          <t>202604_LIXIL_サーモスＬ_業務用資料集_完成品価格表.pdf</t>
        </is>
      </c>
      <c r="R1276" s="43" t="n"/>
      <c r="S1276" s="42" t="inlineStr">
        <is>
          <t>○</t>
        </is>
      </c>
      <c r="T1276" s="42" t="n">
        <v>184</v>
      </c>
      <c r="U1276" s="42" t="inlineStr">
        <is>
          <t>P184|○</t>
        </is>
      </c>
      <c r="V1276" s="42" t="inlineStr">
        <is>
          <t>同頁凡例へ直接連動</t>
        </is>
      </c>
    </row>
    <row r="1277">
      <c r="A1277" s="43" t="inlineStr">
        <is>
          <t>SZ-SL-001274</t>
        </is>
      </c>
      <c r="B1277" s="43" t="inlineStr">
        <is>
          <t>SER-LIX-SAMOSL</t>
        </is>
      </c>
      <c r="C1277" s="43" t="inlineStr">
        <is>
          <t>WT-SL-FIX-IN</t>
        </is>
      </c>
      <c r="D1277" s="43" t="inlineStr">
        <is>
          <t>FIX窓（内押縁タイプ）</t>
        </is>
      </c>
      <c r="E1277" s="43" t="n"/>
      <c r="F1277" s="43" t="inlineStr">
        <is>
          <t>在来</t>
        </is>
      </c>
      <c r="G1277" s="43" t="inlineStr">
        <is>
          <t>06918</t>
        </is>
      </c>
      <c r="H1277" s="43" t="inlineStr">
        <is>
          <t>069</t>
        </is>
      </c>
      <c r="I1277" s="43" t="inlineStr">
        <is>
          <t>18</t>
        </is>
      </c>
      <c r="J1277" s="222" t="n">
        <v>730</v>
      </c>
      <c r="K1277" s="222" t="n">
        <v>1830</v>
      </c>
      <c r="L1277" s="43" t="inlineStr">
        <is>
          <t>在来｜テラス</t>
        </is>
      </c>
      <c r="M1277" s="178" t="b">
        <v>1</v>
      </c>
      <c r="N1277" s="43" t="inlineStr">
        <is>
          <t>カタログ規格確認済み</t>
        </is>
      </c>
      <c r="O1277" s="222" t="n">
        <v>186</v>
      </c>
      <c r="P1277" s="222" t="n">
        <v>184</v>
      </c>
      <c r="Q1277" s="43" t="inlineStr">
        <is>
          <t>202604_LIXIL_サーモスＬ_業務用資料集_完成品価格表.pdf</t>
        </is>
      </c>
      <c r="R1277" s="43" t="n"/>
      <c r="S1277" s="42" t="inlineStr">
        <is>
          <t>★</t>
        </is>
      </c>
      <c r="T1277" s="42" t="n">
        <v>184</v>
      </c>
      <c r="U1277" s="42" t="inlineStr">
        <is>
          <t>P184|★</t>
        </is>
      </c>
      <c r="V1277" s="42" t="inlineStr">
        <is>
          <t>同頁凡例へ直接連動</t>
        </is>
      </c>
    </row>
    <row r="1278">
      <c r="A1278" s="43" t="inlineStr">
        <is>
          <t>SZ-SL-001275</t>
        </is>
      </c>
      <c r="B1278" s="43" t="inlineStr">
        <is>
          <t>SER-LIX-SAMOSL</t>
        </is>
      </c>
      <c r="C1278" s="43" t="inlineStr">
        <is>
          <t>WT-SL-FIX-IN</t>
        </is>
      </c>
      <c r="D1278" s="43" t="inlineStr">
        <is>
          <t>FIX窓（内押縁タイプ）</t>
        </is>
      </c>
      <c r="E1278" s="43" t="n"/>
      <c r="F1278" s="43" t="inlineStr">
        <is>
          <t>在来</t>
        </is>
      </c>
      <c r="G1278" s="43" t="inlineStr">
        <is>
          <t>06920</t>
        </is>
      </c>
      <c r="H1278" s="43" t="inlineStr">
        <is>
          <t>069</t>
        </is>
      </c>
      <c r="I1278" s="43" t="inlineStr">
        <is>
          <t>20</t>
        </is>
      </c>
      <c r="J1278" s="222" t="n">
        <v>730</v>
      </c>
      <c r="K1278" s="222" t="n">
        <v>2030</v>
      </c>
      <c r="L1278" s="43" t="inlineStr">
        <is>
          <t>在来｜テラス</t>
        </is>
      </c>
      <c r="M1278" s="178" t="b">
        <v>1</v>
      </c>
      <c r="N1278" s="43" t="inlineStr">
        <is>
          <t>カタログ規格確認済み</t>
        </is>
      </c>
      <c r="O1278" s="222" t="n">
        <v>186</v>
      </c>
      <c r="P1278" s="222" t="n">
        <v>184</v>
      </c>
      <c r="Q1278" s="43" t="inlineStr">
        <is>
          <t>202604_LIXIL_サーモスＬ_業務用資料集_完成品価格表.pdf</t>
        </is>
      </c>
      <c r="R1278" s="43" t="n"/>
      <c r="S1278" s="42" t="inlineStr">
        <is>
          <t>☆</t>
        </is>
      </c>
      <c r="T1278" s="42" t="n">
        <v>184</v>
      </c>
      <c r="U1278" s="42" t="inlineStr">
        <is>
          <t>P184|☆</t>
        </is>
      </c>
      <c r="V1278" s="42" t="inlineStr">
        <is>
          <t>同頁凡例へ直接連動</t>
        </is>
      </c>
    </row>
    <row r="1279">
      <c r="A1279" s="43" t="inlineStr">
        <is>
          <t>SZ-SL-001276</t>
        </is>
      </c>
      <c r="B1279" s="43" t="inlineStr">
        <is>
          <t>SER-LIX-SAMOSL</t>
        </is>
      </c>
      <c r="C1279" s="43" t="inlineStr">
        <is>
          <t>WT-SL-FIX-IN</t>
        </is>
      </c>
      <c r="D1279" s="43" t="inlineStr">
        <is>
          <t>FIX窓（内押縁タイプ）</t>
        </is>
      </c>
      <c r="E1279" s="43" t="n"/>
      <c r="F1279" s="43" t="inlineStr">
        <is>
          <t>在来</t>
        </is>
      </c>
      <c r="G1279" s="43" t="inlineStr">
        <is>
          <t>07418</t>
        </is>
      </c>
      <c r="H1279" s="43" t="inlineStr">
        <is>
          <t>074</t>
        </is>
      </c>
      <c r="I1279" s="43" t="inlineStr">
        <is>
          <t>18</t>
        </is>
      </c>
      <c r="J1279" s="222" t="n">
        <v>780</v>
      </c>
      <c r="K1279" s="222" t="n">
        <v>1830</v>
      </c>
      <c r="L1279" s="43" t="inlineStr">
        <is>
          <t>在来｜テラス</t>
        </is>
      </c>
      <c r="M1279" s="178" t="b">
        <v>1</v>
      </c>
      <c r="N1279" s="43" t="inlineStr">
        <is>
          <t>カタログ規格確認済み</t>
        </is>
      </c>
      <c r="O1279" s="222" t="n">
        <v>186</v>
      </c>
      <c r="P1279" s="222" t="n">
        <v>184</v>
      </c>
      <c r="Q1279" s="43" t="inlineStr">
        <is>
          <t>202604_LIXIL_サーモスＬ_業務用資料集_完成品価格表.pdf</t>
        </is>
      </c>
      <c r="R1279" s="43" t="n"/>
      <c r="S1279" s="42" t="inlineStr">
        <is>
          <t>★</t>
        </is>
      </c>
      <c r="T1279" s="42" t="n">
        <v>184</v>
      </c>
      <c r="U1279" s="42" t="inlineStr">
        <is>
          <t>P184|★</t>
        </is>
      </c>
      <c r="V1279" s="42" t="inlineStr">
        <is>
          <t>同頁凡例へ直接連動</t>
        </is>
      </c>
    </row>
    <row r="1280">
      <c r="A1280" s="43" t="inlineStr">
        <is>
          <t>SZ-SL-001277</t>
        </is>
      </c>
      <c r="B1280" s="43" t="inlineStr">
        <is>
          <t>SER-LIX-SAMOSL</t>
        </is>
      </c>
      <c r="C1280" s="43" t="inlineStr">
        <is>
          <t>WT-SL-FIX-IN</t>
        </is>
      </c>
      <c r="D1280" s="43" t="inlineStr">
        <is>
          <t>FIX窓（内押縁タイプ）</t>
        </is>
      </c>
      <c r="E1280" s="43" t="n"/>
      <c r="F1280" s="43" t="inlineStr">
        <is>
          <t>在来</t>
        </is>
      </c>
      <c r="G1280" s="43" t="inlineStr">
        <is>
          <t>07420</t>
        </is>
      </c>
      <c r="H1280" s="43" t="inlineStr">
        <is>
          <t>074</t>
        </is>
      </c>
      <c r="I1280" s="43" t="inlineStr">
        <is>
          <t>20</t>
        </is>
      </c>
      <c r="J1280" s="222" t="n">
        <v>780</v>
      </c>
      <c r="K1280" s="222" t="n">
        <v>2030</v>
      </c>
      <c r="L1280" s="43" t="inlineStr">
        <is>
          <t>在来｜テラス</t>
        </is>
      </c>
      <c r="M1280" s="178" t="b">
        <v>1</v>
      </c>
      <c r="N1280" s="43" t="inlineStr">
        <is>
          <t>カタログ規格確認済み</t>
        </is>
      </c>
      <c r="O1280" s="222" t="n">
        <v>186</v>
      </c>
      <c r="P1280" s="222" t="n">
        <v>184</v>
      </c>
      <c r="Q1280" s="43" t="inlineStr">
        <is>
          <t>202604_LIXIL_サーモスＬ_業務用資料集_完成品価格表.pdf</t>
        </is>
      </c>
      <c r="R1280" s="43" t="n"/>
      <c r="S1280" s="42" t="inlineStr">
        <is>
          <t>無印</t>
        </is>
      </c>
      <c r="T1280" s="42" t="n">
        <v>184</v>
      </c>
      <c r="U1280" s="42" t="inlineStr">
        <is>
          <t>P184|無印</t>
        </is>
      </c>
      <c r="V1280" s="42" t="inlineStr">
        <is>
          <t>同頁凡例へ直接連動</t>
        </is>
      </c>
    </row>
    <row r="1281">
      <c r="A1281" s="43" t="inlineStr">
        <is>
          <t>SZ-SL-001278</t>
        </is>
      </c>
      <c r="B1281" s="43" t="inlineStr">
        <is>
          <t>SER-LIX-SAMOSL</t>
        </is>
      </c>
      <c r="C1281" s="43" t="inlineStr">
        <is>
          <t>WT-SL-FIX-IN</t>
        </is>
      </c>
      <c r="D1281" s="43" t="inlineStr">
        <is>
          <t>FIX窓（内押縁タイプ）</t>
        </is>
      </c>
      <c r="E1281" s="43" t="n"/>
      <c r="F1281" s="43" t="inlineStr">
        <is>
          <t>在来</t>
        </is>
      </c>
      <c r="G1281" s="43" t="inlineStr">
        <is>
          <t>07422</t>
        </is>
      </c>
      <c r="H1281" s="43" t="inlineStr">
        <is>
          <t>074</t>
        </is>
      </c>
      <c r="I1281" s="43" t="inlineStr">
        <is>
          <t>22</t>
        </is>
      </c>
      <c r="J1281" s="222" t="n">
        <v>780</v>
      </c>
      <c r="K1281" s="222" t="n">
        <v>2230</v>
      </c>
      <c r="L1281" s="43" t="inlineStr">
        <is>
          <t>在来｜テラス</t>
        </is>
      </c>
      <c r="M1281" s="178" t="b">
        <v>1</v>
      </c>
      <c r="N1281" s="43" t="inlineStr">
        <is>
          <t>カタログ規格確認済み</t>
        </is>
      </c>
      <c r="O1281" s="222" t="n">
        <v>186</v>
      </c>
      <c r="P1281" s="222" t="n">
        <v>184</v>
      </c>
      <c r="Q1281" s="43" t="inlineStr">
        <is>
          <t>202604_LIXIL_サーモスＬ_業務用資料集_完成品価格表.pdf</t>
        </is>
      </c>
      <c r="R1281" s="43" t="n"/>
      <c r="S1281" s="42" t="inlineStr">
        <is>
          <t>◆</t>
        </is>
      </c>
      <c r="T1281" s="42" t="n">
        <v>184</v>
      </c>
      <c r="U1281" s="42" t="inlineStr">
        <is>
          <t>P184|◆</t>
        </is>
      </c>
      <c r="V1281" s="42" t="inlineStr">
        <is>
          <t>同頁凡例へ直接連動</t>
        </is>
      </c>
    </row>
    <row r="1282">
      <c r="A1282" s="43" t="inlineStr">
        <is>
          <t>SZ-SL-001279</t>
        </is>
      </c>
      <c r="B1282" s="43" t="inlineStr">
        <is>
          <t>SER-LIX-SAMOSL</t>
        </is>
      </c>
      <c r="C1282" s="43" t="inlineStr">
        <is>
          <t>WT-SL-FIX-IN</t>
        </is>
      </c>
      <c r="D1282" s="43" t="inlineStr">
        <is>
          <t>FIX窓（内押縁タイプ）</t>
        </is>
      </c>
      <c r="E1282" s="43" t="n"/>
      <c r="F1282" s="43" t="inlineStr">
        <is>
          <t>在来</t>
        </is>
      </c>
      <c r="G1282" s="43" t="inlineStr">
        <is>
          <t>07424</t>
        </is>
      </c>
      <c r="H1282" s="43" t="inlineStr">
        <is>
          <t>074</t>
        </is>
      </c>
      <c r="I1282" s="43" t="inlineStr">
        <is>
          <t>24</t>
        </is>
      </c>
      <c r="J1282" s="222" t="n">
        <v>780</v>
      </c>
      <c r="K1282" s="222" t="n">
        <v>2430</v>
      </c>
      <c r="L1282" s="43" t="inlineStr">
        <is>
          <t>在来｜テラス</t>
        </is>
      </c>
      <c r="M1282" s="178" t="b">
        <v>1</v>
      </c>
      <c r="N1282" s="43" t="inlineStr">
        <is>
          <t>カタログ規格確認済み</t>
        </is>
      </c>
      <c r="O1282" s="222" t="n">
        <v>186</v>
      </c>
      <c r="P1282" s="222" t="n">
        <v>184</v>
      </c>
      <c r="Q1282" s="43" t="inlineStr">
        <is>
          <t>202604_LIXIL_サーモスＬ_業務用資料集_完成品価格表.pdf</t>
        </is>
      </c>
      <c r="R1282" s="43" t="n"/>
      <c r="S1282" s="42" t="inlineStr">
        <is>
          <t>○</t>
        </is>
      </c>
      <c r="T1282" s="42" t="n">
        <v>184</v>
      </c>
      <c r="U1282" s="42" t="inlineStr">
        <is>
          <t>P184|○</t>
        </is>
      </c>
      <c r="V1282" s="42" t="inlineStr">
        <is>
          <t>同頁凡例へ直接連動</t>
        </is>
      </c>
    </row>
    <row r="1283">
      <c r="A1283" s="43" t="inlineStr">
        <is>
          <t>SZ-SL-001280</t>
        </is>
      </c>
      <c r="B1283" s="43" t="inlineStr">
        <is>
          <t>SER-LIX-SAMOSL</t>
        </is>
      </c>
      <c r="C1283" s="43" t="inlineStr">
        <is>
          <t>WT-SL-FIX-IN</t>
        </is>
      </c>
      <c r="D1283" s="43" t="inlineStr">
        <is>
          <t>FIX窓（内押縁タイプ）</t>
        </is>
      </c>
      <c r="E1283" s="43" t="n"/>
      <c r="F1283" s="43" t="inlineStr">
        <is>
          <t>在来</t>
        </is>
      </c>
      <c r="G1283" s="43" t="inlineStr">
        <is>
          <t>11918</t>
        </is>
      </c>
      <c r="H1283" s="43" t="inlineStr">
        <is>
          <t>119</t>
        </is>
      </c>
      <c r="I1283" s="43" t="inlineStr">
        <is>
          <t>18</t>
        </is>
      </c>
      <c r="J1283" s="222" t="n">
        <v>1235</v>
      </c>
      <c r="K1283" s="222" t="n">
        <v>1830</v>
      </c>
      <c r="L1283" s="43" t="inlineStr">
        <is>
          <t>在来｜テラス</t>
        </is>
      </c>
      <c r="M1283" s="178" t="b">
        <v>1</v>
      </c>
      <c r="N1283" s="43" t="inlineStr">
        <is>
          <t>カタログ規格確認済み</t>
        </is>
      </c>
      <c r="O1283" s="222" t="n">
        <v>187</v>
      </c>
      <c r="P1283" s="222" t="n">
        <v>185</v>
      </c>
      <c r="Q1283" s="43" t="inlineStr">
        <is>
          <t>202604_LIXIL_サーモスＬ_業務用資料集_完成品価格表.pdf</t>
        </is>
      </c>
      <c r="R1283" s="43" t="n"/>
      <c r="S1283" s="42" t="inlineStr">
        <is>
          <t>●</t>
        </is>
      </c>
      <c r="T1283" s="42" t="n">
        <v>184</v>
      </c>
      <c r="U1283" s="42" t="inlineStr">
        <is>
          <t>P184|●</t>
        </is>
      </c>
      <c r="V1283" s="42" t="inlineStr">
        <is>
          <t>同一価格表・前頁凡例を継承</t>
        </is>
      </c>
    </row>
    <row r="1284">
      <c r="A1284" s="43" t="inlineStr">
        <is>
          <t>SZ-SL-001281</t>
        </is>
      </c>
      <c r="B1284" s="43" t="inlineStr">
        <is>
          <t>SER-LIX-SAMOSL</t>
        </is>
      </c>
      <c r="C1284" s="43" t="inlineStr">
        <is>
          <t>WT-SL-FIX-IN</t>
        </is>
      </c>
      <c r="D1284" s="43" t="inlineStr">
        <is>
          <t>FIX窓（内押縁タイプ）</t>
        </is>
      </c>
      <c r="E1284" s="43" t="n"/>
      <c r="F1284" s="43" t="inlineStr">
        <is>
          <t>在来</t>
        </is>
      </c>
      <c r="G1284" s="43" t="inlineStr">
        <is>
          <t>11920</t>
        </is>
      </c>
      <c r="H1284" s="43" t="inlineStr">
        <is>
          <t>119</t>
        </is>
      </c>
      <c r="I1284" s="43" t="inlineStr">
        <is>
          <t>20</t>
        </is>
      </c>
      <c r="J1284" s="222" t="n">
        <v>1235</v>
      </c>
      <c r="K1284" s="222" t="n">
        <v>2030</v>
      </c>
      <c r="L1284" s="43" t="inlineStr">
        <is>
          <t>在来｜テラス</t>
        </is>
      </c>
      <c r="M1284" s="178" t="b">
        <v>1</v>
      </c>
      <c r="N1284" s="43" t="inlineStr">
        <is>
          <t>カタログ規格確認済み</t>
        </is>
      </c>
      <c r="O1284" s="222" t="n">
        <v>187</v>
      </c>
      <c r="P1284" s="222" t="n">
        <v>185</v>
      </c>
      <c r="Q1284" s="43" t="inlineStr">
        <is>
          <t>202604_LIXIL_サーモスＬ_業務用資料集_完成品価格表.pdf</t>
        </is>
      </c>
      <c r="R1284" s="43" t="n"/>
      <c r="S1284" s="42" t="inlineStr">
        <is>
          <t>◇</t>
        </is>
      </c>
      <c r="T1284" s="42" t="n">
        <v>184</v>
      </c>
      <c r="U1284" s="42" t="inlineStr">
        <is>
          <t>P184|◇</t>
        </is>
      </c>
      <c r="V1284" s="42" t="inlineStr">
        <is>
          <t>同一価格表・前頁凡例を継承</t>
        </is>
      </c>
    </row>
    <row r="1285">
      <c r="A1285" s="43" t="inlineStr">
        <is>
          <t>SZ-SL-001282</t>
        </is>
      </c>
      <c r="B1285" s="43" t="inlineStr">
        <is>
          <t>SER-LIX-SAMOSL</t>
        </is>
      </c>
      <c r="C1285" s="43" t="inlineStr">
        <is>
          <t>WT-SL-FIX-IN</t>
        </is>
      </c>
      <c r="D1285" s="43" t="inlineStr">
        <is>
          <t>FIX窓（内押縁タイプ）</t>
        </is>
      </c>
      <c r="E1285" s="43" t="n"/>
      <c r="F1285" s="43" t="inlineStr">
        <is>
          <t>在来</t>
        </is>
      </c>
      <c r="G1285" s="43" t="inlineStr">
        <is>
          <t>11922</t>
        </is>
      </c>
      <c r="H1285" s="43" t="inlineStr">
        <is>
          <t>119</t>
        </is>
      </c>
      <c r="I1285" s="43" t="inlineStr">
        <is>
          <t>22</t>
        </is>
      </c>
      <c r="J1285" s="222" t="n">
        <v>1235</v>
      </c>
      <c r="K1285" s="222" t="n">
        <v>2230</v>
      </c>
      <c r="L1285" s="43" t="inlineStr">
        <is>
          <t>在来｜テラス</t>
        </is>
      </c>
      <c r="M1285" s="178" t="b">
        <v>1</v>
      </c>
      <c r="N1285" s="43" t="inlineStr">
        <is>
          <t>カタログ規格確認済み</t>
        </is>
      </c>
      <c r="O1285" s="222" t="n">
        <v>187</v>
      </c>
      <c r="P1285" s="222" t="n">
        <v>185</v>
      </c>
      <c r="Q1285" s="43" t="inlineStr">
        <is>
          <t>202604_LIXIL_サーモスＬ_業務用資料集_完成品価格表.pdf</t>
        </is>
      </c>
      <c r="R1285" s="43" t="n"/>
      <c r="S1285" s="42" t="inlineStr">
        <is>
          <t>◇</t>
        </is>
      </c>
      <c r="T1285" s="42" t="n">
        <v>184</v>
      </c>
      <c r="U1285" s="42" t="inlineStr">
        <is>
          <t>P184|◇</t>
        </is>
      </c>
      <c r="V1285" s="42" t="inlineStr">
        <is>
          <t>同一価格表・前頁凡例を継承</t>
        </is>
      </c>
    </row>
    <row r="1286">
      <c r="A1286" s="43" t="inlineStr">
        <is>
          <t>SZ-SL-001283</t>
        </is>
      </c>
      <c r="B1286" s="43" t="inlineStr">
        <is>
          <t>SER-LIX-SAMOSL</t>
        </is>
      </c>
      <c r="C1286" s="43" t="inlineStr">
        <is>
          <t>WT-SL-FIX-IN</t>
        </is>
      </c>
      <c r="D1286" s="43" t="inlineStr">
        <is>
          <t>FIX窓（内押縁タイプ）</t>
        </is>
      </c>
      <c r="E1286" s="43" t="n"/>
      <c r="F1286" s="43" t="inlineStr">
        <is>
          <t>在来</t>
        </is>
      </c>
      <c r="G1286" s="43" t="inlineStr">
        <is>
          <t>11924</t>
        </is>
      </c>
      <c r="H1286" s="43" t="inlineStr">
        <is>
          <t>119</t>
        </is>
      </c>
      <c r="I1286" s="43" t="inlineStr">
        <is>
          <t>24</t>
        </is>
      </c>
      <c r="J1286" s="222" t="n">
        <v>1235</v>
      </c>
      <c r="K1286" s="222" t="n">
        <v>2430</v>
      </c>
      <c r="L1286" s="43" t="inlineStr">
        <is>
          <t>在来｜テラス</t>
        </is>
      </c>
      <c r="M1286" s="178" t="b">
        <v>1</v>
      </c>
      <c r="N1286" s="43" t="inlineStr">
        <is>
          <t>カタログ規格確認済み</t>
        </is>
      </c>
      <c r="O1286" s="222" t="n">
        <v>187</v>
      </c>
      <c r="P1286" s="222" t="n">
        <v>185</v>
      </c>
      <c r="Q1286" s="43" t="inlineStr">
        <is>
          <t>202604_LIXIL_サーモスＬ_業務用資料集_完成品価格表.pdf</t>
        </is>
      </c>
      <c r="R1286" s="43" t="n"/>
      <c r="S1286" s="42" t="inlineStr">
        <is>
          <t>○</t>
        </is>
      </c>
      <c r="T1286" s="42" t="n">
        <v>184</v>
      </c>
      <c r="U1286" s="42" t="inlineStr">
        <is>
          <t>P184|○</t>
        </is>
      </c>
      <c r="V1286" s="42" t="inlineStr">
        <is>
          <t>同一価格表・前頁凡例を継承</t>
        </is>
      </c>
    </row>
    <row r="1287">
      <c r="A1287" s="43" t="inlineStr">
        <is>
          <t>SZ-SL-001284</t>
        </is>
      </c>
      <c r="B1287" s="43" t="inlineStr">
        <is>
          <t>SER-LIX-SAMOSL</t>
        </is>
      </c>
      <c r="C1287" s="43" t="inlineStr">
        <is>
          <t>WT-SL-FIX-IN</t>
        </is>
      </c>
      <c r="D1287" s="43" t="inlineStr">
        <is>
          <t>FIX窓（内押縁タイプ）</t>
        </is>
      </c>
      <c r="E1287" s="43" t="n"/>
      <c r="F1287" s="43" t="inlineStr">
        <is>
          <t>在来</t>
        </is>
      </c>
      <c r="G1287" s="43" t="inlineStr">
        <is>
          <t>16518</t>
        </is>
      </c>
      <c r="H1287" s="43" t="inlineStr">
        <is>
          <t>165</t>
        </is>
      </c>
      <c r="I1287" s="43" t="inlineStr">
        <is>
          <t>18</t>
        </is>
      </c>
      <c r="J1287" s="222" t="n">
        <v>1690</v>
      </c>
      <c r="K1287" s="222" t="n">
        <v>1830</v>
      </c>
      <c r="L1287" s="43" t="inlineStr">
        <is>
          <t>在来｜テラス</t>
        </is>
      </c>
      <c r="M1287" s="178" t="b">
        <v>1</v>
      </c>
      <c r="N1287" s="43" t="inlineStr">
        <is>
          <t>カタログ規格確認済み</t>
        </is>
      </c>
      <c r="O1287" s="222" t="n">
        <v>187</v>
      </c>
      <c r="P1287" s="222" t="n">
        <v>185</v>
      </c>
      <c r="Q1287" s="43" t="inlineStr">
        <is>
          <t>202604_LIXIL_サーモスＬ_業務用資料集_完成品価格表.pdf</t>
        </is>
      </c>
      <c r="R1287" s="43" t="n"/>
      <c r="S1287" s="42" t="inlineStr">
        <is>
          <t>▲</t>
        </is>
      </c>
      <c r="T1287" s="42" t="n">
        <v>184</v>
      </c>
      <c r="U1287" s="42" t="inlineStr">
        <is>
          <t>P184|▲</t>
        </is>
      </c>
      <c r="V1287" s="42" t="inlineStr">
        <is>
          <t>同一価格表・前頁凡例を継承</t>
        </is>
      </c>
    </row>
    <row r="1288">
      <c r="A1288" s="43" t="inlineStr">
        <is>
          <t>SZ-SL-001285</t>
        </is>
      </c>
      <c r="B1288" s="43" t="inlineStr">
        <is>
          <t>SER-LIX-SAMOSL</t>
        </is>
      </c>
      <c r="C1288" s="43" t="inlineStr">
        <is>
          <t>WT-SL-FIX-IN</t>
        </is>
      </c>
      <c r="D1288" s="43" t="inlineStr">
        <is>
          <t>FIX窓（内押縁タイプ）</t>
        </is>
      </c>
      <c r="E1288" s="43" t="n"/>
      <c r="F1288" s="43" t="inlineStr">
        <is>
          <t>在来</t>
        </is>
      </c>
      <c r="G1288" s="43" t="inlineStr">
        <is>
          <t>16520</t>
        </is>
      </c>
      <c r="H1288" s="43" t="inlineStr">
        <is>
          <t>165</t>
        </is>
      </c>
      <c r="I1288" s="43" t="inlineStr">
        <is>
          <t>20</t>
        </is>
      </c>
      <c r="J1288" s="222" t="n">
        <v>1690</v>
      </c>
      <c r="K1288" s="222" t="n">
        <v>2030</v>
      </c>
      <c r="L1288" s="43" t="inlineStr">
        <is>
          <t>在来｜テラス</t>
        </is>
      </c>
      <c r="M1288" s="178" t="b">
        <v>1</v>
      </c>
      <c r="N1288" s="43" t="inlineStr">
        <is>
          <t>カタログ規格確認済み</t>
        </is>
      </c>
      <c r="O1288" s="222" t="n">
        <v>187</v>
      </c>
      <c r="P1288" s="222" t="n">
        <v>185</v>
      </c>
      <c r="Q1288" s="43" t="inlineStr">
        <is>
          <t>202604_LIXIL_サーモスＬ_業務用資料集_完成品価格表.pdf</t>
        </is>
      </c>
      <c r="R1288" s="43" t="n"/>
      <c r="S1288" s="42" t="inlineStr">
        <is>
          <t>◎</t>
        </is>
      </c>
      <c r="T1288" s="42" t="n">
        <v>184</v>
      </c>
      <c r="U1288" s="42" t="inlineStr">
        <is>
          <t>P184|◎</t>
        </is>
      </c>
      <c r="V1288" s="42" t="inlineStr">
        <is>
          <t>同一価格表・前頁凡例を継承</t>
        </is>
      </c>
    </row>
    <row r="1289">
      <c r="A1289" s="43" t="inlineStr">
        <is>
          <t>SZ-SL-001286</t>
        </is>
      </c>
      <c r="B1289" s="43" t="inlineStr">
        <is>
          <t>SER-LIX-SAMOSL</t>
        </is>
      </c>
      <c r="C1289" s="43" t="inlineStr">
        <is>
          <t>WT-SL-FIX-IN</t>
        </is>
      </c>
      <c r="D1289" s="43" t="inlineStr">
        <is>
          <t>FIX窓（内押縁タイプ）</t>
        </is>
      </c>
      <c r="E1289" s="43" t="n"/>
      <c r="F1289" s="43" t="inlineStr">
        <is>
          <t>在来</t>
        </is>
      </c>
      <c r="G1289" s="43" t="inlineStr">
        <is>
          <t>16522</t>
        </is>
      </c>
      <c r="H1289" s="43" t="inlineStr">
        <is>
          <t>165</t>
        </is>
      </c>
      <c r="I1289" s="43" t="inlineStr">
        <is>
          <t>22</t>
        </is>
      </c>
      <c r="J1289" s="222" t="n">
        <v>1690</v>
      </c>
      <c r="K1289" s="222" t="n">
        <v>2230</v>
      </c>
      <c r="L1289" s="43" t="inlineStr">
        <is>
          <t>在来｜テラス</t>
        </is>
      </c>
      <c r="M1289" s="178" t="b">
        <v>1</v>
      </c>
      <c r="N1289" s="43" t="inlineStr">
        <is>
          <t>カタログ規格確認済み</t>
        </is>
      </c>
      <c r="O1289" s="222" t="n">
        <v>187</v>
      </c>
      <c r="P1289" s="222" t="n">
        <v>185</v>
      </c>
      <c r="Q1289" s="43" t="inlineStr">
        <is>
          <t>202604_LIXIL_サーモスＬ_業務用資料集_完成品価格表.pdf</t>
        </is>
      </c>
      <c r="R1289" s="43" t="n"/>
      <c r="S1289" s="42" t="inlineStr">
        <is>
          <t>◎</t>
        </is>
      </c>
      <c r="T1289" s="42" t="n">
        <v>184</v>
      </c>
      <c r="U1289" s="42" t="inlineStr">
        <is>
          <t>P184|◎</t>
        </is>
      </c>
      <c r="V1289" s="42" t="inlineStr">
        <is>
          <t>同一価格表・前頁凡例を継承</t>
        </is>
      </c>
    </row>
    <row r="1290">
      <c r="A1290" s="43" t="inlineStr">
        <is>
          <t>SZ-SL-001287</t>
        </is>
      </c>
      <c r="B1290" s="43" t="inlineStr">
        <is>
          <t>SER-LIX-SAMOSL</t>
        </is>
      </c>
      <c r="C1290" s="43" t="inlineStr">
        <is>
          <t>WT-SL-FIX-IN</t>
        </is>
      </c>
      <c r="D1290" s="43" t="inlineStr">
        <is>
          <t>FIX窓（内押縁タイプ）</t>
        </is>
      </c>
      <c r="E1290" s="43" t="n"/>
      <c r="F1290" s="43" t="inlineStr">
        <is>
          <t>在来</t>
        </is>
      </c>
      <c r="G1290" s="43" t="inlineStr">
        <is>
          <t>16524</t>
        </is>
      </c>
      <c r="H1290" s="43" t="inlineStr">
        <is>
          <t>165</t>
        </is>
      </c>
      <c r="I1290" s="43" t="inlineStr">
        <is>
          <t>24</t>
        </is>
      </c>
      <c r="J1290" s="222" t="n">
        <v>1690</v>
      </c>
      <c r="K1290" s="222" t="n">
        <v>2430</v>
      </c>
      <c r="L1290" s="43" t="inlineStr">
        <is>
          <t>在来｜テラス</t>
        </is>
      </c>
      <c r="M1290" s="178" t="b">
        <v>1</v>
      </c>
      <c r="N1290" s="43" t="inlineStr">
        <is>
          <t>カタログ規格確認済み</t>
        </is>
      </c>
      <c r="O1290" s="222" t="n">
        <v>187</v>
      </c>
      <c r="P1290" s="222" t="n">
        <v>185</v>
      </c>
      <c r="Q1290" s="43" t="inlineStr">
        <is>
          <t>202604_LIXIL_サーモスＬ_業務用資料集_完成品価格表.pdf</t>
        </is>
      </c>
      <c r="R1290" s="43" t="n"/>
      <c r="S1290" s="42" t="inlineStr">
        <is>
          <t>◎</t>
        </is>
      </c>
      <c r="T1290" s="42" t="n">
        <v>184</v>
      </c>
      <c r="U1290" s="42" t="inlineStr">
        <is>
          <t>P184|◎</t>
        </is>
      </c>
      <c r="V1290" s="42" t="inlineStr">
        <is>
          <t>同一価格表・前頁凡例を継承</t>
        </is>
      </c>
    </row>
    <row r="1291">
      <c r="A1291" s="43" t="inlineStr">
        <is>
          <t>SZ-SL-001288</t>
        </is>
      </c>
      <c r="B1291" s="43" t="inlineStr">
        <is>
          <t>SER-LIX-SAMOSL</t>
        </is>
      </c>
      <c r="C1291" s="43" t="inlineStr">
        <is>
          <t>WT-SL-FIX-IN</t>
        </is>
      </c>
      <c r="D1291" s="43" t="inlineStr">
        <is>
          <t>FIX窓（内押縁タイプ）</t>
        </is>
      </c>
      <c r="E1291" s="43" t="n"/>
      <c r="F1291" s="43" t="inlineStr">
        <is>
          <t>204</t>
        </is>
      </c>
      <c r="G1291" s="43" t="inlineStr">
        <is>
          <t>06922</t>
        </is>
      </c>
      <c r="H1291" s="43" t="inlineStr">
        <is>
          <t>069</t>
        </is>
      </c>
      <c r="I1291" s="43" t="inlineStr">
        <is>
          <t>22</t>
        </is>
      </c>
      <c r="J1291" s="222" t="n">
        <v>730</v>
      </c>
      <c r="K1291" s="222" t="n">
        <v>2230</v>
      </c>
      <c r="L1291" s="43" t="inlineStr">
        <is>
          <t>204｜テラス</t>
        </is>
      </c>
      <c r="M1291" s="178" t="b">
        <v>1</v>
      </c>
      <c r="N1291" s="43" t="inlineStr">
        <is>
          <t>カタログ規格確認済み</t>
        </is>
      </c>
      <c r="O1291" s="222" t="n">
        <v>188</v>
      </c>
      <c r="P1291" s="222" t="n">
        <v>186</v>
      </c>
      <c r="Q1291" s="43" t="inlineStr">
        <is>
          <t>202604_LIXIL_サーモスＬ_業務用資料集_完成品価格表.pdf</t>
        </is>
      </c>
      <c r="R1291" s="43" t="n"/>
      <c r="S1291" s="42" t="inlineStr">
        <is>
          <t>無印</t>
        </is>
      </c>
      <c r="T1291" s="42" t="n">
        <v>186</v>
      </c>
      <c r="U1291" s="42" t="inlineStr">
        <is>
          <t>P186|無印</t>
        </is>
      </c>
      <c r="V1291" s="42" t="inlineStr">
        <is>
          <t>同頁凡例へ直接連動</t>
        </is>
      </c>
    </row>
    <row r="1292">
      <c r="A1292" s="43" t="inlineStr">
        <is>
          <t>SZ-SL-001289</t>
        </is>
      </c>
      <c r="B1292" s="43" t="inlineStr">
        <is>
          <t>SER-LIX-SAMOSL</t>
        </is>
      </c>
      <c r="C1292" s="43" t="inlineStr">
        <is>
          <t>WT-SL-FIX-IN</t>
        </is>
      </c>
      <c r="D1292" s="43" t="inlineStr">
        <is>
          <t>FIX窓（内押縁タイプ）</t>
        </is>
      </c>
      <c r="E1292" s="43" t="n"/>
      <c r="F1292" s="43" t="inlineStr">
        <is>
          <t>204</t>
        </is>
      </c>
      <c r="G1292" s="43" t="inlineStr">
        <is>
          <t>06924</t>
        </is>
      </c>
      <c r="H1292" s="43" t="inlineStr">
        <is>
          <t>069</t>
        </is>
      </c>
      <c r="I1292" s="43" t="inlineStr">
        <is>
          <t>24</t>
        </is>
      </c>
      <c r="J1292" s="222" t="n">
        <v>730</v>
      </c>
      <c r="K1292" s="222" t="n">
        <v>2430</v>
      </c>
      <c r="L1292" s="43" t="inlineStr">
        <is>
          <t>204｜テラス</t>
        </is>
      </c>
      <c r="M1292" s="178" t="b">
        <v>1</v>
      </c>
      <c r="N1292" s="43" t="inlineStr">
        <is>
          <t>カタログ規格確認済み</t>
        </is>
      </c>
      <c r="O1292" s="222" t="n">
        <v>188</v>
      </c>
      <c r="P1292" s="222" t="n">
        <v>186</v>
      </c>
      <c r="Q1292" s="43" t="inlineStr">
        <is>
          <t>202604_LIXIL_サーモスＬ_業務用資料集_完成品価格表.pdf</t>
        </is>
      </c>
      <c r="R1292" s="43" t="n"/>
      <c r="S1292" s="42" t="inlineStr">
        <is>
          <t>無印</t>
        </is>
      </c>
      <c r="T1292" s="42" t="n">
        <v>186</v>
      </c>
      <c r="U1292" s="42" t="inlineStr">
        <is>
          <t>P186|無印</t>
        </is>
      </c>
      <c r="V1292" s="42" t="inlineStr">
        <is>
          <t>同頁凡例へ直接連動</t>
        </is>
      </c>
    </row>
    <row r="1293">
      <c r="A1293" s="43" t="inlineStr">
        <is>
          <t>SZ-SL-001290</t>
        </is>
      </c>
      <c r="B1293" s="43" t="inlineStr">
        <is>
          <t>SER-LIX-SAMOSL</t>
        </is>
      </c>
      <c r="C1293" s="43" t="inlineStr">
        <is>
          <t>WT-SL-UCHIDAOSHI</t>
        </is>
      </c>
      <c r="D1293" s="43" t="inlineStr">
        <is>
          <t>内倒し窓</t>
        </is>
      </c>
      <c r="E1293" s="43" t="n"/>
      <c r="F1293" s="43" t="inlineStr">
        <is>
          <t>在来・204</t>
        </is>
      </c>
      <c r="G1293" s="43" t="inlineStr">
        <is>
          <t>03603</t>
        </is>
      </c>
      <c r="H1293" s="43" t="inlineStr">
        <is>
          <t>036</t>
        </is>
      </c>
      <c r="I1293" s="43" t="inlineStr">
        <is>
          <t>03</t>
        </is>
      </c>
      <c r="J1293" s="222" t="n">
        <v>405</v>
      </c>
      <c r="K1293" s="222" t="n">
        <v>370</v>
      </c>
      <c r="L1293" s="43" t="inlineStr">
        <is>
          <t>在来・204</t>
        </is>
      </c>
      <c r="M1293" s="178" t="b">
        <v>1</v>
      </c>
      <c r="N1293" s="43" t="inlineStr">
        <is>
          <t>カタログ規格確認済み</t>
        </is>
      </c>
      <c r="O1293" s="222" t="n">
        <v>190</v>
      </c>
      <c r="P1293" s="222" t="n">
        <v>188</v>
      </c>
      <c r="Q1293" s="43" t="inlineStr">
        <is>
          <t>202604_LIXIL_サーモスＬ_業務用資料集_完成品価格表.pdf</t>
        </is>
      </c>
      <c r="R1293" s="43" t="n"/>
      <c r="S1293" s="42" t="inlineStr">
        <is>
          <t>無印</t>
        </is>
      </c>
      <c r="T1293" s="42" t="n">
        <v>188</v>
      </c>
      <c r="U1293" s="42" t="inlineStr">
        <is>
          <t>P188|無印</t>
        </is>
      </c>
      <c r="V1293" s="42" t="inlineStr">
        <is>
          <t>同頁凡例へ直接連動</t>
        </is>
      </c>
    </row>
    <row r="1294">
      <c r="A1294" s="43" t="inlineStr">
        <is>
          <t>SZ-SL-001291</t>
        </is>
      </c>
      <c r="B1294" s="43" t="inlineStr">
        <is>
          <t>SER-LIX-SAMOSL</t>
        </is>
      </c>
      <c r="C1294" s="43" t="inlineStr">
        <is>
          <t>WT-SL-UCHIDAOSHI</t>
        </is>
      </c>
      <c r="D1294" s="43" t="inlineStr">
        <is>
          <t>内倒し窓</t>
        </is>
      </c>
      <c r="E1294" s="43" t="n"/>
      <c r="F1294" s="43" t="inlineStr">
        <is>
          <t>在来・204</t>
        </is>
      </c>
      <c r="G1294" s="43" t="inlineStr">
        <is>
          <t>03605</t>
        </is>
      </c>
      <c r="H1294" s="43" t="inlineStr">
        <is>
          <t>036</t>
        </is>
      </c>
      <c r="I1294" s="43" t="inlineStr">
        <is>
          <t>05</t>
        </is>
      </c>
      <c r="J1294" s="222" t="n">
        <v>405</v>
      </c>
      <c r="K1294" s="222" t="n">
        <v>570</v>
      </c>
      <c r="L1294" s="43" t="inlineStr">
        <is>
          <t>在来・204</t>
        </is>
      </c>
      <c r="M1294" s="178" t="b">
        <v>1</v>
      </c>
      <c r="N1294" s="43" t="inlineStr">
        <is>
          <t>カタログ規格確認済み</t>
        </is>
      </c>
      <c r="O1294" s="222" t="n">
        <v>190</v>
      </c>
      <c r="P1294" s="222" t="n">
        <v>188</v>
      </c>
      <c r="Q1294" s="43" t="inlineStr">
        <is>
          <t>202604_LIXIL_サーモスＬ_業務用資料集_完成品価格表.pdf</t>
        </is>
      </c>
      <c r="R1294" s="43" t="n"/>
      <c r="S1294" s="42" t="inlineStr">
        <is>
          <t>無印</t>
        </is>
      </c>
      <c r="T1294" s="42" t="n">
        <v>188</v>
      </c>
      <c r="U1294" s="42" t="inlineStr">
        <is>
          <t>P188|無印</t>
        </is>
      </c>
      <c r="V1294" s="42" t="inlineStr">
        <is>
          <t>同頁凡例へ直接連動</t>
        </is>
      </c>
    </row>
    <row r="1295">
      <c r="A1295" s="43" t="inlineStr">
        <is>
          <t>SZ-SL-001292</t>
        </is>
      </c>
      <c r="B1295" s="43" t="inlineStr">
        <is>
          <t>SER-LIX-SAMOSL</t>
        </is>
      </c>
      <c r="C1295" s="43" t="inlineStr">
        <is>
          <t>WT-SL-UCHIDAOSHI</t>
        </is>
      </c>
      <c r="D1295" s="43" t="inlineStr">
        <is>
          <t>内倒し窓</t>
        </is>
      </c>
      <c r="E1295" s="43" t="n"/>
      <c r="F1295" s="43" t="inlineStr">
        <is>
          <t>在来・204</t>
        </is>
      </c>
      <c r="G1295" s="43" t="inlineStr">
        <is>
          <t>03607</t>
        </is>
      </c>
      <c r="H1295" s="43" t="inlineStr">
        <is>
          <t>036</t>
        </is>
      </c>
      <c r="I1295" s="43" t="inlineStr">
        <is>
          <t>07</t>
        </is>
      </c>
      <c r="J1295" s="222" t="n">
        <v>405</v>
      </c>
      <c r="K1295" s="222" t="n">
        <v>770</v>
      </c>
      <c r="L1295" s="43" t="inlineStr">
        <is>
          <t>在来・204</t>
        </is>
      </c>
      <c r="M1295" s="178" t="b">
        <v>1</v>
      </c>
      <c r="N1295" s="43" t="inlineStr">
        <is>
          <t>カタログ規格確認済み</t>
        </is>
      </c>
      <c r="O1295" s="222" t="n">
        <v>190</v>
      </c>
      <c r="P1295" s="222" t="n">
        <v>188</v>
      </c>
      <c r="Q1295" s="43" t="inlineStr">
        <is>
          <t>202604_LIXIL_サーモスＬ_業務用資料集_完成品価格表.pdf</t>
        </is>
      </c>
      <c r="R1295" s="43" t="n"/>
      <c r="S1295" s="42" t="inlineStr">
        <is>
          <t>無印</t>
        </is>
      </c>
      <c r="T1295" s="42" t="n">
        <v>188</v>
      </c>
      <c r="U1295" s="42" t="inlineStr">
        <is>
          <t>P188|無印</t>
        </is>
      </c>
      <c r="V1295" s="42" t="inlineStr">
        <is>
          <t>同頁凡例へ直接連動</t>
        </is>
      </c>
    </row>
    <row r="1296">
      <c r="A1296" s="43" t="inlineStr">
        <is>
          <t>SZ-SL-001293</t>
        </is>
      </c>
      <c r="B1296" s="43" t="inlineStr">
        <is>
          <t>SER-LIX-SAMOSL</t>
        </is>
      </c>
      <c r="C1296" s="43" t="inlineStr">
        <is>
          <t>WT-SL-UCHIDAOSHI</t>
        </is>
      </c>
      <c r="D1296" s="43" t="inlineStr">
        <is>
          <t>内倒し窓</t>
        </is>
      </c>
      <c r="E1296" s="43" t="n"/>
      <c r="F1296" s="43" t="inlineStr">
        <is>
          <t>在来・204</t>
        </is>
      </c>
      <c r="G1296" s="43" t="inlineStr">
        <is>
          <t>06003</t>
        </is>
      </c>
      <c r="H1296" s="43" t="inlineStr">
        <is>
          <t>060</t>
        </is>
      </c>
      <c r="I1296" s="43" t="inlineStr">
        <is>
          <t>03</t>
        </is>
      </c>
      <c r="J1296" s="222" t="n">
        <v>640</v>
      </c>
      <c r="K1296" s="222" t="n">
        <v>370</v>
      </c>
      <c r="L1296" s="43" t="inlineStr">
        <is>
          <t>在来・204</t>
        </is>
      </c>
      <c r="M1296" s="178" t="b">
        <v>1</v>
      </c>
      <c r="N1296" s="43" t="inlineStr">
        <is>
          <t>カタログ規格確認済み</t>
        </is>
      </c>
      <c r="O1296" s="222" t="n">
        <v>190</v>
      </c>
      <c r="P1296" s="222" t="n">
        <v>188</v>
      </c>
      <c r="Q1296" s="43" t="inlineStr">
        <is>
          <t>202604_LIXIL_サーモスＬ_業務用資料集_完成品価格表.pdf</t>
        </is>
      </c>
      <c r="R1296" s="43" t="n"/>
      <c r="S1296" s="42" t="inlineStr">
        <is>
          <t>無印</t>
        </is>
      </c>
      <c r="T1296" s="42" t="n">
        <v>188</v>
      </c>
      <c r="U1296" s="42" t="inlineStr">
        <is>
          <t>P188|無印</t>
        </is>
      </c>
      <c r="V1296" s="42" t="inlineStr">
        <is>
          <t>同頁凡例へ直接連動</t>
        </is>
      </c>
    </row>
    <row r="1297">
      <c r="A1297" s="43" t="inlineStr">
        <is>
          <t>SZ-SL-001294</t>
        </is>
      </c>
      <c r="B1297" s="43" t="inlineStr">
        <is>
          <t>SER-LIX-SAMOSL</t>
        </is>
      </c>
      <c r="C1297" s="43" t="inlineStr">
        <is>
          <t>WT-SL-UCHIDAOSHI</t>
        </is>
      </c>
      <c r="D1297" s="43" t="inlineStr">
        <is>
          <t>内倒し窓</t>
        </is>
      </c>
      <c r="E1297" s="43" t="n"/>
      <c r="F1297" s="43" t="inlineStr">
        <is>
          <t>在来・204</t>
        </is>
      </c>
      <c r="G1297" s="43" t="inlineStr">
        <is>
          <t>06005</t>
        </is>
      </c>
      <c r="H1297" s="43" t="inlineStr">
        <is>
          <t>060</t>
        </is>
      </c>
      <c r="I1297" s="43" t="inlineStr">
        <is>
          <t>05</t>
        </is>
      </c>
      <c r="J1297" s="222" t="n">
        <v>640</v>
      </c>
      <c r="K1297" s="222" t="n">
        <v>570</v>
      </c>
      <c r="L1297" s="43" t="inlineStr">
        <is>
          <t>在来・204</t>
        </is>
      </c>
      <c r="M1297" s="178" t="b">
        <v>1</v>
      </c>
      <c r="N1297" s="43" t="inlineStr">
        <is>
          <t>カタログ規格確認済み</t>
        </is>
      </c>
      <c r="O1297" s="222" t="n">
        <v>190</v>
      </c>
      <c r="P1297" s="222" t="n">
        <v>188</v>
      </c>
      <c r="Q1297" s="43" t="inlineStr">
        <is>
          <t>202604_LIXIL_サーモスＬ_業務用資料集_完成品価格表.pdf</t>
        </is>
      </c>
      <c r="R1297" s="43" t="n"/>
      <c r="S1297" s="42" t="inlineStr">
        <is>
          <t>無印</t>
        </is>
      </c>
      <c r="T1297" s="42" t="n">
        <v>188</v>
      </c>
      <c r="U1297" s="42" t="inlineStr">
        <is>
          <t>P188|無印</t>
        </is>
      </c>
      <c r="V1297" s="42" t="inlineStr">
        <is>
          <t>同頁凡例へ直接連動</t>
        </is>
      </c>
    </row>
    <row r="1298">
      <c r="A1298" s="43" t="inlineStr">
        <is>
          <t>SZ-SL-001295</t>
        </is>
      </c>
      <c r="B1298" s="43" t="inlineStr">
        <is>
          <t>SER-LIX-SAMOSL</t>
        </is>
      </c>
      <c r="C1298" s="43" t="inlineStr">
        <is>
          <t>WT-SL-UCHIDAOSHI</t>
        </is>
      </c>
      <c r="D1298" s="43" t="inlineStr">
        <is>
          <t>内倒し窓</t>
        </is>
      </c>
      <c r="E1298" s="43" t="n"/>
      <c r="F1298" s="43" t="inlineStr">
        <is>
          <t>在来・204</t>
        </is>
      </c>
      <c r="G1298" s="43" t="inlineStr">
        <is>
          <t>06007</t>
        </is>
      </c>
      <c r="H1298" s="43" t="inlineStr">
        <is>
          <t>060</t>
        </is>
      </c>
      <c r="I1298" s="43" t="inlineStr">
        <is>
          <t>07</t>
        </is>
      </c>
      <c r="J1298" s="222" t="n">
        <v>640</v>
      </c>
      <c r="K1298" s="222" t="n">
        <v>770</v>
      </c>
      <c r="L1298" s="43" t="inlineStr">
        <is>
          <t>在来・204</t>
        </is>
      </c>
      <c r="M1298" s="178" t="b">
        <v>1</v>
      </c>
      <c r="N1298" s="43" t="inlineStr">
        <is>
          <t>カタログ規格確認済み</t>
        </is>
      </c>
      <c r="O1298" s="222" t="n">
        <v>190</v>
      </c>
      <c r="P1298" s="222" t="n">
        <v>188</v>
      </c>
      <c r="Q1298" s="43" t="inlineStr">
        <is>
          <t>202604_LIXIL_サーモスＬ_業務用資料集_完成品価格表.pdf</t>
        </is>
      </c>
      <c r="R1298" s="43" t="n"/>
      <c r="S1298" s="42" t="inlineStr">
        <is>
          <t>無印</t>
        </is>
      </c>
      <c r="T1298" s="42" t="n">
        <v>188</v>
      </c>
      <c r="U1298" s="42" t="inlineStr">
        <is>
          <t>P188|無印</t>
        </is>
      </c>
      <c r="V1298" s="42" t="inlineStr">
        <is>
          <t>同頁凡例へ直接連動</t>
        </is>
      </c>
    </row>
    <row r="1299">
      <c r="A1299" s="43" t="inlineStr">
        <is>
          <t>SZ-SL-001296</t>
        </is>
      </c>
      <c r="B1299" s="43" t="inlineStr">
        <is>
          <t>SER-LIX-SAMOSL</t>
        </is>
      </c>
      <c r="C1299" s="43" t="inlineStr">
        <is>
          <t>WT-SL-UCHIDAOSHI</t>
        </is>
      </c>
      <c r="D1299" s="43" t="inlineStr">
        <is>
          <t>内倒し窓</t>
        </is>
      </c>
      <c r="E1299" s="43" t="n"/>
      <c r="F1299" s="43" t="inlineStr">
        <is>
          <t>在来・204</t>
        </is>
      </c>
      <c r="G1299" s="43" t="inlineStr">
        <is>
          <t>06903</t>
        </is>
      </c>
      <c r="H1299" s="43" t="inlineStr">
        <is>
          <t>069</t>
        </is>
      </c>
      <c r="I1299" s="43" t="inlineStr">
        <is>
          <t>03</t>
        </is>
      </c>
      <c r="J1299" s="222" t="n">
        <v>730</v>
      </c>
      <c r="K1299" s="222" t="n">
        <v>370</v>
      </c>
      <c r="L1299" s="43" t="inlineStr">
        <is>
          <t>在来・204</t>
        </is>
      </c>
      <c r="M1299" s="178" t="b">
        <v>1</v>
      </c>
      <c r="N1299" s="43" t="inlineStr">
        <is>
          <t>カタログ規格確認済み</t>
        </is>
      </c>
      <c r="O1299" s="222" t="n">
        <v>190</v>
      </c>
      <c r="P1299" s="222" t="n">
        <v>188</v>
      </c>
      <c r="Q1299" s="43" t="inlineStr">
        <is>
          <t>202604_LIXIL_サーモスＬ_業務用資料集_完成品価格表.pdf</t>
        </is>
      </c>
      <c r="R1299" s="43" t="n"/>
      <c r="S1299" s="42" t="inlineStr">
        <is>
          <t>無印</t>
        </is>
      </c>
      <c r="T1299" s="42" t="n">
        <v>188</v>
      </c>
      <c r="U1299" s="42" t="inlineStr">
        <is>
          <t>P188|無印</t>
        </is>
      </c>
      <c r="V1299" s="42" t="inlineStr">
        <is>
          <t>同頁凡例へ直接連動</t>
        </is>
      </c>
    </row>
    <row r="1300">
      <c r="A1300" s="43" t="inlineStr">
        <is>
          <t>SZ-SL-001297</t>
        </is>
      </c>
      <c r="B1300" s="43" t="inlineStr">
        <is>
          <t>SER-LIX-SAMOSL</t>
        </is>
      </c>
      <c r="C1300" s="43" t="inlineStr">
        <is>
          <t>WT-SL-UCHIDAOSHI</t>
        </is>
      </c>
      <c r="D1300" s="43" t="inlineStr">
        <is>
          <t>内倒し窓</t>
        </is>
      </c>
      <c r="E1300" s="43" t="n"/>
      <c r="F1300" s="43" t="inlineStr">
        <is>
          <t>在来・204</t>
        </is>
      </c>
      <c r="G1300" s="43" t="inlineStr">
        <is>
          <t>06905</t>
        </is>
      </c>
      <c r="H1300" s="43" t="inlineStr">
        <is>
          <t>069</t>
        </is>
      </c>
      <c r="I1300" s="43" t="inlineStr">
        <is>
          <t>05</t>
        </is>
      </c>
      <c r="J1300" s="222" t="n">
        <v>730</v>
      </c>
      <c r="K1300" s="222" t="n">
        <v>570</v>
      </c>
      <c r="L1300" s="43" t="inlineStr">
        <is>
          <t>在来・204</t>
        </is>
      </c>
      <c r="M1300" s="178" t="b">
        <v>1</v>
      </c>
      <c r="N1300" s="43" t="inlineStr">
        <is>
          <t>カタログ規格確認済み</t>
        </is>
      </c>
      <c r="O1300" s="222" t="n">
        <v>190</v>
      </c>
      <c r="P1300" s="222" t="n">
        <v>188</v>
      </c>
      <c r="Q1300" s="43" t="inlineStr">
        <is>
          <t>202604_LIXIL_サーモスＬ_業務用資料集_完成品価格表.pdf</t>
        </is>
      </c>
      <c r="R1300" s="43" t="n"/>
      <c r="S1300" s="42" t="inlineStr">
        <is>
          <t>無印</t>
        </is>
      </c>
      <c r="T1300" s="42" t="n">
        <v>188</v>
      </c>
      <c r="U1300" s="42" t="inlineStr">
        <is>
          <t>P188|無印</t>
        </is>
      </c>
      <c r="V1300" s="42" t="inlineStr">
        <is>
          <t>同頁凡例へ直接連動</t>
        </is>
      </c>
    </row>
    <row r="1301">
      <c r="A1301" s="43" t="inlineStr">
        <is>
          <t>SZ-SL-001298</t>
        </is>
      </c>
      <c r="B1301" s="43" t="inlineStr">
        <is>
          <t>SER-LIX-SAMOSL</t>
        </is>
      </c>
      <c r="C1301" s="43" t="inlineStr">
        <is>
          <t>WT-SL-UCHIDAOSHI</t>
        </is>
      </c>
      <c r="D1301" s="43" t="inlineStr">
        <is>
          <t>内倒し窓</t>
        </is>
      </c>
      <c r="E1301" s="43" t="n"/>
      <c r="F1301" s="43" t="inlineStr">
        <is>
          <t>在来・204</t>
        </is>
      </c>
      <c r="G1301" s="43" t="inlineStr">
        <is>
          <t>06907</t>
        </is>
      </c>
      <c r="H1301" s="43" t="inlineStr">
        <is>
          <t>069</t>
        </is>
      </c>
      <c r="I1301" s="43" t="inlineStr">
        <is>
          <t>07</t>
        </is>
      </c>
      <c r="J1301" s="222" t="n">
        <v>730</v>
      </c>
      <c r="K1301" s="222" t="n">
        <v>770</v>
      </c>
      <c r="L1301" s="43" t="inlineStr">
        <is>
          <t>在来・204</t>
        </is>
      </c>
      <c r="M1301" s="178" t="b">
        <v>1</v>
      </c>
      <c r="N1301" s="43" t="inlineStr">
        <is>
          <t>カタログ規格確認済み</t>
        </is>
      </c>
      <c r="O1301" s="222" t="n">
        <v>190</v>
      </c>
      <c r="P1301" s="222" t="n">
        <v>188</v>
      </c>
      <c r="Q1301" s="43" t="inlineStr">
        <is>
          <t>202604_LIXIL_サーモスＬ_業務用資料集_完成品価格表.pdf</t>
        </is>
      </c>
      <c r="R1301" s="43" t="n"/>
      <c r="S1301" s="42" t="inlineStr">
        <is>
          <t>無印</t>
        </is>
      </c>
      <c r="T1301" s="42" t="n">
        <v>188</v>
      </c>
      <c r="U1301" s="42" t="inlineStr">
        <is>
          <t>P188|無印</t>
        </is>
      </c>
      <c r="V1301" s="42" t="inlineStr">
        <is>
          <t>同頁凡例へ直接連動</t>
        </is>
      </c>
    </row>
    <row r="1302">
      <c r="A1302" s="43" t="inlineStr">
        <is>
          <t>SZ-SL-001299</t>
        </is>
      </c>
      <c r="B1302" s="43" t="inlineStr">
        <is>
          <t>SER-LIX-SAMOSL</t>
        </is>
      </c>
      <c r="C1302" s="43" t="inlineStr">
        <is>
          <t>WT-SL-UCHIDAOSHI</t>
        </is>
      </c>
      <c r="D1302" s="43" t="inlineStr">
        <is>
          <t>内倒し窓</t>
        </is>
      </c>
      <c r="E1302" s="43" t="n"/>
      <c r="F1302" s="43" t="inlineStr">
        <is>
          <t>在来・204</t>
        </is>
      </c>
      <c r="G1302" s="43" t="inlineStr">
        <is>
          <t>07403</t>
        </is>
      </c>
      <c r="H1302" s="43" t="inlineStr">
        <is>
          <t>074</t>
        </is>
      </c>
      <c r="I1302" s="43" t="inlineStr">
        <is>
          <t>03</t>
        </is>
      </c>
      <c r="J1302" s="222" t="n">
        <v>780</v>
      </c>
      <c r="K1302" s="222" t="n">
        <v>370</v>
      </c>
      <c r="L1302" s="43" t="inlineStr">
        <is>
          <t>在来・204</t>
        </is>
      </c>
      <c r="M1302" s="178" t="b">
        <v>1</v>
      </c>
      <c r="N1302" s="43" t="inlineStr">
        <is>
          <t>カタログ規格確認済み</t>
        </is>
      </c>
      <c r="O1302" s="222" t="n">
        <v>190</v>
      </c>
      <c r="P1302" s="222" t="n">
        <v>188</v>
      </c>
      <c r="Q1302" s="43" t="inlineStr">
        <is>
          <t>202604_LIXIL_サーモスＬ_業務用資料集_完成品価格表.pdf</t>
        </is>
      </c>
      <c r="R1302" s="43" t="n"/>
      <c r="S1302" s="42" t="inlineStr">
        <is>
          <t>無印</t>
        </is>
      </c>
      <c r="T1302" s="42" t="n">
        <v>188</v>
      </c>
      <c r="U1302" s="42" t="inlineStr">
        <is>
          <t>P188|無印</t>
        </is>
      </c>
      <c r="V1302" s="42" t="inlineStr">
        <is>
          <t>同頁凡例へ直接連動</t>
        </is>
      </c>
    </row>
    <row r="1303">
      <c r="A1303" s="43" t="inlineStr">
        <is>
          <t>SZ-SL-001300</t>
        </is>
      </c>
      <c r="B1303" s="43" t="inlineStr">
        <is>
          <t>SER-LIX-SAMOSL</t>
        </is>
      </c>
      <c r="C1303" s="43" t="inlineStr">
        <is>
          <t>WT-SL-UCHIDAOSHI</t>
        </is>
      </c>
      <c r="D1303" s="43" t="inlineStr">
        <is>
          <t>内倒し窓</t>
        </is>
      </c>
      <c r="E1303" s="43" t="n"/>
      <c r="F1303" s="43" t="inlineStr">
        <is>
          <t>在来・204</t>
        </is>
      </c>
      <c r="G1303" s="43" t="inlineStr">
        <is>
          <t>07405</t>
        </is>
      </c>
      <c r="H1303" s="43" t="inlineStr">
        <is>
          <t>074</t>
        </is>
      </c>
      <c r="I1303" s="43" t="inlineStr">
        <is>
          <t>05</t>
        </is>
      </c>
      <c r="J1303" s="222" t="n">
        <v>780</v>
      </c>
      <c r="K1303" s="222" t="n">
        <v>570</v>
      </c>
      <c r="L1303" s="43" t="inlineStr">
        <is>
          <t>在来・204</t>
        </is>
      </c>
      <c r="M1303" s="178" t="b">
        <v>1</v>
      </c>
      <c r="N1303" s="43" t="inlineStr">
        <is>
          <t>カタログ規格確認済み</t>
        </is>
      </c>
      <c r="O1303" s="222" t="n">
        <v>190</v>
      </c>
      <c r="P1303" s="222" t="n">
        <v>188</v>
      </c>
      <c r="Q1303" s="43" t="inlineStr">
        <is>
          <t>202604_LIXIL_サーモスＬ_業務用資料集_完成品価格表.pdf</t>
        </is>
      </c>
      <c r="R1303" s="43" t="n"/>
      <c r="S1303" s="42" t="inlineStr">
        <is>
          <t>無印</t>
        </is>
      </c>
      <c r="T1303" s="42" t="n">
        <v>188</v>
      </c>
      <c r="U1303" s="42" t="inlineStr">
        <is>
          <t>P188|無印</t>
        </is>
      </c>
      <c r="V1303" s="42" t="inlineStr">
        <is>
          <t>同頁凡例へ直接連動</t>
        </is>
      </c>
    </row>
    <row r="1304">
      <c r="A1304" s="43" t="inlineStr">
        <is>
          <t>SZ-SL-001301</t>
        </is>
      </c>
      <c r="B1304" s="43" t="inlineStr">
        <is>
          <t>SER-LIX-SAMOSL</t>
        </is>
      </c>
      <c r="C1304" s="43" t="inlineStr">
        <is>
          <t>WT-SL-UCHIDAOSHI</t>
        </is>
      </c>
      <c r="D1304" s="43" t="inlineStr">
        <is>
          <t>内倒し窓</t>
        </is>
      </c>
      <c r="E1304" s="43" t="n"/>
      <c r="F1304" s="43" t="inlineStr">
        <is>
          <t>在来・204</t>
        </is>
      </c>
      <c r="G1304" s="43" t="inlineStr">
        <is>
          <t>07407</t>
        </is>
      </c>
      <c r="H1304" s="43" t="inlineStr">
        <is>
          <t>074</t>
        </is>
      </c>
      <c r="I1304" s="43" t="inlineStr">
        <is>
          <t>07</t>
        </is>
      </c>
      <c r="J1304" s="222" t="n">
        <v>780</v>
      </c>
      <c r="K1304" s="222" t="n">
        <v>770</v>
      </c>
      <c r="L1304" s="43" t="inlineStr">
        <is>
          <t>在来・204</t>
        </is>
      </c>
      <c r="M1304" s="178" t="b">
        <v>1</v>
      </c>
      <c r="N1304" s="43" t="inlineStr">
        <is>
          <t>カタログ規格確認済み</t>
        </is>
      </c>
      <c r="O1304" s="222" t="n">
        <v>190</v>
      </c>
      <c r="P1304" s="222" t="n">
        <v>188</v>
      </c>
      <c r="Q1304" s="43" t="inlineStr">
        <is>
          <t>202604_LIXIL_サーモスＬ_業務用資料集_完成品価格表.pdf</t>
        </is>
      </c>
      <c r="R1304" s="43" t="n"/>
      <c r="S1304" s="42" t="inlineStr">
        <is>
          <t>無印</t>
        </is>
      </c>
      <c r="T1304" s="42" t="n">
        <v>188</v>
      </c>
      <c r="U1304" s="42" t="inlineStr">
        <is>
          <t>P188|無印</t>
        </is>
      </c>
      <c r="V1304" s="42" t="inlineStr">
        <is>
          <t>同頁凡例へ直接連動</t>
        </is>
      </c>
    </row>
    <row r="1305">
      <c r="A1305" s="43" t="inlineStr">
        <is>
          <t>SZ-SL-001302</t>
        </is>
      </c>
      <c r="B1305" s="43" t="inlineStr">
        <is>
          <t>SER-LIX-SAMOSL</t>
        </is>
      </c>
      <c r="C1305" s="43" t="inlineStr">
        <is>
          <t>WT-SL-UCHIDAOSHI</t>
        </is>
      </c>
      <c r="D1305" s="43" t="inlineStr">
        <is>
          <t>内倒し窓</t>
        </is>
      </c>
      <c r="E1305" s="43" t="n"/>
      <c r="F1305" s="43" t="inlineStr">
        <is>
          <t>在来・204</t>
        </is>
      </c>
      <c r="G1305" s="43" t="inlineStr">
        <is>
          <t>11903</t>
        </is>
      </c>
      <c r="H1305" s="43" t="inlineStr">
        <is>
          <t>119</t>
        </is>
      </c>
      <c r="I1305" s="43" t="inlineStr">
        <is>
          <t>03</t>
        </is>
      </c>
      <c r="J1305" s="222" t="n">
        <v>1235</v>
      </c>
      <c r="K1305" s="222" t="n">
        <v>370</v>
      </c>
      <c r="L1305" s="43" t="inlineStr">
        <is>
          <t>在来・204</t>
        </is>
      </c>
      <c r="M1305" s="178" t="b">
        <v>1</v>
      </c>
      <c r="N1305" s="43" t="inlineStr">
        <is>
          <t>カタログ規格確認済み</t>
        </is>
      </c>
      <c r="O1305" s="222" t="n">
        <v>191</v>
      </c>
      <c r="P1305" s="222" t="n">
        <v>189</v>
      </c>
      <c r="Q1305" s="43" t="inlineStr">
        <is>
          <t>202604_LIXIL_サーモスＬ_業務用資料集_完成品価格表.pdf</t>
        </is>
      </c>
      <c r="R1305" s="43" t="n"/>
      <c r="S1305" s="42" t="inlineStr">
        <is>
          <t>無印</t>
        </is>
      </c>
      <c r="T1305" s="42" t="n">
        <v>188</v>
      </c>
      <c r="U1305" s="42" t="inlineStr">
        <is>
          <t>P188|無印</t>
        </is>
      </c>
      <c r="V1305" s="42" t="inlineStr">
        <is>
          <t>同一価格表・前頁凡例を継承</t>
        </is>
      </c>
    </row>
    <row r="1306">
      <c r="A1306" s="43" t="inlineStr">
        <is>
          <t>SZ-SL-001303</t>
        </is>
      </c>
      <c r="B1306" s="43" t="inlineStr">
        <is>
          <t>SER-LIX-SAMOSL</t>
        </is>
      </c>
      <c r="C1306" s="43" t="inlineStr">
        <is>
          <t>WT-SL-UCHIDAOSHI</t>
        </is>
      </c>
      <c r="D1306" s="43" t="inlineStr">
        <is>
          <t>内倒し窓</t>
        </is>
      </c>
      <c r="E1306" s="43" t="n"/>
      <c r="F1306" s="43" t="inlineStr">
        <is>
          <t>在来・204</t>
        </is>
      </c>
      <c r="G1306" s="43" t="inlineStr">
        <is>
          <t>16503</t>
        </is>
      </c>
      <c r="H1306" s="43" t="inlineStr">
        <is>
          <t>165</t>
        </is>
      </c>
      <c r="I1306" s="43" t="inlineStr">
        <is>
          <t>03</t>
        </is>
      </c>
      <c r="J1306" s="222" t="n">
        <v>1690</v>
      </c>
      <c r="K1306" s="222" t="n">
        <v>370</v>
      </c>
      <c r="L1306" s="43" t="inlineStr">
        <is>
          <t>在来・204</t>
        </is>
      </c>
      <c r="M1306" s="178" t="b">
        <v>1</v>
      </c>
      <c r="N1306" s="43" t="inlineStr">
        <is>
          <t>カタログ規格確認済み</t>
        </is>
      </c>
      <c r="O1306" s="222" t="n">
        <v>191</v>
      </c>
      <c r="P1306" s="222" t="n">
        <v>189</v>
      </c>
      <c r="Q1306" s="43" t="inlineStr">
        <is>
          <t>202604_LIXIL_サーモスＬ_業務用資料集_完成品価格表.pdf</t>
        </is>
      </c>
      <c r="R1306" s="43" t="n"/>
      <c r="S1306" s="42" t="inlineStr">
        <is>
          <t>無印</t>
        </is>
      </c>
      <c r="T1306" s="42" t="n">
        <v>188</v>
      </c>
      <c r="U1306" s="42" t="inlineStr">
        <is>
          <t>P188|無印</t>
        </is>
      </c>
      <c r="V1306" s="42" t="inlineStr">
        <is>
          <t>同一価格表・前頁凡例を継承</t>
        </is>
      </c>
    </row>
    <row r="1307">
      <c r="A1307" s="43" t="inlineStr">
        <is>
          <t>SZ-SL-001304</t>
        </is>
      </c>
      <c r="B1307" s="43" t="inlineStr">
        <is>
          <t>SER-LIX-SAMOSL</t>
        </is>
      </c>
      <c r="C1307" s="43" t="inlineStr">
        <is>
          <t>WT-SL-SOTODAOSHI</t>
        </is>
      </c>
      <c r="D1307" s="43" t="inlineStr">
        <is>
          <t>外倒し窓</t>
        </is>
      </c>
      <c r="E1307" s="43" t="inlineStr">
        <is>
          <t>*</t>
        </is>
      </c>
      <c r="F1307" s="43" t="inlineStr">
        <is>
          <t>在来・204</t>
        </is>
      </c>
      <c r="G1307" s="43" t="inlineStr">
        <is>
          <t>06005</t>
        </is>
      </c>
      <c r="H1307" s="43" t="inlineStr">
        <is>
          <t>060</t>
        </is>
      </c>
      <c r="I1307" s="43" t="inlineStr">
        <is>
          <t>05</t>
        </is>
      </c>
      <c r="J1307" s="222" t="n">
        <v>640</v>
      </c>
      <c r="K1307" s="222" t="n">
        <v>570</v>
      </c>
      <c r="L1307" s="43" t="inlineStr">
        <is>
          <t>在来・204</t>
        </is>
      </c>
      <c r="M1307" s="178" t="b">
        <v>1</v>
      </c>
      <c r="N1307" s="43" t="inlineStr">
        <is>
          <t>サイズ共通</t>
        </is>
      </c>
      <c r="O1307" s="222" t="n">
        <v>192</v>
      </c>
      <c r="P1307" s="222" t="n">
        <v>190</v>
      </c>
      <c r="Q1307" s="43" t="inlineStr">
        <is>
          <t>202604_LIXIL_サーモスＬ_業務用資料集_完成品価格表.pdf</t>
        </is>
      </c>
      <c r="R1307" s="43" t="inlineStr">
        <is>
          <t>固有仕様ID='*'：サイズは当該窓種の固有仕様間で共通扱い。個別部材の設定可否は関係表で制御。</t>
        </is>
      </c>
      <c r="S1307" s="42" t="inlineStr">
        <is>
          <t>無印</t>
        </is>
      </c>
      <c r="T1307" s="42" t="n">
        <v>190</v>
      </c>
      <c r="U1307" s="42" t="inlineStr">
        <is>
          <t>P190|無印</t>
        </is>
      </c>
      <c r="V1307" s="42" t="inlineStr">
        <is>
          <t>同頁凡例へ直接連動</t>
        </is>
      </c>
    </row>
    <row r="1308">
      <c r="A1308" s="43" t="inlineStr">
        <is>
          <t>SZ-SL-001305</t>
        </is>
      </c>
      <c r="B1308" s="43" t="inlineStr">
        <is>
          <t>SER-LIX-SAMOSL</t>
        </is>
      </c>
      <c r="C1308" s="43" t="inlineStr">
        <is>
          <t>WT-SL-SOTODAOSHI</t>
        </is>
      </c>
      <c r="D1308" s="43" t="inlineStr">
        <is>
          <t>外倒し窓</t>
        </is>
      </c>
      <c r="E1308" s="43" t="inlineStr">
        <is>
          <t>*</t>
        </is>
      </c>
      <c r="F1308" s="43" t="inlineStr">
        <is>
          <t>在来・204</t>
        </is>
      </c>
      <c r="G1308" s="43" t="inlineStr">
        <is>
          <t>06007</t>
        </is>
      </c>
      <c r="H1308" s="43" t="inlineStr">
        <is>
          <t>060</t>
        </is>
      </c>
      <c r="I1308" s="43" t="inlineStr">
        <is>
          <t>07</t>
        </is>
      </c>
      <c r="J1308" s="222" t="n">
        <v>640</v>
      </c>
      <c r="K1308" s="222" t="n">
        <v>770</v>
      </c>
      <c r="L1308" s="43" t="inlineStr">
        <is>
          <t>在来・204</t>
        </is>
      </c>
      <c r="M1308" s="178" t="b">
        <v>1</v>
      </c>
      <c r="N1308" s="43" t="inlineStr">
        <is>
          <t>サイズ共通</t>
        </is>
      </c>
      <c r="O1308" s="222" t="n">
        <v>192</v>
      </c>
      <c r="P1308" s="222" t="n">
        <v>190</v>
      </c>
      <c r="Q1308" s="43" t="inlineStr">
        <is>
          <t>202604_LIXIL_サーモスＬ_業務用資料集_完成品価格表.pdf</t>
        </is>
      </c>
      <c r="R1308" s="43" t="inlineStr">
        <is>
          <t>固有仕様ID='*'：サイズは当該窓種の固有仕様間で共通扱い。個別部材の設定可否は関係表で制御。</t>
        </is>
      </c>
      <c r="S1308" s="42" t="inlineStr">
        <is>
          <t>無印</t>
        </is>
      </c>
      <c r="T1308" s="42" t="n">
        <v>190</v>
      </c>
      <c r="U1308" s="42" t="inlineStr">
        <is>
          <t>P190|無印</t>
        </is>
      </c>
      <c r="V1308" s="42" t="inlineStr">
        <is>
          <t>同頁凡例へ直接連動</t>
        </is>
      </c>
    </row>
    <row r="1309">
      <c r="A1309" s="43" t="inlineStr">
        <is>
          <t>SZ-SL-001306</t>
        </is>
      </c>
      <c r="B1309" s="43" t="inlineStr">
        <is>
          <t>SER-LIX-SAMOSL</t>
        </is>
      </c>
      <c r="C1309" s="43" t="inlineStr">
        <is>
          <t>WT-SL-SOTODAOSHI</t>
        </is>
      </c>
      <c r="D1309" s="43" t="inlineStr">
        <is>
          <t>外倒し窓</t>
        </is>
      </c>
      <c r="E1309" s="43" t="inlineStr">
        <is>
          <t>*</t>
        </is>
      </c>
      <c r="F1309" s="43" t="inlineStr">
        <is>
          <t>在来・204</t>
        </is>
      </c>
      <c r="G1309" s="43" t="inlineStr">
        <is>
          <t>06905</t>
        </is>
      </c>
      <c r="H1309" s="43" t="inlineStr">
        <is>
          <t>069</t>
        </is>
      </c>
      <c r="I1309" s="43" t="inlineStr">
        <is>
          <t>05</t>
        </is>
      </c>
      <c r="J1309" s="222" t="n">
        <v>730</v>
      </c>
      <c r="K1309" s="222" t="n">
        <v>570</v>
      </c>
      <c r="L1309" s="43" t="inlineStr">
        <is>
          <t>在来・204</t>
        </is>
      </c>
      <c r="M1309" s="178" t="b">
        <v>1</v>
      </c>
      <c r="N1309" s="43" t="inlineStr">
        <is>
          <t>サイズ共通</t>
        </is>
      </c>
      <c r="O1309" s="222" t="n">
        <v>192</v>
      </c>
      <c r="P1309" s="222" t="n">
        <v>190</v>
      </c>
      <c r="Q1309" s="43" t="inlineStr">
        <is>
          <t>202604_LIXIL_サーモスＬ_業務用資料集_完成品価格表.pdf</t>
        </is>
      </c>
      <c r="R1309" s="43" t="inlineStr">
        <is>
          <t>固有仕様ID='*'：サイズは当該窓種の固有仕様間で共通扱い。個別部材の設定可否は関係表で制御。</t>
        </is>
      </c>
      <c r="S1309" s="42" t="inlineStr">
        <is>
          <t>無印</t>
        </is>
      </c>
      <c r="T1309" s="42" t="n">
        <v>190</v>
      </c>
      <c r="U1309" s="42" t="inlineStr">
        <is>
          <t>P190|無印</t>
        </is>
      </c>
      <c r="V1309" s="42" t="inlineStr">
        <is>
          <t>同頁凡例へ直接連動</t>
        </is>
      </c>
    </row>
    <row r="1310">
      <c r="A1310" s="43" t="inlineStr">
        <is>
          <t>SZ-SL-001307</t>
        </is>
      </c>
      <c r="B1310" s="43" t="inlineStr">
        <is>
          <t>SER-LIX-SAMOSL</t>
        </is>
      </c>
      <c r="C1310" s="43" t="inlineStr">
        <is>
          <t>WT-SL-SOTODAOSHI</t>
        </is>
      </c>
      <c r="D1310" s="43" t="inlineStr">
        <is>
          <t>外倒し窓</t>
        </is>
      </c>
      <c r="E1310" s="43" t="inlineStr">
        <is>
          <t>*</t>
        </is>
      </c>
      <c r="F1310" s="43" t="inlineStr">
        <is>
          <t>在来・204</t>
        </is>
      </c>
      <c r="G1310" s="43" t="inlineStr">
        <is>
          <t>06907</t>
        </is>
      </c>
      <c r="H1310" s="43" t="inlineStr">
        <is>
          <t>069</t>
        </is>
      </c>
      <c r="I1310" s="43" t="inlineStr">
        <is>
          <t>07</t>
        </is>
      </c>
      <c r="J1310" s="222" t="n">
        <v>730</v>
      </c>
      <c r="K1310" s="222" t="n">
        <v>770</v>
      </c>
      <c r="L1310" s="43" t="inlineStr">
        <is>
          <t>在来・204</t>
        </is>
      </c>
      <c r="M1310" s="178" t="b">
        <v>1</v>
      </c>
      <c r="N1310" s="43" t="inlineStr">
        <is>
          <t>サイズ共通</t>
        </is>
      </c>
      <c r="O1310" s="222" t="n">
        <v>192</v>
      </c>
      <c r="P1310" s="222" t="n">
        <v>190</v>
      </c>
      <c r="Q1310" s="43" t="inlineStr">
        <is>
          <t>202604_LIXIL_サーモスＬ_業務用資料集_完成品価格表.pdf</t>
        </is>
      </c>
      <c r="R1310" s="43" t="inlineStr">
        <is>
          <t>固有仕様ID='*'：サイズは当該窓種の固有仕様間で共通扱い。個別部材の設定可否は関係表で制御。</t>
        </is>
      </c>
      <c r="S1310" s="42" t="inlineStr">
        <is>
          <t>無印</t>
        </is>
      </c>
      <c r="T1310" s="42" t="n">
        <v>190</v>
      </c>
      <c r="U1310" s="42" t="inlineStr">
        <is>
          <t>P190|無印</t>
        </is>
      </c>
      <c r="V1310" s="42" t="inlineStr">
        <is>
          <t>同頁凡例へ直接連動</t>
        </is>
      </c>
    </row>
    <row r="1311">
      <c r="A1311" s="43" t="inlineStr">
        <is>
          <t>SZ-SL-001308</t>
        </is>
      </c>
      <c r="B1311" s="43" t="inlineStr">
        <is>
          <t>SER-LIX-SAMOSL</t>
        </is>
      </c>
      <c r="C1311" s="43" t="inlineStr">
        <is>
          <t>WT-SL-SOTODAOSHI</t>
        </is>
      </c>
      <c r="D1311" s="43" t="inlineStr">
        <is>
          <t>外倒し窓</t>
        </is>
      </c>
      <c r="E1311" s="43" t="inlineStr">
        <is>
          <t>*</t>
        </is>
      </c>
      <c r="F1311" s="43" t="inlineStr">
        <is>
          <t>在来・204</t>
        </is>
      </c>
      <c r="G1311" s="43" t="inlineStr">
        <is>
          <t>07405</t>
        </is>
      </c>
      <c r="H1311" s="43" t="inlineStr">
        <is>
          <t>074</t>
        </is>
      </c>
      <c r="I1311" s="43" t="inlineStr">
        <is>
          <t>05</t>
        </is>
      </c>
      <c r="J1311" s="222" t="n">
        <v>780</v>
      </c>
      <c r="K1311" s="222" t="n">
        <v>570</v>
      </c>
      <c r="L1311" s="43" t="inlineStr">
        <is>
          <t>在来・204</t>
        </is>
      </c>
      <c r="M1311" s="178" t="b">
        <v>1</v>
      </c>
      <c r="N1311" s="43" t="inlineStr">
        <is>
          <t>サイズ共通</t>
        </is>
      </c>
      <c r="O1311" s="222" t="n">
        <v>192</v>
      </c>
      <c r="P1311" s="222" t="n">
        <v>190</v>
      </c>
      <c r="Q1311" s="43" t="inlineStr">
        <is>
          <t>202604_LIXIL_サーモスＬ_業務用資料集_完成品価格表.pdf</t>
        </is>
      </c>
      <c r="R1311" s="43" t="inlineStr">
        <is>
          <t>固有仕様ID='*'：サイズは当該窓種の固有仕様間で共通扱い。個別部材の設定可否は関係表で制御。</t>
        </is>
      </c>
      <c r="S1311" s="42" t="inlineStr">
        <is>
          <t>無印</t>
        </is>
      </c>
      <c r="T1311" s="42" t="n">
        <v>190</v>
      </c>
      <c r="U1311" s="42" t="inlineStr">
        <is>
          <t>P190|無印</t>
        </is>
      </c>
      <c r="V1311" s="42" t="inlineStr">
        <is>
          <t>同頁凡例へ直接連動</t>
        </is>
      </c>
    </row>
    <row r="1312">
      <c r="A1312" s="43" t="inlineStr">
        <is>
          <t>SZ-SL-001309</t>
        </is>
      </c>
      <c r="B1312" s="43" t="inlineStr">
        <is>
          <t>SER-LIX-SAMOSL</t>
        </is>
      </c>
      <c r="C1312" s="43" t="inlineStr">
        <is>
          <t>WT-SL-SOTODAOSHI</t>
        </is>
      </c>
      <c r="D1312" s="43" t="inlineStr">
        <is>
          <t>外倒し窓</t>
        </is>
      </c>
      <c r="E1312" s="43" t="inlineStr">
        <is>
          <t>*</t>
        </is>
      </c>
      <c r="F1312" s="43" t="inlineStr">
        <is>
          <t>在来・204</t>
        </is>
      </c>
      <c r="G1312" s="43" t="inlineStr">
        <is>
          <t>07407</t>
        </is>
      </c>
      <c r="H1312" s="43" t="inlineStr">
        <is>
          <t>074</t>
        </is>
      </c>
      <c r="I1312" s="43" t="inlineStr">
        <is>
          <t>07</t>
        </is>
      </c>
      <c r="J1312" s="222" t="n">
        <v>780</v>
      </c>
      <c r="K1312" s="222" t="n">
        <v>770</v>
      </c>
      <c r="L1312" s="43" t="inlineStr">
        <is>
          <t>在来・204</t>
        </is>
      </c>
      <c r="M1312" s="178" t="b">
        <v>1</v>
      </c>
      <c r="N1312" s="43" t="inlineStr">
        <is>
          <t>サイズ共通</t>
        </is>
      </c>
      <c r="O1312" s="222" t="n">
        <v>192</v>
      </c>
      <c r="P1312" s="222" t="n">
        <v>190</v>
      </c>
      <c r="Q1312" s="43" t="inlineStr">
        <is>
          <t>202604_LIXIL_サーモスＬ_業務用資料集_完成品価格表.pdf</t>
        </is>
      </c>
      <c r="R1312" s="43" t="inlineStr">
        <is>
          <t>固有仕様ID='*'：サイズは当該窓種の固有仕様間で共通扱い。個別部材の設定可否は関係表で制御。</t>
        </is>
      </c>
      <c r="S1312" s="42" t="inlineStr">
        <is>
          <t>無印</t>
        </is>
      </c>
      <c r="T1312" s="42" t="n">
        <v>190</v>
      </c>
      <c r="U1312" s="42" t="inlineStr">
        <is>
          <t>P190|無印</t>
        </is>
      </c>
      <c r="V1312" s="42" t="inlineStr">
        <is>
          <t>同頁凡例へ直接連動</t>
        </is>
      </c>
    </row>
    <row r="1313">
      <c r="A1313" s="43" t="inlineStr">
        <is>
          <t>SZ-SL-001310</t>
        </is>
      </c>
      <c r="B1313" s="43" t="inlineStr">
        <is>
          <t>SER-LIX-SAMOSL</t>
        </is>
      </c>
      <c r="C1313" s="43" t="inlineStr">
        <is>
          <t>WT-SL-SOTODAOSHI</t>
        </is>
      </c>
      <c r="D1313" s="43" t="inlineStr">
        <is>
          <t>外倒し窓</t>
        </is>
      </c>
      <c r="E1313" s="43" t="inlineStr">
        <is>
          <t>*</t>
        </is>
      </c>
      <c r="F1313" s="43" t="inlineStr">
        <is>
          <t>在来・204</t>
        </is>
      </c>
      <c r="G1313" s="43" t="inlineStr">
        <is>
          <t>16505</t>
        </is>
      </c>
      <c r="H1313" s="43" t="inlineStr">
        <is>
          <t>165</t>
        </is>
      </c>
      <c r="I1313" s="43" t="inlineStr">
        <is>
          <t>05</t>
        </is>
      </c>
      <c r="J1313" s="222" t="n">
        <v>1690</v>
      </c>
      <c r="K1313" s="222" t="n">
        <v>570</v>
      </c>
      <c r="L1313" s="43" t="inlineStr">
        <is>
          <t>在来・204</t>
        </is>
      </c>
      <c r="M1313" s="178" t="b">
        <v>1</v>
      </c>
      <c r="N1313" s="43" t="inlineStr">
        <is>
          <t>サイズ共通</t>
        </is>
      </c>
      <c r="O1313" s="222" t="n">
        <v>192</v>
      </c>
      <c r="P1313" s="222" t="n">
        <v>190</v>
      </c>
      <c r="Q1313" s="43" t="inlineStr">
        <is>
          <t>202604_LIXIL_サーモスＬ_業務用資料集_完成品価格表.pdf</t>
        </is>
      </c>
      <c r="R1313" s="43" t="inlineStr">
        <is>
          <t>固有仕様ID='*'：サイズは当該窓種の固有仕様間で共通扱い。個別部材の設定可否は関係表で制御。</t>
        </is>
      </c>
      <c r="S1313" s="42" t="inlineStr">
        <is>
          <t>無印</t>
        </is>
      </c>
      <c r="T1313" s="42" t="n">
        <v>190</v>
      </c>
      <c r="U1313" s="42" t="inlineStr">
        <is>
          <t>P190|無印</t>
        </is>
      </c>
      <c r="V1313" s="42" t="inlineStr">
        <is>
          <t>同頁凡例へ直接連動</t>
        </is>
      </c>
    </row>
    <row r="1314">
      <c r="A1314" s="43" t="inlineStr">
        <is>
          <t>SZ-SL-001311</t>
        </is>
      </c>
      <c r="B1314" s="43" t="inlineStr">
        <is>
          <t>SER-LIX-SAMOSL</t>
        </is>
      </c>
      <c r="C1314" s="43" t="inlineStr">
        <is>
          <t>WT-SL-SOTODAOSHI</t>
        </is>
      </c>
      <c r="D1314" s="43" t="inlineStr">
        <is>
          <t>外倒し窓</t>
        </is>
      </c>
      <c r="E1314" s="43" t="inlineStr">
        <is>
          <t>*</t>
        </is>
      </c>
      <c r="F1314" s="43" t="inlineStr">
        <is>
          <t>在来・204</t>
        </is>
      </c>
      <c r="G1314" s="43" t="inlineStr">
        <is>
          <t>16507</t>
        </is>
      </c>
      <c r="H1314" s="43" t="inlineStr">
        <is>
          <t>165</t>
        </is>
      </c>
      <c r="I1314" s="43" t="inlineStr">
        <is>
          <t>07</t>
        </is>
      </c>
      <c r="J1314" s="222" t="n">
        <v>1690</v>
      </c>
      <c r="K1314" s="222" t="n">
        <v>770</v>
      </c>
      <c r="L1314" s="43" t="inlineStr">
        <is>
          <t>在来・204</t>
        </is>
      </c>
      <c r="M1314" s="178" t="b">
        <v>1</v>
      </c>
      <c r="N1314" s="43" t="inlineStr">
        <is>
          <t>サイズ共通</t>
        </is>
      </c>
      <c r="O1314" s="222" t="n">
        <v>192</v>
      </c>
      <c r="P1314" s="222" t="n">
        <v>190</v>
      </c>
      <c r="Q1314" s="43" t="inlineStr">
        <is>
          <t>202604_LIXIL_サーモスＬ_業務用資料集_完成品価格表.pdf</t>
        </is>
      </c>
      <c r="R1314" s="43" t="inlineStr">
        <is>
          <t>固有仕様ID='*'：サイズは当該窓種の固有仕様間で共通扱い。個別部材の設定可否は関係表で制御。</t>
        </is>
      </c>
      <c r="S1314" s="42" t="inlineStr">
        <is>
          <t>無印</t>
        </is>
      </c>
      <c r="T1314" s="42" t="n">
        <v>190</v>
      </c>
      <c r="U1314" s="42" t="inlineStr">
        <is>
          <t>P190|無印</t>
        </is>
      </c>
      <c r="V1314" s="42" t="inlineStr">
        <is>
          <t>同頁凡例へ直接連動</t>
        </is>
      </c>
    </row>
    <row r="1315">
      <c r="A1315" s="43" t="inlineStr">
        <is>
          <t>SZ-SL-001312</t>
        </is>
      </c>
      <c r="B1315" s="43" t="inlineStr">
        <is>
          <t>SER-LIX-SAMOSL</t>
        </is>
      </c>
      <c r="C1315" s="43" t="inlineStr">
        <is>
          <t>WT-SL-KAZARI-HIKI</t>
        </is>
      </c>
      <c r="D1315" s="43" t="inlineStr">
        <is>
          <t>装飾引違い窓</t>
        </is>
      </c>
      <c r="E1315" s="43" t="inlineStr">
        <is>
          <t>SP-SL-KAZARI-H</t>
        </is>
      </c>
      <c r="F1315" s="43" t="inlineStr">
        <is>
          <t>在来・204</t>
        </is>
      </c>
      <c r="G1315" s="43" t="inlineStr">
        <is>
          <t>06905</t>
        </is>
      </c>
      <c r="H1315" s="43" t="inlineStr">
        <is>
          <t>069</t>
        </is>
      </c>
      <c r="I1315" s="43" t="inlineStr">
        <is>
          <t>05</t>
        </is>
      </c>
      <c r="J1315" s="222" t="n">
        <v>730</v>
      </c>
      <c r="K1315" s="222" t="n">
        <v>570</v>
      </c>
      <c r="L1315" s="43" t="inlineStr">
        <is>
          <t>在来・204｜H｜マド①</t>
        </is>
      </c>
      <c r="M1315" s="178" t="b">
        <v>1</v>
      </c>
      <c r="N1315" s="43" t="inlineStr">
        <is>
          <t>カタログ規格確認済み</t>
        </is>
      </c>
      <c r="O1315" s="222" t="n">
        <v>194</v>
      </c>
      <c r="P1315" s="222" t="n">
        <v>192</v>
      </c>
      <c r="Q1315" s="43" t="inlineStr">
        <is>
          <t>202604_LIXIL_サーモスＬ_業務用資料集_完成品価格表.pdf</t>
        </is>
      </c>
      <c r="R1315" s="43" t="n"/>
      <c r="S1315" s="42" t="inlineStr">
        <is>
          <t>無印</t>
        </is>
      </c>
      <c r="T1315" s="42" t="n">
        <v>192</v>
      </c>
      <c r="U1315" s="42" t="inlineStr">
        <is>
          <t>P192|無印</t>
        </is>
      </c>
      <c r="V1315" s="42" t="inlineStr">
        <is>
          <t>同頁凡例へ直接連動</t>
        </is>
      </c>
    </row>
    <row r="1316">
      <c r="A1316" s="43" t="inlineStr">
        <is>
          <t>SZ-SL-001313</t>
        </is>
      </c>
      <c r="B1316" s="43" t="inlineStr">
        <is>
          <t>SER-LIX-SAMOSL</t>
        </is>
      </c>
      <c r="C1316" s="43" t="inlineStr">
        <is>
          <t>WT-SL-KAZARI-HIKI</t>
        </is>
      </c>
      <c r="D1316" s="43" t="inlineStr">
        <is>
          <t>装飾引違い窓</t>
        </is>
      </c>
      <c r="E1316" s="43" t="inlineStr">
        <is>
          <t>SP-SL-KAZARI-H</t>
        </is>
      </c>
      <c r="F1316" s="43" t="inlineStr">
        <is>
          <t>在来・204</t>
        </is>
      </c>
      <c r="G1316" s="43" t="inlineStr">
        <is>
          <t>06907</t>
        </is>
      </c>
      <c r="H1316" s="43" t="inlineStr">
        <is>
          <t>069</t>
        </is>
      </c>
      <c r="I1316" s="43" t="inlineStr">
        <is>
          <t>07</t>
        </is>
      </c>
      <c r="J1316" s="222" t="n">
        <v>730</v>
      </c>
      <c r="K1316" s="222" t="n">
        <v>770</v>
      </c>
      <c r="L1316" s="43" t="inlineStr">
        <is>
          <t>在来・204｜H｜マド①</t>
        </is>
      </c>
      <c r="M1316" s="178" t="b">
        <v>1</v>
      </c>
      <c r="N1316" s="43" t="inlineStr">
        <is>
          <t>カタログ規格確認済み</t>
        </is>
      </c>
      <c r="O1316" s="222" t="n">
        <v>194</v>
      </c>
      <c r="P1316" s="222" t="n">
        <v>192</v>
      </c>
      <c r="Q1316" s="43" t="inlineStr">
        <is>
          <t>202604_LIXIL_サーモスＬ_業務用資料集_完成品価格表.pdf</t>
        </is>
      </c>
      <c r="R1316" s="43" t="n"/>
      <c r="S1316" s="42" t="inlineStr">
        <is>
          <t>無印</t>
        </is>
      </c>
      <c r="T1316" s="42" t="n">
        <v>192</v>
      </c>
      <c r="U1316" s="42" t="inlineStr">
        <is>
          <t>P192|無印</t>
        </is>
      </c>
      <c r="V1316" s="42" t="inlineStr">
        <is>
          <t>同頁凡例へ直接連動</t>
        </is>
      </c>
    </row>
    <row r="1317">
      <c r="A1317" s="43" t="inlineStr">
        <is>
          <t>SZ-SL-001314</t>
        </is>
      </c>
      <c r="B1317" s="43" t="inlineStr">
        <is>
          <t>SER-LIX-SAMOSL</t>
        </is>
      </c>
      <c r="C1317" s="43" t="inlineStr">
        <is>
          <t>WT-SL-KAZARI-HIKI</t>
        </is>
      </c>
      <c r="D1317" s="43" t="inlineStr">
        <is>
          <t>装飾引違い窓</t>
        </is>
      </c>
      <c r="E1317" s="43" t="inlineStr">
        <is>
          <t>SP-SL-KAZARI-H</t>
        </is>
      </c>
      <c r="F1317" s="43" t="inlineStr">
        <is>
          <t>在来・204</t>
        </is>
      </c>
      <c r="G1317" s="43" t="inlineStr">
        <is>
          <t>06909</t>
        </is>
      </c>
      <c r="H1317" s="43" t="inlineStr">
        <is>
          <t>069</t>
        </is>
      </c>
      <c r="I1317" s="43" t="inlineStr">
        <is>
          <t>09</t>
        </is>
      </c>
      <c r="J1317" s="222" t="n">
        <v>730</v>
      </c>
      <c r="K1317" s="222" t="n">
        <v>970</v>
      </c>
      <c r="L1317" s="43" t="inlineStr">
        <is>
          <t>在来・204｜H｜マド①</t>
        </is>
      </c>
      <c r="M1317" s="178" t="b">
        <v>1</v>
      </c>
      <c r="N1317" s="43" t="inlineStr">
        <is>
          <t>カタログ規格確認済み</t>
        </is>
      </c>
      <c r="O1317" s="222" t="n">
        <v>194</v>
      </c>
      <c r="P1317" s="222" t="n">
        <v>192</v>
      </c>
      <c r="Q1317" s="43" t="inlineStr">
        <is>
          <t>202604_LIXIL_サーモスＬ_業務用資料集_完成品価格表.pdf</t>
        </is>
      </c>
      <c r="R1317" s="43" t="n"/>
      <c r="S1317" s="42" t="inlineStr">
        <is>
          <t>無印</t>
        </is>
      </c>
      <c r="T1317" s="42" t="n">
        <v>192</v>
      </c>
      <c r="U1317" s="42" t="inlineStr">
        <is>
          <t>P192|無印</t>
        </is>
      </c>
      <c r="V1317" s="42" t="inlineStr">
        <is>
          <t>同頁凡例へ直接連動</t>
        </is>
      </c>
    </row>
    <row r="1318">
      <c r="A1318" s="43" t="inlineStr">
        <is>
          <t>SZ-SL-001315</t>
        </is>
      </c>
      <c r="B1318" s="43" t="inlineStr">
        <is>
          <t>SER-LIX-SAMOSL</t>
        </is>
      </c>
      <c r="C1318" s="43" t="inlineStr">
        <is>
          <t>WT-SL-KAZARI-HIKI</t>
        </is>
      </c>
      <c r="D1318" s="43" t="inlineStr">
        <is>
          <t>装飾引違い窓</t>
        </is>
      </c>
      <c r="E1318" s="43" t="inlineStr">
        <is>
          <t>SP-SL-KAZARI-H</t>
        </is>
      </c>
      <c r="F1318" s="43" t="inlineStr">
        <is>
          <t>在来・204</t>
        </is>
      </c>
      <c r="G1318" s="43" t="inlineStr">
        <is>
          <t>07405</t>
        </is>
      </c>
      <c r="H1318" s="43" t="inlineStr">
        <is>
          <t>074</t>
        </is>
      </c>
      <c r="I1318" s="43" t="inlineStr">
        <is>
          <t>05</t>
        </is>
      </c>
      <c r="J1318" s="222" t="n">
        <v>780</v>
      </c>
      <c r="K1318" s="222" t="n">
        <v>570</v>
      </c>
      <c r="L1318" s="43" t="inlineStr">
        <is>
          <t>在来・204｜H｜マド①</t>
        </is>
      </c>
      <c r="M1318" s="178" t="b">
        <v>1</v>
      </c>
      <c r="N1318" s="43" t="inlineStr">
        <is>
          <t>カタログ規格確認済み</t>
        </is>
      </c>
      <c r="O1318" s="222" t="n">
        <v>194</v>
      </c>
      <c r="P1318" s="222" t="n">
        <v>192</v>
      </c>
      <c r="Q1318" s="43" t="inlineStr">
        <is>
          <t>202604_LIXIL_サーモスＬ_業務用資料集_完成品価格表.pdf</t>
        </is>
      </c>
      <c r="R1318" s="43" t="n"/>
      <c r="S1318" s="42" t="inlineStr">
        <is>
          <t>無印</t>
        </is>
      </c>
      <c r="T1318" s="42" t="n">
        <v>192</v>
      </c>
      <c r="U1318" s="42" t="inlineStr">
        <is>
          <t>P192|無印</t>
        </is>
      </c>
      <c r="V1318" s="42" t="inlineStr">
        <is>
          <t>同頁凡例へ直接連動</t>
        </is>
      </c>
    </row>
    <row r="1319">
      <c r="A1319" s="43" t="inlineStr">
        <is>
          <t>SZ-SL-001316</t>
        </is>
      </c>
      <c r="B1319" s="43" t="inlineStr">
        <is>
          <t>SER-LIX-SAMOSL</t>
        </is>
      </c>
      <c r="C1319" s="43" t="inlineStr">
        <is>
          <t>WT-SL-KAZARI-HIKI</t>
        </is>
      </c>
      <c r="D1319" s="43" t="inlineStr">
        <is>
          <t>装飾引違い窓</t>
        </is>
      </c>
      <c r="E1319" s="43" t="inlineStr">
        <is>
          <t>SP-SL-KAZARI-H</t>
        </is>
      </c>
      <c r="F1319" s="43" t="inlineStr">
        <is>
          <t>在来・204</t>
        </is>
      </c>
      <c r="G1319" s="43" t="inlineStr">
        <is>
          <t>07407</t>
        </is>
      </c>
      <c r="H1319" s="43" t="inlineStr">
        <is>
          <t>074</t>
        </is>
      </c>
      <c r="I1319" s="43" t="inlineStr">
        <is>
          <t>07</t>
        </is>
      </c>
      <c r="J1319" s="222" t="n">
        <v>780</v>
      </c>
      <c r="K1319" s="222" t="n">
        <v>770</v>
      </c>
      <c r="L1319" s="43" t="inlineStr">
        <is>
          <t>在来・204｜H｜マド①</t>
        </is>
      </c>
      <c r="M1319" s="178" t="b">
        <v>1</v>
      </c>
      <c r="N1319" s="43" t="inlineStr">
        <is>
          <t>カタログ規格確認済み</t>
        </is>
      </c>
      <c r="O1319" s="222" t="n">
        <v>194</v>
      </c>
      <c r="P1319" s="222" t="n">
        <v>192</v>
      </c>
      <c r="Q1319" s="43" t="inlineStr">
        <is>
          <t>202604_LIXIL_サーモスＬ_業務用資料集_完成品価格表.pdf</t>
        </is>
      </c>
      <c r="R1319" s="43" t="n"/>
      <c r="S1319" s="42" t="inlineStr">
        <is>
          <t>無印</t>
        </is>
      </c>
      <c r="T1319" s="42" t="n">
        <v>192</v>
      </c>
      <c r="U1319" s="42" t="inlineStr">
        <is>
          <t>P192|無印</t>
        </is>
      </c>
      <c r="V1319" s="42" t="inlineStr">
        <is>
          <t>同頁凡例へ直接連動</t>
        </is>
      </c>
    </row>
    <row r="1320">
      <c r="A1320" s="43" t="inlineStr">
        <is>
          <t>SZ-SL-001317</t>
        </is>
      </c>
      <c r="B1320" s="43" t="inlineStr">
        <is>
          <t>SER-LIX-SAMOSL</t>
        </is>
      </c>
      <c r="C1320" s="43" t="inlineStr">
        <is>
          <t>WT-SL-KAZARI-HIKI</t>
        </is>
      </c>
      <c r="D1320" s="43" t="inlineStr">
        <is>
          <t>装飾引違い窓</t>
        </is>
      </c>
      <c r="E1320" s="43" t="inlineStr">
        <is>
          <t>SP-SL-KAZARI-H</t>
        </is>
      </c>
      <c r="F1320" s="43" t="inlineStr">
        <is>
          <t>在来・204</t>
        </is>
      </c>
      <c r="G1320" s="43" t="inlineStr">
        <is>
          <t>07409</t>
        </is>
      </c>
      <c r="H1320" s="43" t="inlineStr">
        <is>
          <t>074</t>
        </is>
      </c>
      <c r="I1320" s="43" t="inlineStr">
        <is>
          <t>09</t>
        </is>
      </c>
      <c r="J1320" s="222" t="n">
        <v>780</v>
      </c>
      <c r="K1320" s="222" t="n">
        <v>970</v>
      </c>
      <c r="L1320" s="43" t="inlineStr">
        <is>
          <t>在来・204｜H｜マド①</t>
        </is>
      </c>
      <c r="M1320" s="178" t="b">
        <v>1</v>
      </c>
      <c r="N1320" s="43" t="inlineStr">
        <is>
          <t>カタログ規格確認済み</t>
        </is>
      </c>
      <c r="O1320" s="222" t="n">
        <v>194</v>
      </c>
      <c r="P1320" s="222" t="n">
        <v>192</v>
      </c>
      <c r="Q1320" s="43" t="inlineStr">
        <is>
          <t>202604_LIXIL_サーモスＬ_業務用資料集_完成品価格表.pdf</t>
        </is>
      </c>
      <c r="R1320" s="43" t="n"/>
      <c r="S1320" s="42" t="inlineStr">
        <is>
          <t>無印</t>
        </is>
      </c>
      <c r="T1320" s="42" t="n">
        <v>192</v>
      </c>
      <c r="U1320" s="42" t="inlineStr">
        <is>
          <t>P192|無印</t>
        </is>
      </c>
      <c r="V1320" s="42" t="inlineStr">
        <is>
          <t>同頁凡例へ直接連動</t>
        </is>
      </c>
    </row>
    <row r="1321">
      <c r="A1321" s="43" t="inlineStr">
        <is>
          <t>SZ-SL-001318</t>
        </is>
      </c>
      <c r="B1321" s="43" t="inlineStr">
        <is>
          <t>SER-LIX-SAMOSL</t>
        </is>
      </c>
      <c r="C1321" s="43" t="inlineStr">
        <is>
          <t>WT-SL-KAZARI-HIKI</t>
        </is>
      </c>
      <c r="D1321" s="43" t="inlineStr">
        <is>
          <t>装飾引違い窓</t>
        </is>
      </c>
      <c r="E1321" s="43" t="inlineStr">
        <is>
          <t>SP-SL-KAZARI-H</t>
        </is>
      </c>
      <c r="F1321" s="43" t="inlineStr">
        <is>
          <t>在来・204</t>
        </is>
      </c>
      <c r="G1321" s="43" t="inlineStr">
        <is>
          <t>11405</t>
        </is>
      </c>
      <c r="H1321" s="43" t="inlineStr">
        <is>
          <t>114</t>
        </is>
      </c>
      <c r="I1321" s="43" t="inlineStr">
        <is>
          <t>05</t>
        </is>
      </c>
      <c r="J1321" s="222" t="n">
        <v>1185</v>
      </c>
      <c r="K1321" s="222" t="n">
        <v>570</v>
      </c>
      <c r="L1321" s="43" t="inlineStr">
        <is>
          <t>在来・204｜H｜マド①</t>
        </is>
      </c>
      <c r="M1321" s="178" t="b">
        <v>1</v>
      </c>
      <c r="N1321" s="43" t="inlineStr">
        <is>
          <t>カタログ規格確認済み</t>
        </is>
      </c>
      <c r="O1321" s="222" t="n">
        <v>194</v>
      </c>
      <c r="P1321" s="222" t="n">
        <v>192</v>
      </c>
      <c r="Q1321" s="43" t="inlineStr">
        <is>
          <t>202604_LIXIL_サーモスＬ_業務用資料集_完成品価格表.pdf</t>
        </is>
      </c>
      <c r="R1321" s="43" t="n"/>
      <c r="S1321" s="42" t="inlineStr">
        <is>
          <t>無印</t>
        </is>
      </c>
      <c r="T1321" s="42" t="n">
        <v>192</v>
      </c>
      <c r="U1321" s="42" t="inlineStr">
        <is>
          <t>P192|無印</t>
        </is>
      </c>
      <c r="V1321" s="42" t="inlineStr">
        <is>
          <t>同頁凡例へ直接連動</t>
        </is>
      </c>
    </row>
    <row r="1322">
      <c r="A1322" s="43" t="inlineStr">
        <is>
          <t>SZ-SL-001319</t>
        </is>
      </c>
      <c r="B1322" s="43" t="inlineStr">
        <is>
          <t>SER-LIX-SAMOSL</t>
        </is>
      </c>
      <c r="C1322" s="43" t="inlineStr">
        <is>
          <t>WT-SL-KAZARI-HIKI</t>
        </is>
      </c>
      <c r="D1322" s="43" t="inlineStr">
        <is>
          <t>装飾引違い窓</t>
        </is>
      </c>
      <c r="E1322" s="43" t="inlineStr">
        <is>
          <t>SP-SL-KAZARI-H</t>
        </is>
      </c>
      <c r="F1322" s="43" t="inlineStr">
        <is>
          <t>在来・204</t>
        </is>
      </c>
      <c r="G1322" s="43" t="inlineStr">
        <is>
          <t>11407</t>
        </is>
      </c>
      <c r="H1322" s="43" t="inlineStr">
        <is>
          <t>114</t>
        </is>
      </c>
      <c r="I1322" s="43" t="inlineStr">
        <is>
          <t>07</t>
        </is>
      </c>
      <c r="J1322" s="222" t="n">
        <v>1185</v>
      </c>
      <c r="K1322" s="222" t="n">
        <v>770</v>
      </c>
      <c r="L1322" s="43" t="inlineStr">
        <is>
          <t>在来・204｜H｜マド①</t>
        </is>
      </c>
      <c r="M1322" s="178" t="b">
        <v>1</v>
      </c>
      <c r="N1322" s="43" t="inlineStr">
        <is>
          <t>カタログ規格確認済み</t>
        </is>
      </c>
      <c r="O1322" s="222" t="n">
        <v>194</v>
      </c>
      <c r="P1322" s="222" t="n">
        <v>192</v>
      </c>
      <c r="Q1322" s="43" t="inlineStr">
        <is>
          <t>202604_LIXIL_サーモスＬ_業務用資料集_完成品価格表.pdf</t>
        </is>
      </c>
      <c r="R1322" s="43" t="n"/>
      <c r="S1322" s="42" t="inlineStr">
        <is>
          <t>無印</t>
        </is>
      </c>
      <c r="T1322" s="42" t="n">
        <v>192</v>
      </c>
      <c r="U1322" s="42" t="inlineStr">
        <is>
          <t>P192|無印</t>
        </is>
      </c>
      <c r="V1322" s="42" t="inlineStr">
        <is>
          <t>同頁凡例へ直接連動</t>
        </is>
      </c>
    </row>
    <row r="1323">
      <c r="A1323" s="43" t="inlineStr">
        <is>
          <t>SZ-SL-001320</t>
        </is>
      </c>
      <c r="B1323" s="43" t="inlineStr">
        <is>
          <t>SER-LIX-SAMOSL</t>
        </is>
      </c>
      <c r="C1323" s="43" t="inlineStr">
        <is>
          <t>WT-SL-KAZARI-HIKI</t>
        </is>
      </c>
      <c r="D1323" s="43" t="inlineStr">
        <is>
          <t>装飾引違い窓</t>
        </is>
      </c>
      <c r="E1323" s="43" t="inlineStr">
        <is>
          <t>SP-SL-KAZARI-H</t>
        </is>
      </c>
      <c r="F1323" s="43" t="inlineStr">
        <is>
          <t>在来・204</t>
        </is>
      </c>
      <c r="G1323" s="43" t="inlineStr">
        <is>
          <t>11409</t>
        </is>
      </c>
      <c r="H1323" s="43" t="inlineStr">
        <is>
          <t>114</t>
        </is>
      </c>
      <c r="I1323" s="43" t="inlineStr">
        <is>
          <t>09</t>
        </is>
      </c>
      <c r="J1323" s="222" t="n">
        <v>1185</v>
      </c>
      <c r="K1323" s="222" t="n">
        <v>970</v>
      </c>
      <c r="L1323" s="43" t="inlineStr">
        <is>
          <t>在来・204｜H｜マド①</t>
        </is>
      </c>
      <c r="M1323" s="178" t="b">
        <v>1</v>
      </c>
      <c r="N1323" s="43" t="inlineStr">
        <is>
          <t>カタログ規格確認済み</t>
        </is>
      </c>
      <c r="O1323" s="222" t="n">
        <v>194</v>
      </c>
      <c r="P1323" s="222" t="n">
        <v>192</v>
      </c>
      <c r="Q1323" s="43" t="inlineStr">
        <is>
          <t>202604_LIXIL_サーモスＬ_業務用資料集_完成品価格表.pdf</t>
        </is>
      </c>
      <c r="R1323" s="43" t="n"/>
      <c r="S1323" s="42" t="inlineStr">
        <is>
          <t>無印</t>
        </is>
      </c>
      <c r="T1323" s="42" t="n">
        <v>192</v>
      </c>
      <c r="U1323" s="42" t="inlineStr">
        <is>
          <t>P192|無印</t>
        </is>
      </c>
      <c r="V1323" s="42" t="inlineStr">
        <is>
          <t>同頁凡例へ直接連動</t>
        </is>
      </c>
    </row>
    <row r="1324">
      <c r="A1324" s="43" t="inlineStr">
        <is>
          <t>SZ-SL-001321</t>
        </is>
      </c>
      <c r="B1324" s="43" t="inlineStr">
        <is>
          <t>SER-LIX-SAMOSL</t>
        </is>
      </c>
      <c r="C1324" s="43" t="inlineStr">
        <is>
          <t>WT-SL-KAZARI-HIKI</t>
        </is>
      </c>
      <c r="D1324" s="43" t="inlineStr">
        <is>
          <t>装飾引違い窓</t>
        </is>
      </c>
      <c r="E1324" s="43" t="inlineStr">
        <is>
          <t>SP-SL-KAZARI-H</t>
        </is>
      </c>
      <c r="F1324" s="43" t="inlineStr">
        <is>
          <t>在来・204</t>
        </is>
      </c>
      <c r="G1324" s="43" t="inlineStr">
        <is>
          <t>11905</t>
        </is>
      </c>
      <c r="H1324" s="43" t="inlineStr">
        <is>
          <t>119</t>
        </is>
      </c>
      <c r="I1324" s="43" t="inlineStr">
        <is>
          <t>05</t>
        </is>
      </c>
      <c r="J1324" s="222" t="n">
        <v>1235</v>
      </c>
      <c r="K1324" s="222" t="n">
        <v>570</v>
      </c>
      <c r="L1324" s="43" t="inlineStr">
        <is>
          <t>在来・204｜H｜マド①</t>
        </is>
      </c>
      <c r="M1324" s="178" t="b">
        <v>1</v>
      </c>
      <c r="N1324" s="43" t="inlineStr">
        <is>
          <t>カタログ規格確認済み</t>
        </is>
      </c>
      <c r="O1324" s="222" t="n">
        <v>194</v>
      </c>
      <c r="P1324" s="222" t="n">
        <v>192</v>
      </c>
      <c r="Q1324" s="43" t="inlineStr">
        <is>
          <t>202604_LIXIL_サーモスＬ_業務用資料集_完成品価格表.pdf</t>
        </is>
      </c>
      <c r="R1324" s="43" t="n"/>
      <c r="S1324" s="42" t="inlineStr">
        <is>
          <t>無印</t>
        </is>
      </c>
      <c r="T1324" s="42" t="n">
        <v>192</v>
      </c>
      <c r="U1324" s="42" t="inlineStr">
        <is>
          <t>P192|無印</t>
        </is>
      </c>
      <c r="V1324" s="42" t="inlineStr">
        <is>
          <t>同頁凡例へ直接連動</t>
        </is>
      </c>
    </row>
    <row r="1325">
      <c r="A1325" s="43" t="inlineStr">
        <is>
          <t>SZ-SL-001322</t>
        </is>
      </c>
      <c r="B1325" s="43" t="inlineStr">
        <is>
          <t>SER-LIX-SAMOSL</t>
        </is>
      </c>
      <c r="C1325" s="43" t="inlineStr">
        <is>
          <t>WT-SL-KAZARI-HIKI</t>
        </is>
      </c>
      <c r="D1325" s="43" t="inlineStr">
        <is>
          <t>装飾引違い窓</t>
        </is>
      </c>
      <c r="E1325" s="43" t="inlineStr">
        <is>
          <t>SP-SL-KAZARI-H</t>
        </is>
      </c>
      <c r="F1325" s="43" t="inlineStr">
        <is>
          <t>在来・204</t>
        </is>
      </c>
      <c r="G1325" s="43" t="inlineStr">
        <is>
          <t>11907</t>
        </is>
      </c>
      <c r="H1325" s="43" t="inlineStr">
        <is>
          <t>119</t>
        </is>
      </c>
      <c r="I1325" s="43" t="inlineStr">
        <is>
          <t>07</t>
        </is>
      </c>
      <c r="J1325" s="222" t="n">
        <v>1235</v>
      </c>
      <c r="K1325" s="222" t="n">
        <v>770</v>
      </c>
      <c r="L1325" s="43" t="inlineStr">
        <is>
          <t>在来・204｜H｜マド①</t>
        </is>
      </c>
      <c r="M1325" s="178" t="b">
        <v>1</v>
      </c>
      <c r="N1325" s="43" t="inlineStr">
        <is>
          <t>カタログ規格確認済み</t>
        </is>
      </c>
      <c r="O1325" s="222" t="n">
        <v>194</v>
      </c>
      <c r="P1325" s="222" t="n">
        <v>192</v>
      </c>
      <c r="Q1325" s="43" t="inlineStr">
        <is>
          <t>202604_LIXIL_サーモスＬ_業務用資料集_完成品価格表.pdf</t>
        </is>
      </c>
      <c r="R1325" s="43" t="n"/>
      <c r="S1325" s="42" t="inlineStr">
        <is>
          <t>無印</t>
        </is>
      </c>
      <c r="T1325" s="42" t="n">
        <v>192</v>
      </c>
      <c r="U1325" s="42" t="inlineStr">
        <is>
          <t>P192|無印</t>
        </is>
      </c>
      <c r="V1325" s="42" t="inlineStr">
        <is>
          <t>同頁凡例へ直接連動</t>
        </is>
      </c>
    </row>
    <row r="1326">
      <c r="A1326" s="43" t="inlineStr">
        <is>
          <t>SZ-SL-001323</t>
        </is>
      </c>
      <c r="B1326" s="43" t="inlineStr">
        <is>
          <t>SER-LIX-SAMOSL</t>
        </is>
      </c>
      <c r="C1326" s="43" t="inlineStr">
        <is>
          <t>WT-SL-KAZARI-HIKI</t>
        </is>
      </c>
      <c r="D1326" s="43" t="inlineStr">
        <is>
          <t>装飾引違い窓</t>
        </is>
      </c>
      <c r="E1326" s="43" t="inlineStr">
        <is>
          <t>SP-SL-KAZARI-H</t>
        </is>
      </c>
      <c r="F1326" s="43" t="inlineStr">
        <is>
          <t>在来・204</t>
        </is>
      </c>
      <c r="G1326" s="43" t="inlineStr">
        <is>
          <t>11909</t>
        </is>
      </c>
      <c r="H1326" s="43" t="inlineStr">
        <is>
          <t>119</t>
        </is>
      </c>
      <c r="I1326" s="43" t="inlineStr">
        <is>
          <t>09</t>
        </is>
      </c>
      <c r="J1326" s="222" t="n">
        <v>1235</v>
      </c>
      <c r="K1326" s="222" t="n">
        <v>970</v>
      </c>
      <c r="L1326" s="43" t="inlineStr">
        <is>
          <t>在来・204｜H｜マド①</t>
        </is>
      </c>
      <c r="M1326" s="178" t="b">
        <v>1</v>
      </c>
      <c r="N1326" s="43" t="inlineStr">
        <is>
          <t>カタログ規格確認済み</t>
        </is>
      </c>
      <c r="O1326" s="222" t="n">
        <v>194</v>
      </c>
      <c r="P1326" s="222" t="n">
        <v>192</v>
      </c>
      <c r="Q1326" s="43" t="inlineStr">
        <is>
          <t>202604_LIXIL_サーモスＬ_業務用資料集_完成品価格表.pdf</t>
        </is>
      </c>
      <c r="R1326" s="43" t="n"/>
      <c r="S1326" s="42" t="inlineStr">
        <is>
          <t>無印</t>
        </is>
      </c>
      <c r="T1326" s="42" t="n">
        <v>192</v>
      </c>
      <c r="U1326" s="42" t="inlineStr">
        <is>
          <t>P192|無印</t>
        </is>
      </c>
      <c r="V1326" s="42" t="inlineStr">
        <is>
          <t>同頁凡例へ直接連動</t>
        </is>
      </c>
    </row>
    <row r="1327">
      <c r="A1327" s="43" t="inlineStr">
        <is>
          <t>SZ-SL-001324</t>
        </is>
      </c>
      <c r="B1327" s="43" t="inlineStr">
        <is>
          <t>SER-LIX-SAMOSL</t>
        </is>
      </c>
      <c r="C1327" s="43" t="inlineStr">
        <is>
          <t>WT-SL-KAZARI-HIKI</t>
        </is>
      </c>
      <c r="D1327" s="43" t="inlineStr">
        <is>
          <t>装飾引違い窓</t>
        </is>
      </c>
      <c r="E1327" s="43" t="inlineStr">
        <is>
          <t>SP-SL-KAZARI-H</t>
        </is>
      </c>
      <c r="F1327" s="43" t="inlineStr">
        <is>
          <t>在来・204</t>
        </is>
      </c>
      <c r="G1327" s="43" t="inlineStr">
        <is>
          <t>16005</t>
        </is>
      </c>
      <c r="H1327" s="43" t="inlineStr">
        <is>
          <t>160</t>
        </is>
      </c>
      <c r="I1327" s="43" t="inlineStr">
        <is>
          <t>05</t>
        </is>
      </c>
      <c r="J1327" s="222" t="n">
        <v>1640</v>
      </c>
      <c r="K1327" s="222" t="n">
        <v>570</v>
      </c>
      <c r="L1327" s="43" t="inlineStr">
        <is>
          <t>在来・204｜H｜マド①</t>
        </is>
      </c>
      <c r="M1327" s="178" t="b">
        <v>1</v>
      </c>
      <c r="N1327" s="43" t="inlineStr">
        <is>
          <t>カタログ規格確認済み</t>
        </is>
      </c>
      <c r="O1327" s="222" t="n">
        <v>195</v>
      </c>
      <c r="P1327" s="222" t="n">
        <v>193</v>
      </c>
      <c r="Q1327" s="43" t="inlineStr">
        <is>
          <t>202604_LIXIL_サーモスＬ_業務用資料集_完成品価格表.pdf</t>
        </is>
      </c>
      <c r="R1327" s="43" t="n"/>
      <c r="S1327" s="42" t="inlineStr">
        <is>
          <t>無印</t>
        </is>
      </c>
      <c r="T1327" s="42" t="n">
        <v>192</v>
      </c>
      <c r="U1327" s="42" t="inlineStr">
        <is>
          <t>P192|無印</t>
        </is>
      </c>
      <c r="V1327" s="42" t="inlineStr">
        <is>
          <t>同一価格表・前頁凡例を継承</t>
        </is>
      </c>
    </row>
    <row r="1328">
      <c r="A1328" s="43" t="inlineStr">
        <is>
          <t>SZ-SL-001325</t>
        </is>
      </c>
      <c r="B1328" s="43" t="inlineStr">
        <is>
          <t>SER-LIX-SAMOSL</t>
        </is>
      </c>
      <c r="C1328" s="43" t="inlineStr">
        <is>
          <t>WT-SL-KAZARI-HIKI</t>
        </is>
      </c>
      <c r="D1328" s="43" t="inlineStr">
        <is>
          <t>装飾引違い窓</t>
        </is>
      </c>
      <c r="E1328" s="43" t="inlineStr">
        <is>
          <t>SP-SL-KAZARI-H</t>
        </is>
      </c>
      <c r="F1328" s="43" t="inlineStr">
        <is>
          <t>在来・204</t>
        </is>
      </c>
      <c r="G1328" s="43" t="inlineStr">
        <is>
          <t>16007</t>
        </is>
      </c>
      <c r="H1328" s="43" t="inlineStr">
        <is>
          <t>160</t>
        </is>
      </c>
      <c r="I1328" s="43" t="inlineStr">
        <is>
          <t>07</t>
        </is>
      </c>
      <c r="J1328" s="222" t="n">
        <v>1640</v>
      </c>
      <c r="K1328" s="222" t="n">
        <v>770</v>
      </c>
      <c r="L1328" s="43" t="inlineStr">
        <is>
          <t>在来・204｜H｜マド①</t>
        </is>
      </c>
      <c r="M1328" s="178" t="b">
        <v>1</v>
      </c>
      <c r="N1328" s="43" t="inlineStr">
        <is>
          <t>カタログ規格確認済み</t>
        </is>
      </c>
      <c r="O1328" s="222" t="n">
        <v>195</v>
      </c>
      <c r="P1328" s="222" t="n">
        <v>193</v>
      </c>
      <c r="Q1328" s="43" t="inlineStr">
        <is>
          <t>202604_LIXIL_サーモスＬ_業務用資料集_完成品価格表.pdf</t>
        </is>
      </c>
      <c r="R1328" s="43" t="n"/>
      <c r="S1328" s="42" t="inlineStr">
        <is>
          <t>無印</t>
        </is>
      </c>
      <c r="T1328" s="42" t="n">
        <v>192</v>
      </c>
      <c r="U1328" s="42" t="inlineStr">
        <is>
          <t>P192|無印</t>
        </is>
      </c>
      <c r="V1328" s="42" t="inlineStr">
        <is>
          <t>同一価格表・前頁凡例を継承</t>
        </is>
      </c>
    </row>
    <row r="1329">
      <c r="A1329" s="43" t="inlineStr">
        <is>
          <t>SZ-SL-001326</t>
        </is>
      </c>
      <c r="B1329" s="43" t="inlineStr">
        <is>
          <t>SER-LIX-SAMOSL</t>
        </is>
      </c>
      <c r="C1329" s="43" t="inlineStr">
        <is>
          <t>WT-SL-KAZARI-HIKI</t>
        </is>
      </c>
      <c r="D1329" s="43" t="inlineStr">
        <is>
          <t>装飾引違い窓</t>
        </is>
      </c>
      <c r="E1329" s="43" t="inlineStr">
        <is>
          <t>SP-SL-KAZARI-H</t>
        </is>
      </c>
      <c r="F1329" s="43" t="inlineStr">
        <is>
          <t>在来・204</t>
        </is>
      </c>
      <c r="G1329" s="43" t="inlineStr">
        <is>
          <t>16009</t>
        </is>
      </c>
      <c r="H1329" s="43" t="inlineStr">
        <is>
          <t>160</t>
        </is>
      </c>
      <c r="I1329" s="43" t="inlineStr">
        <is>
          <t>09</t>
        </is>
      </c>
      <c r="J1329" s="222" t="n">
        <v>1640</v>
      </c>
      <c r="K1329" s="222" t="n">
        <v>970</v>
      </c>
      <c r="L1329" s="43" t="inlineStr">
        <is>
          <t>在来・204｜H｜マド①</t>
        </is>
      </c>
      <c r="M1329" s="178" t="b">
        <v>1</v>
      </c>
      <c r="N1329" s="43" t="inlineStr">
        <is>
          <t>カタログ規格確認済み</t>
        </is>
      </c>
      <c r="O1329" s="222" t="n">
        <v>195</v>
      </c>
      <c r="P1329" s="222" t="n">
        <v>193</v>
      </c>
      <c r="Q1329" s="43" t="inlineStr">
        <is>
          <t>202604_LIXIL_サーモスＬ_業務用資料集_完成品価格表.pdf</t>
        </is>
      </c>
      <c r="R1329" s="43" t="n"/>
      <c r="S1329" s="42" t="inlineStr">
        <is>
          <t>無印</t>
        </is>
      </c>
      <c r="T1329" s="42" t="n">
        <v>192</v>
      </c>
      <c r="U1329" s="42" t="inlineStr">
        <is>
          <t>P192|無印</t>
        </is>
      </c>
      <c r="V1329" s="42" t="inlineStr">
        <is>
          <t>同一価格表・前頁凡例を継承</t>
        </is>
      </c>
    </row>
    <row r="1330">
      <c r="A1330" s="43" t="inlineStr">
        <is>
          <t>SZ-SL-001327</t>
        </is>
      </c>
      <c r="B1330" s="43" t="inlineStr">
        <is>
          <t>SER-LIX-SAMOSL</t>
        </is>
      </c>
      <c r="C1330" s="43" t="inlineStr">
        <is>
          <t>WT-SL-KAZARI-HIKI</t>
        </is>
      </c>
      <c r="D1330" s="43" t="inlineStr">
        <is>
          <t>装飾引違い窓</t>
        </is>
      </c>
      <c r="E1330" s="43" t="inlineStr">
        <is>
          <t>SP-SL-KAZARI-H</t>
        </is>
      </c>
      <c r="F1330" s="43" t="inlineStr">
        <is>
          <t>在来・204</t>
        </is>
      </c>
      <c r="G1330" s="43" t="inlineStr">
        <is>
          <t>16503</t>
        </is>
      </c>
      <c r="H1330" s="43" t="inlineStr">
        <is>
          <t>165</t>
        </is>
      </c>
      <c r="I1330" s="43" t="inlineStr">
        <is>
          <t>03</t>
        </is>
      </c>
      <c r="J1330" s="222" t="n">
        <v>1690</v>
      </c>
      <c r="K1330" s="222" t="n">
        <v>370</v>
      </c>
      <c r="L1330" s="43" t="inlineStr">
        <is>
          <t>在来・204｜H｜マド①</t>
        </is>
      </c>
      <c r="M1330" s="178" t="b">
        <v>1</v>
      </c>
      <c r="N1330" s="43" t="inlineStr">
        <is>
          <t>カタログ規格確認済み</t>
        </is>
      </c>
      <c r="O1330" s="222" t="n">
        <v>195</v>
      </c>
      <c r="P1330" s="222" t="n">
        <v>193</v>
      </c>
      <c r="Q1330" s="43" t="inlineStr">
        <is>
          <t>202604_LIXIL_サーモスＬ_業務用資料集_完成品価格表.pdf</t>
        </is>
      </c>
      <c r="R1330" s="43" t="n"/>
      <c r="S1330" s="42" t="inlineStr">
        <is>
          <t>無印</t>
        </is>
      </c>
      <c r="T1330" s="42" t="n">
        <v>192</v>
      </c>
      <c r="U1330" s="42" t="inlineStr">
        <is>
          <t>P192|無印</t>
        </is>
      </c>
      <c r="V1330" s="42" t="inlineStr">
        <is>
          <t>同一価格表・前頁凡例を継承</t>
        </is>
      </c>
    </row>
    <row r="1331">
      <c r="A1331" s="43" t="inlineStr">
        <is>
          <t>SZ-SL-001328</t>
        </is>
      </c>
      <c r="B1331" s="43" t="inlineStr">
        <is>
          <t>SER-LIX-SAMOSL</t>
        </is>
      </c>
      <c r="C1331" s="43" t="inlineStr">
        <is>
          <t>WT-SL-KAZARI-HIKI</t>
        </is>
      </c>
      <c r="D1331" s="43" t="inlineStr">
        <is>
          <t>装飾引違い窓</t>
        </is>
      </c>
      <c r="E1331" s="43" t="inlineStr">
        <is>
          <t>SP-SL-KAZARI-H</t>
        </is>
      </c>
      <c r="F1331" s="43" t="inlineStr">
        <is>
          <t>在来・204</t>
        </is>
      </c>
      <c r="G1331" s="43" t="inlineStr">
        <is>
          <t>16505</t>
        </is>
      </c>
      <c r="H1331" s="43" t="inlineStr">
        <is>
          <t>165</t>
        </is>
      </c>
      <c r="I1331" s="43" t="inlineStr">
        <is>
          <t>05</t>
        </is>
      </c>
      <c r="J1331" s="222" t="n">
        <v>1690</v>
      </c>
      <c r="K1331" s="222" t="n">
        <v>570</v>
      </c>
      <c r="L1331" s="43" t="inlineStr">
        <is>
          <t>在来・204｜H｜マド①</t>
        </is>
      </c>
      <c r="M1331" s="178" t="b">
        <v>1</v>
      </c>
      <c r="N1331" s="43" t="inlineStr">
        <is>
          <t>カタログ規格確認済み</t>
        </is>
      </c>
      <c r="O1331" s="222" t="n">
        <v>195</v>
      </c>
      <c r="P1331" s="222" t="n">
        <v>193</v>
      </c>
      <c r="Q1331" s="43" t="inlineStr">
        <is>
          <t>202604_LIXIL_サーモスＬ_業務用資料集_完成品価格表.pdf</t>
        </is>
      </c>
      <c r="R1331" s="43" t="n"/>
      <c r="S1331" s="42" t="inlineStr">
        <is>
          <t>無印</t>
        </is>
      </c>
      <c r="T1331" s="42" t="n">
        <v>192</v>
      </c>
      <c r="U1331" s="42" t="inlineStr">
        <is>
          <t>P192|無印</t>
        </is>
      </c>
      <c r="V1331" s="42" t="inlineStr">
        <is>
          <t>同一価格表・前頁凡例を継承</t>
        </is>
      </c>
    </row>
    <row r="1332">
      <c r="A1332" s="43" t="inlineStr">
        <is>
          <t>SZ-SL-001329</t>
        </is>
      </c>
      <c r="B1332" s="43" t="inlineStr">
        <is>
          <t>SER-LIX-SAMOSL</t>
        </is>
      </c>
      <c r="C1332" s="43" t="inlineStr">
        <is>
          <t>WT-SL-KAZARI-HIKI</t>
        </is>
      </c>
      <c r="D1332" s="43" t="inlineStr">
        <is>
          <t>装飾引違い窓</t>
        </is>
      </c>
      <c r="E1332" s="43" t="inlineStr">
        <is>
          <t>SP-SL-KAZARI-H</t>
        </is>
      </c>
      <c r="F1332" s="43" t="inlineStr">
        <is>
          <t>在来・204</t>
        </is>
      </c>
      <c r="G1332" s="43" t="inlineStr">
        <is>
          <t>16507</t>
        </is>
      </c>
      <c r="H1332" s="43" t="inlineStr">
        <is>
          <t>165</t>
        </is>
      </c>
      <c r="I1332" s="43" t="inlineStr">
        <is>
          <t>07</t>
        </is>
      </c>
      <c r="J1332" s="222" t="n">
        <v>1690</v>
      </c>
      <c r="K1332" s="222" t="n">
        <v>770</v>
      </c>
      <c r="L1332" s="43" t="inlineStr">
        <is>
          <t>在来・204｜H｜マド①</t>
        </is>
      </c>
      <c r="M1332" s="178" t="b">
        <v>1</v>
      </c>
      <c r="N1332" s="43" t="inlineStr">
        <is>
          <t>カタログ規格確認済み</t>
        </is>
      </c>
      <c r="O1332" s="222" t="n">
        <v>195</v>
      </c>
      <c r="P1332" s="222" t="n">
        <v>193</v>
      </c>
      <c r="Q1332" s="43" t="inlineStr">
        <is>
          <t>202604_LIXIL_サーモスＬ_業務用資料集_完成品価格表.pdf</t>
        </is>
      </c>
      <c r="R1332" s="43" t="n"/>
      <c r="S1332" s="42" t="inlineStr">
        <is>
          <t>無印</t>
        </is>
      </c>
      <c r="T1332" s="42" t="n">
        <v>192</v>
      </c>
      <c r="U1332" s="42" t="inlineStr">
        <is>
          <t>P192|無印</t>
        </is>
      </c>
      <c r="V1332" s="42" t="inlineStr">
        <is>
          <t>同一価格表・前頁凡例を継承</t>
        </is>
      </c>
    </row>
    <row r="1333">
      <c r="A1333" s="43" t="inlineStr">
        <is>
          <t>SZ-SL-001330</t>
        </is>
      </c>
      <c r="B1333" s="43" t="inlineStr">
        <is>
          <t>SER-LIX-SAMOSL</t>
        </is>
      </c>
      <c r="C1333" s="43" t="inlineStr">
        <is>
          <t>WT-SL-KAZARI-HIKI</t>
        </is>
      </c>
      <c r="D1333" s="43" t="inlineStr">
        <is>
          <t>装飾引違い窓</t>
        </is>
      </c>
      <c r="E1333" s="43" t="inlineStr">
        <is>
          <t>SP-SL-KAZARI-H</t>
        </is>
      </c>
      <c r="F1333" s="43" t="inlineStr">
        <is>
          <t>在来・204</t>
        </is>
      </c>
      <c r="G1333" s="43" t="inlineStr">
        <is>
          <t>16509</t>
        </is>
      </c>
      <c r="H1333" s="43" t="inlineStr">
        <is>
          <t>165</t>
        </is>
      </c>
      <c r="I1333" s="43" t="inlineStr">
        <is>
          <t>09</t>
        </is>
      </c>
      <c r="J1333" s="222" t="n">
        <v>1690</v>
      </c>
      <c r="K1333" s="222" t="n">
        <v>970</v>
      </c>
      <c r="L1333" s="43" t="inlineStr">
        <is>
          <t>在来・204｜H｜マド①</t>
        </is>
      </c>
      <c r="M1333" s="178" t="b">
        <v>1</v>
      </c>
      <c r="N1333" s="43" t="inlineStr">
        <is>
          <t>カタログ規格確認済み</t>
        </is>
      </c>
      <c r="O1333" s="222" t="n">
        <v>195</v>
      </c>
      <c r="P1333" s="222" t="n">
        <v>193</v>
      </c>
      <c r="Q1333" s="43" t="inlineStr">
        <is>
          <t>202604_LIXIL_サーモスＬ_業務用資料集_完成品価格表.pdf</t>
        </is>
      </c>
      <c r="R1333" s="43" t="n"/>
      <c r="S1333" s="42" t="inlineStr">
        <is>
          <t>無印</t>
        </is>
      </c>
      <c r="T1333" s="42" t="n">
        <v>192</v>
      </c>
      <c r="U1333" s="42" t="inlineStr">
        <is>
          <t>P192|無印</t>
        </is>
      </c>
      <c r="V1333" s="42" t="inlineStr">
        <is>
          <t>同一価格表・前頁凡例を継承</t>
        </is>
      </c>
    </row>
    <row r="1334">
      <c r="A1334" s="43" t="inlineStr">
        <is>
          <t>SZ-SL-001331</t>
        </is>
      </c>
      <c r="B1334" s="43" t="inlineStr">
        <is>
          <t>SER-LIX-SAMOSL</t>
        </is>
      </c>
      <c r="C1334" s="43" t="inlineStr">
        <is>
          <t>WT-SL-KAZARI-HIKI</t>
        </is>
      </c>
      <c r="D1334" s="43" t="inlineStr">
        <is>
          <t>装飾引違い窓</t>
        </is>
      </c>
      <c r="E1334" s="43" t="inlineStr">
        <is>
          <t>SP-SL-KAZARI-H</t>
        </is>
      </c>
      <c r="F1334" s="43" t="inlineStr">
        <is>
          <t>在来・204</t>
        </is>
      </c>
      <c r="G1334" s="43" t="inlineStr">
        <is>
          <t>25609-2</t>
        </is>
      </c>
      <c r="H1334" s="43" t="inlineStr">
        <is>
          <t>256-2</t>
        </is>
      </c>
      <c r="I1334" s="43" t="inlineStr">
        <is>
          <t>09</t>
        </is>
      </c>
      <c r="J1334" s="222" t="n">
        <v>2600</v>
      </c>
      <c r="K1334" s="222" t="n">
        <v>970</v>
      </c>
      <c r="L1334" s="43" t="inlineStr">
        <is>
          <t>在来・204｜H｜マド①</t>
        </is>
      </c>
      <c r="M1334" s="178" t="b">
        <v>1</v>
      </c>
      <c r="N1334" s="43" t="inlineStr">
        <is>
          <t>カタログ規格確認済み</t>
        </is>
      </c>
      <c r="O1334" s="222" t="n">
        <v>195</v>
      </c>
      <c r="P1334" s="222" t="n">
        <v>193</v>
      </c>
      <c r="Q1334" s="43" t="inlineStr">
        <is>
          <t>202604_LIXIL_サーモスＬ_業務用資料集_完成品価格表.pdf</t>
        </is>
      </c>
      <c r="R1334" s="43" t="n"/>
      <c r="S1334" s="42" t="inlineStr">
        <is>
          <t>★</t>
        </is>
      </c>
      <c r="T1334" s="42" t="n">
        <v>192</v>
      </c>
      <c r="U1334" s="42" t="inlineStr">
        <is>
          <t>P192|★</t>
        </is>
      </c>
      <c r="V1334" s="42" t="inlineStr">
        <is>
          <t>同一価格表・前頁凡例を継承</t>
        </is>
      </c>
    </row>
    <row r="1335">
      <c r="A1335" s="43" t="inlineStr">
        <is>
          <t>SZ-SL-001332</t>
        </is>
      </c>
      <c r="B1335" s="43" t="inlineStr">
        <is>
          <t>SER-LIX-SAMOSL</t>
        </is>
      </c>
      <c r="C1335" s="43" t="inlineStr">
        <is>
          <t>WT-SL-KAZARI-HIKI</t>
        </is>
      </c>
      <c r="D1335" s="43" t="inlineStr">
        <is>
          <t>装飾引違い窓</t>
        </is>
      </c>
      <c r="E1335" s="43" t="inlineStr">
        <is>
          <t>SP-SL-KAZARI-H</t>
        </is>
      </c>
      <c r="F1335" s="43" t="inlineStr">
        <is>
          <t>在来・204</t>
        </is>
      </c>
      <c r="G1335" s="43" t="inlineStr">
        <is>
          <t>25609-4</t>
        </is>
      </c>
      <c r="H1335" s="43" t="inlineStr">
        <is>
          <t>256-4</t>
        </is>
      </c>
      <c r="I1335" s="43" t="inlineStr">
        <is>
          <t>09</t>
        </is>
      </c>
      <c r="J1335" s="222" t="n">
        <v>2600</v>
      </c>
      <c r="K1335" s="222" t="n">
        <v>970</v>
      </c>
      <c r="L1335" s="43" t="inlineStr">
        <is>
          <t>在来・204｜H｜マド①</t>
        </is>
      </c>
      <c r="M1335" s="178" t="b">
        <v>1</v>
      </c>
      <c r="N1335" s="43" t="inlineStr">
        <is>
          <t>カタログ規格確認済み</t>
        </is>
      </c>
      <c r="O1335" s="222" t="n">
        <v>195</v>
      </c>
      <c r="P1335" s="222" t="n">
        <v>193</v>
      </c>
      <c r="Q1335" s="43" t="inlineStr">
        <is>
          <t>202604_LIXIL_サーモスＬ_業務用資料集_完成品価格表.pdf</t>
        </is>
      </c>
      <c r="R1335" s="43" t="n"/>
      <c r="S1335" s="42" t="inlineStr">
        <is>
          <t>無印</t>
        </is>
      </c>
      <c r="T1335" s="42" t="n">
        <v>192</v>
      </c>
      <c r="U1335" s="42" t="inlineStr">
        <is>
          <t>P192|無印</t>
        </is>
      </c>
      <c r="V1335" s="42" t="inlineStr">
        <is>
          <t>同一価格表・前頁凡例を継承</t>
        </is>
      </c>
    </row>
    <row r="1336">
      <c r="A1336" s="43" t="inlineStr">
        <is>
          <t>SZ-SL-001333</t>
        </is>
      </c>
      <c r="B1336" s="43" t="inlineStr">
        <is>
          <t>SER-LIX-SAMOSL</t>
        </is>
      </c>
      <c r="C1336" s="43" t="inlineStr">
        <is>
          <t>WT-SL-KAZARI-HIKI</t>
        </is>
      </c>
      <c r="D1336" s="43" t="inlineStr">
        <is>
          <t>装飾引違い窓</t>
        </is>
      </c>
      <c r="E1336" s="43" t="inlineStr">
        <is>
          <t>SP-SL-KAZARI-H</t>
        </is>
      </c>
      <c r="F1336" s="43" t="inlineStr">
        <is>
          <t>在来・204</t>
        </is>
      </c>
      <c r="G1336" s="43" t="inlineStr">
        <is>
          <t>11411</t>
        </is>
      </c>
      <c r="H1336" s="43" t="inlineStr">
        <is>
          <t>114</t>
        </is>
      </c>
      <c r="I1336" s="43" t="inlineStr">
        <is>
          <t>11</t>
        </is>
      </c>
      <c r="J1336" s="222" t="n">
        <v>1185</v>
      </c>
      <c r="K1336" s="222" t="n">
        <v>1170</v>
      </c>
      <c r="L1336" s="43" t="inlineStr">
        <is>
          <t>在来・204｜H｜マド②</t>
        </is>
      </c>
      <c r="M1336" s="178" t="b">
        <v>1</v>
      </c>
      <c r="N1336" s="43" t="inlineStr">
        <is>
          <t>カタログ規格確認済み</t>
        </is>
      </c>
      <c r="O1336" s="222" t="n">
        <v>196</v>
      </c>
      <c r="P1336" s="222" t="n">
        <v>194</v>
      </c>
      <c r="Q1336" s="43" t="inlineStr">
        <is>
          <t>202604_LIXIL_サーモスＬ_業務用資料集_完成品価格表.pdf</t>
        </is>
      </c>
      <c r="R1336" s="43" t="n"/>
      <c r="S1336" s="42" t="inlineStr">
        <is>
          <t>無印</t>
        </is>
      </c>
      <c r="T1336" s="42" t="n">
        <v>194</v>
      </c>
      <c r="U1336" s="42" t="inlineStr">
        <is>
          <t>P194|無印</t>
        </is>
      </c>
      <c r="V1336" s="42" t="inlineStr">
        <is>
          <t>同頁凡例へ直接連動</t>
        </is>
      </c>
    </row>
    <row r="1337">
      <c r="A1337" s="43" t="inlineStr">
        <is>
          <t>SZ-SL-001334</t>
        </is>
      </c>
      <c r="B1337" s="43" t="inlineStr">
        <is>
          <t>SER-LIX-SAMOSL</t>
        </is>
      </c>
      <c r="C1337" s="43" t="inlineStr">
        <is>
          <t>WT-SL-KAZARI-HIKI</t>
        </is>
      </c>
      <c r="D1337" s="43" t="inlineStr">
        <is>
          <t>装飾引違い窓</t>
        </is>
      </c>
      <c r="E1337" s="43" t="inlineStr">
        <is>
          <t>SP-SL-KAZARI-H</t>
        </is>
      </c>
      <c r="F1337" s="43" t="inlineStr">
        <is>
          <t>在来・204</t>
        </is>
      </c>
      <c r="G1337" s="43" t="inlineStr">
        <is>
          <t>11413</t>
        </is>
      </c>
      <c r="H1337" s="43" t="inlineStr">
        <is>
          <t>114</t>
        </is>
      </c>
      <c r="I1337" s="43" t="inlineStr">
        <is>
          <t>13</t>
        </is>
      </c>
      <c r="J1337" s="222" t="n">
        <v>1185</v>
      </c>
      <c r="K1337" s="222" t="n">
        <v>1370</v>
      </c>
      <c r="L1337" s="43" t="inlineStr">
        <is>
          <t>在来・204｜H｜マド②</t>
        </is>
      </c>
      <c r="M1337" s="178" t="b">
        <v>1</v>
      </c>
      <c r="N1337" s="43" t="inlineStr">
        <is>
          <t>カタログ規格確認済み</t>
        </is>
      </c>
      <c r="O1337" s="222" t="n">
        <v>196</v>
      </c>
      <c r="P1337" s="222" t="n">
        <v>194</v>
      </c>
      <c r="Q1337" s="43" t="inlineStr">
        <is>
          <t>202604_LIXIL_サーモスＬ_業務用資料集_完成品価格表.pdf</t>
        </is>
      </c>
      <c r="R1337" s="43" t="n"/>
      <c r="S1337" s="42" t="inlineStr">
        <is>
          <t>無印</t>
        </is>
      </c>
      <c r="T1337" s="42" t="n">
        <v>194</v>
      </c>
      <c r="U1337" s="42" t="inlineStr">
        <is>
          <t>P194|無印</t>
        </is>
      </c>
      <c r="V1337" s="42" t="inlineStr">
        <is>
          <t>同頁凡例へ直接連動</t>
        </is>
      </c>
    </row>
    <row r="1338">
      <c r="A1338" s="43" t="inlineStr">
        <is>
          <t>SZ-SL-001335</t>
        </is>
      </c>
      <c r="B1338" s="43" t="inlineStr">
        <is>
          <t>SER-LIX-SAMOSL</t>
        </is>
      </c>
      <c r="C1338" s="43" t="inlineStr">
        <is>
          <t>WT-SL-KAZARI-HIKI</t>
        </is>
      </c>
      <c r="D1338" s="43" t="inlineStr">
        <is>
          <t>装飾引違い窓</t>
        </is>
      </c>
      <c r="E1338" s="43" t="inlineStr">
        <is>
          <t>SP-SL-KAZARI-H</t>
        </is>
      </c>
      <c r="F1338" s="43" t="inlineStr">
        <is>
          <t>在来・204</t>
        </is>
      </c>
      <c r="G1338" s="43" t="inlineStr">
        <is>
          <t>11911</t>
        </is>
      </c>
      <c r="H1338" s="43" t="inlineStr">
        <is>
          <t>119</t>
        </is>
      </c>
      <c r="I1338" s="43" t="inlineStr">
        <is>
          <t>11</t>
        </is>
      </c>
      <c r="J1338" s="222" t="n">
        <v>1235</v>
      </c>
      <c r="K1338" s="222" t="n">
        <v>1170</v>
      </c>
      <c r="L1338" s="43" t="inlineStr">
        <is>
          <t>在来・204｜H｜マド②</t>
        </is>
      </c>
      <c r="M1338" s="178" t="b">
        <v>1</v>
      </c>
      <c r="N1338" s="43" t="inlineStr">
        <is>
          <t>カタログ規格確認済み</t>
        </is>
      </c>
      <c r="O1338" s="222" t="n">
        <v>196</v>
      </c>
      <c r="P1338" s="222" t="n">
        <v>194</v>
      </c>
      <c r="Q1338" s="43" t="inlineStr">
        <is>
          <t>202604_LIXIL_サーモスＬ_業務用資料集_完成品価格表.pdf</t>
        </is>
      </c>
      <c r="R1338" s="43" t="n"/>
      <c r="S1338" s="42" t="inlineStr">
        <is>
          <t>無印</t>
        </is>
      </c>
      <c r="T1338" s="42" t="n">
        <v>194</v>
      </c>
      <c r="U1338" s="42" t="inlineStr">
        <is>
          <t>P194|無印</t>
        </is>
      </c>
      <c r="V1338" s="42" t="inlineStr">
        <is>
          <t>同頁凡例へ直接連動</t>
        </is>
      </c>
    </row>
    <row r="1339">
      <c r="A1339" s="43" t="inlineStr">
        <is>
          <t>SZ-SL-001336</t>
        </is>
      </c>
      <c r="B1339" s="43" t="inlineStr">
        <is>
          <t>SER-LIX-SAMOSL</t>
        </is>
      </c>
      <c r="C1339" s="43" t="inlineStr">
        <is>
          <t>WT-SL-KAZARI-HIKI</t>
        </is>
      </c>
      <c r="D1339" s="43" t="inlineStr">
        <is>
          <t>装飾引違い窓</t>
        </is>
      </c>
      <c r="E1339" s="43" t="inlineStr">
        <is>
          <t>SP-SL-KAZARI-H</t>
        </is>
      </c>
      <c r="F1339" s="43" t="inlineStr">
        <is>
          <t>在来・204</t>
        </is>
      </c>
      <c r="G1339" s="43" t="inlineStr">
        <is>
          <t>11913</t>
        </is>
      </c>
      <c r="H1339" s="43" t="inlineStr">
        <is>
          <t>119</t>
        </is>
      </c>
      <c r="I1339" s="43" t="inlineStr">
        <is>
          <t>13</t>
        </is>
      </c>
      <c r="J1339" s="222" t="n">
        <v>1235</v>
      </c>
      <c r="K1339" s="222" t="n">
        <v>1370</v>
      </c>
      <c r="L1339" s="43" t="inlineStr">
        <is>
          <t>在来・204｜H｜マド②</t>
        </is>
      </c>
      <c r="M1339" s="178" t="b">
        <v>1</v>
      </c>
      <c r="N1339" s="43" t="inlineStr">
        <is>
          <t>カタログ規格確認済み</t>
        </is>
      </c>
      <c r="O1339" s="222" t="n">
        <v>196</v>
      </c>
      <c r="P1339" s="222" t="n">
        <v>194</v>
      </c>
      <c r="Q1339" s="43" t="inlineStr">
        <is>
          <t>202604_LIXIL_サーモスＬ_業務用資料集_完成品価格表.pdf</t>
        </is>
      </c>
      <c r="R1339" s="43" t="n"/>
      <c r="S1339" s="42" t="inlineStr">
        <is>
          <t>無印</t>
        </is>
      </c>
      <c r="T1339" s="42" t="n">
        <v>194</v>
      </c>
      <c r="U1339" s="42" t="inlineStr">
        <is>
          <t>P194|無印</t>
        </is>
      </c>
      <c r="V1339" s="42" t="inlineStr">
        <is>
          <t>同頁凡例へ直接連動</t>
        </is>
      </c>
    </row>
    <row r="1340">
      <c r="A1340" s="43" t="inlineStr">
        <is>
          <t>SZ-SL-001337</t>
        </is>
      </c>
      <c r="B1340" s="43" t="inlineStr">
        <is>
          <t>SER-LIX-SAMOSL</t>
        </is>
      </c>
      <c r="C1340" s="43" t="inlineStr">
        <is>
          <t>WT-SL-KAZARI-HIKI</t>
        </is>
      </c>
      <c r="D1340" s="43" t="inlineStr">
        <is>
          <t>装飾引違い窓</t>
        </is>
      </c>
      <c r="E1340" s="43" t="inlineStr">
        <is>
          <t>SP-SL-KAZARI-H</t>
        </is>
      </c>
      <c r="F1340" s="43" t="inlineStr">
        <is>
          <t>在来・204</t>
        </is>
      </c>
      <c r="G1340" s="43" t="inlineStr">
        <is>
          <t>16011</t>
        </is>
      </c>
      <c r="H1340" s="43" t="inlineStr">
        <is>
          <t>160</t>
        </is>
      </c>
      <c r="I1340" s="43" t="inlineStr">
        <is>
          <t>11</t>
        </is>
      </c>
      <c r="J1340" s="222" t="n">
        <v>1640</v>
      </c>
      <c r="K1340" s="222" t="n">
        <v>1170</v>
      </c>
      <c r="L1340" s="43" t="inlineStr">
        <is>
          <t>在来・204｜H｜マド②</t>
        </is>
      </c>
      <c r="M1340" s="178" t="b">
        <v>1</v>
      </c>
      <c r="N1340" s="43" t="inlineStr">
        <is>
          <t>カタログ規格確認済み</t>
        </is>
      </c>
      <c r="O1340" s="222" t="n">
        <v>197</v>
      </c>
      <c r="P1340" s="222" t="n">
        <v>195</v>
      </c>
      <c r="Q1340" s="43" t="inlineStr">
        <is>
          <t>202604_LIXIL_サーモスＬ_業務用資料集_完成品価格表.pdf</t>
        </is>
      </c>
      <c r="R1340" s="43" t="n"/>
      <c r="S1340" s="42" t="inlineStr">
        <is>
          <t>無印</t>
        </is>
      </c>
      <c r="T1340" s="42" t="n">
        <v>194</v>
      </c>
      <c r="U1340" s="42" t="inlineStr">
        <is>
          <t>P194|無印</t>
        </is>
      </c>
      <c r="V1340" s="42" t="inlineStr">
        <is>
          <t>同一価格表・前頁凡例を継承</t>
        </is>
      </c>
    </row>
    <row r="1341">
      <c r="A1341" s="43" t="inlineStr">
        <is>
          <t>SZ-SL-001338</t>
        </is>
      </c>
      <c r="B1341" s="43" t="inlineStr">
        <is>
          <t>SER-LIX-SAMOSL</t>
        </is>
      </c>
      <c r="C1341" s="43" t="inlineStr">
        <is>
          <t>WT-SL-KAZARI-HIKI</t>
        </is>
      </c>
      <c r="D1341" s="43" t="inlineStr">
        <is>
          <t>装飾引違い窓</t>
        </is>
      </c>
      <c r="E1341" s="43" t="inlineStr">
        <is>
          <t>SP-SL-KAZARI-H</t>
        </is>
      </c>
      <c r="F1341" s="43" t="inlineStr">
        <is>
          <t>在来・204</t>
        </is>
      </c>
      <c r="G1341" s="43" t="inlineStr">
        <is>
          <t>16013</t>
        </is>
      </c>
      <c r="H1341" s="43" t="inlineStr">
        <is>
          <t>160</t>
        </is>
      </c>
      <c r="I1341" s="43" t="inlineStr">
        <is>
          <t>13</t>
        </is>
      </c>
      <c r="J1341" s="222" t="n">
        <v>1640</v>
      </c>
      <c r="K1341" s="222" t="n">
        <v>1370</v>
      </c>
      <c r="L1341" s="43" t="inlineStr">
        <is>
          <t>在来・204｜H｜マド②</t>
        </is>
      </c>
      <c r="M1341" s="178" t="b">
        <v>1</v>
      </c>
      <c r="N1341" s="43" t="inlineStr">
        <is>
          <t>カタログ規格確認済み</t>
        </is>
      </c>
      <c r="O1341" s="222" t="n">
        <v>197</v>
      </c>
      <c r="P1341" s="222" t="n">
        <v>195</v>
      </c>
      <c r="Q1341" s="43" t="inlineStr">
        <is>
          <t>202604_LIXIL_サーモスＬ_業務用資料集_完成品価格表.pdf</t>
        </is>
      </c>
      <c r="R1341" s="43" t="n"/>
      <c r="S1341" s="42" t="inlineStr">
        <is>
          <t>★</t>
        </is>
      </c>
      <c r="T1341" s="42" t="n">
        <v>194</v>
      </c>
      <c r="U1341" s="42" t="inlineStr">
        <is>
          <t>P194|★</t>
        </is>
      </c>
      <c r="V1341" s="42" t="inlineStr">
        <is>
          <t>同一価格表・前頁凡例を継承</t>
        </is>
      </c>
    </row>
    <row r="1342">
      <c r="A1342" s="43" t="inlineStr">
        <is>
          <t>SZ-SL-001339</t>
        </is>
      </c>
      <c r="B1342" s="43" t="inlineStr">
        <is>
          <t>SER-LIX-SAMOSL</t>
        </is>
      </c>
      <c r="C1342" s="43" t="inlineStr">
        <is>
          <t>WT-SL-KAZARI-HIKI</t>
        </is>
      </c>
      <c r="D1342" s="43" t="inlineStr">
        <is>
          <t>装飾引違い窓</t>
        </is>
      </c>
      <c r="E1342" s="43" t="inlineStr">
        <is>
          <t>SP-SL-KAZARI-H</t>
        </is>
      </c>
      <c r="F1342" s="43" t="inlineStr">
        <is>
          <t>在来・204</t>
        </is>
      </c>
      <c r="G1342" s="43" t="inlineStr">
        <is>
          <t>16015</t>
        </is>
      </c>
      <c r="H1342" s="43" t="inlineStr">
        <is>
          <t>160</t>
        </is>
      </c>
      <c r="I1342" s="43" t="inlineStr">
        <is>
          <t>15</t>
        </is>
      </c>
      <c r="J1342" s="222" t="n">
        <v>1640</v>
      </c>
      <c r="K1342" s="222" t="n">
        <v>1570</v>
      </c>
      <c r="L1342" s="43" t="inlineStr">
        <is>
          <t>在来・204｜H｜マド②</t>
        </is>
      </c>
      <c r="M1342" s="178" t="b">
        <v>1</v>
      </c>
      <c r="N1342" s="43" t="inlineStr">
        <is>
          <t>カタログ規格確認済み</t>
        </is>
      </c>
      <c r="O1342" s="222" t="n">
        <v>197</v>
      </c>
      <c r="P1342" s="222" t="n">
        <v>195</v>
      </c>
      <c r="Q1342" s="43" t="inlineStr">
        <is>
          <t>202604_LIXIL_サーモスＬ_業務用資料集_完成品価格表.pdf</t>
        </is>
      </c>
      <c r="R1342" s="43" t="n"/>
      <c r="S1342" s="42" t="inlineStr">
        <is>
          <t>○</t>
        </is>
      </c>
      <c r="T1342" s="42" t="n">
        <v>194</v>
      </c>
      <c r="U1342" s="42" t="inlineStr">
        <is>
          <t>P194|○</t>
        </is>
      </c>
      <c r="V1342" s="42" t="inlineStr">
        <is>
          <t>同一価格表・前頁凡例を継承</t>
        </is>
      </c>
    </row>
    <row r="1343">
      <c r="A1343" s="43" t="inlineStr">
        <is>
          <t>SZ-SL-001340</t>
        </is>
      </c>
      <c r="B1343" s="43" t="inlineStr">
        <is>
          <t>SER-LIX-SAMOSL</t>
        </is>
      </c>
      <c r="C1343" s="43" t="inlineStr">
        <is>
          <t>WT-SL-KAZARI-HIKI</t>
        </is>
      </c>
      <c r="D1343" s="43" t="inlineStr">
        <is>
          <t>装飾引違い窓</t>
        </is>
      </c>
      <c r="E1343" s="43" t="inlineStr">
        <is>
          <t>SP-SL-KAZARI-H</t>
        </is>
      </c>
      <c r="F1343" s="43" t="inlineStr">
        <is>
          <t>在来・204</t>
        </is>
      </c>
      <c r="G1343" s="43" t="inlineStr">
        <is>
          <t>16511</t>
        </is>
      </c>
      <c r="H1343" s="43" t="inlineStr">
        <is>
          <t>165</t>
        </is>
      </c>
      <c r="I1343" s="43" t="inlineStr">
        <is>
          <t>11</t>
        </is>
      </c>
      <c r="J1343" s="222" t="n">
        <v>1690</v>
      </c>
      <c r="K1343" s="222" t="n">
        <v>1170</v>
      </c>
      <c r="L1343" s="43" t="inlineStr">
        <is>
          <t>在来・204｜H｜マド②</t>
        </is>
      </c>
      <c r="M1343" s="178" t="b">
        <v>1</v>
      </c>
      <c r="N1343" s="43" t="inlineStr">
        <is>
          <t>カタログ規格確認済み</t>
        </is>
      </c>
      <c r="O1343" s="222" t="n">
        <v>197</v>
      </c>
      <c r="P1343" s="222" t="n">
        <v>195</v>
      </c>
      <c r="Q1343" s="43" t="inlineStr">
        <is>
          <t>202604_LIXIL_サーモスＬ_業務用資料集_完成品価格表.pdf</t>
        </is>
      </c>
      <c r="R1343" s="43" t="n"/>
      <c r="S1343" s="42" t="inlineStr">
        <is>
          <t>無印</t>
        </is>
      </c>
      <c r="T1343" s="42" t="n">
        <v>194</v>
      </c>
      <c r="U1343" s="42" t="inlineStr">
        <is>
          <t>P194|無印</t>
        </is>
      </c>
      <c r="V1343" s="42" t="inlineStr">
        <is>
          <t>同一価格表・前頁凡例を継承</t>
        </is>
      </c>
    </row>
    <row r="1344">
      <c r="A1344" s="43" t="inlineStr">
        <is>
          <t>SZ-SL-001341</t>
        </is>
      </c>
      <c r="B1344" s="43" t="inlineStr">
        <is>
          <t>SER-LIX-SAMOSL</t>
        </is>
      </c>
      <c r="C1344" s="43" t="inlineStr">
        <is>
          <t>WT-SL-KAZARI-HIKI</t>
        </is>
      </c>
      <c r="D1344" s="43" t="inlineStr">
        <is>
          <t>装飾引違い窓</t>
        </is>
      </c>
      <c r="E1344" s="43" t="inlineStr">
        <is>
          <t>SP-SL-KAZARI-H</t>
        </is>
      </c>
      <c r="F1344" s="43" t="inlineStr">
        <is>
          <t>在来・204</t>
        </is>
      </c>
      <c r="G1344" s="43" t="inlineStr">
        <is>
          <t>16513</t>
        </is>
      </c>
      <c r="H1344" s="43" t="inlineStr">
        <is>
          <t>165</t>
        </is>
      </c>
      <c r="I1344" s="43" t="inlineStr">
        <is>
          <t>13</t>
        </is>
      </c>
      <c r="J1344" s="222" t="n">
        <v>1690</v>
      </c>
      <c r="K1344" s="222" t="n">
        <v>1370</v>
      </c>
      <c r="L1344" s="43" t="inlineStr">
        <is>
          <t>在来・204｜H｜マド②</t>
        </is>
      </c>
      <c r="M1344" s="178" t="b">
        <v>1</v>
      </c>
      <c r="N1344" s="43" t="inlineStr">
        <is>
          <t>カタログ規格確認済み</t>
        </is>
      </c>
      <c r="O1344" s="222" t="n">
        <v>197</v>
      </c>
      <c r="P1344" s="222" t="n">
        <v>195</v>
      </c>
      <c r="Q1344" s="43" t="inlineStr">
        <is>
          <t>202604_LIXIL_サーモスＬ_業務用資料集_完成品価格表.pdf</t>
        </is>
      </c>
      <c r="R1344" s="43" t="n"/>
      <c r="S1344" s="42" t="inlineStr">
        <is>
          <t>★</t>
        </is>
      </c>
      <c r="T1344" s="42" t="n">
        <v>194</v>
      </c>
      <c r="U1344" s="42" t="inlineStr">
        <is>
          <t>P194|★</t>
        </is>
      </c>
      <c r="V1344" s="42" t="inlineStr">
        <is>
          <t>同一価格表・前頁凡例を継承</t>
        </is>
      </c>
    </row>
    <row r="1345">
      <c r="A1345" s="43" t="inlineStr">
        <is>
          <t>SZ-SL-001342</t>
        </is>
      </c>
      <c r="B1345" s="43" t="inlineStr">
        <is>
          <t>SER-LIX-SAMOSL</t>
        </is>
      </c>
      <c r="C1345" s="43" t="inlineStr">
        <is>
          <t>WT-SL-KAZARI-HIKI</t>
        </is>
      </c>
      <c r="D1345" s="43" t="inlineStr">
        <is>
          <t>装飾引違い窓</t>
        </is>
      </c>
      <c r="E1345" s="43" t="inlineStr">
        <is>
          <t>SP-SL-KAZARI-H</t>
        </is>
      </c>
      <c r="F1345" s="43" t="inlineStr">
        <is>
          <t>在来・204</t>
        </is>
      </c>
      <c r="G1345" s="43" t="inlineStr">
        <is>
          <t>16515</t>
        </is>
      </c>
      <c r="H1345" s="43" t="inlineStr">
        <is>
          <t>165</t>
        </is>
      </c>
      <c r="I1345" s="43" t="inlineStr">
        <is>
          <t>15</t>
        </is>
      </c>
      <c r="J1345" s="222" t="n">
        <v>1690</v>
      </c>
      <c r="K1345" s="222" t="n">
        <v>1570</v>
      </c>
      <c r="L1345" s="43" t="inlineStr">
        <is>
          <t>在来・204｜H｜マド②</t>
        </is>
      </c>
      <c r="M1345" s="178" t="b">
        <v>1</v>
      </c>
      <c r="N1345" s="43" t="inlineStr">
        <is>
          <t>カタログ規格確認済み</t>
        </is>
      </c>
      <c r="O1345" s="222" t="n">
        <v>197</v>
      </c>
      <c r="P1345" s="222" t="n">
        <v>195</v>
      </c>
      <c r="Q1345" s="43" t="inlineStr">
        <is>
          <t>202604_LIXIL_サーモスＬ_業務用資料集_完成品価格表.pdf</t>
        </is>
      </c>
      <c r="R1345" s="43" t="n"/>
      <c r="S1345" s="42" t="inlineStr">
        <is>
          <t>○</t>
        </is>
      </c>
      <c r="T1345" s="42" t="n">
        <v>194</v>
      </c>
      <c r="U1345" s="42" t="inlineStr">
        <is>
          <t>P194|○</t>
        </is>
      </c>
      <c r="V1345" s="42" t="inlineStr">
        <is>
          <t>同一価格表・前頁凡例を継承</t>
        </is>
      </c>
    </row>
    <row r="1346">
      <c r="A1346" s="43" t="inlineStr">
        <is>
          <t>SZ-SL-001343</t>
        </is>
      </c>
      <c r="B1346" s="43" t="inlineStr">
        <is>
          <t>SER-LIX-SAMOSL</t>
        </is>
      </c>
      <c r="C1346" s="43" t="inlineStr">
        <is>
          <t>WT-SL-KAZARI-HIKI</t>
        </is>
      </c>
      <c r="D1346" s="43" t="inlineStr">
        <is>
          <t>装飾引違い窓</t>
        </is>
      </c>
      <c r="E1346" s="43" t="inlineStr">
        <is>
          <t>SP-SL-KAZARI-H</t>
        </is>
      </c>
      <c r="F1346" s="43" t="inlineStr">
        <is>
          <t>在来・204</t>
        </is>
      </c>
      <c r="G1346" s="43" t="inlineStr">
        <is>
          <t>25611-2</t>
        </is>
      </c>
      <c r="H1346" s="43" t="inlineStr">
        <is>
          <t>256-2</t>
        </is>
      </c>
      <c r="I1346" s="43" t="inlineStr">
        <is>
          <t>11</t>
        </is>
      </c>
      <c r="J1346" s="222" t="n">
        <v>2600</v>
      </c>
      <c r="K1346" s="222" t="n">
        <v>1170</v>
      </c>
      <c r="L1346" s="43" t="inlineStr">
        <is>
          <t>在来・204｜H｜マド②</t>
        </is>
      </c>
      <c r="M1346" s="178" t="b">
        <v>1</v>
      </c>
      <c r="N1346" s="43" t="inlineStr">
        <is>
          <t>カタログ規格確認済み</t>
        </is>
      </c>
      <c r="O1346" s="222" t="n">
        <v>197</v>
      </c>
      <c r="P1346" s="222" t="n">
        <v>195</v>
      </c>
      <c r="Q1346" s="43" t="inlineStr">
        <is>
          <t>202604_LIXIL_サーモスＬ_業務用資料集_完成品価格表.pdf</t>
        </is>
      </c>
      <c r="R1346" s="43" t="n"/>
      <c r="S1346" s="42" t="inlineStr">
        <is>
          <t>☆</t>
        </is>
      </c>
      <c r="T1346" s="42" t="n">
        <v>194</v>
      </c>
      <c r="U1346" s="42" t="inlineStr">
        <is>
          <t>P194|☆</t>
        </is>
      </c>
      <c r="V1346" s="42" t="inlineStr">
        <is>
          <t>同一価格表・前頁凡例を継承</t>
        </is>
      </c>
    </row>
    <row r="1347">
      <c r="A1347" s="43" t="inlineStr">
        <is>
          <t>SZ-SL-001344</t>
        </is>
      </c>
      <c r="B1347" s="43" t="inlineStr">
        <is>
          <t>SER-LIX-SAMOSL</t>
        </is>
      </c>
      <c r="C1347" s="43" t="inlineStr">
        <is>
          <t>WT-SL-KAZARI-HIKI</t>
        </is>
      </c>
      <c r="D1347" s="43" t="inlineStr">
        <is>
          <t>装飾引違い窓</t>
        </is>
      </c>
      <c r="E1347" s="43" t="inlineStr">
        <is>
          <t>SP-SL-KAZARI-H</t>
        </is>
      </c>
      <c r="F1347" s="43" t="inlineStr">
        <is>
          <t>在来・204</t>
        </is>
      </c>
      <c r="G1347" s="43" t="inlineStr">
        <is>
          <t>25611-4</t>
        </is>
      </c>
      <c r="H1347" s="43" t="inlineStr">
        <is>
          <t>256-4</t>
        </is>
      </c>
      <c r="I1347" s="43" t="inlineStr">
        <is>
          <t>11</t>
        </is>
      </c>
      <c r="J1347" s="222" t="n">
        <v>2600</v>
      </c>
      <c r="K1347" s="222" t="n">
        <v>1170</v>
      </c>
      <c r="L1347" s="43" t="inlineStr">
        <is>
          <t>在来・204｜H｜マド②</t>
        </is>
      </c>
      <c r="M1347" s="178" t="b">
        <v>1</v>
      </c>
      <c r="N1347" s="43" t="inlineStr">
        <is>
          <t>カタログ規格確認済み</t>
        </is>
      </c>
      <c r="O1347" s="222" t="n">
        <v>197</v>
      </c>
      <c r="P1347" s="222" t="n">
        <v>195</v>
      </c>
      <c r="Q1347" s="43" t="inlineStr">
        <is>
          <t>202604_LIXIL_サーモスＬ_業務用資料集_完成品価格表.pdf</t>
        </is>
      </c>
      <c r="R1347" s="43" t="n"/>
      <c r="S1347" s="42" t="inlineStr">
        <is>
          <t>無印</t>
        </is>
      </c>
      <c r="T1347" s="42" t="n">
        <v>194</v>
      </c>
      <c r="U1347" s="42" t="inlineStr">
        <is>
          <t>P194|無印</t>
        </is>
      </c>
      <c r="V1347" s="42" t="inlineStr">
        <is>
          <t>同一価格表・前頁凡例を継承</t>
        </is>
      </c>
    </row>
    <row r="1348">
      <c r="A1348" s="43" t="inlineStr">
        <is>
          <t>SZ-SL-001345</t>
        </is>
      </c>
      <c r="B1348" s="43" t="inlineStr">
        <is>
          <t>SER-LIX-SAMOSL</t>
        </is>
      </c>
      <c r="C1348" s="43" t="inlineStr">
        <is>
          <t>WT-SL-KAZARI-HIKI</t>
        </is>
      </c>
      <c r="D1348" s="43" t="inlineStr">
        <is>
          <t>装飾引違い窓</t>
        </is>
      </c>
      <c r="E1348" s="43" t="inlineStr">
        <is>
          <t>SP-SL-KAZARI-H</t>
        </is>
      </c>
      <c r="F1348" s="43" t="inlineStr">
        <is>
          <t>在来・204</t>
        </is>
      </c>
      <c r="G1348" s="43" t="inlineStr">
        <is>
          <t>25613-2</t>
        </is>
      </c>
      <c r="H1348" s="43" t="inlineStr">
        <is>
          <t>256-2</t>
        </is>
      </c>
      <c r="I1348" s="43" t="inlineStr">
        <is>
          <t>13</t>
        </is>
      </c>
      <c r="J1348" s="222" t="n">
        <v>2600</v>
      </c>
      <c r="K1348" s="222" t="n">
        <v>1370</v>
      </c>
      <c r="L1348" s="43" t="inlineStr">
        <is>
          <t>在来・204｜H｜マド②</t>
        </is>
      </c>
      <c r="M1348" s="178" t="b">
        <v>1</v>
      </c>
      <c r="N1348" s="43" t="inlineStr">
        <is>
          <t>カタログ規格確認済み</t>
        </is>
      </c>
      <c r="O1348" s="222" t="n">
        <v>197</v>
      </c>
      <c r="P1348" s="222" t="n">
        <v>195</v>
      </c>
      <c r="Q1348" s="43" t="inlineStr">
        <is>
          <t>202604_LIXIL_サーモスＬ_業務用資料集_完成品価格表.pdf</t>
        </is>
      </c>
      <c r="R1348" s="43" t="n"/>
      <c r="S1348" s="42" t="inlineStr">
        <is>
          <t>●</t>
        </is>
      </c>
      <c r="T1348" s="42" t="n">
        <v>194</v>
      </c>
      <c r="U1348" s="42" t="inlineStr">
        <is>
          <t>P194|●</t>
        </is>
      </c>
      <c r="V1348" s="42" t="inlineStr">
        <is>
          <t>同一価格表・前頁凡例を継承</t>
        </is>
      </c>
    </row>
    <row r="1349">
      <c r="A1349" s="43" t="inlineStr">
        <is>
          <t>SZ-SL-001346</t>
        </is>
      </c>
      <c r="B1349" s="43" t="inlineStr">
        <is>
          <t>SER-LIX-SAMOSL</t>
        </is>
      </c>
      <c r="C1349" s="43" t="inlineStr">
        <is>
          <t>WT-SL-KAZARI-HIKI</t>
        </is>
      </c>
      <c r="D1349" s="43" t="inlineStr">
        <is>
          <t>装飾引違い窓</t>
        </is>
      </c>
      <c r="E1349" s="43" t="inlineStr">
        <is>
          <t>SP-SL-KAZARI-H</t>
        </is>
      </c>
      <c r="F1349" s="43" t="inlineStr">
        <is>
          <t>在来・204</t>
        </is>
      </c>
      <c r="G1349" s="43" t="inlineStr">
        <is>
          <t>25613-4</t>
        </is>
      </c>
      <c r="H1349" s="43" t="inlineStr">
        <is>
          <t>256-4</t>
        </is>
      </c>
      <c r="I1349" s="43" t="inlineStr">
        <is>
          <t>13</t>
        </is>
      </c>
      <c r="J1349" s="222" t="n">
        <v>2600</v>
      </c>
      <c r="K1349" s="222" t="n">
        <v>1370</v>
      </c>
      <c r="L1349" s="43" t="inlineStr">
        <is>
          <t>在来・204｜H｜マド②</t>
        </is>
      </c>
      <c r="M1349" s="178" t="b">
        <v>1</v>
      </c>
      <c r="N1349" s="43" t="inlineStr">
        <is>
          <t>カタログ規格確認済み</t>
        </is>
      </c>
      <c r="O1349" s="222" t="n">
        <v>197</v>
      </c>
      <c r="P1349" s="222" t="n">
        <v>195</v>
      </c>
      <c r="Q1349" s="43" t="inlineStr">
        <is>
          <t>202604_LIXIL_サーモスＬ_業務用資料集_完成品価格表.pdf</t>
        </is>
      </c>
      <c r="R1349" s="43" t="n"/>
      <c r="S1349" s="42" t="inlineStr">
        <is>
          <t>無印</t>
        </is>
      </c>
      <c r="T1349" s="42" t="n">
        <v>194</v>
      </c>
      <c r="U1349" s="42" t="inlineStr">
        <is>
          <t>P194|無印</t>
        </is>
      </c>
      <c r="V1349" s="42" t="inlineStr">
        <is>
          <t>同一価格表・前頁凡例を継承</t>
        </is>
      </c>
    </row>
    <row r="1350">
      <c r="A1350" s="43" t="inlineStr">
        <is>
          <t>SZ-SL-001347</t>
        </is>
      </c>
      <c r="B1350" s="43" t="inlineStr">
        <is>
          <t>SER-LIX-SAMOSL</t>
        </is>
      </c>
      <c r="C1350" s="43" t="inlineStr">
        <is>
          <t>WT-SL-KAZARI-HIKI</t>
        </is>
      </c>
      <c r="D1350" s="43" t="inlineStr">
        <is>
          <t>装飾引違い窓</t>
        </is>
      </c>
      <c r="E1350" s="43" t="inlineStr">
        <is>
          <t>SP-SL-KAZARI-H</t>
        </is>
      </c>
      <c r="F1350" s="43" t="inlineStr">
        <is>
          <t>在来</t>
        </is>
      </c>
      <c r="G1350" s="43" t="inlineStr">
        <is>
          <t>16518</t>
        </is>
      </c>
      <c r="H1350" s="43" t="inlineStr">
        <is>
          <t>165</t>
        </is>
      </c>
      <c r="I1350" s="43" t="inlineStr">
        <is>
          <t>18</t>
        </is>
      </c>
      <c r="J1350" s="222" t="n">
        <v>1690</v>
      </c>
      <c r="K1350" s="222" t="n">
        <v>1830</v>
      </c>
      <c r="L1350" s="43" t="inlineStr">
        <is>
          <t>在来｜H｜テラス</t>
        </is>
      </c>
      <c r="M1350" s="178" t="b">
        <v>1</v>
      </c>
      <c r="N1350" s="43" t="inlineStr">
        <is>
          <t>カタログ規格確認済み</t>
        </is>
      </c>
      <c r="O1350" s="222" t="n">
        <v>198</v>
      </c>
      <c r="P1350" s="222" t="n">
        <v>196</v>
      </c>
      <c r="Q1350" s="43" t="inlineStr">
        <is>
          <t>202604_LIXIL_サーモスＬ_業務用資料集_完成品価格表.pdf</t>
        </is>
      </c>
      <c r="R1350" s="43" t="n"/>
      <c r="S1350" s="42" t="inlineStr">
        <is>
          <t>無印</t>
        </is>
      </c>
      <c r="T1350" s="42" t="n">
        <v>196</v>
      </c>
      <c r="U1350" s="42" t="inlineStr">
        <is>
          <t>P196|無印</t>
        </is>
      </c>
      <c r="V1350" s="42" t="inlineStr">
        <is>
          <t>同頁凡例へ直接連動</t>
        </is>
      </c>
    </row>
    <row r="1351">
      <c r="A1351" s="43" t="inlineStr">
        <is>
          <t>SZ-SL-001348</t>
        </is>
      </c>
      <c r="B1351" s="43" t="inlineStr">
        <is>
          <t>SER-LIX-SAMOSL</t>
        </is>
      </c>
      <c r="C1351" s="43" t="inlineStr">
        <is>
          <t>WT-SL-KAZARI-HIKI</t>
        </is>
      </c>
      <c r="D1351" s="43" t="inlineStr">
        <is>
          <t>装飾引違い窓</t>
        </is>
      </c>
      <c r="E1351" s="43" t="inlineStr">
        <is>
          <t>SP-SL-KAZARI-H</t>
        </is>
      </c>
      <c r="F1351" s="43" t="inlineStr">
        <is>
          <t>在来</t>
        </is>
      </c>
      <c r="G1351" s="43" t="inlineStr">
        <is>
          <t>16520</t>
        </is>
      </c>
      <c r="H1351" s="43" t="inlineStr">
        <is>
          <t>165</t>
        </is>
      </c>
      <c r="I1351" s="43" t="inlineStr">
        <is>
          <t>20</t>
        </is>
      </c>
      <c r="J1351" s="222" t="n">
        <v>1690</v>
      </c>
      <c r="K1351" s="222" t="n">
        <v>2030</v>
      </c>
      <c r="L1351" s="43" t="inlineStr">
        <is>
          <t>在来｜H｜テラス</t>
        </is>
      </c>
      <c r="M1351" s="178" t="b">
        <v>1</v>
      </c>
      <c r="N1351" s="43" t="inlineStr">
        <is>
          <t>カタログ規格確認済み</t>
        </is>
      </c>
      <c r="O1351" s="222" t="n">
        <v>198</v>
      </c>
      <c r="P1351" s="222" t="n">
        <v>196</v>
      </c>
      <c r="Q1351" s="43" t="inlineStr">
        <is>
          <t>202604_LIXIL_サーモスＬ_業務用資料集_完成品価格表.pdf</t>
        </is>
      </c>
      <c r="R1351" s="43" t="n"/>
      <c r="S1351" s="42" t="inlineStr">
        <is>
          <t>★</t>
        </is>
      </c>
      <c r="T1351" s="42" t="n">
        <v>196</v>
      </c>
      <c r="U1351" s="42" t="inlineStr">
        <is>
          <t>P196|★</t>
        </is>
      </c>
      <c r="V1351" s="42" t="inlineStr">
        <is>
          <t>同頁凡例へ直接連動</t>
        </is>
      </c>
    </row>
    <row r="1352">
      <c r="A1352" s="43" t="inlineStr">
        <is>
          <t>SZ-SL-001349</t>
        </is>
      </c>
      <c r="B1352" s="43" t="inlineStr">
        <is>
          <t>SER-LIX-SAMOSL</t>
        </is>
      </c>
      <c r="C1352" s="43" t="inlineStr">
        <is>
          <t>WT-SL-KAZARI-HIKI</t>
        </is>
      </c>
      <c r="D1352" s="43" t="inlineStr">
        <is>
          <t>装飾引違い窓</t>
        </is>
      </c>
      <c r="E1352" s="43" t="inlineStr">
        <is>
          <t>SP-SL-KAZARI-H</t>
        </is>
      </c>
      <c r="F1352" s="43" t="inlineStr">
        <is>
          <t>在来</t>
        </is>
      </c>
      <c r="G1352" s="43" t="inlineStr">
        <is>
          <t>25618-2</t>
        </is>
      </c>
      <c r="H1352" s="43" t="inlineStr">
        <is>
          <t>256-2</t>
        </is>
      </c>
      <c r="I1352" s="43" t="inlineStr">
        <is>
          <t>18</t>
        </is>
      </c>
      <c r="J1352" s="222" t="n">
        <v>2600</v>
      </c>
      <c r="K1352" s="222" t="n">
        <v>1830</v>
      </c>
      <c r="L1352" s="43" t="inlineStr">
        <is>
          <t>在来｜H｜テラス</t>
        </is>
      </c>
      <c r="M1352" s="178" t="b">
        <v>1</v>
      </c>
      <c r="N1352" s="43" t="inlineStr">
        <is>
          <t>カタログ規格確認済み</t>
        </is>
      </c>
      <c r="O1352" s="222" t="n">
        <v>198</v>
      </c>
      <c r="P1352" s="222" t="n">
        <v>196</v>
      </c>
      <c r="Q1352" s="43" t="inlineStr">
        <is>
          <t>202604_LIXIL_サーモスＬ_業務用資料集_完成品価格表.pdf</t>
        </is>
      </c>
      <c r="R1352" s="43" t="n"/>
      <c r="S1352" s="42" t="inlineStr">
        <is>
          <t>○</t>
        </is>
      </c>
      <c r="T1352" s="42" t="n">
        <v>196</v>
      </c>
      <c r="U1352" s="42" t="inlineStr">
        <is>
          <t>P196|○</t>
        </is>
      </c>
      <c r="V1352" s="42" t="inlineStr">
        <is>
          <t>同頁凡例へ直接連動</t>
        </is>
      </c>
    </row>
    <row r="1353">
      <c r="A1353" s="43" t="inlineStr">
        <is>
          <t>SZ-SL-001350</t>
        </is>
      </c>
      <c r="B1353" s="43" t="inlineStr">
        <is>
          <t>SER-LIX-SAMOSL</t>
        </is>
      </c>
      <c r="C1353" s="43" t="inlineStr">
        <is>
          <t>WT-SL-KAZARI-HIKI</t>
        </is>
      </c>
      <c r="D1353" s="43" t="inlineStr">
        <is>
          <t>装飾引違い窓</t>
        </is>
      </c>
      <c r="E1353" s="43" t="inlineStr">
        <is>
          <t>SP-SL-KAZARI-H</t>
        </is>
      </c>
      <c r="F1353" s="43" t="inlineStr">
        <is>
          <t>在来</t>
        </is>
      </c>
      <c r="G1353" s="43" t="inlineStr">
        <is>
          <t>25618-4</t>
        </is>
      </c>
      <c r="H1353" s="43" t="inlineStr">
        <is>
          <t>256-4</t>
        </is>
      </c>
      <c r="I1353" s="43" t="inlineStr">
        <is>
          <t>18</t>
        </is>
      </c>
      <c r="J1353" s="222" t="n">
        <v>2600</v>
      </c>
      <c r="K1353" s="222" t="n">
        <v>1830</v>
      </c>
      <c r="L1353" s="43" t="inlineStr">
        <is>
          <t>在来｜H｜テラス</t>
        </is>
      </c>
      <c r="M1353" s="178" t="b">
        <v>1</v>
      </c>
      <c r="N1353" s="43" t="inlineStr">
        <is>
          <t>カタログ規格確認済み</t>
        </is>
      </c>
      <c r="O1353" s="222" t="n">
        <v>198</v>
      </c>
      <c r="P1353" s="222" t="n">
        <v>196</v>
      </c>
      <c r="Q1353" s="43" t="inlineStr">
        <is>
          <t>202604_LIXIL_サーモスＬ_業務用資料集_完成品価格表.pdf</t>
        </is>
      </c>
      <c r="R1353" s="43" t="n"/>
      <c r="S1353" s="42" t="inlineStr">
        <is>
          <t>無印</t>
        </is>
      </c>
      <c r="T1353" s="42" t="n">
        <v>196</v>
      </c>
      <c r="U1353" s="42" t="inlineStr">
        <is>
          <t>P196|無印</t>
        </is>
      </c>
      <c r="V1353" s="42" t="inlineStr">
        <is>
          <t>同頁凡例へ直接連動</t>
        </is>
      </c>
    </row>
    <row r="1354">
      <c r="A1354" s="43" t="inlineStr">
        <is>
          <t>SZ-SL-001351</t>
        </is>
      </c>
      <c r="B1354" s="43" t="inlineStr">
        <is>
          <t>SER-LIX-SAMOSL</t>
        </is>
      </c>
      <c r="C1354" s="43" t="inlineStr">
        <is>
          <t>WT-SL-KAZARI-HIKI</t>
        </is>
      </c>
      <c r="D1354" s="43" t="inlineStr">
        <is>
          <t>装飾引違い窓</t>
        </is>
      </c>
      <c r="E1354" s="43" t="inlineStr">
        <is>
          <t>SP-SL-KAZARI-H</t>
        </is>
      </c>
      <c r="F1354" s="43" t="inlineStr">
        <is>
          <t>在来</t>
        </is>
      </c>
      <c r="G1354" s="43" t="inlineStr">
        <is>
          <t>25620-2</t>
        </is>
      </c>
      <c r="H1354" s="43" t="inlineStr">
        <is>
          <t>256-2</t>
        </is>
      </c>
      <c r="I1354" s="43" t="inlineStr">
        <is>
          <t>20</t>
        </is>
      </c>
      <c r="J1354" s="222" t="n">
        <v>2600</v>
      </c>
      <c r="K1354" s="222" t="n">
        <v>2030</v>
      </c>
      <c r="L1354" s="43" t="inlineStr">
        <is>
          <t>在来｜H｜テラス</t>
        </is>
      </c>
      <c r="M1354" s="178" t="b">
        <v>1</v>
      </c>
      <c r="N1354" s="43" t="inlineStr">
        <is>
          <t>カタログ規格確認済み</t>
        </is>
      </c>
      <c r="O1354" s="222" t="n">
        <v>198</v>
      </c>
      <c r="P1354" s="222" t="n">
        <v>196</v>
      </c>
      <c r="Q1354" s="43" t="inlineStr">
        <is>
          <t>202604_LIXIL_サーモスＬ_業務用資料集_完成品価格表.pdf</t>
        </is>
      </c>
      <c r="R1354" s="43" t="n"/>
      <c r="S1354" s="42" t="inlineStr">
        <is>
          <t>○</t>
        </is>
      </c>
      <c r="T1354" s="42" t="n">
        <v>196</v>
      </c>
      <c r="U1354" s="42" t="inlineStr">
        <is>
          <t>P196|○</t>
        </is>
      </c>
      <c r="V1354" s="42" t="inlineStr">
        <is>
          <t>同頁凡例へ直接連動</t>
        </is>
      </c>
    </row>
    <row r="1355">
      <c r="A1355" s="43" t="inlineStr">
        <is>
          <t>SZ-SL-001352</t>
        </is>
      </c>
      <c r="B1355" s="43" t="inlineStr">
        <is>
          <t>SER-LIX-SAMOSL</t>
        </is>
      </c>
      <c r="C1355" s="43" t="inlineStr">
        <is>
          <t>WT-SL-KAZARI-HIKI</t>
        </is>
      </c>
      <c r="D1355" s="43" t="inlineStr">
        <is>
          <t>装飾引違い窓</t>
        </is>
      </c>
      <c r="E1355" s="43" t="inlineStr">
        <is>
          <t>SP-SL-KAZARI-H</t>
        </is>
      </c>
      <c r="F1355" s="43" t="inlineStr">
        <is>
          <t>在来</t>
        </is>
      </c>
      <c r="G1355" s="43" t="inlineStr">
        <is>
          <t>25620-4</t>
        </is>
      </c>
      <c r="H1355" s="43" t="inlineStr">
        <is>
          <t>256-4</t>
        </is>
      </c>
      <c r="I1355" s="43" t="inlineStr">
        <is>
          <t>20</t>
        </is>
      </c>
      <c r="J1355" s="222" t="n">
        <v>2600</v>
      </c>
      <c r="K1355" s="222" t="n">
        <v>2030</v>
      </c>
      <c r="L1355" s="43" t="inlineStr">
        <is>
          <t>在来｜H｜テラス</t>
        </is>
      </c>
      <c r="M1355" s="178" t="b">
        <v>1</v>
      </c>
      <c r="N1355" s="43" t="inlineStr">
        <is>
          <t>カタログ規格確認済み</t>
        </is>
      </c>
      <c r="O1355" s="222" t="n">
        <v>198</v>
      </c>
      <c r="P1355" s="222" t="n">
        <v>196</v>
      </c>
      <c r="Q1355" s="43" t="inlineStr">
        <is>
          <t>202604_LIXIL_サーモスＬ_業務用資料集_完成品価格表.pdf</t>
        </is>
      </c>
      <c r="R1355" s="43" t="n"/>
      <c r="S1355" s="42" t="inlineStr">
        <is>
          <t>無印</t>
        </is>
      </c>
      <c r="T1355" s="42" t="n">
        <v>196</v>
      </c>
      <c r="U1355" s="42" t="inlineStr">
        <is>
          <t>P196|無印</t>
        </is>
      </c>
      <c r="V1355" s="42" t="inlineStr">
        <is>
          <t>同頁凡例へ直接連動</t>
        </is>
      </c>
    </row>
    <row r="1356">
      <c r="A1356" s="43" t="inlineStr">
        <is>
          <t>SZ-SL-001353</t>
        </is>
      </c>
      <c r="B1356" s="43" t="inlineStr">
        <is>
          <t>SER-LIX-SAMOSL</t>
        </is>
      </c>
      <c r="C1356" s="43" t="inlineStr">
        <is>
          <t>WT-SL-KAZARI-HIKI</t>
        </is>
      </c>
      <c r="D1356" s="43" t="inlineStr">
        <is>
          <t>装飾引違い窓</t>
        </is>
      </c>
      <c r="E1356" s="43" t="inlineStr">
        <is>
          <t>SP-SL-KAZARI-H</t>
        </is>
      </c>
      <c r="F1356" s="43" t="inlineStr">
        <is>
          <t>在来</t>
        </is>
      </c>
      <c r="G1356" s="43" t="inlineStr">
        <is>
          <t>16522</t>
        </is>
      </c>
      <c r="H1356" s="43" t="inlineStr">
        <is>
          <t>165</t>
        </is>
      </c>
      <c r="I1356" s="43" t="inlineStr">
        <is>
          <t>22</t>
        </is>
      </c>
      <c r="J1356" s="222" t="n">
        <v>1690</v>
      </c>
      <c r="K1356" s="222" t="n">
        <v>2230</v>
      </c>
      <c r="L1356" s="43" t="inlineStr">
        <is>
          <t>在来｜H｜テラス</t>
        </is>
      </c>
      <c r="M1356" s="178" t="b">
        <v>1</v>
      </c>
      <c r="N1356" s="43" t="inlineStr">
        <is>
          <t>カタログ規格確認済み</t>
        </is>
      </c>
      <c r="O1356" s="222" t="n">
        <v>199</v>
      </c>
      <c r="P1356" s="222" t="n">
        <v>197</v>
      </c>
      <c r="Q1356" s="43" t="inlineStr">
        <is>
          <t>202604_LIXIL_サーモスＬ_業務用資料集_完成品価格表.pdf</t>
        </is>
      </c>
      <c r="R1356" s="43" t="n"/>
      <c r="S1356" s="42" t="inlineStr">
        <is>
          <t>★</t>
        </is>
      </c>
      <c r="T1356" s="42" t="n">
        <v>197</v>
      </c>
      <c r="U1356" s="42" t="inlineStr">
        <is>
          <t>P197|★</t>
        </is>
      </c>
      <c r="V1356" s="42" t="inlineStr">
        <is>
          <t>同頁凡例へ直接連動</t>
        </is>
      </c>
    </row>
    <row r="1357">
      <c r="A1357" s="43" t="inlineStr">
        <is>
          <t>SZ-SL-001354</t>
        </is>
      </c>
      <c r="B1357" s="43" t="inlineStr">
        <is>
          <t>SER-LIX-SAMOSL</t>
        </is>
      </c>
      <c r="C1357" s="43" t="inlineStr">
        <is>
          <t>WT-SL-KAZARI-HIKI</t>
        </is>
      </c>
      <c r="D1357" s="43" t="inlineStr">
        <is>
          <t>装飾引違い窓</t>
        </is>
      </c>
      <c r="E1357" s="43" t="inlineStr">
        <is>
          <t>SP-SL-KAZARI-H</t>
        </is>
      </c>
      <c r="F1357" s="43" t="inlineStr">
        <is>
          <t>在来</t>
        </is>
      </c>
      <c r="G1357" s="43" t="inlineStr">
        <is>
          <t>16524</t>
        </is>
      </c>
      <c r="H1357" s="43" t="inlineStr">
        <is>
          <t>165</t>
        </is>
      </c>
      <c r="I1357" s="43" t="inlineStr">
        <is>
          <t>24</t>
        </is>
      </c>
      <c r="J1357" s="222" t="n">
        <v>1690</v>
      </c>
      <c r="K1357" s="222" t="n">
        <v>2430</v>
      </c>
      <c r="L1357" s="43" t="inlineStr">
        <is>
          <t>在来｜H｜テラス</t>
        </is>
      </c>
      <c r="M1357" s="178" t="b">
        <v>1</v>
      </c>
      <c r="N1357" s="43" t="inlineStr">
        <is>
          <t>カタログ規格確認済み</t>
        </is>
      </c>
      <c r="O1357" s="222" t="n">
        <v>199</v>
      </c>
      <c r="P1357" s="222" t="n">
        <v>197</v>
      </c>
      <c r="Q1357" s="43" t="inlineStr">
        <is>
          <t>202604_LIXIL_サーモスＬ_業務用資料集_完成品価格表.pdf</t>
        </is>
      </c>
      <c r="R1357" s="43" t="n"/>
      <c r="S1357" s="42" t="inlineStr">
        <is>
          <t>★</t>
        </is>
      </c>
      <c r="T1357" s="42" t="n">
        <v>197</v>
      </c>
      <c r="U1357" s="42" t="inlineStr">
        <is>
          <t>P197|★</t>
        </is>
      </c>
      <c r="V1357" s="42" t="inlineStr">
        <is>
          <t>同頁凡例へ直接連動</t>
        </is>
      </c>
    </row>
    <row r="1358">
      <c r="A1358" s="43" t="inlineStr">
        <is>
          <t>SZ-SL-001355</t>
        </is>
      </c>
      <c r="B1358" s="43" t="inlineStr">
        <is>
          <t>SER-LIX-SAMOSL</t>
        </is>
      </c>
      <c r="C1358" s="43" t="inlineStr">
        <is>
          <t>WT-SL-KAZARI-HIKI</t>
        </is>
      </c>
      <c r="D1358" s="43" t="inlineStr">
        <is>
          <t>装飾引違い窓</t>
        </is>
      </c>
      <c r="E1358" s="43" t="inlineStr">
        <is>
          <t>SP-SL-KAZARI-H</t>
        </is>
      </c>
      <c r="F1358" s="43" t="inlineStr">
        <is>
          <t>在来</t>
        </is>
      </c>
      <c r="G1358" s="43" t="inlineStr">
        <is>
          <t>25622-2</t>
        </is>
      </c>
      <c r="H1358" s="43" t="inlineStr">
        <is>
          <t>256-2</t>
        </is>
      </c>
      <c r="I1358" s="43" t="inlineStr">
        <is>
          <t>22</t>
        </is>
      </c>
      <c r="J1358" s="222" t="n">
        <v>2600</v>
      </c>
      <c r="K1358" s="222" t="n">
        <v>2230</v>
      </c>
      <c r="L1358" s="43" t="inlineStr">
        <is>
          <t>在来｜H｜テラス</t>
        </is>
      </c>
      <c r="M1358" s="178" t="b">
        <v>1</v>
      </c>
      <c r="N1358" s="43" t="inlineStr">
        <is>
          <t>カタログ規格確認済み</t>
        </is>
      </c>
      <c r="O1358" s="222" t="n">
        <v>199</v>
      </c>
      <c r="P1358" s="222" t="n">
        <v>197</v>
      </c>
      <c r="Q1358" s="43" t="inlineStr">
        <is>
          <t>202604_LIXIL_サーモスＬ_業務用資料集_完成品価格表.pdf</t>
        </is>
      </c>
      <c r="R1358" s="43" t="n"/>
      <c r="S1358" s="42" t="inlineStr">
        <is>
          <t>○</t>
        </is>
      </c>
      <c r="T1358" s="42" t="n">
        <v>197</v>
      </c>
      <c r="U1358" s="42" t="inlineStr">
        <is>
          <t>P197|○</t>
        </is>
      </c>
      <c r="V1358" s="42" t="inlineStr">
        <is>
          <t>同頁凡例へ直接連動</t>
        </is>
      </c>
    </row>
    <row r="1359">
      <c r="A1359" s="43" t="inlineStr">
        <is>
          <t>SZ-SL-001356</t>
        </is>
      </c>
      <c r="B1359" s="43" t="inlineStr">
        <is>
          <t>SER-LIX-SAMOSL</t>
        </is>
      </c>
      <c r="C1359" s="43" t="inlineStr">
        <is>
          <t>WT-SL-KAZARI-HIKI</t>
        </is>
      </c>
      <c r="D1359" s="43" t="inlineStr">
        <is>
          <t>装飾引違い窓</t>
        </is>
      </c>
      <c r="E1359" s="43" t="inlineStr">
        <is>
          <t>SP-SL-KAZARI-H</t>
        </is>
      </c>
      <c r="F1359" s="43" t="inlineStr">
        <is>
          <t>在来</t>
        </is>
      </c>
      <c r="G1359" s="43" t="inlineStr">
        <is>
          <t>25622-4</t>
        </is>
      </c>
      <c r="H1359" s="43" t="inlineStr">
        <is>
          <t>256-4</t>
        </is>
      </c>
      <c r="I1359" s="43" t="inlineStr">
        <is>
          <t>22</t>
        </is>
      </c>
      <c r="J1359" s="222" t="n">
        <v>2600</v>
      </c>
      <c r="K1359" s="222" t="n">
        <v>2230</v>
      </c>
      <c r="L1359" s="43" t="inlineStr">
        <is>
          <t>在来｜H｜テラス</t>
        </is>
      </c>
      <c r="M1359" s="178" t="b">
        <v>1</v>
      </c>
      <c r="N1359" s="43" t="inlineStr">
        <is>
          <t>カタログ規格確認済み</t>
        </is>
      </c>
      <c r="O1359" s="222" t="n">
        <v>199</v>
      </c>
      <c r="P1359" s="222" t="n">
        <v>197</v>
      </c>
      <c r="Q1359" s="43" t="inlineStr">
        <is>
          <t>202604_LIXIL_サーモスＬ_業務用資料集_完成品価格表.pdf</t>
        </is>
      </c>
      <c r="R1359" s="43" t="n"/>
      <c r="S1359" s="42" t="inlineStr">
        <is>
          <t>★</t>
        </is>
      </c>
      <c r="T1359" s="42" t="n">
        <v>197</v>
      </c>
      <c r="U1359" s="42" t="inlineStr">
        <is>
          <t>P197|★</t>
        </is>
      </c>
      <c r="V1359" s="42" t="inlineStr">
        <is>
          <t>同頁凡例へ直接連動</t>
        </is>
      </c>
    </row>
    <row r="1360">
      <c r="A1360" s="43" t="inlineStr">
        <is>
          <t>SZ-SL-001357</t>
        </is>
      </c>
      <c r="B1360" s="43" t="inlineStr">
        <is>
          <t>SER-LIX-SAMOSL</t>
        </is>
      </c>
      <c r="C1360" s="43" t="inlineStr">
        <is>
          <t>WT-SL-KAZARI-HIKI</t>
        </is>
      </c>
      <c r="D1360" s="43" t="inlineStr">
        <is>
          <t>装飾引違い窓</t>
        </is>
      </c>
      <c r="E1360" s="43" t="inlineStr">
        <is>
          <t>SP-SL-KAZARI-H</t>
        </is>
      </c>
      <c r="F1360" s="43" t="inlineStr">
        <is>
          <t>在来</t>
        </is>
      </c>
      <c r="G1360" s="43" t="inlineStr">
        <is>
          <t>25624-2</t>
        </is>
      </c>
      <c r="H1360" s="43" t="inlineStr">
        <is>
          <t>256-2</t>
        </is>
      </c>
      <c r="I1360" s="43" t="inlineStr">
        <is>
          <t>24</t>
        </is>
      </c>
      <c r="J1360" s="222" t="n">
        <v>2600</v>
      </c>
      <c r="K1360" s="222" t="n">
        <v>2430</v>
      </c>
      <c r="L1360" s="43" t="inlineStr">
        <is>
          <t>在来｜H｜テラス</t>
        </is>
      </c>
      <c r="M1360" s="178" t="b">
        <v>1</v>
      </c>
      <c r="N1360" s="43" t="inlineStr">
        <is>
          <t>カタログ規格確認済み</t>
        </is>
      </c>
      <c r="O1360" s="222" t="n">
        <v>199</v>
      </c>
      <c r="P1360" s="222" t="n">
        <v>197</v>
      </c>
      <c r="Q1360" s="43" t="inlineStr">
        <is>
          <t>202604_LIXIL_サーモスＬ_業務用資料集_完成品価格表.pdf</t>
        </is>
      </c>
      <c r="R1360" s="43" t="n"/>
      <c r="S1360" s="42" t="inlineStr">
        <is>
          <t>△</t>
        </is>
      </c>
      <c r="T1360" s="42" t="n">
        <v>197</v>
      </c>
      <c r="U1360" s="42" t="inlineStr">
        <is>
          <t>P197|△</t>
        </is>
      </c>
      <c r="V1360" s="42" t="inlineStr">
        <is>
          <t>同頁凡例へ直接連動</t>
        </is>
      </c>
    </row>
    <row r="1361">
      <c r="A1361" s="43" t="inlineStr">
        <is>
          <t>SZ-SL-001358</t>
        </is>
      </c>
      <c r="B1361" s="43" t="inlineStr">
        <is>
          <t>SER-LIX-SAMOSL</t>
        </is>
      </c>
      <c r="C1361" s="43" t="inlineStr">
        <is>
          <t>WT-SL-KAZARI-HIKI</t>
        </is>
      </c>
      <c r="D1361" s="43" t="inlineStr">
        <is>
          <t>装飾引違い窓</t>
        </is>
      </c>
      <c r="E1361" s="43" t="inlineStr">
        <is>
          <t>SP-SL-KAZARI-H</t>
        </is>
      </c>
      <c r="F1361" s="43" t="inlineStr">
        <is>
          <t>在来</t>
        </is>
      </c>
      <c r="G1361" s="43" t="inlineStr">
        <is>
          <t>25624-4</t>
        </is>
      </c>
      <c r="H1361" s="43" t="inlineStr">
        <is>
          <t>256-4</t>
        </is>
      </c>
      <c r="I1361" s="43" t="inlineStr">
        <is>
          <t>24</t>
        </is>
      </c>
      <c r="J1361" s="222" t="n">
        <v>2600</v>
      </c>
      <c r="K1361" s="222" t="n">
        <v>2430</v>
      </c>
      <c r="L1361" s="43" t="inlineStr">
        <is>
          <t>在来｜H｜テラス</t>
        </is>
      </c>
      <c r="M1361" s="178" t="b">
        <v>1</v>
      </c>
      <c r="N1361" s="43" t="inlineStr">
        <is>
          <t>カタログ規格確認済み</t>
        </is>
      </c>
      <c r="O1361" s="222" t="n">
        <v>199</v>
      </c>
      <c r="P1361" s="222" t="n">
        <v>197</v>
      </c>
      <c r="Q1361" s="43" t="inlineStr">
        <is>
          <t>202604_LIXIL_サーモスＬ_業務用資料集_完成品価格表.pdf</t>
        </is>
      </c>
      <c r="R1361" s="43" t="n"/>
      <c r="S1361" s="42" t="inlineStr">
        <is>
          <t>★</t>
        </is>
      </c>
      <c r="T1361" s="42" t="n">
        <v>197</v>
      </c>
      <c r="U1361" s="42" t="inlineStr">
        <is>
          <t>P197|★</t>
        </is>
      </c>
      <c r="V1361" s="42" t="inlineStr">
        <is>
          <t>同頁凡例へ直接連動</t>
        </is>
      </c>
    </row>
    <row r="1362">
      <c r="A1362" s="43" t="inlineStr">
        <is>
          <t>SZ-SL-001359</t>
        </is>
      </c>
      <c r="B1362" s="43" t="inlineStr">
        <is>
          <t>SER-LIX-SAMOSL</t>
        </is>
      </c>
      <c r="C1362" s="43" t="inlineStr">
        <is>
          <t>WT-SL-KAZARI-HIKI</t>
        </is>
      </c>
      <c r="D1362" s="43" t="inlineStr">
        <is>
          <t>装飾引違い窓</t>
        </is>
      </c>
      <c r="E1362" s="43" t="inlineStr">
        <is>
          <t>SP-SL-KAZARI-H</t>
        </is>
      </c>
      <c r="F1362" s="43" t="inlineStr">
        <is>
          <t>204</t>
        </is>
      </c>
      <c r="G1362" s="43" t="inlineStr">
        <is>
          <t>16018</t>
        </is>
      </c>
      <c r="H1362" s="43" t="inlineStr">
        <is>
          <t>160</t>
        </is>
      </c>
      <c r="I1362" s="43" t="inlineStr">
        <is>
          <t>18</t>
        </is>
      </c>
      <c r="J1362" s="222" t="n">
        <v>1640</v>
      </c>
      <c r="K1362" s="222" t="n">
        <v>1830</v>
      </c>
      <c r="L1362" s="43" t="inlineStr">
        <is>
          <t>204｜H｜テラス</t>
        </is>
      </c>
      <c r="M1362" s="178" t="b">
        <v>1</v>
      </c>
      <c r="N1362" s="43" t="inlineStr">
        <is>
          <t>カタログ規格確認済み</t>
        </is>
      </c>
      <c r="O1362" s="222" t="n">
        <v>200</v>
      </c>
      <c r="P1362" s="222" t="n">
        <v>198</v>
      </c>
      <c r="Q1362" s="43" t="inlineStr">
        <is>
          <t>202604_LIXIL_サーモスＬ_業務用資料集_完成品価格表.pdf</t>
        </is>
      </c>
      <c r="R1362" s="43" t="n"/>
      <c r="S1362" s="42" t="inlineStr">
        <is>
          <t>無印</t>
        </is>
      </c>
      <c r="T1362" s="42" t="n">
        <v>198</v>
      </c>
      <c r="U1362" s="42" t="inlineStr">
        <is>
          <t>P198|無印</t>
        </is>
      </c>
      <c r="V1362" s="42" t="inlineStr">
        <is>
          <t>同頁凡例へ直接連動</t>
        </is>
      </c>
    </row>
    <row r="1363">
      <c r="A1363" s="43" t="inlineStr">
        <is>
          <t>SZ-SL-001360</t>
        </is>
      </c>
      <c r="B1363" s="43" t="inlineStr">
        <is>
          <t>SER-LIX-SAMOSL</t>
        </is>
      </c>
      <c r="C1363" s="43" t="inlineStr">
        <is>
          <t>WT-SL-KAZARI-HIKI</t>
        </is>
      </c>
      <c r="D1363" s="43" t="inlineStr">
        <is>
          <t>装飾引違い窓</t>
        </is>
      </c>
      <c r="E1363" s="43" t="inlineStr">
        <is>
          <t>SP-SL-KAZARI-H</t>
        </is>
      </c>
      <c r="F1363" s="43" t="inlineStr">
        <is>
          <t>204</t>
        </is>
      </c>
      <c r="G1363" s="43" t="inlineStr">
        <is>
          <t>16020</t>
        </is>
      </c>
      <c r="H1363" s="43" t="inlineStr">
        <is>
          <t>160</t>
        </is>
      </c>
      <c r="I1363" s="43" t="inlineStr">
        <is>
          <t>20</t>
        </is>
      </c>
      <c r="J1363" s="222" t="n">
        <v>1640</v>
      </c>
      <c r="K1363" s="222" t="n">
        <v>2030</v>
      </c>
      <c r="L1363" s="43" t="inlineStr">
        <is>
          <t>204｜H｜テラス</t>
        </is>
      </c>
      <c r="M1363" s="178" t="b">
        <v>1</v>
      </c>
      <c r="N1363" s="43" t="inlineStr">
        <is>
          <t>カタログ規格確認済み</t>
        </is>
      </c>
      <c r="O1363" s="222" t="n">
        <v>200</v>
      </c>
      <c r="P1363" s="222" t="n">
        <v>198</v>
      </c>
      <c r="Q1363" s="43" t="inlineStr">
        <is>
          <t>202604_LIXIL_サーモスＬ_業務用資料集_完成品価格表.pdf</t>
        </is>
      </c>
      <c r="R1363" s="43" t="n"/>
      <c r="S1363" s="42" t="inlineStr">
        <is>
          <t>○</t>
        </is>
      </c>
      <c r="T1363" s="42" t="n">
        <v>198</v>
      </c>
      <c r="U1363" s="42" t="inlineStr">
        <is>
          <t>P198|○</t>
        </is>
      </c>
      <c r="V1363" s="42" t="inlineStr">
        <is>
          <t>同頁凡例へ直接連動</t>
        </is>
      </c>
    </row>
    <row r="1364">
      <c r="A1364" s="43" t="inlineStr">
        <is>
          <t>SZ-SL-001361</t>
        </is>
      </c>
      <c r="B1364" s="43" t="inlineStr">
        <is>
          <t>SER-LIX-SAMOSL</t>
        </is>
      </c>
      <c r="C1364" s="43" t="inlineStr">
        <is>
          <t>WT-SL-KAZARI-HIKI</t>
        </is>
      </c>
      <c r="D1364" s="43" t="inlineStr">
        <is>
          <t>装飾引違い窓</t>
        </is>
      </c>
      <c r="E1364" s="43" t="inlineStr">
        <is>
          <t>SP-SL-KAZARI-H</t>
        </is>
      </c>
      <c r="F1364" s="43" t="inlineStr">
        <is>
          <t>204</t>
        </is>
      </c>
      <c r="G1364" s="43" t="inlineStr">
        <is>
          <t>16022</t>
        </is>
      </c>
      <c r="H1364" s="43" t="inlineStr">
        <is>
          <t>160</t>
        </is>
      </c>
      <c r="I1364" s="43" t="inlineStr">
        <is>
          <t>22</t>
        </is>
      </c>
      <c r="J1364" s="222" t="n">
        <v>1640</v>
      </c>
      <c r="K1364" s="222" t="n">
        <v>2230</v>
      </c>
      <c r="L1364" s="43" t="inlineStr">
        <is>
          <t>204｜H｜テラス</t>
        </is>
      </c>
      <c r="M1364" s="178" t="b">
        <v>1</v>
      </c>
      <c r="N1364" s="43" t="inlineStr">
        <is>
          <t>カタログ規格確認済み</t>
        </is>
      </c>
      <c r="O1364" s="222" t="n">
        <v>201</v>
      </c>
      <c r="P1364" s="222" t="n">
        <v>199</v>
      </c>
      <c r="Q1364" s="43" t="inlineStr">
        <is>
          <t>202604_LIXIL_サーモスＬ_業務用資料集_完成品価格表.pdf</t>
        </is>
      </c>
      <c r="R1364" s="43" t="n"/>
      <c r="S1364" s="42" t="inlineStr">
        <is>
          <t>★</t>
        </is>
      </c>
      <c r="T1364" s="42" t="n">
        <v>199</v>
      </c>
      <c r="U1364" s="42" t="inlineStr">
        <is>
          <t>P199|★</t>
        </is>
      </c>
      <c r="V1364" s="42" t="inlineStr">
        <is>
          <t>同頁凡例へ直接連動</t>
        </is>
      </c>
    </row>
    <row r="1365">
      <c r="A1365" s="43" t="inlineStr">
        <is>
          <t>SZ-SL-001362</t>
        </is>
      </c>
      <c r="B1365" s="43" t="inlineStr">
        <is>
          <t>SER-LIX-SAMOSL</t>
        </is>
      </c>
      <c r="C1365" s="43" t="inlineStr">
        <is>
          <t>WT-SL-KAZARI-HIKI</t>
        </is>
      </c>
      <c r="D1365" s="43" t="inlineStr">
        <is>
          <t>装飾引違い窓</t>
        </is>
      </c>
      <c r="E1365" s="43" t="inlineStr">
        <is>
          <t>SP-SL-KAZARI-H</t>
        </is>
      </c>
      <c r="F1365" s="43" t="inlineStr">
        <is>
          <t>204</t>
        </is>
      </c>
      <c r="G1365" s="43" t="inlineStr">
        <is>
          <t>16024</t>
        </is>
      </c>
      <c r="H1365" s="43" t="inlineStr">
        <is>
          <t>160</t>
        </is>
      </c>
      <c r="I1365" s="43" t="inlineStr">
        <is>
          <t>24</t>
        </is>
      </c>
      <c r="J1365" s="222" t="n">
        <v>1640</v>
      </c>
      <c r="K1365" s="222" t="n">
        <v>2430</v>
      </c>
      <c r="L1365" s="43" t="inlineStr">
        <is>
          <t>204｜H｜テラス</t>
        </is>
      </c>
      <c r="M1365" s="178" t="b">
        <v>1</v>
      </c>
      <c r="N1365" s="43" t="inlineStr">
        <is>
          <t>カタログ規格確認済み</t>
        </is>
      </c>
      <c r="O1365" s="222" t="n">
        <v>201</v>
      </c>
      <c r="P1365" s="222" t="n">
        <v>199</v>
      </c>
      <c r="Q1365" s="43" t="inlineStr">
        <is>
          <t>202604_LIXIL_サーモスＬ_業務用資料集_完成品価格表.pdf</t>
        </is>
      </c>
      <c r="R1365" s="43" t="n"/>
      <c r="S1365" s="42" t="inlineStr">
        <is>
          <t>★</t>
        </is>
      </c>
      <c r="T1365" s="42" t="n">
        <v>199</v>
      </c>
      <c r="U1365" s="42" t="inlineStr">
        <is>
          <t>P199|★</t>
        </is>
      </c>
      <c r="V1365" s="42" t="inlineStr">
        <is>
          <t>同頁凡例へ直接連動</t>
        </is>
      </c>
    </row>
    <row r="1366">
      <c r="A1366" s="43" t="inlineStr">
        <is>
          <t>SZ-SL-001363</t>
        </is>
      </c>
      <c r="B1366" s="43" t="inlineStr">
        <is>
          <t>SER-LIX-SAMOSL</t>
        </is>
      </c>
      <c r="C1366" s="43" t="inlineStr">
        <is>
          <t>WT-SL-KAZARI-HIKI</t>
        </is>
      </c>
      <c r="D1366" s="43" t="inlineStr">
        <is>
          <t>装飾引違い窓</t>
        </is>
      </c>
      <c r="E1366" s="43" t="inlineStr">
        <is>
          <t>SP-SL-KAZARI-HK</t>
        </is>
      </c>
      <c r="F1366" s="43" t="inlineStr">
        <is>
          <t>在来</t>
        </is>
      </c>
      <c r="G1366" s="43" t="inlineStr">
        <is>
          <t>25618</t>
        </is>
      </c>
      <c r="H1366" s="43" t="inlineStr">
        <is>
          <t>256</t>
        </is>
      </c>
      <c r="I1366" s="43" t="inlineStr">
        <is>
          <t>18</t>
        </is>
      </c>
      <c r="J1366" s="222" t="n">
        <v>2600</v>
      </c>
      <c r="K1366" s="222" t="n">
        <v>1830</v>
      </c>
      <c r="L1366" s="43" t="inlineStr">
        <is>
          <t>在来｜HK｜テラス</t>
        </is>
      </c>
      <c r="M1366" s="178" t="b">
        <v>1</v>
      </c>
      <c r="N1366" s="43" t="inlineStr">
        <is>
          <t>カタログ規格確認済み</t>
        </is>
      </c>
      <c r="O1366" s="222" t="n">
        <v>204</v>
      </c>
      <c r="P1366" s="222" t="n">
        <v>202</v>
      </c>
      <c r="Q1366" s="43" t="inlineStr">
        <is>
          <t>202604_LIXIL_サーモスＬ_業務用資料集_完成品価格表.pdf</t>
        </is>
      </c>
      <c r="R1366" s="43" t="n"/>
      <c r="S1366" s="42" t="inlineStr">
        <is>
          <t>無印</t>
        </is>
      </c>
      <c r="T1366" s="42" t="n">
        <v>202</v>
      </c>
      <c r="U1366" s="42" t="inlineStr">
        <is>
          <t>P202|無印</t>
        </is>
      </c>
      <c r="V1366" s="42" t="inlineStr">
        <is>
          <t>同頁凡例へ直接連動</t>
        </is>
      </c>
    </row>
    <row r="1367">
      <c r="A1367" s="43" t="inlineStr">
        <is>
          <t>SZ-SL-001364</t>
        </is>
      </c>
      <c r="B1367" s="43" t="inlineStr">
        <is>
          <t>SER-LIX-SAMOSL</t>
        </is>
      </c>
      <c r="C1367" s="43" t="inlineStr">
        <is>
          <t>WT-SL-KAZARI-HIKI</t>
        </is>
      </c>
      <c r="D1367" s="43" t="inlineStr">
        <is>
          <t>装飾引違い窓</t>
        </is>
      </c>
      <c r="E1367" s="43" t="inlineStr">
        <is>
          <t>SP-SL-KAZARI-HK</t>
        </is>
      </c>
      <c r="F1367" s="43" t="inlineStr">
        <is>
          <t>在来</t>
        </is>
      </c>
      <c r="G1367" s="43" t="inlineStr">
        <is>
          <t>25620</t>
        </is>
      </c>
      <c r="H1367" s="43" t="inlineStr">
        <is>
          <t>256</t>
        </is>
      </c>
      <c r="I1367" s="43" t="inlineStr">
        <is>
          <t>20</t>
        </is>
      </c>
      <c r="J1367" s="222" t="n">
        <v>2600</v>
      </c>
      <c r="K1367" s="222" t="n">
        <v>2030</v>
      </c>
      <c r="L1367" s="43" t="inlineStr">
        <is>
          <t>在来｜HK｜テラス</t>
        </is>
      </c>
      <c r="M1367" s="178" t="b">
        <v>1</v>
      </c>
      <c r="N1367" s="43" t="inlineStr">
        <is>
          <t>カタログ規格確認済み</t>
        </is>
      </c>
      <c r="O1367" s="222" t="n">
        <v>204</v>
      </c>
      <c r="P1367" s="222" t="n">
        <v>202</v>
      </c>
      <c r="Q1367" s="43" t="inlineStr">
        <is>
          <t>202604_LIXIL_サーモスＬ_業務用資料集_完成品価格表.pdf</t>
        </is>
      </c>
      <c r="R1367" s="43" t="n"/>
      <c r="S1367" s="42" t="inlineStr">
        <is>
          <t>★</t>
        </is>
      </c>
      <c r="T1367" s="42" t="n">
        <v>202</v>
      </c>
      <c r="U1367" s="42" t="inlineStr">
        <is>
          <t>P202|★</t>
        </is>
      </c>
      <c r="V1367" s="42" t="inlineStr">
        <is>
          <t>同頁凡例へ直接連動</t>
        </is>
      </c>
    </row>
    <row r="1368">
      <c r="A1368" s="43" t="inlineStr">
        <is>
          <t>SZ-SL-001365</t>
        </is>
      </c>
      <c r="B1368" s="43" t="inlineStr">
        <is>
          <t>SER-LIX-SAMOSL</t>
        </is>
      </c>
      <c r="C1368" s="43" t="inlineStr">
        <is>
          <t>WT-SL-KAZARI-HIKI</t>
        </is>
      </c>
      <c r="D1368" s="43" t="inlineStr">
        <is>
          <t>装飾引違い窓</t>
        </is>
      </c>
      <c r="E1368" s="43" t="inlineStr">
        <is>
          <t>SP-SL-KAZARI-HK</t>
        </is>
      </c>
      <c r="F1368" s="43" t="inlineStr">
        <is>
          <t>在来</t>
        </is>
      </c>
      <c r="G1368" s="43" t="inlineStr">
        <is>
          <t>25622</t>
        </is>
      </c>
      <c r="H1368" s="43" t="inlineStr">
        <is>
          <t>256</t>
        </is>
      </c>
      <c r="I1368" s="43" t="inlineStr">
        <is>
          <t>22</t>
        </is>
      </c>
      <c r="J1368" s="222" t="n">
        <v>2600</v>
      </c>
      <c r="K1368" s="222" t="n">
        <v>2230</v>
      </c>
      <c r="L1368" s="43" t="inlineStr">
        <is>
          <t>在来｜HK｜テラス</t>
        </is>
      </c>
      <c r="M1368" s="178" t="b">
        <v>1</v>
      </c>
      <c r="N1368" s="43" t="inlineStr">
        <is>
          <t>カタログ規格確認済み</t>
        </is>
      </c>
      <c r="O1368" s="222" t="n">
        <v>204</v>
      </c>
      <c r="P1368" s="222" t="n">
        <v>202</v>
      </c>
      <c r="Q1368" s="43" t="inlineStr">
        <is>
          <t>202604_LIXIL_サーモスＬ_業務用資料集_完成品価格表.pdf</t>
        </is>
      </c>
      <c r="R1368" s="43" t="n"/>
      <c r="S1368" s="42" t="inlineStr">
        <is>
          <t>○</t>
        </is>
      </c>
      <c r="T1368" s="42" t="n">
        <v>202</v>
      </c>
      <c r="U1368" s="42" t="inlineStr">
        <is>
          <t>P202|○</t>
        </is>
      </c>
      <c r="V1368" s="42" t="inlineStr">
        <is>
          <t>同頁凡例へ直接連動</t>
        </is>
      </c>
    </row>
    <row r="1369">
      <c r="A1369" s="43" t="inlineStr">
        <is>
          <t>SZ-SL-001366</t>
        </is>
      </c>
      <c r="B1369" s="43" t="inlineStr">
        <is>
          <t>SER-LIX-SAMOSL</t>
        </is>
      </c>
      <c r="C1369" s="43" t="inlineStr">
        <is>
          <t>WT-SL-KAZARI-HIKI</t>
        </is>
      </c>
      <c r="D1369" s="43" t="inlineStr">
        <is>
          <t>装飾引違い窓</t>
        </is>
      </c>
      <c r="E1369" s="43" t="inlineStr">
        <is>
          <t>SP-SL-KAZARI-HK</t>
        </is>
      </c>
      <c r="F1369" s="43" t="inlineStr">
        <is>
          <t>在来</t>
        </is>
      </c>
      <c r="G1369" s="43" t="inlineStr">
        <is>
          <t>25624</t>
        </is>
      </c>
      <c r="H1369" s="43" t="inlineStr">
        <is>
          <t>256</t>
        </is>
      </c>
      <c r="I1369" s="43" t="inlineStr">
        <is>
          <t>24</t>
        </is>
      </c>
      <c r="J1369" s="222" t="n">
        <v>2600</v>
      </c>
      <c r="K1369" s="222" t="n">
        <v>2430</v>
      </c>
      <c r="L1369" s="43" t="inlineStr">
        <is>
          <t>在来｜HK｜テラス</t>
        </is>
      </c>
      <c r="M1369" s="178" t="b">
        <v>1</v>
      </c>
      <c r="N1369" s="43" t="inlineStr">
        <is>
          <t>カタログ規格確認済み</t>
        </is>
      </c>
      <c r="O1369" s="222" t="n">
        <v>204</v>
      </c>
      <c r="P1369" s="222" t="n">
        <v>202</v>
      </c>
      <c r="Q1369" s="43" t="inlineStr">
        <is>
          <t>202604_LIXIL_サーモスＬ_業務用資料集_完成品価格表.pdf</t>
        </is>
      </c>
      <c r="R1369" s="43" t="n"/>
      <c r="S1369" s="42" t="inlineStr">
        <is>
          <t>△</t>
        </is>
      </c>
      <c r="T1369" s="42" t="n">
        <v>202</v>
      </c>
      <c r="U1369" s="42" t="inlineStr">
        <is>
          <t>P202|△</t>
        </is>
      </c>
      <c r="V1369" s="42" t="inlineStr">
        <is>
          <t>同頁凡例へ直接連動</t>
        </is>
      </c>
    </row>
    <row r="1370">
      <c r="A1370" s="43" t="inlineStr">
        <is>
          <t>SZ-SL-001367</t>
        </is>
      </c>
      <c r="B1370" s="43" t="inlineStr">
        <is>
          <t>SER-LIX-SAMOSL</t>
        </is>
      </c>
      <c r="C1370" s="43" t="inlineStr">
        <is>
          <t>WT-SL-KAZARI-HIKI</t>
        </is>
      </c>
      <c r="D1370" s="43" t="inlineStr">
        <is>
          <t>装飾引違い窓</t>
        </is>
      </c>
      <c r="E1370" s="43" t="inlineStr">
        <is>
          <t>SP-SL-KAZARI-HKK</t>
        </is>
      </c>
      <c r="F1370" s="43" t="inlineStr">
        <is>
          <t>在来・204</t>
        </is>
      </c>
      <c r="G1370" s="43" t="inlineStr">
        <is>
          <t>25609</t>
        </is>
      </c>
      <c r="H1370" s="43" t="inlineStr">
        <is>
          <t>256</t>
        </is>
      </c>
      <c r="I1370" s="43" t="inlineStr">
        <is>
          <t>09</t>
        </is>
      </c>
      <c r="J1370" s="222" t="n">
        <v>2600</v>
      </c>
      <c r="K1370" s="222" t="n">
        <v>970</v>
      </c>
      <c r="L1370" s="43" t="inlineStr">
        <is>
          <t>在来・204｜HKK｜マド</t>
        </is>
      </c>
      <c r="M1370" s="178" t="b">
        <v>1</v>
      </c>
      <c r="N1370" s="43" t="inlineStr">
        <is>
          <t>カタログ規格確認済み</t>
        </is>
      </c>
      <c r="O1370" s="222" t="n">
        <v>206</v>
      </c>
      <c r="P1370" s="222" t="n">
        <v>204</v>
      </c>
      <c r="Q1370" s="43" t="inlineStr">
        <is>
          <t>202604_LIXIL_サーモスＬ_業務用資料集_完成品価格表.pdf</t>
        </is>
      </c>
      <c r="R1370" s="43" t="n"/>
      <c r="S1370" s="42" t="inlineStr">
        <is>
          <t>○</t>
        </is>
      </c>
      <c r="T1370" s="42" t="n">
        <v>204</v>
      </c>
      <c r="U1370" s="42" t="inlineStr">
        <is>
          <t>P204|○</t>
        </is>
      </c>
      <c r="V1370" s="42" t="inlineStr">
        <is>
          <t>同頁凡例へ直接連動</t>
        </is>
      </c>
    </row>
    <row r="1371">
      <c r="A1371" s="43" t="inlineStr">
        <is>
          <t>SZ-SL-001368</t>
        </is>
      </c>
      <c r="B1371" s="43" t="inlineStr">
        <is>
          <t>SER-LIX-SAMOSL</t>
        </is>
      </c>
      <c r="C1371" s="43" t="inlineStr">
        <is>
          <t>WT-SL-KAZARI-HIKI</t>
        </is>
      </c>
      <c r="D1371" s="43" t="inlineStr">
        <is>
          <t>装飾引違い窓</t>
        </is>
      </c>
      <c r="E1371" s="43" t="inlineStr">
        <is>
          <t>SP-SL-KAZARI-HKK</t>
        </is>
      </c>
      <c r="F1371" s="43" t="inlineStr">
        <is>
          <t>在来・204</t>
        </is>
      </c>
      <c r="G1371" s="43" t="inlineStr">
        <is>
          <t>25611</t>
        </is>
      </c>
      <c r="H1371" s="43" t="inlineStr">
        <is>
          <t>256</t>
        </is>
      </c>
      <c r="I1371" s="43" t="inlineStr">
        <is>
          <t>11</t>
        </is>
      </c>
      <c r="J1371" s="222" t="n">
        <v>2600</v>
      </c>
      <c r="K1371" s="222" t="n">
        <v>1170</v>
      </c>
      <c r="L1371" s="43" t="inlineStr">
        <is>
          <t>在来・204｜HKK｜マド</t>
        </is>
      </c>
      <c r="M1371" s="178" t="b">
        <v>1</v>
      </c>
      <c r="N1371" s="43" t="inlineStr">
        <is>
          <t>カタログ規格確認済み</t>
        </is>
      </c>
      <c r="O1371" s="222" t="n">
        <v>206</v>
      </c>
      <c r="P1371" s="222" t="n">
        <v>204</v>
      </c>
      <c r="Q1371" s="43" t="inlineStr">
        <is>
          <t>202604_LIXIL_サーモスＬ_業務用資料集_完成品価格表.pdf</t>
        </is>
      </c>
      <c r="R1371" s="43" t="n"/>
      <c r="S1371" s="42" t="inlineStr">
        <is>
          <t>☆</t>
        </is>
      </c>
      <c r="T1371" s="42" t="n">
        <v>204</v>
      </c>
      <c r="U1371" s="42" t="inlineStr">
        <is>
          <t>P204|☆</t>
        </is>
      </c>
      <c r="V1371" s="42" t="inlineStr">
        <is>
          <t>同頁凡例へ直接連動</t>
        </is>
      </c>
    </row>
    <row r="1372">
      <c r="A1372" s="43" t="inlineStr">
        <is>
          <t>SZ-SL-001369</t>
        </is>
      </c>
      <c r="B1372" s="43" t="inlineStr">
        <is>
          <t>SER-LIX-SAMOSL</t>
        </is>
      </c>
      <c r="C1372" s="43" t="inlineStr">
        <is>
          <t>WT-SL-KAZARI-HIKI</t>
        </is>
      </c>
      <c r="D1372" s="43" t="inlineStr">
        <is>
          <t>装飾引違い窓</t>
        </is>
      </c>
      <c r="E1372" s="43" t="inlineStr">
        <is>
          <t>SP-SL-KAZARI-HKK</t>
        </is>
      </c>
      <c r="F1372" s="43" t="inlineStr">
        <is>
          <t>在来・204</t>
        </is>
      </c>
      <c r="G1372" s="43" t="inlineStr">
        <is>
          <t>25613</t>
        </is>
      </c>
      <c r="H1372" s="43" t="inlineStr">
        <is>
          <t>256</t>
        </is>
      </c>
      <c r="I1372" s="43" t="inlineStr">
        <is>
          <t>13</t>
        </is>
      </c>
      <c r="J1372" s="222" t="n">
        <v>2600</v>
      </c>
      <c r="K1372" s="222" t="n">
        <v>1370</v>
      </c>
      <c r="L1372" s="43" t="inlineStr">
        <is>
          <t>在来・204｜HKK｜マド</t>
        </is>
      </c>
      <c r="M1372" s="178" t="b">
        <v>1</v>
      </c>
      <c r="N1372" s="43" t="inlineStr">
        <is>
          <t>カタログ規格確認済み</t>
        </is>
      </c>
      <c r="O1372" s="222" t="n">
        <v>206</v>
      </c>
      <c r="P1372" s="222" t="n">
        <v>204</v>
      </c>
      <c r="Q1372" s="43" t="inlineStr">
        <is>
          <t>202604_LIXIL_サーモスＬ_業務用資料集_完成品価格表.pdf</t>
        </is>
      </c>
      <c r="R1372" s="43" t="n"/>
      <c r="S1372" s="42" t="inlineStr">
        <is>
          <t>●</t>
        </is>
      </c>
      <c r="T1372" s="42" t="n">
        <v>204</v>
      </c>
      <c r="U1372" s="42" t="inlineStr">
        <is>
          <t>P204|●</t>
        </is>
      </c>
      <c r="V1372" s="42" t="inlineStr">
        <is>
          <t>同頁凡例へ直接連動</t>
        </is>
      </c>
    </row>
    <row r="1373">
      <c r="A1373" s="43" t="inlineStr">
        <is>
          <t>SZ-SL-001370</t>
        </is>
      </c>
      <c r="B1373" s="43" t="inlineStr">
        <is>
          <t>SER-LIX-SAMOSL</t>
        </is>
      </c>
      <c r="C1373" s="43" t="inlineStr">
        <is>
          <t>WT-SL-KAZARI-HIKI</t>
        </is>
      </c>
      <c r="D1373" s="43" t="inlineStr">
        <is>
          <t>装飾引違い窓</t>
        </is>
      </c>
      <c r="E1373" s="43" t="inlineStr">
        <is>
          <t>SP-SL-KAZARI-HKK</t>
        </is>
      </c>
      <c r="F1373" s="43" t="inlineStr">
        <is>
          <t>在来</t>
        </is>
      </c>
      <c r="G1373" s="43" t="inlineStr">
        <is>
          <t>34718</t>
        </is>
      </c>
      <c r="H1373" s="43" t="inlineStr">
        <is>
          <t>347</t>
        </is>
      </c>
      <c r="I1373" s="43" t="inlineStr">
        <is>
          <t>18</t>
        </is>
      </c>
      <c r="J1373" s="222" t="n">
        <v>3510</v>
      </c>
      <c r="K1373" s="222" t="n">
        <v>1830</v>
      </c>
      <c r="L1373" s="43" t="inlineStr">
        <is>
          <t>在来｜HKK｜テラス</t>
        </is>
      </c>
      <c r="M1373" s="178" t="b">
        <v>1</v>
      </c>
      <c r="N1373" s="43" t="inlineStr">
        <is>
          <t>カタログ規格確認済み</t>
        </is>
      </c>
      <c r="O1373" s="222" t="n">
        <v>207</v>
      </c>
      <c r="P1373" s="222" t="n">
        <v>205</v>
      </c>
      <c r="Q1373" s="43" t="inlineStr">
        <is>
          <t>202604_LIXIL_サーモスＬ_業務用資料集_完成品価格表.pdf</t>
        </is>
      </c>
      <c r="R1373" s="43" t="n"/>
      <c r="S1373" s="42" t="inlineStr">
        <is>
          <t>●</t>
        </is>
      </c>
      <c r="T1373" s="42" t="n">
        <v>205</v>
      </c>
      <c r="U1373" s="42" t="inlineStr">
        <is>
          <t>P205|●</t>
        </is>
      </c>
      <c r="V1373" s="42" t="inlineStr">
        <is>
          <t>同頁凡例へ直接連動</t>
        </is>
      </c>
    </row>
    <row r="1374">
      <c r="A1374" s="43" t="inlineStr">
        <is>
          <t>SZ-SL-001371</t>
        </is>
      </c>
      <c r="B1374" s="43" t="inlineStr">
        <is>
          <t>SER-LIX-SAMOSL</t>
        </is>
      </c>
      <c r="C1374" s="43" t="inlineStr">
        <is>
          <t>WT-SL-KAZARI-HIKI</t>
        </is>
      </c>
      <c r="D1374" s="43" t="inlineStr">
        <is>
          <t>装飾引違い窓</t>
        </is>
      </c>
      <c r="E1374" s="43" t="inlineStr">
        <is>
          <t>SP-SL-KAZARI-HKK</t>
        </is>
      </c>
      <c r="F1374" s="43" t="inlineStr">
        <is>
          <t>在来</t>
        </is>
      </c>
      <c r="G1374" s="43" t="inlineStr">
        <is>
          <t>34720</t>
        </is>
      </c>
      <c r="H1374" s="43" t="inlineStr">
        <is>
          <t>347</t>
        </is>
      </c>
      <c r="I1374" s="43" t="inlineStr">
        <is>
          <t>20</t>
        </is>
      </c>
      <c r="J1374" s="222" t="n">
        <v>3510</v>
      </c>
      <c r="K1374" s="222" t="n">
        <v>2030</v>
      </c>
      <c r="L1374" s="43" t="inlineStr">
        <is>
          <t>在来｜HKK｜テラス</t>
        </is>
      </c>
      <c r="M1374" s="178" t="b">
        <v>1</v>
      </c>
      <c r="N1374" s="43" t="inlineStr">
        <is>
          <t>カタログ規格確認済み</t>
        </is>
      </c>
      <c r="O1374" s="222" t="n">
        <v>207</v>
      </c>
      <c r="P1374" s="222" t="n">
        <v>205</v>
      </c>
      <c r="Q1374" s="43" t="inlineStr">
        <is>
          <t>202604_LIXIL_サーモスＬ_業務用資料集_完成品価格表.pdf</t>
        </is>
      </c>
      <c r="R1374" s="43" t="n"/>
      <c r="S1374" s="42" t="inlineStr">
        <is>
          <t>○</t>
        </is>
      </c>
      <c r="T1374" s="42" t="n">
        <v>205</v>
      </c>
      <c r="U1374" s="42" t="inlineStr">
        <is>
          <t>P205|○</t>
        </is>
      </c>
      <c r="V1374" s="42" t="inlineStr">
        <is>
          <t>同頁凡例へ直接連動</t>
        </is>
      </c>
    </row>
    <row r="1375">
      <c r="A1375" s="43" t="inlineStr">
        <is>
          <t>SZ-SL-001372</t>
        </is>
      </c>
      <c r="B1375" s="43" t="inlineStr">
        <is>
          <t>SER-LIX-SAMOSL</t>
        </is>
      </c>
      <c r="C1375" s="43" t="inlineStr">
        <is>
          <t>WT-SL-TERRACE-DOOR</t>
        </is>
      </c>
      <c r="D1375" s="43" t="inlineStr">
        <is>
          <t>テラスドア</t>
        </is>
      </c>
      <c r="E1375" s="43" t="inlineStr">
        <is>
          <t>*</t>
        </is>
      </c>
      <c r="F1375" s="43" t="inlineStr">
        <is>
          <t>在来</t>
        </is>
      </c>
      <c r="G1375" s="43" t="inlineStr">
        <is>
          <t>06018</t>
        </is>
      </c>
      <c r="H1375" s="43" t="inlineStr">
        <is>
          <t>060</t>
        </is>
      </c>
      <c r="I1375" s="43" t="inlineStr">
        <is>
          <t>18</t>
        </is>
      </c>
      <c r="J1375" s="222" t="n">
        <v>640</v>
      </c>
      <c r="K1375" s="222" t="n">
        <v>1830</v>
      </c>
      <c r="L1375" s="43" t="inlineStr">
        <is>
          <t>在来</t>
        </is>
      </c>
      <c r="M1375" s="178" t="b">
        <v>1</v>
      </c>
      <c r="N1375" s="43" t="inlineStr">
        <is>
          <t>サイズ共通</t>
        </is>
      </c>
      <c r="O1375" s="222" t="n">
        <v>208</v>
      </c>
      <c r="P1375" s="222" t="n">
        <v>206</v>
      </c>
      <c r="Q1375" s="43" t="inlineStr">
        <is>
          <t>202604_LIXIL_サーモスＬ_業務用資料集_完成品価格表.pdf</t>
        </is>
      </c>
      <c r="R1375" s="43" t="inlineStr">
        <is>
          <t>固有仕様ID='*'：サイズは当該窓種の固有仕様間で共通扱い。個別部材の設定可否は関係表で制御。</t>
        </is>
      </c>
      <c r="S1375" s="42" t="inlineStr">
        <is>
          <t>無印</t>
        </is>
      </c>
      <c r="T1375" s="42" t="n">
        <v>206</v>
      </c>
      <c r="U1375" s="42" t="inlineStr">
        <is>
          <t>P206|無印</t>
        </is>
      </c>
      <c r="V1375" s="42" t="inlineStr">
        <is>
          <t>同頁凡例へ直接連動</t>
        </is>
      </c>
    </row>
    <row r="1376">
      <c r="A1376" s="43" t="inlineStr">
        <is>
          <t>SZ-SL-001373</t>
        </is>
      </c>
      <c r="B1376" s="43" t="inlineStr">
        <is>
          <t>SER-LIX-SAMOSL</t>
        </is>
      </c>
      <c r="C1376" s="43" t="inlineStr">
        <is>
          <t>WT-SL-TERRACE-DOOR</t>
        </is>
      </c>
      <c r="D1376" s="43" t="inlineStr">
        <is>
          <t>テラスドア</t>
        </is>
      </c>
      <c r="E1376" s="43" t="inlineStr">
        <is>
          <t>*</t>
        </is>
      </c>
      <c r="F1376" s="43" t="inlineStr">
        <is>
          <t>在来</t>
        </is>
      </c>
      <c r="G1376" s="43" t="inlineStr">
        <is>
          <t>06020</t>
        </is>
      </c>
      <c r="H1376" s="43" t="inlineStr">
        <is>
          <t>060</t>
        </is>
      </c>
      <c r="I1376" s="43" t="inlineStr">
        <is>
          <t>20</t>
        </is>
      </c>
      <c r="J1376" s="222" t="n">
        <v>640</v>
      </c>
      <c r="K1376" s="222" t="n">
        <v>2030</v>
      </c>
      <c r="L1376" s="43" t="inlineStr">
        <is>
          <t>在来</t>
        </is>
      </c>
      <c r="M1376" s="178" t="b">
        <v>1</v>
      </c>
      <c r="N1376" s="43" t="inlineStr">
        <is>
          <t>サイズ共通</t>
        </is>
      </c>
      <c r="O1376" s="222" t="n">
        <v>208</v>
      </c>
      <c r="P1376" s="222" t="n">
        <v>206</v>
      </c>
      <c r="Q1376" s="43" t="inlineStr">
        <is>
          <t>202604_LIXIL_サーモスＬ_業務用資料集_完成品価格表.pdf</t>
        </is>
      </c>
      <c r="R1376" s="43" t="inlineStr">
        <is>
          <t>固有仕様ID='*'：サイズは当該窓種の固有仕様間で共通扱い。個別部材の設定可否は関係表で制御。</t>
        </is>
      </c>
      <c r="S1376" s="42" t="inlineStr">
        <is>
          <t>★</t>
        </is>
      </c>
      <c r="T1376" s="42" t="n">
        <v>206</v>
      </c>
      <c r="U1376" s="42" t="inlineStr">
        <is>
          <t>P206|★</t>
        </is>
      </c>
      <c r="V1376" s="42" t="inlineStr">
        <is>
          <t>同頁凡例へ直接連動</t>
        </is>
      </c>
    </row>
    <row r="1377">
      <c r="A1377" s="43" t="inlineStr">
        <is>
          <t>SZ-SL-001374</t>
        </is>
      </c>
      <c r="B1377" s="43" t="inlineStr">
        <is>
          <t>SER-LIX-SAMOSL</t>
        </is>
      </c>
      <c r="C1377" s="43" t="inlineStr">
        <is>
          <t>WT-SL-TERRACE-DOOR</t>
        </is>
      </c>
      <c r="D1377" s="43" t="inlineStr">
        <is>
          <t>テラスドア</t>
        </is>
      </c>
      <c r="E1377" s="43" t="inlineStr">
        <is>
          <t>*</t>
        </is>
      </c>
      <c r="F1377" s="43" t="inlineStr">
        <is>
          <t>在来</t>
        </is>
      </c>
      <c r="G1377" s="43" t="inlineStr">
        <is>
          <t>06022</t>
        </is>
      </c>
      <c r="H1377" s="43" t="inlineStr">
        <is>
          <t>060</t>
        </is>
      </c>
      <c r="I1377" s="43" t="inlineStr">
        <is>
          <t>22</t>
        </is>
      </c>
      <c r="J1377" s="222" t="n">
        <v>640</v>
      </c>
      <c r="K1377" s="222" t="n">
        <v>2230</v>
      </c>
      <c r="L1377" s="43" t="inlineStr">
        <is>
          <t>在来</t>
        </is>
      </c>
      <c r="M1377" s="178" t="b">
        <v>1</v>
      </c>
      <c r="N1377" s="43" t="inlineStr">
        <is>
          <t>サイズ共通</t>
        </is>
      </c>
      <c r="O1377" s="222" t="n">
        <v>208</v>
      </c>
      <c r="P1377" s="222" t="n">
        <v>206</v>
      </c>
      <c r="Q1377" s="43" t="inlineStr">
        <is>
          <t>202604_LIXIL_サーモスＬ_業務用資料集_完成品価格表.pdf</t>
        </is>
      </c>
      <c r="R1377" s="43" t="inlineStr">
        <is>
          <t>固有仕様ID='*'：サイズは当該窓種の固有仕様間で共通扱い。個別部材の設定可否は関係表で制御。</t>
        </is>
      </c>
      <c r="S1377" s="42" t="inlineStr">
        <is>
          <t>★</t>
        </is>
      </c>
      <c r="T1377" s="42" t="n">
        <v>206</v>
      </c>
      <c r="U1377" s="42" t="inlineStr">
        <is>
          <t>P206|★</t>
        </is>
      </c>
      <c r="V1377" s="42" t="inlineStr">
        <is>
          <t>同頁凡例へ直接連動</t>
        </is>
      </c>
    </row>
    <row r="1378">
      <c r="A1378" s="43" t="inlineStr">
        <is>
          <t>SZ-SL-001375</t>
        </is>
      </c>
      <c r="B1378" s="43" t="inlineStr">
        <is>
          <t>SER-LIX-SAMOSL</t>
        </is>
      </c>
      <c r="C1378" s="43" t="inlineStr">
        <is>
          <t>WT-SL-TERRACE-DOOR</t>
        </is>
      </c>
      <c r="D1378" s="43" t="inlineStr">
        <is>
          <t>テラスドア</t>
        </is>
      </c>
      <c r="E1378" s="43" t="inlineStr">
        <is>
          <t>*</t>
        </is>
      </c>
      <c r="F1378" s="43" t="inlineStr">
        <is>
          <t>在来</t>
        </is>
      </c>
      <c r="G1378" s="43" t="inlineStr">
        <is>
          <t>06024</t>
        </is>
      </c>
      <c r="H1378" s="43" t="inlineStr">
        <is>
          <t>060</t>
        </is>
      </c>
      <c r="I1378" s="43" t="inlineStr">
        <is>
          <t>24</t>
        </is>
      </c>
      <c r="J1378" s="222" t="n">
        <v>640</v>
      </c>
      <c r="K1378" s="222" t="n">
        <v>2430</v>
      </c>
      <c r="L1378" s="43" t="inlineStr">
        <is>
          <t>在来</t>
        </is>
      </c>
      <c r="M1378" s="178" t="b">
        <v>1</v>
      </c>
      <c r="N1378" s="43" t="inlineStr">
        <is>
          <t>サイズ共通</t>
        </is>
      </c>
      <c r="O1378" s="222" t="n">
        <v>208</v>
      </c>
      <c r="P1378" s="222" t="n">
        <v>206</v>
      </c>
      <c r="Q1378" s="43" t="inlineStr">
        <is>
          <t>202604_LIXIL_サーモスＬ_業務用資料集_完成品価格表.pdf</t>
        </is>
      </c>
      <c r="R1378" s="43" t="inlineStr">
        <is>
          <t>固有仕様ID='*'：サイズは当該窓種の固有仕様間で共通扱い。個別部材の設定可否は関係表で制御。</t>
        </is>
      </c>
      <c r="S1378" s="42" t="inlineStr">
        <is>
          <t>無印</t>
        </is>
      </c>
      <c r="T1378" s="42" t="n">
        <v>206</v>
      </c>
      <c r="U1378" s="42" t="inlineStr">
        <is>
          <t>P206|無印</t>
        </is>
      </c>
      <c r="V1378" s="42" t="inlineStr">
        <is>
          <t>同頁凡例へ直接連動</t>
        </is>
      </c>
    </row>
    <row r="1379">
      <c r="A1379" s="43" t="inlineStr">
        <is>
          <t>SZ-SL-001376</t>
        </is>
      </c>
      <c r="B1379" s="43" t="inlineStr">
        <is>
          <t>SER-LIX-SAMOSL</t>
        </is>
      </c>
      <c r="C1379" s="43" t="inlineStr">
        <is>
          <t>WT-SL-TERRACE-DOOR</t>
        </is>
      </c>
      <c r="D1379" s="43" t="inlineStr">
        <is>
          <t>テラスドア</t>
        </is>
      </c>
      <c r="E1379" s="43" t="inlineStr">
        <is>
          <t>*</t>
        </is>
      </c>
      <c r="F1379" s="43" t="inlineStr">
        <is>
          <t>在来</t>
        </is>
      </c>
      <c r="G1379" s="43" t="inlineStr">
        <is>
          <t>06918</t>
        </is>
      </c>
      <c r="H1379" s="43" t="inlineStr">
        <is>
          <t>069</t>
        </is>
      </c>
      <c r="I1379" s="43" t="inlineStr">
        <is>
          <t>18</t>
        </is>
      </c>
      <c r="J1379" s="222" t="n">
        <v>730</v>
      </c>
      <c r="K1379" s="222" t="n">
        <v>1830</v>
      </c>
      <c r="L1379" s="43" t="inlineStr">
        <is>
          <t>在来</t>
        </is>
      </c>
      <c r="M1379" s="178" t="b">
        <v>1</v>
      </c>
      <c r="N1379" s="43" t="inlineStr">
        <is>
          <t>サイズ共通</t>
        </is>
      </c>
      <c r="O1379" s="222" t="n">
        <v>208</v>
      </c>
      <c r="P1379" s="222" t="n">
        <v>206</v>
      </c>
      <c r="Q1379" s="43" t="inlineStr">
        <is>
          <t>202604_LIXIL_サーモスＬ_業務用資料集_完成品価格表.pdf</t>
        </is>
      </c>
      <c r="R1379" s="43" t="inlineStr">
        <is>
          <t>固有仕様ID='*'：サイズは当該窓種の固有仕様間で共通扱い。個別部材の設定可否は関係表で制御。</t>
        </is>
      </c>
      <c r="S1379" s="42" t="inlineStr">
        <is>
          <t>★</t>
        </is>
      </c>
      <c r="T1379" s="42" t="n">
        <v>206</v>
      </c>
      <c r="U1379" s="42" t="inlineStr">
        <is>
          <t>P206|★</t>
        </is>
      </c>
      <c r="V1379" s="42" t="inlineStr">
        <is>
          <t>同頁凡例へ直接連動</t>
        </is>
      </c>
    </row>
    <row r="1380">
      <c r="A1380" s="43" t="inlineStr">
        <is>
          <t>SZ-SL-001377</t>
        </is>
      </c>
      <c r="B1380" s="43" t="inlineStr">
        <is>
          <t>SER-LIX-SAMOSL</t>
        </is>
      </c>
      <c r="C1380" s="43" t="inlineStr">
        <is>
          <t>WT-SL-TERRACE-DOOR</t>
        </is>
      </c>
      <c r="D1380" s="43" t="inlineStr">
        <is>
          <t>テラスドア</t>
        </is>
      </c>
      <c r="E1380" s="43" t="inlineStr">
        <is>
          <t>*</t>
        </is>
      </c>
      <c r="F1380" s="43" t="inlineStr">
        <is>
          <t>在来</t>
        </is>
      </c>
      <c r="G1380" s="43" t="inlineStr">
        <is>
          <t>06920</t>
        </is>
      </c>
      <c r="H1380" s="43" t="inlineStr">
        <is>
          <t>069</t>
        </is>
      </c>
      <c r="I1380" s="43" t="inlineStr">
        <is>
          <t>20</t>
        </is>
      </c>
      <c r="J1380" s="222" t="n">
        <v>730</v>
      </c>
      <c r="K1380" s="222" t="n">
        <v>2030</v>
      </c>
      <c r="L1380" s="43" t="inlineStr">
        <is>
          <t>在来</t>
        </is>
      </c>
      <c r="M1380" s="178" t="b">
        <v>1</v>
      </c>
      <c r="N1380" s="43" t="inlineStr">
        <is>
          <t>サイズ共通</t>
        </is>
      </c>
      <c r="O1380" s="222" t="n">
        <v>208</v>
      </c>
      <c r="P1380" s="222" t="n">
        <v>206</v>
      </c>
      <c r="Q1380" s="43" t="inlineStr">
        <is>
          <t>202604_LIXIL_サーモスＬ_業務用資料集_完成品価格表.pdf</t>
        </is>
      </c>
      <c r="R1380" s="43" t="inlineStr">
        <is>
          <t>固有仕様ID='*'：サイズは当該窓種の固有仕様間で共通扱い。個別部材の設定可否は関係表で制御。</t>
        </is>
      </c>
      <c r="S1380" s="42" t="inlineStr">
        <is>
          <t>★</t>
        </is>
      </c>
      <c r="T1380" s="42" t="n">
        <v>206</v>
      </c>
      <c r="U1380" s="42" t="inlineStr">
        <is>
          <t>P206|★</t>
        </is>
      </c>
      <c r="V1380" s="42" t="inlineStr">
        <is>
          <t>同頁凡例へ直接連動</t>
        </is>
      </c>
    </row>
    <row r="1381">
      <c r="A1381" s="43" t="inlineStr">
        <is>
          <t>SZ-SL-001378</t>
        </is>
      </c>
      <c r="B1381" s="43" t="inlineStr">
        <is>
          <t>SER-LIX-SAMOSL</t>
        </is>
      </c>
      <c r="C1381" s="43" t="inlineStr">
        <is>
          <t>WT-SL-TERRACE-DOOR</t>
        </is>
      </c>
      <c r="D1381" s="43" t="inlineStr">
        <is>
          <t>テラスドア</t>
        </is>
      </c>
      <c r="E1381" s="43" t="inlineStr">
        <is>
          <t>*</t>
        </is>
      </c>
      <c r="F1381" s="43" t="inlineStr">
        <is>
          <t>在来</t>
        </is>
      </c>
      <c r="G1381" s="43" t="inlineStr">
        <is>
          <t>06922</t>
        </is>
      </c>
      <c r="H1381" s="43" t="inlineStr">
        <is>
          <t>069</t>
        </is>
      </c>
      <c r="I1381" s="43" t="inlineStr">
        <is>
          <t>22</t>
        </is>
      </c>
      <c r="J1381" s="222" t="n">
        <v>730</v>
      </c>
      <c r="K1381" s="222" t="n">
        <v>2230</v>
      </c>
      <c r="L1381" s="43" t="inlineStr">
        <is>
          <t>在来</t>
        </is>
      </c>
      <c r="M1381" s="178" t="b">
        <v>1</v>
      </c>
      <c r="N1381" s="43" t="inlineStr">
        <is>
          <t>サイズ共通</t>
        </is>
      </c>
      <c r="O1381" s="222" t="n">
        <v>208</v>
      </c>
      <c r="P1381" s="222" t="n">
        <v>206</v>
      </c>
      <c r="Q1381" s="43" t="inlineStr">
        <is>
          <t>202604_LIXIL_サーモスＬ_業務用資料集_完成品価格表.pdf</t>
        </is>
      </c>
      <c r="R1381" s="43" t="inlineStr">
        <is>
          <t>固有仕様ID='*'：サイズは当該窓種の固有仕様間で共通扱い。個別部材の設定可否は関係表で制御。</t>
        </is>
      </c>
      <c r="S1381" s="42" t="inlineStr">
        <is>
          <t>☆</t>
        </is>
      </c>
      <c r="T1381" s="42" t="n">
        <v>206</v>
      </c>
      <c r="U1381" s="42" t="inlineStr">
        <is>
          <t>P206|☆</t>
        </is>
      </c>
      <c r="V1381" s="42" t="inlineStr">
        <is>
          <t>同頁凡例へ直接連動</t>
        </is>
      </c>
    </row>
    <row r="1382">
      <c r="A1382" s="43" t="inlineStr">
        <is>
          <t>SZ-SL-001379</t>
        </is>
      </c>
      <c r="B1382" s="43" t="inlineStr">
        <is>
          <t>SER-LIX-SAMOSL</t>
        </is>
      </c>
      <c r="C1382" s="43" t="inlineStr">
        <is>
          <t>WT-SL-TERRACE-DOOR</t>
        </is>
      </c>
      <c r="D1382" s="43" t="inlineStr">
        <is>
          <t>テラスドア</t>
        </is>
      </c>
      <c r="E1382" s="43" t="inlineStr">
        <is>
          <t>*</t>
        </is>
      </c>
      <c r="F1382" s="43" t="inlineStr">
        <is>
          <t>在来</t>
        </is>
      </c>
      <c r="G1382" s="43" t="inlineStr">
        <is>
          <t>06924</t>
        </is>
      </c>
      <c r="H1382" s="43" t="inlineStr">
        <is>
          <t>069</t>
        </is>
      </c>
      <c r="I1382" s="43" t="inlineStr">
        <is>
          <t>24</t>
        </is>
      </c>
      <c r="J1382" s="222" t="n">
        <v>730</v>
      </c>
      <c r="K1382" s="222" t="n">
        <v>2430</v>
      </c>
      <c r="L1382" s="43" t="inlineStr">
        <is>
          <t>在来</t>
        </is>
      </c>
      <c r="M1382" s="178" t="b">
        <v>1</v>
      </c>
      <c r="N1382" s="43" t="inlineStr">
        <is>
          <t>サイズ共通</t>
        </is>
      </c>
      <c r="O1382" s="222" t="n">
        <v>208</v>
      </c>
      <c r="P1382" s="222" t="n">
        <v>206</v>
      </c>
      <c r="Q1382" s="43" t="inlineStr">
        <is>
          <t>202604_LIXIL_サーモスＬ_業務用資料集_完成品価格表.pdf</t>
        </is>
      </c>
      <c r="R1382" s="43" t="inlineStr">
        <is>
          <t>固有仕様ID='*'：サイズは当該窓種の固有仕様間で共通扱い。個別部材の設定可否は関係表で制御。</t>
        </is>
      </c>
      <c r="S1382" s="42" t="inlineStr">
        <is>
          <t>○</t>
        </is>
      </c>
      <c r="T1382" s="42" t="n">
        <v>206</v>
      </c>
      <c r="U1382" s="42" t="inlineStr">
        <is>
          <t>P206|○</t>
        </is>
      </c>
      <c r="V1382" s="42" t="inlineStr">
        <is>
          <t>同頁凡例へ直接連動</t>
        </is>
      </c>
    </row>
    <row r="1383">
      <c r="A1383" s="43" t="inlineStr">
        <is>
          <t>SZ-SL-001380</t>
        </is>
      </c>
      <c r="B1383" s="43" t="inlineStr">
        <is>
          <t>SER-LIX-SAMOSL</t>
        </is>
      </c>
      <c r="C1383" s="43" t="inlineStr">
        <is>
          <t>WT-SL-TERRACE-DOOR</t>
        </is>
      </c>
      <c r="D1383" s="43" t="inlineStr">
        <is>
          <t>テラスドア</t>
        </is>
      </c>
      <c r="E1383" s="43" t="inlineStr">
        <is>
          <t>*</t>
        </is>
      </c>
      <c r="F1383" s="43" t="inlineStr">
        <is>
          <t>在来</t>
        </is>
      </c>
      <c r="G1383" s="43" t="inlineStr">
        <is>
          <t>07418</t>
        </is>
      </c>
      <c r="H1383" s="43" t="inlineStr">
        <is>
          <t>074</t>
        </is>
      </c>
      <c r="I1383" s="43" t="inlineStr">
        <is>
          <t>18</t>
        </is>
      </c>
      <c r="J1383" s="222" t="n">
        <v>780</v>
      </c>
      <c r="K1383" s="222" t="n">
        <v>1830</v>
      </c>
      <c r="L1383" s="43" t="inlineStr">
        <is>
          <t>在来</t>
        </is>
      </c>
      <c r="M1383" s="178" t="b">
        <v>1</v>
      </c>
      <c r="N1383" s="43" t="inlineStr">
        <is>
          <t>サイズ共通</t>
        </is>
      </c>
      <c r="O1383" s="222" t="n">
        <v>208</v>
      </c>
      <c r="P1383" s="222" t="n">
        <v>206</v>
      </c>
      <c r="Q1383" s="43" t="inlineStr">
        <is>
          <t>202604_LIXIL_サーモスＬ_業務用資料集_完成品価格表.pdf</t>
        </is>
      </c>
      <c r="R1383" s="43" t="inlineStr">
        <is>
          <t>固有仕様ID='*'：サイズは当該窓種の固有仕様間で共通扱い。個別部材の設定可否は関係表で制御。</t>
        </is>
      </c>
      <c r="S1383" s="42" t="inlineStr">
        <is>
          <t>★</t>
        </is>
      </c>
      <c r="T1383" s="42" t="n">
        <v>206</v>
      </c>
      <c r="U1383" s="42" t="inlineStr">
        <is>
          <t>P206|★</t>
        </is>
      </c>
      <c r="V1383" s="42" t="inlineStr">
        <is>
          <t>同頁凡例へ直接連動</t>
        </is>
      </c>
    </row>
    <row r="1384">
      <c r="A1384" s="43" t="inlineStr">
        <is>
          <t>SZ-SL-001381</t>
        </is>
      </c>
      <c r="B1384" s="43" t="inlineStr">
        <is>
          <t>SER-LIX-SAMOSL</t>
        </is>
      </c>
      <c r="C1384" s="43" t="inlineStr">
        <is>
          <t>WT-SL-TERRACE-DOOR</t>
        </is>
      </c>
      <c r="D1384" s="43" t="inlineStr">
        <is>
          <t>テラスドア</t>
        </is>
      </c>
      <c r="E1384" s="43" t="inlineStr">
        <is>
          <t>*</t>
        </is>
      </c>
      <c r="F1384" s="43" t="inlineStr">
        <is>
          <t>在来</t>
        </is>
      </c>
      <c r="G1384" s="43" t="inlineStr">
        <is>
          <t>07420</t>
        </is>
      </c>
      <c r="H1384" s="43" t="inlineStr">
        <is>
          <t>074</t>
        </is>
      </c>
      <c r="I1384" s="43" t="inlineStr">
        <is>
          <t>20</t>
        </is>
      </c>
      <c r="J1384" s="222" t="n">
        <v>780</v>
      </c>
      <c r="K1384" s="222" t="n">
        <v>2030</v>
      </c>
      <c r="L1384" s="43" t="inlineStr">
        <is>
          <t>在来</t>
        </is>
      </c>
      <c r="M1384" s="178" t="b">
        <v>1</v>
      </c>
      <c r="N1384" s="43" t="inlineStr">
        <is>
          <t>サイズ共通</t>
        </is>
      </c>
      <c r="O1384" s="222" t="n">
        <v>208</v>
      </c>
      <c r="P1384" s="222" t="n">
        <v>206</v>
      </c>
      <c r="Q1384" s="43" t="inlineStr">
        <is>
          <t>202604_LIXIL_サーモスＬ_業務用資料集_完成品価格表.pdf</t>
        </is>
      </c>
      <c r="R1384" s="43" t="inlineStr">
        <is>
          <t>固有仕様ID='*'：サイズは当該窓種の固有仕様間で共通扱い。個別部材の設定可否は関係表で制御。</t>
        </is>
      </c>
      <c r="S1384" s="42" t="inlineStr">
        <is>
          <t>☆</t>
        </is>
      </c>
      <c r="T1384" s="42" t="n">
        <v>206</v>
      </c>
      <c r="U1384" s="42" t="inlineStr">
        <is>
          <t>P206|☆</t>
        </is>
      </c>
      <c r="V1384" s="42" t="inlineStr">
        <is>
          <t>同頁凡例へ直接連動</t>
        </is>
      </c>
    </row>
    <row r="1385">
      <c r="A1385" s="43" t="inlineStr">
        <is>
          <t>SZ-SL-001382</t>
        </is>
      </c>
      <c r="B1385" s="43" t="inlineStr">
        <is>
          <t>SER-LIX-SAMOSL</t>
        </is>
      </c>
      <c r="C1385" s="43" t="inlineStr">
        <is>
          <t>WT-SL-TERRACE-DOOR</t>
        </is>
      </c>
      <c r="D1385" s="43" t="inlineStr">
        <is>
          <t>テラスドア</t>
        </is>
      </c>
      <c r="E1385" s="43" t="inlineStr">
        <is>
          <t>*</t>
        </is>
      </c>
      <c r="F1385" s="43" t="inlineStr">
        <is>
          <t>在来</t>
        </is>
      </c>
      <c r="G1385" s="43" t="inlineStr">
        <is>
          <t>07422</t>
        </is>
      </c>
      <c r="H1385" s="43" t="inlineStr">
        <is>
          <t>074</t>
        </is>
      </c>
      <c r="I1385" s="43" t="inlineStr">
        <is>
          <t>22</t>
        </is>
      </c>
      <c r="J1385" s="222" t="n">
        <v>780</v>
      </c>
      <c r="K1385" s="222" t="n">
        <v>2230</v>
      </c>
      <c r="L1385" s="43" t="inlineStr">
        <is>
          <t>在来</t>
        </is>
      </c>
      <c r="M1385" s="178" t="b">
        <v>1</v>
      </c>
      <c r="N1385" s="43" t="inlineStr">
        <is>
          <t>サイズ共通</t>
        </is>
      </c>
      <c r="O1385" s="222" t="n">
        <v>208</v>
      </c>
      <c r="P1385" s="222" t="n">
        <v>206</v>
      </c>
      <c r="Q1385" s="43" t="inlineStr">
        <is>
          <t>202604_LIXIL_サーモスＬ_業務用資料集_完成品価格表.pdf</t>
        </is>
      </c>
      <c r="R1385" s="43" t="inlineStr">
        <is>
          <t>固有仕様ID='*'：サイズは当該窓種の固有仕様間で共通扱い。個別部材の設定可否は関係表で制御。</t>
        </is>
      </c>
      <c r="S1385" s="42" t="inlineStr">
        <is>
          <t>無印</t>
        </is>
      </c>
      <c r="T1385" s="42" t="n">
        <v>206</v>
      </c>
      <c r="U1385" s="42" t="inlineStr">
        <is>
          <t>P206|無印</t>
        </is>
      </c>
      <c r="V1385" s="42" t="inlineStr">
        <is>
          <t>同頁凡例へ直接連動</t>
        </is>
      </c>
    </row>
    <row r="1386">
      <c r="A1386" s="43" t="inlineStr">
        <is>
          <t>SZ-SL-001383</t>
        </is>
      </c>
      <c r="B1386" s="43" t="inlineStr">
        <is>
          <t>SER-LIX-SAMOSL</t>
        </is>
      </c>
      <c r="C1386" s="43" t="inlineStr">
        <is>
          <t>WT-SL-TERRACE-DOOR</t>
        </is>
      </c>
      <c r="D1386" s="43" t="inlineStr">
        <is>
          <t>テラスドア</t>
        </is>
      </c>
      <c r="E1386" s="43" t="inlineStr">
        <is>
          <t>*</t>
        </is>
      </c>
      <c r="F1386" s="43" t="inlineStr">
        <is>
          <t>在来</t>
        </is>
      </c>
      <c r="G1386" s="43" t="inlineStr">
        <is>
          <t>07424</t>
        </is>
      </c>
      <c r="H1386" s="43" t="inlineStr">
        <is>
          <t>074</t>
        </is>
      </c>
      <c r="I1386" s="43" t="inlineStr">
        <is>
          <t>24</t>
        </is>
      </c>
      <c r="J1386" s="222" t="n">
        <v>780</v>
      </c>
      <c r="K1386" s="222" t="n">
        <v>2430</v>
      </c>
      <c r="L1386" s="43" t="inlineStr">
        <is>
          <t>在来</t>
        </is>
      </c>
      <c r="M1386" s="178" t="b">
        <v>1</v>
      </c>
      <c r="N1386" s="43" t="inlineStr">
        <is>
          <t>サイズ共通</t>
        </is>
      </c>
      <c r="O1386" s="222" t="n">
        <v>208</v>
      </c>
      <c r="P1386" s="222" t="n">
        <v>206</v>
      </c>
      <c r="Q1386" s="43" t="inlineStr">
        <is>
          <t>202604_LIXIL_サーモスＬ_業務用資料集_完成品価格表.pdf</t>
        </is>
      </c>
      <c r="R1386" s="43" t="inlineStr">
        <is>
          <t>固有仕様ID='*'：サイズは当該窓種の固有仕様間で共通扱い。個別部材の設定可否は関係表で制御。</t>
        </is>
      </c>
      <c r="S1386" s="42" t="inlineStr">
        <is>
          <t>○</t>
        </is>
      </c>
      <c r="T1386" s="42" t="n">
        <v>206</v>
      </c>
      <c r="U1386" s="42" t="inlineStr">
        <is>
          <t>P206|○</t>
        </is>
      </c>
      <c r="V1386" s="42" t="inlineStr">
        <is>
          <t>同頁凡例へ直接連動</t>
        </is>
      </c>
    </row>
    <row r="1387">
      <c r="A1387" s="43" t="inlineStr">
        <is>
          <t>SZ-SL-001384</t>
        </is>
      </c>
      <c r="B1387" s="43" t="inlineStr">
        <is>
          <t>SER-LIX-SAMOSL</t>
        </is>
      </c>
      <c r="C1387" s="43" t="inlineStr">
        <is>
          <t>WT-SL-KATTEGUCHI-VENT-FS</t>
        </is>
      </c>
      <c r="D1387" s="43" t="inlineStr">
        <is>
          <t>採風勝手口ドアFS</t>
        </is>
      </c>
      <c r="E1387" s="43" t="inlineStr">
        <is>
          <t>*</t>
        </is>
      </c>
      <c r="F1387" s="43" t="inlineStr">
        <is>
          <t>在来</t>
        </is>
      </c>
      <c r="G1387" s="43" t="inlineStr">
        <is>
          <t>06018</t>
        </is>
      </c>
      <c r="H1387" s="43" t="inlineStr">
        <is>
          <t>060</t>
        </is>
      </c>
      <c r="I1387" s="43" t="inlineStr">
        <is>
          <t>18</t>
        </is>
      </c>
      <c r="J1387" s="222" t="n">
        <v>640</v>
      </c>
      <c r="K1387" s="222" t="n">
        <v>1830</v>
      </c>
      <c r="L1387" s="43" t="inlineStr">
        <is>
          <t>在来</t>
        </is>
      </c>
      <c r="M1387" s="178" t="b">
        <v>1</v>
      </c>
      <c r="N1387" s="43" t="inlineStr">
        <is>
          <t>サイズ共通</t>
        </is>
      </c>
      <c r="O1387" s="222" t="n">
        <v>212</v>
      </c>
      <c r="P1387" s="222" t="n">
        <v>210</v>
      </c>
      <c r="Q1387" s="43" t="inlineStr">
        <is>
          <t>202604_LIXIL_サーモスＬ_業務用資料集_完成品価格表.pdf</t>
        </is>
      </c>
      <c r="R1387" s="43" t="inlineStr">
        <is>
          <t>固有仕様ID='*'：サイズは当該窓種の固有仕様間で共通扱い。個別部材の設定可否は関係表で制御。</t>
        </is>
      </c>
      <c r="S1387" s="42" t="inlineStr">
        <is>
          <t>無印</t>
        </is>
      </c>
      <c r="T1387" s="42" t="n">
        <v>210</v>
      </c>
      <c r="U1387" s="42" t="inlineStr">
        <is>
          <t>P210|無印</t>
        </is>
      </c>
      <c r="V1387" s="42" t="inlineStr">
        <is>
          <t>同頁凡例へ直接連動</t>
        </is>
      </c>
    </row>
    <row r="1388">
      <c r="A1388" s="43" t="inlineStr">
        <is>
          <t>SZ-SL-001385</t>
        </is>
      </c>
      <c r="B1388" s="43" t="inlineStr">
        <is>
          <t>SER-LIX-SAMOSL</t>
        </is>
      </c>
      <c r="C1388" s="43" t="inlineStr">
        <is>
          <t>WT-SL-KATTEGUCHI-VENT-FS</t>
        </is>
      </c>
      <c r="D1388" s="43" t="inlineStr">
        <is>
          <t>採風勝手口ドアFS</t>
        </is>
      </c>
      <c r="E1388" s="43" t="inlineStr">
        <is>
          <t>*</t>
        </is>
      </c>
      <c r="F1388" s="43" t="inlineStr">
        <is>
          <t>在来</t>
        </is>
      </c>
      <c r="G1388" s="43" t="inlineStr">
        <is>
          <t>06918</t>
        </is>
      </c>
      <c r="H1388" s="43" t="inlineStr">
        <is>
          <t>069</t>
        </is>
      </c>
      <c r="I1388" s="43" t="inlineStr">
        <is>
          <t>18</t>
        </is>
      </c>
      <c r="J1388" s="222" t="n">
        <v>730</v>
      </c>
      <c r="K1388" s="222" t="n">
        <v>1830</v>
      </c>
      <c r="L1388" s="43" t="inlineStr">
        <is>
          <t>在来</t>
        </is>
      </c>
      <c r="M1388" s="178" t="b">
        <v>1</v>
      </c>
      <c r="N1388" s="43" t="inlineStr">
        <is>
          <t>サイズ共通</t>
        </is>
      </c>
      <c r="O1388" s="222" t="n">
        <v>212</v>
      </c>
      <c r="P1388" s="222" t="n">
        <v>210</v>
      </c>
      <c r="Q1388" s="43" t="inlineStr">
        <is>
          <t>202604_LIXIL_サーモスＬ_業務用資料集_完成品価格表.pdf</t>
        </is>
      </c>
      <c r="R1388" s="43" t="inlineStr">
        <is>
          <t>固有仕様ID='*'：サイズは当該窓種の固有仕様間で共通扱い。個別部材の設定可否は関係表で制御。</t>
        </is>
      </c>
      <c r="S1388" s="42" t="inlineStr">
        <is>
          <t>無印</t>
        </is>
      </c>
      <c r="T1388" s="42" t="n">
        <v>210</v>
      </c>
      <c r="U1388" s="42" t="inlineStr">
        <is>
          <t>P210|無印</t>
        </is>
      </c>
      <c r="V1388" s="42" t="inlineStr">
        <is>
          <t>同頁凡例へ直接連動</t>
        </is>
      </c>
    </row>
    <row r="1389">
      <c r="A1389" s="43" t="inlineStr">
        <is>
          <t>SZ-SL-001386</t>
        </is>
      </c>
      <c r="B1389" s="43" t="inlineStr">
        <is>
          <t>SER-LIX-SAMOSL</t>
        </is>
      </c>
      <c r="C1389" s="43" t="inlineStr">
        <is>
          <t>WT-SL-KATTEGUCHI-VENT-FS</t>
        </is>
      </c>
      <c r="D1389" s="43" t="inlineStr">
        <is>
          <t>採風勝手口ドアFS</t>
        </is>
      </c>
      <c r="E1389" s="43" t="inlineStr">
        <is>
          <t>*</t>
        </is>
      </c>
      <c r="F1389" s="43" t="inlineStr">
        <is>
          <t>在来</t>
        </is>
      </c>
      <c r="G1389" s="43" t="inlineStr">
        <is>
          <t>07418</t>
        </is>
      </c>
      <c r="H1389" s="43" t="inlineStr">
        <is>
          <t>074</t>
        </is>
      </c>
      <c r="I1389" s="43" t="inlineStr">
        <is>
          <t>18</t>
        </is>
      </c>
      <c r="J1389" s="222" t="n">
        <v>780</v>
      </c>
      <c r="K1389" s="222" t="n">
        <v>1830</v>
      </c>
      <c r="L1389" s="43" t="inlineStr">
        <is>
          <t>在来</t>
        </is>
      </c>
      <c r="M1389" s="178" t="b">
        <v>1</v>
      </c>
      <c r="N1389" s="43" t="inlineStr">
        <is>
          <t>サイズ共通</t>
        </is>
      </c>
      <c r="O1389" s="222" t="n">
        <v>212</v>
      </c>
      <c r="P1389" s="222" t="n">
        <v>210</v>
      </c>
      <c r="Q1389" s="43" t="inlineStr">
        <is>
          <t>202604_LIXIL_サーモスＬ_業務用資料集_完成品価格表.pdf</t>
        </is>
      </c>
      <c r="R1389" s="43" t="inlineStr">
        <is>
          <t>固有仕様ID='*'：サイズは当該窓種の固有仕様間で共通扱い。個別部材の設定可否は関係表で制御。</t>
        </is>
      </c>
      <c r="S1389" s="42" t="inlineStr">
        <is>
          <t>無印</t>
        </is>
      </c>
      <c r="T1389" s="42" t="n">
        <v>210</v>
      </c>
      <c r="U1389" s="42" t="inlineStr">
        <is>
          <t>P210|無印</t>
        </is>
      </c>
      <c r="V1389" s="42" t="inlineStr">
        <is>
          <t>同頁凡例へ直接連動</t>
        </is>
      </c>
    </row>
    <row r="1390">
      <c r="A1390" s="43" t="inlineStr">
        <is>
          <t>SZ-SL-001387</t>
        </is>
      </c>
      <c r="B1390" s="43" t="inlineStr">
        <is>
          <t>SER-LIX-SAMOSL</t>
        </is>
      </c>
      <c r="C1390" s="43" t="inlineStr">
        <is>
          <t>WT-SL-KATTEGUCHI-VENT-FS</t>
        </is>
      </c>
      <c r="D1390" s="43" t="inlineStr">
        <is>
          <t>採風勝手口ドアFS</t>
        </is>
      </c>
      <c r="E1390" s="43" t="inlineStr">
        <is>
          <t>*</t>
        </is>
      </c>
      <c r="F1390" s="43" t="inlineStr">
        <is>
          <t>在来</t>
        </is>
      </c>
      <c r="G1390" s="43" t="inlineStr">
        <is>
          <t>06020</t>
        </is>
      </c>
      <c r="H1390" s="43" t="inlineStr">
        <is>
          <t>060</t>
        </is>
      </c>
      <c r="I1390" s="43" t="inlineStr">
        <is>
          <t>20</t>
        </is>
      </c>
      <c r="J1390" s="222" t="n">
        <v>640</v>
      </c>
      <c r="K1390" s="222" t="n">
        <v>2030</v>
      </c>
      <c r="L1390" s="43" t="inlineStr">
        <is>
          <t>在来</t>
        </is>
      </c>
      <c r="M1390" s="178" t="b">
        <v>1</v>
      </c>
      <c r="N1390" s="43" t="inlineStr">
        <is>
          <t>サイズ共通</t>
        </is>
      </c>
      <c r="O1390" s="222" t="n">
        <v>213</v>
      </c>
      <c r="P1390" s="222" t="n">
        <v>211</v>
      </c>
      <c r="Q1390" s="43" t="inlineStr">
        <is>
          <t>202604_LIXIL_サーモスＬ_業務用資料集_完成品価格表.pdf</t>
        </is>
      </c>
      <c r="R1390" s="43" t="inlineStr">
        <is>
          <t>固有仕様ID='*'：サイズは当該窓種の固有仕様間で共通扱い。個別部材の設定可否は関係表で制御。</t>
        </is>
      </c>
      <c r="S1390" s="42" t="inlineStr">
        <is>
          <t>無印</t>
        </is>
      </c>
      <c r="T1390" s="42" t="n">
        <v>211</v>
      </c>
      <c r="U1390" s="42" t="inlineStr">
        <is>
          <t>P211|無印</t>
        </is>
      </c>
      <c r="V1390" s="42" t="inlineStr">
        <is>
          <t>同頁凡例へ直接連動</t>
        </is>
      </c>
    </row>
    <row r="1391">
      <c r="A1391" s="43" t="inlineStr">
        <is>
          <t>SZ-SL-001388</t>
        </is>
      </c>
      <c r="B1391" s="43" t="inlineStr">
        <is>
          <t>SER-LIX-SAMOSL</t>
        </is>
      </c>
      <c r="C1391" s="43" t="inlineStr">
        <is>
          <t>WT-SL-KATTEGUCHI-VENT-FS</t>
        </is>
      </c>
      <c r="D1391" s="43" t="inlineStr">
        <is>
          <t>採風勝手口ドアFS</t>
        </is>
      </c>
      <c r="E1391" s="43" t="inlineStr">
        <is>
          <t>*</t>
        </is>
      </c>
      <c r="F1391" s="43" t="inlineStr">
        <is>
          <t>在来</t>
        </is>
      </c>
      <c r="G1391" s="43" t="inlineStr">
        <is>
          <t>06920</t>
        </is>
      </c>
      <c r="H1391" s="43" t="inlineStr">
        <is>
          <t>069</t>
        </is>
      </c>
      <c r="I1391" s="43" t="inlineStr">
        <is>
          <t>20</t>
        </is>
      </c>
      <c r="J1391" s="222" t="n">
        <v>730</v>
      </c>
      <c r="K1391" s="222" t="n">
        <v>2030</v>
      </c>
      <c r="L1391" s="43" t="inlineStr">
        <is>
          <t>在来</t>
        </is>
      </c>
      <c r="M1391" s="178" t="b">
        <v>1</v>
      </c>
      <c r="N1391" s="43" t="inlineStr">
        <is>
          <t>サイズ共通</t>
        </is>
      </c>
      <c r="O1391" s="222" t="n">
        <v>213</v>
      </c>
      <c r="P1391" s="222" t="n">
        <v>211</v>
      </c>
      <c r="Q1391" s="43" t="inlineStr">
        <is>
          <t>202604_LIXIL_サーモスＬ_業務用資料集_完成品価格表.pdf</t>
        </is>
      </c>
      <c r="R1391" s="43" t="inlineStr">
        <is>
          <t>固有仕様ID='*'：サイズは当該窓種の固有仕様間で共通扱い。個別部材の設定可否は関係表で制御。</t>
        </is>
      </c>
      <c r="S1391" s="42" t="inlineStr">
        <is>
          <t>無印</t>
        </is>
      </c>
      <c r="T1391" s="42" t="n">
        <v>211</v>
      </c>
      <c r="U1391" s="42" t="inlineStr">
        <is>
          <t>P211|無印</t>
        </is>
      </c>
      <c r="V1391" s="42" t="inlineStr">
        <is>
          <t>同頁凡例へ直接連動</t>
        </is>
      </c>
    </row>
    <row r="1392">
      <c r="A1392" s="43" t="inlineStr">
        <is>
          <t>SZ-SL-001389</t>
        </is>
      </c>
      <c r="B1392" s="43" t="inlineStr">
        <is>
          <t>SER-LIX-SAMOSL</t>
        </is>
      </c>
      <c r="C1392" s="43" t="inlineStr">
        <is>
          <t>WT-SL-KATTEGUCHI-VENT-FS</t>
        </is>
      </c>
      <c r="D1392" s="43" t="inlineStr">
        <is>
          <t>採風勝手口ドアFS</t>
        </is>
      </c>
      <c r="E1392" s="43" t="inlineStr">
        <is>
          <t>*</t>
        </is>
      </c>
      <c r="F1392" s="43" t="inlineStr">
        <is>
          <t>在来</t>
        </is>
      </c>
      <c r="G1392" s="43" t="inlineStr">
        <is>
          <t>07420</t>
        </is>
      </c>
      <c r="H1392" s="43" t="inlineStr">
        <is>
          <t>074</t>
        </is>
      </c>
      <c r="I1392" s="43" t="inlineStr">
        <is>
          <t>20</t>
        </is>
      </c>
      <c r="J1392" s="222" t="n">
        <v>780</v>
      </c>
      <c r="K1392" s="222" t="n">
        <v>2030</v>
      </c>
      <c r="L1392" s="43" t="inlineStr">
        <is>
          <t>在来</t>
        </is>
      </c>
      <c r="M1392" s="178" t="b">
        <v>1</v>
      </c>
      <c r="N1392" s="43" t="inlineStr">
        <is>
          <t>サイズ共通</t>
        </is>
      </c>
      <c r="O1392" s="222" t="n">
        <v>213</v>
      </c>
      <c r="P1392" s="222" t="n">
        <v>211</v>
      </c>
      <c r="Q1392" s="43" t="inlineStr">
        <is>
          <t>202604_LIXIL_サーモスＬ_業務用資料集_完成品価格表.pdf</t>
        </is>
      </c>
      <c r="R1392" s="43" t="inlineStr">
        <is>
          <t>固有仕様ID='*'：サイズは当該窓種の固有仕様間で共通扱い。個別部材の設定可否は関係表で制御。</t>
        </is>
      </c>
      <c r="S1392" s="42" t="inlineStr">
        <is>
          <t>無印</t>
        </is>
      </c>
      <c r="T1392" s="42" t="n">
        <v>211</v>
      </c>
      <c r="U1392" s="42" t="inlineStr">
        <is>
          <t>P211|無印</t>
        </is>
      </c>
      <c r="V1392" s="42" t="inlineStr">
        <is>
          <t>同頁凡例へ直接連動</t>
        </is>
      </c>
    </row>
    <row r="1393">
      <c r="A1393" s="43" t="inlineStr">
        <is>
          <t>SZ-SL-001390</t>
        </is>
      </c>
      <c r="B1393" s="43" t="inlineStr">
        <is>
          <t>SER-LIX-SAMOSL</t>
        </is>
      </c>
      <c r="C1393" s="43" t="inlineStr">
        <is>
          <t>WT-SL-KATTEGUCHI-VENT-FS</t>
        </is>
      </c>
      <c r="D1393" s="43" t="inlineStr">
        <is>
          <t>採風勝手口ドアFS</t>
        </is>
      </c>
      <c r="E1393" s="43" t="inlineStr">
        <is>
          <t>*</t>
        </is>
      </c>
      <c r="F1393" s="43" t="inlineStr">
        <is>
          <t>在来</t>
        </is>
      </c>
      <c r="G1393" s="43" t="inlineStr">
        <is>
          <t>06022</t>
        </is>
      </c>
      <c r="H1393" s="43" t="inlineStr">
        <is>
          <t>060</t>
        </is>
      </c>
      <c r="I1393" s="43" t="inlineStr">
        <is>
          <t>22</t>
        </is>
      </c>
      <c r="J1393" s="222" t="n">
        <v>640</v>
      </c>
      <c r="K1393" s="222" t="n">
        <v>2230</v>
      </c>
      <c r="L1393" s="43" t="inlineStr">
        <is>
          <t>在来</t>
        </is>
      </c>
      <c r="M1393" s="178" t="b">
        <v>1</v>
      </c>
      <c r="N1393" s="43" t="inlineStr">
        <is>
          <t>サイズ共通</t>
        </is>
      </c>
      <c r="O1393" s="222" t="n">
        <v>214</v>
      </c>
      <c r="P1393" s="222" t="n">
        <v>212</v>
      </c>
      <c r="Q1393" s="43" t="inlineStr">
        <is>
          <t>202604_LIXIL_サーモスＬ_業務用資料集_完成品価格表.pdf</t>
        </is>
      </c>
      <c r="R1393" s="43" t="inlineStr">
        <is>
          <t>固有仕様ID='*'：サイズは当該窓種の固有仕様間で共通扱い。個別部材の設定可否は関係表で制御。</t>
        </is>
      </c>
      <c r="S1393" s="42" t="inlineStr">
        <is>
          <t>無印</t>
        </is>
      </c>
      <c r="T1393" s="42" t="n">
        <v>212</v>
      </c>
      <c r="U1393" s="42" t="inlineStr">
        <is>
          <t>P212|無印</t>
        </is>
      </c>
      <c r="V1393" s="42" t="inlineStr">
        <is>
          <t>同頁凡例へ直接連動</t>
        </is>
      </c>
    </row>
    <row r="1394">
      <c r="A1394" s="43" t="inlineStr">
        <is>
          <t>SZ-SL-001391</t>
        </is>
      </c>
      <c r="B1394" s="43" t="inlineStr">
        <is>
          <t>SER-LIX-SAMOSL</t>
        </is>
      </c>
      <c r="C1394" s="43" t="inlineStr">
        <is>
          <t>WT-SL-KATTEGUCHI-VENT-FS</t>
        </is>
      </c>
      <c r="D1394" s="43" t="inlineStr">
        <is>
          <t>採風勝手口ドアFS</t>
        </is>
      </c>
      <c r="E1394" s="43" t="inlineStr">
        <is>
          <t>*</t>
        </is>
      </c>
      <c r="F1394" s="43" t="inlineStr">
        <is>
          <t>在来</t>
        </is>
      </c>
      <c r="G1394" s="43" t="inlineStr">
        <is>
          <t>06922</t>
        </is>
      </c>
      <c r="H1394" s="43" t="inlineStr">
        <is>
          <t>069</t>
        </is>
      </c>
      <c r="I1394" s="43" t="inlineStr">
        <is>
          <t>22</t>
        </is>
      </c>
      <c r="J1394" s="222" t="n">
        <v>730</v>
      </c>
      <c r="K1394" s="222" t="n">
        <v>2230</v>
      </c>
      <c r="L1394" s="43" t="inlineStr">
        <is>
          <t>在来</t>
        </is>
      </c>
      <c r="M1394" s="178" t="b">
        <v>1</v>
      </c>
      <c r="N1394" s="43" t="inlineStr">
        <is>
          <t>サイズ共通</t>
        </is>
      </c>
      <c r="O1394" s="222" t="n">
        <v>214</v>
      </c>
      <c r="P1394" s="222" t="n">
        <v>212</v>
      </c>
      <c r="Q1394" s="43" t="inlineStr">
        <is>
          <t>202604_LIXIL_サーモスＬ_業務用資料集_完成品価格表.pdf</t>
        </is>
      </c>
      <c r="R1394" s="43" t="inlineStr">
        <is>
          <t>固有仕様ID='*'：サイズは当該窓種の固有仕様間で共通扱い。個別部材の設定可否は関係表で制御。</t>
        </is>
      </c>
      <c r="S1394" s="42" t="inlineStr">
        <is>
          <t>無印</t>
        </is>
      </c>
      <c r="T1394" s="42" t="n">
        <v>212</v>
      </c>
      <c r="U1394" s="42" t="inlineStr">
        <is>
          <t>P212|無印</t>
        </is>
      </c>
      <c r="V1394" s="42" t="inlineStr">
        <is>
          <t>同頁凡例へ直接連動</t>
        </is>
      </c>
    </row>
    <row r="1395">
      <c r="A1395" s="43" t="inlineStr">
        <is>
          <t>SZ-SL-001392</t>
        </is>
      </c>
      <c r="B1395" s="43" t="inlineStr">
        <is>
          <t>SER-LIX-SAMOSL</t>
        </is>
      </c>
      <c r="C1395" s="43" t="inlineStr">
        <is>
          <t>WT-SL-KATTEGUCHI-VENT-FS</t>
        </is>
      </c>
      <c r="D1395" s="43" t="inlineStr">
        <is>
          <t>採風勝手口ドアFS</t>
        </is>
      </c>
      <c r="E1395" s="43" t="inlineStr">
        <is>
          <t>*</t>
        </is>
      </c>
      <c r="F1395" s="43" t="inlineStr">
        <is>
          <t>在来</t>
        </is>
      </c>
      <c r="G1395" s="43" t="inlineStr">
        <is>
          <t>07422</t>
        </is>
      </c>
      <c r="H1395" s="43" t="inlineStr">
        <is>
          <t>074</t>
        </is>
      </c>
      <c r="I1395" s="43" t="inlineStr">
        <is>
          <t>22</t>
        </is>
      </c>
      <c r="J1395" s="222" t="n">
        <v>780</v>
      </c>
      <c r="K1395" s="222" t="n">
        <v>2230</v>
      </c>
      <c r="L1395" s="43" t="inlineStr">
        <is>
          <t>在来</t>
        </is>
      </c>
      <c r="M1395" s="178" t="b">
        <v>1</v>
      </c>
      <c r="N1395" s="43" t="inlineStr">
        <is>
          <t>サイズ共通</t>
        </is>
      </c>
      <c r="O1395" s="222" t="n">
        <v>214</v>
      </c>
      <c r="P1395" s="222" t="n">
        <v>212</v>
      </c>
      <c r="Q1395" s="43" t="inlineStr">
        <is>
          <t>202604_LIXIL_サーモスＬ_業務用資料集_完成品価格表.pdf</t>
        </is>
      </c>
      <c r="R1395" s="43" t="inlineStr">
        <is>
          <t>固有仕様ID='*'：サイズは当該窓種の固有仕様間で共通扱い。個別部材の設定可否は関係表で制御。</t>
        </is>
      </c>
      <c r="S1395" s="42" t="inlineStr">
        <is>
          <t>無印</t>
        </is>
      </c>
      <c r="T1395" s="42" t="n">
        <v>212</v>
      </c>
      <c r="U1395" s="42" t="inlineStr">
        <is>
          <t>P212|無印</t>
        </is>
      </c>
      <c r="V1395" s="42" t="inlineStr">
        <is>
          <t>同頁凡例へ直接連動</t>
        </is>
      </c>
    </row>
    <row r="1396">
      <c r="A1396" s="43" t="inlineStr">
        <is>
          <t>SZ-SL-001393</t>
        </is>
      </c>
      <c r="B1396" s="43" t="inlineStr">
        <is>
          <t>SER-LIX-SAMOSL</t>
        </is>
      </c>
      <c r="C1396" s="43" t="inlineStr">
        <is>
          <t>WT-SL-KATTEGUCHI</t>
        </is>
      </c>
      <c r="D1396" s="43" t="inlineStr">
        <is>
          <t>勝手口ドア</t>
        </is>
      </c>
      <c r="E1396" s="43" t="inlineStr">
        <is>
          <t>*</t>
        </is>
      </c>
      <c r="F1396" s="43" t="inlineStr">
        <is>
          <t>在来</t>
        </is>
      </c>
      <c r="G1396" s="43" t="inlineStr">
        <is>
          <t>06018</t>
        </is>
      </c>
      <c r="H1396" s="43" t="inlineStr">
        <is>
          <t>060</t>
        </is>
      </c>
      <c r="I1396" s="43" t="inlineStr">
        <is>
          <t>18</t>
        </is>
      </c>
      <c r="J1396" s="222" t="n">
        <v>640</v>
      </c>
      <c r="K1396" s="222" t="n">
        <v>1830</v>
      </c>
      <c r="L1396" s="43" t="inlineStr">
        <is>
          <t>在来</t>
        </is>
      </c>
      <c r="M1396" s="178" t="b">
        <v>1</v>
      </c>
      <c r="N1396" s="43" t="inlineStr">
        <is>
          <t>サイズ共通</t>
        </is>
      </c>
      <c r="O1396" s="222" t="n">
        <v>222</v>
      </c>
      <c r="P1396" s="222" t="n">
        <v>220</v>
      </c>
      <c r="Q1396" s="43" t="inlineStr">
        <is>
          <t>202604_LIXIL_サーモスＬ_業務用資料集_完成品価格表.pdf</t>
        </is>
      </c>
      <c r="R1396" s="43" t="inlineStr">
        <is>
          <t>固有仕様ID='*'：サイズは当該窓種の固有仕様間で共通扱い。個別部材の設定可否は関係表で制御。</t>
        </is>
      </c>
      <c r="S1396" s="42" t="inlineStr">
        <is>
          <t>無印</t>
        </is>
      </c>
      <c r="T1396" s="42" t="n">
        <v>220</v>
      </c>
      <c r="U1396" s="42" t="inlineStr">
        <is>
          <t>P220|無印</t>
        </is>
      </c>
      <c r="V1396" s="42" t="inlineStr">
        <is>
          <t>同頁凡例へ直接連動</t>
        </is>
      </c>
    </row>
    <row r="1397">
      <c r="A1397" s="43" t="inlineStr">
        <is>
          <t>SZ-SL-001394</t>
        </is>
      </c>
      <c r="B1397" s="43" t="inlineStr">
        <is>
          <t>SER-LIX-SAMOSL</t>
        </is>
      </c>
      <c r="C1397" s="43" t="inlineStr">
        <is>
          <t>WT-SL-KATTEGUCHI</t>
        </is>
      </c>
      <c r="D1397" s="43" t="inlineStr">
        <is>
          <t>勝手口ドア</t>
        </is>
      </c>
      <c r="E1397" s="43" t="inlineStr">
        <is>
          <t>*</t>
        </is>
      </c>
      <c r="F1397" s="43" t="inlineStr">
        <is>
          <t>在来</t>
        </is>
      </c>
      <c r="G1397" s="43" t="inlineStr">
        <is>
          <t>06020</t>
        </is>
      </c>
      <c r="H1397" s="43" t="inlineStr">
        <is>
          <t>060</t>
        </is>
      </c>
      <c r="I1397" s="43" t="inlineStr">
        <is>
          <t>20</t>
        </is>
      </c>
      <c r="J1397" s="222" t="n">
        <v>640</v>
      </c>
      <c r="K1397" s="222" t="n">
        <v>2030</v>
      </c>
      <c r="L1397" s="43" t="inlineStr">
        <is>
          <t>在来</t>
        </is>
      </c>
      <c r="M1397" s="178" t="b">
        <v>1</v>
      </c>
      <c r="N1397" s="43" t="inlineStr">
        <is>
          <t>サイズ共通</t>
        </is>
      </c>
      <c r="O1397" s="222" t="n">
        <v>222</v>
      </c>
      <c r="P1397" s="222" t="n">
        <v>220</v>
      </c>
      <c r="Q1397" s="43" t="inlineStr">
        <is>
          <t>202604_LIXIL_サーモスＬ_業務用資料集_完成品価格表.pdf</t>
        </is>
      </c>
      <c r="R1397" s="43" t="inlineStr">
        <is>
          <t>固有仕様ID='*'：サイズは当該窓種の固有仕様間で共通扱い。個別部材の設定可否は関係表で制御。</t>
        </is>
      </c>
      <c r="S1397" s="42" t="inlineStr">
        <is>
          <t>無印</t>
        </is>
      </c>
      <c r="T1397" s="42" t="n">
        <v>220</v>
      </c>
      <c r="U1397" s="42" t="inlineStr">
        <is>
          <t>P220|無印</t>
        </is>
      </c>
      <c r="V1397" s="42" t="inlineStr">
        <is>
          <t>同頁凡例へ直接連動</t>
        </is>
      </c>
    </row>
    <row r="1398">
      <c r="A1398" s="43" t="inlineStr">
        <is>
          <t>SZ-SL-001395</t>
        </is>
      </c>
      <c r="B1398" s="43" t="inlineStr">
        <is>
          <t>SER-LIX-SAMOSL</t>
        </is>
      </c>
      <c r="C1398" s="43" t="inlineStr">
        <is>
          <t>WT-SL-KATTEGUCHI</t>
        </is>
      </c>
      <c r="D1398" s="43" t="inlineStr">
        <is>
          <t>勝手口ドア</t>
        </is>
      </c>
      <c r="E1398" s="43" t="inlineStr">
        <is>
          <t>*</t>
        </is>
      </c>
      <c r="F1398" s="43" t="inlineStr">
        <is>
          <t>在来</t>
        </is>
      </c>
      <c r="G1398" s="43" t="inlineStr">
        <is>
          <t>06022</t>
        </is>
      </c>
      <c r="H1398" s="43" t="inlineStr">
        <is>
          <t>060</t>
        </is>
      </c>
      <c r="I1398" s="43" t="inlineStr">
        <is>
          <t>22</t>
        </is>
      </c>
      <c r="J1398" s="222" t="n">
        <v>640</v>
      </c>
      <c r="K1398" s="222" t="n">
        <v>2230</v>
      </c>
      <c r="L1398" s="43" t="inlineStr">
        <is>
          <t>在来</t>
        </is>
      </c>
      <c r="M1398" s="178" t="b">
        <v>1</v>
      </c>
      <c r="N1398" s="43" t="inlineStr">
        <is>
          <t>サイズ共通</t>
        </is>
      </c>
      <c r="O1398" s="222" t="n">
        <v>222</v>
      </c>
      <c r="P1398" s="222" t="n">
        <v>220</v>
      </c>
      <c r="Q1398" s="43" t="inlineStr">
        <is>
          <t>202604_LIXIL_サーモスＬ_業務用資料集_完成品価格表.pdf</t>
        </is>
      </c>
      <c r="R1398" s="43" t="inlineStr">
        <is>
          <t>固有仕様ID='*'：サイズは当該窓種の固有仕様間で共通扱い。個別部材の設定可否は関係表で制御。</t>
        </is>
      </c>
      <c r="S1398" s="42" t="inlineStr">
        <is>
          <t>無印</t>
        </is>
      </c>
      <c r="T1398" s="42" t="n">
        <v>220</v>
      </c>
      <c r="U1398" s="42" t="inlineStr">
        <is>
          <t>P220|無印</t>
        </is>
      </c>
      <c r="V1398" s="42" t="inlineStr">
        <is>
          <t>同頁凡例へ直接連動</t>
        </is>
      </c>
    </row>
    <row r="1399">
      <c r="A1399" s="43" t="inlineStr">
        <is>
          <t>SZ-SL-001396</t>
        </is>
      </c>
      <c r="B1399" s="43" t="inlineStr">
        <is>
          <t>SER-LIX-SAMOSL</t>
        </is>
      </c>
      <c r="C1399" s="43" t="inlineStr">
        <is>
          <t>WT-SL-KATTEGUCHI</t>
        </is>
      </c>
      <c r="D1399" s="43" t="inlineStr">
        <is>
          <t>勝手口ドア</t>
        </is>
      </c>
      <c r="E1399" s="43" t="inlineStr">
        <is>
          <t>*</t>
        </is>
      </c>
      <c r="F1399" s="43" t="inlineStr">
        <is>
          <t>在来</t>
        </is>
      </c>
      <c r="G1399" s="43" t="inlineStr">
        <is>
          <t>06918</t>
        </is>
      </c>
      <c r="H1399" s="43" t="inlineStr">
        <is>
          <t>069</t>
        </is>
      </c>
      <c r="I1399" s="43" t="inlineStr">
        <is>
          <t>18</t>
        </is>
      </c>
      <c r="J1399" s="222" t="n">
        <v>730</v>
      </c>
      <c r="K1399" s="222" t="n">
        <v>1830</v>
      </c>
      <c r="L1399" s="43" t="inlineStr">
        <is>
          <t>在来</t>
        </is>
      </c>
      <c r="M1399" s="178" t="b">
        <v>1</v>
      </c>
      <c r="N1399" s="43" t="inlineStr">
        <is>
          <t>サイズ共通</t>
        </is>
      </c>
      <c r="O1399" s="222" t="n">
        <v>222</v>
      </c>
      <c r="P1399" s="222" t="n">
        <v>220</v>
      </c>
      <c r="Q1399" s="43" t="inlineStr">
        <is>
          <t>202604_LIXIL_サーモスＬ_業務用資料集_完成品価格表.pdf</t>
        </is>
      </c>
      <c r="R1399" s="43" t="inlineStr">
        <is>
          <t>固有仕様ID='*'：サイズは当該窓種の固有仕様間で共通扱い。個別部材の設定可否は関係表で制御。</t>
        </is>
      </c>
      <c r="S1399" s="42" t="inlineStr">
        <is>
          <t>無印</t>
        </is>
      </c>
      <c r="T1399" s="42" t="n">
        <v>220</v>
      </c>
      <c r="U1399" s="42" t="inlineStr">
        <is>
          <t>P220|無印</t>
        </is>
      </c>
      <c r="V1399" s="42" t="inlineStr">
        <is>
          <t>同頁凡例へ直接連動</t>
        </is>
      </c>
    </row>
    <row r="1400">
      <c r="A1400" s="43" t="inlineStr">
        <is>
          <t>SZ-SL-001397</t>
        </is>
      </c>
      <c r="B1400" s="43" t="inlineStr">
        <is>
          <t>SER-LIX-SAMOSL</t>
        </is>
      </c>
      <c r="C1400" s="43" t="inlineStr">
        <is>
          <t>WT-SL-KATTEGUCHI</t>
        </is>
      </c>
      <c r="D1400" s="43" t="inlineStr">
        <is>
          <t>勝手口ドア</t>
        </is>
      </c>
      <c r="E1400" s="43" t="inlineStr">
        <is>
          <t>*</t>
        </is>
      </c>
      <c r="F1400" s="43" t="inlineStr">
        <is>
          <t>在来</t>
        </is>
      </c>
      <c r="G1400" s="43" t="inlineStr">
        <is>
          <t>06920</t>
        </is>
      </c>
      <c r="H1400" s="43" t="inlineStr">
        <is>
          <t>069</t>
        </is>
      </c>
      <c r="I1400" s="43" t="inlineStr">
        <is>
          <t>20</t>
        </is>
      </c>
      <c r="J1400" s="222" t="n">
        <v>730</v>
      </c>
      <c r="K1400" s="222" t="n">
        <v>2030</v>
      </c>
      <c r="L1400" s="43" t="inlineStr">
        <is>
          <t>在来</t>
        </is>
      </c>
      <c r="M1400" s="178" t="b">
        <v>1</v>
      </c>
      <c r="N1400" s="43" t="inlineStr">
        <is>
          <t>サイズ共通</t>
        </is>
      </c>
      <c r="O1400" s="222" t="n">
        <v>222</v>
      </c>
      <c r="P1400" s="222" t="n">
        <v>220</v>
      </c>
      <c r="Q1400" s="43" t="inlineStr">
        <is>
          <t>202604_LIXIL_サーモスＬ_業務用資料集_完成品価格表.pdf</t>
        </is>
      </c>
      <c r="R1400" s="43" t="inlineStr">
        <is>
          <t>固有仕様ID='*'：サイズは当該窓種の固有仕様間で共通扱い。個別部材の設定可否は関係表で制御。</t>
        </is>
      </c>
      <c r="S1400" s="42" t="inlineStr">
        <is>
          <t>無印</t>
        </is>
      </c>
      <c r="T1400" s="42" t="n">
        <v>220</v>
      </c>
      <c r="U1400" s="42" t="inlineStr">
        <is>
          <t>P220|無印</t>
        </is>
      </c>
      <c r="V1400" s="42" t="inlineStr">
        <is>
          <t>同頁凡例へ直接連動</t>
        </is>
      </c>
    </row>
    <row r="1401">
      <c r="A1401" s="43" t="inlineStr">
        <is>
          <t>SZ-SL-001398</t>
        </is>
      </c>
      <c r="B1401" s="43" t="inlineStr">
        <is>
          <t>SER-LIX-SAMOSL</t>
        </is>
      </c>
      <c r="C1401" s="43" t="inlineStr">
        <is>
          <t>WT-SL-KATTEGUCHI</t>
        </is>
      </c>
      <c r="D1401" s="43" t="inlineStr">
        <is>
          <t>勝手口ドア</t>
        </is>
      </c>
      <c r="E1401" s="43" t="inlineStr">
        <is>
          <t>*</t>
        </is>
      </c>
      <c r="F1401" s="43" t="inlineStr">
        <is>
          <t>在来</t>
        </is>
      </c>
      <c r="G1401" s="43" t="inlineStr">
        <is>
          <t>06922</t>
        </is>
      </c>
      <c r="H1401" s="43" t="inlineStr">
        <is>
          <t>069</t>
        </is>
      </c>
      <c r="I1401" s="43" t="inlineStr">
        <is>
          <t>22</t>
        </is>
      </c>
      <c r="J1401" s="222" t="n">
        <v>730</v>
      </c>
      <c r="K1401" s="222" t="n">
        <v>2230</v>
      </c>
      <c r="L1401" s="43" t="inlineStr">
        <is>
          <t>在来</t>
        </is>
      </c>
      <c r="M1401" s="178" t="b">
        <v>1</v>
      </c>
      <c r="N1401" s="43" t="inlineStr">
        <is>
          <t>サイズ共通</t>
        </is>
      </c>
      <c r="O1401" s="222" t="n">
        <v>222</v>
      </c>
      <c r="P1401" s="222" t="n">
        <v>220</v>
      </c>
      <c r="Q1401" s="43" t="inlineStr">
        <is>
          <t>202604_LIXIL_サーモスＬ_業務用資料集_完成品価格表.pdf</t>
        </is>
      </c>
      <c r="R1401" s="43" t="inlineStr">
        <is>
          <t>固有仕様ID='*'：サイズは当該窓種の固有仕様間で共通扱い。個別部材の設定可否は関係表で制御。</t>
        </is>
      </c>
      <c r="S1401" s="42" t="inlineStr">
        <is>
          <t>無印</t>
        </is>
      </c>
      <c r="T1401" s="42" t="n">
        <v>220</v>
      </c>
      <c r="U1401" s="42" t="inlineStr">
        <is>
          <t>P220|無印</t>
        </is>
      </c>
      <c r="V1401" s="42" t="inlineStr">
        <is>
          <t>同頁凡例へ直接連動</t>
        </is>
      </c>
    </row>
    <row r="1402">
      <c r="A1402" s="43" t="inlineStr">
        <is>
          <t>SZ-SL-001399</t>
        </is>
      </c>
      <c r="B1402" s="43" t="inlineStr">
        <is>
          <t>SER-LIX-SAMOSL</t>
        </is>
      </c>
      <c r="C1402" s="43" t="inlineStr">
        <is>
          <t>WT-SL-KATTEGUCHI</t>
        </is>
      </c>
      <c r="D1402" s="43" t="inlineStr">
        <is>
          <t>勝手口ドア</t>
        </is>
      </c>
      <c r="E1402" s="43" t="inlineStr">
        <is>
          <t>*</t>
        </is>
      </c>
      <c r="F1402" s="43" t="inlineStr">
        <is>
          <t>在来</t>
        </is>
      </c>
      <c r="G1402" s="43" t="inlineStr">
        <is>
          <t>07418</t>
        </is>
      </c>
      <c r="H1402" s="43" t="inlineStr">
        <is>
          <t>074</t>
        </is>
      </c>
      <c r="I1402" s="43" t="inlineStr">
        <is>
          <t>18</t>
        </is>
      </c>
      <c r="J1402" s="222" t="n">
        <v>780</v>
      </c>
      <c r="K1402" s="222" t="n">
        <v>1830</v>
      </c>
      <c r="L1402" s="43" t="inlineStr">
        <is>
          <t>在来</t>
        </is>
      </c>
      <c r="M1402" s="178" t="b">
        <v>1</v>
      </c>
      <c r="N1402" s="43" t="inlineStr">
        <is>
          <t>サイズ共通</t>
        </is>
      </c>
      <c r="O1402" s="222" t="n">
        <v>222</v>
      </c>
      <c r="P1402" s="222" t="n">
        <v>220</v>
      </c>
      <c r="Q1402" s="43" t="inlineStr">
        <is>
          <t>202604_LIXIL_サーモスＬ_業務用資料集_完成品価格表.pdf</t>
        </is>
      </c>
      <c r="R1402" s="43" t="inlineStr">
        <is>
          <t>固有仕様ID='*'：サイズは当該窓種の固有仕様間で共通扱い。個別部材の設定可否は関係表で制御。</t>
        </is>
      </c>
      <c r="S1402" s="42" t="inlineStr">
        <is>
          <t>無印</t>
        </is>
      </c>
      <c r="T1402" s="42" t="n">
        <v>220</v>
      </c>
      <c r="U1402" s="42" t="inlineStr">
        <is>
          <t>P220|無印</t>
        </is>
      </c>
      <c r="V1402" s="42" t="inlineStr">
        <is>
          <t>同頁凡例へ直接連動</t>
        </is>
      </c>
    </row>
    <row r="1403">
      <c r="A1403" s="43" t="inlineStr">
        <is>
          <t>SZ-SL-001400</t>
        </is>
      </c>
      <c r="B1403" s="43" t="inlineStr">
        <is>
          <t>SER-LIX-SAMOSL</t>
        </is>
      </c>
      <c r="C1403" s="43" t="inlineStr">
        <is>
          <t>WT-SL-KATTEGUCHI</t>
        </is>
      </c>
      <c r="D1403" s="43" t="inlineStr">
        <is>
          <t>勝手口ドア</t>
        </is>
      </c>
      <c r="E1403" s="43" t="inlineStr">
        <is>
          <t>*</t>
        </is>
      </c>
      <c r="F1403" s="43" t="inlineStr">
        <is>
          <t>在来</t>
        </is>
      </c>
      <c r="G1403" s="43" t="inlineStr">
        <is>
          <t>07420</t>
        </is>
      </c>
      <c r="H1403" s="43" t="inlineStr">
        <is>
          <t>074</t>
        </is>
      </c>
      <c r="I1403" s="43" t="inlineStr">
        <is>
          <t>20</t>
        </is>
      </c>
      <c r="J1403" s="222" t="n">
        <v>780</v>
      </c>
      <c r="K1403" s="222" t="n">
        <v>2030</v>
      </c>
      <c r="L1403" s="43" t="inlineStr">
        <is>
          <t>在来</t>
        </is>
      </c>
      <c r="M1403" s="178" t="b">
        <v>1</v>
      </c>
      <c r="N1403" s="43" t="inlineStr">
        <is>
          <t>サイズ共通</t>
        </is>
      </c>
      <c r="O1403" s="222" t="n">
        <v>222</v>
      </c>
      <c r="P1403" s="222" t="n">
        <v>220</v>
      </c>
      <c r="Q1403" s="43" t="inlineStr">
        <is>
          <t>202604_LIXIL_サーモスＬ_業務用資料集_完成品価格表.pdf</t>
        </is>
      </c>
      <c r="R1403" s="43" t="inlineStr">
        <is>
          <t>固有仕様ID='*'：サイズは当該窓種の固有仕様間で共通扱い。個別部材の設定可否は関係表で制御。</t>
        </is>
      </c>
      <c r="S1403" s="42" t="inlineStr">
        <is>
          <t>無印</t>
        </is>
      </c>
      <c r="T1403" s="42" t="n">
        <v>220</v>
      </c>
      <c r="U1403" s="42" t="inlineStr">
        <is>
          <t>P220|無印</t>
        </is>
      </c>
      <c r="V1403" s="42" t="inlineStr">
        <is>
          <t>同頁凡例へ直接連動</t>
        </is>
      </c>
    </row>
    <row r="1404">
      <c r="A1404" s="43" t="inlineStr">
        <is>
          <t>SZ-SL-001401</t>
        </is>
      </c>
      <c r="B1404" s="43" t="inlineStr">
        <is>
          <t>SER-LIX-SAMOSL</t>
        </is>
      </c>
      <c r="C1404" s="43" t="inlineStr">
        <is>
          <t>WT-SL-KATTEGUCHI</t>
        </is>
      </c>
      <c r="D1404" s="43" t="inlineStr">
        <is>
          <t>勝手口ドア</t>
        </is>
      </c>
      <c r="E1404" s="43" t="inlineStr">
        <is>
          <t>*</t>
        </is>
      </c>
      <c r="F1404" s="43" t="inlineStr">
        <is>
          <t>在来</t>
        </is>
      </c>
      <c r="G1404" s="43" t="inlineStr">
        <is>
          <t>07422</t>
        </is>
      </c>
      <c r="H1404" s="43" t="inlineStr">
        <is>
          <t>074</t>
        </is>
      </c>
      <c r="I1404" s="43" t="inlineStr">
        <is>
          <t>22</t>
        </is>
      </c>
      <c r="J1404" s="222" t="n">
        <v>780</v>
      </c>
      <c r="K1404" s="222" t="n">
        <v>2230</v>
      </c>
      <c r="L1404" s="43" t="inlineStr">
        <is>
          <t>在来</t>
        </is>
      </c>
      <c r="M1404" s="178" t="b">
        <v>1</v>
      </c>
      <c r="N1404" s="43" t="inlineStr">
        <is>
          <t>サイズ共通</t>
        </is>
      </c>
      <c r="O1404" s="222" t="n">
        <v>222</v>
      </c>
      <c r="P1404" s="222" t="n">
        <v>220</v>
      </c>
      <c r="Q1404" s="43" t="inlineStr">
        <is>
          <t>202604_LIXIL_サーモスＬ_業務用資料集_完成品価格表.pdf</t>
        </is>
      </c>
      <c r="R1404" s="43" t="inlineStr">
        <is>
          <t>固有仕様ID='*'：サイズは当該窓種の固有仕様間で共通扱い。個別部材の設定可否は関係表で制御。</t>
        </is>
      </c>
      <c r="S1404" s="42" t="inlineStr">
        <is>
          <t>無印</t>
        </is>
      </c>
      <c r="T1404" s="42" t="n">
        <v>220</v>
      </c>
      <c r="U1404" s="42" t="inlineStr">
        <is>
          <t>P220|無印</t>
        </is>
      </c>
      <c r="V1404" s="42" t="inlineStr">
        <is>
          <t>同頁凡例へ直接連動</t>
        </is>
      </c>
    </row>
    <row r="1405">
      <c r="A1405" t="inlineStr">
        <is>
          <t>SZ-SL-001402</t>
        </is>
      </c>
      <c r="B1405" t="inlineStr">
        <is>
          <t>SER-LIX-SAMOSL</t>
        </is>
      </c>
      <c r="C1405" t="inlineStr">
        <is>
          <t>WT-SL-TATE-SUBERI</t>
        </is>
      </c>
      <c r="D1405" t="inlineStr">
        <is>
          <t>縦すべり出し窓 T（オペレーター）</t>
        </is>
      </c>
      <c r="E1405" t="inlineStr">
        <is>
          <t>SP-SL-TATE-OP-T</t>
        </is>
      </c>
      <c r="F1405" t="inlineStr">
        <is>
          <t>在来・204</t>
        </is>
      </c>
      <c r="G1405" t="inlineStr">
        <is>
          <t>02607</t>
        </is>
      </c>
      <c r="H1405" t="inlineStr">
        <is>
          <t>026</t>
        </is>
      </c>
      <c r="I1405" t="inlineStr">
        <is>
          <t>07</t>
        </is>
      </c>
      <c r="J1405" t="n">
        <v>300</v>
      </c>
      <c r="K1405" t="n">
        <v>770</v>
      </c>
      <c r="L1405" t="inlineStr">
        <is>
          <t>在来・204</t>
        </is>
      </c>
      <c r="M1405" t="b">
        <v>1</v>
      </c>
      <c r="N1405" t="inlineStr">
        <is>
          <t>2026規格・詳細構成確認済み</t>
        </is>
      </c>
      <c r="O1405" t="n">
        <v>116</v>
      </c>
      <c r="P1405" t="n">
        <v>114</v>
      </c>
      <c r="Q1405" t="inlineStr">
        <is>
          <t>202604_LIXIL_サーモスＬ_業務用資料集_完成品価格表.pdf</t>
        </is>
      </c>
      <c r="R1405" t="inlineStr">
        <is>
          <t>v0.5詳細構成。オペレーター｜T。2026完成品価格表 P114。</t>
        </is>
      </c>
      <c r="S1405" s="42" t="inlineStr">
        <is>
          <t>無印</t>
        </is>
      </c>
      <c r="T1405" s="42" t="n">
        <v>114</v>
      </c>
      <c r="U1405" s="42" t="inlineStr">
        <is>
          <t>P114|無印</t>
        </is>
      </c>
      <c r="V1405" s="42" t="inlineStr">
        <is>
          <t>同頁凡例へ直接連動</t>
        </is>
      </c>
    </row>
    <row r="1406">
      <c r="A1406" t="inlineStr">
        <is>
          <t>SZ-SL-001403</t>
        </is>
      </c>
      <c r="B1406" t="inlineStr">
        <is>
          <t>SER-LIX-SAMOSL</t>
        </is>
      </c>
      <c r="C1406" t="inlineStr">
        <is>
          <t>WT-SL-TATE-SUBERI</t>
        </is>
      </c>
      <c r="D1406" t="inlineStr">
        <is>
          <t>縦すべり出し窓 T（オペレーター）</t>
        </is>
      </c>
      <c r="E1406" t="inlineStr">
        <is>
          <t>SP-SL-TATE-OP-T</t>
        </is>
      </c>
      <c r="F1406" t="inlineStr">
        <is>
          <t>在来・204</t>
        </is>
      </c>
      <c r="G1406" t="inlineStr">
        <is>
          <t>02109</t>
        </is>
      </c>
      <c r="H1406" t="inlineStr">
        <is>
          <t>021</t>
        </is>
      </c>
      <c r="I1406" t="inlineStr">
        <is>
          <t>09</t>
        </is>
      </c>
      <c r="J1406" t="n">
        <v>250</v>
      </c>
      <c r="K1406" t="n">
        <v>970</v>
      </c>
      <c r="L1406" t="inlineStr">
        <is>
          <t>在来・204</t>
        </is>
      </c>
      <c r="M1406" t="b">
        <v>1</v>
      </c>
      <c r="N1406" t="inlineStr">
        <is>
          <t>2026規格・詳細構成確認済み</t>
        </is>
      </c>
      <c r="O1406" t="n">
        <v>116</v>
      </c>
      <c r="P1406" t="n">
        <v>114</v>
      </c>
      <c r="Q1406" t="inlineStr">
        <is>
          <t>202604_LIXIL_サーモスＬ_業務用資料集_完成品価格表.pdf</t>
        </is>
      </c>
      <c r="R1406" t="inlineStr">
        <is>
          <t>v0.5詳細構成。オペレーター｜T。2026完成品価格表 P114。</t>
        </is>
      </c>
      <c r="S1406" s="42" t="inlineStr">
        <is>
          <t>無印</t>
        </is>
      </c>
      <c r="T1406" s="42" t="n">
        <v>114</v>
      </c>
      <c r="U1406" s="42" t="inlineStr">
        <is>
          <t>P114|無印</t>
        </is>
      </c>
      <c r="V1406" s="42" t="inlineStr">
        <is>
          <t>同頁凡例へ直接連動</t>
        </is>
      </c>
    </row>
    <row r="1407">
      <c r="A1407" t="inlineStr">
        <is>
          <t>SZ-SL-001404</t>
        </is>
      </c>
      <c r="B1407" t="inlineStr">
        <is>
          <t>SER-LIX-SAMOSL</t>
        </is>
      </c>
      <c r="C1407" t="inlineStr">
        <is>
          <t>WT-SL-TATE-SUBERI</t>
        </is>
      </c>
      <c r="D1407" t="inlineStr">
        <is>
          <t>縦すべり出し窓 T（オペレーター）</t>
        </is>
      </c>
      <c r="E1407" t="inlineStr">
        <is>
          <t>SP-SL-TATE-OP-T</t>
        </is>
      </c>
      <c r="F1407" t="inlineStr">
        <is>
          <t>在来・204</t>
        </is>
      </c>
      <c r="G1407" t="inlineStr">
        <is>
          <t>02309</t>
        </is>
      </c>
      <c r="H1407" t="inlineStr">
        <is>
          <t>023</t>
        </is>
      </c>
      <c r="I1407" t="inlineStr">
        <is>
          <t>09</t>
        </is>
      </c>
      <c r="J1407" t="n">
        <v>275</v>
      </c>
      <c r="K1407" t="n">
        <v>970</v>
      </c>
      <c r="L1407" t="inlineStr">
        <is>
          <t>在来・204</t>
        </is>
      </c>
      <c r="M1407" t="b">
        <v>1</v>
      </c>
      <c r="N1407" t="inlineStr">
        <is>
          <t>2026規格・詳細構成確認済み</t>
        </is>
      </c>
      <c r="O1407" t="n">
        <v>116</v>
      </c>
      <c r="P1407" t="n">
        <v>114</v>
      </c>
      <c r="Q1407" t="inlineStr">
        <is>
          <t>202604_LIXIL_サーモスＬ_業務用資料集_完成品価格表.pdf</t>
        </is>
      </c>
      <c r="R1407" t="inlineStr">
        <is>
          <t>v0.5詳細構成。オペレーター｜T。2026完成品価格表 P114。</t>
        </is>
      </c>
      <c r="S1407" s="42" t="inlineStr">
        <is>
          <t>無印</t>
        </is>
      </c>
      <c r="T1407" s="42" t="n">
        <v>114</v>
      </c>
      <c r="U1407" s="42" t="inlineStr">
        <is>
          <t>P114|無印</t>
        </is>
      </c>
      <c r="V1407" s="42" t="inlineStr">
        <is>
          <t>同頁凡例へ直接連動</t>
        </is>
      </c>
    </row>
    <row r="1408">
      <c r="A1408" t="inlineStr">
        <is>
          <t>SZ-SL-001405</t>
        </is>
      </c>
      <c r="B1408" t="inlineStr">
        <is>
          <t>SER-LIX-SAMOSL</t>
        </is>
      </c>
      <c r="C1408" t="inlineStr">
        <is>
          <t>WT-SL-TATE-SUBERI</t>
        </is>
      </c>
      <c r="D1408" t="inlineStr">
        <is>
          <t>縦すべり出し窓 T（オペレーター）</t>
        </is>
      </c>
      <c r="E1408" t="inlineStr">
        <is>
          <t>SP-SL-TATE-OP-T</t>
        </is>
      </c>
      <c r="F1408" t="inlineStr">
        <is>
          <t>在来・204</t>
        </is>
      </c>
      <c r="G1408" t="inlineStr">
        <is>
          <t>02609</t>
        </is>
      </c>
      <c r="H1408" t="inlineStr">
        <is>
          <t>026</t>
        </is>
      </c>
      <c r="I1408" t="inlineStr">
        <is>
          <t>09</t>
        </is>
      </c>
      <c r="J1408" t="n">
        <v>300</v>
      </c>
      <c r="K1408" t="n">
        <v>970</v>
      </c>
      <c r="L1408" t="inlineStr">
        <is>
          <t>在来・204</t>
        </is>
      </c>
      <c r="M1408" t="b">
        <v>1</v>
      </c>
      <c r="N1408" t="inlineStr">
        <is>
          <t>2026規格・詳細構成確認済み</t>
        </is>
      </c>
      <c r="O1408" t="n">
        <v>116</v>
      </c>
      <c r="P1408" t="n">
        <v>114</v>
      </c>
      <c r="Q1408" t="inlineStr">
        <is>
          <t>202604_LIXIL_サーモスＬ_業務用資料集_完成品価格表.pdf</t>
        </is>
      </c>
      <c r="R1408" t="inlineStr">
        <is>
          <t>v0.5詳細構成。オペレーター｜T。2026完成品価格表 P114。</t>
        </is>
      </c>
      <c r="S1408" s="42" t="inlineStr">
        <is>
          <t>無印</t>
        </is>
      </c>
      <c r="T1408" s="42" t="n">
        <v>114</v>
      </c>
      <c r="U1408" s="42" t="inlineStr">
        <is>
          <t>P114|無印</t>
        </is>
      </c>
      <c r="V1408" s="42" t="inlineStr">
        <is>
          <t>同頁凡例へ直接連動</t>
        </is>
      </c>
    </row>
    <row r="1409">
      <c r="A1409" t="inlineStr">
        <is>
          <t>SZ-SL-001406</t>
        </is>
      </c>
      <c r="B1409" t="inlineStr">
        <is>
          <t>SER-LIX-SAMOSL</t>
        </is>
      </c>
      <c r="C1409" t="inlineStr">
        <is>
          <t>WT-SL-TATE-SUBERI</t>
        </is>
      </c>
      <c r="D1409" t="inlineStr">
        <is>
          <t>縦すべり出し窓 T（オペレーター）</t>
        </is>
      </c>
      <c r="E1409" t="inlineStr">
        <is>
          <t>SP-SL-TATE-OP-T</t>
        </is>
      </c>
      <c r="F1409" t="inlineStr">
        <is>
          <t>在来・204</t>
        </is>
      </c>
      <c r="G1409" t="inlineStr">
        <is>
          <t>02111</t>
        </is>
      </c>
      <c r="H1409" t="inlineStr">
        <is>
          <t>021</t>
        </is>
      </c>
      <c r="I1409" t="inlineStr">
        <is>
          <t>11</t>
        </is>
      </c>
      <c r="J1409" t="n">
        <v>250</v>
      </c>
      <c r="K1409" t="n">
        <v>1170</v>
      </c>
      <c r="L1409" t="inlineStr">
        <is>
          <t>在来・204</t>
        </is>
      </c>
      <c r="M1409" t="b">
        <v>1</v>
      </c>
      <c r="N1409" t="inlineStr">
        <is>
          <t>2026規格・詳細構成確認済み</t>
        </is>
      </c>
      <c r="O1409" t="n">
        <v>116</v>
      </c>
      <c r="P1409" t="n">
        <v>114</v>
      </c>
      <c r="Q1409" t="inlineStr">
        <is>
          <t>202604_LIXIL_サーモスＬ_業務用資料集_完成品価格表.pdf</t>
        </is>
      </c>
      <c r="R1409" t="inlineStr">
        <is>
          <t>v0.5詳細構成。オペレーター｜T。2026完成品価格表 P114。</t>
        </is>
      </c>
      <c r="S1409" s="42" t="inlineStr">
        <is>
          <t>無印</t>
        </is>
      </c>
      <c r="T1409" s="42" t="n">
        <v>114</v>
      </c>
      <c r="U1409" s="42" t="inlineStr">
        <is>
          <t>P114|無印</t>
        </is>
      </c>
      <c r="V1409" s="42" t="inlineStr">
        <is>
          <t>同頁凡例へ直接連動</t>
        </is>
      </c>
    </row>
    <row r="1410">
      <c r="A1410" t="inlineStr">
        <is>
          <t>SZ-SL-001407</t>
        </is>
      </c>
      <c r="B1410" t="inlineStr">
        <is>
          <t>SER-LIX-SAMOSL</t>
        </is>
      </c>
      <c r="C1410" t="inlineStr">
        <is>
          <t>WT-SL-TATE-SUBERI</t>
        </is>
      </c>
      <c r="D1410" t="inlineStr">
        <is>
          <t>縦すべり出し窓 T（オペレーター）</t>
        </is>
      </c>
      <c r="E1410" t="inlineStr">
        <is>
          <t>SP-SL-TATE-OP-T</t>
        </is>
      </c>
      <c r="F1410" t="inlineStr">
        <is>
          <t>在来・204</t>
        </is>
      </c>
      <c r="G1410" t="inlineStr">
        <is>
          <t>02311</t>
        </is>
      </c>
      <c r="H1410" t="inlineStr">
        <is>
          <t>023</t>
        </is>
      </c>
      <c r="I1410" t="inlineStr">
        <is>
          <t>11</t>
        </is>
      </c>
      <c r="J1410" t="n">
        <v>275</v>
      </c>
      <c r="K1410" t="n">
        <v>1170</v>
      </c>
      <c r="L1410" t="inlineStr">
        <is>
          <t>在来・204</t>
        </is>
      </c>
      <c r="M1410" t="b">
        <v>1</v>
      </c>
      <c r="N1410" t="inlineStr">
        <is>
          <t>2026規格・詳細構成確認済み</t>
        </is>
      </c>
      <c r="O1410" t="n">
        <v>116</v>
      </c>
      <c r="P1410" t="n">
        <v>114</v>
      </c>
      <c r="Q1410" t="inlineStr">
        <is>
          <t>202604_LIXIL_サーモスＬ_業務用資料集_完成品価格表.pdf</t>
        </is>
      </c>
      <c r="R1410" t="inlineStr">
        <is>
          <t>v0.5詳細構成。オペレーター｜T。2026完成品価格表 P114。</t>
        </is>
      </c>
      <c r="S1410" s="42" t="inlineStr">
        <is>
          <t>無印</t>
        </is>
      </c>
      <c r="T1410" s="42" t="n">
        <v>114</v>
      </c>
      <c r="U1410" s="42" t="inlineStr">
        <is>
          <t>P114|無印</t>
        </is>
      </c>
      <c r="V1410" s="42" t="inlineStr">
        <is>
          <t>同頁凡例へ直接連動</t>
        </is>
      </c>
    </row>
    <row r="1411">
      <c r="A1411" t="inlineStr">
        <is>
          <t>SZ-SL-001408</t>
        </is>
      </c>
      <c r="B1411" t="inlineStr">
        <is>
          <t>SER-LIX-SAMOSL</t>
        </is>
      </c>
      <c r="C1411" t="inlineStr">
        <is>
          <t>WT-SL-TATE-SUBERI</t>
        </is>
      </c>
      <c r="D1411" t="inlineStr">
        <is>
          <t>縦すべり出し窓 T（オペレーター）</t>
        </is>
      </c>
      <c r="E1411" t="inlineStr">
        <is>
          <t>SP-SL-TATE-OP-T</t>
        </is>
      </c>
      <c r="F1411" t="inlineStr">
        <is>
          <t>在来・204</t>
        </is>
      </c>
      <c r="G1411" t="inlineStr">
        <is>
          <t>02611</t>
        </is>
      </c>
      <c r="H1411" t="inlineStr">
        <is>
          <t>026</t>
        </is>
      </c>
      <c r="I1411" t="inlineStr">
        <is>
          <t>11</t>
        </is>
      </c>
      <c r="J1411" t="n">
        <v>300</v>
      </c>
      <c r="K1411" t="n">
        <v>1170</v>
      </c>
      <c r="L1411" t="inlineStr">
        <is>
          <t>在来・204</t>
        </is>
      </c>
      <c r="M1411" t="b">
        <v>1</v>
      </c>
      <c r="N1411" t="inlineStr">
        <is>
          <t>2026規格・詳細構成確認済み</t>
        </is>
      </c>
      <c r="O1411" t="n">
        <v>116</v>
      </c>
      <c r="P1411" t="n">
        <v>114</v>
      </c>
      <c r="Q1411" t="inlineStr">
        <is>
          <t>202604_LIXIL_サーモスＬ_業務用資料集_完成品価格表.pdf</t>
        </is>
      </c>
      <c r="R1411" t="inlineStr">
        <is>
          <t>v0.5詳細構成。オペレーター｜T。2026完成品価格表 P114。</t>
        </is>
      </c>
      <c r="S1411" s="42" t="inlineStr">
        <is>
          <t>無印</t>
        </is>
      </c>
      <c r="T1411" s="42" t="n">
        <v>114</v>
      </c>
      <c r="U1411" s="42" t="inlineStr">
        <is>
          <t>P114|無印</t>
        </is>
      </c>
      <c r="V1411" s="42" t="inlineStr">
        <is>
          <t>同頁凡例へ直接連動</t>
        </is>
      </c>
    </row>
    <row r="1412">
      <c r="A1412" t="inlineStr">
        <is>
          <t>SZ-SL-001409</t>
        </is>
      </c>
      <c r="B1412" t="inlineStr">
        <is>
          <t>SER-LIX-SAMOSL</t>
        </is>
      </c>
      <c r="C1412" t="inlineStr">
        <is>
          <t>WT-SL-TATE-SUBERI</t>
        </is>
      </c>
      <c r="D1412" t="inlineStr">
        <is>
          <t>縦すべり出し窓 T（オペレーター）</t>
        </is>
      </c>
      <c r="E1412" t="inlineStr">
        <is>
          <t>SP-SL-TATE-OP-T</t>
        </is>
      </c>
      <c r="F1412" t="inlineStr">
        <is>
          <t>在来・204</t>
        </is>
      </c>
      <c r="G1412" t="inlineStr">
        <is>
          <t>02113</t>
        </is>
      </c>
      <c r="H1412" t="inlineStr">
        <is>
          <t>021</t>
        </is>
      </c>
      <c r="I1412" t="inlineStr">
        <is>
          <t>13</t>
        </is>
      </c>
      <c r="J1412" t="n">
        <v>250</v>
      </c>
      <c r="K1412" t="n">
        <v>1370</v>
      </c>
      <c r="L1412" t="inlineStr">
        <is>
          <t>在来・204</t>
        </is>
      </c>
      <c r="M1412" t="b">
        <v>1</v>
      </c>
      <c r="N1412" t="inlineStr">
        <is>
          <t>2026規格・詳細構成確認済み</t>
        </is>
      </c>
      <c r="O1412" t="n">
        <v>116</v>
      </c>
      <c r="P1412" t="n">
        <v>114</v>
      </c>
      <c r="Q1412" t="inlineStr">
        <is>
          <t>202604_LIXIL_サーモスＬ_業務用資料集_完成品価格表.pdf</t>
        </is>
      </c>
      <c r="R1412" t="inlineStr">
        <is>
          <t>v0.5詳細構成。オペレーター｜T。2026完成品価格表 P114。</t>
        </is>
      </c>
      <c r="S1412" s="42" t="inlineStr">
        <is>
          <t>無印</t>
        </is>
      </c>
      <c r="T1412" s="42" t="n">
        <v>114</v>
      </c>
      <c r="U1412" s="42" t="inlineStr">
        <is>
          <t>P114|無印</t>
        </is>
      </c>
      <c r="V1412" s="42" t="inlineStr">
        <is>
          <t>同頁凡例へ直接連動</t>
        </is>
      </c>
    </row>
    <row r="1413">
      <c r="A1413" t="inlineStr">
        <is>
          <t>SZ-SL-001410</t>
        </is>
      </c>
      <c r="B1413" t="inlineStr">
        <is>
          <t>SER-LIX-SAMOSL</t>
        </is>
      </c>
      <c r="C1413" t="inlineStr">
        <is>
          <t>WT-SL-TATE-SUBERI</t>
        </is>
      </c>
      <c r="D1413" t="inlineStr">
        <is>
          <t>縦すべり出し窓 T（オペレーター）</t>
        </is>
      </c>
      <c r="E1413" t="inlineStr">
        <is>
          <t>SP-SL-TATE-OP-T</t>
        </is>
      </c>
      <c r="F1413" t="inlineStr">
        <is>
          <t>在来・204</t>
        </is>
      </c>
      <c r="G1413" t="inlineStr">
        <is>
          <t>02313</t>
        </is>
      </c>
      <c r="H1413" t="inlineStr">
        <is>
          <t>023</t>
        </is>
      </c>
      <c r="I1413" t="inlineStr">
        <is>
          <t>13</t>
        </is>
      </c>
      <c r="J1413" t="n">
        <v>275</v>
      </c>
      <c r="K1413" t="n">
        <v>1370</v>
      </c>
      <c r="L1413" t="inlineStr">
        <is>
          <t>在来・204</t>
        </is>
      </c>
      <c r="M1413" t="b">
        <v>1</v>
      </c>
      <c r="N1413" t="inlineStr">
        <is>
          <t>2026規格・詳細構成確認済み</t>
        </is>
      </c>
      <c r="O1413" t="n">
        <v>116</v>
      </c>
      <c r="P1413" t="n">
        <v>114</v>
      </c>
      <c r="Q1413" t="inlineStr">
        <is>
          <t>202604_LIXIL_サーモスＬ_業務用資料集_完成品価格表.pdf</t>
        </is>
      </c>
      <c r="R1413" t="inlineStr">
        <is>
          <t>v0.5詳細構成。オペレーター｜T。2026完成品価格表 P114。</t>
        </is>
      </c>
      <c r="S1413" s="42" t="inlineStr">
        <is>
          <t>無印</t>
        </is>
      </c>
      <c r="T1413" s="42" t="n">
        <v>114</v>
      </c>
      <c r="U1413" s="42" t="inlineStr">
        <is>
          <t>P114|無印</t>
        </is>
      </c>
      <c r="V1413" s="42" t="inlineStr">
        <is>
          <t>同頁凡例へ直接連動</t>
        </is>
      </c>
    </row>
    <row r="1414">
      <c r="A1414" t="inlineStr">
        <is>
          <t>SZ-SL-001411</t>
        </is>
      </c>
      <c r="B1414" t="inlineStr">
        <is>
          <t>SER-LIX-SAMOSL</t>
        </is>
      </c>
      <c r="C1414" t="inlineStr">
        <is>
          <t>WT-SL-TATE-SUBERI</t>
        </is>
      </c>
      <c r="D1414" t="inlineStr">
        <is>
          <t>縦すべり出し窓 T（オペレーター）</t>
        </is>
      </c>
      <c r="E1414" t="inlineStr">
        <is>
          <t>SP-SL-TATE-OP-T</t>
        </is>
      </c>
      <c r="F1414" t="inlineStr">
        <is>
          <t>在来・204</t>
        </is>
      </c>
      <c r="G1414" t="inlineStr">
        <is>
          <t>02613</t>
        </is>
      </c>
      <c r="H1414" t="inlineStr">
        <is>
          <t>026</t>
        </is>
      </c>
      <c r="I1414" t="inlineStr">
        <is>
          <t>13</t>
        </is>
      </c>
      <c r="J1414" t="n">
        <v>300</v>
      </c>
      <c r="K1414" t="n">
        <v>1370</v>
      </c>
      <c r="L1414" t="inlineStr">
        <is>
          <t>在来・204</t>
        </is>
      </c>
      <c r="M1414" t="b">
        <v>1</v>
      </c>
      <c r="N1414" t="inlineStr">
        <is>
          <t>2026規格・詳細構成確認済み</t>
        </is>
      </c>
      <c r="O1414" t="n">
        <v>116</v>
      </c>
      <c r="P1414" t="n">
        <v>114</v>
      </c>
      <c r="Q1414" t="inlineStr">
        <is>
          <t>202604_LIXIL_サーモスＬ_業務用資料集_完成品価格表.pdf</t>
        </is>
      </c>
      <c r="R1414" t="inlineStr">
        <is>
          <t>v0.5詳細構成。オペレーター｜T。2026完成品価格表 P114。</t>
        </is>
      </c>
      <c r="S1414" s="42" t="inlineStr">
        <is>
          <t>無印</t>
        </is>
      </c>
      <c r="T1414" s="42" t="n">
        <v>114</v>
      </c>
      <c r="U1414" s="42" t="inlineStr">
        <is>
          <t>P114|無印</t>
        </is>
      </c>
      <c r="V1414" s="42" t="inlineStr">
        <is>
          <t>同頁凡例へ直接連動</t>
        </is>
      </c>
    </row>
    <row r="1415">
      <c r="A1415" t="inlineStr">
        <is>
          <t>SZ-SL-001412</t>
        </is>
      </c>
      <c r="B1415" t="inlineStr">
        <is>
          <t>SER-LIX-SAMOSL</t>
        </is>
      </c>
      <c r="C1415" t="inlineStr">
        <is>
          <t>WT-SL-TATE-SUBERI</t>
        </is>
      </c>
      <c r="D1415" t="inlineStr">
        <is>
          <t>縦すべり出し窓 T（オペレーター）</t>
        </is>
      </c>
      <c r="E1415" t="inlineStr">
        <is>
          <t>SP-SL-TATE-OP-T</t>
        </is>
      </c>
      <c r="F1415" t="inlineStr">
        <is>
          <t>在来・204</t>
        </is>
      </c>
      <c r="G1415" t="inlineStr">
        <is>
          <t>02115</t>
        </is>
      </c>
      <c r="H1415" t="inlineStr">
        <is>
          <t>021</t>
        </is>
      </c>
      <c r="I1415" t="inlineStr">
        <is>
          <t>15</t>
        </is>
      </c>
      <c r="J1415" t="n">
        <v>250</v>
      </c>
      <c r="K1415" t="n">
        <v>1570</v>
      </c>
      <c r="L1415" t="inlineStr">
        <is>
          <t>在来・204</t>
        </is>
      </c>
      <c r="M1415" t="b">
        <v>1</v>
      </c>
      <c r="N1415" t="inlineStr">
        <is>
          <t>2026規格・詳細構成確認済み</t>
        </is>
      </c>
      <c r="O1415" t="n">
        <v>116</v>
      </c>
      <c r="P1415" t="n">
        <v>114</v>
      </c>
      <c r="Q1415" t="inlineStr">
        <is>
          <t>202604_LIXIL_サーモスＬ_業務用資料集_完成品価格表.pdf</t>
        </is>
      </c>
      <c r="R1415" t="inlineStr">
        <is>
          <t>v0.5詳細構成。オペレーター｜T。2026完成品価格表 P114。</t>
        </is>
      </c>
      <c r="S1415" s="42" t="inlineStr">
        <is>
          <t>無印</t>
        </is>
      </c>
      <c r="T1415" s="42" t="n">
        <v>114</v>
      </c>
      <c r="U1415" s="42" t="inlineStr">
        <is>
          <t>P114|無印</t>
        </is>
      </c>
      <c r="V1415" s="42" t="inlineStr">
        <is>
          <t>同頁凡例へ直接連動</t>
        </is>
      </c>
    </row>
    <row r="1416">
      <c r="A1416" t="inlineStr">
        <is>
          <t>SZ-SL-001413</t>
        </is>
      </c>
      <c r="B1416" t="inlineStr">
        <is>
          <t>SER-LIX-SAMOSL</t>
        </is>
      </c>
      <c r="C1416" t="inlineStr">
        <is>
          <t>WT-SL-TATE-SUBERI</t>
        </is>
      </c>
      <c r="D1416" t="inlineStr">
        <is>
          <t>縦すべり出し窓 T（オペレーター）</t>
        </is>
      </c>
      <c r="E1416" t="inlineStr">
        <is>
          <t>SP-SL-TATE-OP-T</t>
        </is>
      </c>
      <c r="F1416" t="inlineStr">
        <is>
          <t>在来・204</t>
        </is>
      </c>
      <c r="G1416" t="inlineStr">
        <is>
          <t>02615</t>
        </is>
      </c>
      <c r="H1416" t="inlineStr">
        <is>
          <t>026</t>
        </is>
      </c>
      <c r="I1416" t="inlineStr">
        <is>
          <t>15</t>
        </is>
      </c>
      <c r="J1416" t="n">
        <v>300</v>
      </c>
      <c r="K1416" t="n">
        <v>1570</v>
      </c>
      <c r="L1416" t="inlineStr">
        <is>
          <t>在来・204</t>
        </is>
      </c>
      <c r="M1416" t="b">
        <v>1</v>
      </c>
      <c r="N1416" t="inlineStr">
        <is>
          <t>2026規格・詳細構成確認済み</t>
        </is>
      </c>
      <c r="O1416" t="n">
        <v>116</v>
      </c>
      <c r="P1416" t="n">
        <v>114</v>
      </c>
      <c r="Q1416" t="inlineStr">
        <is>
          <t>202604_LIXIL_サーモスＬ_業務用資料集_完成品価格表.pdf</t>
        </is>
      </c>
      <c r="R1416" t="inlineStr">
        <is>
          <t>v0.5詳細構成。オペレーター｜T。2026完成品価格表 P114。</t>
        </is>
      </c>
      <c r="S1416" s="42" t="inlineStr">
        <is>
          <t>無印</t>
        </is>
      </c>
      <c r="T1416" s="42" t="n">
        <v>114</v>
      </c>
      <c r="U1416" s="42" t="inlineStr">
        <is>
          <t>P114|無印</t>
        </is>
      </c>
      <c r="V1416" s="42" t="inlineStr">
        <is>
          <t>同頁凡例へ直接連動</t>
        </is>
      </c>
    </row>
    <row r="1417">
      <c r="A1417" t="inlineStr">
        <is>
          <t>SZ-SL-001414</t>
        </is>
      </c>
      <c r="B1417" t="inlineStr">
        <is>
          <t>SER-LIX-SAMOSL</t>
        </is>
      </c>
      <c r="C1417" t="inlineStr">
        <is>
          <t>WT-SL-TATE-SUBERI</t>
        </is>
      </c>
      <c r="D1417" t="inlineStr">
        <is>
          <t>縦すべり出し窓 T（オペレーター）</t>
        </is>
      </c>
      <c r="E1417" t="inlineStr">
        <is>
          <t>SP-SL-TATE-OP-T</t>
        </is>
      </c>
      <c r="F1417" t="inlineStr">
        <is>
          <t>在来・204</t>
        </is>
      </c>
      <c r="G1417" t="inlineStr">
        <is>
          <t>03607</t>
        </is>
      </c>
      <c r="H1417" t="inlineStr">
        <is>
          <t>036</t>
        </is>
      </c>
      <c r="I1417" t="inlineStr">
        <is>
          <t>07</t>
        </is>
      </c>
      <c r="J1417" t="n">
        <v>405</v>
      </c>
      <c r="K1417" t="n">
        <v>770</v>
      </c>
      <c r="L1417" t="inlineStr">
        <is>
          <t>在来・204</t>
        </is>
      </c>
      <c r="M1417" t="b">
        <v>1</v>
      </c>
      <c r="N1417" t="inlineStr">
        <is>
          <t>2026規格・詳細構成確認済み</t>
        </is>
      </c>
      <c r="O1417" t="n">
        <v>117</v>
      </c>
      <c r="P1417" t="n">
        <v>115</v>
      </c>
      <c r="Q1417" t="inlineStr">
        <is>
          <t>202604_LIXIL_サーモスＬ_業務用資料集_完成品価格表.pdf</t>
        </is>
      </c>
      <c r="R1417" t="inlineStr">
        <is>
          <t>v0.5詳細構成。オペレーター｜T。2026完成品価格表 P115。</t>
        </is>
      </c>
      <c r="S1417" s="42" t="inlineStr">
        <is>
          <t>無印</t>
        </is>
      </c>
      <c r="T1417" s="42" t="n">
        <v>114</v>
      </c>
      <c r="U1417" s="42" t="inlineStr">
        <is>
          <t>P114|無印</t>
        </is>
      </c>
      <c r="V1417" s="42" t="inlineStr">
        <is>
          <t>同一価格表・前頁凡例を継承</t>
        </is>
      </c>
    </row>
    <row r="1418">
      <c r="A1418" t="inlineStr">
        <is>
          <t>SZ-SL-001415</t>
        </is>
      </c>
      <c r="B1418" t="inlineStr">
        <is>
          <t>SER-LIX-SAMOSL</t>
        </is>
      </c>
      <c r="C1418" t="inlineStr">
        <is>
          <t>WT-SL-TATE-SUBERI</t>
        </is>
      </c>
      <c r="D1418" t="inlineStr">
        <is>
          <t>縦すべり出し窓 T（オペレーター）</t>
        </is>
      </c>
      <c r="E1418" t="inlineStr">
        <is>
          <t>SP-SL-TATE-OP-T</t>
        </is>
      </c>
      <c r="F1418" t="inlineStr">
        <is>
          <t>在来・204</t>
        </is>
      </c>
      <c r="G1418" t="inlineStr">
        <is>
          <t>06007</t>
        </is>
      </c>
      <c r="H1418" t="inlineStr">
        <is>
          <t>060</t>
        </is>
      </c>
      <c r="I1418" t="inlineStr">
        <is>
          <t>07</t>
        </is>
      </c>
      <c r="J1418" t="n">
        <v>640</v>
      </c>
      <c r="K1418" t="n">
        <v>770</v>
      </c>
      <c r="L1418" t="inlineStr">
        <is>
          <t>在来・204</t>
        </is>
      </c>
      <c r="M1418" t="b">
        <v>1</v>
      </c>
      <c r="N1418" t="inlineStr">
        <is>
          <t>2026規格・詳細構成確認済み</t>
        </is>
      </c>
      <c r="O1418" t="n">
        <v>117</v>
      </c>
      <c r="P1418" t="n">
        <v>115</v>
      </c>
      <c r="Q1418" t="inlineStr">
        <is>
          <t>202604_LIXIL_サーモスＬ_業務用資料集_完成品価格表.pdf</t>
        </is>
      </c>
      <c r="R1418" t="inlineStr">
        <is>
          <t>v0.5詳細構成。オペレーター｜T。2026完成品価格表 P115。</t>
        </is>
      </c>
      <c r="S1418" s="42" t="inlineStr">
        <is>
          <t>無印</t>
        </is>
      </c>
      <c r="T1418" s="42" t="n">
        <v>114</v>
      </c>
      <c r="U1418" s="42" t="inlineStr">
        <is>
          <t>P114|無印</t>
        </is>
      </c>
      <c r="V1418" s="42" t="inlineStr">
        <is>
          <t>同一価格表・前頁凡例を継承</t>
        </is>
      </c>
    </row>
    <row r="1419">
      <c r="A1419" t="inlineStr">
        <is>
          <t>SZ-SL-001416</t>
        </is>
      </c>
      <c r="B1419" t="inlineStr">
        <is>
          <t>SER-LIX-SAMOSL</t>
        </is>
      </c>
      <c r="C1419" t="inlineStr">
        <is>
          <t>WT-SL-TATE-SUBERI</t>
        </is>
      </c>
      <c r="D1419" t="inlineStr">
        <is>
          <t>縦すべり出し窓 T（オペレーター）</t>
        </is>
      </c>
      <c r="E1419" t="inlineStr">
        <is>
          <t>SP-SL-TATE-OP-T</t>
        </is>
      </c>
      <c r="F1419" t="inlineStr">
        <is>
          <t>在来・204</t>
        </is>
      </c>
      <c r="G1419" t="inlineStr">
        <is>
          <t>03109</t>
        </is>
      </c>
      <c r="H1419" t="inlineStr">
        <is>
          <t>031</t>
        </is>
      </c>
      <c r="I1419" t="inlineStr">
        <is>
          <t>09</t>
        </is>
      </c>
      <c r="J1419" t="n">
        <v>350</v>
      </c>
      <c r="K1419" t="n">
        <v>970</v>
      </c>
      <c r="L1419" t="inlineStr">
        <is>
          <t>在来・204</t>
        </is>
      </c>
      <c r="M1419" t="b">
        <v>1</v>
      </c>
      <c r="N1419" t="inlineStr">
        <is>
          <t>2026規格・詳細構成確認済み</t>
        </is>
      </c>
      <c r="O1419" t="n">
        <v>117</v>
      </c>
      <c r="P1419" t="n">
        <v>115</v>
      </c>
      <c r="Q1419" t="inlineStr">
        <is>
          <t>202604_LIXIL_サーモスＬ_業務用資料集_完成品価格表.pdf</t>
        </is>
      </c>
      <c r="R1419" t="inlineStr">
        <is>
          <t>v0.5詳細構成。オペレーター｜T。2026完成品価格表 P115。</t>
        </is>
      </c>
      <c r="S1419" s="42" t="inlineStr">
        <is>
          <t>無印</t>
        </is>
      </c>
      <c r="T1419" s="42" t="n">
        <v>114</v>
      </c>
      <c r="U1419" s="42" t="inlineStr">
        <is>
          <t>P114|無印</t>
        </is>
      </c>
      <c r="V1419" s="42" t="inlineStr">
        <is>
          <t>同一価格表・前頁凡例を継承</t>
        </is>
      </c>
    </row>
    <row r="1420">
      <c r="A1420" t="inlineStr">
        <is>
          <t>SZ-SL-001417</t>
        </is>
      </c>
      <c r="B1420" t="inlineStr">
        <is>
          <t>SER-LIX-SAMOSL</t>
        </is>
      </c>
      <c r="C1420" t="inlineStr">
        <is>
          <t>WT-SL-TATE-SUBERI</t>
        </is>
      </c>
      <c r="D1420" t="inlineStr">
        <is>
          <t>縦すべり出し窓 T（オペレーター）</t>
        </is>
      </c>
      <c r="E1420" t="inlineStr">
        <is>
          <t>SP-SL-TATE-OP-T</t>
        </is>
      </c>
      <c r="F1420" t="inlineStr">
        <is>
          <t>在来・204</t>
        </is>
      </c>
      <c r="G1420" t="inlineStr">
        <is>
          <t>03609</t>
        </is>
      </c>
      <c r="H1420" t="inlineStr">
        <is>
          <t>036</t>
        </is>
      </c>
      <c r="I1420" t="inlineStr">
        <is>
          <t>09</t>
        </is>
      </c>
      <c r="J1420" t="n">
        <v>405</v>
      </c>
      <c r="K1420" t="n">
        <v>970</v>
      </c>
      <c r="L1420" t="inlineStr">
        <is>
          <t>在来・204</t>
        </is>
      </c>
      <c r="M1420" t="b">
        <v>1</v>
      </c>
      <c r="N1420" t="inlineStr">
        <is>
          <t>2026規格・詳細構成確認済み</t>
        </is>
      </c>
      <c r="O1420" t="n">
        <v>117</v>
      </c>
      <c r="P1420" t="n">
        <v>115</v>
      </c>
      <c r="Q1420" t="inlineStr">
        <is>
          <t>202604_LIXIL_サーモスＬ_業務用資料集_完成品価格表.pdf</t>
        </is>
      </c>
      <c r="R1420" t="inlineStr">
        <is>
          <t>v0.5詳細構成。オペレーター｜T。2026完成品価格表 P115。</t>
        </is>
      </c>
      <c r="S1420" s="42" t="inlineStr">
        <is>
          <t>無印</t>
        </is>
      </c>
      <c r="T1420" s="42" t="n">
        <v>114</v>
      </c>
      <c r="U1420" s="42" t="inlineStr">
        <is>
          <t>P114|無印</t>
        </is>
      </c>
      <c r="V1420" s="42" t="inlineStr">
        <is>
          <t>同一価格表・前頁凡例を継承</t>
        </is>
      </c>
    </row>
    <row r="1421">
      <c r="A1421" t="inlineStr">
        <is>
          <t>SZ-SL-001418</t>
        </is>
      </c>
      <c r="B1421" t="inlineStr">
        <is>
          <t>SER-LIX-SAMOSL</t>
        </is>
      </c>
      <c r="C1421" t="inlineStr">
        <is>
          <t>WT-SL-TATE-SUBERI</t>
        </is>
      </c>
      <c r="D1421" t="inlineStr">
        <is>
          <t>縦すべり出し窓 T（オペレーター）</t>
        </is>
      </c>
      <c r="E1421" t="inlineStr">
        <is>
          <t>SP-SL-TATE-OP-T</t>
        </is>
      </c>
      <c r="F1421" t="inlineStr">
        <is>
          <t>在来・204</t>
        </is>
      </c>
      <c r="G1421" t="inlineStr">
        <is>
          <t>06009</t>
        </is>
      </c>
      <c r="H1421" t="inlineStr">
        <is>
          <t>060</t>
        </is>
      </c>
      <c r="I1421" t="inlineStr">
        <is>
          <t>09</t>
        </is>
      </c>
      <c r="J1421" t="n">
        <v>640</v>
      </c>
      <c r="K1421" t="n">
        <v>970</v>
      </c>
      <c r="L1421" t="inlineStr">
        <is>
          <t>在来・204</t>
        </is>
      </c>
      <c r="M1421" t="b">
        <v>1</v>
      </c>
      <c r="N1421" t="inlineStr">
        <is>
          <t>2026規格・詳細構成確認済み</t>
        </is>
      </c>
      <c r="O1421" t="n">
        <v>117</v>
      </c>
      <c r="P1421" t="n">
        <v>115</v>
      </c>
      <c r="Q1421" t="inlineStr">
        <is>
          <t>202604_LIXIL_サーモスＬ_業務用資料集_完成品価格表.pdf</t>
        </is>
      </c>
      <c r="R1421" t="inlineStr">
        <is>
          <t>v0.5詳細構成。オペレーター｜T。2026完成品価格表 P115。</t>
        </is>
      </c>
      <c r="S1421" s="42" t="inlineStr">
        <is>
          <t>無印</t>
        </is>
      </c>
      <c r="T1421" s="42" t="n">
        <v>114</v>
      </c>
      <c r="U1421" s="42" t="inlineStr">
        <is>
          <t>P114|無印</t>
        </is>
      </c>
      <c r="V1421" s="42" t="inlineStr">
        <is>
          <t>同一価格表・前頁凡例を継承</t>
        </is>
      </c>
    </row>
    <row r="1422">
      <c r="A1422" t="inlineStr">
        <is>
          <t>SZ-SL-001419</t>
        </is>
      </c>
      <c r="B1422" t="inlineStr">
        <is>
          <t>SER-LIX-SAMOSL</t>
        </is>
      </c>
      <c r="C1422" t="inlineStr">
        <is>
          <t>WT-SL-TATE-SUBERI</t>
        </is>
      </c>
      <c r="D1422" t="inlineStr">
        <is>
          <t>縦すべり出し窓 T（オペレーター）</t>
        </is>
      </c>
      <c r="E1422" t="inlineStr">
        <is>
          <t>SP-SL-TATE-OP-T</t>
        </is>
      </c>
      <c r="F1422" t="inlineStr">
        <is>
          <t>在来・204</t>
        </is>
      </c>
      <c r="G1422" t="inlineStr">
        <is>
          <t>03111</t>
        </is>
      </c>
      <c r="H1422" t="inlineStr">
        <is>
          <t>031</t>
        </is>
      </c>
      <c r="I1422" t="inlineStr">
        <is>
          <t>11</t>
        </is>
      </c>
      <c r="J1422" t="n">
        <v>350</v>
      </c>
      <c r="K1422" t="n">
        <v>1170</v>
      </c>
      <c r="L1422" t="inlineStr">
        <is>
          <t>在来・204</t>
        </is>
      </c>
      <c r="M1422" t="b">
        <v>1</v>
      </c>
      <c r="N1422" t="inlineStr">
        <is>
          <t>2026規格・詳細構成確認済み</t>
        </is>
      </c>
      <c r="O1422" t="n">
        <v>117</v>
      </c>
      <c r="P1422" t="n">
        <v>115</v>
      </c>
      <c r="Q1422" t="inlineStr">
        <is>
          <t>202604_LIXIL_サーモスＬ_業務用資料集_完成品価格表.pdf</t>
        </is>
      </c>
      <c r="R1422" t="inlineStr">
        <is>
          <t>v0.5詳細構成。オペレーター｜T。2026完成品価格表 P115。</t>
        </is>
      </c>
      <c r="S1422" s="42" t="inlineStr">
        <is>
          <t>無印</t>
        </is>
      </c>
      <c r="T1422" s="42" t="n">
        <v>114</v>
      </c>
      <c r="U1422" s="42" t="inlineStr">
        <is>
          <t>P114|無印</t>
        </is>
      </c>
      <c r="V1422" s="42" t="inlineStr">
        <is>
          <t>同一価格表・前頁凡例を継承</t>
        </is>
      </c>
    </row>
    <row r="1423">
      <c r="A1423" t="inlineStr">
        <is>
          <t>SZ-SL-001420</t>
        </is>
      </c>
      <c r="B1423" t="inlineStr">
        <is>
          <t>SER-LIX-SAMOSL</t>
        </is>
      </c>
      <c r="C1423" t="inlineStr">
        <is>
          <t>WT-SL-TATE-SUBERI</t>
        </is>
      </c>
      <c r="D1423" t="inlineStr">
        <is>
          <t>縦すべり出し窓 T（オペレーター）</t>
        </is>
      </c>
      <c r="E1423" t="inlineStr">
        <is>
          <t>SP-SL-TATE-OP-T</t>
        </is>
      </c>
      <c r="F1423" t="inlineStr">
        <is>
          <t>在来・204</t>
        </is>
      </c>
      <c r="G1423" t="inlineStr">
        <is>
          <t>03611</t>
        </is>
      </c>
      <c r="H1423" t="inlineStr">
        <is>
          <t>036</t>
        </is>
      </c>
      <c r="I1423" t="inlineStr">
        <is>
          <t>11</t>
        </is>
      </c>
      <c r="J1423" t="n">
        <v>405</v>
      </c>
      <c r="K1423" t="n">
        <v>1170</v>
      </c>
      <c r="L1423" t="inlineStr">
        <is>
          <t>在来・204</t>
        </is>
      </c>
      <c r="M1423" t="b">
        <v>1</v>
      </c>
      <c r="N1423" t="inlineStr">
        <is>
          <t>2026規格・詳細構成確認済み</t>
        </is>
      </c>
      <c r="O1423" t="n">
        <v>117</v>
      </c>
      <c r="P1423" t="n">
        <v>115</v>
      </c>
      <c r="Q1423" t="inlineStr">
        <is>
          <t>202604_LIXIL_サーモスＬ_業務用資料集_完成品価格表.pdf</t>
        </is>
      </c>
      <c r="R1423" t="inlineStr">
        <is>
          <t>v0.5詳細構成。オペレーター｜T。2026完成品価格表 P115。</t>
        </is>
      </c>
      <c r="S1423" s="42" t="inlineStr">
        <is>
          <t>無印</t>
        </is>
      </c>
      <c r="T1423" s="42" t="n">
        <v>114</v>
      </c>
      <c r="U1423" s="42" t="inlineStr">
        <is>
          <t>P114|無印</t>
        </is>
      </c>
      <c r="V1423" s="42" t="inlineStr">
        <is>
          <t>同一価格表・前頁凡例を継承</t>
        </is>
      </c>
    </row>
    <row r="1424">
      <c r="A1424" t="inlineStr">
        <is>
          <t>SZ-SL-001421</t>
        </is>
      </c>
      <c r="B1424" t="inlineStr">
        <is>
          <t>SER-LIX-SAMOSL</t>
        </is>
      </c>
      <c r="C1424" t="inlineStr">
        <is>
          <t>WT-SL-TATE-SUBERI</t>
        </is>
      </c>
      <c r="D1424" t="inlineStr">
        <is>
          <t>縦すべり出し窓 T（オペレーター）</t>
        </is>
      </c>
      <c r="E1424" t="inlineStr">
        <is>
          <t>SP-SL-TATE-OP-T</t>
        </is>
      </c>
      <c r="F1424" t="inlineStr">
        <is>
          <t>在来・204</t>
        </is>
      </c>
      <c r="G1424" t="inlineStr">
        <is>
          <t>06011</t>
        </is>
      </c>
      <c r="H1424" t="inlineStr">
        <is>
          <t>060</t>
        </is>
      </c>
      <c r="I1424" t="inlineStr">
        <is>
          <t>11</t>
        </is>
      </c>
      <c r="J1424" t="n">
        <v>640</v>
      </c>
      <c r="K1424" t="n">
        <v>1170</v>
      </c>
      <c r="L1424" t="inlineStr">
        <is>
          <t>在来・204</t>
        </is>
      </c>
      <c r="M1424" t="b">
        <v>1</v>
      </c>
      <c r="N1424" t="inlineStr">
        <is>
          <t>2026規格・詳細構成確認済み</t>
        </is>
      </c>
      <c r="O1424" t="n">
        <v>117</v>
      </c>
      <c r="P1424" t="n">
        <v>115</v>
      </c>
      <c r="Q1424" t="inlineStr">
        <is>
          <t>202604_LIXIL_サーモスＬ_業務用資料集_完成品価格表.pdf</t>
        </is>
      </c>
      <c r="R1424" t="inlineStr">
        <is>
          <t>v0.5詳細構成。オペレーター｜T。2026完成品価格表 P115。</t>
        </is>
      </c>
      <c r="S1424" s="42" t="inlineStr">
        <is>
          <t>無印</t>
        </is>
      </c>
      <c r="T1424" s="42" t="n">
        <v>114</v>
      </c>
      <c r="U1424" s="42" t="inlineStr">
        <is>
          <t>P114|無印</t>
        </is>
      </c>
      <c r="V1424" s="42" t="inlineStr">
        <is>
          <t>同一価格表・前頁凡例を継承</t>
        </is>
      </c>
    </row>
    <row r="1425">
      <c r="A1425" t="inlineStr">
        <is>
          <t>SZ-SL-001422</t>
        </is>
      </c>
      <c r="B1425" t="inlineStr">
        <is>
          <t>SER-LIX-SAMOSL</t>
        </is>
      </c>
      <c r="C1425" t="inlineStr">
        <is>
          <t>WT-SL-TATE-SUBERI</t>
        </is>
      </c>
      <c r="D1425" t="inlineStr">
        <is>
          <t>縦すべり出し窓 T（オペレーター）</t>
        </is>
      </c>
      <c r="E1425" t="inlineStr">
        <is>
          <t>SP-SL-TATE-OP-T</t>
        </is>
      </c>
      <c r="F1425" t="inlineStr">
        <is>
          <t>在来・204</t>
        </is>
      </c>
      <c r="G1425" t="inlineStr">
        <is>
          <t>03113</t>
        </is>
      </c>
      <c r="H1425" t="inlineStr">
        <is>
          <t>031</t>
        </is>
      </c>
      <c r="I1425" t="inlineStr">
        <is>
          <t>13</t>
        </is>
      </c>
      <c r="J1425" t="n">
        <v>350</v>
      </c>
      <c r="K1425" t="n">
        <v>1370</v>
      </c>
      <c r="L1425" t="inlineStr">
        <is>
          <t>在来・204</t>
        </is>
      </c>
      <c r="M1425" t="b">
        <v>1</v>
      </c>
      <c r="N1425" t="inlineStr">
        <is>
          <t>2026規格・詳細構成確認済み</t>
        </is>
      </c>
      <c r="O1425" t="n">
        <v>117</v>
      </c>
      <c r="P1425" t="n">
        <v>115</v>
      </c>
      <c r="Q1425" t="inlineStr">
        <is>
          <t>202604_LIXIL_サーモスＬ_業務用資料集_完成品価格表.pdf</t>
        </is>
      </c>
      <c r="R1425" t="inlineStr">
        <is>
          <t>v0.5詳細構成。オペレーター｜T。2026完成品価格表 P115。</t>
        </is>
      </c>
      <c r="S1425" s="42" t="inlineStr">
        <is>
          <t>無印</t>
        </is>
      </c>
      <c r="T1425" s="42" t="n">
        <v>114</v>
      </c>
      <c r="U1425" s="42" t="inlineStr">
        <is>
          <t>P114|無印</t>
        </is>
      </c>
      <c r="V1425" s="42" t="inlineStr">
        <is>
          <t>同一価格表・前頁凡例を継承</t>
        </is>
      </c>
    </row>
    <row r="1426">
      <c r="A1426" t="inlineStr">
        <is>
          <t>SZ-SL-001423</t>
        </is>
      </c>
      <c r="B1426" t="inlineStr">
        <is>
          <t>SER-LIX-SAMOSL</t>
        </is>
      </c>
      <c r="C1426" t="inlineStr">
        <is>
          <t>WT-SL-TATE-SUBERI</t>
        </is>
      </c>
      <c r="D1426" t="inlineStr">
        <is>
          <t>縦すべり出し窓 T（オペレーター）</t>
        </is>
      </c>
      <c r="E1426" t="inlineStr">
        <is>
          <t>SP-SL-TATE-OP-T</t>
        </is>
      </c>
      <c r="F1426" t="inlineStr">
        <is>
          <t>在来・204</t>
        </is>
      </c>
      <c r="G1426" t="inlineStr">
        <is>
          <t>03613</t>
        </is>
      </c>
      <c r="H1426" t="inlineStr">
        <is>
          <t>036</t>
        </is>
      </c>
      <c r="I1426" t="inlineStr">
        <is>
          <t>13</t>
        </is>
      </c>
      <c r="J1426" t="n">
        <v>405</v>
      </c>
      <c r="K1426" t="n">
        <v>1370</v>
      </c>
      <c r="L1426" t="inlineStr">
        <is>
          <t>在来・204</t>
        </is>
      </c>
      <c r="M1426" t="b">
        <v>1</v>
      </c>
      <c r="N1426" t="inlineStr">
        <is>
          <t>2026規格・詳細構成確認済み</t>
        </is>
      </c>
      <c r="O1426" t="n">
        <v>117</v>
      </c>
      <c r="P1426" t="n">
        <v>115</v>
      </c>
      <c r="Q1426" t="inlineStr">
        <is>
          <t>202604_LIXIL_サーモスＬ_業務用資料集_完成品価格表.pdf</t>
        </is>
      </c>
      <c r="R1426" t="inlineStr">
        <is>
          <t>v0.5詳細構成。オペレーター｜T。2026完成品価格表 P115。</t>
        </is>
      </c>
      <c r="S1426" s="42" t="inlineStr">
        <is>
          <t>無印</t>
        </is>
      </c>
      <c r="T1426" s="42" t="n">
        <v>114</v>
      </c>
      <c r="U1426" s="42" t="inlineStr">
        <is>
          <t>P114|無印</t>
        </is>
      </c>
      <c r="V1426" s="42" t="inlineStr">
        <is>
          <t>同一価格表・前頁凡例を継承</t>
        </is>
      </c>
    </row>
    <row r="1427">
      <c r="A1427" t="inlineStr">
        <is>
          <t>SZ-SL-001424</t>
        </is>
      </c>
      <c r="B1427" t="inlineStr">
        <is>
          <t>SER-LIX-SAMOSL</t>
        </is>
      </c>
      <c r="C1427" t="inlineStr">
        <is>
          <t>WT-SL-TATE-SUBERI</t>
        </is>
      </c>
      <c r="D1427" t="inlineStr">
        <is>
          <t>縦すべり出し窓 T（オペレーター）</t>
        </is>
      </c>
      <c r="E1427" t="inlineStr">
        <is>
          <t>SP-SL-TATE-OP-T</t>
        </is>
      </c>
      <c r="F1427" t="inlineStr">
        <is>
          <t>在来・204</t>
        </is>
      </c>
      <c r="G1427" t="inlineStr">
        <is>
          <t>06013</t>
        </is>
      </c>
      <c r="H1427" t="inlineStr">
        <is>
          <t>060</t>
        </is>
      </c>
      <c r="I1427" t="inlineStr">
        <is>
          <t>13</t>
        </is>
      </c>
      <c r="J1427" t="n">
        <v>640</v>
      </c>
      <c r="K1427" t="n">
        <v>1370</v>
      </c>
      <c r="L1427" t="inlineStr">
        <is>
          <t>在来・204</t>
        </is>
      </c>
      <c r="M1427" t="b">
        <v>1</v>
      </c>
      <c r="N1427" t="inlineStr">
        <is>
          <t>2026規格・詳細構成確認済み</t>
        </is>
      </c>
      <c r="O1427" t="n">
        <v>117</v>
      </c>
      <c r="P1427" t="n">
        <v>115</v>
      </c>
      <c r="Q1427" t="inlineStr">
        <is>
          <t>202604_LIXIL_サーモスＬ_業務用資料集_完成品価格表.pdf</t>
        </is>
      </c>
      <c r="R1427" t="inlineStr">
        <is>
          <t>v0.5詳細構成。オペレーター｜T。2026完成品価格表 P115。</t>
        </is>
      </c>
      <c r="S1427" s="42" t="inlineStr">
        <is>
          <t>無印</t>
        </is>
      </c>
      <c r="T1427" s="42" t="n">
        <v>114</v>
      </c>
      <c r="U1427" s="42" t="inlineStr">
        <is>
          <t>P114|無印</t>
        </is>
      </c>
      <c r="V1427" s="42" t="inlineStr">
        <is>
          <t>同一価格表・前頁凡例を継承</t>
        </is>
      </c>
    </row>
    <row r="1428">
      <c r="A1428" t="inlineStr">
        <is>
          <t>SZ-SL-001425</t>
        </is>
      </c>
      <c r="B1428" t="inlineStr">
        <is>
          <t>SER-LIX-SAMOSL</t>
        </is>
      </c>
      <c r="C1428" t="inlineStr">
        <is>
          <t>WT-SL-TATE-SUBERI</t>
        </is>
      </c>
      <c r="D1428" t="inlineStr">
        <is>
          <t>縦すべり出し窓 T（オペレーター）</t>
        </is>
      </c>
      <c r="E1428" t="inlineStr">
        <is>
          <t>SP-SL-TATE-OP-T</t>
        </is>
      </c>
      <c r="F1428" t="inlineStr">
        <is>
          <t>在来・204</t>
        </is>
      </c>
      <c r="G1428" t="inlineStr">
        <is>
          <t>03115</t>
        </is>
      </c>
      <c r="H1428" t="inlineStr">
        <is>
          <t>031</t>
        </is>
      </c>
      <c r="I1428" t="inlineStr">
        <is>
          <t>15</t>
        </is>
      </c>
      <c r="J1428" t="n">
        <v>350</v>
      </c>
      <c r="K1428" t="n">
        <v>1570</v>
      </c>
      <c r="L1428" t="inlineStr">
        <is>
          <t>在来・204</t>
        </is>
      </c>
      <c r="M1428" t="b">
        <v>1</v>
      </c>
      <c r="N1428" t="inlineStr">
        <is>
          <t>2026規格・詳細構成確認済み</t>
        </is>
      </c>
      <c r="O1428" t="n">
        <v>117</v>
      </c>
      <c r="P1428" t="n">
        <v>115</v>
      </c>
      <c r="Q1428" t="inlineStr">
        <is>
          <t>202604_LIXIL_サーモスＬ_業務用資料集_完成品価格表.pdf</t>
        </is>
      </c>
      <c r="R1428" t="inlineStr">
        <is>
          <t>v0.5詳細構成。オペレーター｜T。2026完成品価格表 P115。</t>
        </is>
      </c>
      <c r="S1428" s="42" t="inlineStr">
        <is>
          <t>無印</t>
        </is>
      </c>
      <c r="T1428" s="42" t="n">
        <v>114</v>
      </c>
      <c r="U1428" s="42" t="inlineStr">
        <is>
          <t>P114|無印</t>
        </is>
      </c>
      <c r="V1428" s="42" t="inlineStr">
        <is>
          <t>同一価格表・前頁凡例を継承</t>
        </is>
      </c>
    </row>
    <row r="1429">
      <c r="A1429" t="inlineStr">
        <is>
          <t>SZ-SL-001426</t>
        </is>
      </c>
      <c r="B1429" t="inlineStr">
        <is>
          <t>SER-LIX-SAMOSL</t>
        </is>
      </c>
      <c r="C1429" t="inlineStr">
        <is>
          <t>WT-SL-TATE-SUBERI</t>
        </is>
      </c>
      <c r="D1429" t="inlineStr">
        <is>
          <t>縦すべり出し窓 T（オペレーター）</t>
        </is>
      </c>
      <c r="E1429" t="inlineStr">
        <is>
          <t>SP-SL-TATE-OP-T</t>
        </is>
      </c>
      <c r="F1429" t="inlineStr">
        <is>
          <t>在来・204</t>
        </is>
      </c>
      <c r="G1429" t="inlineStr">
        <is>
          <t>02118</t>
        </is>
      </c>
      <c r="H1429" t="inlineStr">
        <is>
          <t>021</t>
        </is>
      </c>
      <c r="I1429" t="inlineStr">
        <is>
          <t>18</t>
        </is>
      </c>
      <c r="J1429" t="n">
        <v>250</v>
      </c>
      <c r="K1429" t="n">
        <v>1870</v>
      </c>
      <c r="L1429" t="inlineStr">
        <is>
          <t>在来・204</t>
        </is>
      </c>
      <c r="M1429" t="b">
        <v>1</v>
      </c>
      <c r="N1429" t="inlineStr">
        <is>
          <t>2026規格・詳細構成確認済み</t>
        </is>
      </c>
      <c r="O1429" t="n">
        <v>118</v>
      </c>
      <c r="P1429" t="n">
        <v>116</v>
      </c>
      <c r="Q1429" t="inlineStr">
        <is>
          <t>202604_LIXIL_サーモスＬ_業務用資料集_完成品価格表.pdf</t>
        </is>
      </c>
      <c r="R1429" t="inlineStr">
        <is>
          <t>v0.5詳細構成。オペレーター｜T。2026完成品価格表 P116。</t>
        </is>
      </c>
      <c r="S1429" s="42" t="inlineStr">
        <is>
          <t>無印</t>
        </is>
      </c>
      <c r="T1429" s="42" t="n">
        <v>116</v>
      </c>
      <c r="U1429" s="42" t="inlineStr">
        <is>
          <t>P116|無印</t>
        </is>
      </c>
      <c r="V1429" s="42" t="inlineStr">
        <is>
          <t>同頁凡例へ直接連動</t>
        </is>
      </c>
    </row>
    <row r="1430">
      <c r="A1430" t="inlineStr">
        <is>
          <t>SZ-SL-001427</t>
        </is>
      </c>
      <c r="B1430" t="inlineStr">
        <is>
          <t>SER-LIX-SAMOSL</t>
        </is>
      </c>
      <c r="C1430" t="inlineStr">
        <is>
          <t>WT-SL-TATE-SUBERI</t>
        </is>
      </c>
      <c r="D1430" t="inlineStr">
        <is>
          <t>縦すべり出し窓 T（オペレーター）</t>
        </is>
      </c>
      <c r="E1430" t="inlineStr">
        <is>
          <t>SP-SL-TATE-OP-T</t>
        </is>
      </c>
      <c r="F1430" t="inlineStr">
        <is>
          <t>在来・204</t>
        </is>
      </c>
      <c r="G1430" t="inlineStr">
        <is>
          <t>02618</t>
        </is>
      </c>
      <c r="H1430" t="inlineStr">
        <is>
          <t>026</t>
        </is>
      </c>
      <c r="I1430" t="inlineStr">
        <is>
          <t>18</t>
        </is>
      </c>
      <c r="J1430" t="n">
        <v>300</v>
      </c>
      <c r="K1430" t="n">
        <v>1870</v>
      </c>
      <c r="L1430" t="inlineStr">
        <is>
          <t>在来・204</t>
        </is>
      </c>
      <c r="M1430" t="b">
        <v>1</v>
      </c>
      <c r="N1430" t="inlineStr">
        <is>
          <t>2026規格・詳細構成確認済み</t>
        </is>
      </c>
      <c r="O1430" t="n">
        <v>118</v>
      </c>
      <c r="P1430" t="n">
        <v>116</v>
      </c>
      <c r="Q1430" t="inlineStr">
        <is>
          <t>202604_LIXIL_サーモスＬ_業務用資料集_完成品価格表.pdf</t>
        </is>
      </c>
      <c r="R1430" t="inlineStr">
        <is>
          <t>v0.5詳細構成。オペレーター｜T。2026完成品価格表 P116。</t>
        </is>
      </c>
      <c r="S1430" s="42" t="inlineStr">
        <is>
          <t>無印</t>
        </is>
      </c>
      <c r="T1430" s="42" t="n">
        <v>116</v>
      </c>
      <c r="U1430" s="42" t="inlineStr">
        <is>
          <t>P116|無印</t>
        </is>
      </c>
      <c r="V1430" s="42" t="inlineStr">
        <is>
          <t>同頁凡例へ直接連動</t>
        </is>
      </c>
    </row>
    <row r="1431">
      <c r="A1431" t="inlineStr">
        <is>
          <t>SZ-SL-001428</t>
        </is>
      </c>
      <c r="B1431" t="inlineStr">
        <is>
          <t>SER-LIX-SAMOSL</t>
        </is>
      </c>
      <c r="C1431" t="inlineStr">
        <is>
          <t>WT-SL-TATE-SUBERI</t>
        </is>
      </c>
      <c r="D1431" t="inlineStr">
        <is>
          <t>縦すべり出し窓 T（オペレーター）</t>
        </is>
      </c>
      <c r="E1431" t="inlineStr">
        <is>
          <t>SP-SL-TATE-OP-T</t>
        </is>
      </c>
      <c r="F1431" t="inlineStr">
        <is>
          <t>在来・204</t>
        </is>
      </c>
      <c r="G1431" t="inlineStr">
        <is>
          <t>02120</t>
        </is>
      </c>
      <c r="H1431" t="inlineStr">
        <is>
          <t>021</t>
        </is>
      </c>
      <c r="I1431" t="inlineStr">
        <is>
          <t>20</t>
        </is>
      </c>
      <c r="J1431" t="n">
        <v>250</v>
      </c>
      <c r="K1431" t="n">
        <v>2070</v>
      </c>
      <c r="L1431" t="inlineStr">
        <is>
          <t>在来・204</t>
        </is>
      </c>
      <c r="M1431" t="b">
        <v>1</v>
      </c>
      <c r="N1431" t="inlineStr">
        <is>
          <t>2026規格・詳細構成確認済み</t>
        </is>
      </c>
      <c r="O1431" t="n">
        <v>118</v>
      </c>
      <c r="P1431" t="n">
        <v>116</v>
      </c>
      <c r="Q1431" t="inlineStr">
        <is>
          <t>202604_LIXIL_サーモスＬ_業務用資料集_完成品価格表.pdf</t>
        </is>
      </c>
      <c r="R1431" t="inlineStr">
        <is>
          <t>v0.5詳細構成。オペレーター｜T。2026完成品価格表 P116。</t>
        </is>
      </c>
      <c r="S1431" s="42" t="inlineStr">
        <is>
          <t>無印</t>
        </is>
      </c>
      <c r="T1431" s="42" t="n">
        <v>116</v>
      </c>
      <c r="U1431" s="42" t="inlineStr">
        <is>
          <t>P116|無印</t>
        </is>
      </c>
      <c r="V1431" s="42" t="inlineStr">
        <is>
          <t>同頁凡例へ直接連動</t>
        </is>
      </c>
    </row>
    <row r="1432">
      <c r="A1432" t="inlineStr">
        <is>
          <t>SZ-SL-001429</t>
        </is>
      </c>
      <c r="B1432" t="inlineStr">
        <is>
          <t>SER-LIX-SAMOSL</t>
        </is>
      </c>
      <c r="C1432" t="inlineStr">
        <is>
          <t>WT-SL-TATE-SUBERI</t>
        </is>
      </c>
      <c r="D1432" t="inlineStr">
        <is>
          <t>縦すべり出し窓 T（オペレーター）</t>
        </is>
      </c>
      <c r="E1432" t="inlineStr">
        <is>
          <t>SP-SL-TATE-OP-T</t>
        </is>
      </c>
      <c r="F1432" t="inlineStr">
        <is>
          <t>在来・204</t>
        </is>
      </c>
      <c r="G1432" t="inlineStr">
        <is>
          <t>02620</t>
        </is>
      </c>
      <c r="H1432" t="inlineStr">
        <is>
          <t>026</t>
        </is>
      </c>
      <c r="I1432" t="inlineStr">
        <is>
          <t>20</t>
        </is>
      </c>
      <c r="J1432" t="n">
        <v>300</v>
      </c>
      <c r="K1432" t="n">
        <v>2070</v>
      </c>
      <c r="L1432" t="inlineStr">
        <is>
          <t>在来・204</t>
        </is>
      </c>
      <c r="M1432" t="b">
        <v>1</v>
      </c>
      <c r="N1432" t="inlineStr">
        <is>
          <t>2026規格・詳細構成確認済み</t>
        </is>
      </c>
      <c r="O1432" t="n">
        <v>118</v>
      </c>
      <c r="P1432" t="n">
        <v>116</v>
      </c>
      <c r="Q1432" t="inlineStr">
        <is>
          <t>202604_LIXIL_サーモスＬ_業務用資料集_完成品価格表.pdf</t>
        </is>
      </c>
      <c r="R1432" t="inlineStr">
        <is>
          <t>v0.5詳細構成。オペレーター｜T。2026完成品価格表 P116。</t>
        </is>
      </c>
      <c r="S1432" s="42" t="inlineStr">
        <is>
          <t>無印</t>
        </is>
      </c>
      <c r="T1432" s="42" t="n">
        <v>116</v>
      </c>
      <c r="U1432" s="42" t="inlineStr">
        <is>
          <t>P116|無印</t>
        </is>
      </c>
      <c r="V1432" s="42" t="inlineStr">
        <is>
          <t>同頁凡例へ直接連動</t>
        </is>
      </c>
    </row>
    <row r="1433">
      <c r="A1433" t="inlineStr">
        <is>
          <t>SZ-SL-001430</t>
        </is>
      </c>
      <c r="B1433" t="inlineStr">
        <is>
          <t>SER-LIX-SAMOSL</t>
        </is>
      </c>
      <c r="C1433" t="inlineStr">
        <is>
          <t>WT-SL-TATE-SUBERI</t>
        </is>
      </c>
      <c r="D1433" t="inlineStr">
        <is>
          <t>縦すべり出し窓 T（オペレーター）</t>
        </is>
      </c>
      <c r="E1433" t="inlineStr">
        <is>
          <t>SP-SL-TATE-OP-T</t>
        </is>
      </c>
      <c r="F1433" t="inlineStr">
        <is>
          <t>在来・204</t>
        </is>
      </c>
      <c r="G1433" t="inlineStr">
        <is>
          <t>02122</t>
        </is>
      </c>
      <c r="H1433" t="inlineStr">
        <is>
          <t>021</t>
        </is>
      </c>
      <c r="I1433" t="inlineStr">
        <is>
          <t>22</t>
        </is>
      </c>
      <c r="J1433" t="n">
        <v>250</v>
      </c>
      <c r="K1433" t="n">
        <v>2270</v>
      </c>
      <c r="L1433" t="inlineStr">
        <is>
          <t>在来・204</t>
        </is>
      </c>
      <c r="M1433" t="b">
        <v>1</v>
      </c>
      <c r="N1433" t="inlineStr">
        <is>
          <t>2026規格・詳細構成確認済み</t>
        </is>
      </c>
      <c r="O1433" t="n">
        <v>118</v>
      </c>
      <c r="P1433" t="n">
        <v>116</v>
      </c>
      <c r="Q1433" t="inlineStr">
        <is>
          <t>202604_LIXIL_サーモスＬ_業務用資料集_完成品価格表.pdf</t>
        </is>
      </c>
      <c r="R1433" t="inlineStr">
        <is>
          <t>v0.5詳細構成。オペレーター｜T。2026完成品価格表 P116。</t>
        </is>
      </c>
      <c r="S1433" s="42" t="inlineStr">
        <is>
          <t>無印</t>
        </is>
      </c>
      <c r="T1433" s="42" t="n">
        <v>116</v>
      </c>
      <c r="U1433" s="42" t="inlineStr">
        <is>
          <t>P116|無印</t>
        </is>
      </c>
      <c r="V1433" s="42" t="inlineStr">
        <is>
          <t>同頁凡例へ直接連動</t>
        </is>
      </c>
    </row>
    <row r="1434">
      <c r="A1434" t="inlineStr">
        <is>
          <t>SZ-SL-001431</t>
        </is>
      </c>
      <c r="B1434" t="inlineStr">
        <is>
          <t>SER-LIX-SAMOSL</t>
        </is>
      </c>
      <c r="C1434" t="inlineStr">
        <is>
          <t>WT-SL-TATE-SUBERI</t>
        </is>
      </c>
      <c r="D1434" t="inlineStr">
        <is>
          <t>縦すべり出し窓 T（オペレーター）</t>
        </is>
      </c>
      <c r="E1434" t="inlineStr">
        <is>
          <t>SP-SL-TATE-OP-T</t>
        </is>
      </c>
      <c r="F1434" t="inlineStr">
        <is>
          <t>在来・204</t>
        </is>
      </c>
      <c r="G1434" t="inlineStr">
        <is>
          <t>02622</t>
        </is>
      </c>
      <c r="H1434" t="inlineStr">
        <is>
          <t>026</t>
        </is>
      </c>
      <c r="I1434" t="inlineStr">
        <is>
          <t>22</t>
        </is>
      </c>
      <c r="J1434" t="n">
        <v>300</v>
      </c>
      <c r="K1434" t="n">
        <v>2270</v>
      </c>
      <c r="L1434" t="inlineStr">
        <is>
          <t>在来・204</t>
        </is>
      </c>
      <c r="M1434" t="b">
        <v>1</v>
      </c>
      <c r="N1434" t="inlineStr">
        <is>
          <t>2026規格・詳細構成確認済み</t>
        </is>
      </c>
      <c r="O1434" t="n">
        <v>118</v>
      </c>
      <c r="P1434" t="n">
        <v>116</v>
      </c>
      <c r="Q1434" t="inlineStr">
        <is>
          <t>202604_LIXIL_サーモスＬ_業務用資料集_完成品価格表.pdf</t>
        </is>
      </c>
      <c r="R1434" t="inlineStr">
        <is>
          <t>v0.5詳細構成。オペレーター｜T。2026完成品価格表 P116。</t>
        </is>
      </c>
      <c r="S1434" s="42" t="inlineStr">
        <is>
          <t>無印</t>
        </is>
      </c>
      <c r="T1434" s="42" t="n">
        <v>116</v>
      </c>
      <c r="U1434" s="42" t="inlineStr">
        <is>
          <t>P116|無印</t>
        </is>
      </c>
      <c r="V1434" s="42" t="inlineStr">
        <is>
          <t>同頁凡例へ直接連動</t>
        </is>
      </c>
    </row>
    <row r="1435">
      <c r="A1435" t="inlineStr">
        <is>
          <t>SZ-SL-001432</t>
        </is>
      </c>
      <c r="B1435" t="inlineStr">
        <is>
          <t>SER-LIX-SAMOSL</t>
        </is>
      </c>
      <c r="C1435" t="inlineStr">
        <is>
          <t>WT-SL-TATE-SUBERI</t>
        </is>
      </c>
      <c r="D1435" t="inlineStr">
        <is>
          <t>縦すべり出し窓 T（オペレーター）</t>
        </is>
      </c>
      <c r="E1435" t="inlineStr">
        <is>
          <t>SP-SL-TATE-OP-T</t>
        </is>
      </c>
      <c r="F1435" t="inlineStr">
        <is>
          <t>在来・204</t>
        </is>
      </c>
      <c r="G1435" t="inlineStr">
        <is>
          <t>03118</t>
        </is>
      </c>
      <c r="H1435" t="inlineStr">
        <is>
          <t>031</t>
        </is>
      </c>
      <c r="I1435" t="inlineStr">
        <is>
          <t>18</t>
        </is>
      </c>
      <c r="J1435" t="n">
        <v>350</v>
      </c>
      <c r="K1435" t="n">
        <v>1870</v>
      </c>
      <c r="L1435" t="inlineStr">
        <is>
          <t>在来・204</t>
        </is>
      </c>
      <c r="M1435" t="b">
        <v>1</v>
      </c>
      <c r="N1435" t="inlineStr">
        <is>
          <t>2026規格・詳細構成確認済み</t>
        </is>
      </c>
      <c r="O1435" t="n">
        <v>119</v>
      </c>
      <c r="P1435" t="n">
        <v>117</v>
      </c>
      <c r="Q1435" t="inlineStr">
        <is>
          <t>202604_LIXIL_サーモスＬ_業務用資料集_完成品価格表.pdf</t>
        </is>
      </c>
      <c r="R1435" t="inlineStr">
        <is>
          <t>v0.5詳細構成。オペレーター｜T。2026完成品価格表 P117。</t>
        </is>
      </c>
      <c r="S1435" s="42" t="inlineStr">
        <is>
          <t>無印</t>
        </is>
      </c>
      <c r="T1435" s="42" t="n">
        <v>116</v>
      </c>
      <c r="U1435" s="42" t="inlineStr">
        <is>
          <t>P116|無印</t>
        </is>
      </c>
      <c r="V1435" s="42" t="inlineStr">
        <is>
          <t>同一価格表・前頁凡例を継承</t>
        </is>
      </c>
    </row>
    <row r="1436">
      <c r="A1436" t="inlineStr">
        <is>
          <t>SZ-SL-001433</t>
        </is>
      </c>
      <c r="B1436" t="inlineStr">
        <is>
          <t>SER-LIX-SAMOSL</t>
        </is>
      </c>
      <c r="C1436" t="inlineStr">
        <is>
          <t>WT-SL-TATE-SUBERI</t>
        </is>
      </c>
      <c r="D1436" t="inlineStr">
        <is>
          <t>縦すべり出し窓 T（オペレーター）</t>
        </is>
      </c>
      <c r="E1436" t="inlineStr">
        <is>
          <t>SP-SL-TATE-OP-T</t>
        </is>
      </c>
      <c r="F1436" t="inlineStr">
        <is>
          <t>在来・204</t>
        </is>
      </c>
      <c r="G1436" t="inlineStr">
        <is>
          <t>03120</t>
        </is>
      </c>
      <c r="H1436" t="inlineStr">
        <is>
          <t>031</t>
        </is>
      </c>
      <c r="I1436" t="inlineStr">
        <is>
          <t>20</t>
        </is>
      </c>
      <c r="J1436" t="n">
        <v>350</v>
      </c>
      <c r="K1436" t="n">
        <v>2070</v>
      </c>
      <c r="L1436" t="inlineStr">
        <is>
          <t>在来・204</t>
        </is>
      </c>
      <c r="M1436" t="b">
        <v>1</v>
      </c>
      <c r="N1436" t="inlineStr">
        <is>
          <t>2026規格・詳細構成確認済み</t>
        </is>
      </c>
      <c r="O1436" t="n">
        <v>119</v>
      </c>
      <c r="P1436" t="n">
        <v>117</v>
      </c>
      <c r="Q1436" t="inlineStr">
        <is>
          <t>202604_LIXIL_サーモスＬ_業務用資料集_完成品価格表.pdf</t>
        </is>
      </c>
      <c r="R1436" t="inlineStr">
        <is>
          <t>v0.5詳細構成。オペレーター｜T。2026完成品価格表 P117。</t>
        </is>
      </c>
      <c r="S1436" s="42" t="inlineStr">
        <is>
          <t>無印</t>
        </is>
      </c>
      <c r="T1436" s="42" t="n">
        <v>116</v>
      </c>
      <c r="U1436" s="42" t="inlineStr">
        <is>
          <t>P116|無印</t>
        </is>
      </c>
      <c r="V1436" s="42" t="inlineStr">
        <is>
          <t>同一価格表・前頁凡例を継承</t>
        </is>
      </c>
    </row>
    <row r="1437">
      <c r="A1437" t="inlineStr">
        <is>
          <t>SZ-SL-001434</t>
        </is>
      </c>
      <c r="B1437" t="inlineStr">
        <is>
          <t>SER-LIX-SAMOSL</t>
        </is>
      </c>
      <c r="C1437" t="inlineStr">
        <is>
          <t>WT-SL-TATE-SUBERI</t>
        </is>
      </c>
      <c r="D1437" t="inlineStr">
        <is>
          <t>縦すべり出し窓 T（オペレーター）</t>
        </is>
      </c>
      <c r="E1437" t="inlineStr">
        <is>
          <t>SP-SL-TATE-OP-T</t>
        </is>
      </c>
      <c r="F1437" t="inlineStr">
        <is>
          <t>在来・204</t>
        </is>
      </c>
      <c r="G1437" t="inlineStr">
        <is>
          <t>03122</t>
        </is>
      </c>
      <c r="H1437" t="inlineStr">
        <is>
          <t>031</t>
        </is>
      </c>
      <c r="I1437" t="inlineStr">
        <is>
          <t>22</t>
        </is>
      </c>
      <c r="J1437" t="n">
        <v>350</v>
      </c>
      <c r="K1437" t="n">
        <v>2270</v>
      </c>
      <c r="L1437" t="inlineStr">
        <is>
          <t>在来・204</t>
        </is>
      </c>
      <c r="M1437" t="b">
        <v>1</v>
      </c>
      <c r="N1437" t="inlineStr">
        <is>
          <t>2026規格・詳細構成確認済み</t>
        </is>
      </c>
      <c r="O1437" t="n">
        <v>119</v>
      </c>
      <c r="P1437" t="n">
        <v>117</v>
      </c>
      <c r="Q1437" t="inlineStr">
        <is>
          <t>202604_LIXIL_サーモスＬ_業務用資料集_完成品価格表.pdf</t>
        </is>
      </c>
      <c r="R1437" t="inlineStr">
        <is>
          <t>v0.5詳細構成。オペレーター｜T。2026完成品価格表 P117。</t>
        </is>
      </c>
      <c r="S1437" s="42" t="inlineStr">
        <is>
          <t>無印</t>
        </is>
      </c>
      <c r="T1437" s="42" t="n">
        <v>116</v>
      </c>
      <c r="U1437" s="42" t="inlineStr">
        <is>
          <t>P116|無印</t>
        </is>
      </c>
      <c r="V1437" s="42" t="inlineStr">
        <is>
          <t>同一価格表・前頁凡例を継承</t>
        </is>
      </c>
    </row>
    <row r="1438">
      <c r="A1438" t="inlineStr">
        <is>
          <t>SZ-SL-001435</t>
        </is>
      </c>
      <c r="B1438" t="inlineStr">
        <is>
          <t>SER-LIX-SAMOSL</t>
        </is>
      </c>
      <c r="C1438" t="inlineStr">
        <is>
          <t>WT-SL-TATE-SUBERI</t>
        </is>
      </c>
      <c r="D1438" t="inlineStr">
        <is>
          <t>縦すべり出し窓 TF（オペレーター）（FIX部 外押縁タイプ）</t>
        </is>
      </c>
      <c r="E1438" t="inlineStr">
        <is>
          <t>SP-SL-TATE-OP-TF-OUT</t>
        </is>
      </c>
      <c r="F1438" t="inlineStr">
        <is>
          <t>在来・204</t>
        </is>
      </c>
      <c r="G1438" t="inlineStr">
        <is>
          <t>11409</t>
        </is>
      </c>
      <c r="H1438" t="inlineStr">
        <is>
          <t>114</t>
        </is>
      </c>
      <c r="I1438" t="inlineStr">
        <is>
          <t>09</t>
        </is>
      </c>
      <c r="J1438" t="n">
        <v>1185</v>
      </c>
      <c r="K1438" t="n">
        <v>970</v>
      </c>
      <c r="L1438" t="inlineStr">
        <is>
          <t>在来・204</t>
        </is>
      </c>
      <c r="M1438" t="b">
        <v>1</v>
      </c>
      <c r="N1438" t="inlineStr">
        <is>
          <t>2026規格・詳細構成確認済み</t>
        </is>
      </c>
      <c r="O1438" t="n">
        <v>120</v>
      </c>
      <c r="P1438" t="n">
        <v>118</v>
      </c>
      <c r="Q1438" t="inlineStr">
        <is>
          <t>202604_LIXIL_サーモスＬ_業務用資料集_完成品価格表.pdf</t>
        </is>
      </c>
      <c r="R1438" t="inlineStr">
        <is>
          <t>v0.5詳細構成。オペレーター｜TF｜FIX外押縁。2026完成品価格表 P118。</t>
        </is>
      </c>
      <c r="S1438" s="42" t="inlineStr">
        <is>
          <t>無印</t>
        </is>
      </c>
      <c r="T1438" s="42" t="n">
        <v>118</v>
      </c>
      <c r="U1438" s="42" t="inlineStr">
        <is>
          <t>P118|無印</t>
        </is>
      </c>
      <c r="V1438" s="42" t="inlineStr">
        <is>
          <t>同頁凡例へ直接連動</t>
        </is>
      </c>
    </row>
    <row r="1439">
      <c r="A1439" t="inlineStr">
        <is>
          <t>SZ-SL-001436</t>
        </is>
      </c>
      <c r="B1439" t="inlineStr">
        <is>
          <t>SER-LIX-SAMOSL</t>
        </is>
      </c>
      <c r="C1439" t="inlineStr">
        <is>
          <t>WT-SL-TATE-SUBERI</t>
        </is>
      </c>
      <c r="D1439" t="inlineStr">
        <is>
          <t>縦すべり出し窓 TF（オペレーター）（FIX部 外押縁タイプ）</t>
        </is>
      </c>
      <c r="E1439" t="inlineStr">
        <is>
          <t>SP-SL-TATE-OP-TF-OUT</t>
        </is>
      </c>
      <c r="F1439" t="inlineStr">
        <is>
          <t>在来・204</t>
        </is>
      </c>
      <c r="G1439" t="inlineStr">
        <is>
          <t>11909</t>
        </is>
      </c>
      <c r="H1439" t="inlineStr">
        <is>
          <t>119</t>
        </is>
      </c>
      <c r="I1439" t="inlineStr">
        <is>
          <t>09</t>
        </is>
      </c>
      <c r="J1439" t="n">
        <v>1235</v>
      </c>
      <c r="K1439" t="n">
        <v>970</v>
      </c>
      <c r="L1439" t="inlineStr">
        <is>
          <t>在来・204</t>
        </is>
      </c>
      <c r="M1439" t="b">
        <v>1</v>
      </c>
      <c r="N1439" t="inlineStr">
        <is>
          <t>2026規格・詳細構成確認済み</t>
        </is>
      </c>
      <c r="O1439" t="n">
        <v>120</v>
      </c>
      <c r="P1439" t="n">
        <v>118</v>
      </c>
      <c r="Q1439" t="inlineStr">
        <is>
          <t>202604_LIXIL_サーモスＬ_業務用資料集_完成品価格表.pdf</t>
        </is>
      </c>
      <c r="R1439" t="inlineStr">
        <is>
          <t>v0.5詳細構成。オペレーター｜TF｜FIX外押縁。2026完成品価格表 P118。</t>
        </is>
      </c>
      <c r="S1439" s="42" t="inlineStr">
        <is>
          <t>無印</t>
        </is>
      </c>
      <c r="T1439" s="42" t="n">
        <v>118</v>
      </c>
      <c r="U1439" s="42" t="inlineStr">
        <is>
          <t>P118|無印</t>
        </is>
      </c>
      <c r="V1439" s="42" t="inlineStr">
        <is>
          <t>同頁凡例へ直接連動</t>
        </is>
      </c>
    </row>
    <row r="1440">
      <c r="A1440" t="inlineStr">
        <is>
          <t>SZ-SL-001437</t>
        </is>
      </c>
      <c r="B1440" t="inlineStr">
        <is>
          <t>SER-LIX-SAMOSL</t>
        </is>
      </c>
      <c r="C1440" t="inlineStr">
        <is>
          <t>WT-SL-TATE-SUBERI</t>
        </is>
      </c>
      <c r="D1440" t="inlineStr">
        <is>
          <t>縦すべり出し窓 TF（オペレーター）（FIX部 外押縁タイプ）</t>
        </is>
      </c>
      <c r="E1440" t="inlineStr">
        <is>
          <t>SP-SL-TATE-OP-TF-OUT</t>
        </is>
      </c>
      <c r="F1440" t="inlineStr">
        <is>
          <t>在来・204</t>
        </is>
      </c>
      <c r="G1440" t="inlineStr">
        <is>
          <t>16009</t>
        </is>
      </c>
      <c r="H1440" t="inlineStr">
        <is>
          <t>160</t>
        </is>
      </c>
      <c r="I1440" t="inlineStr">
        <is>
          <t>09</t>
        </is>
      </c>
      <c r="J1440" t="n">
        <v>1640</v>
      </c>
      <c r="K1440" t="n">
        <v>970</v>
      </c>
      <c r="L1440" t="inlineStr">
        <is>
          <t>在来・204</t>
        </is>
      </c>
      <c r="M1440" t="b">
        <v>1</v>
      </c>
      <c r="N1440" t="inlineStr">
        <is>
          <t>2026規格・詳細構成確認済み</t>
        </is>
      </c>
      <c r="O1440" t="n">
        <v>120</v>
      </c>
      <c r="P1440" t="n">
        <v>118</v>
      </c>
      <c r="Q1440" t="inlineStr">
        <is>
          <t>202604_LIXIL_サーモスＬ_業務用資料集_完成品価格表.pdf</t>
        </is>
      </c>
      <c r="R1440" t="inlineStr">
        <is>
          <t>v0.5詳細構成。オペレーター｜TF｜FIX外押縁。2026完成品価格表 P118。</t>
        </is>
      </c>
      <c r="S1440" s="42" t="inlineStr">
        <is>
          <t>無印</t>
        </is>
      </c>
      <c r="T1440" s="42" t="n">
        <v>118</v>
      </c>
      <c r="U1440" s="42" t="inlineStr">
        <is>
          <t>P118|無印</t>
        </is>
      </c>
      <c r="V1440" s="42" t="inlineStr">
        <is>
          <t>同頁凡例へ直接連動</t>
        </is>
      </c>
    </row>
    <row r="1441">
      <c r="A1441" t="inlineStr">
        <is>
          <t>SZ-SL-001438</t>
        </is>
      </c>
      <c r="B1441" t="inlineStr">
        <is>
          <t>SER-LIX-SAMOSL</t>
        </is>
      </c>
      <c r="C1441" t="inlineStr">
        <is>
          <t>WT-SL-TATE-SUBERI</t>
        </is>
      </c>
      <c r="D1441" t="inlineStr">
        <is>
          <t>縦すべり出し窓 TF（オペレーター）（FIX部 外押縁タイプ）</t>
        </is>
      </c>
      <c r="E1441" t="inlineStr">
        <is>
          <t>SP-SL-TATE-OP-TF-OUT</t>
        </is>
      </c>
      <c r="F1441" t="inlineStr">
        <is>
          <t>在来・204</t>
        </is>
      </c>
      <c r="G1441" t="inlineStr">
        <is>
          <t>16509</t>
        </is>
      </c>
      <c r="H1441" t="inlineStr">
        <is>
          <t>165</t>
        </is>
      </c>
      <c r="I1441" t="inlineStr">
        <is>
          <t>09</t>
        </is>
      </c>
      <c r="J1441" t="n">
        <v>1690</v>
      </c>
      <c r="K1441" t="n">
        <v>970</v>
      </c>
      <c r="L1441" t="inlineStr">
        <is>
          <t>在来・204</t>
        </is>
      </c>
      <c r="M1441" t="b">
        <v>1</v>
      </c>
      <c r="N1441" t="inlineStr">
        <is>
          <t>2026規格・詳細構成確認済み</t>
        </is>
      </c>
      <c r="O1441" t="n">
        <v>120</v>
      </c>
      <c r="P1441" t="n">
        <v>118</v>
      </c>
      <c r="Q1441" t="inlineStr">
        <is>
          <t>202604_LIXIL_サーモスＬ_業務用資料集_完成品価格表.pdf</t>
        </is>
      </c>
      <c r="R1441" t="inlineStr">
        <is>
          <t>v0.5詳細構成。オペレーター｜TF｜FIX外押縁。2026完成品価格表 P118。</t>
        </is>
      </c>
      <c r="S1441" s="42" t="inlineStr">
        <is>
          <t>無印</t>
        </is>
      </c>
      <c r="T1441" s="42" t="n">
        <v>118</v>
      </c>
      <c r="U1441" s="42" t="inlineStr">
        <is>
          <t>P118|無印</t>
        </is>
      </c>
      <c r="V1441" s="42" t="inlineStr">
        <is>
          <t>同頁凡例へ直接連動</t>
        </is>
      </c>
    </row>
    <row r="1442">
      <c r="A1442" t="inlineStr">
        <is>
          <t>SZ-SL-001439</t>
        </is>
      </c>
      <c r="B1442" t="inlineStr">
        <is>
          <t>SER-LIX-SAMOSL</t>
        </is>
      </c>
      <c r="C1442" t="inlineStr">
        <is>
          <t>WT-SL-TATE-SUBERI</t>
        </is>
      </c>
      <c r="D1442" t="inlineStr">
        <is>
          <t>縦すべり出し窓 TF（オペレーター）（FIX部 外押縁タイプ）</t>
        </is>
      </c>
      <c r="E1442" t="inlineStr">
        <is>
          <t>SP-SL-TATE-OP-TF-OUT</t>
        </is>
      </c>
      <c r="F1442" t="inlineStr">
        <is>
          <t>在来・204</t>
        </is>
      </c>
      <c r="G1442" t="inlineStr">
        <is>
          <t>11411</t>
        </is>
      </c>
      <c r="H1442" t="inlineStr">
        <is>
          <t>114</t>
        </is>
      </c>
      <c r="I1442" t="inlineStr">
        <is>
          <t>11</t>
        </is>
      </c>
      <c r="J1442" t="n">
        <v>1185</v>
      </c>
      <c r="K1442" t="n">
        <v>1170</v>
      </c>
      <c r="L1442" t="inlineStr">
        <is>
          <t>在来・204</t>
        </is>
      </c>
      <c r="M1442" t="b">
        <v>1</v>
      </c>
      <c r="N1442" t="inlineStr">
        <is>
          <t>2026規格・詳細構成確認済み</t>
        </is>
      </c>
      <c r="O1442" t="n">
        <v>120</v>
      </c>
      <c r="P1442" t="n">
        <v>118</v>
      </c>
      <c r="Q1442" t="inlineStr">
        <is>
          <t>202604_LIXIL_サーモスＬ_業務用資料集_完成品価格表.pdf</t>
        </is>
      </c>
      <c r="R1442" t="inlineStr">
        <is>
          <t>v0.5詳細構成。オペレーター｜TF｜FIX外押縁。2026完成品価格表 P118。</t>
        </is>
      </c>
      <c r="S1442" s="42" t="inlineStr">
        <is>
          <t>無印</t>
        </is>
      </c>
      <c r="T1442" s="42" t="n">
        <v>118</v>
      </c>
      <c r="U1442" s="42" t="inlineStr">
        <is>
          <t>P118|無印</t>
        </is>
      </c>
      <c r="V1442" s="42" t="inlineStr">
        <is>
          <t>同頁凡例へ直接連動</t>
        </is>
      </c>
    </row>
    <row r="1443">
      <c r="A1443" t="inlineStr">
        <is>
          <t>SZ-SL-001440</t>
        </is>
      </c>
      <c r="B1443" t="inlineStr">
        <is>
          <t>SER-LIX-SAMOSL</t>
        </is>
      </c>
      <c r="C1443" t="inlineStr">
        <is>
          <t>WT-SL-TATE-SUBERI</t>
        </is>
      </c>
      <c r="D1443" t="inlineStr">
        <is>
          <t>縦すべり出し窓 TF（オペレーター）（FIX部 外押縁タイプ）</t>
        </is>
      </c>
      <c r="E1443" t="inlineStr">
        <is>
          <t>SP-SL-TATE-OP-TF-OUT</t>
        </is>
      </c>
      <c r="F1443" t="inlineStr">
        <is>
          <t>在来・204</t>
        </is>
      </c>
      <c r="G1443" t="inlineStr">
        <is>
          <t>11911</t>
        </is>
      </c>
      <c r="H1443" t="inlineStr">
        <is>
          <t>119</t>
        </is>
      </c>
      <c r="I1443" t="inlineStr">
        <is>
          <t>11</t>
        </is>
      </c>
      <c r="J1443" t="n">
        <v>1235</v>
      </c>
      <c r="K1443" t="n">
        <v>1170</v>
      </c>
      <c r="L1443" t="inlineStr">
        <is>
          <t>在来・204</t>
        </is>
      </c>
      <c r="M1443" t="b">
        <v>1</v>
      </c>
      <c r="N1443" t="inlineStr">
        <is>
          <t>2026規格・詳細構成確認済み</t>
        </is>
      </c>
      <c r="O1443" t="n">
        <v>120</v>
      </c>
      <c r="P1443" t="n">
        <v>118</v>
      </c>
      <c r="Q1443" t="inlineStr">
        <is>
          <t>202604_LIXIL_サーモスＬ_業務用資料集_完成品価格表.pdf</t>
        </is>
      </c>
      <c r="R1443" t="inlineStr">
        <is>
          <t>v0.5詳細構成。オペレーター｜TF｜FIX外押縁。2026完成品価格表 P118。</t>
        </is>
      </c>
      <c r="S1443" s="42" t="inlineStr">
        <is>
          <t>無印</t>
        </is>
      </c>
      <c r="T1443" s="42" t="n">
        <v>118</v>
      </c>
      <c r="U1443" s="42" t="inlineStr">
        <is>
          <t>P118|無印</t>
        </is>
      </c>
      <c r="V1443" s="42" t="inlineStr">
        <is>
          <t>同頁凡例へ直接連動</t>
        </is>
      </c>
    </row>
    <row r="1444">
      <c r="A1444" t="inlineStr">
        <is>
          <t>SZ-SL-001441</t>
        </is>
      </c>
      <c r="B1444" t="inlineStr">
        <is>
          <t>SER-LIX-SAMOSL</t>
        </is>
      </c>
      <c r="C1444" t="inlineStr">
        <is>
          <t>WT-SL-TATE-SUBERI</t>
        </is>
      </c>
      <c r="D1444" t="inlineStr">
        <is>
          <t>縦すべり出し窓 TF（オペレーター）（FIX部 外押縁タイプ）</t>
        </is>
      </c>
      <c r="E1444" t="inlineStr">
        <is>
          <t>SP-SL-TATE-OP-TF-OUT</t>
        </is>
      </c>
      <c r="F1444" t="inlineStr">
        <is>
          <t>在来・204</t>
        </is>
      </c>
      <c r="G1444" t="inlineStr">
        <is>
          <t>16011</t>
        </is>
      </c>
      <c r="H1444" t="inlineStr">
        <is>
          <t>160</t>
        </is>
      </c>
      <c r="I1444" t="inlineStr">
        <is>
          <t>11</t>
        </is>
      </c>
      <c r="J1444" t="n">
        <v>1640</v>
      </c>
      <c r="K1444" t="n">
        <v>1170</v>
      </c>
      <c r="L1444" t="inlineStr">
        <is>
          <t>在来・204</t>
        </is>
      </c>
      <c r="M1444" t="b">
        <v>1</v>
      </c>
      <c r="N1444" t="inlineStr">
        <is>
          <t>2026規格・詳細構成確認済み</t>
        </is>
      </c>
      <c r="O1444" t="n">
        <v>120</v>
      </c>
      <c r="P1444" t="n">
        <v>118</v>
      </c>
      <c r="Q1444" t="inlineStr">
        <is>
          <t>202604_LIXIL_サーモスＬ_業務用資料集_完成品価格表.pdf</t>
        </is>
      </c>
      <c r="R1444" t="inlineStr">
        <is>
          <t>v0.5詳細構成。オペレーター｜TF｜FIX外押縁。2026完成品価格表 P118。</t>
        </is>
      </c>
      <c r="S1444" s="42" t="inlineStr">
        <is>
          <t>★</t>
        </is>
      </c>
      <c r="T1444" s="42" t="n">
        <v>118</v>
      </c>
      <c r="U1444" s="42" t="inlineStr">
        <is>
          <t>P118|★</t>
        </is>
      </c>
      <c r="V1444" s="42" t="inlineStr">
        <is>
          <t>同頁凡例へ直接連動</t>
        </is>
      </c>
    </row>
    <row r="1445">
      <c r="A1445" t="inlineStr">
        <is>
          <t>SZ-SL-001442</t>
        </is>
      </c>
      <c r="B1445" t="inlineStr">
        <is>
          <t>SER-LIX-SAMOSL</t>
        </is>
      </c>
      <c r="C1445" t="inlineStr">
        <is>
          <t>WT-SL-TATE-SUBERI</t>
        </is>
      </c>
      <c r="D1445" t="inlineStr">
        <is>
          <t>縦すべり出し窓 TF（オペレーター）（FIX部 外押縁タイプ）</t>
        </is>
      </c>
      <c r="E1445" t="inlineStr">
        <is>
          <t>SP-SL-TATE-OP-TF-OUT</t>
        </is>
      </c>
      <c r="F1445" t="inlineStr">
        <is>
          <t>在来・204</t>
        </is>
      </c>
      <c r="G1445" t="inlineStr">
        <is>
          <t>16511</t>
        </is>
      </c>
      <c r="H1445" t="inlineStr">
        <is>
          <t>165</t>
        </is>
      </c>
      <c r="I1445" t="inlineStr">
        <is>
          <t>11</t>
        </is>
      </c>
      <c r="J1445" t="n">
        <v>1690</v>
      </c>
      <c r="K1445" t="n">
        <v>1170</v>
      </c>
      <c r="L1445" t="inlineStr">
        <is>
          <t>在来・204</t>
        </is>
      </c>
      <c r="M1445" t="b">
        <v>1</v>
      </c>
      <c r="N1445" t="inlineStr">
        <is>
          <t>2026規格・詳細構成確認済み</t>
        </is>
      </c>
      <c r="O1445" t="n">
        <v>120</v>
      </c>
      <c r="P1445" t="n">
        <v>118</v>
      </c>
      <c r="Q1445" t="inlineStr">
        <is>
          <t>202604_LIXIL_サーモスＬ_業務用資料集_完成品価格表.pdf</t>
        </is>
      </c>
      <c r="R1445" t="inlineStr">
        <is>
          <t>v0.5詳細構成。オペレーター｜TF｜FIX外押縁。2026完成品価格表 P118。</t>
        </is>
      </c>
      <c r="S1445" s="42" t="inlineStr">
        <is>
          <t>★</t>
        </is>
      </c>
      <c r="T1445" s="42" t="n">
        <v>118</v>
      </c>
      <c r="U1445" s="42" t="inlineStr">
        <is>
          <t>P118|★</t>
        </is>
      </c>
      <c r="V1445" s="42" t="inlineStr">
        <is>
          <t>同頁凡例へ直接連動</t>
        </is>
      </c>
    </row>
    <row r="1446">
      <c r="A1446" t="inlineStr">
        <is>
          <t>SZ-SL-001443</t>
        </is>
      </c>
      <c r="B1446" t="inlineStr">
        <is>
          <t>SER-LIX-SAMOSL</t>
        </is>
      </c>
      <c r="C1446" t="inlineStr">
        <is>
          <t>WT-SL-TATE-SUBERI</t>
        </is>
      </c>
      <c r="D1446" t="inlineStr">
        <is>
          <t>縦すべり出し窓 TF（オペレーター）（FIX部 外押縁タイプ）</t>
        </is>
      </c>
      <c r="E1446" t="inlineStr">
        <is>
          <t>SP-SL-TATE-OP-TF-OUT</t>
        </is>
      </c>
      <c r="F1446" t="inlineStr">
        <is>
          <t>在来・204</t>
        </is>
      </c>
      <c r="G1446" t="inlineStr">
        <is>
          <t>11413</t>
        </is>
      </c>
      <c r="H1446" t="inlineStr">
        <is>
          <t>114</t>
        </is>
      </c>
      <c r="I1446" t="inlineStr">
        <is>
          <t>13</t>
        </is>
      </c>
      <c r="J1446" t="n">
        <v>1185</v>
      </c>
      <c r="K1446" t="n">
        <v>1370</v>
      </c>
      <c r="L1446" t="inlineStr">
        <is>
          <t>在来・204</t>
        </is>
      </c>
      <c r="M1446" t="b">
        <v>1</v>
      </c>
      <c r="N1446" t="inlineStr">
        <is>
          <t>2026規格・詳細構成確認済み</t>
        </is>
      </c>
      <c r="O1446" t="n">
        <v>120</v>
      </c>
      <c r="P1446" t="n">
        <v>118</v>
      </c>
      <c r="Q1446" t="inlineStr">
        <is>
          <t>202604_LIXIL_サーモスＬ_業務用資料集_完成品価格表.pdf</t>
        </is>
      </c>
      <c r="R1446" t="inlineStr">
        <is>
          <t>v0.5詳細構成。オペレーター｜TF｜FIX外押縁。2026完成品価格表 P118。</t>
        </is>
      </c>
      <c r="S1446" s="42" t="inlineStr">
        <is>
          <t>無印</t>
        </is>
      </c>
      <c r="T1446" s="42" t="n">
        <v>118</v>
      </c>
      <c r="U1446" s="42" t="inlineStr">
        <is>
          <t>P118|無印</t>
        </is>
      </c>
      <c r="V1446" s="42" t="inlineStr">
        <is>
          <t>同頁凡例へ直接連動</t>
        </is>
      </c>
    </row>
    <row r="1447">
      <c r="A1447" t="inlineStr">
        <is>
          <t>SZ-SL-001444</t>
        </is>
      </c>
      <c r="B1447" t="inlineStr">
        <is>
          <t>SER-LIX-SAMOSL</t>
        </is>
      </c>
      <c r="C1447" t="inlineStr">
        <is>
          <t>WT-SL-TATE-SUBERI</t>
        </is>
      </c>
      <c r="D1447" t="inlineStr">
        <is>
          <t>縦すべり出し窓 TF（オペレーター）（FIX部 外押縁タイプ）</t>
        </is>
      </c>
      <c r="E1447" t="inlineStr">
        <is>
          <t>SP-SL-TATE-OP-TF-OUT</t>
        </is>
      </c>
      <c r="F1447" t="inlineStr">
        <is>
          <t>在来・204</t>
        </is>
      </c>
      <c r="G1447" t="inlineStr">
        <is>
          <t>11913</t>
        </is>
      </c>
      <c r="H1447" t="inlineStr">
        <is>
          <t>119</t>
        </is>
      </c>
      <c r="I1447" t="inlineStr">
        <is>
          <t>13</t>
        </is>
      </c>
      <c r="J1447" t="n">
        <v>1235</v>
      </c>
      <c r="K1447" t="n">
        <v>1370</v>
      </c>
      <c r="L1447" t="inlineStr">
        <is>
          <t>在来・204</t>
        </is>
      </c>
      <c r="M1447" t="b">
        <v>1</v>
      </c>
      <c r="N1447" t="inlineStr">
        <is>
          <t>2026規格・詳細構成確認済み</t>
        </is>
      </c>
      <c r="O1447" t="n">
        <v>120</v>
      </c>
      <c r="P1447" t="n">
        <v>118</v>
      </c>
      <c r="Q1447" t="inlineStr">
        <is>
          <t>202604_LIXIL_サーモスＬ_業務用資料集_完成品価格表.pdf</t>
        </is>
      </c>
      <c r="R1447" t="inlineStr">
        <is>
          <t>v0.5詳細構成。オペレーター｜TF｜FIX外押縁。2026完成品価格表 P118。</t>
        </is>
      </c>
      <c r="S1447" s="42" t="inlineStr">
        <is>
          <t>★</t>
        </is>
      </c>
      <c r="T1447" s="42" t="n">
        <v>118</v>
      </c>
      <c r="U1447" s="42" t="inlineStr">
        <is>
          <t>P118|★</t>
        </is>
      </c>
      <c r="V1447" s="42" t="inlineStr">
        <is>
          <t>同頁凡例へ直接連動</t>
        </is>
      </c>
    </row>
    <row r="1448">
      <c r="A1448" t="inlineStr">
        <is>
          <t>SZ-SL-001445</t>
        </is>
      </c>
      <c r="B1448" t="inlineStr">
        <is>
          <t>SER-LIX-SAMOSL</t>
        </is>
      </c>
      <c r="C1448" t="inlineStr">
        <is>
          <t>WT-SL-TATE-SUBERI</t>
        </is>
      </c>
      <c r="D1448" t="inlineStr">
        <is>
          <t>縦すべり出し窓 TF（オペレーター）（FIX部 外押縁タイプ）</t>
        </is>
      </c>
      <c r="E1448" t="inlineStr">
        <is>
          <t>SP-SL-TATE-OP-TF-OUT</t>
        </is>
      </c>
      <c r="F1448" t="inlineStr">
        <is>
          <t>在来・204</t>
        </is>
      </c>
      <c r="G1448" t="inlineStr">
        <is>
          <t>16013</t>
        </is>
      </c>
      <c r="H1448" t="inlineStr">
        <is>
          <t>160</t>
        </is>
      </c>
      <c r="I1448" t="inlineStr">
        <is>
          <t>13</t>
        </is>
      </c>
      <c r="J1448" t="n">
        <v>1640</v>
      </c>
      <c r="K1448" t="n">
        <v>1370</v>
      </c>
      <c r="L1448" t="inlineStr">
        <is>
          <t>在来・204</t>
        </is>
      </c>
      <c r="M1448" t="b">
        <v>1</v>
      </c>
      <c r="N1448" t="inlineStr">
        <is>
          <t>2026規格・詳細構成確認済み</t>
        </is>
      </c>
      <c r="O1448" t="n">
        <v>120</v>
      </c>
      <c r="P1448" t="n">
        <v>118</v>
      </c>
      <c r="Q1448" t="inlineStr">
        <is>
          <t>202604_LIXIL_サーモスＬ_業務用資料集_完成品価格表.pdf</t>
        </is>
      </c>
      <c r="R1448" t="inlineStr">
        <is>
          <t>v0.5詳細構成。オペレーター｜TF｜FIX外押縁。2026完成品価格表 P118。</t>
        </is>
      </c>
      <c r="S1448" s="42" t="inlineStr">
        <is>
          <t>★</t>
        </is>
      </c>
      <c r="T1448" s="42" t="n">
        <v>118</v>
      </c>
      <c r="U1448" s="42" t="inlineStr">
        <is>
          <t>P118|★</t>
        </is>
      </c>
      <c r="V1448" s="42" t="inlineStr">
        <is>
          <t>同頁凡例へ直接連動</t>
        </is>
      </c>
    </row>
    <row r="1449">
      <c r="A1449" t="inlineStr">
        <is>
          <t>SZ-SL-001446</t>
        </is>
      </c>
      <c r="B1449" t="inlineStr">
        <is>
          <t>SER-LIX-SAMOSL</t>
        </is>
      </c>
      <c r="C1449" t="inlineStr">
        <is>
          <t>WT-SL-TATE-SUBERI</t>
        </is>
      </c>
      <c r="D1449" t="inlineStr">
        <is>
          <t>縦すべり出し窓 TF（オペレーター）（FIX部 外押縁タイプ）</t>
        </is>
      </c>
      <c r="E1449" t="inlineStr">
        <is>
          <t>SP-SL-TATE-OP-TF-OUT</t>
        </is>
      </c>
      <c r="F1449" t="inlineStr">
        <is>
          <t>在来・204</t>
        </is>
      </c>
      <c r="G1449" t="inlineStr">
        <is>
          <t>16513</t>
        </is>
      </c>
      <c r="H1449" t="inlineStr">
        <is>
          <t>165</t>
        </is>
      </c>
      <c r="I1449" t="inlineStr">
        <is>
          <t>13</t>
        </is>
      </c>
      <c r="J1449" t="n">
        <v>1690</v>
      </c>
      <c r="K1449" t="n">
        <v>1370</v>
      </c>
      <c r="L1449" t="inlineStr">
        <is>
          <t>在来・204</t>
        </is>
      </c>
      <c r="M1449" t="b">
        <v>1</v>
      </c>
      <c r="N1449" t="inlineStr">
        <is>
          <t>2026規格・詳細構成確認済み</t>
        </is>
      </c>
      <c r="O1449" t="n">
        <v>120</v>
      </c>
      <c r="P1449" t="n">
        <v>118</v>
      </c>
      <c r="Q1449" t="inlineStr">
        <is>
          <t>202604_LIXIL_サーモスＬ_業務用資料集_完成品価格表.pdf</t>
        </is>
      </c>
      <c r="R1449" t="inlineStr">
        <is>
          <t>v0.5詳細構成。オペレーター｜TF｜FIX外押縁。2026完成品価格表 P118。</t>
        </is>
      </c>
      <c r="S1449" s="42" t="inlineStr">
        <is>
          <t>☆</t>
        </is>
      </c>
      <c r="T1449" s="42" t="n">
        <v>118</v>
      </c>
      <c r="U1449" s="42" t="inlineStr">
        <is>
          <t>P118|☆</t>
        </is>
      </c>
      <c r="V1449" s="42" t="inlineStr">
        <is>
          <t>同頁凡例へ直接連動</t>
        </is>
      </c>
    </row>
    <row r="1450">
      <c r="A1450" t="inlineStr">
        <is>
          <t>SZ-SL-001447</t>
        </is>
      </c>
      <c r="B1450" t="inlineStr">
        <is>
          <t>SER-LIX-SAMOSL</t>
        </is>
      </c>
      <c r="C1450" t="inlineStr">
        <is>
          <t>WT-SL-TATE-SUBERI</t>
        </is>
      </c>
      <c r="D1450" t="inlineStr">
        <is>
          <t>縦すべり出し窓 TFT（オペレーター）（FIX部 外押縁タイプ）</t>
        </is>
      </c>
      <c r="E1450" t="inlineStr">
        <is>
          <t>SP-SL-TATE-OP-TFT-OUT</t>
        </is>
      </c>
      <c r="F1450" t="inlineStr">
        <is>
          <t>在来・204</t>
        </is>
      </c>
      <c r="G1450" t="inlineStr">
        <is>
          <t>16009</t>
        </is>
      </c>
      <c r="H1450" t="inlineStr">
        <is>
          <t>160</t>
        </is>
      </c>
      <c r="I1450" t="inlineStr">
        <is>
          <t>09</t>
        </is>
      </c>
      <c r="J1450" t="n">
        <v>1640</v>
      </c>
      <c r="K1450" t="n">
        <v>970</v>
      </c>
      <c r="L1450" t="inlineStr">
        <is>
          <t>在来・204</t>
        </is>
      </c>
      <c r="M1450" t="b">
        <v>1</v>
      </c>
      <c r="N1450" t="inlineStr">
        <is>
          <t>2026規格・詳細構成確認済み</t>
        </is>
      </c>
      <c r="O1450" t="n">
        <v>121</v>
      </c>
      <c r="P1450" t="n">
        <v>119</v>
      </c>
      <c r="Q1450" t="inlineStr">
        <is>
          <t>202604_LIXIL_サーモスＬ_業務用資料集_完成品価格表.pdf</t>
        </is>
      </c>
      <c r="R1450" t="inlineStr">
        <is>
          <t>v0.5詳細構成。オペレーター｜TFT｜FIX外押縁。2026完成品価格表 P119。</t>
        </is>
      </c>
      <c r="S1450" s="42" t="inlineStr">
        <is>
          <t>無印</t>
        </is>
      </c>
      <c r="T1450" s="42" t="n">
        <v>119</v>
      </c>
      <c r="U1450" s="42" t="inlineStr">
        <is>
          <t>P119|無印</t>
        </is>
      </c>
      <c r="V1450" s="42" t="inlineStr">
        <is>
          <t>同頁凡例へ直接連動</t>
        </is>
      </c>
    </row>
    <row r="1451">
      <c r="A1451" t="inlineStr">
        <is>
          <t>SZ-SL-001448</t>
        </is>
      </c>
      <c r="B1451" t="inlineStr">
        <is>
          <t>SER-LIX-SAMOSL</t>
        </is>
      </c>
      <c r="C1451" t="inlineStr">
        <is>
          <t>WT-SL-TATE-SUBERI</t>
        </is>
      </c>
      <c r="D1451" t="inlineStr">
        <is>
          <t>縦すべり出し窓 TFT（オペレーター）（FIX部 外押縁タイプ）</t>
        </is>
      </c>
      <c r="E1451" t="inlineStr">
        <is>
          <t>SP-SL-TATE-OP-TFT-OUT</t>
        </is>
      </c>
      <c r="F1451" t="inlineStr">
        <is>
          <t>在来・204</t>
        </is>
      </c>
      <c r="G1451" t="inlineStr">
        <is>
          <t>16509</t>
        </is>
      </c>
      <c r="H1451" t="inlineStr">
        <is>
          <t>165</t>
        </is>
      </c>
      <c r="I1451" t="inlineStr">
        <is>
          <t>09</t>
        </is>
      </c>
      <c r="J1451" t="n">
        <v>1690</v>
      </c>
      <c r="K1451" t="n">
        <v>970</v>
      </c>
      <c r="L1451" t="inlineStr">
        <is>
          <t>在来・204</t>
        </is>
      </c>
      <c r="M1451" t="b">
        <v>1</v>
      </c>
      <c r="N1451" t="inlineStr">
        <is>
          <t>2026規格・詳細構成確認済み</t>
        </is>
      </c>
      <c r="O1451" t="n">
        <v>121</v>
      </c>
      <c r="P1451" t="n">
        <v>119</v>
      </c>
      <c r="Q1451" t="inlineStr">
        <is>
          <t>202604_LIXIL_サーモスＬ_業務用資料集_完成品価格表.pdf</t>
        </is>
      </c>
      <c r="R1451" t="inlineStr">
        <is>
          <t>v0.5詳細構成。オペレーター｜TFT｜FIX外押縁。2026完成品価格表 P119。</t>
        </is>
      </c>
      <c r="S1451" s="42" t="inlineStr">
        <is>
          <t>無印</t>
        </is>
      </c>
      <c r="T1451" s="42" t="n">
        <v>119</v>
      </c>
      <c r="U1451" s="42" t="inlineStr">
        <is>
          <t>P119|無印</t>
        </is>
      </c>
      <c r="V1451" s="42" t="inlineStr">
        <is>
          <t>同頁凡例へ直接連動</t>
        </is>
      </c>
    </row>
    <row r="1452">
      <c r="A1452" t="inlineStr">
        <is>
          <t>SZ-SL-001449</t>
        </is>
      </c>
      <c r="B1452" t="inlineStr">
        <is>
          <t>SER-LIX-SAMOSL</t>
        </is>
      </c>
      <c r="C1452" t="inlineStr">
        <is>
          <t>WT-SL-TATE-SUBERI</t>
        </is>
      </c>
      <c r="D1452" t="inlineStr">
        <is>
          <t>縦すべり出し窓 TFT（オペレーター）（FIX部 外押縁タイプ）</t>
        </is>
      </c>
      <c r="E1452" t="inlineStr">
        <is>
          <t>SP-SL-TATE-OP-TFT-OUT</t>
        </is>
      </c>
      <c r="F1452" t="inlineStr">
        <is>
          <t>在来・204</t>
        </is>
      </c>
      <c r="G1452" t="inlineStr">
        <is>
          <t>16011</t>
        </is>
      </c>
      <c r="H1452" t="inlineStr">
        <is>
          <t>160</t>
        </is>
      </c>
      <c r="I1452" t="inlineStr">
        <is>
          <t>11</t>
        </is>
      </c>
      <c r="J1452" t="n">
        <v>1640</v>
      </c>
      <c r="K1452" t="n">
        <v>1170</v>
      </c>
      <c r="L1452" t="inlineStr">
        <is>
          <t>在来・204</t>
        </is>
      </c>
      <c r="M1452" t="b">
        <v>1</v>
      </c>
      <c r="N1452" t="inlineStr">
        <is>
          <t>2026規格・詳細構成確認済み</t>
        </is>
      </c>
      <c r="O1452" t="n">
        <v>121</v>
      </c>
      <c r="P1452" t="n">
        <v>119</v>
      </c>
      <c r="Q1452" t="inlineStr">
        <is>
          <t>202604_LIXIL_サーモスＬ_業務用資料集_完成品価格表.pdf</t>
        </is>
      </c>
      <c r="R1452" t="inlineStr">
        <is>
          <t>v0.5詳細構成。オペレーター｜TFT｜FIX外押縁。2026完成品価格表 P119。</t>
        </is>
      </c>
      <c r="S1452" s="42" t="inlineStr">
        <is>
          <t>無印</t>
        </is>
      </c>
      <c r="T1452" s="42" t="n">
        <v>119</v>
      </c>
      <c r="U1452" s="42" t="inlineStr">
        <is>
          <t>P119|無印</t>
        </is>
      </c>
      <c r="V1452" s="42" t="inlineStr">
        <is>
          <t>同頁凡例へ直接連動</t>
        </is>
      </c>
    </row>
    <row r="1453">
      <c r="A1453" t="inlineStr">
        <is>
          <t>SZ-SL-001450</t>
        </is>
      </c>
      <c r="B1453" t="inlineStr">
        <is>
          <t>SER-LIX-SAMOSL</t>
        </is>
      </c>
      <c r="C1453" t="inlineStr">
        <is>
          <t>WT-SL-TATE-SUBERI</t>
        </is>
      </c>
      <c r="D1453" t="inlineStr">
        <is>
          <t>縦すべり出し窓 TFT（オペレーター）（FIX部 外押縁タイプ）</t>
        </is>
      </c>
      <c r="E1453" t="inlineStr">
        <is>
          <t>SP-SL-TATE-OP-TFT-OUT</t>
        </is>
      </c>
      <c r="F1453" t="inlineStr">
        <is>
          <t>在来・204</t>
        </is>
      </c>
      <c r="G1453" t="inlineStr">
        <is>
          <t>16511</t>
        </is>
      </c>
      <c r="H1453" t="inlineStr">
        <is>
          <t>165</t>
        </is>
      </c>
      <c r="I1453" t="inlineStr">
        <is>
          <t>11</t>
        </is>
      </c>
      <c r="J1453" t="n">
        <v>1690</v>
      </c>
      <c r="K1453" t="n">
        <v>1170</v>
      </c>
      <c r="L1453" t="inlineStr">
        <is>
          <t>在来・204</t>
        </is>
      </c>
      <c r="M1453" t="b">
        <v>1</v>
      </c>
      <c r="N1453" t="inlineStr">
        <is>
          <t>2026規格・詳細構成確認済み</t>
        </is>
      </c>
      <c r="O1453" t="n">
        <v>121</v>
      </c>
      <c r="P1453" t="n">
        <v>119</v>
      </c>
      <c r="Q1453" t="inlineStr">
        <is>
          <t>202604_LIXIL_サーモスＬ_業務用資料集_完成品価格表.pdf</t>
        </is>
      </c>
      <c r="R1453" t="inlineStr">
        <is>
          <t>v0.5詳細構成。オペレーター｜TFT｜FIX外押縁。2026完成品価格表 P119。</t>
        </is>
      </c>
      <c r="S1453" s="42" t="inlineStr">
        <is>
          <t>無印</t>
        </is>
      </c>
      <c r="T1453" s="42" t="n">
        <v>119</v>
      </c>
      <c r="U1453" s="42" t="inlineStr">
        <is>
          <t>P119|無印</t>
        </is>
      </c>
      <c r="V1453" s="42" t="inlineStr">
        <is>
          <t>同頁凡例へ直接連動</t>
        </is>
      </c>
    </row>
    <row r="1454">
      <c r="A1454" t="inlineStr">
        <is>
          <t>SZ-SL-001451</t>
        </is>
      </c>
      <c r="B1454" t="inlineStr">
        <is>
          <t>SER-LIX-SAMOSL</t>
        </is>
      </c>
      <c r="C1454" t="inlineStr">
        <is>
          <t>WT-SL-TATE-SUBERI</t>
        </is>
      </c>
      <c r="D1454" t="inlineStr">
        <is>
          <t>縦すべり出し窓 TFT（オペレーター）（FIX部 外押縁タイプ）</t>
        </is>
      </c>
      <c r="E1454" t="inlineStr">
        <is>
          <t>SP-SL-TATE-OP-TFT-OUT</t>
        </is>
      </c>
      <c r="F1454" t="inlineStr">
        <is>
          <t>在来・204</t>
        </is>
      </c>
      <c r="G1454" t="inlineStr">
        <is>
          <t>16013</t>
        </is>
      </c>
      <c r="H1454" t="inlineStr">
        <is>
          <t>160</t>
        </is>
      </c>
      <c r="I1454" t="inlineStr">
        <is>
          <t>13</t>
        </is>
      </c>
      <c r="J1454" t="n">
        <v>1640</v>
      </c>
      <c r="K1454" t="n">
        <v>1370</v>
      </c>
      <c r="L1454" t="inlineStr">
        <is>
          <t>在来・204</t>
        </is>
      </c>
      <c r="M1454" t="b">
        <v>1</v>
      </c>
      <c r="N1454" t="inlineStr">
        <is>
          <t>2026規格・詳細構成確認済み</t>
        </is>
      </c>
      <c r="O1454" t="n">
        <v>121</v>
      </c>
      <c r="P1454" t="n">
        <v>119</v>
      </c>
      <c r="Q1454" t="inlineStr">
        <is>
          <t>202604_LIXIL_サーモスＬ_業務用資料集_完成品価格表.pdf</t>
        </is>
      </c>
      <c r="R1454" t="inlineStr">
        <is>
          <t>v0.5詳細構成。オペレーター｜TFT｜FIX外押縁。2026完成品価格表 P119。</t>
        </is>
      </c>
      <c r="S1454" s="42" t="inlineStr">
        <is>
          <t>★</t>
        </is>
      </c>
      <c r="T1454" s="42" t="n">
        <v>119</v>
      </c>
      <c r="U1454" s="42" t="inlineStr">
        <is>
          <t>P119|★</t>
        </is>
      </c>
      <c r="V1454" s="42" t="inlineStr">
        <is>
          <t>同頁凡例へ直接連動</t>
        </is>
      </c>
    </row>
    <row r="1455">
      <c r="A1455" t="inlineStr">
        <is>
          <t>SZ-SL-001452</t>
        </is>
      </c>
      <c r="B1455" t="inlineStr">
        <is>
          <t>SER-LIX-SAMOSL</t>
        </is>
      </c>
      <c r="C1455" t="inlineStr">
        <is>
          <t>WT-SL-TATE-SUBERI</t>
        </is>
      </c>
      <c r="D1455" t="inlineStr">
        <is>
          <t>縦すべり出し窓 TFT（オペレーター）（FIX部 外押縁タイプ）</t>
        </is>
      </c>
      <c r="E1455" t="inlineStr">
        <is>
          <t>SP-SL-TATE-OP-TFT-OUT</t>
        </is>
      </c>
      <c r="F1455" t="inlineStr">
        <is>
          <t>在来・204</t>
        </is>
      </c>
      <c r="G1455" t="inlineStr">
        <is>
          <t>16513</t>
        </is>
      </c>
      <c r="H1455" t="inlineStr">
        <is>
          <t>165</t>
        </is>
      </c>
      <c r="I1455" t="inlineStr">
        <is>
          <t>13</t>
        </is>
      </c>
      <c r="J1455" t="n">
        <v>1690</v>
      </c>
      <c r="K1455" t="n">
        <v>1370</v>
      </c>
      <c r="L1455" t="inlineStr">
        <is>
          <t>在来・204</t>
        </is>
      </c>
      <c r="M1455" t="b">
        <v>1</v>
      </c>
      <c r="N1455" t="inlineStr">
        <is>
          <t>2026規格・詳細構成確認済み</t>
        </is>
      </c>
      <c r="O1455" t="n">
        <v>121</v>
      </c>
      <c r="P1455" t="n">
        <v>119</v>
      </c>
      <c r="Q1455" t="inlineStr">
        <is>
          <t>202604_LIXIL_サーモスＬ_業務用資料集_完成品価格表.pdf</t>
        </is>
      </c>
      <c r="R1455" t="inlineStr">
        <is>
          <t>v0.5詳細構成。オペレーター｜TFT｜FIX外押縁。2026完成品価格表 P119。</t>
        </is>
      </c>
      <c r="S1455" s="42" t="inlineStr">
        <is>
          <t>★</t>
        </is>
      </c>
      <c r="T1455" s="42" t="n">
        <v>119</v>
      </c>
      <c r="U1455" s="42" t="inlineStr">
        <is>
          <t>P119|★</t>
        </is>
      </c>
      <c r="V1455" s="42" t="inlineStr">
        <is>
          <t>同頁凡例へ直接連動</t>
        </is>
      </c>
    </row>
    <row r="1456">
      <c r="A1456" t="inlineStr">
        <is>
          <t>SZ-SL-001453</t>
        </is>
      </c>
      <c r="B1456" t="inlineStr">
        <is>
          <t>SER-LIX-SAMOSL</t>
        </is>
      </c>
      <c r="C1456" t="inlineStr">
        <is>
          <t>WT-SL-TATE-SUBERI</t>
        </is>
      </c>
      <c r="D1456" t="inlineStr">
        <is>
          <t>縦すべり出し窓 TF（オペレーター）（FIX部 内押縁タイプ）</t>
        </is>
      </c>
      <c r="E1456" t="inlineStr">
        <is>
          <t>SP-SL-TATE-OP-TF-IN</t>
        </is>
      </c>
      <c r="F1456" t="inlineStr">
        <is>
          <t>在来・204</t>
        </is>
      </c>
      <c r="G1456" t="inlineStr">
        <is>
          <t>11409</t>
        </is>
      </c>
      <c r="H1456" t="inlineStr">
        <is>
          <t>114</t>
        </is>
      </c>
      <c r="I1456" t="inlineStr">
        <is>
          <t>09</t>
        </is>
      </c>
      <c r="J1456" t="n">
        <v>1185</v>
      </c>
      <c r="K1456" t="n">
        <v>970</v>
      </c>
      <c r="L1456" t="inlineStr">
        <is>
          <t>在来・204</t>
        </is>
      </c>
      <c r="M1456" t="b">
        <v>1</v>
      </c>
      <c r="N1456" t="inlineStr">
        <is>
          <t>2026規格・詳細構成確認済み</t>
        </is>
      </c>
      <c r="O1456" t="n">
        <v>122</v>
      </c>
      <c r="P1456" t="n">
        <v>120</v>
      </c>
      <c r="Q1456" t="inlineStr">
        <is>
          <t>202604_LIXIL_サーモスＬ_業務用資料集_完成品価格表.pdf</t>
        </is>
      </c>
      <c r="R1456" t="inlineStr">
        <is>
          <t>v0.5詳細構成。オペレーター｜TF｜FIX内押縁。2026完成品価格表 P120。</t>
        </is>
      </c>
      <c r="S1456" s="42" t="inlineStr">
        <is>
          <t>無印</t>
        </is>
      </c>
      <c r="T1456" s="42" t="n">
        <v>120</v>
      </c>
      <c r="U1456" s="42" t="inlineStr">
        <is>
          <t>P120|無印</t>
        </is>
      </c>
      <c r="V1456" s="42" t="inlineStr">
        <is>
          <t>同頁凡例へ直接連動</t>
        </is>
      </c>
    </row>
    <row r="1457">
      <c r="A1457" t="inlineStr">
        <is>
          <t>SZ-SL-001454</t>
        </is>
      </c>
      <c r="B1457" t="inlineStr">
        <is>
          <t>SER-LIX-SAMOSL</t>
        </is>
      </c>
      <c r="C1457" t="inlineStr">
        <is>
          <t>WT-SL-TATE-SUBERI</t>
        </is>
      </c>
      <c r="D1457" t="inlineStr">
        <is>
          <t>縦すべり出し窓 TF（オペレーター）（FIX部 内押縁タイプ）</t>
        </is>
      </c>
      <c r="E1457" t="inlineStr">
        <is>
          <t>SP-SL-TATE-OP-TF-IN</t>
        </is>
      </c>
      <c r="F1457" t="inlineStr">
        <is>
          <t>在来・204</t>
        </is>
      </c>
      <c r="G1457" t="inlineStr">
        <is>
          <t>11909</t>
        </is>
      </c>
      <c r="H1457" t="inlineStr">
        <is>
          <t>119</t>
        </is>
      </c>
      <c r="I1457" t="inlineStr">
        <is>
          <t>09</t>
        </is>
      </c>
      <c r="J1457" t="n">
        <v>1235</v>
      </c>
      <c r="K1457" t="n">
        <v>970</v>
      </c>
      <c r="L1457" t="inlineStr">
        <is>
          <t>在来・204</t>
        </is>
      </c>
      <c r="M1457" t="b">
        <v>1</v>
      </c>
      <c r="N1457" t="inlineStr">
        <is>
          <t>2026規格・詳細構成確認済み</t>
        </is>
      </c>
      <c r="O1457" t="n">
        <v>122</v>
      </c>
      <c r="P1457" t="n">
        <v>120</v>
      </c>
      <c r="Q1457" t="inlineStr">
        <is>
          <t>202604_LIXIL_サーモスＬ_業務用資料集_完成品価格表.pdf</t>
        </is>
      </c>
      <c r="R1457" t="inlineStr">
        <is>
          <t>v0.5詳細構成。オペレーター｜TF｜FIX内押縁。2026完成品価格表 P120。</t>
        </is>
      </c>
      <c r="S1457" s="42" t="inlineStr">
        <is>
          <t>無印</t>
        </is>
      </c>
      <c r="T1457" s="42" t="n">
        <v>120</v>
      </c>
      <c r="U1457" s="42" t="inlineStr">
        <is>
          <t>P120|無印</t>
        </is>
      </c>
      <c r="V1457" s="42" t="inlineStr">
        <is>
          <t>同頁凡例へ直接連動</t>
        </is>
      </c>
    </row>
    <row r="1458">
      <c r="A1458" t="inlineStr">
        <is>
          <t>SZ-SL-001455</t>
        </is>
      </c>
      <c r="B1458" t="inlineStr">
        <is>
          <t>SER-LIX-SAMOSL</t>
        </is>
      </c>
      <c r="C1458" t="inlineStr">
        <is>
          <t>WT-SL-TATE-SUBERI</t>
        </is>
      </c>
      <c r="D1458" t="inlineStr">
        <is>
          <t>縦すべり出し窓 TF（オペレーター）（FIX部 内押縁タイプ）</t>
        </is>
      </c>
      <c r="E1458" t="inlineStr">
        <is>
          <t>SP-SL-TATE-OP-TF-IN</t>
        </is>
      </c>
      <c r="F1458" t="inlineStr">
        <is>
          <t>在来・204</t>
        </is>
      </c>
      <c r="G1458" t="inlineStr">
        <is>
          <t>16009</t>
        </is>
      </c>
      <c r="H1458" t="inlineStr">
        <is>
          <t>160</t>
        </is>
      </c>
      <c r="I1458" t="inlineStr">
        <is>
          <t>09</t>
        </is>
      </c>
      <c r="J1458" t="n">
        <v>1640</v>
      </c>
      <c r="K1458" t="n">
        <v>970</v>
      </c>
      <c r="L1458" t="inlineStr">
        <is>
          <t>在来・204</t>
        </is>
      </c>
      <c r="M1458" t="b">
        <v>1</v>
      </c>
      <c r="N1458" t="inlineStr">
        <is>
          <t>2026規格・詳細構成確認済み</t>
        </is>
      </c>
      <c r="O1458" t="n">
        <v>122</v>
      </c>
      <c r="P1458" t="n">
        <v>120</v>
      </c>
      <c r="Q1458" t="inlineStr">
        <is>
          <t>202604_LIXIL_サーモスＬ_業務用資料集_完成品価格表.pdf</t>
        </is>
      </c>
      <c r="R1458" t="inlineStr">
        <is>
          <t>v0.5詳細構成。オペレーター｜TF｜FIX内押縁。2026完成品価格表 P120。</t>
        </is>
      </c>
      <c r="S1458" s="42" t="inlineStr">
        <is>
          <t>無印</t>
        </is>
      </c>
      <c r="T1458" s="42" t="n">
        <v>120</v>
      </c>
      <c r="U1458" s="42" t="inlineStr">
        <is>
          <t>P120|無印</t>
        </is>
      </c>
      <c r="V1458" s="42" t="inlineStr">
        <is>
          <t>同頁凡例へ直接連動</t>
        </is>
      </c>
    </row>
    <row r="1459">
      <c r="A1459" t="inlineStr">
        <is>
          <t>SZ-SL-001456</t>
        </is>
      </c>
      <c r="B1459" t="inlineStr">
        <is>
          <t>SER-LIX-SAMOSL</t>
        </is>
      </c>
      <c r="C1459" t="inlineStr">
        <is>
          <t>WT-SL-TATE-SUBERI</t>
        </is>
      </c>
      <c r="D1459" t="inlineStr">
        <is>
          <t>縦すべり出し窓 TF（オペレーター）（FIX部 内押縁タイプ）</t>
        </is>
      </c>
      <c r="E1459" t="inlineStr">
        <is>
          <t>SP-SL-TATE-OP-TF-IN</t>
        </is>
      </c>
      <c r="F1459" t="inlineStr">
        <is>
          <t>在来・204</t>
        </is>
      </c>
      <c r="G1459" t="inlineStr">
        <is>
          <t>16509</t>
        </is>
      </c>
      <c r="H1459" t="inlineStr">
        <is>
          <t>165</t>
        </is>
      </c>
      <c r="I1459" t="inlineStr">
        <is>
          <t>09</t>
        </is>
      </c>
      <c r="J1459" t="n">
        <v>1690</v>
      </c>
      <c r="K1459" t="n">
        <v>970</v>
      </c>
      <c r="L1459" t="inlineStr">
        <is>
          <t>在来・204</t>
        </is>
      </c>
      <c r="M1459" t="b">
        <v>1</v>
      </c>
      <c r="N1459" t="inlineStr">
        <is>
          <t>2026規格・詳細構成確認済み</t>
        </is>
      </c>
      <c r="O1459" t="n">
        <v>122</v>
      </c>
      <c r="P1459" t="n">
        <v>120</v>
      </c>
      <c r="Q1459" t="inlineStr">
        <is>
          <t>202604_LIXIL_サーモスＬ_業務用資料集_完成品価格表.pdf</t>
        </is>
      </c>
      <c r="R1459" t="inlineStr">
        <is>
          <t>v0.5詳細構成。オペレーター｜TF｜FIX内押縁。2026完成品価格表 P120。</t>
        </is>
      </c>
      <c r="S1459" s="42" t="inlineStr">
        <is>
          <t>無印</t>
        </is>
      </c>
      <c r="T1459" s="42" t="n">
        <v>120</v>
      </c>
      <c r="U1459" s="42" t="inlineStr">
        <is>
          <t>P120|無印</t>
        </is>
      </c>
      <c r="V1459" s="42" t="inlineStr">
        <is>
          <t>同頁凡例へ直接連動</t>
        </is>
      </c>
    </row>
    <row r="1460">
      <c r="A1460" t="inlineStr">
        <is>
          <t>SZ-SL-001457</t>
        </is>
      </c>
      <c r="B1460" t="inlineStr">
        <is>
          <t>SER-LIX-SAMOSL</t>
        </is>
      </c>
      <c r="C1460" t="inlineStr">
        <is>
          <t>WT-SL-TATE-SUBERI</t>
        </is>
      </c>
      <c r="D1460" t="inlineStr">
        <is>
          <t>縦すべり出し窓 TF（オペレーター）（FIX部 内押縁タイプ）</t>
        </is>
      </c>
      <c r="E1460" t="inlineStr">
        <is>
          <t>SP-SL-TATE-OP-TF-IN</t>
        </is>
      </c>
      <c r="F1460" t="inlineStr">
        <is>
          <t>在来・204</t>
        </is>
      </c>
      <c r="G1460" t="inlineStr">
        <is>
          <t>11411</t>
        </is>
      </c>
      <c r="H1460" t="inlineStr">
        <is>
          <t>114</t>
        </is>
      </c>
      <c r="I1460" t="inlineStr">
        <is>
          <t>11</t>
        </is>
      </c>
      <c r="J1460" t="n">
        <v>1185</v>
      </c>
      <c r="K1460" t="n">
        <v>1170</v>
      </c>
      <c r="L1460" t="inlineStr">
        <is>
          <t>在来・204</t>
        </is>
      </c>
      <c r="M1460" t="b">
        <v>1</v>
      </c>
      <c r="N1460" t="inlineStr">
        <is>
          <t>2026規格・詳細構成確認済み</t>
        </is>
      </c>
      <c r="O1460" t="n">
        <v>122</v>
      </c>
      <c r="P1460" t="n">
        <v>120</v>
      </c>
      <c r="Q1460" t="inlineStr">
        <is>
          <t>202604_LIXIL_サーモスＬ_業務用資料集_完成品価格表.pdf</t>
        </is>
      </c>
      <c r="R1460" t="inlineStr">
        <is>
          <t>v0.5詳細構成。オペレーター｜TF｜FIX内押縁。2026完成品価格表 P120。</t>
        </is>
      </c>
      <c r="S1460" s="42" t="inlineStr">
        <is>
          <t>無印</t>
        </is>
      </c>
      <c r="T1460" s="42" t="n">
        <v>120</v>
      </c>
      <c r="U1460" s="42" t="inlineStr">
        <is>
          <t>P120|無印</t>
        </is>
      </c>
      <c r="V1460" s="42" t="inlineStr">
        <is>
          <t>同頁凡例へ直接連動</t>
        </is>
      </c>
    </row>
    <row r="1461">
      <c r="A1461" t="inlineStr">
        <is>
          <t>SZ-SL-001458</t>
        </is>
      </c>
      <c r="B1461" t="inlineStr">
        <is>
          <t>SER-LIX-SAMOSL</t>
        </is>
      </c>
      <c r="C1461" t="inlineStr">
        <is>
          <t>WT-SL-TATE-SUBERI</t>
        </is>
      </c>
      <c r="D1461" t="inlineStr">
        <is>
          <t>縦すべり出し窓 TF（オペレーター）（FIX部 内押縁タイプ）</t>
        </is>
      </c>
      <c r="E1461" t="inlineStr">
        <is>
          <t>SP-SL-TATE-OP-TF-IN</t>
        </is>
      </c>
      <c r="F1461" t="inlineStr">
        <is>
          <t>在来・204</t>
        </is>
      </c>
      <c r="G1461" t="inlineStr">
        <is>
          <t>11911</t>
        </is>
      </c>
      <c r="H1461" t="inlineStr">
        <is>
          <t>119</t>
        </is>
      </c>
      <c r="I1461" t="inlineStr">
        <is>
          <t>11</t>
        </is>
      </c>
      <c r="J1461" t="n">
        <v>1235</v>
      </c>
      <c r="K1461" t="n">
        <v>1170</v>
      </c>
      <c r="L1461" t="inlineStr">
        <is>
          <t>在来・204</t>
        </is>
      </c>
      <c r="M1461" t="b">
        <v>1</v>
      </c>
      <c r="N1461" t="inlineStr">
        <is>
          <t>2026規格・詳細構成確認済み</t>
        </is>
      </c>
      <c r="O1461" t="n">
        <v>122</v>
      </c>
      <c r="P1461" t="n">
        <v>120</v>
      </c>
      <c r="Q1461" t="inlineStr">
        <is>
          <t>202604_LIXIL_サーモスＬ_業務用資料集_完成品価格表.pdf</t>
        </is>
      </c>
      <c r="R1461" t="inlineStr">
        <is>
          <t>v0.5詳細構成。オペレーター｜TF｜FIX内押縁。2026完成品価格表 P120。</t>
        </is>
      </c>
      <c r="S1461" s="42" t="inlineStr">
        <is>
          <t>無印</t>
        </is>
      </c>
      <c r="T1461" s="42" t="n">
        <v>120</v>
      </c>
      <c r="U1461" s="42" t="inlineStr">
        <is>
          <t>P120|無印</t>
        </is>
      </c>
      <c r="V1461" s="42" t="inlineStr">
        <is>
          <t>同頁凡例へ直接連動</t>
        </is>
      </c>
    </row>
    <row r="1462">
      <c r="A1462" t="inlineStr">
        <is>
          <t>SZ-SL-001459</t>
        </is>
      </c>
      <c r="B1462" t="inlineStr">
        <is>
          <t>SER-LIX-SAMOSL</t>
        </is>
      </c>
      <c r="C1462" t="inlineStr">
        <is>
          <t>WT-SL-TATE-SUBERI</t>
        </is>
      </c>
      <c r="D1462" t="inlineStr">
        <is>
          <t>縦すべり出し窓 TF（オペレーター）（FIX部 内押縁タイプ）</t>
        </is>
      </c>
      <c r="E1462" t="inlineStr">
        <is>
          <t>SP-SL-TATE-OP-TF-IN</t>
        </is>
      </c>
      <c r="F1462" t="inlineStr">
        <is>
          <t>在来・204</t>
        </is>
      </c>
      <c r="G1462" t="inlineStr">
        <is>
          <t>16011</t>
        </is>
      </c>
      <c r="H1462" t="inlineStr">
        <is>
          <t>160</t>
        </is>
      </c>
      <c r="I1462" t="inlineStr">
        <is>
          <t>11</t>
        </is>
      </c>
      <c r="J1462" t="n">
        <v>1640</v>
      </c>
      <c r="K1462" t="n">
        <v>1170</v>
      </c>
      <c r="L1462" t="inlineStr">
        <is>
          <t>在来・204</t>
        </is>
      </c>
      <c r="M1462" t="b">
        <v>1</v>
      </c>
      <c r="N1462" t="inlineStr">
        <is>
          <t>2026規格・詳細構成確認済み</t>
        </is>
      </c>
      <c r="O1462" t="n">
        <v>122</v>
      </c>
      <c r="P1462" t="n">
        <v>120</v>
      </c>
      <c r="Q1462" t="inlineStr">
        <is>
          <t>202604_LIXIL_サーモスＬ_業務用資料集_完成品価格表.pdf</t>
        </is>
      </c>
      <c r="R1462" t="inlineStr">
        <is>
          <t>v0.5詳細構成。オペレーター｜TF｜FIX内押縁。2026完成品価格表 P120。</t>
        </is>
      </c>
      <c r="S1462" s="42" t="inlineStr">
        <is>
          <t>★</t>
        </is>
      </c>
      <c r="T1462" s="42" t="n">
        <v>120</v>
      </c>
      <c r="U1462" s="42" t="inlineStr">
        <is>
          <t>P120|★</t>
        </is>
      </c>
      <c r="V1462" s="42" t="inlineStr">
        <is>
          <t>同頁凡例へ直接連動</t>
        </is>
      </c>
    </row>
    <row r="1463">
      <c r="A1463" t="inlineStr">
        <is>
          <t>SZ-SL-001460</t>
        </is>
      </c>
      <c r="B1463" t="inlineStr">
        <is>
          <t>SER-LIX-SAMOSL</t>
        </is>
      </c>
      <c r="C1463" t="inlineStr">
        <is>
          <t>WT-SL-TATE-SUBERI</t>
        </is>
      </c>
      <c r="D1463" t="inlineStr">
        <is>
          <t>縦すべり出し窓 TF（オペレーター）（FIX部 内押縁タイプ）</t>
        </is>
      </c>
      <c r="E1463" t="inlineStr">
        <is>
          <t>SP-SL-TATE-OP-TF-IN</t>
        </is>
      </c>
      <c r="F1463" t="inlineStr">
        <is>
          <t>在来・204</t>
        </is>
      </c>
      <c r="G1463" t="inlineStr">
        <is>
          <t>16511</t>
        </is>
      </c>
      <c r="H1463" t="inlineStr">
        <is>
          <t>165</t>
        </is>
      </c>
      <c r="I1463" t="inlineStr">
        <is>
          <t>11</t>
        </is>
      </c>
      <c r="J1463" t="n">
        <v>1690</v>
      </c>
      <c r="K1463" t="n">
        <v>1170</v>
      </c>
      <c r="L1463" t="inlineStr">
        <is>
          <t>在来・204</t>
        </is>
      </c>
      <c r="M1463" t="b">
        <v>1</v>
      </c>
      <c r="N1463" t="inlineStr">
        <is>
          <t>2026規格・詳細構成確認済み</t>
        </is>
      </c>
      <c r="O1463" t="n">
        <v>122</v>
      </c>
      <c r="P1463" t="n">
        <v>120</v>
      </c>
      <c r="Q1463" t="inlineStr">
        <is>
          <t>202604_LIXIL_サーモスＬ_業務用資料集_完成品価格表.pdf</t>
        </is>
      </c>
      <c r="R1463" t="inlineStr">
        <is>
          <t>v0.5詳細構成。オペレーター｜TF｜FIX内押縁。2026完成品価格表 P120。</t>
        </is>
      </c>
      <c r="S1463" s="42" t="inlineStr">
        <is>
          <t>★</t>
        </is>
      </c>
      <c r="T1463" s="42" t="n">
        <v>120</v>
      </c>
      <c r="U1463" s="42" t="inlineStr">
        <is>
          <t>P120|★</t>
        </is>
      </c>
      <c r="V1463" s="42" t="inlineStr">
        <is>
          <t>同頁凡例へ直接連動</t>
        </is>
      </c>
    </row>
    <row r="1464">
      <c r="A1464" t="inlineStr">
        <is>
          <t>SZ-SL-001461</t>
        </is>
      </c>
      <c r="B1464" t="inlineStr">
        <is>
          <t>SER-LIX-SAMOSL</t>
        </is>
      </c>
      <c r="C1464" t="inlineStr">
        <is>
          <t>WT-SL-TATE-SUBERI</t>
        </is>
      </c>
      <c r="D1464" t="inlineStr">
        <is>
          <t>縦すべり出し窓 TF（オペレーター）（FIX部 内押縁タイプ）</t>
        </is>
      </c>
      <c r="E1464" t="inlineStr">
        <is>
          <t>SP-SL-TATE-OP-TF-IN</t>
        </is>
      </c>
      <c r="F1464" t="inlineStr">
        <is>
          <t>在来・204</t>
        </is>
      </c>
      <c r="G1464" t="inlineStr">
        <is>
          <t>11413</t>
        </is>
      </c>
      <c r="H1464" t="inlineStr">
        <is>
          <t>114</t>
        </is>
      </c>
      <c r="I1464" t="inlineStr">
        <is>
          <t>13</t>
        </is>
      </c>
      <c r="J1464" t="n">
        <v>1185</v>
      </c>
      <c r="K1464" t="n">
        <v>1370</v>
      </c>
      <c r="L1464" t="inlineStr">
        <is>
          <t>在来・204</t>
        </is>
      </c>
      <c r="M1464" t="b">
        <v>1</v>
      </c>
      <c r="N1464" t="inlineStr">
        <is>
          <t>2026規格・詳細構成確認済み</t>
        </is>
      </c>
      <c r="O1464" t="n">
        <v>122</v>
      </c>
      <c r="P1464" t="n">
        <v>120</v>
      </c>
      <c r="Q1464" t="inlineStr">
        <is>
          <t>202604_LIXIL_サーモスＬ_業務用資料集_完成品価格表.pdf</t>
        </is>
      </c>
      <c r="R1464" t="inlineStr">
        <is>
          <t>v0.5詳細構成。オペレーター｜TF｜FIX内押縁。2026完成品価格表 P120。</t>
        </is>
      </c>
      <c r="S1464" s="42" t="inlineStr">
        <is>
          <t>無印</t>
        </is>
      </c>
      <c r="T1464" s="42" t="n">
        <v>120</v>
      </c>
      <c r="U1464" s="42" t="inlineStr">
        <is>
          <t>P120|無印</t>
        </is>
      </c>
      <c r="V1464" s="42" t="inlineStr">
        <is>
          <t>同頁凡例へ直接連動</t>
        </is>
      </c>
    </row>
    <row r="1465">
      <c r="A1465" t="inlineStr">
        <is>
          <t>SZ-SL-001462</t>
        </is>
      </c>
      <c r="B1465" t="inlineStr">
        <is>
          <t>SER-LIX-SAMOSL</t>
        </is>
      </c>
      <c r="C1465" t="inlineStr">
        <is>
          <t>WT-SL-TATE-SUBERI</t>
        </is>
      </c>
      <c r="D1465" t="inlineStr">
        <is>
          <t>縦すべり出し窓 TF（オペレーター）（FIX部 内押縁タイプ）</t>
        </is>
      </c>
      <c r="E1465" t="inlineStr">
        <is>
          <t>SP-SL-TATE-OP-TF-IN</t>
        </is>
      </c>
      <c r="F1465" t="inlineStr">
        <is>
          <t>在来・204</t>
        </is>
      </c>
      <c r="G1465" t="inlineStr">
        <is>
          <t>11913</t>
        </is>
      </c>
      <c r="H1465" t="inlineStr">
        <is>
          <t>119</t>
        </is>
      </c>
      <c r="I1465" t="inlineStr">
        <is>
          <t>13</t>
        </is>
      </c>
      <c r="J1465" t="n">
        <v>1235</v>
      </c>
      <c r="K1465" t="n">
        <v>1370</v>
      </c>
      <c r="L1465" t="inlineStr">
        <is>
          <t>在来・204</t>
        </is>
      </c>
      <c r="M1465" t="b">
        <v>1</v>
      </c>
      <c r="N1465" t="inlineStr">
        <is>
          <t>2026規格・詳細構成確認済み</t>
        </is>
      </c>
      <c r="O1465" t="n">
        <v>122</v>
      </c>
      <c r="P1465" t="n">
        <v>120</v>
      </c>
      <c r="Q1465" t="inlineStr">
        <is>
          <t>202604_LIXIL_サーモスＬ_業務用資料集_完成品価格表.pdf</t>
        </is>
      </c>
      <c r="R1465" t="inlineStr">
        <is>
          <t>v0.5詳細構成。オペレーター｜TF｜FIX内押縁。2026完成品価格表 P120。</t>
        </is>
      </c>
      <c r="S1465" s="42" t="inlineStr">
        <is>
          <t>無印</t>
        </is>
      </c>
      <c r="T1465" s="42" t="n">
        <v>120</v>
      </c>
      <c r="U1465" s="42" t="inlineStr">
        <is>
          <t>P120|無印</t>
        </is>
      </c>
      <c r="V1465" s="42" t="inlineStr">
        <is>
          <t>同頁凡例へ直接連動</t>
        </is>
      </c>
    </row>
    <row r="1466">
      <c r="A1466" t="inlineStr">
        <is>
          <t>SZ-SL-001463</t>
        </is>
      </c>
      <c r="B1466" t="inlineStr">
        <is>
          <t>SER-LIX-SAMOSL</t>
        </is>
      </c>
      <c r="C1466" t="inlineStr">
        <is>
          <t>WT-SL-TATE-SUBERI</t>
        </is>
      </c>
      <c r="D1466" t="inlineStr">
        <is>
          <t>縦すべり出し窓 TF（オペレーター）（FIX部 内押縁タイプ）</t>
        </is>
      </c>
      <c r="E1466" t="inlineStr">
        <is>
          <t>SP-SL-TATE-OP-TF-IN</t>
        </is>
      </c>
      <c r="F1466" t="inlineStr">
        <is>
          <t>在来・204</t>
        </is>
      </c>
      <c r="G1466" t="inlineStr">
        <is>
          <t>16013</t>
        </is>
      </c>
      <c r="H1466" t="inlineStr">
        <is>
          <t>160</t>
        </is>
      </c>
      <c r="I1466" t="inlineStr">
        <is>
          <t>13</t>
        </is>
      </c>
      <c r="J1466" t="n">
        <v>1640</v>
      </c>
      <c r="K1466" t="n">
        <v>1370</v>
      </c>
      <c r="L1466" t="inlineStr">
        <is>
          <t>在来・204</t>
        </is>
      </c>
      <c r="M1466" t="b">
        <v>1</v>
      </c>
      <c r="N1466" t="inlineStr">
        <is>
          <t>2026規格・詳細構成確認済み</t>
        </is>
      </c>
      <c r="O1466" t="n">
        <v>122</v>
      </c>
      <c r="P1466" t="n">
        <v>120</v>
      </c>
      <c r="Q1466" t="inlineStr">
        <is>
          <t>202604_LIXIL_サーモスＬ_業務用資料集_完成品価格表.pdf</t>
        </is>
      </c>
      <c r="R1466" t="inlineStr">
        <is>
          <t>v0.5詳細構成。オペレーター｜TF｜FIX内押縁。2026完成品価格表 P120。</t>
        </is>
      </c>
      <c r="S1466" s="42" t="inlineStr">
        <is>
          <t>★</t>
        </is>
      </c>
      <c r="T1466" s="42" t="n">
        <v>120</v>
      </c>
      <c r="U1466" s="42" t="inlineStr">
        <is>
          <t>P120|★</t>
        </is>
      </c>
      <c r="V1466" s="42" t="inlineStr">
        <is>
          <t>同頁凡例へ直接連動</t>
        </is>
      </c>
    </row>
    <row r="1467">
      <c r="A1467" t="inlineStr">
        <is>
          <t>SZ-SL-001464</t>
        </is>
      </c>
      <c r="B1467" t="inlineStr">
        <is>
          <t>SER-LIX-SAMOSL</t>
        </is>
      </c>
      <c r="C1467" t="inlineStr">
        <is>
          <t>WT-SL-TATE-SUBERI</t>
        </is>
      </c>
      <c r="D1467" t="inlineStr">
        <is>
          <t>縦すべり出し窓 TF（オペレーター）（FIX部 内押縁タイプ）</t>
        </is>
      </c>
      <c r="E1467" t="inlineStr">
        <is>
          <t>SP-SL-TATE-OP-TF-IN</t>
        </is>
      </c>
      <c r="F1467" t="inlineStr">
        <is>
          <t>在来・204</t>
        </is>
      </c>
      <c r="G1467" t="inlineStr">
        <is>
          <t>16513</t>
        </is>
      </c>
      <c r="H1467" t="inlineStr">
        <is>
          <t>165</t>
        </is>
      </c>
      <c r="I1467" t="inlineStr">
        <is>
          <t>13</t>
        </is>
      </c>
      <c r="J1467" t="n">
        <v>1690</v>
      </c>
      <c r="K1467" t="n">
        <v>1370</v>
      </c>
      <c r="L1467" t="inlineStr">
        <is>
          <t>在来・204</t>
        </is>
      </c>
      <c r="M1467" t="b">
        <v>1</v>
      </c>
      <c r="N1467" t="inlineStr">
        <is>
          <t>2026規格・詳細構成確認済み</t>
        </is>
      </c>
      <c r="O1467" t="n">
        <v>122</v>
      </c>
      <c r="P1467" t="n">
        <v>120</v>
      </c>
      <c r="Q1467" t="inlineStr">
        <is>
          <t>202604_LIXIL_サーモスＬ_業務用資料集_完成品価格表.pdf</t>
        </is>
      </c>
      <c r="R1467" t="inlineStr">
        <is>
          <t>v0.5詳細構成。オペレーター｜TF｜FIX内押縁。2026完成品価格表 P120。</t>
        </is>
      </c>
      <c r="S1467" s="42" t="inlineStr">
        <is>
          <t>★</t>
        </is>
      </c>
      <c r="T1467" s="42" t="n">
        <v>120</v>
      </c>
      <c r="U1467" s="42" t="inlineStr">
        <is>
          <t>P120|★</t>
        </is>
      </c>
      <c r="V1467" s="42" t="inlineStr">
        <is>
          <t>同頁凡例へ直接連動</t>
        </is>
      </c>
    </row>
    <row r="1468">
      <c r="A1468" t="inlineStr">
        <is>
          <t>SZ-SL-001465</t>
        </is>
      </c>
      <c r="B1468" t="inlineStr">
        <is>
          <t>SER-LIX-SAMOSL</t>
        </is>
      </c>
      <c r="C1468" t="inlineStr">
        <is>
          <t>WT-SL-TATE-SUBERI</t>
        </is>
      </c>
      <c r="D1468" t="inlineStr">
        <is>
          <t>縦すべり出し窓 TFT（オペレーター）（FIX部 内押縁タイプ）</t>
        </is>
      </c>
      <c r="E1468" t="inlineStr">
        <is>
          <t>SP-SL-TATE-OP-TFT-IN</t>
        </is>
      </c>
      <c r="F1468" t="inlineStr">
        <is>
          <t>在来・204</t>
        </is>
      </c>
      <c r="G1468" t="inlineStr">
        <is>
          <t>16009</t>
        </is>
      </c>
      <c r="H1468" t="inlineStr">
        <is>
          <t>160</t>
        </is>
      </c>
      <c r="I1468" t="inlineStr">
        <is>
          <t>09</t>
        </is>
      </c>
      <c r="J1468" t="n">
        <v>1640</v>
      </c>
      <c r="K1468" t="n">
        <v>970</v>
      </c>
      <c r="L1468" t="inlineStr">
        <is>
          <t>在来・204</t>
        </is>
      </c>
      <c r="M1468" t="b">
        <v>1</v>
      </c>
      <c r="N1468" t="inlineStr">
        <is>
          <t>2026規格・詳細構成確認済み</t>
        </is>
      </c>
      <c r="O1468" t="n">
        <v>123</v>
      </c>
      <c r="P1468" t="n">
        <v>121</v>
      </c>
      <c r="Q1468" t="inlineStr">
        <is>
          <t>202604_LIXIL_サーモスＬ_業務用資料集_完成品価格表.pdf</t>
        </is>
      </c>
      <c r="R1468" t="inlineStr">
        <is>
          <t>v0.5詳細構成。オペレーター｜TFT｜FIX内押縁。2026完成品価格表 P121。</t>
        </is>
      </c>
      <c r="S1468" s="42" t="inlineStr">
        <is>
          <t>無印</t>
        </is>
      </c>
      <c r="T1468" s="42" t="n">
        <v>121</v>
      </c>
      <c r="U1468" s="42" t="inlineStr">
        <is>
          <t>P121|無印</t>
        </is>
      </c>
      <c r="V1468" s="42" t="inlineStr">
        <is>
          <t>同頁凡例へ直接連動</t>
        </is>
      </c>
    </row>
    <row r="1469">
      <c r="A1469" t="inlineStr">
        <is>
          <t>SZ-SL-001466</t>
        </is>
      </c>
      <c r="B1469" t="inlineStr">
        <is>
          <t>SER-LIX-SAMOSL</t>
        </is>
      </c>
      <c r="C1469" t="inlineStr">
        <is>
          <t>WT-SL-TATE-SUBERI</t>
        </is>
      </c>
      <c r="D1469" t="inlineStr">
        <is>
          <t>縦すべり出し窓 TFT（オペレーター）（FIX部 内押縁タイプ）</t>
        </is>
      </c>
      <c r="E1469" t="inlineStr">
        <is>
          <t>SP-SL-TATE-OP-TFT-IN</t>
        </is>
      </c>
      <c r="F1469" t="inlineStr">
        <is>
          <t>在来・204</t>
        </is>
      </c>
      <c r="G1469" t="inlineStr">
        <is>
          <t>16509</t>
        </is>
      </c>
      <c r="H1469" t="inlineStr">
        <is>
          <t>165</t>
        </is>
      </c>
      <c r="I1469" t="inlineStr">
        <is>
          <t>09</t>
        </is>
      </c>
      <c r="J1469" t="n">
        <v>1690</v>
      </c>
      <c r="K1469" t="n">
        <v>970</v>
      </c>
      <c r="L1469" t="inlineStr">
        <is>
          <t>在来・204</t>
        </is>
      </c>
      <c r="M1469" t="b">
        <v>1</v>
      </c>
      <c r="N1469" t="inlineStr">
        <is>
          <t>2026規格・詳細構成確認済み</t>
        </is>
      </c>
      <c r="O1469" t="n">
        <v>123</v>
      </c>
      <c r="P1469" t="n">
        <v>121</v>
      </c>
      <c r="Q1469" t="inlineStr">
        <is>
          <t>202604_LIXIL_サーモスＬ_業務用資料集_完成品価格表.pdf</t>
        </is>
      </c>
      <c r="R1469" t="inlineStr">
        <is>
          <t>v0.5詳細構成。オペレーター｜TFT｜FIX内押縁。2026完成品価格表 P121。</t>
        </is>
      </c>
      <c r="S1469" s="42" t="inlineStr">
        <is>
          <t>無印</t>
        </is>
      </c>
      <c r="T1469" s="42" t="n">
        <v>121</v>
      </c>
      <c r="U1469" s="42" t="inlineStr">
        <is>
          <t>P121|無印</t>
        </is>
      </c>
      <c r="V1469" s="42" t="inlineStr">
        <is>
          <t>同頁凡例へ直接連動</t>
        </is>
      </c>
    </row>
    <row r="1470">
      <c r="A1470" t="inlineStr">
        <is>
          <t>SZ-SL-001467</t>
        </is>
      </c>
      <c r="B1470" t="inlineStr">
        <is>
          <t>SER-LIX-SAMOSL</t>
        </is>
      </c>
      <c r="C1470" t="inlineStr">
        <is>
          <t>WT-SL-TATE-SUBERI</t>
        </is>
      </c>
      <c r="D1470" t="inlineStr">
        <is>
          <t>縦すべり出し窓 TFT（オペレーター）（FIX部 内押縁タイプ）</t>
        </is>
      </c>
      <c r="E1470" t="inlineStr">
        <is>
          <t>SP-SL-TATE-OP-TFT-IN</t>
        </is>
      </c>
      <c r="F1470" t="inlineStr">
        <is>
          <t>在来・204</t>
        </is>
      </c>
      <c r="G1470" t="inlineStr">
        <is>
          <t>16011</t>
        </is>
      </c>
      <c r="H1470" t="inlineStr">
        <is>
          <t>160</t>
        </is>
      </c>
      <c r="I1470" t="inlineStr">
        <is>
          <t>11</t>
        </is>
      </c>
      <c r="J1470" t="n">
        <v>1640</v>
      </c>
      <c r="K1470" t="n">
        <v>1170</v>
      </c>
      <c r="L1470" t="inlineStr">
        <is>
          <t>在来・204</t>
        </is>
      </c>
      <c r="M1470" t="b">
        <v>1</v>
      </c>
      <c r="N1470" t="inlineStr">
        <is>
          <t>2026規格・詳細構成確認済み</t>
        </is>
      </c>
      <c r="O1470" t="n">
        <v>123</v>
      </c>
      <c r="P1470" t="n">
        <v>121</v>
      </c>
      <c r="Q1470" t="inlineStr">
        <is>
          <t>202604_LIXIL_サーモスＬ_業務用資料集_完成品価格表.pdf</t>
        </is>
      </c>
      <c r="R1470" t="inlineStr">
        <is>
          <t>v0.5詳細構成。オペレーター｜TFT｜FIX内押縁。2026完成品価格表 P121。</t>
        </is>
      </c>
      <c r="S1470" s="42" t="inlineStr">
        <is>
          <t>無印</t>
        </is>
      </c>
      <c r="T1470" s="42" t="n">
        <v>121</v>
      </c>
      <c r="U1470" s="42" t="inlineStr">
        <is>
          <t>P121|無印</t>
        </is>
      </c>
      <c r="V1470" s="42" t="inlineStr">
        <is>
          <t>同頁凡例へ直接連動</t>
        </is>
      </c>
    </row>
    <row r="1471">
      <c r="A1471" t="inlineStr">
        <is>
          <t>SZ-SL-001468</t>
        </is>
      </c>
      <c r="B1471" t="inlineStr">
        <is>
          <t>SER-LIX-SAMOSL</t>
        </is>
      </c>
      <c r="C1471" t="inlineStr">
        <is>
          <t>WT-SL-TATE-SUBERI</t>
        </is>
      </c>
      <c r="D1471" t="inlineStr">
        <is>
          <t>縦すべり出し窓 TFT（オペレーター）（FIX部 内押縁タイプ）</t>
        </is>
      </c>
      <c r="E1471" t="inlineStr">
        <is>
          <t>SP-SL-TATE-OP-TFT-IN</t>
        </is>
      </c>
      <c r="F1471" t="inlineStr">
        <is>
          <t>在来・204</t>
        </is>
      </c>
      <c r="G1471" t="inlineStr">
        <is>
          <t>16511</t>
        </is>
      </c>
      <c r="H1471" t="inlineStr">
        <is>
          <t>165</t>
        </is>
      </c>
      <c r="I1471" t="inlineStr">
        <is>
          <t>11</t>
        </is>
      </c>
      <c r="J1471" t="n">
        <v>1690</v>
      </c>
      <c r="K1471" t="n">
        <v>1170</v>
      </c>
      <c r="L1471" t="inlineStr">
        <is>
          <t>在来・204</t>
        </is>
      </c>
      <c r="M1471" t="b">
        <v>1</v>
      </c>
      <c r="N1471" t="inlineStr">
        <is>
          <t>2026規格・詳細構成確認済み</t>
        </is>
      </c>
      <c r="O1471" t="n">
        <v>123</v>
      </c>
      <c r="P1471" t="n">
        <v>121</v>
      </c>
      <c r="Q1471" t="inlineStr">
        <is>
          <t>202604_LIXIL_サーモスＬ_業務用資料集_完成品価格表.pdf</t>
        </is>
      </c>
      <c r="R1471" t="inlineStr">
        <is>
          <t>v0.5詳細構成。オペレーター｜TFT｜FIX内押縁。2026完成品価格表 P121。</t>
        </is>
      </c>
      <c r="S1471" s="42" t="inlineStr">
        <is>
          <t>無印</t>
        </is>
      </c>
      <c r="T1471" s="42" t="n">
        <v>121</v>
      </c>
      <c r="U1471" s="42" t="inlineStr">
        <is>
          <t>P121|無印</t>
        </is>
      </c>
      <c r="V1471" s="42" t="inlineStr">
        <is>
          <t>同頁凡例へ直接連動</t>
        </is>
      </c>
    </row>
    <row r="1472">
      <c r="A1472" t="inlineStr">
        <is>
          <t>SZ-SL-001469</t>
        </is>
      </c>
      <c r="B1472" t="inlineStr">
        <is>
          <t>SER-LIX-SAMOSL</t>
        </is>
      </c>
      <c r="C1472" t="inlineStr">
        <is>
          <t>WT-SL-TATE-SUBERI</t>
        </is>
      </c>
      <c r="D1472" t="inlineStr">
        <is>
          <t>縦すべり出し窓 TFT（オペレーター）（FIX部 内押縁タイプ）</t>
        </is>
      </c>
      <c r="E1472" t="inlineStr">
        <is>
          <t>SP-SL-TATE-OP-TFT-IN</t>
        </is>
      </c>
      <c r="F1472" t="inlineStr">
        <is>
          <t>在来・204</t>
        </is>
      </c>
      <c r="G1472" t="inlineStr">
        <is>
          <t>16013</t>
        </is>
      </c>
      <c r="H1472" t="inlineStr">
        <is>
          <t>160</t>
        </is>
      </c>
      <c r="I1472" t="inlineStr">
        <is>
          <t>13</t>
        </is>
      </c>
      <c r="J1472" t="n">
        <v>1640</v>
      </c>
      <c r="K1472" t="n">
        <v>1370</v>
      </c>
      <c r="L1472" t="inlineStr">
        <is>
          <t>在来・204</t>
        </is>
      </c>
      <c r="M1472" t="b">
        <v>1</v>
      </c>
      <c r="N1472" t="inlineStr">
        <is>
          <t>2026規格・詳細構成確認済み</t>
        </is>
      </c>
      <c r="O1472" t="n">
        <v>123</v>
      </c>
      <c r="P1472" t="n">
        <v>121</v>
      </c>
      <c r="Q1472" t="inlineStr">
        <is>
          <t>202604_LIXIL_サーモスＬ_業務用資料集_完成品価格表.pdf</t>
        </is>
      </c>
      <c r="R1472" t="inlineStr">
        <is>
          <t>v0.5詳細構成。オペレーター｜TFT｜FIX内押縁。2026完成品価格表 P121。</t>
        </is>
      </c>
      <c r="S1472" s="42" t="inlineStr">
        <is>
          <t>無印</t>
        </is>
      </c>
      <c r="T1472" s="42" t="n">
        <v>121</v>
      </c>
      <c r="U1472" s="42" t="inlineStr">
        <is>
          <t>P121|無印</t>
        </is>
      </c>
      <c r="V1472" s="42" t="inlineStr">
        <is>
          <t>同頁凡例へ直接連動</t>
        </is>
      </c>
    </row>
    <row r="1473">
      <c r="A1473" t="inlineStr">
        <is>
          <t>SZ-SL-001470</t>
        </is>
      </c>
      <c r="B1473" t="inlineStr">
        <is>
          <t>SER-LIX-SAMOSL</t>
        </is>
      </c>
      <c r="C1473" t="inlineStr">
        <is>
          <t>WT-SL-TATE-SUBERI</t>
        </is>
      </c>
      <c r="D1473" t="inlineStr">
        <is>
          <t>縦すべり出し窓 TFT（オペレーター）（FIX部 内押縁タイプ）</t>
        </is>
      </c>
      <c r="E1473" t="inlineStr">
        <is>
          <t>SP-SL-TATE-OP-TFT-IN</t>
        </is>
      </c>
      <c r="F1473" t="inlineStr">
        <is>
          <t>在来・204</t>
        </is>
      </c>
      <c r="G1473" t="inlineStr">
        <is>
          <t>16513</t>
        </is>
      </c>
      <c r="H1473" t="inlineStr">
        <is>
          <t>165</t>
        </is>
      </c>
      <c r="I1473" t="inlineStr">
        <is>
          <t>13</t>
        </is>
      </c>
      <c r="J1473" t="n">
        <v>1690</v>
      </c>
      <c r="K1473" t="n">
        <v>1370</v>
      </c>
      <c r="L1473" t="inlineStr">
        <is>
          <t>在来・204</t>
        </is>
      </c>
      <c r="M1473" t="b">
        <v>1</v>
      </c>
      <c r="N1473" t="inlineStr">
        <is>
          <t>2026規格・詳細構成確認済み</t>
        </is>
      </c>
      <c r="O1473" t="n">
        <v>123</v>
      </c>
      <c r="P1473" t="n">
        <v>121</v>
      </c>
      <c r="Q1473" t="inlineStr">
        <is>
          <t>202604_LIXIL_サーモスＬ_業務用資料集_完成品価格表.pdf</t>
        </is>
      </c>
      <c r="R1473" t="inlineStr">
        <is>
          <t>v0.5詳細構成。オペレーター｜TFT｜FIX内押縁。2026完成品価格表 P121。</t>
        </is>
      </c>
      <c r="S1473" s="42" t="inlineStr">
        <is>
          <t>★</t>
        </is>
      </c>
      <c r="T1473" s="42" t="n">
        <v>121</v>
      </c>
      <c r="U1473" s="42" t="inlineStr">
        <is>
          <t>P121|★</t>
        </is>
      </c>
      <c r="V1473" s="42" t="inlineStr">
        <is>
          <t>同頁凡例へ直接連動</t>
        </is>
      </c>
    </row>
    <row r="1474">
      <c r="A1474" t="inlineStr">
        <is>
          <t>SZ-SL-001471</t>
        </is>
      </c>
      <c r="B1474" t="inlineStr">
        <is>
          <t>SER-LIX-SAMOSL</t>
        </is>
      </c>
      <c r="C1474" t="inlineStr">
        <is>
          <t>WT-SL-TATE-SUBERI</t>
        </is>
      </c>
      <c r="D1474" t="inlineStr">
        <is>
          <t>縦すべり出し窓 T（カムラッチ）</t>
        </is>
      </c>
      <c r="E1474" t="inlineStr">
        <is>
          <t>SP-SL-TATE-CAM-T</t>
        </is>
      </c>
      <c r="F1474" t="inlineStr">
        <is>
          <t>在来・204</t>
        </is>
      </c>
      <c r="G1474" t="inlineStr">
        <is>
          <t>02607</t>
        </is>
      </c>
      <c r="H1474" t="inlineStr">
        <is>
          <t>026</t>
        </is>
      </c>
      <c r="I1474" t="inlineStr">
        <is>
          <t>07</t>
        </is>
      </c>
      <c r="J1474" t="n">
        <v>300</v>
      </c>
      <c r="K1474" t="n">
        <v>770</v>
      </c>
      <c r="L1474" t="inlineStr">
        <is>
          <t>在来・204</t>
        </is>
      </c>
      <c r="M1474" t="b">
        <v>1</v>
      </c>
      <c r="N1474" t="inlineStr">
        <is>
          <t>2026規格・詳細構成確認済み</t>
        </is>
      </c>
      <c r="O1474" t="n">
        <v>124</v>
      </c>
      <c r="P1474" t="n">
        <v>122</v>
      </c>
      <c r="Q1474" t="inlineStr">
        <is>
          <t>202604_LIXIL_サーモスＬ_業務用資料集_完成品価格表.pdf</t>
        </is>
      </c>
      <c r="R1474" t="inlineStr">
        <is>
          <t>v0.5詳細構成。カムラッチ｜T。2026完成品価格表 P122。</t>
        </is>
      </c>
      <c r="S1474" s="42" t="inlineStr">
        <is>
          <t>無印</t>
        </is>
      </c>
      <c r="T1474" s="42" t="n">
        <v>123</v>
      </c>
      <c r="U1474" s="42" t="inlineStr">
        <is>
          <t>P123|無印</t>
        </is>
      </c>
      <c r="V1474" s="42" t="inlineStr">
        <is>
          <t>同一価格表・次頁凡例を継承</t>
        </is>
      </c>
    </row>
    <row r="1475">
      <c r="A1475" t="inlineStr">
        <is>
          <t>SZ-SL-001472</t>
        </is>
      </c>
      <c r="B1475" t="inlineStr">
        <is>
          <t>SER-LIX-SAMOSL</t>
        </is>
      </c>
      <c r="C1475" t="inlineStr">
        <is>
          <t>WT-SL-TATE-SUBERI</t>
        </is>
      </c>
      <c r="D1475" t="inlineStr">
        <is>
          <t>縦すべり出し窓 T（カムラッチ）</t>
        </is>
      </c>
      <c r="E1475" t="inlineStr">
        <is>
          <t>SP-SL-TATE-CAM-T</t>
        </is>
      </c>
      <c r="F1475" t="inlineStr">
        <is>
          <t>在来・204</t>
        </is>
      </c>
      <c r="G1475" t="inlineStr">
        <is>
          <t>02109</t>
        </is>
      </c>
      <c r="H1475" t="inlineStr">
        <is>
          <t>021</t>
        </is>
      </c>
      <c r="I1475" t="inlineStr">
        <is>
          <t>09</t>
        </is>
      </c>
      <c r="J1475" t="n">
        <v>250</v>
      </c>
      <c r="K1475" t="n">
        <v>970</v>
      </c>
      <c r="L1475" t="inlineStr">
        <is>
          <t>在来・204</t>
        </is>
      </c>
      <c r="M1475" t="b">
        <v>1</v>
      </c>
      <c r="N1475" t="inlineStr">
        <is>
          <t>2026規格・詳細構成確認済み</t>
        </is>
      </c>
      <c r="O1475" t="n">
        <v>124</v>
      </c>
      <c r="P1475" t="n">
        <v>122</v>
      </c>
      <c r="Q1475" t="inlineStr">
        <is>
          <t>202604_LIXIL_サーモスＬ_業務用資料集_完成品価格表.pdf</t>
        </is>
      </c>
      <c r="R1475" t="inlineStr">
        <is>
          <t>v0.5詳細構成。カムラッチ｜T。2026完成品価格表 P122。</t>
        </is>
      </c>
      <c r="S1475" s="42" t="inlineStr">
        <is>
          <t>無印</t>
        </is>
      </c>
      <c r="T1475" s="42" t="n">
        <v>123</v>
      </c>
      <c r="U1475" s="42" t="inlineStr">
        <is>
          <t>P123|無印</t>
        </is>
      </c>
      <c r="V1475" s="42" t="inlineStr">
        <is>
          <t>同一価格表・次頁凡例を継承</t>
        </is>
      </c>
    </row>
    <row r="1476">
      <c r="A1476" t="inlineStr">
        <is>
          <t>SZ-SL-001473</t>
        </is>
      </c>
      <c r="B1476" t="inlineStr">
        <is>
          <t>SER-LIX-SAMOSL</t>
        </is>
      </c>
      <c r="C1476" t="inlineStr">
        <is>
          <t>WT-SL-TATE-SUBERI</t>
        </is>
      </c>
      <c r="D1476" t="inlineStr">
        <is>
          <t>縦すべり出し窓 T（カムラッチ）</t>
        </is>
      </c>
      <c r="E1476" t="inlineStr">
        <is>
          <t>SP-SL-TATE-CAM-T</t>
        </is>
      </c>
      <c r="F1476" t="inlineStr">
        <is>
          <t>在来・204</t>
        </is>
      </c>
      <c r="G1476" t="inlineStr">
        <is>
          <t>02309</t>
        </is>
      </c>
      <c r="H1476" t="inlineStr">
        <is>
          <t>023</t>
        </is>
      </c>
      <c r="I1476" t="inlineStr">
        <is>
          <t>09</t>
        </is>
      </c>
      <c r="J1476" t="n">
        <v>275</v>
      </c>
      <c r="K1476" t="n">
        <v>970</v>
      </c>
      <c r="L1476" t="inlineStr">
        <is>
          <t>在来・204</t>
        </is>
      </c>
      <c r="M1476" t="b">
        <v>1</v>
      </c>
      <c r="N1476" t="inlineStr">
        <is>
          <t>2026規格・詳細構成確認済み</t>
        </is>
      </c>
      <c r="O1476" t="n">
        <v>124</v>
      </c>
      <c r="P1476" t="n">
        <v>122</v>
      </c>
      <c r="Q1476" t="inlineStr">
        <is>
          <t>202604_LIXIL_サーモスＬ_業務用資料集_完成品価格表.pdf</t>
        </is>
      </c>
      <c r="R1476" t="inlineStr">
        <is>
          <t>v0.5詳細構成。カムラッチ｜T。2026完成品価格表 P122。</t>
        </is>
      </c>
      <c r="S1476" s="42" t="inlineStr">
        <is>
          <t>無印</t>
        </is>
      </c>
      <c r="T1476" s="42" t="n">
        <v>123</v>
      </c>
      <c r="U1476" s="42" t="inlineStr">
        <is>
          <t>P123|無印</t>
        </is>
      </c>
      <c r="V1476" s="42" t="inlineStr">
        <is>
          <t>同一価格表・次頁凡例を継承</t>
        </is>
      </c>
    </row>
    <row r="1477">
      <c r="A1477" t="inlineStr">
        <is>
          <t>SZ-SL-001474</t>
        </is>
      </c>
      <c r="B1477" t="inlineStr">
        <is>
          <t>SER-LIX-SAMOSL</t>
        </is>
      </c>
      <c r="C1477" t="inlineStr">
        <is>
          <t>WT-SL-TATE-SUBERI</t>
        </is>
      </c>
      <c r="D1477" t="inlineStr">
        <is>
          <t>縦すべり出し窓 T（カムラッチ）</t>
        </is>
      </c>
      <c r="E1477" t="inlineStr">
        <is>
          <t>SP-SL-TATE-CAM-T</t>
        </is>
      </c>
      <c r="F1477" t="inlineStr">
        <is>
          <t>在来・204</t>
        </is>
      </c>
      <c r="G1477" t="inlineStr">
        <is>
          <t>02609</t>
        </is>
      </c>
      <c r="H1477" t="inlineStr">
        <is>
          <t>026</t>
        </is>
      </c>
      <c r="I1477" t="inlineStr">
        <is>
          <t>09</t>
        </is>
      </c>
      <c r="J1477" t="n">
        <v>300</v>
      </c>
      <c r="K1477" t="n">
        <v>970</v>
      </c>
      <c r="L1477" t="inlineStr">
        <is>
          <t>在来・204</t>
        </is>
      </c>
      <c r="M1477" t="b">
        <v>1</v>
      </c>
      <c r="N1477" t="inlineStr">
        <is>
          <t>2026規格・詳細構成確認済み</t>
        </is>
      </c>
      <c r="O1477" t="n">
        <v>124</v>
      </c>
      <c r="P1477" t="n">
        <v>122</v>
      </c>
      <c r="Q1477" t="inlineStr">
        <is>
          <t>202604_LIXIL_サーモスＬ_業務用資料集_完成品価格表.pdf</t>
        </is>
      </c>
      <c r="R1477" t="inlineStr">
        <is>
          <t>v0.5詳細構成。カムラッチ｜T。2026完成品価格表 P122。</t>
        </is>
      </c>
      <c r="S1477" s="42" t="inlineStr">
        <is>
          <t>無印</t>
        </is>
      </c>
      <c r="T1477" s="42" t="n">
        <v>123</v>
      </c>
      <c r="U1477" s="42" t="inlineStr">
        <is>
          <t>P123|無印</t>
        </is>
      </c>
      <c r="V1477" s="42" t="inlineStr">
        <is>
          <t>同一価格表・次頁凡例を継承</t>
        </is>
      </c>
    </row>
    <row r="1478">
      <c r="A1478" t="inlineStr">
        <is>
          <t>SZ-SL-001475</t>
        </is>
      </c>
      <c r="B1478" t="inlineStr">
        <is>
          <t>SER-LIX-SAMOSL</t>
        </is>
      </c>
      <c r="C1478" t="inlineStr">
        <is>
          <t>WT-SL-TATE-SUBERI</t>
        </is>
      </c>
      <c r="D1478" t="inlineStr">
        <is>
          <t>縦すべり出し窓 T（カムラッチ）</t>
        </is>
      </c>
      <c r="E1478" t="inlineStr">
        <is>
          <t>SP-SL-TATE-CAM-T</t>
        </is>
      </c>
      <c r="F1478" t="inlineStr">
        <is>
          <t>在来・204</t>
        </is>
      </c>
      <c r="G1478" t="inlineStr">
        <is>
          <t>02111</t>
        </is>
      </c>
      <c r="H1478" t="inlineStr">
        <is>
          <t>021</t>
        </is>
      </c>
      <c r="I1478" t="inlineStr">
        <is>
          <t>11</t>
        </is>
      </c>
      <c r="J1478" t="n">
        <v>250</v>
      </c>
      <c r="K1478" t="n">
        <v>1170</v>
      </c>
      <c r="L1478" t="inlineStr">
        <is>
          <t>在来・204</t>
        </is>
      </c>
      <c r="M1478" t="b">
        <v>1</v>
      </c>
      <c r="N1478" t="inlineStr">
        <is>
          <t>2026規格・詳細構成確認済み</t>
        </is>
      </c>
      <c r="O1478" t="n">
        <v>124</v>
      </c>
      <c r="P1478" t="n">
        <v>122</v>
      </c>
      <c r="Q1478" t="inlineStr">
        <is>
          <t>202604_LIXIL_サーモスＬ_業務用資料集_完成品価格表.pdf</t>
        </is>
      </c>
      <c r="R1478" t="inlineStr">
        <is>
          <t>v0.5詳細構成。カムラッチ｜T。2026完成品価格表 P122。</t>
        </is>
      </c>
      <c r="S1478" s="42" t="inlineStr">
        <is>
          <t>無印</t>
        </is>
      </c>
      <c r="T1478" s="42" t="n">
        <v>123</v>
      </c>
      <c r="U1478" s="42" t="inlineStr">
        <is>
          <t>P123|無印</t>
        </is>
      </c>
      <c r="V1478" s="42" t="inlineStr">
        <is>
          <t>同一価格表・次頁凡例を継承</t>
        </is>
      </c>
    </row>
    <row r="1479">
      <c r="A1479" t="inlineStr">
        <is>
          <t>SZ-SL-001476</t>
        </is>
      </c>
      <c r="B1479" t="inlineStr">
        <is>
          <t>SER-LIX-SAMOSL</t>
        </is>
      </c>
      <c r="C1479" t="inlineStr">
        <is>
          <t>WT-SL-TATE-SUBERI</t>
        </is>
      </c>
      <c r="D1479" t="inlineStr">
        <is>
          <t>縦すべり出し窓 T（カムラッチ）</t>
        </is>
      </c>
      <c r="E1479" t="inlineStr">
        <is>
          <t>SP-SL-TATE-CAM-T</t>
        </is>
      </c>
      <c r="F1479" t="inlineStr">
        <is>
          <t>在来・204</t>
        </is>
      </c>
      <c r="G1479" t="inlineStr">
        <is>
          <t>02311</t>
        </is>
      </c>
      <c r="H1479" t="inlineStr">
        <is>
          <t>023</t>
        </is>
      </c>
      <c r="I1479" t="inlineStr">
        <is>
          <t>11</t>
        </is>
      </c>
      <c r="J1479" t="n">
        <v>275</v>
      </c>
      <c r="K1479" t="n">
        <v>1170</v>
      </c>
      <c r="L1479" t="inlineStr">
        <is>
          <t>在来・204</t>
        </is>
      </c>
      <c r="M1479" t="b">
        <v>1</v>
      </c>
      <c r="N1479" t="inlineStr">
        <is>
          <t>2026規格・詳細構成確認済み</t>
        </is>
      </c>
      <c r="O1479" t="n">
        <v>124</v>
      </c>
      <c r="P1479" t="n">
        <v>122</v>
      </c>
      <c r="Q1479" t="inlineStr">
        <is>
          <t>202604_LIXIL_サーモスＬ_業務用資料集_完成品価格表.pdf</t>
        </is>
      </c>
      <c r="R1479" t="inlineStr">
        <is>
          <t>v0.5詳細構成。カムラッチ｜T。2026完成品価格表 P122。</t>
        </is>
      </c>
      <c r="S1479" s="42" t="inlineStr">
        <is>
          <t>無印</t>
        </is>
      </c>
      <c r="T1479" s="42" t="n">
        <v>123</v>
      </c>
      <c r="U1479" s="42" t="inlineStr">
        <is>
          <t>P123|無印</t>
        </is>
      </c>
      <c r="V1479" s="42" t="inlineStr">
        <is>
          <t>同一価格表・次頁凡例を継承</t>
        </is>
      </c>
    </row>
    <row r="1480">
      <c r="A1480" t="inlineStr">
        <is>
          <t>SZ-SL-001477</t>
        </is>
      </c>
      <c r="B1480" t="inlineStr">
        <is>
          <t>SER-LIX-SAMOSL</t>
        </is>
      </c>
      <c r="C1480" t="inlineStr">
        <is>
          <t>WT-SL-TATE-SUBERI</t>
        </is>
      </c>
      <c r="D1480" t="inlineStr">
        <is>
          <t>縦すべり出し窓 T（カムラッチ）</t>
        </is>
      </c>
      <c r="E1480" t="inlineStr">
        <is>
          <t>SP-SL-TATE-CAM-T</t>
        </is>
      </c>
      <c r="F1480" t="inlineStr">
        <is>
          <t>在来・204</t>
        </is>
      </c>
      <c r="G1480" t="inlineStr">
        <is>
          <t>02611</t>
        </is>
      </c>
      <c r="H1480" t="inlineStr">
        <is>
          <t>026</t>
        </is>
      </c>
      <c r="I1480" t="inlineStr">
        <is>
          <t>11</t>
        </is>
      </c>
      <c r="J1480" t="n">
        <v>300</v>
      </c>
      <c r="K1480" t="n">
        <v>1170</v>
      </c>
      <c r="L1480" t="inlineStr">
        <is>
          <t>在来・204</t>
        </is>
      </c>
      <c r="M1480" t="b">
        <v>1</v>
      </c>
      <c r="N1480" t="inlineStr">
        <is>
          <t>2026規格・詳細構成確認済み</t>
        </is>
      </c>
      <c r="O1480" t="n">
        <v>124</v>
      </c>
      <c r="P1480" t="n">
        <v>122</v>
      </c>
      <c r="Q1480" t="inlineStr">
        <is>
          <t>202604_LIXIL_サーモスＬ_業務用資料集_完成品価格表.pdf</t>
        </is>
      </c>
      <c r="R1480" t="inlineStr">
        <is>
          <t>v0.5詳細構成。カムラッチ｜T。2026完成品価格表 P122。</t>
        </is>
      </c>
      <c r="S1480" s="42" t="inlineStr">
        <is>
          <t>無印</t>
        </is>
      </c>
      <c r="T1480" s="42" t="n">
        <v>123</v>
      </c>
      <c r="U1480" s="42" t="inlineStr">
        <is>
          <t>P123|無印</t>
        </is>
      </c>
      <c r="V1480" s="42" t="inlineStr">
        <is>
          <t>同一価格表・次頁凡例を継承</t>
        </is>
      </c>
    </row>
    <row r="1481">
      <c r="A1481" t="inlineStr">
        <is>
          <t>SZ-SL-001478</t>
        </is>
      </c>
      <c r="B1481" t="inlineStr">
        <is>
          <t>SER-LIX-SAMOSL</t>
        </is>
      </c>
      <c r="C1481" t="inlineStr">
        <is>
          <t>WT-SL-TATE-SUBERI</t>
        </is>
      </c>
      <c r="D1481" t="inlineStr">
        <is>
          <t>縦すべり出し窓 T（カムラッチ）</t>
        </is>
      </c>
      <c r="E1481" t="inlineStr">
        <is>
          <t>SP-SL-TATE-CAM-T</t>
        </is>
      </c>
      <c r="F1481" t="inlineStr">
        <is>
          <t>在来・204</t>
        </is>
      </c>
      <c r="G1481" t="inlineStr">
        <is>
          <t>02113</t>
        </is>
      </c>
      <c r="H1481" t="inlineStr">
        <is>
          <t>021</t>
        </is>
      </c>
      <c r="I1481" t="inlineStr">
        <is>
          <t>13</t>
        </is>
      </c>
      <c r="J1481" t="n">
        <v>250</v>
      </c>
      <c r="K1481" t="n">
        <v>1370</v>
      </c>
      <c r="L1481" t="inlineStr">
        <is>
          <t>在来・204</t>
        </is>
      </c>
      <c r="M1481" t="b">
        <v>1</v>
      </c>
      <c r="N1481" t="inlineStr">
        <is>
          <t>2026規格・詳細構成確認済み</t>
        </is>
      </c>
      <c r="O1481" t="n">
        <v>124</v>
      </c>
      <c r="P1481" t="n">
        <v>122</v>
      </c>
      <c r="Q1481" t="inlineStr">
        <is>
          <t>202604_LIXIL_サーモスＬ_業務用資料集_完成品価格表.pdf</t>
        </is>
      </c>
      <c r="R1481" t="inlineStr">
        <is>
          <t>v0.5詳細構成。カムラッチ｜T。2026完成品価格表 P122。</t>
        </is>
      </c>
      <c r="S1481" s="42" t="inlineStr">
        <is>
          <t>無印</t>
        </is>
      </c>
      <c r="T1481" s="42" t="n">
        <v>123</v>
      </c>
      <c r="U1481" s="42" t="inlineStr">
        <is>
          <t>P123|無印</t>
        </is>
      </c>
      <c r="V1481" s="42" t="inlineStr">
        <is>
          <t>同一価格表・次頁凡例を継承</t>
        </is>
      </c>
    </row>
    <row r="1482">
      <c r="A1482" t="inlineStr">
        <is>
          <t>SZ-SL-001479</t>
        </is>
      </c>
      <c r="B1482" t="inlineStr">
        <is>
          <t>SER-LIX-SAMOSL</t>
        </is>
      </c>
      <c r="C1482" t="inlineStr">
        <is>
          <t>WT-SL-TATE-SUBERI</t>
        </is>
      </c>
      <c r="D1482" t="inlineStr">
        <is>
          <t>縦すべり出し窓 T（カムラッチ）</t>
        </is>
      </c>
      <c r="E1482" t="inlineStr">
        <is>
          <t>SP-SL-TATE-CAM-T</t>
        </is>
      </c>
      <c r="F1482" t="inlineStr">
        <is>
          <t>在来・204</t>
        </is>
      </c>
      <c r="G1482" t="inlineStr">
        <is>
          <t>02313</t>
        </is>
      </c>
      <c r="H1482" t="inlineStr">
        <is>
          <t>023</t>
        </is>
      </c>
      <c r="I1482" t="inlineStr">
        <is>
          <t>13</t>
        </is>
      </c>
      <c r="J1482" t="n">
        <v>275</v>
      </c>
      <c r="K1482" t="n">
        <v>1370</v>
      </c>
      <c r="L1482" t="inlineStr">
        <is>
          <t>在来・204</t>
        </is>
      </c>
      <c r="M1482" t="b">
        <v>1</v>
      </c>
      <c r="N1482" t="inlineStr">
        <is>
          <t>2026規格・詳細構成確認済み</t>
        </is>
      </c>
      <c r="O1482" t="n">
        <v>124</v>
      </c>
      <c r="P1482" t="n">
        <v>122</v>
      </c>
      <c r="Q1482" t="inlineStr">
        <is>
          <t>202604_LIXIL_サーモスＬ_業務用資料集_完成品価格表.pdf</t>
        </is>
      </c>
      <c r="R1482" t="inlineStr">
        <is>
          <t>v0.5詳細構成。カムラッチ｜T。2026完成品価格表 P122。</t>
        </is>
      </c>
      <c r="S1482" s="42" t="inlineStr">
        <is>
          <t>無印</t>
        </is>
      </c>
      <c r="T1482" s="42" t="n">
        <v>123</v>
      </c>
      <c r="U1482" s="42" t="inlineStr">
        <is>
          <t>P123|無印</t>
        </is>
      </c>
      <c r="V1482" s="42" t="inlineStr">
        <is>
          <t>同一価格表・次頁凡例を継承</t>
        </is>
      </c>
    </row>
    <row r="1483">
      <c r="A1483" t="inlineStr">
        <is>
          <t>SZ-SL-001480</t>
        </is>
      </c>
      <c r="B1483" t="inlineStr">
        <is>
          <t>SER-LIX-SAMOSL</t>
        </is>
      </c>
      <c r="C1483" t="inlineStr">
        <is>
          <t>WT-SL-TATE-SUBERI</t>
        </is>
      </c>
      <c r="D1483" t="inlineStr">
        <is>
          <t>縦すべり出し窓 T（カムラッチ）</t>
        </is>
      </c>
      <c r="E1483" t="inlineStr">
        <is>
          <t>SP-SL-TATE-CAM-T</t>
        </is>
      </c>
      <c r="F1483" t="inlineStr">
        <is>
          <t>在来・204</t>
        </is>
      </c>
      <c r="G1483" t="inlineStr">
        <is>
          <t>02613</t>
        </is>
      </c>
      <c r="H1483" t="inlineStr">
        <is>
          <t>026</t>
        </is>
      </c>
      <c r="I1483" t="inlineStr">
        <is>
          <t>13</t>
        </is>
      </c>
      <c r="J1483" t="n">
        <v>300</v>
      </c>
      <c r="K1483" t="n">
        <v>1370</v>
      </c>
      <c r="L1483" t="inlineStr">
        <is>
          <t>在来・204</t>
        </is>
      </c>
      <c r="M1483" t="b">
        <v>1</v>
      </c>
      <c r="N1483" t="inlineStr">
        <is>
          <t>2026規格・詳細構成確認済み</t>
        </is>
      </c>
      <c r="O1483" t="n">
        <v>124</v>
      </c>
      <c r="P1483" t="n">
        <v>122</v>
      </c>
      <c r="Q1483" t="inlineStr">
        <is>
          <t>202604_LIXIL_サーモスＬ_業務用資料集_完成品価格表.pdf</t>
        </is>
      </c>
      <c r="R1483" t="inlineStr">
        <is>
          <t>v0.5詳細構成。カムラッチ｜T。2026完成品価格表 P122。</t>
        </is>
      </c>
      <c r="S1483" s="42" t="inlineStr">
        <is>
          <t>無印</t>
        </is>
      </c>
      <c r="T1483" s="42" t="n">
        <v>123</v>
      </c>
      <c r="U1483" s="42" t="inlineStr">
        <is>
          <t>P123|無印</t>
        </is>
      </c>
      <c r="V1483" s="42" t="inlineStr">
        <is>
          <t>同一価格表・次頁凡例を継承</t>
        </is>
      </c>
    </row>
    <row r="1484">
      <c r="A1484" t="inlineStr">
        <is>
          <t>SZ-SL-001481</t>
        </is>
      </c>
      <c r="B1484" t="inlineStr">
        <is>
          <t>SER-LIX-SAMOSL</t>
        </is>
      </c>
      <c r="C1484" t="inlineStr">
        <is>
          <t>WT-SL-TATE-SUBERI</t>
        </is>
      </c>
      <c r="D1484" t="inlineStr">
        <is>
          <t>縦すべり出し窓 T（カムラッチ）</t>
        </is>
      </c>
      <c r="E1484" t="inlineStr">
        <is>
          <t>SP-SL-TATE-CAM-T</t>
        </is>
      </c>
      <c r="F1484" t="inlineStr">
        <is>
          <t>在来・204</t>
        </is>
      </c>
      <c r="G1484" t="inlineStr">
        <is>
          <t>02115</t>
        </is>
      </c>
      <c r="H1484" t="inlineStr">
        <is>
          <t>021</t>
        </is>
      </c>
      <c r="I1484" t="inlineStr">
        <is>
          <t>15</t>
        </is>
      </c>
      <c r="J1484" t="n">
        <v>250</v>
      </c>
      <c r="K1484" t="n">
        <v>1570</v>
      </c>
      <c r="L1484" t="inlineStr">
        <is>
          <t>在来・204</t>
        </is>
      </c>
      <c r="M1484" t="b">
        <v>1</v>
      </c>
      <c r="N1484" t="inlineStr">
        <is>
          <t>2026規格・詳細構成確認済み</t>
        </is>
      </c>
      <c r="O1484" t="n">
        <v>124</v>
      </c>
      <c r="P1484" t="n">
        <v>122</v>
      </c>
      <c r="Q1484" t="inlineStr">
        <is>
          <t>202604_LIXIL_サーモスＬ_業務用資料集_完成品価格表.pdf</t>
        </is>
      </c>
      <c r="R1484" t="inlineStr">
        <is>
          <t>v0.5詳細構成。カムラッチ｜T。2026完成品価格表 P122。</t>
        </is>
      </c>
      <c r="S1484" s="42" t="inlineStr">
        <is>
          <t>無印</t>
        </is>
      </c>
      <c r="T1484" s="42" t="n">
        <v>123</v>
      </c>
      <c r="U1484" s="42" t="inlineStr">
        <is>
          <t>P123|無印</t>
        </is>
      </c>
      <c r="V1484" s="42" t="inlineStr">
        <is>
          <t>同一価格表・次頁凡例を継承</t>
        </is>
      </c>
    </row>
    <row r="1485">
      <c r="A1485" t="inlineStr">
        <is>
          <t>SZ-SL-001482</t>
        </is>
      </c>
      <c r="B1485" t="inlineStr">
        <is>
          <t>SER-LIX-SAMOSL</t>
        </is>
      </c>
      <c r="C1485" t="inlineStr">
        <is>
          <t>WT-SL-TATE-SUBERI</t>
        </is>
      </c>
      <c r="D1485" t="inlineStr">
        <is>
          <t>縦すべり出し窓 T（カムラッチ）</t>
        </is>
      </c>
      <c r="E1485" t="inlineStr">
        <is>
          <t>SP-SL-TATE-CAM-T</t>
        </is>
      </c>
      <c r="F1485" t="inlineStr">
        <is>
          <t>在来・204</t>
        </is>
      </c>
      <c r="G1485" t="inlineStr">
        <is>
          <t>02615</t>
        </is>
      </c>
      <c r="H1485" t="inlineStr">
        <is>
          <t>026</t>
        </is>
      </c>
      <c r="I1485" t="inlineStr">
        <is>
          <t>15</t>
        </is>
      </c>
      <c r="J1485" t="n">
        <v>300</v>
      </c>
      <c r="K1485" t="n">
        <v>1570</v>
      </c>
      <c r="L1485" t="inlineStr">
        <is>
          <t>在来・204</t>
        </is>
      </c>
      <c r="M1485" t="b">
        <v>1</v>
      </c>
      <c r="N1485" t="inlineStr">
        <is>
          <t>2026規格・詳細構成確認済み</t>
        </is>
      </c>
      <c r="O1485" t="n">
        <v>124</v>
      </c>
      <c r="P1485" t="n">
        <v>122</v>
      </c>
      <c r="Q1485" t="inlineStr">
        <is>
          <t>202604_LIXIL_サーモスＬ_業務用資料集_完成品価格表.pdf</t>
        </is>
      </c>
      <c r="R1485" t="inlineStr">
        <is>
          <t>v0.5詳細構成。カムラッチ｜T。2026完成品価格表 P122。</t>
        </is>
      </c>
      <c r="S1485" s="42" t="inlineStr">
        <is>
          <t>無印</t>
        </is>
      </c>
      <c r="T1485" s="42" t="n">
        <v>123</v>
      </c>
      <c r="U1485" s="42" t="inlineStr">
        <is>
          <t>P123|無印</t>
        </is>
      </c>
      <c r="V1485" s="42" t="inlineStr">
        <is>
          <t>同一価格表・次頁凡例を継承</t>
        </is>
      </c>
    </row>
    <row r="1486">
      <c r="A1486" t="inlineStr">
        <is>
          <t>SZ-SL-001483</t>
        </is>
      </c>
      <c r="B1486" t="inlineStr">
        <is>
          <t>SER-LIX-SAMOSL</t>
        </is>
      </c>
      <c r="C1486" t="inlineStr">
        <is>
          <t>WT-SL-TATE-SUBERI</t>
        </is>
      </c>
      <c r="D1486" t="inlineStr">
        <is>
          <t>縦すべり出し窓 T（カムラッチ）</t>
        </is>
      </c>
      <c r="E1486" t="inlineStr">
        <is>
          <t>SP-SL-TATE-CAM-T</t>
        </is>
      </c>
      <c r="F1486" t="inlineStr">
        <is>
          <t>在来・204</t>
        </is>
      </c>
      <c r="G1486" t="inlineStr">
        <is>
          <t>03607</t>
        </is>
      </c>
      <c r="H1486" t="inlineStr">
        <is>
          <t>036</t>
        </is>
      </c>
      <c r="I1486" t="inlineStr">
        <is>
          <t>07</t>
        </is>
      </c>
      <c r="J1486" t="n">
        <v>405</v>
      </c>
      <c r="K1486" t="n">
        <v>770</v>
      </c>
      <c r="L1486" t="inlineStr">
        <is>
          <t>在来・204</t>
        </is>
      </c>
      <c r="M1486" t="b">
        <v>1</v>
      </c>
      <c r="N1486" t="inlineStr">
        <is>
          <t>2026規格・詳細構成確認済み</t>
        </is>
      </c>
      <c r="O1486" t="n">
        <v>125</v>
      </c>
      <c r="P1486" t="n">
        <v>123</v>
      </c>
      <c r="Q1486" t="inlineStr">
        <is>
          <t>202604_LIXIL_サーモスＬ_業務用資料集_完成品価格表.pdf</t>
        </is>
      </c>
      <c r="R1486" t="inlineStr">
        <is>
          <t>v0.5詳細構成。カムラッチ｜T。2026完成品価格表 P123。</t>
        </is>
      </c>
      <c r="S1486" s="42" t="inlineStr">
        <is>
          <t>無印</t>
        </is>
      </c>
      <c r="T1486" s="42" t="n">
        <v>123</v>
      </c>
      <c r="U1486" s="42" t="inlineStr">
        <is>
          <t>P123|無印</t>
        </is>
      </c>
      <c r="V1486" s="42" t="inlineStr">
        <is>
          <t>同頁凡例へ直接連動</t>
        </is>
      </c>
    </row>
    <row r="1487">
      <c r="A1487" t="inlineStr">
        <is>
          <t>SZ-SL-001484</t>
        </is>
      </c>
      <c r="B1487" t="inlineStr">
        <is>
          <t>SER-LIX-SAMOSL</t>
        </is>
      </c>
      <c r="C1487" t="inlineStr">
        <is>
          <t>WT-SL-TATE-SUBERI</t>
        </is>
      </c>
      <c r="D1487" t="inlineStr">
        <is>
          <t>縦すべり出し窓 T（カムラッチ）</t>
        </is>
      </c>
      <c r="E1487" t="inlineStr">
        <is>
          <t>SP-SL-TATE-CAM-T</t>
        </is>
      </c>
      <c r="F1487" t="inlineStr">
        <is>
          <t>在来・204</t>
        </is>
      </c>
      <c r="G1487" t="inlineStr">
        <is>
          <t>06007</t>
        </is>
      </c>
      <c r="H1487" t="inlineStr">
        <is>
          <t>060</t>
        </is>
      </c>
      <c r="I1487" t="inlineStr">
        <is>
          <t>07</t>
        </is>
      </c>
      <c r="J1487" t="n">
        <v>640</v>
      </c>
      <c r="K1487" t="n">
        <v>770</v>
      </c>
      <c r="L1487" t="inlineStr">
        <is>
          <t>在来・204</t>
        </is>
      </c>
      <c r="M1487" t="b">
        <v>1</v>
      </c>
      <c r="N1487" t="inlineStr">
        <is>
          <t>2026規格・詳細構成確認済み</t>
        </is>
      </c>
      <c r="O1487" t="n">
        <v>125</v>
      </c>
      <c r="P1487" t="n">
        <v>123</v>
      </c>
      <c r="Q1487" t="inlineStr">
        <is>
          <t>202604_LIXIL_サーモスＬ_業務用資料集_完成品価格表.pdf</t>
        </is>
      </c>
      <c r="R1487" t="inlineStr">
        <is>
          <t>v0.5詳細構成。カムラッチ｜T。2026完成品価格表 P123。</t>
        </is>
      </c>
      <c r="S1487" s="42" t="inlineStr">
        <is>
          <t>無印</t>
        </is>
      </c>
      <c r="T1487" s="42" t="n">
        <v>123</v>
      </c>
      <c r="U1487" s="42" t="inlineStr">
        <is>
          <t>P123|無印</t>
        </is>
      </c>
      <c r="V1487" s="42" t="inlineStr">
        <is>
          <t>同頁凡例へ直接連動</t>
        </is>
      </c>
    </row>
    <row r="1488">
      <c r="A1488" t="inlineStr">
        <is>
          <t>SZ-SL-001485</t>
        </is>
      </c>
      <c r="B1488" t="inlineStr">
        <is>
          <t>SER-LIX-SAMOSL</t>
        </is>
      </c>
      <c r="C1488" t="inlineStr">
        <is>
          <t>WT-SL-TATE-SUBERI</t>
        </is>
      </c>
      <c r="D1488" t="inlineStr">
        <is>
          <t>縦すべり出し窓 T（カムラッチ）</t>
        </is>
      </c>
      <c r="E1488" t="inlineStr">
        <is>
          <t>SP-SL-TATE-CAM-T</t>
        </is>
      </c>
      <c r="F1488" t="inlineStr">
        <is>
          <t>在来・204</t>
        </is>
      </c>
      <c r="G1488" t="inlineStr">
        <is>
          <t>03109</t>
        </is>
      </c>
      <c r="H1488" t="inlineStr">
        <is>
          <t>031</t>
        </is>
      </c>
      <c r="I1488" t="inlineStr">
        <is>
          <t>09</t>
        </is>
      </c>
      <c r="J1488" t="n">
        <v>350</v>
      </c>
      <c r="K1488" t="n">
        <v>970</v>
      </c>
      <c r="L1488" t="inlineStr">
        <is>
          <t>在来・204</t>
        </is>
      </c>
      <c r="M1488" t="b">
        <v>1</v>
      </c>
      <c r="N1488" t="inlineStr">
        <is>
          <t>2026規格・詳細構成確認済み</t>
        </is>
      </c>
      <c r="O1488" t="n">
        <v>125</v>
      </c>
      <c r="P1488" t="n">
        <v>123</v>
      </c>
      <c r="Q1488" t="inlineStr">
        <is>
          <t>202604_LIXIL_サーモスＬ_業務用資料集_完成品価格表.pdf</t>
        </is>
      </c>
      <c r="R1488" t="inlineStr">
        <is>
          <t>v0.5詳細構成。カムラッチ｜T。2026完成品価格表 P123。</t>
        </is>
      </c>
      <c r="S1488" s="42" t="inlineStr">
        <is>
          <t>無印</t>
        </is>
      </c>
      <c r="T1488" s="42" t="n">
        <v>123</v>
      </c>
      <c r="U1488" s="42" t="inlineStr">
        <is>
          <t>P123|無印</t>
        </is>
      </c>
      <c r="V1488" s="42" t="inlineStr">
        <is>
          <t>同頁凡例へ直接連動</t>
        </is>
      </c>
    </row>
    <row r="1489">
      <c r="A1489" t="inlineStr">
        <is>
          <t>SZ-SL-001486</t>
        </is>
      </c>
      <c r="B1489" t="inlineStr">
        <is>
          <t>SER-LIX-SAMOSL</t>
        </is>
      </c>
      <c r="C1489" t="inlineStr">
        <is>
          <t>WT-SL-TATE-SUBERI</t>
        </is>
      </c>
      <c r="D1489" t="inlineStr">
        <is>
          <t>縦すべり出し窓 T（カムラッチ）</t>
        </is>
      </c>
      <c r="E1489" t="inlineStr">
        <is>
          <t>SP-SL-TATE-CAM-T</t>
        </is>
      </c>
      <c r="F1489" t="inlineStr">
        <is>
          <t>在来・204</t>
        </is>
      </c>
      <c r="G1489" t="inlineStr">
        <is>
          <t>03609</t>
        </is>
      </c>
      <c r="H1489" t="inlineStr">
        <is>
          <t>036</t>
        </is>
      </c>
      <c r="I1489" t="inlineStr">
        <is>
          <t>09</t>
        </is>
      </c>
      <c r="J1489" t="n">
        <v>405</v>
      </c>
      <c r="K1489" t="n">
        <v>970</v>
      </c>
      <c r="L1489" t="inlineStr">
        <is>
          <t>在来・204</t>
        </is>
      </c>
      <c r="M1489" t="b">
        <v>1</v>
      </c>
      <c r="N1489" t="inlineStr">
        <is>
          <t>2026規格・詳細構成確認済み</t>
        </is>
      </c>
      <c r="O1489" t="n">
        <v>125</v>
      </c>
      <c r="P1489" t="n">
        <v>123</v>
      </c>
      <c r="Q1489" t="inlineStr">
        <is>
          <t>202604_LIXIL_サーモスＬ_業務用資料集_完成品価格表.pdf</t>
        </is>
      </c>
      <c r="R1489" t="inlineStr">
        <is>
          <t>v0.5詳細構成。カムラッチ｜T。2026完成品価格表 P123。</t>
        </is>
      </c>
      <c r="S1489" s="42" t="inlineStr">
        <is>
          <t>無印</t>
        </is>
      </c>
      <c r="T1489" s="42" t="n">
        <v>123</v>
      </c>
      <c r="U1489" s="42" t="inlineStr">
        <is>
          <t>P123|無印</t>
        </is>
      </c>
      <c r="V1489" s="42" t="inlineStr">
        <is>
          <t>同頁凡例へ直接連動</t>
        </is>
      </c>
    </row>
    <row r="1490">
      <c r="A1490" t="inlineStr">
        <is>
          <t>SZ-SL-001487</t>
        </is>
      </c>
      <c r="B1490" t="inlineStr">
        <is>
          <t>SER-LIX-SAMOSL</t>
        </is>
      </c>
      <c r="C1490" t="inlineStr">
        <is>
          <t>WT-SL-TATE-SUBERI</t>
        </is>
      </c>
      <c r="D1490" t="inlineStr">
        <is>
          <t>縦すべり出し窓 T（カムラッチ）</t>
        </is>
      </c>
      <c r="E1490" t="inlineStr">
        <is>
          <t>SP-SL-TATE-CAM-T</t>
        </is>
      </c>
      <c r="F1490" t="inlineStr">
        <is>
          <t>在来・204</t>
        </is>
      </c>
      <c r="G1490" t="inlineStr">
        <is>
          <t>06009</t>
        </is>
      </c>
      <c r="H1490" t="inlineStr">
        <is>
          <t>060</t>
        </is>
      </c>
      <c r="I1490" t="inlineStr">
        <is>
          <t>09</t>
        </is>
      </c>
      <c r="J1490" t="n">
        <v>640</v>
      </c>
      <c r="K1490" t="n">
        <v>970</v>
      </c>
      <c r="L1490" t="inlineStr">
        <is>
          <t>在来・204</t>
        </is>
      </c>
      <c r="M1490" t="b">
        <v>1</v>
      </c>
      <c r="N1490" t="inlineStr">
        <is>
          <t>2026規格・詳細構成確認済み</t>
        </is>
      </c>
      <c r="O1490" t="n">
        <v>125</v>
      </c>
      <c r="P1490" t="n">
        <v>123</v>
      </c>
      <c r="Q1490" t="inlineStr">
        <is>
          <t>202604_LIXIL_サーモスＬ_業務用資料集_完成品価格表.pdf</t>
        </is>
      </c>
      <c r="R1490" t="inlineStr">
        <is>
          <t>v0.5詳細構成。カムラッチ｜T。2026完成品価格表 P123。</t>
        </is>
      </c>
      <c r="S1490" s="42" t="inlineStr">
        <is>
          <t>無印</t>
        </is>
      </c>
      <c r="T1490" s="42" t="n">
        <v>123</v>
      </c>
      <c r="U1490" s="42" t="inlineStr">
        <is>
          <t>P123|無印</t>
        </is>
      </c>
      <c r="V1490" s="42" t="inlineStr">
        <is>
          <t>同頁凡例へ直接連動</t>
        </is>
      </c>
    </row>
    <row r="1491">
      <c r="A1491" t="inlineStr">
        <is>
          <t>SZ-SL-001488</t>
        </is>
      </c>
      <c r="B1491" t="inlineStr">
        <is>
          <t>SER-LIX-SAMOSL</t>
        </is>
      </c>
      <c r="C1491" t="inlineStr">
        <is>
          <t>WT-SL-TATE-SUBERI</t>
        </is>
      </c>
      <c r="D1491" t="inlineStr">
        <is>
          <t>縦すべり出し窓 T（カムラッチ）</t>
        </is>
      </c>
      <c r="E1491" t="inlineStr">
        <is>
          <t>SP-SL-TATE-CAM-T</t>
        </is>
      </c>
      <c r="F1491" t="inlineStr">
        <is>
          <t>在来・204</t>
        </is>
      </c>
      <c r="G1491" t="inlineStr">
        <is>
          <t>03111</t>
        </is>
      </c>
      <c r="H1491" t="inlineStr">
        <is>
          <t>031</t>
        </is>
      </c>
      <c r="I1491" t="inlineStr">
        <is>
          <t>11</t>
        </is>
      </c>
      <c r="J1491" t="n">
        <v>350</v>
      </c>
      <c r="K1491" t="n">
        <v>1170</v>
      </c>
      <c r="L1491" t="inlineStr">
        <is>
          <t>在来・204</t>
        </is>
      </c>
      <c r="M1491" t="b">
        <v>1</v>
      </c>
      <c r="N1491" t="inlineStr">
        <is>
          <t>2026規格・詳細構成確認済み</t>
        </is>
      </c>
      <c r="O1491" t="n">
        <v>125</v>
      </c>
      <c r="P1491" t="n">
        <v>123</v>
      </c>
      <c r="Q1491" t="inlineStr">
        <is>
          <t>202604_LIXIL_サーモスＬ_業務用資料集_完成品価格表.pdf</t>
        </is>
      </c>
      <c r="R1491" t="inlineStr">
        <is>
          <t>v0.5詳細構成。カムラッチ｜T。2026完成品価格表 P123。</t>
        </is>
      </c>
      <c r="S1491" s="42" t="inlineStr">
        <is>
          <t>無印</t>
        </is>
      </c>
      <c r="T1491" s="42" t="n">
        <v>123</v>
      </c>
      <c r="U1491" s="42" t="inlineStr">
        <is>
          <t>P123|無印</t>
        </is>
      </c>
      <c r="V1491" s="42" t="inlineStr">
        <is>
          <t>同頁凡例へ直接連動</t>
        </is>
      </c>
    </row>
    <row r="1492">
      <c r="A1492" t="inlineStr">
        <is>
          <t>SZ-SL-001489</t>
        </is>
      </c>
      <c r="B1492" t="inlineStr">
        <is>
          <t>SER-LIX-SAMOSL</t>
        </is>
      </c>
      <c r="C1492" t="inlineStr">
        <is>
          <t>WT-SL-TATE-SUBERI</t>
        </is>
      </c>
      <c r="D1492" t="inlineStr">
        <is>
          <t>縦すべり出し窓 T（カムラッチ）</t>
        </is>
      </c>
      <c r="E1492" t="inlineStr">
        <is>
          <t>SP-SL-TATE-CAM-T</t>
        </is>
      </c>
      <c r="F1492" t="inlineStr">
        <is>
          <t>在来・204</t>
        </is>
      </c>
      <c r="G1492" t="inlineStr">
        <is>
          <t>03611</t>
        </is>
      </c>
      <c r="H1492" t="inlineStr">
        <is>
          <t>036</t>
        </is>
      </c>
      <c r="I1492" t="inlineStr">
        <is>
          <t>11</t>
        </is>
      </c>
      <c r="J1492" t="n">
        <v>405</v>
      </c>
      <c r="K1492" t="n">
        <v>1170</v>
      </c>
      <c r="L1492" t="inlineStr">
        <is>
          <t>在来・204</t>
        </is>
      </c>
      <c r="M1492" t="b">
        <v>1</v>
      </c>
      <c r="N1492" t="inlineStr">
        <is>
          <t>2026規格・詳細構成確認済み</t>
        </is>
      </c>
      <c r="O1492" t="n">
        <v>125</v>
      </c>
      <c r="P1492" t="n">
        <v>123</v>
      </c>
      <c r="Q1492" t="inlineStr">
        <is>
          <t>202604_LIXIL_サーモスＬ_業務用資料集_完成品価格表.pdf</t>
        </is>
      </c>
      <c r="R1492" t="inlineStr">
        <is>
          <t>v0.5詳細構成。カムラッチ｜T。2026完成品価格表 P123。</t>
        </is>
      </c>
      <c r="S1492" s="42" t="inlineStr">
        <is>
          <t>無印</t>
        </is>
      </c>
      <c r="T1492" s="42" t="n">
        <v>123</v>
      </c>
      <c r="U1492" s="42" t="inlineStr">
        <is>
          <t>P123|無印</t>
        </is>
      </c>
      <c r="V1492" s="42" t="inlineStr">
        <is>
          <t>同頁凡例へ直接連動</t>
        </is>
      </c>
    </row>
    <row r="1493">
      <c r="A1493" t="inlineStr">
        <is>
          <t>SZ-SL-001490</t>
        </is>
      </c>
      <c r="B1493" t="inlineStr">
        <is>
          <t>SER-LIX-SAMOSL</t>
        </is>
      </c>
      <c r="C1493" t="inlineStr">
        <is>
          <t>WT-SL-TATE-SUBERI</t>
        </is>
      </c>
      <c r="D1493" t="inlineStr">
        <is>
          <t>縦すべり出し窓 T（カムラッチ）</t>
        </is>
      </c>
      <c r="E1493" t="inlineStr">
        <is>
          <t>SP-SL-TATE-CAM-T</t>
        </is>
      </c>
      <c r="F1493" t="inlineStr">
        <is>
          <t>在来・204</t>
        </is>
      </c>
      <c r="G1493" t="inlineStr">
        <is>
          <t>06011</t>
        </is>
      </c>
      <c r="H1493" t="inlineStr">
        <is>
          <t>060</t>
        </is>
      </c>
      <c r="I1493" t="inlineStr">
        <is>
          <t>11</t>
        </is>
      </c>
      <c r="J1493" t="n">
        <v>640</v>
      </c>
      <c r="K1493" t="n">
        <v>1170</v>
      </c>
      <c r="L1493" t="inlineStr">
        <is>
          <t>在来・204</t>
        </is>
      </c>
      <c r="M1493" t="b">
        <v>1</v>
      </c>
      <c r="N1493" t="inlineStr">
        <is>
          <t>2026規格・詳細構成確認済み</t>
        </is>
      </c>
      <c r="O1493" t="n">
        <v>125</v>
      </c>
      <c r="P1493" t="n">
        <v>123</v>
      </c>
      <c r="Q1493" t="inlineStr">
        <is>
          <t>202604_LIXIL_サーモスＬ_業務用資料集_完成品価格表.pdf</t>
        </is>
      </c>
      <c r="R1493" t="inlineStr">
        <is>
          <t>v0.5詳細構成。カムラッチ｜T。2026完成品価格表 P123。</t>
        </is>
      </c>
      <c r="S1493" s="42" t="inlineStr">
        <is>
          <t>無印</t>
        </is>
      </c>
      <c r="T1493" s="42" t="n">
        <v>123</v>
      </c>
      <c r="U1493" s="42" t="inlineStr">
        <is>
          <t>P123|無印</t>
        </is>
      </c>
      <c r="V1493" s="42" t="inlineStr">
        <is>
          <t>同頁凡例へ直接連動</t>
        </is>
      </c>
    </row>
    <row r="1494">
      <c r="A1494" t="inlineStr">
        <is>
          <t>SZ-SL-001491</t>
        </is>
      </c>
      <c r="B1494" t="inlineStr">
        <is>
          <t>SER-LIX-SAMOSL</t>
        </is>
      </c>
      <c r="C1494" t="inlineStr">
        <is>
          <t>WT-SL-TATE-SUBERI</t>
        </is>
      </c>
      <c r="D1494" t="inlineStr">
        <is>
          <t>縦すべり出し窓 T（カムラッチ）</t>
        </is>
      </c>
      <c r="E1494" t="inlineStr">
        <is>
          <t>SP-SL-TATE-CAM-T</t>
        </is>
      </c>
      <c r="F1494" t="inlineStr">
        <is>
          <t>在来・204</t>
        </is>
      </c>
      <c r="G1494" t="inlineStr">
        <is>
          <t>03113</t>
        </is>
      </c>
      <c r="H1494" t="inlineStr">
        <is>
          <t>031</t>
        </is>
      </c>
      <c r="I1494" t="inlineStr">
        <is>
          <t>13</t>
        </is>
      </c>
      <c r="J1494" t="n">
        <v>350</v>
      </c>
      <c r="K1494" t="n">
        <v>1370</v>
      </c>
      <c r="L1494" t="inlineStr">
        <is>
          <t>在来・204</t>
        </is>
      </c>
      <c r="M1494" t="b">
        <v>1</v>
      </c>
      <c r="N1494" t="inlineStr">
        <is>
          <t>2026規格・詳細構成確認済み</t>
        </is>
      </c>
      <c r="O1494" t="n">
        <v>125</v>
      </c>
      <c r="P1494" t="n">
        <v>123</v>
      </c>
      <c r="Q1494" t="inlineStr">
        <is>
          <t>202604_LIXIL_サーモスＬ_業務用資料集_完成品価格表.pdf</t>
        </is>
      </c>
      <c r="R1494" t="inlineStr">
        <is>
          <t>v0.5詳細構成。カムラッチ｜T。2026完成品価格表 P123。</t>
        </is>
      </c>
      <c r="S1494" s="42" t="inlineStr">
        <is>
          <t>無印</t>
        </is>
      </c>
      <c r="T1494" s="42" t="n">
        <v>123</v>
      </c>
      <c r="U1494" s="42" t="inlineStr">
        <is>
          <t>P123|無印</t>
        </is>
      </c>
      <c r="V1494" s="42" t="inlineStr">
        <is>
          <t>同頁凡例へ直接連動</t>
        </is>
      </c>
    </row>
    <row r="1495">
      <c r="A1495" t="inlineStr">
        <is>
          <t>SZ-SL-001492</t>
        </is>
      </c>
      <c r="B1495" t="inlineStr">
        <is>
          <t>SER-LIX-SAMOSL</t>
        </is>
      </c>
      <c r="C1495" t="inlineStr">
        <is>
          <t>WT-SL-TATE-SUBERI</t>
        </is>
      </c>
      <c r="D1495" t="inlineStr">
        <is>
          <t>縦すべり出し窓 T（カムラッチ）</t>
        </is>
      </c>
      <c r="E1495" t="inlineStr">
        <is>
          <t>SP-SL-TATE-CAM-T</t>
        </is>
      </c>
      <c r="F1495" t="inlineStr">
        <is>
          <t>在来・204</t>
        </is>
      </c>
      <c r="G1495" t="inlineStr">
        <is>
          <t>03613</t>
        </is>
      </c>
      <c r="H1495" t="inlineStr">
        <is>
          <t>036</t>
        </is>
      </c>
      <c r="I1495" t="inlineStr">
        <is>
          <t>13</t>
        </is>
      </c>
      <c r="J1495" t="n">
        <v>405</v>
      </c>
      <c r="K1495" t="n">
        <v>1370</v>
      </c>
      <c r="L1495" t="inlineStr">
        <is>
          <t>在来・204</t>
        </is>
      </c>
      <c r="M1495" t="b">
        <v>1</v>
      </c>
      <c r="N1495" t="inlineStr">
        <is>
          <t>2026規格・詳細構成確認済み</t>
        </is>
      </c>
      <c r="O1495" t="n">
        <v>125</v>
      </c>
      <c r="P1495" t="n">
        <v>123</v>
      </c>
      <c r="Q1495" t="inlineStr">
        <is>
          <t>202604_LIXIL_サーモスＬ_業務用資料集_完成品価格表.pdf</t>
        </is>
      </c>
      <c r="R1495" t="inlineStr">
        <is>
          <t>v0.5詳細構成。カムラッチ｜T。2026完成品価格表 P123。</t>
        </is>
      </c>
      <c r="S1495" s="42" t="inlineStr">
        <is>
          <t>無印</t>
        </is>
      </c>
      <c r="T1495" s="42" t="n">
        <v>123</v>
      </c>
      <c r="U1495" s="42" t="inlineStr">
        <is>
          <t>P123|無印</t>
        </is>
      </c>
      <c r="V1495" s="42" t="inlineStr">
        <is>
          <t>同頁凡例へ直接連動</t>
        </is>
      </c>
    </row>
    <row r="1496">
      <c r="A1496" t="inlineStr">
        <is>
          <t>SZ-SL-001493</t>
        </is>
      </c>
      <c r="B1496" t="inlineStr">
        <is>
          <t>SER-LIX-SAMOSL</t>
        </is>
      </c>
      <c r="C1496" t="inlineStr">
        <is>
          <t>WT-SL-TATE-SUBERI</t>
        </is>
      </c>
      <c r="D1496" t="inlineStr">
        <is>
          <t>縦すべり出し窓 T（カムラッチ）</t>
        </is>
      </c>
      <c r="E1496" t="inlineStr">
        <is>
          <t>SP-SL-TATE-CAM-T</t>
        </is>
      </c>
      <c r="F1496" t="inlineStr">
        <is>
          <t>在来・204</t>
        </is>
      </c>
      <c r="G1496" t="inlineStr">
        <is>
          <t>06013</t>
        </is>
      </c>
      <c r="H1496" t="inlineStr">
        <is>
          <t>060</t>
        </is>
      </c>
      <c r="I1496" t="inlineStr">
        <is>
          <t>13</t>
        </is>
      </c>
      <c r="J1496" t="n">
        <v>640</v>
      </c>
      <c r="K1496" t="n">
        <v>1370</v>
      </c>
      <c r="L1496" t="inlineStr">
        <is>
          <t>在来・204</t>
        </is>
      </c>
      <c r="M1496" t="b">
        <v>1</v>
      </c>
      <c r="N1496" t="inlineStr">
        <is>
          <t>2026規格・詳細構成確認済み</t>
        </is>
      </c>
      <c r="O1496" t="n">
        <v>125</v>
      </c>
      <c r="P1496" t="n">
        <v>123</v>
      </c>
      <c r="Q1496" t="inlineStr">
        <is>
          <t>202604_LIXIL_サーモスＬ_業務用資料集_完成品価格表.pdf</t>
        </is>
      </c>
      <c r="R1496" t="inlineStr">
        <is>
          <t>v0.5詳細構成。カムラッチ｜T。2026完成品価格表 P123。</t>
        </is>
      </c>
      <c r="S1496" s="42" t="inlineStr">
        <is>
          <t>無印</t>
        </is>
      </c>
      <c r="T1496" s="42" t="n">
        <v>123</v>
      </c>
      <c r="U1496" s="42" t="inlineStr">
        <is>
          <t>P123|無印</t>
        </is>
      </c>
      <c r="V1496" s="42" t="inlineStr">
        <is>
          <t>同頁凡例へ直接連動</t>
        </is>
      </c>
    </row>
    <row r="1497">
      <c r="A1497" t="inlineStr">
        <is>
          <t>SZ-SL-001494</t>
        </is>
      </c>
      <c r="B1497" t="inlineStr">
        <is>
          <t>SER-LIX-SAMOSL</t>
        </is>
      </c>
      <c r="C1497" t="inlineStr">
        <is>
          <t>WT-SL-TATE-SUBERI</t>
        </is>
      </c>
      <c r="D1497" t="inlineStr">
        <is>
          <t>縦すべり出し窓 T（カムラッチ）</t>
        </is>
      </c>
      <c r="E1497" t="inlineStr">
        <is>
          <t>SP-SL-TATE-CAM-T</t>
        </is>
      </c>
      <c r="F1497" t="inlineStr">
        <is>
          <t>在来・204</t>
        </is>
      </c>
      <c r="G1497" t="inlineStr">
        <is>
          <t>03115</t>
        </is>
      </c>
      <c r="H1497" t="inlineStr">
        <is>
          <t>031</t>
        </is>
      </c>
      <c r="I1497" t="inlineStr">
        <is>
          <t>15</t>
        </is>
      </c>
      <c r="J1497" t="n">
        <v>350</v>
      </c>
      <c r="K1497" t="n">
        <v>1570</v>
      </c>
      <c r="L1497" t="inlineStr">
        <is>
          <t>在来・204</t>
        </is>
      </c>
      <c r="M1497" t="b">
        <v>1</v>
      </c>
      <c r="N1497" t="inlineStr">
        <is>
          <t>2026規格・詳細構成確認済み</t>
        </is>
      </c>
      <c r="O1497" t="n">
        <v>125</v>
      </c>
      <c r="P1497" t="n">
        <v>123</v>
      </c>
      <c r="Q1497" t="inlineStr">
        <is>
          <t>202604_LIXIL_サーモスＬ_業務用資料集_完成品価格表.pdf</t>
        </is>
      </c>
      <c r="R1497" t="inlineStr">
        <is>
          <t>v0.5詳細構成。カムラッチ｜T。2026完成品価格表 P123。</t>
        </is>
      </c>
      <c r="S1497" s="42" t="inlineStr">
        <is>
          <t>無印</t>
        </is>
      </c>
      <c r="T1497" s="42" t="n">
        <v>123</v>
      </c>
      <c r="U1497" s="42" t="inlineStr">
        <is>
          <t>P123|無印</t>
        </is>
      </c>
      <c r="V1497" s="42" t="inlineStr">
        <is>
          <t>同頁凡例へ直接連動</t>
        </is>
      </c>
    </row>
    <row r="1498">
      <c r="A1498" t="inlineStr">
        <is>
          <t>SZ-SL-001495</t>
        </is>
      </c>
      <c r="B1498" t="inlineStr">
        <is>
          <t>SER-LIX-SAMOSL</t>
        </is>
      </c>
      <c r="C1498" t="inlineStr">
        <is>
          <t>WT-SL-TATE-SUBERI</t>
        </is>
      </c>
      <c r="D1498" t="inlineStr">
        <is>
          <t>縦すべり出し窓 T（カムラッチ）</t>
        </is>
      </c>
      <c r="E1498" t="inlineStr">
        <is>
          <t>SP-SL-TATE-CAM-T</t>
        </is>
      </c>
      <c r="F1498" t="inlineStr">
        <is>
          <t>在来・204</t>
        </is>
      </c>
      <c r="G1498" t="inlineStr">
        <is>
          <t>02118</t>
        </is>
      </c>
      <c r="H1498" t="inlineStr">
        <is>
          <t>021</t>
        </is>
      </c>
      <c r="I1498" t="inlineStr">
        <is>
          <t>18</t>
        </is>
      </c>
      <c r="J1498" t="n">
        <v>250</v>
      </c>
      <c r="K1498" t="n">
        <v>1870</v>
      </c>
      <c r="L1498" t="inlineStr">
        <is>
          <t>在来・204</t>
        </is>
      </c>
      <c r="M1498" t="b">
        <v>1</v>
      </c>
      <c r="N1498" t="inlineStr">
        <is>
          <t>2026規格・詳細構成確認済み</t>
        </is>
      </c>
      <c r="O1498" t="n">
        <v>126</v>
      </c>
      <c r="P1498" t="n">
        <v>124</v>
      </c>
      <c r="Q1498" t="inlineStr">
        <is>
          <t>202604_LIXIL_サーモスＬ_業務用資料集_完成品価格表.pdf</t>
        </is>
      </c>
      <c r="R1498" t="inlineStr">
        <is>
          <t>v0.5詳細構成。カムラッチ｜T。2026完成品価格表 P124。</t>
        </is>
      </c>
      <c r="S1498" s="42" t="inlineStr">
        <is>
          <t>無印</t>
        </is>
      </c>
      <c r="T1498" s="42" t="n">
        <v>124</v>
      </c>
      <c r="U1498" s="42" t="inlineStr">
        <is>
          <t>P124|無印</t>
        </is>
      </c>
      <c r="V1498" s="42" t="inlineStr">
        <is>
          <t>同頁凡例へ直接連動</t>
        </is>
      </c>
    </row>
    <row r="1499">
      <c r="A1499" t="inlineStr">
        <is>
          <t>SZ-SL-001496</t>
        </is>
      </c>
      <c r="B1499" t="inlineStr">
        <is>
          <t>SER-LIX-SAMOSL</t>
        </is>
      </c>
      <c r="C1499" t="inlineStr">
        <is>
          <t>WT-SL-TATE-SUBERI</t>
        </is>
      </c>
      <c r="D1499" t="inlineStr">
        <is>
          <t>縦すべり出し窓 T（カムラッチ）</t>
        </is>
      </c>
      <c r="E1499" t="inlineStr">
        <is>
          <t>SP-SL-TATE-CAM-T</t>
        </is>
      </c>
      <c r="F1499" t="inlineStr">
        <is>
          <t>在来・204</t>
        </is>
      </c>
      <c r="G1499" t="inlineStr">
        <is>
          <t>02618</t>
        </is>
      </c>
      <c r="H1499" t="inlineStr">
        <is>
          <t>026</t>
        </is>
      </c>
      <c r="I1499" t="inlineStr">
        <is>
          <t>18</t>
        </is>
      </c>
      <c r="J1499" t="n">
        <v>300</v>
      </c>
      <c r="K1499" t="n">
        <v>1870</v>
      </c>
      <c r="L1499" t="inlineStr">
        <is>
          <t>在来・204</t>
        </is>
      </c>
      <c r="M1499" t="b">
        <v>1</v>
      </c>
      <c r="N1499" t="inlineStr">
        <is>
          <t>2026規格・詳細構成確認済み</t>
        </is>
      </c>
      <c r="O1499" t="n">
        <v>126</v>
      </c>
      <c r="P1499" t="n">
        <v>124</v>
      </c>
      <c r="Q1499" t="inlineStr">
        <is>
          <t>202604_LIXIL_サーモスＬ_業務用資料集_完成品価格表.pdf</t>
        </is>
      </c>
      <c r="R1499" t="inlineStr">
        <is>
          <t>v0.5詳細構成。カムラッチ｜T。2026完成品価格表 P124。</t>
        </is>
      </c>
      <c r="S1499" s="42" t="inlineStr">
        <is>
          <t>無印</t>
        </is>
      </c>
      <c r="T1499" s="42" t="n">
        <v>124</v>
      </c>
      <c r="U1499" s="42" t="inlineStr">
        <is>
          <t>P124|無印</t>
        </is>
      </c>
      <c r="V1499" s="42" t="inlineStr">
        <is>
          <t>同頁凡例へ直接連動</t>
        </is>
      </c>
    </row>
    <row r="1500">
      <c r="A1500" t="inlineStr">
        <is>
          <t>SZ-SL-001497</t>
        </is>
      </c>
      <c r="B1500" t="inlineStr">
        <is>
          <t>SER-LIX-SAMOSL</t>
        </is>
      </c>
      <c r="C1500" t="inlineStr">
        <is>
          <t>WT-SL-TATE-SUBERI</t>
        </is>
      </c>
      <c r="D1500" t="inlineStr">
        <is>
          <t>縦すべり出し窓 T（カムラッチ）</t>
        </is>
      </c>
      <c r="E1500" t="inlineStr">
        <is>
          <t>SP-SL-TATE-CAM-T</t>
        </is>
      </c>
      <c r="F1500" t="inlineStr">
        <is>
          <t>在来・204</t>
        </is>
      </c>
      <c r="G1500" t="inlineStr">
        <is>
          <t>02120</t>
        </is>
      </c>
      <c r="H1500" t="inlineStr">
        <is>
          <t>021</t>
        </is>
      </c>
      <c r="I1500" t="inlineStr">
        <is>
          <t>20</t>
        </is>
      </c>
      <c r="J1500" t="n">
        <v>250</v>
      </c>
      <c r="K1500" t="n">
        <v>2070</v>
      </c>
      <c r="L1500" t="inlineStr">
        <is>
          <t>在来・204</t>
        </is>
      </c>
      <c r="M1500" t="b">
        <v>1</v>
      </c>
      <c r="N1500" t="inlineStr">
        <is>
          <t>2026規格・詳細構成確認済み</t>
        </is>
      </c>
      <c r="O1500" t="n">
        <v>126</v>
      </c>
      <c r="P1500" t="n">
        <v>124</v>
      </c>
      <c r="Q1500" t="inlineStr">
        <is>
          <t>202604_LIXIL_サーモスＬ_業務用資料集_完成品価格表.pdf</t>
        </is>
      </c>
      <c r="R1500" t="inlineStr">
        <is>
          <t>v0.5詳細構成。カムラッチ｜T。2026完成品価格表 P124。</t>
        </is>
      </c>
      <c r="S1500" s="42" t="inlineStr">
        <is>
          <t>無印</t>
        </is>
      </c>
      <c r="T1500" s="42" t="n">
        <v>124</v>
      </c>
      <c r="U1500" s="42" t="inlineStr">
        <is>
          <t>P124|無印</t>
        </is>
      </c>
      <c r="V1500" s="42" t="inlineStr">
        <is>
          <t>同頁凡例へ直接連動</t>
        </is>
      </c>
    </row>
    <row r="1501">
      <c r="A1501" t="inlineStr">
        <is>
          <t>SZ-SL-001498</t>
        </is>
      </c>
      <c r="B1501" t="inlineStr">
        <is>
          <t>SER-LIX-SAMOSL</t>
        </is>
      </c>
      <c r="C1501" t="inlineStr">
        <is>
          <t>WT-SL-TATE-SUBERI</t>
        </is>
      </c>
      <c r="D1501" t="inlineStr">
        <is>
          <t>縦すべり出し窓 T（カムラッチ）</t>
        </is>
      </c>
      <c r="E1501" t="inlineStr">
        <is>
          <t>SP-SL-TATE-CAM-T</t>
        </is>
      </c>
      <c r="F1501" t="inlineStr">
        <is>
          <t>在来・204</t>
        </is>
      </c>
      <c r="G1501" t="inlineStr">
        <is>
          <t>02620</t>
        </is>
      </c>
      <c r="H1501" t="inlineStr">
        <is>
          <t>026</t>
        </is>
      </c>
      <c r="I1501" t="inlineStr">
        <is>
          <t>20</t>
        </is>
      </c>
      <c r="J1501" t="n">
        <v>300</v>
      </c>
      <c r="K1501" t="n">
        <v>2070</v>
      </c>
      <c r="L1501" t="inlineStr">
        <is>
          <t>在来・204</t>
        </is>
      </c>
      <c r="M1501" t="b">
        <v>1</v>
      </c>
      <c r="N1501" t="inlineStr">
        <is>
          <t>2026規格・詳細構成確認済み</t>
        </is>
      </c>
      <c r="O1501" t="n">
        <v>126</v>
      </c>
      <c r="P1501" t="n">
        <v>124</v>
      </c>
      <c r="Q1501" t="inlineStr">
        <is>
          <t>202604_LIXIL_サーモスＬ_業務用資料集_完成品価格表.pdf</t>
        </is>
      </c>
      <c r="R1501" t="inlineStr">
        <is>
          <t>v0.5詳細構成。カムラッチ｜T。2026完成品価格表 P124。</t>
        </is>
      </c>
      <c r="S1501" s="42" t="inlineStr">
        <is>
          <t>無印</t>
        </is>
      </c>
      <c r="T1501" s="42" t="n">
        <v>124</v>
      </c>
      <c r="U1501" s="42" t="inlineStr">
        <is>
          <t>P124|無印</t>
        </is>
      </c>
      <c r="V1501" s="42" t="inlineStr">
        <is>
          <t>同頁凡例へ直接連動</t>
        </is>
      </c>
    </row>
    <row r="1502">
      <c r="A1502" t="inlineStr">
        <is>
          <t>SZ-SL-001499</t>
        </is>
      </c>
      <c r="B1502" t="inlineStr">
        <is>
          <t>SER-LIX-SAMOSL</t>
        </is>
      </c>
      <c r="C1502" t="inlineStr">
        <is>
          <t>WT-SL-TATE-SUBERI</t>
        </is>
      </c>
      <c r="D1502" t="inlineStr">
        <is>
          <t>縦すべり出し窓 T（カムラッチ）</t>
        </is>
      </c>
      <c r="E1502" t="inlineStr">
        <is>
          <t>SP-SL-TATE-CAM-T</t>
        </is>
      </c>
      <c r="F1502" t="inlineStr">
        <is>
          <t>在来・204</t>
        </is>
      </c>
      <c r="G1502" t="inlineStr">
        <is>
          <t>02122</t>
        </is>
      </c>
      <c r="H1502" t="inlineStr">
        <is>
          <t>021</t>
        </is>
      </c>
      <c r="I1502" t="inlineStr">
        <is>
          <t>22</t>
        </is>
      </c>
      <c r="J1502" t="n">
        <v>250</v>
      </c>
      <c r="K1502" t="n">
        <v>2270</v>
      </c>
      <c r="L1502" t="inlineStr">
        <is>
          <t>在来・204</t>
        </is>
      </c>
      <c r="M1502" t="b">
        <v>1</v>
      </c>
      <c r="N1502" t="inlineStr">
        <is>
          <t>2026規格・詳細構成確認済み</t>
        </is>
      </c>
      <c r="O1502" t="n">
        <v>126</v>
      </c>
      <c r="P1502" t="n">
        <v>124</v>
      </c>
      <c r="Q1502" t="inlineStr">
        <is>
          <t>202604_LIXIL_サーモスＬ_業務用資料集_完成品価格表.pdf</t>
        </is>
      </c>
      <c r="R1502" t="inlineStr">
        <is>
          <t>v0.5詳細構成。カムラッチ｜T。2026完成品価格表 P124。</t>
        </is>
      </c>
      <c r="S1502" s="42" t="inlineStr">
        <is>
          <t>無印</t>
        </is>
      </c>
      <c r="T1502" s="42" t="n">
        <v>124</v>
      </c>
      <c r="U1502" s="42" t="inlineStr">
        <is>
          <t>P124|無印</t>
        </is>
      </c>
      <c r="V1502" s="42" t="inlineStr">
        <is>
          <t>同頁凡例へ直接連動</t>
        </is>
      </c>
    </row>
    <row r="1503">
      <c r="A1503" t="inlineStr">
        <is>
          <t>SZ-SL-001500</t>
        </is>
      </c>
      <c r="B1503" t="inlineStr">
        <is>
          <t>SER-LIX-SAMOSL</t>
        </is>
      </c>
      <c r="C1503" t="inlineStr">
        <is>
          <t>WT-SL-TATE-SUBERI</t>
        </is>
      </c>
      <c r="D1503" t="inlineStr">
        <is>
          <t>縦すべり出し窓 T（カムラッチ）</t>
        </is>
      </c>
      <c r="E1503" t="inlineStr">
        <is>
          <t>SP-SL-TATE-CAM-T</t>
        </is>
      </c>
      <c r="F1503" t="inlineStr">
        <is>
          <t>在来・204</t>
        </is>
      </c>
      <c r="G1503" t="inlineStr">
        <is>
          <t>02622</t>
        </is>
      </c>
      <c r="H1503" t="inlineStr">
        <is>
          <t>026</t>
        </is>
      </c>
      <c r="I1503" t="inlineStr">
        <is>
          <t>22</t>
        </is>
      </c>
      <c r="J1503" t="n">
        <v>300</v>
      </c>
      <c r="K1503" t="n">
        <v>2270</v>
      </c>
      <c r="L1503" t="inlineStr">
        <is>
          <t>在来・204</t>
        </is>
      </c>
      <c r="M1503" t="b">
        <v>1</v>
      </c>
      <c r="N1503" t="inlineStr">
        <is>
          <t>2026規格・詳細構成確認済み</t>
        </is>
      </c>
      <c r="O1503" t="n">
        <v>126</v>
      </c>
      <c r="P1503" t="n">
        <v>124</v>
      </c>
      <c r="Q1503" t="inlineStr">
        <is>
          <t>202604_LIXIL_サーモスＬ_業務用資料集_完成品価格表.pdf</t>
        </is>
      </c>
      <c r="R1503" t="inlineStr">
        <is>
          <t>v0.5詳細構成。カムラッチ｜T。2026完成品価格表 P124。</t>
        </is>
      </c>
      <c r="S1503" s="42" t="inlineStr">
        <is>
          <t>★</t>
        </is>
      </c>
      <c r="T1503" s="42" t="n">
        <v>124</v>
      </c>
      <c r="U1503" s="42" t="inlineStr">
        <is>
          <t>P124|★</t>
        </is>
      </c>
      <c r="V1503" s="42" t="inlineStr">
        <is>
          <t>同頁凡例へ直接連動</t>
        </is>
      </c>
    </row>
    <row r="1504">
      <c r="A1504" t="inlineStr">
        <is>
          <t>SZ-SL-001501</t>
        </is>
      </c>
      <c r="B1504" t="inlineStr">
        <is>
          <t>SER-LIX-SAMOSL</t>
        </is>
      </c>
      <c r="C1504" t="inlineStr">
        <is>
          <t>WT-SL-TATE-SUBERI</t>
        </is>
      </c>
      <c r="D1504" t="inlineStr">
        <is>
          <t>縦すべり出し窓 T（カムラッチ）</t>
        </is>
      </c>
      <c r="E1504" t="inlineStr">
        <is>
          <t>SP-SL-TATE-CAM-T</t>
        </is>
      </c>
      <c r="F1504" t="inlineStr">
        <is>
          <t>在来・204</t>
        </is>
      </c>
      <c r="G1504" t="inlineStr">
        <is>
          <t>03118</t>
        </is>
      </c>
      <c r="H1504" t="inlineStr">
        <is>
          <t>031</t>
        </is>
      </c>
      <c r="I1504" t="inlineStr">
        <is>
          <t>18</t>
        </is>
      </c>
      <c r="J1504" t="n">
        <v>350</v>
      </c>
      <c r="K1504" t="n">
        <v>1870</v>
      </c>
      <c r="L1504" t="inlineStr">
        <is>
          <t>在来・204</t>
        </is>
      </c>
      <c r="M1504" t="b">
        <v>1</v>
      </c>
      <c r="N1504" t="inlineStr">
        <is>
          <t>2026規格・詳細構成確認済み</t>
        </is>
      </c>
      <c r="O1504" t="n">
        <v>127</v>
      </c>
      <c r="P1504" t="n">
        <v>125</v>
      </c>
      <c r="Q1504" t="inlineStr">
        <is>
          <t>202604_LIXIL_サーモスＬ_業務用資料集_完成品価格表.pdf</t>
        </is>
      </c>
      <c r="R1504" t="inlineStr">
        <is>
          <t>v0.5詳細構成。カムラッチ｜T。2026完成品価格表 P125。</t>
        </is>
      </c>
      <c r="S1504" s="42" t="inlineStr">
        <is>
          <t>★</t>
        </is>
      </c>
      <c r="T1504" s="42" t="n">
        <v>124</v>
      </c>
      <c r="U1504" s="42" t="inlineStr">
        <is>
          <t>P124|★</t>
        </is>
      </c>
      <c r="V1504" s="42" t="inlineStr">
        <is>
          <t>同一価格表・前頁凡例を継承</t>
        </is>
      </c>
    </row>
    <row r="1505">
      <c r="A1505" t="inlineStr">
        <is>
          <t>SZ-SL-001502</t>
        </is>
      </c>
      <c r="B1505" t="inlineStr">
        <is>
          <t>SER-LIX-SAMOSL</t>
        </is>
      </c>
      <c r="C1505" t="inlineStr">
        <is>
          <t>WT-SL-TATE-SUBERI</t>
        </is>
      </c>
      <c r="D1505" t="inlineStr">
        <is>
          <t>縦すべり出し窓 T（カムラッチ）</t>
        </is>
      </c>
      <c r="E1505" t="inlineStr">
        <is>
          <t>SP-SL-TATE-CAM-T</t>
        </is>
      </c>
      <c r="F1505" t="inlineStr">
        <is>
          <t>在来・204</t>
        </is>
      </c>
      <c r="G1505" t="inlineStr">
        <is>
          <t>03120</t>
        </is>
      </c>
      <c r="H1505" t="inlineStr">
        <is>
          <t>031</t>
        </is>
      </c>
      <c r="I1505" t="inlineStr">
        <is>
          <t>20</t>
        </is>
      </c>
      <c r="J1505" t="n">
        <v>350</v>
      </c>
      <c r="K1505" t="n">
        <v>2070</v>
      </c>
      <c r="L1505" t="inlineStr">
        <is>
          <t>在来・204</t>
        </is>
      </c>
      <c r="M1505" t="b">
        <v>1</v>
      </c>
      <c r="N1505" t="inlineStr">
        <is>
          <t>2026規格・詳細構成確認済み</t>
        </is>
      </c>
      <c r="O1505" t="n">
        <v>127</v>
      </c>
      <c r="P1505" t="n">
        <v>125</v>
      </c>
      <c r="Q1505" t="inlineStr">
        <is>
          <t>202604_LIXIL_サーモスＬ_業務用資料集_完成品価格表.pdf</t>
        </is>
      </c>
      <c r="R1505" t="inlineStr">
        <is>
          <t>v0.5詳細構成。カムラッチ｜T。2026完成品価格表 P125。</t>
        </is>
      </c>
      <c r="S1505" s="42" t="inlineStr">
        <is>
          <t>★</t>
        </is>
      </c>
      <c r="T1505" s="42" t="n">
        <v>124</v>
      </c>
      <c r="U1505" s="42" t="inlineStr">
        <is>
          <t>P124|★</t>
        </is>
      </c>
      <c r="V1505" s="42" t="inlineStr">
        <is>
          <t>同一価格表・前頁凡例を継承</t>
        </is>
      </c>
    </row>
    <row r="1506">
      <c r="A1506" t="inlineStr">
        <is>
          <t>SZ-SL-001503</t>
        </is>
      </c>
      <c r="B1506" t="inlineStr">
        <is>
          <t>SER-LIX-SAMOSL</t>
        </is>
      </c>
      <c r="C1506" t="inlineStr">
        <is>
          <t>WT-SL-TATE-SUBERI</t>
        </is>
      </c>
      <c r="D1506" t="inlineStr">
        <is>
          <t>縦すべり出し窓 T（カムラッチ）</t>
        </is>
      </c>
      <c r="E1506" t="inlineStr">
        <is>
          <t>SP-SL-TATE-CAM-T</t>
        </is>
      </c>
      <c r="F1506" t="inlineStr">
        <is>
          <t>在来・204</t>
        </is>
      </c>
      <c r="G1506" t="inlineStr">
        <is>
          <t>03122</t>
        </is>
      </c>
      <c r="H1506" t="inlineStr">
        <is>
          <t>031</t>
        </is>
      </c>
      <c r="I1506" t="inlineStr">
        <is>
          <t>22</t>
        </is>
      </c>
      <c r="J1506" t="n">
        <v>350</v>
      </c>
      <c r="K1506" t="n">
        <v>2270</v>
      </c>
      <c r="L1506" t="inlineStr">
        <is>
          <t>在来・204</t>
        </is>
      </c>
      <c r="M1506" t="b">
        <v>1</v>
      </c>
      <c r="N1506" t="inlineStr">
        <is>
          <t>2026規格・詳細構成確認済み</t>
        </is>
      </c>
      <c r="O1506" t="n">
        <v>127</v>
      </c>
      <c r="P1506" t="n">
        <v>125</v>
      </c>
      <c r="Q1506" t="inlineStr">
        <is>
          <t>202604_LIXIL_サーモスＬ_業務用資料集_完成品価格表.pdf</t>
        </is>
      </c>
      <c r="R1506" t="inlineStr">
        <is>
          <t>v0.5詳細構成。カムラッチ｜T。2026完成品価格表 P125。</t>
        </is>
      </c>
      <c r="S1506" s="42" t="inlineStr">
        <is>
          <t>★</t>
        </is>
      </c>
      <c r="T1506" s="42" t="n">
        <v>124</v>
      </c>
      <c r="U1506" s="42" t="inlineStr">
        <is>
          <t>P124|★</t>
        </is>
      </c>
      <c r="V1506" s="42" t="inlineStr">
        <is>
          <t>同一価格表・前頁凡例を継承</t>
        </is>
      </c>
    </row>
    <row r="1507">
      <c r="A1507" t="inlineStr">
        <is>
          <t>SZ-SL-001504</t>
        </is>
      </c>
      <c r="B1507" t="inlineStr">
        <is>
          <t>SER-LIX-SAMOSL</t>
        </is>
      </c>
      <c r="C1507" t="inlineStr">
        <is>
          <t>WT-SL-TATE-SUBERI</t>
        </is>
      </c>
      <c r="D1507" t="inlineStr">
        <is>
          <t>縦すべり出し窓 TF（カムラッチ）（FIX部 外押縁タイプ）</t>
        </is>
      </c>
      <c r="E1507" t="inlineStr">
        <is>
          <t>SP-SL-TATE-CAM-TF-OUT</t>
        </is>
      </c>
      <c r="F1507" t="inlineStr">
        <is>
          <t>在来・204</t>
        </is>
      </c>
      <c r="G1507" t="inlineStr">
        <is>
          <t>11409</t>
        </is>
      </c>
      <c r="H1507" t="inlineStr">
        <is>
          <t>114</t>
        </is>
      </c>
      <c r="I1507" t="inlineStr">
        <is>
          <t>09</t>
        </is>
      </c>
      <c r="J1507" t="n">
        <v>1185</v>
      </c>
      <c r="K1507" t="n">
        <v>970</v>
      </c>
      <c r="L1507" t="inlineStr">
        <is>
          <t>在来・204</t>
        </is>
      </c>
      <c r="M1507" t="b">
        <v>1</v>
      </c>
      <c r="N1507" t="inlineStr">
        <is>
          <t>2026規格・詳細構成確認済み</t>
        </is>
      </c>
      <c r="O1507" t="n">
        <v>128</v>
      </c>
      <c r="P1507" t="n">
        <v>126</v>
      </c>
      <c r="Q1507" t="inlineStr">
        <is>
          <t>202604_LIXIL_サーモスＬ_業務用資料集_完成品価格表.pdf</t>
        </is>
      </c>
      <c r="R1507" t="inlineStr">
        <is>
          <t>v0.5詳細構成。カムラッチ｜TF｜FIX外押縁。2026完成品価格表 P126。</t>
        </is>
      </c>
      <c r="S1507" s="42" t="inlineStr">
        <is>
          <t>無印</t>
        </is>
      </c>
      <c r="T1507" s="42" t="n">
        <v>126</v>
      </c>
      <c r="U1507" s="42" t="inlineStr">
        <is>
          <t>P126|無印</t>
        </is>
      </c>
      <c r="V1507" s="42" t="inlineStr">
        <is>
          <t>同頁凡例へ直接連動</t>
        </is>
      </c>
    </row>
    <row r="1508">
      <c r="A1508" t="inlineStr">
        <is>
          <t>SZ-SL-001505</t>
        </is>
      </c>
      <c r="B1508" t="inlineStr">
        <is>
          <t>SER-LIX-SAMOSL</t>
        </is>
      </c>
      <c r="C1508" t="inlineStr">
        <is>
          <t>WT-SL-TATE-SUBERI</t>
        </is>
      </c>
      <c r="D1508" t="inlineStr">
        <is>
          <t>縦すべり出し窓 TF（カムラッチ）（FIX部 外押縁タイプ）</t>
        </is>
      </c>
      <c r="E1508" t="inlineStr">
        <is>
          <t>SP-SL-TATE-CAM-TF-OUT</t>
        </is>
      </c>
      <c r="F1508" t="inlineStr">
        <is>
          <t>在来・204</t>
        </is>
      </c>
      <c r="G1508" t="inlineStr">
        <is>
          <t>11909</t>
        </is>
      </c>
      <c r="H1508" t="inlineStr">
        <is>
          <t>119</t>
        </is>
      </c>
      <c r="I1508" t="inlineStr">
        <is>
          <t>09</t>
        </is>
      </c>
      <c r="J1508" t="n">
        <v>1235</v>
      </c>
      <c r="K1508" t="n">
        <v>970</v>
      </c>
      <c r="L1508" t="inlineStr">
        <is>
          <t>在来・204</t>
        </is>
      </c>
      <c r="M1508" t="b">
        <v>1</v>
      </c>
      <c r="N1508" t="inlineStr">
        <is>
          <t>2026規格・詳細構成確認済み</t>
        </is>
      </c>
      <c r="O1508" t="n">
        <v>128</v>
      </c>
      <c r="P1508" t="n">
        <v>126</v>
      </c>
      <c r="Q1508" t="inlineStr">
        <is>
          <t>202604_LIXIL_サーモスＬ_業務用資料集_完成品価格表.pdf</t>
        </is>
      </c>
      <c r="R1508" t="inlineStr">
        <is>
          <t>v0.5詳細構成。カムラッチ｜TF｜FIX外押縁。2026完成品価格表 P126。</t>
        </is>
      </c>
      <c r="S1508" s="42" t="inlineStr">
        <is>
          <t>無印</t>
        </is>
      </c>
      <c r="T1508" s="42" t="n">
        <v>126</v>
      </c>
      <c r="U1508" s="42" t="inlineStr">
        <is>
          <t>P126|無印</t>
        </is>
      </c>
      <c r="V1508" s="42" t="inlineStr">
        <is>
          <t>同頁凡例へ直接連動</t>
        </is>
      </c>
    </row>
    <row r="1509">
      <c r="A1509" t="inlineStr">
        <is>
          <t>SZ-SL-001506</t>
        </is>
      </c>
      <c r="B1509" t="inlineStr">
        <is>
          <t>SER-LIX-SAMOSL</t>
        </is>
      </c>
      <c r="C1509" t="inlineStr">
        <is>
          <t>WT-SL-TATE-SUBERI</t>
        </is>
      </c>
      <c r="D1509" t="inlineStr">
        <is>
          <t>縦すべり出し窓 TF（カムラッチ）（FIX部 外押縁タイプ）</t>
        </is>
      </c>
      <c r="E1509" t="inlineStr">
        <is>
          <t>SP-SL-TATE-CAM-TF-OUT</t>
        </is>
      </c>
      <c r="F1509" t="inlineStr">
        <is>
          <t>在来・204</t>
        </is>
      </c>
      <c r="G1509" t="inlineStr">
        <is>
          <t>16009</t>
        </is>
      </c>
      <c r="H1509" t="inlineStr">
        <is>
          <t>160</t>
        </is>
      </c>
      <c r="I1509" t="inlineStr">
        <is>
          <t>09</t>
        </is>
      </c>
      <c r="J1509" t="n">
        <v>1640</v>
      </c>
      <c r="K1509" t="n">
        <v>970</v>
      </c>
      <c r="L1509" t="inlineStr">
        <is>
          <t>在来・204</t>
        </is>
      </c>
      <c r="M1509" t="b">
        <v>1</v>
      </c>
      <c r="N1509" t="inlineStr">
        <is>
          <t>2026規格・詳細構成確認済み</t>
        </is>
      </c>
      <c r="O1509" t="n">
        <v>128</v>
      </c>
      <c r="P1509" t="n">
        <v>126</v>
      </c>
      <c r="Q1509" t="inlineStr">
        <is>
          <t>202604_LIXIL_サーモスＬ_業務用資料集_完成品価格表.pdf</t>
        </is>
      </c>
      <c r="R1509" t="inlineStr">
        <is>
          <t>v0.5詳細構成。カムラッチ｜TF｜FIX外押縁。2026完成品価格表 P126。</t>
        </is>
      </c>
      <c r="S1509" s="42" t="inlineStr">
        <is>
          <t>無印</t>
        </is>
      </c>
      <c r="T1509" s="42" t="n">
        <v>126</v>
      </c>
      <c r="U1509" s="42" t="inlineStr">
        <is>
          <t>P126|無印</t>
        </is>
      </c>
      <c r="V1509" s="42" t="inlineStr">
        <is>
          <t>同頁凡例へ直接連動</t>
        </is>
      </c>
    </row>
    <row r="1510">
      <c r="A1510" t="inlineStr">
        <is>
          <t>SZ-SL-001507</t>
        </is>
      </c>
      <c r="B1510" t="inlineStr">
        <is>
          <t>SER-LIX-SAMOSL</t>
        </is>
      </c>
      <c r="C1510" t="inlineStr">
        <is>
          <t>WT-SL-TATE-SUBERI</t>
        </is>
      </c>
      <c r="D1510" t="inlineStr">
        <is>
          <t>縦すべり出し窓 TF（カムラッチ）（FIX部 外押縁タイプ）</t>
        </is>
      </c>
      <c r="E1510" t="inlineStr">
        <is>
          <t>SP-SL-TATE-CAM-TF-OUT</t>
        </is>
      </c>
      <c r="F1510" t="inlineStr">
        <is>
          <t>在来・204</t>
        </is>
      </c>
      <c r="G1510" t="inlineStr">
        <is>
          <t>16509</t>
        </is>
      </c>
      <c r="H1510" t="inlineStr">
        <is>
          <t>165</t>
        </is>
      </c>
      <c r="I1510" t="inlineStr">
        <is>
          <t>09</t>
        </is>
      </c>
      <c r="J1510" t="n">
        <v>1690</v>
      </c>
      <c r="K1510" t="n">
        <v>970</v>
      </c>
      <c r="L1510" t="inlineStr">
        <is>
          <t>在来・204</t>
        </is>
      </c>
      <c r="M1510" t="b">
        <v>1</v>
      </c>
      <c r="N1510" t="inlineStr">
        <is>
          <t>2026規格・詳細構成確認済み</t>
        </is>
      </c>
      <c r="O1510" t="n">
        <v>128</v>
      </c>
      <c r="P1510" t="n">
        <v>126</v>
      </c>
      <c r="Q1510" t="inlineStr">
        <is>
          <t>202604_LIXIL_サーモスＬ_業務用資料集_完成品価格表.pdf</t>
        </is>
      </c>
      <c r="R1510" t="inlineStr">
        <is>
          <t>v0.5詳細構成。カムラッチ｜TF｜FIX外押縁。2026完成品価格表 P126。</t>
        </is>
      </c>
      <c r="S1510" s="42" t="inlineStr">
        <is>
          <t>無印</t>
        </is>
      </c>
      <c r="T1510" s="42" t="n">
        <v>126</v>
      </c>
      <c r="U1510" s="42" t="inlineStr">
        <is>
          <t>P126|無印</t>
        </is>
      </c>
      <c r="V1510" s="42" t="inlineStr">
        <is>
          <t>同頁凡例へ直接連動</t>
        </is>
      </c>
    </row>
    <row r="1511">
      <c r="A1511" t="inlineStr">
        <is>
          <t>SZ-SL-001508</t>
        </is>
      </c>
      <c r="B1511" t="inlineStr">
        <is>
          <t>SER-LIX-SAMOSL</t>
        </is>
      </c>
      <c r="C1511" t="inlineStr">
        <is>
          <t>WT-SL-TATE-SUBERI</t>
        </is>
      </c>
      <c r="D1511" t="inlineStr">
        <is>
          <t>縦すべり出し窓 TF（カムラッチ）（FIX部 外押縁タイプ）</t>
        </is>
      </c>
      <c r="E1511" t="inlineStr">
        <is>
          <t>SP-SL-TATE-CAM-TF-OUT</t>
        </is>
      </c>
      <c r="F1511" t="inlineStr">
        <is>
          <t>在来・204</t>
        </is>
      </c>
      <c r="G1511" t="inlineStr">
        <is>
          <t>11411</t>
        </is>
      </c>
      <c r="H1511" t="inlineStr">
        <is>
          <t>114</t>
        </is>
      </c>
      <c r="I1511" t="inlineStr">
        <is>
          <t>11</t>
        </is>
      </c>
      <c r="J1511" t="n">
        <v>1185</v>
      </c>
      <c r="K1511" t="n">
        <v>1170</v>
      </c>
      <c r="L1511" t="inlineStr">
        <is>
          <t>在来・204</t>
        </is>
      </c>
      <c r="M1511" t="b">
        <v>1</v>
      </c>
      <c r="N1511" t="inlineStr">
        <is>
          <t>2026規格・詳細構成確認済み</t>
        </is>
      </c>
      <c r="O1511" t="n">
        <v>128</v>
      </c>
      <c r="P1511" t="n">
        <v>126</v>
      </c>
      <c r="Q1511" t="inlineStr">
        <is>
          <t>202604_LIXIL_サーモスＬ_業務用資料集_完成品価格表.pdf</t>
        </is>
      </c>
      <c r="R1511" t="inlineStr">
        <is>
          <t>v0.5詳細構成。カムラッチ｜TF｜FIX外押縁。2026完成品価格表 P126。</t>
        </is>
      </c>
      <c r="S1511" s="42" t="inlineStr">
        <is>
          <t>無印</t>
        </is>
      </c>
      <c r="T1511" s="42" t="n">
        <v>126</v>
      </c>
      <c r="U1511" s="42" t="inlineStr">
        <is>
          <t>P126|無印</t>
        </is>
      </c>
      <c r="V1511" s="42" t="inlineStr">
        <is>
          <t>同頁凡例へ直接連動</t>
        </is>
      </c>
    </row>
    <row r="1512">
      <c r="A1512" t="inlineStr">
        <is>
          <t>SZ-SL-001509</t>
        </is>
      </c>
      <c r="B1512" t="inlineStr">
        <is>
          <t>SER-LIX-SAMOSL</t>
        </is>
      </c>
      <c r="C1512" t="inlineStr">
        <is>
          <t>WT-SL-TATE-SUBERI</t>
        </is>
      </c>
      <c r="D1512" t="inlineStr">
        <is>
          <t>縦すべり出し窓 TF（カムラッチ）（FIX部 外押縁タイプ）</t>
        </is>
      </c>
      <c r="E1512" t="inlineStr">
        <is>
          <t>SP-SL-TATE-CAM-TF-OUT</t>
        </is>
      </c>
      <c r="F1512" t="inlineStr">
        <is>
          <t>在来・204</t>
        </is>
      </c>
      <c r="G1512" t="inlineStr">
        <is>
          <t>11911</t>
        </is>
      </c>
      <c r="H1512" t="inlineStr">
        <is>
          <t>119</t>
        </is>
      </c>
      <c r="I1512" t="inlineStr">
        <is>
          <t>11</t>
        </is>
      </c>
      <c r="J1512" t="n">
        <v>1235</v>
      </c>
      <c r="K1512" t="n">
        <v>1170</v>
      </c>
      <c r="L1512" t="inlineStr">
        <is>
          <t>在来・204</t>
        </is>
      </c>
      <c r="M1512" t="b">
        <v>1</v>
      </c>
      <c r="N1512" t="inlineStr">
        <is>
          <t>2026規格・詳細構成確認済み</t>
        </is>
      </c>
      <c r="O1512" t="n">
        <v>128</v>
      </c>
      <c r="P1512" t="n">
        <v>126</v>
      </c>
      <c r="Q1512" t="inlineStr">
        <is>
          <t>202604_LIXIL_サーモスＬ_業務用資料集_完成品価格表.pdf</t>
        </is>
      </c>
      <c r="R1512" t="inlineStr">
        <is>
          <t>v0.5詳細構成。カムラッチ｜TF｜FIX外押縁。2026完成品価格表 P126。</t>
        </is>
      </c>
      <c r="S1512" s="42" t="inlineStr">
        <is>
          <t>無印</t>
        </is>
      </c>
      <c r="T1512" s="42" t="n">
        <v>126</v>
      </c>
      <c r="U1512" s="42" t="inlineStr">
        <is>
          <t>P126|無印</t>
        </is>
      </c>
      <c r="V1512" s="42" t="inlineStr">
        <is>
          <t>同頁凡例へ直接連動</t>
        </is>
      </c>
    </row>
    <row r="1513">
      <c r="A1513" t="inlineStr">
        <is>
          <t>SZ-SL-001510</t>
        </is>
      </c>
      <c r="B1513" t="inlineStr">
        <is>
          <t>SER-LIX-SAMOSL</t>
        </is>
      </c>
      <c r="C1513" t="inlineStr">
        <is>
          <t>WT-SL-TATE-SUBERI</t>
        </is>
      </c>
      <c r="D1513" t="inlineStr">
        <is>
          <t>縦すべり出し窓 TF（カムラッチ）（FIX部 外押縁タイプ）</t>
        </is>
      </c>
      <c r="E1513" t="inlineStr">
        <is>
          <t>SP-SL-TATE-CAM-TF-OUT</t>
        </is>
      </c>
      <c r="F1513" t="inlineStr">
        <is>
          <t>在来・204</t>
        </is>
      </c>
      <c r="G1513" t="inlineStr">
        <is>
          <t>16011</t>
        </is>
      </c>
      <c r="H1513" t="inlineStr">
        <is>
          <t>160</t>
        </is>
      </c>
      <c r="I1513" t="inlineStr">
        <is>
          <t>11</t>
        </is>
      </c>
      <c r="J1513" t="n">
        <v>1640</v>
      </c>
      <c r="K1513" t="n">
        <v>1170</v>
      </c>
      <c r="L1513" t="inlineStr">
        <is>
          <t>在来・204</t>
        </is>
      </c>
      <c r="M1513" t="b">
        <v>1</v>
      </c>
      <c r="N1513" t="inlineStr">
        <is>
          <t>2026規格・詳細構成確認済み</t>
        </is>
      </c>
      <c r="O1513" t="n">
        <v>128</v>
      </c>
      <c r="P1513" t="n">
        <v>126</v>
      </c>
      <c r="Q1513" t="inlineStr">
        <is>
          <t>202604_LIXIL_サーモスＬ_業務用資料集_完成品価格表.pdf</t>
        </is>
      </c>
      <c r="R1513" t="inlineStr">
        <is>
          <t>v0.5詳細構成。カムラッチ｜TF｜FIX外押縁。2026完成品価格表 P126。</t>
        </is>
      </c>
      <c r="S1513" s="42" t="inlineStr">
        <is>
          <t>★</t>
        </is>
      </c>
      <c r="T1513" s="42" t="n">
        <v>126</v>
      </c>
      <c r="U1513" s="42" t="inlineStr">
        <is>
          <t>P126|★</t>
        </is>
      </c>
      <c r="V1513" s="42" t="inlineStr">
        <is>
          <t>同頁凡例へ直接連動</t>
        </is>
      </c>
    </row>
    <row r="1514">
      <c r="A1514" t="inlineStr">
        <is>
          <t>SZ-SL-001511</t>
        </is>
      </c>
      <c r="B1514" t="inlineStr">
        <is>
          <t>SER-LIX-SAMOSL</t>
        </is>
      </c>
      <c r="C1514" t="inlineStr">
        <is>
          <t>WT-SL-TATE-SUBERI</t>
        </is>
      </c>
      <c r="D1514" t="inlineStr">
        <is>
          <t>縦すべり出し窓 TF（カムラッチ）（FIX部 外押縁タイプ）</t>
        </is>
      </c>
      <c r="E1514" t="inlineStr">
        <is>
          <t>SP-SL-TATE-CAM-TF-OUT</t>
        </is>
      </c>
      <c r="F1514" t="inlineStr">
        <is>
          <t>在来・204</t>
        </is>
      </c>
      <c r="G1514" t="inlineStr">
        <is>
          <t>16511</t>
        </is>
      </c>
      <c r="H1514" t="inlineStr">
        <is>
          <t>165</t>
        </is>
      </c>
      <c r="I1514" t="inlineStr">
        <is>
          <t>11</t>
        </is>
      </c>
      <c r="J1514" t="n">
        <v>1690</v>
      </c>
      <c r="K1514" t="n">
        <v>1170</v>
      </c>
      <c r="L1514" t="inlineStr">
        <is>
          <t>在来・204</t>
        </is>
      </c>
      <c r="M1514" t="b">
        <v>1</v>
      </c>
      <c r="N1514" t="inlineStr">
        <is>
          <t>2026規格・詳細構成確認済み</t>
        </is>
      </c>
      <c r="O1514" t="n">
        <v>128</v>
      </c>
      <c r="P1514" t="n">
        <v>126</v>
      </c>
      <c r="Q1514" t="inlineStr">
        <is>
          <t>202604_LIXIL_サーモスＬ_業務用資料集_完成品価格表.pdf</t>
        </is>
      </c>
      <c r="R1514" t="inlineStr">
        <is>
          <t>v0.5詳細構成。カムラッチ｜TF｜FIX外押縁。2026完成品価格表 P126。</t>
        </is>
      </c>
      <c r="S1514" s="42" t="inlineStr">
        <is>
          <t>★</t>
        </is>
      </c>
      <c r="T1514" s="42" t="n">
        <v>126</v>
      </c>
      <c r="U1514" s="42" t="inlineStr">
        <is>
          <t>P126|★</t>
        </is>
      </c>
      <c r="V1514" s="42" t="inlineStr">
        <is>
          <t>同頁凡例へ直接連動</t>
        </is>
      </c>
    </row>
    <row r="1515">
      <c r="A1515" t="inlineStr">
        <is>
          <t>SZ-SL-001512</t>
        </is>
      </c>
      <c r="B1515" t="inlineStr">
        <is>
          <t>SER-LIX-SAMOSL</t>
        </is>
      </c>
      <c r="C1515" t="inlineStr">
        <is>
          <t>WT-SL-TATE-SUBERI</t>
        </is>
      </c>
      <c r="D1515" t="inlineStr">
        <is>
          <t>縦すべり出し窓 TF（カムラッチ）（FIX部 外押縁タイプ）</t>
        </is>
      </c>
      <c r="E1515" t="inlineStr">
        <is>
          <t>SP-SL-TATE-CAM-TF-OUT</t>
        </is>
      </c>
      <c r="F1515" t="inlineStr">
        <is>
          <t>在来・204</t>
        </is>
      </c>
      <c r="G1515" t="inlineStr">
        <is>
          <t>11413</t>
        </is>
      </c>
      <c r="H1515" t="inlineStr">
        <is>
          <t>114</t>
        </is>
      </c>
      <c r="I1515" t="inlineStr">
        <is>
          <t>13</t>
        </is>
      </c>
      <c r="J1515" t="n">
        <v>1185</v>
      </c>
      <c r="K1515" t="n">
        <v>1370</v>
      </c>
      <c r="L1515" t="inlineStr">
        <is>
          <t>在来・204</t>
        </is>
      </c>
      <c r="M1515" t="b">
        <v>1</v>
      </c>
      <c r="N1515" t="inlineStr">
        <is>
          <t>2026規格・詳細構成確認済み</t>
        </is>
      </c>
      <c r="O1515" t="n">
        <v>128</v>
      </c>
      <c r="P1515" t="n">
        <v>126</v>
      </c>
      <c r="Q1515" t="inlineStr">
        <is>
          <t>202604_LIXIL_サーモスＬ_業務用資料集_完成品価格表.pdf</t>
        </is>
      </c>
      <c r="R1515" t="inlineStr">
        <is>
          <t>v0.5詳細構成。カムラッチ｜TF｜FIX外押縁。2026完成品価格表 P126。</t>
        </is>
      </c>
      <c r="S1515" s="42" t="inlineStr">
        <is>
          <t>無印</t>
        </is>
      </c>
      <c r="T1515" s="42" t="n">
        <v>126</v>
      </c>
      <c r="U1515" s="42" t="inlineStr">
        <is>
          <t>P126|無印</t>
        </is>
      </c>
      <c r="V1515" s="42" t="inlineStr">
        <is>
          <t>同頁凡例へ直接連動</t>
        </is>
      </c>
    </row>
    <row r="1516">
      <c r="A1516" t="inlineStr">
        <is>
          <t>SZ-SL-001513</t>
        </is>
      </c>
      <c r="B1516" t="inlineStr">
        <is>
          <t>SER-LIX-SAMOSL</t>
        </is>
      </c>
      <c r="C1516" t="inlineStr">
        <is>
          <t>WT-SL-TATE-SUBERI</t>
        </is>
      </c>
      <c r="D1516" t="inlineStr">
        <is>
          <t>縦すべり出し窓 TF（カムラッチ）（FIX部 外押縁タイプ）</t>
        </is>
      </c>
      <c r="E1516" t="inlineStr">
        <is>
          <t>SP-SL-TATE-CAM-TF-OUT</t>
        </is>
      </c>
      <c r="F1516" t="inlineStr">
        <is>
          <t>在来・204</t>
        </is>
      </c>
      <c r="G1516" t="inlineStr">
        <is>
          <t>11913</t>
        </is>
      </c>
      <c r="H1516" t="inlineStr">
        <is>
          <t>119</t>
        </is>
      </c>
      <c r="I1516" t="inlineStr">
        <is>
          <t>13</t>
        </is>
      </c>
      <c r="J1516" t="n">
        <v>1235</v>
      </c>
      <c r="K1516" t="n">
        <v>1370</v>
      </c>
      <c r="L1516" t="inlineStr">
        <is>
          <t>在来・204</t>
        </is>
      </c>
      <c r="M1516" t="b">
        <v>1</v>
      </c>
      <c r="N1516" t="inlineStr">
        <is>
          <t>2026規格・詳細構成確認済み</t>
        </is>
      </c>
      <c r="O1516" t="n">
        <v>128</v>
      </c>
      <c r="P1516" t="n">
        <v>126</v>
      </c>
      <c r="Q1516" t="inlineStr">
        <is>
          <t>202604_LIXIL_サーモスＬ_業務用資料集_完成品価格表.pdf</t>
        </is>
      </c>
      <c r="R1516" t="inlineStr">
        <is>
          <t>v0.5詳細構成。カムラッチ｜TF｜FIX外押縁。2026完成品価格表 P126。</t>
        </is>
      </c>
      <c r="S1516" s="42" t="inlineStr">
        <is>
          <t>★</t>
        </is>
      </c>
      <c r="T1516" s="42" t="n">
        <v>126</v>
      </c>
      <c r="U1516" s="42" t="inlineStr">
        <is>
          <t>P126|★</t>
        </is>
      </c>
      <c r="V1516" s="42" t="inlineStr">
        <is>
          <t>同頁凡例へ直接連動</t>
        </is>
      </c>
    </row>
    <row r="1517">
      <c r="A1517" t="inlineStr">
        <is>
          <t>SZ-SL-001514</t>
        </is>
      </c>
      <c r="B1517" t="inlineStr">
        <is>
          <t>SER-LIX-SAMOSL</t>
        </is>
      </c>
      <c r="C1517" t="inlineStr">
        <is>
          <t>WT-SL-TATE-SUBERI</t>
        </is>
      </c>
      <c r="D1517" t="inlineStr">
        <is>
          <t>縦すべり出し窓 TF（カムラッチ）（FIX部 外押縁タイプ）</t>
        </is>
      </c>
      <c r="E1517" t="inlineStr">
        <is>
          <t>SP-SL-TATE-CAM-TF-OUT</t>
        </is>
      </c>
      <c r="F1517" t="inlineStr">
        <is>
          <t>在来・204</t>
        </is>
      </c>
      <c r="G1517" t="inlineStr">
        <is>
          <t>16013</t>
        </is>
      </c>
      <c r="H1517" t="inlineStr">
        <is>
          <t>160</t>
        </is>
      </c>
      <c r="I1517" t="inlineStr">
        <is>
          <t>13</t>
        </is>
      </c>
      <c r="J1517" t="n">
        <v>1640</v>
      </c>
      <c r="K1517" t="n">
        <v>1370</v>
      </c>
      <c r="L1517" t="inlineStr">
        <is>
          <t>在来・204</t>
        </is>
      </c>
      <c r="M1517" t="b">
        <v>1</v>
      </c>
      <c r="N1517" t="inlineStr">
        <is>
          <t>2026規格・詳細構成確認済み</t>
        </is>
      </c>
      <c r="O1517" t="n">
        <v>128</v>
      </c>
      <c r="P1517" t="n">
        <v>126</v>
      </c>
      <c r="Q1517" t="inlineStr">
        <is>
          <t>202604_LIXIL_サーモスＬ_業務用資料集_完成品価格表.pdf</t>
        </is>
      </c>
      <c r="R1517" t="inlineStr">
        <is>
          <t>v0.5詳細構成。カムラッチ｜TF｜FIX外押縁。2026完成品価格表 P126。</t>
        </is>
      </c>
      <c r="S1517" s="42" t="inlineStr">
        <is>
          <t>★</t>
        </is>
      </c>
      <c r="T1517" s="42" t="n">
        <v>126</v>
      </c>
      <c r="U1517" s="42" t="inlineStr">
        <is>
          <t>P126|★</t>
        </is>
      </c>
      <c r="V1517" s="42" t="inlineStr">
        <is>
          <t>同頁凡例へ直接連動</t>
        </is>
      </c>
    </row>
    <row r="1518">
      <c r="A1518" t="inlineStr">
        <is>
          <t>SZ-SL-001515</t>
        </is>
      </c>
      <c r="B1518" t="inlineStr">
        <is>
          <t>SER-LIX-SAMOSL</t>
        </is>
      </c>
      <c r="C1518" t="inlineStr">
        <is>
          <t>WT-SL-TATE-SUBERI</t>
        </is>
      </c>
      <c r="D1518" t="inlineStr">
        <is>
          <t>縦すべり出し窓 TF（カムラッチ）（FIX部 外押縁タイプ）</t>
        </is>
      </c>
      <c r="E1518" t="inlineStr">
        <is>
          <t>SP-SL-TATE-CAM-TF-OUT</t>
        </is>
      </c>
      <c r="F1518" t="inlineStr">
        <is>
          <t>在来・204</t>
        </is>
      </c>
      <c r="G1518" t="inlineStr">
        <is>
          <t>16513</t>
        </is>
      </c>
      <c r="H1518" t="inlineStr">
        <is>
          <t>165</t>
        </is>
      </c>
      <c r="I1518" t="inlineStr">
        <is>
          <t>13</t>
        </is>
      </c>
      <c r="J1518" t="n">
        <v>1690</v>
      </c>
      <c r="K1518" t="n">
        <v>1370</v>
      </c>
      <c r="L1518" t="inlineStr">
        <is>
          <t>在来・204</t>
        </is>
      </c>
      <c r="M1518" t="b">
        <v>1</v>
      </c>
      <c r="N1518" t="inlineStr">
        <is>
          <t>2026規格・詳細構成確認済み</t>
        </is>
      </c>
      <c r="O1518" t="n">
        <v>128</v>
      </c>
      <c r="P1518" t="n">
        <v>126</v>
      </c>
      <c r="Q1518" t="inlineStr">
        <is>
          <t>202604_LIXIL_サーモスＬ_業務用資料集_完成品価格表.pdf</t>
        </is>
      </c>
      <c r="R1518" t="inlineStr">
        <is>
          <t>v0.5詳細構成。カムラッチ｜TF｜FIX外押縁。2026完成品価格表 P126。</t>
        </is>
      </c>
      <c r="S1518" s="42" t="inlineStr">
        <is>
          <t>☆</t>
        </is>
      </c>
      <c r="T1518" s="42" t="n">
        <v>126</v>
      </c>
      <c r="U1518" s="42" t="inlineStr">
        <is>
          <t>P126|☆</t>
        </is>
      </c>
      <c r="V1518" s="42" t="inlineStr">
        <is>
          <t>同頁凡例へ直接連動</t>
        </is>
      </c>
    </row>
    <row r="1519">
      <c r="A1519" t="inlineStr">
        <is>
          <t>SZ-SL-001516</t>
        </is>
      </c>
      <c r="B1519" t="inlineStr">
        <is>
          <t>SER-LIX-SAMOSL</t>
        </is>
      </c>
      <c r="C1519" t="inlineStr">
        <is>
          <t>WT-SL-TATE-SUBERI</t>
        </is>
      </c>
      <c r="D1519" t="inlineStr">
        <is>
          <t>縦すべり出し窓 TFT（カムラッチ）（FIX部 外押縁タイプ）</t>
        </is>
      </c>
      <c r="E1519" t="inlineStr">
        <is>
          <t>SP-SL-TATE-CAM-TFT-OUT</t>
        </is>
      </c>
      <c r="F1519" t="inlineStr">
        <is>
          <t>在来・204</t>
        </is>
      </c>
      <c r="G1519" t="inlineStr">
        <is>
          <t>16009</t>
        </is>
      </c>
      <c r="H1519" t="inlineStr">
        <is>
          <t>160</t>
        </is>
      </c>
      <c r="I1519" t="inlineStr">
        <is>
          <t>09</t>
        </is>
      </c>
      <c r="J1519" t="n">
        <v>1640</v>
      </c>
      <c r="K1519" t="n">
        <v>970</v>
      </c>
      <c r="L1519" t="inlineStr">
        <is>
          <t>在来・204</t>
        </is>
      </c>
      <c r="M1519" t="b">
        <v>1</v>
      </c>
      <c r="N1519" t="inlineStr">
        <is>
          <t>2026規格・詳細構成確認済み</t>
        </is>
      </c>
      <c r="O1519" t="n">
        <v>129</v>
      </c>
      <c r="P1519" t="n">
        <v>127</v>
      </c>
      <c r="Q1519" t="inlineStr">
        <is>
          <t>202604_LIXIL_サーモスＬ_業務用資料集_完成品価格表.pdf</t>
        </is>
      </c>
      <c r="R1519" t="inlineStr">
        <is>
          <t>v0.5詳細構成。カムラッチ｜TFT｜FIX外押縁。2026完成品価格表 P127。</t>
        </is>
      </c>
      <c r="S1519" s="42" t="inlineStr">
        <is>
          <t>無印</t>
        </is>
      </c>
      <c r="T1519" s="42" t="n">
        <v>127</v>
      </c>
      <c r="U1519" s="42" t="inlineStr">
        <is>
          <t>P127|無印</t>
        </is>
      </c>
      <c r="V1519" s="42" t="inlineStr">
        <is>
          <t>同頁凡例へ直接連動</t>
        </is>
      </c>
    </row>
    <row r="1520">
      <c r="A1520" t="inlineStr">
        <is>
          <t>SZ-SL-001517</t>
        </is>
      </c>
      <c r="B1520" t="inlineStr">
        <is>
          <t>SER-LIX-SAMOSL</t>
        </is>
      </c>
      <c r="C1520" t="inlineStr">
        <is>
          <t>WT-SL-TATE-SUBERI</t>
        </is>
      </c>
      <c r="D1520" t="inlineStr">
        <is>
          <t>縦すべり出し窓 TFT（カムラッチ）（FIX部 外押縁タイプ）</t>
        </is>
      </c>
      <c r="E1520" t="inlineStr">
        <is>
          <t>SP-SL-TATE-CAM-TFT-OUT</t>
        </is>
      </c>
      <c r="F1520" t="inlineStr">
        <is>
          <t>在来・204</t>
        </is>
      </c>
      <c r="G1520" t="inlineStr">
        <is>
          <t>16509</t>
        </is>
      </c>
      <c r="H1520" t="inlineStr">
        <is>
          <t>165</t>
        </is>
      </c>
      <c r="I1520" t="inlineStr">
        <is>
          <t>09</t>
        </is>
      </c>
      <c r="J1520" t="n">
        <v>1690</v>
      </c>
      <c r="K1520" t="n">
        <v>970</v>
      </c>
      <c r="L1520" t="inlineStr">
        <is>
          <t>在来・204</t>
        </is>
      </c>
      <c r="M1520" t="b">
        <v>1</v>
      </c>
      <c r="N1520" t="inlineStr">
        <is>
          <t>2026規格・詳細構成確認済み</t>
        </is>
      </c>
      <c r="O1520" t="n">
        <v>129</v>
      </c>
      <c r="P1520" t="n">
        <v>127</v>
      </c>
      <c r="Q1520" t="inlineStr">
        <is>
          <t>202604_LIXIL_サーモスＬ_業務用資料集_完成品価格表.pdf</t>
        </is>
      </c>
      <c r="R1520" t="inlineStr">
        <is>
          <t>v0.5詳細構成。カムラッチ｜TFT｜FIX外押縁。2026完成品価格表 P127。</t>
        </is>
      </c>
      <c r="S1520" s="42" t="inlineStr">
        <is>
          <t>無印</t>
        </is>
      </c>
      <c r="T1520" s="42" t="n">
        <v>127</v>
      </c>
      <c r="U1520" s="42" t="inlineStr">
        <is>
          <t>P127|無印</t>
        </is>
      </c>
      <c r="V1520" s="42" t="inlineStr">
        <is>
          <t>同頁凡例へ直接連動</t>
        </is>
      </c>
    </row>
    <row r="1521">
      <c r="A1521" t="inlineStr">
        <is>
          <t>SZ-SL-001518</t>
        </is>
      </c>
      <c r="B1521" t="inlineStr">
        <is>
          <t>SER-LIX-SAMOSL</t>
        </is>
      </c>
      <c r="C1521" t="inlineStr">
        <is>
          <t>WT-SL-TATE-SUBERI</t>
        </is>
      </c>
      <c r="D1521" t="inlineStr">
        <is>
          <t>縦すべり出し窓 TFT（カムラッチ）（FIX部 外押縁タイプ）</t>
        </is>
      </c>
      <c r="E1521" t="inlineStr">
        <is>
          <t>SP-SL-TATE-CAM-TFT-OUT</t>
        </is>
      </c>
      <c r="F1521" t="inlineStr">
        <is>
          <t>在来・204</t>
        </is>
      </c>
      <c r="G1521" t="inlineStr">
        <is>
          <t>16011</t>
        </is>
      </c>
      <c r="H1521" t="inlineStr">
        <is>
          <t>160</t>
        </is>
      </c>
      <c r="I1521" t="inlineStr">
        <is>
          <t>11</t>
        </is>
      </c>
      <c r="J1521" t="n">
        <v>1640</v>
      </c>
      <c r="K1521" t="n">
        <v>1170</v>
      </c>
      <c r="L1521" t="inlineStr">
        <is>
          <t>在来・204</t>
        </is>
      </c>
      <c r="M1521" t="b">
        <v>1</v>
      </c>
      <c r="N1521" t="inlineStr">
        <is>
          <t>2026規格・詳細構成確認済み</t>
        </is>
      </c>
      <c r="O1521" t="n">
        <v>129</v>
      </c>
      <c r="P1521" t="n">
        <v>127</v>
      </c>
      <c r="Q1521" t="inlineStr">
        <is>
          <t>202604_LIXIL_サーモスＬ_業務用資料集_完成品価格表.pdf</t>
        </is>
      </c>
      <c r="R1521" t="inlineStr">
        <is>
          <t>v0.5詳細構成。カムラッチ｜TFT｜FIX外押縁。2026完成品価格表 P127。</t>
        </is>
      </c>
      <c r="S1521" s="42" t="inlineStr">
        <is>
          <t>無印</t>
        </is>
      </c>
      <c r="T1521" s="42" t="n">
        <v>127</v>
      </c>
      <c r="U1521" s="42" t="inlineStr">
        <is>
          <t>P127|無印</t>
        </is>
      </c>
      <c r="V1521" s="42" t="inlineStr">
        <is>
          <t>同頁凡例へ直接連動</t>
        </is>
      </c>
    </row>
    <row r="1522">
      <c r="A1522" t="inlineStr">
        <is>
          <t>SZ-SL-001519</t>
        </is>
      </c>
      <c r="B1522" t="inlineStr">
        <is>
          <t>SER-LIX-SAMOSL</t>
        </is>
      </c>
      <c r="C1522" t="inlineStr">
        <is>
          <t>WT-SL-TATE-SUBERI</t>
        </is>
      </c>
      <c r="D1522" t="inlineStr">
        <is>
          <t>縦すべり出し窓 TFT（カムラッチ）（FIX部 外押縁タイプ）</t>
        </is>
      </c>
      <c r="E1522" t="inlineStr">
        <is>
          <t>SP-SL-TATE-CAM-TFT-OUT</t>
        </is>
      </c>
      <c r="F1522" t="inlineStr">
        <is>
          <t>在来・204</t>
        </is>
      </c>
      <c r="G1522" t="inlineStr">
        <is>
          <t>16511</t>
        </is>
      </c>
      <c r="H1522" t="inlineStr">
        <is>
          <t>165</t>
        </is>
      </c>
      <c r="I1522" t="inlineStr">
        <is>
          <t>11</t>
        </is>
      </c>
      <c r="J1522" t="n">
        <v>1690</v>
      </c>
      <c r="K1522" t="n">
        <v>1170</v>
      </c>
      <c r="L1522" t="inlineStr">
        <is>
          <t>在来・204</t>
        </is>
      </c>
      <c r="M1522" t="b">
        <v>1</v>
      </c>
      <c r="N1522" t="inlineStr">
        <is>
          <t>2026規格・詳細構成確認済み</t>
        </is>
      </c>
      <c r="O1522" t="n">
        <v>129</v>
      </c>
      <c r="P1522" t="n">
        <v>127</v>
      </c>
      <c r="Q1522" t="inlineStr">
        <is>
          <t>202604_LIXIL_サーモスＬ_業務用資料集_完成品価格表.pdf</t>
        </is>
      </c>
      <c r="R1522" t="inlineStr">
        <is>
          <t>v0.5詳細構成。カムラッチ｜TFT｜FIX外押縁。2026完成品価格表 P127。</t>
        </is>
      </c>
      <c r="S1522" s="42" t="inlineStr">
        <is>
          <t>無印</t>
        </is>
      </c>
      <c r="T1522" s="42" t="n">
        <v>127</v>
      </c>
      <c r="U1522" s="42" t="inlineStr">
        <is>
          <t>P127|無印</t>
        </is>
      </c>
      <c r="V1522" s="42" t="inlineStr">
        <is>
          <t>同頁凡例へ直接連動</t>
        </is>
      </c>
    </row>
    <row r="1523">
      <c r="A1523" t="inlineStr">
        <is>
          <t>SZ-SL-001520</t>
        </is>
      </c>
      <c r="B1523" t="inlineStr">
        <is>
          <t>SER-LIX-SAMOSL</t>
        </is>
      </c>
      <c r="C1523" t="inlineStr">
        <is>
          <t>WT-SL-TATE-SUBERI</t>
        </is>
      </c>
      <c r="D1523" t="inlineStr">
        <is>
          <t>縦すべり出し窓 TFT（カムラッチ）（FIX部 外押縁タイプ）</t>
        </is>
      </c>
      <c r="E1523" t="inlineStr">
        <is>
          <t>SP-SL-TATE-CAM-TFT-OUT</t>
        </is>
      </c>
      <c r="F1523" t="inlineStr">
        <is>
          <t>在来・204</t>
        </is>
      </c>
      <c r="G1523" t="inlineStr">
        <is>
          <t>16013</t>
        </is>
      </c>
      <c r="H1523" t="inlineStr">
        <is>
          <t>160</t>
        </is>
      </c>
      <c r="I1523" t="inlineStr">
        <is>
          <t>13</t>
        </is>
      </c>
      <c r="J1523" t="n">
        <v>1640</v>
      </c>
      <c r="K1523" t="n">
        <v>1370</v>
      </c>
      <c r="L1523" t="inlineStr">
        <is>
          <t>在来・204</t>
        </is>
      </c>
      <c r="M1523" t="b">
        <v>1</v>
      </c>
      <c r="N1523" t="inlineStr">
        <is>
          <t>2026規格・詳細構成確認済み</t>
        </is>
      </c>
      <c r="O1523" t="n">
        <v>129</v>
      </c>
      <c r="P1523" t="n">
        <v>127</v>
      </c>
      <c r="Q1523" t="inlineStr">
        <is>
          <t>202604_LIXIL_サーモスＬ_業務用資料集_完成品価格表.pdf</t>
        </is>
      </c>
      <c r="R1523" t="inlineStr">
        <is>
          <t>v0.5詳細構成。カムラッチ｜TFT｜FIX外押縁。2026完成品価格表 P127。</t>
        </is>
      </c>
      <c r="S1523" s="42" t="inlineStr">
        <is>
          <t>★</t>
        </is>
      </c>
      <c r="T1523" s="42" t="n">
        <v>127</v>
      </c>
      <c r="U1523" s="42" t="inlineStr">
        <is>
          <t>P127|★</t>
        </is>
      </c>
      <c r="V1523" s="42" t="inlineStr">
        <is>
          <t>同頁凡例へ直接連動</t>
        </is>
      </c>
    </row>
    <row r="1524">
      <c r="A1524" t="inlineStr">
        <is>
          <t>SZ-SL-001521</t>
        </is>
      </c>
      <c r="B1524" t="inlineStr">
        <is>
          <t>SER-LIX-SAMOSL</t>
        </is>
      </c>
      <c r="C1524" t="inlineStr">
        <is>
          <t>WT-SL-TATE-SUBERI</t>
        </is>
      </c>
      <c r="D1524" t="inlineStr">
        <is>
          <t>縦すべり出し窓 TFT（カムラッチ）（FIX部 外押縁タイプ）</t>
        </is>
      </c>
      <c r="E1524" t="inlineStr">
        <is>
          <t>SP-SL-TATE-CAM-TFT-OUT</t>
        </is>
      </c>
      <c r="F1524" t="inlineStr">
        <is>
          <t>在来・204</t>
        </is>
      </c>
      <c r="G1524" t="inlineStr">
        <is>
          <t>16513</t>
        </is>
      </c>
      <c r="H1524" t="inlineStr">
        <is>
          <t>165</t>
        </is>
      </c>
      <c r="I1524" t="inlineStr">
        <is>
          <t>13</t>
        </is>
      </c>
      <c r="J1524" t="n">
        <v>1690</v>
      </c>
      <c r="K1524" t="n">
        <v>1370</v>
      </c>
      <c r="L1524" t="inlineStr">
        <is>
          <t>在来・204</t>
        </is>
      </c>
      <c r="M1524" t="b">
        <v>1</v>
      </c>
      <c r="N1524" t="inlineStr">
        <is>
          <t>2026規格・詳細構成確認済み</t>
        </is>
      </c>
      <c r="O1524" t="n">
        <v>129</v>
      </c>
      <c r="P1524" t="n">
        <v>127</v>
      </c>
      <c r="Q1524" t="inlineStr">
        <is>
          <t>202604_LIXIL_サーモスＬ_業務用資料集_完成品価格表.pdf</t>
        </is>
      </c>
      <c r="R1524" t="inlineStr">
        <is>
          <t>v0.5詳細構成。カムラッチ｜TFT｜FIX外押縁。2026完成品価格表 P127。</t>
        </is>
      </c>
      <c r="S1524" s="42" t="inlineStr">
        <is>
          <t>★</t>
        </is>
      </c>
      <c r="T1524" s="42" t="n">
        <v>127</v>
      </c>
      <c r="U1524" s="42" t="inlineStr">
        <is>
          <t>P127|★</t>
        </is>
      </c>
      <c r="V1524" s="42" t="inlineStr">
        <is>
          <t>同頁凡例へ直接連動</t>
        </is>
      </c>
    </row>
    <row r="1525">
      <c r="A1525" t="inlineStr">
        <is>
          <t>SZ-SL-001522</t>
        </is>
      </c>
      <c r="B1525" t="inlineStr">
        <is>
          <t>SER-LIX-SAMOSL</t>
        </is>
      </c>
      <c r="C1525" t="inlineStr">
        <is>
          <t>WT-SL-TATE-SUBERI</t>
        </is>
      </c>
      <c r="D1525" t="inlineStr">
        <is>
          <t>縦すべり出し窓 TF（カムラッチ）（FIX部 内押縁タイプ）</t>
        </is>
      </c>
      <c r="E1525" t="inlineStr">
        <is>
          <t>SP-SL-TATE-CAM-TF-IN</t>
        </is>
      </c>
      <c r="F1525" t="inlineStr">
        <is>
          <t>在来・204</t>
        </is>
      </c>
      <c r="G1525" t="inlineStr">
        <is>
          <t>11409</t>
        </is>
      </c>
      <c r="H1525" t="inlineStr">
        <is>
          <t>114</t>
        </is>
      </c>
      <c r="I1525" t="inlineStr">
        <is>
          <t>09</t>
        </is>
      </c>
      <c r="J1525" t="n">
        <v>1185</v>
      </c>
      <c r="K1525" t="n">
        <v>970</v>
      </c>
      <c r="L1525" t="inlineStr">
        <is>
          <t>在来・204</t>
        </is>
      </c>
      <c r="M1525" t="b">
        <v>1</v>
      </c>
      <c r="N1525" t="inlineStr">
        <is>
          <t>2026規格・詳細構成確認済み</t>
        </is>
      </c>
      <c r="O1525" t="n">
        <v>130</v>
      </c>
      <c r="P1525" t="n">
        <v>128</v>
      </c>
      <c r="Q1525" t="inlineStr">
        <is>
          <t>202604_LIXIL_サーモスＬ_業務用資料集_完成品価格表.pdf</t>
        </is>
      </c>
      <c r="R1525" t="inlineStr">
        <is>
          <t>v0.5詳細構成。カムラッチ｜TF｜FIX内押縁。2026完成品価格表 P128。</t>
        </is>
      </c>
      <c r="S1525" s="42" t="inlineStr">
        <is>
          <t>無印</t>
        </is>
      </c>
      <c r="T1525" s="42" t="n">
        <v>128</v>
      </c>
      <c r="U1525" s="42" t="inlineStr">
        <is>
          <t>P128|無印</t>
        </is>
      </c>
      <c r="V1525" s="42" t="inlineStr">
        <is>
          <t>同頁凡例へ直接連動</t>
        </is>
      </c>
    </row>
    <row r="1526">
      <c r="A1526" t="inlineStr">
        <is>
          <t>SZ-SL-001523</t>
        </is>
      </c>
      <c r="B1526" t="inlineStr">
        <is>
          <t>SER-LIX-SAMOSL</t>
        </is>
      </c>
      <c r="C1526" t="inlineStr">
        <is>
          <t>WT-SL-TATE-SUBERI</t>
        </is>
      </c>
      <c r="D1526" t="inlineStr">
        <is>
          <t>縦すべり出し窓 TF（カムラッチ）（FIX部 内押縁タイプ）</t>
        </is>
      </c>
      <c r="E1526" t="inlineStr">
        <is>
          <t>SP-SL-TATE-CAM-TF-IN</t>
        </is>
      </c>
      <c r="F1526" t="inlineStr">
        <is>
          <t>在来・204</t>
        </is>
      </c>
      <c r="G1526" t="inlineStr">
        <is>
          <t>11909</t>
        </is>
      </c>
      <c r="H1526" t="inlineStr">
        <is>
          <t>119</t>
        </is>
      </c>
      <c r="I1526" t="inlineStr">
        <is>
          <t>09</t>
        </is>
      </c>
      <c r="J1526" t="n">
        <v>1235</v>
      </c>
      <c r="K1526" t="n">
        <v>970</v>
      </c>
      <c r="L1526" t="inlineStr">
        <is>
          <t>在来・204</t>
        </is>
      </c>
      <c r="M1526" t="b">
        <v>1</v>
      </c>
      <c r="N1526" t="inlineStr">
        <is>
          <t>2026規格・詳細構成確認済み</t>
        </is>
      </c>
      <c r="O1526" t="n">
        <v>130</v>
      </c>
      <c r="P1526" t="n">
        <v>128</v>
      </c>
      <c r="Q1526" t="inlineStr">
        <is>
          <t>202604_LIXIL_サーモスＬ_業務用資料集_完成品価格表.pdf</t>
        </is>
      </c>
      <c r="R1526" t="inlineStr">
        <is>
          <t>v0.5詳細構成。カムラッチ｜TF｜FIX内押縁。2026完成品価格表 P128。</t>
        </is>
      </c>
      <c r="S1526" s="42" t="inlineStr">
        <is>
          <t>無印</t>
        </is>
      </c>
      <c r="T1526" s="42" t="n">
        <v>128</v>
      </c>
      <c r="U1526" s="42" t="inlineStr">
        <is>
          <t>P128|無印</t>
        </is>
      </c>
      <c r="V1526" s="42" t="inlineStr">
        <is>
          <t>同頁凡例へ直接連動</t>
        </is>
      </c>
    </row>
    <row r="1527">
      <c r="A1527" t="inlineStr">
        <is>
          <t>SZ-SL-001524</t>
        </is>
      </c>
      <c r="B1527" t="inlineStr">
        <is>
          <t>SER-LIX-SAMOSL</t>
        </is>
      </c>
      <c r="C1527" t="inlineStr">
        <is>
          <t>WT-SL-TATE-SUBERI</t>
        </is>
      </c>
      <c r="D1527" t="inlineStr">
        <is>
          <t>縦すべり出し窓 TF（カムラッチ）（FIX部 内押縁タイプ）</t>
        </is>
      </c>
      <c r="E1527" t="inlineStr">
        <is>
          <t>SP-SL-TATE-CAM-TF-IN</t>
        </is>
      </c>
      <c r="F1527" t="inlineStr">
        <is>
          <t>在来・204</t>
        </is>
      </c>
      <c r="G1527" t="inlineStr">
        <is>
          <t>16009</t>
        </is>
      </c>
      <c r="H1527" t="inlineStr">
        <is>
          <t>160</t>
        </is>
      </c>
      <c r="I1527" t="inlineStr">
        <is>
          <t>09</t>
        </is>
      </c>
      <c r="J1527" t="n">
        <v>1640</v>
      </c>
      <c r="K1527" t="n">
        <v>970</v>
      </c>
      <c r="L1527" t="inlineStr">
        <is>
          <t>在来・204</t>
        </is>
      </c>
      <c r="M1527" t="b">
        <v>1</v>
      </c>
      <c r="N1527" t="inlineStr">
        <is>
          <t>2026規格・詳細構成確認済み</t>
        </is>
      </c>
      <c r="O1527" t="n">
        <v>130</v>
      </c>
      <c r="P1527" t="n">
        <v>128</v>
      </c>
      <c r="Q1527" t="inlineStr">
        <is>
          <t>202604_LIXIL_サーモスＬ_業務用資料集_完成品価格表.pdf</t>
        </is>
      </c>
      <c r="R1527" t="inlineStr">
        <is>
          <t>v0.5詳細構成。カムラッチ｜TF｜FIX内押縁。2026完成品価格表 P128。</t>
        </is>
      </c>
      <c r="S1527" s="42" t="inlineStr">
        <is>
          <t>無印</t>
        </is>
      </c>
      <c r="T1527" s="42" t="n">
        <v>128</v>
      </c>
      <c r="U1527" s="42" t="inlineStr">
        <is>
          <t>P128|無印</t>
        </is>
      </c>
      <c r="V1527" s="42" t="inlineStr">
        <is>
          <t>同頁凡例へ直接連動</t>
        </is>
      </c>
    </row>
    <row r="1528">
      <c r="A1528" t="inlineStr">
        <is>
          <t>SZ-SL-001525</t>
        </is>
      </c>
      <c r="B1528" t="inlineStr">
        <is>
          <t>SER-LIX-SAMOSL</t>
        </is>
      </c>
      <c r="C1528" t="inlineStr">
        <is>
          <t>WT-SL-TATE-SUBERI</t>
        </is>
      </c>
      <c r="D1528" t="inlineStr">
        <is>
          <t>縦すべり出し窓 TF（カムラッチ）（FIX部 内押縁タイプ）</t>
        </is>
      </c>
      <c r="E1528" t="inlineStr">
        <is>
          <t>SP-SL-TATE-CAM-TF-IN</t>
        </is>
      </c>
      <c r="F1528" t="inlineStr">
        <is>
          <t>在来・204</t>
        </is>
      </c>
      <c r="G1528" t="inlineStr">
        <is>
          <t>16509</t>
        </is>
      </c>
      <c r="H1528" t="inlineStr">
        <is>
          <t>165</t>
        </is>
      </c>
      <c r="I1528" t="inlineStr">
        <is>
          <t>09</t>
        </is>
      </c>
      <c r="J1528" t="n">
        <v>1690</v>
      </c>
      <c r="K1528" t="n">
        <v>970</v>
      </c>
      <c r="L1528" t="inlineStr">
        <is>
          <t>在来・204</t>
        </is>
      </c>
      <c r="M1528" t="b">
        <v>1</v>
      </c>
      <c r="N1528" t="inlineStr">
        <is>
          <t>2026規格・詳細構成確認済み</t>
        </is>
      </c>
      <c r="O1528" t="n">
        <v>130</v>
      </c>
      <c r="P1528" t="n">
        <v>128</v>
      </c>
      <c r="Q1528" t="inlineStr">
        <is>
          <t>202604_LIXIL_サーモスＬ_業務用資料集_完成品価格表.pdf</t>
        </is>
      </c>
      <c r="R1528" t="inlineStr">
        <is>
          <t>v0.5詳細構成。カムラッチ｜TF｜FIX内押縁。2026完成品価格表 P128。</t>
        </is>
      </c>
      <c r="S1528" s="42" t="inlineStr">
        <is>
          <t>無印</t>
        </is>
      </c>
      <c r="T1528" s="42" t="n">
        <v>128</v>
      </c>
      <c r="U1528" s="42" t="inlineStr">
        <is>
          <t>P128|無印</t>
        </is>
      </c>
      <c r="V1528" s="42" t="inlineStr">
        <is>
          <t>同頁凡例へ直接連動</t>
        </is>
      </c>
    </row>
    <row r="1529">
      <c r="A1529" t="inlineStr">
        <is>
          <t>SZ-SL-001526</t>
        </is>
      </c>
      <c r="B1529" t="inlineStr">
        <is>
          <t>SER-LIX-SAMOSL</t>
        </is>
      </c>
      <c r="C1529" t="inlineStr">
        <is>
          <t>WT-SL-TATE-SUBERI</t>
        </is>
      </c>
      <c r="D1529" t="inlineStr">
        <is>
          <t>縦すべり出し窓 TF（カムラッチ）（FIX部 内押縁タイプ）</t>
        </is>
      </c>
      <c r="E1529" t="inlineStr">
        <is>
          <t>SP-SL-TATE-CAM-TF-IN</t>
        </is>
      </c>
      <c r="F1529" t="inlineStr">
        <is>
          <t>在来・204</t>
        </is>
      </c>
      <c r="G1529" t="inlineStr">
        <is>
          <t>11411</t>
        </is>
      </c>
      <c r="H1529" t="inlineStr">
        <is>
          <t>114</t>
        </is>
      </c>
      <c r="I1529" t="inlineStr">
        <is>
          <t>11</t>
        </is>
      </c>
      <c r="J1529" t="n">
        <v>1185</v>
      </c>
      <c r="K1529" t="n">
        <v>1170</v>
      </c>
      <c r="L1529" t="inlineStr">
        <is>
          <t>在来・204</t>
        </is>
      </c>
      <c r="M1529" t="b">
        <v>1</v>
      </c>
      <c r="N1529" t="inlineStr">
        <is>
          <t>2026規格・詳細構成確認済み</t>
        </is>
      </c>
      <c r="O1529" t="n">
        <v>130</v>
      </c>
      <c r="P1529" t="n">
        <v>128</v>
      </c>
      <c r="Q1529" t="inlineStr">
        <is>
          <t>202604_LIXIL_サーモスＬ_業務用資料集_完成品価格表.pdf</t>
        </is>
      </c>
      <c r="R1529" t="inlineStr">
        <is>
          <t>v0.5詳細構成。カムラッチ｜TF｜FIX内押縁。2026完成品価格表 P128。</t>
        </is>
      </c>
      <c r="S1529" s="42" t="inlineStr">
        <is>
          <t>無印</t>
        </is>
      </c>
      <c r="T1529" s="42" t="n">
        <v>128</v>
      </c>
      <c r="U1529" s="42" t="inlineStr">
        <is>
          <t>P128|無印</t>
        </is>
      </c>
      <c r="V1529" s="42" t="inlineStr">
        <is>
          <t>同頁凡例へ直接連動</t>
        </is>
      </c>
    </row>
    <row r="1530">
      <c r="A1530" t="inlineStr">
        <is>
          <t>SZ-SL-001527</t>
        </is>
      </c>
      <c r="B1530" t="inlineStr">
        <is>
          <t>SER-LIX-SAMOSL</t>
        </is>
      </c>
      <c r="C1530" t="inlineStr">
        <is>
          <t>WT-SL-TATE-SUBERI</t>
        </is>
      </c>
      <c r="D1530" t="inlineStr">
        <is>
          <t>縦すべり出し窓 TF（カムラッチ）（FIX部 内押縁タイプ）</t>
        </is>
      </c>
      <c r="E1530" t="inlineStr">
        <is>
          <t>SP-SL-TATE-CAM-TF-IN</t>
        </is>
      </c>
      <c r="F1530" t="inlineStr">
        <is>
          <t>在来・204</t>
        </is>
      </c>
      <c r="G1530" t="inlineStr">
        <is>
          <t>11911</t>
        </is>
      </c>
      <c r="H1530" t="inlineStr">
        <is>
          <t>119</t>
        </is>
      </c>
      <c r="I1530" t="inlineStr">
        <is>
          <t>11</t>
        </is>
      </c>
      <c r="J1530" t="n">
        <v>1235</v>
      </c>
      <c r="K1530" t="n">
        <v>1170</v>
      </c>
      <c r="L1530" t="inlineStr">
        <is>
          <t>在来・204</t>
        </is>
      </c>
      <c r="M1530" t="b">
        <v>1</v>
      </c>
      <c r="N1530" t="inlineStr">
        <is>
          <t>2026規格・詳細構成確認済み</t>
        </is>
      </c>
      <c r="O1530" t="n">
        <v>130</v>
      </c>
      <c r="P1530" t="n">
        <v>128</v>
      </c>
      <c r="Q1530" t="inlineStr">
        <is>
          <t>202604_LIXIL_サーモスＬ_業務用資料集_完成品価格表.pdf</t>
        </is>
      </c>
      <c r="R1530" t="inlineStr">
        <is>
          <t>v0.5詳細構成。カムラッチ｜TF｜FIX内押縁。2026完成品価格表 P128。</t>
        </is>
      </c>
      <c r="S1530" s="42" t="inlineStr">
        <is>
          <t>無印</t>
        </is>
      </c>
      <c r="T1530" s="42" t="n">
        <v>128</v>
      </c>
      <c r="U1530" s="42" t="inlineStr">
        <is>
          <t>P128|無印</t>
        </is>
      </c>
      <c r="V1530" s="42" t="inlineStr">
        <is>
          <t>同頁凡例へ直接連動</t>
        </is>
      </c>
    </row>
    <row r="1531">
      <c r="A1531" t="inlineStr">
        <is>
          <t>SZ-SL-001528</t>
        </is>
      </c>
      <c r="B1531" t="inlineStr">
        <is>
          <t>SER-LIX-SAMOSL</t>
        </is>
      </c>
      <c r="C1531" t="inlineStr">
        <is>
          <t>WT-SL-TATE-SUBERI</t>
        </is>
      </c>
      <c r="D1531" t="inlineStr">
        <is>
          <t>縦すべり出し窓 TF（カムラッチ）（FIX部 内押縁タイプ）</t>
        </is>
      </c>
      <c r="E1531" t="inlineStr">
        <is>
          <t>SP-SL-TATE-CAM-TF-IN</t>
        </is>
      </c>
      <c r="F1531" t="inlineStr">
        <is>
          <t>在来・204</t>
        </is>
      </c>
      <c r="G1531" t="inlineStr">
        <is>
          <t>16011</t>
        </is>
      </c>
      <c r="H1531" t="inlineStr">
        <is>
          <t>160</t>
        </is>
      </c>
      <c r="I1531" t="inlineStr">
        <is>
          <t>11</t>
        </is>
      </c>
      <c r="J1531" t="n">
        <v>1640</v>
      </c>
      <c r="K1531" t="n">
        <v>1170</v>
      </c>
      <c r="L1531" t="inlineStr">
        <is>
          <t>在来・204</t>
        </is>
      </c>
      <c r="M1531" t="b">
        <v>1</v>
      </c>
      <c r="N1531" t="inlineStr">
        <is>
          <t>2026規格・詳細構成確認済み</t>
        </is>
      </c>
      <c r="O1531" t="n">
        <v>130</v>
      </c>
      <c r="P1531" t="n">
        <v>128</v>
      </c>
      <c r="Q1531" t="inlineStr">
        <is>
          <t>202604_LIXIL_サーモスＬ_業務用資料集_完成品価格表.pdf</t>
        </is>
      </c>
      <c r="R1531" t="inlineStr">
        <is>
          <t>v0.5詳細構成。カムラッチ｜TF｜FIX内押縁。2026完成品価格表 P128。</t>
        </is>
      </c>
      <c r="S1531" s="42" t="inlineStr">
        <is>
          <t>★</t>
        </is>
      </c>
      <c r="T1531" s="42" t="n">
        <v>128</v>
      </c>
      <c r="U1531" s="42" t="inlineStr">
        <is>
          <t>P128|★</t>
        </is>
      </c>
      <c r="V1531" s="42" t="inlineStr">
        <is>
          <t>同頁凡例へ直接連動</t>
        </is>
      </c>
    </row>
    <row r="1532">
      <c r="A1532" t="inlineStr">
        <is>
          <t>SZ-SL-001529</t>
        </is>
      </c>
      <c r="B1532" t="inlineStr">
        <is>
          <t>SER-LIX-SAMOSL</t>
        </is>
      </c>
      <c r="C1532" t="inlineStr">
        <is>
          <t>WT-SL-TATE-SUBERI</t>
        </is>
      </c>
      <c r="D1532" t="inlineStr">
        <is>
          <t>縦すべり出し窓 TF（カムラッチ）（FIX部 内押縁タイプ）</t>
        </is>
      </c>
      <c r="E1532" t="inlineStr">
        <is>
          <t>SP-SL-TATE-CAM-TF-IN</t>
        </is>
      </c>
      <c r="F1532" t="inlineStr">
        <is>
          <t>在来・204</t>
        </is>
      </c>
      <c r="G1532" t="inlineStr">
        <is>
          <t>16511</t>
        </is>
      </c>
      <c r="H1532" t="inlineStr">
        <is>
          <t>165</t>
        </is>
      </c>
      <c r="I1532" t="inlineStr">
        <is>
          <t>11</t>
        </is>
      </c>
      <c r="J1532" t="n">
        <v>1690</v>
      </c>
      <c r="K1532" t="n">
        <v>1170</v>
      </c>
      <c r="L1532" t="inlineStr">
        <is>
          <t>在来・204</t>
        </is>
      </c>
      <c r="M1532" t="b">
        <v>1</v>
      </c>
      <c r="N1532" t="inlineStr">
        <is>
          <t>2026規格・詳細構成確認済み</t>
        </is>
      </c>
      <c r="O1532" t="n">
        <v>130</v>
      </c>
      <c r="P1532" t="n">
        <v>128</v>
      </c>
      <c r="Q1532" t="inlineStr">
        <is>
          <t>202604_LIXIL_サーモスＬ_業務用資料集_完成品価格表.pdf</t>
        </is>
      </c>
      <c r="R1532" t="inlineStr">
        <is>
          <t>v0.5詳細構成。カムラッチ｜TF｜FIX内押縁。2026完成品価格表 P128。</t>
        </is>
      </c>
      <c r="S1532" s="42" t="inlineStr">
        <is>
          <t>★</t>
        </is>
      </c>
      <c r="T1532" s="42" t="n">
        <v>128</v>
      </c>
      <c r="U1532" s="42" t="inlineStr">
        <is>
          <t>P128|★</t>
        </is>
      </c>
      <c r="V1532" s="42" t="inlineStr">
        <is>
          <t>同頁凡例へ直接連動</t>
        </is>
      </c>
    </row>
    <row r="1533">
      <c r="A1533" t="inlineStr">
        <is>
          <t>SZ-SL-001530</t>
        </is>
      </c>
      <c r="B1533" t="inlineStr">
        <is>
          <t>SER-LIX-SAMOSL</t>
        </is>
      </c>
      <c r="C1533" t="inlineStr">
        <is>
          <t>WT-SL-TATE-SUBERI</t>
        </is>
      </c>
      <c r="D1533" t="inlineStr">
        <is>
          <t>縦すべり出し窓 TF（カムラッチ）（FIX部 内押縁タイプ）</t>
        </is>
      </c>
      <c r="E1533" t="inlineStr">
        <is>
          <t>SP-SL-TATE-CAM-TF-IN</t>
        </is>
      </c>
      <c r="F1533" t="inlineStr">
        <is>
          <t>在来・204</t>
        </is>
      </c>
      <c r="G1533" t="inlineStr">
        <is>
          <t>11413</t>
        </is>
      </c>
      <c r="H1533" t="inlineStr">
        <is>
          <t>114</t>
        </is>
      </c>
      <c r="I1533" t="inlineStr">
        <is>
          <t>13</t>
        </is>
      </c>
      <c r="J1533" t="n">
        <v>1185</v>
      </c>
      <c r="K1533" t="n">
        <v>1370</v>
      </c>
      <c r="L1533" t="inlineStr">
        <is>
          <t>在来・204</t>
        </is>
      </c>
      <c r="M1533" t="b">
        <v>1</v>
      </c>
      <c r="N1533" t="inlineStr">
        <is>
          <t>2026規格・詳細構成確認済み</t>
        </is>
      </c>
      <c r="O1533" t="n">
        <v>130</v>
      </c>
      <c r="P1533" t="n">
        <v>128</v>
      </c>
      <c r="Q1533" t="inlineStr">
        <is>
          <t>202604_LIXIL_サーモスＬ_業務用資料集_完成品価格表.pdf</t>
        </is>
      </c>
      <c r="R1533" t="inlineStr">
        <is>
          <t>v0.5詳細構成。カムラッチ｜TF｜FIX内押縁。2026完成品価格表 P128。</t>
        </is>
      </c>
      <c r="S1533" s="42" t="inlineStr">
        <is>
          <t>無印</t>
        </is>
      </c>
      <c r="T1533" s="42" t="n">
        <v>128</v>
      </c>
      <c r="U1533" s="42" t="inlineStr">
        <is>
          <t>P128|無印</t>
        </is>
      </c>
      <c r="V1533" s="42" t="inlineStr">
        <is>
          <t>同頁凡例へ直接連動</t>
        </is>
      </c>
    </row>
    <row r="1534">
      <c r="A1534" t="inlineStr">
        <is>
          <t>SZ-SL-001531</t>
        </is>
      </c>
      <c r="B1534" t="inlineStr">
        <is>
          <t>SER-LIX-SAMOSL</t>
        </is>
      </c>
      <c r="C1534" t="inlineStr">
        <is>
          <t>WT-SL-TATE-SUBERI</t>
        </is>
      </c>
      <c r="D1534" t="inlineStr">
        <is>
          <t>縦すべり出し窓 TF（カムラッチ）（FIX部 内押縁タイプ）</t>
        </is>
      </c>
      <c r="E1534" t="inlineStr">
        <is>
          <t>SP-SL-TATE-CAM-TF-IN</t>
        </is>
      </c>
      <c r="F1534" t="inlineStr">
        <is>
          <t>在来・204</t>
        </is>
      </c>
      <c r="G1534" t="inlineStr">
        <is>
          <t>11913</t>
        </is>
      </c>
      <c r="H1534" t="inlineStr">
        <is>
          <t>119</t>
        </is>
      </c>
      <c r="I1534" t="inlineStr">
        <is>
          <t>13</t>
        </is>
      </c>
      <c r="J1534" t="n">
        <v>1235</v>
      </c>
      <c r="K1534" t="n">
        <v>1370</v>
      </c>
      <c r="L1534" t="inlineStr">
        <is>
          <t>在来・204</t>
        </is>
      </c>
      <c r="M1534" t="b">
        <v>1</v>
      </c>
      <c r="N1534" t="inlineStr">
        <is>
          <t>2026規格・詳細構成確認済み</t>
        </is>
      </c>
      <c r="O1534" t="n">
        <v>130</v>
      </c>
      <c r="P1534" t="n">
        <v>128</v>
      </c>
      <c r="Q1534" t="inlineStr">
        <is>
          <t>202604_LIXIL_サーモスＬ_業務用資料集_完成品価格表.pdf</t>
        </is>
      </c>
      <c r="R1534" t="inlineStr">
        <is>
          <t>v0.5詳細構成。カムラッチ｜TF｜FIX内押縁。2026完成品価格表 P128。</t>
        </is>
      </c>
      <c r="S1534" s="42" t="inlineStr">
        <is>
          <t>無印</t>
        </is>
      </c>
      <c r="T1534" s="42" t="n">
        <v>128</v>
      </c>
      <c r="U1534" s="42" t="inlineStr">
        <is>
          <t>P128|無印</t>
        </is>
      </c>
      <c r="V1534" s="42" t="inlineStr">
        <is>
          <t>同頁凡例へ直接連動</t>
        </is>
      </c>
    </row>
    <row r="1535">
      <c r="A1535" t="inlineStr">
        <is>
          <t>SZ-SL-001532</t>
        </is>
      </c>
      <c r="B1535" t="inlineStr">
        <is>
          <t>SER-LIX-SAMOSL</t>
        </is>
      </c>
      <c r="C1535" t="inlineStr">
        <is>
          <t>WT-SL-TATE-SUBERI</t>
        </is>
      </c>
      <c r="D1535" t="inlineStr">
        <is>
          <t>縦すべり出し窓 TF（カムラッチ）（FIX部 内押縁タイプ）</t>
        </is>
      </c>
      <c r="E1535" t="inlineStr">
        <is>
          <t>SP-SL-TATE-CAM-TF-IN</t>
        </is>
      </c>
      <c r="F1535" t="inlineStr">
        <is>
          <t>在来・204</t>
        </is>
      </c>
      <c r="G1535" t="inlineStr">
        <is>
          <t>16013</t>
        </is>
      </c>
      <c r="H1535" t="inlineStr">
        <is>
          <t>160</t>
        </is>
      </c>
      <c r="I1535" t="inlineStr">
        <is>
          <t>13</t>
        </is>
      </c>
      <c r="J1535" t="n">
        <v>1640</v>
      </c>
      <c r="K1535" t="n">
        <v>1370</v>
      </c>
      <c r="L1535" t="inlineStr">
        <is>
          <t>在来・204</t>
        </is>
      </c>
      <c r="M1535" t="b">
        <v>1</v>
      </c>
      <c r="N1535" t="inlineStr">
        <is>
          <t>2026規格・詳細構成確認済み</t>
        </is>
      </c>
      <c r="O1535" t="n">
        <v>130</v>
      </c>
      <c r="P1535" t="n">
        <v>128</v>
      </c>
      <c r="Q1535" t="inlineStr">
        <is>
          <t>202604_LIXIL_サーモスＬ_業務用資料集_完成品価格表.pdf</t>
        </is>
      </c>
      <c r="R1535" t="inlineStr">
        <is>
          <t>v0.5詳細構成。カムラッチ｜TF｜FIX内押縁。2026完成品価格表 P128。</t>
        </is>
      </c>
      <c r="S1535" s="42" t="inlineStr">
        <is>
          <t>★</t>
        </is>
      </c>
      <c r="T1535" s="42" t="n">
        <v>128</v>
      </c>
      <c r="U1535" s="42" t="inlineStr">
        <is>
          <t>P128|★</t>
        </is>
      </c>
      <c r="V1535" s="42" t="inlineStr">
        <is>
          <t>同頁凡例へ直接連動</t>
        </is>
      </c>
    </row>
    <row r="1536">
      <c r="A1536" t="inlineStr">
        <is>
          <t>SZ-SL-001533</t>
        </is>
      </c>
      <c r="B1536" t="inlineStr">
        <is>
          <t>SER-LIX-SAMOSL</t>
        </is>
      </c>
      <c r="C1536" t="inlineStr">
        <is>
          <t>WT-SL-TATE-SUBERI</t>
        </is>
      </c>
      <c r="D1536" t="inlineStr">
        <is>
          <t>縦すべり出し窓 TF（カムラッチ）（FIX部 内押縁タイプ）</t>
        </is>
      </c>
      <c r="E1536" t="inlineStr">
        <is>
          <t>SP-SL-TATE-CAM-TF-IN</t>
        </is>
      </c>
      <c r="F1536" t="inlineStr">
        <is>
          <t>在来・204</t>
        </is>
      </c>
      <c r="G1536" t="inlineStr">
        <is>
          <t>16513</t>
        </is>
      </c>
      <c r="H1536" t="inlineStr">
        <is>
          <t>165</t>
        </is>
      </c>
      <c r="I1536" t="inlineStr">
        <is>
          <t>13</t>
        </is>
      </c>
      <c r="J1536" t="n">
        <v>1690</v>
      </c>
      <c r="K1536" t="n">
        <v>1370</v>
      </c>
      <c r="L1536" t="inlineStr">
        <is>
          <t>在来・204</t>
        </is>
      </c>
      <c r="M1536" t="b">
        <v>1</v>
      </c>
      <c r="N1536" t="inlineStr">
        <is>
          <t>2026規格・詳細構成確認済み</t>
        </is>
      </c>
      <c r="O1536" t="n">
        <v>130</v>
      </c>
      <c r="P1536" t="n">
        <v>128</v>
      </c>
      <c r="Q1536" t="inlineStr">
        <is>
          <t>202604_LIXIL_サーモスＬ_業務用資料集_完成品価格表.pdf</t>
        </is>
      </c>
      <c r="R1536" t="inlineStr">
        <is>
          <t>v0.5詳細構成。カムラッチ｜TF｜FIX内押縁。2026完成品価格表 P128。</t>
        </is>
      </c>
      <c r="S1536" s="42" t="inlineStr">
        <is>
          <t>★</t>
        </is>
      </c>
      <c r="T1536" s="42" t="n">
        <v>128</v>
      </c>
      <c r="U1536" s="42" t="inlineStr">
        <is>
          <t>P128|★</t>
        </is>
      </c>
      <c r="V1536" s="42" t="inlineStr">
        <is>
          <t>同頁凡例へ直接連動</t>
        </is>
      </c>
    </row>
    <row r="1537">
      <c r="A1537" t="inlineStr">
        <is>
          <t>SZ-SL-001534</t>
        </is>
      </c>
      <c r="B1537" t="inlineStr">
        <is>
          <t>SER-LIX-SAMOSL</t>
        </is>
      </c>
      <c r="C1537" t="inlineStr">
        <is>
          <t>WT-SL-TATE-SUBERI</t>
        </is>
      </c>
      <c r="D1537" t="inlineStr">
        <is>
          <t>縦すべり出し窓 TFT（カムラッチ）（FIX部 内押縁タイプ）</t>
        </is>
      </c>
      <c r="E1537" t="inlineStr">
        <is>
          <t>SP-SL-TATE-CAM-TFT-IN</t>
        </is>
      </c>
      <c r="F1537" t="inlineStr">
        <is>
          <t>在来・204</t>
        </is>
      </c>
      <c r="G1537" t="inlineStr">
        <is>
          <t>16009</t>
        </is>
      </c>
      <c r="H1537" t="inlineStr">
        <is>
          <t>160</t>
        </is>
      </c>
      <c r="I1537" t="inlineStr">
        <is>
          <t>09</t>
        </is>
      </c>
      <c r="J1537" t="n">
        <v>1640</v>
      </c>
      <c r="K1537" t="n">
        <v>970</v>
      </c>
      <c r="L1537" t="inlineStr">
        <is>
          <t>在来・204</t>
        </is>
      </c>
      <c r="M1537" t="b">
        <v>1</v>
      </c>
      <c r="N1537" t="inlineStr">
        <is>
          <t>2026規格・詳細構成確認済み</t>
        </is>
      </c>
      <c r="O1537" t="n">
        <v>131</v>
      </c>
      <c r="P1537" t="n">
        <v>129</v>
      </c>
      <c r="Q1537" t="inlineStr">
        <is>
          <t>202604_LIXIL_サーモスＬ_業務用資料集_完成品価格表.pdf</t>
        </is>
      </c>
      <c r="R1537" t="inlineStr">
        <is>
          <t>v0.5詳細構成。カムラッチ｜TFT｜FIX内押縁。2026完成品価格表 P129。</t>
        </is>
      </c>
      <c r="S1537" s="42" t="inlineStr">
        <is>
          <t>無印</t>
        </is>
      </c>
      <c r="T1537" s="42" t="n">
        <v>129</v>
      </c>
      <c r="U1537" s="42" t="inlineStr">
        <is>
          <t>P129|無印</t>
        </is>
      </c>
      <c r="V1537" s="42" t="inlineStr">
        <is>
          <t>同頁凡例へ直接連動</t>
        </is>
      </c>
    </row>
    <row r="1538">
      <c r="A1538" t="inlineStr">
        <is>
          <t>SZ-SL-001535</t>
        </is>
      </c>
      <c r="B1538" t="inlineStr">
        <is>
          <t>SER-LIX-SAMOSL</t>
        </is>
      </c>
      <c r="C1538" t="inlineStr">
        <is>
          <t>WT-SL-TATE-SUBERI</t>
        </is>
      </c>
      <c r="D1538" t="inlineStr">
        <is>
          <t>縦すべり出し窓 TFT（カムラッチ）（FIX部 内押縁タイプ）</t>
        </is>
      </c>
      <c r="E1538" t="inlineStr">
        <is>
          <t>SP-SL-TATE-CAM-TFT-IN</t>
        </is>
      </c>
      <c r="F1538" t="inlineStr">
        <is>
          <t>在来・204</t>
        </is>
      </c>
      <c r="G1538" t="inlineStr">
        <is>
          <t>16509</t>
        </is>
      </c>
      <c r="H1538" t="inlineStr">
        <is>
          <t>165</t>
        </is>
      </c>
      <c r="I1538" t="inlineStr">
        <is>
          <t>09</t>
        </is>
      </c>
      <c r="J1538" t="n">
        <v>1690</v>
      </c>
      <c r="K1538" t="n">
        <v>970</v>
      </c>
      <c r="L1538" t="inlineStr">
        <is>
          <t>在来・204</t>
        </is>
      </c>
      <c r="M1538" t="b">
        <v>1</v>
      </c>
      <c r="N1538" t="inlineStr">
        <is>
          <t>2026規格・詳細構成確認済み</t>
        </is>
      </c>
      <c r="O1538" t="n">
        <v>131</v>
      </c>
      <c r="P1538" t="n">
        <v>129</v>
      </c>
      <c r="Q1538" t="inlineStr">
        <is>
          <t>202604_LIXIL_サーモスＬ_業務用資料集_完成品価格表.pdf</t>
        </is>
      </c>
      <c r="R1538" t="inlineStr">
        <is>
          <t>v0.5詳細構成。カムラッチ｜TFT｜FIX内押縁。2026完成品価格表 P129。</t>
        </is>
      </c>
      <c r="S1538" s="42" t="inlineStr">
        <is>
          <t>無印</t>
        </is>
      </c>
      <c r="T1538" s="42" t="n">
        <v>129</v>
      </c>
      <c r="U1538" s="42" t="inlineStr">
        <is>
          <t>P129|無印</t>
        </is>
      </c>
      <c r="V1538" s="42" t="inlineStr">
        <is>
          <t>同頁凡例へ直接連動</t>
        </is>
      </c>
    </row>
    <row r="1539">
      <c r="A1539" t="inlineStr">
        <is>
          <t>SZ-SL-001536</t>
        </is>
      </c>
      <c r="B1539" t="inlineStr">
        <is>
          <t>SER-LIX-SAMOSL</t>
        </is>
      </c>
      <c r="C1539" t="inlineStr">
        <is>
          <t>WT-SL-TATE-SUBERI</t>
        </is>
      </c>
      <c r="D1539" t="inlineStr">
        <is>
          <t>縦すべり出し窓 TFT（カムラッチ）（FIX部 内押縁タイプ）</t>
        </is>
      </c>
      <c r="E1539" t="inlineStr">
        <is>
          <t>SP-SL-TATE-CAM-TFT-IN</t>
        </is>
      </c>
      <c r="F1539" t="inlineStr">
        <is>
          <t>在来・204</t>
        </is>
      </c>
      <c r="G1539" t="inlineStr">
        <is>
          <t>16011</t>
        </is>
      </c>
      <c r="H1539" t="inlineStr">
        <is>
          <t>160</t>
        </is>
      </c>
      <c r="I1539" t="inlineStr">
        <is>
          <t>11</t>
        </is>
      </c>
      <c r="J1539" t="n">
        <v>1640</v>
      </c>
      <c r="K1539" t="n">
        <v>1170</v>
      </c>
      <c r="L1539" t="inlineStr">
        <is>
          <t>在来・204</t>
        </is>
      </c>
      <c r="M1539" t="b">
        <v>1</v>
      </c>
      <c r="N1539" t="inlineStr">
        <is>
          <t>2026規格・詳細構成確認済み</t>
        </is>
      </c>
      <c r="O1539" t="n">
        <v>131</v>
      </c>
      <c r="P1539" t="n">
        <v>129</v>
      </c>
      <c r="Q1539" t="inlineStr">
        <is>
          <t>202604_LIXIL_サーモスＬ_業務用資料集_完成品価格表.pdf</t>
        </is>
      </c>
      <c r="R1539" t="inlineStr">
        <is>
          <t>v0.5詳細構成。カムラッチ｜TFT｜FIX内押縁。2026完成品価格表 P129。</t>
        </is>
      </c>
      <c r="S1539" s="42" t="inlineStr">
        <is>
          <t>無印</t>
        </is>
      </c>
      <c r="T1539" s="42" t="n">
        <v>129</v>
      </c>
      <c r="U1539" s="42" t="inlineStr">
        <is>
          <t>P129|無印</t>
        </is>
      </c>
      <c r="V1539" s="42" t="inlineStr">
        <is>
          <t>同頁凡例へ直接連動</t>
        </is>
      </c>
    </row>
    <row r="1540">
      <c r="A1540" t="inlineStr">
        <is>
          <t>SZ-SL-001537</t>
        </is>
      </c>
      <c r="B1540" t="inlineStr">
        <is>
          <t>SER-LIX-SAMOSL</t>
        </is>
      </c>
      <c r="C1540" t="inlineStr">
        <is>
          <t>WT-SL-TATE-SUBERI</t>
        </is>
      </c>
      <c r="D1540" t="inlineStr">
        <is>
          <t>縦すべり出し窓 TFT（カムラッチ）（FIX部 内押縁タイプ）</t>
        </is>
      </c>
      <c r="E1540" t="inlineStr">
        <is>
          <t>SP-SL-TATE-CAM-TFT-IN</t>
        </is>
      </c>
      <c r="F1540" t="inlineStr">
        <is>
          <t>在来・204</t>
        </is>
      </c>
      <c r="G1540" t="inlineStr">
        <is>
          <t>16511</t>
        </is>
      </c>
      <c r="H1540" t="inlineStr">
        <is>
          <t>165</t>
        </is>
      </c>
      <c r="I1540" t="inlineStr">
        <is>
          <t>11</t>
        </is>
      </c>
      <c r="J1540" t="n">
        <v>1690</v>
      </c>
      <c r="K1540" t="n">
        <v>1170</v>
      </c>
      <c r="L1540" t="inlineStr">
        <is>
          <t>在来・204</t>
        </is>
      </c>
      <c r="M1540" t="b">
        <v>1</v>
      </c>
      <c r="N1540" t="inlineStr">
        <is>
          <t>2026規格・詳細構成確認済み</t>
        </is>
      </c>
      <c r="O1540" t="n">
        <v>131</v>
      </c>
      <c r="P1540" t="n">
        <v>129</v>
      </c>
      <c r="Q1540" t="inlineStr">
        <is>
          <t>202604_LIXIL_サーモスＬ_業務用資料集_完成品価格表.pdf</t>
        </is>
      </c>
      <c r="R1540" t="inlineStr">
        <is>
          <t>v0.5詳細構成。カムラッチ｜TFT｜FIX内押縁。2026完成品価格表 P129。</t>
        </is>
      </c>
      <c r="S1540" s="42" t="inlineStr">
        <is>
          <t>無印</t>
        </is>
      </c>
      <c r="T1540" s="42" t="n">
        <v>129</v>
      </c>
      <c r="U1540" s="42" t="inlineStr">
        <is>
          <t>P129|無印</t>
        </is>
      </c>
      <c r="V1540" s="42" t="inlineStr">
        <is>
          <t>同頁凡例へ直接連動</t>
        </is>
      </c>
    </row>
    <row r="1541">
      <c r="A1541" t="inlineStr">
        <is>
          <t>SZ-SL-001538</t>
        </is>
      </c>
      <c r="B1541" t="inlineStr">
        <is>
          <t>SER-LIX-SAMOSL</t>
        </is>
      </c>
      <c r="C1541" t="inlineStr">
        <is>
          <t>WT-SL-TATE-SUBERI</t>
        </is>
      </c>
      <c r="D1541" t="inlineStr">
        <is>
          <t>縦すべり出し窓 TFT（カムラッチ）（FIX部 内押縁タイプ）</t>
        </is>
      </c>
      <c r="E1541" t="inlineStr">
        <is>
          <t>SP-SL-TATE-CAM-TFT-IN</t>
        </is>
      </c>
      <c r="F1541" t="inlineStr">
        <is>
          <t>在来・204</t>
        </is>
      </c>
      <c r="G1541" t="inlineStr">
        <is>
          <t>16013</t>
        </is>
      </c>
      <c r="H1541" t="inlineStr">
        <is>
          <t>160</t>
        </is>
      </c>
      <c r="I1541" t="inlineStr">
        <is>
          <t>13</t>
        </is>
      </c>
      <c r="J1541" t="n">
        <v>1640</v>
      </c>
      <c r="K1541" t="n">
        <v>1370</v>
      </c>
      <c r="L1541" t="inlineStr">
        <is>
          <t>在来・204</t>
        </is>
      </c>
      <c r="M1541" t="b">
        <v>1</v>
      </c>
      <c r="N1541" t="inlineStr">
        <is>
          <t>2026規格・詳細構成確認済み</t>
        </is>
      </c>
      <c r="O1541" t="n">
        <v>131</v>
      </c>
      <c r="P1541" t="n">
        <v>129</v>
      </c>
      <c r="Q1541" t="inlineStr">
        <is>
          <t>202604_LIXIL_サーモスＬ_業務用資料集_完成品価格表.pdf</t>
        </is>
      </c>
      <c r="R1541" t="inlineStr">
        <is>
          <t>v0.5詳細構成。カムラッチ｜TFT｜FIX内押縁。2026完成品価格表 P129。</t>
        </is>
      </c>
      <c r="S1541" s="42" t="inlineStr">
        <is>
          <t>無印</t>
        </is>
      </c>
      <c r="T1541" s="42" t="n">
        <v>129</v>
      </c>
      <c r="U1541" s="42" t="inlineStr">
        <is>
          <t>P129|無印</t>
        </is>
      </c>
      <c r="V1541" s="42" t="inlineStr">
        <is>
          <t>同頁凡例へ直接連動</t>
        </is>
      </c>
    </row>
    <row r="1542">
      <c r="A1542" t="inlineStr">
        <is>
          <t>SZ-SL-001539</t>
        </is>
      </c>
      <c r="B1542" t="inlineStr">
        <is>
          <t>SER-LIX-SAMOSL</t>
        </is>
      </c>
      <c r="C1542" t="inlineStr">
        <is>
          <t>WT-SL-TATE-SUBERI</t>
        </is>
      </c>
      <c r="D1542" t="inlineStr">
        <is>
          <t>縦すべり出し窓 TFT（カムラッチ）（FIX部 内押縁タイプ）</t>
        </is>
      </c>
      <c r="E1542" t="inlineStr">
        <is>
          <t>SP-SL-TATE-CAM-TFT-IN</t>
        </is>
      </c>
      <c r="F1542" t="inlineStr">
        <is>
          <t>在来・204</t>
        </is>
      </c>
      <c r="G1542" t="inlineStr">
        <is>
          <t>16513</t>
        </is>
      </c>
      <c r="H1542" t="inlineStr">
        <is>
          <t>165</t>
        </is>
      </c>
      <c r="I1542" t="inlineStr">
        <is>
          <t>13</t>
        </is>
      </c>
      <c r="J1542" t="n">
        <v>1690</v>
      </c>
      <c r="K1542" t="n">
        <v>1370</v>
      </c>
      <c r="L1542" t="inlineStr">
        <is>
          <t>在来・204</t>
        </is>
      </c>
      <c r="M1542" t="b">
        <v>1</v>
      </c>
      <c r="N1542" t="inlineStr">
        <is>
          <t>2026規格・詳細構成確認済み</t>
        </is>
      </c>
      <c r="O1542" t="n">
        <v>131</v>
      </c>
      <c r="P1542" t="n">
        <v>129</v>
      </c>
      <c r="Q1542" t="inlineStr">
        <is>
          <t>202604_LIXIL_サーモスＬ_業務用資料集_完成品価格表.pdf</t>
        </is>
      </c>
      <c r="R1542" t="inlineStr">
        <is>
          <t>v0.5詳細構成。カムラッチ｜TFT｜FIX内押縁。2026完成品価格表 P129。</t>
        </is>
      </c>
      <c r="S1542" s="42" t="inlineStr">
        <is>
          <t>★</t>
        </is>
      </c>
      <c r="T1542" s="42" t="n">
        <v>129</v>
      </c>
      <c r="U1542" s="42" t="inlineStr">
        <is>
          <t>P129|★</t>
        </is>
      </c>
      <c r="V1542" s="42" t="inlineStr">
        <is>
          <t>同頁凡例へ直接連動</t>
        </is>
      </c>
    </row>
    <row r="1543">
      <c r="A1543" t="inlineStr">
        <is>
          <t>SZ-SL-001540</t>
        </is>
      </c>
      <c r="B1543" t="inlineStr">
        <is>
          <t>SER-LIX-SAMOSL</t>
        </is>
      </c>
      <c r="C1543" t="inlineStr">
        <is>
          <t>WT-SL-YOKO-SUBERI</t>
        </is>
      </c>
      <c r="D1543" t="inlineStr">
        <is>
          <t>横すべり出し窓（カムラッチ）</t>
        </is>
      </c>
      <c r="E1543" t="inlineStr">
        <is>
          <t>SP-SL-YOKO-CAM</t>
        </is>
      </c>
      <c r="F1543" t="inlineStr">
        <is>
          <t>在来・204</t>
        </is>
      </c>
      <c r="G1543" t="inlineStr">
        <is>
          <t>026023</t>
        </is>
      </c>
      <c r="H1543" t="inlineStr">
        <is>
          <t>026</t>
        </is>
      </c>
      <c r="I1543" t="inlineStr">
        <is>
          <t>023</t>
        </is>
      </c>
      <c r="J1543" t="n">
        <v>300</v>
      </c>
      <c r="K1543" t="n">
        <v>300</v>
      </c>
      <c r="L1543" t="inlineStr">
        <is>
          <t>在来・204</t>
        </is>
      </c>
      <c r="M1543" t="b">
        <v>1</v>
      </c>
      <c r="N1543" t="inlineStr">
        <is>
          <t>2026規格・詳細構成確認済み</t>
        </is>
      </c>
      <c r="O1543" t="n">
        <v>136</v>
      </c>
      <c r="P1543" t="n">
        <v>134</v>
      </c>
      <c r="Q1543" t="inlineStr">
        <is>
          <t>202604_LIXIL_サーモスＬ_業務用資料集_完成品価格表.pdf</t>
        </is>
      </c>
      <c r="R1543" t="inlineStr">
        <is>
          <t>v0.5カムラッチ規格追加。2026完成品価格表 P134。</t>
        </is>
      </c>
      <c r="S1543" s="42" t="inlineStr">
        <is>
          <t>無印</t>
        </is>
      </c>
      <c r="T1543" s="42" t="n">
        <v>134</v>
      </c>
      <c r="U1543" s="42" t="inlineStr">
        <is>
          <t>P134|無印</t>
        </is>
      </c>
      <c r="V1543" s="42" t="inlineStr">
        <is>
          <t>同頁凡例へ直接連動</t>
        </is>
      </c>
    </row>
    <row r="1544">
      <c r="A1544" t="inlineStr">
        <is>
          <t>SZ-SL-001541</t>
        </is>
      </c>
      <c r="B1544" t="inlineStr">
        <is>
          <t>SER-LIX-SAMOSL</t>
        </is>
      </c>
      <c r="C1544" t="inlineStr">
        <is>
          <t>WT-SL-YOKO-SUBERI</t>
        </is>
      </c>
      <c r="D1544" t="inlineStr">
        <is>
          <t>横すべり出し窓（カムラッチ）</t>
        </is>
      </c>
      <c r="E1544" t="inlineStr">
        <is>
          <t>SP-SL-YOKO-CAM</t>
        </is>
      </c>
      <c r="F1544" t="inlineStr">
        <is>
          <t>在来・204</t>
        </is>
      </c>
      <c r="G1544" t="inlineStr">
        <is>
          <t>031028</t>
        </is>
      </c>
      <c r="H1544" t="inlineStr">
        <is>
          <t>031</t>
        </is>
      </c>
      <c r="I1544" t="inlineStr">
        <is>
          <t>028</t>
        </is>
      </c>
      <c r="J1544" t="n">
        <v>350</v>
      </c>
      <c r="K1544" t="n">
        <v>350</v>
      </c>
      <c r="L1544" t="inlineStr">
        <is>
          <t>在来・204</t>
        </is>
      </c>
      <c r="M1544" t="b">
        <v>1</v>
      </c>
      <c r="N1544" t="inlineStr">
        <is>
          <t>2026規格・詳細構成確認済み</t>
        </is>
      </c>
      <c r="O1544" t="n">
        <v>136</v>
      </c>
      <c r="P1544" t="n">
        <v>134</v>
      </c>
      <c r="Q1544" t="inlineStr">
        <is>
          <t>202604_LIXIL_サーモスＬ_業務用資料集_完成品価格表.pdf</t>
        </is>
      </c>
      <c r="R1544" t="inlineStr">
        <is>
          <t>v0.5カムラッチ規格追加。2026完成品価格表 P134。</t>
        </is>
      </c>
      <c r="S1544" s="42" t="inlineStr">
        <is>
          <t>無印</t>
        </is>
      </c>
      <c r="T1544" s="42" t="n">
        <v>134</v>
      </c>
      <c r="U1544" s="42" t="inlineStr">
        <is>
          <t>P134|無印</t>
        </is>
      </c>
      <c r="V1544" s="42" t="inlineStr">
        <is>
          <t>同頁凡例へ直接連動</t>
        </is>
      </c>
    </row>
    <row r="1545">
      <c r="A1545" t="inlineStr">
        <is>
          <t>SZ-SL-001542</t>
        </is>
      </c>
      <c r="B1545" t="inlineStr">
        <is>
          <t>SER-LIX-SAMOSL</t>
        </is>
      </c>
      <c r="C1545" t="inlineStr">
        <is>
          <t>WT-SL-YOKO-SUBERI</t>
        </is>
      </c>
      <c r="D1545" t="inlineStr">
        <is>
          <t>横すべり出し窓（カムラッチ）</t>
        </is>
      </c>
      <c r="E1545" t="inlineStr">
        <is>
          <t>SP-SL-YOKO-CAM</t>
        </is>
      </c>
      <c r="F1545" t="inlineStr">
        <is>
          <t>在来・204</t>
        </is>
      </c>
      <c r="G1545" t="inlineStr">
        <is>
          <t>03603</t>
        </is>
      </c>
      <c r="H1545" t="inlineStr">
        <is>
          <t>036</t>
        </is>
      </c>
      <c r="I1545" t="inlineStr">
        <is>
          <t>03</t>
        </is>
      </c>
      <c r="J1545" t="n">
        <v>405</v>
      </c>
      <c r="K1545" t="n">
        <v>370</v>
      </c>
      <c r="L1545" t="inlineStr">
        <is>
          <t>在来・204</t>
        </is>
      </c>
      <c r="M1545" t="b">
        <v>1</v>
      </c>
      <c r="N1545" t="inlineStr">
        <is>
          <t>2026規格・詳細構成確認済み</t>
        </is>
      </c>
      <c r="O1545" t="n">
        <v>136</v>
      </c>
      <c r="P1545" t="n">
        <v>134</v>
      </c>
      <c r="Q1545" t="inlineStr">
        <is>
          <t>202604_LIXIL_サーモスＬ_業務用資料集_完成品価格表.pdf</t>
        </is>
      </c>
      <c r="R1545" t="inlineStr">
        <is>
          <t>v0.5カムラッチ規格追加。2026完成品価格表 P134。</t>
        </is>
      </c>
      <c r="S1545" s="42" t="inlineStr">
        <is>
          <t>無印</t>
        </is>
      </c>
      <c r="T1545" s="42" t="n">
        <v>134</v>
      </c>
      <c r="U1545" s="42" t="inlineStr">
        <is>
          <t>P134|無印</t>
        </is>
      </c>
      <c r="V1545" s="42" t="inlineStr">
        <is>
          <t>同頁凡例へ直接連動</t>
        </is>
      </c>
    </row>
    <row r="1546">
      <c r="A1546" t="inlineStr">
        <is>
          <t>SZ-SL-001543</t>
        </is>
      </c>
      <c r="B1546" t="inlineStr">
        <is>
          <t>SER-LIX-SAMOSL</t>
        </is>
      </c>
      <c r="C1546" t="inlineStr">
        <is>
          <t>WT-SL-YOKO-SUBERI</t>
        </is>
      </c>
      <c r="D1546" t="inlineStr">
        <is>
          <t>横すべり出し窓（カムラッチ）</t>
        </is>
      </c>
      <c r="E1546" t="inlineStr">
        <is>
          <t>SP-SL-YOKO-CAM</t>
        </is>
      </c>
      <c r="F1546" t="inlineStr">
        <is>
          <t>在来・204</t>
        </is>
      </c>
      <c r="G1546" t="inlineStr">
        <is>
          <t>036033</t>
        </is>
      </c>
      <c r="H1546" t="inlineStr">
        <is>
          <t>036</t>
        </is>
      </c>
      <c r="I1546" t="inlineStr">
        <is>
          <t>033</t>
        </is>
      </c>
      <c r="J1546" t="n">
        <v>405</v>
      </c>
      <c r="K1546" t="n">
        <v>405</v>
      </c>
      <c r="L1546" t="inlineStr">
        <is>
          <t>在来・204</t>
        </is>
      </c>
      <c r="M1546" t="b">
        <v>1</v>
      </c>
      <c r="N1546" t="inlineStr">
        <is>
          <t>2026規格・詳細構成確認済み</t>
        </is>
      </c>
      <c r="O1546" t="n">
        <v>136</v>
      </c>
      <c r="P1546" t="n">
        <v>134</v>
      </c>
      <c r="Q1546" t="inlineStr">
        <is>
          <t>202604_LIXIL_サーモスＬ_業務用資料集_完成品価格表.pdf</t>
        </is>
      </c>
      <c r="R1546" t="inlineStr">
        <is>
          <t>v0.5カムラッチ規格追加。2026完成品価格表 P134。</t>
        </is>
      </c>
      <c r="S1546" s="42" t="inlineStr">
        <is>
          <t>無印</t>
        </is>
      </c>
      <c r="T1546" s="42" t="n">
        <v>134</v>
      </c>
      <c r="U1546" s="42" t="inlineStr">
        <is>
          <t>P134|無印</t>
        </is>
      </c>
      <c r="V1546" s="42" t="inlineStr">
        <is>
          <t>同頁凡例へ直接連動</t>
        </is>
      </c>
    </row>
    <row r="1547">
      <c r="A1547" t="inlineStr">
        <is>
          <t>SZ-SL-001544</t>
        </is>
      </c>
      <c r="B1547" t="inlineStr">
        <is>
          <t>SER-LIX-SAMOSL</t>
        </is>
      </c>
      <c r="C1547" t="inlineStr">
        <is>
          <t>WT-SL-YOKO-SUBERI</t>
        </is>
      </c>
      <c r="D1547" t="inlineStr">
        <is>
          <t>横すべり出し窓（カムラッチ）</t>
        </is>
      </c>
      <c r="E1547" t="inlineStr">
        <is>
          <t>SP-SL-YOKO-CAM</t>
        </is>
      </c>
      <c r="F1547" t="inlineStr">
        <is>
          <t>在来・204</t>
        </is>
      </c>
      <c r="G1547" t="inlineStr">
        <is>
          <t>041038</t>
        </is>
      </c>
      <c r="H1547" t="inlineStr">
        <is>
          <t>041</t>
        </is>
      </c>
      <c r="I1547" t="inlineStr">
        <is>
          <t>038</t>
        </is>
      </c>
      <c r="J1547" t="n">
        <v>450</v>
      </c>
      <c r="K1547" t="n">
        <v>450</v>
      </c>
      <c r="L1547" t="inlineStr">
        <is>
          <t>在来・204</t>
        </is>
      </c>
      <c r="M1547" t="b">
        <v>1</v>
      </c>
      <c r="N1547" t="inlineStr">
        <is>
          <t>2026規格・詳細構成確認済み</t>
        </is>
      </c>
      <c r="O1547" t="n">
        <v>136</v>
      </c>
      <c r="P1547" t="n">
        <v>134</v>
      </c>
      <c r="Q1547" t="inlineStr">
        <is>
          <t>202604_LIXIL_サーモスＬ_業務用資料集_完成品価格表.pdf</t>
        </is>
      </c>
      <c r="R1547" t="inlineStr">
        <is>
          <t>v0.5カムラッチ規格追加。2026完成品価格表 P134。</t>
        </is>
      </c>
      <c r="S1547" s="42" t="inlineStr">
        <is>
          <t>無印</t>
        </is>
      </c>
      <c r="T1547" s="42" t="n">
        <v>134</v>
      </c>
      <c r="U1547" s="42" t="inlineStr">
        <is>
          <t>P134|無印</t>
        </is>
      </c>
      <c r="V1547" s="42" t="inlineStr">
        <is>
          <t>同頁凡例へ直接連動</t>
        </is>
      </c>
    </row>
    <row r="1548">
      <c r="A1548" t="inlineStr">
        <is>
          <t>SZ-SL-001545</t>
        </is>
      </c>
      <c r="B1548" t="inlineStr">
        <is>
          <t>SER-LIX-SAMOSL</t>
        </is>
      </c>
      <c r="C1548" t="inlineStr">
        <is>
          <t>WT-SL-YOKO-SUBERI</t>
        </is>
      </c>
      <c r="D1548" t="inlineStr">
        <is>
          <t>横すべり出し窓（カムラッチ）</t>
        </is>
      </c>
      <c r="E1548" t="inlineStr">
        <is>
          <t>SP-SL-YOKO-CAM</t>
        </is>
      </c>
      <c r="F1548" t="inlineStr">
        <is>
          <t>在来・204</t>
        </is>
      </c>
      <c r="G1548" t="inlineStr">
        <is>
          <t>06003</t>
        </is>
      </c>
      <c r="H1548" t="inlineStr">
        <is>
          <t>060</t>
        </is>
      </c>
      <c r="I1548" t="inlineStr">
        <is>
          <t>03</t>
        </is>
      </c>
      <c r="J1548" t="n">
        <v>640</v>
      </c>
      <c r="K1548" t="n">
        <v>370</v>
      </c>
      <c r="L1548" t="inlineStr">
        <is>
          <t>在来・204</t>
        </is>
      </c>
      <c r="M1548" t="b">
        <v>1</v>
      </c>
      <c r="N1548" t="inlineStr">
        <is>
          <t>2026規格・詳細構成確認済み</t>
        </is>
      </c>
      <c r="O1548" t="n">
        <v>137</v>
      </c>
      <c r="P1548" t="n">
        <v>135</v>
      </c>
      <c r="Q1548" t="inlineStr">
        <is>
          <t>202604_LIXIL_サーモスＬ_業務用資料集_完成品価格表.pdf</t>
        </is>
      </c>
      <c r="R1548" t="inlineStr">
        <is>
          <t>v0.5カムラッチ規格追加。2026完成品価格表 P135。</t>
        </is>
      </c>
      <c r="S1548" s="42" t="inlineStr">
        <is>
          <t>無印</t>
        </is>
      </c>
      <c r="T1548" s="42" t="n">
        <v>134</v>
      </c>
      <c r="U1548" s="42" t="inlineStr">
        <is>
          <t>P134|無印</t>
        </is>
      </c>
      <c r="V1548" s="42" t="inlineStr">
        <is>
          <t>同一価格表・前頁凡例を継承</t>
        </is>
      </c>
    </row>
    <row r="1549">
      <c r="A1549" t="inlineStr">
        <is>
          <t>SZ-SL-001546</t>
        </is>
      </c>
      <c r="B1549" t="inlineStr">
        <is>
          <t>SER-LIX-SAMOSL</t>
        </is>
      </c>
      <c r="C1549" t="inlineStr">
        <is>
          <t>WT-SL-YOKO-SUBERI</t>
        </is>
      </c>
      <c r="D1549" t="inlineStr">
        <is>
          <t>横すべり出し窓（カムラッチ）</t>
        </is>
      </c>
      <c r="E1549" t="inlineStr">
        <is>
          <t>SP-SL-YOKO-CAM</t>
        </is>
      </c>
      <c r="F1549" t="inlineStr">
        <is>
          <t>在来・204</t>
        </is>
      </c>
      <c r="G1549" t="inlineStr">
        <is>
          <t>06903</t>
        </is>
      </c>
      <c r="H1549" t="inlineStr">
        <is>
          <t>069</t>
        </is>
      </c>
      <c r="I1549" t="inlineStr">
        <is>
          <t>03</t>
        </is>
      </c>
      <c r="J1549" t="n">
        <v>730</v>
      </c>
      <c r="K1549" t="n">
        <v>370</v>
      </c>
      <c r="L1549" t="inlineStr">
        <is>
          <t>在来・204</t>
        </is>
      </c>
      <c r="M1549" t="b">
        <v>1</v>
      </c>
      <c r="N1549" t="inlineStr">
        <is>
          <t>2026規格・詳細構成確認済み</t>
        </is>
      </c>
      <c r="O1549" t="n">
        <v>137</v>
      </c>
      <c r="P1549" t="n">
        <v>135</v>
      </c>
      <c r="Q1549" t="inlineStr">
        <is>
          <t>202604_LIXIL_サーモスＬ_業務用資料集_完成品価格表.pdf</t>
        </is>
      </c>
      <c r="R1549" t="inlineStr">
        <is>
          <t>v0.5カムラッチ規格追加。2026完成品価格表 P135。</t>
        </is>
      </c>
      <c r="S1549" s="42" t="inlineStr">
        <is>
          <t>無印</t>
        </is>
      </c>
      <c r="T1549" s="42" t="n">
        <v>134</v>
      </c>
      <c r="U1549" s="42" t="inlineStr">
        <is>
          <t>P134|無印</t>
        </is>
      </c>
      <c r="V1549" s="42" t="inlineStr">
        <is>
          <t>同一価格表・前頁凡例を継承</t>
        </is>
      </c>
    </row>
    <row r="1550">
      <c r="A1550" t="inlineStr">
        <is>
          <t>SZ-SL-001547</t>
        </is>
      </c>
      <c r="B1550" t="inlineStr">
        <is>
          <t>SER-LIX-SAMOSL</t>
        </is>
      </c>
      <c r="C1550" t="inlineStr">
        <is>
          <t>WT-SL-YOKO-SUBERI</t>
        </is>
      </c>
      <c r="D1550" t="inlineStr">
        <is>
          <t>横すべり出し窓（カムラッチ）</t>
        </is>
      </c>
      <c r="E1550" t="inlineStr">
        <is>
          <t>SP-SL-YOKO-CAM</t>
        </is>
      </c>
      <c r="F1550" t="inlineStr">
        <is>
          <t>在来・204</t>
        </is>
      </c>
      <c r="G1550" t="inlineStr">
        <is>
          <t>07403</t>
        </is>
      </c>
      <c r="H1550" t="inlineStr">
        <is>
          <t>074</t>
        </is>
      </c>
      <c r="I1550" t="inlineStr">
        <is>
          <t>03</t>
        </is>
      </c>
      <c r="J1550" t="n">
        <v>780</v>
      </c>
      <c r="K1550" t="n">
        <v>370</v>
      </c>
      <c r="L1550" t="inlineStr">
        <is>
          <t>在来・204</t>
        </is>
      </c>
      <c r="M1550" t="b">
        <v>1</v>
      </c>
      <c r="N1550" t="inlineStr">
        <is>
          <t>2026規格・詳細構成確認済み</t>
        </is>
      </c>
      <c r="O1550" t="n">
        <v>137</v>
      </c>
      <c r="P1550" t="n">
        <v>135</v>
      </c>
      <c r="Q1550" t="inlineStr">
        <is>
          <t>202604_LIXIL_サーモスＬ_業務用資料集_完成品価格表.pdf</t>
        </is>
      </c>
      <c r="R1550" t="inlineStr">
        <is>
          <t>v0.5カムラッチ規格追加。2026完成品価格表 P135。</t>
        </is>
      </c>
      <c r="S1550" s="42" t="inlineStr">
        <is>
          <t>無印</t>
        </is>
      </c>
      <c r="T1550" s="42" t="n">
        <v>134</v>
      </c>
      <c r="U1550" s="42" t="inlineStr">
        <is>
          <t>P134|無印</t>
        </is>
      </c>
      <c r="V1550" s="42" t="inlineStr">
        <is>
          <t>同一価格表・前頁凡例を継承</t>
        </is>
      </c>
    </row>
    <row r="1551">
      <c r="A1551" t="inlineStr">
        <is>
          <t>SZ-SL-001548</t>
        </is>
      </c>
      <c r="B1551" t="inlineStr">
        <is>
          <t>SER-LIX-SAMOSL</t>
        </is>
      </c>
      <c r="C1551" t="inlineStr">
        <is>
          <t>WT-SL-YOKO-SUBERI</t>
        </is>
      </c>
      <c r="D1551" t="inlineStr">
        <is>
          <t>横すべり出し窓（カムラッチ）</t>
        </is>
      </c>
      <c r="E1551" t="inlineStr">
        <is>
          <t>SP-SL-YOKO-CAM</t>
        </is>
      </c>
      <c r="F1551" t="inlineStr">
        <is>
          <t>在来・204</t>
        </is>
      </c>
      <c r="G1551" t="inlineStr">
        <is>
          <t>03605</t>
        </is>
      </c>
      <c r="H1551" t="inlineStr">
        <is>
          <t>036</t>
        </is>
      </c>
      <c r="I1551" t="inlineStr">
        <is>
          <t>05</t>
        </is>
      </c>
      <c r="J1551" t="n">
        <v>405</v>
      </c>
      <c r="K1551" t="n">
        <v>570</v>
      </c>
      <c r="L1551" t="inlineStr">
        <is>
          <t>在来・204</t>
        </is>
      </c>
      <c r="M1551" t="b">
        <v>1</v>
      </c>
      <c r="N1551" t="inlineStr">
        <is>
          <t>2026規格・詳細構成確認済み</t>
        </is>
      </c>
      <c r="O1551" t="n">
        <v>138</v>
      </c>
      <c r="P1551" t="n">
        <v>136</v>
      </c>
      <c r="Q1551" t="inlineStr">
        <is>
          <t>202604_LIXIL_サーモスＬ_業務用資料集_完成品価格表.pdf</t>
        </is>
      </c>
      <c r="R1551" t="inlineStr">
        <is>
          <t>v0.5カムラッチ規格追加。2026完成品価格表 P136。</t>
        </is>
      </c>
      <c r="S1551" s="42" t="inlineStr">
        <is>
          <t>無印</t>
        </is>
      </c>
      <c r="T1551" s="42" t="n">
        <v>136</v>
      </c>
      <c r="U1551" s="42" t="inlineStr">
        <is>
          <t>P136|無印</t>
        </is>
      </c>
      <c r="V1551" s="42" t="inlineStr">
        <is>
          <t>同頁凡例へ直接連動</t>
        </is>
      </c>
    </row>
    <row r="1552">
      <c r="A1552" t="inlineStr">
        <is>
          <t>SZ-SL-001549</t>
        </is>
      </c>
      <c r="B1552" t="inlineStr">
        <is>
          <t>SER-LIX-SAMOSL</t>
        </is>
      </c>
      <c r="C1552" t="inlineStr">
        <is>
          <t>WT-SL-YOKO-SUBERI</t>
        </is>
      </c>
      <c r="D1552" t="inlineStr">
        <is>
          <t>横すべり出し窓（カムラッチ）</t>
        </is>
      </c>
      <c r="E1552" t="inlineStr">
        <is>
          <t>SP-SL-YOKO-CAM</t>
        </is>
      </c>
      <c r="F1552" t="inlineStr">
        <is>
          <t>在来・204</t>
        </is>
      </c>
      <c r="G1552" t="inlineStr">
        <is>
          <t>03607</t>
        </is>
      </c>
      <c r="H1552" t="inlineStr">
        <is>
          <t>036</t>
        </is>
      </c>
      <c r="I1552" t="inlineStr">
        <is>
          <t>07</t>
        </is>
      </c>
      <c r="J1552" t="n">
        <v>405</v>
      </c>
      <c r="K1552" t="n">
        <v>770</v>
      </c>
      <c r="L1552" t="inlineStr">
        <is>
          <t>在来・204</t>
        </is>
      </c>
      <c r="M1552" t="b">
        <v>1</v>
      </c>
      <c r="N1552" t="inlineStr">
        <is>
          <t>2026規格・詳細構成確認済み</t>
        </is>
      </c>
      <c r="O1552" t="n">
        <v>138</v>
      </c>
      <c r="P1552" t="n">
        <v>136</v>
      </c>
      <c r="Q1552" t="inlineStr">
        <is>
          <t>202604_LIXIL_サーモスＬ_業務用資料集_完成品価格表.pdf</t>
        </is>
      </c>
      <c r="R1552" t="inlineStr">
        <is>
          <t>v0.5カムラッチ規格追加。2026完成品価格表 P136。</t>
        </is>
      </c>
      <c r="S1552" s="42" t="inlineStr">
        <is>
          <t>無印</t>
        </is>
      </c>
      <c r="T1552" s="42" t="n">
        <v>136</v>
      </c>
      <c r="U1552" s="42" t="inlineStr">
        <is>
          <t>P136|無印</t>
        </is>
      </c>
      <c r="V1552" s="42" t="inlineStr">
        <is>
          <t>同頁凡例へ直接連動</t>
        </is>
      </c>
    </row>
    <row r="1553">
      <c r="A1553" t="inlineStr">
        <is>
          <t>SZ-SL-001550</t>
        </is>
      </c>
      <c r="B1553" t="inlineStr">
        <is>
          <t>SER-LIX-SAMOSL</t>
        </is>
      </c>
      <c r="C1553" t="inlineStr">
        <is>
          <t>WT-SL-YOKO-SUBERI</t>
        </is>
      </c>
      <c r="D1553" t="inlineStr">
        <is>
          <t>横すべり出し窓（カムラッチ）</t>
        </is>
      </c>
      <c r="E1553" t="inlineStr">
        <is>
          <t>SP-SL-YOKO-CAM</t>
        </is>
      </c>
      <c r="F1553" t="inlineStr">
        <is>
          <t>在来・204</t>
        </is>
      </c>
      <c r="G1553" t="inlineStr">
        <is>
          <t>06005</t>
        </is>
      </c>
      <c r="H1553" t="inlineStr">
        <is>
          <t>060</t>
        </is>
      </c>
      <c r="I1553" t="inlineStr">
        <is>
          <t>05</t>
        </is>
      </c>
      <c r="J1553" t="n">
        <v>640</v>
      </c>
      <c r="K1553" t="n">
        <v>570</v>
      </c>
      <c r="L1553" t="inlineStr">
        <is>
          <t>在来・204</t>
        </is>
      </c>
      <c r="M1553" t="b">
        <v>1</v>
      </c>
      <c r="N1553" t="inlineStr">
        <is>
          <t>2026規格・詳細構成確認済み</t>
        </is>
      </c>
      <c r="O1553" t="n">
        <v>139</v>
      </c>
      <c r="P1553" t="n">
        <v>137</v>
      </c>
      <c r="Q1553" t="inlineStr">
        <is>
          <t>202604_LIXIL_サーモスＬ_業務用資料集_完成品価格表.pdf</t>
        </is>
      </c>
      <c r="R1553" t="inlineStr">
        <is>
          <t>v0.5カムラッチ規格追加。2026完成品価格表 P137。</t>
        </is>
      </c>
      <c r="S1553" s="42" t="inlineStr">
        <is>
          <t>無印</t>
        </is>
      </c>
      <c r="T1553" s="42" t="n">
        <v>136</v>
      </c>
      <c r="U1553" s="42" t="inlineStr">
        <is>
          <t>P136|無印</t>
        </is>
      </c>
      <c r="V1553" s="42" t="inlineStr">
        <is>
          <t>同一価格表・前頁凡例を継承</t>
        </is>
      </c>
    </row>
    <row r="1554">
      <c r="A1554" t="inlineStr">
        <is>
          <t>SZ-SL-001551</t>
        </is>
      </c>
      <c r="B1554" t="inlineStr">
        <is>
          <t>SER-LIX-SAMOSL</t>
        </is>
      </c>
      <c r="C1554" t="inlineStr">
        <is>
          <t>WT-SL-YOKO-SUBERI</t>
        </is>
      </c>
      <c r="D1554" t="inlineStr">
        <is>
          <t>横すべり出し窓（カムラッチ）</t>
        </is>
      </c>
      <c r="E1554" t="inlineStr">
        <is>
          <t>SP-SL-YOKO-CAM</t>
        </is>
      </c>
      <c r="F1554" t="inlineStr">
        <is>
          <t>在来・204</t>
        </is>
      </c>
      <c r="G1554" t="inlineStr">
        <is>
          <t>060057</t>
        </is>
      </c>
      <c r="H1554" t="inlineStr">
        <is>
          <t>060</t>
        </is>
      </c>
      <c r="I1554" t="inlineStr">
        <is>
          <t>057</t>
        </is>
      </c>
      <c r="J1554" t="n">
        <v>640</v>
      </c>
      <c r="K1554" t="n">
        <v>640</v>
      </c>
      <c r="L1554" t="inlineStr">
        <is>
          <t>在来・204</t>
        </is>
      </c>
      <c r="M1554" t="b">
        <v>1</v>
      </c>
      <c r="N1554" t="inlineStr">
        <is>
          <t>2026規格・詳細構成確認済み</t>
        </is>
      </c>
      <c r="O1554" t="n">
        <v>139</v>
      </c>
      <c r="P1554" t="n">
        <v>137</v>
      </c>
      <c r="Q1554" t="inlineStr">
        <is>
          <t>202604_LIXIL_サーモスＬ_業務用資料集_完成品価格表.pdf</t>
        </is>
      </c>
      <c r="R1554" t="inlineStr">
        <is>
          <t>v0.5カムラッチ規格追加。2026完成品価格表 P137。</t>
        </is>
      </c>
      <c r="S1554" s="42" t="inlineStr">
        <is>
          <t>無印</t>
        </is>
      </c>
      <c r="T1554" s="42" t="n">
        <v>136</v>
      </c>
      <c r="U1554" s="42" t="inlineStr">
        <is>
          <t>P136|無印</t>
        </is>
      </c>
      <c r="V1554" s="42" t="inlineStr">
        <is>
          <t>同一価格表・前頁凡例を継承</t>
        </is>
      </c>
    </row>
    <row r="1555">
      <c r="A1555" t="inlineStr">
        <is>
          <t>SZ-SL-001552</t>
        </is>
      </c>
      <c r="B1555" t="inlineStr">
        <is>
          <t>SER-LIX-SAMOSL</t>
        </is>
      </c>
      <c r="C1555" t="inlineStr">
        <is>
          <t>WT-SL-YOKO-SUBERI</t>
        </is>
      </c>
      <c r="D1555" t="inlineStr">
        <is>
          <t>横すべり出し窓（カムラッチ）</t>
        </is>
      </c>
      <c r="E1555" t="inlineStr">
        <is>
          <t>SP-SL-YOKO-CAM</t>
        </is>
      </c>
      <c r="F1555" t="inlineStr">
        <is>
          <t>在来・204</t>
        </is>
      </c>
      <c r="G1555" t="inlineStr">
        <is>
          <t>06007</t>
        </is>
      </c>
      <c r="H1555" t="inlineStr">
        <is>
          <t>060</t>
        </is>
      </c>
      <c r="I1555" t="inlineStr">
        <is>
          <t>07</t>
        </is>
      </c>
      <c r="J1555" t="n">
        <v>640</v>
      </c>
      <c r="K1555" t="n">
        <v>770</v>
      </c>
      <c r="L1555" t="inlineStr">
        <is>
          <t>在来・204</t>
        </is>
      </c>
      <c r="M1555" t="b">
        <v>1</v>
      </c>
      <c r="N1555" t="inlineStr">
        <is>
          <t>2026規格・詳細構成確認済み</t>
        </is>
      </c>
      <c r="O1555" t="n">
        <v>139</v>
      </c>
      <c r="P1555" t="n">
        <v>137</v>
      </c>
      <c r="Q1555" t="inlineStr">
        <is>
          <t>202604_LIXIL_サーモスＬ_業務用資料集_完成品価格表.pdf</t>
        </is>
      </c>
      <c r="R1555" t="inlineStr">
        <is>
          <t>v0.5カムラッチ規格追加。2026完成品価格表 P137。</t>
        </is>
      </c>
      <c r="S1555" s="42" t="inlineStr">
        <is>
          <t>無印</t>
        </is>
      </c>
      <c r="T1555" s="42" t="n">
        <v>136</v>
      </c>
      <c r="U1555" s="42" t="inlineStr">
        <is>
          <t>P136|無印</t>
        </is>
      </c>
      <c r="V1555" s="42" t="inlineStr">
        <is>
          <t>同一価格表・前頁凡例を継承</t>
        </is>
      </c>
    </row>
    <row r="1556">
      <c r="A1556" t="inlineStr">
        <is>
          <t>SZ-SL-001553</t>
        </is>
      </c>
      <c r="B1556" t="inlineStr">
        <is>
          <t>SER-LIX-SAMOSL</t>
        </is>
      </c>
      <c r="C1556" t="inlineStr">
        <is>
          <t>WT-SL-YOKO-SUBERI</t>
        </is>
      </c>
      <c r="D1556" t="inlineStr">
        <is>
          <t>横すべり出し窓（カムラッチ）</t>
        </is>
      </c>
      <c r="E1556" t="inlineStr">
        <is>
          <t>SP-SL-YOKO-CAM</t>
        </is>
      </c>
      <c r="F1556" t="inlineStr">
        <is>
          <t>在来・204</t>
        </is>
      </c>
      <c r="G1556" t="inlineStr">
        <is>
          <t>06009</t>
        </is>
      </c>
      <c r="H1556" t="inlineStr">
        <is>
          <t>060</t>
        </is>
      </c>
      <c r="I1556" t="inlineStr">
        <is>
          <t>09</t>
        </is>
      </c>
      <c r="J1556" t="n">
        <v>640</v>
      </c>
      <c r="K1556" t="n">
        <v>970</v>
      </c>
      <c r="L1556" t="inlineStr">
        <is>
          <t>在来・204</t>
        </is>
      </c>
      <c r="M1556" t="b">
        <v>1</v>
      </c>
      <c r="N1556" t="inlineStr">
        <is>
          <t>2026規格・詳細構成確認済み</t>
        </is>
      </c>
      <c r="O1556" t="n">
        <v>139</v>
      </c>
      <c r="P1556" t="n">
        <v>137</v>
      </c>
      <c r="Q1556" t="inlineStr">
        <is>
          <t>202604_LIXIL_サーモスＬ_業務用資料集_完成品価格表.pdf</t>
        </is>
      </c>
      <c r="R1556" t="inlineStr">
        <is>
          <t>v0.5カムラッチ規格追加。2026完成品価格表 P137。</t>
        </is>
      </c>
      <c r="S1556" s="42" t="inlineStr">
        <is>
          <t>無印</t>
        </is>
      </c>
      <c r="T1556" s="42" t="n">
        <v>136</v>
      </c>
      <c r="U1556" s="42" t="inlineStr">
        <is>
          <t>P136|無印</t>
        </is>
      </c>
      <c r="V1556" s="42" t="inlineStr">
        <is>
          <t>同一価格表・前頁凡例を継承</t>
        </is>
      </c>
    </row>
    <row r="1557">
      <c r="A1557" t="inlineStr">
        <is>
          <t>SZ-SL-001554</t>
        </is>
      </c>
      <c r="B1557" t="inlineStr">
        <is>
          <t>SER-LIX-SAMOSL</t>
        </is>
      </c>
      <c r="C1557" t="inlineStr">
        <is>
          <t>WT-SL-YOKO-SUBERI</t>
        </is>
      </c>
      <c r="D1557" t="inlineStr">
        <is>
          <t>横すべり出し窓（カムラッチ）</t>
        </is>
      </c>
      <c r="E1557" t="inlineStr">
        <is>
          <t>SP-SL-YOKO-CAM</t>
        </is>
      </c>
      <c r="F1557" t="inlineStr">
        <is>
          <t>在来・204</t>
        </is>
      </c>
      <c r="G1557" t="inlineStr">
        <is>
          <t>06905</t>
        </is>
      </c>
      <c r="H1557" t="inlineStr">
        <is>
          <t>069</t>
        </is>
      </c>
      <c r="I1557" t="inlineStr">
        <is>
          <t>05</t>
        </is>
      </c>
      <c r="J1557" t="n">
        <v>730</v>
      </c>
      <c r="K1557" t="n">
        <v>570</v>
      </c>
      <c r="L1557" t="inlineStr">
        <is>
          <t>在来・204</t>
        </is>
      </c>
      <c r="M1557" t="b">
        <v>1</v>
      </c>
      <c r="N1557" t="inlineStr">
        <is>
          <t>2026規格・詳細構成確認済み</t>
        </is>
      </c>
      <c r="O1557" t="n">
        <v>139</v>
      </c>
      <c r="P1557" t="n">
        <v>137</v>
      </c>
      <c r="Q1557" t="inlineStr">
        <is>
          <t>202604_LIXIL_サーモスＬ_業務用資料集_完成品価格表.pdf</t>
        </is>
      </c>
      <c r="R1557" t="inlineStr">
        <is>
          <t>v0.5カムラッチ規格追加。2026完成品価格表 P137。</t>
        </is>
      </c>
      <c r="S1557" s="42" t="inlineStr">
        <is>
          <t>無印</t>
        </is>
      </c>
      <c r="T1557" s="42" t="n">
        <v>136</v>
      </c>
      <c r="U1557" s="42" t="inlineStr">
        <is>
          <t>P136|無印</t>
        </is>
      </c>
      <c r="V1557" s="42" t="inlineStr">
        <is>
          <t>同一価格表・前頁凡例を継承</t>
        </is>
      </c>
    </row>
    <row r="1558">
      <c r="A1558" t="inlineStr">
        <is>
          <t>SZ-SL-001555</t>
        </is>
      </c>
      <c r="B1558" t="inlineStr">
        <is>
          <t>SER-LIX-SAMOSL</t>
        </is>
      </c>
      <c r="C1558" t="inlineStr">
        <is>
          <t>WT-SL-YOKO-SUBERI</t>
        </is>
      </c>
      <c r="D1558" t="inlineStr">
        <is>
          <t>横すべり出し窓（カムラッチ）</t>
        </is>
      </c>
      <c r="E1558" t="inlineStr">
        <is>
          <t>SP-SL-YOKO-CAM</t>
        </is>
      </c>
      <c r="F1558" t="inlineStr">
        <is>
          <t>在来・204</t>
        </is>
      </c>
      <c r="G1558" t="inlineStr">
        <is>
          <t>06907</t>
        </is>
      </c>
      <c r="H1558" t="inlineStr">
        <is>
          <t>069</t>
        </is>
      </c>
      <c r="I1558" t="inlineStr">
        <is>
          <t>07</t>
        </is>
      </c>
      <c r="J1558" t="n">
        <v>730</v>
      </c>
      <c r="K1558" t="n">
        <v>770</v>
      </c>
      <c r="L1558" t="inlineStr">
        <is>
          <t>在来・204</t>
        </is>
      </c>
      <c r="M1558" t="b">
        <v>1</v>
      </c>
      <c r="N1558" t="inlineStr">
        <is>
          <t>2026規格・詳細構成確認済み</t>
        </is>
      </c>
      <c r="O1558" t="n">
        <v>139</v>
      </c>
      <c r="P1558" t="n">
        <v>137</v>
      </c>
      <c r="Q1558" t="inlineStr">
        <is>
          <t>202604_LIXIL_サーモスＬ_業務用資料集_完成品価格表.pdf</t>
        </is>
      </c>
      <c r="R1558" t="inlineStr">
        <is>
          <t>v0.5カムラッチ規格追加。2026完成品価格表 P137。</t>
        </is>
      </c>
      <c r="S1558" s="42" t="inlineStr">
        <is>
          <t>無印</t>
        </is>
      </c>
      <c r="T1558" s="42" t="n">
        <v>136</v>
      </c>
      <c r="U1558" s="42" t="inlineStr">
        <is>
          <t>P136|無印</t>
        </is>
      </c>
      <c r="V1558" s="42" t="inlineStr">
        <is>
          <t>同一価格表・前頁凡例を継承</t>
        </is>
      </c>
    </row>
    <row r="1559">
      <c r="A1559" t="inlineStr">
        <is>
          <t>SZ-SL-001556</t>
        </is>
      </c>
      <c r="B1559" t="inlineStr">
        <is>
          <t>SER-LIX-SAMOSL</t>
        </is>
      </c>
      <c r="C1559" t="inlineStr">
        <is>
          <t>WT-SL-YOKO-SUBERI</t>
        </is>
      </c>
      <c r="D1559" t="inlineStr">
        <is>
          <t>横すべり出し窓（カムラッチ）</t>
        </is>
      </c>
      <c r="E1559" t="inlineStr">
        <is>
          <t>SP-SL-YOKO-CAM</t>
        </is>
      </c>
      <c r="F1559" t="inlineStr">
        <is>
          <t>在来・204</t>
        </is>
      </c>
      <c r="G1559" t="inlineStr">
        <is>
          <t>06909</t>
        </is>
      </c>
      <c r="H1559" t="inlineStr">
        <is>
          <t>069</t>
        </is>
      </c>
      <c r="I1559" t="inlineStr">
        <is>
          <t>09</t>
        </is>
      </c>
      <c r="J1559" t="n">
        <v>730</v>
      </c>
      <c r="K1559" t="n">
        <v>970</v>
      </c>
      <c r="L1559" t="inlineStr">
        <is>
          <t>在来・204</t>
        </is>
      </c>
      <c r="M1559" t="b">
        <v>1</v>
      </c>
      <c r="N1559" t="inlineStr">
        <is>
          <t>2026規格・詳細構成確認済み</t>
        </is>
      </c>
      <c r="O1559" t="n">
        <v>139</v>
      </c>
      <c r="P1559" t="n">
        <v>137</v>
      </c>
      <c r="Q1559" t="inlineStr">
        <is>
          <t>202604_LIXIL_サーモスＬ_業務用資料集_完成品価格表.pdf</t>
        </is>
      </c>
      <c r="R1559" t="inlineStr">
        <is>
          <t>v0.5カムラッチ規格追加。2026完成品価格表 P137。</t>
        </is>
      </c>
      <c r="S1559" s="42" t="inlineStr">
        <is>
          <t>無印</t>
        </is>
      </c>
      <c r="T1559" s="42" t="n">
        <v>136</v>
      </c>
      <c r="U1559" s="42" t="inlineStr">
        <is>
          <t>P136|無印</t>
        </is>
      </c>
      <c r="V1559" s="42" t="inlineStr">
        <is>
          <t>同一価格表・前頁凡例を継承</t>
        </is>
      </c>
    </row>
    <row r="1560">
      <c r="A1560" t="inlineStr">
        <is>
          <t>SZ-SL-001557</t>
        </is>
      </c>
      <c r="B1560" t="inlineStr">
        <is>
          <t>SER-LIX-SAMOSL</t>
        </is>
      </c>
      <c r="C1560" t="inlineStr">
        <is>
          <t>WT-SL-YOKO-SUBERI</t>
        </is>
      </c>
      <c r="D1560" t="inlineStr">
        <is>
          <t>横すべり出し窓（カムラッチ）</t>
        </is>
      </c>
      <c r="E1560" t="inlineStr">
        <is>
          <t>SP-SL-YOKO-CAM</t>
        </is>
      </c>
      <c r="F1560" t="inlineStr">
        <is>
          <t>在来・204</t>
        </is>
      </c>
      <c r="G1560" t="inlineStr">
        <is>
          <t>07405</t>
        </is>
      </c>
      <c r="H1560" t="inlineStr">
        <is>
          <t>074</t>
        </is>
      </c>
      <c r="I1560" t="inlineStr">
        <is>
          <t>05</t>
        </is>
      </c>
      <c r="J1560" t="n">
        <v>780</v>
      </c>
      <c r="K1560" t="n">
        <v>570</v>
      </c>
      <c r="L1560" t="inlineStr">
        <is>
          <t>在来・204</t>
        </is>
      </c>
      <c r="M1560" t="b">
        <v>1</v>
      </c>
      <c r="N1560" t="inlineStr">
        <is>
          <t>2026規格・詳細構成確認済み</t>
        </is>
      </c>
      <c r="O1560" t="n">
        <v>139</v>
      </c>
      <c r="P1560" t="n">
        <v>137</v>
      </c>
      <c r="Q1560" t="inlineStr">
        <is>
          <t>202604_LIXIL_サーモスＬ_業務用資料集_完成品価格表.pdf</t>
        </is>
      </c>
      <c r="R1560" t="inlineStr">
        <is>
          <t>v0.5カムラッチ規格追加。2026完成品価格表 P137。</t>
        </is>
      </c>
      <c r="S1560" s="42" t="inlineStr">
        <is>
          <t>無印</t>
        </is>
      </c>
      <c r="T1560" s="42" t="n">
        <v>136</v>
      </c>
      <c r="U1560" s="42" t="inlineStr">
        <is>
          <t>P136|無印</t>
        </is>
      </c>
      <c r="V1560" s="42" t="inlineStr">
        <is>
          <t>同一価格表・前頁凡例を継承</t>
        </is>
      </c>
    </row>
    <row r="1561">
      <c r="A1561" t="inlineStr">
        <is>
          <t>SZ-SL-001558</t>
        </is>
      </c>
      <c r="B1561" t="inlineStr">
        <is>
          <t>SER-LIX-SAMOSL</t>
        </is>
      </c>
      <c r="C1561" t="inlineStr">
        <is>
          <t>WT-SL-YOKO-SUBERI</t>
        </is>
      </c>
      <c r="D1561" t="inlineStr">
        <is>
          <t>横すべり出し窓（カムラッチ）</t>
        </is>
      </c>
      <c r="E1561" t="inlineStr">
        <is>
          <t>SP-SL-YOKO-CAM</t>
        </is>
      </c>
      <c r="F1561" t="inlineStr">
        <is>
          <t>在来・204</t>
        </is>
      </c>
      <c r="G1561" t="inlineStr">
        <is>
          <t>07407</t>
        </is>
      </c>
      <c r="H1561" t="inlineStr">
        <is>
          <t>074</t>
        </is>
      </c>
      <c r="I1561" t="inlineStr">
        <is>
          <t>07</t>
        </is>
      </c>
      <c r="J1561" t="n">
        <v>780</v>
      </c>
      <c r="K1561" t="n">
        <v>770</v>
      </c>
      <c r="L1561" t="inlineStr">
        <is>
          <t>在来・204</t>
        </is>
      </c>
      <c r="M1561" t="b">
        <v>1</v>
      </c>
      <c r="N1561" t="inlineStr">
        <is>
          <t>2026規格・詳細構成確認済み</t>
        </is>
      </c>
      <c r="O1561" t="n">
        <v>139</v>
      </c>
      <c r="P1561" t="n">
        <v>137</v>
      </c>
      <c r="Q1561" t="inlineStr">
        <is>
          <t>202604_LIXIL_サーモスＬ_業務用資料集_完成品価格表.pdf</t>
        </is>
      </c>
      <c r="R1561" t="inlineStr">
        <is>
          <t>v0.5カムラッチ規格追加。2026完成品価格表 P137。</t>
        </is>
      </c>
      <c r="S1561" s="42" t="inlineStr">
        <is>
          <t>無印</t>
        </is>
      </c>
      <c r="T1561" s="42" t="n">
        <v>136</v>
      </c>
      <c r="U1561" s="42" t="inlineStr">
        <is>
          <t>P136|無印</t>
        </is>
      </c>
      <c r="V1561" s="42" t="inlineStr">
        <is>
          <t>同一価格表・前頁凡例を継承</t>
        </is>
      </c>
    </row>
    <row r="1562">
      <c r="A1562" t="inlineStr">
        <is>
          <t>SZ-SL-001559</t>
        </is>
      </c>
      <c r="B1562" t="inlineStr">
        <is>
          <t>SER-LIX-SAMOSL</t>
        </is>
      </c>
      <c r="C1562" t="inlineStr">
        <is>
          <t>WT-SL-YOKO-SUBERI</t>
        </is>
      </c>
      <c r="D1562" t="inlineStr">
        <is>
          <t>横すべり出し窓（カムラッチ）</t>
        </is>
      </c>
      <c r="E1562" t="inlineStr">
        <is>
          <t>SP-SL-YOKO-CAM</t>
        </is>
      </c>
      <c r="F1562" t="inlineStr">
        <is>
          <t>在来・204</t>
        </is>
      </c>
      <c r="G1562" t="inlineStr">
        <is>
          <t>07409</t>
        </is>
      </c>
      <c r="H1562" t="inlineStr">
        <is>
          <t>074</t>
        </is>
      </c>
      <c r="I1562" t="inlineStr">
        <is>
          <t>09</t>
        </is>
      </c>
      <c r="J1562" t="n">
        <v>780</v>
      </c>
      <c r="K1562" t="n">
        <v>970</v>
      </c>
      <c r="L1562" t="inlineStr">
        <is>
          <t>在来・204</t>
        </is>
      </c>
      <c r="M1562" t="b">
        <v>1</v>
      </c>
      <c r="N1562" t="inlineStr">
        <is>
          <t>2026規格・詳細構成確認済み</t>
        </is>
      </c>
      <c r="O1562" t="n">
        <v>139</v>
      </c>
      <c r="P1562" t="n">
        <v>137</v>
      </c>
      <c r="Q1562" t="inlineStr">
        <is>
          <t>202604_LIXIL_サーモスＬ_業務用資料集_完成品価格表.pdf</t>
        </is>
      </c>
      <c r="R1562" t="inlineStr">
        <is>
          <t>v0.5カムラッチ規格追加。2026完成品価格表 P137。</t>
        </is>
      </c>
      <c r="S1562" s="42" t="inlineStr">
        <is>
          <t>無印</t>
        </is>
      </c>
      <c r="T1562" s="42" t="n">
        <v>136</v>
      </c>
      <c r="U1562" s="42" t="inlineStr">
        <is>
          <t>P136|無印</t>
        </is>
      </c>
      <c r="V1562" s="42" t="inlineStr">
        <is>
          <t>同一価格表・前頁凡例を継承</t>
        </is>
      </c>
    </row>
    <row r="1563">
      <c r="A1563" t="inlineStr">
        <is>
          <t>SZ-SL-001560</t>
        </is>
      </c>
      <c r="B1563" t="inlineStr">
        <is>
          <t>SER-LIX-SAMOSL</t>
        </is>
      </c>
      <c r="C1563" t="inlineStr">
        <is>
          <t>WT-SL-SHUTTER-HIKI</t>
        </is>
      </c>
      <c r="D1563" t="inlineStr">
        <is>
          <t>シャッター付引違い窓</t>
        </is>
      </c>
      <c r="E1563" t="inlineStr">
        <is>
          <t>SP-SL-SHUT-M-STD</t>
        </is>
      </c>
      <c r="F1563" t="inlineStr">
        <is>
          <t>在来・204</t>
        </is>
      </c>
      <c r="G1563" t="inlineStr">
        <is>
          <t>11409</t>
        </is>
      </c>
      <c r="H1563" t="inlineStr">
        <is>
          <t>114</t>
        </is>
      </c>
      <c r="I1563" t="inlineStr">
        <is>
          <t>09</t>
        </is>
      </c>
      <c r="J1563" t="n">
        <v>1185</v>
      </c>
      <c r="K1563" t="n">
        <v>970</v>
      </c>
      <c r="L1563" t="inlineStr">
        <is>
          <t>在来・204｜手動</t>
        </is>
      </c>
      <c r="M1563" t="b">
        <v>1</v>
      </c>
      <c r="N1563" t="inlineStr">
        <is>
          <t>カタログ規格確認済み</t>
        </is>
      </c>
      <c r="O1563" t="n">
        <v>56</v>
      </c>
      <c r="P1563" t="n">
        <v>54</v>
      </c>
      <c r="Q1563" t="inlineStr">
        <is>
          <t>202604_LIXIL_サーモスＬ_業務用資料集_完成品価格表.pdf</t>
        </is>
      </c>
      <c r="R1563" t="inlineStr">
        <is>
          <t>v1.7公式Source gap補完。完成品価格表 P54。</t>
        </is>
      </c>
      <c r="S1563" t="inlineStr">
        <is>
          <t>無印</t>
        </is>
      </c>
      <c r="T1563" t="n">
        <v>55</v>
      </c>
      <c r="U1563" t="inlineStr">
        <is>
          <t>P55|無印</t>
        </is>
      </c>
      <c r="V1563" t="inlineStr">
        <is>
          <t>同一価格表・次頁凡例を継承</t>
        </is>
      </c>
    </row>
    <row r="1564">
      <c r="A1564" t="inlineStr">
        <is>
          <t>SZ-SL-001561</t>
        </is>
      </c>
      <c r="B1564" t="inlineStr">
        <is>
          <t>SER-LIX-SAMOSL</t>
        </is>
      </c>
      <c r="C1564" t="inlineStr">
        <is>
          <t>WT-SL-SHUTTER-HIKI</t>
        </is>
      </c>
      <c r="D1564" t="inlineStr">
        <is>
          <t>シャッター付引違い窓</t>
        </is>
      </c>
      <c r="E1564" t="inlineStr">
        <is>
          <t>SP-SL-SHUT-M-STD</t>
        </is>
      </c>
      <c r="F1564" t="inlineStr">
        <is>
          <t>在来・204</t>
        </is>
      </c>
      <c r="G1564" t="inlineStr">
        <is>
          <t>11909</t>
        </is>
      </c>
      <c r="H1564" t="inlineStr">
        <is>
          <t>119</t>
        </is>
      </c>
      <c r="I1564" t="inlineStr">
        <is>
          <t>09</t>
        </is>
      </c>
      <c r="J1564" t="n">
        <v>1235</v>
      </c>
      <c r="K1564" t="n">
        <v>970</v>
      </c>
      <c r="L1564" t="inlineStr">
        <is>
          <t>在来・204｜手動</t>
        </is>
      </c>
      <c r="M1564" t="b">
        <v>1</v>
      </c>
      <c r="N1564" t="inlineStr">
        <is>
          <t>カタログ規格確認済み</t>
        </is>
      </c>
      <c r="O1564" t="n">
        <v>56</v>
      </c>
      <c r="P1564" t="n">
        <v>54</v>
      </c>
      <c r="Q1564" t="inlineStr">
        <is>
          <t>202604_LIXIL_サーモスＬ_業務用資料集_完成品価格表.pdf</t>
        </is>
      </c>
      <c r="R1564" t="inlineStr">
        <is>
          <t>v1.7公式Source gap補完。完成品価格表 P54。</t>
        </is>
      </c>
      <c r="S1564" t="inlineStr">
        <is>
          <t>無印</t>
        </is>
      </c>
      <c r="T1564" t="n">
        <v>55</v>
      </c>
      <c r="U1564" t="inlineStr">
        <is>
          <t>P55|無印</t>
        </is>
      </c>
      <c r="V1564" t="inlineStr">
        <is>
          <t>同一価格表・次頁凡例を継承</t>
        </is>
      </c>
    </row>
    <row r="1565">
      <c r="A1565" t="inlineStr">
        <is>
          <t>SZ-SL-001562</t>
        </is>
      </c>
      <c r="B1565" t="inlineStr">
        <is>
          <t>SER-LIX-SAMOSL</t>
        </is>
      </c>
      <c r="C1565" t="inlineStr">
        <is>
          <t>WT-SL-SHUTTER-HIKI</t>
        </is>
      </c>
      <c r="D1565" t="inlineStr">
        <is>
          <t>シャッター付引違い窓</t>
        </is>
      </c>
      <c r="E1565" t="inlineStr">
        <is>
          <t>SP-SL-SHUT-M-STD</t>
        </is>
      </c>
      <c r="F1565" t="inlineStr">
        <is>
          <t>在来・204</t>
        </is>
      </c>
      <c r="G1565" t="inlineStr">
        <is>
          <t>12809</t>
        </is>
      </c>
      <c r="H1565" t="inlineStr">
        <is>
          <t>128</t>
        </is>
      </c>
      <c r="I1565" t="inlineStr">
        <is>
          <t>09</t>
        </is>
      </c>
      <c r="J1565" t="n">
        <v>1320</v>
      </c>
      <c r="K1565" t="n">
        <v>970</v>
      </c>
      <c r="L1565" t="inlineStr">
        <is>
          <t>在来・204｜手動</t>
        </is>
      </c>
      <c r="M1565" t="b">
        <v>1</v>
      </c>
      <c r="N1565" t="inlineStr">
        <is>
          <t>カタログ規格確認済み</t>
        </is>
      </c>
      <c r="O1565" t="n">
        <v>56</v>
      </c>
      <c r="P1565" t="n">
        <v>54</v>
      </c>
      <c r="Q1565" t="inlineStr">
        <is>
          <t>202604_LIXIL_サーモスＬ_業務用資料集_完成品価格表.pdf</t>
        </is>
      </c>
      <c r="R1565" t="inlineStr">
        <is>
          <t>v1.7公式Source gap補完。完成品価格表 P54。</t>
        </is>
      </c>
      <c r="S1565" t="inlineStr">
        <is>
          <t>無印</t>
        </is>
      </c>
      <c r="T1565" t="n">
        <v>55</v>
      </c>
      <c r="U1565" t="inlineStr">
        <is>
          <t>P55|無印</t>
        </is>
      </c>
      <c r="V1565" t="inlineStr">
        <is>
          <t>同一価格表・次頁凡例を継承</t>
        </is>
      </c>
    </row>
    <row r="1566">
      <c r="A1566" t="inlineStr">
        <is>
          <t>SZ-SL-001563</t>
        </is>
      </c>
      <c r="B1566" t="inlineStr">
        <is>
          <t>SER-LIX-SAMOSL</t>
        </is>
      </c>
      <c r="C1566" t="inlineStr">
        <is>
          <t>WT-SL-SHUTTER-HIKI</t>
        </is>
      </c>
      <c r="D1566" t="inlineStr">
        <is>
          <t>シャッター付引違い窓</t>
        </is>
      </c>
      <c r="E1566" t="inlineStr">
        <is>
          <t>SP-SL-SHUT-M-STD</t>
        </is>
      </c>
      <c r="F1566" t="inlineStr">
        <is>
          <t>在来・204</t>
        </is>
      </c>
      <c r="G1566" t="inlineStr">
        <is>
          <t>13309</t>
        </is>
      </c>
      <c r="H1566" t="inlineStr">
        <is>
          <t>133</t>
        </is>
      </c>
      <c r="I1566" t="inlineStr">
        <is>
          <t>09</t>
        </is>
      </c>
      <c r="J1566" t="n">
        <v>1370</v>
      </c>
      <c r="K1566" t="n">
        <v>970</v>
      </c>
      <c r="L1566" t="inlineStr">
        <is>
          <t>在来・204｜手動</t>
        </is>
      </c>
      <c r="M1566" t="b">
        <v>1</v>
      </c>
      <c r="N1566" t="inlineStr">
        <is>
          <t>カタログ規格確認済み</t>
        </is>
      </c>
      <c r="O1566" t="n">
        <v>56</v>
      </c>
      <c r="P1566" t="n">
        <v>54</v>
      </c>
      <c r="Q1566" t="inlineStr">
        <is>
          <t>202604_LIXIL_サーモスＬ_業務用資料集_完成品価格表.pdf</t>
        </is>
      </c>
      <c r="R1566" t="inlineStr">
        <is>
          <t>v1.7公式Source gap補完。完成品価格表 P54。</t>
        </is>
      </c>
      <c r="S1566" t="inlineStr">
        <is>
          <t>無印</t>
        </is>
      </c>
      <c r="T1566" t="n">
        <v>55</v>
      </c>
      <c r="U1566" t="inlineStr">
        <is>
          <t>P55|無印</t>
        </is>
      </c>
      <c r="V1566" t="inlineStr">
        <is>
          <t>同一価格表・次頁凡例を継承</t>
        </is>
      </c>
    </row>
    <row r="1567">
      <c r="A1567" t="inlineStr">
        <is>
          <t>SZ-SL-001564</t>
        </is>
      </c>
      <c r="B1567" t="inlineStr">
        <is>
          <t>SER-LIX-SAMOSL</t>
        </is>
      </c>
      <c r="C1567" t="inlineStr">
        <is>
          <t>WT-SL-SHUTTER-HIKI</t>
        </is>
      </c>
      <c r="D1567" t="inlineStr">
        <is>
          <t>シャッター付引違い窓</t>
        </is>
      </c>
      <c r="E1567" t="inlineStr">
        <is>
          <t>SP-SL-SHUT-M-STD</t>
        </is>
      </c>
      <c r="F1567" t="inlineStr">
        <is>
          <t>在来・204</t>
        </is>
      </c>
      <c r="G1567" t="inlineStr">
        <is>
          <t>11411</t>
        </is>
      </c>
      <c r="H1567" t="inlineStr">
        <is>
          <t>114</t>
        </is>
      </c>
      <c r="I1567" t="inlineStr">
        <is>
          <t>11</t>
        </is>
      </c>
      <c r="J1567" t="n">
        <v>1185</v>
      </c>
      <c r="K1567" t="n">
        <v>1170</v>
      </c>
      <c r="L1567" t="inlineStr">
        <is>
          <t>在来・204｜手動</t>
        </is>
      </c>
      <c r="M1567" t="b">
        <v>1</v>
      </c>
      <c r="N1567" t="inlineStr">
        <is>
          <t>カタログ規格確認済み</t>
        </is>
      </c>
      <c r="O1567" t="n">
        <v>56</v>
      </c>
      <c r="P1567" t="n">
        <v>54</v>
      </c>
      <c r="Q1567" t="inlineStr">
        <is>
          <t>202604_LIXIL_サーモスＬ_業務用資料集_完成品価格表.pdf</t>
        </is>
      </c>
      <c r="R1567" t="inlineStr">
        <is>
          <t>v1.7公式Source gap補完。完成品価格表 P54。</t>
        </is>
      </c>
      <c r="S1567" t="inlineStr">
        <is>
          <t>無印</t>
        </is>
      </c>
      <c r="T1567" t="n">
        <v>55</v>
      </c>
      <c r="U1567" t="inlineStr">
        <is>
          <t>P55|無印</t>
        </is>
      </c>
      <c r="V1567" t="inlineStr">
        <is>
          <t>同一価格表・次頁凡例を継承</t>
        </is>
      </c>
    </row>
    <row r="1568">
      <c r="A1568" t="inlineStr">
        <is>
          <t>SZ-SL-001565</t>
        </is>
      </c>
      <c r="B1568" t="inlineStr">
        <is>
          <t>SER-LIX-SAMOSL</t>
        </is>
      </c>
      <c r="C1568" t="inlineStr">
        <is>
          <t>WT-SL-SHUTTER-HIKI</t>
        </is>
      </c>
      <c r="D1568" t="inlineStr">
        <is>
          <t>シャッター付引違い窓</t>
        </is>
      </c>
      <c r="E1568" t="inlineStr">
        <is>
          <t>SP-SL-SHUT-M-STD</t>
        </is>
      </c>
      <c r="F1568" t="inlineStr">
        <is>
          <t>在来・204</t>
        </is>
      </c>
      <c r="G1568" t="inlineStr">
        <is>
          <t>11911</t>
        </is>
      </c>
      <c r="H1568" t="inlineStr">
        <is>
          <t>119</t>
        </is>
      </c>
      <c r="I1568" t="inlineStr">
        <is>
          <t>11</t>
        </is>
      </c>
      <c r="J1568" t="n">
        <v>1235</v>
      </c>
      <c r="K1568" t="n">
        <v>1170</v>
      </c>
      <c r="L1568" t="inlineStr">
        <is>
          <t>在来・204｜手動</t>
        </is>
      </c>
      <c r="M1568" t="b">
        <v>1</v>
      </c>
      <c r="N1568" t="inlineStr">
        <is>
          <t>カタログ規格確認済み</t>
        </is>
      </c>
      <c r="O1568" t="n">
        <v>56</v>
      </c>
      <c r="P1568" t="n">
        <v>54</v>
      </c>
      <c r="Q1568" t="inlineStr">
        <is>
          <t>202604_LIXIL_サーモスＬ_業務用資料集_完成品価格表.pdf</t>
        </is>
      </c>
      <c r="R1568" t="inlineStr">
        <is>
          <t>v1.7公式Source gap補完。完成品価格表 P54。</t>
        </is>
      </c>
      <c r="S1568" t="inlineStr">
        <is>
          <t>無印</t>
        </is>
      </c>
      <c r="T1568" t="n">
        <v>55</v>
      </c>
      <c r="U1568" t="inlineStr">
        <is>
          <t>P55|無印</t>
        </is>
      </c>
      <c r="V1568" t="inlineStr">
        <is>
          <t>同一価格表・次頁凡例を継承</t>
        </is>
      </c>
    </row>
    <row r="1569">
      <c r="A1569" t="inlineStr">
        <is>
          <t>SZ-SL-001566</t>
        </is>
      </c>
      <c r="B1569" t="inlineStr">
        <is>
          <t>SER-LIX-SAMOSL</t>
        </is>
      </c>
      <c r="C1569" t="inlineStr">
        <is>
          <t>WT-SL-SHUTTER-HIKI</t>
        </is>
      </c>
      <c r="D1569" t="inlineStr">
        <is>
          <t>シャッター付引違い窓</t>
        </is>
      </c>
      <c r="E1569" t="inlineStr">
        <is>
          <t>SP-SL-SHUT-M-STD</t>
        </is>
      </c>
      <c r="F1569" t="inlineStr">
        <is>
          <t>在来・204</t>
        </is>
      </c>
      <c r="G1569" t="inlineStr">
        <is>
          <t>12811</t>
        </is>
      </c>
      <c r="H1569" t="inlineStr">
        <is>
          <t>128</t>
        </is>
      </c>
      <c r="I1569" t="inlineStr">
        <is>
          <t>11</t>
        </is>
      </c>
      <c r="J1569" t="n">
        <v>1320</v>
      </c>
      <c r="K1569" t="n">
        <v>1170</v>
      </c>
      <c r="L1569" t="inlineStr">
        <is>
          <t>在来・204｜手動</t>
        </is>
      </c>
      <c r="M1569" t="b">
        <v>1</v>
      </c>
      <c r="N1569" t="inlineStr">
        <is>
          <t>カタログ規格確認済み</t>
        </is>
      </c>
      <c r="O1569" t="n">
        <v>56</v>
      </c>
      <c r="P1569" t="n">
        <v>54</v>
      </c>
      <c r="Q1569" t="inlineStr">
        <is>
          <t>202604_LIXIL_サーモスＬ_業務用資料集_完成品価格表.pdf</t>
        </is>
      </c>
      <c r="R1569" t="inlineStr">
        <is>
          <t>v1.7公式Source gap補完。完成品価格表 P54。</t>
        </is>
      </c>
      <c r="S1569" t="inlineStr">
        <is>
          <t>無印</t>
        </is>
      </c>
      <c r="T1569" t="n">
        <v>55</v>
      </c>
      <c r="U1569" t="inlineStr">
        <is>
          <t>P55|無印</t>
        </is>
      </c>
      <c r="V1569" t="inlineStr">
        <is>
          <t>同一価格表・次頁凡例を継承</t>
        </is>
      </c>
    </row>
    <row r="1570">
      <c r="A1570" t="inlineStr">
        <is>
          <t>SZ-SL-001567</t>
        </is>
      </c>
      <c r="B1570" t="inlineStr">
        <is>
          <t>SER-LIX-SAMOSL</t>
        </is>
      </c>
      <c r="C1570" t="inlineStr">
        <is>
          <t>WT-SL-SHUTTER-HIKI</t>
        </is>
      </c>
      <c r="D1570" t="inlineStr">
        <is>
          <t>シャッター付引違い窓</t>
        </is>
      </c>
      <c r="E1570" t="inlineStr">
        <is>
          <t>SP-SL-SHUT-M-STD</t>
        </is>
      </c>
      <c r="F1570" t="inlineStr">
        <is>
          <t>在来・204</t>
        </is>
      </c>
      <c r="G1570" t="inlineStr">
        <is>
          <t>13311</t>
        </is>
      </c>
      <c r="H1570" t="inlineStr">
        <is>
          <t>133</t>
        </is>
      </c>
      <c r="I1570" t="inlineStr">
        <is>
          <t>11</t>
        </is>
      </c>
      <c r="J1570" t="n">
        <v>1370</v>
      </c>
      <c r="K1570" t="n">
        <v>1170</v>
      </c>
      <c r="L1570" t="inlineStr">
        <is>
          <t>在来・204｜手動</t>
        </is>
      </c>
      <c r="M1570" t="b">
        <v>1</v>
      </c>
      <c r="N1570" t="inlineStr">
        <is>
          <t>カタログ規格確認済み</t>
        </is>
      </c>
      <c r="O1570" t="n">
        <v>56</v>
      </c>
      <c r="P1570" t="n">
        <v>54</v>
      </c>
      <c r="Q1570" t="inlineStr">
        <is>
          <t>202604_LIXIL_サーモスＬ_業務用資料集_完成品価格表.pdf</t>
        </is>
      </c>
      <c r="R1570" t="inlineStr">
        <is>
          <t>v1.7公式Source gap補完。完成品価格表 P54。</t>
        </is>
      </c>
      <c r="S1570" t="inlineStr">
        <is>
          <t>無印</t>
        </is>
      </c>
      <c r="T1570" t="n">
        <v>55</v>
      </c>
      <c r="U1570" t="inlineStr">
        <is>
          <t>P55|無印</t>
        </is>
      </c>
      <c r="V1570" t="inlineStr">
        <is>
          <t>同一価格表・次頁凡例を継承</t>
        </is>
      </c>
    </row>
    <row r="1571">
      <c r="A1571" t="inlineStr">
        <is>
          <t>SZ-SL-001568</t>
        </is>
      </c>
      <c r="B1571" t="inlineStr">
        <is>
          <t>SER-LIX-SAMOSL</t>
        </is>
      </c>
      <c r="C1571" t="inlineStr">
        <is>
          <t>WT-SL-SHUTTER-HIKI</t>
        </is>
      </c>
      <c r="D1571" t="inlineStr">
        <is>
          <t>シャッター付引違い窓</t>
        </is>
      </c>
      <c r="E1571" t="inlineStr">
        <is>
          <t>SP-SL-SHUT-M-STD</t>
        </is>
      </c>
      <c r="F1571" t="inlineStr">
        <is>
          <t>在来・204</t>
        </is>
      </c>
      <c r="G1571" t="inlineStr">
        <is>
          <t>11413</t>
        </is>
      </c>
      <c r="H1571" t="inlineStr">
        <is>
          <t>114</t>
        </is>
      </c>
      <c r="I1571" t="inlineStr">
        <is>
          <t>13</t>
        </is>
      </c>
      <c r="J1571" t="n">
        <v>1185</v>
      </c>
      <c r="K1571" t="n">
        <v>1370</v>
      </c>
      <c r="L1571" t="inlineStr">
        <is>
          <t>在来・204｜手動</t>
        </is>
      </c>
      <c r="M1571" t="b">
        <v>1</v>
      </c>
      <c r="N1571" t="inlineStr">
        <is>
          <t>カタログ規格確認済み</t>
        </is>
      </c>
      <c r="O1571" t="n">
        <v>56</v>
      </c>
      <c r="P1571" t="n">
        <v>54</v>
      </c>
      <c r="Q1571" t="inlineStr">
        <is>
          <t>202604_LIXIL_サーモスＬ_業務用資料集_完成品価格表.pdf</t>
        </is>
      </c>
      <c r="R1571" t="inlineStr">
        <is>
          <t>v1.7公式Source gap補完。完成品価格表 P54。</t>
        </is>
      </c>
      <c r="S1571" t="inlineStr">
        <is>
          <t>無印</t>
        </is>
      </c>
      <c r="T1571" t="n">
        <v>55</v>
      </c>
      <c r="U1571" t="inlineStr">
        <is>
          <t>P55|無印</t>
        </is>
      </c>
      <c r="V1571" t="inlineStr">
        <is>
          <t>同一価格表・次頁凡例を継承</t>
        </is>
      </c>
    </row>
    <row r="1572">
      <c r="A1572" t="inlineStr">
        <is>
          <t>SZ-SL-001569</t>
        </is>
      </c>
      <c r="B1572" t="inlineStr">
        <is>
          <t>SER-LIX-SAMOSL</t>
        </is>
      </c>
      <c r="C1572" t="inlineStr">
        <is>
          <t>WT-SL-SHUTTER-HIKI</t>
        </is>
      </c>
      <c r="D1572" t="inlineStr">
        <is>
          <t>シャッター付引違い窓</t>
        </is>
      </c>
      <c r="E1572" t="inlineStr">
        <is>
          <t>SP-SL-SHUT-M-STD</t>
        </is>
      </c>
      <c r="F1572" t="inlineStr">
        <is>
          <t>在来・204</t>
        </is>
      </c>
      <c r="G1572" t="inlineStr">
        <is>
          <t>11913</t>
        </is>
      </c>
      <c r="H1572" t="inlineStr">
        <is>
          <t>119</t>
        </is>
      </c>
      <c r="I1572" t="inlineStr">
        <is>
          <t>13</t>
        </is>
      </c>
      <c r="J1572" t="n">
        <v>1235</v>
      </c>
      <c r="K1572" t="n">
        <v>1370</v>
      </c>
      <c r="L1572" t="inlineStr">
        <is>
          <t>在来・204｜手動</t>
        </is>
      </c>
      <c r="M1572" t="b">
        <v>1</v>
      </c>
      <c r="N1572" t="inlineStr">
        <is>
          <t>カタログ規格確認済み</t>
        </is>
      </c>
      <c r="O1572" t="n">
        <v>56</v>
      </c>
      <c r="P1572" t="n">
        <v>54</v>
      </c>
      <c r="Q1572" t="inlineStr">
        <is>
          <t>202604_LIXIL_サーモスＬ_業務用資料集_完成品価格表.pdf</t>
        </is>
      </c>
      <c r="R1572" t="inlineStr">
        <is>
          <t>v1.7公式Source gap補完。完成品価格表 P54。</t>
        </is>
      </c>
      <c r="S1572" t="inlineStr">
        <is>
          <t>無印</t>
        </is>
      </c>
      <c r="T1572" t="n">
        <v>55</v>
      </c>
      <c r="U1572" t="inlineStr">
        <is>
          <t>P55|無印</t>
        </is>
      </c>
      <c r="V1572" t="inlineStr">
        <is>
          <t>同一価格表・次頁凡例を継承</t>
        </is>
      </c>
    </row>
    <row r="1573">
      <c r="A1573" t="inlineStr">
        <is>
          <t>SZ-SL-001570</t>
        </is>
      </c>
      <c r="B1573" t="inlineStr">
        <is>
          <t>SER-LIX-SAMOSL</t>
        </is>
      </c>
      <c r="C1573" t="inlineStr">
        <is>
          <t>WT-SL-SHUTTER-HIKI</t>
        </is>
      </c>
      <c r="D1573" t="inlineStr">
        <is>
          <t>シャッター付引違い窓</t>
        </is>
      </c>
      <c r="E1573" t="inlineStr">
        <is>
          <t>SP-SL-SHUT-M-STD</t>
        </is>
      </c>
      <c r="F1573" t="inlineStr">
        <is>
          <t>在来・204</t>
        </is>
      </c>
      <c r="G1573" t="inlineStr">
        <is>
          <t>12813</t>
        </is>
      </c>
      <c r="H1573" t="inlineStr">
        <is>
          <t>128</t>
        </is>
      </c>
      <c r="I1573" t="inlineStr">
        <is>
          <t>13</t>
        </is>
      </c>
      <c r="J1573" t="n">
        <v>1320</v>
      </c>
      <c r="K1573" t="n">
        <v>1370</v>
      </c>
      <c r="L1573" t="inlineStr">
        <is>
          <t>在来・204｜手動</t>
        </is>
      </c>
      <c r="M1573" t="b">
        <v>1</v>
      </c>
      <c r="N1573" t="inlineStr">
        <is>
          <t>カタログ規格確認済み</t>
        </is>
      </c>
      <c r="O1573" t="n">
        <v>56</v>
      </c>
      <c r="P1573" t="n">
        <v>54</v>
      </c>
      <c r="Q1573" t="inlineStr">
        <is>
          <t>202604_LIXIL_サーモスＬ_業務用資料集_完成品価格表.pdf</t>
        </is>
      </c>
      <c r="R1573" t="inlineStr">
        <is>
          <t>v1.7公式Source gap補完。完成品価格表 P54。</t>
        </is>
      </c>
      <c r="S1573" t="inlineStr">
        <is>
          <t>無印</t>
        </is>
      </c>
      <c r="T1573" t="n">
        <v>55</v>
      </c>
      <c r="U1573" t="inlineStr">
        <is>
          <t>P55|無印</t>
        </is>
      </c>
      <c r="V1573" t="inlineStr">
        <is>
          <t>同一価格表・次頁凡例を継承</t>
        </is>
      </c>
    </row>
    <row r="1574">
      <c r="A1574" t="inlineStr">
        <is>
          <t>SZ-SL-001571</t>
        </is>
      </c>
      <c r="B1574" t="inlineStr">
        <is>
          <t>SER-LIX-SAMOSL</t>
        </is>
      </c>
      <c r="C1574" t="inlineStr">
        <is>
          <t>WT-SL-SHUTTER-HIKI</t>
        </is>
      </c>
      <c r="D1574" t="inlineStr">
        <is>
          <t>シャッター付引違い窓</t>
        </is>
      </c>
      <c r="E1574" t="inlineStr">
        <is>
          <t>SP-SL-SHUT-M-STD</t>
        </is>
      </c>
      <c r="F1574" t="inlineStr">
        <is>
          <t>在来・204</t>
        </is>
      </c>
      <c r="G1574" t="inlineStr">
        <is>
          <t>13313</t>
        </is>
      </c>
      <c r="H1574" t="inlineStr">
        <is>
          <t>133</t>
        </is>
      </c>
      <c r="I1574" t="inlineStr">
        <is>
          <t>13</t>
        </is>
      </c>
      <c r="J1574" t="n">
        <v>1370</v>
      </c>
      <c r="K1574" t="n">
        <v>1370</v>
      </c>
      <c r="L1574" t="inlineStr">
        <is>
          <t>在来・204｜手動</t>
        </is>
      </c>
      <c r="M1574" t="b">
        <v>1</v>
      </c>
      <c r="N1574" t="inlineStr">
        <is>
          <t>カタログ規格確認済み</t>
        </is>
      </c>
      <c r="O1574" t="n">
        <v>56</v>
      </c>
      <c r="P1574" t="n">
        <v>54</v>
      </c>
      <c r="Q1574" t="inlineStr">
        <is>
          <t>202604_LIXIL_サーモスＬ_業務用資料集_完成品価格表.pdf</t>
        </is>
      </c>
      <c r="R1574" t="inlineStr">
        <is>
          <t>v1.7公式Source gap補完。完成品価格表 P54。</t>
        </is>
      </c>
      <c r="S1574" t="inlineStr">
        <is>
          <t>無印</t>
        </is>
      </c>
      <c r="T1574" t="n">
        <v>55</v>
      </c>
      <c r="U1574" t="inlineStr">
        <is>
          <t>P55|無印</t>
        </is>
      </c>
      <c r="V1574" t="inlineStr">
        <is>
          <t>同一価格表・次頁凡例を継承</t>
        </is>
      </c>
    </row>
    <row r="1575">
      <c r="A1575" t="inlineStr">
        <is>
          <t>SZ-SL-001572</t>
        </is>
      </c>
      <c r="B1575" t="inlineStr">
        <is>
          <t>SER-LIX-SAMOSL</t>
        </is>
      </c>
      <c r="C1575" t="inlineStr">
        <is>
          <t>WT-SL-SHUTTER-HIKI</t>
        </is>
      </c>
      <c r="D1575" t="inlineStr">
        <is>
          <t>シャッター付引違い窓</t>
        </is>
      </c>
      <c r="E1575" t="inlineStr">
        <is>
          <t>SP-SL-SHUT-M-STD</t>
        </is>
      </c>
      <c r="F1575" t="inlineStr">
        <is>
          <t>在来・204</t>
        </is>
      </c>
      <c r="G1575" t="inlineStr">
        <is>
          <t>16507</t>
        </is>
      </c>
      <c r="H1575" t="inlineStr">
        <is>
          <t>165</t>
        </is>
      </c>
      <c r="I1575" t="inlineStr">
        <is>
          <t>07</t>
        </is>
      </c>
      <c r="J1575" t="n">
        <v>1690</v>
      </c>
      <c r="K1575" t="n">
        <v>770</v>
      </c>
      <c r="L1575" t="inlineStr">
        <is>
          <t>在来・204｜手動</t>
        </is>
      </c>
      <c r="M1575" t="b">
        <v>1</v>
      </c>
      <c r="N1575" t="inlineStr">
        <is>
          <t>カタログ規格確認済み</t>
        </is>
      </c>
      <c r="O1575" t="n">
        <v>57</v>
      </c>
      <c r="P1575" t="n">
        <v>55</v>
      </c>
      <c r="Q1575" t="inlineStr">
        <is>
          <t>202604_LIXIL_サーモスＬ_業務用資料集_完成品価格表.pdf</t>
        </is>
      </c>
      <c r="R1575" t="inlineStr">
        <is>
          <t>v1.7公式Source gap補完。完成品価格表 P55。</t>
        </is>
      </c>
      <c r="S1575" t="inlineStr">
        <is>
          <t>無印</t>
        </is>
      </c>
      <c r="T1575" t="n">
        <v>55</v>
      </c>
      <c r="U1575" t="inlineStr">
        <is>
          <t>P55|無印</t>
        </is>
      </c>
      <c r="V1575" t="inlineStr">
        <is>
          <t>同頁凡例へ直接連動</t>
        </is>
      </c>
    </row>
    <row r="1576">
      <c r="A1576" t="inlineStr">
        <is>
          <t>SZ-SL-001573</t>
        </is>
      </c>
      <c r="B1576" t="inlineStr">
        <is>
          <t>SER-LIX-SAMOSL</t>
        </is>
      </c>
      <c r="C1576" t="inlineStr">
        <is>
          <t>WT-SL-SHUTTER-HIKI</t>
        </is>
      </c>
      <c r="D1576" t="inlineStr">
        <is>
          <t>シャッター付引違い窓</t>
        </is>
      </c>
      <c r="E1576" t="inlineStr">
        <is>
          <t>SP-SL-SHUT-M-STD</t>
        </is>
      </c>
      <c r="F1576" t="inlineStr">
        <is>
          <t>在来・204</t>
        </is>
      </c>
      <c r="G1576" t="inlineStr">
        <is>
          <t>15009</t>
        </is>
      </c>
      <c r="H1576" t="inlineStr">
        <is>
          <t>150</t>
        </is>
      </c>
      <c r="I1576" t="inlineStr">
        <is>
          <t>09</t>
        </is>
      </c>
      <c r="J1576" t="n">
        <v>1540</v>
      </c>
      <c r="K1576" t="n">
        <v>970</v>
      </c>
      <c r="L1576" t="inlineStr">
        <is>
          <t>在来・204｜手動</t>
        </is>
      </c>
      <c r="M1576" t="b">
        <v>1</v>
      </c>
      <c r="N1576" t="inlineStr">
        <is>
          <t>カタログ規格確認済み</t>
        </is>
      </c>
      <c r="O1576" t="n">
        <v>57</v>
      </c>
      <c r="P1576" t="n">
        <v>55</v>
      </c>
      <c r="Q1576" t="inlineStr">
        <is>
          <t>202604_LIXIL_サーモスＬ_業務用資料集_完成品価格表.pdf</t>
        </is>
      </c>
      <c r="R1576" t="inlineStr">
        <is>
          <t>v1.7公式Source gap補完。完成品価格表 P55。</t>
        </is>
      </c>
      <c r="S1576" t="inlineStr">
        <is>
          <t>無印</t>
        </is>
      </c>
      <c r="T1576" t="n">
        <v>55</v>
      </c>
      <c r="U1576" t="inlineStr">
        <is>
          <t>P55|無印</t>
        </is>
      </c>
      <c r="V1576" t="inlineStr">
        <is>
          <t>同頁凡例へ直接連動</t>
        </is>
      </c>
    </row>
    <row r="1577">
      <c r="A1577" t="inlineStr">
        <is>
          <t>SZ-SL-001574</t>
        </is>
      </c>
      <c r="B1577" t="inlineStr">
        <is>
          <t>SER-LIX-SAMOSL</t>
        </is>
      </c>
      <c r="C1577" t="inlineStr">
        <is>
          <t>WT-SL-SHUTTER-HIKI</t>
        </is>
      </c>
      <c r="D1577" t="inlineStr">
        <is>
          <t>シャッター付引違い窓</t>
        </is>
      </c>
      <c r="E1577" t="inlineStr">
        <is>
          <t>SP-SL-SHUT-M-STD</t>
        </is>
      </c>
      <c r="F1577" t="inlineStr">
        <is>
          <t>在来・204</t>
        </is>
      </c>
      <c r="G1577" t="inlineStr">
        <is>
          <t>16009</t>
        </is>
      </c>
      <c r="H1577" t="inlineStr">
        <is>
          <t>160</t>
        </is>
      </c>
      <c r="I1577" t="inlineStr">
        <is>
          <t>09</t>
        </is>
      </c>
      <c r="J1577" t="n">
        <v>1640</v>
      </c>
      <c r="K1577" t="n">
        <v>970</v>
      </c>
      <c r="L1577" t="inlineStr">
        <is>
          <t>在来・204｜手動</t>
        </is>
      </c>
      <c r="M1577" t="b">
        <v>1</v>
      </c>
      <c r="N1577" t="inlineStr">
        <is>
          <t>カタログ規格確認済み</t>
        </is>
      </c>
      <c r="O1577" t="n">
        <v>57</v>
      </c>
      <c r="P1577" t="n">
        <v>55</v>
      </c>
      <c r="Q1577" t="inlineStr">
        <is>
          <t>202604_LIXIL_サーモスＬ_業務用資料集_完成品価格表.pdf</t>
        </is>
      </c>
      <c r="R1577" t="inlineStr">
        <is>
          <t>v1.7公式Source gap補完。完成品価格表 P55。</t>
        </is>
      </c>
      <c r="S1577" t="inlineStr">
        <is>
          <t>無印</t>
        </is>
      </c>
      <c r="T1577" t="n">
        <v>55</v>
      </c>
      <c r="U1577" t="inlineStr">
        <is>
          <t>P55|無印</t>
        </is>
      </c>
      <c r="V1577" t="inlineStr">
        <is>
          <t>同頁凡例へ直接連動</t>
        </is>
      </c>
    </row>
    <row r="1578">
      <c r="A1578" t="inlineStr">
        <is>
          <t>SZ-SL-001575</t>
        </is>
      </c>
      <c r="B1578" t="inlineStr">
        <is>
          <t>SER-LIX-SAMOSL</t>
        </is>
      </c>
      <c r="C1578" t="inlineStr">
        <is>
          <t>WT-SL-SHUTTER-HIKI</t>
        </is>
      </c>
      <c r="D1578" t="inlineStr">
        <is>
          <t>シャッター付引違い窓</t>
        </is>
      </c>
      <c r="E1578" t="inlineStr">
        <is>
          <t>SP-SL-SHUT-M-STD</t>
        </is>
      </c>
      <c r="F1578" t="inlineStr">
        <is>
          <t>在来・204</t>
        </is>
      </c>
      <c r="G1578" t="inlineStr">
        <is>
          <t>16509</t>
        </is>
      </c>
      <c r="H1578" t="inlineStr">
        <is>
          <t>165</t>
        </is>
      </c>
      <c r="I1578" t="inlineStr">
        <is>
          <t>09</t>
        </is>
      </c>
      <c r="J1578" t="n">
        <v>1690</v>
      </c>
      <c r="K1578" t="n">
        <v>970</v>
      </c>
      <c r="L1578" t="inlineStr">
        <is>
          <t>在来・204｜手動</t>
        </is>
      </c>
      <c r="M1578" t="b">
        <v>1</v>
      </c>
      <c r="N1578" t="inlineStr">
        <is>
          <t>カタログ規格確認済み</t>
        </is>
      </c>
      <c r="O1578" t="n">
        <v>57</v>
      </c>
      <c r="P1578" t="n">
        <v>55</v>
      </c>
      <c r="Q1578" t="inlineStr">
        <is>
          <t>202604_LIXIL_サーモスＬ_業務用資料集_完成品価格表.pdf</t>
        </is>
      </c>
      <c r="R1578" t="inlineStr">
        <is>
          <t>v1.7公式Source gap補完。完成品価格表 P55。</t>
        </is>
      </c>
      <c r="S1578" t="inlineStr">
        <is>
          <t>無印</t>
        </is>
      </c>
      <c r="T1578" t="n">
        <v>55</v>
      </c>
      <c r="U1578" t="inlineStr">
        <is>
          <t>P55|無印</t>
        </is>
      </c>
      <c r="V1578" t="inlineStr">
        <is>
          <t>同頁凡例へ直接連動</t>
        </is>
      </c>
    </row>
    <row r="1579">
      <c r="A1579" t="inlineStr">
        <is>
          <t>SZ-SL-001576</t>
        </is>
      </c>
      <c r="B1579" t="inlineStr">
        <is>
          <t>SER-LIX-SAMOSL</t>
        </is>
      </c>
      <c r="C1579" t="inlineStr">
        <is>
          <t>WT-SL-SHUTTER-HIKI</t>
        </is>
      </c>
      <c r="D1579" t="inlineStr">
        <is>
          <t>シャッター付引違い窓</t>
        </is>
      </c>
      <c r="E1579" t="inlineStr">
        <is>
          <t>SP-SL-SHUT-M-STD</t>
        </is>
      </c>
      <c r="F1579" t="inlineStr">
        <is>
          <t>在来・204</t>
        </is>
      </c>
      <c r="G1579" t="inlineStr">
        <is>
          <t>17409</t>
        </is>
      </c>
      <c r="H1579" t="inlineStr">
        <is>
          <t>174</t>
        </is>
      </c>
      <c r="I1579" t="inlineStr">
        <is>
          <t>09</t>
        </is>
      </c>
      <c r="J1579" t="n">
        <v>1780</v>
      </c>
      <c r="K1579" t="n">
        <v>970</v>
      </c>
      <c r="L1579" t="inlineStr">
        <is>
          <t>在来・204｜手動</t>
        </is>
      </c>
      <c r="M1579" t="b">
        <v>1</v>
      </c>
      <c r="N1579" t="inlineStr">
        <is>
          <t>カタログ規格確認済み</t>
        </is>
      </c>
      <c r="O1579" t="n">
        <v>57</v>
      </c>
      <c r="P1579" t="n">
        <v>55</v>
      </c>
      <c r="Q1579" t="inlineStr">
        <is>
          <t>202604_LIXIL_サーモスＬ_業務用資料集_完成品価格表.pdf</t>
        </is>
      </c>
      <c r="R1579" t="inlineStr">
        <is>
          <t>v1.7公式Source gap補完。完成品価格表 P55。</t>
        </is>
      </c>
      <c r="S1579" t="inlineStr">
        <is>
          <t>無印</t>
        </is>
      </c>
      <c r="T1579" t="n">
        <v>55</v>
      </c>
      <c r="U1579" t="inlineStr">
        <is>
          <t>P55|無印</t>
        </is>
      </c>
      <c r="V1579" t="inlineStr">
        <is>
          <t>同頁凡例へ直接連動</t>
        </is>
      </c>
    </row>
    <row r="1580">
      <c r="A1580" t="inlineStr">
        <is>
          <t>SZ-SL-001577</t>
        </is>
      </c>
      <c r="B1580" t="inlineStr">
        <is>
          <t>SER-LIX-SAMOSL</t>
        </is>
      </c>
      <c r="C1580" t="inlineStr">
        <is>
          <t>WT-SL-SHUTTER-HIKI</t>
        </is>
      </c>
      <c r="D1580" t="inlineStr">
        <is>
          <t>シャッター付引違い窓</t>
        </is>
      </c>
      <c r="E1580" t="inlineStr">
        <is>
          <t>SP-SL-SHUT-M-STD</t>
        </is>
      </c>
      <c r="F1580" t="inlineStr">
        <is>
          <t>在来・204</t>
        </is>
      </c>
      <c r="G1580" t="inlineStr">
        <is>
          <t>17609</t>
        </is>
      </c>
      <c r="H1580" t="inlineStr">
        <is>
          <t>176</t>
        </is>
      </c>
      <c r="I1580" t="inlineStr">
        <is>
          <t>09</t>
        </is>
      </c>
      <c r="J1580" t="n">
        <v>1800</v>
      </c>
      <c r="K1580" t="n">
        <v>970</v>
      </c>
      <c r="L1580" t="inlineStr">
        <is>
          <t>在来・204｜手動</t>
        </is>
      </c>
      <c r="M1580" t="b">
        <v>1</v>
      </c>
      <c r="N1580" t="inlineStr">
        <is>
          <t>カタログ規格確認済み</t>
        </is>
      </c>
      <c r="O1580" t="n">
        <v>57</v>
      </c>
      <c r="P1580" t="n">
        <v>55</v>
      </c>
      <c r="Q1580" t="inlineStr">
        <is>
          <t>202604_LIXIL_サーモスＬ_業務用資料集_完成品価格表.pdf</t>
        </is>
      </c>
      <c r="R1580" t="inlineStr">
        <is>
          <t>v1.7公式Source gap補完。完成品価格表 P55。</t>
        </is>
      </c>
      <c r="S1580" t="inlineStr">
        <is>
          <t>無印</t>
        </is>
      </c>
      <c r="T1580" t="n">
        <v>55</v>
      </c>
      <c r="U1580" t="inlineStr">
        <is>
          <t>P55|無印</t>
        </is>
      </c>
      <c r="V1580" t="inlineStr">
        <is>
          <t>同頁凡例へ直接連動</t>
        </is>
      </c>
    </row>
    <row r="1581">
      <c r="A1581" t="inlineStr">
        <is>
          <t>SZ-SL-001578</t>
        </is>
      </c>
      <c r="B1581" t="inlineStr">
        <is>
          <t>SER-LIX-SAMOSL</t>
        </is>
      </c>
      <c r="C1581" t="inlineStr">
        <is>
          <t>WT-SL-SHUTTER-HIKI</t>
        </is>
      </c>
      <c r="D1581" t="inlineStr">
        <is>
          <t>シャッター付引違い窓</t>
        </is>
      </c>
      <c r="E1581" t="inlineStr">
        <is>
          <t>SP-SL-SHUT-M-STD</t>
        </is>
      </c>
      <c r="F1581" t="inlineStr">
        <is>
          <t>在来・204</t>
        </is>
      </c>
      <c r="G1581" t="inlineStr">
        <is>
          <t>15011</t>
        </is>
      </c>
      <c r="H1581" t="inlineStr">
        <is>
          <t>150</t>
        </is>
      </c>
      <c r="I1581" t="inlineStr">
        <is>
          <t>11</t>
        </is>
      </c>
      <c r="J1581" t="n">
        <v>1540</v>
      </c>
      <c r="K1581" t="n">
        <v>1170</v>
      </c>
      <c r="L1581" t="inlineStr">
        <is>
          <t>在来・204｜手動</t>
        </is>
      </c>
      <c r="M1581" t="b">
        <v>1</v>
      </c>
      <c r="N1581" t="inlineStr">
        <is>
          <t>カタログ規格確認済み</t>
        </is>
      </c>
      <c r="O1581" t="n">
        <v>57</v>
      </c>
      <c r="P1581" t="n">
        <v>55</v>
      </c>
      <c r="Q1581" t="inlineStr">
        <is>
          <t>202604_LIXIL_サーモスＬ_業務用資料集_完成品価格表.pdf</t>
        </is>
      </c>
      <c r="R1581" t="inlineStr">
        <is>
          <t>v1.7公式Source gap補完。完成品価格表 P55。</t>
        </is>
      </c>
      <c r="S1581" t="inlineStr">
        <is>
          <t>無印</t>
        </is>
      </c>
      <c r="T1581" t="n">
        <v>55</v>
      </c>
      <c r="U1581" t="inlineStr">
        <is>
          <t>P55|無印</t>
        </is>
      </c>
      <c r="V1581" t="inlineStr">
        <is>
          <t>同頁凡例へ直接連動</t>
        </is>
      </c>
    </row>
    <row r="1582">
      <c r="A1582" t="inlineStr">
        <is>
          <t>SZ-SL-001579</t>
        </is>
      </c>
      <c r="B1582" t="inlineStr">
        <is>
          <t>SER-LIX-SAMOSL</t>
        </is>
      </c>
      <c r="C1582" t="inlineStr">
        <is>
          <t>WT-SL-SHUTTER-HIKI</t>
        </is>
      </c>
      <c r="D1582" t="inlineStr">
        <is>
          <t>シャッター付引違い窓</t>
        </is>
      </c>
      <c r="E1582" t="inlineStr">
        <is>
          <t>SP-SL-SHUT-M-STD</t>
        </is>
      </c>
      <c r="F1582" t="inlineStr">
        <is>
          <t>在来・204</t>
        </is>
      </c>
      <c r="G1582" t="inlineStr">
        <is>
          <t>16011</t>
        </is>
      </c>
      <c r="H1582" t="inlineStr">
        <is>
          <t>160</t>
        </is>
      </c>
      <c r="I1582" t="inlineStr">
        <is>
          <t>11</t>
        </is>
      </c>
      <c r="J1582" t="n">
        <v>1640</v>
      </c>
      <c r="K1582" t="n">
        <v>1170</v>
      </c>
      <c r="L1582" t="inlineStr">
        <is>
          <t>在来・204｜手動</t>
        </is>
      </c>
      <c r="M1582" t="b">
        <v>1</v>
      </c>
      <c r="N1582" t="inlineStr">
        <is>
          <t>カタログ規格確認済み</t>
        </is>
      </c>
      <c r="O1582" t="n">
        <v>57</v>
      </c>
      <c r="P1582" t="n">
        <v>55</v>
      </c>
      <c r="Q1582" t="inlineStr">
        <is>
          <t>202604_LIXIL_サーモスＬ_業務用資料集_完成品価格表.pdf</t>
        </is>
      </c>
      <c r="R1582" t="inlineStr">
        <is>
          <t>v1.7公式Source gap補完。完成品価格表 P55。</t>
        </is>
      </c>
      <c r="S1582" t="inlineStr">
        <is>
          <t>無印</t>
        </is>
      </c>
      <c r="T1582" t="n">
        <v>55</v>
      </c>
      <c r="U1582" t="inlineStr">
        <is>
          <t>P55|無印</t>
        </is>
      </c>
      <c r="V1582" t="inlineStr">
        <is>
          <t>同頁凡例へ直接連動</t>
        </is>
      </c>
    </row>
    <row r="1583">
      <c r="A1583" t="inlineStr">
        <is>
          <t>SZ-SL-001580</t>
        </is>
      </c>
      <c r="B1583" t="inlineStr">
        <is>
          <t>SER-LIX-SAMOSL</t>
        </is>
      </c>
      <c r="C1583" t="inlineStr">
        <is>
          <t>WT-SL-SHUTTER-HIKI</t>
        </is>
      </c>
      <c r="D1583" t="inlineStr">
        <is>
          <t>シャッター付引違い窓</t>
        </is>
      </c>
      <c r="E1583" t="inlineStr">
        <is>
          <t>SP-SL-SHUT-M-STD</t>
        </is>
      </c>
      <c r="F1583" t="inlineStr">
        <is>
          <t>在来・204</t>
        </is>
      </c>
      <c r="G1583" t="inlineStr">
        <is>
          <t>16511</t>
        </is>
      </c>
      <c r="H1583" t="inlineStr">
        <is>
          <t>165</t>
        </is>
      </c>
      <c r="I1583" t="inlineStr">
        <is>
          <t>11</t>
        </is>
      </c>
      <c r="J1583" t="n">
        <v>1690</v>
      </c>
      <c r="K1583" t="n">
        <v>1170</v>
      </c>
      <c r="L1583" t="inlineStr">
        <is>
          <t>在来・204｜手動</t>
        </is>
      </c>
      <c r="M1583" t="b">
        <v>1</v>
      </c>
      <c r="N1583" t="inlineStr">
        <is>
          <t>カタログ規格確認済み</t>
        </is>
      </c>
      <c r="O1583" t="n">
        <v>57</v>
      </c>
      <c r="P1583" t="n">
        <v>55</v>
      </c>
      <c r="Q1583" t="inlineStr">
        <is>
          <t>202604_LIXIL_サーモスＬ_業務用資料集_完成品価格表.pdf</t>
        </is>
      </c>
      <c r="R1583" t="inlineStr">
        <is>
          <t>v1.7公式Source gap補完。完成品価格表 P55。</t>
        </is>
      </c>
      <c r="S1583" t="inlineStr">
        <is>
          <t>無印</t>
        </is>
      </c>
      <c r="T1583" t="n">
        <v>55</v>
      </c>
      <c r="U1583" t="inlineStr">
        <is>
          <t>P55|無印</t>
        </is>
      </c>
      <c r="V1583" t="inlineStr">
        <is>
          <t>同頁凡例へ直接連動</t>
        </is>
      </c>
    </row>
    <row r="1584">
      <c r="A1584" t="inlineStr">
        <is>
          <t>SZ-SL-001581</t>
        </is>
      </c>
      <c r="B1584" t="inlineStr">
        <is>
          <t>SER-LIX-SAMOSL</t>
        </is>
      </c>
      <c r="C1584" t="inlineStr">
        <is>
          <t>WT-SL-SHUTTER-HIKI</t>
        </is>
      </c>
      <c r="D1584" t="inlineStr">
        <is>
          <t>シャッター付引違い窓</t>
        </is>
      </c>
      <c r="E1584" t="inlineStr">
        <is>
          <t>SP-SL-SHUT-M-STD</t>
        </is>
      </c>
      <c r="F1584" t="inlineStr">
        <is>
          <t>在来・204</t>
        </is>
      </c>
      <c r="G1584" t="inlineStr">
        <is>
          <t>17411</t>
        </is>
      </c>
      <c r="H1584" t="inlineStr">
        <is>
          <t>174</t>
        </is>
      </c>
      <c r="I1584" t="inlineStr">
        <is>
          <t>11</t>
        </is>
      </c>
      <c r="J1584" t="n">
        <v>1780</v>
      </c>
      <c r="K1584" t="n">
        <v>1170</v>
      </c>
      <c r="L1584" t="inlineStr">
        <is>
          <t>在来・204｜手動</t>
        </is>
      </c>
      <c r="M1584" t="b">
        <v>1</v>
      </c>
      <c r="N1584" t="inlineStr">
        <is>
          <t>カタログ規格確認済み</t>
        </is>
      </c>
      <c r="O1584" t="n">
        <v>57</v>
      </c>
      <c r="P1584" t="n">
        <v>55</v>
      </c>
      <c r="Q1584" t="inlineStr">
        <is>
          <t>202604_LIXIL_サーモスＬ_業務用資料集_完成品価格表.pdf</t>
        </is>
      </c>
      <c r="R1584" t="inlineStr">
        <is>
          <t>v1.7公式Source gap補完。完成品価格表 P55。</t>
        </is>
      </c>
      <c r="S1584" t="inlineStr">
        <is>
          <t>無印</t>
        </is>
      </c>
      <c r="T1584" t="n">
        <v>55</v>
      </c>
      <c r="U1584" t="inlineStr">
        <is>
          <t>P55|無印</t>
        </is>
      </c>
      <c r="V1584" t="inlineStr">
        <is>
          <t>同頁凡例へ直接連動</t>
        </is>
      </c>
    </row>
    <row r="1585">
      <c r="A1585" t="inlineStr">
        <is>
          <t>SZ-SL-001582</t>
        </is>
      </c>
      <c r="B1585" t="inlineStr">
        <is>
          <t>SER-LIX-SAMOSL</t>
        </is>
      </c>
      <c r="C1585" t="inlineStr">
        <is>
          <t>WT-SL-SHUTTER-HIKI</t>
        </is>
      </c>
      <c r="D1585" t="inlineStr">
        <is>
          <t>シャッター付引違い窓</t>
        </is>
      </c>
      <c r="E1585" t="inlineStr">
        <is>
          <t>SP-SL-SHUT-M-STD</t>
        </is>
      </c>
      <c r="F1585" t="inlineStr">
        <is>
          <t>在来・204</t>
        </is>
      </c>
      <c r="G1585" t="inlineStr">
        <is>
          <t>17611</t>
        </is>
      </c>
      <c r="H1585" t="inlineStr">
        <is>
          <t>176</t>
        </is>
      </c>
      <c r="I1585" t="inlineStr">
        <is>
          <t>11</t>
        </is>
      </c>
      <c r="J1585" t="n">
        <v>1800</v>
      </c>
      <c r="K1585" t="n">
        <v>1170</v>
      </c>
      <c r="L1585" t="inlineStr">
        <is>
          <t>在来・204｜手動</t>
        </is>
      </c>
      <c r="M1585" t="b">
        <v>1</v>
      </c>
      <c r="N1585" t="inlineStr">
        <is>
          <t>カタログ規格確認済み</t>
        </is>
      </c>
      <c r="O1585" t="n">
        <v>57</v>
      </c>
      <c r="P1585" t="n">
        <v>55</v>
      </c>
      <c r="Q1585" t="inlineStr">
        <is>
          <t>202604_LIXIL_サーモスＬ_業務用資料集_完成品価格表.pdf</t>
        </is>
      </c>
      <c r="R1585" t="inlineStr">
        <is>
          <t>v1.7公式Source gap補完。完成品価格表 P55。</t>
        </is>
      </c>
      <c r="S1585" t="inlineStr">
        <is>
          <t>無印</t>
        </is>
      </c>
      <c r="T1585" t="n">
        <v>55</v>
      </c>
      <c r="U1585" t="inlineStr">
        <is>
          <t>P55|無印</t>
        </is>
      </c>
      <c r="V1585" t="inlineStr">
        <is>
          <t>同頁凡例へ直接連動</t>
        </is>
      </c>
    </row>
    <row r="1586">
      <c r="A1586" t="inlineStr">
        <is>
          <t>SZ-SL-001583</t>
        </is>
      </c>
      <c r="B1586" t="inlineStr">
        <is>
          <t>SER-LIX-SAMOSL</t>
        </is>
      </c>
      <c r="C1586" t="inlineStr">
        <is>
          <t>WT-SL-SHUTTER-HIKI</t>
        </is>
      </c>
      <c r="D1586" t="inlineStr">
        <is>
          <t>シャッター付引違い窓</t>
        </is>
      </c>
      <c r="E1586" t="inlineStr">
        <is>
          <t>SP-SL-SHUT-M-STD</t>
        </is>
      </c>
      <c r="F1586" t="inlineStr">
        <is>
          <t>在来・204</t>
        </is>
      </c>
      <c r="G1586" t="inlineStr">
        <is>
          <t>15013</t>
        </is>
      </c>
      <c r="H1586" t="inlineStr">
        <is>
          <t>150</t>
        </is>
      </c>
      <c r="I1586" t="inlineStr">
        <is>
          <t>13</t>
        </is>
      </c>
      <c r="J1586" t="n">
        <v>1540</v>
      </c>
      <c r="K1586" t="n">
        <v>1370</v>
      </c>
      <c r="L1586" t="inlineStr">
        <is>
          <t>在来・204｜手動</t>
        </is>
      </c>
      <c r="M1586" t="b">
        <v>1</v>
      </c>
      <c r="N1586" t="inlineStr">
        <is>
          <t>カタログ規格確認済み</t>
        </is>
      </c>
      <c r="O1586" t="n">
        <v>57</v>
      </c>
      <c r="P1586" t="n">
        <v>55</v>
      </c>
      <c r="Q1586" t="inlineStr">
        <is>
          <t>202604_LIXIL_サーモスＬ_業務用資料集_完成品価格表.pdf</t>
        </is>
      </c>
      <c r="R1586" t="inlineStr">
        <is>
          <t>v1.7公式Source gap補完。完成品価格表 P55。</t>
        </is>
      </c>
      <c r="S1586" t="inlineStr">
        <is>
          <t>無印</t>
        </is>
      </c>
      <c r="T1586" t="n">
        <v>55</v>
      </c>
      <c r="U1586" t="inlineStr">
        <is>
          <t>P55|無印</t>
        </is>
      </c>
      <c r="V1586" t="inlineStr">
        <is>
          <t>同頁凡例へ直接連動</t>
        </is>
      </c>
    </row>
    <row r="1587">
      <c r="A1587" t="inlineStr">
        <is>
          <t>SZ-SL-001584</t>
        </is>
      </c>
      <c r="B1587" t="inlineStr">
        <is>
          <t>SER-LIX-SAMOSL</t>
        </is>
      </c>
      <c r="C1587" t="inlineStr">
        <is>
          <t>WT-SL-SHUTTER-HIKI</t>
        </is>
      </c>
      <c r="D1587" t="inlineStr">
        <is>
          <t>シャッター付引違い窓</t>
        </is>
      </c>
      <c r="E1587" t="inlineStr">
        <is>
          <t>SP-SL-SHUT-M-STD</t>
        </is>
      </c>
      <c r="F1587" t="inlineStr">
        <is>
          <t>在来・204</t>
        </is>
      </c>
      <c r="G1587" t="inlineStr">
        <is>
          <t>16013</t>
        </is>
      </c>
      <c r="H1587" t="inlineStr">
        <is>
          <t>160</t>
        </is>
      </c>
      <c r="I1587" t="inlineStr">
        <is>
          <t>13</t>
        </is>
      </c>
      <c r="J1587" t="n">
        <v>1640</v>
      </c>
      <c r="K1587" t="n">
        <v>1370</v>
      </c>
      <c r="L1587" t="inlineStr">
        <is>
          <t>在来・204｜手動</t>
        </is>
      </c>
      <c r="M1587" t="b">
        <v>1</v>
      </c>
      <c r="N1587" t="inlineStr">
        <is>
          <t>カタログ規格確認済み</t>
        </is>
      </c>
      <c r="O1587" t="n">
        <v>57</v>
      </c>
      <c r="P1587" t="n">
        <v>55</v>
      </c>
      <c r="Q1587" t="inlineStr">
        <is>
          <t>202604_LIXIL_サーモスＬ_業務用資料集_完成品価格表.pdf</t>
        </is>
      </c>
      <c r="R1587" t="inlineStr">
        <is>
          <t>v1.7公式Source gap補完。完成品価格表 P55。</t>
        </is>
      </c>
      <c r="S1587" t="inlineStr">
        <is>
          <t>★</t>
        </is>
      </c>
      <c r="T1587" t="n">
        <v>55</v>
      </c>
      <c r="U1587" t="inlineStr">
        <is>
          <t>P55|★</t>
        </is>
      </c>
      <c r="V1587" t="inlineStr">
        <is>
          <t>同頁凡例へ直接連動</t>
        </is>
      </c>
    </row>
    <row r="1588">
      <c r="A1588" t="inlineStr">
        <is>
          <t>SZ-SL-001585</t>
        </is>
      </c>
      <c r="B1588" t="inlineStr">
        <is>
          <t>SER-LIX-SAMOSL</t>
        </is>
      </c>
      <c r="C1588" t="inlineStr">
        <is>
          <t>WT-SL-SHUTTER-HIKI</t>
        </is>
      </c>
      <c r="D1588" t="inlineStr">
        <is>
          <t>シャッター付引違い窓</t>
        </is>
      </c>
      <c r="E1588" t="inlineStr">
        <is>
          <t>SP-SL-SHUT-M-STD</t>
        </is>
      </c>
      <c r="F1588" t="inlineStr">
        <is>
          <t>在来・204</t>
        </is>
      </c>
      <c r="G1588" t="inlineStr">
        <is>
          <t>16513</t>
        </is>
      </c>
      <c r="H1588" t="inlineStr">
        <is>
          <t>165</t>
        </is>
      </c>
      <c r="I1588" t="inlineStr">
        <is>
          <t>13</t>
        </is>
      </c>
      <c r="J1588" t="n">
        <v>1690</v>
      </c>
      <c r="K1588" t="n">
        <v>1370</v>
      </c>
      <c r="L1588" t="inlineStr">
        <is>
          <t>在来・204｜手動</t>
        </is>
      </c>
      <c r="M1588" t="b">
        <v>1</v>
      </c>
      <c r="N1588" t="inlineStr">
        <is>
          <t>カタログ規格確認済み</t>
        </is>
      </c>
      <c r="O1588" t="n">
        <v>57</v>
      </c>
      <c r="P1588" t="n">
        <v>55</v>
      </c>
      <c r="Q1588" t="inlineStr">
        <is>
          <t>202604_LIXIL_サーモスＬ_業務用資料集_完成品価格表.pdf</t>
        </is>
      </c>
      <c r="R1588" t="inlineStr">
        <is>
          <t>v1.7公式Source gap補完。完成品価格表 P55。</t>
        </is>
      </c>
      <c r="S1588" t="inlineStr">
        <is>
          <t>★</t>
        </is>
      </c>
      <c r="T1588" t="n">
        <v>55</v>
      </c>
      <c r="U1588" t="inlineStr">
        <is>
          <t>P55|★</t>
        </is>
      </c>
      <c r="V1588" t="inlineStr">
        <is>
          <t>同頁凡例へ直接連動</t>
        </is>
      </c>
    </row>
    <row r="1589">
      <c r="A1589" t="inlineStr">
        <is>
          <t>SZ-SL-001586</t>
        </is>
      </c>
      <c r="B1589" t="inlineStr">
        <is>
          <t>SER-LIX-SAMOSL</t>
        </is>
      </c>
      <c r="C1589" t="inlineStr">
        <is>
          <t>WT-SL-SHUTTER-HIKI</t>
        </is>
      </c>
      <c r="D1589" t="inlineStr">
        <is>
          <t>シャッター付引違い窓</t>
        </is>
      </c>
      <c r="E1589" t="inlineStr">
        <is>
          <t>SP-SL-SHUT-M-STD</t>
        </is>
      </c>
      <c r="F1589" t="inlineStr">
        <is>
          <t>在来・204</t>
        </is>
      </c>
      <c r="G1589" t="inlineStr">
        <is>
          <t>17413</t>
        </is>
      </c>
      <c r="H1589" t="inlineStr">
        <is>
          <t>174</t>
        </is>
      </c>
      <c r="I1589" t="inlineStr">
        <is>
          <t>13</t>
        </is>
      </c>
      <c r="J1589" t="n">
        <v>1780</v>
      </c>
      <c r="K1589" t="n">
        <v>1370</v>
      </c>
      <c r="L1589" t="inlineStr">
        <is>
          <t>在来・204｜手動</t>
        </is>
      </c>
      <c r="M1589" t="b">
        <v>1</v>
      </c>
      <c r="N1589" t="inlineStr">
        <is>
          <t>カタログ規格確認済み</t>
        </is>
      </c>
      <c r="O1589" t="n">
        <v>57</v>
      </c>
      <c r="P1589" t="n">
        <v>55</v>
      </c>
      <c r="Q1589" t="inlineStr">
        <is>
          <t>202604_LIXIL_サーモスＬ_業務用資料集_完成品価格表.pdf</t>
        </is>
      </c>
      <c r="R1589" t="inlineStr">
        <is>
          <t>v1.7公式Source gap補完。完成品価格表 P55。</t>
        </is>
      </c>
      <c r="S1589" t="inlineStr">
        <is>
          <t>★</t>
        </is>
      </c>
      <c r="T1589" t="n">
        <v>55</v>
      </c>
      <c r="U1589" t="inlineStr">
        <is>
          <t>P55|★</t>
        </is>
      </c>
      <c r="V1589" t="inlineStr">
        <is>
          <t>同頁凡例へ直接連動</t>
        </is>
      </c>
    </row>
    <row r="1590">
      <c r="A1590" t="inlineStr">
        <is>
          <t>SZ-SL-001587</t>
        </is>
      </c>
      <c r="B1590" t="inlineStr">
        <is>
          <t>SER-LIX-SAMOSL</t>
        </is>
      </c>
      <c r="C1590" t="inlineStr">
        <is>
          <t>WT-SL-SHUTTER-HIKI</t>
        </is>
      </c>
      <c r="D1590" t="inlineStr">
        <is>
          <t>シャッター付引違い窓</t>
        </is>
      </c>
      <c r="E1590" t="inlineStr">
        <is>
          <t>SP-SL-SHUT-M-STD</t>
        </is>
      </c>
      <c r="F1590" t="inlineStr">
        <is>
          <t>在来・204</t>
        </is>
      </c>
      <c r="G1590" t="inlineStr">
        <is>
          <t>17613</t>
        </is>
      </c>
      <c r="H1590" t="inlineStr">
        <is>
          <t>176</t>
        </is>
      </c>
      <c r="I1590" t="inlineStr">
        <is>
          <t>13</t>
        </is>
      </c>
      <c r="J1590" t="n">
        <v>1800</v>
      </c>
      <c r="K1590" t="n">
        <v>1370</v>
      </c>
      <c r="L1590" t="inlineStr">
        <is>
          <t>在来・204｜手動</t>
        </is>
      </c>
      <c r="M1590" t="b">
        <v>1</v>
      </c>
      <c r="N1590" t="inlineStr">
        <is>
          <t>カタログ規格確認済み</t>
        </is>
      </c>
      <c r="O1590" t="n">
        <v>57</v>
      </c>
      <c r="P1590" t="n">
        <v>55</v>
      </c>
      <c r="Q1590" t="inlineStr">
        <is>
          <t>202604_LIXIL_サーモスＬ_業務用資料集_完成品価格表.pdf</t>
        </is>
      </c>
      <c r="R1590" t="inlineStr">
        <is>
          <t>v1.7公式Source gap補完。完成品価格表 P55。</t>
        </is>
      </c>
      <c r="S1590" t="inlineStr">
        <is>
          <t>★</t>
        </is>
      </c>
      <c r="T1590" t="n">
        <v>55</v>
      </c>
      <c r="U1590" t="inlineStr">
        <is>
          <t>P55|★</t>
        </is>
      </c>
      <c r="V1590" t="inlineStr">
        <is>
          <t>同頁凡例へ直接連動</t>
        </is>
      </c>
    </row>
    <row r="1591">
      <c r="A1591" t="inlineStr">
        <is>
          <t>SZ-SL-001588</t>
        </is>
      </c>
      <c r="B1591" t="inlineStr">
        <is>
          <t>SER-LIX-SAMOSL</t>
        </is>
      </c>
      <c r="C1591" t="inlineStr">
        <is>
          <t>WT-SL-SHUTTER-HIKI</t>
        </is>
      </c>
      <c r="D1591" t="inlineStr">
        <is>
          <t>シャッター付引違い窓</t>
        </is>
      </c>
      <c r="E1591" t="inlineStr">
        <is>
          <t>SP-SL-SHUT-M-STD</t>
        </is>
      </c>
      <c r="F1591" t="inlineStr">
        <is>
          <t>在来・204</t>
        </is>
      </c>
      <c r="G1591" t="inlineStr">
        <is>
          <t>15015</t>
        </is>
      </c>
      <c r="H1591" t="inlineStr">
        <is>
          <t>150</t>
        </is>
      </c>
      <c r="I1591" t="inlineStr">
        <is>
          <t>15</t>
        </is>
      </c>
      <c r="J1591" t="n">
        <v>1540</v>
      </c>
      <c r="K1591" t="n">
        <v>1570</v>
      </c>
      <c r="L1591" t="inlineStr">
        <is>
          <t>在来・204｜手動</t>
        </is>
      </c>
      <c r="M1591" t="b">
        <v>1</v>
      </c>
      <c r="N1591" t="inlineStr">
        <is>
          <t>カタログ規格確認済み</t>
        </is>
      </c>
      <c r="O1591" t="n">
        <v>57</v>
      </c>
      <c r="P1591" t="n">
        <v>55</v>
      </c>
      <c r="Q1591" t="inlineStr">
        <is>
          <t>202604_LIXIL_サーモスＬ_業務用資料集_完成品価格表.pdf</t>
        </is>
      </c>
      <c r="R1591" t="inlineStr">
        <is>
          <t>v1.7公式Source gap補完。完成品価格表 P55。</t>
        </is>
      </c>
      <c r="S1591" t="inlineStr">
        <is>
          <t>○</t>
        </is>
      </c>
      <c r="T1591" t="n">
        <v>55</v>
      </c>
      <c r="U1591" t="inlineStr">
        <is>
          <t>P55|○</t>
        </is>
      </c>
      <c r="V1591" t="inlineStr">
        <is>
          <t>同頁凡例へ直接連動</t>
        </is>
      </c>
    </row>
    <row r="1592">
      <c r="A1592" t="inlineStr">
        <is>
          <t>SZ-SL-001589</t>
        </is>
      </c>
      <c r="B1592" t="inlineStr">
        <is>
          <t>SER-LIX-SAMOSL</t>
        </is>
      </c>
      <c r="C1592" t="inlineStr">
        <is>
          <t>WT-SL-SHUTTER-HIKI</t>
        </is>
      </c>
      <c r="D1592" t="inlineStr">
        <is>
          <t>シャッター付引違い窓</t>
        </is>
      </c>
      <c r="E1592" t="inlineStr">
        <is>
          <t>SP-SL-SHUT-M-STD</t>
        </is>
      </c>
      <c r="F1592" t="inlineStr">
        <is>
          <t>在来・204</t>
        </is>
      </c>
      <c r="G1592" t="inlineStr">
        <is>
          <t>16015</t>
        </is>
      </c>
      <c r="H1592" t="inlineStr">
        <is>
          <t>160</t>
        </is>
      </c>
      <c r="I1592" t="inlineStr">
        <is>
          <t>15</t>
        </is>
      </c>
      <c r="J1592" t="n">
        <v>1640</v>
      </c>
      <c r="K1592" t="n">
        <v>1570</v>
      </c>
      <c r="L1592" t="inlineStr">
        <is>
          <t>在来・204｜手動</t>
        </is>
      </c>
      <c r="M1592" t="b">
        <v>1</v>
      </c>
      <c r="N1592" t="inlineStr">
        <is>
          <t>カタログ規格確認済み</t>
        </is>
      </c>
      <c r="O1592" t="n">
        <v>57</v>
      </c>
      <c r="P1592" t="n">
        <v>55</v>
      </c>
      <c r="Q1592" t="inlineStr">
        <is>
          <t>202604_LIXIL_サーモスＬ_業務用資料集_完成品価格表.pdf</t>
        </is>
      </c>
      <c r="R1592" t="inlineStr">
        <is>
          <t>v1.7公式Source gap補完。完成品価格表 P55。</t>
        </is>
      </c>
      <c r="S1592" t="inlineStr">
        <is>
          <t>○</t>
        </is>
      </c>
      <c r="T1592" t="n">
        <v>55</v>
      </c>
      <c r="U1592" t="inlineStr">
        <is>
          <t>P55|○</t>
        </is>
      </c>
      <c r="V1592" t="inlineStr">
        <is>
          <t>同頁凡例へ直接連動</t>
        </is>
      </c>
    </row>
    <row r="1593">
      <c r="A1593" t="inlineStr">
        <is>
          <t>SZ-SL-001590</t>
        </is>
      </c>
      <c r="B1593" t="inlineStr">
        <is>
          <t>SER-LIX-SAMOSL</t>
        </is>
      </c>
      <c r="C1593" t="inlineStr">
        <is>
          <t>WT-SL-SHUTTER-HIKI</t>
        </is>
      </c>
      <c r="D1593" t="inlineStr">
        <is>
          <t>シャッター付引違い窓</t>
        </is>
      </c>
      <c r="E1593" t="inlineStr">
        <is>
          <t>SP-SL-SHUT-M-STD</t>
        </is>
      </c>
      <c r="F1593" t="inlineStr">
        <is>
          <t>在来・204</t>
        </is>
      </c>
      <c r="G1593" t="inlineStr">
        <is>
          <t>16515</t>
        </is>
      </c>
      <c r="H1593" t="inlineStr">
        <is>
          <t>165</t>
        </is>
      </c>
      <c r="I1593" t="inlineStr">
        <is>
          <t>15</t>
        </is>
      </c>
      <c r="J1593" t="n">
        <v>1690</v>
      </c>
      <c r="K1593" t="n">
        <v>1570</v>
      </c>
      <c r="L1593" t="inlineStr">
        <is>
          <t>在来・204｜手動</t>
        </is>
      </c>
      <c r="M1593" t="b">
        <v>1</v>
      </c>
      <c r="N1593" t="inlineStr">
        <is>
          <t>カタログ規格確認済み</t>
        </is>
      </c>
      <c r="O1593" t="n">
        <v>57</v>
      </c>
      <c r="P1593" t="n">
        <v>55</v>
      </c>
      <c r="Q1593" t="inlineStr">
        <is>
          <t>202604_LIXIL_サーモスＬ_業務用資料集_完成品価格表.pdf</t>
        </is>
      </c>
      <c r="R1593" t="inlineStr">
        <is>
          <t>v1.7公式Source gap補完。完成品価格表 P55。</t>
        </is>
      </c>
      <c r="S1593" t="inlineStr">
        <is>
          <t>○</t>
        </is>
      </c>
      <c r="T1593" t="n">
        <v>55</v>
      </c>
      <c r="U1593" t="inlineStr">
        <is>
          <t>P55|○</t>
        </is>
      </c>
      <c r="V1593" t="inlineStr">
        <is>
          <t>同頁凡例へ直接連動</t>
        </is>
      </c>
    </row>
    <row r="1594">
      <c r="A1594" t="inlineStr">
        <is>
          <t>SZ-SL-001591</t>
        </is>
      </c>
      <c r="B1594" t="inlineStr">
        <is>
          <t>SER-LIX-SAMOSL</t>
        </is>
      </c>
      <c r="C1594" t="inlineStr">
        <is>
          <t>WT-SL-SHUTTER-HIKI</t>
        </is>
      </c>
      <c r="D1594" t="inlineStr">
        <is>
          <t>シャッター付引違い窓</t>
        </is>
      </c>
      <c r="E1594" t="inlineStr">
        <is>
          <t>SP-SL-SHUT-M-STD</t>
        </is>
      </c>
      <c r="F1594" t="inlineStr">
        <is>
          <t>在来・204</t>
        </is>
      </c>
      <c r="G1594" t="inlineStr">
        <is>
          <t>18009</t>
        </is>
      </c>
      <c r="H1594" t="inlineStr">
        <is>
          <t>180</t>
        </is>
      </c>
      <c r="I1594" t="inlineStr">
        <is>
          <t>09</t>
        </is>
      </c>
      <c r="J1594" t="n">
        <v>1845</v>
      </c>
      <c r="K1594" t="n">
        <v>970</v>
      </c>
      <c r="L1594" t="inlineStr">
        <is>
          <t>在来・204｜手動</t>
        </is>
      </c>
      <c r="M1594" t="b">
        <v>1</v>
      </c>
      <c r="N1594" t="inlineStr">
        <is>
          <t>カタログ規格確認済み</t>
        </is>
      </c>
      <c r="O1594" t="n">
        <v>58</v>
      </c>
      <c r="P1594" t="n">
        <v>56</v>
      </c>
      <c r="Q1594" t="inlineStr">
        <is>
          <t>202604_LIXIL_サーモスＬ_業務用資料集_完成品価格表.pdf</t>
        </is>
      </c>
      <c r="R1594" t="inlineStr">
        <is>
          <t>v1.7公式Source gap補完。完成品価格表 P56。</t>
        </is>
      </c>
      <c r="S1594" t="inlineStr">
        <is>
          <t>無印</t>
        </is>
      </c>
      <c r="T1594" t="n">
        <v>57</v>
      </c>
      <c r="U1594" t="inlineStr">
        <is>
          <t>P57|無印</t>
        </is>
      </c>
      <c r="V1594" t="inlineStr">
        <is>
          <t>同一価格表・次頁凡例を継承</t>
        </is>
      </c>
    </row>
    <row r="1595">
      <c r="A1595" t="inlineStr">
        <is>
          <t>SZ-SL-001592</t>
        </is>
      </c>
      <c r="B1595" t="inlineStr">
        <is>
          <t>SER-LIX-SAMOSL</t>
        </is>
      </c>
      <c r="C1595" t="inlineStr">
        <is>
          <t>WT-SL-SHUTTER-HIKI</t>
        </is>
      </c>
      <c r="D1595" t="inlineStr">
        <is>
          <t>シャッター付引違い窓</t>
        </is>
      </c>
      <c r="E1595" t="inlineStr">
        <is>
          <t>SP-SL-SHUT-M-STD</t>
        </is>
      </c>
      <c r="F1595" t="inlineStr">
        <is>
          <t>在来・204</t>
        </is>
      </c>
      <c r="G1595" t="inlineStr">
        <is>
          <t>18609</t>
        </is>
      </c>
      <c r="H1595" t="inlineStr">
        <is>
          <t>186</t>
        </is>
      </c>
      <c r="I1595" t="inlineStr">
        <is>
          <t>09</t>
        </is>
      </c>
      <c r="J1595" t="n">
        <v>1900</v>
      </c>
      <c r="K1595" t="n">
        <v>970</v>
      </c>
      <c r="L1595" t="inlineStr">
        <is>
          <t>在来・204｜手動</t>
        </is>
      </c>
      <c r="M1595" t="b">
        <v>1</v>
      </c>
      <c r="N1595" t="inlineStr">
        <is>
          <t>カタログ規格確認済み</t>
        </is>
      </c>
      <c r="O1595" t="n">
        <v>58</v>
      </c>
      <c r="P1595" t="n">
        <v>56</v>
      </c>
      <c r="Q1595" t="inlineStr">
        <is>
          <t>202604_LIXIL_サーモスＬ_業務用資料集_完成品価格表.pdf</t>
        </is>
      </c>
      <c r="R1595" t="inlineStr">
        <is>
          <t>v1.7公式Source gap補完。完成品価格表 P56。</t>
        </is>
      </c>
      <c r="S1595" t="inlineStr">
        <is>
          <t>無印</t>
        </is>
      </c>
      <c r="T1595" t="n">
        <v>57</v>
      </c>
      <c r="U1595" t="inlineStr">
        <is>
          <t>P57|無印</t>
        </is>
      </c>
      <c r="V1595" t="inlineStr">
        <is>
          <t>同一価格表・次頁凡例を継承</t>
        </is>
      </c>
    </row>
    <row r="1596">
      <c r="A1596" t="inlineStr">
        <is>
          <t>SZ-SL-001593</t>
        </is>
      </c>
      <c r="B1596" t="inlineStr">
        <is>
          <t>SER-LIX-SAMOSL</t>
        </is>
      </c>
      <c r="C1596" t="inlineStr">
        <is>
          <t>WT-SL-SHUTTER-HIKI</t>
        </is>
      </c>
      <c r="D1596" t="inlineStr">
        <is>
          <t>シャッター付引違い窓</t>
        </is>
      </c>
      <c r="E1596" t="inlineStr">
        <is>
          <t>SP-SL-SHUT-M-STD</t>
        </is>
      </c>
      <c r="F1596" t="inlineStr">
        <is>
          <t>在来・204</t>
        </is>
      </c>
      <c r="G1596" t="inlineStr">
        <is>
          <t>18011</t>
        </is>
      </c>
      <c r="H1596" t="inlineStr">
        <is>
          <t>180</t>
        </is>
      </c>
      <c r="I1596" t="inlineStr">
        <is>
          <t>11</t>
        </is>
      </c>
      <c r="J1596" t="n">
        <v>1845</v>
      </c>
      <c r="K1596" t="n">
        <v>1170</v>
      </c>
      <c r="L1596" t="inlineStr">
        <is>
          <t>在来・204｜手動</t>
        </is>
      </c>
      <c r="M1596" t="b">
        <v>1</v>
      </c>
      <c r="N1596" t="inlineStr">
        <is>
          <t>カタログ規格確認済み</t>
        </is>
      </c>
      <c r="O1596" t="n">
        <v>58</v>
      </c>
      <c r="P1596" t="n">
        <v>56</v>
      </c>
      <c r="Q1596" t="inlineStr">
        <is>
          <t>202604_LIXIL_サーモスＬ_業務用資料集_完成品価格表.pdf</t>
        </is>
      </c>
      <c r="R1596" t="inlineStr">
        <is>
          <t>v1.7公式Source gap補完。完成品価格表 P56。</t>
        </is>
      </c>
      <c r="S1596" t="inlineStr">
        <is>
          <t>無印</t>
        </is>
      </c>
      <c r="T1596" t="n">
        <v>57</v>
      </c>
      <c r="U1596" t="inlineStr">
        <is>
          <t>P57|無印</t>
        </is>
      </c>
      <c r="V1596" t="inlineStr">
        <is>
          <t>同一価格表・次頁凡例を継承</t>
        </is>
      </c>
    </row>
    <row r="1597">
      <c r="A1597" t="inlineStr">
        <is>
          <t>SZ-SL-001594</t>
        </is>
      </c>
      <c r="B1597" t="inlineStr">
        <is>
          <t>SER-LIX-SAMOSL</t>
        </is>
      </c>
      <c r="C1597" t="inlineStr">
        <is>
          <t>WT-SL-SHUTTER-HIKI</t>
        </is>
      </c>
      <c r="D1597" t="inlineStr">
        <is>
          <t>シャッター付引違い窓</t>
        </is>
      </c>
      <c r="E1597" t="inlineStr">
        <is>
          <t>SP-SL-SHUT-M-STD</t>
        </is>
      </c>
      <c r="F1597" t="inlineStr">
        <is>
          <t>在来・204</t>
        </is>
      </c>
      <c r="G1597" t="inlineStr">
        <is>
          <t>18611</t>
        </is>
      </c>
      <c r="H1597" t="inlineStr">
        <is>
          <t>186</t>
        </is>
      </c>
      <c r="I1597" t="inlineStr">
        <is>
          <t>11</t>
        </is>
      </c>
      <c r="J1597" t="n">
        <v>1900</v>
      </c>
      <c r="K1597" t="n">
        <v>1170</v>
      </c>
      <c r="L1597" t="inlineStr">
        <is>
          <t>在来・204｜手動</t>
        </is>
      </c>
      <c r="M1597" t="b">
        <v>1</v>
      </c>
      <c r="N1597" t="inlineStr">
        <is>
          <t>カタログ規格確認済み</t>
        </is>
      </c>
      <c r="O1597" t="n">
        <v>58</v>
      </c>
      <c r="P1597" t="n">
        <v>56</v>
      </c>
      <c r="Q1597" t="inlineStr">
        <is>
          <t>202604_LIXIL_サーモスＬ_業務用資料集_完成品価格表.pdf</t>
        </is>
      </c>
      <c r="R1597" t="inlineStr">
        <is>
          <t>v1.7公式Source gap補完。完成品価格表 P56。</t>
        </is>
      </c>
      <c r="S1597" t="inlineStr">
        <is>
          <t>★</t>
        </is>
      </c>
      <c r="T1597" t="n">
        <v>57</v>
      </c>
      <c r="U1597" t="inlineStr">
        <is>
          <t>P57|★</t>
        </is>
      </c>
      <c r="V1597" t="inlineStr">
        <is>
          <t>同一価格表・次頁凡例を継承</t>
        </is>
      </c>
    </row>
    <row r="1598">
      <c r="A1598" t="inlineStr">
        <is>
          <t>SZ-SL-001595</t>
        </is>
      </c>
      <c r="B1598" t="inlineStr">
        <is>
          <t>SER-LIX-SAMOSL</t>
        </is>
      </c>
      <c r="C1598" t="inlineStr">
        <is>
          <t>WT-SL-SHUTTER-HIKI</t>
        </is>
      </c>
      <c r="D1598" t="inlineStr">
        <is>
          <t>シャッター付引違い窓</t>
        </is>
      </c>
      <c r="E1598" t="inlineStr">
        <is>
          <t>SP-SL-SHUT-M-STD</t>
        </is>
      </c>
      <c r="F1598" t="inlineStr">
        <is>
          <t>在来・204</t>
        </is>
      </c>
      <c r="G1598" t="inlineStr">
        <is>
          <t>18013</t>
        </is>
      </c>
      <c r="H1598" t="inlineStr">
        <is>
          <t>180</t>
        </is>
      </c>
      <c r="I1598" t="inlineStr">
        <is>
          <t>13</t>
        </is>
      </c>
      <c r="J1598" t="n">
        <v>1845</v>
      </c>
      <c r="K1598" t="n">
        <v>1370</v>
      </c>
      <c r="L1598" t="inlineStr">
        <is>
          <t>在来・204｜手動</t>
        </is>
      </c>
      <c r="M1598" t="b">
        <v>1</v>
      </c>
      <c r="N1598" t="inlineStr">
        <is>
          <t>カタログ規格確認済み</t>
        </is>
      </c>
      <c r="O1598" t="n">
        <v>58</v>
      </c>
      <c r="P1598" t="n">
        <v>56</v>
      </c>
      <c r="Q1598" t="inlineStr">
        <is>
          <t>202604_LIXIL_サーモスＬ_業務用資料集_完成品価格表.pdf</t>
        </is>
      </c>
      <c r="R1598" t="inlineStr">
        <is>
          <t>v1.7公式Source gap補完。完成品価格表 P56。</t>
        </is>
      </c>
      <c r="S1598" t="inlineStr">
        <is>
          <t>★</t>
        </is>
      </c>
      <c r="T1598" t="n">
        <v>57</v>
      </c>
      <c r="U1598" t="inlineStr">
        <is>
          <t>P57|★</t>
        </is>
      </c>
      <c r="V1598" t="inlineStr">
        <is>
          <t>同一価格表・次頁凡例を継承</t>
        </is>
      </c>
    </row>
    <row r="1599">
      <c r="A1599" t="inlineStr">
        <is>
          <t>SZ-SL-001596</t>
        </is>
      </c>
      <c r="B1599" t="inlineStr">
        <is>
          <t>SER-LIX-SAMOSL</t>
        </is>
      </c>
      <c r="C1599" t="inlineStr">
        <is>
          <t>WT-SL-SHUTTER-HIKI</t>
        </is>
      </c>
      <c r="D1599" t="inlineStr">
        <is>
          <t>シャッター付引違い窓</t>
        </is>
      </c>
      <c r="E1599" t="inlineStr">
        <is>
          <t>SP-SL-SHUT-M-STD</t>
        </is>
      </c>
      <c r="F1599" t="inlineStr">
        <is>
          <t>在来・204</t>
        </is>
      </c>
      <c r="G1599" t="inlineStr">
        <is>
          <t>18613</t>
        </is>
      </c>
      <c r="H1599" t="inlineStr">
        <is>
          <t>186</t>
        </is>
      </c>
      <c r="I1599" t="inlineStr">
        <is>
          <t>13</t>
        </is>
      </c>
      <c r="J1599" t="n">
        <v>1900</v>
      </c>
      <c r="K1599" t="n">
        <v>1370</v>
      </c>
      <c r="L1599" t="inlineStr">
        <is>
          <t>在来・204｜手動</t>
        </is>
      </c>
      <c r="M1599" t="b">
        <v>1</v>
      </c>
      <c r="N1599" t="inlineStr">
        <is>
          <t>カタログ規格確認済み</t>
        </is>
      </c>
      <c r="O1599" t="n">
        <v>58</v>
      </c>
      <c r="P1599" t="n">
        <v>56</v>
      </c>
      <c r="Q1599" t="inlineStr">
        <is>
          <t>202604_LIXIL_サーモスＬ_業務用資料集_完成品価格表.pdf</t>
        </is>
      </c>
      <c r="R1599" t="inlineStr">
        <is>
          <t>v1.7公式Source gap補完。完成品価格表 P56。</t>
        </is>
      </c>
      <c r="S1599" t="inlineStr">
        <is>
          <t>★</t>
        </is>
      </c>
      <c r="T1599" t="n">
        <v>57</v>
      </c>
      <c r="U1599" t="inlineStr">
        <is>
          <t>P57|★</t>
        </is>
      </c>
      <c r="V1599" t="inlineStr">
        <is>
          <t>同一価格表・次頁凡例を継承</t>
        </is>
      </c>
    </row>
    <row r="1600">
      <c r="A1600" t="inlineStr">
        <is>
          <t>SZ-SL-001597</t>
        </is>
      </c>
      <c r="B1600" t="inlineStr">
        <is>
          <t>SER-LIX-SAMOSL</t>
        </is>
      </c>
      <c r="C1600" t="inlineStr">
        <is>
          <t>WT-SL-SHUTTER-HIKI</t>
        </is>
      </c>
      <c r="D1600" t="inlineStr">
        <is>
          <t>シャッター付引違い窓</t>
        </is>
      </c>
      <c r="E1600" t="inlineStr">
        <is>
          <t>SP-SL-SHUT-M-STD</t>
        </is>
      </c>
      <c r="F1600" t="inlineStr">
        <is>
          <t>在来・204</t>
        </is>
      </c>
      <c r="G1600" t="inlineStr">
        <is>
          <t>25111-2</t>
        </is>
      </c>
      <c r="H1600" t="inlineStr">
        <is>
          <t>251-2</t>
        </is>
      </c>
      <c r="I1600" t="inlineStr">
        <is>
          <t>11</t>
        </is>
      </c>
      <c r="J1600" t="n">
        <v>2550</v>
      </c>
      <c r="K1600" t="n">
        <v>1170</v>
      </c>
      <c r="L1600" t="inlineStr">
        <is>
          <t>在来・204｜手動</t>
        </is>
      </c>
      <c r="M1600" t="b">
        <v>1</v>
      </c>
      <c r="N1600" t="inlineStr">
        <is>
          <t>カタログ規格確認済み</t>
        </is>
      </c>
      <c r="O1600" t="n">
        <v>59</v>
      </c>
      <c r="P1600" t="n">
        <v>57</v>
      </c>
      <c r="Q1600" t="inlineStr">
        <is>
          <t>202604_LIXIL_サーモスＬ_業務用資料集_完成品価格表.pdf</t>
        </is>
      </c>
      <c r="R1600" t="inlineStr">
        <is>
          <t>v1.7公式Source gap補完。完成品価格表 P57。</t>
        </is>
      </c>
      <c r="S1600" t="inlineStr">
        <is>
          <t>☆</t>
        </is>
      </c>
      <c r="T1600" t="n">
        <v>57</v>
      </c>
      <c r="U1600" t="inlineStr">
        <is>
          <t>P57|☆</t>
        </is>
      </c>
      <c r="V1600" t="inlineStr">
        <is>
          <t>同頁凡例へ直接連動</t>
        </is>
      </c>
    </row>
    <row r="1601">
      <c r="A1601" t="inlineStr">
        <is>
          <t>SZ-SL-001598</t>
        </is>
      </c>
      <c r="B1601" t="inlineStr">
        <is>
          <t>SER-LIX-SAMOSL</t>
        </is>
      </c>
      <c r="C1601" t="inlineStr">
        <is>
          <t>WT-SL-SHUTTER-HIKI</t>
        </is>
      </c>
      <c r="D1601" t="inlineStr">
        <is>
          <t>シャッター付引違い窓</t>
        </is>
      </c>
      <c r="E1601" t="inlineStr">
        <is>
          <t>SP-SL-SHUT-M-STD</t>
        </is>
      </c>
      <c r="F1601" t="inlineStr">
        <is>
          <t>在来・204</t>
        </is>
      </c>
      <c r="G1601" t="inlineStr">
        <is>
          <t>25111-4</t>
        </is>
      </c>
      <c r="H1601" t="inlineStr">
        <is>
          <t>251-4</t>
        </is>
      </c>
      <c r="I1601" t="inlineStr">
        <is>
          <t>11</t>
        </is>
      </c>
      <c r="J1601" t="n">
        <v>2550</v>
      </c>
      <c r="K1601" t="n">
        <v>1170</v>
      </c>
      <c r="L1601" t="inlineStr">
        <is>
          <t>在来・204｜手動</t>
        </is>
      </c>
      <c r="M1601" t="b">
        <v>1</v>
      </c>
      <c r="N1601" t="inlineStr">
        <is>
          <t>カタログ規格確認済み</t>
        </is>
      </c>
      <c r="O1601" t="n">
        <v>59</v>
      </c>
      <c r="P1601" t="n">
        <v>57</v>
      </c>
      <c r="Q1601" t="inlineStr">
        <is>
          <t>202604_LIXIL_サーモスＬ_業務用資料集_完成品価格表.pdf</t>
        </is>
      </c>
      <c r="R1601" t="inlineStr">
        <is>
          <t>v1.7公式Source gap補完。完成品価格表 P57。</t>
        </is>
      </c>
      <c r="S1601" t="inlineStr">
        <is>
          <t>無印</t>
        </is>
      </c>
      <c r="T1601" t="n">
        <v>57</v>
      </c>
      <c r="U1601" t="inlineStr">
        <is>
          <t>P57|無印</t>
        </is>
      </c>
      <c r="V1601" t="inlineStr">
        <is>
          <t>同頁凡例へ直接連動</t>
        </is>
      </c>
    </row>
    <row r="1602">
      <c r="A1602" t="inlineStr">
        <is>
          <t>SZ-SL-001599</t>
        </is>
      </c>
      <c r="B1602" t="inlineStr">
        <is>
          <t>SER-LIX-SAMOSL</t>
        </is>
      </c>
      <c r="C1602" t="inlineStr">
        <is>
          <t>WT-SL-SHUTTER-HIKI</t>
        </is>
      </c>
      <c r="D1602" t="inlineStr">
        <is>
          <t>シャッター付引違い窓</t>
        </is>
      </c>
      <c r="E1602" t="inlineStr">
        <is>
          <t>SP-SL-SHUT-M-STD</t>
        </is>
      </c>
      <c r="F1602" t="inlineStr">
        <is>
          <t>在来・204</t>
        </is>
      </c>
      <c r="G1602" t="inlineStr">
        <is>
          <t>25611-2</t>
        </is>
      </c>
      <c r="H1602" t="inlineStr">
        <is>
          <t>256-2</t>
        </is>
      </c>
      <c r="I1602" t="inlineStr">
        <is>
          <t>11</t>
        </is>
      </c>
      <c r="J1602" t="n">
        <v>2600</v>
      </c>
      <c r="K1602" t="n">
        <v>1170</v>
      </c>
      <c r="L1602" t="inlineStr">
        <is>
          <t>在来・204｜手動</t>
        </is>
      </c>
      <c r="M1602" t="b">
        <v>1</v>
      </c>
      <c r="N1602" t="inlineStr">
        <is>
          <t>カタログ規格確認済み</t>
        </is>
      </c>
      <c r="O1602" t="n">
        <v>59</v>
      </c>
      <c r="P1602" t="n">
        <v>57</v>
      </c>
      <c r="Q1602" t="inlineStr">
        <is>
          <t>202604_LIXIL_サーモスＬ_業務用資料集_完成品価格表.pdf</t>
        </is>
      </c>
      <c r="R1602" t="inlineStr">
        <is>
          <t>v1.7公式Source gap補完。完成品価格表 P57。</t>
        </is>
      </c>
      <c r="S1602" t="inlineStr">
        <is>
          <t>☆</t>
        </is>
      </c>
      <c r="T1602" t="n">
        <v>57</v>
      </c>
      <c r="U1602" t="inlineStr">
        <is>
          <t>P57|☆</t>
        </is>
      </c>
      <c r="V1602" t="inlineStr">
        <is>
          <t>同頁凡例へ直接連動</t>
        </is>
      </c>
    </row>
    <row r="1603">
      <c r="A1603" t="inlineStr">
        <is>
          <t>SZ-SL-001600</t>
        </is>
      </c>
      <c r="B1603" t="inlineStr">
        <is>
          <t>SER-LIX-SAMOSL</t>
        </is>
      </c>
      <c r="C1603" t="inlineStr">
        <is>
          <t>WT-SL-SHUTTER-HIKI</t>
        </is>
      </c>
      <c r="D1603" t="inlineStr">
        <is>
          <t>シャッター付引違い窓</t>
        </is>
      </c>
      <c r="E1603" t="inlineStr">
        <is>
          <t>SP-SL-SHUT-M-STD</t>
        </is>
      </c>
      <c r="F1603" t="inlineStr">
        <is>
          <t>在来・204</t>
        </is>
      </c>
      <c r="G1603" t="inlineStr">
        <is>
          <t>25611-4</t>
        </is>
      </c>
      <c r="H1603" t="inlineStr">
        <is>
          <t>256-4</t>
        </is>
      </c>
      <c r="I1603" t="inlineStr">
        <is>
          <t>11</t>
        </is>
      </c>
      <c r="J1603" t="n">
        <v>2600</v>
      </c>
      <c r="K1603" t="n">
        <v>1170</v>
      </c>
      <c r="L1603" t="inlineStr">
        <is>
          <t>在来・204｜手動</t>
        </is>
      </c>
      <c r="M1603" t="b">
        <v>1</v>
      </c>
      <c r="N1603" t="inlineStr">
        <is>
          <t>カタログ規格確認済み</t>
        </is>
      </c>
      <c r="O1603" t="n">
        <v>59</v>
      </c>
      <c r="P1603" t="n">
        <v>57</v>
      </c>
      <c r="Q1603" t="inlineStr">
        <is>
          <t>202604_LIXIL_サーモスＬ_業務用資料集_完成品価格表.pdf</t>
        </is>
      </c>
      <c r="R1603" t="inlineStr">
        <is>
          <t>v1.7公式Source gap補完。完成品価格表 P57。</t>
        </is>
      </c>
      <c r="S1603" t="inlineStr">
        <is>
          <t>無印</t>
        </is>
      </c>
      <c r="T1603" t="n">
        <v>57</v>
      </c>
      <c r="U1603" t="inlineStr">
        <is>
          <t>P57|無印</t>
        </is>
      </c>
      <c r="V1603" t="inlineStr">
        <is>
          <t>同頁凡例へ直接連動</t>
        </is>
      </c>
    </row>
    <row r="1604">
      <c r="A1604" t="inlineStr">
        <is>
          <t>SZ-SL-001601</t>
        </is>
      </c>
      <c r="B1604" t="inlineStr">
        <is>
          <t>SER-LIX-SAMOSL</t>
        </is>
      </c>
      <c r="C1604" t="inlineStr">
        <is>
          <t>WT-SL-SHUTTER-HIKI</t>
        </is>
      </c>
      <c r="D1604" t="inlineStr">
        <is>
          <t>シャッター付引違い窓</t>
        </is>
      </c>
      <c r="E1604" t="inlineStr">
        <is>
          <t>SP-SL-SHUT-M-STD</t>
        </is>
      </c>
      <c r="F1604" t="inlineStr">
        <is>
          <t>在来・204</t>
        </is>
      </c>
      <c r="G1604" t="inlineStr">
        <is>
          <t>25113-2</t>
        </is>
      </c>
      <c r="H1604" t="inlineStr">
        <is>
          <t>251-2</t>
        </is>
      </c>
      <c r="I1604" t="inlineStr">
        <is>
          <t>13</t>
        </is>
      </c>
      <c r="J1604" t="n">
        <v>2550</v>
      </c>
      <c r="K1604" t="n">
        <v>1370</v>
      </c>
      <c r="L1604" t="inlineStr">
        <is>
          <t>在来・204｜手動</t>
        </is>
      </c>
      <c r="M1604" t="b">
        <v>1</v>
      </c>
      <c r="N1604" t="inlineStr">
        <is>
          <t>カタログ規格確認済み</t>
        </is>
      </c>
      <c r="O1604" t="n">
        <v>59</v>
      </c>
      <c r="P1604" t="n">
        <v>57</v>
      </c>
      <c r="Q1604" t="inlineStr">
        <is>
          <t>202604_LIXIL_サーモスＬ_業務用資料集_完成品価格表.pdf</t>
        </is>
      </c>
      <c r="R1604" t="inlineStr">
        <is>
          <t>v1.7公式Source gap補完。完成品価格表 P57。</t>
        </is>
      </c>
      <c r="S1604" t="inlineStr">
        <is>
          <t>●</t>
        </is>
      </c>
      <c r="T1604" t="n">
        <v>57</v>
      </c>
      <c r="U1604" t="inlineStr">
        <is>
          <t>P57|●</t>
        </is>
      </c>
      <c r="V1604" t="inlineStr">
        <is>
          <t>同頁凡例へ直接連動</t>
        </is>
      </c>
    </row>
    <row r="1605">
      <c r="A1605" t="inlineStr">
        <is>
          <t>SZ-SL-001602</t>
        </is>
      </c>
      <c r="B1605" t="inlineStr">
        <is>
          <t>SER-LIX-SAMOSL</t>
        </is>
      </c>
      <c r="C1605" t="inlineStr">
        <is>
          <t>WT-SL-SHUTTER-HIKI</t>
        </is>
      </c>
      <c r="D1605" t="inlineStr">
        <is>
          <t>シャッター付引違い窓</t>
        </is>
      </c>
      <c r="E1605" t="inlineStr">
        <is>
          <t>SP-SL-SHUT-M-STD</t>
        </is>
      </c>
      <c r="F1605" t="inlineStr">
        <is>
          <t>在来・204</t>
        </is>
      </c>
      <c r="G1605" t="inlineStr">
        <is>
          <t>25113-4</t>
        </is>
      </c>
      <c r="H1605" t="inlineStr">
        <is>
          <t>251-4</t>
        </is>
      </c>
      <c r="I1605" t="inlineStr">
        <is>
          <t>13</t>
        </is>
      </c>
      <c r="J1605" t="n">
        <v>2550</v>
      </c>
      <c r="K1605" t="n">
        <v>1370</v>
      </c>
      <c r="L1605" t="inlineStr">
        <is>
          <t>在来・204｜手動</t>
        </is>
      </c>
      <c r="M1605" t="b">
        <v>1</v>
      </c>
      <c r="N1605" t="inlineStr">
        <is>
          <t>カタログ規格確認済み</t>
        </is>
      </c>
      <c r="O1605" t="n">
        <v>59</v>
      </c>
      <c r="P1605" t="n">
        <v>57</v>
      </c>
      <c r="Q1605" t="inlineStr">
        <is>
          <t>202604_LIXIL_サーモスＬ_業務用資料集_完成品価格表.pdf</t>
        </is>
      </c>
      <c r="R1605" t="inlineStr">
        <is>
          <t>v1.7公式Source gap補完。完成品価格表 P57。</t>
        </is>
      </c>
      <c r="S1605" t="inlineStr">
        <is>
          <t>無印</t>
        </is>
      </c>
      <c r="T1605" t="n">
        <v>57</v>
      </c>
      <c r="U1605" t="inlineStr">
        <is>
          <t>P57|無印</t>
        </is>
      </c>
      <c r="V1605" t="inlineStr">
        <is>
          <t>同頁凡例へ直接連動</t>
        </is>
      </c>
    </row>
    <row r="1606">
      <c r="A1606" t="inlineStr">
        <is>
          <t>SZ-SL-001603</t>
        </is>
      </c>
      <c r="B1606" t="inlineStr">
        <is>
          <t>SER-LIX-SAMOSL</t>
        </is>
      </c>
      <c r="C1606" t="inlineStr">
        <is>
          <t>WT-SL-SHUTTER-HIKI</t>
        </is>
      </c>
      <c r="D1606" t="inlineStr">
        <is>
          <t>シャッター付引違い窓</t>
        </is>
      </c>
      <c r="E1606" t="inlineStr">
        <is>
          <t>SP-SL-SHUT-M-STD</t>
        </is>
      </c>
      <c r="F1606" t="inlineStr">
        <is>
          <t>在来・204</t>
        </is>
      </c>
      <c r="G1606" t="inlineStr">
        <is>
          <t>25613-2</t>
        </is>
      </c>
      <c r="H1606" t="inlineStr">
        <is>
          <t>256-2</t>
        </is>
      </c>
      <c r="I1606" t="inlineStr">
        <is>
          <t>13</t>
        </is>
      </c>
      <c r="J1606" t="n">
        <v>2600</v>
      </c>
      <c r="K1606" t="n">
        <v>1370</v>
      </c>
      <c r="L1606" t="inlineStr">
        <is>
          <t>在来・204｜手動</t>
        </is>
      </c>
      <c r="M1606" t="b">
        <v>1</v>
      </c>
      <c r="N1606" t="inlineStr">
        <is>
          <t>カタログ規格確認済み</t>
        </is>
      </c>
      <c r="O1606" t="n">
        <v>59</v>
      </c>
      <c r="P1606" t="n">
        <v>57</v>
      </c>
      <c r="Q1606" t="inlineStr">
        <is>
          <t>202604_LIXIL_サーモスＬ_業務用資料集_完成品価格表.pdf</t>
        </is>
      </c>
      <c r="R1606" t="inlineStr">
        <is>
          <t>v1.7公式Source gap補完。完成品価格表 P57。</t>
        </is>
      </c>
      <c r="S1606" t="inlineStr">
        <is>
          <t>●</t>
        </is>
      </c>
      <c r="T1606" t="n">
        <v>57</v>
      </c>
      <c r="U1606" t="inlineStr">
        <is>
          <t>P57|●</t>
        </is>
      </c>
      <c r="V1606" t="inlineStr">
        <is>
          <t>同頁凡例へ直接連動</t>
        </is>
      </c>
    </row>
    <row r="1607">
      <c r="A1607" t="inlineStr">
        <is>
          <t>SZ-SL-001604</t>
        </is>
      </c>
      <c r="B1607" t="inlineStr">
        <is>
          <t>SER-LIX-SAMOSL</t>
        </is>
      </c>
      <c r="C1607" t="inlineStr">
        <is>
          <t>WT-SL-SHUTTER-HIKI</t>
        </is>
      </c>
      <c r="D1607" t="inlineStr">
        <is>
          <t>シャッター付引違い窓</t>
        </is>
      </c>
      <c r="E1607" t="inlineStr">
        <is>
          <t>SP-SL-SHUT-M-STD</t>
        </is>
      </c>
      <c r="F1607" t="inlineStr">
        <is>
          <t>在来・204</t>
        </is>
      </c>
      <c r="G1607" t="inlineStr">
        <is>
          <t>25613-4</t>
        </is>
      </c>
      <c r="H1607" t="inlineStr">
        <is>
          <t>256-4</t>
        </is>
      </c>
      <c r="I1607" t="inlineStr">
        <is>
          <t>13</t>
        </is>
      </c>
      <c r="J1607" t="n">
        <v>2600</v>
      </c>
      <c r="K1607" t="n">
        <v>1370</v>
      </c>
      <c r="L1607" t="inlineStr">
        <is>
          <t>在来・204｜手動</t>
        </is>
      </c>
      <c r="M1607" t="b">
        <v>1</v>
      </c>
      <c r="N1607" t="inlineStr">
        <is>
          <t>カタログ規格確認済み</t>
        </is>
      </c>
      <c r="O1607" t="n">
        <v>59</v>
      </c>
      <c r="P1607" t="n">
        <v>57</v>
      </c>
      <c r="Q1607" t="inlineStr">
        <is>
          <t>202604_LIXIL_サーモスＬ_業務用資料集_完成品価格表.pdf</t>
        </is>
      </c>
      <c r="R1607" t="inlineStr">
        <is>
          <t>v1.7公式Source gap補完。完成品価格表 P57。</t>
        </is>
      </c>
      <c r="S1607" t="inlineStr">
        <is>
          <t>無印</t>
        </is>
      </c>
      <c r="T1607" t="n">
        <v>57</v>
      </c>
      <c r="U1607" t="inlineStr">
        <is>
          <t>P57|無印</t>
        </is>
      </c>
      <c r="V1607" t="inlineStr">
        <is>
          <t>同頁凡例へ直接連動</t>
        </is>
      </c>
    </row>
    <row r="1608">
      <c r="A1608" t="inlineStr">
        <is>
          <t>SZ-SL-001605</t>
        </is>
      </c>
      <c r="B1608" t="inlineStr">
        <is>
          <t>SER-LIX-SAMOSL</t>
        </is>
      </c>
      <c r="C1608" t="inlineStr">
        <is>
          <t>WT-SL-SHUTTER-HIKI</t>
        </is>
      </c>
      <c r="D1608" t="inlineStr">
        <is>
          <t>シャッター付引違い窓</t>
        </is>
      </c>
      <c r="E1608" t="inlineStr">
        <is>
          <t>SP-SL-SHUT-M-STD</t>
        </is>
      </c>
      <c r="F1608" t="inlineStr">
        <is>
          <t>在来</t>
        </is>
      </c>
      <c r="G1608" t="inlineStr">
        <is>
          <t>11918</t>
        </is>
      </c>
      <c r="H1608" t="inlineStr">
        <is>
          <t>119</t>
        </is>
      </c>
      <c r="I1608" t="inlineStr">
        <is>
          <t>18</t>
        </is>
      </c>
      <c r="J1608" t="n">
        <v>1235</v>
      </c>
      <c r="K1608" t="n">
        <v>1830</v>
      </c>
      <c r="L1608" t="inlineStr">
        <is>
          <t>在来｜手動｜テラス①</t>
        </is>
      </c>
      <c r="M1608" t="b">
        <v>1</v>
      </c>
      <c r="N1608" t="inlineStr">
        <is>
          <t>カタログ規格確認済み</t>
        </is>
      </c>
      <c r="O1608" t="n">
        <v>60</v>
      </c>
      <c r="P1608" t="n">
        <v>58</v>
      </c>
      <c r="Q1608" t="inlineStr">
        <is>
          <t>202604_LIXIL_サーモスＬ_業務用資料集_完成品価格表.pdf</t>
        </is>
      </c>
      <c r="R1608" t="inlineStr">
        <is>
          <t>v1.7公式Source gap補完。完成品価格表 P58。</t>
        </is>
      </c>
      <c r="S1608" t="inlineStr">
        <is>
          <t>無印</t>
        </is>
      </c>
      <c r="T1608" t="n">
        <v>59</v>
      </c>
      <c r="U1608" t="inlineStr">
        <is>
          <t>P59|無印</t>
        </is>
      </c>
      <c r="V1608" t="inlineStr">
        <is>
          <t>同一価格表・次頁凡例を継承</t>
        </is>
      </c>
    </row>
    <row r="1609">
      <c r="A1609" t="inlineStr">
        <is>
          <t>SZ-SL-001606</t>
        </is>
      </c>
      <c r="B1609" t="inlineStr">
        <is>
          <t>SER-LIX-SAMOSL</t>
        </is>
      </c>
      <c r="C1609" t="inlineStr">
        <is>
          <t>WT-SL-SHUTTER-HIKI</t>
        </is>
      </c>
      <c r="D1609" t="inlineStr">
        <is>
          <t>シャッター付引違い窓</t>
        </is>
      </c>
      <c r="E1609" t="inlineStr">
        <is>
          <t>SP-SL-SHUT-M-STD</t>
        </is>
      </c>
      <c r="F1609" t="inlineStr">
        <is>
          <t>在来</t>
        </is>
      </c>
      <c r="G1609" t="inlineStr">
        <is>
          <t>13318</t>
        </is>
      </c>
      <c r="H1609" t="inlineStr">
        <is>
          <t>133</t>
        </is>
      </c>
      <c r="I1609" t="inlineStr">
        <is>
          <t>18</t>
        </is>
      </c>
      <c r="J1609" t="n">
        <v>1370</v>
      </c>
      <c r="K1609" t="n">
        <v>1830</v>
      </c>
      <c r="L1609" t="inlineStr">
        <is>
          <t>在来｜手動｜テラス①</t>
        </is>
      </c>
      <c r="M1609" t="b">
        <v>1</v>
      </c>
      <c r="N1609" t="inlineStr">
        <is>
          <t>カタログ規格確認済み</t>
        </is>
      </c>
      <c r="O1609" t="n">
        <v>60</v>
      </c>
      <c r="P1609" t="n">
        <v>58</v>
      </c>
      <c r="Q1609" t="inlineStr">
        <is>
          <t>202604_LIXIL_サーモスＬ_業務用資料集_完成品価格表.pdf</t>
        </is>
      </c>
      <c r="R1609" t="inlineStr">
        <is>
          <t>v1.7公式Source gap補完。完成品価格表 P58。</t>
        </is>
      </c>
      <c r="S1609" t="inlineStr">
        <is>
          <t>無印</t>
        </is>
      </c>
      <c r="T1609" t="n">
        <v>59</v>
      </c>
      <c r="U1609" t="inlineStr">
        <is>
          <t>P59|無印</t>
        </is>
      </c>
      <c r="V1609" t="inlineStr">
        <is>
          <t>同一価格表・次頁凡例を継承</t>
        </is>
      </c>
    </row>
    <row r="1610">
      <c r="A1610" t="inlineStr">
        <is>
          <t>SZ-SL-001607</t>
        </is>
      </c>
      <c r="B1610" t="inlineStr">
        <is>
          <t>SER-LIX-SAMOSL</t>
        </is>
      </c>
      <c r="C1610" t="inlineStr">
        <is>
          <t>WT-SL-SHUTTER-HIKI</t>
        </is>
      </c>
      <c r="D1610" t="inlineStr">
        <is>
          <t>シャッター付引違い窓</t>
        </is>
      </c>
      <c r="E1610" t="inlineStr">
        <is>
          <t>SP-SL-SHUT-M-STD</t>
        </is>
      </c>
      <c r="F1610" t="inlineStr">
        <is>
          <t>在来</t>
        </is>
      </c>
      <c r="G1610" t="inlineStr">
        <is>
          <t>15018</t>
        </is>
      </c>
      <c r="H1610" t="inlineStr">
        <is>
          <t>150</t>
        </is>
      </c>
      <c r="I1610" t="inlineStr">
        <is>
          <t>18</t>
        </is>
      </c>
      <c r="J1610" t="n">
        <v>1540</v>
      </c>
      <c r="K1610" t="n">
        <v>1830</v>
      </c>
      <c r="L1610" t="inlineStr">
        <is>
          <t>在来｜手動｜テラス①</t>
        </is>
      </c>
      <c r="M1610" t="b">
        <v>1</v>
      </c>
      <c r="N1610" t="inlineStr">
        <is>
          <t>カタログ規格確認済み</t>
        </is>
      </c>
      <c r="O1610" t="n">
        <v>60</v>
      </c>
      <c r="P1610" t="n">
        <v>58</v>
      </c>
      <c r="Q1610" t="inlineStr">
        <is>
          <t>202604_LIXIL_サーモスＬ_業務用資料集_完成品価格表.pdf</t>
        </is>
      </c>
      <c r="R1610" t="inlineStr">
        <is>
          <t>v1.7公式Source gap補完。完成品価格表 P58。</t>
        </is>
      </c>
      <c r="S1610" t="inlineStr">
        <is>
          <t>無印</t>
        </is>
      </c>
      <c r="T1610" t="n">
        <v>59</v>
      </c>
      <c r="U1610" t="inlineStr">
        <is>
          <t>P59|無印</t>
        </is>
      </c>
      <c r="V1610" t="inlineStr">
        <is>
          <t>同一価格表・次頁凡例を継承</t>
        </is>
      </c>
    </row>
    <row r="1611">
      <c r="A1611" t="inlineStr">
        <is>
          <t>SZ-SL-001608</t>
        </is>
      </c>
      <c r="B1611" t="inlineStr">
        <is>
          <t>SER-LIX-SAMOSL</t>
        </is>
      </c>
      <c r="C1611" t="inlineStr">
        <is>
          <t>WT-SL-SHUTTER-HIKI</t>
        </is>
      </c>
      <c r="D1611" t="inlineStr">
        <is>
          <t>シャッター付引違い窓</t>
        </is>
      </c>
      <c r="E1611" t="inlineStr">
        <is>
          <t>SP-SL-SHUT-M-STD</t>
        </is>
      </c>
      <c r="F1611" t="inlineStr">
        <is>
          <t>在来</t>
        </is>
      </c>
      <c r="G1611" t="inlineStr">
        <is>
          <t>16018</t>
        </is>
      </c>
      <c r="H1611" t="inlineStr">
        <is>
          <t>160</t>
        </is>
      </c>
      <c r="I1611" t="inlineStr">
        <is>
          <t>18</t>
        </is>
      </c>
      <c r="J1611" t="n">
        <v>1640</v>
      </c>
      <c r="K1611" t="n">
        <v>1830</v>
      </c>
      <c r="L1611" t="inlineStr">
        <is>
          <t>在来｜手動｜テラス①</t>
        </is>
      </c>
      <c r="M1611" t="b">
        <v>1</v>
      </c>
      <c r="N1611" t="inlineStr">
        <is>
          <t>カタログ規格確認済み</t>
        </is>
      </c>
      <c r="O1611" t="n">
        <v>60</v>
      </c>
      <c r="P1611" t="n">
        <v>58</v>
      </c>
      <c r="Q1611" t="inlineStr">
        <is>
          <t>202604_LIXIL_サーモスＬ_業務用資料集_完成品価格表.pdf</t>
        </is>
      </c>
      <c r="R1611" t="inlineStr">
        <is>
          <t>v1.7公式Source gap補完。完成品価格表 P58。</t>
        </is>
      </c>
      <c r="S1611" t="inlineStr">
        <is>
          <t>無印</t>
        </is>
      </c>
      <c r="T1611" t="n">
        <v>59</v>
      </c>
      <c r="U1611" t="inlineStr">
        <is>
          <t>P59|無印</t>
        </is>
      </c>
      <c r="V1611" t="inlineStr">
        <is>
          <t>同一価格表・次頁凡例を継承</t>
        </is>
      </c>
    </row>
    <row r="1612">
      <c r="A1612" t="inlineStr">
        <is>
          <t>SZ-SL-001609</t>
        </is>
      </c>
      <c r="B1612" t="inlineStr">
        <is>
          <t>SER-LIX-SAMOSL</t>
        </is>
      </c>
      <c r="C1612" t="inlineStr">
        <is>
          <t>WT-SL-SHUTTER-HIKI</t>
        </is>
      </c>
      <c r="D1612" t="inlineStr">
        <is>
          <t>シャッター付引違い窓</t>
        </is>
      </c>
      <c r="E1612" t="inlineStr">
        <is>
          <t>SP-SL-SHUT-M-STD</t>
        </is>
      </c>
      <c r="F1612" t="inlineStr">
        <is>
          <t>在来</t>
        </is>
      </c>
      <c r="G1612" t="inlineStr">
        <is>
          <t>11920</t>
        </is>
      </c>
      <c r="H1612" t="inlineStr">
        <is>
          <t>119</t>
        </is>
      </c>
      <c r="I1612" t="inlineStr">
        <is>
          <t>20</t>
        </is>
      </c>
      <c r="J1612" t="n">
        <v>1235</v>
      </c>
      <c r="K1612" t="n">
        <v>2030</v>
      </c>
      <c r="L1612" t="inlineStr">
        <is>
          <t>在来｜手動｜テラス①</t>
        </is>
      </c>
      <c r="M1612" t="b">
        <v>1</v>
      </c>
      <c r="N1612" t="inlineStr">
        <is>
          <t>カタログ規格確認済み</t>
        </is>
      </c>
      <c r="O1612" t="n">
        <v>60</v>
      </c>
      <c r="P1612" t="n">
        <v>58</v>
      </c>
      <c r="Q1612" t="inlineStr">
        <is>
          <t>202604_LIXIL_サーモスＬ_業務用資料集_完成品価格表.pdf</t>
        </is>
      </c>
      <c r="R1612" t="inlineStr">
        <is>
          <t>v1.7公式Source gap補完。完成品価格表 P58。</t>
        </is>
      </c>
      <c r="S1612" t="inlineStr">
        <is>
          <t>無印</t>
        </is>
      </c>
      <c r="T1612" t="n">
        <v>59</v>
      </c>
      <c r="U1612" t="inlineStr">
        <is>
          <t>P59|無印</t>
        </is>
      </c>
      <c r="V1612" t="inlineStr">
        <is>
          <t>同一価格表・次頁凡例を継承</t>
        </is>
      </c>
    </row>
    <row r="1613">
      <c r="A1613" t="inlineStr">
        <is>
          <t>SZ-SL-001610</t>
        </is>
      </c>
      <c r="B1613" t="inlineStr">
        <is>
          <t>SER-LIX-SAMOSL</t>
        </is>
      </c>
      <c r="C1613" t="inlineStr">
        <is>
          <t>WT-SL-SHUTTER-HIKI</t>
        </is>
      </c>
      <c r="D1613" t="inlineStr">
        <is>
          <t>シャッター付引違い窓</t>
        </is>
      </c>
      <c r="E1613" t="inlineStr">
        <is>
          <t>SP-SL-SHUT-M-STD</t>
        </is>
      </c>
      <c r="F1613" t="inlineStr">
        <is>
          <t>在来</t>
        </is>
      </c>
      <c r="G1613" t="inlineStr">
        <is>
          <t>13320</t>
        </is>
      </c>
      <c r="H1613" t="inlineStr">
        <is>
          <t>133</t>
        </is>
      </c>
      <c r="I1613" t="inlineStr">
        <is>
          <t>20</t>
        </is>
      </c>
      <c r="J1613" t="n">
        <v>1370</v>
      </c>
      <c r="K1613" t="n">
        <v>2030</v>
      </c>
      <c r="L1613" t="inlineStr">
        <is>
          <t>在来｜手動｜テラス①</t>
        </is>
      </c>
      <c r="M1613" t="b">
        <v>1</v>
      </c>
      <c r="N1613" t="inlineStr">
        <is>
          <t>カタログ規格確認済み</t>
        </is>
      </c>
      <c r="O1613" t="n">
        <v>60</v>
      </c>
      <c r="P1613" t="n">
        <v>58</v>
      </c>
      <c r="Q1613" t="inlineStr">
        <is>
          <t>202604_LIXIL_サーモスＬ_業務用資料集_完成品価格表.pdf</t>
        </is>
      </c>
      <c r="R1613" t="inlineStr">
        <is>
          <t>v1.7公式Source gap補完。完成品価格表 P58。</t>
        </is>
      </c>
      <c r="S1613" t="inlineStr">
        <is>
          <t>無印</t>
        </is>
      </c>
      <c r="T1613" t="n">
        <v>59</v>
      </c>
      <c r="U1613" t="inlineStr">
        <is>
          <t>P59|無印</t>
        </is>
      </c>
      <c r="V1613" t="inlineStr">
        <is>
          <t>同一価格表・次頁凡例を継承</t>
        </is>
      </c>
    </row>
    <row r="1614">
      <c r="A1614" t="inlineStr">
        <is>
          <t>SZ-SL-001611</t>
        </is>
      </c>
      <c r="B1614" t="inlineStr">
        <is>
          <t>SER-LIX-SAMOSL</t>
        </is>
      </c>
      <c r="C1614" t="inlineStr">
        <is>
          <t>WT-SL-SHUTTER-HIKI</t>
        </is>
      </c>
      <c r="D1614" t="inlineStr">
        <is>
          <t>シャッター付引違い窓</t>
        </is>
      </c>
      <c r="E1614" t="inlineStr">
        <is>
          <t>SP-SL-SHUT-M-STD</t>
        </is>
      </c>
      <c r="F1614" t="inlineStr">
        <is>
          <t>在来</t>
        </is>
      </c>
      <c r="G1614" t="inlineStr">
        <is>
          <t>15020</t>
        </is>
      </c>
      <c r="H1614" t="inlineStr">
        <is>
          <t>150</t>
        </is>
      </c>
      <c r="I1614" t="inlineStr">
        <is>
          <t>20</t>
        </is>
      </c>
      <c r="J1614" t="n">
        <v>1540</v>
      </c>
      <c r="K1614" t="n">
        <v>2030</v>
      </c>
      <c r="L1614" t="inlineStr">
        <is>
          <t>在来｜手動｜テラス①</t>
        </is>
      </c>
      <c r="M1614" t="b">
        <v>1</v>
      </c>
      <c r="N1614" t="inlineStr">
        <is>
          <t>カタログ規格確認済み</t>
        </is>
      </c>
      <c r="O1614" t="n">
        <v>60</v>
      </c>
      <c r="P1614" t="n">
        <v>58</v>
      </c>
      <c r="Q1614" t="inlineStr">
        <is>
          <t>202604_LIXIL_サーモスＬ_業務用資料集_完成品価格表.pdf</t>
        </is>
      </c>
      <c r="R1614" t="inlineStr">
        <is>
          <t>v1.7公式Source gap補完。完成品価格表 P58。</t>
        </is>
      </c>
      <c r="S1614" t="inlineStr">
        <is>
          <t>○</t>
        </is>
      </c>
      <c r="T1614" t="n">
        <v>59</v>
      </c>
      <c r="U1614" t="inlineStr">
        <is>
          <t>P59|○</t>
        </is>
      </c>
      <c r="V1614" t="inlineStr">
        <is>
          <t>同一価格表・次頁凡例を継承</t>
        </is>
      </c>
    </row>
    <row r="1615">
      <c r="A1615" t="inlineStr">
        <is>
          <t>SZ-SL-001612</t>
        </is>
      </c>
      <c r="B1615" t="inlineStr">
        <is>
          <t>SER-LIX-SAMOSL</t>
        </is>
      </c>
      <c r="C1615" t="inlineStr">
        <is>
          <t>WT-SL-SHUTTER-HIKI</t>
        </is>
      </c>
      <c r="D1615" t="inlineStr">
        <is>
          <t>シャッター付引違い窓</t>
        </is>
      </c>
      <c r="E1615" t="inlineStr">
        <is>
          <t>SP-SL-SHUT-M-STD</t>
        </is>
      </c>
      <c r="F1615" t="inlineStr">
        <is>
          <t>在来</t>
        </is>
      </c>
      <c r="G1615" t="inlineStr">
        <is>
          <t>16020</t>
        </is>
      </c>
      <c r="H1615" t="inlineStr">
        <is>
          <t>160</t>
        </is>
      </c>
      <c r="I1615" t="inlineStr">
        <is>
          <t>20</t>
        </is>
      </c>
      <c r="J1615" t="n">
        <v>1640</v>
      </c>
      <c r="K1615" t="n">
        <v>2030</v>
      </c>
      <c r="L1615" t="inlineStr">
        <is>
          <t>在来｜手動｜テラス①</t>
        </is>
      </c>
      <c r="M1615" t="b">
        <v>1</v>
      </c>
      <c r="N1615" t="inlineStr">
        <is>
          <t>カタログ規格確認済み</t>
        </is>
      </c>
      <c r="O1615" t="n">
        <v>60</v>
      </c>
      <c r="P1615" t="n">
        <v>58</v>
      </c>
      <c r="Q1615" t="inlineStr">
        <is>
          <t>202604_LIXIL_サーモスＬ_業務用資料集_完成品価格表.pdf</t>
        </is>
      </c>
      <c r="R1615" t="inlineStr">
        <is>
          <t>v1.7公式Source gap補完。完成品価格表 P58。</t>
        </is>
      </c>
      <c r="S1615" t="inlineStr">
        <is>
          <t>▲</t>
        </is>
      </c>
      <c r="T1615" t="n">
        <v>59</v>
      </c>
      <c r="U1615" t="inlineStr">
        <is>
          <t>P59|▲</t>
        </is>
      </c>
      <c r="V1615" t="inlineStr">
        <is>
          <t>同一価格表・次頁凡例を継承</t>
        </is>
      </c>
    </row>
    <row r="1616">
      <c r="A1616" t="inlineStr">
        <is>
          <t>SZ-SL-001613</t>
        </is>
      </c>
      <c r="B1616" t="inlineStr">
        <is>
          <t>SER-LIX-SAMOSL</t>
        </is>
      </c>
      <c r="C1616" t="inlineStr">
        <is>
          <t>WT-SL-SHUTTER-HIKI</t>
        </is>
      </c>
      <c r="D1616" t="inlineStr">
        <is>
          <t>シャッター付引違い窓</t>
        </is>
      </c>
      <c r="E1616" t="inlineStr">
        <is>
          <t>SP-SL-SHUT-M-STD</t>
        </is>
      </c>
      <c r="F1616" t="inlineStr">
        <is>
          <t>在来</t>
        </is>
      </c>
      <c r="G1616" t="inlineStr">
        <is>
          <t>15022</t>
        </is>
      </c>
      <c r="H1616" t="inlineStr">
        <is>
          <t>150</t>
        </is>
      </c>
      <c r="I1616" t="inlineStr">
        <is>
          <t>22</t>
        </is>
      </c>
      <c r="J1616" t="n">
        <v>1540</v>
      </c>
      <c r="K1616" t="n">
        <v>2230</v>
      </c>
      <c r="L1616" t="inlineStr">
        <is>
          <t>在来｜手動｜テラス①</t>
        </is>
      </c>
      <c r="M1616" t="b">
        <v>1</v>
      </c>
      <c r="N1616" t="inlineStr">
        <is>
          <t>カタログ規格確認済み</t>
        </is>
      </c>
      <c r="O1616" t="n">
        <v>60</v>
      </c>
      <c r="P1616" t="n">
        <v>58</v>
      </c>
      <c r="Q1616" t="inlineStr">
        <is>
          <t>202604_LIXIL_サーモスＬ_業務用資料集_完成品価格表.pdf</t>
        </is>
      </c>
      <c r="R1616" t="inlineStr">
        <is>
          <t>v1.7公式Source gap補完。完成品価格表 P58。</t>
        </is>
      </c>
      <c r="S1616" t="inlineStr">
        <is>
          <t>★</t>
        </is>
      </c>
      <c r="T1616" t="n">
        <v>59</v>
      </c>
      <c r="U1616" t="inlineStr">
        <is>
          <t>P59|★</t>
        </is>
      </c>
      <c r="V1616" t="inlineStr">
        <is>
          <t>同一価格表・次頁凡例を継承</t>
        </is>
      </c>
    </row>
    <row r="1617">
      <c r="A1617" t="inlineStr">
        <is>
          <t>SZ-SL-001614</t>
        </is>
      </c>
      <c r="B1617" t="inlineStr">
        <is>
          <t>SER-LIX-SAMOSL</t>
        </is>
      </c>
      <c r="C1617" t="inlineStr">
        <is>
          <t>WT-SL-SHUTTER-HIKI</t>
        </is>
      </c>
      <c r="D1617" t="inlineStr">
        <is>
          <t>シャッター付引違い窓</t>
        </is>
      </c>
      <c r="E1617" t="inlineStr">
        <is>
          <t>SP-SL-SHUT-M-STD</t>
        </is>
      </c>
      <c r="F1617" t="inlineStr">
        <is>
          <t>在来</t>
        </is>
      </c>
      <c r="G1617" t="inlineStr">
        <is>
          <t>16022</t>
        </is>
      </c>
      <c r="H1617" t="inlineStr">
        <is>
          <t>160</t>
        </is>
      </c>
      <c r="I1617" t="inlineStr">
        <is>
          <t>22</t>
        </is>
      </c>
      <c r="J1617" t="n">
        <v>1640</v>
      </c>
      <c r="K1617" t="n">
        <v>2230</v>
      </c>
      <c r="L1617" t="inlineStr">
        <is>
          <t>在来｜手動｜テラス①</t>
        </is>
      </c>
      <c r="M1617" t="b">
        <v>1</v>
      </c>
      <c r="N1617" t="inlineStr">
        <is>
          <t>カタログ規格確認済み</t>
        </is>
      </c>
      <c r="O1617" t="n">
        <v>60</v>
      </c>
      <c r="P1617" t="n">
        <v>58</v>
      </c>
      <c r="Q1617" t="inlineStr">
        <is>
          <t>202604_LIXIL_サーモスＬ_業務用資料集_完成品価格表.pdf</t>
        </is>
      </c>
      <c r="R1617" t="inlineStr">
        <is>
          <t>v1.7公式Source gap補完。完成品価格表 P58。</t>
        </is>
      </c>
      <c r="S1617" t="inlineStr">
        <is>
          <t>★</t>
        </is>
      </c>
      <c r="T1617" t="n">
        <v>59</v>
      </c>
      <c r="U1617" t="inlineStr">
        <is>
          <t>P59|★</t>
        </is>
      </c>
      <c r="V1617" t="inlineStr">
        <is>
          <t>同一価格表・次頁凡例を継承</t>
        </is>
      </c>
    </row>
    <row r="1618">
      <c r="A1618" t="inlineStr">
        <is>
          <t>SZ-SL-001615</t>
        </is>
      </c>
      <c r="B1618" t="inlineStr">
        <is>
          <t>SER-LIX-SAMOSL</t>
        </is>
      </c>
      <c r="C1618" t="inlineStr">
        <is>
          <t>WT-SL-SHUTTER-HIKI</t>
        </is>
      </c>
      <c r="D1618" t="inlineStr">
        <is>
          <t>シャッター付引違い窓</t>
        </is>
      </c>
      <c r="E1618" t="inlineStr">
        <is>
          <t>SP-SL-SHUT-M-STD</t>
        </is>
      </c>
      <c r="F1618" t="inlineStr">
        <is>
          <t>在来</t>
        </is>
      </c>
      <c r="G1618" t="inlineStr">
        <is>
          <t>16518</t>
        </is>
      </c>
      <c r="H1618" t="inlineStr">
        <is>
          <t>165</t>
        </is>
      </c>
      <c r="I1618" t="inlineStr">
        <is>
          <t>18</t>
        </is>
      </c>
      <c r="J1618" t="n">
        <v>1690</v>
      </c>
      <c r="K1618" t="n">
        <v>1830</v>
      </c>
      <c r="L1618" t="inlineStr">
        <is>
          <t>在来｜手動｜テラス①</t>
        </is>
      </c>
      <c r="M1618" t="b">
        <v>1</v>
      </c>
      <c r="N1618" t="inlineStr">
        <is>
          <t>カタログ規格確認済み</t>
        </is>
      </c>
      <c r="O1618" t="n">
        <v>61</v>
      </c>
      <c r="P1618" t="n">
        <v>59</v>
      </c>
      <c r="Q1618" t="inlineStr">
        <is>
          <t>202604_LIXIL_サーモスＬ_業務用資料集_完成品価格表.pdf</t>
        </is>
      </c>
      <c r="R1618" t="inlineStr">
        <is>
          <t>v1.7公式Source gap補完。完成品価格表 P59。</t>
        </is>
      </c>
      <c r="S1618" t="inlineStr">
        <is>
          <t>無印</t>
        </is>
      </c>
      <c r="T1618" t="n">
        <v>59</v>
      </c>
      <c r="U1618" t="inlineStr">
        <is>
          <t>P59|無印</t>
        </is>
      </c>
      <c r="V1618" t="inlineStr">
        <is>
          <t>同頁凡例へ直接連動</t>
        </is>
      </c>
    </row>
    <row r="1619">
      <c r="A1619" t="inlineStr">
        <is>
          <t>SZ-SL-001616</t>
        </is>
      </c>
      <c r="B1619" t="inlineStr">
        <is>
          <t>SER-LIX-SAMOSL</t>
        </is>
      </c>
      <c r="C1619" t="inlineStr">
        <is>
          <t>WT-SL-SHUTTER-HIKI</t>
        </is>
      </c>
      <c r="D1619" t="inlineStr">
        <is>
          <t>シャッター付引違い窓</t>
        </is>
      </c>
      <c r="E1619" t="inlineStr">
        <is>
          <t>SP-SL-SHUT-M-STD</t>
        </is>
      </c>
      <c r="F1619" t="inlineStr">
        <is>
          <t>在来</t>
        </is>
      </c>
      <c r="G1619" t="inlineStr">
        <is>
          <t>17418</t>
        </is>
      </c>
      <c r="H1619" t="inlineStr">
        <is>
          <t>174</t>
        </is>
      </c>
      <c r="I1619" t="inlineStr">
        <is>
          <t>18</t>
        </is>
      </c>
      <c r="J1619" t="n">
        <v>1780</v>
      </c>
      <c r="K1619" t="n">
        <v>1830</v>
      </c>
      <c r="L1619" t="inlineStr">
        <is>
          <t>在来｜手動｜テラス①</t>
        </is>
      </c>
      <c r="M1619" t="b">
        <v>1</v>
      </c>
      <c r="N1619" t="inlineStr">
        <is>
          <t>カタログ規格確認済み</t>
        </is>
      </c>
      <c r="O1619" t="n">
        <v>61</v>
      </c>
      <c r="P1619" t="n">
        <v>59</v>
      </c>
      <c r="Q1619" t="inlineStr">
        <is>
          <t>202604_LIXIL_サーモスＬ_業務用資料集_完成品価格表.pdf</t>
        </is>
      </c>
      <c r="R1619" t="inlineStr">
        <is>
          <t>v1.7公式Source gap補完。完成品価格表 P59。</t>
        </is>
      </c>
      <c r="S1619" t="inlineStr">
        <is>
          <t>無印</t>
        </is>
      </c>
      <c r="T1619" t="n">
        <v>59</v>
      </c>
      <c r="U1619" t="inlineStr">
        <is>
          <t>P59|無印</t>
        </is>
      </c>
      <c r="V1619" t="inlineStr">
        <is>
          <t>同頁凡例へ直接連動</t>
        </is>
      </c>
    </row>
    <row r="1620">
      <c r="A1620" t="inlineStr">
        <is>
          <t>SZ-SL-001617</t>
        </is>
      </c>
      <c r="B1620" t="inlineStr">
        <is>
          <t>SER-LIX-SAMOSL</t>
        </is>
      </c>
      <c r="C1620" t="inlineStr">
        <is>
          <t>WT-SL-SHUTTER-HIKI</t>
        </is>
      </c>
      <c r="D1620" t="inlineStr">
        <is>
          <t>シャッター付引違い窓</t>
        </is>
      </c>
      <c r="E1620" t="inlineStr">
        <is>
          <t>SP-SL-SHUT-M-STD</t>
        </is>
      </c>
      <c r="F1620" t="inlineStr">
        <is>
          <t>在来</t>
        </is>
      </c>
      <c r="G1620" t="inlineStr">
        <is>
          <t>17618</t>
        </is>
      </c>
      <c r="H1620" t="inlineStr">
        <is>
          <t>176</t>
        </is>
      </c>
      <c r="I1620" t="inlineStr">
        <is>
          <t>18</t>
        </is>
      </c>
      <c r="J1620" t="n">
        <v>1800</v>
      </c>
      <c r="K1620" t="n">
        <v>1830</v>
      </c>
      <c r="L1620" t="inlineStr">
        <is>
          <t>在来｜手動｜テラス①</t>
        </is>
      </c>
      <c r="M1620" t="b">
        <v>1</v>
      </c>
      <c r="N1620" t="inlineStr">
        <is>
          <t>カタログ規格確認済み</t>
        </is>
      </c>
      <c r="O1620" t="n">
        <v>61</v>
      </c>
      <c r="P1620" t="n">
        <v>59</v>
      </c>
      <c r="Q1620" t="inlineStr">
        <is>
          <t>202604_LIXIL_サーモスＬ_業務用資料集_完成品価格表.pdf</t>
        </is>
      </c>
      <c r="R1620" t="inlineStr">
        <is>
          <t>v1.7公式Source gap補完。完成品価格表 P59。</t>
        </is>
      </c>
      <c r="S1620" t="inlineStr">
        <is>
          <t>無印</t>
        </is>
      </c>
      <c r="T1620" t="n">
        <v>59</v>
      </c>
      <c r="U1620" t="inlineStr">
        <is>
          <t>P59|無印</t>
        </is>
      </c>
      <c r="V1620" t="inlineStr">
        <is>
          <t>同頁凡例へ直接連動</t>
        </is>
      </c>
    </row>
    <row r="1621">
      <c r="A1621" t="inlineStr">
        <is>
          <t>SZ-SL-001618</t>
        </is>
      </c>
      <c r="B1621" t="inlineStr">
        <is>
          <t>SER-LIX-SAMOSL</t>
        </is>
      </c>
      <c r="C1621" t="inlineStr">
        <is>
          <t>WT-SL-SHUTTER-HIKI</t>
        </is>
      </c>
      <c r="D1621" t="inlineStr">
        <is>
          <t>シャッター付引違い窓</t>
        </is>
      </c>
      <c r="E1621" t="inlineStr">
        <is>
          <t>SP-SL-SHUT-M-STD</t>
        </is>
      </c>
      <c r="F1621" t="inlineStr">
        <is>
          <t>在来</t>
        </is>
      </c>
      <c r="G1621" t="inlineStr">
        <is>
          <t>16520</t>
        </is>
      </c>
      <c r="H1621" t="inlineStr">
        <is>
          <t>165</t>
        </is>
      </c>
      <c r="I1621" t="inlineStr">
        <is>
          <t>20</t>
        </is>
      </c>
      <c r="J1621" t="n">
        <v>1690</v>
      </c>
      <c r="K1621" t="n">
        <v>2030</v>
      </c>
      <c r="L1621" t="inlineStr">
        <is>
          <t>在来｜手動｜テラス①</t>
        </is>
      </c>
      <c r="M1621" t="b">
        <v>1</v>
      </c>
      <c r="N1621" t="inlineStr">
        <is>
          <t>カタログ規格確認済み</t>
        </is>
      </c>
      <c r="O1621" t="n">
        <v>61</v>
      </c>
      <c r="P1621" t="n">
        <v>59</v>
      </c>
      <c r="Q1621" t="inlineStr">
        <is>
          <t>202604_LIXIL_サーモスＬ_業務用資料集_完成品価格表.pdf</t>
        </is>
      </c>
      <c r="R1621" t="inlineStr">
        <is>
          <t>v1.7公式Source gap補完。完成品価格表 P59。</t>
        </is>
      </c>
      <c r="S1621" t="inlineStr">
        <is>
          <t>★</t>
        </is>
      </c>
      <c r="T1621" t="n">
        <v>59</v>
      </c>
      <c r="U1621" t="inlineStr">
        <is>
          <t>P59|★</t>
        </is>
      </c>
      <c r="V1621" t="inlineStr">
        <is>
          <t>同頁凡例へ直接連動</t>
        </is>
      </c>
    </row>
    <row r="1622">
      <c r="A1622" t="inlineStr">
        <is>
          <t>SZ-SL-001619</t>
        </is>
      </c>
      <c r="B1622" t="inlineStr">
        <is>
          <t>SER-LIX-SAMOSL</t>
        </is>
      </c>
      <c r="C1622" t="inlineStr">
        <is>
          <t>WT-SL-SHUTTER-HIKI</t>
        </is>
      </c>
      <c r="D1622" t="inlineStr">
        <is>
          <t>シャッター付引違い窓</t>
        </is>
      </c>
      <c r="E1622" t="inlineStr">
        <is>
          <t>SP-SL-SHUT-M-STD</t>
        </is>
      </c>
      <c r="F1622" t="inlineStr">
        <is>
          <t>在来</t>
        </is>
      </c>
      <c r="G1622" t="inlineStr">
        <is>
          <t>17420</t>
        </is>
      </c>
      <c r="H1622" t="inlineStr">
        <is>
          <t>174</t>
        </is>
      </c>
      <c r="I1622" t="inlineStr">
        <is>
          <t>20</t>
        </is>
      </c>
      <c r="J1622" t="n">
        <v>1780</v>
      </c>
      <c r="K1622" t="n">
        <v>2030</v>
      </c>
      <c r="L1622" t="inlineStr">
        <is>
          <t>在来｜手動｜テラス①</t>
        </is>
      </c>
      <c r="M1622" t="b">
        <v>1</v>
      </c>
      <c r="N1622" t="inlineStr">
        <is>
          <t>カタログ規格確認済み</t>
        </is>
      </c>
      <c r="O1622" t="n">
        <v>61</v>
      </c>
      <c r="P1622" t="n">
        <v>59</v>
      </c>
      <c r="Q1622" t="inlineStr">
        <is>
          <t>202604_LIXIL_サーモスＬ_業務用資料集_完成品価格表.pdf</t>
        </is>
      </c>
      <c r="R1622" t="inlineStr">
        <is>
          <t>v1.7公式Source gap補完。完成品価格表 P59。</t>
        </is>
      </c>
      <c r="S1622" t="inlineStr">
        <is>
          <t>★</t>
        </is>
      </c>
      <c r="T1622" t="n">
        <v>59</v>
      </c>
      <c r="U1622" t="inlineStr">
        <is>
          <t>P59|★</t>
        </is>
      </c>
      <c r="V1622" t="inlineStr">
        <is>
          <t>同頁凡例へ直接連動</t>
        </is>
      </c>
    </row>
    <row r="1623">
      <c r="A1623" t="inlineStr">
        <is>
          <t>SZ-SL-001620</t>
        </is>
      </c>
      <c r="B1623" t="inlineStr">
        <is>
          <t>SER-LIX-SAMOSL</t>
        </is>
      </c>
      <c r="C1623" t="inlineStr">
        <is>
          <t>WT-SL-SHUTTER-HIKI</t>
        </is>
      </c>
      <c r="D1623" t="inlineStr">
        <is>
          <t>シャッター付引違い窓</t>
        </is>
      </c>
      <c r="E1623" t="inlineStr">
        <is>
          <t>SP-SL-SHUT-M-STD</t>
        </is>
      </c>
      <c r="F1623" t="inlineStr">
        <is>
          <t>在来</t>
        </is>
      </c>
      <c r="G1623" t="inlineStr">
        <is>
          <t>17620</t>
        </is>
      </c>
      <c r="H1623" t="inlineStr">
        <is>
          <t>176</t>
        </is>
      </c>
      <c r="I1623" t="inlineStr">
        <is>
          <t>20</t>
        </is>
      </c>
      <c r="J1623" t="n">
        <v>1800</v>
      </c>
      <c r="K1623" t="n">
        <v>2030</v>
      </c>
      <c r="L1623" t="inlineStr">
        <is>
          <t>在来｜手動｜テラス①</t>
        </is>
      </c>
      <c r="M1623" t="b">
        <v>1</v>
      </c>
      <c r="N1623" t="inlineStr">
        <is>
          <t>カタログ規格確認済み</t>
        </is>
      </c>
      <c r="O1623" t="n">
        <v>61</v>
      </c>
      <c r="P1623" t="n">
        <v>59</v>
      </c>
      <c r="Q1623" t="inlineStr">
        <is>
          <t>202604_LIXIL_サーモスＬ_業務用資料集_完成品価格表.pdf</t>
        </is>
      </c>
      <c r="R1623" t="inlineStr">
        <is>
          <t>v1.7公式Source gap補完。完成品価格表 P59。</t>
        </is>
      </c>
      <c r="S1623" t="inlineStr">
        <is>
          <t>★</t>
        </is>
      </c>
      <c r="T1623" t="n">
        <v>59</v>
      </c>
      <c r="U1623" t="inlineStr">
        <is>
          <t>P59|★</t>
        </is>
      </c>
      <c r="V1623" t="inlineStr">
        <is>
          <t>同頁凡例へ直接連動</t>
        </is>
      </c>
    </row>
    <row r="1624">
      <c r="A1624" t="inlineStr">
        <is>
          <t>SZ-SL-001621</t>
        </is>
      </c>
      <c r="B1624" t="inlineStr">
        <is>
          <t>SER-LIX-SAMOSL</t>
        </is>
      </c>
      <c r="C1624" t="inlineStr">
        <is>
          <t>WT-SL-SHUTTER-HIKI</t>
        </is>
      </c>
      <c r="D1624" t="inlineStr">
        <is>
          <t>シャッター付引違い窓</t>
        </is>
      </c>
      <c r="E1624" t="inlineStr">
        <is>
          <t>SP-SL-SHUT-M-STD</t>
        </is>
      </c>
      <c r="F1624" t="inlineStr">
        <is>
          <t>在来</t>
        </is>
      </c>
      <c r="G1624" t="inlineStr">
        <is>
          <t>16522</t>
        </is>
      </c>
      <c r="H1624" t="inlineStr">
        <is>
          <t>165</t>
        </is>
      </c>
      <c r="I1624" t="inlineStr">
        <is>
          <t>22</t>
        </is>
      </c>
      <c r="J1624" t="n">
        <v>1690</v>
      </c>
      <c r="K1624" t="n">
        <v>2230</v>
      </c>
      <c r="L1624" t="inlineStr">
        <is>
          <t>在来｜手動｜テラス①</t>
        </is>
      </c>
      <c r="M1624" t="b">
        <v>1</v>
      </c>
      <c r="N1624" t="inlineStr">
        <is>
          <t>カタログ規格確認済み</t>
        </is>
      </c>
      <c r="O1624" t="n">
        <v>61</v>
      </c>
      <c r="P1624" t="n">
        <v>59</v>
      </c>
      <c r="Q1624" t="inlineStr">
        <is>
          <t>202604_LIXIL_サーモスＬ_業務用資料集_完成品価格表.pdf</t>
        </is>
      </c>
      <c r="R1624" t="inlineStr">
        <is>
          <t>v1.7公式Source gap補完。完成品価格表 P59。</t>
        </is>
      </c>
      <c r="S1624" t="inlineStr">
        <is>
          <t>★</t>
        </is>
      </c>
      <c r="T1624" t="n">
        <v>59</v>
      </c>
      <c r="U1624" t="inlineStr">
        <is>
          <t>P59|★</t>
        </is>
      </c>
      <c r="V1624" t="inlineStr">
        <is>
          <t>同頁凡例へ直接連動</t>
        </is>
      </c>
    </row>
    <row r="1625">
      <c r="A1625" t="inlineStr">
        <is>
          <t>SZ-SL-001622</t>
        </is>
      </c>
      <c r="B1625" t="inlineStr">
        <is>
          <t>SER-LIX-SAMOSL</t>
        </is>
      </c>
      <c r="C1625" t="inlineStr">
        <is>
          <t>WT-SL-SHUTTER-HIKI</t>
        </is>
      </c>
      <c r="D1625" t="inlineStr">
        <is>
          <t>シャッター付引違い窓</t>
        </is>
      </c>
      <c r="E1625" t="inlineStr">
        <is>
          <t>SP-SL-SHUT-M-STD</t>
        </is>
      </c>
      <c r="F1625" t="inlineStr">
        <is>
          <t>在来</t>
        </is>
      </c>
      <c r="G1625" t="inlineStr">
        <is>
          <t>17422</t>
        </is>
      </c>
      <c r="H1625" t="inlineStr">
        <is>
          <t>174</t>
        </is>
      </c>
      <c r="I1625" t="inlineStr">
        <is>
          <t>22</t>
        </is>
      </c>
      <c r="J1625" t="n">
        <v>1780</v>
      </c>
      <c r="K1625" t="n">
        <v>2230</v>
      </c>
      <c r="L1625" t="inlineStr">
        <is>
          <t>在来｜手動｜テラス①</t>
        </is>
      </c>
      <c r="M1625" t="b">
        <v>1</v>
      </c>
      <c r="N1625" t="inlineStr">
        <is>
          <t>カタログ規格確認済み</t>
        </is>
      </c>
      <c r="O1625" t="n">
        <v>61</v>
      </c>
      <c r="P1625" t="n">
        <v>59</v>
      </c>
      <c r="Q1625" t="inlineStr">
        <is>
          <t>202604_LIXIL_サーモスＬ_業務用資料集_完成品価格表.pdf</t>
        </is>
      </c>
      <c r="R1625" t="inlineStr">
        <is>
          <t>v1.7公式Source gap補完。完成品価格表 P59。</t>
        </is>
      </c>
      <c r="S1625" t="inlineStr">
        <is>
          <t>★</t>
        </is>
      </c>
      <c r="T1625" t="n">
        <v>59</v>
      </c>
      <c r="U1625" t="inlineStr">
        <is>
          <t>P59|★</t>
        </is>
      </c>
      <c r="V1625" t="inlineStr">
        <is>
          <t>同頁凡例へ直接連動</t>
        </is>
      </c>
    </row>
    <row r="1626">
      <c r="A1626" t="inlineStr">
        <is>
          <t>SZ-SL-001623</t>
        </is>
      </c>
      <c r="B1626" t="inlineStr">
        <is>
          <t>SER-LIX-SAMOSL</t>
        </is>
      </c>
      <c r="C1626" t="inlineStr">
        <is>
          <t>WT-SL-SHUTTER-HIKI</t>
        </is>
      </c>
      <c r="D1626" t="inlineStr">
        <is>
          <t>シャッター付引違い窓</t>
        </is>
      </c>
      <c r="E1626" t="inlineStr">
        <is>
          <t>SP-SL-SHUT-M-STD</t>
        </is>
      </c>
      <c r="F1626" t="inlineStr">
        <is>
          <t>在来</t>
        </is>
      </c>
      <c r="G1626" t="inlineStr">
        <is>
          <t>17622</t>
        </is>
      </c>
      <c r="H1626" t="inlineStr">
        <is>
          <t>176</t>
        </is>
      </c>
      <c r="I1626" t="inlineStr">
        <is>
          <t>22</t>
        </is>
      </c>
      <c r="J1626" t="n">
        <v>1800</v>
      </c>
      <c r="K1626" t="n">
        <v>2230</v>
      </c>
      <c r="L1626" t="inlineStr">
        <is>
          <t>在来｜手動｜テラス①</t>
        </is>
      </c>
      <c r="M1626" t="b">
        <v>1</v>
      </c>
      <c r="N1626" t="inlineStr">
        <is>
          <t>カタログ規格確認済み</t>
        </is>
      </c>
      <c r="O1626" t="n">
        <v>61</v>
      </c>
      <c r="P1626" t="n">
        <v>59</v>
      </c>
      <c r="Q1626" t="inlineStr">
        <is>
          <t>202604_LIXIL_サーモスＬ_業務用資料集_完成品価格表.pdf</t>
        </is>
      </c>
      <c r="R1626" t="inlineStr">
        <is>
          <t>v1.7公式Source gap補完。完成品価格表 P59。</t>
        </is>
      </c>
      <c r="S1626" t="inlineStr">
        <is>
          <t>★</t>
        </is>
      </c>
      <c r="T1626" t="n">
        <v>59</v>
      </c>
      <c r="U1626" t="inlineStr">
        <is>
          <t>P59|★</t>
        </is>
      </c>
      <c r="V1626" t="inlineStr">
        <is>
          <t>同頁凡例へ直接連動</t>
        </is>
      </c>
    </row>
    <row r="1627">
      <c r="A1627" t="inlineStr">
        <is>
          <t>SZ-SL-001624</t>
        </is>
      </c>
      <c r="B1627" t="inlineStr">
        <is>
          <t>SER-LIX-SAMOSL</t>
        </is>
      </c>
      <c r="C1627" t="inlineStr">
        <is>
          <t>WT-SL-SHUTTER-HIKI</t>
        </is>
      </c>
      <c r="D1627" t="inlineStr">
        <is>
          <t>シャッター付引違い窓</t>
        </is>
      </c>
      <c r="E1627" t="inlineStr">
        <is>
          <t>SP-SL-SHUT-M-STD</t>
        </is>
      </c>
      <c r="F1627" t="inlineStr">
        <is>
          <t>在来</t>
        </is>
      </c>
      <c r="G1627" t="inlineStr">
        <is>
          <t>18018</t>
        </is>
      </c>
      <c r="H1627" t="inlineStr">
        <is>
          <t>180</t>
        </is>
      </c>
      <c r="I1627" t="inlineStr">
        <is>
          <t>18</t>
        </is>
      </c>
      <c r="J1627" t="n">
        <v>1845</v>
      </c>
      <c r="K1627" t="n">
        <v>1830</v>
      </c>
      <c r="L1627" t="inlineStr">
        <is>
          <t>在来｜手動｜テラス②</t>
        </is>
      </c>
      <c r="M1627" t="b">
        <v>1</v>
      </c>
      <c r="N1627" t="inlineStr">
        <is>
          <t>カタログ規格確認済み</t>
        </is>
      </c>
      <c r="O1627" t="n">
        <v>62</v>
      </c>
      <c r="P1627" t="n">
        <v>60</v>
      </c>
      <c r="Q1627" t="inlineStr">
        <is>
          <t>202604_LIXIL_サーモスＬ_業務用資料集_完成品価格表.pdf</t>
        </is>
      </c>
      <c r="R1627" t="inlineStr">
        <is>
          <t>v1.7公式Source gap補完。完成品価格表 P60。</t>
        </is>
      </c>
      <c r="S1627" t="inlineStr">
        <is>
          <t>★</t>
        </is>
      </c>
      <c r="T1627" t="n">
        <v>61</v>
      </c>
      <c r="U1627" t="inlineStr">
        <is>
          <t>P61|★</t>
        </is>
      </c>
      <c r="V1627" t="inlineStr">
        <is>
          <t>同一価格表・次頁凡例を継承</t>
        </is>
      </c>
    </row>
    <row r="1628">
      <c r="A1628" t="inlineStr">
        <is>
          <t>SZ-SL-001625</t>
        </is>
      </c>
      <c r="B1628" t="inlineStr">
        <is>
          <t>SER-LIX-SAMOSL</t>
        </is>
      </c>
      <c r="C1628" t="inlineStr">
        <is>
          <t>WT-SL-SHUTTER-HIKI</t>
        </is>
      </c>
      <c r="D1628" t="inlineStr">
        <is>
          <t>シャッター付引違い窓</t>
        </is>
      </c>
      <c r="E1628" t="inlineStr">
        <is>
          <t>SP-SL-SHUT-M-STD</t>
        </is>
      </c>
      <c r="F1628" t="inlineStr">
        <is>
          <t>在来</t>
        </is>
      </c>
      <c r="G1628" t="inlineStr">
        <is>
          <t>18618</t>
        </is>
      </c>
      <c r="H1628" t="inlineStr">
        <is>
          <t>186</t>
        </is>
      </c>
      <c r="I1628" t="inlineStr">
        <is>
          <t>18</t>
        </is>
      </c>
      <c r="J1628" t="n">
        <v>1900</v>
      </c>
      <c r="K1628" t="n">
        <v>1830</v>
      </c>
      <c r="L1628" t="inlineStr">
        <is>
          <t>在来｜手動｜テラス②</t>
        </is>
      </c>
      <c r="M1628" t="b">
        <v>1</v>
      </c>
      <c r="N1628" t="inlineStr">
        <is>
          <t>カタログ規格確認済み</t>
        </is>
      </c>
      <c r="O1628" t="n">
        <v>62</v>
      </c>
      <c r="P1628" t="n">
        <v>60</v>
      </c>
      <c r="Q1628" t="inlineStr">
        <is>
          <t>202604_LIXIL_サーモスＬ_業務用資料集_完成品価格表.pdf</t>
        </is>
      </c>
      <c r="R1628" t="inlineStr">
        <is>
          <t>v1.7公式Source gap補完。完成品価格表 P60。</t>
        </is>
      </c>
      <c r="S1628" t="inlineStr">
        <is>
          <t>★</t>
        </is>
      </c>
      <c r="T1628" t="n">
        <v>61</v>
      </c>
      <c r="U1628" t="inlineStr">
        <is>
          <t>P61|★</t>
        </is>
      </c>
      <c r="V1628" t="inlineStr">
        <is>
          <t>同一価格表・次頁凡例を継承</t>
        </is>
      </c>
    </row>
    <row r="1629">
      <c r="A1629" t="inlineStr">
        <is>
          <t>SZ-SL-001626</t>
        </is>
      </c>
      <c r="B1629" t="inlineStr">
        <is>
          <t>SER-LIX-SAMOSL</t>
        </is>
      </c>
      <c r="C1629" t="inlineStr">
        <is>
          <t>WT-SL-SHUTTER-HIKI</t>
        </is>
      </c>
      <c r="D1629" t="inlineStr">
        <is>
          <t>シャッター付引違い窓</t>
        </is>
      </c>
      <c r="E1629" t="inlineStr">
        <is>
          <t>SP-SL-SHUT-M-STD</t>
        </is>
      </c>
      <c r="F1629" t="inlineStr">
        <is>
          <t>在来</t>
        </is>
      </c>
      <c r="G1629" t="inlineStr">
        <is>
          <t>25118-2</t>
        </is>
      </c>
      <c r="H1629" t="inlineStr">
        <is>
          <t>251-2</t>
        </is>
      </c>
      <c r="I1629" t="inlineStr">
        <is>
          <t>18</t>
        </is>
      </c>
      <c r="J1629" t="n">
        <v>2550</v>
      </c>
      <c r="K1629" t="n">
        <v>1830</v>
      </c>
      <c r="L1629" t="inlineStr">
        <is>
          <t>在来｜手動｜テラス②</t>
        </is>
      </c>
      <c r="M1629" t="b">
        <v>1</v>
      </c>
      <c r="N1629" t="inlineStr">
        <is>
          <t>カタログ規格確認済み</t>
        </is>
      </c>
      <c r="O1629" t="n">
        <v>62</v>
      </c>
      <c r="P1629" t="n">
        <v>60</v>
      </c>
      <c r="Q1629" t="inlineStr">
        <is>
          <t>202604_LIXIL_サーモスＬ_業務用資料集_完成品価格表.pdf</t>
        </is>
      </c>
      <c r="R1629" t="inlineStr">
        <is>
          <t>v1.7公式Source gap補完。完成品価格表 P60。</t>
        </is>
      </c>
      <c r="S1629" t="inlineStr">
        <is>
          <t>☆</t>
        </is>
      </c>
      <c r="T1629" t="n">
        <v>61</v>
      </c>
      <c r="U1629" t="inlineStr">
        <is>
          <t>P61|☆</t>
        </is>
      </c>
      <c r="V1629" t="inlineStr">
        <is>
          <t>同一価格表・次頁凡例を継承</t>
        </is>
      </c>
    </row>
    <row r="1630">
      <c r="A1630" t="inlineStr">
        <is>
          <t>SZ-SL-001627</t>
        </is>
      </c>
      <c r="B1630" t="inlineStr">
        <is>
          <t>SER-LIX-SAMOSL</t>
        </is>
      </c>
      <c r="C1630" t="inlineStr">
        <is>
          <t>WT-SL-SHUTTER-HIKI</t>
        </is>
      </c>
      <c r="D1630" t="inlineStr">
        <is>
          <t>シャッター付引違い窓</t>
        </is>
      </c>
      <c r="E1630" t="inlineStr">
        <is>
          <t>SP-SL-SHUT-M-STD</t>
        </is>
      </c>
      <c r="F1630" t="inlineStr">
        <is>
          <t>在来</t>
        </is>
      </c>
      <c r="G1630" t="inlineStr">
        <is>
          <t>18020</t>
        </is>
      </c>
      <c r="H1630" t="inlineStr">
        <is>
          <t>180</t>
        </is>
      </c>
      <c r="I1630" t="inlineStr">
        <is>
          <t>20</t>
        </is>
      </c>
      <c r="J1630" t="n">
        <v>1845</v>
      </c>
      <c r="K1630" t="n">
        <v>2030</v>
      </c>
      <c r="L1630" t="inlineStr">
        <is>
          <t>在来｜手動｜テラス②</t>
        </is>
      </c>
      <c r="M1630" t="b">
        <v>1</v>
      </c>
      <c r="N1630" t="inlineStr">
        <is>
          <t>カタログ規格確認済み</t>
        </is>
      </c>
      <c r="O1630" t="n">
        <v>62</v>
      </c>
      <c r="P1630" t="n">
        <v>60</v>
      </c>
      <c r="Q1630" t="inlineStr">
        <is>
          <t>202604_LIXIL_サーモスＬ_業務用資料集_完成品価格表.pdf</t>
        </is>
      </c>
      <c r="R1630" t="inlineStr">
        <is>
          <t>v1.7公式Source gap補完。完成品価格表 P60。</t>
        </is>
      </c>
      <c r="S1630" t="inlineStr">
        <is>
          <t>★</t>
        </is>
      </c>
      <c r="T1630" t="n">
        <v>61</v>
      </c>
      <c r="U1630" t="inlineStr">
        <is>
          <t>P61|★</t>
        </is>
      </c>
      <c r="V1630" t="inlineStr">
        <is>
          <t>同一価格表・次頁凡例を継承</t>
        </is>
      </c>
    </row>
    <row r="1631">
      <c r="A1631" t="inlineStr">
        <is>
          <t>SZ-SL-001628</t>
        </is>
      </c>
      <c r="B1631" t="inlineStr">
        <is>
          <t>SER-LIX-SAMOSL</t>
        </is>
      </c>
      <c r="C1631" t="inlineStr">
        <is>
          <t>WT-SL-SHUTTER-HIKI</t>
        </is>
      </c>
      <c r="D1631" t="inlineStr">
        <is>
          <t>シャッター付引違い窓</t>
        </is>
      </c>
      <c r="E1631" t="inlineStr">
        <is>
          <t>SP-SL-SHUT-M-STD</t>
        </is>
      </c>
      <c r="F1631" t="inlineStr">
        <is>
          <t>在来</t>
        </is>
      </c>
      <c r="G1631" t="inlineStr">
        <is>
          <t>18620</t>
        </is>
      </c>
      <c r="H1631" t="inlineStr">
        <is>
          <t>186</t>
        </is>
      </c>
      <c r="I1631" t="inlineStr">
        <is>
          <t>20</t>
        </is>
      </c>
      <c r="J1631" t="n">
        <v>1900</v>
      </c>
      <c r="K1631" t="n">
        <v>2030</v>
      </c>
      <c r="L1631" t="inlineStr">
        <is>
          <t>在来｜手動｜テラス②</t>
        </is>
      </c>
      <c r="M1631" t="b">
        <v>1</v>
      </c>
      <c r="N1631" t="inlineStr">
        <is>
          <t>カタログ規格確認済み</t>
        </is>
      </c>
      <c r="O1631" t="n">
        <v>62</v>
      </c>
      <c r="P1631" t="n">
        <v>60</v>
      </c>
      <c r="Q1631" t="inlineStr">
        <is>
          <t>202604_LIXIL_サーモスＬ_業務用資料集_完成品価格表.pdf</t>
        </is>
      </c>
      <c r="R1631" t="inlineStr">
        <is>
          <t>v1.7公式Source gap補完。完成品価格表 P60。</t>
        </is>
      </c>
      <c r="S1631" t="inlineStr">
        <is>
          <t>★</t>
        </is>
      </c>
      <c r="T1631" t="n">
        <v>61</v>
      </c>
      <c r="U1631" t="inlineStr">
        <is>
          <t>P61|★</t>
        </is>
      </c>
      <c r="V1631" t="inlineStr">
        <is>
          <t>同一価格表・次頁凡例を継承</t>
        </is>
      </c>
    </row>
    <row r="1632">
      <c r="A1632" t="inlineStr">
        <is>
          <t>SZ-SL-001629</t>
        </is>
      </c>
      <c r="B1632" t="inlineStr">
        <is>
          <t>SER-LIX-SAMOSL</t>
        </is>
      </c>
      <c r="C1632" t="inlineStr">
        <is>
          <t>WT-SL-SHUTTER-HIKI</t>
        </is>
      </c>
      <c r="D1632" t="inlineStr">
        <is>
          <t>シャッター付引違い窓</t>
        </is>
      </c>
      <c r="E1632" t="inlineStr">
        <is>
          <t>SP-SL-SHUT-M-STD</t>
        </is>
      </c>
      <c r="F1632" t="inlineStr">
        <is>
          <t>在来</t>
        </is>
      </c>
      <c r="G1632" t="inlineStr">
        <is>
          <t>25120-2</t>
        </is>
      </c>
      <c r="H1632" t="inlineStr">
        <is>
          <t>251-2</t>
        </is>
      </c>
      <c r="I1632" t="inlineStr">
        <is>
          <t>20</t>
        </is>
      </c>
      <c r="J1632" t="n">
        <v>2550</v>
      </c>
      <c r="K1632" t="n">
        <v>2030</v>
      </c>
      <c r="L1632" t="inlineStr">
        <is>
          <t>在来｜手動｜テラス②</t>
        </is>
      </c>
      <c r="M1632" t="b">
        <v>1</v>
      </c>
      <c r="N1632" t="inlineStr">
        <is>
          <t>カタログ規格確認済み</t>
        </is>
      </c>
      <c r="O1632" t="n">
        <v>62</v>
      </c>
      <c r="P1632" t="n">
        <v>60</v>
      </c>
      <c r="Q1632" t="inlineStr">
        <is>
          <t>202604_LIXIL_サーモスＬ_業務用資料集_完成品価格表.pdf</t>
        </is>
      </c>
      <c r="R1632" t="inlineStr">
        <is>
          <t>v1.7公式Source gap補完。完成品価格表 P60。</t>
        </is>
      </c>
      <c r="S1632" t="inlineStr">
        <is>
          <t>◆</t>
        </is>
      </c>
      <c r="T1632" t="n">
        <v>61</v>
      </c>
      <c r="U1632" t="inlineStr">
        <is>
          <t>P61|◆</t>
        </is>
      </c>
      <c r="V1632" t="inlineStr">
        <is>
          <t>同一価格表・次頁凡例を継承</t>
        </is>
      </c>
    </row>
    <row r="1633">
      <c r="A1633" t="inlineStr">
        <is>
          <t>SZ-SL-001630</t>
        </is>
      </c>
      <c r="B1633" t="inlineStr">
        <is>
          <t>SER-LIX-SAMOSL</t>
        </is>
      </c>
      <c r="C1633" t="inlineStr">
        <is>
          <t>WT-SL-SHUTTER-HIKI</t>
        </is>
      </c>
      <c r="D1633" t="inlineStr">
        <is>
          <t>シャッター付引違い窓</t>
        </is>
      </c>
      <c r="E1633" t="inlineStr">
        <is>
          <t>SP-SL-SHUT-M-STD</t>
        </is>
      </c>
      <c r="F1633" t="inlineStr">
        <is>
          <t>在来</t>
        </is>
      </c>
      <c r="G1633" t="inlineStr">
        <is>
          <t>18022</t>
        </is>
      </c>
      <c r="H1633" t="inlineStr">
        <is>
          <t>180</t>
        </is>
      </c>
      <c r="I1633" t="inlineStr">
        <is>
          <t>22</t>
        </is>
      </c>
      <c r="J1633" t="n">
        <v>1845</v>
      </c>
      <c r="K1633" t="n">
        <v>2230</v>
      </c>
      <c r="L1633" t="inlineStr">
        <is>
          <t>在来｜手動｜テラス②</t>
        </is>
      </c>
      <c r="M1633" t="b">
        <v>1</v>
      </c>
      <c r="N1633" t="inlineStr">
        <is>
          <t>カタログ規格確認済み</t>
        </is>
      </c>
      <c r="O1633" t="n">
        <v>62</v>
      </c>
      <c r="P1633" t="n">
        <v>60</v>
      </c>
      <c r="Q1633" t="inlineStr">
        <is>
          <t>202604_LIXIL_サーモスＬ_業務用資料集_完成品価格表.pdf</t>
        </is>
      </c>
      <c r="R1633" t="inlineStr">
        <is>
          <t>v1.7公式Source gap補完。完成品価格表 P60。</t>
        </is>
      </c>
      <c r="S1633" t="inlineStr">
        <is>
          <t>★</t>
        </is>
      </c>
      <c r="T1633" t="n">
        <v>61</v>
      </c>
      <c r="U1633" t="inlineStr">
        <is>
          <t>P61|★</t>
        </is>
      </c>
      <c r="V1633" t="inlineStr">
        <is>
          <t>同一価格表・次頁凡例を継承</t>
        </is>
      </c>
    </row>
    <row r="1634">
      <c r="A1634" t="inlineStr">
        <is>
          <t>SZ-SL-001631</t>
        </is>
      </c>
      <c r="B1634" t="inlineStr">
        <is>
          <t>SER-LIX-SAMOSL</t>
        </is>
      </c>
      <c r="C1634" t="inlineStr">
        <is>
          <t>WT-SL-SHUTTER-HIKI</t>
        </is>
      </c>
      <c r="D1634" t="inlineStr">
        <is>
          <t>シャッター付引違い窓</t>
        </is>
      </c>
      <c r="E1634" t="inlineStr">
        <is>
          <t>SP-SL-SHUT-M-STD</t>
        </is>
      </c>
      <c r="F1634" t="inlineStr">
        <is>
          <t>在来</t>
        </is>
      </c>
      <c r="G1634" t="inlineStr">
        <is>
          <t>18622</t>
        </is>
      </c>
      <c r="H1634" t="inlineStr">
        <is>
          <t>186</t>
        </is>
      </c>
      <c r="I1634" t="inlineStr">
        <is>
          <t>22</t>
        </is>
      </c>
      <c r="J1634" t="n">
        <v>1900</v>
      </c>
      <c r="K1634" t="n">
        <v>2230</v>
      </c>
      <c r="L1634" t="inlineStr">
        <is>
          <t>在来｜手動｜テラス②</t>
        </is>
      </c>
      <c r="M1634" t="b">
        <v>1</v>
      </c>
      <c r="N1634" t="inlineStr">
        <is>
          <t>カタログ規格確認済み</t>
        </is>
      </c>
      <c r="O1634" t="n">
        <v>62</v>
      </c>
      <c r="P1634" t="n">
        <v>60</v>
      </c>
      <c r="Q1634" t="inlineStr">
        <is>
          <t>202604_LIXIL_サーモスＬ_業務用資料集_完成品価格表.pdf</t>
        </is>
      </c>
      <c r="R1634" t="inlineStr">
        <is>
          <t>v1.7公式Source gap補完。完成品価格表 P60。</t>
        </is>
      </c>
      <c r="S1634" t="inlineStr">
        <is>
          <t>★</t>
        </is>
      </c>
      <c r="T1634" t="n">
        <v>61</v>
      </c>
      <c r="U1634" t="inlineStr">
        <is>
          <t>P61|★</t>
        </is>
      </c>
      <c r="V1634" t="inlineStr">
        <is>
          <t>同一価格表・次頁凡例を継承</t>
        </is>
      </c>
    </row>
    <row r="1635">
      <c r="A1635" t="inlineStr">
        <is>
          <t>SZ-SL-001632</t>
        </is>
      </c>
      <c r="B1635" t="inlineStr">
        <is>
          <t>SER-LIX-SAMOSL</t>
        </is>
      </c>
      <c r="C1635" t="inlineStr">
        <is>
          <t>WT-SL-SHUTTER-HIKI</t>
        </is>
      </c>
      <c r="D1635" t="inlineStr">
        <is>
          <t>シャッター付引違い窓</t>
        </is>
      </c>
      <c r="E1635" t="inlineStr">
        <is>
          <t>SP-SL-SHUT-M-STD</t>
        </is>
      </c>
      <c r="F1635" t="inlineStr">
        <is>
          <t>在来</t>
        </is>
      </c>
      <c r="G1635" t="inlineStr">
        <is>
          <t>25122-2</t>
        </is>
      </c>
      <c r="H1635" t="inlineStr">
        <is>
          <t>251-2</t>
        </is>
      </c>
      <c r="I1635" t="inlineStr">
        <is>
          <t>22</t>
        </is>
      </c>
      <c r="J1635" t="n">
        <v>2550</v>
      </c>
      <c r="K1635" t="n">
        <v>2230</v>
      </c>
      <c r="L1635" t="inlineStr">
        <is>
          <t>在来｜手動｜テラス②</t>
        </is>
      </c>
      <c r="M1635" t="b">
        <v>1</v>
      </c>
      <c r="N1635" t="inlineStr">
        <is>
          <t>カタログ規格確認済み</t>
        </is>
      </c>
      <c r="O1635" t="n">
        <v>62</v>
      </c>
      <c r="P1635" t="n">
        <v>60</v>
      </c>
      <c r="Q1635" t="inlineStr">
        <is>
          <t>202604_LIXIL_サーモスＬ_業務用資料集_完成品価格表.pdf</t>
        </is>
      </c>
      <c r="R1635" t="inlineStr">
        <is>
          <t>v1.7公式Source gap補完。完成品価格表 P60。</t>
        </is>
      </c>
      <c r="S1635" t="inlineStr">
        <is>
          <t>◆</t>
        </is>
      </c>
      <c r="T1635" t="n">
        <v>61</v>
      </c>
      <c r="U1635" t="inlineStr">
        <is>
          <t>P61|◆</t>
        </is>
      </c>
      <c r="V1635" t="inlineStr">
        <is>
          <t>同一価格表・次頁凡例を継承</t>
        </is>
      </c>
    </row>
    <row r="1636">
      <c r="A1636" t="inlineStr">
        <is>
          <t>SZ-SL-001633</t>
        </is>
      </c>
      <c r="B1636" t="inlineStr">
        <is>
          <t>SER-LIX-SAMOSL</t>
        </is>
      </c>
      <c r="C1636" t="inlineStr">
        <is>
          <t>WT-SL-SHUTTER-HIKI</t>
        </is>
      </c>
      <c r="D1636" t="inlineStr">
        <is>
          <t>シャッター付引違い窓</t>
        </is>
      </c>
      <c r="E1636" t="inlineStr">
        <is>
          <t>SP-SL-SHUT-M-STD</t>
        </is>
      </c>
      <c r="F1636" t="inlineStr">
        <is>
          <t>在来</t>
        </is>
      </c>
      <c r="G1636" t="inlineStr">
        <is>
          <t>25118-4</t>
        </is>
      </c>
      <c r="H1636" t="inlineStr">
        <is>
          <t>251-4</t>
        </is>
      </c>
      <c r="I1636" t="inlineStr">
        <is>
          <t>18</t>
        </is>
      </c>
      <c r="J1636" t="n">
        <v>2550</v>
      </c>
      <c r="K1636" t="n">
        <v>1830</v>
      </c>
      <c r="L1636" t="inlineStr">
        <is>
          <t>在来｜手動｜テラス②</t>
        </is>
      </c>
      <c r="M1636" t="b">
        <v>1</v>
      </c>
      <c r="N1636" t="inlineStr">
        <is>
          <t>カタログ規格確認済み</t>
        </is>
      </c>
      <c r="O1636" t="n">
        <v>63</v>
      </c>
      <c r="P1636" t="n">
        <v>61</v>
      </c>
      <c r="Q1636" t="inlineStr">
        <is>
          <t>202604_LIXIL_サーモスＬ_業務用資料集_完成品価格表.pdf</t>
        </is>
      </c>
      <c r="R1636" t="inlineStr">
        <is>
          <t>v1.7公式Source gap補完。完成品価格表 P61。</t>
        </is>
      </c>
      <c r="S1636" t="inlineStr">
        <is>
          <t>無印</t>
        </is>
      </c>
      <c r="T1636" t="n">
        <v>61</v>
      </c>
      <c r="U1636" t="inlineStr">
        <is>
          <t>P61|無印</t>
        </is>
      </c>
      <c r="V1636" t="inlineStr">
        <is>
          <t>同頁凡例へ直接連動</t>
        </is>
      </c>
    </row>
    <row r="1637">
      <c r="A1637" t="inlineStr">
        <is>
          <t>SZ-SL-001634</t>
        </is>
      </c>
      <c r="B1637" t="inlineStr">
        <is>
          <t>SER-LIX-SAMOSL</t>
        </is>
      </c>
      <c r="C1637" t="inlineStr">
        <is>
          <t>WT-SL-SHUTTER-HIKI</t>
        </is>
      </c>
      <c r="D1637" t="inlineStr">
        <is>
          <t>シャッター付引違い窓</t>
        </is>
      </c>
      <c r="E1637" t="inlineStr">
        <is>
          <t>SP-SL-SHUT-M-STD</t>
        </is>
      </c>
      <c r="F1637" t="inlineStr">
        <is>
          <t>在来</t>
        </is>
      </c>
      <c r="G1637" t="inlineStr">
        <is>
          <t>25618-2</t>
        </is>
      </c>
      <c r="H1637" t="inlineStr">
        <is>
          <t>256-2</t>
        </is>
      </c>
      <c r="I1637" t="inlineStr">
        <is>
          <t>18</t>
        </is>
      </c>
      <c r="J1637" t="n">
        <v>2600</v>
      </c>
      <c r="K1637" t="n">
        <v>1830</v>
      </c>
      <c r="L1637" t="inlineStr">
        <is>
          <t>在来｜手動｜テラス②</t>
        </is>
      </c>
      <c r="M1637" t="b">
        <v>1</v>
      </c>
      <c r="N1637" t="inlineStr">
        <is>
          <t>カタログ規格確認済み</t>
        </is>
      </c>
      <c r="O1637" t="n">
        <v>63</v>
      </c>
      <c r="P1637" t="n">
        <v>61</v>
      </c>
      <c r="Q1637" t="inlineStr">
        <is>
          <t>202604_LIXIL_サーモスＬ_業務用資料集_完成品価格表.pdf</t>
        </is>
      </c>
      <c r="R1637" t="inlineStr">
        <is>
          <t>v1.7公式Source gap補完。完成品価格表 P61。</t>
        </is>
      </c>
      <c r="S1637" t="inlineStr">
        <is>
          <t>◆</t>
        </is>
      </c>
      <c r="T1637" t="n">
        <v>61</v>
      </c>
      <c r="U1637" t="inlineStr">
        <is>
          <t>P61|◆</t>
        </is>
      </c>
      <c r="V1637" t="inlineStr">
        <is>
          <t>同頁凡例へ直接連動</t>
        </is>
      </c>
    </row>
    <row r="1638">
      <c r="A1638" t="inlineStr">
        <is>
          <t>SZ-SL-001635</t>
        </is>
      </c>
      <c r="B1638" t="inlineStr">
        <is>
          <t>SER-LIX-SAMOSL</t>
        </is>
      </c>
      <c r="C1638" t="inlineStr">
        <is>
          <t>WT-SL-SHUTTER-HIKI</t>
        </is>
      </c>
      <c r="D1638" t="inlineStr">
        <is>
          <t>シャッター付引違い窓</t>
        </is>
      </c>
      <c r="E1638" t="inlineStr">
        <is>
          <t>SP-SL-SHUT-M-STD</t>
        </is>
      </c>
      <c r="F1638" t="inlineStr">
        <is>
          <t>在来</t>
        </is>
      </c>
      <c r="G1638" t="inlineStr">
        <is>
          <t>25618-4</t>
        </is>
      </c>
      <c r="H1638" t="inlineStr">
        <is>
          <t>256-4</t>
        </is>
      </c>
      <c r="I1638" t="inlineStr">
        <is>
          <t>18</t>
        </is>
      </c>
      <c r="J1638" t="n">
        <v>2600</v>
      </c>
      <c r="K1638" t="n">
        <v>1830</v>
      </c>
      <c r="L1638" t="inlineStr">
        <is>
          <t>在来｜手動｜テラス②</t>
        </is>
      </c>
      <c r="M1638" t="b">
        <v>1</v>
      </c>
      <c r="N1638" t="inlineStr">
        <is>
          <t>カタログ規格確認済み</t>
        </is>
      </c>
      <c r="O1638" t="n">
        <v>63</v>
      </c>
      <c r="P1638" t="n">
        <v>61</v>
      </c>
      <c r="Q1638" t="inlineStr">
        <is>
          <t>202604_LIXIL_サーモスＬ_業務用資料集_完成品価格表.pdf</t>
        </is>
      </c>
      <c r="R1638" t="inlineStr">
        <is>
          <t>v1.7公式Source gap補完。完成品価格表 P61。</t>
        </is>
      </c>
      <c r="S1638" t="inlineStr">
        <is>
          <t>無印</t>
        </is>
      </c>
      <c r="T1638" t="n">
        <v>61</v>
      </c>
      <c r="U1638" t="inlineStr">
        <is>
          <t>P61|無印</t>
        </is>
      </c>
      <c r="V1638" t="inlineStr">
        <is>
          <t>同頁凡例へ直接連動</t>
        </is>
      </c>
    </row>
    <row r="1639">
      <c r="A1639" t="inlineStr">
        <is>
          <t>SZ-SL-001636</t>
        </is>
      </c>
      <c r="B1639" t="inlineStr">
        <is>
          <t>SER-LIX-SAMOSL</t>
        </is>
      </c>
      <c r="C1639" t="inlineStr">
        <is>
          <t>WT-SL-SHUTTER-HIKI</t>
        </is>
      </c>
      <c r="D1639" t="inlineStr">
        <is>
          <t>シャッター付引違い窓</t>
        </is>
      </c>
      <c r="E1639" t="inlineStr">
        <is>
          <t>SP-SL-SHUT-M-STD</t>
        </is>
      </c>
      <c r="F1639" t="inlineStr">
        <is>
          <t>在来</t>
        </is>
      </c>
      <c r="G1639" t="inlineStr">
        <is>
          <t>34718</t>
        </is>
      </c>
      <c r="H1639" t="inlineStr">
        <is>
          <t>347</t>
        </is>
      </c>
      <c r="I1639" t="inlineStr">
        <is>
          <t>18</t>
        </is>
      </c>
      <c r="J1639" t="n">
        <v>3510</v>
      </c>
      <c r="K1639" t="n">
        <v>1830</v>
      </c>
      <c r="L1639" t="inlineStr">
        <is>
          <t>在来｜手動｜テラス②</t>
        </is>
      </c>
      <c r="M1639" t="b">
        <v>1</v>
      </c>
      <c r="N1639" t="inlineStr">
        <is>
          <t>カタログ規格確認済み</t>
        </is>
      </c>
      <c r="O1639" t="n">
        <v>63</v>
      </c>
      <c r="P1639" t="n">
        <v>61</v>
      </c>
      <c r="Q1639" t="inlineStr">
        <is>
          <t>202604_LIXIL_サーモスＬ_業務用資料集_完成品価格表.pdf</t>
        </is>
      </c>
      <c r="R1639" t="inlineStr">
        <is>
          <t>v1.7公式Source gap補完。完成品価格表 P61。</t>
        </is>
      </c>
      <c r="S1639" t="inlineStr">
        <is>
          <t>無印</t>
        </is>
      </c>
      <c r="T1639" t="n">
        <v>61</v>
      </c>
      <c r="U1639" t="inlineStr">
        <is>
          <t>P61|無印</t>
        </is>
      </c>
      <c r="V1639" t="inlineStr">
        <is>
          <t>同頁凡例へ直接連動</t>
        </is>
      </c>
    </row>
    <row r="1640">
      <c r="A1640" t="inlineStr">
        <is>
          <t>SZ-SL-001637</t>
        </is>
      </c>
      <c r="B1640" t="inlineStr">
        <is>
          <t>SER-LIX-SAMOSL</t>
        </is>
      </c>
      <c r="C1640" t="inlineStr">
        <is>
          <t>WT-SL-SHUTTER-HIKI</t>
        </is>
      </c>
      <c r="D1640" t="inlineStr">
        <is>
          <t>シャッター付引違い窓</t>
        </is>
      </c>
      <c r="E1640" t="inlineStr">
        <is>
          <t>SP-SL-SHUT-M-STD</t>
        </is>
      </c>
      <c r="F1640" t="inlineStr">
        <is>
          <t>在来</t>
        </is>
      </c>
      <c r="G1640" t="inlineStr">
        <is>
          <t>25120-4</t>
        </is>
      </c>
      <c r="H1640" t="inlineStr">
        <is>
          <t>251-4</t>
        </is>
      </c>
      <c r="I1640" t="inlineStr">
        <is>
          <t>20</t>
        </is>
      </c>
      <c r="J1640" t="n">
        <v>2550</v>
      </c>
      <c r="K1640" t="n">
        <v>2030</v>
      </c>
      <c r="L1640" t="inlineStr">
        <is>
          <t>在来｜手動｜テラス②</t>
        </is>
      </c>
      <c r="M1640" t="b">
        <v>1</v>
      </c>
      <c r="N1640" t="inlineStr">
        <is>
          <t>カタログ規格確認済み</t>
        </is>
      </c>
      <c r="O1640" t="n">
        <v>63</v>
      </c>
      <c r="P1640" t="n">
        <v>61</v>
      </c>
      <c r="Q1640" t="inlineStr">
        <is>
          <t>202604_LIXIL_サーモスＬ_業務用資料集_完成品価格表.pdf</t>
        </is>
      </c>
      <c r="R1640" t="inlineStr">
        <is>
          <t>v1.7公式Source gap補完。完成品価格表 P61。</t>
        </is>
      </c>
      <c r="S1640" t="inlineStr">
        <is>
          <t>無印</t>
        </is>
      </c>
      <c r="T1640" t="n">
        <v>61</v>
      </c>
      <c r="U1640" t="inlineStr">
        <is>
          <t>P61|無印</t>
        </is>
      </c>
      <c r="V1640" t="inlineStr">
        <is>
          <t>同頁凡例へ直接連動</t>
        </is>
      </c>
    </row>
    <row r="1641">
      <c r="A1641" t="inlineStr">
        <is>
          <t>SZ-SL-001638</t>
        </is>
      </c>
      <c r="B1641" t="inlineStr">
        <is>
          <t>SER-LIX-SAMOSL</t>
        </is>
      </c>
      <c r="C1641" t="inlineStr">
        <is>
          <t>WT-SL-SHUTTER-HIKI</t>
        </is>
      </c>
      <c r="D1641" t="inlineStr">
        <is>
          <t>シャッター付引違い窓</t>
        </is>
      </c>
      <c r="E1641" t="inlineStr">
        <is>
          <t>SP-SL-SHUT-M-STD</t>
        </is>
      </c>
      <c r="F1641" t="inlineStr">
        <is>
          <t>在来</t>
        </is>
      </c>
      <c r="G1641" t="inlineStr">
        <is>
          <t>25620-2</t>
        </is>
      </c>
      <c r="H1641" t="inlineStr">
        <is>
          <t>256-2</t>
        </is>
      </c>
      <c r="I1641" t="inlineStr">
        <is>
          <t>20</t>
        </is>
      </c>
      <c r="J1641" t="n">
        <v>2600</v>
      </c>
      <c r="K1641" t="n">
        <v>2030</v>
      </c>
      <c r="L1641" t="inlineStr">
        <is>
          <t>在来｜手動｜テラス②</t>
        </is>
      </c>
      <c r="M1641" t="b">
        <v>1</v>
      </c>
      <c r="N1641" t="inlineStr">
        <is>
          <t>カタログ規格確認済み</t>
        </is>
      </c>
      <c r="O1641" t="n">
        <v>63</v>
      </c>
      <c r="P1641" t="n">
        <v>61</v>
      </c>
      <c r="Q1641" t="inlineStr">
        <is>
          <t>202604_LIXIL_サーモスＬ_業務用資料集_完成品価格表.pdf</t>
        </is>
      </c>
      <c r="R1641" t="inlineStr">
        <is>
          <t>v1.7公式Source gap補完。完成品価格表 P61。</t>
        </is>
      </c>
      <c r="S1641" t="inlineStr">
        <is>
          <t>◆</t>
        </is>
      </c>
      <c r="T1641" t="n">
        <v>61</v>
      </c>
      <c r="U1641" t="inlineStr">
        <is>
          <t>P61|◆</t>
        </is>
      </c>
      <c r="V1641" t="inlineStr">
        <is>
          <t>同頁凡例へ直接連動</t>
        </is>
      </c>
    </row>
    <row r="1642">
      <c r="A1642" t="inlineStr">
        <is>
          <t>SZ-SL-001639</t>
        </is>
      </c>
      <c r="B1642" t="inlineStr">
        <is>
          <t>SER-LIX-SAMOSL</t>
        </is>
      </c>
      <c r="C1642" t="inlineStr">
        <is>
          <t>WT-SL-SHUTTER-HIKI</t>
        </is>
      </c>
      <c r="D1642" t="inlineStr">
        <is>
          <t>シャッター付引違い窓</t>
        </is>
      </c>
      <c r="E1642" t="inlineStr">
        <is>
          <t>SP-SL-SHUT-M-STD</t>
        </is>
      </c>
      <c r="F1642" t="inlineStr">
        <is>
          <t>在来</t>
        </is>
      </c>
      <c r="G1642" t="inlineStr">
        <is>
          <t>25620-4</t>
        </is>
      </c>
      <c r="H1642" t="inlineStr">
        <is>
          <t>256-4</t>
        </is>
      </c>
      <c r="I1642" t="inlineStr">
        <is>
          <t>20</t>
        </is>
      </c>
      <c r="J1642" t="n">
        <v>2600</v>
      </c>
      <c r="K1642" t="n">
        <v>2030</v>
      </c>
      <c r="L1642" t="inlineStr">
        <is>
          <t>在来｜手動｜テラス②</t>
        </is>
      </c>
      <c r="M1642" t="b">
        <v>1</v>
      </c>
      <c r="N1642" t="inlineStr">
        <is>
          <t>カタログ規格確認済み</t>
        </is>
      </c>
      <c r="O1642" t="n">
        <v>63</v>
      </c>
      <c r="P1642" t="n">
        <v>61</v>
      </c>
      <c r="Q1642" t="inlineStr">
        <is>
          <t>202604_LIXIL_サーモスＬ_業務用資料集_完成品価格表.pdf</t>
        </is>
      </c>
      <c r="R1642" t="inlineStr">
        <is>
          <t>v1.7公式Source gap補完。完成品価格表 P61。</t>
        </is>
      </c>
      <c r="S1642" t="inlineStr">
        <is>
          <t>無印</t>
        </is>
      </c>
      <c r="T1642" t="n">
        <v>61</v>
      </c>
      <c r="U1642" t="inlineStr">
        <is>
          <t>P61|無印</t>
        </is>
      </c>
      <c r="V1642" t="inlineStr">
        <is>
          <t>同頁凡例へ直接連動</t>
        </is>
      </c>
    </row>
    <row r="1643">
      <c r="A1643" t="inlineStr">
        <is>
          <t>SZ-SL-001640</t>
        </is>
      </c>
      <c r="B1643" t="inlineStr">
        <is>
          <t>SER-LIX-SAMOSL</t>
        </is>
      </c>
      <c r="C1643" t="inlineStr">
        <is>
          <t>WT-SL-SHUTTER-HIKI</t>
        </is>
      </c>
      <c r="D1643" t="inlineStr">
        <is>
          <t>シャッター付引違い窓</t>
        </is>
      </c>
      <c r="E1643" t="inlineStr">
        <is>
          <t>SP-SL-SHUT-M-STD</t>
        </is>
      </c>
      <c r="F1643" t="inlineStr">
        <is>
          <t>在来</t>
        </is>
      </c>
      <c r="G1643" t="inlineStr">
        <is>
          <t>34720</t>
        </is>
      </c>
      <c r="H1643" t="inlineStr">
        <is>
          <t>347</t>
        </is>
      </c>
      <c r="I1643" t="inlineStr">
        <is>
          <t>20</t>
        </is>
      </c>
      <c r="J1643" t="n">
        <v>3510</v>
      </c>
      <c r="K1643" t="n">
        <v>2030</v>
      </c>
      <c r="L1643" t="inlineStr">
        <is>
          <t>在来｜手動｜テラス②</t>
        </is>
      </c>
      <c r="M1643" t="b">
        <v>1</v>
      </c>
      <c r="N1643" t="inlineStr">
        <is>
          <t>カタログ規格確認済み</t>
        </is>
      </c>
      <c r="O1643" t="n">
        <v>63</v>
      </c>
      <c r="P1643" t="n">
        <v>61</v>
      </c>
      <c r="Q1643" t="inlineStr">
        <is>
          <t>202604_LIXIL_サーモスＬ_業務用資料集_完成品価格表.pdf</t>
        </is>
      </c>
      <c r="R1643" t="inlineStr">
        <is>
          <t>v1.7公式Source gap補完。完成品価格表 P61。</t>
        </is>
      </c>
      <c r="S1643" t="inlineStr">
        <is>
          <t>★</t>
        </is>
      </c>
      <c r="T1643" t="n">
        <v>61</v>
      </c>
      <c r="U1643" t="inlineStr">
        <is>
          <t>P61|★</t>
        </is>
      </c>
      <c r="V1643" t="inlineStr">
        <is>
          <t>同頁凡例へ直接連動</t>
        </is>
      </c>
    </row>
    <row r="1644">
      <c r="A1644" t="inlineStr">
        <is>
          <t>SZ-SL-001641</t>
        </is>
      </c>
      <c r="B1644" t="inlineStr">
        <is>
          <t>SER-LIX-SAMOSL</t>
        </is>
      </c>
      <c r="C1644" t="inlineStr">
        <is>
          <t>WT-SL-SHUTTER-HIKI</t>
        </is>
      </c>
      <c r="D1644" t="inlineStr">
        <is>
          <t>シャッター付引違い窓</t>
        </is>
      </c>
      <c r="E1644" t="inlineStr">
        <is>
          <t>SP-SL-SHUT-M-STD</t>
        </is>
      </c>
      <c r="F1644" t="inlineStr">
        <is>
          <t>在来</t>
        </is>
      </c>
      <c r="G1644" t="inlineStr">
        <is>
          <t>25122-4</t>
        </is>
      </c>
      <c r="H1644" t="inlineStr">
        <is>
          <t>251-4</t>
        </is>
      </c>
      <c r="I1644" t="inlineStr">
        <is>
          <t>22</t>
        </is>
      </c>
      <c r="J1644" t="n">
        <v>2550</v>
      </c>
      <c r="K1644" t="n">
        <v>2230</v>
      </c>
      <c r="L1644" t="inlineStr">
        <is>
          <t>在来｜手動｜テラス②</t>
        </is>
      </c>
      <c r="M1644" t="b">
        <v>1</v>
      </c>
      <c r="N1644" t="inlineStr">
        <is>
          <t>カタログ規格確認済み</t>
        </is>
      </c>
      <c r="O1644" t="n">
        <v>63</v>
      </c>
      <c r="P1644" t="n">
        <v>61</v>
      </c>
      <c r="Q1644" t="inlineStr">
        <is>
          <t>202604_LIXIL_サーモスＬ_業務用資料集_完成品価格表.pdf</t>
        </is>
      </c>
      <c r="R1644" t="inlineStr">
        <is>
          <t>v1.7公式Source gap補完。完成品価格表 P61。</t>
        </is>
      </c>
      <c r="S1644" t="inlineStr">
        <is>
          <t>★</t>
        </is>
      </c>
      <c r="T1644" t="n">
        <v>61</v>
      </c>
      <c r="U1644" t="inlineStr">
        <is>
          <t>P61|★</t>
        </is>
      </c>
      <c r="V1644" t="inlineStr">
        <is>
          <t>同頁凡例へ直接連動</t>
        </is>
      </c>
    </row>
    <row r="1645">
      <c r="A1645" t="inlineStr">
        <is>
          <t>SZ-SL-001642</t>
        </is>
      </c>
      <c r="B1645" t="inlineStr">
        <is>
          <t>SER-LIX-SAMOSL</t>
        </is>
      </c>
      <c r="C1645" t="inlineStr">
        <is>
          <t>WT-SL-SHUTTER-HIKI</t>
        </is>
      </c>
      <c r="D1645" t="inlineStr">
        <is>
          <t>シャッター付引違い窓</t>
        </is>
      </c>
      <c r="E1645" t="inlineStr">
        <is>
          <t>SP-SL-SHUT-M-STD</t>
        </is>
      </c>
      <c r="F1645" t="inlineStr">
        <is>
          <t>在来</t>
        </is>
      </c>
      <c r="G1645" t="inlineStr">
        <is>
          <t>25622-2</t>
        </is>
      </c>
      <c r="H1645" t="inlineStr">
        <is>
          <t>256-2</t>
        </is>
      </c>
      <c r="I1645" t="inlineStr">
        <is>
          <t>22</t>
        </is>
      </c>
      <c r="J1645" t="n">
        <v>2600</v>
      </c>
      <c r="K1645" t="n">
        <v>2230</v>
      </c>
      <c r="L1645" t="inlineStr">
        <is>
          <t>在来｜手動｜テラス②</t>
        </is>
      </c>
      <c r="M1645" t="b">
        <v>1</v>
      </c>
      <c r="N1645" t="inlineStr">
        <is>
          <t>カタログ規格確認済み</t>
        </is>
      </c>
      <c r="O1645" t="n">
        <v>63</v>
      </c>
      <c r="P1645" t="n">
        <v>61</v>
      </c>
      <c r="Q1645" t="inlineStr">
        <is>
          <t>202604_LIXIL_サーモスＬ_業務用資料集_完成品価格表.pdf</t>
        </is>
      </c>
      <c r="R1645" t="inlineStr">
        <is>
          <t>v1.7公式Source gap補完。完成品価格表 P61。</t>
        </is>
      </c>
      <c r="S1645" t="inlineStr">
        <is>
          <t>◆</t>
        </is>
      </c>
      <c r="T1645" t="n">
        <v>61</v>
      </c>
      <c r="U1645" t="inlineStr">
        <is>
          <t>P61|◆</t>
        </is>
      </c>
      <c r="V1645" t="inlineStr">
        <is>
          <t>同頁凡例へ直接連動</t>
        </is>
      </c>
    </row>
    <row r="1646">
      <c r="A1646" t="inlineStr">
        <is>
          <t>SZ-SL-001643</t>
        </is>
      </c>
      <c r="B1646" t="inlineStr">
        <is>
          <t>SER-LIX-SAMOSL</t>
        </is>
      </c>
      <c r="C1646" t="inlineStr">
        <is>
          <t>WT-SL-SHUTTER-HIKI</t>
        </is>
      </c>
      <c r="D1646" t="inlineStr">
        <is>
          <t>シャッター付引違い窓</t>
        </is>
      </c>
      <c r="E1646" t="inlineStr">
        <is>
          <t>SP-SL-SHUT-M-STD</t>
        </is>
      </c>
      <c r="F1646" t="inlineStr">
        <is>
          <t>在来</t>
        </is>
      </c>
      <c r="G1646" t="inlineStr">
        <is>
          <t>25622-4</t>
        </is>
      </c>
      <c r="H1646" t="inlineStr">
        <is>
          <t>256-4</t>
        </is>
      </c>
      <c r="I1646" t="inlineStr">
        <is>
          <t>22</t>
        </is>
      </c>
      <c r="J1646" t="n">
        <v>2600</v>
      </c>
      <c r="K1646" t="n">
        <v>2230</v>
      </c>
      <c r="L1646" t="inlineStr">
        <is>
          <t>在来｜手動｜テラス②</t>
        </is>
      </c>
      <c r="M1646" t="b">
        <v>1</v>
      </c>
      <c r="N1646" t="inlineStr">
        <is>
          <t>カタログ規格確認済み</t>
        </is>
      </c>
      <c r="O1646" t="n">
        <v>63</v>
      </c>
      <c r="P1646" t="n">
        <v>61</v>
      </c>
      <c r="Q1646" t="inlineStr">
        <is>
          <t>202604_LIXIL_サーモスＬ_業務用資料集_完成品価格表.pdf</t>
        </is>
      </c>
      <c r="R1646" t="inlineStr">
        <is>
          <t>v1.7公式Source gap補完。完成品価格表 P61。</t>
        </is>
      </c>
      <c r="S1646" t="inlineStr">
        <is>
          <t>★</t>
        </is>
      </c>
      <c r="T1646" t="n">
        <v>61</v>
      </c>
      <c r="U1646" t="inlineStr">
        <is>
          <t>P61|★</t>
        </is>
      </c>
      <c r="V1646" t="inlineStr">
        <is>
          <t>同頁凡例へ直接連動</t>
        </is>
      </c>
    </row>
    <row r="1647">
      <c r="A1647" t="inlineStr">
        <is>
          <t>SZ-SL-001644</t>
        </is>
      </c>
      <c r="B1647" t="inlineStr">
        <is>
          <t>SER-LIX-SAMOSL</t>
        </is>
      </c>
      <c r="C1647" t="inlineStr">
        <is>
          <t>WT-SL-SHUTTER-HIKI</t>
        </is>
      </c>
      <c r="D1647" t="inlineStr">
        <is>
          <t>シャッター付引違い窓</t>
        </is>
      </c>
      <c r="E1647" t="inlineStr">
        <is>
          <t>SP-SL-SHUT-M-STD</t>
        </is>
      </c>
      <c r="F1647" t="inlineStr">
        <is>
          <t>在来</t>
        </is>
      </c>
      <c r="G1647" t="inlineStr">
        <is>
          <t>34722</t>
        </is>
      </c>
      <c r="H1647" t="inlineStr">
        <is>
          <t>347</t>
        </is>
      </c>
      <c r="I1647" t="inlineStr">
        <is>
          <t>22</t>
        </is>
      </c>
      <c r="J1647" t="n">
        <v>3510</v>
      </c>
      <c r="K1647" t="n">
        <v>2230</v>
      </c>
      <c r="L1647" t="inlineStr">
        <is>
          <t>在来｜手動｜テラス②</t>
        </is>
      </c>
      <c r="M1647" t="b">
        <v>1</v>
      </c>
      <c r="N1647" t="inlineStr">
        <is>
          <t>カタログ規格確認済み</t>
        </is>
      </c>
      <c r="O1647" t="n">
        <v>63</v>
      </c>
      <c r="P1647" t="n">
        <v>61</v>
      </c>
      <c r="Q1647" t="inlineStr">
        <is>
          <t>202604_LIXIL_サーモスＬ_業務用資料集_完成品価格表.pdf</t>
        </is>
      </c>
      <c r="R1647" t="inlineStr">
        <is>
          <t>v1.7公式Source gap補完。完成品価格表 P61。</t>
        </is>
      </c>
      <c r="S1647" t="inlineStr">
        <is>
          <t>★</t>
        </is>
      </c>
      <c r="T1647" t="n">
        <v>61</v>
      </c>
      <c r="U1647" t="inlineStr">
        <is>
          <t>P61|★</t>
        </is>
      </c>
      <c r="V1647" t="inlineStr">
        <is>
          <t>同頁凡例へ直接連動</t>
        </is>
      </c>
    </row>
  </sheetData>
  <mergeCells count="4">
    <mergeCell ref="A2:Q2"/>
    <mergeCell ref="A2:R2"/>
    <mergeCell ref="A1:Q1"/>
    <mergeCell ref="A1:R1"/>
  </mergeCells>
  <conditionalFormatting sqref="M4:M1404">
    <cfRule type="expression" priority="1" dxfId="2">
      <formula>M4=FALSE</formula>
    </cfRule>
  </conditionalFormatting>
  <conditionalFormatting sqref="N4:N1404">
    <cfRule type="expression" priority="2" dxfId="2">
      <formula>N4="設定なし（価格表確認済み）"</formula>
    </cfRule>
    <cfRule type="expression" priority="3" dxfId="4">
      <formula>N4="カタログ個別可否確認済み"</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22" customWidth="1" style="51" min="1" max="1"/>
    <col width="20" customWidth="1" style="51" min="2" max="2"/>
    <col width="12" customWidth="1" style="51" min="3" max="3"/>
    <col width="20" customWidth="1" style="51" min="4" max="4"/>
    <col width="12" customWidth="1" style="51" min="5" max="5"/>
    <col width="20" customWidth="1" style="51" min="6" max="6"/>
    <col width="14" customWidth="1" style="51" min="7" max="7"/>
    <col width="8" customWidth="1" style="51" min="8" max="8"/>
    <col width="20" customWidth="1" style="51" min="9" max="9"/>
    <col width="18" customWidth="1" style="51" min="10" max="10"/>
    <col width="42" customWidth="1" style="51" min="11" max="11"/>
  </cols>
  <sheetData>
    <row r="1" ht="28" customHeight="1" s="51">
      <c r="A1" s="23" t="inlineStr">
        <is>
          <t>色マスター</t>
        </is>
      </c>
      <c r="B1" s="41" t="n"/>
      <c r="C1" s="41" t="n"/>
      <c r="D1" s="41" t="n"/>
      <c r="E1" s="41" t="n"/>
      <c r="F1" s="41" t="n"/>
      <c r="G1" s="41" t="n"/>
      <c r="H1" s="41" t="n"/>
      <c r="I1" s="41" t="n"/>
      <c r="J1" s="41" t="n"/>
      <c r="K1" s="41" t="n"/>
    </row>
    <row r="2" ht="34" customHeight="1" s="51">
      <c r="A2" s="31" t="inlineStr">
        <is>
          <t>サーモスLは内・外観色6パターン。外観ダスクグレーのみ内観ブラック。自由組合せ方式ではない。</t>
        </is>
      </c>
      <c r="B2" s="41" t="n"/>
      <c r="C2" s="41" t="n"/>
      <c r="D2" s="41" t="n"/>
      <c r="E2" s="41" t="n"/>
      <c r="F2" s="41" t="n"/>
      <c r="G2" s="41" t="n"/>
      <c r="H2" s="41" t="n"/>
      <c r="I2" s="41" t="n"/>
      <c r="J2" s="41" t="n"/>
      <c r="K2" s="41" t="n"/>
    </row>
    <row r="3" ht="28" customHeight="1" s="51">
      <c r="A3" s="35" t="inlineStr">
        <is>
          <t>color_relation_id</t>
        </is>
      </c>
      <c r="B3" s="35" t="inlineStr">
        <is>
          <t>シリーズID</t>
        </is>
      </c>
      <c r="C3" s="35" t="inlineStr">
        <is>
          <t>外観色ID</t>
        </is>
      </c>
      <c r="D3" s="35" t="inlineStr">
        <is>
          <t>外観色表示名</t>
        </is>
      </c>
      <c r="E3" s="35" t="inlineStr">
        <is>
          <t>内観色ID</t>
        </is>
      </c>
      <c r="F3" s="35" t="inlineStr">
        <is>
          <t>内観色表示名</t>
        </is>
      </c>
      <c r="G3" s="35" t="inlineStr">
        <is>
          <t>組合せ可否</t>
        </is>
      </c>
      <c r="H3" s="35" t="inlineStr">
        <is>
          <t>有効</t>
        </is>
      </c>
      <c r="I3" s="35" t="inlineStr">
        <is>
          <t>登録状態</t>
        </is>
      </c>
      <c r="J3" s="35" t="inlineStr">
        <is>
          <t>出典</t>
        </is>
      </c>
      <c r="K3" s="35" t="inlineStr">
        <is>
          <t>備考</t>
        </is>
      </c>
    </row>
    <row r="4">
      <c r="A4" s="43" t="inlineStr">
        <is>
          <t>COL-SL-H-T</t>
        </is>
      </c>
      <c r="B4" s="43" t="inlineStr">
        <is>
          <t>SER-LIX-SAMOSL</t>
        </is>
      </c>
      <c r="C4" s="43" t="inlineStr">
        <is>
          <t>H</t>
        </is>
      </c>
      <c r="D4" s="43" t="inlineStr">
        <is>
          <t>ダスクグレー</t>
        </is>
      </c>
      <c r="E4" s="43" t="inlineStr">
        <is>
          <t>T</t>
        </is>
      </c>
      <c r="F4" s="43" t="inlineStr">
        <is>
          <t>ブラック</t>
        </is>
      </c>
      <c r="G4" s="43" t="inlineStr">
        <is>
          <t>可</t>
        </is>
      </c>
      <c r="H4" s="43" t="b">
        <v>1</v>
      </c>
      <c r="I4" s="43" t="inlineStr">
        <is>
          <t>カタログ確認済み</t>
        </is>
      </c>
      <c r="J4" s="43" t="inlineStr">
        <is>
          <t>SM3100 P48</t>
        </is>
      </c>
      <c r="K4" s="43" t="inlineStr">
        <is>
          <t>外観ダスクグレーの内観色はブラック</t>
        </is>
      </c>
    </row>
    <row r="5">
      <c r="A5" s="43" t="inlineStr">
        <is>
          <t>COL-SL-T-T</t>
        </is>
      </c>
      <c r="B5" s="43" t="inlineStr">
        <is>
          <t>SER-LIX-SAMOSL</t>
        </is>
      </c>
      <c r="C5" s="43" t="inlineStr">
        <is>
          <t>T</t>
        </is>
      </c>
      <c r="D5" s="43" t="inlineStr">
        <is>
          <t>ブラック</t>
        </is>
      </c>
      <c r="E5" s="43" t="inlineStr">
        <is>
          <t>T</t>
        </is>
      </c>
      <c r="F5" s="43" t="inlineStr">
        <is>
          <t>ブラック</t>
        </is>
      </c>
      <c r="G5" s="43" t="inlineStr">
        <is>
          <t>可</t>
        </is>
      </c>
      <c r="H5" s="43" t="b">
        <v>1</v>
      </c>
      <c r="I5" s="43" t="inlineStr">
        <is>
          <t>カタログ確認済み</t>
        </is>
      </c>
      <c r="J5" s="43" t="inlineStr">
        <is>
          <t>SM3100 P48</t>
        </is>
      </c>
      <c r="K5" s="43" t="inlineStr">
        <is>
          <t>内外同系色</t>
        </is>
      </c>
    </row>
    <row r="6">
      <c r="A6" s="43" t="inlineStr">
        <is>
          <t>COL-SL-G-G</t>
        </is>
      </c>
      <c r="B6" s="43" t="inlineStr">
        <is>
          <t>SER-LIX-SAMOSL</t>
        </is>
      </c>
      <c r="C6" s="43" t="inlineStr">
        <is>
          <t>G</t>
        </is>
      </c>
      <c r="D6" s="43" t="inlineStr">
        <is>
          <t>オータムブラウン</t>
        </is>
      </c>
      <c r="E6" s="43" t="inlineStr">
        <is>
          <t>G</t>
        </is>
      </c>
      <c r="F6" s="43" t="inlineStr">
        <is>
          <t>オータムブラウン</t>
        </is>
      </c>
      <c r="G6" s="43" t="inlineStr">
        <is>
          <t>可</t>
        </is>
      </c>
      <c r="H6" s="43" t="b">
        <v>1</v>
      </c>
      <c r="I6" s="43" t="inlineStr">
        <is>
          <t>カタログ確認済み</t>
        </is>
      </c>
      <c r="J6" s="43" t="inlineStr">
        <is>
          <t>SM3100 P48</t>
        </is>
      </c>
      <c r="K6" s="43" t="inlineStr">
        <is>
          <t>内外同系色</t>
        </is>
      </c>
    </row>
    <row r="7">
      <c r="A7" s="43" t="inlineStr">
        <is>
          <t>COL-SL-K-K</t>
        </is>
      </c>
      <c r="B7" s="43" t="inlineStr">
        <is>
          <t>SER-LIX-SAMOSL</t>
        </is>
      </c>
      <c r="C7" s="43" t="inlineStr">
        <is>
          <t>K</t>
        </is>
      </c>
      <c r="D7" s="43" t="inlineStr">
        <is>
          <t>シャイングレー</t>
        </is>
      </c>
      <c r="E7" s="43" t="inlineStr">
        <is>
          <t>K</t>
        </is>
      </c>
      <c r="F7" s="43" t="inlineStr">
        <is>
          <t>シャイングレー</t>
        </is>
      </c>
      <c r="G7" s="43" t="inlineStr">
        <is>
          <t>可</t>
        </is>
      </c>
      <c r="H7" s="43" t="b">
        <v>1</v>
      </c>
      <c r="I7" s="43" t="inlineStr">
        <is>
          <t>カタログ確認済み</t>
        </is>
      </c>
      <c r="J7" s="43" t="inlineStr">
        <is>
          <t>SM3100 P48</t>
        </is>
      </c>
      <c r="K7" s="43" t="inlineStr">
        <is>
          <t>内外同系色</t>
        </is>
      </c>
    </row>
    <row r="8">
      <c r="A8" s="43" t="inlineStr">
        <is>
          <t>COL-SL-D-D</t>
        </is>
      </c>
      <c r="B8" s="43" t="inlineStr">
        <is>
          <t>SER-LIX-SAMOSL</t>
        </is>
      </c>
      <c r="C8" s="43" t="inlineStr">
        <is>
          <t>D</t>
        </is>
      </c>
      <c r="D8" s="43" t="inlineStr">
        <is>
          <t>ナチュラルシルバー</t>
        </is>
      </c>
      <c r="E8" s="43" t="inlineStr">
        <is>
          <t>D</t>
        </is>
      </c>
      <c r="F8" s="43" t="inlineStr">
        <is>
          <t>ナチュラルシルバー</t>
        </is>
      </c>
      <c r="G8" s="43" t="inlineStr">
        <is>
          <t>可</t>
        </is>
      </c>
      <c r="H8" s="43" t="b">
        <v>1</v>
      </c>
      <c r="I8" s="43" t="inlineStr">
        <is>
          <t>カタログ確認済み</t>
        </is>
      </c>
      <c r="J8" s="43" t="inlineStr">
        <is>
          <t>SM3100 P48</t>
        </is>
      </c>
      <c r="K8" s="43" t="inlineStr">
        <is>
          <t>内外同系色</t>
        </is>
      </c>
    </row>
    <row r="9">
      <c r="A9" s="43" t="inlineStr">
        <is>
          <t>COL-SL-W-W</t>
        </is>
      </c>
      <c r="B9" s="43" t="inlineStr">
        <is>
          <t>SER-LIX-SAMOSL</t>
        </is>
      </c>
      <c r="C9" s="43" t="inlineStr">
        <is>
          <t>W</t>
        </is>
      </c>
      <c r="D9" s="43" t="inlineStr">
        <is>
          <t>ホワイト</t>
        </is>
      </c>
      <c r="E9" s="43" t="inlineStr">
        <is>
          <t>W</t>
        </is>
      </c>
      <c r="F9" s="43" t="inlineStr">
        <is>
          <t>ホワイト</t>
        </is>
      </c>
      <c r="G9" s="43" t="inlineStr">
        <is>
          <t>可</t>
        </is>
      </c>
      <c r="H9" s="43" t="b">
        <v>1</v>
      </c>
      <c r="I9" s="43" t="inlineStr">
        <is>
          <t>カタログ確認済み</t>
        </is>
      </c>
      <c r="J9" s="43" t="inlineStr">
        <is>
          <t>SM3100 P48</t>
        </is>
      </c>
      <c r="K9" s="43" t="inlineStr">
        <is>
          <t>内外同系色</t>
        </is>
      </c>
    </row>
  </sheetData>
  <mergeCells count="2">
    <mergeCell ref="A2:K2"/>
    <mergeCell ref="A1:K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N200"/>
  <sheetViews>
    <sheetView workbookViewId="0">
      <selection activeCell="A1" sqref="A1"/>
    </sheetView>
  </sheetViews>
  <sheetFormatPr baseColWidth="8" defaultRowHeight="15"/>
  <cols>
    <col width="20" customWidth="1" style="51" min="1" max="1"/>
    <col width="18" customWidth="1" style="51" min="2" max="2"/>
    <col width="25" customWidth="1" style="51" min="3" max="3"/>
    <col width="20" customWidth="1" style="51" min="4" max="4"/>
    <col width="22" customWidth="1" style="51" min="5" max="5"/>
    <col width="16" customWidth="1" style="51" min="6" max="6"/>
    <col width="20" customWidth="1" style="51" min="7" max="7"/>
    <col width="20" customWidth="1" style="51" min="8" max="8"/>
    <col width="18" customWidth="1" style="51" min="9" max="9"/>
    <col width="14" customWidth="1" style="51" min="10" max="10"/>
    <col width="32" customWidth="1" style="51" min="11" max="11"/>
    <col width="8" customWidth="1" style="51" min="12" max="12"/>
    <col width="28" customWidth="1" style="51" min="13" max="13"/>
    <col width="44" customWidth="1" style="51" min="14" max="14"/>
  </cols>
  <sheetData>
    <row r="1" ht="28" customHeight="1" s="51">
      <c r="A1" s="223" t="inlineStr">
        <is>
          <t>ガラス・ガラス詳細マスター｜サーモスL v0.4</t>
        </is>
      </c>
      <c r="B1" s="41" t="n"/>
      <c r="C1" s="41" t="n"/>
      <c r="D1" s="41" t="n"/>
      <c r="E1" s="41" t="n"/>
      <c r="F1" s="41" t="n"/>
      <c r="G1" s="41" t="n"/>
      <c r="H1" s="41" t="n"/>
      <c r="I1" s="41" t="n"/>
      <c r="J1" s="41" t="n"/>
      <c r="K1" s="41" t="n"/>
      <c r="L1" s="41" t="n"/>
      <c r="M1" s="41" t="n"/>
      <c r="N1" s="41" t="n"/>
    </row>
    <row r="2" ht="28" customHeight="1" s="51">
      <c r="A2" s="224" t="inlineStr">
        <is>
          <t>物理構成9件と、機能ガラス/追加機能9件を分離。窓種別の選択可否は08B、耐風圧・重量などの制限は08Cで制御する。機能ガラスの全サイズ可否は未確定部分を残し、未確認条件を可扱いしない。</t>
        </is>
      </c>
      <c r="B2" s="41" t="n"/>
      <c r="C2" s="41" t="n"/>
      <c r="D2" s="41" t="n"/>
      <c r="E2" s="41" t="n"/>
      <c r="F2" s="41" t="n"/>
      <c r="G2" s="41" t="n"/>
      <c r="H2" s="41" t="n"/>
      <c r="I2" s="41" t="n"/>
      <c r="J2" s="41" t="n"/>
      <c r="K2" s="41" t="n"/>
      <c r="L2" s="41" t="n"/>
      <c r="M2" s="41" t="n"/>
      <c r="N2" s="41" t="n"/>
    </row>
    <row r="3" ht="28" customHeight="1" s="51">
      <c r="A3" s="95" t="inlineStr">
        <is>
          <t>glass_id</t>
        </is>
      </c>
      <c r="B3" s="95" t="inlineStr">
        <is>
          <t>シリーズID</t>
        </is>
      </c>
      <c r="C3" s="95" t="inlineStr">
        <is>
          <t>窓種ID</t>
        </is>
      </c>
      <c r="D3" s="95" t="inlineStr">
        <is>
          <t>ガラス大分類</t>
        </is>
      </c>
      <c r="E3" s="95" t="inlineStr">
        <is>
          <t>Low-E区分</t>
        </is>
      </c>
      <c r="F3" s="95" t="inlineStr">
        <is>
          <t>見え方</t>
        </is>
      </c>
      <c r="G3" s="95" t="inlineStr">
        <is>
          <t>ガス</t>
        </is>
      </c>
      <c r="H3" s="95" t="inlineStr">
        <is>
          <t>スペーサー</t>
        </is>
      </c>
      <c r="I3" s="95" t="inlineStr">
        <is>
          <t>合わせ</t>
        </is>
      </c>
      <c r="J3" s="95" t="inlineStr">
        <is>
          <t>強化</t>
        </is>
      </c>
      <c r="K3" s="95" t="inlineStr">
        <is>
          <t>厚み/構成</t>
        </is>
      </c>
      <c r="L3" s="95" t="inlineStr">
        <is>
          <t>有効</t>
        </is>
      </c>
      <c r="M3" s="95" t="inlineStr">
        <is>
          <t>登録状態</t>
        </is>
      </c>
      <c r="N3" s="95" t="inlineStr">
        <is>
          <t>出典/備考</t>
        </is>
      </c>
    </row>
    <row r="4">
      <c r="A4" s="43" t="inlineStr">
        <is>
          <t>GL-SL-001</t>
        </is>
      </c>
      <c r="B4" s="43" t="inlineStr">
        <is>
          <t>SER-LIX-SAMOSL</t>
        </is>
      </c>
      <c r="C4" s="43" t="inlineStr">
        <is>
          <t>*</t>
        </is>
      </c>
      <c r="D4" s="43" t="inlineStr">
        <is>
          <t>Low-E複層ガラス</t>
        </is>
      </c>
      <c r="E4" s="43" t="inlineStr">
        <is>
          <t>Low-E</t>
        </is>
      </c>
      <c r="F4" s="43" t="inlineStr">
        <is>
          <t>クリア</t>
        </is>
      </c>
      <c r="G4" s="43" t="inlineStr">
        <is>
          <t>アルゴンガス</t>
        </is>
      </c>
      <c r="H4" s="43" t="inlineStr">
        <is>
          <t>樹脂またはアルミ</t>
        </is>
      </c>
      <c r="I4" s="43" t="inlineStr">
        <is>
          <t>なし</t>
        </is>
      </c>
      <c r="J4" s="43" t="inlineStr">
        <is>
          <t>なし</t>
        </is>
      </c>
      <c r="K4" s="43" t="inlineStr">
        <is>
          <t>3-Ar16-LowE3（クリア）</t>
        </is>
      </c>
      <c r="L4" s="43" t="b">
        <v>1</v>
      </c>
      <c r="M4" s="43" t="inlineStr">
        <is>
          <t>基本構成確認済み</t>
        </is>
      </c>
      <c r="N4" s="43" t="inlineStr">
        <is>
          <t>SM3100 P410-411。代表構成。08B/08Cで適用制御</t>
        </is>
      </c>
    </row>
    <row r="5">
      <c r="A5" s="43" t="inlineStr">
        <is>
          <t>GL-SL-002</t>
        </is>
      </c>
      <c r="B5" s="43" t="inlineStr">
        <is>
          <t>SER-LIX-SAMOSL</t>
        </is>
      </c>
      <c r="C5" s="43" t="inlineStr">
        <is>
          <t>*</t>
        </is>
      </c>
      <c r="D5" s="43" t="inlineStr">
        <is>
          <t>Low-E複層ガラス</t>
        </is>
      </c>
      <c r="E5" s="43" t="inlineStr">
        <is>
          <t>Low-E</t>
        </is>
      </c>
      <c r="F5" s="43" t="inlineStr">
        <is>
          <t>クリア</t>
        </is>
      </c>
      <c r="G5" s="43" t="inlineStr">
        <is>
          <t>アルゴンガス</t>
        </is>
      </c>
      <c r="H5" s="43" t="inlineStr">
        <is>
          <t>樹脂またはアルミ</t>
        </is>
      </c>
      <c r="I5" s="43" t="inlineStr">
        <is>
          <t>なし</t>
        </is>
      </c>
      <c r="J5" s="43" t="inlineStr">
        <is>
          <t>なし</t>
        </is>
      </c>
      <c r="K5" s="43" t="inlineStr">
        <is>
          <t>4-Ar15-LowE3（クリア）</t>
        </is>
      </c>
      <c r="L5" s="43" t="b">
        <v>1</v>
      </c>
      <c r="M5" s="43" t="inlineStr">
        <is>
          <t>基本構成確認済み</t>
        </is>
      </c>
      <c r="N5" s="43" t="inlineStr">
        <is>
          <t>SM3100 P410-411。代表構成。08B/08Cで適用制御</t>
        </is>
      </c>
    </row>
    <row r="6">
      <c r="A6" s="43" t="inlineStr">
        <is>
          <t>GL-SL-003</t>
        </is>
      </c>
      <c r="B6" s="43" t="inlineStr">
        <is>
          <t>SER-LIX-SAMOSL</t>
        </is>
      </c>
      <c r="C6" s="43" t="inlineStr">
        <is>
          <t>*</t>
        </is>
      </c>
      <c r="D6" s="43" t="inlineStr">
        <is>
          <t>Low-E複層ガラス</t>
        </is>
      </c>
      <c r="E6" s="43" t="inlineStr">
        <is>
          <t>Low-E</t>
        </is>
      </c>
      <c r="F6" s="43" t="inlineStr">
        <is>
          <t>クリア</t>
        </is>
      </c>
      <c r="G6" s="43" t="inlineStr">
        <is>
          <t>アルゴンガス</t>
        </is>
      </c>
      <c r="H6" s="43" t="inlineStr">
        <is>
          <t>樹脂またはアルミ</t>
        </is>
      </c>
      <c r="I6" s="43" t="inlineStr">
        <is>
          <t>なし</t>
        </is>
      </c>
      <c r="J6" s="43" t="inlineStr">
        <is>
          <t>なし</t>
        </is>
      </c>
      <c r="K6" s="43" t="inlineStr">
        <is>
          <t>4-Ar14-LowE4（クリア）</t>
        </is>
      </c>
      <c r="L6" s="43" t="b">
        <v>1</v>
      </c>
      <c r="M6" s="43" t="inlineStr">
        <is>
          <t>基本構成確認済み</t>
        </is>
      </c>
      <c r="N6" s="43" t="inlineStr">
        <is>
          <t>SM3100 P410-411。代表構成。08B/08Cで適用制御</t>
        </is>
      </c>
    </row>
    <row r="7">
      <c r="A7" s="43" t="inlineStr">
        <is>
          <t>GL-SL-004</t>
        </is>
      </c>
      <c r="B7" s="43" t="inlineStr">
        <is>
          <t>SER-LIX-SAMOSL</t>
        </is>
      </c>
      <c r="C7" s="43" t="inlineStr">
        <is>
          <t>*</t>
        </is>
      </c>
      <c r="D7" s="43" t="inlineStr">
        <is>
          <t>Low-E複層ガラス</t>
        </is>
      </c>
      <c r="E7" s="43" t="inlineStr">
        <is>
          <t>Low-E</t>
        </is>
      </c>
      <c r="F7" s="43" t="inlineStr">
        <is>
          <t>クリア</t>
        </is>
      </c>
      <c r="G7" s="43" t="inlineStr">
        <is>
          <t>乾燥空気</t>
        </is>
      </c>
      <c r="H7" s="43" t="inlineStr">
        <is>
          <t>アルミ</t>
        </is>
      </c>
      <c r="I7" s="43" t="inlineStr">
        <is>
          <t>なし</t>
        </is>
      </c>
      <c r="J7" s="43" t="inlineStr">
        <is>
          <t>なし</t>
        </is>
      </c>
      <c r="K7" s="43" t="inlineStr">
        <is>
          <t>3-A16-LowE3（クリア）</t>
        </is>
      </c>
      <c r="L7" s="43" t="b">
        <v>1</v>
      </c>
      <c r="M7" s="43" t="inlineStr">
        <is>
          <t>基本構成確認済み</t>
        </is>
      </c>
      <c r="N7" s="43" t="inlineStr">
        <is>
          <t>SM3100 P410-411。代表構成。08B/08Cで適用制御</t>
        </is>
      </c>
    </row>
    <row r="8">
      <c r="A8" s="43" t="inlineStr">
        <is>
          <t>GL-SL-005</t>
        </is>
      </c>
      <c r="B8" s="43" t="inlineStr">
        <is>
          <t>SER-LIX-SAMOSL</t>
        </is>
      </c>
      <c r="C8" s="43" t="inlineStr">
        <is>
          <t>*</t>
        </is>
      </c>
      <c r="D8" s="43" t="inlineStr">
        <is>
          <t>Low-E複層ガラス</t>
        </is>
      </c>
      <c r="E8" s="43" t="inlineStr">
        <is>
          <t>Low-E</t>
        </is>
      </c>
      <c r="F8" s="43" t="inlineStr">
        <is>
          <t>クリア</t>
        </is>
      </c>
      <c r="G8" s="43" t="inlineStr">
        <is>
          <t>乾燥空気</t>
        </is>
      </c>
      <c r="H8" s="43" t="inlineStr">
        <is>
          <t>アルミ</t>
        </is>
      </c>
      <c r="I8" s="43" t="inlineStr">
        <is>
          <t>なし</t>
        </is>
      </c>
      <c r="J8" s="43" t="inlineStr">
        <is>
          <t>なし</t>
        </is>
      </c>
      <c r="K8" s="43" t="inlineStr">
        <is>
          <t>4-A15-LowE3（クリア）</t>
        </is>
      </c>
      <c r="L8" s="43" t="b">
        <v>1</v>
      </c>
      <c r="M8" s="43" t="inlineStr">
        <is>
          <t>基本構成確認済み</t>
        </is>
      </c>
      <c r="N8" s="43" t="inlineStr">
        <is>
          <t>SM3100 P410-411。代表構成。08B/08Cで適用制御</t>
        </is>
      </c>
    </row>
    <row r="9">
      <c r="A9" s="43" t="inlineStr">
        <is>
          <t>GL-SL-006</t>
        </is>
      </c>
      <c r="B9" s="43" t="inlineStr">
        <is>
          <t>SER-LIX-SAMOSL</t>
        </is>
      </c>
      <c r="C9" s="43" t="inlineStr">
        <is>
          <t>*</t>
        </is>
      </c>
      <c r="D9" s="43" t="inlineStr">
        <is>
          <t>Low-E複層ガラス</t>
        </is>
      </c>
      <c r="E9" s="43" t="inlineStr">
        <is>
          <t>Low-E</t>
        </is>
      </c>
      <c r="F9" s="43" t="inlineStr">
        <is>
          <t>クリア</t>
        </is>
      </c>
      <c r="G9" s="43" t="inlineStr">
        <is>
          <t>乾燥空気</t>
        </is>
      </c>
      <c r="H9" s="43" t="inlineStr">
        <is>
          <t>アルミ</t>
        </is>
      </c>
      <c r="I9" s="43" t="inlineStr">
        <is>
          <t>なし</t>
        </is>
      </c>
      <c r="J9" s="43" t="inlineStr">
        <is>
          <t>なし</t>
        </is>
      </c>
      <c r="K9" s="43" t="inlineStr">
        <is>
          <t>4-A14-LowE4（クリア）</t>
        </is>
      </c>
      <c r="L9" s="43" t="b">
        <v>1</v>
      </c>
      <c r="M9" s="43" t="inlineStr">
        <is>
          <t>基本構成確認済み</t>
        </is>
      </c>
      <c r="N9" s="43" t="inlineStr">
        <is>
          <t>SM3100 P410-411。代表構成。08B/08Cで適用制御</t>
        </is>
      </c>
    </row>
    <row r="10">
      <c r="A10" s="43" t="inlineStr">
        <is>
          <t>GL-SL-007</t>
        </is>
      </c>
      <c r="B10" s="43" t="inlineStr">
        <is>
          <t>SER-LIX-SAMOSL</t>
        </is>
      </c>
      <c r="C10" s="43" t="inlineStr">
        <is>
          <t>*</t>
        </is>
      </c>
      <c r="D10" s="43" t="inlineStr">
        <is>
          <t>一般複層ガラス</t>
        </is>
      </c>
      <c r="E10" s="43" t="inlineStr">
        <is>
          <t>なし</t>
        </is>
      </c>
      <c r="F10" s="43" t="inlineStr">
        <is>
          <t>透明</t>
        </is>
      </c>
      <c r="G10" s="43" t="inlineStr">
        <is>
          <t>乾燥空気</t>
        </is>
      </c>
      <c r="H10" s="43" t="inlineStr">
        <is>
          <t>アルミ</t>
        </is>
      </c>
      <c r="I10" s="43" t="inlineStr">
        <is>
          <t>なし</t>
        </is>
      </c>
      <c r="J10" s="43" t="inlineStr">
        <is>
          <t>なし</t>
        </is>
      </c>
      <c r="K10" s="43" t="inlineStr">
        <is>
          <t>3-A16-3</t>
        </is>
      </c>
      <c r="L10" s="43" t="b">
        <v>1</v>
      </c>
      <c r="M10" s="43" t="inlineStr">
        <is>
          <t>基本構成確認済み</t>
        </is>
      </c>
      <c r="N10" s="43" t="inlineStr">
        <is>
          <t>SM3100 P410-411。代表構成。08B/08Cで適用制御</t>
        </is>
      </c>
    </row>
    <row r="11">
      <c r="A11" s="43" t="inlineStr">
        <is>
          <t>GL-SL-008</t>
        </is>
      </c>
      <c r="B11" s="43" t="inlineStr">
        <is>
          <t>SER-LIX-SAMOSL</t>
        </is>
      </c>
      <c r="C11" s="43" t="inlineStr">
        <is>
          <t>*</t>
        </is>
      </c>
      <c r="D11" s="43" t="inlineStr">
        <is>
          <t>一般複層ガラス</t>
        </is>
      </c>
      <c r="E11" s="43" t="inlineStr">
        <is>
          <t>なし</t>
        </is>
      </c>
      <c r="F11" s="43" t="inlineStr">
        <is>
          <t>透明</t>
        </is>
      </c>
      <c r="G11" s="43" t="inlineStr">
        <is>
          <t>乾燥空気</t>
        </is>
      </c>
      <c r="H11" s="43" t="inlineStr">
        <is>
          <t>アルミ</t>
        </is>
      </c>
      <c r="I11" s="43" t="inlineStr">
        <is>
          <t>なし</t>
        </is>
      </c>
      <c r="J11" s="43" t="inlineStr">
        <is>
          <t>なし</t>
        </is>
      </c>
      <c r="K11" s="43" t="inlineStr">
        <is>
          <t>4-A15-3</t>
        </is>
      </c>
      <c r="L11" s="43" t="b">
        <v>1</v>
      </c>
      <c r="M11" s="43" t="inlineStr">
        <is>
          <t>基本構成確認済み</t>
        </is>
      </c>
      <c r="N11" s="43" t="inlineStr">
        <is>
          <t>SM3100 P410-411。代表構成。08B/08Cで適用制御</t>
        </is>
      </c>
    </row>
    <row r="12">
      <c r="A12" s="43" t="inlineStr">
        <is>
          <t>GL-SL-009</t>
        </is>
      </c>
      <c r="B12" s="43" t="inlineStr">
        <is>
          <t>SER-LIX-SAMOSL</t>
        </is>
      </c>
      <c r="C12" s="43" t="inlineStr">
        <is>
          <t>*</t>
        </is>
      </c>
      <c r="D12" s="43" t="inlineStr">
        <is>
          <t>一般複層ガラス</t>
        </is>
      </c>
      <c r="E12" s="43" t="inlineStr">
        <is>
          <t>なし</t>
        </is>
      </c>
      <c r="F12" s="43" t="inlineStr">
        <is>
          <t>透明</t>
        </is>
      </c>
      <c r="G12" s="43" t="inlineStr">
        <is>
          <t>乾燥空気</t>
        </is>
      </c>
      <c r="H12" s="43" t="inlineStr">
        <is>
          <t>アルミ</t>
        </is>
      </c>
      <c r="I12" s="43" t="inlineStr">
        <is>
          <t>なし</t>
        </is>
      </c>
      <c r="J12" s="43" t="inlineStr">
        <is>
          <t>なし</t>
        </is>
      </c>
      <c r="K12" s="43" t="inlineStr">
        <is>
          <t>4-A14-4</t>
        </is>
      </c>
      <c r="L12" s="43" t="b">
        <v>1</v>
      </c>
      <c r="M12" s="43" t="inlineStr">
        <is>
          <t>基本構成確認済み</t>
        </is>
      </c>
      <c r="N12" s="43" t="inlineStr">
        <is>
          <t>SM3100 P410-411。代表構成。08B/08Cで適用制御</t>
        </is>
      </c>
    </row>
    <row r="13">
      <c r="A13" s="47" t="inlineStr">
        <is>
          <t>GL-SL-FUNC-GREEN</t>
        </is>
      </c>
      <c r="B13" s="47" t="inlineStr">
        <is>
          <t>SER-LIX-SAMOSL</t>
        </is>
      </c>
      <c r="C13" s="47" t="inlineStr">
        <is>
          <t>*</t>
        </is>
      </c>
      <c r="D13" s="47" t="inlineStr">
        <is>
          <t>Low-E複層ガラス</t>
        </is>
      </c>
      <c r="E13" s="47" t="inlineStr">
        <is>
          <t>グリーン</t>
        </is>
      </c>
      <c r="F13" s="47" t="inlineStr">
        <is>
          <t>透明</t>
        </is>
      </c>
      <c r="G13" s="47" t="inlineStr">
        <is>
          <t>ベース構成連動</t>
        </is>
      </c>
      <c r="H13" s="47" t="inlineStr">
        <is>
          <t>ベース構成連動</t>
        </is>
      </c>
      <c r="I13" s="47" t="inlineStr">
        <is>
          <t>なし</t>
        </is>
      </c>
      <c r="J13" s="47" t="inlineStr">
        <is>
          <t>なし</t>
        </is>
      </c>
      <c r="K13" s="47" t="inlineStr">
        <is>
          <t>機能ガラス：グリーン</t>
        </is>
      </c>
      <c r="L13" s="47" t="b">
        <v>1</v>
      </c>
      <c r="M13" s="47" t="inlineStr">
        <is>
          <t>ガラス体系確認済み</t>
        </is>
      </c>
      <c r="N13" s="47" t="inlineStr">
        <is>
          <t>SM3100 P50-57。厚み/サイズは08Cで制御</t>
        </is>
      </c>
    </row>
    <row r="14">
      <c r="A14" s="43" t="inlineStr">
        <is>
          <t>GL-SL-FUNC-GREEN-HS</t>
        </is>
      </c>
      <c r="B14" s="43" t="inlineStr">
        <is>
          <t>SER-LIX-SAMOSL</t>
        </is>
      </c>
      <c r="C14" s="43" t="inlineStr">
        <is>
          <t>*</t>
        </is>
      </c>
      <c r="D14" s="43" t="inlineStr">
        <is>
          <t>Low-E複層ガラス</t>
        </is>
      </c>
      <c r="E14" s="43" t="inlineStr">
        <is>
          <t>グリーン（高遮熱仕様）</t>
        </is>
      </c>
      <c r="F14" s="43" t="inlineStr">
        <is>
          <t>透明</t>
        </is>
      </c>
      <c r="G14" s="43" t="inlineStr">
        <is>
          <t>ベース構成連動</t>
        </is>
      </c>
      <c r="H14" s="43" t="inlineStr">
        <is>
          <t>ベース構成連動</t>
        </is>
      </c>
      <c r="I14" s="43" t="inlineStr">
        <is>
          <t>なし</t>
        </is>
      </c>
      <c r="J14" s="43" t="inlineStr">
        <is>
          <t>なし</t>
        </is>
      </c>
      <c r="K14" s="43" t="inlineStr">
        <is>
          <t>機能ガラス：高遮熱</t>
        </is>
      </c>
      <c r="L14" s="43" t="b">
        <v>1</v>
      </c>
      <c r="M14" s="43" t="inlineStr">
        <is>
          <t>ガラス体系確認済み</t>
        </is>
      </c>
      <c r="N14" s="43" t="inlineStr">
        <is>
          <t>SM3100 P50-57。厚み/サイズは08Cで制御</t>
        </is>
      </c>
    </row>
    <row r="15">
      <c r="A15" s="43" t="inlineStr">
        <is>
          <t>GL-SL-FUNC-HISOLAR</t>
        </is>
      </c>
      <c r="B15" s="43" t="inlineStr">
        <is>
          <t>SER-LIX-SAMOSL</t>
        </is>
      </c>
      <c r="C15" s="43" t="inlineStr">
        <is>
          <t>*</t>
        </is>
      </c>
      <c r="D15" s="43" t="inlineStr">
        <is>
          <t>Low-E複層ガラス</t>
        </is>
      </c>
      <c r="E15" s="43" t="inlineStr">
        <is>
          <t>クリア（高日射取得仕様）</t>
        </is>
      </c>
      <c r="F15" s="43" t="inlineStr">
        <is>
          <t>透明</t>
        </is>
      </c>
      <c r="G15" s="43" t="inlineStr">
        <is>
          <t>ベース構成連動</t>
        </is>
      </c>
      <c r="H15" s="43" t="inlineStr">
        <is>
          <t>ベース構成連動</t>
        </is>
      </c>
      <c r="I15" s="43" t="inlineStr">
        <is>
          <t>なし</t>
        </is>
      </c>
      <c r="J15" s="43" t="inlineStr">
        <is>
          <t>なし</t>
        </is>
      </c>
      <c r="K15" s="43" t="inlineStr">
        <is>
          <t>機能ガラス：高日射取得</t>
        </is>
      </c>
      <c r="L15" s="43" t="b">
        <v>1</v>
      </c>
      <c r="M15" s="43" t="inlineStr">
        <is>
          <t>ガラス体系確認済み</t>
        </is>
      </c>
      <c r="N15" s="43" t="inlineStr">
        <is>
          <t>SM3100 P50-57。厚み/サイズは08Cで制御</t>
        </is>
      </c>
    </row>
    <row r="16">
      <c r="A16" s="43" t="inlineStr">
        <is>
          <t>GL-SL-OPT-PATTERN</t>
        </is>
      </c>
      <c r="B16" s="43" t="inlineStr">
        <is>
          <t>SER-LIX-SAMOSL</t>
        </is>
      </c>
      <c r="C16" s="43" t="inlineStr">
        <is>
          <t>*</t>
        </is>
      </c>
      <c r="D16" s="43" t="inlineStr">
        <is>
          <t>追加機能</t>
        </is>
      </c>
      <c r="E16" s="43" t="inlineStr">
        <is>
          <t>ベースガラス連動</t>
        </is>
      </c>
      <c r="F16" s="43" t="inlineStr">
        <is>
          <t>型板</t>
        </is>
      </c>
      <c r="G16" s="43" t="inlineStr">
        <is>
          <t>ベースガラス連動</t>
        </is>
      </c>
      <c r="H16" s="43" t="inlineStr">
        <is>
          <t>ベースガラス連動</t>
        </is>
      </c>
      <c r="I16" s="43" t="inlineStr">
        <is>
          <t>なし</t>
        </is>
      </c>
      <c r="J16" s="43" t="inlineStr">
        <is>
          <t>なし</t>
        </is>
      </c>
      <c r="K16" s="43" t="inlineStr">
        <is>
          <t>型板複層ガラス</t>
        </is>
      </c>
      <c r="L16" s="43" t="b">
        <v>1</v>
      </c>
      <c r="M16" s="43" t="inlineStr">
        <is>
          <t>体系確認済み／個別可否別制御</t>
        </is>
      </c>
      <c r="N16" s="43" t="inlineStr">
        <is>
          <t>SM3100 P50-57。08B/08C参照</t>
        </is>
      </c>
    </row>
    <row r="17">
      <c r="A17" s="43" t="inlineStr">
        <is>
          <t>GL-SL-OPT-FROST</t>
        </is>
      </c>
      <c r="B17" s="43" t="inlineStr">
        <is>
          <t>SER-LIX-SAMOSL</t>
        </is>
      </c>
      <c r="C17" s="43" t="inlineStr">
        <is>
          <t>*</t>
        </is>
      </c>
      <c r="D17" s="43" t="inlineStr">
        <is>
          <t>追加機能</t>
        </is>
      </c>
      <c r="E17" s="43" t="inlineStr">
        <is>
          <t>ベースガラス連動</t>
        </is>
      </c>
      <c r="F17" s="43" t="inlineStr">
        <is>
          <t>フロスト</t>
        </is>
      </c>
      <c r="G17" s="43" t="inlineStr">
        <is>
          <t>ベースガラス連動</t>
        </is>
      </c>
      <c r="H17" s="43" t="inlineStr">
        <is>
          <t>ベースガラス連動</t>
        </is>
      </c>
      <c r="I17" s="43" t="inlineStr">
        <is>
          <t>なし</t>
        </is>
      </c>
      <c r="J17" s="43" t="inlineStr">
        <is>
          <t>なし</t>
        </is>
      </c>
      <c r="K17" s="43" t="inlineStr">
        <is>
          <t>フロスト複層ガラス</t>
        </is>
      </c>
      <c r="L17" s="43" t="b">
        <v>1</v>
      </c>
      <c r="M17" s="43" t="inlineStr">
        <is>
          <t>体系確認済み／個別可否別制御</t>
        </is>
      </c>
      <c r="N17" s="43" t="inlineStr">
        <is>
          <t>SM3100 P50-57。08Cで個別制御</t>
        </is>
      </c>
    </row>
    <row r="18">
      <c r="A18" s="43" t="inlineStr">
        <is>
          <t>GL-SL-OPT-SAFE</t>
        </is>
      </c>
      <c r="B18" s="43" t="inlineStr">
        <is>
          <t>SER-LIX-SAMOSL</t>
        </is>
      </c>
      <c r="C18" s="43" t="inlineStr">
        <is>
          <t>*</t>
        </is>
      </c>
      <c r="D18" s="43" t="inlineStr">
        <is>
          <t>追加機能</t>
        </is>
      </c>
      <c r="E18" s="43" t="inlineStr">
        <is>
          <t>ベースガラス連動</t>
        </is>
      </c>
      <c r="F18" s="43" t="inlineStr">
        <is>
          <t>透明/仕様連動</t>
        </is>
      </c>
      <c r="G18" s="43" t="inlineStr">
        <is>
          <t>ベースガラス連動</t>
        </is>
      </c>
      <c r="H18" s="43" t="inlineStr">
        <is>
          <t>ベースガラス連動</t>
        </is>
      </c>
      <c r="I18" s="43" t="inlineStr">
        <is>
          <t>安全合わせ</t>
        </is>
      </c>
      <c r="J18" s="43" t="inlineStr">
        <is>
          <t>なし</t>
        </is>
      </c>
      <c r="K18" s="43" t="inlineStr">
        <is>
          <t>安全合わせ複層ガラス</t>
        </is>
      </c>
      <c r="L18" s="43" t="b">
        <v>1</v>
      </c>
      <c r="M18" s="43" t="inlineStr">
        <is>
          <t>体系確認済み／個別可否別制御</t>
        </is>
      </c>
      <c r="N18" s="43" t="inlineStr">
        <is>
          <t>SM3100 P50-57。08Cで個別制御</t>
        </is>
      </c>
    </row>
    <row r="19">
      <c r="A19" s="43" t="inlineStr">
        <is>
          <t>GL-SL-OPT-DISASTER</t>
        </is>
      </c>
      <c r="B19" s="43" t="inlineStr">
        <is>
          <t>SER-LIX-SAMOSL</t>
        </is>
      </c>
      <c r="C19" s="43" t="inlineStr">
        <is>
          <t>*</t>
        </is>
      </c>
      <c r="D19" s="43" t="inlineStr">
        <is>
          <t>追加機能</t>
        </is>
      </c>
      <c r="E19" s="43" t="inlineStr">
        <is>
          <t>ベースガラス連動</t>
        </is>
      </c>
      <c r="F19" s="43" t="inlineStr">
        <is>
          <t>透明/仕様連動</t>
        </is>
      </c>
      <c r="G19" s="43" t="inlineStr">
        <is>
          <t>ベースガラス連動</t>
        </is>
      </c>
      <c r="H19" s="43" t="inlineStr">
        <is>
          <t>ベースガラス連動</t>
        </is>
      </c>
      <c r="I19" s="43" t="inlineStr">
        <is>
          <t>防災安全合わせ</t>
        </is>
      </c>
      <c r="J19" s="43" t="inlineStr">
        <is>
          <t>なし</t>
        </is>
      </c>
      <c r="K19" s="43" t="inlineStr">
        <is>
          <t>防災安全合わせ複層ガラス</t>
        </is>
      </c>
      <c r="L19" s="43" t="b">
        <v>1</v>
      </c>
      <c r="M19" s="43" t="inlineStr">
        <is>
          <t>体系確認済み／個別可否別制御</t>
        </is>
      </c>
      <c r="N19" s="43" t="inlineStr">
        <is>
          <t>SM3100 P50-57。08Cで個別制御</t>
        </is>
      </c>
    </row>
    <row r="20">
      <c r="A20" s="43" t="inlineStr">
        <is>
          <t>GL-SL-OPT-MILKY</t>
        </is>
      </c>
      <c r="B20" s="43" t="inlineStr">
        <is>
          <t>SER-LIX-SAMOSL</t>
        </is>
      </c>
      <c r="C20" s="43" t="inlineStr">
        <is>
          <t>*</t>
        </is>
      </c>
      <c r="D20" s="43" t="inlineStr">
        <is>
          <t>追加機能</t>
        </is>
      </c>
      <c r="E20" s="43" t="inlineStr">
        <is>
          <t>ベースガラス連動</t>
        </is>
      </c>
      <c r="F20" s="43" t="inlineStr">
        <is>
          <t>乳白</t>
        </is>
      </c>
      <c r="G20" s="43" t="inlineStr">
        <is>
          <t>ベースガラス連動</t>
        </is>
      </c>
      <c r="H20" s="43" t="inlineStr">
        <is>
          <t>ベースガラス連動</t>
        </is>
      </c>
      <c r="I20" s="43" t="inlineStr">
        <is>
          <t>安全合わせ</t>
        </is>
      </c>
      <c r="J20" s="43" t="inlineStr">
        <is>
          <t>なし</t>
        </is>
      </c>
      <c r="K20" s="43" t="inlineStr">
        <is>
          <t>安全合わせ乳白タイプ</t>
        </is>
      </c>
      <c r="L20" s="43" t="b">
        <v>1</v>
      </c>
      <c r="M20" s="43" t="inlineStr">
        <is>
          <t>体系確認済み／個別可否別制御</t>
        </is>
      </c>
      <c r="N20" s="43" t="inlineStr">
        <is>
          <t>SM3100 P50-57。安全合わせ選択時のみ候補</t>
        </is>
      </c>
    </row>
    <row r="21">
      <c r="A21" s="43" t="inlineStr">
        <is>
          <t>GL-SL-OPT-TEMPERED</t>
        </is>
      </c>
      <c r="B21" s="43" t="inlineStr">
        <is>
          <t>SER-LIX-SAMOSL</t>
        </is>
      </c>
      <c r="C21" s="43" t="inlineStr">
        <is>
          <t>*</t>
        </is>
      </c>
      <c r="D21" s="43" t="inlineStr">
        <is>
          <t>追加機能</t>
        </is>
      </c>
      <c r="E21" s="43" t="inlineStr">
        <is>
          <t>ベースガラス連動</t>
        </is>
      </c>
      <c r="F21" s="43" t="inlineStr">
        <is>
          <t>仕様連動</t>
        </is>
      </c>
      <c r="G21" s="43" t="inlineStr">
        <is>
          <t>ベースガラス連動</t>
        </is>
      </c>
      <c r="H21" s="43" t="inlineStr">
        <is>
          <t>ベースガラス連動</t>
        </is>
      </c>
      <c r="I21" s="43" t="inlineStr">
        <is>
          <t>なし</t>
        </is>
      </c>
      <c r="J21" s="43" t="inlineStr">
        <is>
          <t>強化</t>
        </is>
      </c>
      <c r="K21" s="43" t="inlineStr">
        <is>
          <t>強化複層ガラス</t>
        </is>
      </c>
      <c r="L21" s="43" t="b">
        <v>0</v>
      </c>
      <c r="M21" s="43" t="inlineStr">
        <is>
          <t>一般サーモスLの自動候補から除外／正式可否未閉包（確認経路未確定）</t>
        </is>
      </c>
      <c r="N21" s="43" t="inlineStr">
        <is>
          <t>強化条件を一般化しない。</t>
        </is>
      </c>
    </row>
    <row r="22">
      <c r="A22" s="42" t="inlineStr">
        <is>
          <t>GL-SL-LOWE-BRONZE</t>
        </is>
      </c>
      <c r="B22" t="inlineStr">
        <is>
          <t>SER-LIX-SAMOSL</t>
        </is>
      </c>
      <c r="C22" t="inlineStr">
        <is>
          <t>地域限定</t>
        </is>
      </c>
      <c r="D22" t="inlineStr">
        <is>
          <t>Low-E複層ガラス</t>
        </is>
      </c>
      <c r="E22" t="inlineStr">
        <is>
          <t>ブロンズ</t>
        </is>
      </c>
      <c r="F22" t="inlineStr">
        <is>
          <t>透明</t>
        </is>
      </c>
      <c r="G22" t="inlineStr">
        <is>
          <t>乾燥空気/アルゴン</t>
        </is>
      </c>
      <c r="H22" t="inlineStr">
        <is>
          <t>アルミ/樹脂</t>
        </is>
      </c>
      <c r="I22" t="inlineStr">
        <is>
          <t>なし</t>
        </is>
      </c>
      <c r="J22" t="inlineStr">
        <is>
          <t>なし</t>
        </is>
      </c>
      <c r="K22" t="inlineStr">
        <is>
          <t>サイズ別構成</t>
        </is>
      </c>
      <c r="L22" t="b">
        <v>1</v>
      </c>
      <c r="M22" t="inlineStr">
        <is>
          <t>北海道・東北地区限定確認済み</t>
        </is>
      </c>
      <c r="N22" t="inlineStr">
        <is>
          <t>商品体系・公式構成Matrixは確認済み。サイズ・窓種別の最終製作可否は未閉包のためESTIMATE_CONFIRM_REQUIREDとして保持。特定確認経路は未確定。</t>
        </is>
      </c>
    </row>
    <row r="23">
      <c r="A23" s="42" t="inlineStr">
        <is>
          <t>GL-SL-OPT-BLIND</t>
        </is>
      </c>
      <c r="B23" t="inlineStr">
        <is>
          <t>SER-LIX-SAMOSL</t>
        </is>
      </c>
      <c r="C23" t="inlineStr">
        <is>
          <t>限定窓種</t>
        </is>
      </c>
      <c r="D23" t="inlineStr">
        <is>
          <t>追加機能</t>
        </is>
      </c>
      <c r="E23" t="inlineStr">
        <is>
          <t>ベース連動</t>
        </is>
      </c>
      <c r="F23" t="inlineStr">
        <is>
          <t>調光ブラインドイン</t>
        </is>
      </c>
      <c r="G23" t="inlineStr">
        <is>
          <t>専用中空層</t>
        </is>
      </c>
      <c r="H23" t="inlineStr">
        <is>
          <t>専用</t>
        </is>
      </c>
      <c r="I23" t="inlineStr">
        <is>
          <t>なし</t>
        </is>
      </c>
      <c r="J23" t="inlineStr">
        <is>
          <t>なし</t>
        </is>
      </c>
      <c r="K23" t="inlineStr">
        <is>
          <t>調光ブラインドイン複層ガラス</t>
        </is>
      </c>
      <c r="L23" t="b">
        <v>1</v>
      </c>
      <c r="M23" t="inlineStr">
        <is>
          <t>ラインアップ確認済み／組合せ確認必須</t>
        </is>
      </c>
      <c r="N23" t="inlineStr">
        <is>
          <t>ラインアップ・既知構成は確認済み。窓種・サイズ最終可否は未閉包のためESTIMATE_CONFIRM_REQUIREDとして保持。特定確認経路は未確定。</t>
        </is>
      </c>
    </row>
    <row r="24">
      <c r="A24" s="42" t="inlineStr">
        <is>
          <t>GL-SL-OPT-GRID</t>
        </is>
      </c>
      <c r="B24" t="inlineStr">
        <is>
          <t>SER-LIX-SAMOSL</t>
        </is>
      </c>
      <c r="C24" t="inlineStr">
        <is>
          <t>限定窓種</t>
        </is>
      </c>
      <c r="D24" t="inlineStr">
        <is>
          <t>追加機能</t>
        </is>
      </c>
      <c r="E24" t="inlineStr">
        <is>
          <t>ベース連動</t>
        </is>
      </c>
      <c r="F24" t="inlineStr">
        <is>
          <t>意匠格子入り</t>
        </is>
      </c>
      <c r="G24" t="inlineStr">
        <is>
          <t>ベース連動</t>
        </is>
      </c>
      <c r="H24" t="inlineStr">
        <is>
          <t>ベース連動</t>
        </is>
      </c>
      <c r="I24" t="inlineStr">
        <is>
          <t>なし</t>
        </is>
      </c>
      <c r="J24" t="inlineStr">
        <is>
          <t>なし</t>
        </is>
      </c>
      <c r="K24" t="inlineStr">
        <is>
          <t>意匠格子入り複層ガラス</t>
        </is>
      </c>
      <c r="L24" t="b">
        <v>1</v>
      </c>
      <c r="M24" t="inlineStr">
        <is>
          <t>ラインアップ確認済み／組合せ確認必須</t>
        </is>
      </c>
      <c r="N24" t="inlineStr">
        <is>
          <t>ラインアップ・既知構成は確認済み。窓種・サイズ最終可否は未閉包のためESTIMATE_CONFIRM_REQUIREDとして保持。特定確認経路は未確定。</t>
        </is>
      </c>
    </row>
    <row r="25">
      <c r="A25" s="42" t="n"/>
    </row>
    <row r="26">
      <c r="A26" s="42" t="n"/>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sheetData>
  <mergeCells count="2">
    <mergeCell ref="A2:N2"/>
    <mergeCell ref="A1:N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M1700"/>
  <sheetViews>
    <sheetView workbookViewId="0">
      <selection activeCell="A1" sqref="A1"/>
    </sheetView>
  </sheetViews>
  <sheetFormatPr baseColWidth="8" defaultRowHeight="15"/>
  <cols>
    <col width="22" customWidth="1" style="51" min="1" max="1"/>
    <col width="18" customWidth="1" style="51" min="2" max="2"/>
    <col width="26" customWidth="1" style="51" min="3" max="3"/>
    <col width="24" customWidth="1" style="51" min="4" max="4"/>
    <col width="10" customWidth="1" style="51" min="5" max="5"/>
    <col width="22" customWidth="1" style="51" min="6" max="6"/>
    <col width="40" customWidth="1" style="51" min="7" max="7"/>
    <col width="20" customWidth="1" style="51" min="8" max="8"/>
    <col width="8" customWidth="1" style="51" min="9" max="9"/>
    <col width="26" customWidth="1" style="51" min="10" max="10"/>
    <col width="34" customWidth="1" style="51" min="11" max="11"/>
    <col width="38" customWidth="1" style="51" min="12" max="12"/>
    <col width="10" customWidth="1" style="51" min="13" max="13"/>
  </cols>
  <sheetData>
    <row r="1" ht="28" customHeight="1" s="51">
      <c r="A1" s="23" t="inlineStr">
        <is>
          <t>網戸形式マスター｜サーモスL v0.5</t>
        </is>
      </c>
      <c r="B1" s="41" t="n"/>
      <c r="C1" s="41" t="n"/>
      <c r="D1" s="41" t="n"/>
      <c r="E1" s="41" t="n"/>
      <c r="F1" s="41" t="n"/>
      <c r="G1" s="41" t="n"/>
      <c r="H1" s="41" t="n"/>
      <c r="I1" s="41" t="n"/>
      <c r="J1" s="41" t="n"/>
      <c r="K1" s="41" t="n"/>
      <c r="L1" s="41" t="n"/>
      <c r="M1" s="41" t="n"/>
    </row>
    <row r="2" ht="28" customHeight="1" s="51">
      <c r="A2" s="225" t="inlineStr">
        <is>
          <t>窓種・固有仕様ごとに網戸形式を明示。ネット種類は09B、サイズ/中桟制限は09Cへ分離。『網戸なし』は全窓種共通選択肢。</t>
        </is>
      </c>
      <c r="B2" s="41" t="n"/>
      <c r="C2" s="41" t="n"/>
      <c r="D2" s="41" t="n"/>
      <c r="E2" s="41" t="n"/>
      <c r="F2" s="41" t="n"/>
      <c r="G2" s="41" t="n"/>
      <c r="H2" s="41" t="n"/>
      <c r="I2" s="41" t="n"/>
      <c r="J2" s="41" t="n"/>
      <c r="K2" s="41" t="n"/>
      <c r="L2" s="41" t="n"/>
      <c r="M2" s="41" t="n"/>
    </row>
    <row r="3" ht="28" customHeight="1" s="51">
      <c r="A3" s="35" t="inlineStr">
        <is>
          <t>screen_id</t>
        </is>
      </c>
      <c r="B3" s="95" t="inlineStr">
        <is>
          <t>シリーズID</t>
        </is>
      </c>
      <c r="C3" s="95" t="inlineStr">
        <is>
          <t>窓種ID</t>
        </is>
      </c>
      <c r="D3" s="95" t="inlineStr">
        <is>
          <t>固有仕様ID</t>
        </is>
      </c>
      <c r="E3" s="95" t="inlineStr">
        <is>
          <t>網戸有無</t>
        </is>
      </c>
      <c r="F3" s="95" t="inlineStr">
        <is>
          <t>網戸形式</t>
        </is>
      </c>
      <c r="G3" s="95" t="inlineStr">
        <is>
          <t>メーカー正式名称</t>
        </is>
      </c>
      <c r="H3" s="95" t="inlineStr">
        <is>
          <t>基本ネット</t>
        </is>
      </c>
      <c r="I3" s="95" t="inlineStr">
        <is>
          <t>有効</t>
        </is>
      </c>
      <c r="J3" s="95" t="inlineStr">
        <is>
          <t>登録状態</t>
        </is>
      </c>
      <c r="K3" s="95" t="inlineStr">
        <is>
          <t>出典</t>
        </is>
      </c>
      <c r="L3" s="95" t="inlineStr">
        <is>
          <t>備考</t>
        </is>
      </c>
      <c r="M3" s="95" t="inlineStr">
        <is>
          <t>表示順</t>
        </is>
      </c>
    </row>
    <row r="4">
      <c r="A4" s="43" t="inlineStr">
        <is>
          <t>SC-SL-NONE</t>
        </is>
      </c>
      <c r="B4" s="43" t="inlineStr">
        <is>
          <t>SER-LIX-SAMOSL</t>
        </is>
      </c>
      <c r="C4" s="43" t="inlineStr">
        <is>
          <t>*</t>
        </is>
      </c>
      <c r="D4" s="43" t="inlineStr">
        <is>
          <t>*</t>
        </is>
      </c>
      <c r="E4" s="43" t="inlineStr">
        <is>
          <t>なし</t>
        </is>
      </c>
      <c r="F4" s="43" t="inlineStr">
        <is>
          <t>対象外</t>
        </is>
      </c>
      <c r="G4" s="43" t="inlineStr">
        <is>
          <t>なし</t>
        </is>
      </c>
      <c r="H4" s="43" t="inlineStr">
        <is>
          <t>対象外</t>
        </is>
      </c>
      <c r="I4" s="43" t="b">
        <v>1</v>
      </c>
      <c r="J4" s="43" t="inlineStr">
        <is>
          <t>構造確定</t>
        </is>
      </c>
      <c r="K4" s="43" t="inlineStr">
        <is>
          <t>共通仕様</t>
        </is>
      </c>
      <c r="L4" s="43" t="inlineStr">
        <is>
          <t>網戸なし選択用</t>
        </is>
      </c>
      <c r="M4" s="43" t="n">
        <v>0</v>
      </c>
    </row>
    <row r="5">
      <c r="A5" s="43" t="inlineStr">
        <is>
          <t>SC-SL-HIKI-BASE</t>
        </is>
      </c>
      <c r="B5" s="43" t="inlineStr">
        <is>
          <t>SER-LIX-SAMOSL</t>
        </is>
      </c>
      <c r="C5" s="43" t="inlineStr">
        <is>
          <t>WT-SL-HIKICHIGAI</t>
        </is>
      </c>
      <c r="D5" s="43" t="inlineStr">
        <is>
          <t>*</t>
        </is>
      </c>
      <c r="E5" s="43" t="inlineStr">
        <is>
          <t>あり</t>
        </is>
      </c>
      <c r="F5" s="43" t="inlineStr">
        <is>
          <t>引違い網戸</t>
        </is>
      </c>
      <c r="G5" s="43" t="inlineStr">
        <is>
          <t>マド/テラスサイズ引違い網戸</t>
        </is>
      </c>
      <c r="H5" s="43" t="inlineStr">
        <is>
          <t>09B連動</t>
        </is>
      </c>
      <c r="I5" s="43" t="b">
        <v>1</v>
      </c>
      <c r="J5" s="43" t="inlineStr">
        <is>
          <t>形式確認済み</t>
        </is>
      </c>
      <c r="K5" s="43" t="inlineStr">
        <is>
          <t>202604完成品価格表 網戸/SM3100 P278</t>
        </is>
      </c>
      <c r="L5" s="43" t="inlineStr">
        <is>
          <t>中桟・ネットは09B/09C</t>
        </is>
      </c>
      <c r="M5" s="43" t="n">
        <v>10</v>
      </c>
    </row>
    <row r="6">
      <c r="A6" s="43" t="inlineStr">
        <is>
          <t>SC-SL-SHUT-HIKI</t>
        </is>
      </c>
      <c r="B6" s="43" t="inlineStr">
        <is>
          <t>SER-LIX-SAMOSL</t>
        </is>
      </c>
      <c r="C6" s="43" t="inlineStr">
        <is>
          <t>WT-SL-SHUTTER-HIKI</t>
        </is>
      </c>
      <c r="D6" s="43" t="inlineStr">
        <is>
          <t>*</t>
        </is>
      </c>
      <c r="E6" s="43" t="inlineStr">
        <is>
          <t>あり</t>
        </is>
      </c>
      <c r="F6" s="43" t="inlineStr">
        <is>
          <t>引違い網戸</t>
        </is>
      </c>
      <c r="G6" s="43" t="inlineStr">
        <is>
          <t>マド/テラスサイズ引違い網戸</t>
        </is>
      </c>
      <c r="H6" s="43" t="inlineStr">
        <is>
          <t>09B連動</t>
        </is>
      </c>
      <c r="I6" s="43" t="b">
        <v>1</v>
      </c>
      <c r="J6" s="43" t="inlineStr">
        <is>
          <t>形式確認済み</t>
        </is>
      </c>
      <c r="K6" s="43" t="inlineStr">
        <is>
          <t>網戸 共通有償品</t>
        </is>
      </c>
      <c r="L6" s="43" t="inlineStr">
        <is>
          <t>シャッター種別・サイズと06/09C連動</t>
        </is>
      </c>
      <c r="M6" s="43" t="n">
        <v>10</v>
      </c>
    </row>
    <row r="7">
      <c r="A7" s="43" t="inlineStr">
        <is>
          <t>SC-SL-AMADO-HIKI</t>
        </is>
      </c>
      <c r="B7" s="43" t="inlineStr">
        <is>
          <t>SER-LIX-SAMOSL</t>
        </is>
      </c>
      <c r="C7" s="43" t="inlineStr">
        <is>
          <t>WT-SL-AMADO-HIKI</t>
        </is>
      </c>
      <c r="D7" s="43" t="inlineStr">
        <is>
          <t>*</t>
        </is>
      </c>
      <c r="E7" s="43" t="inlineStr">
        <is>
          <t>あり</t>
        </is>
      </c>
      <c r="F7" s="43" t="inlineStr">
        <is>
          <t>引違い網戸</t>
        </is>
      </c>
      <c r="G7" s="43" t="inlineStr">
        <is>
          <t>マド/テラスサイズ引違い網戸</t>
        </is>
      </c>
      <c r="H7" s="43" t="inlineStr">
        <is>
          <t>09B連動</t>
        </is>
      </c>
      <c r="I7" s="43" t="b">
        <v>1</v>
      </c>
      <c r="J7" s="43" t="inlineStr">
        <is>
          <t>形式確認済み</t>
        </is>
      </c>
      <c r="K7" s="43" t="inlineStr">
        <is>
          <t>網戸 共通有償品</t>
        </is>
      </c>
      <c r="L7" s="43" t="inlineStr">
        <is>
          <t>雨戸種別・サイズと06/09C連動</t>
        </is>
      </c>
      <c r="M7" s="43" t="n">
        <v>10</v>
      </c>
    </row>
    <row r="8">
      <c r="A8" s="43" t="inlineStr">
        <is>
          <t>SC-SL-MENKOSHI-HIKI</t>
        </is>
      </c>
      <c r="B8" s="43" t="inlineStr">
        <is>
          <t>SER-LIX-SAMOSL</t>
        </is>
      </c>
      <c r="C8" s="43" t="inlineStr">
        <is>
          <t>WT-SL-MENKOSHI-HIKI</t>
        </is>
      </c>
      <c r="D8" s="43" t="inlineStr">
        <is>
          <t>*</t>
        </is>
      </c>
      <c r="E8" s="43" t="inlineStr">
        <is>
          <t>あり</t>
        </is>
      </c>
      <c r="F8" s="43" t="inlineStr">
        <is>
          <t>引違い網戸</t>
        </is>
      </c>
      <c r="G8" s="43" t="inlineStr">
        <is>
          <t>マド/テラスサイズ引違い網戸</t>
        </is>
      </c>
      <c r="H8" s="43" t="inlineStr">
        <is>
          <t>09B連動</t>
        </is>
      </c>
      <c r="I8" s="43" t="b">
        <v>1</v>
      </c>
      <c r="J8" s="43" t="inlineStr">
        <is>
          <t>形式確認済み</t>
        </is>
      </c>
      <c r="K8" s="43" t="inlineStr">
        <is>
          <t>網戸 共通有償品</t>
        </is>
      </c>
      <c r="L8" s="43" t="inlineStr">
        <is>
          <t>面格子種別・サイズと06/09C連動</t>
        </is>
      </c>
      <c r="M8" s="43" t="n">
        <v>10</v>
      </c>
    </row>
    <row r="9">
      <c r="A9" s="43" t="inlineStr">
        <is>
          <t>SC-SL-KAZARI-HIKI</t>
        </is>
      </c>
      <c r="B9" s="43" t="inlineStr">
        <is>
          <t>SER-LIX-SAMOSL</t>
        </is>
      </c>
      <c r="C9" s="43" t="inlineStr">
        <is>
          <t>WT-SL-KAZARI-HIKI</t>
        </is>
      </c>
      <c r="D9" s="43" t="inlineStr">
        <is>
          <t>*</t>
        </is>
      </c>
      <c r="E9" s="43" t="inlineStr">
        <is>
          <t>あり</t>
        </is>
      </c>
      <c r="F9" s="43" t="inlineStr">
        <is>
          <t>引違い網戸</t>
        </is>
      </c>
      <c r="G9" s="43" t="inlineStr">
        <is>
          <t>装飾引違い窓用網戸</t>
        </is>
      </c>
      <c r="H9" s="43" t="inlineStr">
        <is>
          <t>09B連動</t>
        </is>
      </c>
      <c r="I9" s="43" t="b">
        <v>1</v>
      </c>
      <c r="J9" s="43" t="inlineStr">
        <is>
          <t>形式確認済み</t>
        </is>
      </c>
      <c r="K9" s="43" t="inlineStr">
        <is>
          <t>202604完成品価格表 網戸 P278-279</t>
        </is>
      </c>
      <c r="L9" s="43" t="inlineStr">
        <is>
          <t>H/HK/HKKを固有仕様と連動</t>
        </is>
      </c>
      <c r="M9" s="43" t="n">
        <v>10</v>
      </c>
    </row>
    <row r="10">
      <c r="A10" s="43" t="inlineStr">
        <is>
          <t>SC-SL-TATE-OP-FIX</t>
        </is>
      </c>
      <c r="B10" s="43" t="inlineStr">
        <is>
          <t>SER-LIX-SAMOSL</t>
        </is>
      </c>
      <c r="C10" s="43" t="inlineStr">
        <is>
          <t>WT-SL-TATE-SUBERI</t>
        </is>
      </c>
      <c r="D10" s="43" t="inlineStr">
        <is>
          <t>SP-SL-TATE-OP</t>
        </is>
      </c>
      <c r="E10" s="43" t="inlineStr">
        <is>
          <t>あり</t>
        </is>
      </c>
      <c r="F10" s="43" t="inlineStr">
        <is>
          <t>固定式網戸</t>
        </is>
      </c>
      <c r="G10" s="43" t="inlineStr">
        <is>
          <t>固定式網戸（フレームレス/タグ付フレームレス/フレーム付）</t>
        </is>
      </c>
      <c r="H10" s="43" t="inlineStr">
        <is>
          <t>きれいネット中心</t>
        </is>
      </c>
      <c r="I10" s="43" t="b">
        <v>0</v>
      </c>
      <c r="J10" s="43" t="inlineStr">
        <is>
          <t>v0.5履歴：詳細仕様へ置換</t>
        </is>
      </c>
      <c r="K10" s="43" t="inlineStr">
        <is>
          <t>202604完成品価格表 網戸 P268-272</t>
        </is>
      </c>
      <c r="L10" s="43" t="inlineStr">
        <is>
          <t>切断寸法は09C</t>
        </is>
      </c>
      <c r="M10" s="43" t="n">
        <v>10</v>
      </c>
    </row>
    <row r="11">
      <c r="A11" s="43" t="inlineStr">
        <is>
          <t>SC-SL-TATE-CAM-HROLL</t>
        </is>
      </c>
      <c r="B11" s="43" t="inlineStr">
        <is>
          <t>SER-LIX-SAMOSL</t>
        </is>
      </c>
      <c r="C11" s="43" t="inlineStr">
        <is>
          <t>WT-SL-TATE-SUBERI</t>
        </is>
      </c>
      <c r="D11" s="43" t="inlineStr">
        <is>
          <t>SP-SL-TATE-CAM</t>
        </is>
      </c>
      <c r="E11" s="43" t="inlineStr">
        <is>
          <t>あり</t>
        </is>
      </c>
      <c r="F11" s="43" t="inlineStr">
        <is>
          <t>横引きロール網戸</t>
        </is>
      </c>
      <c r="G11" s="43" t="inlineStr">
        <is>
          <t>横引きロール網戸</t>
        </is>
      </c>
      <c r="H11" s="43" t="inlineStr">
        <is>
          <t>きれいネット</t>
        </is>
      </c>
      <c r="I11" s="43" t="b">
        <v>0</v>
      </c>
      <c r="J11" s="43" t="inlineStr">
        <is>
          <t>v0.5履歴：詳細仕様へ置換</t>
        </is>
      </c>
      <c r="K11" s="43" t="inlineStr">
        <is>
          <t>202604完成品価格表 網戸 P275</t>
        </is>
      </c>
      <c r="L11" s="43" t="str"/>
      <c r="M11" s="43" t="n">
        <v>20</v>
      </c>
    </row>
    <row r="12">
      <c r="A12" s="43" t="inlineStr">
        <is>
          <t>SC-SL-TATE-CAM-VROLL</t>
        </is>
      </c>
      <c r="B12" s="43" t="inlineStr">
        <is>
          <t>SER-LIX-SAMOSL</t>
        </is>
      </c>
      <c r="C12" s="43" t="inlineStr">
        <is>
          <t>WT-SL-TATE-SUBERI</t>
        </is>
      </c>
      <c r="D12" s="43" t="inlineStr">
        <is>
          <t>SP-SL-TATE-CAM</t>
        </is>
      </c>
      <c r="E12" s="43" t="inlineStr">
        <is>
          <t>あり</t>
        </is>
      </c>
      <c r="F12" s="43" t="inlineStr">
        <is>
          <t>上げ下げロール網戸</t>
        </is>
      </c>
      <c r="G12" s="43" t="inlineStr">
        <is>
          <t>上げ下げロール網戸</t>
        </is>
      </c>
      <c r="H12" s="43" t="inlineStr">
        <is>
          <t>きれいネット</t>
        </is>
      </c>
      <c r="I12" s="43" t="b">
        <v>0</v>
      </c>
      <c r="J12" s="43" t="inlineStr">
        <is>
          <t>v0.5履歴：詳細仕様へ置換</t>
        </is>
      </c>
      <c r="K12" s="43" t="inlineStr">
        <is>
          <t>202604完成品価格表 網戸 P276</t>
        </is>
      </c>
      <c r="L12" s="43" t="inlineStr">
        <is>
          <t>規格サイズ限定</t>
        </is>
      </c>
      <c r="M12" s="43" t="n">
        <v>30</v>
      </c>
    </row>
    <row r="13">
      <c r="A13" s="47" t="inlineStr">
        <is>
          <t>SC-SL-TATE-CAM-OPEN</t>
        </is>
      </c>
      <c r="B13" s="47" t="inlineStr">
        <is>
          <t>SER-LIX-SAMOSL</t>
        </is>
      </c>
      <c r="C13" s="47" t="inlineStr">
        <is>
          <t>WT-SL-TATE-SUBERI</t>
        </is>
      </c>
      <c r="D13" s="47" t="inlineStr">
        <is>
          <t>SP-SL-TATE-CAM</t>
        </is>
      </c>
      <c r="E13" s="47" t="inlineStr">
        <is>
          <t>あり</t>
        </is>
      </c>
      <c r="F13" s="47" t="inlineStr">
        <is>
          <t>開き網戸</t>
        </is>
      </c>
      <c r="G13" s="47" t="inlineStr">
        <is>
          <t>開き網戸</t>
        </is>
      </c>
      <c r="H13" s="47" t="inlineStr">
        <is>
          <t>きれいネット中心</t>
        </is>
      </c>
      <c r="I13" s="47" t="b">
        <v>0</v>
      </c>
      <c r="J13" s="47" t="inlineStr">
        <is>
          <t>v0.5履歴：詳細仕様へ置換</t>
        </is>
      </c>
      <c r="K13" s="47" t="inlineStr">
        <is>
          <t>202604完成品価格表 網戸 P276/SM3100 P278</t>
        </is>
      </c>
      <c r="L13" s="47" t="inlineStr">
        <is>
          <t>H13以上は中桟付</t>
        </is>
      </c>
      <c r="M13" s="47" t="n">
        <v>40</v>
      </c>
    </row>
    <row r="14">
      <c r="A14" s="47" t="inlineStr">
        <is>
          <t>SC-SL-YOKO-OP-FIX</t>
        </is>
      </c>
      <c r="B14" s="47" t="inlineStr">
        <is>
          <t>SER-LIX-SAMOSL</t>
        </is>
      </c>
      <c r="C14" s="47" t="inlineStr">
        <is>
          <t>WT-SL-YOKO-SUBERI</t>
        </is>
      </c>
      <c r="D14" s="47" t="inlineStr">
        <is>
          <t>SP-SL-YOKO-OP</t>
        </is>
      </c>
      <c r="E14" s="47" t="inlineStr">
        <is>
          <t>あり</t>
        </is>
      </c>
      <c r="F14" s="47" t="inlineStr">
        <is>
          <t>固定式網戸</t>
        </is>
      </c>
      <c r="G14" s="47" t="inlineStr">
        <is>
          <t>固定式網戸（フレームレス/タグ付フレームレス/フレーム付）</t>
        </is>
      </c>
      <c r="H14" s="47" t="inlineStr">
        <is>
          <t>きれいネット中心</t>
        </is>
      </c>
      <c r="I14" s="47" t="b">
        <v>1</v>
      </c>
      <c r="J14" s="47" t="inlineStr">
        <is>
          <t>形式確認済み</t>
        </is>
      </c>
      <c r="K14" s="47" t="inlineStr">
        <is>
          <t>202604完成品価格表 網戸 P268-272</t>
        </is>
      </c>
      <c r="L14" s="47" t="inlineStr">
        <is>
          <t>切断寸法は09C</t>
        </is>
      </c>
      <c r="M14" s="47" t="n">
        <v>10</v>
      </c>
    </row>
    <row r="15">
      <c r="A15" s="47" t="inlineStr">
        <is>
          <t>SC-SL-YOKO-CAM-HROLL</t>
        </is>
      </c>
      <c r="B15" s="47" t="inlineStr">
        <is>
          <t>SER-LIX-SAMOSL</t>
        </is>
      </c>
      <c r="C15" s="47" t="inlineStr">
        <is>
          <t>WT-SL-YOKO-SUBERI</t>
        </is>
      </c>
      <c r="D15" s="47" t="inlineStr">
        <is>
          <t>SP-SL-YOKO-CAM</t>
        </is>
      </c>
      <c r="E15" s="47" t="inlineStr">
        <is>
          <t>あり</t>
        </is>
      </c>
      <c r="F15" s="47" t="inlineStr">
        <is>
          <t>横引きロール網戸</t>
        </is>
      </c>
      <c r="G15" s="47" t="inlineStr">
        <is>
          <t>横引きロール網戸</t>
        </is>
      </c>
      <c r="H15" s="47" t="inlineStr">
        <is>
          <t>きれいネット</t>
        </is>
      </c>
      <c r="I15" s="47" t="b">
        <v>1</v>
      </c>
      <c r="J15" s="47" t="inlineStr">
        <is>
          <t>形式確認済み</t>
        </is>
      </c>
      <c r="K15" s="47" t="inlineStr">
        <is>
          <t>202604完成品価格表 網戸 P275</t>
        </is>
      </c>
      <c r="L15" s="47" t="str"/>
      <c r="M15" s="47" t="n">
        <v>20</v>
      </c>
    </row>
    <row r="16">
      <c r="A16" s="47" t="inlineStr">
        <is>
          <t>SC-SL-YOKO-CAM-OPEN</t>
        </is>
      </c>
      <c r="B16" s="47" t="inlineStr">
        <is>
          <t>SER-LIX-SAMOSL</t>
        </is>
      </c>
      <c r="C16" s="47" t="inlineStr">
        <is>
          <t>WT-SL-YOKO-SUBERI</t>
        </is>
      </c>
      <c r="D16" s="47" t="inlineStr">
        <is>
          <t>SP-SL-YOKO-CAM</t>
        </is>
      </c>
      <c r="E16" s="47" t="inlineStr">
        <is>
          <t>あり</t>
        </is>
      </c>
      <c r="F16" s="47" t="inlineStr">
        <is>
          <t>開き網戸</t>
        </is>
      </c>
      <c r="G16" s="47" t="inlineStr">
        <is>
          <t>開き網戸</t>
        </is>
      </c>
      <c r="H16" s="47" t="inlineStr">
        <is>
          <t>きれいネット中心</t>
        </is>
      </c>
      <c r="I16" s="47" t="b">
        <v>1</v>
      </c>
      <c r="J16" s="47" t="inlineStr">
        <is>
          <t>サーモスL専用形式確認済み</t>
        </is>
      </c>
      <c r="K16" s="47" t="inlineStr">
        <is>
          <t>202604完成品価格表 網戸 P276/SM3100 P278</t>
        </is>
      </c>
      <c r="L16" s="47" t="inlineStr">
        <is>
          <t>H13以上は中桟付</t>
        </is>
      </c>
      <c r="M16" s="47" t="n">
        <v>30</v>
      </c>
    </row>
    <row r="17">
      <c r="A17" s="47" t="inlineStr">
        <is>
          <t>SC-SL-HIGH-FIX</t>
        </is>
      </c>
      <c r="B17" s="47" t="inlineStr">
        <is>
          <t>SER-LIX-SAMOSL</t>
        </is>
      </c>
      <c r="C17" s="47" t="inlineStr">
        <is>
          <t>WT-SL-KOSHO-YOKO</t>
        </is>
      </c>
      <c r="D17" s="47" t="inlineStr">
        <is>
          <t>*</t>
        </is>
      </c>
      <c r="E17" s="47" t="inlineStr">
        <is>
          <t>あり</t>
        </is>
      </c>
      <c r="F17" s="47" t="inlineStr">
        <is>
          <t>固定式網戸</t>
        </is>
      </c>
      <c r="G17" s="47" t="inlineStr">
        <is>
          <t>固定式網戸（フレームレス/タグ付フレームレス/フレーム付）</t>
        </is>
      </c>
      <c r="H17" s="47" t="inlineStr">
        <is>
          <t>きれいネット中心</t>
        </is>
      </c>
      <c r="I17" s="47" t="b">
        <v>1</v>
      </c>
      <c r="J17" s="47" t="inlineStr">
        <is>
          <t>形式確認済み</t>
        </is>
      </c>
      <c r="K17" s="47" t="inlineStr">
        <is>
          <t>202604完成品価格表 網戸 P268-272</t>
        </is>
      </c>
      <c r="L17" s="47" t="inlineStr">
        <is>
          <t>切断寸法は09C</t>
        </is>
      </c>
      <c r="M17" s="47" t="n">
        <v>10</v>
      </c>
    </row>
    <row r="18">
      <c r="A18" s="43" t="inlineStr">
        <is>
          <t>SC-SL-AGE-UPDOWN</t>
        </is>
      </c>
      <c r="B18" s="43" t="inlineStr">
        <is>
          <t>SER-LIX-SAMOSL</t>
        </is>
      </c>
      <c r="C18" s="43" t="inlineStr">
        <is>
          <t>WT-SL-AGE-SAGE-FS</t>
        </is>
      </c>
      <c r="D18" s="43" t="inlineStr">
        <is>
          <t>*</t>
        </is>
      </c>
      <c r="E18" s="43" t="inlineStr">
        <is>
          <t>あり</t>
        </is>
      </c>
      <c r="F18" s="43" t="inlineStr">
        <is>
          <t>上げ下げ式網戸</t>
        </is>
      </c>
      <c r="G18" s="43" t="inlineStr">
        <is>
          <t>上げ下げ式網戸</t>
        </is>
      </c>
      <c r="H18" s="43" t="inlineStr">
        <is>
          <t>きれいネット</t>
        </is>
      </c>
      <c r="I18" s="43" t="b">
        <v>1</v>
      </c>
      <c r="J18" s="43" t="inlineStr">
        <is>
          <t>形式確認済み</t>
        </is>
      </c>
      <c r="K18" s="43" t="inlineStr">
        <is>
          <t>202604完成品価格表 網戸 P277</t>
        </is>
      </c>
      <c r="L18" s="43" t="inlineStr">
        <is>
          <t>09Cホワイトリスト</t>
        </is>
      </c>
      <c r="M18" s="43" t="n">
        <v>10</v>
      </c>
    </row>
    <row r="19">
      <c r="A19" s="43" t="inlineStr">
        <is>
          <t>SC-SL-MAGE-UPDOWN</t>
        </is>
      </c>
      <c r="B19" s="43" t="inlineStr">
        <is>
          <t>SER-LIX-SAMOSL</t>
        </is>
      </c>
      <c r="C19" s="43" t="inlineStr">
        <is>
          <t>WT-SL-MENKOSHI-AGE-FS</t>
        </is>
      </c>
      <c r="D19" s="43" t="inlineStr">
        <is>
          <t>*</t>
        </is>
      </c>
      <c r="E19" s="43" t="inlineStr">
        <is>
          <t>あり</t>
        </is>
      </c>
      <c r="F19" s="43" t="inlineStr">
        <is>
          <t>上げ下げ式網戸</t>
        </is>
      </c>
      <c r="G19" s="43" t="inlineStr">
        <is>
          <t>上げ下げ式網戸</t>
        </is>
      </c>
      <c r="H19" s="43" t="inlineStr">
        <is>
          <t>きれいネット</t>
        </is>
      </c>
      <c r="I19" s="43" t="b">
        <v>1</v>
      </c>
      <c r="J19" s="43" t="inlineStr">
        <is>
          <t>形式確認済み</t>
        </is>
      </c>
      <c r="K19" s="43" t="inlineStr">
        <is>
          <t>202604完成品価格表 網戸 P277</t>
        </is>
      </c>
      <c r="L19" s="43" t="inlineStr">
        <is>
          <t>09Cホワイトリスト</t>
        </is>
      </c>
      <c r="M19" s="43" t="n">
        <v>10</v>
      </c>
    </row>
    <row r="20">
      <c r="A20" s="43" t="inlineStr">
        <is>
          <t>SC-SL-UCHI-FIX</t>
        </is>
      </c>
      <c r="B20" s="43" t="inlineStr">
        <is>
          <t>SER-LIX-SAMOSL</t>
        </is>
      </c>
      <c r="C20" s="43" t="inlineStr">
        <is>
          <t>WT-SL-UCHIDAOSHI</t>
        </is>
      </c>
      <c r="D20" s="43" t="inlineStr">
        <is>
          <t>*</t>
        </is>
      </c>
      <c r="E20" s="43" t="inlineStr">
        <is>
          <t>あり</t>
        </is>
      </c>
      <c r="F20" s="43" t="inlineStr">
        <is>
          <t>固定式網戸</t>
        </is>
      </c>
      <c r="G20" s="43" t="inlineStr">
        <is>
          <t>固定式網戸（内倒し窓用）</t>
        </is>
      </c>
      <c r="H20" s="43" t="inlineStr">
        <is>
          <t>きれいネット</t>
        </is>
      </c>
      <c r="I20" s="43" t="b">
        <v>1</v>
      </c>
      <c r="J20" s="43" t="inlineStr">
        <is>
          <t>形式確認済み</t>
        </is>
      </c>
      <c r="K20" s="43" t="inlineStr">
        <is>
          <t>202604完成品価格表 網戸 P274</t>
        </is>
      </c>
      <c r="L20" s="43" t="str"/>
      <c r="M20" s="43" t="n">
        <v>10</v>
      </c>
    </row>
    <row r="21">
      <c r="A21" s="43" t="inlineStr">
        <is>
          <t>SC-SL-TD-J</t>
        </is>
      </c>
      <c r="B21" s="43" t="inlineStr">
        <is>
          <t>SER-LIX-SAMOSL</t>
        </is>
      </c>
      <c r="C21" s="43" t="inlineStr">
        <is>
          <t>WT-SL-TERRACE-DOOR</t>
        </is>
      </c>
      <c r="D21" s="43" t="inlineStr">
        <is>
          <t>*</t>
        </is>
      </c>
      <c r="E21" s="43" t="inlineStr">
        <is>
          <t>あり</t>
        </is>
      </c>
      <c r="F21" s="43" t="inlineStr">
        <is>
          <t>しまえるんですJ</t>
        </is>
      </c>
      <c r="G21" s="43" t="inlineStr">
        <is>
          <t>しまえるんですJ 本体（テラスドア用）</t>
        </is>
      </c>
      <c r="H21" s="43" t="inlineStr">
        <is>
          <t>専用ネット</t>
        </is>
      </c>
      <c r="I21" s="43" t="b">
        <v>1</v>
      </c>
      <c r="J21" s="43" t="inlineStr">
        <is>
          <t>形式確認済み</t>
        </is>
      </c>
      <c r="K21" s="43" t="inlineStr">
        <is>
          <t>202604完成品価格表 P287</t>
        </is>
      </c>
      <c r="L21" s="43" t="inlineStr">
        <is>
          <t>09Cサイズ制御</t>
        </is>
      </c>
      <c r="M21" s="43" t="n">
        <v>10</v>
      </c>
    </row>
    <row r="22">
      <c r="A22" s="43" t="inlineStr">
        <is>
          <t>SC-SL-KD-J</t>
        </is>
      </c>
      <c r="B22" s="43" t="inlineStr">
        <is>
          <t>SER-LIX-SAMOSL</t>
        </is>
      </c>
      <c r="C22" s="43" t="inlineStr">
        <is>
          <t>WT-SL-KATTEGUCHI</t>
        </is>
      </c>
      <c r="D22" s="43" t="inlineStr">
        <is>
          <t>*</t>
        </is>
      </c>
      <c r="E22" s="43" t="inlineStr">
        <is>
          <t>あり</t>
        </is>
      </c>
      <c r="F22" s="43" t="inlineStr">
        <is>
          <t>しまえるんですJ</t>
        </is>
      </c>
      <c r="G22" s="43" t="inlineStr">
        <is>
          <t>しまえるんですJ 本体（勝手口ドア用）</t>
        </is>
      </c>
      <c r="H22" s="43" t="inlineStr">
        <is>
          <t>専用ネット</t>
        </is>
      </c>
      <c r="I22" s="43" t="b">
        <v>1</v>
      </c>
      <c r="J22" s="43" t="inlineStr">
        <is>
          <t>形式確認済み</t>
        </is>
      </c>
      <c r="K22" s="43" t="inlineStr">
        <is>
          <t>202604完成品価格表 P287</t>
        </is>
      </c>
      <c r="L22" s="43" t="inlineStr">
        <is>
          <t>09Cサイズ制御</t>
        </is>
      </c>
      <c r="M22" s="43" t="n">
        <v>10</v>
      </c>
    </row>
    <row r="23">
      <c r="A23" s="43" t="inlineStr">
        <is>
          <t>SC-SL-KSF-GRILLE</t>
        </is>
      </c>
      <c r="B23" s="43" t="inlineStr">
        <is>
          <t>SER-LIX-SAMOSL</t>
        </is>
      </c>
      <c r="C23" s="43" t="inlineStr">
        <is>
          <t>WT-SL-KATTEGUCHI-VENT-FS</t>
        </is>
      </c>
      <c r="D23" s="43" t="inlineStr">
        <is>
          <t>*</t>
        </is>
      </c>
      <c r="E23" s="43" t="inlineStr">
        <is>
          <t>あり</t>
        </is>
      </c>
      <c r="F23" s="43" t="inlineStr">
        <is>
          <t>網付格子</t>
        </is>
      </c>
      <c r="G23" s="43" t="inlineStr">
        <is>
          <t>網付格子（採風勝手口ドアFS用）</t>
        </is>
      </c>
      <c r="H23" s="43" t="inlineStr">
        <is>
          <t>きれいネット</t>
        </is>
      </c>
      <c r="I23" s="43" t="b">
        <v>1</v>
      </c>
      <c r="J23" s="43" t="inlineStr">
        <is>
          <t>形式確認済み</t>
        </is>
      </c>
      <c r="K23" s="43" t="inlineStr">
        <is>
          <t>202604完成品価格表 P288</t>
        </is>
      </c>
      <c r="L23" s="43" t="inlineStr">
        <is>
          <t>格子種類・サイズは09C</t>
        </is>
      </c>
      <c r="M23" s="43" t="n">
        <v>10</v>
      </c>
    </row>
    <row r="24">
      <c r="A24" s="42" t="inlineStr">
        <is>
          <t>SC-SL-V5-001</t>
        </is>
      </c>
      <c r="B24" t="inlineStr">
        <is>
          <t>SER-LIX-SAMOSL</t>
        </is>
      </c>
      <c r="C24" t="inlineStr">
        <is>
          <t>WT-SL-TATE-SUBERI</t>
        </is>
      </c>
      <c r="D24" t="inlineStr">
        <is>
          <t>SP-SL-TATE-OP-T</t>
        </is>
      </c>
      <c r="E24" t="inlineStr">
        <is>
          <t>あり</t>
        </is>
      </c>
      <c r="F24" t="inlineStr">
        <is>
          <t>固定式網戸</t>
        </is>
      </c>
      <c r="G24" t="inlineStr">
        <is>
          <t>固定式網戸（フレームレス/タグ付フレームレス/フレーム付）</t>
        </is>
      </c>
      <c r="H24" t="inlineStr">
        <is>
          <t>きれいネット中心</t>
        </is>
      </c>
      <c r="I24" t="b">
        <v>1</v>
      </c>
      <c r="J24" t="inlineStr">
        <is>
          <t>2026詳細仕様連動済み</t>
        </is>
      </c>
      <c r="K24" t="inlineStr">
        <is>
          <t>完成品価格表 網戸/共通有償品</t>
        </is>
      </c>
      <c r="L24" t="inlineStr">
        <is>
          <t>オペレーター｜T。切断寸法は09C。</t>
        </is>
      </c>
      <c r="M24" t="n">
        <v>10</v>
      </c>
    </row>
    <row r="25">
      <c r="A25" s="42" t="inlineStr">
        <is>
          <t>SC-SL-V5-002</t>
        </is>
      </c>
      <c r="B25" t="inlineStr">
        <is>
          <t>SER-LIX-SAMOSL</t>
        </is>
      </c>
      <c r="C25" t="inlineStr">
        <is>
          <t>WT-SL-TATE-SUBERI</t>
        </is>
      </c>
      <c r="D25" t="inlineStr">
        <is>
          <t>SP-SL-TATE-OP-TF-OUT</t>
        </is>
      </c>
      <c r="E25" t="inlineStr">
        <is>
          <t>あり</t>
        </is>
      </c>
      <c r="F25" t="inlineStr">
        <is>
          <t>固定式網戸</t>
        </is>
      </c>
      <c r="G25" t="inlineStr">
        <is>
          <t>固定式網戸（フレームレス/タグ付フレームレス/フレーム付）</t>
        </is>
      </c>
      <c r="H25" t="inlineStr">
        <is>
          <t>きれいネット中心</t>
        </is>
      </c>
      <c r="I25" t="b">
        <v>1</v>
      </c>
      <c r="J25" t="inlineStr">
        <is>
          <t>2026詳細仕様連動済み</t>
        </is>
      </c>
      <c r="K25" t="inlineStr">
        <is>
          <t>完成品価格表 網戸/共通有償品</t>
        </is>
      </c>
      <c r="L25" t="inlineStr">
        <is>
          <t>オペレーター｜TF｜FIX外押縁。切断寸法は09C。</t>
        </is>
      </c>
      <c r="M25" t="n">
        <v>10</v>
      </c>
    </row>
    <row r="26">
      <c r="A26" s="42" t="inlineStr">
        <is>
          <t>SC-SL-V5-003</t>
        </is>
      </c>
      <c r="B26" t="inlineStr">
        <is>
          <t>SER-LIX-SAMOSL</t>
        </is>
      </c>
      <c r="C26" t="inlineStr">
        <is>
          <t>WT-SL-TATE-SUBERI</t>
        </is>
      </c>
      <c r="D26" t="inlineStr">
        <is>
          <t>SP-SL-TATE-OP-TFT-OUT</t>
        </is>
      </c>
      <c r="E26" t="inlineStr">
        <is>
          <t>あり</t>
        </is>
      </c>
      <c r="F26" t="inlineStr">
        <is>
          <t>固定式網戸</t>
        </is>
      </c>
      <c r="G26" t="inlineStr">
        <is>
          <t>固定式網戸（フレームレス/タグ付フレームレス/フレーム付）</t>
        </is>
      </c>
      <c r="H26" t="inlineStr">
        <is>
          <t>きれいネット中心</t>
        </is>
      </c>
      <c r="I26" t="b">
        <v>1</v>
      </c>
      <c r="J26" t="inlineStr">
        <is>
          <t>2026詳細仕様連動済み</t>
        </is>
      </c>
      <c r="K26" t="inlineStr">
        <is>
          <t>完成品価格表 網戸/共通有償品</t>
        </is>
      </c>
      <c r="L26" t="inlineStr">
        <is>
          <t>オペレーター｜TFT｜FIX外押縁。切断寸法は09C。</t>
        </is>
      </c>
      <c r="M26" t="n">
        <v>10</v>
      </c>
    </row>
    <row r="27">
      <c r="A27" s="42" t="inlineStr">
        <is>
          <t>SC-SL-V5-004</t>
        </is>
      </c>
      <c r="B27" t="inlineStr">
        <is>
          <t>SER-LIX-SAMOSL</t>
        </is>
      </c>
      <c r="C27" t="inlineStr">
        <is>
          <t>WT-SL-TATE-SUBERI</t>
        </is>
      </c>
      <c r="D27" t="inlineStr">
        <is>
          <t>SP-SL-TATE-OP-TF-IN</t>
        </is>
      </c>
      <c r="E27" t="inlineStr">
        <is>
          <t>あり</t>
        </is>
      </c>
      <c r="F27" t="inlineStr">
        <is>
          <t>固定式網戸</t>
        </is>
      </c>
      <c r="G27" t="inlineStr">
        <is>
          <t>固定式網戸（フレームレス/タグ付フレームレス/フレーム付）</t>
        </is>
      </c>
      <c r="H27" t="inlineStr">
        <is>
          <t>きれいネット中心</t>
        </is>
      </c>
      <c r="I27" t="b">
        <v>1</v>
      </c>
      <c r="J27" t="inlineStr">
        <is>
          <t>2026詳細仕様連動済み</t>
        </is>
      </c>
      <c r="K27" t="inlineStr">
        <is>
          <t>完成品価格表 網戸/共通有償品</t>
        </is>
      </c>
      <c r="L27" t="inlineStr">
        <is>
          <t>オペレーター｜TF｜FIX内押縁。切断寸法は09C。</t>
        </is>
      </c>
      <c r="M27" t="n">
        <v>10</v>
      </c>
    </row>
    <row r="28">
      <c r="A28" s="42" t="inlineStr">
        <is>
          <t>SC-SL-V5-005</t>
        </is>
      </c>
      <c r="B28" t="inlineStr">
        <is>
          <t>SER-LIX-SAMOSL</t>
        </is>
      </c>
      <c r="C28" t="inlineStr">
        <is>
          <t>WT-SL-TATE-SUBERI</t>
        </is>
      </c>
      <c r="D28" t="inlineStr">
        <is>
          <t>SP-SL-TATE-OP-TFT-IN</t>
        </is>
      </c>
      <c r="E28" t="inlineStr">
        <is>
          <t>あり</t>
        </is>
      </c>
      <c r="F28" t="inlineStr">
        <is>
          <t>固定式網戸</t>
        </is>
      </c>
      <c r="G28" t="inlineStr">
        <is>
          <t>固定式網戸（フレームレス/タグ付フレームレス/フレーム付）</t>
        </is>
      </c>
      <c r="H28" t="inlineStr">
        <is>
          <t>きれいネット中心</t>
        </is>
      </c>
      <c r="I28" t="b">
        <v>1</v>
      </c>
      <c r="J28" t="inlineStr">
        <is>
          <t>2026詳細仕様連動済み</t>
        </is>
      </c>
      <c r="K28" t="inlineStr">
        <is>
          <t>完成品価格表 網戸/共通有償品</t>
        </is>
      </c>
      <c r="L28" t="inlineStr">
        <is>
          <t>オペレーター｜TFT｜FIX内押縁。切断寸法は09C。</t>
        </is>
      </c>
      <c r="M28" t="n">
        <v>10</v>
      </c>
    </row>
    <row r="29">
      <c r="A29" s="42" t="inlineStr">
        <is>
          <t>SC-SL-V5-006</t>
        </is>
      </c>
      <c r="B29" t="inlineStr">
        <is>
          <t>SER-LIX-SAMOSL</t>
        </is>
      </c>
      <c r="C29" t="inlineStr">
        <is>
          <t>WT-SL-TATE-SUBERI</t>
        </is>
      </c>
      <c r="D29" t="inlineStr">
        <is>
          <t>SP-SL-TATE-CAM-T</t>
        </is>
      </c>
      <c r="E29" t="inlineStr">
        <is>
          <t>あり</t>
        </is>
      </c>
      <c r="F29" t="inlineStr">
        <is>
          <t>横引きロール網戸</t>
        </is>
      </c>
      <c r="G29" t="inlineStr">
        <is>
          <t>横引きロール網戸</t>
        </is>
      </c>
      <c r="H29" t="inlineStr">
        <is>
          <t>きれいネット中心</t>
        </is>
      </c>
      <c r="I29" t="b">
        <v>1</v>
      </c>
      <c r="J29" t="inlineStr">
        <is>
          <t>2026詳細仕様連動済み</t>
        </is>
      </c>
      <c r="K29" t="inlineStr">
        <is>
          <t>202604完成品価格表 P275</t>
        </is>
      </c>
      <c r="L29" t="inlineStr">
        <is>
          <t>カムラッチ｜T。</t>
        </is>
      </c>
      <c r="M29" t="n">
        <v>20</v>
      </c>
    </row>
    <row r="30">
      <c r="A30" s="42" t="inlineStr">
        <is>
          <t>SC-SL-V5-007</t>
        </is>
      </c>
      <c r="B30" t="inlineStr">
        <is>
          <t>SER-LIX-SAMOSL</t>
        </is>
      </c>
      <c r="C30" t="inlineStr">
        <is>
          <t>WT-SL-TATE-SUBERI</t>
        </is>
      </c>
      <c r="D30" t="inlineStr">
        <is>
          <t>SP-SL-TATE-CAM-T</t>
        </is>
      </c>
      <c r="E30" t="inlineStr">
        <is>
          <t>あり</t>
        </is>
      </c>
      <c r="F30" t="inlineStr">
        <is>
          <t>上げ下げロール網戸</t>
        </is>
      </c>
      <c r="G30" t="inlineStr">
        <is>
          <t>上げ下げロール網戸</t>
        </is>
      </c>
      <c r="H30" t="inlineStr">
        <is>
          <t>きれいネット中心</t>
        </is>
      </c>
      <c r="I30" t="b">
        <v>1</v>
      </c>
      <c r="J30" t="inlineStr">
        <is>
          <t>2026詳細仕様連動済み</t>
        </is>
      </c>
      <c r="K30" t="inlineStr">
        <is>
          <t>202604完成品価格表 P276</t>
        </is>
      </c>
      <c r="L30" t="inlineStr">
        <is>
          <t>カムラッチ｜T。規格サイズ限定</t>
        </is>
      </c>
      <c r="M30" t="n">
        <v>30</v>
      </c>
    </row>
    <row r="31">
      <c r="A31" s="42" t="inlineStr">
        <is>
          <t>SC-SL-V5-008</t>
        </is>
      </c>
      <c r="B31" t="inlineStr">
        <is>
          <t>SER-LIX-SAMOSL</t>
        </is>
      </c>
      <c r="C31" t="inlineStr">
        <is>
          <t>WT-SL-TATE-SUBERI</t>
        </is>
      </c>
      <c r="D31" t="inlineStr">
        <is>
          <t>SP-SL-TATE-CAM-T</t>
        </is>
      </c>
      <c r="E31" t="inlineStr">
        <is>
          <t>あり</t>
        </is>
      </c>
      <c r="F31" t="inlineStr">
        <is>
          <t>開き網戸</t>
        </is>
      </c>
      <c r="G31" t="inlineStr">
        <is>
          <t>開き網戸</t>
        </is>
      </c>
      <c r="H31" t="inlineStr">
        <is>
          <t>きれいネット中心</t>
        </is>
      </c>
      <c r="I31" t="b">
        <v>1</v>
      </c>
      <c r="J31" t="inlineStr">
        <is>
          <t>2026詳細仕様連動済み</t>
        </is>
      </c>
      <c r="K31" t="inlineStr">
        <is>
          <t>202604完成品価格表 P276/商品カタログ P278</t>
        </is>
      </c>
      <c r="L31" t="inlineStr">
        <is>
          <t>カムラッチ｜T。H13以上は中桟付</t>
        </is>
      </c>
      <c r="M31" t="n">
        <v>40</v>
      </c>
    </row>
    <row r="32">
      <c r="A32" s="42" t="inlineStr">
        <is>
          <t>SC-SL-V5-009</t>
        </is>
      </c>
      <c r="B32" t="inlineStr">
        <is>
          <t>SER-LIX-SAMOSL</t>
        </is>
      </c>
      <c r="C32" t="inlineStr">
        <is>
          <t>WT-SL-TATE-SUBERI</t>
        </is>
      </c>
      <c r="D32" t="inlineStr">
        <is>
          <t>SP-SL-TATE-CAM-TF-OUT</t>
        </is>
      </c>
      <c r="E32" t="inlineStr">
        <is>
          <t>あり</t>
        </is>
      </c>
      <c r="F32" t="inlineStr">
        <is>
          <t>横引きロール網戸</t>
        </is>
      </c>
      <c r="G32" t="inlineStr">
        <is>
          <t>横引きロール網戸</t>
        </is>
      </c>
      <c r="H32" t="inlineStr">
        <is>
          <t>きれいネット中心</t>
        </is>
      </c>
      <c r="I32" t="b">
        <v>1</v>
      </c>
      <c r="J32" t="inlineStr">
        <is>
          <t>2026詳細仕様連動済み</t>
        </is>
      </c>
      <c r="K32" t="inlineStr">
        <is>
          <t>202604完成品価格表 P275</t>
        </is>
      </c>
      <c r="L32" t="inlineStr">
        <is>
          <t>カムラッチ｜TF｜FIX外押縁。</t>
        </is>
      </c>
      <c r="M32" t="n">
        <v>20</v>
      </c>
    </row>
    <row r="33">
      <c r="A33" s="42" t="inlineStr">
        <is>
          <t>SC-SL-V5-010</t>
        </is>
      </c>
      <c r="B33" t="inlineStr">
        <is>
          <t>SER-LIX-SAMOSL</t>
        </is>
      </c>
      <c r="C33" t="inlineStr">
        <is>
          <t>WT-SL-TATE-SUBERI</t>
        </is>
      </c>
      <c r="D33" t="inlineStr">
        <is>
          <t>SP-SL-TATE-CAM-TF-OUT</t>
        </is>
      </c>
      <c r="E33" t="inlineStr">
        <is>
          <t>あり</t>
        </is>
      </c>
      <c r="F33" t="inlineStr">
        <is>
          <t>上げ下げロール網戸</t>
        </is>
      </c>
      <c r="G33" t="inlineStr">
        <is>
          <t>上げ下げロール網戸</t>
        </is>
      </c>
      <c r="H33" t="inlineStr">
        <is>
          <t>きれいネット中心</t>
        </is>
      </c>
      <c r="I33" t="b">
        <v>1</v>
      </c>
      <c r="J33" t="inlineStr">
        <is>
          <t>2026詳細仕様連動済み</t>
        </is>
      </c>
      <c r="K33" t="inlineStr">
        <is>
          <t>202604完成品価格表 P276</t>
        </is>
      </c>
      <c r="L33" t="inlineStr">
        <is>
          <t>カムラッチ｜TF｜FIX外押縁。規格サイズ限定</t>
        </is>
      </c>
      <c r="M33" t="n">
        <v>30</v>
      </c>
    </row>
    <row r="34">
      <c r="A34" s="42" t="inlineStr">
        <is>
          <t>SC-SL-V5-011</t>
        </is>
      </c>
      <c r="B34" t="inlineStr">
        <is>
          <t>SER-LIX-SAMOSL</t>
        </is>
      </c>
      <c r="C34" t="inlineStr">
        <is>
          <t>WT-SL-TATE-SUBERI</t>
        </is>
      </c>
      <c r="D34" t="inlineStr">
        <is>
          <t>SP-SL-TATE-CAM-TF-OUT</t>
        </is>
      </c>
      <c r="E34" t="inlineStr">
        <is>
          <t>あり</t>
        </is>
      </c>
      <c r="F34" t="inlineStr">
        <is>
          <t>開き網戸</t>
        </is>
      </c>
      <c r="G34" t="inlineStr">
        <is>
          <t>開き網戸</t>
        </is>
      </c>
      <c r="H34" t="inlineStr">
        <is>
          <t>きれいネット中心</t>
        </is>
      </c>
      <c r="I34" t="b">
        <v>1</v>
      </c>
      <c r="J34" t="inlineStr">
        <is>
          <t>2026詳細仕様連動済み</t>
        </is>
      </c>
      <c r="K34" t="inlineStr">
        <is>
          <t>202604完成品価格表 P276/商品カタログ P278</t>
        </is>
      </c>
      <c r="L34" t="inlineStr">
        <is>
          <t>カムラッチ｜TF｜FIX外押縁。H13以上は中桟付</t>
        </is>
      </c>
      <c r="M34" t="n">
        <v>40</v>
      </c>
    </row>
    <row r="35">
      <c r="A35" s="42" t="inlineStr">
        <is>
          <t>SC-SL-V5-012</t>
        </is>
      </c>
      <c r="B35" t="inlineStr">
        <is>
          <t>SER-LIX-SAMOSL</t>
        </is>
      </c>
      <c r="C35" t="inlineStr">
        <is>
          <t>WT-SL-TATE-SUBERI</t>
        </is>
      </c>
      <c r="D35" t="inlineStr">
        <is>
          <t>SP-SL-TATE-CAM-TFT-OUT</t>
        </is>
      </c>
      <c r="E35" t="inlineStr">
        <is>
          <t>あり</t>
        </is>
      </c>
      <c r="F35" t="inlineStr">
        <is>
          <t>横引きロール網戸</t>
        </is>
      </c>
      <c r="G35" t="inlineStr">
        <is>
          <t>横引きロール網戸</t>
        </is>
      </c>
      <c r="H35" t="inlineStr">
        <is>
          <t>きれいネット中心</t>
        </is>
      </c>
      <c r="I35" t="b">
        <v>1</v>
      </c>
      <c r="J35" t="inlineStr">
        <is>
          <t>2026詳細仕様連動済み</t>
        </is>
      </c>
      <c r="K35" t="inlineStr">
        <is>
          <t>202604完成品価格表 P275</t>
        </is>
      </c>
      <c r="L35" t="inlineStr">
        <is>
          <t>カムラッチ｜TFT｜FIX外押縁。</t>
        </is>
      </c>
      <c r="M35" t="n">
        <v>20</v>
      </c>
    </row>
    <row r="36">
      <c r="A36" s="42" t="inlineStr">
        <is>
          <t>SC-SL-V5-013</t>
        </is>
      </c>
      <c r="B36" t="inlineStr">
        <is>
          <t>SER-LIX-SAMOSL</t>
        </is>
      </c>
      <c r="C36" t="inlineStr">
        <is>
          <t>WT-SL-TATE-SUBERI</t>
        </is>
      </c>
      <c r="D36" t="inlineStr">
        <is>
          <t>SP-SL-TATE-CAM-TFT-OUT</t>
        </is>
      </c>
      <c r="E36" t="inlineStr">
        <is>
          <t>あり</t>
        </is>
      </c>
      <c r="F36" t="inlineStr">
        <is>
          <t>上げ下げロール網戸</t>
        </is>
      </c>
      <c r="G36" t="inlineStr">
        <is>
          <t>上げ下げロール網戸</t>
        </is>
      </c>
      <c r="H36" t="inlineStr">
        <is>
          <t>きれいネット中心</t>
        </is>
      </c>
      <c r="I36" t="b">
        <v>1</v>
      </c>
      <c r="J36" t="inlineStr">
        <is>
          <t>2026詳細仕様連動済み</t>
        </is>
      </c>
      <c r="K36" t="inlineStr">
        <is>
          <t>202604完成品価格表 P276</t>
        </is>
      </c>
      <c r="L36" t="inlineStr">
        <is>
          <t>カムラッチ｜TFT｜FIX外押縁。規格サイズ限定</t>
        </is>
      </c>
      <c r="M36" t="n">
        <v>30</v>
      </c>
    </row>
    <row r="37">
      <c r="A37" s="42" t="inlineStr">
        <is>
          <t>SC-SL-V5-014</t>
        </is>
      </c>
      <c r="B37" t="inlineStr">
        <is>
          <t>SER-LIX-SAMOSL</t>
        </is>
      </c>
      <c r="C37" t="inlineStr">
        <is>
          <t>WT-SL-TATE-SUBERI</t>
        </is>
      </c>
      <c r="D37" t="inlineStr">
        <is>
          <t>SP-SL-TATE-CAM-TFT-OUT</t>
        </is>
      </c>
      <c r="E37" t="inlineStr">
        <is>
          <t>あり</t>
        </is>
      </c>
      <c r="F37" t="inlineStr">
        <is>
          <t>開き網戸</t>
        </is>
      </c>
      <c r="G37" t="inlineStr">
        <is>
          <t>開き網戸</t>
        </is>
      </c>
      <c r="H37" t="inlineStr">
        <is>
          <t>きれいネット中心</t>
        </is>
      </c>
      <c r="I37" t="b">
        <v>1</v>
      </c>
      <c r="J37" t="inlineStr">
        <is>
          <t>2026詳細仕様連動済み</t>
        </is>
      </c>
      <c r="K37" t="inlineStr">
        <is>
          <t>202604完成品価格表 P276/商品カタログ P278</t>
        </is>
      </c>
      <c r="L37" t="inlineStr">
        <is>
          <t>カムラッチ｜TFT｜FIX外押縁。H13以上は中桟付</t>
        </is>
      </c>
      <c r="M37" t="n">
        <v>40</v>
      </c>
    </row>
    <row r="38">
      <c r="A38" s="42" t="inlineStr">
        <is>
          <t>SC-SL-V5-015</t>
        </is>
      </c>
      <c r="B38" t="inlineStr">
        <is>
          <t>SER-LIX-SAMOSL</t>
        </is>
      </c>
      <c r="C38" t="inlineStr">
        <is>
          <t>WT-SL-TATE-SUBERI</t>
        </is>
      </c>
      <c r="D38" t="inlineStr">
        <is>
          <t>SP-SL-TATE-CAM-TF-IN</t>
        </is>
      </c>
      <c r="E38" t="inlineStr">
        <is>
          <t>あり</t>
        </is>
      </c>
      <c r="F38" t="inlineStr">
        <is>
          <t>横引きロール網戸</t>
        </is>
      </c>
      <c r="G38" t="inlineStr">
        <is>
          <t>横引きロール網戸</t>
        </is>
      </c>
      <c r="H38" t="inlineStr">
        <is>
          <t>きれいネット中心</t>
        </is>
      </c>
      <c r="I38" t="b">
        <v>1</v>
      </c>
      <c r="J38" t="inlineStr">
        <is>
          <t>2026詳細仕様連動済み</t>
        </is>
      </c>
      <c r="K38" t="inlineStr">
        <is>
          <t>202604完成品価格表 P275</t>
        </is>
      </c>
      <c r="L38" t="inlineStr">
        <is>
          <t>カムラッチ｜TF｜FIX内押縁。</t>
        </is>
      </c>
      <c r="M38" t="n">
        <v>20</v>
      </c>
    </row>
    <row r="39">
      <c r="A39" s="42" t="inlineStr">
        <is>
          <t>SC-SL-V5-016</t>
        </is>
      </c>
      <c r="B39" t="inlineStr">
        <is>
          <t>SER-LIX-SAMOSL</t>
        </is>
      </c>
      <c r="C39" t="inlineStr">
        <is>
          <t>WT-SL-TATE-SUBERI</t>
        </is>
      </c>
      <c r="D39" t="inlineStr">
        <is>
          <t>SP-SL-TATE-CAM-TF-IN</t>
        </is>
      </c>
      <c r="E39" t="inlineStr">
        <is>
          <t>あり</t>
        </is>
      </c>
      <c r="F39" t="inlineStr">
        <is>
          <t>上げ下げロール網戸</t>
        </is>
      </c>
      <c r="G39" t="inlineStr">
        <is>
          <t>上げ下げロール網戸</t>
        </is>
      </c>
      <c r="H39" t="inlineStr">
        <is>
          <t>きれいネット中心</t>
        </is>
      </c>
      <c r="I39" t="b">
        <v>1</v>
      </c>
      <c r="J39" t="inlineStr">
        <is>
          <t>2026詳細仕様連動済み</t>
        </is>
      </c>
      <c r="K39" t="inlineStr">
        <is>
          <t>202604完成品価格表 P276</t>
        </is>
      </c>
      <c r="L39" t="inlineStr">
        <is>
          <t>カムラッチ｜TF｜FIX内押縁。規格サイズ限定</t>
        </is>
      </c>
      <c r="M39" t="n">
        <v>30</v>
      </c>
    </row>
    <row r="40">
      <c r="A40" s="42" t="inlineStr">
        <is>
          <t>SC-SL-V5-017</t>
        </is>
      </c>
      <c r="B40" t="inlineStr">
        <is>
          <t>SER-LIX-SAMOSL</t>
        </is>
      </c>
      <c r="C40" t="inlineStr">
        <is>
          <t>WT-SL-TATE-SUBERI</t>
        </is>
      </c>
      <c r="D40" t="inlineStr">
        <is>
          <t>SP-SL-TATE-CAM-TF-IN</t>
        </is>
      </c>
      <c r="E40" t="inlineStr">
        <is>
          <t>あり</t>
        </is>
      </c>
      <c r="F40" t="inlineStr">
        <is>
          <t>開き網戸</t>
        </is>
      </c>
      <c r="G40" t="inlineStr">
        <is>
          <t>開き網戸</t>
        </is>
      </c>
      <c r="H40" t="inlineStr">
        <is>
          <t>きれいネット中心</t>
        </is>
      </c>
      <c r="I40" t="b">
        <v>1</v>
      </c>
      <c r="J40" t="inlineStr">
        <is>
          <t>2026詳細仕様連動済み</t>
        </is>
      </c>
      <c r="K40" t="inlineStr">
        <is>
          <t>202604完成品価格表 P276/商品カタログ P278</t>
        </is>
      </c>
      <c r="L40" t="inlineStr">
        <is>
          <t>カムラッチ｜TF｜FIX内押縁。H13以上は中桟付</t>
        </is>
      </c>
      <c r="M40" t="n">
        <v>40</v>
      </c>
    </row>
    <row r="41">
      <c r="A41" s="42" t="inlineStr">
        <is>
          <t>SC-SL-V5-018</t>
        </is>
      </c>
      <c r="B41" t="inlineStr">
        <is>
          <t>SER-LIX-SAMOSL</t>
        </is>
      </c>
      <c r="C41" t="inlineStr">
        <is>
          <t>WT-SL-TATE-SUBERI</t>
        </is>
      </c>
      <c r="D41" t="inlineStr">
        <is>
          <t>SP-SL-TATE-CAM-TFT-IN</t>
        </is>
      </c>
      <c r="E41" t="inlineStr">
        <is>
          <t>あり</t>
        </is>
      </c>
      <c r="F41" t="inlineStr">
        <is>
          <t>横引きロール網戸</t>
        </is>
      </c>
      <c r="G41" t="inlineStr">
        <is>
          <t>横引きロール網戸</t>
        </is>
      </c>
      <c r="H41" t="inlineStr">
        <is>
          <t>きれいネット中心</t>
        </is>
      </c>
      <c r="I41" t="b">
        <v>1</v>
      </c>
      <c r="J41" t="inlineStr">
        <is>
          <t>2026詳細仕様連動済み</t>
        </is>
      </c>
      <c r="K41" t="inlineStr">
        <is>
          <t>202604完成品価格表 P275</t>
        </is>
      </c>
      <c r="L41" t="inlineStr">
        <is>
          <t>カムラッチ｜TFT｜FIX内押縁。</t>
        </is>
      </c>
      <c r="M41" t="n">
        <v>20</v>
      </c>
    </row>
    <row r="42">
      <c r="A42" s="42" t="inlineStr">
        <is>
          <t>SC-SL-V5-019</t>
        </is>
      </c>
      <c r="B42" t="inlineStr">
        <is>
          <t>SER-LIX-SAMOSL</t>
        </is>
      </c>
      <c r="C42" t="inlineStr">
        <is>
          <t>WT-SL-TATE-SUBERI</t>
        </is>
      </c>
      <c r="D42" t="inlineStr">
        <is>
          <t>SP-SL-TATE-CAM-TFT-IN</t>
        </is>
      </c>
      <c r="E42" t="inlineStr">
        <is>
          <t>あり</t>
        </is>
      </c>
      <c r="F42" t="inlineStr">
        <is>
          <t>上げ下げロール網戸</t>
        </is>
      </c>
      <c r="G42" t="inlineStr">
        <is>
          <t>上げ下げロール網戸</t>
        </is>
      </c>
      <c r="H42" t="inlineStr">
        <is>
          <t>きれいネット中心</t>
        </is>
      </c>
      <c r="I42" t="b">
        <v>1</v>
      </c>
      <c r="J42" t="inlineStr">
        <is>
          <t>2026詳細仕様連動済み</t>
        </is>
      </c>
      <c r="K42" t="inlineStr">
        <is>
          <t>202604完成品価格表 P276</t>
        </is>
      </c>
      <c r="L42" t="inlineStr">
        <is>
          <t>カムラッチ｜TFT｜FIX内押縁。規格サイズ限定</t>
        </is>
      </c>
      <c r="M42" t="n">
        <v>30</v>
      </c>
    </row>
    <row r="43">
      <c r="A43" s="42" t="inlineStr">
        <is>
          <t>SC-SL-V5-020</t>
        </is>
      </c>
      <c r="B43" t="inlineStr">
        <is>
          <t>SER-LIX-SAMOSL</t>
        </is>
      </c>
      <c r="C43" t="inlineStr">
        <is>
          <t>WT-SL-TATE-SUBERI</t>
        </is>
      </c>
      <c r="D43" t="inlineStr">
        <is>
          <t>SP-SL-TATE-CAM-TFT-IN</t>
        </is>
      </c>
      <c r="E43" t="inlineStr">
        <is>
          <t>あり</t>
        </is>
      </c>
      <c r="F43" t="inlineStr">
        <is>
          <t>開き網戸</t>
        </is>
      </c>
      <c r="G43" t="inlineStr">
        <is>
          <t>開き網戸</t>
        </is>
      </c>
      <c r="H43" t="inlineStr">
        <is>
          <t>きれいネット中心</t>
        </is>
      </c>
      <c r="I43" t="b">
        <v>1</v>
      </c>
      <c r="J43" t="inlineStr">
        <is>
          <t>2026詳細仕様連動済み</t>
        </is>
      </c>
      <c r="K43" t="inlineStr">
        <is>
          <t>202604完成品価格表 P276/商品カタログ P278</t>
        </is>
      </c>
      <c r="L43" t="inlineStr">
        <is>
          <t>カムラッチ｜TFT｜FIX内押縁。H13以上は中桟付</t>
        </is>
      </c>
      <c r="M43" t="n">
        <v>40</v>
      </c>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row r="201">
      <c r="A201" s="42" t="n"/>
    </row>
    <row r="202">
      <c r="A202" s="42" t="n"/>
    </row>
    <row r="203">
      <c r="A203" s="42" t="n"/>
    </row>
    <row r="204">
      <c r="A204" s="42" t="n"/>
    </row>
    <row r="205">
      <c r="A205" s="42" t="n"/>
    </row>
    <row r="206">
      <c r="A206" s="42" t="n"/>
    </row>
    <row r="207">
      <c r="A207" s="42" t="n"/>
    </row>
    <row r="208">
      <c r="A208" s="42" t="n"/>
    </row>
    <row r="209">
      <c r="A209" s="42" t="n"/>
    </row>
    <row r="210">
      <c r="A210" s="42" t="n"/>
    </row>
    <row r="211">
      <c r="A211" s="42" t="n"/>
    </row>
    <row r="212">
      <c r="A212" s="42" t="n"/>
    </row>
    <row r="213">
      <c r="A213" s="42" t="n"/>
    </row>
    <row r="214">
      <c r="A214" s="42" t="n"/>
    </row>
    <row r="215">
      <c r="A215" s="42" t="n"/>
    </row>
    <row r="216">
      <c r="A216" s="42" t="n"/>
    </row>
    <row r="217">
      <c r="A217" s="42" t="n"/>
    </row>
    <row r="218">
      <c r="A218" s="42" t="n"/>
    </row>
    <row r="219">
      <c r="A219" s="42" t="n"/>
    </row>
    <row r="220">
      <c r="A220" s="42" t="n"/>
    </row>
    <row r="221">
      <c r="A221" s="42" t="n"/>
    </row>
    <row r="222">
      <c r="A222" s="42" t="n"/>
    </row>
    <row r="223">
      <c r="A223" s="42" t="n"/>
    </row>
    <row r="224">
      <c r="A224" s="42" t="n"/>
    </row>
    <row r="225">
      <c r="A225" s="42" t="n"/>
    </row>
    <row r="226">
      <c r="A226" s="42" t="n"/>
    </row>
    <row r="227">
      <c r="A227" s="42" t="n"/>
    </row>
    <row r="228">
      <c r="A228" s="42" t="n"/>
    </row>
    <row r="229">
      <c r="A229" s="42" t="n"/>
    </row>
    <row r="230">
      <c r="A230" s="42" t="n"/>
    </row>
    <row r="231">
      <c r="A231" s="42" t="n"/>
    </row>
    <row r="232">
      <c r="A232" s="42" t="n"/>
    </row>
    <row r="233">
      <c r="A233" s="42" t="n"/>
    </row>
    <row r="234">
      <c r="A234" s="42" t="n"/>
    </row>
    <row r="235">
      <c r="A235" s="42" t="n"/>
    </row>
    <row r="236">
      <c r="A236" s="42" t="n"/>
    </row>
    <row r="237">
      <c r="A237" s="42" t="n"/>
    </row>
    <row r="238">
      <c r="A238" s="42" t="n"/>
    </row>
    <row r="239">
      <c r="A239" s="42" t="n"/>
    </row>
    <row r="240">
      <c r="A240" s="42" t="n"/>
    </row>
    <row r="241">
      <c r="A241" s="42" t="n"/>
    </row>
    <row r="242">
      <c r="A242" s="42" t="n"/>
    </row>
    <row r="243">
      <c r="A243" s="42" t="n"/>
    </row>
    <row r="244">
      <c r="A244" s="42" t="n"/>
    </row>
    <row r="245">
      <c r="A245" s="42" t="n"/>
    </row>
    <row r="246">
      <c r="A246" s="42" t="n"/>
    </row>
    <row r="247">
      <c r="A247" s="42" t="n"/>
    </row>
    <row r="248">
      <c r="A248" s="42" t="n"/>
    </row>
    <row r="249">
      <c r="A249" s="42" t="n"/>
    </row>
    <row r="250">
      <c r="A250" s="42" t="n"/>
    </row>
    <row r="251">
      <c r="A251" s="42" t="n"/>
    </row>
    <row r="252">
      <c r="A252" s="42" t="n"/>
    </row>
    <row r="253">
      <c r="A253" s="42" t="n"/>
    </row>
    <row r="254">
      <c r="A254" s="42" t="n"/>
    </row>
    <row r="255">
      <c r="A255" s="42" t="n"/>
    </row>
    <row r="256">
      <c r="A256" s="42" t="n"/>
    </row>
    <row r="257">
      <c r="A257" s="42" t="n"/>
    </row>
    <row r="258">
      <c r="A258" s="42" t="n"/>
    </row>
    <row r="259">
      <c r="A259" s="42" t="n"/>
    </row>
    <row r="260">
      <c r="A260" s="42" t="n"/>
    </row>
    <row r="261">
      <c r="A261" s="42" t="n"/>
    </row>
    <row r="262">
      <c r="A262" s="42" t="n"/>
    </row>
    <row r="263">
      <c r="A263" s="42" t="n"/>
    </row>
    <row r="264">
      <c r="A264" s="42" t="n"/>
    </row>
    <row r="265">
      <c r="A265" s="42" t="n"/>
    </row>
    <row r="266">
      <c r="A266" s="42" t="n"/>
    </row>
    <row r="267">
      <c r="A267" s="42" t="n"/>
    </row>
    <row r="268">
      <c r="A268" s="42" t="n"/>
    </row>
    <row r="269">
      <c r="A269" s="42" t="n"/>
    </row>
    <row r="270">
      <c r="A270" s="42" t="n"/>
    </row>
    <row r="271">
      <c r="A271" s="42" t="n"/>
    </row>
    <row r="272">
      <c r="A272" s="42" t="n"/>
    </row>
    <row r="273">
      <c r="A273" s="42" t="n"/>
    </row>
    <row r="274">
      <c r="A274" s="42" t="n"/>
    </row>
    <row r="275">
      <c r="A275" s="42" t="n"/>
    </row>
    <row r="276">
      <c r="A276" s="42" t="n"/>
    </row>
    <row r="277">
      <c r="A277" s="42" t="n"/>
    </row>
    <row r="278">
      <c r="A278" s="42" t="n"/>
    </row>
    <row r="279">
      <c r="A279" s="42" t="n"/>
    </row>
    <row r="280">
      <c r="A280" s="42" t="n"/>
    </row>
    <row r="281">
      <c r="A281" s="42" t="n"/>
    </row>
    <row r="282">
      <c r="A282" s="42" t="n"/>
    </row>
    <row r="283">
      <c r="A283" s="42" t="n"/>
    </row>
    <row r="284">
      <c r="A284" s="42" t="n"/>
    </row>
    <row r="285">
      <c r="A285" s="42" t="n"/>
    </row>
    <row r="286">
      <c r="A286" s="42" t="n"/>
    </row>
    <row r="287">
      <c r="A287" s="42" t="n"/>
    </row>
    <row r="288">
      <c r="A288" s="42" t="n"/>
    </row>
    <row r="289">
      <c r="A289" s="42" t="n"/>
    </row>
    <row r="290">
      <c r="A290" s="42" t="n"/>
    </row>
    <row r="291">
      <c r="A291" s="42" t="n"/>
    </row>
    <row r="292">
      <c r="A292" s="42" t="n"/>
    </row>
    <row r="293">
      <c r="A293" s="42" t="n"/>
    </row>
    <row r="294">
      <c r="A294" s="42" t="n"/>
    </row>
    <row r="295">
      <c r="A295" s="42" t="n"/>
    </row>
    <row r="296">
      <c r="A296" s="42" t="n"/>
    </row>
    <row r="297">
      <c r="A297" s="42" t="n"/>
    </row>
    <row r="298">
      <c r="A298" s="42" t="n"/>
    </row>
    <row r="299">
      <c r="A299" s="42" t="n"/>
    </row>
    <row r="300">
      <c r="A300" s="42" t="n"/>
    </row>
    <row r="301">
      <c r="A301" s="42" t="n"/>
    </row>
    <row r="302">
      <c r="A302" s="42" t="n"/>
    </row>
    <row r="303">
      <c r="A303" s="42" t="n"/>
    </row>
    <row r="304">
      <c r="A304" s="42" t="n"/>
    </row>
    <row r="305">
      <c r="A305" s="42" t="n"/>
    </row>
    <row r="306">
      <c r="A306" s="42" t="n"/>
    </row>
    <row r="307">
      <c r="A307" s="42" t="n"/>
    </row>
    <row r="308">
      <c r="A308" s="42" t="n"/>
    </row>
    <row r="309">
      <c r="A309" s="42" t="n"/>
    </row>
    <row r="310">
      <c r="A310" s="42" t="n"/>
    </row>
    <row r="311">
      <c r="A311" s="42" t="n"/>
    </row>
    <row r="312">
      <c r="A312" s="42" t="n"/>
    </row>
    <row r="313">
      <c r="A313" s="42" t="n"/>
    </row>
    <row r="314">
      <c r="A314" s="42" t="n"/>
    </row>
    <row r="315">
      <c r="A315" s="42" t="n"/>
    </row>
    <row r="316">
      <c r="A316" s="42" t="n"/>
    </row>
    <row r="317">
      <c r="A317" s="42" t="n"/>
    </row>
    <row r="318">
      <c r="A318" s="42" t="n"/>
    </row>
    <row r="319">
      <c r="A319" s="42" t="n"/>
    </row>
    <row r="320">
      <c r="A320" s="42" t="n"/>
    </row>
    <row r="321">
      <c r="A321" s="42" t="n"/>
    </row>
    <row r="322">
      <c r="A322" s="42" t="n"/>
    </row>
    <row r="323">
      <c r="A323" s="42" t="n"/>
    </row>
    <row r="324">
      <c r="A324" s="42" t="n"/>
    </row>
    <row r="325">
      <c r="A325" s="42" t="n"/>
    </row>
    <row r="326">
      <c r="A326" s="42" t="n"/>
    </row>
    <row r="327">
      <c r="A327" s="42" t="n"/>
    </row>
    <row r="328">
      <c r="A328" s="42" t="n"/>
    </row>
    <row r="329">
      <c r="A329" s="42" t="n"/>
    </row>
    <row r="330">
      <c r="A330" s="42" t="n"/>
    </row>
    <row r="331">
      <c r="A331" s="42" t="n"/>
    </row>
    <row r="332">
      <c r="A332" s="42" t="n"/>
    </row>
    <row r="333">
      <c r="A333" s="42" t="n"/>
    </row>
    <row r="334">
      <c r="A334" s="42" t="n"/>
    </row>
    <row r="335">
      <c r="A335" s="42" t="n"/>
    </row>
    <row r="336">
      <c r="A336" s="42" t="n"/>
    </row>
    <row r="337">
      <c r="A337" s="42" t="n"/>
    </row>
    <row r="338">
      <c r="A338" s="42" t="n"/>
    </row>
    <row r="339">
      <c r="A339" s="42" t="n"/>
    </row>
    <row r="340">
      <c r="A340" s="42" t="n"/>
    </row>
    <row r="341">
      <c r="A341" s="42" t="n"/>
    </row>
    <row r="342">
      <c r="A342" s="42" t="n"/>
    </row>
    <row r="343">
      <c r="A343" s="42" t="n"/>
    </row>
    <row r="344">
      <c r="A344" s="42" t="n"/>
    </row>
    <row r="345">
      <c r="A345" s="42" t="n"/>
    </row>
    <row r="346">
      <c r="A346" s="42" t="n"/>
    </row>
    <row r="347">
      <c r="A347" s="42" t="n"/>
    </row>
    <row r="348">
      <c r="A348" s="42" t="n"/>
    </row>
    <row r="349">
      <c r="A349" s="42" t="n"/>
    </row>
    <row r="350">
      <c r="A350" s="42" t="n"/>
    </row>
    <row r="351">
      <c r="A351" s="42" t="n"/>
    </row>
    <row r="352">
      <c r="A352" s="42" t="n"/>
    </row>
    <row r="353">
      <c r="A353" s="42" t="n"/>
    </row>
    <row r="354">
      <c r="A354" s="42" t="n"/>
    </row>
    <row r="355">
      <c r="A355" s="42" t="n"/>
    </row>
    <row r="356">
      <c r="A356" s="42" t="n"/>
    </row>
    <row r="357">
      <c r="A357" s="42" t="n"/>
    </row>
    <row r="358">
      <c r="A358" s="42" t="n"/>
    </row>
    <row r="359">
      <c r="A359" s="42" t="n"/>
    </row>
    <row r="360">
      <c r="A360" s="42" t="n"/>
    </row>
    <row r="361">
      <c r="A361" s="42" t="n"/>
    </row>
    <row r="362">
      <c r="A362" s="42" t="n"/>
    </row>
    <row r="363">
      <c r="A363" s="42" t="n"/>
    </row>
    <row r="364">
      <c r="A364" s="42" t="n"/>
    </row>
    <row r="365">
      <c r="A365" s="42" t="n"/>
    </row>
    <row r="366">
      <c r="A366" s="42" t="n"/>
    </row>
    <row r="367">
      <c r="A367" s="42" t="n"/>
    </row>
    <row r="368">
      <c r="A368" s="42" t="n"/>
    </row>
    <row r="369">
      <c r="A369" s="42" t="n"/>
    </row>
    <row r="370">
      <c r="A370" s="42" t="n"/>
    </row>
    <row r="371">
      <c r="A371" s="42" t="n"/>
    </row>
    <row r="372">
      <c r="A372" s="42" t="n"/>
    </row>
    <row r="373">
      <c r="A373" s="42" t="n"/>
    </row>
    <row r="374">
      <c r="A374" s="42" t="n"/>
    </row>
    <row r="375">
      <c r="A375" s="42" t="n"/>
    </row>
    <row r="376">
      <c r="A376" s="42" t="n"/>
    </row>
    <row r="377">
      <c r="A377" s="42" t="n"/>
    </row>
    <row r="378">
      <c r="A378" s="42" t="n"/>
    </row>
    <row r="379">
      <c r="A379" s="42" t="n"/>
    </row>
    <row r="380">
      <c r="A380" s="42" t="n"/>
    </row>
    <row r="381">
      <c r="A381" s="42" t="n"/>
    </row>
    <row r="382">
      <c r="A382" s="42" t="n"/>
    </row>
    <row r="383">
      <c r="A383" s="42" t="n"/>
    </row>
    <row r="384">
      <c r="A384" s="42" t="n"/>
    </row>
    <row r="385">
      <c r="A385" s="42" t="n"/>
    </row>
    <row r="386">
      <c r="A386" s="42" t="n"/>
    </row>
    <row r="387">
      <c r="A387" s="42" t="n"/>
    </row>
    <row r="388">
      <c r="A388" s="42" t="n"/>
    </row>
    <row r="389">
      <c r="A389" s="42" t="n"/>
    </row>
    <row r="390">
      <c r="A390" s="42" t="n"/>
    </row>
    <row r="391">
      <c r="A391" s="42" t="n"/>
    </row>
    <row r="392">
      <c r="A392" s="42" t="n"/>
    </row>
    <row r="393">
      <c r="A393" s="42" t="n"/>
    </row>
    <row r="394">
      <c r="A394" s="42" t="n"/>
    </row>
    <row r="395">
      <c r="A395" s="42" t="n"/>
    </row>
    <row r="396">
      <c r="A396" s="42" t="n"/>
    </row>
    <row r="397">
      <c r="A397" s="42" t="n"/>
    </row>
    <row r="398">
      <c r="A398" s="42" t="n"/>
    </row>
    <row r="399">
      <c r="A399" s="42" t="n"/>
    </row>
    <row r="400">
      <c r="A400" s="42" t="n"/>
    </row>
    <row r="401">
      <c r="A401" s="42" t="n"/>
    </row>
    <row r="402">
      <c r="A402" s="42" t="n"/>
    </row>
    <row r="403">
      <c r="A403" s="42" t="n"/>
    </row>
    <row r="404">
      <c r="A404" s="42" t="n"/>
    </row>
    <row r="405">
      <c r="A405" s="42" t="n"/>
    </row>
    <row r="406">
      <c r="A406" s="42" t="n"/>
    </row>
    <row r="407">
      <c r="A407" s="42" t="n"/>
    </row>
    <row r="408">
      <c r="A408" s="42" t="n"/>
    </row>
    <row r="409">
      <c r="A409" s="42" t="n"/>
    </row>
    <row r="410">
      <c r="A410" s="42" t="n"/>
    </row>
    <row r="411">
      <c r="A411" s="42" t="n"/>
    </row>
    <row r="412">
      <c r="A412" s="42" t="n"/>
    </row>
    <row r="413">
      <c r="A413" s="42" t="n"/>
    </row>
    <row r="414">
      <c r="A414" s="42" t="n"/>
    </row>
    <row r="415">
      <c r="A415" s="42" t="n"/>
    </row>
    <row r="416">
      <c r="A416" s="42" t="n"/>
    </row>
    <row r="417">
      <c r="A417" s="42" t="n"/>
    </row>
    <row r="418">
      <c r="A418" s="42" t="n"/>
    </row>
    <row r="419">
      <c r="A419" s="42" t="n"/>
    </row>
    <row r="420">
      <c r="A420" s="42" t="n"/>
    </row>
    <row r="421">
      <c r="A421" s="42" t="n"/>
    </row>
    <row r="422">
      <c r="A422" s="42" t="n"/>
    </row>
    <row r="423">
      <c r="A423" s="42" t="n"/>
    </row>
    <row r="424">
      <c r="A424" s="42" t="n"/>
    </row>
    <row r="425">
      <c r="A425" s="42" t="n"/>
    </row>
    <row r="426">
      <c r="A426" s="42" t="n"/>
    </row>
    <row r="427">
      <c r="A427" s="42" t="n"/>
    </row>
    <row r="428">
      <c r="A428" s="42" t="n"/>
    </row>
    <row r="429">
      <c r="A429" s="42" t="n"/>
    </row>
    <row r="430">
      <c r="A430" s="42" t="n"/>
    </row>
    <row r="431">
      <c r="A431" s="42" t="n"/>
    </row>
    <row r="432">
      <c r="A432" s="42" t="n"/>
    </row>
    <row r="433">
      <c r="A433" s="42" t="n"/>
    </row>
    <row r="434">
      <c r="A434" s="42" t="n"/>
    </row>
    <row r="435">
      <c r="A435" s="42" t="n"/>
    </row>
    <row r="436">
      <c r="A436" s="42" t="n"/>
    </row>
    <row r="437">
      <c r="A437" s="42" t="n"/>
    </row>
    <row r="438">
      <c r="A438" s="42" t="n"/>
    </row>
    <row r="439">
      <c r="A439" s="42" t="n"/>
    </row>
    <row r="440">
      <c r="A440" s="42" t="n"/>
    </row>
    <row r="441">
      <c r="A441" s="42" t="n"/>
    </row>
    <row r="442">
      <c r="A442" s="42" t="n"/>
    </row>
    <row r="443">
      <c r="A443" s="42" t="n"/>
    </row>
    <row r="444">
      <c r="A444" s="42" t="n"/>
    </row>
    <row r="445">
      <c r="A445" s="42" t="n"/>
    </row>
    <row r="446">
      <c r="A446" s="42" t="n"/>
    </row>
    <row r="447">
      <c r="A447" s="42" t="n"/>
    </row>
    <row r="448">
      <c r="A448" s="42" t="n"/>
    </row>
    <row r="449">
      <c r="A449" s="42" t="n"/>
    </row>
    <row r="450">
      <c r="A450" s="42" t="n"/>
    </row>
    <row r="451">
      <c r="A451" s="42" t="n"/>
    </row>
    <row r="452">
      <c r="A452" s="42" t="n"/>
    </row>
    <row r="453">
      <c r="A453" s="42" t="n"/>
    </row>
    <row r="454">
      <c r="A454" s="42" t="n"/>
    </row>
    <row r="455">
      <c r="A455" s="42" t="n"/>
    </row>
    <row r="456">
      <c r="A456" s="42" t="n"/>
    </row>
    <row r="457">
      <c r="A457" s="42" t="n"/>
    </row>
    <row r="458">
      <c r="A458" s="42" t="n"/>
    </row>
    <row r="459">
      <c r="A459" s="42" t="n"/>
    </row>
    <row r="460">
      <c r="A460" s="42" t="n"/>
    </row>
    <row r="461">
      <c r="A461" s="42" t="n"/>
    </row>
    <row r="462">
      <c r="A462" s="42" t="n"/>
    </row>
    <row r="463">
      <c r="A463" s="42" t="n"/>
    </row>
    <row r="464">
      <c r="A464" s="42" t="n"/>
    </row>
    <row r="465">
      <c r="A465" s="42" t="n"/>
    </row>
    <row r="466">
      <c r="A466" s="42" t="n"/>
    </row>
    <row r="467">
      <c r="A467" s="42" t="n"/>
    </row>
    <row r="468">
      <c r="A468" s="42" t="n"/>
    </row>
    <row r="469">
      <c r="A469" s="42" t="n"/>
    </row>
    <row r="470">
      <c r="A470" s="42" t="n"/>
    </row>
    <row r="471">
      <c r="A471" s="42" t="n"/>
    </row>
    <row r="472">
      <c r="A472" s="42" t="n"/>
    </row>
    <row r="473">
      <c r="A473" s="42" t="n"/>
    </row>
    <row r="474">
      <c r="A474" s="42" t="n"/>
    </row>
    <row r="475">
      <c r="A475" s="42" t="n"/>
    </row>
    <row r="476">
      <c r="A476" s="42" t="n"/>
    </row>
    <row r="477">
      <c r="A477" s="42" t="n"/>
    </row>
    <row r="478">
      <c r="A478" s="42" t="n"/>
    </row>
    <row r="479">
      <c r="A479" s="42" t="n"/>
    </row>
    <row r="480">
      <c r="A480" s="42" t="n"/>
    </row>
    <row r="481">
      <c r="A481" s="42" t="n"/>
    </row>
    <row r="482">
      <c r="A482" s="42" t="n"/>
    </row>
    <row r="483">
      <c r="A483" s="42" t="n"/>
    </row>
    <row r="484">
      <c r="A484" s="42" t="n"/>
    </row>
    <row r="485">
      <c r="A485" s="42" t="n"/>
    </row>
    <row r="486">
      <c r="A486" s="42" t="n"/>
    </row>
    <row r="487">
      <c r="A487" s="42" t="n"/>
    </row>
    <row r="488">
      <c r="A488" s="42" t="n"/>
    </row>
    <row r="489">
      <c r="A489" s="42" t="n"/>
    </row>
    <row r="490">
      <c r="A490" s="42" t="n"/>
    </row>
    <row r="491">
      <c r="A491" s="42" t="n"/>
    </row>
    <row r="492">
      <c r="A492" s="42" t="n"/>
    </row>
    <row r="493">
      <c r="A493" s="42" t="n"/>
    </row>
    <row r="494">
      <c r="A494" s="42" t="n"/>
    </row>
    <row r="495">
      <c r="A495" s="42" t="n"/>
    </row>
    <row r="496">
      <c r="A496" s="42" t="n"/>
    </row>
    <row r="497">
      <c r="A497" s="42" t="n"/>
    </row>
    <row r="498">
      <c r="A498" s="42" t="n"/>
    </row>
    <row r="499">
      <c r="A499" s="42" t="n"/>
    </row>
    <row r="500">
      <c r="A500" s="42" t="n"/>
    </row>
    <row r="501">
      <c r="A501" s="42" t="n"/>
    </row>
    <row r="502">
      <c r="A502" s="42" t="n"/>
    </row>
    <row r="503">
      <c r="A503" s="42" t="n"/>
    </row>
    <row r="504">
      <c r="A504" s="42" t="n"/>
    </row>
    <row r="505">
      <c r="A505" s="42" t="n"/>
    </row>
    <row r="506">
      <c r="A506" s="42" t="n"/>
    </row>
    <row r="507">
      <c r="A507" s="42" t="n"/>
    </row>
    <row r="508">
      <c r="A508" s="42" t="n"/>
    </row>
    <row r="509">
      <c r="A509" s="42" t="n"/>
    </row>
    <row r="510">
      <c r="A510" s="42" t="n"/>
    </row>
    <row r="511">
      <c r="A511" s="42" t="n"/>
    </row>
    <row r="512">
      <c r="A512" s="42" t="n"/>
    </row>
    <row r="513">
      <c r="A513" s="42" t="n"/>
    </row>
    <row r="514">
      <c r="A514" s="42" t="n"/>
    </row>
    <row r="515">
      <c r="A515" s="42" t="n"/>
    </row>
    <row r="516">
      <c r="A516" s="42" t="n"/>
    </row>
    <row r="517">
      <c r="A517" s="42" t="n"/>
    </row>
    <row r="518">
      <c r="A518" s="42" t="n"/>
    </row>
    <row r="519">
      <c r="A519" s="42" t="n"/>
    </row>
    <row r="520">
      <c r="A520" s="42" t="n"/>
    </row>
    <row r="521">
      <c r="A521" s="42" t="n"/>
    </row>
    <row r="522">
      <c r="A522" s="42" t="n"/>
    </row>
    <row r="523">
      <c r="A523" s="42" t="n"/>
    </row>
    <row r="524">
      <c r="A524" s="42" t="n"/>
    </row>
    <row r="525">
      <c r="A525" s="42" t="n"/>
    </row>
    <row r="526">
      <c r="A526" s="42" t="n"/>
    </row>
    <row r="527">
      <c r="A527" s="42" t="n"/>
    </row>
    <row r="528">
      <c r="A528" s="42" t="n"/>
    </row>
    <row r="529">
      <c r="A529" s="42" t="n"/>
    </row>
    <row r="530">
      <c r="A530" s="42" t="n"/>
    </row>
    <row r="531">
      <c r="A531" s="42" t="n"/>
    </row>
    <row r="532">
      <c r="A532" s="42" t="n"/>
    </row>
    <row r="533">
      <c r="A533" s="42" t="n"/>
    </row>
    <row r="534">
      <c r="A534" s="42" t="n"/>
    </row>
    <row r="535">
      <c r="A535" s="42" t="n"/>
    </row>
    <row r="536">
      <c r="A536" s="42" t="n"/>
    </row>
    <row r="537">
      <c r="A537" s="42" t="n"/>
    </row>
    <row r="538">
      <c r="A538" s="42" t="n"/>
    </row>
    <row r="539">
      <c r="A539" s="42" t="n"/>
    </row>
    <row r="540">
      <c r="A540" s="42" t="n"/>
    </row>
    <row r="541">
      <c r="A541" s="42" t="n"/>
    </row>
    <row r="542">
      <c r="A542" s="42" t="n"/>
    </row>
    <row r="543">
      <c r="A543" s="42" t="n"/>
    </row>
    <row r="544">
      <c r="A544" s="42" t="n"/>
    </row>
    <row r="545">
      <c r="A545" s="42" t="n"/>
    </row>
    <row r="546">
      <c r="A546" s="42" t="n"/>
    </row>
    <row r="547">
      <c r="A547" s="42" t="n"/>
    </row>
    <row r="548">
      <c r="A548" s="42" t="n"/>
    </row>
    <row r="549">
      <c r="A549" s="42" t="n"/>
    </row>
    <row r="550">
      <c r="A550" s="42" t="n"/>
    </row>
    <row r="551">
      <c r="A551" s="42" t="n"/>
    </row>
    <row r="552">
      <c r="A552" s="42" t="n"/>
    </row>
    <row r="553">
      <c r="A553" s="42" t="n"/>
    </row>
    <row r="554">
      <c r="A554" s="42" t="n"/>
    </row>
    <row r="555">
      <c r="A555" s="42" t="n"/>
    </row>
    <row r="556">
      <c r="A556" s="42" t="n"/>
    </row>
    <row r="557">
      <c r="A557" s="42" t="n"/>
    </row>
    <row r="558">
      <c r="A558" s="42" t="n"/>
    </row>
    <row r="559">
      <c r="A559" s="42" t="n"/>
    </row>
    <row r="560">
      <c r="A560" s="42" t="n"/>
    </row>
    <row r="561">
      <c r="A561" s="42" t="n"/>
    </row>
    <row r="562">
      <c r="A562" s="42" t="n"/>
    </row>
    <row r="563">
      <c r="A563" s="42" t="n"/>
    </row>
    <row r="564">
      <c r="A564" s="42" t="n"/>
    </row>
    <row r="565">
      <c r="A565" s="42" t="n"/>
    </row>
    <row r="566">
      <c r="A566" s="42" t="n"/>
    </row>
    <row r="567">
      <c r="A567" s="42" t="n"/>
    </row>
    <row r="568">
      <c r="A568" s="42" t="n"/>
    </row>
    <row r="569">
      <c r="A569" s="42" t="n"/>
    </row>
    <row r="570">
      <c r="A570" s="42" t="n"/>
    </row>
    <row r="571">
      <c r="A571" s="42" t="n"/>
    </row>
    <row r="572">
      <c r="A572" s="42" t="n"/>
    </row>
    <row r="573">
      <c r="A573" s="42" t="n"/>
    </row>
    <row r="574">
      <c r="A574" s="42" t="n"/>
    </row>
    <row r="575">
      <c r="A575" s="42" t="n"/>
    </row>
    <row r="576">
      <c r="A576" s="42" t="n"/>
    </row>
    <row r="577">
      <c r="A577" s="42" t="n"/>
    </row>
    <row r="578">
      <c r="A578" s="42" t="n"/>
    </row>
    <row r="579">
      <c r="A579" s="42" t="n"/>
    </row>
    <row r="580">
      <c r="A580" s="42" t="n"/>
    </row>
    <row r="581">
      <c r="A581" s="42" t="n"/>
    </row>
    <row r="582">
      <c r="A582" s="42" t="n"/>
    </row>
    <row r="583">
      <c r="A583" s="42" t="n"/>
    </row>
    <row r="584">
      <c r="A584" s="42" t="n"/>
    </row>
    <row r="585">
      <c r="A585" s="42" t="n"/>
    </row>
    <row r="586">
      <c r="A586" s="42" t="n"/>
    </row>
    <row r="587">
      <c r="A587" s="42" t="n"/>
    </row>
    <row r="588">
      <c r="A588" s="42" t="n"/>
    </row>
    <row r="589">
      <c r="A589" s="42" t="n"/>
    </row>
    <row r="590">
      <c r="A590" s="42" t="n"/>
    </row>
    <row r="591">
      <c r="A591" s="42" t="n"/>
    </row>
    <row r="592">
      <c r="A592" s="42" t="n"/>
    </row>
    <row r="593">
      <c r="A593" s="42" t="n"/>
    </row>
    <row r="594">
      <c r="A594" s="42" t="n"/>
    </row>
    <row r="595">
      <c r="A595" s="42" t="n"/>
    </row>
    <row r="596">
      <c r="A596" s="42" t="n"/>
    </row>
    <row r="597">
      <c r="A597" s="42" t="n"/>
    </row>
    <row r="598">
      <c r="A598" s="42" t="n"/>
    </row>
    <row r="599">
      <c r="A599" s="42" t="n"/>
    </row>
    <row r="600">
      <c r="A600" s="42" t="n"/>
    </row>
    <row r="601">
      <c r="A601" s="42" t="n"/>
    </row>
    <row r="602">
      <c r="A602" s="42" t="n"/>
    </row>
    <row r="603">
      <c r="A603" s="42" t="n"/>
    </row>
    <row r="604">
      <c r="A604" s="42" t="n"/>
    </row>
    <row r="605">
      <c r="A605" s="42" t="n"/>
    </row>
    <row r="606">
      <c r="A606" s="42" t="n"/>
    </row>
    <row r="607">
      <c r="A607" s="42" t="n"/>
    </row>
    <row r="608">
      <c r="A608" s="42" t="n"/>
    </row>
    <row r="609">
      <c r="A609" s="42" t="n"/>
    </row>
    <row r="610">
      <c r="A610" s="42" t="n"/>
    </row>
    <row r="611">
      <c r="A611" s="42" t="n"/>
    </row>
    <row r="612">
      <c r="A612" s="42" t="n"/>
    </row>
    <row r="613">
      <c r="A613" s="42" t="n"/>
    </row>
    <row r="614">
      <c r="A614" s="42" t="n"/>
    </row>
    <row r="615">
      <c r="A615" s="42" t="n"/>
    </row>
    <row r="616">
      <c r="A616" s="42" t="n"/>
    </row>
    <row r="617">
      <c r="A617" s="42" t="n"/>
    </row>
    <row r="618">
      <c r="A618" s="42" t="n"/>
    </row>
    <row r="619">
      <c r="A619" s="42" t="n"/>
    </row>
    <row r="620">
      <c r="A620" s="42" t="n"/>
    </row>
    <row r="621">
      <c r="A621" s="42" t="n"/>
    </row>
    <row r="622">
      <c r="A622" s="42" t="n"/>
    </row>
    <row r="623">
      <c r="A623" s="42" t="n"/>
    </row>
    <row r="624">
      <c r="A624" s="42" t="n"/>
    </row>
    <row r="625">
      <c r="A625" s="42" t="n"/>
    </row>
    <row r="626">
      <c r="A626" s="42" t="n"/>
    </row>
    <row r="627">
      <c r="A627" s="42" t="n"/>
    </row>
    <row r="628">
      <c r="A628" s="42" t="n"/>
    </row>
    <row r="629">
      <c r="A629" s="42" t="n"/>
    </row>
    <row r="630">
      <c r="A630" s="42" t="n"/>
    </row>
    <row r="631">
      <c r="A631" s="42" t="n"/>
    </row>
    <row r="632">
      <c r="A632" s="42" t="n"/>
    </row>
    <row r="633">
      <c r="A633" s="42" t="n"/>
    </row>
    <row r="634">
      <c r="A634" s="42" t="n"/>
    </row>
    <row r="635">
      <c r="A635" s="42" t="n"/>
    </row>
    <row r="636">
      <c r="A636" s="42" t="n"/>
    </row>
    <row r="637">
      <c r="A637" s="42" t="n"/>
    </row>
    <row r="638">
      <c r="A638" s="42" t="n"/>
    </row>
    <row r="639">
      <c r="A639" s="42" t="n"/>
    </row>
    <row r="640">
      <c r="A640" s="42" t="n"/>
    </row>
    <row r="641">
      <c r="A641" s="42" t="n"/>
    </row>
    <row r="642">
      <c r="A642" s="42" t="n"/>
    </row>
    <row r="643">
      <c r="A643" s="42" t="n"/>
    </row>
    <row r="644">
      <c r="A644" s="42" t="n"/>
    </row>
    <row r="645">
      <c r="A645" s="42" t="n"/>
    </row>
    <row r="646">
      <c r="A646" s="42" t="n"/>
    </row>
    <row r="647">
      <c r="A647" s="42" t="n"/>
    </row>
    <row r="648">
      <c r="A648" s="42" t="n"/>
    </row>
    <row r="649">
      <c r="A649" s="42" t="n"/>
    </row>
    <row r="650">
      <c r="A650" s="42" t="n"/>
    </row>
    <row r="651">
      <c r="A651" s="42" t="n"/>
    </row>
    <row r="652">
      <c r="A652" s="42" t="n"/>
    </row>
    <row r="653">
      <c r="A653" s="42" t="n"/>
    </row>
    <row r="654">
      <c r="A654" s="42" t="n"/>
    </row>
    <row r="655">
      <c r="A655" s="42" t="n"/>
    </row>
    <row r="656">
      <c r="A656" s="42" t="n"/>
    </row>
    <row r="657">
      <c r="A657" s="42" t="n"/>
    </row>
    <row r="658">
      <c r="A658" s="42" t="n"/>
    </row>
    <row r="659">
      <c r="A659" s="42" t="n"/>
    </row>
    <row r="660">
      <c r="A660" s="42" t="n"/>
    </row>
    <row r="661">
      <c r="A661" s="42" t="n"/>
    </row>
    <row r="662">
      <c r="A662" s="42" t="n"/>
    </row>
    <row r="663">
      <c r="A663" s="42" t="n"/>
    </row>
    <row r="664">
      <c r="A664" s="42" t="n"/>
    </row>
    <row r="665">
      <c r="A665" s="42" t="n"/>
    </row>
    <row r="666">
      <c r="A666" s="42" t="n"/>
    </row>
    <row r="667">
      <c r="A667" s="42" t="n"/>
    </row>
    <row r="668">
      <c r="A668" s="42" t="n"/>
    </row>
    <row r="669">
      <c r="A669" s="42" t="n"/>
    </row>
    <row r="670">
      <c r="A670" s="42" t="n"/>
    </row>
    <row r="671">
      <c r="A671" s="42" t="n"/>
    </row>
    <row r="672">
      <c r="A672" s="42" t="n"/>
    </row>
    <row r="673">
      <c r="A673" s="42" t="n"/>
    </row>
    <row r="674">
      <c r="A674" s="42" t="n"/>
    </row>
    <row r="675">
      <c r="A675" s="42" t="n"/>
    </row>
    <row r="676">
      <c r="A676" s="42" t="n"/>
    </row>
    <row r="677">
      <c r="A677" s="42" t="n"/>
    </row>
    <row r="678">
      <c r="A678" s="42" t="n"/>
    </row>
    <row r="679">
      <c r="A679" s="42" t="n"/>
    </row>
    <row r="680">
      <c r="A680" s="42" t="n"/>
    </row>
    <row r="681">
      <c r="A681" s="42" t="n"/>
    </row>
    <row r="682">
      <c r="A682" s="42" t="n"/>
    </row>
    <row r="683">
      <c r="A683" s="42" t="n"/>
    </row>
    <row r="684">
      <c r="A684" s="42" t="n"/>
    </row>
    <row r="685">
      <c r="A685" s="42" t="n"/>
    </row>
    <row r="686">
      <c r="A686" s="42" t="n"/>
    </row>
    <row r="687">
      <c r="A687" s="42" t="n"/>
    </row>
    <row r="688">
      <c r="A688" s="42" t="n"/>
    </row>
    <row r="689">
      <c r="A689" s="42" t="n"/>
    </row>
    <row r="690">
      <c r="A690" s="42" t="n"/>
    </row>
    <row r="691">
      <c r="A691" s="42" t="n"/>
    </row>
    <row r="692">
      <c r="A692" s="42" t="n"/>
    </row>
    <row r="693">
      <c r="A693" s="42" t="n"/>
    </row>
    <row r="694">
      <c r="A694" s="42" t="n"/>
    </row>
    <row r="695">
      <c r="A695" s="42" t="n"/>
    </row>
    <row r="696">
      <c r="A696" s="42" t="n"/>
    </row>
    <row r="697">
      <c r="A697" s="42" t="n"/>
    </row>
    <row r="698">
      <c r="A698" s="42" t="n"/>
    </row>
    <row r="699">
      <c r="A699" s="42" t="n"/>
    </row>
    <row r="700">
      <c r="A700" s="42" t="n"/>
    </row>
    <row r="701">
      <c r="A701" s="42" t="n"/>
    </row>
    <row r="702">
      <c r="A702" s="42" t="n"/>
    </row>
    <row r="703">
      <c r="A703" s="42" t="n"/>
    </row>
    <row r="704">
      <c r="A704" s="42" t="n"/>
    </row>
    <row r="705">
      <c r="A705" s="42" t="n"/>
    </row>
    <row r="706">
      <c r="A706" s="42" t="n"/>
    </row>
    <row r="707">
      <c r="A707" s="42" t="n"/>
    </row>
    <row r="708">
      <c r="A708" s="42" t="n"/>
    </row>
    <row r="709">
      <c r="A709" s="42" t="n"/>
    </row>
    <row r="710">
      <c r="A710" s="42" t="n"/>
    </row>
    <row r="711">
      <c r="A711" s="42" t="n"/>
    </row>
    <row r="712">
      <c r="A712" s="42" t="n"/>
    </row>
    <row r="713">
      <c r="A713" s="42" t="n"/>
    </row>
    <row r="714">
      <c r="A714" s="42" t="n"/>
    </row>
    <row r="715">
      <c r="A715" s="42" t="n"/>
    </row>
    <row r="716">
      <c r="A716" s="42" t="n"/>
    </row>
    <row r="717">
      <c r="A717" s="42" t="n"/>
    </row>
    <row r="718">
      <c r="A718" s="42" t="n"/>
    </row>
    <row r="719">
      <c r="A719" s="42" t="n"/>
    </row>
    <row r="720">
      <c r="A720" s="42" t="n"/>
    </row>
    <row r="721">
      <c r="A721" s="42" t="n"/>
    </row>
    <row r="722">
      <c r="A722" s="42" t="n"/>
    </row>
    <row r="723">
      <c r="A723" s="42" t="n"/>
    </row>
    <row r="724">
      <c r="A724" s="42" t="n"/>
    </row>
    <row r="725">
      <c r="A725" s="42" t="n"/>
    </row>
    <row r="726">
      <c r="A726" s="42" t="n"/>
    </row>
    <row r="727">
      <c r="A727" s="42" t="n"/>
    </row>
    <row r="728">
      <c r="A728" s="42" t="n"/>
    </row>
    <row r="729">
      <c r="A729" s="42" t="n"/>
    </row>
    <row r="730">
      <c r="A730" s="42" t="n"/>
    </row>
    <row r="731">
      <c r="A731" s="42" t="n"/>
    </row>
    <row r="732">
      <c r="A732" s="42" t="n"/>
    </row>
    <row r="733">
      <c r="A733" s="42" t="n"/>
    </row>
    <row r="734">
      <c r="A734" s="42" t="n"/>
    </row>
    <row r="735">
      <c r="A735" s="42" t="n"/>
    </row>
    <row r="736">
      <c r="A736" s="42" t="n"/>
    </row>
    <row r="737">
      <c r="A737" s="42" t="n"/>
    </row>
    <row r="738">
      <c r="A738" s="42" t="n"/>
    </row>
    <row r="739">
      <c r="A739" s="42" t="n"/>
    </row>
    <row r="740">
      <c r="A740" s="42" t="n"/>
    </row>
    <row r="741">
      <c r="A741" s="42" t="n"/>
    </row>
    <row r="742">
      <c r="A742" s="42" t="n"/>
    </row>
    <row r="743">
      <c r="A743" s="42" t="n"/>
    </row>
    <row r="744">
      <c r="A744" s="42" t="n"/>
    </row>
    <row r="745">
      <c r="A745" s="42" t="n"/>
    </row>
    <row r="746">
      <c r="A746" s="42" t="n"/>
    </row>
    <row r="747">
      <c r="A747" s="42" t="n"/>
    </row>
    <row r="748">
      <c r="A748" s="42" t="n"/>
    </row>
    <row r="749">
      <c r="A749" s="42" t="n"/>
    </row>
    <row r="750">
      <c r="A750" s="42" t="n"/>
    </row>
    <row r="751">
      <c r="A751" s="42" t="n"/>
    </row>
    <row r="752">
      <c r="A752" s="42" t="n"/>
    </row>
    <row r="753">
      <c r="A753" s="42" t="n"/>
    </row>
    <row r="754">
      <c r="A754" s="42" t="n"/>
    </row>
    <row r="755">
      <c r="A755" s="42" t="n"/>
    </row>
    <row r="756">
      <c r="A756" s="42" t="n"/>
    </row>
    <row r="757">
      <c r="A757" s="42" t="n"/>
    </row>
    <row r="758">
      <c r="A758" s="42" t="n"/>
    </row>
    <row r="759">
      <c r="A759" s="42" t="n"/>
    </row>
    <row r="760">
      <c r="A760" s="42" t="n"/>
    </row>
    <row r="761">
      <c r="A761" s="42" t="n"/>
    </row>
    <row r="762">
      <c r="A762" s="42" t="n"/>
    </row>
    <row r="763">
      <c r="A763" s="42" t="n"/>
    </row>
    <row r="764">
      <c r="A764" s="42" t="n"/>
    </row>
    <row r="765">
      <c r="A765" s="42" t="n"/>
    </row>
    <row r="766">
      <c r="A766" s="42" t="n"/>
    </row>
    <row r="767">
      <c r="A767" s="42" t="n"/>
    </row>
    <row r="768">
      <c r="A768" s="42" t="n"/>
    </row>
    <row r="769">
      <c r="A769" s="42" t="n"/>
    </row>
    <row r="770">
      <c r="A770" s="42" t="n"/>
    </row>
    <row r="771">
      <c r="A771" s="42" t="n"/>
    </row>
    <row r="772">
      <c r="A772" s="42" t="n"/>
    </row>
    <row r="773">
      <c r="A773" s="42" t="n"/>
    </row>
    <row r="774">
      <c r="A774" s="42" t="n"/>
    </row>
    <row r="775">
      <c r="A775" s="42" t="n"/>
    </row>
    <row r="776">
      <c r="A776" s="42" t="n"/>
    </row>
    <row r="777">
      <c r="A777" s="42" t="n"/>
    </row>
    <row r="778">
      <c r="A778" s="42" t="n"/>
    </row>
    <row r="779">
      <c r="A779" s="42" t="n"/>
    </row>
    <row r="780">
      <c r="A780" s="42" t="n"/>
    </row>
    <row r="781">
      <c r="A781" s="42" t="n"/>
    </row>
    <row r="782">
      <c r="A782" s="42" t="n"/>
    </row>
    <row r="783">
      <c r="A783" s="42" t="n"/>
    </row>
    <row r="784">
      <c r="A784" s="42" t="n"/>
    </row>
    <row r="785">
      <c r="A785" s="42" t="n"/>
    </row>
    <row r="786">
      <c r="A786" s="42" t="n"/>
    </row>
    <row r="787">
      <c r="A787" s="42" t="n"/>
    </row>
    <row r="788">
      <c r="A788" s="42" t="n"/>
    </row>
    <row r="789">
      <c r="A789" s="42" t="n"/>
    </row>
    <row r="790">
      <c r="A790" s="42" t="n"/>
    </row>
    <row r="791">
      <c r="A791" s="42" t="n"/>
    </row>
    <row r="792">
      <c r="A792" s="42" t="n"/>
    </row>
    <row r="793">
      <c r="A793" s="42" t="n"/>
    </row>
    <row r="794">
      <c r="A794" s="42" t="n"/>
    </row>
    <row r="795">
      <c r="A795" s="42" t="n"/>
    </row>
    <row r="796">
      <c r="A796" s="42" t="n"/>
    </row>
    <row r="797">
      <c r="A797" s="42" t="n"/>
    </row>
    <row r="798">
      <c r="A798" s="42" t="n"/>
    </row>
    <row r="799">
      <c r="A799" s="42" t="n"/>
    </row>
    <row r="800">
      <c r="A800" s="42" t="n"/>
    </row>
    <row r="801">
      <c r="A801" s="42" t="n"/>
    </row>
    <row r="802">
      <c r="A802" s="42" t="n"/>
    </row>
    <row r="803">
      <c r="A803" s="42" t="n"/>
    </row>
    <row r="804">
      <c r="A804" s="42" t="n"/>
    </row>
    <row r="805">
      <c r="A805" s="42" t="n"/>
    </row>
    <row r="806">
      <c r="A806" s="42" t="n"/>
    </row>
    <row r="807">
      <c r="A807" s="42" t="n"/>
    </row>
    <row r="808">
      <c r="A808" s="42" t="n"/>
    </row>
    <row r="809">
      <c r="A809" s="42" t="n"/>
    </row>
    <row r="810">
      <c r="A810" s="42" t="n"/>
    </row>
    <row r="811">
      <c r="A811" s="42" t="n"/>
    </row>
    <row r="812">
      <c r="A812" s="42" t="n"/>
    </row>
    <row r="813">
      <c r="A813" s="42" t="n"/>
    </row>
    <row r="814">
      <c r="A814" s="42" t="n"/>
    </row>
    <row r="815">
      <c r="A815" s="42" t="n"/>
    </row>
    <row r="816">
      <c r="A816" s="42" t="n"/>
    </row>
    <row r="817">
      <c r="A817" s="42" t="n"/>
    </row>
    <row r="818">
      <c r="A818" s="42" t="n"/>
    </row>
    <row r="819">
      <c r="A819" s="42" t="n"/>
    </row>
    <row r="820">
      <c r="A820" s="42" t="n"/>
    </row>
    <row r="821">
      <c r="A821" s="42" t="n"/>
    </row>
    <row r="822">
      <c r="A822" s="42" t="n"/>
    </row>
    <row r="823">
      <c r="A823" s="42" t="n"/>
    </row>
    <row r="824">
      <c r="A824" s="42" t="n"/>
    </row>
    <row r="825">
      <c r="A825" s="42" t="n"/>
    </row>
    <row r="826">
      <c r="A826" s="42" t="n"/>
    </row>
    <row r="827">
      <c r="A827" s="42" t="n"/>
    </row>
    <row r="828">
      <c r="A828" s="42" t="n"/>
    </row>
    <row r="829">
      <c r="A829" s="42" t="n"/>
    </row>
    <row r="830">
      <c r="A830" s="42" t="n"/>
    </row>
    <row r="831">
      <c r="A831" s="42" t="n"/>
    </row>
    <row r="832">
      <c r="A832" s="42" t="n"/>
    </row>
    <row r="833">
      <c r="A833" s="42" t="n"/>
    </row>
    <row r="834">
      <c r="A834" s="42" t="n"/>
    </row>
    <row r="835">
      <c r="A835" s="42" t="n"/>
    </row>
    <row r="836">
      <c r="A836" s="42" t="n"/>
    </row>
    <row r="837">
      <c r="A837" s="42" t="n"/>
    </row>
    <row r="838">
      <c r="A838" s="42" t="n"/>
    </row>
    <row r="839">
      <c r="A839" s="42" t="n"/>
    </row>
    <row r="840">
      <c r="A840" s="42" t="n"/>
    </row>
    <row r="841">
      <c r="A841" s="42" t="n"/>
    </row>
    <row r="842">
      <c r="A842" s="42" t="n"/>
    </row>
    <row r="843">
      <c r="A843" s="42" t="n"/>
    </row>
    <row r="844">
      <c r="A844" s="42" t="n"/>
    </row>
    <row r="845">
      <c r="A845" s="42" t="n"/>
    </row>
    <row r="846">
      <c r="A846" s="42" t="n"/>
    </row>
    <row r="847">
      <c r="A847" s="42" t="n"/>
    </row>
    <row r="848">
      <c r="A848" s="42" t="n"/>
    </row>
    <row r="849">
      <c r="A849" s="42" t="n"/>
    </row>
    <row r="850">
      <c r="A850" s="42" t="n"/>
    </row>
    <row r="851">
      <c r="A851" s="42" t="n"/>
    </row>
    <row r="852">
      <c r="A852" s="42" t="n"/>
    </row>
    <row r="853">
      <c r="A853" s="42" t="n"/>
    </row>
    <row r="854">
      <c r="A854" s="42" t="n"/>
    </row>
    <row r="855">
      <c r="A855" s="42" t="n"/>
    </row>
    <row r="856">
      <c r="A856" s="42" t="n"/>
    </row>
    <row r="857">
      <c r="A857" s="42" t="n"/>
    </row>
    <row r="858">
      <c r="A858" s="42" t="n"/>
    </row>
    <row r="859">
      <c r="A859" s="42" t="n"/>
    </row>
    <row r="860">
      <c r="A860" s="42" t="n"/>
    </row>
    <row r="861">
      <c r="A861" s="42" t="n"/>
    </row>
    <row r="862">
      <c r="A862" s="42" t="n"/>
    </row>
    <row r="863">
      <c r="A863" s="42" t="n"/>
    </row>
    <row r="864">
      <c r="A864" s="42" t="n"/>
    </row>
    <row r="865">
      <c r="A865" s="42" t="n"/>
    </row>
    <row r="866">
      <c r="A866" s="42" t="n"/>
    </row>
    <row r="867">
      <c r="A867" s="42" t="n"/>
    </row>
    <row r="868">
      <c r="A868" s="42" t="n"/>
    </row>
    <row r="869">
      <c r="A869" s="42" t="n"/>
    </row>
    <row r="870">
      <c r="A870" s="42" t="n"/>
    </row>
    <row r="871">
      <c r="A871" s="42" t="n"/>
    </row>
    <row r="872">
      <c r="A872" s="42" t="n"/>
    </row>
    <row r="873">
      <c r="A873" s="42" t="n"/>
    </row>
    <row r="874">
      <c r="A874" s="42" t="n"/>
    </row>
    <row r="875">
      <c r="A875" s="42" t="n"/>
    </row>
    <row r="876">
      <c r="A876" s="42" t="n"/>
    </row>
    <row r="877">
      <c r="A877" s="42" t="n"/>
    </row>
    <row r="878">
      <c r="A878" s="42" t="n"/>
    </row>
    <row r="879">
      <c r="A879" s="42" t="n"/>
    </row>
    <row r="880">
      <c r="A880" s="42" t="n"/>
    </row>
    <row r="881">
      <c r="A881" s="42" t="n"/>
    </row>
    <row r="882">
      <c r="A882" s="42" t="n"/>
    </row>
    <row r="883">
      <c r="A883" s="42" t="n"/>
    </row>
    <row r="884">
      <c r="A884" s="42" t="n"/>
    </row>
    <row r="885">
      <c r="A885" s="42" t="n"/>
    </row>
    <row r="886">
      <c r="A886" s="42" t="n"/>
    </row>
    <row r="887">
      <c r="A887" s="42" t="n"/>
    </row>
    <row r="888">
      <c r="A888" s="42" t="n"/>
    </row>
    <row r="889">
      <c r="A889" s="42" t="n"/>
    </row>
    <row r="890">
      <c r="A890" s="42" t="n"/>
    </row>
    <row r="891">
      <c r="A891" s="42" t="n"/>
    </row>
    <row r="892">
      <c r="A892" s="42" t="n"/>
    </row>
    <row r="893">
      <c r="A893" s="42" t="n"/>
    </row>
    <row r="894">
      <c r="A894" s="42" t="n"/>
    </row>
    <row r="895">
      <c r="A895" s="42" t="n"/>
    </row>
    <row r="896">
      <c r="A896" s="42" t="n"/>
    </row>
    <row r="897">
      <c r="A897" s="42" t="n"/>
    </row>
    <row r="898">
      <c r="A898" s="42" t="n"/>
    </row>
    <row r="899">
      <c r="A899" s="42" t="n"/>
    </row>
    <row r="900">
      <c r="A900" s="42" t="n"/>
    </row>
    <row r="901">
      <c r="A901" s="42" t="n"/>
    </row>
    <row r="902">
      <c r="A902" s="42" t="n"/>
    </row>
    <row r="903">
      <c r="A903" s="42" t="n"/>
    </row>
    <row r="904">
      <c r="A904" s="42" t="n"/>
    </row>
    <row r="905">
      <c r="A905" s="42" t="n"/>
    </row>
    <row r="906">
      <c r="A906" s="42" t="n"/>
    </row>
    <row r="907">
      <c r="A907" s="42" t="n"/>
    </row>
    <row r="908">
      <c r="A908" s="42" t="n"/>
    </row>
    <row r="909">
      <c r="A909" s="42" t="n"/>
    </row>
    <row r="910">
      <c r="A910" s="42" t="n"/>
    </row>
    <row r="911">
      <c r="A911" s="42" t="n"/>
    </row>
    <row r="912">
      <c r="A912" s="42" t="n"/>
    </row>
    <row r="913">
      <c r="A913" s="42" t="n"/>
    </row>
    <row r="914">
      <c r="A914" s="42" t="n"/>
    </row>
    <row r="915">
      <c r="A915" s="42" t="n"/>
    </row>
    <row r="916">
      <c r="A916" s="42" t="n"/>
    </row>
    <row r="917">
      <c r="A917" s="42" t="n"/>
    </row>
    <row r="918">
      <c r="A918" s="42" t="n"/>
    </row>
    <row r="919">
      <c r="A919" s="42" t="n"/>
    </row>
    <row r="920">
      <c r="A920" s="42" t="n"/>
    </row>
    <row r="921">
      <c r="A921" s="42" t="n"/>
    </row>
    <row r="922">
      <c r="A922" s="42" t="n"/>
    </row>
    <row r="923">
      <c r="A923" s="42" t="n"/>
    </row>
    <row r="924">
      <c r="A924" s="42" t="n"/>
    </row>
    <row r="925">
      <c r="A925" s="42" t="n"/>
    </row>
    <row r="926">
      <c r="A926" s="42" t="n"/>
    </row>
    <row r="927">
      <c r="A927" s="42" t="n"/>
    </row>
    <row r="928">
      <c r="A928" s="42" t="n"/>
    </row>
    <row r="929">
      <c r="A929" s="42" t="n"/>
    </row>
    <row r="930">
      <c r="A930" s="42" t="n"/>
    </row>
    <row r="931">
      <c r="A931" s="42" t="n"/>
    </row>
    <row r="932">
      <c r="A932" s="42" t="n"/>
    </row>
    <row r="933">
      <c r="A933" s="42" t="n"/>
    </row>
    <row r="934">
      <c r="A934" s="42" t="n"/>
    </row>
    <row r="935">
      <c r="A935" s="42" t="n"/>
    </row>
    <row r="936">
      <c r="A936" s="42" t="n"/>
    </row>
    <row r="937">
      <c r="A937" s="42" t="n"/>
    </row>
    <row r="938">
      <c r="A938" s="42" t="n"/>
    </row>
    <row r="939">
      <c r="A939" s="42" t="n"/>
    </row>
    <row r="940">
      <c r="A940" s="42" t="n"/>
    </row>
    <row r="941">
      <c r="A941" s="42" t="n"/>
    </row>
    <row r="942">
      <c r="A942" s="42" t="n"/>
    </row>
    <row r="943">
      <c r="A943" s="42" t="n"/>
    </row>
    <row r="944">
      <c r="A944" s="42" t="n"/>
    </row>
    <row r="945">
      <c r="A945" s="42" t="n"/>
    </row>
    <row r="946">
      <c r="A946" s="42" t="n"/>
    </row>
    <row r="947">
      <c r="A947" s="42" t="n"/>
    </row>
    <row r="948">
      <c r="A948" s="42" t="n"/>
    </row>
    <row r="949">
      <c r="A949" s="42" t="n"/>
    </row>
    <row r="950">
      <c r="A950" s="42" t="n"/>
    </row>
    <row r="951">
      <c r="A951" s="42" t="n"/>
    </row>
    <row r="952">
      <c r="A952" s="42" t="n"/>
    </row>
    <row r="953">
      <c r="A953" s="42" t="n"/>
    </row>
    <row r="954">
      <c r="A954" s="42" t="n"/>
    </row>
    <row r="955">
      <c r="A955" s="42" t="n"/>
    </row>
    <row r="956">
      <c r="A956" s="42" t="n"/>
    </row>
    <row r="957">
      <c r="A957" s="42" t="n"/>
    </row>
    <row r="958">
      <c r="A958" s="42" t="n"/>
    </row>
    <row r="959">
      <c r="A959" s="42" t="n"/>
    </row>
    <row r="960">
      <c r="A960" s="42" t="n"/>
    </row>
    <row r="961">
      <c r="A961" s="42" t="n"/>
    </row>
    <row r="962">
      <c r="A962" s="42" t="n"/>
    </row>
    <row r="963">
      <c r="A963" s="42" t="n"/>
    </row>
    <row r="964">
      <c r="A964" s="42" t="n"/>
    </row>
    <row r="965">
      <c r="A965" s="42" t="n"/>
    </row>
    <row r="966">
      <c r="A966" s="42" t="n"/>
    </row>
    <row r="967">
      <c r="A967" s="42" t="n"/>
    </row>
    <row r="968">
      <c r="A968" s="42" t="n"/>
    </row>
    <row r="969">
      <c r="A969" s="42" t="n"/>
    </row>
    <row r="970">
      <c r="A970" s="42" t="n"/>
    </row>
    <row r="971">
      <c r="A971" s="42" t="n"/>
    </row>
    <row r="972">
      <c r="A972" s="42" t="n"/>
    </row>
    <row r="973">
      <c r="A973" s="42" t="n"/>
    </row>
    <row r="974">
      <c r="A974" s="42" t="n"/>
    </row>
    <row r="975">
      <c r="A975" s="42" t="n"/>
    </row>
    <row r="976">
      <c r="A976" s="42" t="n"/>
    </row>
    <row r="977">
      <c r="A977" s="42" t="n"/>
    </row>
    <row r="978">
      <c r="A978" s="42" t="n"/>
    </row>
    <row r="979">
      <c r="A979" s="42" t="n"/>
    </row>
    <row r="980">
      <c r="A980" s="42" t="n"/>
    </row>
    <row r="981">
      <c r="A981" s="42" t="n"/>
    </row>
    <row r="982">
      <c r="A982" s="42" t="n"/>
    </row>
    <row r="983">
      <c r="A983" s="42" t="n"/>
    </row>
    <row r="984">
      <c r="A984" s="42" t="n"/>
    </row>
    <row r="985">
      <c r="A985" s="42" t="n"/>
    </row>
    <row r="986">
      <c r="A986" s="42" t="n"/>
    </row>
    <row r="987">
      <c r="A987" s="42" t="n"/>
    </row>
    <row r="988">
      <c r="A988" s="42" t="n"/>
    </row>
    <row r="989">
      <c r="A989" s="42" t="n"/>
    </row>
    <row r="990">
      <c r="A990" s="42" t="n"/>
    </row>
    <row r="991">
      <c r="A991" s="42" t="n"/>
    </row>
    <row r="992">
      <c r="A992" s="42" t="n"/>
    </row>
    <row r="993">
      <c r="A993" s="42" t="n"/>
    </row>
    <row r="994">
      <c r="A994" s="42" t="n"/>
    </row>
    <row r="995">
      <c r="A995" s="42" t="n"/>
    </row>
    <row r="996">
      <c r="A996" s="42" t="n"/>
    </row>
    <row r="997">
      <c r="A997" s="42" t="n"/>
    </row>
    <row r="998">
      <c r="A998" s="42" t="n"/>
    </row>
    <row r="999">
      <c r="A999" s="42" t="n"/>
    </row>
    <row r="1000">
      <c r="A1000" s="42" t="n"/>
    </row>
    <row r="1001">
      <c r="A1001" s="42" t="n"/>
    </row>
    <row r="1002">
      <c r="A1002" s="42" t="n"/>
    </row>
    <row r="1003">
      <c r="A1003" s="42" t="n"/>
    </row>
    <row r="1004">
      <c r="A1004" s="42" t="n"/>
    </row>
    <row r="1005">
      <c r="A1005" s="42" t="n"/>
    </row>
    <row r="1006">
      <c r="A1006" s="42" t="n"/>
    </row>
    <row r="1007">
      <c r="A1007" s="42" t="n"/>
    </row>
    <row r="1008">
      <c r="A1008" s="42" t="n"/>
    </row>
    <row r="1009">
      <c r="A1009" s="42" t="n"/>
    </row>
    <row r="1010">
      <c r="A1010" s="42" t="n"/>
    </row>
    <row r="1011">
      <c r="A1011" s="42" t="n"/>
    </row>
    <row r="1012">
      <c r="A1012" s="42" t="n"/>
    </row>
    <row r="1013">
      <c r="A1013" s="42" t="n"/>
    </row>
    <row r="1014">
      <c r="A1014" s="42" t="n"/>
    </row>
    <row r="1015">
      <c r="A1015" s="42" t="n"/>
    </row>
    <row r="1016">
      <c r="A1016" s="42" t="n"/>
    </row>
    <row r="1017">
      <c r="A1017" s="42" t="n"/>
    </row>
    <row r="1018">
      <c r="A1018" s="42" t="n"/>
    </row>
    <row r="1019">
      <c r="A1019" s="42" t="n"/>
    </row>
    <row r="1020">
      <c r="A1020" s="42" t="n"/>
    </row>
    <row r="1021">
      <c r="A1021" s="42" t="n"/>
    </row>
    <row r="1022">
      <c r="A1022" s="42" t="n"/>
    </row>
    <row r="1023">
      <c r="A1023" s="42" t="n"/>
    </row>
    <row r="1024">
      <c r="A1024" s="42" t="n"/>
    </row>
    <row r="1025">
      <c r="A1025" s="42" t="n"/>
    </row>
    <row r="1026">
      <c r="A1026" s="42" t="n"/>
    </row>
    <row r="1027">
      <c r="A1027" s="42" t="n"/>
    </row>
    <row r="1028">
      <c r="A1028" s="42" t="n"/>
    </row>
    <row r="1029">
      <c r="A1029" s="42" t="n"/>
    </row>
    <row r="1030">
      <c r="A1030" s="42" t="n"/>
    </row>
    <row r="1031">
      <c r="A1031" s="42" t="n"/>
    </row>
    <row r="1032">
      <c r="A1032" s="42" t="n"/>
    </row>
    <row r="1033">
      <c r="A1033" s="42" t="n"/>
    </row>
    <row r="1034">
      <c r="A1034" s="42" t="n"/>
    </row>
    <row r="1035">
      <c r="A1035" s="42" t="n"/>
    </row>
    <row r="1036">
      <c r="A1036" s="42" t="n"/>
    </row>
    <row r="1037">
      <c r="A1037" s="42" t="n"/>
    </row>
    <row r="1038">
      <c r="A1038" s="42" t="n"/>
    </row>
    <row r="1039">
      <c r="A1039" s="42" t="n"/>
    </row>
    <row r="1040">
      <c r="A1040" s="42" t="n"/>
    </row>
    <row r="1041">
      <c r="A1041" s="42" t="n"/>
    </row>
    <row r="1042">
      <c r="A1042" s="42" t="n"/>
    </row>
    <row r="1043">
      <c r="A1043" s="42" t="n"/>
    </row>
    <row r="1044">
      <c r="A1044" s="42" t="n"/>
    </row>
    <row r="1045">
      <c r="A1045" s="42" t="n"/>
    </row>
    <row r="1046">
      <c r="A1046" s="42" t="n"/>
    </row>
    <row r="1047">
      <c r="A1047" s="42" t="n"/>
    </row>
    <row r="1048">
      <c r="A1048" s="42" t="n"/>
    </row>
    <row r="1049">
      <c r="A1049" s="42" t="n"/>
    </row>
    <row r="1050">
      <c r="A1050" s="42" t="n"/>
    </row>
    <row r="1051">
      <c r="A1051" s="42" t="n"/>
    </row>
    <row r="1052">
      <c r="A1052" s="42" t="n"/>
    </row>
    <row r="1053">
      <c r="A1053" s="42" t="n"/>
    </row>
    <row r="1054">
      <c r="A1054" s="42" t="n"/>
    </row>
    <row r="1055">
      <c r="A1055" s="42" t="n"/>
    </row>
    <row r="1056">
      <c r="A1056" s="42" t="n"/>
    </row>
    <row r="1057">
      <c r="A1057" s="42" t="n"/>
    </row>
    <row r="1058">
      <c r="A1058" s="42" t="n"/>
    </row>
    <row r="1059">
      <c r="A1059" s="42" t="n"/>
    </row>
    <row r="1060">
      <c r="A1060" s="42" t="n"/>
    </row>
    <row r="1061">
      <c r="A1061" s="42" t="n"/>
    </row>
    <row r="1062">
      <c r="A1062" s="42" t="n"/>
    </row>
    <row r="1063">
      <c r="A1063" s="42" t="n"/>
    </row>
    <row r="1064">
      <c r="A1064" s="42" t="n"/>
    </row>
    <row r="1065">
      <c r="A1065" s="42" t="n"/>
    </row>
    <row r="1066">
      <c r="A1066" s="42" t="n"/>
    </row>
    <row r="1067">
      <c r="A1067" s="42" t="n"/>
    </row>
    <row r="1068">
      <c r="A1068" s="42" t="n"/>
    </row>
    <row r="1069">
      <c r="A1069" s="42" t="n"/>
    </row>
    <row r="1070">
      <c r="A1070" s="42" t="n"/>
    </row>
    <row r="1071">
      <c r="A1071" s="42" t="n"/>
    </row>
    <row r="1072">
      <c r="A1072" s="42" t="n"/>
    </row>
    <row r="1073">
      <c r="A1073" s="42" t="n"/>
    </row>
    <row r="1074">
      <c r="A1074" s="42" t="n"/>
    </row>
    <row r="1075">
      <c r="A1075" s="42" t="n"/>
    </row>
    <row r="1076">
      <c r="A1076" s="42" t="n"/>
    </row>
    <row r="1077">
      <c r="A1077" s="42" t="n"/>
    </row>
    <row r="1078">
      <c r="A1078" s="42" t="n"/>
    </row>
    <row r="1079">
      <c r="A1079" s="42" t="n"/>
    </row>
    <row r="1080">
      <c r="A1080" s="42" t="n"/>
    </row>
    <row r="1081">
      <c r="A1081" s="42" t="n"/>
    </row>
    <row r="1082">
      <c r="A1082" s="42" t="n"/>
    </row>
    <row r="1083">
      <c r="A1083" s="42" t="n"/>
    </row>
    <row r="1084">
      <c r="A1084" s="42" t="n"/>
    </row>
    <row r="1085">
      <c r="A1085" s="42" t="n"/>
    </row>
    <row r="1086">
      <c r="A1086" s="42" t="n"/>
    </row>
    <row r="1087">
      <c r="A1087" s="42" t="n"/>
    </row>
    <row r="1088">
      <c r="A1088" s="42" t="n"/>
    </row>
    <row r="1089">
      <c r="A1089" s="42" t="n"/>
    </row>
    <row r="1090">
      <c r="A1090" s="42" t="n"/>
    </row>
    <row r="1091">
      <c r="A1091" s="42" t="n"/>
    </row>
    <row r="1092">
      <c r="A1092" s="42" t="n"/>
    </row>
    <row r="1093">
      <c r="A1093" s="42" t="n"/>
    </row>
    <row r="1094">
      <c r="A1094" s="42" t="n"/>
    </row>
    <row r="1095">
      <c r="A1095" s="42" t="n"/>
    </row>
    <row r="1096">
      <c r="A1096" s="42" t="n"/>
    </row>
    <row r="1097">
      <c r="A1097" s="42" t="n"/>
    </row>
    <row r="1098">
      <c r="A1098" s="42" t="n"/>
    </row>
    <row r="1099">
      <c r="A1099" s="42" t="n"/>
    </row>
    <row r="1100">
      <c r="A1100" s="42" t="n"/>
    </row>
    <row r="1101">
      <c r="A1101" s="42" t="n"/>
    </row>
    <row r="1102">
      <c r="A1102" s="42" t="n"/>
    </row>
    <row r="1103">
      <c r="A1103" s="42" t="n"/>
    </row>
    <row r="1104">
      <c r="A1104" s="42" t="n"/>
    </row>
    <row r="1105">
      <c r="A1105" s="42" t="n"/>
    </row>
    <row r="1106">
      <c r="A1106" s="42" t="n"/>
    </row>
    <row r="1107">
      <c r="A1107" s="42" t="n"/>
    </row>
    <row r="1108">
      <c r="A1108" s="42" t="n"/>
    </row>
    <row r="1109">
      <c r="A1109" s="42" t="n"/>
    </row>
    <row r="1110">
      <c r="A1110" s="42" t="n"/>
    </row>
    <row r="1111">
      <c r="A1111" s="42" t="n"/>
    </row>
    <row r="1112">
      <c r="A1112" s="42" t="n"/>
    </row>
    <row r="1113">
      <c r="A1113" s="42" t="n"/>
    </row>
    <row r="1114">
      <c r="A1114" s="42" t="n"/>
    </row>
    <row r="1115">
      <c r="A1115" s="42" t="n"/>
    </row>
    <row r="1116">
      <c r="A1116" s="42" t="n"/>
    </row>
    <row r="1117">
      <c r="A1117" s="42" t="n"/>
    </row>
    <row r="1118">
      <c r="A1118" s="42" t="n"/>
    </row>
    <row r="1119">
      <c r="A1119" s="42" t="n"/>
    </row>
    <row r="1120">
      <c r="A1120" s="42" t="n"/>
    </row>
    <row r="1121">
      <c r="A1121" s="42" t="n"/>
    </row>
    <row r="1122">
      <c r="A1122" s="42" t="n"/>
    </row>
    <row r="1123">
      <c r="A1123" s="42" t="n"/>
    </row>
    <row r="1124">
      <c r="A1124" s="42" t="n"/>
    </row>
    <row r="1125">
      <c r="A1125" s="42" t="n"/>
    </row>
    <row r="1126">
      <c r="A1126" s="42" t="n"/>
    </row>
    <row r="1127">
      <c r="A1127" s="42" t="n"/>
    </row>
    <row r="1128">
      <c r="A1128" s="42" t="n"/>
    </row>
    <row r="1129">
      <c r="A1129" s="42" t="n"/>
    </row>
    <row r="1130">
      <c r="A1130" s="42" t="n"/>
    </row>
    <row r="1131">
      <c r="A1131" s="42" t="n"/>
    </row>
    <row r="1132">
      <c r="A1132" s="42" t="n"/>
    </row>
    <row r="1133">
      <c r="A1133" s="42" t="n"/>
    </row>
    <row r="1134">
      <c r="A1134" s="42" t="n"/>
    </row>
    <row r="1135">
      <c r="A1135" s="42" t="n"/>
    </row>
    <row r="1136">
      <c r="A1136" s="42" t="n"/>
    </row>
    <row r="1137">
      <c r="A1137" s="42" t="n"/>
    </row>
    <row r="1138">
      <c r="A1138" s="42" t="n"/>
    </row>
    <row r="1139">
      <c r="A1139" s="42" t="n"/>
    </row>
    <row r="1140">
      <c r="A1140" s="42" t="n"/>
    </row>
    <row r="1141">
      <c r="A1141" s="42" t="n"/>
    </row>
    <row r="1142">
      <c r="A1142" s="42" t="n"/>
    </row>
    <row r="1143">
      <c r="A1143" s="42" t="n"/>
    </row>
    <row r="1144">
      <c r="A1144" s="42" t="n"/>
    </row>
    <row r="1145">
      <c r="A1145" s="42" t="n"/>
    </row>
    <row r="1146">
      <c r="A1146" s="42" t="n"/>
    </row>
    <row r="1147">
      <c r="A1147" s="42" t="n"/>
    </row>
    <row r="1148">
      <c r="A1148" s="42" t="n"/>
    </row>
    <row r="1149">
      <c r="A1149" s="42" t="n"/>
    </row>
    <row r="1150">
      <c r="A1150" s="42" t="n"/>
    </row>
    <row r="1151">
      <c r="A1151" s="42" t="n"/>
    </row>
    <row r="1152">
      <c r="A1152" s="42" t="n"/>
    </row>
    <row r="1153">
      <c r="A1153" s="42" t="n"/>
    </row>
    <row r="1154">
      <c r="A1154" s="42" t="n"/>
    </row>
    <row r="1155">
      <c r="A1155" s="42" t="n"/>
    </row>
    <row r="1156">
      <c r="A1156" s="42" t="n"/>
    </row>
    <row r="1157">
      <c r="A1157" s="42" t="n"/>
    </row>
    <row r="1158">
      <c r="A1158" s="42" t="n"/>
    </row>
    <row r="1159">
      <c r="A1159" s="42" t="n"/>
    </row>
    <row r="1160">
      <c r="A1160" s="42" t="n"/>
    </row>
    <row r="1161">
      <c r="A1161" s="42" t="n"/>
    </row>
    <row r="1162">
      <c r="A1162" s="42" t="n"/>
    </row>
    <row r="1163">
      <c r="A1163" s="42" t="n"/>
    </row>
    <row r="1164">
      <c r="A1164" s="42" t="n"/>
    </row>
    <row r="1165">
      <c r="A1165" s="42" t="n"/>
    </row>
    <row r="1166">
      <c r="A1166" s="42" t="n"/>
    </row>
    <row r="1167">
      <c r="A1167" s="42" t="n"/>
    </row>
    <row r="1168">
      <c r="A1168" s="42" t="n"/>
    </row>
    <row r="1169">
      <c r="A1169" s="42" t="n"/>
    </row>
    <row r="1170">
      <c r="A1170" s="42" t="n"/>
    </row>
    <row r="1171">
      <c r="A1171" s="42" t="n"/>
    </row>
    <row r="1172">
      <c r="A1172" s="42" t="n"/>
    </row>
    <row r="1173">
      <c r="A1173" s="42" t="n"/>
    </row>
    <row r="1174">
      <c r="A1174" s="42" t="n"/>
    </row>
    <row r="1175">
      <c r="A1175" s="42" t="n"/>
    </row>
    <row r="1176">
      <c r="A1176" s="42" t="n"/>
    </row>
    <row r="1177">
      <c r="A1177" s="42" t="n"/>
    </row>
    <row r="1178">
      <c r="A1178" s="42" t="n"/>
    </row>
    <row r="1179">
      <c r="A1179" s="42" t="n"/>
    </row>
    <row r="1180">
      <c r="A1180" s="42" t="n"/>
    </row>
    <row r="1181">
      <c r="A1181" s="42" t="n"/>
    </row>
    <row r="1182">
      <c r="A1182" s="42" t="n"/>
    </row>
    <row r="1183">
      <c r="A1183" s="42" t="n"/>
    </row>
    <row r="1184">
      <c r="A1184" s="42" t="n"/>
    </row>
    <row r="1185">
      <c r="A1185" s="42" t="n"/>
    </row>
    <row r="1186">
      <c r="A1186" s="42" t="n"/>
    </row>
    <row r="1187">
      <c r="A1187" s="42" t="n"/>
    </row>
    <row r="1188">
      <c r="A1188" s="42" t="n"/>
    </row>
    <row r="1189">
      <c r="A1189" s="42" t="n"/>
    </row>
    <row r="1190">
      <c r="A1190" s="42" t="n"/>
    </row>
    <row r="1191">
      <c r="A1191" s="42" t="n"/>
    </row>
    <row r="1192">
      <c r="A1192" s="42" t="n"/>
    </row>
    <row r="1193">
      <c r="A1193" s="42" t="n"/>
    </row>
    <row r="1194">
      <c r="A1194" s="42" t="n"/>
    </row>
    <row r="1195">
      <c r="A1195" s="42" t="n"/>
    </row>
    <row r="1196">
      <c r="A1196" s="42" t="n"/>
    </row>
    <row r="1197">
      <c r="A1197" s="42" t="n"/>
    </row>
    <row r="1198">
      <c r="A1198" s="42" t="n"/>
    </row>
    <row r="1199">
      <c r="A1199" s="42" t="n"/>
    </row>
    <row r="1200">
      <c r="A1200" s="42" t="n"/>
    </row>
    <row r="1201">
      <c r="A1201" s="42" t="n"/>
    </row>
    <row r="1202">
      <c r="A1202" s="42" t="n"/>
    </row>
    <row r="1203">
      <c r="A1203" s="42" t="n"/>
    </row>
    <row r="1204">
      <c r="A1204" s="42" t="n"/>
    </row>
    <row r="1205">
      <c r="A1205" s="42" t="n"/>
    </row>
    <row r="1206">
      <c r="A1206" s="42" t="n"/>
    </row>
    <row r="1207">
      <c r="A1207" s="42" t="n"/>
    </row>
    <row r="1208">
      <c r="A1208" s="42" t="n"/>
    </row>
    <row r="1209">
      <c r="A1209" s="42" t="n"/>
    </row>
    <row r="1210">
      <c r="A1210" s="42" t="n"/>
    </row>
    <row r="1211">
      <c r="A1211" s="42" t="n"/>
    </row>
    <row r="1212">
      <c r="A1212" s="42" t="n"/>
    </row>
    <row r="1213">
      <c r="A1213" s="42" t="n"/>
    </row>
    <row r="1214">
      <c r="A1214" s="42" t="n"/>
    </row>
    <row r="1215">
      <c r="A1215" s="42" t="n"/>
    </row>
    <row r="1216">
      <c r="A1216" s="42" t="n"/>
    </row>
    <row r="1217">
      <c r="A1217" s="42" t="n"/>
    </row>
    <row r="1218">
      <c r="A1218" s="42" t="n"/>
    </row>
    <row r="1219">
      <c r="A1219" s="42" t="n"/>
    </row>
    <row r="1220">
      <c r="A1220" s="42" t="n"/>
    </row>
    <row r="1221">
      <c r="A1221" s="42" t="n"/>
    </row>
    <row r="1222">
      <c r="A1222" s="42" t="n"/>
    </row>
    <row r="1223">
      <c r="A1223" s="42" t="n"/>
    </row>
    <row r="1224">
      <c r="A1224" s="42" t="n"/>
    </row>
    <row r="1225">
      <c r="A1225" s="42" t="n"/>
    </row>
    <row r="1226">
      <c r="A1226" s="42" t="n"/>
    </row>
    <row r="1227">
      <c r="A1227" s="42" t="n"/>
    </row>
    <row r="1228">
      <c r="A1228" s="42" t="n"/>
    </row>
    <row r="1229">
      <c r="A1229" s="42" t="n"/>
    </row>
    <row r="1230">
      <c r="A1230" s="42" t="n"/>
    </row>
    <row r="1231">
      <c r="A1231" s="42" t="n"/>
    </row>
    <row r="1232">
      <c r="A1232" s="42" t="n"/>
    </row>
    <row r="1233">
      <c r="A1233" s="42" t="n"/>
    </row>
    <row r="1234">
      <c r="A1234" s="42" t="n"/>
    </row>
    <row r="1235">
      <c r="A1235" s="42" t="n"/>
    </row>
    <row r="1236">
      <c r="A1236" s="42" t="n"/>
    </row>
    <row r="1237">
      <c r="A1237" s="42" t="n"/>
    </row>
    <row r="1238">
      <c r="A1238" s="42" t="n"/>
    </row>
    <row r="1239">
      <c r="A1239" s="42" t="n"/>
    </row>
    <row r="1240">
      <c r="A1240" s="42" t="n"/>
    </row>
    <row r="1241">
      <c r="A1241" s="42" t="n"/>
    </row>
    <row r="1242">
      <c r="A1242" s="42" t="n"/>
    </row>
    <row r="1243">
      <c r="A1243" s="42" t="n"/>
    </row>
    <row r="1244">
      <c r="A1244" s="42" t="n"/>
    </row>
    <row r="1245">
      <c r="A1245" s="42" t="n"/>
    </row>
    <row r="1246">
      <c r="A1246" s="42" t="n"/>
    </row>
    <row r="1247">
      <c r="A1247" s="42" t="n"/>
    </row>
    <row r="1248">
      <c r="A1248" s="42" t="n"/>
    </row>
    <row r="1249">
      <c r="A1249" s="42" t="n"/>
    </row>
    <row r="1250">
      <c r="A1250" s="42" t="n"/>
    </row>
    <row r="1251">
      <c r="A1251" s="42" t="n"/>
    </row>
    <row r="1252">
      <c r="A1252" s="42" t="n"/>
    </row>
    <row r="1253">
      <c r="A1253" s="42" t="n"/>
    </row>
    <row r="1254">
      <c r="A1254" s="42" t="n"/>
    </row>
    <row r="1255">
      <c r="A1255" s="42" t="n"/>
    </row>
    <row r="1256">
      <c r="A1256" s="42" t="n"/>
    </row>
    <row r="1257">
      <c r="A1257" s="42" t="n"/>
    </row>
    <row r="1258">
      <c r="A1258" s="42" t="n"/>
    </row>
    <row r="1259">
      <c r="A1259" s="42" t="n"/>
    </row>
    <row r="1260">
      <c r="A1260" s="42" t="n"/>
    </row>
    <row r="1261">
      <c r="A1261" s="42" t="n"/>
    </row>
    <row r="1262">
      <c r="A1262" s="42" t="n"/>
    </row>
    <row r="1263">
      <c r="A1263" s="42" t="n"/>
    </row>
    <row r="1264">
      <c r="A1264" s="42" t="n"/>
    </row>
    <row r="1265">
      <c r="A1265" s="42" t="n"/>
    </row>
    <row r="1266">
      <c r="A1266" s="42" t="n"/>
    </row>
    <row r="1267">
      <c r="A1267" s="42" t="n"/>
    </row>
    <row r="1268">
      <c r="A1268" s="42" t="n"/>
    </row>
    <row r="1269">
      <c r="A1269" s="42" t="n"/>
    </row>
    <row r="1270">
      <c r="A1270" s="42" t="n"/>
    </row>
    <row r="1271">
      <c r="A1271" s="42" t="n"/>
    </row>
    <row r="1272">
      <c r="A1272" s="42" t="n"/>
    </row>
    <row r="1273">
      <c r="A1273" s="42" t="n"/>
    </row>
    <row r="1274">
      <c r="A1274" s="42" t="n"/>
    </row>
    <row r="1275">
      <c r="A1275" s="42" t="n"/>
    </row>
    <row r="1276">
      <c r="A1276" s="42" t="n"/>
    </row>
    <row r="1277">
      <c r="A1277" s="42" t="n"/>
    </row>
    <row r="1278">
      <c r="A1278" s="42" t="n"/>
    </row>
    <row r="1279">
      <c r="A1279" s="42" t="n"/>
    </row>
    <row r="1280">
      <c r="A1280" s="42" t="n"/>
    </row>
    <row r="1281">
      <c r="A1281" s="42" t="n"/>
    </row>
    <row r="1282">
      <c r="A1282" s="42" t="n"/>
    </row>
    <row r="1283">
      <c r="A1283" s="42" t="n"/>
    </row>
    <row r="1284">
      <c r="A1284" s="42" t="n"/>
    </row>
    <row r="1285">
      <c r="A1285" s="42" t="n"/>
    </row>
    <row r="1286">
      <c r="A1286" s="42" t="n"/>
    </row>
    <row r="1287">
      <c r="A1287" s="42" t="n"/>
    </row>
    <row r="1288">
      <c r="A1288" s="42" t="n"/>
    </row>
    <row r="1289">
      <c r="A1289" s="42" t="n"/>
    </row>
    <row r="1290">
      <c r="A1290" s="42" t="n"/>
    </row>
    <row r="1291">
      <c r="A1291" s="42" t="n"/>
    </row>
    <row r="1292">
      <c r="A1292" s="42" t="n"/>
    </row>
    <row r="1293">
      <c r="A1293" s="42" t="n"/>
    </row>
    <row r="1294">
      <c r="A1294" s="42" t="n"/>
    </row>
    <row r="1295">
      <c r="A1295" s="42" t="n"/>
    </row>
    <row r="1296">
      <c r="A1296" s="42" t="n"/>
    </row>
    <row r="1297">
      <c r="A1297" s="42" t="n"/>
    </row>
    <row r="1298">
      <c r="A1298" s="42" t="n"/>
    </row>
    <row r="1299">
      <c r="A1299" s="42" t="n"/>
    </row>
    <row r="1300">
      <c r="A1300" s="42" t="n"/>
    </row>
    <row r="1301">
      <c r="A1301" s="42" t="n"/>
    </row>
    <row r="1302">
      <c r="A1302" s="42" t="n"/>
    </row>
    <row r="1303">
      <c r="A1303" s="42" t="n"/>
    </row>
    <row r="1304">
      <c r="A1304" s="42" t="n"/>
    </row>
    <row r="1305">
      <c r="A1305" s="42" t="n"/>
    </row>
    <row r="1306">
      <c r="A1306" s="42" t="n"/>
    </row>
    <row r="1307">
      <c r="A1307" s="42" t="n"/>
    </row>
    <row r="1308">
      <c r="A1308" s="42" t="n"/>
    </row>
    <row r="1309">
      <c r="A1309" s="42" t="n"/>
    </row>
    <row r="1310">
      <c r="A1310" s="42" t="n"/>
    </row>
    <row r="1311">
      <c r="A1311" s="42" t="n"/>
    </row>
    <row r="1312">
      <c r="A1312" s="42" t="n"/>
    </row>
    <row r="1313">
      <c r="A1313" s="42" t="n"/>
    </row>
    <row r="1314">
      <c r="A1314" s="42" t="n"/>
    </row>
    <row r="1315">
      <c r="A1315" s="42" t="n"/>
    </row>
    <row r="1316">
      <c r="A1316" s="42" t="n"/>
    </row>
    <row r="1317">
      <c r="A1317" s="42" t="n"/>
    </row>
    <row r="1318">
      <c r="A1318" s="42" t="n"/>
    </row>
    <row r="1319">
      <c r="A1319" s="42" t="n"/>
    </row>
    <row r="1320">
      <c r="A1320" s="42" t="n"/>
    </row>
    <row r="1321">
      <c r="A1321" s="42" t="n"/>
    </row>
    <row r="1322">
      <c r="A1322" s="42" t="n"/>
    </row>
    <row r="1323">
      <c r="A1323" s="42" t="n"/>
    </row>
    <row r="1324">
      <c r="A1324" s="42" t="n"/>
    </row>
    <row r="1325">
      <c r="A1325" s="42" t="n"/>
    </row>
    <row r="1326">
      <c r="A1326" s="42" t="n"/>
    </row>
    <row r="1327">
      <c r="A1327" s="42" t="n"/>
    </row>
    <row r="1328">
      <c r="A1328" s="42" t="n"/>
    </row>
    <row r="1329">
      <c r="A1329" s="42" t="n"/>
    </row>
    <row r="1330">
      <c r="A1330" s="42" t="n"/>
    </row>
    <row r="1331">
      <c r="A1331" s="42" t="n"/>
    </row>
    <row r="1332">
      <c r="A1332" s="42" t="n"/>
    </row>
    <row r="1333">
      <c r="A1333" s="42" t="n"/>
    </row>
    <row r="1334">
      <c r="A1334" s="42" t="n"/>
    </row>
    <row r="1335">
      <c r="A1335" s="42" t="n"/>
    </row>
    <row r="1336">
      <c r="A1336" s="42" t="n"/>
    </row>
    <row r="1337">
      <c r="A1337" s="42" t="n"/>
    </row>
    <row r="1338">
      <c r="A1338" s="42" t="n"/>
    </row>
    <row r="1339">
      <c r="A1339" s="42" t="n"/>
    </row>
    <row r="1340">
      <c r="A1340" s="42" t="n"/>
    </row>
    <row r="1341">
      <c r="A1341" s="42" t="n"/>
    </row>
    <row r="1342">
      <c r="A1342" s="42" t="n"/>
    </row>
    <row r="1343">
      <c r="A1343" s="42" t="n"/>
    </row>
    <row r="1344">
      <c r="A1344" s="42" t="n"/>
    </row>
    <row r="1345">
      <c r="A1345" s="42" t="n"/>
    </row>
    <row r="1346">
      <c r="A1346" s="42" t="n"/>
    </row>
    <row r="1347">
      <c r="A1347" s="42" t="n"/>
    </row>
    <row r="1348">
      <c r="A1348" s="42" t="n"/>
    </row>
    <row r="1349">
      <c r="A1349" s="42" t="n"/>
    </row>
    <row r="1350">
      <c r="A1350" s="42" t="n"/>
    </row>
    <row r="1351">
      <c r="A1351" s="42" t="n"/>
    </row>
    <row r="1352">
      <c r="A1352" s="42" t="n"/>
    </row>
    <row r="1353">
      <c r="A1353" s="42" t="n"/>
    </row>
    <row r="1354">
      <c r="A1354" s="42" t="n"/>
    </row>
    <row r="1355">
      <c r="A1355" s="42" t="n"/>
    </row>
    <row r="1356">
      <c r="A1356" s="42" t="n"/>
    </row>
    <row r="1357">
      <c r="A1357" s="42" t="n"/>
    </row>
    <row r="1358">
      <c r="A1358" s="42" t="n"/>
    </row>
    <row r="1359">
      <c r="A1359" s="42" t="n"/>
    </row>
    <row r="1360">
      <c r="A1360" s="42" t="n"/>
    </row>
    <row r="1361">
      <c r="A1361" s="42" t="n"/>
    </row>
    <row r="1362">
      <c r="A1362" s="42" t="n"/>
    </row>
    <row r="1363">
      <c r="A1363" s="42" t="n"/>
    </row>
    <row r="1364">
      <c r="A1364" s="42" t="n"/>
    </row>
    <row r="1365">
      <c r="A1365" s="42" t="n"/>
    </row>
    <row r="1366">
      <c r="A1366" s="42" t="n"/>
    </row>
    <row r="1367">
      <c r="A1367" s="42" t="n"/>
    </row>
    <row r="1368">
      <c r="A1368" s="42" t="n"/>
    </row>
    <row r="1369">
      <c r="A1369" s="42" t="n"/>
    </row>
    <row r="1370">
      <c r="A1370" s="42" t="n"/>
    </row>
    <row r="1371">
      <c r="A1371" s="42" t="n"/>
    </row>
    <row r="1372">
      <c r="A1372" s="42" t="n"/>
    </row>
    <row r="1373">
      <c r="A1373" s="42" t="n"/>
    </row>
    <row r="1374">
      <c r="A1374" s="42" t="n"/>
    </row>
    <row r="1375">
      <c r="A1375" s="42" t="n"/>
    </row>
    <row r="1376">
      <c r="A1376" s="42" t="n"/>
    </row>
    <row r="1377">
      <c r="A1377" s="42" t="n"/>
    </row>
    <row r="1378">
      <c r="A1378" s="42" t="n"/>
    </row>
    <row r="1379">
      <c r="A1379" s="42" t="n"/>
    </row>
    <row r="1380">
      <c r="A1380" s="42" t="n"/>
    </row>
    <row r="1381">
      <c r="A1381" s="42" t="n"/>
    </row>
    <row r="1382">
      <c r="A1382" s="42" t="n"/>
    </row>
    <row r="1383">
      <c r="A1383" s="42" t="n"/>
    </row>
    <row r="1384">
      <c r="A1384" s="42" t="n"/>
    </row>
    <row r="1385">
      <c r="A1385" s="42" t="n"/>
    </row>
    <row r="1386">
      <c r="A1386" s="42" t="n"/>
    </row>
    <row r="1387">
      <c r="A1387" s="42" t="n"/>
    </row>
    <row r="1388">
      <c r="A1388" s="42" t="n"/>
    </row>
    <row r="1389">
      <c r="A1389" s="42" t="n"/>
    </row>
    <row r="1390">
      <c r="A1390" s="42" t="n"/>
    </row>
    <row r="1391">
      <c r="A1391" s="42" t="n"/>
    </row>
    <row r="1392">
      <c r="A1392" s="42" t="n"/>
    </row>
    <row r="1393">
      <c r="A1393" s="42" t="n"/>
    </row>
    <row r="1394">
      <c r="A1394" s="42" t="n"/>
    </row>
    <row r="1395">
      <c r="A1395" s="42" t="n"/>
    </row>
    <row r="1396">
      <c r="A1396" s="42" t="n"/>
    </row>
    <row r="1397">
      <c r="A1397" s="42" t="n"/>
    </row>
    <row r="1398">
      <c r="A1398" s="42" t="n"/>
    </row>
    <row r="1399">
      <c r="A1399" s="42" t="n"/>
    </row>
    <row r="1400">
      <c r="A1400" s="42" t="n"/>
    </row>
    <row r="1401">
      <c r="A1401" s="42" t="n"/>
    </row>
    <row r="1402">
      <c r="A1402" s="42" t="n"/>
    </row>
    <row r="1403">
      <c r="A1403" s="42" t="n"/>
    </row>
    <row r="1404">
      <c r="A1404" s="42" t="n"/>
    </row>
    <row r="1405">
      <c r="A1405" s="42" t="n"/>
    </row>
    <row r="1406">
      <c r="A1406" s="42" t="n"/>
    </row>
    <row r="1407">
      <c r="A1407" s="42" t="n"/>
    </row>
    <row r="1408">
      <c r="A1408" s="42" t="n"/>
    </row>
    <row r="1409">
      <c r="A1409" s="42" t="n"/>
    </row>
    <row r="1410">
      <c r="A1410" s="42" t="n"/>
    </row>
    <row r="1411">
      <c r="A1411" s="42" t="n"/>
    </row>
    <row r="1412">
      <c r="A1412" s="42" t="n"/>
    </row>
    <row r="1413">
      <c r="A1413" s="42" t="n"/>
    </row>
    <row r="1414">
      <c r="A1414" s="42" t="n"/>
    </row>
    <row r="1415">
      <c r="A1415" s="42" t="n"/>
    </row>
    <row r="1416">
      <c r="A1416" s="42" t="n"/>
    </row>
    <row r="1417">
      <c r="A1417" s="42" t="n"/>
    </row>
    <row r="1418">
      <c r="A1418" s="42" t="n"/>
    </row>
    <row r="1419">
      <c r="A1419" s="42" t="n"/>
    </row>
    <row r="1420">
      <c r="A1420" s="42" t="n"/>
    </row>
    <row r="1421">
      <c r="A1421" s="42" t="n"/>
    </row>
    <row r="1422">
      <c r="A1422" s="42" t="n"/>
    </row>
    <row r="1423">
      <c r="A1423" s="42" t="n"/>
    </row>
    <row r="1424">
      <c r="A1424" s="42" t="n"/>
    </row>
    <row r="1425">
      <c r="A1425" s="42" t="n"/>
    </row>
    <row r="1426">
      <c r="A1426" s="42" t="n"/>
    </row>
    <row r="1427">
      <c r="A1427" s="42" t="n"/>
    </row>
    <row r="1428">
      <c r="A1428" s="42" t="n"/>
    </row>
    <row r="1429">
      <c r="A1429" s="42" t="n"/>
    </row>
    <row r="1430">
      <c r="A1430" s="42" t="n"/>
    </row>
    <row r="1431">
      <c r="A1431" s="42" t="n"/>
    </row>
    <row r="1432">
      <c r="A1432" s="42" t="n"/>
    </row>
    <row r="1433">
      <c r="A1433" s="42" t="n"/>
    </row>
    <row r="1434">
      <c r="A1434" s="42" t="n"/>
    </row>
    <row r="1435">
      <c r="A1435" s="42" t="n"/>
    </row>
    <row r="1436">
      <c r="A1436" s="42" t="n"/>
    </row>
    <row r="1437">
      <c r="A1437" s="42" t="n"/>
    </row>
    <row r="1438">
      <c r="A1438" s="42" t="n"/>
    </row>
    <row r="1439">
      <c r="A1439" s="42" t="n"/>
    </row>
    <row r="1440">
      <c r="A1440" s="42" t="n"/>
    </row>
    <row r="1441">
      <c r="A1441" s="42" t="n"/>
    </row>
    <row r="1442">
      <c r="A1442" s="42" t="n"/>
    </row>
    <row r="1443">
      <c r="A1443" s="42" t="n"/>
    </row>
    <row r="1444">
      <c r="A1444" s="42" t="n"/>
    </row>
    <row r="1445">
      <c r="A1445" s="42" t="n"/>
    </row>
    <row r="1446">
      <c r="A1446" s="42" t="n"/>
    </row>
    <row r="1447">
      <c r="A1447" s="42" t="n"/>
    </row>
    <row r="1448">
      <c r="A1448" s="42" t="n"/>
    </row>
    <row r="1449">
      <c r="A1449" s="42" t="n"/>
    </row>
    <row r="1450">
      <c r="A1450" s="42" t="n"/>
    </row>
    <row r="1451">
      <c r="A1451" s="42" t="n"/>
    </row>
    <row r="1452">
      <c r="A1452" s="42" t="n"/>
    </row>
    <row r="1453">
      <c r="A1453" s="42" t="n"/>
    </row>
    <row r="1454">
      <c r="A1454" s="42" t="n"/>
    </row>
    <row r="1455">
      <c r="A1455" s="42" t="n"/>
    </row>
    <row r="1456">
      <c r="A1456" s="42" t="n"/>
    </row>
    <row r="1457">
      <c r="A1457" s="42" t="n"/>
    </row>
    <row r="1458">
      <c r="A1458" s="42" t="n"/>
    </row>
    <row r="1459">
      <c r="A1459" s="42" t="n"/>
    </row>
    <row r="1460">
      <c r="A1460" s="42" t="n"/>
    </row>
    <row r="1461">
      <c r="A1461" s="42" t="n"/>
    </row>
    <row r="1462">
      <c r="A1462" s="42" t="n"/>
    </row>
    <row r="1463">
      <c r="A1463" s="42" t="n"/>
    </row>
    <row r="1464">
      <c r="A1464" s="42" t="n"/>
    </row>
    <row r="1465">
      <c r="A1465" s="42" t="n"/>
    </row>
    <row r="1466">
      <c r="A1466" s="42" t="n"/>
    </row>
    <row r="1467">
      <c r="A1467" s="42" t="n"/>
    </row>
    <row r="1468">
      <c r="A1468" s="42" t="n"/>
    </row>
    <row r="1469">
      <c r="A1469" s="42" t="n"/>
    </row>
    <row r="1470">
      <c r="A1470" s="42" t="n"/>
    </row>
    <row r="1471">
      <c r="A1471" s="42" t="n"/>
    </row>
    <row r="1472">
      <c r="A1472" s="42" t="n"/>
    </row>
    <row r="1473">
      <c r="A1473" s="42" t="n"/>
    </row>
    <row r="1474">
      <c r="A1474" s="42" t="n"/>
    </row>
    <row r="1475">
      <c r="A1475" s="42" t="n"/>
    </row>
    <row r="1476">
      <c r="A1476" s="42" t="n"/>
    </row>
    <row r="1477">
      <c r="A1477" s="42" t="n"/>
    </row>
    <row r="1478">
      <c r="A1478" s="42" t="n"/>
    </row>
    <row r="1479">
      <c r="A1479" s="42" t="n"/>
    </row>
    <row r="1480">
      <c r="A1480" s="42" t="n"/>
    </row>
    <row r="1481">
      <c r="A1481" s="42" t="n"/>
    </row>
    <row r="1482">
      <c r="A1482" s="42" t="n"/>
    </row>
    <row r="1483">
      <c r="A1483" s="42" t="n"/>
    </row>
    <row r="1484">
      <c r="A1484" s="42" t="n"/>
    </row>
    <row r="1485">
      <c r="A1485" s="42" t="n"/>
    </row>
    <row r="1486">
      <c r="A1486" s="42" t="n"/>
    </row>
    <row r="1487">
      <c r="A1487" s="42" t="n"/>
    </row>
    <row r="1488">
      <c r="A1488" s="42" t="n"/>
    </row>
    <row r="1489">
      <c r="A1489" s="42" t="n"/>
    </row>
    <row r="1490">
      <c r="A1490" s="42" t="n"/>
    </row>
    <row r="1491">
      <c r="A1491" s="42" t="n"/>
    </row>
    <row r="1492">
      <c r="A1492" s="42" t="n"/>
    </row>
    <row r="1493">
      <c r="A1493" s="42" t="n"/>
    </row>
    <row r="1494">
      <c r="A1494" s="42" t="n"/>
    </row>
    <row r="1495">
      <c r="A1495" s="42" t="n"/>
    </row>
    <row r="1496">
      <c r="A1496" s="42" t="n"/>
    </row>
    <row r="1497">
      <c r="A1497" s="42" t="n"/>
    </row>
    <row r="1498">
      <c r="A1498" s="42" t="n"/>
    </row>
    <row r="1499">
      <c r="A1499" s="42" t="n"/>
    </row>
    <row r="1500">
      <c r="A1500" s="42" t="n"/>
    </row>
    <row r="1501">
      <c r="A1501" s="42" t="n"/>
    </row>
    <row r="1502">
      <c r="A1502" s="42" t="n"/>
    </row>
    <row r="1503">
      <c r="A1503" s="42" t="n"/>
    </row>
    <row r="1504">
      <c r="A1504" s="42" t="n"/>
    </row>
    <row r="1505">
      <c r="A1505" s="42" t="n"/>
    </row>
    <row r="1506">
      <c r="A1506" s="42" t="n"/>
    </row>
    <row r="1507">
      <c r="A1507" s="42" t="n"/>
    </row>
    <row r="1508">
      <c r="A1508" s="42" t="n"/>
    </row>
    <row r="1509">
      <c r="A1509" s="42" t="n"/>
    </row>
    <row r="1510">
      <c r="A1510" s="42" t="n"/>
    </row>
    <row r="1511">
      <c r="A1511" s="42" t="n"/>
    </row>
    <row r="1512">
      <c r="A1512" s="42" t="n"/>
    </row>
    <row r="1513">
      <c r="A1513" s="42" t="n"/>
    </row>
    <row r="1514">
      <c r="A1514" s="42" t="n"/>
    </row>
    <row r="1515">
      <c r="A1515" s="42" t="n"/>
    </row>
    <row r="1516">
      <c r="A1516" s="42" t="n"/>
    </row>
    <row r="1517">
      <c r="A1517" s="42" t="n"/>
    </row>
    <row r="1518">
      <c r="A1518" s="42" t="n"/>
    </row>
    <row r="1519">
      <c r="A1519" s="42" t="n"/>
    </row>
    <row r="1520">
      <c r="A1520" s="42" t="n"/>
    </row>
    <row r="1521">
      <c r="A1521" s="42" t="n"/>
    </row>
    <row r="1522">
      <c r="A1522" s="42" t="n"/>
    </row>
    <row r="1523">
      <c r="A1523" s="42" t="n"/>
    </row>
    <row r="1524">
      <c r="A1524" s="42" t="n"/>
    </row>
    <row r="1525">
      <c r="A1525" s="42" t="n"/>
    </row>
    <row r="1526">
      <c r="A1526" s="42" t="n"/>
    </row>
    <row r="1527">
      <c r="A1527" s="42" t="n"/>
    </row>
    <row r="1528">
      <c r="A1528" s="42" t="n"/>
    </row>
    <row r="1529">
      <c r="A1529" s="42" t="n"/>
    </row>
    <row r="1530">
      <c r="A1530" s="42" t="n"/>
    </row>
    <row r="1531">
      <c r="A1531" s="42" t="n"/>
    </row>
    <row r="1532">
      <c r="A1532" s="42" t="n"/>
    </row>
    <row r="1533">
      <c r="A1533" s="42" t="n"/>
    </row>
    <row r="1534">
      <c r="A1534" s="42" t="n"/>
    </row>
    <row r="1535">
      <c r="A1535" s="42" t="n"/>
    </row>
    <row r="1536">
      <c r="A1536" s="42" t="n"/>
    </row>
    <row r="1537">
      <c r="A1537" s="42" t="n"/>
    </row>
    <row r="1538">
      <c r="A1538" s="42" t="n"/>
    </row>
    <row r="1539">
      <c r="A1539" s="42" t="n"/>
    </row>
    <row r="1540">
      <c r="A1540" s="42" t="n"/>
    </row>
    <row r="1541">
      <c r="A1541" s="42" t="n"/>
    </row>
    <row r="1542">
      <c r="A1542" s="42" t="n"/>
    </row>
    <row r="1543">
      <c r="A1543" s="42" t="n"/>
    </row>
    <row r="1544">
      <c r="A1544" s="42" t="n"/>
    </row>
    <row r="1545">
      <c r="A1545" s="42" t="n"/>
    </row>
    <row r="1546">
      <c r="A1546" s="42" t="n"/>
    </row>
    <row r="1547">
      <c r="A1547" s="42" t="n"/>
    </row>
    <row r="1548">
      <c r="A1548" s="42" t="n"/>
    </row>
    <row r="1549">
      <c r="A1549" s="42" t="n"/>
    </row>
    <row r="1550">
      <c r="A1550" s="42" t="n"/>
    </row>
    <row r="1551">
      <c r="A1551" s="42" t="n"/>
    </row>
    <row r="1552">
      <c r="A1552" s="42" t="n"/>
    </row>
    <row r="1553">
      <c r="A1553" s="42" t="n"/>
    </row>
    <row r="1554">
      <c r="A1554" s="42" t="n"/>
    </row>
    <row r="1555">
      <c r="A1555" s="42" t="n"/>
    </row>
    <row r="1556">
      <c r="A1556" s="42" t="n"/>
    </row>
    <row r="1557">
      <c r="A1557" s="42" t="n"/>
    </row>
    <row r="1558">
      <c r="A1558" s="42" t="n"/>
    </row>
    <row r="1559">
      <c r="A1559" s="42" t="n"/>
    </row>
    <row r="1560">
      <c r="A1560" s="42" t="n"/>
    </row>
    <row r="1561">
      <c r="A1561" s="42" t="n"/>
    </row>
    <row r="1562">
      <c r="A1562" s="42" t="n"/>
    </row>
    <row r="1563">
      <c r="A1563" s="42" t="n"/>
    </row>
    <row r="1564">
      <c r="A1564" s="42" t="n"/>
    </row>
    <row r="1565">
      <c r="A1565" s="42" t="n"/>
    </row>
    <row r="1566">
      <c r="A1566" s="42" t="n"/>
    </row>
    <row r="1567">
      <c r="A1567" s="42" t="n"/>
    </row>
    <row r="1568">
      <c r="A1568" s="42" t="n"/>
    </row>
    <row r="1569">
      <c r="A1569" s="42" t="n"/>
    </row>
    <row r="1570">
      <c r="A1570" s="42" t="n"/>
    </row>
    <row r="1571">
      <c r="A1571" s="42" t="n"/>
    </row>
    <row r="1572">
      <c r="A1572" s="42" t="n"/>
    </row>
    <row r="1573">
      <c r="A1573" s="42" t="n"/>
    </row>
    <row r="1574">
      <c r="A1574" s="42" t="n"/>
    </row>
    <row r="1575">
      <c r="A1575" s="42" t="n"/>
    </row>
    <row r="1576">
      <c r="A1576" s="42" t="n"/>
    </row>
    <row r="1577">
      <c r="A1577" s="42" t="n"/>
    </row>
    <row r="1578">
      <c r="A1578" s="42" t="n"/>
    </row>
    <row r="1579">
      <c r="A1579" s="42" t="n"/>
    </row>
    <row r="1580">
      <c r="A1580" s="42" t="n"/>
    </row>
    <row r="1581">
      <c r="A1581" s="42" t="n"/>
    </row>
    <row r="1582">
      <c r="A1582" s="42" t="n"/>
    </row>
    <row r="1583">
      <c r="A1583" s="42" t="n"/>
    </row>
    <row r="1584">
      <c r="A1584" s="42" t="n"/>
    </row>
    <row r="1585">
      <c r="A1585" s="42" t="n"/>
    </row>
    <row r="1586">
      <c r="A1586" s="42" t="n"/>
    </row>
    <row r="1587">
      <c r="A1587" s="42" t="n"/>
    </row>
    <row r="1588">
      <c r="A1588" s="42" t="n"/>
    </row>
    <row r="1589">
      <c r="A1589" s="42" t="n"/>
    </row>
    <row r="1590">
      <c r="A1590" s="42" t="n"/>
    </row>
    <row r="1591">
      <c r="A1591" s="42" t="n"/>
    </row>
    <row r="1592">
      <c r="A1592" s="42" t="n"/>
    </row>
    <row r="1593">
      <c r="A1593" s="42" t="n"/>
    </row>
    <row r="1594">
      <c r="A1594" s="42" t="n"/>
    </row>
    <row r="1595">
      <c r="A1595" s="42" t="n"/>
    </row>
    <row r="1596">
      <c r="A1596" s="42" t="n"/>
    </row>
    <row r="1597">
      <c r="A1597" s="42" t="n"/>
    </row>
    <row r="1598">
      <c r="A1598" s="42" t="n"/>
    </row>
    <row r="1599">
      <c r="A1599" s="42" t="n"/>
    </row>
    <row r="1600">
      <c r="A1600" s="42" t="n"/>
    </row>
    <row r="1601">
      <c r="A1601" s="42" t="n"/>
    </row>
    <row r="1602">
      <c r="A1602" s="42" t="n"/>
    </row>
    <row r="1603">
      <c r="A1603" s="42" t="n"/>
    </row>
    <row r="1604">
      <c r="A1604" s="42" t="n"/>
    </row>
    <row r="1605">
      <c r="A1605" s="42" t="n"/>
    </row>
    <row r="1606">
      <c r="A1606" s="42" t="n"/>
    </row>
    <row r="1607">
      <c r="A1607" s="42" t="n"/>
    </row>
    <row r="1608">
      <c r="A1608" s="42" t="n"/>
    </row>
    <row r="1609">
      <c r="A1609" s="42" t="n"/>
    </row>
    <row r="1610">
      <c r="A1610" s="42" t="n"/>
    </row>
    <row r="1611">
      <c r="A1611" s="42" t="n"/>
    </row>
    <row r="1612">
      <c r="A1612" s="42" t="n"/>
    </row>
    <row r="1613">
      <c r="A1613" s="42" t="n"/>
    </row>
    <row r="1614">
      <c r="A1614" s="42" t="n"/>
    </row>
    <row r="1615">
      <c r="A1615" s="42" t="n"/>
    </row>
    <row r="1616">
      <c r="A1616" s="42" t="n"/>
    </row>
    <row r="1617">
      <c r="A1617" s="42" t="n"/>
    </row>
    <row r="1618">
      <c r="A1618" s="42" t="n"/>
    </row>
    <row r="1619">
      <c r="A1619" s="42" t="n"/>
    </row>
    <row r="1620">
      <c r="A1620" s="42" t="n"/>
    </row>
    <row r="1621">
      <c r="A1621" s="42" t="n"/>
    </row>
    <row r="1622">
      <c r="A1622" s="42" t="n"/>
    </row>
    <row r="1623">
      <c r="A1623" s="42" t="n"/>
    </row>
    <row r="1624">
      <c r="A1624" s="42" t="n"/>
    </row>
    <row r="1625">
      <c r="A1625" s="42" t="n"/>
    </row>
    <row r="1626">
      <c r="A1626" s="42" t="n"/>
    </row>
    <row r="1627">
      <c r="A1627" s="42" t="n"/>
    </row>
    <row r="1628">
      <c r="A1628" s="42" t="n"/>
    </row>
    <row r="1629">
      <c r="A1629" s="42" t="n"/>
    </row>
    <row r="1630">
      <c r="A1630" s="42" t="n"/>
    </row>
    <row r="1631">
      <c r="A1631" s="42" t="n"/>
    </row>
    <row r="1632">
      <c r="A1632" s="42" t="n"/>
    </row>
    <row r="1633">
      <c r="A1633" s="42" t="n"/>
    </row>
    <row r="1634">
      <c r="A1634" s="42" t="n"/>
    </row>
    <row r="1635">
      <c r="A1635" s="42" t="n"/>
    </row>
    <row r="1636">
      <c r="A1636" s="42" t="n"/>
    </row>
    <row r="1637">
      <c r="A1637" s="42" t="n"/>
    </row>
    <row r="1638">
      <c r="A1638" s="42" t="n"/>
    </row>
    <row r="1639">
      <c r="A1639" s="42" t="n"/>
    </row>
    <row r="1640">
      <c r="A1640" s="42" t="n"/>
    </row>
    <row r="1641">
      <c r="A1641" s="42" t="n"/>
    </row>
    <row r="1642">
      <c r="A1642" s="42" t="n"/>
    </row>
    <row r="1643">
      <c r="A1643" s="42" t="n"/>
    </row>
    <row r="1644">
      <c r="A1644" s="42" t="n"/>
    </row>
    <row r="1645">
      <c r="A1645" s="42" t="n"/>
    </row>
    <row r="1646">
      <c r="A1646" s="42" t="n"/>
    </row>
    <row r="1647">
      <c r="A1647" s="42" t="n"/>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2:M2"/>
    <mergeCell ref="A1:M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cols>
    <col width="24" customWidth="1" style="51" min="1" max="1"/>
    <col width="18" customWidth="1" style="51" min="2" max="2"/>
    <col width="30" customWidth="1" style="51" min="3" max="3"/>
    <col width="24" customWidth="1" style="51" min="4" max="4"/>
    <col width="18" customWidth="1" style="51" min="5" max="5"/>
    <col width="32" customWidth="1" style="51" min="6" max="6"/>
    <col width="8" customWidth="1" style="51" min="7" max="7"/>
    <col width="26" customWidth="1" style="51" min="8" max="8"/>
    <col width="30" customWidth="1" style="51" min="9" max="9"/>
    <col width="38" customWidth="1" style="51" min="10" max="10"/>
    <col width="16" customWidth="1" style="51" min="11" max="11"/>
    <col width="28" customWidth="1" style="51" min="12" max="12"/>
    <col width="10" customWidth="1" style="51" min="13" max="13"/>
  </cols>
  <sheetData>
    <row r="1" ht="28" customHeight="1" s="51">
      <c r="A1" s="223" t="inlineStr">
        <is>
          <t>その他有償品マスター｜サーモスL v0.4</t>
        </is>
      </c>
      <c r="B1" s="41" t="n"/>
      <c r="C1" s="41" t="n"/>
      <c r="D1" s="41" t="n"/>
      <c r="E1" s="41" t="n"/>
      <c r="F1" s="41" t="n"/>
      <c r="G1" s="41" t="n"/>
      <c r="H1" s="41" t="n"/>
      <c r="I1" s="41" t="n"/>
      <c r="J1" s="41" t="n"/>
      <c r="K1" s="41" t="n"/>
      <c r="L1" s="41" t="n"/>
      <c r="M1" s="41" t="n"/>
    </row>
    <row r="2" ht="28" customHeight="1" s="51">
      <c r="A2" s="224" t="inlineStr">
        <is>
          <t>共通有償品を『見積選択』『部材選択』『施工/メンテ』に分離。アプリ通常入力では見積選択を優先表示し、施工/メンテは詳細モードで呼び出す。</t>
        </is>
      </c>
      <c r="B2" s="41" t="n"/>
      <c r="C2" s="41" t="n"/>
      <c r="D2" s="41" t="n"/>
      <c r="E2" s="41" t="n"/>
      <c r="F2" s="41" t="n"/>
      <c r="G2" s="41" t="n"/>
      <c r="H2" s="41" t="n"/>
      <c r="I2" s="41" t="n"/>
      <c r="J2" s="41" t="n"/>
      <c r="K2" s="41" t="n"/>
      <c r="L2" s="41" t="n"/>
      <c r="M2" s="41" t="n"/>
    </row>
    <row r="3" ht="28" customHeight="1" s="51">
      <c r="A3" s="95" t="inlineStr">
        <is>
          <t>option_id</t>
        </is>
      </c>
      <c r="B3" s="95" t="inlineStr">
        <is>
          <t>シリーズID</t>
        </is>
      </c>
      <c r="C3" s="95" t="inlineStr">
        <is>
          <t>窓種ID</t>
        </is>
      </c>
      <c r="D3" s="95" t="inlineStr">
        <is>
          <t>固有仕様ID</t>
        </is>
      </c>
      <c r="E3" s="95" t="inlineStr">
        <is>
          <t>オプション分類</t>
        </is>
      </c>
      <c r="F3" s="95" t="inlineStr">
        <is>
          <t>表示名</t>
        </is>
      </c>
      <c r="G3" s="95" t="inlineStr">
        <is>
          <t>有効</t>
        </is>
      </c>
      <c r="H3" s="95" t="inlineStr">
        <is>
          <t>登録状態</t>
        </is>
      </c>
      <c r="I3" s="95" t="inlineStr">
        <is>
          <t>出典</t>
        </is>
      </c>
      <c r="J3" s="95" t="inlineStr">
        <is>
          <t>備考</t>
        </is>
      </c>
      <c r="K3" s="100" t="inlineStr">
        <is>
          <t>入力用途</t>
        </is>
      </c>
      <c r="L3" s="100" t="inlineStr">
        <is>
          <t>表示条件</t>
        </is>
      </c>
      <c r="M3" s="100" t="inlineStr">
        <is>
          <t>表示順</t>
        </is>
      </c>
    </row>
    <row r="4">
      <c r="A4" s="43" t="inlineStr">
        <is>
          <t>OP-SL-RAIL-COVER</t>
        </is>
      </c>
      <c r="B4" s="43" t="inlineStr">
        <is>
          <t>SER-LIX-SAMOSL</t>
        </is>
      </c>
      <c r="C4" s="43" t="inlineStr">
        <is>
          <t>引違い窓系（装飾窓除く）</t>
        </is>
      </c>
      <c r="D4" s="43" t="inlineStr">
        <is>
          <t>*</t>
        </is>
      </c>
      <c r="E4" s="43" t="inlineStr">
        <is>
          <t>枠/意匠</t>
        </is>
      </c>
      <c r="F4" s="43" t="inlineStr">
        <is>
          <t>レール間カバー枠</t>
        </is>
      </c>
      <c r="G4" s="43" t="b">
        <v>1</v>
      </c>
      <c r="H4" s="43" t="inlineStr">
        <is>
          <t>カタログ確認済み</t>
        </is>
      </c>
      <c r="I4" s="43" t="inlineStr">
        <is>
          <t>SAMOSⅡ-H/L 商品カタログ</t>
        </is>
      </c>
      <c r="J4" s="43" t="inlineStr">
        <is>
          <t>装飾引違い窓を除く</t>
        </is>
      </c>
      <c r="K4" s="43" t="inlineStr">
        <is>
          <t>見積選択</t>
        </is>
      </c>
      <c r="L4" s="43" t="inlineStr">
        <is>
          <t>対象窓種のみ</t>
        </is>
      </c>
      <c r="M4" s="43" t="n">
        <v>10</v>
      </c>
    </row>
    <row r="5">
      <c r="A5" s="43" t="inlineStr">
        <is>
          <t>OP-SL-LARGE-HANDLE</t>
        </is>
      </c>
      <c r="B5" s="43" t="inlineStr">
        <is>
          <t>SER-LIX-SAMOSL</t>
        </is>
      </c>
      <c r="C5" s="43" t="inlineStr">
        <is>
          <t>引違い窓系</t>
        </is>
      </c>
      <c r="D5" s="43" t="inlineStr">
        <is>
          <t>*</t>
        </is>
      </c>
      <c r="E5" s="43" t="inlineStr">
        <is>
          <t>操作</t>
        </is>
      </c>
      <c r="F5" s="43" t="inlineStr">
        <is>
          <t>大型把手</t>
        </is>
      </c>
      <c r="G5" s="43" t="b">
        <v>1</v>
      </c>
      <c r="H5" s="43" t="inlineStr">
        <is>
          <t>価格表確認済み</t>
        </is>
      </c>
      <c r="I5" s="43" t="inlineStr">
        <is>
          <t>202604完成品価格表 P226</t>
        </is>
      </c>
      <c r="J5" s="43" t="inlineStr">
        <is>
          <t>把手障子用</t>
        </is>
      </c>
      <c r="K5" s="43" t="inlineStr">
        <is>
          <t>見積選択</t>
        </is>
      </c>
      <c r="L5" s="43" t="inlineStr">
        <is>
          <t>把手障子</t>
        </is>
      </c>
      <c r="M5" s="43" t="n">
        <v>20</v>
      </c>
    </row>
    <row r="6">
      <c r="A6" s="47" t="inlineStr">
        <is>
          <t>OP-SL-ASSIST-HANDLE</t>
        </is>
      </c>
      <c r="B6" s="47" t="inlineStr">
        <is>
          <t>SER-LIX-SAMOSL</t>
        </is>
      </c>
      <c r="C6" s="47" t="inlineStr">
        <is>
          <t>引違い窓系</t>
        </is>
      </c>
      <c r="D6" s="47" t="inlineStr">
        <is>
          <t>*</t>
        </is>
      </c>
      <c r="E6" s="47" t="inlineStr">
        <is>
          <t>操作</t>
        </is>
      </c>
      <c r="F6" s="47" t="inlineStr">
        <is>
          <t>アシスト把手</t>
        </is>
      </c>
      <c r="G6" s="47" t="b">
        <v>1</v>
      </c>
      <c r="H6" s="47" t="inlineStr">
        <is>
          <t>価格表確認済み</t>
        </is>
      </c>
      <c r="I6" s="47" t="inlineStr">
        <is>
          <t>P226</t>
        </is>
      </c>
      <c r="J6" s="47" t="inlineStr">
        <is>
          <t>高温多湿・浴室不可</t>
        </is>
      </c>
      <c r="K6" s="43" t="inlineStr">
        <is>
          <t>見積選択</t>
        </is>
      </c>
      <c r="L6" s="43" t="inlineStr">
        <is>
          <t>把手障子</t>
        </is>
      </c>
      <c r="M6" s="43" t="n">
        <v>30</v>
      </c>
    </row>
    <row r="7">
      <c r="A7" s="43" t="inlineStr">
        <is>
          <t>OP-SL-ANTIVIRAL-HANDLE</t>
        </is>
      </c>
      <c r="B7" s="43" t="inlineStr">
        <is>
          <t>SER-LIX-SAMOSL</t>
        </is>
      </c>
      <c r="C7" s="43" t="inlineStr">
        <is>
          <t>引違い窓系</t>
        </is>
      </c>
      <c r="D7" s="43" t="inlineStr">
        <is>
          <t>*</t>
        </is>
      </c>
      <c r="E7" s="43" t="inlineStr">
        <is>
          <t>操作</t>
        </is>
      </c>
      <c r="F7" s="43" t="inlineStr">
        <is>
          <t>抗菌・抗ウイルス大型把手</t>
        </is>
      </c>
      <c r="G7" s="43" t="b">
        <v>1</v>
      </c>
      <c r="H7" s="43" t="inlineStr">
        <is>
          <t>価格表確認済み</t>
        </is>
      </c>
      <c r="I7" s="43" t="inlineStr">
        <is>
          <t>P226</t>
        </is>
      </c>
      <c r="J7" s="43" t="inlineStr">
        <is>
          <t>高温多湿・浴室不可</t>
        </is>
      </c>
      <c r="K7" s="43" t="inlineStr">
        <is>
          <t>見積選択</t>
        </is>
      </c>
      <c r="L7" s="43" t="inlineStr">
        <is>
          <t>把手障子</t>
        </is>
      </c>
      <c r="M7" s="43" t="n">
        <v>40</v>
      </c>
    </row>
    <row r="8">
      <c r="A8" s="43" t="inlineStr">
        <is>
          <t>OP-SL-VENT-TOP</t>
        </is>
      </c>
      <c r="B8" s="43" t="inlineStr">
        <is>
          <t>SER-LIX-SAMOSL</t>
        </is>
      </c>
      <c r="C8" s="43" t="inlineStr">
        <is>
          <t>引違い窓系</t>
        </is>
      </c>
      <c r="D8" s="43" t="inlineStr">
        <is>
          <t>*</t>
        </is>
      </c>
      <c r="E8" s="43" t="inlineStr">
        <is>
          <t>換気</t>
        </is>
      </c>
      <c r="F8" s="43" t="inlineStr">
        <is>
          <t>フィルター付上桟一体換気窓</t>
        </is>
      </c>
      <c r="G8" s="43" t="b">
        <v>1</v>
      </c>
      <c r="H8" s="43" t="inlineStr">
        <is>
          <t>価格表確認済み</t>
        </is>
      </c>
      <c r="I8" s="43" t="inlineStr">
        <is>
          <t>P226</t>
        </is>
      </c>
      <c r="J8" s="43" t="inlineStr">
        <is>
          <t>把手障子の外障子側。HK/HKK除外</t>
        </is>
      </c>
      <c r="K8" s="43" t="inlineStr">
        <is>
          <t>見積選択</t>
        </is>
      </c>
      <c r="L8" s="43" t="inlineStr">
        <is>
          <t>対象障子のみ</t>
        </is>
      </c>
      <c r="M8" s="43" t="n">
        <v>50</v>
      </c>
    </row>
    <row r="9">
      <c r="A9" s="43" t="inlineStr">
        <is>
          <t>OP-SL-FINGER-GUARD</t>
        </is>
      </c>
      <c r="B9" s="43" t="inlineStr">
        <is>
          <t>SER-LIX-SAMOSL</t>
        </is>
      </c>
      <c r="C9" s="43" t="inlineStr">
        <is>
          <t>引違い窓系</t>
        </is>
      </c>
      <c r="D9" s="43" t="inlineStr">
        <is>
          <t>*</t>
        </is>
      </c>
      <c r="E9" s="43" t="inlineStr">
        <is>
          <t>安全</t>
        </is>
      </c>
      <c r="F9" s="43" t="inlineStr">
        <is>
          <t>指はさみ防止部品</t>
        </is>
      </c>
      <c r="G9" s="43" t="b">
        <v>1</v>
      </c>
      <c r="H9" s="43" t="inlineStr">
        <is>
          <t>価格表確認済み</t>
        </is>
      </c>
      <c r="I9" s="43" t="inlineStr">
        <is>
          <t>P227</t>
        </is>
      </c>
      <c r="J9" s="43" t="inlineStr">
        <is>
          <t>アングルカバー併用不可/高温多湿不可</t>
        </is>
      </c>
      <c r="K9" s="43" t="inlineStr">
        <is>
          <t>見積選択</t>
        </is>
      </c>
      <c r="L9" s="43" t="inlineStr">
        <is>
          <t>対象窓種のみ</t>
        </is>
      </c>
      <c r="M9" s="43" t="n">
        <v>60</v>
      </c>
    </row>
    <row r="10">
      <c r="A10" s="43" t="inlineStr">
        <is>
          <t>OP-SL-SMALL-STOPPER</t>
        </is>
      </c>
      <c r="B10" s="43" t="inlineStr">
        <is>
          <t>SER-LIX-SAMOSL</t>
        </is>
      </c>
      <c r="C10" s="43" t="inlineStr">
        <is>
          <t>引違い窓系</t>
        </is>
      </c>
      <c r="D10" s="43" t="inlineStr">
        <is>
          <t>*</t>
        </is>
      </c>
      <c r="E10" s="43" t="inlineStr">
        <is>
          <t>安全</t>
        </is>
      </c>
      <c r="F10" s="43" t="inlineStr">
        <is>
          <t>小開口ストッパー</t>
        </is>
      </c>
      <c r="G10" s="43" t="b">
        <v>1</v>
      </c>
      <c r="H10" s="43" t="inlineStr">
        <is>
          <t>価格表確認済み</t>
        </is>
      </c>
      <c r="I10" s="43" t="inlineStr">
        <is>
          <t>P227</t>
        </is>
      </c>
      <c r="J10" s="43" t="inlineStr">
        <is>
          <t>4枚建・非常用進入口・装飾HK/HKK等は制限</t>
        </is>
      </c>
      <c r="K10" s="43" t="inlineStr">
        <is>
          <t>見積選択</t>
        </is>
      </c>
      <c r="L10" s="43" t="inlineStr">
        <is>
          <t>適用条件通過時</t>
        </is>
      </c>
      <c r="M10" s="43" t="n">
        <v>70</v>
      </c>
    </row>
    <row r="11">
      <c r="A11" s="43" t="inlineStr">
        <is>
          <t>OP-SL-CRESCENT</t>
        </is>
      </c>
      <c r="B11" s="43" t="inlineStr">
        <is>
          <t>SER-LIX-SAMOSL</t>
        </is>
      </c>
      <c r="C11" s="43" t="inlineStr">
        <is>
          <t>引違い窓系</t>
        </is>
      </c>
      <c r="D11" s="43" t="inlineStr">
        <is>
          <t>*</t>
        </is>
      </c>
      <c r="E11" s="43" t="inlineStr">
        <is>
          <t>錠</t>
        </is>
      </c>
      <c r="F11" s="43" t="inlineStr">
        <is>
          <t>クレセント</t>
        </is>
      </c>
      <c r="G11" s="43" t="b">
        <v>1</v>
      </c>
      <c r="H11" s="43" t="inlineStr">
        <is>
          <t>有償品対応一覧確認済み</t>
        </is>
      </c>
      <c r="I11" s="43" t="inlineStr">
        <is>
          <t>共通有償品</t>
        </is>
      </c>
      <c r="J11" s="43" t="inlineStr">
        <is>
          <t>交換/仕様選択</t>
        </is>
      </c>
      <c r="K11" s="43" t="inlineStr">
        <is>
          <t>部材選択</t>
        </is>
      </c>
      <c r="L11" s="43" t="inlineStr">
        <is>
          <t>該当窓種</t>
        </is>
      </c>
      <c r="M11" s="43" t="n">
        <v>80</v>
      </c>
    </row>
    <row r="12">
      <c r="A12" s="43" t="inlineStr">
        <is>
          <t>OP-SL-SMART-CRESCENT</t>
        </is>
      </c>
      <c r="B12" s="43" t="inlineStr">
        <is>
          <t>SER-LIX-SAMOSL</t>
        </is>
      </c>
      <c r="C12" s="43" t="inlineStr">
        <is>
          <t>引違い窓系</t>
        </is>
      </c>
      <c r="D12" s="43" t="inlineStr">
        <is>
          <t>*</t>
        </is>
      </c>
      <c r="E12" s="43" t="inlineStr">
        <is>
          <t>錠</t>
        </is>
      </c>
      <c r="F12" s="43" t="inlineStr">
        <is>
          <t>スマートクレセント</t>
        </is>
      </c>
      <c r="G12" s="43" t="b">
        <v>1</v>
      </c>
      <c r="H12" s="43" t="inlineStr">
        <is>
          <t>有償品対応一覧確認済み</t>
        </is>
      </c>
      <c r="I12" s="43" t="inlineStr">
        <is>
          <t>共通有償品</t>
        </is>
      </c>
      <c r="J12" s="43" t="inlineStr">
        <is>
          <t>併用制限あり</t>
        </is>
      </c>
      <c r="K12" s="43" t="inlineStr">
        <is>
          <t>見積選択</t>
        </is>
      </c>
      <c r="L12" s="43" t="inlineStr">
        <is>
          <t>適用窓種/併用条件</t>
        </is>
      </c>
      <c r="M12" s="43" t="n">
        <v>90</v>
      </c>
    </row>
    <row r="13">
      <c r="A13" s="43" t="inlineStr">
        <is>
          <t>OP-SL-KEY-CRESCENT</t>
        </is>
      </c>
      <c r="B13" s="43" t="inlineStr">
        <is>
          <t>SER-LIX-SAMOSL</t>
        </is>
      </c>
      <c r="C13" s="43" t="inlineStr">
        <is>
          <t>引違い窓系</t>
        </is>
      </c>
      <c r="D13" s="43" t="inlineStr">
        <is>
          <t>*</t>
        </is>
      </c>
      <c r="E13" s="43" t="inlineStr">
        <is>
          <t>錠</t>
        </is>
      </c>
      <c r="F13" s="43" t="inlineStr">
        <is>
          <t>キー付クレセント</t>
        </is>
      </c>
      <c r="G13" s="43" t="b">
        <v>1</v>
      </c>
      <c r="H13" s="43" t="inlineStr">
        <is>
          <t>有償品対応一覧確認済み</t>
        </is>
      </c>
      <c r="I13" s="43" t="inlineStr">
        <is>
          <t>共通有償品</t>
        </is>
      </c>
      <c r="J13" s="43" t="inlineStr">
        <is>
          <t>併用制限あり</t>
        </is>
      </c>
      <c r="K13" s="43" t="inlineStr">
        <is>
          <t>見積選択</t>
        </is>
      </c>
      <c r="L13" s="43" t="inlineStr">
        <is>
          <t>適用窓種/併用条件</t>
        </is>
      </c>
      <c r="M13" s="43" t="n">
        <v>100</v>
      </c>
    </row>
    <row r="14">
      <c r="A14" s="43" t="inlineStr">
        <is>
          <t>OP-SL-DIAL-CRESCENT</t>
        </is>
      </c>
      <c r="B14" s="43" t="inlineStr">
        <is>
          <t>SER-LIX-SAMOSL</t>
        </is>
      </c>
      <c r="C14" s="43" t="inlineStr">
        <is>
          <t>引違い窓系</t>
        </is>
      </c>
      <c r="D14" s="43" t="inlineStr">
        <is>
          <t>*</t>
        </is>
      </c>
      <c r="E14" s="43" t="inlineStr">
        <is>
          <t>錠</t>
        </is>
      </c>
      <c r="F14" s="43" t="inlineStr">
        <is>
          <t>ダイヤル錠クレセント</t>
        </is>
      </c>
      <c r="G14" s="43" t="b">
        <v>1</v>
      </c>
      <c r="H14" s="43" t="inlineStr">
        <is>
          <t>価格表確認済み</t>
        </is>
      </c>
      <c r="I14" s="43" t="inlineStr">
        <is>
          <t>共通有償品</t>
        </is>
      </c>
      <c r="J14" s="43" t="inlineStr">
        <is>
          <t>H条件・品種条件あり</t>
        </is>
      </c>
      <c r="K14" s="43" t="inlineStr">
        <is>
          <t>見積選択</t>
        </is>
      </c>
      <c r="L14" s="43" t="inlineStr">
        <is>
          <t>適用条件通過時</t>
        </is>
      </c>
      <c r="M14" s="43" t="n">
        <v>110</v>
      </c>
    </row>
    <row r="15">
      <c r="A15" s="43" t="inlineStr">
        <is>
          <t>OP-SL-TYPHOON-STOPPER</t>
        </is>
      </c>
      <c r="B15" s="43" t="inlineStr">
        <is>
          <t>SER-LIX-SAMOSL</t>
        </is>
      </c>
      <c r="C15" s="43" t="inlineStr">
        <is>
          <t>引違い窓系</t>
        </is>
      </c>
      <c r="D15" s="43" t="inlineStr">
        <is>
          <t>*</t>
        </is>
      </c>
      <c r="E15" s="43" t="inlineStr">
        <is>
          <t>安全</t>
        </is>
      </c>
      <c r="F15" s="43" t="inlineStr">
        <is>
          <t>台風ストッパー</t>
        </is>
      </c>
      <c r="G15" s="43" t="b">
        <v>1</v>
      </c>
      <c r="H15" s="43" t="inlineStr">
        <is>
          <t>有償品対応一覧確認済み</t>
        </is>
      </c>
      <c r="I15" s="43" t="inlineStr">
        <is>
          <t>共通有償品</t>
        </is>
      </c>
      <c r="J15" s="43" t="str"/>
      <c r="K15" s="43" t="inlineStr">
        <is>
          <t>見積選択</t>
        </is>
      </c>
      <c r="L15" s="43" t="inlineStr">
        <is>
          <t>対象窓種</t>
        </is>
      </c>
      <c r="M15" s="43" t="n">
        <v>120</v>
      </c>
    </row>
    <row r="16">
      <c r="A16" s="43" t="inlineStr">
        <is>
          <t>OP-SL-SCREEN-STOPPER</t>
        </is>
      </c>
      <c r="B16" s="43" t="inlineStr">
        <is>
          <t>SER-LIX-SAMOSL</t>
        </is>
      </c>
      <c r="C16" s="43" t="inlineStr">
        <is>
          <t>引違い網戸</t>
        </is>
      </c>
      <c r="D16" s="43" t="inlineStr">
        <is>
          <t>*</t>
        </is>
      </c>
      <c r="E16" s="43" t="inlineStr">
        <is>
          <t>網戸部材</t>
        </is>
      </c>
      <c r="F16" s="43" t="inlineStr">
        <is>
          <t>網戸ストッパー</t>
        </is>
      </c>
      <c r="G16" s="43" t="b">
        <v>1</v>
      </c>
      <c r="H16" s="43" t="inlineStr">
        <is>
          <t>カタログ確認済み</t>
        </is>
      </c>
      <c r="I16" s="43" t="inlineStr">
        <is>
          <t>網戸関連部材</t>
        </is>
      </c>
      <c r="J16" s="43" t="inlineStr">
        <is>
          <t>大/小。内障子・外障子で適用差</t>
        </is>
      </c>
      <c r="K16" s="43" t="inlineStr">
        <is>
          <t>見積選択</t>
        </is>
      </c>
      <c r="L16" s="43" t="inlineStr">
        <is>
          <t>引違い網戸選択時</t>
        </is>
      </c>
      <c r="M16" s="43" t="n">
        <v>130</v>
      </c>
    </row>
    <row r="17">
      <c r="A17" s="43" t="inlineStr">
        <is>
          <t>OP-SL-ANGLE-COVER</t>
        </is>
      </c>
      <c r="B17" s="43" t="inlineStr">
        <is>
          <t>SER-LIX-SAMOSL</t>
        </is>
      </c>
      <c r="C17" s="43" t="inlineStr">
        <is>
          <t>*</t>
        </is>
      </c>
      <c r="D17" s="43" t="inlineStr">
        <is>
          <t>*</t>
        </is>
      </c>
      <c r="E17" s="43" t="inlineStr">
        <is>
          <t>枠/意匠</t>
        </is>
      </c>
      <c r="F17" s="43" t="inlineStr">
        <is>
          <t>アングルカバー</t>
        </is>
      </c>
      <c r="G17" s="43" t="b">
        <v>1</v>
      </c>
      <c r="H17" s="43" t="inlineStr">
        <is>
          <t>価格表確認済み</t>
        </is>
      </c>
      <c r="I17" s="43" t="inlineStr">
        <is>
          <t>共通有償品</t>
        </is>
      </c>
      <c r="J17" s="43" t="inlineStr">
        <is>
          <t>真壁/アングルなし等。高温多湿不可条件あり</t>
        </is>
      </c>
      <c r="K17" s="43" t="inlineStr">
        <is>
          <t>見積選択</t>
        </is>
      </c>
      <c r="L17" s="43" t="inlineStr">
        <is>
          <t>対象納まり</t>
        </is>
      </c>
      <c r="M17" s="43" t="n">
        <v>140</v>
      </c>
    </row>
    <row r="18">
      <c r="A18" s="43" t="inlineStr">
        <is>
          <t>OP-SL-TILE-FRAME</t>
        </is>
      </c>
      <c r="B18" s="43" t="inlineStr">
        <is>
          <t>SER-LIX-SAMOSL</t>
        </is>
      </c>
      <c r="C18" s="43" t="inlineStr">
        <is>
          <t>*</t>
        </is>
      </c>
      <c r="D18" s="43" t="inlineStr">
        <is>
          <t>*</t>
        </is>
      </c>
      <c r="E18" s="43" t="inlineStr">
        <is>
          <t>枠/意匠</t>
        </is>
      </c>
      <c r="F18" s="43" t="inlineStr">
        <is>
          <t>タイル用四方額縁</t>
        </is>
      </c>
      <c r="G18" s="43" t="b">
        <v>1</v>
      </c>
      <c r="H18" s="43" t="inlineStr">
        <is>
          <t>価格表確認済み</t>
        </is>
      </c>
      <c r="I18" s="43" t="inlineStr">
        <is>
          <t>共通有償品</t>
        </is>
      </c>
      <c r="J18" s="43" t="str"/>
      <c r="K18" s="43" t="inlineStr">
        <is>
          <t>見積選択</t>
        </is>
      </c>
      <c r="L18" s="43" t="inlineStr">
        <is>
          <t>対象納まり</t>
        </is>
      </c>
      <c r="M18" s="43" t="n">
        <v>150</v>
      </c>
    </row>
    <row r="19">
      <c r="A19" s="43" t="inlineStr">
        <is>
          <t>OP-SL-TILE-SCREW</t>
        </is>
      </c>
      <c r="B19" s="43" t="inlineStr">
        <is>
          <t>SER-LIX-SAMOSL</t>
        </is>
      </c>
      <c r="C19" s="43" t="inlineStr">
        <is>
          <t>*</t>
        </is>
      </c>
      <c r="D19" s="43" t="inlineStr">
        <is>
          <t>*</t>
        </is>
      </c>
      <c r="E19" s="43" t="inlineStr">
        <is>
          <t>取付</t>
        </is>
      </c>
      <c r="F19" s="43" t="inlineStr">
        <is>
          <t>タイル用四方額縁アングル取付ねじセット</t>
        </is>
      </c>
      <c r="G19" s="43" t="b">
        <v>1</v>
      </c>
      <c r="H19" s="43" t="inlineStr">
        <is>
          <t>価格表確認済み</t>
        </is>
      </c>
      <c r="I19" s="43" t="inlineStr">
        <is>
          <t>共通有償品</t>
        </is>
      </c>
      <c r="J19" s="43" t="str"/>
      <c r="K19" s="43" t="inlineStr">
        <is>
          <t>部材選択</t>
        </is>
      </c>
      <c r="L19" s="43" t="inlineStr">
        <is>
          <t>タイル用四方額縁選択時</t>
        </is>
      </c>
      <c r="M19" s="43" t="n">
        <v>160</v>
      </c>
    </row>
    <row r="20">
      <c r="A20" s="43" t="inlineStr">
        <is>
          <t>OP-SL-FLAT-GUIDE</t>
        </is>
      </c>
      <c r="B20" s="43" t="inlineStr">
        <is>
          <t>SER-LIX-SAMOSL</t>
        </is>
      </c>
      <c r="C20" s="43" t="inlineStr">
        <is>
          <t>WT-SL-SHUTTER-HIKI</t>
        </is>
      </c>
      <c r="D20" s="43" t="inlineStr">
        <is>
          <t>SP-SL-SHUT-E-STD</t>
        </is>
      </c>
      <c r="E20" s="43" t="inlineStr">
        <is>
          <t>バリアフリー</t>
        </is>
      </c>
      <c r="F20" s="43" t="inlineStr">
        <is>
          <t>フラットアタッチメント仕様ガイドレール</t>
        </is>
      </c>
      <c r="G20" s="43" t="b">
        <v>1</v>
      </c>
      <c r="H20" s="43" t="inlineStr">
        <is>
          <t>価格表確認済み</t>
        </is>
      </c>
      <c r="I20" s="43" t="inlineStr">
        <is>
          <t>共通有償品</t>
        </is>
      </c>
      <c r="J20" s="43" t="inlineStr">
        <is>
          <t>電動標準タイプ条件</t>
        </is>
      </c>
      <c r="K20" s="43" t="inlineStr">
        <is>
          <t>見積選択</t>
        </is>
      </c>
      <c r="L20" s="43" t="inlineStr">
        <is>
          <t>該当シャッターのみ</t>
        </is>
      </c>
      <c r="M20" s="43" t="n">
        <v>170</v>
      </c>
    </row>
    <row r="21">
      <c r="A21" s="43" t="inlineStr">
        <is>
          <t>OP-SL-FLAT-SKIRT</t>
        </is>
      </c>
      <c r="B21" s="43" t="inlineStr">
        <is>
          <t>SER-LIX-SAMOSL</t>
        </is>
      </c>
      <c r="C21" s="43" t="inlineStr">
        <is>
          <t>WT-SL-SHUTTER-HIKI</t>
        </is>
      </c>
      <c r="D21" s="43" t="inlineStr">
        <is>
          <t>SP-SL-SHUT-M-STD</t>
        </is>
      </c>
      <c r="E21" s="43" t="inlineStr">
        <is>
          <t>バリアフリー</t>
        </is>
      </c>
      <c r="F21" s="43" t="inlineStr">
        <is>
          <t>フラットアタッチメント仕様手動幅木</t>
        </is>
      </c>
      <c r="G21" s="43" t="b">
        <v>1</v>
      </c>
      <c r="H21" s="43" t="inlineStr">
        <is>
          <t>価格表確認済み</t>
        </is>
      </c>
      <c r="I21" s="43" t="inlineStr">
        <is>
          <t>共通有償品</t>
        </is>
      </c>
      <c r="J21" s="43" t="str"/>
      <c r="K21" s="43" t="inlineStr">
        <is>
          <t>見積選択</t>
        </is>
      </c>
      <c r="L21" s="43" t="inlineStr">
        <is>
          <t>該当シャッターのみ</t>
        </is>
      </c>
      <c r="M21" s="43" t="n">
        <v>180</v>
      </c>
    </row>
    <row r="22">
      <c r="A22" s="43" t="inlineStr">
        <is>
          <t>OP-SL-SMALL-ARM</t>
        </is>
      </c>
      <c r="B22" s="43" t="inlineStr">
        <is>
          <t>SER-LIX-SAMOSL</t>
        </is>
      </c>
      <c r="C22" s="43" t="inlineStr">
        <is>
          <t>装飾窓系</t>
        </is>
      </c>
      <c r="D22" s="43" t="inlineStr">
        <is>
          <t>*</t>
        </is>
      </c>
      <c r="E22" s="43" t="inlineStr">
        <is>
          <t>安全</t>
        </is>
      </c>
      <c r="F22" s="43" t="inlineStr">
        <is>
          <t>小開口アーム</t>
        </is>
      </c>
      <c r="G22" s="43" t="b">
        <v>1</v>
      </c>
      <c r="H22" s="43" t="inlineStr">
        <is>
          <t>有償品対応一覧確認済み</t>
        </is>
      </c>
      <c r="I22" s="43" t="inlineStr">
        <is>
          <t>共通有償品</t>
        </is>
      </c>
      <c r="J22" s="43" t="str"/>
      <c r="K22" s="43" t="inlineStr">
        <is>
          <t>見積選択</t>
        </is>
      </c>
      <c r="L22" s="43" t="inlineStr">
        <is>
          <t>対象装飾窓</t>
        </is>
      </c>
      <c r="M22" s="43" t="n">
        <v>190</v>
      </c>
    </row>
    <row r="23">
      <c r="A23" s="43" t="inlineStr">
        <is>
          <t>OP-SL-CORNER-AIRTIGHT</t>
        </is>
      </c>
      <c r="B23" s="43" t="inlineStr">
        <is>
          <t>SER-LIX-SAMOSL</t>
        </is>
      </c>
      <c r="C23" s="43" t="inlineStr">
        <is>
          <t>装飾窓系</t>
        </is>
      </c>
      <c r="D23" s="43" t="inlineStr">
        <is>
          <t>*</t>
        </is>
      </c>
      <c r="E23" s="43" t="inlineStr">
        <is>
          <t>気密</t>
        </is>
      </c>
      <c r="F23" s="43" t="inlineStr">
        <is>
          <t>コーナー気密部品セット</t>
        </is>
      </c>
      <c r="G23" s="43" t="b">
        <v>1</v>
      </c>
      <c r="H23" s="43" t="inlineStr">
        <is>
          <t>有償品対応一覧確認済み</t>
        </is>
      </c>
      <c r="I23" s="43" t="inlineStr">
        <is>
          <t>共通有償品</t>
        </is>
      </c>
      <c r="J23" s="43" t="str"/>
      <c r="K23" s="43" t="inlineStr">
        <is>
          <t>部材選択</t>
        </is>
      </c>
      <c r="L23" s="43" t="inlineStr">
        <is>
          <t>対象窓種</t>
        </is>
      </c>
      <c r="M23" s="43" t="n">
        <v>200</v>
      </c>
    </row>
    <row r="24">
      <c r="A24" s="43" t="inlineStr">
        <is>
          <t>OP-SL-OPERATOR-HANDLE</t>
        </is>
      </c>
      <c r="B24" s="43" t="inlineStr">
        <is>
          <t>SER-LIX-SAMOSL</t>
        </is>
      </c>
      <c r="C24" s="43" t="inlineStr">
        <is>
          <t>WT-SL-KOSHO-YOKO</t>
        </is>
      </c>
      <c r="D24" s="43" t="inlineStr">
        <is>
          <t>*</t>
        </is>
      </c>
      <c r="E24" s="43" t="inlineStr">
        <is>
          <t>操作</t>
        </is>
      </c>
      <c r="F24" s="43" t="inlineStr">
        <is>
          <t>オペレーター本体（ハンドル用）</t>
        </is>
      </c>
      <c r="G24" s="43" t="b">
        <v>1</v>
      </c>
      <c r="H24" s="43" t="inlineStr">
        <is>
          <t>価格表確認済み</t>
        </is>
      </c>
      <c r="I24" s="43" t="inlineStr">
        <is>
          <t>P138/共通有償品</t>
        </is>
      </c>
      <c r="J24" s="43" t="str"/>
      <c r="K24" s="43" t="inlineStr">
        <is>
          <t>見積選択</t>
        </is>
      </c>
      <c r="L24" s="43" t="inlineStr">
        <is>
          <t>高所用横すべり出し窓</t>
        </is>
      </c>
      <c r="M24" s="43" t="n">
        <v>210</v>
      </c>
    </row>
    <row r="25">
      <c r="A25" s="43" t="inlineStr">
        <is>
          <t>OP-SL-OPERATOR-PULLEY</t>
        </is>
      </c>
      <c r="B25" s="43" t="inlineStr">
        <is>
          <t>SER-LIX-SAMOSL</t>
        </is>
      </c>
      <c r="C25" s="43" t="inlineStr">
        <is>
          <t>WT-SL-KOSHO-YOKO</t>
        </is>
      </c>
      <c r="D25" s="43" t="inlineStr">
        <is>
          <t>*</t>
        </is>
      </c>
      <c r="E25" s="43" t="inlineStr">
        <is>
          <t>操作</t>
        </is>
      </c>
      <c r="F25" s="43" t="inlineStr">
        <is>
          <t>オペレーター本体（滑車用）</t>
        </is>
      </c>
      <c r="G25" s="43" t="b">
        <v>1</v>
      </c>
      <c r="H25" s="43" t="inlineStr">
        <is>
          <t>価格表確認済み</t>
        </is>
      </c>
      <c r="I25" s="43" t="inlineStr">
        <is>
          <t>P138/共通有償品</t>
        </is>
      </c>
      <c r="J25" s="43" t="str"/>
      <c r="K25" s="43" t="inlineStr">
        <is>
          <t>見積選択</t>
        </is>
      </c>
      <c r="L25" s="43" t="inlineStr">
        <is>
          <t>高所用横すべり出し窓</t>
        </is>
      </c>
      <c r="M25" s="43" t="n">
        <v>220</v>
      </c>
    </row>
    <row r="26">
      <c r="A26" s="43" t="inlineStr">
        <is>
          <t>OP-SL-PULLEY</t>
        </is>
      </c>
      <c r="B26" s="43" t="inlineStr">
        <is>
          <t>SER-LIX-SAMOSL</t>
        </is>
      </c>
      <c r="C26" s="43" t="inlineStr">
        <is>
          <t>WT-SL-KOSHO-YOKO</t>
        </is>
      </c>
      <c r="D26" s="43" t="inlineStr">
        <is>
          <t>*</t>
        </is>
      </c>
      <c r="E26" s="43" t="inlineStr">
        <is>
          <t>操作</t>
        </is>
      </c>
      <c r="F26" s="43" t="inlineStr">
        <is>
          <t>滑車</t>
        </is>
      </c>
      <c r="G26" s="43" t="b">
        <v>1</v>
      </c>
      <c r="H26" s="43" t="inlineStr">
        <is>
          <t>価格表確認済み</t>
        </is>
      </c>
      <c r="I26" s="43" t="inlineStr">
        <is>
          <t>共通有償品</t>
        </is>
      </c>
      <c r="J26" s="43" t="str"/>
      <c r="K26" s="43" t="inlineStr">
        <is>
          <t>部材選択</t>
        </is>
      </c>
      <c r="L26" s="43" t="inlineStr">
        <is>
          <t>滑車操作選択時</t>
        </is>
      </c>
      <c r="M26" s="43" t="n">
        <v>230</v>
      </c>
    </row>
    <row r="27">
      <c r="A27" s="43" t="inlineStr">
        <is>
          <t>OP-SL-SINGLE-CHAIN</t>
        </is>
      </c>
      <c r="B27" s="43" t="inlineStr">
        <is>
          <t>SER-LIX-SAMOSL</t>
        </is>
      </c>
      <c r="C27" s="43" t="inlineStr">
        <is>
          <t>WT-SL-KOSHO-YOKO</t>
        </is>
      </c>
      <c r="D27" s="43" t="inlineStr">
        <is>
          <t>*</t>
        </is>
      </c>
      <c r="E27" s="43" t="inlineStr">
        <is>
          <t>操作</t>
        </is>
      </c>
      <c r="F27" s="43" t="inlineStr">
        <is>
          <t>シングルループチェーン</t>
        </is>
      </c>
      <c r="G27" s="43" t="b">
        <v>1</v>
      </c>
      <c r="H27" s="43" t="inlineStr">
        <is>
          <t>価格表確認済み</t>
        </is>
      </c>
      <c r="I27" s="43" t="inlineStr">
        <is>
          <t>P138/共通有償品</t>
        </is>
      </c>
      <c r="J27" s="43" t="str"/>
      <c r="K27" s="43" t="inlineStr">
        <is>
          <t>見積選択</t>
        </is>
      </c>
      <c r="L27" s="43" t="inlineStr">
        <is>
          <t>チェーン操作</t>
        </is>
      </c>
      <c r="M27" s="43" t="n">
        <v>240</v>
      </c>
    </row>
    <row r="28">
      <c r="A28" s="43" t="inlineStr">
        <is>
          <t>OP-SL-DOUBLE-CHAIN</t>
        </is>
      </c>
      <c r="B28" s="43" t="inlineStr">
        <is>
          <t>SER-LIX-SAMOSL</t>
        </is>
      </c>
      <c r="C28" s="43" t="inlineStr">
        <is>
          <t>WT-SL-KOSHO-YOKO</t>
        </is>
      </c>
      <c r="D28" s="43" t="inlineStr">
        <is>
          <t>*</t>
        </is>
      </c>
      <c r="E28" s="43" t="inlineStr">
        <is>
          <t>操作</t>
        </is>
      </c>
      <c r="F28" s="43" t="inlineStr">
        <is>
          <t>ダブルループチェーン</t>
        </is>
      </c>
      <c r="G28" s="43" t="b">
        <v>1</v>
      </c>
      <c r="H28" s="43" t="inlineStr">
        <is>
          <t>価格表確認済み</t>
        </is>
      </c>
      <c r="I28" s="43" t="inlineStr">
        <is>
          <t>P138/共通有償品</t>
        </is>
      </c>
      <c r="J28" s="43" t="str"/>
      <c r="K28" s="43" t="inlineStr">
        <is>
          <t>見積選択</t>
        </is>
      </c>
      <c r="L28" s="43" t="inlineStr">
        <is>
          <t>チェーン操作</t>
        </is>
      </c>
      <c r="M28" s="43" t="n">
        <v>250</v>
      </c>
    </row>
    <row r="29">
      <c r="A29" s="43" t="inlineStr">
        <is>
          <t>OP-SL-ELECTRIC-UNIT</t>
        </is>
      </c>
      <c r="B29" s="43" t="inlineStr">
        <is>
          <t>SER-LIX-SAMOSL</t>
        </is>
      </c>
      <c r="C29" s="43" t="inlineStr">
        <is>
          <t>WT-SL-KOSHO-YOKO</t>
        </is>
      </c>
      <c r="D29" s="43" t="inlineStr">
        <is>
          <t>*</t>
        </is>
      </c>
      <c r="E29" s="43" t="inlineStr">
        <is>
          <t>電動</t>
        </is>
      </c>
      <c r="F29" s="43" t="inlineStr">
        <is>
          <t>電動ユニット本体</t>
        </is>
      </c>
      <c r="G29" s="43" t="b">
        <v>1</v>
      </c>
      <c r="H29" s="43" t="inlineStr">
        <is>
          <t>価格表確認済み</t>
        </is>
      </c>
      <c r="I29" s="43" t="inlineStr">
        <is>
          <t>P138/共通有償品</t>
        </is>
      </c>
      <c r="J29" s="43" t="inlineStr">
        <is>
          <t>単機能リモコン同梱仕様あり</t>
        </is>
      </c>
      <c r="K29" s="43" t="inlineStr">
        <is>
          <t>見積選択</t>
        </is>
      </c>
      <c r="L29" s="43" t="inlineStr">
        <is>
          <t>電動操作</t>
        </is>
      </c>
      <c r="M29" s="43" t="n">
        <v>260</v>
      </c>
    </row>
    <row r="30">
      <c r="A30" s="43" t="inlineStr">
        <is>
          <t>OP-SL-REMOTE-SIMPLE</t>
        </is>
      </c>
      <c r="B30" s="43" t="inlineStr">
        <is>
          <t>SER-LIX-SAMOSL</t>
        </is>
      </c>
      <c r="C30" s="43" t="inlineStr">
        <is>
          <t>電動対象窓種</t>
        </is>
      </c>
      <c r="D30" s="43" t="inlineStr">
        <is>
          <t>*</t>
        </is>
      </c>
      <c r="E30" s="43" t="inlineStr">
        <is>
          <t>電動</t>
        </is>
      </c>
      <c r="F30" s="43" t="inlineStr">
        <is>
          <t>単機能リモコン</t>
        </is>
      </c>
      <c r="G30" s="43" t="b">
        <v>1</v>
      </c>
      <c r="H30" s="43" t="inlineStr">
        <is>
          <t>有償品対応一覧確認済み</t>
        </is>
      </c>
      <c r="I30" s="43" t="inlineStr">
        <is>
          <t>共通有償品</t>
        </is>
      </c>
      <c r="J30" s="43" t="str"/>
      <c r="K30" s="43" t="inlineStr">
        <is>
          <t>見積選択</t>
        </is>
      </c>
      <c r="L30" s="43" t="inlineStr">
        <is>
          <t>電動仕様選択時</t>
        </is>
      </c>
      <c r="M30" s="43" t="n">
        <v>270</v>
      </c>
    </row>
    <row r="31">
      <c r="A31" s="43" t="inlineStr">
        <is>
          <t>OP-SL-REMOTE-HIGH</t>
        </is>
      </c>
      <c r="B31" s="43" t="inlineStr">
        <is>
          <t>SER-LIX-SAMOSL</t>
        </is>
      </c>
      <c r="C31" s="43" t="inlineStr">
        <is>
          <t>電動対象窓種</t>
        </is>
      </c>
      <c r="D31" s="43" t="inlineStr">
        <is>
          <t>*</t>
        </is>
      </c>
      <c r="E31" s="43" t="inlineStr">
        <is>
          <t>電動</t>
        </is>
      </c>
      <c r="F31" s="43" t="inlineStr">
        <is>
          <t>高機能リモコン</t>
        </is>
      </c>
      <c r="G31" s="43" t="b">
        <v>1</v>
      </c>
      <c r="H31" s="43" t="inlineStr">
        <is>
          <t>有償品対応一覧確認済み</t>
        </is>
      </c>
      <c r="I31" s="43" t="inlineStr">
        <is>
          <t>共通有償品</t>
        </is>
      </c>
      <c r="J31" s="43" t="str"/>
      <c r="K31" s="43" t="inlineStr">
        <is>
          <t>見積選択</t>
        </is>
      </c>
      <c r="L31" s="43" t="inlineStr">
        <is>
          <t>電動仕様選択時</t>
        </is>
      </c>
      <c r="M31" s="43" t="n">
        <v>280</v>
      </c>
    </row>
    <row r="32">
      <c r="A32" s="43" t="inlineStr">
        <is>
          <t>OP-SL-HOME-DEVICE</t>
        </is>
      </c>
      <c r="B32" s="43" t="inlineStr">
        <is>
          <t>SER-LIX-SAMOSL</t>
        </is>
      </c>
      <c r="C32" s="43" t="inlineStr">
        <is>
          <t>電動対象窓種</t>
        </is>
      </c>
      <c r="D32" s="43" t="inlineStr">
        <is>
          <t>*</t>
        </is>
      </c>
      <c r="E32" s="43" t="inlineStr">
        <is>
          <t>電動</t>
        </is>
      </c>
      <c r="F32" s="43" t="inlineStr">
        <is>
          <t>ホームデバイス</t>
        </is>
      </c>
      <c r="G32" s="43" t="b">
        <v>1</v>
      </c>
      <c r="H32" s="43" t="inlineStr">
        <is>
          <t>有償品対応一覧確認済み</t>
        </is>
      </c>
      <c r="I32" s="43" t="inlineStr">
        <is>
          <t>共通有償品</t>
        </is>
      </c>
      <c r="J32" s="43" t="str"/>
      <c r="K32" s="43" t="inlineStr">
        <is>
          <t>見積選択</t>
        </is>
      </c>
      <c r="L32" s="43" t="inlineStr">
        <is>
          <t>対応電動仕様</t>
        </is>
      </c>
      <c r="M32" s="43" t="n">
        <v>290</v>
      </c>
    </row>
    <row r="33">
      <c r="A33" s="43" t="inlineStr">
        <is>
          <t>OP-SL-FIX-BEAD-OUT</t>
        </is>
      </c>
      <c r="B33" s="43" t="inlineStr">
        <is>
          <t>SER-LIX-SAMOSL</t>
        </is>
      </c>
      <c r="C33" s="43" t="inlineStr">
        <is>
          <t>WT-SL-FIX-OUT</t>
        </is>
      </c>
      <c r="D33" s="43" t="inlineStr">
        <is>
          <t>*</t>
        </is>
      </c>
      <c r="E33" s="43" t="inlineStr">
        <is>
          <t>ガラス保持</t>
        </is>
      </c>
      <c r="F33" s="43" t="inlineStr">
        <is>
          <t>FIX窓（外押縁タイプ）用後付ビード</t>
        </is>
      </c>
      <c r="G33" s="43" t="b">
        <v>1</v>
      </c>
      <c r="H33" s="43" t="inlineStr">
        <is>
          <t>価格表確認済み</t>
        </is>
      </c>
      <c r="I33" s="43" t="inlineStr">
        <is>
          <t>共通有償品</t>
        </is>
      </c>
      <c r="J33" s="43" t="str"/>
      <c r="K33" s="43" t="inlineStr">
        <is>
          <t>部材選択</t>
        </is>
      </c>
      <c r="L33" s="43" t="inlineStr">
        <is>
          <t>FIX外押縁</t>
        </is>
      </c>
      <c r="M33" s="43" t="n">
        <v>300</v>
      </c>
    </row>
    <row r="34">
      <c r="A34" s="43" t="inlineStr">
        <is>
          <t>OP-SL-FIX-BEAD-IN</t>
        </is>
      </c>
      <c r="B34" s="43" t="inlineStr">
        <is>
          <t>SER-LIX-SAMOSL</t>
        </is>
      </c>
      <c r="C34" s="43" t="inlineStr">
        <is>
          <t>WT-SL-FIX-IN</t>
        </is>
      </c>
      <c r="D34" s="43" t="inlineStr">
        <is>
          <t>*</t>
        </is>
      </c>
      <c r="E34" s="43" t="inlineStr">
        <is>
          <t>ガラス保持</t>
        </is>
      </c>
      <c r="F34" s="43" t="inlineStr">
        <is>
          <t>FIX窓（内押縁タイプ）用後付ビード</t>
        </is>
      </c>
      <c r="G34" s="43" t="b">
        <v>1</v>
      </c>
      <c r="H34" s="43" t="inlineStr">
        <is>
          <t>価格表確認済み</t>
        </is>
      </c>
      <c r="I34" s="43" t="inlineStr">
        <is>
          <t>共通有償品</t>
        </is>
      </c>
      <c r="J34" s="43" t="str"/>
      <c r="K34" s="43" t="inlineStr">
        <is>
          <t>部材選択</t>
        </is>
      </c>
      <c r="L34" s="43" t="inlineStr">
        <is>
          <t>FIX内押縁</t>
        </is>
      </c>
      <c r="M34" s="43" t="n">
        <v>310</v>
      </c>
    </row>
    <row r="35">
      <c r="A35" s="43" t="inlineStr">
        <is>
          <t>OP-SL-FIX-SECURITY</t>
        </is>
      </c>
      <c r="B35" s="43" t="inlineStr">
        <is>
          <t>SER-LIX-SAMOSL</t>
        </is>
      </c>
      <c r="C35" s="43" t="inlineStr">
        <is>
          <t>WT-SL-FIX-OUT</t>
        </is>
      </c>
      <c r="D35" s="43" t="inlineStr">
        <is>
          <t>*</t>
        </is>
      </c>
      <c r="E35" s="43" t="inlineStr">
        <is>
          <t>防犯</t>
        </is>
      </c>
      <c r="F35" s="43" t="inlineStr">
        <is>
          <t>FIX窓用防犯部品セット</t>
        </is>
      </c>
      <c r="G35" s="43" t="b">
        <v>1</v>
      </c>
      <c r="H35" s="43" t="inlineStr">
        <is>
          <t>価格表確認済み</t>
        </is>
      </c>
      <c r="I35" s="43" t="inlineStr">
        <is>
          <t>共通有償品</t>
        </is>
      </c>
      <c r="J35" s="43" t="str"/>
      <c r="K35" s="43" t="inlineStr">
        <is>
          <t>見積選択</t>
        </is>
      </c>
      <c r="L35" s="43" t="inlineStr">
        <is>
          <t>対象FIX</t>
        </is>
      </c>
      <c r="M35" s="43" t="n">
        <v>320</v>
      </c>
    </row>
    <row r="36">
      <c r="A36" s="43" t="inlineStr">
        <is>
          <t>OP-SL-OUT-HOOK</t>
        </is>
      </c>
      <c r="B36" s="43" t="inlineStr">
        <is>
          <t>SER-LIX-SAMOSL</t>
        </is>
      </c>
      <c r="C36" s="43" t="inlineStr">
        <is>
          <t>WT-SL-SOTODAOSHI</t>
        </is>
      </c>
      <c r="D36" s="43" t="inlineStr">
        <is>
          <t>*</t>
        </is>
      </c>
      <c r="E36" s="43" t="inlineStr">
        <is>
          <t>操作</t>
        </is>
      </c>
      <c r="F36" s="43" t="inlineStr">
        <is>
          <t>外倒し窓用フック棒</t>
        </is>
      </c>
      <c r="G36" s="43" t="b">
        <v>1</v>
      </c>
      <c r="H36" s="43" t="inlineStr">
        <is>
          <t>有償品対応一覧確認済み</t>
        </is>
      </c>
      <c r="I36" s="43" t="inlineStr">
        <is>
          <t>共通有償品</t>
        </is>
      </c>
      <c r="J36" s="43" t="str"/>
      <c r="K36" s="43" t="inlineStr">
        <is>
          <t>見積選択</t>
        </is>
      </c>
      <c r="L36" s="43" t="inlineStr">
        <is>
          <t>外倒し窓</t>
        </is>
      </c>
      <c r="M36" s="43" t="n">
        <v>330</v>
      </c>
    </row>
    <row r="37">
      <c r="A37" s="43" t="inlineStr">
        <is>
          <t>OP-SL-OUT-RETURN</t>
        </is>
      </c>
      <c r="B37" s="43" t="inlineStr">
        <is>
          <t>SER-LIX-SAMOSL</t>
        </is>
      </c>
      <c r="C37" s="43" t="inlineStr">
        <is>
          <t>WT-SL-SOTODAOSHI</t>
        </is>
      </c>
      <c r="D37" s="43" t="inlineStr">
        <is>
          <t>*</t>
        </is>
      </c>
      <c r="E37" s="43" t="inlineStr">
        <is>
          <t>操作</t>
        </is>
      </c>
      <c r="F37" s="43" t="inlineStr">
        <is>
          <t>外倒し窓用復帰セット</t>
        </is>
      </c>
      <c r="G37" s="43" t="b">
        <v>1</v>
      </c>
      <c r="H37" s="43" t="inlineStr">
        <is>
          <t>有償品対応一覧確認済み</t>
        </is>
      </c>
      <c r="I37" s="43" t="inlineStr">
        <is>
          <t>共通有償品</t>
        </is>
      </c>
      <c r="J37" s="43" t="str"/>
      <c r="K37" s="43" t="inlineStr">
        <is>
          <t>部材選択</t>
        </is>
      </c>
      <c r="L37" s="43" t="inlineStr">
        <is>
          <t>外倒し窓</t>
        </is>
      </c>
      <c r="M37" s="43" t="n">
        <v>340</v>
      </c>
    </row>
    <row r="38">
      <c r="A38" s="43" t="inlineStr">
        <is>
          <t>OP-SL-OUT-JOINT</t>
        </is>
      </c>
      <c r="B38" s="43" t="inlineStr">
        <is>
          <t>SER-LIX-SAMOSL</t>
        </is>
      </c>
      <c r="C38" s="43" t="inlineStr">
        <is>
          <t>WT-SL-SOTODAOSHI</t>
        </is>
      </c>
      <c r="D38" s="43" t="inlineStr">
        <is>
          <t>*</t>
        </is>
      </c>
      <c r="E38" s="43" t="inlineStr">
        <is>
          <t>連窓</t>
        </is>
      </c>
      <c r="F38" s="43" t="inlineStr">
        <is>
          <t>外倒し窓用連窓用部品セット</t>
        </is>
      </c>
      <c r="G38" s="43" t="b">
        <v>1</v>
      </c>
      <c r="H38" s="43" t="inlineStr">
        <is>
          <t>有償品対応一覧確認済み</t>
        </is>
      </c>
      <c r="I38" s="43" t="inlineStr">
        <is>
          <t>共通有償品</t>
        </is>
      </c>
      <c r="J38" s="43" t="str"/>
      <c r="K38" s="43" t="inlineStr">
        <is>
          <t>部材選択</t>
        </is>
      </c>
      <c r="L38" s="43" t="inlineStr">
        <is>
          <t>連窓時</t>
        </is>
      </c>
      <c r="M38" s="43" t="n">
        <v>350</v>
      </c>
    </row>
    <row r="39">
      <c r="A39" s="43" t="inlineStr">
        <is>
          <t>OP-SL-OUT-CABLE</t>
        </is>
      </c>
      <c r="B39" s="43" t="inlineStr">
        <is>
          <t>SER-LIX-SAMOSL</t>
        </is>
      </c>
      <c r="C39" s="43" t="inlineStr">
        <is>
          <t>WT-SL-SOTODAOSHI</t>
        </is>
      </c>
      <c r="D39" s="43" t="inlineStr">
        <is>
          <t>*</t>
        </is>
      </c>
      <c r="E39" s="43" t="inlineStr">
        <is>
          <t>操作</t>
        </is>
      </c>
      <c r="F39" s="43" t="inlineStr">
        <is>
          <t>外倒し窓用延長ケーブル</t>
        </is>
      </c>
      <c r="G39" s="43" t="b">
        <v>1</v>
      </c>
      <c r="H39" s="43" t="inlineStr">
        <is>
          <t>有償品対応一覧確認済み</t>
        </is>
      </c>
      <c r="I39" s="43" t="inlineStr">
        <is>
          <t>共通有償品</t>
        </is>
      </c>
      <c r="J39" s="43" t="str"/>
      <c r="K39" s="43" t="inlineStr">
        <is>
          <t>部材選択</t>
        </is>
      </c>
      <c r="L39" s="43" t="inlineStr">
        <is>
          <t>対象仕様</t>
        </is>
      </c>
      <c r="M39" s="43" t="n">
        <v>360</v>
      </c>
    </row>
    <row r="40">
      <c r="A40" s="43" t="inlineStr">
        <is>
          <t>OP-SL-VENT-WINDOW</t>
        </is>
      </c>
      <c r="B40" s="43" t="inlineStr">
        <is>
          <t>SER-LIX-SAMOSL</t>
        </is>
      </c>
      <c r="C40" s="43" t="inlineStr">
        <is>
          <t>装飾窓系</t>
        </is>
      </c>
      <c r="D40" s="43" t="inlineStr">
        <is>
          <t>*</t>
        </is>
      </c>
      <c r="E40" s="43" t="inlineStr">
        <is>
          <t>換気</t>
        </is>
      </c>
      <c r="F40" s="43" t="inlineStr">
        <is>
          <t>別体換気窓</t>
        </is>
      </c>
      <c r="G40" s="43" t="b">
        <v>1</v>
      </c>
      <c r="H40" s="43" t="inlineStr">
        <is>
          <t>カタログ確認済み</t>
        </is>
      </c>
      <c r="I40" s="43" t="inlineStr">
        <is>
          <t>SM3100/共通有償品</t>
        </is>
      </c>
      <c r="J40" s="43" t="inlineStr">
        <is>
          <t>サーモスⅡ-H/Lのみ</t>
        </is>
      </c>
      <c r="K40" s="43" t="inlineStr">
        <is>
          <t>見積選択</t>
        </is>
      </c>
      <c r="L40" s="43" t="inlineStr">
        <is>
          <t>対象窓種</t>
        </is>
      </c>
      <c r="M40" s="43" t="n">
        <v>370</v>
      </c>
    </row>
    <row r="41">
      <c r="A41" s="43" t="inlineStr">
        <is>
          <t>OP-SL-MULLION</t>
        </is>
      </c>
      <c r="B41" s="43" t="inlineStr">
        <is>
          <t>SER-LIX-SAMOSL</t>
        </is>
      </c>
      <c r="C41" s="43" t="inlineStr">
        <is>
          <t>連窓・段窓</t>
        </is>
      </c>
      <c r="D41" s="43" t="inlineStr">
        <is>
          <t>*</t>
        </is>
      </c>
      <c r="E41" s="43" t="inlineStr">
        <is>
          <t>連窓</t>
        </is>
      </c>
      <c r="F41" s="43" t="inlineStr">
        <is>
          <t>連窓方立</t>
        </is>
      </c>
      <c r="G41" s="43" t="b">
        <v>1</v>
      </c>
      <c r="H41" s="43" t="inlineStr">
        <is>
          <t>価格表確認済み</t>
        </is>
      </c>
      <c r="I41" s="43" t="inlineStr">
        <is>
          <t>共通有償品</t>
        </is>
      </c>
      <c r="J41" s="43" t="str"/>
      <c r="K41" s="43" t="inlineStr">
        <is>
          <t>部材選択</t>
        </is>
      </c>
      <c r="L41" s="43" t="inlineStr">
        <is>
          <t>連窓</t>
        </is>
      </c>
      <c r="M41" s="43" t="n">
        <v>380</v>
      </c>
    </row>
    <row r="42">
      <c r="A42" s="43" t="inlineStr">
        <is>
          <t>OP-SL-BATH-MULLION</t>
        </is>
      </c>
      <c r="B42" s="43" t="inlineStr">
        <is>
          <t>SER-LIX-SAMOSL</t>
        </is>
      </c>
      <c r="C42" s="43" t="inlineStr">
        <is>
          <t>連窓・段窓</t>
        </is>
      </c>
      <c r="D42" s="43" t="inlineStr">
        <is>
          <t>*</t>
        </is>
      </c>
      <c r="E42" s="43" t="inlineStr">
        <is>
          <t>連窓</t>
        </is>
      </c>
      <c r="F42" s="43" t="inlineStr">
        <is>
          <t>浴室用連窓方立</t>
        </is>
      </c>
      <c r="G42" s="43" t="b">
        <v>1</v>
      </c>
      <c r="H42" s="43" t="inlineStr">
        <is>
          <t>価格表確認済み</t>
        </is>
      </c>
      <c r="I42" s="43" t="inlineStr">
        <is>
          <t>共通有償品</t>
        </is>
      </c>
      <c r="J42" s="43" t="str"/>
      <c r="K42" s="43" t="inlineStr">
        <is>
          <t>部材選択</t>
        </is>
      </c>
      <c r="L42" s="43" t="inlineStr">
        <is>
          <t>浴室連窓</t>
        </is>
      </c>
      <c r="M42" s="43" t="n">
        <v>390</v>
      </c>
    </row>
    <row r="43">
      <c r="A43" s="43" t="inlineStr">
        <is>
          <t>OP-SL-TRANSOM</t>
        </is>
      </c>
      <c r="B43" s="43" t="inlineStr">
        <is>
          <t>SER-LIX-SAMOSL</t>
        </is>
      </c>
      <c r="C43" s="43" t="inlineStr">
        <is>
          <t>連窓・段窓</t>
        </is>
      </c>
      <c r="D43" s="43" t="inlineStr">
        <is>
          <t>*</t>
        </is>
      </c>
      <c r="E43" s="43" t="inlineStr">
        <is>
          <t>段窓</t>
        </is>
      </c>
      <c r="F43" s="43" t="inlineStr">
        <is>
          <t>段窓無目</t>
        </is>
      </c>
      <c r="G43" s="43" t="b">
        <v>1</v>
      </c>
      <c r="H43" s="43" t="inlineStr">
        <is>
          <t>価格表確認済み</t>
        </is>
      </c>
      <c r="I43" s="43" t="inlineStr">
        <is>
          <t>共通有償品</t>
        </is>
      </c>
      <c r="J43" s="43" t="str"/>
      <c r="K43" s="43" t="inlineStr">
        <is>
          <t>部材選択</t>
        </is>
      </c>
      <c r="L43" s="43" t="inlineStr">
        <is>
          <t>段窓</t>
        </is>
      </c>
      <c r="M43" s="43" t="n">
        <v>400</v>
      </c>
    </row>
    <row r="44">
      <c r="A44" s="43" t="inlineStr">
        <is>
          <t>OP-SL-WINDOW-MOLD</t>
        </is>
      </c>
      <c r="B44" s="43" t="inlineStr">
        <is>
          <t>SER-LIX-SAMOSL</t>
        </is>
      </c>
      <c r="C44" s="43" t="inlineStr">
        <is>
          <t>*</t>
        </is>
      </c>
      <c r="D44" s="43" t="inlineStr">
        <is>
          <t>*</t>
        </is>
      </c>
      <c r="E44" s="43" t="inlineStr">
        <is>
          <t>意匠</t>
        </is>
      </c>
      <c r="F44" s="43" t="inlineStr">
        <is>
          <t>窓モール</t>
        </is>
      </c>
      <c r="G44" s="43" t="b">
        <v>1</v>
      </c>
      <c r="H44" s="43" t="inlineStr">
        <is>
          <t>価格表確認済み</t>
        </is>
      </c>
      <c r="I44" s="43" t="inlineStr">
        <is>
          <t>共通有償品</t>
        </is>
      </c>
      <c r="J44" s="43" t="str"/>
      <c r="K44" s="43" t="inlineStr">
        <is>
          <t>見積選択</t>
        </is>
      </c>
      <c r="L44" s="43" t="inlineStr">
        <is>
          <t>対象納まり</t>
        </is>
      </c>
      <c r="M44" s="43" t="n">
        <v>410</v>
      </c>
    </row>
    <row r="45">
      <c r="A45" s="43" t="inlineStr">
        <is>
          <t>OP-SL-THUMBTURN-STD</t>
        </is>
      </c>
      <c r="B45" s="43" t="inlineStr">
        <is>
          <t>SER-LIX-SAMOSL</t>
        </is>
      </c>
      <c r="C45" s="43" t="inlineStr">
        <is>
          <t>ドア系</t>
        </is>
      </c>
      <c r="D45" s="43" t="inlineStr">
        <is>
          <t>*</t>
        </is>
      </c>
      <c r="E45" s="43" t="inlineStr">
        <is>
          <t>錠</t>
        </is>
      </c>
      <c r="F45" s="43" t="inlineStr">
        <is>
          <t>標準サムターンセット</t>
        </is>
      </c>
      <c r="G45" s="43" t="b">
        <v>1</v>
      </c>
      <c r="H45" s="43" t="inlineStr">
        <is>
          <t>価格表確認済み</t>
        </is>
      </c>
      <c r="I45" s="43" t="inlineStr">
        <is>
          <t>P286-288</t>
        </is>
      </c>
      <c r="J45" s="43" t="str"/>
      <c r="K45" s="43" t="inlineStr">
        <is>
          <t>見積選択</t>
        </is>
      </c>
      <c r="L45" s="43" t="inlineStr">
        <is>
          <t>ドア系</t>
        </is>
      </c>
      <c r="M45" s="43" t="n">
        <v>420</v>
      </c>
    </row>
    <row r="46">
      <c r="A46" s="43" t="inlineStr">
        <is>
          <t>OP-SL-THUMBTURN-SEC</t>
        </is>
      </c>
      <c r="B46" s="43" t="inlineStr">
        <is>
          <t>SER-LIX-SAMOSL</t>
        </is>
      </c>
      <c r="C46" s="43" t="inlineStr">
        <is>
          <t>ドア系</t>
        </is>
      </c>
      <c r="D46" s="43" t="inlineStr">
        <is>
          <t>*</t>
        </is>
      </c>
      <c r="E46" s="43" t="inlineStr">
        <is>
          <t>錠</t>
        </is>
      </c>
      <c r="F46" s="43" t="inlineStr">
        <is>
          <t>セキュリティサムターンセット</t>
        </is>
      </c>
      <c r="G46" s="43" t="b">
        <v>1</v>
      </c>
      <c r="H46" s="43" t="inlineStr">
        <is>
          <t>価格表確認済み</t>
        </is>
      </c>
      <c r="I46" s="43" t="inlineStr">
        <is>
          <t>P286-288</t>
        </is>
      </c>
      <c r="J46" s="43" t="str"/>
      <c r="K46" s="43" t="inlineStr">
        <is>
          <t>見積選択</t>
        </is>
      </c>
      <c r="L46" s="43" t="inlineStr">
        <is>
          <t>ドア系</t>
        </is>
      </c>
      <c r="M46" s="43" t="n">
        <v>430</v>
      </c>
    </row>
    <row r="47">
      <c r="A47" s="43" t="inlineStr">
        <is>
          <t>OP-SL-SMART-THUMBTURN</t>
        </is>
      </c>
      <c r="B47" s="43" t="inlineStr">
        <is>
          <t>SER-LIX-SAMOSL</t>
        </is>
      </c>
      <c r="C47" s="43" t="inlineStr">
        <is>
          <t>ドア系</t>
        </is>
      </c>
      <c r="D47" s="43" t="inlineStr">
        <is>
          <t>*</t>
        </is>
      </c>
      <c r="E47" s="43" t="inlineStr">
        <is>
          <t>錠</t>
        </is>
      </c>
      <c r="F47" s="43" t="inlineStr">
        <is>
          <t>スマートサムターン</t>
        </is>
      </c>
      <c r="G47" s="43" t="b">
        <v>1</v>
      </c>
      <c r="H47" s="43" t="inlineStr">
        <is>
          <t>価格表確認済み</t>
        </is>
      </c>
      <c r="I47" s="43" t="inlineStr">
        <is>
          <t>P286-288</t>
        </is>
      </c>
      <c r="J47" s="43" t="inlineStr">
        <is>
          <t>防犯建物部品シリンダー付等に制限</t>
        </is>
      </c>
      <c r="K47" s="43" t="inlineStr">
        <is>
          <t>見積選択</t>
        </is>
      </c>
      <c r="L47" s="43" t="inlineStr">
        <is>
          <t>適用条件通過時</t>
        </is>
      </c>
      <c r="M47" s="43" t="n">
        <v>440</v>
      </c>
    </row>
    <row r="48">
      <c r="A48" s="43" t="inlineStr">
        <is>
          <t>OP-SL-CYLINDER-STD</t>
        </is>
      </c>
      <c r="B48" s="43" t="inlineStr">
        <is>
          <t>SER-LIX-SAMOSL</t>
        </is>
      </c>
      <c r="C48" s="43" t="inlineStr">
        <is>
          <t>ドア系</t>
        </is>
      </c>
      <c r="D48" s="43" t="inlineStr">
        <is>
          <t>*</t>
        </is>
      </c>
      <c r="E48" s="43" t="inlineStr">
        <is>
          <t>錠</t>
        </is>
      </c>
      <c r="F48" s="43" t="inlineStr">
        <is>
          <t>シリンダーセット（標準）</t>
        </is>
      </c>
      <c r="G48" s="43" t="b">
        <v>1</v>
      </c>
      <c r="H48" s="43" t="inlineStr">
        <is>
          <t>価格表確認済み</t>
        </is>
      </c>
      <c r="I48" s="43" t="inlineStr">
        <is>
          <t>P286-288</t>
        </is>
      </c>
      <c r="J48" s="43" t="str"/>
      <c r="K48" s="43" t="inlineStr">
        <is>
          <t>見積選択</t>
        </is>
      </c>
      <c r="L48" s="43" t="inlineStr">
        <is>
          <t>ドア系</t>
        </is>
      </c>
      <c r="M48" s="43" t="n">
        <v>450</v>
      </c>
    </row>
    <row r="49">
      <c r="A49" s="43" t="inlineStr">
        <is>
          <t>OP-SL-CYLINDER-SEC</t>
        </is>
      </c>
      <c r="B49" s="43" t="inlineStr">
        <is>
          <t>SER-LIX-SAMOSL</t>
        </is>
      </c>
      <c r="C49" s="43" t="inlineStr">
        <is>
          <t>ドア系</t>
        </is>
      </c>
      <c r="D49" s="43" t="inlineStr">
        <is>
          <t>*</t>
        </is>
      </c>
      <c r="E49" s="43" t="inlineStr">
        <is>
          <t>錠</t>
        </is>
      </c>
      <c r="F49" s="43" t="inlineStr">
        <is>
          <t>シリンダーセット（防犯）</t>
        </is>
      </c>
      <c r="G49" s="43" t="b">
        <v>1</v>
      </c>
      <c r="H49" s="43" t="inlineStr">
        <is>
          <t>価格表確認済み</t>
        </is>
      </c>
      <c r="I49" s="43" t="inlineStr">
        <is>
          <t>P286-288</t>
        </is>
      </c>
      <c r="J49" s="43" t="str"/>
      <c r="K49" s="43" t="inlineStr">
        <is>
          <t>見積選択</t>
        </is>
      </c>
      <c r="L49" s="43" t="inlineStr">
        <is>
          <t>ドア系</t>
        </is>
      </c>
      <c r="M49" s="43" t="n">
        <v>460</v>
      </c>
    </row>
    <row r="50">
      <c r="A50" s="43" t="inlineStr">
        <is>
          <t>OP-SL-DOOR-HANDLE-STD</t>
        </is>
      </c>
      <c r="B50" s="43" t="inlineStr">
        <is>
          <t>SER-LIX-SAMOSL</t>
        </is>
      </c>
      <c r="C50" s="43" t="inlineStr">
        <is>
          <t>ドア系</t>
        </is>
      </c>
      <c r="D50" s="43" t="inlineStr">
        <is>
          <t>*</t>
        </is>
      </c>
      <c r="E50" s="43" t="inlineStr">
        <is>
          <t>ハンドル</t>
        </is>
      </c>
      <c r="F50" s="43" t="inlineStr">
        <is>
          <t>ハンドルセット（標準）</t>
        </is>
      </c>
      <c r="G50" s="43" t="b">
        <v>1</v>
      </c>
      <c r="H50" s="43" t="inlineStr">
        <is>
          <t>価格表確認済み</t>
        </is>
      </c>
      <c r="I50" s="43" t="inlineStr">
        <is>
          <t>P286-288</t>
        </is>
      </c>
      <c r="J50" s="43" t="str"/>
      <c r="K50" s="43" t="inlineStr">
        <is>
          <t>見積選択</t>
        </is>
      </c>
      <c r="L50" s="43" t="inlineStr">
        <is>
          <t>ドア系</t>
        </is>
      </c>
      <c r="M50" s="43" t="n">
        <v>470</v>
      </c>
    </row>
    <row r="51">
      <c r="A51" s="43" t="inlineStr">
        <is>
          <t>OP-SL-DOOR-HANDLE-SLIM</t>
        </is>
      </c>
      <c r="B51" s="43" t="inlineStr">
        <is>
          <t>SER-LIX-SAMOSL</t>
        </is>
      </c>
      <c r="C51" s="43" t="inlineStr">
        <is>
          <t>ドア系</t>
        </is>
      </c>
      <c r="D51" s="43" t="inlineStr">
        <is>
          <t>*</t>
        </is>
      </c>
      <c r="E51" s="43" t="inlineStr">
        <is>
          <t>ハンドル</t>
        </is>
      </c>
      <c r="F51" s="43" t="inlineStr">
        <is>
          <t>ハンドルセット（スリム）</t>
        </is>
      </c>
      <c r="G51" s="43" t="b">
        <v>1</v>
      </c>
      <c r="H51" s="43" t="inlineStr">
        <is>
          <t>価格表確認済み</t>
        </is>
      </c>
      <c r="I51" s="43" t="inlineStr">
        <is>
          <t>P286-288</t>
        </is>
      </c>
      <c r="J51" s="43" t="str"/>
      <c r="K51" s="43" t="inlineStr">
        <is>
          <t>見積選択</t>
        </is>
      </c>
      <c r="L51" s="43" t="inlineStr">
        <is>
          <t>対象ドア</t>
        </is>
      </c>
      <c r="M51" s="43" t="n">
        <v>480</v>
      </c>
    </row>
    <row r="52">
      <c r="A52" s="43" t="inlineStr">
        <is>
          <t>OP-SL-DOOR-CLOSER</t>
        </is>
      </c>
      <c r="B52" s="43" t="inlineStr">
        <is>
          <t>SER-LIX-SAMOSL</t>
        </is>
      </c>
      <c r="C52" s="43" t="inlineStr">
        <is>
          <t>WT-SL-KATTEGUCHI-VENT-FS/WT-SL-KATTEGUCHI</t>
        </is>
      </c>
      <c r="D52" s="43" t="inlineStr">
        <is>
          <t>*</t>
        </is>
      </c>
      <c r="E52" s="43" t="inlineStr">
        <is>
          <t>開閉</t>
        </is>
      </c>
      <c r="F52" s="43" t="inlineStr">
        <is>
          <t>ドアクローザ</t>
        </is>
      </c>
      <c r="G52" s="43" t="b">
        <v>1</v>
      </c>
      <c r="H52" s="43" t="inlineStr">
        <is>
          <t>価格表確認済み</t>
        </is>
      </c>
      <c r="I52" s="43" t="inlineStr">
        <is>
          <t>P286-288</t>
        </is>
      </c>
      <c r="J52" s="43" t="inlineStr">
        <is>
          <t>採風勝手口/勝手口で仕様差</t>
        </is>
      </c>
      <c r="K52" s="43" t="inlineStr">
        <is>
          <t>見積選択</t>
        </is>
      </c>
      <c r="L52" s="43" t="inlineStr">
        <is>
          <t>対象ドア</t>
        </is>
      </c>
      <c r="M52" s="43" t="n">
        <v>490</v>
      </c>
    </row>
    <row r="53">
      <c r="A53" s="43" t="inlineStr">
        <is>
          <t>OP-SL-HANDLE-GASKET</t>
        </is>
      </c>
      <c r="B53" s="43" t="inlineStr">
        <is>
          <t>SER-LIX-SAMOSL</t>
        </is>
      </c>
      <c r="C53" s="43" t="inlineStr">
        <is>
          <t>ドア系</t>
        </is>
      </c>
      <c r="D53" s="43" t="inlineStr">
        <is>
          <t>*</t>
        </is>
      </c>
      <c r="E53" s="43" t="inlineStr">
        <is>
          <t>部材</t>
        </is>
      </c>
      <c r="F53" s="43" t="inlineStr">
        <is>
          <t>ハンドル台座パッキンセット</t>
        </is>
      </c>
      <c r="G53" s="43" t="b">
        <v>1</v>
      </c>
      <c r="H53" s="43" t="inlineStr">
        <is>
          <t>価格表確認済み</t>
        </is>
      </c>
      <c r="I53" s="43" t="inlineStr">
        <is>
          <t>P286-288</t>
        </is>
      </c>
      <c r="J53" s="43" t="str"/>
      <c r="K53" s="43" t="inlineStr">
        <is>
          <t>部材選択</t>
        </is>
      </c>
      <c r="L53" s="43" t="inlineStr">
        <is>
          <t>対象ハンドル</t>
        </is>
      </c>
      <c r="M53" s="43" t="n">
        <v>500</v>
      </c>
    </row>
    <row r="54">
      <c r="A54" s="43" t="inlineStr">
        <is>
          <t>OP-SL-FRICTION-ARM</t>
        </is>
      </c>
      <c r="B54" s="43" t="inlineStr">
        <is>
          <t>SER-LIX-SAMOSL</t>
        </is>
      </c>
      <c r="C54" s="43" t="inlineStr">
        <is>
          <t>ドア系</t>
        </is>
      </c>
      <c r="D54" s="43" t="inlineStr">
        <is>
          <t>*</t>
        </is>
      </c>
      <c r="E54" s="43" t="inlineStr">
        <is>
          <t>開閉</t>
        </is>
      </c>
      <c r="F54" s="43" t="inlineStr">
        <is>
          <t>フリクションアーム</t>
        </is>
      </c>
      <c r="G54" s="43" t="b">
        <v>1</v>
      </c>
      <c r="H54" s="43" t="inlineStr">
        <is>
          <t>価格表確認済み</t>
        </is>
      </c>
      <c r="I54" s="43" t="inlineStr">
        <is>
          <t>P286-288</t>
        </is>
      </c>
      <c r="J54" s="43" t="str"/>
      <c r="K54" s="43" t="inlineStr">
        <is>
          <t>部材選択</t>
        </is>
      </c>
      <c r="L54" s="43" t="inlineStr">
        <is>
          <t>対象ドア</t>
        </is>
      </c>
      <c r="M54" s="43" t="n">
        <v>510</v>
      </c>
    </row>
    <row r="55">
      <c r="A55" s="43" t="inlineStr">
        <is>
          <t>OP-SL-PIVOT-HINGE</t>
        </is>
      </c>
      <c r="B55" s="43" t="inlineStr">
        <is>
          <t>SER-LIX-SAMOSL</t>
        </is>
      </c>
      <c r="C55" s="43" t="inlineStr">
        <is>
          <t>ドア系</t>
        </is>
      </c>
      <c r="D55" s="43" t="inlineStr">
        <is>
          <t>*</t>
        </is>
      </c>
      <c r="E55" s="43" t="inlineStr">
        <is>
          <t>開閉</t>
        </is>
      </c>
      <c r="F55" s="43" t="inlineStr">
        <is>
          <t>ピボットヒンジ</t>
        </is>
      </c>
      <c r="G55" s="43" t="b">
        <v>1</v>
      </c>
      <c r="H55" s="43" t="inlineStr">
        <is>
          <t>価格表確認済み</t>
        </is>
      </c>
      <c r="I55" s="43" t="inlineStr">
        <is>
          <t>P286-288</t>
        </is>
      </c>
      <c r="J55" s="43" t="str"/>
      <c r="K55" s="43" t="inlineStr">
        <is>
          <t>部材選択</t>
        </is>
      </c>
      <c r="L55" s="43" t="inlineStr">
        <is>
          <t>対象ドア</t>
        </is>
      </c>
      <c r="M55" s="43" t="n">
        <v>520</v>
      </c>
    </row>
    <row r="56">
      <c r="A56" s="43" t="inlineStr">
        <is>
          <t>OP-SL-J-SPACER</t>
        </is>
      </c>
      <c r="B56" s="43" t="inlineStr">
        <is>
          <t>SER-LIX-SAMOSL</t>
        </is>
      </c>
      <c r="C56" s="43" t="inlineStr">
        <is>
          <t>しまえるんですJ</t>
        </is>
      </c>
      <c r="D56" s="43" t="inlineStr">
        <is>
          <t>*</t>
        </is>
      </c>
      <c r="E56" s="43" t="inlineStr">
        <is>
          <t>網戸部材</t>
        </is>
      </c>
      <c r="F56" s="43" t="inlineStr">
        <is>
          <t>しまえるんですJ スペースカバー</t>
        </is>
      </c>
      <c r="G56" s="43" t="b">
        <v>1</v>
      </c>
      <c r="H56" s="43" t="inlineStr">
        <is>
          <t>価格表確認済み</t>
        </is>
      </c>
      <c r="I56" s="43" t="inlineStr">
        <is>
          <t>P287</t>
        </is>
      </c>
      <c r="J56" s="43" t="str"/>
      <c r="K56" s="43" t="inlineStr">
        <is>
          <t>部材選択</t>
        </is>
      </c>
      <c r="L56" s="43" t="inlineStr">
        <is>
          <t>しまえるんですJ選択時</t>
        </is>
      </c>
      <c r="M56" s="43" t="n">
        <v>530</v>
      </c>
    </row>
    <row r="57">
      <c r="A57" s="43" t="inlineStr">
        <is>
          <t>OP-SL-J-JOINT</t>
        </is>
      </c>
      <c r="B57" s="43" t="inlineStr">
        <is>
          <t>SER-LIX-SAMOSL</t>
        </is>
      </c>
      <c r="C57" s="43" t="inlineStr">
        <is>
          <t>しまえるんですJ</t>
        </is>
      </c>
      <c r="D57" s="43" t="inlineStr">
        <is>
          <t>*</t>
        </is>
      </c>
      <c r="E57" s="43" t="inlineStr">
        <is>
          <t>網戸部材</t>
        </is>
      </c>
      <c r="F57" s="43" t="inlineStr">
        <is>
          <t>連窓用補助枠</t>
        </is>
      </c>
      <c r="G57" s="43" t="b">
        <v>1</v>
      </c>
      <c r="H57" s="43" t="inlineStr">
        <is>
          <t>価格表確認済み</t>
        </is>
      </c>
      <c r="I57" s="43" t="inlineStr">
        <is>
          <t>P287</t>
        </is>
      </c>
      <c r="J57" s="43" t="str"/>
      <c r="K57" s="43" t="inlineStr">
        <is>
          <t>部材選択</t>
        </is>
      </c>
      <c r="L57" s="43" t="inlineStr">
        <is>
          <t>しまえるんですJ/連窓</t>
        </is>
      </c>
      <c r="M57" s="43" t="n">
        <v>540</v>
      </c>
    </row>
    <row r="58">
      <c r="A58" s="43" t="inlineStr">
        <is>
          <t>OP-SL-J-TRANSOM</t>
        </is>
      </c>
      <c r="B58" s="43" t="inlineStr">
        <is>
          <t>SER-LIX-SAMOSL</t>
        </is>
      </c>
      <c r="C58" s="43" t="inlineStr">
        <is>
          <t>しまえるんですJ</t>
        </is>
      </c>
      <c r="D58" s="43" t="inlineStr">
        <is>
          <t>*</t>
        </is>
      </c>
      <c r="E58" s="43" t="inlineStr">
        <is>
          <t>網戸部材</t>
        </is>
      </c>
      <c r="F58" s="43" t="inlineStr">
        <is>
          <t>段窓補助部材</t>
        </is>
      </c>
      <c r="G58" s="43" t="b">
        <v>1</v>
      </c>
      <c r="H58" s="43" t="inlineStr">
        <is>
          <t>価格表確認済み</t>
        </is>
      </c>
      <c r="I58" s="43" t="inlineStr">
        <is>
          <t>P287</t>
        </is>
      </c>
      <c r="J58" s="43" t="str"/>
      <c r="K58" s="43" t="inlineStr">
        <is>
          <t>部材選択</t>
        </is>
      </c>
      <c r="L58" s="43" t="inlineStr">
        <is>
          <t>しまえるんですJ/段窓</t>
        </is>
      </c>
      <c r="M58" s="43" t="n">
        <v>550</v>
      </c>
    </row>
    <row r="59">
      <c r="A59" s="43" t="inlineStr">
        <is>
          <t>OP-SL-J-SSRAIL</t>
        </is>
      </c>
      <c r="B59" s="43" t="inlineStr">
        <is>
          <t>SER-LIX-SAMOSL</t>
        </is>
      </c>
      <c r="C59" s="43" t="inlineStr">
        <is>
          <t>しまえるんですJ</t>
        </is>
      </c>
      <c r="D59" s="43" t="inlineStr">
        <is>
          <t>*</t>
        </is>
      </c>
      <c r="E59" s="43" t="inlineStr">
        <is>
          <t>網戸部材</t>
        </is>
      </c>
      <c r="F59" s="43" t="inlineStr">
        <is>
          <t>ステンレスレール</t>
        </is>
      </c>
      <c r="G59" s="43" t="b">
        <v>1</v>
      </c>
      <c r="H59" s="43" t="inlineStr">
        <is>
          <t>価格表確認済み</t>
        </is>
      </c>
      <c r="I59" s="43" t="inlineStr">
        <is>
          <t>P287/網戸関連部材</t>
        </is>
      </c>
      <c r="J59" s="43" t="str"/>
      <c r="K59" s="43" t="inlineStr">
        <is>
          <t>見積選択</t>
        </is>
      </c>
      <c r="L59" s="43" t="inlineStr">
        <is>
          <t>しまえるんですJ選択時</t>
        </is>
      </c>
      <c r="M59" s="43" t="n">
        <v>560</v>
      </c>
    </row>
    <row r="60">
      <c r="A60" s="43" t="inlineStr">
        <is>
          <t>OP-SL-J-ANCHOR</t>
        </is>
      </c>
      <c r="B60" s="43" t="inlineStr">
        <is>
          <t>SER-LIX-SAMOSL</t>
        </is>
      </c>
      <c r="C60" s="43" t="inlineStr">
        <is>
          <t>しまえるんですJ</t>
        </is>
      </c>
      <c r="D60" s="43" t="inlineStr">
        <is>
          <t>*</t>
        </is>
      </c>
      <c r="E60" s="43" t="inlineStr">
        <is>
          <t>網戸部材</t>
        </is>
      </c>
      <c r="F60" s="43" t="inlineStr">
        <is>
          <t>アンカープレートセット</t>
        </is>
      </c>
      <c r="G60" s="43" t="b">
        <v>1</v>
      </c>
      <c r="H60" s="43" t="inlineStr">
        <is>
          <t>価格表確認済み</t>
        </is>
      </c>
      <c r="I60" s="43" t="inlineStr">
        <is>
          <t>P287</t>
        </is>
      </c>
      <c r="J60" s="43" t="str"/>
      <c r="K60" s="43" t="inlineStr">
        <is>
          <t>部材選択</t>
        </is>
      </c>
      <c r="L60" s="43" t="inlineStr">
        <is>
          <t>しまえるんですJ</t>
        </is>
      </c>
      <c r="M60" s="43" t="n">
        <v>570</v>
      </c>
    </row>
    <row r="61">
      <c r="A61" s="43" t="inlineStr">
        <is>
          <t>OP-SL-J-CATERPILLAR</t>
        </is>
      </c>
      <c r="B61" s="43" t="inlineStr">
        <is>
          <t>SER-LIX-SAMOSL</t>
        </is>
      </c>
      <c r="C61" s="43" t="inlineStr">
        <is>
          <t>しまえるんですJ</t>
        </is>
      </c>
      <c r="D61" s="43" t="inlineStr">
        <is>
          <t>*</t>
        </is>
      </c>
      <c r="E61" s="43" t="inlineStr">
        <is>
          <t>メンテ</t>
        </is>
      </c>
      <c r="F61" s="43" t="inlineStr">
        <is>
          <t>交換用キャタピラセット</t>
        </is>
      </c>
      <c r="G61" s="43" t="b">
        <v>1</v>
      </c>
      <c r="H61" s="43" t="inlineStr">
        <is>
          <t>価格表確認済み</t>
        </is>
      </c>
      <c r="I61" s="43" t="inlineStr">
        <is>
          <t>P287/網戸関連部材</t>
        </is>
      </c>
      <c r="J61" s="43" t="str"/>
      <c r="K61" s="43" t="inlineStr">
        <is>
          <t>施工/メンテ</t>
        </is>
      </c>
      <c r="L61" s="43" t="inlineStr">
        <is>
          <t>交換時</t>
        </is>
      </c>
      <c r="M61" s="43" t="n">
        <v>580</v>
      </c>
    </row>
    <row r="62">
      <c r="A62" s="43" t="inlineStr">
        <is>
          <t>OP-SL-WATERPROOF-TAPE</t>
        </is>
      </c>
      <c r="B62" s="43" t="inlineStr">
        <is>
          <t>SER-LIX-SAMOSL</t>
        </is>
      </c>
      <c r="C62" s="43" t="inlineStr">
        <is>
          <t>*</t>
        </is>
      </c>
      <c r="D62" s="43" t="inlineStr">
        <is>
          <t>*</t>
        </is>
      </c>
      <c r="E62" s="43" t="inlineStr">
        <is>
          <t>施工</t>
        </is>
      </c>
      <c r="F62" s="43" t="inlineStr">
        <is>
          <t>防水テープ</t>
        </is>
      </c>
      <c r="G62" s="43" t="b">
        <v>1</v>
      </c>
      <c r="H62" s="43" t="inlineStr">
        <is>
          <t>価格表確認済み</t>
        </is>
      </c>
      <c r="I62" s="43" t="inlineStr">
        <is>
          <t>共通有償品</t>
        </is>
      </c>
      <c r="J62" s="43" t="str"/>
      <c r="K62" s="43" t="inlineStr">
        <is>
          <t>施工/メンテ</t>
        </is>
      </c>
      <c r="L62" s="43" t="inlineStr">
        <is>
          <t>詳細モード</t>
        </is>
      </c>
      <c r="M62" s="43" t="n">
        <v>600</v>
      </c>
    </row>
    <row r="63">
      <c r="A63" s="43" t="inlineStr">
        <is>
          <t>OP-SL-PRE-WATERPROOF</t>
        </is>
      </c>
      <c r="B63" s="43" t="inlineStr">
        <is>
          <t>SER-LIX-SAMOSL</t>
        </is>
      </c>
      <c r="C63" s="43" t="inlineStr">
        <is>
          <t>*</t>
        </is>
      </c>
      <c r="D63" s="43" t="inlineStr">
        <is>
          <t>*</t>
        </is>
      </c>
      <c r="E63" s="43" t="inlineStr">
        <is>
          <t>施工</t>
        </is>
      </c>
      <c r="F63" s="43" t="inlineStr">
        <is>
          <t>先張り防水シート</t>
        </is>
      </c>
      <c r="G63" s="43" t="b">
        <v>1</v>
      </c>
      <c r="H63" s="43" t="inlineStr">
        <is>
          <t>価格表確認済み</t>
        </is>
      </c>
      <c r="I63" s="43" t="inlineStr">
        <is>
          <t>共通有償品</t>
        </is>
      </c>
      <c r="J63" s="43" t="str"/>
      <c r="K63" s="43" t="inlineStr">
        <is>
          <t>施工/メンテ</t>
        </is>
      </c>
      <c r="L63" s="43" t="inlineStr">
        <is>
          <t>詳細モード</t>
        </is>
      </c>
      <c r="M63" s="43" t="n">
        <v>610</v>
      </c>
    </row>
    <row r="64">
      <c r="A64" s="43" t="inlineStr">
        <is>
          <t>OP-SL-AUX-SEAL</t>
        </is>
      </c>
      <c r="B64" s="43" t="inlineStr">
        <is>
          <t>SER-LIX-SAMOSL</t>
        </is>
      </c>
      <c r="C64" s="43" t="inlineStr">
        <is>
          <t>*</t>
        </is>
      </c>
      <c r="D64" s="43" t="inlineStr">
        <is>
          <t>*</t>
        </is>
      </c>
      <c r="E64" s="43" t="inlineStr">
        <is>
          <t>施工</t>
        </is>
      </c>
      <c r="F64" s="43" t="inlineStr">
        <is>
          <t>サッシ防水補助シール</t>
        </is>
      </c>
      <c r="G64" s="43" t="b">
        <v>1</v>
      </c>
      <c r="H64" s="43" t="inlineStr">
        <is>
          <t>価格表確認済み</t>
        </is>
      </c>
      <c r="I64" s="43" t="inlineStr">
        <is>
          <t>共通有償品</t>
        </is>
      </c>
      <c r="J64" s="43" t="str"/>
      <c r="K64" s="43" t="inlineStr">
        <is>
          <t>施工/メンテ</t>
        </is>
      </c>
      <c r="L64" s="43" t="inlineStr">
        <is>
          <t>詳細モード</t>
        </is>
      </c>
      <c r="M64" s="43" t="n">
        <v>620</v>
      </c>
    </row>
    <row r="65">
      <c r="A65" s="43" t="inlineStr">
        <is>
          <t>OP-SL-ANGLE-SCREW</t>
        </is>
      </c>
      <c r="B65" s="43" t="inlineStr">
        <is>
          <t>SER-LIX-SAMOSL</t>
        </is>
      </c>
      <c r="C65" s="43" t="inlineStr">
        <is>
          <t>*</t>
        </is>
      </c>
      <c r="D65" s="43" t="inlineStr">
        <is>
          <t>*</t>
        </is>
      </c>
      <c r="E65" s="43" t="inlineStr">
        <is>
          <t>施工</t>
        </is>
      </c>
      <c r="F65" s="43" t="inlineStr">
        <is>
          <t>アングル取付ねじ</t>
        </is>
      </c>
      <c r="G65" s="43" t="b">
        <v>1</v>
      </c>
      <c r="H65" s="43" t="inlineStr">
        <is>
          <t>価格表確認済み</t>
        </is>
      </c>
      <c r="I65" s="43" t="inlineStr">
        <is>
          <t>共通有償品</t>
        </is>
      </c>
      <c r="J65" s="43" t="str"/>
      <c r="K65" s="43" t="inlineStr">
        <is>
          <t>施工/メンテ</t>
        </is>
      </c>
      <c r="L65" s="43" t="inlineStr">
        <is>
          <t>詳細モード</t>
        </is>
      </c>
      <c r="M65" s="43" t="n">
        <v>630</v>
      </c>
    </row>
    <row r="66">
      <c r="A66" s="43" t="inlineStr">
        <is>
          <t>OP-SL-BATH-WATERPROOF</t>
        </is>
      </c>
      <c r="B66" s="43" t="inlineStr">
        <is>
          <t>SER-LIX-SAMOSL</t>
        </is>
      </c>
      <c r="C66" s="43" t="inlineStr">
        <is>
          <t>*</t>
        </is>
      </c>
      <c r="D66" s="43" t="inlineStr">
        <is>
          <t>*</t>
        </is>
      </c>
      <c r="E66" s="43" t="inlineStr">
        <is>
          <t>施工</t>
        </is>
      </c>
      <c r="F66" s="43" t="inlineStr">
        <is>
          <t>浴室用防水部品セット</t>
        </is>
      </c>
      <c r="G66" s="43" t="b">
        <v>1</v>
      </c>
      <c r="H66" s="43" t="inlineStr">
        <is>
          <t>価格表確認済み</t>
        </is>
      </c>
      <c r="I66" s="43" t="inlineStr">
        <is>
          <t>共通有償品</t>
        </is>
      </c>
      <c r="J66" s="43" t="str"/>
      <c r="K66" s="43" t="inlineStr">
        <is>
          <t>施工/メンテ</t>
        </is>
      </c>
      <c r="L66" s="43" t="inlineStr">
        <is>
          <t>浴室</t>
        </is>
      </c>
      <c r="M66" s="43" t="n">
        <v>640</v>
      </c>
    </row>
    <row r="67">
      <c r="A67" s="43" t="inlineStr">
        <is>
          <t>OP-SL-SILL-TAPE</t>
        </is>
      </c>
      <c r="B67" s="43" t="inlineStr">
        <is>
          <t>SER-LIX-SAMOSL</t>
        </is>
      </c>
      <c r="C67" s="43" t="inlineStr">
        <is>
          <t>*</t>
        </is>
      </c>
      <c r="D67" s="43" t="inlineStr">
        <is>
          <t>*</t>
        </is>
      </c>
      <c r="E67" s="43" t="inlineStr">
        <is>
          <t>養生</t>
        </is>
      </c>
      <c r="F67" s="43" t="inlineStr">
        <is>
          <t>下枠養生テープ</t>
        </is>
      </c>
      <c r="G67" s="43" t="b">
        <v>1</v>
      </c>
      <c r="H67" s="43" t="inlineStr">
        <is>
          <t>価格表確認済み</t>
        </is>
      </c>
      <c r="I67" s="43" t="inlineStr">
        <is>
          <t>共通有償品</t>
        </is>
      </c>
      <c r="J67" s="43" t="str"/>
      <c r="K67" s="43" t="inlineStr">
        <is>
          <t>施工/メンテ</t>
        </is>
      </c>
      <c r="L67" s="43" t="inlineStr">
        <is>
          <t>詳細モード</t>
        </is>
      </c>
      <c r="M67" s="43" t="n">
        <v>650</v>
      </c>
    </row>
    <row r="68">
      <c r="A68" s="43" t="inlineStr">
        <is>
          <t>OP-SL-KEY-LUBE</t>
        </is>
      </c>
      <c r="B68" s="43" t="inlineStr">
        <is>
          <t>SER-LIX-SAMOSL</t>
        </is>
      </c>
      <c r="C68" s="43" t="inlineStr">
        <is>
          <t>ドア系</t>
        </is>
      </c>
      <c r="D68" s="43" t="inlineStr">
        <is>
          <t>*</t>
        </is>
      </c>
      <c r="E68" s="43" t="inlineStr">
        <is>
          <t>メンテ</t>
        </is>
      </c>
      <c r="F68" s="43" t="inlineStr">
        <is>
          <t>鍵穴パウダー潤滑剤</t>
        </is>
      </c>
      <c r="G68" s="43" t="b">
        <v>1</v>
      </c>
      <c r="H68" s="43" t="inlineStr">
        <is>
          <t>価格表確認済み</t>
        </is>
      </c>
      <c r="I68" s="43" t="inlineStr">
        <is>
          <t>共通有償品</t>
        </is>
      </c>
      <c r="J68" s="43" t="str"/>
      <c r="K68" s="43" t="inlineStr">
        <is>
          <t>施工/メンテ</t>
        </is>
      </c>
      <c r="L68" s="43" t="inlineStr">
        <is>
          <t>メンテ時</t>
        </is>
      </c>
      <c r="M68" s="43" t="n">
        <v>660</v>
      </c>
    </row>
    <row r="69">
      <c r="A69" s="43" t="inlineStr">
        <is>
          <t>OP-SL-URETHANE-BRACKET</t>
        </is>
      </c>
      <c r="B69" s="43" t="inlineStr">
        <is>
          <t>SER-LIX-SAMOSL</t>
        </is>
      </c>
      <c r="C69" s="43" t="inlineStr">
        <is>
          <t>*</t>
        </is>
      </c>
      <c r="D69" s="43" t="inlineStr">
        <is>
          <t>*</t>
        </is>
      </c>
      <c r="E69" s="43" t="inlineStr">
        <is>
          <t>取付</t>
        </is>
      </c>
      <c r="F69" s="43" t="inlineStr">
        <is>
          <t>ウレタン納まり用躯体固定金具</t>
        </is>
      </c>
      <c r="G69" s="43" t="b">
        <v>1</v>
      </c>
      <c r="H69" s="43" t="inlineStr">
        <is>
          <t>価格表確認済み</t>
        </is>
      </c>
      <c r="I69" s="43" t="inlineStr">
        <is>
          <t>共通有償品</t>
        </is>
      </c>
      <c r="J69" s="43" t="str"/>
      <c r="K69" s="43" t="inlineStr">
        <is>
          <t>施工/メンテ</t>
        </is>
      </c>
      <c r="L69" s="43" t="inlineStr">
        <is>
          <t>ウレタン納まり</t>
        </is>
      </c>
      <c r="M69" s="43" t="n">
        <v>670</v>
      </c>
    </row>
    <row r="70">
      <c r="A70" s="43" t="inlineStr">
        <is>
          <t>OP-SL-SILL-SS-COVER</t>
        </is>
      </c>
      <c r="B70" s="43" t="inlineStr">
        <is>
          <t>SER-LIX-SAMOSL</t>
        </is>
      </c>
      <c r="C70" s="43" t="inlineStr">
        <is>
          <t>ドア系</t>
        </is>
      </c>
      <c r="D70" s="43" t="inlineStr">
        <is>
          <t>*</t>
        </is>
      </c>
      <c r="E70" s="43" t="inlineStr">
        <is>
          <t>耐久</t>
        </is>
      </c>
      <c r="F70" s="43" t="inlineStr">
        <is>
          <t>下枠ステンレスカバー</t>
        </is>
      </c>
      <c r="G70" s="43" t="b">
        <v>1</v>
      </c>
      <c r="H70" s="43" t="inlineStr">
        <is>
          <t>カタログ確認済み</t>
        </is>
      </c>
      <c r="I70" s="43" t="inlineStr">
        <is>
          <t>ドア有償品</t>
        </is>
      </c>
      <c r="J70" s="43" t="str"/>
      <c r="K70" s="43" t="inlineStr">
        <is>
          <t>見積選択</t>
        </is>
      </c>
      <c r="L70" s="43" t="inlineStr">
        <is>
          <t>対象ドア</t>
        </is>
      </c>
      <c r="M70" s="43" t="n">
        <v>680</v>
      </c>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row r="201">
      <c r="A201" t="inlineStr">
        <is>
          <t>OP-SL-EMERGENCY-SKIRT</t>
        </is>
      </c>
      <c r="B201" t="inlineStr">
        <is>
          <t>SER-LIX-SAMOSL</t>
        </is>
      </c>
      <c r="C201" t="inlineStr">
        <is>
          <t>WT-SL-SHUTTER-HIKI</t>
        </is>
      </c>
      <c r="D201" t="inlineStr">
        <is>
          <t>SP-SL-SHUT-M-STD</t>
        </is>
      </c>
      <c r="E201" t="inlineStr">
        <is>
          <t>シャッター</t>
        </is>
      </c>
      <c r="F201" t="inlineStr">
        <is>
          <t>代替進入口用幅木仕様</t>
        </is>
      </c>
      <c r="G201" t="b">
        <v>1</v>
      </c>
      <c r="H201" t="inlineStr">
        <is>
          <t>公式資料確認済み</t>
        </is>
      </c>
      <c r="I201" t="inlineStr">
        <is>
          <t>IS8900 P55/P59（PDF57/61）</t>
        </is>
      </c>
      <c r="J201" t="inlineStr">
        <is>
          <t>製作可否・組合せ・価格は見積先へ確認。電動・耐風は対象外。</t>
        </is>
      </c>
      <c r="K201" t="inlineStr">
        <is>
          <t>見積選択</t>
        </is>
      </c>
      <c r="L201" t="inlineStr">
        <is>
          <t>手動・標準タイプのみ</t>
        </is>
      </c>
      <c r="M201" t="n">
        <v>190</v>
      </c>
    </row>
  </sheetData>
  <mergeCells count="4">
    <mergeCell ref="A1:J1"/>
    <mergeCell ref="A2:M2"/>
    <mergeCell ref="A1:M1"/>
    <mergeCell ref="A2:J2"/>
  </mergeCells>
  <conditionalFormatting sqref="K4:K70">
    <cfRule type="expression" priority="1" dxfId="1">
      <formula>K4="見積選択"</formula>
    </cfRule>
    <cfRule type="expression" priority="2" dxfId="14">
      <formula>K4="施工/メンテ"</formula>
    </cfRule>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style="51" min="1" max="1"/>
    <col width="48" customWidth="1" style="51" min="2" max="2"/>
    <col width="18" customWidth="1" style="51" min="3" max="3"/>
    <col width="20" customWidth="1" style="51" min="4" max="4"/>
    <col width="66" customWidth="1" style="51" min="5" max="5"/>
  </cols>
  <sheetData>
    <row r="1" ht="28" customHeight="1" s="51">
      <c r="A1" s="23" t="inlineStr">
        <is>
          <t>入力フロー確認用｜見積明細1行テスト</t>
        </is>
      </c>
      <c r="B1" s="41" t="n"/>
      <c r="C1" s="41" t="n"/>
      <c r="D1" s="41" t="n"/>
      <c r="E1" s="41" t="n"/>
    </row>
    <row r="2" ht="34" customHeight="1" s="51">
      <c r="A2" s="31" t="inlineStr">
        <is>
          <t>サーモスL初期版の構造確認用。未投入の規格サイズは本格投入工程で置換する。</t>
        </is>
      </c>
      <c r="B2" s="41" t="n"/>
      <c r="C2" s="41" t="n"/>
      <c r="D2" s="41" t="n"/>
      <c r="E2" s="41" t="n"/>
    </row>
    <row r="3" ht="28" customHeight="1" s="51">
      <c r="A3" s="35" t="inlineStr">
        <is>
          <t>入力項目</t>
        </is>
      </c>
      <c r="B3" s="35" t="inlineStr">
        <is>
          <t>入力値</t>
        </is>
      </c>
      <c r="C3" s="35" t="inlineStr">
        <is>
          <t>状態</t>
        </is>
      </c>
      <c r="D3" s="35" t="inlineStr">
        <is>
          <t>設計チェック</t>
        </is>
      </c>
      <c r="E3" s="35" t="inlineStr">
        <is>
          <t>判定</t>
        </is>
      </c>
    </row>
    <row r="4">
      <c r="A4" s="43" t="inlineStr">
        <is>
          <t>商品区分</t>
        </is>
      </c>
      <c r="B4" s="43" t="inlineStr">
        <is>
          <t>サッシ</t>
        </is>
      </c>
      <c r="C4" s="43" t="inlineStr">
        <is>
          <t>確定</t>
        </is>
      </c>
      <c r="D4" s="43" t="inlineStr">
        <is>
          <t>チェック1</t>
        </is>
      </c>
      <c r="E4" s="43" t="inlineStr">
        <is>
          <t>防火を別項目で聞いていないか → OK</t>
        </is>
      </c>
    </row>
    <row r="5">
      <c r="A5" s="43" t="inlineStr">
        <is>
          <t>メーカー</t>
        </is>
      </c>
      <c r="B5" s="43" t="inlineStr">
        <is>
          <t>LIXIL</t>
        </is>
      </c>
      <c r="C5" s="43" t="inlineStr">
        <is>
          <t>確定</t>
        </is>
      </c>
      <c r="D5" s="43" t="inlineStr">
        <is>
          <t>チェック2</t>
        </is>
      </c>
      <c r="E5" s="43" t="inlineStr">
        <is>
          <t>メーカー → シリーズ連動 → OK</t>
        </is>
      </c>
    </row>
    <row r="6">
      <c r="A6" s="43" t="inlineStr">
        <is>
          <t>シリーズ</t>
        </is>
      </c>
      <c r="B6" s="43" t="inlineStr">
        <is>
          <t>サーモスL</t>
        </is>
      </c>
      <c r="C6" s="43" t="inlineStr">
        <is>
          <t>確定</t>
        </is>
      </c>
      <c r="D6" s="43" t="inlineStr">
        <is>
          <t>チェック3</t>
        </is>
      </c>
      <c r="E6" s="43" t="inlineStr">
        <is>
          <t>防火戸FG-Lを混在させない → OK</t>
        </is>
      </c>
    </row>
    <row r="7">
      <c r="A7" s="43" t="inlineStr">
        <is>
          <t>窓種</t>
        </is>
      </c>
      <c r="B7" s="43" t="inlineStr">
        <is>
          <t>単体引違い窓</t>
        </is>
      </c>
      <c r="C7" s="43" t="inlineStr">
        <is>
          <t>確定</t>
        </is>
      </c>
      <c r="D7" s="43" t="inlineStr">
        <is>
          <t>チェック4</t>
        </is>
      </c>
      <c r="E7" s="43" t="inlineStr">
        <is>
          <t>窓種固有仕様は不要 → OK</t>
        </is>
      </c>
    </row>
    <row r="8">
      <c r="A8" s="43" t="inlineStr">
        <is>
          <t>窓種固有仕様</t>
        </is>
      </c>
      <c r="B8" s="43" t="inlineStr">
        <is>
          <t>対象外</t>
        </is>
      </c>
      <c r="C8" s="43" t="inlineStr">
        <is>
          <t>確定</t>
        </is>
      </c>
      <c r="D8" s="43" t="inlineStr">
        <is>
          <t>チェック5</t>
        </is>
      </c>
      <c r="E8" s="43" t="inlineStr">
        <is>
          <t>固有仕様の位置は窓種直後 → OK</t>
        </is>
      </c>
    </row>
    <row r="9">
      <c r="A9" s="47" t="inlineStr">
        <is>
          <t>サイズ</t>
        </is>
      </c>
      <c r="B9" s="47" t="inlineStr">
        <is>
          <t>未投入</t>
        </is>
      </c>
      <c r="C9" s="47" t="inlineStr">
        <is>
          <t>未投入</t>
        </is>
      </c>
      <c r="D9" s="47" t="inlineStr">
        <is>
          <t>チェック6</t>
        </is>
      </c>
      <c r="E9" s="47" t="inlineStr">
        <is>
          <t>シリーズ×窓種×固有仕様へ連動できる構造 → OK</t>
        </is>
      </c>
    </row>
    <row r="10">
      <c r="A10" s="43" t="inlineStr">
        <is>
          <t>外観色</t>
        </is>
      </c>
      <c r="B10" s="43" t="inlineStr">
        <is>
          <t>ダスクグレー</t>
        </is>
      </c>
      <c r="C10" s="43" t="inlineStr">
        <is>
          <t>確定</t>
        </is>
      </c>
      <c r="D10" s="43" t="inlineStr">
        <is>
          <t>チェック7</t>
        </is>
      </c>
      <c r="E10" s="43" t="inlineStr">
        <is>
          <t>P48掲載色 → OK</t>
        </is>
      </c>
    </row>
    <row r="11">
      <c r="A11" s="43" t="inlineStr">
        <is>
          <t>内観色</t>
        </is>
      </c>
      <c r="B11" s="43" t="inlineStr">
        <is>
          <t>ブラック</t>
        </is>
      </c>
      <c r="C11" s="43" t="inlineStr">
        <is>
          <t>確定</t>
        </is>
      </c>
      <c r="D11" s="43" t="inlineStr">
        <is>
          <t>チェック8</t>
        </is>
      </c>
      <c r="E11" s="43" t="inlineStr">
        <is>
          <t>外観ダスクグレーの内観ブラック制約 → OK</t>
        </is>
      </c>
    </row>
    <row r="12">
      <c r="A12" s="43" t="inlineStr">
        <is>
          <t>網戸</t>
        </is>
      </c>
      <c r="B12" s="43" t="inlineStr">
        <is>
          <t>あり／引違い網戸／中桟なし／きれいネット</t>
        </is>
      </c>
      <c r="C12" s="43" t="inlineStr">
        <is>
          <t>v0.4形式・ネット・サイズ連動</t>
        </is>
      </c>
      <c r="D12" s="43" t="inlineStr">
        <is>
          <t>チェック9</t>
        </is>
      </c>
      <c r="E12" s="43" t="inlineStr">
        <is>
          <t>H&lt;1370かつペットネットW制限等を09Cで評価 → OK</t>
        </is>
      </c>
    </row>
    <row r="13">
      <c r="A13" s="43" t="inlineStr">
        <is>
          <t>ガラス</t>
        </is>
      </c>
      <c r="B13" s="43" t="inlineStr">
        <is>
          <t>Low-E複層ガラス</t>
        </is>
      </c>
      <c r="C13" s="43" t="inlineStr">
        <is>
          <t>v0.4窓種カテゴリ連動</t>
        </is>
      </c>
      <c r="D13" s="43" t="inlineStr">
        <is>
          <t>チェック10</t>
        </is>
      </c>
      <c r="E13" s="43" t="inlineStr">
        <is>
          <t>08Bで窓種カテゴリ可否 → OK</t>
        </is>
      </c>
    </row>
    <row r="14">
      <c r="A14" s="43" t="inlineStr">
        <is>
          <t>ガラス詳細</t>
        </is>
      </c>
      <c r="B14" s="43" t="inlineStr">
        <is>
          <t>3-Ar16-LowE3（クリア）</t>
        </is>
      </c>
      <c r="C14" s="43" t="inlineStr">
        <is>
          <t>08C制限判定対象</t>
        </is>
      </c>
      <c r="D14" s="43" t="inlineStr">
        <is>
          <t>チェック11</t>
        </is>
      </c>
      <c r="E14" s="43" t="inlineStr">
        <is>
          <t>★/☆耐風圧・重量等は08Cで最終判定</t>
        </is>
      </c>
    </row>
    <row r="15">
      <c r="A15" s="43" t="inlineStr">
        <is>
          <t>その他OP</t>
        </is>
      </c>
      <c r="B15" s="43" t="inlineStr">
        <is>
          <t>レール間カバー枠</t>
        </is>
      </c>
      <c r="C15" s="43" t="inlineStr">
        <is>
          <t>v0.4用途別有償品</t>
        </is>
      </c>
      <c r="D15" s="43" t="inlineStr">
        <is>
          <t>チェック12</t>
        </is>
      </c>
      <c r="E15" s="43" t="inlineStr">
        <is>
          <t>見積選択のみ通常UI候補 → OK</t>
        </is>
      </c>
    </row>
    <row r="16">
      <c r="A16" s="43" t="inlineStr">
        <is>
          <t>数量</t>
        </is>
      </c>
      <c r="B16" s="43" t="inlineStr">
        <is>
          <t>1</t>
        </is>
      </c>
      <c r="C16" s="43" t="inlineStr">
        <is>
          <t>見積明細側</t>
        </is>
      </c>
      <c r="D16" s="43" t="inlineStr">
        <is>
          <t>チェック13</t>
        </is>
      </c>
      <c r="E16" s="43" t="inlineStr">
        <is>
          <t>商品マスター外 → OK</t>
        </is>
      </c>
    </row>
  </sheetData>
  <mergeCells count="2">
    <mergeCell ref="A2:E2"/>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style="51" min="1" max="1"/>
    <col width="16" customWidth="1" style="51" min="2" max="2"/>
    <col width="36" customWidth="1" style="51" min="4" max="4"/>
    <col width="14" customWidth="1" style="51" min="5" max="5"/>
    <col width="14" customWidth="1" style="51" min="6" max="6"/>
    <col width="14" customWidth="1" style="51" min="7" max="7"/>
  </cols>
  <sheetData>
    <row r="1" ht="28" customHeight="1" s="51">
      <c r="A1" s="226" t="inlineStr">
        <is>
          <t>サーモスL 規格サイズ投入 QA｜v0.7-R2</t>
        </is>
      </c>
      <c r="B1" s="41" t="n"/>
      <c r="C1" s="41" t="n"/>
      <c r="D1" s="41" t="n"/>
      <c r="E1" s="41" t="n"/>
      <c r="F1" s="41" t="n"/>
      <c r="G1" s="41" t="n"/>
      <c r="H1" s="41" t="n"/>
    </row>
    <row r="2" ht="38" customHeight="1" s="51">
      <c r="A2" s="227" t="inlineStr">
        <is>
          <t>累積規格1,644行（有効1,495）を維持し、ガラスSemantic Recoveryは既存サイズ能力を変更しない。</t>
        </is>
      </c>
      <c r="B2" s="41" t="n"/>
      <c r="C2" s="41" t="n"/>
      <c r="D2" s="41" t="n"/>
      <c r="E2" s="41" t="n"/>
      <c r="F2" s="41" t="n"/>
      <c r="G2" s="41" t="n"/>
      <c r="H2" s="41" t="n"/>
    </row>
    <row r="4">
      <c r="A4" s="108" t="inlineStr">
        <is>
          <t>QA項目</t>
        </is>
      </c>
      <c r="B4" s="108" t="inlineStr">
        <is>
          <t>結果</t>
        </is>
      </c>
      <c r="D4" s="75" t="inlineStr">
        <is>
          <t>今回照合対象</t>
        </is>
      </c>
      <c r="E4" s="75" t="inlineStr">
        <is>
          <t>設定可</t>
        </is>
      </c>
      <c r="F4" s="75" t="inlineStr">
        <is>
          <t>設定なし</t>
        </is>
      </c>
      <c r="G4" s="75" t="inlineStr">
        <is>
          <t>合計</t>
        </is>
      </c>
    </row>
    <row r="5">
      <c r="A5" s="42" t="inlineStr">
        <is>
          <t>規格サイズ総行数</t>
        </is>
      </c>
      <c r="B5" s="42" t="n">
        <v>1644</v>
      </c>
      <c r="D5" s="43" t="inlineStr">
        <is>
          <t>電動 採風タイプ</t>
        </is>
      </c>
      <c r="E5" s="43" t="n">
        <v>88</v>
      </c>
      <c r="F5" s="43" t="n">
        <v>13</v>
      </c>
      <c r="G5" s="42" t="n">
        <v>101</v>
      </c>
    </row>
    <row r="6">
      <c r="A6" s="42" t="inlineStr">
        <is>
          <t>有効サイズ行数</t>
        </is>
      </c>
      <c r="B6" s="42" t="n">
        <v>1495</v>
      </c>
      <c r="D6" s="43" t="inlineStr">
        <is>
          <t>電動 耐風タイプ</t>
        </is>
      </c>
      <c r="E6" s="43" t="n">
        <v>53</v>
      </c>
      <c r="F6" s="43" t="n">
        <v>48</v>
      </c>
      <c r="G6" s="42" t="n">
        <v>101</v>
      </c>
    </row>
    <row r="7">
      <c r="A7" s="42" t="inlineStr">
        <is>
          <t>設定なし（価格表確認済み）</t>
        </is>
      </c>
      <c r="B7" s="42" t="n">
        <v>104</v>
      </c>
      <c r="D7" s="43" t="inlineStr">
        <is>
          <t>手動 耐風タイプ</t>
        </is>
      </c>
      <c r="E7" s="43" t="n">
        <v>0</v>
      </c>
      <c r="F7" s="43" t="n">
        <v>12</v>
      </c>
      <c r="G7" s="42" t="n">
        <v>12</v>
      </c>
    </row>
    <row r="8">
      <c r="A8" s="42" t="inlineStr">
        <is>
          <t>v0.5履歴行（旧汎用縦OP）</t>
        </is>
      </c>
      <c r="B8" s="42" t="n">
        <v>45</v>
      </c>
      <c r="D8" s="43" t="inlineStr">
        <is>
          <t>面格子付引違い窓 縦/ヒシ/井桁</t>
        </is>
      </c>
      <c r="E8" s="43" t="n">
        <v>219</v>
      </c>
      <c r="F8" s="43" t="n">
        <v>0</v>
      </c>
      <c r="G8" s="42" t="n">
        <v>219</v>
      </c>
    </row>
    <row r="9">
      <c r="A9" s="42" t="inlineStr">
        <is>
          <t>個別可否 要照合</t>
        </is>
      </c>
      <c r="B9" s="42" t="n">
        <v>0</v>
      </c>
      <c r="D9" s="43" t="inlineStr">
        <is>
          <t>面格子付引違い窓 横格子</t>
        </is>
      </c>
      <c r="E9" s="43" t="n">
        <v>42</v>
      </c>
      <c r="F9" s="43" t="n">
        <v>31</v>
      </c>
      <c r="G9" s="42" t="n">
        <v>73</v>
      </c>
    </row>
    <row r="10">
      <c r="A10" s="42" t="inlineStr">
        <is>
          <t>v0.5詳細規格追加</t>
        </is>
      </c>
      <c r="B10" s="42" t="n">
        <v>158</v>
      </c>
      <c r="D10" s="43" t="inlineStr">
        <is>
          <t>面格子付上げ下げ窓FS 4種</t>
        </is>
      </c>
      <c r="E10" s="43" t="n">
        <v>80</v>
      </c>
      <c r="F10" s="43" t="n">
        <v>0</v>
      </c>
      <c r="G10" s="42" t="n">
        <v>80</v>
      </c>
    </row>
    <row r="11">
      <c r="A11" s="42" t="inlineStr">
        <is>
          <t>縦すべり詳細規格</t>
        </is>
      </c>
      <c r="B11" s="42" t="n">
        <v>138</v>
      </c>
      <c r="D11" s="43" t="n"/>
      <c r="E11" s="43" t="n"/>
      <c r="F11" s="43" t="n"/>
    </row>
    <row r="12">
      <c r="A12" s="42" t="inlineStr">
        <is>
          <t>横すべりカム規格</t>
        </is>
      </c>
      <c r="B12" s="42" t="n">
        <v>20</v>
      </c>
      <c r="D12" s="43" t="n"/>
      <c r="E12" s="43" t="n"/>
      <c r="F12" s="43" t="n"/>
    </row>
    <row r="13">
      <c r="A13" s="42" t="inlineStr">
        <is>
          <t>実寸W/H欠損</t>
        </is>
      </c>
      <c r="B13" s="42" t="n">
        <v>0</v>
      </c>
      <c r="D13" s="43" t="n"/>
      <c r="E13" s="43" t="n"/>
      <c r="F13" s="43" t="n"/>
    </row>
    <row r="14">
      <c r="D14" s="43" t="n"/>
      <c r="E14" s="43" t="n"/>
      <c r="F14" s="43" t="n"/>
    </row>
    <row r="15">
      <c r="D15" s="43" t="n"/>
      <c r="E15" s="43" t="n"/>
      <c r="F15" s="43" t="n"/>
    </row>
    <row r="16">
      <c r="D16" s="43" t="n"/>
      <c r="E16" s="43" t="n"/>
      <c r="F16" s="43" t="n"/>
    </row>
    <row r="17">
      <c r="D17" s="43" t="n"/>
      <c r="E17" s="43" t="n"/>
      <c r="F17" s="43" t="n"/>
    </row>
    <row r="18">
      <c r="D18" s="43" t="n"/>
      <c r="E18" s="43" t="n"/>
      <c r="F18" s="43" t="n"/>
    </row>
    <row r="19">
      <c r="D19" s="43" t="n"/>
      <c r="E19" s="43" t="n"/>
      <c r="F19" s="43" t="n"/>
    </row>
    <row r="20">
      <c r="D20" s="43" t="n"/>
      <c r="E20" s="43" t="n"/>
      <c r="F20" s="43" t="n"/>
    </row>
    <row r="21">
      <c r="D21" s="43" t="n"/>
      <c r="E21" s="43" t="n"/>
      <c r="F21" s="43" t="n"/>
    </row>
  </sheetData>
  <mergeCells count="4">
    <mergeCell ref="A1:F1"/>
    <mergeCell ref="A2:F2"/>
    <mergeCell ref="A2:H2"/>
    <mergeCell ref="A1:H1"/>
  </mergeCells>
  <conditionalFormatting sqref="B8">
    <cfRule type="expression" priority="1" dxfId="5">
      <formula>B8=0</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M589"/>
  <sheetViews>
    <sheetView workbookViewId="0">
      <selection activeCell="A1" sqref="A1"/>
    </sheetView>
  </sheetViews>
  <sheetFormatPr baseColWidth="8" defaultRowHeight="15"/>
  <cols>
    <col width="18" customWidth="1" style="51" min="1" max="1"/>
    <col width="24" customWidth="1" style="51" min="2" max="2"/>
    <col width="26" customWidth="1" style="51" min="3" max="3"/>
    <col width="12" customWidth="1" style="51" min="4" max="4"/>
    <col width="12" customWidth="1" style="51" min="5" max="5"/>
    <col width="10" customWidth="1" style="51" min="6" max="6"/>
    <col width="10" customWidth="1" style="51" min="7" max="7"/>
    <col width="11" customWidth="1" style="51" min="8" max="8"/>
    <col width="11" customWidth="1" style="51" min="9" max="9"/>
    <col width="12" customWidth="1" style="51" min="10" max="10"/>
    <col width="8" customWidth="1" style="51" min="11" max="11"/>
    <col width="14" customWidth="1" style="51" min="12" max="12"/>
    <col width="36" customWidth="1" style="51" min="13" max="13"/>
  </cols>
  <sheetData>
    <row r="1">
      <c r="A1" s="226" t="inlineStr">
        <is>
          <t>サーモスL 個別設定可否 証跡｜v0.3</t>
        </is>
      </c>
      <c r="B1" s="41" t="n"/>
      <c r="C1" s="41" t="n"/>
      <c r="D1" s="41" t="n"/>
      <c r="E1" s="41" t="n"/>
      <c r="F1" s="41" t="n"/>
      <c r="G1" s="41" t="n"/>
      <c r="H1" s="41" t="n"/>
      <c r="I1" s="41" t="n"/>
      <c r="J1" s="41" t="n"/>
      <c r="K1" s="41" t="n"/>
      <c r="L1" s="41" t="n"/>
      <c r="M1" s="41" t="n"/>
    </row>
    <row r="2">
      <c r="A2" s="227" t="inlineStr">
        <is>
          <t>v0.2で要照合だった586行の根拠台帳。誌面ページはカタログ印字ページ。価格が確認できた組合せを設定可、設定なし表示/価格なしを設定なしとして記録。</t>
        </is>
      </c>
      <c r="B2" s="41" t="n"/>
      <c r="C2" s="41" t="n"/>
      <c r="D2" s="41" t="n"/>
      <c r="E2" s="41" t="n"/>
      <c r="F2" s="41" t="n"/>
      <c r="G2" s="41" t="n"/>
      <c r="H2" s="41" t="n"/>
      <c r="I2" s="41" t="n"/>
      <c r="J2" s="41" t="n"/>
      <c r="K2" s="41" t="n"/>
      <c r="L2" s="41" t="n"/>
      <c r="M2" s="41" t="n"/>
    </row>
    <row r="3">
      <c r="A3" s="82" t="inlineStr">
        <is>
          <t>size_id</t>
        </is>
      </c>
      <c r="B3" s="82" t="inlineStr">
        <is>
          <t>窓種</t>
        </is>
      </c>
      <c r="C3" s="82" t="inlineStr">
        <is>
          <t>固有仕様ID</t>
        </is>
      </c>
      <c r="D3" s="82" t="inlineStr">
        <is>
          <t>工法区分</t>
        </is>
      </c>
      <c r="E3" s="82" t="inlineStr">
        <is>
          <t>呼称</t>
        </is>
      </c>
      <c r="F3" s="82" t="inlineStr">
        <is>
          <t>呼称W</t>
        </is>
      </c>
      <c r="G3" s="82" t="inlineStr">
        <is>
          <t>呼称H</t>
        </is>
      </c>
      <c r="H3" s="82" t="inlineStr">
        <is>
          <t>W(mm)</t>
        </is>
      </c>
      <c r="I3" s="82" t="inlineStr">
        <is>
          <t>H(mm)</t>
        </is>
      </c>
      <c r="J3" s="82" t="inlineStr">
        <is>
          <t>判定</t>
        </is>
      </c>
      <c r="K3" s="82" t="inlineStr">
        <is>
          <t>有効</t>
        </is>
      </c>
      <c r="L3" s="82" t="inlineStr">
        <is>
          <t>誌面ページ</t>
        </is>
      </c>
      <c r="M3" s="82" t="inlineStr">
        <is>
          <t>確認根拠</t>
        </is>
      </c>
    </row>
    <row r="4">
      <c r="A4" s="43" t="inlineStr">
        <is>
          <t>SZ-SL-000178</t>
        </is>
      </c>
      <c r="B4" s="43" t="inlineStr">
        <is>
          <t>シャッター付引違い窓</t>
        </is>
      </c>
      <c r="C4" s="43" t="inlineStr">
        <is>
          <t>SP-SL-SHUT-E-VENT</t>
        </is>
      </c>
      <c r="D4" s="43" t="inlineStr">
        <is>
          <t>在来・204</t>
        </is>
      </c>
      <c r="E4" s="43" t="inlineStr">
        <is>
          <t>11409</t>
        </is>
      </c>
      <c r="F4" s="43" t="inlineStr">
        <is>
          <t>114</t>
        </is>
      </c>
      <c r="G4" s="43" t="inlineStr">
        <is>
          <t>09</t>
        </is>
      </c>
      <c r="H4" s="43" t="n">
        <v>1185</v>
      </c>
      <c r="I4" s="43" t="n">
        <v>970</v>
      </c>
      <c r="J4" s="43" t="inlineStr">
        <is>
          <t>設定可</t>
        </is>
      </c>
      <c r="K4" s="43" t="b">
        <v>1</v>
      </c>
      <c r="L4" s="43" t="inlineStr">
        <is>
          <t>30</t>
        </is>
      </c>
      <c r="M4" s="43" t="inlineStr">
        <is>
          <t>+¥341,200 / +¥357,800</t>
        </is>
      </c>
    </row>
    <row r="5">
      <c r="A5" s="43" t="inlineStr">
        <is>
          <t>SZ-SL-000179</t>
        </is>
      </c>
      <c r="B5" s="43" t="inlineStr">
        <is>
          <t>シャッター付引違い窓</t>
        </is>
      </c>
      <c r="C5" s="43" t="inlineStr">
        <is>
          <t>SP-SL-SHUT-E-VENT</t>
        </is>
      </c>
      <c r="D5" s="43" t="inlineStr">
        <is>
          <t>在来・204</t>
        </is>
      </c>
      <c r="E5" s="43" t="inlineStr">
        <is>
          <t>11411</t>
        </is>
      </c>
      <c r="F5" s="43" t="inlineStr">
        <is>
          <t>114</t>
        </is>
      </c>
      <c r="G5" s="43" t="inlineStr">
        <is>
          <t>11</t>
        </is>
      </c>
      <c r="H5" s="43" t="n">
        <v>1185</v>
      </c>
      <c r="I5" s="43" t="n">
        <v>1170</v>
      </c>
      <c r="J5" s="43" t="inlineStr">
        <is>
          <t>設定可</t>
        </is>
      </c>
      <c r="K5" s="43" t="b">
        <v>1</v>
      </c>
      <c r="L5" s="43" t="inlineStr">
        <is>
          <t>30</t>
        </is>
      </c>
      <c r="M5" s="43" t="inlineStr">
        <is>
          <t>+¥341,000 / +¥357,900</t>
        </is>
      </c>
    </row>
    <row r="6">
      <c r="A6" s="43" t="inlineStr">
        <is>
          <t>SZ-SL-000180</t>
        </is>
      </c>
      <c r="B6" s="43" t="inlineStr">
        <is>
          <t>シャッター付引違い窓</t>
        </is>
      </c>
      <c r="C6" s="43" t="inlineStr">
        <is>
          <t>SP-SL-SHUT-E-VENT</t>
        </is>
      </c>
      <c r="D6" s="43" t="inlineStr">
        <is>
          <t>在来・204</t>
        </is>
      </c>
      <c r="E6" s="43" t="inlineStr">
        <is>
          <t>11909</t>
        </is>
      </c>
      <c r="F6" s="43" t="inlineStr">
        <is>
          <t>119</t>
        </is>
      </c>
      <c r="G6" s="43" t="inlineStr">
        <is>
          <t>09</t>
        </is>
      </c>
      <c r="H6" s="43" t="n">
        <v>1235</v>
      </c>
      <c r="I6" s="43" t="n">
        <v>970</v>
      </c>
      <c r="J6" s="43" t="inlineStr">
        <is>
          <t>設定可</t>
        </is>
      </c>
      <c r="K6" s="43" t="b">
        <v>1</v>
      </c>
      <c r="L6" s="43" t="inlineStr">
        <is>
          <t>30</t>
        </is>
      </c>
      <c r="M6" s="43" t="inlineStr">
        <is>
          <t>+¥341,200 / +¥357,800</t>
        </is>
      </c>
    </row>
    <row r="7">
      <c r="A7" s="43" t="inlineStr">
        <is>
          <t>SZ-SL-000181</t>
        </is>
      </c>
      <c r="B7" s="43" t="inlineStr">
        <is>
          <t>シャッター付引違い窓</t>
        </is>
      </c>
      <c r="C7" s="43" t="inlineStr">
        <is>
          <t>SP-SL-SHUT-E-VENT</t>
        </is>
      </c>
      <c r="D7" s="43" t="inlineStr">
        <is>
          <t>在来・204</t>
        </is>
      </c>
      <c r="E7" s="43" t="inlineStr">
        <is>
          <t>11911</t>
        </is>
      </c>
      <c r="F7" s="43" t="inlineStr">
        <is>
          <t>119</t>
        </is>
      </c>
      <c r="G7" s="43" t="inlineStr">
        <is>
          <t>11</t>
        </is>
      </c>
      <c r="H7" s="43" t="n">
        <v>1235</v>
      </c>
      <c r="I7" s="43" t="n">
        <v>1170</v>
      </c>
      <c r="J7" s="43" t="inlineStr">
        <is>
          <t>設定可</t>
        </is>
      </c>
      <c r="K7" s="43" t="b">
        <v>1</v>
      </c>
      <c r="L7" s="43" t="inlineStr">
        <is>
          <t>30</t>
        </is>
      </c>
      <c r="M7" s="43" t="inlineStr">
        <is>
          <t>+¥341,000 / +¥357,900</t>
        </is>
      </c>
    </row>
    <row r="8">
      <c r="A8" s="43" t="inlineStr">
        <is>
          <t>SZ-SL-000182</t>
        </is>
      </c>
      <c r="B8" s="43" t="inlineStr">
        <is>
          <t>シャッター付引違い窓</t>
        </is>
      </c>
      <c r="C8" s="43" t="inlineStr">
        <is>
          <t>SP-SL-SHUT-E-VENT</t>
        </is>
      </c>
      <c r="D8" s="43" t="inlineStr">
        <is>
          <t>在来・204</t>
        </is>
      </c>
      <c r="E8" s="43" t="inlineStr">
        <is>
          <t>12809</t>
        </is>
      </c>
      <c r="F8" s="43" t="inlineStr">
        <is>
          <t>128</t>
        </is>
      </c>
      <c r="G8" s="43" t="inlineStr">
        <is>
          <t>09</t>
        </is>
      </c>
      <c r="H8" s="43" t="n">
        <v>1320</v>
      </c>
      <c r="I8" s="43" t="n">
        <v>970</v>
      </c>
      <c r="J8" s="43" t="inlineStr">
        <is>
          <t>設定可</t>
        </is>
      </c>
      <c r="K8" s="43" t="b">
        <v>1</v>
      </c>
      <c r="L8" s="43" t="inlineStr">
        <is>
          <t>30</t>
        </is>
      </c>
      <c r="M8" s="43" t="inlineStr">
        <is>
          <t>+¥341,000 / +¥358,000</t>
        </is>
      </c>
    </row>
    <row r="9">
      <c r="A9" s="43" t="inlineStr">
        <is>
          <t>SZ-SL-000183</t>
        </is>
      </c>
      <c r="B9" s="43" t="inlineStr">
        <is>
          <t>シャッター付引違い窓</t>
        </is>
      </c>
      <c r="C9" s="43" t="inlineStr">
        <is>
          <t>SP-SL-SHUT-E-VENT</t>
        </is>
      </c>
      <c r="D9" s="43" t="inlineStr">
        <is>
          <t>在来・204</t>
        </is>
      </c>
      <c r="E9" s="43" t="inlineStr">
        <is>
          <t>12811</t>
        </is>
      </c>
      <c r="F9" s="43" t="inlineStr">
        <is>
          <t>128</t>
        </is>
      </c>
      <c r="G9" s="43" t="inlineStr">
        <is>
          <t>11</t>
        </is>
      </c>
      <c r="H9" s="43" t="n">
        <v>1320</v>
      </c>
      <c r="I9" s="43" t="n">
        <v>1170</v>
      </c>
      <c r="J9" s="43" t="inlineStr">
        <is>
          <t>設定可</t>
        </is>
      </c>
      <c r="K9" s="43" t="b">
        <v>1</v>
      </c>
      <c r="L9" s="43" t="inlineStr">
        <is>
          <t>30</t>
        </is>
      </c>
      <c r="M9" s="43" t="inlineStr">
        <is>
          <t>+¥340,900 / +¥357,700</t>
        </is>
      </c>
    </row>
    <row r="10">
      <c r="A10" s="43" t="inlineStr">
        <is>
          <t>SZ-SL-000184</t>
        </is>
      </c>
      <c r="B10" s="43" t="inlineStr">
        <is>
          <t>シャッター付引違い窓</t>
        </is>
      </c>
      <c r="C10" s="43" t="inlineStr">
        <is>
          <t>SP-SL-SHUT-E-VENT</t>
        </is>
      </c>
      <c r="D10" s="43" t="inlineStr">
        <is>
          <t>在来・204</t>
        </is>
      </c>
      <c r="E10" s="43" t="inlineStr">
        <is>
          <t>13309</t>
        </is>
      </c>
      <c r="F10" s="43" t="inlineStr">
        <is>
          <t>133</t>
        </is>
      </c>
      <c r="G10" s="43" t="inlineStr">
        <is>
          <t>09</t>
        </is>
      </c>
      <c r="H10" s="43" t="n">
        <v>1370</v>
      </c>
      <c r="I10" s="43" t="n">
        <v>970</v>
      </c>
      <c r="J10" s="43" t="inlineStr">
        <is>
          <t>設定可</t>
        </is>
      </c>
      <c r="K10" s="43" t="b">
        <v>1</v>
      </c>
      <c r="L10" s="43" t="inlineStr">
        <is>
          <t>30</t>
        </is>
      </c>
      <c r="M10" s="43" t="inlineStr">
        <is>
          <t>+¥341,000 / +¥358,000</t>
        </is>
      </c>
    </row>
    <row r="11">
      <c r="A11" s="43" t="inlineStr">
        <is>
          <t>SZ-SL-000185</t>
        </is>
      </c>
      <c r="B11" s="43" t="inlineStr">
        <is>
          <t>シャッター付引違い窓</t>
        </is>
      </c>
      <c r="C11" s="43" t="inlineStr">
        <is>
          <t>SP-SL-SHUT-E-VENT</t>
        </is>
      </c>
      <c r="D11" s="43" t="inlineStr">
        <is>
          <t>在来・204</t>
        </is>
      </c>
      <c r="E11" s="43" t="inlineStr">
        <is>
          <t>13311</t>
        </is>
      </c>
      <c r="F11" s="43" t="inlineStr">
        <is>
          <t>133</t>
        </is>
      </c>
      <c r="G11" s="43" t="inlineStr">
        <is>
          <t>11</t>
        </is>
      </c>
      <c r="H11" s="43" t="n">
        <v>1370</v>
      </c>
      <c r="I11" s="43" t="n">
        <v>1170</v>
      </c>
      <c r="J11" s="43" t="inlineStr">
        <is>
          <t>設定可</t>
        </is>
      </c>
      <c r="K11" s="43" t="b">
        <v>1</v>
      </c>
      <c r="L11" s="43" t="inlineStr">
        <is>
          <t>30</t>
        </is>
      </c>
      <c r="M11" s="43" t="inlineStr">
        <is>
          <t>+¥340,900 / +¥357,700</t>
        </is>
      </c>
    </row>
    <row r="12">
      <c r="A12" s="43" t="inlineStr">
        <is>
          <t>SZ-SL-000186</t>
        </is>
      </c>
      <c r="B12" s="43" t="inlineStr">
        <is>
          <t>シャッター付引違い窓</t>
        </is>
      </c>
      <c r="C12" s="43" t="inlineStr">
        <is>
          <t>SP-SL-SHUT-E-WIND</t>
        </is>
      </c>
      <c r="D12" s="43" t="inlineStr">
        <is>
          <t>在来・204</t>
        </is>
      </c>
      <c r="E12" s="43" t="inlineStr">
        <is>
          <t>11409</t>
        </is>
      </c>
      <c r="F12" s="43" t="inlineStr">
        <is>
          <t>114</t>
        </is>
      </c>
      <c r="G12" s="43" t="inlineStr">
        <is>
          <t>09</t>
        </is>
      </c>
      <c r="H12" s="43" t="n">
        <v>1185</v>
      </c>
      <c r="I12" s="43" t="n">
        <v>970</v>
      </c>
      <c r="J12" s="43" t="inlineStr">
        <is>
          <t>設定可</t>
        </is>
      </c>
      <c r="K12" s="43" t="b">
        <v>1</v>
      </c>
      <c r="L12" s="43" t="inlineStr">
        <is>
          <t>30</t>
        </is>
      </c>
      <c r="M12" s="43" t="inlineStr">
        <is>
          <t>+¥84,700 / +¥88,900</t>
        </is>
      </c>
    </row>
    <row r="13">
      <c r="A13" s="43" t="inlineStr">
        <is>
          <t>SZ-SL-000187</t>
        </is>
      </c>
      <c r="B13" s="43" t="inlineStr">
        <is>
          <t>シャッター付引違い窓</t>
        </is>
      </c>
      <c r="C13" s="43" t="inlineStr">
        <is>
          <t>SP-SL-SHUT-E-WIND</t>
        </is>
      </c>
      <c r="D13" s="43" t="inlineStr">
        <is>
          <t>在来・204</t>
        </is>
      </c>
      <c r="E13" s="43" t="inlineStr">
        <is>
          <t>11411</t>
        </is>
      </c>
      <c r="F13" s="43" t="inlineStr">
        <is>
          <t>114</t>
        </is>
      </c>
      <c r="G13" s="43" t="inlineStr">
        <is>
          <t>11</t>
        </is>
      </c>
      <c r="H13" s="43" t="n">
        <v>1185</v>
      </c>
      <c r="I13" s="43" t="n">
        <v>1170</v>
      </c>
      <c r="J13" s="43" t="inlineStr">
        <is>
          <t>設定可</t>
        </is>
      </c>
      <c r="K13" s="43" t="b">
        <v>1</v>
      </c>
      <c r="L13" s="43" t="inlineStr">
        <is>
          <t>30</t>
        </is>
      </c>
      <c r="M13" s="43" t="inlineStr">
        <is>
          <t>+¥86,200 / +¥90,500</t>
        </is>
      </c>
    </row>
    <row r="14">
      <c r="A14" s="43" t="inlineStr">
        <is>
          <t>SZ-SL-000188</t>
        </is>
      </c>
      <c r="B14" s="43" t="inlineStr">
        <is>
          <t>シャッター付引違い窓</t>
        </is>
      </c>
      <c r="C14" s="43" t="inlineStr">
        <is>
          <t>SP-SL-SHUT-E-WIND</t>
        </is>
      </c>
      <c r="D14" s="43" t="inlineStr">
        <is>
          <t>在来・204</t>
        </is>
      </c>
      <c r="E14" s="43" t="inlineStr">
        <is>
          <t>11909</t>
        </is>
      </c>
      <c r="F14" s="43" t="inlineStr">
        <is>
          <t>119</t>
        </is>
      </c>
      <c r="G14" s="43" t="inlineStr">
        <is>
          <t>09</t>
        </is>
      </c>
      <c r="H14" s="43" t="n">
        <v>1235</v>
      </c>
      <c r="I14" s="43" t="n">
        <v>970</v>
      </c>
      <c r="J14" s="43" t="inlineStr">
        <is>
          <t>設定可</t>
        </is>
      </c>
      <c r="K14" s="43" t="b">
        <v>1</v>
      </c>
      <c r="L14" s="43" t="inlineStr">
        <is>
          <t>30</t>
        </is>
      </c>
      <c r="M14" s="43" t="inlineStr">
        <is>
          <t>+¥84,700 / +¥88,900</t>
        </is>
      </c>
    </row>
    <row r="15">
      <c r="A15" s="43" t="inlineStr">
        <is>
          <t>SZ-SL-000189</t>
        </is>
      </c>
      <c r="B15" s="43" t="inlineStr">
        <is>
          <t>シャッター付引違い窓</t>
        </is>
      </c>
      <c r="C15" s="43" t="inlineStr">
        <is>
          <t>SP-SL-SHUT-E-WIND</t>
        </is>
      </c>
      <c r="D15" s="43" t="inlineStr">
        <is>
          <t>在来・204</t>
        </is>
      </c>
      <c r="E15" s="43" t="inlineStr">
        <is>
          <t>11911</t>
        </is>
      </c>
      <c r="F15" s="43" t="inlineStr">
        <is>
          <t>119</t>
        </is>
      </c>
      <c r="G15" s="43" t="inlineStr">
        <is>
          <t>11</t>
        </is>
      </c>
      <c r="H15" s="43" t="n">
        <v>1235</v>
      </c>
      <c r="I15" s="43" t="n">
        <v>1170</v>
      </c>
      <c r="J15" s="43" t="inlineStr">
        <is>
          <t>設定可</t>
        </is>
      </c>
      <c r="K15" s="43" t="b">
        <v>1</v>
      </c>
      <c r="L15" s="43" t="inlineStr">
        <is>
          <t>30</t>
        </is>
      </c>
      <c r="M15" s="43" t="inlineStr">
        <is>
          <t>+¥86,200 / +¥90,500</t>
        </is>
      </c>
    </row>
    <row r="16">
      <c r="A16" s="43" t="inlineStr">
        <is>
          <t>SZ-SL-000190</t>
        </is>
      </c>
      <c r="B16" s="43" t="inlineStr">
        <is>
          <t>シャッター付引違い窓</t>
        </is>
      </c>
      <c r="C16" s="43" t="inlineStr">
        <is>
          <t>SP-SL-SHUT-E-WIND</t>
        </is>
      </c>
      <c r="D16" s="43" t="inlineStr">
        <is>
          <t>在来・204</t>
        </is>
      </c>
      <c r="E16" s="43" t="inlineStr">
        <is>
          <t>12809</t>
        </is>
      </c>
      <c r="F16" s="43" t="inlineStr">
        <is>
          <t>128</t>
        </is>
      </c>
      <c r="G16" s="43" t="inlineStr">
        <is>
          <t>09</t>
        </is>
      </c>
      <c r="H16" s="43" t="n">
        <v>1320</v>
      </c>
      <c r="I16" s="43" t="n">
        <v>970</v>
      </c>
      <c r="J16" s="43" t="inlineStr">
        <is>
          <t>設定なし</t>
        </is>
      </c>
      <c r="K16" s="43" t="b">
        <v>0</v>
      </c>
      <c r="L16" s="43" t="inlineStr">
        <is>
          <t>30</t>
        </is>
      </c>
      <c r="M16" s="43" t="inlineStr">
        <is>
          <t>＿＿</t>
        </is>
      </c>
    </row>
    <row r="17">
      <c r="A17" s="43" t="inlineStr">
        <is>
          <t>SZ-SL-000191</t>
        </is>
      </c>
      <c r="B17" s="43" t="inlineStr">
        <is>
          <t>シャッター付引違い窓</t>
        </is>
      </c>
      <c r="C17" s="43" t="inlineStr">
        <is>
          <t>SP-SL-SHUT-E-WIND</t>
        </is>
      </c>
      <c r="D17" s="43" t="inlineStr">
        <is>
          <t>在来・204</t>
        </is>
      </c>
      <c r="E17" s="43" t="inlineStr">
        <is>
          <t>12811</t>
        </is>
      </c>
      <c r="F17" s="43" t="inlineStr">
        <is>
          <t>128</t>
        </is>
      </c>
      <c r="G17" s="43" t="inlineStr">
        <is>
          <t>11</t>
        </is>
      </c>
      <c r="H17" s="43" t="n">
        <v>1320</v>
      </c>
      <c r="I17" s="43" t="n">
        <v>1170</v>
      </c>
      <c r="J17" s="43" t="inlineStr">
        <is>
          <t>設定なし</t>
        </is>
      </c>
      <c r="K17" s="43" t="b">
        <v>0</v>
      </c>
      <c r="L17" s="43" t="inlineStr">
        <is>
          <t>30</t>
        </is>
      </c>
      <c r="M17" s="43" t="inlineStr">
        <is>
          <t>＿＿</t>
        </is>
      </c>
    </row>
    <row r="18">
      <c r="A18" s="43" t="inlineStr">
        <is>
          <t>SZ-SL-000192</t>
        </is>
      </c>
      <c r="B18" s="43" t="inlineStr">
        <is>
          <t>シャッター付引違い窓</t>
        </is>
      </c>
      <c r="C18" s="43" t="inlineStr">
        <is>
          <t>SP-SL-SHUT-E-WIND</t>
        </is>
      </c>
      <c r="D18" s="43" t="inlineStr">
        <is>
          <t>在来・204</t>
        </is>
      </c>
      <c r="E18" s="43" t="inlineStr">
        <is>
          <t>13309</t>
        </is>
      </c>
      <c r="F18" s="43" t="inlineStr">
        <is>
          <t>133</t>
        </is>
      </c>
      <c r="G18" s="43" t="inlineStr">
        <is>
          <t>09</t>
        </is>
      </c>
      <c r="H18" s="43" t="n">
        <v>1370</v>
      </c>
      <c r="I18" s="43" t="n">
        <v>970</v>
      </c>
      <c r="J18" s="43" t="inlineStr">
        <is>
          <t>設定なし</t>
        </is>
      </c>
      <c r="K18" s="43" t="b">
        <v>0</v>
      </c>
      <c r="L18" s="43" t="inlineStr">
        <is>
          <t>30</t>
        </is>
      </c>
      <c r="M18" s="43" t="inlineStr">
        <is>
          <t>＿＿</t>
        </is>
      </c>
    </row>
    <row r="19">
      <c r="A19" s="43" t="inlineStr">
        <is>
          <t>SZ-SL-000193</t>
        </is>
      </c>
      <c r="B19" s="43" t="inlineStr">
        <is>
          <t>シャッター付引違い窓</t>
        </is>
      </c>
      <c r="C19" s="43" t="inlineStr">
        <is>
          <t>SP-SL-SHUT-E-WIND</t>
        </is>
      </c>
      <c r="D19" s="43" t="inlineStr">
        <is>
          <t>在来・204</t>
        </is>
      </c>
      <c r="E19" s="43" t="inlineStr">
        <is>
          <t>13311</t>
        </is>
      </c>
      <c r="F19" s="43" t="inlineStr">
        <is>
          <t>133</t>
        </is>
      </c>
      <c r="G19" s="43" t="inlineStr">
        <is>
          <t>11</t>
        </is>
      </c>
      <c r="H19" s="43" t="n">
        <v>1370</v>
      </c>
      <c r="I19" s="43" t="n">
        <v>1170</v>
      </c>
      <c r="J19" s="43" t="inlineStr">
        <is>
          <t>設定なし</t>
        </is>
      </c>
      <c r="K19" s="43" t="b">
        <v>0</v>
      </c>
      <c r="L19" s="43" t="inlineStr">
        <is>
          <t>30</t>
        </is>
      </c>
      <c r="M19" s="43" t="inlineStr">
        <is>
          <t>＿＿</t>
        </is>
      </c>
    </row>
    <row r="20">
      <c r="A20" s="43" t="inlineStr">
        <is>
          <t>SZ-SL-000205</t>
        </is>
      </c>
      <c r="B20" s="43" t="inlineStr">
        <is>
          <t>シャッター付引違い窓</t>
        </is>
      </c>
      <c r="C20" s="43" t="inlineStr">
        <is>
          <t>SP-SL-SHUT-E-VENT</t>
        </is>
      </c>
      <c r="D20" s="43" t="inlineStr">
        <is>
          <t>在来・204</t>
        </is>
      </c>
      <c r="E20" s="43" t="inlineStr">
        <is>
          <t>15009</t>
        </is>
      </c>
      <c r="F20" s="43" t="inlineStr">
        <is>
          <t>150</t>
        </is>
      </c>
      <c r="G20" s="43" t="inlineStr">
        <is>
          <t>09</t>
        </is>
      </c>
      <c r="H20" s="43" t="n">
        <v>1540</v>
      </c>
      <c r="I20" s="43" t="n">
        <v>970</v>
      </c>
      <c r="J20" s="43" t="inlineStr">
        <is>
          <t>設定可</t>
        </is>
      </c>
      <c r="K20" s="43" t="b">
        <v>1</v>
      </c>
      <c r="L20" s="43" t="inlineStr">
        <is>
          <t>31</t>
        </is>
      </c>
      <c r="M20" s="43" t="inlineStr">
        <is>
          <t>+¥341,300 / +¥358,100</t>
        </is>
      </c>
    </row>
    <row r="21">
      <c r="A21" s="43" t="inlineStr">
        <is>
          <t>SZ-SL-000206</t>
        </is>
      </c>
      <c r="B21" s="43" t="inlineStr">
        <is>
          <t>シャッター付引違い窓</t>
        </is>
      </c>
      <c r="C21" s="43" t="inlineStr">
        <is>
          <t>SP-SL-SHUT-E-VENT</t>
        </is>
      </c>
      <c r="D21" s="43" t="inlineStr">
        <is>
          <t>在来・204</t>
        </is>
      </c>
      <c r="E21" s="43" t="inlineStr">
        <is>
          <t>15011</t>
        </is>
      </c>
      <c r="F21" s="43" t="inlineStr">
        <is>
          <t>150</t>
        </is>
      </c>
      <c r="G21" s="43" t="inlineStr">
        <is>
          <t>11</t>
        </is>
      </c>
      <c r="H21" s="43" t="n">
        <v>1540</v>
      </c>
      <c r="I21" s="43" t="n">
        <v>1170</v>
      </c>
      <c r="J21" s="43" t="inlineStr">
        <is>
          <t>設定可</t>
        </is>
      </c>
      <c r="K21" s="43" t="b">
        <v>1</v>
      </c>
      <c r="L21" s="43" t="inlineStr">
        <is>
          <t>31</t>
        </is>
      </c>
      <c r="M21" s="43" t="inlineStr">
        <is>
          <t>+¥341,200 / +¥358,000</t>
        </is>
      </c>
    </row>
    <row r="22">
      <c r="A22" s="43" t="inlineStr">
        <is>
          <t>SZ-SL-000207</t>
        </is>
      </c>
      <c r="B22" s="43" t="inlineStr">
        <is>
          <t>シャッター付引違い窓</t>
        </is>
      </c>
      <c r="C22" s="43" t="inlineStr">
        <is>
          <t>SP-SL-SHUT-E-VENT</t>
        </is>
      </c>
      <c r="D22" s="43" t="inlineStr">
        <is>
          <t>在来・204</t>
        </is>
      </c>
      <c r="E22" s="43" t="inlineStr">
        <is>
          <t>16009</t>
        </is>
      </c>
      <c r="F22" s="43" t="inlineStr">
        <is>
          <t>160</t>
        </is>
      </c>
      <c r="G22" s="43" t="inlineStr">
        <is>
          <t>09</t>
        </is>
      </c>
      <c r="H22" s="43" t="n">
        <v>1640</v>
      </c>
      <c r="I22" s="43" t="n">
        <v>970</v>
      </c>
      <c r="J22" s="43" t="inlineStr">
        <is>
          <t>設定可</t>
        </is>
      </c>
      <c r="K22" s="43" t="b">
        <v>1</v>
      </c>
      <c r="L22" s="43" t="inlineStr">
        <is>
          <t>31</t>
        </is>
      </c>
      <c r="M22" s="43" t="inlineStr">
        <is>
          <t>+¥341,300 / +¥358,100</t>
        </is>
      </c>
    </row>
    <row r="23">
      <c r="A23" s="43" t="inlineStr">
        <is>
          <t>SZ-SL-000208</t>
        </is>
      </c>
      <c r="B23" s="43" t="inlineStr">
        <is>
          <t>シャッター付引違い窓</t>
        </is>
      </c>
      <c r="C23" s="43" t="inlineStr">
        <is>
          <t>SP-SL-SHUT-E-VENT</t>
        </is>
      </c>
      <c r="D23" s="43" t="inlineStr">
        <is>
          <t>在来・204</t>
        </is>
      </c>
      <c r="E23" s="43" t="inlineStr">
        <is>
          <t>16011</t>
        </is>
      </c>
      <c r="F23" s="43" t="inlineStr">
        <is>
          <t>160</t>
        </is>
      </c>
      <c r="G23" s="43" t="inlineStr">
        <is>
          <t>11</t>
        </is>
      </c>
      <c r="H23" s="43" t="n">
        <v>1640</v>
      </c>
      <c r="I23" s="43" t="n">
        <v>1170</v>
      </c>
      <c r="J23" s="43" t="inlineStr">
        <is>
          <t>設定可</t>
        </is>
      </c>
      <c r="K23" s="43" t="b">
        <v>1</v>
      </c>
      <c r="L23" s="43" t="inlineStr">
        <is>
          <t>31</t>
        </is>
      </c>
      <c r="M23" s="43" t="inlineStr">
        <is>
          <t>+¥341,200 / +¥357,900</t>
        </is>
      </c>
    </row>
    <row r="24">
      <c r="A24" s="43" t="inlineStr">
        <is>
          <t>SZ-SL-000209</t>
        </is>
      </c>
      <c r="B24" s="43" t="inlineStr">
        <is>
          <t>シャッター付引違い窓</t>
        </is>
      </c>
      <c r="C24" s="43" t="inlineStr">
        <is>
          <t>SP-SL-SHUT-E-VENT</t>
        </is>
      </c>
      <c r="D24" s="43" t="inlineStr">
        <is>
          <t>在来・204</t>
        </is>
      </c>
      <c r="E24" s="43" t="inlineStr">
        <is>
          <t>16507</t>
        </is>
      </c>
      <c r="F24" s="43" t="inlineStr">
        <is>
          <t>165</t>
        </is>
      </c>
      <c r="G24" s="43" t="inlineStr">
        <is>
          <t>07</t>
        </is>
      </c>
      <c r="H24" s="43" t="n">
        <v>1690</v>
      </c>
      <c r="I24" s="43" t="n">
        <v>770</v>
      </c>
      <c r="J24" s="43" t="inlineStr">
        <is>
          <t>設定可</t>
        </is>
      </c>
      <c r="K24" s="43" t="b">
        <v>1</v>
      </c>
      <c r="L24" s="43" t="inlineStr">
        <is>
          <t>31</t>
        </is>
      </c>
      <c r="M24" s="43" t="inlineStr">
        <is>
          <t>+¥341,400 / +¥358,600</t>
        </is>
      </c>
    </row>
    <row r="25">
      <c r="A25" s="43" t="inlineStr">
        <is>
          <t>SZ-SL-000210</t>
        </is>
      </c>
      <c r="B25" s="43" t="inlineStr">
        <is>
          <t>シャッター付引違い窓</t>
        </is>
      </c>
      <c r="C25" s="43" t="inlineStr">
        <is>
          <t>SP-SL-SHUT-E-VENT</t>
        </is>
      </c>
      <c r="D25" s="43" t="inlineStr">
        <is>
          <t>在来・204</t>
        </is>
      </c>
      <c r="E25" s="43" t="inlineStr">
        <is>
          <t>16509</t>
        </is>
      </c>
      <c r="F25" s="43" t="inlineStr">
        <is>
          <t>165</t>
        </is>
      </c>
      <c r="G25" s="43" t="inlineStr">
        <is>
          <t>09</t>
        </is>
      </c>
      <c r="H25" s="43" t="n">
        <v>1690</v>
      </c>
      <c r="I25" s="43" t="n">
        <v>970</v>
      </c>
      <c r="J25" s="43" t="inlineStr">
        <is>
          <t>設定可</t>
        </is>
      </c>
      <c r="K25" s="43" t="b">
        <v>1</v>
      </c>
      <c r="L25" s="43" t="inlineStr">
        <is>
          <t>31</t>
        </is>
      </c>
      <c r="M25" s="43" t="inlineStr">
        <is>
          <t>+¥341,300 / +¥358,100</t>
        </is>
      </c>
    </row>
    <row r="26">
      <c r="A26" s="43" t="inlineStr">
        <is>
          <t>SZ-SL-000211</t>
        </is>
      </c>
      <c r="B26" s="43" t="inlineStr">
        <is>
          <t>シャッター付引違い窓</t>
        </is>
      </c>
      <c r="C26" s="43" t="inlineStr">
        <is>
          <t>SP-SL-SHUT-E-VENT</t>
        </is>
      </c>
      <c r="D26" s="43" t="inlineStr">
        <is>
          <t>在来・204</t>
        </is>
      </c>
      <c r="E26" s="43" t="inlineStr">
        <is>
          <t>16511</t>
        </is>
      </c>
      <c r="F26" s="43" t="inlineStr">
        <is>
          <t>165</t>
        </is>
      </c>
      <c r="G26" s="43" t="inlineStr">
        <is>
          <t>11</t>
        </is>
      </c>
      <c r="H26" s="43" t="n">
        <v>1690</v>
      </c>
      <c r="I26" s="43" t="n">
        <v>1170</v>
      </c>
      <c r="J26" s="43" t="inlineStr">
        <is>
          <t>設定可</t>
        </is>
      </c>
      <c r="K26" s="43" t="b">
        <v>1</v>
      </c>
      <c r="L26" s="43" t="inlineStr">
        <is>
          <t>31</t>
        </is>
      </c>
      <c r="M26" s="43" t="inlineStr">
        <is>
          <t>+¥341,200 / +¥357,900</t>
        </is>
      </c>
    </row>
    <row r="27">
      <c r="A27" s="43" t="inlineStr">
        <is>
          <t>SZ-SL-000212</t>
        </is>
      </c>
      <c r="B27" s="43" t="inlineStr">
        <is>
          <t>シャッター付引違い窓</t>
        </is>
      </c>
      <c r="C27" s="43" t="inlineStr">
        <is>
          <t>SP-SL-SHUT-E-VENT</t>
        </is>
      </c>
      <c r="D27" s="43" t="inlineStr">
        <is>
          <t>在来・204</t>
        </is>
      </c>
      <c r="E27" s="43" t="inlineStr">
        <is>
          <t>17409</t>
        </is>
      </c>
      <c r="F27" s="43" t="inlineStr">
        <is>
          <t>174</t>
        </is>
      </c>
      <c r="G27" s="43" t="inlineStr">
        <is>
          <t>09</t>
        </is>
      </c>
      <c r="H27" s="43" t="n">
        <v>1780</v>
      </c>
      <c r="I27" s="43" t="n">
        <v>970</v>
      </c>
      <c r="J27" s="43" t="inlineStr">
        <is>
          <t>設定可</t>
        </is>
      </c>
      <c r="K27" s="43" t="b">
        <v>1</v>
      </c>
      <c r="L27" s="43" t="inlineStr">
        <is>
          <t>31</t>
        </is>
      </c>
      <c r="M27" s="43" t="inlineStr">
        <is>
          <t>+¥342,300 / +¥359,200</t>
        </is>
      </c>
    </row>
    <row r="28">
      <c r="A28" s="43" t="inlineStr">
        <is>
          <t>SZ-SL-000213</t>
        </is>
      </c>
      <c r="B28" s="43" t="inlineStr">
        <is>
          <t>シャッター付引違い窓</t>
        </is>
      </c>
      <c r="C28" s="43" t="inlineStr">
        <is>
          <t>SP-SL-SHUT-E-VENT</t>
        </is>
      </c>
      <c r="D28" s="43" t="inlineStr">
        <is>
          <t>在来・204</t>
        </is>
      </c>
      <c r="E28" s="43" t="inlineStr">
        <is>
          <t>17411</t>
        </is>
      </c>
      <c r="F28" s="43" t="inlineStr">
        <is>
          <t>174</t>
        </is>
      </c>
      <c r="G28" s="43" t="inlineStr">
        <is>
          <t>11</t>
        </is>
      </c>
      <c r="H28" s="43" t="n">
        <v>1780</v>
      </c>
      <c r="I28" s="43" t="n">
        <v>1170</v>
      </c>
      <c r="J28" s="43" t="inlineStr">
        <is>
          <t>設定可</t>
        </is>
      </c>
      <c r="K28" s="43" t="b">
        <v>1</v>
      </c>
      <c r="L28" s="43" t="inlineStr">
        <is>
          <t>31</t>
        </is>
      </c>
      <c r="M28" s="43" t="inlineStr">
        <is>
          <t>+¥342,200 / +¥359,100</t>
        </is>
      </c>
    </row>
    <row r="29">
      <c r="A29" s="43" t="inlineStr">
        <is>
          <t>SZ-SL-000214</t>
        </is>
      </c>
      <c r="B29" s="43" t="inlineStr">
        <is>
          <t>シャッター付引違い窓</t>
        </is>
      </c>
      <c r="C29" s="43" t="inlineStr">
        <is>
          <t>SP-SL-SHUT-E-VENT</t>
        </is>
      </c>
      <c r="D29" s="43" t="inlineStr">
        <is>
          <t>在来・204</t>
        </is>
      </c>
      <c r="E29" s="43" t="inlineStr">
        <is>
          <t>17609</t>
        </is>
      </c>
      <c r="F29" s="43" t="inlineStr">
        <is>
          <t>176</t>
        </is>
      </c>
      <c r="G29" s="43" t="inlineStr">
        <is>
          <t>09</t>
        </is>
      </c>
      <c r="H29" s="43" t="n">
        <v>1800</v>
      </c>
      <c r="I29" s="43" t="n">
        <v>970</v>
      </c>
      <c r="J29" s="43" t="inlineStr">
        <is>
          <t>設定可</t>
        </is>
      </c>
      <c r="K29" s="43" t="b">
        <v>1</v>
      </c>
      <c r="L29" s="43" t="inlineStr">
        <is>
          <t>31</t>
        </is>
      </c>
      <c r="M29" s="43" t="inlineStr">
        <is>
          <t>+¥342,300 / +¥359,200</t>
        </is>
      </c>
    </row>
    <row r="30">
      <c r="A30" s="43" t="inlineStr">
        <is>
          <t>SZ-SL-000215</t>
        </is>
      </c>
      <c r="B30" s="43" t="inlineStr">
        <is>
          <t>シャッター付引違い窓</t>
        </is>
      </c>
      <c r="C30" s="43" t="inlineStr">
        <is>
          <t>SP-SL-SHUT-E-VENT</t>
        </is>
      </c>
      <c r="D30" s="43" t="inlineStr">
        <is>
          <t>在来・204</t>
        </is>
      </c>
      <c r="E30" s="43" t="inlineStr">
        <is>
          <t>17611</t>
        </is>
      </c>
      <c r="F30" s="43" t="inlineStr">
        <is>
          <t>176</t>
        </is>
      </c>
      <c r="G30" s="43" t="inlineStr">
        <is>
          <t>11</t>
        </is>
      </c>
      <c r="H30" s="43" t="n">
        <v>1800</v>
      </c>
      <c r="I30" s="43" t="n">
        <v>1170</v>
      </c>
      <c r="J30" s="43" t="inlineStr">
        <is>
          <t>設定可</t>
        </is>
      </c>
      <c r="K30" s="43" t="b">
        <v>1</v>
      </c>
      <c r="L30" s="43" t="inlineStr">
        <is>
          <t>31</t>
        </is>
      </c>
      <c r="M30" s="43" t="inlineStr">
        <is>
          <t>+¥342,200 / +¥359,100</t>
        </is>
      </c>
    </row>
    <row r="31">
      <c r="A31" s="43" t="inlineStr">
        <is>
          <t>SZ-SL-000216</t>
        </is>
      </c>
      <c r="B31" s="43" t="inlineStr">
        <is>
          <t>シャッター付引違い窓</t>
        </is>
      </c>
      <c r="C31" s="43" t="inlineStr">
        <is>
          <t>SP-SL-SHUT-E-WIND</t>
        </is>
      </c>
      <c r="D31" s="43" t="inlineStr">
        <is>
          <t>在来・204</t>
        </is>
      </c>
      <c r="E31" s="43" t="inlineStr">
        <is>
          <t>15009</t>
        </is>
      </c>
      <c r="F31" s="43" t="inlineStr">
        <is>
          <t>150</t>
        </is>
      </c>
      <c r="G31" s="43" t="inlineStr">
        <is>
          <t>09</t>
        </is>
      </c>
      <c r="H31" s="43" t="n">
        <v>1540</v>
      </c>
      <c r="I31" s="43" t="n">
        <v>970</v>
      </c>
      <c r="J31" s="43" t="inlineStr">
        <is>
          <t>設定可</t>
        </is>
      </c>
      <c r="K31" s="43" t="b">
        <v>1</v>
      </c>
      <c r="L31" s="43" t="inlineStr">
        <is>
          <t>31</t>
        </is>
      </c>
      <c r="M31" s="43" t="inlineStr">
        <is>
          <t>+¥90,800 / +¥95,300</t>
        </is>
      </c>
    </row>
    <row r="32">
      <c r="A32" s="43" t="inlineStr">
        <is>
          <t>SZ-SL-000217</t>
        </is>
      </c>
      <c r="B32" s="43" t="inlineStr">
        <is>
          <t>シャッター付引違い窓</t>
        </is>
      </c>
      <c r="C32" s="43" t="inlineStr">
        <is>
          <t>SP-SL-SHUT-E-WIND</t>
        </is>
      </c>
      <c r="D32" s="43" t="inlineStr">
        <is>
          <t>在来・204</t>
        </is>
      </c>
      <c r="E32" s="43" t="inlineStr">
        <is>
          <t>15011</t>
        </is>
      </c>
      <c r="F32" s="43" t="inlineStr">
        <is>
          <t>150</t>
        </is>
      </c>
      <c r="G32" s="43" t="inlineStr">
        <is>
          <t>11</t>
        </is>
      </c>
      <c r="H32" s="43" t="n">
        <v>1540</v>
      </c>
      <c r="I32" s="43" t="n">
        <v>1170</v>
      </c>
      <c r="J32" s="43" t="inlineStr">
        <is>
          <t>設定可</t>
        </is>
      </c>
      <c r="K32" s="43" t="b">
        <v>1</v>
      </c>
      <c r="L32" s="43" t="inlineStr">
        <is>
          <t>31</t>
        </is>
      </c>
      <c r="M32" s="43" t="inlineStr">
        <is>
          <t>+¥92,600 / +¥97,200</t>
        </is>
      </c>
    </row>
    <row r="33">
      <c r="A33" s="43" t="inlineStr">
        <is>
          <t>SZ-SL-000218</t>
        </is>
      </c>
      <c r="B33" s="43" t="inlineStr">
        <is>
          <t>シャッター付引違い窓</t>
        </is>
      </c>
      <c r="C33" s="43" t="inlineStr">
        <is>
          <t>SP-SL-SHUT-E-WIND</t>
        </is>
      </c>
      <c r="D33" s="43" t="inlineStr">
        <is>
          <t>在来・204</t>
        </is>
      </c>
      <c r="E33" s="43" t="inlineStr">
        <is>
          <t>16009</t>
        </is>
      </c>
      <c r="F33" s="43" t="inlineStr">
        <is>
          <t>160</t>
        </is>
      </c>
      <c r="G33" s="43" t="inlineStr">
        <is>
          <t>09</t>
        </is>
      </c>
      <c r="H33" s="43" t="n">
        <v>1640</v>
      </c>
      <c r="I33" s="43" t="n">
        <v>970</v>
      </c>
      <c r="J33" s="43" t="inlineStr">
        <is>
          <t>設定可</t>
        </is>
      </c>
      <c r="K33" s="43" t="b">
        <v>1</v>
      </c>
      <c r="L33" s="43" t="inlineStr">
        <is>
          <t>31</t>
        </is>
      </c>
      <c r="M33" s="43" t="inlineStr">
        <is>
          <t>+¥92,500 / +¥97,100</t>
        </is>
      </c>
    </row>
    <row r="34">
      <c r="A34" s="43" t="inlineStr">
        <is>
          <t>SZ-SL-000219</t>
        </is>
      </c>
      <c r="B34" s="43" t="inlineStr">
        <is>
          <t>シャッター付引違い窓</t>
        </is>
      </c>
      <c r="C34" s="43" t="inlineStr">
        <is>
          <t>SP-SL-SHUT-E-WIND</t>
        </is>
      </c>
      <c r="D34" s="43" t="inlineStr">
        <is>
          <t>在来・204</t>
        </is>
      </c>
      <c r="E34" s="43" t="inlineStr">
        <is>
          <t>16011</t>
        </is>
      </c>
      <c r="F34" s="43" t="inlineStr">
        <is>
          <t>160</t>
        </is>
      </c>
      <c r="G34" s="43" t="inlineStr">
        <is>
          <t>11</t>
        </is>
      </c>
      <c r="H34" s="43" t="n">
        <v>1640</v>
      </c>
      <c r="I34" s="43" t="n">
        <v>1170</v>
      </c>
      <c r="J34" s="43" t="inlineStr">
        <is>
          <t>設定可</t>
        </is>
      </c>
      <c r="K34" s="43" t="b">
        <v>1</v>
      </c>
      <c r="L34" s="43" t="inlineStr">
        <is>
          <t>31</t>
        </is>
      </c>
      <c r="M34" s="43" t="inlineStr">
        <is>
          <t>+¥94,600 / +¥99,400</t>
        </is>
      </c>
    </row>
    <row r="35">
      <c r="A35" s="43" t="inlineStr">
        <is>
          <t>SZ-SL-000220</t>
        </is>
      </c>
      <c r="B35" s="43" t="inlineStr">
        <is>
          <t>シャッター付引違い窓</t>
        </is>
      </c>
      <c r="C35" s="43" t="inlineStr">
        <is>
          <t>SP-SL-SHUT-E-WIND</t>
        </is>
      </c>
      <c r="D35" s="43" t="inlineStr">
        <is>
          <t>在来・204</t>
        </is>
      </c>
      <c r="E35" s="43" t="inlineStr">
        <is>
          <t>16507</t>
        </is>
      </c>
      <c r="F35" s="43" t="inlineStr">
        <is>
          <t>165</t>
        </is>
      </c>
      <c r="G35" s="43" t="inlineStr">
        <is>
          <t>07</t>
        </is>
      </c>
      <c r="H35" s="43" t="n">
        <v>1690</v>
      </c>
      <c r="I35" s="43" t="n">
        <v>770</v>
      </c>
      <c r="J35" s="43" t="inlineStr">
        <is>
          <t>設定可</t>
        </is>
      </c>
      <c r="K35" s="43" t="b">
        <v>1</v>
      </c>
      <c r="L35" s="43" t="inlineStr">
        <is>
          <t>31</t>
        </is>
      </c>
      <c r="M35" s="43" t="inlineStr">
        <is>
          <t>+¥90,700 / +¥95,200</t>
        </is>
      </c>
    </row>
    <row r="36">
      <c r="A36" s="43" t="inlineStr">
        <is>
          <t>SZ-SL-000221</t>
        </is>
      </c>
      <c r="B36" s="43" t="inlineStr">
        <is>
          <t>シャッター付引違い窓</t>
        </is>
      </c>
      <c r="C36" s="43" t="inlineStr">
        <is>
          <t>SP-SL-SHUT-E-WIND</t>
        </is>
      </c>
      <c r="D36" s="43" t="inlineStr">
        <is>
          <t>在来・204</t>
        </is>
      </c>
      <c r="E36" s="43" t="inlineStr">
        <is>
          <t>16509</t>
        </is>
      </c>
      <c r="F36" s="43" t="inlineStr">
        <is>
          <t>165</t>
        </is>
      </c>
      <c r="G36" s="43" t="inlineStr">
        <is>
          <t>09</t>
        </is>
      </c>
      <c r="H36" s="43" t="n">
        <v>1690</v>
      </c>
      <c r="I36" s="43" t="n">
        <v>970</v>
      </c>
      <c r="J36" s="43" t="inlineStr">
        <is>
          <t>設定可</t>
        </is>
      </c>
      <c r="K36" s="43" t="b">
        <v>1</v>
      </c>
      <c r="L36" s="43" t="inlineStr">
        <is>
          <t>31</t>
        </is>
      </c>
      <c r="M36" s="43" t="inlineStr">
        <is>
          <t>+¥92,500 / +¥97,100</t>
        </is>
      </c>
    </row>
    <row r="37">
      <c r="A37" s="43" t="inlineStr">
        <is>
          <t>SZ-SL-000222</t>
        </is>
      </c>
      <c r="B37" s="43" t="inlineStr">
        <is>
          <t>シャッター付引違い窓</t>
        </is>
      </c>
      <c r="C37" s="43" t="inlineStr">
        <is>
          <t>SP-SL-SHUT-E-WIND</t>
        </is>
      </c>
      <c r="D37" s="43" t="inlineStr">
        <is>
          <t>在来・204</t>
        </is>
      </c>
      <c r="E37" s="43" t="inlineStr">
        <is>
          <t>16511</t>
        </is>
      </c>
      <c r="F37" s="43" t="inlineStr">
        <is>
          <t>165</t>
        </is>
      </c>
      <c r="G37" s="43" t="inlineStr">
        <is>
          <t>11</t>
        </is>
      </c>
      <c r="H37" s="43" t="n">
        <v>1690</v>
      </c>
      <c r="I37" s="43" t="n">
        <v>1170</v>
      </c>
      <c r="J37" s="43" t="inlineStr">
        <is>
          <t>設定可</t>
        </is>
      </c>
      <c r="K37" s="43" t="b">
        <v>1</v>
      </c>
      <c r="L37" s="43" t="inlineStr">
        <is>
          <t>31</t>
        </is>
      </c>
      <c r="M37" s="43" t="inlineStr">
        <is>
          <t>+¥94,600 / +¥99,400</t>
        </is>
      </c>
    </row>
    <row r="38">
      <c r="A38" s="43" t="inlineStr">
        <is>
          <t>SZ-SL-000223</t>
        </is>
      </c>
      <c r="B38" s="43" t="inlineStr">
        <is>
          <t>シャッター付引違い窓</t>
        </is>
      </c>
      <c r="C38" s="43" t="inlineStr">
        <is>
          <t>SP-SL-SHUT-E-WIND</t>
        </is>
      </c>
      <c r="D38" s="43" t="inlineStr">
        <is>
          <t>在来・204</t>
        </is>
      </c>
      <c r="E38" s="43" t="inlineStr">
        <is>
          <t>17409</t>
        </is>
      </c>
      <c r="F38" s="43" t="inlineStr">
        <is>
          <t>174</t>
        </is>
      </c>
      <c r="G38" s="43" t="inlineStr">
        <is>
          <t>09</t>
        </is>
      </c>
      <c r="H38" s="43" t="n">
        <v>1780</v>
      </c>
      <c r="I38" s="43" t="n">
        <v>970</v>
      </c>
      <c r="J38" s="43" t="inlineStr">
        <is>
          <t>設定なし</t>
        </is>
      </c>
      <c r="K38" s="43" t="b">
        <v>0</v>
      </c>
      <c r="L38" s="43" t="inlineStr">
        <is>
          <t>31</t>
        </is>
      </c>
      <c r="M38" s="43" t="inlineStr">
        <is>
          <t>＿＿</t>
        </is>
      </c>
    </row>
    <row r="39">
      <c r="A39" s="43" t="inlineStr">
        <is>
          <t>SZ-SL-000224</t>
        </is>
      </c>
      <c r="B39" s="43" t="inlineStr">
        <is>
          <t>シャッター付引違い窓</t>
        </is>
      </c>
      <c r="C39" s="43" t="inlineStr">
        <is>
          <t>SP-SL-SHUT-E-WIND</t>
        </is>
      </c>
      <c r="D39" s="43" t="inlineStr">
        <is>
          <t>在来・204</t>
        </is>
      </c>
      <c r="E39" s="43" t="inlineStr">
        <is>
          <t>17411</t>
        </is>
      </c>
      <c r="F39" s="43" t="inlineStr">
        <is>
          <t>174</t>
        </is>
      </c>
      <c r="G39" s="43" t="inlineStr">
        <is>
          <t>11</t>
        </is>
      </c>
      <c r="H39" s="43" t="n">
        <v>1780</v>
      </c>
      <c r="I39" s="43" t="n">
        <v>1170</v>
      </c>
      <c r="J39" s="43" t="inlineStr">
        <is>
          <t>設定なし</t>
        </is>
      </c>
      <c r="K39" s="43" t="b">
        <v>0</v>
      </c>
      <c r="L39" s="43" t="inlineStr">
        <is>
          <t>31</t>
        </is>
      </c>
      <c r="M39" s="43" t="inlineStr">
        <is>
          <t>＿＿</t>
        </is>
      </c>
    </row>
    <row r="40">
      <c r="A40" s="43" t="inlineStr">
        <is>
          <t>SZ-SL-000225</t>
        </is>
      </c>
      <c r="B40" s="43" t="inlineStr">
        <is>
          <t>シャッター付引違い窓</t>
        </is>
      </c>
      <c r="C40" s="43" t="inlineStr">
        <is>
          <t>SP-SL-SHUT-E-WIND</t>
        </is>
      </c>
      <c r="D40" s="43" t="inlineStr">
        <is>
          <t>在来・204</t>
        </is>
      </c>
      <c r="E40" s="43" t="inlineStr">
        <is>
          <t>17609</t>
        </is>
      </c>
      <c r="F40" s="43" t="inlineStr">
        <is>
          <t>176</t>
        </is>
      </c>
      <c r="G40" s="43" t="inlineStr">
        <is>
          <t>09</t>
        </is>
      </c>
      <c r="H40" s="43" t="n">
        <v>1800</v>
      </c>
      <c r="I40" s="43" t="n">
        <v>970</v>
      </c>
      <c r="J40" s="43" t="inlineStr">
        <is>
          <t>設定なし</t>
        </is>
      </c>
      <c r="K40" s="43" t="b">
        <v>0</v>
      </c>
      <c r="L40" s="43" t="inlineStr">
        <is>
          <t>31</t>
        </is>
      </c>
      <c r="M40" s="43" t="inlineStr">
        <is>
          <t>＿＿</t>
        </is>
      </c>
    </row>
    <row r="41">
      <c r="A41" s="43" t="inlineStr">
        <is>
          <t>SZ-SL-000226</t>
        </is>
      </c>
      <c r="B41" s="43" t="inlineStr">
        <is>
          <t>シャッター付引違い窓</t>
        </is>
      </c>
      <c r="C41" s="43" t="inlineStr">
        <is>
          <t>SP-SL-SHUT-E-WIND</t>
        </is>
      </c>
      <c r="D41" s="43" t="inlineStr">
        <is>
          <t>在来・204</t>
        </is>
      </c>
      <c r="E41" s="43" t="inlineStr">
        <is>
          <t>17611</t>
        </is>
      </c>
      <c r="F41" s="43" t="inlineStr">
        <is>
          <t>176</t>
        </is>
      </c>
      <c r="G41" s="43" t="inlineStr">
        <is>
          <t>11</t>
        </is>
      </c>
      <c r="H41" s="43" t="n">
        <v>1800</v>
      </c>
      <c r="I41" s="43" t="n">
        <v>1170</v>
      </c>
      <c r="J41" s="43" t="inlineStr">
        <is>
          <t>設定なし</t>
        </is>
      </c>
      <c r="K41" s="43" t="b">
        <v>0</v>
      </c>
      <c r="L41" s="43" t="inlineStr">
        <is>
          <t>31</t>
        </is>
      </c>
      <c r="M41" s="43" t="inlineStr">
        <is>
          <t>＿＿</t>
        </is>
      </c>
    </row>
    <row r="42">
      <c r="A42" s="43" t="inlineStr">
        <is>
          <t>SZ-SL-000231</t>
        </is>
      </c>
      <c r="B42" s="43" t="inlineStr">
        <is>
          <t>シャッター付引違い窓</t>
        </is>
      </c>
      <c r="C42" s="43" t="inlineStr">
        <is>
          <t>SP-SL-SHUT-E-VENT</t>
        </is>
      </c>
      <c r="D42" s="43" t="inlineStr">
        <is>
          <t>在来・204</t>
        </is>
      </c>
      <c r="E42" s="43" t="inlineStr">
        <is>
          <t>18009</t>
        </is>
      </c>
      <c r="F42" s="43" t="inlineStr">
        <is>
          <t>180</t>
        </is>
      </c>
      <c r="G42" s="43" t="inlineStr">
        <is>
          <t>09</t>
        </is>
      </c>
      <c r="H42" s="43" t="n">
        <v>1845</v>
      </c>
      <c r="I42" s="43" t="n">
        <v>970</v>
      </c>
      <c r="J42" s="43" t="inlineStr">
        <is>
          <t>設定可</t>
        </is>
      </c>
      <c r="K42" s="43" t="b">
        <v>1</v>
      </c>
      <c r="L42" s="43" t="inlineStr">
        <is>
          <t>32</t>
        </is>
      </c>
      <c r="M42" s="43" t="inlineStr">
        <is>
          <t>+¥342,300 / +¥359,200</t>
        </is>
      </c>
    </row>
    <row r="43">
      <c r="A43" s="43" t="inlineStr">
        <is>
          <t>SZ-SL-000232</t>
        </is>
      </c>
      <c r="B43" s="43" t="inlineStr">
        <is>
          <t>シャッター付引違い窓</t>
        </is>
      </c>
      <c r="C43" s="43" t="inlineStr">
        <is>
          <t>SP-SL-SHUT-E-VENT</t>
        </is>
      </c>
      <c r="D43" s="43" t="inlineStr">
        <is>
          <t>在来・204</t>
        </is>
      </c>
      <c r="E43" s="43" t="inlineStr">
        <is>
          <t>18011</t>
        </is>
      </c>
      <c r="F43" s="43" t="inlineStr">
        <is>
          <t>180</t>
        </is>
      </c>
      <c r="G43" s="43" t="inlineStr">
        <is>
          <t>11</t>
        </is>
      </c>
      <c r="H43" s="43" t="n">
        <v>1845</v>
      </c>
      <c r="I43" s="43" t="n">
        <v>1170</v>
      </c>
      <c r="J43" s="43" t="inlineStr">
        <is>
          <t>設定可</t>
        </is>
      </c>
      <c r="K43" s="43" t="b">
        <v>1</v>
      </c>
      <c r="L43" s="43" t="inlineStr">
        <is>
          <t>32</t>
        </is>
      </c>
      <c r="M43" s="43" t="inlineStr">
        <is>
          <t>+¥342,200 / +¥359,100</t>
        </is>
      </c>
    </row>
    <row r="44">
      <c r="A44" s="43" t="inlineStr">
        <is>
          <t>SZ-SL-000233</t>
        </is>
      </c>
      <c r="B44" s="43" t="inlineStr">
        <is>
          <t>シャッター付引違い窓</t>
        </is>
      </c>
      <c r="C44" s="43" t="inlineStr">
        <is>
          <t>SP-SL-SHUT-E-VENT</t>
        </is>
      </c>
      <c r="D44" s="43" t="inlineStr">
        <is>
          <t>在来・204</t>
        </is>
      </c>
      <c r="E44" s="43" t="inlineStr">
        <is>
          <t>18609</t>
        </is>
      </c>
      <c r="F44" s="43" t="inlineStr">
        <is>
          <t>186</t>
        </is>
      </c>
      <c r="G44" s="43" t="inlineStr">
        <is>
          <t>09</t>
        </is>
      </c>
      <c r="H44" s="43" t="n">
        <v>1900</v>
      </c>
      <c r="I44" s="43" t="n">
        <v>970</v>
      </c>
      <c r="J44" s="43" t="inlineStr">
        <is>
          <t>設定可</t>
        </is>
      </c>
      <c r="K44" s="43" t="b">
        <v>1</v>
      </c>
      <c r="L44" s="43" t="inlineStr">
        <is>
          <t>32</t>
        </is>
      </c>
      <c r="M44" s="43" t="inlineStr">
        <is>
          <t>+¥342,300 / +¥359,200</t>
        </is>
      </c>
    </row>
    <row r="45">
      <c r="A45" s="43" t="inlineStr">
        <is>
          <t>SZ-SL-000234</t>
        </is>
      </c>
      <c r="B45" s="43" t="inlineStr">
        <is>
          <t>シャッター付引違い窓</t>
        </is>
      </c>
      <c r="C45" s="43" t="inlineStr">
        <is>
          <t>SP-SL-SHUT-E-VENT</t>
        </is>
      </c>
      <c r="D45" s="43" t="inlineStr">
        <is>
          <t>在来・204</t>
        </is>
      </c>
      <c r="E45" s="43" t="inlineStr">
        <is>
          <t>18611</t>
        </is>
      </c>
      <c r="F45" s="43" t="inlineStr">
        <is>
          <t>186</t>
        </is>
      </c>
      <c r="G45" s="43" t="inlineStr">
        <is>
          <t>11</t>
        </is>
      </c>
      <c r="H45" s="43" t="n">
        <v>1900</v>
      </c>
      <c r="I45" s="43" t="n">
        <v>1170</v>
      </c>
      <c r="J45" s="43" t="inlineStr">
        <is>
          <t>設定可</t>
        </is>
      </c>
      <c r="K45" s="43" t="b">
        <v>1</v>
      </c>
      <c r="L45" s="43" t="inlineStr">
        <is>
          <t>32</t>
        </is>
      </c>
      <c r="M45" s="43" t="inlineStr">
        <is>
          <t>+¥342,200 / +¥359,100</t>
        </is>
      </c>
    </row>
    <row r="46">
      <c r="A46" s="43" t="inlineStr">
        <is>
          <t>SZ-SL-000235</t>
        </is>
      </c>
      <c r="B46" s="43" t="inlineStr">
        <is>
          <t>シャッター付引違い窓</t>
        </is>
      </c>
      <c r="C46" s="43" t="inlineStr">
        <is>
          <t>SP-SL-SHUT-E-WIND</t>
        </is>
      </c>
      <c r="D46" s="43" t="inlineStr">
        <is>
          <t>在来・204</t>
        </is>
      </c>
      <c r="E46" s="43" t="inlineStr">
        <is>
          <t>18009</t>
        </is>
      </c>
      <c r="F46" s="43" t="inlineStr">
        <is>
          <t>180</t>
        </is>
      </c>
      <c r="G46" s="43" t="inlineStr">
        <is>
          <t>09</t>
        </is>
      </c>
      <c r="H46" s="43" t="n">
        <v>1845</v>
      </c>
      <c r="I46" s="43" t="n">
        <v>970</v>
      </c>
      <c r="J46" s="43" t="inlineStr">
        <is>
          <t>設定なし</t>
        </is>
      </c>
      <c r="K46" s="43" t="b">
        <v>0</v>
      </c>
      <c r="L46" s="43" t="inlineStr">
        <is>
          <t>32</t>
        </is>
      </c>
      <c r="M46" s="43" t="inlineStr">
        <is>
          <t>＿＿</t>
        </is>
      </c>
    </row>
    <row r="47">
      <c r="A47" s="43" t="inlineStr">
        <is>
          <t>SZ-SL-000236</t>
        </is>
      </c>
      <c r="B47" s="43" t="inlineStr">
        <is>
          <t>シャッター付引違い窓</t>
        </is>
      </c>
      <c r="C47" s="43" t="inlineStr">
        <is>
          <t>SP-SL-SHUT-E-WIND</t>
        </is>
      </c>
      <c r="D47" s="43" t="inlineStr">
        <is>
          <t>在来・204</t>
        </is>
      </c>
      <c r="E47" s="43" t="inlineStr">
        <is>
          <t>18011</t>
        </is>
      </c>
      <c r="F47" s="43" t="inlineStr">
        <is>
          <t>180</t>
        </is>
      </c>
      <c r="G47" s="43" t="inlineStr">
        <is>
          <t>11</t>
        </is>
      </c>
      <c r="H47" s="43" t="n">
        <v>1845</v>
      </c>
      <c r="I47" s="43" t="n">
        <v>1170</v>
      </c>
      <c r="J47" s="43" t="inlineStr">
        <is>
          <t>設定なし</t>
        </is>
      </c>
      <c r="K47" s="43" t="b">
        <v>0</v>
      </c>
      <c r="L47" s="43" t="inlineStr">
        <is>
          <t>32</t>
        </is>
      </c>
      <c r="M47" s="43" t="inlineStr">
        <is>
          <t>＿＿</t>
        </is>
      </c>
    </row>
    <row r="48">
      <c r="A48" s="43" t="inlineStr">
        <is>
          <t>SZ-SL-000237</t>
        </is>
      </c>
      <c r="B48" s="43" t="inlineStr">
        <is>
          <t>シャッター付引違い窓</t>
        </is>
      </c>
      <c r="C48" s="43" t="inlineStr">
        <is>
          <t>SP-SL-SHUT-E-WIND</t>
        </is>
      </c>
      <c r="D48" s="43" t="inlineStr">
        <is>
          <t>在来・204</t>
        </is>
      </c>
      <c r="E48" s="43" t="inlineStr">
        <is>
          <t>18609</t>
        </is>
      </c>
      <c r="F48" s="43" t="inlineStr">
        <is>
          <t>186</t>
        </is>
      </c>
      <c r="G48" s="43" t="inlineStr">
        <is>
          <t>09</t>
        </is>
      </c>
      <c r="H48" s="43" t="n">
        <v>1900</v>
      </c>
      <c r="I48" s="43" t="n">
        <v>970</v>
      </c>
      <c r="J48" s="43" t="inlineStr">
        <is>
          <t>設定なし</t>
        </is>
      </c>
      <c r="K48" s="43" t="b">
        <v>0</v>
      </c>
      <c r="L48" s="43" t="inlineStr">
        <is>
          <t>32</t>
        </is>
      </c>
      <c r="M48" s="43" t="inlineStr">
        <is>
          <t>＿＿</t>
        </is>
      </c>
    </row>
    <row r="49">
      <c r="A49" s="43" t="inlineStr">
        <is>
          <t>SZ-SL-000238</t>
        </is>
      </c>
      <c r="B49" s="43" t="inlineStr">
        <is>
          <t>シャッター付引違い窓</t>
        </is>
      </c>
      <c r="C49" s="43" t="inlineStr">
        <is>
          <t>SP-SL-SHUT-E-WIND</t>
        </is>
      </c>
      <c r="D49" s="43" t="inlineStr">
        <is>
          <t>在来・204</t>
        </is>
      </c>
      <c r="E49" s="43" t="inlineStr">
        <is>
          <t>18611</t>
        </is>
      </c>
      <c r="F49" s="43" t="inlineStr">
        <is>
          <t>186</t>
        </is>
      </c>
      <c r="G49" s="43" t="inlineStr">
        <is>
          <t>11</t>
        </is>
      </c>
      <c r="H49" s="43" t="n">
        <v>1900</v>
      </c>
      <c r="I49" s="43" t="n">
        <v>1170</v>
      </c>
      <c r="J49" s="43" t="inlineStr">
        <is>
          <t>設定なし</t>
        </is>
      </c>
      <c r="K49" s="43" t="b">
        <v>0</v>
      </c>
      <c r="L49" s="43" t="inlineStr">
        <is>
          <t>32</t>
        </is>
      </c>
      <c r="M49" s="43" t="inlineStr">
        <is>
          <t>＿＿</t>
        </is>
      </c>
    </row>
    <row r="50">
      <c r="A50" s="43" t="inlineStr">
        <is>
          <t>SZ-SL-000243</t>
        </is>
      </c>
      <c r="B50" s="43" t="inlineStr">
        <is>
          <t>シャッター付引違い窓</t>
        </is>
      </c>
      <c r="C50" s="43" t="inlineStr">
        <is>
          <t>SP-SL-SHUT-E-VENT</t>
        </is>
      </c>
      <c r="D50" s="43" t="inlineStr">
        <is>
          <t>在来・204</t>
        </is>
      </c>
      <c r="E50" s="43" t="inlineStr">
        <is>
          <t>25111-2</t>
        </is>
      </c>
      <c r="F50" s="43" t="inlineStr">
        <is>
          <t>251-2</t>
        </is>
      </c>
      <c r="G50" s="43" t="inlineStr">
        <is>
          <t>11</t>
        </is>
      </c>
      <c r="H50" s="43" t="n">
        <v>2550</v>
      </c>
      <c r="I50" s="43" t="n">
        <v>1170</v>
      </c>
      <c r="J50" s="43" t="inlineStr">
        <is>
          <t>設定可</t>
        </is>
      </c>
      <c r="K50" s="43" t="b">
        <v>1</v>
      </c>
      <c r="L50" s="43" t="inlineStr">
        <is>
          <t>33</t>
        </is>
      </c>
      <c r="M50" s="43" t="inlineStr">
        <is>
          <t>+¥341,400 / +¥358,400</t>
        </is>
      </c>
    </row>
    <row r="51">
      <c r="A51" s="43" t="inlineStr">
        <is>
          <t>SZ-SL-000244</t>
        </is>
      </c>
      <c r="B51" s="43" t="inlineStr">
        <is>
          <t>シャッター付引違い窓</t>
        </is>
      </c>
      <c r="C51" s="43" t="inlineStr">
        <is>
          <t>SP-SL-SHUT-E-VENT</t>
        </is>
      </c>
      <c r="D51" s="43" t="inlineStr">
        <is>
          <t>在来・204</t>
        </is>
      </c>
      <c r="E51" s="43" t="inlineStr">
        <is>
          <t>25111-4</t>
        </is>
      </c>
      <c r="F51" s="43" t="inlineStr">
        <is>
          <t>251-4</t>
        </is>
      </c>
      <c r="G51" s="43" t="inlineStr">
        <is>
          <t>11</t>
        </is>
      </c>
      <c r="H51" s="43" t="n">
        <v>2550</v>
      </c>
      <c r="I51" s="43" t="n">
        <v>1170</v>
      </c>
      <c r="J51" s="43" t="inlineStr">
        <is>
          <t>設定可</t>
        </is>
      </c>
      <c r="K51" s="43" t="b">
        <v>1</v>
      </c>
      <c r="L51" s="43" t="inlineStr">
        <is>
          <t>33</t>
        </is>
      </c>
      <c r="M51" s="43" t="inlineStr">
        <is>
          <t>+¥341,400 / +¥358,400</t>
        </is>
      </c>
    </row>
    <row r="52">
      <c r="A52" s="43" t="inlineStr">
        <is>
          <t>SZ-SL-000245</t>
        </is>
      </c>
      <c r="B52" s="43" t="inlineStr">
        <is>
          <t>シャッター付引違い窓</t>
        </is>
      </c>
      <c r="C52" s="43" t="inlineStr">
        <is>
          <t>SP-SL-SHUT-E-VENT</t>
        </is>
      </c>
      <c r="D52" s="43" t="inlineStr">
        <is>
          <t>在来・204</t>
        </is>
      </c>
      <c r="E52" s="43" t="inlineStr">
        <is>
          <t>25611-2</t>
        </is>
      </c>
      <c r="F52" s="43" t="inlineStr">
        <is>
          <t>256-2</t>
        </is>
      </c>
      <c r="G52" s="43" t="inlineStr">
        <is>
          <t>11</t>
        </is>
      </c>
      <c r="H52" s="43" t="n">
        <v>2600</v>
      </c>
      <c r="I52" s="43" t="n">
        <v>1170</v>
      </c>
      <c r="J52" s="43" t="inlineStr">
        <is>
          <t>設定可</t>
        </is>
      </c>
      <c r="K52" s="43" t="b">
        <v>1</v>
      </c>
      <c r="L52" s="43" t="inlineStr">
        <is>
          <t>33</t>
        </is>
      </c>
      <c r="M52" s="43" t="inlineStr">
        <is>
          <t>+¥341,400 / +¥358,400</t>
        </is>
      </c>
    </row>
    <row r="53">
      <c r="A53" s="43" t="inlineStr">
        <is>
          <t>SZ-SL-000246</t>
        </is>
      </c>
      <c r="B53" s="43" t="inlineStr">
        <is>
          <t>シャッター付引違い窓</t>
        </is>
      </c>
      <c r="C53" s="43" t="inlineStr">
        <is>
          <t>SP-SL-SHUT-E-VENT</t>
        </is>
      </c>
      <c r="D53" s="43" t="inlineStr">
        <is>
          <t>在来・204</t>
        </is>
      </c>
      <c r="E53" s="43" t="inlineStr">
        <is>
          <t>25611-4</t>
        </is>
      </c>
      <c r="F53" s="43" t="inlineStr">
        <is>
          <t>256-4</t>
        </is>
      </c>
      <c r="G53" s="43" t="inlineStr">
        <is>
          <t>11</t>
        </is>
      </c>
      <c r="H53" s="43" t="n">
        <v>2600</v>
      </c>
      <c r="I53" s="43" t="n">
        <v>1170</v>
      </c>
      <c r="J53" s="43" t="inlineStr">
        <is>
          <t>設定可</t>
        </is>
      </c>
      <c r="K53" s="43" t="b">
        <v>1</v>
      </c>
      <c r="L53" s="43" t="inlineStr">
        <is>
          <t>33</t>
        </is>
      </c>
      <c r="M53" s="43" t="inlineStr">
        <is>
          <t>+¥341,400 / +¥358,400</t>
        </is>
      </c>
    </row>
    <row r="54">
      <c r="A54" s="43" t="inlineStr">
        <is>
          <t>SZ-SL-000247</t>
        </is>
      </c>
      <c r="B54" s="43" t="inlineStr">
        <is>
          <t>シャッター付引違い窓</t>
        </is>
      </c>
      <c r="C54" s="43" t="inlineStr">
        <is>
          <t>SP-SL-SHUT-E-WIND</t>
        </is>
      </c>
      <c r="D54" s="43" t="inlineStr">
        <is>
          <t>在来・204</t>
        </is>
      </c>
      <c r="E54" s="43" t="inlineStr">
        <is>
          <t>25111-2</t>
        </is>
      </c>
      <c r="F54" s="43" t="inlineStr">
        <is>
          <t>251-2</t>
        </is>
      </c>
      <c r="G54" s="43" t="inlineStr">
        <is>
          <t>11</t>
        </is>
      </c>
      <c r="H54" s="43" t="n">
        <v>2550</v>
      </c>
      <c r="I54" s="43" t="n">
        <v>1170</v>
      </c>
      <c r="J54" s="43" t="inlineStr">
        <is>
          <t>設定可</t>
        </is>
      </c>
      <c r="K54" s="43" t="b">
        <v>1</v>
      </c>
      <c r="L54" s="43" t="inlineStr">
        <is>
          <t>33</t>
        </is>
      </c>
      <c r="M54" s="43" t="inlineStr">
        <is>
          <t>+¥157,600 / +¥165,600</t>
        </is>
      </c>
    </row>
    <row r="55">
      <c r="A55" s="43" t="inlineStr">
        <is>
          <t>SZ-SL-000248</t>
        </is>
      </c>
      <c r="B55" s="43" t="inlineStr">
        <is>
          <t>シャッター付引違い窓</t>
        </is>
      </c>
      <c r="C55" s="43" t="inlineStr">
        <is>
          <t>SP-SL-SHUT-E-WIND</t>
        </is>
      </c>
      <c r="D55" s="43" t="inlineStr">
        <is>
          <t>在来・204</t>
        </is>
      </c>
      <c r="E55" s="43" t="inlineStr">
        <is>
          <t>25111-4</t>
        </is>
      </c>
      <c r="F55" s="43" t="inlineStr">
        <is>
          <t>251-4</t>
        </is>
      </c>
      <c r="G55" s="43" t="inlineStr">
        <is>
          <t>11</t>
        </is>
      </c>
      <c r="H55" s="43" t="n">
        <v>2550</v>
      </c>
      <c r="I55" s="43" t="n">
        <v>1170</v>
      </c>
      <c r="J55" s="43" t="inlineStr">
        <is>
          <t>設定可</t>
        </is>
      </c>
      <c r="K55" s="43" t="b">
        <v>1</v>
      </c>
      <c r="L55" s="43" t="inlineStr">
        <is>
          <t>33</t>
        </is>
      </c>
      <c r="M55" s="43" t="inlineStr">
        <is>
          <t>+¥157,600 / +¥165,600</t>
        </is>
      </c>
    </row>
    <row r="56">
      <c r="A56" s="43" t="inlineStr">
        <is>
          <t>SZ-SL-000249</t>
        </is>
      </c>
      <c r="B56" s="43" t="inlineStr">
        <is>
          <t>シャッター付引違い窓</t>
        </is>
      </c>
      <c r="C56" s="43" t="inlineStr">
        <is>
          <t>SP-SL-SHUT-E-WIND</t>
        </is>
      </c>
      <c r="D56" s="43" t="inlineStr">
        <is>
          <t>在来・204</t>
        </is>
      </c>
      <c r="E56" s="43" t="inlineStr">
        <is>
          <t>25611-2</t>
        </is>
      </c>
      <c r="F56" s="43" t="inlineStr">
        <is>
          <t>256-2</t>
        </is>
      </c>
      <c r="G56" s="43" t="inlineStr">
        <is>
          <t>11</t>
        </is>
      </c>
      <c r="H56" s="43" t="n">
        <v>2600</v>
      </c>
      <c r="I56" s="43" t="n">
        <v>1170</v>
      </c>
      <c r="J56" s="43" t="inlineStr">
        <is>
          <t>設定可</t>
        </is>
      </c>
      <c r="K56" s="43" t="b">
        <v>1</v>
      </c>
      <c r="L56" s="43" t="inlineStr">
        <is>
          <t>33</t>
        </is>
      </c>
      <c r="M56" s="43" t="inlineStr">
        <is>
          <t>+¥157,600 / +¥165,600</t>
        </is>
      </c>
    </row>
    <row r="57">
      <c r="A57" s="43" t="inlineStr">
        <is>
          <t>SZ-SL-000250</t>
        </is>
      </c>
      <c r="B57" s="43" t="inlineStr">
        <is>
          <t>シャッター付引違い窓</t>
        </is>
      </c>
      <c r="C57" s="43" t="inlineStr">
        <is>
          <t>SP-SL-SHUT-E-WIND</t>
        </is>
      </c>
      <c r="D57" s="43" t="inlineStr">
        <is>
          <t>在来・204</t>
        </is>
      </c>
      <c r="E57" s="43" t="inlineStr">
        <is>
          <t>25611-4</t>
        </is>
      </c>
      <c r="F57" s="43" t="inlineStr">
        <is>
          <t>256-4</t>
        </is>
      </c>
      <c r="G57" s="43" t="inlineStr">
        <is>
          <t>11</t>
        </is>
      </c>
      <c r="H57" s="43" t="n">
        <v>2600</v>
      </c>
      <c r="I57" s="43" t="n">
        <v>1170</v>
      </c>
      <c r="J57" s="43" t="inlineStr">
        <is>
          <t>設定可</t>
        </is>
      </c>
      <c r="K57" s="43" t="b">
        <v>1</v>
      </c>
      <c r="L57" s="43" t="inlineStr">
        <is>
          <t>33</t>
        </is>
      </c>
      <c r="M57" s="43" t="inlineStr">
        <is>
          <t>+¥157,600 / +¥165,600</t>
        </is>
      </c>
    </row>
    <row r="58">
      <c r="A58" s="43" t="inlineStr">
        <is>
          <t>SZ-SL-000255</t>
        </is>
      </c>
      <c r="B58" s="43" t="inlineStr">
        <is>
          <t>シャッター付引違い窓</t>
        </is>
      </c>
      <c r="C58" s="43" t="inlineStr">
        <is>
          <t>SP-SL-SHUT-E-VENT</t>
        </is>
      </c>
      <c r="D58" s="43" t="inlineStr">
        <is>
          <t>在来・204</t>
        </is>
      </c>
      <c r="E58" s="43" t="inlineStr">
        <is>
          <t>11413</t>
        </is>
      </c>
      <c r="F58" s="43" t="inlineStr">
        <is>
          <t>114</t>
        </is>
      </c>
      <c r="G58" s="43" t="inlineStr">
        <is>
          <t>13</t>
        </is>
      </c>
      <c r="H58" s="43" t="n">
        <v>1185</v>
      </c>
      <c r="I58" s="43" t="n">
        <v>1370</v>
      </c>
      <c r="J58" s="43" t="inlineStr">
        <is>
          <t>設定可</t>
        </is>
      </c>
      <c r="K58" s="43" t="b">
        <v>1</v>
      </c>
      <c r="L58" s="43" t="inlineStr">
        <is>
          <t>34</t>
        </is>
      </c>
      <c r="M58" s="43" t="inlineStr">
        <is>
          <t>+¥340,900 / +¥357,700</t>
        </is>
      </c>
    </row>
    <row r="59">
      <c r="A59" s="43" t="inlineStr">
        <is>
          <t>SZ-SL-000256</t>
        </is>
      </c>
      <c r="B59" s="43" t="inlineStr">
        <is>
          <t>シャッター付引違い窓</t>
        </is>
      </c>
      <c r="C59" s="43" t="inlineStr">
        <is>
          <t>SP-SL-SHUT-E-VENT</t>
        </is>
      </c>
      <c r="D59" s="43" t="inlineStr">
        <is>
          <t>在来・204</t>
        </is>
      </c>
      <c r="E59" s="43" t="inlineStr">
        <is>
          <t>11913</t>
        </is>
      </c>
      <c r="F59" s="43" t="inlineStr">
        <is>
          <t>119</t>
        </is>
      </c>
      <c r="G59" s="43" t="inlineStr">
        <is>
          <t>13</t>
        </is>
      </c>
      <c r="H59" s="43" t="n">
        <v>1235</v>
      </c>
      <c r="I59" s="43" t="n">
        <v>1370</v>
      </c>
      <c r="J59" s="43" t="inlineStr">
        <is>
          <t>設定可</t>
        </is>
      </c>
      <c r="K59" s="43" t="b">
        <v>1</v>
      </c>
      <c r="L59" s="43" t="inlineStr">
        <is>
          <t>34</t>
        </is>
      </c>
      <c r="M59" s="43" t="inlineStr">
        <is>
          <t>+¥340,900 / +¥357,700</t>
        </is>
      </c>
    </row>
    <row r="60">
      <c r="A60" s="43" t="inlineStr">
        <is>
          <t>SZ-SL-000257</t>
        </is>
      </c>
      <c r="B60" s="43" t="inlineStr">
        <is>
          <t>シャッター付引違い窓</t>
        </is>
      </c>
      <c r="C60" s="43" t="inlineStr">
        <is>
          <t>SP-SL-SHUT-E-VENT</t>
        </is>
      </c>
      <c r="D60" s="43" t="inlineStr">
        <is>
          <t>在来・204</t>
        </is>
      </c>
      <c r="E60" s="43" t="inlineStr">
        <is>
          <t>12813</t>
        </is>
      </c>
      <c r="F60" s="43" t="inlineStr">
        <is>
          <t>128</t>
        </is>
      </c>
      <c r="G60" s="43" t="inlineStr">
        <is>
          <t>13</t>
        </is>
      </c>
      <c r="H60" s="43" t="n">
        <v>1320</v>
      </c>
      <c r="I60" s="43" t="n">
        <v>1370</v>
      </c>
      <c r="J60" s="43" t="inlineStr">
        <is>
          <t>設定可</t>
        </is>
      </c>
      <c r="K60" s="43" t="b">
        <v>1</v>
      </c>
      <c r="L60" s="43" t="inlineStr">
        <is>
          <t>34</t>
        </is>
      </c>
      <c r="M60" s="43" t="inlineStr">
        <is>
          <t>+¥340,600 / +¥357,600</t>
        </is>
      </c>
    </row>
    <row r="61">
      <c r="A61" s="43" t="inlineStr">
        <is>
          <t>SZ-SL-000258</t>
        </is>
      </c>
      <c r="B61" s="43" t="inlineStr">
        <is>
          <t>シャッター付引違い窓</t>
        </is>
      </c>
      <c r="C61" s="43" t="inlineStr">
        <is>
          <t>SP-SL-SHUT-E-VENT</t>
        </is>
      </c>
      <c r="D61" s="43" t="inlineStr">
        <is>
          <t>在来・204</t>
        </is>
      </c>
      <c r="E61" s="43" t="inlineStr">
        <is>
          <t>13313</t>
        </is>
      </c>
      <c r="F61" s="43" t="inlineStr">
        <is>
          <t>133</t>
        </is>
      </c>
      <c r="G61" s="43" t="inlineStr">
        <is>
          <t>13</t>
        </is>
      </c>
      <c r="H61" s="43" t="n">
        <v>1370</v>
      </c>
      <c r="I61" s="43" t="n">
        <v>1370</v>
      </c>
      <c r="J61" s="43" t="inlineStr">
        <is>
          <t>設定可</t>
        </is>
      </c>
      <c r="K61" s="43" t="b">
        <v>1</v>
      </c>
      <c r="L61" s="43" t="inlineStr">
        <is>
          <t>34</t>
        </is>
      </c>
      <c r="M61" s="43" t="inlineStr">
        <is>
          <t>+¥340,600 / +¥357,600</t>
        </is>
      </c>
    </row>
    <row r="62">
      <c r="A62" s="43" t="inlineStr">
        <is>
          <t>SZ-SL-000259</t>
        </is>
      </c>
      <c r="B62" s="43" t="inlineStr">
        <is>
          <t>シャッター付引違い窓</t>
        </is>
      </c>
      <c r="C62" s="43" t="inlineStr">
        <is>
          <t>SP-SL-SHUT-E-WIND</t>
        </is>
      </c>
      <c r="D62" s="43" t="inlineStr">
        <is>
          <t>在来・204</t>
        </is>
      </c>
      <c r="E62" s="43" t="inlineStr">
        <is>
          <t>11413</t>
        </is>
      </c>
      <c r="F62" s="43" t="inlineStr">
        <is>
          <t>114</t>
        </is>
      </c>
      <c r="G62" s="43" t="inlineStr">
        <is>
          <t>13</t>
        </is>
      </c>
      <c r="H62" s="43" t="n">
        <v>1185</v>
      </c>
      <c r="I62" s="43" t="n">
        <v>1370</v>
      </c>
      <c r="J62" s="43" t="inlineStr">
        <is>
          <t>設定可</t>
        </is>
      </c>
      <c r="K62" s="43" t="b">
        <v>1</v>
      </c>
      <c r="L62" s="43" t="inlineStr">
        <is>
          <t>34</t>
        </is>
      </c>
      <c r="M62" s="43" t="inlineStr">
        <is>
          <t>+¥88,100 / +¥92,400</t>
        </is>
      </c>
    </row>
    <row r="63">
      <c r="A63" s="43" t="inlineStr">
        <is>
          <t>SZ-SL-000260</t>
        </is>
      </c>
      <c r="B63" s="43" t="inlineStr">
        <is>
          <t>シャッター付引違い窓</t>
        </is>
      </c>
      <c r="C63" s="43" t="inlineStr">
        <is>
          <t>SP-SL-SHUT-E-WIND</t>
        </is>
      </c>
      <c r="D63" s="43" t="inlineStr">
        <is>
          <t>在来・204</t>
        </is>
      </c>
      <c r="E63" s="43" t="inlineStr">
        <is>
          <t>11913</t>
        </is>
      </c>
      <c r="F63" s="43" t="inlineStr">
        <is>
          <t>119</t>
        </is>
      </c>
      <c r="G63" s="43" t="inlineStr">
        <is>
          <t>13</t>
        </is>
      </c>
      <c r="H63" s="43" t="n">
        <v>1235</v>
      </c>
      <c r="I63" s="43" t="n">
        <v>1370</v>
      </c>
      <c r="J63" s="43" t="inlineStr">
        <is>
          <t>設定可</t>
        </is>
      </c>
      <c r="K63" s="43" t="b">
        <v>1</v>
      </c>
      <c r="L63" s="43" t="inlineStr">
        <is>
          <t>34</t>
        </is>
      </c>
      <c r="M63" s="43" t="inlineStr">
        <is>
          <t>+¥88,100 / +¥92,400</t>
        </is>
      </c>
    </row>
    <row r="64">
      <c r="A64" s="43" t="inlineStr">
        <is>
          <t>SZ-SL-000261</t>
        </is>
      </c>
      <c r="B64" s="43" t="inlineStr">
        <is>
          <t>シャッター付引違い窓</t>
        </is>
      </c>
      <c r="C64" s="43" t="inlineStr">
        <is>
          <t>SP-SL-SHUT-E-WIND</t>
        </is>
      </c>
      <c r="D64" s="43" t="inlineStr">
        <is>
          <t>在来・204</t>
        </is>
      </c>
      <c r="E64" s="43" t="inlineStr">
        <is>
          <t>12813</t>
        </is>
      </c>
      <c r="F64" s="43" t="inlineStr">
        <is>
          <t>128</t>
        </is>
      </c>
      <c r="G64" s="43" t="inlineStr">
        <is>
          <t>13</t>
        </is>
      </c>
      <c r="H64" s="43" t="n">
        <v>1320</v>
      </c>
      <c r="I64" s="43" t="n">
        <v>1370</v>
      </c>
      <c r="J64" s="43" t="inlineStr">
        <is>
          <t>設定なし</t>
        </is>
      </c>
      <c r="K64" s="43" t="b">
        <v>0</v>
      </c>
      <c r="L64" s="43" t="inlineStr">
        <is>
          <t>34</t>
        </is>
      </c>
      <c r="M64" s="43" t="inlineStr">
        <is>
          <t>＿＿</t>
        </is>
      </c>
    </row>
    <row r="65">
      <c r="A65" s="43" t="inlineStr">
        <is>
          <t>SZ-SL-000262</t>
        </is>
      </c>
      <c r="B65" s="43" t="inlineStr">
        <is>
          <t>シャッター付引違い窓</t>
        </is>
      </c>
      <c r="C65" s="43" t="inlineStr">
        <is>
          <t>SP-SL-SHUT-E-WIND</t>
        </is>
      </c>
      <c r="D65" s="43" t="inlineStr">
        <is>
          <t>在来・204</t>
        </is>
      </c>
      <c r="E65" s="43" t="inlineStr">
        <is>
          <t>13313</t>
        </is>
      </c>
      <c r="F65" s="43" t="inlineStr">
        <is>
          <t>133</t>
        </is>
      </c>
      <c r="G65" s="43" t="inlineStr">
        <is>
          <t>13</t>
        </is>
      </c>
      <c r="H65" s="43" t="n">
        <v>1370</v>
      </c>
      <c r="I65" s="43" t="n">
        <v>1370</v>
      </c>
      <c r="J65" s="43" t="inlineStr">
        <is>
          <t>設定なし</t>
        </is>
      </c>
      <c r="K65" s="43" t="b">
        <v>0</v>
      </c>
      <c r="L65" s="43" t="inlineStr">
        <is>
          <t>34</t>
        </is>
      </c>
      <c r="M65" s="43" t="inlineStr">
        <is>
          <t>＿＿</t>
        </is>
      </c>
    </row>
    <row r="66">
      <c r="A66" s="43" t="inlineStr">
        <is>
          <t>SZ-SL-000271</t>
        </is>
      </c>
      <c r="B66" s="43" t="inlineStr">
        <is>
          <t>シャッター付引違い窓</t>
        </is>
      </c>
      <c r="C66" s="43" t="inlineStr">
        <is>
          <t>SP-SL-SHUT-E-VENT</t>
        </is>
      </c>
      <c r="D66" s="43" t="inlineStr">
        <is>
          <t>在来・204</t>
        </is>
      </c>
      <c r="E66" s="43" t="inlineStr">
        <is>
          <t>15013</t>
        </is>
      </c>
      <c r="F66" s="43" t="inlineStr">
        <is>
          <t>150</t>
        </is>
      </c>
      <c r="G66" s="43" t="inlineStr">
        <is>
          <t>13</t>
        </is>
      </c>
      <c r="H66" s="43" t="n">
        <v>1540</v>
      </c>
      <c r="I66" s="43" t="n">
        <v>1370</v>
      </c>
      <c r="J66" s="43" t="inlineStr">
        <is>
          <t>設定可</t>
        </is>
      </c>
      <c r="K66" s="43" t="b">
        <v>1</v>
      </c>
      <c r="L66" s="43" t="inlineStr">
        <is>
          <t>35</t>
        </is>
      </c>
      <c r="M66" s="43" t="inlineStr">
        <is>
          <t>+¥340,900 / +¥357,800</t>
        </is>
      </c>
    </row>
    <row r="67">
      <c r="A67" s="43" t="inlineStr">
        <is>
          <t>SZ-SL-000272</t>
        </is>
      </c>
      <c r="B67" s="43" t="inlineStr">
        <is>
          <t>シャッター付引違い窓</t>
        </is>
      </c>
      <c r="C67" s="43" t="inlineStr">
        <is>
          <t>SP-SL-SHUT-E-VENT</t>
        </is>
      </c>
      <c r="D67" s="43" t="inlineStr">
        <is>
          <t>在来・204</t>
        </is>
      </c>
      <c r="E67" s="43" t="inlineStr">
        <is>
          <t>15015</t>
        </is>
      </c>
      <c r="F67" s="43" t="inlineStr">
        <is>
          <t>150</t>
        </is>
      </c>
      <c r="G67" s="43" t="inlineStr">
        <is>
          <t>15</t>
        </is>
      </c>
      <c r="H67" s="43" t="n">
        <v>1540</v>
      </c>
      <c r="I67" s="43" t="n">
        <v>1570</v>
      </c>
      <c r="J67" s="43" t="inlineStr">
        <is>
          <t>設定可</t>
        </is>
      </c>
      <c r="K67" s="43" t="b">
        <v>1</v>
      </c>
      <c r="L67" s="43" t="inlineStr">
        <is>
          <t>35</t>
        </is>
      </c>
      <c r="M67" s="43" t="inlineStr">
        <is>
          <t>+¥340,700 / +¥358,000</t>
        </is>
      </c>
    </row>
    <row r="68">
      <c r="A68" s="43" t="inlineStr">
        <is>
          <t>SZ-SL-000273</t>
        </is>
      </c>
      <c r="B68" s="43" t="inlineStr">
        <is>
          <t>シャッター付引違い窓</t>
        </is>
      </c>
      <c r="C68" s="43" t="inlineStr">
        <is>
          <t>SP-SL-SHUT-E-VENT</t>
        </is>
      </c>
      <c r="D68" s="43" t="inlineStr">
        <is>
          <t>在来・204</t>
        </is>
      </c>
      <c r="E68" s="43" t="inlineStr">
        <is>
          <t>16013</t>
        </is>
      </c>
      <c r="F68" s="43" t="inlineStr">
        <is>
          <t>160</t>
        </is>
      </c>
      <c r="G68" s="43" t="inlineStr">
        <is>
          <t>13</t>
        </is>
      </c>
      <c r="H68" s="43" t="n">
        <v>1640</v>
      </c>
      <c r="I68" s="43" t="n">
        <v>1370</v>
      </c>
      <c r="J68" s="43" t="inlineStr">
        <is>
          <t>設定可</t>
        </is>
      </c>
      <c r="K68" s="43" t="b">
        <v>1</v>
      </c>
      <c r="L68" s="43" t="inlineStr">
        <is>
          <t>35</t>
        </is>
      </c>
      <c r="M68" s="43" t="inlineStr">
        <is>
          <t>+¥341,000 / +¥357,900</t>
        </is>
      </c>
    </row>
    <row r="69">
      <c r="A69" s="43" t="inlineStr">
        <is>
          <t>SZ-SL-000274</t>
        </is>
      </c>
      <c r="B69" s="43" t="inlineStr">
        <is>
          <t>シャッター付引違い窓</t>
        </is>
      </c>
      <c r="C69" s="43" t="inlineStr">
        <is>
          <t>SP-SL-SHUT-E-VENT</t>
        </is>
      </c>
      <c r="D69" s="43" t="inlineStr">
        <is>
          <t>在来・204</t>
        </is>
      </c>
      <c r="E69" s="43" t="inlineStr">
        <is>
          <t>16015</t>
        </is>
      </c>
      <c r="F69" s="43" t="inlineStr">
        <is>
          <t>160</t>
        </is>
      </c>
      <c r="G69" s="43" t="inlineStr">
        <is>
          <t>15</t>
        </is>
      </c>
      <c r="H69" s="43" t="n">
        <v>1640</v>
      </c>
      <c r="I69" s="43" t="n">
        <v>1570</v>
      </c>
      <c r="J69" s="43" t="inlineStr">
        <is>
          <t>設定可</t>
        </is>
      </c>
      <c r="K69" s="43" t="b">
        <v>1</v>
      </c>
      <c r="L69" s="43" t="inlineStr">
        <is>
          <t>35</t>
        </is>
      </c>
      <c r="M69" s="43" t="inlineStr">
        <is>
          <t>+¥340,900 / +¥357,900</t>
        </is>
      </c>
    </row>
    <row r="70">
      <c r="A70" s="43" t="inlineStr">
        <is>
          <t>SZ-SL-000275</t>
        </is>
      </c>
      <c r="B70" s="43" t="inlineStr">
        <is>
          <t>シャッター付引違い窓</t>
        </is>
      </c>
      <c r="C70" s="43" t="inlineStr">
        <is>
          <t>SP-SL-SHUT-E-VENT</t>
        </is>
      </c>
      <c r="D70" s="43" t="inlineStr">
        <is>
          <t>在来・204</t>
        </is>
      </c>
      <c r="E70" s="43" t="inlineStr">
        <is>
          <t>16513</t>
        </is>
      </c>
      <c r="F70" s="43" t="inlineStr">
        <is>
          <t>165</t>
        </is>
      </c>
      <c r="G70" s="43" t="inlineStr">
        <is>
          <t>13</t>
        </is>
      </c>
      <c r="H70" s="43" t="n">
        <v>1690</v>
      </c>
      <c r="I70" s="43" t="n">
        <v>1370</v>
      </c>
      <c r="J70" s="43" t="inlineStr">
        <is>
          <t>設定可</t>
        </is>
      </c>
      <c r="K70" s="43" t="b">
        <v>1</v>
      </c>
      <c r="L70" s="43" t="inlineStr">
        <is>
          <t>35</t>
        </is>
      </c>
      <c r="M70" s="43" t="inlineStr">
        <is>
          <t>+¥341,000 / +¥357,900</t>
        </is>
      </c>
    </row>
    <row r="71">
      <c r="A71" s="43" t="inlineStr">
        <is>
          <t>SZ-SL-000276</t>
        </is>
      </c>
      <c r="B71" s="43" t="inlineStr">
        <is>
          <t>シャッター付引違い窓</t>
        </is>
      </c>
      <c r="C71" s="43" t="inlineStr">
        <is>
          <t>SP-SL-SHUT-E-VENT</t>
        </is>
      </c>
      <c r="D71" s="43" t="inlineStr">
        <is>
          <t>在来・204</t>
        </is>
      </c>
      <c r="E71" s="43" t="inlineStr">
        <is>
          <t>16515</t>
        </is>
      </c>
      <c r="F71" s="43" t="inlineStr">
        <is>
          <t>165</t>
        </is>
      </c>
      <c r="G71" s="43" t="inlineStr">
        <is>
          <t>15</t>
        </is>
      </c>
      <c r="H71" s="43" t="n">
        <v>1690</v>
      </c>
      <c r="I71" s="43" t="n">
        <v>1570</v>
      </c>
      <c r="J71" s="43" t="inlineStr">
        <is>
          <t>設定可</t>
        </is>
      </c>
      <c r="K71" s="43" t="b">
        <v>1</v>
      </c>
      <c r="L71" s="43" t="inlineStr">
        <is>
          <t>35</t>
        </is>
      </c>
      <c r="M71" s="43" t="inlineStr">
        <is>
          <t>+¥340,900 / +¥357,900</t>
        </is>
      </c>
    </row>
    <row r="72">
      <c r="A72" s="43" t="inlineStr">
        <is>
          <t>SZ-SL-000277</t>
        </is>
      </c>
      <c r="B72" s="43" t="inlineStr">
        <is>
          <t>シャッター付引違い窓</t>
        </is>
      </c>
      <c r="C72" s="43" t="inlineStr">
        <is>
          <t>SP-SL-SHUT-E-VENT</t>
        </is>
      </c>
      <c r="D72" s="43" t="inlineStr">
        <is>
          <t>在来・204</t>
        </is>
      </c>
      <c r="E72" s="43" t="inlineStr">
        <is>
          <t>17413</t>
        </is>
      </c>
      <c r="F72" s="43" t="inlineStr">
        <is>
          <t>174</t>
        </is>
      </c>
      <c r="G72" s="43" t="inlineStr">
        <is>
          <t>13</t>
        </is>
      </c>
      <c r="H72" s="43" t="n">
        <v>1780</v>
      </c>
      <c r="I72" s="43" t="n">
        <v>1370</v>
      </c>
      <c r="J72" s="43" t="inlineStr">
        <is>
          <t>設定可</t>
        </is>
      </c>
      <c r="K72" s="43" t="b">
        <v>1</v>
      </c>
      <c r="L72" s="43" t="inlineStr">
        <is>
          <t>35</t>
        </is>
      </c>
      <c r="M72" s="43" t="inlineStr">
        <is>
          <t>+¥342,000 / +¥359,100</t>
        </is>
      </c>
    </row>
    <row r="73">
      <c r="A73" s="43" t="inlineStr">
        <is>
          <t>SZ-SL-000278</t>
        </is>
      </c>
      <c r="B73" s="43" t="inlineStr">
        <is>
          <t>シャッター付引違い窓</t>
        </is>
      </c>
      <c r="C73" s="43" t="inlineStr">
        <is>
          <t>SP-SL-SHUT-E-VENT</t>
        </is>
      </c>
      <c r="D73" s="43" t="inlineStr">
        <is>
          <t>在来・204</t>
        </is>
      </c>
      <c r="E73" s="43" t="inlineStr">
        <is>
          <t>17613</t>
        </is>
      </c>
      <c r="F73" s="43" t="inlineStr">
        <is>
          <t>176</t>
        </is>
      </c>
      <c r="G73" s="43" t="inlineStr">
        <is>
          <t>13</t>
        </is>
      </c>
      <c r="H73" s="43" t="n">
        <v>1800</v>
      </c>
      <c r="I73" s="43" t="n">
        <v>1370</v>
      </c>
      <c r="J73" s="43" t="inlineStr">
        <is>
          <t>設定可</t>
        </is>
      </c>
      <c r="K73" s="43" t="b">
        <v>1</v>
      </c>
      <c r="L73" s="43" t="inlineStr">
        <is>
          <t>35</t>
        </is>
      </c>
      <c r="M73" s="43" t="inlineStr">
        <is>
          <t>+¥342,000 / +¥359,100</t>
        </is>
      </c>
    </row>
    <row r="74">
      <c r="A74" s="43" t="inlineStr">
        <is>
          <t>SZ-SL-000279</t>
        </is>
      </c>
      <c r="B74" s="43" t="inlineStr">
        <is>
          <t>シャッター付引違い窓</t>
        </is>
      </c>
      <c r="C74" s="43" t="inlineStr">
        <is>
          <t>SP-SL-SHUT-E-WIND</t>
        </is>
      </c>
      <c r="D74" s="43" t="inlineStr">
        <is>
          <t>在来・204</t>
        </is>
      </c>
      <c r="E74" s="43" t="inlineStr">
        <is>
          <t>15013</t>
        </is>
      </c>
      <c r="F74" s="43" t="inlineStr">
        <is>
          <t>150</t>
        </is>
      </c>
      <c r="G74" s="43" t="inlineStr">
        <is>
          <t>13</t>
        </is>
      </c>
      <c r="H74" s="43" t="n">
        <v>1540</v>
      </c>
      <c r="I74" s="43" t="n">
        <v>1370</v>
      </c>
      <c r="J74" s="43" t="inlineStr">
        <is>
          <t>設定可</t>
        </is>
      </c>
      <c r="K74" s="43" t="b">
        <v>1</v>
      </c>
      <c r="L74" s="43" t="inlineStr">
        <is>
          <t>35</t>
        </is>
      </c>
      <c r="M74" s="43" t="inlineStr">
        <is>
          <t>+¥94,400 / +¥99,200</t>
        </is>
      </c>
    </row>
    <row r="75">
      <c r="A75" s="43" t="inlineStr">
        <is>
          <t>SZ-SL-000280</t>
        </is>
      </c>
      <c r="B75" s="43" t="inlineStr">
        <is>
          <t>シャッター付引違い窓</t>
        </is>
      </c>
      <c r="C75" s="43" t="inlineStr">
        <is>
          <t>SP-SL-SHUT-E-WIND</t>
        </is>
      </c>
      <c r="D75" s="43" t="inlineStr">
        <is>
          <t>在来・204</t>
        </is>
      </c>
      <c r="E75" s="43" t="inlineStr">
        <is>
          <t>15015</t>
        </is>
      </c>
      <c r="F75" s="43" t="inlineStr">
        <is>
          <t>150</t>
        </is>
      </c>
      <c r="G75" s="43" t="inlineStr">
        <is>
          <t>15</t>
        </is>
      </c>
      <c r="H75" s="43" t="n">
        <v>1540</v>
      </c>
      <c r="I75" s="43" t="n">
        <v>1570</v>
      </c>
      <c r="J75" s="43" t="inlineStr">
        <is>
          <t>設定可</t>
        </is>
      </c>
      <c r="K75" s="43" t="b">
        <v>1</v>
      </c>
      <c r="L75" s="43" t="inlineStr">
        <is>
          <t>35</t>
        </is>
      </c>
      <c r="M75" s="43" t="inlineStr">
        <is>
          <t>+¥96,600 / +¥101,500</t>
        </is>
      </c>
    </row>
    <row r="76">
      <c r="A76" s="43" t="inlineStr">
        <is>
          <t>SZ-SL-000281</t>
        </is>
      </c>
      <c r="B76" s="43" t="inlineStr">
        <is>
          <t>シャッター付引違い窓</t>
        </is>
      </c>
      <c r="C76" s="43" t="inlineStr">
        <is>
          <t>SP-SL-SHUT-E-WIND</t>
        </is>
      </c>
      <c r="D76" s="43" t="inlineStr">
        <is>
          <t>在来・204</t>
        </is>
      </c>
      <c r="E76" s="43" t="inlineStr">
        <is>
          <t>16013</t>
        </is>
      </c>
      <c r="F76" s="43" t="inlineStr">
        <is>
          <t>160</t>
        </is>
      </c>
      <c r="G76" s="43" t="inlineStr">
        <is>
          <t>13</t>
        </is>
      </c>
      <c r="H76" s="43" t="n">
        <v>1640</v>
      </c>
      <c r="I76" s="43" t="n">
        <v>1370</v>
      </c>
      <c r="J76" s="43" t="inlineStr">
        <is>
          <t>設定可</t>
        </is>
      </c>
      <c r="K76" s="43" t="b">
        <v>1</v>
      </c>
      <c r="L76" s="43" t="inlineStr">
        <is>
          <t>35</t>
        </is>
      </c>
      <c r="M76" s="43" t="inlineStr">
        <is>
          <t>+¥96,700 / +¥101,400</t>
        </is>
      </c>
    </row>
    <row r="77">
      <c r="A77" s="43" t="inlineStr">
        <is>
          <t>SZ-SL-000282</t>
        </is>
      </c>
      <c r="B77" s="43" t="inlineStr">
        <is>
          <t>シャッター付引違い窓</t>
        </is>
      </c>
      <c r="C77" s="43" t="inlineStr">
        <is>
          <t>SP-SL-SHUT-E-WIND</t>
        </is>
      </c>
      <c r="D77" s="43" t="inlineStr">
        <is>
          <t>在来・204</t>
        </is>
      </c>
      <c r="E77" s="43" t="inlineStr">
        <is>
          <t>16015</t>
        </is>
      </c>
      <c r="F77" s="43" t="inlineStr">
        <is>
          <t>160</t>
        </is>
      </c>
      <c r="G77" s="43" t="inlineStr">
        <is>
          <t>15</t>
        </is>
      </c>
      <c r="H77" s="43" t="n">
        <v>1640</v>
      </c>
      <c r="I77" s="43" t="n">
        <v>1570</v>
      </c>
      <c r="J77" s="43" t="inlineStr">
        <is>
          <t>設定可</t>
        </is>
      </c>
      <c r="K77" s="43" t="b">
        <v>1</v>
      </c>
      <c r="L77" s="43" t="inlineStr">
        <is>
          <t>35</t>
        </is>
      </c>
      <c r="M77" s="43" t="inlineStr">
        <is>
          <t>+¥98,600 / +¥103,300</t>
        </is>
      </c>
    </row>
    <row r="78">
      <c r="A78" s="43" t="inlineStr">
        <is>
          <t>SZ-SL-000283</t>
        </is>
      </c>
      <c r="B78" s="43" t="inlineStr">
        <is>
          <t>シャッター付引違い窓</t>
        </is>
      </c>
      <c r="C78" s="43" t="inlineStr">
        <is>
          <t>SP-SL-SHUT-E-WIND</t>
        </is>
      </c>
      <c r="D78" s="43" t="inlineStr">
        <is>
          <t>在来・204</t>
        </is>
      </c>
      <c r="E78" s="43" t="inlineStr">
        <is>
          <t>16513</t>
        </is>
      </c>
      <c r="F78" s="43" t="inlineStr">
        <is>
          <t>165</t>
        </is>
      </c>
      <c r="G78" s="43" t="inlineStr">
        <is>
          <t>13</t>
        </is>
      </c>
      <c r="H78" s="43" t="n">
        <v>1690</v>
      </c>
      <c r="I78" s="43" t="n">
        <v>1370</v>
      </c>
      <c r="J78" s="43" t="inlineStr">
        <is>
          <t>設定可</t>
        </is>
      </c>
      <c r="K78" s="43" t="b">
        <v>1</v>
      </c>
      <c r="L78" s="43" t="inlineStr">
        <is>
          <t>35</t>
        </is>
      </c>
      <c r="M78" s="43" t="inlineStr">
        <is>
          <t>+¥96,700 / +¥101,400</t>
        </is>
      </c>
    </row>
    <row r="79">
      <c r="A79" s="43" t="inlineStr">
        <is>
          <t>SZ-SL-000284</t>
        </is>
      </c>
      <c r="B79" s="43" t="inlineStr">
        <is>
          <t>シャッター付引違い窓</t>
        </is>
      </c>
      <c r="C79" s="43" t="inlineStr">
        <is>
          <t>SP-SL-SHUT-E-WIND</t>
        </is>
      </c>
      <c r="D79" s="43" t="inlineStr">
        <is>
          <t>在来・204</t>
        </is>
      </c>
      <c r="E79" s="43" t="inlineStr">
        <is>
          <t>16515</t>
        </is>
      </c>
      <c r="F79" s="43" t="inlineStr">
        <is>
          <t>165</t>
        </is>
      </c>
      <c r="G79" s="43" t="inlineStr">
        <is>
          <t>15</t>
        </is>
      </c>
      <c r="H79" s="43" t="n">
        <v>1690</v>
      </c>
      <c r="I79" s="43" t="n">
        <v>1570</v>
      </c>
      <c r="J79" s="43" t="inlineStr">
        <is>
          <t>設定可</t>
        </is>
      </c>
      <c r="K79" s="43" t="b">
        <v>1</v>
      </c>
      <c r="L79" s="43" t="inlineStr">
        <is>
          <t>35</t>
        </is>
      </c>
      <c r="M79" s="43" t="inlineStr">
        <is>
          <t>+¥98,600 / +¥103,300</t>
        </is>
      </c>
    </row>
    <row r="80">
      <c r="A80" s="43" t="inlineStr">
        <is>
          <t>SZ-SL-000285</t>
        </is>
      </c>
      <c r="B80" s="43" t="inlineStr">
        <is>
          <t>シャッター付引違い窓</t>
        </is>
      </c>
      <c r="C80" s="43" t="inlineStr">
        <is>
          <t>SP-SL-SHUT-E-WIND</t>
        </is>
      </c>
      <c r="D80" s="43" t="inlineStr">
        <is>
          <t>在来・204</t>
        </is>
      </c>
      <c r="E80" s="43" t="inlineStr">
        <is>
          <t>17413</t>
        </is>
      </c>
      <c r="F80" s="43" t="inlineStr">
        <is>
          <t>174</t>
        </is>
      </c>
      <c r="G80" s="43" t="inlineStr">
        <is>
          <t>13</t>
        </is>
      </c>
      <c r="H80" s="43" t="n">
        <v>1780</v>
      </c>
      <c r="I80" s="43" t="n">
        <v>1370</v>
      </c>
      <c r="J80" s="43" t="inlineStr">
        <is>
          <t>設定なし</t>
        </is>
      </c>
      <c r="K80" s="43" t="b">
        <v>0</v>
      </c>
      <c r="L80" s="43" t="inlineStr">
        <is>
          <t>35</t>
        </is>
      </c>
      <c r="M80" s="43" t="inlineStr">
        <is>
          <t>＿＿</t>
        </is>
      </c>
    </row>
    <row r="81">
      <c r="A81" s="43" t="inlineStr">
        <is>
          <t>SZ-SL-000286</t>
        </is>
      </c>
      <c r="B81" s="43" t="inlineStr">
        <is>
          <t>シャッター付引違い窓</t>
        </is>
      </c>
      <c r="C81" s="43" t="inlineStr">
        <is>
          <t>SP-SL-SHUT-E-WIND</t>
        </is>
      </c>
      <c r="D81" s="43" t="inlineStr">
        <is>
          <t>在来・204</t>
        </is>
      </c>
      <c r="E81" s="43" t="inlineStr">
        <is>
          <t>17613</t>
        </is>
      </c>
      <c r="F81" s="43" t="inlineStr">
        <is>
          <t>176</t>
        </is>
      </c>
      <c r="G81" s="43" t="inlineStr">
        <is>
          <t>13</t>
        </is>
      </c>
      <c r="H81" s="43" t="n">
        <v>1800</v>
      </c>
      <c r="I81" s="43" t="n">
        <v>1370</v>
      </c>
      <c r="J81" s="43" t="inlineStr">
        <is>
          <t>設定なし</t>
        </is>
      </c>
      <c r="K81" s="43" t="b">
        <v>0</v>
      </c>
      <c r="L81" s="43" t="inlineStr">
        <is>
          <t>35</t>
        </is>
      </c>
      <c r="M81" s="43" t="inlineStr">
        <is>
          <t>＿＿</t>
        </is>
      </c>
    </row>
    <row r="82">
      <c r="A82" s="43" t="inlineStr">
        <is>
          <t>SZ-SL-000289</t>
        </is>
      </c>
      <c r="B82" s="43" t="inlineStr">
        <is>
          <t>シャッター付引違い窓</t>
        </is>
      </c>
      <c r="C82" s="43" t="inlineStr">
        <is>
          <t>SP-SL-SHUT-E-VENT</t>
        </is>
      </c>
      <c r="D82" s="43" t="inlineStr">
        <is>
          <t>在来・204</t>
        </is>
      </c>
      <c r="E82" s="43" t="inlineStr">
        <is>
          <t>18013</t>
        </is>
      </c>
      <c r="F82" s="43" t="inlineStr">
        <is>
          <t>180</t>
        </is>
      </c>
      <c r="G82" s="43" t="inlineStr">
        <is>
          <t>13</t>
        </is>
      </c>
      <c r="H82" s="43" t="n">
        <v>1845</v>
      </c>
      <c r="I82" s="43" t="n">
        <v>1370</v>
      </c>
      <c r="J82" s="43" t="inlineStr">
        <is>
          <t>設定可</t>
        </is>
      </c>
      <c r="K82" s="43" t="b">
        <v>1</v>
      </c>
      <c r="L82" s="43" t="inlineStr">
        <is>
          <t>36</t>
        </is>
      </c>
      <c r="M82" s="43" t="inlineStr">
        <is>
          <t>+¥342,000 / +¥359,100</t>
        </is>
      </c>
    </row>
    <row r="83">
      <c r="A83" s="43" t="inlineStr">
        <is>
          <t>SZ-SL-000290</t>
        </is>
      </c>
      <c r="B83" s="43" t="inlineStr">
        <is>
          <t>シャッター付引違い窓</t>
        </is>
      </c>
      <c r="C83" s="43" t="inlineStr">
        <is>
          <t>SP-SL-SHUT-E-VENT</t>
        </is>
      </c>
      <c r="D83" s="43" t="inlineStr">
        <is>
          <t>在来・204</t>
        </is>
      </c>
      <c r="E83" s="43" t="inlineStr">
        <is>
          <t>18613</t>
        </is>
      </c>
      <c r="F83" s="43" t="inlineStr">
        <is>
          <t>186</t>
        </is>
      </c>
      <c r="G83" s="43" t="inlineStr">
        <is>
          <t>13</t>
        </is>
      </c>
      <c r="H83" s="43" t="n">
        <v>1900</v>
      </c>
      <c r="I83" s="43" t="n">
        <v>1370</v>
      </c>
      <c r="J83" s="43" t="inlineStr">
        <is>
          <t>設定可</t>
        </is>
      </c>
      <c r="K83" s="43" t="b">
        <v>1</v>
      </c>
      <c r="L83" s="43" t="inlineStr">
        <is>
          <t>36</t>
        </is>
      </c>
      <c r="M83" s="43" t="inlineStr">
        <is>
          <t>+¥342,000 / +¥359,100</t>
        </is>
      </c>
    </row>
    <row r="84">
      <c r="A84" s="43" t="inlineStr">
        <is>
          <t>SZ-SL-000291</t>
        </is>
      </c>
      <c r="B84" s="43" t="inlineStr">
        <is>
          <t>シャッター付引違い窓</t>
        </is>
      </c>
      <c r="C84" s="43" t="inlineStr">
        <is>
          <t>SP-SL-SHUT-E-WIND</t>
        </is>
      </c>
      <c r="D84" s="43" t="inlineStr">
        <is>
          <t>在来・204</t>
        </is>
      </c>
      <c r="E84" s="43" t="inlineStr">
        <is>
          <t>18013</t>
        </is>
      </c>
      <c r="F84" s="43" t="inlineStr">
        <is>
          <t>180</t>
        </is>
      </c>
      <c r="G84" s="43" t="inlineStr">
        <is>
          <t>13</t>
        </is>
      </c>
      <c r="H84" s="43" t="n">
        <v>1845</v>
      </c>
      <c r="I84" s="43" t="n">
        <v>1370</v>
      </c>
      <c r="J84" s="43" t="inlineStr">
        <is>
          <t>設定なし</t>
        </is>
      </c>
      <c r="K84" s="43" t="b">
        <v>0</v>
      </c>
      <c r="L84" s="43" t="inlineStr">
        <is>
          <t>36</t>
        </is>
      </c>
      <c r="M84" s="43" t="inlineStr">
        <is>
          <t>＿＿</t>
        </is>
      </c>
    </row>
    <row r="85">
      <c r="A85" s="43" t="inlineStr">
        <is>
          <t>SZ-SL-000292</t>
        </is>
      </c>
      <c r="B85" s="43" t="inlineStr">
        <is>
          <t>シャッター付引違い窓</t>
        </is>
      </c>
      <c r="C85" s="43" t="inlineStr">
        <is>
          <t>SP-SL-SHUT-E-WIND</t>
        </is>
      </c>
      <c r="D85" s="43" t="inlineStr">
        <is>
          <t>在来・204</t>
        </is>
      </c>
      <c r="E85" s="43" t="inlineStr">
        <is>
          <t>18613</t>
        </is>
      </c>
      <c r="F85" s="43" t="inlineStr">
        <is>
          <t>186</t>
        </is>
      </c>
      <c r="G85" s="43" t="inlineStr">
        <is>
          <t>13</t>
        </is>
      </c>
      <c r="H85" s="43" t="n">
        <v>1900</v>
      </c>
      <c r="I85" s="43" t="n">
        <v>1370</v>
      </c>
      <c r="J85" s="43" t="inlineStr">
        <is>
          <t>設定なし</t>
        </is>
      </c>
      <c r="K85" s="43" t="b">
        <v>0</v>
      </c>
      <c r="L85" s="43" t="inlineStr">
        <is>
          <t>36</t>
        </is>
      </c>
      <c r="M85" s="43" t="inlineStr">
        <is>
          <t>＿＿</t>
        </is>
      </c>
    </row>
    <row r="86">
      <c r="A86" s="43" t="inlineStr">
        <is>
          <t>SZ-SL-000297</t>
        </is>
      </c>
      <c r="B86" s="43" t="inlineStr">
        <is>
          <t>シャッター付引違い窓</t>
        </is>
      </c>
      <c r="C86" s="43" t="inlineStr">
        <is>
          <t>SP-SL-SHUT-E-VENT</t>
        </is>
      </c>
      <c r="D86" s="43" t="inlineStr">
        <is>
          <t>在来・204</t>
        </is>
      </c>
      <c r="E86" s="43" t="inlineStr">
        <is>
          <t>25113-2</t>
        </is>
      </c>
      <c r="F86" s="43" t="inlineStr">
        <is>
          <t>251-2</t>
        </is>
      </c>
      <c r="G86" s="43" t="inlineStr">
        <is>
          <t>13</t>
        </is>
      </c>
      <c r="H86" s="43" t="n">
        <v>2550</v>
      </c>
      <c r="I86" s="43" t="n">
        <v>1370</v>
      </c>
      <c r="J86" s="43" t="inlineStr">
        <is>
          <t>設定可</t>
        </is>
      </c>
      <c r="K86" s="43" t="b">
        <v>1</v>
      </c>
      <c r="L86" s="43" t="inlineStr">
        <is>
          <t>37</t>
        </is>
      </c>
      <c r="M86" s="43" t="inlineStr">
        <is>
          <t>+¥341,100 / +¥358,200</t>
        </is>
      </c>
    </row>
    <row r="87">
      <c r="A87" s="43" t="inlineStr">
        <is>
          <t>SZ-SL-000298</t>
        </is>
      </c>
      <c r="B87" s="43" t="inlineStr">
        <is>
          <t>シャッター付引違い窓</t>
        </is>
      </c>
      <c r="C87" s="43" t="inlineStr">
        <is>
          <t>SP-SL-SHUT-E-VENT</t>
        </is>
      </c>
      <c r="D87" s="43" t="inlineStr">
        <is>
          <t>在来・204</t>
        </is>
      </c>
      <c r="E87" s="43" t="inlineStr">
        <is>
          <t>25113-4</t>
        </is>
      </c>
      <c r="F87" s="43" t="inlineStr">
        <is>
          <t>251-4</t>
        </is>
      </c>
      <c r="G87" s="43" t="inlineStr">
        <is>
          <t>13</t>
        </is>
      </c>
      <c r="H87" s="43" t="n">
        <v>2550</v>
      </c>
      <c r="I87" s="43" t="n">
        <v>1370</v>
      </c>
      <c r="J87" s="43" t="inlineStr">
        <is>
          <t>設定可</t>
        </is>
      </c>
      <c r="K87" s="43" t="b">
        <v>1</v>
      </c>
      <c r="L87" s="43" t="inlineStr">
        <is>
          <t>37</t>
        </is>
      </c>
      <c r="M87" s="43" t="inlineStr">
        <is>
          <t>+¥341,100 / +¥358,200</t>
        </is>
      </c>
    </row>
    <row r="88">
      <c r="A88" s="43" t="inlineStr">
        <is>
          <t>SZ-SL-000299</t>
        </is>
      </c>
      <c r="B88" s="43" t="inlineStr">
        <is>
          <t>シャッター付引違い窓</t>
        </is>
      </c>
      <c r="C88" s="43" t="inlineStr">
        <is>
          <t>SP-SL-SHUT-E-VENT</t>
        </is>
      </c>
      <c r="D88" s="43" t="inlineStr">
        <is>
          <t>在来・204</t>
        </is>
      </c>
      <c r="E88" s="43" t="inlineStr">
        <is>
          <t>25613-2</t>
        </is>
      </c>
      <c r="F88" s="43" t="inlineStr">
        <is>
          <t>256-2</t>
        </is>
      </c>
      <c r="G88" s="43" t="inlineStr">
        <is>
          <t>13</t>
        </is>
      </c>
      <c r="H88" s="43" t="n">
        <v>2600</v>
      </c>
      <c r="I88" s="43" t="n">
        <v>1370</v>
      </c>
      <c r="J88" s="43" t="inlineStr">
        <is>
          <t>設定可</t>
        </is>
      </c>
      <c r="K88" s="43" t="b">
        <v>1</v>
      </c>
      <c r="L88" s="43" t="inlineStr">
        <is>
          <t>37</t>
        </is>
      </c>
      <c r="M88" s="43" t="inlineStr">
        <is>
          <t>+¥341,100 / +¥358,200</t>
        </is>
      </c>
    </row>
    <row r="89">
      <c r="A89" s="43" t="inlineStr">
        <is>
          <t>SZ-SL-000300</t>
        </is>
      </c>
      <c r="B89" s="43" t="inlineStr">
        <is>
          <t>シャッター付引違い窓</t>
        </is>
      </c>
      <c r="C89" s="43" t="inlineStr">
        <is>
          <t>SP-SL-SHUT-E-VENT</t>
        </is>
      </c>
      <c r="D89" s="43" t="inlineStr">
        <is>
          <t>在来・204</t>
        </is>
      </c>
      <c r="E89" s="43" t="inlineStr">
        <is>
          <t>25613-4</t>
        </is>
      </c>
      <c r="F89" s="43" t="inlineStr">
        <is>
          <t>256-4</t>
        </is>
      </c>
      <c r="G89" s="43" t="inlineStr">
        <is>
          <t>13</t>
        </is>
      </c>
      <c r="H89" s="43" t="n">
        <v>2600</v>
      </c>
      <c r="I89" s="43" t="n">
        <v>1370</v>
      </c>
      <c r="J89" s="43" t="inlineStr">
        <is>
          <t>設定可</t>
        </is>
      </c>
      <c r="K89" s="43" t="b">
        <v>1</v>
      </c>
      <c r="L89" s="43" t="inlineStr">
        <is>
          <t>37</t>
        </is>
      </c>
      <c r="M89" s="43" t="inlineStr">
        <is>
          <t>+¥341,100 / +¥358,200</t>
        </is>
      </c>
    </row>
    <row r="90">
      <c r="A90" s="43" t="inlineStr">
        <is>
          <t>SZ-SL-000301</t>
        </is>
      </c>
      <c r="B90" s="43" t="inlineStr">
        <is>
          <t>シャッター付引違い窓</t>
        </is>
      </c>
      <c r="C90" s="43" t="inlineStr">
        <is>
          <t>SP-SL-SHUT-E-WIND</t>
        </is>
      </c>
      <c r="D90" s="43" t="inlineStr">
        <is>
          <t>在来・204</t>
        </is>
      </c>
      <c r="E90" s="43" t="inlineStr">
        <is>
          <t>25113-2</t>
        </is>
      </c>
      <c r="F90" s="43" t="inlineStr">
        <is>
          <t>251-2</t>
        </is>
      </c>
      <c r="G90" s="43" t="inlineStr">
        <is>
          <t>13</t>
        </is>
      </c>
      <c r="H90" s="43" t="n">
        <v>2550</v>
      </c>
      <c r="I90" s="43" t="n">
        <v>1370</v>
      </c>
      <c r="J90" s="43" t="inlineStr">
        <is>
          <t>設定可</t>
        </is>
      </c>
      <c r="K90" s="43" t="b">
        <v>1</v>
      </c>
      <c r="L90" s="43" t="inlineStr">
        <is>
          <t>37</t>
        </is>
      </c>
      <c r="M90" s="43" t="inlineStr">
        <is>
          <t>+¥160,600 / +¥168,600</t>
        </is>
      </c>
    </row>
    <row r="91">
      <c r="A91" s="43" t="inlineStr">
        <is>
          <t>SZ-SL-000302</t>
        </is>
      </c>
      <c r="B91" s="43" t="inlineStr">
        <is>
          <t>シャッター付引違い窓</t>
        </is>
      </c>
      <c r="C91" s="43" t="inlineStr">
        <is>
          <t>SP-SL-SHUT-E-WIND</t>
        </is>
      </c>
      <c r="D91" s="43" t="inlineStr">
        <is>
          <t>在来・204</t>
        </is>
      </c>
      <c r="E91" s="43" t="inlineStr">
        <is>
          <t>25113-4</t>
        </is>
      </c>
      <c r="F91" s="43" t="inlineStr">
        <is>
          <t>251-4</t>
        </is>
      </c>
      <c r="G91" s="43" t="inlineStr">
        <is>
          <t>13</t>
        </is>
      </c>
      <c r="H91" s="43" t="n">
        <v>2550</v>
      </c>
      <c r="I91" s="43" t="n">
        <v>1370</v>
      </c>
      <c r="J91" s="43" t="inlineStr">
        <is>
          <t>設定可</t>
        </is>
      </c>
      <c r="K91" s="43" t="b">
        <v>1</v>
      </c>
      <c r="L91" s="43" t="inlineStr">
        <is>
          <t>37</t>
        </is>
      </c>
      <c r="M91" s="43" t="inlineStr">
        <is>
          <t>+¥160,600 / +¥168,600</t>
        </is>
      </c>
    </row>
    <row r="92">
      <c r="A92" s="43" t="inlineStr">
        <is>
          <t>SZ-SL-000303</t>
        </is>
      </c>
      <c r="B92" s="43" t="inlineStr">
        <is>
          <t>シャッター付引違い窓</t>
        </is>
      </c>
      <c r="C92" s="43" t="inlineStr">
        <is>
          <t>SP-SL-SHUT-E-WIND</t>
        </is>
      </c>
      <c r="D92" s="43" t="inlineStr">
        <is>
          <t>在来・204</t>
        </is>
      </c>
      <c r="E92" s="43" t="inlineStr">
        <is>
          <t>25613-2</t>
        </is>
      </c>
      <c r="F92" s="43" t="inlineStr">
        <is>
          <t>256-2</t>
        </is>
      </c>
      <c r="G92" s="43" t="inlineStr">
        <is>
          <t>13</t>
        </is>
      </c>
      <c r="H92" s="43" t="n">
        <v>2600</v>
      </c>
      <c r="I92" s="43" t="n">
        <v>1370</v>
      </c>
      <c r="J92" s="43" t="inlineStr">
        <is>
          <t>設定可</t>
        </is>
      </c>
      <c r="K92" s="43" t="b">
        <v>1</v>
      </c>
      <c r="L92" s="43" t="inlineStr">
        <is>
          <t>37</t>
        </is>
      </c>
      <c r="M92" s="43" t="inlineStr">
        <is>
          <t>+¥160,600 / +¥168,600</t>
        </is>
      </c>
    </row>
    <row r="93">
      <c r="A93" s="43" t="inlineStr">
        <is>
          <t>SZ-SL-000304</t>
        </is>
      </c>
      <c r="B93" s="43" t="inlineStr">
        <is>
          <t>シャッター付引違い窓</t>
        </is>
      </c>
      <c r="C93" s="43" t="inlineStr">
        <is>
          <t>SP-SL-SHUT-E-WIND</t>
        </is>
      </c>
      <c r="D93" s="43" t="inlineStr">
        <is>
          <t>在来・204</t>
        </is>
      </c>
      <c r="E93" s="43" t="inlineStr">
        <is>
          <t>25613-4</t>
        </is>
      </c>
      <c r="F93" s="43" t="inlineStr">
        <is>
          <t>256-4</t>
        </is>
      </c>
      <c r="G93" s="43" t="inlineStr">
        <is>
          <t>13</t>
        </is>
      </c>
      <c r="H93" s="43" t="n">
        <v>2600</v>
      </c>
      <c r="I93" s="43" t="n">
        <v>1370</v>
      </c>
      <c r="J93" s="43" t="inlineStr">
        <is>
          <t>設定可</t>
        </is>
      </c>
      <c r="K93" s="43" t="b">
        <v>1</v>
      </c>
      <c r="L93" s="43" t="inlineStr">
        <is>
          <t>37</t>
        </is>
      </c>
      <c r="M93" s="43" t="inlineStr">
        <is>
          <t>+¥160,600 / +¥168,600</t>
        </is>
      </c>
    </row>
    <row r="94">
      <c r="A94" s="43" t="inlineStr">
        <is>
          <t>SZ-SL-000313</t>
        </is>
      </c>
      <c r="B94" s="43" t="inlineStr">
        <is>
          <t>シャッター付引違い窓</t>
        </is>
      </c>
      <c r="C94" s="43" t="inlineStr">
        <is>
          <t>SP-SL-SHUT-E-VENT</t>
        </is>
      </c>
      <c r="D94" s="43" t="inlineStr">
        <is>
          <t>在来</t>
        </is>
      </c>
      <c r="E94" s="43" t="inlineStr">
        <is>
          <t>11918</t>
        </is>
      </c>
      <c r="F94" s="43" t="inlineStr">
        <is>
          <t>119</t>
        </is>
      </c>
      <c r="G94" s="43" t="inlineStr">
        <is>
          <t>18</t>
        </is>
      </c>
      <c r="H94" s="43" t="n">
        <v>1235</v>
      </c>
      <c r="I94" s="43" t="n">
        <v>1830</v>
      </c>
      <c r="J94" s="43" t="inlineStr">
        <is>
          <t>設定可</t>
        </is>
      </c>
      <c r="K94" s="43" t="b">
        <v>1</v>
      </c>
      <c r="L94" s="43" t="inlineStr">
        <is>
          <t>38</t>
        </is>
      </c>
      <c r="M94" s="43" t="inlineStr">
        <is>
          <t>+¥340,300 / +¥357,300</t>
        </is>
      </c>
    </row>
    <row r="95">
      <c r="A95" s="43" t="inlineStr">
        <is>
          <t>SZ-SL-000314</t>
        </is>
      </c>
      <c r="B95" s="43" t="inlineStr">
        <is>
          <t>シャッター付引違い窓</t>
        </is>
      </c>
      <c r="C95" s="43" t="inlineStr">
        <is>
          <t>SP-SL-SHUT-E-VENT</t>
        </is>
      </c>
      <c r="D95" s="43" t="inlineStr">
        <is>
          <t>在来</t>
        </is>
      </c>
      <c r="E95" s="43" t="inlineStr">
        <is>
          <t>11920</t>
        </is>
      </c>
      <c r="F95" s="43" t="inlineStr">
        <is>
          <t>119</t>
        </is>
      </c>
      <c r="G95" s="43" t="inlineStr">
        <is>
          <t>20</t>
        </is>
      </c>
      <c r="H95" s="43" t="n">
        <v>1235</v>
      </c>
      <c r="I95" s="43" t="n">
        <v>2030</v>
      </c>
      <c r="J95" s="43" t="inlineStr">
        <is>
          <t>設定可</t>
        </is>
      </c>
      <c r="K95" s="43" t="b">
        <v>1</v>
      </c>
      <c r="L95" s="43" t="inlineStr">
        <is>
          <t>38</t>
        </is>
      </c>
      <c r="M95" s="43" t="inlineStr">
        <is>
          <t>+¥340,300 / +¥357,500</t>
        </is>
      </c>
    </row>
    <row r="96">
      <c r="A96" s="43" t="inlineStr">
        <is>
          <t>SZ-SL-000315</t>
        </is>
      </c>
      <c r="B96" s="43" t="inlineStr">
        <is>
          <t>シャッター付引違い窓</t>
        </is>
      </c>
      <c r="C96" s="43" t="inlineStr">
        <is>
          <t>SP-SL-SHUT-E-VENT</t>
        </is>
      </c>
      <c r="D96" s="43" t="inlineStr">
        <is>
          <t>在来</t>
        </is>
      </c>
      <c r="E96" s="43" t="inlineStr">
        <is>
          <t>13318</t>
        </is>
      </c>
      <c r="F96" s="43" t="inlineStr">
        <is>
          <t>133</t>
        </is>
      </c>
      <c r="G96" s="43" t="inlineStr">
        <is>
          <t>18</t>
        </is>
      </c>
      <c r="H96" s="43" t="n">
        <v>1370</v>
      </c>
      <c r="I96" s="43" t="n">
        <v>1830</v>
      </c>
      <c r="J96" s="43" t="inlineStr">
        <is>
          <t>設定可</t>
        </is>
      </c>
      <c r="K96" s="43" t="b">
        <v>1</v>
      </c>
      <c r="L96" s="43" t="inlineStr">
        <is>
          <t>38</t>
        </is>
      </c>
      <c r="M96" s="43" t="inlineStr">
        <is>
          <t>+¥340,200 / +¥357,100</t>
        </is>
      </c>
    </row>
    <row r="97">
      <c r="A97" s="43" t="inlineStr">
        <is>
          <t>SZ-SL-000316</t>
        </is>
      </c>
      <c r="B97" s="43" t="inlineStr">
        <is>
          <t>シャッター付引違い窓</t>
        </is>
      </c>
      <c r="C97" s="43" t="inlineStr">
        <is>
          <t>SP-SL-SHUT-E-VENT</t>
        </is>
      </c>
      <c r="D97" s="43" t="inlineStr">
        <is>
          <t>在来</t>
        </is>
      </c>
      <c r="E97" s="43" t="inlineStr">
        <is>
          <t>13320</t>
        </is>
      </c>
      <c r="F97" s="43" t="inlineStr">
        <is>
          <t>133</t>
        </is>
      </c>
      <c r="G97" s="43" t="inlineStr">
        <is>
          <t>20</t>
        </is>
      </c>
      <c r="H97" s="43" t="n">
        <v>1370</v>
      </c>
      <c r="I97" s="43" t="n">
        <v>2030</v>
      </c>
      <c r="J97" s="43" t="inlineStr">
        <is>
          <t>設定可</t>
        </is>
      </c>
      <c r="K97" s="43" t="b">
        <v>1</v>
      </c>
      <c r="L97" s="43" t="inlineStr">
        <is>
          <t>38</t>
        </is>
      </c>
      <c r="M97" s="43" t="inlineStr">
        <is>
          <t>+¥340,200 / +¥357,300</t>
        </is>
      </c>
    </row>
    <row r="98">
      <c r="A98" s="43" t="inlineStr">
        <is>
          <t>SZ-SL-000317</t>
        </is>
      </c>
      <c r="B98" s="43" t="inlineStr">
        <is>
          <t>シャッター付引違い窓</t>
        </is>
      </c>
      <c r="C98" s="43" t="inlineStr">
        <is>
          <t>SP-SL-SHUT-E-VENT</t>
        </is>
      </c>
      <c r="D98" s="43" t="inlineStr">
        <is>
          <t>在来</t>
        </is>
      </c>
      <c r="E98" s="43" t="inlineStr">
        <is>
          <t>15018</t>
        </is>
      </c>
      <c r="F98" s="43" t="inlineStr">
        <is>
          <t>150</t>
        </is>
      </c>
      <c r="G98" s="43" t="inlineStr">
        <is>
          <t>18</t>
        </is>
      </c>
      <c r="H98" s="43" t="n">
        <v>1540</v>
      </c>
      <c r="I98" s="43" t="n">
        <v>1830</v>
      </c>
      <c r="J98" s="43" t="inlineStr">
        <is>
          <t>設定可</t>
        </is>
      </c>
      <c r="K98" s="43" t="b">
        <v>1</v>
      </c>
      <c r="L98" s="43" t="inlineStr">
        <is>
          <t>38</t>
        </is>
      </c>
      <c r="M98" s="43" t="inlineStr">
        <is>
          <t>+¥340,400 / +¥357,500</t>
        </is>
      </c>
    </row>
    <row r="99">
      <c r="A99" s="43" t="inlineStr">
        <is>
          <t>SZ-SL-000318</t>
        </is>
      </c>
      <c r="B99" s="43" t="inlineStr">
        <is>
          <t>シャッター付引違い窓</t>
        </is>
      </c>
      <c r="C99" s="43" t="inlineStr">
        <is>
          <t>SP-SL-SHUT-E-VENT</t>
        </is>
      </c>
      <c r="D99" s="43" t="inlineStr">
        <is>
          <t>在来</t>
        </is>
      </c>
      <c r="E99" s="43" t="inlineStr">
        <is>
          <t>15020</t>
        </is>
      </c>
      <c r="F99" s="43" t="inlineStr">
        <is>
          <t>150</t>
        </is>
      </c>
      <c r="G99" s="43" t="inlineStr">
        <is>
          <t>20</t>
        </is>
      </c>
      <c r="H99" s="43" t="n">
        <v>1540</v>
      </c>
      <c r="I99" s="43" t="n">
        <v>2030</v>
      </c>
      <c r="J99" s="43" t="inlineStr">
        <is>
          <t>設定可</t>
        </is>
      </c>
      <c r="K99" s="43" t="b">
        <v>1</v>
      </c>
      <c r="L99" s="43" t="inlineStr">
        <is>
          <t>38</t>
        </is>
      </c>
      <c r="M99" s="43" t="inlineStr">
        <is>
          <t>+¥340,600 / +¥357,400</t>
        </is>
      </c>
    </row>
    <row r="100">
      <c r="A100" s="43" t="inlineStr">
        <is>
          <t>SZ-SL-000319</t>
        </is>
      </c>
      <c r="B100" s="43" t="inlineStr">
        <is>
          <t>シャッター付引違い窓</t>
        </is>
      </c>
      <c r="C100" s="43" t="inlineStr">
        <is>
          <t>SP-SL-SHUT-E-VENT</t>
        </is>
      </c>
      <c r="D100" s="43" t="inlineStr">
        <is>
          <t>在来</t>
        </is>
      </c>
      <c r="E100" s="43" t="inlineStr">
        <is>
          <t>16018</t>
        </is>
      </c>
      <c r="F100" s="43" t="inlineStr">
        <is>
          <t>160</t>
        </is>
      </c>
      <c r="G100" s="43" t="inlineStr">
        <is>
          <t>18</t>
        </is>
      </c>
      <c r="H100" s="43" t="n">
        <v>1640</v>
      </c>
      <c r="I100" s="43" t="n">
        <v>1830</v>
      </c>
      <c r="J100" s="43" t="inlineStr">
        <is>
          <t>設定可</t>
        </is>
      </c>
      <c r="K100" s="43" t="b">
        <v>1</v>
      </c>
      <c r="L100" s="43" t="inlineStr">
        <is>
          <t>38,46,50</t>
        </is>
      </c>
      <c r="M100" s="43" t="inlineStr">
        <is>
          <t>+¥340,500 / +¥357,600</t>
        </is>
      </c>
    </row>
    <row r="101">
      <c r="A101" s="43" t="inlineStr">
        <is>
          <t>SZ-SL-000320</t>
        </is>
      </c>
      <c r="B101" s="43" t="inlineStr">
        <is>
          <t>シャッター付引違い窓</t>
        </is>
      </c>
      <c r="C101" s="43" t="inlineStr">
        <is>
          <t>SP-SL-SHUT-E-VENT</t>
        </is>
      </c>
      <c r="D101" s="43" t="inlineStr">
        <is>
          <t>在来</t>
        </is>
      </c>
      <c r="E101" s="43" t="inlineStr">
        <is>
          <t>16020</t>
        </is>
      </c>
      <c r="F101" s="43" t="inlineStr">
        <is>
          <t>160</t>
        </is>
      </c>
      <c r="G101" s="43" t="inlineStr">
        <is>
          <t>20</t>
        </is>
      </c>
      <c r="H101" s="43" t="n">
        <v>1640</v>
      </c>
      <c r="I101" s="43" t="n">
        <v>2030</v>
      </c>
      <c r="J101" s="43" t="inlineStr">
        <is>
          <t>設定可</t>
        </is>
      </c>
      <c r="K101" s="43" t="b">
        <v>1</v>
      </c>
      <c r="L101" s="43" t="inlineStr">
        <is>
          <t>38,46,50</t>
        </is>
      </c>
      <c r="M101" s="43" t="inlineStr">
        <is>
          <t>+¥340,500 / +¥357,500</t>
        </is>
      </c>
    </row>
    <row r="102">
      <c r="A102" s="43" t="inlineStr">
        <is>
          <t>SZ-SL-000321</t>
        </is>
      </c>
      <c r="B102" s="43" t="inlineStr">
        <is>
          <t>シャッター付引違い窓</t>
        </is>
      </c>
      <c r="C102" s="43" t="inlineStr">
        <is>
          <t>SP-SL-SHUT-E-WIND</t>
        </is>
      </c>
      <c r="D102" s="43" t="inlineStr">
        <is>
          <t>在来</t>
        </is>
      </c>
      <c r="E102" s="43" t="inlineStr">
        <is>
          <t>11918</t>
        </is>
      </c>
      <c r="F102" s="43" t="inlineStr">
        <is>
          <t>119</t>
        </is>
      </c>
      <c r="G102" s="43" t="inlineStr">
        <is>
          <t>18</t>
        </is>
      </c>
      <c r="H102" s="43" t="n">
        <v>1235</v>
      </c>
      <c r="I102" s="43" t="n">
        <v>1830</v>
      </c>
      <c r="J102" s="43" t="inlineStr">
        <is>
          <t>設定可</t>
        </is>
      </c>
      <c r="K102" s="43" t="b">
        <v>1</v>
      </c>
      <c r="L102" s="43" t="inlineStr">
        <is>
          <t>38</t>
        </is>
      </c>
      <c r="M102" s="43" t="inlineStr">
        <is>
          <t>+¥93,600 / +¥98,300</t>
        </is>
      </c>
    </row>
    <row r="103">
      <c r="A103" s="43" t="inlineStr">
        <is>
          <t>SZ-SL-000322</t>
        </is>
      </c>
      <c r="B103" s="43" t="inlineStr">
        <is>
          <t>シャッター付引違い窓</t>
        </is>
      </c>
      <c r="C103" s="43" t="inlineStr">
        <is>
          <t>SP-SL-SHUT-E-WIND</t>
        </is>
      </c>
      <c r="D103" s="43" t="inlineStr">
        <is>
          <t>在来</t>
        </is>
      </c>
      <c r="E103" s="43" t="inlineStr">
        <is>
          <t>11920</t>
        </is>
      </c>
      <c r="F103" s="43" t="inlineStr">
        <is>
          <t>119</t>
        </is>
      </c>
      <c r="G103" s="43" t="inlineStr">
        <is>
          <t>20</t>
        </is>
      </c>
      <c r="H103" s="43" t="n">
        <v>1235</v>
      </c>
      <c r="I103" s="43" t="n">
        <v>2030</v>
      </c>
      <c r="J103" s="43" t="inlineStr">
        <is>
          <t>設定可</t>
        </is>
      </c>
      <c r="K103" s="43" t="b">
        <v>1</v>
      </c>
      <c r="L103" s="43" t="inlineStr">
        <is>
          <t>38</t>
        </is>
      </c>
      <c r="M103" s="43" t="inlineStr">
        <is>
          <t>+¥95,700 / +¥100,300</t>
        </is>
      </c>
    </row>
    <row r="104">
      <c r="A104" s="43" t="inlineStr">
        <is>
          <t>SZ-SL-000323</t>
        </is>
      </c>
      <c r="B104" s="43" t="inlineStr">
        <is>
          <t>シャッター付引違い窓</t>
        </is>
      </c>
      <c r="C104" s="43" t="inlineStr">
        <is>
          <t>SP-SL-SHUT-E-WIND</t>
        </is>
      </c>
      <c r="D104" s="43" t="inlineStr">
        <is>
          <t>在来</t>
        </is>
      </c>
      <c r="E104" s="43" t="inlineStr">
        <is>
          <t>13318</t>
        </is>
      </c>
      <c r="F104" s="43" t="inlineStr">
        <is>
          <t>133</t>
        </is>
      </c>
      <c r="G104" s="43" t="inlineStr">
        <is>
          <t>18</t>
        </is>
      </c>
      <c r="H104" s="43" t="n">
        <v>1370</v>
      </c>
      <c r="I104" s="43" t="n">
        <v>1830</v>
      </c>
      <c r="J104" s="43" t="inlineStr">
        <is>
          <t>設定なし</t>
        </is>
      </c>
      <c r="K104" s="43" t="b">
        <v>0</v>
      </c>
      <c r="L104" s="43" t="inlineStr">
        <is>
          <t>38</t>
        </is>
      </c>
      <c r="M104" s="43" t="inlineStr">
        <is>
          <t>＿＿</t>
        </is>
      </c>
    </row>
    <row r="105">
      <c r="A105" s="43" t="inlineStr">
        <is>
          <t>SZ-SL-000324</t>
        </is>
      </c>
      <c r="B105" s="43" t="inlineStr">
        <is>
          <t>シャッター付引違い窓</t>
        </is>
      </c>
      <c r="C105" s="43" t="inlineStr">
        <is>
          <t>SP-SL-SHUT-E-WIND</t>
        </is>
      </c>
      <c r="D105" s="43" t="inlineStr">
        <is>
          <t>在来</t>
        </is>
      </c>
      <c r="E105" s="43" t="inlineStr">
        <is>
          <t>13320</t>
        </is>
      </c>
      <c r="F105" s="43" t="inlineStr">
        <is>
          <t>133</t>
        </is>
      </c>
      <c r="G105" s="43" t="inlineStr">
        <is>
          <t>20</t>
        </is>
      </c>
      <c r="H105" s="43" t="n">
        <v>1370</v>
      </c>
      <c r="I105" s="43" t="n">
        <v>2030</v>
      </c>
      <c r="J105" s="43" t="inlineStr">
        <is>
          <t>設定なし</t>
        </is>
      </c>
      <c r="K105" s="43" t="b">
        <v>0</v>
      </c>
      <c r="L105" s="43" t="inlineStr">
        <is>
          <t>38</t>
        </is>
      </c>
      <c r="M105" s="43" t="inlineStr">
        <is>
          <t>＿＿</t>
        </is>
      </c>
    </row>
    <row r="106">
      <c r="A106" s="43" t="inlineStr">
        <is>
          <t>SZ-SL-000325</t>
        </is>
      </c>
      <c r="B106" s="43" t="inlineStr">
        <is>
          <t>シャッター付引違い窓</t>
        </is>
      </c>
      <c r="C106" s="43" t="inlineStr">
        <is>
          <t>SP-SL-SHUT-E-WIND</t>
        </is>
      </c>
      <c r="D106" s="43" t="inlineStr">
        <is>
          <t>在来</t>
        </is>
      </c>
      <c r="E106" s="43" t="inlineStr">
        <is>
          <t>15018</t>
        </is>
      </c>
      <c r="F106" s="43" t="inlineStr">
        <is>
          <t>150</t>
        </is>
      </c>
      <c r="G106" s="43" t="inlineStr">
        <is>
          <t>18</t>
        </is>
      </c>
      <c r="H106" s="43" t="n">
        <v>1540</v>
      </c>
      <c r="I106" s="43" t="n">
        <v>1830</v>
      </c>
      <c r="J106" s="43" t="inlineStr">
        <is>
          <t>設定可</t>
        </is>
      </c>
      <c r="K106" s="43" t="b">
        <v>1</v>
      </c>
      <c r="L106" s="43" t="inlineStr">
        <is>
          <t>38</t>
        </is>
      </c>
      <c r="M106" s="43" t="inlineStr">
        <is>
          <t>+¥100,300 / +¥105,400</t>
        </is>
      </c>
    </row>
    <row r="107">
      <c r="A107" s="43" t="inlineStr">
        <is>
          <t>SZ-SL-000326</t>
        </is>
      </c>
      <c r="B107" s="43" t="inlineStr">
        <is>
          <t>シャッター付引違い窓</t>
        </is>
      </c>
      <c r="C107" s="43" t="inlineStr">
        <is>
          <t>SP-SL-SHUT-E-WIND</t>
        </is>
      </c>
      <c r="D107" s="43" t="inlineStr">
        <is>
          <t>在来</t>
        </is>
      </c>
      <c r="E107" s="43" t="inlineStr">
        <is>
          <t>15020</t>
        </is>
      </c>
      <c r="F107" s="43" t="inlineStr">
        <is>
          <t>150</t>
        </is>
      </c>
      <c r="G107" s="43" t="inlineStr">
        <is>
          <t>20</t>
        </is>
      </c>
      <c r="H107" s="43" t="n">
        <v>1540</v>
      </c>
      <c r="I107" s="43" t="n">
        <v>2030</v>
      </c>
      <c r="J107" s="43" t="inlineStr">
        <is>
          <t>設定可</t>
        </is>
      </c>
      <c r="K107" s="43" t="b">
        <v>1</v>
      </c>
      <c r="L107" s="43" t="inlineStr">
        <is>
          <t>38</t>
        </is>
      </c>
      <c r="M107" s="43" t="inlineStr">
        <is>
          <t>+¥102,400 / +¥107,500</t>
        </is>
      </c>
    </row>
    <row r="108">
      <c r="A108" s="43" t="inlineStr">
        <is>
          <t>SZ-SL-000327</t>
        </is>
      </c>
      <c r="B108" s="43" t="inlineStr">
        <is>
          <t>シャッター付引違い窓</t>
        </is>
      </c>
      <c r="C108" s="43" t="inlineStr">
        <is>
          <t>SP-SL-SHUT-E-WIND</t>
        </is>
      </c>
      <c r="D108" s="43" t="inlineStr">
        <is>
          <t>在来</t>
        </is>
      </c>
      <c r="E108" s="43" t="inlineStr">
        <is>
          <t>16018</t>
        </is>
      </c>
      <c r="F108" s="43" t="inlineStr">
        <is>
          <t>160</t>
        </is>
      </c>
      <c r="G108" s="43" t="inlineStr">
        <is>
          <t>18</t>
        </is>
      </c>
      <c r="H108" s="43" t="n">
        <v>1640</v>
      </c>
      <c r="I108" s="43" t="n">
        <v>1830</v>
      </c>
      <c r="J108" s="43" t="inlineStr">
        <is>
          <t>設定可</t>
        </is>
      </c>
      <c r="K108" s="43" t="b">
        <v>1</v>
      </c>
      <c r="L108" s="43" t="inlineStr">
        <is>
          <t>38,46,50</t>
        </is>
      </c>
      <c r="M108" s="43" t="inlineStr">
        <is>
          <t>+¥102,600 / +¥107,700</t>
        </is>
      </c>
    </row>
    <row r="109">
      <c r="A109" s="43" t="inlineStr">
        <is>
          <t>SZ-SL-000328</t>
        </is>
      </c>
      <c r="B109" s="43" t="inlineStr">
        <is>
          <t>シャッター付引違い窓</t>
        </is>
      </c>
      <c r="C109" s="43" t="inlineStr">
        <is>
          <t>SP-SL-SHUT-E-WIND</t>
        </is>
      </c>
      <c r="D109" s="43" t="inlineStr">
        <is>
          <t>在来</t>
        </is>
      </c>
      <c r="E109" s="43" t="inlineStr">
        <is>
          <t>16020</t>
        </is>
      </c>
      <c r="F109" s="43" t="inlineStr">
        <is>
          <t>160</t>
        </is>
      </c>
      <c r="G109" s="43" t="inlineStr">
        <is>
          <t>20</t>
        </is>
      </c>
      <c r="H109" s="43" t="n">
        <v>1640</v>
      </c>
      <c r="I109" s="43" t="n">
        <v>2030</v>
      </c>
      <c r="J109" s="43" t="inlineStr">
        <is>
          <t>設定可</t>
        </is>
      </c>
      <c r="K109" s="43" t="b">
        <v>1</v>
      </c>
      <c r="L109" s="43" t="inlineStr">
        <is>
          <t>38,46,50</t>
        </is>
      </c>
      <c r="M109" s="43" t="inlineStr">
        <is>
          <t>+¥104,600 / +¥109,800</t>
        </is>
      </c>
    </row>
    <row r="110">
      <c r="A110" s="43" t="inlineStr">
        <is>
          <t>SZ-SL-000337</t>
        </is>
      </c>
      <c r="B110" s="43" t="inlineStr">
        <is>
          <t>シャッター付引違い窓</t>
        </is>
      </c>
      <c r="C110" s="43" t="inlineStr">
        <is>
          <t>SP-SL-SHUT-E-VENT</t>
        </is>
      </c>
      <c r="D110" s="43" t="inlineStr">
        <is>
          <t>在来</t>
        </is>
      </c>
      <c r="E110" s="43" t="inlineStr">
        <is>
          <t>16518</t>
        </is>
      </c>
      <c r="F110" s="43" t="inlineStr">
        <is>
          <t>165</t>
        </is>
      </c>
      <c r="G110" s="43" t="inlineStr">
        <is>
          <t>18</t>
        </is>
      </c>
      <c r="H110" s="43" t="n">
        <v>1690</v>
      </c>
      <c r="I110" s="43" t="n">
        <v>1830</v>
      </c>
      <c r="J110" s="43" t="inlineStr">
        <is>
          <t>設定可</t>
        </is>
      </c>
      <c r="K110" s="43" t="b">
        <v>1</v>
      </c>
      <c r="L110" s="43" t="inlineStr">
        <is>
          <t>39</t>
        </is>
      </c>
      <c r="M110" s="43" t="inlineStr">
        <is>
          <t>+¥340,500 / +¥357,600</t>
        </is>
      </c>
    </row>
    <row r="111">
      <c r="A111" s="43" t="inlineStr">
        <is>
          <t>SZ-SL-000338</t>
        </is>
      </c>
      <c r="B111" s="43" t="inlineStr">
        <is>
          <t>シャッター付引違い窓</t>
        </is>
      </c>
      <c r="C111" s="43" t="inlineStr">
        <is>
          <t>SP-SL-SHUT-E-VENT</t>
        </is>
      </c>
      <c r="D111" s="43" t="inlineStr">
        <is>
          <t>在来</t>
        </is>
      </c>
      <c r="E111" s="43" t="inlineStr">
        <is>
          <t>16520</t>
        </is>
      </c>
      <c r="F111" s="43" t="inlineStr">
        <is>
          <t>165</t>
        </is>
      </c>
      <c r="G111" s="43" t="inlineStr">
        <is>
          <t>20</t>
        </is>
      </c>
      <c r="H111" s="43" t="n">
        <v>1690</v>
      </c>
      <c r="I111" s="43" t="n">
        <v>2030</v>
      </c>
      <c r="J111" s="43" t="inlineStr">
        <is>
          <t>設定可</t>
        </is>
      </c>
      <c r="K111" s="43" t="b">
        <v>1</v>
      </c>
      <c r="L111" s="43" t="inlineStr">
        <is>
          <t>39</t>
        </is>
      </c>
      <c r="M111" s="43" t="inlineStr">
        <is>
          <t>+¥340,500 / +¥357,500</t>
        </is>
      </c>
    </row>
    <row r="112">
      <c r="A112" s="43" t="inlineStr">
        <is>
          <t>SZ-SL-000339</t>
        </is>
      </c>
      <c r="B112" s="43" t="inlineStr">
        <is>
          <t>シャッター付引違い窓</t>
        </is>
      </c>
      <c r="C112" s="43" t="inlineStr">
        <is>
          <t>SP-SL-SHUT-E-VENT</t>
        </is>
      </c>
      <c r="D112" s="43" t="inlineStr">
        <is>
          <t>在来</t>
        </is>
      </c>
      <c r="E112" s="43" t="inlineStr">
        <is>
          <t>17418</t>
        </is>
      </c>
      <c r="F112" s="43" t="inlineStr">
        <is>
          <t>174</t>
        </is>
      </c>
      <c r="G112" s="43" t="inlineStr">
        <is>
          <t>18</t>
        </is>
      </c>
      <c r="H112" s="43" t="n">
        <v>1780</v>
      </c>
      <c r="I112" s="43" t="n">
        <v>1830</v>
      </c>
      <c r="J112" s="43" t="inlineStr">
        <is>
          <t>設定可</t>
        </is>
      </c>
      <c r="K112" s="43" t="b">
        <v>1</v>
      </c>
      <c r="L112" s="43" t="inlineStr">
        <is>
          <t>39</t>
        </is>
      </c>
      <c r="M112" s="43" t="inlineStr">
        <is>
          <t>+¥341,300 / +¥358,600</t>
        </is>
      </c>
    </row>
    <row r="113">
      <c r="A113" s="43" t="inlineStr">
        <is>
          <t>SZ-SL-000340</t>
        </is>
      </c>
      <c r="B113" s="43" t="inlineStr">
        <is>
          <t>シャッター付引違い窓</t>
        </is>
      </c>
      <c r="C113" s="43" t="inlineStr">
        <is>
          <t>SP-SL-SHUT-E-VENT</t>
        </is>
      </c>
      <c r="D113" s="43" t="inlineStr">
        <is>
          <t>在来</t>
        </is>
      </c>
      <c r="E113" s="43" t="inlineStr">
        <is>
          <t>17420</t>
        </is>
      </c>
      <c r="F113" s="43" t="inlineStr">
        <is>
          <t>174</t>
        </is>
      </c>
      <c r="G113" s="43" t="inlineStr">
        <is>
          <t>20</t>
        </is>
      </c>
      <c r="H113" s="43" t="n">
        <v>1780</v>
      </c>
      <c r="I113" s="43" t="n">
        <v>2030</v>
      </c>
      <c r="J113" s="43" t="inlineStr">
        <is>
          <t>設定可</t>
        </is>
      </c>
      <c r="K113" s="43" t="b">
        <v>1</v>
      </c>
      <c r="L113" s="43" t="inlineStr">
        <is>
          <t>39</t>
        </is>
      </c>
      <c r="M113" s="43" t="inlineStr">
        <is>
          <t>+¥341,500 / +¥358,600</t>
        </is>
      </c>
    </row>
    <row r="114">
      <c r="A114" s="43" t="inlineStr">
        <is>
          <t>SZ-SL-000341</t>
        </is>
      </c>
      <c r="B114" s="43" t="inlineStr">
        <is>
          <t>シャッター付引違い窓</t>
        </is>
      </c>
      <c r="C114" s="43" t="inlineStr">
        <is>
          <t>SP-SL-SHUT-E-VENT</t>
        </is>
      </c>
      <c r="D114" s="43" t="inlineStr">
        <is>
          <t>在来</t>
        </is>
      </c>
      <c r="E114" s="43" t="inlineStr">
        <is>
          <t>17618</t>
        </is>
      </c>
      <c r="F114" s="43" t="inlineStr">
        <is>
          <t>176</t>
        </is>
      </c>
      <c r="G114" s="43" t="inlineStr">
        <is>
          <t>18</t>
        </is>
      </c>
      <c r="H114" s="43" t="n">
        <v>1800</v>
      </c>
      <c r="I114" s="43" t="n">
        <v>1830</v>
      </c>
      <c r="J114" s="43" t="inlineStr">
        <is>
          <t>設定可</t>
        </is>
      </c>
      <c r="K114" s="43" t="b">
        <v>1</v>
      </c>
      <c r="L114" s="43" t="inlineStr">
        <is>
          <t>39</t>
        </is>
      </c>
      <c r="M114" s="43" t="inlineStr">
        <is>
          <t>+¥341,300 / +¥358,600</t>
        </is>
      </c>
    </row>
    <row r="115">
      <c r="A115" s="43" t="inlineStr">
        <is>
          <t>SZ-SL-000342</t>
        </is>
      </c>
      <c r="B115" s="43" t="inlineStr">
        <is>
          <t>シャッター付引違い窓</t>
        </is>
      </c>
      <c r="C115" s="43" t="inlineStr">
        <is>
          <t>SP-SL-SHUT-E-VENT</t>
        </is>
      </c>
      <c r="D115" s="43" t="inlineStr">
        <is>
          <t>在来</t>
        </is>
      </c>
      <c r="E115" s="43" t="inlineStr">
        <is>
          <t>17620</t>
        </is>
      </c>
      <c r="F115" s="43" t="inlineStr">
        <is>
          <t>176</t>
        </is>
      </c>
      <c r="G115" s="43" t="inlineStr">
        <is>
          <t>20</t>
        </is>
      </c>
      <c r="H115" s="43" t="n">
        <v>1800</v>
      </c>
      <c r="I115" s="43" t="n">
        <v>2030</v>
      </c>
      <c r="J115" s="43" t="inlineStr">
        <is>
          <t>設定可</t>
        </is>
      </c>
      <c r="K115" s="43" t="b">
        <v>1</v>
      </c>
      <c r="L115" s="43" t="inlineStr">
        <is>
          <t>39</t>
        </is>
      </c>
      <c r="M115" s="43" t="inlineStr">
        <is>
          <t>+¥341,500 / +¥358,600</t>
        </is>
      </c>
    </row>
    <row r="116">
      <c r="A116" s="43" t="inlineStr">
        <is>
          <t>SZ-SL-000343</t>
        </is>
      </c>
      <c r="B116" s="43" t="inlineStr">
        <is>
          <t>シャッター付引違い窓</t>
        </is>
      </c>
      <c r="C116" s="43" t="inlineStr">
        <is>
          <t>SP-SL-SHUT-E-VENT</t>
        </is>
      </c>
      <c r="D116" s="43" t="inlineStr">
        <is>
          <t>在来</t>
        </is>
      </c>
      <c r="E116" s="43" t="inlineStr">
        <is>
          <t>18018</t>
        </is>
      </c>
      <c r="F116" s="43" t="inlineStr">
        <is>
          <t>180</t>
        </is>
      </c>
      <c r="G116" s="43" t="inlineStr">
        <is>
          <t>18</t>
        </is>
      </c>
      <c r="H116" s="43" t="n">
        <v>1845</v>
      </c>
      <c r="I116" s="43" t="n">
        <v>1830</v>
      </c>
      <c r="J116" s="43" t="inlineStr">
        <is>
          <t>設定可</t>
        </is>
      </c>
      <c r="K116" s="43" t="b">
        <v>1</v>
      </c>
      <c r="L116" s="43" t="inlineStr">
        <is>
          <t>39</t>
        </is>
      </c>
      <c r="M116" s="43" t="inlineStr">
        <is>
          <t>+¥341,300 / +¥358,600</t>
        </is>
      </c>
    </row>
    <row r="117">
      <c r="A117" s="43" t="inlineStr">
        <is>
          <t>SZ-SL-000344</t>
        </is>
      </c>
      <c r="B117" s="43" t="inlineStr">
        <is>
          <t>シャッター付引違い窓</t>
        </is>
      </c>
      <c r="C117" s="43" t="inlineStr">
        <is>
          <t>SP-SL-SHUT-E-VENT</t>
        </is>
      </c>
      <c r="D117" s="43" t="inlineStr">
        <is>
          <t>在来</t>
        </is>
      </c>
      <c r="E117" s="43" t="inlineStr">
        <is>
          <t>18020</t>
        </is>
      </c>
      <c r="F117" s="43" t="inlineStr">
        <is>
          <t>180</t>
        </is>
      </c>
      <c r="G117" s="43" t="inlineStr">
        <is>
          <t>20</t>
        </is>
      </c>
      <c r="H117" s="43" t="n">
        <v>1845</v>
      </c>
      <c r="I117" s="43" t="n">
        <v>2030</v>
      </c>
      <c r="J117" s="43" t="inlineStr">
        <is>
          <t>設定可</t>
        </is>
      </c>
      <c r="K117" s="43" t="b">
        <v>1</v>
      </c>
      <c r="L117" s="43" t="inlineStr">
        <is>
          <t>39</t>
        </is>
      </c>
      <c r="M117" s="43" t="inlineStr">
        <is>
          <t>+¥341,500 / +¥358,600</t>
        </is>
      </c>
    </row>
    <row r="118">
      <c r="A118" s="43" t="inlineStr">
        <is>
          <t>SZ-SL-000345</t>
        </is>
      </c>
      <c r="B118" s="43" t="inlineStr">
        <is>
          <t>シャッター付引違い窓</t>
        </is>
      </c>
      <c r="C118" s="43" t="inlineStr">
        <is>
          <t>SP-SL-SHUT-E-WIND</t>
        </is>
      </c>
      <c r="D118" s="43" t="inlineStr">
        <is>
          <t>在来</t>
        </is>
      </c>
      <c r="E118" s="43" t="inlineStr">
        <is>
          <t>16518</t>
        </is>
      </c>
      <c r="F118" s="43" t="inlineStr">
        <is>
          <t>165</t>
        </is>
      </c>
      <c r="G118" s="43" t="inlineStr">
        <is>
          <t>18</t>
        </is>
      </c>
      <c r="H118" s="43" t="n">
        <v>1690</v>
      </c>
      <c r="I118" s="43" t="n">
        <v>1830</v>
      </c>
      <c r="J118" s="43" t="inlineStr">
        <is>
          <t>設定可</t>
        </is>
      </c>
      <c r="K118" s="43" t="b">
        <v>1</v>
      </c>
      <c r="L118" s="43" t="inlineStr">
        <is>
          <t>39</t>
        </is>
      </c>
      <c r="M118" s="43" t="inlineStr">
        <is>
          <t>+¥102,600 / +¥107,700</t>
        </is>
      </c>
    </row>
    <row r="119">
      <c r="A119" s="43" t="inlineStr">
        <is>
          <t>SZ-SL-000346</t>
        </is>
      </c>
      <c r="B119" s="43" t="inlineStr">
        <is>
          <t>シャッター付引違い窓</t>
        </is>
      </c>
      <c r="C119" s="43" t="inlineStr">
        <is>
          <t>SP-SL-SHUT-E-WIND</t>
        </is>
      </c>
      <c r="D119" s="43" t="inlineStr">
        <is>
          <t>在来</t>
        </is>
      </c>
      <c r="E119" s="43" t="inlineStr">
        <is>
          <t>16520</t>
        </is>
      </c>
      <c r="F119" s="43" t="inlineStr">
        <is>
          <t>165</t>
        </is>
      </c>
      <c r="G119" s="43" t="inlineStr">
        <is>
          <t>20</t>
        </is>
      </c>
      <c r="H119" s="43" t="n">
        <v>1690</v>
      </c>
      <c r="I119" s="43" t="n">
        <v>2030</v>
      </c>
      <c r="J119" s="43" t="inlineStr">
        <is>
          <t>設定可</t>
        </is>
      </c>
      <c r="K119" s="43" t="b">
        <v>1</v>
      </c>
      <c r="L119" s="43" t="inlineStr">
        <is>
          <t>39</t>
        </is>
      </c>
      <c r="M119" s="43" t="inlineStr">
        <is>
          <t>+¥104,600 / +¥109,800</t>
        </is>
      </c>
    </row>
    <row r="120">
      <c r="A120" s="43" t="inlineStr">
        <is>
          <t>SZ-SL-000347</t>
        </is>
      </c>
      <c r="B120" s="43" t="inlineStr">
        <is>
          <t>シャッター付引違い窓</t>
        </is>
      </c>
      <c r="C120" s="43" t="inlineStr">
        <is>
          <t>SP-SL-SHUT-E-WIND</t>
        </is>
      </c>
      <c r="D120" s="43" t="inlineStr">
        <is>
          <t>在来</t>
        </is>
      </c>
      <c r="E120" s="43" t="inlineStr">
        <is>
          <t>17418</t>
        </is>
      </c>
      <c r="F120" s="43" t="inlineStr">
        <is>
          <t>174</t>
        </is>
      </c>
      <c r="G120" s="43" t="inlineStr">
        <is>
          <t>18</t>
        </is>
      </c>
      <c r="H120" s="43" t="n">
        <v>1780</v>
      </c>
      <c r="I120" s="43" t="n">
        <v>1830</v>
      </c>
      <c r="J120" s="43" t="inlineStr">
        <is>
          <t>設定なし</t>
        </is>
      </c>
      <c r="K120" s="43" t="b">
        <v>0</v>
      </c>
      <c r="L120" s="43" t="inlineStr">
        <is>
          <t>39</t>
        </is>
      </c>
      <c r="M120" s="43" t="inlineStr">
        <is>
          <t>＿＿</t>
        </is>
      </c>
    </row>
    <row r="121">
      <c r="A121" s="43" t="inlineStr">
        <is>
          <t>SZ-SL-000348</t>
        </is>
      </c>
      <c r="B121" s="43" t="inlineStr">
        <is>
          <t>シャッター付引違い窓</t>
        </is>
      </c>
      <c r="C121" s="43" t="inlineStr">
        <is>
          <t>SP-SL-SHUT-E-WIND</t>
        </is>
      </c>
      <c r="D121" s="43" t="inlineStr">
        <is>
          <t>在来</t>
        </is>
      </c>
      <c r="E121" s="43" t="inlineStr">
        <is>
          <t>17420</t>
        </is>
      </c>
      <c r="F121" s="43" t="inlineStr">
        <is>
          <t>174</t>
        </is>
      </c>
      <c r="G121" s="43" t="inlineStr">
        <is>
          <t>20</t>
        </is>
      </c>
      <c r="H121" s="43" t="n">
        <v>1780</v>
      </c>
      <c r="I121" s="43" t="n">
        <v>2030</v>
      </c>
      <c r="J121" s="43" t="inlineStr">
        <is>
          <t>設定なし</t>
        </is>
      </c>
      <c r="K121" s="43" t="b">
        <v>0</v>
      </c>
      <c r="L121" s="43" t="inlineStr">
        <is>
          <t>39</t>
        </is>
      </c>
      <c r="M121" s="43" t="inlineStr">
        <is>
          <t>＿＿</t>
        </is>
      </c>
    </row>
    <row r="122">
      <c r="A122" s="43" t="inlineStr">
        <is>
          <t>SZ-SL-000349</t>
        </is>
      </c>
      <c r="B122" s="43" t="inlineStr">
        <is>
          <t>シャッター付引違い窓</t>
        </is>
      </c>
      <c r="C122" s="43" t="inlineStr">
        <is>
          <t>SP-SL-SHUT-E-WIND</t>
        </is>
      </c>
      <c r="D122" s="43" t="inlineStr">
        <is>
          <t>在来</t>
        </is>
      </c>
      <c r="E122" s="43" t="inlineStr">
        <is>
          <t>17618</t>
        </is>
      </c>
      <c r="F122" s="43" t="inlineStr">
        <is>
          <t>176</t>
        </is>
      </c>
      <c r="G122" s="43" t="inlineStr">
        <is>
          <t>18</t>
        </is>
      </c>
      <c r="H122" s="43" t="n">
        <v>1800</v>
      </c>
      <c r="I122" s="43" t="n">
        <v>1830</v>
      </c>
      <c r="J122" s="43" t="inlineStr">
        <is>
          <t>設定なし</t>
        </is>
      </c>
      <c r="K122" s="43" t="b">
        <v>0</v>
      </c>
      <c r="L122" s="43" t="inlineStr">
        <is>
          <t>39</t>
        </is>
      </c>
      <c r="M122" s="43" t="inlineStr">
        <is>
          <t>＿＿</t>
        </is>
      </c>
    </row>
    <row r="123">
      <c r="A123" s="43" t="inlineStr">
        <is>
          <t>SZ-SL-000350</t>
        </is>
      </c>
      <c r="B123" s="43" t="inlineStr">
        <is>
          <t>シャッター付引違い窓</t>
        </is>
      </c>
      <c r="C123" s="43" t="inlineStr">
        <is>
          <t>SP-SL-SHUT-E-WIND</t>
        </is>
      </c>
      <c r="D123" s="43" t="inlineStr">
        <is>
          <t>在来</t>
        </is>
      </c>
      <c r="E123" s="43" t="inlineStr">
        <is>
          <t>17620</t>
        </is>
      </c>
      <c r="F123" s="43" t="inlineStr">
        <is>
          <t>176</t>
        </is>
      </c>
      <c r="G123" s="43" t="inlineStr">
        <is>
          <t>20</t>
        </is>
      </c>
      <c r="H123" s="43" t="n">
        <v>1800</v>
      </c>
      <c r="I123" s="43" t="n">
        <v>2030</v>
      </c>
      <c r="J123" s="43" t="inlineStr">
        <is>
          <t>設定なし</t>
        </is>
      </c>
      <c r="K123" s="43" t="b">
        <v>0</v>
      </c>
      <c r="L123" s="43" t="inlineStr">
        <is>
          <t>39</t>
        </is>
      </c>
      <c r="M123" s="43" t="inlineStr">
        <is>
          <t>＿＿</t>
        </is>
      </c>
    </row>
    <row r="124">
      <c r="A124" s="43" t="inlineStr">
        <is>
          <t>SZ-SL-000351</t>
        </is>
      </c>
      <c r="B124" s="43" t="inlineStr">
        <is>
          <t>シャッター付引違い窓</t>
        </is>
      </c>
      <c r="C124" s="43" t="inlineStr">
        <is>
          <t>SP-SL-SHUT-E-WIND</t>
        </is>
      </c>
      <c r="D124" s="43" t="inlineStr">
        <is>
          <t>在来</t>
        </is>
      </c>
      <c r="E124" s="43" t="inlineStr">
        <is>
          <t>18018</t>
        </is>
      </c>
      <c r="F124" s="43" t="inlineStr">
        <is>
          <t>180</t>
        </is>
      </c>
      <c r="G124" s="43" t="inlineStr">
        <is>
          <t>18</t>
        </is>
      </c>
      <c r="H124" s="43" t="n">
        <v>1845</v>
      </c>
      <c r="I124" s="43" t="n">
        <v>1830</v>
      </c>
      <c r="J124" s="43" t="inlineStr">
        <is>
          <t>設定なし</t>
        </is>
      </c>
      <c r="K124" s="43" t="b">
        <v>0</v>
      </c>
      <c r="L124" s="43" t="inlineStr">
        <is>
          <t>39</t>
        </is>
      </c>
      <c r="M124" s="43" t="inlineStr">
        <is>
          <t>＿＿</t>
        </is>
      </c>
    </row>
    <row r="125">
      <c r="A125" s="43" t="inlineStr">
        <is>
          <t>SZ-SL-000352</t>
        </is>
      </c>
      <c r="B125" s="43" t="inlineStr">
        <is>
          <t>シャッター付引違い窓</t>
        </is>
      </c>
      <c r="C125" s="43" t="inlineStr">
        <is>
          <t>SP-SL-SHUT-E-WIND</t>
        </is>
      </c>
      <c r="D125" s="43" t="inlineStr">
        <is>
          <t>在来</t>
        </is>
      </c>
      <c r="E125" s="43" t="inlineStr">
        <is>
          <t>18020</t>
        </is>
      </c>
      <c r="F125" s="43" t="inlineStr">
        <is>
          <t>180</t>
        </is>
      </c>
      <c r="G125" s="43" t="inlineStr">
        <is>
          <t>20</t>
        </is>
      </c>
      <c r="H125" s="43" t="n">
        <v>1845</v>
      </c>
      <c r="I125" s="43" t="n">
        <v>2030</v>
      </c>
      <c r="J125" s="43" t="inlineStr">
        <is>
          <t>設定なし</t>
        </is>
      </c>
      <c r="K125" s="43" t="b">
        <v>0</v>
      </c>
      <c r="L125" s="43" t="inlineStr">
        <is>
          <t>39</t>
        </is>
      </c>
      <c r="M125" s="43" t="inlineStr">
        <is>
          <t>＿＿</t>
        </is>
      </c>
    </row>
    <row r="126">
      <c r="A126" s="43" t="inlineStr">
        <is>
          <t>SZ-SL-000359</t>
        </is>
      </c>
      <c r="B126" s="43" t="inlineStr">
        <is>
          <t>シャッター付引違い窓</t>
        </is>
      </c>
      <c r="C126" s="43" t="inlineStr">
        <is>
          <t>SP-SL-SHUT-E-VENT</t>
        </is>
      </c>
      <c r="D126" s="43" t="inlineStr">
        <is>
          <t>在来</t>
        </is>
      </c>
      <c r="E126" s="43" t="inlineStr">
        <is>
          <t>18618</t>
        </is>
      </c>
      <c r="F126" s="43" t="inlineStr">
        <is>
          <t>186</t>
        </is>
      </c>
      <c r="G126" s="43" t="inlineStr">
        <is>
          <t>18</t>
        </is>
      </c>
      <c r="H126" s="43" t="n">
        <v>1900</v>
      </c>
      <c r="I126" s="43" t="n">
        <v>1830</v>
      </c>
      <c r="J126" s="43" t="inlineStr">
        <is>
          <t>設定可</t>
        </is>
      </c>
      <c r="K126" s="43" t="b">
        <v>1</v>
      </c>
      <c r="L126" s="43" t="inlineStr">
        <is>
          <t>40</t>
        </is>
      </c>
      <c r="M126" s="43" t="inlineStr">
        <is>
          <t>+¥341,300 / +¥358,600</t>
        </is>
      </c>
    </row>
    <row r="127">
      <c r="A127" s="43" t="inlineStr">
        <is>
          <t>SZ-SL-000360</t>
        </is>
      </c>
      <c r="B127" s="43" t="inlineStr">
        <is>
          <t>シャッター付引違い窓</t>
        </is>
      </c>
      <c r="C127" s="43" t="inlineStr">
        <is>
          <t>SP-SL-SHUT-E-VENT</t>
        </is>
      </c>
      <c r="D127" s="43" t="inlineStr">
        <is>
          <t>在来</t>
        </is>
      </c>
      <c r="E127" s="43" t="inlineStr">
        <is>
          <t>18620</t>
        </is>
      </c>
      <c r="F127" s="43" t="inlineStr">
        <is>
          <t>186</t>
        </is>
      </c>
      <c r="G127" s="43" t="inlineStr">
        <is>
          <t>20</t>
        </is>
      </c>
      <c r="H127" s="43" t="n">
        <v>1900</v>
      </c>
      <c r="I127" s="43" t="n">
        <v>2030</v>
      </c>
      <c r="J127" s="43" t="inlineStr">
        <is>
          <t>設定可</t>
        </is>
      </c>
      <c r="K127" s="43" t="b">
        <v>1</v>
      </c>
      <c r="L127" s="43" t="inlineStr">
        <is>
          <t>40</t>
        </is>
      </c>
      <c r="M127" s="43" t="inlineStr">
        <is>
          <t>+¥341,500 / +¥358,600</t>
        </is>
      </c>
    </row>
    <row r="128">
      <c r="A128" s="43" t="inlineStr">
        <is>
          <t>SZ-SL-000361</t>
        </is>
      </c>
      <c r="B128" s="43" t="inlineStr">
        <is>
          <t>シャッター付引違い窓</t>
        </is>
      </c>
      <c r="C128" s="43" t="inlineStr">
        <is>
          <t>SP-SL-SHUT-E-VENT</t>
        </is>
      </c>
      <c r="D128" s="43" t="inlineStr">
        <is>
          <t>在来</t>
        </is>
      </c>
      <c r="E128" s="43" t="inlineStr">
        <is>
          <t>25118-2</t>
        </is>
      </c>
      <c r="F128" s="43" t="inlineStr">
        <is>
          <t>251-2</t>
        </is>
      </c>
      <c r="G128" s="43" t="inlineStr">
        <is>
          <t>18</t>
        </is>
      </c>
      <c r="H128" s="43" t="n">
        <v>2550</v>
      </c>
      <c r="I128" s="43" t="n">
        <v>1830</v>
      </c>
      <c r="J128" s="43" t="inlineStr">
        <is>
          <t>設定可</t>
        </is>
      </c>
      <c r="K128" s="43" t="b">
        <v>1</v>
      </c>
      <c r="L128" s="43" t="inlineStr">
        <is>
          <t>40</t>
        </is>
      </c>
      <c r="M128" s="43" t="inlineStr">
        <is>
          <t>+¥340,800 / +¥357,900</t>
        </is>
      </c>
    </row>
    <row r="129">
      <c r="A129" s="43" t="inlineStr">
        <is>
          <t>SZ-SL-000362</t>
        </is>
      </c>
      <c r="B129" s="43" t="inlineStr">
        <is>
          <t>シャッター付引違い窓</t>
        </is>
      </c>
      <c r="C129" s="43" t="inlineStr">
        <is>
          <t>SP-SL-SHUT-E-VENT</t>
        </is>
      </c>
      <c r="D129" s="43" t="inlineStr">
        <is>
          <t>在来</t>
        </is>
      </c>
      <c r="E129" s="43" t="inlineStr">
        <is>
          <t>25118-4</t>
        </is>
      </c>
      <c r="F129" s="43" t="inlineStr">
        <is>
          <t>251-4</t>
        </is>
      </c>
      <c r="G129" s="43" t="inlineStr">
        <is>
          <t>18</t>
        </is>
      </c>
      <c r="H129" s="43" t="n">
        <v>2550</v>
      </c>
      <c r="I129" s="43" t="n">
        <v>1830</v>
      </c>
      <c r="J129" s="43" t="inlineStr">
        <is>
          <t>設定可</t>
        </is>
      </c>
      <c r="K129" s="43" t="b">
        <v>1</v>
      </c>
      <c r="L129" s="43" t="inlineStr">
        <is>
          <t>40</t>
        </is>
      </c>
      <c r="M129" s="43" t="inlineStr">
        <is>
          <t>+¥340,800 / +¥357,900</t>
        </is>
      </c>
    </row>
    <row r="130">
      <c r="A130" s="43" t="inlineStr">
        <is>
          <t>SZ-SL-000363</t>
        </is>
      </c>
      <c r="B130" s="43" t="inlineStr">
        <is>
          <t>シャッター付引違い窓</t>
        </is>
      </c>
      <c r="C130" s="43" t="inlineStr">
        <is>
          <t>SP-SL-SHUT-E-VENT</t>
        </is>
      </c>
      <c r="D130" s="43" t="inlineStr">
        <is>
          <t>在来</t>
        </is>
      </c>
      <c r="E130" s="43" t="inlineStr">
        <is>
          <t>25120-2</t>
        </is>
      </c>
      <c r="F130" s="43" t="inlineStr">
        <is>
          <t>251-2</t>
        </is>
      </c>
      <c r="G130" s="43" t="inlineStr">
        <is>
          <t>20</t>
        </is>
      </c>
      <c r="H130" s="43" t="n">
        <v>2550</v>
      </c>
      <c r="I130" s="43" t="n">
        <v>2030</v>
      </c>
      <c r="J130" s="43" t="inlineStr">
        <is>
          <t>設定可</t>
        </is>
      </c>
      <c r="K130" s="43" t="b">
        <v>1</v>
      </c>
      <c r="L130" s="43" t="inlineStr">
        <is>
          <t>40</t>
        </is>
      </c>
      <c r="M130" s="43" t="inlineStr">
        <is>
          <t>+¥340,600 / +¥357,700</t>
        </is>
      </c>
    </row>
    <row r="131">
      <c r="A131" s="43" t="inlineStr">
        <is>
          <t>SZ-SL-000364</t>
        </is>
      </c>
      <c r="B131" s="43" t="inlineStr">
        <is>
          <t>シャッター付引違い窓</t>
        </is>
      </c>
      <c r="C131" s="43" t="inlineStr">
        <is>
          <t>SP-SL-SHUT-E-VENT</t>
        </is>
      </c>
      <c r="D131" s="43" t="inlineStr">
        <is>
          <t>在来</t>
        </is>
      </c>
      <c r="E131" s="43" t="inlineStr">
        <is>
          <t>25120-4</t>
        </is>
      </c>
      <c r="F131" s="43" t="inlineStr">
        <is>
          <t>251-4</t>
        </is>
      </c>
      <c r="G131" s="43" t="inlineStr">
        <is>
          <t>20</t>
        </is>
      </c>
      <c r="H131" s="43" t="n">
        <v>2550</v>
      </c>
      <c r="I131" s="43" t="n">
        <v>2030</v>
      </c>
      <c r="J131" s="43" t="inlineStr">
        <is>
          <t>設定可</t>
        </is>
      </c>
      <c r="K131" s="43" t="b">
        <v>1</v>
      </c>
      <c r="L131" s="43" t="inlineStr">
        <is>
          <t>40</t>
        </is>
      </c>
      <c r="M131" s="43" t="inlineStr">
        <is>
          <t>+¥340,600 / +¥357,700</t>
        </is>
      </c>
    </row>
    <row r="132">
      <c r="A132" s="43" t="inlineStr">
        <is>
          <t>SZ-SL-000365</t>
        </is>
      </c>
      <c r="B132" s="43" t="inlineStr">
        <is>
          <t>シャッター付引違い窓</t>
        </is>
      </c>
      <c r="C132" s="43" t="inlineStr">
        <is>
          <t>SP-SL-SHUT-E-WIND</t>
        </is>
      </c>
      <c r="D132" s="43" t="inlineStr">
        <is>
          <t>在来</t>
        </is>
      </c>
      <c r="E132" s="43" t="inlineStr">
        <is>
          <t>18618</t>
        </is>
      </c>
      <c r="F132" s="43" t="inlineStr">
        <is>
          <t>186</t>
        </is>
      </c>
      <c r="G132" s="43" t="inlineStr">
        <is>
          <t>18</t>
        </is>
      </c>
      <c r="H132" s="43" t="n">
        <v>1900</v>
      </c>
      <c r="I132" s="43" t="n">
        <v>1830</v>
      </c>
      <c r="J132" s="43" t="inlineStr">
        <is>
          <t>設定なし</t>
        </is>
      </c>
      <c r="K132" s="43" t="b">
        <v>0</v>
      </c>
      <c r="L132" s="43" t="inlineStr">
        <is>
          <t>40</t>
        </is>
      </c>
      <c r="M132" s="43" t="inlineStr">
        <is>
          <t>＿＿</t>
        </is>
      </c>
    </row>
    <row r="133">
      <c r="A133" s="43" t="inlineStr">
        <is>
          <t>SZ-SL-000366</t>
        </is>
      </c>
      <c r="B133" s="43" t="inlineStr">
        <is>
          <t>シャッター付引違い窓</t>
        </is>
      </c>
      <c r="C133" s="43" t="inlineStr">
        <is>
          <t>SP-SL-SHUT-E-WIND</t>
        </is>
      </c>
      <c r="D133" s="43" t="inlineStr">
        <is>
          <t>在来</t>
        </is>
      </c>
      <c r="E133" s="43" t="inlineStr">
        <is>
          <t>18620</t>
        </is>
      </c>
      <c r="F133" s="43" t="inlineStr">
        <is>
          <t>186</t>
        </is>
      </c>
      <c r="G133" s="43" t="inlineStr">
        <is>
          <t>20</t>
        </is>
      </c>
      <c r="H133" s="43" t="n">
        <v>1900</v>
      </c>
      <c r="I133" s="43" t="n">
        <v>2030</v>
      </c>
      <c r="J133" s="43" t="inlineStr">
        <is>
          <t>設定なし</t>
        </is>
      </c>
      <c r="K133" s="43" t="b">
        <v>0</v>
      </c>
      <c r="L133" s="43" t="inlineStr">
        <is>
          <t>40</t>
        </is>
      </c>
      <c r="M133" s="43" t="inlineStr">
        <is>
          <t>＿＿</t>
        </is>
      </c>
    </row>
    <row r="134">
      <c r="A134" s="43" t="inlineStr">
        <is>
          <t>SZ-SL-000367</t>
        </is>
      </c>
      <c r="B134" s="43" t="inlineStr">
        <is>
          <t>シャッター付引違い窓</t>
        </is>
      </c>
      <c r="C134" s="43" t="inlineStr">
        <is>
          <t>SP-SL-SHUT-E-WIND</t>
        </is>
      </c>
      <c r="D134" s="43" t="inlineStr">
        <is>
          <t>在来</t>
        </is>
      </c>
      <c r="E134" s="43" t="inlineStr">
        <is>
          <t>25118-2</t>
        </is>
      </c>
      <c r="F134" s="43" t="inlineStr">
        <is>
          <t>251-2</t>
        </is>
      </c>
      <c r="G134" s="43" t="inlineStr">
        <is>
          <t>18</t>
        </is>
      </c>
      <c r="H134" s="43" t="n">
        <v>2550</v>
      </c>
      <c r="I134" s="43" t="n">
        <v>1830</v>
      </c>
      <c r="J134" s="43" t="inlineStr">
        <is>
          <t>設定可</t>
        </is>
      </c>
      <c r="K134" s="43" t="b">
        <v>1</v>
      </c>
      <c r="L134" s="43" t="inlineStr">
        <is>
          <t>40</t>
        </is>
      </c>
      <c r="M134" s="43" t="inlineStr">
        <is>
          <t>+¥170,900 / +¥179,500</t>
        </is>
      </c>
    </row>
    <row r="135">
      <c r="A135" s="43" t="inlineStr">
        <is>
          <t>SZ-SL-000368</t>
        </is>
      </c>
      <c r="B135" s="43" t="inlineStr">
        <is>
          <t>シャッター付引違い窓</t>
        </is>
      </c>
      <c r="C135" s="43" t="inlineStr">
        <is>
          <t>SP-SL-SHUT-E-WIND</t>
        </is>
      </c>
      <c r="D135" s="43" t="inlineStr">
        <is>
          <t>在来</t>
        </is>
      </c>
      <c r="E135" s="43" t="inlineStr">
        <is>
          <t>25118-4</t>
        </is>
      </c>
      <c r="F135" s="43" t="inlineStr">
        <is>
          <t>251-4</t>
        </is>
      </c>
      <c r="G135" s="43" t="inlineStr">
        <is>
          <t>18</t>
        </is>
      </c>
      <c r="H135" s="43" t="n">
        <v>2550</v>
      </c>
      <c r="I135" s="43" t="n">
        <v>1830</v>
      </c>
      <c r="J135" s="43" t="inlineStr">
        <is>
          <t>設定可</t>
        </is>
      </c>
      <c r="K135" s="43" t="b">
        <v>1</v>
      </c>
      <c r="L135" s="43" t="inlineStr">
        <is>
          <t>40</t>
        </is>
      </c>
      <c r="M135" s="43" t="inlineStr">
        <is>
          <t>+¥170,900 / +¥179,500</t>
        </is>
      </c>
    </row>
    <row r="136">
      <c r="A136" s="43" t="inlineStr">
        <is>
          <t>SZ-SL-000369</t>
        </is>
      </c>
      <c r="B136" s="43" t="inlineStr">
        <is>
          <t>シャッター付引違い窓</t>
        </is>
      </c>
      <c r="C136" s="43" t="inlineStr">
        <is>
          <t>SP-SL-SHUT-E-WIND</t>
        </is>
      </c>
      <c r="D136" s="43" t="inlineStr">
        <is>
          <t>在来</t>
        </is>
      </c>
      <c r="E136" s="43" t="inlineStr">
        <is>
          <t>25120-2</t>
        </is>
      </c>
      <c r="F136" s="43" t="inlineStr">
        <is>
          <t>251-2</t>
        </is>
      </c>
      <c r="G136" s="43" t="inlineStr">
        <is>
          <t>20</t>
        </is>
      </c>
      <c r="H136" s="43" t="n">
        <v>2550</v>
      </c>
      <c r="I136" s="43" t="n">
        <v>2030</v>
      </c>
      <c r="J136" s="43" t="inlineStr">
        <is>
          <t>設定可</t>
        </is>
      </c>
      <c r="K136" s="43" t="b">
        <v>1</v>
      </c>
      <c r="L136" s="43" t="inlineStr">
        <is>
          <t>40</t>
        </is>
      </c>
      <c r="M136" s="43" t="inlineStr">
        <is>
          <t>+¥174,000 / +¥182,700</t>
        </is>
      </c>
    </row>
    <row r="137">
      <c r="A137" s="43" t="inlineStr">
        <is>
          <t>SZ-SL-000370</t>
        </is>
      </c>
      <c r="B137" s="43" t="inlineStr">
        <is>
          <t>シャッター付引違い窓</t>
        </is>
      </c>
      <c r="C137" s="43" t="inlineStr">
        <is>
          <t>SP-SL-SHUT-E-WIND</t>
        </is>
      </c>
      <c r="D137" s="43" t="inlineStr">
        <is>
          <t>在来</t>
        </is>
      </c>
      <c r="E137" s="43" t="inlineStr">
        <is>
          <t>25120-4</t>
        </is>
      </c>
      <c r="F137" s="43" t="inlineStr">
        <is>
          <t>251-4</t>
        </is>
      </c>
      <c r="G137" s="43" t="inlineStr">
        <is>
          <t>20</t>
        </is>
      </c>
      <c r="H137" s="43" t="n">
        <v>2550</v>
      </c>
      <c r="I137" s="43" t="n">
        <v>2030</v>
      </c>
      <c r="J137" s="43" t="inlineStr">
        <is>
          <t>設定可</t>
        </is>
      </c>
      <c r="K137" s="43" t="b">
        <v>1</v>
      </c>
      <c r="L137" s="43" t="inlineStr">
        <is>
          <t>40</t>
        </is>
      </c>
      <c r="M137" s="43" t="inlineStr">
        <is>
          <t>+¥174,000 / +¥182,700</t>
        </is>
      </c>
    </row>
    <row r="138">
      <c r="A138" s="43" t="inlineStr">
        <is>
          <t>SZ-SL-000377</t>
        </is>
      </c>
      <c r="B138" s="43" t="inlineStr">
        <is>
          <t>シャッター付引違い窓</t>
        </is>
      </c>
      <c r="C138" s="43" t="inlineStr">
        <is>
          <t>SP-SL-SHUT-E-VENT</t>
        </is>
      </c>
      <c r="D138" s="43" t="inlineStr">
        <is>
          <t>在来</t>
        </is>
      </c>
      <c r="E138" s="43" t="inlineStr">
        <is>
          <t>25618-2</t>
        </is>
      </c>
      <c r="F138" s="43" t="inlineStr">
        <is>
          <t>256-2</t>
        </is>
      </c>
      <c r="G138" s="43" t="inlineStr">
        <is>
          <t>18</t>
        </is>
      </c>
      <c r="H138" s="43" t="n">
        <v>2600</v>
      </c>
      <c r="I138" s="43" t="n">
        <v>1830</v>
      </c>
      <c r="J138" s="43" t="inlineStr">
        <is>
          <t>設定可</t>
        </is>
      </c>
      <c r="K138" s="43" t="b">
        <v>1</v>
      </c>
      <c r="L138" s="43" t="inlineStr">
        <is>
          <t>41</t>
        </is>
      </c>
      <c r="M138" s="43" t="inlineStr">
        <is>
          <t>+¥340,800 / +¥357,900</t>
        </is>
      </c>
    </row>
    <row r="139">
      <c r="A139" s="43" t="inlineStr">
        <is>
          <t>SZ-SL-000378</t>
        </is>
      </c>
      <c r="B139" s="43" t="inlineStr">
        <is>
          <t>シャッター付引違い窓</t>
        </is>
      </c>
      <c r="C139" s="43" t="inlineStr">
        <is>
          <t>SP-SL-SHUT-E-VENT</t>
        </is>
      </c>
      <c r="D139" s="43" t="inlineStr">
        <is>
          <t>在来</t>
        </is>
      </c>
      <c r="E139" s="43" t="inlineStr">
        <is>
          <t>25618-4</t>
        </is>
      </c>
      <c r="F139" s="43" t="inlineStr">
        <is>
          <t>256-4</t>
        </is>
      </c>
      <c r="G139" s="43" t="inlineStr">
        <is>
          <t>18</t>
        </is>
      </c>
      <c r="H139" s="43" t="n">
        <v>2600</v>
      </c>
      <c r="I139" s="43" t="n">
        <v>1830</v>
      </c>
      <c r="J139" s="43" t="inlineStr">
        <is>
          <t>設定可</t>
        </is>
      </c>
      <c r="K139" s="43" t="b">
        <v>1</v>
      </c>
      <c r="L139" s="43" t="inlineStr">
        <is>
          <t>41</t>
        </is>
      </c>
      <c r="M139" s="43" t="inlineStr">
        <is>
          <t>+¥340,800 / +¥357,900</t>
        </is>
      </c>
    </row>
    <row r="140">
      <c r="A140" s="43" t="inlineStr">
        <is>
          <t>SZ-SL-000379</t>
        </is>
      </c>
      <c r="B140" s="43" t="inlineStr">
        <is>
          <t>シャッター付引違い窓</t>
        </is>
      </c>
      <c r="C140" s="43" t="inlineStr">
        <is>
          <t>SP-SL-SHUT-E-VENT</t>
        </is>
      </c>
      <c r="D140" s="43" t="inlineStr">
        <is>
          <t>在来</t>
        </is>
      </c>
      <c r="E140" s="43" t="inlineStr">
        <is>
          <t>25620-2</t>
        </is>
      </c>
      <c r="F140" s="43" t="inlineStr">
        <is>
          <t>256-2</t>
        </is>
      </c>
      <c r="G140" s="43" t="inlineStr">
        <is>
          <t>20</t>
        </is>
      </c>
      <c r="H140" s="43" t="n">
        <v>2600</v>
      </c>
      <c r="I140" s="43" t="n">
        <v>2030</v>
      </c>
      <c r="J140" s="43" t="inlineStr">
        <is>
          <t>設定可</t>
        </is>
      </c>
      <c r="K140" s="43" t="b">
        <v>1</v>
      </c>
      <c r="L140" s="43" t="inlineStr">
        <is>
          <t>41</t>
        </is>
      </c>
      <c r="M140" s="43" t="inlineStr">
        <is>
          <t>+¥340,600 / +¥357,700</t>
        </is>
      </c>
    </row>
    <row r="141">
      <c r="A141" s="43" t="inlineStr">
        <is>
          <t>SZ-SL-000380</t>
        </is>
      </c>
      <c r="B141" s="43" t="inlineStr">
        <is>
          <t>シャッター付引違い窓</t>
        </is>
      </c>
      <c r="C141" s="43" t="inlineStr">
        <is>
          <t>SP-SL-SHUT-E-VENT</t>
        </is>
      </c>
      <c r="D141" s="43" t="inlineStr">
        <is>
          <t>在来</t>
        </is>
      </c>
      <c r="E141" s="43" t="inlineStr">
        <is>
          <t>25620-4</t>
        </is>
      </c>
      <c r="F141" s="43" t="inlineStr">
        <is>
          <t>256-4</t>
        </is>
      </c>
      <c r="G141" s="43" t="inlineStr">
        <is>
          <t>20</t>
        </is>
      </c>
      <c r="H141" s="43" t="n">
        <v>2600</v>
      </c>
      <c r="I141" s="43" t="n">
        <v>2030</v>
      </c>
      <c r="J141" s="43" t="inlineStr">
        <is>
          <t>設定可</t>
        </is>
      </c>
      <c r="K141" s="43" t="b">
        <v>1</v>
      </c>
      <c r="L141" s="43" t="inlineStr">
        <is>
          <t>41</t>
        </is>
      </c>
      <c r="M141" s="43" t="inlineStr">
        <is>
          <t>+¥340,600 / +¥357,700</t>
        </is>
      </c>
    </row>
    <row r="142">
      <c r="A142" s="43" t="inlineStr">
        <is>
          <t>SZ-SL-000381</t>
        </is>
      </c>
      <c r="B142" s="43" t="inlineStr">
        <is>
          <t>シャッター付引違い窓</t>
        </is>
      </c>
      <c r="C142" s="43" t="inlineStr">
        <is>
          <t>SP-SL-SHUT-E-VENT</t>
        </is>
      </c>
      <c r="D142" s="43" t="inlineStr">
        <is>
          <t>在来</t>
        </is>
      </c>
      <c r="E142" s="43" t="inlineStr">
        <is>
          <t>34718</t>
        </is>
      </c>
      <c r="F142" s="43" t="inlineStr">
        <is>
          <t>347</t>
        </is>
      </c>
      <c r="G142" s="43" t="inlineStr">
        <is>
          <t>18</t>
        </is>
      </c>
      <c r="H142" s="43" t="n">
        <v>3510</v>
      </c>
      <c r="I142" s="43" t="n">
        <v>1830</v>
      </c>
      <c r="J142" s="43" t="inlineStr">
        <is>
          <t>設定可</t>
        </is>
      </c>
      <c r="K142" s="43" t="b">
        <v>1</v>
      </c>
      <c r="L142" s="43" t="inlineStr">
        <is>
          <t>41</t>
        </is>
      </c>
      <c r="M142" s="43" t="inlineStr">
        <is>
          <t>+¥604,100 / +¥633,800</t>
        </is>
      </c>
    </row>
    <row r="143">
      <c r="A143" s="43" t="inlineStr">
        <is>
          <t>SZ-SL-000382</t>
        </is>
      </c>
      <c r="B143" s="43" t="inlineStr">
        <is>
          <t>シャッター付引違い窓</t>
        </is>
      </c>
      <c r="C143" s="43" t="inlineStr">
        <is>
          <t>SP-SL-SHUT-E-VENT</t>
        </is>
      </c>
      <c r="D143" s="43" t="inlineStr">
        <is>
          <t>在来</t>
        </is>
      </c>
      <c r="E143" s="43" t="inlineStr">
        <is>
          <t>34720</t>
        </is>
      </c>
      <c r="F143" s="43" t="inlineStr">
        <is>
          <t>347</t>
        </is>
      </c>
      <c r="G143" s="43" t="inlineStr">
        <is>
          <t>20</t>
        </is>
      </c>
      <c r="H143" s="43" t="n">
        <v>3510</v>
      </c>
      <c r="I143" s="43" t="n">
        <v>2030</v>
      </c>
      <c r="J143" s="43" t="inlineStr">
        <is>
          <t>設定可</t>
        </is>
      </c>
      <c r="K143" s="43" t="b">
        <v>1</v>
      </c>
      <c r="L143" s="43" t="inlineStr">
        <is>
          <t>41</t>
        </is>
      </c>
      <c r="M143" s="43" t="inlineStr">
        <is>
          <t>+¥602,800 / +¥633,200</t>
        </is>
      </c>
    </row>
    <row r="144">
      <c r="A144" s="43" t="inlineStr">
        <is>
          <t>SZ-SL-000383</t>
        </is>
      </c>
      <c r="B144" s="43" t="inlineStr">
        <is>
          <t>シャッター付引違い窓</t>
        </is>
      </c>
      <c r="C144" s="43" t="inlineStr">
        <is>
          <t>SP-SL-SHUT-E-WIND</t>
        </is>
      </c>
      <c r="D144" s="43" t="inlineStr">
        <is>
          <t>在来</t>
        </is>
      </c>
      <c r="E144" s="43" t="inlineStr">
        <is>
          <t>25618-2</t>
        </is>
      </c>
      <c r="F144" s="43" t="inlineStr">
        <is>
          <t>256-2</t>
        </is>
      </c>
      <c r="G144" s="43" t="inlineStr">
        <is>
          <t>18</t>
        </is>
      </c>
      <c r="H144" s="43" t="n">
        <v>2600</v>
      </c>
      <c r="I144" s="43" t="n">
        <v>1830</v>
      </c>
      <c r="J144" s="43" t="inlineStr">
        <is>
          <t>設定可</t>
        </is>
      </c>
      <c r="K144" s="43" t="b">
        <v>1</v>
      </c>
      <c r="L144" s="43" t="inlineStr">
        <is>
          <t>41</t>
        </is>
      </c>
      <c r="M144" s="43" t="inlineStr">
        <is>
          <t>+¥170,900 / +¥179,500</t>
        </is>
      </c>
    </row>
    <row r="145">
      <c r="A145" s="43" t="inlineStr">
        <is>
          <t>SZ-SL-000384</t>
        </is>
      </c>
      <c r="B145" s="43" t="inlineStr">
        <is>
          <t>シャッター付引違い窓</t>
        </is>
      </c>
      <c r="C145" s="43" t="inlineStr">
        <is>
          <t>SP-SL-SHUT-E-WIND</t>
        </is>
      </c>
      <c r="D145" s="43" t="inlineStr">
        <is>
          <t>在来</t>
        </is>
      </c>
      <c r="E145" s="43" t="inlineStr">
        <is>
          <t>25618-4</t>
        </is>
      </c>
      <c r="F145" s="43" t="inlineStr">
        <is>
          <t>256-4</t>
        </is>
      </c>
      <c r="G145" s="43" t="inlineStr">
        <is>
          <t>18</t>
        </is>
      </c>
      <c r="H145" s="43" t="n">
        <v>2600</v>
      </c>
      <c r="I145" s="43" t="n">
        <v>1830</v>
      </c>
      <c r="J145" s="43" t="inlineStr">
        <is>
          <t>設定可</t>
        </is>
      </c>
      <c r="K145" s="43" t="b">
        <v>1</v>
      </c>
      <c r="L145" s="43" t="inlineStr">
        <is>
          <t>41</t>
        </is>
      </c>
      <c r="M145" s="43" t="inlineStr">
        <is>
          <t>+¥170,900 / +¥179,500</t>
        </is>
      </c>
    </row>
    <row r="146">
      <c r="A146" s="43" t="inlineStr">
        <is>
          <t>SZ-SL-000385</t>
        </is>
      </c>
      <c r="B146" s="43" t="inlineStr">
        <is>
          <t>シャッター付引違い窓</t>
        </is>
      </c>
      <c r="C146" s="43" t="inlineStr">
        <is>
          <t>SP-SL-SHUT-E-WIND</t>
        </is>
      </c>
      <c r="D146" s="43" t="inlineStr">
        <is>
          <t>在来</t>
        </is>
      </c>
      <c r="E146" s="43" t="inlineStr">
        <is>
          <t>25620-2</t>
        </is>
      </c>
      <c r="F146" s="43" t="inlineStr">
        <is>
          <t>256-2</t>
        </is>
      </c>
      <c r="G146" s="43" t="inlineStr">
        <is>
          <t>20</t>
        </is>
      </c>
      <c r="H146" s="43" t="n">
        <v>2600</v>
      </c>
      <c r="I146" s="43" t="n">
        <v>2030</v>
      </c>
      <c r="J146" s="43" t="inlineStr">
        <is>
          <t>設定可</t>
        </is>
      </c>
      <c r="K146" s="43" t="b">
        <v>1</v>
      </c>
      <c r="L146" s="43" t="inlineStr">
        <is>
          <t>41</t>
        </is>
      </c>
      <c r="M146" s="43" t="inlineStr">
        <is>
          <t>+¥174,000 / +¥182,700</t>
        </is>
      </c>
    </row>
    <row r="147">
      <c r="A147" s="43" t="inlineStr">
        <is>
          <t>SZ-SL-000386</t>
        </is>
      </c>
      <c r="B147" s="43" t="inlineStr">
        <is>
          <t>シャッター付引違い窓</t>
        </is>
      </c>
      <c r="C147" s="43" t="inlineStr">
        <is>
          <t>SP-SL-SHUT-E-WIND</t>
        </is>
      </c>
      <c r="D147" s="43" t="inlineStr">
        <is>
          <t>在来</t>
        </is>
      </c>
      <c r="E147" s="43" t="inlineStr">
        <is>
          <t>25620-4</t>
        </is>
      </c>
      <c r="F147" s="43" t="inlineStr">
        <is>
          <t>256-4</t>
        </is>
      </c>
      <c r="G147" s="43" t="inlineStr">
        <is>
          <t>20</t>
        </is>
      </c>
      <c r="H147" s="43" t="n">
        <v>2600</v>
      </c>
      <c r="I147" s="43" t="n">
        <v>2030</v>
      </c>
      <c r="J147" s="43" t="inlineStr">
        <is>
          <t>設定可</t>
        </is>
      </c>
      <c r="K147" s="43" t="b">
        <v>1</v>
      </c>
      <c r="L147" s="43" t="inlineStr">
        <is>
          <t>41</t>
        </is>
      </c>
      <c r="M147" s="43" t="inlineStr">
        <is>
          <t>+¥174,000 / +¥182,700</t>
        </is>
      </c>
    </row>
    <row r="148">
      <c r="A148" s="43" t="inlineStr">
        <is>
          <t>SZ-SL-000387</t>
        </is>
      </c>
      <c r="B148" s="43" t="inlineStr">
        <is>
          <t>シャッター付引違い窓</t>
        </is>
      </c>
      <c r="C148" s="43" t="inlineStr">
        <is>
          <t>SP-SL-SHUT-E-WIND</t>
        </is>
      </c>
      <c r="D148" s="43" t="inlineStr">
        <is>
          <t>在来</t>
        </is>
      </c>
      <c r="E148" s="43" t="inlineStr">
        <is>
          <t>34718</t>
        </is>
      </c>
      <c r="F148" s="43" t="inlineStr">
        <is>
          <t>347</t>
        </is>
      </c>
      <c r="G148" s="43" t="inlineStr">
        <is>
          <t>18</t>
        </is>
      </c>
      <c r="H148" s="43" t="n">
        <v>3510</v>
      </c>
      <c r="I148" s="43" t="n">
        <v>1830</v>
      </c>
      <c r="J148" s="43" t="inlineStr">
        <is>
          <t>設定なし</t>
        </is>
      </c>
      <c r="K148" s="43" t="b">
        <v>0</v>
      </c>
      <c r="L148" s="43" t="inlineStr">
        <is>
          <t>41</t>
        </is>
      </c>
      <c r="M148" s="43" t="inlineStr">
        <is>
          <t>＿＿</t>
        </is>
      </c>
    </row>
    <row r="149">
      <c r="A149" s="43" t="inlineStr">
        <is>
          <t>SZ-SL-000388</t>
        </is>
      </c>
      <c r="B149" s="43" t="inlineStr">
        <is>
          <t>シャッター付引違い窓</t>
        </is>
      </c>
      <c r="C149" s="43" t="inlineStr">
        <is>
          <t>SP-SL-SHUT-E-WIND</t>
        </is>
      </c>
      <c r="D149" s="43" t="inlineStr">
        <is>
          <t>在来</t>
        </is>
      </c>
      <c r="E149" s="43" t="inlineStr">
        <is>
          <t>34720</t>
        </is>
      </c>
      <c r="F149" s="43" t="inlineStr">
        <is>
          <t>347</t>
        </is>
      </c>
      <c r="G149" s="43" t="inlineStr">
        <is>
          <t>20</t>
        </is>
      </c>
      <c r="H149" s="43" t="n">
        <v>3510</v>
      </c>
      <c r="I149" s="43" t="n">
        <v>2030</v>
      </c>
      <c r="J149" s="43" t="inlineStr">
        <is>
          <t>設定なし</t>
        </is>
      </c>
      <c r="K149" s="43" t="b">
        <v>0</v>
      </c>
      <c r="L149" s="43" t="inlineStr">
        <is>
          <t>41</t>
        </is>
      </c>
      <c r="M149" s="43" t="inlineStr">
        <is>
          <t>＿＿</t>
        </is>
      </c>
    </row>
    <row r="150">
      <c r="A150" s="43" t="inlineStr">
        <is>
          <t>SZ-SL-000393</t>
        </is>
      </c>
      <c r="B150" s="43" t="inlineStr">
        <is>
          <t>シャッター付引違い窓</t>
        </is>
      </c>
      <c r="C150" s="43" t="inlineStr">
        <is>
          <t>SP-SL-SHUT-E-VENT</t>
        </is>
      </c>
      <c r="D150" s="43" t="inlineStr">
        <is>
          <t>在来</t>
        </is>
      </c>
      <c r="E150" s="43" t="inlineStr">
        <is>
          <t>15022</t>
        </is>
      </c>
      <c r="F150" s="43" t="inlineStr">
        <is>
          <t>150</t>
        </is>
      </c>
      <c r="G150" s="43" t="inlineStr">
        <is>
          <t>22</t>
        </is>
      </c>
      <c r="H150" s="43" t="n">
        <v>1540</v>
      </c>
      <c r="I150" s="43" t="n">
        <v>2230</v>
      </c>
      <c r="J150" s="43" t="inlineStr">
        <is>
          <t>設定可</t>
        </is>
      </c>
      <c r="K150" s="43" t="b">
        <v>1</v>
      </c>
      <c r="L150" s="43" t="inlineStr">
        <is>
          <t>42</t>
        </is>
      </c>
      <c r="M150" s="43" t="inlineStr">
        <is>
          <t>+¥340,100 / +¥357,500</t>
        </is>
      </c>
    </row>
    <row r="151">
      <c r="A151" s="43" t="inlineStr">
        <is>
          <t>SZ-SL-000394</t>
        </is>
      </c>
      <c r="B151" s="43" t="inlineStr">
        <is>
          <t>シャッター付引違い窓</t>
        </is>
      </c>
      <c r="C151" s="43" t="inlineStr">
        <is>
          <t>SP-SL-SHUT-E-VENT</t>
        </is>
      </c>
      <c r="D151" s="43" t="inlineStr">
        <is>
          <t>在来</t>
        </is>
      </c>
      <c r="E151" s="43" t="inlineStr">
        <is>
          <t>15024</t>
        </is>
      </c>
      <c r="F151" s="43" t="inlineStr">
        <is>
          <t>150</t>
        </is>
      </c>
      <c r="G151" s="43" t="inlineStr">
        <is>
          <t>24</t>
        </is>
      </c>
      <c r="H151" s="43" t="n">
        <v>1540</v>
      </c>
      <c r="I151" s="43" t="n">
        <v>2430</v>
      </c>
      <c r="J151" s="43" t="inlineStr">
        <is>
          <t>設定なし</t>
        </is>
      </c>
      <c r="K151" s="43" t="b">
        <v>0</v>
      </c>
      <c r="L151" s="43" t="inlineStr">
        <is>
          <t>42</t>
        </is>
      </c>
      <c r="M151" s="43" t="inlineStr">
        <is>
          <t>＿＿</t>
        </is>
      </c>
    </row>
    <row r="152">
      <c r="A152" s="43" t="inlineStr">
        <is>
          <t>SZ-SL-000395</t>
        </is>
      </c>
      <c r="B152" s="43" t="inlineStr">
        <is>
          <t>シャッター付引違い窓</t>
        </is>
      </c>
      <c r="C152" s="43" t="inlineStr">
        <is>
          <t>SP-SL-SHUT-E-VENT</t>
        </is>
      </c>
      <c r="D152" s="43" t="inlineStr">
        <is>
          <t>在来</t>
        </is>
      </c>
      <c r="E152" s="43" t="inlineStr">
        <is>
          <t>16022</t>
        </is>
      </c>
      <c r="F152" s="43" t="inlineStr">
        <is>
          <t>160</t>
        </is>
      </c>
      <c r="G152" s="43" t="inlineStr">
        <is>
          <t>22</t>
        </is>
      </c>
      <c r="H152" s="43" t="n">
        <v>1640</v>
      </c>
      <c r="I152" s="43" t="n">
        <v>2230</v>
      </c>
      <c r="J152" s="43" t="inlineStr">
        <is>
          <t>設定可</t>
        </is>
      </c>
      <c r="K152" s="43" t="b">
        <v>1</v>
      </c>
      <c r="L152" s="43" t="inlineStr">
        <is>
          <t>42,48,52</t>
        </is>
      </c>
      <c r="M152" s="43" t="inlineStr">
        <is>
          <t>+¥340,200 / +¥357,300</t>
        </is>
      </c>
    </row>
    <row r="153">
      <c r="A153" s="43" t="inlineStr">
        <is>
          <t>SZ-SL-000396</t>
        </is>
      </c>
      <c r="B153" s="43" t="inlineStr">
        <is>
          <t>シャッター付引違い窓</t>
        </is>
      </c>
      <c r="C153" s="43" t="inlineStr">
        <is>
          <t>SP-SL-SHUT-E-VENT</t>
        </is>
      </c>
      <c r="D153" s="43" t="inlineStr">
        <is>
          <t>在来</t>
        </is>
      </c>
      <c r="E153" s="43" t="inlineStr">
        <is>
          <t>16024</t>
        </is>
      </c>
      <c r="F153" s="43" t="inlineStr">
        <is>
          <t>160</t>
        </is>
      </c>
      <c r="G153" s="43" t="inlineStr">
        <is>
          <t>24</t>
        </is>
      </c>
      <c r="H153" s="43" t="n">
        <v>1640</v>
      </c>
      <c r="I153" s="43" t="n">
        <v>2430</v>
      </c>
      <c r="J153" s="43" t="inlineStr">
        <is>
          <t>設定なし</t>
        </is>
      </c>
      <c r="K153" s="43" t="b">
        <v>0</v>
      </c>
      <c r="L153" s="43" t="inlineStr">
        <is>
          <t>42,48,52</t>
        </is>
      </c>
      <c r="M153" s="43" t="inlineStr">
        <is>
          <t>＿＿</t>
        </is>
      </c>
    </row>
    <row r="154">
      <c r="A154" s="43" t="inlineStr">
        <is>
          <t>SZ-SL-000397</t>
        </is>
      </c>
      <c r="B154" s="43" t="inlineStr">
        <is>
          <t>シャッター付引違い窓</t>
        </is>
      </c>
      <c r="C154" s="43" t="inlineStr">
        <is>
          <t>SP-SL-SHUT-E-WIND</t>
        </is>
      </c>
      <c r="D154" s="43" t="inlineStr">
        <is>
          <t>在来</t>
        </is>
      </c>
      <c r="E154" s="43" t="inlineStr">
        <is>
          <t>15022</t>
        </is>
      </c>
      <c r="F154" s="43" t="inlineStr">
        <is>
          <t>150</t>
        </is>
      </c>
      <c r="G154" s="43" t="inlineStr">
        <is>
          <t>22</t>
        </is>
      </c>
      <c r="H154" s="43" t="n">
        <v>1540</v>
      </c>
      <c r="I154" s="43" t="n">
        <v>2230</v>
      </c>
      <c r="J154" s="43" t="inlineStr">
        <is>
          <t>設定可</t>
        </is>
      </c>
      <c r="K154" s="43" t="b">
        <v>1</v>
      </c>
      <c r="L154" s="43" t="inlineStr">
        <is>
          <t>42</t>
        </is>
      </c>
      <c r="M154" s="43" t="inlineStr">
        <is>
          <t>+¥104,400 / +¥109,800</t>
        </is>
      </c>
    </row>
    <row r="155">
      <c r="A155" s="43" t="inlineStr">
        <is>
          <t>SZ-SL-000398</t>
        </is>
      </c>
      <c r="B155" s="43" t="inlineStr">
        <is>
          <t>シャッター付引違い窓</t>
        </is>
      </c>
      <c r="C155" s="43" t="inlineStr">
        <is>
          <t>SP-SL-SHUT-E-WIND</t>
        </is>
      </c>
      <c r="D155" s="43" t="inlineStr">
        <is>
          <t>在来</t>
        </is>
      </c>
      <c r="E155" s="43" t="inlineStr">
        <is>
          <t>15024</t>
        </is>
      </c>
      <c r="F155" s="43" t="inlineStr">
        <is>
          <t>150</t>
        </is>
      </c>
      <c r="G155" s="43" t="inlineStr">
        <is>
          <t>24</t>
        </is>
      </c>
      <c r="H155" s="43" t="n">
        <v>1540</v>
      </c>
      <c r="I155" s="43" t="n">
        <v>2430</v>
      </c>
      <c r="J155" s="43" t="inlineStr">
        <is>
          <t>設定なし</t>
        </is>
      </c>
      <c r="K155" s="43" t="b">
        <v>0</v>
      </c>
      <c r="L155" s="43" t="inlineStr">
        <is>
          <t>42</t>
        </is>
      </c>
      <c r="M155" s="43" t="inlineStr">
        <is>
          <t>＿＿</t>
        </is>
      </c>
    </row>
    <row r="156">
      <c r="A156" s="43" t="inlineStr">
        <is>
          <t>SZ-SL-000399</t>
        </is>
      </c>
      <c r="B156" s="43" t="inlineStr">
        <is>
          <t>シャッター付引違い窓</t>
        </is>
      </c>
      <c r="C156" s="43" t="inlineStr">
        <is>
          <t>SP-SL-SHUT-E-WIND</t>
        </is>
      </c>
      <c r="D156" s="43" t="inlineStr">
        <is>
          <t>在来</t>
        </is>
      </c>
      <c r="E156" s="43" t="inlineStr">
        <is>
          <t>16022</t>
        </is>
      </c>
      <c r="F156" s="43" t="inlineStr">
        <is>
          <t>160</t>
        </is>
      </c>
      <c r="G156" s="43" t="inlineStr">
        <is>
          <t>22</t>
        </is>
      </c>
      <c r="H156" s="43" t="n">
        <v>1640</v>
      </c>
      <c r="I156" s="43" t="n">
        <v>2230</v>
      </c>
      <c r="J156" s="43" t="inlineStr">
        <is>
          <t>設定可</t>
        </is>
      </c>
      <c r="K156" s="43" t="b">
        <v>1</v>
      </c>
      <c r="L156" s="43" t="inlineStr">
        <is>
          <t>42,48,52</t>
        </is>
      </c>
      <c r="M156" s="43" t="inlineStr">
        <is>
          <t>+¥106,500 / +¥111,700</t>
        </is>
      </c>
    </row>
    <row r="157">
      <c r="A157" s="43" t="inlineStr">
        <is>
          <t>SZ-SL-000400</t>
        </is>
      </c>
      <c r="B157" s="43" t="inlineStr">
        <is>
          <t>シャッター付引違い窓</t>
        </is>
      </c>
      <c r="C157" s="43" t="inlineStr">
        <is>
          <t>SP-SL-SHUT-E-WIND</t>
        </is>
      </c>
      <c r="D157" s="43" t="inlineStr">
        <is>
          <t>在来</t>
        </is>
      </c>
      <c r="E157" s="43" t="inlineStr">
        <is>
          <t>16024</t>
        </is>
      </c>
      <c r="F157" s="43" t="inlineStr">
        <is>
          <t>160</t>
        </is>
      </c>
      <c r="G157" s="43" t="inlineStr">
        <is>
          <t>24</t>
        </is>
      </c>
      <c r="H157" s="43" t="n">
        <v>1640</v>
      </c>
      <c r="I157" s="43" t="n">
        <v>2430</v>
      </c>
      <c r="J157" s="43" t="inlineStr">
        <is>
          <t>設定なし</t>
        </is>
      </c>
      <c r="K157" s="43" t="b">
        <v>0</v>
      </c>
      <c r="L157" s="43" t="inlineStr">
        <is>
          <t>42,48,52</t>
        </is>
      </c>
      <c r="M157" s="43" t="inlineStr">
        <is>
          <t>＿＿</t>
        </is>
      </c>
    </row>
    <row r="158">
      <c r="A158" s="43" t="inlineStr">
        <is>
          <t>SZ-SL-000409</t>
        </is>
      </c>
      <c r="B158" s="43" t="inlineStr">
        <is>
          <t>シャッター付引違い窓</t>
        </is>
      </c>
      <c r="C158" s="43" t="inlineStr">
        <is>
          <t>SP-SL-SHUT-E-VENT</t>
        </is>
      </c>
      <c r="D158" s="43" t="inlineStr">
        <is>
          <t>在来</t>
        </is>
      </c>
      <c r="E158" s="43" t="inlineStr">
        <is>
          <t>16522</t>
        </is>
      </c>
      <c r="F158" s="43" t="inlineStr">
        <is>
          <t>165</t>
        </is>
      </c>
      <c r="G158" s="43" t="inlineStr">
        <is>
          <t>22</t>
        </is>
      </c>
      <c r="H158" s="43" t="n">
        <v>1690</v>
      </c>
      <c r="I158" s="43" t="n">
        <v>2230</v>
      </c>
      <c r="J158" s="43" t="inlineStr">
        <is>
          <t>設定可</t>
        </is>
      </c>
      <c r="K158" s="43" t="b">
        <v>1</v>
      </c>
      <c r="L158" s="43" t="inlineStr">
        <is>
          <t>43</t>
        </is>
      </c>
      <c r="M158" s="43" t="inlineStr">
        <is>
          <t>+¥340,200 / +¥357,300</t>
        </is>
      </c>
    </row>
    <row r="159">
      <c r="A159" s="43" t="inlineStr">
        <is>
          <t>SZ-SL-000410</t>
        </is>
      </c>
      <c r="B159" s="43" t="inlineStr">
        <is>
          <t>シャッター付引違い窓</t>
        </is>
      </c>
      <c r="C159" s="43" t="inlineStr">
        <is>
          <t>SP-SL-SHUT-E-VENT</t>
        </is>
      </c>
      <c r="D159" s="43" t="inlineStr">
        <is>
          <t>在来</t>
        </is>
      </c>
      <c r="E159" s="43" t="inlineStr">
        <is>
          <t>16524</t>
        </is>
      </c>
      <c r="F159" s="43" t="inlineStr">
        <is>
          <t>165</t>
        </is>
      </c>
      <c r="G159" s="43" t="inlineStr">
        <is>
          <t>24</t>
        </is>
      </c>
      <c r="H159" s="43" t="n">
        <v>1690</v>
      </c>
      <c r="I159" s="43" t="n">
        <v>2430</v>
      </c>
      <c r="J159" s="43" t="inlineStr">
        <is>
          <t>設定なし</t>
        </is>
      </c>
      <c r="K159" s="43" t="b">
        <v>0</v>
      </c>
      <c r="L159" s="43" t="inlineStr">
        <is>
          <t>43</t>
        </is>
      </c>
      <c r="M159" s="43" t="inlineStr">
        <is>
          <t>＿＿</t>
        </is>
      </c>
    </row>
    <row r="160">
      <c r="A160" s="43" t="inlineStr">
        <is>
          <t>SZ-SL-000411</t>
        </is>
      </c>
      <c r="B160" s="43" t="inlineStr">
        <is>
          <t>シャッター付引違い窓</t>
        </is>
      </c>
      <c r="C160" s="43" t="inlineStr">
        <is>
          <t>SP-SL-SHUT-E-VENT</t>
        </is>
      </c>
      <c r="D160" s="43" t="inlineStr">
        <is>
          <t>在来</t>
        </is>
      </c>
      <c r="E160" s="43" t="inlineStr">
        <is>
          <t>17422</t>
        </is>
      </c>
      <c r="F160" s="43" t="inlineStr">
        <is>
          <t>174</t>
        </is>
      </c>
      <c r="G160" s="43" t="inlineStr">
        <is>
          <t>22</t>
        </is>
      </c>
      <c r="H160" s="43" t="n">
        <v>1780</v>
      </c>
      <c r="I160" s="43" t="n">
        <v>2230</v>
      </c>
      <c r="J160" s="43" t="inlineStr">
        <is>
          <t>設定可</t>
        </is>
      </c>
      <c r="K160" s="43" t="b">
        <v>1</v>
      </c>
      <c r="L160" s="43" t="inlineStr">
        <is>
          <t>43</t>
        </is>
      </c>
      <c r="M160" s="43" t="inlineStr">
        <is>
          <t>+¥341,200 / +¥358,500</t>
        </is>
      </c>
    </row>
    <row r="161">
      <c r="A161" s="43" t="inlineStr">
        <is>
          <t>SZ-SL-000412</t>
        </is>
      </c>
      <c r="B161" s="43" t="inlineStr">
        <is>
          <t>シャッター付引違い窓</t>
        </is>
      </c>
      <c r="C161" s="43" t="inlineStr">
        <is>
          <t>SP-SL-SHUT-E-VENT</t>
        </is>
      </c>
      <c r="D161" s="43" t="inlineStr">
        <is>
          <t>在来</t>
        </is>
      </c>
      <c r="E161" s="43" t="inlineStr">
        <is>
          <t>17424</t>
        </is>
      </c>
      <c r="F161" s="43" t="inlineStr">
        <is>
          <t>174</t>
        </is>
      </c>
      <c r="G161" s="43" t="inlineStr">
        <is>
          <t>24</t>
        </is>
      </c>
      <c r="H161" s="43" t="n">
        <v>1780</v>
      </c>
      <c r="I161" s="43" t="n">
        <v>2430</v>
      </c>
      <c r="J161" s="43" t="inlineStr">
        <is>
          <t>設定なし</t>
        </is>
      </c>
      <c r="K161" s="43" t="b">
        <v>0</v>
      </c>
      <c r="L161" s="43" t="inlineStr">
        <is>
          <t>43</t>
        </is>
      </c>
      <c r="M161" s="43" t="inlineStr">
        <is>
          <t>＿＿</t>
        </is>
      </c>
    </row>
    <row r="162">
      <c r="A162" s="43" t="inlineStr">
        <is>
          <t>SZ-SL-000413</t>
        </is>
      </c>
      <c r="B162" s="43" t="inlineStr">
        <is>
          <t>シャッター付引違い窓</t>
        </is>
      </c>
      <c r="C162" s="43" t="inlineStr">
        <is>
          <t>SP-SL-SHUT-E-VENT</t>
        </is>
      </c>
      <c r="D162" s="43" t="inlineStr">
        <is>
          <t>在来</t>
        </is>
      </c>
      <c r="E162" s="43" t="inlineStr">
        <is>
          <t>17622</t>
        </is>
      </c>
      <c r="F162" s="43" t="inlineStr">
        <is>
          <t>176</t>
        </is>
      </c>
      <c r="G162" s="43" t="inlineStr">
        <is>
          <t>22</t>
        </is>
      </c>
      <c r="H162" s="43" t="n">
        <v>1800</v>
      </c>
      <c r="I162" s="43" t="n">
        <v>2230</v>
      </c>
      <c r="J162" s="43" t="inlineStr">
        <is>
          <t>設定可</t>
        </is>
      </c>
      <c r="K162" s="43" t="b">
        <v>1</v>
      </c>
      <c r="L162" s="43" t="inlineStr">
        <is>
          <t>43</t>
        </is>
      </c>
      <c r="M162" s="43" t="inlineStr">
        <is>
          <t>+¥341,200 / +¥358,500</t>
        </is>
      </c>
    </row>
    <row r="163">
      <c r="A163" s="43" t="inlineStr">
        <is>
          <t>SZ-SL-000414</t>
        </is>
      </c>
      <c r="B163" s="43" t="inlineStr">
        <is>
          <t>シャッター付引違い窓</t>
        </is>
      </c>
      <c r="C163" s="43" t="inlineStr">
        <is>
          <t>SP-SL-SHUT-E-VENT</t>
        </is>
      </c>
      <c r="D163" s="43" t="inlineStr">
        <is>
          <t>在来</t>
        </is>
      </c>
      <c r="E163" s="43" t="inlineStr">
        <is>
          <t>17624</t>
        </is>
      </c>
      <c r="F163" s="43" t="inlineStr">
        <is>
          <t>176</t>
        </is>
      </c>
      <c r="G163" s="43" t="inlineStr">
        <is>
          <t>24</t>
        </is>
      </c>
      <c r="H163" s="43" t="n">
        <v>1800</v>
      </c>
      <c r="I163" s="43" t="n">
        <v>2430</v>
      </c>
      <c r="J163" s="43" t="inlineStr">
        <is>
          <t>設定なし</t>
        </is>
      </c>
      <c r="K163" s="43" t="b">
        <v>0</v>
      </c>
      <c r="L163" s="43" t="inlineStr">
        <is>
          <t>43</t>
        </is>
      </c>
      <c r="M163" s="43" t="inlineStr">
        <is>
          <t>＿＿</t>
        </is>
      </c>
    </row>
    <row r="164">
      <c r="A164" s="43" t="inlineStr">
        <is>
          <t>SZ-SL-000415</t>
        </is>
      </c>
      <c r="B164" s="43" t="inlineStr">
        <is>
          <t>シャッター付引違い窓</t>
        </is>
      </c>
      <c r="C164" s="43" t="inlineStr">
        <is>
          <t>SP-SL-SHUT-E-VENT</t>
        </is>
      </c>
      <c r="D164" s="43" t="inlineStr">
        <is>
          <t>在来</t>
        </is>
      </c>
      <c r="E164" s="43" t="inlineStr">
        <is>
          <t>18022</t>
        </is>
      </c>
      <c r="F164" s="43" t="inlineStr">
        <is>
          <t>180</t>
        </is>
      </c>
      <c r="G164" s="43" t="inlineStr">
        <is>
          <t>22</t>
        </is>
      </c>
      <c r="H164" s="43" t="n">
        <v>1845</v>
      </c>
      <c r="I164" s="43" t="n">
        <v>2230</v>
      </c>
      <c r="J164" s="43" t="inlineStr">
        <is>
          <t>設定可</t>
        </is>
      </c>
      <c r="K164" s="43" t="b">
        <v>1</v>
      </c>
      <c r="L164" s="43" t="inlineStr">
        <is>
          <t>43</t>
        </is>
      </c>
      <c r="M164" s="43" t="inlineStr">
        <is>
          <t>+¥341,200 / +¥358,500</t>
        </is>
      </c>
    </row>
    <row r="165">
      <c r="A165" s="43" t="inlineStr">
        <is>
          <t>SZ-SL-000416</t>
        </is>
      </c>
      <c r="B165" s="43" t="inlineStr">
        <is>
          <t>シャッター付引違い窓</t>
        </is>
      </c>
      <c r="C165" s="43" t="inlineStr">
        <is>
          <t>SP-SL-SHUT-E-VENT</t>
        </is>
      </c>
      <c r="D165" s="43" t="inlineStr">
        <is>
          <t>在来</t>
        </is>
      </c>
      <c r="E165" s="43" t="inlineStr">
        <is>
          <t>18024</t>
        </is>
      </c>
      <c r="F165" s="43" t="inlineStr">
        <is>
          <t>180</t>
        </is>
      </c>
      <c r="G165" s="43" t="inlineStr">
        <is>
          <t>24</t>
        </is>
      </c>
      <c r="H165" s="43" t="n">
        <v>1845</v>
      </c>
      <c r="I165" s="43" t="n">
        <v>2430</v>
      </c>
      <c r="J165" s="43" t="inlineStr">
        <is>
          <t>設定なし</t>
        </is>
      </c>
      <c r="K165" s="43" t="b">
        <v>0</v>
      </c>
      <c r="L165" s="43" t="inlineStr">
        <is>
          <t>43</t>
        </is>
      </c>
      <c r="M165" s="43" t="inlineStr">
        <is>
          <t>＿＿</t>
        </is>
      </c>
    </row>
    <row r="166">
      <c r="A166" s="43" t="inlineStr">
        <is>
          <t>SZ-SL-000417</t>
        </is>
      </c>
      <c r="B166" s="43" t="inlineStr">
        <is>
          <t>シャッター付引違い窓</t>
        </is>
      </c>
      <c r="C166" s="43" t="inlineStr">
        <is>
          <t>SP-SL-SHUT-E-WIND</t>
        </is>
      </c>
      <c r="D166" s="43" t="inlineStr">
        <is>
          <t>在来</t>
        </is>
      </c>
      <c r="E166" s="43" t="inlineStr">
        <is>
          <t>16522</t>
        </is>
      </c>
      <c r="F166" s="43" t="inlineStr">
        <is>
          <t>165</t>
        </is>
      </c>
      <c r="G166" s="43" t="inlineStr">
        <is>
          <t>22</t>
        </is>
      </c>
      <c r="H166" s="43" t="n">
        <v>1690</v>
      </c>
      <c r="I166" s="43" t="n">
        <v>2230</v>
      </c>
      <c r="J166" s="43" t="inlineStr">
        <is>
          <t>設定可</t>
        </is>
      </c>
      <c r="K166" s="43" t="b">
        <v>1</v>
      </c>
      <c r="L166" s="43" t="inlineStr">
        <is>
          <t>43</t>
        </is>
      </c>
      <c r="M166" s="43" t="inlineStr">
        <is>
          <t>+¥106,500 / +¥111,700</t>
        </is>
      </c>
    </row>
    <row r="167">
      <c r="A167" s="43" t="inlineStr">
        <is>
          <t>SZ-SL-000418</t>
        </is>
      </c>
      <c r="B167" s="43" t="inlineStr">
        <is>
          <t>シャッター付引違い窓</t>
        </is>
      </c>
      <c r="C167" s="43" t="inlineStr">
        <is>
          <t>SP-SL-SHUT-E-WIND</t>
        </is>
      </c>
      <c r="D167" s="43" t="inlineStr">
        <is>
          <t>在来</t>
        </is>
      </c>
      <c r="E167" s="43" t="inlineStr">
        <is>
          <t>16524</t>
        </is>
      </c>
      <c r="F167" s="43" t="inlineStr">
        <is>
          <t>165</t>
        </is>
      </c>
      <c r="G167" s="43" t="inlineStr">
        <is>
          <t>24</t>
        </is>
      </c>
      <c r="H167" s="43" t="n">
        <v>1690</v>
      </c>
      <c r="I167" s="43" t="n">
        <v>2430</v>
      </c>
      <c r="J167" s="43" t="inlineStr">
        <is>
          <t>設定なし</t>
        </is>
      </c>
      <c r="K167" s="43" t="b">
        <v>0</v>
      </c>
      <c r="L167" s="43" t="inlineStr">
        <is>
          <t>43</t>
        </is>
      </c>
      <c r="M167" s="43" t="inlineStr">
        <is>
          <t>＿＿</t>
        </is>
      </c>
    </row>
    <row r="168">
      <c r="A168" s="43" t="inlineStr">
        <is>
          <t>SZ-SL-000419</t>
        </is>
      </c>
      <c r="B168" s="43" t="inlineStr">
        <is>
          <t>シャッター付引違い窓</t>
        </is>
      </c>
      <c r="C168" s="43" t="inlineStr">
        <is>
          <t>SP-SL-SHUT-E-WIND</t>
        </is>
      </c>
      <c r="D168" s="43" t="inlineStr">
        <is>
          <t>在来</t>
        </is>
      </c>
      <c r="E168" s="43" t="inlineStr">
        <is>
          <t>17422</t>
        </is>
      </c>
      <c r="F168" s="43" t="inlineStr">
        <is>
          <t>174</t>
        </is>
      </c>
      <c r="G168" s="43" t="inlineStr">
        <is>
          <t>22</t>
        </is>
      </c>
      <c r="H168" s="43" t="n">
        <v>1780</v>
      </c>
      <c r="I168" s="43" t="n">
        <v>2230</v>
      </c>
      <c r="J168" s="43" t="inlineStr">
        <is>
          <t>設定なし</t>
        </is>
      </c>
      <c r="K168" s="43" t="b">
        <v>0</v>
      </c>
      <c r="L168" s="43" t="inlineStr">
        <is>
          <t>43</t>
        </is>
      </c>
      <c r="M168" s="43" t="inlineStr">
        <is>
          <t>＿＿</t>
        </is>
      </c>
    </row>
    <row r="169">
      <c r="A169" s="43" t="inlineStr">
        <is>
          <t>SZ-SL-000420</t>
        </is>
      </c>
      <c r="B169" s="43" t="inlineStr">
        <is>
          <t>シャッター付引違い窓</t>
        </is>
      </c>
      <c r="C169" s="43" t="inlineStr">
        <is>
          <t>SP-SL-SHUT-E-WIND</t>
        </is>
      </c>
      <c r="D169" s="43" t="inlineStr">
        <is>
          <t>在来</t>
        </is>
      </c>
      <c r="E169" s="43" t="inlineStr">
        <is>
          <t>17424</t>
        </is>
      </c>
      <c r="F169" s="43" t="inlineStr">
        <is>
          <t>174</t>
        </is>
      </c>
      <c r="G169" s="43" t="inlineStr">
        <is>
          <t>24</t>
        </is>
      </c>
      <c r="H169" s="43" t="n">
        <v>1780</v>
      </c>
      <c r="I169" s="43" t="n">
        <v>2430</v>
      </c>
      <c r="J169" s="43" t="inlineStr">
        <is>
          <t>設定なし</t>
        </is>
      </c>
      <c r="K169" s="43" t="b">
        <v>0</v>
      </c>
      <c r="L169" s="43" t="inlineStr">
        <is>
          <t>43</t>
        </is>
      </c>
      <c r="M169" s="43" t="inlineStr">
        <is>
          <t>＿＿</t>
        </is>
      </c>
    </row>
    <row r="170">
      <c r="A170" s="43" t="inlineStr">
        <is>
          <t>SZ-SL-000421</t>
        </is>
      </c>
      <c r="B170" s="43" t="inlineStr">
        <is>
          <t>シャッター付引違い窓</t>
        </is>
      </c>
      <c r="C170" s="43" t="inlineStr">
        <is>
          <t>SP-SL-SHUT-E-WIND</t>
        </is>
      </c>
      <c r="D170" s="43" t="inlineStr">
        <is>
          <t>在来</t>
        </is>
      </c>
      <c r="E170" s="43" t="inlineStr">
        <is>
          <t>17622</t>
        </is>
      </c>
      <c r="F170" s="43" t="inlineStr">
        <is>
          <t>176</t>
        </is>
      </c>
      <c r="G170" s="43" t="inlineStr">
        <is>
          <t>22</t>
        </is>
      </c>
      <c r="H170" s="43" t="n">
        <v>1800</v>
      </c>
      <c r="I170" s="43" t="n">
        <v>2230</v>
      </c>
      <c r="J170" s="43" t="inlineStr">
        <is>
          <t>設定なし</t>
        </is>
      </c>
      <c r="K170" s="43" t="b">
        <v>0</v>
      </c>
      <c r="L170" s="43" t="inlineStr">
        <is>
          <t>43</t>
        </is>
      </c>
      <c r="M170" s="43" t="inlineStr">
        <is>
          <t>＿＿</t>
        </is>
      </c>
    </row>
    <row r="171">
      <c r="A171" s="43" t="inlineStr">
        <is>
          <t>SZ-SL-000422</t>
        </is>
      </c>
      <c r="B171" s="43" t="inlineStr">
        <is>
          <t>シャッター付引違い窓</t>
        </is>
      </c>
      <c r="C171" s="43" t="inlineStr">
        <is>
          <t>SP-SL-SHUT-E-WIND</t>
        </is>
      </c>
      <c r="D171" s="43" t="inlineStr">
        <is>
          <t>在来</t>
        </is>
      </c>
      <c r="E171" s="43" t="inlineStr">
        <is>
          <t>17624</t>
        </is>
      </c>
      <c r="F171" s="43" t="inlineStr">
        <is>
          <t>176</t>
        </is>
      </c>
      <c r="G171" s="43" t="inlineStr">
        <is>
          <t>24</t>
        </is>
      </c>
      <c r="H171" s="43" t="n">
        <v>1800</v>
      </c>
      <c r="I171" s="43" t="n">
        <v>2430</v>
      </c>
      <c r="J171" s="43" t="inlineStr">
        <is>
          <t>設定なし</t>
        </is>
      </c>
      <c r="K171" s="43" t="b">
        <v>0</v>
      </c>
      <c r="L171" s="43" t="inlineStr">
        <is>
          <t>43</t>
        </is>
      </c>
      <c r="M171" s="43" t="inlineStr">
        <is>
          <t>＿＿</t>
        </is>
      </c>
    </row>
    <row r="172">
      <c r="A172" s="43" t="inlineStr">
        <is>
          <t>SZ-SL-000423</t>
        </is>
      </c>
      <c r="B172" s="43" t="inlineStr">
        <is>
          <t>シャッター付引違い窓</t>
        </is>
      </c>
      <c r="C172" s="43" t="inlineStr">
        <is>
          <t>SP-SL-SHUT-E-WIND</t>
        </is>
      </c>
      <c r="D172" s="43" t="inlineStr">
        <is>
          <t>在来</t>
        </is>
      </c>
      <c r="E172" s="43" t="inlineStr">
        <is>
          <t>18022</t>
        </is>
      </c>
      <c r="F172" s="43" t="inlineStr">
        <is>
          <t>180</t>
        </is>
      </c>
      <c r="G172" s="43" t="inlineStr">
        <is>
          <t>22</t>
        </is>
      </c>
      <c r="H172" s="43" t="n">
        <v>1845</v>
      </c>
      <c r="I172" s="43" t="n">
        <v>2230</v>
      </c>
      <c r="J172" s="43" t="inlineStr">
        <is>
          <t>設定なし</t>
        </is>
      </c>
      <c r="K172" s="43" t="b">
        <v>0</v>
      </c>
      <c r="L172" s="43" t="inlineStr">
        <is>
          <t>43</t>
        </is>
      </c>
      <c r="M172" s="43" t="inlineStr">
        <is>
          <t>＿＿</t>
        </is>
      </c>
    </row>
    <row r="173">
      <c r="A173" s="43" t="inlineStr">
        <is>
          <t>SZ-SL-000424</t>
        </is>
      </c>
      <c r="B173" s="43" t="inlineStr">
        <is>
          <t>シャッター付引違い窓</t>
        </is>
      </c>
      <c r="C173" s="43" t="inlineStr">
        <is>
          <t>SP-SL-SHUT-E-WIND</t>
        </is>
      </c>
      <c r="D173" s="43" t="inlineStr">
        <is>
          <t>在来</t>
        </is>
      </c>
      <c r="E173" s="43" t="inlineStr">
        <is>
          <t>18024</t>
        </is>
      </c>
      <c r="F173" s="43" t="inlineStr">
        <is>
          <t>180</t>
        </is>
      </c>
      <c r="G173" s="43" t="inlineStr">
        <is>
          <t>24</t>
        </is>
      </c>
      <c r="H173" s="43" t="n">
        <v>1845</v>
      </c>
      <c r="I173" s="43" t="n">
        <v>2430</v>
      </c>
      <c r="J173" s="43" t="inlineStr">
        <is>
          <t>設定なし</t>
        </is>
      </c>
      <c r="K173" s="43" t="b">
        <v>0</v>
      </c>
      <c r="L173" s="43" t="inlineStr">
        <is>
          <t>43</t>
        </is>
      </c>
      <c r="M173" s="43" t="inlineStr">
        <is>
          <t>＿＿</t>
        </is>
      </c>
    </row>
    <row r="174">
      <c r="A174" s="43" t="inlineStr">
        <is>
          <t>SZ-SL-000431</t>
        </is>
      </c>
      <c r="B174" s="43" t="inlineStr">
        <is>
          <t>シャッター付引違い窓</t>
        </is>
      </c>
      <c r="C174" s="43" t="inlineStr">
        <is>
          <t>SP-SL-SHUT-E-VENT</t>
        </is>
      </c>
      <c r="D174" s="43" t="inlineStr">
        <is>
          <t>在来</t>
        </is>
      </c>
      <c r="E174" s="43" t="inlineStr">
        <is>
          <t>18622</t>
        </is>
      </c>
      <c r="F174" s="43" t="inlineStr">
        <is>
          <t>186</t>
        </is>
      </c>
      <c r="G174" s="43" t="inlineStr">
        <is>
          <t>22</t>
        </is>
      </c>
      <c r="H174" s="43" t="n">
        <v>1900</v>
      </c>
      <c r="I174" s="43" t="n">
        <v>2230</v>
      </c>
      <c r="J174" s="43" t="inlineStr">
        <is>
          <t>設定可</t>
        </is>
      </c>
      <c r="K174" s="43" t="b">
        <v>1</v>
      </c>
      <c r="L174" s="43" t="inlineStr">
        <is>
          <t>44</t>
        </is>
      </c>
      <c r="M174" s="43" t="inlineStr">
        <is>
          <t>+¥341,200 / +¥358,500</t>
        </is>
      </c>
    </row>
    <row r="175">
      <c r="A175" s="43" t="inlineStr">
        <is>
          <t>SZ-SL-000432</t>
        </is>
      </c>
      <c r="B175" s="43" t="inlineStr">
        <is>
          <t>シャッター付引違い窓</t>
        </is>
      </c>
      <c r="C175" s="43" t="inlineStr">
        <is>
          <t>SP-SL-SHUT-E-VENT</t>
        </is>
      </c>
      <c r="D175" s="43" t="inlineStr">
        <is>
          <t>在来</t>
        </is>
      </c>
      <c r="E175" s="43" t="inlineStr">
        <is>
          <t>18624</t>
        </is>
      </c>
      <c r="F175" s="43" t="inlineStr">
        <is>
          <t>186</t>
        </is>
      </c>
      <c r="G175" s="43" t="inlineStr">
        <is>
          <t>24</t>
        </is>
      </c>
      <c r="H175" s="43" t="n">
        <v>1900</v>
      </c>
      <c r="I175" s="43" t="n">
        <v>2430</v>
      </c>
      <c r="J175" s="43" t="inlineStr">
        <is>
          <t>設定なし</t>
        </is>
      </c>
      <c r="K175" s="43" t="b">
        <v>0</v>
      </c>
      <c r="L175" s="43" t="inlineStr">
        <is>
          <t>44</t>
        </is>
      </c>
      <c r="M175" s="43" t="inlineStr">
        <is>
          <t>＿＿</t>
        </is>
      </c>
    </row>
    <row r="176">
      <c r="A176" s="43" t="inlineStr">
        <is>
          <t>SZ-SL-000433</t>
        </is>
      </c>
      <c r="B176" s="43" t="inlineStr">
        <is>
          <t>シャッター付引違い窓</t>
        </is>
      </c>
      <c r="C176" s="43" t="inlineStr">
        <is>
          <t>SP-SL-SHUT-E-VENT</t>
        </is>
      </c>
      <c r="D176" s="43" t="inlineStr">
        <is>
          <t>在来</t>
        </is>
      </c>
      <c r="E176" s="43" t="inlineStr">
        <is>
          <t>25122-2</t>
        </is>
      </c>
      <c r="F176" s="43" t="inlineStr">
        <is>
          <t>251-2</t>
        </is>
      </c>
      <c r="G176" s="43" t="inlineStr">
        <is>
          <t>22</t>
        </is>
      </c>
      <c r="H176" s="43" t="n">
        <v>2550</v>
      </c>
      <c r="I176" s="43" t="n">
        <v>2230</v>
      </c>
      <c r="J176" s="43" t="inlineStr">
        <is>
          <t>設定可</t>
        </is>
      </c>
      <c r="K176" s="43" t="b">
        <v>1</v>
      </c>
      <c r="L176" s="43" t="inlineStr">
        <is>
          <t>44</t>
        </is>
      </c>
      <c r="M176" s="43" t="inlineStr">
        <is>
          <t>+¥340,300 / +¥357,700</t>
        </is>
      </c>
    </row>
    <row r="177">
      <c r="A177" s="43" t="inlineStr">
        <is>
          <t>SZ-SL-000434</t>
        </is>
      </c>
      <c r="B177" s="43" t="inlineStr">
        <is>
          <t>シャッター付引違い窓</t>
        </is>
      </c>
      <c r="C177" s="43" t="inlineStr">
        <is>
          <t>SP-SL-SHUT-E-VENT</t>
        </is>
      </c>
      <c r="D177" s="43" t="inlineStr">
        <is>
          <t>在来</t>
        </is>
      </c>
      <c r="E177" s="43" t="inlineStr">
        <is>
          <t>25122-4</t>
        </is>
      </c>
      <c r="F177" s="43" t="inlineStr">
        <is>
          <t>251-4</t>
        </is>
      </c>
      <c r="G177" s="43" t="inlineStr">
        <is>
          <t>22</t>
        </is>
      </c>
      <c r="H177" s="43" t="n">
        <v>2550</v>
      </c>
      <c r="I177" s="43" t="n">
        <v>2230</v>
      </c>
      <c r="J177" s="43" t="inlineStr">
        <is>
          <t>設定可</t>
        </is>
      </c>
      <c r="K177" s="43" t="b">
        <v>1</v>
      </c>
      <c r="L177" s="43" t="inlineStr">
        <is>
          <t>44</t>
        </is>
      </c>
      <c r="M177" s="43" t="inlineStr">
        <is>
          <t>+¥340,300 / ¥357,700</t>
        </is>
      </c>
    </row>
    <row r="178">
      <c r="A178" s="43" t="inlineStr">
        <is>
          <t>SZ-SL-000435</t>
        </is>
      </c>
      <c r="B178" s="43" t="inlineStr">
        <is>
          <t>シャッター付引違い窓</t>
        </is>
      </c>
      <c r="C178" s="43" t="inlineStr">
        <is>
          <t>SP-SL-SHUT-E-VENT</t>
        </is>
      </c>
      <c r="D178" s="43" t="inlineStr">
        <is>
          <t>在来</t>
        </is>
      </c>
      <c r="E178" s="43" t="inlineStr">
        <is>
          <t>25124-2</t>
        </is>
      </c>
      <c r="F178" s="43" t="inlineStr">
        <is>
          <t>251-2</t>
        </is>
      </c>
      <c r="G178" s="43" t="inlineStr">
        <is>
          <t>24</t>
        </is>
      </c>
      <c r="H178" s="43" t="n">
        <v>2550</v>
      </c>
      <c r="I178" s="43" t="n">
        <v>2430</v>
      </c>
      <c r="J178" s="43" t="inlineStr">
        <is>
          <t>設定なし</t>
        </is>
      </c>
      <c r="K178" s="43" t="b">
        <v>0</v>
      </c>
      <c r="L178" s="43" t="inlineStr">
        <is>
          <t>44</t>
        </is>
      </c>
      <c r="M178" s="43" t="inlineStr">
        <is>
          <t>＿＿</t>
        </is>
      </c>
    </row>
    <row r="179">
      <c r="A179" s="43" t="inlineStr">
        <is>
          <t>SZ-SL-000436</t>
        </is>
      </c>
      <c r="B179" s="43" t="inlineStr">
        <is>
          <t>シャッター付引違い窓</t>
        </is>
      </c>
      <c r="C179" s="43" t="inlineStr">
        <is>
          <t>SP-SL-SHUT-E-VENT</t>
        </is>
      </c>
      <c r="D179" s="43" t="inlineStr">
        <is>
          <t>在来</t>
        </is>
      </c>
      <c r="E179" s="43" t="inlineStr">
        <is>
          <t>25124-4</t>
        </is>
      </c>
      <c r="F179" s="43" t="inlineStr">
        <is>
          <t>251-4</t>
        </is>
      </c>
      <c r="G179" s="43" t="inlineStr">
        <is>
          <t>24</t>
        </is>
      </c>
      <c r="H179" s="43" t="n">
        <v>2550</v>
      </c>
      <c r="I179" s="43" t="n">
        <v>2430</v>
      </c>
      <c r="J179" s="43" t="inlineStr">
        <is>
          <t>設定なし</t>
        </is>
      </c>
      <c r="K179" s="43" t="b">
        <v>0</v>
      </c>
      <c r="L179" s="43" t="inlineStr">
        <is>
          <t>44</t>
        </is>
      </c>
      <c r="M179" s="43" t="inlineStr">
        <is>
          <t>＿＿</t>
        </is>
      </c>
    </row>
    <row r="180">
      <c r="A180" s="43" t="inlineStr">
        <is>
          <t>SZ-SL-000437</t>
        </is>
      </c>
      <c r="B180" s="43" t="inlineStr">
        <is>
          <t>シャッター付引違い窓</t>
        </is>
      </c>
      <c r="C180" s="43" t="inlineStr">
        <is>
          <t>SP-SL-SHUT-E-WIND</t>
        </is>
      </c>
      <c r="D180" s="43" t="inlineStr">
        <is>
          <t>在来</t>
        </is>
      </c>
      <c r="E180" s="43" t="inlineStr">
        <is>
          <t>18622</t>
        </is>
      </c>
      <c r="F180" s="43" t="inlineStr">
        <is>
          <t>186</t>
        </is>
      </c>
      <c r="G180" s="43" t="inlineStr">
        <is>
          <t>22</t>
        </is>
      </c>
      <c r="H180" s="43" t="n">
        <v>1900</v>
      </c>
      <c r="I180" s="43" t="n">
        <v>2230</v>
      </c>
      <c r="J180" s="43" t="inlineStr">
        <is>
          <t>設定なし</t>
        </is>
      </c>
      <c r="K180" s="43" t="b">
        <v>0</v>
      </c>
      <c r="L180" s="43" t="inlineStr">
        <is>
          <t>44</t>
        </is>
      </c>
      <c r="M180" s="43" t="inlineStr">
        <is>
          <t>＿＿</t>
        </is>
      </c>
    </row>
    <row r="181">
      <c r="A181" s="43" t="inlineStr">
        <is>
          <t>SZ-SL-000438</t>
        </is>
      </c>
      <c r="B181" s="43" t="inlineStr">
        <is>
          <t>シャッター付引違い窓</t>
        </is>
      </c>
      <c r="C181" s="43" t="inlineStr">
        <is>
          <t>SP-SL-SHUT-E-WIND</t>
        </is>
      </c>
      <c r="D181" s="43" t="inlineStr">
        <is>
          <t>在来</t>
        </is>
      </c>
      <c r="E181" s="43" t="inlineStr">
        <is>
          <t>18624</t>
        </is>
      </c>
      <c r="F181" s="43" t="inlineStr">
        <is>
          <t>186</t>
        </is>
      </c>
      <c r="G181" s="43" t="inlineStr">
        <is>
          <t>24</t>
        </is>
      </c>
      <c r="H181" s="43" t="n">
        <v>1900</v>
      </c>
      <c r="I181" s="43" t="n">
        <v>2430</v>
      </c>
      <c r="J181" s="43" t="inlineStr">
        <is>
          <t>設定なし</t>
        </is>
      </c>
      <c r="K181" s="43" t="b">
        <v>0</v>
      </c>
      <c r="L181" s="43" t="inlineStr">
        <is>
          <t>44</t>
        </is>
      </c>
      <c r="M181" s="43" t="inlineStr">
        <is>
          <t>＿＿</t>
        </is>
      </c>
    </row>
    <row r="182">
      <c r="A182" s="43" t="inlineStr">
        <is>
          <t>SZ-SL-000439</t>
        </is>
      </c>
      <c r="B182" s="43" t="inlineStr">
        <is>
          <t>シャッター付引違い窓</t>
        </is>
      </c>
      <c r="C182" s="43" t="inlineStr">
        <is>
          <t>SP-SL-SHUT-E-WIND</t>
        </is>
      </c>
      <c r="D182" s="43" t="inlineStr">
        <is>
          <t>在来</t>
        </is>
      </c>
      <c r="E182" s="43" t="inlineStr">
        <is>
          <t>25122-2</t>
        </is>
      </c>
      <c r="F182" s="43" t="inlineStr">
        <is>
          <t>251-2</t>
        </is>
      </c>
      <c r="G182" s="43" t="inlineStr">
        <is>
          <t>22</t>
        </is>
      </c>
      <c r="H182" s="43" t="n">
        <v>2550</v>
      </c>
      <c r="I182" s="43" t="n">
        <v>2230</v>
      </c>
      <c r="J182" s="43" t="inlineStr">
        <is>
          <t>設定可</t>
        </is>
      </c>
      <c r="K182" s="43" t="b">
        <v>1</v>
      </c>
      <c r="L182" s="43" t="inlineStr">
        <is>
          <t>44</t>
        </is>
      </c>
      <c r="M182" s="43" t="inlineStr">
        <is>
          <t>+¥177,400 / +¥186,200</t>
        </is>
      </c>
    </row>
    <row r="183">
      <c r="A183" s="43" t="inlineStr">
        <is>
          <t>SZ-SL-000440</t>
        </is>
      </c>
      <c r="B183" s="43" t="inlineStr">
        <is>
          <t>シャッター付引違い窓</t>
        </is>
      </c>
      <c r="C183" s="43" t="inlineStr">
        <is>
          <t>SP-SL-SHUT-E-WIND</t>
        </is>
      </c>
      <c r="D183" s="43" t="inlineStr">
        <is>
          <t>在来</t>
        </is>
      </c>
      <c r="E183" s="43" t="inlineStr">
        <is>
          <t>25122-4</t>
        </is>
      </c>
      <c r="F183" s="43" t="inlineStr">
        <is>
          <t>251-4</t>
        </is>
      </c>
      <c r="G183" s="43" t="inlineStr">
        <is>
          <t>22</t>
        </is>
      </c>
      <c r="H183" s="43" t="n">
        <v>2550</v>
      </c>
      <c r="I183" s="43" t="n">
        <v>2230</v>
      </c>
      <c r="J183" s="43" t="inlineStr">
        <is>
          <t>設定可</t>
        </is>
      </c>
      <c r="K183" s="43" t="b">
        <v>1</v>
      </c>
      <c r="L183" s="43" t="inlineStr">
        <is>
          <t>44</t>
        </is>
      </c>
      <c r="M183" s="43" t="inlineStr">
        <is>
          <t>+¥177,400 / ¥186,200</t>
        </is>
      </c>
    </row>
    <row r="184">
      <c r="A184" s="43" t="inlineStr">
        <is>
          <t>SZ-SL-000441</t>
        </is>
      </c>
      <c r="B184" s="43" t="inlineStr">
        <is>
          <t>シャッター付引違い窓</t>
        </is>
      </c>
      <c r="C184" s="43" t="inlineStr">
        <is>
          <t>SP-SL-SHUT-E-WIND</t>
        </is>
      </c>
      <c r="D184" s="43" t="inlineStr">
        <is>
          <t>在来</t>
        </is>
      </c>
      <c r="E184" s="43" t="inlineStr">
        <is>
          <t>25124-2</t>
        </is>
      </c>
      <c r="F184" s="43" t="inlineStr">
        <is>
          <t>251-2</t>
        </is>
      </c>
      <c r="G184" s="43" t="inlineStr">
        <is>
          <t>24</t>
        </is>
      </c>
      <c r="H184" s="43" t="n">
        <v>2550</v>
      </c>
      <c r="I184" s="43" t="n">
        <v>2430</v>
      </c>
      <c r="J184" s="43" t="inlineStr">
        <is>
          <t>設定なし</t>
        </is>
      </c>
      <c r="K184" s="43" t="b">
        <v>0</v>
      </c>
      <c r="L184" s="43" t="inlineStr">
        <is>
          <t>44</t>
        </is>
      </c>
      <c r="M184" s="43" t="inlineStr">
        <is>
          <t>＿＿</t>
        </is>
      </c>
    </row>
    <row r="185">
      <c r="A185" s="43" t="inlineStr">
        <is>
          <t>SZ-SL-000442</t>
        </is>
      </c>
      <c r="B185" s="43" t="inlineStr">
        <is>
          <t>シャッター付引違い窓</t>
        </is>
      </c>
      <c r="C185" s="43" t="inlineStr">
        <is>
          <t>SP-SL-SHUT-E-WIND</t>
        </is>
      </c>
      <c r="D185" s="43" t="inlineStr">
        <is>
          <t>在来</t>
        </is>
      </c>
      <c r="E185" s="43" t="inlineStr">
        <is>
          <t>25124-4</t>
        </is>
      </c>
      <c r="F185" s="43" t="inlineStr">
        <is>
          <t>251-4</t>
        </is>
      </c>
      <c r="G185" s="43" t="inlineStr">
        <is>
          <t>24</t>
        </is>
      </c>
      <c r="H185" s="43" t="n">
        <v>2550</v>
      </c>
      <c r="I185" s="43" t="n">
        <v>2430</v>
      </c>
      <c r="J185" s="43" t="inlineStr">
        <is>
          <t>設定なし</t>
        </is>
      </c>
      <c r="K185" s="43" t="b">
        <v>0</v>
      </c>
      <c r="L185" s="43" t="inlineStr">
        <is>
          <t>44</t>
        </is>
      </c>
      <c r="M185" s="43" t="inlineStr">
        <is>
          <t>＿＿</t>
        </is>
      </c>
    </row>
    <row r="186">
      <c r="A186" s="43" t="inlineStr">
        <is>
          <t>SZ-SL-000449</t>
        </is>
      </c>
      <c r="B186" s="43" t="inlineStr">
        <is>
          <t>シャッター付引違い窓</t>
        </is>
      </c>
      <c r="C186" s="43" t="inlineStr">
        <is>
          <t>SP-SL-SHUT-E-VENT</t>
        </is>
      </c>
      <c r="D186" s="43" t="inlineStr">
        <is>
          <t>在来</t>
        </is>
      </c>
      <c r="E186" s="43" t="inlineStr">
        <is>
          <t>25622-2</t>
        </is>
      </c>
      <c r="F186" s="43" t="inlineStr">
        <is>
          <t>256-2</t>
        </is>
      </c>
      <c r="G186" s="43" t="inlineStr">
        <is>
          <t>22</t>
        </is>
      </c>
      <c r="H186" s="43" t="n">
        <v>2600</v>
      </c>
      <c r="I186" s="43" t="n">
        <v>2230</v>
      </c>
      <c r="J186" s="43" t="inlineStr">
        <is>
          <t>設定可</t>
        </is>
      </c>
      <c r="K186" s="43" t="b">
        <v>1</v>
      </c>
      <c r="L186" s="43" t="inlineStr">
        <is>
          <t>45</t>
        </is>
      </c>
      <c r="M186" s="43" t="inlineStr">
        <is>
          <t>+¥340,300 / +¥357,700</t>
        </is>
      </c>
    </row>
    <row r="187">
      <c r="A187" s="43" t="inlineStr">
        <is>
          <t>SZ-SL-000450</t>
        </is>
      </c>
      <c r="B187" s="43" t="inlineStr">
        <is>
          <t>シャッター付引違い窓</t>
        </is>
      </c>
      <c r="C187" s="43" t="inlineStr">
        <is>
          <t>SP-SL-SHUT-E-VENT</t>
        </is>
      </c>
      <c r="D187" s="43" t="inlineStr">
        <is>
          <t>在来</t>
        </is>
      </c>
      <c r="E187" s="43" t="inlineStr">
        <is>
          <t>25622-4</t>
        </is>
      </c>
      <c r="F187" s="43" t="inlineStr">
        <is>
          <t>256-4</t>
        </is>
      </c>
      <c r="G187" s="43" t="inlineStr">
        <is>
          <t>22</t>
        </is>
      </c>
      <c r="H187" s="43" t="n">
        <v>2600</v>
      </c>
      <c r="I187" s="43" t="n">
        <v>2230</v>
      </c>
      <c r="J187" s="43" t="inlineStr">
        <is>
          <t>設定可</t>
        </is>
      </c>
      <c r="K187" s="43" t="b">
        <v>1</v>
      </c>
      <c r="L187" s="43" t="inlineStr">
        <is>
          <t>45</t>
        </is>
      </c>
      <c r="M187" s="43" t="inlineStr">
        <is>
          <t>+¥340,300 / +¥357,700</t>
        </is>
      </c>
    </row>
    <row r="188">
      <c r="A188" s="43" t="inlineStr">
        <is>
          <t>SZ-SL-000451</t>
        </is>
      </c>
      <c r="B188" s="43" t="inlineStr">
        <is>
          <t>シャッター付引違い窓</t>
        </is>
      </c>
      <c r="C188" s="43" t="inlineStr">
        <is>
          <t>SP-SL-SHUT-E-VENT</t>
        </is>
      </c>
      <c r="D188" s="43" t="inlineStr">
        <is>
          <t>在来</t>
        </is>
      </c>
      <c r="E188" s="43" t="inlineStr">
        <is>
          <t>25624-2</t>
        </is>
      </c>
      <c r="F188" s="43" t="inlineStr">
        <is>
          <t>256-2</t>
        </is>
      </c>
      <c r="G188" s="43" t="inlineStr">
        <is>
          <t>24</t>
        </is>
      </c>
      <c r="H188" s="43" t="n">
        <v>2600</v>
      </c>
      <c r="I188" s="43" t="n">
        <v>2430</v>
      </c>
      <c r="J188" s="43" t="inlineStr">
        <is>
          <t>設定なし</t>
        </is>
      </c>
      <c r="K188" s="43" t="b">
        <v>0</v>
      </c>
      <c r="L188" s="43" t="inlineStr">
        <is>
          <t>45</t>
        </is>
      </c>
      <c r="M188" s="43" t="inlineStr">
        <is>
          <t>＿＿</t>
        </is>
      </c>
    </row>
    <row r="189">
      <c r="A189" s="43" t="inlineStr">
        <is>
          <t>SZ-SL-000452</t>
        </is>
      </c>
      <c r="B189" s="43" t="inlineStr">
        <is>
          <t>シャッター付引違い窓</t>
        </is>
      </c>
      <c r="C189" s="43" t="inlineStr">
        <is>
          <t>SP-SL-SHUT-E-VENT</t>
        </is>
      </c>
      <c r="D189" s="43" t="inlineStr">
        <is>
          <t>在来</t>
        </is>
      </c>
      <c r="E189" s="43" t="inlineStr">
        <is>
          <t>25624-4</t>
        </is>
      </c>
      <c r="F189" s="43" t="inlineStr">
        <is>
          <t>256-4</t>
        </is>
      </c>
      <c r="G189" s="43" t="inlineStr">
        <is>
          <t>24</t>
        </is>
      </c>
      <c r="H189" s="43" t="n">
        <v>2600</v>
      </c>
      <c r="I189" s="43" t="n">
        <v>2430</v>
      </c>
      <c r="J189" s="43" t="inlineStr">
        <is>
          <t>設定なし</t>
        </is>
      </c>
      <c r="K189" s="43" t="b">
        <v>0</v>
      </c>
      <c r="L189" s="43" t="inlineStr">
        <is>
          <t>45</t>
        </is>
      </c>
      <c r="M189" s="43" t="inlineStr">
        <is>
          <t>＿＿</t>
        </is>
      </c>
    </row>
    <row r="190">
      <c r="A190" s="43" t="inlineStr">
        <is>
          <t>SZ-SL-000453</t>
        </is>
      </c>
      <c r="B190" s="43" t="inlineStr">
        <is>
          <t>シャッター付引違い窓</t>
        </is>
      </c>
      <c r="C190" s="43" t="inlineStr">
        <is>
          <t>SP-SL-SHUT-E-VENT</t>
        </is>
      </c>
      <c r="D190" s="43" t="inlineStr">
        <is>
          <t>在来</t>
        </is>
      </c>
      <c r="E190" s="43" t="inlineStr">
        <is>
          <t>34722</t>
        </is>
      </c>
      <c r="F190" s="43" t="inlineStr">
        <is>
          <t>347</t>
        </is>
      </c>
      <c r="G190" s="43" t="inlineStr">
        <is>
          <t>22</t>
        </is>
      </c>
      <c r="H190" s="43" t="n">
        <v>3510</v>
      </c>
      <c r="I190" s="43" t="n">
        <v>2230</v>
      </c>
      <c r="J190" s="43" t="inlineStr">
        <is>
          <t>設定可</t>
        </is>
      </c>
      <c r="K190" s="43" t="b">
        <v>1</v>
      </c>
      <c r="L190" s="43" t="inlineStr">
        <is>
          <t>45</t>
        </is>
      </c>
      <c r="M190" s="43" t="inlineStr">
        <is>
          <t>+¥602,200 / +¥632,300</t>
        </is>
      </c>
    </row>
    <row r="191">
      <c r="A191" s="43" t="inlineStr">
        <is>
          <t>SZ-SL-000454</t>
        </is>
      </c>
      <c r="B191" s="43" t="inlineStr">
        <is>
          <t>シャッター付引違い窓</t>
        </is>
      </c>
      <c r="C191" s="43" t="inlineStr">
        <is>
          <t>SP-SL-SHUT-E-VENT</t>
        </is>
      </c>
      <c r="D191" s="43" t="inlineStr">
        <is>
          <t>在来</t>
        </is>
      </c>
      <c r="E191" s="43" t="inlineStr">
        <is>
          <t>34724</t>
        </is>
      </c>
      <c r="F191" s="43" t="inlineStr">
        <is>
          <t>347</t>
        </is>
      </c>
      <c r="G191" s="43" t="inlineStr">
        <is>
          <t>24</t>
        </is>
      </c>
      <c r="H191" s="43" t="n">
        <v>3510</v>
      </c>
      <c r="I191" s="43" t="n">
        <v>2430</v>
      </c>
      <c r="J191" s="43" t="inlineStr">
        <is>
          <t>設定なし</t>
        </is>
      </c>
      <c r="K191" s="43" t="b">
        <v>0</v>
      </c>
      <c r="L191" s="43" t="inlineStr">
        <is>
          <t>45</t>
        </is>
      </c>
      <c r="M191" s="43" t="inlineStr">
        <is>
          <t>＿＿</t>
        </is>
      </c>
    </row>
    <row r="192">
      <c r="A192" s="43" t="inlineStr">
        <is>
          <t>SZ-SL-000455</t>
        </is>
      </c>
      <c r="B192" s="43" t="inlineStr">
        <is>
          <t>シャッター付引違い窓</t>
        </is>
      </c>
      <c r="C192" s="43" t="inlineStr">
        <is>
          <t>SP-SL-SHUT-E-WIND</t>
        </is>
      </c>
      <c r="D192" s="43" t="inlineStr">
        <is>
          <t>在来</t>
        </is>
      </c>
      <c r="E192" s="43" t="inlineStr">
        <is>
          <t>25622-2</t>
        </is>
      </c>
      <c r="F192" s="43" t="inlineStr">
        <is>
          <t>256-2</t>
        </is>
      </c>
      <c r="G192" s="43" t="inlineStr">
        <is>
          <t>22</t>
        </is>
      </c>
      <c r="H192" s="43" t="n">
        <v>2600</v>
      </c>
      <c r="I192" s="43" t="n">
        <v>2230</v>
      </c>
      <c r="J192" s="43" t="inlineStr">
        <is>
          <t>設定可</t>
        </is>
      </c>
      <c r="K192" s="43" t="b">
        <v>1</v>
      </c>
      <c r="L192" s="43" t="inlineStr">
        <is>
          <t>45</t>
        </is>
      </c>
      <c r="M192" s="43" t="inlineStr">
        <is>
          <t>+¥177,400 / +¥186,200</t>
        </is>
      </c>
    </row>
    <row r="193">
      <c r="A193" s="43" t="inlineStr">
        <is>
          <t>SZ-SL-000456</t>
        </is>
      </c>
      <c r="B193" s="43" t="inlineStr">
        <is>
          <t>シャッター付引違い窓</t>
        </is>
      </c>
      <c r="C193" s="43" t="inlineStr">
        <is>
          <t>SP-SL-SHUT-E-WIND</t>
        </is>
      </c>
      <c r="D193" s="43" t="inlineStr">
        <is>
          <t>在来</t>
        </is>
      </c>
      <c r="E193" s="43" t="inlineStr">
        <is>
          <t>25622-4</t>
        </is>
      </c>
      <c r="F193" s="43" t="inlineStr">
        <is>
          <t>256-4</t>
        </is>
      </c>
      <c r="G193" s="43" t="inlineStr">
        <is>
          <t>22</t>
        </is>
      </c>
      <c r="H193" s="43" t="n">
        <v>2600</v>
      </c>
      <c r="I193" s="43" t="n">
        <v>2230</v>
      </c>
      <c r="J193" s="43" t="inlineStr">
        <is>
          <t>設定可</t>
        </is>
      </c>
      <c r="K193" s="43" t="b">
        <v>1</v>
      </c>
      <c r="L193" s="43" t="inlineStr">
        <is>
          <t>45</t>
        </is>
      </c>
      <c r="M193" s="43" t="inlineStr">
        <is>
          <t>+¥177,400 / +¥186,200</t>
        </is>
      </c>
    </row>
    <row r="194">
      <c r="A194" s="43" t="inlineStr">
        <is>
          <t>SZ-SL-000457</t>
        </is>
      </c>
      <c r="B194" s="43" t="inlineStr">
        <is>
          <t>シャッター付引違い窓</t>
        </is>
      </c>
      <c r="C194" s="43" t="inlineStr">
        <is>
          <t>SP-SL-SHUT-E-WIND</t>
        </is>
      </c>
      <c r="D194" s="43" t="inlineStr">
        <is>
          <t>在来</t>
        </is>
      </c>
      <c r="E194" s="43" t="inlineStr">
        <is>
          <t>25624-2</t>
        </is>
      </c>
      <c r="F194" s="43" t="inlineStr">
        <is>
          <t>256-2</t>
        </is>
      </c>
      <c r="G194" s="43" t="inlineStr">
        <is>
          <t>24</t>
        </is>
      </c>
      <c r="H194" s="43" t="n">
        <v>2600</v>
      </c>
      <c r="I194" s="43" t="n">
        <v>2430</v>
      </c>
      <c r="J194" s="43" t="inlineStr">
        <is>
          <t>設定なし</t>
        </is>
      </c>
      <c r="K194" s="43" t="b">
        <v>0</v>
      </c>
      <c r="L194" s="43" t="inlineStr">
        <is>
          <t>45</t>
        </is>
      </c>
      <c r="M194" s="43" t="inlineStr">
        <is>
          <t>＿＿</t>
        </is>
      </c>
    </row>
    <row r="195">
      <c r="A195" s="43" t="inlineStr">
        <is>
          <t>SZ-SL-000458</t>
        </is>
      </c>
      <c r="B195" s="43" t="inlineStr">
        <is>
          <t>シャッター付引違い窓</t>
        </is>
      </c>
      <c r="C195" s="43" t="inlineStr">
        <is>
          <t>SP-SL-SHUT-E-WIND</t>
        </is>
      </c>
      <c r="D195" s="43" t="inlineStr">
        <is>
          <t>在来</t>
        </is>
      </c>
      <c r="E195" s="43" t="inlineStr">
        <is>
          <t>25624-4</t>
        </is>
      </c>
      <c r="F195" s="43" t="inlineStr">
        <is>
          <t>256-4</t>
        </is>
      </c>
      <c r="G195" s="43" t="inlineStr">
        <is>
          <t>24</t>
        </is>
      </c>
      <c r="H195" s="43" t="n">
        <v>2600</v>
      </c>
      <c r="I195" s="43" t="n">
        <v>2430</v>
      </c>
      <c r="J195" s="43" t="inlineStr">
        <is>
          <t>設定なし</t>
        </is>
      </c>
      <c r="K195" s="43" t="b">
        <v>0</v>
      </c>
      <c r="L195" s="43" t="inlineStr">
        <is>
          <t>45</t>
        </is>
      </c>
      <c r="M195" s="43" t="inlineStr">
        <is>
          <t>＿＿</t>
        </is>
      </c>
    </row>
    <row r="196">
      <c r="A196" s="43" t="inlineStr">
        <is>
          <t>SZ-SL-000459</t>
        </is>
      </c>
      <c r="B196" s="43" t="inlineStr">
        <is>
          <t>シャッター付引違い窓</t>
        </is>
      </c>
      <c r="C196" s="43" t="inlineStr">
        <is>
          <t>SP-SL-SHUT-E-WIND</t>
        </is>
      </c>
      <c r="D196" s="43" t="inlineStr">
        <is>
          <t>在来</t>
        </is>
      </c>
      <c r="E196" s="43" t="inlineStr">
        <is>
          <t>34722</t>
        </is>
      </c>
      <c r="F196" s="43" t="inlineStr">
        <is>
          <t>347</t>
        </is>
      </c>
      <c r="G196" s="43" t="inlineStr">
        <is>
          <t>22</t>
        </is>
      </c>
      <c r="H196" s="43" t="n">
        <v>3510</v>
      </c>
      <c r="I196" s="43" t="n">
        <v>2230</v>
      </c>
      <c r="J196" s="43" t="inlineStr">
        <is>
          <t>設定なし</t>
        </is>
      </c>
      <c r="K196" s="43" t="b">
        <v>0</v>
      </c>
      <c r="L196" s="43" t="inlineStr">
        <is>
          <t>45</t>
        </is>
      </c>
      <c r="M196" s="43" t="inlineStr">
        <is>
          <t>＿＿</t>
        </is>
      </c>
    </row>
    <row r="197">
      <c r="A197" s="43" t="inlineStr">
        <is>
          <t>SZ-SL-000460</t>
        </is>
      </c>
      <c r="B197" s="43" t="inlineStr">
        <is>
          <t>シャッター付引違い窓</t>
        </is>
      </c>
      <c r="C197" s="43" t="inlineStr">
        <is>
          <t>SP-SL-SHUT-E-WIND</t>
        </is>
      </c>
      <c r="D197" s="43" t="inlineStr">
        <is>
          <t>在来</t>
        </is>
      </c>
      <c r="E197" s="43" t="inlineStr">
        <is>
          <t>34724</t>
        </is>
      </c>
      <c r="F197" s="43" t="inlineStr">
        <is>
          <t>347</t>
        </is>
      </c>
      <c r="G197" s="43" t="inlineStr">
        <is>
          <t>24</t>
        </is>
      </c>
      <c r="H197" s="43" t="n">
        <v>3510</v>
      </c>
      <c r="I197" s="43" t="n">
        <v>2430</v>
      </c>
      <c r="J197" s="43" t="inlineStr">
        <is>
          <t>設定なし</t>
        </is>
      </c>
      <c r="K197" s="43" t="b">
        <v>0</v>
      </c>
      <c r="L197" s="43" t="inlineStr">
        <is>
          <t>45</t>
        </is>
      </c>
      <c r="M197" s="43" t="inlineStr">
        <is>
          <t>＿＿</t>
        </is>
      </c>
    </row>
    <row r="198">
      <c r="A198" s="43" t="inlineStr">
        <is>
          <t>SZ-SL-000463</t>
        </is>
      </c>
      <c r="B198" s="43" t="inlineStr">
        <is>
          <t>シャッター付引違い窓</t>
        </is>
      </c>
      <c r="C198" s="43" t="inlineStr">
        <is>
          <t>SP-SL-SHUT-E-VENT</t>
        </is>
      </c>
      <c r="D198" s="43" t="inlineStr">
        <is>
          <t>204</t>
        </is>
      </c>
      <c r="E198" s="43" t="inlineStr">
        <is>
          <t>24318-2</t>
        </is>
      </c>
      <c r="F198" s="43" t="inlineStr">
        <is>
          <t>243-2</t>
        </is>
      </c>
      <c r="G198" s="43" t="inlineStr">
        <is>
          <t>18</t>
        </is>
      </c>
      <c r="H198" s="43" t="n">
        <v>2470</v>
      </c>
      <c r="I198" s="43" t="n">
        <v>1830</v>
      </c>
      <c r="J198" s="43" t="inlineStr">
        <is>
          <t>設定可</t>
        </is>
      </c>
      <c r="K198" s="43" t="b">
        <v>1</v>
      </c>
      <c r="L198" s="43" t="inlineStr">
        <is>
          <t>46,50</t>
        </is>
      </c>
      <c r="M198" s="43" t="inlineStr">
        <is>
          <t>+¥340,800 / +¥357,900</t>
        </is>
      </c>
    </row>
    <row r="199">
      <c r="A199" s="43" t="inlineStr">
        <is>
          <t>SZ-SL-000464</t>
        </is>
      </c>
      <c r="B199" s="43" t="inlineStr">
        <is>
          <t>シャッター付引違い窓</t>
        </is>
      </c>
      <c r="C199" s="43" t="inlineStr">
        <is>
          <t>SP-SL-SHUT-E-VENT</t>
        </is>
      </c>
      <c r="D199" s="43" t="inlineStr">
        <is>
          <t>204</t>
        </is>
      </c>
      <c r="E199" s="43" t="inlineStr">
        <is>
          <t>24320-2</t>
        </is>
      </c>
      <c r="F199" s="43" t="inlineStr">
        <is>
          <t>243-2</t>
        </is>
      </c>
      <c r="G199" s="43" t="inlineStr">
        <is>
          <t>20</t>
        </is>
      </c>
      <c r="H199" s="43" t="n">
        <v>2470</v>
      </c>
      <c r="I199" s="43" t="n">
        <v>2030</v>
      </c>
      <c r="J199" s="43" t="inlineStr">
        <is>
          <t>設定可</t>
        </is>
      </c>
      <c r="K199" s="43" t="b">
        <v>1</v>
      </c>
      <c r="L199" s="43" t="inlineStr">
        <is>
          <t>46,50</t>
        </is>
      </c>
      <c r="M199" s="43" t="inlineStr">
        <is>
          <t>+¥340,600 / +¥357,700</t>
        </is>
      </c>
    </row>
    <row r="200">
      <c r="A200" s="43" t="inlineStr">
        <is>
          <t>SZ-SL-000465</t>
        </is>
      </c>
      <c r="B200" s="43" t="inlineStr">
        <is>
          <t>シャッター付引違い窓</t>
        </is>
      </c>
      <c r="C200" s="43" t="inlineStr">
        <is>
          <t>SP-SL-SHUT-E-WIND</t>
        </is>
      </c>
      <c r="D200" s="43" t="inlineStr">
        <is>
          <t>204</t>
        </is>
      </c>
      <c r="E200" s="43" t="inlineStr">
        <is>
          <t>24318-2</t>
        </is>
      </c>
      <c r="F200" s="43" t="inlineStr">
        <is>
          <t>243-2</t>
        </is>
      </c>
      <c r="G200" s="43" t="inlineStr">
        <is>
          <t>18</t>
        </is>
      </c>
      <c r="H200" s="43" t="n">
        <v>2470</v>
      </c>
      <c r="I200" s="43" t="n">
        <v>1830</v>
      </c>
      <c r="J200" s="43" t="inlineStr">
        <is>
          <t>設定可</t>
        </is>
      </c>
      <c r="K200" s="43" t="b">
        <v>1</v>
      </c>
      <c r="L200" s="43" t="inlineStr">
        <is>
          <t>46,50</t>
        </is>
      </c>
      <c r="M200" s="43" t="inlineStr">
        <is>
          <t>+¥170,900 / +¥179,500</t>
        </is>
      </c>
    </row>
    <row r="201">
      <c r="A201" s="43" t="inlineStr">
        <is>
          <t>SZ-SL-000466</t>
        </is>
      </c>
      <c r="B201" s="43" t="inlineStr">
        <is>
          <t>シャッター付引違い窓</t>
        </is>
      </c>
      <c r="C201" s="43" t="inlineStr">
        <is>
          <t>SP-SL-SHUT-E-WIND</t>
        </is>
      </c>
      <c r="D201" s="43" t="inlineStr">
        <is>
          <t>204</t>
        </is>
      </c>
      <c r="E201" s="43" t="inlineStr">
        <is>
          <t>24320-2</t>
        </is>
      </c>
      <c r="F201" s="43" t="inlineStr">
        <is>
          <t>243-2</t>
        </is>
      </c>
      <c r="G201" s="43" t="inlineStr">
        <is>
          <t>20</t>
        </is>
      </c>
      <c r="H201" s="43" t="n">
        <v>2470</v>
      </c>
      <c r="I201" s="43" t="n">
        <v>2030</v>
      </c>
      <c r="J201" s="43" t="inlineStr">
        <is>
          <t>設定可</t>
        </is>
      </c>
      <c r="K201" s="43" t="b">
        <v>1</v>
      </c>
      <c r="L201" s="43" t="inlineStr">
        <is>
          <t>46,50</t>
        </is>
      </c>
      <c r="M201" s="43" t="inlineStr">
        <is>
          <t>+¥174,000 / +¥182,700</t>
        </is>
      </c>
    </row>
    <row r="202">
      <c r="A202" s="43" t="inlineStr">
        <is>
          <t>SZ-SL-000469</t>
        </is>
      </c>
      <c r="B202" s="43" t="inlineStr">
        <is>
          <t>シャッター付引違い窓</t>
        </is>
      </c>
      <c r="C202" s="43" t="inlineStr">
        <is>
          <t>SP-SL-SHUT-E-VENT</t>
        </is>
      </c>
      <c r="D202" s="43" t="inlineStr">
        <is>
          <t>204</t>
        </is>
      </c>
      <c r="E202" s="43" t="inlineStr">
        <is>
          <t>24322-2</t>
        </is>
      </c>
      <c r="F202" s="43" t="inlineStr">
        <is>
          <t>243-2</t>
        </is>
      </c>
      <c r="G202" s="43" t="inlineStr">
        <is>
          <t>22</t>
        </is>
      </c>
      <c r="H202" s="43" t="n">
        <v>2470</v>
      </c>
      <c r="I202" s="43" t="n">
        <v>2230</v>
      </c>
      <c r="J202" s="43" t="inlineStr">
        <is>
          <t>設定可</t>
        </is>
      </c>
      <c r="K202" s="43" t="b">
        <v>1</v>
      </c>
      <c r="L202" s="43" t="inlineStr">
        <is>
          <t>48,52</t>
        </is>
      </c>
      <c r="M202" s="43" t="inlineStr">
        <is>
          <t>+¥340,300 / +¥357,700</t>
        </is>
      </c>
    </row>
    <row r="203">
      <c r="A203" s="43" t="inlineStr">
        <is>
          <t>SZ-SL-000470</t>
        </is>
      </c>
      <c r="B203" s="43" t="inlineStr">
        <is>
          <t>シャッター付引違い窓</t>
        </is>
      </c>
      <c r="C203" s="43" t="inlineStr">
        <is>
          <t>SP-SL-SHUT-E-VENT</t>
        </is>
      </c>
      <c r="D203" s="43" t="inlineStr">
        <is>
          <t>204</t>
        </is>
      </c>
      <c r="E203" s="43" t="inlineStr">
        <is>
          <t>24324-2</t>
        </is>
      </c>
      <c r="F203" s="43" t="inlineStr">
        <is>
          <t>243-2</t>
        </is>
      </c>
      <c r="G203" s="43" t="inlineStr">
        <is>
          <t>24</t>
        </is>
      </c>
      <c r="H203" s="43" t="n">
        <v>2470</v>
      </c>
      <c r="I203" s="43" t="n">
        <v>2430</v>
      </c>
      <c r="J203" s="43" t="inlineStr">
        <is>
          <t>設定なし</t>
        </is>
      </c>
      <c r="K203" s="43" t="b">
        <v>0</v>
      </c>
      <c r="L203" s="43" t="inlineStr">
        <is>
          <t>48,52</t>
        </is>
      </c>
      <c r="M203" s="43" t="inlineStr">
        <is>
          <t>＿＿</t>
        </is>
      </c>
    </row>
    <row r="204">
      <c r="A204" s="43" t="inlineStr">
        <is>
          <t>SZ-SL-000471</t>
        </is>
      </c>
      <c r="B204" s="43" t="inlineStr">
        <is>
          <t>シャッター付引違い窓</t>
        </is>
      </c>
      <c r="C204" s="43" t="inlineStr">
        <is>
          <t>SP-SL-SHUT-E-WIND</t>
        </is>
      </c>
      <c r="D204" s="43" t="inlineStr">
        <is>
          <t>204</t>
        </is>
      </c>
      <c r="E204" s="43" t="inlineStr">
        <is>
          <t>24322-2</t>
        </is>
      </c>
      <c r="F204" s="43" t="inlineStr">
        <is>
          <t>243-2</t>
        </is>
      </c>
      <c r="G204" s="43" t="inlineStr">
        <is>
          <t>22</t>
        </is>
      </c>
      <c r="H204" s="43" t="n">
        <v>2470</v>
      </c>
      <c r="I204" s="43" t="n">
        <v>2230</v>
      </c>
      <c r="J204" s="43" t="inlineStr">
        <is>
          <t>設定可</t>
        </is>
      </c>
      <c r="K204" s="43" t="b">
        <v>1</v>
      </c>
      <c r="L204" s="43" t="inlineStr">
        <is>
          <t>48,52</t>
        </is>
      </c>
      <c r="M204" s="43" t="inlineStr">
        <is>
          <t>+¥177,400 / +¥186,200</t>
        </is>
      </c>
    </row>
    <row r="205">
      <c r="A205" s="43" t="inlineStr">
        <is>
          <t>SZ-SL-000472</t>
        </is>
      </c>
      <c r="B205" s="43" t="inlineStr">
        <is>
          <t>シャッター付引違い窓</t>
        </is>
      </c>
      <c r="C205" s="43" t="inlineStr">
        <is>
          <t>SP-SL-SHUT-E-WIND</t>
        </is>
      </c>
      <c r="D205" s="43" t="inlineStr">
        <is>
          <t>204</t>
        </is>
      </c>
      <c r="E205" s="43" t="inlineStr">
        <is>
          <t>24324-2</t>
        </is>
      </c>
      <c r="F205" s="43" t="inlineStr">
        <is>
          <t>243-2</t>
        </is>
      </c>
      <c r="G205" s="43" t="inlineStr">
        <is>
          <t>24</t>
        </is>
      </c>
      <c r="H205" s="43" t="n">
        <v>2470</v>
      </c>
      <c r="I205" s="43" t="n">
        <v>2430</v>
      </c>
      <c r="J205" s="43" t="inlineStr">
        <is>
          <t>設定なし</t>
        </is>
      </c>
      <c r="K205" s="43" t="b">
        <v>0</v>
      </c>
      <c r="L205" s="43" t="inlineStr">
        <is>
          <t>48,52</t>
        </is>
      </c>
      <c r="M205" s="43" t="inlineStr">
        <is>
          <t>＿＿</t>
        </is>
      </c>
    </row>
    <row r="206">
      <c r="A206" s="43" t="inlineStr">
        <is>
          <t>SZ-SL-000479</t>
        </is>
      </c>
      <c r="B206" s="43" t="inlineStr">
        <is>
          <t>シャッター付引違い窓</t>
        </is>
      </c>
      <c r="C206" s="43" t="inlineStr">
        <is>
          <t>SP-SL-SHUT-M-WIND</t>
        </is>
      </c>
      <c r="D206" s="43" t="inlineStr">
        <is>
          <t>在来・204</t>
        </is>
      </c>
      <c r="E206" s="43" t="inlineStr">
        <is>
          <t>17809</t>
        </is>
      </c>
      <c r="F206" s="43" t="inlineStr">
        <is>
          <t>178</t>
        </is>
      </c>
      <c r="G206" s="43" t="inlineStr">
        <is>
          <t>09</t>
        </is>
      </c>
      <c r="H206" s="43" t="n">
        <v>1820</v>
      </c>
      <c r="I206" s="43" t="n">
        <v>970</v>
      </c>
      <c r="J206" s="43" t="inlineStr">
        <is>
          <t>設定なし</t>
        </is>
      </c>
      <c r="K206" s="43" t="b">
        <v>0</v>
      </c>
      <c r="L206" s="43" t="inlineStr">
        <is>
          <t>56</t>
        </is>
      </c>
      <c r="M206" s="43" t="inlineStr">
        <is>
          <t>＿＿</t>
        </is>
      </c>
    </row>
    <row r="207">
      <c r="A207" s="43" t="inlineStr">
        <is>
          <t>SZ-SL-000480</t>
        </is>
      </c>
      <c r="B207" s="43" t="inlineStr">
        <is>
          <t>シャッター付引違い窓</t>
        </is>
      </c>
      <c r="C207" s="43" t="inlineStr">
        <is>
          <t>SP-SL-SHUT-M-WIND</t>
        </is>
      </c>
      <c r="D207" s="43" t="inlineStr">
        <is>
          <t>在来・204</t>
        </is>
      </c>
      <c r="E207" s="43" t="inlineStr">
        <is>
          <t>17811</t>
        </is>
      </c>
      <c r="F207" s="43" t="inlineStr">
        <is>
          <t>178</t>
        </is>
      </c>
      <c r="G207" s="43" t="inlineStr">
        <is>
          <t>11</t>
        </is>
      </c>
      <c r="H207" s="43" t="n">
        <v>1820</v>
      </c>
      <c r="I207" s="43" t="n">
        <v>1170</v>
      </c>
      <c r="J207" s="43" t="inlineStr">
        <is>
          <t>設定なし</t>
        </is>
      </c>
      <c r="K207" s="43" t="b">
        <v>0</v>
      </c>
      <c r="L207" s="43" t="inlineStr">
        <is>
          <t>56</t>
        </is>
      </c>
      <c r="M207" s="43" t="inlineStr">
        <is>
          <t>＿＿</t>
        </is>
      </c>
    </row>
    <row r="208">
      <c r="A208" s="43" t="inlineStr">
        <is>
          <t>SZ-SL-000481</t>
        </is>
      </c>
      <c r="B208" s="43" t="inlineStr">
        <is>
          <t>シャッター付引違い窓</t>
        </is>
      </c>
      <c r="C208" s="43" t="inlineStr">
        <is>
          <t>SP-SL-SHUT-M-WIND</t>
        </is>
      </c>
      <c r="D208" s="43" t="inlineStr">
        <is>
          <t>在来・204</t>
        </is>
      </c>
      <c r="E208" s="43" t="inlineStr">
        <is>
          <t>17813</t>
        </is>
      </c>
      <c r="F208" s="43" t="inlineStr">
        <is>
          <t>178</t>
        </is>
      </c>
      <c r="G208" s="43" t="inlineStr">
        <is>
          <t>13</t>
        </is>
      </c>
      <c r="H208" s="43" t="n">
        <v>1820</v>
      </c>
      <c r="I208" s="43" t="n">
        <v>1370</v>
      </c>
      <c r="J208" s="43" t="inlineStr">
        <is>
          <t>設定なし</t>
        </is>
      </c>
      <c r="K208" s="43" t="b">
        <v>0</v>
      </c>
      <c r="L208" s="43" t="inlineStr">
        <is>
          <t>56</t>
        </is>
      </c>
      <c r="M208" s="43" t="inlineStr">
        <is>
          <t>＿＿</t>
        </is>
      </c>
    </row>
    <row r="209">
      <c r="A209" s="43" t="inlineStr">
        <is>
          <t>SZ-SL-000482</t>
        </is>
      </c>
      <c r="B209" s="43" t="inlineStr">
        <is>
          <t>シャッター付引違い窓</t>
        </is>
      </c>
      <c r="C209" s="43" t="inlineStr">
        <is>
          <t>SP-SL-SHUT-M-WIND</t>
        </is>
      </c>
      <c r="D209" s="43" t="inlineStr">
        <is>
          <t>在来・204</t>
        </is>
      </c>
      <c r="E209" s="43" t="inlineStr">
        <is>
          <t>18309</t>
        </is>
      </c>
      <c r="F209" s="43" t="inlineStr">
        <is>
          <t>183</t>
        </is>
      </c>
      <c r="G209" s="43" t="inlineStr">
        <is>
          <t>09</t>
        </is>
      </c>
      <c r="H209" s="43" t="n">
        <v>1870</v>
      </c>
      <c r="I209" s="43" t="n">
        <v>970</v>
      </c>
      <c r="J209" s="43" t="inlineStr">
        <is>
          <t>設定なし</t>
        </is>
      </c>
      <c r="K209" s="43" t="b">
        <v>0</v>
      </c>
      <c r="L209" s="43" t="inlineStr">
        <is>
          <t>56</t>
        </is>
      </c>
      <c r="M209" s="43" t="inlineStr">
        <is>
          <t>＿＿</t>
        </is>
      </c>
    </row>
    <row r="210">
      <c r="A210" s="43" t="inlineStr">
        <is>
          <t>SZ-SL-000483</t>
        </is>
      </c>
      <c r="B210" s="43" t="inlineStr">
        <is>
          <t>シャッター付引違い窓</t>
        </is>
      </c>
      <c r="C210" s="43" t="inlineStr">
        <is>
          <t>SP-SL-SHUT-M-WIND</t>
        </is>
      </c>
      <c r="D210" s="43" t="inlineStr">
        <is>
          <t>在来・204</t>
        </is>
      </c>
      <c r="E210" s="43" t="inlineStr">
        <is>
          <t>18311</t>
        </is>
      </c>
      <c r="F210" s="43" t="inlineStr">
        <is>
          <t>183</t>
        </is>
      </c>
      <c r="G210" s="43" t="inlineStr">
        <is>
          <t>11</t>
        </is>
      </c>
      <c r="H210" s="43" t="n">
        <v>1870</v>
      </c>
      <c r="I210" s="43" t="n">
        <v>1170</v>
      </c>
      <c r="J210" s="43" t="inlineStr">
        <is>
          <t>設定なし</t>
        </is>
      </c>
      <c r="K210" s="43" t="b">
        <v>0</v>
      </c>
      <c r="L210" s="43" t="inlineStr">
        <is>
          <t>56</t>
        </is>
      </c>
      <c r="M210" s="43" t="inlineStr">
        <is>
          <t>＿＿</t>
        </is>
      </c>
    </row>
    <row r="211">
      <c r="A211" s="43" t="inlineStr">
        <is>
          <t>SZ-SL-000484</t>
        </is>
      </c>
      <c r="B211" s="43" t="inlineStr">
        <is>
          <t>シャッター付引違い窓</t>
        </is>
      </c>
      <c r="C211" s="43" t="inlineStr">
        <is>
          <t>SP-SL-SHUT-M-WIND</t>
        </is>
      </c>
      <c r="D211" s="43" t="inlineStr">
        <is>
          <t>在来・204</t>
        </is>
      </c>
      <c r="E211" s="43" t="inlineStr">
        <is>
          <t>18313</t>
        </is>
      </c>
      <c r="F211" s="43" t="inlineStr">
        <is>
          <t>183</t>
        </is>
      </c>
      <c r="G211" s="43" t="inlineStr">
        <is>
          <t>13</t>
        </is>
      </c>
      <c r="H211" s="43" t="n">
        <v>1870</v>
      </c>
      <c r="I211" s="43" t="n">
        <v>1370</v>
      </c>
      <c r="J211" s="43" t="inlineStr">
        <is>
          <t>設定なし</t>
        </is>
      </c>
      <c r="K211" s="43" t="b">
        <v>0</v>
      </c>
      <c r="L211" s="43" t="inlineStr">
        <is>
          <t>56</t>
        </is>
      </c>
      <c r="M211" s="43" t="inlineStr">
        <is>
          <t>＿＿</t>
        </is>
      </c>
    </row>
    <row r="212">
      <c r="A212" s="43" t="inlineStr">
        <is>
          <t>SZ-SL-000488</t>
        </is>
      </c>
      <c r="B212" s="43" t="inlineStr">
        <is>
          <t>シャッター付引違い窓</t>
        </is>
      </c>
      <c r="C212" s="43" t="inlineStr">
        <is>
          <t>SP-SL-SHUT-M-WIND</t>
        </is>
      </c>
      <c r="D212" s="43" t="inlineStr">
        <is>
          <t>在来</t>
        </is>
      </c>
      <c r="E212" s="43" t="inlineStr">
        <is>
          <t>17818</t>
        </is>
      </c>
      <c r="F212" s="43" t="inlineStr">
        <is>
          <t>178</t>
        </is>
      </c>
      <c r="G212" s="43" t="inlineStr">
        <is>
          <t>18</t>
        </is>
      </c>
      <c r="H212" s="43" t="n">
        <v>1820</v>
      </c>
      <c r="I212" s="43" t="n">
        <v>1830</v>
      </c>
      <c r="J212" s="43" t="inlineStr">
        <is>
          <t>設定なし</t>
        </is>
      </c>
      <c r="K212" s="43" t="b">
        <v>0</v>
      </c>
      <c r="L212" s="43" t="inlineStr">
        <is>
          <t>59,62,64</t>
        </is>
      </c>
      <c r="M212" s="43" t="inlineStr">
        <is>
          <t>＿＿</t>
        </is>
      </c>
    </row>
    <row r="213">
      <c r="A213" s="43" t="inlineStr">
        <is>
          <t>SZ-SL-000489</t>
        </is>
      </c>
      <c r="B213" s="43" t="inlineStr">
        <is>
          <t>シャッター付引違い窓</t>
        </is>
      </c>
      <c r="C213" s="43" t="inlineStr">
        <is>
          <t>SP-SL-SHUT-M-WIND</t>
        </is>
      </c>
      <c r="D213" s="43" t="inlineStr">
        <is>
          <t>在来</t>
        </is>
      </c>
      <c r="E213" s="43" t="inlineStr">
        <is>
          <t>17820</t>
        </is>
      </c>
      <c r="F213" s="43" t="inlineStr">
        <is>
          <t>178</t>
        </is>
      </c>
      <c r="G213" s="43" t="inlineStr">
        <is>
          <t>20</t>
        </is>
      </c>
      <c r="H213" s="43" t="n">
        <v>1820</v>
      </c>
      <c r="I213" s="43" t="n">
        <v>2030</v>
      </c>
      <c r="J213" s="43" t="inlineStr">
        <is>
          <t>設定なし</t>
        </is>
      </c>
      <c r="K213" s="43" t="b">
        <v>0</v>
      </c>
      <c r="L213" s="43" t="inlineStr">
        <is>
          <t>59,62</t>
        </is>
      </c>
      <c r="M213" s="43" t="inlineStr">
        <is>
          <t>＿＿</t>
        </is>
      </c>
    </row>
    <row r="214">
      <c r="A214" s="43" t="inlineStr">
        <is>
          <t>SZ-SL-000490</t>
        </is>
      </c>
      <c r="B214" s="43" t="inlineStr">
        <is>
          <t>シャッター付引違い窓</t>
        </is>
      </c>
      <c r="C214" s="43" t="inlineStr">
        <is>
          <t>SP-SL-SHUT-M-WIND</t>
        </is>
      </c>
      <c r="D214" s="43" t="inlineStr">
        <is>
          <t>在来</t>
        </is>
      </c>
      <c r="E214" s="43" t="inlineStr">
        <is>
          <t>17822</t>
        </is>
      </c>
      <c r="F214" s="43" t="inlineStr">
        <is>
          <t>178</t>
        </is>
      </c>
      <c r="G214" s="43" t="inlineStr">
        <is>
          <t>22</t>
        </is>
      </c>
      <c r="H214" s="43" t="n">
        <v>1820</v>
      </c>
      <c r="I214" s="43" t="n">
        <v>2230</v>
      </c>
      <c r="J214" s="43" t="inlineStr">
        <is>
          <t>設定なし</t>
        </is>
      </c>
      <c r="K214" s="43" t="b">
        <v>0</v>
      </c>
      <c r="L214" s="43" t="inlineStr">
        <is>
          <t>59,62,64</t>
        </is>
      </c>
      <c r="M214" s="43" t="inlineStr">
        <is>
          <t>＿＿</t>
        </is>
      </c>
    </row>
    <row r="215">
      <c r="A215" s="43" t="inlineStr">
        <is>
          <t>SZ-SL-000494</t>
        </is>
      </c>
      <c r="B215" s="43" t="inlineStr">
        <is>
          <t>シャッター付引違い窓</t>
        </is>
      </c>
      <c r="C215" s="43" t="inlineStr">
        <is>
          <t>SP-SL-SHUT-M-WIND</t>
        </is>
      </c>
      <c r="D215" s="43" t="inlineStr">
        <is>
          <t>在来</t>
        </is>
      </c>
      <c r="E215" s="43" t="inlineStr">
        <is>
          <t>18318</t>
        </is>
      </c>
      <c r="F215" s="43" t="inlineStr">
        <is>
          <t>183</t>
        </is>
      </c>
      <c r="G215" s="43" t="inlineStr">
        <is>
          <t>18</t>
        </is>
      </c>
      <c r="H215" s="43" t="n">
        <v>1870</v>
      </c>
      <c r="I215" s="43" t="n">
        <v>1830</v>
      </c>
      <c r="J215" s="43" t="inlineStr">
        <is>
          <t>設定なし</t>
        </is>
      </c>
      <c r="K215" s="43" t="b">
        <v>0</v>
      </c>
      <c r="L215" s="43" t="inlineStr">
        <is>
          <t>60</t>
        </is>
      </c>
      <c r="M215" s="43" t="inlineStr">
        <is>
          <t>＿＿</t>
        </is>
      </c>
    </row>
    <row r="216">
      <c r="A216" s="43" t="inlineStr">
        <is>
          <t>SZ-SL-000495</t>
        </is>
      </c>
      <c r="B216" s="43" t="inlineStr">
        <is>
          <t>シャッター付引違い窓</t>
        </is>
      </c>
      <c r="C216" s="43" t="inlineStr">
        <is>
          <t>SP-SL-SHUT-M-WIND</t>
        </is>
      </c>
      <c r="D216" s="43" t="inlineStr">
        <is>
          <t>在来</t>
        </is>
      </c>
      <c r="E216" s="43" t="inlineStr">
        <is>
          <t>18320</t>
        </is>
      </c>
      <c r="F216" s="43" t="inlineStr">
        <is>
          <t>183</t>
        </is>
      </c>
      <c r="G216" s="43" t="inlineStr">
        <is>
          <t>20</t>
        </is>
      </c>
      <c r="H216" s="43" t="n">
        <v>1870</v>
      </c>
      <c r="I216" s="43" t="n">
        <v>2030</v>
      </c>
      <c r="J216" s="43" t="inlineStr">
        <is>
          <t>設定なし</t>
        </is>
      </c>
      <c r="K216" s="43" t="b">
        <v>0</v>
      </c>
      <c r="L216" s="43" t="inlineStr">
        <is>
          <t>60</t>
        </is>
      </c>
      <c r="M216" s="43" t="inlineStr">
        <is>
          <t>＿＿</t>
        </is>
      </c>
    </row>
    <row r="217">
      <c r="A217" s="43" t="inlineStr">
        <is>
          <t>SZ-SL-000496</t>
        </is>
      </c>
      <c r="B217" s="43" t="inlineStr">
        <is>
          <t>シャッター付引違い窓</t>
        </is>
      </c>
      <c r="C217" s="43" t="inlineStr">
        <is>
          <t>SP-SL-SHUT-M-WIND</t>
        </is>
      </c>
      <c r="D217" s="43" t="inlineStr">
        <is>
          <t>在来</t>
        </is>
      </c>
      <c r="E217" s="43" t="inlineStr">
        <is>
          <t>18322</t>
        </is>
      </c>
      <c r="F217" s="43" t="inlineStr">
        <is>
          <t>183</t>
        </is>
      </c>
      <c r="G217" s="43" t="inlineStr">
        <is>
          <t>22</t>
        </is>
      </c>
      <c r="H217" s="43" t="n">
        <v>1870</v>
      </c>
      <c r="I217" s="43" t="n">
        <v>2230</v>
      </c>
      <c r="J217" s="43" t="inlineStr">
        <is>
          <t>設定なし</t>
        </is>
      </c>
      <c r="K217" s="43" t="b">
        <v>0</v>
      </c>
      <c r="L217" s="43" t="inlineStr">
        <is>
          <t>60</t>
        </is>
      </c>
      <c r="M217" s="43" t="inlineStr">
        <is>
          <t>＿＿</t>
        </is>
      </c>
    </row>
    <row r="218">
      <c r="A218" s="43" t="inlineStr">
        <is>
          <t>SZ-SL-000551</t>
        </is>
      </c>
      <c r="B218" s="43" t="inlineStr">
        <is>
          <t>面格子付引違い窓</t>
        </is>
      </c>
      <c r="C218" s="43" t="inlineStr">
        <is>
          <t>SP-SL-GRILLE-DIA</t>
        </is>
      </c>
      <c r="D218" s="43" t="inlineStr">
        <is>
          <t>在来・204</t>
        </is>
      </c>
      <c r="E218" s="43" t="inlineStr">
        <is>
          <t>06003</t>
        </is>
      </c>
      <c r="F218" s="43" t="inlineStr">
        <is>
          <t>060</t>
        </is>
      </c>
      <c r="G218" s="43" t="inlineStr">
        <is>
          <t>03</t>
        </is>
      </c>
      <c r="H218" s="43" t="n">
        <v>640</v>
      </c>
      <c r="I218" s="43" t="n">
        <v>370</v>
      </c>
      <c r="J218" s="43" t="inlineStr">
        <is>
          <t>設定可</t>
        </is>
      </c>
      <c r="K218" s="43" t="b">
        <v>1</v>
      </c>
      <c r="L218" s="43" t="inlineStr">
        <is>
          <t>90</t>
        </is>
      </c>
      <c r="M218" s="43" t="inlineStr">
        <is>
          <t>¥36,700 / ¥40,000</t>
        </is>
      </c>
    </row>
    <row r="219">
      <c r="A219" s="43" t="inlineStr">
        <is>
          <t>SZ-SL-000552</t>
        </is>
      </c>
      <c r="B219" s="43" t="inlineStr">
        <is>
          <t>面格子付引違い窓</t>
        </is>
      </c>
      <c r="C219" s="43" t="inlineStr">
        <is>
          <t>SP-SL-GRILLE-DIA</t>
        </is>
      </c>
      <c r="D219" s="43" t="inlineStr">
        <is>
          <t>在来・204</t>
        </is>
      </c>
      <c r="E219" s="43" t="inlineStr">
        <is>
          <t>06903</t>
        </is>
      </c>
      <c r="F219" s="43" t="inlineStr">
        <is>
          <t>069</t>
        </is>
      </c>
      <c r="G219" s="43" t="inlineStr">
        <is>
          <t>03</t>
        </is>
      </c>
      <c r="H219" s="43" t="n">
        <v>730</v>
      </c>
      <c r="I219" s="43" t="n">
        <v>370</v>
      </c>
      <c r="J219" s="43" t="inlineStr">
        <is>
          <t>設定可</t>
        </is>
      </c>
      <c r="K219" s="43" t="b">
        <v>1</v>
      </c>
      <c r="L219" s="43" t="inlineStr">
        <is>
          <t>90</t>
        </is>
      </c>
      <c r="M219" s="43" t="inlineStr">
        <is>
          <t>¥40,800 / ¥44,200</t>
        </is>
      </c>
    </row>
    <row r="220">
      <c r="A220" s="43" t="inlineStr">
        <is>
          <t>SZ-SL-000553</t>
        </is>
      </c>
      <c r="B220" s="43" t="inlineStr">
        <is>
          <t>面格子付引違い窓</t>
        </is>
      </c>
      <c r="C220" s="43" t="inlineStr">
        <is>
          <t>SP-SL-GRILLE-DIA</t>
        </is>
      </c>
      <c r="D220" s="43" t="inlineStr">
        <is>
          <t>在来・204</t>
        </is>
      </c>
      <c r="E220" s="43" t="inlineStr">
        <is>
          <t>07403</t>
        </is>
      </c>
      <c r="F220" s="43" t="inlineStr">
        <is>
          <t>074</t>
        </is>
      </c>
      <c r="G220" s="43" t="inlineStr">
        <is>
          <t>03</t>
        </is>
      </c>
      <c r="H220" s="43" t="n">
        <v>780</v>
      </c>
      <c r="I220" s="43" t="n">
        <v>370</v>
      </c>
      <c r="J220" s="43" t="inlineStr">
        <is>
          <t>設定可</t>
        </is>
      </c>
      <c r="K220" s="43" t="b">
        <v>1</v>
      </c>
      <c r="L220" s="43" t="inlineStr">
        <is>
          <t>90</t>
        </is>
      </c>
      <c r="M220" s="43" t="inlineStr">
        <is>
          <t>¥40,800 / ¥44,200</t>
        </is>
      </c>
    </row>
    <row r="221">
      <c r="A221" s="43" t="inlineStr">
        <is>
          <t>SZ-SL-000554</t>
        </is>
      </c>
      <c r="B221" s="43" t="inlineStr">
        <is>
          <t>面格子付引違い窓</t>
        </is>
      </c>
      <c r="C221" s="43" t="inlineStr">
        <is>
          <t>SP-SL-GRILLE-H</t>
        </is>
      </c>
      <c r="D221" s="43" t="inlineStr">
        <is>
          <t>在来・204</t>
        </is>
      </c>
      <c r="E221" s="43" t="inlineStr">
        <is>
          <t>06003</t>
        </is>
      </c>
      <c r="F221" s="43" t="inlineStr">
        <is>
          <t>060</t>
        </is>
      </c>
      <c r="G221" s="43" t="inlineStr">
        <is>
          <t>03</t>
        </is>
      </c>
      <c r="H221" s="43" t="n">
        <v>640</v>
      </c>
      <c r="I221" s="43" t="n">
        <v>370</v>
      </c>
      <c r="J221" s="43" t="inlineStr">
        <is>
          <t>設定可</t>
        </is>
      </c>
      <c r="K221" s="43" t="b">
        <v>1</v>
      </c>
      <c r="L221" s="43" t="inlineStr">
        <is>
          <t>90</t>
        </is>
      </c>
      <c r="M221" s="43" t="inlineStr">
        <is>
          <t>¥36,700 / ¥40,000</t>
        </is>
      </c>
    </row>
    <row r="222">
      <c r="A222" s="43" t="inlineStr">
        <is>
          <t>SZ-SL-000555</t>
        </is>
      </c>
      <c r="B222" s="43" t="inlineStr">
        <is>
          <t>面格子付引違い窓</t>
        </is>
      </c>
      <c r="C222" s="43" t="inlineStr">
        <is>
          <t>SP-SL-GRILLE-H</t>
        </is>
      </c>
      <c r="D222" s="43" t="inlineStr">
        <is>
          <t>在来・204</t>
        </is>
      </c>
      <c r="E222" s="43" t="inlineStr">
        <is>
          <t>06903</t>
        </is>
      </c>
      <c r="F222" s="43" t="inlineStr">
        <is>
          <t>069</t>
        </is>
      </c>
      <c r="G222" s="43" t="inlineStr">
        <is>
          <t>03</t>
        </is>
      </c>
      <c r="H222" s="43" t="n">
        <v>730</v>
      </c>
      <c r="I222" s="43" t="n">
        <v>370</v>
      </c>
      <c r="J222" s="43" t="inlineStr">
        <is>
          <t>設定可</t>
        </is>
      </c>
      <c r="K222" s="43" t="b">
        <v>1</v>
      </c>
      <c r="L222" s="43" t="inlineStr">
        <is>
          <t>90</t>
        </is>
      </c>
      <c r="M222" s="43" t="inlineStr">
        <is>
          <t>¥40,800 / ¥44,200</t>
        </is>
      </c>
    </row>
    <row r="223">
      <c r="A223" s="43" t="inlineStr">
        <is>
          <t>SZ-SL-000556</t>
        </is>
      </c>
      <c r="B223" s="43" t="inlineStr">
        <is>
          <t>面格子付引違い窓</t>
        </is>
      </c>
      <c r="C223" s="43" t="inlineStr">
        <is>
          <t>SP-SL-GRILLE-H</t>
        </is>
      </c>
      <c r="D223" s="43" t="inlineStr">
        <is>
          <t>在来・204</t>
        </is>
      </c>
      <c r="E223" s="43" t="inlineStr">
        <is>
          <t>07403</t>
        </is>
      </c>
      <c r="F223" s="43" t="inlineStr">
        <is>
          <t>074</t>
        </is>
      </c>
      <c r="G223" s="43" t="inlineStr">
        <is>
          <t>03</t>
        </is>
      </c>
      <c r="H223" s="43" t="n">
        <v>780</v>
      </c>
      <c r="I223" s="43" t="n">
        <v>370</v>
      </c>
      <c r="J223" s="43" t="inlineStr">
        <is>
          <t>設定可</t>
        </is>
      </c>
      <c r="K223" s="43" t="b">
        <v>1</v>
      </c>
      <c r="L223" s="43" t="inlineStr">
        <is>
          <t>90</t>
        </is>
      </c>
      <c r="M223" s="43" t="inlineStr">
        <is>
          <t>¥40,800 / ¥44,200</t>
        </is>
      </c>
    </row>
    <row r="224">
      <c r="A224" s="43" t="inlineStr">
        <is>
          <t>SZ-SL-000557</t>
        </is>
      </c>
      <c r="B224" s="43" t="inlineStr">
        <is>
          <t>面格子付引違い窓</t>
        </is>
      </c>
      <c r="C224" s="43" t="inlineStr">
        <is>
          <t>SP-SL-GRILLE-IGETA</t>
        </is>
      </c>
      <c r="D224" s="43" t="inlineStr">
        <is>
          <t>在来・204</t>
        </is>
      </c>
      <c r="E224" s="43" t="inlineStr">
        <is>
          <t>06003</t>
        </is>
      </c>
      <c r="F224" s="43" t="inlineStr">
        <is>
          <t>060</t>
        </is>
      </c>
      <c r="G224" s="43" t="inlineStr">
        <is>
          <t>03</t>
        </is>
      </c>
      <c r="H224" s="43" t="n">
        <v>640</v>
      </c>
      <c r="I224" s="43" t="n">
        <v>370</v>
      </c>
      <c r="J224" s="43" t="inlineStr">
        <is>
          <t>設定可</t>
        </is>
      </c>
      <c r="K224" s="43" t="b">
        <v>1</v>
      </c>
      <c r="L224" s="43" t="inlineStr">
        <is>
          <t>90</t>
        </is>
      </c>
      <c r="M224" s="43" t="inlineStr">
        <is>
          <t>¥36,700 / ¥40,000</t>
        </is>
      </c>
    </row>
    <row r="225">
      <c r="A225" s="43" t="inlineStr">
        <is>
          <t>SZ-SL-000558</t>
        </is>
      </c>
      <c r="B225" s="43" t="inlineStr">
        <is>
          <t>面格子付引違い窓</t>
        </is>
      </c>
      <c r="C225" s="43" t="inlineStr">
        <is>
          <t>SP-SL-GRILLE-IGETA</t>
        </is>
      </c>
      <c r="D225" s="43" t="inlineStr">
        <is>
          <t>在来・204</t>
        </is>
      </c>
      <c r="E225" s="43" t="inlineStr">
        <is>
          <t>06903</t>
        </is>
      </c>
      <c r="F225" s="43" t="inlineStr">
        <is>
          <t>069</t>
        </is>
      </c>
      <c r="G225" s="43" t="inlineStr">
        <is>
          <t>03</t>
        </is>
      </c>
      <c r="H225" s="43" t="n">
        <v>730</v>
      </c>
      <c r="I225" s="43" t="n">
        <v>370</v>
      </c>
      <c r="J225" s="43" t="inlineStr">
        <is>
          <t>設定可</t>
        </is>
      </c>
      <c r="K225" s="43" t="b">
        <v>1</v>
      </c>
      <c r="L225" s="43" t="inlineStr">
        <is>
          <t>90</t>
        </is>
      </c>
      <c r="M225" s="43" t="inlineStr">
        <is>
          <t>¥40,800 / ¥44,200</t>
        </is>
      </c>
    </row>
    <row r="226">
      <c r="A226" s="43" t="inlineStr">
        <is>
          <t>SZ-SL-000559</t>
        </is>
      </c>
      <c r="B226" s="43" t="inlineStr">
        <is>
          <t>面格子付引違い窓</t>
        </is>
      </c>
      <c r="C226" s="43" t="inlineStr">
        <is>
          <t>SP-SL-GRILLE-IGETA</t>
        </is>
      </c>
      <c r="D226" s="43" t="inlineStr">
        <is>
          <t>在来・204</t>
        </is>
      </c>
      <c r="E226" s="43" t="inlineStr">
        <is>
          <t>07403</t>
        </is>
      </c>
      <c r="F226" s="43" t="inlineStr">
        <is>
          <t>074</t>
        </is>
      </c>
      <c r="G226" s="43" t="inlineStr">
        <is>
          <t>03</t>
        </is>
      </c>
      <c r="H226" s="43" t="n">
        <v>780</v>
      </c>
      <c r="I226" s="43" t="n">
        <v>370</v>
      </c>
      <c r="J226" s="43" t="inlineStr">
        <is>
          <t>設定可</t>
        </is>
      </c>
      <c r="K226" s="43" t="b">
        <v>1</v>
      </c>
      <c r="L226" s="43" t="inlineStr">
        <is>
          <t>90</t>
        </is>
      </c>
      <c r="M226" s="43" t="inlineStr">
        <is>
          <t>¥40,800 / ¥44,200</t>
        </is>
      </c>
    </row>
    <row r="227">
      <c r="A227" s="43" t="inlineStr">
        <is>
          <t>SZ-SL-000560</t>
        </is>
      </c>
      <c r="B227" s="43" t="inlineStr">
        <is>
          <t>面格子付引違い窓</t>
        </is>
      </c>
      <c r="C227" s="43" t="inlineStr">
        <is>
          <t>SP-SL-GRILLE-V</t>
        </is>
      </c>
      <c r="D227" s="43" t="inlineStr">
        <is>
          <t>在来・204</t>
        </is>
      </c>
      <c r="E227" s="43" t="inlineStr">
        <is>
          <t>06003</t>
        </is>
      </c>
      <c r="F227" s="43" t="inlineStr">
        <is>
          <t>060</t>
        </is>
      </c>
      <c r="G227" s="43" t="inlineStr">
        <is>
          <t>03</t>
        </is>
      </c>
      <c r="H227" s="43" t="n">
        <v>640</v>
      </c>
      <c r="I227" s="43" t="n">
        <v>370</v>
      </c>
      <c r="J227" s="43" t="inlineStr">
        <is>
          <t>設定可</t>
        </is>
      </c>
      <c r="K227" s="43" t="b">
        <v>1</v>
      </c>
      <c r="L227" s="43" t="inlineStr">
        <is>
          <t>90</t>
        </is>
      </c>
      <c r="M227" s="43" t="inlineStr">
        <is>
          <t>¥32,300 / ¥35,200</t>
        </is>
      </c>
    </row>
    <row r="228">
      <c r="A228" s="43" t="inlineStr">
        <is>
          <t>SZ-SL-000561</t>
        </is>
      </c>
      <c r="B228" s="43" t="inlineStr">
        <is>
          <t>面格子付引違い窓</t>
        </is>
      </c>
      <c r="C228" s="43" t="inlineStr">
        <is>
          <t>SP-SL-GRILLE-V</t>
        </is>
      </c>
      <c r="D228" s="43" t="inlineStr">
        <is>
          <t>在来・204</t>
        </is>
      </c>
      <c r="E228" s="43" t="inlineStr">
        <is>
          <t>06903</t>
        </is>
      </c>
      <c r="F228" s="43" t="inlineStr">
        <is>
          <t>069</t>
        </is>
      </c>
      <c r="G228" s="43" t="inlineStr">
        <is>
          <t>03</t>
        </is>
      </c>
      <c r="H228" s="43" t="n">
        <v>730</v>
      </c>
      <c r="I228" s="43" t="n">
        <v>370</v>
      </c>
      <c r="J228" s="43" t="inlineStr">
        <is>
          <t>設定可</t>
        </is>
      </c>
      <c r="K228" s="43" t="b">
        <v>1</v>
      </c>
      <c r="L228" s="43" t="inlineStr">
        <is>
          <t>90</t>
        </is>
      </c>
      <c r="M228" s="43" t="inlineStr">
        <is>
          <t>¥34,700 / ¥38,100</t>
        </is>
      </c>
    </row>
    <row r="229">
      <c r="A229" s="43" t="inlineStr">
        <is>
          <t>SZ-SL-000562</t>
        </is>
      </c>
      <c r="B229" s="43" t="inlineStr">
        <is>
          <t>面格子付引違い窓</t>
        </is>
      </c>
      <c r="C229" s="43" t="inlineStr">
        <is>
          <t>SP-SL-GRILLE-V</t>
        </is>
      </c>
      <c r="D229" s="43" t="inlineStr">
        <is>
          <t>在来・204</t>
        </is>
      </c>
      <c r="E229" s="43" t="inlineStr">
        <is>
          <t>07403</t>
        </is>
      </c>
      <c r="F229" s="43" t="inlineStr">
        <is>
          <t>074</t>
        </is>
      </c>
      <c r="G229" s="43" t="inlineStr">
        <is>
          <t>03</t>
        </is>
      </c>
      <c r="H229" s="43" t="n">
        <v>780</v>
      </c>
      <c r="I229" s="43" t="n">
        <v>370</v>
      </c>
      <c r="J229" s="43" t="inlineStr">
        <is>
          <t>設定可</t>
        </is>
      </c>
      <c r="K229" s="43" t="b">
        <v>1</v>
      </c>
      <c r="L229" s="43" t="inlineStr">
        <is>
          <t>90</t>
        </is>
      </c>
      <c r="M229" s="43" t="inlineStr">
        <is>
          <t>¥34,700 / ¥38,100</t>
        </is>
      </c>
    </row>
    <row r="230">
      <c r="A230" s="43" t="inlineStr">
        <is>
          <t>SZ-SL-000563</t>
        </is>
      </c>
      <c r="B230" s="43" t="inlineStr">
        <is>
          <t>面格子付引違い窓</t>
        </is>
      </c>
      <c r="C230" s="43" t="inlineStr">
        <is>
          <t>SP-SL-GRILLE-DIA</t>
        </is>
      </c>
      <c r="D230" s="43" t="inlineStr">
        <is>
          <t>在来・204</t>
        </is>
      </c>
      <c r="E230" s="43" t="inlineStr">
        <is>
          <t>06005</t>
        </is>
      </c>
      <c r="F230" s="43" t="inlineStr">
        <is>
          <t>060</t>
        </is>
      </c>
      <c r="G230" s="43" t="inlineStr">
        <is>
          <t>05</t>
        </is>
      </c>
      <c r="H230" s="43" t="n">
        <v>640</v>
      </c>
      <c r="I230" s="43" t="n">
        <v>570</v>
      </c>
      <c r="J230" s="43" t="inlineStr">
        <is>
          <t>設定可</t>
        </is>
      </c>
      <c r="K230" s="43" t="b">
        <v>1</v>
      </c>
      <c r="L230" s="43" t="inlineStr">
        <is>
          <t>94</t>
        </is>
      </c>
      <c r="M230" s="43" t="inlineStr">
        <is>
          <t>¥41,800 / ¥45,500</t>
        </is>
      </c>
    </row>
    <row r="231">
      <c r="A231" s="43" t="inlineStr">
        <is>
          <t>SZ-SL-000564</t>
        </is>
      </c>
      <c r="B231" s="43" t="inlineStr">
        <is>
          <t>面格子付引違い窓</t>
        </is>
      </c>
      <c r="C231" s="43" t="inlineStr">
        <is>
          <t>SP-SL-GRILLE-DIA</t>
        </is>
      </c>
      <c r="D231" s="43" t="inlineStr">
        <is>
          <t>在来・204</t>
        </is>
      </c>
      <c r="E231" s="43" t="inlineStr">
        <is>
          <t>06905</t>
        </is>
      </c>
      <c r="F231" s="43" t="inlineStr">
        <is>
          <t>069</t>
        </is>
      </c>
      <c r="G231" s="43" t="inlineStr">
        <is>
          <t>05</t>
        </is>
      </c>
      <c r="H231" s="43" t="n">
        <v>730</v>
      </c>
      <c r="I231" s="43" t="n">
        <v>570</v>
      </c>
      <c r="J231" s="43" t="inlineStr">
        <is>
          <t>設定可</t>
        </is>
      </c>
      <c r="K231" s="43" t="b">
        <v>1</v>
      </c>
      <c r="L231" s="43" t="inlineStr">
        <is>
          <t>94</t>
        </is>
      </c>
      <c r="M231" s="43" t="inlineStr">
        <is>
          <t>¥45,700 / ¥49,600</t>
        </is>
      </c>
    </row>
    <row r="232">
      <c r="A232" s="43" t="inlineStr">
        <is>
          <t>SZ-SL-000565</t>
        </is>
      </c>
      <c r="B232" s="43" t="inlineStr">
        <is>
          <t>面格子付引違い窓</t>
        </is>
      </c>
      <c r="C232" s="43" t="inlineStr">
        <is>
          <t>SP-SL-GRILLE-DIA</t>
        </is>
      </c>
      <c r="D232" s="43" t="inlineStr">
        <is>
          <t>在来・204</t>
        </is>
      </c>
      <c r="E232" s="43" t="inlineStr">
        <is>
          <t>07405</t>
        </is>
      </c>
      <c r="F232" s="43" t="inlineStr">
        <is>
          <t>074</t>
        </is>
      </c>
      <c r="G232" s="43" t="inlineStr">
        <is>
          <t>05</t>
        </is>
      </c>
      <c r="H232" s="43" t="n">
        <v>780</v>
      </c>
      <c r="I232" s="43" t="n">
        <v>570</v>
      </c>
      <c r="J232" s="43" t="inlineStr">
        <is>
          <t>設定可</t>
        </is>
      </c>
      <c r="K232" s="43" t="b">
        <v>1</v>
      </c>
      <c r="L232" s="43" t="inlineStr">
        <is>
          <t>94</t>
        </is>
      </c>
      <c r="M232" s="43" t="inlineStr">
        <is>
          <t>¥45,700 / ¥49,600</t>
        </is>
      </c>
    </row>
    <row r="233">
      <c r="A233" s="43" t="inlineStr">
        <is>
          <t>SZ-SL-000566</t>
        </is>
      </c>
      <c r="B233" s="43" t="inlineStr">
        <is>
          <t>面格子付引違い窓</t>
        </is>
      </c>
      <c r="C233" s="43" t="inlineStr">
        <is>
          <t>SP-SL-GRILLE-DIA</t>
        </is>
      </c>
      <c r="D233" s="43" t="inlineStr">
        <is>
          <t>在来・204</t>
        </is>
      </c>
      <c r="E233" s="43" t="inlineStr">
        <is>
          <t>07805</t>
        </is>
      </c>
      <c r="F233" s="43" t="inlineStr">
        <is>
          <t>078</t>
        </is>
      </c>
      <c r="G233" s="43" t="inlineStr">
        <is>
          <t>05</t>
        </is>
      </c>
      <c r="H233" s="43" t="n">
        <v>820</v>
      </c>
      <c r="I233" s="43" t="n">
        <v>570</v>
      </c>
      <c r="J233" s="43" t="inlineStr">
        <is>
          <t>設定可</t>
        </is>
      </c>
      <c r="K233" s="43" t="b">
        <v>1</v>
      </c>
      <c r="L233" s="43" t="inlineStr">
        <is>
          <t>94</t>
        </is>
      </c>
      <c r="M233" s="43" t="inlineStr">
        <is>
          <t>¥49,000 / ¥53,000</t>
        </is>
      </c>
    </row>
    <row r="234">
      <c r="A234" s="43" t="inlineStr">
        <is>
          <t>SZ-SL-000567</t>
        </is>
      </c>
      <c r="B234" s="43" t="inlineStr">
        <is>
          <t>面格子付引違い窓</t>
        </is>
      </c>
      <c r="C234" s="43" t="inlineStr">
        <is>
          <t>SP-SL-GRILLE-H</t>
        </is>
      </c>
      <c r="D234" s="43" t="inlineStr">
        <is>
          <t>在来・204</t>
        </is>
      </c>
      <c r="E234" s="43" t="inlineStr">
        <is>
          <t>06005</t>
        </is>
      </c>
      <c r="F234" s="43" t="inlineStr">
        <is>
          <t>060</t>
        </is>
      </c>
      <c r="G234" s="43" t="inlineStr">
        <is>
          <t>05</t>
        </is>
      </c>
      <c r="H234" s="43" t="n">
        <v>640</v>
      </c>
      <c r="I234" s="43" t="n">
        <v>570</v>
      </c>
      <c r="J234" s="43" t="inlineStr">
        <is>
          <t>設定可</t>
        </is>
      </c>
      <c r="K234" s="43" t="b">
        <v>1</v>
      </c>
      <c r="L234" s="43" t="inlineStr">
        <is>
          <t>94</t>
        </is>
      </c>
      <c r="M234" s="43" t="inlineStr">
        <is>
          <t>¥41,800 / ¥45,500</t>
        </is>
      </c>
    </row>
    <row r="235">
      <c r="A235" s="43" t="inlineStr">
        <is>
          <t>SZ-SL-000568</t>
        </is>
      </c>
      <c r="B235" s="43" t="inlineStr">
        <is>
          <t>面格子付引違い窓</t>
        </is>
      </c>
      <c r="C235" s="43" t="inlineStr">
        <is>
          <t>SP-SL-GRILLE-H</t>
        </is>
      </c>
      <c r="D235" s="43" t="inlineStr">
        <is>
          <t>在来・204</t>
        </is>
      </c>
      <c r="E235" s="43" t="inlineStr">
        <is>
          <t>06905</t>
        </is>
      </c>
      <c r="F235" s="43" t="inlineStr">
        <is>
          <t>069</t>
        </is>
      </c>
      <c r="G235" s="43" t="inlineStr">
        <is>
          <t>05</t>
        </is>
      </c>
      <c r="H235" s="43" t="n">
        <v>730</v>
      </c>
      <c r="I235" s="43" t="n">
        <v>570</v>
      </c>
      <c r="J235" s="43" t="inlineStr">
        <is>
          <t>設定可</t>
        </is>
      </c>
      <c r="K235" s="43" t="b">
        <v>1</v>
      </c>
      <c r="L235" s="43" t="inlineStr">
        <is>
          <t>94</t>
        </is>
      </c>
      <c r="M235" s="43" t="inlineStr">
        <is>
          <t>¥45,700 / ¥49,600</t>
        </is>
      </c>
    </row>
    <row r="236">
      <c r="A236" s="43" t="inlineStr">
        <is>
          <t>SZ-SL-000569</t>
        </is>
      </c>
      <c r="B236" s="43" t="inlineStr">
        <is>
          <t>面格子付引違い窓</t>
        </is>
      </c>
      <c r="C236" s="43" t="inlineStr">
        <is>
          <t>SP-SL-GRILLE-H</t>
        </is>
      </c>
      <c r="D236" s="43" t="inlineStr">
        <is>
          <t>在来・204</t>
        </is>
      </c>
      <c r="E236" s="43" t="inlineStr">
        <is>
          <t>07405</t>
        </is>
      </c>
      <c r="F236" s="43" t="inlineStr">
        <is>
          <t>074</t>
        </is>
      </c>
      <c r="G236" s="43" t="inlineStr">
        <is>
          <t>05</t>
        </is>
      </c>
      <c r="H236" s="43" t="n">
        <v>780</v>
      </c>
      <c r="I236" s="43" t="n">
        <v>570</v>
      </c>
      <c r="J236" s="43" t="inlineStr">
        <is>
          <t>設定可</t>
        </is>
      </c>
      <c r="K236" s="43" t="b">
        <v>1</v>
      </c>
      <c r="L236" s="43" t="inlineStr">
        <is>
          <t>94</t>
        </is>
      </c>
      <c r="M236" s="43" t="inlineStr">
        <is>
          <t>¥45,700 / ¥49,600</t>
        </is>
      </c>
    </row>
    <row r="237">
      <c r="A237" s="43" t="inlineStr">
        <is>
          <t>SZ-SL-000570</t>
        </is>
      </c>
      <c r="B237" s="43" t="inlineStr">
        <is>
          <t>面格子付引違い窓</t>
        </is>
      </c>
      <c r="C237" s="43" t="inlineStr">
        <is>
          <t>SP-SL-GRILLE-H</t>
        </is>
      </c>
      <c r="D237" s="43" t="inlineStr">
        <is>
          <t>在来・204</t>
        </is>
      </c>
      <c r="E237" s="43" t="inlineStr">
        <is>
          <t>07805</t>
        </is>
      </c>
      <c r="F237" s="43" t="inlineStr">
        <is>
          <t>078</t>
        </is>
      </c>
      <c r="G237" s="43" t="inlineStr">
        <is>
          <t>05</t>
        </is>
      </c>
      <c r="H237" s="43" t="n">
        <v>820</v>
      </c>
      <c r="I237" s="43" t="n">
        <v>570</v>
      </c>
      <c r="J237" s="43" t="inlineStr">
        <is>
          <t>設定可</t>
        </is>
      </c>
      <c r="K237" s="43" t="b">
        <v>1</v>
      </c>
      <c r="L237" s="43" t="inlineStr">
        <is>
          <t>94</t>
        </is>
      </c>
      <c r="M237" s="43" t="inlineStr">
        <is>
          <t>¥49,000 / ¥53,000</t>
        </is>
      </c>
    </row>
    <row r="238">
      <c r="A238" s="43" t="inlineStr">
        <is>
          <t>SZ-SL-000571</t>
        </is>
      </c>
      <c r="B238" s="43" t="inlineStr">
        <is>
          <t>面格子付引違い窓</t>
        </is>
      </c>
      <c r="C238" s="43" t="inlineStr">
        <is>
          <t>SP-SL-GRILLE-IGETA</t>
        </is>
      </c>
      <c r="D238" s="43" t="inlineStr">
        <is>
          <t>在来・204</t>
        </is>
      </c>
      <c r="E238" s="43" t="inlineStr">
        <is>
          <t>06005</t>
        </is>
      </c>
      <c r="F238" s="43" t="inlineStr">
        <is>
          <t>060</t>
        </is>
      </c>
      <c r="G238" s="43" t="inlineStr">
        <is>
          <t>05</t>
        </is>
      </c>
      <c r="H238" s="43" t="n">
        <v>640</v>
      </c>
      <c r="I238" s="43" t="n">
        <v>570</v>
      </c>
      <c r="J238" s="43" t="inlineStr">
        <is>
          <t>設定可</t>
        </is>
      </c>
      <c r="K238" s="43" t="b">
        <v>1</v>
      </c>
      <c r="L238" s="43" t="inlineStr">
        <is>
          <t>94</t>
        </is>
      </c>
      <c r="M238" s="43" t="inlineStr">
        <is>
          <t>¥41,800 / ¥45,500</t>
        </is>
      </c>
    </row>
    <row r="239">
      <c r="A239" s="43" t="inlineStr">
        <is>
          <t>SZ-SL-000572</t>
        </is>
      </c>
      <c r="B239" s="43" t="inlineStr">
        <is>
          <t>面格子付引違い窓</t>
        </is>
      </c>
      <c r="C239" s="43" t="inlineStr">
        <is>
          <t>SP-SL-GRILLE-IGETA</t>
        </is>
      </c>
      <c r="D239" s="43" t="inlineStr">
        <is>
          <t>在来・204</t>
        </is>
      </c>
      <c r="E239" s="43" t="inlineStr">
        <is>
          <t>06905</t>
        </is>
      </c>
      <c r="F239" s="43" t="inlineStr">
        <is>
          <t>069</t>
        </is>
      </c>
      <c r="G239" s="43" t="inlineStr">
        <is>
          <t>05</t>
        </is>
      </c>
      <c r="H239" s="43" t="n">
        <v>730</v>
      </c>
      <c r="I239" s="43" t="n">
        <v>570</v>
      </c>
      <c r="J239" s="43" t="inlineStr">
        <is>
          <t>設定可</t>
        </is>
      </c>
      <c r="K239" s="43" t="b">
        <v>1</v>
      </c>
      <c r="L239" s="43" t="inlineStr">
        <is>
          <t>94</t>
        </is>
      </c>
      <c r="M239" s="43" t="inlineStr">
        <is>
          <t>¥45,700 / ¥49,600</t>
        </is>
      </c>
    </row>
    <row r="240">
      <c r="A240" s="43" t="inlineStr">
        <is>
          <t>SZ-SL-000573</t>
        </is>
      </c>
      <c r="B240" s="43" t="inlineStr">
        <is>
          <t>面格子付引違い窓</t>
        </is>
      </c>
      <c r="C240" s="43" t="inlineStr">
        <is>
          <t>SP-SL-GRILLE-IGETA</t>
        </is>
      </c>
      <c r="D240" s="43" t="inlineStr">
        <is>
          <t>在来・204</t>
        </is>
      </c>
      <c r="E240" s="43" t="inlineStr">
        <is>
          <t>07405</t>
        </is>
      </c>
      <c r="F240" s="43" t="inlineStr">
        <is>
          <t>074</t>
        </is>
      </c>
      <c r="G240" s="43" t="inlineStr">
        <is>
          <t>05</t>
        </is>
      </c>
      <c r="H240" s="43" t="n">
        <v>780</v>
      </c>
      <c r="I240" s="43" t="n">
        <v>570</v>
      </c>
      <c r="J240" s="43" t="inlineStr">
        <is>
          <t>設定可</t>
        </is>
      </c>
      <c r="K240" s="43" t="b">
        <v>1</v>
      </c>
      <c r="L240" s="43" t="inlineStr">
        <is>
          <t>94</t>
        </is>
      </c>
      <c r="M240" s="43" t="inlineStr">
        <is>
          <t>¥45,700 / ¥49,600</t>
        </is>
      </c>
    </row>
    <row r="241">
      <c r="A241" s="43" t="inlineStr">
        <is>
          <t>SZ-SL-000574</t>
        </is>
      </c>
      <c r="B241" s="43" t="inlineStr">
        <is>
          <t>面格子付引違い窓</t>
        </is>
      </c>
      <c r="C241" s="43" t="inlineStr">
        <is>
          <t>SP-SL-GRILLE-IGETA</t>
        </is>
      </c>
      <c r="D241" s="43" t="inlineStr">
        <is>
          <t>在来・204</t>
        </is>
      </c>
      <c r="E241" s="43" t="inlineStr">
        <is>
          <t>07805</t>
        </is>
      </c>
      <c r="F241" s="43" t="inlineStr">
        <is>
          <t>078</t>
        </is>
      </c>
      <c r="G241" s="43" t="inlineStr">
        <is>
          <t>05</t>
        </is>
      </c>
      <c r="H241" s="43" t="n">
        <v>820</v>
      </c>
      <c r="I241" s="43" t="n">
        <v>570</v>
      </c>
      <c r="J241" s="43" t="inlineStr">
        <is>
          <t>設定可</t>
        </is>
      </c>
      <c r="K241" s="43" t="b">
        <v>1</v>
      </c>
      <c r="L241" s="43" t="inlineStr">
        <is>
          <t>94</t>
        </is>
      </c>
      <c r="M241" s="43" t="inlineStr">
        <is>
          <t>¥49,000 / ¥53,000</t>
        </is>
      </c>
    </row>
    <row r="242">
      <c r="A242" s="43" t="inlineStr">
        <is>
          <t>SZ-SL-000575</t>
        </is>
      </c>
      <c r="B242" s="43" t="inlineStr">
        <is>
          <t>面格子付引違い窓</t>
        </is>
      </c>
      <c r="C242" s="43" t="inlineStr">
        <is>
          <t>SP-SL-GRILLE-V</t>
        </is>
      </c>
      <c r="D242" s="43" t="inlineStr">
        <is>
          <t>在来・204</t>
        </is>
      </c>
      <c r="E242" s="43" t="inlineStr">
        <is>
          <t>06005</t>
        </is>
      </c>
      <c r="F242" s="43" t="inlineStr">
        <is>
          <t>060</t>
        </is>
      </c>
      <c r="G242" s="43" t="inlineStr">
        <is>
          <t>05</t>
        </is>
      </c>
      <c r="H242" s="43" t="n">
        <v>640</v>
      </c>
      <c r="I242" s="43" t="n">
        <v>570</v>
      </c>
      <c r="J242" s="43" t="inlineStr">
        <is>
          <t>設定可</t>
        </is>
      </c>
      <c r="K242" s="43" t="b">
        <v>1</v>
      </c>
      <c r="L242" s="43" t="inlineStr">
        <is>
          <t>94</t>
        </is>
      </c>
      <c r="M242" s="43" t="inlineStr">
        <is>
          <t>¥36,000 / ¥39,300</t>
        </is>
      </c>
    </row>
    <row r="243">
      <c r="A243" s="43" t="inlineStr">
        <is>
          <t>SZ-SL-000576</t>
        </is>
      </c>
      <c r="B243" s="43" t="inlineStr">
        <is>
          <t>面格子付引違い窓</t>
        </is>
      </c>
      <c r="C243" s="43" t="inlineStr">
        <is>
          <t>SP-SL-GRILLE-V</t>
        </is>
      </c>
      <c r="D243" s="43" t="inlineStr">
        <is>
          <t>在来・204</t>
        </is>
      </c>
      <c r="E243" s="43" t="inlineStr">
        <is>
          <t>06905</t>
        </is>
      </c>
      <c r="F243" s="43" t="inlineStr">
        <is>
          <t>069</t>
        </is>
      </c>
      <c r="G243" s="43" t="inlineStr">
        <is>
          <t>05</t>
        </is>
      </c>
      <c r="H243" s="43" t="n">
        <v>730</v>
      </c>
      <c r="I243" s="43" t="n">
        <v>570</v>
      </c>
      <c r="J243" s="43" t="inlineStr">
        <is>
          <t>設定可</t>
        </is>
      </c>
      <c r="K243" s="43" t="b">
        <v>1</v>
      </c>
      <c r="L243" s="43" t="inlineStr">
        <is>
          <t>94</t>
        </is>
      </c>
      <c r="M243" s="43" t="inlineStr">
        <is>
          <t>¥38,400 / ¥42,000</t>
        </is>
      </c>
    </row>
    <row r="244">
      <c r="A244" s="43" t="inlineStr">
        <is>
          <t>SZ-SL-000577</t>
        </is>
      </c>
      <c r="B244" s="43" t="inlineStr">
        <is>
          <t>面格子付引違い窓</t>
        </is>
      </c>
      <c r="C244" s="43" t="inlineStr">
        <is>
          <t>SP-SL-GRILLE-V</t>
        </is>
      </c>
      <c r="D244" s="43" t="inlineStr">
        <is>
          <t>在来・204</t>
        </is>
      </c>
      <c r="E244" s="43" t="inlineStr">
        <is>
          <t>07405</t>
        </is>
      </c>
      <c r="F244" s="43" t="inlineStr">
        <is>
          <t>074</t>
        </is>
      </c>
      <c r="G244" s="43" t="inlineStr">
        <is>
          <t>05</t>
        </is>
      </c>
      <c r="H244" s="43" t="n">
        <v>780</v>
      </c>
      <c r="I244" s="43" t="n">
        <v>570</v>
      </c>
      <c r="J244" s="43" t="inlineStr">
        <is>
          <t>設定可</t>
        </is>
      </c>
      <c r="K244" s="43" t="b">
        <v>1</v>
      </c>
      <c r="L244" s="43" t="inlineStr">
        <is>
          <t>94</t>
        </is>
      </c>
      <c r="M244" s="43" t="inlineStr">
        <is>
          <t>¥38,400 / ¥42,000</t>
        </is>
      </c>
    </row>
    <row r="245">
      <c r="A245" s="43" t="inlineStr">
        <is>
          <t>SZ-SL-000578</t>
        </is>
      </c>
      <c r="B245" s="43" t="inlineStr">
        <is>
          <t>面格子付引違い窓</t>
        </is>
      </c>
      <c r="C245" s="43" t="inlineStr">
        <is>
          <t>SP-SL-GRILLE-V</t>
        </is>
      </c>
      <c r="D245" s="43" t="inlineStr">
        <is>
          <t>在来・204</t>
        </is>
      </c>
      <c r="E245" s="43" t="inlineStr">
        <is>
          <t>07805</t>
        </is>
      </c>
      <c r="F245" s="43" t="inlineStr">
        <is>
          <t>078</t>
        </is>
      </c>
      <c r="G245" s="43" t="inlineStr">
        <is>
          <t>05</t>
        </is>
      </c>
      <c r="H245" s="43" t="n">
        <v>820</v>
      </c>
      <c r="I245" s="43" t="n">
        <v>570</v>
      </c>
      <c r="J245" s="43" t="inlineStr">
        <is>
          <t>設定可</t>
        </is>
      </c>
      <c r="K245" s="43" t="b">
        <v>1</v>
      </c>
      <c r="L245" s="43" t="inlineStr">
        <is>
          <t>94</t>
        </is>
      </c>
      <c r="M245" s="43" t="inlineStr">
        <is>
          <t>¥41,600 / ¥45,200</t>
        </is>
      </c>
    </row>
    <row r="246">
      <c r="A246" s="43" t="inlineStr">
        <is>
          <t>SZ-SL-000579</t>
        </is>
      </c>
      <c r="B246" s="43" t="inlineStr">
        <is>
          <t>面格子付引違い窓</t>
        </is>
      </c>
      <c r="C246" s="43" t="inlineStr">
        <is>
          <t>SP-SL-GRILLE-DIA</t>
        </is>
      </c>
      <c r="D246" s="43" t="inlineStr">
        <is>
          <t>在来・204</t>
        </is>
      </c>
      <c r="E246" s="43" t="inlineStr">
        <is>
          <t>08005</t>
        </is>
      </c>
      <c r="F246" s="43" t="inlineStr">
        <is>
          <t>080</t>
        </is>
      </c>
      <c r="G246" s="43" t="inlineStr">
        <is>
          <t>05</t>
        </is>
      </c>
      <c r="H246" s="43" t="n">
        <v>845</v>
      </c>
      <c r="I246" s="43" t="n">
        <v>570</v>
      </c>
      <c r="J246" s="43" t="inlineStr">
        <is>
          <t>設定可</t>
        </is>
      </c>
      <c r="K246" s="43" t="b">
        <v>1</v>
      </c>
      <c r="L246" s="43" t="inlineStr">
        <is>
          <t>95</t>
        </is>
      </c>
      <c r="M246" s="43" t="inlineStr">
        <is>
          <t>¥49,000 / ¥53,000</t>
        </is>
      </c>
    </row>
    <row r="247">
      <c r="A247" s="43" t="inlineStr">
        <is>
          <t>SZ-SL-000580</t>
        </is>
      </c>
      <c r="B247" s="43" t="inlineStr">
        <is>
          <t>面格子付引違い窓</t>
        </is>
      </c>
      <c r="C247" s="43" t="inlineStr">
        <is>
          <t>SP-SL-GRILLE-DIA</t>
        </is>
      </c>
      <c r="D247" s="43" t="inlineStr">
        <is>
          <t>在来・204</t>
        </is>
      </c>
      <c r="E247" s="43" t="inlineStr">
        <is>
          <t>08305</t>
        </is>
      </c>
      <c r="F247" s="43" t="inlineStr">
        <is>
          <t>083</t>
        </is>
      </c>
      <c r="G247" s="43" t="inlineStr">
        <is>
          <t>05</t>
        </is>
      </c>
      <c r="H247" s="43" t="n">
        <v>870</v>
      </c>
      <c r="I247" s="43" t="n">
        <v>570</v>
      </c>
      <c r="J247" s="43" t="inlineStr">
        <is>
          <t>設定可</t>
        </is>
      </c>
      <c r="K247" s="43" t="b">
        <v>1</v>
      </c>
      <c r="L247" s="43" t="inlineStr">
        <is>
          <t>95</t>
        </is>
      </c>
      <c r="M247" s="43" t="inlineStr">
        <is>
          <t>¥49,000 / ¥53,000</t>
        </is>
      </c>
    </row>
    <row r="248">
      <c r="A248" s="43" t="inlineStr">
        <is>
          <t>SZ-SL-000581</t>
        </is>
      </c>
      <c r="B248" s="43" t="inlineStr">
        <is>
          <t>面格子付引違い窓</t>
        </is>
      </c>
      <c r="C248" s="43" t="inlineStr">
        <is>
          <t>SP-SL-GRILLE-DIA</t>
        </is>
      </c>
      <c r="D248" s="43" t="inlineStr">
        <is>
          <t>在来・204</t>
        </is>
      </c>
      <c r="E248" s="43" t="inlineStr">
        <is>
          <t>11405</t>
        </is>
      </c>
      <c r="F248" s="43" t="inlineStr">
        <is>
          <t>114</t>
        </is>
      </c>
      <c r="G248" s="43" t="inlineStr">
        <is>
          <t>05</t>
        </is>
      </c>
      <c r="H248" s="43" t="n">
        <v>1185</v>
      </c>
      <c r="I248" s="43" t="n">
        <v>570</v>
      </c>
      <c r="J248" s="43" t="inlineStr">
        <is>
          <t>設定可</t>
        </is>
      </c>
      <c r="K248" s="43" t="b">
        <v>1</v>
      </c>
      <c r="L248" s="43" t="inlineStr">
        <is>
          <t>95</t>
        </is>
      </c>
      <c r="M248" s="43" t="inlineStr">
        <is>
          <t>¥58,800 / ¥63,600</t>
        </is>
      </c>
    </row>
    <row r="249">
      <c r="A249" s="43" t="inlineStr">
        <is>
          <t>SZ-SL-000582</t>
        </is>
      </c>
      <c r="B249" s="43" t="inlineStr">
        <is>
          <t>面格子付引違い窓</t>
        </is>
      </c>
      <c r="C249" s="43" t="inlineStr">
        <is>
          <t>SP-SL-GRILLE-DIA</t>
        </is>
      </c>
      <c r="D249" s="43" t="inlineStr">
        <is>
          <t>在来・204</t>
        </is>
      </c>
      <c r="E249" s="43" t="inlineStr">
        <is>
          <t>11905</t>
        </is>
      </c>
      <c r="F249" s="43" t="inlineStr">
        <is>
          <t>119</t>
        </is>
      </c>
      <c r="G249" s="43" t="inlineStr">
        <is>
          <t>05</t>
        </is>
      </c>
      <c r="H249" s="43" t="n">
        <v>1235</v>
      </c>
      <c r="I249" s="43" t="n">
        <v>570</v>
      </c>
      <c r="J249" s="43" t="inlineStr">
        <is>
          <t>設定可</t>
        </is>
      </c>
      <c r="K249" s="43" t="b">
        <v>1</v>
      </c>
      <c r="L249" s="43" t="inlineStr">
        <is>
          <t>95</t>
        </is>
      </c>
      <c r="M249" s="43" t="inlineStr">
        <is>
          <t>¥58,800 / ¥63,600</t>
        </is>
      </c>
    </row>
    <row r="250">
      <c r="A250" s="43" t="inlineStr">
        <is>
          <t>SZ-SL-000583</t>
        </is>
      </c>
      <c r="B250" s="43" t="inlineStr">
        <is>
          <t>面格子付引違い窓</t>
        </is>
      </c>
      <c r="C250" s="43" t="inlineStr">
        <is>
          <t>SP-SL-GRILLE-DIA</t>
        </is>
      </c>
      <c r="D250" s="43" t="inlineStr">
        <is>
          <t>在来・204</t>
        </is>
      </c>
      <c r="E250" s="43" t="inlineStr">
        <is>
          <t>12805</t>
        </is>
      </c>
      <c r="F250" s="43" t="inlineStr">
        <is>
          <t>128</t>
        </is>
      </c>
      <c r="G250" s="43" t="inlineStr">
        <is>
          <t>05</t>
        </is>
      </c>
      <c r="H250" s="43" t="n">
        <v>1320</v>
      </c>
      <c r="I250" s="43" t="n">
        <v>570</v>
      </c>
      <c r="J250" s="43" t="inlineStr">
        <is>
          <t>設定可</t>
        </is>
      </c>
      <c r="K250" s="43" t="b">
        <v>1</v>
      </c>
      <c r="L250" s="43" t="inlineStr">
        <is>
          <t>95</t>
        </is>
      </c>
      <c r="M250" s="43" t="inlineStr">
        <is>
          <t>¥62,700 / ¥67,800</t>
        </is>
      </c>
    </row>
    <row r="251">
      <c r="A251" s="43" t="inlineStr">
        <is>
          <t>SZ-SL-000584</t>
        </is>
      </c>
      <c r="B251" s="43" t="inlineStr">
        <is>
          <t>面格子付引違い窓</t>
        </is>
      </c>
      <c r="C251" s="43" t="inlineStr">
        <is>
          <t>SP-SL-GRILLE-H</t>
        </is>
      </c>
      <c r="D251" s="43" t="inlineStr">
        <is>
          <t>在来・204</t>
        </is>
      </c>
      <c r="E251" s="43" t="inlineStr">
        <is>
          <t>08005</t>
        </is>
      </c>
      <c r="F251" s="43" t="inlineStr">
        <is>
          <t>080</t>
        </is>
      </c>
      <c r="G251" s="43" t="inlineStr">
        <is>
          <t>05</t>
        </is>
      </c>
      <c r="H251" s="43" t="n">
        <v>845</v>
      </c>
      <c r="I251" s="43" t="n">
        <v>570</v>
      </c>
      <c r="J251" s="43" t="inlineStr">
        <is>
          <t>設定可</t>
        </is>
      </c>
      <c r="K251" s="43" t="b">
        <v>1</v>
      </c>
      <c r="L251" s="43" t="inlineStr">
        <is>
          <t>95</t>
        </is>
      </c>
      <c r="M251" s="43" t="inlineStr">
        <is>
          <t>¥49,000 / ¥53,000</t>
        </is>
      </c>
    </row>
    <row r="252">
      <c r="A252" s="43" t="inlineStr">
        <is>
          <t>SZ-SL-000585</t>
        </is>
      </c>
      <c r="B252" s="43" t="inlineStr">
        <is>
          <t>面格子付引違い窓</t>
        </is>
      </c>
      <c r="C252" s="43" t="inlineStr">
        <is>
          <t>SP-SL-GRILLE-H</t>
        </is>
      </c>
      <c r="D252" s="43" t="inlineStr">
        <is>
          <t>在来・204</t>
        </is>
      </c>
      <c r="E252" s="43" t="inlineStr">
        <is>
          <t>08305</t>
        </is>
      </c>
      <c r="F252" s="43" t="inlineStr">
        <is>
          <t>083</t>
        </is>
      </c>
      <c r="G252" s="43" t="inlineStr">
        <is>
          <t>05</t>
        </is>
      </c>
      <c r="H252" s="43" t="n">
        <v>870</v>
      </c>
      <c r="I252" s="43" t="n">
        <v>570</v>
      </c>
      <c r="J252" s="43" t="inlineStr">
        <is>
          <t>設定可</t>
        </is>
      </c>
      <c r="K252" s="43" t="b">
        <v>1</v>
      </c>
      <c r="L252" s="43" t="inlineStr">
        <is>
          <t>95</t>
        </is>
      </c>
      <c r="M252" s="43" t="inlineStr">
        <is>
          <t>¥49,000 / ¥53,000</t>
        </is>
      </c>
    </row>
    <row r="253">
      <c r="A253" s="43" t="inlineStr">
        <is>
          <t>SZ-SL-000586</t>
        </is>
      </c>
      <c r="B253" s="43" t="inlineStr">
        <is>
          <t>面格子付引違い窓</t>
        </is>
      </c>
      <c r="C253" s="43" t="inlineStr">
        <is>
          <t>SP-SL-GRILLE-H</t>
        </is>
      </c>
      <c r="D253" s="43" t="inlineStr">
        <is>
          <t>在来・204</t>
        </is>
      </c>
      <c r="E253" s="43" t="inlineStr">
        <is>
          <t>11405</t>
        </is>
      </c>
      <c r="F253" s="43" t="inlineStr">
        <is>
          <t>114</t>
        </is>
      </c>
      <c r="G253" s="43" t="inlineStr">
        <is>
          <t>05</t>
        </is>
      </c>
      <c r="H253" s="43" t="n">
        <v>1185</v>
      </c>
      <c r="I253" s="43" t="n">
        <v>570</v>
      </c>
      <c r="J253" s="43" t="inlineStr">
        <is>
          <t>設定可</t>
        </is>
      </c>
      <c r="K253" s="43" t="b">
        <v>1</v>
      </c>
      <c r="L253" s="43" t="inlineStr">
        <is>
          <t>95</t>
        </is>
      </c>
      <c r="M253" s="43" t="inlineStr">
        <is>
          <t>¥58,800 / ¥63,600</t>
        </is>
      </c>
    </row>
    <row r="254">
      <c r="A254" s="43" t="inlineStr">
        <is>
          <t>SZ-SL-000587</t>
        </is>
      </c>
      <c r="B254" s="43" t="inlineStr">
        <is>
          <t>面格子付引違い窓</t>
        </is>
      </c>
      <c r="C254" s="43" t="inlineStr">
        <is>
          <t>SP-SL-GRILLE-H</t>
        </is>
      </c>
      <c r="D254" s="43" t="inlineStr">
        <is>
          <t>在来・204</t>
        </is>
      </c>
      <c r="E254" s="43" t="inlineStr">
        <is>
          <t>11905</t>
        </is>
      </c>
      <c r="F254" s="43" t="inlineStr">
        <is>
          <t>119</t>
        </is>
      </c>
      <c r="G254" s="43" t="inlineStr">
        <is>
          <t>05</t>
        </is>
      </c>
      <c r="H254" s="43" t="n">
        <v>1235</v>
      </c>
      <c r="I254" s="43" t="n">
        <v>570</v>
      </c>
      <c r="J254" s="43" t="inlineStr">
        <is>
          <t>設定可</t>
        </is>
      </c>
      <c r="K254" s="43" t="b">
        <v>1</v>
      </c>
      <c r="L254" s="43" t="inlineStr">
        <is>
          <t>95</t>
        </is>
      </c>
      <c r="M254" s="43" t="inlineStr">
        <is>
          <t>¥58,800 / ¥63,600</t>
        </is>
      </c>
    </row>
    <row r="255">
      <c r="A255" s="43" t="inlineStr">
        <is>
          <t>SZ-SL-000588</t>
        </is>
      </c>
      <c r="B255" s="43" t="inlineStr">
        <is>
          <t>面格子付引違い窓</t>
        </is>
      </c>
      <c r="C255" s="43" t="inlineStr">
        <is>
          <t>SP-SL-GRILLE-H</t>
        </is>
      </c>
      <c r="D255" s="43" t="inlineStr">
        <is>
          <t>在来・204</t>
        </is>
      </c>
      <c r="E255" s="43" t="inlineStr">
        <is>
          <t>12805</t>
        </is>
      </c>
      <c r="F255" s="43" t="inlineStr">
        <is>
          <t>128</t>
        </is>
      </c>
      <c r="G255" s="43" t="inlineStr">
        <is>
          <t>05</t>
        </is>
      </c>
      <c r="H255" s="43" t="n">
        <v>1320</v>
      </c>
      <c r="I255" s="43" t="n">
        <v>570</v>
      </c>
      <c r="J255" s="43" t="inlineStr">
        <is>
          <t>設定可</t>
        </is>
      </c>
      <c r="K255" s="43" t="b">
        <v>1</v>
      </c>
      <c r="L255" s="43" t="inlineStr">
        <is>
          <t>95</t>
        </is>
      </c>
      <c r="M255" s="43" t="inlineStr">
        <is>
          <t>¥62,700 / ¥67,800</t>
        </is>
      </c>
    </row>
    <row r="256">
      <c r="A256" s="43" t="inlineStr">
        <is>
          <t>SZ-SL-000589</t>
        </is>
      </c>
      <c r="B256" s="43" t="inlineStr">
        <is>
          <t>面格子付引違い窓</t>
        </is>
      </c>
      <c r="C256" s="43" t="inlineStr">
        <is>
          <t>SP-SL-GRILLE-IGETA</t>
        </is>
      </c>
      <c r="D256" s="43" t="inlineStr">
        <is>
          <t>在来・204</t>
        </is>
      </c>
      <c r="E256" s="43" t="inlineStr">
        <is>
          <t>08005</t>
        </is>
      </c>
      <c r="F256" s="43" t="inlineStr">
        <is>
          <t>080</t>
        </is>
      </c>
      <c r="G256" s="43" t="inlineStr">
        <is>
          <t>05</t>
        </is>
      </c>
      <c r="H256" s="43" t="n">
        <v>845</v>
      </c>
      <c r="I256" s="43" t="n">
        <v>570</v>
      </c>
      <c r="J256" s="43" t="inlineStr">
        <is>
          <t>設定可</t>
        </is>
      </c>
      <c r="K256" s="43" t="b">
        <v>1</v>
      </c>
      <c r="L256" s="43" t="inlineStr">
        <is>
          <t>95</t>
        </is>
      </c>
      <c r="M256" s="43" t="inlineStr">
        <is>
          <t>¥49,000 / ¥53,000</t>
        </is>
      </c>
    </row>
    <row r="257">
      <c r="A257" s="43" t="inlineStr">
        <is>
          <t>SZ-SL-000590</t>
        </is>
      </c>
      <c r="B257" s="43" t="inlineStr">
        <is>
          <t>面格子付引違い窓</t>
        </is>
      </c>
      <c r="C257" s="43" t="inlineStr">
        <is>
          <t>SP-SL-GRILLE-IGETA</t>
        </is>
      </c>
      <c r="D257" s="43" t="inlineStr">
        <is>
          <t>在来・204</t>
        </is>
      </c>
      <c r="E257" s="43" t="inlineStr">
        <is>
          <t>08305</t>
        </is>
      </c>
      <c r="F257" s="43" t="inlineStr">
        <is>
          <t>083</t>
        </is>
      </c>
      <c r="G257" s="43" t="inlineStr">
        <is>
          <t>05</t>
        </is>
      </c>
      <c r="H257" s="43" t="n">
        <v>870</v>
      </c>
      <c r="I257" s="43" t="n">
        <v>570</v>
      </c>
      <c r="J257" s="43" t="inlineStr">
        <is>
          <t>設定可</t>
        </is>
      </c>
      <c r="K257" s="43" t="b">
        <v>1</v>
      </c>
      <c r="L257" s="43" t="inlineStr">
        <is>
          <t>95</t>
        </is>
      </c>
      <c r="M257" s="43" t="inlineStr">
        <is>
          <t>¥49,000 / ¥53,000</t>
        </is>
      </c>
    </row>
    <row r="258">
      <c r="A258" s="43" t="inlineStr">
        <is>
          <t>SZ-SL-000591</t>
        </is>
      </c>
      <c r="B258" s="43" t="inlineStr">
        <is>
          <t>面格子付引違い窓</t>
        </is>
      </c>
      <c r="C258" s="43" t="inlineStr">
        <is>
          <t>SP-SL-GRILLE-IGETA</t>
        </is>
      </c>
      <c r="D258" s="43" t="inlineStr">
        <is>
          <t>在来・204</t>
        </is>
      </c>
      <c r="E258" s="43" t="inlineStr">
        <is>
          <t>11405</t>
        </is>
      </c>
      <c r="F258" s="43" t="inlineStr">
        <is>
          <t>114</t>
        </is>
      </c>
      <c r="G258" s="43" t="inlineStr">
        <is>
          <t>05</t>
        </is>
      </c>
      <c r="H258" s="43" t="n">
        <v>1185</v>
      </c>
      <c r="I258" s="43" t="n">
        <v>570</v>
      </c>
      <c r="J258" s="43" t="inlineStr">
        <is>
          <t>設定可</t>
        </is>
      </c>
      <c r="K258" s="43" t="b">
        <v>1</v>
      </c>
      <c r="L258" s="43" t="inlineStr">
        <is>
          <t>95</t>
        </is>
      </c>
      <c r="M258" s="43" t="inlineStr">
        <is>
          <t>¥58,800 / ¥63,600</t>
        </is>
      </c>
    </row>
    <row r="259">
      <c r="A259" s="43" t="inlineStr">
        <is>
          <t>SZ-SL-000592</t>
        </is>
      </c>
      <c r="B259" s="43" t="inlineStr">
        <is>
          <t>面格子付引違い窓</t>
        </is>
      </c>
      <c r="C259" s="43" t="inlineStr">
        <is>
          <t>SP-SL-GRILLE-IGETA</t>
        </is>
      </c>
      <c r="D259" s="43" t="inlineStr">
        <is>
          <t>在来・204</t>
        </is>
      </c>
      <c r="E259" s="43" t="inlineStr">
        <is>
          <t>11905</t>
        </is>
      </c>
      <c r="F259" s="43" t="inlineStr">
        <is>
          <t>119</t>
        </is>
      </c>
      <c r="G259" s="43" t="inlineStr">
        <is>
          <t>05</t>
        </is>
      </c>
      <c r="H259" s="43" t="n">
        <v>1235</v>
      </c>
      <c r="I259" s="43" t="n">
        <v>570</v>
      </c>
      <c r="J259" s="43" t="inlineStr">
        <is>
          <t>設定可</t>
        </is>
      </c>
      <c r="K259" s="43" t="b">
        <v>1</v>
      </c>
      <c r="L259" s="43" t="inlineStr">
        <is>
          <t>95</t>
        </is>
      </c>
      <c r="M259" s="43" t="inlineStr">
        <is>
          <t>¥58,800 / ¥63,600</t>
        </is>
      </c>
    </row>
    <row r="260">
      <c r="A260" s="43" t="inlineStr">
        <is>
          <t>SZ-SL-000593</t>
        </is>
      </c>
      <c r="B260" s="43" t="inlineStr">
        <is>
          <t>面格子付引違い窓</t>
        </is>
      </c>
      <c r="C260" s="43" t="inlineStr">
        <is>
          <t>SP-SL-GRILLE-IGETA</t>
        </is>
      </c>
      <c r="D260" s="43" t="inlineStr">
        <is>
          <t>在来・204</t>
        </is>
      </c>
      <c r="E260" s="43" t="inlineStr">
        <is>
          <t>12805</t>
        </is>
      </c>
      <c r="F260" s="43" t="inlineStr">
        <is>
          <t>128</t>
        </is>
      </c>
      <c r="G260" s="43" t="inlineStr">
        <is>
          <t>05</t>
        </is>
      </c>
      <c r="H260" s="43" t="n">
        <v>1320</v>
      </c>
      <c r="I260" s="43" t="n">
        <v>570</v>
      </c>
      <c r="J260" s="43" t="inlineStr">
        <is>
          <t>設定可</t>
        </is>
      </c>
      <c r="K260" s="43" t="b">
        <v>1</v>
      </c>
      <c r="L260" s="43" t="inlineStr">
        <is>
          <t>95</t>
        </is>
      </c>
      <c r="M260" s="43" t="inlineStr">
        <is>
          <t>¥62,700 / ¥67,800</t>
        </is>
      </c>
    </row>
    <row r="261">
      <c r="A261" s="43" t="inlineStr">
        <is>
          <t>SZ-SL-000594</t>
        </is>
      </c>
      <c r="B261" s="43" t="inlineStr">
        <is>
          <t>面格子付引違い窓</t>
        </is>
      </c>
      <c r="C261" s="43" t="inlineStr">
        <is>
          <t>SP-SL-GRILLE-V</t>
        </is>
      </c>
      <c r="D261" s="43" t="inlineStr">
        <is>
          <t>在来・204</t>
        </is>
      </c>
      <c r="E261" s="43" t="inlineStr">
        <is>
          <t>08005</t>
        </is>
      </c>
      <c r="F261" s="43" t="inlineStr">
        <is>
          <t>080</t>
        </is>
      </c>
      <c r="G261" s="43" t="inlineStr">
        <is>
          <t>05</t>
        </is>
      </c>
      <c r="H261" s="43" t="n">
        <v>845</v>
      </c>
      <c r="I261" s="43" t="n">
        <v>570</v>
      </c>
      <c r="J261" s="43" t="inlineStr">
        <is>
          <t>設定可</t>
        </is>
      </c>
      <c r="K261" s="43" t="b">
        <v>1</v>
      </c>
      <c r="L261" s="43" t="inlineStr">
        <is>
          <t>95</t>
        </is>
      </c>
      <c r="M261" s="43" t="inlineStr">
        <is>
          <t>¥41,600 / ¥45,200</t>
        </is>
      </c>
    </row>
    <row r="262">
      <c r="A262" s="43" t="inlineStr">
        <is>
          <t>SZ-SL-000595</t>
        </is>
      </c>
      <c r="B262" s="43" t="inlineStr">
        <is>
          <t>面格子付引違い窓</t>
        </is>
      </c>
      <c r="C262" s="43" t="inlineStr">
        <is>
          <t>SP-SL-GRILLE-V</t>
        </is>
      </c>
      <c r="D262" s="43" t="inlineStr">
        <is>
          <t>在来・204</t>
        </is>
      </c>
      <c r="E262" s="43" t="inlineStr">
        <is>
          <t>08305</t>
        </is>
      </c>
      <c r="F262" s="43" t="inlineStr">
        <is>
          <t>083</t>
        </is>
      </c>
      <c r="G262" s="43" t="inlineStr">
        <is>
          <t>05</t>
        </is>
      </c>
      <c r="H262" s="43" t="n">
        <v>870</v>
      </c>
      <c r="I262" s="43" t="n">
        <v>570</v>
      </c>
      <c r="J262" s="43" t="inlineStr">
        <is>
          <t>設定可</t>
        </is>
      </c>
      <c r="K262" s="43" t="b">
        <v>1</v>
      </c>
      <c r="L262" s="43" t="inlineStr">
        <is>
          <t>95</t>
        </is>
      </c>
      <c r="M262" s="43" t="inlineStr">
        <is>
          <t>¥41,600 / ¥45,200</t>
        </is>
      </c>
    </row>
    <row r="263">
      <c r="A263" s="43" t="inlineStr">
        <is>
          <t>SZ-SL-000596</t>
        </is>
      </c>
      <c r="B263" s="43" t="inlineStr">
        <is>
          <t>面格子付引違い窓</t>
        </is>
      </c>
      <c r="C263" s="43" t="inlineStr">
        <is>
          <t>SP-SL-GRILLE-V</t>
        </is>
      </c>
      <c r="D263" s="43" t="inlineStr">
        <is>
          <t>在来・204</t>
        </is>
      </c>
      <c r="E263" s="43" t="inlineStr">
        <is>
          <t>11405</t>
        </is>
      </c>
      <c r="F263" s="43" t="inlineStr">
        <is>
          <t>114</t>
        </is>
      </c>
      <c r="G263" s="43" t="inlineStr">
        <is>
          <t>05</t>
        </is>
      </c>
      <c r="H263" s="43" t="n">
        <v>1185</v>
      </c>
      <c r="I263" s="43" t="n">
        <v>570</v>
      </c>
      <c r="J263" s="43" t="inlineStr">
        <is>
          <t>設定可</t>
        </is>
      </c>
      <c r="K263" s="43" t="b">
        <v>1</v>
      </c>
      <c r="L263" s="43" t="inlineStr">
        <is>
          <t>95</t>
        </is>
      </c>
      <c r="M263" s="43" t="inlineStr">
        <is>
          <t>¥49,200 / ¥53,700</t>
        </is>
      </c>
    </row>
    <row r="264">
      <c r="A264" s="43" t="inlineStr">
        <is>
          <t>SZ-SL-000597</t>
        </is>
      </c>
      <c r="B264" s="43" t="inlineStr">
        <is>
          <t>面格子付引違い窓</t>
        </is>
      </c>
      <c r="C264" s="43" t="inlineStr">
        <is>
          <t>SP-SL-GRILLE-V</t>
        </is>
      </c>
      <c r="D264" s="43" t="inlineStr">
        <is>
          <t>在来・204</t>
        </is>
      </c>
      <c r="E264" s="43" t="inlineStr">
        <is>
          <t>11905</t>
        </is>
      </c>
      <c r="F264" s="43" t="inlineStr">
        <is>
          <t>119</t>
        </is>
      </c>
      <c r="G264" s="43" t="inlineStr">
        <is>
          <t>05</t>
        </is>
      </c>
      <c r="H264" s="43" t="n">
        <v>1235</v>
      </c>
      <c r="I264" s="43" t="n">
        <v>570</v>
      </c>
      <c r="J264" s="43" t="inlineStr">
        <is>
          <t>設定可</t>
        </is>
      </c>
      <c r="K264" s="43" t="b">
        <v>1</v>
      </c>
      <c r="L264" s="43" t="inlineStr">
        <is>
          <t>95</t>
        </is>
      </c>
      <c r="M264" s="43" t="inlineStr">
        <is>
          <t>¥49,200 / ¥53,700</t>
        </is>
      </c>
    </row>
    <row r="265">
      <c r="A265" s="43" t="inlineStr">
        <is>
          <t>SZ-SL-000598</t>
        </is>
      </c>
      <c r="B265" s="43" t="inlineStr">
        <is>
          <t>面格子付引違い窓</t>
        </is>
      </c>
      <c r="C265" s="43" t="inlineStr">
        <is>
          <t>SP-SL-GRILLE-V</t>
        </is>
      </c>
      <c r="D265" s="43" t="inlineStr">
        <is>
          <t>在来・204</t>
        </is>
      </c>
      <c r="E265" s="43" t="inlineStr">
        <is>
          <t>12805</t>
        </is>
      </c>
      <c r="F265" s="43" t="inlineStr">
        <is>
          <t>128</t>
        </is>
      </c>
      <c r="G265" s="43" t="inlineStr">
        <is>
          <t>05</t>
        </is>
      </c>
      <c r="H265" s="43" t="n">
        <v>1320</v>
      </c>
      <c r="I265" s="43" t="n">
        <v>570</v>
      </c>
      <c r="J265" s="43" t="inlineStr">
        <is>
          <t>設定可</t>
        </is>
      </c>
      <c r="K265" s="43" t="b">
        <v>1</v>
      </c>
      <c r="L265" s="43" t="inlineStr">
        <is>
          <t>95</t>
        </is>
      </c>
      <c r="M265" s="43" t="inlineStr">
        <is>
          <t>¥52,600 / ¥57,200</t>
        </is>
      </c>
    </row>
    <row r="266">
      <c r="A266" s="43" t="inlineStr">
        <is>
          <t>SZ-SL-000599</t>
        </is>
      </c>
      <c r="B266" s="43" t="inlineStr">
        <is>
          <t>面格子付引違い窓</t>
        </is>
      </c>
      <c r="C266" s="43" t="inlineStr">
        <is>
          <t>SP-SL-GRILLE-DIA</t>
        </is>
      </c>
      <c r="D266" s="43" t="inlineStr">
        <is>
          <t>在来・204</t>
        </is>
      </c>
      <c r="E266" s="43" t="inlineStr">
        <is>
          <t>13305</t>
        </is>
      </c>
      <c r="F266" s="43" t="inlineStr">
        <is>
          <t>133</t>
        </is>
      </c>
      <c r="G266" s="43" t="inlineStr">
        <is>
          <t>05</t>
        </is>
      </c>
      <c r="H266" s="43" t="n">
        <v>1370</v>
      </c>
      <c r="I266" s="43" t="n">
        <v>570</v>
      </c>
      <c r="J266" s="43" t="inlineStr">
        <is>
          <t>設定可</t>
        </is>
      </c>
      <c r="K266" s="43" t="b">
        <v>1</v>
      </c>
      <c r="L266" s="43" t="inlineStr">
        <is>
          <t>96</t>
        </is>
      </c>
      <c r="M266" s="43" t="inlineStr">
        <is>
          <t>¥62,700 / ¥67,800</t>
        </is>
      </c>
    </row>
    <row r="267">
      <c r="A267" s="43" t="inlineStr">
        <is>
          <t>SZ-SL-000600</t>
        </is>
      </c>
      <c r="B267" s="43" t="inlineStr">
        <is>
          <t>面格子付引違い窓</t>
        </is>
      </c>
      <c r="C267" s="43" t="inlineStr">
        <is>
          <t>SP-SL-GRILLE-DIA</t>
        </is>
      </c>
      <c r="D267" s="43" t="inlineStr">
        <is>
          <t>在来・204</t>
        </is>
      </c>
      <c r="E267" s="43" t="inlineStr">
        <is>
          <t>15005</t>
        </is>
      </c>
      <c r="F267" s="43" t="inlineStr">
        <is>
          <t>150</t>
        </is>
      </c>
      <c r="G267" s="43" t="inlineStr">
        <is>
          <t>05</t>
        </is>
      </c>
      <c r="H267" s="43" t="n">
        <v>1540</v>
      </c>
      <c r="I267" s="43" t="n">
        <v>570</v>
      </c>
      <c r="J267" s="43" t="inlineStr">
        <is>
          <t>設定可</t>
        </is>
      </c>
      <c r="K267" s="43" t="b">
        <v>1</v>
      </c>
      <c r="L267" s="43" t="inlineStr">
        <is>
          <t>96</t>
        </is>
      </c>
      <c r="M267" s="43" t="inlineStr">
        <is>
          <t>¥68,700 / ¥74,300</t>
        </is>
      </c>
    </row>
    <row r="268">
      <c r="A268" s="43" t="inlineStr">
        <is>
          <t>SZ-SL-000601</t>
        </is>
      </c>
      <c r="B268" s="43" t="inlineStr">
        <is>
          <t>面格子付引違い窓</t>
        </is>
      </c>
      <c r="C268" s="43" t="inlineStr">
        <is>
          <t>SP-SL-GRILLE-DIA</t>
        </is>
      </c>
      <c r="D268" s="43" t="inlineStr">
        <is>
          <t>在来・204</t>
        </is>
      </c>
      <c r="E268" s="43" t="inlineStr">
        <is>
          <t>16005</t>
        </is>
      </c>
      <c r="F268" s="43" t="inlineStr">
        <is>
          <t>160</t>
        </is>
      </c>
      <c r="G268" s="43" t="inlineStr">
        <is>
          <t>05</t>
        </is>
      </c>
      <c r="H268" s="43" t="n">
        <v>1640</v>
      </c>
      <c r="I268" s="43" t="n">
        <v>570</v>
      </c>
      <c r="J268" s="43" t="inlineStr">
        <is>
          <t>設定可</t>
        </is>
      </c>
      <c r="K268" s="43" t="b">
        <v>1</v>
      </c>
      <c r="L268" s="43" t="inlineStr">
        <is>
          <t>96</t>
        </is>
      </c>
      <c r="M268" s="43" t="inlineStr">
        <is>
          <t>¥70,700 / ¥76,400</t>
        </is>
      </c>
    </row>
    <row r="269">
      <c r="A269" s="43" t="inlineStr">
        <is>
          <t>SZ-SL-000602</t>
        </is>
      </c>
      <c r="B269" s="43" t="inlineStr">
        <is>
          <t>面格子付引違い窓</t>
        </is>
      </c>
      <c r="C269" s="43" t="inlineStr">
        <is>
          <t>SP-SL-GRILLE-DIA</t>
        </is>
      </c>
      <c r="D269" s="43" t="inlineStr">
        <is>
          <t>在来・204</t>
        </is>
      </c>
      <c r="E269" s="43" t="inlineStr">
        <is>
          <t>16505</t>
        </is>
      </c>
      <c r="F269" s="43" t="inlineStr">
        <is>
          <t>165</t>
        </is>
      </c>
      <c r="G269" s="43" t="inlineStr">
        <is>
          <t>05</t>
        </is>
      </c>
      <c r="H269" s="43" t="n">
        <v>1690</v>
      </c>
      <c r="I269" s="43" t="n">
        <v>570</v>
      </c>
      <c r="J269" s="43" t="inlineStr">
        <is>
          <t>設定可</t>
        </is>
      </c>
      <c r="K269" s="43" t="b">
        <v>1</v>
      </c>
      <c r="L269" s="43" t="inlineStr">
        <is>
          <t>96</t>
        </is>
      </c>
      <c r="M269" s="43" t="inlineStr">
        <is>
          <t>¥70,700 / ¥76,400</t>
        </is>
      </c>
    </row>
    <row r="270">
      <c r="A270" s="43" t="inlineStr">
        <is>
          <t>SZ-SL-000603</t>
        </is>
      </c>
      <c r="B270" s="43" t="inlineStr">
        <is>
          <t>面格子付引違い窓</t>
        </is>
      </c>
      <c r="C270" s="43" t="inlineStr">
        <is>
          <t>SP-SL-GRILLE-H</t>
        </is>
      </c>
      <c r="D270" s="43" t="inlineStr">
        <is>
          <t>在来・204</t>
        </is>
      </c>
      <c r="E270" s="43" t="inlineStr">
        <is>
          <t>13305</t>
        </is>
      </c>
      <c r="F270" s="43" t="inlineStr">
        <is>
          <t>133</t>
        </is>
      </c>
      <c r="G270" s="43" t="inlineStr">
        <is>
          <t>05</t>
        </is>
      </c>
      <c r="H270" s="43" t="n">
        <v>1370</v>
      </c>
      <c r="I270" s="43" t="n">
        <v>570</v>
      </c>
      <c r="J270" s="43" t="inlineStr">
        <is>
          <t>設定可</t>
        </is>
      </c>
      <c r="K270" s="43" t="b">
        <v>1</v>
      </c>
      <c r="L270" s="43" t="inlineStr">
        <is>
          <t>96</t>
        </is>
      </c>
      <c r="M270" s="43" t="inlineStr">
        <is>
          <t>¥62,700 / ¥67,800</t>
        </is>
      </c>
    </row>
    <row r="271">
      <c r="A271" s="43" t="inlineStr">
        <is>
          <t>SZ-SL-000604</t>
        </is>
      </c>
      <c r="B271" s="43" t="inlineStr">
        <is>
          <t>面格子付引違い窓</t>
        </is>
      </c>
      <c r="C271" s="43" t="inlineStr">
        <is>
          <t>SP-SL-GRILLE-H</t>
        </is>
      </c>
      <c r="D271" s="43" t="inlineStr">
        <is>
          <t>在来・204</t>
        </is>
      </c>
      <c r="E271" s="43" t="inlineStr">
        <is>
          <t>15005</t>
        </is>
      </c>
      <c r="F271" s="43" t="inlineStr">
        <is>
          <t>150</t>
        </is>
      </c>
      <c r="G271" s="43" t="inlineStr">
        <is>
          <t>05</t>
        </is>
      </c>
      <c r="H271" s="43" t="n">
        <v>1540</v>
      </c>
      <c r="I271" s="43" t="n">
        <v>570</v>
      </c>
      <c r="J271" s="43" t="inlineStr">
        <is>
          <t>設定なし</t>
        </is>
      </c>
      <c r="K271" s="43" t="b">
        <v>0</v>
      </c>
      <c r="L271" s="43" t="inlineStr">
        <is>
          <t>96</t>
        </is>
      </c>
      <c r="M271" s="43" t="inlineStr">
        <is>
          <t>＿＿</t>
        </is>
      </c>
    </row>
    <row r="272">
      <c r="A272" s="43" t="inlineStr">
        <is>
          <t>SZ-SL-000605</t>
        </is>
      </c>
      <c r="B272" s="43" t="inlineStr">
        <is>
          <t>面格子付引違い窓</t>
        </is>
      </c>
      <c r="C272" s="43" t="inlineStr">
        <is>
          <t>SP-SL-GRILLE-H</t>
        </is>
      </c>
      <c r="D272" s="43" t="inlineStr">
        <is>
          <t>在来・204</t>
        </is>
      </c>
      <c r="E272" s="43" t="inlineStr">
        <is>
          <t>16005</t>
        </is>
      </c>
      <c r="F272" s="43" t="inlineStr">
        <is>
          <t>160</t>
        </is>
      </c>
      <c r="G272" s="43" t="inlineStr">
        <is>
          <t>05</t>
        </is>
      </c>
      <c r="H272" s="43" t="n">
        <v>1640</v>
      </c>
      <c r="I272" s="43" t="n">
        <v>570</v>
      </c>
      <c r="J272" s="43" t="inlineStr">
        <is>
          <t>設定なし</t>
        </is>
      </c>
      <c r="K272" s="43" t="b">
        <v>0</v>
      </c>
      <c r="L272" s="43" t="inlineStr">
        <is>
          <t>96</t>
        </is>
      </c>
      <c r="M272" s="43" t="inlineStr">
        <is>
          <t>＿＿</t>
        </is>
      </c>
    </row>
    <row r="273">
      <c r="A273" s="43" t="inlineStr">
        <is>
          <t>SZ-SL-000606</t>
        </is>
      </c>
      <c r="B273" s="43" t="inlineStr">
        <is>
          <t>面格子付引違い窓</t>
        </is>
      </c>
      <c r="C273" s="43" t="inlineStr">
        <is>
          <t>SP-SL-GRILLE-H</t>
        </is>
      </c>
      <c r="D273" s="43" t="inlineStr">
        <is>
          <t>在来・204</t>
        </is>
      </c>
      <c r="E273" s="43" t="inlineStr">
        <is>
          <t>16505</t>
        </is>
      </c>
      <c r="F273" s="43" t="inlineStr">
        <is>
          <t>165</t>
        </is>
      </c>
      <c r="G273" s="43" t="inlineStr">
        <is>
          <t>05</t>
        </is>
      </c>
      <c r="H273" s="43" t="n">
        <v>1690</v>
      </c>
      <c r="I273" s="43" t="n">
        <v>570</v>
      </c>
      <c r="J273" s="43" t="inlineStr">
        <is>
          <t>設定なし</t>
        </is>
      </c>
      <c r="K273" s="43" t="b">
        <v>0</v>
      </c>
      <c r="L273" s="43" t="inlineStr">
        <is>
          <t>96</t>
        </is>
      </c>
      <c r="M273" s="43" t="inlineStr">
        <is>
          <t>＿＿</t>
        </is>
      </c>
    </row>
    <row r="274">
      <c r="A274" s="43" t="inlineStr">
        <is>
          <t>SZ-SL-000607</t>
        </is>
      </c>
      <c r="B274" s="43" t="inlineStr">
        <is>
          <t>面格子付引違い窓</t>
        </is>
      </c>
      <c r="C274" s="43" t="inlineStr">
        <is>
          <t>SP-SL-GRILLE-IGETA</t>
        </is>
      </c>
      <c r="D274" s="43" t="inlineStr">
        <is>
          <t>在来・204</t>
        </is>
      </c>
      <c r="E274" s="43" t="inlineStr">
        <is>
          <t>13305</t>
        </is>
      </c>
      <c r="F274" s="43" t="inlineStr">
        <is>
          <t>133</t>
        </is>
      </c>
      <c r="G274" s="43" t="inlineStr">
        <is>
          <t>05</t>
        </is>
      </c>
      <c r="H274" s="43" t="n">
        <v>1370</v>
      </c>
      <c r="I274" s="43" t="n">
        <v>570</v>
      </c>
      <c r="J274" s="43" t="inlineStr">
        <is>
          <t>設定可</t>
        </is>
      </c>
      <c r="K274" s="43" t="b">
        <v>1</v>
      </c>
      <c r="L274" s="43" t="inlineStr">
        <is>
          <t>96</t>
        </is>
      </c>
      <c r="M274" s="43" t="inlineStr">
        <is>
          <t>¥62,700 / ¥67,800</t>
        </is>
      </c>
    </row>
    <row r="275">
      <c r="A275" s="43" t="inlineStr">
        <is>
          <t>SZ-SL-000608</t>
        </is>
      </c>
      <c r="B275" s="43" t="inlineStr">
        <is>
          <t>面格子付引違い窓</t>
        </is>
      </c>
      <c r="C275" s="43" t="inlineStr">
        <is>
          <t>SP-SL-GRILLE-IGETA</t>
        </is>
      </c>
      <c r="D275" s="43" t="inlineStr">
        <is>
          <t>在来・204</t>
        </is>
      </c>
      <c r="E275" s="43" t="inlineStr">
        <is>
          <t>15005</t>
        </is>
      </c>
      <c r="F275" s="43" t="inlineStr">
        <is>
          <t>150</t>
        </is>
      </c>
      <c r="G275" s="43" t="inlineStr">
        <is>
          <t>05</t>
        </is>
      </c>
      <c r="H275" s="43" t="n">
        <v>1540</v>
      </c>
      <c r="I275" s="43" t="n">
        <v>570</v>
      </c>
      <c r="J275" s="43" t="inlineStr">
        <is>
          <t>設定可</t>
        </is>
      </c>
      <c r="K275" s="43" t="b">
        <v>1</v>
      </c>
      <c r="L275" s="43" t="inlineStr">
        <is>
          <t>96</t>
        </is>
      </c>
      <c r="M275" s="43" t="inlineStr">
        <is>
          <t>¥68,700 / ¥74,300</t>
        </is>
      </c>
    </row>
    <row r="276">
      <c r="A276" s="43" t="inlineStr">
        <is>
          <t>SZ-SL-000609</t>
        </is>
      </c>
      <c r="B276" s="43" t="inlineStr">
        <is>
          <t>面格子付引違い窓</t>
        </is>
      </c>
      <c r="C276" s="43" t="inlineStr">
        <is>
          <t>SP-SL-GRILLE-IGETA</t>
        </is>
      </c>
      <c r="D276" s="43" t="inlineStr">
        <is>
          <t>在来・204</t>
        </is>
      </c>
      <c r="E276" s="43" t="inlineStr">
        <is>
          <t>16005</t>
        </is>
      </c>
      <c r="F276" s="43" t="inlineStr">
        <is>
          <t>160</t>
        </is>
      </c>
      <c r="G276" s="43" t="inlineStr">
        <is>
          <t>05</t>
        </is>
      </c>
      <c r="H276" s="43" t="n">
        <v>1640</v>
      </c>
      <c r="I276" s="43" t="n">
        <v>570</v>
      </c>
      <c r="J276" s="43" t="inlineStr">
        <is>
          <t>設定可</t>
        </is>
      </c>
      <c r="K276" s="43" t="b">
        <v>1</v>
      </c>
      <c r="L276" s="43" t="inlineStr">
        <is>
          <t>96</t>
        </is>
      </c>
      <c r="M276" s="43" t="inlineStr">
        <is>
          <t>¥70,700 / ¥76,400</t>
        </is>
      </c>
    </row>
    <row r="277">
      <c r="A277" s="43" t="inlineStr">
        <is>
          <t>SZ-SL-000610</t>
        </is>
      </c>
      <c r="B277" s="43" t="inlineStr">
        <is>
          <t>面格子付引違い窓</t>
        </is>
      </c>
      <c r="C277" s="43" t="inlineStr">
        <is>
          <t>SP-SL-GRILLE-IGETA</t>
        </is>
      </c>
      <c r="D277" s="43" t="inlineStr">
        <is>
          <t>在来・204</t>
        </is>
      </c>
      <c r="E277" s="43" t="inlineStr">
        <is>
          <t>16505</t>
        </is>
      </c>
      <c r="F277" s="43" t="inlineStr">
        <is>
          <t>165</t>
        </is>
      </c>
      <c r="G277" s="43" t="inlineStr">
        <is>
          <t>05</t>
        </is>
      </c>
      <c r="H277" s="43" t="n">
        <v>1690</v>
      </c>
      <c r="I277" s="43" t="n">
        <v>570</v>
      </c>
      <c r="J277" s="43" t="inlineStr">
        <is>
          <t>設定可</t>
        </is>
      </c>
      <c r="K277" s="43" t="b">
        <v>1</v>
      </c>
      <c r="L277" s="43" t="inlineStr">
        <is>
          <t>96</t>
        </is>
      </c>
      <c r="M277" s="43" t="inlineStr">
        <is>
          <t>¥70,700 / ¥76,400</t>
        </is>
      </c>
    </row>
    <row r="278">
      <c r="A278" s="43" t="inlineStr">
        <is>
          <t>SZ-SL-000611</t>
        </is>
      </c>
      <c r="B278" s="43" t="inlineStr">
        <is>
          <t>面格子付引違い窓</t>
        </is>
      </c>
      <c r="C278" s="43" t="inlineStr">
        <is>
          <t>SP-SL-GRILLE-V</t>
        </is>
      </c>
      <c r="D278" s="43" t="inlineStr">
        <is>
          <t>在来・204</t>
        </is>
      </c>
      <c r="E278" s="43" t="inlineStr">
        <is>
          <t>13305</t>
        </is>
      </c>
      <c r="F278" s="43" t="inlineStr">
        <is>
          <t>133</t>
        </is>
      </c>
      <c r="G278" s="43" t="inlineStr">
        <is>
          <t>05</t>
        </is>
      </c>
      <c r="H278" s="43" t="n">
        <v>1370</v>
      </c>
      <c r="I278" s="43" t="n">
        <v>570</v>
      </c>
      <c r="J278" s="43" t="inlineStr">
        <is>
          <t>設定可</t>
        </is>
      </c>
      <c r="K278" s="43" t="b">
        <v>1</v>
      </c>
      <c r="L278" s="43" t="inlineStr">
        <is>
          <t>96</t>
        </is>
      </c>
      <c r="M278" s="43" t="inlineStr">
        <is>
          <t>¥52,600 / ¥57,200</t>
        </is>
      </c>
    </row>
    <row r="279">
      <c r="A279" s="43" t="inlineStr">
        <is>
          <t>SZ-SL-000612</t>
        </is>
      </c>
      <c r="B279" s="43" t="inlineStr">
        <is>
          <t>面格子付引違い窓</t>
        </is>
      </c>
      <c r="C279" s="43" t="inlineStr">
        <is>
          <t>SP-SL-GRILLE-V</t>
        </is>
      </c>
      <c r="D279" s="43" t="inlineStr">
        <is>
          <t>在来・204</t>
        </is>
      </c>
      <c r="E279" s="43" t="inlineStr">
        <is>
          <t>15005</t>
        </is>
      </c>
      <c r="F279" s="43" t="inlineStr">
        <is>
          <t>150</t>
        </is>
      </c>
      <c r="G279" s="43" t="inlineStr">
        <is>
          <t>05</t>
        </is>
      </c>
      <c r="H279" s="43" t="n">
        <v>1540</v>
      </c>
      <c r="I279" s="43" t="n">
        <v>570</v>
      </c>
      <c r="J279" s="43" t="inlineStr">
        <is>
          <t>設定可</t>
        </is>
      </c>
      <c r="K279" s="43" t="b">
        <v>1</v>
      </c>
      <c r="L279" s="43" t="inlineStr">
        <is>
          <t>96</t>
        </is>
      </c>
      <c r="M279" s="43" t="inlineStr">
        <is>
          <t>¥57,800 / ¥62,900</t>
        </is>
      </c>
    </row>
    <row r="280">
      <c r="A280" s="43" t="inlineStr">
        <is>
          <t>SZ-SL-000613</t>
        </is>
      </c>
      <c r="B280" s="43" t="inlineStr">
        <is>
          <t>面格子付引違い窓</t>
        </is>
      </c>
      <c r="C280" s="43" t="inlineStr">
        <is>
          <t>SP-SL-GRILLE-V</t>
        </is>
      </c>
      <c r="D280" s="43" t="inlineStr">
        <is>
          <t>在来・204</t>
        </is>
      </c>
      <c r="E280" s="43" t="inlineStr">
        <is>
          <t>16005</t>
        </is>
      </c>
      <c r="F280" s="43" t="inlineStr">
        <is>
          <t>160</t>
        </is>
      </c>
      <c r="G280" s="43" t="inlineStr">
        <is>
          <t>05</t>
        </is>
      </c>
      <c r="H280" s="43" t="n">
        <v>1640</v>
      </c>
      <c r="I280" s="43" t="n">
        <v>570</v>
      </c>
      <c r="J280" s="43" t="inlineStr">
        <is>
          <t>設定可</t>
        </is>
      </c>
      <c r="K280" s="43" t="b">
        <v>1</v>
      </c>
      <c r="L280" s="43" t="inlineStr">
        <is>
          <t>96</t>
        </is>
      </c>
      <c r="M280" s="43" t="inlineStr">
        <is>
          <t>¥59,000 / ¥64,200</t>
        </is>
      </c>
    </row>
    <row r="281">
      <c r="A281" s="43" t="inlineStr">
        <is>
          <t>SZ-SL-000614</t>
        </is>
      </c>
      <c r="B281" s="43" t="inlineStr">
        <is>
          <t>面格子付引違い窓</t>
        </is>
      </c>
      <c r="C281" s="43" t="inlineStr">
        <is>
          <t>SP-SL-GRILLE-V</t>
        </is>
      </c>
      <c r="D281" s="43" t="inlineStr">
        <is>
          <t>在来・204</t>
        </is>
      </c>
      <c r="E281" s="43" t="inlineStr">
        <is>
          <t>16505</t>
        </is>
      </c>
      <c r="F281" s="43" t="inlineStr">
        <is>
          <t>165</t>
        </is>
      </c>
      <c r="G281" s="43" t="inlineStr">
        <is>
          <t>05</t>
        </is>
      </c>
      <c r="H281" s="43" t="n">
        <v>1690</v>
      </c>
      <c r="I281" s="43" t="n">
        <v>570</v>
      </c>
      <c r="J281" s="43" t="inlineStr">
        <is>
          <t>設定可</t>
        </is>
      </c>
      <c r="K281" s="43" t="b">
        <v>1</v>
      </c>
      <c r="L281" s="43" t="inlineStr">
        <is>
          <t>96</t>
        </is>
      </c>
      <c r="M281" s="43" t="inlineStr">
        <is>
          <t>¥59,000 / ¥64,200</t>
        </is>
      </c>
    </row>
    <row r="282">
      <c r="A282" s="43" t="inlineStr">
        <is>
          <t>SZ-SL-000615</t>
        </is>
      </c>
      <c r="B282" s="43" t="inlineStr">
        <is>
          <t>面格子付引違い窓</t>
        </is>
      </c>
      <c r="C282" s="43" t="inlineStr">
        <is>
          <t>SP-SL-GRILLE-DIA</t>
        </is>
      </c>
      <c r="D282" s="43" t="inlineStr">
        <is>
          <t>在来・204</t>
        </is>
      </c>
      <c r="E282" s="43" t="inlineStr">
        <is>
          <t>17405</t>
        </is>
      </c>
      <c r="F282" s="43" t="inlineStr">
        <is>
          <t>174</t>
        </is>
      </c>
      <c r="G282" s="43" t="inlineStr">
        <is>
          <t>05</t>
        </is>
      </c>
      <c r="H282" s="43" t="n">
        <v>1780</v>
      </c>
      <c r="I282" s="43" t="n">
        <v>570</v>
      </c>
      <c r="J282" s="43" t="inlineStr">
        <is>
          <t>設定可</t>
        </is>
      </c>
      <c r="K282" s="43" t="b">
        <v>1</v>
      </c>
      <c r="L282" s="43" t="inlineStr">
        <is>
          <t>97</t>
        </is>
      </c>
      <c r="M282" s="43" t="inlineStr">
        <is>
          <t>¥75,500 / ¥81,700</t>
        </is>
      </c>
    </row>
    <row r="283">
      <c r="A283" s="43" t="inlineStr">
        <is>
          <t>SZ-SL-000616</t>
        </is>
      </c>
      <c r="B283" s="43" t="inlineStr">
        <is>
          <t>面格子付引違い窓</t>
        </is>
      </c>
      <c r="C283" s="43" t="inlineStr">
        <is>
          <t>SP-SL-GRILLE-DIA</t>
        </is>
      </c>
      <c r="D283" s="43" t="inlineStr">
        <is>
          <t>在来・204</t>
        </is>
      </c>
      <c r="E283" s="43" t="inlineStr">
        <is>
          <t>17605</t>
        </is>
      </c>
      <c r="F283" s="43" t="inlineStr">
        <is>
          <t>176</t>
        </is>
      </c>
      <c r="G283" s="43" t="inlineStr">
        <is>
          <t>05</t>
        </is>
      </c>
      <c r="H283" s="43" t="n">
        <v>1800</v>
      </c>
      <c r="I283" s="43" t="n">
        <v>570</v>
      </c>
      <c r="J283" s="43" t="inlineStr">
        <is>
          <t>設定可</t>
        </is>
      </c>
      <c r="K283" s="43" t="b">
        <v>1</v>
      </c>
      <c r="L283" s="43" t="inlineStr">
        <is>
          <t>97</t>
        </is>
      </c>
      <c r="M283" s="43" t="inlineStr">
        <is>
          <t>¥75,500 / ¥81,700</t>
        </is>
      </c>
    </row>
    <row r="284">
      <c r="A284" s="43" t="inlineStr">
        <is>
          <t>SZ-SL-000617</t>
        </is>
      </c>
      <c r="B284" s="43" t="inlineStr">
        <is>
          <t>面格子付引違い窓</t>
        </is>
      </c>
      <c r="C284" s="43" t="inlineStr">
        <is>
          <t>SP-SL-GRILLE-DIA</t>
        </is>
      </c>
      <c r="D284" s="43" t="inlineStr">
        <is>
          <t>在来・204</t>
        </is>
      </c>
      <c r="E284" s="43" t="inlineStr">
        <is>
          <t>18005</t>
        </is>
      </c>
      <c r="F284" s="43" t="inlineStr">
        <is>
          <t>180</t>
        </is>
      </c>
      <c r="G284" s="43" t="inlineStr">
        <is>
          <t>05</t>
        </is>
      </c>
      <c r="H284" s="43" t="n">
        <v>1845</v>
      </c>
      <c r="I284" s="43" t="n">
        <v>570</v>
      </c>
      <c r="J284" s="43" t="inlineStr">
        <is>
          <t>設定可</t>
        </is>
      </c>
      <c r="K284" s="43" t="b">
        <v>1</v>
      </c>
      <c r="L284" s="43" t="inlineStr">
        <is>
          <t>97</t>
        </is>
      </c>
      <c r="M284" s="43" t="inlineStr">
        <is>
          <t>¥75,500 / ¥81,700</t>
        </is>
      </c>
    </row>
    <row r="285">
      <c r="A285" s="43" t="inlineStr">
        <is>
          <t>SZ-SL-000618</t>
        </is>
      </c>
      <c r="B285" s="43" t="inlineStr">
        <is>
          <t>面格子付引違い窓</t>
        </is>
      </c>
      <c r="C285" s="43" t="inlineStr">
        <is>
          <t>SP-SL-GRILLE-DIA</t>
        </is>
      </c>
      <c r="D285" s="43" t="inlineStr">
        <is>
          <t>在来・204</t>
        </is>
      </c>
      <c r="E285" s="43" t="inlineStr">
        <is>
          <t>18605</t>
        </is>
      </c>
      <c r="F285" s="43" t="inlineStr">
        <is>
          <t>186</t>
        </is>
      </c>
      <c r="G285" s="43" t="inlineStr">
        <is>
          <t>05</t>
        </is>
      </c>
      <c r="H285" s="43" t="n">
        <v>1900</v>
      </c>
      <c r="I285" s="43" t="n">
        <v>570</v>
      </c>
      <c r="J285" s="43" t="inlineStr">
        <is>
          <t>設定可</t>
        </is>
      </c>
      <c r="K285" s="43" t="b">
        <v>1</v>
      </c>
      <c r="L285" s="43" t="inlineStr">
        <is>
          <t>97</t>
        </is>
      </c>
      <c r="M285" s="43" t="inlineStr">
        <is>
          <t>¥75,500 / ¥81,700</t>
        </is>
      </c>
    </row>
    <row r="286">
      <c r="A286" s="43" t="inlineStr">
        <is>
          <t>SZ-SL-000619</t>
        </is>
      </c>
      <c r="B286" s="43" t="inlineStr">
        <is>
          <t>面格子付引違い窓</t>
        </is>
      </c>
      <c r="C286" s="43" t="inlineStr">
        <is>
          <t>SP-SL-GRILLE-H</t>
        </is>
      </c>
      <c r="D286" s="43" t="inlineStr">
        <is>
          <t>在来・204</t>
        </is>
      </c>
      <c r="E286" s="43" t="inlineStr">
        <is>
          <t>17405</t>
        </is>
      </c>
      <c r="F286" s="43" t="inlineStr">
        <is>
          <t>174</t>
        </is>
      </c>
      <c r="G286" s="43" t="inlineStr">
        <is>
          <t>05</t>
        </is>
      </c>
      <c r="H286" s="43" t="n">
        <v>1780</v>
      </c>
      <c r="I286" s="43" t="n">
        <v>570</v>
      </c>
      <c r="J286" s="43" t="inlineStr">
        <is>
          <t>設定なし</t>
        </is>
      </c>
      <c r="K286" s="43" t="b">
        <v>0</v>
      </c>
      <c r="L286" s="43" t="inlineStr">
        <is>
          <t>97</t>
        </is>
      </c>
      <c r="M286" s="43" t="inlineStr">
        <is>
          <t>＿＿</t>
        </is>
      </c>
    </row>
    <row r="287">
      <c r="A287" s="43" t="inlineStr">
        <is>
          <t>SZ-SL-000620</t>
        </is>
      </c>
      <c r="B287" s="43" t="inlineStr">
        <is>
          <t>面格子付引違い窓</t>
        </is>
      </c>
      <c r="C287" s="43" t="inlineStr">
        <is>
          <t>SP-SL-GRILLE-H</t>
        </is>
      </c>
      <c r="D287" s="43" t="inlineStr">
        <is>
          <t>在来・204</t>
        </is>
      </c>
      <c r="E287" s="43" t="inlineStr">
        <is>
          <t>17605</t>
        </is>
      </c>
      <c r="F287" s="43" t="inlineStr">
        <is>
          <t>176</t>
        </is>
      </c>
      <c r="G287" s="43" t="inlineStr">
        <is>
          <t>05</t>
        </is>
      </c>
      <c r="H287" s="43" t="n">
        <v>1800</v>
      </c>
      <c r="I287" s="43" t="n">
        <v>570</v>
      </c>
      <c r="J287" s="43" t="inlineStr">
        <is>
          <t>設定なし</t>
        </is>
      </c>
      <c r="K287" s="43" t="b">
        <v>0</v>
      </c>
      <c r="L287" s="43" t="inlineStr">
        <is>
          <t>97</t>
        </is>
      </c>
      <c r="M287" s="43" t="inlineStr">
        <is>
          <t>＿＿</t>
        </is>
      </c>
    </row>
    <row r="288">
      <c r="A288" s="43" t="inlineStr">
        <is>
          <t>SZ-SL-000621</t>
        </is>
      </c>
      <c r="B288" s="43" t="inlineStr">
        <is>
          <t>面格子付引違い窓</t>
        </is>
      </c>
      <c r="C288" s="43" t="inlineStr">
        <is>
          <t>SP-SL-GRILLE-H</t>
        </is>
      </c>
      <c r="D288" s="43" t="inlineStr">
        <is>
          <t>在来・204</t>
        </is>
      </c>
      <c r="E288" s="43" t="inlineStr">
        <is>
          <t>18005</t>
        </is>
      </c>
      <c r="F288" s="43" t="inlineStr">
        <is>
          <t>180</t>
        </is>
      </c>
      <c r="G288" s="43" t="inlineStr">
        <is>
          <t>05</t>
        </is>
      </c>
      <c r="H288" s="43" t="n">
        <v>1845</v>
      </c>
      <c r="I288" s="43" t="n">
        <v>570</v>
      </c>
      <c r="J288" s="43" t="inlineStr">
        <is>
          <t>設定なし</t>
        </is>
      </c>
      <c r="K288" s="43" t="b">
        <v>0</v>
      </c>
      <c r="L288" s="43" t="inlineStr">
        <is>
          <t>97</t>
        </is>
      </c>
      <c r="M288" s="43" t="inlineStr">
        <is>
          <t>＿＿</t>
        </is>
      </c>
    </row>
    <row r="289">
      <c r="A289" s="43" t="inlineStr">
        <is>
          <t>SZ-SL-000622</t>
        </is>
      </c>
      <c r="B289" s="43" t="inlineStr">
        <is>
          <t>面格子付引違い窓</t>
        </is>
      </c>
      <c r="C289" s="43" t="inlineStr">
        <is>
          <t>SP-SL-GRILLE-H</t>
        </is>
      </c>
      <c r="D289" s="43" t="inlineStr">
        <is>
          <t>在来・204</t>
        </is>
      </c>
      <c r="E289" s="43" t="inlineStr">
        <is>
          <t>18605</t>
        </is>
      </c>
      <c r="F289" s="43" t="inlineStr">
        <is>
          <t>186</t>
        </is>
      </c>
      <c r="G289" s="43" t="inlineStr">
        <is>
          <t>05</t>
        </is>
      </c>
      <c r="H289" s="43" t="n">
        <v>1900</v>
      </c>
      <c r="I289" s="43" t="n">
        <v>570</v>
      </c>
      <c r="J289" s="43" t="inlineStr">
        <is>
          <t>設定なし</t>
        </is>
      </c>
      <c r="K289" s="43" t="b">
        <v>0</v>
      </c>
      <c r="L289" s="43" t="inlineStr">
        <is>
          <t>97</t>
        </is>
      </c>
      <c r="M289" s="43" t="inlineStr">
        <is>
          <t>＿＿</t>
        </is>
      </c>
    </row>
    <row r="290">
      <c r="A290" s="43" t="inlineStr">
        <is>
          <t>SZ-SL-000623</t>
        </is>
      </c>
      <c r="B290" s="43" t="inlineStr">
        <is>
          <t>面格子付引違い窓</t>
        </is>
      </c>
      <c r="C290" s="43" t="inlineStr">
        <is>
          <t>SP-SL-GRILLE-IGETA</t>
        </is>
      </c>
      <c r="D290" s="43" t="inlineStr">
        <is>
          <t>在来・204</t>
        </is>
      </c>
      <c r="E290" s="43" t="inlineStr">
        <is>
          <t>17405</t>
        </is>
      </c>
      <c r="F290" s="43" t="inlineStr">
        <is>
          <t>174</t>
        </is>
      </c>
      <c r="G290" s="43" t="inlineStr">
        <is>
          <t>05</t>
        </is>
      </c>
      <c r="H290" s="43" t="n">
        <v>1780</v>
      </c>
      <c r="I290" s="43" t="n">
        <v>570</v>
      </c>
      <c r="J290" s="43" t="inlineStr">
        <is>
          <t>設定可</t>
        </is>
      </c>
      <c r="K290" s="43" t="b">
        <v>1</v>
      </c>
      <c r="L290" s="43" t="inlineStr">
        <is>
          <t>97</t>
        </is>
      </c>
      <c r="M290" s="43" t="inlineStr">
        <is>
          <t>¥75,500 / ¥81,700</t>
        </is>
      </c>
    </row>
    <row r="291">
      <c r="A291" s="43" t="inlineStr">
        <is>
          <t>SZ-SL-000624</t>
        </is>
      </c>
      <c r="B291" s="43" t="inlineStr">
        <is>
          <t>面格子付引違い窓</t>
        </is>
      </c>
      <c r="C291" s="43" t="inlineStr">
        <is>
          <t>SP-SL-GRILLE-IGETA</t>
        </is>
      </c>
      <c r="D291" s="43" t="inlineStr">
        <is>
          <t>在来・204</t>
        </is>
      </c>
      <c r="E291" s="43" t="inlineStr">
        <is>
          <t>17605</t>
        </is>
      </c>
      <c r="F291" s="43" t="inlineStr">
        <is>
          <t>176</t>
        </is>
      </c>
      <c r="G291" s="43" t="inlineStr">
        <is>
          <t>05</t>
        </is>
      </c>
      <c r="H291" s="43" t="n">
        <v>1800</v>
      </c>
      <c r="I291" s="43" t="n">
        <v>570</v>
      </c>
      <c r="J291" s="43" t="inlineStr">
        <is>
          <t>設定可</t>
        </is>
      </c>
      <c r="K291" s="43" t="b">
        <v>1</v>
      </c>
      <c r="L291" s="43" t="inlineStr">
        <is>
          <t>97</t>
        </is>
      </c>
      <c r="M291" s="43" t="inlineStr">
        <is>
          <t>¥75,500 / ¥81,700</t>
        </is>
      </c>
    </row>
    <row r="292">
      <c r="A292" s="43" t="inlineStr">
        <is>
          <t>SZ-SL-000625</t>
        </is>
      </c>
      <c r="B292" s="43" t="inlineStr">
        <is>
          <t>面格子付引違い窓</t>
        </is>
      </c>
      <c r="C292" s="43" t="inlineStr">
        <is>
          <t>SP-SL-GRILLE-IGETA</t>
        </is>
      </c>
      <c r="D292" s="43" t="inlineStr">
        <is>
          <t>在来・204</t>
        </is>
      </c>
      <c r="E292" s="43" t="inlineStr">
        <is>
          <t>18005</t>
        </is>
      </c>
      <c r="F292" s="43" t="inlineStr">
        <is>
          <t>180</t>
        </is>
      </c>
      <c r="G292" s="43" t="inlineStr">
        <is>
          <t>05</t>
        </is>
      </c>
      <c r="H292" s="43" t="n">
        <v>1845</v>
      </c>
      <c r="I292" s="43" t="n">
        <v>570</v>
      </c>
      <c r="J292" s="43" t="inlineStr">
        <is>
          <t>設定可</t>
        </is>
      </c>
      <c r="K292" s="43" t="b">
        <v>1</v>
      </c>
      <c r="L292" s="43" t="inlineStr">
        <is>
          <t>97</t>
        </is>
      </c>
      <c r="M292" s="43" t="inlineStr">
        <is>
          <t>¥75,500 / ¥81,700</t>
        </is>
      </c>
    </row>
    <row r="293">
      <c r="A293" s="43" t="inlineStr">
        <is>
          <t>SZ-SL-000626</t>
        </is>
      </c>
      <c r="B293" s="43" t="inlineStr">
        <is>
          <t>面格子付引違い窓</t>
        </is>
      </c>
      <c r="C293" s="43" t="inlineStr">
        <is>
          <t>SP-SL-GRILLE-IGETA</t>
        </is>
      </c>
      <c r="D293" s="43" t="inlineStr">
        <is>
          <t>在来・204</t>
        </is>
      </c>
      <c r="E293" s="43" t="inlineStr">
        <is>
          <t>18605</t>
        </is>
      </c>
      <c r="F293" s="43" t="inlineStr">
        <is>
          <t>186</t>
        </is>
      </c>
      <c r="G293" s="43" t="inlineStr">
        <is>
          <t>05</t>
        </is>
      </c>
      <c r="H293" s="43" t="n">
        <v>1900</v>
      </c>
      <c r="I293" s="43" t="n">
        <v>570</v>
      </c>
      <c r="J293" s="43" t="inlineStr">
        <is>
          <t>設定可</t>
        </is>
      </c>
      <c r="K293" s="43" t="b">
        <v>1</v>
      </c>
      <c r="L293" s="43" t="inlineStr">
        <is>
          <t>97</t>
        </is>
      </c>
      <c r="M293" s="43" t="inlineStr">
        <is>
          <t>¥75,500 / ¥81,700</t>
        </is>
      </c>
    </row>
    <row r="294">
      <c r="A294" s="43" t="inlineStr">
        <is>
          <t>SZ-SL-000627</t>
        </is>
      </c>
      <c r="B294" s="43" t="inlineStr">
        <is>
          <t>面格子付引違い窓</t>
        </is>
      </c>
      <c r="C294" s="43" t="inlineStr">
        <is>
          <t>SP-SL-GRILLE-V</t>
        </is>
      </c>
      <c r="D294" s="43" t="inlineStr">
        <is>
          <t>在来・204</t>
        </is>
      </c>
      <c r="E294" s="43" t="inlineStr">
        <is>
          <t>17405</t>
        </is>
      </c>
      <c r="F294" s="43" t="inlineStr">
        <is>
          <t>174</t>
        </is>
      </c>
      <c r="G294" s="43" t="inlineStr">
        <is>
          <t>05</t>
        </is>
      </c>
      <c r="H294" s="43" t="n">
        <v>1780</v>
      </c>
      <c r="I294" s="43" t="n">
        <v>570</v>
      </c>
      <c r="J294" s="43" t="inlineStr">
        <is>
          <t>設定可</t>
        </is>
      </c>
      <c r="K294" s="43" t="b">
        <v>1</v>
      </c>
      <c r="L294" s="43" t="inlineStr">
        <is>
          <t>97</t>
        </is>
      </c>
      <c r="M294" s="43" t="inlineStr">
        <is>
          <t>¥63,100 / ¥68,600</t>
        </is>
      </c>
    </row>
    <row r="295">
      <c r="A295" s="43" t="inlineStr">
        <is>
          <t>SZ-SL-000628</t>
        </is>
      </c>
      <c r="B295" s="43" t="inlineStr">
        <is>
          <t>面格子付引違い窓</t>
        </is>
      </c>
      <c r="C295" s="43" t="inlineStr">
        <is>
          <t>SP-SL-GRILLE-V</t>
        </is>
      </c>
      <c r="D295" s="43" t="inlineStr">
        <is>
          <t>在来・204</t>
        </is>
      </c>
      <c r="E295" s="43" t="inlineStr">
        <is>
          <t>17605</t>
        </is>
      </c>
      <c r="F295" s="43" t="inlineStr">
        <is>
          <t>176</t>
        </is>
      </c>
      <c r="G295" s="43" t="inlineStr">
        <is>
          <t>05</t>
        </is>
      </c>
      <c r="H295" s="43" t="n">
        <v>1800</v>
      </c>
      <c r="I295" s="43" t="n">
        <v>570</v>
      </c>
      <c r="J295" s="43" t="inlineStr">
        <is>
          <t>設定可</t>
        </is>
      </c>
      <c r="K295" s="43" t="b">
        <v>1</v>
      </c>
      <c r="L295" s="43" t="inlineStr">
        <is>
          <t>97</t>
        </is>
      </c>
      <c r="M295" s="43" t="inlineStr">
        <is>
          <t>¥63,100 / ¥68,600</t>
        </is>
      </c>
    </row>
    <row r="296">
      <c r="A296" s="43" t="inlineStr">
        <is>
          <t>SZ-SL-000629</t>
        </is>
      </c>
      <c r="B296" s="43" t="inlineStr">
        <is>
          <t>面格子付引違い窓</t>
        </is>
      </c>
      <c r="C296" s="43" t="inlineStr">
        <is>
          <t>SP-SL-GRILLE-V</t>
        </is>
      </c>
      <c r="D296" s="43" t="inlineStr">
        <is>
          <t>在来・204</t>
        </is>
      </c>
      <c r="E296" s="43" t="inlineStr">
        <is>
          <t>18005</t>
        </is>
      </c>
      <c r="F296" s="43" t="inlineStr">
        <is>
          <t>180</t>
        </is>
      </c>
      <c r="G296" s="43" t="inlineStr">
        <is>
          <t>05</t>
        </is>
      </c>
      <c r="H296" s="43" t="n">
        <v>1845</v>
      </c>
      <c r="I296" s="43" t="n">
        <v>570</v>
      </c>
      <c r="J296" s="43" t="inlineStr">
        <is>
          <t>設定可</t>
        </is>
      </c>
      <c r="K296" s="43" t="b">
        <v>1</v>
      </c>
      <c r="L296" s="43" t="inlineStr">
        <is>
          <t>97</t>
        </is>
      </c>
      <c r="M296" s="43" t="inlineStr">
        <is>
          <t>¥63,100 / ¥68,600</t>
        </is>
      </c>
    </row>
    <row r="297">
      <c r="A297" s="43" t="inlineStr">
        <is>
          <t>SZ-SL-000630</t>
        </is>
      </c>
      <c r="B297" s="43" t="inlineStr">
        <is>
          <t>面格子付引違い窓</t>
        </is>
      </c>
      <c r="C297" s="43" t="inlineStr">
        <is>
          <t>SP-SL-GRILLE-V</t>
        </is>
      </c>
      <c r="D297" s="43" t="inlineStr">
        <is>
          <t>在来・204</t>
        </is>
      </c>
      <c r="E297" s="43" t="inlineStr">
        <is>
          <t>18605</t>
        </is>
      </c>
      <c r="F297" s="43" t="inlineStr">
        <is>
          <t>186</t>
        </is>
      </c>
      <c r="G297" s="43" t="inlineStr">
        <is>
          <t>05</t>
        </is>
      </c>
      <c r="H297" s="43" t="n">
        <v>1900</v>
      </c>
      <c r="I297" s="43" t="n">
        <v>570</v>
      </c>
      <c r="J297" s="43" t="inlineStr">
        <is>
          <t>設定可</t>
        </is>
      </c>
      <c r="K297" s="43" t="b">
        <v>1</v>
      </c>
      <c r="L297" s="43" t="inlineStr">
        <is>
          <t>97</t>
        </is>
      </c>
      <c r="M297" s="43" t="inlineStr">
        <is>
          <t>¥63,100 / ¥68,600</t>
        </is>
      </c>
    </row>
    <row r="298">
      <c r="A298" s="43" t="inlineStr">
        <is>
          <t>SZ-SL-000631</t>
        </is>
      </c>
      <c r="B298" s="43" t="inlineStr">
        <is>
          <t>面格子付引違い窓</t>
        </is>
      </c>
      <c r="C298" s="43" t="inlineStr">
        <is>
          <t>SP-SL-GRILLE-DIA</t>
        </is>
      </c>
      <c r="D298" s="43" t="inlineStr">
        <is>
          <t>在来・204</t>
        </is>
      </c>
      <c r="E298" s="43" t="inlineStr">
        <is>
          <t>06007</t>
        </is>
      </c>
      <c r="F298" s="43" t="inlineStr">
        <is>
          <t>060</t>
        </is>
      </c>
      <c r="G298" s="43" t="inlineStr">
        <is>
          <t>07</t>
        </is>
      </c>
      <c r="H298" s="43" t="n">
        <v>640</v>
      </c>
      <c r="I298" s="43" t="n">
        <v>770</v>
      </c>
      <c r="J298" s="43" t="inlineStr">
        <is>
          <t>設定可</t>
        </is>
      </c>
      <c r="K298" s="43" t="b">
        <v>1</v>
      </c>
      <c r="L298" s="43" t="inlineStr">
        <is>
          <t>98</t>
        </is>
      </c>
      <c r="M298" s="43" t="inlineStr">
        <is>
          <t>¥46,800 / ¥50,800</t>
        </is>
      </c>
    </row>
    <row r="299">
      <c r="A299" s="43" t="inlineStr">
        <is>
          <t>SZ-SL-000632</t>
        </is>
      </c>
      <c r="B299" s="43" t="inlineStr">
        <is>
          <t>面格子付引違い窓</t>
        </is>
      </c>
      <c r="C299" s="43" t="inlineStr">
        <is>
          <t>SP-SL-GRILLE-DIA</t>
        </is>
      </c>
      <c r="D299" s="43" t="inlineStr">
        <is>
          <t>在来・204</t>
        </is>
      </c>
      <c r="E299" s="43" t="inlineStr">
        <is>
          <t>06907</t>
        </is>
      </c>
      <c r="F299" s="43" t="inlineStr">
        <is>
          <t>069</t>
        </is>
      </c>
      <c r="G299" s="43" t="inlineStr">
        <is>
          <t>07</t>
        </is>
      </c>
      <c r="H299" s="43" t="n">
        <v>730</v>
      </c>
      <c r="I299" s="43" t="n">
        <v>770</v>
      </c>
      <c r="J299" s="43" t="inlineStr">
        <is>
          <t>設定可</t>
        </is>
      </c>
      <c r="K299" s="43" t="b">
        <v>1</v>
      </c>
      <c r="L299" s="43" t="inlineStr">
        <is>
          <t>98</t>
        </is>
      </c>
      <c r="M299" s="43" t="inlineStr">
        <is>
          <t>¥50,900 / ¥55,200</t>
        </is>
      </c>
    </row>
    <row r="300">
      <c r="A300" s="43" t="inlineStr">
        <is>
          <t>SZ-SL-000633</t>
        </is>
      </c>
      <c r="B300" s="43" t="inlineStr">
        <is>
          <t>面格子付引違い窓</t>
        </is>
      </c>
      <c r="C300" s="43" t="inlineStr">
        <is>
          <t>SP-SL-GRILLE-DIA</t>
        </is>
      </c>
      <c r="D300" s="43" t="inlineStr">
        <is>
          <t>在来・204</t>
        </is>
      </c>
      <c r="E300" s="43" t="inlineStr">
        <is>
          <t>07407</t>
        </is>
      </c>
      <c r="F300" s="43" t="inlineStr">
        <is>
          <t>074</t>
        </is>
      </c>
      <c r="G300" s="43" t="inlineStr">
        <is>
          <t>07</t>
        </is>
      </c>
      <c r="H300" s="43" t="n">
        <v>780</v>
      </c>
      <c r="I300" s="43" t="n">
        <v>770</v>
      </c>
      <c r="J300" s="43" t="inlineStr">
        <is>
          <t>設定可</t>
        </is>
      </c>
      <c r="K300" s="43" t="b">
        <v>1</v>
      </c>
      <c r="L300" s="43" t="inlineStr">
        <is>
          <t>98</t>
        </is>
      </c>
      <c r="M300" s="43" t="inlineStr">
        <is>
          <t>¥50,900 / ¥55,200</t>
        </is>
      </c>
    </row>
    <row r="301">
      <c r="A301" s="43" t="inlineStr">
        <is>
          <t>SZ-SL-000634</t>
        </is>
      </c>
      <c r="B301" s="43" t="inlineStr">
        <is>
          <t>面格子付引違い窓</t>
        </is>
      </c>
      <c r="C301" s="43" t="inlineStr">
        <is>
          <t>SP-SL-GRILLE-DIA</t>
        </is>
      </c>
      <c r="D301" s="43" t="inlineStr">
        <is>
          <t>在来・204</t>
        </is>
      </c>
      <c r="E301" s="43" t="inlineStr">
        <is>
          <t>07807</t>
        </is>
      </c>
      <c r="F301" s="43" t="inlineStr">
        <is>
          <t>078</t>
        </is>
      </c>
      <c r="G301" s="43" t="inlineStr">
        <is>
          <t>07</t>
        </is>
      </c>
      <c r="H301" s="43" t="n">
        <v>820</v>
      </c>
      <c r="I301" s="43" t="n">
        <v>770</v>
      </c>
      <c r="J301" s="43" t="inlineStr">
        <is>
          <t>設定可</t>
        </is>
      </c>
      <c r="K301" s="43" t="b">
        <v>1</v>
      </c>
      <c r="L301" s="43" t="inlineStr">
        <is>
          <t>98</t>
        </is>
      </c>
      <c r="M301" s="43" t="inlineStr">
        <is>
          <t>¥54,300 / ¥58,900</t>
        </is>
      </c>
    </row>
    <row r="302">
      <c r="A302" s="43" t="inlineStr">
        <is>
          <t>SZ-SL-000635</t>
        </is>
      </c>
      <c r="B302" s="43" t="inlineStr">
        <is>
          <t>面格子付引違い窓</t>
        </is>
      </c>
      <c r="C302" s="43" t="inlineStr">
        <is>
          <t>SP-SL-GRILLE-H</t>
        </is>
      </c>
      <c r="D302" s="43" t="inlineStr">
        <is>
          <t>在来・204</t>
        </is>
      </c>
      <c r="E302" s="43" t="inlineStr">
        <is>
          <t>06007</t>
        </is>
      </c>
      <c r="F302" s="43" t="inlineStr">
        <is>
          <t>060</t>
        </is>
      </c>
      <c r="G302" s="43" t="inlineStr">
        <is>
          <t>07</t>
        </is>
      </c>
      <c r="H302" s="43" t="n">
        <v>640</v>
      </c>
      <c r="I302" s="43" t="n">
        <v>770</v>
      </c>
      <c r="J302" s="43" t="inlineStr">
        <is>
          <t>設定可</t>
        </is>
      </c>
      <c r="K302" s="43" t="b">
        <v>1</v>
      </c>
      <c r="L302" s="43" t="inlineStr">
        <is>
          <t>98</t>
        </is>
      </c>
      <c r="M302" s="43" t="inlineStr">
        <is>
          <t>¥46,800 / ¥50,800</t>
        </is>
      </c>
    </row>
    <row r="303">
      <c r="A303" s="43" t="inlineStr">
        <is>
          <t>SZ-SL-000636</t>
        </is>
      </c>
      <c r="B303" s="43" t="inlineStr">
        <is>
          <t>面格子付引違い窓</t>
        </is>
      </c>
      <c r="C303" s="43" t="inlineStr">
        <is>
          <t>SP-SL-GRILLE-H</t>
        </is>
      </c>
      <c r="D303" s="43" t="inlineStr">
        <is>
          <t>在来・204</t>
        </is>
      </c>
      <c r="E303" s="43" t="inlineStr">
        <is>
          <t>06907</t>
        </is>
      </c>
      <c r="F303" s="43" t="inlineStr">
        <is>
          <t>069</t>
        </is>
      </c>
      <c r="G303" s="43" t="inlineStr">
        <is>
          <t>07</t>
        </is>
      </c>
      <c r="H303" s="43" t="n">
        <v>730</v>
      </c>
      <c r="I303" s="43" t="n">
        <v>770</v>
      </c>
      <c r="J303" s="43" t="inlineStr">
        <is>
          <t>設定可</t>
        </is>
      </c>
      <c r="K303" s="43" t="b">
        <v>1</v>
      </c>
      <c r="L303" s="43" t="inlineStr">
        <is>
          <t>98</t>
        </is>
      </c>
      <c r="M303" s="43" t="inlineStr">
        <is>
          <t>¥50,900 / ¥55,200</t>
        </is>
      </c>
    </row>
    <row r="304">
      <c r="A304" s="43" t="inlineStr">
        <is>
          <t>SZ-SL-000637</t>
        </is>
      </c>
      <c r="B304" s="43" t="inlineStr">
        <is>
          <t>面格子付引違い窓</t>
        </is>
      </c>
      <c r="C304" s="43" t="inlineStr">
        <is>
          <t>SP-SL-GRILLE-H</t>
        </is>
      </c>
      <c r="D304" s="43" t="inlineStr">
        <is>
          <t>在来・204</t>
        </is>
      </c>
      <c r="E304" s="43" t="inlineStr">
        <is>
          <t>07407</t>
        </is>
      </c>
      <c r="F304" s="43" t="inlineStr">
        <is>
          <t>074</t>
        </is>
      </c>
      <c r="G304" s="43" t="inlineStr">
        <is>
          <t>07</t>
        </is>
      </c>
      <c r="H304" s="43" t="n">
        <v>780</v>
      </c>
      <c r="I304" s="43" t="n">
        <v>770</v>
      </c>
      <c r="J304" s="43" t="inlineStr">
        <is>
          <t>設定可</t>
        </is>
      </c>
      <c r="K304" s="43" t="b">
        <v>1</v>
      </c>
      <c r="L304" s="43" t="inlineStr">
        <is>
          <t>98</t>
        </is>
      </c>
      <c r="M304" s="43" t="inlineStr">
        <is>
          <t>¥50,900 / ¥55,200</t>
        </is>
      </c>
    </row>
    <row r="305">
      <c r="A305" s="43" t="inlineStr">
        <is>
          <t>SZ-SL-000638</t>
        </is>
      </c>
      <c r="B305" s="43" t="inlineStr">
        <is>
          <t>面格子付引違い窓</t>
        </is>
      </c>
      <c r="C305" s="43" t="inlineStr">
        <is>
          <t>SP-SL-GRILLE-H</t>
        </is>
      </c>
      <c r="D305" s="43" t="inlineStr">
        <is>
          <t>在来・204</t>
        </is>
      </c>
      <c r="E305" s="43" t="inlineStr">
        <is>
          <t>07807</t>
        </is>
      </c>
      <c r="F305" s="43" t="inlineStr">
        <is>
          <t>078</t>
        </is>
      </c>
      <c r="G305" s="43" t="inlineStr">
        <is>
          <t>07</t>
        </is>
      </c>
      <c r="H305" s="43" t="n">
        <v>820</v>
      </c>
      <c r="I305" s="43" t="n">
        <v>770</v>
      </c>
      <c r="J305" s="43" t="inlineStr">
        <is>
          <t>設定可</t>
        </is>
      </c>
      <c r="K305" s="43" t="b">
        <v>1</v>
      </c>
      <c r="L305" s="43" t="inlineStr">
        <is>
          <t>98</t>
        </is>
      </c>
      <c r="M305" s="43" t="inlineStr">
        <is>
          <t>¥54,300 / ¥58,900</t>
        </is>
      </c>
    </row>
    <row r="306">
      <c r="A306" s="43" t="inlineStr">
        <is>
          <t>SZ-SL-000639</t>
        </is>
      </c>
      <c r="B306" s="43" t="inlineStr">
        <is>
          <t>面格子付引違い窓</t>
        </is>
      </c>
      <c r="C306" s="43" t="inlineStr">
        <is>
          <t>SP-SL-GRILLE-IGETA</t>
        </is>
      </c>
      <c r="D306" s="43" t="inlineStr">
        <is>
          <t>在来・204</t>
        </is>
      </c>
      <c r="E306" s="43" t="inlineStr">
        <is>
          <t>06007</t>
        </is>
      </c>
      <c r="F306" s="43" t="inlineStr">
        <is>
          <t>060</t>
        </is>
      </c>
      <c r="G306" s="43" t="inlineStr">
        <is>
          <t>07</t>
        </is>
      </c>
      <c r="H306" s="43" t="n">
        <v>640</v>
      </c>
      <c r="I306" s="43" t="n">
        <v>770</v>
      </c>
      <c r="J306" s="43" t="inlineStr">
        <is>
          <t>設定可</t>
        </is>
      </c>
      <c r="K306" s="43" t="b">
        <v>1</v>
      </c>
      <c r="L306" s="43" t="inlineStr">
        <is>
          <t>98</t>
        </is>
      </c>
      <c r="M306" s="43" t="inlineStr">
        <is>
          <t>¥46,800 / ¥50,800</t>
        </is>
      </c>
    </row>
    <row r="307">
      <c r="A307" s="43" t="inlineStr">
        <is>
          <t>SZ-SL-000640</t>
        </is>
      </c>
      <c r="B307" s="43" t="inlineStr">
        <is>
          <t>面格子付引違い窓</t>
        </is>
      </c>
      <c r="C307" s="43" t="inlineStr">
        <is>
          <t>SP-SL-GRILLE-IGETA</t>
        </is>
      </c>
      <c r="D307" s="43" t="inlineStr">
        <is>
          <t>在来・204</t>
        </is>
      </c>
      <c r="E307" s="43" t="inlineStr">
        <is>
          <t>06907</t>
        </is>
      </c>
      <c r="F307" s="43" t="inlineStr">
        <is>
          <t>069</t>
        </is>
      </c>
      <c r="G307" s="43" t="inlineStr">
        <is>
          <t>07</t>
        </is>
      </c>
      <c r="H307" s="43" t="n">
        <v>730</v>
      </c>
      <c r="I307" s="43" t="n">
        <v>770</v>
      </c>
      <c r="J307" s="43" t="inlineStr">
        <is>
          <t>設定可</t>
        </is>
      </c>
      <c r="K307" s="43" t="b">
        <v>1</v>
      </c>
      <c r="L307" s="43" t="inlineStr">
        <is>
          <t>98</t>
        </is>
      </c>
      <c r="M307" s="43" t="inlineStr">
        <is>
          <t>¥50,900 / ¥55,200</t>
        </is>
      </c>
    </row>
    <row r="308">
      <c r="A308" s="43" t="inlineStr">
        <is>
          <t>SZ-SL-000641</t>
        </is>
      </c>
      <c r="B308" s="43" t="inlineStr">
        <is>
          <t>面格子付引違い窓</t>
        </is>
      </c>
      <c r="C308" s="43" t="inlineStr">
        <is>
          <t>SP-SL-GRILLE-IGETA</t>
        </is>
      </c>
      <c r="D308" s="43" t="inlineStr">
        <is>
          <t>在来・204</t>
        </is>
      </c>
      <c r="E308" s="43" t="inlineStr">
        <is>
          <t>07407</t>
        </is>
      </c>
      <c r="F308" s="43" t="inlineStr">
        <is>
          <t>074</t>
        </is>
      </c>
      <c r="G308" s="43" t="inlineStr">
        <is>
          <t>07</t>
        </is>
      </c>
      <c r="H308" s="43" t="n">
        <v>780</v>
      </c>
      <c r="I308" s="43" t="n">
        <v>770</v>
      </c>
      <c r="J308" s="43" t="inlineStr">
        <is>
          <t>設定可</t>
        </is>
      </c>
      <c r="K308" s="43" t="b">
        <v>1</v>
      </c>
      <c r="L308" s="43" t="inlineStr">
        <is>
          <t>98</t>
        </is>
      </c>
      <c r="M308" s="43" t="inlineStr">
        <is>
          <t>¥50,900 / ¥55,200</t>
        </is>
      </c>
    </row>
    <row r="309">
      <c r="A309" s="43" t="inlineStr">
        <is>
          <t>SZ-SL-000642</t>
        </is>
      </c>
      <c r="B309" s="43" t="inlineStr">
        <is>
          <t>面格子付引違い窓</t>
        </is>
      </c>
      <c r="C309" s="43" t="inlineStr">
        <is>
          <t>SP-SL-GRILLE-IGETA</t>
        </is>
      </c>
      <c r="D309" s="43" t="inlineStr">
        <is>
          <t>在来・204</t>
        </is>
      </c>
      <c r="E309" s="43" t="inlineStr">
        <is>
          <t>07807</t>
        </is>
      </c>
      <c r="F309" s="43" t="inlineStr">
        <is>
          <t>078</t>
        </is>
      </c>
      <c r="G309" s="43" t="inlineStr">
        <is>
          <t>07</t>
        </is>
      </c>
      <c r="H309" s="43" t="n">
        <v>820</v>
      </c>
      <c r="I309" s="43" t="n">
        <v>770</v>
      </c>
      <c r="J309" s="43" t="inlineStr">
        <is>
          <t>設定可</t>
        </is>
      </c>
      <c r="K309" s="43" t="b">
        <v>1</v>
      </c>
      <c r="L309" s="43" t="inlineStr">
        <is>
          <t>98</t>
        </is>
      </c>
      <c r="M309" s="43" t="inlineStr">
        <is>
          <t>¥54,300 / ¥58,900</t>
        </is>
      </c>
    </row>
    <row r="310">
      <c r="A310" s="43" t="inlineStr">
        <is>
          <t>SZ-SL-000643</t>
        </is>
      </c>
      <c r="B310" s="43" t="inlineStr">
        <is>
          <t>面格子付引違い窓</t>
        </is>
      </c>
      <c r="C310" s="43" t="inlineStr">
        <is>
          <t>SP-SL-GRILLE-V</t>
        </is>
      </c>
      <c r="D310" s="43" t="inlineStr">
        <is>
          <t>在来・204</t>
        </is>
      </c>
      <c r="E310" s="43" t="inlineStr">
        <is>
          <t>06007</t>
        </is>
      </c>
      <c r="F310" s="43" t="inlineStr">
        <is>
          <t>060</t>
        </is>
      </c>
      <c r="G310" s="43" t="inlineStr">
        <is>
          <t>07</t>
        </is>
      </c>
      <c r="H310" s="43" t="n">
        <v>640</v>
      </c>
      <c r="I310" s="43" t="n">
        <v>770</v>
      </c>
      <c r="J310" s="43" t="inlineStr">
        <is>
          <t>設定可</t>
        </is>
      </c>
      <c r="K310" s="43" t="b">
        <v>1</v>
      </c>
      <c r="L310" s="43" t="inlineStr">
        <is>
          <t>98</t>
        </is>
      </c>
      <c r="M310" s="43" t="inlineStr">
        <is>
          <t>¥39,900 / ¥43,600</t>
        </is>
      </c>
    </row>
    <row r="311">
      <c r="A311" s="43" t="inlineStr">
        <is>
          <t>SZ-SL-000644</t>
        </is>
      </c>
      <c r="B311" s="43" t="inlineStr">
        <is>
          <t>面格子付引違い窓</t>
        </is>
      </c>
      <c r="C311" s="43" t="inlineStr">
        <is>
          <t>SP-SL-GRILLE-V</t>
        </is>
      </c>
      <c r="D311" s="43" t="inlineStr">
        <is>
          <t>在来・204</t>
        </is>
      </c>
      <c r="E311" s="43" t="inlineStr">
        <is>
          <t>06907</t>
        </is>
      </c>
      <c r="F311" s="43" t="inlineStr">
        <is>
          <t>069</t>
        </is>
      </c>
      <c r="G311" s="43" t="inlineStr">
        <is>
          <t>07</t>
        </is>
      </c>
      <c r="H311" s="43" t="n">
        <v>730</v>
      </c>
      <c r="I311" s="43" t="n">
        <v>770</v>
      </c>
      <c r="J311" s="43" t="inlineStr">
        <is>
          <t>設定可</t>
        </is>
      </c>
      <c r="K311" s="43" t="b">
        <v>1</v>
      </c>
      <c r="L311" s="43" t="inlineStr">
        <is>
          <t>98</t>
        </is>
      </c>
      <c r="M311" s="43" t="inlineStr">
        <is>
          <t>¥42,900 / ¥46,600</t>
        </is>
      </c>
    </row>
    <row r="312">
      <c r="A312" s="43" t="inlineStr">
        <is>
          <t>SZ-SL-000645</t>
        </is>
      </c>
      <c r="B312" s="43" t="inlineStr">
        <is>
          <t>面格子付引違い窓</t>
        </is>
      </c>
      <c r="C312" s="43" t="inlineStr">
        <is>
          <t>SP-SL-GRILLE-V</t>
        </is>
      </c>
      <c r="D312" s="43" t="inlineStr">
        <is>
          <t>在来・204</t>
        </is>
      </c>
      <c r="E312" s="43" t="inlineStr">
        <is>
          <t>07407</t>
        </is>
      </c>
      <c r="F312" s="43" t="inlineStr">
        <is>
          <t>074</t>
        </is>
      </c>
      <c r="G312" s="43" t="inlineStr">
        <is>
          <t>07</t>
        </is>
      </c>
      <c r="H312" s="43" t="n">
        <v>780</v>
      </c>
      <c r="I312" s="43" t="n">
        <v>770</v>
      </c>
      <c r="J312" s="43" t="inlineStr">
        <is>
          <t>設定可</t>
        </is>
      </c>
      <c r="K312" s="43" t="b">
        <v>1</v>
      </c>
      <c r="L312" s="43" t="inlineStr">
        <is>
          <t>98</t>
        </is>
      </c>
      <c r="M312" s="43" t="inlineStr">
        <is>
          <t>¥42,900 / ¥46,600</t>
        </is>
      </c>
    </row>
    <row r="313">
      <c r="A313" s="43" t="inlineStr">
        <is>
          <t>SZ-SL-000646</t>
        </is>
      </c>
      <c r="B313" s="43" t="inlineStr">
        <is>
          <t>面格子付引違い窓</t>
        </is>
      </c>
      <c r="C313" s="43" t="inlineStr">
        <is>
          <t>SP-SL-GRILLE-V</t>
        </is>
      </c>
      <c r="D313" s="43" t="inlineStr">
        <is>
          <t>在来・204</t>
        </is>
      </c>
      <c r="E313" s="43" t="inlineStr">
        <is>
          <t>07807</t>
        </is>
      </c>
      <c r="F313" s="43" t="inlineStr">
        <is>
          <t>078</t>
        </is>
      </c>
      <c r="G313" s="43" t="inlineStr">
        <is>
          <t>07</t>
        </is>
      </c>
      <c r="H313" s="43" t="n">
        <v>820</v>
      </c>
      <c r="I313" s="43" t="n">
        <v>770</v>
      </c>
      <c r="J313" s="43" t="inlineStr">
        <is>
          <t>設定可</t>
        </is>
      </c>
      <c r="K313" s="43" t="b">
        <v>1</v>
      </c>
      <c r="L313" s="43" t="inlineStr">
        <is>
          <t>98</t>
        </is>
      </c>
      <c r="M313" s="43" t="inlineStr">
        <is>
          <t>¥45,600 / ¥49,700</t>
        </is>
      </c>
    </row>
    <row r="314">
      <c r="A314" s="43" t="inlineStr">
        <is>
          <t>SZ-SL-000647</t>
        </is>
      </c>
      <c r="B314" s="43" t="inlineStr">
        <is>
          <t>面格子付引違い窓</t>
        </is>
      </c>
      <c r="C314" s="43" t="inlineStr">
        <is>
          <t>SP-SL-GRILLE-DIA</t>
        </is>
      </c>
      <c r="D314" s="43" t="inlineStr">
        <is>
          <t>在来・204</t>
        </is>
      </c>
      <c r="E314" s="43" t="inlineStr">
        <is>
          <t>08007</t>
        </is>
      </c>
      <c r="F314" s="43" t="inlineStr">
        <is>
          <t>080</t>
        </is>
      </c>
      <c r="G314" s="43" t="inlineStr">
        <is>
          <t>07</t>
        </is>
      </c>
      <c r="H314" s="43" t="n">
        <v>845</v>
      </c>
      <c r="I314" s="43" t="n">
        <v>770</v>
      </c>
      <c r="J314" s="43" t="inlineStr">
        <is>
          <t>設定可</t>
        </is>
      </c>
      <c r="K314" s="43" t="b">
        <v>1</v>
      </c>
      <c r="L314" s="43" t="inlineStr">
        <is>
          <t>99</t>
        </is>
      </c>
      <c r="M314" s="43" t="inlineStr">
        <is>
          <t>¥54,300 / ¥58,900</t>
        </is>
      </c>
    </row>
    <row r="315">
      <c r="A315" s="43" t="inlineStr">
        <is>
          <t>SZ-SL-000648</t>
        </is>
      </c>
      <c r="B315" s="43" t="inlineStr">
        <is>
          <t>面格子付引違い窓</t>
        </is>
      </c>
      <c r="C315" s="43" t="inlineStr">
        <is>
          <t>SP-SL-GRILLE-DIA</t>
        </is>
      </c>
      <c r="D315" s="43" t="inlineStr">
        <is>
          <t>在来・204</t>
        </is>
      </c>
      <c r="E315" s="43" t="inlineStr">
        <is>
          <t>08307</t>
        </is>
      </c>
      <c r="F315" s="43" t="inlineStr">
        <is>
          <t>083</t>
        </is>
      </c>
      <c r="G315" s="43" t="inlineStr">
        <is>
          <t>07</t>
        </is>
      </c>
      <c r="H315" s="43" t="n">
        <v>870</v>
      </c>
      <c r="I315" s="43" t="n">
        <v>770</v>
      </c>
      <c r="J315" s="43" t="inlineStr">
        <is>
          <t>設定可</t>
        </is>
      </c>
      <c r="K315" s="43" t="b">
        <v>1</v>
      </c>
      <c r="L315" s="43" t="inlineStr">
        <is>
          <t>99</t>
        </is>
      </c>
      <c r="M315" s="43" t="inlineStr">
        <is>
          <t>¥54,300 / ¥58,900</t>
        </is>
      </c>
    </row>
    <row r="316">
      <c r="A316" s="43" t="inlineStr">
        <is>
          <t>SZ-SL-000649</t>
        </is>
      </c>
      <c r="B316" s="43" t="inlineStr">
        <is>
          <t>面格子付引違い窓</t>
        </is>
      </c>
      <c r="C316" s="43" t="inlineStr">
        <is>
          <t>SP-SL-GRILLE-DIA</t>
        </is>
      </c>
      <c r="D316" s="43" t="inlineStr">
        <is>
          <t>在来・204</t>
        </is>
      </c>
      <c r="E316" s="43" t="inlineStr">
        <is>
          <t>11407</t>
        </is>
      </c>
      <c r="F316" s="43" t="inlineStr">
        <is>
          <t>114</t>
        </is>
      </c>
      <c r="G316" s="43" t="inlineStr">
        <is>
          <t>07</t>
        </is>
      </c>
      <c r="H316" s="43" t="n">
        <v>1185</v>
      </c>
      <c r="I316" s="43" t="n">
        <v>770</v>
      </c>
      <c r="J316" s="43" t="inlineStr">
        <is>
          <t>設定可</t>
        </is>
      </c>
      <c r="K316" s="43" t="b">
        <v>1</v>
      </c>
      <c r="L316" s="43" t="inlineStr">
        <is>
          <t>99</t>
        </is>
      </c>
      <c r="M316" s="43" t="inlineStr">
        <is>
          <t>¥65,700 / ¥71,100</t>
        </is>
      </c>
    </row>
    <row r="317">
      <c r="A317" s="43" t="inlineStr">
        <is>
          <t>SZ-SL-000650</t>
        </is>
      </c>
      <c r="B317" s="43" t="inlineStr">
        <is>
          <t>面格子付引違い窓</t>
        </is>
      </c>
      <c r="C317" s="43" t="inlineStr">
        <is>
          <t>SP-SL-GRILLE-DIA</t>
        </is>
      </c>
      <c r="D317" s="43" t="inlineStr">
        <is>
          <t>在来・204</t>
        </is>
      </c>
      <c r="E317" s="43" t="inlineStr">
        <is>
          <t>11907</t>
        </is>
      </c>
      <c r="F317" s="43" t="inlineStr">
        <is>
          <t>119</t>
        </is>
      </c>
      <c r="G317" s="43" t="inlineStr">
        <is>
          <t>07</t>
        </is>
      </c>
      <c r="H317" s="43" t="n">
        <v>1235</v>
      </c>
      <c r="I317" s="43" t="n">
        <v>770</v>
      </c>
      <c r="J317" s="43" t="inlineStr">
        <is>
          <t>設定可</t>
        </is>
      </c>
      <c r="K317" s="43" t="b">
        <v>1</v>
      </c>
      <c r="L317" s="43" t="inlineStr">
        <is>
          <t>99</t>
        </is>
      </c>
      <c r="M317" s="43" t="inlineStr">
        <is>
          <t>¥65,700 / ¥71,100</t>
        </is>
      </c>
    </row>
    <row r="318">
      <c r="A318" s="43" t="inlineStr">
        <is>
          <t>SZ-SL-000651</t>
        </is>
      </c>
      <c r="B318" s="43" t="inlineStr">
        <is>
          <t>面格子付引違い窓</t>
        </is>
      </c>
      <c r="C318" s="43" t="inlineStr">
        <is>
          <t>SP-SL-GRILLE-DIA</t>
        </is>
      </c>
      <c r="D318" s="43" t="inlineStr">
        <is>
          <t>在来・204</t>
        </is>
      </c>
      <c r="E318" s="43" t="inlineStr">
        <is>
          <t>12807</t>
        </is>
      </c>
      <c r="F318" s="43" t="inlineStr">
        <is>
          <t>128</t>
        </is>
      </c>
      <c r="G318" s="43" t="inlineStr">
        <is>
          <t>07</t>
        </is>
      </c>
      <c r="H318" s="43" t="n">
        <v>1320</v>
      </c>
      <c r="I318" s="43" t="n">
        <v>770</v>
      </c>
      <c r="J318" s="43" t="inlineStr">
        <is>
          <t>設定可</t>
        </is>
      </c>
      <c r="K318" s="43" t="b">
        <v>1</v>
      </c>
      <c r="L318" s="43" t="inlineStr">
        <is>
          <t>99</t>
        </is>
      </c>
      <c r="M318" s="43" t="inlineStr">
        <is>
          <t>¥70,200 / ¥75,800</t>
        </is>
      </c>
    </row>
    <row r="319">
      <c r="A319" s="43" t="inlineStr">
        <is>
          <t>SZ-SL-000652</t>
        </is>
      </c>
      <c r="B319" s="43" t="inlineStr">
        <is>
          <t>面格子付引違い窓</t>
        </is>
      </c>
      <c r="C319" s="43" t="inlineStr">
        <is>
          <t>SP-SL-GRILLE-H</t>
        </is>
      </c>
      <c r="D319" s="43" t="inlineStr">
        <is>
          <t>在来・204</t>
        </is>
      </c>
      <c r="E319" s="43" t="inlineStr">
        <is>
          <t>08007</t>
        </is>
      </c>
      <c r="F319" s="43" t="inlineStr">
        <is>
          <t>080</t>
        </is>
      </c>
      <c r="G319" s="43" t="inlineStr">
        <is>
          <t>07</t>
        </is>
      </c>
      <c r="H319" s="43" t="n">
        <v>845</v>
      </c>
      <c r="I319" s="43" t="n">
        <v>770</v>
      </c>
      <c r="J319" s="43" t="inlineStr">
        <is>
          <t>設定可</t>
        </is>
      </c>
      <c r="K319" s="43" t="b">
        <v>1</v>
      </c>
      <c r="L319" s="43" t="inlineStr">
        <is>
          <t>99</t>
        </is>
      </c>
      <c r="M319" s="43" t="inlineStr">
        <is>
          <t>¥54,300 / ¥58,900</t>
        </is>
      </c>
    </row>
    <row r="320">
      <c r="A320" s="43" t="inlineStr">
        <is>
          <t>SZ-SL-000653</t>
        </is>
      </c>
      <c r="B320" s="43" t="inlineStr">
        <is>
          <t>面格子付引違い窓</t>
        </is>
      </c>
      <c r="C320" s="43" t="inlineStr">
        <is>
          <t>SP-SL-GRILLE-H</t>
        </is>
      </c>
      <c r="D320" s="43" t="inlineStr">
        <is>
          <t>在来・204</t>
        </is>
      </c>
      <c r="E320" s="43" t="inlineStr">
        <is>
          <t>08307</t>
        </is>
      </c>
      <c r="F320" s="43" t="inlineStr">
        <is>
          <t>083</t>
        </is>
      </c>
      <c r="G320" s="43" t="inlineStr">
        <is>
          <t>07</t>
        </is>
      </c>
      <c r="H320" s="43" t="n">
        <v>870</v>
      </c>
      <c r="I320" s="43" t="n">
        <v>770</v>
      </c>
      <c r="J320" s="43" t="inlineStr">
        <is>
          <t>設定可</t>
        </is>
      </c>
      <c r="K320" s="43" t="b">
        <v>1</v>
      </c>
      <c r="L320" s="43" t="inlineStr">
        <is>
          <t>99</t>
        </is>
      </c>
      <c r="M320" s="43" t="inlineStr">
        <is>
          <t>¥54,300 / ¥58,900</t>
        </is>
      </c>
    </row>
    <row r="321">
      <c r="A321" s="43" t="inlineStr">
        <is>
          <t>SZ-SL-000654</t>
        </is>
      </c>
      <c r="B321" s="43" t="inlineStr">
        <is>
          <t>面格子付引違い窓</t>
        </is>
      </c>
      <c r="C321" s="43" t="inlineStr">
        <is>
          <t>SP-SL-GRILLE-H</t>
        </is>
      </c>
      <c r="D321" s="43" t="inlineStr">
        <is>
          <t>在来・204</t>
        </is>
      </c>
      <c r="E321" s="43" t="inlineStr">
        <is>
          <t>11407</t>
        </is>
      </c>
      <c r="F321" s="43" t="inlineStr">
        <is>
          <t>114</t>
        </is>
      </c>
      <c r="G321" s="43" t="inlineStr">
        <is>
          <t>07</t>
        </is>
      </c>
      <c r="H321" s="43" t="n">
        <v>1185</v>
      </c>
      <c r="I321" s="43" t="n">
        <v>770</v>
      </c>
      <c r="J321" s="43" t="inlineStr">
        <is>
          <t>設定可</t>
        </is>
      </c>
      <c r="K321" s="43" t="b">
        <v>1</v>
      </c>
      <c r="L321" s="43" t="inlineStr">
        <is>
          <t>99</t>
        </is>
      </c>
      <c r="M321" s="43" t="inlineStr">
        <is>
          <t>¥65,700 / ¥71,100</t>
        </is>
      </c>
    </row>
    <row r="322">
      <c r="A322" s="43" t="inlineStr">
        <is>
          <t>SZ-SL-000655</t>
        </is>
      </c>
      <c r="B322" s="43" t="inlineStr">
        <is>
          <t>面格子付引違い窓</t>
        </is>
      </c>
      <c r="C322" s="43" t="inlineStr">
        <is>
          <t>SP-SL-GRILLE-H</t>
        </is>
      </c>
      <c r="D322" s="43" t="inlineStr">
        <is>
          <t>在来・204</t>
        </is>
      </c>
      <c r="E322" s="43" t="inlineStr">
        <is>
          <t>11907</t>
        </is>
      </c>
      <c r="F322" s="43" t="inlineStr">
        <is>
          <t>119</t>
        </is>
      </c>
      <c r="G322" s="43" t="inlineStr">
        <is>
          <t>07</t>
        </is>
      </c>
      <c r="H322" s="43" t="n">
        <v>1235</v>
      </c>
      <c r="I322" s="43" t="n">
        <v>770</v>
      </c>
      <c r="J322" s="43" t="inlineStr">
        <is>
          <t>設定可</t>
        </is>
      </c>
      <c r="K322" s="43" t="b">
        <v>1</v>
      </c>
      <c r="L322" s="43" t="inlineStr">
        <is>
          <t>99</t>
        </is>
      </c>
      <c r="M322" s="43" t="inlineStr">
        <is>
          <t>¥65,700 / ¥71,100</t>
        </is>
      </c>
    </row>
    <row r="323">
      <c r="A323" s="43" t="inlineStr">
        <is>
          <t>SZ-SL-000656</t>
        </is>
      </c>
      <c r="B323" s="43" t="inlineStr">
        <is>
          <t>面格子付引違い窓</t>
        </is>
      </c>
      <c r="C323" s="43" t="inlineStr">
        <is>
          <t>SP-SL-GRILLE-H</t>
        </is>
      </c>
      <c r="D323" s="43" t="inlineStr">
        <is>
          <t>在来・204</t>
        </is>
      </c>
      <c r="E323" s="43" t="inlineStr">
        <is>
          <t>12807</t>
        </is>
      </c>
      <c r="F323" s="43" t="inlineStr">
        <is>
          <t>128</t>
        </is>
      </c>
      <c r="G323" s="43" t="inlineStr">
        <is>
          <t>07</t>
        </is>
      </c>
      <c r="H323" s="43" t="n">
        <v>1320</v>
      </c>
      <c r="I323" s="43" t="n">
        <v>770</v>
      </c>
      <c r="J323" s="43" t="inlineStr">
        <is>
          <t>設定可</t>
        </is>
      </c>
      <c r="K323" s="43" t="b">
        <v>1</v>
      </c>
      <c r="L323" s="43" t="inlineStr">
        <is>
          <t>99</t>
        </is>
      </c>
      <c r="M323" s="43" t="inlineStr">
        <is>
          <t>¥70,200 / ¥75,800</t>
        </is>
      </c>
    </row>
    <row r="324">
      <c r="A324" s="43" t="inlineStr">
        <is>
          <t>SZ-SL-000657</t>
        </is>
      </c>
      <c r="B324" s="43" t="inlineStr">
        <is>
          <t>面格子付引違い窓</t>
        </is>
      </c>
      <c r="C324" s="43" t="inlineStr">
        <is>
          <t>SP-SL-GRILLE-IGETA</t>
        </is>
      </c>
      <c r="D324" s="43" t="inlineStr">
        <is>
          <t>在来・204</t>
        </is>
      </c>
      <c r="E324" s="43" t="inlineStr">
        <is>
          <t>08007</t>
        </is>
      </c>
      <c r="F324" s="43" t="inlineStr">
        <is>
          <t>080</t>
        </is>
      </c>
      <c r="G324" s="43" t="inlineStr">
        <is>
          <t>07</t>
        </is>
      </c>
      <c r="H324" s="43" t="n">
        <v>845</v>
      </c>
      <c r="I324" s="43" t="n">
        <v>770</v>
      </c>
      <c r="J324" s="43" t="inlineStr">
        <is>
          <t>設定可</t>
        </is>
      </c>
      <c r="K324" s="43" t="b">
        <v>1</v>
      </c>
      <c r="L324" s="43" t="inlineStr">
        <is>
          <t>99</t>
        </is>
      </c>
      <c r="M324" s="43" t="inlineStr">
        <is>
          <t>¥54,300 / ¥58,900</t>
        </is>
      </c>
    </row>
    <row r="325">
      <c r="A325" s="43" t="inlineStr">
        <is>
          <t>SZ-SL-000658</t>
        </is>
      </c>
      <c r="B325" s="43" t="inlineStr">
        <is>
          <t>面格子付引違い窓</t>
        </is>
      </c>
      <c r="C325" s="43" t="inlineStr">
        <is>
          <t>SP-SL-GRILLE-IGETA</t>
        </is>
      </c>
      <c r="D325" s="43" t="inlineStr">
        <is>
          <t>在来・204</t>
        </is>
      </c>
      <c r="E325" s="43" t="inlineStr">
        <is>
          <t>08307</t>
        </is>
      </c>
      <c r="F325" s="43" t="inlineStr">
        <is>
          <t>083</t>
        </is>
      </c>
      <c r="G325" s="43" t="inlineStr">
        <is>
          <t>07</t>
        </is>
      </c>
      <c r="H325" s="43" t="n">
        <v>870</v>
      </c>
      <c r="I325" s="43" t="n">
        <v>770</v>
      </c>
      <c r="J325" s="43" t="inlineStr">
        <is>
          <t>設定可</t>
        </is>
      </c>
      <c r="K325" s="43" t="b">
        <v>1</v>
      </c>
      <c r="L325" s="43" t="inlineStr">
        <is>
          <t>99</t>
        </is>
      </c>
      <c r="M325" s="43" t="inlineStr">
        <is>
          <t>¥54,300 / ¥58,900</t>
        </is>
      </c>
    </row>
    <row r="326">
      <c r="A326" s="43" t="inlineStr">
        <is>
          <t>SZ-SL-000659</t>
        </is>
      </c>
      <c r="B326" s="43" t="inlineStr">
        <is>
          <t>面格子付引違い窓</t>
        </is>
      </c>
      <c r="C326" s="43" t="inlineStr">
        <is>
          <t>SP-SL-GRILLE-IGETA</t>
        </is>
      </c>
      <c r="D326" s="43" t="inlineStr">
        <is>
          <t>在来・204</t>
        </is>
      </c>
      <c r="E326" s="43" t="inlineStr">
        <is>
          <t>11407</t>
        </is>
      </c>
      <c r="F326" s="43" t="inlineStr">
        <is>
          <t>114</t>
        </is>
      </c>
      <c r="G326" s="43" t="inlineStr">
        <is>
          <t>07</t>
        </is>
      </c>
      <c r="H326" s="43" t="n">
        <v>1185</v>
      </c>
      <c r="I326" s="43" t="n">
        <v>770</v>
      </c>
      <c r="J326" s="43" t="inlineStr">
        <is>
          <t>設定可</t>
        </is>
      </c>
      <c r="K326" s="43" t="b">
        <v>1</v>
      </c>
      <c r="L326" s="43" t="inlineStr">
        <is>
          <t>99</t>
        </is>
      </c>
      <c r="M326" s="43" t="inlineStr">
        <is>
          <t>¥65,700 / ¥71,100</t>
        </is>
      </c>
    </row>
    <row r="327">
      <c r="A327" s="43" t="inlineStr">
        <is>
          <t>SZ-SL-000660</t>
        </is>
      </c>
      <c r="B327" s="43" t="inlineStr">
        <is>
          <t>面格子付引違い窓</t>
        </is>
      </c>
      <c r="C327" s="43" t="inlineStr">
        <is>
          <t>SP-SL-GRILLE-IGETA</t>
        </is>
      </c>
      <c r="D327" s="43" t="inlineStr">
        <is>
          <t>在来・204</t>
        </is>
      </c>
      <c r="E327" s="43" t="inlineStr">
        <is>
          <t>11907</t>
        </is>
      </c>
      <c r="F327" s="43" t="inlineStr">
        <is>
          <t>119</t>
        </is>
      </c>
      <c r="G327" s="43" t="inlineStr">
        <is>
          <t>07</t>
        </is>
      </c>
      <c r="H327" s="43" t="n">
        <v>1235</v>
      </c>
      <c r="I327" s="43" t="n">
        <v>770</v>
      </c>
      <c r="J327" s="43" t="inlineStr">
        <is>
          <t>設定可</t>
        </is>
      </c>
      <c r="K327" s="43" t="b">
        <v>1</v>
      </c>
      <c r="L327" s="43" t="inlineStr">
        <is>
          <t>99</t>
        </is>
      </c>
      <c r="M327" s="43" t="inlineStr">
        <is>
          <t>¥65,700 / ¥71,100</t>
        </is>
      </c>
    </row>
    <row r="328">
      <c r="A328" s="43" t="inlineStr">
        <is>
          <t>SZ-SL-000661</t>
        </is>
      </c>
      <c r="B328" s="43" t="inlineStr">
        <is>
          <t>面格子付引違い窓</t>
        </is>
      </c>
      <c r="C328" s="43" t="inlineStr">
        <is>
          <t>SP-SL-GRILLE-IGETA</t>
        </is>
      </c>
      <c r="D328" s="43" t="inlineStr">
        <is>
          <t>在来・204</t>
        </is>
      </c>
      <c r="E328" s="43" t="inlineStr">
        <is>
          <t>12807</t>
        </is>
      </c>
      <c r="F328" s="43" t="inlineStr">
        <is>
          <t>128</t>
        </is>
      </c>
      <c r="G328" s="43" t="inlineStr">
        <is>
          <t>07</t>
        </is>
      </c>
      <c r="H328" s="43" t="n">
        <v>1320</v>
      </c>
      <c r="I328" s="43" t="n">
        <v>770</v>
      </c>
      <c r="J328" s="43" t="inlineStr">
        <is>
          <t>設定可</t>
        </is>
      </c>
      <c r="K328" s="43" t="b">
        <v>1</v>
      </c>
      <c r="L328" s="43" t="inlineStr">
        <is>
          <t>99</t>
        </is>
      </c>
      <c r="M328" s="43" t="inlineStr">
        <is>
          <t>¥70,200 / ¥75,800</t>
        </is>
      </c>
    </row>
    <row r="329">
      <c r="A329" s="43" t="inlineStr">
        <is>
          <t>SZ-SL-000662</t>
        </is>
      </c>
      <c r="B329" s="43" t="inlineStr">
        <is>
          <t>面格子付引違い窓</t>
        </is>
      </c>
      <c r="C329" s="43" t="inlineStr">
        <is>
          <t>SP-SL-GRILLE-V</t>
        </is>
      </c>
      <c r="D329" s="43" t="inlineStr">
        <is>
          <t>在来・204</t>
        </is>
      </c>
      <c r="E329" s="43" t="inlineStr">
        <is>
          <t>08007</t>
        </is>
      </c>
      <c r="F329" s="43" t="inlineStr">
        <is>
          <t>080</t>
        </is>
      </c>
      <c r="G329" s="43" t="inlineStr">
        <is>
          <t>07</t>
        </is>
      </c>
      <c r="H329" s="43" t="n">
        <v>845</v>
      </c>
      <c r="I329" s="43" t="n">
        <v>770</v>
      </c>
      <c r="J329" s="43" t="inlineStr">
        <is>
          <t>設定可</t>
        </is>
      </c>
      <c r="K329" s="43" t="b">
        <v>1</v>
      </c>
      <c r="L329" s="43" t="inlineStr">
        <is>
          <t>99</t>
        </is>
      </c>
      <c r="M329" s="43" t="inlineStr">
        <is>
          <t>¥45,600 / ¥49,700</t>
        </is>
      </c>
    </row>
    <row r="330">
      <c r="A330" s="43" t="inlineStr">
        <is>
          <t>SZ-SL-000663</t>
        </is>
      </c>
      <c r="B330" s="43" t="inlineStr">
        <is>
          <t>面格子付引違い窓</t>
        </is>
      </c>
      <c r="C330" s="43" t="inlineStr">
        <is>
          <t>SP-SL-GRILLE-V</t>
        </is>
      </c>
      <c r="D330" s="43" t="inlineStr">
        <is>
          <t>在来・204</t>
        </is>
      </c>
      <c r="E330" s="43" t="inlineStr">
        <is>
          <t>08307</t>
        </is>
      </c>
      <c r="F330" s="43" t="inlineStr">
        <is>
          <t>083</t>
        </is>
      </c>
      <c r="G330" s="43" t="inlineStr">
        <is>
          <t>07</t>
        </is>
      </c>
      <c r="H330" s="43" t="n">
        <v>870</v>
      </c>
      <c r="I330" s="43" t="n">
        <v>770</v>
      </c>
      <c r="J330" s="43" t="inlineStr">
        <is>
          <t>設定可</t>
        </is>
      </c>
      <c r="K330" s="43" t="b">
        <v>1</v>
      </c>
      <c r="L330" s="43" t="inlineStr">
        <is>
          <t>99</t>
        </is>
      </c>
      <c r="M330" s="43" t="inlineStr">
        <is>
          <t>¥45,600 / ¥49,700</t>
        </is>
      </c>
    </row>
    <row r="331">
      <c r="A331" s="43" t="inlineStr">
        <is>
          <t>SZ-SL-000664</t>
        </is>
      </c>
      <c r="B331" s="43" t="inlineStr">
        <is>
          <t>面格子付引違い窓</t>
        </is>
      </c>
      <c r="C331" s="43" t="inlineStr">
        <is>
          <t>SP-SL-GRILLE-V</t>
        </is>
      </c>
      <c r="D331" s="43" t="inlineStr">
        <is>
          <t>在来・204</t>
        </is>
      </c>
      <c r="E331" s="43" t="inlineStr">
        <is>
          <t>11407</t>
        </is>
      </c>
      <c r="F331" s="43" t="inlineStr">
        <is>
          <t>114</t>
        </is>
      </c>
      <c r="G331" s="43" t="inlineStr">
        <is>
          <t>07</t>
        </is>
      </c>
      <c r="H331" s="43" t="n">
        <v>1185</v>
      </c>
      <c r="I331" s="43" t="n">
        <v>770</v>
      </c>
      <c r="J331" s="43" t="inlineStr">
        <is>
          <t>設定可</t>
        </is>
      </c>
      <c r="K331" s="43" t="b">
        <v>1</v>
      </c>
      <c r="L331" s="43" t="inlineStr">
        <is>
          <t>99</t>
        </is>
      </c>
      <c r="M331" s="43" t="inlineStr">
        <is>
          <t>¥54,500 / ¥59,100</t>
        </is>
      </c>
    </row>
    <row r="332">
      <c r="A332" s="43" t="inlineStr">
        <is>
          <t>SZ-SL-000665</t>
        </is>
      </c>
      <c r="B332" s="43" t="inlineStr">
        <is>
          <t>面格子付引違い窓</t>
        </is>
      </c>
      <c r="C332" s="43" t="inlineStr">
        <is>
          <t>SP-SL-GRILLE-V</t>
        </is>
      </c>
      <c r="D332" s="43" t="inlineStr">
        <is>
          <t>在来・204</t>
        </is>
      </c>
      <c r="E332" s="43" t="inlineStr">
        <is>
          <t>11907</t>
        </is>
      </c>
      <c r="F332" s="43" t="inlineStr">
        <is>
          <t>119</t>
        </is>
      </c>
      <c r="G332" s="43" t="inlineStr">
        <is>
          <t>07</t>
        </is>
      </c>
      <c r="H332" s="43" t="n">
        <v>1235</v>
      </c>
      <c r="I332" s="43" t="n">
        <v>770</v>
      </c>
      <c r="J332" s="43" t="inlineStr">
        <is>
          <t>設定可</t>
        </is>
      </c>
      <c r="K332" s="43" t="b">
        <v>1</v>
      </c>
      <c r="L332" s="43" t="inlineStr">
        <is>
          <t>99</t>
        </is>
      </c>
      <c r="M332" s="43" t="inlineStr">
        <is>
          <t>¥54,500 / ¥59,100</t>
        </is>
      </c>
    </row>
    <row r="333">
      <c r="A333" s="43" t="inlineStr">
        <is>
          <t>SZ-SL-000666</t>
        </is>
      </c>
      <c r="B333" s="43" t="inlineStr">
        <is>
          <t>面格子付引違い窓</t>
        </is>
      </c>
      <c r="C333" s="43" t="inlineStr">
        <is>
          <t>SP-SL-GRILLE-V</t>
        </is>
      </c>
      <c r="D333" s="43" t="inlineStr">
        <is>
          <t>在来・204</t>
        </is>
      </c>
      <c r="E333" s="43" t="inlineStr">
        <is>
          <t>12807</t>
        </is>
      </c>
      <c r="F333" s="43" t="inlineStr">
        <is>
          <t>128</t>
        </is>
      </c>
      <c r="G333" s="43" t="inlineStr">
        <is>
          <t>07</t>
        </is>
      </c>
      <c r="H333" s="43" t="n">
        <v>1320</v>
      </c>
      <c r="I333" s="43" t="n">
        <v>770</v>
      </c>
      <c r="J333" s="43" t="inlineStr">
        <is>
          <t>設定可</t>
        </is>
      </c>
      <c r="K333" s="43" t="b">
        <v>1</v>
      </c>
      <c r="L333" s="43" t="inlineStr">
        <is>
          <t>99</t>
        </is>
      </c>
      <c r="M333" s="43" t="inlineStr">
        <is>
          <t>¥58,300 / ¥63,400</t>
        </is>
      </c>
    </row>
    <row r="334">
      <c r="A334" s="43" t="inlineStr">
        <is>
          <t>SZ-SL-000667</t>
        </is>
      </c>
      <c r="B334" s="43" t="inlineStr">
        <is>
          <t>面格子付引違い窓</t>
        </is>
      </c>
      <c r="C334" s="43" t="inlineStr">
        <is>
          <t>SP-SL-GRILLE-DIA</t>
        </is>
      </c>
      <c r="D334" s="43" t="inlineStr">
        <is>
          <t>在来・204</t>
        </is>
      </c>
      <c r="E334" s="43" t="inlineStr">
        <is>
          <t>13307</t>
        </is>
      </c>
      <c r="F334" s="43" t="inlineStr">
        <is>
          <t>133</t>
        </is>
      </c>
      <c r="G334" s="43" t="inlineStr">
        <is>
          <t>07</t>
        </is>
      </c>
      <c r="H334" s="43" t="n">
        <v>1370</v>
      </c>
      <c r="I334" s="43" t="n">
        <v>770</v>
      </c>
      <c r="J334" s="43" t="inlineStr">
        <is>
          <t>設定可</t>
        </is>
      </c>
      <c r="K334" s="43" t="b">
        <v>1</v>
      </c>
      <c r="L334" s="43" t="inlineStr">
        <is>
          <t>100</t>
        </is>
      </c>
      <c r="M334" s="43" t="inlineStr">
        <is>
          <t>¥70,200 / ¥75,800</t>
        </is>
      </c>
    </row>
    <row r="335">
      <c r="A335" s="43" t="inlineStr">
        <is>
          <t>SZ-SL-000668</t>
        </is>
      </c>
      <c r="B335" s="43" t="inlineStr">
        <is>
          <t>面格子付引違い窓</t>
        </is>
      </c>
      <c r="C335" s="43" t="inlineStr">
        <is>
          <t>SP-SL-GRILLE-DIA</t>
        </is>
      </c>
      <c r="D335" s="43" t="inlineStr">
        <is>
          <t>在来・204</t>
        </is>
      </c>
      <c r="E335" s="43" t="inlineStr">
        <is>
          <t>15007</t>
        </is>
      </c>
      <c r="F335" s="43" t="inlineStr">
        <is>
          <t>150</t>
        </is>
      </c>
      <c r="G335" s="43" t="inlineStr">
        <is>
          <t>07</t>
        </is>
      </c>
      <c r="H335" s="43" t="n">
        <v>1540</v>
      </c>
      <c r="I335" s="43" t="n">
        <v>770</v>
      </c>
      <c r="J335" s="43" t="inlineStr">
        <is>
          <t>設定可</t>
        </is>
      </c>
      <c r="K335" s="43" t="b">
        <v>1</v>
      </c>
      <c r="L335" s="43" t="inlineStr">
        <is>
          <t>100</t>
        </is>
      </c>
      <c r="M335" s="43" t="inlineStr">
        <is>
          <t>¥76,700 / ¥83,000</t>
        </is>
      </c>
    </row>
    <row r="336">
      <c r="A336" s="43" t="inlineStr">
        <is>
          <t>SZ-SL-000669</t>
        </is>
      </c>
      <c r="B336" s="43" t="inlineStr">
        <is>
          <t>面格子付引違い窓</t>
        </is>
      </c>
      <c r="C336" s="43" t="inlineStr">
        <is>
          <t>SP-SL-GRILLE-DIA</t>
        </is>
      </c>
      <c r="D336" s="43" t="inlineStr">
        <is>
          <t>在来・204</t>
        </is>
      </c>
      <c r="E336" s="43" t="inlineStr">
        <is>
          <t>16007</t>
        </is>
      </c>
      <c r="F336" s="43" t="inlineStr">
        <is>
          <t>160</t>
        </is>
      </c>
      <c r="G336" s="43" t="inlineStr">
        <is>
          <t>07</t>
        </is>
      </c>
      <c r="H336" s="43" t="n">
        <v>1640</v>
      </c>
      <c r="I336" s="43" t="n">
        <v>770</v>
      </c>
      <c r="J336" s="43" t="inlineStr">
        <is>
          <t>設定可</t>
        </is>
      </c>
      <c r="K336" s="43" t="b">
        <v>1</v>
      </c>
      <c r="L336" s="43" t="inlineStr">
        <is>
          <t>100</t>
        </is>
      </c>
      <c r="M336" s="43" t="inlineStr">
        <is>
          <t>¥78,500 / ¥84,900</t>
        </is>
      </c>
    </row>
    <row r="337">
      <c r="A337" s="43" t="inlineStr">
        <is>
          <t>SZ-SL-000670</t>
        </is>
      </c>
      <c r="B337" s="43" t="inlineStr">
        <is>
          <t>面格子付引違い窓</t>
        </is>
      </c>
      <c r="C337" s="43" t="inlineStr">
        <is>
          <t>SP-SL-GRILLE-DIA</t>
        </is>
      </c>
      <c r="D337" s="43" t="inlineStr">
        <is>
          <t>在来・204</t>
        </is>
      </c>
      <c r="E337" s="43" t="inlineStr">
        <is>
          <t>16507</t>
        </is>
      </c>
      <c r="F337" s="43" t="inlineStr">
        <is>
          <t>165</t>
        </is>
      </c>
      <c r="G337" s="43" t="inlineStr">
        <is>
          <t>07</t>
        </is>
      </c>
      <c r="H337" s="43" t="n">
        <v>1690</v>
      </c>
      <c r="I337" s="43" t="n">
        <v>770</v>
      </c>
      <c r="J337" s="43" t="inlineStr">
        <is>
          <t>設定可</t>
        </is>
      </c>
      <c r="K337" s="43" t="b">
        <v>1</v>
      </c>
      <c r="L337" s="43" t="inlineStr">
        <is>
          <t>100</t>
        </is>
      </c>
      <c r="M337" s="43" t="inlineStr">
        <is>
          <t>¥78,500 / ¥84,900</t>
        </is>
      </c>
    </row>
    <row r="338">
      <c r="A338" s="43" t="inlineStr">
        <is>
          <t>SZ-SL-000671</t>
        </is>
      </c>
      <c r="B338" s="43" t="inlineStr">
        <is>
          <t>面格子付引違い窓</t>
        </is>
      </c>
      <c r="C338" s="43" t="inlineStr">
        <is>
          <t>SP-SL-GRILLE-H</t>
        </is>
      </c>
      <c r="D338" s="43" t="inlineStr">
        <is>
          <t>在来・204</t>
        </is>
      </c>
      <c r="E338" s="43" t="inlineStr">
        <is>
          <t>13307</t>
        </is>
      </c>
      <c r="F338" s="43" t="inlineStr">
        <is>
          <t>133</t>
        </is>
      </c>
      <c r="G338" s="43" t="inlineStr">
        <is>
          <t>07</t>
        </is>
      </c>
      <c r="H338" s="43" t="n">
        <v>1370</v>
      </c>
      <c r="I338" s="43" t="n">
        <v>770</v>
      </c>
      <c r="J338" s="43" t="inlineStr">
        <is>
          <t>設定可</t>
        </is>
      </c>
      <c r="K338" s="43" t="b">
        <v>1</v>
      </c>
      <c r="L338" s="43" t="inlineStr">
        <is>
          <t>100</t>
        </is>
      </c>
      <c r="M338" s="43" t="inlineStr">
        <is>
          <t>¥70,200 / ¥75,800</t>
        </is>
      </c>
    </row>
    <row r="339">
      <c r="A339" s="43" t="inlineStr">
        <is>
          <t>SZ-SL-000672</t>
        </is>
      </c>
      <c r="B339" s="43" t="inlineStr">
        <is>
          <t>面格子付引違い窓</t>
        </is>
      </c>
      <c r="C339" s="43" t="inlineStr">
        <is>
          <t>SP-SL-GRILLE-H</t>
        </is>
      </c>
      <c r="D339" s="43" t="inlineStr">
        <is>
          <t>在来・204</t>
        </is>
      </c>
      <c r="E339" s="43" t="inlineStr">
        <is>
          <t>15007</t>
        </is>
      </c>
      <c r="F339" s="43" t="inlineStr">
        <is>
          <t>150</t>
        </is>
      </c>
      <c r="G339" s="43" t="inlineStr">
        <is>
          <t>07</t>
        </is>
      </c>
      <c r="H339" s="43" t="n">
        <v>1540</v>
      </c>
      <c r="I339" s="43" t="n">
        <v>770</v>
      </c>
      <c r="J339" s="43" t="inlineStr">
        <is>
          <t>設定なし</t>
        </is>
      </c>
      <c r="K339" s="43" t="b">
        <v>0</v>
      </c>
      <c r="L339" s="43" t="inlineStr">
        <is>
          <t>100</t>
        </is>
      </c>
      <c r="M339" s="43" t="inlineStr">
        <is>
          <t>＿＿</t>
        </is>
      </c>
    </row>
    <row r="340">
      <c r="A340" s="43" t="inlineStr">
        <is>
          <t>SZ-SL-000673</t>
        </is>
      </c>
      <c r="B340" s="43" t="inlineStr">
        <is>
          <t>面格子付引違い窓</t>
        </is>
      </c>
      <c r="C340" s="43" t="inlineStr">
        <is>
          <t>SP-SL-GRILLE-H</t>
        </is>
      </c>
      <c r="D340" s="43" t="inlineStr">
        <is>
          <t>在来・204</t>
        </is>
      </c>
      <c r="E340" s="43" t="inlineStr">
        <is>
          <t>16007</t>
        </is>
      </c>
      <c r="F340" s="43" t="inlineStr">
        <is>
          <t>160</t>
        </is>
      </c>
      <c r="G340" s="43" t="inlineStr">
        <is>
          <t>07</t>
        </is>
      </c>
      <c r="H340" s="43" t="n">
        <v>1640</v>
      </c>
      <c r="I340" s="43" t="n">
        <v>770</v>
      </c>
      <c r="J340" s="43" t="inlineStr">
        <is>
          <t>設定なし</t>
        </is>
      </c>
      <c r="K340" s="43" t="b">
        <v>0</v>
      </c>
      <c r="L340" s="43" t="inlineStr">
        <is>
          <t>100</t>
        </is>
      </c>
      <c r="M340" s="43" t="inlineStr">
        <is>
          <t>＿＿</t>
        </is>
      </c>
    </row>
    <row r="341">
      <c r="A341" s="43" t="inlineStr">
        <is>
          <t>SZ-SL-000674</t>
        </is>
      </c>
      <c r="B341" s="43" t="inlineStr">
        <is>
          <t>面格子付引違い窓</t>
        </is>
      </c>
      <c r="C341" s="43" t="inlineStr">
        <is>
          <t>SP-SL-GRILLE-H</t>
        </is>
      </c>
      <c r="D341" s="43" t="inlineStr">
        <is>
          <t>在来・204</t>
        </is>
      </c>
      <c r="E341" s="43" t="inlineStr">
        <is>
          <t>16507</t>
        </is>
      </c>
      <c r="F341" s="43" t="inlineStr">
        <is>
          <t>165</t>
        </is>
      </c>
      <c r="G341" s="43" t="inlineStr">
        <is>
          <t>07</t>
        </is>
      </c>
      <c r="H341" s="43" t="n">
        <v>1690</v>
      </c>
      <c r="I341" s="43" t="n">
        <v>770</v>
      </c>
      <c r="J341" s="43" t="inlineStr">
        <is>
          <t>設定なし</t>
        </is>
      </c>
      <c r="K341" s="43" t="b">
        <v>0</v>
      </c>
      <c r="L341" s="43" t="inlineStr">
        <is>
          <t>100</t>
        </is>
      </c>
      <c r="M341" s="43" t="inlineStr">
        <is>
          <t>＿＿</t>
        </is>
      </c>
    </row>
    <row r="342">
      <c r="A342" s="43" t="inlineStr">
        <is>
          <t>SZ-SL-000675</t>
        </is>
      </c>
      <c r="B342" s="43" t="inlineStr">
        <is>
          <t>面格子付引違い窓</t>
        </is>
      </c>
      <c r="C342" s="43" t="inlineStr">
        <is>
          <t>SP-SL-GRILLE-IGETA</t>
        </is>
      </c>
      <c r="D342" s="43" t="inlineStr">
        <is>
          <t>在来・204</t>
        </is>
      </c>
      <c r="E342" s="43" t="inlineStr">
        <is>
          <t>13307</t>
        </is>
      </c>
      <c r="F342" s="43" t="inlineStr">
        <is>
          <t>133</t>
        </is>
      </c>
      <c r="G342" s="43" t="inlineStr">
        <is>
          <t>07</t>
        </is>
      </c>
      <c r="H342" s="43" t="n">
        <v>1370</v>
      </c>
      <c r="I342" s="43" t="n">
        <v>770</v>
      </c>
      <c r="J342" s="43" t="inlineStr">
        <is>
          <t>設定可</t>
        </is>
      </c>
      <c r="K342" s="43" t="b">
        <v>1</v>
      </c>
      <c r="L342" s="43" t="inlineStr">
        <is>
          <t>100</t>
        </is>
      </c>
      <c r="M342" s="43" t="inlineStr">
        <is>
          <t>¥70,200 / ¥75,800</t>
        </is>
      </c>
    </row>
    <row r="343">
      <c r="A343" s="43" t="inlineStr">
        <is>
          <t>SZ-SL-000676</t>
        </is>
      </c>
      <c r="B343" s="43" t="inlineStr">
        <is>
          <t>面格子付引違い窓</t>
        </is>
      </c>
      <c r="C343" s="43" t="inlineStr">
        <is>
          <t>SP-SL-GRILLE-IGETA</t>
        </is>
      </c>
      <c r="D343" s="43" t="inlineStr">
        <is>
          <t>在来・204</t>
        </is>
      </c>
      <c r="E343" s="43" t="inlineStr">
        <is>
          <t>15007</t>
        </is>
      </c>
      <c r="F343" s="43" t="inlineStr">
        <is>
          <t>150</t>
        </is>
      </c>
      <c r="G343" s="43" t="inlineStr">
        <is>
          <t>07</t>
        </is>
      </c>
      <c r="H343" s="43" t="n">
        <v>1540</v>
      </c>
      <c r="I343" s="43" t="n">
        <v>770</v>
      </c>
      <c r="J343" s="43" t="inlineStr">
        <is>
          <t>設定可</t>
        </is>
      </c>
      <c r="K343" s="43" t="b">
        <v>1</v>
      </c>
      <c r="L343" s="43" t="inlineStr">
        <is>
          <t>100</t>
        </is>
      </c>
      <c r="M343" s="43" t="inlineStr">
        <is>
          <t>¥76,700 / ¥83,000</t>
        </is>
      </c>
    </row>
    <row r="344">
      <c r="A344" s="43" t="inlineStr">
        <is>
          <t>SZ-SL-000677</t>
        </is>
      </c>
      <c r="B344" s="43" t="inlineStr">
        <is>
          <t>面格子付引違い窓</t>
        </is>
      </c>
      <c r="C344" s="43" t="inlineStr">
        <is>
          <t>SP-SL-GRILLE-IGETA</t>
        </is>
      </c>
      <c r="D344" s="43" t="inlineStr">
        <is>
          <t>在来・204</t>
        </is>
      </c>
      <c r="E344" s="43" t="inlineStr">
        <is>
          <t>16007</t>
        </is>
      </c>
      <c r="F344" s="43" t="inlineStr">
        <is>
          <t>160</t>
        </is>
      </c>
      <c r="G344" s="43" t="inlineStr">
        <is>
          <t>07</t>
        </is>
      </c>
      <c r="H344" s="43" t="n">
        <v>1640</v>
      </c>
      <c r="I344" s="43" t="n">
        <v>770</v>
      </c>
      <c r="J344" s="43" t="inlineStr">
        <is>
          <t>設定可</t>
        </is>
      </c>
      <c r="K344" s="43" t="b">
        <v>1</v>
      </c>
      <c r="L344" s="43" t="inlineStr">
        <is>
          <t>100</t>
        </is>
      </c>
      <c r="M344" s="43" t="inlineStr">
        <is>
          <t>¥78,500 / ¥84,900</t>
        </is>
      </c>
    </row>
    <row r="345">
      <c r="A345" s="43" t="inlineStr">
        <is>
          <t>SZ-SL-000678</t>
        </is>
      </c>
      <c r="B345" s="43" t="inlineStr">
        <is>
          <t>面格子付引違い窓</t>
        </is>
      </c>
      <c r="C345" s="43" t="inlineStr">
        <is>
          <t>SP-SL-GRILLE-IGETA</t>
        </is>
      </c>
      <c r="D345" s="43" t="inlineStr">
        <is>
          <t>在来・204</t>
        </is>
      </c>
      <c r="E345" s="43" t="inlineStr">
        <is>
          <t>16507</t>
        </is>
      </c>
      <c r="F345" s="43" t="inlineStr">
        <is>
          <t>165</t>
        </is>
      </c>
      <c r="G345" s="43" t="inlineStr">
        <is>
          <t>07</t>
        </is>
      </c>
      <c r="H345" s="43" t="n">
        <v>1690</v>
      </c>
      <c r="I345" s="43" t="n">
        <v>770</v>
      </c>
      <c r="J345" s="43" t="inlineStr">
        <is>
          <t>設定可</t>
        </is>
      </c>
      <c r="K345" s="43" t="b">
        <v>1</v>
      </c>
      <c r="L345" s="43" t="inlineStr">
        <is>
          <t>100</t>
        </is>
      </c>
      <c r="M345" s="43" t="inlineStr">
        <is>
          <t>¥78,500 / ¥84,900</t>
        </is>
      </c>
    </row>
    <row r="346">
      <c r="A346" s="43" t="inlineStr">
        <is>
          <t>SZ-SL-000679</t>
        </is>
      </c>
      <c r="B346" s="43" t="inlineStr">
        <is>
          <t>面格子付引違い窓</t>
        </is>
      </c>
      <c r="C346" s="43" t="inlineStr">
        <is>
          <t>SP-SL-GRILLE-V</t>
        </is>
      </c>
      <c r="D346" s="43" t="inlineStr">
        <is>
          <t>在来・204</t>
        </is>
      </c>
      <c r="E346" s="43" t="inlineStr">
        <is>
          <t>13307</t>
        </is>
      </c>
      <c r="F346" s="43" t="inlineStr">
        <is>
          <t>133</t>
        </is>
      </c>
      <c r="G346" s="43" t="inlineStr">
        <is>
          <t>07</t>
        </is>
      </c>
      <c r="H346" s="43" t="n">
        <v>1370</v>
      </c>
      <c r="I346" s="43" t="n">
        <v>770</v>
      </c>
      <c r="J346" s="43" t="inlineStr">
        <is>
          <t>設定可</t>
        </is>
      </c>
      <c r="K346" s="43" t="b">
        <v>1</v>
      </c>
      <c r="L346" s="43" t="inlineStr">
        <is>
          <t>100</t>
        </is>
      </c>
      <c r="M346" s="43" t="inlineStr">
        <is>
          <t>¥58,300 / ¥63,400</t>
        </is>
      </c>
    </row>
    <row r="347">
      <c r="A347" s="43" t="inlineStr">
        <is>
          <t>SZ-SL-000680</t>
        </is>
      </c>
      <c r="B347" s="43" t="inlineStr">
        <is>
          <t>面格子付引違い窓</t>
        </is>
      </c>
      <c r="C347" s="43" t="inlineStr">
        <is>
          <t>SP-SL-GRILLE-V</t>
        </is>
      </c>
      <c r="D347" s="43" t="inlineStr">
        <is>
          <t>在来・204</t>
        </is>
      </c>
      <c r="E347" s="43" t="inlineStr">
        <is>
          <t>15007</t>
        </is>
      </c>
      <c r="F347" s="43" t="inlineStr">
        <is>
          <t>150</t>
        </is>
      </c>
      <c r="G347" s="43" t="inlineStr">
        <is>
          <t>07</t>
        </is>
      </c>
      <c r="H347" s="43" t="n">
        <v>1540</v>
      </c>
      <c r="I347" s="43" t="n">
        <v>770</v>
      </c>
      <c r="J347" s="43" t="inlineStr">
        <is>
          <t>設定可</t>
        </is>
      </c>
      <c r="K347" s="43" t="b">
        <v>1</v>
      </c>
      <c r="L347" s="43" t="inlineStr">
        <is>
          <t>100</t>
        </is>
      </c>
      <c r="M347" s="43" t="inlineStr">
        <is>
          <t>¥64,300 / ¥69,900</t>
        </is>
      </c>
    </row>
    <row r="348">
      <c r="A348" s="43" t="inlineStr">
        <is>
          <t>SZ-SL-000681</t>
        </is>
      </c>
      <c r="B348" s="43" t="inlineStr">
        <is>
          <t>面格子付引違い窓</t>
        </is>
      </c>
      <c r="C348" s="43" t="inlineStr">
        <is>
          <t>SP-SL-GRILLE-V</t>
        </is>
      </c>
      <c r="D348" s="43" t="inlineStr">
        <is>
          <t>在来・204</t>
        </is>
      </c>
      <c r="E348" s="43" t="inlineStr">
        <is>
          <t>16007</t>
        </is>
      </c>
      <c r="F348" s="43" t="inlineStr">
        <is>
          <t>160</t>
        </is>
      </c>
      <c r="G348" s="43" t="inlineStr">
        <is>
          <t>07</t>
        </is>
      </c>
      <c r="H348" s="43" t="n">
        <v>1640</v>
      </c>
      <c r="I348" s="43" t="n">
        <v>770</v>
      </c>
      <c r="J348" s="43" t="inlineStr">
        <is>
          <t>設定可</t>
        </is>
      </c>
      <c r="K348" s="43" t="b">
        <v>1</v>
      </c>
      <c r="L348" s="43" t="inlineStr">
        <is>
          <t>100</t>
        </is>
      </c>
      <c r="M348" s="43" t="inlineStr">
        <is>
          <t>¥65,300 / ¥71,100</t>
        </is>
      </c>
    </row>
    <row r="349">
      <c r="A349" s="43" t="inlineStr">
        <is>
          <t>SZ-SL-000682</t>
        </is>
      </c>
      <c r="B349" s="43" t="inlineStr">
        <is>
          <t>面格子付引違い窓</t>
        </is>
      </c>
      <c r="C349" s="43" t="inlineStr">
        <is>
          <t>SP-SL-GRILLE-V</t>
        </is>
      </c>
      <c r="D349" s="43" t="inlineStr">
        <is>
          <t>在来・204</t>
        </is>
      </c>
      <c r="E349" s="43" t="inlineStr">
        <is>
          <t>16507</t>
        </is>
      </c>
      <c r="F349" s="43" t="inlineStr">
        <is>
          <t>165</t>
        </is>
      </c>
      <c r="G349" s="43" t="inlineStr">
        <is>
          <t>07</t>
        </is>
      </c>
      <c r="H349" s="43" t="n">
        <v>1690</v>
      </c>
      <c r="I349" s="43" t="n">
        <v>770</v>
      </c>
      <c r="J349" s="43" t="inlineStr">
        <is>
          <t>設定可</t>
        </is>
      </c>
      <c r="K349" s="43" t="b">
        <v>1</v>
      </c>
      <c r="L349" s="43" t="inlineStr">
        <is>
          <t>100</t>
        </is>
      </c>
      <c r="M349" s="43" t="inlineStr">
        <is>
          <t>¥65,300 / ¥71,100</t>
        </is>
      </c>
    </row>
    <row r="350">
      <c r="A350" s="43" t="inlineStr">
        <is>
          <t>SZ-SL-000683</t>
        </is>
      </c>
      <c r="B350" s="43" t="inlineStr">
        <is>
          <t>面格子付引違い窓</t>
        </is>
      </c>
      <c r="C350" s="43" t="inlineStr">
        <is>
          <t>SP-SL-GRILLE-DIA</t>
        </is>
      </c>
      <c r="D350" s="43" t="inlineStr">
        <is>
          <t>在来・204</t>
        </is>
      </c>
      <c r="E350" s="43" t="inlineStr">
        <is>
          <t>17407</t>
        </is>
      </c>
      <c r="F350" s="43" t="inlineStr">
        <is>
          <t>174</t>
        </is>
      </c>
      <c r="G350" s="43" t="inlineStr">
        <is>
          <t>07</t>
        </is>
      </c>
      <c r="H350" s="43" t="n">
        <v>1780</v>
      </c>
      <c r="I350" s="43" t="n">
        <v>770</v>
      </c>
      <c r="J350" s="43" t="inlineStr">
        <is>
          <t>設定可</t>
        </is>
      </c>
      <c r="K350" s="43" t="b">
        <v>1</v>
      </c>
      <c r="L350" s="43" t="inlineStr">
        <is>
          <t>101</t>
        </is>
      </c>
      <c r="M350" s="43" t="inlineStr">
        <is>
          <t>¥84,200 / ¥90,700</t>
        </is>
      </c>
    </row>
    <row r="351">
      <c r="A351" s="43" t="inlineStr">
        <is>
          <t>SZ-SL-000684</t>
        </is>
      </c>
      <c r="B351" s="43" t="inlineStr">
        <is>
          <t>面格子付引違い窓</t>
        </is>
      </c>
      <c r="C351" s="43" t="inlineStr">
        <is>
          <t>SP-SL-GRILLE-DIA</t>
        </is>
      </c>
      <c r="D351" s="43" t="inlineStr">
        <is>
          <t>在来・204</t>
        </is>
      </c>
      <c r="E351" s="43" t="inlineStr">
        <is>
          <t>17607</t>
        </is>
      </c>
      <c r="F351" s="43" t="inlineStr">
        <is>
          <t>176</t>
        </is>
      </c>
      <c r="G351" s="43" t="inlineStr">
        <is>
          <t>07</t>
        </is>
      </c>
      <c r="H351" s="43" t="n">
        <v>1800</v>
      </c>
      <c r="I351" s="43" t="n">
        <v>770</v>
      </c>
      <c r="J351" s="43" t="inlineStr">
        <is>
          <t>設定可</t>
        </is>
      </c>
      <c r="K351" s="43" t="b">
        <v>1</v>
      </c>
      <c r="L351" s="43" t="inlineStr">
        <is>
          <t>101</t>
        </is>
      </c>
      <c r="M351" s="43" t="inlineStr">
        <is>
          <t>¥84,200 / ¥90,700</t>
        </is>
      </c>
    </row>
    <row r="352">
      <c r="A352" s="43" t="inlineStr">
        <is>
          <t>SZ-SL-000685</t>
        </is>
      </c>
      <c r="B352" s="43" t="inlineStr">
        <is>
          <t>面格子付引違い窓</t>
        </is>
      </c>
      <c r="C352" s="43" t="inlineStr">
        <is>
          <t>SP-SL-GRILLE-DIA</t>
        </is>
      </c>
      <c r="D352" s="43" t="inlineStr">
        <is>
          <t>在来・204</t>
        </is>
      </c>
      <c r="E352" s="43" t="inlineStr">
        <is>
          <t>18007</t>
        </is>
      </c>
      <c r="F352" s="43" t="inlineStr">
        <is>
          <t>180</t>
        </is>
      </c>
      <c r="G352" s="43" t="inlineStr">
        <is>
          <t>07</t>
        </is>
      </c>
      <c r="H352" s="43" t="n">
        <v>1845</v>
      </c>
      <c r="I352" s="43" t="n">
        <v>770</v>
      </c>
      <c r="J352" s="43" t="inlineStr">
        <is>
          <t>設定可</t>
        </is>
      </c>
      <c r="K352" s="43" t="b">
        <v>1</v>
      </c>
      <c r="L352" s="43" t="inlineStr">
        <is>
          <t>101</t>
        </is>
      </c>
      <c r="M352" s="43" t="inlineStr">
        <is>
          <t>¥84,200 / ¥90,700</t>
        </is>
      </c>
    </row>
    <row r="353">
      <c r="A353" s="43" t="inlineStr">
        <is>
          <t>SZ-SL-000686</t>
        </is>
      </c>
      <c r="B353" s="43" t="inlineStr">
        <is>
          <t>面格子付引違い窓</t>
        </is>
      </c>
      <c r="C353" s="43" t="inlineStr">
        <is>
          <t>SP-SL-GRILLE-DIA</t>
        </is>
      </c>
      <c r="D353" s="43" t="inlineStr">
        <is>
          <t>在来・204</t>
        </is>
      </c>
      <c r="E353" s="43" t="inlineStr">
        <is>
          <t>18607</t>
        </is>
      </c>
      <c r="F353" s="43" t="inlineStr">
        <is>
          <t>186</t>
        </is>
      </c>
      <c r="G353" s="43" t="inlineStr">
        <is>
          <t>07</t>
        </is>
      </c>
      <c r="H353" s="43" t="n">
        <v>1900</v>
      </c>
      <c r="I353" s="43" t="n">
        <v>770</v>
      </c>
      <c r="J353" s="43" t="inlineStr">
        <is>
          <t>設定可</t>
        </is>
      </c>
      <c r="K353" s="43" t="b">
        <v>1</v>
      </c>
      <c r="L353" s="43" t="inlineStr">
        <is>
          <t>101</t>
        </is>
      </c>
      <c r="M353" s="43" t="inlineStr">
        <is>
          <t>¥84,200 / ¥90,700</t>
        </is>
      </c>
    </row>
    <row r="354">
      <c r="A354" s="43" t="inlineStr">
        <is>
          <t>SZ-SL-000687</t>
        </is>
      </c>
      <c r="B354" s="43" t="inlineStr">
        <is>
          <t>面格子付引違い窓</t>
        </is>
      </c>
      <c r="C354" s="43" t="inlineStr">
        <is>
          <t>SP-SL-GRILLE-H</t>
        </is>
      </c>
      <c r="D354" s="43" t="inlineStr">
        <is>
          <t>在来・204</t>
        </is>
      </c>
      <c r="E354" s="43" t="inlineStr">
        <is>
          <t>17407</t>
        </is>
      </c>
      <c r="F354" s="43" t="inlineStr">
        <is>
          <t>174</t>
        </is>
      </c>
      <c r="G354" s="43" t="inlineStr">
        <is>
          <t>07</t>
        </is>
      </c>
      <c r="H354" s="43" t="n">
        <v>1780</v>
      </c>
      <c r="I354" s="43" t="n">
        <v>770</v>
      </c>
      <c r="J354" s="43" t="inlineStr">
        <is>
          <t>設定なし</t>
        </is>
      </c>
      <c r="K354" s="43" t="b">
        <v>0</v>
      </c>
      <c r="L354" s="43" t="inlineStr">
        <is>
          <t>101</t>
        </is>
      </c>
      <c r="M354" s="43" t="inlineStr">
        <is>
          <t>＿＿</t>
        </is>
      </c>
    </row>
    <row r="355">
      <c r="A355" s="43" t="inlineStr">
        <is>
          <t>SZ-SL-000688</t>
        </is>
      </c>
      <c r="B355" s="43" t="inlineStr">
        <is>
          <t>面格子付引違い窓</t>
        </is>
      </c>
      <c r="C355" s="43" t="inlineStr">
        <is>
          <t>SP-SL-GRILLE-H</t>
        </is>
      </c>
      <c r="D355" s="43" t="inlineStr">
        <is>
          <t>在来・204</t>
        </is>
      </c>
      <c r="E355" s="43" t="inlineStr">
        <is>
          <t>17607</t>
        </is>
      </c>
      <c r="F355" s="43" t="inlineStr">
        <is>
          <t>176</t>
        </is>
      </c>
      <c r="G355" s="43" t="inlineStr">
        <is>
          <t>07</t>
        </is>
      </c>
      <c r="H355" s="43" t="n">
        <v>1800</v>
      </c>
      <c r="I355" s="43" t="n">
        <v>770</v>
      </c>
      <c r="J355" s="43" t="inlineStr">
        <is>
          <t>設定なし</t>
        </is>
      </c>
      <c r="K355" s="43" t="b">
        <v>0</v>
      </c>
      <c r="L355" s="43" t="inlineStr">
        <is>
          <t>101</t>
        </is>
      </c>
      <c r="M355" s="43" t="inlineStr">
        <is>
          <t>＿＿</t>
        </is>
      </c>
    </row>
    <row r="356">
      <c r="A356" s="43" t="inlineStr">
        <is>
          <t>SZ-SL-000689</t>
        </is>
      </c>
      <c r="B356" s="43" t="inlineStr">
        <is>
          <t>面格子付引違い窓</t>
        </is>
      </c>
      <c r="C356" s="43" t="inlineStr">
        <is>
          <t>SP-SL-GRILLE-H</t>
        </is>
      </c>
      <c r="D356" s="43" t="inlineStr">
        <is>
          <t>在来・204</t>
        </is>
      </c>
      <c r="E356" s="43" t="inlineStr">
        <is>
          <t>18007</t>
        </is>
      </c>
      <c r="F356" s="43" t="inlineStr">
        <is>
          <t>180</t>
        </is>
      </c>
      <c r="G356" s="43" t="inlineStr">
        <is>
          <t>07</t>
        </is>
      </c>
      <c r="H356" s="43" t="n">
        <v>1845</v>
      </c>
      <c r="I356" s="43" t="n">
        <v>770</v>
      </c>
      <c r="J356" s="43" t="inlineStr">
        <is>
          <t>設定なし</t>
        </is>
      </c>
      <c r="K356" s="43" t="b">
        <v>0</v>
      </c>
      <c r="L356" s="43" t="inlineStr">
        <is>
          <t>101</t>
        </is>
      </c>
      <c r="M356" s="43" t="inlineStr">
        <is>
          <t>＿＿</t>
        </is>
      </c>
    </row>
    <row r="357">
      <c r="A357" s="43" t="inlineStr">
        <is>
          <t>SZ-SL-000690</t>
        </is>
      </c>
      <c r="B357" s="43" t="inlineStr">
        <is>
          <t>面格子付引違い窓</t>
        </is>
      </c>
      <c r="C357" s="43" t="inlineStr">
        <is>
          <t>SP-SL-GRILLE-H</t>
        </is>
      </c>
      <c r="D357" s="43" t="inlineStr">
        <is>
          <t>在来・204</t>
        </is>
      </c>
      <c r="E357" s="43" t="inlineStr">
        <is>
          <t>18607</t>
        </is>
      </c>
      <c r="F357" s="43" t="inlineStr">
        <is>
          <t>186</t>
        </is>
      </c>
      <c r="G357" s="43" t="inlineStr">
        <is>
          <t>07</t>
        </is>
      </c>
      <c r="H357" s="43" t="n">
        <v>1900</v>
      </c>
      <c r="I357" s="43" t="n">
        <v>770</v>
      </c>
      <c r="J357" s="43" t="inlineStr">
        <is>
          <t>設定なし</t>
        </is>
      </c>
      <c r="K357" s="43" t="b">
        <v>0</v>
      </c>
      <c r="L357" s="43" t="inlineStr">
        <is>
          <t>101</t>
        </is>
      </c>
      <c r="M357" s="43" t="inlineStr">
        <is>
          <t>＿＿</t>
        </is>
      </c>
    </row>
    <row r="358">
      <c r="A358" s="43" t="inlineStr">
        <is>
          <t>SZ-SL-000691</t>
        </is>
      </c>
      <c r="B358" s="43" t="inlineStr">
        <is>
          <t>面格子付引違い窓</t>
        </is>
      </c>
      <c r="C358" s="43" t="inlineStr">
        <is>
          <t>SP-SL-GRILLE-IGETA</t>
        </is>
      </c>
      <c r="D358" s="43" t="inlineStr">
        <is>
          <t>在来・204</t>
        </is>
      </c>
      <c r="E358" s="43" t="inlineStr">
        <is>
          <t>17407</t>
        </is>
      </c>
      <c r="F358" s="43" t="inlineStr">
        <is>
          <t>174</t>
        </is>
      </c>
      <c r="G358" s="43" t="inlineStr">
        <is>
          <t>07</t>
        </is>
      </c>
      <c r="H358" s="43" t="n">
        <v>1780</v>
      </c>
      <c r="I358" s="43" t="n">
        <v>770</v>
      </c>
      <c r="J358" s="43" t="inlineStr">
        <is>
          <t>設定可</t>
        </is>
      </c>
      <c r="K358" s="43" t="b">
        <v>1</v>
      </c>
      <c r="L358" s="43" t="inlineStr">
        <is>
          <t>101</t>
        </is>
      </c>
      <c r="M358" s="43" t="inlineStr">
        <is>
          <t>¥84,200 / ¥90,700</t>
        </is>
      </c>
    </row>
    <row r="359">
      <c r="A359" s="43" t="inlineStr">
        <is>
          <t>SZ-SL-000692</t>
        </is>
      </c>
      <c r="B359" s="43" t="inlineStr">
        <is>
          <t>面格子付引違い窓</t>
        </is>
      </c>
      <c r="C359" s="43" t="inlineStr">
        <is>
          <t>SP-SL-GRILLE-IGETA</t>
        </is>
      </c>
      <c r="D359" s="43" t="inlineStr">
        <is>
          <t>在来・204</t>
        </is>
      </c>
      <c r="E359" s="43" t="inlineStr">
        <is>
          <t>17607</t>
        </is>
      </c>
      <c r="F359" s="43" t="inlineStr">
        <is>
          <t>176</t>
        </is>
      </c>
      <c r="G359" s="43" t="inlineStr">
        <is>
          <t>07</t>
        </is>
      </c>
      <c r="H359" s="43" t="n">
        <v>1800</v>
      </c>
      <c r="I359" s="43" t="n">
        <v>770</v>
      </c>
      <c r="J359" s="43" t="inlineStr">
        <is>
          <t>設定可</t>
        </is>
      </c>
      <c r="K359" s="43" t="b">
        <v>1</v>
      </c>
      <c r="L359" s="43" t="inlineStr">
        <is>
          <t>101</t>
        </is>
      </c>
      <c r="M359" s="43" t="inlineStr">
        <is>
          <t>¥84,200 / ¥90,700</t>
        </is>
      </c>
    </row>
    <row r="360">
      <c r="A360" s="43" t="inlineStr">
        <is>
          <t>SZ-SL-000693</t>
        </is>
      </c>
      <c r="B360" s="43" t="inlineStr">
        <is>
          <t>面格子付引違い窓</t>
        </is>
      </c>
      <c r="C360" s="43" t="inlineStr">
        <is>
          <t>SP-SL-GRILLE-IGETA</t>
        </is>
      </c>
      <c r="D360" s="43" t="inlineStr">
        <is>
          <t>在来・204</t>
        </is>
      </c>
      <c r="E360" s="43" t="inlineStr">
        <is>
          <t>18007</t>
        </is>
      </c>
      <c r="F360" s="43" t="inlineStr">
        <is>
          <t>180</t>
        </is>
      </c>
      <c r="G360" s="43" t="inlineStr">
        <is>
          <t>07</t>
        </is>
      </c>
      <c r="H360" s="43" t="n">
        <v>1845</v>
      </c>
      <c r="I360" s="43" t="n">
        <v>770</v>
      </c>
      <c r="J360" s="43" t="inlineStr">
        <is>
          <t>設定可</t>
        </is>
      </c>
      <c r="K360" s="43" t="b">
        <v>1</v>
      </c>
      <c r="L360" s="43" t="inlineStr">
        <is>
          <t>101</t>
        </is>
      </c>
      <c r="M360" s="43" t="inlineStr">
        <is>
          <t>¥84,200 / ¥90,700</t>
        </is>
      </c>
    </row>
    <row r="361">
      <c r="A361" s="43" t="inlineStr">
        <is>
          <t>SZ-SL-000694</t>
        </is>
      </c>
      <c r="B361" s="43" t="inlineStr">
        <is>
          <t>面格子付引違い窓</t>
        </is>
      </c>
      <c r="C361" s="43" t="inlineStr">
        <is>
          <t>SP-SL-GRILLE-IGETA</t>
        </is>
      </c>
      <c r="D361" s="43" t="inlineStr">
        <is>
          <t>在来・204</t>
        </is>
      </c>
      <c r="E361" s="43" t="inlineStr">
        <is>
          <t>18607</t>
        </is>
      </c>
      <c r="F361" s="43" t="inlineStr">
        <is>
          <t>186</t>
        </is>
      </c>
      <c r="G361" s="43" t="inlineStr">
        <is>
          <t>07</t>
        </is>
      </c>
      <c r="H361" s="43" t="n">
        <v>1900</v>
      </c>
      <c r="I361" s="43" t="n">
        <v>770</v>
      </c>
      <c r="J361" s="43" t="inlineStr">
        <is>
          <t>設定可</t>
        </is>
      </c>
      <c r="K361" s="43" t="b">
        <v>1</v>
      </c>
      <c r="L361" s="43" t="inlineStr">
        <is>
          <t>101</t>
        </is>
      </c>
      <c r="M361" s="43" t="inlineStr">
        <is>
          <t>¥84,200 / ¥90,700</t>
        </is>
      </c>
    </row>
    <row r="362">
      <c r="A362" s="43" t="inlineStr">
        <is>
          <t>SZ-SL-000695</t>
        </is>
      </c>
      <c r="B362" s="43" t="inlineStr">
        <is>
          <t>面格子付引違い窓</t>
        </is>
      </c>
      <c r="C362" s="43" t="inlineStr">
        <is>
          <t>SP-SL-GRILLE-V</t>
        </is>
      </c>
      <c r="D362" s="43" t="inlineStr">
        <is>
          <t>在来・204</t>
        </is>
      </c>
      <c r="E362" s="43" t="inlineStr">
        <is>
          <t>17407</t>
        </is>
      </c>
      <c r="F362" s="43" t="inlineStr">
        <is>
          <t>174</t>
        </is>
      </c>
      <c r="G362" s="43" t="inlineStr">
        <is>
          <t>07</t>
        </is>
      </c>
      <c r="H362" s="43" t="n">
        <v>1780</v>
      </c>
      <c r="I362" s="43" t="n">
        <v>770</v>
      </c>
      <c r="J362" s="43" t="inlineStr">
        <is>
          <t>設定可</t>
        </is>
      </c>
      <c r="K362" s="43" t="b">
        <v>1</v>
      </c>
      <c r="L362" s="43" t="inlineStr">
        <is>
          <t>101</t>
        </is>
      </c>
      <c r="M362" s="43" t="inlineStr">
        <is>
          <t>¥69,800 / ¥75,700</t>
        </is>
      </c>
    </row>
    <row r="363">
      <c r="A363" s="43" t="inlineStr">
        <is>
          <t>SZ-SL-000696</t>
        </is>
      </c>
      <c r="B363" s="43" t="inlineStr">
        <is>
          <t>面格子付引違い窓</t>
        </is>
      </c>
      <c r="C363" s="43" t="inlineStr">
        <is>
          <t>SP-SL-GRILLE-V</t>
        </is>
      </c>
      <c r="D363" s="43" t="inlineStr">
        <is>
          <t>在来・204</t>
        </is>
      </c>
      <c r="E363" s="43" t="inlineStr">
        <is>
          <t>17607</t>
        </is>
      </c>
      <c r="F363" s="43" t="inlineStr">
        <is>
          <t>176</t>
        </is>
      </c>
      <c r="G363" s="43" t="inlineStr">
        <is>
          <t>07</t>
        </is>
      </c>
      <c r="H363" s="43" t="n">
        <v>1800</v>
      </c>
      <c r="I363" s="43" t="n">
        <v>770</v>
      </c>
      <c r="J363" s="43" t="inlineStr">
        <is>
          <t>設定可</t>
        </is>
      </c>
      <c r="K363" s="43" t="b">
        <v>1</v>
      </c>
      <c r="L363" s="43" t="inlineStr">
        <is>
          <t>101</t>
        </is>
      </c>
      <c r="M363" s="43" t="inlineStr">
        <is>
          <t>¥69,800 / ¥75,700</t>
        </is>
      </c>
    </row>
    <row r="364">
      <c r="A364" s="43" t="inlineStr">
        <is>
          <t>SZ-SL-000697</t>
        </is>
      </c>
      <c r="B364" s="43" t="inlineStr">
        <is>
          <t>面格子付引違い窓</t>
        </is>
      </c>
      <c r="C364" s="43" t="inlineStr">
        <is>
          <t>SP-SL-GRILLE-V</t>
        </is>
      </c>
      <c r="D364" s="43" t="inlineStr">
        <is>
          <t>在来・204</t>
        </is>
      </c>
      <c r="E364" s="43" t="inlineStr">
        <is>
          <t>18007</t>
        </is>
      </c>
      <c r="F364" s="43" t="inlineStr">
        <is>
          <t>180</t>
        </is>
      </c>
      <c r="G364" s="43" t="inlineStr">
        <is>
          <t>07</t>
        </is>
      </c>
      <c r="H364" s="43" t="n">
        <v>1845</v>
      </c>
      <c r="I364" s="43" t="n">
        <v>770</v>
      </c>
      <c r="J364" s="43" t="inlineStr">
        <is>
          <t>設定可</t>
        </is>
      </c>
      <c r="K364" s="43" t="b">
        <v>1</v>
      </c>
      <c r="L364" s="43" t="inlineStr">
        <is>
          <t>101</t>
        </is>
      </c>
      <c r="M364" s="43" t="inlineStr">
        <is>
          <t>¥69,800 / ¥75,700</t>
        </is>
      </c>
    </row>
    <row r="365">
      <c r="A365" s="43" t="inlineStr">
        <is>
          <t>SZ-SL-000698</t>
        </is>
      </c>
      <c r="B365" s="43" t="inlineStr">
        <is>
          <t>面格子付引違い窓</t>
        </is>
      </c>
      <c r="C365" s="43" t="inlineStr">
        <is>
          <t>SP-SL-GRILLE-V</t>
        </is>
      </c>
      <c r="D365" s="43" t="inlineStr">
        <is>
          <t>在来・204</t>
        </is>
      </c>
      <c r="E365" s="43" t="inlineStr">
        <is>
          <t>18607</t>
        </is>
      </c>
      <c r="F365" s="43" t="inlineStr">
        <is>
          <t>186</t>
        </is>
      </c>
      <c r="G365" s="43" t="inlineStr">
        <is>
          <t>07</t>
        </is>
      </c>
      <c r="H365" s="43" t="n">
        <v>1900</v>
      </c>
      <c r="I365" s="43" t="n">
        <v>770</v>
      </c>
      <c r="J365" s="43" t="inlineStr">
        <is>
          <t>設定可</t>
        </is>
      </c>
      <c r="K365" s="43" t="b">
        <v>1</v>
      </c>
      <c r="L365" s="43" t="inlineStr">
        <is>
          <t>101</t>
        </is>
      </c>
      <c r="M365" s="43" t="inlineStr">
        <is>
          <t>¥69,800 / ¥75,700</t>
        </is>
      </c>
    </row>
    <row r="366">
      <c r="A366" s="43" t="inlineStr">
        <is>
          <t>SZ-SL-000699</t>
        </is>
      </c>
      <c r="B366" s="43" t="inlineStr">
        <is>
          <t>面格子付引違い窓</t>
        </is>
      </c>
      <c r="C366" s="43" t="inlineStr">
        <is>
          <t>SP-SL-GRILLE-DIA</t>
        </is>
      </c>
      <c r="D366" s="43" t="inlineStr">
        <is>
          <t>在来・204</t>
        </is>
      </c>
      <c r="E366" s="43" t="inlineStr">
        <is>
          <t>06009</t>
        </is>
      </c>
      <c r="F366" s="43" t="inlineStr">
        <is>
          <t>060</t>
        </is>
      </c>
      <c r="G366" s="43" t="inlineStr">
        <is>
          <t>09</t>
        </is>
      </c>
      <c r="H366" s="43" t="n">
        <v>640</v>
      </c>
      <c r="I366" s="43" t="n">
        <v>970</v>
      </c>
      <c r="J366" s="43" t="inlineStr">
        <is>
          <t>設定可</t>
        </is>
      </c>
      <c r="K366" s="43" t="b">
        <v>1</v>
      </c>
      <c r="L366" s="43" t="inlineStr">
        <is>
          <t>102</t>
        </is>
      </c>
      <c r="M366" s="43" t="inlineStr">
        <is>
          <t>¥52,000 / ¥56,500</t>
        </is>
      </c>
    </row>
    <row r="367">
      <c r="A367" s="43" t="inlineStr">
        <is>
          <t>SZ-SL-000700</t>
        </is>
      </c>
      <c r="B367" s="43" t="inlineStr">
        <is>
          <t>面格子付引違い窓</t>
        </is>
      </c>
      <c r="C367" s="43" t="inlineStr">
        <is>
          <t>SP-SL-GRILLE-DIA</t>
        </is>
      </c>
      <c r="D367" s="43" t="inlineStr">
        <is>
          <t>在来・204</t>
        </is>
      </c>
      <c r="E367" s="43" t="inlineStr">
        <is>
          <t>06909</t>
        </is>
      </c>
      <c r="F367" s="43" t="inlineStr">
        <is>
          <t>069</t>
        </is>
      </c>
      <c r="G367" s="43" t="inlineStr">
        <is>
          <t>09</t>
        </is>
      </c>
      <c r="H367" s="43" t="n">
        <v>730</v>
      </c>
      <c r="I367" s="43" t="n">
        <v>970</v>
      </c>
      <c r="J367" s="43" t="inlineStr">
        <is>
          <t>設定可</t>
        </is>
      </c>
      <c r="K367" s="43" t="b">
        <v>1</v>
      </c>
      <c r="L367" s="43" t="inlineStr">
        <is>
          <t>102</t>
        </is>
      </c>
      <c r="M367" s="43" t="inlineStr">
        <is>
          <t>¥56,100 / ¥60,600</t>
        </is>
      </c>
    </row>
    <row r="368">
      <c r="A368" s="43" t="inlineStr">
        <is>
          <t>SZ-SL-000701</t>
        </is>
      </c>
      <c r="B368" s="43" t="inlineStr">
        <is>
          <t>面格子付引違い窓</t>
        </is>
      </c>
      <c r="C368" s="43" t="inlineStr">
        <is>
          <t>SP-SL-GRILLE-DIA</t>
        </is>
      </c>
      <c r="D368" s="43" t="inlineStr">
        <is>
          <t>在来・204</t>
        </is>
      </c>
      <c r="E368" s="43" t="inlineStr">
        <is>
          <t>07409</t>
        </is>
      </c>
      <c r="F368" s="43" t="inlineStr">
        <is>
          <t>074</t>
        </is>
      </c>
      <c r="G368" s="43" t="inlineStr">
        <is>
          <t>09</t>
        </is>
      </c>
      <c r="H368" s="43" t="n">
        <v>780</v>
      </c>
      <c r="I368" s="43" t="n">
        <v>970</v>
      </c>
      <c r="J368" s="43" t="inlineStr">
        <is>
          <t>設定可</t>
        </is>
      </c>
      <c r="K368" s="43" t="b">
        <v>1</v>
      </c>
      <c r="L368" s="43" t="inlineStr">
        <is>
          <t>102</t>
        </is>
      </c>
      <c r="M368" s="43" t="inlineStr">
        <is>
          <t>¥56,100 / ¥60,600</t>
        </is>
      </c>
    </row>
    <row r="369">
      <c r="A369" s="43" t="inlineStr">
        <is>
          <t>SZ-SL-000702</t>
        </is>
      </c>
      <c r="B369" s="43" t="inlineStr">
        <is>
          <t>面格子付引違い窓</t>
        </is>
      </c>
      <c r="C369" s="43" t="inlineStr">
        <is>
          <t>SP-SL-GRILLE-DIA</t>
        </is>
      </c>
      <c r="D369" s="43" t="inlineStr">
        <is>
          <t>在来・204</t>
        </is>
      </c>
      <c r="E369" s="43" t="inlineStr">
        <is>
          <t>07809</t>
        </is>
      </c>
      <c r="F369" s="43" t="inlineStr">
        <is>
          <t>078</t>
        </is>
      </c>
      <c r="G369" s="43" t="inlineStr">
        <is>
          <t>09</t>
        </is>
      </c>
      <c r="H369" s="43" t="n">
        <v>820</v>
      </c>
      <c r="I369" s="43" t="n">
        <v>970</v>
      </c>
      <c r="J369" s="43" t="inlineStr">
        <is>
          <t>設定可</t>
        </is>
      </c>
      <c r="K369" s="43" t="b">
        <v>1</v>
      </c>
      <c r="L369" s="43" t="inlineStr">
        <is>
          <t>102</t>
        </is>
      </c>
      <c r="M369" s="43" t="inlineStr">
        <is>
          <t>¥59,900 / ¥64,500</t>
        </is>
      </c>
    </row>
    <row r="370">
      <c r="A370" s="43" t="inlineStr">
        <is>
          <t>SZ-SL-000703</t>
        </is>
      </c>
      <c r="B370" s="43" t="inlineStr">
        <is>
          <t>面格子付引違い窓</t>
        </is>
      </c>
      <c r="C370" s="43" t="inlineStr">
        <is>
          <t>SP-SL-GRILLE-H</t>
        </is>
      </c>
      <c r="D370" s="43" t="inlineStr">
        <is>
          <t>在来・204</t>
        </is>
      </c>
      <c r="E370" s="43" t="inlineStr">
        <is>
          <t>06009</t>
        </is>
      </c>
      <c r="F370" s="43" t="inlineStr">
        <is>
          <t>060</t>
        </is>
      </c>
      <c r="G370" s="43" t="inlineStr">
        <is>
          <t>09</t>
        </is>
      </c>
      <c r="H370" s="43" t="n">
        <v>640</v>
      </c>
      <c r="I370" s="43" t="n">
        <v>970</v>
      </c>
      <c r="J370" s="43" t="inlineStr">
        <is>
          <t>設定可</t>
        </is>
      </c>
      <c r="K370" s="43" t="b">
        <v>1</v>
      </c>
      <c r="L370" s="43" t="inlineStr">
        <is>
          <t>102</t>
        </is>
      </c>
      <c r="M370" s="43" t="inlineStr">
        <is>
          <t>¥52,000 / ¥56,500</t>
        </is>
      </c>
    </row>
    <row r="371">
      <c r="A371" s="43" t="inlineStr">
        <is>
          <t>SZ-SL-000704</t>
        </is>
      </c>
      <c r="B371" s="43" t="inlineStr">
        <is>
          <t>面格子付引違い窓</t>
        </is>
      </c>
      <c r="C371" s="43" t="inlineStr">
        <is>
          <t>SP-SL-GRILLE-H</t>
        </is>
      </c>
      <c r="D371" s="43" t="inlineStr">
        <is>
          <t>在来・204</t>
        </is>
      </c>
      <c r="E371" s="43" t="inlineStr">
        <is>
          <t>06909</t>
        </is>
      </c>
      <c r="F371" s="43" t="inlineStr">
        <is>
          <t>069</t>
        </is>
      </c>
      <c r="G371" s="43" t="inlineStr">
        <is>
          <t>09</t>
        </is>
      </c>
      <c r="H371" s="43" t="n">
        <v>730</v>
      </c>
      <c r="I371" s="43" t="n">
        <v>970</v>
      </c>
      <c r="J371" s="43" t="inlineStr">
        <is>
          <t>設定可</t>
        </is>
      </c>
      <c r="K371" s="43" t="b">
        <v>1</v>
      </c>
      <c r="L371" s="43" t="inlineStr">
        <is>
          <t>102</t>
        </is>
      </c>
      <c r="M371" s="43" t="inlineStr">
        <is>
          <t>¥56,100 / ¥60,600</t>
        </is>
      </c>
    </row>
    <row r="372">
      <c r="A372" s="43" t="inlineStr">
        <is>
          <t>SZ-SL-000705</t>
        </is>
      </c>
      <c r="B372" s="43" t="inlineStr">
        <is>
          <t>面格子付引違い窓</t>
        </is>
      </c>
      <c r="C372" s="43" t="inlineStr">
        <is>
          <t>SP-SL-GRILLE-H</t>
        </is>
      </c>
      <c r="D372" s="43" t="inlineStr">
        <is>
          <t>在来・204</t>
        </is>
      </c>
      <c r="E372" s="43" t="inlineStr">
        <is>
          <t>07409</t>
        </is>
      </c>
      <c r="F372" s="43" t="inlineStr">
        <is>
          <t>074</t>
        </is>
      </c>
      <c r="G372" s="43" t="inlineStr">
        <is>
          <t>09</t>
        </is>
      </c>
      <c r="H372" s="43" t="n">
        <v>780</v>
      </c>
      <c r="I372" s="43" t="n">
        <v>970</v>
      </c>
      <c r="J372" s="43" t="inlineStr">
        <is>
          <t>設定可</t>
        </is>
      </c>
      <c r="K372" s="43" t="b">
        <v>1</v>
      </c>
      <c r="L372" s="43" t="inlineStr">
        <is>
          <t>102</t>
        </is>
      </c>
      <c r="M372" s="43" t="inlineStr">
        <is>
          <t>¥56,100 / ¥60,600</t>
        </is>
      </c>
    </row>
    <row r="373">
      <c r="A373" s="43" t="inlineStr">
        <is>
          <t>SZ-SL-000706</t>
        </is>
      </c>
      <c r="B373" s="43" t="inlineStr">
        <is>
          <t>面格子付引違い窓</t>
        </is>
      </c>
      <c r="C373" s="43" t="inlineStr">
        <is>
          <t>SP-SL-GRILLE-H</t>
        </is>
      </c>
      <c r="D373" s="43" t="inlineStr">
        <is>
          <t>在来・204</t>
        </is>
      </c>
      <c r="E373" s="43" t="inlineStr">
        <is>
          <t>07809</t>
        </is>
      </c>
      <c r="F373" s="43" t="inlineStr">
        <is>
          <t>078</t>
        </is>
      </c>
      <c r="G373" s="43" t="inlineStr">
        <is>
          <t>09</t>
        </is>
      </c>
      <c r="H373" s="43" t="n">
        <v>820</v>
      </c>
      <c r="I373" s="43" t="n">
        <v>970</v>
      </c>
      <c r="J373" s="43" t="inlineStr">
        <is>
          <t>設定可</t>
        </is>
      </c>
      <c r="K373" s="43" t="b">
        <v>1</v>
      </c>
      <c r="L373" s="43" t="inlineStr">
        <is>
          <t>102</t>
        </is>
      </c>
      <c r="M373" s="43" t="inlineStr">
        <is>
          <t>¥59,900 / ¥64,500</t>
        </is>
      </c>
    </row>
    <row r="374">
      <c r="A374" s="43" t="inlineStr">
        <is>
          <t>SZ-SL-000707</t>
        </is>
      </c>
      <c r="B374" s="43" t="inlineStr">
        <is>
          <t>面格子付引違い窓</t>
        </is>
      </c>
      <c r="C374" s="43" t="inlineStr">
        <is>
          <t>SP-SL-GRILLE-IGETA</t>
        </is>
      </c>
      <c r="D374" s="43" t="inlineStr">
        <is>
          <t>在来・204</t>
        </is>
      </c>
      <c r="E374" s="43" t="inlineStr">
        <is>
          <t>06009</t>
        </is>
      </c>
      <c r="F374" s="43" t="inlineStr">
        <is>
          <t>060</t>
        </is>
      </c>
      <c r="G374" s="43" t="inlineStr">
        <is>
          <t>09</t>
        </is>
      </c>
      <c r="H374" s="43" t="n">
        <v>640</v>
      </c>
      <c r="I374" s="43" t="n">
        <v>970</v>
      </c>
      <c r="J374" s="43" t="inlineStr">
        <is>
          <t>設定可</t>
        </is>
      </c>
      <c r="K374" s="43" t="b">
        <v>1</v>
      </c>
      <c r="L374" s="43" t="inlineStr">
        <is>
          <t>102</t>
        </is>
      </c>
      <c r="M374" s="43" t="inlineStr">
        <is>
          <t>¥52,000 / ¥56,500</t>
        </is>
      </c>
    </row>
    <row r="375">
      <c r="A375" s="43" t="inlineStr">
        <is>
          <t>SZ-SL-000708</t>
        </is>
      </c>
      <c r="B375" s="43" t="inlineStr">
        <is>
          <t>面格子付引違い窓</t>
        </is>
      </c>
      <c r="C375" s="43" t="inlineStr">
        <is>
          <t>SP-SL-GRILLE-IGETA</t>
        </is>
      </c>
      <c r="D375" s="43" t="inlineStr">
        <is>
          <t>在来・204</t>
        </is>
      </c>
      <c r="E375" s="43" t="inlineStr">
        <is>
          <t>06909</t>
        </is>
      </c>
      <c r="F375" s="43" t="inlineStr">
        <is>
          <t>069</t>
        </is>
      </c>
      <c r="G375" s="43" t="inlineStr">
        <is>
          <t>09</t>
        </is>
      </c>
      <c r="H375" s="43" t="n">
        <v>730</v>
      </c>
      <c r="I375" s="43" t="n">
        <v>970</v>
      </c>
      <c r="J375" s="43" t="inlineStr">
        <is>
          <t>設定可</t>
        </is>
      </c>
      <c r="K375" s="43" t="b">
        <v>1</v>
      </c>
      <c r="L375" s="43" t="inlineStr">
        <is>
          <t>102</t>
        </is>
      </c>
      <c r="M375" s="43" t="inlineStr">
        <is>
          <t>¥56,100 / ¥60,600</t>
        </is>
      </c>
    </row>
    <row r="376">
      <c r="A376" s="43" t="inlineStr">
        <is>
          <t>SZ-SL-000709</t>
        </is>
      </c>
      <c r="B376" s="43" t="inlineStr">
        <is>
          <t>面格子付引違い窓</t>
        </is>
      </c>
      <c r="C376" s="43" t="inlineStr">
        <is>
          <t>SP-SL-GRILLE-IGETA</t>
        </is>
      </c>
      <c r="D376" s="43" t="inlineStr">
        <is>
          <t>在来・204</t>
        </is>
      </c>
      <c r="E376" s="43" t="inlineStr">
        <is>
          <t>07409</t>
        </is>
      </c>
      <c r="F376" s="43" t="inlineStr">
        <is>
          <t>074</t>
        </is>
      </c>
      <c r="G376" s="43" t="inlineStr">
        <is>
          <t>09</t>
        </is>
      </c>
      <c r="H376" s="43" t="n">
        <v>780</v>
      </c>
      <c r="I376" s="43" t="n">
        <v>970</v>
      </c>
      <c r="J376" s="43" t="inlineStr">
        <is>
          <t>設定可</t>
        </is>
      </c>
      <c r="K376" s="43" t="b">
        <v>1</v>
      </c>
      <c r="L376" s="43" t="inlineStr">
        <is>
          <t>102</t>
        </is>
      </c>
      <c r="M376" s="43" t="inlineStr">
        <is>
          <t>¥56,100 / ¥60,600</t>
        </is>
      </c>
    </row>
    <row r="377">
      <c r="A377" s="43" t="inlineStr">
        <is>
          <t>SZ-SL-000710</t>
        </is>
      </c>
      <c r="B377" s="43" t="inlineStr">
        <is>
          <t>面格子付引違い窓</t>
        </is>
      </c>
      <c r="C377" s="43" t="inlineStr">
        <is>
          <t>SP-SL-GRILLE-IGETA</t>
        </is>
      </c>
      <c r="D377" s="43" t="inlineStr">
        <is>
          <t>在来・204</t>
        </is>
      </c>
      <c r="E377" s="43" t="inlineStr">
        <is>
          <t>07809</t>
        </is>
      </c>
      <c r="F377" s="43" t="inlineStr">
        <is>
          <t>078</t>
        </is>
      </c>
      <c r="G377" s="43" t="inlineStr">
        <is>
          <t>09</t>
        </is>
      </c>
      <c r="H377" s="43" t="n">
        <v>820</v>
      </c>
      <c r="I377" s="43" t="n">
        <v>970</v>
      </c>
      <c r="J377" s="43" t="inlineStr">
        <is>
          <t>設定可</t>
        </is>
      </c>
      <c r="K377" s="43" t="b">
        <v>1</v>
      </c>
      <c r="L377" s="43" t="inlineStr">
        <is>
          <t>102</t>
        </is>
      </c>
      <c r="M377" s="43" t="inlineStr">
        <is>
          <t>¥59,900 / ¥64,500</t>
        </is>
      </c>
    </row>
    <row r="378">
      <c r="A378" s="43" t="inlineStr">
        <is>
          <t>SZ-SL-000711</t>
        </is>
      </c>
      <c r="B378" s="43" t="inlineStr">
        <is>
          <t>面格子付引違い窓</t>
        </is>
      </c>
      <c r="C378" s="43" t="inlineStr">
        <is>
          <t>SP-SL-GRILLE-V</t>
        </is>
      </c>
      <c r="D378" s="43" t="inlineStr">
        <is>
          <t>在来・204</t>
        </is>
      </c>
      <c r="E378" s="43" t="inlineStr">
        <is>
          <t>06009</t>
        </is>
      </c>
      <c r="F378" s="43" t="inlineStr">
        <is>
          <t>060</t>
        </is>
      </c>
      <c r="G378" s="43" t="inlineStr">
        <is>
          <t>09</t>
        </is>
      </c>
      <c r="H378" s="43" t="n">
        <v>640</v>
      </c>
      <c r="I378" s="43" t="n">
        <v>970</v>
      </c>
      <c r="J378" s="43" t="inlineStr">
        <is>
          <t>設定可</t>
        </is>
      </c>
      <c r="K378" s="43" t="b">
        <v>1</v>
      </c>
      <c r="L378" s="43" t="inlineStr">
        <is>
          <t>102</t>
        </is>
      </c>
      <c r="M378" s="43" t="inlineStr">
        <is>
          <t>¥43,900 / ¥48,100</t>
        </is>
      </c>
    </row>
    <row r="379">
      <c r="A379" s="43" t="inlineStr">
        <is>
          <t>SZ-SL-000712</t>
        </is>
      </c>
      <c r="B379" s="43" t="inlineStr">
        <is>
          <t>面格子付引違い窓</t>
        </is>
      </c>
      <c r="C379" s="43" t="inlineStr">
        <is>
          <t>SP-SL-GRILLE-V</t>
        </is>
      </c>
      <c r="D379" s="43" t="inlineStr">
        <is>
          <t>在来・204</t>
        </is>
      </c>
      <c r="E379" s="43" t="inlineStr">
        <is>
          <t>06909</t>
        </is>
      </c>
      <c r="F379" s="43" t="inlineStr">
        <is>
          <t>069</t>
        </is>
      </c>
      <c r="G379" s="43" t="inlineStr">
        <is>
          <t>09</t>
        </is>
      </c>
      <c r="H379" s="43" t="n">
        <v>730</v>
      </c>
      <c r="I379" s="43" t="n">
        <v>970</v>
      </c>
      <c r="J379" s="43" t="inlineStr">
        <is>
          <t>設定可</t>
        </is>
      </c>
      <c r="K379" s="43" t="b">
        <v>1</v>
      </c>
      <c r="L379" s="43" t="inlineStr">
        <is>
          <t>102</t>
        </is>
      </c>
      <c r="M379" s="43" t="inlineStr">
        <is>
          <t>¥46,900 / ¥51,000</t>
        </is>
      </c>
    </row>
    <row r="380">
      <c r="A380" s="43" t="inlineStr">
        <is>
          <t>SZ-SL-000713</t>
        </is>
      </c>
      <c r="B380" s="43" t="inlineStr">
        <is>
          <t>面格子付引違い窓</t>
        </is>
      </c>
      <c r="C380" s="43" t="inlineStr">
        <is>
          <t>SP-SL-GRILLE-V</t>
        </is>
      </c>
      <c r="D380" s="43" t="inlineStr">
        <is>
          <t>在来・204</t>
        </is>
      </c>
      <c r="E380" s="43" t="inlineStr">
        <is>
          <t>07409</t>
        </is>
      </c>
      <c r="F380" s="43" t="inlineStr">
        <is>
          <t>074</t>
        </is>
      </c>
      <c r="G380" s="43" t="inlineStr">
        <is>
          <t>09</t>
        </is>
      </c>
      <c r="H380" s="43" t="n">
        <v>780</v>
      </c>
      <c r="I380" s="43" t="n">
        <v>970</v>
      </c>
      <c r="J380" s="43" t="inlineStr">
        <is>
          <t>設定可</t>
        </is>
      </c>
      <c r="K380" s="43" t="b">
        <v>1</v>
      </c>
      <c r="L380" s="43" t="inlineStr">
        <is>
          <t>102</t>
        </is>
      </c>
      <c r="M380" s="43" t="inlineStr">
        <is>
          <t>¥46,900 / ¥51,000</t>
        </is>
      </c>
    </row>
    <row r="381">
      <c r="A381" s="43" t="inlineStr">
        <is>
          <t>SZ-SL-000714</t>
        </is>
      </c>
      <c r="B381" s="43" t="inlineStr">
        <is>
          <t>面格子付引違い窓</t>
        </is>
      </c>
      <c r="C381" s="43" t="inlineStr">
        <is>
          <t>SP-SL-GRILLE-V</t>
        </is>
      </c>
      <c r="D381" s="43" t="inlineStr">
        <is>
          <t>在来・204</t>
        </is>
      </c>
      <c r="E381" s="43" t="inlineStr">
        <is>
          <t>07809</t>
        </is>
      </c>
      <c r="F381" s="43" t="inlineStr">
        <is>
          <t>078</t>
        </is>
      </c>
      <c r="G381" s="43" t="inlineStr">
        <is>
          <t>09</t>
        </is>
      </c>
      <c r="H381" s="43" t="n">
        <v>820</v>
      </c>
      <c r="I381" s="43" t="n">
        <v>970</v>
      </c>
      <c r="J381" s="43" t="inlineStr">
        <is>
          <t>設定可</t>
        </is>
      </c>
      <c r="K381" s="43" t="b">
        <v>1</v>
      </c>
      <c r="L381" s="43" t="inlineStr">
        <is>
          <t>102</t>
        </is>
      </c>
      <c r="M381" s="43" t="inlineStr">
        <is>
          <t>¥50,200 / ¥54,300</t>
        </is>
      </c>
    </row>
    <row r="382">
      <c r="A382" s="43" t="inlineStr">
        <is>
          <t>SZ-SL-000715</t>
        </is>
      </c>
      <c r="B382" s="43" t="inlineStr">
        <is>
          <t>面格子付引違い窓</t>
        </is>
      </c>
      <c r="C382" s="43" t="inlineStr">
        <is>
          <t>SP-SL-GRILLE-DIA</t>
        </is>
      </c>
      <c r="D382" s="43" t="inlineStr">
        <is>
          <t>在来・204</t>
        </is>
      </c>
      <c r="E382" s="43" t="inlineStr">
        <is>
          <t>08009</t>
        </is>
      </c>
      <c r="F382" s="43" t="inlineStr">
        <is>
          <t>080</t>
        </is>
      </c>
      <c r="G382" s="43" t="inlineStr">
        <is>
          <t>09</t>
        </is>
      </c>
      <c r="H382" s="43" t="n">
        <v>845</v>
      </c>
      <c r="I382" s="43" t="n">
        <v>970</v>
      </c>
      <c r="J382" s="43" t="inlineStr">
        <is>
          <t>設定可</t>
        </is>
      </c>
      <c r="K382" s="43" t="b">
        <v>1</v>
      </c>
      <c r="L382" s="43" t="inlineStr">
        <is>
          <t>103</t>
        </is>
      </c>
      <c r="M382" s="43" t="inlineStr">
        <is>
          <t>¥59,900 / ¥64,500</t>
        </is>
      </c>
    </row>
    <row r="383">
      <c r="A383" s="43" t="inlineStr">
        <is>
          <t>SZ-SL-000716</t>
        </is>
      </c>
      <c r="B383" s="43" t="inlineStr">
        <is>
          <t>面格子付引違い窓</t>
        </is>
      </c>
      <c r="C383" s="43" t="inlineStr">
        <is>
          <t>SP-SL-GRILLE-DIA</t>
        </is>
      </c>
      <c r="D383" s="43" t="inlineStr">
        <is>
          <t>在来・204</t>
        </is>
      </c>
      <c r="E383" s="43" t="inlineStr">
        <is>
          <t>08309</t>
        </is>
      </c>
      <c r="F383" s="43" t="inlineStr">
        <is>
          <t>083</t>
        </is>
      </c>
      <c r="G383" s="43" t="inlineStr">
        <is>
          <t>09</t>
        </is>
      </c>
      <c r="H383" s="43" t="n">
        <v>870</v>
      </c>
      <c r="I383" s="43" t="n">
        <v>970</v>
      </c>
      <c r="J383" s="43" t="inlineStr">
        <is>
          <t>設定可</t>
        </is>
      </c>
      <c r="K383" s="43" t="b">
        <v>1</v>
      </c>
      <c r="L383" s="43" t="inlineStr">
        <is>
          <t>103</t>
        </is>
      </c>
      <c r="M383" s="43" t="inlineStr">
        <is>
          <t>¥59,900 / ¥64,500</t>
        </is>
      </c>
    </row>
    <row r="384">
      <c r="A384" s="43" t="inlineStr">
        <is>
          <t>SZ-SL-000717</t>
        </is>
      </c>
      <c r="B384" s="43" t="inlineStr">
        <is>
          <t>面格子付引違い窓</t>
        </is>
      </c>
      <c r="C384" s="43" t="inlineStr">
        <is>
          <t>SP-SL-GRILLE-DIA</t>
        </is>
      </c>
      <c r="D384" s="43" t="inlineStr">
        <is>
          <t>在来・204</t>
        </is>
      </c>
      <c r="E384" s="43" t="inlineStr">
        <is>
          <t>11409</t>
        </is>
      </c>
      <c r="F384" s="43" t="inlineStr">
        <is>
          <t>114</t>
        </is>
      </c>
      <c r="G384" s="43" t="inlineStr">
        <is>
          <t>09</t>
        </is>
      </c>
      <c r="H384" s="43" t="n">
        <v>1185</v>
      </c>
      <c r="I384" s="43" t="n">
        <v>970</v>
      </c>
      <c r="J384" s="43" t="inlineStr">
        <is>
          <t>設定可</t>
        </is>
      </c>
      <c r="K384" s="43" t="b">
        <v>1</v>
      </c>
      <c r="L384" s="43" t="inlineStr">
        <is>
          <t>103</t>
        </is>
      </c>
      <c r="M384" s="43" t="inlineStr">
        <is>
          <t>¥72,600 / ¥78,200</t>
        </is>
      </c>
    </row>
    <row r="385">
      <c r="A385" s="43" t="inlineStr">
        <is>
          <t>SZ-SL-000718</t>
        </is>
      </c>
      <c r="B385" s="43" t="inlineStr">
        <is>
          <t>面格子付引違い窓</t>
        </is>
      </c>
      <c r="C385" s="43" t="inlineStr">
        <is>
          <t>SP-SL-GRILLE-DIA</t>
        </is>
      </c>
      <c r="D385" s="43" t="inlineStr">
        <is>
          <t>在来・204</t>
        </is>
      </c>
      <c r="E385" s="43" t="inlineStr">
        <is>
          <t>11909</t>
        </is>
      </c>
      <c r="F385" s="43" t="inlineStr">
        <is>
          <t>119</t>
        </is>
      </c>
      <c r="G385" s="43" t="inlineStr">
        <is>
          <t>09</t>
        </is>
      </c>
      <c r="H385" s="43" t="n">
        <v>1235</v>
      </c>
      <c r="I385" s="43" t="n">
        <v>970</v>
      </c>
      <c r="J385" s="43" t="inlineStr">
        <is>
          <t>設定可</t>
        </is>
      </c>
      <c r="K385" s="43" t="b">
        <v>1</v>
      </c>
      <c r="L385" s="43" t="inlineStr">
        <is>
          <t>103</t>
        </is>
      </c>
      <c r="M385" s="43" t="inlineStr">
        <is>
          <t>¥72,600 / ¥78,200</t>
        </is>
      </c>
    </row>
    <row r="386">
      <c r="A386" s="43" t="inlineStr">
        <is>
          <t>SZ-SL-000719</t>
        </is>
      </c>
      <c r="B386" s="43" t="inlineStr">
        <is>
          <t>面格子付引違い窓</t>
        </is>
      </c>
      <c r="C386" s="43" t="inlineStr">
        <is>
          <t>SP-SL-GRILLE-DIA</t>
        </is>
      </c>
      <c r="D386" s="43" t="inlineStr">
        <is>
          <t>在来・204</t>
        </is>
      </c>
      <c r="E386" s="43" t="inlineStr">
        <is>
          <t>12809</t>
        </is>
      </c>
      <c r="F386" s="43" t="inlineStr">
        <is>
          <t>128</t>
        </is>
      </c>
      <c r="G386" s="43" t="inlineStr">
        <is>
          <t>09</t>
        </is>
      </c>
      <c r="H386" s="43" t="n">
        <v>1320</v>
      </c>
      <c r="I386" s="43" t="n">
        <v>970</v>
      </c>
      <c r="J386" s="43" t="inlineStr">
        <is>
          <t>設定可</t>
        </is>
      </c>
      <c r="K386" s="43" t="b">
        <v>1</v>
      </c>
      <c r="L386" s="43" t="inlineStr">
        <is>
          <t>103</t>
        </is>
      </c>
      <c r="M386" s="43" t="inlineStr">
        <is>
          <t>¥77,300 / ¥83,700</t>
        </is>
      </c>
    </row>
    <row r="387">
      <c r="A387" s="43" t="inlineStr">
        <is>
          <t>SZ-SL-000720</t>
        </is>
      </c>
      <c r="B387" s="43" t="inlineStr">
        <is>
          <t>面格子付引違い窓</t>
        </is>
      </c>
      <c r="C387" s="43" t="inlineStr">
        <is>
          <t>SP-SL-GRILLE-H</t>
        </is>
      </c>
      <c r="D387" s="43" t="inlineStr">
        <is>
          <t>在来・204</t>
        </is>
      </c>
      <c r="E387" s="43" t="inlineStr">
        <is>
          <t>08009</t>
        </is>
      </c>
      <c r="F387" s="43" t="inlineStr">
        <is>
          <t>080</t>
        </is>
      </c>
      <c r="G387" s="43" t="inlineStr">
        <is>
          <t>09</t>
        </is>
      </c>
      <c r="H387" s="43" t="n">
        <v>845</v>
      </c>
      <c r="I387" s="43" t="n">
        <v>970</v>
      </c>
      <c r="J387" s="43" t="inlineStr">
        <is>
          <t>設定可</t>
        </is>
      </c>
      <c r="K387" s="43" t="b">
        <v>1</v>
      </c>
      <c r="L387" s="43" t="inlineStr">
        <is>
          <t>103</t>
        </is>
      </c>
      <c r="M387" s="43" t="inlineStr">
        <is>
          <t>¥59,900 / ¥64,500</t>
        </is>
      </c>
    </row>
    <row r="388">
      <c r="A388" s="43" t="inlineStr">
        <is>
          <t>SZ-SL-000721</t>
        </is>
      </c>
      <c r="B388" s="43" t="inlineStr">
        <is>
          <t>面格子付引違い窓</t>
        </is>
      </c>
      <c r="C388" s="43" t="inlineStr">
        <is>
          <t>SP-SL-GRILLE-H</t>
        </is>
      </c>
      <c r="D388" s="43" t="inlineStr">
        <is>
          <t>在来・204</t>
        </is>
      </c>
      <c r="E388" s="43" t="inlineStr">
        <is>
          <t>08309</t>
        </is>
      </c>
      <c r="F388" s="43" t="inlineStr">
        <is>
          <t>083</t>
        </is>
      </c>
      <c r="G388" s="43" t="inlineStr">
        <is>
          <t>09</t>
        </is>
      </c>
      <c r="H388" s="43" t="n">
        <v>870</v>
      </c>
      <c r="I388" s="43" t="n">
        <v>970</v>
      </c>
      <c r="J388" s="43" t="inlineStr">
        <is>
          <t>設定可</t>
        </is>
      </c>
      <c r="K388" s="43" t="b">
        <v>1</v>
      </c>
      <c r="L388" s="43" t="inlineStr">
        <is>
          <t>103</t>
        </is>
      </c>
      <c r="M388" s="43" t="inlineStr">
        <is>
          <t>¥59,900 / ¥64,500</t>
        </is>
      </c>
    </row>
    <row r="389">
      <c r="A389" s="43" t="inlineStr">
        <is>
          <t>SZ-SL-000722</t>
        </is>
      </c>
      <c r="B389" s="43" t="inlineStr">
        <is>
          <t>面格子付引違い窓</t>
        </is>
      </c>
      <c r="C389" s="43" t="inlineStr">
        <is>
          <t>SP-SL-GRILLE-H</t>
        </is>
      </c>
      <c r="D389" s="43" t="inlineStr">
        <is>
          <t>在来・204</t>
        </is>
      </c>
      <c r="E389" s="43" t="inlineStr">
        <is>
          <t>11409</t>
        </is>
      </c>
      <c r="F389" s="43" t="inlineStr">
        <is>
          <t>114</t>
        </is>
      </c>
      <c r="G389" s="43" t="inlineStr">
        <is>
          <t>09</t>
        </is>
      </c>
      <c r="H389" s="43" t="n">
        <v>1185</v>
      </c>
      <c r="I389" s="43" t="n">
        <v>970</v>
      </c>
      <c r="J389" s="43" t="inlineStr">
        <is>
          <t>設定可</t>
        </is>
      </c>
      <c r="K389" s="43" t="b">
        <v>1</v>
      </c>
      <c r="L389" s="43" t="inlineStr">
        <is>
          <t>103</t>
        </is>
      </c>
      <c r="M389" s="43" t="inlineStr">
        <is>
          <t>¥72,600 / ¥78,200</t>
        </is>
      </c>
    </row>
    <row r="390">
      <c r="A390" s="43" t="inlineStr">
        <is>
          <t>SZ-SL-000723</t>
        </is>
      </c>
      <c r="B390" s="43" t="inlineStr">
        <is>
          <t>面格子付引違い窓</t>
        </is>
      </c>
      <c r="C390" s="43" t="inlineStr">
        <is>
          <t>SP-SL-GRILLE-H</t>
        </is>
      </c>
      <c r="D390" s="43" t="inlineStr">
        <is>
          <t>在来・204</t>
        </is>
      </c>
      <c r="E390" s="43" t="inlineStr">
        <is>
          <t>11909</t>
        </is>
      </c>
      <c r="F390" s="43" t="inlineStr">
        <is>
          <t>119</t>
        </is>
      </c>
      <c r="G390" s="43" t="inlineStr">
        <is>
          <t>09</t>
        </is>
      </c>
      <c r="H390" s="43" t="n">
        <v>1235</v>
      </c>
      <c r="I390" s="43" t="n">
        <v>970</v>
      </c>
      <c r="J390" s="43" t="inlineStr">
        <is>
          <t>設定可</t>
        </is>
      </c>
      <c r="K390" s="43" t="b">
        <v>1</v>
      </c>
      <c r="L390" s="43" t="inlineStr">
        <is>
          <t>103</t>
        </is>
      </c>
      <c r="M390" s="43" t="inlineStr">
        <is>
          <t>¥72,600 / ¥78,200</t>
        </is>
      </c>
    </row>
    <row r="391">
      <c r="A391" s="43" t="inlineStr">
        <is>
          <t>SZ-SL-000724</t>
        </is>
      </c>
      <c r="B391" s="43" t="inlineStr">
        <is>
          <t>面格子付引違い窓</t>
        </is>
      </c>
      <c r="C391" s="43" t="inlineStr">
        <is>
          <t>SP-SL-GRILLE-H</t>
        </is>
      </c>
      <c r="D391" s="43" t="inlineStr">
        <is>
          <t>在来・204</t>
        </is>
      </c>
      <c r="E391" s="43" t="inlineStr">
        <is>
          <t>12809</t>
        </is>
      </c>
      <c r="F391" s="43" t="inlineStr">
        <is>
          <t>128</t>
        </is>
      </c>
      <c r="G391" s="43" t="inlineStr">
        <is>
          <t>09</t>
        </is>
      </c>
      <c r="H391" s="43" t="n">
        <v>1320</v>
      </c>
      <c r="I391" s="43" t="n">
        <v>970</v>
      </c>
      <c r="J391" s="43" t="inlineStr">
        <is>
          <t>設定可</t>
        </is>
      </c>
      <c r="K391" s="43" t="b">
        <v>1</v>
      </c>
      <c r="L391" s="43" t="inlineStr">
        <is>
          <t>103</t>
        </is>
      </c>
      <c r="M391" s="43" t="inlineStr">
        <is>
          <t>¥77,300 / ¥83,700</t>
        </is>
      </c>
    </row>
    <row r="392">
      <c r="A392" s="43" t="inlineStr">
        <is>
          <t>SZ-SL-000725</t>
        </is>
      </c>
      <c r="B392" s="43" t="inlineStr">
        <is>
          <t>面格子付引違い窓</t>
        </is>
      </c>
      <c r="C392" s="43" t="inlineStr">
        <is>
          <t>SP-SL-GRILLE-IGETA</t>
        </is>
      </c>
      <c r="D392" s="43" t="inlineStr">
        <is>
          <t>在来・204</t>
        </is>
      </c>
      <c r="E392" s="43" t="inlineStr">
        <is>
          <t>08009</t>
        </is>
      </c>
      <c r="F392" s="43" t="inlineStr">
        <is>
          <t>080</t>
        </is>
      </c>
      <c r="G392" s="43" t="inlineStr">
        <is>
          <t>09</t>
        </is>
      </c>
      <c r="H392" s="43" t="n">
        <v>845</v>
      </c>
      <c r="I392" s="43" t="n">
        <v>970</v>
      </c>
      <c r="J392" s="43" t="inlineStr">
        <is>
          <t>設定可</t>
        </is>
      </c>
      <c r="K392" s="43" t="b">
        <v>1</v>
      </c>
      <c r="L392" s="43" t="inlineStr">
        <is>
          <t>103</t>
        </is>
      </c>
      <c r="M392" s="43" t="inlineStr">
        <is>
          <t>¥59,900 / ¥64,500</t>
        </is>
      </c>
    </row>
    <row r="393">
      <c r="A393" s="43" t="inlineStr">
        <is>
          <t>SZ-SL-000726</t>
        </is>
      </c>
      <c r="B393" s="43" t="inlineStr">
        <is>
          <t>面格子付引違い窓</t>
        </is>
      </c>
      <c r="C393" s="43" t="inlineStr">
        <is>
          <t>SP-SL-GRILLE-IGETA</t>
        </is>
      </c>
      <c r="D393" s="43" t="inlineStr">
        <is>
          <t>在来・204</t>
        </is>
      </c>
      <c r="E393" s="43" t="inlineStr">
        <is>
          <t>08309</t>
        </is>
      </c>
      <c r="F393" s="43" t="inlineStr">
        <is>
          <t>083</t>
        </is>
      </c>
      <c r="G393" s="43" t="inlineStr">
        <is>
          <t>09</t>
        </is>
      </c>
      <c r="H393" s="43" t="n">
        <v>870</v>
      </c>
      <c r="I393" s="43" t="n">
        <v>970</v>
      </c>
      <c r="J393" s="43" t="inlineStr">
        <is>
          <t>設定可</t>
        </is>
      </c>
      <c r="K393" s="43" t="b">
        <v>1</v>
      </c>
      <c r="L393" s="43" t="inlineStr">
        <is>
          <t>103</t>
        </is>
      </c>
      <c r="M393" s="43" t="inlineStr">
        <is>
          <t>¥59,900 / ¥64,500</t>
        </is>
      </c>
    </row>
    <row r="394">
      <c r="A394" s="43" t="inlineStr">
        <is>
          <t>SZ-SL-000727</t>
        </is>
      </c>
      <c r="B394" s="43" t="inlineStr">
        <is>
          <t>面格子付引違い窓</t>
        </is>
      </c>
      <c r="C394" s="43" t="inlineStr">
        <is>
          <t>SP-SL-GRILLE-IGETA</t>
        </is>
      </c>
      <c r="D394" s="43" t="inlineStr">
        <is>
          <t>在来・204</t>
        </is>
      </c>
      <c r="E394" s="43" t="inlineStr">
        <is>
          <t>11409</t>
        </is>
      </c>
      <c r="F394" s="43" t="inlineStr">
        <is>
          <t>114</t>
        </is>
      </c>
      <c r="G394" s="43" t="inlineStr">
        <is>
          <t>09</t>
        </is>
      </c>
      <c r="H394" s="43" t="n">
        <v>1185</v>
      </c>
      <c r="I394" s="43" t="n">
        <v>970</v>
      </c>
      <c r="J394" s="43" t="inlineStr">
        <is>
          <t>設定可</t>
        </is>
      </c>
      <c r="K394" s="43" t="b">
        <v>1</v>
      </c>
      <c r="L394" s="43" t="inlineStr">
        <is>
          <t>103</t>
        </is>
      </c>
      <c r="M394" s="43" t="inlineStr">
        <is>
          <t>¥72,600 / ¥78,200</t>
        </is>
      </c>
    </row>
    <row r="395">
      <c r="A395" s="43" t="inlineStr">
        <is>
          <t>SZ-SL-000728</t>
        </is>
      </c>
      <c r="B395" s="43" t="inlineStr">
        <is>
          <t>面格子付引違い窓</t>
        </is>
      </c>
      <c r="C395" s="43" t="inlineStr">
        <is>
          <t>SP-SL-GRILLE-IGETA</t>
        </is>
      </c>
      <c r="D395" s="43" t="inlineStr">
        <is>
          <t>在来・204</t>
        </is>
      </c>
      <c r="E395" s="43" t="inlineStr">
        <is>
          <t>11909</t>
        </is>
      </c>
      <c r="F395" s="43" t="inlineStr">
        <is>
          <t>119</t>
        </is>
      </c>
      <c r="G395" s="43" t="inlineStr">
        <is>
          <t>09</t>
        </is>
      </c>
      <c r="H395" s="43" t="n">
        <v>1235</v>
      </c>
      <c r="I395" s="43" t="n">
        <v>970</v>
      </c>
      <c r="J395" s="43" t="inlineStr">
        <is>
          <t>設定可</t>
        </is>
      </c>
      <c r="K395" s="43" t="b">
        <v>1</v>
      </c>
      <c r="L395" s="43" t="inlineStr">
        <is>
          <t>103</t>
        </is>
      </c>
      <c r="M395" s="43" t="inlineStr">
        <is>
          <t>¥72,600 / ¥78,200</t>
        </is>
      </c>
    </row>
    <row r="396">
      <c r="A396" s="43" t="inlineStr">
        <is>
          <t>SZ-SL-000729</t>
        </is>
      </c>
      <c r="B396" s="43" t="inlineStr">
        <is>
          <t>面格子付引違い窓</t>
        </is>
      </c>
      <c r="C396" s="43" t="inlineStr">
        <is>
          <t>SP-SL-GRILLE-IGETA</t>
        </is>
      </c>
      <c r="D396" s="43" t="inlineStr">
        <is>
          <t>在来・204</t>
        </is>
      </c>
      <c r="E396" s="43" t="inlineStr">
        <is>
          <t>12809</t>
        </is>
      </c>
      <c r="F396" s="43" t="inlineStr">
        <is>
          <t>128</t>
        </is>
      </c>
      <c r="G396" s="43" t="inlineStr">
        <is>
          <t>09</t>
        </is>
      </c>
      <c r="H396" s="43" t="n">
        <v>1320</v>
      </c>
      <c r="I396" s="43" t="n">
        <v>970</v>
      </c>
      <c r="J396" s="43" t="inlineStr">
        <is>
          <t>設定可</t>
        </is>
      </c>
      <c r="K396" s="43" t="b">
        <v>1</v>
      </c>
      <c r="L396" s="43" t="inlineStr">
        <is>
          <t>103</t>
        </is>
      </c>
      <c r="M396" s="43" t="inlineStr">
        <is>
          <t>¥77,300 / ¥83,700</t>
        </is>
      </c>
    </row>
    <row r="397">
      <c r="A397" s="43" t="inlineStr">
        <is>
          <t>SZ-SL-000730</t>
        </is>
      </c>
      <c r="B397" s="43" t="inlineStr">
        <is>
          <t>面格子付引違い窓</t>
        </is>
      </c>
      <c r="C397" s="43" t="inlineStr">
        <is>
          <t>SP-SL-GRILLE-V</t>
        </is>
      </c>
      <c r="D397" s="43" t="inlineStr">
        <is>
          <t>在来・204</t>
        </is>
      </c>
      <c r="E397" s="43" t="inlineStr">
        <is>
          <t>08009</t>
        </is>
      </c>
      <c r="F397" s="43" t="inlineStr">
        <is>
          <t>080</t>
        </is>
      </c>
      <c r="G397" s="43" t="inlineStr">
        <is>
          <t>09</t>
        </is>
      </c>
      <c r="H397" s="43" t="n">
        <v>845</v>
      </c>
      <c r="I397" s="43" t="n">
        <v>970</v>
      </c>
      <c r="J397" s="43" t="inlineStr">
        <is>
          <t>設定可</t>
        </is>
      </c>
      <c r="K397" s="43" t="b">
        <v>1</v>
      </c>
      <c r="L397" s="43" t="inlineStr">
        <is>
          <t>103</t>
        </is>
      </c>
      <c r="M397" s="43" t="inlineStr">
        <is>
          <t>¥50,200 / ¥54,300</t>
        </is>
      </c>
    </row>
    <row r="398">
      <c r="A398" s="43" t="inlineStr">
        <is>
          <t>SZ-SL-000731</t>
        </is>
      </c>
      <c r="B398" s="43" t="inlineStr">
        <is>
          <t>面格子付引違い窓</t>
        </is>
      </c>
      <c r="C398" s="43" t="inlineStr">
        <is>
          <t>SP-SL-GRILLE-V</t>
        </is>
      </c>
      <c r="D398" s="43" t="inlineStr">
        <is>
          <t>在来・204</t>
        </is>
      </c>
      <c r="E398" s="43" t="inlineStr">
        <is>
          <t>08309</t>
        </is>
      </c>
      <c r="F398" s="43" t="inlineStr">
        <is>
          <t>083</t>
        </is>
      </c>
      <c r="G398" s="43" t="inlineStr">
        <is>
          <t>09</t>
        </is>
      </c>
      <c r="H398" s="43" t="n">
        <v>870</v>
      </c>
      <c r="I398" s="43" t="n">
        <v>970</v>
      </c>
      <c r="J398" s="43" t="inlineStr">
        <is>
          <t>設定可</t>
        </is>
      </c>
      <c r="K398" s="43" t="b">
        <v>1</v>
      </c>
      <c r="L398" s="43" t="inlineStr">
        <is>
          <t>103</t>
        </is>
      </c>
      <c r="M398" s="43" t="inlineStr">
        <is>
          <t>¥50,200 / ¥54,300</t>
        </is>
      </c>
    </row>
    <row r="399">
      <c r="A399" s="43" t="inlineStr">
        <is>
          <t>SZ-SL-000732</t>
        </is>
      </c>
      <c r="B399" s="43" t="inlineStr">
        <is>
          <t>面格子付引違い窓</t>
        </is>
      </c>
      <c r="C399" s="43" t="inlineStr">
        <is>
          <t>SP-SL-GRILLE-V</t>
        </is>
      </c>
      <c r="D399" s="43" t="inlineStr">
        <is>
          <t>在来・204</t>
        </is>
      </c>
      <c r="E399" s="43" t="inlineStr">
        <is>
          <t>11409</t>
        </is>
      </c>
      <c r="F399" s="43" t="inlineStr">
        <is>
          <t>114</t>
        </is>
      </c>
      <c r="G399" s="43" t="inlineStr">
        <is>
          <t>09</t>
        </is>
      </c>
      <c r="H399" s="43" t="n">
        <v>1185</v>
      </c>
      <c r="I399" s="43" t="n">
        <v>970</v>
      </c>
      <c r="J399" s="43" t="inlineStr">
        <is>
          <t>設定可</t>
        </is>
      </c>
      <c r="K399" s="43" t="b">
        <v>1</v>
      </c>
      <c r="L399" s="43" t="inlineStr">
        <is>
          <t>103</t>
        </is>
      </c>
      <c r="M399" s="43" t="inlineStr">
        <is>
          <t>¥60,100 / ¥65,000</t>
        </is>
      </c>
    </row>
    <row r="400">
      <c r="A400" s="43" t="inlineStr">
        <is>
          <t>SZ-SL-000733</t>
        </is>
      </c>
      <c r="B400" s="43" t="inlineStr">
        <is>
          <t>面格子付引違い窓</t>
        </is>
      </c>
      <c r="C400" s="43" t="inlineStr">
        <is>
          <t>SP-SL-GRILLE-V</t>
        </is>
      </c>
      <c r="D400" s="43" t="inlineStr">
        <is>
          <t>在来・204</t>
        </is>
      </c>
      <c r="E400" s="43" t="inlineStr">
        <is>
          <t>11909</t>
        </is>
      </c>
      <c r="F400" s="43" t="inlineStr">
        <is>
          <t>119</t>
        </is>
      </c>
      <c r="G400" s="43" t="inlineStr">
        <is>
          <t>09</t>
        </is>
      </c>
      <c r="H400" s="43" t="n">
        <v>1235</v>
      </c>
      <c r="I400" s="43" t="n">
        <v>970</v>
      </c>
      <c r="J400" s="43" t="inlineStr">
        <is>
          <t>設定可</t>
        </is>
      </c>
      <c r="K400" s="43" t="b">
        <v>1</v>
      </c>
      <c r="L400" s="43" t="inlineStr">
        <is>
          <t>103</t>
        </is>
      </c>
      <c r="M400" s="43" t="inlineStr">
        <is>
          <t>¥60,100 / ¥65,000</t>
        </is>
      </c>
    </row>
    <row r="401">
      <c r="A401" s="43" t="inlineStr">
        <is>
          <t>SZ-SL-000734</t>
        </is>
      </c>
      <c r="B401" s="43" t="inlineStr">
        <is>
          <t>面格子付引違い窓</t>
        </is>
      </c>
      <c r="C401" s="43" t="inlineStr">
        <is>
          <t>SP-SL-GRILLE-V</t>
        </is>
      </c>
      <c r="D401" s="43" t="inlineStr">
        <is>
          <t>在来・204</t>
        </is>
      </c>
      <c r="E401" s="43" t="inlineStr">
        <is>
          <t>12809</t>
        </is>
      </c>
      <c r="F401" s="43" t="inlineStr">
        <is>
          <t>128</t>
        </is>
      </c>
      <c r="G401" s="43" t="inlineStr">
        <is>
          <t>09</t>
        </is>
      </c>
      <c r="H401" s="43" t="n">
        <v>1320</v>
      </c>
      <c r="I401" s="43" t="n">
        <v>970</v>
      </c>
      <c r="J401" s="43" t="inlineStr">
        <is>
          <t>設定可</t>
        </is>
      </c>
      <c r="K401" s="43" t="b">
        <v>1</v>
      </c>
      <c r="L401" s="43" t="inlineStr">
        <is>
          <t>103</t>
        </is>
      </c>
      <c r="M401" s="43" t="inlineStr">
        <is>
          <t>¥64,100 / ¥69,700</t>
        </is>
      </c>
    </row>
    <row r="402">
      <c r="A402" s="43" t="inlineStr">
        <is>
          <t>SZ-SL-000735</t>
        </is>
      </c>
      <c r="B402" s="43" t="inlineStr">
        <is>
          <t>面格子付引違い窓</t>
        </is>
      </c>
      <c r="C402" s="43" t="inlineStr">
        <is>
          <t>SP-SL-GRILLE-DIA</t>
        </is>
      </c>
      <c r="D402" s="43" t="inlineStr">
        <is>
          <t>在来・204</t>
        </is>
      </c>
      <c r="E402" s="43" t="inlineStr">
        <is>
          <t>13309</t>
        </is>
      </c>
      <c r="F402" s="43" t="inlineStr">
        <is>
          <t>133</t>
        </is>
      </c>
      <c r="G402" s="43" t="inlineStr">
        <is>
          <t>09</t>
        </is>
      </c>
      <c r="H402" s="43" t="n">
        <v>1370</v>
      </c>
      <c r="I402" s="43" t="n">
        <v>970</v>
      </c>
      <c r="J402" s="43" t="inlineStr">
        <is>
          <t>設定可</t>
        </is>
      </c>
      <c r="K402" s="43" t="b">
        <v>1</v>
      </c>
      <c r="L402" s="43" t="inlineStr">
        <is>
          <t>104</t>
        </is>
      </c>
      <c r="M402" s="43" t="inlineStr">
        <is>
          <t>¥77,300 / ¥83,700</t>
        </is>
      </c>
    </row>
    <row r="403">
      <c r="A403" s="43" t="inlineStr">
        <is>
          <t>SZ-SL-000736</t>
        </is>
      </c>
      <c r="B403" s="43" t="inlineStr">
        <is>
          <t>面格子付引違い窓</t>
        </is>
      </c>
      <c r="C403" s="43" t="inlineStr">
        <is>
          <t>SP-SL-GRILLE-DIA</t>
        </is>
      </c>
      <c r="D403" s="43" t="inlineStr">
        <is>
          <t>在来・204</t>
        </is>
      </c>
      <c r="E403" s="43" t="inlineStr">
        <is>
          <t>15009</t>
        </is>
      </c>
      <c r="F403" s="43" t="inlineStr">
        <is>
          <t>150</t>
        </is>
      </c>
      <c r="G403" s="43" t="inlineStr">
        <is>
          <t>09</t>
        </is>
      </c>
      <c r="H403" s="43" t="n">
        <v>1540</v>
      </c>
      <c r="I403" s="43" t="n">
        <v>970</v>
      </c>
      <c r="J403" s="43" t="inlineStr">
        <is>
          <t>設定可</t>
        </is>
      </c>
      <c r="K403" s="43" t="b">
        <v>1</v>
      </c>
      <c r="L403" s="43" t="inlineStr">
        <is>
          <t>104</t>
        </is>
      </c>
      <c r="M403" s="43" t="inlineStr">
        <is>
          <t>¥84,300 / ¥90,900</t>
        </is>
      </c>
    </row>
    <row r="404">
      <c r="A404" s="43" t="inlineStr">
        <is>
          <t>SZ-SL-000737</t>
        </is>
      </c>
      <c r="B404" s="43" t="inlineStr">
        <is>
          <t>面格子付引違い窓</t>
        </is>
      </c>
      <c r="C404" s="43" t="inlineStr">
        <is>
          <t>SP-SL-GRILLE-DIA</t>
        </is>
      </c>
      <c r="D404" s="43" t="inlineStr">
        <is>
          <t>在来・204</t>
        </is>
      </c>
      <c r="E404" s="43" t="inlineStr">
        <is>
          <t>16009</t>
        </is>
      </c>
      <c r="F404" s="43" t="inlineStr">
        <is>
          <t>160</t>
        </is>
      </c>
      <c r="G404" s="43" t="inlineStr">
        <is>
          <t>09</t>
        </is>
      </c>
      <c r="H404" s="43" t="n">
        <v>1640</v>
      </c>
      <c r="I404" s="43" t="n">
        <v>970</v>
      </c>
      <c r="J404" s="43" t="inlineStr">
        <is>
          <t>設定可</t>
        </is>
      </c>
      <c r="K404" s="43" t="b">
        <v>1</v>
      </c>
      <c r="L404" s="43" t="inlineStr">
        <is>
          <t>104</t>
        </is>
      </c>
      <c r="M404" s="43" t="inlineStr">
        <is>
          <t>¥86,200 / ¥93,000</t>
        </is>
      </c>
    </row>
    <row r="405">
      <c r="A405" s="43" t="inlineStr">
        <is>
          <t>SZ-SL-000738</t>
        </is>
      </c>
      <c r="B405" s="43" t="inlineStr">
        <is>
          <t>面格子付引違い窓</t>
        </is>
      </c>
      <c r="C405" s="43" t="inlineStr">
        <is>
          <t>SP-SL-GRILLE-DIA</t>
        </is>
      </c>
      <c r="D405" s="43" t="inlineStr">
        <is>
          <t>在来・204</t>
        </is>
      </c>
      <c r="E405" s="43" t="inlineStr">
        <is>
          <t>16509</t>
        </is>
      </c>
      <c r="F405" s="43" t="inlineStr">
        <is>
          <t>165</t>
        </is>
      </c>
      <c r="G405" s="43" t="inlineStr">
        <is>
          <t>09</t>
        </is>
      </c>
      <c r="H405" s="43" t="n">
        <v>1690</v>
      </c>
      <c r="I405" s="43" t="n">
        <v>970</v>
      </c>
      <c r="J405" s="43" t="inlineStr">
        <is>
          <t>設定可</t>
        </is>
      </c>
      <c r="K405" s="43" t="b">
        <v>1</v>
      </c>
      <c r="L405" s="43" t="inlineStr">
        <is>
          <t>104</t>
        </is>
      </c>
      <c r="M405" s="43" t="inlineStr">
        <is>
          <t>¥86,200 / ¥93,000</t>
        </is>
      </c>
    </row>
    <row r="406">
      <c r="A406" s="43" t="inlineStr">
        <is>
          <t>SZ-SL-000739</t>
        </is>
      </c>
      <c r="B406" s="43" t="inlineStr">
        <is>
          <t>面格子付引違い窓</t>
        </is>
      </c>
      <c r="C406" s="43" t="inlineStr">
        <is>
          <t>SP-SL-GRILLE-H</t>
        </is>
      </c>
      <c r="D406" s="43" t="inlineStr">
        <is>
          <t>在来・204</t>
        </is>
      </c>
      <c r="E406" s="43" t="inlineStr">
        <is>
          <t>13309</t>
        </is>
      </c>
      <c r="F406" s="43" t="inlineStr">
        <is>
          <t>133</t>
        </is>
      </c>
      <c r="G406" s="43" t="inlineStr">
        <is>
          <t>09</t>
        </is>
      </c>
      <c r="H406" s="43" t="n">
        <v>1370</v>
      </c>
      <c r="I406" s="43" t="n">
        <v>970</v>
      </c>
      <c r="J406" s="43" t="inlineStr">
        <is>
          <t>設定可</t>
        </is>
      </c>
      <c r="K406" s="43" t="b">
        <v>1</v>
      </c>
      <c r="L406" s="43" t="inlineStr">
        <is>
          <t>104</t>
        </is>
      </c>
      <c r="M406" s="43" t="inlineStr">
        <is>
          <t>¥77,300 / ¥83,700</t>
        </is>
      </c>
    </row>
    <row r="407">
      <c r="A407" s="43" t="inlineStr">
        <is>
          <t>SZ-SL-000740</t>
        </is>
      </c>
      <c r="B407" s="43" t="inlineStr">
        <is>
          <t>面格子付引違い窓</t>
        </is>
      </c>
      <c r="C407" s="43" t="inlineStr">
        <is>
          <t>SP-SL-GRILLE-H</t>
        </is>
      </c>
      <c r="D407" s="43" t="inlineStr">
        <is>
          <t>在来・204</t>
        </is>
      </c>
      <c r="E407" s="43" t="inlineStr">
        <is>
          <t>15009</t>
        </is>
      </c>
      <c r="F407" s="43" t="inlineStr">
        <is>
          <t>150</t>
        </is>
      </c>
      <c r="G407" s="43" t="inlineStr">
        <is>
          <t>09</t>
        </is>
      </c>
      <c r="H407" s="43" t="n">
        <v>1540</v>
      </c>
      <c r="I407" s="43" t="n">
        <v>970</v>
      </c>
      <c r="J407" s="43" t="inlineStr">
        <is>
          <t>設定なし</t>
        </is>
      </c>
      <c r="K407" s="43" t="b">
        <v>0</v>
      </c>
      <c r="L407" s="43" t="inlineStr">
        <is>
          <t>104</t>
        </is>
      </c>
      <c r="M407" s="43" t="inlineStr">
        <is>
          <t>＿＿</t>
        </is>
      </c>
    </row>
    <row r="408">
      <c r="A408" s="43" t="inlineStr">
        <is>
          <t>SZ-SL-000741</t>
        </is>
      </c>
      <c r="B408" s="43" t="inlineStr">
        <is>
          <t>面格子付引違い窓</t>
        </is>
      </c>
      <c r="C408" s="43" t="inlineStr">
        <is>
          <t>SP-SL-GRILLE-H</t>
        </is>
      </c>
      <c r="D408" s="43" t="inlineStr">
        <is>
          <t>在来・204</t>
        </is>
      </c>
      <c r="E408" s="43" t="inlineStr">
        <is>
          <t>16009</t>
        </is>
      </c>
      <c r="F408" s="43" t="inlineStr">
        <is>
          <t>160</t>
        </is>
      </c>
      <c r="G408" s="43" t="inlineStr">
        <is>
          <t>09</t>
        </is>
      </c>
      <c r="H408" s="43" t="n">
        <v>1640</v>
      </c>
      <c r="I408" s="43" t="n">
        <v>970</v>
      </c>
      <c r="J408" s="43" t="inlineStr">
        <is>
          <t>設定なし</t>
        </is>
      </c>
      <c r="K408" s="43" t="b">
        <v>0</v>
      </c>
      <c r="L408" s="43" t="inlineStr">
        <is>
          <t>104</t>
        </is>
      </c>
      <c r="M408" s="43" t="inlineStr">
        <is>
          <t>＿＿</t>
        </is>
      </c>
    </row>
    <row r="409">
      <c r="A409" s="43" t="inlineStr">
        <is>
          <t>SZ-SL-000742</t>
        </is>
      </c>
      <c r="B409" s="43" t="inlineStr">
        <is>
          <t>面格子付引違い窓</t>
        </is>
      </c>
      <c r="C409" s="43" t="inlineStr">
        <is>
          <t>SP-SL-GRILLE-H</t>
        </is>
      </c>
      <c r="D409" s="43" t="inlineStr">
        <is>
          <t>在来・204</t>
        </is>
      </c>
      <c r="E409" s="43" t="inlineStr">
        <is>
          <t>16509</t>
        </is>
      </c>
      <c r="F409" s="43" t="inlineStr">
        <is>
          <t>165</t>
        </is>
      </c>
      <c r="G409" s="43" t="inlineStr">
        <is>
          <t>09</t>
        </is>
      </c>
      <c r="H409" s="43" t="n">
        <v>1690</v>
      </c>
      <c r="I409" s="43" t="n">
        <v>970</v>
      </c>
      <c r="J409" s="43" t="inlineStr">
        <is>
          <t>設定なし</t>
        </is>
      </c>
      <c r="K409" s="43" t="b">
        <v>0</v>
      </c>
      <c r="L409" s="43" t="inlineStr">
        <is>
          <t>104</t>
        </is>
      </c>
      <c r="M409" s="43" t="inlineStr">
        <is>
          <t>＿＿</t>
        </is>
      </c>
    </row>
    <row r="410">
      <c r="A410" s="43" t="inlineStr">
        <is>
          <t>SZ-SL-000743</t>
        </is>
      </c>
      <c r="B410" s="43" t="inlineStr">
        <is>
          <t>面格子付引違い窓</t>
        </is>
      </c>
      <c r="C410" s="43" t="inlineStr">
        <is>
          <t>SP-SL-GRILLE-IGETA</t>
        </is>
      </c>
      <c r="D410" s="43" t="inlineStr">
        <is>
          <t>在来・204</t>
        </is>
      </c>
      <c r="E410" s="43" t="inlineStr">
        <is>
          <t>13309</t>
        </is>
      </c>
      <c r="F410" s="43" t="inlineStr">
        <is>
          <t>133</t>
        </is>
      </c>
      <c r="G410" s="43" t="inlineStr">
        <is>
          <t>09</t>
        </is>
      </c>
      <c r="H410" s="43" t="n">
        <v>1370</v>
      </c>
      <c r="I410" s="43" t="n">
        <v>970</v>
      </c>
      <c r="J410" s="43" t="inlineStr">
        <is>
          <t>設定可</t>
        </is>
      </c>
      <c r="K410" s="43" t="b">
        <v>1</v>
      </c>
      <c r="L410" s="43" t="inlineStr">
        <is>
          <t>104</t>
        </is>
      </c>
      <c r="M410" s="43" t="inlineStr">
        <is>
          <t>¥77,300 / ¥83,700</t>
        </is>
      </c>
    </row>
    <row r="411">
      <c r="A411" s="43" t="inlineStr">
        <is>
          <t>SZ-SL-000744</t>
        </is>
      </c>
      <c r="B411" s="43" t="inlineStr">
        <is>
          <t>面格子付引違い窓</t>
        </is>
      </c>
      <c r="C411" s="43" t="inlineStr">
        <is>
          <t>SP-SL-GRILLE-IGETA</t>
        </is>
      </c>
      <c r="D411" s="43" t="inlineStr">
        <is>
          <t>在来・204</t>
        </is>
      </c>
      <c r="E411" s="43" t="inlineStr">
        <is>
          <t>15009</t>
        </is>
      </c>
      <c r="F411" s="43" t="inlineStr">
        <is>
          <t>150</t>
        </is>
      </c>
      <c r="G411" s="43" t="inlineStr">
        <is>
          <t>09</t>
        </is>
      </c>
      <c r="H411" s="43" t="n">
        <v>1540</v>
      </c>
      <c r="I411" s="43" t="n">
        <v>970</v>
      </c>
      <c r="J411" s="43" t="inlineStr">
        <is>
          <t>設定可</t>
        </is>
      </c>
      <c r="K411" s="43" t="b">
        <v>1</v>
      </c>
      <c r="L411" s="43" t="inlineStr">
        <is>
          <t>104</t>
        </is>
      </c>
      <c r="M411" s="43" t="inlineStr">
        <is>
          <t>¥84,300 / ¥90,900</t>
        </is>
      </c>
    </row>
    <row r="412">
      <c r="A412" s="43" t="inlineStr">
        <is>
          <t>SZ-SL-000745</t>
        </is>
      </c>
      <c r="B412" s="43" t="inlineStr">
        <is>
          <t>面格子付引違い窓</t>
        </is>
      </c>
      <c r="C412" s="43" t="inlineStr">
        <is>
          <t>SP-SL-GRILLE-IGETA</t>
        </is>
      </c>
      <c r="D412" s="43" t="inlineStr">
        <is>
          <t>在来・204</t>
        </is>
      </c>
      <c r="E412" s="43" t="inlineStr">
        <is>
          <t>16009</t>
        </is>
      </c>
      <c r="F412" s="43" t="inlineStr">
        <is>
          <t>160</t>
        </is>
      </c>
      <c r="G412" s="43" t="inlineStr">
        <is>
          <t>09</t>
        </is>
      </c>
      <c r="H412" s="43" t="n">
        <v>1640</v>
      </c>
      <c r="I412" s="43" t="n">
        <v>970</v>
      </c>
      <c r="J412" s="43" t="inlineStr">
        <is>
          <t>設定可</t>
        </is>
      </c>
      <c r="K412" s="43" t="b">
        <v>1</v>
      </c>
      <c r="L412" s="43" t="inlineStr">
        <is>
          <t>104</t>
        </is>
      </c>
      <c r="M412" s="43" t="inlineStr">
        <is>
          <t>¥86,200 / ¥93,000</t>
        </is>
      </c>
    </row>
    <row r="413">
      <c r="A413" s="43" t="inlineStr">
        <is>
          <t>SZ-SL-000746</t>
        </is>
      </c>
      <c r="B413" s="43" t="inlineStr">
        <is>
          <t>面格子付引違い窓</t>
        </is>
      </c>
      <c r="C413" s="43" t="inlineStr">
        <is>
          <t>SP-SL-GRILLE-IGETA</t>
        </is>
      </c>
      <c r="D413" s="43" t="inlineStr">
        <is>
          <t>在来・204</t>
        </is>
      </c>
      <c r="E413" s="43" t="inlineStr">
        <is>
          <t>16509</t>
        </is>
      </c>
      <c r="F413" s="43" t="inlineStr">
        <is>
          <t>165</t>
        </is>
      </c>
      <c r="G413" s="43" t="inlineStr">
        <is>
          <t>09</t>
        </is>
      </c>
      <c r="H413" s="43" t="n">
        <v>1690</v>
      </c>
      <c r="I413" s="43" t="n">
        <v>970</v>
      </c>
      <c r="J413" s="43" t="inlineStr">
        <is>
          <t>設定可</t>
        </is>
      </c>
      <c r="K413" s="43" t="b">
        <v>1</v>
      </c>
      <c r="L413" s="43" t="inlineStr">
        <is>
          <t>104</t>
        </is>
      </c>
      <c r="M413" s="43" t="inlineStr">
        <is>
          <t>¥86,200 / ¥93,000</t>
        </is>
      </c>
    </row>
    <row r="414">
      <c r="A414" s="43" t="inlineStr">
        <is>
          <t>SZ-SL-000747</t>
        </is>
      </c>
      <c r="B414" s="43" t="inlineStr">
        <is>
          <t>面格子付引違い窓</t>
        </is>
      </c>
      <c r="C414" s="43" t="inlineStr">
        <is>
          <t>SP-SL-GRILLE-V</t>
        </is>
      </c>
      <c r="D414" s="43" t="inlineStr">
        <is>
          <t>在来・204</t>
        </is>
      </c>
      <c r="E414" s="43" t="inlineStr">
        <is>
          <t>13309</t>
        </is>
      </c>
      <c r="F414" s="43" t="inlineStr">
        <is>
          <t>133</t>
        </is>
      </c>
      <c r="G414" s="43" t="inlineStr">
        <is>
          <t>09</t>
        </is>
      </c>
      <c r="H414" s="43" t="n">
        <v>1370</v>
      </c>
      <c r="I414" s="43" t="n">
        <v>970</v>
      </c>
      <c r="J414" s="43" t="inlineStr">
        <is>
          <t>設定可</t>
        </is>
      </c>
      <c r="K414" s="43" t="b">
        <v>1</v>
      </c>
      <c r="L414" s="43" t="inlineStr">
        <is>
          <t>104</t>
        </is>
      </c>
      <c r="M414" s="43" t="inlineStr">
        <is>
          <t>¥64,100 / ¥69,700</t>
        </is>
      </c>
    </row>
    <row r="415">
      <c r="A415" s="43" t="inlineStr">
        <is>
          <t>SZ-SL-000748</t>
        </is>
      </c>
      <c r="B415" s="43" t="inlineStr">
        <is>
          <t>面格子付引違い窓</t>
        </is>
      </c>
      <c r="C415" s="43" t="inlineStr">
        <is>
          <t>SP-SL-GRILLE-V</t>
        </is>
      </c>
      <c r="D415" s="43" t="inlineStr">
        <is>
          <t>在来・204</t>
        </is>
      </c>
      <c r="E415" s="43" t="inlineStr">
        <is>
          <t>15009</t>
        </is>
      </c>
      <c r="F415" s="43" t="inlineStr">
        <is>
          <t>150</t>
        </is>
      </c>
      <c r="G415" s="43" t="inlineStr">
        <is>
          <t>09</t>
        </is>
      </c>
      <c r="H415" s="43" t="n">
        <v>1540</v>
      </c>
      <c r="I415" s="43" t="n">
        <v>970</v>
      </c>
      <c r="J415" s="43" t="inlineStr">
        <is>
          <t>設定可</t>
        </is>
      </c>
      <c r="K415" s="43" t="b">
        <v>1</v>
      </c>
      <c r="L415" s="43" t="inlineStr">
        <is>
          <t>104</t>
        </is>
      </c>
      <c r="M415" s="43" t="inlineStr">
        <is>
          <t>¥70,200 / ¥76,100</t>
        </is>
      </c>
    </row>
    <row r="416">
      <c r="A416" s="43" t="inlineStr">
        <is>
          <t>SZ-SL-000749</t>
        </is>
      </c>
      <c r="B416" s="43" t="inlineStr">
        <is>
          <t>面格子付引違い窓</t>
        </is>
      </c>
      <c r="C416" s="43" t="inlineStr">
        <is>
          <t>SP-SL-GRILLE-V</t>
        </is>
      </c>
      <c r="D416" s="43" t="inlineStr">
        <is>
          <t>在来・204</t>
        </is>
      </c>
      <c r="E416" s="43" t="inlineStr">
        <is>
          <t>16009</t>
        </is>
      </c>
      <c r="F416" s="43" t="inlineStr">
        <is>
          <t>160</t>
        </is>
      </c>
      <c r="G416" s="43" t="inlineStr">
        <is>
          <t>09</t>
        </is>
      </c>
      <c r="H416" s="43" t="n">
        <v>1640</v>
      </c>
      <c r="I416" s="43" t="n">
        <v>970</v>
      </c>
      <c r="J416" s="43" t="inlineStr">
        <is>
          <t>設定可</t>
        </is>
      </c>
      <c r="K416" s="43" t="b">
        <v>1</v>
      </c>
      <c r="L416" s="43" t="inlineStr">
        <is>
          <t>104</t>
        </is>
      </c>
      <c r="M416" s="43" t="inlineStr">
        <is>
          <t>¥71,200 / ¥77,300</t>
        </is>
      </c>
    </row>
    <row r="417">
      <c r="A417" s="43" t="inlineStr">
        <is>
          <t>SZ-SL-000750</t>
        </is>
      </c>
      <c r="B417" s="43" t="inlineStr">
        <is>
          <t>面格子付引違い窓</t>
        </is>
      </c>
      <c r="C417" s="43" t="inlineStr">
        <is>
          <t>SP-SL-GRILLE-V</t>
        </is>
      </c>
      <c r="D417" s="43" t="inlineStr">
        <is>
          <t>在来・204</t>
        </is>
      </c>
      <c r="E417" s="43" t="inlineStr">
        <is>
          <t>16509</t>
        </is>
      </c>
      <c r="F417" s="43" t="inlineStr">
        <is>
          <t>165</t>
        </is>
      </c>
      <c r="G417" s="43" t="inlineStr">
        <is>
          <t>09</t>
        </is>
      </c>
      <c r="H417" s="43" t="n">
        <v>1690</v>
      </c>
      <c r="I417" s="43" t="n">
        <v>970</v>
      </c>
      <c r="J417" s="43" t="inlineStr">
        <is>
          <t>設定可</t>
        </is>
      </c>
      <c r="K417" s="43" t="b">
        <v>1</v>
      </c>
      <c r="L417" s="43" t="inlineStr">
        <is>
          <t>104</t>
        </is>
      </c>
      <c r="M417" s="43" t="inlineStr">
        <is>
          <t>¥71,200 / ¥77,300</t>
        </is>
      </c>
    </row>
    <row r="418">
      <c r="A418" s="43" t="inlineStr">
        <is>
          <t>SZ-SL-000751</t>
        </is>
      </c>
      <c r="B418" s="43" t="inlineStr">
        <is>
          <t>面格子付引違い窓</t>
        </is>
      </c>
      <c r="C418" s="43" t="inlineStr">
        <is>
          <t>SP-SL-GRILLE-DIA</t>
        </is>
      </c>
      <c r="D418" s="43" t="inlineStr">
        <is>
          <t>在来・204</t>
        </is>
      </c>
      <c r="E418" s="43" t="inlineStr">
        <is>
          <t>17409</t>
        </is>
      </c>
      <c r="F418" s="43" t="inlineStr">
        <is>
          <t>174</t>
        </is>
      </c>
      <c r="G418" s="43" t="inlineStr">
        <is>
          <t>09</t>
        </is>
      </c>
      <c r="H418" s="43" t="n">
        <v>1780</v>
      </c>
      <c r="I418" s="43" t="n">
        <v>970</v>
      </c>
      <c r="J418" s="43" t="inlineStr">
        <is>
          <t>設定可</t>
        </is>
      </c>
      <c r="K418" s="43" t="b">
        <v>1</v>
      </c>
      <c r="L418" s="43" t="inlineStr">
        <is>
          <t>105</t>
        </is>
      </c>
      <c r="M418" s="43" t="inlineStr">
        <is>
          <t>¥92,000 / ¥99,500</t>
        </is>
      </c>
    </row>
    <row r="419">
      <c r="A419" s="43" t="inlineStr">
        <is>
          <t>SZ-SL-000752</t>
        </is>
      </c>
      <c r="B419" s="43" t="inlineStr">
        <is>
          <t>面格子付引違い窓</t>
        </is>
      </c>
      <c r="C419" s="43" t="inlineStr">
        <is>
          <t>SP-SL-GRILLE-DIA</t>
        </is>
      </c>
      <c r="D419" s="43" t="inlineStr">
        <is>
          <t>在来・204</t>
        </is>
      </c>
      <c r="E419" s="43" t="inlineStr">
        <is>
          <t>17609</t>
        </is>
      </c>
      <c r="F419" s="43" t="inlineStr">
        <is>
          <t>176</t>
        </is>
      </c>
      <c r="G419" s="43" t="inlineStr">
        <is>
          <t>09</t>
        </is>
      </c>
      <c r="H419" s="43" t="n">
        <v>1800</v>
      </c>
      <c r="I419" s="43" t="n">
        <v>970</v>
      </c>
      <c r="J419" s="43" t="inlineStr">
        <is>
          <t>設定可</t>
        </is>
      </c>
      <c r="K419" s="43" t="b">
        <v>1</v>
      </c>
      <c r="L419" s="43" t="inlineStr">
        <is>
          <t>105</t>
        </is>
      </c>
      <c r="M419" s="43" t="inlineStr">
        <is>
          <t>¥92,000 / ¥99,500</t>
        </is>
      </c>
    </row>
    <row r="420">
      <c r="A420" s="43" t="inlineStr">
        <is>
          <t>SZ-SL-000753</t>
        </is>
      </c>
      <c r="B420" s="43" t="inlineStr">
        <is>
          <t>面格子付引違い窓</t>
        </is>
      </c>
      <c r="C420" s="43" t="inlineStr">
        <is>
          <t>SP-SL-GRILLE-DIA</t>
        </is>
      </c>
      <c r="D420" s="43" t="inlineStr">
        <is>
          <t>在来・204</t>
        </is>
      </c>
      <c r="E420" s="43" t="inlineStr">
        <is>
          <t>18009</t>
        </is>
      </c>
      <c r="F420" s="43" t="inlineStr">
        <is>
          <t>180</t>
        </is>
      </c>
      <c r="G420" s="43" t="inlineStr">
        <is>
          <t>09</t>
        </is>
      </c>
      <c r="H420" s="43" t="n">
        <v>1845</v>
      </c>
      <c r="I420" s="43" t="n">
        <v>970</v>
      </c>
      <c r="J420" s="43" t="inlineStr">
        <is>
          <t>設定可</t>
        </is>
      </c>
      <c r="K420" s="43" t="b">
        <v>1</v>
      </c>
      <c r="L420" s="43" t="inlineStr">
        <is>
          <t>105</t>
        </is>
      </c>
      <c r="M420" s="43" t="inlineStr">
        <is>
          <t>¥92,000 / ¥99,500</t>
        </is>
      </c>
    </row>
    <row r="421">
      <c r="A421" s="43" t="inlineStr">
        <is>
          <t>SZ-SL-000754</t>
        </is>
      </c>
      <c r="B421" s="43" t="inlineStr">
        <is>
          <t>面格子付引違い窓</t>
        </is>
      </c>
      <c r="C421" s="43" t="inlineStr">
        <is>
          <t>SP-SL-GRILLE-DIA</t>
        </is>
      </c>
      <c r="D421" s="43" t="inlineStr">
        <is>
          <t>在来・204</t>
        </is>
      </c>
      <c r="E421" s="43" t="inlineStr">
        <is>
          <t>18609</t>
        </is>
      </c>
      <c r="F421" s="43" t="inlineStr">
        <is>
          <t>186</t>
        </is>
      </c>
      <c r="G421" s="43" t="inlineStr">
        <is>
          <t>09</t>
        </is>
      </c>
      <c r="H421" s="43" t="n">
        <v>1900</v>
      </c>
      <c r="I421" s="43" t="n">
        <v>970</v>
      </c>
      <c r="J421" s="43" t="inlineStr">
        <is>
          <t>設定可</t>
        </is>
      </c>
      <c r="K421" s="43" t="b">
        <v>1</v>
      </c>
      <c r="L421" s="43" t="inlineStr">
        <is>
          <t>105</t>
        </is>
      </c>
      <c r="M421" s="43" t="inlineStr">
        <is>
          <t>¥92,000 / ¥99,500</t>
        </is>
      </c>
    </row>
    <row r="422">
      <c r="A422" s="43" t="inlineStr">
        <is>
          <t>SZ-SL-000755</t>
        </is>
      </c>
      <c r="B422" s="43" t="inlineStr">
        <is>
          <t>面格子付引違い窓</t>
        </is>
      </c>
      <c r="C422" s="43" t="inlineStr">
        <is>
          <t>SP-SL-GRILLE-H</t>
        </is>
      </c>
      <c r="D422" s="43" t="inlineStr">
        <is>
          <t>在来・204</t>
        </is>
      </c>
      <c r="E422" s="43" t="inlineStr">
        <is>
          <t>17409</t>
        </is>
      </c>
      <c r="F422" s="43" t="inlineStr">
        <is>
          <t>174</t>
        </is>
      </c>
      <c r="G422" s="43" t="inlineStr">
        <is>
          <t>09</t>
        </is>
      </c>
      <c r="H422" s="43" t="n">
        <v>1780</v>
      </c>
      <c r="I422" s="43" t="n">
        <v>970</v>
      </c>
      <c r="J422" s="43" t="inlineStr">
        <is>
          <t>設定なし</t>
        </is>
      </c>
      <c r="K422" s="43" t="b">
        <v>0</v>
      </c>
      <c r="L422" s="43" t="inlineStr">
        <is>
          <t>105</t>
        </is>
      </c>
      <c r="M422" s="43" t="inlineStr">
        <is>
          <t>＿＿</t>
        </is>
      </c>
    </row>
    <row r="423">
      <c r="A423" s="43" t="inlineStr">
        <is>
          <t>SZ-SL-000756</t>
        </is>
      </c>
      <c r="B423" s="43" t="inlineStr">
        <is>
          <t>面格子付引違い窓</t>
        </is>
      </c>
      <c r="C423" s="43" t="inlineStr">
        <is>
          <t>SP-SL-GRILLE-H</t>
        </is>
      </c>
      <c r="D423" s="43" t="inlineStr">
        <is>
          <t>在来・204</t>
        </is>
      </c>
      <c r="E423" s="43" t="inlineStr">
        <is>
          <t>17609</t>
        </is>
      </c>
      <c r="F423" s="43" t="inlineStr">
        <is>
          <t>176</t>
        </is>
      </c>
      <c r="G423" s="43" t="inlineStr">
        <is>
          <t>09</t>
        </is>
      </c>
      <c r="H423" s="43" t="n">
        <v>1800</v>
      </c>
      <c r="I423" s="43" t="n">
        <v>970</v>
      </c>
      <c r="J423" s="43" t="inlineStr">
        <is>
          <t>設定なし</t>
        </is>
      </c>
      <c r="K423" s="43" t="b">
        <v>0</v>
      </c>
      <c r="L423" s="43" t="inlineStr">
        <is>
          <t>105</t>
        </is>
      </c>
      <c r="M423" s="43" t="inlineStr">
        <is>
          <t>＿＿</t>
        </is>
      </c>
    </row>
    <row r="424">
      <c r="A424" s="43" t="inlineStr">
        <is>
          <t>SZ-SL-000757</t>
        </is>
      </c>
      <c r="B424" s="43" t="inlineStr">
        <is>
          <t>面格子付引違い窓</t>
        </is>
      </c>
      <c r="C424" s="43" t="inlineStr">
        <is>
          <t>SP-SL-GRILLE-H</t>
        </is>
      </c>
      <c r="D424" s="43" t="inlineStr">
        <is>
          <t>在来・204</t>
        </is>
      </c>
      <c r="E424" s="43" t="inlineStr">
        <is>
          <t>18009</t>
        </is>
      </c>
      <c r="F424" s="43" t="inlineStr">
        <is>
          <t>180</t>
        </is>
      </c>
      <c r="G424" s="43" t="inlineStr">
        <is>
          <t>09</t>
        </is>
      </c>
      <c r="H424" s="43" t="n">
        <v>1845</v>
      </c>
      <c r="I424" s="43" t="n">
        <v>970</v>
      </c>
      <c r="J424" s="43" t="inlineStr">
        <is>
          <t>設定なし</t>
        </is>
      </c>
      <c r="K424" s="43" t="b">
        <v>0</v>
      </c>
      <c r="L424" s="43" t="inlineStr">
        <is>
          <t>105</t>
        </is>
      </c>
      <c r="M424" s="43" t="inlineStr">
        <is>
          <t>＿＿</t>
        </is>
      </c>
    </row>
    <row r="425">
      <c r="A425" s="43" t="inlineStr">
        <is>
          <t>SZ-SL-000758</t>
        </is>
      </c>
      <c r="B425" s="43" t="inlineStr">
        <is>
          <t>面格子付引違い窓</t>
        </is>
      </c>
      <c r="C425" s="43" t="inlineStr">
        <is>
          <t>SP-SL-GRILLE-H</t>
        </is>
      </c>
      <c r="D425" s="43" t="inlineStr">
        <is>
          <t>在来・204</t>
        </is>
      </c>
      <c r="E425" s="43" t="inlineStr">
        <is>
          <t>18609</t>
        </is>
      </c>
      <c r="F425" s="43" t="inlineStr">
        <is>
          <t>186</t>
        </is>
      </c>
      <c r="G425" s="43" t="inlineStr">
        <is>
          <t>09</t>
        </is>
      </c>
      <c r="H425" s="43" t="n">
        <v>1900</v>
      </c>
      <c r="I425" s="43" t="n">
        <v>970</v>
      </c>
      <c r="J425" s="43" t="inlineStr">
        <is>
          <t>設定なし</t>
        </is>
      </c>
      <c r="K425" s="43" t="b">
        <v>0</v>
      </c>
      <c r="L425" s="43" t="inlineStr">
        <is>
          <t>105</t>
        </is>
      </c>
      <c r="M425" s="43" t="inlineStr">
        <is>
          <t>＿＿</t>
        </is>
      </c>
    </row>
    <row r="426">
      <c r="A426" s="43" t="inlineStr">
        <is>
          <t>SZ-SL-000759</t>
        </is>
      </c>
      <c r="B426" s="43" t="inlineStr">
        <is>
          <t>面格子付引違い窓</t>
        </is>
      </c>
      <c r="C426" s="43" t="inlineStr">
        <is>
          <t>SP-SL-GRILLE-IGETA</t>
        </is>
      </c>
      <c r="D426" s="43" t="inlineStr">
        <is>
          <t>在来・204</t>
        </is>
      </c>
      <c r="E426" s="43" t="inlineStr">
        <is>
          <t>17409</t>
        </is>
      </c>
      <c r="F426" s="43" t="inlineStr">
        <is>
          <t>174</t>
        </is>
      </c>
      <c r="G426" s="43" t="inlineStr">
        <is>
          <t>09</t>
        </is>
      </c>
      <c r="H426" s="43" t="n">
        <v>1780</v>
      </c>
      <c r="I426" s="43" t="n">
        <v>970</v>
      </c>
      <c r="J426" s="43" t="inlineStr">
        <is>
          <t>設定可</t>
        </is>
      </c>
      <c r="K426" s="43" t="b">
        <v>1</v>
      </c>
      <c r="L426" s="43" t="inlineStr">
        <is>
          <t>105</t>
        </is>
      </c>
      <c r="M426" s="43" t="inlineStr">
        <is>
          <t>¥92,000 / ¥99,500</t>
        </is>
      </c>
    </row>
    <row r="427">
      <c r="A427" s="43" t="inlineStr">
        <is>
          <t>SZ-SL-000760</t>
        </is>
      </c>
      <c r="B427" s="43" t="inlineStr">
        <is>
          <t>面格子付引違い窓</t>
        </is>
      </c>
      <c r="C427" s="43" t="inlineStr">
        <is>
          <t>SP-SL-GRILLE-IGETA</t>
        </is>
      </c>
      <c r="D427" s="43" t="inlineStr">
        <is>
          <t>在来・204</t>
        </is>
      </c>
      <c r="E427" s="43" t="inlineStr">
        <is>
          <t>17609</t>
        </is>
      </c>
      <c r="F427" s="43" t="inlineStr">
        <is>
          <t>176</t>
        </is>
      </c>
      <c r="G427" s="43" t="inlineStr">
        <is>
          <t>09</t>
        </is>
      </c>
      <c r="H427" s="43" t="n">
        <v>1800</v>
      </c>
      <c r="I427" s="43" t="n">
        <v>970</v>
      </c>
      <c r="J427" s="43" t="inlineStr">
        <is>
          <t>設定可</t>
        </is>
      </c>
      <c r="K427" s="43" t="b">
        <v>1</v>
      </c>
      <c r="L427" s="43" t="inlineStr">
        <is>
          <t>105</t>
        </is>
      </c>
      <c r="M427" s="43" t="inlineStr">
        <is>
          <t>¥92,000 / ¥99,500</t>
        </is>
      </c>
    </row>
    <row r="428">
      <c r="A428" s="43" t="inlineStr">
        <is>
          <t>SZ-SL-000761</t>
        </is>
      </c>
      <c r="B428" s="43" t="inlineStr">
        <is>
          <t>面格子付引違い窓</t>
        </is>
      </c>
      <c r="C428" s="43" t="inlineStr">
        <is>
          <t>SP-SL-GRILLE-IGETA</t>
        </is>
      </c>
      <c r="D428" s="43" t="inlineStr">
        <is>
          <t>在来・204</t>
        </is>
      </c>
      <c r="E428" s="43" t="inlineStr">
        <is>
          <t>18009</t>
        </is>
      </c>
      <c r="F428" s="43" t="inlineStr">
        <is>
          <t>180</t>
        </is>
      </c>
      <c r="G428" s="43" t="inlineStr">
        <is>
          <t>09</t>
        </is>
      </c>
      <c r="H428" s="43" t="n">
        <v>1845</v>
      </c>
      <c r="I428" s="43" t="n">
        <v>970</v>
      </c>
      <c r="J428" s="43" t="inlineStr">
        <is>
          <t>設定可</t>
        </is>
      </c>
      <c r="K428" s="43" t="b">
        <v>1</v>
      </c>
      <c r="L428" s="43" t="inlineStr">
        <is>
          <t>105</t>
        </is>
      </c>
      <c r="M428" s="43" t="inlineStr">
        <is>
          <t>¥92,000 / ¥99,500</t>
        </is>
      </c>
    </row>
    <row r="429">
      <c r="A429" s="43" t="inlineStr">
        <is>
          <t>SZ-SL-000762</t>
        </is>
      </c>
      <c r="B429" s="43" t="inlineStr">
        <is>
          <t>面格子付引違い窓</t>
        </is>
      </c>
      <c r="C429" s="43" t="inlineStr">
        <is>
          <t>SP-SL-GRILLE-IGETA</t>
        </is>
      </c>
      <c r="D429" s="43" t="inlineStr">
        <is>
          <t>在来・204</t>
        </is>
      </c>
      <c r="E429" s="43" t="inlineStr">
        <is>
          <t>18609</t>
        </is>
      </c>
      <c r="F429" s="43" t="inlineStr">
        <is>
          <t>186</t>
        </is>
      </c>
      <c r="G429" s="43" t="inlineStr">
        <is>
          <t>09</t>
        </is>
      </c>
      <c r="H429" s="43" t="n">
        <v>1900</v>
      </c>
      <c r="I429" s="43" t="n">
        <v>970</v>
      </c>
      <c r="J429" s="43" t="inlineStr">
        <is>
          <t>設定可</t>
        </is>
      </c>
      <c r="K429" s="43" t="b">
        <v>1</v>
      </c>
      <c r="L429" s="43" t="inlineStr">
        <is>
          <t>105</t>
        </is>
      </c>
      <c r="M429" s="43" t="inlineStr">
        <is>
          <t>¥92,000 / ¥99,500</t>
        </is>
      </c>
    </row>
    <row r="430">
      <c r="A430" s="43" t="inlineStr">
        <is>
          <t>SZ-SL-000763</t>
        </is>
      </c>
      <c r="B430" s="43" t="inlineStr">
        <is>
          <t>面格子付引違い窓</t>
        </is>
      </c>
      <c r="C430" s="43" t="inlineStr">
        <is>
          <t>SP-SL-GRILLE-V</t>
        </is>
      </c>
      <c r="D430" s="43" t="inlineStr">
        <is>
          <t>在来・204</t>
        </is>
      </c>
      <c r="E430" s="43" t="inlineStr">
        <is>
          <t>17409</t>
        </is>
      </c>
      <c r="F430" s="43" t="inlineStr">
        <is>
          <t>174</t>
        </is>
      </c>
      <c r="G430" s="43" t="inlineStr">
        <is>
          <t>09</t>
        </is>
      </c>
      <c r="H430" s="43" t="n">
        <v>1780</v>
      </c>
      <c r="I430" s="43" t="n">
        <v>970</v>
      </c>
      <c r="J430" s="43" t="inlineStr">
        <is>
          <t>設定可</t>
        </is>
      </c>
      <c r="K430" s="43" t="b">
        <v>1</v>
      </c>
      <c r="L430" s="43" t="inlineStr">
        <is>
          <t>105</t>
        </is>
      </c>
      <c r="M430" s="43" t="inlineStr">
        <is>
          <t>¥76,000 / ¥82,700</t>
        </is>
      </c>
    </row>
    <row r="431">
      <c r="A431" s="43" t="inlineStr">
        <is>
          <t>SZ-SL-000764</t>
        </is>
      </c>
      <c r="B431" s="43" t="inlineStr">
        <is>
          <t>面格子付引違い窓</t>
        </is>
      </c>
      <c r="C431" s="43" t="inlineStr">
        <is>
          <t>SP-SL-GRILLE-V</t>
        </is>
      </c>
      <c r="D431" s="43" t="inlineStr">
        <is>
          <t>在来・204</t>
        </is>
      </c>
      <c r="E431" s="43" t="inlineStr">
        <is>
          <t>17609</t>
        </is>
      </c>
      <c r="F431" s="43" t="inlineStr">
        <is>
          <t>176</t>
        </is>
      </c>
      <c r="G431" s="43" t="inlineStr">
        <is>
          <t>09</t>
        </is>
      </c>
      <c r="H431" s="43" t="n">
        <v>1800</v>
      </c>
      <c r="I431" s="43" t="n">
        <v>970</v>
      </c>
      <c r="J431" s="43" t="inlineStr">
        <is>
          <t>設定可</t>
        </is>
      </c>
      <c r="K431" s="43" t="b">
        <v>1</v>
      </c>
      <c r="L431" s="43" t="inlineStr">
        <is>
          <t>105</t>
        </is>
      </c>
      <c r="M431" s="43" t="inlineStr">
        <is>
          <t>¥76,000 / ¥82,700</t>
        </is>
      </c>
    </row>
    <row r="432">
      <c r="A432" s="43" t="inlineStr">
        <is>
          <t>SZ-SL-000765</t>
        </is>
      </c>
      <c r="B432" s="43" t="inlineStr">
        <is>
          <t>面格子付引違い窓</t>
        </is>
      </c>
      <c r="C432" s="43" t="inlineStr">
        <is>
          <t>SP-SL-GRILLE-V</t>
        </is>
      </c>
      <c r="D432" s="43" t="inlineStr">
        <is>
          <t>在来・204</t>
        </is>
      </c>
      <c r="E432" s="43" t="inlineStr">
        <is>
          <t>18009</t>
        </is>
      </c>
      <c r="F432" s="43" t="inlineStr">
        <is>
          <t>180</t>
        </is>
      </c>
      <c r="G432" s="43" t="inlineStr">
        <is>
          <t>09</t>
        </is>
      </c>
      <c r="H432" s="43" t="n">
        <v>1845</v>
      </c>
      <c r="I432" s="43" t="n">
        <v>970</v>
      </c>
      <c r="J432" s="43" t="inlineStr">
        <is>
          <t>設定可</t>
        </is>
      </c>
      <c r="K432" s="43" t="b">
        <v>1</v>
      </c>
      <c r="L432" s="43" t="inlineStr">
        <is>
          <t>105</t>
        </is>
      </c>
      <c r="M432" s="43" t="inlineStr">
        <is>
          <t>¥76,000 / ¥82,700</t>
        </is>
      </c>
    </row>
    <row r="433">
      <c r="A433" s="43" t="inlineStr">
        <is>
          <t>SZ-SL-000766</t>
        </is>
      </c>
      <c r="B433" s="43" t="inlineStr">
        <is>
          <t>面格子付引違い窓</t>
        </is>
      </c>
      <c r="C433" s="43" t="inlineStr">
        <is>
          <t>SP-SL-GRILLE-V</t>
        </is>
      </c>
      <c r="D433" s="43" t="inlineStr">
        <is>
          <t>在来・204</t>
        </is>
      </c>
      <c r="E433" s="43" t="inlineStr">
        <is>
          <t>18609</t>
        </is>
      </c>
      <c r="F433" s="43" t="inlineStr">
        <is>
          <t>186</t>
        </is>
      </c>
      <c r="G433" s="43" t="inlineStr">
        <is>
          <t>09</t>
        </is>
      </c>
      <c r="H433" s="43" t="n">
        <v>1900</v>
      </c>
      <c r="I433" s="43" t="n">
        <v>970</v>
      </c>
      <c r="J433" s="43" t="inlineStr">
        <is>
          <t>設定可</t>
        </is>
      </c>
      <c r="K433" s="43" t="b">
        <v>1</v>
      </c>
      <c r="L433" s="43" t="inlineStr">
        <is>
          <t>105</t>
        </is>
      </c>
      <c r="M433" s="43" t="inlineStr">
        <is>
          <t>¥76,000 / ¥82,700</t>
        </is>
      </c>
    </row>
    <row r="434">
      <c r="A434" s="43" t="inlineStr">
        <is>
          <t>SZ-SL-000767</t>
        </is>
      </c>
      <c r="B434" s="43" t="inlineStr">
        <is>
          <t>面格子付引違い窓</t>
        </is>
      </c>
      <c r="C434" s="43" t="inlineStr">
        <is>
          <t>SP-SL-GRILLE-DIA</t>
        </is>
      </c>
      <c r="D434" s="43" t="inlineStr">
        <is>
          <t>在来・204</t>
        </is>
      </c>
      <c r="E434" s="43" t="inlineStr">
        <is>
          <t>07411</t>
        </is>
      </c>
      <c r="F434" s="43" t="inlineStr">
        <is>
          <t>074</t>
        </is>
      </c>
      <c r="G434" s="43" t="inlineStr">
        <is>
          <t>11</t>
        </is>
      </c>
      <c r="H434" s="43" t="n">
        <v>780</v>
      </c>
      <c r="I434" s="43" t="n">
        <v>1170</v>
      </c>
      <c r="J434" s="43" t="inlineStr">
        <is>
          <t>設定可</t>
        </is>
      </c>
      <c r="K434" s="43" t="b">
        <v>1</v>
      </c>
      <c r="L434" s="43" t="inlineStr">
        <is>
          <t>106</t>
        </is>
      </c>
      <c r="M434" s="43" t="inlineStr">
        <is>
          <t>¥61,300 / ¥66,300</t>
        </is>
      </c>
    </row>
    <row r="435">
      <c r="A435" s="43" t="inlineStr">
        <is>
          <t>SZ-SL-000768</t>
        </is>
      </c>
      <c r="B435" s="43" t="inlineStr">
        <is>
          <t>面格子付引違い窓</t>
        </is>
      </c>
      <c r="C435" s="43" t="inlineStr">
        <is>
          <t>SP-SL-GRILLE-H</t>
        </is>
      </c>
      <c r="D435" s="43" t="inlineStr">
        <is>
          <t>在来・204</t>
        </is>
      </c>
      <c r="E435" s="43" t="inlineStr">
        <is>
          <t>07411</t>
        </is>
      </c>
      <c r="F435" s="43" t="inlineStr">
        <is>
          <t>074</t>
        </is>
      </c>
      <c r="G435" s="43" t="inlineStr">
        <is>
          <t>11</t>
        </is>
      </c>
      <c r="H435" s="43" t="n">
        <v>780</v>
      </c>
      <c r="I435" s="43" t="n">
        <v>1170</v>
      </c>
      <c r="J435" s="43" t="inlineStr">
        <is>
          <t>設定可</t>
        </is>
      </c>
      <c r="K435" s="43" t="b">
        <v>1</v>
      </c>
      <c r="L435" s="43" t="inlineStr">
        <is>
          <t>106</t>
        </is>
      </c>
      <c r="M435" s="43" t="inlineStr">
        <is>
          <t>¥61,300 / ¥66,300</t>
        </is>
      </c>
    </row>
    <row r="436">
      <c r="A436" s="43" t="inlineStr">
        <is>
          <t>SZ-SL-000769</t>
        </is>
      </c>
      <c r="B436" s="43" t="inlineStr">
        <is>
          <t>面格子付引違い窓</t>
        </is>
      </c>
      <c r="C436" s="43" t="inlineStr">
        <is>
          <t>SP-SL-GRILLE-IGETA</t>
        </is>
      </c>
      <c r="D436" s="43" t="inlineStr">
        <is>
          <t>在来・204</t>
        </is>
      </c>
      <c r="E436" s="43" t="inlineStr">
        <is>
          <t>07411</t>
        </is>
      </c>
      <c r="F436" s="43" t="inlineStr">
        <is>
          <t>074</t>
        </is>
      </c>
      <c r="G436" s="43" t="inlineStr">
        <is>
          <t>11</t>
        </is>
      </c>
      <c r="H436" s="43" t="n">
        <v>780</v>
      </c>
      <c r="I436" s="43" t="n">
        <v>1170</v>
      </c>
      <c r="J436" s="43" t="inlineStr">
        <is>
          <t>設定可</t>
        </is>
      </c>
      <c r="K436" s="43" t="b">
        <v>1</v>
      </c>
      <c r="L436" s="43" t="inlineStr">
        <is>
          <t>106</t>
        </is>
      </c>
      <c r="M436" s="43" t="inlineStr">
        <is>
          <t>¥61,300 / ¥66,300</t>
        </is>
      </c>
    </row>
    <row r="437">
      <c r="A437" s="43" t="inlineStr">
        <is>
          <t>SZ-SL-000770</t>
        </is>
      </c>
      <c r="B437" s="43" t="inlineStr">
        <is>
          <t>面格子付引違い窓</t>
        </is>
      </c>
      <c r="C437" s="43" t="inlineStr">
        <is>
          <t>SP-SL-GRILLE-V</t>
        </is>
      </c>
      <c r="D437" s="43" t="inlineStr">
        <is>
          <t>在来・204</t>
        </is>
      </c>
      <c r="E437" s="43" t="inlineStr">
        <is>
          <t>07411</t>
        </is>
      </c>
      <c r="F437" s="43" t="inlineStr">
        <is>
          <t>074</t>
        </is>
      </c>
      <c r="G437" s="43" t="inlineStr">
        <is>
          <t>11</t>
        </is>
      </c>
      <c r="H437" s="43" t="n">
        <v>780</v>
      </c>
      <c r="I437" s="43" t="n">
        <v>1170</v>
      </c>
      <c r="J437" s="43" t="inlineStr">
        <is>
          <t>設定可</t>
        </is>
      </c>
      <c r="K437" s="43" t="b">
        <v>1</v>
      </c>
      <c r="L437" s="43" t="inlineStr">
        <is>
          <t>106</t>
        </is>
      </c>
      <c r="M437" s="43" t="inlineStr">
        <is>
          <t>¥51,000 / ¥55,500</t>
        </is>
      </c>
    </row>
    <row r="438">
      <c r="A438" s="43" t="inlineStr">
        <is>
          <t>SZ-SL-000771</t>
        </is>
      </c>
      <c r="B438" s="43" t="inlineStr">
        <is>
          <t>面格子付引違い窓</t>
        </is>
      </c>
      <c r="C438" s="43" t="inlineStr">
        <is>
          <t>SP-SL-GRILLE-DIA</t>
        </is>
      </c>
      <c r="D438" s="43" t="inlineStr">
        <is>
          <t>在来・204</t>
        </is>
      </c>
      <c r="E438" s="43" t="inlineStr">
        <is>
          <t>08011</t>
        </is>
      </c>
      <c r="F438" s="43" t="inlineStr">
        <is>
          <t>080</t>
        </is>
      </c>
      <c r="G438" s="43" t="inlineStr">
        <is>
          <t>11</t>
        </is>
      </c>
      <c r="H438" s="43" t="n">
        <v>845</v>
      </c>
      <c r="I438" s="43" t="n">
        <v>1170</v>
      </c>
      <c r="J438" s="43" t="inlineStr">
        <is>
          <t>設定可</t>
        </is>
      </c>
      <c r="K438" s="43" t="b">
        <v>1</v>
      </c>
      <c r="L438" s="43" t="inlineStr">
        <is>
          <t>107</t>
        </is>
      </c>
      <c r="M438" s="43" t="inlineStr">
        <is>
          <t>¥65,400 / ¥70,900</t>
        </is>
      </c>
    </row>
    <row r="439">
      <c r="A439" s="43" t="inlineStr">
        <is>
          <t>SZ-SL-000772</t>
        </is>
      </c>
      <c r="B439" s="43" t="inlineStr">
        <is>
          <t>面格子付引違い窓</t>
        </is>
      </c>
      <c r="C439" s="43" t="inlineStr">
        <is>
          <t>SP-SL-GRILLE-DIA</t>
        </is>
      </c>
      <c r="D439" s="43" t="inlineStr">
        <is>
          <t>在来・204</t>
        </is>
      </c>
      <c r="E439" s="43" t="inlineStr">
        <is>
          <t>08311</t>
        </is>
      </c>
      <c r="F439" s="43" t="inlineStr">
        <is>
          <t>083</t>
        </is>
      </c>
      <c r="G439" s="43" t="inlineStr">
        <is>
          <t>11</t>
        </is>
      </c>
      <c r="H439" s="43" t="n">
        <v>870</v>
      </c>
      <c r="I439" s="43" t="n">
        <v>1170</v>
      </c>
      <c r="J439" s="43" t="inlineStr">
        <is>
          <t>設定可</t>
        </is>
      </c>
      <c r="K439" s="43" t="b">
        <v>1</v>
      </c>
      <c r="L439" s="43" t="inlineStr">
        <is>
          <t>107</t>
        </is>
      </c>
      <c r="M439" s="43" t="inlineStr">
        <is>
          <t>¥65,400 / ¥70,900</t>
        </is>
      </c>
    </row>
    <row r="440">
      <c r="A440" s="43" t="inlineStr">
        <is>
          <t>SZ-SL-000773</t>
        </is>
      </c>
      <c r="B440" s="43" t="inlineStr">
        <is>
          <t>面格子付引違い窓</t>
        </is>
      </c>
      <c r="C440" s="43" t="inlineStr">
        <is>
          <t>SP-SL-GRILLE-DIA</t>
        </is>
      </c>
      <c r="D440" s="43" t="inlineStr">
        <is>
          <t>在来・204</t>
        </is>
      </c>
      <c r="E440" s="43" t="inlineStr">
        <is>
          <t>11411</t>
        </is>
      </c>
      <c r="F440" s="43" t="inlineStr">
        <is>
          <t>114</t>
        </is>
      </c>
      <c r="G440" s="43" t="inlineStr">
        <is>
          <t>11</t>
        </is>
      </c>
      <c r="H440" s="43" t="n">
        <v>1185</v>
      </c>
      <c r="I440" s="43" t="n">
        <v>1170</v>
      </c>
      <c r="J440" s="43" t="inlineStr">
        <is>
          <t>設定可</t>
        </is>
      </c>
      <c r="K440" s="43" t="b">
        <v>1</v>
      </c>
      <c r="L440" s="43" t="inlineStr">
        <is>
          <t>107</t>
        </is>
      </c>
      <c r="M440" s="43" t="inlineStr">
        <is>
          <t>¥79,300 / ¥85,500</t>
        </is>
      </c>
    </row>
    <row r="441">
      <c r="A441" s="43" t="inlineStr">
        <is>
          <t>SZ-SL-000774</t>
        </is>
      </c>
      <c r="B441" s="43" t="inlineStr">
        <is>
          <t>面格子付引違い窓</t>
        </is>
      </c>
      <c r="C441" s="43" t="inlineStr">
        <is>
          <t>SP-SL-GRILLE-DIA</t>
        </is>
      </c>
      <c r="D441" s="43" t="inlineStr">
        <is>
          <t>在来・204</t>
        </is>
      </c>
      <c r="E441" s="43" t="inlineStr">
        <is>
          <t>11911</t>
        </is>
      </c>
      <c r="F441" s="43" t="inlineStr">
        <is>
          <t>119</t>
        </is>
      </c>
      <c r="G441" s="43" t="inlineStr">
        <is>
          <t>11</t>
        </is>
      </c>
      <c r="H441" s="43" t="n">
        <v>1235</v>
      </c>
      <c r="I441" s="43" t="n">
        <v>1170</v>
      </c>
      <c r="J441" s="43" t="inlineStr">
        <is>
          <t>設定可</t>
        </is>
      </c>
      <c r="K441" s="43" t="b">
        <v>1</v>
      </c>
      <c r="L441" s="43" t="inlineStr">
        <is>
          <t>107</t>
        </is>
      </c>
      <c r="M441" s="43" t="inlineStr">
        <is>
          <t>¥79,300 / ¥85,500</t>
        </is>
      </c>
    </row>
    <row r="442">
      <c r="A442" s="43" t="inlineStr">
        <is>
          <t>SZ-SL-000775</t>
        </is>
      </c>
      <c r="B442" s="43" t="inlineStr">
        <is>
          <t>面格子付引違い窓</t>
        </is>
      </c>
      <c r="C442" s="43" t="inlineStr">
        <is>
          <t>SP-SL-GRILLE-DIA</t>
        </is>
      </c>
      <c r="D442" s="43" t="inlineStr">
        <is>
          <t>在来・204</t>
        </is>
      </c>
      <c r="E442" s="43" t="inlineStr">
        <is>
          <t>12811</t>
        </is>
      </c>
      <c r="F442" s="43" t="inlineStr">
        <is>
          <t>128</t>
        </is>
      </c>
      <c r="G442" s="43" t="inlineStr">
        <is>
          <t>11</t>
        </is>
      </c>
      <c r="H442" s="43" t="n">
        <v>1320</v>
      </c>
      <c r="I442" s="43" t="n">
        <v>1170</v>
      </c>
      <c r="J442" s="43" t="inlineStr">
        <is>
          <t>設定可</t>
        </is>
      </c>
      <c r="K442" s="43" t="b">
        <v>1</v>
      </c>
      <c r="L442" s="43" t="inlineStr">
        <is>
          <t>107</t>
        </is>
      </c>
      <c r="M442" s="43" t="inlineStr">
        <is>
          <t>¥84,400 / ¥91,200</t>
        </is>
      </c>
    </row>
    <row r="443">
      <c r="A443" s="43" t="inlineStr">
        <is>
          <t>SZ-SL-000776</t>
        </is>
      </c>
      <c r="B443" s="43" t="inlineStr">
        <is>
          <t>面格子付引違い窓</t>
        </is>
      </c>
      <c r="C443" s="43" t="inlineStr">
        <is>
          <t>SP-SL-GRILLE-H</t>
        </is>
      </c>
      <c r="D443" s="43" t="inlineStr">
        <is>
          <t>在来・204</t>
        </is>
      </c>
      <c r="E443" s="43" t="inlineStr">
        <is>
          <t>08011</t>
        </is>
      </c>
      <c r="F443" s="43" t="inlineStr">
        <is>
          <t>080</t>
        </is>
      </c>
      <c r="G443" s="43" t="inlineStr">
        <is>
          <t>11</t>
        </is>
      </c>
      <c r="H443" s="43" t="n">
        <v>845</v>
      </c>
      <c r="I443" s="43" t="n">
        <v>1170</v>
      </c>
      <c r="J443" s="43" t="inlineStr">
        <is>
          <t>設定可</t>
        </is>
      </c>
      <c r="K443" s="43" t="b">
        <v>1</v>
      </c>
      <c r="L443" s="43" t="inlineStr">
        <is>
          <t>107</t>
        </is>
      </c>
      <c r="M443" s="43" t="inlineStr">
        <is>
          <t>¥65,400 / ¥70,900</t>
        </is>
      </c>
    </row>
    <row r="444">
      <c r="A444" s="43" t="inlineStr">
        <is>
          <t>SZ-SL-000777</t>
        </is>
      </c>
      <c r="B444" s="43" t="inlineStr">
        <is>
          <t>面格子付引違い窓</t>
        </is>
      </c>
      <c r="C444" s="43" t="inlineStr">
        <is>
          <t>SP-SL-GRILLE-H</t>
        </is>
      </c>
      <c r="D444" s="43" t="inlineStr">
        <is>
          <t>在来・204</t>
        </is>
      </c>
      <c r="E444" s="43" t="inlineStr">
        <is>
          <t>08311</t>
        </is>
      </c>
      <c r="F444" s="43" t="inlineStr">
        <is>
          <t>083</t>
        </is>
      </c>
      <c r="G444" s="43" t="inlineStr">
        <is>
          <t>11</t>
        </is>
      </c>
      <c r="H444" s="43" t="n">
        <v>870</v>
      </c>
      <c r="I444" s="43" t="n">
        <v>1170</v>
      </c>
      <c r="J444" s="43" t="inlineStr">
        <is>
          <t>設定可</t>
        </is>
      </c>
      <c r="K444" s="43" t="b">
        <v>1</v>
      </c>
      <c r="L444" s="43" t="inlineStr">
        <is>
          <t>107</t>
        </is>
      </c>
      <c r="M444" s="43" t="inlineStr">
        <is>
          <t>¥65,400 / ¥70,900</t>
        </is>
      </c>
    </row>
    <row r="445">
      <c r="A445" s="43" t="inlineStr">
        <is>
          <t>SZ-SL-000778</t>
        </is>
      </c>
      <c r="B445" s="43" t="inlineStr">
        <is>
          <t>面格子付引違い窓</t>
        </is>
      </c>
      <c r="C445" s="43" t="inlineStr">
        <is>
          <t>SP-SL-GRILLE-H</t>
        </is>
      </c>
      <c r="D445" s="43" t="inlineStr">
        <is>
          <t>在来・204</t>
        </is>
      </c>
      <c r="E445" s="43" t="inlineStr">
        <is>
          <t>11411</t>
        </is>
      </c>
      <c r="F445" s="43" t="inlineStr">
        <is>
          <t>114</t>
        </is>
      </c>
      <c r="G445" s="43" t="inlineStr">
        <is>
          <t>11</t>
        </is>
      </c>
      <c r="H445" s="43" t="n">
        <v>1185</v>
      </c>
      <c r="I445" s="43" t="n">
        <v>1170</v>
      </c>
      <c r="J445" s="43" t="inlineStr">
        <is>
          <t>設定可</t>
        </is>
      </c>
      <c r="K445" s="43" t="b">
        <v>1</v>
      </c>
      <c r="L445" s="43" t="inlineStr">
        <is>
          <t>107</t>
        </is>
      </c>
      <c r="M445" s="43" t="inlineStr">
        <is>
          <t>¥79,300 / ¥85,500</t>
        </is>
      </c>
    </row>
    <row r="446">
      <c r="A446" s="43" t="inlineStr">
        <is>
          <t>SZ-SL-000779</t>
        </is>
      </c>
      <c r="B446" s="43" t="inlineStr">
        <is>
          <t>面格子付引違い窓</t>
        </is>
      </c>
      <c r="C446" s="43" t="inlineStr">
        <is>
          <t>SP-SL-GRILLE-H</t>
        </is>
      </c>
      <c r="D446" s="43" t="inlineStr">
        <is>
          <t>在来・204</t>
        </is>
      </c>
      <c r="E446" s="43" t="inlineStr">
        <is>
          <t>11911</t>
        </is>
      </c>
      <c r="F446" s="43" t="inlineStr">
        <is>
          <t>119</t>
        </is>
      </c>
      <c r="G446" s="43" t="inlineStr">
        <is>
          <t>11</t>
        </is>
      </c>
      <c r="H446" s="43" t="n">
        <v>1235</v>
      </c>
      <c r="I446" s="43" t="n">
        <v>1170</v>
      </c>
      <c r="J446" s="43" t="inlineStr">
        <is>
          <t>設定可</t>
        </is>
      </c>
      <c r="K446" s="43" t="b">
        <v>1</v>
      </c>
      <c r="L446" s="43" t="inlineStr">
        <is>
          <t>107</t>
        </is>
      </c>
      <c r="M446" s="43" t="inlineStr">
        <is>
          <t>¥79,300 / ¥85,500</t>
        </is>
      </c>
    </row>
    <row r="447">
      <c r="A447" s="43" t="inlineStr">
        <is>
          <t>SZ-SL-000780</t>
        </is>
      </c>
      <c r="B447" s="43" t="inlineStr">
        <is>
          <t>面格子付引違い窓</t>
        </is>
      </c>
      <c r="C447" s="43" t="inlineStr">
        <is>
          <t>SP-SL-GRILLE-H</t>
        </is>
      </c>
      <c r="D447" s="43" t="inlineStr">
        <is>
          <t>在来・204</t>
        </is>
      </c>
      <c r="E447" s="43" t="inlineStr">
        <is>
          <t>12811</t>
        </is>
      </c>
      <c r="F447" s="43" t="inlineStr">
        <is>
          <t>128</t>
        </is>
      </c>
      <c r="G447" s="43" t="inlineStr">
        <is>
          <t>11</t>
        </is>
      </c>
      <c r="H447" s="43" t="n">
        <v>1320</v>
      </c>
      <c r="I447" s="43" t="n">
        <v>1170</v>
      </c>
      <c r="J447" s="43" t="inlineStr">
        <is>
          <t>設定可</t>
        </is>
      </c>
      <c r="K447" s="43" t="b">
        <v>1</v>
      </c>
      <c r="L447" s="43" t="inlineStr">
        <is>
          <t>107</t>
        </is>
      </c>
      <c r="M447" s="43" t="inlineStr">
        <is>
          <t>¥84,400 / ¥91,200</t>
        </is>
      </c>
    </row>
    <row r="448">
      <c r="A448" s="43" t="inlineStr">
        <is>
          <t>SZ-SL-000781</t>
        </is>
      </c>
      <c r="B448" s="43" t="inlineStr">
        <is>
          <t>面格子付引違い窓</t>
        </is>
      </c>
      <c r="C448" s="43" t="inlineStr">
        <is>
          <t>SP-SL-GRILLE-IGETA</t>
        </is>
      </c>
      <c r="D448" s="43" t="inlineStr">
        <is>
          <t>在来・204</t>
        </is>
      </c>
      <c r="E448" s="43" t="inlineStr">
        <is>
          <t>08011</t>
        </is>
      </c>
      <c r="F448" s="43" t="inlineStr">
        <is>
          <t>080</t>
        </is>
      </c>
      <c r="G448" s="43" t="inlineStr">
        <is>
          <t>11</t>
        </is>
      </c>
      <c r="H448" s="43" t="n">
        <v>845</v>
      </c>
      <c r="I448" s="43" t="n">
        <v>1170</v>
      </c>
      <c r="J448" s="43" t="inlineStr">
        <is>
          <t>設定可</t>
        </is>
      </c>
      <c r="K448" s="43" t="b">
        <v>1</v>
      </c>
      <c r="L448" s="43" t="inlineStr">
        <is>
          <t>107</t>
        </is>
      </c>
      <c r="M448" s="43" t="inlineStr">
        <is>
          <t>¥65,400 / ¥70,900</t>
        </is>
      </c>
    </row>
    <row r="449">
      <c r="A449" s="43" t="inlineStr">
        <is>
          <t>SZ-SL-000782</t>
        </is>
      </c>
      <c r="B449" s="43" t="inlineStr">
        <is>
          <t>面格子付引違い窓</t>
        </is>
      </c>
      <c r="C449" s="43" t="inlineStr">
        <is>
          <t>SP-SL-GRILLE-IGETA</t>
        </is>
      </c>
      <c r="D449" s="43" t="inlineStr">
        <is>
          <t>在来・204</t>
        </is>
      </c>
      <c r="E449" s="43" t="inlineStr">
        <is>
          <t>08311</t>
        </is>
      </c>
      <c r="F449" s="43" t="inlineStr">
        <is>
          <t>083</t>
        </is>
      </c>
      <c r="G449" s="43" t="inlineStr">
        <is>
          <t>11</t>
        </is>
      </c>
      <c r="H449" s="43" t="n">
        <v>870</v>
      </c>
      <c r="I449" s="43" t="n">
        <v>1170</v>
      </c>
      <c r="J449" s="43" t="inlineStr">
        <is>
          <t>設定可</t>
        </is>
      </c>
      <c r="K449" s="43" t="b">
        <v>1</v>
      </c>
      <c r="L449" s="43" t="inlineStr">
        <is>
          <t>107</t>
        </is>
      </c>
      <c r="M449" s="43" t="inlineStr">
        <is>
          <t>¥65,400 / ¥70,900</t>
        </is>
      </c>
    </row>
    <row r="450">
      <c r="A450" s="43" t="inlineStr">
        <is>
          <t>SZ-SL-000783</t>
        </is>
      </c>
      <c r="B450" s="43" t="inlineStr">
        <is>
          <t>面格子付引違い窓</t>
        </is>
      </c>
      <c r="C450" s="43" t="inlineStr">
        <is>
          <t>SP-SL-GRILLE-IGETA</t>
        </is>
      </c>
      <c r="D450" s="43" t="inlineStr">
        <is>
          <t>在来・204</t>
        </is>
      </c>
      <c r="E450" s="43" t="inlineStr">
        <is>
          <t>11411</t>
        </is>
      </c>
      <c r="F450" s="43" t="inlineStr">
        <is>
          <t>114</t>
        </is>
      </c>
      <c r="G450" s="43" t="inlineStr">
        <is>
          <t>11</t>
        </is>
      </c>
      <c r="H450" s="43" t="n">
        <v>1185</v>
      </c>
      <c r="I450" s="43" t="n">
        <v>1170</v>
      </c>
      <c r="J450" s="43" t="inlineStr">
        <is>
          <t>設定可</t>
        </is>
      </c>
      <c r="K450" s="43" t="b">
        <v>1</v>
      </c>
      <c r="L450" s="43" t="inlineStr">
        <is>
          <t>107</t>
        </is>
      </c>
      <c r="M450" s="43" t="inlineStr">
        <is>
          <t>¥79,300 / ¥85,500</t>
        </is>
      </c>
    </row>
    <row r="451">
      <c r="A451" s="43" t="inlineStr">
        <is>
          <t>SZ-SL-000784</t>
        </is>
      </c>
      <c r="B451" s="43" t="inlineStr">
        <is>
          <t>面格子付引違い窓</t>
        </is>
      </c>
      <c r="C451" s="43" t="inlineStr">
        <is>
          <t>SP-SL-GRILLE-IGETA</t>
        </is>
      </c>
      <c r="D451" s="43" t="inlineStr">
        <is>
          <t>在来・204</t>
        </is>
      </c>
      <c r="E451" s="43" t="inlineStr">
        <is>
          <t>11911</t>
        </is>
      </c>
      <c r="F451" s="43" t="inlineStr">
        <is>
          <t>119</t>
        </is>
      </c>
      <c r="G451" s="43" t="inlineStr">
        <is>
          <t>11</t>
        </is>
      </c>
      <c r="H451" s="43" t="n">
        <v>1235</v>
      </c>
      <c r="I451" s="43" t="n">
        <v>1170</v>
      </c>
      <c r="J451" s="43" t="inlineStr">
        <is>
          <t>設定可</t>
        </is>
      </c>
      <c r="K451" s="43" t="b">
        <v>1</v>
      </c>
      <c r="L451" s="43" t="inlineStr">
        <is>
          <t>107</t>
        </is>
      </c>
      <c r="M451" s="43" t="inlineStr">
        <is>
          <t>¥79,300 / ¥85,500</t>
        </is>
      </c>
    </row>
    <row r="452">
      <c r="A452" s="43" t="inlineStr">
        <is>
          <t>SZ-SL-000785</t>
        </is>
      </c>
      <c r="B452" s="43" t="inlineStr">
        <is>
          <t>面格子付引違い窓</t>
        </is>
      </c>
      <c r="C452" s="43" t="inlineStr">
        <is>
          <t>SP-SL-GRILLE-IGETA</t>
        </is>
      </c>
      <c r="D452" s="43" t="inlineStr">
        <is>
          <t>在来・204</t>
        </is>
      </c>
      <c r="E452" s="43" t="inlineStr">
        <is>
          <t>12811</t>
        </is>
      </c>
      <c r="F452" s="43" t="inlineStr">
        <is>
          <t>128</t>
        </is>
      </c>
      <c r="G452" s="43" t="inlineStr">
        <is>
          <t>11</t>
        </is>
      </c>
      <c r="H452" s="43" t="n">
        <v>1320</v>
      </c>
      <c r="I452" s="43" t="n">
        <v>1170</v>
      </c>
      <c r="J452" s="43" t="inlineStr">
        <is>
          <t>設定可</t>
        </is>
      </c>
      <c r="K452" s="43" t="b">
        <v>1</v>
      </c>
      <c r="L452" s="43" t="inlineStr">
        <is>
          <t>107</t>
        </is>
      </c>
      <c r="M452" s="43" t="inlineStr">
        <is>
          <t>¥84,400 / ¥91,200</t>
        </is>
      </c>
    </row>
    <row r="453">
      <c r="A453" s="43" t="inlineStr">
        <is>
          <t>SZ-SL-000786</t>
        </is>
      </c>
      <c r="B453" s="43" t="inlineStr">
        <is>
          <t>面格子付引違い窓</t>
        </is>
      </c>
      <c r="C453" s="43" t="inlineStr">
        <is>
          <t>SP-SL-GRILLE-V</t>
        </is>
      </c>
      <c r="D453" s="43" t="inlineStr">
        <is>
          <t>在来・204</t>
        </is>
      </c>
      <c r="E453" s="43" t="inlineStr">
        <is>
          <t>08011</t>
        </is>
      </c>
      <c r="F453" s="43" t="inlineStr">
        <is>
          <t>080</t>
        </is>
      </c>
      <c r="G453" s="43" t="inlineStr">
        <is>
          <t>11</t>
        </is>
      </c>
      <c r="H453" s="43" t="n">
        <v>845</v>
      </c>
      <c r="I453" s="43" t="n">
        <v>1170</v>
      </c>
      <c r="J453" s="43" t="inlineStr">
        <is>
          <t>設定可</t>
        </is>
      </c>
      <c r="K453" s="43" t="b">
        <v>1</v>
      </c>
      <c r="L453" s="43" t="inlineStr">
        <is>
          <t>107</t>
        </is>
      </c>
      <c r="M453" s="43" t="inlineStr">
        <is>
          <t>¥54,100 / ¥58,900</t>
        </is>
      </c>
    </row>
    <row r="454">
      <c r="A454" s="43" t="inlineStr">
        <is>
          <t>SZ-SL-000787</t>
        </is>
      </c>
      <c r="B454" s="43" t="inlineStr">
        <is>
          <t>面格子付引違い窓</t>
        </is>
      </c>
      <c r="C454" s="43" t="inlineStr">
        <is>
          <t>SP-SL-GRILLE-V</t>
        </is>
      </c>
      <c r="D454" s="43" t="inlineStr">
        <is>
          <t>在来・204</t>
        </is>
      </c>
      <c r="E454" s="43" t="inlineStr">
        <is>
          <t>08311</t>
        </is>
      </c>
      <c r="F454" s="43" t="inlineStr">
        <is>
          <t>083</t>
        </is>
      </c>
      <c r="G454" s="43" t="inlineStr">
        <is>
          <t>11</t>
        </is>
      </c>
      <c r="H454" s="43" t="n">
        <v>870</v>
      </c>
      <c r="I454" s="43" t="n">
        <v>1170</v>
      </c>
      <c r="J454" s="43" t="inlineStr">
        <is>
          <t>設定可</t>
        </is>
      </c>
      <c r="K454" s="43" t="b">
        <v>1</v>
      </c>
      <c r="L454" s="43" t="inlineStr">
        <is>
          <t>107</t>
        </is>
      </c>
      <c r="M454" s="43" t="inlineStr">
        <is>
          <t>¥54,100 / ¥58,900</t>
        </is>
      </c>
    </row>
    <row r="455">
      <c r="A455" s="43" t="inlineStr">
        <is>
          <t>SZ-SL-000788</t>
        </is>
      </c>
      <c r="B455" s="43" t="inlineStr">
        <is>
          <t>面格子付引違い窓</t>
        </is>
      </c>
      <c r="C455" s="43" t="inlineStr">
        <is>
          <t>SP-SL-GRILLE-V</t>
        </is>
      </c>
      <c r="D455" s="43" t="inlineStr">
        <is>
          <t>在来・204</t>
        </is>
      </c>
      <c r="E455" s="43" t="inlineStr">
        <is>
          <t>11411</t>
        </is>
      </c>
      <c r="F455" s="43" t="inlineStr">
        <is>
          <t>114</t>
        </is>
      </c>
      <c r="G455" s="43" t="inlineStr">
        <is>
          <t>11</t>
        </is>
      </c>
      <c r="H455" s="43" t="n">
        <v>1185</v>
      </c>
      <c r="I455" s="43" t="n">
        <v>1170</v>
      </c>
      <c r="J455" s="43" t="inlineStr">
        <is>
          <t>設定可</t>
        </is>
      </c>
      <c r="K455" s="43" t="b">
        <v>1</v>
      </c>
      <c r="L455" s="43" t="inlineStr">
        <is>
          <t>107</t>
        </is>
      </c>
      <c r="M455" s="43" t="inlineStr">
        <is>
          <t>¥65,200 / ¥70,700</t>
        </is>
      </c>
    </row>
    <row r="456">
      <c r="A456" s="43" t="inlineStr">
        <is>
          <t>SZ-SL-000789</t>
        </is>
      </c>
      <c r="B456" s="43" t="inlineStr">
        <is>
          <t>面格子付引違い窓</t>
        </is>
      </c>
      <c r="C456" s="43" t="inlineStr">
        <is>
          <t>SP-SL-GRILLE-V</t>
        </is>
      </c>
      <c r="D456" s="43" t="inlineStr">
        <is>
          <t>在来・204</t>
        </is>
      </c>
      <c r="E456" s="43" t="inlineStr">
        <is>
          <t>11911</t>
        </is>
      </c>
      <c r="F456" s="43" t="inlineStr">
        <is>
          <t>119</t>
        </is>
      </c>
      <c r="G456" s="43" t="inlineStr">
        <is>
          <t>11</t>
        </is>
      </c>
      <c r="H456" s="43" t="n">
        <v>1235</v>
      </c>
      <c r="I456" s="43" t="n">
        <v>1170</v>
      </c>
      <c r="J456" s="43" t="inlineStr">
        <is>
          <t>設定可</t>
        </is>
      </c>
      <c r="K456" s="43" t="b">
        <v>1</v>
      </c>
      <c r="L456" s="43" t="inlineStr">
        <is>
          <t>107</t>
        </is>
      </c>
      <c r="M456" s="43" t="inlineStr">
        <is>
          <t>¥65,200 / ¥70,700</t>
        </is>
      </c>
    </row>
    <row r="457">
      <c r="A457" s="43" t="inlineStr">
        <is>
          <t>SZ-SL-000790</t>
        </is>
      </c>
      <c r="B457" s="43" t="inlineStr">
        <is>
          <t>面格子付引違い窓</t>
        </is>
      </c>
      <c r="C457" s="43" t="inlineStr">
        <is>
          <t>SP-SL-GRILLE-V</t>
        </is>
      </c>
      <c r="D457" s="43" t="inlineStr">
        <is>
          <t>在来・204</t>
        </is>
      </c>
      <c r="E457" s="43" t="inlineStr">
        <is>
          <t>12811</t>
        </is>
      </c>
      <c r="F457" s="43" t="inlineStr">
        <is>
          <t>128</t>
        </is>
      </c>
      <c r="G457" s="43" t="inlineStr">
        <is>
          <t>11</t>
        </is>
      </c>
      <c r="H457" s="43" t="n">
        <v>1320</v>
      </c>
      <c r="I457" s="43" t="n">
        <v>1170</v>
      </c>
      <c r="J457" s="43" t="inlineStr">
        <is>
          <t>設定可</t>
        </is>
      </c>
      <c r="K457" s="43" t="b">
        <v>1</v>
      </c>
      <c r="L457" s="43" t="inlineStr">
        <is>
          <t>107</t>
        </is>
      </c>
      <c r="M457" s="43" t="inlineStr">
        <is>
          <t>¥69,300 / ¥75,500</t>
        </is>
      </c>
    </row>
    <row r="458">
      <c r="A458" s="43" t="inlineStr">
        <is>
          <t>SZ-SL-000791</t>
        </is>
      </c>
      <c r="B458" s="43" t="inlineStr">
        <is>
          <t>面格子付引違い窓</t>
        </is>
      </c>
      <c r="C458" s="43" t="inlineStr">
        <is>
          <t>SP-SL-GRILLE-DIA</t>
        </is>
      </c>
      <c r="D458" s="43" t="inlineStr">
        <is>
          <t>在来・204</t>
        </is>
      </c>
      <c r="E458" s="43" t="inlineStr">
        <is>
          <t>13311</t>
        </is>
      </c>
      <c r="F458" s="43" t="inlineStr">
        <is>
          <t>133</t>
        </is>
      </c>
      <c r="G458" s="43" t="inlineStr">
        <is>
          <t>11</t>
        </is>
      </c>
      <c r="H458" s="43" t="n">
        <v>1370</v>
      </c>
      <c r="I458" s="43" t="n">
        <v>1170</v>
      </c>
      <c r="J458" s="43" t="inlineStr">
        <is>
          <t>設定可</t>
        </is>
      </c>
      <c r="K458" s="43" t="b">
        <v>1</v>
      </c>
      <c r="L458" s="43" t="inlineStr">
        <is>
          <t>108</t>
        </is>
      </c>
      <c r="M458" s="43" t="inlineStr">
        <is>
          <t>¥84,400 / ¥91,200</t>
        </is>
      </c>
    </row>
    <row r="459">
      <c r="A459" s="43" t="inlineStr">
        <is>
          <t>SZ-SL-000792</t>
        </is>
      </c>
      <c r="B459" s="43" t="inlineStr">
        <is>
          <t>面格子付引違い窓</t>
        </is>
      </c>
      <c r="C459" s="43" t="inlineStr">
        <is>
          <t>SP-SL-GRILLE-DIA</t>
        </is>
      </c>
      <c r="D459" s="43" t="inlineStr">
        <is>
          <t>在来・204</t>
        </is>
      </c>
      <c r="E459" s="43" t="inlineStr">
        <is>
          <t>15011</t>
        </is>
      </c>
      <c r="F459" s="43" t="inlineStr">
        <is>
          <t>150</t>
        </is>
      </c>
      <c r="G459" s="43" t="inlineStr">
        <is>
          <t>11</t>
        </is>
      </c>
      <c r="H459" s="43" t="n">
        <v>1540</v>
      </c>
      <c r="I459" s="43" t="n">
        <v>1170</v>
      </c>
      <c r="J459" s="43" t="inlineStr">
        <is>
          <t>設定可</t>
        </is>
      </c>
      <c r="K459" s="43" t="b">
        <v>1</v>
      </c>
      <c r="L459" s="43" t="inlineStr">
        <is>
          <t>108</t>
        </is>
      </c>
      <c r="M459" s="43" t="inlineStr">
        <is>
          <t>¥92,000 / ¥99,300</t>
        </is>
      </c>
    </row>
    <row r="460">
      <c r="A460" s="43" t="inlineStr">
        <is>
          <t>SZ-SL-000793</t>
        </is>
      </c>
      <c r="B460" s="43" t="inlineStr">
        <is>
          <t>面格子付引違い窓</t>
        </is>
      </c>
      <c r="C460" s="43" t="inlineStr">
        <is>
          <t>SP-SL-GRILLE-DIA</t>
        </is>
      </c>
      <c r="D460" s="43" t="inlineStr">
        <is>
          <t>在来・204</t>
        </is>
      </c>
      <c r="E460" s="43" t="inlineStr">
        <is>
          <t>16011</t>
        </is>
      </c>
      <c r="F460" s="43" t="inlineStr">
        <is>
          <t>160</t>
        </is>
      </c>
      <c r="G460" s="43" t="inlineStr">
        <is>
          <t>11</t>
        </is>
      </c>
      <c r="H460" s="43" t="n">
        <v>1640</v>
      </c>
      <c r="I460" s="43" t="n">
        <v>1170</v>
      </c>
      <c r="J460" s="43" t="inlineStr">
        <is>
          <t>設定可</t>
        </is>
      </c>
      <c r="K460" s="43" t="b">
        <v>1</v>
      </c>
      <c r="L460" s="43" t="inlineStr">
        <is>
          <t>108</t>
        </is>
      </c>
      <c r="M460" s="43" t="inlineStr">
        <is>
          <t>¥93,800 / ¥101,300</t>
        </is>
      </c>
    </row>
    <row r="461">
      <c r="A461" s="43" t="inlineStr">
        <is>
          <t>SZ-SL-000794</t>
        </is>
      </c>
      <c r="B461" s="43" t="inlineStr">
        <is>
          <t>面格子付引違い窓</t>
        </is>
      </c>
      <c r="C461" s="43" t="inlineStr">
        <is>
          <t>SP-SL-GRILLE-DIA</t>
        </is>
      </c>
      <c r="D461" s="43" t="inlineStr">
        <is>
          <t>在来・204</t>
        </is>
      </c>
      <c r="E461" s="43" t="inlineStr">
        <is>
          <t>16511</t>
        </is>
      </c>
      <c r="F461" s="43" t="inlineStr">
        <is>
          <t>165</t>
        </is>
      </c>
      <c r="G461" s="43" t="inlineStr">
        <is>
          <t>11</t>
        </is>
      </c>
      <c r="H461" s="43" t="n">
        <v>1690</v>
      </c>
      <c r="I461" s="43" t="n">
        <v>1170</v>
      </c>
      <c r="J461" s="43" t="inlineStr">
        <is>
          <t>設定可</t>
        </is>
      </c>
      <c r="K461" s="43" t="b">
        <v>1</v>
      </c>
      <c r="L461" s="43" t="inlineStr">
        <is>
          <t>108</t>
        </is>
      </c>
      <c r="M461" s="43" t="inlineStr">
        <is>
          <t>¥93,800 / ¥101,300</t>
        </is>
      </c>
    </row>
    <row r="462">
      <c r="A462" s="43" t="inlineStr">
        <is>
          <t>SZ-SL-000795</t>
        </is>
      </c>
      <c r="B462" s="43" t="inlineStr">
        <is>
          <t>面格子付引違い窓</t>
        </is>
      </c>
      <c r="C462" s="43" t="inlineStr">
        <is>
          <t>SP-SL-GRILLE-H</t>
        </is>
      </c>
      <c r="D462" s="43" t="inlineStr">
        <is>
          <t>在来・204</t>
        </is>
      </c>
      <c r="E462" s="43" t="inlineStr">
        <is>
          <t>13311</t>
        </is>
      </c>
      <c r="F462" s="43" t="inlineStr">
        <is>
          <t>133</t>
        </is>
      </c>
      <c r="G462" s="43" t="inlineStr">
        <is>
          <t>11</t>
        </is>
      </c>
      <c r="H462" s="43" t="n">
        <v>1370</v>
      </c>
      <c r="I462" s="43" t="n">
        <v>1170</v>
      </c>
      <c r="J462" s="43" t="inlineStr">
        <is>
          <t>設定可</t>
        </is>
      </c>
      <c r="K462" s="43" t="b">
        <v>1</v>
      </c>
      <c r="L462" s="43" t="inlineStr">
        <is>
          <t>108</t>
        </is>
      </c>
      <c r="M462" s="43" t="inlineStr">
        <is>
          <t>¥84,400 / ¥91,200</t>
        </is>
      </c>
    </row>
    <row r="463">
      <c r="A463" s="43" t="inlineStr">
        <is>
          <t>SZ-SL-000796</t>
        </is>
      </c>
      <c r="B463" s="43" t="inlineStr">
        <is>
          <t>面格子付引違い窓</t>
        </is>
      </c>
      <c r="C463" s="43" t="inlineStr">
        <is>
          <t>SP-SL-GRILLE-H</t>
        </is>
      </c>
      <c r="D463" s="43" t="inlineStr">
        <is>
          <t>在来・204</t>
        </is>
      </c>
      <c r="E463" s="43" t="inlineStr">
        <is>
          <t>15011</t>
        </is>
      </c>
      <c r="F463" s="43" t="inlineStr">
        <is>
          <t>150</t>
        </is>
      </c>
      <c r="G463" s="43" t="inlineStr">
        <is>
          <t>11</t>
        </is>
      </c>
      <c r="H463" s="43" t="n">
        <v>1540</v>
      </c>
      <c r="I463" s="43" t="n">
        <v>1170</v>
      </c>
      <c r="J463" s="43" t="inlineStr">
        <is>
          <t>設定なし</t>
        </is>
      </c>
      <c r="K463" s="43" t="b">
        <v>0</v>
      </c>
      <c r="L463" s="43" t="inlineStr">
        <is>
          <t>108</t>
        </is>
      </c>
      <c r="M463" s="43" t="inlineStr">
        <is>
          <t>＿＿</t>
        </is>
      </c>
    </row>
    <row r="464">
      <c r="A464" s="43" t="inlineStr">
        <is>
          <t>SZ-SL-000797</t>
        </is>
      </c>
      <c r="B464" s="43" t="inlineStr">
        <is>
          <t>面格子付引違い窓</t>
        </is>
      </c>
      <c r="C464" s="43" t="inlineStr">
        <is>
          <t>SP-SL-GRILLE-H</t>
        </is>
      </c>
      <c r="D464" s="43" t="inlineStr">
        <is>
          <t>在来・204</t>
        </is>
      </c>
      <c r="E464" s="43" t="inlineStr">
        <is>
          <t>16011</t>
        </is>
      </c>
      <c r="F464" s="43" t="inlineStr">
        <is>
          <t>160</t>
        </is>
      </c>
      <c r="G464" s="43" t="inlineStr">
        <is>
          <t>11</t>
        </is>
      </c>
      <c r="H464" s="43" t="n">
        <v>1640</v>
      </c>
      <c r="I464" s="43" t="n">
        <v>1170</v>
      </c>
      <c r="J464" s="43" t="inlineStr">
        <is>
          <t>設定なし</t>
        </is>
      </c>
      <c r="K464" s="43" t="b">
        <v>0</v>
      </c>
      <c r="L464" s="43" t="inlineStr">
        <is>
          <t>108</t>
        </is>
      </c>
      <c r="M464" s="43" t="inlineStr">
        <is>
          <t>＿＿</t>
        </is>
      </c>
    </row>
    <row r="465">
      <c r="A465" s="43" t="inlineStr">
        <is>
          <t>SZ-SL-000798</t>
        </is>
      </c>
      <c r="B465" s="43" t="inlineStr">
        <is>
          <t>面格子付引違い窓</t>
        </is>
      </c>
      <c r="C465" s="43" t="inlineStr">
        <is>
          <t>SP-SL-GRILLE-H</t>
        </is>
      </c>
      <c r="D465" s="43" t="inlineStr">
        <is>
          <t>在来・204</t>
        </is>
      </c>
      <c r="E465" s="43" t="inlineStr">
        <is>
          <t>16511</t>
        </is>
      </c>
      <c r="F465" s="43" t="inlineStr">
        <is>
          <t>165</t>
        </is>
      </c>
      <c r="G465" s="43" t="inlineStr">
        <is>
          <t>11</t>
        </is>
      </c>
      <c r="H465" s="43" t="n">
        <v>1690</v>
      </c>
      <c r="I465" s="43" t="n">
        <v>1170</v>
      </c>
      <c r="J465" s="43" t="inlineStr">
        <is>
          <t>設定なし</t>
        </is>
      </c>
      <c r="K465" s="43" t="b">
        <v>0</v>
      </c>
      <c r="L465" s="43" t="inlineStr">
        <is>
          <t>108</t>
        </is>
      </c>
      <c r="M465" s="43" t="inlineStr">
        <is>
          <t>＿＿</t>
        </is>
      </c>
    </row>
    <row r="466">
      <c r="A466" s="43" t="inlineStr">
        <is>
          <t>SZ-SL-000799</t>
        </is>
      </c>
      <c r="B466" s="43" t="inlineStr">
        <is>
          <t>面格子付引違い窓</t>
        </is>
      </c>
      <c r="C466" s="43" t="inlineStr">
        <is>
          <t>SP-SL-GRILLE-IGETA</t>
        </is>
      </c>
      <c r="D466" s="43" t="inlineStr">
        <is>
          <t>在来・204</t>
        </is>
      </c>
      <c r="E466" s="43" t="inlineStr">
        <is>
          <t>13311</t>
        </is>
      </c>
      <c r="F466" s="43" t="inlineStr">
        <is>
          <t>133</t>
        </is>
      </c>
      <c r="G466" s="43" t="inlineStr">
        <is>
          <t>11</t>
        </is>
      </c>
      <c r="H466" s="43" t="n">
        <v>1370</v>
      </c>
      <c r="I466" s="43" t="n">
        <v>1170</v>
      </c>
      <c r="J466" s="43" t="inlineStr">
        <is>
          <t>設定可</t>
        </is>
      </c>
      <c r="K466" s="43" t="b">
        <v>1</v>
      </c>
      <c r="L466" s="43" t="inlineStr">
        <is>
          <t>108</t>
        </is>
      </c>
      <c r="M466" s="43" t="inlineStr">
        <is>
          <t>¥84,400 / ¥91,200</t>
        </is>
      </c>
    </row>
    <row r="467">
      <c r="A467" s="43" t="inlineStr">
        <is>
          <t>SZ-SL-000800</t>
        </is>
      </c>
      <c r="B467" s="43" t="inlineStr">
        <is>
          <t>面格子付引違い窓</t>
        </is>
      </c>
      <c r="C467" s="43" t="inlineStr">
        <is>
          <t>SP-SL-GRILLE-IGETA</t>
        </is>
      </c>
      <c r="D467" s="43" t="inlineStr">
        <is>
          <t>在来・204</t>
        </is>
      </c>
      <c r="E467" s="43" t="inlineStr">
        <is>
          <t>15011</t>
        </is>
      </c>
      <c r="F467" s="43" t="inlineStr">
        <is>
          <t>150</t>
        </is>
      </c>
      <c r="G467" s="43" t="inlineStr">
        <is>
          <t>11</t>
        </is>
      </c>
      <c r="H467" s="43" t="n">
        <v>1540</v>
      </c>
      <c r="I467" s="43" t="n">
        <v>1170</v>
      </c>
      <c r="J467" s="43" t="inlineStr">
        <is>
          <t>設定可</t>
        </is>
      </c>
      <c r="K467" s="43" t="b">
        <v>1</v>
      </c>
      <c r="L467" s="43" t="inlineStr">
        <is>
          <t>108</t>
        </is>
      </c>
      <c r="M467" s="43" t="inlineStr">
        <is>
          <t>¥92,000 / ¥99,300</t>
        </is>
      </c>
    </row>
    <row r="468">
      <c r="A468" s="43" t="inlineStr">
        <is>
          <t>SZ-SL-000801</t>
        </is>
      </c>
      <c r="B468" s="43" t="inlineStr">
        <is>
          <t>面格子付引違い窓</t>
        </is>
      </c>
      <c r="C468" s="43" t="inlineStr">
        <is>
          <t>SP-SL-GRILLE-IGETA</t>
        </is>
      </c>
      <c r="D468" s="43" t="inlineStr">
        <is>
          <t>在来・204</t>
        </is>
      </c>
      <c r="E468" s="43" t="inlineStr">
        <is>
          <t>16011</t>
        </is>
      </c>
      <c r="F468" s="43" t="inlineStr">
        <is>
          <t>160</t>
        </is>
      </c>
      <c r="G468" s="43" t="inlineStr">
        <is>
          <t>11</t>
        </is>
      </c>
      <c r="H468" s="43" t="n">
        <v>1640</v>
      </c>
      <c r="I468" s="43" t="n">
        <v>1170</v>
      </c>
      <c r="J468" s="43" t="inlineStr">
        <is>
          <t>設定可</t>
        </is>
      </c>
      <c r="K468" s="43" t="b">
        <v>1</v>
      </c>
      <c r="L468" s="43" t="inlineStr">
        <is>
          <t>108</t>
        </is>
      </c>
      <c r="M468" s="43" t="inlineStr">
        <is>
          <t>¥93,800 / ¥101,300</t>
        </is>
      </c>
    </row>
    <row r="469">
      <c r="A469" s="43" t="inlineStr">
        <is>
          <t>SZ-SL-000802</t>
        </is>
      </c>
      <c r="B469" s="43" t="inlineStr">
        <is>
          <t>面格子付引違い窓</t>
        </is>
      </c>
      <c r="C469" s="43" t="inlineStr">
        <is>
          <t>SP-SL-GRILLE-IGETA</t>
        </is>
      </c>
      <c r="D469" s="43" t="inlineStr">
        <is>
          <t>在来・204</t>
        </is>
      </c>
      <c r="E469" s="43" t="inlineStr">
        <is>
          <t>16511</t>
        </is>
      </c>
      <c r="F469" s="43" t="inlineStr">
        <is>
          <t>165</t>
        </is>
      </c>
      <c r="G469" s="43" t="inlineStr">
        <is>
          <t>11</t>
        </is>
      </c>
      <c r="H469" s="43" t="n">
        <v>1690</v>
      </c>
      <c r="I469" s="43" t="n">
        <v>1170</v>
      </c>
      <c r="J469" s="43" t="inlineStr">
        <is>
          <t>設定可</t>
        </is>
      </c>
      <c r="K469" s="43" t="b">
        <v>1</v>
      </c>
      <c r="L469" s="43" t="inlineStr">
        <is>
          <t>108</t>
        </is>
      </c>
      <c r="M469" s="43" t="inlineStr">
        <is>
          <t>¥93,800 / ¥101,300</t>
        </is>
      </c>
    </row>
    <row r="470">
      <c r="A470" s="43" t="inlineStr">
        <is>
          <t>SZ-SL-000803</t>
        </is>
      </c>
      <c r="B470" s="43" t="inlineStr">
        <is>
          <t>面格子付引違い窓</t>
        </is>
      </c>
      <c r="C470" s="43" t="inlineStr">
        <is>
          <t>SP-SL-GRILLE-V</t>
        </is>
      </c>
      <c r="D470" s="43" t="inlineStr">
        <is>
          <t>在来・204</t>
        </is>
      </c>
      <c r="E470" s="43" t="inlineStr">
        <is>
          <t>13311</t>
        </is>
      </c>
      <c r="F470" s="43" t="inlineStr">
        <is>
          <t>133</t>
        </is>
      </c>
      <c r="G470" s="43" t="inlineStr">
        <is>
          <t>11</t>
        </is>
      </c>
      <c r="H470" s="43" t="n">
        <v>1370</v>
      </c>
      <c r="I470" s="43" t="n">
        <v>1170</v>
      </c>
      <c r="J470" s="43" t="inlineStr">
        <is>
          <t>設定可</t>
        </is>
      </c>
      <c r="K470" s="43" t="b">
        <v>1</v>
      </c>
      <c r="L470" s="43" t="inlineStr">
        <is>
          <t>108</t>
        </is>
      </c>
      <c r="M470" s="43" t="inlineStr">
        <is>
          <t>¥69,300 / ¥75,500</t>
        </is>
      </c>
    </row>
    <row r="471">
      <c r="A471" s="43" t="inlineStr">
        <is>
          <t>SZ-SL-000804</t>
        </is>
      </c>
      <c r="B471" s="43" t="inlineStr">
        <is>
          <t>面格子付引違い窓</t>
        </is>
      </c>
      <c r="C471" s="43" t="inlineStr">
        <is>
          <t>SP-SL-GRILLE-V</t>
        </is>
      </c>
      <c r="D471" s="43" t="inlineStr">
        <is>
          <t>在来・204</t>
        </is>
      </c>
      <c r="E471" s="43" t="inlineStr">
        <is>
          <t>15011</t>
        </is>
      </c>
      <c r="F471" s="43" t="inlineStr">
        <is>
          <t>150</t>
        </is>
      </c>
      <c r="G471" s="43" t="inlineStr">
        <is>
          <t>11</t>
        </is>
      </c>
      <c r="H471" s="43" t="n">
        <v>1540</v>
      </c>
      <c r="I471" s="43" t="n">
        <v>1170</v>
      </c>
      <c r="J471" s="43" t="inlineStr">
        <is>
          <t>設定可</t>
        </is>
      </c>
      <c r="K471" s="43" t="b">
        <v>1</v>
      </c>
      <c r="L471" s="43" t="inlineStr">
        <is>
          <t>108</t>
        </is>
      </c>
      <c r="M471" s="43" t="inlineStr">
        <is>
          <t>¥76,300 / ¥82,900</t>
        </is>
      </c>
    </row>
    <row r="472">
      <c r="A472" s="43" t="inlineStr">
        <is>
          <t>SZ-SL-000805</t>
        </is>
      </c>
      <c r="B472" s="43" t="inlineStr">
        <is>
          <t>面格子付引違い窓</t>
        </is>
      </c>
      <c r="C472" s="43" t="inlineStr">
        <is>
          <t>SP-SL-GRILLE-V</t>
        </is>
      </c>
      <c r="D472" s="43" t="inlineStr">
        <is>
          <t>在来・204</t>
        </is>
      </c>
      <c r="E472" s="43" t="inlineStr">
        <is>
          <t>16011</t>
        </is>
      </c>
      <c r="F472" s="43" t="inlineStr">
        <is>
          <t>160</t>
        </is>
      </c>
      <c r="G472" s="43" t="inlineStr">
        <is>
          <t>11</t>
        </is>
      </c>
      <c r="H472" s="43" t="n">
        <v>1640</v>
      </c>
      <c r="I472" s="43" t="n">
        <v>1170</v>
      </c>
      <c r="J472" s="43" t="inlineStr">
        <is>
          <t>設定可</t>
        </is>
      </c>
      <c r="K472" s="43" t="b">
        <v>1</v>
      </c>
      <c r="L472" s="43" t="inlineStr">
        <is>
          <t>108</t>
        </is>
      </c>
      <c r="M472" s="43" t="inlineStr">
        <is>
          <t>¥77,500 / ¥84,000</t>
        </is>
      </c>
    </row>
    <row r="473">
      <c r="A473" s="43" t="inlineStr">
        <is>
          <t>SZ-SL-000806</t>
        </is>
      </c>
      <c r="B473" s="43" t="inlineStr">
        <is>
          <t>面格子付引違い窓</t>
        </is>
      </c>
      <c r="C473" s="43" t="inlineStr">
        <is>
          <t>SP-SL-GRILLE-V</t>
        </is>
      </c>
      <c r="D473" s="43" t="inlineStr">
        <is>
          <t>在来・204</t>
        </is>
      </c>
      <c r="E473" s="43" t="inlineStr">
        <is>
          <t>16511</t>
        </is>
      </c>
      <c r="F473" s="43" t="inlineStr">
        <is>
          <t>165</t>
        </is>
      </c>
      <c r="G473" s="43" t="inlineStr">
        <is>
          <t>11</t>
        </is>
      </c>
      <c r="H473" s="43" t="n">
        <v>1690</v>
      </c>
      <c r="I473" s="43" t="n">
        <v>1170</v>
      </c>
      <c r="J473" s="43" t="inlineStr">
        <is>
          <t>設定可</t>
        </is>
      </c>
      <c r="K473" s="43" t="b">
        <v>1</v>
      </c>
      <c r="L473" s="43" t="inlineStr">
        <is>
          <t>108</t>
        </is>
      </c>
      <c r="M473" s="43" t="inlineStr">
        <is>
          <t>¥77,500 / ¥84,000</t>
        </is>
      </c>
    </row>
    <row r="474">
      <c r="A474" s="43" t="inlineStr">
        <is>
          <t>SZ-SL-000807</t>
        </is>
      </c>
      <c r="B474" s="43" t="inlineStr">
        <is>
          <t>面格子付引違い窓</t>
        </is>
      </c>
      <c r="C474" s="43" t="inlineStr">
        <is>
          <t>SP-SL-GRILLE-DIA</t>
        </is>
      </c>
      <c r="D474" s="43" t="inlineStr">
        <is>
          <t>在来・204</t>
        </is>
      </c>
      <c r="E474" s="43" t="inlineStr">
        <is>
          <t>17411</t>
        </is>
      </c>
      <c r="F474" s="43" t="inlineStr">
        <is>
          <t>174</t>
        </is>
      </c>
      <c r="G474" s="43" t="inlineStr">
        <is>
          <t>11</t>
        </is>
      </c>
      <c r="H474" s="43" t="n">
        <v>1780</v>
      </c>
      <c r="I474" s="43" t="n">
        <v>1170</v>
      </c>
      <c r="J474" s="43" t="inlineStr">
        <is>
          <t>設定可</t>
        </is>
      </c>
      <c r="K474" s="43" t="b">
        <v>1</v>
      </c>
      <c r="L474" s="43" t="inlineStr">
        <is>
          <t>109</t>
        </is>
      </c>
      <c r="M474" s="43" t="inlineStr">
        <is>
          <t>¥100,400 / ¥108,600</t>
        </is>
      </c>
    </row>
    <row r="475">
      <c r="A475" s="43" t="inlineStr">
        <is>
          <t>SZ-SL-000808</t>
        </is>
      </c>
      <c r="B475" s="43" t="inlineStr">
        <is>
          <t>面格子付引違い窓</t>
        </is>
      </c>
      <c r="C475" s="43" t="inlineStr">
        <is>
          <t>SP-SL-GRILLE-DIA</t>
        </is>
      </c>
      <c r="D475" s="43" t="inlineStr">
        <is>
          <t>在来・204</t>
        </is>
      </c>
      <c r="E475" s="43" t="inlineStr">
        <is>
          <t>17611</t>
        </is>
      </c>
      <c r="F475" s="43" t="inlineStr">
        <is>
          <t>176</t>
        </is>
      </c>
      <c r="G475" s="43" t="inlineStr">
        <is>
          <t>11</t>
        </is>
      </c>
      <c r="H475" s="43" t="n">
        <v>1800</v>
      </c>
      <c r="I475" s="43" t="n">
        <v>1170</v>
      </c>
      <c r="J475" s="43" t="inlineStr">
        <is>
          <t>設定可</t>
        </is>
      </c>
      <c r="K475" s="43" t="b">
        <v>1</v>
      </c>
      <c r="L475" s="43" t="inlineStr">
        <is>
          <t>109</t>
        </is>
      </c>
      <c r="M475" s="43" t="inlineStr">
        <is>
          <t>¥100,400 / ¥108,600</t>
        </is>
      </c>
    </row>
    <row r="476">
      <c r="A476" s="43" t="inlineStr">
        <is>
          <t>SZ-SL-000809</t>
        </is>
      </c>
      <c r="B476" s="43" t="inlineStr">
        <is>
          <t>面格子付引違い窓</t>
        </is>
      </c>
      <c r="C476" s="43" t="inlineStr">
        <is>
          <t>SP-SL-GRILLE-DIA</t>
        </is>
      </c>
      <c r="D476" s="43" t="inlineStr">
        <is>
          <t>在来・204</t>
        </is>
      </c>
      <c r="E476" s="43" t="inlineStr">
        <is>
          <t>18011</t>
        </is>
      </c>
      <c r="F476" s="43" t="inlineStr">
        <is>
          <t>180</t>
        </is>
      </c>
      <c r="G476" s="43" t="inlineStr">
        <is>
          <t>11</t>
        </is>
      </c>
      <c r="H476" s="43" t="n">
        <v>1845</v>
      </c>
      <c r="I476" s="43" t="n">
        <v>1170</v>
      </c>
      <c r="J476" s="43" t="inlineStr">
        <is>
          <t>設定可</t>
        </is>
      </c>
      <c r="K476" s="43" t="b">
        <v>1</v>
      </c>
      <c r="L476" s="43" t="inlineStr">
        <is>
          <t>109</t>
        </is>
      </c>
      <c r="M476" s="43" t="inlineStr">
        <is>
          <t>¥100,400 / ¥108,600</t>
        </is>
      </c>
    </row>
    <row r="477">
      <c r="A477" s="43" t="inlineStr">
        <is>
          <t>SZ-SL-000810</t>
        </is>
      </c>
      <c r="B477" s="43" t="inlineStr">
        <is>
          <t>面格子付引違い窓</t>
        </is>
      </c>
      <c r="C477" s="43" t="inlineStr">
        <is>
          <t>SP-SL-GRILLE-DIA</t>
        </is>
      </c>
      <c r="D477" s="43" t="inlineStr">
        <is>
          <t>在来・204</t>
        </is>
      </c>
      <c r="E477" s="43" t="inlineStr">
        <is>
          <t>18611</t>
        </is>
      </c>
      <c r="F477" s="43" t="inlineStr">
        <is>
          <t>186</t>
        </is>
      </c>
      <c r="G477" s="43" t="inlineStr">
        <is>
          <t>11</t>
        </is>
      </c>
      <c r="H477" s="43" t="n">
        <v>1900</v>
      </c>
      <c r="I477" s="43" t="n">
        <v>1170</v>
      </c>
      <c r="J477" s="43" t="inlineStr">
        <is>
          <t>設定可</t>
        </is>
      </c>
      <c r="K477" s="43" t="b">
        <v>1</v>
      </c>
      <c r="L477" s="43" t="inlineStr">
        <is>
          <t>109</t>
        </is>
      </c>
      <c r="M477" s="43" t="inlineStr">
        <is>
          <t>¥100,400 / ¥108,600</t>
        </is>
      </c>
    </row>
    <row r="478">
      <c r="A478" s="43" t="inlineStr">
        <is>
          <t>SZ-SL-000811</t>
        </is>
      </c>
      <c r="B478" s="43" t="inlineStr">
        <is>
          <t>面格子付引違い窓</t>
        </is>
      </c>
      <c r="C478" s="43" t="inlineStr">
        <is>
          <t>SP-SL-GRILLE-H</t>
        </is>
      </c>
      <c r="D478" s="43" t="inlineStr">
        <is>
          <t>在来・204</t>
        </is>
      </c>
      <c r="E478" s="43" t="inlineStr">
        <is>
          <t>17411</t>
        </is>
      </c>
      <c r="F478" s="43" t="inlineStr">
        <is>
          <t>174</t>
        </is>
      </c>
      <c r="G478" s="43" t="inlineStr">
        <is>
          <t>11</t>
        </is>
      </c>
      <c r="H478" s="43" t="n">
        <v>1780</v>
      </c>
      <c r="I478" s="43" t="n">
        <v>1170</v>
      </c>
      <c r="J478" s="43" t="inlineStr">
        <is>
          <t>設定なし</t>
        </is>
      </c>
      <c r="K478" s="43" t="b">
        <v>0</v>
      </c>
      <c r="L478" s="43" t="inlineStr">
        <is>
          <t>109</t>
        </is>
      </c>
      <c r="M478" s="43" t="inlineStr">
        <is>
          <t>＿＿</t>
        </is>
      </c>
    </row>
    <row r="479">
      <c r="A479" s="43" t="inlineStr">
        <is>
          <t>SZ-SL-000812</t>
        </is>
      </c>
      <c r="B479" s="43" t="inlineStr">
        <is>
          <t>面格子付引違い窓</t>
        </is>
      </c>
      <c r="C479" s="43" t="inlineStr">
        <is>
          <t>SP-SL-GRILLE-H</t>
        </is>
      </c>
      <c r="D479" s="43" t="inlineStr">
        <is>
          <t>在来・204</t>
        </is>
      </c>
      <c r="E479" s="43" t="inlineStr">
        <is>
          <t>17611</t>
        </is>
      </c>
      <c r="F479" s="43" t="inlineStr">
        <is>
          <t>176</t>
        </is>
      </c>
      <c r="G479" s="43" t="inlineStr">
        <is>
          <t>11</t>
        </is>
      </c>
      <c r="H479" s="43" t="n">
        <v>1800</v>
      </c>
      <c r="I479" s="43" t="n">
        <v>1170</v>
      </c>
      <c r="J479" s="43" t="inlineStr">
        <is>
          <t>設定なし</t>
        </is>
      </c>
      <c r="K479" s="43" t="b">
        <v>0</v>
      </c>
      <c r="L479" s="43" t="inlineStr">
        <is>
          <t>109</t>
        </is>
      </c>
      <c r="M479" s="43" t="inlineStr">
        <is>
          <t>＿＿</t>
        </is>
      </c>
    </row>
    <row r="480">
      <c r="A480" s="43" t="inlineStr">
        <is>
          <t>SZ-SL-000813</t>
        </is>
      </c>
      <c r="B480" s="43" t="inlineStr">
        <is>
          <t>面格子付引違い窓</t>
        </is>
      </c>
      <c r="C480" s="43" t="inlineStr">
        <is>
          <t>SP-SL-GRILLE-H</t>
        </is>
      </c>
      <c r="D480" s="43" t="inlineStr">
        <is>
          <t>在来・204</t>
        </is>
      </c>
      <c r="E480" s="43" t="inlineStr">
        <is>
          <t>18011</t>
        </is>
      </c>
      <c r="F480" s="43" t="inlineStr">
        <is>
          <t>180</t>
        </is>
      </c>
      <c r="G480" s="43" t="inlineStr">
        <is>
          <t>11</t>
        </is>
      </c>
      <c r="H480" s="43" t="n">
        <v>1845</v>
      </c>
      <c r="I480" s="43" t="n">
        <v>1170</v>
      </c>
      <c r="J480" s="43" t="inlineStr">
        <is>
          <t>設定なし</t>
        </is>
      </c>
      <c r="K480" s="43" t="b">
        <v>0</v>
      </c>
      <c r="L480" s="43" t="inlineStr">
        <is>
          <t>109</t>
        </is>
      </c>
      <c r="M480" s="43" t="inlineStr">
        <is>
          <t>＿＿</t>
        </is>
      </c>
    </row>
    <row r="481">
      <c r="A481" s="43" t="inlineStr">
        <is>
          <t>SZ-SL-000814</t>
        </is>
      </c>
      <c r="B481" s="43" t="inlineStr">
        <is>
          <t>面格子付引違い窓</t>
        </is>
      </c>
      <c r="C481" s="43" t="inlineStr">
        <is>
          <t>SP-SL-GRILLE-H</t>
        </is>
      </c>
      <c r="D481" s="43" t="inlineStr">
        <is>
          <t>在来・204</t>
        </is>
      </c>
      <c r="E481" s="43" t="inlineStr">
        <is>
          <t>18611</t>
        </is>
      </c>
      <c r="F481" s="43" t="inlineStr">
        <is>
          <t>186</t>
        </is>
      </c>
      <c r="G481" s="43" t="inlineStr">
        <is>
          <t>11</t>
        </is>
      </c>
      <c r="H481" s="43" t="n">
        <v>1900</v>
      </c>
      <c r="I481" s="43" t="n">
        <v>1170</v>
      </c>
      <c r="J481" s="43" t="inlineStr">
        <is>
          <t>設定なし</t>
        </is>
      </c>
      <c r="K481" s="43" t="b">
        <v>0</v>
      </c>
      <c r="L481" s="43" t="inlineStr">
        <is>
          <t>109</t>
        </is>
      </c>
      <c r="M481" s="43" t="inlineStr">
        <is>
          <t>＿＿</t>
        </is>
      </c>
    </row>
    <row r="482">
      <c r="A482" s="43" t="inlineStr">
        <is>
          <t>SZ-SL-000815</t>
        </is>
      </c>
      <c r="B482" s="43" t="inlineStr">
        <is>
          <t>面格子付引違い窓</t>
        </is>
      </c>
      <c r="C482" s="43" t="inlineStr">
        <is>
          <t>SP-SL-GRILLE-IGETA</t>
        </is>
      </c>
      <c r="D482" s="43" t="inlineStr">
        <is>
          <t>在来・204</t>
        </is>
      </c>
      <c r="E482" s="43" t="inlineStr">
        <is>
          <t>17411</t>
        </is>
      </c>
      <c r="F482" s="43" t="inlineStr">
        <is>
          <t>174</t>
        </is>
      </c>
      <c r="G482" s="43" t="inlineStr">
        <is>
          <t>11</t>
        </is>
      </c>
      <c r="H482" s="43" t="n">
        <v>1780</v>
      </c>
      <c r="I482" s="43" t="n">
        <v>1170</v>
      </c>
      <c r="J482" s="43" t="inlineStr">
        <is>
          <t>設定可</t>
        </is>
      </c>
      <c r="K482" s="43" t="b">
        <v>1</v>
      </c>
      <c r="L482" s="43" t="inlineStr">
        <is>
          <t>109</t>
        </is>
      </c>
      <c r="M482" s="43" t="inlineStr">
        <is>
          <t>¥100,400 / ¥108,600</t>
        </is>
      </c>
    </row>
    <row r="483">
      <c r="A483" s="43" t="inlineStr">
        <is>
          <t>SZ-SL-000816</t>
        </is>
      </c>
      <c r="B483" s="43" t="inlineStr">
        <is>
          <t>面格子付引違い窓</t>
        </is>
      </c>
      <c r="C483" s="43" t="inlineStr">
        <is>
          <t>SP-SL-GRILLE-IGETA</t>
        </is>
      </c>
      <c r="D483" s="43" t="inlineStr">
        <is>
          <t>在来・204</t>
        </is>
      </c>
      <c r="E483" s="43" t="inlineStr">
        <is>
          <t>17611</t>
        </is>
      </c>
      <c r="F483" s="43" t="inlineStr">
        <is>
          <t>176</t>
        </is>
      </c>
      <c r="G483" s="43" t="inlineStr">
        <is>
          <t>11</t>
        </is>
      </c>
      <c r="H483" s="43" t="n">
        <v>1800</v>
      </c>
      <c r="I483" s="43" t="n">
        <v>1170</v>
      </c>
      <c r="J483" s="43" t="inlineStr">
        <is>
          <t>設定可</t>
        </is>
      </c>
      <c r="K483" s="43" t="b">
        <v>1</v>
      </c>
      <c r="L483" s="43" t="inlineStr">
        <is>
          <t>109</t>
        </is>
      </c>
      <c r="M483" s="43" t="inlineStr">
        <is>
          <t>¥100,400 / ¥108,600</t>
        </is>
      </c>
    </row>
    <row r="484">
      <c r="A484" s="43" t="inlineStr">
        <is>
          <t>SZ-SL-000817</t>
        </is>
      </c>
      <c r="B484" s="43" t="inlineStr">
        <is>
          <t>面格子付引違い窓</t>
        </is>
      </c>
      <c r="C484" s="43" t="inlineStr">
        <is>
          <t>SP-SL-GRILLE-IGETA</t>
        </is>
      </c>
      <c r="D484" s="43" t="inlineStr">
        <is>
          <t>在来・204</t>
        </is>
      </c>
      <c r="E484" s="43" t="inlineStr">
        <is>
          <t>18011</t>
        </is>
      </c>
      <c r="F484" s="43" t="inlineStr">
        <is>
          <t>180</t>
        </is>
      </c>
      <c r="G484" s="43" t="inlineStr">
        <is>
          <t>11</t>
        </is>
      </c>
      <c r="H484" s="43" t="n">
        <v>1845</v>
      </c>
      <c r="I484" s="43" t="n">
        <v>1170</v>
      </c>
      <c r="J484" s="43" t="inlineStr">
        <is>
          <t>設定可</t>
        </is>
      </c>
      <c r="K484" s="43" t="b">
        <v>1</v>
      </c>
      <c r="L484" s="43" t="inlineStr">
        <is>
          <t>109</t>
        </is>
      </c>
      <c r="M484" s="43" t="inlineStr">
        <is>
          <t>¥100,400 / ¥108,600</t>
        </is>
      </c>
    </row>
    <row r="485">
      <c r="A485" s="43" t="inlineStr">
        <is>
          <t>SZ-SL-000818</t>
        </is>
      </c>
      <c r="B485" s="43" t="inlineStr">
        <is>
          <t>面格子付引違い窓</t>
        </is>
      </c>
      <c r="C485" s="43" t="inlineStr">
        <is>
          <t>SP-SL-GRILLE-IGETA</t>
        </is>
      </c>
      <c r="D485" s="43" t="inlineStr">
        <is>
          <t>在来・204</t>
        </is>
      </c>
      <c r="E485" s="43" t="inlineStr">
        <is>
          <t>18611</t>
        </is>
      </c>
      <c r="F485" s="43" t="inlineStr">
        <is>
          <t>186</t>
        </is>
      </c>
      <c r="G485" s="43" t="inlineStr">
        <is>
          <t>11</t>
        </is>
      </c>
      <c r="H485" s="43" t="n">
        <v>1900</v>
      </c>
      <c r="I485" s="43" t="n">
        <v>1170</v>
      </c>
      <c r="J485" s="43" t="inlineStr">
        <is>
          <t>設定可</t>
        </is>
      </c>
      <c r="K485" s="43" t="b">
        <v>1</v>
      </c>
      <c r="L485" s="43" t="inlineStr">
        <is>
          <t>109</t>
        </is>
      </c>
      <c r="M485" s="43" t="inlineStr">
        <is>
          <t>¥100,400 / ¥108,600</t>
        </is>
      </c>
    </row>
    <row r="486">
      <c r="A486" s="43" t="inlineStr">
        <is>
          <t>SZ-SL-000819</t>
        </is>
      </c>
      <c r="B486" s="43" t="inlineStr">
        <is>
          <t>面格子付引違い窓</t>
        </is>
      </c>
      <c r="C486" s="43" t="inlineStr">
        <is>
          <t>SP-SL-GRILLE-V</t>
        </is>
      </c>
      <c r="D486" s="43" t="inlineStr">
        <is>
          <t>在来・204</t>
        </is>
      </c>
      <c r="E486" s="43" t="inlineStr">
        <is>
          <t>17411</t>
        </is>
      </c>
      <c r="F486" s="43" t="inlineStr">
        <is>
          <t>174</t>
        </is>
      </c>
      <c r="G486" s="43" t="inlineStr">
        <is>
          <t>11</t>
        </is>
      </c>
      <c r="H486" s="43" t="n">
        <v>1780</v>
      </c>
      <c r="I486" s="43" t="n">
        <v>1170</v>
      </c>
      <c r="J486" s="43" t="inlineStr">
        <is>
          <t>設定可</t>
        </is>
      </c>
      <c r="K486" s="43" t="b">
        <v>1</v>
      </c>
      <c r="L486" s="43" t="inlineStr">
        <is>
          <t>109</t>
        </is>
      </c>
      <c r="M486" s="43" t="inlineStr">
        <is>
          <t>¥82,800 / ¥89,800</t>
        </is>
      </c>
    </row>
    <row r="487">
      <c r="A487" s="43" t="inlineStr">
        <is>
          <t>SZ-SL-000820</t>
        </is>
      </c>
      <c r="B487" s="43" t="inlineStr">
        <is>
          <t>面格子付引違い窓</t>
        </is>
      </c>
      <c r="C487" s="43" t="inlineStr">
        <is>
          <t>SP-SL-GRILLE-V</t>
        </is>
      </c>
      <c r="D487" s="43" t="inlineStr">
        <is>
          <t>在来・204</t>
        </is>
      </c>
      <c r="E487" s="43" t="inlineStr">
        <is>
          <t>17611</t>
        </is>
      </c>
      <c r="F487" s="43" t="inlineStr">
        <is>
          <t>176</t>
        </is>
      </c>
      <c r="G487" s="43" t="inlineStr">
        <is>
          <t>11</t>
        </is>
      </c>
      <c r="H487" s="43" t="n">
        <v>1800</v>
      </c>
      <c r="I487" s="43" t="n">
        <v>1170</v>
      </c>
      <c r="J487" s="43" t="inlineStr">
        <is>
          <t>設定可</t>
        </is>
      </c>
      <c r="K487" s="43" t="b">
        <v>1</v>
      </c>
      <c r="L487" s="43" t="inlineStr">
        <is>
          <t>109</t>
        </is>
      </c>
      <c r="M487" s="43" t="inlineStr">
        <is>
          <t>¥82,800 / ¥89,800</t>
        </is>
      </c>
    </row>
    <row r="488">
      <c r="A488" s="43" t="inlineStr">
        <is>
          <t>SZ-SL-000821</t>
        </is>
      </c>
      <c r="B488" s="43" t="inlineStr">
        <is>
          <t>面格子付引違い窓</t>
        </is>
      </c>
      <c r="C488" s="43" t="inlineStr">
        <is>
          <t>SP-SL-GRILLE-V</t>
        </is>
      </c>
      <c r="D488" s="43" t="inlineStr">
        <is>
          <t>在来・204</t>
        </is>
      </c>
      <c r="E488" s="43" t="inlineStr">
        <is>
          <t>18011</t>
        </is>
      </c>
      <c r="F488" s="43" t="inlineStr">
        <is>
          <t>180</t>
        </is>
      </c>
      <c r="G488" s="43" t="inlineStr">
        <is>
          <t>11</t>
        </is>
      </c>
      <c r="H488" s="43" t="n">
        <v>1845</v>
      </c>
      <c r="I488" s="43" t="n">
        <v>1170</v>
      </c>
      <c r="J488" s="43" t="inlineStr">
        <is>
          <t>設定可</t>
        </is>
      </c>
      <c r="K488" s="43" t="b">
        <v>1</v>
      </c>
      <c r="L488" s="43" t="inlineStr">
        <is>
          <t>109</t>
        </is>
      </c>
      <c r="M488" s="43" t="inlineStr">
        <is>
          <t>¥82,800 / ¥89,800</t>
        </is>
      </c>
    </row>
    <row r="489">
      <c r="A489" s="43" t="inlineStr">
        <is>
          <t>SZ-SL-000822</t>
        </is>
      </c>
      <c r="B489" s="43" t="inlineStr">
        <is>
          <t>面格子付引違い窓</t>
        </is>
      </c>
      <c r="C489" s="43" t="inlineStr">
        <is>
          <t>SP-SL-GRILLE-V</t>
        </is>
      </c>
      <c r="D489" s="43" t="inlineStr">
        <is>
          <t>在来・204</t>
        </is>
      </c>
      <c r="E489" s="43" t="inlineStr">
        <is>
          <t>18611</t>
        </is>
      </c>
      <c r="F489" s="43" t="inlineStr">
        <is>
          <t>186</t>
        </is>
      </c>
      <c r="G489" s="43" t="inlineStr">
        <is>
          <t>11</t>
        </is>
      </c>
      <c r="H489" s="43" t="n">
        <v>1900</v>
      </c>
      <c r="I489" s="43" t="n">
        <v>1170</v>
      </c>
      <c r="J489" s="43" t="inlineStr">
        <is>
          <t>設定可</t>
        </is>
      </c>
      <c r="K489" s="43" t="b">
        <v>1</v>
      </c>
      <c r="L489" s="43" t="inlineStr">
        <is>
          <t>109</t>
        </is>
      </c>
      <c r="M489" s="43" t="inlineStr">
        <is>
          <t>¥82,800 / ¥89,800</t>
        </is>
      </c>
    </row>
    <row r="490">
      <c r="A490" s="43" t="inlineStr">
        <is>
          <t>SZ-SL-000823</t>
        </is>
      </c>
      <c r="B490" s="43" t="inlineStr">
        <is>
          <t>面格子付引違い窓</t>
        </is>
      </c>
      <c r="C490" s="43" t="inlineStr">
        <is>
          <t>SP-SL-GRILLE-DIA</t>
        </is>
      </c>
      <c r="D490" s="43" t="inlineStr">
        <is>
          <t>在来・204</t>
        </is>
      </c>
      <c r="E490" s="43" t="inlineStr">
        <is>
          <t>11413</t>
        </is>
      </c>
      <c r="F490" s="43" t="inlineStr">
        <is>
          <t>114</t>
        </is>
      </c>
      <c r="G490" s="43" t="inlineStr">
        <is>
          <t>13</t>
        </is>
      </c>
      <c r="H490" s="43" t="n">
        <v>1185</v>
      </c>
      <c r="I490" s="43" t="n">
        <v>1370</v>
      </c>
      <c r="J490" s="43" t="inlineStr">
        <is>
          <t>設定可</t>
        </is>
      </c>
      <c r="K490" s="43" t="b">
        <v>1</v>
      </c>
      <c r="L490" s="43" t="inlineStr">
        <is>
          <t>111</t>
        </is>
      </c>
      <c r="M490" s="43" t="inlineStr">
        <is>
          <t>¥86,100 / ¥92,900</t>
        </is>
      </c>
    </row>
    <row r="491">
      <c r="A491" s="43" t="inlineStr">
        <is>
          <t>SZ-SL-000824</t>
        </is>
      </c>
      <c r="B491" s="43" t="inlineStr">
        <is>
          <t>面格子付引違い窓</t>
        </is>
      </c>
      <c r="C491" s="43" t="inlineStr">
        <is>
          <t>SP-SL-GRILLE-DIA</t>
        </is>
      </c>
      <c r="D491" s="43" t="inlineStr">
        <is>
          <t>在来・204</t>
        </is>
      </c>
      <c r="E491" s="43" t="inlineStr">
        <is>
          <t>11913</t>
        </is>
      </c>
      <c r="F491" s="43" t="inlineStr">
        <is>
          <t>119</t>
        </is>
      </c>
      <c r="G491" s="43" t="inlineStr">
        <is>
          <t>13</t>
        </is>
      </c>
      <c r="H491" s="43" t="n">
        <v>1235</v>
      </c>
      <c r="I491" s="43" t="n">
        <v>1370</v>
      </c>
      <c r="J491" s="43" t="inlineStr">
        <is>
          <t>設定可</t>
        </is>
      </c>
      <c r="K491" s="43" t="b">
        <v>1</v>
      </c>
      <c r="L491" s="43" t="inlineStr">
        <is>
          <t>111</t>
        </is>
      </c>
      <c r="M491" s="43" t="inlineStr">
        <is>
          <t>¥86,100 / ¥92,900</t>
        </is>
      </c>
    </row>
    <row r="492">
      <c r="A492" s="43" t="inlineStr">
        <is>
          <t>SZ-SL-000825</t>
        </is>
      </c>
      <c r="B492" s="43" t="inlineStr">
        <is>
          <t>面格子付引違い窓</t>
        </is>
      </c>
      <c r="C492" s="43" t="inlineStr">
        <is>
          <t>SP-SL-GRILLE-H</t>
        </is>
      </c>
      <c r="D492" s="43" t="inlineStr">
        <is>
          <t>在来・204</t>
        </is>
      </c>
      <c r="E492" s="43" t="inlineStr">
        <is>
          <t>11413</t>
        </is>
      </c>
      <c r="F492" s="43" t="inlineStr">
        <is>
          <t>114</t>
        </is>
      </c>
      <c r="G492" s="43" t="inlineStr">
        <is>
          <t>13</t>
        </is>
      </c>
      <c r="H492" s="43" t="n">
        <v>1185</v>
      </c>
      <c r="I492" s="43" t="n">
        <v>1370</v>
      </c>
      <c r="J492" s="43" t="inlineStr">
        <is>
          <t>設定可</t>
        </is>
      </c>
      <c r="K492" s="43" t="b">
        <v>1</v>
      </c>
      <c r="L492" s="43" t="inlineStr">
        <is>
          <t>111</t>
        </is>
      </c>
      <c r="M492" s="43" t="inlineStr">
        <is>
          <t>¥86,100 / ¥92,900</t>
        </is>
      </c>
    </row>
    <row r="493">
      <c r="A493" s="43" t="inlineStr">
        <is>
          <t>SZ-SL-000826</t>
        </is>
      </c>
      <c r="B493" s="43" t="inlineStr">
        <is>
          <t>面格子付引違い窓</t>
        </is>
      </c>
      <c r="C493" s="43" t="inlineStr">
        <is>
          <t>SP-SL-GRILLE-H</t>
        </is>
      </c>
      <c r="D493" s="43" t="inlineStr">
        <is>
          <t>在来・204</t>
        </is>
      </c>
      <c r="E493" s="43" t="inlineStr">
        <is>
          <t>11913</t>
        </is>
      </c>
      <c r="F493" s="43" t="inlineStr">
        <is>
          <t>119</t>
        </is>
      </c>
      <c r="G493" s="43" t="inlineStr">
        <is>
          <t>13</t>
        </is>
      </c>
      <c r="H493" s="43" t="n">
        <v>1235</v>
      </c>
      <c r="I493" s="43" t="n">
        <v>1370</v>
      </c>
      <c r="J493" s="43" t="inlineStr">
        <is>
          <t>設定可</t>
        </is>
      </c>
      <c r="K493" s="43" t="b">
        <v>1</v>
      </c>
      <c r="L493" s="43" t="inlineStr">
        <is>
          <t>111</t>
        </is>
      </c>
      <c r="M493" s="43" t="inlineStr">
        <is>
          <t>¥86,100 / ¥92,900</t>
        </is>
      </c>
    </row>
    <row r="494">
      <c r="A494" s="43" t="inlineStr">
        <is>
          <t>SZ-SL-000827</t>
        </is>
      </c>
      <c r="B494" s="43" t="inlineStr">
        <is>
          <t>面格子付引違い窓</t>
        </is>
      </c>
      <c r="C494" s="43" t="inlineStr">
        <is>
          <t>SP-SL-GRILLE-IGETA</t>
        </is>
      </c>
      <c r="D494" s="43" t="inlineStr">
        <is>
          <t>在来・204</t>
        </is>
      </c>
      <c r="E494" s="43" t="inlineStr">
        <is>
          <t>11413</t>
        </is>
      </c>
      <c r="F494" s="43" t="inlineStr">
        <is>
          <t>114</t>
        </is>
      </c>
      <c r="G494" s="43" t="inlineStr">
        <is>
          <t>13</t>
        </is>
      </c>
      <c r="H494" s="43" t="n">
        <v>1185</v>
      </c>
      <c r="I494" s="43" t="n">
        <v>1370</v>
      </c>
      <c r="J494" s="43" t="inlineStr">
        <is>
          <t>設定可</t>
        </is>
      </c>
      <c r="K494" s="43" t="b">
        <v>1</v>
      </c>
      <c r="L494" s="43" t="inlineStr">
        <is>
          <t>111</t>
        </is>
      </c>
      <c r="M494" s="43" t="inlineStr">
        <is>
          <t>¥86,100 / ¥92,900</t>
        </is>
      </c>
    </row>
    <row r="495">
      <c r="A495" s="43" t="inlineStr">
        <is>
          <t>SZ-SL-000828</t>
        </is>
      </c>
      <c r="B495" s="43" t="inlineStr">
        <is>
          <t>面格子付引違い窓</t>
        </is>
      </c>
      <c r="C495" s="43" t="inlineStr">
        <is>
          <t>SP-SL-GRILLE-IGETA</t>
        </is>
      </c>
      <c r="D495" s="43" t="inlineStr">
        <is>
          <t>在来・204</t>
        </is>
      </c>
      <c r="E495" s="43" t="inlineStr">
        <is>
          <t>11913</t>
        </is>
      </c>
      <c r="F495" s="43" t="inlineStr">
        <is>
          <t>119</t>
        </is>
      </c>
      <c r="G495" s="43" t="inlineStr">
        <is>
          <t>13</t>
        </is>
      </c>
      <c r="H495" s="43" t="n">
        <v>1235</v>
      </c>
      <c r="I495" s="43" t="n">
        <v>1370</v>
      </c>
      <c r="J495" s="43" t="inlineStr">
        <is>
          <t>設定可</t>
        </is>
      </c>
      <c r="K495" s="43" t="b">
        <v>1</v>
      </c>
      <c r="L495" s="43" t="inlineStr">
        <is>
          <t>111</t>
        </is>
      </c>
      <c r="M495" s="43" t="inlineStr">
        <is>
          <t>¥86,100 / ¥92,900</t>
        </is>
      </c>
    </row>
    <row r="496">
      <c r="A496" s="43" t="inlineStr">
        <is>
          <t>SZ-SL-000829</t>
        </is>
      </c>
      <c r="B496" s="43" t="inlineStr">
        <is>
          <t>面格子付引違い窓</t>
        </is>
      </c>
      <c r="C496" s="43" t="inlineStr">
        <is>
          <t>SP-SL-GRILLE-V</t>
        </is>
      </c>
      <c r="D496" s="43" t="inlineStr">
        <is>
          <t>在来・204</t>
        </is>
      </c>
      <c r="E496" s="43" t="inlineStr">
        <is>
          <t>11413</t>
        </is>
      </c>
      <c r="F496" s="43" t="inlineStr">
        <is>
          <t>114</t>
        </is>
      </c>
      <c r="G496" s="43" t="inlineStr">
        <is>
          <t>13</t>
        </is>
      </c>
      <c r="H496" s="43" t="n">
        <v>1185</v>
      </c>
      <c r="I496" s="43" t="n">
        <v>1370</v>
      </c>
      <c r="J496" s="43" t="inlineStr">
        <is>
          <t>設定可</t>
        </is>
      </c>
      <c r="K496" s="43" t="b">
        <v>1</v>
      </c>
      <c r="L496" s="43" t="inlineStr">
        <is>
          <t>111</t>
        </is>
      </c>
      <c r="M496" s="43" t="inlineStr">
        <is>
          <t>¥70,600 / ¥76,600</t>
        </is>
      </c>
    </row>
    <row r="497">
      <c r="A497" s="43" t="inlineStr">
        <is>
          <t>SZ-SL-000830</t>
        </is>
      </c>
      <c r="B497" s="43" t="inlineStr">
        <is>
          <t>面格子付引違い窓</t>
        </is>
      </c>
      <c r="C497" s="43" t="inlineStr">
        <is>
          <t>SP-SL-GRILLE-V</t>
        </is>
      </c>
      <c r="D497" s="43" t="inlineStr">
        <is>
          <t>在来・204</t>
        </is>
      </c>
      <c r="E497" s="43" t="inlineStr">
        <is>
          <t>11913</t>
        </is>
      </c>
      <c r="F497" s="43" t="inlineStr">
        <is>
          <t>119</t>
        </is>
      </c>
      <c r="G497" s="43" t="inlineStr">
        <is>
          <t>13</t>
        </is>
      </c>
      <c r="H497" s="43" t="n">
        <v>1235</v>
      </c>
      <c r="I497" s="43" t="n">
        <v>1370</v>
      </c>
      <c r="J497" s="43" t="inlineStr">
        <is>
          <t>設定可</t>
        </is>
      </c>
      <c r="K497" s="43" t="b">
        <v>1</v>
      </c>
      <c r="L497" s="43" t="inlineStr">
        <is>
          <t>111</t>
        </is>
      </c>
      <c r="M497" s="43" t="inlineStr">
        <is>
          <t>¥70,600 / ¥76,600</t>
        </is>
      </c>
    </row>
    <row r="498">
      <c r="A498" s="43" t="inlineStr">
        <is>
          <t>SZ-SL-000831</t>
        </is>
      </c>
      <c r="B498" s="43" t="inlineStr">
        <is>
          <t>面格子付引違い窓</t>
        </is>
      </c>
      <c r="C498" s="43" t="inlineStr">
        <is>
          <t>SP-SL-GRILLE-DIA</t>
        </is>
      </c>
      <c r="D498" s="43" t="inlineStr">
        <is>
          <t>在来・204</t>
        </is>
      </c>
      <c r="E498" s="43" t="inlineStr">
        <is>
          <t>15013</t>
        </is>
      </c>
      <c r="F498" s="43" t="inlineStr">
        <is>
          <t>150</t>
        </is>
      </c>
      <c r="G498" s="43" t="inlineStr">
        <is>
          <t>13</t>
        </is>
      </c>
      <c r="H498" s="43" t="n">
        <v>1540</v>
      </c>
      <c r="I498" s="43" t="n">
        <v>1370</v>
      </c>
      <c r="J498" s="43" t="inlineStr">
        <is>
          <t>設定可</t>
        </is>
      </c>
      <c r="K498" s="43" t="b">
        <v>1</v>
      </c>
      <c r="L498" s="43" t="inlineStr">
        <is>
          <t>112</t>
        </is>
      </c>
      <c r="M498" s="43" t="inlineStr">
        <is>
          <t>¥99,800 / ¥107,700</t>
        </is>
      </c>
    </row>
    <row r="499">
      <c r="A499" s="43" t="inlineStr">
        <is>
          <t>SZ-SL-000832</t>
        </is>
      </c>
      <c r="B499" s="43" t="inlineStr">
        <is>
          <t>面格子付引違い窓</t>
        </is>
      </c>
      <c r="C499" s="43" t="inlineStr">
        <is>
          <t>SP-SL-GRILLE-DIA</t>
        </is>
      </c>
      <c r="D499" s="43" t="inlineStr">
        <is>
          <t>在来・204</t>
        </is>
      </c>
      <c r="E499" s="43" t="inlineStr">
        <is>
          <t>16013</t>
        </is>
      </c>
      <c r="F499" s="43" t="inlineStr">
        <is>
          <t>160</t>
        </is>
      </c>
      <c r="G499" s="43" t="inlineStr">
        <is>
          <t>13</t>
        </is>
      </c>
      <c r="H499" s="43" t="n">
        <v>1640</v>
      </c>
      <c r="I499" s="43" t="n">
        <v>1370</v>
      </c>
      <c r="J499" s="43" t="inlineStr">
        <is>
          <t>設定可</t>
        </is>
      </c>
      <c r="K499" s="43" t="b">
        <v>1</v>
      </c>
      <c r="L499" s="43" t="inlineStr">
        <is>
          <t>112</t>
        </is>
      </c>
      <c r="M499" s="43" t="inlineStr">
        <is>
          <t>¥101,700 / ¥109,900</t>
        </is>
      </c>
    </row>
    <row r="500">
      <c r="A500" s="43" t="inlineStr">
        <is>
          <t>SZ-SL-000833</t>
        </is>
      </c>
      <c r="B500" s="43" t="inlineStr">
        <is>
          <t>面格子付引違い窓</t>
        </is>
      </c>
      <c r="C500" s="43" t="inlineStr">
        <is>
          <t>SP-SL-GRILLE-DIA</t>
        </is>
      </c>
      <c r="D500" s="43" t="inlineStr">
        <is>
          <t>在来・204</t>
        </is>
      </c>
      <c r="E500" s="43" t="inlineStr">
        <is>
          <t>16513</t>
        </is>
      </c>
      <c r="F500" s="43" t="inlineStr">
        <is>
          <t>165</t>
        </is>
      </c>
      <c r="G500" s="43" t="inlineStr">
        <is>
          <t>13</t>
        </is>
      </c>
      <c r="H500" s="43" t="n">
        <v>1690</v>
      </c>
      <c r="I500" s="43" t="n">
        <v>1370</v>
      </c>
      <c r="J500" s="43" t="inlineStr">
        <is>
          <t>設定可</t>
        </is>
      </c>
      <c r="K500" s="43" t="b">
        <v>1</v>
      </c>
      <c r="L500" s="43" t="inlineStr">
        <is>
          <t>112</t>
        </is>
      </c>
      <c r="M500" s="43" t="inlineStr">
        <is>
          <t>¥101,700 / ¥109,900</t>
        </is>
      </c>
    </row>
    <row r="501">
      <c r="A501" s="43" t="inlineStr">
        <is>
          <t>SZ-SL-000834</t>
        </is>
      </c>
      <c r="B501" s="43" t="inlineStr">
        <is>
          <t>面格子付引違い窓</t>
        </is>
      </c>
      <c r="C501" s="43" t="inlineStr">
        <is>
          <t>SP-SL-GRILLE-H</t>
        </is>
      </c>
      <c r="D501" s="43" t="inlineStr">
        <is>
          <t>在来・204</t>
        </is>
      </c>
      <c r="E501" s="43" t="inlineStr">
        <is>
          <t>15013</t>
        </is>
      </c>
      <c r="F501" s="43" t="inlineStr">
        <is>
          <t>150</t>
        </is>
      </c>
      <c r="G501" s="43" t="inlineStr">
        <is>
          <t>13</t>
        </is>
      </c>
      <c r="H501" s="43" t="n">
        <v>1540</v>
      </c>
      <c r="I501" s="43" t="n">
        <v>1370</v>
      </c>
      <c r="J501" s="43" t="inlineStr">
        <is>
          <t>設定なし</t>
        </is>
      </c>
      <c r="K501" s="43" t="b">
        <v>0</v>
      </c>
      <c r="L501" s="43" t="inlineStr">
        <is>
          <t>112</t>
        </is>
      </c>
      <c r="M501" s="43" t="inlineStr">
        <is>
          <t>＿＿</t>
        </is>
      </c>
    </row>
    <row r="502">
      <c r="A502" s="43" t="inlineStr">
        <is>
          <t>SZ-SL-000835</t>
        </is>
      </c>
      <c r="B502" s="43" t="inlineStr">
        <is>
          <t>面格子付引違い窓</t>
        </is>
      </c>
      <c r="C502" s="43" t="inlineStr">
        <is>
          <t>SP-SL-GRILLE-H</t>
        </is>
      </c>
      <c r="D502" s="43" t="inlineStr">
        <is>
          <t>在来・204</t>
        </is>
      </c>
      <c r="E502" s="43" t="inlineStr">
        <is>
          <t>16013</t>
        </is>
      </c>
      <c r="F502" s="43" t="inlineStr">
        <is>
          <t>160</t>
        </is>
      </c>
      <c r="G502" s="43" t="inlineStr">
        <is>
          <t>13</t>
        </is>
      </c>
      <c r="H502" s="43" t="n">
        <v>1640</v>
      </c>
      <c r="I502" s="43" t="n">
        <v>1370</v>
      </c>
      <c r="J502" s="43" t="inlineStr">
        <is>
          <t>設定なし</t>
        </is>
      </c>
      <c r="K502" s="43" t="b">
        <v>0</v>
      </c>
      <c r="L502" s="43" t="inlineStr">
        <is>
          <t>112</t>
        </is>
      </c>
      <c r="M502" s="43" t="inlineStr">
        <is>
          <t>＿＿</t>
        </is>
      </c>
    </row>
    <row r="503">
      <c r="A503" s="43" t="inlineStr">
        <is>
          <t>SZ-SL-000836</t>
        </is>
      </c>
      <c r="B503" s="43" t="inlineStr">
        <is>
          <t>面格子付引違い窓</t>
        </is>
      </c>
      <c r="C503" s="43" t="inlineStr">
        <is>
          <t>SP-SL-GRILLE-H</t>
        </is>
      </c>
      <c r="D503" s="43" t="inlineStr">
        <is>
          <t>在来・204</t>
        </is>
      </c>
      <c r="E503" s="43" t="inlineStr">
        <is>
          <t>16513</t>
        </is>
      </c>
      <c r="F503" s="43" t="inlineStr">
        <is>
          <t>165</t>
        </is>
      </c>
      <c r="G503" s="43" t="inlineStr">
        <is>
          <t>13</t>
        </is>
      </c>
      <c r="H503" s="43" t="n">
        <v>1690</v>
      </c>
      <c r="I503" s="43" t="n">
        <v>1370</v>
      </c>
      <c r="J503" s="43" t="inlineStr">
        <is>
          <t>設定なし</t>
        </is>
      </c>
      <c r="K503" s="43" t="b">
        <v>0</v>
      </c>
      <c r="L503" s="43" t="inlineStr">
        <is>
          <t>112</t>
        </is>
      </c>
      <c r="M503" s="43" t="inlineStr">
        <is>
          <t>＿＿</t>
        </is>
      </c>
    </row>
    <row r="504">
      <c r="A504" s="43" t="inlineStr">
        <is>
          <t>SZ-SL-000837</t>
        </is>
      </c>
      <c r="B504" s="43" t="inlineStr">
        <is>
          <t>面格子付引違い窓</t>
        </is>
      </c>
      <c r="C504" s="43" t="inlineStr">
        <is>
          <t>SP-SL-GRILLE-IGETA</t>
        </is>
      </c>
      <c r="D504" s="43" t="inlineStr">
        <is>
          <t>在来・204</t>
        </is>
      </c>
      <c r="E504" s="43" t="inlineStr">
        <is>
          <t>15013</t>
        </is>
      </c>
      <c r="F504" s="43" t="inlineStr">
        <is>
          <t>150</t>
        </is>
      </c>
      <c r="G504" s="43" t="inlineStr">
        <is>
          <t>13</t>
        </is>
      </c>
      <c r="H504" s="43" t="n">
        <v>1540</v>
      </c>
      <c r="I504" s="43" t="n">
        <v>1370</v>
      </c>
      <c r="J504" s="43" t="inlineStr">
        <is>
          <t>設定可</t>
        </is>
      </c>
      <c r="K504" s="43" t="b">
        <v>1</v>
      </c>
      <c r="L504" s="43" t="inlineStr">
        <is>
          <t>112</t>
        </is>
      </c>
      <c r="M504" s="43" t="inlineStr">
        <is>
          <t>¥99,800 / ¥107,700</t>
        </is>
      </c>
    </row>
    <row r="505">
      <c r="A505" s="43" t="inlineStr">
        <is>
          <t>SZ-SL-000838</t>
        </is>
      </c>
      <c r="B505" s="43" t="inlineStr">
        <is>
          <t>面格子付引違い窓</t>
        </is>
      </c>
      <c r="C505" s="43" t="inlineStr">
        <is>
          <t>SP-SL-GRILLE-IGETA</t>
        </is>
      </c>
      <c r="D505" s="43" t="inlineStr">
        <is>
          <t>在来・204</t>
        </is>
      </c>
      <c r="E505" s="43" t="inlineStr">
        <is>
          <t>16013</t>
        </is>
      </c>
      <c r="F505" s="43" t="inlineStr">
        <is>
          <t>160</t>
        </is>
      </c>
      <c r="G505" s="43" t="inlineStr">
        <is>
          <t>13</t>
        </is>
      </c>
      <c r="H505" s="43" t="n">
        <v>1640</v>
      </c>
      <c r="I505" s="43" t="n">
        <v>1370</v>
      </c>
      <c r="J505" s="43" t="inlineStr">
        <is>
          <t>設定可</t>
        </is>
      </c>
      <c r="K505" s="43" t="b">
        <v>1</v>
      </c>
      <c r="L505" s="43" t="inlineStr">
        <is>
          <t>112</t>
        </is>
      </c>
      <c r="M505" s="43" t="inlineStr">
        <is>
          <t>¥101,700 / ¥109,900</t>
        </is>
      </c>
    </row>
    <row r="506">
      <c r="A506" s="43" t="inlineStr">
        <is>
          <t>SZ-SL-000839</t>
        </is>
      </c>
      <c r="B506" s="43" t="inlineStr">
        <is>
          <t>面格子付引違い窓</t>
        </is>
      </c>
      <c r="C506" s="43" t="inlineStr">
        <is>
          <t>SP-SL-GRILLE-IGETA</t>
        </is>
      </c>
      <c r="D506" s="43" t="inlineStr">
        <is>
          <t>在来・204</t>
        </is>
      </c>
      <c r="E506" s="43" t="inlineStr">
        <is>
          <t>16513</t>
        </is>
      </c>
      <c r="F506" s="43" t="inlineStr">
        <is>
          <t>165</t>
        </is>
      </c>
      <c r="G506" s="43" t="inlineStr">
        <is>
          <t>13</t>
        </is>
      </c>
      <c r="H506" s="43" t="n">
        <v>1690</v>
      </c>
      <c r="I506" s="43" t="n">
        <v>1370</v>
      </c>
      <c r="J506" s="43" t="inlineStr">
        <is>
          <t>設定可</t>
        </is>
      </c>
      <c r="K506" s="43" t="b">
        <v>1</v>
      </c>
      <c r="L506" s="43" t="inlineStr">
        <is>
          <t>112</t>
        </is>
      </c>
      <c r="M506" s="43" t="inlineStr">
        <is>
          <t>¥101,700 / ¥109,900</t>
        </is>
      </c>
    </row>
    <row r="507">
      <c r="A507" s="43" t="inlineStr">
        <is>
          <t>SZ-SL-000840</t>
        </is>
      </c>
      <c r="B507" s="43" t="inlineStr">
        <is>
          <t>面格子付引違い窓</t>
        </is>
      </c>
      <c r="C507" s="43" t="inlineStr">
        <is>
          <t>SP-SL-GRILLE-V</t>
        </is>
      </c>
      <c r="D507" s="43" t="inlineStr">
        <is>
          <t>在来・204</t>
        </is>
      </c>
      <c r="E507" s="43" t="inlineStr">
        <is>
          <t>15013</t>
        </is>
      </c>
      <c r="F507" s="43" t="inlineStr">
        <is>
          <t>150</t>
        </is>
      </c>
      <c r="G507" s="43" t="inlineStr">
        <is>
          <t>13</t>
        </is>
      </c>
      <c r="H507" s="43" t="n">
        <v>1540</v>
      </c>
      <c r="I507" s="43" t="n">
        <v>1370</v>
      </c>
      <c r="J507" s="43" t="inlineStr">
        <is>
          <t>設定可</t>
        </is>
      </c>
      <c r="K507" s="43" t="b">
        <v>1</v>
      </c>
      <c r="L507" s="43" t="inlineStr">
        <is>
          <t>112</t>
        </is>
      </c>
      <c r="M507" s="43" t="inlineStr">
        <is>
          <t>¥82,400 / ¥89,500</t>
        </is>
      </c>
    </row>
    <row r="508">
      <c r="A508" s="43" t="inlineStr">
        <is>
          <t>SZ-SL-000841</t>
        </is>
      </c>
      <c r="B508" s="43" t="inlineStr">
        <is>
          <t>面格子付引違い窓</t>
        </is>
      </c>
      <c r="C508" s="43" t="inlineStr">
        <is>
          <t>SP-SL-GRILLE-V</t>
        </is>
      </c>
      <c r="D508" s="43" t="inlineStr">
        <is>
          <t>在来・204</t>
        </is>
      </c>
      <c r="E508" s="43" t="inlineStr">
        <is>
          <t>16013</t>
        </is>
      </c>
      <c r="F508" s="43" t="inlineStr">
        <is>
          <t>160</t>
        </is>
      </c>
      <c r="G508" s="43" t="inlineStr">
        <is>
          <t>13</t>
        </is>
      </c>
      <c r="H508" s="43" t="n">
        <v>1640</v>
      </c>
      <c r="I508" s="43" t="n">
        <v>1370</v>
      </c>
      <c r="J508" s="43" t="inlineStr">
        <is>
          <t>設定可</t>
        </is>
      </c>
      <c r="K508" s="43" t="b">
        <v>1</v>
      </c>
      <c r="L508" s="43" t="inlineStr">
        <is>
          <t>112</t>
        </is>
      </c>
      <c r="M508" s="43" t="inlineStr">
        <is>
          <t>¥83,500 / ¥90,700</t>
        </is>
      </c>
    </row>
    <row r="509">
      <c r="A509" s="43" t="inlineStr">
        <is>
          <t>SZ-SL-000842</t>
        </is>
      </c>
      <c r="B509" s="43" t="inlineStr">
        <is>
          <t>面格子付引違い窓</t>
        </is>
      </c>
      <c r="C509" s="43" t="inlineStr">
        <is>
          <t>SP-SL-GRILLE-V</t>
        </is>
      </c>
      <c r="D509" s="43" t="inlineStr">
        <is>
          <t>在来・204</t>
        </is>
      </c>
      <c r="E509" s="43" t="inlineStr">
        <is>
          <t>16513</t>
        </is>
      </c>
      <c r="F509" s="43" t="inlineStr">
        <is>
          <t>165</t>
        </is>
      </c>
      <c r="G509" s="43" t="inlineStr">
        <is>
          <t>13</t>
        </is>
      </c>
      <c r="H509" s="43" t="n">
        <v>1690</v>
      </c>
      <c r="I509" s="43" t="n">
        <v>1370</v>
      </c>
      <c r="J509" s="43" t="inlineStr">
        <is>
          <t>設定可</t>
        </is>
      </c>
      <c r="K509" s="43" t="b">
        <v>1</v>
      </c>
      <c r="L509" s="43" t="inlineStr">
        <is>
          <t>112</t>
        </is>
      </c>
      <c r="M509" s="43" t="inlineStr">
        <is>
          <t>¥83,500 / ¥90,700</t>
        </is>
      </c>
    </row>
    <row r="510">
      <c r="A510" s="43" t="inlineStr">
        <is>
          <t>SZ-SL-000965</t>
        </is>
      </c>
      <c r="B510" s="43" t="inlineStr">
        <is>
          <t>面格子付上げ下げ窓FS</t>
        </is>
      </c>
      <c r="C510" s="43" t="inlineStr">
        <is>
          <t>SP-SL-AGE-GRILLE-DIA</t>
        </is>
      </c>
      <c r="D510" s="43" t="inlineStr">
        <is>
          <t>在来・204</t>
        </is>
      </c>
      <c r="E510" s="43" t="inlineStr">
        <is>
          <t>02607</t>
        </is>
      </c>
      <c r="F510" s="43" t="inlineStr">
        <is>
          <t>026</t>
        </is>
      </c>
      <c r="G510" s="43" t="inlineStr">
        <is>
          <t>07</t>
        </is>
      </c>
      <c r="H510" s="43" t="n">
        <v>300</v>
      </c>
      <c r="I510" s="43" t="n">
        <v>770</v>
      </c>
      <c r="J510" s="43" t="inlineStr">
        <is>
          <t>設定可</t>
        </is>
      </c>
      <c r="K510" s="43" t="b">
        <v>1</v>
      </c>
      <c r="L510" s="43" t="inlineStr">
        <is>
          <t>144</t>
        </is>
      </c>
      <c r="M510" s="43" t="inlineStr">
        <is>
          <t>¥66,400 / ¥71,600</t>
        </is>
      </c>
    </row>
    <row r="511">
      <c r="A511" s="43" t="inlineStr">
        <is>
          <t>SZ-SL-000966</t>
        </is>
      </c>
      <c r="B511" s="43" t="inlineStr">
        <is>
          <t>面格子付上げ下げ窓FS</t>
        </is>
      </c>
      <c r="C511" s="43" t="inlineStr">
        <is>
          <t>SP-SL-AGE-GRILLE-DIA</t>
        </is>
      </c>
      <c r="D511" s="43" t="inlineStr">
        <is>
          <t>在来・204</t>
        </is>
      </c>
      <c r="E511" s="43" t="inlineStr">
        <is>
          <t>03607</t>
        </is>
      </c>
      <c r="F511" s="43" t="inlineStr">
        <is>
          <t>036</t>
        </is>
      </c>
      <c r="G511" s="43" t="inlineStr">
        <is>
          <t>07</t>
        </is>
      </c>
      <c r="H511" s="43" t="n">
        <v>405</v>
      </c>
      <c r="I511" s="43" t="n">
        <v>770</v>
      </c>
      <c r="J511" s="43" t="inlineStr">
        <is>
          <t>設定可</t>
        </is>
      </c>
      <c r="K511" s="43" t="b">
        <v>1</v>
      </c>
      <c r="L511" s="43" t="inlineStr">
        <is>
          <t>144</t>
        </is>
      </c>
      <c r="M511" s="43" t="inlineStr">
        <is>
          <t>¥69,000 / ¥74,100</t>
        </is>
      </c>
    </row>
    <row r="512">
      <c r="A512" s="43" t="inlineStr">
        <is>
          <t>SZ-SL-000967</t>
        </is>
      </c>
      <c r="B512" s="43" t="inlineStr">
        <is>
          <t>面格子付上げ下げ窓FS</t>
        </is>
      </c>
      <c r="C512" s="43" t="inlineStr">
        <is>
          <t>SP-SL-AGE-GRILLE-DIA</t>
        </is>
      </c>
      <c r="D512" s="43" t="inlineStr">
        <is>
          <t>在来・204</t>
        </is>
      </c>
      <c r="E512" s="43" t="inlineStr">
        <is>
          <t>06007</t>
        </is>
      </c>
      <c r="F512" s="43" t="inlineStr">
        <is>
          <t>060</t>
        </is>
      </c>
      <c r="G512" s="43" t="inlineStr">
        <is>
          <t>07</t>
        </is>
      </c>
      <c r="H512" s="43" t="n">
        <v>640</v>
      </c>
      <c r="I512" s="43" t="n">
        <v>770</v>
      </c>
      <c r="J512" s="43" t="inlineStr">
        <is>
          <t>設定可</t>
        </is>
      </c>
      <c r="K512" s="43" t="b">
        <v>1</v>
      </c>
      <c r="L512" s="43" t="inlineStr">
        <is>
          <t>144</t>
        </is>
      </c>
      <c r="M512" s="43" t="inlineStr">
        <is>
          <t>¥75,200 / ¥81,000</t>
        </is>
      </c>
    </row>
    <row r="513">
      <c r="A513" s="43" t="inlineStr">
        <is>
          <t>SZ-SL-000968</t>
        </is>
      </c>
      <c r="B513" s="43" t="inlineStr">
        <is>
          <t>面格子付上げ下げ窓FS</t>
        </is>
      </c>
      <c r="C513" s="43" t="inlineStr">
        <is>
          <t>SP-SL-AGE-GRILLE-DIA</t>
        </is>
      </c>
      <c r="D513" s="43" t="inlineStr">
        <is>
          <t>在来・204</t>
        </is>
      </c>
      <c r="E513" s="43" t="inlineStr">
        <is>
          <t>06907</t>
        </is>
      </c>
      <c r="F513" s="43" t="inlineStr">
        <is>
          <t>069</t>
        </is>
      </c>
      <c r="G513" s="43" t="inlineStr">
        <is>
          <t>07</t>
        </is>
      </c>
      <c r="H513" s="43" t="n">
        <v>730</v>
      </c>
      <c r="I513" s="43" t="n">
        <v>770</v>
      </c>
      <c r="J513" s="43" t="inlineStr">
        <is>
          <t>設定可</t>
        </is>
      </c>
      <c r="K513" s="43" t="b">
        <v>1</v>
      </c>
      <c r="L513" s="43" t="inlineStr">
        <is>
          <t>144</t>
        </is>
      </c>
      <c r="M513" s="43" t="inlineStr">
        <is>
          <t>¥83,400 / ¥90,100</t>
        </is>
      </c>
    </row>
    <row r="514">
      <c r="A514" s="43" t="inlineStr">
        <is>
          <t>SZ-SL-000969</t>
        </is>
      </c>
      <c r="B514" s="43" t="inlineStr">
        <is>
          <t>面格子付上げ下げ窓FS</t>
        </is>
      </c>
      <c r="C514" s="43" t="inlineStr">
        <is>
          <t>SP-SL-AGE-GRILLE-DIA</t>
        </is>
      </c>
      <c r="D514" s="43" t="inlineStr">
        <is>
          <t>在来・204</t>
        </is>
      </c>
      <c r="E514" s="43" t="inlineStr">
        <is>
          <t>07407</t>
        </is>
      </c>
      <c r="F514" s="43" t="inlineStr">
        <is>
          <t>074</t>
        </is>
      </c>
      <c r="G514" s="43" t="inlineStr">
        <is>
          <t>07</t>
        </is>
      </c>
      <c r="H514" s="43" t="n">
        <v>780</v>
      </c>
      <c r="I514" s="43" t="n">
        <v>770</v>
      </c>
      <c r="J514" s="43" t="inlineStr">
        <is>
          <t>設定可</t>
        </is>
      </c>
      <c r="K514" s="43" t="b">
        <v>1</v>
      </c>
      <c r="L514" s="43" t="inlineStr">
        <is>
          <t>144</t>
        </is>
      </c>
      <c r="M514" s="43" t="inlineStr">
        <is>
          <t>¥83,400 / ¥90,100</t>
        </is>
      </c>
    </row>
    <row r="515">
      <c r="A515" s="43" t="inlineStr">
        <is>
          <t>SZ-SL-000970</t>
        </is>
      </c>
      <c r="B515" s="43" t="inlineStr">
        <is>
          <t>面格子付上げ下げ窓FS</t>
        </is>
      </c>
      <c r="C515" s="43" t="inlineStr">
        <is>
          <t>SP-SL-AGE-GRILLE-H</t>
        </is>
      </c>
      <c r="D515" s="43" t="inlineStr">
        <is>
          <t>在来・204</t>
        </is>
      </c>
      <c r="E515" s="43" t="inlineStr">
        <is>
          <t>02607</t>
        </is>
      </c>
      <c r="F515" s="43" t="inlineStr">
        <is>
          <t>026</t>
        </is>
      </c>
      <c r="G515" s="43" t="inlineStr">
        <is>
          <t>07</t>
        </is>
      </c>
      <c r="H515" s="43" t="n">
        <v>300</v>
      </c>
      <c r="I515" s="43" t="n">
        <v>770</v>
      </c>
      <c r="J515" s="43" t="inlineStr">
        <is>
          <t>設定可</t>
        </is>
      </c>
      <c r="K515" s="43" t="b">
        <v>1</v>
      </c>
      <c r="L515" s="43" t="inlineStr">
        <is>
          <t>144</t>
        </is>
      </c>
      <c r="M515" s="43" t="inlineStr">
        <is>
          <t>¥66,400 / ¥71,600</t>
        </is>
      </c>
    </row>
    <row r="516">
      <c r="A516" s="43" t="inlineStr">
        <is>
          <t>SZ-SL-000971</t>
        </is>
      </c>
      <c r="B516" s="43" t="inlineStr">
        <is>
          <t>面格子付上げ下げ窓FS</t>
        </is>
      </c>
      <c r="C516" s="43" t="inlineStr">
        <is>
          <t>SP-SL-AGE-GRILLE-H</t>
        </is>
      </c>
      <c r="D516" s="43" t="inlineStr">
        <is>
          <t>在来・204</t>
        </is>
      </c>
      <c r="E516" s="43" t="inlineStr">
        <is>
          <t>03607</t>
        </is>
      </c>
      <c r="F516" s="43" t="inlineStr">
        <is>
          <t>036</t>
        </is>
      </c>
      <c r="G516" s="43" t="inlineStr">
        <is>
          <t>07</t>
        </is>
      </c>
      <c r="H516" s="43" t="n">
        <v>405</v>
      </c>
      <c r="I516" s="43" t="n">
        <v>770</v>
      </c>
      <c r="J516" s="43" t="inlineStr">
        <is>
          <t>設定可</t>
        </is>
      </c>
      <c r="K516" s="43" t="b">
        <v>1</v>
      </c>
      <c r="L516" s="43" t="inlineStr">
        <is>
          <t>144</t>
        </is>
      </c>
      <c r="M516" s="43" t="inlineStr">
        <is>
          <t>¥69,000 / ¥74,100</t>
        </is>
      </c>
    </row>
    <row r="517">
      <c r="A517" s="43" t="inlineStr">
        <is>
          <t>SZ-SL-000972</t>
        </is>
      </c>
      <c r="B517" s="43" t="inlineStr">
        <is>
          <t>面格子付上げ下げ窓FS</t>
        </is>
      </c>
      <c r="C517" s="43" t="inlineStr">
        <is>
          <t>SP-SL-AGE-GRILLE-H</t>
        </is>
      </c>
      <c r="D517" s="43" t="inlineStr">
        <is>
          <t>在来・204</t>
        </is>
      </c>
      <c r="E517" s="43" t="inlineStr">
        <is>
          <t>06007</t>
        </is>
      </c>
      <c r="F517" s="43" t="inlineStr">
        <is>
          <t>060</t>
        </is>
      </c>
      <c r="G517" s="43" t="inlineStr">
        <is>
          <t>07</t>
        </is>
      </c>
      <c r="H517" s="43" t="n">
        <v>640</v>
      </c>
      <c r="I517" s="43" t="n">
        <v>770</v>
      </c>
      <c r="J517" s="43" t="inlineStr">
        <is>
          <t>設定可</t>
        </is>
      </c>
      <c r="K517" s="43" t="b">
        <v>1</v>
      </c>
      <c r="L517" s="43" t="inlineStr">
        <is>
          <t>144</t>
        </is>
      </c>
      <c r="M517" s="43" t="inlineStr">
        <is>
          <t>¥75,200 / ¥81,000</t>
        </is>
      </c>
    </row>
    <row r="518">
      <c r="A518" s="43" t="inlineStr">
        <is>
          <t>SZ-SL-000973</t>
        </is>
      </c>
      <c r="B518" s="43" t="inlineStr">
        <is>
          <t>面格子付上げ下げ窓FS</t>
        </is>
      </c>
      <c r="C518" s="43" t="inlineStr">
        <is>
          <t>SP-SL-AGE-GRILLE-H</t>
        </is>
      </c>
      <c r="D518" s="43" t="inlineStr">
        <is>
          <t>在来・204</t>
        </is>
      </c>
      <c r="E518" s="43" t="inlineStr">
        <is>
          <t>06907</t>
        </is>
      </c>
      <c r="F518" s="43" t="inlineStr">
        <is>
          <t>069</t>
        </is>
      </c>
      <c r="G518" s="43" t="inlineStr">
        <is>
          <t>07</t>
        </is>
      </c>
      <c r="H518" s="43" t="n">
        <v>730</v>
      </c>
      <c r="I518" s="43" t="n">
        <v>770</v>
      </c>
      <c r="J518" s="43" t="inlineStr">
        <is>
          <t>設定可</t>
        </is>
      </c>
      <c r="K518" s="43" t="b">
        <v>1</v>
      </c>
      <c r="L518" s="43" t="inlineStr">
        <is>
          <t>144</t>
        </is>
      </c>
      <c r="M518" s="43" t="inlineStr">
        <is>
          <t>¥83,400 / ¥90,100</t>
        </is>
      </c>
    </row>
    <row r="519">
      <c r="A519" s="43" t="inlineStr">
        <is>
          <t>SZ-SL-000974</t>
        </is>
      </c>
      <c r="B519" s="43" t="inlineStr">
        <is>
          <t>面格子付上げ下げ窓FS</t>
        </is>
      </c>
      <c r="C519" s="43" t="inlineStr">
        <is>
          <t>SP-SL-AGE-GRILLE-H</t>
        </is>
      </c>
      <c r="D519" s="43" t="inlineStr">
        <is>
          <t>在来・204</t>
        </is>
      </c>
      <c r="E519" s="43" t="inlineStr">
        <is>
          <t>07407</t>
        </is>
      </c>
      <c r="F519" s="43" t="inlineStr">
        <is>
          <t>074</t>
        </is>
      </c>
      <c r="G519" s="43" t="inlineStr">
        <is>
          <t>07</t>
        </is>
      </c>
      <c r="H519" s="43" t="n">
        <v>780</v>
      </c>
      <c r="I519" s="43" t="n">
        <v>770</v>
      </c>
      <c r="J519" s="43" t="inlineStr">
        <is>
          <t>設定可</t>
        </is>
      </c>
      <c r="K519" s="43" t="b">
        <v>1</v>
      </c>
      <c r="L519" s="43" t="inlineStr">
        <is>
          <t>144</t>
        </is>
      </c>
      <c r="M519" s="43" t="inlineStr">
        <is>
          <t>¥83,400 / ¥90,100</t>
        </is>
      </c>
    </row>
    <row r="520">
      <c r="A520" s="43" t="inlineStr">
        <is>
          <t>SZ-SL-000975</t>
        </is>
      </c>
      <c r="B520" s="43" t="inlineStr">
        <is>
          <t>面格子付上げ下げ窓FS</t>
        </is>
      </c>
      <c r="C520" s="43" t="inlineStr">
        <is>
          <t>SP-SL-AGE-GRILLE-IGETA</t>
        </is>
      </c>
      <c r="D520" s="43" t="inlineStr">
        <is>
          <t>在来・204</t>
        </is>
      </c>
      <c r="E520" s="43" t="inlineStr">
        <is>
          <t>02607</t>
        </is>
      </c>
      <c r="F520" s="43" t="inlineStr">
        <is>
          <t>026</t>
        </is>
      </c>
      <c r="G520" s="43" t="inlineStr">
        <is>
          <t>07</t>
        </is>
      </c>
      <c r="H520" s="43" t="n">
        <v>300</v>
      </c>
      <c r="I520" s="43" t="n">
        <v>770</v>
      </c>
      <c r="J520" s="43" t="inlineStr">
        <is>
          <t>設定可</t>
        </is>
      </c>
      <c r="K520" s="43" t="b">
        <v>1</v>
      </c>
      <c r="L520" s="43" t="inlineStr">
        <is>
          <t>144</t>
        </is>
      </c>
      <c r="M520" s="43" t="inlineStr">
        <is>
          <t>¥66,400 / ¥71,600</t>
        </is>
      </c>
    </row>
    <row r="521">
      <c r="A521" s="43" t="inlineStr">
        <is>
          <t>SZ-SL-000976</t>
        </is>
      </c>
      <c r="B521" s="43" t="inlineStr">
        <is>
          <t>面格子付上げ下げ窓FS</t>
        </is>
      </c>
      <c r="C521" s="43" t="inlineStr">
        <is>
          <t>SP-SL-AGE-GRILLE-IGETA</t>
        </is>
      </c>
      <c r="D521" s="43" t="inlineStr">
        <is>
          <t>在来・204</t>
        </is>
      </c>
      <c r="E521" s="43" t="inlineStr">
        <is>
          <t>03607</t>
        </is>
      </c>
      <c r="F521" s="43" t="inlineStr">
        <is>
          <t>036</t>
        </is>
      </c>
      <c r="G521" s="43" t="inlineStr">
        <is>
          <t>07</t>
        </is>
      </c>
      <c r="H521" s="43" t="n">
        <v>405</v>
      </c>
      <c r="I521" s="43" t="n">
        <v>770</v>
      </c>
      <c r="J521" s="43" t="inlineStr">
        <is>
          <t>設定可</t>
        </is>
      </c>
      <c r="K521" s="43" t="b">
        <v>1</v>
      </c>
      <c r="L521" s="43" t="inlineStr">
        <is>
          <t>144</t>
        </is>
      </c>
      <c r="M521" s="43" t="inlineStr">
        <is>
          <t>¥69,000 / ¥74,100</t>
        </is>
      </c>
    </row>
    <row r="522">
      <c r="A522" s="43" t="inlineStr">
        <is>
          <t>SZ-SL-000977</t>
        </is>
      </c>
      <c r="B522" s="43" t="inlineStr">
        <is>
          <t>面格子付上げ下げ窓FS</t>
        </is>
      </c>
      <c r="C522" s="43" t="inlineStr">
        <is>
          <t>SP-SL-AGE-GRILLE-IGETA</t>
        </is>
      </c>
      <c r="D522" s="43" t="inlineStr">
        <is>
          <t>在来・204</t>
        </is>
      </c>
      <c r="E522" s="43" t="inlineStr">
        <is>
          <t>06007</t>
        </is>
      </c>
      <c r="F522" s="43" t="inlineStr">
        <is>
          <t>060</t>
        </is>
      </c>
      <c r="G522" s="43" t="inlineStr">
        <is>
          <t>07</t>
        </is>
      </c>
      <c r="H522" s="43" t="n">
        <v>640</v>
      </c>
      <c r="I522" s="43" t="n">
        <v>770</v>
      </c>
      <c r="J522" s="43" t="inlineStr">
        <is>
          <t>設定可</t>
        </is>
      </c>
      <c r="K522" s="43" t="b">
        <v>1</v>
      </c>
      <c r="L522" s="43" t="inlineStr">
        <is>
          <t>144</t>
        </is>
      </c>
      <c r="M522" s="43" t="inlineStr">
        <is>
          <t>¥75,200 / ¥81,000</t>
        </is>
      </c>
    </row>
    <row r="523">
      <c r="A523" s="43" t="inlineStr">
        <is>
          <t>SZ-SL-000978</t>
        </is>
      </c>
      <c r="B523" s="43" t="inlineStr">
        <is>
          <t>面格子付上げ下げ窓FS</t>
        </is>
      </c>
      <c r="C523" s="43" t="inlineStr">
        <is>
          <t>SP-SL-AGE-GRILLE-IGETA</t>
        </is>
      </c>
      <c r="D523" s="43" t="inlineStr">
        <is>
          <t>在来・204</t>
        </is>
      </c>
      <c r="E523" s="43" t="inlineStr">
        <is>
          <t>06907</t>
        </is>
      </c>
      <c r="F523" s="43" t="inlineStr">
        <is>
          <t>069</t>
        </is>
      </c>
      <c r="G523" s="43" t="inlineStr">
        <is>
          <t>07</t>
        </is>
      </c>
      <c r="H523" s="43" t="n">
        <v>730</v>
      </c>
      <c r="I523" s="43" t="n">
        <v>770</v>
      </c>
      <c r="J523" s="43" t="inlineStr">
        <is>
          <t>設定可</t>
        </is>
      </c>
      <c r="K523" s="43" t="b">
        <v>1</v>
      </c>
      <c r="L523" s="43" t="inlineStr">
        <is>
          <t>144</t>
        </is>
      </c>
      <c r="M523" s="43" t="inlineStr">
        <is>
          <t>¥83,400 / ¥90,100</t>
        </is>
      </c>
    </row>
    <row r="524">
      <c r="A524" s="43" t="inlineStr">
        <is>
          <t>SZ-SL-000979</t>
        </is>
      </c>
      <c r="B524" s="43" t="inlineStr">
        <is>
          <t>面格子付上げ下げ窓FS</t>
        </is>
      </c>
      <c r="C524" s="43" t="inlineStr">
        <is>
          <t>SP-SL-AGE-GRILLE-IGETA</t>
        </is>
      </c>
      <c r="D524" s="43" t="inlineStr">
        <is>
          <t>在来・204</t>
        </is>
      </c>
      <c r="E524" s="43" t="inlineStr">
        <is>
          <t>07407</t>
        </is>
      </c>
      <c r="F524" s="43" t="inlineStr">
        <is>
          <t>074</t>
        </is>
      </c>
      <c r="G524" s="43" t="inlineStr">
        <is>
          <t>07</t>
        </is>
      </c>
      <c r="H524" s="43" t="n">
        <v>780</v>
      </c>
      <c r="I524" s="43" t="n">
        <v>770</v>
      </c>
      <c r="J524" s="43" t="inlineStr">
        <is>
          <t>設定可</t>
        </is>
      </c>
      <c r="K524" s="43" t="b">
        <v>1</v>
      </c>
      <c r="L524" s="43" t="inlineStr">
        <is>
          <t>144</t>
        </is>
      </c>
      <c r="M524" s="43" t="inlineStr">
        <is>
          <t>¥83,400 / ¥90,100</t>
        </is>
      </c>
    </row>
    <row r="525">
      <c r="A525" s="43" t="inlineStr">
        <is>
          <t>SZ-SL-000980</t>
        </is>
      </c>
      <c r="B525" s="43" t="inlineStr">
        <is>
          <t>面格子付上げ下げ窓FS</t>
        </is>
      </c>
      <c r="C525" s="43" t="inlineStr">
        <is>
          <t>SP-SL-AGE-GRILLE-V</t>
        </is>
      </c>
      <c r="D525" s="43" t="inlineStr">
        <is>
          <t>在来・204</t>
        </is>
      </c>
      <c r="E525" s="43" t="inlineStr">
        <is>
          <t>02607</t>
        </is>
      </c>
      <c r="F525" s="43" t="inlineStr">
        <is>
          <t>026</t>
        </is>
      </c>
      <c r="G525" s="43" t="inlineStr">
        <is>
          <t>07</t>
        </is>
      </c>
      <c r="H525" s="43" t="n">
        <v>300</v>
      </c>
      <c r="I525" s="43" t="n">
        <v>770</v>
      </c>
      <c r="J525" s="43" t="inlineStr">
        <is>
          <t>設定可</t>
        </is>
      </c>
      <c r="K525" s="43" t="b">
        <v>1</v>
      </c>
      <c r="L525" s="43" t="inlineStr">
        <is>
          <t>144</t>
        </is>
      </c>
      <c r="M525" s="43" t="inlineStr">
        <is>
          <t>¥60,200 / ¥64,800</t>
        </is>
      </c>
    </row>
    <row r="526">
      <c r="A526" s="43" t="inlineStr">
        <is>
          <t>SZ-SL-000981</t>
        </is>
      </c>
      <c r="B526" s="43" t="inlineStr">
        <is>
          <t>面格子付上げ下げ窓FS</t>
        </is>
      </c>
      <c r="C526" s="43" t="inlineStr">
        <is>
          <t>SP-SL-AGE-GRILLE-V</t>
        </is>
      </c>
      <c r="D526" s="43" t="inlineStr">
        <is>
          <t>在来・204</t>
        </is>
      </c>
      <c r="E526" s="43" t="inlineStr">
        <is>
          <t>03607</t>
        </is>
      </c>
      <c r="F526" s="43" t="inlineStr">
        <is>
          <t>036</t>
        </is>
      </c>
      <c r="G526" s="43" t="inlineStr">
        <is>
          <t>07</t>
        </is>
      </c>
      <c r="H526" s="43" t="n">
        <v>405</v>
      </c>
      <c r="I526" s="43" t="n">
        <v>770</v>
      </c>
      <c r="J526" s="43" t="inlineStr">
        <is>
          <t>設定可</t>
        </is>
      </c>
      <c r="K526" s="43" t="b">
        <v>1</v>
      </c>
      <c r="L526" s="43" t="inlineStr">
        <is>
          <t>144</t>
        </is>
      </c>
      <c r="M526" s="43" t="inlineStr">
        <is>
          <t>¥62,500 / ¥67,300</t>
        </is>
      </c>
    </row>
    <row r="527">
      <c r="A527" s="43" t="inlineStr">
        <is>
          <t>SZ-SL-000982</t>
        </is>
      </c>
      <c r="B527" s="43" t="inlineStr">
        <is>
          <t>面格子付上げ下げ窓FS</t>
        </is>
      </c>
      <c r="C527" s="43" t="inlineStr">
        <is>
          <t>SP-SL-AGE-GRILLE-V</t>
        </is>
      </c>
      <c r="D527" s="43" t="inlineStr">
        <is>
          <t>在来・204</t>
        </is>
      </c>
      <c r="E527" s="43" t="inlineStr">
        <is>
          <t>06007</t>
        </is>
      </c>
      <c r="F527" s="43" t="inlineStr">
        <is>
          <t>060</t>
        </is>
      </c>
      <c r="G527" s="43" t="inlineStr">
        <is>
          <t>07</t>
        </is>
      </c>
      <c r="H527" s="43" t="n">
        <v>640</v>
      </c>
      <c r="I527" s="43" t="n">
        <v>770</v>
      </c>
      <c r="J527" s="43" t="inlineStr">
        <is>
          <t>設定可</t>
        </is>
      </c>
      <c r="K527" s="43" t="b">
        <v>1</v>
      </c>
      <c r="L527" s="43" t="inlineStr">
        <is>
          <t>144</t>
        </is>
      </c>
      <c r="M527" s="43" t="inlineStr">
        <is>
          <t>¥68,300 / ¥73,800</t>
        </is>
      </c>
    </row>
    <row r="528">
      <c r="A528" s="43" t="inlineStr">
        <is>
          <t>SZ-SL-000983</t>
        </is>
      </c>
      <c r="B528" s="43" t="inlineStr">
        <is>
          <t>面格子付上げ下げ窓FS</t>
        </is>
      </c>
      <c r="C528" s="43" t="inlineStr">
        <is>
          <t>SP-SL-AGE-GRILLE-V</t>
        </is>
      </c>
      <c r="D528" s="43" t="inlineStr">
        <is>
          <t>在来・204</t>
        </is>
      </c>
      <c r="E528" s="43" t="inlineStr">
        <is>
          <t>06907</t>
        </is>
      </c>
      <c r="F528" s="43" t="inlineStr">
        <is>
          <t>069</t>
        </is>
      </c>
      <c r="G528" s="43" t="inlineStr">
        <is>
          <t>07</t>
        </is>
      </c>
      <c r="H528" s="43" t="n">
        <v>730</v>
      </c>
      <c r="I528" s="43" t="n">
        <v>770</v>
      </c>
      <c r="J528" s="43" t="inlineStr">
        <is>
          <t>設定可</t>
        </is>
      </c>
      <c r="K528" s="43" t="b">
        <v>1</v>
      </c>
      <c r="L528" s="43" t="inlineStr">
        <is>
          <t>144</t>
        </is>
      </c>
      <c r="M528" s="43" t="inlineStr">
        <is>
          <t>¥75,400 / ¥81,500</t>
        </is>
      </c>
    </row>
    <row r="529">
      <c r="A529" s="43" t="inlineStr">
        <is>
          <t>SZ-SL-000984</t>
        </is>
      </c>
      <c r="B529" s="43" t="inlineStr">
        <is>
          <t>面格子付上げ下げ窓FS</t>
        </is>
      </c>
      <c r="C529" s="43" t="inlineStr">
        <is>
          <t>SP-SL-AGE-GRILLE-V</t>
        </is>
      </c>
      <c r="D529" s="43" t="inlineStr">
        <is>
          <t>在来・204</t>
        </is>
      </c>
      <c r="E529" s="43" t="inlineStr">
        <is>
          <t>07407</t>
        </is>
      </c>
      <c r="F529" s="43" t="inlineStr">
        <is>
          <t>074</t>
        </is>
      </c>
      <c r="G529" s="43" t="inlineStr">
        <is>
          <t>07</t>
        </is>
      </c>
      <c r="H529" s="43" t="n">
        <v>780</v>
      </c>
      <c r="I529" s="43" t="n">
        <v>770</v>
      </c>
      <c r="J529" s="43" t="inlineStr">
        <is>
          <t>設定可</t>
        </is>
      </c>
      <c r="K529" s="43" t="b">
        <v>1</v>
      </c>
      <c r="L529" s="43" t="inlineStr">
        <is>
          <t>144</t>
        </is>
      </c>
      <c r="M529" s="43" t="inlineStr">
        <is>
          <t>¥75,400 / ¥81,500</t>
        </is>
      </c>
    </row>
    <row r="530">
      <c r="A530" s="43" t="inlineStr">
        <is>
          <t>SZ-SL-000985</t>
        </is>
      </c>
      <c r="B530" s="43" t="inlineStr">
        <is>
          <t>面格子付上げ下げ窓FS</t>
        </is>
      </c>
      <c r="C530" s="43" t="inlineStr">
        <is>
          <t>SP-SL-AGE-GRILLE-DIA</t>
        </is>
      </c>
      <c r="D530" s="43" t="inlineStr">
        <is>
          <t>在来・204</t>
        </is>
      </c>
      <c r="E530" s="43" t="inlineStr">
        <is>
          <t>02609</t>
        </is>
      </c>
      <c r="F530" s="43" t="inlineStr">
        <is>
          <t>026</t>
        </is>
      </c>
      <c r="G530" s="43" t="inlineStr">
        <is>
          <t>09</t>
        </is>
      </c>
      <c r="H530" s="43" t="n">
        <v>300</v>
      </c>
      <c r="I530" s="43" t="n">
        <v>970</v>
      </c>
      <c r="J530" s="43" t="inlineStr">
        <is>
          <t>設定可</t>
        </is>
      </c>
      <c r="K530" s="43" t="b">
        <v>1</v>
      </c>
      <c r="L530" s="43" t="inlineStr">
        <is>
          <t>145</t>
        </is>
      </c>
      <c r="M530" s="43" t="inlineStr">
        <is>
          <t>¥72,600 / ¥78,200</t>
        </is>
      </c>
    </row>
    <row r="531">
      <c r="A531" s="43" t="inlineStr">
        <is>
          <t>SZ-SL-000986</t>
        </is>
      </c>
      <c r="B531" s="43" t="inlineStr">
        <is>
          <t>面格子付上げ下げ窓FS</t>
        </is>
      </c>
      <c r="C531" s="43" t="inlineStr">
        <is>
          <t>SP-SL-AGE-GRILLE-DIA</t>
        </is>
      </c>
      <c r="D531" s="43" t="inlineStr">
        <is>
          <t>在来・204</t>
        </is>
      </c>
      <c r="E531" s="43" t="inlineStr">
        <is>
          <t>03609</t>
        </is>
      </c>
      <c r="F531" s="43" t="inlineStr">
        <is>
          <t>036</t>
        </is>
      </c>
      <c r="G531" s="43" t="inlineStr">
        <is>
          <t>09</t>
        </is>
      </c>
      <c r="H531" s="43" t="n">
        <v>405</v>
      </c>
      <c r="I531" s="43" t="n">
        <v>970</v>
      </c>
      <c r="J531" s="43" t="inlineStr">
        <is>
          <t>設定可</t>
        </is>
      </c>
      <c r="K531" s="43" t="b">
        <v>1</v>
      </c>
      <c r="L531" s="43" t="inlineStr">
        <is>
          <t>145</t>
        </is>
      </c>
      <c r="M531" s="43" t="inlineStr">
        <is>
          <t>¥75,400 / ¥81,100</t>
        </is>
      </c>
    </row>
    <row r="532">
      <c r="A532" s="43" t="inlineStr">
        <is>
          <t>SZ-SL-000987</t>
        </is>
      </c>
      <c r="B532" s="43" t="inlineStr">
        <is>
          <t>面格子付上げ下げ窓FS</t>
        </is>
      </c>
      <c r="C532" s="43" t="inlineStr">
        <is>
          <t>SP-SL-AGE-GRILLE-DIA</t>
        </is>
      </c>
      <c r="D532" s="43" t="inlineStr">
        <is>
          <t>在来・204</t>
        </is>
      </c>
      <c r="E532" s="43" t="inlineStr">
        <is>
          <t>06009</t>
        </is>
      </c>
      <c r="F532" s="43" t="inlineStr">
        <is>
          <t>060</t>
        </is>
      </c>
      <c r="G532" s="43" t="inlineStr">
        <is>
          <t>09</t>
        </is>
      </c>
      <c r="H532" s="43" t="n">
        <v>640</v>
      </c>
      <c r="I532" s="43" t="n">
        <v>970</v>
      </c>
      <c r="J532" s="43" t="inlineStr">
        <is>
          <t>設定可</t>
        </is>
      </c>
      <c r="K532" s="43" t="b">
        <v>1</v>
      </c>
      <c r="L532" s="43" t="inlineStr">
        <is>
          <t>145</t>
        </is>
      </c>
      <c r="M532" s="43" t="inlineStr">
        <is>
          <t>¥82,500 / ¥88,900</t>
        </is>
      </c>
    </row>
    <row r="533">
      <c r="A533" s="43" t="inlineStr">
        <is>
          <t>SZ-SL-000988</t>
        </is>
      </c>
      <c r="B533" s="43" t="inlineStr">
        <is>
          <t>面格子付上げ下げ窓FS</t>
        </is>
      </c>
      <c r="C533" s="43" t="inlineStr">
        <is>
          <t>SP-SL-AGE-GRILLE-DIA</t>
        </is>
      </c>
      <c r="D533" s="43" t="inlineStr">
        <is>
          <t>在来・204</t>
        </is>
      </c>
      <c r="E533" s="43" t="inlineStr">
        <is>
          <t>06909</t>
        </is>
      </c>
      <c r="F533" s="43" t="inlineStr">
        <is>
          <t>069</t>
        </is>
      </c>
      <c r="G533" s="43" t="inlineStr">
        <is>
          <t>09</t>
        </is>
      </c>
      <c r="H533" s="43" t="n">
        <v>730</v>
      </c>
      <c r="I533" s="43" t="n">
        <v>970</v>
      </c>
      <c r="J533" s="43" t="inlineStr">
        <is>
          <t>設定可</t>
        </is>
      </c>
      <c r="K533" s="43" t="b">
        <v>1</v>
      </c>
      <c r="L533" s="43" t="inlineStr">
        <is>
          <t>145</t>
        </is>
      </c>
      <c r="M533" s="43" t="inlineStr">
        <is>
          <t>¥91,000 / ¥98,100</t>
        </is>
      </c>
    </row>
    <row r="534">
      <c r="A534" s="43" t="inlineStr">
        <is>
          <t>SZ-SL-000989</t>
        </is>
      </c>
      <c r="B534" s="43" t="inlineStr">
        <is>
          <t>面格子付上げ下げ窓FS</t>
        </is>
      </c>
      <c r="C534" s="43" t="inlineStr">
        <is>
          <t>SP-SL-AGE-GRILLE-DIA</t>
        </is>
      </c>
      <c r="D534" s="43" t="inlineStr">
        <is>
          <t>在来・204</t>
        </is>
      </c>
      <c r="E534" s="43" t="inlineStr">
        <is>
          <t>07409</t>
        </is>
      </c>
      <c r="F534" s="43" t="inlineStr">
        <is>
          <t>074</t>
        </is>
      </c>
      <c r="G534" s="43" t="inlineStr">
        <is>
          <t>09</t>
        </is>
      </c>
      <c r="H534" s="43" t="n">
        <v>780</v>
      </c>
      <c r="I534" s="43" t="n">
        <v>970</v>
      </c>
      <c r="J534" s="43" t="inlineStr">
        <is>
          <t>設定可</t>
        </is>
      </c>
      <c r="K534" s="43" t="b">
        <v>1</v>
      </c>
      <c r="L534" s="43" t="inlineStr">
        <is>
          <t>145</t>
        </is>
      </c>
      <c r="M534" s="43" t="inlineStr">
        <is>
          <t>¥91,000 / ¥98,100</t>
        </is>
      </c>
    </row>
    <row r="535">
      <c r="A535" s="43" t="inlineStr">
        <is>
          <t>SZ-SL-000990</t>
        </is>
      </c>
      <c r="B535" s="43" t="inlineStr">
        <is>
          <t>面格子付上げ下げ窓FS</t>
        </is>
      </c>
      <c r="C535" s="43" t="inlineStr">
        <is>
          <t>SP-SL-AGE-GRILLE-H</t>
        </is>
      </c>
      <c r="D535" s="43" t="inlineStr">
        <is>
          <t>在来・204</t>
        </is>
      </c>
      <c r="E535" s="43" t="inlineStr">
        <is>
          <t>02609</t>
        </is>
      </c>
      <c r="F535" s="43" t="inlineStr">
        <is>
          <t>026</t>
        </is>
      </c>
      <c r="G535" s="43" t="inlineStr">
        <is>
          <t>09</t>
        </is>
      </c>
      <c r="H535" s="43" t="n">
        <v>300</v>
      </c>
      <c r="I535" s="43" t="n">
        <v>970</v>
      </c>
      <c r="J535" s="43" t="inlineStr">
        <is>
          <t>設定可</t>
        </is>
      </c>
      <c r="K535" s="43" t="b">
        <v>1</v>
      </c>
      <c r="L535" s="43" t="inlineStr">
        <is>
          <t>145</t>
        </is>
      </c>
      <c r="M535" s="43" t="inlineStr">
        <is>
          <t>¥72,600 / ¥78,200</t>
        </is>
      </c>
    </row>
    <row r="536">
      <c r="A536" s="43" t="inlineStr">
        <is>
          <t>SZ-SL-000991</t>
        </is>
      </c>
      <c r="B536" s="43" t="inlineStr">
        <is>
          <t>面格子付上げ下げ窓FS</t>
        </is>
      </c>
      <c r="C536" s="43" t="inlineStr">
        <is>
          <t>SP-SL-AGE-GRILLE-H</t>
        </is>
      </c>
      <c r="D536" s="43" t="inlineStr">
        <is>
          <t>在来・204</t>
        </is>
      </c>
      <c r="E536" s="43" t="inlineStr">
        <is>
          <t>03609</t>
        </is>
      </c>
      <c r="F536" s="43" t="inlineStr">
        <is>
          <t>036</t>
        </is>
      </c>
      <c r="G536" s="43" t="inlineStr">
        <is>
          <t>09</t>
        </is>
      </c>
      <c r="H536" s="43" t="n">
        <v>405</v>
      </c>
      <c r="I536" s="43" t="n">
        <v>970</v>
      </c>
      <c r="J536" s="43" t="inlineStr">
        <is>
          <t>設定可</t>
        </is>
      </c>
      <c r="K536" s="43" t="b">
        <v>1</v>
      </c>
      <c r="L536" s="43" t="inlineStr">
        <is>
          <t>145</t>
        </is>
      </c>
      <c r="M536" s="43" t="inlineStr">
        <is>
          <t>¥75,400 / ¥81,100</t>
        </is>
      </c>
    </row>
    <row r="537">
      <c r="A537" s="43" t="inlineStr">
        <is>
          <t>SZ-SL-000992</t>
        </is>
      </c>
      <c r="B537" s="43" t="inlineStr">
        <is>
          <t>面格子付上げ下げ窓FS</t>
        </is>
      </c>
      <c r="C537" s="43" t="inlineStr">
        <is>
          <t>SP-SL-AGE-GRILLE-H</t>
        </is>
      </c>
      <c r="D537" s="43" t="inlineStr">
        <is>
          <t>在来・204</t>
        </is>
      </c>
      <c r="E537" s="43" t="inlineStr">
        <is>
          <t>06009</t>
        </is>
      </c>
      <c r="F537" s="43" t="inlineStr">
        <is>
          <t>060</t>
        </is>
      </c>
      <c r="G537" s="43" t="inlineStr">
        <is>
          <t>09</t>
        </is>
      </c>
      <c r="H537" s="43" t="n">
        <v>640</v>
      </c>
      <c r="I537" s="43" t="n">
        <v>970</v>
      </c>
      <c r="J537" s="43" t="inlineStr">
        <is>
          <t>設定可</t>
        </is>
      </c>
      <c r="K537" s="43" t="b">
        <v>1</v>
      </c>
      <c r="L537" s="43" t="inlineStr">
        <is>
          <t>145</t>
        </is>
      </c>
      <c r="M537" s="43" t="inlineStr">
        <is>
          <t>¥82,500 / ¥88,900</t>
        </is>
      </c>
    </row>
    <row r="538">
      <c r="A538" s="43" t="inlineStr">
        <is>
          <t>SZ-SL-000993</t>
        </is>
      </c>
      <c r="B538" s="43" t="inlineStr">
        <is>
          <t>面格子付上げ下げ窓FS</t>
        </is>
      </c>
      <c r="C538" s="43" t="inlineStr">
        <is>
          <t>SP-SL-AGE-GRILLE-H</t>
        </is>
      </c>
      <c r="D538" s="43" t="inlineStr">
        <is>
          <t>在来・204</t>
        </is>
      </c>
      <c r="E538" s="43" t="inlineStr">
        <is>
          <t>06909</t>
        </is>
      </c>
      <c r="F538" s="43" t="inlineStr">
        <is>
          <t>069</t>
        </is>
      </c>
      <c r="G538" s="43" t="inlineStr">
        <is>
          <t>09</t>
        </is>
      </c>
      <c r="H538" s="43" t="n">
        <v>730</v>
      </c>
      <c r="I538" s="43" t="n">
        <v>970</v>
      </c>
      <c r="J538" s="43" t="inlineStr">
        <is>
          <t>設定可</t>
        </is>
      </c>
      <c r="K538" s="43" t="b">
        <v>1</v>
      </c>
      <c r="L538" s="43" t="inlineStr">
        <is>
          <t>145</t>
        </is>
      </c>
      <c r="M538" s="43" t="inlineStr">
        <is>
          <t>¥91,000 / ¥98,100</t>
        </is>
      </c>
    </row>
    <row r="539">
      <c r="A539" s="43" t="inlineStr">
        <is>
          <t>SZ-SL-000994</t>
        </is>
      </c>
      <c r="B539" s="43" t="inlineStr">
        <is>
          <t>面格子付上げ下げ窓FS</t>
        </is>
      </c>
      <c r="C539" s="43" t="inlineStr">
        <is>
          <t>SP-SL-AGE-GRILLE-H</t>
        </is>
      </c>
      <c r="D539" s="43" t="inlineStr">
        <is>
          <t>在来・204</t>
        </is>
      </c>
      <c r="E539" s="43" t="inlineStr">
        <is>
          <t>07409</t>
        </is>
      </c>
      <c r="F539" s="43" t="inlineStr">
        <is>
          <t>074</t>
        </is>
      </c>
      <c r="G539" s="43" t="inlineStr">
        <is>
          <t>09</t>
        </is>
      </c>
      <c r="H539" s="43" t="n">
        <v>780</v>
      </c>
      <c r="I539" s="43" t="n">
        <v>970</v>
      </c>
      <c r="J539" s="43" t="inlineStr">
        <is>
          <t>設定可</t>
        </is>
      </c>
      <c r="K539" s="43" t="b">
        <v>1</v>
      </c>
      <c r="L539" s="43" t="inlineStr">
        <is>
          <t>145</t>
        </is>
      </c>
      <c r="M539" s="43" t="inlineStr">
        <is>
          <t>¥91,000 / ¥98,100</t>
        </is>
      </c>
    </row>
    <row r="540">
      <c r="A540" s="43" t="inlineStr">
        <is>
          <t>SZ-SL-000995</t>
        </is>
      </c>
      <c r="B540" s="43" t="inlineStr">
        <is>
          <t>面格子付上げ下げ窓FS</t>
        </is>
      </c>
      <c r="C540" s="43" t="inlineStr">
        <is>
          <t>SP-SL-AGE-GRILLE-IGETA</t>
        </is>
      </c>
      <c r="D540" s="43" t="inlineStr">
        <is>
          <t>在来・204</t>
        </is>
      </c>
      <c r="E540" s="43" t="inlineStr">
        <is>
          <t>02609</t>
        </is>
      </c>
      <c r="F540" s="43" t="inlineStr">
        <is>
          <t>026</t>
        </is>
      </c>
      <c r="G540" s="43" t="inlineStr">
        <is>
          <t>09</t>
        </is>
      </c>
      <c r="H540" s="43" t="n">
        <v>300</v>
      </c>
      <c r="I540" s="43" t="n">
        <v>970</v>
      </c>
      <c r="J540" s="43" t="inlineStr">
        <is>
          <t>設定可</t>
        </is>
      </c>
      <c r="K540" s="43" t="b">
        <v>1</v>
      </c>
      <c r="L540" s="43" t="inlineStr">
        <is>
          <t>145</t>
        </is>
      </c>
      <c r="M540" s="43" t="inlineStr">
        <is>
          <t>¥72,600 / ¥78,200</t>
        </is>
      </c>
    </row>
    <row r="541">
      <c r="A541" s="43" t="inlineStr">
        <is>
          <t>SZ-SL-000996</t>
        </is>
      </c>
      <c r="B541" s="43" t="inlineStr">
        <is>
          <t>面格子付上げ下げ窓FS</t>
        </is>
      </c>
      <c r="C541" s="43" t="inlineStr">
        <is>
          <t>SP-SL-AGE-GRILLE-IGETA</t>
        </is>
      </c>
      <c r="D541" s="43" t="inlineStr">
        <is>
          <t>在来・204</t>
        </is>
      </c>
      <c r="E541" s="43" t="inlineStr">
        <is>
          <t>03609</t>
        </is>
      </c>
      <c r="F541" s="43" t="inlineStr">
        <is>
          <t>036</t>
        </is>
      </c>
      <c r="G541" s="43" t="inlineStr">
        <is>
          <t>09</t>
        </is>
      </c>
      <c r="H541" s="43" t="n">
        <v>405</v>
      </c>
      <c r="I541" s="43" t="n">
        <v>970</v>
      </c>
      <c r="J541" s="43" t="inlineStr">
        <is>
          <t>設定可</t>
        </is>
      </c>
      <c r="K541" s="43" t="b">
        <v>1</v>
      </c>
      <c r="L541" s="43" t="inlineStr">
        <is>
          <t>145</t>
        </is>
      </c>
      <c r="M541" s="43" t="inlineStr">
        <is>
          <t>¥75,400 / ¥81,100</t>
        </is>
      </c>
    </row>
    <row r="542">
      <c r="A542" s="43" t="inlineStr">
        <is>
          <t>SZ-SL-000997</t>
        </is>
      </c>
      <c r="B542" s="43" t="inlineStr">
        <is>
          <t>面格子付上げ下げ窓FS</t>
        </is>
      </c>
      <c r="C542" s="43" t="inlineStr">
        <is>
          <t>SP-SL-AGE-GRILLE-IGETA</t>
        </is>
      </c>
      <c r="D542" s="43" t="inlineStr">
        <is>
          <t>在来・204</t>
        </is>
      </c>
      <c r="E542" s="43" t="inlineStr">
        <is>
          <t>06009</t>
        </is>
      </c>
      <c r="F542" s="43" t="inlineStr">
        <is>
          <t>060</t>
        </is>
      </c>
      <c r="G542" s="43" t="inlineStr">
        <is>
          <t>09</t>
        </is>
      </c>
      <c r="H542" s="43" t="n">
        <v>640</v>
      </c>
      <c r="I542" s="43" t="n">
        <v>970</v>
      </c>
      <c r="J542" s="43" t="inlineStr">
        <is>
          <t>設定可</t>
        </is>
      </c>
      <c r="K542" s="43" t="b">
        <v>1</v>
      </c>
      <c r="L542" s="43" t="inlineStr">
        <is>
          <t>145</t>
        </is>
      </c>
      <c r="M542" s="43" t="inlineStr">
        <is>
          <t>¥82,500 / ¥88,900</t>
        </is>
      </c>
    </row>
    <row r="543">
      <c r="A543" s="43" t="inlineStr">
        <is>
          <t>SZ-SL-000998</t>
        </is>
      </c>
      <c r="B543" s="43" t="inlineStr">
        <is>
          <t>面格子付上げ下げ窓FS</t>
        </is>
      </c>
      <c r="C543" s="43" t="inlineStr">
        <is>
          <t>SP-SL-AGE-GRILLE-IGETA</t>
        </is>
      </c>
      <c r="D543" s="43" t="inlineStr">
        <is>
          <t>在来・204</t>
        </is>
      </c>
      <c r="E543" s="43" t="inlineStr">
        <is>
          <t>06909</t>
        </is>
      </c>
      <c r="F543" s="43" t="inlineStr">
        <is>
          <t>069</t>
        </is>
      </c>
      <c r="G543" s="43" t="inlineStr">
        <is>
          <t>09</t>
        </is>
      </c>
      <c r="H543" s="43" t="n">
        <v>730</v>
      </c>
      <c r="I543" s="43" t="n">
        <v>970</v>
      </c>
      <c r="J543" s="43" t="inlineStr">
        <is>
          <t>設定可</t>
        </is>
      </c>
      <c r="K543" s="43" t="b">
        <v>1</v>
      </c>
      <c r="L543" s="43" t="inlineStr">
        <is>
          <t>145</t>
        </is>
      </c>
      <c r="M543" s="43" t="inlineStr">
        <is>
          <t>¥91,000 / ¥98,100</t>
        </is>
      </c>
    </row>
    <row r="544">
      <c r="A544" s="43" t="inlineStr">
        <is>
          <t>SZ-SL-000999</t>
        </is>
      </c>
      <c r="B544" s="43" t="inlineStr">
        <is>
          <t>面格子付上げ下げ窓FS</t>
        </is>
      </c>
      <c r="C544" s="43" t="inlineStr">
        <is>
          <t>SP-SL-AGE-GRILLE-IGETA</t>
        </is>
      </c>
      <c r="D544" s="43" t="inlineStr">
        <is>
          <t>在来・204</t>
        </is>
      </c>
      <c r="E544" s="43" t="inlineStr">
        <is>
          <t>07409</t>
        </is>
      </c>
      <c r="F544" s="43" t="inlineStr">
        <is>
          <t>074</t>
        </is>
      </c>
      <c r="G544" s="43" t="inlineStr">
        <is>
          <t>09</t>
        </is>
      </c>
      <c r="H544" s="43" t="n">
        <v>780</v>
      </c>
      <c r="I544" s="43" t="n">
        <v>970</v>
      </c>
      <c r="J544" s="43" t="inlineStr">
        <is>
          <t>設定可</t>
        </is>
      </c>
      <c r="K544" s="43" t="b">
        <v>1</v>
      </c>
      <c r="L544" s="43" t="inlineStr">
        <is>
          <t>145</t>
        </is>
      </c>
      <c r="M544" s="43" t="inlineStr">
        <is>
          <t>¥91,000 / ¥98,100</t>
        </is>
      </c>
    </row>
    <row r="545">
      <c r="A545" s="43" t="inlineStr">
        <is>
          <t>SZ-SL-001000</t>
        </is>
      </c>
      <c r="B545" s="43" t="inlineStr">
        <is>
          <t>面格子付上げ下げ窓FS</t>
        </is>
      </c>
      <c r="C545" s="43" t="inlineStr">
        <is>
          <t>SP-SL-AGE-GRILLE-V</t>
        </is>
      </c>
      <c r="D545" s="43" t="inlineStr">
        <is>
          <t>在来・204</t>
        </is>
      </c>
      <c r="E545" s="43" t="inlineStr">
        <is>
          <t>02609</t>
        </is>
      </c>
      <c r="F545" s="43" t="inlineStr">
        <is>
          <t>026</t>
        </is>
      </c>
      <c r="G545" s="43" t="inlineStr">
        <is>
          <t>09</t>
        </is>
      </c>
      <c r="H545" s="43" t="n">
        <v>300</v>
      </c>
      <c r="I545" s="43" t="n">
        <v>970</v>
      </c>
      <c r="J545" s="43" t="inlineStr">
        <is>
          <t>設定可</t>
        </is>
      </c>
      <c r="K545" s="43" t="b">
        <v>1</v>
      </c>
      <c r="L545" s="43" t="inlineStr">
        <is>
          <t>145</t>
        </is>
      </c>
      <c r="M545" s="43" t="inlineStr">
        <is>
          <t>¥65,500 / ¥70,500</t>
        </is>
      </c>
    </row>
    <row r="546">
      <c r="A546" s="43" t="inlineStr">
        <is>
          <t>SZ-SL-001001</t>
        </is>
      </c>
      <c r="B546" s="43" t="inlineStr">
        <is>
          <t>面格子付上げ下げ窓FS</t>
        </is>
      </c>
      <c r="C546" s="43" t="inlineStr">
        <is>
          <t>SP-SL-AGE-GRILLE-V</t>
        </is>
      </c>
      <c r="D546" s="43" t="inlineStr">
        <is>
          <t>在来・204</t>
        </is>
      </c>
      <c r="E546" s="43" t="inlineStr">
        <is>
          <t>03609</t>
        </is>
      </c>
      <c r="F546" s="43" t="inlineStr">
        <is>
          <t>036</t>
        </is>
      </c>
      <c r="G546" s="43" t="inlineStr">
        <is>
          <t>09</t>
        </is>
      </c>
      <c r="H546" s="43" t="n">
        <v>405</v>
      </c>
      <c r="I546" s="43" t="n">
        <v>970</v>
      </c>
      <c r="J546" s="43" t="inlineStr">
        <is>
          <t>設定可</t>
        </is>
      </c>
      <c r="K546" s="43" t="b">
        <v>1</v>
      </c>
      <c r="L546" s="43" t="inlineStr">
        <is>
          <t>145</t>
        </is>
      </c>
      <c r="M546" s="43" t="inlineStr">
        <is>
          <t>¥68,100 / ¥73,300</t>
        </is>
      </c>
    </row>
    <row r="547">
      <c r="A547" s="43" t="inlineStr">
        <is>
          <t>SZ-SL-001002</t>
        </is>
      </c>
      <c r="B547" s="43" t="inlineStr">
        <is>
          <t>面格子付上げ下げ窓FS</t>
        </is>
      </c>
      <c r="C547" s="43" t="inlineStr">
        <is>
          <t>SP-SL-AGE-GRILLE-V</t>
        </is>
      </c>
      <c r="D547" s="43" t="inlineStr">
        <is>
          <t>在来・204</t>
        </is>
      </c>
      <c r="E547" s="43" t="inlineStr">
        <is>
          <t>06009</t>
        </is>
      </c>
      <c r="F547" s="43" t="inlineStr">
        <is>
          <t>060</t>
        </is>
      </c>
      <c r="G547" s="43" t="inlineStr">
        <is>
          <t>09</t>
        </is>
      </c>
      <c r="H547" s="43" t="n">
        <v>640</v>
      </c>
      <c r="I547" s="43" t="n">
        <v>970</v>
      </c>
      <c r="J547" s="43" t="inlineStr">
        <is>
          <t>設定可</t>
        </is>
      </c>
      <c r="K547" s="43" t="b">
        <v>1</v>
      </c>
      <c r="L547" s="43" t="inlineStr">
        <is>
          <t>145</t>
        </is>
      </c>
      <c r="M547" s="43" t="inlineStr">
        <is>
          <t>¥74,400 / ¥80,500</t>
        </is>
      </c>
    </row>
    <row r="548">
      <c r="A548" s="43" t="inlineStr">
        <is>
          <t>SZ-SL-001003</t>
        </is>
      </c>
      <c r="B548" s="43" t="inlineStr">
        <is>
          <t>面格子付上げ下げ窓FS</t>
        </is>
      </c>
      <c r="C548" s="43" t="inlineStr">
        <is>
          <t>SP-SL-AGE-GRILLE-V</t>
        </is>
      </c>
      <c r="D548" s="43" t="inlineStr">
        <is>
          <t>在来・204</t>
        </is>
      </c>
      <c r="E548" s="43" t="inlineStr">
        <is>
          <t>06909</t>
        </is>
      </c>
      <c r="F548" s="43" t="inlineStr">
        <is>
          <t>069</t>
        </is>
      </c>
      <c r="G548" s="43" t="inlineStr">
        <is>
          <t>09</t>
        </is>
      </c>
      <c r="H548" s="43" t="n">
        <v>730</v>
      </c>
      <c r="I548" s="43" t="n">
        <v>970</v>
      </c>
      <c r="J548" s="43" t="inlineStr">
        <is>
          <t>設定可</t>
        </is>
      </c>
      <c r="K548" s="43" t="b">
        <v>1</v>
      </c>
      <c r="L548" s="43" t="inlineStr">
        <is>
          <t>145</t>
        </is>
      </c>
      <c r="M548" s="43" t="inlineStr">
        <is>
          <t>¥81,800 / ¥88,500</t>
        </is>
      </c>
    </row>
    <row r="549">
      <c r="A549" s="43" t="inlineStr">
        <is>
          <t>SZ-SL-001004</t>
        </is>
      </c>
      <c r="B549" s="43" t="inlineStr">
        <is>
          <t>面格子付上げ下げ窓FS</t>
        </is>
      </c>
      <c r="C549" s="43" t="inlineStr">
        <is>
          <t>SP-SL-AGE-GRILLE-V</t>
        </is>
      </c>
      <c r="D549" s="43" t="inlineStr">
        <is>
          <t>在来・204</t>
        </is>
      </c>
      <c r="E549" s="43" t="inlineStr">
        <is>
          <t>07409</t>
        </is>
      </c>
      <c r="F549" s="43" t="inlineStr">
        <is>
          <t>074</t>
        </is>
      </c>
      <c r="G549" s="43" t="inlineStr">
        <is>
          <t>09</t>
        </is>
      </c>
      <c r="H549" s="43" t="n">
        <v>780</v>
      </c>
      <c r="I549" s="43" t="n">
        <v>970</v>
      </c>
      <c r="J549" s="43" t="inlineStr">
        <is>
          <t>設定可</t>
        </is>
      </c>
      <c r="K549" s="43" t="b">
        <v>1</v>
      </c>
      <c r="L549" s="43" t="inlineStr">
        <is>
          <t>145</t>
        </is>
      </c>
      <c r="M549" s="43" t="inlineStr">
        <is>
          <t>¥81,800 / ¥88,500</t>
        </is>
      </c>
    </row>
    <row r="550">
      <c r="A550" s="43" t="inlineStr">
        <is>
          <t>SZ-SL-001005</t>
        </is>
      </c>
      <c r="B550" s="43" t="inlineStr">
        <is>
          <t>面格子付上げ下げ窓FS</t>
        </is>
      </c>
      <c r="C550" s="43" t="inlineStr">
        <is>
          <t>SP-SL-AGE-GRILLE-DIA</t>
        </is>
      </c>
      <c r="D550" s="43" t="inlineStr">
        <is>
          <t>在来・204</t>
        </is>
      </c>
      <c r="E550" s="43" t="inlineStr">
        <is>
          <t>02611</t>
        </is>
      </c>
      <c r="F550" s="43" t="inlineStr">
        <is>
          <t>026</t>
        </is>
      </c>
      <c r="G550" s="43" t="inlineStr">
        <is>
          <t>11</t>
        </is>
      </c>
      <c r="H550" s="43" t="n">
        <v>300</v>
      </c>
      <c r="I550" s="43" t="n">
        <v>1170</v>
      </c>
      <c r="J550" s="43" t="inlineStr">
        <is>
          <t>設定可</t>
        </is>
      </c>
      <c r="K550" s="43" t="b">
        <v>1</v>
      </c>
      <c r="L550" s="43" t="inlineStr">
        <is>
          <t>146</t>
        </is>
      </c>
      <c r="M550" s="43" t="inlineStr">
        <is>
          <t>¥78,900 / ¥84,900</t>
        </is>
      </c>
    </row>
    <row r="551">
      <c r="A551" s="43" t="inlineStr">
        <is>
          <t>SZ-SL-001006</t>
        </is>
      </c>
      <c r="B551" s="43" t="inlineStr">
        <is>
          <t>面格子付上げ下げ窓FS</t>
        </is>
      </c>
      <c r="C551" s="43" t="inlineStr">
        <is>
          <t>SP-SL-AGE-GRILLE-DIA</t>
        </is>
      </c>
      <c r="D551" s="43" t="inlineStr">
        <is>
          <t>在来・204</t>
        </is>
      </c>
      <c r="E551" s="43" t="inlineStr">
        <is>
          <t>03611</t>
        </is>
      </c>
      <c r="F551" s="43" t="inlineStr">
        <is>
          <t>036</t>
        </is>
      </c>
      <c r="G551" s="43" t="inlineStr">
        <is>
          <t>11</t>
        </is>
      </c>
      <c r="H551" s="43" t="n">
        <v>405</v>
      </c>
      <c r="I551" s="43" t="n">
        <v>1170</v>
      </c>
      <c r="J551" s="43" t="inlineStr">
        <is>
          <t>設定可</t>
        </is>
      </c>
      <c r="K551" s="43" t="b">
        <v>1</v>
      </c>
      <c r="L551" s="43" t="inlineStr">
        <is>
          <t>146</t>
        </is>
      </c>
      <c r="M551" s="43" t="inlineStr">
        <is>
          <t>¥81,800 / ¥88,000</t>
        </is>
      </c>
    </row>
    <row r="552">
      <c r="A552" s="43" t="inlineStr">
        <is>
          <t>SZ-SL-001007</t>
        </is>
      </c>
      <c r="B552" s="43" t="inlineStr">
        <is>
          <t>面格子付上げ下げ窓FS</t>
        </is>
      </c>
      <c r="C552" s="43" t="inlineStr">
        <is>
          <t>SP-SL-AGE-GRILLE-DIA</t>
        </is>
      </c>
      <c r="D552" s="43" t="inlineStr">
        <is>
          <t>在来・204</t>
        </is>
      </c>
      <c r="E552" s="43" t="inlineStr">
        <is>
          <t>06011</t>
        </is>
      </c>
      <c r="F552" s="43" t="inlineStr">
        <is>
          <t>060</t>
        </is>
      </c>
      <c r="G552" s="43" t="inlineStr">
        <is>
          <t>11</t>
        </is>
      </c>
      <c r="H552" s="43" t="n">
        <v>640</v>
      </c>
      <c r="I552" s="43" t="n">
        <v>1170</v>
      </c>
      <c r="J552" s="43" t="inlineStr">
        <is>
          <t>設定可</t>
        </is>
      </c>
      <c r="K552" s="43" t="b">
        <v>1</v>
      </c>
      <c r="L552" s="43" t="inlineStr">
        <is>
          <t>146</t>
        </is>
      </c>
      <c r="M552" s="43" t="inlineStr">
        <is>
          <t>¥89,300 / ¥96,400</t>
        </is>
      </c>
    </row>
    <row r="553">
      <c r="A553" s="43" t="inlineStr">
        <is>
          <t>SZ-SL-001008</t>
        </is>
      </c>
      <c r="B553" s="43" t="inlineStr">
        <is>
          <t>面格子付上げ下げ窓FS</t>
        </is>
      </c>
      <c r="C553" s="43" t="inlineStr">
        <is>
          <t>SP-SL-AGE-GRILLE-DIA</t>
        </is>
      </c>
      <c r="D553" s="43" t="inlineStr">
        <is>
          <t>在来・204</t>
        </is>
      </c>
      <c r="E553" s="43" t="inlineStr">
        <is>
          <t>06911</t>
        </is>
      </c>
      <c r="F553" s="43" t="inlineStr">
        <is>
          <t>069</t>
        </is>
      </c>
      <c r="G553" s="43" t="inlineStr">
        <is>
          <t>11</t>
        </is>
      </c>
      <c r="H553" s="43" t="n">
        <v>730</v>
      </c>
      <c r="I553" s="43" t="n">
        <v>1170</v>
      </c>
      <c r="J553" s="43" t="inlineStr">
        <is>
          <t>設定可</t>
        </is>
      </c>
      <c r="K553" s="43" t="b">
        <v>1</v>
      </c>
      <c r="L553" s="43" t="inlineStr">
        <is>
          <t>146</t>
        </is>
      </c>
      <c r="M553" s="43" t="inlineStr">
        <is>
          <t>¥98,700 / ¥106,400</t>
        </is>
      </c>
    </row>
    <row r="554">
      <c r="A554" s="43" t="inlineStr">
        <is>
          <t>SZ-SL-001009</t>
        </is>
      </c>
      <c r="B554" s="43" t="inlineStr">
        <is>
          <t>面格子付上げ下げ窓FS</t>
        </is>
      </c>
      <c r="C554" s="43" t="inlineStr">
        <is>
          <t>SP-SL-AGE-GRILLE-DIA</t>
        </is>
      </c>
      <c r="D554" s="43" t="inlineStr">
        <is>
          <t>在来・204</t>
        </is>
      </c>
      <c r="E554" s="43" t="inlineStr">
        <is>
          <t>07411</t>
        </is>
      </c>
      <c r="F554" s="43" t="inlineStr">
        <is>
          <t>074</t>
        </is>
      </c>
      <c r="G554" s="43" t="inlineStr">
        <is>
          <t>11</t>
        </is>
      </c>
      <c r="H554" s="43" t="n">
        <v>780</v>
      </c>
      <c r="I554" s="43" t="n">
        <v>1170</v>
      </c>
      <c r="J554" s="43" t="inlineStr">
        <is>
          <t>設定可</t>
        </is>
      </c>
      <c r="K554" s="43" t="b">
        <v>1</v>
      </c>
      <c r="L554" s="43" t="inlineStr">
        <is>
          <t>146</t>
        </is>
      </c>
      <c r="M554" s="43" t="inlineStr">
        <is>
          <t>¥98,700 / ¥106,400</t>
        </is>
      </c>
    </row>
    <row r="555">
      <c r="A555" s="43" t="inlineStr">
        <is>
          <t>SZ-SL-001010</t>
        </is>
      </c>
      <c r="B555" s="43" t="inlineStr">
        <is>
          <t>面格子付上げ下げ窓FS</t>
        </is>
      </c>
      <c r="C555" s="43" t="inlineStr">
        <is>
          <t>SP-SL-AGE-GRILLE-H</t>
        </is>
      </c>
      <c r="D555" s="43" t="inlineStr">
        <is>
          <t>在来・204</t>
        </is>
      </c>
      <c r="E555" s="43" t="inlineStr">
        <is>
          <t>02611</t>
        </is>
      </c>
      <c r="F555" s="43" t="inlineStr">
        <is>
          <t>026</t>
        </is>
      </c>
      <c r="G555" s="43" t="inlineStr">
        <is>
          <t>11</t>
        </is>
      </c>
      <c r="H555" s="43" t="n">
        <v>300</v>
      </c>
      <c r="I555" s="43" t="n">
        <v>1170</v>
      </c>
      <c r="J555" s="43" t="inlineStr">
        <is>
          <t>設定可</t>
        </is>
      </c>
      <c r="K555" s="43" t="b">
        <v>1</v>
      </c>
      <c r="L555" s="43" t="inlineStr">
        <is>
          <t>146</t>
        </is>
      </c>
      <c r="M555" s="43" t="inlineStr">
        <is>
          <t>¥78,900 / ¥84,900</t>
        </is>
      </c>
    </row>
    <row r="556">
      <c r="A556" s="43" t="inlineStr">
        <is>
          <t>SZ-SL-001011</t>
        </is>
      </c>
      <c r="B556" s="43" t="inlineStr">
        <is>
          <t>面格子付上げ下げ窓FS</t>
        </is>
      </c>
      <c r="C556" s="43" t="inlineStr">
        <is>
          <t>SP-SL-AGE-GRILLE-H</t>
        </is>
      </c>
      <c r="D556" s="43" t="inlineStr">
        <is>
          <t>在来・204</t>
        </is>
      </c>
      <c r="E556" s="43" t="inlineStr">
        <is>
          <t>03611</t>
        </is>
      </c>
      <c r="F556" s="43" t="inlineStr">
        <is>
          <t>036</t>
        </is>
      </c>
      <c r="G556" s="43" t="inlineStr">
        <is>
          <t>11</t>
        </is>
      </c>
      <c r="H556" s="43" t="n">
        <v>405</v>
      </c>
      <c r="I556" s="43" t="n">
        <v>1170</v>
      </c>
      <c r="J556" s="43" t="inlineStr">
        <is>
          <t>設定可</t>
        </is>
      </c>
      <c r="K556" s="43" t="b">
        <v>1</v>
      </c>
      <c r="L556" s="43" t="inlineStr">
        <is>
          <t>146</t>
        </is>
      </c>
      <c r="M556" s="43" t="inlineStr">
        <is>
          <t>¥81,800 / ¥88,000</t>
        </is>
      </c>
    </row>
    <row r="557">
      <c r="A557" s="43" t="inlineStr">
        <is>
          <t>SZ-SL-001012</t>
        </is>
      </c>
      <c r="B557" s="43" t="inlineStr">
        <is>
          <t>面格子付上げ下げ窓FS</t>
        </is>
      </c>
      <c r="C557" s="43" t="inlineStr">
        <is>
          <t>SP-SL-AGE-GRILLE-H</t>
        </is>
      </c>
      <c r="D557" s="43" t="inlineStr">
        <is>
          <t>在来・204</t>
        </is>
      </c>
      <c r="E557" s="43" t="inlineStr">
        <is>
          <t>06011</t>
        </is>
      </c>
      <c r="F557" s="43" t="inlineStr">
        <is>
          <t>060</t>
        </is>
      </c>
      <c r="G557" s="43" t="inlineStr">
        <is>
          <t>11</t>
        </is>
      </c>
      <c r="H557" s="43" t="n">
        <v>640</v>
      </c>
      <c r="I557" s="43" t="n">
        <v>1170</v>
      </c>
      <c r="J557" s="43" t="inlineStr">
        <is>
          <t>設定可</t>
        </is>
      </c>
      <c r="K557" s="43" t="b">
        <v>1</v>
      </c>
      <c r="L557" s="43" t="inlineStr">
        <is>
          <t>146</t>
        </is>
      </c>
      <c r="M557" s="43" t="inlineStr">
        <is>
          <t>¥89,300 / ¥96,400</t>
        </is>
      </c>
    </row>
    <row r="558">
      <c r="A558" s="43" t="inlineStr">
        <is>
          <t>SZ-SL-001013</t>
        </is>
      </c>
      <c r="B558" s="43" t="inlineStr">
        <is>
          <t>面格子付上げ下げ窓FS</t>
        </is>
      </c>
      <c r="C558" s="43" t="inlineStr">
        <is>
          <t>SP-SL-AGE-GRILLE-H</t>
        </is>
      </c>
      <c r="D558" s="43" t="inlineStr">
        <is>
          <t>在来・204</t>
        </is>
      </c>
      <c r="E558" s="43" t="inlineStr">
        <is>
          <t>06911</t>
        </is>
      </c>
      <c r="F558" s="43" t="inlineStr">
        <is>
          <t>069</t>
        </is>
      </c>
      <c r="G558" s="43" t="inlineStr">
        <is>
          <t>11</t>
        </is>
      </c>
      <c r="H558" s="43" t="n">
        <v>730</v>
      </c>
      <c r="I558" s="43" t="n">
        <v>1170</v>
      </c>
      <c r="J558" s="43" t="inlineStr">
        <is>
          <t>設定可</t>
        </is>
      </c>
      <c r="K558" s="43" t="b">
        <v>1</v>
      </c>
      <c r="L558" s="43" t="inlineStr">
        <is>
          <t>146</t>
        </is>
      </c>
      <c r="M558" s="43" t="inlineStr">
        <is>
          <t>¥98,700 / ¥106,400</t>
        </is>
      </c>
    </row>
    <row r="559">
      <c r="A559" s="43" t="inlineStr">
        <is>
          <t>SZ-SL-001014</t>
        </is>
      </c>
      <c r="B559" s="43" t="inlineStr">
        <is>
          <t>面格子付上げ下げ窓FS</t>
        </is>
      </c>
      <c r="C559" s="43" t="inlineStr">
        <is>
          <t>SP-SL-AGE-GRILLE-H</t>
        </is>
      </c>
      <c r="D559" s="43" t="inlineStr">
        <is>
          <t>在来・204</t>
        </is>
      </c>
      <c r="E559" s="43" t="inlineStr">
        <is>
          <t>07411</t>
        </is>
      </c>
      <c r="F559" s="43" t="inlineStr">
        <is>
          <t>074</t>
        </is>
      </c>
      <c r="G559" s="43" t="inlineStr">
        <is>
          <t>11</t>
        </is>
      </c>
      <c r="H559" s="43" t="n">
        <v>780</v>
      </c>
      <c r="I559" s="43" t="n">
        <v>1170</v>
      </c>
      <c r="J559" s="43" t="inlineStr">
        <is>
          <t>設定可</t>
        </is>
      </c>
      <c r="K559" s="43" t="b">
        <v>1</v>
      </c>
      <c r="L559" s="43" t="inlineStr">
        <is>
          <t>146</t>
        </is>
      </c>
      <c r="M559" s="43" t="inlineStr">
        <is>
          <t>¥98,700 / ¥106,400</t>
        </is>
      </c>
    </row>
    <row r="560">
      <c r="A560" s="43" t="inlineStr">
        <is>
          <t>SZ-SL-001015</t>
        </is>
      </c>
      <c r="B560" s="43" t="inlineStr">
        <is>
          <t>面格子付上げ下げ窓FS</t>
        </is>
      </c>
      <c r="C560" s="43" t="inlineStr">
        <is>
          <t>SP-SL-AGE-GRILLE-IGETA</t>
        </is>
      </c>
      <c r="D560" s="43" t="inlineStr">
        <is>
          <t>在来・204</t>
        </is>
      </c>
      <c r="E560" s="43" t="inlineStr">
        <is>
          <t>02611</t>
        </is>
      </c>
      <c r="F560" s="43" t="inlineStr">
        <is>
          <t>026</t>
        </is>
      </c>
      <c r="G560" s="43" t="inlineStr">
        <is>
          <t>11</t>
        </is>
      </c>
      <c r="H560" s="43" t="n">
        <v>300</v>
      </c>
      <c r="I560" s="43" t="n">
        <v>1170</v>
      </c>
      <c r="J560" s="43" t="inlineStr">
        <is>
          <t>設定可</t>
        </is>
      </c>
      <c r="K560" s="43" t="b">
        <v>1</v>
      </c>
      <c r="L560" s="43" t="inlineStr">
        <is>
          <t>146</t>
        </is>
      </c>
      <c r="M560" s="43" t="inlineStr">
        <is>
          <t>¥78,900 / ¥84,900</t>
        </is>
      </c>
    </row>
    <row r="561">
      <c r="A561" s="43" t="inlineStr">
        <is>
          <t>SZ-SL-001016</t>
        </is>
      </c>
      <c r="B561" s="43" t="inlineStr">
        <is>
          <t>面格子付上げ下げ窓FS</t>
        </is>
      </c>
      <c r="C561" s="43" t="inlineStr">
        <is>
          <t>SP-SL-AGE-GRILLE-IGETA</t>
        </is>
      </c>
      <c r="D561" s="43" t="inlineStr">
        <is>
          <t>在来・204</t>
        </is>
      </c>
      <c r="E561" s="43" t="inlineStr">
        <is>
          <t>03611</t>
        </is>
      </c>
      <c r="F561" s="43" t="inlineStr">
        <is>
          <t>036</t>
        </is>
      </c>
      <c r="G561" s="43" t="inlineStr">
        <is>
          <t>11</t>
        </is>
      </c>
      <c r="H561" s="43" t="n">
        <v>405</v>
      </c>
      <c r="I561" s="43" t="n">
        <v>1170</v>
      </c>
      <c r="J561" s="43" t="inlineStr">
        <is>
          <t>設定可</t>
        </is>
      </c>
      <c r="K561" s="43" t="b">
        <v>1</v>
      </c>
      <c r="L561" s="43" t="inlineStr">
        <is>
          <t>146</t>
        </is>
      </c>
      <c r="M561" s="43" t="inlineStr">
        <is>
          <t>¥81,800 / ¥88,000</t>
        </is>
      </c>
    </row>
    <row r="562">
      <c r="A562" s="43" t="inlineStr">
        <is>
          <t>SZ-SL-001017</t>
        </is>
      </c>
      <c r="B562" s="43" t="inlineStr">
        <is>
          <t>面格子付上げ下げ窓FS</t>
        </is>
      </c>
      <c r="C562" s="43" t="inlineStr">
        <is>
          <t>SP-SL-AGE-GRILLE-IGETA</t>
        </is>
      </c>
      <c r="D562" s="43" t="inlineStr">
        <is>
          <t>在来・204</t>
        </is>
      </c>
      <c r="E562" s="43" t="inlineStr">
        <is>
          <t>06011</t>
        </is>
      </c>
      <c r="F562" s="43" t="inlineStr">
        <is>
          <t>060</t>
        </is>
      </c>
      <c r="G562" s="43" t="inlineStr">
        <is>
          <t>11</t>
        </is>
      </c>
      <c r="H562" s="43" t="n">
        <v>640</v>
      </c>
      <c r="I562" s="43" t="n">
        <v>1170</v>
      </c>
      <c r="J562" s="43" t="inlineStr">
        <is>
          <t>設定可</t>
        </is>
      </c>
      <c r="K562" s="43" t="b">
        <v>1</v>
      </c>
      <c r="L562" s="43" t="inlineStr">
        <is>
          <t>146</t>
        </is>
      </c>
      <c r="M562" s="43" t="inlineStr">
        <is>
          <t>¥89,300 / ¥96,400</t>
        </is>
      </c>
    </row>
    <row r="563">
      <c r="A563" s="43" t="inlineStr">
        <is>
          <t>SZ-SL-001018</t>
        </is>
      </c>
      <c r="B563" s="43" t="inlineStr">
        <is>
          <t>面格子付上げ下げ窓FS</t>
        </is>
      </c>
      <c r="C563" s="43" t="inlineStr">
        <is>
          <t>SP-SL-AGE-GRILLE-IGETA</t>
        </is>
      </c>
      <c r="D563" s="43" t="inlineStr">
        <is>
          <t>在来・204</t>
        </is>
      </c>
      <c r="E563" s="43" t="inlineStr">
        <is>
          <t>06911</t>
        </is>
      </c>
      <c r="F563" s="43" t="inlineStr">
        <is>
          <t>069</t>
        </is>
      </c>
      <c r="G563" s="43" t="inlineStr">
        <is>
          <t>11</t>
        </is>
      </c>
      <c r="H563" s="43" t="n">
        <v>730</v>
      </c>
      <c r="I563" s="43" t="n">
        <v>1170</v>
      </c>
      <c r="J563" s="43" t="inlineStr">
        <is>
          <t>設定可</t>
        </is>
      </c>
      <c r="K563" s="43" t="b">
        <v>1</v>
      </c>
      <c r="L563" s="43" t="inlineStr">
        <is>
          <t>146</t>
        </is>
      </c>
      <c r="M563" s="43" t="inlineStr">
        <is>
          <t>¥98,700 / ¥106,400</t>
        </is>
      </c>
    </row>
    <row r="564">
      <c r="A564" s="43" t="inlineStr">
        <is>
          <t>SZ-SL-001019</t>
        </is>
      </c>
      <c r="B564" s="43" t="inlineStr">
        <is>
          <t>面格子付上げ下げ窓FS</t>
        </is>
      </c>
      <c r="C564" s="43" t="inlineStr">
        <is>
          <t>SP-SL-AGE-GRILLE-IGETA</t>
        </is>
      </c>
      <c r="D564" s="43" t="inlineStr">
        <is>
          <t>在来・204</t>
        </is>
      </c>
      <c r="E564" s="43" t="inlineStr">
        <is>
          <t>07411</t>
        </is>
      </c>
      <c r="F564" s="43" t="inlineStr">
        <is>
          <t>074</t>
        </is>
      </c>
      <c r="G564" s="43" t="inlineStr">
        <is>
          <t>11</t>
        </is>
      </c>
      <c r="H564" s="43" t="n">
        <v>780</v>
      </c>
      <c r="I564" s="43" t="n">
        <v>1170</v>
      </c>
      <c r="J564" s="43" t="inlineStr">
        <is>
          <t>設定可</t>
        </is>
      </c>
      <c r="K564" s="43" t="b">
        <v>1</v>
      </c>
      <c r="L564" s="43" t="inlineStr">
        <is>
          <t>146</t>
        </is>
      </c>
      <c r="M564" s="43" t="inlineStr">
        <is>
          <t>¥98,700 / ¥106,400</t>
        </is>
      </c>
    </row>
    <row r="565">
      <c r="A565" s="43" t="inlineStr">
        <is>
          <t>SZ-SL-001020</t>
        </is>
      </c>
      <c r="B565" s="43" t="inlineStr">
        <is>
          <t>面格子付上げ下げ窓FS</t>
        </is>
      </c>
      <c r="C565" s="43" t="inlineStr">
        <is>
          <t>SP-SL-AGE-GRILLE-V</t>
        </is>
      </c>
      <c r="D565" s="43" t="inlineStr">
        <is>
          <t>在来・204</t>
        </is>
      </c>
      <c r="E565" s="43" t="inlineStr">
        <is>
          <t>02611</t>
        </is>
      </c>
      <c r="F565" s="43" t="inlineStr">
        <is>
          <t>026</t>
        </is>
      </c>
      <c r="G565" s="43" t="inlineStr">
        <is>
          <t>11</t>
        </is>
      </c>
      <c r="H565" s="43" t="n">
        <v>300</v>
      </c>
      <c r="I565" s="43" t="n">
        <v>1170</v>
      </c>
      <c r="J565" s="43" t="inlineStr">
        <is>
          <t>設定可</t>
        </is>
      </c>
      <c r="K565" s="43" t="b">
        <v>1</v>
      </c>
      <c r="L565" s="43" t="inlineStr">
        <is>
          <t>146</t>
        </is>
      </c>
      <c r="M565" s="43" t="inlineStr">
        <is>
          <t>¥70,700 / ¥76,200</t>
        </is>
      </c>
    </row>
    <row r="566">
      <c r="A566" s="43" t="inlineStr">
        <is>
          <t>SZ-SL-001021</t>
        </is>
      </c>
      <c r="B566" s="43" t="inlineStr">
        <is>
          <t>面格子付上げ下げ窓FS</t>
        </is>
      </c>
      <c r="C566" s="43" t="inlineStr">
        <is>
          <t>SP-SL-AGE-GRILLE-V</t>
        </is>
      </c>
      <c r="D566" s="43" t="inlineStr">
        <is>
          <t>在来・204</t>
        </is>
      </c>
      <c r="E566" s="43" t="inlineStr">
        <is>
          <t>03611</t>
        </is>
      </c>
      <c r="F566" s="43" t="inlineStr">
        <is>
          <t>036</t>
        </is>
      </c>
      <c r="G566" s="43" t="inlineStr">
        <is>
          <t>11</t>
        </is>
      </c>
      <c r="H566" s="43" t="n">
        <v>405</v>
      </c>
      <c r="I566" s="43" t="n">
        <v>1170</v>
      </c>
      <c r="J566" s="43" t="inlineStr">
        <is>
          <t>設定可</t>
        </is>
      </c>
      <c r="K566" s="43" t="b">
        <v>1</v>
      </c>
      <c r="L566" s="43" t="inlineStr">
        <is>
          <t>146</t>
        </is>
      </c>
      <c r="M566" s="43" t="inlineStr">
        <is>
          <t>¥73,500 / ¥79,300</t>
        </is>
      </c>
    </row>
    <row r="567">
      <c r="A567" s="43" t="inlineStr">
        <is>
          <t>SZ-SL-001022</t>
        </is>
      </c>
      <c r="B567" s="43" t="inlineStr">
        <is>
          <t>面格子付上げ下げ窓FS</t>
        </is>
      </c>
      <c r="C567" s="43" t="inlineStr">
        <is>
          <t>SP-SL-AGE-GRILLE-V</t>
        </is>
      </c>
      <c r="D567" s="43" t="inlineStr">
        <is>
          <t>在来・204</t>
        </is>
      </c>
      <c r="E567" s="43" t="inlineStr">
        <is>
          <t>06011</t>
        </is>
      </c>
      <c r="F567" s="43" t="inlineStr">
        <is>
          <t>060</t>
        </is>
      </c>
      <c r="G567" s="43" t="inlineStr">
        <is>
          <t>11</t>
        </is>
      </c>
      <c r="H567" s="43" t="n">
        <v>640</v>
      </c>
      <c r="I567" s="43" t="n">
        <v>1170</v>
      </c>
      <c r="J567" s="43" t="inlineStr">
        <is>
          <t>設定可</t>
        </is>
      </c>
      <c r="K567" s="43" t="b">
        <v>1</v>
      </c>
      <c r="L567" s="43" t="inlineStr">
        <is>
          <t>146</t>
        </is>
      </c>
      <c r="M567" s="43" t="inlineStr">
        <is>
          <t>¥80,300 / ¥86,800</t>
        </is>
      </c>
    </row>
    <row r="568">
      <c r="A568" s="43" t="inlineStr">
        <is>
          <t>SZ-SL-001023</t>
        </is>
      </c>
      <c r="B568" s="43" t="inlineStr">
        <is>
          <t>面格子付上げ下げ窓FS</t>
        </is>
      </c>
      <c r="C568" s="43" t="inlineStr">
        <is>
          <t>SP-SL-AGE-GRILLE-V</t>
        </is>
      </c>
      <c r="D568" s="43" t="inlineStr">
        <is>
          <t>在来・204</t>
        </is>
      </c>
      <c r="E568" s="43" t="inlineStr">
        <is>
          <t>06911</t>
        </is>
      </c>
      <c r="F568" s="43" t="inlineStr">
        <is>
          <t>069</t>
        </is>
      </c>
      <c r="G568" s="43" t="inlineStr">
        <is>
          <t>11</t>
        </is>
      </c>
      <c r="H568" s="43" t="n">
        <v>730</v>
      </c>
      <c r="I568" s="43" t="n">
        <v>1170</v>
      </c>
      <c r="J568" s="43" t="inlineStr">
        <is>
          <t>設定可</t>
        </is>
      </c>
      <c r="K568" s="43" t="b">
        <v>1</v>
      </c>
      <c r="L568" s="43" t="inlineStr">
        <is>
          <t>146</t>
        </is>
      </c>
      <c r="M568" s="43" t="inlineStr">
        <is>
          <t>¥88,400 / ¥95,600</t>
        </is>
      </c>
    </row>
    <row r="569">
      <c r="A569" s="43" t="inlineStr">
        <is>
          <t>SZ-SL-001024</t>
        </is>
      </c>
      <c r="B569" s="43" t="inlineStr">
        <is>
          <t>面格子付上げ下げ窓FS</t>
        </is>
      </c>
      <c r="C569" s="43" t="inlineStr">
        <is>
          <t>SP-SL-AGE-GRILLE-V</t>
        </is>
      </c>
      <c r="D569" s="43" t="inlineStr">
        <is>
          <t>在来・204</t>
        </is>
      </c>
      <c r="E569" s="43" t="inlineStr">
        <is>
          <t>07411</t>
        </is>
      </c>
      <c r="F569" s="43" t="inlineStr">
        <is>
          <t>074</t>
        </is>
      </c>
      <c r="G569" s="43" t="inlineStr">
        <is>
          <t>11</t>
        </is>
      </c>
      <c r="H569" s="43" t="n">
        <v>780</v>
      </c>
      <c r="I569" s="43" t="n">
        <v>1170</v>
      </c>
      <c r="J569" s="43" t="inlineStr">
        <is>
          <t>設定可</t>
        </is>
      </c>
      <c r="K569" s="43" t="b">
        <v>1</v>
      </c>
      <c r="L569" s="43" t="inlineStr">
        <is>
          <t>146</t>
        </is>
      </c>
      <c r="M569" s="43" t="inlineStr">
        <is>
          <t>¥88,400 / ¥95,600</t>
        </is>
      </c>
    </row>
    <row r="570">
      <c r="A570" s="43" t="inlineStr">
        <is>
          <t>SZ-SL-001025</t>
        </is>
      </c>
      <c r="B570" s="43" t="inlineStr">
        <is>
          <t>面格子付上げ下げ窓FS</t>
        </is>
      </c>
      <c r="C570" s="43" t="inlineStr">
        <is>
          <t>SP-SL-AGE-GRILLE-DIA</t>
        </is>
      </c>
      <c r="D570" s="43" t="inlineStr">
        <is>
          <t>在来・204</t>
        </is>
      </c>
      <c r="E570" s="43" t="inlineStr">
        <is>
          <t>02613</t>
        </is>
      </c>
      <c r="F570" s="43" t="inlineStr">
        <is>
          <t>026</t>
        </is>
      </c>
      <c r="G570" s="43" t="inlineStr">
        <is>
          <t>13</t>
        </is>
      </c>
      <c r="H570" s="43" t="n">
        <v>300</v>
      </c>
      <c r="I570" s="43" t="n">
        <v>1370</v>
      </c>
      <c r="J570" s="43" t="inlineStr">
        <is>
          <t>設定可</t>
        </is>
      </c>
      <c r="K570" s="43" t="b">
        <v>1</v>
      </c>
      <c r="L570" s="43" t="inlineStr">
        <is>
          <t>147</t>
        </is>
      </c>
      <c r="M570" s="43" t="inlineStr">
        <is>
          <t>¥85,100 / ¥91,800</t>
        </is>
      </c>
    </row>
    <row r="571">
      <c r="A571" s="43" t="inlineStr">
        <is>
          <t>SZ-SL-001026</t>
        </is>
      </c>
      <c r="B571" s="43" t="inlineStr">
        <is>
          <t>面格子付上げ下げ窓FS</t>
        </is>
      </c>
      <c r="C571" s="43" t="inlineStr">
        <is>
          <t>SP-SL-AGE-GRILLE-DIA</t>
        </is>
      </c>
      <c r="D571" s="43" t="inlineStr">
        <is>
          <t>在来・204</t>
        </is>
      </c>
      <c r="E571" s="43" t="inlineStr">
        <is>
          <t>03613</t>
        </is>
      </c>
      <c r="F571" s="43" t="inlineStr">
        <is>
          <t>036</t>
        </is>
      </c>
      <c r="G571" s="43" t="inlineStr">
        <is>
          <t>13</t>
        </is>
      </c>
      <c r="H571" s="43" t="n">
        <v>405</v>
      </c>
      <c r="I571" s="43" t="n">
        <v>1370</v>
      </c>
      <c r="J571" s="43" t="inlineStr">
        <is>
          <t>設定可</t>
        </is>
      </c>
      <c r="K571" s="43" t="b">
        <v>1</v>
      </c>
      <c r="L571" s="43" t="inlineStr">
        <is>
          <t>147</t>
        </is>
      </c>
      <c r="M571" s="43" t="inlineStr">
        <is>
          <t>¥88,200 / ¥95,000</t>
        </is>
      </c>
    </row>
    <row r="572">
      <c r="A572" s="43" t="inlineStr">
        <is>
          <t>SZ-SL-001027</t>
        </is>
      </c>
      <c r="B572" s="43" t="inlineStr">
        <is>
          <t>面格子付上げ下げ窓FS</t>
        </is>
      </c>
      <c r="C572" s="43" t="inlineStr">
        <is>
          <t>SP-SL-AGE-GRILLE-DIA</t>
        </is>
      </c>
      <c r="D572" s="43" t="inlineStr">
        <is>
          <t>在来・204</t>
        </is>
      </c>
      <c r="E572" s="43" t="inlineStr">
        <is>
          <t>06013</t>
        </is>
      </c>
      <c r="F572" s="43" t="inlineStr">
        <is>
          <t>060</t>
        </is>
      </c>
      <c r="G572" s="43" t="inlineStr">
        <is>
          <t>13</t>
        </is>
      </c>
      <c r="H572" s="43" t="n">
        <v>640</v>
      </c>
      <c r="I572" s="43" t="n">
        <v>1370</v>
      </c>
      <c r="J572" s="43" t="inlineStr">
        <is>
          <t>設定可</t>
        </is>
      </c>
      <c r="K572" s="43" t="b">
        <v>1</v>
      </c>
      <c r="L572" s="43" t="inlineStr">
        <is>
          <t>147</t>
        </is>
      </c>
      <c r="M572" s="43" t="inlineStr">
        <is>
          <t>¥96,400 / ¥104,000</t>
        </is>
      </c>
    </row>
    <row r="573">
      <c r="A573" s="43" t="inlineStr">
        <is>
          <t>SZ-SL-001028</t>
        </is>
      </c>
      <c r="B573" s="43" t="inlineStr">
        <is>
          <t>面格子付上げ下げ窓FS</t>
        </is>
      </c>
      <c r="C573" s="43" t="inlineStr">
        <is>
          <t>SP-SL-AGE-GRILLE-DIA</t>
        </is>
      </c>
      <c r="D573" s="43" t="inlineStr">
        <is>
          <t>在来・204</t>
        </is>
      </c>
      <c r="E573" s="43" t="inlineStr">
        <is>
          <t>06913</t>
        </is>
      </c>
      <c r="F573" s="43" t="inlineStr">
        <is>
          <t>069</t>
        </is>
      </c>
      <c r="G573" s="43" t="inlineStr">
        <is>
          <t>13</t>
        </is>
      </c>
      <c r="H573" s="43" t="n">
        <v>730</v>
      </c>
      <c r="I573" s="43" t="n">
        <v>1370</v>
      </c>
      <c r="J573" s="43" t="inlineStr">
        <is>
          <t>設定可</t>
        </is>
      </c>
      <c r="K573" s="43" t="b">
        <v>1</v>
      </c>
      <c r="L573" s="43" t="inlineStr">
        <is>
          <t>147</t>
        </is>
      </c>
      <c r="M573" s="43" t="inlineStr">
        <is>
          <t>¥106,300 / ¥114,800</t>
        </is>
      </c>
    </row>
    <row r="574">
      <c r="A574" s="43" t="inlineStr">
        <is>
          <t>SZ-SL-001029</t>
        </is>
      </c>
      <c r="B574" s="43" t="inlineStr">
        <is>
          <t>面格子付上げ下げ窓FS</t>
        </is>
      </c>
      <c r="C574" s="43" t="inlineStr">
        <is>
          <t>SP-SL-AGE-GRILLE-DIA</t>
        </is>
      </c>
      <c r="D574" s="43" t="inlineStr">
        <is>
          <t>在来・204</t>
        </is>
      </c>
      <c r="E574" s="43" t="inlineStr">
        <is>
          <t>07413</t>
        </is>
      </c>
      <c r="F574" s="43" t="inlineStr">
        <is>
          <t>074</t>
        </is>
      </c>
      <c r="G574" s="43" t="inlineStr">
        <is>
          <t>13</t>
        </is>
      </c>
      <c r="H574" s="43" t="n">
        <v>780</v>
      </c>
      <c r="I574" s="43" t="n">
        <v>1370</v>
      </c>
      <c r="J574" s="43" t="inlineStr">
        <is>
          <t>設定可</t>
        </is>
      </c>
      <c r="K574" s="43" t="b">
        <v>1</v>
      </c>
      <c r="L574" s="43" t="inlineStr">
        <is>
          <t>147</t>
        </is>
      </c>
      <c r="M574" s="43" t="inlineStr">
        <is>
          <t>¥106,300 / ¥114,800</t>
        </is>
      </c>
    </row>
    <row r="575">
      <c r="A575" s="43" t="inlineStr">
        <is>
          <t>SZ-SL-001030</t>
        </is>
      </c>
      <c r="B575" s="43" t="inlineStr">
        <is>
          <t>面格子付上げ下げ窓FS</t>
        </is>
      </c>
      <c r="C575" s="43" t="inlineStr">
        <is>
          <t>SP-SL-AGE-GRILLE-H</t>
        </is>
      </c>
      <c r="D575" s="43" t="inlineStr">
        <is>
          <t>在来・204</t>
        </is>
      </c>
      <c r="E575" s="43" t="inlineStr">
        <is>
          <t>02613</t>
        </is>
      </c>
      <c r="F575" s="43" t="inlineStr">
        <is>
          <t>026</t>
        </is>
      </c>
      <c r="G575" s="43" t="inlineStr">
        <is>
          <t>13</t>
        </is>
      </c>
      <c r="H575" s="43" t="n">
        <v>300</v>
      </c>
      <c r="I575" s="43" t="n">
        <v>1370</v>
      </c>
      <c r="J575" s="43" t="inlineStr">
        <is>
          <t>設定可</t>
        </is>
      </c>
      <c r="K575" s="43" t="b">
        <v>1</v>
      </c>
      <c r="L575" s="43" t="inlineStr">
        <is>
          <t>147</t>
        </is>
      </c>
      <c r="M575" s="43" t="inlineStr">
        <is>
          <t>¥85,100 / ¥91,800</t>
        </is>
      </c>
    </row>
    <row r="576">
      <c r="A576" s="43" t="inlineStr">
        <is>
          <t>SZ-SL-001031</t>
        </is>
      </c>
      <c r="B576" s="43" t="inlineStr">
        <is>
          <t>面格子付上げ下げ窓FS</t>
        </is>
      </c>
      <c r="C576" s="43" t="inlineStr">
        <is>
          <t>SP-SL-AGE-GRILLE-H</t>
        </is>
      </c>
      <c r="D576" s="43" t="inlineStr">
        <is>
          <t>在来・204</t>
        </is>
      </c>
      <c r="E576" s="43" t="inlineStr">
        <is>
          <t>03613</t>
        </is>
      </c>
      <c r="F576" s="43" t="inlineStr">
        <is>
          <t>036</t>
        </is>
      </c>
      <c r="G576" s="43" t="inlineStr">
        <is>
          <t>13</t>
        </is>
      </c>
      <c r="H576" s="43" t="n">
        <v>405</v>
      </c>
      <c r="I576" s="43" t="n">
        <v>1370</v>
      </c>
      <c r="J576" s="43" t="inlineStr">
        <is>
          <t>設定可</t>
        </is>
      </c>
      <c r="K576" s="43" t="b">
        <v>1</v>
      </c>
      <c r="L576" s="43" t="inlineStr">
        <is>
          <t>147</t>
        </is>
      </c>
      <c r="M576" s="43" t="inlineStr">
        <is>
          <t>¥88,200 / ¥95,000</t>
        </is>
      </c>
    </row>
    <row r="577">
      <c r="A577" s="43" t="inlineStr">
        <is>
          <t>SZ-SL-001032</t>
        </is>
      </c>
      <c r="B577" s="43" t="inlineStr">
        <is>
          <t>面格子付上げ下げ窓FS</t>
        </is>
      </c>
      <c r="C577" s="43" t="inlineStr">
        <is>
          <t>SP-SL-AGE-GRILLE-H</t>
        </is>
      </c>
      <c r="D577" s="43" t="inlineStr">
        <is>
          <t>在来・204</t>
        </is>
      </c>
      <c r="E577" s="43" t="inlineStr">
        <is>
          <t>06013</t>
        </is>
      </c>
      <c r="F577" s="43" t="inlineStr">
        <is>
          <t>060</t>
        </is>
      </c>
      <c r="G577" s="43" t="inlineStr">
        <is>
          <t>13</t>
        </is>
      </c>
      <c r="H577" s="43" t="n">
        <v>640</v>
      </c>
      <c r="I577" s="43" t="n">
        <v>1370</v>
      </c>
      <c r="J577" s="43" t="inlineStr">
        <is>
          <t>設定可</t>
        </is>
      </c>
      <c r="K577" s="43" t="b">
        <v>1</v>
      </c>
      <c r="L577" s="43" t="inlineStr">
        <is>
          <t>147</t>
        </is>
      </c>
      <c r="M577" s="43" t="inlineStr">
        <is>
          <t>¥96,400 / ¥104,000</t>
        </is>
      </c>
    </row>
    <row r="578">
      <c r="A578" s="43" t="inlineStr">
        <is>
          <t>SZ-SL-001033</t>
        </is>
      </c>
      <c r="B578" s="43" t="inlineStr">
        <is>
          <t>面格子付上げ下げ窓FS</t>
        </is>
      </c>
      <c r="C578" s="43" t="inlineStr">
        <is>
          <t>SP-SL-AGE-GRILLE-H</t>
        </is>
      </c>
      <c r="D578" s="43" t="inlineStr">
        <is>
          <t>在来・204</t>
        </is>
      </c>
      <c r="E578" s="43" t="inlineStr">
        <is>
          <t>06913</t>
        </is>
      </c>
      <c r="F578" s="43" t="inlineStr">
        <is>
          <t>069</t>
        </is>
      </c>
      <c r="G578" s="43" t="inlineStr">
        <is>
          <t>13</t>
        </is>
      </c>
      <c r="H578" s="43" t="n">
        <v>730</v>
      </c>
      <c r="I578" s="43" t="n">
        <v>1370</v>
      </c>
      <c r="J578" s="43" t="inlineStr">
        <is>
          <t>設定可</t>
        </is>
      </c>
      <c r="K578" s="43" t="b">
        <v>1</v>
      </c>
      <c r="L578" s="43" t="inlineStr">
        <is>
          <t>147</t>
        </is>
      </c>
      <c r="M578" s="43" t="inlineStr">
        <is>
          <t>¥106,300 / ¥114,800</t>
        </is>
      </c>
    </row>
    <row r="579">
      <c r="A579" s="43" t="inlineStr">
        <is>
          <t>SZ-SL-001034</t>
        </is>
      </c>
      <c r="B579" s="43" t="inlineStr">
        <is>
          <t>面格子付上げ下げ窓FS</t>
        </is>
      </c>
      <c r="C579" s="43" t="inlineStr">
        <is>
          <t>SP-SL-AGE-GRILLE-H</t>
        </is>
      </c>
      <c r="D579" s="43" t="inlineStr">
        <is>
          <t>在来・204</t>
        </is>
      </c>
      <c r="E579" s="43" t="inlineStr">
        <is>
          <t>07413</t>
        </is>
      </c>
      <c r="F579" s="43" t="inlineStr">
        <is>
          <t>074</t>
        </is>
      </c>
      <c r="G579" s="43" t="inlineStr">
        <is>
          <t>13</t>
        </is>
      </c>
      <c r="H579" s="43" t="n">
        <v>780</v>
      </c>
      <c r="I579" s="43" t="n">
        <v>1370</v>
      </c>
      <c r="J579" s="43" t="inlineStr">
        <is>
          <t>設定可</t>
        </is>
      </c>
      <c r="K579" s="43" t="b">
        <v>1</v>
      </c>
      <c r="L579" s="43" t="inlineStr">
        <is>
          <t>147</t>
        </is>
      </c>
      <c r="M579" s="43" t="inlineStr">
        <is>
          <t>¥106,300 / ¥114,800</t>
        </is>
      </c>
    </row>
    <row r="580">
      <c r="A580" s="43" t="inlineStr">
        <is>
          <t>SZ-SL-001035</t>
        </is>
      </c>
      <c r="B580" s="43" t="inlineStr">
        <is>
          <t>面格子付上げ下げ窓FS</t>
        </is>
      </c>
      <c r="C580" s="43" t="inlineStr">
        <is>
          <t>SP-SL-AGE-GRILLE-IGETA</t>
        </is>
      </c>
      <c r="D580" s="43" t="inlineStr">
        <is>
          <t>在来・204</t>
        </is>
      </c>
      <c r="E580" s="43" t="inlineStr">
        <is>
          <t>02613</t>
        </is>
      </c>
      <c r="F580" s="43" t="inlineStr">
        <is>
          <t>026</t>
        </is>
      </c>
      <c r="G580" s="43" t="inlineStr">
        <is>
          <t>13</t>
        </is>
      </c>
      <c r="H580" s="43" t="n">
        <v>300</v>
      </c>
      <c r="I580" s="43" t="n">
        <v>1370</v>
      </c>
      <c r="J580" s="43" t="inlineStr">
        <is>
          <t>設定可</t>
        </is>
      </c>
      <c r="K580" s="43" t="b">
        <v>1</v>
      </c>
      <c r="L580" s="43" t="inlineStr">
        <is>
          <t>147</t>
        </is>
      </c>
      <c r="M580" s="43" t="inlineStr">
        <is>
          <t>¥85,100 / ¥91,800</t>
        </is>
      </c>
    </row>
    <row r="581">
      <c r="A581" s="43" t="inlineStr">
        <is>
          <t>SZ-SL-001036</t>
        </is>
      </c>
      <c r="B581" s="43" t="inlineStr">
        <is>
          <t>面格子付上げ下げ窓FS</t>
        </is>
      </c>
      <c r="C581" s="43" t="inlineStr">
        <is>
          <t>SP-SL-AGE-GRILLE-IGETA</t>
        </is>
      </c>
      <c r="D581" s="43" t="inlineStr">
        <is>
          <t>在来・204</t>
        </is>
      </c>
      <c r="E581" s="43" t="inlineStr">
        <is>
          <t>03613</t>
        </is>
      </c>
      <c r="F581" s="43" t="inlineStr">
        <is>
          <t>036</t>
        </is>
      </c>
      <c r="G581" s="43" t="inlineStr">
        <is>
          <t>13</t>
        </is>
      </c>
      <c r="H581" s="43" t="n">
        <v>405</v>
      </c>
      <c r="I581" s="43" t="n">
        <v>1370</v>
      </c>
      <c r="J581" s="43" t="inlineStr">
        <is>
          <t>設定可</t>
        </is>
      </c>
      <c r="K581" s="43" t="b">
        <v>1</v>
      </c>
      <c r="L581" s="43" t="inlineStr">
        <is>
          <t>147</t>
        </is>
      </c>
      <c r="M581" s="43" t="inlineStr">
        <is>
          <t>¥88,200 / ¥95,000</t>
        </is>
      </c>
    </row>
    <row r="582">
      <c r="A582" s="43" t="inlineStr">
        <is>
          <t>SZ-SL-001037</t>
        </is>
      </c>
      <c r="B582" s="43" t="inlineStr">
        <is>
          <t>面格子付上げ下げ窓FS</t>
        </is>
      </c>
      <c r="C582" s="43" t="inlineStr">
        <is>
          <t>SP-SL-AGE-GRILLE-IGETA</t>
        </is>
      </c>
      <c r="D582" s="43" t="inlineStr">
        <is>
          <t>在来・204</t>
        </is>
      </c>
      <c r="E582" s="43" t="inlineStr">
        <is>
          <t>06013</t>
        </is>
      </c>
      <c r="F582" s="43" t="inlineStr">
        <is>
          <t>060</t>
        </is>
      </c>
      <c r="G582" s="43" t="inlineStr">
        <is>
          <t>13</t>
        </is>
      </c>
      <c r="H582" s="43" t="n">
        <v>640</v>
      </c>
      <c r="I582" s="43" t="n">
        <v>1370</v>
      </c>
      <c r="J582" s="43" t="inlineStr">
        <is>
          <t>設定可</t>
        </is>
      </c>
      <c r="K582" s="43" t="b">
        <v>1</v>
      </c>
      <c r="L582" s="43" t="inlineStr">
        <is>
          <t>147</t>
        </is>
      </c>
      <c r="M582" s="43" t="inlineStr">
        <is>
          <t>¥96,400 / ¥104,000</t>
        </is>
      </c>
    </row>
    <row r="583">
      <c r="A583" s="43" t="inlineStr">
        <is>
          <t>SZ-SL-001038</t>
        </is>
      </c>
      <c r="B583" s="43" t="inlineStr">
        <is>
          <t>面格子付上げ下げ窓FS</t>
        </is>
      </c>
      <c r="C583" s="43" t="inlineStr">
        <is>
          <t>SP-SL-AGE-GRILLE-IGETA</t>
        </is>
      </c>
      <c r="D583" s="43" t="inlineStr">
        <is>
          <t>在来・204</t>
        </is>
      </c>
      <c r="E583" s="43" t="inlineStr">
        <is>
          <t>06913</t>
        </is>
      </c>
      <c r="F583" s="43" t="inlineStr">
        <is>
          <t>069</t>
        </is>
      </c>
      <c r="G583" s="43" t="inlineStr">
        <is>
          <t>13</t>
        </is>
      </c>
      <c r="H583" s="43" t="n">
        <v>730</v>
      </c>
      <c r="I583" s="43" t="n">
        <v>1370</v>
      </c>
      <c r="J583" s="43" t="inlineStr">
        <is>
          <t>設定可</t>
        </is>
      </c>
      <c r="K583" s="43" t="b">
        <v>1</v>
      </c>
      <c r="L583" s="43" t="inlineStr">
        <is>
          <t>147</t>
        </is>
      </c>
      <c r="M583" s="43" t="inlineStr">
        <is>
          <t>¥106,300 / ¥114,800</t>
        </is>
      </c>
    </row>
    <row r="584">
      <c r="A584" s="43" t="inlineStr">
        <is>
          <t>SZ-SL-001039</t>
        </is>
      </c>
      <c r="B584" s="43" t="inlineStr">
        <is>
          <t>面格子付上げ下げ窓FS</t>
        </is>
      </c>
      <c r="C584" s="43" t="inlineStr">
        <is>
          <t>SP-SL-AGE-GRILLE-IGETA</t>
        </is>
      </c>
      <c r="D584" s="43" t="inlineStr">
        <is>
          <t>在来・204</t>
        </is>
      </c>
      <c r="E584" s="43" t="inlineStr">
        <is>
          <t>07413</t>
        </is>
      </c>
      <c r="F584" s="43" t="inlineStr">
        <is>
          <t>074</t>
        </is>
      </c>
      <c r="G584" s="43" t="inlineStr">
        <is>
          <t>13</t>
        </is>
      </c>
      <c r="H584" s="43" t="n">
        <v>780</v>
      </c>
      <c r="I584" s="43" t="n">
        <v>1370</v>
      </c>
      <c r="J584" s="43" t="inlineStr">
        <is>
          <t>設定可</t>
        </is>
      </c>
      <c r="K584" s="43" t="b">
        <v>1</v>
      </c>
      <c r="L584" s="43" t="inlineStr">
        <is>
          <t>147</t>
        </is>
      </c>
      <c r="M584" s="43" t="inlineStr">
        <is>
          <t>¥106,300 / ¥114,800</t>
        </is>
      </c>
    </row>
    <row r="585">
      <c r="A585" s="43" t="inlineStr">
        <is>
          <t>SZ-SL-001040</t>
        </is>
      </c>
      <c r="B585" s="43" t="inlineStr">
        <is>
          <t>面格子付上げ下げ窓FS</t>
        </is>
      </c>
      <c r="C585" s="43" t="inlineStr">
        <is>
          <t>SP-SL-AGE-GRILLE-V</t>
        </is>
      </c>
      <c r="D585" s="43" t="inlineStr">
        <is>
          <t>在来・204</t>
        </is>
      </c>
      <c r="E585" s="43" t="inlineStr">
        <is>
          <t>02613</t>
        </is>
      </c>
      <c r="F585" s="43" t="inlineStr">
        <is>
          <t>026</t>
        </is>
      </c>
      <c r="G585" s="43" t="inlineStr">
        <is>
          <t>13</t>
        </is>
      </c>
      <c r="H585" s="43" t="n">
        <v>300</v>
      </c>
      <c r="I585" s="43" t="n">
        <v>1370</v>
      </c>
      <c r="J585" s="43" t="inlineStr">
        <is>
          <t>設定可</t>
        </is>
      </c>
      <c r="K585" s="43" t="b">
        <v>1</v>
      </c>
      <c r="L585" s="43" t="inlineStr">
        <is>
          <t>147</t>
        </is>
      </c>
      <c r="M585" s="43" t="inlineStr">
        <is>
          <t>¥75,800 / ¥82,000</t>
        </is>
      </c>
    </row>
    <row r="586">
      <c r="A586" s="43" t="inlineStr">
        <is>
          <t>SZ-SL-001041</t>
        </is>
      </c>
      <c r="B586" s="43" t="inlineStr">
        <is>
          <t>面格子付上げ下げ窓FS</t>
        </is>
      </c>
      <c r="C586" s="43" t="inlineStr">
        <is>
          <t>SP-SL-AGE-GRILLE-V</t>
        </is>
      </c>
      <c r="D586" s="43" t="inlineStr">
        <is>
          <t>在来・204</t>
        </is>
      </c>
      <c r="E586" s="43" t="inlineStr">
        <is>
          <t>03613</t>
        </is>
      </c>
      <c r="F586" s="43" t="inlineStr">
        <is>
          <t>036</t>
        </is>
      </c>
      <c r="G586" s="43" t="inlineStr">
        <is>
          <t>13</t>
        </is>
      </c>
      <c r="H586" s="43" t="n">
        <v>405</v>
      </c>
      <c r="I586" s="43" t="n">
        <v>1370</v>
      </c>
      <c r="J586" s="43" t="inlineStr">
        <is>
          <t>設定可</t>
        </is>
      </c>
      <c r="K586" s="43" t="b">
        <v>1</v>
      </c>
      <c r="L586" s="43" t="inlineStr">
        <is>
          <t>147</t>
        </is>
      </c>
      <c r="M586" s="43" t="inlineStr">
        <is>
          <t>¥78,800 / ¥85,200</t>
        </is>
      </c>
    </row>
    <row r="587">
      <c r="A587" s="43" t="inlineStr">
        <is>
          <t>SZ-SL-001042</t>
        </is>
      </c>
      <c r="B587" s="43" t="inlineStr">
        <is>
          <t>面格子付上げ下げ窓FS</t>
        </is>
      </c>
      <c r="C587" s="43" t="inlineStr">
        <is>
          <t>SP-SL-AGE-GRILLE-V</t>
        </is>
      </c>
      <c r="D587" s="43" t="inlineStr">
        <is>
          <t>在来・204</t>
        </is>
      </c>
      <c r="E587" s="43" t="inlineStr">
        <is>
          <t>06013</t>
        </is>
      </c>
      <c r="F587" s="43" t="inlineStr">
        <is>
          <t>060</t>
        </is>
      </c>
      <c r="G587" s="43" t="inlineStr">
        <is>
          <t>13</t>
        </is>
      </c>
      <c r="H587" s="43" t="n">
        <v>640</v>
      </c>
      <c r="I587" s="43" t="n">
        <v>1370</v>
      </c>
      <c r="J587" s="43" t="inlineStr">
        <is>
          <t>設定可</t>
        </is>
      </c>
      <c r="K587" s="43" t="b">
        <v>1</v>
      </c>
      <c r="L587" s="43" t="inlineStr">
        <is>
          <t>147</t>
        </is>
      </c>
      <c r="M587" s="43" t="inlineStr">
        <is>
          <t>¥86,500 / ¥93,400</t>
        </is>
      </c>
    </row>
    <row r="588">
      <c r="A588" s="43" t="inlineStr">
        <is>
          <t>SZ-SL-001043</t>
        </is>
      </c>
      <c r="B588" s="43" t="inlineStr">
        <is>
          <t>面格子付上げ下げ窓FS</t>
        </is>
      </c>
      <c r="C588" s="43" t="inlineStr">
        <is>
          <t>SP-SL-AGE-GRILLE-V</t>
        </is>
      </c>
      <c r="D588" s="43" t="inlineStr">
        <is>
          <t>在来・204</t>
        </is>
      </c>
      <c r="E588" s="43" t="inlineStr">
        <is>
          <t>06913</t>
        </is>
      </c>
      <c r="F588" s="43" t="inlineStr">
        <is>
          <t>069</t>
        </is>
      </c>
      <c r="G588" s="43" t="inlineStr">
        <is>
          <t>13</t>
        </is>
      </c>
      <c r="H588" s="43" t="n">
        <v>730</v>
      </c>
      <c r="I588" s="43" t="n">
        <v>1370</v>
      </c>
      <c r="J588" s="43" t="inlineStr">
        <is>
          <t>設定可</t>
        </is>
      </c>
      <c r="K588" s="43" t="b">
        <v>1</v>
      </c>
      <c r="L588" s="43" t="inlineStr">
        <is>
          <t>147</t>
        </is>
      </c>
      <c r="M588" s="43" t="inlineStr">
        <is>
          <t>¥95,000 / ¥102,900</t>
        </is>
      </c>
    </row>
    <row r="589">
      <c r="A589" s="43" t="inlineStr">
        <is>
          <t>SZ-SL-001044</t>
        </is>
      </c>
      <c r="B589" s="43" t="inlineStr">
        <is>
          <t>面格子付上げ下げ窓FS</t>
        </is>
      </c>
      <c r="C589" s="43" t="inlineStr">
        <is>
          <t>SP-SL-AGE-GRILLE-V</t>
        </is>
      </c>
      <c r="D589" s="43" t="inlineStr">
        <is>
          <t>在来・204</t>
        </is>
      </c>
      <c r="E589" s="43" t="inlineStr">
        <is>
          <t>07413</t>
        </is>
      </c>
      <c r="F589" s="43" t="inlineStr">
        <is>
          <t>074</t>
        </is>
      </c>
      <c r="G589" s="43" t="inlineStr">
        <is>
          <t>13</t>
        </is>
      </c>
      <c r="H589" s="43" t="n">
        <v>780</v>
      </c>
      <c r="I589" s="43" t="n">
        <v>1370</v>
      </c>
      <c r="J589" s="43" t="inlineStr">
        <is>
          <t>設定可</t>
        </is>
      </c>
      <c r="K589" s="43" t="b">
        <v>1</v>
      </c>
      <c r="L589" s="43" t="inlineStr">
        <is>
          <t>147</t>
        </is>
      </c>
      <c r="M589" s="43" t="inlineStr">
        <is>
          <t>¥95,000 / ¥102,900</t>
        </is>
      </c>
    </row>
  </sheetData>
  <mergeCells count="2">
    <mergeCell ref="A2:M2"/>
    <mergeCell ref="A1:M1"/>
  </mergeCells>
  <conditionalFormatting sqref="J4:J589">
    <cfRule type="expression" priority="1" dxfId="4">
      <formula>J4="設定可"</formula>
    </cfRule>
    <cfRule type="expression" priority="2" dxfId="2">
      <formula>J4="設定なし"</formula>
    </cfRule>
  </conditionalFormatting>
  <conditionalFormatting sqref="K4:K589">
    <cfRule type="expression" priority="3" dxfId="2">
      <formula>K4=FALSE</formula>
    </cfRule>
  </conditionalFormatting>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N1700"/>
  <sheetViews>
    <sheetView workbookViewId="0">
      <selection activeCell="A1" sqref="A1"/>
    </sheetView>
  </sheetViews>
  <sheetFormatPr baseColWidth="8" defaultRowHeight="15"/>
  <cols>
    <col width="16" customWidth="1" style="51" min="1" max="1"/>
    <col width="18" customWidth="1" style="51" min="2" max="2"/>
    <col width="25" customWidth="1" style="51" min="3" max="3"/>
    <col width="24" customWidth="1" style="51" min="4" max="4"/>
    <col width="32" customWidth="1" style="51" min="5" max="5"/>
    <col width="15" customWidth="1" style="51" min="6" max="6"/>
    <col width="15" customWidth="1" style="51" min="7" max="7"/>
    <col width="15" customWidth="1" style="51" min="8" max="8"/>
    <col width="15" customWidth="1" style="51" min="9" max="9"/>
    <col width="22" customWidth="1" style="51" min="10" max="10"/>
    <col width="24" customWidth="1" style="51" min="11" max="11"/>
    <col width="8" customWidth="1" style="51" min="12" max="12"/>
    <col width="24" customWidth="1" style="51" min="13" max="13"/>
    <col width="30" customWidth="1" style="51" min="14" max="14"/>
  </cols>
  <sheetData>
    <row r="1" ht="28" customHeight="1" s="51">
      <c r="A1" s="23" t="inlineStr">
        <is>
          <t>ガラス窓種別設定制御｜サーモスL v0.5</t>
        </is>
      </c>
      <c r="B1" s="41" t="n"/>
      <c r="C1" s="41" t="n"/>
      <c r="D1" s="41" t="n"/>
      <c r="E1" s="41" t="n"/>
      <c r="F1" s="41" t="n"/>
      <c r="G1" s="41" t="n"/>
      <c r="H1" s="41" t="n"/>
      <c r="I1" s="41" t="n"/>
      <c r="J1" s="41" t="n"/>
      <c r="K1" s="41" t="n"/>
      <c r="L1" s="41" t="n"/>
      <c r="M1" s="41" t="n"/>
      <c r="N1" s="41" t="n"/>
    </row>
    <row r="2" ht="28" customHeight="1" s="51">
      <c r="A2" s="228" t="inlineStr">
        <is>
          <t>完成品価格表のガラス区分をアプリ候補へ正規化。○は価格表上の基本カテゴリ掲載確認。ここでは『カテゴリ選択可否』を管理し、ガラス厚・耐風圧・重量・機能ガラスの細部制限は08Cへ分離する。</t>
        </is>
      </c>
      <c r="B2" s="41" t="n"/>
      <c r="C2" s="41" t="n"/>
      <c r="D2" s="41" t="n"/>
      <c r="E2" s="41" t="n"/>
      <c r="F2" s="41" t="n"/>
      <c r="G2" s="41" t="n"/>
      <c r="H2" s="41" t="n"/>
      <c r="I2" s="41" t="n"/>
      <c r="J2" s="41" t="n"/>
      <c r="K2" s="41" t="n"/>
      <c r="L2" s="41" t="n"/>
      <c r="M2" s="41" t="n"/>
      <c r="N2" s="41" t="n"/>
    </row>
    <row r="3">
      <c r="A3" s="103" t="inlineStr">
        <is>
          <t>rule_id</t>
        </is>
      </c>
      <c r="B3" s="100" t="inlineStr">
        <is>
          <t>シリーズID</t>
        </is>
      </c>
      <c r="C3" s="100" t="inlineStr">
        <is>
          <t>窓種ID</t>
        </is>
      </c>
      <c r="D3" s="100" t="inlineStr">
        <is>
          <t>固有仕様ID</t>
        </is>
      </c>
      <c r="E3" s="100" t="inlineStr">
        <is>
          <t>窓種/仕様</t>
        </is>
      </c>
      <c r="F3" s="100" t="inlineStr">
        <is>
          <t>一般複層_透明</t>
        </is>
      </c>
      <c r="G3" s="100" t="inlineStr">
        <is>
          <t>一般複層_型</t>
        </is>
      </c>
      <c r="H3" s="100" t="inlineStr">
        <is>
          <t>Low-E_透明</t>
        </is>
      </c>
      <c r="I3" s="100" t="inlineStr">
        <is>
          <t>Low-E_型</t>
        </is>
      </c>
      <c r="J3" s="100" t="inlineStr">
        <is>
          <t>物理構成参照</t>
        </is>
      </c>
      <c r="K3" s="100" t="inlineStr">
        <is>
          <t>厚み/耐風圧制御</t>
        </is>
      </c>
      <c r="L3" s="100" t="inlineStr">
        <is>
          <t>有効</t>
        </is>
      </c>
      <c r="M3" s="100" t="inlineStr">
        <is>
          <t>登録状態</t>
        </is>
      </c>
      <c r="N3" s="100" t="inlineStr">
        <is>
          <t>出典</t>
        </is>
      </c>
    </row>
    <row r="4">
      <c r="A4" s="43" t="inlineStr">
        <is>
          <t>GCR-SL-001</t>
        </is>
      </c>
      <c r="B4" s="43" t="inlineStr">
        <is>
          <t>SER-LIX-SAMOSL</t>
        </is>
      </c>
      <c r="C4" s="43" t="inlineStr">
        <is>
          <t>WT-SL-HIKICHIGAI</t>
        </is>
      </c>
      <c r="D4" s="43" t="inlineStr">
        <is>
          <t>*</t>
        </is>
      </c>
      <c r="E4" s="43" t="inlineStr">
        <is>
          <t>単体引違い窓</t>
        </is>
      </c>
      <c r="F4" s="43" t="inlineStr">
        <is>
          <t>○</t>
        </is>
      </c>
      <c r="G4" s="43" t="inlineStr">
        <is>
          <t>○</t>
        </is>
      </c>
      <c r="H4" s="43" t="inlineStr">
        <is>
          <t>○</t>
        </is>
      </c>
      <c r="I4" s="43" t="inlineStr">
        <is>
          <t>○</t>
        </is>
      </c>
      <c r="J4" s="43" t="inlineStr">
        <is>
          <t>GL-SL-001～009</t>
        </is>
      </c>
      <c r="K4" s="43" t="inlineStr">
        <is>
          <t>08C</t>
        </is>
      </c>
      <c r="L4" s="43" t="b">
        <v>1</v>
      </c>
      <c r="M4" s="43" t="inlineStr">
        <is>
          <t>価格表カテゴリ確認済み</t>
        </is>
      </c>
      <c r="N4" s="43" t="inlineStr">
        <is>
          <t>202604完成品価格表 P6-29</t>
        </is>
      </c>
    </row>
    <row r="5">
      <c r="A5" s="43" t="inlineStr">
        <is>
          <t>GCR-SL-002</t>
        </is>
      </c>
      <c r="B5" s="43" t="inlineStr">
        <is>
          <t>SER-LIX-SAMOSL</t>
        </is>
      </c>
      <c r="C5" s="43" t="inlineStr">
        <is>
          <t>WT-SL-SHUTTER-HIKI</t>
        </is>
      </c>
      <c r="D5" s="43" t="inlineStr">
        <is>
          <t>*</t>
        </is>
      </c>
      <c r="E5" s="43" t="inlineStr">
        <is>
          <t>シャッター付引違い窓</t>
        </is>
      </c>
      <c r="F5" s="43" t="inlineStr">
        <is>
          <t>○</t>
        </is>
      </c>
      <c r="G5" s="43" t="inlineStr">
        <is>
          <t>○</t>
        </is>
      </c>
      <c r="H5" s="43" t="inlineStr">
        <is>
          <t>○</t>
        </is>
      </c>
      <c r="I5" s="43" t="inlineStr">
        <is>
          <t>○</t>
        </is>
      </c>
      <c r="J5" s="43" t="inlineStr">
        <is>
          <t>GL-SL-001～009</t>
        </is>
      </c>
      <c r="K5" s="43" t="inlineStr">
        <is>
          <t>08C</t>
        </is>
      </c>
      <c r="L5" s="43" t="b">
        <v>1</v>
      </c>
      <c r="M5" s="43" t="inlineStr">
        <is>
          <t>価格表カテゴリ確認済み</t>
        </is>
      </c>
      <c r="N5" s="43" t="inlineStr">
        <is>
          <t>P30-65</t>
        </is>
      </c>
    </row>
    <row r="6">
      <c r="A6" s="43" t="inlineStr">
        <is>
          <t>GCR-SL-003</t>
        </is>
      </c>
      <c r="B6" s="43" t="inlineStr">
        <is>
          <t>SER-LIX-SAMOSL</t>
        </is>
      </c>
      <c r="C6" s="43" t="inlineStr">
        <is>
          <t>WT-SL-AMADO-HIKI</t>
        </is>
      </c>
      <c r="D6" s="43" t="inlineStr">
        <is>
          <t>*</t>
        </is>
      </c>
      <c r="E6" s="43" t="inlineStr">
        <is>
          <t>雨戸付引違い窓</t>
        </is>
      </c>
      <c r="F6" s="43" t="inlineStr">
        <is>
          <t>○</t>
        </is>
      </c>
      <c r="G6" s="43" t="inlineStr">
        <is>
          <t>○</t>
        </is>
      </c>
      <c r="H6" s="43" t="inlineStr">
        <is>
          <t>○</t>
        </is>
      </c>
      <c r="I6" s="43" t="inlineStr">
        <is>
          <t>○</t>
        </is>
      </c>
      <c r="J6" s="43" t="inlineStr">
        <is>
          <t>GL-SL-001～009</t>
        </is>
      </c>
      <c r="K6" s="43" t="inlineStr">
        <is>
          <t>08C</t>
        </is>
      </c>
      <c r="L6" s="43" t="b">
        <v>1</v>
      </c>
      <c r="M6" s="43" t="inlineStr">
        <is>
          <t>価格表カテゴリ確認済み</t>
        </is>
      </c>
      <c r="N6" s="43" t="inlineStr">
        <is>
          <t>P66-89</t>
        </is>
      </c>
    </row>
    <row r="7">
      <c r="A7" s="43" t="inlineStr">
        <is>
          <t>GCR-SL-004</t>
        </is>
      </c>
      <c r="B7" s="43" t="inlineStr">
        <is>
          <t>SER-LIX-SAMOSL</t>
        </is>
      </c>
      <c r="C7" s="43" t="inlineStr">
        <is>
          <t>WT-SL-MENKOSHI-HIKI</t>
        </is>
      </c>
      <c r="D7" s="43" t="inlineStr">
        <is>
          <t>*</t>
        </is>
      </c>
      <c r="E7" s="43" t="inlineStr">
        <is>
          <t>面格子付引違い窓</t>
        </is>
      </c>
      <c r="F7" s="43" t="inlineStr">
        <is>
          <t>○</t>
        </is>
      </c>
      <c r="G7" s="43" t="inlineStr">
        <is>
          <t>○</t>
        </is>
      </c>
      <c r="H7" s="43" t="inlineStr">
        <is>
          <t>○</t>
        </is>
      </c>
      <c r="I7" s="43" t="inlineStr">
        <is>
          <t>○</t>
        </is>
      </c>
      <c r="J7" s="43" t="inlineStr">
        <is>
          <t>GL-SL-001～009</t>
        </is>
      </c>
      <c r="K7" s="43" t="inlineStr">
        <is>
          <t>08C</t>
        </is>
      </c>
      <c r="L7" s="43" t="b">
        <v>1</v>
      </c>
      <c r="M7" s="43" t="inlineStr">
        <is>
          <t>価格表カテゴリ確認済み</t>
        </is>
      </c>
      <c r="N7" s="43" t="inlineStr">
        <is>
          <t>P90-113</t>
        </is>
      </c>
    </row>
    <row r="8">
      <c r="A8" s="43" t="inlineStr">
        <is>
          <t>GCR-SL-005</t>
        </is>
      </c>
      <c r="B8" s="43" t="inlineStr">
        <is>
          <t>SER-LIX-SAMOSL</t>
        </is>
      </c>
      <c r="C8" s="43" t="inlineStr">
        <is>
          <t>WT-SL-TATE-SUBERI</t>
        </is>
      </c>
      <c r="D8" s="43" t="inlineStr">
        <is>
          <t>SP-SL-TATE-OP</t>
        </is>
      </c>
      <c r="E8" s="43" t="inlineStr">
        <is>
          <t>縦すべり出し窓（オペレーター）</t>
        </is>
      </c>
      <c r="F8" s="43" t="inlineStr">
        <is>
          <t>○</t>
        </is>
      </c>
      <c r="G8" s="43" t="inlineStr">
        <is>
          <t>○</t>
        </is>
      </c>
      <c r="H8" s="43" t="inlineStr">
        <is>
          <t>○</t>
        </is>
      </c>
      <c r="I8" s="43" t="inlineStr">
        <is>
          <t>○</t>
        </is>
      </c>
      <c r="J8" s="43" t="inlineStr">
        <is>
          <t>GL-SL-001～009</t>
        </is>
      </c>
      <c r="K8" s="43" t="inlineStr">
        <is>
          <t>08C</t>
        </is>
      </c>
      <c r="L8" s="43" t="b">
        <v>0</v>
      </c>
      <c r="M8" s="43" t="inlineStr">
        <is>
          <t>v0.5履歴：詳細構成へ置換</t>
        </is>
      </c>
      <c r="N8" s="43" t="inlineStr">
        <is>
          <t>P114-121</t>
        </is>
      </c>
    </row>
    <row r="9">
      <c r="A9" s="43" t="inlineStr">
        <is>
          <t>GCR-SL-006</t>
        </is>
      </c>
      <c r="B9" s="43" t="inlineStr">
        <is>
          <t>SER-LIX-SAMOSL</t>
        </is>
      </c>
      <c r="C9" s="43" t="inlineStr">
        <is>
          <t>WT-SL-TATE-SUBERI</t>
        </is>
      </c>
      <c r="D9" s="43" t="inlineStr">
        <is>
          <t>SP-SL-TATE-CAM</t>
        </is>
      </c>
      <c r="E9" s="43" t="inlineStr">
        <is>
          <t>縦すべり出し窓（カムラッチ）</t>
        </is>
      </c>
      <c r="F9" s="43" t="inlineStr">
        <is>
          <t>○</t>
        </is>
      </c>
      <c r="G9" s="43" t="inlineStr">
        <is>
          <t>○</t>
        </is>
      </c>
      <c r="H9" s="43" t="inlineStr">
        <is>
          <t>○</t>
        </is>
      </c>
      <c r="I9" s="43" t="inlineStr">
        <is>
          <t>○</t>
        </is>
      </c>
      <c r="J9" s="43" t="inlineStr">
        <is>
          <t>GL-SL-001～009</t>
        </is>
      </c>
      <c r="K9" s="43" t="inlineStr">
        <is>
          <t>08C</t>
        </is>
      </c>
      <c r="L9" s="43" t="b">
        <v>0</v>
      </c>
      <c r="M9" s="43" t="inlineStr">
        <is>
          <t>v0.5履歴：詳細構成へ置換</t>
        </is>
      </c>
      <c r="N9" s="43" t="inlineStr">
        <is>
          <t>P122-129</t>
        </is>
      </c>
    </row>
    <row r="10">
      <c r="A10" s="43" t="inlineStr">
        <is>
          <t>GCR-SL-007</t>
        </is>
      </c>
      <c r="B10" s="43" t="inlineStr">
        <is>
          <t>SER-LIX-SAMOSL</t>
        </is>
      </c>
      <c r="C10" s="43" t="inlineStr">
        <is>
          <t>WT-SL-YOKO-SUBERI</t>
        </is>
      </c>
      <c r="D10" s="43" t="inlineStr">
        <is>
          <t>SP-SL-YOKO-OP</t>
        </is>
      </c>
      <c r="E10" s="43" t="inlineStr">
        <is>
          <t>横すべり出し窓（オペレーター）</t>
        </is>
      </c>
      <c r="F10" s="43" t="inlineStr">
        <is>
          <t>○</t>
        </is>
      </c>
      <c r="G10" s="43" t="inlineStr">
        <is>
          <t>○</t>
        </is>
      </c>
      <c r="H10" s="43" t="inlineStr">
        <is>
          <t>○</t>
        </is>
      </c>
      <c r="I10" s="43" t="inlineStr">
        <is>
          <t>○</t>
        </is>
      </c>
      <c r="J10" s="43" t="inlineStr">
        <is>
          <t>GL-SL-001～009</t>
        </is>
      </c>
      <c r="K10" s="43" t="inlineStr">
        <is>
          <t>08C</t>
        </is>
      </c>
      <c r="L10" s="43" t="b">
        <v>1</v>
      </c>
      <c r="M10" s="43" t="inlineStr">
        <is>
          <t>価格表カテゴリ確認済み</t>
        </is>
      </c>
      <c r="N10" s="43" t="inlineStr">
        <is>
          <t>P130-133</t>
        </is>
      </c>
    </row>
    <row r="11">
      <c r="A11" s="43" t="inlineStr">
        <is>
          <t>GCR-SL-008</t>
        </is>
      </c>
      <c r="B11" s="43" t="inlineStr">
        <is>
          <t>SER-LIX-SAMOSL</t>
        </is>
      </c>
      <c r="C11" s="43" t="inlineStr">
        <is>
          <t>WT-SL-YOKO-SUBERI</t>
        </is>
      </c>
      <c r="D11" s="43" t="inlineStr">
        <is>
          <t>SP-SL-YOKO-CAM</t>
        </is>
      </c>
      <c r="E11" s="43" t="inlineStr">
        <is>
          <t>横すべり出し窓（カムラッチ）</t>
        </is>
      </c>
      <c r="F11" s="43" t="inlineStr">
        <is>
          <t>○</t>
        </is>
      </c>
      <c r="G11" s="43" t="inlineStr">
        <is>
          <t>○</t>
        </is>
      </c>
      <c r="H11" s="43" t="inlineStr">
        <is>
          <t>○</t>
        </is>
      </c>
      <c r="I11" s="43" t="inlineStr">
        <is>
          <t>○</t>
        </is>
      </c>
      <c r="J11" s="43" t="inlineStr">
        <is>
          <t>GL-SL-001～009</t>
        </is>
      </c>
      <c r="K11" s="43" t="inlineStr">
        <is>
          <t>08C</t>
        </is>
      </c>
      <c r="L11" s="43" t="b">
        <v>1</v>
      </c>
      <c r="M11" s="43" t="inlineStr">
        <is>
          <t>価格表カテゴリ確認済み</t>
        </is>
      </c>
      <c r="N11" s="43" t="inlineStr">
        <is>
          <t>P134-137</t>
        </is>
      </c>
    </row>
    <row r="12">
      <c r="A12" s="43" t="inlineStr">
        <is>
          <t>GCR-SL-009</t>
        </is>
      </c>
      <c r="B12" s="43" t="inlineStr">
        <is>
          <t>SER-LIX-SAMOSL</t>
        </is>
      </c>
      <c r="C12" s="43" t="inlineStr">
        <is>
          <t>WT-SL-KOSHO-YOKO</t>
        </is>
      </c>
      <c r="D12" s="43" t="inlineStr">
        <is>
          <t>*</t>
        </is>
      </c>
      <c r="E12" s="43" t="inlineStr">
        <is>
          <t>高所用横すべり出し窓</t>
        </is>
      </c>
      <c r="F12" s="43" t="inlineStr">
        <is>
          <t>○</t>
        </is>
      </c>
      <c r="G12" s="43" t="inlineStr">
        <is>
          <t>○</t>
        </is>
      </c>
      <c r="H12" s="43" t="inlineStr">
        <is>
          <t>○</t>
        </is>
      </c>
      <c r="I12" s="43" t="inlineStr">
        <is>
          <t>○</t>
        </is>
      </c>
      <c r="J12" s="43" t="inlineStr">
        <is>
          <t>GL-SL-001～009</t>
        </is>
      </c>
      <c r="K12" s="43" t="inlineStr">
        <is>
          <t>08C</t>
        </is>
      </c>
      <c r="L12" s="43" t="b">
        <v>1</v>
      </c>
      <c r="M12" s="43" t="inlineStr">
        <is>
          <t>価格表カテゴリ確認済み</t>
        </is>
      </c>
      <c r="N12" s="43" t="inlineStr">
        <is>
          <t>P138-141</t>
        </is>
      </c>
    </row>
    <row r="13">
      <c r="A13" s="43" t="inlineStr">
        <is>
          <t>GCR-SL-010</t>
        </is>
      </c>
      <c r="B13" s="43" t="inlineStr">
        <is>
          <t>SER-LIX-SAMOSL</t>
        </is>
      </c>
      <c r="C13" s="43" t="inlineStr">
        <is>
          <t>WT-SL-AGE-SAGE-FS</t>
        </is>
      </c>
      <c r="D13" s="43" t="inlineStr">
        <is>
          <t>*</t>
        </is>
      </c>
      <c r="E13" s="43" t="inlineStr">
        <is>
          <t>上げ下げ窓FS</t>
        </is>
      </c>
      <c r="F13" s="43" t="inlineStr">
        <is>
          <t>○</t>
        </is>
      </c>
      <c r="G13" s="43" t="inlineStr">
        <is>
          <t>○</t>
        </is>
      </c>
      <c r="H13" s="43" t="inlineStr">
        <is>
          <t>○</t>
        </is>
      </c>
      <c r="I13" s="43" t="inlineStr">
        <is>
          <t>○</t>
        </is>
      </c>
      <c r="J13" s="43" t="inlineStr">
        <is>
          <t>GL-SL-001～009</t>
        </is>
      </c>
      <c r="K13" s="43" t="inlineStr">
        <is>
          <t>08C（重量）</t>
        </is>
      </c>
      <c r="L13" s="43" t="b">
        <v>1</v>
      </c>
      <c r="M13" s="43" t="inlineStr">
        <is>
          <t>価格表カテゴリ確認済み</t>
        </is>
      </c>
      <c r="N13" s="43" t="inlineStr">
        <is>
          <t>P142-143</t>
        </is>
      </c>
    </row>
    <row r="14">
      <c r="A14" s="43" t="inlineStr">
        <is>
          <t>GCR-SL-011</t>
        </is>
      </c>
      <c r="B14" s="43" t="inlineStr">
        <is>
          <t>SER-LIX-SAMOSL</t>
        </is>
      </c>
      <c r="C14" s="43" t="inlineStr">
        <is>
          <t>WT-SL-MENKOSHI-AGE-FS</t>
        </is>
      </c>
      <c r="D14" s="43" t="inlineStr">
        <is>
          <t>*</t>
        </is>
      </c>
      <c r="E14" s="43" t="inlineStr">
        <is>
          <t>面格子付上げ下げ窓FS</t>
        </is>
      </c>
      <c r="F14" s="43" t="inlineStr">
        <is>
          <t>○</t>
        </is>
      </c>
      <c r="G14" s="43" t="inlineStr">
        <is>
          <t>○</t>
        </is>
      </c>
      <c r="H14" s="43" t="inlineStr">
        <is>
          <t>○</t>
        </is>
      </c>
      <c r="I14" s="43" t="inlineStr">
        <is>
          <t>○</t>
        </is>
      </c>
      <c r="J14" s="43" t="inlineStr">
        <is>
          <t>GL-SL-001～009</t>
        </is>
      </c>
      <c r="K14" s="43" t="inlineStr">
        <is>
          <t>08C（重量）</t>
        </is>
      </c>
      <c r="L14" s="43" t="b">
        <v>1</v>
      </c>
      <c r="M14" s="43" t="inlineStr">
        <is>
          <t>価格表カテゴリ確認済み</t>
        </is>
      </c>
      <c r="N14" s="43" t="inlineStr">
        <is>
          <t>P144-147</t>
        </is>
      </c>
    </row>
    <row r="15">
      <c r="A15" s="43" t="inlineStr">
        <is>
          <t>GCR-SL-012</t>
        </is>
      </c>
      <c r="B15" s="43" t="inlineStr">
        <is>
          <t>SER-LIX-SAMOSL</t>
        </is>
      </c>
      <c r="C15" s="43" t="inlineStr">
        <is>
          <t>WT-SL-FIX-OUT</t>
        </is>
      </c>
      <c r="D15" s="43" t="inlineStr">
        <is>
          <t>*</t>
        </is>
      </c>
      <c r="E15" s="43" t="inlineStr">
        <is>
          <t>FIX窓（外押縁タイプ）</t>
        </is>
      </c>
      <c r="F15" s="43" t="inlineStr">
        <is>
          <t>○</t>
        </is>
      </c>
      <c r="G15" s="43" t="inlineStr">
        <is>
          <t>○</t>
        </is>
      </c>
      <c r="H15" s="43" t="inlineStr">
        <is>
          <t>○</t>
        </is>
      </c>
      <c r="I15" s="43" t="inlineStr">
        <is>
          <t>○</t>
        </is>
      </c>
      <c r="J15" s="43" t="inlineStr">
        <is>
          <t>GL-SL-001～009</t>
        </is>
      </c>
      <c r="K15" s="43" t="inlineStr">
        <is>
          <t>08C</t>
        </is>
      </c>
      <c r="L15" s="43" t="b">
        <v>1</v>
      </c>
      <c r="M15" s="43" t="inlineStr">
        <is>
          <t>価格表カテゴリ確認済み</t>
        </is>
      </c>
      <c r="N15" s="43" t="inlineStr">
        <is>
          <t>P148-167</t>
        </is>
      </c>
    </row>
    <row r="16">
      <c r="A16" s="43" t="inlineStr">
        <is>
          <t>GCR-SL-013</t>
        </is>
      </c>
      <c r="B16" s="43" t="inlineStr">
        <is>
          <t>SER-LIX-SAMOSL</t>
        </is>
      </c>
      <c r="C16" s="43" t="inlineStr">
        <is>
          <t>WT-SL-FIX-IN</t>
        </is>
      </c>
      <c r="D16" s="43" t="inlineStr">
        <is>
          <t>*</t>
        </is>
      </c>
      <c r="E16" s="43" t="inlineStr">
        <is>
          <t>FIX窓（内押縁タイプ）</t>
        </is>
      </c>
      <c r="F16" s="43" t="inlineStr">
        <is>
          <t>○</t>
        </is>
      </c>
      <c r="G16" s="43" t="inlineStr">
        <is>
          <t>○</t>
        </is>
      </c>
      <c r="H16" s="43" t="inlineStr">
        <is>
          <t>○</t>
        </is>
      </c>
      <c r="I16" s="43" t="inlineStr">
        <is>
          <t>○</t>
        </is>
      </c>
      <c r="J16" s="43" t="inlineStr">
        <is>
          <t>GL-SL-001～009</t>
        </is>
      </c>
      <c r="K16" s="43" t="inlineStr">
        <is>
          <t>08C</t>
        </is>
      </c>
      <c r="L16" s="43" t="b">
        <v>1</v>
      </c>
      <c r="M16" s="43" t="inlineStr">
        <is>
          <t>価格表カテゴリ確認済み</t>
        </is>
      </c>
      <c r="N16" s="43" t="inlineStr">
        <is>
          <t>P168-187</t>
        </is>
      </c>
    </row>
    <row r="17">
      <c r="A17" s="43" t="inlineStr">
        <is>
          <t>GCR-SL-014</t>
        </is>
      </c>
      <c r="B17" s="43" t="inlineStr">
        <is>
          <t>SER-LIX-SAMOSL</t>
        </is>
      </c>
      <c r="C17" s="43" t="inlineStr">
        <is>
          <t>WT-SL-UCHIDAOSHI</t>
        </is>
      </c>
      <c r="D17" s="43" t="inlineStr">
        <is>
          <t>*</t>
        </is>
      </c>
      <c r="E17" s="43" t="inlineStr">
        <is>
          <t>内倒し窓</t>
        </is>
      </c>
      <c r="F17" s="43" t="inlineStr">
        <is>
          <t>○</t>
        </is>
      </c>
      <c r="G17" s="43" t="inlineStr">
        <is>
          <t>○</t>
        </is>
      </c>
      <c r="H17" s="43" t="inlineStr">
        <is>
          <t>○</t>
        </is>
      </c>
      <c r="I17" s="43" t="inlineStr">
        <is>
          <t>○</t>
        </is>
      </c>
      <c r="J17" s="43" t="inlineStr">
        <is>
          <t>GL-SL-001～009</t>
        </is>
      </c>
      <c r="K17" s="43" t="inlineStr">
        <is>
          <t>08C</t>
        </is>
      </c>
      <c r="L17" s="43" t="b">
        <v>1</v>
      </c>
      <c r="M17" s="43" t="inlineStr">
        <is>
          <t>価格表カテゴリ確認済み</t>
        </is>
      </c>
      <c r="N17" s="43" t="inlineStr">
        <is>
          <t>P188-189</t>
        </is>
      </c>
    </row>
    <row r="18">
      <c r="A18" s="43" t="inlineStr">
        <is>
          <t>GCR-SL-015</t>
        </is>
      </c>
      <c r="B18" s="43" t="inlineStr">
        <is>
          <t>SER-LIX-SAMOSL</t>
        </is>
      </c>
      <c r="C18" s="43" t="inlineStr">
        <is>
          <t>WT-SL-SOTODAOSHI</t>
        </is>
      </c>
      <c r="D18" s="43" t="inlineStr">
        <is>
          <t>*</t>
        </is>
      </c>
      <c r="E18" s="43" t="inlineStr">
        <is>
          <t>外倒し窓</t>
        </is>
      </c>
      <c r="F18" s="43" t="inlineStr">
        <is>
          <t>○</t>
        </is>
      </c>
      <c r="G18" s="43" t="inlineStr">
        <is>
          <t>○</t>
        </is>
      </c>
      <c r="H18" s="43" t="inlineStr">
        <is>
          <t>○</t>
        </is>
      </c>
      <c r="I18" s="43" t="inlineStr">
        <is>
          <t>○</t>
        </is>
      </c>
      <c r="J18" s="43" t="inlineStr">
        <is>
          <t>GL-SL-001～009</t>
        </is>
      </c>
      <c r="K18" s="43" t="inlineStr">
        <is>
          <t>08C</t>
        </is>
      </c>
      <c r="L18" s="43" t="b">
        <v>1</v>
      </c>
      <c r="M18" s="43" t="inlineStr">
        <is>
          <t>価格表カテゴリ確認済み</t>
        </is>
      </c>
      <c r="N18" s="43" t="inlineStr">
        <is>
          <t>P190-191</t>
        </is>
      </c>
    </row>
    <row r="19">
      <c r="A19" s="43" t="inlineStr">
        <is>
          <t>GCR-SL-016</t>
        </is>
      </c>
      <c r="B19" s="43" t="inlineStr">
        <is>
          <t>SER-LIX-SAMOSL</t>
        </is>
      </c>
      <c r="C19" s="43" t="inlineStr">
        <is>
          <t>WT-SL-KAZARI-HIKI</t>
        </is>
      </c>
      <c r="D19" s="43" t="inlineStr">
        <is>
          <t>*</t>
        </is>
      </c>
      <c r="E19" s="43" t="inlineStr">
        <is>
          <t>装飾引違い窓 H/HK/HKK</t>
        </is>
      </c>
      <c r="F19" s="43" t="inlineStr">
        <is>
          <t>○</t>
        </is>
      </c>
      <c r="G19" s="43" t="inlineStr">
        <is>
          <t>○</t>
        </is>
      </c>
      <c r="H19" s="43" t="inlineStr">
        <is>
          <t>○</t>
        </is>
      </c>
      <c r="I19" s="43" t="inlineStr">
        <is>
          <t>○</t>
        </is>
      </c>
      <c r="J19" s="43" t="inlineStr">
        <is>
          <t>GL-SL-001～009</t>
        </is>
      </c>
      <c r="K19" s="43" t="inlineStr">
        <is>
          <t>08C</t>
        </is>
      </c>
      <c r="L19" s="43" t="b">
        <v>1</v>
      </c>
      <c r="M19" s="43" t="inlineStr">
        <is>
          <t>価格表カテゴリ確認済み</t>
        </is>
      </c>
      <c r="N19" s="43" t="inlineStr">
        <is>
          <t>P192-205</t>
        </is>
      </c>
    </row>
    <row r="20">
      <c r="A20" s="43" t="inlineStr">
        <is>
          <t>GCR-SL-017</t>
        </is>
      </c>
      <c r="B20" s="43" t="inlineStr">
        <is>
          <t>SER-LIX-SAMOSL</t>
        </is>
      </c>
      <c r="C20" s="43" t="inlineStr">
        <is>
          <t>WT-SL-TERRACE-DOOR</t>
        </is>
      </c>
      <c r="D20" s="43" t="inlineStr">
        <is>
          <t>*</t>
        </is>
      </c>
      <c r="E20" s="43" t="inlineStr">
        <is>
          <t>テラスドア</t>
        </is>
      </c>
      <c r="F20" s="43" t="inlineStr">
        <is>
          <t>○</t>
        </is>
      </c>
      <c r="G20" s="43" t="inlineStr">
        <is>
          <t>○</t>
        </is>
      </c>
      <c r="H20" s="43" t="inlineStr">
        <is>
          <t>○</t>
        </is>
      </c>
      <c r="I20" s="43" t="inlineStr">
        <is>
          <t>○</t>
        </is>
      </c>
      <c r="J20" s="43" t="inlineStr">
        <is>
          <t>GL-SL-001～009</t>
        </is>
      </c>
      <c r="K20" s="43" t="inlineStr">
        <is>
          <t>08C</t>
        </is>
      </c>
      <c r="L20" s="43" t="b">
        <v>1</v>
      </c>
      <c r="M20" s="43" t="inlineStr">
        <is>
          <t>価格表カテゴリ確認済み</t>
        </is>
      </c>
      <c r="N20" s="43" t="inlineStr">
        <is>
          <t>P206-209</t>
        </is>
      </c>
    </row>
    <row r="21">
      <c r="A21" s="43" t="inlineStr">
        <is>
          <t>GCR-SL-018</t>
        </is>
      </c>
      <c r="B21" s="43" t="inlineStr">
        <is>
          <t>SER-LIX-SAMOSL</t>
        </is>
      </c>
      <c r="C21" s="43" t="inlineStr">
        <is>
          <t>WT-SL-KATTEGUCHI-VENT-FS</t>
        </is>
      </c>
      <c r="D21" s="43" t="inlineStr">
        <is>
          <t>*</t>
        </is>
      </c>
      <c r="E21" s="43" t="inlineStr">
        <is>
          <t>採風勝手口ドアFS</t>
        </is>
      </c>
      <c r="F21" s="43" t="inlineStr">
        <is>
          <t>○</t>
        </is>
      </c>
      <c r="G21" s="43" t="inlineStr">
        <is>
          <t>○</t>
        </is>
      </c>
      <c r="H21" s="43" t="inlineStr">
        <is>
          <t>○</t>
        </is>
      </c>
      <c r="I21" s="43" t="inlineStr">
        <is>
          <t>○</t>
        </is>
      </c>
      <c r="J21" s="43" t="inlineStr">
        <is>
          <t>GL-SL-001～009</t>
        </is>
      </c>
      <c r="K21" s="43" t="inlineStr">
        <is>
          <t>08C</t>
        </is>
      </c>
      <c r="L21" s="43" t="b">
        <v>1</v>
      </c>
      <c r="M21" s="43" t="inlineStr">
        <is>
          <t>価格表カテゴリ確認済み</t>
        </is>
      </c>
      <c r="N21" s="43" t="inlineStr">
        <is>
          <t>P210-219</t>
        </is>
      </c>
    </row>
    <row r="22">
      <c r="A22" s="43" t="inlineStr">
        <is>
          <t>GCR-SL-019</t>
        </is>
      </c>
      <c r="B22" s="43" t="inlineStr">
        <is>
          <t>SER-LIX-SAMOSL</t>
        </is>
      </c>
      <c r="C22" s="43" t="inlineStr">
        <is>
          <t>WT-SL-KATTEGUCHI</t>
        </is>
      </c>
      <c r="D22" s="43" t="inlineStr">
        <is>
          <t>*</t>
        </is>
      </c>
      <c r="E22" s="43" t="inlineStr">
        <is>
          <t>勝手口ドア</t>
        </is>
      </c>
      <c r="F22" s="43" t="inlineStr">
        <is>
          <t>○</t>
        </is>
      </c>
      <c r="G22" s="43" t="inlineStr">
        <is>
          <t>○</t>
        </is>
      </c>
      <c r="H22" s="43" t="inlineStr">
        <is>
          <t>○</t>
        </is>
      </c>
      <c r="I22" s="43" t="inlineStr">
        <is>
          <t>○</t>
        </is>
      </c>
      <c r="J22" s="43" t="inlineStr">
        <is>
          <t>GL-SL-001～009</t>
        </is>
      </c>
      <c r="K22" s="43" t="inlineStr">
        <is>
          <t>08C</t>
        </is>
      </c>
      <c r="L22" s="43" t="b">
        <v>1</v>
      </c>
      <c r="M22" s="43" t="inlineStr">
        <is>
          <t>価格表カテゴリ確認済み</t>
        </is>
      </c>
      <c r="N22" s="43" t="inlineStr">
        <is>
          <t>P220-225</t>
        </is>
      </c>
    </row>
    <row r="23">
      <c r="A23" s="42" t="inlineStr">
        <is>
          <t>GCR-SL-020</t>
        </is>
      </c>
      <c r="B23" t="inlineStr">
        <is>
          <t>SER-LIX-SAMOSL</t>
        </is>
      </c>
      <c r="C23" t="inlineStr">
        <is>
          <t>WT-SL-TATE-SUBERI</t>
        </is>
      </c>
      <c r="D23" t="inlineStr">
        <is>
          <t>SP-SL-TATE-OP-T</t>
        </is>
      </c>
      <c r="E23" t="inlineStr">
        <is>
          <t>縦すべり出し窓 T（オペレーター）</t>
        </is>
      </c>
      <c r="F23" t="inlineStr">
        <is>
          <t>○</t>
        </is>
      </c>
      <c r="G23" t="inlineStr">
        <is>
          <t>○</t>
        </is>
      </c>
      <c r="H23" t="inlineStr">
        <is>
          <t>○</t>
        </is>
      </c>
      <c r="I23" t="inlineStr">
        <is>
          <t>○</t>
        </is>
      </c>
      <c r="J23" t="inlineStr">
        <is>
          <t>GL-SL-001～009</t>
        </is>
      </c>
      <c r="K23" t="inlineStr">
        <is>
          <t>08A/08D</t>
        </is>
      </c>
      <c r="L23" t="b">
        <v>1</v>
      </c>
      <c r="M23" t="inlineStr">
        <is>
          <t>2026価格表カテゴリ確認済み</t>
        </is>
      </c>
      <c r="N23" t="inlineStr">
        <is>
          <t>202604完成品価格表 P114-117</t>
        </is>
      </c>
    </row>
    <row r="24">
      <c r="A24" s="42" t="inlineStr">
        <is>
          <t>GCR-SL-021</t>
        </is>
      </c>
      <c r="B24" t="inlineStr">
        <is>
          <t>SER-LIX-SAMOSL</t>
        </is>
      </c>
      <c r="C24" t="inlineStr">
        <is>
          <t>WT-SL-TATE-SUBERI</t>
        </is>
      </c>
      <c r="D24" t="inlineStr">
        <is>
          <t>SP-SL-TATE-OP-TF-OUT</t>
        </is>
      </c>
      <c r="E24" t="inlineStr">
        <is>
          <t>縦すべり出し窓 TF（オペレーター）（FIX部 外押縁タイプ）</t>
        </is>
      </c>
      <c r="F24" t="inlineStr">
        <is>
          <t>○</t>
        </is>
      </c>
      <c r="G24" t="inlineStr">
        <is>
          <t>○</t>
        </is>
      </c>
      <c r="H24" t="inlineStr">
        <is>
          <t>○</t>
        </is>
      </c>
      <c r="I24" t="inlineStr">
        <is>
          <t>○</t>
        </is>
      </c>
      <c r="J24" t="inlineStr">
        <is>
          <t>GL-SL-001～009</t>
        </is>
      </c>
      <c r="K24" t="inlineStr">
        <is>
          <t>08A/08D</t>
        </is>
      </c>
      <c r="L24" t="b">
        <v>1</v>
      </c>
      <c r="M24" t="inlineStr">
        <is>
          <t>2026価格表カテゴリ確認済み</t>
        </is>
      </c>
      <c r="N24" t="inlineStr">
        <is>
          <t>P118</t>
        </is>
      </c>
    </row>
    <row r="25">
      <c r="A25" s="42" t="inlineStr">
        <is>
          <t>GCR-SL-022</t>
        </is>
      </c>
      <c r="B25" t="inlineStr">
        <is>
          <t>SER-LIX-SAMOSL</t>
        </is>
      </c>
      <c r="C25" t="inlineStr">
        <is>
          <t>WT-SL-TATE-SUBERI</t>
        </is>
      </c>
      <c r="D25" t="inlineStr">
        <is>
          <t>SP-SL-TATE-OP-TFT-OUT</t>
        </is>
      </c>
      <c r="E25" t="inlineStr">
        <is>
          <t>縦すべり出し窓 TFT（オペレーター）（FIX部 外押縁タイプ）</t>
        </is>
      </c>
      <c r="F25" t="inlineStr">
        <is>
          <t>○</t>
        </is>
      </c>
      <c r="G25" t="inlineStr">
        <is>
          <t>○</t>
        </is>
      </c>
      <c r="H25" t="inlineStr">
        <is>
          <t>○</t>
        </is>
      </c>
      <c r="I25" t="inlineStr">
        <is>
          <t>○</t>
        </is>
      </c>
      <c r="J25" t="inlineStr">
        <is>
          <t>GL-SL-001～009</t>
        </is>
      </c>
      <c r="K25" t="inlineStr">
        <is>
          <t>08A/08D</t>
        </is>
      </c>
      <c r="L25" t="b">
        <v>1</v>
      </c>
      <c r="M25" t="inlineStr">
        <is>
          <t>2026価格表カテゴリ確認済み</t>
        </is>
      </c>
      <c r="N25" t="inlineStr">
        <is>
          <t>P119</t>
        </is>
      </c>
    </row>
    <row r="26">
      <c r="A26" s="42" t="inlineStr">
        <is>
          <t>GCR-SL-023</t>
        </is>
      </c>
      <c r="B26" t="inlineStr">
        <is>
          <t>SER-LIX-SAMOSL</t>
        </is>
      </c>
      <c r="C26" t="inlineStr">
        <is>
          <t>WT-SL-TATE-SUBERI</t>
        </is>
      </c>
      <c r="D26" t="inlineStr">
        <is>
          <t>SP-SL-TATE-OP-TF-IN</t>
        </is>
      </c>
      <c r="E26" t="inlineStr">
        <is>
          <t>縦すべり出し窓 TF（オペレーター）（FIX部 内押縁タイプ）</t>
        </is>
      </c>
      <c r="F26" t="inlineStr">
        <is>
          <t>○</t>
        </is>
      </c>
      <c r="G26" t="inlineStr">
        <is>
          <t>○</t>
        </is>
      </c>
      <c r="H26" t="inlineStr">
        <is>
          <t>○</t>
        </is>
      </c>
      <c r="I26" t="inlineStr">
        <is>
          <t>○</t>
        </is>
      </c>
      <c r="J26" t="inlineStr">
        <is>
          <t>GL-SL-001～009</t>
        </is>
      </c>
      <c r="K26" t="inlineStr">
        <is>
          <t>08A/08D</t>
        </is>
      </c>
      <c r="L26" t="b">
        <v>1</v>
      </c>
      <c r="M26" t="inlineStr">
        <is>
          <t>2026価格表カテゴリ確認済み</t>
        </is>
      </c>
      <c r="N26" t="inlineStr">
        <is>
          <t>P120</t>
        </is>
      </c>
    </row>
    <row r="27">
      <c r="A27" s="42" t="inlineStr">
        <is>
          <t>GCR-SL-024</t>
        </is>
      </c>
      <c r="B27" t="inlineStr">
        <is>
          <t>SER-LIX-SAMOSL</t>
        </is>
      </c>
      <c r="C27" t="inlineStr">
        <is>
          <t>WT-SL-TATE-SUBERI</t>
        </is>
      </c>
      <c r="D27" t="inlineStr">
        <is>
          <t>SP-SL-TATE-OP-TFT-IN</t>
        </is>
      </c>
      <c r="E27" t="inlineStr">
        <is>
          <t>縦すべり出し窓 TFT（オペレーター）（FIX部 内押縁タイプ）</t>
        </is>
      </c>
      <c r="F27" t="inlineStr">
        <is>
          <t>○</t>
        </is>
      </c>
      <c r="G27" t="inlineStr">
        <is>
          <t>○</t>
        </is>
      </c>
      <c r="H27" t="inlineStr">
        <is>
          <t>○</t>
        </is>
      </c>
      <c r="I27" t="inlineStr">
        <is>
          <t>○</t>
        </is>
      </c>
      <c r="J27" t="inlineStr">
        <is>
          <t>GL-SL-001～009</t>
        </is>
      </c>
      <c r="K27" t="inlineStr">
        <is>
          <t>08A/08D</t>
        </is>
      </c>
      <c r="L27" t="b">
        <v>1</v>
      </c>
      <c r="M27" t="inlineStr">
        <is>
          <t>2026価格表カテゴリ確認済み</t>
        </is>
      </c>
      <c r="N27" t="inlineStr">
        <is>
          <t>P121</t>
        </is>
      </c>
    </row>
    <row r="28">
      <c r="A28" s="42" t="inlineStr">
        <is>
          <t>GCR-SL-025</t>
        </is>
      </c>
      <c r="B28" t="inlineStr">
        <is>
          <t>SER-LIX-SAMOSL</t>
        </is>
      </c>
      <c r="C28" t="inlineStr">
        <is>
          <t>WT-SL-TATE-SUBERI</t>
        </is>
      </c>
      <c r="D28" t="inlineStr">
        <is>
          <t>SP-SL-TATE-CAM-T</t>
        </is>
      </c>
      <c r="E28" t="inlineStr">
        <is>
          <t>縦すべり出し窓 T（カムラッチ）</t>
        </is>
      </c>
      <c r="F28" t="inlineStr">
        <is>
          <t>○</t>
        </is>
      </c>
      <c r="G28" t="inlineStr">
        <is>
          <t>○</t>
        </is>
      </c>
      <c r="H28" t="inlineStr">
        <is>
          <t>○</t>
        </is>
      </c>
      <c r="I28" t="inlineStr">
        <is>
          <t>○</t>
        </is>
      </c>
      <c r="J28" t="inlineStr">
        <is>
          <t>GL-SL-001～009</t>
        </is>
      </c>
      <c r="K28" t="inlineStr">
        <is>
          <t>08A/08D</t>
        </is>
      </c>
      <c r="L28" t="b">
        <v>1</v>
      </c>
      <c r="M28" t="inlineStr">
        <is>
          <t>2026価格表カテゴリ確認済み</t>
        </is>
      </c>
      <c r="N28" t="inlineStr">
        <is>
          <t>P122-125</t>
        </is>
      </c>
    </row>
    <row r="29">
      <c r="A29" s="42" t="inlineStr">
        <is>
          <t>GCR-SL-026</t>
        </is>
      </c>
      <c r="B29" t="inlineStr">
        <is>
          <t>SER-LIX-SAMOSL</t>
        </is>
      </c>
      <c r="C29" t="inlineStr">
        <is>
          <t>WT-SL-TATE-SUBERI</t>
        </is>
      </c>
      <c r="D29" t="inlineStr">
        <is>
          <t>SP-SL-TATE-CAM-TF-OUT</t>
        </is>
      </c>
      <c r="E29" t="inlineStr">
        <is>
          <t>縦すべり出し窓 TF（カムラッチ）（FIX部 外押縁タイプ）</t>
        </is>
      </c>
      <c r="F29" t="inlineStr">
        <is>
          <t>○</t>
        </is>
      </c>
      <c r="G29" t="inlineStr">
        <is>
          <t>○</t>
        </is>
      </c>
      <c r="H29" t="inlineStr">
        <is>
          <t>○</t>
        </is>
      </c>
      <c r="I29" t="inlineStr">
        <is>
          <t>○</t>
        </is>
      </c>
      <c r="J29" t="inlineStr">
        <is>
          <t>GL-SL-001～009</t>
        </is>
      </c>
      <c r="K29" t="inlineStr">
        <is>
          <t>08A/08D</t>
        </is>
      </c>
      <c r="L29" t="b">
        <v>1</v>
      </c>
      <c r="M29" t="inlineStr">
        <is>
          <t>2026価格表カテゴリ確認済み</t>
        </is>
      </c>
      <c r="N29" t="inlineStr">
        <is>
          <t>P126</t>
        </is>
      </c>
    </row>
    <row r="30">
      <c r="A30" s="42" t="inlineStr">
        <is>
          <t>GCR-SL-027</t>
        </is>
      </c>
      <c r="B30" t="inlineStr">
        <is>
          <t>SER-LIX-SAMOSL</t>
        </is>
      </c>
      <c r="C30" t="inlineStr">
        <is>
          <t>WT-SL-TATE-SUBERI</t>
        </is>
      </c>
      <c r="D30" t="inlineStr">
        <is>
          <t>SP-SL-TATE-CAM-TFT-OUT</t>
        </is>
      </c>
      <c r="E30" t="inlineStr">
        <is>
          <t>縦すべり出し窓 TFT（カムラッチ）（FIX部 外押縁タイプ）</t>
        </is>
      </c>
      <c r="F30" t="inlineStr">
        <is>
          <t>○</t>
        </is>
      </c>
      <c r="G30" t="inlineStr">
        <is>
          <t>○</t>
        </is>
      </c>
      <c r="H30" t="inlineStr">
        <is>
          <t>○</t>
        </is>
      </c>
      <c r="I30" t="inlineStr">
        <is>
          <t>○</t>
        </is>
      </c>
      <c r="J30" t="inlineStr">
        <is>
          <t>GL-SL-001～009</t>
        </is>
      </c>
      <c r="K30" t="inlineStr">
        <is>
          <t>08A/08D</t>
        </is>
      </c>
      <c r="L30" t="b">
        <v>1</v>
      </c>
      <c r="M30" t="inlineStr">
        <is>
          <t>2026価格表カテゴリ確認済み</t>
        </is>
      </c>
      <c r="N30" t="inlineStr">
        <is>
          <t>P127</t>
        </is>
      </c>
    </row>
    <row r="31">
      <c r="A31" s="42" t="inlineStr">
        <is>
          <t>GCR-SL-028</t>
        </is>
      </c>
      <c r="B31" t="inlineStr">
        <is>
          <t>SER-LIX-SAMOSL</t>
        </is>
      </c>
      <c r="C31" t="inlineStr">
        <is>
          <t>WT-SL-TATE-SUBERI</t>
        </is>
      </c>
      <c r="D31" t="inlineStr">
        <is>
          <t>SP-SL-TATE-CAM-TF-IN</t>
        </is>
      </c>
      <c r="E31" t="inlineStr">
        <is>
          <t>縦すべり出し窓 TF（カムラッチ）（FIX部 内押縁タイプ）</t>
        </is>
      </c>
      <c r="F31" t="inlineStr">
        <is>
          <t>○</t>
        </is>
      </c>
      <c r="G31" t="inlineStr">
        <is>
          <t>○</t>
        </is>
      </c>
      <c r="H31" t="inlineStr">
        <is>
          <t>○</t>
        </is>
      </c>
      <c r="I31" t="inlineStr">
        <is>
          <t>○</t>
        </is>
      </c>
      <c r="J31" t="inlineStr">
        <is>
          <t>GL-SL-001～009</t>
        </is>
      </c>
      <c r="K31" t="inlineStr">
        <is>
          <t>08A/08D</t>
        </is>
      </c>
      <c r="L31" t="b">
        <v>1</v>
      </c>
      <c r="M31" t="inlineStr">
        <is>
          <t>2026価格表カテゴリ確認済み</t>
        </is>
      </c>
      <c r="N31" t="inlineStr">
        <is>
          <t>P128</t>
        </is>
      </c>
    </row>
    <row r="32">
      <c r="A32" s="42" t="inlineStr">
        <is>
          <t>GCR-SL-029</t>
        </is>
      </c>
      <c r="B32" t="inlineStr">
        <is>
          <t>SER-LIX-SAMOSL</t>
        </is>
      </c>
      <c r="C32" t="inlineStr">
        <is>
          <t>WT-SL-TATE-SUBERI</t>
        </is>
      </c>
      <c r="D32" t="inlineStr">
        <is>
          <t>SP-SL-TATE-CAM-TFT-IN</t>
        </is>
      </c>
      <c r="E32" t="inlineStr">
        <is>
          <t>縦すべり出し窓 TFT（カムラッチ）（FIX部 内押縁タイプ）</t>
        </is>
      </c>
      <c r="F32" t="inlineStr">
        <is>
          <t>○</t>
        </is>
      </c>
      <c r="G32" t="inlineStr">
        <is>
          <t>○</t>
        </is>
      </c>
      <c r="H32" t="inlineStr">
        <is>
          <t>○</t>
        </is>
      </c>
      <c r="I32" t="inlineStr">
        <is>
          <t>○</t>
        </is>
      </c>
      <c r="J32" t="inlineStr">
        <is>
          <t>GL-SL-001～009</t>
        </is>
      </c>
      <c r="K32" t="inlineStr">
        <is>
          <t>08A/08D</t>
        </is>
      </c>
      <c r="L32" t="b">
        <v>1</v>
      </c>
      <c r="M32" t="inlineStr">
        <is>
          <t>2026価格表カテゴリ確認済み</t>
        </is>
      </c>
      <c r="N32" t="inlineStr">
        <is>
          <t>P129</t>
        </is>
      </c>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row r="201">
      <c r="A201" s="42" t="n"/>
    </row>
    <row r="202">
      <c r="A202" s="42" t="n"/>
    </row>
    <row r="203">
      <c r="A203" s="42" t="n"/>
    </row>
    <row r="204">
      <c r="A204" s="42" t="n"/>
    </row>
    <row r="205">
      <c r="A205" s="42" t="n"/>
    </row>
    <row r="206">
      <c r="A206" s="42" t="n"/>
    </row>
    <row r="207">
      <c r="A207" s="42" t="n"/>
    </row>
    <row r="208">
      <c r="A208" s="42" t="n"/>
    </row>
    <row r="209">
      <c r="A209" s="42" t="n"/>
    </row>
    <row r="210">
      <c r="A210" s="42" t="n"/>
    </row>
    <row r="211">
      <c r="A211" s="42" t="n"/>
    </row>
    <row r="212">
      <c r="A212" s="42" t="n"/>
    </row>
    <row r="213">
      <c r="A213" s="42" t="n"/>
    </row>
    <row r="214">
      <c r="A214" s="42" t="n"/>
    </row>
    <row r="215">
      <c r="A215" s="42" t="n"/>
    </row>
    <row r="216">
      <c r="A216" s="42" t="n"/>
    </row>
    <row r="217">
      <c r="A217" s="42" t="n"/>
    </row>
    <row r="218">
      <c r="A218" s="42" t="n"/>
    </row>
    <row r="219">
      <c r="A219" s="42" t="n"/>
    </row>
    <row r="220">
      <c r="A220" s="42" t="n"/>
    </row>
    <row r="221">
      <c r="A221" s="42" t="n"/>
    </row>
    <row r="222">
      <c r="A222" s="42" t="n"/>
    </row>
    <row r="223">
      <c r="A223" s="42" t="n"/>
    </row>
    <row r="224">
      <c r="A224" s="42" t="n"/>
    </row>
    <row r="225">
      <c r="A225" s="42" t="n"/>
    </row>
    <row r="226">
      <c r="A226" s="42" t="n"/>
    </row>
    <row r="227">
      <c r="A227" s="42" t="n"/>
    </row>
    <row r="228">
      <c r="A228" s="42" t="n"/>
    </row>
    <row r="229">
      <c r="A229" s="42" t="n"/>
    </row>
    <row r="230">
      <c r="A230" s="42" t="n"/>
    </row>
    <row r="231">
      <c r="A231" s="42" t="n"/>
    </row>
    <row r="232">
      <c r="A232" s="42" t="n"/>
    </row>
    <row r="233">
      <c r="A233" s="42" t="n"/>
    </row>
    <row r="234">
      <c r="A234" s="42" t="n"/>
    </row>
    <row r="235">
      <c r="A235" s="42" t="n"/>
    </row>
    <row r="236">
      <c r="A236" s="42" t="n"/>
    </row>
    <row r="237">
      <c r="A237" s="42" t="n"/>
    </row>
    <row r="238">
      <c r="A238" s="42" t="n"/>
    </row>
    <row r="239">
      <c r="A239" s="42" t="n"/>
    </row>
    <row r="240">
      <c r="A240" s="42" t="n"/>
    </row>
    <row r="241">
      <c r="A241" s="42" t="n"/>
    </row>
    <row r="242">
      <c r="A242" s="42" t="n"/>
    </row>
    <row r="243">
      <c r="A243" s="42" t="n"/>
    </row>
    <row r="244">
      <c r="A244" s="42" t="n"/>
    </row>
    <row r="245">
      <c r="A245" s="42" t="n"/>
    </row>
    <row r="246">
      <c r="A246" s="42" t="n"/>
    </row>
    <row r="247">
      <c r="A247" s="42" t="n"/>
    </row>
    <row r="248">
      <c r="A248" s="42" t="n"/>
    </row>
    <row r="249">
      <c r="A249" s="42" t="n"/>
    </row>
    <row r="250">
      <c r="A250" s="42" t="n"/>
    </row>
    <row r="251">
      <c r="A251" s="42" t="n"/>
    </row>
    <row r="252">
      <c r="A252" s="42" t="n"/>
    </row>
    <row r="253">
      <c r="A253" s="42" t="n"/>
    </row>
    <row r="254">
      <c r="A254" s="42" t="n"/>
    </row>
    <row r="255">
      <c r="A255" s="42" t="n"/>
    </row>
    <row r="256">
      <c r="A256" s="42" t="n"/>
    </row>
    <row r="257">
      <c r="A257" s="42" t="n"/>
    </row>
    <row r="258">
      <c r="A258" s="42" t="n"/>
    </row>
    <row r="259">
      <c r="A259" s="42" t="n"/>
    </row>
    <row r="260">
      <c r="A260" s="42" t="n"/>
    </row>
    <row r="261">
      <c r="A261" s="42" t="n"/>
    </row>
    <row r="262">
      <c r="A262" s="42" t="n"/>
    </row>
    <row r="263">
      <c r="A263" s="42" t="n"/>
    </row>
    <row r="264">
      <c r="A264" s="42" t="n"/>
    </row>
    <row r="265">
      <c r="A265" s="42" t="n"/>
    </row>
    <row r="266">
      <c r="A266" s="42" t="n"/>
    </row>
    <row r="267">
      <c r="A267" s="42" t="n"/>
    </row>
    <row r="268">
      <c r="A268" s="42" t="n"/>
    </row>
    <row r="269">
      <c r="A269" s="42" t="n"/>
    </row>
    <row r="270">
      <c r="A270" s="42" t="n"/>
    </row>
    <row r="271">
      <c r="A271" s="42" t="n"/>
    </row>
    <row r="272">
      <c r="A272" s="42" t="n"/>
    </row>
    <row r="273">
      <c r="A273" s="42" t="n"/>
    </row>
    <row r="274">
      <c r="A274" s="42" t="n"/>
    </row>
    <row r="275">
      <c r="A275" s="42" t="n"/>
    </row>
    <row r="276">
      <c r="A276" s="42" t="n"/>
    </row>
    <row r="277">
      <c r="A277" s="42" t="n"/>
    </row>
    <row r="278">
      <c r="A278" s="42" t="n"/>
    </row>
    <row r="279">
      <c r="A279" s="42" t="n"/>
    </row>
    <row r="280">
      <c r="A280" s="42" t="n"/>
    </row>
    <row r="281">
      <c r="A281" s="42" t="n"/>
    </row>
    <row r="282">
      <c r="A282" s="42" t="n"/>
    </row>
    <row r="283">
      <c r="A283" s="42" t="n"/>
    </row>
    <row r="284">
      <c r="A284" s="42" t="n"/>
    </row>
    <row r="285">
      <c r="A285" s="42" t="n"/>
    </row>
    <row r="286">
      <c r="A286" s="42" t="n"/>
    </row>
    <row r="287">
      <c r="A287" s="42" t="n"/>
    </row>
    <row r="288">
      <c r="A288" s="42" t="n"/>
    </row>
    <row r="289">
      <c r="A289" s="42" t="n"/>
    </row>
    <row r="290">
      <c r="A290" s="42" t="n"/>
    </row>
    <row r="291">
      <c r="A291" s="42" t="n"/>
    </row>
    <row r="292">
      <c r="A292" s="42" t="n"/>
    </row>
    <row r="293">
      <c r="A293" s="42" t="n"/>
    </row>
    <row r="294">
      <c r="A294" s="42" t="n"/>
    </row>
    <row r="295">
      <c r="A295" s="42" t="n"/>
    </row>
    <row r="296">
      <c r="A296" s="42" t="n"/>
    </row>
    <row r="297">
      <c r="A297" s="42" t="n"/>
    </row>
    <row r="298">
      <c r="A298" s="42" t="n"/>
    </row>
    <row r="299">
      <c r="A299" s="42" t="n"/>
    </row>
    <row r="300">
      <c r="A300" s="42" t="n"/>
    </row>
    <row r="301">
      <c r="A301" s="42" t="n"/>
    </row>
    <row r="302">
      <c r="A302" s="42" t="n"/>
    </row>
    <row r="303">
      <c r="A303" s="42" t="n"/>
    </row>
    <row r="304">
      <c r="A304" s="42" t="n"/>
    </row>
    <row r="305">
      <c r="A305" s="42" t="n"/>
    </row>
    <row r="306">
      <c r="A306" s="42" t="n"/>
    </row>
    <row r="307">
      <c r="A307" s="42" t="n"/>
    </row>
    <row r="308">
      <c r="A308" s="42" t="n"/>
    </row>
    <row r="309">
      <c r="A309" s="42" t="n"/>
    </row>
    <row r="310">
      <c r="A310" s="42" t="n"/>
    </row>
    <row r="311">
      <c r="A311" s="42" t="n"/>
    </row>
    <row r="312">
      <c r="A312" s="42" t="n"/>
    </row>
    <row r="313">
      <c r="A313" s="42" t="n"/>
    </row>
    <row r="314">
      <c r="A314" s="42" t="n"/>
    </row>
    <row r="315">
      <c r="A315" s="42" t="n"/>
    </row>
    <row r="316">
      <c r="A316" s="42" t="n"/>
    </row>
    <row r="317">
      <c r="A317" s="42" t="n"/>
    </row>
    <row r="318">
      <c r="A318" s="42" t="n"/>
    </row>
    <row r="319">
      <c r="A319" s="42" t="n"/>
    </row>
    <row r="320">
      <c r="A320" s="42" t="n"/>
    </row>
    <row r="321">
      <c r="A321" s="42" t="n"/>
    </row>
    <row r="322">
      <c r="A322" s="42" t="n"/>
    </row>
    <row r="323">
      <c r="A323" s="42" t="n"/>
    </row>
    <row r="324">
      <c r="A324" s="42" t="n"/>
    </row>
    <row r="325">
      <c r="A325" s="42" t="n"/>
    </row>
    <row r="326">
      <c r="A326" s="42" t="n"/>
    </row>
    <row r="327">
      <c r="A327" s="42" t="n"/>
    </row>
    <row r="328">
      <c r="A328" s="42" t="n"/>
    </row>
    <row r="329">
      <c r="A329" s="42" t="n"/>
    </row>
    <row r="330">
      <c r="A330" s="42" t="n"/>
    </row>
    <row r="331">
      <c r="A331" s="42" t="n"/>
    </row>
    <row r="332">
      <c r="A332" s="42" t="n"/>
    </row>
    <row r="333">
      <c r="A333" s="42" t="n"/>
    </row>
    <row r="334">
      <c r="A334" s="42" t="n"/>
    </row>
    <row r="335">
      <c r="A335" s="42" t="n"/>
    </row>
    <row r="336">
      <c r="A336" s="42" t="n"/>
    </row>
    <row r="337">
      <c r="A337" s="42" t="n"/>
    </row>
    <row r="338">
      <c r="A338" s="42" t="n"/>
    </row>
    <row r="339">
      <c r="A339" s="42" t="n"/>
    </row>
    <row r="340">
      <c r="A340" s="42" t="n"/>
    </row>
    <row r="341">
      <c r="A341" s="42" t="n"/>
    </row>
    <row r="342">
      <c r="A342" s="42" t="n"/>
    </row>
    <row r="343">
      <c r="A343" s="42" t="n"/>
    </row>
    <row r="344">
      <c r="A344" s="42" t="n"/>
    </row>
    <row r="345">
      <c r="A345" s="42" t="n"/>
    </row>
    <row r="346">
      <c r="A346" s="42" t="n"/>
    </row>
    <row r="347">
      <c r="A347" s="42" t="n"/>
    </row>
    <row r="348">
      <c r="A348" s="42" t="n"/>
    </row>
    <row r="349">
      <c r="A349" s="42" t="n"/>
    </row>
    <row r="350">
      <c r="A350" s="42" t="n"/>
    </row>
    <row r="351">
      <c r="A351" s="42" t="n"/>
    </row>
    <row r="352">
      <c r="A352" s="42" t="n"/>
    </row>
    <row r="353">
      <c r="A353" s="42" t="n"/>
    </row>
    <row r="354">
      <c r="A354" s="42" t="n"/>
    </row>
    <row r="355">
      <c r="A355" s="42" t="n"/>
    </row>
    <row r="356">
      <c r="A356" s="42" t="n"/>
    </row>
    <row r="357">
      <c r="A357" s="42" t="n"/>
    </row>
    <row r="358">
      <c r="A358" s="42" t="n"/>
    </row>
    <row r="359">
      <c r="A359" s="42" t="n"/>
    </row>
    <row r="360">
      <c r="A360" s="42" t="n"/>
    </row>
    <row r="361">
      <c r="A361" s="42" t="n"/>
    </row>
    <row r="362">
      <c r="A362" s="42" t="n"/>
    </row>
    <row r="363">
      <c r="A363" s="42" t="n"/>
    </row>
    <row r="364">
      <c r="A364" s="42" t="n"/>
    </row>
    <row r="365">
      <c r="A365" s="42" t="n"/>
    </row>
    <row r="366">
      <c r="A366" s="42" t="n"/>
    </row>
    <row r="367">
      <c r="A367" s="42" t="n"/>
    </row>
    <row r="368">
      <c r="A368" s="42" t="n"/>
    </row>
    <row r="369">
      <c r="A369" s="42" t="n"/>
    </row>
    <row r="370">
      <c r="A370" s="42" t="n"/>
    </row>
    <row r="371">
      <c r="A371" s="42" t="n"/>
    </row>
    <row r="372">
      <c r="A372" s="42" t="n"/>
    </row>
    <row r="373">
      <c r="A373" s="42" t="n"/>
    </row>
    <row r="374">
      <c r="A374" s="42" t="n"/>
    </row>
    <row r="375">
      <c r="A375" s="42" t="n"/>
    </row>
    <row r="376">
      <c r="A376" s="42" t="n"/>
    </row>
    <row r="377">
      <c r="A377" s="42" t="n"/>
    </row>
    <row r="378">
      <c r="A378" s="42" t="n"/>
    </row>
    <row r="379">
      <c r="A379" s="42" t="n"/>
    </row>
    <row r="380">
      <c r="A380" s="42" t="n"/>
    </row>
    <row r="381">
      <c r="A381" s="42" t="n"/>
    </row>
    <row r="382">
      <c r="A382" s="42" t="n"/>
    </row>
    <row r="383">
      <c r="A383" s="42" t="n"/>
    </row>
    <row r="384">
      <c r="A384" s="42" t="n"/>
    </row>
    <row r="385">
      <c r="A385" s="42" t="n"/>
    </row>
    <row r="386">
      <c r="A386" s="42" t="n"/>
    </row>
    <row r="387">
      <c r="A387" s="42" t="n"/>
    </row>
    <row r="388">
      <c r="A388" s="42" t="n"/>
    </row>
    <row r="389">
      <c r="A389" s="42" t="n"/>
    </row>
    <row r="390">
      <c r="A390" s="42" t="n"/>
    </row>
    <row r="391">
      <c r="A391" s="42" t="n"/>
    </row>
    <row r="392">
      <c r="A392" s="42" t="n"/>
    </row>
    <row r="393">
      <c r="A393" s="42" t="n"/>
    </row>
    <row r="394">
      <c r="A394" s="42" t="n"/>
    </row>
    <row r="395">
      <c r="A395" s="42" t="n"/>
    </row>
    <row r="396">
      <c r="A396" s="42" t="n"/>
    </row>
    <row r="397">
      <c r="A397" s="42" t="n"/>
    </row>
    <row r="398">
      <c r="A398" s="42" t="n"/>
    </row>
    <row r="399">
      <c r="A399" s="42" t="n"/>
    </row>
    <row r="400">
      <c r="A400" s="42" t="n"/>
    </row>
    <row r="401">
      <c r="A401" s="42" t="n"/>
    </row>
    <row r="402">
      <c r="A402" s="42" t="n"/>
    </row>
    <row r="403">
      <c r="A403" s="42" t="n"/>
    </row>
    <row r="404">
      <c r="A404" s="42" t="n"/>
    </row>
    <row r="405">
      <c r="A405" s="42" t="n"/>
    </row>
    <row r="406">
      <c r="A406" s="42" t="n"/>
    </row>
    <row r="407">
      <c r="A407" s="42" t="n"/>
    </row>
    <row r="408">
      <c r="A408" s="42" t="n"/>
    </row>
    <row r="409">
      <c r="A409" s="42" t="n"/>
    </row>
    <row r="410">
      <c r="A410" s="42" t="n"/>
    </row>
    <row r="411">
      <c r="A411" s="42" t="n"/>
    </row>
    <row r="412">
      <c r="A412" s="42" t="n"/>
    </row>
    <row r="413">
      <c r="A413" s="42" t="n"/>
    </row>
    <row r="414">
      <c r="A414" s="42" t="n"/>
    </row>
    <row r="415">
      <c r="A415" s="42" t="n"/>
    </row>
    <row r="416">
      <c r="A416" s="42" t="n"/>
    </row>
    <row r="417">
      <c r="A417" s="42" t="n"/>
    </row>
    <row r="418">
      <c r="A418" s="42" t="n"/>
    </row>
    <row r="419">
      <c r="A419" s="42" t="n"/>
    </row>
    <row r="420">
      <c r="A420" s="42" t="n"/>
    </row>
    <row r="421">
      <c r="A421" s="42" t="n"/>
    </row>
    <row r="422">
      <c r="A422" s="42" t="n"/>
    </row>
    <row r="423">
      <c r="A423" s="42" t="n"/>
    </row>
    <row r="424">
      <c r="A424" s="42" t="n"/>
    </row>
    <row r="425">
      <c r="A425" s="42" t="n"/>
    </row>
    <row r="426">
      <c r="A426" s="42" t="n"/>
    </row>
    <row r="427">
      <c r="A427" s="42" t="n"/>
    </row>
    <row r="428">
      <c r="A428" s="42" t="n"/>
    </row>
    <row r="429">
      <c r="A429" s="42" t="n"/>
    </row>
    <row r="430">
      <c r="A430" s="42" t="n"/>
    </row>
    <row r="431">
      <c r="A431" s="42" t="n"/>
    </row>
    <row r="432">
      <c r="A432" s="42" t="n"/>
    </row>
    <row r="433">
      <c r="A433" s="42" t="n"/>
    </row>
    <row r="434">
      <c r="A434" s="42" t="n"/>
    </row>
    <row r="435">
      <c r="A435" s="42" t="n"/>
    </row>
    <row r="436">
      <c r="A436" s="42" t="n"/>
    </row>
    <row r="437">
      <c r="A437" s="42" t="n"/>
    </row>
    <row r="438">
      <c r="A438" s="42" t="n"/>
    </row>
    <row r="439">
      <c r="A439" s="42" t="n"/>
    </row>
    <row r="440">
      <c r="A440" s="42" t="n"/>
    </row>
    <row r="441">
      <c r="A441" s="42" t="n"/>
    </row>
    <row r="442">
      <c r="A442" s="42" t="n"/>
    </row>
    <row r="443">
      <c r="A443" s="42" t="n"/>
    </row>
    <row r="444">
      <c r="A444" s="42" t="n"/>
    </row>
    <row r="445">
      <c r="A445" s="42" t="n"/>
    </row>
    <row r="446">
      <c r="A446" s="42" t="n"/>
    </row>
    <row r="447">
      <c r="A447" s="42" t="n"/>
    </row>
    <row r="448">
      <c r="A448" s="42" t="n"/>
    </row>
    <row r="449">
      <c r="A449" s="42" t="n"/>
    </row>
    <row r="450">
      <c r="A450" s="42" t="n"/>
    </row>
    <row r="451">
      <c r="A451" s="42" t="n"/>
    </row>
    <row r="452">
      <c r="A452" s="42" t="n"/>
    </row>
    <row r="453">
      <c r="A453" s="42" t="n"/>
    </row>
    <row r="454">
      <c r="A454" s="42" t="n"/>
    </row>
    <row r="455">
      <c r="A455" s="42" t="n"/>
    </row>
    <row r="456">
      <c r="A456" s="42" t="n"/>
    </row>
    <row r="457">
      <c r="A457" s="42" t="n"/>
    </row>
    <row r="458">
      <c r="A458" s="42" t="n"/>
    </row>
    <row r="459">
      <c r="A459" s="42" t="n"/>
    </row>
    <row r="460">
      <c r="A460" s="42" t="n"/>
    </row>
    <row r="461">
      <c r="A461" s="42" t="n"/>
    </row>
    <row r="462">
      <c r="A462" s="42" t="n"/>
    </row>
    <row r="463">
      <c r="A463" s="42" t="n"/>
    </row>
    <row r="464">
      <c r="A464" s="42" t="n"/>
    </row>
    <row r="465">
      <c r="A465" s="42" t="n"/>
    </row>
    <row r="466">
      <c r="A466" s="42" t="n"/>
    </row>
    <row r="467">
      <c r="A467" s="42" t="n"/>
    </row>
    <row r="468">
      <c r="A468" s="42" t="n"/>
    </row>
    <row r="469">
      <c r="A469" s="42" t="n"/>
    </row>
    <row r="470">
      <c r="A470" s="42" t="n"/>
    </row>
    <row r="471">
      <c r="A471" s="42" t="n"/>
    </row>
    <row r="472">
      <c r="A472" s="42" t="n"/>
    </row>
    <row r="473">
      <c r="A473" s="42" t="n"/>
    </row>
    <row r="474">
      <c r="A474" s="42" t="n"/>
    </row>
    <row r="475">
      <c r="A475" s="42" t="n"/>
    </row>
    <row r="476">
      <c r="A476" s="42" t="n"/>
    </row>
    <row r="477">
      <c r="A477" s="42" t="n"/>
    </row>
    <row r="478">
      <c r="A478" s="42" t="n"/>
    </row>
    <row r="479">
      <c r="A479" s="42" t="n"/>
    </row>
    <row r="480">
      <c r="A480" s="42" t="n"/>
    </row>
    <row r="481">
      <c r="A481" s="42" t="n"/>
    </row>
    <row r="482">
      <c r="A482" s="42" t="n"/>
    </row>
    <row r="483">
      <c r="A483" s="42" t="n"/>
    </row>
    <row r="484">
      <c r="A484" s="42" t="n"/>
    </row>
    <row r="485">
      <c r="A485" s="42" t="n"/>
    </row>
    <row r="486">
      <c r="A486" s="42" t="n"/>
    </row>
    <row r="487">
      <c r="A487" s="42" t="n"/>
    </row>
    <row r="488">
      <c r="A488" s="42" t="n"/>
    </row>
    <row r="489">
      <c r="A489" s="42" t="n"/>
    </row>
    <row r="490">
      <c r="A490" s="42" t="n"/>
    </row>
    <row r="491">
      <c r="A491" s="42" t="n"/>
    </row>
    <row r="492">
      <c r="A492" s="42" t="n"/>
    </row>
    <row r="493">
      <c r="A493" s="42" t="n"/>
    </row>
    <row r="494">
      <c r="A494" s="42" t="n"/>
    </row>
    <row r="495">
      <c r="A495" s="42" t="n"/>
    </row>
    <row r="496">
      <c r="A496" s="42" t="n"/>
    </row>
    <row r="497">
      <c r="A497" s="42" t="n"/>
    </row>
    <row r="498">
      <c r="A498" s="42" t="n"/>
    </row>
    <row r="499">
      <c r="A499" s="42" t="n"/>
    </row>
    <row r="500">
      <c r="A500" s="42" t="n"/>
    </row>
    <row r="501">
      <c r="A501" s="42" t="n"/>
    </row>
    <row r="502">
      <c r="A502" s="42" t="n"/>
    </row>
    <row r="503">
      <c r="A503" s="42" t="n"/>
    </row>
    <row r="504">
      <c r="A504" s="42" t="n"/>
    </row>
    <row r="505">
      <c r="A505" s="42" t="n"/>
    </row>
    <row r="506">
      <c r="A506" s="42" t="n"/>
    </row>
    <row r="507">
      <c r="A507" s="42" t="n"/>
    </row>
    <row r="508">
      <c r="A508" s="42" t="n"/>
    </row>
    <row r="509">
      <c r="A509" s="42" t="n"/>
    </row>
    <row r="510">
      <c r="A510" s="42" t="n"/>
    </row>
    <row r="511">
      <c r="A511" s="42" t="n"/>
    </row>
    <row r="512">
      <c r="A512" s="42" t="n"/>
    </row>
    <row r="513">
      <c r="A513" s="42" t="n"/>
    </row>
    <row r="514">
      <c r="A514" s="42" t="n"/>
    </row>
    <row r="515">
      <c r="A515" s="42" t="n"/>
    </row>
    <row r="516">
      <c r="A516" s="42" t="n"/>
    </row>
    <row r="517">
      <c r="A517" s="42" t="n"/>
    </row>
    <row r="518">
      <c r="A518" s="42" t="n"/>
    </row>
    <row r="519">
      <c r="A519" s="42" t="n"/>
    </row>
    <row r="520">
      <c r="A520" s="42" t="n"/>
    </row>
    <row r="521">
      <c r="A521" s="42" t="n"/>
    </row>
    <row r="522">
      <c r="A522" s="42" t="n"/>
    </row>
    <row r="523">
      <c r="A523" s="42" t="n"/>
    </row>
    <row r="524">
      <c r="A524" s="42" t="n"/>
    </row>
    <row r="525">
      <c r="A525" s="42" t="n"/>
    </row>
    <row r="526">
      <c r="A526" s="42" t="n"/>
    </row>
    <row r="527">
      <c r="A527" s="42" t="n"/>
    </row>
    <row r="528">
      <c r="A528" s="42" t="n"/>
    </row>
    <row r="529">
      <c r="A529" s="42" t="n"/>
    </row>
    <row r="530">
      <c r="A530" s="42" t="n"/>
    </row>
    <row r="531">
      <c r="A531" s="42" t="n"/>
    </row>
    <row r="532">
      <c r="A532" s="42" t="n"/>
    </row>
    <row r="533">
      <c r="A533" s="42" t="n"/>
    </row>
    <row r="534">
      <c r="A534" s="42" t="n"/>
    </row>
    <row r="535">
      <c r="A535" s="42" t="n"/>
    </row>
    <row r="536">
      <c r="A536" s="42" t="n"/>
    </row>
    <row r="537">
      <c r="A537" s="42" t="n"/>
    </row>
    <row r="538">
      <c r="A538" s="42" t="n"/>
    </row>
    <row r="539">
      <c r="A539" s="42" t="n"/>
    </row>
    <row r="540">
      <c r="A540" s="42" t="n"/>
    </row>
    <row r="541">
      <c r="A541" s="42" t="n"/>
    </row>
    <row r="542">
      <c r="A542" s="42" t="n"/>
    </row>
    <row r="543">
      <c r="A543" s="42" t="n"/>
    </row>
    <row r="544">
      <c r="A544" s="42" t="n"/>
    </row>
    <row r="545">
      <c r="A545" s="42" t="n"/>
    </row>
    <row r="546">
      <c r="A546" s="42" t="n"/>
    </row>
    <row r="547">
      <c r="A547" s="42" t="n"/>
    </row>
    <row r="548">
      <c r="A548" s="42" t="n"/>
    </row>
    <row r="549">
      <c r="A549" s="42" t="n"/>
    </row>
    <row r="550">
      <c r="A550" s="42" t="n"/>
    </row>
    <row r="551">
      <c r="A551" s="42" t="n"/>
    </row>
    <row r="552">
      <c r="A552" s="42" t="n"/>
    </row>
    <row r="553">
      <c r="A553" s="42" t="n"/>
    </row>
    <row r="554">
      <c r="A554" s="42" t="n"/>
    </row>
    <row r="555">
      <c r="A555" s="42" t="n"/>
    </row>
    <row r="556">
      <c r="A556" s="42" t="n"/>
    </row>
    <row r="557">
      <c r="A557" s="42" t="n"/>
    </row>
    <row r="558">
      <c r="A558" s="42" t="n"/>
    </row>
    <row r="559">
      <c r="A559" s="42" t="n"/>
    </row>
    <row r="560">
      <c r="A560" s="42" t="n"/>
    </row>
    <row r="561">
      <c r="A561" s="42" t="n"/>
    </row>
    <row r="562">
      <c r="A562" s="42" t="n"/>
    </row>
    <row r="563">
      <c r="A563" s="42" t="n"/>
    </row>
    <row r="564">
      <c r="A564" s="42" t="n"/>
    </row>
    <row r="565">
      <c r="A565" s="42" t="n"/>
    </row>
    <row r="566">
      <c r="A566" s="42" t="n"/>
    </row>
    <row r="567">
      <c r="A567" s="42" t="n"/>
    </row>
    <row r="568">
      <c r="A568" s="42" t="n"/>
    </row>
    <row r="569">
      <c r="A569" s="42" t="n"/>
    </row>
    <row r="570">
      <c r="A570" s="42" t="n"/>
    </row>
    <row r="571">
      <c r="A571" s="42" t="n"/>
    </row>
    <row r="572">
      <c r="A572" s="42" t="n"/>
    </row>
    <row r="573">
      <c r="A573" s="42" t="n"/>
    </row>
    <row r="574">
      <c r="A574" s="42" t="n"/>
    </row>
    <row r="575">
      <c r="A575" s="42" t="n"/>
    </row>
    <row r="576">
      <c r="A576" s="42" t="n"/>
    </row>
    <row r="577">
      <c r="A577" s="42" t="n"/>
    </row>
    <row r="578">
      <c r="A578" s="42" t="n"/>
    </row>
    <row r="579">
      <c r="A579" s="42" t="n"/>
    </row>
    <row r="580">
      <c r="A580" s="42" t="n"/>
    </row>
    <row r="581">
      <c r="A581" s="42" t="n"/>
    </row>
    <row r="582">
      <c r="A582" s="42" t="n"/>
    </row>
    <row r="583">
      <c r="A583" s="42" t="n"/>
    </row>
    <row r="584">
      <c r="A584" s="42" t="n"/>
    </row>
    <row r="585">
      <c r="A585" s="42" t="n"/>
    </row>
    <row r="586">
      <c r="A586" s="42" t="n"/>
    </row>
    <row r="587">
      <c r="A587" s="42" t="n"/>
    </row>
    <row r="588">
      <c r="A588" s="42" t="n"/>
    </row>
    <row r="589">
      <c r="A589" s="42" t="n"/>
    </row>
    <row r="590">
      <c r="A590" s="42" t="n"/>
    </row>
    <row r="591">
      <c r="A591" s="42" t="n"/>
    </row>
    <row r="592">
      <c r="A592" s="42" t="n"/>
    </row>
    <row r="593">
      <c r="A593" s="42" t="n"/>
    </row>
    <row r="594">
      <c r="A594" s="42" t="n"/>
    </row>
    <row r="595">
      <c r="A595" s="42" t="n"/>
    </row>
    <row r="596">
      <c r="A596" s="42" t="n"/>
    </row>
    <row r="597">
      <c r="A597" s="42" t="n"/>
    </row>
    <row r="598">
      <c r="A598" s="42" t="n"/>
    </row>
    <row r="599">
      <c r="A599" s="42" t="n"/>
    </row>
    <row r="600">
      <c r="A600" s="42" t="n"/>
    </row>
    <row r="601">
      <c r="A601" s="42" t="n"/>
    </row>
    <row r="602">
      <c r="A602" s="42" t="n"/>
    </row>
    <row r="603">
      <c r="A603" s="42" t="n"/>
    </row>
    <row r="604">
      <c r="A604" s="42" t="n"/>
    </row>
    <row r="605">
      <c r="A605" s="42" t="n"/>
    </row>
    <row r="606">
      <c r="A606" s="42" t="n"/>
    </row>
    <row r="607">
      <c r="A607" s="42" t="n"/>
    </row>
    <row r="608">
      <c r="A608" s="42" t="n"/>
    </row>
    <row r="609">
      <c r="A609" s="42" t="n"/>
    </row>
    <row r="610">
      <c r="A610" s="42" t="n"/>
    </row>
    <row r="611">
      <c r="A611" s="42" t="n"/>
    </row>
    <row r="612">
      <c r="A612" s="42" t="n"/>
    </row>
    <row r="613">
      <c r="A613" s="42" t="n"/>
    </row>
    <row r="614">
      <c r="A614" s="42" t="n"/>
    </row>
    <row r="615">
      <c r="A615" s="42" t="n"/>
    </row>
    <row r="616">
      <c r="A616" s="42" t="n"/>
    </row>
    <row r="617">
      <c r="A617" s="42" t="n"/>
    </row>
    <row r="618">
      <c r="A618" s="42" t="n"/>
    </row>
    <row r="619">
      <c r="A619" s="42" t="n"/>
    </row>
    <row r="620">
      <c r="A620" s="42" t="n"/>
    </row>
    <row r="621">
      <c r="A621" s="42" t="n"/>
    </row>
    <row r="622">
      <c r="A622" s="42" t="n"/>
    </row>
    <row r="623">
      <c r="A623" s="42" t="n"/>
    </row>
    <row r="624">
      <c r="A624" s="42" t="n"/>
    </row>
    <row r="625">
      <c r="A625" s="42" t="n"/>
    </row>
    <row r="626">
      <c r="A626" s="42" t="n"/>
    </row>
    <row r="627">
      <c r="A627" s="42" t="n"/>
    </row>
    <row r="628">
      <c r="A628" s="42" t="n"/>
    </row>
    <row r="629">
      <c r="A629" s="42" t="n"/>
    </row>
    <row r="630">
      <c r="A630" s="42" t="n"/>
    </row>
    <row r="631">
      <c r="A631" s="42" t="n"/>
    </row>
    <row r="632">
      <c r="A632" s="42" t="n"/>
    </row>
    <row r="633">
      <c r="A633" s="42" t="n"/>
    </row>
    <row r="634">
      <c r="A634" s="42" t="n"/>
    </row>
    <row r="635">
      <c r="A635" s="42" t="n"/>
    </row>
    <row r="636">
      <c r="A636" s="42" t="n"/>
    </row>
    <row r="637">
      <c r="A637" s="42" t="n"/>
    </row>
    <row r="638">
      <c r="A638" s="42" t="n"/>
    </row>
    <row r="639">
      <c r="A639" s="42" t="n"/>
    </row>
    <row r="640">
      <c r="A640" s="42" t="n"/>
    </row>
    <row r="641">
      <c r="A641" s="42" t="n"/>
    </row>
    <row r="642">
      <c r="A642" s="42" t="n"/>
    </row>
    <row r="643">
      <c r="A643" s="42" t="n"/>
    </row>
    <row r="644">
      <c r="A644" s="42" t="n"/>
    </row>
    <row r="645">
      <c r="A645" s="42" t="n"/>
    </row>
    <row r="646">
      <c r="A646" s="42" t="n"/>
    </row>
    <row r="647">
      <c r="A647" s="42" t="n"/>
    </row>
    <row r="648">
      <c r="A648" s="42" t="n"/>
    </row>
    <row r="649">
      <c r="A649" s="42" t="n"/>
    </row>
    <row r="650">
      <c r="A650" s="42" t="n"/>
    </row>
    <row r="651">
      <c r="A651" s="42" t="n"/>
    </row>
    <row r="652">
      <c r="A652" s="42" t="n"/>
    </row>
    <row r="653">
      <c r="A653" s="42" t="n"/>
    </row>
    <row r="654">
      <c r="A654" s="42" t="n"/>
    </row>
    <row r="655">
      <c r="A655" s="42" t="n"/>
    </row>
    <row r="656">
      <c r="A656" s="42" t="n"/>
    </row>
    <row r="657">
      <c r="A657" s="42" t="n"/>
    </row>
    <row r="658">
      <c r="A658" s="42" t="n"/>
    </row>
    <row r="659">
      <c r="A659" s="42" t="n"/>
    </row>
    <row r="660">
      <c r="A660" s="42" t="n"/>
    </row>
    <row r="661">
      <c r="A661" s="42" t="n"/>
    </row>
    <row r="662">
      <c r="A662" s="42" t="n"/>
    </row>
    <row r="663">
      <c r="A663" s="42" t="n"/>
    </row>
    <row r="664">
      <c r="A664" s="42" t="n"/>
    </row>
    <row r="665">
      <c r="A665" s="42" t="n"/>
    </row>
    <row r="666">
      <c r="A666" s="42" t="n"/>
    </row>
    <row r="667">
      <c r="A667" s="42" t="n"/>
    </row>
    <row r="668">
      <c r="A668" s="42" t="n"/>
    </row>
    <row r="669">
      <c r="A669" s="42" t="n"/>
    </row>
    <row r="670">
      <c r="A670" s="42" t="n"/>
    </row>
    <row r="671">
      <c r="A671" s="42" t="n"/>
    </row>
    <row r="672">
      <c r="A672" s="42" t="n"/>
    </row>
    <row r="673">
      <c r="A673" s="42" t="n"/>
    </row>
    <row r="674">
      <c r="A674" s="42" t="n"/>
    </row>
    <row r="675">
      <c r="A675" s="42" t="n"/>
    </row>
    <row r="676">
      <c r="A676" s="42" t="n"/>
    </row>
    <row r="677">
      <c r="A677" s="42" t="n"/>
    </row>
    <row r="678">
      <c r="A678" s="42" t="n"/>
    </row>
    <row r="679">
      <c r="A679" s="42" t="n"/>
    </row>
    <row r="680">
      <c r="A680" s="42" t="n"/>
    </row>
    <row r="681">
      <c r="A681" s="42" t="n"/>
    </row>
    <row r="682">
      <c r="A682" s="42" t="n"/>
    </row>
    <row r="683">
      <c r="A683" s="42" t="n"/>
    </row>
    <row r="684">
      <c r="A684" s="42" t="n"/>
    </row>
    <row r="685">
      <c r="A685" s="42" t="n"/>
    </row>
    <row r="686">
      <c r="A686" s="42" t="n"/>
    </row>
    <row r="687">
      <c r="A687" s="42" t="n"/>
    </row>
    <row r="688">
      <c r="A688" s="42" t="n"/>
    </row>
    <row r="689">
      <c r="A689" s="42" t="n"/>
    </row>
    <row r="690">
      <c r="A690" s="42" t="n"/>
    </row>
    <row r="691">
      <c r="A691" s="42" t="n"/>
    </row>
    <row r="692">
      <c r="A692" s="42" t="n"/>
    </row>
    <row r="693">
      <c r="A693" s="42" t="n"/>
    </row>
    <row r="694">
      <c r="A694" s="42" t="n"/>
    </row>
    <row r="695">
      <c r="A695" s="42" t="n"/>
    </row>
    <row r="696">
      <c r="A696" s="42" t="n"/>
    </row>
    <row r="697">
      <c r="A697" s="42" t="n"/>
    </row>
    <row r="698">
      <c r="A698" s="42" t="n"/>
    </row>
    <row r="699">
      <c r="A699" s="42" t="n"/>
    </row>
    <row r="700">
      <c r="A700" s="42" t="n"/>
    </row>
    <row r="701">
      <c r="A701" s="42" t="n"/>
    </row>
    <row r="702">
      <c r="A702" s="42" t="n"/>
    </row>
    <row r="703">
      <c r="A703" s="42" t="n"/>
    </row>
    <row r="704">
      <c r="A704" s="42" t="n"/>
    </row>
    <row r="705">
      <c r="A705" s="42" t="n"/>
    </row>
    <row r="706">
      <c r="A706" s="42" t="n"/>
    </row>
    <row r="707">
      <c r="A707" s="42" t="n"/>
    </row>
    <row r="708">
      <c r="A708" s="42" t="n"/>
    </row>
    <row r="709">
      <c r="A709" s="42" t="n"/>
    </row>
    <row r="710">
      <c r="A710" s="42" t="n"/>
    </row>
    <row r="711">
      <c r="A711" s="42" t="n"/>
    </row>
    <row r="712">
      <c r="A712" s="42" t="n"/>
    </row>
    <row r="713">
      <c r="A713" s="42" t="n"/>
    </row>
    <row r="714">
      <c r="A714" s="42" t="n"/>
    </row>
    <row r="715">
      <c r="A715" s="42" t="n"/>
    </row>
    <row r="716">
      <c r="A716" s="42" t="n"/>
    </row>
    <row r="717">
      <c r="A717" s="42" t="n"/>
    </row>
    <row r="718">
      <c r="A718" s="42" t="n"/>
    </row>
    <row r="719">
      <c r="A719" s="42" t="n"/>
    </row>
    <row r="720">
      <c r="A720" s="42" t="n"/>
    </row>
    <row r="721">
      <c r="A721" s="42" t="n"/>
    </row>
    <row r="722">
      <c r="A722" s="42" t="n"/>
    </row>
    <row r="723">
      <c r="A723" s="42" t="n"/>
    </row>
    <row r="724">
      <c r="A724" s="42" t="n"/>
    </row>
    <row r="725">
      <c r="A725" s="42" t="n"/>
    </row>
    <row r="726">
      <c r="A726" s="42" t="n"/>
    </row>
    <row r="727">
      <c r="A727" s="42" t="n"/>
    </row>
    <row r="728">
      <c r="A728" s="42" t="n"/>
    </row>
    <row r="729">
      <c r="A729" s="42" t="n"/>
    </row>
    <row r="730">
      <c r="A730" s="42" t="n"/>
    </row>
    <row r="731">
      <c r="A731" s="42" t="n"/>
    </row>
    <row r="732">
      <c r="A732" s="42" t="n"/>
    </row>
    <row r="733">
      <c r="A733" s="42" t="n"/>
    </row>
    <row r="734">
      <c r="A734" s="42" t="n"/>
    </row>
    <row r="735">
      <c r="A735" s="42" t="n"/>
    </row>
    <row r="736">
      <c r="A736" s="42" t="n"/>
    </row>
    <row r="737">
      <c r="A737" s="42" t="n"/>
    </row>
    <row r="738">
      <c r="A738" s="42" t="n"/>
    </row>
    <row r="739">
      <c r="A739" s="42" t="n"/>
    </row>
    <row r="740">
      <c r="A740" s="42" t="n"/>
    </row>
    <row r="741">
      <c r="A741" s="42" t="n"/>
    </row>
    <row r="742">
      <c r="A742" s="42" t="n"/>
    </row>
    <row r="743">
      <c r="A743" s="42" t="n"/>
    </row>
    <row r="744">
      <c r="A744" s="42" t="n"/>
    </row>
    <row r="745">
      <c r="A745" s="42" t="n"/>
    </row>
    <row r="746">
      <c r="A746" s="42" t="n"/>
    </row>
    <row r="747">
      <c r="A747" s="42" t="n"/>
    </row>
    <row r="748">
      <c r="A748" s="42" t="n"/>
    </row>
    <row r="749">
      <c r="A749" s="42" t="n"/>
    </row>
    <row r="750">
      <c r="A750" s="42" t="n"/>
    </row>
    <row r="751">
      <c r="A751" s="42" t="n"/>
    </row>
    <row r="752">
      <c r="A752" s="42" t="n"/>
    </row>
    <row r="753">
      <c r="A753" s="42" t="n"/>
    </row>
    <row r="754">
      <c r="A754" s="42" t="n"/>
    </row>
    <row r="755">
      <c r="A755" s="42" t="n"/>
    </row>
    <row r="756">
      <c r="A756" s="42" t="n"/>
    </row>
    <row r="757">
      <c r="A757" s="42" t="n"/>
    </row>
    <row r="758">
      <c r="A758" s="42" t="n"/>
    </row>
    <row r="759">
      <c r="A759" s="42" t="n"/>
    </row>
    <row r="760">
      <c r="A760" s="42" t="n"/>
    </row>
    <row r="761">
      <c r="A761" s="42" t="n"/>
    </row>
    <row r="762">
      <c r="A762" s="42" t="n"/>
    </row>
    <row r="763">
      <c r="A763" s="42" t="n"/>
    </row>
    <row r="764">
      <c r="A764" s="42" t="n"/>
    </row>
    <row r="765">
      <c r="A765" s="42" t="n"/>
    </row>
    <row r="766">
      <c r="A766" s="42" t="n"/>
    </row>
    <row r="767">
      <c r="A767" s="42" t="n"/>
    </row>
    <row r="768">
      <c r="A768" s="42" t="n"/>
    </row>
    <row r="769">
      <c r="A769" s="42" t="n"/>
    </row>
    <row r="770">
      <c r="A770" s="42" t="n"/>
    </row>
    <row r="771">
      <c r="A771" s="42" t="n"/>
    </row>
    <row r="772">
      <c r="A772" s="42" t="n"/>
    </row>
    <row r="773">
      <c r="A773" s="42" t="n"/>
    </row>
    <row r="774">
      <c r="A774" s="42" t="n"/>
    </row>
    <row r="775">
      <c r="A775" s="42" t="n"/>
    </row>
    <row r="776">
      <c r="A776" s="42" t="n"/>
    </row>
    <row r="777">
      <c r="A777" s="42" t="n"/>
    </row>
    <row r="778">
      <c r="A778" s="42" t="n"/>
    </row>
    <row r="779">
      <c r="A779" s="42" t="n"/>
    </row>
    <row r="780">
      <c r="A780" s="42" t="n"/>
    </row>
    <row r="781">
      <c r="A781" s="42" t="n"/>
    </row>
    <row r="782">
      <c r="A782" s="42" t="n"/>
    </row>
    <row r="783">
      <c r="A783" s="42" t="n"/>
    </row>
    <row r="784">
      <c r="A784" s="42" t="n"/>
    </row>
    <row r="785">
      <c r="A785" s="42" t="n"/>
    </row>
    <row r="786">
      <c r="A786" s="42" t="n"/>
    </row>
    <row r="787">
      <c r="A787" s="42" t="n"/>
    </row>
    <row r="788">
      <c r="A788" s="42" t="n"/>
    </row>
    <row r="789">
      <c r="A789" s="42" t="n"/>
    </row>
    <row r="790">
      <c r="A790" s="42" t="n"/>
    </row>
    <row r="791">
      <c r="A791" s="42" t="n"/>
    </row>
    <row r="792">
      <c r="A792" s="42" t="n"/>
    </row>
    <row r="793">
      <c r="A793" s="42" t="n"/>
    </row>
    <row r="794">
      <c r="A794" s="42" t="n"/>
    </row>
    <row r="795">
      <c r="A795" s="42" t="n"/>
    </row>
    <row r="796">
      <c r="A796" s="42" t="n"/>
    </row>
    <row r="797">
      <c r="A797" s="42" t="n"/>
    </row>
    <row r="798">
      <c r="A798" s="42" t="n"/>
    </row>
    <row r="799">
      <c r="A799" s="42" t="n"/>
    </row>
    <row r="800">
      <c r="A800" s="42" t="n"/>
    </row>
    <row r="801">
      <c r="A801" s="42" t="n"/>
    </row>
    <row r="802">
      <c r="A802" s="42" t="n"/>
    </row>
    <row r="803">
      <c r="A803" s="42" t="n"/>
    </row>
    <row r="804">
      <c r="A804" s="42" t="n"/>
    </row>
    <row r="805">
      <c r="A805" s="42" t="n"/>
    </row>
    <row r="806">
      <c r="A806" s="42" t="n"/>
    </row>
    <row r="807">
      <c r="A807" s="42" t="n"/>
    </row>
    <row r="808">
      <c r="A808" s="42" t="n"/>
    </row>
    <row r="809">
      <c r="A809" s="42" t="n"/>
    </row>
    <row r="810">
      <c r="A810" s="42" t="n"/>
    </row>
    <row r="811">
      <c r="A811" s="42" t="n"/>
    </row>
    <row r="812">
      <c r="A812" s="42" t="n"/>
    </row>
    <row r="813">
      <c r="A813" s="42" t="n"/>
    </row>
    <row r="814">
      <c r="A814" s="42" t="n"/>
    </row>
    <row r="815">
      <c r="A815" s="42" t="n"/>
    </row>
    <row r="816">
      <c r="A816" s="42" t="n"/>
    </row>
    <row r="817">
      <c r="A817" s="42" t="n"/>
    </row>
    <row r="818">
      <c r="A818" s="42" t="n"/>
    </row>
    <row r="819">
      <c r="A819" s="42" t="n"/>
    </row>
    <row r="820">
      <c r="A820" s="42" t="n"/>
    </row>
    <row r="821">
      <c r="A821" s="42" t="n"/>
    </row>
    <row r="822">
      <c r="A822" s="42" t="n"/>
    </row>
    <row r="823">
      <c r="A823" s="42" t="n"/>
    </row>
    <row r="824">
      <c r="A824" s="42" t="n"/>
    </row>
    <row r="825">
      <c r="A825" s="42" t="n"/>
    </row>
    <row r="826">
      <c r="A826" s="42" t="n"/>
    </row>
    <row r="827">
      <c r="A827" s="42" t="n"/>
    </row>
    <row r="828">
      <c r="A828" s="42" t="n"/>
    </row>
    <row r="829">
      <c r="A829" s="42" t="n"/>
    </row>
    <row r="830">
      <c r="A830" s="42" t="n"/>
    </row>
    <row r="831">
      <c r="A831" s="42" t="n"/>
    </row>
    <row r="832">
      <c r="A832" s="42" t="n"/>
    </row>
    <row r="833">
      <c r="A833" s="42" t="n"/>
    </row>
    <row r="834">
      <c r="A834" s="42" t="n"/>
    </row>
    <row r="835">
      <c r="A835" s="42" t="n"/>
    </row>
    <row r="836">
      <c r="A836" s="42" t="n"/>
    </row>
    <row r="837">
      <c r="A837" s="42" t="n"/>
    </row>
    <row r="838">
      <c r="A838" s="42" t="n"/>
    </row>
    <row r="839">
      <c r="A839" s="42" t="n"/>
    </row>
    <row r="840">
      <c r="A840" s="42" t="n"/>
    </row>
    <row r="841">
      <c r="A841" s="42" t="n"/>
    </row>
    <row r="842">
      <c r="A842" s="42" t="n"/>
    </row>
    <row r="843">
      <c r="A843" s="42" t="n"/>
    </row>
    <row r="844">
      <c r="A844" s="42" t="n"/>
    </row>
    <row r="845">
      <c r="A845" s="42" t="n"/>
    </row>
    <row r="846">
      <c r="A846" s="42" t="n"/>
    </row>
    <row r="847">
      <c r="A847" s="42" t="n"/>
    </row>
    <row r="848">
      <c r="A848" s="42" t="n"/>
    </row>
    <row r="849">
      <c r="A849" s="42" t="n"/>
    </row>
    <row r="850">
      <c r="A850" s="42" t="n"/>
    </row>
    <row r="851">
      <c r="A851" s="42" t="n"/>
    </row>
    <row r="852">
      <c r="A852" s="42" t="n"/>
    </row>
    <row r="853">
      <c r="A853" s="42" t="n"/>
    </row>
    <row r="854">
      <c r="A854" s="42" t="n"/>
    </row>
    <row r="855">
      <c r="A855" s="42" t="n"/>
    </row>
    <row r="856">
      <c r="A856" s="42" t="n"/>
    </row>
    <row r="857">
      <c r="A857" s="42" t="n"/>
    </row>
    <row r="858">
      <c r="A858" s="42" t="n"/>
    </row>
    <row r="859">
      <c r="A859" s="42" t="n"/>
    </row>
    <row r="860">
      <c r="A860" s="42" t="n"/>
    </row>
    <row r="861">
      <c r="A861" s="42" t="n"/>
    </row>
    <row r="862">
      <c r="A862" s="42" t="n"/>
    </row>
    <row r="863">
      <c r="A863" s="42" t="n"/>
    </row>
    <row r="864">
      <c r="A864" s="42" t="n"/>
    </row>
    <row r="865">
      <c r="A865" s="42" t="n"/>
    </row>
    <row r="866">
      <c r="A866" s="42" t="n"/>
    </row>
    <row r="867">
      <c r="A867" s="42" t="n"/>
    </row>
    <row r="868">
      <c r="A868" s="42" t="n"/>
    </row>
    <row r="869">
      <c r="A869" s="42" t="n"/>
    </row>
    <row r="870">
      <c r="A870" s="42" t="n"/>
    </row>
    <row r="871">
      <c r="A871" s="42" t="n"/>
    </row>
    <row r="872">
      <c r="A872" s="42" t="n"/>
    </row>
    <row r="873">
      <c r="A873" s="42" t="n"/>
    </row>
    <row r="874">
      <c r="A874" s="42" t="n"/>
    </row>
    <row r="875">
      <c r="A875" s="42" t="n"/>
    </row>
    <row r="876">
      <c r="A876" s="42" t="n"/>
    </row>
    <row r="877">
      <c r="A877" s="42" t="n"/>
    </row>
    <row r="878">
      <c r="A878" s="42" t="n"/>
    </row>
    <row r="879">
      <c r="A879" s="42" t="n"/>
    </row>
    <row r="880">
      <c r="A880" s="42" t="n"/>
    </row>
    <row r="881">
      <c r="A881" s="42" t="n"/>
    </row>
    <row r="882">
      <c r="A882" s="42" t="n"/>
    </row>
    <row r="883">
      <c r="A883" s="42" t="n"/>
    </row>
    <row r="884">
      <c r="A884" s="42" t="n"/>
    </row>
    <row r="885">
      <c r="A885" s="42" t="n"/>
    </row>
    <row r="886">
      <c r="A886" s="42" t="n"/>
    </row>
    <row r="887">
      <c r="A887" s="42" t="n"/>
    </row>
    <row r="888">
      <c r="A888" s="42" t="n"/>
    </row>
    <row r="889">
      <c r="A889" s="42" t="n"/>
    </row>
    <row r="890">
      <c r="A890" s="42" t="n"/>
    </row>
    <row r="891">
      <c r="A891" s="42" t="n"/>
    </row>
    <row r="892">
      <c r="A892" s="42" t="n"/>
    </row>
    <row r="893">
      <c r="A893" s="42" t="n"/>
    </row>
    <row r="894">
      <c r="A894" s="42" t="n"/>
    </row>
    <row r="895">
      <c r="A895" s="42" t="n"/>
    </row>
    <row r="896">
      <c r="A896" s="42" t="n"/>
    </row>
    <row r="897">
      <c r="A897" s="42" t="n"/>
    </row>
    <row r="898">
      <c r="A898" s="42" t="n"/>
    </row>
    <row r="899">
      <c r="A899" s="42" t="n"/>
    </row>
    <row r="900">
      <c r="A900" s="42" t="n"/>
    </row>
    <row r="901">
      <c r="A901" s="42" t="n"/>
    </row>
    <row r="902">
      <c r="A902" s="42" t="n"/>
    </row>
    <row r="903">
      <c r="A903" s="42" t="n"/>
    </row>
    <row r="904">
      <c r="A904" s="42" t="n"/>
    </row>
    <row r="905">
      <c r="A905" s="42" t="n"/>
    </row>
    <row r="906">
      <c r="A906" s="42" t="n"/>
    </row>
    <row r="907">
      <c r="A907" s="42" t="n"/>
    </row>
    <row r="908">
      <c r="A908" s="42" t="n"/>
    </row>
    <row r="909">
      <c r="A909" s="42" t="n"/>
    </row>
    <row r="910">
      <c r="A910" s="42" t="n"/>
    </row>
    <row r="911">
      <c r="A911" s="42" t="n"/>
    </row>
    <row r="912">
      <c r="A912" s="42" t="n"/>
    </row>
    <row r="913">
      <c r="A913" s="42" t="n"/>
    </row>
    <row r="914">
      <c r="A914" s="42" t="n"/>
    </row>
    <row r="915">
      <c r="A915" s="42" t="n"/>
    </row>
    <row r="916">
      <c r="A916" s="42" t="n"/>
    </row>
    <row r="917">
      <c r="A917" s="42" t="n"/>
    </row>
    <row r="918">
      <c r="A918" s="42" t="n"/>
    </row>
    <row r="919">
      <c r="A919" s="42" t="n"/>
    </row>
    <row r="920">
      <c r="A920" s="42" t="n"/>
    </row>
    <row r="921">
      <c r="A921" s="42" t="n"/>
    </row>
    <row r="922">
      <c r="A922" s="42" t="n"/>
    </row>
    <row r="923">
      <c r="A923" s="42" t="n"/>
    </row>
    <row r="924">
      <c r="A924" s="42" t="n"/>
    </row>
    <row r="925">
      <c r="A925" s="42" t="n"/>
    </row>
    <row r="926">
      <c r="A926" s="42" t="n"/>
    </row>
    <row r="927">
      <c r="A927" s="42" t="n"/>
    </row>
    <row r="928">
      <c r="A928" s="42" t="n"/>
    </row>
    <row r="929">
      <c r="A929" s="42" t="n"/>
    </row>
    <row r="930">
      <c r="A930" s="42" t="n"/>
    </row>
    <row r="931">
      <c r="A931" s="42" t="n"/>
    </row>
    <row r="932">
      <c r="A932" s="42" t="n"/>
    </row>
    <row r="933">
      <c r="A933" s="42" t="n"/>
    </row>
    <row r="934">
      <c r="A934" s="42" t="n"/>
    </row>
    <row r="935">
      <c r="A935" s="42" t="n"/>
    </row>
    <row r="936">
      <c r="A936" s="42" t="n"/>
    </row>
    <row r="937">
      <c r="A937" s="42" t="n"/>
    </row>
    <row r="938">
      <c r="A938" s="42" t="n"/>
    </row>
    <row r="939">
      <c r="A939" s="42" t="n"/>
    </row>
    <row r="940">
      <c r="A940" s="42" t="n"/>
    </row>
    <row r="941">
      <c r="A941" s="42" t="n"/>
    </row>
    <row r="942">
      <c r="A942" s="42" t="n"/>
    </row>
    <row r="943">
      <c r="A943" s="42" t="n"/>
    </row>
    <row r="944">
      <c r="A944" s="42" t="n"/>
    </row>
    <row r="945">
      <c r="A945" s="42" t="n"/>
    </row>
    <row r="946">
      <c r="A946" s="42" t="n"/>
    </row>
    <row r="947">
      <c r="A947" s="42" t="n"/>
    </row>
    <row r="948">
      <c r="A948" s="42" t="n"/>
    </row>
    <row r="949">
      <c r="A949" s="42" t="n"/>
    </row>
    <row r="950">
      <c r="A950" s="42" t="n"/>
    </row>
    <row r="951">
      <c r="A951" s="42" t="n"/>
    </row>
    <row r="952">
      <c r="A952" s="42" t="n"/>
    </row>
    <row r="953">
      <c r="A953" s="42" t="n"/>
    </row>
    <row r="954">
      <c r="A954" s="42" t="n"/>
    </row>
    <row r="955">
      <c r="A955" s="42" t="n"/>
    </row>
    <row r="956">
      <c r="A956" s="42" t="n"/>
    </row>
    <row r="957">
      <c r="A957" s="42" t="n"/>
    </row>
    <row r="958">
      <c r="A958" s="42" t="n"/>
    </row>
    <row r="959">
      <c r="A959" s="42" t="n"/>
    </row>
    <row r="960">
      <c r="A960" s="42" t="n"/>
    </row>
    <row r="961">
      <c r="A961" s="42" t="n"/>
    </row>
    <row r="962">
      <c r="A962" s="42" t="n"/>
    </row>
    <row r="963">
      <c r="A963" s="42" t="n"/>
    </row>
    <row r="964">
      <c r="A964" s="42" t="n"/>
    </row>
    <row r="965">
      <c r="A965" s="42" t="n"/>
    </row>
    <row r="966">
      <c r="A966" s="42" t="n"/>
    </row>
    <row r="967">
      <c r="A967" s="42" t="n"/>
    </row>
    <row r="968">
      <c r="A968" s="42" t="n"/>
    </row>
    <row r="969">
      <c r="A969" s="42" t="n"/>
    </row>
    <row r="970">
      <c r="A970" s="42" t="n"/>
    </row>
    <row r="971">
      <c r="A971" s="42" t="n"/>
    </row>
    <row r="972">
      <c r="A972" s="42" t="n"/>
    </row>
    <row r="973">
      <c r="A973" s="42" t="n"/>
    </row>
    <row r="974">
      <c r="A974" s="42" t="n"/>
    </row>
    <row r="975">
      <c r="A975" s="42" t="n"/>
    </row>
    <row r="976">
      <c r="A976" s="42" t="n"/>
    </row>
    <row r="977">
      <c r="A977" s="42" t="n"/>
    </row>
    <row r="978">
      <c r="A978" s="42" t="n"/>
    </row>
    <row r="979">
      <c r="A979" s="42" t="n"/>
    </row>
    <row r="980">
      <c r="A980" s="42" t="n"/>
    </row>
    <row r="981">
      <c r="A981" s="42" t="n"/>
    </row>
    <row r="982">
      <c r="A982" s="42" t="n"/>
    </row>
    <row r="983">
      <c r="A983" s="42" t="n"/>
    </row>
    <row r="984">
      <c r="A984" s="42" t="n"/>
    </row>
    <row r="985">
      <c r="A985" s="42" t="n"/>
    </row>
    <row r="986">
      <c r="A986" s="42" t="n"/>
    </row>
    <row r="987">
      <c r="A987" s="42" t="n"/>
    </row>
    <row r="988">
      <c r="A988" s="42" t="n"/>
    </row>
    <row r="989">
      <c r="A989" s="42" t="n"/>
    </row>
    <row r="990">
      <c r="A990" s="42" t="n"/>
    </row>
    <row r="991">
      <c r="A991" s="42" t="n"/>
    </row>
    <row r="992">
      <c r="A992" s="42" t="n"/>
    </row>
    <row r="993">
      <c r="A993" s="42" t="n"/>
    </row>
    <row r="994">
      <c r="A994" s="42" t="n"/>
    </row>
    <row r="995">
      <c r="A995" s="42" t="n"/>
    </row>
    <row r="996">
      <c r="A996" s="42" t="n"/>
    </row>
    <row r="997">
      <c r="A997" s="42" t="n"/>
    </row>
    <row r="998">
      <c r="A998" s="42" t="n"/>
    </row>
    <row r="999">
      <c r="A999" s="42" t="n"/>
    </row>
    <row r="1000">
      <c r="A1000" s="42" t="n"/>
    </row>
    <row r="1001">
      <c r="A1001" s="42" t="n"/>
    </row>
    <row r="1002">
      <c r="A1002" s="42" t="n"/>
    </row>
    <row r="1003">
      <c r="A1003" s="42" t="n"/>
    </row>
    <row r="1004">
      <c r="A1004" s="42" t="n"/>
    </row>
    <row r="1005">
      <c r="A1005" s="42" t="n"/>
    </row>
    <row r="1006">
      <c r="A1006" s="42" t="n"/>
    </row>
    <row r="1007">
      <c r="A1007" s="42" t="n"/>
    </row>
    <row r="1008">
      <c r="A1008" s="42" t="n"/>
    </row>
    <row r="1009">
      <c r="A1009" s="42" t="n"/>
    </row>
    <row r="1010">
      <c r="A1010" s="42" t="n"/>
    </row>
    <row r="1011">
      <c r="A1011" s="42" t="n"/>
    </row>
    <row r="1012">
      <c r="A1012" s="42" t="n"/>
    </row>
    <row r="1013">
      <c r="A1013" s="42" t="n"/>
    </row>
    <row r="1014">
      <c r="A1014" s="42" t="n"/>
    </row>
    <row r="1015">
      <c r="A1015" s="42" t="n"/>
    </row>
    <row r="1016">
      <c r="A1016" s="42" t="n"/>
    </row>
    <row r="1017">
      <c r="A1017" s="42" t="n"/>
    </row>
    <row r="1018">
      <c r="A1018" s="42" t="n"/>
    </row>
    <row r="1019">
      <c r="A1019" s="42" t="n"/>
    </row>
    <row r="1020">
      <c r="A1020" s="42" t="n"/>
    </row>
    <row r="1021">
      <c r="A1021" s="42" t="n"/>
    </row>
    <row r="1022">
      <c r="A1022" s="42" t="n"/>
    </row>
    <row r="1023">
      <c r="A1023" s="42" t="n"/>
    </row>
    <row r="1024">
      <c r="A1024" s="42" t="n"/>
    </row>
    <row r="1025">
      <c r="A1025" s="42" t="n"/>
    </row>
    <row r="1026">
      <c r="A1026" s="42" t="n"/>
    </row>
    <row r="1027">
      <c r="A1027" s="42" t="n"/>
    </row>
    <row r="1028">
      <c r="A1028" s="42" t="n"/>
    </row>
    <row r="1029">
      <c r="A1029" s="42" t="n"/>
    </row>
    <row r="1030">
      <c r="A1030" s="42" t="n"/>
    </row>
    <row r="1031">
      <c r="A1031" s="42" t="n"/>
    </row>
    <row r="1032">
      <c r="A1032" s="42" t="n"/>
    </row>
    <row r="1033">
      <c r="A1033" s="42" t="n"/>
    </row>
    <row r="1034">
      <c r="A1034" s="42" t="n"/>
    </row>
    <row r="1035">
      <c r="A1035" s="42" t="n"/>
    </row>
    <row r="1036">
      <c r="A1036" s="42" t="n"/>
    </row>
    <row r="1037">
      <c r="A1037" s="42" t="n"/>
    </row>
    <row r="1038">
      <c r="A1038" s="42" t="n"/>
    </row>
    <row r="1039">
      <c r="A1039" s="42" t="n"/>
    </row>
    <row r="1040">
      <c r="A1040" s="42" t="n"/>
    </row>
    <row r="1041">
      <c r="A1041" s="42" t="n"/>
    </row>
    <row r="1042">
      <c r="A1042" s="42" t="n"/>
    </row>
    <row r="1043">
      <c r="A1043" s="42" t="n"/>
    </row>
    <row r="1044">
      <c r="A1044" s="42" t="n"/>
    </row>
    <row r="1045">
      <c r="A1045" s="42" t="n"/>
    </row>
    <row r="1046">
      <c r="A1046" s="42" t="n"/>
    </row>
    <row r="1047">
      <c r="A1047" s="42" t="n"/>
    </row>
    <row r="1048">
      <c r="A1048" s="42" t="n"/>
    </row>
    <row r="1049">
      <c r="A1049" s="42" t="n"/>
    </row>
    <row r="1050">
      <c r="A1050" s="42" t="n"/>
    </row>
    <row r="1051">
      <c r="A1051" s="42" t="n"/>
    </row>
    <row r="1052">
      <c r="A1052" s="42" t="n"/>
    </row>
    <row r="1053">
      <c r="A1053" s="42" t="n"/>
    </row>
    <row r="1054">
      <c r="A1054" s="42" t="n"/>
    </row>
    <row r="1055">
      <c r="A1055" s="42" t="n"/>
    </row>
    <row r="1056">
      <c r="A1056" s="42" t="n"/>
    </row>
    <row r="1057">
      <c r="A1057" s="42" t="n"/>
    </row>
    <row r="1058">
      <c r="A1058" s="42" t="n"/>
    </row>
    <row r="1059">
      <c r="A1059" s="42" t="n"/>
    </row>
    <row r="1060">
      <c r="A1060" s="42" t="n"/>
    </row>
    <row r="1061">
      <c r="A1061" s="42" t="n"/>
    </row>
    <row r="1062">
      <c r="A1062" s="42" t="n"/>
    </row>
    <row r="1063">
      <c r="A1063" s="42" t="n"/>
    </row>
    <row r="1064">
      <c r="A1064" s="42" t="n"/>
    </row>
    <row r="1065">
      <c r="A1065" s="42" t="n"/>
    </row>
    <row r="1066">
      <c r="A1066" s="42" t="n"/>
    </row>
    <row r="1067">
      <c r="A1067" s="42" t="n"/>
    </row>
    <row r="1068">
      <c r="A1068" s="42" t="n"/>
    </row>
    <row r="1069">
      <c r="A1069" s="42" t="n"/>
    </row>
    <row r="1070">
      <c r="A1070" s="42" t="n"/>
    </row>
    <row r="1071">
      <c r="A1071" s="42" t="n"/>
    </row>
    <row r="1072">
      <c r="A1072" s="42" t="n"/>
    </row>
    <row r="1073">
      <c r="A1073" s="42" t="n"/>
    </row>
    <row r="1074">
      <c r="A1074" s="42" t="n"/>
    </row>
    <row r="1075">
      <c r="A1075" s="42" t="n"/>
    </row>
    <row r="1076">
      <c r="A1076" s="42" t="n"/>
    </row>
    <row r="1077">
      <c r="A1077" s="42" t="n"/>
    </row>
    <row r="1078">
      <c r="A1078" s="42" t="n"/>
    </row>
    <row r="1079">
      <c r="A1079" s="42" t="n"/>
    </row>
    <row r="1080">
      <c r="A1080" s="42" t="n"/>
    </row>
    <row r="1081">
      <c r="A1081" s="42" t="n"/>
    </row>
    <row r="1082">
      <c r="A1082" s="42" t="n"/>
    </row>
    <row r="1083">
      <c r="A1083" s="42" t="n"/>
    </row>
    <row r="1084">
      <c r="A1084" s="42" t="n"/>
    </row>
    <row r="1085">
      <c r="A1085" s="42" t="n"/>
    </row>
    <row r="1086">
      <c r="A1086" s="42" t="n"/>
    </row>
    <row r="1087">
      <c r="A1087" s="42" t="n"/>
    </row>
    <row r="1088">
      <c r="A1088" s="42" t="n"/>
    </row>
    <row r="1089">
      <c r="A1089" s="42" t="n"/>
    </row>
    <row r="1090">
      <c r="A1090" s="42" t="n"/>
    </row>
    <row r="1091">
      <c r="A1091" s="42" t="n"/>
    </row>
    <row r="1092">
      <c r="A1092" s="42" t="n"/>
    </row>
    <row r="1093">
      <c r="A1093" s="42" t="n"/>
    </row>
    <row r="1094">
      <c r="A1094" s="42" t="n"/>
    </row>
    <row r="1095">
      <c r="A1095" s="42" t="n"/>
    </row>
    <row r="1096">
      <c r="A1096" s="42" t="n"/>
    </row>
    <row r="1097">
      <c r="A1097" s="42" t="n"/>
    </row>
    <row r="1098">
      <c r="A1098" s="42" t="n"/>
    </row>
    <row r="1099">
      <c r="A1099" s="42" t="n"/>
    </row>
    <row r="1100">
      <c r="A1100" s="42" t="n"/>
    </row>
    <row r="1101">
      <c r="A1101" s="42" t="n"/>
    </row>
    <row r="1102">
      <c r="A1102" s="42" t="n"/>
    </row>
    <row r="1103">
      <c r="A1103" s="42" t="n"/>
    </row>
    <row r="1104">
      <c r="A1104" s="42" t="n"/>
    </row>
    <row r="1105">
      <c r="A1105" s="42" t="n"/>
    </row>
    <row r="1106">
      <c r="A1106" s="42" t="n"/>
    </row>
    <row r="1107">
      <c r="A1107" s="42" t="n"/>
    </row>
    <row r="1108">
      <c r="A1108" s="42" t="n"/>
    </row>
    <row r="1109">
      <c r="A1109" s="42" t="n"/>
    </row>
    <row r="1110">
      <c r="A1110" s="42" t="n"/>
    </row>
    <row r="1111">
      <c r="A1111" s="42" t="n"/>
    </row>
    <row r="1112">
      <c r="A1112" s="42" t="n"/>
    </row>
    <row r="1113">
      <c r="A1113" s="42" t="n"/>
    </row>
    <row r="1114">
      <c r="A1114" s="42" t="n"/>
    </row>
    <row r="1115">
      <c r="A1115" s="42" t="n"/>
    </row>
    <row r="1116">
      <c r="A1116" s="42" t="n"/>
    </row>
    <row r="1117">
      <c r="A1117" s="42" t="n"/>
    </row>
    <row r="1118">
      <c r="A1118" s="42" t="n"/>
    </row>
    <row r="1119">
      <c r="A1119" s="42" t="n"/>
    </row>
    <row r="1120">
      <c r="A1120" s="42" t="n"/>
    </row>
    <row r="1121">
      <c r="A1121" s="42" t="n"/>
    </row>
    <row r="1122">
      <c r="A1122" s="42" t="n"/>
    </row>
    <row r="1123">
      <c r="A1123" s="42" t="n"/>
    </row>
    <row r="1124">
      <c r="A1124" s="42" t="n"/>
    </row>
    <row r="1125">
      <c r="A1125" s="42" t="n"/>
    </row>
    <row r="1126">
      <c r="A1126" s="42" t="n"/>
    </row>
    <row r="1127">
      <c r="A1127" s="42" t="n"/>
    </row>
    <row r="1128">
      <c r="A1128" s="42" t="n"/>
    </row>
    <row r="1129">
      <c r="A1129" s="42" t="n"/>
    </row>
    <row r="1130">
      <c r="A1130" s="42" t="n"/>
    </row>
    <row r="1131">
      <c r="A1131" s="42" t="n"/>
    </row>
    <row r="1132">
      <c r="A1132" s="42" t="n"/>
    </row>
    <row r="1133">
      <c r="A1133" s="42" t="n"/>
    </row>
    <row r="1134">
      <c r="A1134" s="42" t="n"/>
    </row>
    <row r="1135">
      <c r="A1135" s="42" t="n"/>
    </row>
    <row r="1136">
      <c r="A1136" s="42" t="n"/>
    </row>
    <row r="1137">
      <c r="A1137" s="42" t="n"/>
    </row>
    <row r="1138">
      <c r="A1138" s="42" t="n"/>
    </row>
    <row r="1139">
      <c r="A1139" s="42" t="n"/>
    </row>
    <row r="1140">
      <c r="A1140" s="42" t="n"/>
    </row>
    <row r="1141">
      <c r="A1141" s="42" t="n"/>
    </row>
    <row r="1142">
      <c r="A1142" s="42" t="n"/>
    </row>
    <row r="1143">
      <c r="A1143" s="42" t="n"/>
    </row>
    <row r="1144">
      <c r="A1144" s="42" t="n"/>
    </row>
    <row r="1145">
      <c r="A1145" s="42" t="n"/>
    </row>
    <row r="1146">
      <c r="A1146" s="42" t="n"/>
    </row>
    <row r="1147">
      <c r="A1147" s="42" t="n"/>
    </row>
    <row r="1148">
      <c r="A1148" s="42" t="n"/>
    </row>
    <row r="1149">
      <c r="A1149" s="42" t="n"/>
    </row>
    <row r="1150">
      <c r="A1150" s="42" t="n"/>
    </row>
    <row r="1151">
      <c r="A1151" s="42" t="n"/>
    </row>
    <row r="1152">
      <c r="A1152" s="42" t="n"/>
    </row>
    <row r="1153">
      <c r="A1153" s="42" t="n"/>
    </row>
    <row r="1154">
      <c r="A1154" s="42" t="n"/>
    </row>
    <row r="1155">
      <c r="A1155" s="42" t="n"/>
    </row>
    <row r="1156">
      <c r="A1156" s="42" t="n"/>
    </row>
    <row r="1157">
      <c r="A1157" s="42" t="n"/>
    </row>
    <row r="1158">
      <c r="A1158" s="42" t="n"/>
    </row>
    <row r="1159">
      <c r="A1159" s="42" t="n"/>
    </row>
    <row r="1160">
      <c r="A1160" s="42" t="n"/>
    </row>
    <row r="1161">
      <c r="A1161" s="42" t="n"/>
    </row>
    <row r="1162">
      <c r="A1162" s="42" t="n"/>
    </row>
    <row r="1163">
      <c r="A1163" s="42" t="n"/>
    </row>
    <row r="1164">
      <c r="A1164" s="42" t="n"/>
    </row>
    <row r="1165">
      <c r="A1165" s="42" t="n"/>
    </row>
    <row r="1166">
      <c r="A1166" s="42" t="n"/>
    </row>
    <row r="1167">
      <c r="A1167" s="42" t="n"/>
    </row>
    <row r="1168">
      <c r="A1168" s="42" t="n"/>
    </row>
    <row r="1169">
      <c r="A1169" s="42" t="n"/>
    </row>
    <row r="1170">
      <c r="A1170" s="42" t="n"/>
    </row>
    <row r="1171">
      <c r="A1171" s="42" t="n"/>
    </row>
    <row r="1172">
      <c r="A1172" s="42" t="n"/>
    </row>
    <row r="1173">
      <c r="A1173" s="42" t="n"/>
    </row>
    <row r="1174">
      <c r="A1174" s="42" t="n"/>
    </row>
    <row r="1175">
      <c r="A1175" s="42" t="n"/>
    </row>
    <row r="1176">
      <c r="A1176" s="42" t="n"/>
    </row>
    <row r="1177">
      <c r="A1177" s="42" t="n"/>
    </row>
    <row r="1178">
      <c r="A1178" s="42" t="n"/>
    </row>
    <row r="1179">
      <c r="A1179" s="42" t="n"/>
    </row>
    <row r="1180">
      <c r="A1180" s="42" t="n"/>
    </row>
    <row r="1181">
      <c r="A1181" s="42" t="n"/>
    </row>
    <row r="1182">
      <c r="A1182" s="42" t="n"/>
    </row>
    <row r="1183">
      <c r="A1183" s="42" t="n"/>
    </row>
    <row r="1184">
      <c r="A1184" s="42" t="n"/>
    </row>
    <row r="1185">
      <c r="A1185" s="42" t="n"/>
    </row>
    <row r="1186">
      <c r="A1186" s="42" t="n"/>
    </row>
    <row r="1187">
      <c r="A1187" s="42" t="n"/>
    </row>
    <row r="1188">
      <c r="A1188" s="42" t="n"/>
    </row>
    <row r="1189">
      <c r="A1189" s="42" t="n"/>
    </row>
    <row r="1190">
      <c r="A1190" s="42" t="n"/>
    </row>
    <row r="1191">
      <c r="A1191" s="42" t="n"/>
    </row>
    <row r="1192">
      <c r="A1192" s="42" t="n"/>
    </row>
    <row r="1193">
      <c r="A1193" s="42" t="n"/>
    </row>
    <row r="1194">
      <c r="A1194" s="42" t="n"/>
    </row>
    <row r="1195">
      <c r="A1195" s="42" t="n"/>
    </row>
    <row r="1196">
      <c r="A1196" s="42" t="n"/>
    </row>
    <row r="1197">
      <c r="A1197" s="42" t="n"/>
    </row>
    <row r="1198">
      <c r="A1198" s="42" t="n"/>
    </row>
    <row r="1199">
      <c r="A1199" s="42" t="n"/>
    </row>
    <row r="1200">
      <c r="A1200" s="42" t="n"/>
    </row>
    <row r="1201">
      <c r="A1201" s="42" t="n"/>
    </row>
    <row r="1202">
      <c r="A1202" s="42" t="n"/>
    </row>
    <row r="1203">
      <c r="A1203" s="42" t="n"/>
    </row>
    <row r="1204">
      <c r="A1204" s="42" t="n"/>
    </row>
    <row r="1205">
      <c r="A1205" s="42" t="n"/>
    </row>
    <row r="1206">
      <c r="A1206" s="42" t="n"/>
    </row>
    <row r="1207">
      <c r="A1207" s="42" t="n"/>
    </row>
    <row r="1208">
      <c r="A1208" s="42" t="n"/>
    </row>
    <row r="1209">
      <c r="A1209" s="42" t="n"/>
    </row>
    <row r="1210">
      <c r="A1210" s="42" t="n"/>
    </row>
    <row r="1211">
      <c r="A1211" s="42" t="n"/>
    </row>
    <row r="1212">
      <c r="A1212" s="42" t="n"/>
    </row>
    <row r="1213">
      <c r="A1213" s="42" t="n"/>
    </row>
    <row r="1214">
      <c r="A1214" s="42" t="n"/>
    </row>
    <row r="1215">
      <c r="A1215" s="42" t="n"/>
    </row>
    <row r="1216">
      <c r="A1216" s="42" t="n"/>
    </row>
    <row r="1217">
      <c r="A1217" s="42" t="n"/>
    </row>
    <row r="1218">
      <c r="A1218" s="42" t="n"/>
    </row>
    <row r="1219">
      <c r="A1219" s="42" t="n"/>
    </row>
    <row r="1220">
      <c r="A1220" s="42" t="n"/>
    </row>
    <row r="1221">
      <c r="A1221" s="42" t="n"/>
    </row>
    <row r="1222">
      <c r="A1222" s="42" t="n"/>
    </row>
    <row r="1223">
      <c r="A1223" s="42" t="n"/>
    </row>
    <row r="1224">
      <c r="A1224" s="42" t="n"/>
    </row>
    <row r="1225">
      <c r="A1225" s="42" t="n"/>
    </row>
    <row r="1226">
      <c r="A1226" s="42" t="n"/>
    </row>
    <row r="1227">
      <c r="A1227" s="42" t="n"/>
    </row>
    <row r="1228">
      <c r="A1228" s="42" t="n"/>
    </row>
    <row r="1229">
      <c r="A1229" s="42" t="n"/>
    </row>
    <row r="1230">
      <c r="A1230" s="42" t="n"/>
    </row>
    <row r="1231">
      <c r="A1231" s="42" t="n"/>
    </row>
    <row r="1232">
      <c r="A1232" s="42" t="n"/>
    </row>
    <row r="1233">
      <c r="A1233" s="42" t="n"/>
    </row>
    <row r="1234">
      <c r="A1234" s="42" t="n"/>
    </row>
    <row r="1235">
      <c r="A1235" s="42" t="n"/>
    </row>
    <row r="1236">
      <c r="A1236" s="42" t="n"/>
    </row>
    <row r="1237">
      <c r="A1237" s="42" t="n"/>
    </row>
    <row r="1238">
      <c r="A1238" s="42" t="n"/>
    </row>
    <row r="1239">
      <c r="A1239" s="42" t="n"/>
    </row>
    <row r="1240">
      <c r="A1240" s="42" t="n"/>
    </row>
    <row r="1241">
      <c r="A1241" s="42" t="n"/>
    </row>
    <row r="1242">
      <c r="A1242" s="42" t="n"/>
    </row>
    <row r="1243">
      <c r="A1243" s="42" t="n"/>
    </row>
    <row r="1244">
      <c r="A1244" s="42" t="n"/>
    </row>
    <row r="1245">
      <c r="A1245" s="42" t="n"/>
    </row>
    <row r="1246">
      <c r="A1246" s="42" t="n"/>
    </row>
    <row r="1247">
      <c r="A1247" s="42" t="n"/>
    </row>
    <row r="1248">
      <c r="A1248" s="42" t="n"/>
    </row>
    <row r="1249">
      <c r="A1249" s="42" t="n"/>
    </row>
    <row r="1250">
      <c r="A1250" s="42" t="n"/>
    </row>
    <row r="1251">
      <c r="A1251" s="42" t="n"/>
    </row>
    <row r="1252">
      <c r="A1252" s="42" t="n"/>
    </row>
    <row r="1253">
      <c r="A1253" s="42" t="n"/>
    </row>
    <row r="1254">
      <c r="A1254" s="42" t="n"/>
    </row>
    <row r="1255">
      <c r="A1255" s="42" t="n"/>
    </row>
    <row r="1256">
      <c r="A1256" s="42" t="n"/>
    </row>
    <row r="1257">
      <c r="A1257" s="42" t="n"/>
    </row>
    <row r="1258">
      <c r="A1258" s="42" t="n"/>
    </row>
    <row r="1259">
      <c r="A1259" s="42" t="n"/>
    </row>
    <row r="1260">
      <c r="A1260" s="42" t="n"/>
    </row>
    <row r="1261">
      <c r="A1261" s="42" t="n"/>
    </row>
    <row r="1262">
      <c r="A1262" s="42" t="n"/>
    </row>
    <row r="1263">
      <c r="A1263" s="42" t="n"/>
    </row>
    <row r="1264">
      <c r="A1264" s="42" t="n"/>
    </row>
    <row r="1265">
      <c r="A1265" s="42" t="n"/>
    </row>
    <row r="1266">
      <c r="A1266" s="42" t="n"/>
    </row>
    <row r="1267">
      <c r="A1267" s="42" t="n"/>
    </row>
    <row r="1268">
      <c r="A1268" s="42" t="n"/>
    </row>
    <row r="1269">
      <c r="A1269" s="42" t="n"/>
    </row>
    <row r="1270">
      <c r="A1270" s="42" t="n"/>
    </row>
    <row r="1271">
      <c r="A1271" s="42" t="n"/>
    </row>
    <row r="1272">
      <c r="A1272" s="42" t="n"/>
    </row>
    <row r="1273">
      <c r="A1273" s="42" t="n"/>
    </row>
    <row r="1274">
      <c r="A1274" s="42" t="n"/>
    </row>
    <row r="1275">
      <c r="A1275" s="42" t="n"/>
    </row>
    <row r="1276">
      <c r="A1276" s="42" t="n"/>
    </row>
    <row r="1277">
      <c r="A1277" s="42" t="n"/>
    </row>
    <row r="1278">
      <c r="A1278" s="42" t="n"/>
    </row>
    <row r="1279">
      <c r="A1279" s="42" t="n"/>
    </row>
    <row r="1280">
      <c r="A1280" s="42" t="n"/>
    </row>
    <row r="1281">
      <c r="A1281" s="42" t="n"/>
    </row>
    <row r="1282">
      <c r="A1282" s="42" t="n"/>
    </row>
    <row r="1283">
      <c r="A1283" s="42" t="n"/>
    </row>
    <row r="1284">
      <c r="A1284" s="42" t="n"/>
    </row>
    <row r="1285">
      <c r="A1285" s="42" t="n"/>
    </row>
    <row r="1286">
      <c r="A1286" s="42" t="n"/>
    </row>
    <row r="1287">
      <c r="A1287" s="42" t="n"/>
    </row>
    <row r="1288">
      <c r="A1288" s="42" t="n"/>
    </row>
    <row r="1289">
      <c r="A1289" s="42" t="n"/>
    </row>
    <row r="1290">
      <c r="A1290" s="42" t="n"/>
    </row>
    <row r="1291">
      <c r="A1291" s="42" t="n"/>
    </row>
    <row r="1292">
      <c r="A1292" s="42" t="n"/>
    </row>
    <row r="1293">
      <c r="A1293" s="42" t="n"/>
    </row>
    <row r="1294">
      <c r="A1294" s="42" t="n"/>
    </row>
    <row r="1295">
      <c r="A1295" s="42" t="n"/>
    </row>
    <row r="1296">
      <c r="A1296" s="42" t="n"/>
    </row>
    <row r="1297">
      <c r="A1297" s="42" t="n"/>
    </row>
    <row r="1298">
      <c r="A1298" s="42" t="n"/>
    </row>
    <row r="1299">
      <c r="A1299" s="42" t="n"/>
    </row>
    <row r="1300">
      <c r="A1300" s="42" t="n"/>
    </row>
    <row r="1301">
      <c r="A1301" s="42" t="n"/>
    </row>
    <row r="1302">
      <c r="A1302" s="42" t="n"/>
    </row>
    <row r="1303">
      <c r="A1303" s="42" t="n"/>
    </row>
    <row r="1304">
      <c r="A1304" s="42" t="n"/>
    </row>
    <row r="1305">
      <c r="A1305" s="42" t="n"/>
    </row>
    <row r="1306">
      <c r="A1306" s="42" t="n"/>
    </row>
    <row r="1307">
      <c r="A1307" s="42" t="n"/>
    </row>
    <row r="1308">
      <c r="A1308" s="42" t="n"/>
    </row>
    <row r="1309">
      <c r="A1309" s="42" t="n"/>
    </row>
    <row r="1310">
      <c r="A1310" s="42" t="n"/>
    </row>
    <row r="1311">
      <c r="A1311" s="42" t="n"/>
    </row>
    <row r="1312">
      <c r="A1312" s="42" t="n"/>
    </row>
    <row r="1313">
      <c r="A1313" s="42" t="n"/>
    </row>
    <row r="1314">
      <c r="A1314" s="42" t="n"/>
    </row>
    <row r="1315">
      <c r="A1315" s="42" t="n"/>
    </row>
    <row r="1316">
      <c r="A1316" s="42" t="n"/>
    </row>
    <row r="1317">
      <c r="A1317" s="42" t="n"/>
    </row>
    <row r="1318">
      <c r="A1318" s="42" t="n"/>
    </row>
    <row r="1319">
      <c r="A1319" s="42" t="n"/>
    </row>
    <row r="1320">
      <c r="A1320" s="42" t="n"/>
    </row>
    <row r="1321">
      <c r="A1321" s="42" t="n"/>
    </row>
    <row r="1322">
      <c r="A1322" s="42" t="n"/>
    </row>
    <row r="1323">
      <c r="A1323" s="42" t="n"/>
    </row>
    <row r="1324">
      <c r="A1324" s="42" t="n"/>
    </row>
    <row r="1325">
      <c r="A1325" s="42" t="n"/>
    </row>
    <row r="1326">
      <c r="A1326" s="42" t="n"/>
    </row>
    <row r="1327">
      <c r="A1327" s="42" t="n"/>
    </row>
    <row r="1328">
      <c r="A1328" s="42" t="n"/>
    </row>
    <row r="1329">
      <c r="A1329" s="42" t="n"/>
    </row>
    <row r="1330">
      <c r="A1330" s="42" t="n"/>
    </row>
    <row r="1331">
      <c r="A1331" s="42" t="n"/>
    </row>
    <row r="1332">
      <c r="A1332" s="42" t="n"/>
    </row>
    <row r="1333">
      <c r="A1333" s="42" t="n"/>
    </row>
    <row r="1334">
      <c r="A1334" s="42" t="n"/>
    </row>
    <row r="1335">
      <c r="A1335" s="42" t="n"/>
    </row>
    <row r="1336">
      <c r="A1336" s="42" t="n"/>
    </row>
    <row r="1337">
      <c r="A1337" s="42" t="n"/>
    </row>
    <row r="1338">
      <c r="A1338" s="42" t="n"/>
    </row>
    <row r="1339">
      <c r="A1339" s="42" t="n"/>
    </row>
    <row r="1340">
      <c r="A1340" s="42" t="n"/>
    </row>
    <row r="1341">
      <c r="A1341" s="42" t="n"/>
    </row>
    <row r="1342">
      <c r="A1342" s="42" t="n"/>
    </row>
    <row r="1343">
      <c r="A1343" s="42" t="n"/>
    </row>
    <row r="1344">
      <c r="A1344" s="42" t="n"/>
    </row>
    <row r="1345">
      <c r="A1345" s="42" t="n"/>
    </row>
    <row r="1346">
      <c r="A1346" s="42" t="n"/>
    </row>
    <row r="1347">
      <c r="A1347" s="42" t="n"/>
    </row>
    <row r="1348">
      <c r="A1348" s="42" t="n"/>
    </row>
    <row r="1349">
      <c r="A1349" s="42" t="n"/>
    </row>
    <row r="1350">
      <c r="A1350" s="42" t="n"/>
    </row>
    <row r="1351">
      <c r="A1351" s="42" t="n"/>
    </row>
    <row r="1352">
      <c r="A1352" s="42" t="n"/>
    </row>
    <row r="1353">
      <c r="A1353" s="42" t="n"/>
    </row>
    <row r="1354">
      <c r="A1354" s="42" t="n"/>
    </row>
    <row r="1355">
      <c r="A1355" s="42" t="n"/>
    </row>
    <row r="1356">
      <c r="A1356" s="42" t="n"/>
    </row>
    <row r="1357">
      <c r="A1357" s="42" t="n"/>
    </row>
    <row r="1358">
      <c r="A1358" s="42" t="n"/>
    </row>
    <row r="1359">
      <c r="A1359" s="42" t="n"/>
    </row>
    <row r="1360">
      <c r="A1360" s="42" t="n"/>
    </row>
    <row r="1361">
      <c r="A1361" s="42" t="n"/>
    </row>
    <row r="1362">
      <c r="A1362" s="42" t="n"/>
    </row>
    <row r="1363">
      <c r="A1363" s="42" t="n"/>
    </row>
    <row r="1364">
      <c r="A1364" s="42" t="n"/>
    </row>
    <row r="1365">
      <c r="A1365" s="42" t="n"/>
    </row>
    <row r="1366">
      <c r="A1366" s="42" t="n"/>
    </row>
    <row r="1367">
      <c r="A1367" s="42" t="n"/>
    </row>
    <row r="1368">
      <c r="A1368" s="42" t="n"/>
    </row>
    <row r="1369">
      <c r="A1369" s="42" t="n"/>
    </row>
    <row r="1370">
      <c r="A1370" s="42" t="n"/>
    </row>
    <row r="1371">
      <c r="A1371" s="42" t="n"/>
    </row>
    <row r="1372">
      <c r="A1372" s="42" t="n"/>
    </row>
    <row r="1373">
      <c r="A1373" s="42" t="n"/>
    </row>
    <row r="1374">
      <c r="A1374" s="42" t="n"/>
    </row>
    <row r="1375">
      <c r="A1375" s="42" t="n"/>
    </row>
    <row r="1376">
      <c r="A1376" s="42" t="n"/>
    </row>
    <row r="1377">
      <c r="A1377" s="42" t="n"/>
    </row>
    <row r="1378">
      <c r="A1378" s="42" t="n"/>
    </row>
    <row r="1379">
      <c r="A1379" s="42" t="n"/>
    </row>
    <row r="1380">
      <c r="A1380" s="42" t="n"/>
    </row>
    <row r="1381">
      <c r="A1381" s="42" t="n"/>
    </row>
    <row r="1382">
      <c r="A1382" s="42" t="n"/>
    </row>
    <row r="1383">
      <c r="A1383" s="42" t="n"/>
    </row>
    <row r="1384">
      <c r="A1384" s="42" t="n"/>
    </row>
    <row r="1385">
      <c r="A1385" s="42" t="n"/>
    </row>
    <row r="1386">
      <c r="A1386" s="42" t="n"/>
    </row>
    <row r="1387">
      <c r="A1387" s="42" t="n"/>
    </row>
    <row r="1388">
      <c r="A1388" s="42" t="n"/>
    </row>
    <row r="1389">
      <c r="A1389" s="42" t="n"/>
    </row>
    <row r="1390">
      <c r="A1390" s="42" t="n"/>
    </row>
    <row r="1391">
      <c r="A1391" s="42" t="n"/>
    </row>
    <row r="1392">
      <c r="A1392" s="42" t="n"/>
    </row>
    <row r="1393">
      <c r="A1393" s="42" t="n"/>
    </row>
    <row r="1394">
      <c r="A1394" s="42" t="n"/>
    </row>
    <row r="1395">
      <c r="A1395" s="42" t="n"/>
    </row>
    <row r="1396">
      <c r="A1396" s="42" t="n"/>
    </row>
    <row r="1397">
      <c r="A1397" s="42" t="n"/>
    </row>
    <row r="1398">
      <c r="A1398" s="42" t="n"/>
    </row>
    <row r="1399">
      <c r="A1399" s="42" t="n"/>
    </row>
    <row r="1400">
      <c r="A1400" s="42" t="n"/>
    </row>
    <row r="1401">
      <c r="A1401" s="42" t="n"/>
    </row>
    <row r="1402">
      <c r="A1402" s="42" t="n"/>
    </row>
    <row r="1403">
      <c r="A1403" s="42" t="n"/>
    </row>
    <row r="1404">
      <c r="A1404" s="42" t="n"/>
    </row>
    <row r="1405">
      <c r="A1405" s="42" t="n"/>
    </row>
    <row r="1406">
      <c r="A1406" s="42" t="n"/>
    </row>
    <row r="1407">
      <c r="A1407" s="42" t="n"/>
    </row>
    <row r="1408">
      <c r="A1408" s="42" t="n"/>
    </row>
    <row r="1409">
      <c r="A1409" s="42" t="n"/>
    </row>
    <row r="1410">
      <c r="A1410" s="42" t="n"/>
    </row>
    <row r="1411">
      <c r="A1411" s="42" t="n"/>
    </row>
    <row r="1412">
      <c r="A1412" s="42" t="n"/>
    </row>
    <row r="1413">
      <c r="A1413" s="42" t="n"/>
    </row>
    <row r="1414">
      <c r="A1414" s="42" t="n"/>
    </row>
    <row r="1415">
      <c r="A1415" s="42" t="n"/>
    </row>
    <row r="1416">
      <c r="A1416" s="42" t="n"/>
    </row>
    <row r="1417">
      <c r="A1417" s="42" t="n"/>
    </row>
    <row r="1418">
      <c r="A1418" s="42" t="n"/>
    </row>
    <row r="1419">
      <c r="A1419" s="42" t="n"/>
    </row>
    <row r="1420">
      <c r="A1420" s="42" t="n"/>
    </row>
    <row r="1421">
      <c r="A1421" s="42" t="n"/>
    </row>
    <row r="1422">
      <c r="A1422" s="42" t="n"/>
    </row>
    <row r="1423">
      <c r="A1423" s="42" t="n"/>
    </row>
    <row r="1424">
      <c r="A1424" s="42" t="n"/>
    </row>
    <row r="1425">
      <c r="A1425" s="42" t="n"/>
    </row>
    <row r="1426">
      <c r="A1426" s="42" t="n"/>
    </row>
    <row r="1427">
      <c r="A1427" s="42" t="n"/>
    </row>
    <row r="1428">
      <c r="A1428" s="42" t="n"/>
    </row>
    <row r="1429">
      <c r="A1429" s="42" t="n"/>
    </row>
    <row r="1430">
      <c r="A1430" s="42" t="n"/>
    </row>
    <row r="1431">
      <c r="A1431" s="42" t="n"/>
    </row>
    <row r="1432">
      <c r="A1432" s="42" t="n"/>
    </row>
    <row r="1433">
      <c r="A1433" s="42" t="n"/>
    </row>
    <row r="1434">
      <c r="A1434" s="42" t="n"/>
    </row>
    <row r="1435">
      <c r="A1435" s="42" t="n"/>
    </row>
    <row r="1436">
      <c r="A1436" s="42" t="n"/>
    </row>
    <row r="1437">
      <c r="A1437" s="42" t="n"/>
    </row>
    <row r="1438">
      <c r="A1438" s="42" t="n"/>
    </row>
    <row r="1439">
      <c r="A1439" s="42" t="n"/>
    </row>
    <row r="1440">
      <c r="A1440" s="42" t="n"/>
    </row>
    <row r="1441">
      <c r="A1441" s="42" t="n"/>
    </row>
    <row r="1442">
      <c r="A1442" s="42" t="n"/>
    </row>
    <row r="1443">
      <c r="A1443" s="42" t="n"/>
    </row>
    <row r="1444">
      <c r="A1444" s="42" t="n"/>
    </row>
    <row r="1445">
      <c r="A1445" s="42" t="n"/>
    </row>
    <row r="1446">
      <c r="A1446" s="42" t="n"/>
    </row>
    <row r="1447">
      <c r="A1447" s="42" t="n"/>
    </row>
    <row r="1448">
      <c r="A1448" s="42" t="n"/>
    </row>
    <row r="1449">
      <c r="A1449" s="42" t="n"/>
    </row>
    <row r="1450">
      <c r="A1450" s="42" t="n"/>
    </row>
    <row r="1451">
      <c r="A1451" s="42" t="n"/>
    </row>
    <row r="1452">
      <c r="A1452" s="42" t="n"/>
    </row>
    <row r="1453">
      <c r="A1453" s="42" t="n"/>
    </row>
    <row r="1454">
      <c r="A1454" s="42" t="n"/>
    </row>
    <row r="1455">
      <c r="A1455" s="42" t="n"/>
    </row>
    <row r="1456">
      <c r="A1456" s="42" t="n"/>
    </row>
    <row r="1457">
      <c r="A1457" s="42" t="n"/>
    </row>
    <row r="1458">
      <c r="A1458" s="42" t="n"/>
    </row>
    <row r="1459">
      <c r="A1459" s="42" t="n"/>
    </row>
    <row r="1460">
      <c r="A1460" s="42" t="n"/>
    </row>
    <row r="1461">
      <c r="A1461" s="42" t="n"/>
    </row>
    <row r="1462">
      <c r="A1462" s="42" t="n"/>
    </row>
    <row r="1463">
      <c r="A1463" s="42" t="n"/>
    </row>
    <row r="1464">
      <c r="A1464" s="42" t="n"/>
    </row>
    <row r="1465">
      <c r="A1465" s="42" t="n"/>
    </row>
    <row r="1466">
      <c r="A1466" s="42" t="n"/>
    </row>
    <row r="1467">
      <c r="A1467" s="42" t="n"/>
    </row>
    <row r="1468">
      <c r="A1468" s="42" t="n"/>
    </row>
    <row r="1469">
      <c r="A1469" s="42" t="n"/>
    </row>
    <row r="1470">
      <c r="A1470" s="42" t="n"/>
    </row>
    <row r="1471">
      <c r="A1471" s="42" t="n"/>
    </row>
    <row r="1472">
      <c r="A1472" s="42" t="n"/>
    </row>
    <row r="1473">
      <c r="A1473" s="42" t="n"/>
    </row>
    <row r="1474">
      <c r="A1474" s="42" t="n"/>
    </row>
    <row r="1475">
      <c r="A1475" s="42" t="n"/>
    </row>
    <row r="1476">
      <c r="A1476" s="42" t="n"/>
    </row>
    <row r="1477">
      <c r="A1477" s="42" t="n"/>
    </row>
    <row r="1478">
      <c r="A1478" s="42" t="n"/>
    </row>
    <row r="1479">
      <c r="A1479" s="42" t="n"/>
    </row>
    <row r="1480">
      <c r="A1480" s="42" t="n"/>
    </row>
    <row r="1481">
      <c r="A1481" s="42" t="n"/>
    </row>
    <row r="1482">
      <c r="A1482" s="42" t="n"/>
    </row>
    <row r="1483">
      <c r="A1483" s="42" t="n"/>
    </row>
    <row r="1484">
      <c r="A1484" s="42" t="n"/>
    </row>
    <row r="1485">
      <c r="A1485" s="42" t="n"/>
    </row>
    <row r="1486">
      <c r="A1486" s="42" t="n"/>
    </row>
    <row r="1487">
      <c r="A1487" s="42" t="n"/>
    </row>
    <row r="1488">
      <c r="A1488" s="42" t="n"/>
    </row>
    <row r="1489">
      <c r="A1489" s="42" t="n"/>
    </row>
    <row r="1490">
      <c r="A1490" s="42" t="n"/>
    </row>
    <row r="1491">
      <c r="A1491" s="42" t="n"/>
    </row>
    <row r="1492">
      <c r="A1492" s="42" t="n"/>
    </row>
    <row r="1493">
      <c r="A1493" s="42" t="n"/>
    </row>
    <row r="1494">
      <c r="A1494" s="42" t="n"/>
    </row>
    <row r="1495">
      <c r="A1495" s="42" t="n"/>
    </row>
    <row r="1496">
      <c r="A1496" s="42" t="n"/>
    </row>
    <row r="1497">
      <c r="A1497" s="42" t="n"/>
    </row>
    <row r="1498">
      <c r="A1498" s="42" t="n"/>
    </row>
    <row r="1499">
      <c r="A1499" s="42" t="n"/>
    </row>
    <row r="1500">
      <c r="A1500" s="42" t="n"/>
    </row>
    <row r="1501">
      <c r="A1501" s="42" t="n"/>
    </row>
    <row r="1502">
      <c r="A1502" s="42" t="n"/>
    </row>
    <row r="1503">
      <c r="A1503" s="42" t="n"/>
    </row>
    <row r="1504">
      <c r="A1504" s="42" t="n"/>
    </row>
    <row r="1505">
      <c r="A1505" s="42" t="n"/>
    </row>
    <row r="1506">
      <c r="A1506" s="42" t="n"/>
    </row>
    <row r="1507">
      <c r="A1507" s="42" t="n"/>
    </row>
    <row r="1508">
      <c r="A1508" s="42" t="n"/>
    </row>
    <row r="1509">
      <c r="A1509" s="42" t="n"/>
    </row>
    <row r="1510">
      <c r="A1510" s="42" t="n"/>
    </row>
    <row r="1511">
      <c r="A1511" s="42" t="n"/>
    </row>
    <row r="1512">
      <c r="A1512" s="42" t="n"/>
    </row>
    <row r="1513">
      <c r="A1513" s="42" t="n"/>
    </row>
    <row r="1514">
      <c r="A1514" s="42" t="n"/>
    </row>
    <row r="1515">
      <c r="A1515" s="42" t="n"/>
    </row>
    <row r="1516">
      <c r="A1516" s="42" t="n"/>
    </row>
    <row r="1517">
      <c r="A1517" s="42" t="n"/>
    </row>
    <row r="1518">
      <c r="A1518" s="42" t="n"/>
    </row>
    <row r="1519">
      <c r="A1519" s="42" t="n"/>
    </row>
    <row r="1520">
      <c r="A1520" s="42" t="n"/>
    </row>
    <row r="1521">
      <c r="A1521" s="42" t="n"/>
    </row>
    <row r="1522">
      <c r="A1522" s="42" t="n"/>
    </row>
    <row r="1523">
      <c r="A1523" s="42" t="n"/>
    </row>
    <row r="1524">
      <c r="A1524" s="42" t="n"/>
    </row>
    <row r="1525">
      <c r="A1525" s="42" t="n"/>
    </row>
    <row r="1526">
      <c r="A1526" s="42" t="n"/>
    </row>
    <row r="1527">
      <c r="A1527" s="42" t="n"/>
    </row>
    <row r="1528">
      <c r="A1528" s="42" t="n"/>
    </row>
    <row r="1529">
      <c r="A1529" s="42" t="n"/>
    </row>
    <row r="1530">
      <c r="A1530" s="42" t="n"/>
    </row>
    <row r="1531">
      <c r="A1531" s="42" t="n"/>
    </row>
    <row r="1532">
      <c r="A1532" s="42" t="n"/>
    </row>
    <row r="1533">
      <c r="A1533" s="42" t="n"/>
    </row>
    <row r="1534">
      <c r="A1534" s="42" t="n"/>
    </row>
    <row r="1535">
      <c r="A1535" s="42" t="n"/>
    </row>
    <row r="1536">
      <c r="A1536" s="42" t="n"/>
    </row>
    <row r="1537">
      <c r="A1537" s="42" t="n"/>
    </row>
    <row r="1538">
      <c r="A1538" s="42" t="n"/>
    </row>
    <row r="1539">
      <c r="A1539" s="42" t="n"/>
    </row>
    <row r="1540">
      <c r="A1540" s="42" t="n"/>
    </row>
    <row r="1541">
      <c r="A1541" s="42" t="n"/>
    </row>
    <row r="1542">
      <c r="A1542" s="42" t="n"/>
    </row>
    <row r="1543">
      <c r="A1543" s="42" t="n"/>
    </row>
    <row r="1544">
      <c r="A1544" s="42" t="n"/>
    </row>
    <row r="1545">
      <c r="A1545" s="42" t="n"/>
    </row>
    <row r="1546">
      <c r="A1546" s="42" t="n"/>
    </row>
    <row r="1547">
      <c r="A1547" s="42" t="n"/>
    </row>
    <row r="1548">
      <c r="A1548" s="42" t="n"/>
    </row>
    <row r="1549">
      <c r="A1549" s="42" t="n"/>
    </row>
    <row r="1550">
      <c r="A1550" s="42" t="n"/>
    </row>
    <row r="1551">
      <c r="A1551" s="42" t="n"/>
    </row>
    <row r="1552">
      <c r="A1552" s="42" t="n"/>
    </row>
    <row r="1553">
      <c r="A1553" s="42" t="n"/>
    </row>
    <row r="1554">
      <c r="A1554" s="42" t="n"/>
    </row>
    <row r="1555">
      <c r="A1555" s="42" t="n"/>
    </row>
    <row r="1556">
      <c r="A1556" s="42" t="n"/>
    </row>
    <row r="1557">
      <c r="A1557" s="42" t="n"/>
    </row>
    <row r="1558">
      <c r="A1558" s="42" t="n"/>
    </row>
    <row r="1559">
      <c r="A1559" s="42" t="n"/>
    </row>
    <row r="1560">
      <c r="A1560" s="42" t="n"/>
    </row>
    <row r="1561">
      <c r="A1561" s="42" t="n"/>
    </row>
    <row r="1562">
      <c r="A1562" s="42" t="n"/>
    </row>
    <row r="1563">
      <c r="A1563" s="42" t="n"/>
    </row>
    <row r="1564">
      <c r="A1564" s="42" t="n"/>
    </row>
    <row r="1565">
      <c r="A1565" s="42" t="n"/>
    </row>
    <row r="1566">
      <c r="A1566" s="42" t="n"/>
    </row>
    <row r="1567">
      <c r="A1567" s="42" t="n"/>
    </row>
    <row r="1568">
      <c r="A1568" s="42" t="n"/>
    </row>
    <row r="1569">
      <c r="A1569" s="42" t="n"/>
    </row>
    <row r="1570">
      <c r="A1570" s="42" t="n"/>
    </row>
    <row r="1571">
      <c r="A1571" s="42" t="n"/>
    </row>
    <row r="1572">
      <c r="A1572" s="42" t="n"/>
    </row>
    <row r="1573">
      <c r="A1573" s="42" t="n"/>
    </row>
    <row r="1574">
      <c r="A1574" s="42" t="n"/>
    </row>
    <row r="1575">
      <c r="A1575" s="42" t="n"/>
    </row>
    <row r="1576">
      <c r="A1576" s="42" t="n"/>
    </row>
    <row r="1577">
      <c r="A1577" s="42" t="n"/>
    </row>
    <row r="1578">
      <c r="A1578" s="42" t="n"/>
    </row>
    <row r="1579">
      <c r="A1579" s="42" t="n"/>
    </row>
    <row r="1580">
      <c r="A1580" s="42" t="n"/>
    </row>
    <row r="1581">
      <c r="A1581" s="42" t="n"/>
    </row>
    <row r="1582">
      <c r="A1582" s="42" t="n"/>
    </row>
    <row r="1583">
      <c r="A1583" s="42" t="n"/>
    </row>
    <row r="1584">
      <c r="A1584" s="42" t="n"/>
    </row>
    <row r="1585">
      <c r="A1585" s="42" t="n"/>
    </row>
    <row r="1586">
      <c r="A1586" s="42" t="n"/>
    </row>
    <row r="1587">
      <c r="A1587" s="42" t="n"/>
    </row>
    <row r="1588">
      <c r="A1588" s="42" t="n"/>
    </row>
    <row r="1589">
      <c r="A1589" s="42" t="n"/>
    </row>
    <row r="1590">
      <c r="A1590" s="42" t="n"/>
    </row>
    <row r="1591">
      <c r="A1591" s="42" t="n"/>
    </row>
    <row r="1592">
      <c r="A1592" s="42" t="n"/>
    </row>
    <row r="1593">
      <c r="A1593" s="42" t="n"/>
    </row>
    <row r="1594">
      <c r="A1594" s="42" t="n"/>
    </row>
    <row r="1595">
      <c r="A1595" s="42" t="n"/>
    </row>
    <row r="1596">
      <c r="A1596" s="42" t="n"/>
    </row>
    <row r="1597">
      <c r="A1597" s="42" t="n"/>
    </row>
    <row r="1598">
      <c r="A1598" s="42" t="n"/>
    </row>
    <row r="1599">
      <c r="A1599" s="42" t="n"/>
    </row>
    <row r="1600">
      <c r="A1600" s="42" t="n"/>
    </row>
    <row r="1601">
      <c r="A1601" s="42" t="n"/>
    </row>
    <row r="1602">
      <c r="A1602" s="42" t="n"/>
    </row>
    <row r="1603">
      <c r="A1603" s="42" t="n"/>
    </row>
    <row r="1604">
      <c r="A1604" s="42" t="n"/>
    </row>
    <row r="1605">
      <c r="A1605" s="42" t="n"/>
    </row>
    <row r="1606">
      <c r="A1606" s="42" t="n"/>
    </row>
    <row r="1607">
      <c r="A1607" s="42" t="n"/>
    </row>
    <row r="1608">
      <c r="A1608" s="42" t="n"/>
    </row>
    <row r="1609">
      <c r="A1609" s="42" t="n"/>
    </row>
    <row r="1610">
      <c r="A1610" s="42" t="n"/>
    </row>
    <row r="1611">
      <c r="A1611" s="42" t="n"/>
    </row>
    <row r="1612">
      <c r="A1612" s="42" t="n"/>
    </row>
    <row r="1613">
      <c r="A1613" s="42" t="n"/>
    </row>
    <row r="1614">
      <c r="A1614" s="42" t="n"/>
    </row>
    <row r="1615">
      <c r="A1615" s="42" t="n"/>
    </row>
    <row r="1616">
      <c r="A1616" s="42" t="n"/>
    </row>
    <row r="1617">
      <c r="A1617" s="42" t="n"/>
    </row>
    <row r="1618">
      <c r="A1618" s="42" t="n"/>
    </row>
    <row r="1619">
      <c r="A1619" s="42" t="n"/>
    </row>
    <row r="1620">
      <c r="A1620" s="42" t="n"/>
    </row>
    <row r="1621">
      <c r="A1621" s="42" t="n"/>
    </row>
    <row r="1622">
      <c r="A1622" s="42" t="n"/>
    </row>
    <row r="1623">
      <c r="A1623" s="42" t="n"/>
    </row>
    <row r="1624">
      <c r="A1624" s="42" t="n"/>
    </row>
    <row r="1625">
      <c r="A1625" s="42" t="n"/>
    </row>
    <row r="1626">
      <c r="A1626" s="42" t="n"/>
    </row>
    <row r="1627">
      <c r="A1627" s="42" t="n"/>
    </row>
    <row r="1628">
      <c r="A1628" s="42" t="n"/>
    </row>
    <row r="1629">
      <c r="A1629" s="42" t="n"/>
    </row>
    <row r="1630">
      <c r="A1630" s="42" t="n"/>
    </row>
    <row r="1631">
      <c r="A1631" s="42" t="n"/>
    </row>
    <row r="1632">
      <c r="A1632" s="42" t="n"/>
    </row>
    <row r="1633">
      <c r="A1633" s="42" t="n"/>
    </row>
    <row r="1634">
      <c r="A1634" s="42" t="n"/>
    </row>
    <row r="1635">
      <c r="A1635" s="42" t="n"/>
    </row>
    <row r="1636">
      <c r="A1636" s="42" t="n"/>
    </row>
    <row r="1637">
      <c r="A1637" s="42" t="n"/>
    </row>
    <row r="1638">
      <c r="A1638" s="42" t="n"/>
    </row>
    <row r="1639">
      <c r="A1639" s="42" t="n"/>
    </row>
    <row r="1640">
      <c r="A1640" s="42" t="n"/>
    </row>
    <row r="1641">
      <c r="A1641" s="42" t="n"/>
    </row>
    <row r="1642">
      <c r="A1642" s="42" t="n"/>
    </row>
    <row r="1643">
      <c r="A1643" s="42" t="n"/>
    </row>
    <row r="1644">
      <c r="A1644" s="42" t="n"/>
    </row>
    <row r="1645">
      <c r="A1645" s="42" t="n"/>
    </row>
    <row r="1646">
      <c r="A1646" s="42" t="n"/>
    </row>
    <row r="1647">
      <c r="A1647" s="42" t="n"/>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2:N2"/>
    <mergeCell ref="A1:N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cols>
    <col width="16" customWidth="1" style="51" min="1" max="1"/>
    <col width="28" customWidth="1" style="51" min="2" max="2"/>
    <col width="24" customWidth="1" style="51" min="3" max="3"/>
    <col width="16" customWidth="1" style="51" min="4" max="4"/>
    <col width="28" customWidth="1" style="51" min="5" max="5"/>
    <col width="34" customWidth="1" style="51" min="6" max="6"/>
    <col width="14" customWidth="1" style="51" min="7" max="7"/>
    <col width="8" customWidth="1" style="51" min="8" max="8"/>
    <col width="26" customWidth="1" style="51" min="9" max="9"/>
    <col width="36" customWidth="1" style="51" min="10" max="10"/>
    <col width="30" customWidth="1" style="51" min="11" max="11"/>
    <col width="30" customWidth="1" style="51" min="12" max="12"/>
    <col width="32" customWidth="1" style="51" min="13" max="13"/>
  </cols>
  <sheetData>
    <row r="1" ht="28" customHeight="1" s="51">
      <c r="A1" s="223" t="inlineStr">
        <is>
          <t>ガラス制限ルール｜ページ×記号・重量・機能確認｜サーモスL v0.5</t>
        </is>
      </c>
      <c r="B1" s="41" t="n"/>
      <c r="C1" s="41" t="n"/>
      <c r="D1" s="41" t="n"/>
      <c r="E1" s="41" t="n"/>
      <c r="F1" s="41" t="n"/>
      <c r="G1" s="41" t="n"/>
      <c r="H1" s="41" t="n"/>
      <c r="I1" s="41" t="n"/>
      <c r="J1" s="41" t="n"/>
      <c r="K1" s="41" t="n"/>
      <c r="L1" s="41" t="n"/>
      <c r="M1" s="41" t="n"/>
    </row>
    <row r="2" ht="28" customHeight="1" s="51">
      <c r="A2" s="229" t="inlineStr">
        <is>
          <t>★/☆等をシリーズ共通の固定意味として扱わない。価格表はページ・障子構成ごとに凡例が異なるため、06_サイズS:V → 08A → 08D のページ×記号参照を正本とする。</t>
        </is>
      </c>
      <c r="B2" s="41" t="n"/>
      <c r="C2" s="41" t="n"/>
      <c r="D2" s="41" t="n"/>
      <c r="E2" s="41" t="n"/>
      <c r="F2" s="41" t="n"/>
      <c r="G2" s="41" t="n"/>
      <c r="H2" s="41" t="n"/>
      <c r="I2" s="41" t="n"/>
      <c r="J2" s="41" t="n"/>
      <c r="K2" s="41" t="n"/>
      <c r="L2" s="41" t="n"/>
      <c r="M2" s="41" t="n"/>
    </row>
    <row r="3">
      <c r="A3" s="100" t="inlineStr">
        <is>
          <t>limit_id</t>
        </is>
      </c>
      <c r="B3" s="100" t="inlineStr">
        <is>
          <t>対象窓種ID</t>
        </is>
      </c>
      <c r="C3" s="100" t="inlineStr">
        <is>
          <t>対象仕様ID</t>
        </is>
      </c>
      <c r="D3" s="100" t="inlineStr">
        <is>
          <t>制限分類</t>
        </is>
      </c>
      <c r="E3" s="100" t="inlineStr">
        <is>
          <t>条件</t>
        </is>
      </c>
      <c r="F3" s="100" t="inlineStr">
        <is>
          <t>制御内容</t>
        </is>
      </c>
      <c r="G3" s="100" t="inlineStr">
        <is>
          <t>判定</t>
        </is>
      </c>
      <c r="H3" s="100" t="inlineStr">
        <is>
          <t>有効</t>
        </is>
      </c>
      <c r="I3" s="100" t="inlineStr">
        <is>
          <t>登録状態</t>
        </is>
      </c>
      <c r="J3" s="100" t="inlineStr">
        <is>
          <t>出典</t>
        </is>
      </c>
      <c r="K3" s="100" t="inlineStr">
        <is>
          <t>アプリ動作</t>
        </is>
      </c>
      <c r="L3" s="100" t="inlineStr">
        <is>
          <t>次工程</t>
        </is>
      </c>
      <c r="M3" s="100" t="inlineStr">
        <is>
          <t>備考</t>
        </is>
      </c>
    </row>
    <row r="4">
      <c r="A4" s="43" t="inlineStr">
        <is>
          <t>GLR-SL-001</t>
        </is>
      </c>
      <c r="B4" s="43" t="inlineStr">
        <is>
          <t>引違い窓系</t>
        </is>
      </c>
      <c r="C4" s="43" t="inlineStr">
        <is>
          <t>*</t>
        </is>
      </c>
      <c r="D4" s="43" t="inlineStr">
        <is>
          <t>耐風圧</t>
        </is>
      </c>
      <c r="E4" s="43" t="inlineStr">
        <is>
          <t>規格表★記号サイズ</t>
        </is>
      </c>
      <c r="F4" s="43" t="inlineStr">
        <is>
          <t>外障子は4+A+4以上</t>
        </is>
      </c>
      <c r="G4" s="43" t="inlineStr">
        <is>
          <t>条件付可</t>
        </is>
      </c>
      <c r="H4" s="43" t="b">
        <v>0</v>
      </c>
      <c r="I4" s="43" t="inlineStr">
        <is>
          <t>v0.5で廃止：固定意味を使用しない</t>
        </is>
      </c>
      <c r="J4" s="43" t="inlineStr">
        <is>
          <t>SAMOSⅡ-H/L 商品カタログ 規格サイズ/耐風圧欄</t>
        </is>
      </c>
      <c r="K4" s="43" t="inlineStr">
        <is>
          <t>条件未満の構成を候補から除外</t>
        </is>
      </c>
      <c r="L4" s="43" t="inlineStr">
        <is>
          <t>★対象size_idへ展開</t>
        </is>
      </c>
      <c r="M4" s="43" t="inlineStr">
        <is>
          <t>対象サイズの記号紐付けが必要</t>
        </is>
      </c>
    </row>
    <row r="5">
      <c r="A5" s="43" t="inlineStr">
        <is>
          <t>GLR-SL-002</t>
        </is>
      </c>
      <c r="B5" s="43" t="inlineStr">
        <is>
          <t>引違い窓系</t>
        </is>
      </c>
      <c r="C5" s="43" t="inlineStr">
        <is>
          <t>*</t>
        </is>
      </c>
      <c r="D5" s="43" t="inlineStr">
        <is>
          <t>耐風圧</t>
        </is>
      </c>
      <c r="E5" s="43" t="inlineStr">
        <is>
          <t>規格表☆記号サイズ</t>
        </is>
      </c>
      <c r="F5" s="43" t="inlineStr">
        <is>
          <t>外障子は5+A+5以上</t>
        </is>
      </c>
      <c r="G5" s="43" t="inlineStr">
        <is>
          <t>条件付可</t>
        </is>
      </c>
      <c r="H5" s="43" t="b">
        <v>0</v>
      </c>
      <c r="I5" s="43" t="inlineStr">
        <is>
          <t>v0.5で廃止：固定意味を使用しない</t>
        </is>
      </c>
      <c r="J5" s="43" t="inlineStr">
        <is>
          <t>SAMOSⅡ-H/L 商品カタログ 規格サイズ/耐風圧欄</t>
        </is>
      </c>
      <c r="K5" s="43" t="inlineStr">
        <is>
          <t>条件未満の構成を候補から除外</t>
        </is>
      </c>
      <c r="L5" s="43" t="inlineStr">
        <is>
          <t>☆対象size_idへ展開</t>
        </is>
      </c>
      <c r="M5" s="43" t="inlineStr">
        <is>
          <t>対象サイズの記号紐付けが必要</t>
        </is>
      </c>
    </row>
    <row r="6">
      <c r="A6" s="43" t="inlineStr">
        <is>
          <t>GLR-SL-003</t>
        </is>
      </c>
      <c r="B6" s="43" t="inlineStr">
        <is>
          <t>WT-SL-AGE-SAGE-FS</t>
        </is>
      </c>
      <c r="C6" s="43" t="inlineStr">
        <is>
          <t>*</t>
        </is>
      </c>
      <c r="D6" s="43" t="inlineStr">
        <is>
          <t>障子重量</t>
        </is>
      </c>
      <c r="E6" s="43" t="inlineStr">
        <is>
          <t>ガラス選択後の障子重量</t>
        </is>
      </c>
      <c r="F6" s="43" t="inlineStr">
        <is>
          <t>1.4kg以上13kg以下</t>
        </is>
      </c>
      <c r="G6" s="43" t="inlineStr">
        <is>
          <t>条件付可</t>
        </is>
      </c>
      <c r="H6" s="43" t="b">
        <v>1</v>
      </c>
      <c r="I6" s="43" t="inlineStr">
        <is>
          <t>v0.6計算実装済み</t>
        </is>
      </c>
      <c r="J6" s="43" t="inlineStr">
        <is>
          <t>商品カタログ P194</t>
        </is>
      </c>
      <c r="K6" s="43" t="inlineStr">
        <is>
          <t>08Fで重量・バランサーを自動判定</t>
        </is>
      </c>
      <c r="L6" s="43" t="inlineStr">
        <is>
          <t>完了</t>
        </is>
      </c>
      <c r="M6" s="43" t="inlineStr">
        <is>
          <t>1.4～13kg／H区分バランサー</t>
        </is>
      </c>
    </row>
    <row r="7">
      <c r="A7" s="43" t="inlineStr">
        <is>
          <t>GLR-SL-004</t>
        </is>
      </c>
      <c r="B7" s="43" t="inlineStr">
        <is>
          <t>WT-SL-MENKOSHI-AGE-FS</t>
        </is>
      </c>
      <c r="C7" s="43" t="inlineStr">
        <is>
          <t>*</t>
        </is>
      </c>
      <c r="D7" s="43" t="inlineStr">
        <is>
          <t>障子重量</t>
        </is>
      </c>
      <c r="E7" s="43" t="inlineStr">
        <is>
          <t>ガラス選択後の障子重量</t>
        </is>
      </c>
      <c r="F7" s="43" t="inlineStr">
        <is>
          <t>1.4kg以上13kg以下</t>
        </is>
      </c>
      <c r="G7" s="43" t="inlineStr">
        <is>
          <t>条件付可</t>
        </is>
      </c>
      <c r="H7" s="43" t="b">
        <v>1</v>
      </c>
      <c r="I7" s="43" t="inlineStr">
        <is>
          <t>v0.6計算実装済み</t>
        </is>
      </c>
      <c r="J7" s="43" t="inlineStr">
        <is>
          <t>商品カタログ P194</t>
        </is>
      </c>
      <c r="K7" s="43" t="inlineStr">
        <is>
          <t>08Fで重量・バランサーを自動判定</t>
        </is>
      </c>
      <c r="L7" s="43" t="inlineStr">
        <is>
          <t>完了</t>
        </is>
      </c>
      <c r="M7" s="43" t="inlineStr">
        <is>
          <t>面格子付も同じ計算ロジック</t>
        </is>
      </c>
    </row>
    <row r="8">
      <c r="A8" s="43" t="inlineStr">
        <is>
          <t>GLR-SL-005</t>
        </is>
      </c>
      <c r="B8" s="43" t="inlineStr">
        <is>
          <t>*</t>
        </is>
      </c>
      <c r="C8" s="43" t="inlineStr">
        <is>
          <t>GL-SL-OPT-MILKY</t>
        </is>
      </c>
      <c r="D8" s="43" t="inlineStr">
        <is>
          <t>機能依存</t>
        </is>
      </c>
      <c r="E8" s="43" t="inlineStr">
        <is>
          <t>安全合わせ未選択</t>
        </is>
      </c>
      <c r="F8" s="43" t="inlineStr">
        <is>
          <t>乳白タイプは候補非表示</t>
        </is>
      </c>
      <c r="G8" s="43" t="inlineStr">
        <is>
          <t>不可</t>
        </is>
      </c>
      <c r="H8" s="43" t="b">
        <v>1</v>
      </c>
      <c r="I8" s="43" t="inlineStr">
        <is>
          <t>体系制御</t>
        </is>
      </c>
      <c r="J8" s="43" t="inlineStr">
        <is>
          <t>ガラス商品体系</t>
        </is>
      </c>
      <c r="K8" s="43" t="inlineStr">
        <is>
          <t>安全合わせ選択時のみ表示</t>
        </is>
      </c>
      <c r="L8" s="43" t="inlineStr">
        <is>
          <t>完了</t>
        </is>
      </c>
      <c r="M8" s="43" t="str"/>
    </row>
    <row r="9">
      <c r="A9" s="43" t="inlineStr">
        <is>
          <t>GLR-SL-006</t>
        </is>
      </c>
      <c r="B9" s="43" t="inlineStr">
        <is>
          <t>*</t>
        </is>
      </c>
      <c r="C9" s="43" t="inlineStr">
        <is>
          <t>GL-SL-OPT-TEMPERED</t>
        </is>
      </c>
      <c r="D9" s="43" t="inlineStr">
        <is>
          <t>サイズ/品種</t>
        </is>
      </c>
      <c r="E9" s="43" t="inlineStr">
        <is>
          <t>具体的組合せ条件未展開</t>
        </is>
      </c>
      <c r="F9" s="43" t="inlineStr">
        <is>
          <t>自動確定禁止</t>
        </is>
      </c>
      <c r="G9" s="43" t="inlineStr">
        <is>
          <t>BLOCK</t>
        </is>
      </c>
      <c r="H9" s="43" t="b">
        <v>1</v>
      </c>
      <c r="I9" s="43" t="inlineStr">
        <is>
          <t>詳細条件投入待ち</t>
        </is>
      </c>
      <c r="J9" s="43" t="inlineStr">
        <is>
          <t>SM3100 P50-57/規格表</t>
        </is>
      </c>
      <c r="K9" s="43" t="inlineStr">
        <is>
          <t>候補表示は要確認付き</t>
        </is>
      </c>
      <c r="L9" s="43" t="inlineStr">
        <is>
          <t>窓種×サイズ条件を投入</t>
        </is>
      </c>
      <c r="M9" s="43" t="str"/>
    </row>
    <row r="10">
      <c r="A10" s="43" t="inlineStr">
        <is>
          <t>GLR-SL-007</t>
        </is>
      </c>
      <c r="B10" s="43" t="inlineStr">
        <is>
          <t>*</t>
        </is>
      </c>
      <c r="C10" s="43" t="inlineStr">
        <is>
          <t>GL-SL-FUNC-GREEN-HS</t>
        </is>
      </c>
      <c r="D10" s="43" t="inlineStr">
        <is>
          <t>機能ガラス</t>
        </is>
      </c>
      <c r="E10" s="43" t="inlineStr">
        <is>
          <t>窓種・サイズ別可否</t>
        </is>
      </c>
      <c r="F10" s="43" t="inlineStr">
        <is>
          <t>個別可否表に従う</t>
        </is>
      </c>
      <c r="G10" s="43" t="inlineStr">
        <is>
          <t>条件付可</t>
        </is>
      </c>
      <c r="H10" s="43" t="b">
        <v>1</v>
      </c>
      <c r="I10" s="43" t="inlineStr">
        <is>
          <t>体系確認済み／詳細連動待ち</t>
        </is>
      </c>
      <c r="J10" s="43" t="inlineStr">
        <is>
          <t>SM3100 P50-57</t>
        </is>
      </c>
      <c r="K10" s="43" t="inlineStr">
        <is>
          <t>08Bでカテゴリ可でも最終判定を08Cで行う</t>
        </is>
      </c>
      <c r="L10" s="43" t="inlineStr">
        <is>
          <t>機能ガラスサイズ制約を投入</t>
        </is>
      </c>
      <c r="M10" s="43" t="str"/>
    </row>
    <row r="11">
      <c r="A11" s="43" t="inlineStr">
        <is>
          <t>GLR-SL-008</t>
        </is>
      </c>
      <c r="B11" s="43" t="inlineStr">
        <is>
          <t>*</t>
        </is>
      </c>
      <c r="C11" s="43" t="inlineStr">
        <is>
          <t>GL-SL-FUNC-HISOLAR</t>
        </is>
      </c>
      <c r="D11" s="43" t="inlineStr">
        <is>
          <t>機能ガラス</t>
        </is>
      </c>
      <c r="E11" s="43" t="inlineStr">
        <is>
          <t>窓種・サイズ別可否</t>
        </is>
      </c>
      <c r="F11" s="43" t="inlineStr">
        <is>
          <t>個別可否表に従う</t>
        </is>
      </c>
      <c r="G11" s="43" t="inlineStr">
        <is>
          <t>条件付可</t>
        </is>
      </c>
      <c r="H11" s="43" t="b">
        <v>1</v>
      </c>
      <c r="I11" s="43" t="inlineStr">
        <is>
          <t>体系確認済み／詳細連動待ち</t>
        </is>
      </c>
      <c r="J11" s="43" t="inlineStr">
        <is>
          <t>SM3100 P50-57</t>
        </is>
      </c>
      <c r="K11" s="43" t="inlineStr">
        <is>
          <t>08Bでカテゴリ可でも最終判定を08Cで行う</t>
        </is>
      </c>
      <c r="L11" s="43" t="inlineStr">
        <is>
          <t>機能ガラスサイズ制約を投入</t>
        </is>
      </c>
      <c r="M11" s="43" t="str"/>
    </row>
    <row r="12">
      <c r="A12" s="42" t="inlineStr">
        <is>
          <t>GLR-SL-009</t>
        </is>
      </c>
      <c r="B12" t="inlineStr">
        <is>
          <t>*</t>
        </is>
      </c>
      <c r="C12" t="inlineStr">
        <is>
          <t>*</t>
        </is>
      </c>
      <c r="D12" t="inlineStr">
        <is>
          <t>価格表ガラス記号</t>
        </is>
      </c>
      <c r="E12" t="inlineStr">
        <is>
          <t>06_サイズのガラス記号</t>
        </is>
      </c>
      <c r="F12" t="inlineStr">
        <is>
          <t>ページ×記号凡例を08Dから参照</t>
        </is>
      </c>
      <c r="G12" t="inlineStr">
        <is>
          <t>ページ別判定</t>
        </is>
      </c>
      <c r="H12" t="b">
        <v>1</v>
      </c>
      <c r="I12" t="inlineStr">
        <is>
          <t>v0.5本投入</t>
        </is>
      </c>
      <c r="J12" t="inlineStr">
        <is>
          <t>202604完成品価格表 各価格表下部凡例</t>
        </is>
      </c>
      <c r="K12" t="inlineStr">
        <is>
          <t>08A/08Dの凡例キーで候補ガラスを評価</t>
        </is>
      </c>
      <c r="L12" t="inlineStr">
        <is>
          <t>継続頁の凡例継承を段階的に原本確定</t>
        </is>
      </c>
      <c r="M12" t="inlineStr">
        <is>
          <t>同じ記号でもページ・障子種で意味が変わり得る</t>
        </is>
      </c>
    </row>
    <row r="13">
      <c r="A13" s="42" t="n"/>
    </row>
    <row r="14">
      <c r="A14" s="42" t="n"/>
    </row>
    <row r="15">
      <c r="A15" s="42" t="n"/>
    </row>
    <row r="16">
      <c r="A16" s="42" t="n"/>
    </row>
    <row r="17">
      <c r="A17" s="42" t="n"/>
    </row>
    <row r="18">
      <c r="A18" s="42" t="n"/>
    </row>
    <row r="19">
      <c r="A19" s="42" t="n"/>
    </row>
    <row r="20">
      <c r="A20" s="42" t="n"/>
    </row>
    <row r="21">
      <c r="A21" s="42" t="n"/>
    </row>
    <row r="22">
      <c r="A22" s="42" t="n"/>
    </row>
    <row r="23">
      <c r="A23" s="42" t="n"/>
    </row>
    <row r="24">
      <c r="A24" s="42" t="n"/>
    </row>
    <row r="25">
      <c r="A25" s="42" t="n"/>
    </row>
    <row r="26">
      <c r="A26" s="42" t="n"/>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sheetData>
  <mergeCells count="2">
    <mergeCell ref="A2:M2"/>
    <mergeCell ref="A1:M1"/>
  </mergeCells>
  <conditionalFormatting sqref="G4:G11">
    <cfRule type="expression" priority="1" dxfId="10">
      <formula>G4="BLOCK"</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200"/>
  <sheetViews>
    <sheetView workbookViewId="0">
      <selection activeCell="A1" sqref="A1"/>
    </sheetView>
  </sheetViews>
  <sheetFormatPr baseColWidth="8" defaultRowHeight="15"/>
  <cols>
    <col width="18" customWidth="1" style="51" min="1" max="1"/>
    <col width="24" customWidth="1" style="51" min="2" max="2"/>
    <col width="20" customWidth="1" style="51" min="3" max="3"/>
    <col width="18" customWidth="1" style="51" min="4" max="4"/>
    <col width="28" customWidth="1" style="51" min="5" max="5"/>
    <col width="8" customWidth="1" style="51" min="6" max="6"/>
    <col width="28" customWidth="1" style="51" min="7" max="7"/>
    <col width="32" customWidth="1" style="51" min="8" max="8"/>
    <col width="20" customWidth="1" style="51" min="9" max="9"/>
    <col width="10" customWidth="1" style="51" min="10" max="10"/>
    <col width="34" customWidth="1" style="51" min="11" max="11"/>
    <col width="18" customWidth="1" style="51" min="12" max="12"/>
  </cols>
  <sheetData>
    <row r="1" ht="28" customHeight="1" s="51">
      <c r="A1" s="223" t="inlineStr">
        <is>
          <t>網戸ネット種類マスター｜サーモスL v0.4</t>
        </is>
      </c>
      <c r="B1" s="41" t="n"/>
      <c r="C1" s="41" t="n"/>
      <c r="D1" s="41" t="n"/>
      <c r="E1" s="41" t="n"/>
      <c r="F1" s="41" t="n"/>
      <c r="G1" s="41" t="n"/>
      <c r="H1" s="41" t="n"/>
      <c r="I1" s="41" t="n"/>
      <c r="J1" s="41" t="n"/>
      <c r="K1" s="41" t="n"/>
      <c r="L1" s="41" t="n"/>
    </row>
    <row r="2" ht="28" customHeight="1" s="51">
      <c r="A2" s="229" t="inlineStr">
        <is>
          <t>引違い網戸は標準・きれい・虫イヤ・ペットまで選択。その他形式は一次資料で確認できたネットを投入し、形式別の特注ネットは確認状態を明示する。</t>
        </is>
      </c>
      <c r="B2" s="41" t="n"/>
      <c r="C2" s="41" t="n"/>
      <c r="D2" s="41" t="n"/>
      <c r="E2" s="41" t="n"/>
      <c r="F2" s="41" t="n"/>
      <c r="G2" s="41" t="n"/>
      <c r="H2" s="41" t="n"/>
      <c r="I2" s="41" t="n"/>
      <c r="J2" s="41" t="n"/>
      <c r="K2" s="41" t="n"/>
      <c r="L2" s="41" t="n"/>
    </row>
    <row r="3">
      <c r="A3" s="100" t="inlineStr">
        <is>
          <t>net_rule_id</t>
        </is>
      </c>
      <c r="B3" s="100" t="inlineStr">
        <is>
          <t>網戸形式</t>
        </is>
      </c>
      <c r="C3" s="100" t="inlineStr">
        <is>
          <t>ネット種類</t>
        </is>
      </c>
      <c r="D3" s="100" t="inlineStr">
        <is>
          <t>標準/特注</t>
        </is>
      </c>
      <c r="E3" s="100" t="inlineStr">
        <is>
          <t>サイズ条件</t>
        </is>
      </c>
      <c r="F3" s="100" t="inlineStr">
        <is>
          <t>有効</t>
        </is>
      </c>
      <c r="G3" s="100" t="inlineStr">
        <is>
          <t>登録状態</t>
        </is>
      </c>
      <c r="H3" s="100" t="inlineStr">
        <is>
          <t>出典</t>
        </is>
      </c>
      <c r="I3" s="100" t="inlineStr">
        <is>
          <t>アプリ表示</t>
        </is>
      </c>
      <c r="J3" s="100" t="inlineStr">
        <is>
          <t>優先順</t>
        </is>
      </c>
      <c r="K3" s="100" t="inlineStr">
        <is>
          <t>備考</t>
        </is>
      </c>
      <c r="L3" s="100" t="inlineStr">
        <is>
          <t>制御キー</t>
        </is>
      </c>
    </row>
    <row r="4">
      <c r="A4" s="43" t="inlineStr">
        <is>
          <t>SNR-SL-001</t>
        </is>
      </c>
      <c r="B4" s="43" t="inlineStr">
        <is>
          <t>引違い網戸</t>
        </is>
      </c>
      <c r="C4" s="43" t="inlineStr">
        <is>
          <t>標準ネット</t>
        </is>
      </c>
      <c r="D4" s="43" t="inlineStr">
        <is>
          <t>標準</t>
        </is>
      </c>
      <c r="E4" s="43" t="inlineStr">
        <is>
          <t>09C連動</t>
        </is>
      </c>
      <c r="F4" s="43" t="b">
        <v>1</v>
      </c>
      <c r="G4" s="43" t="inlineStr">
        <is>
          <t>カタログ確認済み</t>
        </is>
      </c>
      <c r="H4" s="43" t="inlineStr">
        <is>
          <t>SM3100 P278</t>
        </is>
      </c>
      <c r="I4" s="43" t="inlineStr">
        <is>
          <t>表示</t>
        </is>
      </c>
      <c r="J4" s="43" t="n">
        <v>10</v>
      </c>
      <c r="K4" s="43" t="str"/>
      <c r="L4" s="43" t="inlineStr">
        <is>
          <t>HIKI-STD</t>
        </is>
      </c>
    </row>
    <row r="5">
      <c r="A5" s="43" t="inlineStr">
        <is>
          <t>SNR-SL-002</t>
        </is>
      </c>
      <c r="B5" s="43" t="inlineStr">
        <is>
          <t>引違い網戸</t>
        </is>
      </c>
      <c r="C5" s="43" t="inlineStr">
        <is>
          <t>きれいネット</t>
        </is>
      </c>
      <c r="D5" s="43" t="inlineStr">
        <is>
          <t>標準/機能性</t>
        </is>
      </c>
      <c r="E5" s="43" t="inlineStr">
        <is>
          <t>09C連動</t>
        </is>
      </c>
      <c r="F5" s="43" t="b">
        <v>1</v>
      </c>
      <c r="G5" s="43" t="inlineStr">
        <is>
          <t>カタログ確認済み</t>
        </is>
      </c>
      <c r="H5" s="43" t="inlineStr">
        <is>
          <t>SM3100 P278</t>
        </is>
      </c>
      <c r="I5" s="43" t="inlineStr">
        <is>
          <t>表示</t>
        </is>
      </c>
      <c r="J5" s="43" t="n">
        <v>20</v>
      </c>
      <c r="K5" s="43" t="str"/>
      <c r="L5" s="43" t="inlineStr">
        <is>
          <t>HIKI-CLEAN</t>
        </is>
      </c>
    </row>
    <row r="6">
      <c r="A6" s="43" t="inlineStr">
        <is>
          <t>SNR-SL-003</t>
        </is>
      </c>
      <c r="B6" s="43" t="inlineStr">
        <is>
          <t>引違い網戸</t>
        </is>
      </c>
      <c r="C6" s="43" t="inlineStr">
        <is>
          <t>虫イヤネット</t>
        </is>
      </c>
      <c r="D6" s="43" t="inlineStr">
        <is>
          <t>特注対応含む</t>
        </is>
      </c>
      <c r="E6" s="43" t="inlineStr">
        <is>
          <t>09C連動</t>
        </is>
      </c>
      <c r="F6" s="43" t="b">
        <v>1</v>
      </c>
      <c r="G6" s="43" t="inlineStr">
        <is>
          <t>カタログ確認済み</t>
        </is>
      </c>
      <c r="H6" s="43" t="inlineStr">
        <is>
          <t>SM3100 P278</t>
        </is>
      </c>
      <c r="I6" s="43" t="inlineStr">
        <is>
          <t>表示</t>
        </is>
      </c>
      <c r="J6" s="43" t="n">
        <v>30</v>
      </c>
      <c r="K6" s="43" t="str"/>
      <c r="L6" s="43" t="inlineStr">
        <is>
          <t>HIKI-INSECT</t>
        </is>
      </c>
    </row>
    <row r="7">
      <c r="A7" s="43" t="inlineStr">
        <is>
          <t>SNR-SL-004</t>
        </is>
      </c>
      <c r="B7" s="43" t="inlineStr">
        <is>
          <t>引違い網戸</t>
        </is>
      </c>
      <c r="C7" s="43" t="inlineStr">
        <is>
          <t>ペットネット</t>
        </is>
      </c>
      <c r="D7" s="43" t="inlineStr">
        <is>
          <t>特注対応</t>
        </is>
      </c>
      <c r="E7" s="43" t="inlineStr">
        <is>
          <t>W&lt;=780mm</t>
        </is>
      </c>
      <c r="F7" s="43" t="b">
        <v>1</v>
      </c>
      <c r="G7" s="43" t="inlineStr">
        <is>
          <t>カタログ確認済み</t>
        </is>
      </c>
      <c r="H7" s="43" t="inlineStr">
        <is>
          <t>SM3100 P278</t>
        </is>
      </c>
      <c r="I7" s="43" t="inlineStr">
        <is>
          <t>表示</t>
        </is>
      </c>
      <c r="J7" s="43" t="n">
        <v>40</v>
      </c>
      <c r="K7" s="43" t="inlineStr">
        <is>
          <t>W&gt;780mm製作不可</t>
        </is>
      </c>
      <c r="L7" s="43" t="inlineStr">
        <is>
          <t>PET-W780</t>
        </is>
      </c>
    </row>
    <row r="8">
      <c r="A8" s="43" t="inlineStr">
        <is>
          <t>SNR-SL-005</t>
        </is>
      </c>
      <c r="B8" s="43" t="inlineStr">
        <is>
          <t>固定式網戸</t>
        </is>
      </c>
      <c r="C8" s="43" t="inlineStr">
        <is>
          <t>きれいネット</t>
        </is>
      </c>
      <c r="D8" s="43" t="inlineStr">
        <is>
          <t>確認済み</t>
        </is>
      </c>
      <c r="E8" s="43" t="inlineStr">
        <is>
          <t>切断寸法09C</t>
        </is>
      </c>
      <c r="F8" s="43" t="b">
        <v>1</v>
      </c>
      <c r="G8" s="43" t="inlineStr">
        <is>
          <t>価格表確認済み</t>
        </is>
      </c>
      <c r="H8" s="43" t="inlineStr">
        <is>
          <t>202604完成品価格表 P268-274</t>
        </is>
      </c>
      <c r="I8" s="43" t="inlineStr">
        <is>
          <t>表示</t>
        </is>
      </c>
      <c r="J8" s="43" t="n">
        <v>10</v>
      </c>
      <c r="K8" s="43" t="inlineStr">
        <is>
          <t>フレームレス/タグ付/フレーム付/内倒し窓用</t>
        </is>
      </c>
      <c r="L8" s="43" t="inlineStr">
        <is>
          <t>FIX-CLEAN</t>
        </is>
      </c>
    </row>
    <row r="9">
      <c r="A9" s="43" t="inlineStr">
        <is>
          <t>SNR-SL-006</t>
        </is>
      </c>
      <c r="B9" s="43" t="inlineStr">
        <is>
          <t>横引きロール網戸</t>
        </is>
      </c>
      <c r="C9" s="43" t="inlineStr">
        <is>
          <t>きれいネット</t>
        </is>
      </c>
      <c r="D9" s="43" t="inlineStr">
        <is>
          <t>確認済み</t>
        </is>
      </c>
      <c r="E9" s="43" t="inlineStr">
        <is>
          <t>規格表連動</t>
        </is>
      </c>
      <c r="F9" s="43" t="b">
        <v>1</v>
      </c>
      <c r="G9" s="43" t="inlineStr">
        <is>
          <t>価格表確認済み</t>
        </is>
      </c>
      <c r="H9" s="43" t="inlineStr">
        <is>
          <t>202604完成品価格表 P275</t>
        </is>
      </c>
      <c r="I9" s="43" t="inlineStr">
        <is>
          <t>表示</t>
        </is>
      </c>
      <c r="J9" s="43" t="n">
        <v>10</v>
      </c>
      <c r="K9" s="43" t="str"/>
      <c r="L9" s="43" t="inlineStr">
        <is>
          <t>HROLL-CLEAN</t>
        </is>
      </c>
    </row>
    <row r="10">
      <c r="A10" s="43" t="inlineStr">
        <is>
          <t>SNR-SL-007</t>
        </is>
      </c>
      <c r="B10" s="43" t="inlineStr">
        <is>
          <t>上げ下げロール網戸</t>
        </is>
      </c>
      <c r="C10" s="43" t="inlineStr">
        <is>
          <t>きれいネット</t>
        </is>
      </c>
      <c r="D10" s="43" t="inlineStr">
        <is>
          <t>確認済み</t>
        </is>
      </c>
      <c r="E10" s="43" t="inlineStr">
        <is>
          <t>09C規格限定</t>
        </is>
      </c>
      <c r="F10" s="43" t="b">
        <v>1</v>
      </c>
      <c r="G10" s="43" t="inlineStr">
        <is>
          <t>価格表確認済み</t>
        </is>
      </c>
      <c r="H10" s="43" t="inlineStr">
        <is>
          <t>202604完成品価格表 P276</t>
        </is>
      </c>
      <c r="I10" s="43" t="inlineStr">
        <is>
          <t>表示</t>
        </is>
      </c>
      <c r="J10" s="43" t="n">
        <v>10</v>
      </c>
      <c r="K10" s="43" t="str"/>
      <c r="L10" s="43" t="inlineStr">
        <is>
          <t>VROLL-CLEAN</t>
        </is>
      </c>
    </row>
    <row r="11">
      <c r="A11" s="43" t="inlineStr">
        <is>
          <t>SNR-SL-008</t>
        </is>
      </c>
      <c r="B11" s="43" t="inlineStr">
        <is>
          <t>開き網戸</t>
        </is>
      </c>
      <c r="C11" s="43" t="inlineStr">
        <is>
          <t>きれいネット</t>
        </is>
      </c>
      <c r="D11" s="43" t="inlineStr">
        <is>
          <t>確認済み</t>
        </is>
      </c>
      <c r="E11" s="43" t="inlineStr">
        <is>
          <t>H13以上中桟付</t>
        </is>
      </c>
      <c r="F11" s="43" t="b">
        <v>1</v>
      </c>
      <c r="G11" s="43" t="inlineStr">
        <is>
          <t>価格表確認済み</t>
        </is>
      </c>
      <c r="H11" s="43" t="inlineStr">
        <is>
          <t>202604完成品価格表 P276</t>
        </is>
      </c>
      <c r="I11" s="43" t="inlineStr">
        <is>
          <t>表示</t>
        </is>
      </c>
      <c r="J11" s="43" t="n">
        <v>10</v>
      </c>
      <c r="K11" s="43" t="inlineStr">
        <is>
          <t>サーモスL/FG-Lのみ</t>
        </is>
      </c>
      <c r="L11" s="43" t="inlineStr">
        <is>
          <t>OPEN-CLEAN</t>
        </is>
      </c>
    </row>
    <row r="12">
      <c r="A12" s="43" t="inlineStr">
        <is>
          <t>SNR-SL-009</t>
        </is>
      </c>
      <c r="B12" s="43" t="inlineStr">
        <is>
          <t>開き網戸</t>
        </is>
      </c>
      <c r="C12" s="43" t="inlineStr">
        <is>
          <t>虫イヤネット</t>
        </is>
      </c>
      <c r="D12" s="43" t="inlineStr">
        <is>
          <t>特注対応</t>
        </is>
      </c>
      <c r="E12" s="43" t="inlineStr">
        <is>
          <t>H中桟条件は09C</t>
        </is>
      </c>
      <c r="F12" s="43" t="b">
        <v>1</v>
      </c>
      <c r="G12" s="43" t="inlineStr">
        <is>
          <t>特注対応確認済み</t>
        </is>
      </c>
      <c r="H12" s="43" t="inlineStr">
        <is>
          <t>商品カタログ P160/P280-281</t>
        </is>
      </c>
      <c r="I12" s="43" t="inlineStr">
        <is>
          <t>表示</t>
        </is>
      </c>
      <c r="J12" s="43" t="n">
        <v>20</v>
      </c>
      <c r="K12" s="43" t="inlineStr">
        <is>
          <t>虫イヤネットは特注対応。</t>
        </is>
      </c>
      <c r="L12" s="43" t="inlineStr">
        <is>
          <t>OPEN-INSECT</t>
        </is>
      </c>
    </row>
    <row r="13">
      <c r="A13" s="43" t="inlineStr">
        <is>
          <t>SNR-SL-010</t>
        </is>
      </c>
      <c r="B13" s="43" t="inlineStr">
        <is>
          <t>開き網戸</t>
        </is>
      </c>
      <c r="C13" s="43" t="inlineStr">
        <is>
          <t>ペットネット</t>
        </is>
      </c>
      <c r="D13" s="43" t="inlineStr">
        <is>
          <t>特注対応</t>
        </is>
      </c>
      <c r="E13" s="43" t="inlineStr">
        <is>
          <t>W&lt;=780mm＋H中桟条件</t>
        </is>
      </c>
      <c r="F13" s="43" t="b">
        <v>1</v>
      </c>
      <c r="G13" s="43" t="inlineStr">
        <is>
          <t>特注対応確認済み</t>
        </is>
      </c>
      <c r="H13" s="43" t="inlineStr">
        <is>
          <t>商品カタログ P160/P280-281</t>
        </is>
      </c>
      <c r="I13" s="43" t="inlineStr">
        <is>
          <t>表示</t>
        </is>
      </c>
      <c r="J13" s="43" t="n">
        <v>30</v>
      </c>
      <c r="K13" s="43" t="inlineStr">
        <is>
          <t>W&gt;780mmはペットネット製作不可。</t>
        </is>
      </c>
      <c r="L13" s="43" t="inlineStr">
        <is>
          <t>OPEN-PET</t>
        </is>
      </c>
    </row>
    <row r="14">
      <c r="A14" s="43" t="inlineStr">
        <is>
          <t>SNR-SL-011</t>
        </is>
      </c>
      <c r="B14" s="43" t="inlineStr">
        <is>
          <t>上げ下げ式網戸</t>
        </is>
      </c>
      <c r="C14" s="43" t="inlineStr">
        <is>
          <t>きれいネット</t>
        </is>
      </c>
      <c r="D14" s="43" t="inlineStr">
        <is>
          <t>確認済み</t>
        </is>
      </c>
      <c r="E14" s="43" t="inlineStr">
        <is>
          <t>09Cホワイトリスト</t>
        </is>
      </c>
      <c r="F14" s="43" t="b">
        <v>1</v>
      </c>
      <c r="G14" s="43" t="inlineStr">
        <is>
          <t>価格表確認済み</t>
        </is>
      </c>
      <c r="H14" s="43" t="inlineStr">
        <is>
          <t>202604完成品価格表 P277</t>
        </is>
      </c>
      <c r="I14" s="43" t="inlineStr">
        <is>
          <t>表示</t>
        </is>
      </c>
      <c r="J14" s="43" t="n">
        <v>10</v>
      </c>
      <c r="K14" s="43" t="str"/>
      <c r="L14" s="43" t="inlineStr">
        <is>
          <t>UPDOWN-CLEAN</t>
        </is>
      </c>
    </row>
    <row r="15">
      <c r="A15" s="43" t="inlineStr">
        <is>
          <t>SNR-SL-012</t>
        </is>
      </c>
      <c r="B15" s="43" t="inlineStr">
        <is>
          <t>しまえるんですJ</t>
        </is>
      </c>
      <c r="C15" s="43" t="inlineStr">
        <is>
          <t>専用ネット</t>
        </is>
      </c>
      <c r="D15" s="43" t="inlineStr">
        <is>
          <t>専用品</t>
        </is>
      </c>
      <c r="E15" s="43" t="inlineStr">
        <is>
          <t>09Cホワイトリスト</t>
        </is>
      </c>
      <c r="F15" s="43" t="b">
        <v>1</v>
      </c>
      <c r="G15" s="43" t="inlineStr">
        <is>
          <t>形式確認済み</t>
        </is>
      </c>
      <c r="H15" s="43" t="inlineStr">
        <is>
          <t>202604完成品価格表 P287</t>
        </is>
      </c>
      <c r="I15" s="43" t="inlineStr">
        <is>
          <t>形式として表示</t>
        </is>
      </c>
      <c r="J15" s="43" t="n">
        <v>10</v>
      </c>
      <c r="K15" s="43" t="inlineStr">
        <is>
          <t>ネット交換部材は10_その他OP</t>
        </is>
      </c>
      <c r="L15" s="43" t="inlineStr">
        <is>
          <t>J-NET</t>
        </is>
      </c>
    </row>
    <row r="16">
      <c r="A16" s="43" t="inlineStr">
        <is>
          <t>SNR-SL-013</t>
        </is>
      </c>
      <c r="B16" s="43" t="inlineStr">
        <is>
          <t>網付格子</t>
        </is>
      </c>
      <c r="C16" s="43" t="inlineStr">
        <is>
          <t>きれいネット</t>
        </is>
      </c>
      <c r="D16" s="43" t="inlineStr">
        <is>
          <t>確認済み</t>
        </is>
      </c>
      <c r="E16" s="43" t="inlineStr">
        <is>
          <t>09Cホワイトリスト</t>
        </is>
      </c>
      <c r="F16" s="43" t="b">
        <v>1</v>
      </c>
      <c r="G16" s="43" t="inlineStr">
        <is>
          <t>価格表確認済み</t>
        </is>
      </c>
      <c r="H16" s="43" t="inlineStr">
        <is>
          <t>202604完成品価格表 P288</t>
        </is>
      </c>
      <c r="I16" s="43" t="inlineStr">
        <is>
          <t>表示</t>
        </is>
      </c>
      <c r="J16" s="43" t="n">
        <v>10</v>
      </c>
      <c r="K16" s="43" t="inlineStr">
        <is>
          <t>採風勝手口ドアFS用</t>
        </is>
      </c>
      <c r="L16" s="43" t="inlineStr">
        <is>
          <t>GRID-CLEAN</t>
        </is>
      </c>
    </row>
    <row r="17">
      <c r="A17" s="42" t="n"/>
    </row>
    <row r="18">
      <c r="A18" s="42" t="n"/>
    </row>
    <row r="19">
      <c r="A19" s="42" t="n"/>
    </row>
    <row r="20">
      <c r="A20" s="42" t="n"/>
    </row>
    <row r="21">
      <c r="A21" s="42" t="n"/>
    </row>
    <row r="22">
      <c r="A22" s="42" t="n"/>
    </row>
    <row r="23">
      <c r="A23" s="42" t="n"/>
    </row>
    <row r="24">
      <c r="A24" s="42" t="n"/>
    </row>
    <row r="25">
      <c r="A25" s="42" t="n"/>
    </row>
    <row r="26">
      <c r="A26" s="42" t="n"/>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sheetData>
  <mergeCells count="2">
    <mergeCell ref="A2:L2"/>
    <mergeCell ref="A1:L1"/>
  </mergeCells>
  <conditionalFormatting sqref="G4:G16">
    <cfRule type="expression" priority="1" dxfId="11">
      <formula>ISNUMBER(SEARCH("要照合",G4))</formula>
    </cfRule>
  </conditionalFormatting>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cols>
    <col width="18" customWidth="1" style="51" min="1" max="1"/>
    <col width="24" customWidth="1" style="51" min="2" max="2"/>
    <col width="28" customWidth="1" style="51" min="3" max="3"/>
    <col width="24" customWidth="1" style="51" min="4" max="4"/>
    <col width="18" customWidth="1" style="51" min="5" max="5"/>
    <col width="44" customWidth="1" style="51" min="6" max="6"/>
    <col width="34" customWidth="1" style="51" min="7" max="7"/>
    <col width="8" customWidth="1" style="51" min="8" max="8"/>
    <col width="24" customWidth="1" style="51" min="9" max="9"/>
    <col width="32" customWidth="1" style="51" min="10" max="10"/>
    <col width="30" customWidth="1" style="51" min="11" max="11"/>
    <col width="10" customWidth="1" style="51" min="12" max="12"/>
    <col width="34" customWidth="1" style="51" min="13" max="13"/>
  </cols>
  <sheetData>
    <row r="1" ht="28" customHeight="1" s="51">
      <c r="A1" s="223" t="inlineStr">
        <is>
          <t>網戸サイズ・中桟制御｜サーモスL v0.6</t>
        </is>
      </c>
      <c r="B1" s="41" t="n"/>
      <c r="C1" s="41" t="n"/>
      <c r="D1" s="41" t="n"/>
      <c r="E1" s="41" t="n"/>
      <c r="F1" s="41" t="n"/>
      <c r="G1" s="41" t="n"/>
      <c r="H1" s="41" t="n"/>
      <c r="I1" s="41" t="n"/>
      <c r="J1" s="41" t="n"/>
      <c r="K1" s="41" t="n"/>
      <c r="L1" s="41" t="n"/>
      <c r="M1" s="41" t="n"/>
    </row>
    <row r="2" ht="28" customHeight="1" s="51">
      <c r="A2" s="229" t="inlineStr">
        <is>
          <t>ペットネットW&gt;780mm不可、開き/引違い網戸の中桟境界、内倒し窓の脱着制限などを一次資料の明示範囲で確定。</t>
        </is>
      </c>
      <c r="B2" s="41" t="n"/>
      <c r="C2" s="41" t="n"/>
      <c r="D2" s="41" t="n"/>
      <c r="E2" s="41" t="n"/>
      <c r="F2" s="41" t="n"/>
      <c r="G2" s="41" t="n"/>
      <c r="H2" s="41" t="n"/>
      <c r="I2" s="41" t="n"/>
      <c r="J2" s="41" t="n"/>
      <c r="K2" s="41" t="n"/>
      <c r="L2" s="41" t="n"/>
      <c r="M2" s="41" t="n"/>
    </row>
    <row r="3">
      <c r="A3" s="100" t="inlineStr">
        <is>
          <t>screen_limit_id</t>
        </is>
      </c>
      <c r="B3" s="100" t="inlineStr">
        <is>
          <t>対象網戸形式</t>
        </is>
      </c>
      <c r="C3" s="100" t="inlineStr">
        <is>
          <t>対象窓種ID</t>
        </is>
      </c>
      <c r="D3" s="100" t="inlineStr">
        <is>
          <t>固有仕様ID</t>
        </is>
      </c>
      <c r="E3" s="100" t="inlineStr">
        <is>
          <t>条件項目</t>
        </is>
      </c>
      <c r="F3" s="100" t="inlineStr">
        <is>
          <t>条件</t>
        </is>
      </c>
      <c r="G3" s="100" t="inlineStr">
        <is>
          <t>結果/制御</t>
        </is>
      </c>
      <c r="H3" s="100" t="inlineStr">
        <is>
          <t>有効</t>
        </is>
      </c>
      <c r="I3" s="100" t="inlineStr">
        <is>
          <t>登録状態</t>
        </is>
      </c>
      <c r="J3" s="100" t="inlineStr">
        <is>
          <t>出典</t>
        </is>
      </c>
      <c r="K3" s="100" t="inlineStr">
        <is>
          <t>アプリ動作</t>
        </is>
      </c>
      <c r="L3" s="100" t="inlineStr">
        <is>
          <t>優先順</t>
        </is>
      </c>
      <c r="M3" s="100" t="inlineStr">
        <is>
          <t>備考</t>
        </is>
      </c>
    </row>
    <row r="4">
      <c r="A4" s="43" t="inlineStr">
        <is>
          <t>SCR-SL-001</t>
        </is>
      </c>
      <c r="B4" s="43" t="inlineStr">
        <is>
          <t>引違い網戸</t>
        </is>
      </c>
      <c r="C4" s="43" t="inlineStr">
        <is>
          <t>引違い窓系</t>
        </is>
      </c>
      <c r="D4" s="43" t="inlineStr">
        <is>
          <t>*</t>
        </is>
      </c>
      <c r="E4" s="43" t="inlineStr">
        <is>
          <t>中桟</t>
        </is>
      </c>
      <c r="F4" s="43" t="inlineStr">
        <is>
          <t>実寸H&gt;=1370mm</t>
        </is>
      </c>
      <c r="G4" s="43" t="inlineStr">
        <is>
          <t>中桟付を必須</t>
        </is>
      </c>
      <c r="H4" s="43" t="b">
        <v>1</v>
      </c>
      <c r="I4" s="43" t="inlineStr">
        <is>
          <t>カタログ確認済み</t>
        </is>
      </c>
      <c r="J4" s="43" t="inlineStr">
        <is>
          <t>SM3100 P278</t>
        </is>
      </c>
      <c r="K4" s="43" t="inlineStr">
        <is>
          <t>中桟なしを非表示</t>
        </is>
      </c>
      <c r="L4" s="43" t="n">
        <v>10</v>
      </c>
      <c r="M4" s="43" t="str"/>
    </row>
    <row r="5">
      <c r="A5" s="43" t="inlineStr">
        <is>
          <t>SCR-SL-002</t>
        </is>
      </c>
      <c r="B5" s="43" t="inlineStr">
        <is>
          <t>引違い網戸</t>
        </is>
      </c>
      <c r="C5" s="43" t="inlineStr">
        <is>
          <t>引違い窓系</t>
        </is>
      </c>
      <c r="D5" s="43" t="inlineStr">
        <is>
          <t>*</t>
        </is>
      </c>
      <c r="E5" s="43" t="inlineStr">
        <is>
          <t>中桟</t>
        </is>
      </c>
      <c r="F5" s="43" t="inlineStr">
        <is>
          <t>実寸H&lt;1370mm</t>
        </is>
      </c>
      <c r="G5" s="43" t="inlineStr">
        <is>
          <t>中桟なし/中桟付を候補</t>
        </is>
      </c>
      <c r="H5" s="43" t="b">
        <v>1</v>
      </c>
      <c r="I5" s="43" t="inlineStr">
        <is>
          <t>運用ルール</t>
        </is>
      </c>
      <c r="J5" s="43" t="inlineStr">
        <is>
          <t>SM3100 P278の1370境界</t>
        </is>
      </c>
      <c r="K5" s="43" t="inlineStr">
        <is>
          <t>2択表示</t>
        </is>
      </c>
      <c r="L5" s="43" t="n">
        <v>20</v>
      </c>
      <c r="M5" s="43" t="inlineStr">
        <is>
          <t>規格表で個別不可があれば除外</t>
        </is>
      </c>
    </row>
    <row r="6">
      <c r="A6" s="43" t="inlineStr">
        <is>
          <t>SCR-SL-003</t>
        </is>
      </c>
      <c r="B6" s="43" t="inlineStr">
        <is>
          <t>*</t>
        </is>
      </c>
      <c r="C6" s="43" t="inlineStr">
        <is>
          <t>*</t>
        </is>
      </c>
      <c r="D6" s="43" t="inlineStr">
        <is>
          <t>*</t>
        </is>
      </c>
      <c r="E6" s="43" t="inlineStr">
        <is>
          <t>ペットネット</t>
        </is>
      </c>
      <c r="F6" s="43" t="inlineStr">
        <is>
          <t>実寸W&gt;780mm</t>
        </is>
      </c>
      <c r="G6" s="43" t="inlineStr">
        <is>
          <t>製作不可</t>
        </is>
      </c>
      <c r="H6" s="43" t="b">
        <v>1</v>
      </c>
      <c r="I6" s="43" t="inlineStr">
        <is>
          <t>カタログ確認済み</t>
        </is>
      </c>
      <c r="J6" s="43" t="inlineStr">
        <is>
          <t>商品カタログ P169/P183/P278</t>
        </is>
      </c>
      <c r="K6" s="43" t="inlineStr">
        <is>
          <t>ペットネットを非表示</t>
        </is>
      </c>
      <c r="L6" s="43" t="n">
        <v>5</v>
      </c>
      <c r="M6" s="43" t="inlineStr">
        <is>
          <t>全ペットネット共通</t>
        </is>
      </c>
    </row>
    <row r="7">
      <c r="A7" s="43" t="inlineStr">
        <is>
          <t>SCR-SL-004</t>
        </is>
      </c>
      <c r="B7" s="43" t="inlineStr">
        <is>
          <t>開き網戸</t>
        </is>
      </c>
      <c r="C7" s="43" t="inlineStr">
        <is>
          <t>WT-SL-TATE-SUBERI/WT-SL-YOKO-SUBERI</t>
        </is>
      </c>
      <c r="D7" s="43" t="inlineStr">
        <is>
          <t>SP-SL-TATE-CAM-*</t>
        </is>
      </c>
      <c r="E7" s="43" t="inlineStr">
        <is>
          <t>中桟</t>
        </is>
      </c>
      <c r="F7" s="43" t="inlineStr">
        <is>
          <t>基本寸法H&gt;=1370mm</t>
        </is>
      </c>
      <c r="G7" s="43" t="inlineStr">
        <is>
          <t>中桟付</t>
        </is>
      </c>
      <c r="H7" s="43" t="b">
        <v>1</v>
      </c>
      <c r="I7" s="43" t="inlineStr">
        <is>
          <t>価格表/カタログ確認済み</t>
        </is>
      </c>
      <c r="J7" s="43" t="inlineStr">
        <is>
          <t>完成品価格表 P266/P276・商品カタログ P278</t>
        </is>
      </c>
      <c r="K7" s="43" t="inlineStr">
        <is>
          <t>中桟付として自動設定</t>
        </is>
      </c>
      <c r="L7" s="43" t="n">
        <v>10</v>
      </c>
      <c r="M7" s="43" t="inlineStr">
        <is>
          <t>開き網戸</t>
        </is>
      </c>
    </row>
    <row r="8">
      <c r="A8" s="43" t="inlineStr">
        <is>
          <t>SCR-SL-005</t>
        </is>
      </c>
      <c r="B8" s="43" t="inlineStr">
        <is>
          <t>固定式網戸</t>
        </is>
      </c>
      <c r="C8" s="43" t="inlineStr">
        <is>
          <t>WT-SL-TATE-SUBERI/WT-SL-YOKO-SUBERI/WT-SL-KOSHO-YOKO</t>
        </is>
      </c>
      <c r="D8" s="43" t="inlineStr">
        <is>
          <t>SP-SL-TATE-OP-*</t>
        </is>
      </c>
      <c r="E8" s="43" t="inlineStr">
        <is>
          <t>切断寸法</t>
        </is>
      </c>
      <c r="F8" s="43" t="inlineStr">
        <is>
          <t>規格/特注</t>
        </is>
      </c>
      <c r="G8" s="43" t="inlineStr">
        <is>
          <t>縦材=H-130、横材=W-71</t>
        </is>
      </c>
      <c r="H8" s="43" t="b">
        <v>1</v>
      </c>
      <c r="I8" s="43" t="inlineStr">
        <is>
          <t>カタログ確認済み</t>
        </is>
      </c>
      <c r="J8" s="43" t="inlineStr">
        <is>
          <t>SM3100 固定式網戸</t>
        </is>
      </c>
      <c r="K8" s="43" t="inlineStr">
        <is>
          <t>切断寸法算出へ利用</t>
        </is>
      </c>
      <c r="L8" s="43" t="n">
        <v>10</v>
      </c>
      <c r="M8" s="43" t="inlineStr">
        <is>
          <t>v0.5詳細OP 5仕様へ適用。TF/TFTは開き部Wで算出。</t>
        </is>
      </c>
    </row>
    <row r="9">
      <c r="A9" s="43" t="inlineStr">
        <is>
          <t>SCR-SL-006</t>
        </is>
      </c>
      <c r="B9" s="43" t="inlineStr">
        <is>
          <t>上げ下げ式網戸</t>
        </is>
      </c>
      <c r="C9" s="43" t="inlineStr">
        <is>
          <t>WT-SL-AGE-SAGE-FS</t>
        </is>
      </c>
      <c r="D9" s="43" t="inlineStr">
        <is>
          <t>*</t>
        </is>
      </c>
      <c r="E9" s="43" t="inlineStr">
        <is>
          <t>呼称W/H</t>
        </is>
      </c>
      <c r="F9" s="43" t="inlineStr">
        <is>
          <t>W=026/036/060/069/074、H=07/09/11/13</t>
        </is>
      </c>
      <c r="G9" s="43" t="inlineStr">
        <is>
          <t>設定可</t>
        </is>
      </c>
      <c r="H9" s="43" t="b">
        <v>1</v>
      </c>
      <c r="I9" s="43" t="inlineStr">
        <is>
          <t>価格表確認済み</t>
        </is>
      </c>
      <c r="J9" s="43" t="inlineStr">
        <is>
          <t>202604完成品価格表 P277</t>
        </is>
      </c>
      <c r="K9" s="43" t="inlineStr">
        <is>
          <t>ホワイトリスト一致のみ表示</t>
        </is>
      </c>
      <c r="L9" s="43" t="n">
        <v>10</v>
      </c>
      <c r="M9" s="43" t="str"/>
    </row>
    <row r="10">
      <c r="A10" s="43" t="inlineStr">
        <is>
          <t>SCR-SL-007</t>
        </is>
      </c>
      <c r="B10" s="43" t="inlineStr">
        <is>
          <t>上げ下げ式網戸</t>
        </is>
      </c>
      <c r="C10" s="43" t="inlineStr">
        <is>
          <t>WT-SL-AGE-SAGE-FS</t>
        </is>
      </c>
      <c r="D10" s="43" t="inlineStr">
        <is>
          <t>*</t>
        </is>
      </c>
      <c r="E10" s="43" t="inlineStr">
        <is>
          <t>呼称W/H</t>
        </is>
      </c>
      <c r="F10" s="43" t="inlineStr">
        <is>
          <t>H=15はW=036/060/069/074</t>
        </is>
      </c>
      <c r="G10" s="43" t="inlineStr">
        <is>
          <t>設定可</t>
        </is>
      </c>
      <c r="H10" s="43" t="b">
        <v>1</v>
      </c>
      <c r="I10" s="43" t="inlineStr">
        <is>
          <t>価格表確認済み</t>
        </is>
      </c>
      <c r="J10" s="43" t="inlineStr">
        <is>
          <t>202604完成品価格表 P277</t>
        </is>
      </c>
      <c r="K10" s="43" t="inlineStr">
        <is>
          <t>ホワイトリスト一致のみ表示</t>
        </is>
      </c>
      <c r="L10" s="43" t="n">
        <v>11</v>
      </c>
      <c r="M10" s="43" t="inlineStr">
        <is>
          <t>W026×H15は候補外</t>
        </is>
      </c>
    </row>
    <row r="11">
      <c r="A11" s="43" t="inlineStr">
        <is>
          <t>SCR-SL-008</t>
        </is>
      </c>
      <c r="B11" s="43" t="inlineStr">
        <is>
          <t>上げ下げ式網戸</t>
        </is>
      </c>
      <c r="C11" s="43" t="inlineStr">
        <is>
          <t>WT-SL-MENKOSHI-AGE-FS</t>
        </is>
      </c>
      <c r="D11" s="43" t="inlineStr">
        <is>
          <t>*</t>
        </is>
      </c>
      <c r="E11" s="43" t="inlineStr">
        <is>
          <t>呼称W/H</t>
        </is>
      </c>
      <c r="F11" s="43" t="inlineStr">
        <is>
          <t>W=026/036/060/069/074、H=07/09/11/13</t>
        </is>
      </c>
      <c r="G11" s="43" t="inlineStr">
        <is>
          <t>設定可</t>
        </is>
      </c>
      <c r="H11" s="43" t="b">
        <v>1</v>
      </c>
      <c r="I11" s="43" t="inlineStr">
        <is>
          <t>価格表確認済み</t>
        </is>
      </c>
      <c r="J11" s="43" t="inlineStr">
        <is>
          <t>202604完成品価格表 P277</t>
        </is>
      </c>
      <c r="K11" s="43" t="inlineStr">
        <is>
          <t>ホワイトリスト一致のみ表示</t>
        </is>
      </c>
      <c r="L11" s="43" t="n">
        <v>10</v>
      </c>
      <c r="M11" s="43" t="str"/>
    </row>
    <row r="12">
      <c r="A12" s="43" t="inlineStr">
        <is>
          <t>SCR-SL-009</t>
        </is>
      </c>
      <c r="B12" s="43" t="inlineStr">
        <is>
          <t>上げ下げ式網戸</t>
        </is>
      </c>
      <c r="C12" s="43" t="inlineStr">
        <is>
          <t>WT-SL-MENKOSHI-AGE-FS</t>
        </is>
      </c>
      <c r="D12" s="43" t="inlineStr">
        <is>
          <t>*</t>
        </is>
      </c>
      <c r="E12" s="43" t="inlineStr">
        <is>
          <t>呼称W/H</t>
        </is>
      </c>
      <c r="F12" s="43" t="inlineStr">
        <is>
          <t>H=15はW=036/060/069/074</t>
        </is>
      </c>
      <c r="G12" s="43" t="inlineStr">
        <is>
          <t>設定可</t>
        </is>
      </c>
      <c r="H12" s="43" t="b">
        <v>1</v>
      </c>
      <c r="I12" s="43" t="inlineStr">
        <is>
          <t>価格表確認済み</t>
        </is>
      </c>
      <c r="J12" s="43" t="inlineStr">
        <is>
          <t>202604完成品価格表 P277</t>
        </is>
      </c>
      <c r="K12" s="43" t="inlineStr">
        <is>
          <t>ホワイトリスト一致のみ表示</t>
        </is>
      </c>
      <c r="L12" s="43" t="n">
        <v>11</v>
      </c>
      <c r="M12" s="43" t="str"/>
    </row>
    <row r="13">
      <c r="A13" s="43" t="inlineStr">
        <is>
          <t>SCR-SL-010</t>
        </is>
      </c>
      <c r="B13" s="43" t="inlineStr">
        <is>
          <t>しまえるんですJ</t>
        </is>
      </c>
      <c r="C13" s="43" t="inlineStr">
        <is>
          <t>WT-SL-TERRACE-DOOR</t>
        </is>
      </c>
      <c r="D13" s="43" t="inlineStr">
        <is>
          <t>*</t>
        </is>
      </c>
      <c r="E13" s="43" t="inlineStr">
        <is>
          <t>呼称W/H</t>
        </is>
      </c>
      <c r="F13" s="43" t="inlineStr">
        <is>
          <t>在来/単純段差 W=060/069/074、H=18/20/22/24</t>
        </is>
      </c>
      <c r="G13" s="43" t="inlineStr">
        <is>
          <t>設定可</t>
        </is>
      </c>
      <c r="H13" s="43" t="b">
        <v>1</v>
      </c>
      <c r="I13" s="43" t="inlineStr">
        <is>
          <t>価格表確認済み</t>
        </is>
      </c>
      <c r="J13" s="43" t="inlineStr">
        <is>
          <t>202604完成品価格表 P287</t>
        </is>
      </c>
      <c r="K13" s="43" t="inlineStr">
        <is>
          <t>ホワイトリスト一致のみ表示</t>
        </is>
      </c>
      <c r="L13" s="43" t="n">
        <v>10</v>
      </c>
      <c r="M13" s="43" t="str"/>
    </row>
    <row r="14">
      <c r="A14" s="43" t="inlineStr">
        <is>
          <t>SCR-SL-011</t>
        </is>
      </c>
      <c r="B14" s="43" t="inlineStr">
        <is>
          <t>しまえるんですJ</t>
        </is>
      </c>
      <c r="C14" s="43" t="inlineStr">
        <is>
          <t>WT-SL-TERRACE-DOOR</t>
        </is>
      </c>
      <c r="D14" s="43" t="inlineStr">
        <is>
          <t>*</t>
        </is>
      </c>
      <c r="E14" s="43" t="inlineStr">
        <is>
          <t>呼称W/H</t>
        </is>
      </c>
      <c r="F14" s="43" t="inlineStr">
        <is>
          <t>204 W=060/069、H=18A/20A/22A/24A</t>
        </is>
      </c>
      <c r="G14" s="43" t="inlineStr">
        <is>
          <t>設定可</t>
        </is>
      </c>
      <c r="H14" s="43" t="b">
        <v>1</v>
      </c>
      <c r="I14" s="43" t="inlineStr">
        <is>
          <t>価格表確認済み</t>
        </is>
      </c>
      <c r="J14" s="43" t="inlineStr">
        <is>
          <t>202604完成品価格表 P287</t>
        </is>
      </c>
      <c r="K14" s="43" t="inlineStr">
        <is>
          <t>ホワイトリスト一致のみ表示</t>
        </is>
      </c>
      <c r="L14" s="43" t="n">
        <v>11</v>
      </c>
      <c r="M14" s="43" t="inlineStr">
        <is>
          <t>W074の204は候補外</t>
        </is>
      </c>
    </row>
    <row r="15">
      <c r="A15" s="43" t="inlineStr">
        <is>
          <t>SCR-SL-012</t>
        </is>
      </c>
      <c r="B15" s="43" t="inlineStr">
        <is>
          <t>しまえるんですJ</t>
        </is>
      </c>
      <c r="C15" s="43" t="inlineStr">
        <is>
          <t>WT-SL-KATTEGUCHI</t>
        </is>
      </c>
      <c r="D15" s="43" t="inlineStr">
        <is>
          <t>*</t>
        </is>
      </c>
      <c r="E15" s="43" t="inlineStr">
        <is>
          <t>呼称W/H</t>
        </is>
      </c>
      <c r="F15" s="43" t="inlineStr">
        <is>
          <t>在来/単純段差 W=060/069/074、H=18/20/22</t>
        </is>
      </c>
      <c r="G15" s="43" t="inlineStr">
        <is>
          <t>設定可</t>
        </is>
      </c>
      <c r="H15" s="43" t="b">
        <v>1</v>
      </c>
      <c r="I15" s="43" t="inlineStr">
        <is>
          <t>価格表確認済み</t>
        </is>
      </c>
      <c r="J15" s="43" t="inlineStr">
        <is>
          <t>202604完成品価格表 P287</t>
        </is>
      </c>
      <c r="K15" s="43" t="inlineStr">
        <is>
          <t>ホワイトリスト一致のみ表示</t>
        </is>
      </c>
      <c r="L15" s="43" t="n">
        <v>10</v>
      </c>
      <c r="M15" s="43" t="str"/>
    </row>
    <row r="16">
      <c r="A16" s="43" t="inlineStr">
        <is>
          <t>SCR-SL-013</t>
        </is>
      </c>
      <c r="B16" s="43" t="inlineStr">
        <is>
          <t>しまえるんですJ</t>
        </is>
      </c>
      <c r="C16" s="43" t="inlineStr">
        <is>
          <t>WT-SL-KATTEGUCHI</t>
        </is>
      </c>
      <c r="D16" s="43" t="inlineStr">
        <is>
          <t>*</t>
        </is>
      </c>
      <c r="E16" s="43" t="inlineStr">
        <is>
          <t>呼称W/H</t>
        </is>
      </c>
      <c r="F16" s="43" t="inlineStr">
        <is>
          <t>204 W=060/069、H=18A/20A/22A</t>
        </is>
      </c>
      <c r="G16" s="43" t="inlineStr">
        <is>
          <t>設定可</t>
        </is>
      </c>
      <c r="H16" s="43" t="b">
        <v>1</v>
      </c>
      <c r="I16" s="43" t="inlineStr">
        <is>
          <t>価格表確認済み</t>
        </is>
      </c>
      <c r="J16" s="43" t="inlineStr">
        <is>
          <t>202604完成品価格表 P287</t>
        </is>
      </c>
      <c r="K16" s="43" t="inlineStr">
        <is>
          <t>ホワイトリスト一致のみ表示</t>
        </is>
      </c>
      <c r="L16" s="43" t="n">
        <v>11</v>
      </c>
      <c r="M16" s="43" t="str"/>
    </row>
    <row r="17">
      <c r="A17" s="43" t="inlineStr">
        <is>
          <t>SCR-SL-014</t>
        </is>
      </c>
      <c r="B17" s="43" t="inlineStr">
        <is>
          <t>網付格子</t>
        </is>
      </c>
      <c r="C17" s="43" t="inlineStr">
        <is>
          <t>WT-SL-KATTEGUCHI-VENT-FS</t>
        </is>
      </c>
      <c r="D17" s="43" t="inlineStr">
        <is>
          <t>*</t>
        </is>
      </c>
      <c r="E17" s="43" t="inlineStr">
        <is>
          <t>呼称W/H</t>
        </is>
      </c>
      <c r="F17" s="43" t="inlineStr">
        <is>
          <t>W=060/069/074、H=18/20/22（204はA呼称）</t>
        </is>
      </c>
      <c r="G17" s="43" t="inlineStr">
        <is>
          <t>設定可</t>
        </is>
      </c>
      <c r="H17" s="43" t="b">
        <v>1</v>
      </c>
      <c r="I17" s="43" t="inlineStr">
        <is>
          <t>価格表確認済み</t>
        </is>
      </c>
      <c r="J17" s="43" t="inlineStr">
        <is>
          <t>202604完成品価格表 P288</t>
        </is>
      </c>
      <c r="K17" s="43" t="inlineStr">
        <is>
          <t>ホワイトリスト一致のみ表示</t>
        </is>
      </c>
      <c r="L17" s="43" t="n">
        <v>10</v>
      </c>
      <c r="M17" s="43" t="inlineStr">
        <is>
          <t>格子種類は縦/横/デザイン横/ヒシ/井桁/横なし等、価格表連動</t>
        </is>
      </c>
    </row>
    <row r="18">
      <c r="A18" s="43" t="inlineStr">
        <is>
          <t>SCR-SL-015</t>
        </is>
      </c>
      <c r="B18" s="43" t="inlineStr">
        <is>
          <t>上げ下げロール網戸</t>
        </is>
      </c>
      <c r="C18" s="43" t="inlineStr">
        <is>
          <t>WT-SL-TATE-SUBERI</t>
        </is>
      </c>
      <c r="D18" s="43" t="inlineStr">
        <is>
          <t>SP-SL-TATE-CAM</t>
        </is>
      </c>
      <c r="E18" s="43" t="inlineStr">
        <is>
          <t>呼称H</t>
        </is>
      </c>
      <c r="F18" s="43" t="inlineStr">
        <is>
          <t>H=18/20/22の掲載規格</t>
        </is>
      </c>
      <c r="G18" s="43" t="inlineStr">
        <is>
          <t>設定可</t>
        </is>
      </c>
      <c r="H18" s="43" t="b">
        <v>1</v>
      </c>
      <c r="I18" s="43" t="inlineStr">
        <is>
          <t>価格表確認済み</t>
        </is>
      </c>
      <c r="J18" s="43" t="inlineStr">
        <is>
          <t>202604完成品価格表 P276</t>
        </is>
      </c>
      <c r="K18" s="43" t="inlineStr">
        <is>
          <t>該当規格のみ表示</t>
        </is>
      </c>
      <c r="L18" s="43" t="n">
        <v>10</v>
      </c>
      <c r="M18" s="43" t="inlineStr">
        <is>
          <t>W別の全境界は次工程で06サイズへ展開</t>
        </is>
      </c>
    </row>
    <row r="19">
      <c r="A19" s="42" t="inlineStr">
        <is>
          <t>SCR-SL-016</t>
        </is>
      </c>
      <c r="B19" t="inlineStr">
        <is>
          <t>固定式網戸（内倒し窓用）</t>
        </is>
      </c>
      <c r="C19" t="inlineStr">
        <is>
          <t>WT-SL-UCHIDAOSHI</t>
        </is>
      </c>
      <c r="D19" t="inlineStr">
        <is>
          <t>*</t>
        </is>
      </c>
      <c r="E19" t="inlineStr">
        <is>
          <t>室内脱着</t>
        </is>
      </c>
      <c r="F19" t="inlineStr">
        <is>
          <t>呼称=03603/06007/06907/07407</t>
        </is>
      </c>
      <c r="G19" t="inlineStr">
        <is>
          <t>室内側から脱着不可</t>
        </is>
      </c>
      <c r="H19" t="b">
        <v>1</v>
      </c>
      <c r="I19" t="inlineStr">
        <is>
          <t>カタログ確認済み</t>
        </is>
      </c>
      <c r="J19" t="inlineStr">
        <is>
          <t>商品カタログ P219</t>
        </is>
      </c>
      <c r="K19" t="inlineStr">
        <is>
          <t>注意表示</t>
        </is>
      </c>
      <c r="L19" t="n">
        <v>20</v>
      </c>
    </row>
    <row r="20">
      <c r="A20" s="42" t="inlineStr">
        <is>
          <t>SCR-SL-017</t>
        </is>
      </c>
      <c r="B20" t="inlineStr">
        <is>
          <t>固定式網戸（内倒し窓用）</t>
        </is>
      </c>
      <c r="C20" t="inlineStr">
        <is>
          <t>WT-SL-UCHIDAOSHI</t>
        </is>
      </c>
      <c r="D20" t="inlineStr">
        <is>
          <t>*</t>
        </is>
      </c>
      <c r="E20" t="inlineStr">
        <is>
          <t>縦骨</t>
        </is>
      </c>
      <c r="F20" t="inlineStr">
        <is>
          <t>呼称W=119/165</t>
        </is>
      </c>
      <c r="G20" t="inlineStr">
        <is>
          <t>縦骨付</t>
        </is>
      </c>
      <c r="H20" t="b">
        <v>1</v>
      </c>
      <c r="I20" t="inlineStr">
        <is>
          <t>カタログ確認済み</t>
        </is>
      </c>
      <c r="J20" t="inlineStr">
        <is>
          <t>商品カタログ P219</t>
        </is>
      </c>
      <c r="K20" t="inlineStr">
        <is>
          <t>仕様表示</t>
        </is>
      </c>
      <c r="L20" t="n">
        <v>30</v>
      </c>
    </row>
    <row r="21">
      <c r="A21" s="42" t="inlineStr">
        <is>
          <t>SCR-SL-018</t>
        </is>
      </c>
      <c r="B21" t="inlineStr">
        <is>
          <t>固定式網戸（フレーム付）</t>
        </is>
      </c>
      <c r="C21" t="inlineStr">
        <is>
          <t>WT-SL-KOSHO-YOKO</t>
        </is>
      </c>
      <c r="D21" t="inlineStr">
        <is>
          <t>*</t>
        </is>
      </c>
      <c r="E21" t="inlineStr">
        <is>
          <t>取外し意匠</t>
        </is>
      </c>
      <c r="F21" t="inlineStr">
        <is>
          <t>実寸W&gt;780mm</t>
        </is>
      </c>
      <c r="G21" t="inlineStr">
        <is>
          <t>框の使い方・脱着方法・意匠が異なる</t>
        </is>
      </c>
      <c r="H21" t="b">
        <v>1</v>
      </c>
      <c r="I21" t="inlineStr">
        <is>
          <t>カタログ確認済み</t>
        </is>
      </c>
      <c r="J21" t="inlineStr">
        <is>
          <t>商品カタログ P188</t>
        </is>
      </c>
      <c r="K21" t="inlineStr">
        <is>
          <t>注意表示</t>
        </is>
      </c>
      <c r="L21" t="n">
        <v>40</v>
      </c>
      <c r="M21" t="inlineStr">
        <is>
          <t>製作不可ではない</t>
        </is>
      </c>
    </row>
    <row r="22">
      <c r="A22" s="42" t="inlineStr">
        <is>
          <t>SCR-SL-019</t>
        </is>
      </c>
      <c r="B22" t="inlineStr">
        <is>
          <t>*</t>
        </is>
      </c>
      <c r="C22" t="inlineStr">
        <is>
          <t>*</t>
        </is>
      </c>
      <c r="D22" t="inlineStr">
        <is>
          <t>*</t>
        </is>
      </c>
      <c r="E22" t="inlineStr">
        <is>
          <t>ネット互換</t>
        </is>
      </c>
      <c r="F22" t="inlineStr">
        <is>
          <t>ロールタイプ×ペットネット</t>
        </is>
      </c>
      <c r="G22" t="inlineStr">
        <is>
          <t>設定なし</t>
        </is>
      </c>
      <c r="H22" t="b">
        <v>1</v>
      </c>
      <c r="I22" t="inlineStr">
        <is>
          <t>カタログ確認済み</t>
        </is>
      </c>
      <c r="J22" t="inlineStr">
        <is>
          <t>商品カタログ P280</t>
        </is>
      </c>
      <c r="K22" t="inlineStr">
        <is>
          <t>非表示</t>
        </is>
      </c>
      <c r="L22" t="n">
        <v>1</v>
      </c>
      <c r="M22" t="inlineStr">
        <is>
          <t>09Dと同一ルール</t>
        </is>
      </c>
    </row>
    <row r="23">
      <c r="A23" s="42" t="n"/>
    </row>
    <row r="24">
      <c r="A24" s="42" t="n"/>
    </row>
    <row r="25">
      <c r="A25" s="42" t="n"/>
    </row>
    <row r="26">
      <c r="A26" s="42" t="n"/>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sheetData>
  <mergeCells count="2">
    <mergeCell ref="A2:M2"/>
    <mergeCell ref="A1:M1"/>
  </mergeCells>
  <conditionalFormatting sqref="G4:G18">
    <cfRule type="expression" priority="1" dxfId="10">
      <formula>G4="製作不可"</formula>
    </cfRule>
  </conditionalFormatting>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700"/>
  <sheetViews>
    <sheetView workbookViewId="0">
      <selection activeCell="A1" sqref="A1"/>
    </sheetView>
  </sheetViews>
  <sheetFormatPr baseColWidth="8" defaultRowHeight="15"/>
  <cols>
    <col width="30" customWidth="1" style="51" min="1" max="1"/>
    <col width="14" customWidth="1" style="51" min="2" max="2"/>
    <col width="42" customWidth="1" style="51" min="3" max="3"/>
    <col width="4" customWidth="1" style="51" min="4" max="4"/>
    <col width="34" customWidth="1" style="51" min="5" max="5"/>
    <col width="24" customWidth="1" style="51" min="6" max="6"/>
    <col width="12" customWidth="1" style="51" min="7" max="7"/>
    <col width="42" customWidth="1" style="51" min="8" max="8"/>
  </cols>
  <sheetData>
    <row r="1" ht="28" customHeight="1" s="51">
      <c r="A1" s="230" t="inlineStr">
        <is>
          <t>サーモスL v0.7-R2 本格化QA｜Glass Manufacturability Formal Closure</t>
        </is>
      </c>
      <c r="B1" s="41" t="n"/>
      <c r="C1" s="41" t="n"/>
      <c r="D1" s="41" t="n"/>
      <c r="E1" s="41" t="n"/>
      <c r="F1" s="41" t="n"/>
      <c r="G1" s="41" t="n"/>
      <c r="H1" s="41" t="n"/>
    </row>
    <row r="2" ht="28" customHeight="1" s="51">
      <c r="A2" s="231" t="inlineStr">
        <is>
          <t>CLOSURE-R5：SN1400 Section20直接委譲、SAFE 30mil STANDARD 1,644件（直接523＝517 ALLOWED / 6 BLOCKED、残1,121 ECR）、DISASTER/SAFE_MILKY/GRID/FROST/Low-E/CUSTOM残差を正式ECR化。</t>
        </is>
      </c>
      <c r="B2" s="41" t="n"/>
      <c r="C2" s="41" t="n"/>
      <c r="D2" s="41" t="n"/>
      <c r="E2" s="41" t="n"/>
      <c r="F2" s="41" t="n"/>
      <c r="G2" s="41" t="n"/>
      <c r="H2" s="41" t="n"/>
    </row>
    <row r="3">
      <c r="A3" s="42" t="n"/>
    </row>
    <row r="4">
      <c r="A4" s="163" t="inlineStr">
        <is>
          <t>KPI</t>
        </is>
      </c>
      <c r="B4" s="163" t="inlineStr">
        <is>
          <t>値</t>
        </is>
      </c>
      <c r="C4" s="163" t="inlineStr">
        <is>
          <t>判定/備考</t>
        </is>
      </c>
      <c r="E4" s="163" t="inlineStr">
        <is>
          <t>残外部確認</t>
        </is>
      </c>
      <c r="F4" s="163" t="inlineStr">
        <is>
          <t>状態</t>
        </is>
      </c>
      <c r="G4" s="163" t="inlineStr">
        <is>
          <t>APP動作</t>
        </is>
      </c>
      <c r="H4" s="163" t="inlineStr">
        <is>
          <t>理由</t>
        </is>
      </c>
    </row>
    <row r="5">
      <c r="A5" s="43" t="inlineStr">
        <is>
          <t>06_サイズ総行</t>
        </is>
      </c>
      <c r="B5" s="43">
        <f>COUNTA('06_サイズ'!A4:A1647)</f>
        <v/>
      </c>
      <c r="C5" s="43" t="inlineStr">
        <is>
          <t>1,644</t>
        </is>
      </c>
      <c r="E5" s="43" t="inlineStr">
        <is>
          <t>機能ガラス最終組合せ</t>
        </is>
      </c>
      <c r="F5" s="43" t="inlineStr">
        <is>
          <t>PASS_SECTION20_DIRECT_DELEGATION</t>
        </is>
      </c>
      <c r="G5" s="43" t="inlineStr">
        <is>
          <t>既知BLOCK→直接結果→既知数値→ECR</t>
        </is>
      </c>
      <c r="H5" s="43" t="inlineStr">
        <is>
          <t>未確定残差のみLIXIL見積システム確認。ECR自動成立禁止。</t>
        </is>
      </c>
    </row>
    <row r="6">
      <c r="A6" s="43" t="inlineStr">
        <is>
          <t>有効規格候補</t>
        </is>
      </c>
      <c r="B6" s="43">
        <f>COUNTA('06_サイズ'!A4:A1647)-COUNTIF('06_サイズ'!N4:N1647,"設定なし（価格表確認済み）")-COUNTIF('06_サイズ'!N4:N1647,"v0.5履歴：詳細構成へ置換")</f>
        <v/>
      </c>
      <c r="C6" s="43" t="inlineStr">
        <is>
          <t>1,495</t>
        </is>
      </c>
      <c r="E6" s="43" t="inlineStr">
        <is>
          <t>単体/シャッター/雨戸/装飾引違いの複雑特注グラフ</t>
        </is>
      </c>
      <c r="F6" s="43" t="inlineStr">
        <is>
          <t>REVIEW_REQUIRED</t>
        </is>
      </c>
      <c r="G6" s="43" t="inlineStr">
        <is>
          <t>原本照合</t>
        </is>
      </c>
      <c r="H6" s="43" t="inlineStr">
        <is>
          <t>複数工法・H/W比・性能ゾーンを含む</t>
        </is>
      </c>
    </row>
    <row r="7">
      <c r="A7" s="43" t="inlineStr">
        <is>
          <t>特注ルール</t>
        </is>
      </c>
      <c r="B7" s="43">
        <f>COUNTA('06C_特注寸法範囲'!A4:A100)</f>
        <v/>
      </c>
      <c r="C7" s="43" t="inlineStr">
        <is>
          <t>50</t>
        </is>
      </c>
      <c r="E7" s="43" t="inlineStr">
        <is>
          <t>FIX外/内の曲線特注境界</t>
        </is>
      </c>
      <c r="F7" s="43" t="inlineStr">
        <is>
          <t>REVIEW_REQUIRED</t>
        </is>
      </c>
      <c r="G7" s="43" t="inlineStr">
        <is>
          <t>原本照合</t>
        </is>
      </c>
      <c r="H7" s="43" t="inlineStr">
        <is>
          <t>カタログに数式がなく曲線境界</t>
        </is>
      </c>
    </row>
    <row r="8">
      <c r="A8" s="43" t="inlineStr">
        <is>
          <t>特注AUTOルール</t>
        </is>
      </c>
      <c r="B8" s="43">
        <f>B7-B9</f>
        <v/>
      </c>
      <c r="C8" s="43" t="inlineStr">
        <is>
          <t>明確な数値境界のみ</t>
        </is>
      </c>
      <c r="E8" s="43" t="inlineStr">
        <is>
          <t>価格改定・次版カタログ</t>
        </is>
      </c>
      <c r="F8" s="43" t="inlineStr">
        <is>
          <t>VERSION_REVIEW</t>
        </is>
      </c>
      <c r="G8" s="43" t="inlineStr">
        <is>
          <t>差分QA</t>
        </is>
      </c>
      <c r="H8" s="43" t="inlineStr">
        <is>
          <t>現行正本は2026年4月価格表</t>
        </is>
      </c>
    </row>
    <row r="9">
      <c r="A9" s="43" t="inlineStr">
        <is>
          <t>特注安全ゲート</t>
        </is>
      </c>
      <c r="B9" s="43">
        <f>COUNTIF('06C_特注寸法範囲'!G4:G100,"SOURCE_GRAPH_GATE")+COUNTIF('06C_特注寸法範囲'!G4:G100,"COMPOUND_GATE")</f>
        <v/>
      </c>
      <c r="C9" s="43" t="inlineStr">
        <is>
          <t>曲線/複合を推測しない</t>
        </is>
      </c>
      <c r="E9" s="43" t="n"/>
      <c r="F9" s="43" t="n"/>
      <c r="G9" s="43" t="n"/>
      <c r="H9" s="43" t="n"/>
    </row>
    <row r="10">
      <c r="A10" s="43" t="inlineStr">
        <is>
          <t>公式品種記号</t>
        </is>
      </c>
      <c r="B10" s="43">
        <f>COUNTA('03A_品種記号'!A4:A50)</f>
        <v/>
      </c>
      <c r="C10" s="43" t="inlineStr">
        <is>
          <t>30</t>
        </is>
      </c>
      <c r="E10" s="43" t="n"/>
      <c r="F10" s="43" t="n"/>
      <c r="G10" s="43" t="n"/>
      <c r="H10" s="43" t="n"/>
    </row>
    <row r="11">
      <c r="A11" s="43" t="inlineStr">
        <is>
          <t>公式色記号</t>
        </is>
      </c>
      <c r="B11" s="43">
        <f>COUNTA('03B_色記号'!A4:A20)</f>
        <v/>
      </c>
      <c r="C11" s="43" t="inlineStr">
        <is>
          <t>6</t>
        </is>
      </c>
      <c r="E11" s="42" t="inlineStr">
        <is>
          <t>最終再読込QA</t>
        </is>
      </c>
      <c r="F11" s="42" t="inlineStr">
        <is>
          <t>PASS</t>
        </is>
      </c>
      <c r="G11" s="42" t="inlineStr">
        <is>
          <t>完成XLSX再読込・主要表再検証済み</t>
        </is>
      </c>
      <c r="H11" s="42" t="inlineStr">
        <is>
          <t>2026-09-10</t>
        </is>
      </c>
    </row>
    <row r="12">
      <c r="A12" s="43" t="inlineStr">
        <is>
          <t>コード生成テスト PASS</t>
        </is>
      </c>
      <c r="B12" s="43" t="n">
        <v>46</v>
      </c>
      <c r="C12" s="43" t="inlineStr">
        <is>
          <t>46/46 PASS</t>
        </is>
      </c>
      <c r="E12" s="42" t="inlineStr">
        <is>
          <t>Golden Test</t>
        </is>
      </c>
      <c r="F12" s="42" t="inlineStr">
        <is>
          <t>46/46 PASS</t>
        </is>
      </c>
      <c r="G12" s="42" t="inlineStr">
        <is>
          <t>境界値・安全ゲートを全件確認</t>
        </is>
      </c>
      <c r="H12" s="42" t="inlineStr">
        <is>
          <t>17_GoldenTest</t>
        </is>
      </c>
    </row>
    <row r="13">
      <c r="A13" s="43" t="inlineStr">
        <is>
          <t>APP制御ルール</t>
        </is>
      </c>
      <c r="B13" s="43">
        <f>COUNTA('16_APP_候補制御'!A4:A30)</f>
        <v/>
      </c>
      <c r="C13" s="43" t="inlineStr">
        <is>
          <t>17</t>
        </is>
      </c>
      <c r="E13" s="42" t="inlineStr">
        <is>
          <t>品番生成テスト</t>
        </is>
      </c>
      <c r="F13" s="42" t="inlineStr">
        <is>
          <t>5/5 PASS</t>
        </is>
      </c>
      <c r="G13" s="42" t="inlineStr">
        <is>
          <t>@／STP／#／特注確認ゲート</t>
        </is>
      </c>
      <c r="H13" s="42" t="inlineStr">
        <is>
          <t>15_発注コード生成</t>
        </is>
      </c>
    </row>
    <row r="14">
      <c r="A14" s="43" t="inlineStr">
        <is>
          <t>Golden Test PASS</t>
        </is>
      </c>
      <c r="B14" s="43" t="n">
        <v>46</v>
      </c>
      <c r="C14" s="43" t="inlineStr">
        <is>
          <t>46/46</t>
        </is>
      </c>
      <c r="E14" s="42" t="inlineStr">
        <is>
          <t>数式エラー</t>
        </is>
      </c>
      <c r="F14" s="42" t="inlineStr">
        <is>
          <t>0件</t>
        </is>
      </c>
      <c r="G14" s="42" t="inlineStr">
        <is>
          <t>REF/DIV0/VALUE/NAME/NA 全ブック検索</t>
        </is>
      </c>
      <c r="H14" s="42" t="inlineStr">
        <is>
          <t>PASS</t>
        </is>
      </c>
    </row>
    <row r="15">
      <c r="A15" s="43" t="inlineStr">
        <is>
          <t>Golden Test FAIL</t>
        </is>
      </c>
      <c r="B15" s="43">
        <f>COUNTIF('17_GoldenTest'!F4:F40,"FAIL")</f>
        <v/>
      </c>
      <c r="C15" s="43" t="inlineStr">
        <is>
          <t>0</t>
        </is>
      </c>
      <c r="E15" s="42" t="inlineStr">
        <is>
          <t>APP候補制御</t>
        </is>
      </c>
      <c r="F15" s="42" t="inlineStr">
        <is>
          <t>17/17 PASS</t>
        </is>
      </c>
      <c r="G15" s="42" t="inlineStr">
        <is>
          <t>参照順・BLOCK/CONFIRM/REVIEWを維持</t>
        </is>
      </c>
      <c r="H15" s="42" t="inlineStr">
        <is>
          <t>16_APP_候補制御</t>
        </is>
      </c>
    </row>
    <row r="16">
      <c r="A16" s="43" t="n"/>
      <c r="B16" s="43" t="n"/>
      <c r="C16" s="43" t="n"/>
    </row>
    <row r="17">
      <c r="A17" s="43" t="n"/>
      <c r="B17" s="43" t="n"/>
      <c r="C17" s="43" t="n"/>
    </row>
    <row r="18">
      <c r="A18" s="42" t="n"/>
    </row>
    <row r="19">
      <c r="A19" s="42" t="n"/>
    </row>
    <row r="20">
      <c r="A20" s="42" t="n"/>
    </row>
    <row r="21">
      <c r="A21" s="42" t="n"/>
    </row>
    <row r="22">
      <c r="A22" s="42" t="n"/>
    </row>
    <row r="23">
      <c r="A23" s="42" t="n"/>
    </row>
    <row r="24">
      <c r="A24" s="42" t="n"/>
    </row>
    <row r="25">
      <c r="A25" s="42" t="n"/>
    </row>
    <row r="26">
      <c r="A26" s="42" t="n"/>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row r="61">
      <c r="A61" s="42" t="n"/>
    </row>
    <row r="62">
      <c r="A62" s="42" t="n"/>
    </row>
    <row r="63">
      <c r="A63" s="42" t="n"/>
    </row>
    <row r="64">
      <c r="A64" s="42" t="n"/>
    </row>
    <row r="65">
      <c r="A65" s="42" t="n"/>
    </row>
    <row r="66">
      <c r="A66" s="42" t="n"/>
    </row>
    <row r="67">
      <c r="A67" s="42" t="n"/>
    </row>
    <row r="68">
      <c r="A68" s="42" t="n"/>
    </row>
    <row r="69">
      <c r="A69" s="42" t="n"/>
    </row>
    <row r="70">
      <c r="A70" s="42" t="n"/>
    </row>
    <row r="71">
      <c r="A71" s="42" t="n"/>
    </row>
    <row r="72">
      <c r="A72" s="42" t="n"/>
    </row>
    <row r="73">
      <c r="A73" s="42" t="n"/>
    </row>
    <row r="74">
      <c r="A74" s="42" t="n"/>
    </row>
    <row r="75">
      <c r="A75" s="42" t="n"/>
    </row>
    <row r="76">
      <c r="A76" s="42" t="n"/>
    </row>
    <row r="77">
      <c r="A77" s="42" t="n"/>
    </row>
    <row r="78">
      <c r="A78" s="42" t="n"/>
    </row>
    <row r="79">
      <c r="A79" s="42" t="n"/>
    </row>
    <row r="80">
      <c r="A80" s="42" t="n"/>
    </row>
    <row r="81">
      <c r="A81" s="42" t="n"/>
    </row>
    <row r="82">
      <c r="A82" s="42" t="n"/>
    </row>
    <row r="83">
      <c r="A83" s="42" t="n"/>
    </row>
    <row r="84">
      <c r="A84" s="42" t="n"/>
    </row>
    <row r="85">
      <c r="A85" s="42" t="n"/>
    </row>
    <row r="86">
      <c r="A86" s="42" t="n"/>
    </row>
    <row r="87">
      <c r="A87" s="42" t="n"/>
    </row>
    <row r="88">
      <c r="A88" s="42" t="n"/>
    </row>
    <row r="89">
      <c r="A89" s="42" t="n"/>
    </row>
    <row r="90">
      <c r="A90" s="42" t="n"/>
    </row>
    <row r="91">
      <c r="A91" s="42" t="n"/>
    </row>
    <row r="92">
      <c r="A92" s="42" t="n"/>
    </row>
    <row r="93">
      <c r="A93" s="42" t="n"/>
    </row>
    <row r="94">
      <c r="A94" s="42" t="n"/>
    </row>
    <row r="95">
      <c r="A95" s="42" t="n"/>
    </row>
    <row r="96">
      <c r="A96" s="42" t="n"/>
    </row>
    <row r="97">
      <c r="A97" s="42" t="n"/>
    </row>
    <row r="98">
      <c r="A98" s="42" t="n"/>
    </row>
    <row r="99">
      <c r="A99" s="42" t="n"/>
    </row>
    <row r="100">
      <c r="A100" s="42" t="n"/>
    </row>
    <row r="101">
      <c r="A101" s="42" t="n"/>
    </row>
    <row r="102">
      <c r="A102" s="42" t="n"/>
    </row>
    <row r="103">
      <c r="A103" s="42" t="n"/>
    </row>
    <row r="104">
      <c r="A104" s="42" t="n"/>
    </row>
    <row r="105">
      <c r="A105" s="42" t="n"/>
    </row>
    <row r="106">
      <c r="A106" s="42" t="n"/>
    </row>
    <row r="107">
      <c r="A107" s="42" t="n"/>
    </row>
    <row r="108">
      <c r="A108" s="42" t="n"/>
    </row>
    <row r="109">
      <c r="A109" s="42" t="n"/>
    </row>
    <row r="110">
      <c r="A110" s="42" t="n"/>
    </row>
    <row r="111">
      <c r="A111" s="42" t="n"/>
    </row>
    <row r="112">
      <c r="A112" s="42" t="n"/>
    </row>
    <row r="113">
      <c r="A113" s="42" t="n"/>
    </row>
    <row r="114">
      <c r="A114" s="42" t="n"/>
    </row>
    <row r="115">
      <c r="A115" s="42" t="n"/>
    </row>
    <row r="116">
      <c r="A116" s="42" t="n"/>
    </row>
    <row r="117">
      <c r="A117" s="42" t="n"/>
    </row>
    <row r="118">
      <c r="A118" s="42" t="n"/>
    </row>
    <row r="119">
      <c r="A119" s="42" t="n"/>
    </row>
    <row r="120">
      <c r="A120" s="42" t="n"/>
    </row>
    <row r="121">
      <c r="A121" s="42" t="n"/>
    </row>
    <row r="122">
      <c r="A122" s="42" t="n"/>
    </row>
    <row r="123">
      <c r="A123" s="42" t="n"/>
    </row>
    <row r="124">
      <c r="A124" s="42" t="n"/>
    </row>
    <row r="125">
      <c r="A125" s="42" t="n"/>
    </row>
    <row r="126">
      <c r="A126" s="42" t="n"/>
    </row>
    <row r="127">
      <c r="A127" s="42" t="n"/>
    </row>
    <row r="128">
      <c r="A128" s="42" t="n"/>
    </row>
    <row r="129">
      <c r="A129" s="42" t="n"/>
    </row>
    <row r="130">
      <c r="A130" s="42" t="n"/>
    </row>
    <row r="131">
      <c r="A131" s="42" t="n"/>
    </row>
    <row r="132">
      <c r="A132" s="42" t="n"/>
    </row>
    <row r="133">
      <c r="A133" s="42" t="n"/>
    </row>
    <row r="134">
      <c r="A134" s="42" t="n"/>
    </row>
    <row r="135">
      <c r="A135" s="42" t="n"/>
    </row>
    <row r="136">
      <c r="A136" s="42" t="n"/>
    </row>
    <row r="137">
      <c r="A137" s="42" t="n"/>
    </row>
    <row r="138">
      <c r="A138" s="42" t="n"/>
    </row>
    <row r="139">
      <c r="A139" s="42" t="n"/>
    </row>
    <row r="140">
      <c r="A140" s="42" t="n"/>
    </row>
    <row r="141">
      <c r="A141" s="42" t="n"/>
    </row>
    <row r="142">
      <c r="A142" s="42" t="n"/>
    </row>
    <row r="143">
      <c r="A143" s="42" t="n"/>
    </row>
    <row r="144">
      <c r="A144" s="42" t="n"/>
    </row>
    <row r="145">
      <c r="A145" s="42" t="n"/>
    </row>
    <row r="146">
      <c r="A146" s="42" t="n"/>
    </row>
    <row r="147">
      <c r="A147" s="42" t="n"/>
    </row>
    <row r="148">
      <c r="A148" s="42" t="n"/>
    </row>
    <row r="149">
      <c r="A149" s="42" t="n"/>
    </row>
    <row r="150">
      <c r="A150" s="42" t="n"/>
    </row>
    <row r="151">
      <c r="A151" s="42" t="n"/>
    </row>
    <row r="152">
      <c r="A152" s="42" t="n"/>
    </row>
    <row r="153">
      <c r="A153" s="42" t="n"/>
    </row>
    <row r="154">
      <c r="A154" s="42" t="n"/>
    </row>
    <row r="155">
      <c r="A155" s="42" t="n"/>
    </row>
    <row r="156">
      <c r="A156" s="42" t="n"/>
    </row>
    <row r="157">
      <c r="A157" s="42" t="n"/>
    </row>
    <row r="158">
      <c r="A158" s="42" t="n"/>
    </row>
    <row r="159">
      <c r="A159" s="42" t="n"/>
    </row>
    <row r="160">
      <c r="A160" s="42" t="n"/>
    </row>
    <row r="161">
      <c r="A161" s="42" t="n"/>
    </row>
    <row r="162">
      <c r="A162" s="42" t="n"/>
    </row>
    <row r="163">
      <c r="A163" s="42" t="n"/>
    </row>
    <row r="164">
      <c r="A164" s="42" t="n"/>
    </row>
    <row r="165">
      <c r="A165" s="42" t="n"/>
    </row>
    <row r="166">
      <c r="A166" s="42" t="n"/>
    </row>
    <row r="167">
      <c r="A167" s="42" t="n"/>
    </row>
    <row r="168">
      <c r="A168" s="42" t="n"/>
    </row>
    <row r="169">
      <c r="A169" s="42" t="n"/>
    </row>
    <row r="170">
      <c r="A170" s="42" t="n"/>
    </row>
    <row r="171">
      <c r="A171" s="42" t="n"/>
    </row>
    <row r="172">
      <c r="A172" s="42" t="n"/>
    </row>
    <row r="173">
      <c r="A173" s="42" t="n"/>
    </row>
    <row r="174">
      <c r="A174" s="42" t="n"/>
    </row>
    <row r="175">
      <c r="A175" s="42" t="n"/>
    </row>
    <row r="176">
      <c r="A176" s="42" t="n"/>
    </row>
    <row r="177">
      <c r="A177" s="42" t="n"/>
    </row>
    <row r="178">
      <c r="A178" s="42" t="n"/>
    </row>
    <row r="179">
      <c r="A179" s="42" t="n"/>
    </row>
    <row r="180">
      <c r="A180" s="42" t="n"/>
    </row>
    <row r="181">
      <c r="A181" s="42" t="n"/>
    </row>
    <row r="182">
      <c r="A182" s="42" t="n"/>
    </row>
    <row r="183">
      <c r="A183" s="42" t="n"/>
    </row>
    <row r="184">
      <c r="A184" s="42" t="n"/>
    </row>
    <row r="185">
      <c r="A185" s="42" t="n"/>
    </row>
    <row r="186">
      <c r="A186" s="42" t="n"/>
    </row>
    <row r="187">
      <c r="A187" s="42" t="n"/>
    </row>
    <row r="188">
      <c r="A188" s="42" t="n"/>
    </row>
    <row r="189">
      <c r="A189" s="42" t="n"/>
    </row>
    <row r="190">
      <c r="A190" s="42" t="n"/>
    </row>
    <row r="191">
      <c r="A191" s="42" t="n"/>
    </row>
    <row r="192">
      <c r="A192" s="42" t="n"/>
    </row>
    <row r="193">
      <c r="A193" s="42" t="n"/>
    </row>
    <row r="194">
      <c r="A194" s="42" t="n"/>
    </row>
    <row r="195">
      <c r="A195" s="42" t="n"/>
    </row>
    <row r="196">
      <c r="A196" s="42" t="n"/>
    </row>
    <row r="197">
      <c r="A197" s="42" t="n"/>
    </row>
    <row r="198">
      <c r="A198" s="42" t="n"/>
    </row>
    <row r="199">
      <c r="A199" s="42" t="n"/>
    </row>
    <row r="200">
      <c r="A200" s="42" t="n"/>
    </row>
    <row r="201">
      <c r="A201" s="42" t="n"/>
    </row>
    <row r="202">
      <c r="A202" s="42" t="n"/>
    </row>
    <row r="203">
      <c r="A203" s="42" t="n"/>
    </row>
    <row r="204">
      <c r="A204" s="42" t="n"/>
    </row>
    <row r="205">
      <c r="A205" s="42" t="n"/>
    </row>
    <row r="206">
      <c r="A206" s="42" t="n"/>
    </row>
    <row r="207">
      <c r="A207" s="42" t="n"/>
    </row>
    <row r="208">
      <c r="A208" s="42" t="n"/>
    </row>
    <row r="209">
      <c r="A209" s="42" t="n"/>
    </row>
    <row r="210">
      <c r="A210" s="42" t="n"/>
    </row>
    <row r="211">
      <c r="A211" s="42" t="n"/>
    </row>
    <row r="212">
      <c r="A212" s="42" t="n"/>
    </row>
    <row r="213">
      <c r="A213" s="42" t="n"/>
    </row>
    <row r="214">
      <c r="A214" s="42" t="n"/>
    </row>
    <row r="215">
      <c r="A215" s="42" t="n"/>
    </row>
    <row r="216">
      <c r="A216" s="42" t="n"/>
    </row>
    <row r="217">
      <c r="A217" s="42" t="n"/>
    </row>
    <row r="218">
      <c r="A218" s="42" t="n"/>
    </row>
    <row r="219">
      <c r="A219" s="42" t="n"/>
    </row>
    <row r="220">
      <c r="A220" s="42" t="n"/>
    </row>
    <row r="221">
      <c r="A221" s="42" t="n"/>
    </row>
    <row r="222">
      <c r="A222" s="42" t="n"/>
    </row>
    <row r="223">
      <c r="A223" s="42" t="n"/>
    </row>
    <row r="224">
      <c r="A224" s="42" t="n"/>
    </row>
    <row r="225">
      <c r="A225" s="42" t="n"/>
    </row>
    <row r="226">
      <c r="A226" s="42" t="n"/>
    </row>
    <row r="227">
      <c r="A227" s="42" t="n"/>
    </row>
    <row r="228">
      <c r="A228" s="42" t="n"/>
    </row>
    <row r="229">
      <c r="A229" s="42" t="n"/>
    </row>
    <row r="230">
      <c r="A230" s="42" t="n"/>
    </row>
    <row r="231">
      <c r="A231" s="42" t="n"/>
    </row>
    <row r="232">
      <c r="A232" s="42" t="n"/>
    </row>
    <row r="233">
      <c r="A233" s="42" t="n"/>
    </row>
    <row r="234">
      <c r="A234" s="42" t="n"/>
    </row>
    <row r="235">
      <c r="A235" s="42" t="n"/>
    </row>
    <row r="236">
      <c r="A236" s="42" t="n"/>
    </row>
    <row r="237">
      <c r="A237" s="42" t="n"/>
    </row>
    <row r="238">
      <c r="A238" s="42" t="n"/>
    </row>
    <row r="239">
      <c r="A239" s="42" t="n"/>
    </row>
    <row r="240">
      <c r="A240" s="42" t="n"/>
    </row>
    <row r="241">
      <c r="A241" s="42" t="n"/>
    </row>
    <row r="242">
      <c r="A242" s="42" t="n"/>
    </row>
    <row r="243">
      <c r="A243" s="42" t="n"/>
    </row>
    <row r="244">
      <c r="A244" s="42" t="n"/>
    </row>
    <row r="245">
      <c r="A245" s="42" t="n"/>
    </row>
    <row r="246">
      <c r="A246" s="42" t="n"/>
    </row>
    <row r="247">
      <c r="A247" s="42" t="n"/>
    </row>
    <row r="248">
      <c r="A248" s="42" t="n"/>
    </row>
    <row r="249">
      <c r="A249" s="42" t="n"/>
    </row>
    <row r="250">
      <c r="A250" s="42" t="n"/>
    </row>
    <row r="251">
      <c r="A251" s="42" t="n"/>
    </row>
    <row r="252">
      <c r="A252" s="42" t="n"/>
    </row>
    <row r="253">
      <c r="A253" s="42" t="n"/>
    </row>
    <row r="254">
      <c r="A254" s="42" t="n"/>
    </row>
    <row r="255">
      <c r="A255" s="42" t="n"/>
    </row>
    <row r="256">
      <c r="A256" s="42" t="n"/>
    </row>
    <row r="257">
      <c r="A257" s="42" t="n"/>
    </row>
    <row r="258">
      <c r="A258" s="42" t="n"/>
    </row>
    <row r="259">
      <c r="A259" s="42" t="n"/>
    </row>
    <row r="260">
      <c r="A260" s="42" t="n"/>
    </row>
    <row r="261">
      <c r="A261" s="42" t="n"/>
    </row>
    <row r="262">
      <c r="A262" s="42" t="n"/>
    </row>
    <row r="263">
      <c r="A263" s="42" t="n"/>
    </row>
    <row r="264">
      <c r="A264" s="42" t="n"/>
    </row>
    <row r="265">
      <c r="A265" s="42" t="n"/>
    </row>
    <row r="266">
      <c r="A266" s="42" t="n"/>
    </row>
    <row r="267">
      <c r="A267" s="42" t="n"/>
    </row>
    <row r="268">
      <c r="A268" s="42" t="n"/>
    </row>
    <row r="269">
      <c r="A269" s="42" t="n"/>
    </row>
    <row r="270">
      <c r="A270" s="42" t="n"/>
    </row>
    <row r="271">
      <c r="A271" s="42" t="n"/>
    </row>
    <row r="272">
      <c r="A272" s="42" t="n"/>
    </row>
    <row r="273">
      <c r="A273" s="42" t="n"/>
    </row>
    <row r="274">
      <c r="A274" s="42" t="n"/>
    </row>
    <row r="275">
      <c r="A275" s="42" t="n"/>
    </row>
    <row r="276">
      <c r="A276" s="42" t="n"/>
    </row>
    <row r="277">
      <c r="A277" s="42" t="n"/>
    </row>
    <row r="278">
      <c r="A278" s="42" t="n"/>
    </row>
    <row r="279">
      <c r="A279" s="42" t="n"/>
    </row>
    <row r="280">
      <c r="A280" s="42" t="n"/>
    </row>
    <row r="281">
      <c r="A281" s="42" t="n"/>
    </row>
    <row r="282">
      <c r="A282" s="42" t="n"/>
    </row>
    <row r="283">
      <c r="A283" s="42" t="n"/>
    </row>
    <row r="284">
      <c r="A284" s="42" t="n"/>
    </row>
    <row r="285">
      <c r="A285" s="42" t="n"/>
    </row>
    <row r="286">
      <c r="A286" s="42" t="n"/>
    </row>
    <row r="287">
      <c r="A287" s="42" t="n"/>
    </row>
    <row r="288">
      <c r="A288" s="42" t="n"/>
    </row>
    <row r="289">
      <c r="A289" s="42" t="n"/>
    </row>
    <row r="290">
      <c r="A290" s="42" t="n"/>
    </row>
    <row r="291">
      <c r="A291" s="42" t="n"/>
    </row>
    <row r="292">
      <c r="A292" s="42" t="n"/>
    </row>
    <row r="293">
      <c r="A293" s="42" t="n"/>
    </row>
    <row r="294">
      <c r="A294" s="42" t="n"/>
    </row>
    <row r="295">
      <c r="A295" s="42" t="n"/>
    </row>
    <row r="296">
      <c r="A296" s="42" t="n"/>
    </row>
    <row r="297">
      <c r="A297" s="42" t="n"/>
    </row>
    <row r="298">
      <c r="A298" s="42" t="n"/>
    </row>
    <row r="299">
      <c r="A299" s="42" t="n"/>
    </row>
    <row r="300">
      <c r="A300" s="42" t="n"/>
    </row>
    <row r="301">
      <c r="A301" s="42" t="n"/>
    </row>
    <row r="302">
      <c r="A302" s="42" t="n"/>
    </row>
    <row r="303">
      <c r="A303" s="42" t="n"/>
    </row>
    <row r="304">
      <c r="A304" s="42" t="n"/>
    </row>
    <row r="305">
      <c r="A305" s="42" t="n"/>
    </row>
    <row r="306">
      <c r="A306" s="42" t="n"/>
    </row>
    <row r="307">
      <c r="A307" s="42" t="n"/>
    </row>
    <row r="308">
      <c r="A308" s="42" t="n"/>
    </row>
    <row r="309">
      <c r="A309" s="42" t="n"/>
    </row>
    <row r="310">
      <c r="A310" s="42" t="n"/>
    </row>
    <row r="311">
      <c r="A311" s="42" t="n"/>
    </row>
    <row r="312">
      <c r="A312" s="42" t="n"/>
    </row>
    <row r="313">
      <c r="A313" s="42" t="n"/>
    </row>
    <row r="314">
      <c r="A314" s="42" t="n"/>
    </row>
    <row r="315">
      <c r="A315" s="42" t="n"/>
    </row>
    <row r="316">
      <c r="A316" s="42" t="n"/>
    </row>
    <row r="317">
      <c r="A317" s="42" t="n"/>
    </row>
    <row r="318">
      <c r="A318" s="42" t="n"/>
    </row>
    <row r="319">
      <c r="A319" s="42" t="n"/>
    </row>
    <row r="320">
      <c r="A320" s="42" t="n"/>
    </row>
    <row r="321">
      <c r="A321" s="42" t="n"/>
    </row>
    <row r="322">
      <c r="A322" s="42" t="n"/>
    </row>
    <row r="323">
      <c r="A323" s="42" t="n"/>
    </row>
    <row r="324">
      <c r="A324" s="42" t="n"/>
    </row>
    <row r="325">
      <c r="A325" s="42" t="n"/>
    </row>
    <row r="326">
      <c r="A326" s="42" t="n"/>
    </row>
    <row r="327">
      <c r="A327" s="42" t="n"/>
    </row>
    <row r="328">
      <c r="A328" s="42" t="n"/>
    </row>
    <row r="329">
      <c r="A329" s="42" t="n"/>
    </row>
    <row r="330">
      <c r="A330" s="42" t="n"/>
    </row>
    <row r="331">
      <c r="A331" s="42" t="n"/>
    </row>
    <row r="332">
      <c r="A332" s="42" t="n"/>
    </row>
    <row r="333">
      <c r="A333" s="42" t="n"/>
    </row>
    <row r="334">
      <c r="A334" s="42" t="n"/>
    </row>
    <row r="335">
      <c r="A335" s="42" t="n"/>
    </row>
    <row r="336">
      <c r="A336" s="42" t="n"/>
    </row>
    <row r="337">
      <c r="A337" s="42" t="n"/>
    </row>
    <row r="338">
      <c r="A338" s="42" t="n"/>
    </row>
    <row r="339">
      <c r="A339" s="42" t="n"/>
    </row>
    <row r="340">
      <c r="A340" s="42" t="n"/>
    </row>
    <row r="341">
      <c r="A341" s="42" t="n"/>
    </row>
    <row r="342">
      <c r="A342" s="42" t="n"/>
    </row>
    <row r="343">
      <c r="A343" s="42" t="n"/>
    </row>
    <row r="344">
      <c r="A344" s="42" t="n"/>
    </row>
    <row r="345">
      <c r="A345" s="42" t="n"/>
    </row>
    <row r="346">
      <c r="A346" s="42" t="n"/>
    </row>
    <row r="347">
      <c r="A347" s="42" t="n"/>
    </row>
    <row r="348">
      <c r="A348" s="42" t="n"/>
    </row>
    <row r="349">
      <c r="A349" s="42" t="n"/>
    </row>
    <row r="350">
      <c r="A350" s="42" t="n"/>
    </row>
    <row r="351">
      <c r="A351" s="42" t="n"/>
    </row>
    <row r="352">
      <c r="A352" s="42" t="n"/>
    </row>
    <row r="353">
      <c r="A353" s="42" t="n"/>
    </row>
    <row r="354">
      <c r="A354" s="42" t="n"/>
    </row>
    <row r="355">
      <c r="A355" s="42" t="n"/>
    </row>
    <row r="356">
      <c r="A356" s="42" t="n"/>
    </row>
    <row r="357">
      <c r="A357" s="42" t="n"/>
    </row>
    <row r="358">
      <c r="A358" s="42" t="n"/>
    </row>
    <row r="359">
      <c r="A359" s="42" t="n"/>
    </row>
    <row r="360">
      <c r="A360" s="42" t="n"/>
    </row>
    <row r="361">
      <c r="A361" s="42" t="n"/>
    </row>
    <row r="362">
      <c r="A362" s="42" t="n"/>
    </row>
    <row r="363">
      <c r="A363" s="42" t="n"/>
    </row>
    <row r="364">
      <c r="A364" s="42" t="n"/>
    </row>
    <row r="365">
      <c r="A365" s="42" t="n"/>
    </row>
    <row r="366">
      <c r="A366" s="42" t="n"/>
    </row>
    <row r="367">
      <c r="A367" s="42" t="n"/>
    </row>
    <row r="368">
      <c r="A368" s="42" t="n"/>
    </row>
    <row r="369">
      <c r="A369" s="42" t="n"/>
    </row>
    <row r="370">
      <c r="A370" s="42" t="n"/>
    </row>
    <row r="371">
      <c r="A371" s="42" t="n"/>
    </row>
    <row r="372">
      <c r="A372" s="42" t="n"/>
    </row>
    <row r="373">
      <c r="A373" s="42" t="n"/>
    </row>
    <row r="374">
      <c r="A374" s="42" t="n"/>
    </row>
    <row r="375">
      <c r="A375" s="42" t="n"/>
    </row>
    <row r="376">
      <c r="A376" s="42" t="n"/>
    </row>
    <row r="377">
      <c r="A377" s="42" t="n"/>
    </row>
    <row r="378">
      <c r="A378" s="42" t="n"/>
    </row>
    <row r="379">
      <c r="A379" s="42" t="n"/>
    </row>
    <row r="380">
      <c r="A380" s="42" t="n"/>
    </row>
    <row r="381">
      <c r="A381" s="42" t="n"/>
    </row>
    <row r="382">
      <c r="A382" s="42" t="n"/>
    </row>
    <row r="383">
      <c r="A383" s="42" t="n"/>
    </row>
    <row r="384">
      <c r="A384" s="42" t="n"/>
    </row>
    <row r="385">
      <c r="A385" s="42" t="n"/>
    </row>
    <row r="386">
      <c r="A386" s="42" t="n"/>
    </row>
    <row r="387">
      <c r="A387" s="42" t="n"/>
    </row>
    <row r="388">
      <c r="A388" s="42" t="n"/>
    </row>
    <row r="389">
      <c r="A389" s="42" t="n"/>
    </row>
    <row r="390">
      <c r="A390" s="42" t="n"/>
    </row>
    <row r="391">
      <c r="A391" s="42" t="n"/>
    </row>
    <row r="392">
      <c r="A392" s="42" t="n"/>
    </row>
    <row r="393">
      <c r="A393" s="42" t="n"/>
    </row>
    <row r="394">
      <c r="A394" s="42" t="n"/>
    </row>
    <row r="395">
      <c r="A395" s="42" t="n"/>
    </row>
    <row r="396">
      <c r="A396" s="42" t="n"/>
    </row>
    <row r="397">
      <c r="A397" s="42" t="n"/>
    </row>
    <row r="398">
      <c r="A398" s="42" t="n"/>
    </row>
    <row r="399">
      <c r="A399" s="42" t="n"/>
    </row>
    <row r="400">
      <c r="A400" s="42" t="n"/>
    </row>
    <row r="401">
      <c r="A401" s="42" t="n"/>
    </row>
    <row r="402">
      <c r="A402" s="42" t="n"/>
    </row>
    <row r="403">
      <c r="A403" s="42" t="n"/>
    </row>
    <row r="404">
      <c r="A404" s="42" t="n"/>
    </row>
    <row r="405">
      <c r="A405" s="42" t="n"/>
    </row>
    <row r="406">
      <c r="A406" s="42" t="n"/>
    </row>
    <row r="407">
      <c r="A407" s="42" t="n"/>
    </row>
    <row r="408">
      <c r="A408" s="42" t="n"/>
    </row>
    <row r="409">
      <c r="A409" s="42" t="n"/>
    </row>
    <row r="410">
      <c r="A410" s="42" t="n"/>
    </row>
    <row r="411">
      <c r="A411" s="42" t="n"/>
    </row>
    <row r="412">
      <c r="A412" s="42" t="n"/>
    </row>
    <row r="413">
      <c r="A413" s="42" t="n"/>
    </row>
    <row r="414">
      <c r="A414" s="42" t="n"/>
    </row>
    <row r="415">
      <c r="A415" s="42" t="n"/>
    </row>
    <row r="416">
      <c r="A416" s="42" t="n"/>
    </row>
    <row r="417">
      <c r="A417" s="42" t="n"/>
    </row>
    <row r="418">
      <c r="A418" s="42" t="n"/>
    </row>
    <row r="419">
      <c r="A419" s="42" t="n"/>
    </row>
    <row r="420">
      <c r="A420" s="42" t="n"/>
    </row>
    <row r="421">
      <c r="A421" s="42" t="n"/>
    </row>
    <row r="422">
      <c r="A422" s="42" t="n"/>
    </row>
    <row r="423">
      <c r="A423" s="42" t="n"/>
    </row>
    <row r="424">
      <c r="A424" s="42" t="n"/>
    </row>
    <row r="425">
      <c r="A425" s="42" t="n"/>
    </row>
    <row r="426">
      <c r="A426" s="42" t="n"/>
    </row>
    <row r="427">
      <c r="A427" s="42" t="n"/>
    </row>
    <row r="428">
      <c r="A428" s="42" t="n"/>
    </row>
    <row r="429">
      <c r="A429" s="42" t="n"/>
    </row>
    <row r="430">
      <c r="A430" s="42" t="n"/>
    </row>
    <row r="431">
      <c r="A431" s="42" t="n"/>
    </row>
    <row r="432">
      <c r="A432" s="42" t="n"/>
    </row>
    <row r="433">
      <c r="A433" s="42" t="n"/>
    </row>
    <row r="434">
      <c r="A434" s="42" t="n"/>
    </row>
    <row r="435">
      <c r="A435" s="42" t="n"/>
    </row>
    <row r="436">
      <c r="A436" s="42" t="n"/>
    </row>
    <row r="437">
      <c r="A437" s="42" t="n"/>
    </row>
    <row r="438">
      <c r="A438" s="42" t="n"/>
    </row>
    <row r="439">
      <c r="A439" s="42" t="n"/>
    </row>
    <row r="440">
      <c r="A440" s="42" t="n"/>
    </row>
    <row r="441">
      <c r="A441" s="42" t="n"/>
    </row>
    <row r="442">
      <c r="A442" s="42" t="n"/>
    </row>
    <row r="443">
      <c r="A443" s="42" t="n"/>
    </row>
    <row r="444">
      <c r="A444" s="42" t="n"/>
    </row>
    <row r="445">
      <c r="A445" s="42" t="n"/>
    </row>
    <row r="446">
      <c r="A446" s="42" t="n"/>
    </row>
    <row r="447">
      <c r="A447" s="42" t="n"/>
    </row>
    <row r="448">
      <c r="A448" s="42" t="n"/>
    </row>
    <row r="449">
      <c r="A449" s="42" t="n"/>
    </row>
    <row r="450">
      <c r="A450" s="42" t="n"/>
    </row>
    <row r="451">
      <c r="A451" s="42" t="n"/>
    </row>
    <row r="452">
      <c r="A452" s="42" t="n"/>
    </row>
    <row r="453">
      <c r="A453" s="42" t="n"/>
    </row>
    <row r="454">
      <c r="A454" s="42" t="n"/>
    </row>
    <row r="455">
      <c r="A455" s="42" t="n"/>
    </row>
    <row r="456">
      <c r="A456" s="42" t="n"/>
    </row>
    <row r="457">
      <c r="A457" s="42" t="n"/>
    </row>
    <row r="458">
      <c r="A458" s="42" t="n"/>
    </row>
    <row r="459">
      <c r="A459" s="42" t="n"/>
    </row>
    <row r="460">
      <c r="A460" s="42" t="n"/>
    </row>
    <row r="461">
      <c r="A461" s="42" t="n"/>
    </row>
    <row r="462">
      <c r="A462" s="42" t="n"/>
    </row>
    <row r="463">
      <c r="A463" s="42" t="n"/>
    </row>
    <row r="464">
      <c r="A464" s="42" t="n"/>
    </row>
    <row r="465">
      <c r="A465" s="42" t="n"/>
    </row>
    <row r="466">
      <c r="A466" s="42" t="n"/>
    </row>
    <row r="467">
      <c r="A467" s="42" t="n"/>
    </row>
    <row r="468">
      <c r="A468" s="42" t="n"/>
    </row>
    <row r="469">
      <c r="A469" s="42" t="n"/>
    </row>
    <row r="470">
      <c r="A470" s="42" t="n"/>
    </row>
    <row r="471">
      <c r="A471" s="42" t="n"/>
    </row>
    <row r="472">
      <c r="A472" s="42" t="n"/>
    </row>
    <row r="473">
      <c r="A473" s="42" t="n"/>
    </row>
    <row r="474">
      <c r="A474" s="42" t="n"/>
    </row>
    <row r="475">
      <c r="A475" s="42" t="n"/>
    </row>
    <row r="476">
      <c r="A476" s="42" t="n"/>
    </row>
    <row r="477">
      <c r="A477" s="42" t="n"/>
    </row>
    <row r="478">
      <c r="A478" s="42" t="n"/>
    </row>
    <row r="479">
      <c r="A479" s="42" t="n"/>
    </row>
    <row r="480">
      <c r="A480" s="42" t="n"/>
    </row>
    <row r="481">
      <c r="A481" s="42" t="n"/>
    </row>
    <row r="482">
      <c r="A482" s="42" t="n"/>
    </row>
    <row r="483">
      <c r="A483" s="42" t="n"/>
    </row>
    <row r="484">
      <c r="A484" s="42" t="n"/>
    </row>
    <row r="485">
      <c r="A485" s="42" t="n"/>
    </row>
    <row r="486">
      <c r="A486" s="42" t="n"/>
    </row>
    <row r="487">
      <c r="A487" s="42" t="n"/>
    </row>
    <row r="488">
      <c r="A488" s="42" t="n"/>
    </row>
    <row r="489">
      <c r="A489" s="42" t="n"/>
    </row>
    <row r="490">
      <c r="A490" s="42" t="n"/>
    </row>
    <row r="491">
      <c r="A491" s="42" t="n"/>
    </row>
    <row r="492">
      <c r="A492" s="42" t="n"/>
    </row>
    <row r="493">
      <c r="A493" s="42" t="n"/>
    </row>
    <row r="494">
      <c r="A494" s="42" t="n"/>
    </row>
    <row r="495">
      <c r="A495" s="42" t="n"/>
    </row>
    <row r="496">
      <c r="A496" s="42" t="n"/>
    </row>
    <row r="497">
      <c r="A497" s="42" t="n"/>
    </row>
    <row r="498">
      <c r="A498" s="42" t="n"/>
    </row>
    <row r="499">
      <c r="A499" s="42" t="n"/>
    </row>
    <row r="500">
      <c r="A500" s="42" t="n"/>
    </row>
    <row r="501">
      <c r="A501" s="42" t="n"/>
    </row>
    <row r="502">
      <c r="A502" s="42" t="n"/>
    </row>
    <row r="503">
      <c r="A503" s="42" t="n"/>
    </row>
    <row r="504">
      <c r="A504" s="42" t="n"/>
    </row>
    <row r="505">
      <c r="A505" s="42" t="n"/>
    </row>
    <row r="506">
      <c r="A506" s="42" t="n"/>
    </row>
    <row r="507">
      <c r="A507" s="42" t="n"/>
    </row>
    <row r="508">
      <c r="A508" s="42" t="n"/>
    </row>
    <row r="509">
      <c r="A509" s="42" t="n"/>
    </row>
    <row r="510">
      <c r="A510" s="42" t="n"/>
    </row>
    <row r="511">
      <c r="A511" s="42" t="n"/>
    </row>
    <row r="512">
      <c r="A512" s="42" t="n"/>
    </row>
    <row r="513">
      <c r="A513" s="42" t="n"/>
    </row>
    <row r="514">
      <c r="A514" s="42" t="n"/>
    </row>
    <row r="515">
      <c r="A515" s="42" t="n"/>
    </row>
    <row r="516">
      <c r="A516" s="42" t="n"/>
    </row>
    <row r="517">
      <c r="A517" s="42" t="n"/>
    </row>
    <row r="518">
      <c r="A518" s="42" t="n"/>
    </row>
    <row r="519">
      <c r="A519" s="42" t="n"/>
    </row>
    <row r="520">
      <c r="A520" s="42" t="n"/>
    </row>
    <row r="521">
      <c r="A521" s="42" t="n"/>
    </row>
    <row r="522">
      <c r="A522" s="42" t="n"/>
    </row>
    <row r="523">
      <c r="A523" s="42" t="n"/>
    </row>
    <row r="524">
      <c r="A524" s="42" t="n"/>
    </row>
    <row r="525">
      <c r="A525" s="42" t="n"/>
    </row>
    <row r="526">
      <c r="A526" s="42" t="n"/>
    </row>
    <row r="527">
      <c r="A527" s="42" t="n"/>
    </row>
    <row r="528">
      <c r="A528" s="42" t="n"/>
    </row>
    <row r="529">
      <c r="A529" s="42" t="n"/>
    </row>
    <row r="530">
      <c r="A530" s="42" t="n"/>
    </row>
    <row r="531">
      <c r="A531" s="42" t="n"/>
    </row>
    <row r="532">
      <c r="A532" s="42" t="n"/>
    </row>
    <row r="533">
      <c r="A533" s="42" t="n"/>
    </row>
    <row r="534">
      <c r="A534" s="42" t="n"/>
    </row>
    <row r="535">
      <c r="A535" s="42" t="n"/>
    </row>
    <row r="536">
      <c r="A536" s="42" t="n"/>
    </row>
    <row r="537">
      <c r="A537" s="42" t="n"/>
    </row>
    <row r="538">
      <c r="A538" s="42" t="n"/>
    </row>
    <row r="539">
      <c r="A539" s="42" t="n"/>
    </row>
    <row r="540">
      <c r="A540" s="42" t="n"/>
    </row>
    <row r="541">
      <c r="A541" s="42" t="n"/>
    </row>
    <row r="542">
      <c r="A542" s="42" t="n"/>
    </row>
    <row r="543">
      <c r="A543" s="42" t="n"/>
    </row>
    <row r="544">
      <c r="A544" s="42" t="n"/>
    </row>
    <row r="545">
      <c r="A545" s="42" t="n"/>
    </row>
    <row r="546">
      <c r="A546" s="42" t="n"/>
    </row>
    <row r="547">
      <c r="A547" s="42" t="n"/>
    </row>
    <row r="548">
      <c r="A548" s="42" t="n"/>
    </row>
    <row r="549">
      <c r="A549" s="42" t="n"/>
    </row>
    <row r="550">
      <c r="A550" s="42" t="n"/>
    </row>
    <row r="551">
      <c r="A551" s="42" t="n"/>
    </row>
    <row r="552">
      <c r="A552" s="42" t="n"/>
    </row>
    <row r="553">
      <c r="A553" s="42" t="n"/>
    </row>
    <row r="554">
      <c r="A554" s="42" t="n"/>
    </row>
    <row r="555">
      <c r="A555" s="42" t="n"/>
    </row>
    <row r="556">
      <c r="A556" s="42" t="n"/>
    </row>
    <row r="557">
      <c r="A557" s="42" t="n"/>
    </row>
    <row r="558">
      <c r="A558" s="42" t="n"/>
    </row>
    <row r="559">
      <c r="A559" s="42" t="n"/>
    </row>
    <row r="560">
      <c r="A560" s="42" t="n"/>
    </row>
    <row r="561">
      <c r="A561" s="42" t="n"/>
    </row>
    <row r="562">
      <c r="A562" s="42" t="n"/>
    </row>
    <row r="563">
      <c r="A563" s="42" t="n"/>
    </row>
    <row r="564">
      <c r="A564" s="42" t="n"/>
    </row>
    <row r="565">
      <c r="A565" s="42" t="n"/>
    </row>
    <row r="566">
      <c r="A566" s="42" t="n"/>
    </row>
    <row r="567">
      <c r="A567" s="42" t="n"/>
    </row>
    <row r="568">
      <c r="A568" s="42" t="n"/>
    </row>
    <row r="569">
      <c r="A569" s="42" t="n"/>
    </row>
    <row r="570">
      <c r="A570" s="42" t="n"/>
    </row>
    <row r="571">
      <c r="A571" s="42" t="n"/>
    </row>
    <row r="572">
      <c r="A572" s="42" t="n"/>
    </row>
    <row r="573">
      <c r="A573" s="42" t="n"/>
    </row>
    <row r="574">
      <c r="A574" s="42" t="n"/>
    </row>
    <row r="575">
      <c r="A575" s="42" t="n"/>
    </row>
    <row r="576">
      <c r="A576" s="42" t="n"/>
    </row>
    <row r="577">
      <c r="A577" s="42" t="n"/>
    </row>
    <row r="578">
      <c r="A578" s="42" t="n"/>
    </row>
    <row r="579">
      <c r="A579" s="42" t="n"/>
    </row>
    <row r="580">
      <c r="A580" s="42" t="n"/>
    </row>
    <row r="581">
      <c r="A581" s="42" t="n"/>
    </row>
    <row r="582">
      <c r="A582" s="42" t="n"/>
    </row>
    <row r="583">
      <c r="A583" s="42" t="n"/>
    </row>
    <row r="584">
      <c r="A584" s="42" t="n"/>
    </row>
    <row r="585">
      <c r="A585" s="42" t="n"/>
    </row>
    <row r="586">
      <c r="A586" s="42" t="n"/>
    </row>
    <row r="587">
      <c r="A587" s="42" t="n"/>
    </row>
    <row r="588">
      <c r="A588" s="42" t="n"/>
    </row>
    <row r="589">
      <c r="A589" s="42" t="n"/>
    </row>
    <row r="590">
      <c r="A590" s="42" t="n"/>
    </row>
    <row r="591">
      <c r="A591" s="42" t="n"/>
    </row>
    <row r="592">
      <c r="A592" s="42" t="n"/>
    </row>
    <row r="593">
      <c r="A593" s="42" t="n"/>
    </row>
    <row r="594">
      <c r="A594" s="42" t="n"/>
    </row>
    <row r="595">
      <c r="A595" s="42" t="n"/>
    </row>
    <row r="596">
      <c r="A596" s="42" t="n"/>
    </row>
    <row r="597">
      <c r="A597" s="42" t="n"/>
    </row>
    <row r="598">
      <c r="A598" s="42" t="n"/>
    </row>
    <row r="599">
      <c r="A599" s="42" t="n"/>
    </row>
    <row r="600">
      <c r="A600" s="42" t="n"/>
    </row>
    <row r="601">
      <c r="A601" s="42" t="n"/>
    </row>
    <row r="602">
      <c r="A602" s="42" t="n"/>
    </row>
    <row r="603">
      <c r="A603" s="42" t="n"/>
    </row>
    <row r="604">
      <c r="A604" s="42" t="n"/>
    </row>
    <row r="605">
      <c r="A605" s="42" t="n"/>
    </row>
    <row r="606">
      <c r="A606" s="42" t="n"/>
    </row>
    <row r="607">
      <c r="A607" s="42" t="n"/>
    </row>
    <row r="608">
      <c r="A608" s="42" t="n"/>
    </row>
    <row r="609">
      <c r="A609" s="42" t="n"/>
    </row>
    <row r="610">
      <c r="A610" s="42" t="n"/>
    </row>
    <row r="611">
      <c r="A611" s="42" t="n"/>
    </row>
    <row r="612">
      <c r="A612" s="42" t="n"/>
    </row>
    <row r="613">
      <c r="A613" s="42" t="n"/>
    </row>
    <row r="614">
      <c r="A614" s="42" t="n"/>
    </row>
    <row r="615">
      <c r="A615" s="42" t="n"/>
    </row>
    <row r="616">
      <c r="A616" s="42" t="n"/>
    </row>
    <row r="617">
      <c r="A617" s="42" t="n"/>
    </row>
    <row r="618">
      <c r="A618" s="42" t="n"/>
    </row>
    <row r="619">
      <c r="A619" s="42" t="n"/>
    </row>
    <row r="620">
      <c r="A620" s="42" t="n"/>
    </row>
    <row r="621">
      <c r="A621" s="42" t="n"/>
    </row>
    <row r="622">
      <c r="A622" s="42" t="n"/>
    </row>
    <row r="623">
      <c r="A623" s="42" t="n"/>
    </row>
    <row r="624">
      <c r="A624" s="42" t="n"/>
    </row>
    <row r="625">
      <c r="A625" s="42" t="n"/>
    </row>
    <row r="626">
      <c r="A626" s="42" t="n"/>
    </row>
    <row r="627">
      <c r="A627" s="42" t="n"/>
    </row>
    <row r="628">
      <c r="A628" s="42" t="n"/>
    </row>
    <row r="629">
      <c r="A629" s="42" t="n"/>
    </row>
    <row r="630">
      <c r="A630" s="42" t="n"/>
    </row>
    <row r="631">
      <c r="A631" s="42" t="n"/>
    </row>
    <row r="632">
      <c r="A632" s="42" t="n"/>
    </row>
    <row r="633">
      <c r="A633" s="42" t="n"/>
    </row>
    <row r="634">
      <c r="A634" s="42" t="n"/>
    </row>
    <row r="635">
      <c r="A635" s="42" t="n"/>
    </row>
    <row r="636">
      <c r="A636" s="42" t="n"/>
    </row>
    <row r="637">
      <c r="A637" s="42" t="n"/>
    </row>
    <row r="638">
      <c r="A638" s="42" t="n"/>
    </row>
    <row r="639">
      <c r="A639" s="42" t="n"/>
    </row>
    <row r="640">
      <c r="A640" s="42" t="n"/>
    </row>
    <row r="641">
      <c r="A641" s="42" t="n"/>
    </row>
    <row r="642">
      <c r="A642" s="42" t="n"/>
    </row>
    <row r="643">
      <c r="A643" s="42" t="n"/>
    </row>
    <row r="644">
      <c r="A644" s="42" t="n"/>
    </row>
    <row r="645">
      <c r="A645" s="42" t="n"/>
    </row>
    <row r="646">
      <c r="A646" s="42" t="n"/>
    </row>
    <row r="647">
      <c r="A647" s="42" t="n"/>
    </row>
    <row r="648">
      <c r="A648" s="42" t="n"/>
    </row>
    <row r="649">
      <c r="A649" s="42" t="n"/>
    </row>
    <row r="650">
      <c r="A650" s="42" t="n"/>
    </row>
    <row r="651">
      <c r="A651" s="42" t="n"/>
    </row>
    <row r="652">
      <c r="A652" s="42" t="n"/>
    </row>
    <row r="653">
      <c r="A653" s="42" t="n"/>
    </row>
    <row r="654">
      <c r="A654" s="42" t="n"/>
    </row>
    <row r="655">
      <c r="A655" s="42" t="n"/>
    </row>
    <row r="656">
      <c r="A656" s="42" t="n"/>
    </row>
    <row r="657">
      <c r="A657" s="42" t="n"/>
    </row>
    <row r="658">
      <c r="A658" s="42" t="n"/>
    </row>
    <row r="659">
      <c r="A659" s="42" t="n"/>
    </row>
    <row r="660">
      <c r="A660" s="42" t="n"/>
    </row>
    <row r="661">
      <c r="A661" s="42" t="n"/>
    </row>
    <row r="662">
      <c r="A662" s="42" t="n"/>
    </row>
    <row r="663">
      <c r="A663" s="42" t="n"/>
    </row>
    <row r="664">
      <c r="A664" s="42" t="n"/>
    </row>
    <row r="665">
      <c r="A665" s="42" t="n"/>
    </row>
    <row r="666">
      <c r="A666" s="42" t="n"/>
    </row>
    <row r="667">
      <c r="A667" s="42" t="n"/>
    </row>
    <row r="668">
      <c r="A668" s="42" t="n"/>
    </row>
    <row r="669">
      <c r="A669" s="42" t="n"/>
    </row>
    <row r="670">
      <c r="A670" s="42" t="n"/>
    </row>
    <row r="671">
      <c r="A671" s="42" t="n"/>
    </row>
    <row r="672">
      <c r="A672" s="42" t="n"/>
    </row>
    <row r="673">
      <c r="A673" s="42" t="n"/>
    </row>
    <row r="674">
      <c r="A674" s="42" t="n"/>
    </row>
    <row r="675">
      <c r="A675" s="42" t="n"/>
    </row>
    <row r="676">
      <c r="A676" s="42" t="n"/>
    </row>
    <row r="677">
      <c r="A677" s="42" t="n"/>
    </row>
    <row r="678">
      <c r="A678" s="42" t="n"/>
    </row>
    <row r="679">
      <c r="A679" s="42" t="n"/>
    </row>
    <row r="680">
      <c r="A680" s="42" t="n"/>
    </row>
    <row r="681">
      <c r="A681" s="42" t="n"/>
    </row>
    <row r="682">
      <c r="A682" s="42" t="n"/>
    </row>
    <row r="683">
      <c r="A683" s="42" t="n"/>
    </row>
    <row r="684">
      <c r="A684" s="42" t="n"/>
    </row>
    <row r="685">
      <c r="A685" s="42" t="n"/>
    </row>
    <row r="686">
      <c r="A686" s="42" t="n"/>
    </row>
    <row r="687">
      <c r="A687" s="42" t="n"/>
    </row>
    <row r="688">
      <c r="A688" s="42" t="n"/>
    </row>
    <row r="689">
      <c r="A689" s="42" t="n"/>
    </row>
    <row r="690">
      <c r="A690" s="42" t="n"/>
    </row>
    <row r="691">
      <c r="A691" s="42" t="n"/>
    </row>
    <row r="692">
      <c r="A692" s="42" t="n"/>
    </row>
    <row r="693">
      <c r="A693" s="42" t="n"/>
    </row>
    <row r="694">
      <c r="A694" s="42" t="n"/>
    </row>
    <row r="695">
      <c r="A695" s="42" t="n"/>
    </row>
    <row r="696">
      <c r="A696" s="42" t="n"/>
    </row>
    <row r="697">
      <c r="A697" s="42" t="n"/>
    </row>
    <row r="698">
      <c r="A698" s="42" t="n"/>
    </row>
    <row r="699">
      <c r="A699" s="42" t="n"/>
    </row>
    <row r="700">
      <c r="A700" s="42" t="n"/>
    </row>
    <row r="701">
      <c r="A701" s="42" t="n"/>
    </row>
    <row r="702">
      <c r="A702" s="42" t="n"/>
    </row>
    <row r="703">
      <c r="A703" s="42" t="n"/>
    </row>
    <row r="704">
      <c r="A704" s="42" t="n"/>
    </row>
    <row r="705">
      <c r="A705" s="42" t="n"/>
    </row>
    <row r="706">
      <c r="A706" s="42" t="n"/>
    </row>
    <row r="707">
      <c r="A707" s="42" t="n"/>
    </row>
    <row r="708">
      <c r="A708" s="42" t="n"/>
    </row>
    <row r="709">
      <c r="A709" s="42" t="n"/>
    </row>
    <row r="710">
      <c r="A710" s="42" t="n"/>
    </row>
    <row r="711">
      <c r="A711" s="42" t="n"/>
    </row>
    <row r="712">
      <c r="A712" s="42" t="n"/>
    </row>
    <row r="713">
      <c r="A713" s="42" t="n"/>
    </row>
    <row r="714">
      <c r="A714" s="42" t="n"/>
    </row>
    <row r="715">
      <c r="A715" s="42" t="n"/>
    </row>
    <row r="716">
      <c r="A716" s="42" t="n"/>
    </row>
    <row r="717">
      <c r="A717" s="42" t="n"/>
    </row>
    <row r="718">
      <c r="A718" s="42" t="n"/>
    </row>
    <row r="719">
      <c r="A719" s="42" t="n"/>
    </row>
    <row r="720">
      <c r="A720" s="42" t="n"/>
    </row>
    <row r="721">
      <c r="A721" s="42" t="n"/>
    </row>
    <row r="722">
      <c r="A722" s="42" t="n"/>
    </row>
    <row r="723">
      <c r="A723" s="42" t="n"/>
    </row>
    <row r="724">
      <c r="A724" s="42" t="n"/>
    </row>
    <row r="725">
      <c r="A725" s="42" t="n"/>
    </row>
    <row r="726">
      <c r="A726" s="42" t="n"/>
    </row>
    <row r="727">
      <c r="A727" s="42" t="n"/>
    </row>
    <row r="728">
      <c r="A728" s="42" t="n"/>
    </row>
    <row r="729">
      <c r="A729" s="42" t="n"/>
    </row>
    <row r="730">
      <c r="A730" s="42" t="n"/>
    </row>
    <row r="731">
      <c r="A731" s="42" t="n"/>
    </row>
    <row r="732">
      <c r="A732" s="42" t="n"/>
    </row>
    <row r="733">
      <c r="A733" s="42" t="n"/>
    </row>
    <row r="734">
      <c r="A734" s="42" t="n"/>
    </row>
    <row r="735">
      <c r="A735" s="42" t="n"/>
    </row>
    <row r="736">
      <c r="A736" s="42" t="n"/>
    </row>
    <row r="737">
      <c r="A737" s="42" t="n"/>
    </row>
    <row r="738">
      <c r="A738" s="42" t="n"/>
    </row>
    <row r="739">
      <c r="A739" s="42" t="n"/>
    </row>
    <row r="740">
      <c r="A740" s="42" t="n"/>
    </row>
    <row r="741">
      <c r="A741" s="42" t="n"/>
    </row>
    <row r="742">
      <c r="A742" s="42" t="n"/>
    </row>
    <row r="743">
      <c r="A743" s="42" t="n"/>
    </row>
    <row r="744">
      <c r="A744" s="42" t="n"/>
    </row>
    <row r="745">
      <c r="A745" s="42" t="n"/>
    </row>
    <row r="746">
      <c r="A746" s="42" t="n"/>
    </row>
    <row r="747">
      <c r="A747" s="42" t="n"/>
    </row>
    <row r="748">
      <c r="A748" s="42" t="n"/>
    </row>
    <row r="749">
      <c r="A749" s="42" t="n"/>
    </row>
    <row r="750">
      <c r="A750" s="42" t="n"/>
    </row>
    <row r="751">
      <c r="A751" s="42" t="n"/>
    </row>
    <row r="752">
      <c r="A752" s="42" t="n"/>
    </row>
    <row r="753">
      <c r="A753" s="42" t="n"/>
    </row>
    <row r="754">
      <c r="A754" s="42" t="n"/>
    </row>
    <row r="755">
      <c r="A755" s="42" t="n"/>
    </row>
    <row r="756">
      <c r="A756" s="42" t="n"/>
    </row>
    <row r="757">
      <c r="A757" s="42" t="n"/>
    </row>
    <row r="758">
      <c r="A758" s="42" t="n"/>
    </row>
    <row r="759">
      <c r="A759" s="42" t="n"/>
    </row>
    <row r="760">
      <c r="A760" s="42" t="n"/>
    </row>
    <row r="761">
      <c r="A761" s="42" t="n"/>
    </row>
    <row r="762">
      <c r="A762" s="42" t="n"/>
    </row>
    <row r="763">
      <c r="A763" s="42" t="n"/>
    </row>
    <row r="764">
      <c r="A764" s="42" t="n"/>
    </row>
    <row r="765">
      <c r="A765" s="42" t="n"/>
    </row>
    <row r="766">
      <c r="A766" s="42" t="n"/>
    </row>
    <row r="767">
      <c r="A767" s="42" t="n"/>
    </row>
    <row r="768">
      <c r="A768" s="42" t="n"/>
    </row>
    <row r="769">
      <c r="A769" s="42" t="n"/>
    </row>
    <row r="770">
      <c r="A770" s="42" t="n"/>
    </row>
    <row r="771">
      <c r="A771" s="42" t="n"/>
    </row>
    <row r="772">
      <c r="A772" s="42" t="n"/>
    </row>
    <row r="773">
      <c r="A773" s="42" t="n"/>
    </row>
    <row r="774">
      <c r="A774" s="42" t="n"/>
    </row>
    <row r="775">
      <c r="A775" s="42" t="n"/>
    </row>
    <row r="776">
      <c r="A776" s="42" t="n"/>
    </row>
    <row r="777">
      <c r="A777" s="42" t="n"/>
    </row>
    <row r="778">
      <c r="A778" s="42" t="n"/>
    </row>
    <row r="779">
      <c r="A779" s="42" t="n"/>
    </row>
    <row r="780">
      <c r="A780" s="42" t="n"/>
    </row>
    <row r="781">
      <c r="A781" s="42" t="n"/>
    </row>
    <row r="782">
      <c r="A782" s="42" t="n"/>
    </row>
    <row r="783">
      <c r="A783" s="42" t="n"/>
    </row>
    <row r="784">
      <c r="A784" s="42" t="n"/>
    </row>
    <row r="785">
      <c r="A785" s="42" t="n"/>
    </row>
    <row r="786">
      <c r="A786" s="42" t="n"/>
    </row>
    <row r="787">
      <c r="A787" s="42" t="n"/>
    </row>
    <row r="788">
      <c r="A788" s="42" t="n"/>
    </row>
    <row r="789">
      <c r="A789" s="42" t="n"/>
    </row>
    <row r="790">
      <c r="A790" s="42" t="n"/>
    </row>
    <row r="791">
      <c r="A791" s="42" t="n"/>
    </row>
    <row r="792">
      <c r="A792" s="42" t="n"/>
    </row>
    <row r="793">
      <c r="A793" s="42" t="n"/>
    </row>
    <row r="794">
      <c r="A794" s="42" t="n"/>
    </row>
    <row r="795">
      <c r="A795" s="42" t="n"/>
    </row>
    <row r="796">
      <c r="A796" s="42" t="n"/>
    </row>
    <row r="797">
      <c r="A797" s="42" t="n"/>
    </row>
    <row r="798">
      <c r="A798" s="42" t="n"/>
    </row>
    <row r="799">
      <c r="A799" s="42" t="n"/>
    </row>
    <row r="800">
      <c r="A800" s="42" t="n"/>
    </row>
    <row r="801">
      <c r="A801" s="42" t="n"/>
    </row>
    <row r="802">
      <c r="A802" s="42" t="n"/>
    </row>
    <row r="803">
      <c r="A803" s="42" t="n"/>
    </row>
    <row r="804">
      <c r="A804" s="42" t="n"/>
    </row>
    <row r="805">
      <c r="A805" s="42" t="n"/>
    </row>
    <row r="806">
      <c r="A806" s="42" t="n"/>
    </row>
    <row r="807">
      <c r="A807" s="42" t="n"/>
    </row>
    <row r="808">
      <c r="A808" s="42" t="n"/>
    </row>
    <row r="809">
      <c r="A809" s="42" t="n"/>
    </row>
    <row r="810">
      <c r="A810" s="42" t="n"/>
    </row>
    <row r="811">
      <c r="A811" s="42" t="n"/>
    </row>
    <row r="812">
      <c r="A812" s="42" t="n"/>
    </row>
    <row r="813">
      <c r="A813" s="42" t="n"/>
    </row>
    <row r="814">
      <c r="A814" s="42" t="n"/>
    </row>
    <row r="815">
      <c r="A815" s="42" t="n"/>
    </row>
    <row r="816">
      <c r="A816" s="42" t="n"/>
    </row>
    <row r="817">
      <c r="A817" s="42" t="n"/>
    </row>
    <row r="818">
      <c r="A818" s="42" t="n"/>
    </row>
    <row r="819">
      <c r="A819" s="42" t="n"/>
    </row>
    <row r="820">
      <c r="A820" s="42" t="n"/>
    </row>
    <row r="821">
      <c r="A821" s="42" t="n"/>
    </row>
    <row r="822">
      <c r="A822" s="42" t="n"/>
    </row>
    <row r="823">
      <c r="A823" s="42" t="n"/>
    </row>
    <row r="824">
      <c r="A824" s="42" t="n"/>
    </row>
    <row r="825">
      <c r="A825" s="42" t="n"/>
    </row>
    <row r="826">
      <c r="A826" s="42" t="n"/>
    </row>
    <row r="827">
      <c r="A827" s="42" t="n"/>
    </row>
    <row r="828">
      <c r="A828" s="42" t="n"/>
    </row>
    <row r="829">
      <c r="A829" s="42" t="n"/>
    </row>
    <row r="830">
      <c r="A830" s="42" t="n"/>
    </row>
    <row r="831">
      <c r="A831" s="42" t="n"/>
    </row>
    <row r="832">
      <c r="A832" s="42" t="n"/>
    </row>
    <row r="833">
      <c r="A833" s="42" t="n"/>
    </row>
    <row r="834">
      <c r="A834" s="42" t="n"/>
    </row>
    <row r="835">
      <c r="A835" s="42" t="n"/>
    </row>
    <row r="836">
      <c r="A836" s="42" t="n"/>
    </row>
    <row r="837">
      <c r="A837" s="42" t="n"/>
    </row>
    <row r="838">
      <c r="A838" s="42" t="n"/>
    </row>
    <row r="839">
      <c r="A839" s="42" t="n"/>
    </row>
    <row r="840">
      <c r="A840" s="42" t="n"/>
    </row>
    <row r="841">
      <c r="A841" s="42" t="n"/>
    </row>
    <row r="842">
      <c r="A842" s="42" t="n"/>
    </row>
    <row r="843">
      <c r="A843" s="42" t="n"/>
    </row>
    <row r="844">
      <c r="A844" s="42" t="n"/>
    </row>
    <row r="845">
      <c r="A845" s="42" t="n"/>
    </row>
    <row r="846">
      <c r="A846" s="42" t="n"/>
    </row>
    <row r="847">
      <c r="A847" s="42" t="n"/>
    </row>
    <row r="848">
      <c r="A848" s="42" t="n"/>
    </row>
    <row r="849">
      <c r="A849" s="42" t="n"/>
    </row>
    <row r="850">
      <c r="A850" s="42" t="n"/>
    </row>
    <row r="851">
      <c r="A851" s="42" t="n"/>
    </row>
    <row r="852">
      <c r="A852" s="42" t="n"/>
    </row>
    <row r="853">
      <c r="A853" s="42" t="n"/>
    </row>
    <row r="854">
      <c r="A854" s="42" t="n"/>
    </row>
    <row r="855">
      <c r="A855" s="42" t="n"/>
    </row>
    <row r="856">
      <c r="A856" s="42" t="n"/>
    </row>
    <row r="857">
      <c r="A857" s="42" t="n"/>
    </row>
    <row r="858">
      <c r="A858" s="42" t="n"/>
    </row>
    <row r="859">
      <c r="A859" s="42" t="n"/>
    </row>
    <row r="860">
      <c r="A860" s="42" t="n"/>
    </row>
    <row r="861">
      <c r="A861" s="42" t="n"/>
    </row>
    <row r="862">
      <c r="A862" s="42" t="n"/>
    </row>
    <row r="863">
      <c r="A863" s="42" t="n"/>
    </row>
    <row r="864">
      <c r="A864" s="42" t="n"/>
    </row>
    <row r="865">
      <c r="A865" s="42" t="n"/>
    </row>
    <row r="866">
      <c r="A866" s="42" t="n"/>
    </row>
    <row r="867">
      <c r="A867" s="42" t="n"/>
    </row>
    <row r="868">
      <c r="A868" s="42" t="n"/>
    </row>
    <row r="869">
      <c r="A869" s="42" t="n"/>
    </row>
    <row r="870">
      <c r="A870" s="42" t="n"/>
    </row>
    <row r="871">
      <c r="A871" s="42" t="n"/>
    </row>
    <row r="872">
      <c r="A872" s="42" t="n"/>
    </row>
    <row r="873">
      <c r="A873" s="42" t="n"/>
    </row>
    <row r="874">
      <c r="A874" s="42" t="n"/>
    </row>
    <row r="875">
      <c r="A875" s="42" t="n"/>
    </row>
    <row r="876">
      <c r="A876" s="42" t="n"/>
    </row>
    <row r="877">
      <c r="A877" s="42" t="n"/>
    </row>
    <row r="878">
      <c r="A878" s="42" t="n"/>
    </row>
    <row r="879">
      <c r="A879" s="42" t="n"/>
    </row>
    <row r="880">
      <c r="A880" s="42" t="n"/>
    </row>
    <row r="881">
      <c r="A881" s="42" t="n"/>
    </row>
    <row r="882">
      <c r="A882" s="42" t="n"/>
    </row>
    <row r="883">
      <c r="A883" s="42" t="n"/>
    </row>
    <row r="884">
      <c r="A884" s="42" t="n"/>
    </row>
    <row r="885">
      <c r="A885" s="42" t="n"/>
    </row>
    <row r="886">
      <c r="A886" s="42" t="n"/>
    </row>
    <row r="887">
      <c r="A887" s="42" t="n"/>
    </row>
    <row r="888">
      <c r="A888" s="42" t="n"/>
    </row>
    <row r="889">
      <c r="A889" s="42" t="n"/>
    </row>
    <row r="890">
      <c r="A890" s="42" t="n"/>
    </row>
    <row r="891">
      <c r="A891" s="42" t="n"/>
    </row>
    <row r="892">
      <c r="A892" s="42" t="n"/>
    </row>
    <row r="893">
      <c r="A893" s="42" t="n"/>
    </row>
    <row r="894">
      <c r="A894" s="42" t="n"/>
    </row>
    <row r="895">
      <c r="A895" s="42" t="n"/>
    </row>
    <row r="896">
      <c r="A896" s="42" t="n"/>
    </row>
    <row r="897">
      <c r="A897" s="42" t="n"/>
    </row>
    <row r="898">
      <c r="A898" s="42" t="n"/>
    </row>
    <row r="899">
      <c r="A899" s="42" t="n"/>
    </row>
    <row r="900">
      <c r="A900" s="42" t="n"/>
    </row>
    <row r="901">
      <c r="A901" s="42" t="n"/>
    </row>
    <row r="902">
      <c r="A902" s="42" t="n"/>
    </row>
    <row r="903">
      <c r="A903" s="42" t="n"/>
    </row>
    <row r="904">
      <c r="A904" s="42" t="n"/>
    </row>
    <row r="905">
      <c r="A905" s="42" t="n"/>
    </row>
    <row r="906">
      <c r="A906" s="42" t="n"/>
    </row>
    <row r="907">
      <c r="A907" s="42" t="n"/>
    </row>
    <row r="908">
      <c r="A908" s="42" t="n"/>
    </row>
    <row r="909">
      <c r="A909" s="42" t="n"/>
    </row>
    <row r="910">
      <c r="A910" s="42" t="n"/>
    </row>
    <row r="911">
      <c r="A911" s="42" t="n"/>
    </row>
    <row r="912">
      <c r="A912" s="42" t="n"/>
    </row>
    <row r="913">
      <c r="A913" s="42" t="n"/>
    </row>
    <row r="914">
      <c r="A914" s="42" t="n"/>
    </row>
    <row r="915">
      <c r="A915" s="42" t="n"/>
    </row>
    <row r="916">
      <c r="A916" s="42" t="n"/>
    </row>
    <row r="917">
      <c r="A917" s="42" t="n"/>
    </row>
    <row r="918">
      <c r="A918" s="42" t="n"/>
    </row>
    <row r="919">
      <c r="A919" s="42" t="n"/>
    </row>
    <row r="920">
      <c r="A920" s="42" t="n"/>
    </row>
    <row r="921">
      <c r="A921" s="42" t="n"/>
    </row>
    <row r="922">
      <c r="A922" s="42" t="n"/>
    </row>
    <row r="923">
      <c r="A923" s="42" t="n"/>
    </row>
    <row r="924">
      <c r="A924" s="42" t="n"/>
    </row>
    <row r="925">
      <c r="A925" s="42" t="n"/>
    </row>
    <row r="926">
      <c r="A926" s="42" t="n"/>
    </row>
    <row r="927">
      <c r="A927" s="42" t="n"/>
    </row>
    <row r="928">
      <c r="A928" s="42" t="n"/>
    </row>
    <row r="929">
      <c r="A929" s="42" t="n"/>
    </row>
    <row r="930">
      <c r="A930" s="42" t="n"/>
    </row>
    <row r="931">
      <c r="A931" s="42" t="n"/>
    </row>
    <row r="932">
      <c r="A932" s="42" t="n"/>
    </row>
    <row r="933">
      <c r="A933" s="42" t="n"/>
    </row>
    <row r="934">
      <c r="A934" s="42" t="n"/>
    </row>
    <row r="935">
      <c r="A935" s="42" t="n"/>
    </row>
    <row r="936">
      <c r="A936" s="42" t="n"/>
    </row>
    <row r="937">
      <c r="A937" s="42" t="n"/>
    </row>
    <row r="938">
      <c r="A938" s="42" t="n"/>
    </row>
    <row r="939">
      <c r="A939" s="42" t="n"/>
    </row>
    <row r="940">
      <c r="A940" s="42" t="n"/>
    </row>
    <row r="941">
      <c r="A941" s="42" t="n"/>
    </row>
    <row r="942">
      <c r="A942" s="42" t="n"/>
    </row>
    <row r="943">
      <c r="A943" s="42" t="n"/>
    </row>
    <row r="944">
      <c r="A944" s="42" t="n"/>
    </row>
    <row r="945">
      <c r="A945" s="42" t="n"/>
    </row>
    <row r="946">
      <c r="A946" s="42" t="n"/>
    </row>
    <row r="947">
      <c r="A947" s="42" t="n"/>
    </row>
    <row r="948">
      <c r="A948" s="42" t="n"/>
    </row>
    <row r="949">
      <c r="A949" s="42" t="n"/>
    </row>
    <row r="950">
      <c r="A950" s="42" t="n"/>
    </row>
    <row r="951">
      <c r="A951" s="42" t="n"/>
    </row>
    <row r="952">
      <c r="A952" s="42" t="n"/>
    </row>
    <row r="953">
      <c r="A953" s="42" t="n"/>
    </row>
    <row r="954">
      <c r="A954" s="42" t="n"/>
    </row>
    <row r="955">
      <c r="A955" s="42" t="n"/>
    </row>
    <row r="956">
      <c r="A956" s="42" t="n"/>
    </row>
    <row r="957">
      <c r="A957" s="42" t="n"/>
    </row>
    <row r="958">
      <c r="A958" s="42" t="n"/>
    </row>
    <row r="959">
      <c r="A959" s="42" t="n"/>
    </row>
    <row r="960">
      <c r="A960" s="42" t="n"/>
    </row>
    <row r="961">
      <c r="A961" s="42" t="n"/>
    </row>
    <row r="962">
      <c r="A962" s="42" t="n"/>
    </row>
    <row r="963">
      <c r="A963" s="42" t="n"/>
    </row>
    <row r="964">
      <c r="A964" s="42" t="n"/>
    </row>
    <row r="965">
      <c r="A965" s="42" t="n"/>
    </row>
    <row r="966">
      <c r="A966" s="42" t="n"/>
    </row>
    <row r="967">
      <c r="A967" s="42" t="n"/>
    </row>
    <row r="968">
      <c r="A968" s="42" t="n"/>
    </row>
    <row r="969">
      <c r="A969" s="42" t="n"/>
    </row>
    <row r="970">
      <c r="A970" s="42" t="n"/>
    </row>
    <row r="971">
      <c r="A971" s="42" t="n"/>
    </row>
    <row r="972">
      <c r="A972" s="42" t="n"/>
    </row>
    <row r="973">
      <c r="A973" s="42" t="n"/>
    </row>
    <row r="974">
      <c r="A974" s="42" t="n"/>
    </row>
    <row r="975">
      <c r="A975" s="42" t="n"/>
    </row>
    <row r="976">
      <c r="A976" s="42" t="n"/>
    </row>
    <row r="977">
      <c r="A977" s="42" t="n"/>
    </row>
    <row r="978">
      <c r="A978" s="42" t="n"/>
    </row>
    <row r="979">
      <c r="A979" s="42" t="n"/>
    </row>
    <row r="980">
      <c r="A980" s="42" t="n"/>
    </row>
    <row r="981">
      <c r="A981" s="42" t="n"/>
    </row>
    <row r="982">
      <c r="A982" s="42" t="n"/>
    </row>
    <row r="983">
      <c r="A983" s="42" t="n"/>
    </row>
    <row r="984">
      <c r="A984" s="42" t="n"/>
    </row>
    <row r="985">
      <c r="A985" s="42" t="n"/>
    </row>
    <row r="986">
      <c r="A986" s="42" t="n"/>
    </row>
    <row r="987">
      <c r="A987" s="42" t="n"/>
    </row>
    <row r="988">
      <c r="A988" s="42" t="n"/>
    </row>
    <row r="989">
      <c r="A989" s="42" t="n"/>
    </row>
    <row r="990">
      <c r="A990" s="42" t="n"/>
    </row>
    <row r="991">
      <c r="A991" s="42" t="n"/>
    </row>
    <row r="992">
      <c r="A992" s="42" t="n"/>
    </row>
    <row r="993">
      <c r="A993" s="42" t="n"/>
    </row>
    <row r="994">
      <c r="A994" s="42" t="n"/>
    </row>
    <row r="995">
      <c r="A995" s="42" t="n"/>
    </row>
    <row r="996">
      <c r="A996" s="42" t="n"/>
    </row>
    <row r="997">
      <c r="A997" s="42" t="n"/>
    </row>
    <row r="998">
      <c r="A998" s="42" t="n"/>
    </row>
    <row r="999">
      <c r="A999" s="42" t="n"/>
    </row>
    <row r="1000">
      <c r="A1000" s="42" t="n"/>
    </row>
    <row r="1001">
      <c r="A1001" s="42" t="n"/>
    </row>
    <row r="1002">
      <c r="A1002" s="42" t="n"/>
    </row>
    <row r="1003">
      <c r="A1003" s="42" t="n"/>
    </row>
    <row r="1004">
      <c r="A1004" s="42" t="n"/>
    </row>
    <row r="1005">
      <c r="A1005" s="42" t="n"/>
    </row>
    <row r="1006">
      <c r="A1006" s="42" t="n"/>
    </row>
    <row r="1007">
      <c r="A1007" s="42" t="n"/>
    </row>
    <row r="1008">
      <c r="A1008" s="42" t="n"/>
    </row>
    <row r="1009">
      <c r="A1009" s="42" t="n"/>
    </row>
    <row r="1010">
      <c r="A1010" s="42" t="n"/>
    </row>
    <row r="1011">
      <c r="A1011" s="42" t="n"/>
    </row>
    <row r="1012">
      <c r="A1012" s="42" t="n"/>
    </row>
    <row r="1013">
      <c r="A1013" s="42" t="n"/>
    </row>
    <row r="1014">
      <c r="A1014" s="42" t="n"/>
    </row>
    <row r="1015">
      <c r="A1015" s="42" t="n"/>
    </row>
    <row r="1016">
      <c r="A1016" s="42" t="n"/>
    </row>
    <row r="1017">
      <c r="A1017" s="42" t="n"/>
    </row>
    <row r="1018">
      <c r="A1018" s="42" t="n"/>
    </row>
    <row r="1019">
      <c r="A1019" s="42" t="n"/>
    </row>
    <row r="1020">
      <c r="A1020" s="42" t="n"/>
    </row>
    <row r="1021">
      <c r="A1021" s="42" t="n"/>
    </row>
    <row r="1022">
      <c r="A1022" s="42" t="n"/>
    </row>
    <row r="1023">
      <c r="A1023" s="42" t="n"/>
    </row>
    <row r="1024">
      <c r="A1024" s="42" t="n"/>
    </row>
    <row r="1025">
      <c r="A1025" s="42" t="n"/>
    </row>
    <row r="1026">
      <c r="A1026" s="42" t="n"/>
    </row>
    <row r="1027">
      <c r="A1027" s="42" t="n"/>
    </row>
    <row r="1028">
      <c r="A1028" s="42" t="n"/>
    </row>
    <row r="1029">
      <c r="A1029" s="42" t="n"/>
    </row>
    <row r="1030">
      <c r="A1030" s="42" t="n"/>
    </row>
    <row r="1031">
      <c r="A1031" s="42" t="n"/>
    </row>
    <row r="1032">
      <c r="A1032" s="42" t="n"/>
    </row>
    <row r="1033">
      <c r="A1033" s="42" t="n"/>
    </row>
    <row r="1034">
      <c r="A1034" s="42" t="n"/>
    </row>
    <row r="1035">
      <c r="A1035" s="42" t="n"/>
    </row>
    <row r="1036">
      <c r="A1036" s="42" t="n"/>
    </row>
    <row r="1037">
      <c r="A1037" s="42" t="n"/>
    </row>
    <row r="1038">
      <c r="A1038" s="42" t="n"/>
    </row>
    <row r="1039">
      <c r="A1039" s="42" t="n"/>
    </row>
    <row r="1040">
      <c r="A1040" s="42" t="n"/>
    </row>
    <row r="1041">
      <c r="A1041" s="42" t="n"/>
    </row>
    <row r="1042">
      <c r="A1042" s="42" t="n"/>
    </row>
    <row r="1043">
      <c r="A1043" s="42" t="n"/>
    </row>
    <row r="1044">
      <c r="A1044" s="42" t="n"/>
    </row>
    <row r="1045">
      <c r="A1045" s="42" t="n"/>
    </row>
    <row r="1046">
      <c r="A1046" s="42" t="n"/>
    </row>
    <row r="1047">
      <c r="A1047" s="42" t="n"/>
    </row>
    <row r="1048">
      <c r="A1048" s="42" t="n"/>
    </row>
    <row r="1049">
      <c r="A1049" s="42" t="n"/>
    </row>
    <row r="1050">
      <c r="A1050" s="42" t="n"/>
    </row>
    <row r="1051">
      <c r="A1051" s="42" t="n"/>
    </row>
    <row r="1052">
      <c r="A1052" s="42" t="n"/>
    </row>
    <row r="1053">
      <c r="A1053" s="42" t="n"/>
    </row>
    <row r="1054">
      <c r="A1054" s="42" t="n"/>
    </row>
    <row r="1055">
      <c r="A1055" s="42" t="n"/>
    </row>
    <row r="1056">
      <c r="A1056" s="42" t="n"/>
    </row>
    <row r="1057">
      <c r="A1057" s="42" t="n"/>
    </row>
    <row r="1058">
      <c r="A1058" s="42" t="n"/>
    </row>
    <row r="1059">
      <c r="A1059" s="42" t="n"/>
    </row>
    <row r="1060">
      <c r="A1060" s="42" t="n"/>
    </row>
    <row r="1061">
      <c r="A1061" s="42" t="n"/>
    </row>
    <row r="1062">
      <c r="A1062" s="42" t="n"/>
    </row>
    <row r="1063">
      <c r="A1063" s="42" t="n"/>
    </row>
    <row r="1064">
      <c r="A1064" s="42" t="n"/>
    </row>
    <row r="1065">
      <c r="A1065" s="42" t="n"/>
    </row>
    <row r="1066">
      <c r="A1066" s="42" t="n"/>
    </row>
    <row r="1067">
      <c r="A1067" s="42" t="n"/>
    </row>
    <row r="1068">
      <c r="A1068" s="42" t="n"/>
    </row>
    <row r="1069">
      <c r="A1069" s="42" t="n"/>
    </row>
    <row r="1070">
      <c r="A1070" s="42" t="n"/>
    </row>
    <row r="1071">
      <c r="A1071" s="42" t="n"/>
    </row>
    <row r="1072">
      <c r="A1072" s="42" t="n"/>
    </row>
    <row r="1073">
      <c r="A1073" s="42" t="n"/>
    </row>
    <row r="1074">
      <c r="A1074" s="42" t="n"/>
    </row>
    <row r="1075">
      <c r="A1075" s="42" t="n"/>
    </row>
    <row r="1076">
      <c r="A1076" s="42" t="n"/>
    </row>
    <row r="1077">
      <c r="A1077" s="42" t="n"/>
    </row>
    <row r="1078">
      <c r="A1078" s="42" t="n"/>
    </row>
    <row r="1079">
      <c r="A1079" s="42" t="n"/>
    </row>
    <row r="1080">
      <c r="A1080" s="42" t="n"/>
    </row>
    <row r="1081">
      <c r="A1081" s="42" t="n"/>
    </row>
    <row r="1082">
      <c r="A1082" s="42" t="n"/>
    </row>
    <row r="1083">
      <c r="A1083" s="42" t="n"/>
    </row>
    <row r="1084">
      <c r="A1084" s="42" t="n"/>
    </row>
    <row r="1085">
      <c r="A1085" s="42" t="n"/>
    </row>
    <row r="1086">
      <c r="A1086" s="42" t="n"/>
    </row>
    <row r="1087">
      <c r="A1087" s="42" t="n"/>
    </row>
    <row r="1088">
      <c r="A1088" s="42" t="n"/>
    </row>
    <row r="1089">
      <c r="A1089" s="42" t="n"/>
    </row>
    <row r="1090">
      <c r="A1090" s="42" t="n"/>
    </row>
    <row r="1091">
      <c r="A1091" s="42" t="n"/>
    </row>
    <row r="1092">
      <c r="A1092" s="42" t="n"/>
    </row>
    <row r="1093">
      <c r="A1093" s="42" t="n"/>
    </row>
    <row r="1094">
      <c r="A1094" s="42" t="n"/>
    </row>
    <row r="1095">
      <c r="A1095" s="42" t="n"/>
    </row>
    <row r="1096">
      <c r="A1096" s="42" t="n"/>
    </row>
    <row r="1097">
      <c r="A1097" s="42" t="n"/>
    </row>
    <row r="1098">
      <c r="A1098" s="42" t="n"/>
    </row>
    <row r="1099">
      <c r="A1099" s="42" t="n"/>
    </row>
    <row r="1100">
      <c r="A1100" s="42" t="n"/>
    </row>
    <row r="1101">
      <c r="A1101" s="42" t="n"/>
    </row>
    <row r="1102">
      <c r="A1102" s="42" t="n"/>
    </row>
    <row r="1103">
      <c r="A1103" s="42" t="n"/>
    </row>
    <row r="1104">
      <c r="A1104" s="42" t="n"/>
    </row>
    <row r="1105">
      <c r="A1105" s="42" t="n"/>
    </row>
    <row r="1106">
      <c r="A1106" s="42" t="n"/>
    </row>
    <row r="1107">
      <c r="A1107" s="42" t="n"/>
    </row>
    <row r="1108">
      <c r="A1108" s="42" t="n"/>
    </row>
    <row r="1109">
      <c r="A1109" s="42" t="n"/>
    </row>
    <row r="1110">
      <c r="A1110" s="42" t="n"/>
    </row>
    <row r="1111">
      <c r="A1111" s="42" t="n"/>
    </row>
    <row r="1112">
      <c r="A1112" s="42" t="n"/>
    </row>
    <row r="1113">
      <c r="A1113" s="42" t="n"/>
    </row>
    <row r="1114">
      <c r="A1114" s="42" t="n"/>
    </row>
    <row r="1115">
      <c r="A1115" s="42" t="n"/>
    </row>
    <row r="1116">
      <c r="A1116" s="42" t="n"/>
    </row>
    <row r="1117">
      <c r="A1117" s="42" t="n"/>
    </row>
    <row r="1118">
      <c r="A1118" s="42" t="n"/>
    </row>
    <row r="1119">
      <c r="A1119" s="42" t="n"/>
    </row>
    <row r="1120">
      <c r="A1120" s="42" t="n"/>
    </row>
    <row r="1121">
      <c r="A1121" s="42" t="n"/>
    </row>
    <row r="1122">
      <c r="A1122" s="42" t="n"/>
    </row>
    <row r="1123">
      <c r="A1123" s="42" t="n"/>
    </row>
    <row r="1124">
      <c r="A1124" s="42" t="n"/>
    </row>
    <row r="1125">
      <c r="A1125" s="42" t="n"/>
    </row>
    <row r="1126">
      <c r="A1126" s="42" t="n"/>
    </row>
    <row r="1127">
      <c r="A1127" s="42" t="n"/>
    </row>
    <row r="1128">
      <c r="A1128" s="42" t="n"/>
    </row>
    <row r="1129">
      <c r="A1129" s="42" t="n"/>
    </row>
    <row r="1130">
      <c r="A1130" s="42" t="n"/>
    </row>
    <row r="1131">
      <c r="A1131" s="42" t="n"/>
    </row>
    <row r="1132">
      <c r="A1132" s="42" t="n"/>
    </row>
    <row r="1133">
      <c r="A1133" s="42" t="n"/>
    </row>
    <row r="1134">
      <c r="A1134" s="42" t="n"/>
    </row>
    <row r="1135">
      <c r="A1135" s="42" t="n"/>
    </row>
    <row r="1136">
      <c r="A1136" s="42" t="n"/>
    </row>
    <row r="1137">
      <c r="A1137" s="42" t="n"/>
    </row>
    <row r="1138">
      <c r="A1138" s="42" t="n"/>
    </row>
    <row r="1139">
      <c r="A1139" s="42" t="n"/>
    </row>
    <row r="1140">
      <c r="A1140" s="42" t="n"/>
    </row>
    <row r="1141">
      <c r="A1141" s="42" t="n"/>
    </row>
    <row r="1142">
      <c r="A1142" s="42" t="n"/>
    </row>
    <row r="1143">
      <c r="A1143" s="42" t="n"/>
    </row>
    <row r="1144">
      <c r="A1144" s="42" t="n"/>
    </row>
    <row r="1145">
      <c r="A1145" s="42" t="n"/>
    </row>
    <row r="1146">
      <c r="A1146" s="42" t="n"/>
    </row>
    <row r="1147">
      <c r="A1147" s="42" t="n"/>
    </row>
    <row r="1148">
      <c r="A1148" s="42" t="n"/>
    </row>
    <row r="1149">
      <c r="A1149" s="42" t="n"/>
    </row>
    <row r="1150">
      <c r="A1150" s="42" t="n"/>
    </row>
    <row r="1151">
      <c r="A1151" s="42" t="n"/>
    </row>
    <row r="1152">
      <c r="A1152" s="42" t="n"/>
    </row>
    <row r="1153">
      <c r="A1153" s="42" t="n"/>
    </row>
    <row r="1154">
      <c r="A1154" s="42" t="n"/>
    </row>
    <row r="1155">
      <c r="A1155" s="42" t="n"/>
    </row>
    <row r="1156">
      <c r="A1156" s="42" t="n"/>
    </row>
    <row r="1157">
      <c r="A1157" s="42" t="n"/>
    </row>
    <row r="1158">
      <c r="A1158" s="42" t="n"/>
    </row>
    <row r="1159">
      <c r="A1159" s="42" t="n"/>
    </row>
    <row r="1160">
      <c r="A1160" s="42" t="n"/>
    </row>
    <row r="1161">
      <c r="A1161" s="42" t="n"/>
    </row>
    <row r="1162">
      <c r="A1162" s="42" t="n"/>
    </row>
    <row r="1163">
      <c r="A1163" s="42" t="n"/>
    </row>
    <row r="1164">
      <c r="A1164" s="42" t="n"/>
    </row>
    <row r="1165">
      <c r="A1165" s="42" t="n"/>
    </row>
    <row r="1166">
      <c r="A1166" s="42" t="n"/>
    </row>
    <row r="1167">
      <c r="A1167" s="42" t="n"/>
    </row>
    <row r="1168">
      <c r="A1168" s="42" t="n"/>
    </row>
    <row r="1169">
      <c r="A1169" s="42" t="n"/>
    </row>
    <row r="1170">
      <c r="A1170" s="42" t="n"/>
    </row>
    <row r="1171">
      <c r="A1171" s="42" t="n"/>
    </row>
    <row r="1172">
      <c r="A1172" s="42" t="n"/>
    </row>
    <row r="1173">
      <c r="A1173" s="42" t="n"/>
    </row>
    <row r="1174">
      <c r="A1174" s="42" t="n"/>
    </row>
    <row r="1175">
      <c r="A1175" s="42" t="n"/>
    </row>
    <row r="1176">
      <c r="A1176" s="42" t="n"/>
    </row>
    <row r="1177">
      <c r="A1177" s="42" t="n"/>
    </row>
    <row r="1178">
      <c r="A1178" s="42" t="n"/>
    </row>
    <row r="1179">
      <c r="A1179" s="42" t="n"/>
    </row>
    <row r="1180">
      <c r="A1180" s="42" t="n"/>
    </row>
    <row r="1181">
      <c r="A1181" s="42" t="n"/>
    </row>
    <row r="1182">
      <c r="A1182" s="42" t="n"/>
    </row>
    <row r="1183">
      <c r="A1183" s="42" t="n"/>
    </row>
    <row r="1184">
      <c r="A1184" s="42" t="n"/>
    </row>
    <row r="1185">
      <c r="A1185" s="42" t="n"/>
    </row>
    <row r="1186">
      <c r="A1186" s="42" t="n"/>
    </row>
    <row r="1187">
      <c r="A1187" s="42" t="n"/>
    </row>
    <row r="1188">
      <c r="A1188" s="42" t="n"/>
    </row>
    <row r="1189">
      <c r="A1189" s="42" t="n"/>
    </row>
    <row r="1190">
      <c r="A1190" s="42" t="n"/>
    </row>
    <row r="1191">
      <c r="A1191" s="42" t="n"/>
    </row>
    <row r="1192">
      <c r="A1192" s="42" t="n"/>
    </row>
    <row r="1193">
      <c r="A1193" s="42" t="n"/>
    </row>
    <row r="1194">
      <c r="A1194" s="42" t="n"/>
    </row>
    <row r="1195">
      <c r="A1195" s="42" t="n"/>
    </row>
    <row r="1196">
      <c r="A1196" s="42" t="n"/>
    </row>
    <row r="1197">
      <c r="A1197" s="42" t="n"/>
    </row>
    <row r="1198">
      <c r="A1198" s="42" t="n"/>
    </row>
    <row r="1199">
      <c r="A1199" s="42" t="n"/>
    </row>
    <row r="1200">
      <c r="A1200" s="42" t="n"/>
    </row>
    <row r="1201">
      <c r="A1201" s="42" t="n"/>
    </row>
    <row r="1202">
      <c r="A1202" s="42" t="n"/>
    </row>
    <row r="1203">
      <c r="A1203" s="42" t="n"/>
    </row>
    <row r="1204">
      <c r="A1204" s="42" t="n"/>
    </row>
    <row r="1205">
      <c r="A1205" s="42" t="n"/>
    </row>
    <row r="1206">
      <c r="A1206" s="42" t="n"/>
    </row>
    <row r="1207">
      <c r="A1207" s="42" t="n"/>
    </row>
    <row r="1208">
      <c r="A1208" s="42" t="n"/>
    </row>
    <row r="1209">
      <c r="A1209" s="42" t="n"/>
    </row>
    <row r="1210">
      <c r="A1210" s="42" t="n"/>
    </row>
    <row r="1211">
      <c r="A1211" s="42" t="n"/>
    </row>
    <row r="1212">
      <c r="A1212" s="42" t="n"/>
    </row>
    <row r="1213">
      <c r="A1213" s="42" t="n"/>
    </row>
    <row r="1214">
      <c r="A1214" s="42" t="n"/>
    </row>
    <row r="1215">
      <c r="A1215" s="42" t="n"/>
    </row>
    <row r="1216">
      <c r="A1216" s="42" t="n"/>
    </row>
    <row r="1217">
      <c r="A1217" s="42" t="n"/>
    </row>
    <row r="1218">
      <c r="A1218" s="42" t="n"/>
    </row>
    <row r="1219">
      <c r="A1219" s="42" t="n"/>
    </row>
    <row r="1220">
      <c r="A1220" s="42" t="n"/>
    </row>
    <row r="1221">
      <c r="A1221" s="42" t="n"/>
    </row>
    <row r="1222">
      <c r="A1222" s="42" t="n"/>
    </row>
    <row r="1223">
      <c r="A1223" s="42" t="n"/>
    </row>
    <row r="1224">
      <c r="A1224" s="42" t="n"/>
    </row>
    <row r="1225">
      <c r="A1225" s="42" t="n"/>
    </row>
    <row r="1226">
      <c r="A1226" s="42" t="n"/>
    </row>
    <row r="1227">
      <c r="A1227" s="42" t="n"/>
    </row>
    <row r="1228">
      <c r="A1228" s="42" t="n"/>
    </row>
    <row r="1229">
      <c r="A1229" s="42" t="n"/>
    </row>
    <row r="1230">
      <c r="A1230" s="42" t="n"/>
    </row>
    <row r="1231">
      <c r="A1231" s="42" t="n"/>
    </row>
    <row r="1232">
      <c r="A1232" s="42" t="n"/>
    </row>
    <row r="1233">
      <c r="A1233" s="42" t="n"/>
    </row>
    <row r="1234">
      <c r="A1234" s="42" t="n"/>
    </row>
    <row r="1235">
      <c r="A1235" s="42" t="n"/>
    </row>
    <row r="1236">
      <c r="A1236" s="42" t="n"/>
    </row>
    <row r="1237">
      <c r="A1237" s="42" t="n"/>
    </row>
    <row r="1238">
      <c r="A1238" s="42" t="n"/>
    </row>
    <row r="1239">
      <c r="A1239" s="42" t="n"/>
    </row>
    <row r="1240">
      <c r="A1240" s="42" t="n"/>
    </row>
    <row r="1241">
      <c r="A1241" s="42" t="n"/>
    </row>
    <row r="1242">
      <c r="A1242" s="42" t="n"/>
    </row>
    <row r="1243">
      <c r="A1243" s="42" t="n"/>
    </row>
    <row r="1244">
      <c r="A1244" s="42" t="n"/>
    </row>
    <row r="1245">
      <c r="A1245" s="42" t="n"/>
    </row>
    <row r="1246">
      <c r="A1246" s="42" t="n"/>
    </row>
    <row r="1247">
      <c r="A1247" s="42" t="n"/>
    </row>
    <row r="1248">
      <c r="A1248" s="42" t="n"/>
    </row>
    <row r="1249">
      <c r="A1249" s="42" t="n"/>
    </row>
    <row r="1250">
      <c r="A1250" s="42" t="n"/>
    </row>
    <row r="1251">
      <c r="A1251" s="42" t="n"/>
    </row>
    <row r="1252">
      <c r="A1252" s="42" t="n"/>
    </row>
    <row r="1253">
      <c r="A1253" s="42" t="n"/>
    </row>
    <row r="1254">
      <c r="A1254" s="42" t="n"/>
    </row>
    <row r="1255">
      <c r="A1255" s="42" t="n"/>
    </row>
    <row r="1256">
      <c r="A1256" s="42" t="n"/>
    </row>
    <row r="1257">
      <c r="A1257" s="42" t="n"/>
    </row>
    <row r="1258">
      <c r="A1258" s="42" t="n"/>
    </row>
    <row r="1259">
      <c r="A1259" s="42" t="n"/>
    </row>
    <row r="1260">
      <c r="A1260" s="42" t="n"/>
    </row>
    <row r="1261">
      <c r="A1261" s="42" t="n"/>
    </row>
    <row r="1262">
      <c r="A1262" s="42" t="n"/>
    </row>
    <row r="1263">
      <c r="A1263" s="42" t="n"/>
    </row>
    <row r="1264">
      <c r="A1264" s="42" t="n"/>
    </row>
    <row r="1265">
      <c r="A1265" s="42" t="n"/>
    </row>
    <row r="1266">
      <c r="A1266" s="42" t="n"/>
    </row>
    <row r="1267">
      <c r="A1267" s="42" t="n"/>
    </row>
    <row r="1268">
      <c r="A1268" s="42" t="n"/>
    </row>
    <row r="1269">
      <c r="A1269" s="42" t="n"/>
    </row>
    <row r="1270">
      <c r="A1270" s="42" t="n"/>
    </row>
    <row r="1271">
      <c r="A1271" s="42" t="n"/>
    </row>
    <row r="1272">
      <c r="A1272" s="42" t="n"/>
    </row>
    <row r="1273">
      <c r="A1273" s="42" t="n"/>
    </row>
    <row r="1274">
      <c r="A1274" s="42" t="n"/>
    </row>
    <row r="1275">
      <c r="A1275" s="42" t="n"/>
    </row>
    <row r="1276">
      <c r="A1276" s="42" t="n"/>
    </row>
    <row r="1277">
      <c r="A1277" s="42" t="n"/>
    </row>
    <row r="1278">
      <c r="A1278" s="42" t="n"/>
    </row>
    <row r="1279">
      <c r="A1279" s="42" t="n"/>
    </row>
    <row r="1280">
      <c r="A1280" s="42" t="n"/>
    </row>
    <row r="1281">
      <c r="A1281" s="42" t="n"/>
    </row>
    <row r="1282">
      <c r="A1282" s="42" t="n"/>
    </row>
    <row r="1283">
      <c r="A1283" s="42" t="n"/>
    </row>
    <row r="1284">
      <c r="A1284" s="42" t="n"/>
    </row>
    <row r="1285">
      <c r="A1285" s="42" t="n"/>
    </row>
    <row r="1286">
      <c r="A1286" s="42" t="n"/>
    </row>
    <row r="1287">
      <c r="A1287" s="42" t="n"/>
    </row>
    <row r="1288">
      <c r="A1288" s="42" t="n"/>
    </row>
    <row r="1289">
      <c r="A1289" s="42" t="n"/>
    </row>
    <row r="1290">
      <c r="A1290" s="42" t="n"/>
    </row>
    <row r="1291">
      <c r="A1291" s="42" t="n"/>
    </row>
    <row r="1292">
      <c r="A1292" s="42" t="n"/>
    </row>
    <row r="1293">
      <c r="A1293" s="42" t="n"/>
    </row>
    <row r="1294">
      <c r="A1294" s="42" t="n"/>
    </row>
    <row r="1295">
      <c r="A1295" s="42" t="n"/>
    </row>
    <row r="1296">
      <c r="A1296" s="42" t="n"/>
    </row>
    <row r="1297">
      <c r="A1297" s="42" t="n"/>
    </row>
    <row r="1298">
      <c r="A1298" s="42" t="n"/>
    </row>
    <row r="1299">
      <c r="A1299" s="42" t="n"/>
    </row>
    <row r="1300">
      <c r="A1300" s="42" t="n"/>
    </row>
    <row r="1301">
      <c r="A1301" s="42" t="n"/>
    </row>
    <row r="1302">
      <c r="A1302" s="42" t="n"/>
    </row>
    <row r="1303">
      <c r="A1303" s="42" t="n"/>
    </row>
    <row r="1304">
      <c r="A1304" s="42" t="n"/>
    </row>
    <row r="1305">
      <c r="A1305" s="42" t="n"/>
    </row>
    <row r="1306">
      <c r="A1306" s="42" t="n"/>
    </row>
    <row r="1307">
      <c r="A1307" s="42" t="n"/>
    </row>
    <row r="1308">
      <c r="A1308" s="42" t="n"/>
    </row>
    <row r="1309">
      <c r="A1309" s="42" t="n"/>
    </row>
    <row r="1310">
      <c r="A1310" s="42" t="n"/>
    </row>
    <row r="1311">
      <c r="A1311" s="42" t="n"/>
    </row>
    <row r="1312">
      <c r="A1312" s="42" t="n"/>
    </row>
    <row r="1313">
      <c r="A1313" s="42" t="n"/>
    </row>
    <row r="1314">
      <c r="A1314" s="42" t="n"/>
    </row>
    <row r="1315">
      <c r="A1315" s="42" t="n"/>
    </row>
    <row r="1316">
      <c r="A1316" s="42" t="n"/>
    </row>
    <row r="1317">
      <c r="A1317" s="42" t="n"/>
    </row>
    <row r="1318">
      <c r="A1318" s="42" t="n"/>
    </row>
    <row r="1319">
      <c r="A1319" s="42" t="n"/>
    </row>
    <row r="1320">
      <c r="A1320" s="42" t="n"/>
    </row>
    <row r="1321">
      <c r="A1321" s="42" t="n"/>
    </row>
    <row r="1322">
      <c r="A1322" s="42" t="n"/>
    </row>
    <row r="1323">
      <c r="A1323" s="42" t="n"/>
    </row>
    <row r="1324">
      <c r="A1324" s="42" t="n"/>
    </row>
    <row r="1325">
      <c r="A1325" s="42" t="n"/>
    </row>
    <row r="1326">
      <c r="A1326" s="42" t="n"/>
    </row>
    <row r="1327">
      <c r="A1327" s="42" t="n"/>
    </row>
    <row r="1328">
      <c r="A1328" s="42" t="n"/>
    </row>
    <row r="1329">
      <c r="A1329" s="42" t="n"/>
    </row>
    <row r="1330">
      <c r="A1330" s="42" t="n"/>
    </row>
    <row r="1331">
      <c r="A1331" s="42" t="n"/>
    </row>
    <row r="1332">
      <c r="A1332" s="42" t="n"/>
    </row>
    <row r="1333">
      <c r="A1333" s="42" t="n"/>
    </row>
    <row r="1334">
      <c r="A1334" s="42" t="n"/>
    </row>
    <row r="1335">
      <c r="A1335" s="42" t="n"/>
    </row>
    <row r="1336">
      <c r="A1336" s="42" t="n"/>
    </row>
    <row r="1337">
      <c r="A1337" s="42" t="n"/>
    </row>
    <row r="1338">
      <c r="A1338" s="42" t="n"/>
    </row>
    <row r="1339">
      <c r="A1339" s="42" t="n"/>
    </row>
    <row r="1340">
      <c r="A1340" s="42" t="n"/>
    </row>
    <row r="1341">
      <c r="A1341" s="42" t="n"/>
    </row>
    <row r="1342">
      <c r="A1342" s="42" t="n"/>
    </row>
    <row r="1343">
      <c r="A1343" s="42" t="n"/>
    </row>
    <row r="1344">
      <c r="A1344" s="42" t="n"/>
    </row>
    <row r="1345">
      <c r="A1345" s="42" t="n"/>
    </row>
    <row r="1346">
      <c r="A1346" s="42" t="n"/>
    </row>
    <row r="1347">
      <c r="A1347" s="42" t="n"/>
    </row>
    <row r="1348">
      <c r="A1348" s="42" t="n"/>
    </row>
    <row r="1349">
      <c r="A1349" s="42" t="n"/>
    </row>
    <row r="1350">
      <c r="A1350" s="42" t="n"/>
    </row>
    <row r="1351">
      <c r="A1351" s="42" t="n"/>
    </row>
    <row r="1352">
      <c r="A1352" s="42" t="n"/>
    </row>
    <row r="1353">
      <c r="A1353" s="42" t="n"/>
    </row>
    <row r="1354">
      <c r="A1354" s="42" t="n"/>
    </row>
    <row r="1355">
      <c r="A1355" s="42" t="n"/>
    </row>
    <row r="1356">
      <c r="A1356" s="42" t="n"/>
    </row>
    <row r="1357">
      <c r="A1357" s="42" t="n"/>
    </row>
    <row r="1358">
      <c r="A1358" s="42" t="n"/>
    </row>
    <row r="1359">
      <c r="A1359" s="42" t="n"/>
    </row>
    <row r="1360">
      <c r="A1360" s="42" t="n"/>
    </row>
    <row r="1361">
      <c r="A1361" s="42" t="n"/>
    </row>
    <row r="1362">
      <c r="A1362" s="42" t="n"/>
    </row>
    <row r="1363">
      <c r="A1363" s="42" t="n"/>
    </row>
    <row r="1364">
      <c r="A1364" s="42" t="n"/>
    </row>
    <row r="1365">
      <c r="A1365" s="42" t="n"/>
    </row>
    <row r="1366">
      <c r="A1366" s="42" t="n"/>
    </row>
    <row r="1367">
      <c r="A1367" s="42" t="n"/>
    </row>
    <row r="1368">
      <c r="A1368" s="42" t="n"/>
    </row>
    <row r="1369">
      <c r="A1369" s="42" t="n"/>
    </row>
    <row r="1370">
      <c r="A1370" s="42" t="n"/>
    </row>
    <row r="1371">
      <c r="A1371" s="42" t="n"/>
    </row>
    <row r="1372">
      <c r="A1372" s="42" t="n"/>
    </row>
    <row r="1373">
      <c r="A1373" s="42" t="n"/>
    </row>
    <row r="1374">
      <c r="A1374" s="42" t="n"/>
    </row>
    <row r="1375">
      <c r="A1375" s="42" t="n"/>
    </row>
    <row r="1376">
      <c r="A1376" s="42" t="n"/>
    </row>
    <row r="1377">
      <c r="A1377" s="42" t="n"/>
    </row>
    <row r="1378">
      <c r="A1378" s="42" t="n"/>
    </row>
    <row r="1379">
      <c r="A1379" s="42" t="n"/>
    </row>
    <row r="1380">
      <c r="A1380" s="42" t="n"/>
    </row>
    <row r="1381">
      <c r="A1381" s="42" t="n"/>
    </row>
    <row r="1382">
      <c r="A1382" s="42" t="n"/>
    </row>
    <row r="1383">
      <c r="A1383" s="42" t="n"/>
    </row>
    <row r="1384">
      <c r="A1384" s="42" t="n"/>
    </row>
    <row r="1385">
      <c r="A1385" s="42" t="n"/>
    </row>
    <row r="1386">
      <c r="A1386" s="42" t="n"/>
    </row>
    <row r="1387">
      <c r="A1387" s="42" t="n"/>
    </row>
    <row r="1388">
      <c r="A1388" s="42" t="n"/>
    </row>
    <row r="1389">
      <c r="A1389" s="42" t="n"/>
    </row>
    <row r="1390">
      <c r="A1390" s="42" t="n"/>
    </row>
    <row r="1391">
      <c r="A1391" s="42" t="n"/>
    </row>
    <row r="1392">
      <c r="A1392" s="42" t="n"/>
    </row>
    <row r="1393">
      <c r="A1393" s="42" t="n"/>
    </row>
    <row r="1394">
      <c r="A1394" s="42" t="n"/>
    </row>
    <row r="1395">
      <c r="A1395" s="42" t="n"/>
    </row>
    <row r="1396">
      <c r="A1396" s="42" t="n"/>
    </row>
    <row r="1397">
      <c r="A1397" s="42" t="n"/>
    </row>
    <row r="1398">
      <c r="A1398" s="42" t="n"/>
    </row>
    <row r="1399">
      <c r="A1399" s="42" t="n"/>
    </row>
    <row r="1400">
      <c r="A1400" s="42" t="n"/>
    </row>
    <row r="1401">
      <c r="A1401" s="42" t="n"/>
    </row>
    <row r="1402">
      <c r="A1402" s="42" t="n"/>
    </row>
    <row r="1403">
      <c r="A1403" s="42" t="n"/>
    </row>
    <row r="1404">
      <c r="A1404" s="42" t="n"/>
    </row>
    <row r="1405">
      <c r="A1405" s="42" t="n"/>
    </row>
    <row r="1406">
      <c r="A1406" s="42" t="n"/>
    </row>
    <row r="1407">
      <c r="A1407" s="42" t="n"/>
    </row>
    <row r="1408">
      <c r="A1408" s="42" t="n"/>
    </row>
    <row r="1409">
      <c r="A1409" s="42" t="n"/>
    </row>
    <row r="1410">
      <c r="A1410" s="42" t="n"/>
    </row>
    <row r="1411">
      <c r="A1411" s="42" t="n"/>
    </row>
    <row r="1412">
      <c r="A1412" s="42" t="n"/>
    </row>
    <row r="1413">
      <c r="A1413" s="42" t="n"/>
    </row>
    <row r="1414">
      <c r="A1414" s="42" t="n"/>
    </row>
    <row r="1415">
      <c r="A1415" s="42" t="n"/>
    </row>
    <row r="1416">
      <c r="A1416" s="42" t="n"/>
    </row>
    <row r="1417">
      <c r="A1417" s="42" t="n"/>
    </row>
    <row r="1418">
      <c r="A1418" s="42" t="n"/>
    </row>
    <row r="1419">
      <c r="A1419" s="42" t="n"/>
    </row>
    <row r="1420">
      <c r="A1420" s="42" t="n"/>
    </row>
    <row r="1421">
      <c r="A1421" s="42" t="n"/>
    </row>
    <row r="1422">
      <c r="A1422" s="42" t="n"/>
    </row>
    <row r="1423">
      <c r="A1423" s="42" t="n"/>
    </row>
    <row r="1424">
      <c r="A1424" s="42" t="n"/>
    </row>
    <row r="1425">
      <c r="A1425" s="42" t="n"/>
    </row>
    <row r="1426">
      <c r="A1426" s="42" t="n"/>
    </row>
    <row r="1427">
      <c r="A1427" s="42" t="n"/>
    </row>
    <row r="1428">
      <c r="A1428" s="42" t="n"/>
    </row>
    <row r="1429">
      <c r="A1429" s="42" t="n"/>
    </row>
    <row r="1430">
      <c r="A1430" s="42" t="n"/>
    </row>
    <row r="1431">
      <c r="A1431" s="42" t="n"/>
    </row>
    <row r="1432">
      <c r="A1432" s="42" t="n"/>
    </row>
    <row r="1433">
      <c r="A1433" s="42" t="n"/>
    </row>
    <row r="1434">
      <c r="A1434" s="42" t="n"/>
    </row>
    <row r="1435">
      <c r="A1435" s="42" t="n"/>
    </row>
    <row r="1436">
      <c r="A1436" s="42" t="n"/>
    </row>
    <row r="1437">
      <c r="A1437" s="42" t="n"/>
    </row>
    <row r="1438">
      <c r="A1438" s="42" t="n"/>
    </row>
    <row r="1439">
      <c r="A1439" s="42" t="n"/>
    </row>
    <row r="1440">
      <c r="A1440" s="42" t="n"/>
    </row>
    <row r="1441">
      <c r="A1441" s="42" t="n"/>
    </row>
    <row r="1442">
      <c r="A1442" s="42" t="n"/>
    </row>
    <row r="1443">
      <c r="A1443" s="42" t="n"/>
    </row>
    <row r="1444">
      <c r="A1444" s="42" t="n"/>
    </row>
    <row r="1445">
      <c r="A1445" s="42" t="n"/>
    </row>
    <row r="1446">
      <c r="A1446" s="42" t="n"/>
    </row>
    <row r="1447">
      <c r="A1447" s="42" t="n"/>
    </row>
    <row r="1448">
      <c r="A1448" s="42" t="n"/>
    </row>
    <row r="1449">
      <c r="A1449" s="42" t="n"/>
    </row>
    <row r="1450">
      <c r="A1450" s="42" t="n"/>
    </row>
    <row r="1451">
      <c r="A1451" s="42" t="n"/>
    </row>
    <row r="1452">
      <c r="A1452" s="42" t="n"/>
    </row>
    <row r="1453">
      <c r="A1453" s="42" t="n"/>
    </row>
    <row r="1454">
      <c r="A1454" s="42" t="n"/>
    </row>
    <row r="1455">
      <c r="A1455" s="42" t="n"/>
    </row>
    <row r="1456">
      <c r="A1456" s="42" t="n"/>
    </row>
    <row r="1457">
      <c r="A1457" s="42" t="n"/>
    </row>
    <row r="1458">
      <c r="A1458" s="42" t="n"/>
    </row>
    <row r="1459">
      <c r="A1459" s="42" t="n"/>
    </row>
    <row r="1460">
      <c r="A1460" s="42" t="n"/>
    </row>
    <row r="1461">
      <c r="A1461" s="42" t="n"/>
    </row>
    <row r="1462">
      <c r="A1462" s="42" t="n"/>
    </row>
    <row r="1463">
      <c r="A1463" s="42" t="n"/>
    </row>
    <row r="1464">
      <c r="A1464" s="42" t="n"/>
    </row>
    <row r="1465">
      <c r="A1465" s="42" t="n"/>
    </row>
    <row r="1466">
      <c r="A1466" s="42" t="n"/>
    </row>
    <row r="1467">
      <c r="A1467" s="42" t="n"/>
    </row>
    <row r="1468">
      <c r="A1468" s="42" t="n"/>
    </row>
    <row r="1469">
      <c r="A1469" s="42" t="n"/>
    </row>
    <row r="1470">
      <c r="A1470" s="42" t="n"/>
    </row>
    <row r="1471">
      <c r="A1471" s="42" t="n"/>
    </row>
    <row r="1472">
      <c r="A1472" s="42" t="n"/>
    </row>
    <row r="1473">
      <c r="A1473" s="42" t="n"/>
    </row>
    <row r="1474">
      <c r="A1474" s="42" t="n"/>
    </row>
    <row r="1475">
      <c r="A1475" s="42" t="n"/>
    </row>
    <row r="1476">
      <c r="A1476" s="42" t="n"/>
    </row>
    <row r="1477">
      <c r="A1477" s="42" t="n"/>
    </row>
    <row r="1478">
      <c r="A1478" s="42" t="n"/>
    </row>
    <row r="1479">
      <c r="A1479" s="42" t="n"/>
    </row>
    <row r="1480">
      <c r="A1480" s="42" t="n"/>
    </row>
    <row r="1481">
      <c r="A1481" s="42" t="n"/>
    </row>
    <row r="1482">
      <c r="A1482" s="42" t="n"/>
    </row>
    <row r="1483">
      <c r="A1483" s="42" t="n"/>
    </row>
    <row r="1484">
      <c r="A1484" s="42" t="n"/>
    </row>
    <row r="1485">
      <c r="A1485" s="42" t="n"/>
    </row>
    <row r="1486">
      <c r="A1486" s="42" t="n"/>
    </row>
    <row r="1487">
      <c r="A1487" s="42" t="n"/>
    </row>
    <row r="1488">
      <c r="A1488" s="42" t="n"/>
    </row>
    <row r="1489">
      <c r="A1489" s="42" t="n"/>
    </row>
    <row r="1490">
      <c r="A1490" s="42" t="n"/>
    </row>
    <row r="1491">
      <c r="A1491" s="42" t="n"/>
    </row>
    <row r="1492">
      <c r="A1492" s="42" t="n"/>
    </row>
    <row r="1493">
      <c r="A1493" s="42" t="n"/>
    </row>
    <row r="1494">
      <c r="A1494" s="42" t="n"/>
    </row>
    <row r="1495">
      <c r="A1495" s="42" t="n"/>
    </row>
    <row r="1496">
      <c r="A1496" s="42" t="n"/>
    </row>
    <row r="1497">
      <c r="A1497" s="42" t="n"/>
    </row>
    <row r="1498">
      <c r="A1498" s="42" t="n"/>
    </row>
    <row r="1499">
      <c r="A1499" s="42" t="n"/>
    </row>
    <row r="1500">
      <c r="A1500" s="42" t="n"/>
    </row>
    <row r="1501">
      <c r="A1501" s="42" t="n"/>
    </row>
    <row r="1502">
      <c r="A1502" s="42" t="n"/>
    </row>
    <row r="1503">
      <c r="A1503" s="42" t="n"/>
    </row>
    <row r="1504">
      <c r="A1504" s="42" t="n"/>
    </row>
    <row r="1505">
      <c r="A1505" s="42" t="n"/>
    </row>
    <row r="1506">
      <c r="A1506" s="42" t="n"/>
    </row>
    <row r="1507">
      <c r="A1507" s="42" t="n"/>
    </row>
    <row r="1508">
      <c r="A1508" s="42" t="n"/>
    </row>
    <row r="1509">
      <c r="A1509" s="42" t="n"/>
    </row>
    <row r="1510">
      <c r="A1510" s="42" t="n"/>
    </row>
    <row r="1511">
      <c r="A1511" s="42" t="n"/>
    </row>
    <row r="1512">
      <c r="A1512" s="42" t="n"/>
    </row>
    <row r="1513">
      <c r="A1513" s="42" t="n"/>
    </row>
    <row r="1514">
      <c r="A1514" s="42" t="n"/>
    </row>
    <row r="1515">
      <c r="A1515" s="42" t="n"/>
    </row>
    <row r="1516">
      <c r="A1516" s="42" t="n"/>
    </row>
    <row r="1517">
      <c r="A1517" s="42" t="n"/>
    </row>
    <row r="1518">
      <c r="A1518" s="42" t="n"/>
    </row>
    <row r="1519">
      <c r="A1519" s="42" t="n"/>
    </row>
    <row r="1520">
      <c r="A1520" s="42" t="n"/>
    </row>
    <row r="1521">
      <c r="A1521" s="42" t="n"/>
    </row>
    <row r="1522">
      <c r="A1522" s="42" t="n"/>
    </row>
    <row r="1523">
      <c r="A1523" s="42" t="n"/>
    </row>
    <row r="1524">
      <c r="A1524" s="42" t="n"/>
    </row>
    <row r="1525">
      <c r="A1525" s="42" t="n"/>
    </row>
    <row r="1526">
      <c r="A1526" s="42" t="n"/>
    </row>
    <row r="1527">
      <c r="A1527" s="42" t="n"/>
    </row>
    <row r="1528">
      <c r="A1528" s="42" t="n"/>
    </row>
    <row r="1529">
      <c r="A1529" s="42" t="n"/>
    </row>
    <row r="1530">
      <c r="A1530" s="42" t="n"/>
    </row>
    <row r="1531">
      <c r="A1531" s="42" t="n"/>
    </row>
    <row r="1532">
      <c r="A1532" s="42" t="n"/>
    </row>
    <row r="1533">
      <c r="A1533" s="42" t="n"/>
    </row>
    <row r="1534">
      <c r="A1534" s="42" t="n"/>
    </row>
    <row r="1535">
      <c r="A1535" s="42" t="n"/>
    </row>
    <row r="1536">
      <c r="A1536" s="42" t="n"/>
    </row>
    <row r="1537">
      <c r="A1537" s="42" t="n"/>
    </row>
    <row r="1538">
      <c r="A1538" s="42" t="n"/>
    </row>
    <row r="1539">
      <c r="A1539" s="42" t="n"/>
    </row>
    <row r="1540">
      <c r="A1540" s="42" t="n"/>
    </row>
    <row r="1541">
      <c r="A1541" s="42" t="n"/>
    </row>
    <row r="1542">
      <c r="A1542" s="42" t="n"/>
    </row>
    <row r="1543">
      <c r="A1543" s="42" t="n"/>
    </row>
    <row r="1544">
      <c r="A1544" s="42" t="n"/>
    </row>
    <row r="1545">
      <c r="A1545" s="42" t="n"/>
    </row>
    <row r="1546">
      <c r="A1546" s="42" t="n"/>
    </row>
    <row r="1547">
      <c r="A1547" s="42" t="n"/>
    </row>
    <row r="1548">
      <c r="A1548" s="42" t="n"/>
    </row>
    <row r="1549">
      <c r="A1549" s="42" t="n"/>
    </row>
    <row r="1550">
      <c r="A1550" s="42" t="n"/>
    </row>
    <row r="1551">
      <c r="A1551" s="42" t="n"/>
    </row>
    <row r="1552">
      <c r="A1552" s="42" t="n"/>
    </row>
    <row r="1553">
      <c r="A1553" s="42" t="n"/>
    </row>
    <row r="1554">
      <c r="A1554" s="42" t="n"/>
    </row>
    <row r="1555">
      <c r="A1555" s="42" t="n"/>
    </row>
    <row r="1556">
      <c r="A1556" s="42" t="n"/>
    </row>
    <row r="1557">
      <c r="A1557" s="42" t="n"/>
    </row>
    <row r="1558">
      <c r="A1558" s="42" t="n"/>
    </row>
    <row r="1559">
      <c r="A1559" s="42" t="n"/>
    </row>
    <row r="1560">
      <c r="A1560" s="42" t="n"/>
    </row>
    <row r="1561">
      <c r="A1561" s="42" t="n"/>
    </row>
    <row r="1562">
      <c r="A1562" s="42" t="n"/>
    </row>
    <row r="1563">
      <c r="A1563" s="42" t="n"/>
    </row>
    <row r="1564">
      <c r="A1564" s="42" t="n"/>
    </row>
    <row r="1565">
      <c r="A1565" s="42" t="n"/>
    </row>
    <row r="1566">
      <c r="A1566" s="42" t="n"/>
    </row>
    <row r="1567">
      <c r="A1567" s="42" t="n"/>
    </row>
    <row r="1568">
      <c r="A1568" s="42" t="n"/>
    </row>
    <row r="1569">
      <c r="A1569" s="42" t="n"/>
    </row>
    <row r="1570">
      <c r="A1570" s="42" t="n"/>
    </row>
    <row r="1571">
      <c r="A1571" s="42" t="n"/>
    </row>
    <row r="1572">
      <c r="A1572" s="42" t="n"/>
    </row>
    <row r="1573">
      <c r="A1573" s="42" t="n"/>
    </row>
    <row r="1574">
      <c r="A1574" s="42" t="n"/>
    </row>
    <row r="1575">
      <c r="A1575" s="42" t="n"/>
    </row>
    <row r="1576">
      <c r="A1576" s="42" t="n"/>
    </row>
    <row r="1577">
      <c r="A1577" s="42" t="n"/>
    </row>
    <row r="1578">
      <c r="A1578" s="42" t="n"/>
    </row>
    <row r="1579">
      <c r="A1579" s="42" t="n"/>
    </row>
    <row r="1580">
      <c r="A1580" s="42" t="n"/>
    </row>
    <row r="1581">
      <c r="A1581" s="42" t="n"/>
    </row>
    <row r="1582">
      <c r="A1582" s="42" t="n"/>
    </row>
    <row r="1583">
      <c r="A1583" s="42" t="n"/>
    </row>
    <row r="1584">
      <c r="A1584" s="42" t="n"/>
    </row>
    <row r="1585">
      <c r="A1585" s="42" t="n"/>
    </row>
    <row r="1586">
      <c r="A1586" s="42" t="n"/>
    </row>
    <row r="1587">
      <c r="A1587" s="42" t="n"/>
    </row>
    <row r="1588">
      <c r="A1588" s="42" t="n"/>
    </row>
    <row r="1589">
      <c r="A1589" s="42" t="n"/>
    </row>
    <row r="1590">
      <c r="A1590" s="42" t="n"/>
    </row>
    <row r="1591">
      <c r="A1591" s="42" t="n"/>
    </row>
    <row r="1592">
      <c r="A1592" s="42" t="n"/>
    </row>
    <row r="1593">
      <c r="A1593" s="42" t="n"/>
    </row>
    <row r="1594">
      <c r="A1594" s="42" t="n"/>
    </row>
    <row r="1595">
      <c r="A1595" s="42" t="n"/>
    </row>
    <row r="1596">
      <c r="A1596" s="42" t="n"/>
    </row>
    <row r="1597">
      <c r="A1597" s="42" t="n"/>
    </row>
    <row r="1598">
      <c r="A1598" s="42" t="n"/>
    </row>
    <row r="1599">
      <c r="A1599" s="42" t="n"/>
    </row>
    <row r="1600">
      <c r="A1600" s="42" t="n"/>
    </row>
    <row r="1601">
      <c r="A1601" s="42" t="n"/>
    </row>
    <row r="1602">
      <c r="A1602" s="42" t="n"/>
    </row>
    <row r="1603">
      <c r="A1603" s="42" t="n"/>
    </row>
    <row r="1604">
      <c r="A1604" s="42" t="n"/>
    </row>
    <row r="1605">
      <c r="A1605" s="42" t="n"/>
    </row>
    <row r="1606">
      <c r="A1606" s="42" t="n"/>
    </row>
    <row r="1607">
      <c r="A1607" s="42" t="n"/>
    </row>
    <row r="1608">
      <c r="A1608" s="42" t="n"/>
    </row>
    <row r="1609">
      <c r="A1609" s="42" t="n"/>
    </row>
    <row r="1610">
      <c r="A1610" s="42" t="n"/>
    </row>
    <row r="1611">
      <c r="A1611" s="42" t="n"/>
    </row>
    <row r="1612">
      <c r="A1612" s="42" t="n"/>
    </row>
    <row r="1613">
      <c r="A1613" s="42" t="n"/>
    </row>
    <row r="1614">
      <c r="A1614" s="42" t="n"/>
    </row>
    <row r="1615">
      <c r="A1615" s="42" t="n"/>
    </row>
    <row r="1616">
      <c r="A1616" s="42" t="n"/>
    </row>
    <row r="1617">
      <c r="A1617" s="42" t="n"/>
    </row>
    <row r="1618">
      <c r="A1618" s="42" t="n"/>
    </row>
    <row r="1619">
      <c r="A1619" s="42" t="n"/>
    </row>
    <row r="1620">
      <c r="A1620" s="42" t="n"/>
    </row>
    <row r="1621">
      <c r="A1621" s="42" t="n"/>
    </row>
    <row r="1622">
      <c r="A1622" s="42" t="n"/>
    </row>
    <row r="1623">
      <c r="A1623" s="42" t="n"/>
    </row>
    <row r="1624">
      <c r="A1624" s="42" t="n"/>
    </row>
    <row r="1625">
      <c r="A1625" s="42" t="n"/>
    </row>
    <row r="1626">
      <c r="A1626" s="42" t="n"/>
    </row>
    <row r="1627">
      <c r="A1627" s="42" t="n"/>
    </row>
    <row r="1628">
      <c r="A1628" s="42" t="n"/>
    </row>
    <row r="1629">
      <c r="A1629" s="42" t="n"/>
    </row>
    <row r="1630">
      <c r="A1630" s="42" t="n"/>
    </row>
    <row r="1631">
      <c r="A1631" s="42" t="n"/>
    </row>
    <row r="1632">
      <c r="A1632" s="42" t="n"/>
    </row>
    <row r="1633">
      <c r="A1633" s="42" t="n"/>
    </row>
    <row r="1634">
      <c r="A1634" s="42" t="n"/>
    </row>
    <row r="1635">
      <c r="A1635" s="42" t="n"/>
    </row>
    <row r="1636">
      <c r="A1636" s="42" t="n"/>
    </row>
    <row r="1637">
      <c r="A1637" s="42" t="n"/>
    </row>
    <row r="1638">
      <c r="A1638" s="42" t="n"/>
    </row>
    <row r="1639">
      <c r="A1639" s="42" t="n"/>
    </row>
    <row r="1640">
      <c r="A1640" s="42" t="n"/>
    </row>
    <row r="1641">
      <c r="A1641" s="42" t="n"/>
    </row>
    <row r="1642">
      <c r="A1642" s="42" t="n"/>
    </row>
    <row r="1643">
      <c r="A1643" s="42" t="n"/>
    </row>
    <row r="1644">
      <c r="A1644" s="42" t="n"/>
    </row>
    <row r="1645">
      <c r="A1645" s="42" t="n"/>
    </row>
    <row r="1646">
      <c r="A1646" s="42" t="n"/>
    </row>
    <row r="1647">
      <c r="A1647" s="42" t="n"/>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2:H2"/>
    <mergeCell ref="A1:H1"/>
  </mergeCells>
  <conditionalFormatting sqref="F5:F10">
    <cfRule type="expression" priority="1" dxfId="11">
      <formula>ISNUMBER(SEARCH("未完了",F5))</formula>
    </cfRule>
  </conditionalFormatting>
  <conditionalFormatting sqref="G5:G10">
    <cfRule type="expression" priority="2" dxfId="0">
      <formula>G5="高"</formula>
    </cfRule>
  </conditionalFormatting>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1700"/>
  <sheetViews>
    <sheetView workbookViewId="0">
      <selection activeCell="A1" sqref="A1"/>
    </sheetView>
  </sheetViews>
  <sheetFormatPr baseColWidth="8" defaultRowHeight="15"/>
  <cols>
    <col width="18" customWidth="1" style="51" min="1" max="1"/>
    <col width="18" customWidth="1" style="51" min="2" max="2"/>
    <col width="25" customWidth="1" style="51" min="3" max="3"/>
    <col width="26" customWidth="1" style="51" min="4" max="4"/>
    <col width="13" customWidth="1" style="51" min="5" max="5"/>
    <col width="8" customWidth="1" style="51" min="6" max="6"/>
    <col width="12" customWidth="1" style="51" min="7" max="7"/>
    <col width="12" customWidth="1" style="51" min="8" max="8"/>
    <col width="14" customWidth="1" style="51" min="9" max="9"/>
    <col width="18" customWidth="1" style="51" min="10" max="10"/>
    <col width="32" customWidth="1" style="51" min="11" max="11"/>
    <col width="38" customWidth="1" style="51" min="12" max="12"/>
    <col width="36" customWidth="1" style="51" min="13" max="13"/>
    <col width="46" customWidth="1" style="51" min="14" max="14"/>
  </cols>
  <sheetData>
    <row r="1">
      <c r="A1" s="232" t="inlineStr">
        <is>
          <t>サイズ別ガラス記号・凡例連動｜サーモスL v0.6</t>
        </is>
      </c>
      <c r="B1" s="41" t="n"/>
      <c r="C1" s="41" t="n"/>
      <c r="D1" s="41" t="n"/>
      <c r="E1" s="41" t="n"/>
      <c r="F1" s="41" t="n"/>
      <c r="G1" s="41" t="n"/>
      <c r="H1" s="41" t="n"/>
      <c r="I1" s="41" t="n"/>
      <c r="J1" s="41" t="n"/>
      <c r="K1" s="41" t="n"/>
      <c r="L1" s="41" t="n"/>
      <c r="M1" s="41" t="n"/>
      <c r="N1" s="41" t="n"/>
    </row>
    <row r="2">
      <c r="A2" s="233" t="inlineStr">
        <is>
          <t>全size_idを同一価格表セクション単位で凡例へ再連動。近接ページ推測を廃止。</t>
        </is>
      </c>
      <c r="B2" s="41" t="n"/>
      <c r="C2" s="41" t="n"/>
      <c r="D2" s="41" t="n"/>
      <c r="E2" s="41" t="n"/>
      <c r="F2" s="41" t="n"/>
      <c r="G2" s="41" t="n"/>
      <c r="H2" s="41" t="n"/>
      <c r="I2" s="41" t="n"/>
      <c r="J2" s="41" t="n"/>
      <c r="K2" s="41" t="n"/>
      <c r="L2" s="41" t="n"/>
      <c r="M2" s="41" t="n"/>
      <c r="N2" s="41" t="n"/>
    </row>
    <row r="3">
      <c r="A3" s="108" t="inlineStr">
        <is>
          <t>condition_id</t>
        </is>
      </c>
      <c r="B3" s="108" t="inlineStr">
        <is>
          <t>size_id</t>
        </is>
      </c>
      <c r="C3" s="108" t="inlineStr">
        <is>
          <t>窓種ID</t>
        </is>
      </c>
      <c r="D3" s="108" t="inlineStr">
        <is>
          <t>固有仕様ID</t>
        </is>
      </c>
      <c r="E3" s="108" t="inlineStr">
        <is>
          <t>呼称</t>
        </is>
      </c>
      <c r="F3" s="108" t="inlineStr">
        <is>
          <t>有効</t>
        </is>
      </c>
      <c r="G3" s="108" t="inlineStr">
        <is>
          <t>誌面ページ</t>
        </is>
      </c>
      <c r="H3" s="108" t="inlineStr">
        <is>
          <t>ガラス記号</t>
        </is>
      </c>
      <c r="I3" s="108" t="inlineStr">
        <is>
          <t>凡例参照頁</t>
        </is>
      </c>
      <c r="J3" s="108" t="inlineStr">
        <is>
          <t>凡例キー</t>
        </is>
      </c>
      <c r="K3" s="108" t="inlineStr">
        <is>
          <t>判定状態</t>
        </is>
      </c>
      <c r="L3" s="108" t="inlineStr">
        <is>
          <t>出典ファイル</t>
        </is>
      </c>
      <c r="M3" s="108" t="inlineStr">
        <is>
          <t>備考</t>
        </is>
      </c>
      <c r="N3" s="108" t="inlineStr">
        <is>
          <t>一次資料URL</t>
        </is>
      </c>
    </row>
    <row r="4">
      <c r="A4" s="42" t="inlineStr">
        <is>
          <t>GSC-SL-000001</t>
        </is>
      </c>
      <c r="B4" t="inlineStr">
        <is>
          <t>SZ-SL-000001</t>
        </is>
      </c>
      <c r="C4" t="inlineStr">
        <is>
          <t>WT-SL-HIKICHIGAI</t>
        </is>
      </c>
      <c r="E4" t="inlineStr">
        <is>
          <t>06003</t>
        </is>
      </c>
      <c r="F4" t="b">
        <v>1</v>
      </c>
      <c r="G4" t="n">
        <v>6</v>
      </c>
      <c r="H4" t="inlineStr">
        <is>
          <t>無印</t>
        </is>
      </c>
      <c r="I4" t="n">
        <v>6</v>
      </c>
      <c r="J4" t="inlineStr">
        <is>
          <t>P6|無印</t>
        </is>
      </c>
      <c r="K4" t="inlineStr">
        <is>
          <t>同頁凡例へ直接連動</t>
        </is>
      </c>
      <c r="L4" t="inlineStr">
        <is>
          <t>202604_LIXIL_サーモスＬ_業務用資料集_完成品価格表.pdf</t>
        </is>
      </c>
      <c r="M4" t="inlineStr">
        <is>
          <t>v0.6：同一価格表セクション内で凡例継承を確定。</t>
        </is>
      </c>
      <c r="N4" t="inlineStr">
        <is>
          <t>https://drive.google.com/file/d/1YUN-mtWYs48YBUHJk0C3vJXnhjyZFHyf/view</t>
        </is>
      </c>
    </row>
    <row r="5">
      <c r="A5" s="42" t="inlineStr">
        <is>
          <t>GSC-SL-000002</t>
        </is>
      </c>
      <c r="B5" t="inlineStr">
        <is>
          <t>SZ-SL-000002</t>
        </is>
      </c>
      <c r="C5" t="inlineStr">
        <is>
          <t>WT-SL-HIKICHIGAI</t>
        </is>
      </c>
      <c r="E5" t="inlineStr">
        <is>
          <t>06005</t>
        </is>
      </c>
      <c r="F5" t="b">
        <v>1</v>
      </c>
      <c r="G5" t="n">
        <v>6</v>
      </c>
      <c r="H5" t="inlineStr">
        <is>
          <t>無印</t>
        </is>
      </c>
      <c r="I5" t="n">
        <v>6</v>
      </c>
      <c r="J5" t="inlineStr">
        <is>
          <t>P6|無印</t>
        </is>
      </c>
      <c r="K5" t="inlineStr">
        <is>
          <t>同頁凡例へ直接連動</t>
        </is>
      </c>
      <c r="L5" t="inlineStr">
        <is>
          <t>202604_LIXIL_サーモスＬ_業務用資料集_完成品価格表.pdf</t>
        </is>
      </c>
      <c r="M5" t="inlineStr">
        <is>
          <t>v0.6：同一価格表セクション内で凡例継承を確定。</t>
        </is>
      </c>
      <c r="N5" t="inlineStr">
        <is>
          <t>https://drive.google.com/file/d/1YUN-mtWYs48YBUHJk0C3vJXnhjyZFHyf/view</t>
        </is>
      </c>
    </row>
    <row r="6">
      <c r="A6" s="42" t="inlineStr">
        <is>
          <t>GSC-SL-000003</t>
        </is>
      </c>
      <c r="B6" t="inlineStr">
        <is>
          <t>SZ-SL-000003</t>
        </is>
      </c>
      <c r="C6" t="inlineStr">
        <is>
          <t>WT-SL-HIKICHIGAI</t>
        </is>
      </c>
      <c r="E6" t="inlineStr">
        <is>
          <t>06007</t>
        </is>
      </c>
      <c r="F6" t="b">
        <v>1</v>
      </c>
      <c r="G6" t="n">
        <v>6</v>
      </c>
      <c r="H6" t="inlineStr">
        <is>
          <t>無印</t>
        </is>
      </c>
      <c r="I6" t="n">
        <v>6</v>
      </c>
      <c r="J6" t="inlineStr">
        <is>
          <t>P6|無印</t>
        </is>
      </c>
      <c r="K6" t="inlineStr">
        <is>
          <t>同頁凡例へ直接連動</t>
        </is>
      </c>
      <c r="L6" t="inlineStr">
        <is>
          <t>202604_LIXIL_サーモスＬ_業務用資料集_完成品価格表.pdf</t>
        </is>
      </c>
      <c r="M6" t="inlineStr">
        <is>
          <t>v0.6：同一価格表セクション内で凡例継承を確定。</t>
        </is>
      </c>
      <c r="N6" t="inlineStr">
        <is>
          <t>https://drive.google.com/file/d/1YUN-mtWYs48YBUHJk0C3vJXnhjyZFHyf/view</t>
        </is>
      </c>
    </row>
    <row r="7">
      <c r="A7" s="42" t="inlineStr">
        <is>
          <t>GSC-SL-000004</t>
        </is>
      </c>
      <c r="B7" t="inlineStr">
        <is>
          <t>SZ-SL-000004</t>
        </is>
      </c>
      <c r="C7" t="inlineStr">
        <is>
          <t>WT-SL-HIKICHIGAI</t>
        </is>
      </c>
      <c r="E7" t="inlineStr">
        <is>
          <t>06009</t>
        </is>
      </c>
      <c r="F7" t="b">
        <v>1</v>
      </c>
      <c r="G7" t="n">
        <v>6</v>
      </c>
      <c r="H7" t="inlineStr">
        <is>
          <t>無印</t>
        </is>
      </c>
      <c r="I7" t="n">
        <v>6</v>
      </c>
      <c r="J7" t="inlineStr">
        <is>
          <t>P6|無印</t>
        </is>
      </c>
      <c r="K7" t="inlineStr">
        <is>
          <t>同頁凡例へ直接連動</t>
        </is>
      </c>
      <c r="L7" t="inlineStr">
        <is>
          <t>202604_LIXIL_サーモスＬ_業務用資料集_完成品価格表.pdf</t>
        </is>
      </c>
      <c r="M7" t="inlineStr">
        <is>
          <t>v0.6：同一価格表セクション内で凡例継承を確定。</t>
        </is>
      </c>
      <c r="N7" t="inlineStr">
        <is>
          <t>https://drive.google.com/file/d/1YUN-mtWYs48YBUHJk0C3vJXnhjyZFHyf/view</t>
        </is>
      </c>
    </row>
    <row r="8">
      <c r="A8" s="42" t="inlineStr">
        <is>
          <t>GSC-SL-000005</t>
        </is>
      </c>
      <c r="B8" t="inlineStr">
        <is>
          <t>SZ-SL-000005</t>
        </is>
      </c>
      <c r="C8" t="inlineStr">
        <is>
          <t>WT-SL-HIKICHIGAI</t>
        </is>
      </c>
      <c r="E8" t="inlineStr">
        <is>
          <t>06903</t>
        </is>
      </c>
      <c r="F8" t="b">
        <v>1</v>
      </c>
      <c r="G8" t="n">
        <v>6</v>
      </c>
      <c r="H8" t="inlineStr">
        <is>
          <t>無印</t>
        </is>
      </c>
      <c r="I8" t="n">
        <v>6</v>
      </c>
      <c r="J8" t="inlineStr">
        <is>
          <t>P6|無印</t>
        </is>
      </c>
      <c r="K8" t="inlineStr">
        <is>
          <t>同頁凡例へ直接連動</t>
        </is>
      </c>
      <c r="L8" t="inlineStr">
        <is>
          <t>202604_LIXIL_サーモスＬ_業務用資料集_完成品価格表.pdf</t>
        </is>
      </c>
      <c r="M8" t="inlineStr">
        <is>
          <t>v0.6：同一価格表セクション内で凡例継承を確定。</t>
        </is>
      </c>
      <c r="N8" t="inlineStr">
        <is>
          <t>https://drive.google.com/file/d/1YUN-mtWYs48YBUHJk0C3vJXnhjyZFHyf/view</t>
        </is>
      </c>
    </row>
    <row r="9">
      <c r="A9" s="42" t="inlineStr">
        <is>
          <t>GSC-SL-000006</t>
        </is>
      </c>
      <c r="B9" t="inlineStr">
        <is>
          <t>SZ-SL-000006</t>
        </is>
      </c>
      <c r="C9" t="inlineStr">
        <is>
          <t>WT-SL-HIKICHIGAI</t>
        </is>
      </c>
      <c r="E9" t="inlineStr">
        <is>
          <t>06905</t>
        </is>
      </c>
      <c r="F9" t="b">
        <v>1</v>
      </c>
      <c r="G9" t="n">
        <v>6</v>
      </c>
      <c r="H9" t="inlineStr">
        <is>
          <t>無印</t>
        </is>
      </c>
      <c r="I9" t="n">
        <v>6</v>
      </c>
      <c r="J9" t="inlineStr">
        <is>
          <t>P6|無印</t>
        </is>
      </c>
      <c r="K9" t="inlineStr">
        <is>
          <t>同頁凡例へ直接連動</t>
        </is>
      </c>
      <c r="L9" t="inlineStr">
        <is>
          <t>202604_LIXIL_サーモスＬ_業務用資料集_完成品価格表.pdf</t>
        </is>
      </c>
      <c r="M9" t="inlineStr">
        <is>
          <t>v0.6：同一価格表セクション内で凡例継承を確定。</t>
        </is>
      </c>
      <c r="N9" t="inlineStr">
        <is>
          <t>https://drive.google.com/file/d/1YUN-mtWYs48YBUHJk0C3vJXnhjyZFHyf/view</t>
        </is>
      </c>
    </row>
    <row r="10">
      <c r="A10" s="42" t="inlineStr">
        <is>
          <t>GSC-SL-000007</t>
        </is>
      </c>
      <c r="B10" t="inlineStr">
        <is>
          <t>SZ-SL-000007</t>
        </is>
      </c>
      <c r="C10" t="inlineStr">
        <is>
          <t>WT-SL-HIKICHIGAI</t>
        </is>
      </c>
      <c r="E10" t="inlineStr">
        <is>
          <t>06907</t>
        </is>
      </c>
      <c r="F10" t="b">
        <v>1</v>
      </c>
      <c r="G10" t="n">
        <v>6</v>
      </c>
      <c r="H10" t="inlineStr">
        <is>
          <t>無印</t>
        </is>
      </c>
      <c r="I10" t="n">
        <v>6</v>
      </c>
      <c r="J10" t="inlineStr">
        <is>
          <t>P6|無印</t>
        </is>
      </c>
      <c r="K10" t="inlineStr">
        <is>
          <t>同頁凡例へ直接連動</t>
        </is>
      </c>
      <c r="L10" t="inlineStr">
        <is>
          <t>202604_LIXIL_サーモスＬ_業務用資料集_完成品価格表.pdf</t>
        </is>
      </c>
      <c r="M10" t="inlineStr">
        <is>
          <t>v0.6：同一価格表セクション内で凡例継承を確定。</t>
        </is>
      </c>
      <c r="N10" t="inlineStr">
        <is>
          <t>https://drive.google.com/file/d/1YUN-mtWYs48YBUHJk0C3vJXnhjyZFHyf/view</t>
        </is>
      </c>
    </row>
    <row r="11">
      <c r="A11" s="42" t="inlineStr">
        <is>
          <t>GSC-SL-000008</t>
        </is>
      </c>
      <c r="B11" t="inlineStr">
        <is>
          <t>SZ-SL-000008</t>
        </is>
      </c>
      <c r="C11" t="inlineStr">
        <is>
          <t>WT-SL-HIKICHIGAI</t>
        </is>
      </c>
      <c r="E11" t="inlineStr">
        <is>
          <t>06909</t>
        </is>
      </c>
      <c r="F11" t="b">
        <v>1</v>
      </c>
      <c r="G11" t="n">
        <v>6</v>
      </c>
      <c r="H11" t="inlineStr">
        <is>
          <t>無印</t>
        </is>
      </c>
      <c r="I11" t="n">
        <v>6</v>
      </c>
      <c r="J11" t="inlineStr">
        <is>
          <t>P6|無印</t>
        </is>
      </c>
      <c r="K11" t="inlineStr">
        <is>
          <t>同頁凡例へ直接連動</t>
        </is>
      </c>
      <c r="L11" t="inlineStr">
        <is>
          <t>202604_LIXIL_サーモスＬ_業務用資料集_完成品価格表.pdf</t>
        </is>
      </c>
      <c r="M11" t="inlineStr">
        <is>
          <t>v0.6：同一価格表セクション内で凡例継承を確定。</t>
        </is>
      </c>
      <c r="N11" t="inlineStr">
        <is>
          <t>https://drive.google.com/file/d/1YUN-mtWYs48YBUHJk0C3vJXnhjyZFHyf/view</t>
        </is>
      </c>
    </row>
    <row r="12">
      <c r="A12" s="42" t="inlineStr">
        <is>
          <t>GSC-SL-000009</t>
        </is>
      </c>
      <c r="B12" t="inlineStr">
        <is>
          <t>SZ-SL-000009</t>
        </is>
      </c>
      <c r="C12" t="inlineStr">
        <is>
          <t>WT-SL-HIKICHIGAI</t>
        </is>
      </c>
      <c r="E12" t="inlineStr">
        <is>
          <t>07403</t>
        </is>
      </c>
      <c r="F12" t="b">
        <v>1</v>
      </c>
      <c r="G12" t="n">
        <v>6</v>
      </c>
      <c r="H12" t="inlineStr">
        <is>
          <t>無印</t>
        </is>
      </c>
      <c r="I12" t="n">
        <v>6</v>
      </c>
      <c r="J12" t="inlineStr">
        <is>
          <t>P6|無印</t>
        </is>
      </c>
      <c r="K12" t="inlineStr">
        <is>
          <t>同頁凡例へ直接連動</t>
        </is>
      </c>
      <c r="L12" t="inlineStr">
        <is>
          <t>202604_LIXIL_サーモスＬ_業務用資料集_完成品価格表.pdf</t>
        </is>
      </c>
      <c r="M12" t="inlineStr">
        <is>
          <t>v0.6：同一価格表セクション内で凡例継承を確定。</t>
        </is>
      </c>
      <c r="N12" t="inlineStr">
        <is>
          <t>https://drive.google.com/file/d/1YUN-mtWYs48YBUHJk0C3vJXnhjyZFHyf/view</t>
        </is>
      </c>
    </row>
    <row r="13">
      <c r="A13" s="42" t="inlineStr">
        <is>
          <t>GSC-SL-000010</t>
        </is>
      </c>
      <c r="B13" t="inlineStr">
        <is>
          <t>SZ-SL-000010</t>
        </is>
      </c>
      <c r="C13" t="inlineStr">
        <is>
          <t>WT-SL-HIKICHIGAI</t>
        </is>
      </c>
      <c r="E13" t="inlineStr">
        <is>
          <t>07405</t>
        </is>
      </c>
      <c r="F13" t="b">
        <v>1</v>
      </c>
      <c r="G13" t="n">
        <v>6</v>
      </c>
      <c r="H13" t="inlineStr">
        <is>
          <t>無印</t>
        </is>
      </c>
      <c r="I13" t="n">
        <v>6</v>
      </c>
      <c r="J13" t="inlineStr">
        <is>
          <t>P6|無印</t>
        </is>
      </c>
      <c r="K13" t="inlineStr">
        <is>
          <t>同頁凡例へ直接連動</t>
        </is>
      </c>
      <c r="L13" t="inlineStr">
        <is>
          <t>202604_LIXIL_サーモスＬ_業務用資料集_完成品価格表.pdf</t>
        </is>
      </c>
      <c r="M13" t="inlineStr">
        <is>
          <t>v0.6：同一価格表セクション内で凡例継承を確定。</t>
        </is>
      </c>
      <c r="N13" t="inlineStr">
        <is>
          <t>https://drive.google.com/file/d/1YUN-mtWYs48YBUHJk0C3vJXnhjyZFHyf/view</t>
        </is>
      </c>
    </row>
    <row r="14">
      <c r="A14" s="42" t="inlineStr">
        <is>
          <t>GSC-SL-000011</t>
        </is>
      </c>
      <c r="B14" t="inlineStr">
        <is>
          <t>SZ-SL-000011</t>
        </is>
      </c>
      <c r="C14" t="inlineStr">
        <is>
          <t>WT-SL-HIKICHIGAI</t>
        </is>
      </c>
      <c r="E14" t="inlineStr">
        <is>
          <t>07407</t>
        </is>
      </c>
      <c r="F14" t="b">
        <v>1</v>
      </c>
      <c r="G14" t="n">
        <v>6</v>
      </c>
      <c r="H14" t="inlineStr">
        <is>
          <t>無印</t>
        </is>
      </c>
      <c r="I14" t="n">
        <v>6</v>
      </c>
      <c r="J14" t="inlineStr">
        <is>
          <t>P6|無印</t>
        </is>
      </c>
      <c r="K14" t="inlineStr">
        <is>
          <t>同頁凡例へ直接連動</t>
        </is>
      </c>
      <c r="L14" t="inlineStr">
        <is>
          <t>202604_LIXIL_サーモスＬ_業務用資料集_完成品価格表.pdf</t>
        </is>
      </c>
      <c r="M14" t="inlineStr">
        <is>
          <t>v0.6：同一価格表セクション内で凡例継承を確定。</t>
        </is>
      </c>
      <c r="N14" t="inlineStr">
        <is>
          <t>https://drive.google.com/file/d/1YUN-mtWYs48YBUHJk0C3vJXnhjyZFHyf/view</t>
        </is>
      </c>
    </row>
    <row r="15">
      <c r="A15" s="42" t="inlineStr">
        <is>
          <t>GSC-SL-000012</t>
        </is>
      </c>
      <c r="B15" t="inlineStr">
        <is>
          <t>SZ-SL-000012</t>
        </is>
      </c>
      <c r="C15" t="inlineStr">
        <is>
          <t>WT-SL-HIKICHIGAI</t>
        </is>
      </c>
      <c r="E15" t="inlineStr">
        <is>
          <t>07409</t>
        </is>
      </c>
      <c r="F15" t="b">
        <v>1</v>
      </c>
      <c r="G15" t="n">
        <v>6</v>
      </c>
      <c r="H15" t="inlineStr">
        <is>
          <t>無印</t>
        </is>
      </c>
      <c r="I15" t="n">
        <v>6</v>
      </c>
      <c r="J15" t="inlineStr">
        <is>
          <t>P6|無印</t>
        </is>
      </c>
      <c r="K15" t="inlineStr">
        <is>
          <t>同頁凡例へ直接連動</t>
        </is>
      </c>
      <c r="L15" t="inlineStr">
        <is>
          <t>202604_LIXIL_サーモスＬ_業務用資料集_完成品価格表.pdf</t>
        </is>
      </c>
      <c r="M15" t="inlineStr">
        <is>
          <t>v0.6：同一価格表セクション内で凡例継承を確定。</t>
        </is>
      </c>
      <c r="N15" t="inlineStr">
        <is>
          <t>https://drive.google.com/file/d/1YUN-mtWYs48YBUHJk0C3vJXnhjyZFHyf/view</t>
        </is>
      </c>
    </row>
    <row r="16">
      <c r="A16" s="42" t="inlineStr">
        <is>
          <t>GSC-SL-000013</t>
        </is>
      </c>
      <c r="B16" t="inlineStr">
        <is>
          <t>SZ-SL-000013</t>
        </is>
      </c>
      <c r="C16" t="inlineStr">
        <is>
          <t>WT-SL-HIKICHIGAI</t>
        </is>
      </c>
      <c r="E16" t="inlineStr">
        <is>
          <t>07805</t>
        </is>
      </c>
      <c r="F16" t="b">
        <v>1</v>
      </c>
      <c r="G16" t="n">
        <v>6</v>
      </c>
      <c r="H16" t="inlineStr">
        <is>
          <t>無印</t>
        </is>
      </c>
      <c r="I16" t="n">
        <v>6</v>
      </c>
      <c r="J16" t="inlineStr">
        <is>
          <t>P6|無印</t>
        </is>
      </c>
      <c r="K16" t="inlineStr">
        <is>
          <t>同頁凡例へ直接連動</t>
        </is>
      </c>
      <c r="L16" t="inlineStr">
        <is>
          <t>202604_LIXIL_サーモスＬ_業務用資料集_完成品価格表.pdf</t>
        </is>
      </c>
      <c r="M16" t="inlineStr">
        <is>
          <t>v0.6：同一価格表セクション内で凡例継承を確定。</t>
        </is>
      </c>
      <c r="N16" t="inlineStr">
        <is>
          <t>https://drive.google.com/file/d/1YUN-mtWYs48YBUHJk0C3vJXnhjyZFHyf/view</t>
        </is>
      </c>
    </row>
    <row r="17">
      <c r="A17" s="42" t="inlineStr">
        <is>
          <t>GSC-SL-000014</t>
        </is>
      </c>
      <c r="B17" t="inlineStr">
        <is>
          <t>SZ-SL-000014</t>
        </is>
      </c>
      <c r="C17" t="inlineStr">
        <is>
          <t>WT-SL-HIKICHIGAI</t>
        </is>
      </c>
      <c r="E17" t="inlineStr">
        <is>
          <t>07807</t>
        </is>
      </c>
      <c r="F17" t="b">
        <v>1</v>
      </c>
      <c r="G17" t="n">
        <v>6</v>
      </c>
      <c r="H17" t="inlineStr">
        <is>
          <t>無印</t>
        </is>
      </c>
      <c r="I17" t="n">
        <v>6</v>
      </c>
      <c r="J17" t="inlineStr">
        <is>
          <t>P6|無印</t>
        </is>
      </c>
      <c r="K17" t="inlineStr">
        <is>
          <t>同頁凡例へ直接連動</t>
        </is>
      </c>
      <c r="L17" t="inlineStr">
        <is>
          <t>202604_LIXIL_サーモスＬ_業務用資料集_完成品価格表.pdf</t>
        </is>
      </c>
      <c r="M17" t="inlineStr">
        <is>
          <t>v0.6：同一価格表セクション内で凡例継承を確定。</t>
        </is>
      </c>
      <c r="N17" t="inlineStr">
        <is>
          <t>https://drive.google.com/file/d/1YUN-mtWYs48YBUHJk0C3vJXnhjyZFHyf/view</t>
        </is>
      </c>
    </row>
    <row r="18">
      <c r="A18" s="42" t="inlineStr">
        <is>
          <t>GSC-SL-000015</t>
        </is>
      </c>
      <c r="B18" t="inlineStr">
        <is>
          <t>SZ-SL-000015</t>
        </is>
      </c>
      <c r="C18" t="inlineStr">
        <is>
          <t>WT-SL-HIKICHIGAI</t>
        </is>
      </c>
      <c r="E18" t="inlineStr">
        <is>
          <t>07809</t>
        </is>
      </c>
      <c r="F18" t="b">
        <v>1</v>
      </c>
      <c r="G18" t="n">
        <v>6</v>
      </c>
      <c r="H18" t="inlineStr">
        <is>
          <t>無印</t>
        </is>
      </c>
      <c r="I18" t="n">
        <v>6</v>
      </c>
      <c r="J18" t="inlineStr">
        <is>
          <t>P6|無印</t>
        </is>
      </c>
      <c r="K18" t="inlineStr">
        <is>
          <t>同頁凡例へ直接連動</t>
        </is>
      </c>
      <c r="L18" t="inlineStr">
        <is>
          <t>202604_LIXIL_サーモスＬ_業務用資料集_完成品価格表.pdf</t>
        </is>
      </c>
      <c r="M18" t="inlineStr">
        <is>
          <t>v0.6：同一価格表セクション内で凡例継承を確定。</t>
        </is>
      </c>
      <c r="N18" t="inlineStr">
        <is>
          <t>https://drive.google.com/file/d/1YUN-mtWYs48YBUHJk0C3vJXnhjyZFHyf/view</t>
        </is>
      </c>
    </row>
    <row r="19">
      <c r="A19" s="42" t="inlineStr">
        <is>
          <t>GSC-SL-000016</t>
        </is>
      </c>
      <c r="B19" t="inlineStr">
        <is>
          <t>SZ-SL-000016</t>
        </is>
      </c>
      <c r="C19" t="inlineStr">
        <is>
          <t>WT-SL-HIKICHIGAI</t>
        </is>
      </c>
      <c r="E19" t="inlineStr">
        <is>
          <t>08005</t>
        </is>
      </c>
      <c r="F19" t="b">
        <v>1</v>
      </c>
      <c r="G19" t="n">
        <v>6</v>
      </c>
      <c r="H19" t="inlineStr">
        <is>
          <t>無印</t>
        </is>
      </c>
      <c r="I19" t="n">
        <v>6</v>
      </c>
      <c r="J19" t="inlineStr">
        <is>
          <t>P6|無印</t>
        </is>
      </c>
      <c r="K19" t="inlineStr">
        <is>
          <t>同頁凡例へ直接連動</t>
        </is>
      </c>
      <c r="L19" t="inlineStr">
        <is>
          <t>202604_LIXIL_サーモスＬ_業務用資料集_完成品価格表.pdf</t>
        </is>
      </c>
      <c r="M19" t="inlineStr">
        <is>
          <t>v0.6：同一価格表セクション内で凡例継承を確定。</t>
        </is>
      </c>
      <c r="N19" t="inlineStr">
        <is>
          <t>https://drive.google.com/file/d/1YUN-mtWYs48YBUHJk0C3vJXnhjyZFHyf/view</t>
        </is>
      </c>
    </row>
    <row r="20">
      <c r="A20" s="42" t="inlineStr">
        <is>
          <t>GSC-SL-000017</t>
        </is>
      </c>
      <c r="B20" t="inlineStr">
        <is>
          <t>SZ-SL-000017</t>
        </is>
      </c>
      <c r="C20" t="inlineStr">
        <is>
          <t>WT-SL-HIKICHIGAI</t>
        </is>
      </c>
      <c r="E20" t="inlineStr">
        <is>
          <t>08007</t>
        </is>
      </c>
      <c r="F20" t="b">
        <v>1</v>
      </c>
      <c r="G20" t="n">
        <v>6</v>
      </c>
      <c r="H20" t="inlineStr">
        <is>
          <t>無印</t>
        </is>
      </c>
      <c r="I20" t="n">
        <v>6</v>
      </c>
      <c r="J20" t="inlineStr">
        <is>
          <t>P6|無印</t>
        </is>
      </c>
      <c r="K20" t="inlineStr">
        <is>
          <t>同頁凡例へ直接連動</t>
        </is>
      </c>
      <c r="L20" t="inlineStr">
        <is>
          <t>202604_LIXIL_サーモスＬ_業務用資料集_完成品価格表.pdf</t>
        </is>
      </c>
      <c r="M20" t="inlineStr">
        <is>
          <t>v0.6：同一価格表セクション内で凡例継承を確定。</t>
        </is>
      </c>
      <c r="N20" t="inlineStr">
        <is>
          <t>https://drive.google.com/file/d/1YUN-mtWYs48YBUHJk0C3vJXnhjyZFHyf/view</t>
        </is>
      </c>
    </row>
    <row r="21">
      <c r="A21" s="42" t="inlineStr">
        <is>
          <t>GSC-SL-000018</t>
        </is>
      </c>
      <c r="B21" t="inlineStr">
        <is>
          <t>SZ-SL-000018</t>
        </is>
      </c>
      <c r="C21" t="inlineStr">
        <is>
          <t>WT-SL-HIKICHIGAI</t>
        </is>
      </c>
      <c r="E21" t="inlineStr">
        <is>
          <t>08009</t>
        </is>
      </c>
      <c r="F21" t="b">
        <v>1</v>
      </c>
      <c r="G21" t="n">
        <v>6</v>
      </c>
      <c r="H21" t="inlineStr">
        <is>
          <t>無印</t>
        </is>
      </c>
      <c r="I21" t="n">
        <v>6</v>
      </c>
      <c r="J21" t="inlineStr">
        <is>
          <t>P6|無印</t>
        </is>
      </c>
      <c r="K21" t="inlineStr">
        <is>
          <t>同頁凡例へ直接連動</t>
        </is>
      </c>
      <c r="L21" t="inlineStr">
        <is>
          <t>202604_LIXIL_サーモスＬ_業務用資料集_完成品価格表.pdf</t>
        </is>
      </c>
      <c r="M21" t="inlineStr">
        <is>
          <t>v0.6：同一価格表セクション内で凡例継承を確定。</t>
        </is>
      </c>
      <c r="N21" t="inlineStr">
        <is>
          <t>https://drive.google.com/file/d/1YUN-mtWYs48YBUHJk0C3vJXnhjyZFHyf/view</t>
        </is>
      </c>
    </row>
    <row r="22">
      <c r="A22" s="42" t="inlineStr">
        <is>
          <t>GSC-SL-000019</t>
        </is>
      </c>
      <c r="B22" t="inlineStr">
        <is>
          <t>SZ-SL-000019</t>
        </is>
      </c>
      <c r="C22" t="inlineStr">
        <is>
          <t>WT-SL-HIKICHIGAI</t>
        </is>
      </c>
      <c r="E22" t="inlineStr">
        <is>
          <t>08305</t>
        </is>
      </c>
      <c r="F22" t="b">
        <v>1</v>
      </c>
      <c r="G22" t="n">
        <v>7</v>
      </c>
      <c r="H22" t="inlineStr">
        <is>
          <t>無印</t>
        </is>
      </c>
      <c r="I22" t="n">
        <v>6</v>
      </c>
      <c r="J22" t="inlineStr">
        <is>
          <t>P6|無印</t>
        </is>
      </c>
      <c r="K22" t="inlineStr">
        <is>
          <t>同一価格表・前頁凡例を継承</t>
        </is>
      </c>
      <c r="L22" t="inlineStr">
        <is>
          <t>202604_LIXIL_サーモスＬ_業務用資料集_完成品価格表.pdf</t>
        </is>
      </c>
      <c r="M22" t="inlineStr">
        <is>
          <t>v0.6：同一価格表セクション内で凡例継承を確定。</t>
        </is>
      </c>
      <c r="N22" t="inlineStr">
        <is>
          <t>https://drive.google.com/file/d/1YUN-mtWYs48YBUHJk0C3vJXnhjyZFHyf/view</t>
        </is>
      </c>
    </row>
    <row r="23">
      <c r="A23" s="42" t="inlineStr">
        <is>
          <t>GSC-SL-000020</t>
        </is>
      </c>
      <c r="B23" t="inlineStr">
        <is>
          <t>SZ-SL-000020</t>
        </is>
      </c>
      <c r="C23" t="inlineStr">
        <is>
          <t>WT-SL-HIKICHIGAI</t>
        </is>
      </c>
      <c r="E23" t="inlineStr">
        <is>
          <t>08307</t>
        </is>
      </c>
      <c r="F23" t="b">
        <v>1</v>
      </c>
      <c r="G23" t="n">
        <v>7</v>
      </c>
      <c r="H23" t="inlineStr">
        <is>
          <t>無印</t>
        </is>
      </c>
      <c r="I23" t="n">
        <v>6</v>
      </c>
      <c r="J23" t="inlineStr">
        <is>
          <t>P6|無印</t>
        </is>
      </c>
      <c r="K23" t="inlineStr">
        <is>
          <t>同一価格表・前頁凡例を継承</t>
        </is>
      </c>
      <c r="L23" t="inlineStr">
        <is>
          <t>202604_LIXIL_サーモスＬ_業務用資料集_完成品価格表.pdf</t>
        </is>
      </c>
      <c r="M23" t="inlineStr">
        <is>
          <t>v0.6：同一価格表セクション内で凡例継承を確定。</t>
        </is>
      </c>
      <c r="N23" t="inlineStr">
        <is>
          <t>https://drive.google.com/file/d/1YUN-mtWYs48YBUHJk0C3vJXnhjyZFHyf/view</t>
        </is>
      </c>
    </row>
    <row r="24">
      <c r="A24" s="42" t="inlineStr">
        <is>
          <t>GSC-SL-000021</t>
        </is>
      </c>
      <c r="B24" t="inlineStr">
        <is>
          <t>SZ-SL-000021</t>
        </is>
      </c>
      <c r="C24" t="inlineStr">
        <is>
          <t>WT-SL-HIKICHIGAI</t>
        </is>
      </c>
      <c r="E24" t="inlineStr">
        <is>
          <t>08309</t>
        </is>
      </c>
      <c r="F24" t="b">
        <v>1</v>
      </c>
      <c r="G24" t="n">
        <v>7</v>
      </c>
      <c r="H24" t="inlineStr">
        <is>
          <t>無印</t>
        </is>
      </c>
      <c r="I24" t="n">
        <v>6</v>
      </c>
      <c r="J24" t="inlineStr">
        <is>
          <t>P6|無印</t>
        </is>
      </c>
      <c r="K24" t="inlineStr">
        <is>
          <t>同一価格表・前頁凡例を継承</t>
        </is>
      </c>
      <c r="L24" t="inlineStr">
        <is>
          <t>202604_LIXIL_サーモスＬ_業務用資料集_完成品価格表.pdf</t>
        </is>
      </c>
      <c r="M24" t="inlineStr">
        <is>
          <t>v0.6：同一価格表セクション内で凡例継承を確定。</t>
        </is>
      </c>
      <c r="N24" t="inlineStr">
        <is>
          <t>https://drive.google.com/file/d/1YUN-mtWYs48YBUHJk0C3vJXnhjyZFHyf/view</t>
        </is>
      </c>
    </row>
    <row r="25">
      <c r="A25" s="42" t="inlineStr">
        <is>
          <t>GSC-SL-000022</t>
        </is>
      </c>
      <c r="B25" t="inlineStr">
        <is>
          <t>SZ-SL-000022</t>
        </is>
      </c>
      <c r="C25" t="inlineStr">
        <is>
          <t>WT-SL-HIKICHIGAI</t>
        </is>
      </c>
      <c r="E25" t="inlineStr">
        <is>
          <t>11405</t>
        </is>
      </c>
      <c r="F25" t="b">
        <v>1</v>
      </c>
      <c r="G25" t="n">
        <v>7</v>
      </c>
      <c r="H25" t="inlineStr">
        <is>
          <t>無印</t>
        </is>
      </c>
      <c r="I25" t="n">
        <v>6</v>
      </c>
      <c r="J25" t="inlineStr">
        <is>
          <t>P6|無印</t>
        </is>
      </c>
      <c r="K25" t="inlineStr">
        <is>
          <t>同一価格表・前頁凡例を継承</t>
        </is>
      </c>
      <c r="L25" t="inlineStr">
        <is>
          <t>202604_LIXIL_サーモスＬ_業務用資料集_完成品価格表.pdf</t>
        </is>
      </c>
      <c r="M25" t="inlineStr">
        <is>
          <t>v0.6：同一価格表セクション内で凡例継承を確定。</t>
        </is>
      </c>
      <c r="N25" t="inlineStr">
        <is>
          <t>https://drive.google.com/file/d/1YUN-mtWYs48YBUHJk0C3vJXnhjyZFHyf/view</t>
        </is>
      </c>
    </row>
    <row r="26">
      <c r="A26" s="42" t="inlineStr">
        <is>
          <t>GSC-SL-000023</t>
        </is>
      </c>
      <c r="B26" t="inlineStr">
        <is>
          <t>SZ-SL-000023</t>
        </is>
      </c>
      <c r="C26" t="inlineStr">
        <is>
          <t>WT-SL-HIKICHIGAI</t>
        </is>
      </c>
      <c r="E26" t="inlineStr">
        <is>
          <t>11407</t>
        </is>
      </c>
      <c r="F26" t="b">
        <v>1</v>
      </c>
      <c r="G26" t="n">
        <v>7</v>
      </c>
      <c r="H26" t="inlineStr">
        <is>
          <t>無印</t>
        </is>
      </c>
      <c r="I26" t="n">
        <v>6</v>
      </c>
      <c r="J26" t="inlineStr">
        <is>
          <t>P6|無印</t>
        </is>
      </c>
      <c r="K26" t="inlineStr">
        <is>
          <t>同一価格表・前頁凡例を継承</t>
        </is>
      </c>
      <c r="L26" t="inlineStr">
        <is>
          <t>202604_LIXIL_サーモスＬ_業務用資料集_完成品価格表.pdf</t>
        </is>
      </c>
      <c r="M26" t="inlineStr">
        <is>
          <t>v0.6：同一価格表セクション内で凡例継承を確定。</t>
        </is>
      </c>
      <c r="N26" t="inlineStr">
        <is>
          <t>https://drive.google.com/file/d/1YUN-mtWYs48YBUHJk0C3vJXnhjyZFHyf/view</t>
        </is>
      </c>
    </row>
    <row r="27">
      <c r="A27" s="42" t="inlineStr">
        <is>
          <t>GSC-SL-000024</t>
        </is>
      </c>
      <c r="B27" t="inlineStr">
        <is>
          <t>SZ-SL-000024</t>
        </is>
      </c>
      <c r="C27" t="inlineStr">
        <is>
          <t>WT-SL-HIKICHIGAI</t>
        </is>
      </c>
      <c r="E27" t="inlineStr">
        <is>
          <t>11409</t>
        </is>
      </c>
      <c r="F27" t="b">
        <v>1</v>
      </c>
      <c r="G27" t="n">
        <v>7</v>
      </c>
      <c r="H27" t="inlineStr">
        <is>
          <t>無印</t>
        </is>
      </c>
      <c r="I27" t="n">
        <v>6</v>
      </c>
      <c r="J27" t="inlineStr">
        <is>
          <t>P6|無印</t>
        </is>
      </c>
      <c r="K27" t="inlineStr">
        <is>
          <t>同一価格表・前頁凡例を継承</t>
        </is>
      </c>
      <c r="L27" t="inlineStr">
        <is>
          <t>202604_LIXIL_サーモスＬ_業務用資料集_完成品価格表.pdf</t>
        </is>
      </c>
      <c r="M27" t="inlineStr">
        <is>
          <t>v0.6：同一価格表セクション内で凡例継承を確定。</t>
        </is>
      </c>
      <c r="N27" t="inlineStr">
        <is>
          <t>https://drive.google.com/file/d/1YUN-mtWYs48YBUHJk0C3vJXnhjyZFHyf/view</t>
        </is>
      </c>
    </row>
    <row r="28">
      <c r="A28" s="42" t="inlineStr">
        <is>
          <t>GSC-SL-000025</t>
        </is>
      </c>
      <c r="B28" t="inlineStr">
        <is>
          <t>SZ-SL-000025</t>
        </is>
      </c>
      <c r="C28" t="inlineStr">
        <is>
          <t>WT-SL-HIKICHIGAI</t>
        </is>
      </c>
      <c r="E28" t="inlineStr">
        <is>
          <t>11903</t>
        </is>
      </c>
      <c r="F28" t="b">
        <v>1</v>
      </c>
      <c r="G28" t="n">
        <v>7</v>
      </c>
      <c r="H28" t="inlineStr">
        <is>
          <t>無印</t>
        </is>
      </c>
      <c r="I28" t="n">
        <v>6</v>
      </c>
      <c r="J28" t="inlineStr">
        <is>
          <t>P6|無印</t>
        </is>
      </c>
      <c r="K28" t="inlineStr">
        <is>
          <t>同一価格表・前頁凡例を継承</t>
        </is>
      </c>
      <c r="L28" t="inlineStr">
        <is>
          <t>202604_LIXIL_サーモスＬ_業務用資料集_完成品価格表.pdf</t>
        </is>
      </c>
      <c r="M28" t="inlineStr">
        <is>
          <t>v0.6：同一価格表セクション内で凡例継承を確定。</t>
        </is>
      </c>
      <c r="N28" t="inlineStr">
        <is>
          <t>https://drive.google.com/file/d/1YUN-mtWYs48YBUHJk0C3vJXnhjyZFHyf/view</t>
        </is>
      </c>
    </row>
    <row r="29">
      <c r="A29" s="42" t="inlineStr">
        <is>
          <t>GSC-SL-000026</t>
        </is>
      </c>
      <c r="B29" t="inlineStr">
        <is>
          <t>SZ-SL-000026</t>
        </is>
      </c>
      <c r="C29" t="inlineStr">
        <is>
          <t>WT-SL-HIKICHIGAI</t>
        </is>
      </c>
      <c r="E29" t="inlineStr">
        <is>
          <t>11905</t>
        </is>
      </c>
      <c r="F29" t="b">
        <v>1</v>
      </c>
      <c r="G29" t="n">
        <v>7</v>
      </c>
      <c r="H29" t="inlineStr">
        <is>
          <t>無印</t>
        </is>
      </c>
      <c r="I29" t="n">
        <v>6</v>
      </c>
      <c r="J29" t="inlineStr">
        <is>
          <t>P6|無印</t>
        </is>
      </c>
      <c r="K29" t="inlineStr">
        <is>
          <t>同一価格表・前頁凡例を継承</t>
        </is>
      </c>
      <c r="L29" t="inlineStr">
        <is>
          <t>202604_LIXIL_サーモスＬ_業務用資料集_完成品価格表.pdf</t>
        </is>
      </c>
      <c r="M29" t="inlineStr">
        <is>
          <t>v0.6：同一価格表セクション内で凡例継承を確定。</t>
        </is>
      </c>
      <c r="N29" t="inlineStr">
        <is>
          <t>https://drive.google.com/file/d/1YUN-mtWYs48YBUHJk0C3vJXnhjyZFHyf/view</t>
        </is>
      </c>
    </row>
    <row r="30">
      <c r="A30" s="42" t="inlineStr">
        <is>
          <t>GSC-SL-000027</t>
        </is>
      </c>
      <c r="B30" t="inlineStr">
        <is>
          <t>SZ-SL-000027</t>
        </is>
      </c>
      <c r="C30" t="inlineStr">
        <is>
          <t>WT-SL-HIKICHIGAI</t>
        </is>
      </c>
      <c r="E30" t="inlineStr">
        <is>
          <t>11907</t>
        </is>
      </c>
      <c r="F30" t="b">
        <v>1</v>
      </c>
      <c r="G30" t="n">
        <v>7</v>
      </c>
      <c r="H30" t="inlineStr">
        <is>
          <t>無印</t>
        </is>
      </c>
      <c r="I30" t="n">
        <v>6</v>
      </c>
      <c r="J30" t="inlineStr">
        <is>
          <t>P6|無印</t>
        </is>
      </c>
      <c r="K30" t="inlineStr">
        <is>
          <t>同一価格表・前頁凡例を継承</t>
        </is>
      </c>
      <c r="L30" t="inlineStr">
        <is>
          <t>202604_LIXIL_サーモスＬ_業務用資料集_完成品価格表.pdf</t>
        </is>
      </c>
      <c r="M30" t="inlineStr">
        <is>
          <t>v0.6：同一価格表セクション内で凡例継承を確定。</t>
        </is>
      </c>
      <c r="N30" t="inlineStr">
        <is>
          <t>https://drive.google.com/file/d/1YUN-mtWYs48YBUHJk0C3vJXnhjyZFHyf/view</t>
        </is>
      </c>
    </row>
    <row r="31">
      <c r="A31" s="42" t="inlineStr">
        <is>
          <t>GSC-SL-000028</t>
        </is>
      </c>
      <c r="B31" t="inlineStr">
        <is>
          <t>SZ-SL-000028</t>
        </is>
      </c>
      <c r="C31" t="inlineStr">
        <is>
          <t>WT-SL-HIKICHIGAI</t>
        </is>
      </c>
      <c r="E31" t="inlineStr">
        <is>
          <t>11909</t>
        </is>
      </c>
      <c r="F31" t="b">
        <v>1</v>
      </c>
      <c r="G31" t="n">
        <v>7</v>
      </c>
      <c r="H31" t="inlineStr">
        <is>
          <t>無印</t>
        </is>
      </c>
      <c r="I31" t="n">
        <v>6</v>
      </c>
      <c r="J31" t="inlineStr">
        <is>
          <t>P6|無印</t>
        </is>
      </c>
      <c r="K31" t="inlineStr">
        <is>
          <t>同一価格表・前頁凡例を継承</t>
        </is>
      </c>
      <c r="L31" t="inlineStr">
        <is>
          <t>202604_LIXIL_サーモスＬ_業務用資料集_完成品価格表.pdf</t>
        </is>
      </c>
      <c r="M31" t="inlineStr">
        <is>
          <t>v0.6：同一価格表セクション内で凡例継承を確定。</t>
        </is>
      </c>
      <c r="N31" t="inlineStr">
        <is>
          <t>https://drive.google.com/file/d/1YUN-mtWYs48YBUHJk0C3vJXnhjyZFHyf/view</t>
        </is>
      </c>
    </row>
    <row r="32">
      <c r="A32" s="42" t="inlineStr">
        <is>
          <t>GSC-SL-000029</t>
        </is>
      </c>
      <c r="B32" t="inlineStr">
        <is>
          <t>SZ-SL-000029</t>
        </is>
      </c>
      <c r="C32" t="inlineStr">
        <is>
          <t>WT-SL-HIKICHIGAI</t>
        </is>
      </c>
      <c r="E32" t="inlineStr">
        <is>
          <t>12805</t>
        </is>
      </c>
      <c r="F32" t="b">
        <v>1</v>
      </c>
      <c r="G32" t="n">
        <v>7</v>
      </c>
      <c r="H32" t="inlineStr">
        <is>
          <t>無印</t>
        </is>
      </c>
      <c r="I32" t="n">
        <v>6</v>
      </c>
      <c r="J32" t="inlineStr">
        <is>
          <t>P6|無印</t>
        </is>
      </c>
      <c r="K32" t="inlineStr">
        <is>
          <t>同一価格表・前頁凡例を継承</t>
        </is>
      </c>
      <c r="L32" t="inlineStr">
        <is>
          <t>202604_LIXIL_サーモスＬ_業務用資料集_完成品価格表.pdf</t>
        </is>
      </c>
      <c r="M32" t="inlineStr">
        <is>
          <t>v0.6：同一価格表セクション内で凡例継承を確定。</t>
        </is>
      </c>
      <c r="N32" t="inlineStr">
        <is>
          <t>https://drive.google.com/file/d/1YUN-mtWYs48YBUHJk0C3vJXnhjyZFHyf/view</t>
        </is>
      </c>
    </row>
    <row r="33">
      <c r="A33" s="42" t="inlineStr">
        <is>
          <t>GSC-SL-000030</t>
        </is>
      </c>
      <c r="B33" t="inlineStr">
        <is>
          <t>SZ-SL-000030</t>
        </is>
      </c>
      <c r="C33" t="inlineStr">
        <is>
          <t>WT-SL-HIKICHIGAI</t>
        </is>
      </c>
      <c r="E33" t="inlineStr">
        <is>
          <t>12807</t>
        </is>
      </c>
      <c r="F33" t="b">
        <v>1</v>
      </c>
      <c r="G33" t="n">
        <v>7</v>
      </c>
      <c r="H33" t="inlineStr">
        <is>
          <t>無印</t>
        </is>
      </c>
      <c r="I33" t="n">
        <v>6</v>
      </c>
      <c r="J33" t="inlineStr">
        <is>
          <t>P6|無印</t>
        </is>
      </c>
      <c r="K33" t="inlineStr">
        <is>
          <t>同一価格表・前頁凡例を継承</t>
        </is>
      </c>
      <c r="L33" t="inlineStr">
        <is>
          <t>202604_LIXIL_サーモスＬ_業務用資料集_完成品価格表.pdf</t>
        </is>
      </c>
      <c r="M33" t="inlineStr">
        <is>
          <t>v0.6：同一価格表セクション内で凡例継承を確定。</t>
        </is>
      </c>
      <c r="N33" t="inlineStr">
        <is>
          <t>https://drive.google.com/file/d/1YUN-mtWYs48YBUHJk0C3vJXnhjyZFHyf/view</t>
        </is>
      </c>
    </row>
    <row r="34">
      <c r="A34" s="42" t="inlineStr">
        <is>
          <t>GSC-SL-000031</t>
        </is>
      </c>
      <c r="B34" t="inlineStr">
        <is>
          <t>SZ-SL-000031</t>
        </is>
      </c>
      <c r="C34" t="inlineStr">
        <is>
          <t>WT-SL-HIKICHIGAI</t>
        </is>
      </c>
      <c r="E34" t="inlineStr">
        <is>
          <t>12809</t>
        </is>
      </c>
      <c r="F34" t="b">
        <v>1</v>
      </c>
      <c r="G34" t="n">
        <v>7</v>
      </c>
      <c r="H34" t="inlineStr">
        <is>
          <t>無印</t>
        </is>
      </c>
      <c r="I34" t="n">
        <v>6</v>
      </c>
      <c r="J34" t="inlineStr">
        <is>
          <t>P6|無印</t>
        </is>
      </c>
      <c r="K34" t="inlineStr">
        <is>
          <t>同一価格表・前頁凡例を継承</t>
        </is>
      </c>
      <c r="L34" t="inlineStr">
        <is>
          <t>202604_LIXIL_サーモスＬ_業務用資料集_完成品価格表.pdf</t>
        </is>
      </c>
      <c r="M34" t="inlineStr">
        <is>
          <t>v0.6：同一価格表セクション内で凡例継承を確定。</t>
        </is>
      </c>
      <c r="N34" t="inlineStr">
        <is>
          <t>https://drive.google.com/file/d/1YUN-mtWYs48YBUHJk0C3vJXnhjyZFHyf/view</t>
        </is>
      </c>
    </row>
    <row r="35">
      <c r="A35" s="42" t="inlineStr">
        <is>
          <t>GSC-SL-000032</t>
        </is>
      </c>
      <c r="B35" t="inlineStr">
        <is>
          <t>SZ-SL-000032</t>
        </is>
      </c>
      <c r="C35" t="inlineStr">
        <is>
          <t>WT-SL-HIKICHIGAI</t>
        </is>
      </c>
      <c r="E35" t="inlineStr">
        <is>
          <t>13305</t>
        </is>
      </c>
      <c r="F35" t="b">
        <v>1</v>
      </c>
      <c r="G35" t="n">
        <v>7</v>
      </c>
      <c r="H35" t="inlineStr">
        <is>
          <t>無印</t>
        </is>
      </c>
      <c r="I35" t="n">
        <v>6</v>
      </c>
      <c r="J35" t="inlineStr">
        <is>
          <t>P6|無印</t>
        </is>
      </c>
      <c r="K35" t="inlineStr">
        <is>
          <t>同一価格表・前頁凡例を継承</t>
        </is>
      </c>
      <c r="L35" t="inlineStr">
        <is>
          <t>202604_LIXIL_サーモスＬ_業務用資料集_完成品価格表.pdf</t>
        </is>
      </c>
      <c r="M35" t="inlineStr">
        <is>
          <t>v0.6：同一価格表セクション内で凡例継承を確定。</t>
        </is>
      </c>
      <c r="N35" t="inlineStr">
        <is>
          <t>https://drive.google.com/file/d/1YUN-mtWYs48YBUHJk0C3vJXnhjyZFHyf/view</t>
        </is>
      </c>
    </row>
    <row r="36">
      <c r="A36" s="42" t="inlineStr">
        <is>
          <t>GSC-SL-000033</t>
        </is>
      </c>
      <c r="B36" t="inlineStr">
        <is>
          <t>SZ-SL-000033</t>
        </is>
      </c>
      <c r="C36" t="inlineStr">
        <is>
          <t>WT-SL-HIKICHIGAI</t>
        </is>
      </c>
      <c r="E36" t="inlineStr">
        <is>
          <t>13307</t>
        </is>
      </c>
      <c r="F36" t="b">
        <v>1</v>
      </c>
      <c r="G36" t="n">
        <v>7</v>
      </c>
      <c r="H36" t="inlineStr">
        <is>
          <t>無印</t>
        </is>
      </c>
      <c r="I36" t="n">
        <v>6</v>
      </c>
      <c r="J36" t="inlineStr">
        <is>
          <t>P6|無印</t>
        </is>
      </c>
      <c r="K36" t="inlineStr">
        <is>
          <t>同一価格表・前頁凡例を継承</t>
        </is>
      </c>
      <c r="L36" t="inlineStr">
        <is>
          <t>202604_LIXIL_サーモスＬ_業務用資料集_完成品価格表.pdf</t>
        </is>
      </c>
      <c r="M36" t="inlineStr">
        <is>
          <t>v0.6：同一価格表セクション内で凡例継承を確定。</t>
        </is>
      </c>
      <c r="N36" t="inlineStr">
        <is>
          <t>https://drive.google.com/file/d/1YUN-mtWYs48YBUHJk0C3vJXnhjyZFHyf/view</t>
        </is>
      </c>
    </row>
    <row r="37">
      <c r="A37" s="42" t="inlineStr">
        <is>
          <t>GSC-SL-000034</t>
        </is>
      </c>
      <c r="B37" t="inlineStr">
        <is>
          <t>SZ-SL-000034</t>
        </is>
      </c>
      <c r="C37" t="inlineStr">
        <is>
          <t>WT-SL-HIKICHIGAI</t>
        </is>
      </c>
      <c r="E37" t="inlineStr">
        <is>
          <t>13309</t>
        </is>
      </c>
      <c r="F37" t="b">
        <v>1</v>
      </c>
      <c r="G37" t="n">
        <v>7</v>
      </c>
      <c r="H37" t="inlineStr">
        <is>
          <t>無印</t>
        </is>
      </c>
      <c r="I37" t="n">
        <v>6</v>
      </c>
      <c r="J37" t="inlineStr">
        <is>
          <t>P6|無印</t>
        </is>
      </c>
      <c r="K37" t="inlineStr">
        <is>
          <t>同一価格表・前頁凡例を継承</t>
        </is>
      </c>
      <c r="L37" t="inlineStr">
        <is>
          <t>202604_LIXIL_サーモスＬ_業務用資料集_完成品価格表.pdf</t>
        </is>
      </c>
      <c r="M37" t="inlineStr">
        <is>
          <t>v0.6：同一価格表セクション内で凡例継承を確定。</t>
        </is>
      </c>
      <c r="N37" t="inlineStr">
        <is>
          <t>https://drive.google.com/file/d/1YUN-mtWYs48YBUHJk0C3vJXnhjyZFHyf/view</t>
        </is>
      </c>
    </row>
    <row r="38">
      <c r="A38" s="42" t="inlineStr">
        <is>
          <t>GSC-SL-000035</t>
        </is>
      </c>
      <c r="B38" t="inlineStr">
        <is>
          <t>SZ-SL-000035</t>
        </is>
      </c>
      <c r="C38" t="inlineStr">
        <is>
          <t>WT-SL-HIKICHIGAI</t>
        </is>
      </c>
      <c r="E38" t="inlineStr">
        <is>
          <t>15005</t>
        </is>
      </c>
      <c r="F38" t="b">
        <v>1</v>
      </c>
      <c r="G38" t="n">
        <v>7</v>
      </c>
      <c r="H38" t="inlineStr">
        <is>
          <t>無印</t>
        </is>
      </c>
      <c r="I38" t="n">
        <v>6</v>
      </c>
      <c r="J38" t="inlineStr">
        <is>
          <t>P6|無印</t>
        </is>
      </c>
      <c r="K38" t="inlineStr">
        <is>
          <t>同一価格表・前頁凡例を継承</t>
        </is>
      </c>
      <c r="L38" t="inlineStr">
        <is>
          <t>202604_LIXIL_サーモスＬ_業務用資料集_完成品価格表.pdf</t>
        </is>
      </c>
      <c r="M38" t="inlineStr">
        <is>
          <t>v0.6：同一価格表セクション内で凡例継承を確定。</t>
        </is>
      </c>
      <c r="N38" t="inlineStr">
        <is>
          <t>https://drive.google.com/file/d/1YUN-mtWYs48YBUHJk0C3vJXnhjyZFHyf/view</t>
        </is>
      </c>
    </row>
    <row r="39">
      <c r="A39" s="42" t="inlineStr">
        <is>
          <t>GSC-SL-000036</t>
        </is>
      </c>
      <c r="B39" t="inlineStr">
        <is>
          <t>SZ-SL-000036</t>
        </is>
      </c>
      <c r="C39" t="inlineStr">
        <is>
          <t>WT-SL-HIKICHIGAI</t>
        </is>
      </c>
      <c r="E39" t="inlineStr">
        <is>
          <t>15007</t>
        </is>
      </c>
      <c r="F39" t="b">
        <v>1</v>
      </c>
      <c r="G39" t="n">
        <v>7</v>
      </c>
      <c r="H39" t="inlineStr">
        <is>
          <t>無印</t>
        </is>
      </c>
      <c r="I39" t="n">
        <v>6</v>
      </c>
      <c r="J39" t="inlineStr">
        <is>
          <t>P6|無印</t>
        </is>
      </c>
      <c r="K39" t="inlineStr">
        <is>
          <t>同一価格表・前頁凡例を継承</t>
        </is>
      </c>
      <c r="L39" t="inlineStr">
        <is>
          <t>202604_LIXIL_サーモスＬ_業務用資料集_完成品価格表.pdf</t>
        </is>
      </c>
      <c r="M39" t="inlineStr">
        <is>
          <t>v0.6：同一価格表セクション内で凡例継承を確定。</t>
        </is>
      </c>
      <c r="N39" t="inlineStr">
        <is>
          <t>https://drive.google.com/file/d/1YUN-mtWYs48YBUHJk0C3vJXnhjyZFHyf/view</t>
        </is>
      </c>
    </row>
    <row r="40">
      <c r="A40" s="42" t="inlineStr">
        <is>
          <t>GSC-SL-000037</t>
        </is>
      </c>
      <c r="B40" t="inlineStr">
        <is>
          <t>SZ-SL-000037</t>
        </is>
      </c>
      <c r="C40" t="inlineStr">
        <is>
          <t>WT-SL-HIKICHIGAI</t>
        </is>
      </c>
      <c r="E40" t="inlineStr">
        <is>
          <t>15009</t>
        </is>
      </c>
      <c r="F40" t="b">
        <v>1</v>
      </c>
      <c r="G40" t="n">
        <v>7</v>
      </c>
      <c r="H40" t="inlineStr">
        <is>
          <t>無印</t>
        </is>
      </c>
      <c r="I40" t="n">
        <v>6</v>
      </c>
      <c r="J40" t="inlineStr">
        <is>
          <t>P6|無印</t>
        </is>
      </c>
      <c r="K40" t="inlineStr">
        <is>
          <t>同一価格表・前頁凡例を継承</t>
        </is>
      </c>
      <c r="L40" t="inlineStr">
        <is>
          <t>202604_LIXIL_サーモスＬ_業務用資料集_完成品価格表.pdf</t>
        </is>
      </c>
      <c r="M40" t="inlineStr">
        <is>
          <t>v0.6：同一価格表セクション内で凡例継承を確定。</t>
        </is>
      </c>
      <c r="N40" t="inlineStr">
        <is>
          <t>https://drive.google.com/file/d/1YUN-mtWYs48YBUHJk0C3vJXnhjyZFHyf/view</t>
        </is>
      </c>
    </row>
    <row r="41">
      <c r="A41" s="42" t="inlineStr">
        <is>
          <t>GSC-SL-000038</t>
        </is>
      </c>
      <c r="B41" t="inlineStr">
        <is>
          <t>SZ-SL-000038</t>
        </is>
      </c>
      <c r="C41" t="inlineStr">
        <is>
          <t>WT-SL-HIKICHIGAI</t>
        </is>
      </c>
      <c r="E41" t="inlineStr">
        <is>
          <t>16005</t>
        </is>
      </c>
      <c r="F41" t="b">
        <v>1</v>
      </c>
      <c r="G41" t="n">
        <v>8</v>
      </c>
      <c r="H41" t="inlineStr">
        <is>
          <t>無印</t>
        </is>
      </c>
      <c r="I41" t="n">
        <v>8</v>
      </c>
      <c r="J41" t="inlineStr">
        <is>
          <t>P8|無印</t>
        </is>
      </c>
      <c r="K41" t="inlineStr">
        <is>
          <t>同頁凡例へ直接連動</t>
        </is>
      </c>
      <c r="L41" t="inlineStr">
        <is>
          <t>202604_LIXIL_サーモスＬ_業務用資料集_完成品価格表.pdf</t>
        </is>
      </c>
      <c r="M41" t="inlineStr">
        <is>
          <t>v0.6：同一価格表セクション内で凡例継承を確定。</t>
        </is>
      </c>
      <c r="N41" t="inlineStr">
        <is>
          <t>https://drive.google.com/file/d/1YUN-mtWYs48YBUHJk0C3vJXnhjyZFHyf/view</t>
        </is>
      </c>
    </row>
    <row r="42">
      <c r="A42" s="42" t="inlineStr">
        <is>
          <t>GSC-SL-000039</t>
        </is>
      </c>
      <c r="B42" t="inlineStr">
        <is>
          <t>SZ-SL-000039</t>
        </is>
      </c>
      <c r="C42" t="inlineStr">
        <is>
          <t>WT-SL-HIKICHIGAI</t>
        </is>
      </c>
      <c r="E42" t="inlineStr">
        <is>
          <t>16007</t>
        </is>
      </c>
      <c r="F42" t="b">
        <v>1</v>
      </c>
      <c r="G42" t="n">
        <v>8</v>
      </c>
      <c r="H42" t="inlineStr">
        <is>
          <t>無印</t>
        </is>
      </c>
      <c r="I42" t="n">
        <v>8</v>
      </c>
      <c r="J42" t="inlineStr">
        <is>
          <t>P8|無印</t>
        </is>
      </c>
      <c r="K42" t="inlineStr">
        <is>
          <t>同頁凡例へ直接連動</t>
        </is>
      </c>
      <c r="L42" t="inlineStr">
        <is>
          <t>202604_LIXIL_サーモスＬ_業務用資料集_完成品価格表.pdf</t>
        </is>
      </c>
      <c r="M42" t="inlineStr">
        <is>
          <t>v0.6：同一価格表セクション内で凡例継承を確定。</t>
        </is>
      </c>
      <c r="N42" t="inlineStr">
        <is>
          <t>https://drive.google.com/file/d/1YUN-mtWYs48YBUHJk0C3vJXnhjyZFHyf/view</t>
        </is>
      </c>
    </row>
    <row r="43">
      <c r="A43" s="42" t="inlineStr">
        <is>
          <t>GSC-SL-000040</t>
        </is>
      </c>
      <c r="B43" t="inlineStr">
        <is>
          <t>SZ-SL-000040</t>
        </is>
      </c>
      <c r="C43" t="inlineStr">
        <is>
          <t>WT-SL-HIKICHIGAI</t>
        </is>
      </c>
      <c r="E43" t="inlineStr">
        <is>
          <t>16009</t>
        </is>
      </c>
      <c r="F43" t="b">
        <v>1</v>
      </c>
      <c r="G43" t="n">
        <v>8</v>
      </c>
      <c r="H43" t="inlineStr">
        <is>
          <t>無印</t>
        </is>
      </c>
      <c r="I43" t="n">
        <v>8</v>
      </c>
      <c r="J43" t="inlineStr">
        <is>
          <t>P8|無印</t>
        </is>
      </c>
      <c r="K43" t="inlineStr">
        <is>
          <t>同頁凡例へ直接連動</t>
        </is>
      </c>
      <c r="L43" t="inlineStr">
        <is>
          <t>202604_LIXIL_サーモスＬ_業務用資料集_完成品価格表.pdf</t>
        </is>
      </c>
      <c r="M43" t="inlineStr">
        <is>
          <t>v0.6：同一価格表セクション内で凡例継承を確定。</t>
        </is>
      </c>
      <c r="N43" t="inlineStr">
        <is>
          <t>https://drive.google.com/file/d/1YUN-mtWYs48YBUHJk0C3vJXnhjyZFHyf/view</t>
        </is>
      </c>
    </row>
    <row r="44">
      <c r="A44" s="42" t="inlineStr">
        <is>
          <t>GSC-SL-000041</t>
        </is>
      </c>
      <c r="B44" t="inlineStr">
        <is>
          <t>SZ-SL-000041</t>
        </is>
      </c>
      <c r="C44" t="inlineStr">
        <is>
          <t>WT-SL-HIKICHIGAI</t>
        </is>
      </c>
      <c r="E44" t="inlineStr">
        <is>
          <t>16503</t>
        </is>
      </c>
      <c r="F44" t="b">
        <v>1</v>
      </c>
      <c r="G44" t="n">
        <v>8</v>
      </c>
      <c r="H44" t="inlineStr">
        <is>
          <t>無印</t>
        </is>
      </c>
      <c r="I44" t="n">
        <v>8</v>
      </c>
      <c r="J44" t="inlineStr">
        <is>
          <t>P8|無印</t>
        </is>
      </c>
      <c r="K44" t="inlineStr">
        <is>
          <t>同頁凡例へ直接連動</t>
        </is>
      </c>
      <c r="L44" t="inlineStr">
        <is>
          <t>202604_LIXIL_サーモスＬ_業務用資料集_完成品価格表.pdf</t>
        </is>
      </c>
      <c r="M44" t="inlineStr">
        <is>
          <t>v0.6：同一価格表セクション内で凡例継承を確定。</t>
        </is>
      </c>
      <c r="N44" t="inlineStr">
        <is>
          <t>https://drive.google.com/file/d/1YUN-mtWYs48YBUHJk0C3vJXnhjyZFHyf/view</t>
        </is>
      </c>
    </row>
    <row r="45">
      <c r="A45" s="42" t="inlineStr">
        <is>
          <t>GSC-SL-000042</t>
        </is>
      </c>
      <c r="B45" t="inlineStr">
        <is>
          <t>SZ-SL-000042</t>
        </is>
      </c>
      <c r="C45" t="inlineStr">
        <is>
          <t>WT-SL-HIKICHIGAI</t>
        </is>
      </c>
      <c r="E45" t="inlineStr">
        <is>
          <t>16505</t>
        </is>
      </c>
      <c r="F45" t="b">
        <v>1</v>
      </c>
      <c r="G45" t="n">
        <v>8</v>
      </c>
      <c r="H45" t="inlineStr">
        <is>
          <t>無印</t>
        </is>
      </c>
      <c r="I45" t="n">
        <v>8</v>
      </c>
      <c r="J45" t="inlineStr">
        <is>
          <t>P8|無印</t>
        </is>
      </c>
      <c r="K45" t="inlineStr">
        <is>
          <t>同頁凡例へ直接連動</t>
        </is>
      </c>
      <c r="L45" t="inlineStr">
        <is>
          <t>202604_LIXIL_サーモスＬ_業務用資料集_完成品価格表.pdf</t>
        </is>
      </c>
      <c r="M45" t="inlineStr">
        <is>
          <t>v0.6：同一価格表セクション内で凡例継承を確定。</t>
        </is>
      </c>
      <c r="N45" t="inlineStr">
        <is>
          <t>https://drive.google.com/file/d/1YUN-mtWYs48YBUHJk0C3vJXnhjyZFHyf/view</t>
        </is>
      </c>
    </row>
    <row r="46">
      <c r="A46" s="42" t="inlineStr">
        <is>
          <t>GSC-SL-000043</t>
        </is>
      </c>
      <c r="B46" t="inlineStr">
        <is>
          <t>SZ-SL-000043</t>
        </is>
      </c>
      <c r="C46" t="inlineStr">
        <is>
          <t>WT-SL-HIKICHIGAI</t>
        </is>
      </c>
      <c r="E46" t="inlineStr">
        <is>
          <t>16507</t>
        </is>
      </c>
      <c r="F46" t="b">
        <v>1</v>
      </c>
      <c r="G46" t="n">
        <v>8</v>
      </c>
      <c r="H46" t="inlineStr">
        <is>
          <t>無印</t>
        </is>
      </c>
      <c r="I46" t="n">
        <v>8</v>
      </c>
      <c r="J46" t="inlineStr">
        <is>
          <t>P8|無印</t>
        </is>
      </c>
      <c r="K46" t="inlineStr">
        <is>
          <t>同頁凡例へ直接連動</t>
        </is>
      </c>
      <c r="L46" t="inlineStr">
        <is>
          <t>202604_LIXIL_サーモスＬ_業務用資料集_完成品価格表.pdf</t>
        </is>
      </c>
      <c r="M46" t="inlineStr">
        <is>
          <t>v0.6：同一価格表セクション内で凡例継承を確定。</t>
        </is>
      </c>
      <c r="N46" t="inlineStr">
        <is>
          <t>https://drive.google.com/file/d/1YUN-mtWYs48YBUHJk0C3vJXnhjyZFHyf/view</t>
        </is>
      </c>
    </row>
    <row r="47">
      <c r="A47" s="42" t="inlineStr">
        <is>
          <t>GSC-SL-000044</t>
        </is>
      </c>
      <c r="B47" t="inlineStr">
        <is>
          <t>SZ-SL-000044</t>
        </is>
      </c>
      <c r="C47" t="inlineStr">
        <is>
          <t>WT-SL-HIKICHIGAI</t>
        </is>
      </c>
      <c r="E47" t="inlineStr">
        <is>
          <t>16509</t>
        </is>
      </c>
      <c r="F47" t="b">
        <v>1</v>
      </c>
      <c r="G47" t="n">
        <v>8</v>
      </c>
      <c r="H47" t="inlineStr">
        <is>
          <t>無印</t>
        </is>
      </c>
      <c r="I47" t="n">
        <v>8</v>
      </c>
      <c r="J47" t="inlineStr">
        <is>
          <t>P8|無印</t>
        </is>
      </c>
      <c r="K47" t="inlineStr">
        <is>
          <t>同頁凡例へ直接連動</t>
        </is>
      </c>
      <c r="L47" t="inlineStr">
        <is>
          <t>202604_LIXIL_サーモスＬ_業務用資料集_完成品価格表.pdf</t>
        </is>
      </c>
      <c r="M47" t="inlineStr">
        <is>
          <t>v0.6：同一価格表セクション内で凡例継承を確定。</t>
        </is>
      </c>
      <c r="N47" t="inlineStr">
        <is>
          <t>https://drive.google.com/file/d/1YUN-mtWYs48YBUHJk0C3vJXnhjyZFHyf/view</t>
        </is>
      </c>
    </row>
    <row r="48">
      <c r="A48" s="42" t="inlineStr">
        <is>
          <t>GSC-SL-000045</t>
        </is>
      </c>
      <c r="B48" t="inlineStr">
        <is>
          <t>SZ-SL-000045</t>
        </is>
      </c>
      <c r="C48" t="inlineStr">
        <is>
          <t>WT-SL-HIKICHIGAI</t>
        </is>
      </c>
      <c r="E48" t="inlineStr">
        <is>
          <t>17405</t>
        </is>
      </c>
      <c r="F48" t="b">
        <v>1</v>
      </c>
      <c r="G48" t="n">
        <v>8</v>
      </c>
      <c r="H48" t="inlineStr">
        <is>
          <t>無印</t>
        </is>
      </c>
      <c r="I48" t="n">
        <v>8</v>
      </c>
      <c r="J48" t="inlineStr">
        <is>
          <t>P8|無印</t>
        </is>
      </c>
      <c r="K48" t="inlineStr">
        <is>
          <t>同頁凡例へ直接連動</t>
        </is>
      </c>
      <c r="L48" t="inlineStr">
        <is>
          <t>202604_LIXIL_サーモスＬ_業務用資料集_完成品価格表.pdf</t>
        </is>
      </c>
      <c r="M48" t="inlineStr">
        <is>
          <t>v0.6：同一価格表セクション内で凡例継承を確定。</t>
        </is>
      </c>
      <c r="N48" t="inlineStr">
        <is>
          <t>https://drive.google.com/file/d/1YUN-mtWYs48YBUHJk0C3vJXnhjyZFHyf/view</t>
        </is>
      </c>
    </row>
    <row r="49">
      <c r="A49" s="42" t="inlineStr">
        <is>
          <t>GSC-SL-000046</t>
        </is>
      </c>
      <c r="B49" t="inlineStr">
        <is>
          <t>SZ-SL-000046</t>
        </is>
      </c>
      <c r="C49" t="inlineStr">
        <is>
          <t>WT-SL-HIKICHIGAI</t>
        </is>
      </c>
      <c r="E49" t="inlineStr">
        <is>
          <t>17407</t>
        </is>
      </c>
      <c r="F49" t="b">
        <v>1</v>
      </c>
      <c r="G49" t="n">
        <v>8</v>
      </c>
      <c r="H49" t="inlineStr">
        <is>
          <t>無印</t>
        </is>
      </c>
      <c r="I49" t="n">
        <v>8</v>
      </c>
      <c r="J49" t="inlineStr">
        <is>
          <t>P8|無印</t>
        </is>
      </c>
      <c r="K49" t="inlineStr">
        <is>
          <t>同頁凡例へ直接連動</t>
        </is>
      </c>
      <c r="L49" t="inlineStr">
        <is>
          <t>202604_LIXIL_サーモスＬ_業務用資料集_完成品価格表.pdf</t>
        </is>
      </c>
      <c r="M49" t="inlineStr">
        <is>
          <t>v0.6：同一価格表セクション内で凡例継承を確定。</t>
        </is>
      </c>
      <c r="N49" t="inlineStr">
        <is>
          <t>https://drive.google.com/file/d/1YUN-mtWYs48YBUHJk0C3vJXnhjyZFHyf/view</t>
        </is>
      </c>
    </row>
    <row r="50">
      <c r="A50" s="42" t="inlineStr">
        <is>
          <t>GSC-SL-000047</t>
        </is>
      </c>
      <c r="B50" t="inlineStr">
        <is>
          <t>SZ-SL-000047</t>
        </is>
      </c>
      <c r="C50" t="inlineStr">
        <is>
          <t>WT-SL-HIKICHIGAI</t>
        </is>
      </c>
      <c r="E50" t="inlineStr">
        <is>
          <t>17409</t>
        </is>
      </c>
      <c r="F50" t="b">
        <v>1</v>
      </c>
      <c r="G50" t="n">
        <v>8</v>
      </c>
      <c r="H50" t="inlineStr">
        <is>
          <t>無印</t>
        </is>
      </c>
      <c r="I50" t="n">
        <v>8</v>
      </c>
      <c r="J50" t="inlineStr">
        <is>
          <t>P8|無印</t>
        </is>
      </c>
      <c r="K50" t="inlineStr">
        <is>
          <t>同頁凡例へ直接連動</t>
        </is>
      </c>
      <c r="L50" t="inlineStr">
        <is>
          <t>202604_LIXIL_サーモスＬ_業務用資料集_完成品価格表.pdf</t>
        </is>
      </c>
      <c r="M50" t="inlineStr">
        <is>
          <t>v0.6：同一価格表セクション内で凡例継承を確定。</t>
        </is>
      </c>
      <c r="N50" t="inlineStr">
        <is>
          <t>https://drive.google.com/file/d/1YUN-mtWYs48YBUHJk0C3vJXnhjyZFHyf/view</t>
        </is>
      </c>
    </row>
    <row r="51">
      <c r="A51" s="42" t="inlineStr">
        <is>
          <t>GSC-SL-000048</t>
        </is>
      </c>
      <c r="B51" t="inlineStr">
        <is>
          <t>SZ-SL-000048</t>
        </is>
      </c>
      <c r="C51" t="inlineStr">
        <is>
          <t>WT-SL-HIKICHIGAI</t>
        </is>
      </c>
      <c r="E51" t="inlineStr">
        <is>
          <t>17605</t>
        </is>
      </c>
      <c r="F51" t="b">
        <v>1</v>
      </c>
      <c r="G51" t="n">
        <v>8</v>
      </c>
      <c r="H51" t="inlineStr">
        <is>
          <t>無印</t>
        </is>
      </c>
      <c r="I51" t="n">
        <v>8</v>
      </c>
      <c r="J51" t="inlineStr">
        <is>
          <t>P8|無印</t>
        </is>
      </c>
      <c r="K51" t="inlineStr">
        <is>
          <t>同頁凡例へ直接連動</t>
        </is>
      </c>
      <c r="L51" t="inlineStr">
        <is>
          <t>202604_LIXIL_サーモスＬ_業務用資料集_完成品価格表.pdf</t>
        </is>
      </c>
      <c r="M51" t="inlineStr">
        <is>
          <t>v0.6：同一価格表セクション内で凡例継承を確定。</t>
        </is>
      </c>
      <c r="N51" t="inlineStr">
        <is>
          <t>https://drive.google.com/file/d/1YUN-mtWYs48YBUHJk0C3vJXnhjyZFHyf/view</t>
        </is>
      </c>
    </row>
    <row r="52">
      <c r="A52" s="42" t="inlineStr">
        <is>
          <t>GSC-SL-000049</t>
        </is>
      </c>
      <c r="B52" t="inlineStr">
        <is>
          <t>SZ-SL-000049</t>
        </is>
      </c>
      <c r="C52" t="inlineStr">
        <is>
          <t>WT-SL-HIKICHIGAI</t>
        </is>
      </c>
      <c r="E52" t="inlineStr">
        <is>
          <t>17607</t>
        </is>
      </c>
      <c r="F52" t="b">
        <v>1</v>
      </c>
      <c r="G52" t="n">
        <v>8</v>
      </c>
      <c r="H52" t="inlineStr">
        <is>
          <t>無印</t>
        </is>
      </c>
      <c r="I52" t="n">
        <v>8</v>
      </c>
      <c r="J52" t="inlineStr">
        <is>
          <t>P8|無印</t>
        </is>
      </c>
      <c r="K52" t="inlineStr">
        <is>
          <t>同頁凡例へ直接連動</t>
        </is>
      </c>
      <c r="L52" t="inlineStr">
        <is>
          <t>202604_LIXIL_サーモスＬ_業務用資料集_完成品価格表.pdf</t>
        </is>
      </c>
      <c r="M52" t="inlineStr">
        <is>
          <t>v0.6：同一価格表セクション内で凡例継承を確定。</t>
        </is>
      </c>
      <c r="N52" t="inlineStr">
        <is>
          <t>https://drive.google.com/file/d/1YUN-mtWYs48YBUHJk0C3vJXnhjyZFHyf/view</t>
        </is>
      </c>
    </row>
    <row r="53">
      <c r="A53" s="42" t="inlineStr">
        <is>
          <t>GSC-SL-000050</t>
        </is>
      </c>
      <c r="B53" t="inlineStr">
        <is>
          <t>SZ-SL-000050</t>
        </is>
      </c>
      <c r="C53" t="inlineStr">
        <is>
          <t>WT-SL-HIKICHIGAI</t>
        </is>
      </c>
      <c r="E53" t="inlineStr">
        <is>
          <t>17609</t>
        </is>
      </c>
      <c r="F53" t="b">
        <v>1</v>
      </c>
      <c r="G53" t="n">
        <v>8</v>
      </c>
      <c r="H53" t="inlineStr">
        <is>
          <t>無印</t>
        </is>
      </c>
      <c r="I53" t="n">
        <v>8</v>
      </c>
      <c r="J53" t="inlineStr">
        <is>
          <t>P8|無印</t>
        </is>
      </c>
      <c r="K53" t="inlineStr">
        <is>
          <t>同頁凡例へ直接連動</t>
        </is>
      </c>
      <c r="L53" t="inlineStr">
        <is>
          <t>202604_LIXIL_サーモスＬ_業務用資料集_完成品価格表.pdf</t>
        </is>
      </c>
      <c r="M53" t="inlineStr">
        <is>
          <t>v0.6：同一価格表セクション内で凡例継承を確定。</t>
        </is>
      </c>
      <c r="N53" t="inlineStr">
        <is>
          <t>https://drive.google.com/file/d/1YUN-mtWYs48YBUHJk0C3vJXnhjyZFHyf/view</t>
        </is>
      </c>
    </row>
    <row r="54">
      <c r="A54" s="42" t="inlineStr">
        <is>
          <t>GSC-SL-000051</t>
        </is>
      </c>
      <c r="B54" t="inlineStr">
        <is>
          <t>SZ-SL-000051</t>
        </is>
      </c>
      <c r="C54" t="inlineStr">
        <is>
          <t>WT-SL-HIKICHIGAI</t>
        </is>
      </c>
      <c r="E54" t="inlineStr">
        <is>
          <t>17805</t>
        </is>
      </c>
      <c r="F54" t="b">
        <v>1</v>
      </c>
      <c r="G54" t="n">
        <v>8</v>
      </c>
      <c r="H54" t="inlineStr">
        <is>
          <t>無印</t>
        </is>
      </c>
      <c r="I54" t="n">
        <v>8</v>
      </c>
      <c r="J54" t="inlineStr">
        <is>
          <t>P8|無印</t>
        </is>
      </c>
      <c r="K54" t="inlineStr">
        <is>
          <t>同頁凡例へ直接連動</t>
        </is>
      </c>
      <c r="L54" t="inlineStr">
        <is>
          <t>202604_LIXIL_サーモスＬ_業務用資料集_完成品価格表.pdf</t>
        </is>
      </c>
      <c r="M54" t="inlineStr">
        <is>
          <t>v0.6：同一価格表セクション内で凡例継承を確定。</t>
        </is>
      </c>
      <c r="N54" t="inlineStr">
        <is>
          <t>https://drive.google.com/file/d/1YUN-mtWYs48YBUHJk0C3vJXnhjyZFHyf/view</t>
        </is>
      </c>
    </row>
    <row r="55">
      <c r="A55" s="42" t="inlineStr">
        <is>
          <t>GSC-SL-000052</t>
        </is>
      </c>
      <c r="B55" t="inlineStr">
        <is>
          <t>SZ-SL-000052</t>
        </is>
      </c>
      <c r="C55" t="inlineStr">
        <is>
          <t>WT-SL-HIKICHIGAI</t>
        </is>
      </c>
      <c r="E55" t="inlineStr">
        <is>
          <t>17807</t>
        </is>
      </c>
      <c r="F55" t="b">
        <v>1</v>
      </c>
      <c r="G55" t="n">
        <v>8</v>
      </c>
      <c r="H55" t="inlineStr">
        <is>
          <t>無印</t>
        </is>
      </c>
      <c r="I55" t="n">
        <v>8</v>
      </c>
      <c r="J55" t="inlineStr">
        <is>
          <t>P8|無印</t>
        </is>
      </c>
      <c r="K55" t="inlineStr">
        <is>
          <t>同頁凡例へ直接連動</t>
        </is>
      </c>
      <c r="L55" t="inlineStr">
        <is>
          <t>202604_LIXIL_サーモスＬ_業務用資料集_完成品価格表.pdf</t>
        </is>
      </c>
      <c r="M55" t="inlineStr">
        <is>
          <t>v0.6：同一価格表セクション内で凡例継承を確定。</t>
        </is>
      </c>
      <c r="N55" t="inlineStr">
        <is>
          <t>https://drive.google.com/file/d/1YUN-mtWYs48YBUHJk0C3vJXnhjyZFHyf/view</t>
        </is>
      </c>
    </row>
    <row r="56">
      <c r="A56" s="42" t="inlineStr">
        <is>
          <t>GSC-SL-000053</t>
        </is>
      </c>
      <c r="B56" t="inlineStr">
        <is>
          <t>SZ-SL-000053</t>
        </is>
      </c>
      <c r="C56" t="inlineStr">
        <is>
          <t>WT-SL-HIKICHIGAI</t>
        </is>
      </c>
      <c r="E56" t="inlineStr">
        <is>
          <t>17809</t>
        </is>
      </c>
      <c r="F56" t="b">
        <v>1</v>
      </c>
      <c r="G56" t="n">
        <v>8</v>
      </c>
      <c r="H56" t="inlineStr">
        <is>
          <t>無印</t>
        </is>
      </c>
      <c r="I56" t="n">
        <v>8</v>
      </c>
      <c r="J56" t="inlineStr">
        <is>
          <t>P8|無印</t>
        </is>
      </c>
      <c r="K56" t="inlineStr">
        <is>
          <t>同頁凡例へ直接連動</t>
        </is>
      </c>
      <c r="L56" t="inlineStr">
        <is>
          <t>202604_LIXIL_サーモスＬ_業務用資料集_完成品価格表.pdf</t>
        </is>
      </c>
      <c r="M56" t="inlineStr">
        <is>
          <t>v0.6：同一価格表セクション内で凡例継承を確定。</t>
        </is>
      </c>
      <c r="N56" t="inlineStr">
        <is>
          <t>https://drive.google.com/file/d/1YUN-mtWYs48YBUHJk0C3vJXnhjyZFHyf/view</t>
        </is>
      </c>
    </row>
    <row r="57">
      <c r="A57" s="42" t="inlineStr">
        <is>
          <t>GSC-SL-000054</t>
        </is>
      </c>
      <c r="B57" t="inlineStr">
        <is>
          <t>SZ-SL-000054</t>
        </is>
      </c>
      <c r="C57" t="inlineStr">
        <is>
          <t>WT-SL-HIKICHIGAI</t>
        </is>
      </c>
      <c r="E57" t="inlineStr">
        <is>
          <t>18005</t>
        </is>
      </c>
      <c r="F57" t="b">
        <v>1</v>
      </c>
      <c r="G57" t="n">
        <v>9</v>
      </c>
      <c r="H57" t="inlineStr">
        <is>
          <t>無印</t>
        </is>
      </c>
      <c r="I57" t="n">
        <v>8</v>
      </c>
      <c r="J57" t="inlineStr">
        <is>
          <t>P8|無印</t>
        </is>
      </c>
      <c r="K57" t="inlineStr">
        <is>
          <t>同一価格表・前頁凡例を継承</t>
        </is>
      </c>
      <c r="L57" t="inlineStr">
        <is>
          <t>202604_LIXIL_サーモスＬ_業務用資料集_完成品価格表.pdf</t>
        </is>
      </c>
      <c r="M57" t="inlineStr">
        <is>
          <t>v0.6：同一価格表セクション内で凡例継承を確定。</t>
        </is>
      </c>
      <c r="N57" t="inlineStr">
        <is>
          <t>https://drive.google.com/file/d/1YUN-mtWYs48YBUHJk0C3vJXnhjyZFHyf/view</t>
        </is>
      </c>
    </row>
    <row r="58">
      <c r="A58" s="42" t="inlineStr">
        <is>
          <t>GSC-SL-000055</t>
        </is>
      </c>
      <c r="B58" t="inlineStr">
        <is>
          <t>SZ-SL-000055</t>
        </is>
      </c>
      <c r="C58" t="inlineStr">
        <is>
          <t>WT-SL-HIKICHIGAI</t>
        </is>
      </c>
      <c r="E58" t="inlineStr">
        <is>
          <t>18007</t>
        </is>
      </c>
      <c r="F58" t="b">
        <v>1</v>
      </c>
      <c r="G58" t="n">
        <v>9</v>
      </c>
      <c r="H58" t="inlineStr">
        <is>
          <t>無印</t>
        </is>
      </c>
      <c r="I58" t="n">
        <v>8</v>
      </c>
      <c r="J58" t="inlineStr">
        <is>
          <t>P8|無印</t>
        </is>
      </c>
      <c r="K58" t="inlineStr">
        <is>
          <t>同一価格表・前頁凡例を継承</t>
        </is>
      </c>
      <c r="L58" t="inlineStr">
        <is>
          <t>202604_LIXIL_サーモスＬ_業務用資料集_完成品価格表.pdf</t>
        </is>
      </c>
      <c r="M58" t="inlineStr">
        <is>
          <t>v0.6：同一価格表セクション内で凡例継承を確定。</t>
        </is>
      </c>
      <c r="N58" t="inlineStr">
        <is>
          <t>https://drive.google.com/file/d/1YUN-mtWYs48YBUHJk0C3vJXnhjyZFHyf/view</t>
        </is>
      </c>
    </row>
    <row r="59">
      <c r="A59" s="42" t="inlineStr">
        <is>
          <t>GSC-SL-000056</t>
        </is>
      </c>
      <c r="B59" t="inlineStr">
        <is>
          <t>SZ-SL-000056</t>
        </is>
      </c>
      <c r="C59" t="inlineStr">
        <is>
          <t>WT-SL-HIKICHIGAI</t>
        </is>
      </c>
      <c r="E59" t="inlineStr">
        <is>
          <t>18009</t>
        </is>
      </c>
      <c r="F59" t="b">
        <v>1</v>
      </c>
      <c r="G59" t="n">
        <v>9</v>
      </c>
      <c r="H59" t="inlineStr">
        <is>
          <t>無印</t>
        </is>
      </c>
      <c r="I59" t="n">
        <v>8</v>
      </c>
      <c r="J59" t="inlineStr">
        <is>
          <t>P8|無印</t>
        </is>
      </c>
      <c r="K59" t="inlineStr">
        <is>
          <t>同一価格表・前頁凡例を継承</t>
        </is>
      </c>
      <c r="L59" t="inlineStr">
        <is>
          <t>202604_LIXIL_サーモスＬ_業務用資料集_完成品価格表.pdf</t>
        </is>
      </c>
      <c r="M59" t="inlineStr">
        <is>
          <t>v0.6：同一価格表セクション内で凡例継承を確定。</t>
        </is>
      </c>
      <c r="N59" t="inlineStr">
        <is>
          <t>https://drive.google.com/file/d/1YUN-mtWYs48YBUHJk0C3vJXnhjyZFHyf/view</t>
        </is>
      </c>
    </row>
    <row r="60">
      <c r="A60" s="42" t="inlineStr">
        <is>
          <t>GSC-SL-000057</t>
        </is>
      </c>
      <c r="B60" t="inlineStr">
        <is>
          <t>SZ-SL-000057</t>
        </is>
      </c>
      <c r="C60" t="inlineStr">
        <is>
          <t>WT-SL-HIKICHIGAI</t>
        </is>
      </c>
      <c r="E60" t="inlineStr">
        <is>
          <t>18305</t>
        </is>
      </c>
      <c r="F60" t="b">
        <v>1</v>
      </c>
      <c r="G60" t="n">
        <v>9</v>
      </c>
      <c r="H60" t="inlineStr">
        <is>
          <t>無印</t>
        </is>
      </c>
      <c r="I60" t="n">
        <v>8</v>
      </c>
      <c r="J60" t="inlineStr">
        <is>
          <t>P8|無印</t>
        </is>
      </c>
      <c r="K60" t="inlineStr">
        <is>
          <t>同一価格表・前頁凡例を継承</t>
        </is>
      </c>
      <c r="L60" t="inlineStr">
        <is>
          <t>202604_LIXIL_サーモスＬ_業務用資料集_完成品価格表.pdf</t>
        </is>
      </c>
      <c r="M60" t="inlineStr">
        <is>
          <t>v0.6：同一価格表セクション内で凡例継承を確定。</t>
        </is>
      </c>
      <c r="N60" t="inlineStr">
        <is>
          <t>https://drive.google.com/file/d/1YUN-mtWYs48YBUHJk0C3vJXnhjyZFHyf/view</t>
        </is>
      </c>
    </row>
    <row r="61">
      <c r="A61" s="42" t="inlineStr">
        <is>
          <t>GSC-SL-000058</t>
        </is>
      </c>
      <c r="B61" t="inlineStr">
        <is>
          <t>SZ-SL-000058</t>
        </is>
      </c>
      <c r="C61" t="inlineStr">
        <is>
          <t>WT-SL-HIKICHIGAI</t>
        </is>
      </c>
      <c r="E61" t="inlineStr">
        <is>
          <t>18307</t>
        </is>
      </c>
      <c r="F61" t="b">
        <v>1</v>
      </c>
      <c r="G61" t="n">
        <v>9</v>
      </c>
      <c r="H61" t="inlineStr">
        <is>
          <t>無印</t>
        </is>
      </c>
      <c r="I61" t="n">
        <v>8</v>
      </c>
      <c r="J61" t="inlineStr">
        <is>
          <t>P8|無印</t>
        </is>
      </c>
      <c r="K61" t="inlineStr">
        <is>
          <t>同一価格表・前頁凡例を継承</t>
        </is>
      </c>
      <c r="L61" t="inlineStr">
        <is>
          <t>202604_LIXIL_サーモスＬ_業務用資料集_完成品価格表.pdf</t>
        </is>
      </c>
      <c r="M61" t="inlineStr">
        <is>
          <t>v0.6：同一価格表セクション内で凡例継承を確定。</t>
        </is>
      </c>
      <c r="N61" t="inlineStr">
        <is>
          <t>https://drive.google.com/file/d/1YUN-mtWYs48YBUHJk0C3vJXnhjyZFHyf/view</t>
        </is>
      </c>
    </row>
    <row r="62">
      <c r="A62" s="42" t="inlineStr">
        <is>
          <t>GSC-SL-000059</t>
        </is>
      </c>
      <c r="B62" t="inlineStr">
        <is>
          <t>SZ-SL-000059</t>
        </is>
      </c>
      <c r="C62" t="inlineStr">
        <is>
          <t>WT-SL-HIKICHIGAI</t>
        </is>
      </c>
      <c r="E62" t="inlineStr">
        <is>
          <t>18309</t>
        </is>
      </c>
      <c r="F62" t="b">
        <v>1</v>
      </c>
      <c r="G62" t="n">
        <v>9</v>
      </c>
      <c r="H62" t="inlineStr">
        <is>
          <t>無印</t>
        </is>
      </c>
      <c r="I62" t="n">
        <v>8</v>
      </c>
      <c r="J62" t="inlineStr">
        <is>
          <t>P8|無印</t>
        </is>
      </c>
      <c r="K62" t="inlineStr">
        <is>
          <t>同一価格表・前頁凡例を継承</t>
        </is>
      </c>
      <c r="L62" t="inlineStr">
        <is>
          <t>202604_LIXIL_サーモスＬ_業務用資料集_完成品価格表.pdf</t>
        </is>
      </c>
      <c r="M62" t="inlineStr">
        <is>
          <t>v0.6：同一価格表セクション内で凡例継承を確定。</t>
        </is>
      </c>
      <c r="N62" t="inlineStr">
        <is>
          <t>https://drive.google.com/file/d/1YUN-mtWYs48YBUHJk0C3vJXnhjyZFHyf/view</t>
        </is>
      </c>
    </row>
    <row r="63">
      <c r="A63" s="42" t="inlineStr">
        <is>
          <t>GSC-SL-000060</t>
        </is>
      </c>
      <c r="B63" t="inlineStr">
        <is>
          <t>SZ-SL-000060</t>
        </is>
      </c>
      <c r="C63" t="inlineStr">
        <is>
          <t>WT-SL-HIKICHIGAI</t>
        </is>
      </c>
      <c r="E63" t="inlineStr">
        <is>
          <t>18605</t>
        </is>
      </c>
      <c r="F63" t="b">
        <v>1</v>
      </c>
      <c r="G63" t="n">
        <v>9</v>
      </c>
      <c r="H63" t="inlineStr">
        <is>
          <t>無印</t>
        </is>
      </c>
      <c r="I63" t="n">
        <v>8</v>
      </c>
      <c r="J63" t="inlineStr">
        <is>
          <t>P8|無印</t>
        </is>
      </c>
      <c r="K63" t="inlineStr">
        <is>
          <t>同一価格表・前頁凡例を継承</t>
        </is>
      </c>
      <c r="L63" t="inlineStr">
        <is>
          <t>202604_LIXIL_サーモスＬ_業務用資料集_完成品価格表.pdf</t>
        </is>
      </c>
      <c r="M63" t="inlineStr">
        <is>
          <t>v0.6：同一価格表セクション内で凡例継承を確定。</t>
        </is>
      </c>
      <c r="N63" t="inlineStr">
        <is>
          <t>https://drive.google.com/file/d/1YUN-mtWYs48YBUHJk0C3vJXnhjyZFHyf/view</t>
        </is>
      </c>
    </row>
    <row r="64">
      <c r="A64" s="42" t="inlineStr">
        <is>
          <t>GSC-SL-000061</t>
        </is>
      </c>
      <c r="B64" t="inlineStr">
        <is>
          <t>SZ-SL-000061</t>
        </is>
      </c>
      <c r="C64" t="inlineStr">
        <is>
          <t>WT-SL-HIKICHIGAI</t>
        </is>
      </c>
      <c r="E64" t="inlineStr">
        <is>
          <t>18607</t>
        </is>
      </c>
      <c r="F64" t="b">
        <v>1</v>
      </c>
      <c r="G64" t="n">
        <v>9</v>
      </c>
      <c r="H64" t="inlineStr">
        <is>
          <t>無印</t>
        </is>
      </c>
      <c r="I64" t="n">
        <v>8</v>
      </c>
      <c r="J64" t="inlineStr">
        <is>
          <t>P8|無印</t>
        </is>
      </c>
      <c r="K64" t="inlineStr">
        <is>
          <t>同一価格表・前頁凡例を継承</t>
        </is>
      </c>
      <c r="L64" t="inlineStr">
        <is>
          <t>202604_LIXIL_サーモスＬ_業務用資料集_完成品価格表.pdf</t>
        </is>
      </c>
      <c r="M64" t="inlineStr">
        <is>
          <t>v0.6：同一価格表セクション内で凡例継承を確定。</t>
        </is>
      </c>
      <c r="N64" t="inlineStr">
        <is>
          <t>https://drive.google.com/file/d/1YUN-mtWYs48YBUHJk0C3vJXnhjyZFHyf/view</t>
        </is>
      </c>
    </row>
    <row r="65">
      <c r="A65" s="42" t="inlineStr">
        <is>
          <t>GSC-SL-000062</t>
        </is>
      </c>
      <c r="B65" t="inlineStr">
        <is>
          <t>SZ-SL-000062</t>
        </is>
      </c>
      <c r="C65" t="inlineStr">
        <is>
          <t>WT-SL-HIKICHIGAI</t>
        </is>
      </c>
      <c r="E65" t="inlineStr">
        <is>
          <t>18609</t>
        </is>
      </c>
      <c r="F65" t="b">
        <v>1</v>
      </c>
      <c r="G65" t="n">
        <v>9</v>
      </c>
      <c r="H65" t="inlineStr">
        <is>
          <t>無印</t>
        </is>
      </c>
      <c r="I65" t="n">
        <v>8</v>
      </c>
      <c r="J65" t="inlineStr">
        <is>
          <t>P8|無印</t>
        </is>
      </c>
      <c r="K65" t="inlineStr">
        <is>
          <t>同一価格表・前頁凡例を継承</t>
        </is>
      </c>
      <c r="L65" t="inlineStr">
        <is>
          <t>202604_LIXIL_サーモスＬ_業務用資料集_完成品価格表.pdf</t>
        </is>
      </c>
      <c r="M65" t="inlineStr">
        <is>
          <t>v0.6：同一価格表セクション内で凡例継承を確定。</t>
        </is>
      </c>
      <c r="N65" t="inlineStr">
        <is>
          <t>https://drive.google.com/file/d/1YUN-mtWYs48YBUHJk0C3vJXnhjyZFHyf/view</t>
        </is>
      </c>
    </row>
    <row r="66">
      <c r="A66" s="42" t="inlineStr">
        <is>
          <t>GSC-SL-000063</t>
        </is>
      </c>
      <c r="B66" t="inlineStr">
        <is>
          <t>SZ-SL-000063</t>
        </is>
      </c>
      <c r="C66" t="inlineStr">
        <is>
          <t>WT-SL-HIKICHIGAI</t>
        </is>
      </c>
      <c r="E66" t="inlineStr">
        <is>
          <t>25109-2</t>
        </is>
      </c>
      <c r="F66" t="b">
        <v>1</v>
      </c>
      <c r="G66" t="n">
        <v>9</v>
      </c>
      <c r="H66" t="inlineStr">
        <is>
          <t>○</t>
        </is>
      </c>
      <c r="I66" t="n">
        <v>8</v>
      </c>
      <c r="J66" t="inlineStr">
        <is>
          <t>P8|○</t>
        </is>
      </c>
      <c r="K66" t="inlineStr">
        <is>
          <t>同一価格表・前頁凡例を継承</t>
        </is>
      </c>
      <c r="L66" t="inlineStr">
        <is>
          <t>202604_LIXIL_サーモスＬ_業務用資料集_完成品価格表.pdf</t>
        </is>
      </c>
      <c r="M66" t="inlineStr">
        <is>
          <t>v0.6：同一価格表セクション内で凡例継承を確定。</t>
        </is>
      </c>
      <c r="N66" t="inlineStr">
        <is>
          <t>https://drive.google.com/file/d/1YUN-mtWYs48YBUHJk0C3vJXnhjyZFHyf/view</t>
        </is>
      </c>
    </row>
    <row r="67">
      <c r="A67" s="42" t="inlineStr">
        <is>
          <t>GSC-SL-000064</t>
        </is>
      </c>
      <c r="B67" t="inlineStr">
        <is>
          <t>SZ-SL-000064</t>
        </is>
      </c>
      <c r="C67" t="inlineStr">
        <is>
          <t>WT-SL-HIKICHIGAI</t>
        </is>
      </c>
      <c r="E67" t="inlineStr">
        <is>
          <t>25109-4</t>
        </is>
      </c>
      <c r="F67" t="b">
        <v>1</v>
      </c>
      <c r="G67" t="n">
        <v>9</v>
      </c>
      <c r="H67" t="inlineStr">
        <is>
          <t>無印</t>
        </is>
      </c>
      <c r="I67" t="n">
        <v>8</v>
      </c>
      <c r="J67" t="inlineStr">
        <is>
          <t>P8|無印</t>
        </is>
      </c>
      <c r="K67" t="inlineStr">
        <is>
          <t>同一価格表・前頁凡例を継承</t>
        </is>
      </c>
      <c r="L67" t="inlineStr">
        <is>
          <t>202604_LIXIL_サーモスＬ_業務用資料集_完成品価格表.pdf</t>
        </is>
      </c>
      <c r="M67" t="inlineStr">
        <is>
          <t>v0.6：同一価格表セクション内で凡例継承を確定。</t>
        </is>
      </c>
      <c r="N67" t="inlineStr">
        <is>
          <t>https://drive.google.com/file/d/1YUN-mtWYs48YBUHJk0C3vJXnhjyZFHyf/view</t>
        </is>
      </c>
    </row>
    <row r="68">
      <c r="A68" s="42" t="inlineStr">
        <is>
          <t>GSC-SL-000065</t>
        </is>
      </c>
      <c r="B68" t="inlineStr">
        <is>
          <t>SZ-SL-000065</t>
        </is>
      </c>
      <c r="C68" t="inlineStr">
        <is>
          <t>WT-SL-HIKICHIGAI</t>
        </is>
      </c>
      <c r="E68" t="inlineStr">
        <is>
          <t>25609-2</t>
        </is>
      </c>
      <c r="F68" t="b">
        <v>1</v>
      </c>
      <c r="G68" t="n">
        <v>9</v>
      </c>
      <c r="H68" t="inlineStr">
        <is>
          <t>○</t>
        </is>
      </c>
      <c r="I68" t="n">
        <v>8</v>
      </c>
      <c r="J68" t="inlineStr">
        <is>
          <t>P8|○</t>
        </is>
      </c>
      <c r="K68" t="inlineStr">
        <is>
          <t>同一価格表・前頁凡例を継承</t>
        </is>
      </c>
      <c r="L68" t="inlineStr">
        <is>
          <t>202604_LIXIL_サーモスＬ_業務用資料集_完成品価格表.pdf</t>
        </is>
      </c>
      <c r="M68" t="inlineStr">
        <is>
          <t>v0.6：同一価格表セクション内で凡例継承を確定。</t>
        </is>
      </c>
      <c r="N68" t="inlineStr">
        <is>
          <t>https://drive.google.com/file/d/1YUN-mtWYs48YBUHJk0C3vJXnhjyZFHyf/view</t>
        </is>
      </c>
    </row>
    <row r="69">
      <c r="A69" s="42" t="inlineStr">
        <is>
          <t>GSC-SL-000066</t>
        </is>
      </c>
      <c r="B69" t="inlineStr">
        <is>
          <t>SZ-SL-000066</t>
        </is>
      </c>
      <c r="C69" t="inlineStr">
        <is>
          <t>WT-SL-HIKICHIGAI</t>
        </is>
      </c>
      <c r="E69" t="inlineStr">
        <is>
          <t>25609-4</t>
        </is>
      </c>
      <c r="F69" t="b">
        <v>1</v>
      </c>
      <c r="G69" t="n">
        <v>9</v>
      </c>
      <c r="H69" t="inlineStr">
        <is>
          <t>無印</t>
        </is>
      </c>
      <c r="I69" t="n">
        <v>8</v>
      </c>
      <c r="J69" t="inlineStr">
        <is>
          <t>P8|無印</t>
        </is>
      </c>
      <c r="K69" t="inlineStr">
        <is>
          <t>同一価格表・前頁凡例を継承</t>
        </is>
      </c>
      <c r="L69" t="inlineStr">
        <is>
          <t>202604_LIXIL_サーモスＬ_業務用資料集_完成品価格表.pdf</t>
        </is>
      </c>
      <c r="M69" t="inlineStr">
        <is>
          <t>v0.6：同一価格表セクション内で凡例継承を確定。</t>
        </is>
      </c>
      <c r="N69" t="inlineStr">
        <is>
          <t>https://drive.google.com/file/d/1YUN-mtWYs48YBUHJk0C3vJXnhjyZFHyf/view</t>
        </is>
      </c>
    </row>
    <row r="70">
      <c r="A70" s="42" t="inlineStr">
        <is>
          <t>GSC-SL-000067</t>
        </is>
      </c>
      <c r="B70" t="inlineStr">
        <is>
          <t>SZ-SL-000067</t>
        </is>
      </c>
      <c r="C70" t="inlineStr">
        <is>
          <t>WT-SL-HIKICHIGAI</t>
        </is>
      </c>
      <c r="E70" t="inlineStr">
        <is>
          <t>07411</t>
        </is>
      </c>
      <c r="F70" t="b">
        <v>1</v>
      </c>
      <c r="G70" t="n">
        <v>10</v>
      </c>
      <c r="H70" t="inlineStr">
        <is>
          <t>無印</t>
        </is>
      </c>
      <c r="I70" t="n">
        <v>10</v>
      </c>
      <c r="J70" t="inlineStr">
        <is>
          <t>P10|無印</t>
        </is>
      </c>
      <c r="K70" t="inlineStr">
        <is>
          <t>同頁凡例へ直接連動</t>
        </is>
      </c>
      <c r="L70" t="inlineStr">
        <is>
          <t>202604_LIXIL_サーモスＬ_業務用資料集_完成品価格表.pdf</t>
        </is>
      </c>
      <c r="M70" t="inlineStr">
        <is>
          <t>v0.6：同一価格表セクション内で凡例継承を確定。</t>
        </is>
      </c>
      <c r="N70" t="inlineStr">
        <is>
          <t>https://drive.google.com/file/d/1YUN-mtWYs48YBUHJk0C3vJXnhjyZFHyf/view</t>
        </is>
      </c>
    </row>
    <row r="71">
      <c r="A71" s="42" t="inlineStr">
        <is>
          <t>GSC-SL-000068</t>
        </is>
      </c>
      <c r="B71" t="inlineStr">
        <is>
          <t>SZ-SL-000068</t>
        </is>
      </c>
      <c r="C71" t="inlineStr">
        <is>
          <t>WT-SL-HIKICHIGAI</t>
        </is>
      </c>
      <c r="E71" t="inlineStr">
        <is>
          <t>08311</t>
        </is>
      </c>
      <c r="F71" t="b">
        <v>1</v>
      </c>
      <c r="G71" t="n">
        <v>11</v>
      </c>
      <c r="H71" t="inlineStr">
        <is>
          <t>無印</t>
        </is>
      </c>
      <c r="I71" t="n">
        <v>10</v>
      </c>
      <c r="J71" t="inlineStr">
        <is>
          <t>P10|無印</t>
        </is>
      </c>
      <c r="K71" t="inlineStr">
        <is>
          <t>同一価格表・前頁凡例を継承</t>
        </is>
      </c>
      <c r="L71" t="inlineStr">
        <is>
          <t>202604_LIXIL_サーモスＬ_業務用資料集_完成品価格表.pdf</t>
        </is>
      </c>
      <c r="M71" t="inlineStr">
        <is>
          <t>v0.6：同一価格表セクション内で凡例継承を確定。</t>
        </is>
      </c>
      <c r="N71" t="inlineStr">
        <is>
          <t>https://drive.google.com/file/d/1YUN-mtWYs48YBUHJk0C3vJXnhjyZFHyf/view</t>
        </is>
      </c>
    </row>
    <row r="72">
      <c r="A72" s="42" t="inlineStr">
        <is>
          <t>GSC-SL-000069</t>
        </is>
      </c>
      <c r="B72" t="inlineStr">
        <is>
          <t>SZ-SL-000069</t>
        </is>
      </c>
      <c r="C72" t="inlineStr">
        <is>
          <t>WT-SL-HIKICHIGAI</t>
        </is>
      </c>
      <c r="E72" t="inlineStr">
        <is>
          <t>11411</t>
        </is>
      </c>
      <c r="F72" t="b">
        <v>1</v>
      </c>
      <c r="G72" t="n">
        <v>11</v>
      </c>
      <c r="H72" t="inlineStr">
        <is>
          <t>無印</t>
        </is>
      </c>
      <c r="I72" t="n">
        <v>10</v>
      </c>
      <c r="J72" t="inlineStr">
        <is>
          <t>P10|無印</t>
        </is>
      </c>
      <c r="K72" t="inlineStr">
        <is>
          <t>同一価格表・前頁凡例を継承</t>
        </is>
      </c>
      <c r="L72" t="inlineStr">
        <is>
          <t>202604_LIXIL_サーモスＬ_業務用資料集_完成品価格表.pdf</t>
        </is>
      </c>
      <c r="M72" t="inlineStr">
        <is>
          <t>v0.6：同一価格表セクション内で凡例継承を確定。</t>
        </is>
      </c>
      <c r="N72" t="inlineStr">
        <is>
          <t>https://drive.google.com/file/d/1YUN-mtWYs48YBUHJk0C3vJXnhjyZFHyf/view</t>
        </is>
      </c>
    </row>
    <row r="73">
      <c r="A73" s="42" t="inlineStr">
        <is>
          <t>GSC-SL-000070</t>
        </is>
      </c>
      <c r="B73" t="inlineStr">
        <is>
          <t>SZ-SL-000070</t>
        </is>
      </c>
      <c r="C73" t="inlineStr">
        <is>
          <t>WT-SL-HIKICHIGAI</t>
        </is>
      </c>
      <c r="E73" t="inlineStr">
        <is>
          <t>11413</t>
        </is>
      </c>
      <c r="F73" t="b">
        <v>1</v>
      </c>
      <c r="G73" t="n">
        <v>11</v>
      </c>
      <c r="H73" t="inlineStr">
        <is>
          <t>無印</t>
        </is>
      </c>
      <c r="I73" t="n">
        <v>10</v>
      </c>
      <c r="J73" t="inlineStr">
        <is>
          <t>P10|無印</t>
        </is>
      </c>
      <c r="K73" t="inlineStr">
        <is>
          <t>同一価格表・前頁凡例を継承</t>
        </is>
      </c>
      <c r="L73" t="inlineStr">
        <is>
          <t>202604_LIXIL_サーモスＬ_業務用資料集_完成品価格表.pdf</t>
        </is>
      </c>
      <c r="M73" t="inlineStr">
        <is>
          <t>v0.6：同一価格表セクション内で凡例継承を確定。</t>
        </is>
      </c>
      <c r="N73" t="inlineStr">
        <is>
          <t>https://drive.google.com/file/d/1YUN-mtWYs48YBUHJk0C3vJXnhjyZFHyf/view</t>
        </is>
      </c>
    </row>
    <row r="74">
      <c r="A74" s="42" t="inlineStr">
        <is>
          <t>GSC-SL-000071</t>
        </is>
      </c>
      <c r="B74" t="inlineStr">
        <is>
          <t>SZ-SL-000071</t>
        </is>
      </c>
      <c r="C74" t="inlineStr">
        <is>
          <t>WT-SL-HIKICHIGAI</t>
        </is>
      </c>
      <c r="E74" t="inlineStr">
        <is>
          <t>11911</t>
        </is>
      </c>
      <c r="F74" t="b">
        <v>1</v>
      </c>
      <c r="G74" t="n">
        <v>11</v>
      </c>
      <c r="H74" t="inlineStr">
        <is>
          <t>無印</t>
        </is>
      </c>
      <c r="I74" t="n">
        <v>10</v>
      </c>
      <c r="J74" t="inlineStr">
        <is>
          <t>P10|無印</t>
        </is>
      </c>
      <c r="K74" t="inlineStr">
        <is>
          <t>同一価格表・前頁凡例を継承</t>
        </is>
      </c>
      <c r="L74" t="inlineStr">
        <is>
          <t>202604_LIXIL_サーモスＬ_業務用資料集_完成品価格表.pdf</t>
        </is>
      </c>
      <c r="M74" t="inlineStr">
        <is>
          <t>v0.6：同一価格表セクション内で凡例継承を確定。</t>
        </is>
      </c>
      <c r="N74" t="inlineStr">
        <is>
          <t>https://drive.google.com/file/d/1YUN-mtWYs48YBUHJk0C3vJXnhjyZFHyf/view</t>
        </is>
      </c>
    </row>
    <row r="75">
      <c r="A75" s="42" t="inlineStr">
        <is>
          <t>GSC-SL-000072</t>
        </is>
      </c>
      <c r="B75" t="inlineStr">
        <is>
          <t>SZ-SL-000072</t>
        </is>
      </c>
      <c r="C75" t="inlineStr">
        <is>
          <t>WT-SL-HIKICHIGAI</t>
        </is>
      </c>
      <c r="E75" t="inlineStr">
        <is>
          <t>11913</t>
        </is>
      </c>
      <c r="F75" t="b">
        <v>1</v>
      </c>
      <c r="G75" t="n">
        <v>11</v>
      </c>
      <c r="H75" t="inlineStr">
        <is>
          <t>無印</t>
        </is>
      </c>
      <c r="I75" t="n">
        <v>10</v>
      </c>
      <c r="J75" t="inlineStr">
        <is>
          <t>P10|無印</t>
        </is>
      </c>
      <c r="K75" t="inlineStr">
        <is>
          <t>同一価格表・前頁凡例を継承</t>
        </is>
      </c>
      <c r="L75" t="inlineStr">
        <is>
          <t>202604_LIXIL_サーモスＬ_業務用資料集_完成品価格表.pdf</t>
        </is>
      </c>
      <c r="M75" t="inlineStr">
        <is>
          <t>v0.6：同一価格表セクション内で凡例継承を確定。</t>
        </is>
      </c>
      <c r="N75" t="inlineStr">
        <is>
          <t>https://drive.google.com/file/d/1YUN-mtWYs48YBUHJk0C3vJXnhjyZFHyf/view</t>
        </is>
      </c>
    </row>
    <row r="76">
      <c r="A76" s="42" t="inlineStr">
        <is>
          <t>GSC-SL-000073</t>
        </is>
      </c>
      <c r="B76" t="inlineStr">
        <is>
          <t>SZ-SL-000073</t>
        </is>
      </c>
      <c r="C76" t="inlineStr">
        <is>
          <t>WT-SL-HIKICHIGAI</t>
        </is>
      </c>
      <c r="E76" t="inlineStr">
        <is>
          <t>12811</t>
        </is>
      </c>
      <c r="F76" t="b">
        <v>1</v>
      </c>
      <c r="G76" t="n">
        <v>11</v>
      </c>
      <c r="H76" t="inlineStr">
        <is>
          <t>無印</t>
        </is>
      </c>
      <c r="I76" t="n">
        <v>10</v>
      </c>
      <c r="J76" t="inlineStr">
        <is>
          <t>P10|無印</t>
        </is>
      </c>
      <c r="K76" t="inlineStr">
        <is>
          <t>同一価格表・前頁凡例を継承</t>
        </is>
      </c>
      <c r="L76" t="inlineStr">
        <is>
          <t>202604_LIXIL_サーモスＬ_業務用資料集_完成品価格表.pdf</t>
        </is>
      </c>
      <c r="M76" t="inlineStr">
        <is>
          <t>v0.6：同一価格表セクション内で凡例継承を確定。</t>
        </is>
      </c>
      <c r="N76" t="inlineStr">
        <is>
          <t>https://drive.google.com/file/d/1YUN-mtWYs48YBUHJk0C3vJXnhjyZFHyf/view</t>
        </is>
      </c>
    </row>
    <row r="77">
      <c r="A77" s="42" t="inlineStr">
        <is>
          <t>GSC-SL-000074</t>
        </is>
      </c>
      <c r="B77" t="inlineStr">
        <is>
          <t>SZ-SL-000074</t>
        </is>
      </c>
      <c r="C77" t="inlineStr">
        <is>
          <t>WT-SL-HIKICHIGAI</t>
        </is>
      </c>
      <c r="E77" t="inlineStr">
        <is>
          <t>12813</t>
        </is>
      </c>
      <c r="F77" t="b">
        <v>1</v>
      </c>
      <c r="G77" t="n">
        <v>11</v>
      </c>
      <c r="H77" t="inlineStr">
        <is>
          <t>無印</t>
        </is>
      </c>
      <c r="I77" t="n">
        <v>10</v>
      </c>
      <c r="J77" t="inlineStr">
        <is>
          <t>P10|無印</t>
        </is>
      </c>
      <c r="K77" t="inlineStr">
        <is>
          <t>同一価格表・前頁凡例を継承</t>
        </is>
      </c>
      <c r="L77" t="inlineStr">
        <is>
          <t>202604_LIXIL_サーモスＬ_業務用資料集_完成品価格表.pdf</t>
        </is>
      </c>
      <c r="M77" t="inlineStr">
        <is>
          <t>v0.6：同一価格表セクション内で凡例継承を確定。</t>
        </is>
      </c>
      <c r="N77" t="inlineStr">
        <is>
          <t>https://drive.google.com/file/d/1YUN-mtWYs48YBUHJk0C3vJXnhjyZFHyf/view</t>
        </is>
      </c>
    </row>
    <row r="78">
      <c r="A78" s="42" t="inlineStr">
        <is>
          <t>GSC-SL-000075</t>
        </is>
      </c>
      <c r="B78" t="inlineStr">
        <is>
          <t>SZ-SL-000075</t>
        </is>
      </c>
      <c r="C78" t="inlineStr">
        <is>
          <t>WT-SL-HIKICHIGAI</t>
        </is>
      </c>
      <c r="E78" t="inlineStr">
        <is>
          <t>13311</t>
        </is>
      </c>
      <c r="F78" t="b">
        <v>1</v>
      </c>
      <c r="G78" t="n">
        <v>11</v>
      </c>
      <c r="H78" t="inlineStr">
        <is>
          <t>無印</t>
        </is>
      </c>
      <c r="I78" t="n">
        <v>10</v>
      </c>
      <c r="J78" t="inlineStr">
        <is>
          <t>P10|無印</t>
        </is>
      </c>
      <c r="K78" t="inlineStr">
        <is>
          <t>同一価格表・前頁凡例を継承</t>
        </is>
      </c>
      <c r="L78" t="inlineStr">
        <is>
          <t>202604_LIXIL_サーモスＬ_業務用資料集_完成品価格表.pdf</t>
        </is>
      </c>
      <c r="M78" t="inlineStr">
        <is>
          <t>v0.6：同一価格表セクション内で凡例継承を確定。</t>
        </is>
      </c>
      <c r="N78" t="inlineStr">
        <is>
          <t>https://drive.google.com/file/d/1YUN-mtWYs48YBUHJk0C3vJXnhjyZFHyf/view</t>
        </is>
      </c>
    </row>
    <row r="79">
      <c r="A79" s="42" t="inlineStr">
        <is>
          <t>GSC-SL-000076</t>
        </is>
      </c>
      <c r="B79" t="inlineStr">
        <is>
          <t>SZ-SL-000076</t>
        </is>
      </c>
      <c r="C79" t="inlineStr">
        <is>
          <t>WT-SL-HIKICHIGAI</t>
        </is>
      </c>
      <c r="E79" t="inlineStr">
        <is>
          <t>13313</t>
        </is>
      </c>
      <c r="F79" t="b">
        <v>1</v>
      </c>
      <c r="G79" t="n">
        <v>11</v>
      </c>
      <c r="H79" t="inlineStr">
        <is>
          <t>無印</t>
        </is>
      </c>
      <c r="I79" t="n">
        <v>10</v>
      </c>
      <c r="J79" t="inlineStr">
        <is>
          <t>P10|無印</t>
        </is>
      </c>
      <c r="K79" t="inlineStr">
        <is>
          <t>同一価格表・前頁凡例を継承</t>
        </is>
      </c>
      <c r="L79" t="inlineStr">
        <is>
          <t>202604_LIXIL_サーモスＬ_業務用資料集_完成品価格表.pdf</t>
        </is>
      </c>
      <c r="M79" t="inlineStr">
        <is>
          <t>v0.6：同一価格表セクション内で凡例継承を確定。</t>
        </is>
      </c>
      <c r="N79" t="inlineStr">
        <is>
          <t>https://drive.google.com/file/d/1YUN-mtWYs48YBUHJk0C3vJXnhjyZFHyf/view</t>
        </is>
      </c>
    </row>
    <row r="80">
      <c r="A80" s="42" t="inlineStr">
        <is>
          <t>GSC-SL-000077</t>
        </is>
      </c>
      <c r="B80" t="inlineStr">
        <is>
          <t>SZ-SL-000077</t>
        </is>
      </c>
      <c r="C80" t="inlineStr">
        <is>
          <t>WT-SL-HIKICHIGAI</t>
        </is>
      </c>
      <c r="E80" t="inlineStr">
        <is>
          <t>15011</t>
        </is>
      </c>
      <c r="F80" t="b">
        <v>1</v>
      </c>
      <c r="G80" t="n">
        <v>11</v>
      </c>
      <c r="H80" t="inlineStr">
        <is>
          <t>無印</t>
        </is>
      </c>
      <c r="I80" t="n">
        <v>10</v>
      </c>
      <c r="J80" t="inlineStr">
        <is>
          <t>P10|無印</t>
        </is>
      </c>
      <c r="K80" t="inlineStr">
        <is>
          <t>同一価格表・前頁凡例を継承</t>
        </is>
      </c>
      <c r="L80" t="inlineStr">
        <is>
          <t>202604_LIXIL_サーモスＬ_業務用資料集_完成品価格表.pdf</t>
        </is>
      </c>
      <c r="M80" t="inlineStr">
        <is>
          <t>v0.6：同一価格表セクション内で凡例継承を確定。</t>
        </is>
      </c>
      <c r="N80" t="inlineStr">
        <is>
          <t>https://drive.google.com/file/d/1YUN-mtWYs48YBUHJk0C3vJXnhjyZFHyf/view</t>
        </is>
      </c>
    </row>
    <row r="81">
      <c r="A81" s="42" t="inlineStr">
        <is>
          <t>GSC-SL-000078</t>
        </is>
      </c>
      <c r="B81" t="inlineStr">
        <is>
          <t>SZ-SL-000078</t>
        </is>
      </c>
      <c r="C81" t="inlineStr">
        <is>
          <t>WT-SL-HIKICHIGAI</t>
        </is>
      </c>
      <c r="E81" t="inlineStr">
        <is>
          <t>15013</t>
        </is>
      </c>
      <c r="F81" t="b">
        <v>1</v>
      </c>
      <c r="G81" t="n">
        <v>11</v>
      </c>
      <c r="H81" t="inlineStr">
        <is>
          <t>無印</t>
        </is>
      </c>
      <c r="I81" t="n">
        <v>10</v>
      </c>
      <c r="J81" t="inlineStr">
        <is>
          <t>P10|無印</t>
        </is>
      </c>
      <c r="K81" t="inlineStr">
        <is>
          <t>同一価格表・前頁凡例を継承</t>
        </is>
      </c>
      <c r="L81" t="inlineStr">
        <is>
          <t>202604_LIXIL_サーモスＬ_業務用資料集_完成品価格表.pdf</t>
        </is>
      </c>
      <c r="M81" t="inlineStr">
        <is>
          <t>v0.6：同一価格表セクション内で凡例継承を確定。</t>
        </is>
      </c>
      <c r="N81" t="inlineStr">
        <is>
          <t>https://drive.google.com/file/d/1YUN-mtWYs48YBUHJk0C3vJXnhjyZFHyf/view</t>
        </is>
      </c>
    </row>
    <row r="82">
      <c r="A82" s="42" t="inlineStr">
        <is>
          <t>GSC-SL-000079</t>
        </is>
      </c>
      <c r="B82" t="inlineStr">
        <is>
          <t>SZ-SL-000079</t>
        </is>
      </c>
      <c r="C82" t="inlineStr">
        <is>
          <t>WT-SL-HIKICHIGAI</t>
        </is>
      </c>
      <c r="E82" t="inlineStr">
        <is>
          <t>15015</t>
        </is>
      </c>
      <c r="F82" t="b">
        <v>1</v>
      </c>
      <c r="G82" t="n">
        <v>11</v>
      </c>
      <c r="H82" t="inlineStr">
        <is>
          <t>○</t>
        </is>
      </c>
      <c r="I82" t="n">
        <v>10</v>
      </c>
      <c r="J82" t="inlineStr">
        <is>
          <t>P10|○</t>
        </is>
      </c>
      <c r="K82" t="inlineStr">
        <is>
          <t>同一価格表・前頁凡例を継承</t>
        </is>
      </c>
      <c r="L82" t="inlineStr">
        <is>
          <t>202604_LIXIL_サーモスＬ_業務用資料集_完成品価格表.pdf</t>
        </is>
      </c>
      <c r="M82" t="inlineStr">
        <is>
          <t>v0.6：同一価格表セクション内で凡例継承を確定。</t>
        </is>
      </c>
      <c r="N82" t="inlineStr">
        <is>
          <t>https://drive.google.com/file/d/1YUN-mtWYs48YBUHJk0C3vJXnhjyZFHyf/view</t>
        </is>
      </c>
    </row>
    <row r="83">
      <c r="A83" s="42" t="inlineStr">
        <is>
          <t>GSC-SL-000080</t>
        </is>
      </c>
      <c r="B83" t="inlineStr">
        <is>
          <t>SZ-SL-000080</t>
        </is>
      </c>
      <c r="C83" t="inlineStr">
        <is>
          <t>WT-SL-HIKICHIGAI</t>
        </is>
      </c>
      <c r="E83" t="inlineStr">
        <is>
          <t>16011</t>
        </is>
      </c>
      <c r="F83" t="b">
        <v>1</v>
      </c>
      <c r="G83" t="n">
        <v>12</v>
      </c>
      <c r="H83" t="inlineStr">
        <is>
          <t>無印</t>
        </is>
      </c>
      <c r="I83" t="n">
        <v>12</v>
      </c>
      <c r="J83" t="inlineStr">
        <is>
          <t>P12|無印</t>
        </is>
      </c>
      <c r="K83" t="inlineStr">
        <is>
          <t>同頁凡例へ直接連動</t>
        </is>
      </c>
      <c r="L83" t="inlineStr">
        <is>
          <t>202604_LIXIL_サーモスＬ_業務用資料集_完成品価格表.pdf</t>
        </is>
      </c>
      <c r="M83" t="inlineStr">
        <is>
          <t>v0.6：同一価格表セクション内で凡例継承を確定。</t>
        </is>
      </c>
      <c r="N83" t="inlineStr">
        <is>
          <t>https://drive.google.com/file/d/1YUN-mtWYs48YBUHJk0C3vJXnhjyZFHyf/view</t>
        </is>
      </c>
    </row>
    <row r="84">
      <c r="A84" s="42" t="inlineStr">
        <is>
          <t>GSC-SL-000081</t>
        </is>
      </c>
      <c r="B84" t="inlineStr">
        <is>
          <t>SZ-SL-000081</t>
        </is>
      </c>
      <c r="C84" t="inlineStr">
        <is>
          <t>WT-SL-HIKICHIGAI</t>
        </is>
      </c>
      <c r="E84" t="inlineStr">
        <is>
          <t>16013</t>
        </is>
      </c>
      <c r="F84" t="b">
        <v>1</v>
      </c>
      <c r="G84" t="n">
        <v>12</v>
      </c>
      <c r="H84" t="inlineStr">
        <is>
          <t>★</t>
        </is>
      </c>
      <c r="I84" t="n">
        <v>12</v>
      </c>
      <c r="J84" t="inlineStr">
        <is>
          <t>P12|★</t>
        </is>
      </c>
      <c r="K84" t="inlineStr">
        <is>
          <t>同頁凡例へ直接連動</t>
        </is>
      </c>
      <c r="L84" t="inlineStr">
        <is>
          <t>202604_LIXIL_サーモスＬ_業務用資料集_完成品価格表.pdf</t>
        </is>
      </c>
      <c r="M84" t="inlineStr">
        <is>
          <t>v0.6：同一価格表セクション内で凡例継承を確定。</t>
        </is>
      </c>
      <c r="N84" t="inlineStr">
        <is>
          <t>https://drive.google.com/file/d/1YUN-mtWYs48YBUHJk0C3vJXnhjyZFHyf/view</t>
        </is>
      </c>
    </row>
    <row r="85">
      <c r="A85" s="42" t="inlineStr">
        <is>
          <t>GSC-SL-000082</t>
        </is>
      </c>
      <c r="B85" t="inlineStr">
        <is>
          <t>SZ-SL-000082</t>
        </is>
      </c>
      <c r="C85" t="inlineStr">
        <is>
          <t>WT-SL-HIKICHIGAI</t>
        </is>
      </c>
      <c r="E85" t="inlineStr">
        <is>
          <t>16015</t>
        </is>
      </c>
      <c r="F85" t="b">
        <v>1</v>
      </c>
      <c r="G85" t="n">
        <v>12</v>
      </c>
      <c r="H85" t="inlineStr">
        <is>
          <t>○</t>
        </is>
      </c>
      <c r="I85" t="n">
        <v>12</v>
      </c>
      <c r="J85" t="inlineStr">
        <is>
          <t>P12|○</t>
        </is>
      </c>
      <c r="K85" t="inlineStr">
        <is>
          <t>同頁凡例へ直接連動</t>
        </is>
      </c>
      <c r="L85" t="inlineStr">
        <is>
          <t>202604_LIXIL_サーモスＬ_業務用資料集_完成品価格表.pdf</t>
        </is>
      </c>
      <c r="M85" t="inlineStr">
        <is>
          <t>v0.6：同一価格表セクション内で凡例継承を確定。</t>
        </is>
      </c>
      <c r="N85" t="inlineStr">
        <is>
          <t>https://drive.google.com/file/d/1YUN-mtWYs48YBUHJk0C3vJXnhjyZFHyf/view</t>
        </is>
      </c>
    </row>
    <row r="86">
      <c r="A86" s="42" t="inlineStr">
        <is>
          <t>GSC-SL-000083</t>
        </is>
      </c>
      <c r="B86" t="inlineStr">
        <is>
          <t>SZ-SL-000083</t>
        </is>
      </c>
      <c r="C86" t="inlineStr">
        <is>
          <t>WT-SL-HIKICHIGAI</t>
        </is>
      </c>
      <c r="E86" t="inlineStr">
        <is>
          <t>16511</t>
        </is>
      </c>
      <c r="F86" t="b">
        <v>1</v>
      </c>
      <c r="G86" t="n">
        <v>12</v>
      </c>
      <c r="H86" t="inlineStr">
        <is>
          <t>無印</t>
        </is>
      </c>
      <c r="I86" t="n">
        <v>12</v>
      </c>
      <c r="J86" t="inlineStr">
        <is>
          <t>P12|無印</t>
        </is>
      </c>
      <c r="K86" t="inlineStr">
        <is>
          <t>同頁凡例へ直接連動</t>
        </is>
      </c>
      <c r="L86" t="inlineStr">
        <is>
          <t>202604_LIXIL_サーモスＬ_業務用資料集_完成品価格表.pdf</t>
        </is>
      </c>
      <c r="M86" t="inlineStr">
        <is>
          <t>v0.6：同一価格表セクション内で凡例継承を確定。</t>
        </is>
      </c>
      <c r="N86" t="inlineStr">
        <is>
          <t>https://drive.google.com/file/d/1YUN-mtWYs48YBUHJk0C3vJXnhjyZFHyf/view</t>
        </is>
      </c>
    </row>
    <row r="87">
      <c r="A87" s="42" t="inlineStr">
        <is>
          <t>GSC-SL-000084</t>
        </is>
      </c>
      <c r="B87" t="inlineStr">
        <is>
          <t>SZ-SL-000084</t>
        </is>
      </c>
      <c r="C87" t="inlineStr">
        <is>
          <t>WT-SL-HIKICHIGAI</t>
        </is>
      </c>
      <c r="E87" t="inlineStr">
        <is>
          <t>16513</t>
        </is>
      </c>
      <c r="F87" t="b">
        <v>1</v>
      </c>
      <c r="G87" t="n">
        <v>12</v>
      </c>
      <c r="H87" t="inlineStr">
        <is>
          <t>★</t>
        </is>
      </c>
      <c r="I87" t="n">
        <v>12</v>
      </c>
      <c r="J87" t="inlineStr">
        <is>
          <t>P12|★</t>
        </is>
      </c>
      <c r="K87" t="inlineStr">
        <is>
          <t>同頁凡例へ直接連動</t>
        </is>
      </c>
      <c r="L87" t="inlineStr">
        <is>
          <t>202604_LIXIL_サーモスＬ_業務用資料集_完成品価格表.pdf</t>
        </is>
      </c>
      <c r="M87" t="inlineStr">
        <is>
          <t>v0.6：同一価格表セクション内で凡例継承を確定。</t>
        </is>
      </c>
      <c r="N87" t="inlineStr">
        <is>
          <t>https://drive.google.com/file/d/1YUN-mtWYs48YBUHJk0C3vJXnhjyZFHyf/view</t>
        </is>
      </c>
    </row>
    <row r="88">
      <c r="A88" s="42" t="inlineStr">
        <is>
          <t>GSC-SL-000085</t>
        </is>
      </c>
      <c r="B88" t="inlineStr">
        <is>
          <t>SZ-SL-000085</t>
        </is>
      </c>
      <c r="C88" t="inlineStr">
        <is>
          <t>WT-SL-HIKICHIGAI</t>
        </is>
      </c>
      <c r="E88" t="inlineStr">
        <is>
          <t>16515</t>
        </is>
      </c>
      <c r="F88" t="b">
        <v>1</v>
      </c>
      <c r="G88" t="n">
        <v>12</v>
      </c>
      <c r="H88" t="inlineStr">
        <is>
          <t>○</t>
        </is>
      </c>
      <c r="I88" t="n">
        <v>12</v>
      </c>
      <c r="J88" t="inlineStr">
        <is>
          <t>P12|○</t>
        </is>
      </c>
      <c r="K88" t="inlineStr">
        <is>
          <t>同頁凡例へ直接連動</t>
        </is>
      </c>
      <c r="L88" t="inlineStr">
        <is>
          <t>202604_LIXIL_サーモスＬ_業務用資料集_完成品価格表.pdf</t>
        </is>
      </c>
      <c r="M88" t="inlineStr">
        <is>
          <t>v0.6：同一価格表セクション内で凡例継承を確定。</t>
        </is>
      </c>
      <c r="N88" t="inlineStr">
        <is>
          <t>https://drive.google.com/file/d/1YUN-mtWYs48YBUHJk0C3vJXnhjyZFHyf/view</t>
        </is>
      </c>
    </row>
    <row r="89">
      <c r="A89" s="42" t="inlineStr">
        <is>
          <t>GSC-SL-000086</t>
        </is>
      </c>
      <c r="B89" t="inlineStr">
        <is>
          <t>SZ-SL-000086</t>
        </is>
      </c>
      <c r="C89" t="inlineStr">
        <is>
          <t>WT-SL-HIKICHIGAI</t>
        </is>
      </c>
      <c r="E89" t="inlineStr">
        <is>
          <t>17411</t>
        </is>
      </c>
      <c r="F89" t="b">
        <v>1</v>
      </c>
      <c r="G89" t="n">
        <v>12</v>
      </c>
      <c r="H89" t="inlineStr">
        <is>
          <t>無印</t>
        </is>
      </c>
      <c r="I89" t="n">
        <v>12</v>
      </c>
      <c r="J89" t="inlineStr">
        <is>
          <t>P12|無印</t>
        </is>
      </c>
      <c r="K89" t="inlineStr">
        <is>
          <t>同頁凡例へ直接連動</t>
        </is>
      </c>
      <c r="L89" t="inlineStr">
        <is>
          <t>202604_LIXIL_サーモスＬ_業務用資料集_完成品価格表.pdf</t>
        </is>
      </c>
      <c r="M89" t="inlineStr">
        <is>
          <t>v0.6：同一価格表セクション内で凡例継承を確定。</t>
        </is>
      </c>
      <c r="N89" t="inlineStr">
        <is>
          <t>https://drive.google.com/file/d/1YUN-mtWYs48YBUHJk0C3vJXnhjyZFHyf/view</t>
        </is>
      </c>
    </row>
    <row r="90">
      <c r="A90" s="42" t="inlineStr">
        <is>
          <t>GSC-SL-000087</t>
        </is>
      </c>
      <c r="B90" t="inlineStr">
        <is>
          <t>SZ-SL-000087</t>
        </is>
      </c>
      <c r="C90" t="inlineStr">
        <is>
          <t>WT-SL-HIKICHIGAI</t>
        </is>
      </c>
      <c r="E90" t="inlineStr">
        <is>
          <t>17413</t>
        </is>
      </c>
      <c r="F90" t="b">
        <v>1</v>
      </c>
      <c r="G90" t="n">
        <v>12</v>
      </c>
      <c r="H90" t="inlineStr">
        <is>
          <t>★</t>
        </is>
      </c>
      <c r="I90" t="n">
        <v>12</v>
      </c>
      <c r="J90" t="inlineStr">
        <is>
          <t>P12|★</t>
        </is>
      </c>
      <c r="K90" t="inlineStr">
        <is>
          <t>同頁凡例へ直接連動</t>
        </is>
      </c>
      <c r="L90" t="inlineStr">
        <is>
          <t>202604_LIXIL_サーモスＬ_業務用資料集_完成品価格表.pdf</t>
        </is>
      </c>
      <c r="M90" t="inlineStr">
        <is>
          <t>v0.6：同一価格表セクション内で凡例継承を確定。</t>
        </is>
      </c>
      <c r="N90" t="inlineStr">
        <is>
          <t>https://drive.google.com/file/d/1YUN-mtWYs48YBUHJk0C3vJXnhjyZFHyf/view</t>
        </is>
      </c>
    </row>
    <row r="91">
      <c r="A91" s="42" t="inlineStr">
        <is>
          <t>GSC-SL-000088</t>
        </is>
      </c>
      <c r="B91" t="inlineStr">
        <is>
          <t>SZ-SL-000088</t>
        </is>
      </c>
      <c r="C91" t="inlineStr">
        <is>
          <t>WT-SL-HIKICHIGAI</t>
        </is>
      </c>
      <c r="E91" t="inlineStr">
        <is>
          <t>17611</t>
        </is>
      </c>
      <c r="F91" t="b">
        <v>1</v>
      </c>
      <c r="G91" t="n">
        <v>12</v>
      </c>
      <c r="H91" t="inlineStr">
        <is>
          <t>無印</t>
        </is>
      </c>
      <c r="I91" t="n">
        <v>12</v>
      </c>
      <c r="J91" t="inlineStr">
        <is>
          <t>P12|無印</t>
        </is>
      </c>
      <c r="K91" t="inlineStr">
        <is>
          <t>同頁凡例へ直接連動</t>
        </is>
      </c>
      <c r="L91" t="inlineStr">
        <is>
          <t>202604_LIXIL_サーモスＬ_業務用資料集_完成品価格表.pdf</t>
        </is>
      </c>
      <c r="M91" t="inlineStr">
        <is>
          <t>v0.6：同一価格表セクション内で凡例継承を確定。</t>
        </is>
      </c>
      <c r="N91" t="inlineStr">
        <is>
          <t>https://drive.google.com/file/d/1YUN-mtWYs48YBUHJk0C3vJXnhjyZFHyf/view</t>
        </is>
      </c>
    </row>
    <row r="92">
      <c r="A92" s="42" t="inlineStr">
        <is>
          <t>GSC-SL-000089</t>
        </is>
      </c>
      <c r="B92" t="inlineStr">
        <is>
          <t>SZ-SL-000089</t>
        </is>
      </c>
      <c r="C92" t="inlineStr">
        <is>
          <t>WT-SL-HIKICHIGAI</t>
        </is>
      </c>
      <c r="E92" t="inlineStr">
        <is>
          <t>17613</t>
        </is>
      </c>
      <c r="F92" t="b">
        <v>1</v>
      </c>
      <c r="G92" t="n">
        <v>12</v>
      </c>
      <c r="H92" t="inlineStr">
        <is>
          <t>★</t>
        </is>
      </c>
      <c r="I92" t="n">
        <v>12</v>
      </c>
      <c r="J92" t="inlineStr">
        <is>
          <t>P12|★</t>
        </is>
      </c>
      <c r="K92" t="inlineStr">
        <is>
          <t>同頁凡例へ直接連動</t>
        </is>
      </c>
      <c r="L92" t="inlineStr">
        <is>
          <t>202604_LIXIL_サーモスＬ_業務用資料集_完成品価格表.pdf</t>
        </is>
      </c>
      <c r="M92" t="inlineStr">
        <is>
          <t>v0.6：同一価格表セクション内で凡例継承を確定。</t>
        </is>
      </c>
      <c r="N92" t="inlineStr">
        <is>
          <t>https://drive.google.com/file/d/1YUN-mtWYs48YBUHJk0C3vJXnhjyZFHyf/view</t>
        </is>
      </c>
    </row>
    <row r="93">
      <c r="A93" s="42" t="inlineStr">
        <is>
          <t>GSC-SL-000090</t>
        </is>
      </c>
      <c r="B93" t="inlineStr">
        <is>
          <t>SZ-SL-000090</t>
        </is>
      </c>
      <c r="C93" t="inlineStr">
        <is>
          <t>WT-SL-HIKICHIGAI</t>
        </is>
      </c>
      <c r="E93" t="inlineStr">
        <is>
          <t>17811</t>
        </is>
      </c>
      <c r="F93" t="b">
        <v>1</v>
      </c>
      <c r="G93" t="n">
        <v>12</v>
      </c>
      <c r="H93" t="inlineStr">
        <is>
          <t>無印</t>
        </is>
      </c>
      <c r="I93" t="n">
        <v>12</v>
      </c>
      <c r="J93" t="inlineStr">
        <is>
          <t>P12|無印</t>
        </is>
      </c>
      <c r="K93" t="inlineStr">
        <is>
          <t>同頁凡例へ直接連動</t>
        </is>
      </c>
      <c r="L93" t="inlineStr">
        <is>
          <t>202604_LIXIL_サーモスＬ_業務用資料集_完成品価格表.pdf</t>
        </is>
      </c>
      <c r="M93" t="inlineStr">
        <is>
          <t>v0.6：同一価格表セクション内で凡例継承を確定。</t>
        </is>
      </c>
      <c r="N93" t="inlineStr">
        <is>
          <t>https://drive.google.com/file/d/1YUN-mtWYs48YBUHJk0C3vJXnhjyZFHyf/view</t>
        </is>
      </c>
    </row>
    <row r="94">
      <c r="A94" s="42" t="inlineStr">
        <is>
          <t>GSC-SL-000091</t>
        </is>
      </c>
      <c r="B94" t="inlineStr">
        <is>
          <t>SZ-SL-000091</t>
        </is>
      </c>
      <c r="C94" t="inlineStr">
        <is>
          <t>WT-SL-HIKICHIGAI</t>
        </is>
      </c>
      <c r="E94" t="inlineStr">
        <is>
          <t>17813</t>
        </is>
      </c>
      <c r="F94" t="b">
        <v>1</v>
      </c>
      <c r="G94" t="n">
        <v>12</v>
      </c>
      <c r="H94" t="inlineStr">
        <is>
          <t>★</t>
        </is>
      </c>
      <c r="I94" t="n">
        <v>12</v>
      </c>
      <c r="J94" t="inlineStr">
        <is>
          <t>P12|★</t>
        </is>
      </c>
      <c r="K94" t="inlineStr">
        <is>
          <t>同頁凡例へ直接連動</t>
        </is>
      </c>
      <c r="L94" t="inlineStr">
        <is>
          <t>202604_LIXIL_サーモスＬ_業務用資料集_完成品価格表.pdf</t>
        </is>
      </c>
      <c r="M94" t="inlineStr">
        <is>
          <t>v0.6：同一価格表セクション内で凡例継承を確定。</t>
        </is>
      </c>
      <c r="N94" t="inlineStr">
        <is>
          <t>https://drive.google.com/file/d/1YUN-mtWYs48YBUHJk0C3vJXnhjyZFHyf/view</t>
        </is>
      </c>
    </row>
    <row r="95">
      <c r="A95" s="42" t="inlineStr">
        <is>
          <t>GSC-SL-000092</t>
        </is>
      </c>
      <c r="B95" t="inlineStr">
        <is>
          <t>SZ-SL-000092</t>
        </is>
      </c>
      <c r="C95" t="inlineStr">
        <is>
          <t>WT-SL-HIKICHIGAI</t>
        </is>
      </c>
      <c r="E95" t="inlineStr">
        <is>
          <t>18011</t>
        </is>
      </c>
      <c r="F95" t="b">
        <v>1</v>
      </c>
      <c r="G95" t="n">
        <v>13</v>
      </c>
      <c r="H95" t="inlineStr">
        <is>
          <t>無印</t>
        </is>
      </c>
      <c r="I95" t="n">
        <v>12</v>
      </c>
      <c r="J95" t="inlineStr">
        <is>
          <t>P12|無印</t>
        </is>
      </c>
      <c r="K95" t="inlineStr">
        <is>
          <t>同一価格表・前頁凡例を継承</t>
        </is>
      </c>
      <c r="L95" t="inlineStr">
        <is>
          <t>202604_LIXIL_サーモスＬ_業務用資料集_完成品価格表.pdf</t>
        </is>
      </c>
      <c r="M95" t="inlineStr">
        <is>
          <t>v0.6：同一価格表セクション内で凡例継承を確定。</t>
        </is>
      </c>
      <c r="N95" t="inlineStr">
        <is>
          <t>https://drive.google.com/file/d/1YUN-mtWYs48YBUHJk0C3vJXnhjyZFHyf/view</t>
        </is>
      </c>
    </row>
    <row r="96">
      <c r="A96" s="42" t="inlineStr">
        <is>
          <t>GSC-SL-000093</t>
        </is>
      </c>
      <c r="B96" t="inlineStr">
        <is>
          <t>SZ-SL-000093</t>
        </is>
      </c>
      <c r="C96" t="inlineStr">
        <is>
          <t>WT-SL-HIKICHIGAI</t>
        </is>
      </c>
      <c r="E96" t="inlineStr">
        <is>
          <t>18013</t>
        </is>
      </c>
      <c r="F96" t="b">
        <v>1</v>
      </c>
      <c r="G96" t="n">
        <v>13</v>
      </c>
      <c r="H96" t="inlineStr">
        <is>
          <t>★</t>
        </is>
      </c>
      <c r="I96" t="n">
        <v>12</v>
      </c>
      <c r="J96" t="inlineStr">
        <is>
          <t>P12|★</t>
        </is>
      </c>
      <c r="K96" t="inlineStr">
        <is>
          <t>同一価格表・前頁凡例を継承</t>
        </is>
      </c>
      <c r="L96" t="inlineStr">
        <is>
          <t>202604_LIXIL_サーモスＬ_業務用資料集_完成品価格表.pdf</t>
        </is>
      </c>
      <c r="M96" t="inlineStr">
        <is>
          <t>v0.6：同一価格表セクション内で凡例継承を確定。</t>
        </is>
      </c>
      <c r="N96" t="inlineStr">
        <is>
          <t>https://drive.google.com/file/d/1YUN-mtWYs48YBUHJk0C3vJXnhjyZFHyf/view</t>
        </is>
      </c>
    </row>
    <row r="97">
      <c r="A97" s="42" t="inlineStr">
        <is>
          <t>GSC-SL-000094</t>
        </is>
      </c>
      <c r="B97" t="inlineStr">
        <is>
          <t>SZ-SL-000094</t>
        </is>
      </c>
      <c r="C97" t="inlineStr">
        <is>
          <t>WT-SL-HIKICHIGAI</t>
        </is>
      </c>
      <c r="E97" t="inlineStr">
        <is>
          <t>18311</t>
        </is>
      </c>
      <c r="F97" t="b">
        <v>1</v>
      </c>
      <c r="G97" t="n">
        <v>13</v>
      </c>
      <c r="H97" t="inlineStr">
        <is>
          <t>無印</t>
        </is>
      </c>
      <c r="I97" t="n">
        <v>12</v>
      </c>
      <c r="J97" t="inlineStr">
        <is>
          <t>P12|無印</t>
        </is>
      </c>
      <c r="K97" t="inlineStr">
        <is>
          <t>同一価格表・前頁凡例を継承</t>
        </is>
      </c>
      <c r="L97" t="inlineStr">
        <is>
          <t>202604_LIXIL_サーモスＬ_業務用資料集_完成品価格表.pdf</t>
        </is>
      </c>
      <c r="M97" t="inlineStr">
        <is>
          <t>v0.6：同一価格表セクション内で凡例継承を確定。</t>
        </is>
      </c>
      <c r="N97" t="inlineStr">
        <is>
          <t>https://drive.google.com/file/d/1YUN-mtWYs48YBUHJk0C3vJXnhjyZFHyf/view</t>
        </is>
      </c>
    </row>
    <row r="98">
      <c r="A98" s="42" t="inlineStr">
        <is>
          <t>GSC-SL-000095</t>
        </is>
      </c>
      <c r="B98" t="inlineStr">
        <is>
          <t>SZ-SL-000095</t>
        </is>
      </c>
      <c r="C98" t="inlineStr">
        <is>
          <t>WT-SL-HIKICHIGAI</t>
        </is>
      </c>
      <c r="E98" t="inlineStr">
        <is>
          <t>18313</t>
        </is>
      </c>
      <c r="F98" t="b">
        <v>1</v>
      </c>
      <c r="G98" t="n">
        <v>13</v>
      </c>
      <c r="H98" t="inlineStr">
        <is>
          <t>★</t>
        </is>
      </c>
      <c r="I98" t="n">
        <v>12</v>
      </c>
      <c r="J98" t="inlineStr">
        <is>
          <t>P12|★</t>
        </is>
      </c>
      <c r="K98" t="inlineStr">
        <is>
          <t>同一価格表・前頁凡例を継承</t>
        </is>
      </c>
      <c r="L98" t="inlineStr">
        <is>
          <t>202604_LIXIL_サーモスＬ_業務用資料集_完成品価格表.pdf</t>
        </is>
      </c>
      <c r="M98" t="inlineStr">
        <is>
          <t>v0.6：同一価格表セクション内で凡例継承を確定。</t>
        </is>
      </c>
      <c r="N98" t="inlineStr">
        <is>
          <t>https://drive.google.com/file/d/1YUN-mtWYs48YBUHJk0C3vJXnhjyZFHyf/view</t>
        </is>
      </c>
    </row>
    <row r="99">
      <c r="A99" s="42" t="inlineStr">
        <is>
          <t>GSC-SL-000096</t>
        </is>
      </c>
      <c r="B99" t="inlineStr">
        <is>
          <t>SZ-SL-000096</t>
        </is>
      </c>
      <c r="C99" t="inlineStr">
        <is>
          <t>WT-SL-HIKICHIGAI</t>
        </is>
      </c>
      <c r="E99" t="inlineStr">
        <is>
          <t>18611</t>
        </is>
      </c>
      <c r="F99" t="b">
        <v>1</v>
      </c>
      <c r="G99" t="n">
        <v>13</v>
      </c>
      <c r="H99" t="inlineStr">
        <is>
          <t>★</t>
        </is>
      </c>
      <c r="I99" t="n">
        <v>12</v>
      </c>
      <c r="J99" t="inlineStr">
        <is>
          <t>P12|★</t>
        </is>
      </c>
      <c r="K99" t="inlineStr">
        <is>
          <t>同一価格表・前頁凡例を継承</t>
        </is>
      </c>
      <c r="L99" t="inlineStr">
        <is>
          <t>202604_LIXIL_サーモスＬ_業務用資料集_完成品価格表.pdf</t>
        </is>
      </c>
      <c r="M99" t="inlineStr">
        <is>
          <t>v0.6：同一価格表セクション内で凡例継承を確定。</t>
        </is>
      </c>
      <c r="N99" t="inlineStr">
        <is>
          <t>https://drive.google.com/file/d/1YUN-mtWYs48YBUHJk0C3vJXnhjyZFHyf/view</t>
        </is>
      </c>
    </row>
    <row r="100">
      <c r="A100" s="42" t="inlineStr">
        <is>
          <t>GSC-SL-000097</t>
        </is>
      </c>
      <c r="B100" t="inlineStr">
        <is>
          <t>SZ-SL-000097</t>
        </is>
      </c>
      <c r="C100" t="inlineStr">
        <is>
          <t>WT-SL-HIKICHIGAI</t>
        </is>
      </c>
      <c r="E100" t="inlineStr">
        <is>
          <t>18613</t>
        </is>
      </c>
      <c r="F100" t="b">
        <v>1</v>
      </c>
      <c r="G100" t="n">
        <v>13</v>
      </c>
      <c r="H100" t="inlineStr">
        <is>
          <t>★</t>
        </is>
      </c>
      <c r="I100" t="n">
        <v>12</v>
      </c>
      <c r="J100" t="inlineStr">
        <is>
          <t>P12|★</t>
        </is>
      </c>
      <c r="K100" t="inlineStr">
        <is>
          <t>同一価格表・前頁凡例を継承</t>
        </is>
      </c>
      <c r="L100" t="inlineStr">
        <is>
          <t>202604_LIXIL_サーモスＬ_業務用資料集_完成品価格表.pdf</t>
        </is>
      </c>
      <c r="M100" t="inlineStr">
        <is>
          <t>v0.6：同一価格表セクション内で凡例継承を確定。</t>
        </is>
      </c>
      <c r="N100" t="inlineStr">
        <is>
          <t>https://drive.google.com/file/d/1YUN-mtWYs48YBUHJk0C3vJXnhjyZFHyf/view</t>
        </is>
      </c>
    </row>
    <row r="101">
      <c r="A101" s="42" t="inlineStr">
        <is>
          <t>GSC-SL-000098</t>
        </is>
      </c>
      <c r="B101" t="inlineStr">
        <is>
          <t>SZ-SL-000098</t>
        </is>
      </c>
      <c r="C101" t="inlineStr">
        <is>
          <t>WT-SL-HIKICHIGAI</t>
        </is>
      </c>
      <c r="E101" t="inlineStr">
        <is>
          <t>25111-2</t>
        </is>
      </c>
      <c r="F101" t="b">
        <v>1</v>
      </c>
      <c r="G101" t="n">
        <v>13</v>
      </c>
      <c r="H101" t="inlineStr">
        <is>
          <t>☆</t>
        </is>
      </c>
      <c r="I101" t="n">
        <v>12</v>
      </c>
      <c r="J101" t="inlineStr">
        <is>
          <t>P12|☆</t>
        </is>
      </c>
      <c r="K101" t="inlineStr">
        <is>
          <t>同一価格表・前頁凡例を継承</t>
        </is>
      </c>
      <c r="L101" t="inlineStr">
        <is>
          <t>202604_LIXIL_サーモスＬ_業務用資料集_完成品価格表.pdf</t>
        </is>
      </c>
      <c r="M101" t="inlineStr">
        <is>
          <t>v0.6：同一価格表セクション内で凡例継承を確定。</t>
        </is>
      </c>
      <c r="N101" t="inlineStr">
        <is>
          <t>https://drive.google.com/file/d/1YUN-mtWYs48YBUHJk0C3vJXnhjyZFHyf/view</t>
        </is>
      </c>
    </row>
    <row r="102">
      <c r="A102" s="42" t="inlineStr">
        <is>
          <t>GSC-SL-000099</t>
        </is>
      </c>
      <c r="B102" t="inlineStr">
        <is>
          <t>SZ-SL-000099</t>
        </is>
      </c>
      <c r="C102" t="inlineStr">
        <is>
          <t>WT-SL-HIKICHIGAI</t>
        </is>
      </c>
      <c r="E102" t="inlineStr">
        <is>
          <t>25111-4</t>
        </is>
      </c>
      <c r="F102" t="b">
        <v>1</v>
      </c>
      <c r="G102" t="n">
        <v>13</v>
      </c>
      <c r="H102" t="inlineStr">
        <is>
          <t>無印</t>
        </is>
      </c>
      <c r="I102" t="n">
        <v>12</v>
      </c>
      <c r="J102" t="inlineStr">
        <is>
          <t>P12|無印</t>
        </is>
      </c>
      <c r="K102" t="inlineStr">
        <is>
          <t>同一価格表・前頁凡例を継承</t>
        </is>
      </c>
      <c r="L102" t="inlineStr">
        <is>
          <t>202604_LIXIL_サーモスＬ_業務用資料集_完成品価格表.pdf</t>
        </is>
      </c>
      <c r="M102" t="inlineStr">
        <is>
          <t>v0.6：同一価格表セクション内で凡例継承を確定。</t>
        </is>
      </c>
      <c r="N102" t="inlineStr">
        <is>
          <t>https://drive.google.com/file/d/1YUN-mtWYs48YBUHJk0C3vJXnhjyZFHyf/view</t>
        </is>
      </c>
    </row>
    <row r="103">
      <c r="A103" s="42" t="inlineStr">
        <is>
          <t>GSC-SL-000100</t>
        </is>
      </c>
      <c r="B103" t="inlineStr">
        <is>
          <t>SZ-SL-000100</t>
        </is>
      </c>
      <c r="C103" t="inlineStr">
        <is>
          <t>WT-SL-HIKICHIGAI</t>
        </is>
      </c>
      <c r="E103" t="inlineStr">
        <is>
          <t>25113-2</t>
        </is>
      </c>
      <c r="F103" t="b">
        <v>1</v>
      </c>
      <c r="G103" t="n">
        <v>13</v>
      </c>
      <c r="H103" t="inlineStr">
        <is>
          <t>●</t>
        </is>
      </c>
      <c r="I103" t="n">
        <v>12</v>
      </c>
      <c r="J103" t="inlineStr">
        <is>
          <t>P12|●</t>
        </is>
      </c>
      <c r="K103" t="inlineStr">
        <is>
          <t>同一価格表・前頁凡例を継承</t>
        </is>
      </c>
      <c r="L103" t="inlineStr">
        <is>
          <t>202604_LIXIL_サーモスＬ_業務用資料集_完成品価格表.pdf</t>
        </is>
      </c>
      <c r="M103" t="inlineStr">
        <is>
          <t>v0.6：同一価格表セクション内で凡例継承を確定。</t>
        </is>
      </c>
      <c r="N103" t="inlineStr">
        <is>
          <t>https://drive.google.com/file/d/1YUN-mtWYs48YBUHJk0C3vJXnhjyZFHyf/view</t>
        </is>
      </c>
    </row>
    <row r="104">
      <c r="A104" s="42" t="inlineStr">
        <is>
          <t>GSC-SL-000101</t>
        </is>
      </c>
      <c r="B104" t="inlineStr">
        <is>
          <t>SZ-SL-000101</t>
        </is>
      </c>
      <c r="C104" t="inlineStr">
        <is>
          <t>WT-SL-HIKICHIGAI</t>
        </is>
      </c>
      <c r="E104" t="inlineStr">
        <is>
          <t>25113-4</t>
        </is>
      </c>
      <c r="F104" t="b">
        <v>1</v>
      </c>
      <c r="G104" t="n">
        <v>13</v>
      </c>
      <c r="H104" t="inlineStr">
        <is>
          <t>無印</t>
        </is>
      </c>
      <c r="I104" t="n">
        <v>12</v>
      </c>
      <c r="J104" t="inlineStr">
        <is>
          <t>P12|無印</t>
        </is>
      </c>
      <c r="K104" t="inlineStr">
        <is>
          <t>同一価格表・前頁凡例を継承</t>
        </is>
      </c>
      <c r="L104" t="inlineStr">
        <is>
          <t>202604_LIXIL_サーモスＬ_業務用資料集_完成品価格表.pdf</t>
        </is>
      </c>
      <c r="M104" t="inlineStr">
        <is>
          <t>v0.6：同一価格表セクション内で凡例継承を確定。</t>
        </is>
      </c>
      <c r="N104" t="inlineStr">
        <is>
          <t>https://drive.google.com/file/d/1YUN-mtWYs48YBUHJk0C3vJXnhjyZFHyf/view</t>
        </is>
      </c>
    </row>
    <row r="105">
      <c r="A105" s="42" t="inlineStr">
        <is>
          <t>GSC-SL-000102</t>
        </is>
      </c>
      <c r="B105" t="inlineStr">
        <is>
          <t>SZ-SL-000102</t>
        </is>
      </c>
      <c r="C105" t="inlineStr">
        <is>
          <t>WT-SL-HIKICHIGAI</t>
        </is>
      </c>
      <c r="E105" t="inlineStr">
        <is>
          <t>25611-2</t>
        </is>
      </c>
      <c r="F105" t="b">
        <v>1</v>
      </c>
      <c r="G105" t="n">
        <v>13</v>
      </c>
      <c r="H105" t="inlineStr">
        <is>
          <t>☆</t>
        </is>
      </c>
      <c r="I105" t="n">
        <v>12</v>
      </c>
      <c r="J105" t="inlineStr">
        <is>
          <t>P12|☆</t>
        </is>
      </c>
      <c r="K105" t="inlineStr">
        <is>
          <t>同一価格表・前頁凡例を継承</t>
        </is>
      </c>
      <c r="L105" t="inlineStr">
        <is>
          <t>202604_LIXIL_サーモスＬ_業務用資料集_完成品価格表.pdf</t>
        </is>
      </c>
      <c r="M105" t="inlineStr">
        <is>
          <t>v0.6：同一価格表セクション内で凡例継承を確定。</t>
        </is>
      </c>
      <c r="N105" t="inlineStr">
        <is>
          <t>https://drive.google.com/file/d/1YUN-mtWYs48YBUHJk0C3vJXnhjyZFHyf/view</t>
        </is>
      </c>
    </row>
    <row r="106">
      <c r="A106" s="42" t="inlineStr">
        <is>
          <t>GSC-SL-000103</t>
        </is>
      </c>
      <c r="B106" t="inlineStr">
        <is>
          <t>SZ-SL-000103</t>
        </is>
      </c>
      <c r="C106" t="inlineStr">
        <is>
          <t>WT-SL-HIKICHIGAI</t>
        </is>
      </c>
      <c r="E106" t="inlineStr">
        <is>
          <t>25611-4</t>
        </is>
      </c>
      <c r="F106" t="b">
        <v>1</v>
      </c>
      <c r="G106" t="n">
        <v>13</v>
      </c>
      <c r="H106" t="inlineStr">
        <is>
          <t>無印</t>
        </is>
      </c>
      <c r="I106" t="n">
        <v>12</v>
      </c>
      <c r="J106" t="inlineStr">
        <is>
          <t>P12|無印</t>
        </is>
      </c>
      <c r="K106" t="inlineStr">
        <is>
          <t>同一価格表・前頁凡例を継承</t>
        </is>
      </c>
      <c r="L106" t="inlineStr">
        <is>
          <t>202604_LIXIL_サーモスＬ_業務用資料集_完成品価格表.pdf</t>
        </is>
      </c>
      <c r="M106" t="inlineStr">
        <is>
          <t>v0.6：同一価格表セクション内で凡例継承を確定。</t>
        </is>
      </c>
      <c r="N106" t="inlineStr">
        <is>
          <t>https://drive.google.com/file/d/1YUN-mtWYs48YBUHJk0C3vJXnhjyZFHyf/view</t>
        </is>
      </c>
    </row>
    <row r="107">
      <c r="A107" s="42" t="inlineStr">
        <is>
          <t>GSC-SL-000104</t>
        </is>
      </c>
      <c r="B107" t="inlineStr">
        <is>
          <t>SZ-SL-000104</t>
        </is>
      </c>
      <c r="C107" t="inlineStr">
        <is>
          <t>WT-SL-HIKICHIGAI</t>
        </is>
      </c>
      <c r="E107" t="inlineStr">
        <is>
          <t>25613-2</t>
        </is>
      </c>
      <c r="F107" t="b">
        <v>1</v>
      </c>
      <c r="G107" t="n">
        <v>13</v>
      </c>
      <c r="H107" t="inlineStr">
        <is>
          <t>●</t>
        </is>
      </c>
      <c r="I107" t="n">
        <v>12</v>
      </c>
      <c r="J107" t="inlineStr">
        <is>
          <t>P12|●</t>
        </is>
      </c>
      <c r="K107" t="inlineStr">
        <is>
          <t>同一価格表・前頁凡例を継承</t>
        </is>
      </c>
      <c r="L107" t="inlineStr">
        <is>
          <t>202604_LIXIL_サーモスＬ_業務用資料集_完成品価格表.pdf</t>
        </is>
      </c>
      <c r="M107" t="inlineStr">
        <is>
          <t>v0.6：同一価格表セクション内で凡例継承を確定。</t>
        </is>
      </c>
      <c r="N107" t="inlineStr">
        <is>
          <t>https://drive.google.com/file/d/1YUN-mtWYs48YBUHJk0C3vJXnhjyZFHyf/view</t>
        </is>
      </c>
    </row>
    <row r="108">
      <c r="A108" s="42" t="inlineStr">
        <is>
          <t>GSC-SL-000105</t>
        </is>
      </c>
      <c r="B108" t="inlineStr">
        <is>
          <t>SZ-SL-000105</t>
        </is>
      </c>
      <c r="C108" t="inlineStr">
        <is>
          <t>WT-SL-HIKICHIGAI</t>
        </is>
      </c>
      <c r="E108" t="inlineStr">
        <is>
          <t>25613-4</t>
        </is>
      </c>
      <c r="F108" t="b">
        <v>1</v>
      </c>
      <c r="G108" t="n">
        <v>13</v>
      </c>
      <c r="H108" t="inlineStr">
        <is>
          <t>無印</t>
        </is>
      </c>
      <c r="I108" t="n">
        <v>12</v>
      </c>
      <c r="J108" t="inlineStr">
        <is>
          <t>P12|無印</t>
        </is>
      </c>
      <c r="K108" t="inlineStr">
        <is>
          <t>同一価格表・前頁凡例を継承</t>
        </is>
      </c>
      <c r="L108" t="inlineStr">
        <is>
          <t>202604_LIXIL_サーモスＬ_業務用資料集_完成品価格表.pdf</t>
        </is>
      </c>
      <c r="M108" t="inlineStr">
        <is>
          <t>v0.6：同一価格表セクション内で凡例継承を確定。</t>
        </is>
      </c>
      <c r="N108" t="inlineStr">
        <is>
          <t>https://drive.google.com/file/d/1YUN-mtWYs48YBUHJk0C3vJXnhjyZFHyf/view</t>
        </is>
      </c>
    </row>
    <row r="109">
      <c r="A109" s="42" t="inlineStr">
        <is>
          <t>GSC-SL-000106</t>
        </is>
      </c>
      <c r="B109" t="inlineStr">
        <is>
          <t>SZ-SL-000106</t>
        </is>
      </c>
      <c r="C109" t="inlineStr">
        <is>
          <t>WT-SL-HIKICHIGAI</t>
        </is>
      </c>
      <c r="E109" t="inlineStr">
        <is>
          <t>11918</t>
        </is>
      </c>
      <c r="F109" t="b">
        <v>1</v>
      </c>
      <c r="G109" t="n">
        <v>14</v>
      </c>
      <c r="H109" t="inlineStr">
        <is>
          <t>無印</t>
        </is>
      </c>
      <c r="I109" t="n">
        <v>15</v>
      </c>
      <c r="J109" t="inlineStr">
        <is>
          <t>P15|無印</t>
        </is>
      </c>
      <c r="K109" t="inlineStr">
        <is>
          <t>同一価格表・次頁凡例を継承</t>
        </is>
      </c>
      <c r="L109" t="inlineStr">
        <is>
          <t>202604_LIXIL_サーモスＬ_業務用資料集_完成品価格表.pdf</t>
        </is>
      </c>
      <c r="M109" t="inlineStr">
        <is>
          <t>v0.6：同一価格表セクション内で凡例継承を確定。</t>
        </is>
      </c>
      <c r="N109" t="inlineStr">
        <is>
          <t>https://drive.google.com/file/d/1YUN-mtWYs48YBUHJk0C3vJXnhjyZFHyf/view</t>
        </is>
      </c>
    </row>
    <row r="110">
      <c r="A110" s="42" t="inlineStr">
        <is>
          <t>GSC-SL-000107</t>
        </is>
      </c>
      <c r="B110" t="inlineStr">
        <is>
          <t>SZ-SL-000107</t>
        </is>
      </c>
      <c r="C110" t="inlineStr">
        <is>
          <t>WT-SL-HIKICHIGAI</t>
        </is>
      </c>
      <c r="E110" t="inlineStr">
        <is>
          <t>11920</t>
        </is>
      </c>
      <c r="F110" t="b">
        <v>1</v>
      </c>
      <c r="G110" t="n">
        <v>14</v>
      </c>
      <c r="H110" t="inlineStr">
        <is>
          <t>無印</t>
        </is>
      </c>
      <c r="I110" t="n">
        <v>15</v>
      </c>
      <c r="J110" t="inlineStr">
        <is>
          <t>P15|無印</t>
        </is>
      </c>
      <c r="K110" t="inlineStr">
        <is>
          <t>同一価格表・次頁凡例を継承</t>
        </is>
      </c>
      <c r="L110" t="inlineStr">
        <is>
          <t>202604_LIXIL_サーモスＬ_業務用資料集_完成品価格表.pdf</t>
        </is>
      </c>
      <c r="M110" t="inlineStr">
        <is>
          <t>v0.6：同一価格表セクション内で凡例継承を確定。</t>
        </is>
      </c>
      <c r="N110" t="inlineStr">
        <is>
          <t>https://drive.google.com/file/d/1YUN-mtWYs48YBUHJk0C3vJXnhjyZFHyf/view</t>
        </is>
      </c>
    </row>
    <row r="111">
      <c r="A111" s="42" t="inlineStr">
        <is>
          <t>GSC-SL-000108</t>
        </is>
      </c>
      <c r="B111" t="inlineStr">
        <is>
          <t>SZ-SL-000108</t>
        </is>
      </c>
      <c r="C111" t="inlineStr">
        <is>
          <t>WT-SL-HIKICHIGAI</t>
        </is>
      </c>
      <c r="E111" t="inlineStr">
        <is>
          <t>13318</t>
        </is>
      </c>
      <c r="F111" t="b">
        <v>1</v>
      </c>
      <c r="G111" t="n">
        <v>14</v>
      </c>
      <c r="H111" t="inlineStr">
        <is>
          <t>無印</t>
        </is>
      </c>
      <c r="I111" t="n">
        <v>15</v>
      </c>
      <c r="J111" t="inlineStr">
        <is>
          <t>P15|無印</t>
        </is>
      </c>
      <c r="K111" t="inlineStr">
        <is>
          <t>同一価格表・次頁凡例を継承</t>
        </is>
      </c>
      <c r="L111" t="inlineStr">
        <is>
          <t>202604_LIXIL_サーモスＬ_業務用資料集_完成品価格表.pdf</t>
        </is>
      </c>
      <c r="M111" t="inlineStr">
        <is>
          <t>v0.6：同一価格表セクション内で凡例継承を確定。</t>
        </is>
      </c>
      <c r="N111" t="inlineStr">
        <is>
          <t>https://drive.google.com/file/d/1YUN-mtWYs48YBUHJk0C3vJXnhjyZFHyf/view</t>
        </is>
      </c>
    </row>
    <row r="112">
      <c r="A112" s="42" t="inlineStr">
        <is>
          <t>GSC-SL-000109</t>
        </is>
      </c>
      <c r="B112" t="inlineStr">
        <is>
          <t>SZ-SL-000109</t>
        </is>
      </c>
      <c r="C112" t="inlineStr">
        <is>
          <t>WT-SL-HIKICHIGAI</t>
        </is>
      </c>
      <c r="E112" t="inlineStr">
        <is>
          <t>13320</t>
        </is>
      </c>
      <c r="F112" t="b">
        <v>1</v>
      </c>
      <c r="G112" t="n">
        <v>14</v>
      </c>
      <c r="H112" t="inlineStr">
        <is>
          <t>無印</t>
        </is>
      </c>
      <c r="I112" t="n">
        <v>15</v>
      </c>
      <c r="J112" t="inlineStr">
        <is>
          <t>P15|無印</t>
        </is>
      </c>
      <c r="K112" t="inlineStr">
        <is>
          <t>同一価格表・次頁凡例を継承</t>
        </is>
      </c>
      <c r="L112" t="inlineStr">
        <is>
          <t>202604_LIXIL_サーモスＬ_業務用資料集_完成品価格表.pdf</t>
        </is>
      </c>
      <c r="M112" t="inlineStr">
        <is>
          <t>v0.6：同一価格表セクション内で凡例継承を確定。</t>
        </is>
      </c>
      <c r="N112" t="inlineStr">
        <is>
          <t>https://drive.google.com/file/d/1YUN-mtWYs48YBUHJk0C3vJXnhjyZFHyf/view</t>
        </is>
      </c>
    </row>
    <row r="113">
      <c r="A113" s="42" t="inlineStr">
        <is>
          <t>GSC-SL-000110</t>
        </is>
      </c>
      <c r="B113" t="inlineStr">
        <is>
          <t>SZ-SL-000110</t>
        </is>
      </c>
      <c r="C113" t="inlineStr">
        <is>
          <t>WT-SL-HIKICHIGAI</t>
        </is>
      </c>
      <c r="E113" t="inlineStr">
        <is>
          <t>15018</t>
        </is>
      </c>
      <c r="F113" t="b">
        <v>1</v>
      </c>
      <c r="G113" t="n">
        <v>14</v>
      </c>
      <c r="H113" t="inlineStr">
        <is>
          <t>無印</t>
        </is>
      </c>
      <c r="I113" t="n">
        <v>15</v>
      </c>
      <c r="J113" t="inlineStr">
        <is>
          <t>P15|無印</t>
        </is>
      </c>
      <c r="K113" t="inlineStr">
        <is>
          <t>同一価格表・次頁凡例を継承</t>
        </is>
      </c>
      <c r="L113" t="inlineStr">
        <is>
          <t>202604_LIXIL_サーモスＬ_業務用資料集_完成品価格表.pdf</t>
        </is>
      </c>
      <c r="M113" t="inlineStr">
        <is>
          <t>v0.6：同一価格表セクション内で凡例継承を確定。</t>
        </is>
      </c>
      <c r="N113" t="inlineStr">
        <is>
          <t>https://drive.google.com/file/d/1YUN-mtWYs48YBUHJk0C3vJXnhjyZFHyf/view</t>
        </is>
      </c>
    </row>
    <row r="114">
      <c r="A114" s="42" t="inlineStr">
        <is>
          <t>GSC-SL-000111</t>
        </is>
      </c>
      <c r="B114" t="inlineStr">
        <is>
          <t>SZ-SL-000111</t>
        </is>
      </c>
      <c r="C114" t="inlineStr">
        <is>
          <t>WT-SL-HIKICHIGAI</t>
        </is>
      </c>
      <c r="E114" t="inlineStr">
        <is>
          <t>15020</t>
        </is>
      </c>
      <c r="F114" t="b">
        <v>1</v>
      </c>
      <c r="G114" t="n">
        <v>14</v>
      </c>
      <c r="H114" t="inlineStr">
        <is>
          <t>○</t>
        </is>
      </c>
      <c r="I114" t="n">
        <v>15</v>
      </c>
      <c r="J114" t="inlineStr">
        <is>
          <t>P15|○</t>
        </is>
      </c>
      <c r="K114" t="inlineStr">
        <is>
          <t>同一価格表・次頁凡例を継承</t>
        </is>
      </c>
      <c r="L114" t="inlineStr">
        <is>
          <t>202604_LIXIL_サーモスＬ_業務用資料集_完成品価格表.pdf</t>
        </is>
      </c>
      <c r="M114" t="inlineStr">
        <is>
          <t>v0.6：同一価格表セクション内で凡例継承を確定。</t>
        </is>
      </c>
      <c r="N114" t="inlineStr">
        <is>
          <t>https://drive.google.com/file/d/1YUN-mtWYs48YBUHJk0C3vJXnhjyZFHyf/view</t>
        </is>
      </c>
    </row>
    <row r="115">
      <c r="A115" s="42" t="inlineStr">
        <is>
          <t>GSC-SL-000112</t>
        </is>
      </c>
      <c r="B115" t="inlineStr">
        <is>
          <t>SZ-SL-000112</t>
        </is>
      </c>
      <c r="C115" t="inlineStr">
        <is>
          <t>WT-SL-HIKICHIGAI</t>
        </is>
      </c>
      <c r="E115" t="inlineStr">
        <is>
          <t>16018</t>
        </is>
      </c>
      <c r="F115" t="b">
        <v>1</v>
      </c>
      <c r="G115" t="n">
        <v>14</v>
      </c>
      <c r="H115" t="inlineStr">
        <is>
          <t>無印</t>
        </is>
      </c>
      <c r="I115" t="n">
        <v>15</v>
      </c>
      <c r="J115" t="inlineStr">
        <is>
          <t>P15|無印</t>
        </is>
      </c>
      <c r="K115" t="inlineStr">
        <is>
          <t>同一価格表・次頁凡例を継承</t>
        </is>
      </c>
      <c r="L115" t="inlineStr">
        <is>
          <t>202604_LIXIL_サーモスＬ_業務用資料集_完成品価格表.pdf</t>
        </is>
      </c>
      <c r="M115" t="inlineStr">
        <is>
          <t>v0.6：同一価格表セクション内で凡例継承を確定。</t>
        </is>
      </c>
      <c r="N115" t="inlineStr">
        <is>
          <t>https://drive.google.com/file/d/1YUN-mtWYs48YBUHJk0C3vJXnhjyZFHyf/view</t>
        </is>
      </c>
    </row>
    <row r="116">
      <c r="A116" s="42" t="inlineStr">
        <is>
          <t>GSC-SL-000113</t>
        </is>
      </c>
      <c r="B116" t="inlineStr">
        <is>
          <t>SZ-SL-000113</t>
        </is>
      </c>
      <c r="C116" t="inlineStr">
        <is>
          <t>WT-SL-HIKICHIGAI</t>
        </is>
      </c>
      <c r="E116" t="inlineStr">
        <is>
          <t>16020</t>
        </is>
      </c>
      <c r="F116" t="b">
        <v>1</v>
      </c>
      <c r="G116" t="n">
        <v>14</v>
      </c>
      <c r="H116" t="inlineStr">
        <is>
          <t>▲</t>
        </is>
      </c>
      <c r="I116" t="n">
        <v>15</v>
      </c>
      <c r="J116" t="inlineStr">
        <is>
          <t>P15|▲</t>
        </is>
      </c>
      <c r="K116" t="inlineStr">
        <is>
          <t>同一価格表・次頁凡例を継承</t>
        </is>
      </c>
      <c r="L116" t="inlineStr">
        <is>
          <t>202604_LIXIL_サーモスＬ_業務用資料集_完成品価格表.pdf</t>
        </is>
      </c>
      <c r="M116" t="inlineStr">
        <is>
          <t>v0.6：同一価格表セクション内で凡例継承を確定。</t>
        </is>
      </c>
      <c r="N116" t="inlineStr">
        <is>
          <t>https://drive.google.com/file/d/1YUN-mtWYs48YBUHJk0C3vJXnhjyZFHyf/view</t>
        </is>
      </c>
    </row>
    <row r="117">
      <c r="A117" s="42" t="inlineStr">
        <is>
          <t>GSC-SL-000114</t>
        </is>
      </c>
      <c r="B117" t="inlineStr">
        <is>
          <t>SZ-SL-000114</t>
        </is>
      </c>
      <c r="C117" t="inlineStr">
        <is>
          <t>WT-SL-HIKICHIGAI</t>
        </is>
      </c>
      <c r="E117" t="inlineStr">
        <is>
          <t>16518</t>
        </is>
      </c>
      <c r="F117" t="b">
        <v>1</v>
      </c>
      <c r="G117" t="n">
        <v>14</v>
      </c>
      <c r="H117" t="inlineStr">
        <is>
          <t>無印</t>
        </is>
      </c>
      <c r="I117" t="n">
        <v>15</v>
      </c>
      <c r="J117" t="inlineStr">
        <is>
          <t>P15|無印</t>
        </is>
      </c>
      <c r="K117" t="inlineStr">
        <is>
          <t>同一価格表・次頁凡例を継承</t>
        </is>
      </c>
      <c r="L117" t="inlineStr">
        <is>
          <t>202604_LIXIL_サーモスＬ_業務用資料集_完成品価格表.pdf</t>
        </is>
      </c>
      <c r="M117" t="inlineStr">
        <is>
          <t>v0.6：同一価格表セクション内で凡例継承を確定。</t>
        </is>
      </c>
      <c r="N117" t="inlineStr">
        <is>
          <t>https://drive.google.com/file/d/1YUN-mtWYs48YBUHJk0C3vJXnhjyZFHyf/view</t>
        </is>
      </c>
    </row>
    <row r="118">
      <c r="A118" s="42" t="inlineStr">
        <is>
          <t>GSC-SL-000115</t>
        </is>
      </c>
      <c r="B118" t="inlineStr">
        <is>
          <t>SZ-SL-000115</t>
        </is>
      </c>
      <c r="C118" t="inlineStr">
        <is>
          <t>WT-SL-HIKICHIGAI</t>
        </is>
      </c>
      <c r="E118" t="inlineStr">
        <is>
          <t>16520</t>
        </is>
      </c>
      <c r="F118" t="b">
        <v>1</v>
      </c>
      <c r="G118" t="n">
        <v>14</v>
      </c>
      <c r="H118" t="inlineStr">
        <is>
          <t>★</t>
        </is>
      </c>
      <c r="I118" t="n">
        <v>15</v>
      </c>
      <c r="J118" t="inlineStr">
        <is>
          <t>P15|★</t>
        </is>
      </c>
      <c r="K118" t="inlineStr">
        <is>
          <t>同一価格表・次頁凡例を継承</t>
        </is>
      </c>
      <c r="L118" t="inlineStr">
        <is>
          <t>202604_LIXIL_サーモスＬ_業務用資料集_完成品価格表.pdf</t>
        </is>
      </c>
      <c r="M118" t="inlineStr">
        <is>
          <t>v0.6：同一価格表セクション内で凡例継承を確定。</t>
        </is>
      </c>
      <c r="N118" t="inlineStr">
        <is>
          <t>https://drive.google.com/file/d/1YUN-mtWYs48YBUHJk0C3vJXnhjyZFHyf/view</t>
        </is>
      </c>
    </row>
    <row r="119">
      <c r="A119" s="42" t="inlineStr">
        <is>
          <t>GSC-SL-000116</t>
        </is>
      </c>
      <c r="B119" t="inlineStr">
        <is>
          <t>SZ-SL-000116</t>
        </is>
      </c>
      <c r="C119" t="inlineStr">
        <is>
          <t>WT-SL-HIKICHIGAI</t>
        </is>
      </c>
      <c r="E119" t="inlineStr">
        <is>
          <t>17418</t>
        </is>
      </c>
      <c r="F119" t="b">
        <v>1</v>
      </c>
      <c r="G119" t="n">
        <v>15</v>
      </c>
      <c r="H119" t="inlineStr">
        <is>
          <t>無印</t>
        </is>
      </c>
      <c r="I119" t="n">
        <v>15</v>
      </c>
      <c r="J119" t="inlineStr">
        <is>
          <t>P15|無印</t>
        </is>
      </c>
      <c r="K119" t="inlineStr">
        <is>
          <t>同頁凡例へ直接連動</t>
        </is>
      </c>
      <c r="L119" t="inlineStr">
        <is>
          <t>202604_LIXIL_サーモスＬ_業務用資料集_完成品価格表.pdf</t>
        </is>
      </c>
      <c r="M119" t="inlineStr">
        <is>
          <t>v0.6：同一価格表セクション内で凡例継承を確定。</t>
        </is>
      </c>
      <c r="N119" t="inlineStr">
        <is>
          <t>https://drive.google.com/file/d/1YUN-mtWYs48YBUHJk0C3vJXnhjyZFHyf/view</t>
        </is>
      </c>
    </row>
    <row r="120">
      <c r="A120" s="42" t="inlineStr">
        <is>
          <t>GSC-SL-000117</t>
        </is>
      </c>
      <c r="B120" t="inlineStr">
        <is>
          <t>SZ-SL-000117</t>
        </is>
      </c>
      <c r="C120" t="inlineStr">
        <is>
          <t>WT-SL-HIKICHIGAI</t>
        </is>
      </c>
      <c r="E120" t="inlineStr">
        <is>
          <t>17420</t>
        </is>
      </c>
      <c r="F120" t="b">
        <v>1</v>
      </c>
      <c r="G120" t="n">
        <v>15</v>
      </c>
      <c r="H120" t="inlineStr">
        <is>
          <t>★</t>
        </is>
      </c>
      <c r="I120" t="n">
        <v>15</v>
      </c>
      <c r="J120" t="inlineStr">
        <is>
          <t>P15|★</t>
        </is>
      </c>
      <c r="K120" t="inlineStr">
        <is>
          <t>同頁凡例へ直接連動</t>
        </is>
      </c>
      <c r="L120" t="inlineStr">
        <is>
          <t>202604_LIXIL_サーモスＬ_業務用資料集_完成品価格表.pdf</t>
        </is>
      </c>
      <c r="M120" t="inlineStr">
        <is>
          <t>v0.6：同一価格表セクション内で凡例継承を確定。</t>
        </is>
      </c>
      <c r="N120" t="inlineStr">
        <is>
          <t>https://drive.google.com/file/d/1YUN-mtWYs48YBUHJk0C3vJXnhjyZFHyf/view</t>
        </is>
      </c>
    </row>
    <row r="121">
      <c r="A121" s="42" t="inlineStr">
        <is>
          <t>GSC-SL-000118</t>
        </is>
      </c>
      <c r="B121" t="inlineStr">
        <is>
          <t>SZ-SL-000118</t>
        </is>
      </c>
      <c r="C121" t="inlineStr">
        <is>
          <t>WT-SL-HIKICHIGAI</t>
        </is>
      </c>
      <c r="E121" t="inlineStr">
        <is>
          <t>17618</t>
        </is>
      </c>
      <c r="F121" t="b">
        <v>1</v>
      </c>
      <c r="G121" t="n">
        <v>15</v>
      </c>
      <c r="H121" t="inlineStr">
        <is>
          <t>無印</t>
        </is>
      </c>
      <c r="I121" t="n">
        <v>15</v>
      </c>
      <c r="J121" t="inlineStr">
        <is>
          <t>P15|無印</t>
        </is>
      </c>
      <c r="K121" t="inlineStr">
        <is>
          <t>同頁凡例へ直接連動</t>
        </is>
      </c>
      <c r="L121" t="inlineStr">
        <is>
          <t>202604_LIXIL_サーモスＬ_業務用資料集_完成品価格表.pdf</t>
        </is>
      </c>
      <c r="M121" t="inlineStr">
        <is>
          <t>v0.6：同一価格表セクション内で凡例継承を確定。</t>
        </is>
      </c>
      <c r="N121" t="inlineStr">
        <is>
          <t>https://drive.google.com/file/d/1YUN-mtWYs48YBUHJk0C3vJXnhjyZFHyf/view</t>
        </is>
      </c>
    </row>
    <row r="122">
      <c r="A122" s="42" t="inlineStr">
        <is>
          <t>GSC-SL-000119</t>
        </is>
      </c>
      <c r="B122" t="inlineStr">
        <is>
          <t>SZ-SL-000119</t>
        </is>
      </c>
      <c r="C122" t="inlineStr">
        <is>
          <t>WT-SL-HIKICHIGAI</t>
        </is>
      </c>
      <c r="E122" t="inlineStr">
        <is>
          <t>17620</t>
        </is>
      </c>
      <c r="F122" t="b">
        <v>1</v>
      </c>
      <c r="G122" t="n">
        <v>15</v>
      </c>
      <c r="H122" t="inlineStr">
        <is>
          <t>★</t>
        </is>
      </c>
      <c r="I122" t="n">
        <v>15</v>
      </c>
      <c r="J122" t="inlineStr">
        <is>
          <t>P15|★</t>
        </is>
      </c>
      <c r="K122" t="inlineStr">
        <is>
          <t>同頁凡例へ直接連動</t>
        </is>
      </c>
      <c r="L122" t="inlineStr">
        <is>
          <t>202604_LIXIL_サーモスＬ_業務用資料集_完成品価格表.pdf</t>
        </is>
      </c>
      <c r="M122" t="inlineStr">
        <is>
          <t>v0.6：同一価格表セクション内で凡例継承を確定。</t>
        </is>
      </c>
      <c r="N122" t="inlineStr">
        <is>
          <t>https://drive.google.com/file/d/1YUN-mtWYs48YBUHJk0C3vJXnhjyZFHyf/view</t>
        </is>
      </c>
    </row>
    <row r="123">
      <c r="A123" s="42" t="inlineStr">
        <is>
          <t>GSC-SL-000120</t>
        </is>
      </c>
      <c r="B123" t="inlineStr">
        <is>
          <t>SZ-SL-000120</t>
        </is>
      </c>
      <c r="C123" t="inlineStr">
        <is>
          <t>WT-SL-HIKICHIGAI</t>
        </is>
      </c>
      <c r="E123" t="inlineStr">
        <is>
          <t>17818</t>
        </is>
      </c>
      <c r="F123" t="b">
        <v>1</v>
      </c>
      <c r="G123" t="n">
        <v>15</v>
      </c>
      <c r="H123" t="inlineStr">
        <is>
          <t>△</t>
        </is>
      </c>
      <c r="I123" t="n">
        <v>15</v>
      </c>
      <c r="J123" t="inlineStr">
        <is>
          <t>P15|△</t>
        </is>
      </c>
      <c r="K123" t="inlineStr">
        <is>
          <t>同頁凡例へ直接連動</t>
        </is>
      </c>
      <c r="L123" t="inlineStr">
        <is>
          <t>202604_LIXIL_サーモスＬ_業務用資料集_完成品価格表.pdf</t>
        </is>
      </c>
      <c r="M123" t="inlineStr">
        <is>
          <t>v0.6：同一価格表セクション内で凡例継承を確定。</t>
        </is>
      </c>
      <c r="N123" t="inlineStr">
        <is>
          <t>https://drive.google.com/file/d/1YUN-mtWYs48YBUHJk0C3vJXnhjyZFHyf/view</t>
        </is>
      </c>
    </row>
    <row r="124">
      <c r="A124" s="42" t="inlineStr">
        <is>
          <t>GSC-SL-000121</t>
        </is>
      </c>
      <c r="B124" t="inlineStr">
        <is>
          <t>SZ-SL-000121</t>
        </is>
      </c>
      <c r="C124" t="inlineStr">
        <is>
          <t>WT-SL-HIKICHIGAI</t>
        </is>
      </c>
      <c r="E124" t="inlineStr">
        <is>
          <t>17820</t>
        </is>
      </c>
      <c r="F124" t="b">
        <v>1</v>
      </c>
      <c r="G124" t="n">
        <v>15</v>
      </c>
      <c r="H124" t="inlineStr">
        <is>
          <t>★</t>
        </is>
      </c>
      <c r="I124" t="n">
        <v>15</v>
      </c>
      <c r="J124" t="inlineStr">
        <is>
          <t>P15|★</t>
        </is>
      </c>
      <c r="K124" t="inlineStr">
        <is>
          <t>同頁凡例へ直接連動</t>
        </is>
      </c>
      <c r="L124" t="inlineStr">
        <is>
          <t>202604_LIXIL_サーモスＬ_業務用資料集_完成品価格表.pdf</t>
        </is>
      </c>
      <c r="M124" t="inlineStr">
        <is>
          <t>v0.6：同一価格表セクション内で凡例継承を確定。</t>
        </is>
      </c>
      <c r="N124" t="inlineStr">
        <is>
          <t>https://drive.google.com/file/d/1YUN-mtWYs48YBUHJk0C3vJXnhjyZFHyf/view</t>
        </is>
      </c>
    </row>
    <row r="125">
      <c r="A125" s="42" t="inlineStr">
        <is>
          <t>GSC-SL-000122</t>
        </is>
      </c>
      <c r="B125" t="inlineStr">
        <is>
          <t>SZ-SL-000122</t>
        </is>
      </c>
      <c r="C125" t="inlineStr">
        <is>
          <t>WT-SL-HIKICHIGAI</t>
        </is>
      </c>
      <c r="E125" t="inlineStr">
        <is>
          <t>18018</t>
        </is>
      </c>
      <c r="F125" t="b">
        <v>1</v>
      </c>
      <c r="G125" t="n">
        <v>16</v>
      </c>
      <c r="H125" t="inlineStr">
        <is>
          <t>★</t>
        </is>
      </c>
      <c r="I125" t="n">
        <v>17</v>
      </c>
      <c r="J125" t="inlineStr">
        <is>
          <t>P17|★</t>
        </is>
      </c>
      <c r="K125" t="inlineStr">
        <is>
          <t>同一価格表・次頁凡例を継承</t>
        </is>
      </c>
      <c r="L125" t="inlineStr">
        <is>
          <t>202604_LIXIL_サーモスＬ_業務用資料集_完成品価格表.pdf</t>
        </is>
      </c>
      <c r="M125" t="inlineStr">
        <is>
          <t>v0.6：同一価格表セクション内で凡例継承を確定。</t>
        </is>
      </c>
      <c r="N125" t="inlineStr">
        <is>
          <t>https://drive.google.com/file/d/1YUN-mtWYs48YBUHJk0C3vJXnhjyZFHyf/view</t>
        </is>
      </c>
    </row>
    <row r="126">
      <c r="A126" s="42" t="inlineStr">
        <is>
          <t>GSC-SL-000123</t>
        </is>
      </c>
      <c r="B126" t="inlineStr">
        <is>
          <t>SZ-SL-000123</t>
        </is>
      </c>
      <c r="C126" t="inlineStr">
        <is>
          <t>WT-SL-HIKICHIGAI</t>
        </is>
      </c>
      <c r="E126" t="inlineStr">
        <is>
          <t>18020</t>
        </is>
      </c>
      <c r="F126" t="b">
        <v>1</v>
      </c>
      <c r="G126" t="n">
        <v>16</v>
      </c>
      <c r="H126" t="inlineStr">
        <is>
          <t>★</t>
        </is>
      </c>
      <c r="I126" t="n">
        <v>17</v>
      </c>
      <c r="J126" t="inlineStr">
        <is>
          <t>P17|★</t>
        </is>
      </c>
      <c r="K126" t="inlineStr">
        <is>
          <t>同一価格表・次頁凡例を継承</t>
        </is>
      </c>
      <c r="L126" t="inlineStr">
        <is>
          <t>202604_LIXIL_サーモスＬ_業務用資料集_完成品価格表.pdf</t>
        </is>
      </c>
      <c r="M126" t="inlineStr">
        <is>
          <t>v0.6：同一価格表セクション内で凡例継承を確定。</t>
        </is>
      </c>
      <c r="N126" t="inlineStr">
        <is>
          <t>https://drive.google.com/file/d/1YUN-mtWYs48YBUHJk0C3vJXnhjyZFHyf/view</t>
        </is>
      </c>
    </row>
    <row r="127">
      <c r="A127" s="42" t="inlineStr">
        <is>
          <t>GSC-SL-000124</t>
        </is>
      </c>
      <c r="B127" t="inlineStr">
        <is>
          <t>SZ-SL-000124</t>
        </is>
      </c>
      <c r="C127" t="inlineStr">
        <is>
          <t>WT-SL-HIKICHIGAI</t>
        </is>
      </c>
      <c r="E127" t="inlineStr">
        <is>
          <t>18318</t>
        </is>
      </c>
      <c r="F127" t="b">
        <v>1</v>
      </c>
      <c r="G127" t="n">
        <v>16</v>
      </c>
      <c r="H127" t="inlineStr">
        <is>
          <t>★</t>
        </is>
      </c>
      <c r="I127" t="n">
        <v>17</v>
      </c>
      <c r="J127" t="inlineStr">
        <is>
          <t>P17|★</t>
        </is>
      </c>
      <c r="K127" t="inlineStr">
        <is>
          <t>同一価格表・次頁凡例を継承</t>
        </is>
      </c>
      <c r="L127" t="inlineStr">
        <is>
          <t>202604_LIXIL_サーモスＬ_業務用資料集_完成品価格表.pdf</t>
        </is>
      </c>
      <c r="M127" t="inlineStr">
        <is>
          <t>v0.6：同一価格表セクション内で凡例継承を確定。</t>
        </is>
      </c>
      <c r="N127" t="inlineStr">
        <is>
          <t>https://drive.google.com/file/d/1YUN-mtWYs48YBUHJk0C3vJXnhjyZFHyf/view</t>
        </is>
      </c>
    </row>
    <row r="128">
      <c r="A128" s="42" t="inlineStr">
        <is>
          <t>GSC-SL-000125</t>
        </is>
      </c>
      <c r="B128" t="inlineStr">
        <is>
          <t>SZ-SL-000125</t>
        </is>
      </c>
      <c r="C128" t="inlineStr">
        <is>
          <t>WT-SL-HIKICHIGAI</t>
        </is>
      </c>
      <c r="E128" t="inlineStr">
        <is>
          <t>18320</t>
        </is>
      </c>
      <c r="F128" t="b">
        <v>1</v>
      </c>
      <c r="G128" t="n">
        <v>16</v>
      </c>
      <c r="H128" t="inlineStr">
        <is>
          <t>★</t>
        </is>
      </c>
      <c r="I128" t="n">
        <v>17</v>
      </c>
      <c r="J128" t="inlineStr">
        <is>
          <t>P17|★</t>
        </is>
      </c>
      <c r="K128" t="inlineStr">
        <is>
          <t>同一価格表・次頁凡例を継承</t>
        </is>
      </c>
      <c r="L128" t="inlineStr">
        <is>
          <t>202604_LIXIL_サーモスＬ_業務用資料集_完成品価格表.pdf</t>
        </is>
      </c>
      <c r="M128" t="inlineStr">
        <is>
          <t>v0.6：同一価格表セクション内で凡例継承を確定。</t>
        </is>
      </c>
      <c r="N128" t="inlineStr">
        <is>
          <t>https://drive.google.com/file/d/1YUN-mtWYs48YBUHJk0C3vJXnhjyZFHyf/view</t>
        </is>
      </c>
    </row>
    <row r="129">
      <c r="A129" s="42" t="inlineStr">
        <is>
          <t>GSC-SL-000126</t>
        </is>
      </c>
      <c r="B129" t="inlineStr">
        <is>
          <t>SZ-SL-000126</t>
        </is>
      </c>
      <c r="C129" t="inlineStr">
        <is>
          <t>WT-SL-HIKICHIGAI</t>
        </is>
      </c>
      <c r="E129" t="inlineStr">
        <is>
          <t>18618</t>
        </is>
      </c>
      <c r="F129" t="b">
        <v>1</v>
      </c>
      <c r="G129" t="n">
        <v>16</v>
      </c>
      <c r="H129" t="inlineStr">
        <is>
          <t>★</t>
        </is>
      </c>
      <c r="I129" t="n">
        <v>17</v>
      </c>
      <c r="J129" t="inlineStr">
        <is>
          <t>P17|★</t>
        </is>
      </c>
      <c r="K129" t="inlineStr">
        <is>
          <t>同一価格表・次頁凡例を継承</t>
        </is>
      </c>
      <c r="L129" t="inlineStr">
        <is>
          <t>202604_LIXIL_サーモスＬ_業務用資料集_完成品価格表.pdf</t>
        </is>
      </c>
      <c r="M129" t="inlineStr">
        <is>
          <t>v0.6：同一価格表セクション内で凡例継承を確定。</t>
        </is>
      </c>
      <c r="N129" t="inlineStr">
        <is>
          <t>https://drive.google.com/file/d/1YUN-mtWYs48YBUHJk0C3vJXnhjyZFHyf/view</t>
        </is>
      </c>
    </row>
    <row r="130">
      <c r="A130" s="42" t="inlineStr">
        <is>
          <t>GSC-SL-000127</t>
        </is>
      </c>
      <c r="B130" t="inlineStr">
        <is>
          <t>SZ-SL-000127</t>
        </is>
      </c>
      <c r="C130" t="inlineStr">
        <is>
          <t>WT-SL-HIKICHIGAI</t>
        </is>
      </c>
      <c r="E130" t="inlineStr">
        <is>
          <t>18620</t>
        </is>
      </c>
      <c r="F130" t="b">
        <v>1</v>
      </c>
      <c r="G130" t="n">
        <v>16</v>
      </c>
      <c r="H130" t="inlineStr">
        <is>
          <t>★</t>
        </is>
      </c>
      <c r="I130" t="n">
        <v>17</v>
      </c>
      <c r="J130" t="inlineStr">
        <is>
          <t>P17|★</t>
        </is>
      </c>
      <c r="K130" t="inlineStr">
        <is>
          <t>同一価格表・次頁凡例を継承</t>
        </is>
      </c>
      <c r="L130" t="inlineStr">
        <is>
          <t>202604_LIXIL_サーモスＬ_業務用資料集_完成品価格表.pdf</t>
        </is>
      </c>
      <c r="M130" t="inlineStr">
        <is>
          <t>v0.6：同一価格表セクション内で凡例継承を確定。</t>
        </is>
      </c>
      <c r="N130" t="inlineStr">
        <is>
          <t>https://drive.google.com/file/d/1YUN-mtWYs48YBUHJk0C3vJXnhjyZFHyf/view</t>
        </is>
      </c>
    </row>
    <row r="131">
      <c r="A131" s="42" t="inlineStr">
        <is>
          <t>GSC-SL-000128</t>
        </is>
      </c>
      <c r="B131" t="inlineStr">
        <is>
          <t>SZ-SL-000128</t>
        </is>
      </c>
      <c r="C131" t="inlineStr">
        <is>
          <t>WT-SL-HIKICHIGAI</t>
        </is>
      </c>
      <c r="E131" t="inlineStr">
        <is>
          <t>25118-2</t>
        </is>
      </c>
      <c r="F131" t="b">
        <v>1</v>
      </c>
      <c r="G131" t="n">
        <v>16</v>
      </c>
      <c r="H131" t="inlineStr">
        <is>
          <t>☆</t>
        </is>
      </c>
      <c r="I131" t="n">
        <v>17</v>
      </c>
      <c r="J131" t="inlineStr">
        <is>
          <t>P17|☆</t>
        </is>
      </c>
      <c r="K131" t="inlineStr">
        <is>
          <t>同一価格表・次頁凡例を継承</t>
        </is>
      </c>
      <c r="L131" t="inlineStr">
        <is>
          <t>202604_LIXIL_サーモスＬ_業務用資料集_完成品価格表.pdf</t>
        </is>
      </c>
      <c r="M131" t="inlineStr">
        <is>
          <t>v0.6：同一価格表セクション内で凡例継承を確定。</t>
        </is>
      </c>
      <c r="N131" t="inlineStr">
        <is>
          <t>https://drive.google.com/file/d/1YUN-mtWYs48YBUHJk0C3vJXnhjyZFHyf/view</t>
        </is>
      </c>
    </row>
    <row r="132">
      <c r="A132" s="42" t="inlineStr">
        <is>
          <t>GSC-SL-000129</t>
        </is>
      </c>
      <c r="B132" t="inlineStr">
        <is>
          <t>SZ-SL-000129</t>
        </is>
      </c>
      <c r="C132" t="inlineStr">
        <is>
          <t>WT-SL-HIKICHIGAI</t>
        </is>
      </c>
      <c r="E132" t="inlineStr">
        <is>
          <t>25118-4</t>
        </is>
      </c>
      <c r="F132" t="b">
        <v>1</v>
      </c>
      <c r="G132" t="n">
        <v>16</v>
      </c>
      <c r="H132" t="inlineStr">
        <is>
          <t>無印</t>
        </is>
      </c>
      <c r="I132" t="n">
        <v>17</v>
      </c>
      <c r="J132" t="inlineStr">
        <is>
          <t>P17|無印</t>
        </is>
      </c>
      <c r="K132" t="inlineStr">
        <is>
          <t>同一価格表・次頁凡例を継承</t>
        </is>
      </c>
      <c r="L132" t="inlineStr">
        <is>
          <t>202604_LIXIL_サーモスＬ_業務用資料集_完成品価格表.pdf</t>
        </is>
      </c>
      <c r="M132" t="inlineStr">
        <is>
          <t>v0.6：同一価格表セクション内で凡例継承を確定。</t>
        </is>
      </c>
      <c r="N132" t="inlineStr">
        <is>
          <t>https://drive.google.com/file/d/1YUN-mtWYs48YBUHJk0C3vJXnhjyZFHyf/view</t>
        </is>
      </c>
    </row>
    <row r="133">
      <c r="A133" s="42" t="inlineStr">
        <is>
          <t>GSC-SL-000130</t>
        </is>
      </c>
      <c r="B133" t="inlineStr">
        <is>
          <t>SZ-SL-000130</t>
        </is>
      </c>
      <c r="C133" t="inlineStr">
        <is>
          <t>WT-SL-HIKICHIGAI</t>
        </is>
      </c>
      <c r="E133" t="inlineStr">
        <is>
          <t>25120-2</t>
        </is>
      </c>
      <c r="F133" t="b">
        <v>1</v>
      </c>
      <c r="G133" t="n">
        <v>16</v>
      </c>
      <c r="H133" t="inlineStr">
        <is>
          <t>◆</t>
        </is>
      </c>
      <c r="I133" t="n">
        <v>17</v>
      </c>
      <c r="J133" t="inlineStr">
        <is>
          <t>P17|◆</t>
        </is>
      </c>
      <c r="K133" t="inlineStr">
        <is>
          <t>同一価格表・次頁凡例を継承</t>
        </is>
      </c>
      <c r="L133" t="inlineStr">
        <is>
          <t>202604_LIXIL_サーモスＬ_業務用資料集_完成品価格表.pdf</t>
        </is>
      </c>
      <c r="M133" t="inlineStr">
        <is>
          <t>v0.6：同一価格表セクション内で凡例継承を確定。</t>
        </is>
      </c>
      <c r="N133" t="inlineStr">
        <is>
          <t>https://drive.google.com/file/d/1YUN-mtWYs48YBUHJk0C3vJXnhjyZFHyf/view</t>
        </is>
      </c>
    </row>
    <row r="134">
      <c r="A134" s="42" t="inlineStr">
        <is>
          <t>GSC-SL-000131</t>
        </is>
      </c>
      <c r="B134" t="inlineStr">
        <is>
          <t>SZ-SL-000131</t>
        </is>
      </c>
      <c r="C134" t="inlineStr">
        <is>
          <t>WT-SL-HIKICHIGAI</t>
        </is>
      </c>
      <c r="E134" t="inlineStr">
        <is>
          <t>25120-4</t>
        </is>
      </c>
      <c r="F134" t="b">
        <v>1</v>
      </c>
      <c r="G134" t="n">
        <v>16</v>
      </c>
      <c r="H134" t="inlineStr">
        <is>
          <t>無印</t>
        </is>
      </c>
      <c r="I134" t="n">
        <v>17</v>
      </c>
      <c r="J134" t="inlineStr">
        <is>
          <t>P17|無印</t>
        </is>
      </c>
      <c r="K134" t="inlineStr">
        <is>
          <t>同一価格表・次頁凡例を継承</t>
        </is>
      </c>
      <c r="L134" t="inlineStr">
        <is>
          <t>202604_LIXIL_サーモスＬ_業務用資料集_完成品価格表.pdf</t>
        </is>
      </c>
      <c r="M134" t="inlineStr">
        <is>
          <t>v0.6：同一価格表セクション内で凡例継承を確定。</t>
        </is>
      </c>
      <c r="N134" t="inlineStr">
        <is>
          <t>https://drive.google.com/file/d/1YUN-mtWYs48YBUHJk0C3vJXnhjyZFHyf/view</t>
        </is>
      </c>
    </row>
    <row r="135">
      <c r="A135" s="42" t="inlineStr">
        <is>
          <t>GSC-SL-000132</t>
        </is>
      </c>
      <c r="B135" t="inlineStr">
        <is>
          <t>SZ-SL-000132</t>
        </is>
      </c>
      <c r="C135" t="inlineStr">
        <is>
          <t>WT-SL-HIKICHIGAI</t>
        </is>
      </c>
      <c r="E135" t="inlineStr">
        <is>
          <t>25618-2</t>
        </is>
      </c>
      <c r="F135" t="b">
        <v>1</v>
      </c>
      <c r="G135" t="n">
        <v>17</v>
      </c>
      <c r="H135" t="inlineStr">
        <is>
          <t>◆</t>
        </is>
      </c>
      <c r="I135" t="n">
        <v>17</v>
      </c>
      <c r="J135" t="inlineStr">
        <is>
          <t>P17|◆</t>
        </is>
      </c>
      <c r="K135" t="inlineStr">
        <is>
          <t>同頁凡例へ直接連動</t>
        </is>
      </c>
      <c r="L135" t="inlineStr">
        <is>
          <t>202604_LIXIL_サーモスＬ_業務用資料集_完成品価格表.pdf</t>
        </is>
      </c>
      <c r="M135" t="inlineStr">
        <is>
          <t>v0.6：同一価格表セクション内で凡例継承を確定。</t>
        </is>
      </c>
      <c r="N135" t="inlineStr">
        <is>
          <t>https://drive.google.com/file/d/1YUN-mtWYs48YBUHJk0C3vJXnhjyZFHyf/view</t>
        </is>
      </c>
    </row>
    <row r="136">
      <c r="A136" s="42" t="inlineStr">
        <is>
          <t>GSC-SL-000133</t>
        </is>
      </c>
      <c r="B136" t="inlineStr">
        <is>
          <t>SZ-SL-000133</t>
        </is>
      </c>
      <c r="C136" t="inlineStr">
        <is>
          <t>WT-SL-HIKICHIGAI</t>
        </is>
      </c>
      <c r="E136" t="inlineStr">
        <is>
          <t>25618-4</t>
        </is>
      </c>
      <c r="F136" t="b">
        <v>1</v>
      </c>
      <c r="G136" t="n">
        <v>17</v>
      </c>
      <c r="H136" t="inlineStr">
        <is>
          <t>無印</t>
        </is>
      </c>
      <c r="I136" t="n">
        <v>17</v>
      </c>
      <c r="J136" t="inlineStr">
        <is>
          <t>P17|無印</t>
        </is>
      </c>
      <c r="K136" t="inlineStr">
        <is>
          <t>同頁凡例へ直接連動</t>
        </is>
      </c>
      <c r="L136" t="inlineStr">
        <is>
          <t>202604_LIXIL_サーモスＬ_業務用資料集_完成品価格表.pdf</t>
        </is>
      </c>
      <c r="M136" t="inlineStr">
        <is>
          <t>v0.6：同一価格表セクション内で凡例継承を確定。</t>
        </is>
      </c>
      <c r="N136" t="inlineStr">
        <is>
          <t>https://drive.google.com/file/d/1YUN-mtWYs48YBUHJk0C3vJXnhjyZFHyf/view</t>
        </is>
      </c>
    </row>
    <row r="137">
      <c r="A137" s="42" t="inlineStr">
        <is>
          <t>GSC-SL-000134</t>
        </is>
      </c>
      <c r="B137" t="inlineStr">
        <is>
          <t>SZ-SL-000134</t>
        </is>
      </c>
      <c r="C137" t="inlineStr">
        <is>
          <t>WT-SL-HIKICHIGAI</t>
        </is>
      </c>
      <c r="E137" t="inlineStr">
        <is>
          <t>25620-2</t>
        </is>
      </c>
      <c r="F137" t="b">
        <v>1</v>
      </c>
      <c r="G137" t="n">
        <v>17</v>
      </c>
      <c r="H137" t="inlineStr">
        <is>
          <t>◆</t>
        </is>
      </c>
      <c r="I137" t="n">
        <v>17</v>
      </c>
      <c r="J137" t="inlineStr">
        <is>
          <t>P17|◆</t>
        </is>
      </c>
      <c r="K137" t="inlineStr">
        <is>
          <t>同頁凡例へ直接連動</t>
        </is>
      </c>
      <c r="L137" t="inlineStr">
        <is>
          <t>202604_LIXIL_サーモスＬ_業務用資料集_完成品価格表.pdf</t>
        </is>
      </c>
      <c r="M137" t="inlineStr">
        <is>
          <t>v0.6：同一価格表セクション内で凡例継承を確定。</t>
        </is>
      </c>
      <c r="N137" t="inlineStr">
        <is>
          <t>https://drive.google.com/file/d/1YUN-mtWYs48YBUHJk0C3vJXnhjyZFHyf/view</t>
        </is>
      </c>
    </row>
    <row r="138">
      <c r="A138" s="42" t="inlineStr">
        <is>
          <t>GSC-SL-000135</t>
        </is>
      </c>
      <c r="B138" t="inlineStr">
        <is>
          <t>SZ-SL-000135</t>
        </is>
      </c>
      <c r="C138" t="inlineStr">
        <is>
          <t>WT-SL-HIKICHIGAI</t>
        </is>
      </c>
      <c r="E138" t="inlineStr">
        <is>
          <t>25620-4</t>
        </is>
      </c>
      <c r="F138" t="b">
        <v>1</v>
      </c>
      <c r="G138" t="n">
        <v>17</v>
      </c>
      <c r="H138" t="inlineStr">
        <is>
          <t>無印</t>
        </is>
      </c>
      <c r="I138" t="n">
        <v>17</v>
      </c>
      <c r="J138" t="inlineStr">
        <is>
          <t>P17|無印</t>
        </is>
      </c>
      <c r="K138" t="inlineStr">
        <is>
          <t>同頁凡例へ直接連動</t>
        </is>
      </c>
      <c r="L138" t="inlineStr">
        <is>
          <t>202604_LIXIL_サーモスＬ_業務用資料集_完成品価格表.pdf</t>
        </is>
      </c>
      <c r="M138" t="inlineStr">
        <is>
          <t>v0.6：同一価格表セクション内で凡例継承を確定。</t>
        </is>
      </c>
      <c r="N138" t="inlineStr">
        <is>
          <t>https://drive.google.com/file/d/1YUN-mtWYs48YBUHJk0C3vJXnhjyZFHyf/view</t>
        </is>
      </c>
    </row>
    <row r="139">
      <c r="A139" s="42" t="inlineStr">
        <is>
          <t>GSC-SL-000136</t>
        </is>
      </c>
      <c r="B139" t="inlineStr">
        <is>
          <t>SZ-SL-000136</t>
        </is>
      </c>
      <c r="C139" t="inlineStr">
        <is>
          <t>WT-SL-HIKICHIGAI</t>
        </is>
      </c>
      <c r="E139" t="inlineStr">
        <is>
          <t>34718</t>
        </is>
      </c>
      <c r="F139" t="b">
        <v>1</v>
      </c>
      <c r="G139" t="n">
        <v>17</v>
      </c>
      <c r="H139" t="inlineStr">
        <is>
          <t>無印</t>
        </is>
      </c>
      <c r="I139" t="n">
        <v>17</v>
      </c>
      <c r="J139" t="inlineStr">
        <is>
          <t>P17|無印</t>
        </is>
      </c>
      <c r="K139" t="inlineStr">
        <is>
          <t>同頁凡例へ直接連動</t>
        </is>
      </c>
      <c r="L139" t="inlineStr">
        <is>
          <t>202604_LIXIL_サーモスＬ_業務用資料集_完成品価格表.pdf</t>
        </is>
      </c>
      <c r="M139" t="inlineStr">
        <is>
          <t>v0.6：同一価格表セクション内で凡例継承を確定。</t>
        </is>
      </c>
      <c r="N139" t="inlineStr">
        <is>
          <t>https://drive.google.com/file/d/1YUN-mtWYs48YBUHJk0C3vJXnhjyZFHyf/view</t>
        </is>
      </c>
    </row>
    <row r="140">
      <c r="A140" s="42" t="inlineStr">
        <is>
          <t>GSC-SL-000137</t>
        </is>
      </c>
      <c r="B140" t="inlineStr">
        <is>
          <t>SZ-SL-000137</t>
        </is>
      </c>
      <c r="C140" t="inlineStr">
        <is>
          <t>WT-SL-HIKICHIGAI</t>
        </is>
      </c>
      <c r="E140" t="inlineStr">
        <is>
          <t>34720</t>
        </is>
      </c>
      <c r="F140" t="b">
        <v>1</v>
      </c>
      <c r="G140" t="n">
        <v>17</v>
      </c>
      <c r="H140" t="inlineStr">
        <is>
          <t>★</t>
        </is>
      </c>
      <c r="I140" t="n">
        <v>17</v>
      </c>
      <c r="J140" t="inlineStr">
        <is>
          <t>P17|★</t>
        </is>
      </c>
      <c r="K140" t="inlineStr">
        <is>
          <t>同頁凡例へ直接連動</t>
        </is>
      </c>
      <c r="L140" t="inlineStr">
        <is>
          <t>202604_LIXIL_サーモスＬ_業務用資料集_完成品価格表.pdf</t>
        </is>
      </c>
      <c r="M140" t="inlineStr">
        <is>
          <t>v0.6：同一価格表セクション内で凡例継承を確定。</t>
        </is>
      </c>
      <c r="N140" t="inlineStr">
        <is>
          <t>https://drive.google.com/file/d/1YUN-mtWYs48YBUHJk0C3vJXnhjyZFHyf/view</t>
        </is>
      </c>
    </row>
    <row r="141">
      <c r="A141" s="42" t="inlineStr">
        <is>
          <t>GSC-SL-000138</t>
        </is>
      </c>
      <c r="B141" t="inlineStr">
        <is>
          <t>SZ-SL-000138</t>
        </is>
      </c>
      <c r="C141" t="inlineStr">
        <is>
          <t>WT-SL-HIKICHIGAI</t>
        </is>
      </c>
      <c r="E141" t="inlineStr">
        <is>
          <t>15022</t>
        </is>
      </c>
      <c r="F141" t="b">
        <v>1</v>
      </c>
      <c r="G141" t="n">
        <v>18</v>
      </c>
      <c r="H141" t="inlineStr">
        <is>
          <t>★</t>
        </is>
      </c>
      <c r="I141" t="n">
        <v>19</v>
      </c>
      <c r="J141" t="inlineStr">
        <is>
          <t>P19|★</t>
        </is>
      </c>
      <c r="K141" t="inlineStr">
        <is>
          <t>同一価格表・次頁凡例を継承</t>
        </is>
      </c>
      <c r="L141" t="inlineStr">
        <is>
          <t>202604_LIXIL_サーモスＬ_業務用資料集_完成品価格表.pdf</t>
        </is>
      </c>
      <c r="M141" t="inlineStr">
        <is>
          <t>v0.6：同一価格表セクション内で凡例継承を確定。</t>
        </is>
      </c>
      <c r="N141" t="inlineStr">
        <is>
          <t>https://drive.google.com/file/d/1YUN-mtWYs48YBUHJk0C3vJXnhjyZFHyf/view</t>
        </is>
      </c>
    </row>
    <row r="142">
      <c r="A142" s="42" t="inlineStr">
        <is>
          <t>GSC-SL-000139</t>
        </is>
      </c>
      <c r="B142" t="inlineStr">
        <is>
          <t>SZ-SL-000139</t>
        </is>
      </c>
      <c r="C142" t="inlineStr">
        <is>
          <t>WT-SL-HIKICHIGAI</t>
        </is>
      </c>
      <c r="E142" t="inlineStr">
        <is>
          <t>15024</t>
        </is>
      </c>
      <c r="F142" t="b">
        <v>1</v>
      </c>
      <c r="G142" t="n">
        <v>18</v>
      </c>
      <c r="H142" t="inlineStr">
        <is>
          <t>★</t>
        </is>
      </c>
      <c r="I142" t="n">
        <v>19</v>
      </c>
      <c r="J142" t="inlineStr">
        <is>
          <t>P19|★</t>
        </is>
      </c>
      <c r="K142" t="inlineStr">
        <is>
          <t>同一価格表・次頁凡例を継承</t>
        </is>
      </c>
      <c r="L142" t="inlineStr">
        <is>
          <t>202604_LIXIL_サーモスＬ_業務用資料集_完成品価格表.pdf</t>
        </is>
      </c>
      <c r="M142" t="inlineStr">
        <is>
          <t>v0.6：同一価格表セクション内で凡例継承を確定。</t>
        </is>
      </c>
      <c r="N142" t="inlineStr">
        <is>
          <t>https://drive.google.com/file/d/1YUN-mtWYs48YBUHJk0C3vJXnhjyZFHyf/view</t>
        </is>
      </c>
    </row>
    <row r="143">
      <c r="A143" s="42" t="inlineStr">
        <is>
          <t>GSC-SL-000140</t>
        </is>
      </c>
      <c r="B143" t="inlineStr">
        <is>
          <t>SZ-SL-000140</t>
        </is>
      </c>
      <c r="C143" t="inlineStr">
        <is>
          <t>WT-SL-HIKICHIGAI</t>
        </is>
      </c>
      <c r="E143" t="inlineStr">
        <is>
          <t>16022</t>
        </is>
      </c>
      <c r="F143" t="b">
        <v>1</v>
      </c>
      <c r="G143" t="n">
        <v>18</v>
      </c>
      <c r="H143" t="inlineStr">
        <is>
          <t>★</t>
        </is>
      </c>
      <c r="I143" t="n">
        <v>19</v>
      </c>
      <c r="J143" t="inlineStr">
        <is>
          <t>P19|★</t>
        </is>
      </c>
      <c r="K143" t="inlineStr">
        <is>
          <t>同一価格表・次頁凡例を継承</t>
        </is>
      </c>
      <c r="L143" t="inlineStr">
        <is>
          <t>202604_LIXIL_サーモスＬ_業務用資料集_完成品価格表.pdf</t>
        </is>
      </c>
      <c r="M143" t="inlineStr">
        <is>
          <t>v0.6：同一価格表セクション内で凡例継承を確定。</t>
        </is>
      </c>
      <c r="N143" t="inlineStr">
        <is>
          <t>https://drive.google.com/file/d/1YUN-mtWYs48YBUHJk0C3vJXnhjyZFHyf/view</t>
        </is>
      </c>
    </row>
    <row r="144">
      <c r="A144" s="42" t="inlineStr">
        <is>
          <t>GSC-SL-000141</t>
        </is>
      </c>
      <c r="B144" t="inlineStr">
        <is>
          <t>SZ-SL-000141</t>
        </is>
      </c>
      <c r="C144" t="inlineStr">
        <is>
          <t>WT-SL-HIKICHIGAI</t>
        </is>
      </c>
      <c r="E144" t="inlineStr">
        <is>
          <t>16024</t>
        </is>
      </c>
      <c r="F144" t="b">
        <v>1</v>
      </c>
      <c r="G144" t="n">
        <v>18</v>
      </c>
      <c r="H144" t="inlineStr">
        <is>
          <t>★</t>
        </is>
      </c>
      <c r="I144" t="n">
        <v>19</v>
      </c>
      <c r="J144" t="inlineStr">
        <is>
          <t>P19|★</t>
        </is>
      </c>
      <c r="K144" t="inlineStr">
        <is>
          <t>同一価格表・次頁凡例を継承</t>
        </is>
      </c>
      <c r="L144" t="inlineStr">
        <is>
          <t>202604_LIXIL_サーモスＬ_業務用資料集_完成品価格表.pdf</t>
        </is>
      </c>
      <c r="M144" t="inlineStr">
        <is>
          <t>v0.6：同一価格表セクション内で凡例継承を確定。</t>
        </is>
      </c>
      <c r="N144" t="inlineStr">
        <is>
          <t>https://drive.google.com/file/d/1YUN-mtWYs48YBUHJk0C3vJXnhjyZFHyf/view</t>
        </is>
      </c>
    </row>
    <row r="145">
      <c r="A145" s="42" t="inlineStr">
        <is>
          <t>GSC-SL-000142</t>
        </is>
      </c>
      <c r="B145" t="inlineStr">
        <is>
          <t>SZ-SL-000142</t>
        </is>
      </c>
      <c r="C145" t="inlineStr">
        <is>
          <t>WT-SL-HIKICHIGAI</t>
        </is>
      </c>
      <c r="E145" t="inlineStr">
        <is>
          <t>16522</t>
        </is>
      </c>
      <c r="F145" t="b">
        <v>1</v>
      </c>
      <c r="G145" t="n">
        <v>18</v>
      </c>
      <c r="H145" t="inlineStr">
        <is>
          <t>★</t>
        </is>
      </c>
      <c r="I145" t="n">
        <v>19</v>
      </c>
      <c r="J145" t="inlineStr">
        <is>
          <t>P19|★</t>
        </is>
      </c>
      <c r="K145" t="inlineStr">
        <is>
          <t>同一価格表・次頁凡例を継承</t>
        </is>
      </c>
      <c r="L145" t="inlineStr">
        <is>
          <t>202604_LIXIL_サーモスＬ_業務用資料集_完成品価格表.pdf</t>
        </is>
      </c>
      <c r="M145" t="inlineStr">
        <is>
          <t>v0.6：同一価格表セクション内で凡例継承を確定。</t>
        </is>
      </c>
      <c r="N145" t="inlineStr">
        <is>
          <t>https://drive.google.com/file/d/1YUN-mtWYs48YBUHJk0C3vJXnhjyZFHyf/view</t>
        </is>
      </c>
    </row>
    <row r="146">
      <c r="A146" s="42" t="inlineStr">
        <is>
          <t>GSC-SL-000143</t>
        </is>
      </c>
      <c r="B146" t="inlineStr">
        <is>
          <t>SZ-SL-000143</t>
        </is>
      </c>
      <c r="C146" t="inlineStr">
        <is>
          <t>WT-SL-HIKICHIGAI</t>
        </is>
      </c>
      <c r="E146" t="inlineStr">
        <is>
          <t>16524</t>
        </is>
      </c>
      <c r="F146" t="b">
        <v>1</v>
      </c>
      <c r="G146" t="n">
        <v>18</v>
      </c>
      <c r="H146" t="inlineStr">
        <is>
          <t>★</t>
        </is>
      </c>
      <c r="I146" t="n">
        <v>19</v>
      </c>
      <c r="J146" t="inlineStr">
        <is>
          <t>P19|★</t>
        </is>
      </c>
      <c r="K146" t="inlineStr">
        <is>
          <t>同一価格表・次頁凡例を継承</t>
        </is>
      </c>
      <c r="L146" t="inlineStr">
        <is>
          <t>202604_LIXIL_サーモスＬ_業務用資料集_完成品価格表.pdf</t>
        </is>
      </c>
      <c r="M146" t="inlineStr">
        <is>
          <t>v0.6：同一価格表セクション内で凡例継承を確定。</t>
        </is>
      </c>
      <c r="N146" t="inlineStr">
        <is>
          <t>https://drive.google.com/file/d/1YUN-mtWYs48YBUHJk0C3vJXnhjyZFHyf/view</t>
        </is>
      </c>
    </row>
    <row r="147">
      <c r="A147" s="42" t="inlineStr">
        <is>
          <t>GSC-SL-000144</t>
        </is>
      </c>
      <c r="B147" t="inlineStr">
        <is>
          <t>SZ-SL-000144</t>
        </is>
      </c>
      <c r="C147" t="inlineStr">
        <is>
          <t>WT-SL-HIKICHIGAI</t>
        </is>
      </c>
      <c r="E147" t="inlineStr">
        <is>
          <t>17422</t>
        </is>
      </c>
      <c r="F147" t="b">
        <v>1</v>
      </c>
      <c r="G147" t="n">
        <v>19</v>
      </c>
      <c r="H147" t="inlineStr">
        <is>
          <t>★</t>
        </is>
      </c>
      <c r="I147" t="n">
        <v>19</v>
      </c>
      <c r="J147" t="inlineStr">
        <is>
          <t>P19|★</t>
        </is>
      </c>
      <c r="K147" t="inlineStr">
        <is>
          <t>同頁凡例へ直接連動</t>
        </is>
      </c>
      <c r="L147" t="inlineStr">
        <is>
          <t>202604_LIXIL_サーモスＬ_業務用資料集_完成品価格表.pdf</t>
        </is>
      </c>
      <c r="M147" t="inlineStr">
        <is>
          <t>v0.6：同一価格表セクション内で凡例継承を確定。</t>
        </is>
      </c>
      <c r="N147" t="inlineStr">
        <is>
          <t>https://drive.google.com/file/d/1YUN-mtWYs48YBUHJk0C3vJXnhjyZFHyf/view</t>
        </is>
      </c>
    </row>
    <row r="148">
      <c r="A148" s="42" t="inlineStr">
        <is>
          <t>GSC-SL-000145</t>
        </is>
      </c>
      <c r="B148" t="inlineStr">
        <is>
          <t>SZ-SL-000145</t>
        </is>
      </c>
      <c r="C148" t="inlineStr">
        <is>
          <t>WT-SL-HIKICHIGAI</t>
        </is>
      </c>
      <c r="E148" t="inlineStr">
        <is>
          <t>17424</t>
        </is>
      </c>
      <c r="F148" t="b">
        <v>1</v>
      </c>
      <c r="G148" t="n">
        <v>19</v>
      </c>
      <c r="H148" t="inlineStr">
        <is>
          <t>★</t>
        </is>
      </c>
      <c r="I148" t="n">
        <v>19</v>
      </c>
      <c r="J148" t="inlineStr">
        <is>
          <t>P19|★</t>
        </is>
      </c>
      <c r="K148" t="inlineStr">
        <is>
          <t>同頁凡例へ直接連動</t>
        </is>
      </c>
      <c r="L148" t="inlineStr">
        <is>
          <t>202604_LIXIL_サーモスＬ_業務用資料集_完成品価格表.pdf</t>
        </is>
      </c>
      <c r="M148" t="inlineStr">
        <is>
          <t>v0.6：同一価格表セクション内で凡例継承を確定。</t>
        </is>
      </c>
      <c r="N148" t="inlineStr">
        <is>
          <t>https://drive.google.com/file/d/1YUN-mtWYs48YBUHJk0C3vJXnhjyZFHyf/view</t>
        </is>
      </c>
    </row>
    <row r="149">
      <c r="A149" s="42" t="inlineStr">
        <is>
          <t>GSC-SL-000146</t>
        </is>
      </c>
      <c r="B149" t="inlineStr">
        <is>
          <t>SZ-SL-000146</t>
        </is>
      </c>
      <c r="C149" t="inlineStr">
        <is>
          <t>WT-SL-HIKICHIGAI</t>
        </is>
      </c>
      <c r="E149" t="inlineStr">
        <is>
          <t>17622</t>
        </is>
      </c>
      <c r="F149" t="b">
        <v>1</v>
      </c>
      <c r="G149" t="n">
        <v>19</v>
      </c>
      <c r="H149" t="inlineStr">
        <is>
          <t>★</t>
        </is>
      </c>
      <c r="I149" t="n">
        <v>19</v>
      </c>
      <c r="J149" t="inlineStr">
        <is>
          <t>P19|★</t>
        </is>
      </c>
      <c r="K149" t="inlineStr">
        <is>
          <t>同頁凡例へ直接連動</t>
        </is>
      </c>
      <c r="L149" t="inlineStr">
        <is>
          <t>202604_LIXIL_サーモスＬ_業務用資料集_完成品価格表.pdf</t>
        </is>
      </c>
      <c r="M149" t="inlineStr">
        <is>
          <t>v0.6：同一価格表セクション内で凡例継承を確定。</t>
        </is>
      </c>
      <c r="N149" t="inlineStr">
        <is>
          <t>https://drive.google.com/file/d/1YUN-mtWYs48YBUHJk0C3vJXnhjyZFHyf/view</t>
        </is>
      </c>
    </row>
    <row r="150">
      <c r="A150" s="42" t="inlineStr">
        <is>
          <t>GSC-SL-000147</t>
        </is>
      </c>
      <c r="B150" t="inlineStr">
        <is>
          <t>SZ-SL-000147</t>
        </is>
      </c>
      <c r="C150" t="inlineStr">
        <is>
          <t>WT-SL-HIKICHIGAI</t>
        </is>
      </c>
      <c r="E150" t="inlineStr">
        <is>
          <t>17624</t>
        </is>
      </c>
      <c r="F150" t="b">
        <v>1</v>
      </c>
      <c r="G150" t="n">
        <v>19</v>
      </c>
      <c r="H150" t="inlineStr">
        <is>
          <t>★</t>
        </is>
      </c>
      <c r="I150" t="n">
        <v>19</v>
      </c>
      <c r="J150" t="inlineStr">
        <is>
          <t>P19|★</t>
        </is>
      </c>
      <c r="K150" t="inlineStr">
        <is>
          <t>同頁凡例へ直接連動</t>
        </is>
      </c>
      <c r="L150" t="inlineStr">
        <is>
          <t>202604_LIXIL_サーモスＬ_業務用資料集_完成品価格表.pdf</t>
        </is>
      </c>
      <c r="M150" t="inlineStr">
        <is>
          <t>v0.6：同一価格表セクション内で凡例継承を確定。</t>
        </is>
      </c>
      <c r="N150" t="inlineStr">
        <is>
          <t>https://drive.google.com/file/d/1YUN-mtWYs48YBUHJk0C3vJXnhjyZFHyf/view</t>
        </is>
      </c>
    </row>
    <row r="151">
      <c r="A151" s="42" t="inlineStr">
        <is>
          <t>GSC-SL-000148</t>
        </is>
      </c>
      <c r="B151" t="inlineStr">
        <is>
          <t>SZ-SL-000148</t>
        </is>
      </c>
      <c r="C151" t="inlineStr">
        <is>
          <t>WT-SL-HIKICHIGAI</t>
        </is>
      </c>
      <c r="E151" t="inlineStr">
        <is>
          <t>17822</t>
        </is>
      </c>
      <c r="F151" t="b">
        <v>1</v>
      </c>
      <c r="G151" t="n">
        <v>19</v>
      </c>
      <c r="H151" t="inlineStr">
        <is>
          <t>★</t>
        </is>
      </c>
      <c r="I151" t="n">
        <v>19</v>
      </c>
      <c r="J151" t="inlineStr">
        <is>
          <t>P19|★</t>
        </is>
      </c>
      <c r="K151" t="inlineStr">
        <is>
          <t>同頁凡例へ直接連動</t>
        </is>
      </c>
      <c r="L151" t="inlineStr">
        <is>
          <t>202604_LIXIL_サーモスＬ_業務用資料集_完成品価格表.pdf</t>
        </is>
      </c>
      <c r="M151" t="inlineStr">
        <is>
          <t>v0.6：同一価格表セクション内で凡例継承を確定。</t>
        </is>
      </c>
      <c r="N151" t="inlineStr">
        <is>
          <t>https://drive.google.com/file/d/1YUN-mtWYs48YBUHJk0C3vJXnhjyZFHyf/view</t>
        </is>
      </c>
    </row>
    <row r="152">
      <c r="A152" s="42" t="inlineStr">
        <is>
          <t>GSC-SL-000149</t>
        </is>
      </c>
      <c r="B152" t="inlineStr">
        <is>
          <t>SZ-SL-000149</t>
        </is>
      </c>
      <c r="C152" t="inlineStr">
        <is>
          <t>WT-SL-HIKICHIGAI</t>
        </is>
      </c>
      <c r="E152" t="inlineStr">
        <is>
          <t>17824</t>
        </is>
      </c>
      <c r="F152" t="b">
        <v>1</v>
      </c>
      <c r="G152" t="n">
        <v>19</v>
      </c>
      <c r="H152" t="inlineStr">
        <is>
          <t>☆</t>
        </is>
      </c>
      <c r="I152" t="n">
        <v>19</v>
      </c>
      <c r="J152" t="inlineStr">
        <is>
          <t>P19|☆</t>
        </is>
      </c>
      <c r="K152" t="inlineStr">
        <is>
          <t>同頁凡例へ直接連動</t>
        </is>
      </c>
      <c r="L152" t="inlineStr">
        <is>
          <t>202604_LIXIL_サーモスＬ_業務用資料集_完成品価格表.pdf</t>
        </is>
      </c>
      <c r="M152" t="inlineStr">
        <is>
          <t>v0.6：同一価格表セクション内で凡例継承を確定。</t>
        </is>
      </c>
      <c r="N152" t="inlineStr">
        <is>
          <t>https://drive.google.com/file/d/1YUN-mtWYs48YBUHJk0C3vJXnhjyZFHyf/view</t>
        </is>
      </c>
    </row>
    <row r="153">
      <c r="A153" s="42" t="inlineStr">
        <is>
          <t>GSC-SL-000150</t>
        </is>
      </c>
      <c r="B153" t="inlineStr">
        <is>
          <t>SZ-SL-000150</t>
        </is>
      </c>
      <c r="C153" t="inlineStr">
        <is>
          <t>WT-SL-HIKICHIGAI</t>
        </is>
      </c>
      <c r="E153" t="inlineStr">
        <is>
          <t>18022</t>
        </is>
      </c>
      <c r="F153" t="b">
        <v>1</v>
      </c>
      <c r="G153" t="n">
        <v>20</v>
      </c>
      <c r="H153" t="inlineStr">
        <is>
          <t>★</t>
        </is>
      </c>
      <c r="I153" t="n">
        <v>21</v>
      </c>
      <c r="J153" t="inlineStr">
        <is>
          <t>P21|★</t>
        </is>
      </c>
      <c r="K153" t="inlineStr">
        <is>
          <t>同一価格表・次頁凡例を継承</t>
        </is>
      </c>
      <c r="L153" t="inlineStr">
        <is>
          <t>202604_LIXIL_サーモスＬ_業務用資料集_完成品価格表.pdf</t>
        </is>
      </c>
      <c r="M153" t="inlineStr">
        <is>
          <t>v0.6：同一価格表セクション内で凡例継承を確定。</t>
        </is>
      </c>
      <c r="N153" t="inlineStr">
        <is>
          <t>https://drive.google.com/file/d/1YUN-mtWYs48YBUHJk0C3vJXnhjyZFHyf/view</t>
        </is>
      </c>
    </row>
    <row r="154">
      <c r="A154" s="42" t="inlineStr">
        <is>
          <t>GSC-SL-000151</t>
        </is>
      </c>
      <c r="B154" t="inlineStr">
        <is>
          <t>SZ-SL-000151</t>
        </is>
      </c>
      <c r="C154" t="inlineStr">
        <is>
          <t>WT-SL-HIKICHIGAI</t>
        </is>
      </c>
      <c r="E154" t="inlineStr">
        <is>
          <t>18024</t>
        </is>
      </c>
      <c r="F154" t="b">
        <v>1</v>
      </c>
      <c r="G154" t="n">
        <v>20</v>
      </c>
      <c r="H154" t="inlineStr">
        <is>
          <t>☆</t>
        </is>
      </c>
      <c r="I154" t="n">
        <v>21</v>
      </c>
      <c r="J154" t="inlineStr">
        <is>
          <t>P21|☆</t>
        </is>
      </c>
      <c r="K154" t="inlineStr">
        <is>
          <t>同一価格表・次頁凡例を継承</t>
        </is>
      </c>
      <c r="L154" t="inlineStr">
        <is>
          <t>202604_LIXIL_サーモスＬ_業務用資料集_完成品価格表.pdf</t>
        </is>
      </c>
      <c r="M154" t="inlineStr">
        <is>
          <t>v0.6：同一価格表セクション内で凡例継承を確定。</t>
        </is>
      </c>
      <c r="N154" t="inlineStr">
        <is>
          <t>https://drive.google.com/file/d/1YUN-mtWYs48YBUHJk0C3vJXnhjyZFHyf/view</t>
        </is>
      </c>
    </row>
    <row r="155">
      <c r="A155" s="42" t="inlineStr">
        <is>
          <t>GSC-SL-000152</t>
        </is>
      </c>
      <c r="B155" t="inlineStr">
        <is>
          <t>SZ-SL-000152</t>
        </is>
      </c>
      <c r="C155" t="inlineStr">
        <is>
          <t>WT-SL-HIKICHIGAI</t>
        </is>
      </c>
      <c r="E155" t="inlineStr">
        <is>
          <t>18322</t>
        </is>
      </c>
      <c r="F155" t="b">
        <v>1</v>
      </c>
      <c r="G155" t="n">
        <v>20</v>
      </c>
      <c r="H155" t="inlineStr">
        <is>
          <t>★</t>
        </is>
      </c>
      <c r="I155" t="n">
        <v>21</v>
      </c>
      <c r="J155" t="inlineStr">
        <is>
          <t>P21|★</t>
        </is>
      </c>
      <c r="K155" t="inlineStr">
        <is>
          <t>同一価格表・次頁凡例を継承</t>
        </is>
      </c>
      <c r="L155" t="inlineStr">
        <is>
          <t>202604_LIXIL_サーモスＬ_業務用資料集_完成品価格表.pdf</t>
        </is>
      </c>
      <c r="M155" t="inlineStr">
        <is>
          <t>v0.6：同一価格表セクション内で凡例継承を確定。</t>
        </is>
      </c>
      <c r="N155" t="inlineStr">
        <is>
          <t>https://drive.google.com/file/d/1YUN-mtWYs48YBUHJk0C3vJXnhjyZFHyf/view</t>
        </is>
      </c>
    </row>
    <row r="156">
      <c r="A156" s="42" t="inlineStr">
        <is>
          <t>GSC-SL-000153</t>
        </is>
      </c>
      <c r="B156" t="inlineStr">
        <is>
          <t>SZ-SL-000153</t>
        </is>
      </c>
      <c r="C156" t="inlineStr">
        <is>
          <t>WT-SL-HIKICHIGAI</t>
        </is>
      </c>
      <c r="E156" t="inlineStr">
        <is>
          <t>18324</t>
        </is>
      </c>
      <c r="F156" t="b">
        <v>1</v>
      </c>
      <c r="G156" t="n">
        <v>20</v>
      </c>
      <c r="H156" t="inlineStr">
        <is>
          <t>☆</t>
        </is>
      </c>
      <c r="I156" t="n">
        <v>21</v>
      </c>
      <c r="J156" t="inlineStr">
        <is>
          <t>P21|☆</t>
        </is>
      </c>
      <c r="K156" t="inlineStr">
        <is>
          <t>同一価格表・次頁凡例を継承</t>
        </is>
      </c>
      <c r="L156" t="inlineStr">
        <is>
          <t>202604_LIXIL_サーモスＬ_業務用資料集_完成品価格表.pdf</t>
        </is>
      </c>
      <c r="M156" t="inlineStr">
        <is>
          <t>v0.6：同一価格表セクション内で凡例継承を確定。</t>
        </is>
      </c>
      <c r="N156" t="inlineStr">
        <is>
          <t>https://drive.google.com/file/d/1YUN-mtWYs48YBUHJk0C3vJXnhjyZFHyf/view</t>
        </is>
      </c>
    </row>
    <row r="157">
      <c r="A157" s="42" t="inlineStr">
        <is>
          <t>GSC-SL-000154</t>
        </is>
      </c>
      <c r="B157" t="inlineStr">
        <is>
          <t>SZ-SL-000154</t>
        </is>
      </c>
      <c r="C157" t="inlineStr">
        <is>
          <t>WT-SL-HIKICHIGAI</t>
        </is>
      </c>
      <c r="E157" t="inlineStr">
        <is>
          <t>18622</t>
        </is>
      </c>
      <c r="F157" t="b">
        <v>1</v>
      </c>
      <c r="G157" t="n">
        <v>20</v>
      </c>
      <c r="H157" t="inlineStr">
        <is>
          <t>★</t>
        </is>
      </c>
      <c r="I157" t="n">
        <v>21</v>
      </c>
      <c r="J157" t="inlineStr">
        <is>
          <t>P21|★</t>
        </is>
      </c>
      <c r="K157" t="inlineStr">
        <is>
          <t>同一価格表・次頁凡例を継承</t>
        </is>
      </c>
      <c r="L157" t="inlineStr">
        <is>
          <t>202604_LIXIL_サーモスＬ_業務用資料集_完成品価格表.pdf</t>
        </is>
      </c>
      <c r="M157" t="inlineStr">
        <is>
          <t>v0.6：同一価格表セクション内で凡例継承を確定。</t>
        </is>
      </c>
      <c r="N157" t="inlineStr">
        <is>
          <t>https://drive.google.com/file/d/1YUN-mtWYs48YBUHJk0C3vJXnhjyZFHyf/view</t>
        </is>
      </c>
    </row>
    <row r="158">
      <c r="A158" s="42" t="inlineStr">
        <is>
          <t>GSC-SL-000155</t>
        </is>
      </c>
      <c r="B158" t="inlineStr">
        <is>
          <t>SZ-SL-000155</t>
        </is>
      </c>
      <c r="C158" t="inlineStr">
        <is>
          <t>WT-SL-HIKICHIGAI</t>
        </is>
      </c>
      <c r="E158" t="inlineStr">
        <is>
          <t>18624</t>
        </is>
      </c>
      <c r="F158" t="b">
        <v>1</v>
      </c>
      <c r="G158" t="n">
        <v>20</v>
      </c>
      <c r="H158" t="inlineStr">
        <is>
          <t>☆</t>
        </is>
      </c>
      <c r="I158" t="n">
        <v>21</v>
      </c>
      <c r="J158" t="inlineStr">
        <is>
          <t>P21|☆</t>
        </is>
      </c>
      <c r="K158" t="inlineStr">
        <is>
          <t>同一価格表・次頁凡例を継承</t>
        </is>
      </c>
      <c r="L158" t="inlineStr">
        <is>
          <t>202604_LIXIL_サーモスＬ_業務用資料集_完成品価格表.pdf</t>
        </is>
      </c>
      <c r="M158" t="inlineStr">
        <is>
          <t>v0.6：同一価格表セクション内で凡例継承を確定。</t>
        </is>
      </c>
      <c r="N158" t="inlineStr">
        <is>
          <t>https://drive.google.com/file/d/1YUN-mtWYs48YBUHJk0C3vJXnhjyZFHyf/view</t>
        </is>
      </c>
    </row>
    <row r="159">
      <c r="A159" s="42" t="inlineStr">
        <is>
          <t>GSC-SL-000156</t>
        </is>
      </c>
      <c r="B159" t="inlineStr">
        <is>
          <t>SZ-SL-000156</t>
        </is>
      </c>
      <c r="C159" t="inlineStr">
        <is>
          <t>WT-SL-HIKICHIGAI</t>
        </is>
      </c>
      <c r="E159" t="inlineStr">
        <is>
          <t>25122-2</t>
        </is>
      </c>
      <c r="F159" t="b">
        <v>1</v>
      </c>
      <c r="G159" t="n">
        <v>20</v>
      </c>
      <c r="H159" t="inlineStr">
        <is>
          <t>◆</t>
        </is>
      </c>
      <c r="I159" t="n">
        <v>21</v>
      </c>
      <c r="J159" t="inlineStr">
        <is>
          <t>P21|◆</t>
        </is>
      </c>
      <c r="K159" t="inlineStr">
        <is>
          <t>同一価格表・次頁凡例を継承</t>
        </is>
      </c>
      <c r="L159" t="inlineStr">
        <is>
          <t>202604_LIXIL_サーモスＬ_業務用資料集_完成品価格表.pdf</t>
        </is>
      </c>
      <c r="M159" t="inlineStr">
        <is>
          <t>v0.6：同一価格表セクション内で凡例継承を確定。</t>
        </is>
      </c>
      <c r="N159" t="inlineStr">
        <is>
          <t>https://drive.google.com/file/d/1YUN-mtWYs48YBUHJk0C3vJXnhjyZFHyf/view</t>
        </is>
      </c>
    </row>
    <row r="160">
      <c r="A160" s="42" t="inlineStr">
        <is>
          <t>GSC-SL-000157</t>
        </is>
      </c>
      <c r="B160" t="inlineStr">
        <is>
          <t>SZ-SL-000157</t>
        </is>
      </c>
      <c r="C160" t="inlineStr">
        <is>
          <t>WT-SL-HIKICHIGAI</t>
        </is>
      </c>
      <c r="E160" t="inlineStr">
        <is>
          <t>25122-4</t>
        </is>
      </c>
      <c r="F160" t="b">
        <v>1</v>
      </c>
      <c r="G160" t="n">
        <v>20</v>
      </c>
      <c r="H160" t="inlineStr">
        <is>
          <t>★</t>
        </is>
      </c>
      <c r="I160" t="n">
        <v>21</v>
      </c>
      <c r="J160" t="inlineStr">
        <is>
          <t>P21|★</t>
        </is>
      </c>
      <c r="K160" t="inlineStr">
        <is>
          <t>同一価格表・次頁凡例を継承</t>
        </is>
      </c>
      <c r="L160" t="inlineStr">
        <is>
          <t>202604_LIXIL_サーモスＬ_業務用資料集_完成品価格表.pdf</t>
        </is>
      </c>
      <c r="M160" t="inlineStr">
        <is>
          <t>v0.6：同一価格表セクション内で凡例継承を確定。</t>
        </is>
      </c>
      <c r="N160" t="inlineStr">
        <is>
          <t>https://drive.google.com/file/d/1YUN-mtWYs48YBUHJk0C3vJXnhjyZFHyf/view</t>
        </is>
      </c>
    </row>
    <row r="161">
      <c r="A161" s="42" t="inlineStr">
        <is>
          <t>GSC-SL-000158</t>
        </is>
      </c>
      <c r="B161" t="inlineStr">
        <is>
          <t>SZ-SL-000158</t>
        </is>
      </c>
      <c r="C161" t="inlineStr">
        <is>
          <t>WT-SL-HIKICHIGAI</t>
        </is>
      </c>
      <c r="E161" t="inlineStr">
        <is>
          <t>25124-2</t>
        </is>
      </c>
      <c r="F161" t="b">
        <v>1</v>
      </c>
      <c r="G161" t="n">
        <v>20</v>
      </c>
      <c r="H161" t="inlineStr">
        <is>
          <t>●</t>
        </is>
      </c>
      <c r="I161" t="n">
        <v>21</v>
      </c>
      <c r="J161" t="inlineStr">
        <is>
          <t>P21|●</t>
        </is>
      </c>
      <c r="K161" t="inlineStr">
        <is>
          <t>同一価格表・次頁凡例を継承</t>
        </is>
      </c>
      <c r="L161" t="inlineStr">
        <is>
          <t>202604_LIXIL_サーモスＬ_業務用資料集_完成品価格表.pdf</t>
        </is>
      </c>
      <c r="M161" t="inlineStr">
        <is>
          <t>v0.6：同一価格表セクション内で凡例継承を確定。</t>
        </is>
      </c>
      <c r="N161" t="inlineStr">
        <is>
          <t>https://drive.google.com/file/d/1YUN-mtWYs48YBUHJk0C3vJXnhjyZFHyf/view</t>
        </is>
      </c>
    </row>
    <row r="162">
      <c r="A162" s="42" t="inlineStr">
        <is>
          <t>GSC-SL-000159</t>
        </is>
      </c>
      <c r="B162" t="inlineStr">
        <is>
          <t>SZ-SL-000159</t>
        </is>
      </c>
      <c r="C162" t="inlineStr">
        <is>
          <t>WT-SL-HIKICHIGAI</t>
        </is>
      </c>
      <c r="E162" t="inlineStr">
        <is>
          <t>25124-4</t>
        </is>
      </c>
      <c r="F162" t="b">
        <v>1</v>
      </c>
      <c r="G162" t="n">
        <v>20</v>
      </c>
      <c r="H162" t="inlineStr">
        <is>
          <t>★</t>
        </is>
      </c>
      <c r="I162" t="n">
        <v>21</v>
      </c>
      <c r="J162" t="inlineStr">
        <is>
          <t>P21|★</t>
        </is>
      </c>
      <c r="K162" t="inlineStr">
        <is>
          <t>同一価格表・次頁凡例を継承</t>
        </is>
      </c>
      <c r="L162" t="inlineStr">
        <is>
          <t>202604_LIXIL_サーモスＬ_業務用資料集_完成品価格表.pdf</t>
        </is>
      </c>
      <c r="M162" t="inlineStr">
        <is>
          <t>v0.6：同一価格表セクション内で凡例継承を確定。</t>
        </is>
      </c>
      <c r="N162" t="inlineStr">
        <is>
          <t>https://drive.google.com/file/d/1YUN-mtWYs48YBUHJk0C3vJXnhjyZFHyf/view</t>
        </is>
      </c>
    </row>
    <row r="163">
      <c r="A163" s="42" t="inlineStr">
        <is>
          <t>GSC-SL-000160</t>
        </is>
      </c>
      <c r="B163" t="inlineStr">
        <is>
          <t>SZ-SL-000160</t>
        </is>
      </c>
      <c r="C163" t="inlineStr">
        <is>
          <t>WT-SL-HIKICHIGAI</t>
        </is>
      </c>
      <c r="E163" t="inlineStr">
        <is>
          <t>25622-2</t>
        </is>
      </c>
      <c r="F163" t="b">
        <v>1</v>
      </c>
      <c r="G163" t="n">
        <v>21</v>
      </c>
      <c r="H163" t="inlineStr">
        <is>
          <t>◆</t>
        </is>
      </c>
      <c r="I163" t="n">
        <v>21</v>
      </c>
      <c r="J163" t="inlineStr">
        <is>
          <t>P21|◆</t>
        </is>
      </c>
      <c r="K163" t="inlineStr">
        <is>
          <t>同頁凡例へ直接連動</t>
        </is>
      </c>
      <c r="L163" t="inlineStr">
        <is>
          <t>202604_LIXIL_サーモスＬ_業務用資料集_完成品価格表.pdf</t>
        </is>
      </c>
      <c r="M163" t="inlineStr">
        <is>
          <t>v0.6：同一価格表セクション内で凡例継承を確定。</t>
        </is>
      </c>
      <c r="N163" t="inlineStr">
        <is>
          <t>https://drive.google.com/file/d/1YUN-mtWYs48YBUHJk0C3vJXnhjyZFHyf/view</t>
        </is>
      </c>
    </row>
    <row r="164">
      <c r="A164" s="42" t="inlineStr">
        <is>
          <t>GSC-SL-000161</t>
        </is>
      </c>
      <c r="B164" t="inlineStr">
        <is>
          <t>SZ-SL-000161</t>
        </is>
      </c>
      <c r="C164" t="inlineStr">
        <is>
          <t>WT-SL-HIKICHIGAI</t>
        </is>
      </c>
      <c r="E164" t="inlineStr">
        <is>
          <t>25622-4</t>
        </is>
      </c>
      <c r="F164" t="b">
        <v>1</v>
      </c>
      <c r="G164" t="n">
        <v>21</v>
      </c>
      <c r="H164" t="inlineStr">
        <is>
          <t>★</t>
        </is>
      </c>
      <c r="I164" t="n">
        <v>21</v>
      </c>
      <c r="J164" t="inlineStr">
        <is>
          <t>P21|★</t>
        </is>
      </c>
      <c r="K164" t="inlineStr">
        <is>
          <t>同頁凡例へ直接連動</t>
        </is>
      </c>
      <c r="L164" t="inlineStr">
        <is>
          <t>202604_LIXIL_サーモスＬ_業務用資料集_完成品価格表.pdf</t>
        </is>
      </c>
      <c r="M164" t="inlineStr">
        <is>
          <t>v0.6：同一価格表セクション内で凡例継承を確定。</t>
        </is>
      </c>
      <c r="N164" t="inlineStr">
        <is>
          <t>https://drive.google.com/file/d/1YUN-mtWYs48YBUHJk0C3vJXnhjyZFHyf/view</t>
        </is>
      </c>
    </row>
    <row r="165">
      <c r="A165" s="42" t="inlineStr">
        <is>
          <t>GSC-SL-000162</t>
        </is>
      </c>
      <c r="B165" t="inlineStr">
        <is>
          <t>SZ-SL-000162</t>
        </is>
      </c>
      <c r="C165" t="inlineStr">
        <is>
          <t>WT-SL-HIKICHIGAI</t>
        </is>
      </c>
      <c r="E165" t="inlineStr">
        <is>
          <t>25624-2</t>
        </is>
      </c>
      <c r="F165" t="b">
        <v>1</v>
      </c>
      <c r="G165" t="n">
        <v>21</v>
      </c>
      <c r="H165" t="inlineStr">
        <is>
          <t>●</t>
        </is>
      </c>
      <c r="I165" t="n">
        <v>21</v>
      </c>
      <c r="J165" t="inlineStr">
        <is>
          <t>P21|●</t>
        </is>
      </c>
      <c r="K165" t="inlineStr">
        <is>
          <t>同頁凡例へ直接連動</t>
        </is>
      </c>
      <c r="L165" t="inlineStr">
        <is>
          <t>202604_LIXIL_サーモスＬ_業務用資料集_完成品価格表.pdf</t>
        </is>
      </c>
      <c r="M165" t="inlineStr">
        <is>
          <t>v0.6：同一価格表セクション内で凡例継承を確定。</t>
        </is>
      </c>
      <c r="N165" t="inlineStr">
        <is>
          <t>https://drive.google.com/file/d/1YUN-mtWYs48YBUHJk0C3vJXnhjyZFHyf/view</t>
        </is>
      </c>
    </row>
    <row r="166">
      <c r="A166" s="42" t="inlineStr">
        <is>
          <t>GSC-SL-000163</t>
        </is>
      </c>
      <c r="B166" t="inlineStr">
        <is>
          <t>SZ-SL-000163</t>
        </is>
      </c>
      <c r="C166" t="inlineStr">
        <is>
          <t>WT-SL-HIKICHIGAI</t>
        </is>
      </c>
      <c r="E166" t="inlineStr">
        <is>
          <t>25624-4</t>
        </is>
      </c>
      <c r="F166" t="b">
        <v>1</v>
      </c>
      <c r="G166" t="n">
        <v>21</v>
      </c>
      <c r="H166" t="inlineStr">
        <is>
          <t>★</t>
        </is>
      </c>
      <c r="I166" t="n">
        <v>21</v>
      </c>
      <c r="J166" t="inlineStr">
        <is>
          <t>P21|★</t>
        </is>
      </c>
      <c r="K166" t="inlineStr">
        <is>
          <t>同頁凡例へ直接連動</t>
        </is>
      </c>
      <c r="L166" t="inlineStr">
        <is>
          <t>202604_LIXIL_サーモスＬ_業務用資料集_完成品価格表.pdf</t>
        </is>
      </c>
      <c r="M166" t="inlineStr">
        <is>
          <t>v0.6：同一価格表セクション内で凡例継承を確定。</t>
        </is>
      </c>
      <c r="N166" t="inlineStr">
        <is>
          <t>https://drive.google.com/file/d/1YUN-mtWYs48YBUHJk0C3vJXnhjyZFHyf/view</t>
        </is>
      </c>
    </row>
    <row r="167">
      <c r="A167" s="42" t="inlineStr">
        <is>
          <t>GSC-SL-000164</t>
        </is>
      </c>
      <c r="B167" t="inlineStr">
        <is>
          <t>SZ-SL-000164</t>
        </is>
      </c>
      <c r="C167" t="inlineStr">
        <is>
          <t>WT-SL-HIKICHIGAI</t>
        </is>
      </c>
      <c r="E167" t="inlineStr">
        <is>
          <t>34722</t>
        </is>
      </c>
      <c r="F167" t="b">
        <v>1</v>
      </c>
      <c r="G167" t="n">
        <v>21</v>
      </c>
      <c r="H167" t="inlineStr">
        <is>
          <t>★</t>
        </is>
      </c>
      <c r="I167" t="n">
        <v>21</v>
      </c>
      <c r="J167" t="inlineStr">
        <is>
          <t>P21|★</t>
        </is>
      </c>
      <c r="K167" t="inlineStr">
        <is>
          <t>同頁凡例へ直接連動</t>
        </is>
      </c>
      <c r="L167" t="inlineStr">
        <is>
          <t>202604_LIXIL_サーモスＬ_業務用資料集_完成品価格表.pdf</t>
        </is>
      </c>
      <c r="M167" t="inlineStr">
        <is>
          <t>v0.6：同一価格表セクション内で凡例継承を確定。</t>
        </is>
      </c>
      <c r="N167" t="inlineStr">
        <is>
          <t>https://drive.google.com/file/d/1YUN-mtWYs48YBUHJk0C3vJXnhjyZFHyf/view</t>
        </is>
      </c>
    </row>
    <row r="168">
      <c r="A168" s="42" t="inlineStr">
        <is>
          <t>GSC-SL-000165</t>
        </is>
      </c>
      <c r="B168" t="inlineStr">
        <is>
          <t>SZ-SL-000165</t>
        </is>
      </c>
      <c r="C168" t="inlineStr">
        <is>
          <t>WT-SL-HIKICHIGAI</t>
        </is>
      </c>
      <c r="E168" t="inlineStr">
        <is>
          <t>34724</t>
        </is>
      </c>
      <c r="F168" t="b">
        <v>1</v>
      </c>
      <c r="G168" t="n">
        <v>21</v>
      </c>
      <c r="H168" t="inlineStr">
        <is>
          <t>◇</t>
        </is>
      </c>
      <c r="I168" t="n">
        <v>21</v>
      </c>
      <c r="J168" t="inlineStr">
        <is>
          <t>P21|◇</t>
        </is>
      </c>
      <c r="K168" t="inlineStr">
        <is>
          <t>同頁凡例へ直接連動</t>
        </is>
      </c>
      <c r="L168" t="inlineStr">
        <is>
          <t>202604_LIXIL_サーモスＬ_業務用資料集_完成品価格表.pdf</t>
        </is>
      </c>
      <c r="M168" t="inlineStr">
        <is>
          <t>v0.6：同一価格表セクション内で凡例継承を確定。</t>
        </is>
      </c>
      <c r="N168" t="inlineStr">
        <is>
          <t>https://drive.google.com/file/d/1YUN-mtWYs48YBUHJk0C3vJXnhjyZFHyf/view</t>
        </is>
      </c>
    </row>
    <row r="169">
      <c r="A169" s="42" t="inlineStr">
        <is>
          <t>GSC-SL-000166</t>
        </is>
      </c>
      <c r="B169" t="inlineStr">
        <is>
          <t>SZ-SL-000166</t>
        </is>
      </c>
      <c r="C169" t="inlineStr">
        <is>
          <t>WT-SL-HIKICHIGAI</t>
        </is>
      </c>
      <c r="E169" t="inlineStr">
        <is>
          <t>24318-2</t>
        </is>
      </c>
      <c r="F169" t="b">
        <v>1</v>
      </c>
      <c r="G169" t="n">
        <v>22</v>
      </c>
      <c r="H169" t="inlineStr">
        <is>
          <t>☆</t>
        </is>
      </c>
      <c r="I169" t="n">
        <v>22</v>
      </c>
      <c r="J169" t="inlineStr">
        <is>
          <t>P22|☆</t>
        </is>
      </c>
      <c r="K169" t="inlineStr">
        <is>
          <t>同頁凡例へ直接連動</t>
        </is>
      </c>
      <c r="L169" t="inlineStr">
        <is>
          <t>202604_LIXIL_サーモスＬ_業務用資料集_完成品価格表.pdf</t>
        </is>
      </c>
      <c r="M169" t="inlineStr">
        <is>
          <t>v0.6：同一価格表セクション内で凡例継承を確定。</t>
        </is>
      </c>
      <c r="N169" t="inlineStr">
        <is>
          <t>https://drive.google.com/file/d/1YUN-mtWYs48YBUHJk0C3vJXnhjyZFHyf/view</t>
        </is>
      </c>
    </row>
    <row r="170">
      <c r="A170" s="42" t="inlineStr">
        <is>
          <t>GSC-SL-000167</t>
        </is>
      </c>
      <c r="B170" t="inlineStr">
        <is>
          <t>SZ-SL-000167</t>
        </is>
      </c>
      <c r="C170" t="inlineStr">
        <is>
          <t>WT-SL-HIKICHIGAI</t>
        </is>
      </c>
      <c r="E170" t="inlineStr">
        <is>
          <t>24320-2</t>
        </is>
      </c>
      <c r="F170" t="b">
        <v>1</v>
      </c>
      <c r="G170" t="n">
        <v>22</v>
      </c>
      <c r="H170" t="inlineStr">
        <is>
          <t>◆</t>
        </is>
      </c>
      <c r="I170" t="n">
        <v>22</v>
      </c>
      <c r="J170" t="inlineStr">
        <is>
          <t>P22|◆</t>
        </is>
      </c>
      <c r="K170" t="inlineStr">
        <is>
          <t>同頁凡例へ直接連動</t>
        </is>
      </c>
      <c r="L170" t="inlineStr">
        <is>
          <t>202604_LIXIL_サーモスＬ_業務用資料集_完成品価格表.pdf</t>
        </is>
      </c>
      <c r="M170" t="inlineStr">
        <is>
          <t>v0.6：同一価格表セクション内で凡例継承を確定。</t>
        </is>
      </c>
      <c r="N170" t="inlineStr">
        <is>
          <t>https://drive.google.com/file/d/1YUN-mtWYs48YBUHJk0C3vJXnhjyZFHyf/view</t>
        </is>
      </c>
    </row>
    <row r="171">
      <c r="A171" s="42" t="inlineStr">
        <is>
          <t>GSC-SL-000168</t>
        </is>
      </c>
      <c r="B171" t="inlineStr">
        <is>
          <t>SZ-SL-000168</t>
        </is>
      </c>
      <c r="C171" t="inlineStr">
        <is>
          <t>WT-SL-HIKICHIGAI</t>
        </is>
      </c>
      <c r="E171" t="inlineStr">
        <is>
          <t>24322-2</t>
        </is>
      </c>
      <c r="F171" t="b">
        <v>1</v>
      </c>
      <c r="G171" t="n">
        <v>24</v>
      </c>
      <c r="H171" t="inlineStr">
        <is>
          <t>◆</t>
        </is>
      </c>
      <c r="I171" t="n">
        <v>24</v>
      </c>
      <c r="J171" t="inlineStr">
        <is>
          <t>P24|◆</t>
        </is>
      </c>
      <c r="K171" t="inlineStr">
        <is>
          <t>同頁凡例へ直接連動</t>
        </is>
      </c>
      <c r="L171" t="inlineStr">
        <is>
          <t>202604_LIXIL_サーモスＬ_業務用資料集_完成品価格表.pdf</t>
        </is>
      </c>
      <c r="M171" t="inlineStr">
        <is>
          <t>v0.6：同一価格表セクション内で凡例継承を確定。</t>
        </is>
      </c>
      <c r="N171" t="inlineStr">
        <is>
          <t>https://drive.google.com/file/d/1YUN-mtWYs48YBUHJk0C3vJXnhjyZFHyf/view</t>
        </is>
      </c>
    </row>
    <row r="172">
      <c r="A172" s="42" t="inlineStr">
        <is>
          <t>GSC-SL-000169</t>
        </is>
      </c>
      <c r="B172" t="inlineStr">
        <is>
          <t>SZ-SL-000169</t>
        </is>
      </c>
      <c r="C172" t="inlineStr">
        <is>
          <t>WT-SL-HIKICHIGAI</t>
        </is>
      </c>
      <c r="E172" t="inlineStr">
        <is>
          <t>24324-2</t>
        </is>
      </c>
      <c r="F172" t="b">
        <v>1</v>
      </c>
      <c r="G172" t="n">
        <v>24</v>
      </c>
      <c r="H172" t="inlineStr">
        <is>
          <t>●</t>
        </is>
      </c>
      <c r="I172" t="n">
        <v>24</v>
      </c>
      <c r="J172" t="inlineStr">
        <is>
          <t>P24|●</t>
        </is>
      </c>
      <c r="K172" t="inlineStr">
        <is>
          <t>同頁凡例へ直接連動</t>
        </is>
      </c>
      <c r="L172" t="inlineStr">
        <is>
          <t>202604_LIXIL_サーモスＬ_業務用資料集_完成品価格表.pdf</t>
        </is>
      </c>
      <c r="M172" t="inlineStr">
        <is>
          <t>v0.6：同一価格表セクション内で凡例継承を確定。</t>
        </is>
      </c>
      <c r="N172" t="inlineStr">
        <is>
          <t>https://drive.google.com/file/d/1YUN-mtWYs48YBUHJk0C3vJXnhjyZFHyf/view</t>
        </is>
      </c>
    </row>
    <row r="173">
      <c r="A173" s="42" t="inlineStr">
        <is>
          <t>GSC-SL-000170</t>
        </is>
      </c>
      <c r="B173" t="inlineStr">
        <is>
          <t>SZ-SL-000170</t>
        </is>
      </c>
      <c r="C173" t="inlineStr">
        <is>
          <t>WT-SL-SHUTTER-HIKI</t>
        </is>
      </c>
      <c r="D173" t="inlineStr">
        <is>
          <t>SP-SL-SHUT-E-STD</t>
        </is>
      </c>
      <c r="E173" t="inlineStr">
        <is>
          <t>11409</t>
        </is>
      </c>
      <c r="F173" t="b">
        <v>1</v>
      </c>
      <c r="G173" t="n">
        <v>30</v>
      </c>
      <c r="H173" t="inlineStr">
        <is>
          <t>無印</t>
        </is>
      </c>
      <c r="I173" t="n">
        <v>30</v>
      </c>
      <c r="J173" t="inlineStr">
        <is>
          <t>P30|無印</t>
        </is>
      </c>
      <c r="K173" t="inlineStr">
        <is>
          <t>同頁凡例へ直接連動</t>
        </is>
      </c>
      <c r="L173" t="inlineStr">
        <is>
          <t>202604_LIXIL_サーモスＬ_業務用資料集_完成品価格表.pdf</t>
        </is>
      </c>
      <c r="M173" t="inlineStr">
        <is>
          <t>v0.6：同一価格表セクション内で凡例継承を確定。</t>
        </is>
      </c>
      <c r="N173" t="inlineStr">
        <is>
          <t>https://drive.google.com/file/d/1YUN-mtWYs48YBUHJk0C3vJXnhjyZFHyf/view</t>
        </is>
      </c>
    </row>
    <row r="174">
      <c r="A174" s="42" t="inlineStr">
        <is>
          <t>GSC-SL-000171</t>
        </is>
      </c>
      <c r="B174" t="inlineStr">
        <is>
          <t>SZ-SL-000171</t>
        </is>
      </c>
      <c r="C174" t="inlineStr">
        <is>
          <t>WT-SL-SHUTTER-HIKI</t>
        </is>
      </c>
      <c r="D174" t="inlineStr">
        <is>
          <t>SP-SL-SHUT-E-STD</t>
        </is>
      </c>
      <c r="E174" t="inlineStr">
        <is>
          <t>11411</t>
        </is>
      </c>
      <c r="F174" t="b">
        <v>1</v>
      </c>
      <c r="G174" t="n">
        <v>30</v>
      </c>
      <c r="H174" t="inlineStr">
        <is>
          <t>無印</t>
        </is>
      </c>
      <c r="I174" t="n">
        <v>30</v>
      </c>
      <c r="J174" t="inlineStr">
        <is>
          <t>P30|無印</t>
        </is>
      </c>
      <c r="K174" t="inlineStr">
        <is>
          <t>同頁凡例へ直接連動</t>
        </is>
      </c>
      <c r="L174" t="inlineStr">
        <is>
          <t>202604_LIXIL_サーモスＬ_業務用資料集_完成品価格表.pdf</t>
        </is>
      </c>
      <c r="M174" t="inlineStr">
        <is>
          <t>v0.6：同一価格表セクション内で凡例継承を確定。</t>
        </is>
      </c>
      <c r="N174" t="inlineStr">
        <is>
          <t>https://drive.google.com/file/d/1YUN-mtWYs48YBUHJk0C3vJXnhjyZFHyf/view</t>
        </is>
      </c>
    </row>
    <row r="175">
      <c r="A175" s="42" t="inlineStr">
        <is>
          <t>GSC-SL-000172</t>
        </is>
      </c>
      <c r="B175" t="inlineStr">
        <is>
          <t>SZ-SL-000172</t>
        </is>
      </c>
      <c r="C175" t="inlineStr">
        <is>
          <t>WT-SL-SHUTTER-HIKI</t>
        </is>
      </c>
      <c r="D175" t="inlineStr">
        <is>
          <t>SP-SL-SHUT-E-STD</t>
        </is>
      </c>
      <c r="E175" t="inlineStr">
        <is>
          <t>11909</t>
        </is>
      </c>
      <c r="F175" t="b">
        <v>1</v>
      </c>
      <c r="G175" t="n">
        <v>30</v>
      </c>
      <c r="H175" t="inlineStr">
        <is>
          <t>無印</t>
        </is>
      </c>
      <c r="I175" t="n">
        <v>30</v>
      </c>
      <c r="J175" t="inlineStr">
        <is>
          <t>P30|無印</t>
        </is>
      </c>
      <c r="K175" t="inlineStr">
        <is>
          <t>同頁凡例へ直接連動</t>
        </is>
      </c>
      <c r="L175" t="inlineStr">
        <is>
          <t>202604_LIXIL_サーモスＬ_業務用資料集_完成品価格表.pdf</t>
        </is>
      </c>
      <c r="M175" t="inlineStr">
        <is>
          <t>v0.6：同一価格表セクション内で凡例継承を確定。</t>
        </is>
      </c>
      <c r="N175" t="inlineStr">
        <is>
          <t>https://drive.google.com/file/d/1YUN-mtWYs48YBUHJk0C3vJXnhjyZFHyf/view</t>
        </is>
      </c>
    </row>
    <row r="176">
      <c r="A176" s="42" t="inlineStr">
        <is>
          <t>GSC-SL-000173</t>
        </is>
      </c>
      <c r="B176" t="inlineStr">
        <is>
          <t>SZ-SL-000173</t>
        </is>
      </c>
      <c r="C176" t="inlineStr">
        <is>
          <t>WT-SL-SHUTTER-HIKI</t>
        </is>
      </c>
      <c r="D176" t="inlineStr">
        <is>
          <t>SP-SL-SHUT-E-STD</t>
        </is>
      </c>
      <c r="E176" t="inlineStr">
        <is>
          <t>11911</t>
        </is>
      </c>
      <c r="F176" t="b">
        <v>1</v>
      </c>
      <c r="G176" t="n">
        <v>30</v>
      </c>
      <c r="H176" t="inlineStr">
        <is>
          <t>無印</t>
        </is>
      </c>
      <c r="I176" t="n">
        <v>30</v>
      </c>
      <c r="J176" t="inlineStr">
        <is>
          <t>P30|無印</t>
        </is>
      </c>
      <c r="K176" t="inlineStr">
        <is>
          <t>同頁凡例へ直接連動</t>
        </is>
      </c>
      <c r="L176" t="inlineStr">
        <is>
          <t>202604_LIXIL_サーモスＬ_業務用資料集_完成品価格表.pdf</t>
        </is>
      </c>
      <c r="M176" t="inlineStr">
        <is>
          <t>v0.6：同一価格表セクション内で凡例継承を確定。</t>
        </is>
      </c>
      <c r="N176" t="inlineStr">
        <is>
          <t>https://drive.google.com/file/d/1YUN-mtWYs48YBUHJk0C3vJXnhjyZFHyf/view</t>
        </is>
      </c>
    </row>
    <row r="177">
      <c r="A177" s="42" t="inlineStr">
        <is>
          <t>GSC-SL-000174</t>
        </is>
      </c>
      <c r="B177" t="inlineStr">
        <is>
          <t>SZ-SL-000174</t>
        </is>
      </c>
      <c r="C177" t="inlineStr">
        <is>
          <t>WT-SL-SHUTTER-HIKI</t>
        </is>
      </c>
      <c r="D177" t="inlineStr">
        <is>
          <t>SP-SL-SHUT-E-STD</t>
        </is>
      </c>
      <c r="E177" t="inlineStr">
        <is>
          <t>12809</t>
        </is>
      </c>
      <c r="F177" t="b">
        <v>1</v>
      </c>
      <c r="G177" t="n">
        <v>30</v>
      </c>
      <c r="H177" t="inlineStr">
        <is>
          <t>無印</t>
        </is>
      </c>
      <c r="I177" t="n">
        <v>30</v>
      </c>
      <c r="J177" t="inlineStr">
        <is>
          <t>P30|無印</t>
        </is>
      </c>
      <c r="K177" t="inlineStr">
        <is>
          <t>同頁凡例へ直接連動</t>
        </is>
      </c>
      <c r="L177" t="inlineStr">
        <is>
          <t>202604_LIXIL_サーモスＬ_業務用資料集_完成品価格表.pdf</t>
        </is>
      </c>
      <c r="M177" t="inlineStr">
        <is>
          <t>v0.6：同一価格表セクション内で凡例継承を確定。</t>
        </is>
      </c>
      <c r="N177" t="inlineStr">
        <is>
          <t>https://drive.google.com/file/d/1YUN-mtWYs48YBUHJk0C3vJXnhjyZFHyf/view</t>
        </is>
      </c>
    </row>
    <row r="178">
      <c r="A178" s="42" t="inlineStr">
        <is>
          <t>GSC-SL-000175</t>
        </is>
      </c>
      <c r="B178" t="inlineStr">
        <is>
          <t>SZ-SL-000175</t>
        </is>
      </c>
      <c r="C178" t="inlineStr">
        <is>
          <t>WT-SL-SHUTTER-HIKI</t>
        </is>
      </c>
      <c r="D178" t="inlineStr">
        <is>
          <t>SP-SL-SHUT-E-STD</t>
        </is>
      </c>
      <c r="E178" t="inlineStr">
        <is>
          <t>12811</t>
        </is>
      </c>
      <c r="F178" t="b">
        <v>1</v>
      </c>
      <c r="G178" t="n">
        <v>30</v>
      </c>
      <c r="H178" t="inlineStr">
        <is>
          <t>無印</t>
        </is>
      </c>
      <c r="I178" t="n">
        <v>30</v>
      </c>
      <c r="J178" t="inlineStr">
        <is>
          <t>P30|無印</t>
        </is>
      </c>
      <c r="K178" t="inlineStr">
        <is>
          <t>同頁凡例へ直接連動</t>
        </is>
      </c>
      <c r="L178" t="inlineStr">
        <is>
          <t>202604_LIXIL_サーモスＬ_業務用資料集_完成品価格表.pdf</t>
        </is>
      </c>
      <c r="M178" t="inlineStr">
        <is>
          <t>v0.6：同一価格表セクション内で凡例継承を確定。</t>
        </is>
      </c>
      <c r="N178" t="inlineStr">
        <is>
          <t>https://drive.google.com/file/d/1YUN-mtWYs48YBUHJk0C3vJXnhjyZFHyf/view</t>
        </is>
      </c>
    </row>
    <row r="179">
      <c r="A179" s="42" t="inlineStr">
        <is>
          <t>GSC-SL-000176</t>
        </is>
      </c>
      <c r="B179" t="inlineStr">
        <is>
          <t>SZ-SL-000176</t>
        </is>
      </c>
      <c r="C179" t="inlineStr">
        <is>
          <t>WT-SL-SHUTTER-HIKI</t>
        </is>
      </c>
      <c r="D179" t="inlineStr">
        <is>
          <t>SP-SL-SHUT-E-STD</t>
        </is>
      </c>
      <c r="E179" t="inlineStr">
        <is>
          <t>13309</t>
        </is>
      </c>
      <c r="F179" t="b">
        <v>1</v>
      </c>
      <c r="G179" t="n">
        <v>30</v>
      </c>
      <c r="H179" t="inlineStr">
        <is>
          <t>無印</t>
        </is>
      </c>
      <c r="I179" t="n">
        <v>30</v>
      </c>
      <c r="J179" t="inlineStr">
        <is>
          <t>P30|無印</t>
        </is>
      </c>
      <c r="K179" t="inlineStr">
        <is>
          <t>同頁凡例へ直接連動</t>
        </is>
      </c>
      <c r="L179" t="inlineStr">
        <is>
          <t>202604_LIXIL_サーモスＬ_業務用資料集_完成品価格表.pdf</t>
        </is>
      </c>
      <c r="M179" t="inlineStr">
        <is>
          <t>v0.6：同一価格表セクション内で凡例継承を確定。</t>
        </is>
      </c>
      <c r="N179" t="inlineStr">
        <is>
          <t>https://drive.google.com/file/d/1YUN-mtWYs48YBUHJk0C3vJXnhjyZFHyf/view</t>
        </is>
      </c>
    </row>
    <row r="180">
      <c r="A180" s="42" t="inlineStr">
        <is>
          <t>GSC-SL-000177</t>
        </is>
      </c>
      <c r="B180" t="inlineStr">
        <is>
          <t>SZ-SL-000177</t>
        </is>
      </c>
      <c r="C180" t="inlineStr">
        <is>
          <t>WT-SL-SHUTTER-HIKI</t>
        </is>
      </c>
      <c r="D180" t="inlineStr">
        <is>
          <t>SP-SL-SHUT-E-STD</t>
        </is>
      </c>
      <c r="E180" t="inlineStr">
        <is>
          <t>13311</t>
        </is>
      </c>
      <c r="F180" t="b">
        <v>1</v>
      </c>
      <c r="G180" t="n">
        <v>30</v>
      </c>
      <c r="H180" t="inlineStr">
        <is>
          <t>無印</t>
        </is>
      </c>
      <c r="I180" t="n">
        <v>30</v>
      </c>
      <c r="J180" t="inlineStr">
        <is>
          <t>P30|無印</t>
        </is>
      </c>
      <c r="K180" t="inlineStr">
        <is>
          <t>同頁凡例へ直接連動</t>
        </is>
      </c>
      <c r="L180" t="inlineStr">
        <is>
          <t>202604_LIXIL_サーモスＬ_業務用資料集_完成品価格表.pdf</t>
        </is>
      </c>
      <c r="M180" t="inlineStr">
        <is>
          <t>v0.6：同一価格表セクション内で凡例継承を確定。</t>
        </is>
      </c>
      <c r="N180" t="inlineStr">
        <is>
          <t>https://drive.google.com/file/d/1YUN-mtWYs48YBUHJk0C3vJXnhjyZFHyf/view</t>
        </is>
      </c>
    </row>
    <row r="181">
      <c r="A181" s="42" t="inlineStr">
        <is>
          <t>GSC-SL-000178</t>
        </is>
      </c>
      <c r="B181" t="inlineStr">
        <is>
          <t>SZ-SL-000178</t>
        </is>
      </c>
      <c r="C181" t="inlineStr">
        <is>
          <t>WT-SL-SHUTTER-HIKI</t>
        </is>
      </c>
      <c r="D181" t="inlineStr">
        <is>
          <t>SP-SL-SHUT-E-VENT</t>
        </is>
      </c>
      <c r="E181" t="inlineStr">
        <is>
          <t>11409</t>
        </is>
      </c>
      <c r="F181" t="b">
        <v>1</v>
      </c>
      <c r="G181" t="n">
        <v>30</v>
      </c>
      <c r="H181" t="inlineStr">
        <is>
          <t>無印</t>
        </is>
      </c>
      <c r="I181" t="n">
        <v>30</v>
      </c>
      <c r="J181" t="inlineStr">
        <is>
          <t>P30|無印</t>
        </is>
      </c>
      <c r="K181" t="inlineStr">
        <is>
          <t>同頁凡例へ直接連動</t>
        </is>
      </c>
      <c r="L181" t="inlineStr">
        <is>
          <t>202604_LIXIL_サーモスＬ_業務用資料集_完成品価格表.pdf</t>
        </is>
      </c>
      <c r="M181" t="inlineStr">
        <is>
          <t>v0.6：同一価格表セクション内で凡例継承を確定。</t>
        </is>
      </c>
      <c r="N181" t="inlineStr">
        <is>
          <t>https://drive.google.com/file/d/1YUN-mtWYs48YBUHJk0C3vJXnhjyZFHyf/view</t>
        </is>
      </c>
    </row>
    <row r="182">
      <c r="A182" s="42" t="inlineStr">
        <is>
          <t>GSC-SL-000179</t>
        </is>
      </c>
      <c r="B182" t="inlineStr">
        <is>
          <t>SZ-SL-000179</t>
        </is>
      </c>
      <c r="C182" t="inlineStr">
        <is>
          <t>WT-SL-SHUTTER-HIKI</t>
        </is>
      </c>
      <c r="D182" t="inlineStr">
        <is>
          <t>SP-SL-SHUT-E-VENT</t>
        </is>
      </c>
      <c r="E182" t="inlineStr">
        <is>
          <t>11411</t>
        </is>
      </c>
      <c r="F182" t="b">
        <v>1</v>
      </c>
      <c r="G182" t="n">
        <v>30</v>
      </c>
      <c r="H182" t="inlineStr">
        <is>
          <t>無印</t>
        </is>
      </c>
      <c r="I182" t="n">
        <v>30</v>
      </c>
      <c r="J182" t="inlineStr">
        <is>
          <t>P30|無印</t>
        </is>
      </c>
      <c r="K182" t="inlineStr">
        <is>
          <t>同頁凡例へ直接連動</t>
        </is>
      </c>
      <c r="L182" t="inlineStr">
        <is>
          <t>202604_LIXIL_サーモスＬ_業務用資料集_完成品価格表.pdf</t>
        </is>
      </c>
      <c r="M182" t="inlineStr">
        <is>
          <t>v0.6：同一価格表セクション内で凡例継承を確定。</t>
        </is>
      </c>
      <c r="N182" t="inlineStr">
        <is>
          <t>https://drive.google.com/file/d/1YUN-mtWYs48YBUHJk0C3vJXnhjyZFHyf/view</t>
        </is>
      </c>
    </row>
    <row r="183">
      <c r="A183" s="42" t="inlineStr">
        <is>
          <t>GSC-SL-000180</t>
        </is>
      </c>
      <c r="B183" t="inlineStr">
        <is>
          <t>SZ-SL-000180</t>
        </is>
      </c>
      <c r="C183" t="inlineStr">
        <is>
          <t>WT-SL-SHUTTER-HIKI</t>
        </is>
      </c>
      <c r="D183" t="inlineStr">
        <is>
          <t>SP-SL-SHUT-E-VENT</t>
        </is>
      </c>
      <c r="E183" t="inlineStr">
        <is>
          <t>11909</t>
        </is>
      </c>
      <c r="F183" t="b">
        <v>1</v>
      </c>
      <c r="G183" t="n">
        <v>30</v>
      </c>
      <c r="H183" t="inlineStr">
        <is>
          <t>無印</t>
        </is>
      </c>
      <c r="I183" t="n">
        <v>30</v>
      </c>
      <c r="J183" t="inlineStr">
        <is>
          <t>P30|無印</t>
        </is>
      </c>
      <c r="K183" t="inlineStr">
        <is>
          <t>同頁凡例へ直接連動</t>
        </is>
      </c>
      <c r="L183" t="inlineStr">
        <is>
          <t>202604_LIXIL_サーモスＬ_業務用資料集_完成品価格表.pdf</t>
        </is>
      </c>
      <c r="M183" t="inlineStr">
        <is>
          <t>v0.6：同一価格表セクション内で凡例継承を確定。</t>
        </is>
      </c>
      <c r="N183" t="inlineStr">
        <is>
          <t>https://drive.google.com/file/d/1YUN-mtWYs48YBUHJk0C3vJXnhjyZFHyf/view</t>
        </is>
      </c>
    </row>
    <row r="184">
      <c r="A184" s="42" t="inlineStr">
        <is>
          <t>GSC-SL-000181</t>
        </is>
      </c>
      <c r="B184" t="inlineStr">
        <is>
          <t>SZ-SL-000181</t>
        </is>
      </c>
      <c r="C184" t="inlineStr">
        <is>
          <t>WT-SL-SHUTTER-HIKI</t>
        </is>
      </c>
      <c r="D184" t="inlineStr">
        <is>
          <t>SP-SL-SHUT-E-VENT</t>
        </is>
      </c>
      <c r="E184" t="inlineStr">
        <is>
          <t>11911</t>
        </is>
      </c>
      <c r="F184" t="b">
        <v>1</v>
      </c>
      <c r="G184" t="n">
        <v>30</v>
      </c>
      <c r="H184" t="inlineStr">
        <is>
          <t>無印</t>
        </is>
      </c>
      <c r="I184" t="n">
        <v>30</v>
      </c>
      <c r="J184" t="inlineStr">
        <is>
          <t>P30|無印</t>
        </is>
      </c>
      <c r="K184" t="inlineStr">
        <is>
          <t>同頁凡例へ直接連動</t>
        </is>
      </c>
      <c r="L184" t="inlineStr">
        <is>
          <t>202604_LIXIL_サーモスＬ_業務用資料集_完成品価格表.pdf</t>
        </is>
      </c>
      <c r="M184" t="inlineStr">
        <is>
          <t>v0.6：同一価格表セクション内で凡例継承を確定。</t>
        </is>
      </c>
      <c r="N184" t="inlineStr">
        <is>
          <t>https://drive.google.com/file/d/1YUN-mtWYs48YBUHJk0C3vJXnhjyZFHyf/view</t>
        </is>
      </c>
    </row>
    <row r="185">
      <c r="A185" s="42" t="inlineStr">
        <is>
          <t>GSC-SL-000182</t>
        </is>
      </c>
      <c r="B185" t="inlineStr">
        <is>
          <t>SZ-SL-000182</t>
        </is>
      </c>
      <c r="C185" t="inlineStr">
        <is>
          <t>WT-SL-SHUTTER-HIKI</t>
        </is>
      </c>
      <c r="D185" t="inlineStr">
        <is>
          <t>SP-SL-SHUT-E-VENT</t>
        </is>
      </c>
      <c r="E185" t="inlineStr">
        <is>
          <t>12809</t>
        </is>
      </c>
      <c r="F185" t="b">
        <v>1</v>
      </c>
      <c r="G185" t="n">
        <v>30</v>
      </c>
      <c r="H185" t="inlineStr">
        <is>
          <t>無印</t>
        </is>
      </c>
      <c r="I185" t="n">
        <v>30</v>
      </c>
      <c r="J185" t="inlineStr">
        <is>
          <t>P30|無印</t>
        </is>
      </c>
      <c r="K185" t="inlineStr">
        <is>
          <t>同頁凡例へ直接連動</t>
        </is>
      </c>
      <c r="L185" t="inlineStr">
        <is>
          <t>202604_LIXIL_サーモスＬ_業務用資料集_完成品価格表.pdf</t>
        </is>
      </c>
      <c r="M185" t="inlineStr">
        <is>
          <t>v0.6：同一価格表セクション内で凡例継承を確定。</t>
        </is>
      </c>
      <c r="N185" t="inlineStr">
        <is>
          <t>https://drive.google.com/file/d/1YUN-mtWYs48YBUHJk0C3vJXnhjyZFHyf/view</t>
        </is>
      </c>
    </row>
    <row r="186">
      <c r="A186" s="42" t="inlineStr">
        <is>
          <t>GSC-SL-000183</t>
        </is>
      </c>
      <c r="B186" t="inlineStr">
        <is>
          <t>SZ-SL-000183</t>
        </is>
      </c>
      <c r="C186" t="inlineStr">
        <is>
          <t>WT-SL-SHUTTER-HIKI</t>
        </is>
      </c>
      <c r="D186" t="inlineStr">
        <is>
          <t>SP-SL-SHUT-E-VENT</t>
        </is>
      </c>
      <c r="E186" t="inlineStr">
        <is>
          <t>12811</t>
        </is>
      </c>
      <c r="F186" t="b">
        <v>1</v>
      </c>
      <c r="G186" t="n">
        <v>30</v>
      </c>
      <c r="H186" t="inlineStr">
        <is>
          <t>無印</t>
        </is>
      </c>
      <c r="I186" t="n">
        <v>30</v>
      </c>
      <c r="J186" t="inlineStr">
        <is>
          <t>P30|無印</t>
        </is>
      </c>
      <c r="K186" t="inlineStr">
        <is>
          <t>同頁凡例へ直接連動</t>
        </is>
      </c>
      <c r="L186" t="inlineStr">
        <is>
          <t>202604_LIXIL_サーモスＬ_業務用資料集_完成品価格表.pdf</t>
        </is>
      </c>
      <c r="M186" t="inlineStr">
        <is>
          <t>v0.6：同一価格表セクション内で凡例継承を確定。</t>
        </is>
      </c>
      <c r="N186" t="inlineStr">
        <is>
          <t>https://drive.google.com/file/d/1YUN-mtWYs48YBUHJk0C3vJXnhjyZFHyf/view</t>
        </is>
      </c>
    </row>
    <row r="187">
      <c r="A187" s="42" t="inlineStr">
        <is>
          <t>GSC-SL-000184</t>
        </is>
      </c>
      <c r="B187" t="inlineStr">
        <is>
          <t>SZ-SL-000184</t>
        </is>
      </c>
      <c r="C187" t="inlineStr">
        <is>
          <t>WT-SL-SHUTTER-HIKI</t>
        </is>
      </c>
      <c r="D187" t="inlineStr">
        <is>
          <t>SP-SL-SHUT-E-VENT</t>
        </is>
      </c>
      <c r="E187" t="inlineStr">
        <is>
          <t>13309</t>
        </is>
      </c>
      <c r="F187" t="b">
        <v>1</v>
      </c>
      <c r="G187" t="n">
        <v>30</v>
      </c>
      <c r="H187" t="inlineStr">
        <is>
          <t>無印</t>
        </is>
      </c>
      <c r="I187" t="n">
        <v>30</v>
      </c>
      <c r="J187" t="inlineStr">
        <is>
          <t>P30|無印</t>
        </is>
      </c>
      <c r="K187" t="inlineStr">
        <is>
          <t>同頁凡例へ直接連動</t>
        </is>
      </c>
      <c r="L187" t="inlineStr">
        <is>
          <t>202604_LIXIL_サーモスＬ_業務用資料集_完成品価格表.pdf</t>
        </is>
      </c>
      <c r="M187" t="inlineStr">
        <is>
          <t>v0.6：同一価格表セクション内で凡例継承を確定。</t>
        </is>
      </c>
      <c r="N187" t="inlineStr">
        <is>
          <t>https://drive.google.com/file/d/1YUN-mtWYs48YBUHJk0C3vJXnhjyZFHyf/view</t>
        </is>
      </c>
    </row>
    <row r="188">
      <c r="A188" s="42" t="inlineStr">
        <is>
          <t>GSC-SL-000185</t>
        </is>
      </c>
      <c r="B188" t="inlineStr">
        <is>
          <t>SZ-SL-000185</t>
        </is>
      </c>
      <c r="C188" t="inlineStr">
        <is>
          <t>WT-SL-SHUTTER-HIKI</t>
        </is>
      </c>
      <c r="D188" t="inlineStr">
        <is>
          <t>SP-SL-SHUT-E-VENT</t>
        </is>
      </c>
      <c r="E188" t="inlineStr">
        <is>
          <t>13311</t>
        </is>
      </c>
      <c r="F188" t="b">
        <v>1</v>
      </c>
      <c r="G188" t="n">
        <v>30</v>
      </c>
      <c r="H188" t="inlineStr">
        <is>
          <t>無印</t>
        </is>
      </c>
      <c r="I188" t="n">
        <v>30</v>
      </c>
      <c r="J188" t="inlineStr">
        <is>
          <t>P30|無印</t>
        </is>
      </c>
      <c r="K188" t="inlineStr">
        <is>
          <t>同頁凡例へ直接連動</t>
        </is>
      </c>
      <c r="L188" t="inlineStr">
        <is>
          <t>202604_LIXIL_サーモスＬ_業務用資料集_完成品価格表.pdf</t>
        </is>
      </c>
      <c r="M188" t="inlineStr">
        <is>
          <t>v0.6：同一価格表セクション内で凡例継承を確定。</t>
        </is>
      </c>
      <c r="N188" t="inlineStr">
        <is>
          <t>https://drive.google.com/file/d/1YUN-mtWYs48YBUHJk0C3vJXnhjyZFHyf/view</t>
        </is>
      </c>
    </row>
    <row r="189">
      <c r="A189" s="42" t="inlineStr">
        <is>
          <t>GSC-SL-000186</t>
        </is>
      </c>
      <c r="B189" t="inlineStr">
        <is>
          <t>SZ-SL-000186</t>
        </is>
      </c>
      <c r="C189" t="inlineStr">
        <is>
          <t>WT-SL-SHUTTER-HIKI</t>
        </is>
      </c>
      <c r="D189" t="inlineStr">
        <is>
          <t>SP-SL-SHUT-E-WIND</t>
        </is>
      </c>
      <c r="E189" t="inlineStr">
        <is>
          <t>11409</t>
        </is>
      </c>
      <c r="F189" t="b">
        <v>1</v>
      </c>
      <c r="G189" t="n">
        <v>30</v>
      </c>
      <c r="H189" t="inlineStr">
        <is>
          <t>無印</t>
        </is>
      </c>
      <c r="I189" t="n">
        <v>30</v>
      </c>
      <c r="J189" t="inlineStr">
        <is>
          <t>P30|無印</t>
        </is>
      </c>
      <c r="K189" t="inlineStr">
        <is>
          <t>同頁凡例へ直接連動</t>
        </is>
      </c>
      <c r="L189" t="inlineStr">
        <is>
          <t>202604_LIXIL_サーモスＬ_業務用資料集_完成品価格表.pdf</t>
        </is>
      </c>
      <c r="M189" t="inlineStr">
        <is>
          <t>v0.6：同一価格表セクション内で凡例継承を確定。</t>
        </is>
      </c>
      <c r="N189" t="inlineStr">
        <is>
          <t>https://drive.google.com/file/d/1YUN-mtWYs48YBUHJk0C3vJXnhjyZFHyf/view</t>
        </is>
      </c>
    </row>
    <row r="190">
      <c r="A190" s="42" t="inlineStr">
        <is>
          <t>GSC-SL-000187</t>
        </is>
      </c>
      <c r="B190" t="inlineStr">
        <is>
          <t>SZ-SL-000187</t>
        </is>
      </c>
      <c r="C190" t="inlineStr">
        <is>
          <t>WT-SL-SHUTTER-HIKI</t>
        </is>
      </c>
      <c r="D190" t="inlineStr">
        <is>
          <t>SP-SL-SHUT-E-WIND</t>
        </is>
      </c>
      <c r="E190" t="inlineStr">
        <is>
          <t>11411</t>
        </is>
      </c>
      <c r="F190" t="b">
        <v>1</v>
      </c>
      <c r="G190" t="n">
        <v>30</v>
      </c>
      <c r="H190" t="inlineStr">
        <is>
          <t>無印</t>
        </is>
      </c>
      <c r="I190" t="n">
        <v>30</v>
      </c>
      <c r="J190" t="inlineStr">
        <is>
          <t>P30|無印</t>
        </is>
      </c>
      <c r="K190" t="inlineStr">
        <is>
          <t>同頁凡例へ直接連動</t>
        </is>
      </c>
      <c r="L190" t="inlineStr">
        <is>
          <t>202604_LIXIL_サーモスＬ_業務用資料集_完成品価格表.pdf</t>
        </is>
      </c>
      <c r="M190" t="inlineStr">
        <is>
          <t>v0.6：同一価格表セクション内で凡例継承を確定。</t>
        </is>
      </c>
      <c r="N190" t="inlineStr">
        <is>
          <t>https://drive.google.com/file/d/1YUN-mtWYs48YBUHJk0C3vJXnhjyZFHyf/view</t>
        </is>
      </c>
    </row>
    <row r="191">
      <c r="A191" s="42" t="inlineStr">
        <is>
          <t>GSC-SL-000188</t>
        </is>
      </c>
      <c r="B191" t="inlineStr">
        <is>
          <t>SZ-SL-000188</t>
        </is>
      </c>
      <c r="C191" t="inlineStr">
        <is>
          <t>WT-SL-SHUTTER-HIKI</t>
        </is>
      </c>
      <c r="D191" t="inlineStr">
        <is>
          <t>SP-SL-SHUT-E-WIND</t>
        </is>
      </c>
      <c r="E191" t="inlineStr">
        <is>
          <t>11909</t>
        </is>
      </c>
      <c r="F191" t="b">
        <v>1</v>
      </c>
      <c r="G191" t="n">
        <v>30</v>
      </c>
      <c r="H191" t="inlineStr">
        <is>
          <t>無印</t>
        </is>
      </c>
      <c r="I191" t="n">
        <v>30</v>
      </c>
      <c r="J191" t="inlineStr">
        <is>
          <t>P30|無印</t>
        </is>
      </c>
      <c r="K191" t="inlineStr">
        <is>
          <t>同頁凡例へ直接連動</t>
        </is>
      </c>
      <c r="L191" t="inlineStr">
        <is>
          <t>202604_LIXIL_サーモスＬ_業務用資料集_完成品価格表.pdf</t>
        </is>
      </c>
      <c r="M191" t="inlineStr">
        <is>
          <t>v0.6：同一価格表セクション内で凡例継承を確定。</t>
        </is>
      </c>
      <c r="N191" t="inlineStr">
        <is>
          <t>https://drive.google.com/file/d/1YUN-mtWYs48YBUHJk0C3vJXnhjyZFHyf/view</t>
        </is>
      </c>
    </row>
    <row r="192">
      <c r="A192" s="42" t="inlineStr">
        <is>
          <t>GSC-SL-000189</t>
        </is>
      </c>
      <c r="B192" t="inlineStr">
        <is>
          <t>SZ-SL-000189</t>
        </is>
      </c>
      <c r="C192" t="inlineStr">
        <is>
          <t>WT-SL-SHUTTER-HIKI</t>
        </is>
      </c>
      <c r="D192" t="inlineStr">
        <is>
          <t>SP-SL-SHUT-E-WIND</t>
        </is>
      </c>
      <c r="E192" t="inlineStr">
        <is>
          <t>11911</t>
        </is>
      </c>
      <c r="F192" t="b">
        <v>1</v>
      </c>
      <c r="G192" t="n">
        <v>30</v>
      </c>
      <c r="H192" t="inlineStr">
        <is>
          <t>無印</t>
        </is>
      </c>
      <c r="I192" t="n">
        <v>30</v>
      </c>
      <c r="J192" t="inlineStr">
        <is>
          <t>P30|無印</t>
        </is>
      </c>
      <c r="K192" t="inlineStr">
        <is>
          <t>同頁凡例へ直接連動</t>
        </is>
      </c>
      <c r="L192" t="inlineStr">
        <is>
          <t>202604_LIXIL_サーモスＬ_業務用資料集_完成品価格表.pdf</t>
        </is>
      </c>
      <c r="M192" t="inlineStr">
        <is>
          <t>v0.6：同一価格表セクション内で凡例継承を確定。</t>
        </is>
      </c>
      <c r="N192" t="inlineStr">
        <is>
          <t>https://drive.google.com/file/d/1YUN-mtWYs48YBUHJk0C3vJXnhjyZFHyf/view</t>
        </is>
      </c>
    </row>
    <row r="193">
      <c r="A193" s="42" t="inlineStr">
        <is>
          <t>GSC-SL-000190</t>
        </is>
      </c>
      <c r="B193" t="inlineStr">
        <is>
          <t>SZ-SL-000190</t>
        </is>
      </c>
      <c r="C193" t="inlineStr">
        <is>
          <t>WT-SL-SHUTTER-HIKI</t>
        </is>
      </c>
      <c r="D193" t="inlineStr">
        <is>
          <t>SP-SL-SHUT-E-WIND</t>
        </is>
      </c>
      <c r="E193" t="inlineStr">
        <is>
          <t>12809</t>
        </is>
      </c>
      <c r="F193" t="b">
        <v>0</v>
      </c>
      <c r="G193" t="n">
        <v>30</v>
      </c>
      <c r="H193" t="inlineStr">
        <is>
          <t>無印</t>
        </is>
      </c>
      <c r="I193" t="n">
        <v>30</v>
      </c>
      <c r="J193" t="inlineStr">
        <is>
          <t>P30|無印</t>
        </is>
      </c>
      <c r="K193" t="inlineStr">
        <is>
          <t>同頁凡例へ直接連動</t>
        </is>
      </c>
      <c r="L193" t="inlineStr">
        <is>
          <t>202604_LIXIL_サーモスＬ_業務用資料集_完成品価格表.pdf</t>
        </is>
      </c>
      <c r="M193" t="inlineStr">
        <is>
          <t>v0.6：同一価格表セクション内で凡例継承を確定。</t>
        </is>
      </c>
      <c r="N193" t="inlineStr">
        <is>
          <t>https://drive.google.com/file/d/1YUN-mtWYs48YBUHJk0C3vJXnhjyZFHyf/view</t>
        </is>
      </c>
    </row>
    <row r="194">
      <c r="A194" s="42" t="inlineStr">
        <is>
          <t>GSC-SL-000191</t>
        </is>
      </c>
      <c r="B194" t="inlineStr">
        <is>
          <t>SZ-SL-000191</t>
        </is>
      </c>
      <c r="C194" t="inlineStr">
        <is>
          <t>WT-SL-SHUTTER-HIKI</t>
        </is>
      </c>
      <c r="D194" t="inlineStr">
        <is>
          <t>SP-SL-SHUT-E-WIND</t>
        </is>
      </c>
      <c r="E194" t="inlineStr">
        <is>
          <t>12811</t>
        </is>
      </c>
      <c r="F194" t="b">
        <v>0</v>
      </c>
      <c r="G194" t="n">
        <v>30</v>
      </c>
      <c r="H194" t="inlineStr">
        <is>
          <t>無印</t>
        </is>
      </c>
      <c r="I194" t="n">
        <v>30</v>
      </c>
      <c r="J194" t="inlineStr">
        <is>
          <t>P30|無印</t>
        </is>
      </c>
      <c r="K194" t="inlineStr">
        <is>
          <t>同頁凡例へ直接連動</t>
        </is>
      </c>
      <c r="L194" t="inlineStr">
        <is>
          <t>202604_LIXIL_サーモスＬ_業務用資料集_完成品価格表.pdf</t>
        </is>
      </c>
      <c r="M194" t="inlineStr">
        <is>
          <t>v0.6：同一価格表セクション内で凡例継承を確定。</t>
        </is>
      </c>
      <c r="N194" t="inlineStr">
        <is>
          <t>https://drive.google.com/file/d/1YUN-mtWYs48YBUHJk0C3vJXnhjyZFHyf/view</t>
        </is>
      </c>
    </row>
    <row r="195">
      <c r="A195" s="42" t="inlineStr">
        <is>
          <t>GSC-SL-000192</t>
        </is>
      </c>
      <c r="B195" t="inlineStr">
        <is>
          <t>SZ-SL-000192</t>
        </is>
      </c>
      <c r="C195" t="inlineStr">
        <is>
          <t>WT-SL-SHUTTER-HIKI</t>
        </is>
      </c>
      <c r="D195" t="inlineStr">
        <is>
          <t>SP-SL-SHUT-E-WIND</t>
        </is>
      </c>
      <c r="E195" t="inlineStr">
        <is>
          <t>13309</t>
        </is>
      </c>
      <c r="F195" t="b">
        <v>0</v>
      </c>
      <c r="G195" t="n">
        <v>30</v>
      </c>
      <c r="H195" t="inlineStr">
        <is>
          <t>無印</t>
        </is>
      </c>
      <c r="I195" t="n">
        <v>30</v>
      </c>
      <c r="J195" t="inlineStr">
        <is>
          <t>P30|無印</t>
        </is>
      </c>
      <c r="K195" t="inlineStr">
        <is>
          <t>同頁凡例へ直接連動</t>
        </is>
      </c>
      <c r="L195" t="inlineStr">
        <is>
          <t>202604_LIXIL_サーモスＬ_業務用資料集_完成品価格表.pdf</t>
        </is>
      </c>
      <c r="M195" t="inlineStr">
        <is>
          <t>v0.6：同一価格表セクション内で凡例継承を確定。</t>
        </is>
      </c>
      <c r="N195" t="inlineStr">
        <is>
          <t>https://drive.google.com/file/d/1YUN-mtWYs48YBUHJk0C3vJXnhjyZFHyf/view</t>
        </is>
      </c>
    </row>
    <row r="196">
      <c r="A196" s="42" t="inlineStr">
        <is>
          <t>GSC-SL-000193</t>
        </is>
      </c>
      <c r="B196" t="inlineStr">
        <is>
          <t>SZ-SL-000193</t>
        </is>
      </c>
      <c r="C196" t="inlineStr">
        <is>
          <t>WT-SL-SHUTTER-HIKI</t>
        </is>
      </c>
      <c r="D196" t="inlineStr">
        <is>
          <t>SP-SL-SHUT-E-WIND</t>
        </is>
      </c>
      <c r="E196" t="inlineStr">
        <is>
          <t>13311</t>
        </is>
      </c>
      <c r="F196" t="b">
        <v>0</v>
      </c>
      <c r="G196" t="n">
        <v>30</v>
      </c>
      <c r="H196" t="inlineStr">
        <is>
          <t>無印</t>
        </is>
      </c>
      <c r="I196" t="n">
        <v>30</v>
      </c>
      <c r="J196" t="inlineStr">
        <is>
          <t>P30|無印</t>
        </is>
      </c>
      <c r="K196" t="inlineStr">
        <is>
          <t>同頁凡例へ直接連動</t>
        </is>
      </c>
      <c r="L196" t="inlineStr">
        <is>
          <t>202604_LIXIL_サーモスＬ_業務用資料集_完成品価格表.pdf</t>
        </is>
      </c>
      <c r="M196" t="inlineStr">
        <is>
          <t>v0.6：同一価格表セクション内で凡例継承を確定。</t>
        </is>
      </c>
      <c r="N196" t="inlineStr">
        <is>
          <t>https://drive.google.com/file/d/1YUN-mtWYs48YBUHJk0C3vJXnhjyZFHyf/view</t>
        </is>
      </c>
    </row>
    <row r="197">
      <c r="A197" s="42" t="inlineStr">
        <is>
          <t>GSC-SL-000194</t>
        </is>
      </c>
      <c r="B197" t="inlineStr">
        <is>
          <t>SZ-SL-000194</t>
        </is>
      </c>
      <c r="C197" t="inlineStr">
        <is>
          <t>WT-SL-SHUTTER-HIKI</t>
        </is>
      </c>
      <c r="D197" t="inlineStr">
        <is>
          <t>SP-SL-SHUT-E-STD</t>
        </is>
      </c>
      <c r="E197" t="inlineStr">
        <is>
          <t>15009</t>
        </is>
      </c>
      <c r="F197" t="b">
        <v>1</v>
      </c>
      <c r="G197" t="n">
        <v>31</v>
      </c>
      <c r="H197" t="inlineStr">
        <is>
          <t>無印</t>
        </is>
      </c>
      <c r="I197" t="n">
        <v>30</v>
      </c>
      <c r="J197" t="inlineStr">
        <is>
          <t>P30|無印</t>
        </is>
      </c>
      <c r="K197" t="inlineStr">
        <is>
          <t>同一価格表・前頁凡例を継承</t>
        </is>
      </c>
      <c r="L197" t="inlineStr">
        <is>
          <t>202604_LIXIL_サーモスＬ_業務用資料集_完成品価格表.pdf</t>
        </is>
      </c>
      <c r="M197" t="inlineStr">
        <is>
          <t>v0.6：同一価格表セクション内で凡例継承を確定。</t>
        </is>
      </c>
      <c r="N197" t="inlineStr">
        <is>
          <t>https://drive.google.com/file/d/1YUN-mtWYs48YBUHJk0C3vJXnhjyZFHyf/view</t>
        </is>
      </c>
    </row>
    <row r="198">
      <c r="A198" s="42" t="inlineStr">
        <is>
          <t>GSC-SL-000195</t>
        </is>
      </c>
      <c r="B198" t="inlineStr">
        <is>
          <t>SZ-SL-000195</t>
        </is>
      </c>
      <c r="C198" t="inlineStr">
        <is>
          <t>WT-SL-SHUTTER-HIKI</t>
        </is>
      </c>
      <c r="D198" t="inlineStr">
        <is>
          <t>SP-SL-SHUT-E-STD</t>
        </is>
      </c>
      <c r="E198" t="inlineStr">
        <is>
          <t>15011</t>
        </is>
      </c>
      <c r="F198" t="b">
        <v>1</v>
      </c>
      <c r="G198" t="n">
        <v>31</v>
      </c>
      <c r="H198" t="inlineStr">
        <is>
          <t>無印</t>
        </is>
      </c>
      <c r="I198" t="n">
        <v>30</v>
      </c>
      <c r="J198" t="inlineStr">
        <is>
          <t>P30|無印</t>
        </is>
      </c>
      <c r="K198" t="inlineStr">
        <is>
          <t>同一価格表・前頁凡例を継承</t>
        </is>
      </c>
      <c r="L198" t="inlineStr">
        <is>
          <t>202604_LIXIL_サーモスＬ_業務用資料集_完成品価格表.pdf</t>
        </is>
      </c>
      <c r="M198" t="inlineStr">
        <is>
          <t>v0.6：同一価格表セクション内で凡例継承を確定。</t>
        </is>
      </c>
      <c r="N198" t="inlineStr">
        <is>
          <t>https://drive.google.com/file/d/1YUN-mtWYs48YBUHJk0C3vJXnhjyZFHyf/view</t>
        </is>
      </c>
    </row>
    <row r="199">
      <c r="A199" s="42" t="inlineStr">
        <is>
          <t>GSC-SL-000196</t>
        </is>
      </c>
      <c r="B199" t="inlineStr">
        <is>
          <t>SZ-SL-000196</t>
        </is>
      </c>
      <c r="C199" t="inlineStr">
        <is>
          <t>WT-SL-SHUTTER-HIKI</t>
        </is>
      </c>
      <c r="D199" t="inlineStr">
        <is>
          <t>SP-SL-SHUT-E-STD</t>
        </is>
      </c>
      <c r="E199" t="inlineStr">
        <is>
          <t>16009</t>
        </is>
      </c>
      <c r="F199" t="b">
        <v>1</v>
      </c>
      <c r="G199" t="n">
        <v>31</v>
      </c>
      <c r="H199" t="inlineStr">
        <is>
          <t>無印</t>
        </is>
      </c>
      <c r="I199" t="n">
        <v>30</v>
      </c>
      <c r="J199" t="inlineStr">
        <is>
          <t>P30|無印</t>
        </is>
      </c>
      <c r="K199" t="inlineStr">
        <is>
          <t>同一価格表・前頁凡例を継承</t>
        </is>
      </c>
      <c r="L199" t="inlineStr">
        <is>
          <t>202604_LIXIL_サーモスＬ_業務用資料集_完成品価格表.pdf</t>
        </is>
      </c>
      <c r="M199" t="inlineStr">
        <is>
          <t>v0.6：同一価格表セクション内で凡例継承を確定。</t>
        </is>
      </c>
      <c r="N199" t="inlineStr">
        <is>
          <t>https://drive.google.com/file/d/1YUN-mtWYs48YBUHJk0C3vJXnhjyZFHyf/view</t>
        </is>
      </c>
    </row>
    <row r="200">
      <c r="A200" s="42" t="inlineStr">
        <is>
          <t>GSC-SL-000197</t>
        </is>
      </c>
      <c r="B200" t="inlineStr">
        <is>
          <t>SZ-SL-000197</t>
        </is>
      </c>
      <c r="C200" t="inlineStr">
        <is>
          <t>WT-SL-SHUTTER-HIKI</t>
        </is>
      </c>
      <c r="D200" t="inlineStr">
        <is>
          <t>SP-SL-SHUT-E-STD</t>
        </is>
      </c>
      <c r="E200" t="inlineStr">
        <is>
          <t>16011</t>
        </is>
      </c>
      <c r="F200" t="b">
        <v>1</v>
      </c>
      <c r="G200" t="n">
        <v>31</v>
      </c>
      <c r="H200" t="inlineStr">
        <is>
          <t>無印</t>
        </is>
      </c>
      <c r="I200" t="n">
        <v>30</v>
      </c>
      <c r="J200" t="inlineStr">
        <is>
          <t>P30|無印</t>
        </is>
      </c>
      <c r="K200" t="inlineStr">
        <is>
          <t>同一価格表・前頁凡例を継承</t>
        </is>
      </c>
      <c r="L200" t="inlineStr">
        <is>
          <t>202604_LIXIL_サーモスＬ_業務用資料集_完成品価格表.pdf</t>
        </is>
      </c>
      <c r="M200" t="inlineStr">
        <is>
          <t>v0.6：同一価格表セクション内で凡例継承を確定。</t>
        </is>
      </c>
      <c r="N200" t="inlineStr">
        <is>
          <t>https://drive.google.com/file/d/1YUN-mtWYs48YBUHJk0C3vJXnhjyZFHyf/view</t>
        </is>
      </c>
    </row>
    <row r="201">
      <c r="A201" s="42" t="inlineStr">
        <is>
          <t>GSC-SL-000198</t>
        </is>
      </c>
      <c r="B201" t="inlineStr">
        <is>
          <t>SZ-SL-000198</t>
        </is>
      </c>
      <c r="C201" t="inlineStr">
        <is>
          <t>WT-SL-SHUTTER-HIKI</t>
        </is>
      </c>
      <c r="D201" t="inlineStr">
        <is>
          <t>SP-SL-SHUT-E-STD</t>
        </is>
      </c>
      <c r="E201" t="inlineStr">
        <is>
          <t>16507</t>
        </is>
      </c>
      <c r="F201" t="b">
        <v>1</v>
      </c>
      <c r="G201" t="n">
        <v>31</v>
      </c>
      <c r="H201" t="inlineStr">
        <is>
          <t>無印</t>
        </is>
      </c>
      <c r="I201" t="n">
        <v>30</v>
      </c>
      <c r="J201" t="inlineStr">
        <is>
          <t>P30|無印</t>
        </is>
      </c>
      <c r="K201" t="inlineStr">
        <is>
          <t>同一価格表・前頁凡例を継承</t>
        </is>
      </c>
      <c r="L201" t="inlineStr">
        <is>
          <t>202604_LIXIL_サーモスＬ_業務用資料集_完成品価格表.pdf</t>
        </is>
      </c>
      <c r="M201" t="inlineStr">
        <is>
          <t>v0.6：同一価格表セクション内で凡例継承を確定。</t>
        </is>
      </c>
      <c r="N201" t="inlineStr">
        <is>
          <t>https://drive.google.com/file/d/1YUN-mtWYs48YBUHJk0C3vJXnhjyZFHyf/view</t>
        </is>
      </c>
    </row>
    <row r="202">
      <c r="A202" s="42" t="inlineStr">
        <is>
          <t>GSC-SL-000199</t>
        </is>
      </c>
      <c r="B202" t="inlineStr">
        <is>
          <t>SZ-SL-000199</t>
        </is>
      </c>
      <c r="C202" t="inlineStr">
        <is>
          <t>WT-SL-SHUTTER-HIKI</t>
        </is>
      </c>
      <c r="D202" t="inlineStr">
        <is>
          <t>SP-SL-SHUT-E-STD</t>
        </is>
      </c>
      <c r="E202" t="inlineStr">
        <is>
          <t>16509</t>
        </is>
      </c>
      <c r="F202" t="b">
        <v>1</v>
      </c>
      <c r="G202" t="n">
        <v>31</v>
      </c>
      <c r="H202" t="inlineStr">
        <is>
          <t>無印</t>
        </is>
      </c>
      <c r="I202" t="n">
        <v>30</v>
      </c>
      <c r="J202" t="inlineStr">
        <is>
          <t>P30|無印</t>
        </is>
      </c>
      <c r="K202" t="inlineStr">
        <is>
          <t>同一価格表・前頁凡例を継承</t>
        </is>
      </c>
      <c r="L202" t="inlineStr">
        <is>
          <t>202604_LIXIL_サーモスＬ_業務用資料集_完成品価格表.pdf</t>
        </is>
      </c>
      <c r="M202" t="inlineStr">
        <is>
          <t>v0.6：同一価格表セクション内で凡例継承を確定。</t>
        </is>
      </c>
      <c r="N202" t="inlineStr">
        <is>
          <t>https://drive.google.com/file/d/1YUN-mtWYs48YBUHJk0C3vJXnhjyZFHyf/view</t>
        </is>
      </c>
    </row>
    <row r="203">
      <c r="A203" s="42" t="inlineStr">
        <is>
          <t>GSC-SL-000200</t>
        </is>
      </c>
      <c r="B203" t="inlineStr">
        <is>
          <t>SZ-SL-000200</t>
        </is>
      </c>
      <c r="C203" t="inlineStr">
        <is>
          <t>WT-SL-SHUTTER-HIKI</t>
        </is>
      </c>
      <c r="D203" t="inlineStr">
        <is>
          <t>SP-SL-SHUT-E-STD</t>
        </is>
      </c>
      <c r="E203" t="inlineStr">
        <is>
          <t>16511</t>
        </is>
      </c>
      <c r="F203" t="b">
        <v>1</v>
      </c>
      <c r="G203" t="n">
        <v>31</v>
      </c>
      <c r="H203" t="inlineStr">
        <is>
          <t>無印</t>
        </is>
      </c>
      <c r="I203" t="n">
        <v>30</v>
      </c>
      <c r="J203" t="inlineStr">
        <is>
          <t>P30|無印</t>
        </is>
      </c>
      <c r="K203" t="inlineStr">
        <is>
          <t>同一価格表・前頁凡例を継承</t>
        </is>
      </c>
      <c r="L203" t="inlineStr">
        <is>
          <t>202604_LIXIL_サーモスＬ_業務用資料集_完成品価格表.pdf</t>
        </is>
      </c>
      <c r="M203" t="inlineStr">
        <is>
          <t>v0.6：同一価格表セクション内で凡例継承を確定。</t>
        </is>
      </c>
      <c r="N203" t="inlineStr">
        <is>
          <t>https://drive.google.com/file/d/1YUN-mtWYs48YBUHJk0C3vJXnhjyZFHyf/view</t>
        </is>
      </c>
    </row>
    <row r="204">
      <c r="A204" s="42" t="inlineStr">
        <is>
          <t>GSC-SL-000201</t>
        </is>
      </c>
      <c r="B204" t="inlineStr">
        <is>
          <t>SZ-SL-000201</t>
        </is>
      </c>
      <c r="C204" t="inlineStr">
        <is>
          <t>WT-SL-SHUTTER-HIKI</t>
        </is>
      </c>
      <c r="D204" t="inlineStr">
        <is>
          <t>SP-SL-SHUT-E-STD</t>
        </is>
      </c>
      <c r="E204" t="inlineStr">
        <is>
          <t>17409</t>
        </is>
      </c>
      <c r="F204" t="b">
        <v>1</v>
      </c>
      <c r="G204" t="n">
        <v>31</v>
      </c>
      <c r="H204" t="inlineStr">
        <is>
          <t>無印</t>
        </is>
      </c>
      <c r="I204" t="n">
        <v>30</v>
      </c>
      <c r="J204" t="inlineStr">
        <is>
          <t>P30|無印</t>
        </is>
      </c>
      <c r="K204" t="inlineStr">
        <is>
          <t>同一価格表・前頁凡例を継承</t>
        </is>
      </c>
      <c r="L204" t="inlineStr">
        <is>
          <t>202604_LIXIL_サーモスＬ_業務用資料集_完成品価格表.pdf</t>
        </is>
      </c>
      <c r="M204" t="inlineStr">
        <is>
          <t>v0.6：同一価格表セクション内で凡例継承を確定。</t>
        </is>
      </c>
      <c r="N204" t="inlineStr">
        <is>
          <t>https://drive.google.com/file/d/1YUN-mtWYs48YBUHJk0C3vJXnhjyZFHyf/view</t>
        </is>
      </c>
    </row>
    <row r="205">
      <c r="A205" s="42" t="inlineStr">
        <is>
          <t>GSC-SL-000202</t>
        </is>
      </c>
      <c r="B205" t="inlineStr">
        <is>
          <t>SZ-SL-000202</t>
        </is>
      </c>
      <c r="C205" t="inlineStr">
        <is>
          <t>WT-SL-SHUTTER-HIKI</t>
        </is>
      </c>
      <c r="D205" t="inlineStr">
        <is>
          <t>SP-SL-SHUT-E-STD</t>
        </is>
      </c>
      <c r="E205" t="inlineStr">
        <is>
          <t>17411</t>
        </is>
      </c>
      <c r="F205" t="b">
        <v>1</v>
      </c>
      <c r="G205" t="n">
        <v>31</v>
      </c>
      <c r="H205" t="inlineStr">
        <is>
          <t>無印</t>
        </is>
      </c>
      <c r="I205" t="n">
        <v>30</v>
      </c>
      <c r="J205" t="inlineStr">
        <is>
          <t>P30|無印</t>
        </is>
      </c>
      <c r="K205" t="inlineStr">
        <is>
          <t>同一価格表・前頁凡例を継承</t>
        </is>
      </c>
      <c r="L205" t="inlineStr">
        <is>
          <t>202604_LIXIL_サーモスＬ_業務用資料集_完成品価格表.pdf</t>
        </is>
      </c>
      <c r="M205" t="inlineStr">
        <is>
          <t>v0.6：同一価格表セクション内で凡例継承を確定。</t>
        </is>
      </c>
      <c r="N205" t="inlineStr">
        <is>
          <t>https://drive.google.com/file/d/1YUN-mtWYs48YBUHJk0C3vJXnhjyZFHyf/view</t>
        </is>
      </c>
    </row>
    <row r="206">
      <c r="A206" s="42" t="inlineStr">
        <is>
          <t>GSC-SL-000203</t>
        </is>
      </c>
      <c r="B206" t="inlineStr">
        <is>
          <t>SZ-SL-000203</t>
        </is>
      </c>
      <c r="C206" t="inlineStr">
        <is>
          <t>WT-SL-SHUTTER-HIKI</t>
        </is>
      </c>
      <c r="D206" t="inlineStr">
        <is>
          <t>SP-SL-SHUT-E-STD</t>
        </is>
      </c>
      <c r="E206" t="inlineStr">
        <is>
          <t>17609</t>
        </is>
      </c>
      <c r="F206" t="b">
        <v>1</v>
      </c>
      <c r="G206" t="n">
        <v>31</v>
      </c>
      <c r="H206" t="inlineStr">
        <is>
          <t>無印</t>
        </is>
      </c>
      <c r="I206" t="n">
        <v>30</v>
      </c>
      <c r="J206" t="inlineStr">
        <is>
          <t>P30|無印</t>
        </is>
      </c>
      <c r="K206" t="inlineStr">
        <is>
          <t>同一価格表・前頁凡例を継承</t>
        </is>
      </c>
      <c r="L206" t="inlineStr">
        <is>
          <t>202604_LIXIL_サーモスＬ_業務用資料集_完成品価格表.pdf</t>
        </is>
      </c>
      <c r="M206" t="inlineStr">
        <is>
          <t>v0.6：同一価格表セクション内で凡例継承を確定。</t>
        </is>
      </c>
      <c r="N206" t="inlineStr">
        <is>
          <t>https://drive.google.com/file/d/1YUN-mtWYs48YBUHJk0C3vJXnhjyZFHyf/view</t>
        </is>
      </c>
    </row>
    <row r="207">
      <c r="A207" s="42" t="inlineStr">
        <is>
          <t>GSC-SL-000204</t>
        </is>
      </c>
      <c r="B207" t="inlineStr">
        <is>
          <t>SZ-SL-000204</t>
        </is>
      </c>
      <c r="C207" t="inlineStr">
        <is>
          <t>WT-SL-SHUTTER-HIKI</t>
        </is>
      </c>
      <c r="D207" t="inlineStr">
        <is>
          <t>SP-SL-SHUT-E-STD</t>
        </is>
      </c>
      <c r="E207" t="inlineStr">
        <is>
          <t>17611</t>
        </is>
      </c>
      <c r="F207" t="b">
        <v>1</v>
      </c>
      <c r="G207" t="n">
        <v>31</v>
      </c>
      <c r="H207" t="inlineStr">
        <is>
          <t>無印</t>
        </is>
      </c>
      <c r="I207" t="n">
        <v>30</v>
      </c>
      <c r="J207" t="inlineStr">
        <is>
          <t>P30|無印</t>
        </is>
      </c>
      <c r="K207" t="inlineStr">
        <is>
          <t>同一価格表・前頁凡例を継承</t>
        </is>
      </c>
      <c r="L207" t="inlineStr">
        <is>
          <t>202604_LIXIL_サーモスＬ_業務用資料集_完成品価格表.pdf</t>
        </is>
      </c>
      <c r="M207" t="inlineStr">
        <is>
          <t>v0.6：同一価格表セクション内で凡例継承を確定。</t>
        </is>
      </c>
      <c r="N207" t="inlineStr">
        <is>
          <t>https://drive.google.com/file/d/1YUN-mtWYs48YBUHJk0C3vJXnhjyZFHyf/view</t>
        </is>
      </c>
    </row>
    <row r="208">
      <c r="A208" s="42" t="inlineStr">
        <is>
          <t>GSC-SL-000205</t>
        </is>
      </c>
      <c r="B208" t="inlineStr">
        <is>
          <t>SZ-SL-000205</t>
        </is>
      </c>
      <c r="C208" t="inlineStr">
        <is>
          <t>WT-SL-SHUTTER-HIKI</t>
        </is>
      </c>
      <c r="D208" t="inlineStr">
        <is>
          <t>SP-SL-SHUT-E-VENT</t>
        </is>
      </c>
      <c r="E208" t="inlineStr">
        <is>
          <t>15009</t>
        </is>
      </c>
      <c r="F208" t="b">
        <v>1</v>
      </c>
      <c r="G208" t="n">
        <v>31</v>
      </c>
      <c r="H208" t="inlineStr">
        <is>
          <t>無印</t>
        </is>
      </c>
      <c r="I208" t="n">
        <v>30</v>
      </c>
      <c r="J208" t="inlineStr">
        <is>
          <t>P30|無印</t>
        </is>
      </c>
      <c r="K208" t="inlineStr">
        <is>
          <t>同一価格表・前頁凡例を継承</t>
        </is>
      </c>
      <c r="L208" t="inlineStr">
        <is>
          <t>202604_LIXIL_サーモスＬ_業務用資料集_完成品価格表.pdf</t>
        </is>
      </c>
      <c r="M208" t="inlineStr">
        <is>
          <t>v0.6：同一価格表セクション内で凡例継承を確定。</t>
        </is>
      </c>
      <c r="N208" t="inlineStr">
        <is>
          <t>https://drive.google.com/file/d/1YUN-mtWYs48YBUHJk0C3vJXnhjyZFHyf/view</t>
        </is>
      </c>
    </row>
    <row r="209">
      <c r="A209" s="42" t="inlineStr">
        <is>
          <t>GSC-SL-000206</t>
        </is>
      </c>
      <c r="B209" t="inlineStr">
        <is>
          <t>SZ-SL-000206</t>
        </is>
      </c>
      <c r="C209" t="inlineStr">
        <is>
          <t>WT-SL-SHUTTER-HIKI</t>
        </is>
      </c>
      <c r="D209" t="inlineStr">
        <is>
          <t>SP-SL-SHUT-E-VENT</t>
        </is>
      </c>
      <c r="E209" t="inlineStr">
        <is>
          <t>15011</t>
        </is>
      </c>
      <c r="F209" t="b">
        <v>1</v>
      </c>
      <c r="G209" t="n">
        <v>31</v>
      </c>
      <c r="H209" t="inlineStr">
        <is>
          <t>無印</t>
        </is>
      </c>
      <c r="I209" t="n">
        <v>30</v>
      </c>
      <c r="J209" t="inlineStr">
        <is>
          <t>P30|無印</t>
        </is>
      </c>
      <c r="K209" t="inlineStr">
        <is>
          <t>同一価格表・前頁凡例を継承</t>
        </is>
      </c>
      <c r="L209" t="inlineStr">
        <is>
          <t>202604_LIXIL_サーモスＬ_業務用資料集_完成品価格表.pdf</t>
        </is>
      </c>
      <c r="M209" t="inlineStr">
        <is>
          <t>v0.6：同一価格表セクション内で凡例継承を確定。</t>
        </is>
      </c>
      <c r="N209" t="inlineStr">
        <is>
          <t>https://drive.google.com/file/d/1YUN-mtWYs48YBUHJk0C3vJXnhjyZFHyf/view</t>
        </is>
      </c>
    </row>
    <row r="210">
      <c r="A210" s="42" t="inlineStr">
        <is>
          <t>GSC-SL-000207</t>
        </is>
      </c>
      <c r="B210" t="inlineStr">
        <is>
          <t>SZ-SL-000207</t>
        </is>
      </c>
      <c r="C210" t="inlineStr">
        <is>
          <t>WT-SL-SHUTTER-HIKI</t>
        </is>
      </c>
      <c r="D210" t="inlineStr">
        <is>
          <t>SP-SL-SHUT-E-VENT</t>
        </is>
      </c>
      <c r="E210" t="inlineStr">
        <is>
          <t>16009</t>
        </is>
      </c>
      <c r="F210" t="b">
        <v>1</v>
      </c>
      <c r="G210" t="n">
        <v>31</v>
      </c>
      <c r="H210" t="inlineStr">
        <is>
          <t>無印</t>
        </is>
      </c>
      <c r="I210" t="n">
        <v>30</v>
      </c>
      <c r="J210" t="inlineStr">
        <is>
          <t>P30|無印</t>
        </is>
      </c>
      <c r="K210" t="inlineStr">
        <is>
          <t>同一価格表・前頁凡例を継承</t>
        </is>
      </c>
      <c r="L210" t="inlineStr">
        <is>
          <t>202604_LIXIL_サーモスＬ_業務用資料集_完成品価格表.pdf</t>
        </is>
      </c>
      <c r="M210" t="inlineStr">
        <is>
          <t>v0.6：同一価格表セクション内で凡例継承を確定。</t>
        </is>
      </c>
      <c r="N210" t="inlineStr">
        <is>
          <t>https://drive.google.com/file/d/1YUN-mtWYs48YBUHJk0C3vJXnhjyZFHyf/view</t>
        </is>
      </c>
    </row>
    <row r="211">
      <c r="A211" s="42" t="inlineStr">
        <is>
          <t>GSC-SL-000208</t>
        </is>
      </c>
      <c r="B211" t="inlineStr">
        <is>
          <t>SZ-SL-000208</t>
        </is>
      </c>
      <c r="C211" t="inlineStr">
        <is>
          <t>WT-SL-SHUTTER-HIKI</t>
        </is>
      </c>
      <c r="D211" t="inlineStr">
        <is>
          <t>SP-SL-SHUT-E-VENT</t>
        </is>
      </c>
      <c r="E211" t="inlineStr">
        <is>
          <t>16011</t>
        </is>
      </c>
      <c r="F211" t="b">
        <v>1</v>
      </c>
      <c r="G211" t="n">
        <v>31</v>
      </c>
      <c r="H211" t="inlineStr">
        <is>
          <t>無印</t>
        </is>
      </c>
      <c r="I211" t="n">
        <v>30</v>
      </c>
      <c r="J211" t="inlineStr">
        <is>
          <t>P30|無印</t>
        </is>
      </c>
      <c r="K211" t="inlineStr">
        <is>
          <t>同一価格表・前頁凡例を継承</t>
        </is>
      </c>
      <c r="L211" t="inlineStr">
        <is>
          <t>202604_LIXIL_サーモスＬ_業務用資料集_完成品価格表.pdf</t>
        </is>
      </c>
      <c r="M211" t="inlineStr">
        <is>
          <t>v0.6：同一価格表セクション内で凡例継承を確定。</t>
        </is>
      </c>
      <c r="N211" t="inlineStr">
        <is>
          <t>https://drive.google.com/file/d/1YUN-mtWYs48YBUHJk0C3vJXnhjyZFHyf/view</t>
        </is>
      </c>
    </row>
    <row r="212">
      <c r="A212" s="42" t="inlineStr">
        <is>
          <t>GSC-SL-000209</t>
        </is>
      </c>
      <c r="B212" t="inlineStr">
        <is>
          <t>SZ-SL-000209</t>
        </is>
      </c>
      <c r="C212" t="inlineStr">
        <is>
          <t>WT-SL-SHUTTER-HIKI</t>
        </is>
      </c>
      <c r="D212" t="inlineStr">
        <is>
          <t>SP-SL-SHUT-E-VENT</t>
        </is>
      </c>
      <c r="E212" t="inlineStr">
        <is>
          <t>16507</t>
        </is>
      </c>
      <c r="F212" t="b">
        <v>1</v>
      </c>
      <c r="G212" t="n">
        <v>31</v>
      </c>
      <c r="H212" t="inlineStr">
        <is>
          <t>無印</t>
        </is>
      </c>
      <c r="I212" t="n">
        <v>30</v>
      </c>
      <c r="J212" t="inlineStr">
        <is>
          <t>P30|無印</t>
        </is>
      </c>
      <c r="K212" t="inlineStr">
        <is>
          <t>同一価格表・前頁凡例を継承</t>
        </is>
      </c>
      <c r="L212" t="inlineStr">
        <is>
          <t>202604_LIXIL_サーモスＬ_業務用資料集_完成品価格表.pdf</t>
        </is>
      </c>
      <c r="M212" t="inlineStr">
        <is>
          <t>v0.6：同一価格表セクション内で凡例継承を確定。</t>
        </is>
      </c>
      <c r="N212" t="inlineStr">
        <is>
          <t>https://drive.google.com/file/d/1YUN-mtWYs48YBUHJk0C3vJXnhjyZFHyf/view</t>
        </is>
      </c>
    </row>
    <row r="213">
      <c r="A213" s="42" t="inlineStr">
        <is>
          <t>GSC-SL-000210</t>
        </is>
      </c>
      <c r="B213" t="inlineStr">
        <is>
          <t>SZ-SL-000210</t>
        </is>
      </c>
      <c r="C213" t="inlineStr">
        <is>
          <t>WT-SL-SHUTTER-HIKI</t>
        </is>
      </c>
      <c r="D213" t="inlineStr">
        <is>
          <t>SP-SL-SHUT-E-VENT</t>
        </is>
      </c>
      <c r="E213" t="inlineStr">
        <is>
          <t>16509</t>
        </is>
      </c>
      <c r="F213" t="b">
        <v>1</v>
      </c>
      <c r="G213" t="n">
        <v>31</v>
      </c>
      <c r="H213" t="inlineStr">
        <is>
          <t>無印</t>
        </is>
      </c>
      <c r="I213" t="n">
        <v>30</v>
      </c>
      <c r="J213" t="inlineStr">
        <is>
          <t>P30|無印</t>
        </is>
      </c>
      <c r="K213" t="inlineStr">
        <is>
          <t>同一価格表・前頁凡例を継承</t>
        </is>
      </c>
      <c r="L213" t="inlineStr">
        <is>
          <t>202604_LIXIL_サーモスＬ_業務用資料集_完成品価格表.pdf</t>
        </is>
      </c>
      <c r="M213" t="inlineStr">
        <is>
          <t>v0.6：同一価格表セクション内で凡例継承を確定。</t>
        </is>
      </c>
      <c r="N213" t="inlineStr">
        <is>
          <t>https://drive.google.com/file/d/1YUN-mtWYs48YBUHJk0C3vJXnhjyZFHyf/view</t>
        </is>
      </c>
    </row>
    <row r="214">
      <c r="A214" s="42" t="inlineStr">
        <is>
          <t>GSC-SL-000211</t>
        </is>
      </c>
      <c r="B214" t="inlineStr">
        <is>
          <t>SZ-SL-000211</t>
        </is>
      </c>
      <c r="C214" t="inlineStr">
        <is>
          <t>WT-SL-SHUTTER-HIKI</t>
        </is>
      </c>
      <c r="D214" t="inlineStr">
        <is>
          <t>SP-SL-SHUT-E-VENT</t>
        </is>
      </c>
      <c r="E214" t="inlineStr">
        <is>
          <t>16511</t>
        </is>
      </c>
      <c r="F214" t="b">
        <v>1</v>
      </c>
      <c r="G214" t="n">
        <v>31</v>
      </c>
      <c r="H214" t="inlineStr">
        <is>
          <t>無印</t>
        </is>
      </c>
      <c r="I214" t="n">
        <v>30</v>
      </c>
      <c r="J214" t="inlineStr">
        <is>
          <t>P30|無印</t>
        </is>
      </c>
      <c r="K214" t="inlineStr">
        <is>
          <t>同一価格表・前頁凡例を継承</t>
        </is>
      </c>
      <c r="L214" t="inlineStr">
        <is>
          <t>202604_LIXIL_サーモスＬ_業務用資料集_完成品価格表.pdf</t>
        </is>
      </c>
      <c r="M214" t="inlineStr">
        <is>
          <t>v0.6：同一価格表セクション内で凡例継承を確定。</t>
        </is>
      </c>
      <c r="N214" t="inlineStr">
        <is>
          <t>https://drive.google.com/file/d/1YUN-mtWYs48YBUHJk0C3vJXnhjyZFHyf/view</t>
        </is>
      </c>
    </row>
    <row r="215">
      <c r="A215" s="42" t="inlineStr">
        <is>
          <t>GSC-SL-000212</t>
        </is>
      </c>
      <c r="B215" t="inlineStr">
        <is>
          <t>SZ-SL-000212</t>
        </is>
      </c>
      <c r="C215" t="inlineStr">
        <is>
          <t>WT-SL-SHUTTER-HIKI</t>
        </is>
      </c>
      <c r="D215" t="inlineStr">
        <is>
          <t>SP-SL-SHUT-E-VENT</t>
        </is>
      </c>
      <c r="E215" t="inlineStr">
        <is>
          <t>17409</t>
        </is>
      </c>
      <c r="F215" t="b">
        <v>1</v>
      </c>
      <c r="G215" t="n">
        <v>31</v>
      </c>
      <c r="H215" t="inlineStr">
        <is>
          <t>無印</t>
        </is>
      </c>
      <c r="I215" t="n">
        <v>30</v>
      </c>
      <c r="J215" t="inlineStr">
        <is>
          <t>P30|無印</t>
        </is>
      </c>
      <c r="K215" t="inlineStr">
        <is>
          <t>同一価格表・前頁凡例を継承</t>
        </is>
      </c>
      <c r="L215" t="inlineStr">
        <is>
          <t>202604_LIXIL_サーモスＬ_業務用資料集_完成品価格表.pdf</t>
        </is>
      </c>
      <c r="M215" t="inlineStr">
        <is>
          <t>v0.6：同一価格表セクション内で凡例継承を確定。</t>
        </is>
      </c>
      <c r="N215" t="inlineStr">
        <is>
          <t>https://drive.google.com/file/d/1YUN-mtWYs48YBUHJk0C3vJXnhjyZFHyf/view</t>
        </is>
      </c>
    </row>
    <row r="216">
      <c r="A216" s="42" t="inlineStr">
        <is>
          <t>GSC-SL-000213</t>
        </is>
      </c>
      <c r="B216" t="inlineStr">
        <is>
          <t>SZ-SL-000213</t>
        </is>
      </c>
      <c r="C216" t="inlineStr">
        <is>
          <t>WT-SL-SHUTTER-HIKI</t>
        </is>
      </c>
      <c r="D216" t="inlineStr">
        <is>
          <t>SP-SL-SHUT-E-VENT</t>
        </is>
      </c>
      <c r="E216" t="inlineStr">
        <is>
          <t>17411</t>
        </is>
      </c>
      <c r="F216" t="b">
        <v>1</v>
      </c>
      <c r="G216" t="n">
        <v>31</v>
      </c>
      <c r="H216" t="inlineStr">
        <is>
          <t>無印</t>
        </is>
      </c>
      <c r="I216" t="n">
        <v>30</v>
      </c>
      <c r="J216" t="inlineStr">
        <is>
          <t>P30|無印</t>
        </is>
      </c>
      <c r="K216" t="inlineStr">
        <is>
          <t>同一価格表・前頁凡例を継承</t>
        </is>
      </c>
      <c r="L216" t="inlineStr">
        <is>
          <t>202604_LIXIL_サーモスＬ_業務用資料集_完成品価格表.pdf</t>
        </is>
      </c>
      <c r="M216" t="inlineStr">
        <is>
          <t>v0.6：同一価格表セクション内で凡例継承を確定。</t>
        </is>
      </c>
      <c r="N216" t="inlineStr">
        <is>
          <t>https://drive.google.com/file/d/1YUN-mtWYs48YBUHJk0C3vJXnhjyZFHyf/view</t>
        </is>
      </c>
    </row>
    <row r="217">
      <c r="A217" s="42" t="inlineStr">
        <is>
          <t>GSC-SL-000214</t>
        </is>
      </c>
      <c r="B217" t="inlineStr">
        <is>
          <t>SZ-SL-000214</t>
        </is>
      </c>
      <c r="C217" t="inlineStr">
        <is>
          <t>WT-SL-SHUTTER-HIKI</t>
        </is>
      </c>
      <c r="D217" t="inlineStr">
        <is>
          <t>SP-SL-SHUT-E-VENT</t>
        </is>
      </c>
      <c r="E217" t="inlineStr">
        <is>
          <t>17609</t>
        </is>
      </c>
      <c r="F217" t="b">
        <v>1</v>
      </c>
      <c r="G217" t="n">
        <v>31</v>
      </c>
      <c r="H217" t="inlineStr">
        <is>
          <t>無印</t>
        </is>
      </c>
      <c r="I217" t="n">
        <v>30</v>
      </c>
      <c r="J217" t="inlineStr">
        <is>
          <t>P30|無印</t>
        </is>
      </c>
      <c r="K217" t="inlineStr">
        <is>
          <t>同一価格表・前頁凡例を継承</t>
        </is>
      </c>
      <c r="L217" t="inlineStr">
        <is>
          <t>202604_LIXIL_サーモスＬ_業務用資料集_完成品価格表.pdf</t>
        </is>
      </c>
      <c r="M217" t="inlineStr">
        <is>
          <t>v0.6：同一価格表セクション内で凡例継承を確定。</t>
        </is>
      </c>
      <c r="N217" t="inlineStr">
        <is>
          <t>https://drive.google.com/file/d/1YUN-mtWYs48YBUHJk0C3vJXnhjyZFHyf/view</t>
        </is>
      </c>
    </row>
    <row r="218">
      <c r="A218" s="42" t="inlineStr">
        <is>
          <t>GSC-SL-000215</t>
        </is>
      </c>
      <c r="B218" t="inlineStr">
        <is>
          <t>SZ-SL-000215</t>
        </is>
      </c>
      <c r="C218" t="inlineStr">
        <is>
          <t>WT-SL-SHUTTER-HIKI</t>
        </is>
      </c>
      <c r="D218" t="inlineStr">
        <is>
          <t>SP-SL-SHUT-E-VENT</t>
        </is>
      </c>
      <c r="E218" t="inlineStr">
        <is>
          <t>17611</t>
        </is>
      </c>
      <c r="F218" t="b">
        <v>1</v>
      </c>
      <c r="G218" t="n">
        <v>31</v>
      </c>
      <c r="H218" t="inlineStr">
        <is>
          <t>無印</t>
        </is>
      </c>
      <c r="I218" t="n">
        <v>30</v>
      </c>
      <c r="J218" t="inlineStr">
        <is>
          <t>P30|無印</t>
        </is>
      </c>
      <c r="K218" t="inlineStr">
        <is>
          <t>同一価格表・前頁凡例を継承</t>
        </is>
      </c>
      <c r="L218" t="inlineStr">
        <is>
          <t>202604_LIXIL_サーモスＬ_業務用資料集_完成品価格表.pdf</t>
        </is>
      </c>
      <c r="M218" t="inlineStr">
        <is>
          <t>v0.6：同一価格表セクション内で凡例継承を確定。</t>
        </is>
      </c>
      <c r="N218" t="inlineStr">
        <is>
          <t>https://drive.google.com/file/d/1YUN-mtWYs48YBUHJk0C3vJXnhjyZFHyf/view</t>
        </is>
      </c>
    </row>
    <row r="219">
      <c r="A219" s="42" t="inlineStr">
        <is>
          <t>GSC-SL-000216</t>
        </is>
      </c>
      <c r="B219" t="inlineStr">
        <is>
          <t>SZ-SL-000216</t>
        </is>
      </c>
      <c r="C219" t="inlineStr">
        <is>
          <t>WT-SL-SHUTTER-HIKI</t>
        </is>
      </c>
      <c r="D219" t="inlineStr">
        <is>
          <t>SP-SL-SHUT-E-WIND</t>
        </is>
      </c>
      <c r="E219" t="inlineStr">
        <is>
          <t>15009</t>
        </is>
      </c>
      <c r="F219" t="b">
        <v>1</v>
      </c>
      <c r="G219" t="n">
        <v>31</v>
      </c>
      <c r="H219" t="inlineStr">
        <is>
          <t>無印</t>
        </is>
      </c>
      <c r="I219" t="n">
        <v>30</v>
      </c>
      <c r="J219" t="inlineStr">
        <is>
          <t>P30|無印</t>
        </is>
      </c>
      <c r="K219" t="inlineStr">
        <is>
          <t>同一価格表・前頁凡例を継承</t>
        </is>
      </c>
      <c r="L219" t="inlineStr">
        <is>
          <t>202604_LIXIL_サーモスＬ_業務用資料集_完成品価格表.pdf</t>
        </is>
      </c>
      <c r="M219" t="inlineStr">
        <is>
          <t>v0.6：同一価格表セクション内で凡例継承を確定。</t>
        </is>
      </c>
      <c r="N219" t="inlineStr">
        <is>
          <t>https://drive.google.com/file/d/1YUN-mtWYs48YBUHJk0C3vJXnhjyZFHyf/view</t>
        </is>
      </c>
    </row>
    <row r="220">
      <c r="A220" s="42" t="inlineStr">
        <is>
          <t>GSC-SL-000217</t>
        </is>
      </c>
      <c r="B220" t="inlineStr">
        <is>
          <t>SZ-SL-000217</t>
        </is>
      </c>
      <c r="C220" t="inlineStr">
        <is>
          <t>WT-SL-SHUTTER-HIKI</t>
        </is>
      </c>
      <c r="D220" t="inlineStr">
        <is>
          <t>SP-SL-SHUT-E-WIND</t>
        </is>
      </c>
      <c r="E220" t="inlineStr">
        <is>
          <t>15011</t>
        </is>
      </c>
      <c r="F220" t="b">
        <v>1</v>
      </c>
      <c r="G220" t="n">
        <v>31</v>
      </c>
      <c r="H220" t="inlineStr">
        <is>
          <t>無印</t>
        </is>
      </c>
      <c r="I220" t="n">
        <v>30</v>
      </c>
      <c r="J220" t="inlineStr">
        <is>
          <t>P30|無印</t>
        </is>
      </c>
      <c r="K220" t="inlineStr">
        <is>
          <t>同一価格表・前頁凡例を継承</t>
        </is>
      </c>
      <c r="L220" t="inlineStr">
        <is>
          <t>202604_LIXIL_サーモスＬ_業務用資料集_完成品価格表.pdf</t>
        </is>
      </c>
      <c r="M220" t="inlineStr">
        <is>
          <t>v0.6：同一価格表セクション内で凡例継承を確定。</t>
        </is>
      </c>
      <c r="N220" t="inlineStr">
        <is>
          <t>https://drive.google.com/file/d/1YUN-mtWYs48YBUHJk0C3vJXnhjyZFHyf/view</t>
        </is>
      </c>
    </row>
    <row r="221">
      <c r="A221" s="42" t="inlineStr">
        <is>
          <t>GSC-SL-000218</t>
        </is>
      </c>
      <c r="B221" t="inlineStr">
        <is>
          <t>SZ-SL-000218</t>
        </is>
      </c>
      <c r="C221" t="inlineStr">
        <is>
          <t>WT-SL-SHUTTER-HIKI</t>
        </is>
      </c>
      <c r="D221" t="inlineStr">
        <is>
          <t>SP-SL-SHUT-E-WIND</t>
        </is>
      </c>
      <c r="E221" t="inlineStr">
        <is>
          <t>16009</t>
        </is>
      </c>
      <c r="F221" t="b">
        <v>1</v>
      </c>
      <c r="G221" t="n">
        <v>31</v>
      </c>
      <c r="H221" t="inlineStr">
        <is>
          <t>無印</t>
        </is>
      </c>
      <c r="I221" t="n">
        <v>30</v>
      </c>
      <c r="J221" t="inlineStr">
        <is>
          <t>P30|無印</t>
        </is>
      </c>
      <c r="K221" t="inlineStr">
        <is>
          <t>同一価格表・前頁凡例を継承</t>
        </is>
      </c>
      <c r="L221" t="inlineStr">
        <is>
          <t>202604_LIXIL_サーモスＬ_業務用資料集_完成品価格表.pdf</t>
        </is>
      </c>
      <c r="M221" t="inlineStr">
        <is>
          <t>v0.6：同一価格表セクション内で凡例継承を確定。</t>
        </is>
      </c>
      <c r="N221" t="inlineStr">
        <is>
          <t>https://drive.google.com/file/d/1YUN-mtWYs48YBUHJk0C3vJXnhjyZFHyf/view</t>
        </is>
      </c>
    </row>
    <row r="222">
      <c r="A222" s="42" t="inlineStr">
        <is>
          <t>GSC-SL-000219</t>
        </is>
      </c>
      <c r="B222" t="inlineStr">
        <is>
          <t>SZ-SL-000219</t>
        </is>
      </c>
      <c r="C222" t="inlineStr">
        <is>
          <t>WT-SL-SHUTTER-HIKI</t>
        </is>
      </c>
      <c r="D222" t="inlineStr">
        <is>
          <t>SP-SL-SHUT-E-WIND</t>
        </is>
      </c>
      <c r="E222" t="inlineStr">
        <is>
          <t>16011</t>
        </is>
      </c>
      <c r="F222" t="b">
        <v>1</v>
      </c>
      <c r="G222" t="n">
        <v>31</v>
      </c>
      <c r="H222" t="inlineStr">
        <is>
          <t>無印</t>
        </is>
      </c>
      <c r="I222" t="n">
        <v>30</v>
      </c>
      <c r="J222" t="inlineStr">
        <is>
          <t>P30|無印</t>
        </is>
      </c>
      <c r="K222" t="inlineStr">
        <is>
          <t>同一価格表・前頁凡例を継承</t>
        </is>
      </c>
      <c r="L222" t="inlineStr">
        <is>
          <t>202604_LIXIL_サーモスＬ_業務用資料集_完成品価格表.pdf</t>
        </is>
      </c>
      <c r="M222" t="inlineStr">
        <is>
          <t>v0.6：同一価格表セクション内で凡例継承を確定。</t>
        </is>
      </c>
      <c r="N222" t="inlineStr">
        <is>
          <t>https://drive.google.com/file/d/1YUN-mtWYs48YBUHJk0C3vJXnhjyZFHyf/view</t>
        </is>
      </c>
    </row>
    <row r="223">
      <c r="A223" s="42" t="inlineStr">
        <is>
          <t>GSC-SL-000220</t>
        </is>
      </c>
      <c r="B223" t="inlineStr">
        <is>
          <t>SZ-SL-000220</t>
        </is>
      </c>
      <c r="C223" t="inlineStr">
        <is>
          <t>WT-SL-SHUTTER-HIKI</t>
        </is>
      </c>
      <c r="D223" t="inlineStr">
        <is>
          <t>SP-SL-SHUT-E-WIND</t>
        </is>
      </c>
      <c r="E223" t="inlineStr">
        <is>
          <t>16507</t>
        </is>
      </c>
      <c r="F223" t="b">
        <v>1</v>
      </c>
      <c r="G223" t="n">
        <v>31</v>
      </c>
      <c r="H223" t="inlineStr">
        <is>
          <t>無印</t>
        </is>
      </c>
      <c r="I223" t="n">
        <v>30</v>
      </c>
      <c r="J223" t="inlineStr">
        <is>
          <t>P30|無印</t>
        </is>
      </c>
      <c r="K223" t="inlineStr">
        <is>
          <t>同一価格表・前頁凡例を継承</t>
        </is>
      </c>
      <c r="L223" t="inlineStr">
        <is>
          <t>202604_LIXIL_サーモスＬ_業務用資料集_完成品価格表.pdf</t>
        </is>
      </c>
      <c r="M223" t="inlineStr">
        <is>
          <t>v0.6：同一価格表セクション内で凡例継承を確定。</t>
        </is>
      </c>
      <c r="N223" t="inlineStr">
        <is>
          <t>https://drive.google.com/file/d/1YUN-mtWYs48YBUHJk0C3vJXnhjyZFHyf/view</t>
        </is>
      </c>
    </row>
    <row r="224">
      <c r="A224" s="42" t="inlineStr">
        <is>
          <t>GSC-SL-000221</t>
        </is>
      </c>
      <c r="B224" t="inlineStr">
        <is>
          <t>SZ-SL-000221</t>
        </is>
      </c>
      <c r="C224" t="inlineStr">
        <is>
          <t>WT-SL-SHUTTER-HIKI</t>
        </is>
      </c>
      <c r="D224" t="inlineStr">
        <is>
          <t>SP-SL-SHUT-E-WIND</t>
        </is>
      </c>
      <c r="E224" t="inlineStr">
        <is>
          <t>16509</t>
        </is>
      </c>
      <c r="F224" t="b">
        <v>1</v>
      </c>
      <c r="G224" t="n">
        <v>31</v>
      </c>
      <c r="H224" t="inlineStr">
        <is>
          <t>無印</t>
        </is>
      </c>
      <c r="I224" t="n">
        <v>30</v>
      </c>
      <c r="J224" t="inlineStr">
        <is>
          <t>P30|無印</t>
        </is>
      </c>
      <c r="K224" t="inlineStr">
        <is>
          <t>同一価格表・前頁凡例を継承</t>
        </is>
      </c>
      <c r="L224" t="inlineStr">
        <is>
          <t>202604_LIXIL_サーモスＬ_業務用資料集_完成品価格表.pdf</t>
        </is>
      </c>
      <c r="M224" t="inlineStr">
        <is>
          <t>v0.6：同一価格表セクション内で凡例継承を確定。</t>
        </is>
      </c>
      <c r="N224" t="inlineStr">
        <is>
          <t>https://drive.google.com/file/d/1YUN-mtWYs48YBUHJk0C3vJXnhjyZFHyf/view</t>
        </is>
      </c>
    </row>
    <row r="225">
      <c r="A225" s="42" t="inlineStr">
        <is>
          <t>GSC-SL-000222</t>
        </is>
      </c>
      <c r="B225" t="inlineStr">
        <is>
          <t>SZ-SL-000222</t>
        </is>
      </c>
      <c r="C225" t="inlineStr">
        <is>
          <t>WT-SL-SHUTTER-HIKI</t>
        </is>
      </c>
      <c r="D225" t="inlineStr">
        <is>
          <t>SP-SL-SHUT-E-WIND</t>
        </is>
      </c>
      <c r="E225" t="inlineStr">
        <is>
          <t>16511</t>
        </is>
      </c>
      <c r="F225" t="b">
        <v>1</v>
      </c>
      <c r="G225" t="n">
        <v>31</v>
      </c>
      <c r="H225" t="inlineStr">
        <is>
          <t>無印</t>
        </is>
      </c>
      <c r="I225" t="n">
        <v>30</v>
      </c>
      <c r="J225" t="inlineStr">
        <is>
          <t>P30|無印</t>
        </is>
      </c>
      <c r="K225" t="inlineStr">
        <is>
          <t>同一価格表・前頁凡例を継承</t>
        </is>
      </c>
      <c r="L225" t="inlineStr">
        <is>
          <t>202604_LIXIL_サーモスＬ_業務用資料集_完成品価格表.pdf</t>
        </is>
      </c>
      <c r="M225" t="inlineStr">
        <is>
          <t>v0.6：同一価格表セクション内で凡例継承を確定。</t>
        </is>
      </c>
      <c r="N225" t="inlineStr">
        <is>
          <t>https://drive.google.com/file/d/1YUN-mtWYs48YBUHJk0C3vJXnhjyZFHyf/view</t>
        </is>
      </c>
    </row>
    <row r="226">
      <c r="A226" s="42" t="inlineStr">
        <is>
          <t>GSC-SL-000223</t>
        </is>
      </c>
      <c r="B226" t="inlineStr">
        <is>
          <t>SZ-SL-000223</t>
        </is>
      </c>
      <c r="C226" t="inlineStr">
        <is>
          <t>WT-SL-SHUTTER-HIKI</t>
        </is>
      </c>
      <c r="D226" t="inlineStr">
        <is>
          <t>SP-SL-SHUT-E-WIND</t>
        </is>
      </c>
      <c r="E226" t="inlineStr">
        <is>
          <t>17409</t>
        </is>
      </c>
      <c r="F226" t="b">
        <v>0</v>
      </c>
      <c r="G226" t="n">
        <v>31</v>
      </c>
      <c r="H226" t="inlineStr">
        <is>
          <t>無印</t>
        </is>
      </c>
      <c r="I226" t="n">
        <v>30</v>
      </c>
      <c r="J226" t="inlineStr">
        <is>
          <t>P30|無印</t>
        </is>
      </c>
      <c r="K226" t="inlineStr">
        <is>
          <t>同一価格表・前頁凡例を継承</t>
        </is>
      </c>
      <c r="L226" t="inlineStr">
        <is>
          <t>202604_LIXIL_サーモスＬ_業務用資料集_完成品価格表.pdf</t>
        </is>
      </c>
      <c r="M226" t="inlineStr">
        <is>
          <t>v0.6：同一価格表セクション内で凡例継承を確定。</t>
        </is>
      </c>
      <c r="N226" t="inlineStr">
        <is>
          <t>https://drive.google.com/file/d/1YUN-mtWYs48YBUHJk0C3vJXnhjyZFHyf/view</t>
        </is>
      </c>
    </row>
    <row r="227">
      <c r="A227" s="42" t="inlineStr">
        <is>
          <t>GSC-SL-000224</t>
        </is>
      </c>
      <c r="B227" t="inlineStr">
        <is>
          <t>SZ-SL-000224</t>
        </is>
      </c>
      <c r="C227" t="inlineStr">
        <is>
          <t>WT-SL-SHUTTER-HIKI</t>
        </is>
      </c>
      <c r="D227" t="inlineStr">
        <is>
          <t>SP-SL-SHUT-E-WIND</t>
        </is>
      </c>
      <c r="E227" t="inlineStr">
        <is>
          <t>17411</t>
        </is>
      </c>
      <c r="F227" t="b">
        <v>0</v>
      </c>
      <c r="G227" t="n">
        <v>31</v>
      </c>
      <c r="H227" t="inlineStr">
        <is>
          <t>無印</t>
        </is>
      </c>
      <c r="I227" t="n">
        <v>30</v>
      </c>
      <c r="J227" t="inlineStr">
        <is>
          <t>P30|無印</t>
        </is>
      </c>
      <c r="K227" t="inlineStr">
        <is>
          <t>同一価格表・前頁凡例を継承</t>
        </is>
      </c>
      <c r="L227" t="inlineStr">
        <is>
          <t>202604_LIXIL_サーモスＬ_業務用資料集_完成品価格表.pdf</t>
        </is>
      </c>
      <c r="M227" t="inlineStr">
        <is>
          <t>v0.6：同一価格表セクション内で凡例継承を確定。</t>
        </is>
      </c>
      <c r="N227" t="inlineStr">
        <is>
          <t>https://drive.google.com/file/d/1YUN-mtWYs48YBUHJk0C3vJXnhjyZFHyf/view</t>
        </is>
      </c>
    </row>
    <row r="228">
      <c r="A228" s="42" t="inlineStr">
        <is>
          <t>GSC-SL-000225</t>
        </is>
      </c>
      <c r="B228" t="inlineStr">
        <is>
          <t>SZ-SL-000225</t>
        </is>
      </c>
      <c r="C228" t="inlineStr">
        <is>
          <t>WT-SL-SHUTTER-HIKI</t>
        </is>
      </c>
      <c r="D228" t="inlineStr">
        <is>
          <t>SP-SL-SHUT-E-WIND</t>
        </is>
      </c>
      <c r="E228" t="inlineStr">
        <is>
          <t>17609</t>
        </is>
      </c>
      <c r="F228" t="b">
        <v>0</v>
      </c>
      <c r="G228" t="n">
        <v>31</v>
      </c>
      <c r="H228" t="inlineStr">
        <is>
          <t>無印</t>
        </is>
      </c>
      <c r="I228" t="n">
        <v>30</v>
      </c>
      <c r="J228" t="inlineStr">
        <is>
          <t>P30|無印</t>
        </is>
      </c>
      <c r="K228" t="inlineStr">
        <is>
          <t>同一価格表・前頁凡例を継承</t>
        </is>
      </c>
      <c r="L228" t="inlineStr">
        <is>
          <t>202604_LIXIL_サーモスＬ_業務用資料集_完成品価格表.pdf</t>
        </is>
      </c>
      <c r="M228" t="inlineStr">
        <is>
          <t>v0.6：同一価格表セクション内で凡例継承を確定。</t>
        </is>
      </c>
      <c r="N228" t="inlineStr">
        <is>
          <t>https://drive.google.com/file/d/1YUN-mtWYs48YBUHJk0C3vJXnhjyZFHyf/view</t>
        </is>
      </c>
    </row>
    <row r="229">
      <c r="A229" s="42" t="inlineStr">
        <is>
          <t>GSC-SL-000226</t>
        </is>
      </c>
      <c r="B229" t="inlineStr">
        <is>
          <t>SZ-SL-000226</t>
        </is>
      </c>
      <c r="C229" t="inlineStr">
        <is>
          <t>WT-SL-SHUTTER-HIKI</t>
        </is>
      </c>
      <c r="D229" t="inlineStr">
        <is>
          <t>SP-SL-SHUT-E-WIND</t>
        </is>
      </c>
      <c r="E229" t="inlineStr">
        <is>
          <t>17611</t>
        </is>
      </c>
      <c r="F229" t="b">
        <v>0</v>
      </c>
      <c r="G229" t="n">
        <v>31</v>
      </c>
      <c r="H229" t="inlineStr">
        <is>
          <t>無印</t>
        </is>
      </c>
      <c r="I229" t="n">
        <v>30</v>
      </c>
      <c r="J229" t="inlineStr">
        <is>
          <t>P30|無印</t>
        </is>
      </c>
      <c r="K229" t="inlineStr">
        <is>
          <t>同一価格表・前頁凡例を継承</t>
        </is>
      </c>
      <c r="L229" t="inlineStr">
        <is>
          <t>202604_LIXIL_サーモスＬ_業務用資料集_完成品価格表.pdf</t>
        </is>
      </c>
      <c r="M229" t="inlineStr">
        <is>
          <t>v0.6：同一価格表セクション内で凡例継承を確定。</t>
        </is>
      </c>
      <c r="N229" t="inlineStr">
        <is>
          <t>https://drive.google.com/file/d/1YUN-mtWYs48YBUHJk0C3vJXnhjyZFHyf/view</t>
        </is>
      </c>
    </row>
    <row r="230">
      <c r="A230" s="42" t="inlineStr">
        <is>
          <t>GSC-SL-000227</t>
        </is>
      </c>
      <c r="B230" t="inlineStr">
        <is>
          <t>SZ-SL-000227</t>
        </is>
      </c>
      <c r="C230" t="inlineStr">
        <is>
          <t>WT-SL-SHUTTER-HIKI</t>
        </is>
      </c>
      <c r="D230" t="inlineStr">
        <is>
          <t>SP-SL-SHUT-E-STD</t>
        </is>
      </c>
      <c r="E230" t="inlineStr">
        <is>
          <t>18009</t>
        </is>
      </c>
      <c r="F230" t="b">
        <v>1</v>
      </c>
      <c r="G230" t="n">
        <v>32</v>
      </c>
      <c r="H230" t="inlineStr">
        <is>
          <t>無印</t>
        </is>
      </c>
      <c r="I230" t="n">
        <v>33</v>
      </c>
      <c r="J230" t="inlineStr">
        <is>
          <t>P33|無印</t>
        </is>
      </c>
      <c r="K230" t="inlineStr">
        <is>
          <t>同一価格表・次頁凡例を継承</t>
        </is>
      </c>
      <c r="L230" t="inlineStr">
        <is>
          <t>202604_LIXIL_サーモスＬ_業務用資料集_完成品価格表.pdf</t>
        </is>
      </c>
      <c r="M230" t="inlineStr">
        <is>
          <t>v0.6：同一価格表セクション内で凡例継承を確定。</t>
        </is>
      </c>
      <c r="N230" t="inlineStr">
        <is>
          <t>https://drive.google.com/file/d/1YUN-mtWYs48YBUHJk0C3vJXnhjyZFHyf/view</t>
        </is>
      </c>
    </row>
    <row r="231">
      <c r="A231" s="42" t="inlineStr">
        <is>
          <t>GSC-SL-000228</t>
        </is>
      </c>
      <c r="B231" t="inlineStr">
        <is>
          <t>SZ-SL-000228</t>
        </is>
      </c>
      <c r="C231" t="inlineStr">
        <is>
          <t>WT-SL-SHUTTER-HIKI</t>
        </is>
      </c>
      <c r="D231" t="inlineStr">
        <is>
          <t>SP-SL-SHUT-E-STD</t>
        </is>
      </c>
      <c r="E231" t="inlineStr">
        <is>
          <t>18011</t>
        </is>
      </c>
      <c r="F231" t="b">
        <v>1</v>
      </c>
      <c r="G231" t="n">
        <v>32</v>
      </c>
      <c r="H231" t="inlineStr">
        <is>
          <t>無印</t>
        </is>
      </c>
      <c r="I231" t="n">
        <v>33</v>
      </c>
      <c r="J231" t="inlineStr">
        <is>
          <t>P33|無印</t>
        </is>
      </c>
      <c r="K231" t="inlineStr">
        <is>
          <t>同一価格表・次頁凡例を継承</t>
        </is>
      </c>
      <c r="L231" t="inlineStr">
        <is>
          <t>202604_LIXIL_サーモスＬ_業務用資料集_完成品価格表.pdf</t>
        </is>
      </c>
      <c r="M231" t="inlineStr">
        <is>
          <t>v0.6：同一価格表セクション内で凡例継承を確定。</t>
        </is>
      </c>
      <c r="N231" t="inlineStr">
        <is>
          <t>https://drive.google.com/file/d/1YUN-mtWYs48YBUHJk0C3vJXnhjyZFHyf/view</t>
        </is>
      </c>
    </row>
    <row r="232">
      <c r="A232" s="42" t="inlineStr">
        <is>
          <t>GSC-SL-000229</t>
        </is>
      </c>
      <c r="B232" t="inlineStr">
        <is>
          <t>SZ-SL-000229</t>
        </is>
      </c>
      <c r="C232" t="inlineStr">
        <is>
          <t>WT-SL-SHUTTER-HIKI</t>
        </is>
      </c>
      <c r="D232" t="inlineStr">
        <is>
          <t>SP-SL-SHUT-E-STD</t>
        </is>
      </c>
      <c r="E232" t="inlineStr">
        <is>
          <t>18609</t>
        </is>
      </c>
      <c r="F232" t="b">
        <v>1</v>
      </c>
      <c r="G232" t="n">
        <v>32</v>
      </c>
      <c r="H232" t="inlineStr">
        <is>
          <t>無印</t>
        </is>
      </c>
      <c r="I232" t="n">
        <v>33</v>
      </c>
      <c r="J232" t="inlineStr">
        <is>
          <t>P33|無印</t>
        </is>
      </c>
      <c r="K232" t="inlineStr">
        <is>
          <t>同一価格表・次頁凡例を継承</t>
        </is>
      </c>
      <c r="L232" t="inlineStr">
        <is>
          <t>202604_LIXIL_サーモスＬ_業務用資料集_完成品価格表.pdf</t>
        </is>
      </c>
      <c r="M232" t="inlineStr">
        <is>
          <t>v0.6：同一価格表セクション内で凡例継承を確定。</t>
        </is>
      </c>
      <c r="N232" t="inlineStr">
        <is>
          <t>https://drive.google.com/file/d/1YUN-mtWYs48YBUHJk0C3vJXnhjyZFHyf/view</t>
        </is>
      </c>
    </row>
    <row r="233">
      <c r="A233" s="42" t="inlineStr">
        <is>
          <t>GSC-SL-000230</t>
        </is>
      </c>
      <c r="B233" t="inlineStr">
        <is>
          <t>SZ-SL-000230</t>
        </is>
      </c>
      <c r="C233" t="inlineStr">
        <is>
          <t>WT-SL-SHUTTER-HIKI</t>
        </is>
      </c>
      <c r="D233" t="inlineStr">
        <is>
          <t>SP-SL-SHUT-E-STD</t>
        </is>
      </c>
      <c r="E233" t="inlineStr">
        <is>
          <t>18611</t>
        </is>
      </c>
      <c r="F233" t="b">
        <v>1</v>
      </c>
      <c r="G233" t="n">
        <v>32</v>
      </c>
      <c r="H233" t="inlineStr">
        <is>
          <t>★</t>
        </is>
      </c>
      <c r="I233" t="n">
        <v>33</v>
      </c>
      <c r="J233" t="inlineStr">
        <is>
          <t>P33|★</t>
        </is>
      </c>
      <c r="K233" t="inlineStr">
        <is>
          <t>同一価格表・次頁凡例を継承</t>
        </is>
      </c>
      <c r="L233" t="inlineStr">
        <is>
          <t>202604_LIXIL_サーモスＬ_業務用資料集_完成品価格表.pdf</t>
        </is>
      </c>
      <c r="M233" t="inlineStr">
        <is>
          <t>v0.6：同一価格表セクション内で凡例継承を確定。</t>
        </is>
      </c>
      <c r="N233" t="inlineStr">
        <is>
          <t>https://drive.google.com/file/d/1YUN-mtWYs48YBUHJk0C3vJXnhjyZFHyf/view</t>
        </is>
      </c>
    </row>
    <row r="234">
      <c r="A234" s="42" t="inlineStr">
        <is>
          <t>GSC-SL-000231</t>
        </is>
      </c>
      <c r="B234" t="inlineStr">
        <is>
          <t>SZ-SL-000231</t>
        </is>
      </c>
      <c r="C234" t="inlineStr">
        <is>
          <t>WT-SL-SHUTTER-HIKI</t>
        </is>
      </c>
      <c r="D234" t="inlineStr">
        <is>
          <t>SP-SL-SHUT-E-VENT</t>
        </is>
      </c>
      <c r="E234" t="inlineStr">
        <is>
          <t>18009</t>
        </is>
      </c>
      <c r="F234" t="b">
        <v>1</v>
      </c>
      <c r="G234" t="n">
        <v>32</v>
      </c>
      <c r="H234" t="inlineStr">
        <is>
          <t>無印</t>
        </is>
      </c>
      <c r="I234" t="n">
        <v>33</v>
      </c>
      <c r="J234" t="inlineStr">
        <is>
          <t>P33|無印</t>
        </is>
      </c>
      <c r="K234" t="inlineStr">
        <is>
          <t>同一価格表・次頁凡例を継承</t>
        </is>
      </c>
      <c r="L234" t="inlineStr">
        <is>
          <t>202604_LIXIL_サーモスＬ_業務用資料集_完成品価格表.pdf</t>
        </is>
      </c>
      <c r="M234" t="inlineStr">
        <is>
          <t>v0.6：同一価格表セクション内で凡例継承を確定。</t>
        </is>
      </c>
      <c r="N234" t="inlineStr">
        <is>
          <t>https://drive.google.com/file/d/1YUN-mtWYs48YBUHJk0C3vJXnhjyZFHyf/view</t>
        </is>
      </c>
    </row>
    <row r="235">
      <c r="A235" s="42" t="inlineStr">
        <is>
          <t>GSC-SL-000232</t>
        </is>
      </c>
      <c r="B235" t="inlineStr">
        <is>
          <t>SZ-SL-000232</t>
        </is>
      </c>
      <c r="C235" t="inlineStr">
        <is>
          <t>WT-SL-SHUTTER-HIKI</t>
        </is>
      </c>
      <c r="D235" t="inlineStr">
        <is>
          <t>SP-SL-SHUT-E-VENT</t>
        </is>
      </c>
      <c r="E235" t="inlineStr">
        <is>
          <t>18011</t>
        </is>
      </c>
      <c r="F235" t="b">
        <v>1</v>
      </c>
      <c r="G235" t="n">
        <v>32</v>
      </c>
      <c r="H235" t="inlineStr">
        <is>
          <t>無印</t>
        </is>
      </c>
      <c r="I235" t="n">
        <v>33</v>
      </c>
      <c r="J235" t="inlineStr">
        <is>
          <t>P33|無印</t>
        </is>
      </c>
      <c r="K235" t="inlineStr">
        <is>
          <t>同一価格表・次頁凡例を継承</t>
        </is>
      </c>
      <c r="L235" t="inlineStr">
        <is>
          <t>202604_LIXIL_サーモスＬ_業務用資料集_完成品価格表.pdf</t>
        </is>
      </c>
      <c r="M235" t="inlineStr">
        <is>
          <t>v0.6：同一価格表セクション内で凡例継承を確定。</t>
        </is>
      </c>
      <c r="N235" t="inlineStr">
        <is>
          <t>https://drive.google.com/file/d/1YUN-mtWYs48YBUHJk0C3vJXnhjyZFHyf/view</t>
        </is>
      </c>
    </row>
    <row r="236">
      <c r="A236" s="42" t="inlineStr">
        <is>
          <t>GSC-SL-000233</t>
        </is>
      </c>
      <c r="B236" t="inlineStr">
        <is>
          <t>SZ-SL-000233</t>
        </is>
      </c>
      <c r="C236" t="inlineStr">
        <is>
          <t>WT-SL-SHUTTER-HIKI</t>
        </is>
      </c>
      <c r="D236" t="inlineStr">
        <is>
          <t>SP-SL-SHUT-E-VENT</t>
        </is>
      </c>
      <c r="E236" t="inlineStr">
        <is>
          <t>18609</t>
        </is>
      </c>
      <c r="F236" t="b">
        <v>1</v>
      </c>
      <c r="G236" t="n">
        <v>32</v>
      </c>
      <c r="H236" t="inlineStr">
        <is>
          <t>無印</t>
        </is>
      </c>
      <c r="I236" t="n">
        <v>33</v>
      </c>
      <c r="J236" t="inlineStr">
        <is>
          <t>P33|無印</t>
        </is>
      </c>
      <c r="K236" t="inlineStr">
        <is>
          <t>同一価格表・次頁凡例を継承</t>
        </is>
      </c>
      <c r="L236" t="inlineStr">
        <is>
          <t>202604_LIXIL_サーモスＬ_業務用資料集_完成品価格表.pdf</t>
        </is>
      </c>
      <c r="M236" t="inlineStr">
        <is>
          <t>v0.6：同一価格表セクション内で凡例継承を確定。</t>
        </is>
      </c>
      <c r="N236" t="inlineStr">
        <is>
          <t>https://drive.google.com/file/d/1YUN-mtWYs48YBUHJk0C3vJXnhjyZFHyf/view</t>
        </is>
      </c>
    </row>
    <row r="237">
      <c r="A237" s="42" t="inlineStr">
        <is>
          <t>GSC-SL-000234</t>
        </is>
      </c>
      <c r="B237" t="inlineStr">
        <is>
          <t>SZ-SL-000234</t>
        </is>
      </c>
      <c r="C237" t="inlineStr">
        <is>
          <t>WT-SL-SHUTTER-HIKI</t>
        </is>
      </c>
      <c r="D237" t="inlineStr">
        <is>
          <t>SP-SL-SHUT-E-VENT</t>
        </is>
      </c>
      <c r="E237" t="inlineStr">
        <is>
          <t>18611</t>
        </is>
      </c>
      <c r="F237" t="b">
        <v>1</v>
      </c>
      <c r="G237" t="n">
        <v>32</v>
      </c>
      <c r="H237" t="inlineStr">
        <is>
          <t>★</t>
        </is>
      </c>
      <c r="I237" t="n">
        <v>33</v>
      </c>
      <c r="J237" t="inlineStr">
        <is>
          <t>P33|★</t>
        </is>
      </c>
      <c r="K237" t="inlineStr">
        <is>
          <t>同一価格表・次頁凡例を継承</t>
        </is>
      </c>
      <c r="L237" t="inlineStr">
        <is>
          <t>202604_LIXIL_サーモスＬ_業務用資料集_完成品価格表.pdf</t>
        </is>
      </c>
      <c r="M237" t="inlineStr">
        <is>
          <t>v0.6：同一価格表セクション内で凡例継承を確定。</t>
        </is>
      </c>
      <c r="N237" t="inlineStr">
        <is>
          <t>https://drive.google.com/file/d/1YUN-mtWYs48YBUHJk0C3vJXnhjyZFHyf/view</t>
        </is>
      </c>
    </row>
    <row r="238">
      <c r="A238" s="42" t="inlineStr">
        <is>
          <t>GSC-SL-000235</t>
        </is>
      </c>
      <c r="B238" t="inlineStr">
        <is>
          <t>SZ-SL-000235</t>
        </is>
      </c>
      <c r="C238" t="inlineStr">
        <is>
          <t>WT-SL-SHUTTER-HIKI</t>
        </is>
      </c>
      <c r="D238" t="inlineStr">
        <is>
          <t>SP-SL-SHUT-E-WIND</t>
        </is>
      </c>
      <c r="E238" t="inlineStr">
        <is>
          <t>18009</t>
        </is>
      </c>
      <c r="F238" t="b">
        <v>0</v>
      </c>
      <c r="G238" t="n">
        <v>32</v>
      </c>
      <c r="H238" t="inlineStr">
        <is>
          <t>無印</t>
        </is>
      </c>
      <c r="I238" t="n">
        <v>33</v>
      </c>
      <c r="J238" t="inlineStr">
        <is>
          <t>P33|無印</t>
        </is>
      </c>
      <c r="K238" t="inlineStr">
        <is>
          <t>同一価格表・次頁凡例を継承</t>
        </is>
      </c>
      <c r="L238" t="inlineStr">
        <is>
          <t>202604_LIXIL_サーモスＬ_業務用資料集_完成品価格表.pdf</t>
        </is>
      </c>
      <c r="M238" t="inlineStr">
        <is>
          <t>v0.6：同一価格表セクション内で凡例継承を確定。</t>
        </is>
      </c>
      <c r="N238" t="inlineStr">
        <is>
          <t>https://drive.google.com/file/d/1YUN-mtWYs48YBUHJk0C3vJXnhjyZFHyf/view</t>
        </is>
      </c>
    </row>
    <row r="239">
      <c r="A239" s="42" t="inlineStr">
        <is>
          <t>GSC-SL-000236</t>
        </is>
      </c>
      <c r="B239" t="inlineStr">
        <is>
          <t>SZ-SL-000236</t>
        </is>
      </c>
      <c r="C239" t="inlineStr">
        <is>
          <t>WT-SL-SHUTTER-HIKI</t>
        </is>
      </c>
      <c r="D239" t="inlineStr">
        <is>
          <t>SP-SL-SHUT-E-WIND</t>
        </is>
      </c>
      <c r="E239" t="inlineStr">
        <is>
          <t>18011</t>
        </is>
      </c>
      <c r="F239" t="b">
        <v>0</v>
      </c>
      <c r="G239" t="n">
        <v>32</v>
      </c>
      <c r="H239" t="inlineStr">
        <is>
          <t>無印</t>
        </is>
      </c>
      <c r="I239" t="n">
        <v>33</v>
      </c>
      <c r="J239" t="inlineStr">
        <is>
          <t>P33|無印</t>
        </is>
      </c>
      <c r="K239" t="inlineStr">
        <is>
          <t>同一価格表・次頁凡例を継承</t>
        </is>
      </c>
      <c r="L239" t="inlineStr">
        <is>
          <t>202604_LIXIL_サーモスＬ_業務用資料集_完成品価格表.pdf</t>
        </is>
      </c>
      <c r="M239" t="inlineStr">
        <is>
          <t>v0.6：同一価格表セクション内で凡例継承を確定。</t>
        </is>
      </c>
      <c r="N239" t="inlineStr">
        <is>
          <t>https://drive.google.com/file/d/1YUN-mtWYs48YBUHJk0C3vJXnhjyZFHyf/view</t>
        </is>
      </c>
    </row>
    <row r="240">
      <c r="A240" s="42" t="inlineStr">
        <is>
          <t>GSC-SL-000237</t>
        </is>
      </c>
      <c r="B240" t="inlineStr">
        <is>
          <t>SZ-SL-000237</t>
        </is>
      </c>
      <c r="C240" t="inlineStr">
        <is>
          <t>WT-SL-SHUTTER-HIKI</t>
        </is>
      </c>
      <c r="D240" t="inlineStr">
        <is>
          <t>SP-SL-SHUT-E-WIND</t>
        </is>
      </c>
      <c r="E240" t="inlineStr">
        <is>
          <t>18609</t>
        </is>
      </c>
      <c r="F240" t="b">
        <v>0</v>
      </c>
      <c r="G240" t="n">
        <v>32</v>
      </c>
      <c r="H240" t="inlineStr">
        <is>
          <t>無印</t>
        </is>
      </c>
      <c r="I240" t="n">
        <v>33</v>
      </c>
      <c r="J240" t="inlineStr">
        <is>
          <t>P33|無印</t>
        </is>
      </c>
      <c r="K240" t="inlineStr">
        <is>
          <t>同一価格表・次頁凡例を継承</t>
        </is>
      </c>
      <c r="L240" t="inlineStr">
        <is>
          <t>202604_LIXIL_サーモスＬ_業務用資料集_完成品価格表.pdf</t>
        </is>
      </c>
      <c r="M240" t="inlineStr">
        <is>
          <t>v0.6：同一価格表セクション内で凡例継承を確定。</t>
        </is>
      </c>
      <c r="N240" t="inlineStr">
        <is>
          <t>https://drive.google.com/file/d/1YUN-mtWYs48YBUHJk0C3vJXnhjyZFHyf/view</t>
        </is>
      </c>
    </row>
    <row r="241">
      <c r="A241" s="42" t="inlineStr">
        <is>
          <t>GSC-SL-000238</t>
        </is>
      </c>
      <c r="B241" t="inlineStr">
        <is>
          <t>SZ-SL-000238</t>
        </is>
      </c>
      <c r="C241" t="inlineStr">
        <is>
          <t>WT-SL-SHUTTER-HIKI</t>
        </is>
      </c>
      <c r="D241" t="inlineStr">
        <is>
          <t>SP-SL-SHUT-E-WIND</t>
        </is>
      </c>
      <c r="E241" t="inlineStr">
        <is>
          <t>18611</t>
        </is>
      </c>
      <c r="F241" t="b">
        <v>0</v>
      </c>
      <c r="G241" t="n">
        <v>32</v>
      </c>
      <c r="H241" t="inlineStr">
        <is>
          <t>★</t>
        </is>
      </c>
      <c r="I241" t="n">
        <v>33</v>
      </c>
      <c r="J241" t="inlineStr">
        <is>
          <t>P33|★</t>
        </is>
      </c>
      <c r="K241" t="inlineStr">
        <is>
          <t>同一価格表・次頁凡例を継承</t>
        </is>
      </c>
      <c r="L241" t="inlineStr">
        <is>
          <t>202604_LIXIL_サーモスＬ_業務用資料集_完成品価格表.pdf</t>
        </is>
      </c>
      <c r="M241" t="inlineStr">
        <is>
          <t>v0.6：同一価格表セクション内で凡例継承を確定。</t>
        </is>
      </c>
      <c r="N241" t="inlineStr">
        <is>
          <t>https://drive.google.com/file/d/1YUN-mtWYs48YBUHJk0C3vJXnhjyZFHyf/view</t>
        </is>
      </c>
    </row>
    <row r="242">
      <c r="A242" s="42" t="inlineStr">
        <is>
          <t>GSC-SL-000239</t>
        </is>
      </c>
      <c r="B242" t="inlineStr">
        <is>
          <t>SZ-SL-000239</t>
        </is>
      </c>
      <c r="C242" t="inlineStr">
        <is>
          <t>WT-SL-SHUTTER-HIKI</t>
        </is>
      </c>
      <c r="D242" t="inlineStr">
        <is>
          <t>SP-SL-SHUT-E-STD</t>
        </is>
      </c>
      <c r="E242" t="inlineStr">
        <is>
          <t>25111-2</t>
        </is>
      </c>
      <c r="F242" t="b">
        <v>1</v>
      </c>
      <c r="G242" t="n">
        <v>33</v>
      </c>
      <c r="H242" t="inlineStr">
        <is>
          <t>☆</t>
        </is>
      </c>
      <c r="I242" t="n">
        <v>33</v>
      </c>
      <c r="J242" t="inlineStr">
        <is>
          <t>P33|☆</t>
        </is>
      </c>
      <c r="K242" t="inlineStr">
        <is>
          <t>同頁凡例へ直接連動</t>
        </is>
      </c>
      <c r="L242" t="inlineStr">
        <is>
          <t>202604_LIXIL_サーモスＬ_業務用資料集_完成品価格表.pdf</t>
        </is>
      </c>
      <c r="M242" t="inlineStr">
        <is>
          <t>v0.6：同一価格表セクション内で凡例継承を確定。</t>
        </is>
      </c>
      <c r="N242" t="inlineStr">
        <is>
          <t>https://drive.google.com/file/d/1YUN-mtWYs48YBUHJk0C3vJXnhjyZFHyf/view</t>
        </is>
      </c>
    </row>
    <row r="243">
      <c r="A243" s="42" t="inlineStr">
        <is>
          <t>GSC-SL-000240</t>
        </is>
      </c>
      <c r="B243" t="inlineStr">
        <is>
          <t>SZ-SL-000240</t>
        </is>
      </c>
      <c r="C243" t="inlineStr">
        <is>
          <t>WT-SL-SHUTTER-HIKI</t>
        </is>
      </c>
      <c r="D243" t="inlineStr">
        <is>
          <t>SP-SL-SHUT-E-STD</t>
        </is>
      </c>
      <c r="E243" t="inlineStr">
        <is>
          <t>25111-4</t>
        </is>
      </c>
      <c r="F243" t="b">
        <v>1</v>
      </c>
      <c r="G243" t="n">
        <v>33</v>
      </c>
      <c r="H243" t="inlineStr">
        <is>
          <t>無印</t>
        </is>
      </c>
      <c r="I243" t="n">
        <v>33</v>
      </c>
      <c r="J243" t="inlineStr">
        <is>
          <t>P33|無印</t>
        </is>
      </c>
      <c r="K243" t="inlineStr">
        <is>
          <t>同頁凡例へ直接連動</t>
        </is>
      </c>
      <c r="L243" t="inlineStr">
        <is>
          <t>202604_LIXIL_サーモスＬ_業務用資料集_完成品価格表.pdf</t>
        </is>
      </c>
      <c r="M243" t="inlineStr">
        <is>
          <t>v0.6：同一価格表セクション内で凡例継承を確定。</t>
        </is>
      </c>
      <c r="N243" t="inlineStr">
        <is>
          <t>https://drive.google.com/file/d/1YUN-mtWYs48YBUHJk0C3vJXnhjyZFHyf/view</t>
        </is>
      </c>
    </row>
    <row r="244">
      <c r="A244" s="42" t="inlineStr">
        <is>
          <t>GSC-SL-000241</t>
        </is>
      </c>
      <c r="B244" t="inlineStr">
        <is>
          <t>SZ-SL-000241</t>
        </is>
      </c>
      <c r="C244" t="inlineStr">
        <is>
          <t>WT-SL-SHUTTER-HIKI</t>
        </is>
      </c>
      <c r="D244" t="inlineStr">
        <is>
          <t>SP-SL-SHUT-E-STD</t>
        </is>
      </c>
      <c r="E244" t="inlineStr">
        <is>
          <t>25611-2</t>
        </is>
      </c>
      <c r="F244" t="b">
        <v>1</v>
      </c>
      <c r="G244" t="n">
        <v>33</v>
      </c>
      <c r="H244" t="inlineStr">
        <is>
          <t>☆</t>
        </is>
      </c>
      <c r="I244" t="n">
        <v>33</v>
      </c>
      <c r="J244" t="inlineStr">
        <is>
          <t>P33|☆</t>
        </is>
      </c>
      <c r="K244" t="inlineStr">
        <is>
          <t>同頁凡例へ直接連動</t>
        </is>
      </c>
      <c r="L244" t="inlineStr">
        <is>
          <t>202604_LIXIL_サーモスＬ_業務用資料集_完成品価格表.pdf</t>
        </is>
      </c>
      <c r="M244" t="inlineStr">
        <is>
          <t>v0.6：同一価格表セクション内で凡例継承を確定。</t>
        </is>
      </c>
      <c r="N244" t="inlineStr">
        <is>
          <t>https://drive.google.com/file/d/1YUN-mtWYs48YBUHJk0C3vJXnhjyZFHyf/view</t>
        </is>
      </c>
    </row>
    <row r="245">
      <c r="A245" s="42" t="inlineStr">
        <is>
          <t>GSC-SL-000242</t>
        </is>
      </c>
      <c r="B245" t="inlineStr">
        <is>
          <t>SZ-SL-000242</t>
        </is>
      </c>
      <c r="C245" t="inlineStr">
        <is>
          <t>WT-SL-SHUTTER-HIKI</t>
        </is>
      </c>
      <c r="D245" t="inlineStr">
        <is>
          <t>SP-SL-SHUT-E-STD</t>
        </is>
      </c>
      <c r="E245" t="inlineStr">
        <is>
          <t>25611-4</t>
        </is>
      </c>
      <c r="F245" t="b">
        <v>1</v>
      </c>
      <c r="G245" t="n">
        <v>33</v>
      </c>
      <c r="H245" t="inlineStr">
        <is>
          <t>無印</t>
        </is>
      </c>
      <c r="I245" t="n">
        <v>33</v>
      </c>
      <c r="J245" t="inlineStr">
        <is>
          <t>P33|無印</t>
        </is>
      </c>
      <c r="K245" t="inlineStr">
        <is>
          <t>同頁凡例へ直接連動</t>
        </is>
      </c>
      <c r="L245" t="inlineStr">
        <is>
          <t>202604_LIXIL_サーモスＬ_業務用資料集_完成品価格表.pdf</t>
        </is>
      </c>
      <c r="M245" t="inlineStr">
        <is>
          <t>v0.6：同一価格表セクション内で凡例継承を確定。</t>
        </is>
      </c>
      <c r="N245" t="inlineStr">
        <is>
          <t>https://drive.google.com/file/d/1YUN-mtWYs48YBUHJk0C3vJXnhjyZFHyf/view</t>
        </is>
      </c>
    </row>
    <row r="246">
      <c r="A246" s="42" t="inlineStr">
        <is>
          <t>GSC-SL-000243</t>
        </is>
      </c>
      <c r="B246" t="inlineStr">
        <is>
          <t>SZ-SL-000243</t>
        </is>
      </c>
      <c r="C246" t="inlineStr">
        <is>
          <t>WT-SL-SHUTTER-HIKI</t>
        </is>
      </c>
      <c r="D246" t="inlineStr">
        <is>
          <t>SP-SL-SHUT-E-VENT</t>
        </is>
      </c>
      <c r="E246" t="inlineStr">
        <is>
          <t>25111-2</t>
        </is>
      </c>
      <c r="F246" t="b">
        <v>1</v>
      </c>
      <c r="G246" t="n">
        <v>33</v>
      </c>
      <c r="H246" t="inlineStr">
        <is>
          <t>☆</t>
        </is>
      </c>
      <c r="I246" t="n">
        <v>33</v>
      </c>
      <c r="J246" t="inlineStr">
        <is>
          <t>P33|☆</t>
        </is>
      </c>
      <c r="K246" t="inlineStr">
        <is>
          <t>同頁凡例へ直接連動</t>
        </is>
      </c>
      <c r="L246" t="inlineStr">
        <is>
          <t>202604_LIXIL_サーモスＬ_業務用資料集_完成品価格表.pdf</t>
        </is>
      </c>
      <c r="M246" t="inlineStr">
        <is>
          <t>v0.6：同一価格表セクション内で凡例継承を確定。</t>
        </is>
      </c>
      <c r="N246" t="inlineStr">
        <is>
          <t>https://drive.google.com/file/d/1YUN-mtWYs48YBUHJk0C3vJXnhjyZFHyf/view</t>
        </is>
      </c>
    </row>
    <row r="247">
      <c r="A247" s="42" t="inlineStr">
        <is>
          <t>GSC-SL-000244</t>
        </is>
      </c>
      <c r="B247" t="inlineStr">
        <is>
          <t>SZ-SL-000244</t>
        </is>
      </c>
      <c r="C247" t="inlineStr">
        <is>
          <t>WT-SL-SHUTTER-HIKI</t>
        </is>
      </c>
      <c r="D247" t="inlineStr">
        <is>
          <t>SP-SL-SHUT-E-VENT</t>
        </is>
      </c>
      <c r="E247" t="inlineStr">
        <is>
          <t>25111-4</t>
        </is>
      </c>
      <c r="F247" t="b">
        <v>1</v>
      </c>
      <c r="G247" t="n">
        <v>33</v>
      </c>
      <c r="H247" t="inlineStr">
        <is>
          <t>無印</t>
        </is>
      </c>
      <c r="I247" t="n">
        <v>33</v>
      </c>
      <c r="J247" t="inlineStr">
        <is>
          <t>P33|無印</t>
        </is>
      </c>
      <c r="K247" t="inlineStr">
        <is>
          <t>同頁凡例へ直接連動</t>
        </is>
      </c>
      <c r="L247" t="inlineStr">
        <is>
          <t>202604_LIXIL_サーモスＬ_業務用資料集_完成品価格表.pdf</t>
        </is>
      </c>
      <c r="M247" t="inlineStr">
        <is>
          <t>v0.6：同一価格表セクション内で凡例継承を確定。</t>
        </is>
      </c>
      <c r="N247" t="inlineStr">
        <is>
          <t>https://drive.google.com/file/d/1YUN-mtWYs48YBUHJk0C3vJXnhjyZFHyf/view</t>
        </is>
      </c>
    </row>
    <row r="248">
      <c r="A248" s="42" t="inlineStr">
        <is>
          <t>GSC-SL-000245</t>
        </is>
      </c>
      <c r="B248" t="inlineStr">
        <is>
          <t>SZ-SL-000245</t>
        </is>
      </c>
      <c r="C248" t="inlineStr">
        <is>
          <t>WT-SL-SHUTTER-HIKI</t>
        </is>
      </c>
      <c r="D248" t="inlineStr">
        <is>
          <t>SP-SL-SHUT-E-VENT</t>
        </is>
      </c>
      <c r="E248" t="inlineStr">
        <is>
          <t>25611-2</t>
        </is>
      </c>
      <c r="F248" t="b">
        <v>1</v>
      </c>
      <c r="G248" t="n">
        <v>33</v>
      </c>
      <c r="H248" t="inlineStr">
        <is>
          <t>☆</t>
        </is>
      </c>
      <c r="I248" t="n">
        <v>33</v>
      </c>
      <c r="J248" t="inlineStr">
        <is>
          <t>P33|☆</t>
        </is>
      </c>
      <c r="K248" t="inlineStr">
        <is>
          <t>同頁凡例へ直接連動</t>
        </is>
      </c>
      <c r="L248" t="inlineStr">
        <is>
          <t>202604_LIXIL_サーモスＬ_業務用資料集_完成品価格表.pdf</t>
        </is>
      </c>
      <c r="M248" t="inlineStr">
        <is>
          <t>v0.6：同一価格表セクション内で凡例継承を確定。</t>
        </is>
      </c>
      <c r="N248" t="inlineStr">
        <is>
          <t>https://drive.google.com/file/d/1YUN-mtWYs48YBUHJk0C3vJXnhjyZFHyf/view</t>
        </is>
      </c>
    </row>
    <row r="249">
      <c r="A249" s="42" t="inlineStr">
        <is>
          <t>GSC-SL-000246</t>
        </is>
      </c>
      <c r="B249" t="inlineStr">
        <is>
          <t>SZ-SL-000246</t>
        </is>
      </c>
      <c r="C249" t="inlineStr">
        <is>
          <t>WT-SL-SHUTTER-HIKI</t>
        </is>
      </c>
      <c r="D249" t="inlineStr">
        <is>
          <t>SP-SL-SHUT-E-VENT</t>
        </is>
      </c>
      <c r="E249" t="inlineStr">
        <is>
          <t>25611-4</t>
        </is>
      </c>
      <c r="F249" t="b">
        <v>1</v>
      </c>
      <c r="G249" t="n">
        <v>33</v>
      </c>
      <c r="H249" t="inlineStr">
        <is>
          <t>無印</t>
        </is>
      </c>
      <c r="I249" t="n">
        <v>33</v>
      </c>
      <c r="J249" t="inlineStr">
        <is>
          <t>P33|無印</t>
        </is>
      </c>
      <c r="K249" t="inlineStr">
        <is>
          <t>同頁凡例へ直接連動</t>
        </is>
      </c>
      <c r="L249" t="inlineStr">
        <is>
          <t>202604_LIXIL_サーモスＬ_業務用資料集_完成品価格表.pdf</t>
        </is>
      </c>
      <c r="M249" t="inlineStr">
        <is>
          <t>v0.6：同一価格表セクション内で凡例継承を確定。</t>
        </is>
      </c>
      <c r="N249" t="inlineStr">
        <is>
          <t>https://drive.google.com/file/d/1YUN-mtWYs48YBUHJk0C3vJXnhjyZFHyf/view</t>
        </is>
      </c>
    </row>
    <row r="250">
      <c r="A250" s="42" t="inlineStr">
        <is>
          <t>GSC-SL-000247</t>
        </is>
      </c>
      <c r="B250" t="inlineStr">
        <is>
          <t>SZ-SL-000247</t>
        </is>
      </c>
      <c r="C250" t="inlineStr">
        <is>
          <t>WT-SL-SHUTTER-HIKI</t>
        </is>
      </c>
      <c r="D250" t="inlineStr">
        <is>
          <t>SP-SL-SHUT-E-WIND</t>
        </is>
      </c>
      <c r="E250" t="inlineStr">
        <is>
          <t>25111-2</t>
        </is>
      </c>
      <c r="F250" t="b">
        <v>1</v>
      </c>
      <c r="G250" t="n">
        <v>33</v>
      </c>
      <c r="H250" t="inlineStr">
        <is>
          <t>☆</t>
        </is>
      </c>
      <c r="I250" t="n">
        <v>33</v>
      </c>
      <c r="J250" t="inlineStr">
        <is>
          <t>P33|☆</t>
        </is>
      </c>
      <c r="K250" t="inlineStr">
        <is>
          <t>同頁凡例へ直接連動</t>
        </is>
      </c>
      <c r="L250" t="inlineStr">
        <is>
          <t>202604_LIXIL_サーモスＬ_業務用資料集_完成品価格表.pdf</t>
        </is>
      </c>
      <c r="M250" t="inlineStr">
        <is>
          <t>v0.6：同一価格表セクション内で凡例継承を確定。</t>
        </is>
      </c>
      <c r="N250" t="inlineStr">
        <is>
          <t>https://drive.google.com/file/d/1YUN-mtWYs48YBUHJk0C3vJXnhjyZFHyf/view</t>
        </is>
      </c>
    </row>
    <row r="251">
      <c r="A251" s="42" t="inlineStr">
        <is>
          <t>GSC-SL-000248</t>
        </is>
      </c>
      <c r="B251" t="inlineStr">
        <is>
          <t>SZ-SL-000248</t>
        </is>
      </c>
      <c r="C251" t="inlineStr">
        <is>
          <t>WT-SL-SHUTTER-HIKI</t>
        </is>
      </c>
      <c r="D251" t="inlineStr">
        <is>
          <t>SP-SL-SHUT-E-WIND</t>
        </is>
      </c>
      <c r="E251" t="inlineStr">
        <is>
          <t>25111-4</t>
        </is>
      </c>
      <c r="F251" t="b">
        <v>1</v>
      </c>
      <c r="G251" t="n">
        <v>33</v>
      </c>
      <c r="H251" t="inlineStr">
        <is>
          <t>無印</t>
        </is>
      </c>
      <c r="I251" t="n">
        <v>33</v>
      </c>
      <c r="J251" t="inlineStr">
        <is>
          <t>P33|無印</t>
        </is>
      </c>
      <c r="K251" t="inlineStr">
        <is>
          <t>同頁凡例へ直接連動</t>
        </is>
      </c>
      <c r="L251" t="inlineStr">
        <is>
          <t>202604_LIXIL_サーモスＬ_業務用資料集_完成品価格表.pdf</t>
        </is>
      </c>
      <c r="M251" t="inlineStr">
        <is>
          <t>v0.6：同一価格表セクション内で凡例継承を確定。</t>
        </is>
      </c>
      <c r="N251" t="inlineStr">
        <is>
          <t>https://drive.google.com/file/d/1YUN-mtWYs48YBUHJk0C3vJXnhjyZFHyf/view</t>
        </is>
      </c>
    </row>
    <row r="252">
      <c r="A252" s="42" t="inlineStr">
        <is>
          <t>GSC-SL-000249</t>
        </is>
      </c>
      <c r="B252" t="inlineStr">
        <is>
          <t>SZ-SL-000249</t>
        </is>
      </c>
      <c r="C252" t="inlineStr">
        <is>
          <t>WT-SL-SHUTTER-HIKI</t>
        </is>
      </c>
      <c r="D252" t="inlineStr">
        <is>
          <t>SP-SL-SHUT-E-WIND</t>
        </is>
      </c>
      <c r="E252" t="inlineStr">
        <is>
          <t>25611-2</t>
        </is>
      </c>
      <c r="F252" t="b">
        <v>1</v>
      </c>
      <c r="G252" t="n">
        <v>33</v>
      </c>
      <c r="H252" t="inlineStr">
        <is>
          <t>☆</t>
        </is>
      </c>
      <c r="I252" t="n">
        <v>33</v>
      </c>
      <c r="J252" t="inlineStr">
        <is>
          <t>P33|☆</t>
        </is>
      </c>
      <c r="K252" t="inlineStr">
        <is>
          <t>同頁凡例へ直接連動</t>
        </is>
      </c>
      <c r="L252" t="inlineStr">
        <is>
          <t>202604_LIXIL_サーモスＬ_業務用資料集_完成品価格表.pdf</t>
        </is>
      </c>
      <c r="M252" t="inlineStr">
        <is>
          <t>v0.6：同一価格表セクション内で凡例継承を確定。</t>
        </is>
      </c>
      <c r="N252" t="inlineStr">
        <is>
          <t>https://drive.google.com/file/d/1YUN-mtWYs48YBUHJk0C3vJXnhjyZFHyf/view</t>
        </is>
      </c>
    </row>
    <row r="253">
      <c r="A253" s="42" t="inlineStr">
        <is>
          <t>GSC-SL-000250</t>
        </is>
      </c>
      <c r="B253" t="inlineStr">
        <is>
          <t>SZ-SL-000250</t>
        </is>
      </c>
      <c r="C253" t="inlineStr">
        <is>
          <t>WT-SL-SHUTTER-HIKI</t>
        </is>
      </c>
      <c r="D253" t="inlineStr">
        <is>
          <t>SP-SL-SHUT-E-WIND</t>
        </is>
      </c>
      <c r="E253" t="inlineStr">
        <is>
          <t>25611-4</t>
        </is>
      </c>
      <c r="F253" t="b">
        <v>1</v>
      </c>
      <c r="G253" t="n">
        <v>33</v>
      </c>
      <c r="H253" t="inlineStr">
        <is>
          <t>無印</t>
        </is>
      </c>
      <c r="I253" t="n">
        <v>33</v>
      </c>
      <c r="J253" t="inlineStr">
        <is>
          <t>P33|無印</t>
        </is>
      </c>
      <c r="K253" t="inlineStr">
        <is>
          <t>同頁凡例へ直接連動</t>
        </is>
      </c>
      <c r="L253" t="inlineStr">
        <is>
          <t>202604_LIXIL_サーモスＬ_業務用資料集_完成品価格表.pdf</t>
        </is>
      </c>
      <c r="M253" t="inlineStr">
        <is>
          <t>v0.6：同一価格表セクション内で凡例継承を確定。</t>
        </is>
      </c>
      <c r="N253" t="inlineStr">
        <is>
          <t>https://drive.google.com/file/d/1YUN-mtWYs48YBUHJk0C3vJXnhjyZFHyf/view</t>
        </is>
      </c>
    </row>
    <row r="254">
      <c r="A254" s="42" t="inlineStr">
        <is>
          <t>GSC-SL-000251</t>
        </is>
      </c>
      <c r="B254" t="inlineStr">
        <is>
          <t>SZ-SL-000251</t>
        </is>
      </c>
      <c r="C254" t="inlineStr">
        <is>
          <t>WT-SL-SHUTTER-HIKI</t>
        </is>
      </c>
      <c r="D254" t="inlineStr">
        <is>
          <t>SP-SL-SHUT-E-STD</t>
        </is>
      </c>
      <c r="E254" t="inlineStr">
        <is>
          <t>11413</t>
        </is>
      </c>
      <c r="F254" t="b">
        <v>1</v>
      </c>
      <c r="G254" t="n">
        <v>34</v>
      </c>
      <c r="H254" t="inlineStr">
        <is>
          <t>無印</t>
        </is>
      </c>
      <c r="I254" t="n">
        <v>34</v>
      </c>
      <c r="J254" t="inlineStr">
        <is>
          <t>P34|無印</t>
        </is>
      </c>
      <c r="K254" t="inlineStr">
        <is>
          <t>同頁凡例へ直接連動</t>
        </is>
      </c>
      <c r="L254" t="inlineStr">
        <is>
          <t>202604_LIXIL_サーモスＬ_業務用資料集_完成品価格表.pdf</t>
        </is>
      </c>
      <c r="M254" t="inlineStr">
        <is>
          <t>v0.6：同一価格表セクション内で凡例継承を確定。</t>
        </is>
      </c>
      <c r="N254" t="inlineStr">
        <is>
          <t>https://drive.google.com/file/d/1YUN-mtWYs48YBUHJk0C3vJXnhjyZFHyf/view</t>
        </is>
      </c>
    </row>
    <row r="255">
      <c r="A255" s="42" t="inlineStr">
        <is>
          <t>GSC-SL-000252</t>
        </is>
      </c>
      <c r="B255" t="inlineStr">
        <is>
          <t>SZ-SL-000252</t>
        </is>
      </c>
      <c r="C255" t="inlineStr">
        <is>
          <t>WT-SL-SHUTTER-HIKI</t>
        </is>
      </c>
      <c r="D255" t="inlineStr">
        <is>
          <t>SP-SL-SHUT-E-STD</t>
        </is>
      </c>
      <c r="E255" t="inlineStr">
        <is>
          <t>11913</t>
        </is>
      </c>
      <c r="F255" t="b">
        <v>1</v>
      </c>
      <c r="G255" t="n">
        <v>34</v>
      </c>
      <c r="H255" t="inlineStr">
        <is>
          <t>無印</t>
        </is>
      </c>
      <c r="I255" t="n">
        <v>34</v>
      </c>
      <c r="J255" t="inlineStr">
        <is>
          <t>P34|無印</t>
        </is>
      </c>
      <c r="K255" t="inlineStr">
        <is>
          <t>同頁凡例へ直接連動</t>
        </is>
      </c>
      <c r="L255" t="inlineStr">
        <is>
          <t>202604_LIXIL_サーモスＬ_業務用資料集_完成品価格表.pdf</t>
        </is>
      </c>
      <c r="M255" t="inlineStr">
        <is>
          <t>v0.6：同一価格表セクション内で凡例継承を確定。</t>
        </is>
      </c>
      <c r="N255" t="inlineStr">
        <is>
          <t>https://drive.google.com/file/d/1YUN-mtWYs48YBUHJk0C3vJXnhjyZFHyf/view</t>
        </is>
      </c>
    </row>
    <row r="256">
      <c r="A256" s="42" t="inlineStr">
        <is>
          <t>GSC-SL-000253</t>
        </is>
      </c>
      <c r="B256" t="inlineStr">
        <is>
          <t>SZ-SL-000253</t>
        </is>
      </c>
      <c r="C256" t="inlineStr">
        <is>
          <t>WT-SL-SHUTTER-HIKI</t>
        </is>
      </c>
      <c r="D256" t="inlineStr">
        <is>
          <t>SP-SL-SHUT-E-STD</t>
        </is>
      </c>
      <c r="E256" t="inlineStr">
        <is>
          <t>12813</t>
        </is>
      </c>
      <c r="F256" t="b">
        <v>1</v>
      </c>
      <c r="G256" t="n">
        <v>34</v>
      </c>
      <c r="H256" t="inlineStr">
        <is>
          <t>無印</t>
        </is>
      </c>
      <c r="I256" t="n">
        <v>34</v>
      </c>
      <c r="J256" t="inlineStr">
        <is>
          <t>P34|無印</t>
        </is>
      </c>
      <c r="K256" t="inlineStr">
        <is>
          <t>同頁凡例へ直接連動</t>
        </is>
      </c>
      <c r="L256" t="inlineStr">
        <is>
          <t>202604_LIXIL_サーモスＬ_業務用資料集_完成品価格表.pdf</t>
        </is>
      </c>
      <c r="M256" t="inlineStr">
        <is>
          <t>v0.6：同一価格表セクション内で凡例継承を確定。</t>
        </is>
      </c>
      <c r="N256" t="inlineStr">
        <is>
          <t>https://drive.google.com/file/d/1YUN-mtWYs48YBUHJk0C3vJXnhjyZFHyf/view</t>
        </is>
      </c>
    </row>
    <row r="257">
      <c r="A257" s="42" t="inlineStr">
        <is>
          <t>GSC-SL-000254</t>
        </is>
      </c>
      <c r="B257" t="inlineStr">
        <is>
          <t>SZ-SL-000254</t>
        </is>
      </c>
      <c r="C257" t="inlineStr">
        <is>
          <t>WT-SL-SHUTTER-HIKI</t>
        </is>
      </c>
      <c r="D257" t="inlineStr">
        <is>
          <t>SP-SL-SHUT-E-STD</t>
        </is>
      </c>
      <c r="E257" t="inlineStr">
        <is>
          <t>13313</t>
        </is>
      </c>
      <c r="F257" t="b">
        <v>1</v>
      </c>
      <c r="G257" t="n">
        <v>34</v>
      </c>
      <c r="H257" t="inlineStr">
        <is>
          <t>無印</t>
        </is>
      </c>
      <c r="I257" t="n">
        <v>34</v>
      </c>
      <c r="J257" t="inlineStr">
        <is>
          <t>P34|無印</t>
        </is>
      </c>
      <c r="K257" t="inlineStr">
        <is>
          <t>同頁凡例へ直接連動</t>
        </is>
      </c>
      <c r="L257" t="inlineStr">
        <is>
          <t>202604_LIXIL_サーモスＬ_業務用資料集_完成品価格表.pdf</t>
        </is>
      </c>
      <c r="M257" t="inlineStr">
        <is>
          <t>v0.6：同一価格表セクション内で凡例継承を確定。</t>
        </is>
      </c>
      <c r="N257" t="inlineStr">
        <is>
          <t>https://drive.google.com/file/d/1YUN-mtWYs48YBUHJk0C3vJXnhjyZFHyf/view</t>
        </is>
      </c>
    </row>
    <row r="258">
      <c r="A258" s="42" t="inlineStr">
        <is>
          <t>GSC-SL-000255</t>
        </is>
      </c>
      <c r="B258" t="inlineStr">
        <is>
          <t>SZ-SL-000255</t>
        </is>
      </c>
      <c r="C258" t="inlineStr">
        <is>
          <t>WT-SL-SHUTTER-HIKI</t>
        </is>
      </c>
      <c r="D258" t="inlineStr">
        <is>
          <t>SP-SL-SHUT-E-VENT</t>
        </is>
      </c>
      <c r="E258" t="inlineStr">
        <is>
          <t>11413</t>
        </is>
      </c>
      <c r="F258" t="b">
        <v>1</v>
      </c>
      <c r="G258" t="n">
        <v>34</v>
      </c>
      <c r="H258" t="inlineStr">
        <is>
          <t>無印</t>
        </is>
      </c>
      <c r="I258" t="n">
        <v>34</v>
      </c>
      <c r="J258" t="inlineStr">
        <is>
          <t>P34|無印</t>
        </is>
      </c>
      <c r="K258" t="inlineStr">
        <is>
          <t>同頁凡例へ直接連動</t>
        </is>
      </c>
      <c r="L258" t="inlineStr">
        <is>
          <t>202604_LIXIL_サーモスＬ_業務用資料集_完成品価格表.pdf</t>
        </is>
      </c>
      <c r="M258" t="inlineStr">
        <is>
          <t>v0.6：同一価格表セクション内で凡例継承を確定。</t>
        </is>
      </c>
      <c r="N258" t="inlineStr">
        <is>
          <t>https://drive.google.com/file/d/1YUN-mtWYs48YBUHJk0C3vJXnhjyZFHyf/view</t>
        </is>
      </c>
    </row>
    <row r="259">
      <c r="A259" s="42" t="inlineStr">
        <is>
          <t>GSC-SL-000256</t>
        </is>
      </c>
      <c r="B259" t="inlineStr">
        <is>
          <t>SZ-SL-000256</t>
        </is>
      </c>
      <c r="C259" t="inlineStr">
        <is>
          <t>WT-SL-SHUTTER-HIKI</t>
        </is>
      </c>
      <c r="D259" t="inlineStr">
        <is>
          <t>SP-SL-SHUT-E-VENT</t>
        </is>
      </c>
      <c r="E259" t="inlineStr">
        <is>
          <t>11913</t>
        </is>
      </c>
      <c r="F259" t="b">
        <v>1</v>
      </c>
      <c r="G259" t="n">
        <v>34</v>
      </c>
      <c r="H259" t="inlineStr">
        <is>
          <t>無印</t>
        </is>
      </c>
      <c r="I259" t="n">
        <v>34</v>
      </c>
      <c r="J259" t="inlineStr">
        <is>
          <t>P34|無印</t>
        </is>
      </c>
      <c r="K259" t="inlineStr">
        <is>
          <t>同頁凡例へ直接連動</t>
        </is>
      </c>
      <c r="L259" t="inlineStr">
        <is>
          <t>202604_LIXIL_サーモスＬ_業務用資料集_完成品価格表.pdf</t>
        </is>
      </c>
      <c r="M259" t="inlineStr">
        <is>
          <t>v0.6：同一価格表セクション内で凡例継承を確定。</t>
        </is>
      </c>
      <c r="N259" t="inlineStr">
        <is>
          <t>https://drive.google.com/file/d/1YUN-mtWYs48YBUHJk0C3vJXnhjyZFHyf/view</t>
        </is>
      </c>
    </row>
    <row r="260">
      <c r="A260" s="42" t="inlineStr">
        <is>
          <t>GSC-SL-000257</t>
        </is>
      </c>
      <c r="B260" t="inlineStr">
        <is>
          <t>SZ-SL-000257</t>
        </is>
      </c>
      <c r="C260" t="inlineStr">
        <is>
          <t>WT-SL-SHUTTER-HIKI</t>
        </is>
      </c>
      <c r="D260" t="inlineStr">
        <is>
          <t>SP-SL-SHUT-E-VENT</t>
        </is>
      </c>
      <c r="E260" t="inlineStr">
        <is>
          <t>12813</t>
        </is>
      </c>
      <c r="F260" t="b">
        <v>1</v>
      </c>
      <c r="G260" t="n">
        <v>34</v>
      </c>
      <c r="H260" t="inlineStr">
        <is>
          <t>無印</t>
        </is>
      </c>
      <c r="I260" t="n">
        <v>34</v>
      </c>
      <c r="J260" t="inlineStr">
        <is>
          <t>P34|無印</t>
        </is>
      </c>
      <c r="K260" t="inlineStr">
        <is>
          <t>同頁凡例へ直接連動</t>
        </is>
      </c>
      <c r="L260" t="inlineStr">
        <is>
          <t>202604_LIXIL_サーモスＬ_業務用資料集_完成品価格表.pdf</t>
        </is>
      </c>
      <c r="M260" t="inlineStr">
        <is>
          <t>v0.6：同一価格表セクション内で凡例継承を確定。</t>
        </is>
      </c>
      <c r="N260" t="inlineStr">
        <is>
          <t>https://drive.google.com/file/d/1YUN-mtWYs48YBUHJk0C3vJXnhjyZFHyf/view</t>
        </is>
      </c>
    </row>
    <row r="261">
      <c r="A261" s="42" t="inlineStr">
        <is>
          <t>GSC-SL-000258</t>
        </is>
      </c>
      <c r="B261" t="inlineStr">
        <is>
          <t>SZ-SL-000258</t>
        </is>
      </c>
      <c r="C261" t="inlineStr">
        <is>
          <t>WT-SL-SHUTTER-HIKI</t>
        </is>
      </c>
      <c r="D261" t="inlineStr">
        <is>
          <t>SP-SL-SHUT-E-VENT</t>
        </is>
      </c>
      <c r="E261" t="inlineStr">
        <is>
          <t>13313</t>
        </is>
      </c>
      <c r="F261" t="b">
        <v>1</v>
      </c>
      <c r="G261" t="n">
        <v>34</v>
      </c>
      <c r="H261" t="inlineStr">
        <is>
          <t>無印</t>
        </is>
      </c>
      <c r="I261" t="n">
        <v>34</v>
      </c>
      <c r="J261" t="inlineStr">
        <is>
          <t>P34|無印</t>
        </is>
      </c>
      <c r="K261" t="inlineStr">
        <is>
          <t>同頁凡例へ直接連動</t>
        </is>
      </c>
      <c r="L261" t="inlineStr">
        <is>
          <t>202604_LIXIL_サーモスＬ_業務用資料集_完成品価格表.pdf</t>
        </is>
      </c>
      <c r="M261" t="inlineStr">
        <is>
          <t>v0.6：同一価格表セクション内で凡例継承を確定。</t>
        </is>
      </c>
      <c r="N261" t="inlineStr">
        <is>
          <t>https://drive.google.com/file/d/1YUN-mtWYs48YBUHJk0C3vJXnhjyZFHyf/view</t>
        </is>
      </c>
    </row>
    <row r="262">
      <c r="A262" s="42" t="inlineStr">
        <is>
          <t>GSC-SL-000259</t>
        </is>
      </c>
      <c r="B262" t="inlineStr">
        <is>
          <t>SZ-SL-000259</t>
        </is>
      </c>
      <c r="C262" t="inlineStr">
        <is>
          <t>WT-SL-SHUTTER-HIKI</t>
        </is>
      </c>
      <c r="D262" t="inlineStr">
        <is>
          <t>SP-SL-SHUT-E-WIND</t>
        </is>
      </c>
      <c r="E262" t="inlineStr">
        <is>
          <t>11413</t>
        </is>
      </c>
      <c r="F262" t="b">
        <v>1</v>
      </c>
      <c r="G262" t="n">
        <v>34</v>
      </c>
      <c r="H262" t="inlineStr">
        <is>
          <t>無印</t>
        </is>
      </c>
      <c r="I262" t="n">
        <v>34</v>
      </c>
      <c r="J262" t="inlineStr">
        <is>
          <t>P34|無印</t>
        </is>
      </c>
      <c r="K262" t="inlineStr">
        <is>
          <t>同頁凡例へ直接連動</t>
        </is>
      </c>
      <c r="L262" t="inlineStr">
        <is>
          <t>202604_LIXIL_サーモスＬ_業務用資料集_完成品価格表.pdf</t>
        </is>
      </c>
      <c r="M262" t="inlineStr">
        <is>
          <t>v0.6：同一価格表セクション内で凡例継承を確定。</t>
        </is>
      </c>
      <c r="N262" t="inlineStr">
        <is>
          <t>https://drive.google.com/file/d/1YUN-mtWYs48YBUHJk0C3vJXnhjyZFHyf/view</t>
        </is>
      </c>
    </row>
    <row r="263">
      <c r="A263" s="42" t="inlineStr">
        <is>
          <t>GSC-SL-000260</t>
        </is>
      </c>
      <c r="B263" t="inlineStr">
        <is>
          <t>SZ-SL-000260</t>
        </is>
      </c>
      <c r="C263" t="inlineStr">
        <is>
          <t>WT-SL-SHUTTER-HIKI</t>
        </is>
      </c>
      <c r="D263" t="inlineStr">
        <is>
          <t>SP-SL-SHUT-E-WIND</t>
        </is>
      </c>
      <c r="E263" t="inlineStr">
        <is>
          <t>11913</t>
        </is>
      </c>
      <c r="F263" t="b">
        <v>1</v>
      </c>
      <c r="G263" t="n">
        <v>34</v>
      </c>
      <c r="H263" t="inlineStr">
        <is>
          <t>無印</t>
        </is>
      </c>
      <c r="I263" t="n">
        <v>34</v>
      </c>
      <c r="J263" t="inlineStr">
        <is>
          <t>P34|無印</t>
        </is>
      </c>
      <c r="K263" t="inlineStr">
        <is>
          <t>同頁凡例へ直接連動</t>
        </is>
      </c>
      <c r="L263" t="inlineStr">
        <is>
          <t>202604_LIXIL_サーモスＬ_業務用資料集_完成品価格表.pdf</t>
        </is>
      </c>
      <c r="M263" t="inlineStr">
        <is>
          <t>v0.6：同一価格表セクション内で凡例継承を確定。</t>
        </is>
      </c>
      <c r="N263" t="inlineStr">
        <is>
          <t>https://drive.google.com/file/d/1YUN-mtWYs48YBUHJk0C3vJXnhjyZFHyf/view</t>
        </is>
      </c>
    </row>
    <row r="264">
      <c r="A264" s="42" t="inlineStr">
        <is>
          <t>GSC-SL-000261</t>
        </is>
      </c>
      <c r="B264" t="inlineStr">
        <is>
          <t>SZ-SL-000261</t>
        </is>
      </c>
      <c r="C264" t="inlineStr">
        <is>
          <t>WT-SL-SHUTTER-HIKI</t>
        </is>
      </c>
      <c r="D264" t="inlineStr">
        <is>
          <t>SP-SL-SHUT-E-WIND</t>
        </is>
      </c>
      <c r="E264" t="inlineStr">
        <is>
          <t>12813</t>
        </is>
      </c>
      <c r="F264" t="b">
        <v>0</v>
      </c>
      <c r="G264" t="n">
        <v>34</v>
      </c>
      <c r="H264" t="inlineStr">
        <is>
          <t>無印</t>
        </is>
      </c>
      <c r="I264" t="n">
        <v>34</v>
      </c>
      <c r="J264" t="inlineStr">
        <is>
          <t>P34|無印</t>
        </is>
      </c>
      <c r="K264" t="inlineStr">
        <is>
          <t>同頁凡例へ直接連動</t>
        </is>
      </c>
      <c r="L264" t="inlineStr">
        <is>
          <t>202604_LIXIL_サーモスＬ_業務用資料集_完成品価格表.pdf</t>
        </is>
      </c>
      <c r="M264" t="inlineStr">
        <is>
          <t>v0.6：同一価格表セクション内で凡例継承を確定。</t>
        </is>
      </c>
      <c r="N264" t="inlineStr">
        <is>
          <t>https://drive.google.com/file/d/1YUN-mtWYs48YBUHJk0C3vJXnhjyZFHyf/view</t>
        </is>
      </c>
    </row>
    <row r="265">
      <c r="A265" s="42" t="inlineStr">
        <is>
          <t>GSC-SL-000262</t>
        </is>
      </c>
      <c r="B265" t="inlineStr">
        <is>
          <t>SZ-SL-000262</t>
        </is>
      </c>
      <c r="C265" t="inlineStr">
        <is>
          <t>WT-SL-SHUTTER-HIKI</t>
        </is>
      </c>
      <c r="D265" t="inlineStr">
        <is>
          <t>SP-SL-SHUT-E-WIND</t>
        </is>
      </c>
      <c r="E265" t="inlineStr">
        <is>
          <t>13313</t>
        </is>
      </c>
      <c r="F265" t="b">
        <v>0</v>
      </c>
      <c r="G265" t="n">
        <v>34</v>
      </c>
      <c r="H265" t="inlineStr">
        <is>
          <t>無印</t>
        </is>
      </c>
      <c r="I265" t="n">
        <v>34</v>
      </c>
      <c r="J265" t="inlineStr">
        <is>
          <t>P34|無印</t>
        </is>
      </c>
      <c r="K265" t="inlineStr">
        <is>
          <t>同頁凡例へ直接連動</t>
        </is>
      </c>
      <c r="L265" t="inlineStr">
        <is>
          <t>202604_LIXIL_サーモスＬ_業務用資料集_完成品価格表.pdf</t>
        </is>
      </c>
      <c r="M265" t="inlineStr">
        <is>
          <t>v0.6：同一価格表セクション内で凡例継承を確定。</t>
        </is>
      </c>
      <c r="N265" t="inlineStr">
        <is>
          <t>https://drive.google.com/file/d/1YUN-mtWYs48YBUHJk0C3vJXnhjyZFHyf/view</t>
        </is>
      </c>
    </row>
    <row r="266">
      <c r="A266" s="42" t="inlineStr">
        <is>
          <t>GSC-SL-000263</t>
        </is>
      </c>
      <c r="B266" t="inlineStr">
        <is>
          <t>SZ-SL-000263</t>
        </is>
      </c>
      <c r="C266" t="inlineStr">
        <is>
          <t>WT-SL-SHUTTER-HIKI</t>
        </is>
      </c>
      <c r="D266" t="inlineStr">
        <is>
          <t>SP-SL-SHUT-E-STD</t>
        </is>
      </c>
      <c r="E266" t="inlineStr">
        <is>
          <t>15013</t>
        </is>
      </c>
      <c r="F266" t="b">
        <v>1</v>
      </c>
      <c r="G266" t="n">
        <v>35</v>
      </c>
      <c r="H266" t="inlineStr">
        <is>
          <t>無印</t>
        </is>
      </c>
      <c r="I266" t="n">
        <v>34</v>
      </c>
      <c r="J266" t="inlineStr">
        <is>
          <t>P34|無印</t>
        </is>
      </c>
      <c r="K266" t="inlineStr">
        <is>
          <t>同一価格表・前頁凡例を継承</t>
        </is>
      </c>
      <c r="L266" t="inlineStr">
        <is>
          <t>202604_LIXIL_サーモスＬ_業務用資料集_完成品価格表.pdf</t>
        </is>
      </c>
      <c r="M266" t="inlineStr">
        <is>
          <t>v0.6：同一価格表セクション内で凡例継承を確定。</t>
        </is>
      </c>
      <c r="N266" t="inlineStr">
        <is>
          <t>https://drive.google.com/file/d/1YUN-mtWYs48YBUHJk0C3vJXnhjyZFHyf/view</t>
        </is>
      </c>
    </row>
    <row r="267">
      <c r="A267" s="42" t="inlineStr">
        <is>
          <t>GSC-SL-000264</t>
        </is>
      </c>
      <c r="B267" t="inlineStr">
        <is>
          <t>SZ-SL-000264</t>
        </is>
      </c>
      <c r="C267" t="inlineStr">
        <is>
          <t>WT-SL-SHUTTER-HIKI</t>
        </is>
      </c>
      <c r="D267" t="inlineStr">
        <is>
          <t>SP-SL-SHUT-E-STD</t>
        </is>
      </c>
      <c r="E267" t="inlineStr">
        <is>
          <t>15015</t>
        </is>
      </c>
      <c r="F267" t="b">
        <v>1</v>
      </c>
      <c r="G267" t="n">
        <v>35</v>
      </c>
      <c r="H267" t="inlineStr">
        <is>
          <t>○</t>
        </is>
      </c>
      <c r="I267" t="n">
        <v>34</v>
      </c>
      <c r="J267" t="inlineStr">
        <is>
          <t>P34|○</t>
        </is>
      </c>
      <c r="K267" t="inlineStr">
        <is>
          <t>同一価格表・前頁凡例を継承</t>
        </is>
      </c>
      <c r="L267" t="inlineStr">
        <is>
          <t>202604_LIXIL_サーモスＬ_業務用資料集_完成品価格表.pdf</t>
        </is>
      </c>
      <c r="M267" t="inlineStr">
        <is>
          <t>v0.6：同一価格表セクション内で凡例継承を確定。</t>
        </is>
      </c>
      <c r="N267" t="inlineStr">
        <is>
          <t>https://drive.google.com/file/d/1YUN-mtWYs48YBUHJk0C3vJXnhjyZFHyf/view</t>
        </is>
      </c>
    </row>
    <row r="268">
      <c r="A268" s="42" t="inlineStr">
        <is>
          <t>GSC-SL-000265</t>
        </is>
      </c>
      <c r="B268" t="inlineStr">
        <is>
          <t>SZ-SL-000265</t>
        </is>
      </c>
      <c r="C268" t="inlineStr">
        <is>
          <t>WT-SL-SHUTTER-HIKI</t>
        </is>
      </c>
      <c r="D268" t="inlineStr">
        <is>
          <t>SP-SL-SHUT-E-STD</t>
        </is>
      </c>
      <c r="E268" t="inlineStr">
        <is>
          <t>16013</t>
        </is>
      </c>
      <c r="F268" t="b">
        <v>1</v>
      </c>
      <c r="G268" t="n">
        <v>35</v>
      </c>
      <c r="H268" t="inlineStr">
        <is>
          <t>★</t>
        </is>
      </c>
      <c r="I268" t="n">
        <v>34</v>
      </c>
      <c r="J268" t="inlineStr">
        <is>
          <t>P34|★</t>
        </is>
      </c>
      <c r="K268" t="inlineStr">
        <is>
          <t>同一価格表・前頁凡例を継承</t>
        </is>
      </c>
      <c r="L268" t="inlineStr">
        <is>
          <t>202604_LIXIL_サーモスＬ_業務用資料集_完成品価格表.pdf</t>
        </is>
      </c>
      <c r="M268" t="inlineStr">
        <is>
          <t>v0.6：同一価格表セクション内で凡例継承を確定。</t>
        </is>
      </c>
      <c r="N268" t="inlineStr">
        <is>
          <t>https://drive.google.com/file/d/1YUN-mtWYs48YBUHJk0C3vJXnhjyZFHyf/view</t>
        </is>
      </c>
    </row>
    <row r="269">
      <c r="A269" s="42" t="inlineStr">
        <is>
          <t>GSC-SL-000266</t>
        </is>
      </c>
      <c r="B269" t="inlineStr">
        <is>
          <t>SZ-SL-000266</t>
        </is>
      </c>
      <c r="C269" t="inlineStr">
        <is>
          <t>WT-SL-SHUTTER-HIKI</t>
        </is>
      </c>
      <c r="D269" t="inlineStr">
        <is>
          <t>SP-SL-SHUT-E-STD</t>
        </is>
      </c>
      <c r="E269" t="inlineStr">
        <is>
          <t>16015</t>
        </is>
      </c>
      <c r="F269" t="b">
        <v>1</v>
      </c>
      <c r="G269" t="n">
        <v>35</v>
      </c>
      <c r="H269" t="inlineStr">
        <is>
          <t>○</t>
        </is>
      </c>
      <c r="I269" t="n">
        <v>34</v>
      </c>
      <c r="J269" t="inlineStr">
        <is>
          <t>P34|○</t>
        </is>
      </c>
      <c r="K269" t="inlineStr">
        <is>
          <t>同一価格表・前頁凡例を継承</t>
        </is>
      </c>
      <c r="L269" t="inlineStr">
        <is>
          <t>202604_LIXIL_サーモスＬ_業務用資料集_完成品価格表.pdf</t>
        </is>
      </c>
      <c r="M269" t="inlineStr">
        <is>
          <t>v0.6：同一価格表セクション内で凡例継承を確定。</t>
        </is>
      </c>
      <c r="N269" t="inlineStr">
        <is>
          <t>https://drive.google.com/file/d/1YUN-mtWYs48YBUHJk0C3vJXnhjyZFHyf/view</t>
        </is>
      </c>
    </row>
    <row r="270">
      <c r="A270" s="42" t="inlineStr">
        <is>
          <t>GSC-SL-000267</t>
        </is>
      </c>
      <c r="B270" t="inlineStr">
        <is>
          <t>SZ-SL-000267</t>
        </is>
      </c>
      <c r="C270" t="inlineStr">
        <is>
          <t>WT-SL-SHUTTER-HIKI</t>
        </is>
      </c>
      <c r="D270" t="inlineStr">
        <is>
          <t>SP-SL-SHUT-E-STD</t>
        </is>
      </c>
      <c r="E270" t="inlineStr">
        <is>
          <t>16513</t>
        </is>
      </c>
      <c r="F270" t="b">
        <v>1</v>
      </c>
      <c r="G270" t="n">
        <v>35</v>
      </c>
      <c r="H270" t="inlineStr">
        <is>
          <t>★</t>
        </is>
      </c>
      <c r="I270" t="n">
        <v>34</v>
      </c>
      <c r="J270" t="inlineStr">
        <is>
          <t>P34|★</t>
        </is>
      </c>
      <c r="K270" t="inlineStr">
        <is>
          <t>同一価格表・前頁凡例を継承</t>
        </is>
      </c>
      <c r="L270" t="inlineStr">
        <is>
          <t>202604_LIXIL_サーモスＬ_業務用資料集_完成品価格表.pdf</t>
        </is>
      </c>
      <c r="M270" t="inlineStr">
        <is>
          <t>v0.6：同一価格表セクション内で凡例継承を確定。</t>
        </is>
      </c>
      <c r="N270" t="inlineStr">
        <is>
          <t>https://drive.google.com/file/d/1YUN-mtWYs48YBUHJk0C3vJXnhjyZFHyf/view</t>
        </is>
      </c>
    </row>
    <row r="271">
      <c r="A271" s="42" t="inlineStr">
        <is>
          <t>GSC-SL-000268</t>
        </is>
      </c>
      <c r="B271" t="inlineStr">
        <is>
          <t>SZ-SL-000268</t>
        </is>
      </c>
      <c r="C271" t="inlineStr">
        <is>
          <t>WT-SL-SHUTTER-HIKI</t>
        </is>
      </c>
      <c r="D271" t="inlineStr">
        <is>
          <t>SP-SL-SHUT-E-STD</t>
        </is>
      </c>
      <c r="E271" t="inlineStr">
        <is>
          <t>16515</t>
        </is>
      </c>
      <c r="F271" t="b">
        <v>1</v>
      </c>
      <c r="G271" t="n">
        <v>35</v>
      </c>
      <c r="H271" t="inlineStr">
        <is>
          <t>○</t>
        </is>
      </c>
      <c r="I271" t="n">
        <v>34</v>
      </c>
      <c r="J271" t="inlineStr">
        <is>
          <t>P34|○</t>
        </is>
      </c>
      <c r="K271" t="inlineStr">
        <is>
          <t>同一価格表・前頁凡例を継承</t>
        </is>
      </c>
      <c r="L271" t="inlineStr">
        <is>
          <t>202604_LIXIL_サーモスＬ_業務用資料集_完成品価格表.pdf</t>
        </is>
      </c>
      <c r="M271" t="inlineStr">
        <is>
          <t>v0.6：同一価格表セクション内で凡例継承を確定。</t>
        </is>
      </c>
      <c r="N271" t="inlineStr">
        <is>
          <t>https://drive.google.com/file/d/1YUN-mtWYs48YBUHJk0C3vJXnhjyZFHyf/view</t>
        </is>
      </c>
    </row>
    <row r="272">
      <c r="A272" s="42" t="inlineStr">
        <is>
          <t>GSC-SL-000269</t>
        </is>
      </c>
      <c r="B272" t="inlineStr">
        <is>
          <t>SZ-SL-000269</t>
        </is>
      </c>
      <c r="C272" t="inlineStr">
        <is>
          <t>WT-SL-SHUTTER-HIKI</t>
        </is>
      </c>
      <c r="D272" t="inlineStr">
        <is>
          <t>SP-SL-SHUT-E-STD</t>
        </is>
      </c>
      <c r="E272" t="inlineStr">
        <is>
          <t>17413</t>
        </is>
      </c>
      <c r="F272" t="b">
        <v>1</v>
      </c>
      <c r="G272" t="n">
        <v>35</v>
      </c>
      <c r="H272" t="inlineStr">
        <is>
          <t>★</t>
        </is>
      </c>
      <c r="I272" t="n">
        <v>34</v>
      </c>
      <c r="J272" t="inlineStr">
        <is>
          <t>P34|★</t>
        </is>
      </c>
      <c r="K272" t="inlineStr">
        <is>
          <t>同一価格表・前頁凡例を継承</t>
        </is>
      </c>
      <c r="L272" t="inlineStr">
        <is>
          <t>202604_LIXIL_サーモスＬ_業務用資料集_完成品価格表.pdf</t>
        </is>
      </c>
      <c r="M272" t="inlineStr">
        <is>
          <t>v0.6：同一価格表セクション内で凡例継承を確定。</t>
        </is>
      </c>
      <c r="N272" t="inlineStr">
        <is>
          <t>https://drive.google.com/file/d/1YUN-mtWYs48YBUHJk0C3vJXnhjyZFHyf/view</t>
        </is>
      </c>
    </row>
    <row r="273">
      <c r="A273" s="42" t="inlineStr">
        <is>
          <t>GSC-SL-000270</t>
        </is>
      </c>
      <c r="B273" t="inlineStr">
        <is>
          <t>SZ-SL-000270</t>
        </is>
      </c>
      <c r="C273" t="inlineStr">
        <is>
          <t>WT-SL-SHUTTER-HIKI</t>
        </is>
      </c>
      <c r="D273" t="inlineStr">
        <is>
          <t>SP-SL-SHUT-E-STD</t>
        </is>
      </c>
      <c r="E273" t="inlineStr">
        <is>
          <t>17613</t>
        </is>
      </c>
      <c r="F273" t="b">
        <v>1</v>
      </c>
      <c r="G273" t="n">
        <v>35</v>
      </c>
      <c r="H273" t="inlineStr">
        <is>
          <t>★</t>
        </is>
      </c>
      <c r="I273" t="n">
        <v>34</v>
      </c>
      <c r="J273" t="inlineStr">
        <is>
          <t>P34|★</t>
        </is>
      </c>
      <c r="K273" t="inlineStr">
        <is>
          <t>同一価格表・前頁凡例を継承</t>
        </is>
      </c>
      <c r="L273" t="inlineStr">
        <is>
          <t>202604_LIXIL_サーモスＬ_業務用資料集_完成品価格表.pdf</t>
        </is>
      </c>
      <c r="M273" t="inlineStr">
        <is>
          <t>v0.6：同一価格表セクション内で凡例継承を確定。</t>
        </is>
      </c>
      <c r="N273" t="inlineStr">
        <is>
          <t>https://drive.google.com/file/d/1YUN-mtWYs48YBUHJk0C3vJXnhjyZFHyf/view</t>
        </is>
      </c>
    </row>
    <row r="274">
      <c r="A274" s="42" t="inlineStr">
        <is>
          <t>GSC-SL-000271</t>
        </is>
      </c>
      <c r="B274" t="inlineStr">
        <is>
          <t>SZ-SL-000271</t>
        </is>
      </c>
      <c r="C274" t="inlineStr">
        <is>
          <t>WT-SL-SHUTTER-HIKI</t>
        </is>
      </c>
      <c r="D274" t="inlineStr">
        <is>
          <t>SP-SL-SHUT-E-VENT</t>
        </is>
      </c>
      <c r="E274" t="inlineStr">
        <is>
          <t>15013</t>
        </is>
      </c>
      <c r="F274" t="b">
        <v>1</v>
      </c>
      <c r="G274" t="n">
        <v>35</v>
      </c>
      <c r="H274" t="inlineStr">
        <is>
          <t>無印</t>
        </is>
      </c>
      <c r="I274" t="n">
        <v>34</v>
      </c>
      <c r="J274" t="inlineStr">
        <is>
          <t>P34|無印</t>
        </is>
      </c>
      <c r="K274" t="inlineStr">
        <is>
          <t>同一価格表・前頁凡例を継承</t>
        </is>
      </c>
      <c r="L274" t="inlineStr">
        <is>
          <t>202604_LIXIL_サーモスＬ_業務用資料集_完成品価格表.pdf</t>
        </is>
      </c>
      <c r="M274" t="inlineStr">
        <is>
          <t>v0.6：同一価格表セクション内で凡例継承を確定。</t>
        </is>
      </c>
      <c r="N274" t="inlineStr">
        <is>
          <t>https://drive.google.com/file/d/1YUN-mtWYs48YBUHJk0C3vJXnhjyZFHyf/view</t>
        </is>
      </c>
    </row>
    <row r="275">
      <c r="A275" s="42" t="inlineStr">
        <is>
          <t>GSC-SL-000272</t>
        </is>
      </c>
      <c r="B275" t="inlineStr">
        <is>
          <t>SZ-SL-000272</t>
        </is>
      </c>
      <c r="C275" t="inlineStr">
        <is>
          <t>WT-SL-SHUTTER-HIKI</t>
        </is>
      </c>
      <c r="D275" t="inlineStr">
        <is>
          <t>SP-SL-SHUT-E-VENT</t>
        </is>
      </c>
      <c r="E275" t="inlineStr">
        <is>
          <t>15015</t>
        </is>
      </c>
      <c r="F275" t="b">
        <v>1</v>
      </c>
      <c r="G275" t="n">
        <v>35</v>
      </c>
      <c r="H275" t="inlineStr">
        <is>
          <t>○</t>
        </is>
      </c>
      <c r="I275" t="n">
        <v>34</v>
      </c>
      <c r="J275" t="inlineStr">
        <is>
          <t>P34|○</t>
        </is>
      </c>
      <c r="K275" t="inlineStr">
        <is>
          <t>同一価格表・前頁凡例を継承</t>
        </is>
      </c>
      <c r="L275" t="inlineStr">
        <is>
          <t>202604_LIXIL_サーモスＬ_業務用資料集_完成品価格表.pdf</t>
        </is>
      </c>
      <c r="M275" t="inlineStr">
        <is>
          <t>v0.6：同一価格表セクション内で凡例継承を確定。</t>
        </is>
      </c>
      <c r="N275" t="inlineStr">
        <is>
          <t>https://drive.google.com/file/d/1YUN-mtWYs48YBUHJk0C3vJXnhjyZFHyf/view</t>
        </is>
      </c>
    </row>
    <row r="276">
      <c r="A276" s="42" t="inlineStr">
        <is>
          <t>GSC-SL-000273</t>
        </is>
      </c>
      <c r="B276" t="inlineStr">
        <is>
          <t>SZ-SL-000273</t>
        </is>
      </c>
      <c r="C276" t="inlineStr">
        <is>
          <t>WT-SL-SHUTTER-HIKI</t>
        </is>
      </c>
      <c r="D276" t="inlineStr">
        <is>
          <t>SP-SL-SHUT-E-VENT</t>
        </is>
      </c>
      <c r="E276" t="inlineStr">
        <is>
          <t>16013</t>
        </is>
      </c>
      <c r="F276" t="b">
        <v>1</v>
      </c>
      <c r="G276" t="n">
        <v>35</v>
      </c>
      <c r="H276" t="inlineStr">
        <is>
          <t>★</t>
        </is>
      </c>
      <c r="I276" t="n">
        <v>34</v>
      </c>
      <c r="J276" t="inlineStr">
        <is>
          <t>P34|★</t>
        </is>
      </c>
      <c r="K276" t="inlineStr">
        <is>
          <t>同一価格表・前頁凡例を継承</t>
        </is>
      </c>
      <c r="L276" t="inlineStr">
        <is>
          <t>202604_LIXIL_サーモスＬ_業務用資料集_完成品価格表.pdf</t>
        </is>
      </c>
      <c r="M276" t="inlineStr">
        <is>
          <t>v0.6：同一価格表セクション内で凡例継承を確定。</t>
        </is>
      </c>
      <c r="N276" t="inlineStr">
        <is>
          <t>https://drive.google.com/file/d/1YUN-mtWYs48YBUHJk0C3vJXnhjyZFHyf/view</t>
        </is>
      </c>
    </row>
    <row r="277">
      <c r="A277" s="42" t="inlineStr">
        <is>
          <t>GSC-SL-000274</t>
        </is>
      </c>
      <c r="B277" t="inlineStr">
        <is>
          <t>SZ-SL-000274</t>
        </is>
      </c>
      <c r="C277" t="inlineStr">
        <is>
          <t>WT-SL-SHUTTER-HIKI</t>
        </is>
      </c>
      <c r="D277" t="inlineStr">
        <is>
          <t>SP-SL-SHUT-E-VENT</t>
        </is>
      </c>
      <c r="E277" t="inlineStr">
        <is>
          <t>16015</t>
        </is>
      </c>
      <c r="F277" t="b">
        <v>1</v>
      </c>
      <c r="G277" t="n">
        <v>35</v>
      </c>
      <c r="H277" t="inlineStr">
        <is>
          <t>○</t>
        </is>
      </c>
      <c r="I277" t="n">
        <v>34</v>
      </c>
      <c r="J277" t="inlineStr">
        <is>
          <t>P34|○</t>
        </is>
      </c>
      <c r="K277" t="inlineStr">
        <is>
          <t>同一価格表・前頁凡例を継承</t>
        </is>
      </c>
      <c r="L277" t="inlineStr">
        <is>
          <t>202604_LIXIL_サーモスＬ_業務用資料集_完成品価格表.pdf</t>
        </is>
      </c>
      <c r="M277" t="inlineStr">
        <is>
          <t>v0.6：同一価格表セクション内で凡例継承を確定。</t>
        </is>
      </c>
      <c r="N277" t="inlineStr">
        <is>
          <t>https://drive.google.com/file/d/1YUN-mtWYs48YBUHJk0C3vJXnhjyZFHyf/view</t>
        </is>
      </c>
    </row>
    <row r="278">
      <c r="A278" s="42" t="inlineStr">
        <is>
          <t>GSC-SL-000275</t>
        </is>
      </c>
      <c r="B278" t="inlineStr">
        <is>
          <t>SZ-SL-000275</t>
        </is>
      </c>
      <c r="C278" t="inlineStr">
        <is>
          <t>WT-SL-SHUTTER-HIKI</t>
        </is>
      </c>
      <c r="D278" t="inlineStr">
        <is>
          <t>SP-SL-SHUT-E-VENT</t>
        </is>
      </c>
      <c r="E278" t="inlineStr">
        <is>
          <t>16513</t>
        </is>
      </c>
      <c r="F278" t="b">
        <v>1</v>
      </c>
      <c r="G278" t="n">
        <v>35</v>
      </c>
      <c r="H278" t="inlineStr">
        <is>
          <t>★</t>
        </is>
      </c>
      <c r="I278" t="n">
        <v>34</v>
      </c>
      <c r="J278" t="inlineStr">
        <is>
          <t>P34|★</t>
        </is>
      </c>
      <c r="K278" t="inlineStr">
        <is>
          <t>同一価格表・前頁凡例を継承</t>
        </is>
      </c>
      <c r="L278" t="inlineStr">
        <is>
          <t>202604_LIXIL_サーモスＬ_業務用資料集_完成品価格表.pdf</t>
        </is>
      </c>
      <c r="M278" t="inlineStr">
        <is>
          <t>v0.6：同一価格表セクション内で凡例継承を確定。</t>
        </is>
      </c>
      <c r="N278" t="inlineStr">
        <is>
          <t>https://drive.google.com/file/d/1YUN-mtWYs48YBUHJk0C3vJXnhjyZFHyf/view</t>
        </is>
      </c>
    </row>
    <row r="279">
      <c r="A279" s="42" t="inlineStr">
        <is>
          <t>GSC-SL-000276</t>
        </is>
      </c>
      <c r="B279" t="inlineStr">
        <is>
          <t>SZ-SL-000276</t>
        </is>
      </c>
      <c r="C279" t="inlineStr">
        <is>
          <t>WT-SL-SHUTTER-HIKI</t>
        </is>
      </c>
      <c r="D279" t="inlineStr">
        <is>
          <t>SP-SL-SHUT-E-VENT</t>
        </is>
      </c>
      <c r="E279" t="inlineStr">
        <is>
          <t>16515</t>
        </is>
      </c>
      <c r="F279" t="b">
        <v>1</v>
      </c>
      <c r="G279" t="n">
        <v>35</v>
      </c>
      <c r="H279" t="inlineStr">
        <is>
          <t>○</t>
        </is>
      </c>
      <c r="I279" t="n">
        <v>34</v>
      </c>
      <c r="J279" t="inlineStr">
        <is>
          <t>P34|○</t>
        </is>
      </c>
      <c r="K279" t="inlineStr">
        <is>
          <t>同一価格表・前頁凡例を継承</t>
        </is>
      </c>
      <c r="L279" t="inlineStr">
        <is>
          <t>202604_LIXIL_サーモスＬ_業務用資料集_完成品価格表.pdf</t>
        </is>
      </c>
      <c r="M279" t="inlineStr">
        <is>
          <t>v0.6：同一価格表セクション内で凡例継承を確定。</t>
        </is>
      </c>
      <c r="N279" t="inlineStr">
        <is>
          <t>https://drive.google.com/file/d/1YUN-mtWYs48YBUHJk0C3vJXnhjyZFHyf/view</t>
        </is>
      </c>
    </row>
    <row r="280">
      <c r="A280" s="42" t="inlineStr">
        <is>
          <t>GSC-SL-000277</t>
        </is>
      </c>
      <c r="B280" t="inlineStr">
        <is>
          <t>SZ-SL-000277</t>
        </is>
      </c>
      <c r="C280" t="inlineStr">
        <is>
          <t>WT-SL-SHUTTER-HIKI</t>
        </is>
      </c>
      <c r="D280" t="inlineStr">
        <is>
          <t>SP-SL-SHUT-E-VENT</t>
        </is>
      </c>
      <c r="E280" t="inlineStr">
        <is>
          <t>17413</t>
        </is>
      </c>
      <c r="F280" t="b">
        <v>1</v>
      </c>
      <c r="G280" t="n">
        <v>35</v>
      </c>
      <c r="H280" t="inlineStr">
        <is>
          <t>★</t>
        </is>
      </c>
      <c r="I280" t="n">
        <v>34</v>
      </c>
      <c r="J280" t="inlineStr">
        <is>
          <t>P34|★</t>
        </is>
      </c>
      <c r="K280" t="inlineStr">
        <is>
          <t>同一価格表・前頁凡例を継承</t>
        </is>
      </c>
      <c r="L280" t="inlineStr">
        <is>
          <t>202604_LIXIL_サーモスＬ_業務用資料集_完成品価格表.pdf</t>
        </is>
      </c>
      <c r="M280" t="inlineStr">
        <is>
          <t>v0.6：同一価格表セクション内で凡例継承を確定。</t>
        </is>
      </c>
      <c r="N280" t="inlineStr">
        <is>
          <t>https://drive.google.com/file/d/1YUN-mtWYs48YBUHJk0C3vJXnhjyZFHyf/view</t>
        </is>
      </c>
    </row>
    <row r="281">
      <c r="A281" s="42" t="inlineStr">
        <is>
          <t>GSC-SL-000278</t>
        </is>
      </c>
      <c r="B281" t="inlineStr">
        <is>
          <t>SZ-SL-000278</t>
        </is>
      </c>
      <c r="C281" t="inlineStr">
        <is>
          <t>WT-SL-SHUTTER-HIKI</t>
        </is>
      </c>
      <c r="D281" t="inlineStr">
        <is>
          <t>SP-SL-SHUT-E-VENT</t>
        </is>
      </c>
      <c r="E281" t="inlineStr">
        <is>
          <t>17613</t>
        </is>
      </c>
      <c r="F281" t="b">
        <v>1</v>
      </c>
      <c r="G281" t="n">
        <v>35</v>
      </c>
      <c r="H281" t="inlineStr">
        <is>
          <t>★</t>
        </is>
      </c>
      <c r="I281" t="n">
        <v>34</v>
      </c>
      <c r="J281" t="inlineStr">
        <is>
          <t>P34|★</t>
        </is>
      </c>
      <c r="K281" t="inlineStr">
        <is>
          <t>同一価格表・前頁凡例を継承</t>
        </is>
      </c>
      <c r="L281" t="inlineStr">
        <is>
          <t>202604_LIXIL_サーモスＬ_業務用資料集_完成品価格表.pdf</t>
        </is>
      </c>
      <c r="M281" t="inlineStr">
        <is>
          <t>v0.6：同一価格表セクション内で凡例継承を確定。</t>
        </is>
      </c>
      <c r="N281" t="inlineStr">
        <is>
          <t>https://drive.google.com/file/d/1YUN-mtWYs48YBUHJk0C3vJXnhjyZFHyf/view</t>
        </is>
      </c>
    </row>
    <row r="282">
      <c r="A282" s="42" t="inlineStr">
        <is>
          <t>GSC-SL-000279</t>
        </is>
      </c>
      <c r="B282" t="inlineStr">
        <is>
          <t>SZ-SL-000279</t>
        </is>
      </c>
      <c r="C282" t="inlineStr">
        <is>
          <t>WT-SL-SHUTTER-HIKI</t>
        </is>
      </c>
      <c r="D282" t="inlineStr">
        <is>
          <t>SP-SL-SHUT-E-WIND</t>
        </is>
      </c>
      <c r="E282" t="inlineStr">
        <is>
          <t>15013</t>
        </is>
      </c>
      <c r="F282" t="b">
        <v>1</v>
      </c>
      <c r="G282" t="n">
        <v>35</v>
      </c>
      <c r="H282" t="inlineStr">
        <is>
          <t>無印</t>
        </is>
      </c>
      <c r="I282" t="n">
        <v>34</v>
      </c>
      <c r="J282" t="inlineStr">
        <is>
          <t>P34|無印</t>
        </is>
      </c>
      <c r="K282" t="inlineStr">
        <is>
          <t>同一価格表・前頁凡例を継承</t>
        </is>
      </c>
      <c r="L282" t="inlineStr">
        <is>
          <t>202604_LIXIL_サーモスＬ_業務用資料集_完成品価格表.pdf</t>
        </is>
      </c>
      <c r="M282" t="inlineStr">
        <is>
          <t>v0.6：同一価格表セクション内で凡例継承を確定。</t>
        </is>
      </c>
      <c r="N282" t="inlineStr">
        <is>
          <t>https://drive.google.com/file/d/1YUN-mtWYs48YBUHJk0C3vJXnhjyZFHyf/view</t>
        </is>
      </c>
    </row>
    <row r="283">
      <c r="A283" s="42" t="inlineStr">
        <is>
          <t>GSC-SL-000280</t>
        </is>
      </c>
      <c r="B283" t="inlineStr">
        <is>
          <t>SZ-SL-000280</t>
        </is>
      </c>
      <c r="C283" t="inlineStr">
        <is>
          <t>WT-SL-SHUTTER-HIKI</t>
        </is>
      </c>
      <c r="D283" t="inlineStr">
        <is>
          <t>SP-SL-SHUT-E-WIND</t>
        </is>
      </c>
      <c r="E283" t="inlineStr">
        <is>
          <t>15015</t>
        </is>
      </c>
      <c r="F283" t="b">
        <v>1</v>
      </c>
      <c r="G283" t="n">
        <v>35</v>
      </c>
      <c r="H283" t="inlineStr">
        <is>
          <t>○</t>
        </is>
      </c>
      <c r="I283" t="n">
        <v>34</v>
      </c>
      <c r="J283" t="inlineStr">
        <is>
          <t>P34|○</t>
        </is>
      </c>
      <c r="K283" t="inlineStr">
        <is>
          <t>同一価格表・前頁凡例を継承</t>
        </is>
      </c>
      <c r="L283" t="inlineStr">
        <is>
          <t>202604_LIXIL_サーモスＬ_業務用資料集_完成品価格表.pdf</t>
        </is>
      </c>
      <c r="M283" t="inlineStr">
        <is>
          <t>v0.6：同一価格表セクション内で凡例継承を確定。</t>
        </is>
      </c>
      <c r="N283" t="inlineStr">
        <is>
          <t>https://drive.google.com/file/d/1YUN-mtWYs48YBUHJk0C3vJXnhjyZFHyf/view</t>
        </is>
      </c>
    </row>
    <row r="284">
      <c r="A284" s="42" t="inlineStr">
        <is>
          <t>GSC-SL-000281</t>
        </is>
      </c>
      <c r="B284" t="inlineStr">
        <is>
          <t>SZ-SL-000281</t>
        </is>
      </c>
      <c r="C284" t="inlineStr">
        <is>
          <t>WT-SL-SHUTTER-HIKI</t>
        </is>
      </c>
      <c r="D284" t="inlineStr">
        <is>
          <t>SP-SL-SHUT-E-WIND</t>
        </is>
      </c>
      <c r="E284" t="inlineStr">
        <is>
          <t>16013</t>
        </is>
      </c>
      <c r="F284" t="b">
        <v>1</v>
      </c>
      <c r="G284" t="n">
        <v>35</v>
      </c>
      <c r="H284" t="inlineStr">
        <is>
          <t>★</t>
        </is>
      </c>
      <c r="I284" t="n">
        <v>34</v>
      </c>
      <c r="J284" t="inlineStr">
        <is>
          <t>P34|★</t>
        </is>
      </c>
      <c r="K284" t="inlineStr">
        <is>
          <t>同一価格表・前頁凡例を継承</t>
        </is>
      </c>
      <c r="L284" t="inlineStr">
        <is>
          <t>202604_LIXIL_サーモスＬ_業務用資料集_完成品価格表.pdf</t>
        </is>
      </c>
      <c r="M284" t="inlineStr">
        <is>
          <t>v0.6：同一価格表セクション内で凡例継承を確定。</t>
        </is>
      </c>
      <c r="N284" t="inlineStr">
        <is>
          <t>https://drive.google.com/file/d/1YUN-mtWYs48YBUHJk0C3vJXnhjyZFHyf/view</t>
        </is>
      </c>
    </row>
    <row r="285">
      <c r="A285" s="42" t="inlineStr">
        <is>
          <t>GSC-SL-000282</t>
        </is>
      </c>
      <c r="B285" t="inlineStr">
        <is>
          <t>SZ-SL-000282</t>
        </is>
      </c>
      <c r="C285" t="inlineStr">
        <is>
          <t>WT-SL-SHUTTER-HIKI</t>
        </is>
      </c>
      <c r="D285" t="inlineStr">
        <is>
          <t>SP-SL-SHUT-E-WIND</t>
        </is>
      </c>
      <c r="E285" t="inlineStr">
        <is>
          <t>16015</t>
        </is>
      </c>
      <c r="F285" t="b">
        <v>1</v>
      </c>
      <c r="G285" t="n">
        <v>35</v>
      </c>
      <c r="H285" t="inlineStr">
        <is>
          <t>○</t>
        </is>
      </c>
      <c r="I285" t="n">
        <v>34</v>
      </c>
      <c r="J285" t="inlineStr">
        <is>
          <t>P34|○</t>
        </is>
      </c>
      <c r="K285" t="inlineStr">
        <is>
          <t>同一価格表・前頁凡例を継承</t>
        </is>
      </c>
      <c r="L285" t="inlineStr">
        <is>
          <t>202604_LIXIL_サーモスＬ_業務用資料集_完成品価格表.pdf</t>
        </is>
      </c>
      <c r="M285" t="inlineStr">
        <is>
          <t>v0.6：同一価格表セクション内で凡例継承を確定。</t>
        </is>
      </c>
      <c r="N285" t="inlineStr">
        <is>
          <t>https://drive.google.com/file/d/1YUN-mtWYs48YBUHJk0C3vJXnhjyZFHyf/view</t>
        </is>
      </c>
    </row>
    <row r="286">
      <c r="A286" s="42" t="inlineStr">
        <is>
          <t>GSC-SL-000283</t>
        </is>
      </c>
      <c r="B286" t="inlineStr">
        <is>
          <t>SZ-SL-000283</t>
        </is>
      </c>
      <c r="C286" t="inlineStr">
        <is>
          <t>WT-SL-SHUTTER-HIKI</t>
        </is>
      </c>
      <c r="D286" t="inlineStr">
        <is>
          <t>SP-SL-SHUT-E-WIND</t>
        </is>
      </c>
      <c r="E286" t="inlineStr">
        <is>
          <t>16513</t>
        </is>
      </c>
      <c r="F286" t="b">
        <v>1</v>
      </c>
      <c r="G286" t="n">
        <v>35</v>
      </c>
      <c r="H286" t="inlineStr">
        <is>
          <t>★</t>
        </is>
      </c>
      <c r="I286" t="n">
        <v>34</v>
      </c>
      <c r="J286" t="inlineStr">
        <is>
          <t>P34|★</t>
        </is>
      </c>
      <c r="K286" t="inlineStr">
        <is>
          <t>同一価格表・前頁凡例を継承</t>
        </is>
      </c>
      <c r="L286" t="inlineStr">
        <is>
          <t>202604_LIXIL_サーモスＬ_業務用資料集_完成品価格表.pdf</t>
        </is>
      </c>
      <c r="M286" t="inlineStr">
        <is>
          <t>v0.6：同一価格表セクション内で凡例継承を確定。</t>
        </is>
      </c>
      <c r="N286" t="inlineStr">
        <is>
          <t>https://drive.google.com/file/d/1YUN-mtWYs48YBUHJk0C3vJXnhjyZFHyf/view</t>
        </is>
      </c>
    </row>
    <row r="287">
      <c r="A287" s="42" t="inlineStr">
        <is>
          <t>GSC-SL-000284</t>
        </is>
      </c>
      <c r="B287" t="inlineStr">
        <is>
          <t>SZ-SL-000284</t>
        </is>
      </c>
      <c r="C287" t="inlineStr">
        <is>
          <t>WT-SL-SHUTTER-HIKI</t>
        </is>
      </c>
      <c r="D287" t="inlineStr">
        <is>
          <t>SP-SL-SHUT-E-WIND</t>
        </is>
      </c>
      <c r="E287" t="inlineStr">
        <is>
          <t>16515</t>
        </is>
      </c>
      <c r="F287" t="b">
        <v>1</v>
      </c>
      <c r="G287" t="n">
        <v>35</v>
      </c>
      <c r="H287" t="inlineStr">
        <is>
          <t>○</t>
        </is>
      </c>
      <c r="I287" t="n">
        <v>34</v>
      </c>
      <c r="J287" t="inlineStr">
        <is>
          <t>P34|○</t>
        </is>
      </c>
      <c r="K287" t="inlineStr">
        <is>
          <t>同一価格表・前頁凡例を継承</t>
        </is>
      </c>
      <c r="L287" t="inlineStr">
        <is>
          <t>202604_LIXIL_サーモスＬ_業務用資料集_完成品価格表.pdf</t>
        </is>
      </c>
      <c r="M287" t="inlineStr">
        <is>
          <t>v0.6：同一価格表セクション内で凡例継承を確定。</t>
        </is>
      </c>
      <c r="N287" t="inlineStr">
        <is>
          <t>https://drive.google.com/file/d/1YUN-mtWYs48YBUHJk0C3vJXnhjyZFHyf/view</t>
        </is>
      </c>
    </row>
    <row r="288">
      <c r="A288" s="42" t="inlineStr">
        <is>
          <t>GSC-SL-000285</t>
        </is>
      </c>
      <c r="B288" t="inlineStr">
        <is>
          <t>SZ-SL-000285</t>
        </is>
      </c>
      <c r="C288" t="inlineStr">
        <is>
          <t>WT-SL-SHUTTER-HIKI</t>
        </is>
      </c>
      <c r="D288" t="inlineStr">
        <is>
          <t>SP-SL-SHUT-E-WIND</t>
        </is>
      </c>
      <c r="E288" t="inlineStr">
        <is>
          <t>17413</t>
        </is>
      </c>
      <c r="F288" t="b">
        <v>0</v>
      </c>
      <c r="G288" t="n">
        <v>35</v>
      </c>
      <c r="H288" t="inlineStr">
        <is>
          <t>★</t>
        </is>
      </c>
      <c r="I288" t="n">
        <v>34</v>
      </c>
      <c r="J288" t="inlineStr">
        <is>
          <t>P34|★</t>
        </is>
      </c>
      <c r="K288" t="inlineStr">
        <is>
          <t>同一価格表・前頁凡例を継承</t>
        </is>
      </c>
      <c r="L288" t="inlineStr">
        <is>
          <t>202604_LIXIL_サーモスＬ_業務用資料集_完成品価格表.pdf</t>
        </is>
      </c>
      <c r="M288" t="inlineStr">
        <is>
          <t>v0.6：同一価格表セクション内で凡例継承を確定。</t>
        </is>
      </c>
      <c r="N288" t="inlineStr">
        <is>
          <t>https://drive.google.com/file/d/1YUN-mtWYs48YBUHJk0C3vJXnhjyZFHyf/view</t>
        </is>
      </c>
    </row>
    <row r="289">
      <c r="A289" s="42" t="inlineStr">
        <is>
          <t>GSC-SL-000286</t>
        </is>
      </c>
      <c r="B289" t="inlineStr">
        <is>
          <t>SZ-SL-000286</t>
        </is>
      </c>
      <c r="C289" t="inlineStr">
        <is>
          <t>WT-SL-SHUTTER-HIKI</t>
        </is>
      </c>
      <c r="D289" t="inlineStr">
        <is>
          <t>SP-SL-SHUT-E-WIND</t>
        </is>
      </c>
      <c r="E289" t="inlineStr">
        <is>
          <t>17613</t>
        </is>
      </c>
      <c r="F289" t="b">
        <v>0</v>
      </c>
      <c r="G289" t="n">
        <v>35</v>
      </c>
      <c r="H289" t="inlineStr">
        <is>
          <t>★</t>
        </is>
      </c>
      <c r="I289" t="n">
        <v>34</v>
      </c>
      <c r="J289" t="inlineStr">
        <is>
          <t>P34|★</t>
        </is>
      </c>
      <c r="K289" t="inlineStr">
        <is>
          <t>同一価格表・前頁凡例を継承</t>
        </is>
      </c>
      <c r="L289" t="inlineStr">
        <is>
          <t>202604_LIXIL_サーモスＬ_業務用資料集_完成品価格表.pdf</t>
        </is>
      </c>
      <c r="M289" t="inlineStr">
        <is>
          <t>v0.6：同一価格表セクション内で凡例継承を確定。</t>
        </is>
      </c>
      <c r="N289" t="inlineStr">
        <is>
          <t>https://drive.google.com/file/d/1YUN-mtWYs48YBUHJk0C3vJXnhjyZFHyf/view</t>
        </is>
      </c>
    </row>
    <row r="290">
      <c r="A290" s="42" t="inlineStr">
        <is>
          <t>GSC-SL-000287</t>
        </is>
      </c>
      <c r="B290" t="inlineStr">
        <is>
          <t>SZ-SL-000287</t>
        </is>
      </c>
      <c r="C290" t="inlineStr">
        <is>
          <t>WT-SL-SHUTTER-HIKI</t>
        </is>
      </c>
      <c r="D290" t="inlineStr">
        <is>
          <t>SP-SL-SHUT-E-STD</t>
        </is>
      </c>
      <c r="E290" t="inlineStr">
        <is>
          <t>18013</t>
        </is>
      </c>
      <c r="F290" t="b">
        <v>1</v>
      </c>
      <c r="G290" t="n">
        <v>36</v>
      </c>
      <c r="H290" t="inlineStr">
        <is>
          <t>★</t>
        </is>
      </c>
      <c r="I290" t="n">
        <v>36</v>
      </c>
      <c r="J290" t="inlineStr">
        <is>
          <t>P36|★</t>
        </is>
      </c>
      <c r="K290" t="inlineStr">
        <is>
          <t>同頁凡例へ直接連動</t>
        </is>
      </c>
      <c r="L290" t="inlineStr">
        <is>
          <t>202604_LIXIL_サーモスＬ_業務用資料集_完成品価格表.pdf</t>
        </is>
      </c>
      <c r="M290" t="inlineStr">
        <is>
          <t>v0.6：同一価格表セクション内で凡例継承を確定。</t>
        </is>
      </c>
      <c r="N290" t="inlineStr">
        <is>
          <t>https://drive.google.com/file/d/1YUN-mtWYs48YBUHJk0C3vJXnhjyZFHyf/view</t>
        </is>
      </c>
    </row>
    <row r="291">
      <c r="A291" s="42" t="inlineStr">
        <is>
          <t>GSC-SL-000288</t>
        </is>
      </c>
      <c r="B291" t="inlineStr">
        <is>
          <t>SZ-SL-000288</t>
        </is>
      </c>
      <c r="C291" t="inlineStr">
        <is>
          <t>WT-SL-SHUTTER-HIKI</t>
        </is>
      </c>
      <c r="D291" t="inlineStr">
        <is>
          <t>SP-SL-SHUT-E-STD</t>
        </is>
      </c>
      <c r="E291" t="inlineStr">
        <is>
          <t>18613</t>
        </is>
      </c>
      <c r="F291" t="b">
        <v>1</v>
      </c>
      <c r="G291" t="n">
        <v>36</v>
      </c>
      <c r="H291" t="inlineStr">
        <is>
          <t>★</t>
        </is>
      </c>
      <c r="I291" t="n">
        <v>36</v>
      </c>
      <c r="J291" t="inlineStr">
        <is>
          <t>P36|★</t>
        </is>
      </c>
      <c r="K291" t="inlineStr">
        <is>
          <t>同頁凡例へ直接連動</t>
        </is>
      </c>
      <c r="L291" t="inlineStr">
        <is>
          <t>202604_LIXIL_サーモスＬ_業務用資料集_完成品価格表.pdf</t>
        </is>
      </c>
      <c r="M291" t="inlineStr">
        <is>
          <t>v0.6：同一価格表セクション内で凡例継承を確定。</t>
        </is>
      </c>
      <c r="N291" t="inlineStr">
        <is>
          <t>https://drive.google.com/file/d/1YUN-mtWYs48YBUHJk0C3vJXnhjyZFHyf/view</t>
        </is>
      </c>
    </row>
    <row r="292">
      <c r="A292" s="42" t="inlineStr">
        <is>
          <t>GSC-SL-000289</t>
        </is>
      </c>
      <c r="B292" t="inlineStr">
        <is>
          <t>SZ-SL-000289</t>
        </is>
      </c>
      <c r="C292" t="inlineStr">
        <is>
          <t>WT-SL-SHUTTER-HIKI</t>
        </is>
      </c>
      <c r="D292" t="inlineStr">
        <is>
          <t>SP-SL-SHUT-E-VENT</t>
        </is>
      </c>
      <c r="E292" t="inlineStr">
        <is>
          <t>18013</t>
        </is>
      </c>
      <c r="F292" t="b">
        <v>1</v>
      </c>
      <c r="G292" t="n">
        <v>36</v>
      </c>
      <c r="H292" t="inlineStr">
        <is>
          <t>★</t>
        </is>
      </c>
      <c r="I292" t="n">
        <v>36</v>
      </c>
      <c r="J292" t="inlineStr">
        <is>
          <t>P36|★</t>
        </is>
      </c>
      <c r="K292" t="inlineStr">
        <is>
          <t>同頁凡例へ直接連動</t>
        </is>
      </c>
      <c r="L292" t="inlineStr">
        <is>
          <t>202604_LIXIL_サーモスＬ_業務用資料集_完成品価格表.pdf</t>
        </is>
      </c>
      <c r="M292" t="inlineStr">
        <is>
          <t>v0.6：同一価格表セクション内で凡例継承を確定。</t>
        </is>
      </c>
      <c r="N292" t="inlineStr">
        <is>
          <t>https://drive.google.com/file/d/1YUN-mtWYs48YBUHJk0C3vJXnhjyZFHyf/view</t>
        </is>
      </c>
    </row>
    <row r="293">
      <c r="A293" s="42" t="inlineStr">
        <is>
          <t>GSC-SL-000290</t>
        </is>
      </c>
      <c r="B293" t="inlineStr">
        <is>
          <t>SZ-SL-000290</t>
        </is>
      </c>
      <c r="C293" t="inlineStr">
        <is>
          <t>WT-SL-SHUTTER-HIKI</t>
        </is>
      </c>
      <c r="D293" t="inlineStr">
        <is>
          <t>SP-SL-SHUT-E-VENT</t>
        </is>
      </c>
      <c r="E293" t="inlineStr">
        <is>
          <t>18613</t>
        </is>
      </c>
      <c r="F293" t="b">
        <v>1</v>
      </c>
      <c r="G293" t="n">
        <v>36</v>
      </c>
      <c r="H293" t="inlineStr">
        <is>
          <t>★</t>
        </is>
      </c>
      <c r="I293" t="n">
        <v>36</v>
      </c>
      <c r="J293" t="inlineStr">
        <is>
          <t>P36|★</t>
        </is>
      </c>
      <c r="K293" t="inlineStr">
        <is>
          <t>同頁凡例へ直接連動</t>
        </is>
      </c>
      <c r="L293" t="inlineStr">
        <is>
          <t>202604_LIXIL_サーモスＬ_業務用資料集_完成品価格表.pdf</t>
        </is>
      </c>
      <c r="M293" t="inlineStr">
        <is>
          <t>v0.6：同一価格表セクション内で凡例継承を確定。</t>
        </is>
      </c>
      <c r="N293" t="inlineStr">
        <is>
          <t>https://drive.google.com/file/d/1YUN-mtWYs48YBUHJk0C3vJXnhjyZFHyf/view</t>
        </is>
      </c>
    </row>
    <row r="294">
      <c r="A294" s="42" t="inlineStr">
        <is>
          <t>GSC-SL-000291</t>
        </is>
      </c>
      <c r="B294" t="inlineStr">
        <is>
          <t>SZ-SL-000291</t>
        </is>
      </c>
      <c r="C294" t="inlineStr">
        <is>
          <t>WT-SL-SHUTTER-HIKI</t>
        </is>
      </c>
      <c r="D294" t="inlineStr">
        <is>
          <t>SP-SL-SHUT-E-WIND</t>
        </is>
      </c>
      <c r="E294" t="inlineStr">
        <is>
          <t>18013</t>
        </is>
      </c>
      <c r="F294" t="b">
        <v>0</v>
      </c>
      <c r="G294" t="n">
        <v>36</v>
      </c>
      <c r="H294" t="inlineStr">
        <is>
          <t>★</t>
        </is>
      </c>
      <c r="I294" t="n">
        <v>36</v>
      </c>
      <c r="J294" t="inlineStr">
        <is>
          <t>P36|★</t>
        </is>
      </c>
      <c r="K294" t="inlineStr">
        <is>
          <t>同頁凡例へ直接連動</t>
        </is>
      </c>
      <c r="L294" t="inlineStr">
        <is>
          <t>202604_LIXIL_サーモスＬ_業務用資料集_完成品価格表.pdf</t>
        </is>
      </c>
      <c r="M294" t="inlineStr">
        <is>
          <t>v0.6：同一価格表セクション内で凡例継承を確定。</t>
        </is>
      </c>
      <c r="N294" t="inlineStr">
        <is>
          <t>https://drive.google.com/file/d/1YUN-mtWYs48YBUHJk0C3vJXnhjyZFHyf/view</t>
        </is>
      </c>
    </row>
    <row r="295">
      <c r="A295" s="42" t="inlineStr">
        <is>
          <t>GSC-SL-000292</t>
        </is>
      </c>
      <c r="B295" t="inlineStr">
        <is>
          <t>SZ-SL-000292</t>
        </is>
      </c>
      <c r="C295" t="inlineStr">
        <is>
          <t>WT-SL-SHUTTER-HIKI</t>
        </is>
      </c>
      <c r="D295" t="inlineStr">
        <is>
          <t>SP-SL-SHUT-E-WIND</t>
        </is>
      </c>
      <c r="E295" t="inlineStr">
        <is>
          <t>18613</t>
        </is>
      </c>
      <c r="F295" t="b">
        <v>0</v>
      </c>
      <c r="G295" t="n">
        <v>36</v>
      </c>
      <c r="H295" t="inlineStr">
        <is>
          <t>★</t>
        </is>
      </c>
      <c r="I295" t="n">
        <v>36</v>
      </c>
      <c r="J295" t="inlineStr">
        <is>
          <t>P36|★</t>
        </is>
      </c>
      <c r="K295" t="inlineStr">
        <is>
          <t>同頁凡例へ直接連動</t>
        </is>
      </c>
      <c r="L295" t="inlineStr">
        <is>
          <t>202604_LIXIL_サーモスＬ_業務用資料集_完成品価格表.pdf</t>
        </is>
      </c>
      <c r="M295" t="inlineStr">
        <is>
          <t>v0.6：同一価格表セクション内で凡例継承を確定。</t>
        </is>
      </c>
      <c r="N295" t="inlineStr">
        <is>
          <t>https://drive.google.com/file/d/1YUN-mtWYs48YBUHJk0C3vJXnhjyZFHyf/view</t>
        </is>
      </c>
    </row>
    <row r="296">
      <c r="A296" s="42" t="inlineStr">
        <is>
          <t>GSC-SL-000293</t>
        </is>
      </c>
      <c r="B296" t="inlineStr">
        <is>
          <t>SZ-SL-000293</t>
        </is>
      </c>
      <c r="C296" t="inlineStr">
        <is>
          <t>WT-SL-SHUTTER-HIKI</t>
        </is>
      </c>
      <c r="D296" t="inlineStr">
        <is>
          <t>SP-SL-SHUT-E-STD</t>
        </is>
      </c>
      <c r="E296" t="inlineStr">
        <is>
          <t>25113-2</t>
        </is>
      </c>
      <c r="F296" t="b">
        <v>1</v>
      </c>
      <c r="G296" t="n">
        <v>37</v>
      </c>
      <c r="H296" t="inlineStr">
        <is>
          <t>●</t>
        </is>
      </c>
      <c r="I296" t="n">
        <v>36</v>
      </c>
      <c r="J296" t="inlineStr">
        <is>
          <t>P36|●</t>
        </is>
      </c>
      <c r="K296" t="inlineStr">
        <is>
          <t>同一価格表・前頁凡例を継承</t>
        </is>
      </c>
      <c r="L296" t="inlineStr">
        <is>
          <t>202604_LIXIL_サーモスＬ_業務用資料集_完成品価格表.pdf</t>
        </is>
      </c>
      <c r="M296" t="inlineStr">
        <is>
          <t>v0.6：同一価格表セクション内で凡例継承を確定。</t>
        </is>
      </c>
      <c r="N296" t="inlineStr">
        <is>
          <t>https://drive.google.com/file/d/1YUN-mtWYs48YBUHJk0C3vJXnhjyZFHyf/view</t>
        </is>
      </c>
    </row>
    <row r="297">
      <c r="A297" s="42" t="inlineStr">
        <is>
          <t>GSC-SL-000294</t>
        </is>
      </c>
      <c r="B297" t="inlineStr">
        <is>
          <t>SZ-SL-000294</t>
        </is>
      </c>
      <c r="C297" t="inlineStr">
        <is>
          <t>WT-SL-SHUTTER-HIKI</t>
        </is>
      </c>
      <c r="D297" t="inlineStr">
        <is>
          <t>SP-SL-SHUT-E-STD</t>
        </is>
      </c>
      <c r="E297" t="inlineStr">
        <is>
          <t>25113-4</t>
        </is>
      </c>
      <c r="F297" t="b">
        <v>1</v>
      </c>
      <c r="G297" t="n">
        <v>37</v>
      </c>
      <c r="H297" t="inlineStr">
        <is>
          <t>無印</t>
        </is>
      </c>
      <c r="I297" t="n">
        <v>36</v>
      </c>
      <c r="J297" t="inlineStr">
        <is>
          <t>P36|無印</t>
        </is>
      </c>
      <c r="K297" t="inlineStr">
        <is>
          <t>同一価格表・前頁凡例を継承</t>
        </is>
      </c>
      <c r="L297" t="inlineStr">
        <is>
          <t>202604_LIXIL_サーモスＬ_業務用資料集_完成品価格表.pdf</t>
        </is>
      </c>
      <c r="M297" t="inlineStr">
        <is>
          <t>v0.6：同一価格表セクション内で凡例継承を確定。</t>
        </is>
      </c>
      <c r="N297" t="inlineStr">
        <is>
          <t>https://drive.google.com/file/d/1YUN-mtWYs48YBUHJk0C3vJXnhjyZFHyf/view</t>
        </is>
      </c>
    </row>
    <row r="298">
      <c r="A298" s="42" t="inlineStr">
        <is>
          <t>GSC-SL-000295</t>
        </is>
      </c>
      <c r="B298" t="inlineStr">
        <is>
          <t>SZ-SL-000295</t>
        </is>
      </c>
      <c r="C298" t="inlineStr">
        <is>
          <t>WT-SL-SHUTTER-HIKI</t>
        </is>
      </c>
      <c r="D298" t="inlineStr">
        <is>
          <t>SP-SL-SHUT-E-STD</t>
        </is>
      </c>
      <c r="E298" t="inlineStr">
        <is>
          <t>25613-2</t>
        </is>
      </c>
      <c r="F298" t="b">
        <v>1</v>
      </c>
      <c r="G298" t="n">
        <v>37</v>
      </c>
      <c r="H298" t="inlineStr">
        <is>
          <t>●</t>
        </is>
      </c>
      <c r="I298" t="n">
        <v>36</v>
      </c>
      <c r="J298" t="inlineStr">
        <is>
          <t>P36|●</t>
        </is>
      </c>
      <c r="K298" t="inlineStr">
        <is>
          <t>同一価格表・前頁凡例を継承</t>
        </is>
      </c>
      <c r="L298" t="inlineStr">
        <is>
          <t>202604_LIXIL_サーモスＬ_業務用資料集_完成品価格表.pdf</t>
        </is>
      </c>
      <c r="M298" t="inlineStr">
        <is>
          <t>v0.6：同一価格表セクション内で凡例継承を確定。</t>
        </is>
      </c>
      <c r="N298" t="inlineStr">
        <is>
          <t>https://drive.google.com/file/d/1YUN-mtWYs48YBUHJk0C3vJXnhjyZFHyf/view</t>
        </is>
      </c>
    </row>
    <row r="299">
      <c r="A299" s="42" t="inlineStr">
        <is>
          <t>GSC-SL-000296</t>
        </is>
      </c>
      <c r="B299" t="inlineStr">
        <is>
          <t>SZ-SL-000296</t>
        </is>
      </c>
      <c r="C299" t="inlineStr">
        <is>
          <t>WT-SL-SHUTTER-HIKI</t>
        </is>
      </c>
      <c r="D299" t="inlineStr">
        <is>
          <t>SP-SL-SHUT-E-STD</t>
        </is>
      </c>
      <c r="E299" t="inlineStr">
        <is>
          <t>25613-4</t>
        </is>
      </c>
      <c r="F299" t="b">
        <v>1</v>
      </c>
      <c r="G299" t="n">
        <v>37</v>
      </c>
      <c r="H299" t="inlineStr">
        <is>
          <t>無印</t>
        </is>
      </c>
      <c r="I299" t="n">
        <v>36</v>
      </c>
      <c r="J299" t="inlineStr">
        <is>
          <t>P36|無印</t>
        </is>
      </c>
      <c r="K299" t="inlineStr">
        <is>
          <t>同一価格表・前頁凡例を継承</t>
        </is>
      </c>
      <c r="L299" t="inlineStr">
        <is>
          <t>202604_LIXIL_サーモスＬ_業務用資料集_完成品価格表.pdf</t>
        </is>
      </c>
      <c r="M299" t="inlineStr">
        <is>
          <t>v0.6：同一価格表セクション内で凡例継承を確定。</t>
        </is>
      </c>
      <c r="N299" t="inlineStr">
        <is>
          <t>https://drive.google.com/file/d/1YUN-mtWYs48YBUHJk0C3vJXnhjyZFHyf/view</t>
        </is>
      </c>
    </row>
    <row r="300">
      <c r="A300" s="42" t="inlineStr">
        <is>
          <t>GSC-SL-000297</t>
        </is>
      </c>
      <c r="B300" t="inlineStr">
        <is>
          <t>SZ-SL-000297</t>
        </is>
      </c>
      <c r="C300" t="inlineStr">
        <is>
          <t>WT-SL-SHUTTER-HIKI</t>
        </is>
      </c>
      <c r="D300" t="inlineStr">
        <is>
          <t>SP-SL-SHUT-E-VENT</t>
        </is>
      </c>
      <c r="E300" t="inlineStr">
        <is>
          <t>25113-2</t>
        </is>
      </c>
      <c r="F300" t="b">
        <v>1</v>
      </c>
      <c r="G300" t="n">
        <v>37</v>
      </c>
      <c r="H300" t="inlineStr">
        <is>
          <t>●</t>
        </is>
      </c>
      <c r="I300" t="n">
        <v>36</v>
      </c>
      <c r="J300" t="inlineStr">
        <is>
          <t>P36|●</t>
        </is>
      </c>
      <c r="K300" t="inlineStr">
        <is>
          <t>同一価格表・前頁凡例を継承</t>
        </is>
      </c>
      <c r="L300" t="inlineStr">
        <is>
          <t>202604_LIXIL_サーモスＬ_業務用資料集_完成品価格表.pdf</t>
        </is>
      </c>
      <c r="M300" t="inlineStr">
        <is>
          <t>v0.6：同一価格表セクション内で凡例継承を確定。</t>
        </is>
      </c>
      <c r="N300" t="inlineStr">
        <is>
          <t>https://drive.google.com/file/d/1YUN-mtWYs48YBUHJk0C3vJXnhjyZFHyf/view</t>
        </is>
      </c>
    </row>
    <row r="301">
      <c r="A301" s="42" t="inlineStr">
        <is>
          <t>GSC-SL-000298</t>
        </is>
      </c>
      <c r="B301" t="inlineStr">
        <is>
          <t>SZ-SL-000298</t>
        </is>
      </c>
      <c r="C301" t="inlineStr">
        <is>
          <t>WT-SL-SHUTTER-HIKI</t>
        </is>
      </c>
      <c r="D301" t="inlineStr">
        <is>
          <t>SP-SL-SHUT-E-VENT</t>
        </is>
      </c>
      <c r="E301" t="inlineStr">
        <is>
          <t>25113-4</t>
        </is>
      </c>
      <c r="F301" t="b">
        <v>1</v>
      </c>
      <c r="G301" t="n">
        <v>37</v>
      </c>
      <c r="H301" t="inlineStr">
        <is>
          <t>無印</t>
        </is>
      </c>
      <c r="I301" t="n">
        <v>36</v>
      </c>
      <c r="J301" t="inlineStr">
        <is>
          <t>P36|無印</t>
        </is>
      </c>
      <c r="K301" t="inlineStr">
        <is>
          <t>同一価格表・前頁凡例を継承</t>
        </is>
      </c>
      <c r="L301" t="inlineStr">
        <is>
          <t>202604_LIXIL_サーモスＬ_業務用資料集_完成品価格表.pdf</t>
        </is>
      </c>
      <c r="M301" t="inlineStr">
        <is>
          <t>v0.6：同一価格表セクション内で凡例継承を確定。</t>
        </is>
      </c>
      <c r="N301" t="inlineStr">
        <is>
          <t>https://drive.google.com/file/d/1YUN-mtWYs48YBUHJk0C3vJXnhjyZFHyf/view</t>
        </is>
      </c>
    </row>
    <row r="302">
      <c r="A302" s="42" t="inlineStr">
        <is>
          <t>GSC-SL-000299</t>
        </is>
      </c>
      <c r="B302" t="inlineStr">
        <is>
          <t>SZ-SL-000299</t>
        </is>
      </c>
      <c r="C302" t="inlineStr">
        <is>
          <t>WT-SL-SHUTTER-HIKI</t>
        </is>
      </c>
      <c r="D302" t="inlineStr">
        <is>
          <t>SP-SL-SHUT-E-VENT</t>
        </is>
      </c>
      <c r="E302" t="inlineStr">
        <is>
          <t>25613-2</t>
        </is>
      </c>
      <c r="F302" t="b">
        <v>1</v>
      </c>
      <c r="G302" t="n">
        <v>37</v>
      </c>
      <c r="H302" t="inlineStr">
        <is>
          <t>●</t>
        </is>
      </c>
      <c r="I302" t="n">
        <v>36</v>
      </c>
      <c r="J302" t="inlineStr">
        <is>
          <t>P36|●</t>
        </is>
      </c>
      <c r="K302" t="inlineStr">
        <is>
          <t>同一価格表・前頁凡例を継承</t>
        </is>
      </c>
      <c r="L302" t="inlineStr">
        <is>
          <t>202604_LIXIL_サーモスＬ_業務用資料集_完成品価格表.pdf</t>
        </is>
      </c>
      <c r="M302" t="inlineStr">
        <is>
          <t>v0.6：同一価格表セクション内で凡例継承を確定。</t>
        </is>
      </c>
      <c r="N302" t="inlineStr">
        <is>
          <t>https://drive.google.com/file/d/1YUN-mtWYs48YBUHJk0C3vJXnhjyZFHyf/view</t>
        </is>
      </c>
    </row>
    <row r="303">
      <c r="A303" s="42" t="inlineStr">
        <is>
          <t>GSC-SL-000300</t>
        </is>
      </c>
      <c r="B303" t="inlineStr">
        <is>
          <t>SZ-SL-000300</t>
        </is>
      </c>
      <c r="C303" t="inlineStr">
        <is>
          <t>WT-SL-SHUTTER-HIKI</t>
        </is>
      </c>
      <c r="D303" t="inlineStr">
        <is>
          <t>SP-SL-SHUT-E-VENT</t>
        </is>
      </c>
      <c r="E303" t="inlineStr">
        <is>
          <t>25613-4</t>
        </is>
      </c>
      <c r="F303" t="b">
        <v>1</v>
      </c>
      <c r="G303" t="n">
        <v>37</v>
      </c>
      <c r="H303" t="inlineStr">
        <is>
          <t>無印</t>
        </is>
      </c>
      <c r="I303" t="n">
        <v>36</v>
      </c>
      <c r="J303" t="inlineStr">
        <is>
          <t>P36|無印</t>
        </is>
      </c>
      <c r="K303" t="inlineStr">
        <is>
          <t>同一価格表・前頁凡例を継承</t>
        </is>
      </c>
      <c r="L303" t="inlineStr">
        <is>
          <t>202604_LIXIL_サーモスＬ_業務用資料集_完成品価格表.pdf</t>
        </is>
      </c>
      <c r="M303" t="inlineStr">
        <is>
          <t>v0.6：同一価格表セクション内で凡例継承を確定。</t>
        </is>
      </c>
      <c r="N303" t="inlineStr">
        <is>
          <t>https://drive.google.com/file/d/1YUN-mtWYs48YBUHJk0C3vJXnhjyZFHyf/view</t>
        </is>
      </c>
    </row>
    <row r="304">
      <c r="A304" s="42" t="inlineStr">
        <is>
          <t>GSC-SL-000301</t>
        </is>
      </c>
      <c r="B304" t="inlineStr">
        <is>
          <t>SZ-SL-000301</t>
        </is>
      </c>
      <c r="C304" t="inlineStr">
        <is>
          <t>WT-SL-SHUTTER-HIKI</t>
        </is>
      </c>
      <c r="D304" t="inlineStr">
        <is>
          <t>SP-SL-SHUT-E-WIND</t>
        </is>
      </c>
      <c r="E304" t="inlineStr">
        <is>
          <t>25113-2</t>
        </is>
      </c>
      <c r="F304" t="b">
        <v>1</v>
      </c>
      <c r="G304" t="n">
        <v>37</v>
      </c>
      <c r="H304" t="inlineStr">
        <is>
          <t>●</t>
        </is>
      </c>
      <c r="I304" t="n">
        <v>36</v>
      </c>
      <c r="J304" t="inlineStr">
        <is>
          <t>P36|●</t>
        </is>
      </c>
      <c r="K304" t="inlineStr">
        <is>
          <t>同一価格表・前頁凡例を継承</t>
        </is>
      </c>
      <c r="L304" t="inlineStr">
        <is>
          <t>202604_LIXIL_サーモスＬ_業務用資料集_完成品価格表.pdf</t>
        </is>
      </c>
      <c r="M304" t="inlineStr">
        <is>
          <t>v0.6：同一価格表セクション内で凡例継承を確定。</t>
        </is>
      </c>
      <c r="N304" t="inlineStr">
        <is>
          <t>https://drive.google.com/file/d/1YUN-mtWYs48YBUHJk0C3vJXnhjyZFHyf/view</t>
        </is>
      </c>
    </row>
    <row r="305">
      <c r="A305" s="42" t="inlineStr">
        <is>
          <t>GSC-SL-000302</t>
        </is>
      </c>
      <c r="B305" t="inlineStr">
        <is>
          <t>SZ-SL-000302</t>
        </is>
      </c>
      <c r="C305" t="inlineStr">
        <is>
          <t>WT-SL-SHUTTER-HIKI</t>
        </is>
      </c>
      <c r="D305" t="inlineStr">
        <is>
          <t>SP-SL-SHUT-E-WIND</t>
        </is>
      </c>
      <c r="E305" t="inlineStr">
        <is>
          <t>25113-4</t>
        </is>
      </c>
      <c r="F305" t="b">
        <v>1</v>
      </c>
      <c r="G305" t="n">
        <v>37</v>
      </c>
      <c r="H305" t="inlineStr">
        <is>
          <t>無印</t>
        </is>
      </c>
      <c r="I305" t="n">
        <v>36</v>
      </c>
      <c r="J305" t="inlineStr">
        <is>
          <t>P36|無印</t>
        </is>
      </c>
      <c r="K305" t="inlineStr">
        <is>
          <t>同一価格表・前頁凡例を継承</t>
        </is>
      </c>
      <c r="L305" t="inlineStr">
        <is>
          <t>202604_LIXIL_サーモスＬ_業務用資料集_完成品価格表.pdf</t>
        </is>
      </c>
      <c r="M305" t="inlineStr">
        <is>
          <t>v0.6：同一価格表セクション内で凡例継承を確定。</t>
        </is>
      </c>
      <c r="N305" t="inlineStr">
        <is>
          <t>https://drive.google.com/file/d/1YUN-mtWYs48YBUHJk0C3vJXnhjyZFHyf/view</t>
        </is>
      </c>
    </row>
    <row r="306">
      <c r="A306" s="42" t="inlineStr">
        <is>
          <t>GSC-SL-000303</t>
        </is>
      </c>
      <c r="B306" t="inlineStr">
        <is>
          <t>SZ-SL-000303</t>
        </is>
      </c>
      <c r="C306" t="inlineStr">
        <is>
          <t>WT-SL-SHUTTER-HIKI</t>
        </is>
      </c>
      <c r="D306" t="inlineStr">
        <is>
          <t>SP-SL-SHUT-E-WIND</t>
        </is>
      </c>
      <c r="E306" t="inlineStr">
        <is>
          <t>25613-2</t>
        </is>
      </c>
      <c r="F306" t="b">
        <v>1</v>
      </c>
      <c r="G306" t="n">
        <v>37</v>
      </c>
      <c r="H306" t="inlineStr">
        <is>
          <t>●</t>
        </is>
      </c>
      <c r="I306" t="n">
        <v>36</v>
      </c>
      <c r="J306" t="inlineStr">
        <is>
          <t>P36|●</t>
        </is>
      </c>
      <c r="K306" t="inlineStr">
        <is>
          <t>同一価格表・前頁凡例を継承</t>
        </is>
      </c>
      <c r="L306" t="inlineStr">
        <is>
          <t>202604_LIXIL_サーモスＬ_業務用資料集_完成品価格表.pdf</t>
        </is>
      </c>
      <c r="M306" t="inlineStr">
        <is>
          <t>v0.6：同一価格表セクション内で凡例継承を確定。</t>
        </is>
      </c>
      <c r="N306" t="inlineStr">
        <is>
          <t>https://drive.google.com/file/d/1YUN-mtWYs48YBUHJk0C3vJXnhjyZFHyf/view</t>
        </is>
      </c>
    </row>
    <row r="307">
      <c r="A307" s="42" t="inlineStr">
        <is>
          <t>GSC-SL-000304</t>
        </is>
      </c>
      <c r="B307" t="inlineStr">
        <is>
          <t>SZ-SL-000304</t>
        </is>
      </c>
      <c r="C307" t="inlineStr">
        <is>
          <t>WT-SL-SHUTTER-HIKI</t>
        </is>
      </c>
      <c r="D307" t="inlineStr">
        <is>
          <t>SP-SL-SHUT-E-WIND</t>
        </is>
      </c>
      <c r="E307" t="inlineStr">
        <is>
          <t>25613-4</t>
        </is>
      </c>
      <c r="F307" t="b">
        <v>1</v>
      </c>
      <c r="G307" t="n">
        <v>37</v>
      </c>
      <c r="H307" t="inlineStr">
        <is>
          <t>無印</t>
        </is>
      </c>
      <c r="I307" t="n">
        <v>36</v>
      </c>
      <c r="J307" t="inlineStr">
        <is>
          <t>P36|無印</t>
        </is>
      </c>
      <c r="K307" t="inlineStr">
        <is>
          <t>同一価格表・前頁凡例を継承</t>
        </is>
      </c>
      <c r="L307" t="inlineStr">
        <is>
          <t>202604_LIXIL_サーモスＬ_業務用資料集_完成品価格表.pdf</t>
        </is>
      </c>
      <c r="M307" t="inlineStr">
        <is>
          <t>v0.6：同一価格表セクション内で凡例継承を確定。</t>
        </is>
      </c>
      <c r="N307" t="inlineStr">
        <is>
          <t>https://drive.google.com/file/d/1YUN-mtWYs48YBUHJk0C3vJXnhjyZFHyf/view</t>
        </is>
      </c>
    </row>
    <row r="308">
      <c r="A308" s="42" t="inlineStr">
        <is>
          <t>GSC-SL-000305</t>
        </is>
      </c>
      <c r="B308" t="inlineStr">
        <is>
          <t>SZ-SL-000305</t>
        </is>
      </c>
      <c r="C308" t="inlineStr">
        <is>
          <t>WT-SL-SHUTTER-HIKI</t>
        </is>
      </c>
      <c r="D308" t="inlineStr">
        <is>
          <t>SP-SL-SHUT-E-STD</t>
        </is>
      </c>
      <c r="E308" t="inlineStr">
        <is>
          <t>11918</t>
        </is>
      </c>
      <c r="F308" t="b">
        <v>1</v>
      </c>
      <c r="G308" t="n">
        <v>38</v>
      </c>
      <c r="H308" t="inlineStr">
        <is>
          <t>無印</t>
        </is>
      </c>
      <c r="I308" t="n">
        <v>38</v>
      </c>
      <c r="J308" t="inlineStr">
        <is>
          <t>P38|無印</t>
        </is>
      </c>
      <c r="K308" t="inlineStr">
        <is>
          <t>同頁凡例へ直接連動</t>
        </is>
      </c>
      <c r="L308" t="inlineStr">
        <is>
          <t>202604_LIXIL_サーモスＬ_業務用資料集_完成品価格表.pdf</t>
        </is>
      </c>
      <c r="M308" t="inlineStr">
        <is>
          <t>v0.6：同一価格表セクション内で凡例継承を確定。</t>
        </is>
      </c>
      <c r="N308" t="inlineStr">
        <is>
          <t>https://drive.google.com/file/d/1YUN-mtWYs48YBUHJk0C3vJXnhjyZFHyf/view</t>
        </is>
      </c>
    </row>
    <row r="309">
      <c r="A309" s="42" t="inlineStr">
        <is>
          <t>GSC-SL-000306</t>
        </is>
      </c>
      <c r="B309" t="inlineStr">
        <is>
          <t>SZ-SL-000306</t>
        </is>
      </c>
      <c r="C309" t="inlineStr">
        <is>
          <t>WT-SL-SHUTTER-HIKI</t>
        </is>
      </c>
      <c r="D309" t="inlineStr">
        <is>
          <t>SP-SL-SHUT-E-STD</t>
        </is>
      </c>
      <c r="E309" t="inlineStr">
        <is>
          <t>11920</t>
        </is>
      </c>
      <c r="F309" t="b">
        <v>1</v>
      </c>
      <c r="G309" t="n">
        <v>38</v>
      </c>
      <c r="H309" t="inlineStr">
        <is>
          <t>無印</t>
        </is>
      </c>
      <c r="I309" t="n">
        <v>38</v>
      </c>
      <c r="J309" t="inlineStr">
        <is>
          <t>P38|無印</t>
        </is>
      </c>
      <c r="K309" t="inlineStr">
        <is>
          <t>同頁凡例へ直接連動</t>
        </is>
      </c>
      <c r="L309" t="inlineStr">
        <is>
          <t>202604_LIXIL_サーモスＬ_業務用資料集_完成品価格表.pdf</t>
        </is>
      </c>
      <c r="M309" t="inlineStr">
        <is>
          <t>v0.6：同一価格表セクション内で凡例継承を確定。</t>
        </is>
      </c>
      <c r="N309" t="inlineStr">
        <is>
          <t>https://drive.google.com/file/d/1YUN-mtWYs48YBUHJk0C3vJXnhjyZFHyf/view</t>
        </is>
      </c>
    </row>
    <row r="310">
      <c r="A310" s="42" t="inlineStr">
        <is>
          <t>GSC-SL-000307</t>
        </is>
      </c>
      <c r="B310" t="inlineStr">
        <is>
          <t>SZ-SL-000307</t>
        </is>
      </c>
      <c r="C310" t="inlineStr">
        <is>
          <t>WT-SL-SHUTTER-HIKI</t>
        </is>
      </c>
      <c r="D310" t="inlineStr">
        <is>
          <t>SP-SL-SHUT-E-STD</t>
        </is>
      </c>
      <c r="E310" t="inlineStr">
        <is>
          <t>13318</t>
        </is>
      </c>
      <c r="F310" t="b">
        <v>1</v>
      </c>
      <c r="G310" t="n">
        <v>38</v>
      </c>
      <c r="H310" t="inlineStr">
        <is>
          <t>無印</t>
        </is>
      </c>
      <c r="I310" t="n">
        <v>38</v>
      </c>
      <c r="J310" t="inlineStr">
        <is>
          <t>P38|無印</t>
        </is>
      </c>
      <c r="K310" t="inlineStr">
        <is>
          <t>同頁凡例へ直接連動</t>
        </is>
      </c>
      <c r="L310" t="inlineStr">
        <is>
          <t>202604_LIXIL_サーモスＬ_業務用資料集_完成品価格表.pdf</t>
        </is>
      </c>
      <c r="M310" t="inlineStr">
        <is>
          <t>v0.6：同一価格表セクション内で凡例継承を確定。</t>
        </is>
      </c>
      <c r="N310" t="inlineStr">
        <is>
          <t>https://drive.google.com/file/d/1YUN-mtWYs48YBUHJk0C3vJXnhjyZFHyf/view</t>
        </is>
      </c>
    </row>
    <row r="311">
      <c r="A311" s="42" t="inlineStr">
        <is>
          <t>GSC-SL-000308</t>
        </is>
      </c>
      <c r="B311" t="inlineStr">
        <is>
          <t>SZ-SL-000308</t>
        </is>
      </c>
      <c r="C311" t="inlineStr">
        <is>
          <t>WT-SL-SHUTTER-HIKI</t>
        </is>
      </c>
      <c r="D311" t="inlineStr">
        <is>
          <t>SP-SL-SHUT-E-STD</t>
        </is>
      </c>
      <c r="E311" t="inlineStr">
        <is>
          <t>13320</t>
        </is>
      </c>
      <c r="F311" t="b">
        <v>1</v>
      </c>
      <c r="G311" t="n">
        <v>38</v>
      </c>
      <c r="H311" t="inlineStr">
        <is>
          <t>無印</t>
        </is>
      </c>
      <c r="I311" t="n">
        <v>38</v>
      </c>
      <c r="J311" t="inlineStr">
        <is>
          <t>P38|無印</t>
        </is>
      </c>
      <c r="K311" t="inlineStr">
        <is>
          <t>同頁凡例へ直接連動</t>
        </is>
      </c>
      <c r="L311" t="inlineStr">
        <is>
          <t>202604_LIXIL_サーモスＬ_業務用資料集_完成品価格表.pdf</t>
        </is>
      </c>
      <c r="M311" t="inlineStr">
        <is>
          <t>v0.6：同一価格表セクション内で凡例継承を確定。</t>
        </is>
      </c>
      <c r="N311" t="inlineStr">
        <is>
          <t>https://drive.google.com/file/d/1YUN-mtWYs48YBUHJk0C3vJXnhjyZFHyf/view</t>
        </is>
      </c>
    </row>
    <row r="312">
      <c r="A312" s="42" t="inlineStr">
        <is>
          <t>GSC-SL-000309</t>
        </is>
      </c>
      <c r="B312" t="inlineStr">
        <is>
          <t>SZ-SL-000309</t>
        </is>
      </c>
      <c r="C312" t="inlineStr">
        <is>
          <t>WT-SL-SHUTTER-HIKI</t>
        </is>
      </c>
      <c r="D312" t="inlineStr">
        <is>
          <t>SP-SL-SHUT-E-STD</t>
        </is>
      </c>
      <c r="E312" t="inlineStr">
        <is>
          <t>15018</t>
        </is>
      </c>
      <c r="F312" t="b">
        <v>1</v>
      </c>
      <c r="G312" t="n">
        <v>38</v>
      </c>
      <c r="H312" t="inlineStr">
        <is>
          <t>無印</t>
        </is>
      </c>
      <c r="I312" t="n">
        <v>38</v>
      </c>
      <c r="J312" t="inlineStr">
        <is>
          <t>P38|無印</t>
        </is>
      </c>
      <c r="K312" t="inlineStr">
        <is>
          <t>同頁凡例へ直接連動</t>
        </is>
      </c>
      <c r="L312" t="inlineStr">
        <is>
          <t>202604_LIXIL_サーモスＬ_業務用資料集_完成品価格表.pdf</t>
        </is>
      </c>
      <c r="M312" t="inlineStr">
        <is>
          <t>v0.6：同一価格表セクション内で凡例継承を確定。</t>
        </is>
      </c>
      <c r="N312" t="inlineStr">
        <is>
          <t>https://drive.google.com/file/d/1YUN-mtWYs48YBUHJk0C3vJXnhjyZFHyf/view</t>
        </is>
      </c>
    </row>
    <row r="313">
      <c r="A313" s="42" t="inlineStr">
        <is>
          <t>GSC-SL-000310</t>
        </is>
      </c>
      <c r="B313" t="inlineStr">
        <is>
          <t>SZ-SL-000310</t>
        </is>
      </c>
      <c r="C313" t="inlineStr">
        <is>
          <t>WT-SL-SHUTTER-HIKI</t>
        </is>
      </c>
      <c r="D313" t="inlineStr">
        <is>
          <t>SP-SL-SHUT-E-STD</t>
        </is>
      </c>
      <c r="E313" t="inlineStr">
        <is>
          <t>15020</t>
        </is>
      </c>
      <c r="F313" t="b">
        <v>1</v>
      </c>
      <c r="G313" t="n">
        <v>38</v>
      </c>
      <c r="H313" t="inlineStr">
        <is>
          <t>○</t>
        </is>
      </c>
      <c r="I313" t="n">
        <v>38</v>
      </c>
      <c r="J313" t="inlineStr">
        <is>
          <t>P38|○</t>
        </is>
      </c>
      <c r="K313" t="inlineStr">
        <is>
          <t>同頁凡例へ直接連動</t>
        </is>
      </c>
      <c r="L313" t="inlineStr">
        <is>
          <t>202604_LIXIL_サーモスＬ_業務用資料集_完成品価格表.pdf</t>
        </is>
      </c>
      <c r="M313" t="inlineStr">
        <is>
          <t>v0.6：同一価格表セクション内で凡例継承を確定。</t>
        </is>
      </c>
      <c r="N313" t="inlineStr">
        <is>
          <t>https://drive.google.com/file/d/1YUN-mtWYs48YBUHJk0C3vJXnhjyZFHyf/view</t>
        </is>
      </c>
    </row>
    <row r="314">
      <c r="A314" s="42" t="inlineStr">
        <is>
          <t>GSC-SL-000311</t>
        </is>
      </c>
      <c r="B314" t="inlineStr">
        <is>
          <t>SZ-SL-000311</t>
        </is>
      </c>
      <c r="C314" t="inlineStr">
        <is>
          <t>WT-SL-SHUTTER-HIKI</t>
        </is>
      </c>
      <c r="D314" t="inlineStr">
        <is>
          <t>SP-SL-SHUT-E-STD</t>
        </is>
      </c>
      <c r="E314" t="inlineStr">
        <is>
          <t>16018</t>
        </is>
      </c>
      <c r="F314" t="b">
        <v>1</v>
      </c>
      <c r="G314" t="n">
        <v>38</v>
      </c>
      <c r="H314" t="inlineStr">
        <is>
          <t>無印</t>
        </is>
      </c>
      <c r="I314" t="n">
        <v>38</v>
      </c>
      <c r="J314" t="inlineStr">
        <is>
          <t>P38|無印</t>
        </is>
      </c>
      <c r="K314" t="inlineStr">
        <is>
          <t>同頁凡例へ直接連動</t>
        </is>
      </c>
      <c r="L314" t="inlineStr">
        <is>
          <t>202604_LIXIL_サーモスＬ_業務用資料集_完成品価格表.pdf</t>
        </is>
      </c>
      <c r="M314" t="inlineStr">
        <is>
          <t>v0.6：同一価格表セクション内で凡例継承を確定。</t>
        </is>
      </c>
      <c r="N314" t="inlineStr">
        <is>
          <t>https://drive.google.com/file/d/1YUN-mtWYs48YBUHJk0C3vJXnhjyZFHyf/view</t>
        </is>
      </c>
    </row>
    <row r="315">
      <c r="A315" s="42" t="inlineStr">
        <is>
          <t>GSC-SL-000312</t>
        </is>
      </c>
      <c r="B315" t="inlineStr">
        <is>
          <t>SZ-SL-000312</t>
        </is>
      </c>
      <c r="C315" t="inlineStr">
        <is>
          <t>WT-SL-SHUTTER-HIKI</t>
        </is>
      </c>
      <c r="D315" t="inlineStr">
        <is>
          <t>SP-SL-SHUT-E-STD</t>
        </is>
      </c>
      <c r="E315" t="inlineStr">
        <is>
          <t>16020</t>
        </is>
      </c>
      <c r="F315" t="b">
        <v>1</v>
      </c>
      <c r="G315" t="n">
        <v>38</v>
      </c>
      <c r="H315" t="inlineStr">
        <is>
          <t>▲</t>
        </is>
      </c>
      <c r="I315" t="n">
        <v>38</v>
      </c>
      <c r="J315" t="inlineStr">
        <is>
          <t>P38|▲</t>
        </is>
      </c>
      <c r="K315" t="inlineStr">
        <is>
          <t>同頁凡例へ直接連動</t>
        </is>
      </c>
      <c r="L315" t="inlineStr">
        <is>
          <t>202604_LIXIL_サーモスＬ_業務用資料集_完成品価格表.pdf</t>
        </is>
      </c>
      <c r="M315" t="inlineStr">
        <is>
          <t>v0.6：同一価格表セクション内で凡例継承を確定。</t>
        </is>
      </c>
      <c r="N315" t="inlineStr">
        <is>
          <t>https://drive.google.com/file/d/1YUN-mtWYs48YBUHJk0C3vJXnhjyZFHyf/view</t>
        </is>
      </c>
    </row>
    <row r="316">
      <c r="A316" s="42" t="inlineStr">
        <is>
          <t>GSC-SL-000313</t>
        </is>
      </c>
      <c r="B316" t="inlineStr">
        <is>
          <t>SZ-SL-000313</t>
        </is>
      </c>
      <c r="C316" t="inlineStr">
        <is>
          <t>WT-SL-SHUTTER-HIKI</t>
        </is>
      </c>
      <c r="D316" t="inlineStr">
        <is>
          <t>SP-SL-SHUT-E-VENT</t>
        </is>
      </c>
      <c r="E316" t="inlineStr">
        <is>
          <t>11918</t>
        </is>
      </c>
      <c r="F316" t="b">
        <v>1</v>
      </c>
      <c r="G316" t="n">
        <v>38</v>
      </c>
      <c r="H316" t="inlineStr">
        <is>
          <t>無印</t>
        </is>
      </c>
      <c r="I316" t="n">
        <v>38</v>
      </c>
      <c r="J316" t="inlineStr">
        <is>
          <t>P38|無印</t>
        </is>
      </c>
      <c r="K316" t="inlineStr">
        <is>
          <t>同頁凡例へ直接連動</t>
        </is>
      </c>
      <c r="L316" t="inlineStr">
        <is>
          <t>202604_LIXIL_サーモスＬ_業務用資料集_完成品価格表.pdf</t>
        </is>
      </c>
      <c r="M316" t="inlineStr">
        <is>
          <t>v0.6：同一価格表セクション内で凡例継承を確定。</t>
        </is>
      </c>
      <c r="N316" t="inlineStr">
        <is>
          <t>https://drive.google.com/file/d/1YUN-mtWYs48YBUHJk0C3vJXnhjyZFHyf/view</t>
        </is>
      </c>
    </row>
    <row r="317">
      <c r="A317" s="42" t="inlineStr">
        <is>
          <t>GSC-SL-000314</t>
        </is>
      </c>
      <c r="B317" t="inlineStr">
        <is>
          <t>SZ-SL-000314</t>
        </is>
      </c>
      <c r="C317" t="inlineStr">
        <is>
          <t>WT-SL-SHUTTER-HIKI</t>
        </is>
      </c>
      <c r="D317" t="inlineStr">
        <is>
          <t>SP-SL-SHUT-E-VENT</t>
        </is>
      </c>
      <c r="E317" t="inlineStr">
        <is>
          <t>11920</t>
        </is>
      </c>
      <c r="F317" t="b">
        <v>1</v>
      </c>
      <c r="G317" t="n">
        <v>38</v>
      </c>
      <c r="H317" t="inlineStr">
        <is>
          <t>無印</t>
        </is>
      </c>
      <c r="I317" t="n">
        <v>38</v>
      </c>
      <c r="J317" t="inlineStr">
        <is>
          <t>P38|無印</t>
        </is>
      </c>
      <c r="K317" t="inlineStr">
        <is>
          <t>同頁凡例へ直接連動</t>
        </is>
      </c>
      <c r="L317" t="inlineStr">
        <is>
          <t>202604_LIXIL_サーモスＬ_業務用資料集_完成品価格表.pdf</t>
        </is>
      </c>
      <c r="M317" t="inlineStr">
        <is>
          <t>v0.6：同一価格表セクション内で凡例継承を確定。</t>
        </is>
      </c>
      <c r="N317" t="inlineStr">
        <is>
          <t>https://drive.google.com/file/d/1YUN-mtWYs48YBUHJk0C3vJXnhjyZFHyf/view</t>
        </is>
      </c>
    </row>
    <row r="318">
      <c r="A318" s="42" t="inlineStr">
        <is>
          <t>GSC-SL-000315</t>
        </is>
      </c>
      <c r="B318" t="inlineStr">
        <is>
          <t>SZ-SL-000315</t>
        </is>
      </c>
      <c r="C318" t="inlineStr">
        <is>
          <t>WT-SL-SHUTTER-HIKI</t>
        </is>
      </c>
      <c r="D318" t="inlineStr">
        <is>
          <t>SP-SL-SHUT-E-VENT</t>
        </is>
      </c>
      <c r="E318" t="inlineStr">
        <is>
          <t>13318</t>
        </is>
      </c>
      <c r="F318" t="b">
        <v>1</v>
      </c>
      <c r="G318" t="n">
        <v>38</v>
      </c>
      <c r="H318" t="inlineStr">
        <is>
          <t>無印</t>
        </is>
      </c>
      <c r="I318" t="n">
        <v>38</v>
      </c>
      <c r="J318" t="inlineStr">
        <is>
          <t>P38|無印</t>
        </is>
      </c>
      <c r="K318" t="inlineStr">
        <is>
          <t>同頁凡例へ直接連動</t>
        </is>
      </c>
      <c r="L318" t="inlineStr">
        <is>
          <t>202604_LIXIL_サーモスＬ_業務用資料集_完成品価格表.pdf</t>
        </is>
      </c>
      <c r="M318" t="inlineStr">
        <is>
          <t>v0.6：同一価格表セクション内で凡例継承を確定。</t>
        </is>
      </c>
      <c r="N318" t="inlineStr">
        <is>
          <t>https://drive.google.com/file/d/1YUN-mtWYs48YBUHJk0C3vJXnhjyZFHyf/view</t>
        </is>
      </c>
    </row>
    <row r="319">
      <c r="A319" s="42" t="inlineStr">
        <is>
          <t>GSC-SL-000316</t>
        </is>
      </c>
      <c r="B319" t="inlineStr">
        <is>
          <t>SZ-SL-000316</t>
        </is>
      </c>
      <c r="C319" t="inlineStr">
        <is>
          <t>WT-SL-SHUTTER-HIKI</t>
        </is>
      </c>
      <c r="D319" t="inlineStr">
        <is>
          <t>SP-SL-SHUT-E-VENT</t>
        </is>
      </c>
      <c r="E319" t="inlineStr">
        <is>
          <t>13320</t>
        </is>
      </c>
      <c r="F319" t="b">
        <v>1</v>
      </c>
      <c r="G319" t="n">
        <v>38</v>
      </c>
      <c r="H319" t="inlineStr">
        <is>
          <t>無印</t>
        </is>
      </c>
      <c r="I319" t="n">
        <v>38</v>
      </c>
      <c r="J319" t="inlineStr">
        <is>
          <t>P38|無印</t>
        </is>
      </c>
      <c r="K319" t="inlineStr">
        <is>
          <t>同頁凡例へ直接連動</t>
        </is>
      </c>
      <c r="L319" t="inlineStr">
        <is>
          <t>202604_LIXIL_サーモスＬ_業務用資料集_完成品価格表.pdf</t>
        </is>
      </c>
      <c r="M319" t="inlineStr">
        <is>
          <t>v0.6：同一価格表セクション内で凡例継承を確定。</t>
        </is>
      </c>
      <c r="N319" t="inlineStr">
        <is>
          <t>https://drive.google.com/file/d/1YUN-mtWYs48YBUHJk0C3vJXnhjyZFHyf/view</t>
        </is>
      </c>
    </row>
    <row r="320">
      <c r="A320" s="42" t="inlineStr">
        <is>
          <t>GSC-SL-000317</t>
        </is>
      </c>
      <c r="B320" t="inlineStr">
        <is>
          <t>SZ-SL-000317</t>
        </is>
      </c>
      <c r="C320" t="inlineStr">
        <is>
          <t>WT-SL-SHUTTER-HIKI</t>
        </is>
      </c>
      <c r="D320" t="inlineStr">
        <is>
          <t>SP-SL-SHUT-E-VENT</t>
        </is>
      </c>
      <c r="E320" t="inlineStr">
        <is>
          <t>15018</t>
        </is>
      </c>
      <c r="F320" t="b">
        <v>1</v>
      </c>
      <c r="G320" t="n">
        <v>38</v>
      </c>
      <c r="H320" t="inlineStr">
        <is>
          <t>無印</t>
        </is>
      </c>
      <c r="I320" t="n">
        <v>38</v>
      </c>
      <c r="J320" t="inlineStr">
        <is>
          <t>P38|無印</t>
        </is>
      </c>
      <c r="K320" t="inlineStr">
        <is>
          <t>同頁凡例へ直接連動</t>
        </is>
      </c>
      <c r="L320" t="inlineStr">
        <is>
          <t>202604_LIXIL_サーモスＬ_業務用資料集_完成品価格表.pdf</t>
        </is>
      </c>
      <c r="M320" t="inlineStr">
        <is>
          <t>v0.6：同一価格表セクション内で凡例継承を確定。</t>
        </is>
      </c>
      <c r="N320" t="inlineStr">
        <is>
          <t>https://drive.google.com/file/d/1YUN-mtWYs48YBUHJk0C3vJXnhjyZFHyf/view</t>
        </is>
      </c>
    </row>
    <row r="321">
      <c r="A321" s="42" t="inlineStr">
        <is>
          <t>GSC-SL-000318</t>
        </is>
      </c>
      <c r="B321" t="inlineStr">
        <is>
          <t>SZ-SL-000318</t>
        </is>
      </c>
      <c r="C321" t="inlineStr">
        <is>
          <t>WT-SL-SHUTTER-HIKI</t>
        </is>
      </c>
      <c r="D321" t="inlineStr">
        <is>
          <t>SP-SL-SHUT-E-VENT</t>
        </is>
      </c>
      <c r="E321" t="inlineStr">
        <is>
          <t>15020</t>
        </is>
      </c>
      <c r="F321" t="b">
        <v>1</v>
      </c>
      <c r="G321" t="n">
        <v>38</v>
      </c>
      <c r="H321" t="inlineStr">
        <is>
          <t>○</t>
        </is>
      </c>
      <c r="I321" t="n">
        <v>38</v>
      </c>
      <c r="J321" t="inlineStr">
        <is>
          <t>P38|○</t>
        </is>
      </c>
      <c r="K321" t="inlineStr">
        <is>
          <t>同頁凡例へ直接連動</t>
        </is>
      </c>
      <c r="L321" t="inlineStr">
        <is>
          <t>202604_LIXIL_サーモスＬ_業務用資料集_完成品価格表.pdf</t>
        </is>
      </c>
      <c r="M321" t="inlineStr">
        <is>
          <t>v0.6：同一価格表セクション内で凡例継承を確定。</t>
        </is>
      </c>
      <c r="N321" t="inlineStr">
        <is>
          <t>https://drive.google.com/file/d/1YUN-mtWYs48YBUHJk0C3vJXnhjyZFHyf/view</t>
        </is>
      </c>
    </row>
    <row r="322">
      <c r="A322" s="42" t="inlineStr">
        <is>
          <t>GSC-SL-000319</t>
        </is>
      </c>
      <c r="B322" t="inlineStr">
        <is>
          <t>SZ-SL-000319</t>
        </is>
      </c>
      <c r="C322" t="inlineStr">
        <is>
          <t>WT-SL-SHUTTER-HIKI</t>
        </is>
      </c>
      <c r="D322" t="inlineStr">
        <is>
          <t>SP-SL-SHUT-E-VENT</t>
        </is>
      </c>
      <c r="E322" t="inlineStr">
        <is>
          <t>16018</t>
        </is>
      </c>
      <c r="F322" t="b">
        <v>1</v>
      </c>
      <c r="G322" t="n">
        <v>38</v>
      </c>
      <c r="H322" t="inlineStr">
        <is>
          <t>無印</t>
        </is>
      </c>
      <c r="I322" t="n">
        <v>38</v>
      </c>
      <c r="J322" t="inlineStr">
        <is>
          <t>P38|無印</t>
        </is>
      </c>
      <c r="K322" t="inlineStr">
        <is>
          <t>同頁凡例へ直接連動</t>
        </is>
      </c>
      <c r="L322" t="inlineStr">
        <is>
          <t>202604_LIXIL_サーモスＬ_業務用資料集_完成品価格表.pdf</t>
        </is>
      </c>
      <c r="M322" t="inlineStr">
        <is>
          <t>v0.6：同一価格表セクション内で凡例継承を確定。</t>
        </is>
      </c>
      <c r="N322" t="inlineStr">
        <is>
          <t>https://drive.google.com/file/d/1YUN-mtWYs48YBUHJk0C3vJXnhjyZFHyf/view</t>
        </is>
      </c>
    </row>
    <row r="323">
      <c r="A323" s="42" t="inlineStr">
        <is>
          <t>GSC-SL-000320</t>
        </is>
      </c>
      <c r="B323" t="inlineStr">
        <is>
          <t>SZ-SL-000320</t>
        </is>
      </c>
      <c r="C323" t="inlineStr">
        <is>
          <t>WT-SL-SHUTTER-HIKI</t>
        </is>
      </c>
      <c r="D323" t="inlineStr">
        <is>
          <t>SP-SL-SHUT-E-VENT</t>
        </is>
      </c>
      <c r="E323" t="inlineStr">
        <is>
          <t>16020</t>
        </is>
      </c>
      <c r="F323" t="b">
        <v>1</v>
      </c>
      <c r="G323" t="n">
        <v>38</v>
      </c>
      <c r="H323" t="inlineStr">
        <is>
          <t>▲</t>
        </is>
      </c>
      <c r="I323" t="n">
        <v>38</v>
      </c>
      <c r="J323" t="inlineStr">
        <is>
          <t>P38|▲</t>
        </is>
      </c>
      <c r="K323" t="inlineStr">
        <is>
          <t>同頁凡例へ直接連動</t>
        </is>
      </c>
      <c r="L323" t="inlineStr">
        <is>
          <t>202604_LIXIL_サーモスＬ_業務用資料集_完成品価格表.pdf</t>
        </is>
      </c>
      <c r="M323" t="inlineStr">
        <is>
          <t>v0.6：同一価格表セクション内で凡例継承を確定。</t>
        </is>
      </c>
      <c r="N323" t="inlineStr">
        <is>
          <t>https://drive.google.com/file/d/1YUN-mtWYs48YBUHJk0C3vJXnhjyZFHyf/view</t>
        </is>
      </c>
    </row>
    <row r="324">
      <c r="A324" s="42" t="inlineStr">
        <is>
          <t>GSC-SL-000321</t>
        </is>
      </c>
      <c r="B324" t="inlineStr">
        <is>
          <t>SZ-SL-000321</t>
        </is>
      </c>
      <c r="C324" t="inlineStr">
        <is>
          <t>WT-SL-SHUTTER-HIKI</t>
        </is>
      </c>
      <c r="D324" t="inlineStr">
        <is>
          <t>SP-SL-SHUT-E-WIND</t>
        </is>
      </c>
      <c r="E324" t="inlineStr">
        <is>
          <t>11918</t>
        </is>
      </c>
      <c r="F324" t="b">
        <v>1</v>
      </c>
      <c r="G324" t="n">
        <v>38</v>
      </c>
      <c r="H324" t="inlineStr">
        <is>
          <t>無印</t>
        </is>
      </c>
      <c r="I324" t="n">
        <v>38</v>
      </c>
      <c r="J324" t="inlineStr">
        <is>
          <t>P38|無印</t>
        </is>
      </c>
      <c r="K324" t="inlineStr">
        <is>
          <t>同頁凡例へ直接連動</t>
        </is>
      </c>
      <c r="L324" t="inlineStr">
        <is>
          <t>202604_LIXIL_サーモスＬ_業務用資料集_完成品価格表.pdf</t>
        </is>
      </c>
      <c r="M324" t="inlineStr">
        <is>
          <t>v0.6：同一価格表セクション内で凡例継承を確定。</t>
        </is>
      </c>
      <c r="N324" t="inlineStr">
        <is>
          <t>https://drive.google.com/file/d/1YUN-mtWYs48YBUHJk0C3vJXnhjyZFHyf/view</t>
        </is>
      </c>
    </row>
    <row r="325">
      <c r="A325" s="42" t="inlineStr">
        <is>
          <t>GSC-SL-000322</t>
        </is>
      </c>
      <c r="B325" t="inlineStr">
        <is>
          <t>SZ-SL-000322</t>
        </is>
      </c>
      <c r="C325" t="inlineStr">
        <is>
          <t>WT-SL-SHUTTER-HIKI</t>
        </is>
      </c>
      <c r="D325" t="inlineStr">
        <is>
          <t>SP-SL-SHUT-E-WIND</t>
        </is>
      </c>
      <c r="E325" t="inlineStr">
        <is>
          <t>11920</t>
        </is>
      </c>
      <c r="F325" t="b">
        <v>1</v>
      </c>
      <c r="G325" t="n">
        <v>38</v>
      </c>
      <c r="H325" t="inlineStr">
        <is>
          <t>無印</t>
        </is>
      </c>
      <c r="I325" t="n">
        <v>38</v>
      </c>
      <c r="J325" t="inlineStr">
        <is>
          <t>P38|無印</t>
        </is>
      </c>
      <c r="K325" t="inlineStr">
        <is>
          <t>同頁凡例へ直接連動</t>
        </is>
      </c>
      <c r="L325" t="inlineStr">
        <is>
          <t>202604_LIXIL_サーモスＬ_業務用資料集_完成品価格表.pdf</t>
        </is>
      </c>
      <c r="M325" t="inlineStr">
        <is>
          <t>v0.6：同一価格表セクション内で凡例継承を確定。</t>
        </is>
      </c>
      <c r="N325" t="inlineStr">
        <is>
          <t>https://drive.google.com/file/d/1YUN-mtWYs48YBUHJk0C3vJXnhjyZFHyf/view</t>
        </is>
      </c>
    </row>
    <row r="326">
      <c r="A326" s="42" t="inlineStr">
        <is>
          <t>GSC-SL-000323</t>
        </is>
      </c>
      <c r="B326" t="inlineStr">
        <is>
          <t>SZ-SL-000323</t>
        </is>
      </c>
      <c r="C326" t="inlineStr">
        <is>
          <t>WT-SL-SHUTTER-HIKI</t>
        </is>
      </c>
      <c r="D326" t="inlineStr">
        <is>
          <t>SP-SL-SHUT-E-WIND</t>
        </is>
      </c>
      <c r="E326" t="inlineStr">
        <is>
          <t>13318</t>
        </is>
      </c>
      <c r="F326" t="b">
        <v>0</v>
      </c>
      <c r="G326" t="n">
        <v>38</v>
      </c>
      <c r="H326" t="inlineStr">
        <is>
          <t>無印</t>
        </is>
      </c>
      <c r="I326" t="n">
        <v>38</v>
      </c>
      <c r="J326" t="inlineStr">
        <is>
          <t>P38|無印</t>
        </is>
      </c>
      <c r="K326" t="inlineStr">
        <is>
          <t>同頁凡例へ直接連動</t>
        </is>
      </c>
      <c r="L326" t="inlineStr">
        <is>
          <t>202604_LIXIL_サーモスＬ_業務用資料集_完成品価格表.pdf</t>
        </is>
      </c>
      <c r="M326" t="inlineStr">
        <is>
          <t>v0.6：同一価格表セクション内で凡例継承を確定。</t>
        </is>
      </c>
      <c r="N326" t="inlineStr">
        <is>
          <t>https://drive.google.com/file/d/1YUN-mtWYs48YBUHJk0C3vJXnhjyZFHyf/view</t>
        </is>
      </c>
    </row>
    <row r="327">
      <c r="A327" s="42" t="inlineStr">
        <is>
          <t>GSC-SL-000324</t>
        </is>
      </c>
      <c r="B327" t="inlineStr">
        <is>
          <t>SZ-SL-000324</t>
        </is>
      </c>
      <c r="C327" t="inlineStr">
        <is>
          <t>WT-SL-SHUTTER-HIKI</t>
        </is>
      </c>
      <c r="D327" t="inlineStr">
        <is>
          <t>SP-SL-SHUT-E-WIND</t>
        </is>
      </c>
      <c r="E327" t="inlineStr">
        <is>
          <t>13320</t>
        </is>
      </c>
      <c r="F327" t="b">
        <v>0</v>
      </c>
      <c r="G327" t="n">
        <v>38</v>
      </c>
      <c r="H327" t="inlineStr">
        <is>
          <t>無印</t>
        </is>
      </c>
      <c r="I327" t="n">
        <v>38</v>
      </c>
      <c r="J327" t="inlineStr">
        <is>
          <t>P38|無印</t>
        </is>
      </c>
      <c r="K327" t="inlineStr">
        <is>
          <t>同頁凡例へ直接連動</t>
        </is>
      </c>
      <c r="L327" t="inlineStr">
        <is>
          <t>202604_LIXIL_サーモスＬ_業務用資料集_完成品価格表.pdf</t>
        </is>
      </c>
      <c r="M327" t="inlineStr">
        <is>
          <t>v0.6：同一価格表セクション内で凡例継承を確定。</t>
        </is>
      </c>
      <c r="N327" t="inlineStr">
        <is>
          <t>https://drive.google.com/file/d/1YUN-mtWYs48YBUHJk0C3vJXnhjyZFHyf/view</t>
        </is>
      </c>
    </row>
    <row r="328">
      <c r="A328" s="42" t="inlineStr">
        <is>
          <t>GSC-SL-000325</t>
        </is>
      </c>
      <c r="B328" t="inlineStr">
        <is>
          <t>SZ-SL-000325</t>
        </is>
      </c>
      <c r="C328" t="inlineStr">
        <is>
          <t>WT-SL-SHUTTER-HIKI</t>
        </is>
      </c>
      <c r="D328" t="inlineStr">
        <is>
          <t>SP-SL-SHUT-E-WIND</t>
        </is>
      </c>
      <c r="E328" t="inlineStr">
        <is>
          <t>15018</t>
        </is>
      </c>
      <c r="F328" t="b">
        <v>1</v>
      </c>
      <c r="G328" t="n">
        <v>38</v>
      </c>
      <c r="H328" t="inlineStr">
        <is>
          <t>無印</t>
        </is>
      </c>
      <c r="I328" t="n">
        <v>38</v>
      </c>
      <c r="J328" t="inlineStr">
        <is>
          <t>P38|無印</t>
        </is>
      </c>
      <c r="K328" t="inlineStr">
        <is>
          <t>同頁凡例へ直接連動</t>
        </is>
      </c>
      <c r="L328" t="inlineStr">
        <is>
          <t>202604_LIXIL_サーモスＬ_業務用資料集_完成品価格表.pdf</t>
        </is>
      </c>
      <c r="M328" t="inlineStr">
        <is>
          <t>v0.6：同一価格表セクション内で凡例継承を確定。</t>
        </is>
      </c>
      <c r="N328" t="inlineStr">
        <is>
          <t>https://drive.google.com/file/d/1YUN-mtWYs48YBUHJk0C3vJXnhjyZFHyf/view</t>
        </is>
      </c>
    </row>
    <row r="329">
      <c r="A329" s="42" t="inlineStr">
        <is>
          <t>GSC-SL-000326</t>
        </is>
      </c>
      <c r="B329" t="inlineStr">
        <is>
          <t>SZ-SL-000326</t>
        </is>
      </c>
      <c r="C329" t="inlineStr">
        <is>
          <t>WT-SL-SHUTTER-HIKI</t>
        </is>
      </c>
      <c r="D329" t="inlineStr">
        <is>
          <t>SP-SL-SHUT-E-WIND</t>
        </is>
      </c>
      <c r="E329" t="inlineStr">
        <is>
          <t>15020</t>
        </is>
      </c>
      <c r="F329" t="b">
        <v>1</v>
      </c>
      <c r="G329" t="n">
        <v>38</v>
      </c>
      <c r="H329" t="inlineStr">
        <is>
          <t>○</t>
        </is>
      </c>
      <c r="I329" t="n">
        <v>38</v>
      </c>
      <c r="J329" t="inlineStr">
        <is>
          <t>P38|○</t>
        </is>
      </c>
      <c r="K329" t="inlineStr">
        <is>
          <t>同頁凡例へ直接連動</t>
        </is>
      </c>
      <c r="L329" t="inlineStr">
        <is>
          <t>202604_LIXIL_サーモスＬ_業務用資料集_完成品価格表.pdf</t>
        </is>
      </c>
      <c r="M329" t="inlineStr">
        <is>
          <t>v0.6：同一価格表セクション内で凡例継承を確定。</t>
        </is>
      </c>
      <c r="N329" t="inlineStr">
        <is>
          <t>https://drive.google.com/file/d/1YUN-mtWYs48YBUHJk0C3vJXnhjyZFHyf/view</t>
        </is>
      </c>
    </row>
    <row r="330">
      <c r="A330" s="42" t="inlineStr">
        <is>
          <t>GSC-SL-000327</t>
        </is>
      </c>
      <c r="B330" t="inlineStr">
        <is>
          <t>SZ-SL-000327</t>
        </is>
      </c>
      <c r="C330" t="inlineStr">
        <is>
          <t>WT-SL-SHUTTER-HIKI</t>
        </is>
      </c>
      <c r="D330" t="inlineStr">
        <is>
          <t>SP-SL-SHUT-E-WIND</t>
        </is>
      </c>
      <c r="E330" t="inlineStr">
        <is>
          <t>16018</t>
        </is>
      </c>
      <c r="F330" t="b">
        <v>1</v>
      </c>
      <c r="G330" t="n">
        <v>38</v>
      </c>
      <c r="H330" t="inlineStr">
        <is>
          <t>無印</t>
        </is>
      </c>
      <c r="I330" t="n">
        <v>38</v>
      </c>
      <c r="J330" t="inlineStr">
        <is>
          <t>P38|無印</t>
        </is>
      </c>
      <c r="K330" t="inlineStr">
        <is>
          <t>同頁凡例へ直接連動</t>
        </is>
      </c>
      <c r="L330" t="inlineStr">
        <is>
          <t>202604_LIXIL_サーモスＬ_業務用資料集_完成品価格表.pdf</t>
        </is>
      </c>
      <c r="M330" t="inlineStr">
        <is>
          <t>v0.6：同一価格表セクション内で凡例継承を確定。</t>
        </is>
      </c>
      <c r="N330" t="inlineStr">
        <is>
          <t>https://drive.google.com/file/d/1YUN-mtWYs48YBUHJk0C3vJXnhjyZFHyf/view</t>
        </is>
      </c>
    </row>
    <row r="331">
      <c r="A331" s="42" t="inlineStr">
        <is>
          <t>GSC-SL-000328</t>
        </is>
      </c>
      <c r="B331" t="inlineStr">
        <is>
          <t>SZ-SL-000328</t>
        </is>
      </c>
      <c r="C331" t="inlineStr">
        <is>
          <t>WT-SL-SHUTTER-HIKI</t>
        </is>
      </c>
      <c r="D331" t="inlineStr">
        <is>
          <t>SP-SL-SHUT-E-WIND</t>
        </is>
      </c>
      <c r="E331" t="inlineStr">
        <is>
          <t>16020</t>
        </is>
      </c>
      <c r="F331" t="b">
        <v>1</v>
      </c>
      <c r="G331" t="n">
        <v>38</v>
      </c>
      <c r="H331" t="inlineStr">
        <is>
          <t>▲</t>
        </is>
      </c>
      <c r="I331" t="n">
        <v>38</v>
      </c>
      <c r="J331" t="inlineStr">
        <is>
          <t>P38|▲</t>
        </is>
      </c>
      <c r="K331" t="inlineStr">
        <is>
          <t>同頁凡例へ直接連動</t>
        </is>
      </c>
      <c r="L331" t="inlineStr">
        <is>
          <t>202604_LIXIL_サーモスＬ_業務用資料集_完成品価格表.pdf</t>
        </is>
      </c>
      <c r="M331" t="inlineStr">
        <is>
          <t>v0.6：同一価格表セクション内で凡例継承を確定。</t>
        </is>
      </c>
      <c r="N331" t="inlineStr">
        <is>
          <t>https://drive.google.com/file/d/1YUN-mtWYs48YBUHJk0C3vJXnhjyZFHyf/view</t>
        </is>
      </c>
    </row>
    <row r="332">
      <c r="A332" s="42" t="inlineStr">
        <is>
          <t>GSC-SL-000329</t>
        </is>
      </c>
      <c r="B332" t="inlineStr">
        <is>
          <t>SZ-SL-000329</t>
        </is>
      </c>
      <c r="C332" t="inlineStr">
        <is>
          <t>WT-SL-SHUTTER-HIKI</t>
        </is>
      </c>
      <c r="D332" t="inlineStr">
        <is>
          <t>SP-SL-SHUT-E-STD</t>
        </is>
      </c>
      <c r="E332" t="inlineStr">
        <is>
          <t>16518</t>
        </is>
      </c>
      <c r="F332" t="b">
        <v>1</v>
      </c>
      <c r="G332" t="n">
        <v>39</v>
      </c>
      <c r="H332" t="inlineStr">
        <is>
          <t>無印</t>
        </is>
      </c>
      <c r="I332" t="n">
        <v>38</v>
      </c>
      <c r="J332" t="inlineStr">
        <is>
          <t>P38|無印</t>
        </is>
      </c>
      <c r="K332" t="inlineStr">
        <is>
          <t>同一価格表・前頁凡例を継承</t>
        </is>
      </c>
      <c r="L332" t="inlineStr">
        <is>
          <t>202604_LIXIL_サーモスＬ_業務用資料集_完成品価格表.pdf</t>
        </is>
      </c>
      <c r="M332" t="inlineStr">
        <is>
          <t>v0.6：同一価格表セクション内で凡例継承を確定。</t>
        </is>
      </c>
      <c r="N332" t="inlineStr">
        <is>
          <t>https://drive.google.com/file/d/1YUN-mtWYs48YBUHJk0C3vJXnhjyZFHyf/view</t>
        </is>
      </c>
    </row>
    <row r="333">
      <c r="A333" s="42" t="inlineStr">
        <is>
          <t>GSC-SL-000330</t>
        </is>
      </c>
      <c r="B333" t="inlineStr">
        <is>
          <t>SZ-SL-000330</t>
        </is>
      </c>
      <c r="C333" t="inlineStr">
        <is>
          <t>WT-SL-SHUTTER-HIKI</t>
        </is>
      </c>
      <c r="D333" t="inlineStr">
        <is>
          <t>SP-SL-SHUT-E-STD</t>
        </is>
      </c>
      <c r="E333" t="inlineStr">
        <is>
          <t>16520</t>
        </is>
      </c>
      <c r="F333" t="b">
        <v>1</v>
      </c>
      <c r="G333" t="n">
        <v>39</v>
      </c>
      <c r="H333" t="inlineStr">
        <is>
          <t>★</t>
        </is>
      </c>
      <c r="I333" t="n">
        <v>38</v>
      </c>
      <c r="J333" t="inlineStr">
        <is>
          <t>P38|★</t>
        </is>
      </c>
      <c r="K333" t="inlineStr">
        <is>
          <t>同一価格表・前頁凡例を継承</t>
        </is>
      </c>
      <c r="L333" t="inlineStr">
        <is>
          <t>202604_LIXIL_サーモスＬ_業務用資料集_完成品価格表.pdf</t>
        </is>
      </c>
      <c r="M333" t="inlineStr">
        <is>
          <t>v0.6：同一価格表セクション内で凡例継承を確定。</t>
        </is>
      </c>
      <c r="N333" t="inlineStr">
        <is>
          <t>https://drive.google.com/file/d/1YUN-mtWYs48YBUHJk0C3vJXnhjyZFHyf/view</t>
        </is>
      </c>
    </row>
    <row r="334">
      <c r="A334" s="42" t="inlineStr">
        <is>
          <t>GSC-SL-000331</t>
        </is>
      </c>
      <c r="B334" t="inlineStr">
        <is>
          <t>SZ-SL-000331</t>
        </is>
      </c>
      <c r="C334" t="inlineStr">
        <is>
          <t>WT-SL-SHUTTER-HIKI</t>
        </is>
      </c>
      <c r="D334" t="inlineStr">
        <is>
          <t>SP-SL-SHUT-E-STD</t>
        </is>
      </c>
      <c r="E334" t="inlineStr">
        <is>
          <t>17418</t>
        </is>
      </c>
      <c r="F334" t="b">
        <v>1</v>
      </c>
      <c r="G334" t="n">
        <v>39</v>
      </c>
      <c r="H334" t="inlineStr">
        <is>
          <t>無印</t>
        </is>
      </c>
      <c r="I334" t="n">
        <v>38</v>
      </c>
      <c r="J334" t="inlineStr">
        <is>
          <t>P38|無印</t>
        </is>
      </c>
      <c r="K334" t="inlineStr">
        <is>
          <t>同一価格表・前頁凡例を継承</t>
        </is>
      </c>
      <c r="L334" t="inlineStr">
        <is>
          <t>202604_LIXIL_サーモスＬ_業務用資料集_完成品価格表.pdf</t>
        </is>
      </c>
      <c r="M334" t="inlineStr">
        <is>
          <t>v0.6：同一価格表セクション内で凡例継承を確定。</t>
        </is>
      </c>
      <c r="N334" t="inlineStr">
        <is>
          <t>https://drive.google.com/file/d/1YUN-mtWYs48YBUHJk0C3vJXnhjyZFHyf/view</t>
        </is>
      </c>
    </row>
    <row r="335">
      <c r="A335" s="42" t="inlineStr">
        <is>
          <t>GSC-SL-000332</t>
        </is>
      </c>
      <c r="B335" t="inlineStr">
        <is>
          <t>SZ-SL-000332</t>
        </is>
      </c>
      <c r="C335" t="inlineStr">
        <is>
          <t>WT-SL-SHUTTER-HIKI</t>
        </is>
      </c>
      <c r="D335" t="inlineStr">
        <is>
          <t>SP-SL-SHUT-E-STD</t>
        </is>
      </c>
      <c r="E335" t="inlineStr">
        <is>
          <t>17420</t>
        </is>
      </c>
      <c r="F335" t="b">
        <v>1</v>
      </c>
      <c r="G335" t="n">
        <v>39</v>
      </c>
      <c r="H335" t="inlineStr">
        <is>
          <t>★</t>
        </is>
      </c>
      <c r="I335" t="n">
        <v>38</v>
      </c>
      <c r="J335" t="inlineStr">
        <is>
          <t>P38|★</t>
        </is>
      </c>
      <c r="K335" t="inlineStr">
        <is>
          <t>同一価格表・前頁凡例を継承</t>
        </is>
      </c>
      <c r="L335" t="inlineStr">
        <is>
          <t>202604_LIXIL_サーモスＬ_業務用資料集_完成品価格表.pdf</t>
        </is>
      </c>
      <c r="M335" t="inlineStr">
        <is>
          <t>v0.6：同一価格表セクション内で凡例継承を確定。</t>
        </is>
      </c>
      <c r="N335" t="inlineStr">
        <is>
          <t>https://drive.google.com/file/d/1YUN-mtWYs48YBUHJk0C3vJXnhjyZFHyf/view</t>
        </is>
      </c>
    </row>
    <row r="336">
      <c r="A336" s="42" t="inlineStr">
        <is>
          <t>GSC-SL-000333</t>
        </is>
      </c>
      <c r="B336" t="inlineStr">
        <is>
          <t>SZ-SL-000333</t>
        </is>
      </c>
      <c r="C336" t="inlineStr">
        <is>
          <t>WT-SL-SHUTTER-HIKI</t>
        </is>
      </c>
      <c r="D336" t="inlineStr">
        <is>
          <t>SP-SL-SHUT-E-STD</t>
        </is>
      </c>
      <c r="E336" t="inlineStr">
        <is>
          <t>17618</t>
        </is>
      </c>
      <c r="F336" t="b">
        <v>1</v>
      </c>
      <c r="G336" t="n">
        <v>39</v>
      </c>
      <c r="H336" t="inlineStr">
        <is>
          <t>無印</t>
        </is>
      </c>
      <c r="I336" t="n">
        <v>38</v>
      </c>
      <c r="J336" t="inlineStr">
        <is>
          <t>P38|無印</t>
        </is>
      </c>
      <c r="K336" t="inlineStr">
        <is>
          <t>同一価格表・前頁凡例を継承</t>
        </is>
      </c>
      <c r="L336" t="inlineStr">
        <is>
          <t>202604_LIXIL_サーモスＬ_業務用資料集_完成品価格表.pdf</t>
        </is>
      </c>
      <c r="M336" t="inlineStr">
        <is>
          <t>v0.6：同一価格表セクション内で凡例継承を確定。</t>
        </is>
      </c>
      <c r="N336" t="inlineStr">
        <is>
          <t>https://drive.google.com/file/d/1YUN-mtWYs48YBUHJk0C3vJXnhjyZFHyf/view</t>
        </is>
      </c>
    </row>
    <row r="337">
      <c r="A337" s="42" t="inlineStr">
        <is>
          <t>GSC-SL-000334</t>
        </is>
      </c>
      <c r="B337" t="inlineStr">
        <is>
          <t>SZ-SL-000334</t>
        </is>
      </c>
      <c r="C337" t="inlineStr">
        <is>
          <t>WT-SL-SHUTTER-HIKI</t>
        </is>
      </c>
      <c r="D337" t="inlineStr">
        <is>
          <t>SP-SL-SHUT-E-STD</t>
        </is>
      </c>
      <c r="E337" t="inlineStr">
        <is>
          <t>17620</t>
        </is>
      </c>
      <c r="F337" t="b">
        <v>1</v>
      </c>
      <c r="G337" t="n">
        <v>39</v>
      </c>
      <c r="H337" t="inlineStr">
        <is>
          <t>★</t>
        </is>
      </c>
      <c r="I337" t="n">
        <v>38</v>
      </c>
      <c r="J337" t="inlineStr">
        <is>
          <t>P38|★</t>
        </is>
      </c>
      <c r="K337" t="inlineStr">
        <is>
          <t>同一価格表・前頁凡例を継承</t>
        </is>
      </c>
      <c r="L337" t="inlineStr">
        <is>
          <t>202604_LIXIL_サーモスＬ_業務用資料集_完成品価格表.pdf</t>
        </is>
      </c>
      <c r="M337" t="inlineStr">
        <is>
          <t>v0.6：同一価格表セクション内で凡例継承を確定。</t>
        </is>
      </c>
      <c r="N337" t="inlineStr">
        <is>
          <t>https://drive.google.com/file/d/1YUN-mtWYs48YBUHJk0C3vJXnhjyZFHyf/view</t>
        </is>
      </c>
    </row>
    <row r="338">
      <c r="A338" s="42" t="inlineStr">
        <is>
          <t>GSC-SL-000335</t>
        </is>
      </c>
      <c r="B338" t="inlineStr">
        <is>
          <t>SZ-SL-000335</t>
        </is>
      </c>
      <c r="C338" t="inlineStr">
        <is>
          <t>WT-SL-SHUTTER-HIKI</t>
        </is>
      </c>
      <c r="D338" t="inlineStr">
        <is>
          <t>SP-SL-SHUT-E-STD</t>
        </is>
      </c>
      <c r="E338" t="inlineStr">
        <is>
          <t>18018</t>
        </is>
      </c>
      <c r="F338" t="b">
        <v>1</v>
      </c>
      <c r="G338" t="n">
        <v>39</v>
      </c>
      <c r="H338" t="inlineStr">
        <is>
          <t>★</t>
        </is>
      </c>
      <c r="I338" t="n">
        <v>38</v>
      </c>
      <c r="J338" t="inlineStr">
        <is>
          <t>P38|★</t>
        </is>
      </c>
      <c r="K338" t="inlineStr">
        <is>
          <t>同一価格表・前頁凡例を継承</t>
        </is>
      </c>
      <c r="L338" t="inlineStr">
        <is>
          <t>202604_LIXIL_サーモスＬ_業務用資料集_完成品価格表.pdf</t>
        </is>
      </c>
      <c r="M338" t="inlineStr">
        <is>
          <t>v0.6：同一価格表セクション内で凡例継承を確定。</t>
        </is>
      </c>
      <c r="N338" t="inlineStr">
        <is>
          <t>https://drive.google.com/file/d/1YUN-mtWYs48YBUHJk0C3vJXnhjyZFHyf/view</t>
        </is>
      </c>
    </row>
    <row r="339">
      <c r="A339" s="42" t="inlineStr">
        <is>
          <t>GSC-SL-000336</t>
        </is>
      </c>
      <c r="B339" t="inlineStr">
        <is>
          <t>SZ-SL-000336</t>
        </is>
      </c>
      <c r="C339" t="inlineStr">
        <is>
          <t>WT-SL-SHUTTER-HIKI</t>
        </is>
      </c>
      <c r="D339" t="inlineStr">
        <is>
          <t>SP-SL-SHUT-E-STD</t>
        </is>
      </c>
      <c r="E339" t="inlineStr">
        <is>
          <t>18020</t>
        </is>
      </c>
      <c r="F339" t="b">
        <v>1</v>
      </c>
      <c r="G339" t="n">
        <v>39</v>
      </c>
      <c r="H339" t="inlineStr">
        <is>
          <t>★</t>
        </is>
      </c>
      <c r="I339" t="n">
        <v>38</v>
      </c>
      <c r="J339" t="inlineStr">
        <is>
          <t>P38|★</t>
        </is>
      </c>
      <c r="K339" t="inlineStr">
        <is>
          <t>同一価格表・前頁凡例を継承</t>
        </is>
      </c>
      <c r="L339" t="inlineStr">
        <is>
          <t>202604_LIXIL_サーモスＬ_業務用資料集_完成品価格表.pdf</t>
        </is>
      </c>
      <c r="M339" t="inlineStr">
        <is>
          <t>v0.6：同一価格表セクション内で凡例継承を確定。</t>
        </is>
      </c>
      <c r="N339" t="inlineStr">
        <is>
          <t>https://drive.google.com/file/d/1YUN-mtWYs48YBUHJk0C3vJXnhjyZFHyf/view</t>
        </is>
      </c>
    </row>
    <row r="340">
      <c r="A340" s="42" t="inlineStr">
        <is>
          <t>GSC-SL-000337</t>
        </is>
      </c>
      <c r="B340" t="inlineStr">
        <is>
          <t>SZ-SL-000337</t>
        </is>
      </c>
      <c r="C340" t="inlineStr">
        <is>
          <t>WT-SL-SHUTTER-HIKI</t>
        </is>
      </c>
      <c r="D340" t="inlineStr">
        <is>
          <t>SP-SL-SHUT-E-VENT</t>
        </is>
      </c>
      <c r="E340" t="inlineStr">
        <is>
          <t>16518</t>
        </is>
      </c>
      <c r="F340" t="b">
        <v>1</v>
      </c>
      <c r="G340" t="n">
        <v>39</v>
      </c>
      <c r="H340" t="inlineStr">
        <is>
          <t>無印</t>
        </is>
      </c>
      <c r="I340" t="n">
        <v>38</v>
      </c>
      <c r="J340" t="inlineStr">
        <is>
          <t>P38|無印</t>
        </is>
      </c>
      <c r="K340" t="inlineStr">
        <is>
          <t>同一価格表・前頁凡例を継承</t>
        </is>
      </c>
      <c r="L340" t="inlineStr">
        <is>
          <t>202604_LIXIL_サーモスＬ_業務用資料集_完成品価格表.pdf</t>
        </is>
      </c>
      <c r="M340" t="inlineStr">
        <is>
          <t>v0.6：同一価格表セクション内で凡例継承を確定。</t>
        </is>
      </c>
      <c r="N340" t="inlineStr">
        <is>
          <t>https://drive.google.com/file/d/1YUN-mtWYs48YBUHJk0C3vJXnhjyZFHyf/view</t>
        </is>
      </c>
    </row>
    <row r="341">
      <c r="A341" s="42" t="inlineStr">
        <is>
          <t>GSC-SL-000338</t>
        </is>
      </c>
      <c r="B341" t="inlineStr">
        <is>
          <t>SZ-SL-000338</t>
        </is>
      </c>
      <c r="C341" t="inlineStr">
        <is>
          <t>WT-SL-SHUTTER-HIKI</t>
        </is>
      </c>
      <c r="D341" t="inlineStr">
        <is>
          <t>SP-SL-SHUT-E-VENT</t>
        </is>
      </c>
      <c r="E341" t="inlineStr">
        <is>
          <t>16520</t>
        </is>
      </c>
      <c r="F341" t="b">
        <v>1</v>
      </c>
      <c r="G341" t="n">
        <v>39</v>
      </c>
      <c r="H341" t="inlineStr">
        <is>
          <t>★</t>
        </is>
      </c>
      <c r="I341" t="n">
        <v>38</v>
      </c>
      <c r="J341" t="inlineStr">
        <is>
          <t>P38|★</t>
        </is>
      </c>
      <c r="K341" t="inlineStr">
        <is>
          <t>同一価格表・前頁凡例を継承</t>
        </is>
      </c>
      <c r="L341" t="inlineStr">
        <is>
          <t>202604_LIXIL_サーモスＬ_業務用資料集_完成品価格表.pdf</t>
        </is>
      </c>
      <c r="M341" t="inlineStr">
        <is>
          <t>v0.6：同一価格表セクション内で凡例継承を確定。</t>
        </is>
      </c>
      <c r="N341" t="inlineStr">
        <is>
          <t>https://drive.google.com/file/d/1YUN-mtWYs48YBUHJk0C3vJXnhjyZFHyf/view</t>
        </is>
      </c>
    </row>
    <row r="342">
      <c r="A342" s="42" t="inlineStr">
        <is>
          <t>GSC-SL-000339</t>
        </is>
      </c>
      <c r="B342" t="inlineStr">
        <is>
          <t>SZ-SL-000339</t>
        </is>
      </c>
      <c r="C342" t="inlineStr">
        <is>
          <t>WT-SL-SHUTTER-HIKI</t>
        </is>
      </c>
      <c r="D342" t="inlineStr">
        <is>
          <t>SP-SL-SHUT-E-VENT</t>
        </is>
      </c>
      <c r="E342" t="inlineStr">
        <is>
          <t>17418</t>
        </is>
      </c>
      <c r="F342" t="b">
        <v>1</v>
      </c>
      <c r="G342" t="n">
        <v>39</v>
      </c>
      <c r="H342" t="inlineStr">
        <is>
          <t>無印</t>
        </is>
      </c>
      <c r="I342" t="n">
        <v>38</v>
      </c>
      <c r="J342" t="inlineStr">
        <is>
          <t>P38|無印</t>
        </is>
      </c>
      <c r="K342" t="inlineStr">
        <is>
          <t>同一価格表・前頁凡例を継承</t>
        </is>
      </c>
      <c r="L342" t="inlineStr">
        <is>
          <t>202604_LIXIL_サーモスＬ_業務用資料集_完成品価格表.pdf</t>
        </is>
      </c>
      <c r="M342" t="inlineStr">
        <is>
          <t>v0.6：同一価格表セクション内で凡例継承を確定。</t>
        </is>
      </c>
      <c r="N342" t="inlineStr">
        <is>
          <t>https://drive.google.com/file/d/1YUN-mtWYs48YBUHJk0C3vJXnhjyZFHyf/view</t>
        </is>
      </c>
    </row>
    <row r="343">
      <c r="A343" s="42" t="inlineStr">
        <is>
          <t>GSC-SL-000340</t>
        </is>
      </c>
      <c r="B343" t="inlineStr">
        <is>
          <t>SZ-SL-000340</t>
        </is>
      </c>
      <c r="C343" t="inlineStr">
        <is>
          <t>WT-SL-SHUTTER-HIKI</t>
        </is>
      </c>
      <c r="D343" t="inlineStr">
        <is>
          <t>SP-SL-SHUT-E-VENT</t>
        </is>
      </c>
      <c r="E343" t="inlineStr">
        <is>
          <t>17420</t>
        </is>
      </c>
      <c r="F343" t="b">
        <v>1</v>
      </c>
      <c r="G343" t="n">
        <v>39</v>
      </c>
      <c r="H343" t="inlineStr">
        <is>
          <t>★</t>
        </is>
      </c>
      <c r="I343" t="n">
        <v>38</v>
      </c>
      <c r="J343" t="inlineStr">
        <is>
          <t>P38|★</t>
        </is>
      </c>
      <c r="K343" t="inlineStr">
        <is>
          <t>同一価格表・前頁凡例を継承</t>
        </is>
      </c>
      <c r="L343" t="inlineStr">
        <is>
          <t>202604_LIXIL_サーモスＬ_業務用資料集_完成品価格表.pdf</t>
        </is>
      </c>
      <c r="M343" t="inlineStr">
        <is>
          <t>v0.6：同一価格表セクション内で凡例継承を確定。</t>
        </is>
      </c>
      <c r="N343" t="inlineStr">
        <is>
          <t>https://drive.google.com/file/d/1YUN-mtWYs48YBUHJk0C3vJXnhjyZFHyf/view</t>
        </is>
      </c>
    </row>
    <row r="344">
      <c r="A344" s="42" t="inlineStr">
        <is>
          <t>GSC-SL-000341</t>
        </is>
      </c>
      <c r="B344" t="inlineStr">
        <is>
          <t>SZ-SL-000341</t>
        </is>
      </c>
      <c r="C344" t="inlineStr">
        <is>
          <t>WT-SL-SHUTTER-HIKI</t>
        </is>
      </c>
      <c r="D344" t="inlineStr">
        <is>
          <t>SP-SL-SHUT-E-VENT</t>
        </is>
      </c>
      <c r="E344" t="inlineStr">
        <is>
          <t>17618</t>
        </is>
      </c>
      <c r="F344" t="b">
        <v>1</v>
      </c>
      <c r="G344" t="n">
        <v>39</v>
      </c>
      <c r="H344" t="inlineStr">
        <is>
          <t>無印</t>
        </is>
      </c>
      <c r="I344" t="n">
        <v>38</v>
      </c>
      <c r="J344" t="inlineStr">
        <is>
          <t>P38|無印</t>
        </is>
      </c>
      <c r="K344" t="inlineStr">
        <is>
          <t>同一価格表・前頁凡例を継承</t>
        </is>
      </c>
      <c r="L344" t="inlineStr">
        <is>
          <t>202604_LIXIL_サーモスＬ_業務用資料集_完成品価格表.pdf</t>
        </is>
      </c>
      <c r="M344" t="inlineStr">
        <is>
          <t>v0.6：同一価格表セクション内で凡例継承を確定。</t>
        </is>
      </c>
      <c r="N344" t="inlineStr">
        <is>
          <t>https://drive.google.com/file/d/1YUN-mtWYs48YBUHJk0C3vJXnhjyZFHyf/view</t>
        </is>
      </c>
    </row>
    <row r="345">
      <c r="A345" s="42" t="inlineStr">
        <is>
          <t>GSC-SL-000342</t>
        </is>
      </c>
      <c r="B345" t="inlineStr">
        <is>
          <t>SZ-SL-000342</t>
        </is>
      </c>
      <c r="C345" t="inlineStr">
        <is>
          <t>WT-SL-SHUTTER-HIKI</t>
        </is>
      </c>
      <c r="D345" t="inlineStr">
        <is>
          <t>SP-SL-SHUT-E-VENT</t>
        </is>
      </c>
      <c r="E345" t="inlineStr">
        <is>
          <t>17620</t>
        </is>
      </c>
      <c r="F345" t="b">
        <v>1</v>
      </c>
      <c r="G345" t="n">
        <v>39</v>
      </c>
      <c r="H345" t="inlineStr">
        <is>
          <t>★</t>
        </is>
      </c>
      <c r="I345" t="n">
        <v>38</v>
      </c>
      <c r="J345" t="inlineStr">
        <is>
          <t>P38|★</t>
        </is>
      </c>
      <c r="K345" t="inlineStr">
        <is>
          <t>同一価格表・前頁凡例を継承</t>
        </is>
      </c>
      <c r="L345" t="inlineStr">
        <is>
          <t>202604_LIXIL_サーモスＬ_業務用資料集_完成品価格表.pdf</t>
        </is>
      </c>
      <c r="M345" t="inlineStr">
        <is>
          <t>v0.6：同一価格表セクション内で凡例継承を確定。</t>
        </is>
      </c>
      <c r="N345" t="inlineStr">
        <is>
          <t>https://drive.google.com/file/d/1YUN-mtWYs48YBUHJk0C3vJXnhjyZFHyf/view</t>
        </is>
      </c>
    </row>
    <row r="346">
      <c r="A346" s="42" t="inlineStr">
        <is>
          <t>GSC-SL-000343</t>
        </is>
      </c>
      <c r="B346" t="inlineStr">
        <is>
          <t>SZ-SL-000343</t>
        </is>
      </c>
      <c r="C346" t="inlineStr">
        <is>
          <t>WT-SL-SHUTTER-HIKI</t>
        </is>
      </c>
      <c r="D346" t="inlineStr">
        <is>
          <t>SP-SL-SHUT-E-VENT</t>
        </is>
      </c>
      <c r="E346" t="inlineStr">
        <is>
          <t>18018</t>
        </is>
      </c>
      <c r="F346" t="b">
        <v>1</v>
      </c>
      <c r="G346" t="n">
        <v>39</v>
      </c>
      <c r="H346" t="inlineStr">
        <is>
          <t>★</t>
        </is>
      </c>
      <c r="I346" t="n">
        <v>38</v>
      </c>
      <c r="J346" t="inlineStr">
        <is>
          <t>P38|★</t>
        </is>
      </c>
      <c r="K346" t="inlineStr">
        <is>
          <t>同一価格表・前頁凡例を継承</t>
        </is>
      </c>
      <c r="L346" t="inlineStr">
        <is>
          <t>202604_LIXIL_サーモスＬ_業務用資料集_完成品価格表.pdf</t>
        </is>
      </c>
      <c r="M346" t="inlineStr">
        <is>
          <t>v0.6：同一価格表セクション内で凡例継承を確定。</t>
        </is>
      </c>
      <c r="N346" t="inlineStr">
        <is>
          <t>https://drive.google.com/file/d/1YUN-mtWYs48YBUHJk0C3vJXnhjyZFHyf/view</t>
        </is>
      </c>
    </row>
    <row r="347">
      <c r="A347" s="42" t="inlineStr">
        <is>
          <t>GSC-SL-000344</t>
        </is>
      </c>
      <c r="B347" t="inlineStr">
        <is>
          <t>SZ-SL-000344</t>
        </is>
      </c>
      <c r="C347" t="inlineStr">
        <is>
          <t>WT-SL-SHUTTER-HIKI</t>
        </is>
      </c>
      <c r="D347" t="inlineStr">
        <is>
          <t>SP-SL-SHUT-E-VENT</t>
        </is>
      </c>
      <c r="E347" t="inlineStr">
        <is>
          <t>18020</t>
        </is>
      </c>
      <c r="F347" t="b">
        <v>1</v>
      </c>
      <c r="G347" t="n">
        <v>39</v>
      </c>
      <c r="H347" t="inlineStr">
        <is>
          <t>★</t>
        </is>
      </c>
      <c r="I347" t="n">
        <v>38</v>
      </c>
      <c r="J347" t="inlineStr">
        <is>
          <t>P38|★</t>
        </is>
      </c>
      <c r="K347" t="inlineStr">
        <is>
          <t>同一価格表・前頁凡例を継承</t>
        </is>
      </c>
      <c r="L347" t="inlineStr">
        <is>
          <t>202604_LIXIL_サーモスＬ_業務用資料集_完成品価格表.pdf</t>
        </is>
      </c>
      <c r="M347" t="inlineStr">
        <is>
          <t>v0.6：同一価格表セクション内で凡例継承を確定。</t>
        </is>
      </c>
      <c r="N347" t="inlineStr">
        <is>
          <t>https://drive.google.com/file/d/1YUN-mtWYs48YBUHJk0C3vJXnhjyZFHyf/view</t>
        </is>
      </c>
    </row>
    <row r="348">
      <c r="A348" s="42" t="inlineStr">
        <is>
          <t>GSC-SL-000345</t>
        </is>
      </c>
      <c r="B348" t="inlineStr">
        <is>
          <t>SZ-SL-000345</t>
        </is>
      </c>
      <c r="C348" t="inlineStr">
        <is>
          <t>WT-SL-SHUTTER-HIKI</t>
        </is>
      </c>
      <c r="D348" t="inlineStr">
        <is>
          <t>SP-SL-SHUT-E-WIND</t>
        </is>
      </c>
      <c r="E348" t="inlineStr">
        <is>
          <t>16518</t>
        </is>
      </c>
      <c r="F348" t="b">
        <v>1</v>
      </c>
      <c r="G348" t="n">
        <v>39</v>
      </c>
      <c r="H348" t="inlineStr">
        <is>
          <t>無印</t>
        </is>
      </c>
      <c r="I348" t="n">
        <v>38</v>
      </c>
      <c r="J348" t="inlineStr">
        <is>
          <t>P38|無印</t>
        </is>
      </c>
      <c r="K348" t="inlineStr">
        <is>
          <t>同一価格表・前頁凡例を継承</t>
        </is>
      </c>
      <c r="L348" t="inlineStr">
        <is>
          <t>202604_LIXIL_サーモスＬ_業務用資料集_完成品価格表.pdf</t>
        </is>
      </c>
      <c r="M348" t="inlineStr">
        <is>
          <t>v0.6：同一価格表セクション内で凡例継承を確定。</t>
        </is>
      </c>
      <c r="N348" t="inlineStr">
        <is>
          <t>https://drive.google.com/file/d/1YUN-mtWYs48YBUHJk0C3vJXnhjyZFHyf/view</t>
        </is>
      </c>
    </row>
    <row r="349">
      <c r="A349" s="42" t="inlineStr">
        <is>
          <t>GSC-SL-000346</t>
        </is>
      </c>
      <c r="B349" t="inlineStr">
        <is>
          <t>SZ-SL-000346</t>
        </is>
      </c>
      <c r="C349" t="inlineStr">
        <is>
          <t>WT-SL-SHUTTER-HIKI</t>
        </is>
      </c>
      <c r="D349" t="inlineStr">
        <is>
          <t>SP-SL-SHUT-E-WIND</t>
        </is>
      </c>
      <c r="E349" t="inlineStr">
        <is>
          <t>16520</t>
        </is>
      </c>
      <c r="F349" t="b">
        <v>1</v>
      </c>
      <c r="G349" t="n">
        <v>39</v>
      </c>
      <c r="H349" t="inlineStr">
        <is>
          <t>★</t>
        </is>
      </c>
      <c r="I349" t="n">
        <v>38</v>
      </c>
      <c r="J349" t="inlineStr">
        <is>
          <t>P38|★</t>
        </is>
      </c>
      <c r="K349" t="inlineStr">
        <is>
          <t>同一価格表・前頁凡例を継承</t>
        </is>
      </c>
      <c r="L349" t="inlineStr">
        <is>
          <t>202604_LIXIL_サーモスＬ_業務用資料集_完成品価格表.pdf</t>
        </is>
      </c>
      <c r="M349" t="inlineStr">
        <is>
          <t>v0.6：同一価格表セクション内で凡例継承を確定。</t>
        </is>
      </c>
      <c r="N349" t="inlineStr">
        <is>
          <t>https://drive.google.com/file/d/1YUN-mtWYs48YBUHJk0C3vJXnhjyZFHyf/view</t>
        </is>
      </c>
    </row>
    <row r="350">
      <c r="A350" s="42" t="inlineStr">
        <is>
          <t>GSC-SL-000347</t>
        </is>
      </c>
      <c r="B350" t="inlineStr">
        <is>
          <t>SZ-SL-000347</t>
        </is>
      </c>
      <c r="C350" t="inlineStr">
        <is>
          <t>WT-SL-SHUTTER-HIKI</t>
        </is>
      </c>
      <c r="D350" t="inlineStr">
        <is>
          <t>SP-SL-SHUT-E-WIND</t>
        </is>
      </c>
      <c r="E350" t="inlineStr">
        <is>
          <t>17418</t>
        </is>
      </c>
      <c r="F350" t="b">
        <v>0</v>
      </c>
      <c r="G350" t="n">
        <v>39</v>
      </c>
      <c r="H350" t="inlineStr">
        <is>
          <t>無印</t>
        </is>
      </c>
      <c r="I350" t="n">
        <v>38</v>
      </c>
      <c r="J350" t="inlineStr">
        <is>
          <t>P38|無印</t>
        </is>
      </c>
      <c r="K350" t="inlineStr">
        <is>
          <t>同一価格表・前頁凡例を継承</t>
        </is>
      </c>
      <c r="L350" t="inlineStr">
        <is>
          <t>202604_LIXIL_サーモスＬ_業務用資料集_完成品価格表.pdf</t>
        </is>
      </c>
      <c r="M350" t="inlineStr">
        <is>
          <t>v0.6：同一価格表セクション内で凡例継承を確定。</t>
        </is>
      </c>
      <c r="N350" t="inlineStr">
        <is>
          <t>https://drive.google.com/file/d/1YUN-mtWYs48YBUHJk0C3vJXnhjyZFHyf/view</t>
        </is>
      </c>
    </row>
    <row r="351">
      <c r="A351" s="42" t="inlineStr">
        <is>
          <t>GSC-SL-000348</t>
        </is>
      </c>
      <c r="B351" t="inlineStr">
        <is>
          <t>SZ-SL-000348</t>
        </is>
      </c>
      <c r="C351" t="inlineStr">
        <is>
          <t>WT-SL-SHUTTER-HIKI</t>
        </is>
      </c>
      <c r="D351" t="inlineStr">
        <is>
          <t>SP-SL-SHUT-E-WIND</t>
        </is>
      </c>
      <c r="E351" t="inlineStr">
        <is>
          <t>17420</t>
        </is>
      </c>
      <c r="F351" t="b">
        <v>0</v>
      </c>
      <c r="G351" t="n">
        <v>39</v>
      </c>
      <c r="H351" t="inlineStr">
        <is>
          <t>★</t>
        </is>
      </c>
      <c r="I351" t="n">
        <v>38</v>
      </c>
      <c r="J351" t="inlineStr">
        <is>
          <t>P38|★</t>
        </is>
      </c>
      <c r="K351" t="inlineStr">
        <is>
          <t>同一価格表・前頁凡例を継承</t>
        </is>
      </c>
      <c r="L351" t="inlineStr">
        <is>
          <t>202604_LIXIL_サーモスＬ_業務用資料集_完成品価格表.pdf</t>
        </is>
      </c>
      <c r="M351" t="inlineStr">
        <is>
          <t>v0.6：同一価格表セクション内で凡例継承を確定。</t>
        </is>
      </c>
      <c r="N351" t="inlineStr">
        <is>
          <t>https://drive.google.com/file/d/1YUN-mtWYs48YBUHJk0C3vJXnhjyZFHyf/view</t>
        </is>
      </c>
    </row>
    <row r="352">
      <c r="A352" s="42" t="inlineStr">
        <is>
          <t>GSC-SL-000349</t>
        </is>
      </c>
      <c r="B352" t="inlineStr">
        <is>
          <t>SZ-SL-000349</t>
        </is>
      </c>
      <c r="C352" t="inlineStr">
        <is>
          <t>WT-SL-SHUTTER-HIKI</t>
        </is>
      </c>
      <c r="D352" t="inlineStr">
        <is>
          <t>SP-SL-SHUT-E-WIND</t>
        </is>
      </c>
      <c r="E352" t="inlineStr">
        <is>
          <t>17618</t>
        </is>
      </c>
      <c r="F352" t="b">
        <v>0</v>
      </c>
      <c r="G352" t="n">
        <v>39</v>
      </c>
      <c r="H352" t="inlineStr">
        <is>
          <t>無印</t>
        </is>
      </c>
      <c r="I352" t="n">
        <v>38</v>
      </c>
      <c r="J352" t="inlineStr">
        <is>
          <t>P38|無印</t>
        </is>
      </c>
      <c r="K352" t="inlineStr">
        <is>
          <t>同一価格表・前頁凡例を継承</t>
        </is>
      </c>
      <c r="L352" t="inlineStr">
        <is>
          <t>202604_LIXIL_サーモスＬ_業務用資料集_完成品価格表.pdf</t>
        </is>
      </c>
      <c r="M352" t="inlineStr">
        <is>
          <t>v0.6：同一価格表セクション内で凡例継承を確定。</t>
        </is>
      </c>
      <c r="N352" t="inlineStr">
        <is>
          <t>https://drive.google.com/file/d/1YUN-mtWYs48YBUHJk0C3vJXnhjyZFHyf/view</t>
        </is>
      </c>
    </row>
    <row r="353">
      <c r="A353" s="42" t="inlineStr">
        <is>
          <t>GSC-SL-000350</t>
        </is>
      </c>
      <c r="B353" t="inlineStr">
        <is>
          <t>SZ-SL-000350</t>
        </is>
      </c>
      <c r="C353" t="inlineStr">
        <is>
          <t>WT-SL-SHUTTER-HIKI</t>
        </is>
      </c>
      <c r="D353" t="inlineStr">
        <is>
          <t>SP-SL-SHUT-E-WIND</t>
        </is>
      </c>
      <c r="E353" t="inlineStr">
        <is>
          <t>17620</t>
        </is>
      </c>
      <c r="F353" t="b">
        <v>0</v>
      </c>
      <c r="G353" t="n">
        <v>39</v>
      </c>
      <c r="H353" t="inlineStr">
        <is>
          <t>★</t>
        </is>
      </c>
      <c r="I353" t="n">
        <v>38</v>
      </c>
      <c r="J353" t="inlineStr">
        <is>
          <t>P38|★</t>
        </is>
      </c>
      <c r="K353" t="inlineStr">
        <is>
          <t>同一価格表・前頁凡例を継承</t>
        </is>
      </c>
      <c r="L353" t="inlineStr">
        <is>
          <t>202604_LIXIL_サーモスＬ_業務用資料集_完成品価格表.pdf</t>
        </is>
      </c>
      <c r="M353" t="inlineStr">
        <is>
          <t>v0.6：同一価格表セクション内で凡例継承を確定。</t>
        </is>
      </c>
      <c r="N353" t="inlineStr">
        <is>
          <t>https://drive.google.com/file/d/1YUN-mtWYs48YBUHJk0C3vJXnhjyZFHyf/view</t>
        </is>
      </c>
    </row>
    <row r="354">
      <c r="A354" s="42" t="inlineStr">
        <is>
          <t>GSC-SL-000351</t>
        </is>
      </c>
      <c r="B354" t="inlineStr">
        <is>
          <t>SZ-SL-000351</t>
        </is>
      </c>
      <c r="C354" t="inlineStr">
        <is>
          <t>WT-SL-SHUTTER-HIKI</t>
        </is>
      </c>
      <c r="D354" t="inlineStr">
        <is>
          <t>SP-SL-SHUT-E-WIND</t>
        </is>
      </c>
      <c r="E354" t="inlineStr">
        <is>
          <t>18018</t>
        </is>
      </c>
      <c r="F354" t="b">
        <v>0</v>
      </c>
      <c r="G354" t="n">
        <v>39</v>
      </c>
      <c r="H354" t="inlineStr">
        <is>
          <t>★</t>
        </is>
      </c>
      <c r="I354" t="n">
        <v>38</v>
      </c>
      <c r="J354" t="inlineStr">
        <is>
          <t>P38|★</t>
        </is>
      </c>
      <c r="K354" t="inlineStr">
        <is>
          <t>同一価格表・前頁凡例を継承</t>
        </is>
      </c>
      <c r="L354" t="inlineStr">
        <is>
          <t>202604_LIXIL_サーモスＬ_業務用資料集_完成品価格表.pdf</t>
        </is>
      </c>
      <c r="M354" t="inlineStr">
        <is>
          <t>v0.6：同一価格表セクション内で凡例継承を確定。</t>
        </is>
      </c>
      <c r="N354" t="inlineStr">
        <is>
          <t>https://drive.google.com/file/d/1YUN-mtWYs48YBUHJk0C3vJXnhjyZFHyf/view</t>
        </is>
      </c>
    </row>
    <row r="355">
      <c r="A355" s="42" t="inlineStr">
        <is>
          <t>GSC-SL-000352</t>
        </is>
      </c>
      <c r="B355" t="inlineStr">
        <is>
          <t>SZ-SL-000352</t>
        </is>
      </c>
      <c r="C355" t="inlineStr">
        <is>
          <t>WT-SL-SHUTTER-HIKI</t>
        </is>
      </c>
      <c r="D355" t="inlineStr">
        <is>
          <t>SP-SL-SHUT-E-WIND</t>
        </is>
      </c>
      <c r="E355" t="inlineStr">
        <is>
          <t>18020</t>
        </is>
      </c>
      <c r="F355" t="b">
        <v>0</v>
      </c>
      <c r="G355" t="n">
        <v>39</v>
      </c>
      <c r="H355" t="inlineStr">
        <is>
          <t>★</t>
        </is>
      </c>
      <c r="I355" t="n">
        <v>38</v>
      </c>
      <c r="J355" t="inlineStr">
        <is>
          <t>P38|★</t>
        </is>
      </c>
      <c r="K355" t="inlineStr">
        <is>
          <t>同一価格表・前頁凡例を継承</t>
        </is>
      </c>
      <c r="L355" t="inlineStr">
        <is>
          <t>202604_LIXIL_サーモスＬ_業務用資料集_完成品価格表.pdf</t>
        </is>
      </c>
      <c r="M355" t="inlineStr">
        <is>
          <t>v0.6：同一価格表セクション内で凡例継承を確定。</t>
        </is>
      </c>
      <c r="N355" t="inlineStr">
        <is>
          <t>https://drive.google.com/file/d/1YUN-mtWYs48YBUHJk0C3vJXnhjyZFHyf/view</t>
        </is>
      </c>
    </row>
    <row r="356">
      <c r="A356" s="42" t="inlineStr">
        <is>
          <t>GSC-SL-000353</t>
        </is>
      </c>
      <c r="B356" t="inlineStr">
        <is>
          <t>SZ-SL-000353</t>
        </is>
      </c>
      <c r="C356" t="inlineStr">
        <is>
          <t>WT-SL-SHUTTER-HIKI</t>
        </is>
      </c>
      <c r="D356" t="inlineStr">
        <is>
          <t>SP-SL-SHUT-E-STD</t>
        </is>
      </c>
      <c r="E356" t="inlineStr">
        <is>
          <t>18618</t>
        </is>
      </c>
      <c r="F356" t="b">
        <v>1</v>
      </c>
      <c r="G356" t="n">
        <v>40</v>
      </c>
      <c r="H356" t="inlineStr">
        <is>
          <t>★</t>
        </is>
      </c>
      <c r="I356" t="n">
        <v>40</v>
      </c>
      <c r="J356" t="inlineStr">
        <is>
          <t>P40|★</t>
        </is>
      </c>
      <c r="K356" t="inlineStr">
        <is>
          <t>同頁凡例へ直接連動</t>
        </is>
      </c>
      <c r="L356" t="inlineStr">
        <is>
          <t>202604_LIXIL_サーモスＬ_業務用資料集_完成品価格表.pdf</t>
        </is>
      </c>
      <c r="M356" t="inlineStr">
        <is>
          <t>v0.6：同一価格表セクション内で凡例継承を確定。</t>
        </is>
      </c>
      <c r="N356" t="inlineStr">
        <is>
          <t>https://drive.google.com/file/d/1YUN-mtWYs48YBUHJk0C3vJXnhjyZFHyf/view</t>
        </is>
      </c>
    </row>
    <row r="357">
      <c r="A357" s="42" t="inlineStr">
        <is>
          <t>GSC-SL-000354</t>
        </is>
      </c>
      <c r="B357" t="inlineStr">
        <is>
          <t>SZ-SL-000354</t>
        </is>
      </c>
      <c r="C357" t="inlineStr">
        <is>
          <t>WT-SL-SHUTTER-HIKI</t>
        </is>
      </c>
      <c r="D357" t="inlineStr">
        <is>
          <t>SP-SL-SHUT-E-STD</t>
        </is>
      </c>
      <c r="E357" t="inlineStr">
        <is>
          <t>18620</t>
        </is>
      </c>
      <c r="F357" t="b">
        <v>1</v>
      </c>
      <c r="G357" t="n">
        <v>40</v>
      </c>
      <c r="H357" t="inlineStr">
        <is>
          <t>★</t>
        </is>
      </c>
      <c r="I357" t="n">
        <v>40</v>
      </c>
      <c r="J357" t="inlineStr">
        <is>
          <t>P40|★</t>
        </is>
      </c>
      <c r="K357" t="inlineStr">
        <is>
          <t>同頁凡例へ直接連動</t>
        </is>
      </c>
      <c r="L357" t="inlineStr">
        <is>
          <t>202604_LIXIL_サーモスＬ_業務用資料集_完成品価格表.pdf</t>
        </is>
      </c>
      <c r="M357" t="inlineStr">
        <is>
          <t>v0.6：同一価格表セクション内で凡例継承を確定。</t>
        </is>
      </c>
      <c r="N357" t="inlineStr">
        <is>
          <t>https://drive.google.com/file/d/1YUN-mtWYs48YBUHJk0C3vJXnhjyZFHyf/view</t>
        </is>
      </c>
    </row>
    <row r="358">
      <c r="A358" s="42" t="inlineStr">
        <is>
          <t>GSC-SL-000355</t>
        </is>
      </c>
      <c r="B358" t="inlineStr">
        <is>
          <t>SZ-SL-000355</t>
        </is>
      </c>
      <c r="C358" t="inlineStr">
        <is>
          <t>WT-SL-SHUTTER-HIKI</t>
        </is>
      </c>
      <c r="D358" t="inlineStr">
        <is>
          <t>SP-SL-SHUT-E-STD</t>
        </is>
      </c>
      <c r="E358" t="inlineStr">
        <is>
          <t>25118-2</t>
        </is>
      </c>
      <c r="F358" t="b">
        <v>1</v>
      </c>
      <c r="G358" t="n">
        <v>40</v>
      </c>
      <c r="H358" t="inlineStr">
        <is>
          <t>☆</t>
        </is>
      </c>
      <c r="I358" t="n">
        <v>40</v>
      </c>
      <c r="J358" t="inlineStr">
        <is>
          <t>P40|☆</t>
        </is>
      </c>
      <c r="K358" t="inlineStr">
        <is>
          <t>同頁凡例へ直接連動</t>
        </is>
      </c>
      <c r="L358" t="inlineStr">
        <is>
          <t>202604_LIXIL_サーモスＬ_業務用資料集_完成品価格表.pdf</t>
        </is>
      </c>
      <c r="M358" t="inlineStr">
        <is>
          <t>v0.6：同一価格表セクション内で凡例継承を確定。</t>
        </is>
      </c>
      <c r="N358" t="inlineStr">
        <is>
          <t>https://drive.google.com/file/d/1YUN-mtWYs48YBUHJk0C3vJXnhjyZFHyf/view</t>
        </is>
      </c>
    </row>
    <row r="359">
      <c r="A359" s="42" t="inlineStr">
        <is>
          <t>GSC-SL-000356</t>
        </is>
      </c>
      <c r="B359" t="inlineStr">
        <is>
          <t>SZ-SL-000356</t>
        </is>
      </c>
      <c r="C359" t="inlineStr">
        <is>
          <t>WT-SL-SHUTTER-HIKI</t>
        </is>
      </c>
      <c r="D359" t="inlineStr">
        <is>
          <t>SP-SL-SHUT-E-STD</t>
        </is>
      </c>
      <c r="E359" t="inlineStr">
        <is>
          <t>25118-4</t>
        </is>
      </c>
      <c r="F359" t="b">
        <v>1</v>
      </c>
      <c r="G359" t="n">
        <v>40</v>
      </c>
      <c r="H359" t="inlineStr">
        <is>
          <t>無印</t>
        </is>
      </c>
      <c r="I359" t="n">
        <v>40</v>
      </c>
      <c r="J359" t="inlineStr">
        <is>
          <t>P40|無印</t>
        </is>
      </c>
      <c r="K359" t="inlineStr">
        <is>
          <t>同頁凡例へ直接連動</t>
        </is>
      </c>
      <c r="L359" t="inlineStr">
        <is>
          <t>202604_LIXIL_サーモスＬ_業務用資料集_完成品価格表.pdf</t>
        </is>
      </c>
      <c r="M359" t="inlineStr">
        <is>
          <t>v0.6：同一価格表セクション内で凡例継承を確定。</t>
        </is>
      </c>
      <c r="N359" t="inlineStr">
        <is>
          <t>https://drive.google.com/file/d/1YUN-mtWYs48YBUHJk0C3vJXnhjyZFHyf/view</t>
        </is>
      </c>
    </row>
    <row r="360">
      <c r="A360" s="42" t="inlineStr">
        <is>
          <t>GSC-SL-000357</t>
        </is>
      </c>
      <c r="B360" t="inlineStr">
        <is>
          <t>SZ-SL-000357</t>
        </is>
      </c>
      <c r="C360" t="inlineStr">
        <is>
          <t>WT-SL-SHUTTER-HIKI</t>
        </is>
      </c>
      <c r="D360" t="inlineStr">
        <is>
          <t>SP-SL-SHUT-E-STD</t>
        </is>
      </c>
      <c r="E360" t="inlineStr">
        <is>
          <t>25120-2</t>
        </is>
      </c>
      <c r="F360" t="b">
        <v>1</v>
      </c>
      <c r="G360" t="n">
        <v>40</v>
      </c>
      <c r="H360" t="inlineStr">
        <is>
          <t>◆</t>
        </is>
      </c>
      <c r="I360" t="n">
        <v>40</v>
      </c>
      <c r="J360" t="inlineStr">
        <is>
          <t>P40|◆</t>
        </is>
      </c>
      <c r="K360" t="inlineStr">
        <is>
          <t>同頁凡例へ直接連動</t>
        </is>
      </c>
      <c r="L360" t="inlineStr">
        <is>
          <t>202604_LIXIL_サーモスＬ_業務用資料集_完成品価格表.pdf</t>
        </is>
      </c>
      <c r="M360" t="inlineStr">
        <is>
          <t>v0.6：同一価格表セクション内で凡例継承を確定。</t>
        </is>
      </c>
      <c r="N360" t="inlineStr">
        <is>
          <t>https://drive.google.com/file/d/1YUN-mtWYs48YBUHJk0C3vJXnhjyZFHyf/view</t>
        </is>
      </c>
    </row>
    <row r="361">
      <c r="A361" s="42" t="inlineStr">
        <is>
          <t>GSC-SL-000358</t>
        </is>
      </c>
      <c r="B361" t="inlineStr">
        <is>
          <t>SZ-SL-000358</t>
        </is>
      </c>
      <c r="C361" t="inlineStr">
        <is>
          <t>WT-SL-SHUTTER-HIKI</t>
        </is>
      </c>
      <c r="D361" t="inlineStr">
        <is>
          <t>SP-SL-SHUT-E-STD</t>
        </is>
      </c>
      <c r="E361" t="inlineStr">
        <is>
          <t>25120-4</t>
        </is>
      </c>
      <c r="F361" t="b">
        <v>1</v>
      </c>
      <c r="G361" t="n">
        <v>40</v>
      </c>
      <c r="H361" t="inlineStr">
        <is>
          <t>無印</t>
        </is>
      </c>
      <c r="I361" t="n">
        <v>40</v>
      </c>
      <c r="J361" t="inlineStr">
        <is>
          <t>P40|無印</t>
        </is>
      </c>
      <c r="K361" t="inlineStr">
        <is>
          <t>同頁凡例へ直接連動</t>
        </is>
      </c>
      <c r="L361" t="inlineStr">
        <is>
          <t>202604_LIXIL_サーモスＬ_業務用資料集_完成品価格表.pdf</t>
        </is>
      </c>
      <c r="M361" t="inlineStr">
        <is>
          <t>v0.6：同一価格表セクション内で凡例継承を確定。</t>
        </is>
      </c>
      <c r="N361" t="inlineStr">
        <is>
          <t>https://drive.google.com/file/d/1YUN-mtWYs48YBUHJk0C3vJXnhjyZFHyf/view</t>
        </is>
      </c>
    </row>
    <row r="362">
      <c r="A362" s="42" t="inlineStr">
        <is>
          <t>GSC-SL-000359</t>
        </is>
      </c>
      <c r="B362" t="inlineStr">
        <is>
          <t>SZ-SL-000359</t>
        </is>
      </c>
      <c r="C362" t="inlineStr">
        <is>
          <t>WT-SL-SHUTTER-HIKI</t>
        </is>
      </c>
      <c r="D362" t="inlineStr">
        <is>
          <t>SP-SL-SHUT-E-VENT</t>
        </is>
      </c>
      <c r="E362" t="inlineStr">
        <is>
          <t>18618</t>
        </is>
      </c>
      <c r="F362" t="b">
        <v>1</v>
      </c>
      <c r="G362" t="n">
        <v>40</v>
      </c>
      <c r="H362" t="inlineStr">
        <is>
          <t>★</t>
        </is>
      </c>
      <c r="I362" t="n">
        <v>40</v>
      </c>
      <c r="J362" t="inlineStr">
        <is>
          <t>P40|★</t>
        </is>
      </c>
      <c r="K362" t="inlineStr">
        <is>
          <t>同頁凡例へ直接連動</t>
        </is>
      </c>
      <c r="L362" t="inlineStr">
        <is>
          <t>202604_LIXIL_サーモスＬ_業務用資料集_完成品価格表.pdf</t>
        </is>
      </c>
      <c r="M362" t="inlineStr">
        <is>
          <t>v0.6：同一価格表セクション内で凡例継承を確定。</t>
        </is>
      </c>
      <c r="N362" t="inlineStr">
        <is>
          <t>https://drive.google.com/file/d/1YUN-mtWYs48YBUHJk0C3vJXnhjyZFHyf/view</t>
        </is>
      </c>
    </row>
    <row r="363">
      <c r="A363" s="42" t="inlineStr">
        <is>
          <t>GSC-SL-000360</t>
        </is>
      </c>
      <c r="B363" t="inlineStr">
        <is>
          <t>SZ-SL-000360</t>
        </is>
      </c>
      <c r="C363" t="inlineStr">
        <is>
          <t>WT-SL-SHUTTER-HIKI</t>
        </is>
      </c>
      <c r="D363" t="inlineStr">
        <is>
          <t>SP-SL-SHUT-E-VENT</t>
        </is>
      </c>
      <c r="E363" t="inlineStr">
        <is>
          <t>18620</t>
        </is>
      </c>
      <c r="F363" t="b">
        <v>1</v>
      </c>
      <c r="G363" t="n">
        <v>40</v>
      </c>
      <c r="H363" t="inlineStr">
        <is>
          <t>★</t>
        </is>
      </c>
      <c r="I363" t="n">
        <v>40</v>
      </c>
      <c r="J363" t="inlineStr">
        <is>
          <t>P40|★</t>
        </is>
      </c>
      <c r="K363" t="inlineStr">
        <is>
          <t>同頁凡例へ直接連動</t>
        </is>
      </c>
      <c r="L363" t="inlineStr">
        <is>
          <t>202604_LIXIL_サーモスＬ_業務用資料集_完成品価格表.pdf</t>
        </is>
      </c>
      <c r="M363" t="inlineStr">
        <is>
          <t>v0.6：同一価格表セクション内で凡例継承を確定。</t>
        </is>
      </c>
      <c r="N363" t="inlineStr">
        <is>
          <t>https://drive.google.com/file/d/1YUN-mtWYs48YBUHJk0C3vJXnhjyZFHyf/view</t>
        </is>
      </c>
    </row>
    <row r="364">
      <c r="A364" s="42" t="inlineStr">
        <is>
          <t>GSC-SL-000361</t>
        </is>
      </c>
      <c r="B364" t="inlineStr">
        <is>
          <t>SZ-SL-000361</t>
        </is>
      </c>
      <c r="C364" t="inlineStr">
        <is>
          <t>WT-SL-SHUTTER-HIKI</t>
        </is>
      </c>
      <c r="D364" t="inlineStr">
        <is>
          <t>SP-SL-SHUT-E-VENT</t>
        </is>
      </c>
      <c r="E364" t="inlineStr">
        <is>
          <t>25118-2</t>
        </is>
      </c>
      <c r="F364" t="b">
        <v>1</v>
      </c>
      <c r="G364" t="n">
        <v>40</v>
      </c>
      <c r="H364" t="inlineStr">
        <is>
          <t>☆</t>
        </is>
      </c>
      <c r="I364" t="n">
        <v>40</v>
      </c>
      <c r="J364" t="inlineStr">
        <is>
          <t>P40|☆</t>
        </is>
      </c>
      <c r="K364" t="inlineStr">
        <is>
          <t>同頁凡例へ直接連動</t>
        </is>
      </c>
      <c r="L364" t="inlineStr">
        <is>
          <t>202604_LIXIL_サーモスＬ_業務用資料集_完成品価格表.pdf</t>
        </is>
      </c>
      <c r="M364" t="inlineStr">
        <is>
          <t>v0.6：同一価格表セクション内で凡例継承を確定。</t>
        </is>
      </c>
      <c r="N364" t="inlineStr">
        <is>
          <t>https://drive.google.com/file/d/1YUN-mtWYs48YBUHJk0C3vJXnhjyZFHyf/view</t>
        </is>
      </c>
    </row>
    <row r="365">
      <c r="A365" s="42" t="inlineStr">
        <is>
          <t>GSC-SL-000362</t>
        </is>
      </c>
      <c r="B365" t="inlineStr">
        <is>
          <t>SZ-SL-000362</t>
        </is>
      </c>
      <c r="C365" t="inlineStr">
        <is>
          <t>WT-SL-SHUTTER-HIKI</t>
        </is>
      </c>
      <c r="D365" t="inlineStr">
        <is>
          <t>SP-SL-SHUT-E-VENT</t>
        </is>
      </c>
      <c r="E365" t="inlineStr">
        <is>
          <t>25118-4</t>
        </is>
      </c>
      <c r="F365" t="b">
        <v>1</v>
      </c>
      <c r="G365" t="n">
        <v>40</v>
      </c>
      <c r="H365" t="inlineStr">
        <is>
          <t>無印</t>
        </is>
      </c>
      <c r="I365" t="n">
        <v>40</v>
      </c>
      <c r="J365" t="inlineStr">
        <is>
          <t>P40|無印</t>
        </is>
      </c>
      <c r="K365" t="inlineStr">
        <is>
          <t>同頁凡例へ直接連動</t>
        </is>
      </c>
      <c r="L365" t="inlineStr">
        <is>
          <t>202604_LIXIL_サーモスＬ_業務用資料集_完成品価格表.pdf</t>
        </is>
      </c>
      <c r="M365" t="inlineStr">
        <is>
          <t>v0.6：同一価格表セクション内で凡例継承を確定。</t>
        </is>
      </c>
      <c r="N365" t="inlineStr">
        <is>
          <t>https://drive.google.com/file/d/1YUN-mtWYs48YBUHJk0C3vJXnhjyZFHyf/view</t>
        </is>
      </c>
    </row>
    <row r="366">
      <c r="A366" s="42" t="inlineStr">
        <is>
          <t>GSC-SL-000363</t>
        </is>
      </c>
      <c r="B366" t="inlineStr">
        <is>
          <t>SZ-SL-000363</t>
        </is>
      </c>
      <c r="C366" t="inlineStr">
        <is>
          <t>WT-SL-SHUTTER-HIKI</t>
        </is>
      </c>
      <c r="D366" t="inlineStr">
        <is>
          <t>SP-SL-SHUT-E-VENT</t>
        </is>
      </c>
      <c r="E366" t="inlineStr">
        <is>
          <t>25120-2</t>
        </is>
      </c>
      <c r="F366" t="b">
        <v>1</v>
      </c>
      <c r="G366" t="n">
        <v>40</v>
      </c>
      <c r="H366" t="inlineStr">
        <is>
          <t>◆</t>
        </is>
      </c>
      <c r="I366" t="n">
        <v>40</v>
      </c>
      <c r="J366" t="inlineStr">
        <is>
          <t>P40|◆</t>
        </is>
      </c>
      <c r="K366" t="inlineStr">
        <is>
          <t>同頁凡例へ直接連動</t>
        </is>
      </c>
      <c r="L366" t="inlineStr">
        <is>
          <t>202604_LIXIL_サーモスＬ_業務用資料集_完成品価格表.pdf</t>
        </is>
      </c>
      <c r="M366" t="inlineStr">
        <is>
          <t>v0.6：同一価格表セクション内で凡例継承を確定。</t>
        </is>
      </c>
      <c r="N366" t="inlineStr">
        <is>
          <t>https://drive.google.com/file/d/1YUN-mtWYs48YBUHJk0C3vJXnhjyZFHyf/view</t>
        </is>
      </c>
    </row>
    <row r="367">
      <c r="A367" s="42" t="inlineStr">
        <is>
          <t>GSC-SL-000364</t>
        </is>
      </c>
      <c r="B367" t="inlineStr">
        <is>
          <t>SZ-SL-000364</t>
        </is>
      </c>
      <c r="C367" t="inlineStr">
        <is>
          <t>WT-SL-SHUTTER-HIKI</t>
        </is>
      </c>
      <c r="D367" t="inlineStr">
        <is>
          <t>SP-SL-SHUT-E-VENT</t>
        </is>
      </c>
      <c r="E367" t="inlineStr">
        <is>
          <t>25120-4</t>
        </is>
      </c>
      <c r="F367" t="b">
        <v>1</v>
      </c>
      <c r="G367" t="n">
        <v>40</v>
      </c>
      <c r="H367" t="inlineStr">
        <is>
          <t>無印</t>
        </is>
      </c>
      <c r="I367" t="n">
        <v>40</v>
      </c>
      <c r="J367" t="inlineStr">
        <is>
          <t>P40|無印</t>
        </is>
      </c>
      <c r="K367" t="inlineStr">
        <is>
          <t>同頁凡例へ直接連動</t>
        </is>
      </c>
      <c r="L367" t="inlineStr">
        <is>
          <t>202604_LIXIL_サーモスＬ_業務用資料集_完成品価格表.pdf</t>
        </is>
      </c>
      <c r="M367" t="inlineStr">
        <is>
          <t>v0.6：同一価格表セクション内で凡例継承を確定。</t>
        </is>
      </c>
      <c r="N367" t="inlineStr">
        <is>
          <t>https://drive.google.com/file/d/1YUN-mtWYs48YBUHJk0C3vJXnhjyZFHyf/view</t>
        </is>
      </c>
    </row>
    <row r="368">
      <c r="A368" s="42" t="inlineStr">
        <is>
          <t>GSC-SL-000365</t>
        </is>
      </c>
      <c r="B368" t="inlineStr">
        <is>
          <t>SZ-SL-000365</t>
        </is>
      </c>
      <c r="C368" t="inlineStr">
        <is>
          <t>WT-SL-SHUTTER-HIKI</t>
        </is>
      </c>
      <c r="D368" t="inlineStr">
        <is>
          <t>SP-SL-SHUT-E-WIND</t>
        </is>
      </c>
      <c r="E368" t="inlineStr">
        <is>
          <t>18618</t>
        </is>
      </c>
      <c r="F368" t="b">
        <v>0</v>
      </c>
      <c r="G368" t="n">
        <v>40</v>
      </c>
      <c r="H368" t="inlineStr">
        <is>
          <t>★</t>
        </is>
      </c>
      <c r="I368" t="n">
        <v>40</v>
      </c>
      <c r="J368" t="inlineStr">
        <is>
          <t>P40|★</t>
        </is>
      </c>
      <c r="K368" t="inlineStr">
        <is>
          <t>同頁凡例へ直接連動</t>
        </is>
      </c>
      <c r="L368" t="inlineStr">
        <is>
          <t>202604_LIXIL_サーモスＬ_業務用資料集_完成品価格表.pdf</t>
        </is>
      </c>
      <c r="M368" t="inlineStr">
        <is>
          <t>v0.6：同一価格表セクション内で凡例継承を確定。</t>
        </is>
      </c>
      <c r="N368" t="inlineStr">
        <is>
          <t>https://drive.google.com/file/d/1YUN-mtWYs48YBUHJk0C3vJXnhjyZFHyf/view</t>
        </is>
      </c>
    </row>
    <row r="369">
      <c r="A369" s="42" t="inlineStr">
        <is>
          <t>GSC-SL-000366</t>
        </is>
      </c>
      <c r="B369" t="inlineStr">
        <is>
          <t>SZ-SL-000366</t>
        </is>
      </c>
      <c r="C369" t="inlineStr">
        <is>
          <t>WT-SL-SHUTTER-HIKI</t>
        </is>
      </c>
      <c r="D369" t="inlineStr">
        <is>
          <t>SP-SL-SHUT-E-WIND</t>
        </is>
      </c>
      <c r="E369" t="inlineStr">
        <is>
          <t>18620</t>
        </is>
      </c>
      <c r="F369" t="b">
        <v>0</v>
      </c>
      <c r="G369" t="n">
        <v>40</v>
      </c>
      <c r="H369" t="inlineStr">
        <is>
          <t>★</t>
        </is>
      </c>
      <c r="I369" t="n">
        <v>40</v>
      </c>
      <c r="J369" t="inlineStr">
        <is>
          <t>P40|★</t>
        </is>
      </c>
      <c r="K369" t="inlineStr">
        <is>
          <t>同頁凡例へ直接連動</t>
        </is>
      </c>
      <c r="L369" t="inlineStr">
        <is>
          <t>202604_LIXIL_サーモスＬ_業務用資料集_完成品価格表.pdf</t>
        </is>
      </c>
      <c r="M369" t="inlineStr">
        <is>
          <t>v0.6：同一価格表セクション内で凡例継承を確定。</t>
        </is>
      </c>
      <c r="N369" t="inlineStr">
        <is>
          <t>https://drive.google.com/file/d/1YUN-mtWYs48YBUHJk0C3vJXnhjyZFHyf/view</t>
        </is>
      </c>
    </row>
    <row r="370">
      <c r="A370" s="42" t="inlineStr">
        <is>
          <t>GSC-SL-000367</t>
        </is>
      </c>
      <c r="B370" t="inlineStr">
        <is>
          <t>SZ-SL-000367</t>
        </is>
      </c>
      <c r="C370" t="inlineStr">
        <is>
          <t>WT-SL-SHUTTER-HIKI</t>
        </is>
      </c>
      <c r="D370" t="inlineStr">
        <is>
          <t>SP-SL-SHUT-E-WIND</t>
        </is>
      </c>
      <c r="E370" t="inlineStr">
        <is>
          <t>25118-2</t>
        </is>
      </c>
      <c r="F370" t="b">
        <v>1</v>
      </c>
      <c r="G370" t="n">
        <v>40</v>
      </c>
      <c r="H370" t="inlineStr">
        <is>
          <t>☆</t>
        </is>
      </c>
      <c r="I370" t="n">
        <v>40</v>
      </c>
      <c r="J370" t="inlineStr">
        <is>
          <t>P40|☆</t>
        </is>
      </c>
      <c r="K370" t="inlineStr">
        <is>
          <t>同頁凡例へ直接連動</t>
        </is>
      </c>
      <c r="L370" t="inlineStr">
        <is>
          <t>202604_LIXIL_サーモスＬ_業務用資料集_完成品価格表.pdf</t>
        </is>
      </c>
      <c r="M370" t="inlineStr">
        <is>
          <t>v0.6：同一価格表セクション内で凡例継承を確定。</t>
        </is>
      </c>
      <c r="N370" t="inlineStr">
        <is>
          <t>https://drive.google.com/file/d/1YUN-mtWYs48YBUHJk0C3vJXnhjyZFHyf/view</t>
        </is>
      </c>
    </row>
    <row r="371">
      <c r="A371" s="42" t="inlineStr">
        <is>
          <t>GSC-SL-000368</t>
        </is>
      </c>
      <c r="B371" t="inlineStr">
        <is>
          <t>SZ-SL-000368</t>
        </is>
      </c>
      <c r="C371" t="inlineStr">
        <is>
          <t>WT-SL-SHUTTER-HIKI</t>
        </is>
      </c>
      <c r="D371" t="inlineStr">
        <is>
          <t>SP-SL-SHUT-E-WIND</t>
        </is>
      </c>
      <c r="E371" t="inlineStr">
        <is>
          <t>25118-4</t>
        </is>
      </c>
      <c r="F371" t="b">
        <v>1</v>
      </c>
      <c r="G371" t="n">
        <v>40</v>
      </c>
      <c r="H371" t="inlineStr">
        <is>
          <t>無印</t>
        </is>
      </c>
      <c r="I371" t="n">
        <v>40</v>
      </c>
      <c r="J371" t="inlineStr">
        <is>
          <t>P40|無印</t>
        </is>
      </c>
      <c r="K371" t="inlineStr">
        <is>
          <t>同頁凡例へ直接連動</t>
        </is>
      </c>
      <c r="L371" t="inlineStr">
        <is>
          <t>202604_LIXIL_サーモスＬ_業務用資料集_完成品価格表.pdf</t>
        </is>
      </c>
      <c r="M371" t="inlineStr">
        <is>
          <t>v0.6：同一価格表セクション内で凡例継承を確定。</t>
        </is>
      </c>
      <c r="N371" t="inlineStr">
        <is>
          <t>https://drive.google.com/file/d/1YUN-mtWYs48YBUHJk0C3vJXnhjyZFHyf/view</t>
        </is>
      </c>
    </row>
    <row r="372">
      <c r="A372" s="42" t="inlineStr">
        <is>
          <t>GSC-SL-000369</t>
        </is>
      </c>
      <c r="B372" t="inlineStr">
        <is>
          <t>SZ-SL-000369</t>
        </is>
      </c>
      <c r="C372" t="inlineStr">
        <is>
          <t>WT-SL-SHUTTER-HIKI</t>
        </is>
      </c>
      <c r="D372" t="inlineStr">
        <is>
          <t>SP-SL-SHUT-E-WIND</t>
        </is>
      </c>
      <c r="E372" t="inlineStr">
        <is>
          <t>25120-2</t>
        </is>
      </c>
      <c r="F372" t="b">
        <v>1</v>
      </c>
      <c r="G372" t="n">
        <v>40</v>
      </c>
      <c r="H372" t="inlineStr">
        <is>
          <t>◆</t>
        </is>
      </c>
      <c r="I372" t="n">
        <v>40</v>
      </c>
      <c r="J372" t="inlineStr">
        <is>
          <t>P40|◆</t>
        </is>
      </c>
      <c r="K372" t="inlineStr">
        <is>
          <t>同頁凡例へ直接連動</t>
        </is>
      </c>
      <c r="L372" t="inlineStr">
        <is>
          <t>202604_LIXIL_サーモスＬ_業務用資料集_完成品価格表.pdf</t>
        </is>
      </c>
      <c r="M372" t="inlineStr">
        <is>
          <t>v0.6：同一価格表セクション内で凡例継承を確定。</t>
        </is>
      </c>
      <c r="N372" t="inlineStr">
        <is>
          <t>https://drive.google.com/file/d/1YUN-mtWYs48YBUHJk0C3vJXnhjyZFHyf/view</t>
        </is>
      </c>
    </row>
    <row r="373">
      <c r="A373" s="42" t="inlineStr">
        <is>
          <t>GSC-SL-000370</t>
        </is>
      </c>
      <c r="B373" t="inlineStr">
        <is>
          <t>SZ-SL-000370</t>
        </is>
      </c>
      <c r="C373" t="inlineStr">
        <is>
          <t>WT-SL-SHUTTER-HIKI</t>
        </is>
      </c>
      <c r="D373" t="inlineStr">
        <is>
          <t>SP-SL-SHUT-E-WIND</t>
        </is>
      </c>
      <c r="E373" t="inlineStr">
        <is>
          <t>25120-4</t>
        </is>
      </c>
      <c r="F373" t="b">
        <v>1</v>
      </c>
      <c r="G373" t="n">
        <v>40</v>
      </c>
      <c r="H373" t="inlineStr">
        <is>
          <t>無印</t>
        </is>
      </c>
      <c r="I373" t="n">
        <v>40</v>
      </c>
      <c r="J373" t="inlineStr">
        <is>
          <t>P40|無印</t>
        </is>
      </c>
      <c r="K373" t="inlineStr">
        <is>
          <t>同頁凡例へ直接連動</t>
        </is>
      </c>
      <c r="L373" t="inlineStr">
        <is>
          <t>202604_LIXIL_サーモスＬ_業務用資料集_完成品価格表.pdf</t>
        </is>
      </c>
      <c r="M373" t="inlineStr">
        <is>
          <t>v0.6：同一価格表セクション内で凡例継承を確定。</t>
        </is>
      </c>
      <c r="N373" t="inlineStr">
        <is>
          <t>https://drive.google.com/file/d/1YUN-mtWYs48YBUHJk0C3vJXnhjyZFHyf/view</t>
        </is>
      </c>
    </row>
    <row r="374">
      <c r="A374" s="42" t="inlineStr">
        <is>
          <t>GSC-SL-000371</t>
        </is>
      </c>
      <c r="B374" t="inlineStr">
        <is>
          <t>SZ-SL-000371</t>
        </is>
      </c>
      <c r="C374" t="inlineStr">
        <is>
          <t>WT-SL-SHUTTER-HIKI</t>
        </is>
      </c>
      <c r="D374" t="inlineStr">
        <is>
          <t>SP-SL-SHUT-E-STD</t>
        </is>
      </c>
      <c r="E374" t="inlineStr">
        <is>
          <t>25618-2</t>
        </is>
      </c>
      <c r="F374" t="b">
        <v>1</v>
      </c>
      <c r="G374" t="n">
        <v>41</v>
      </c>
      <c r="H374" t="inlineStr">
        <is>
          <t>◆</t>
        </is>
      </c>
      <c r="I374" t="n">
        <v>40</v>
      </c>
      <c r="J374" t="inlineStr">
        <is>
          <t>P40|◆</t>
        </is>
      </c>
      <c r="K374" t="inlineStr">
        <is>
          <t>同一価格表・前頁凡例を継承</t>
        </is>
      </c>
      <c r="L374" t="inlineStr">
        <is>
          <t>202604_LIXIL_サーモスＬ_業務用資料集_完成品価格表.pdf</t>
        </is>
      </c>
      <c r="M374" t="inlineStr">
        <is>
          <t>v0.6：同一価格表セクション内で凡例継承を確定。</t>
        </is>
      </c>
      <c r="N374" t="inlineStr">
        <is>
          <t>https://drive.google.com/file/d/1YUN-mtWYs48YBUHJk0C3vJXnhjyZFHyf/view</t>
        </is>
      </c>
    </row>
    <row r="375">
      <c r="A375" s="42" t="inlineStr">
        <is>
          <t>GSC-SL-000372</t>
        </is>
      </c>
      <c r="B375" t="inlineStr">
        <is>
          <t>SZ-SL-000372</t>
        </is>
      </c>
      <c r="C375" t="inlineStr">
        <is>
          <t>WT-SL-SHUTTER-HIKI</t>
        </is>
      </c>
      <c r="D375" t="inlineStr">
        <is>
          <t>SP-SL-SHUT-E-STD</t>
        </is>
      </c>
      <c r="E375" t="inlineStr">
        <is>
          <t>25618-4</t>
        </is>
      </c>
      <c r="F375" t="b">
        <v>1</v>
      </c>
      <c r="G375" t="n">
        <v>41</v>
      </c>
      <c r="H375" t="inlineStr">
        <is>
          <t>無印</t>
        </is>
      </c>
      <c r="I375" t="n">
        <v>40</v>
      </c>
      <c r="J375" t="inlineStr">
        <is>
          <t>P40|無印</t>
        </is>
      </c>
      <c r="K375" t="inlineStr">
        <is>
          <t>同一価格表・前頁凡例を継承</t>
        </is>
      </c>
      <c r="L375" t="inlineStr">
        <is>
          <t>202604_LIXIL_サーモスＬ_業務用資料集_完成品価格表.pdf</t>
        </is>
      </c>
      <c r="M375" t="inlineStr">
        <is>
          <t>v0.6：同一価格表セクション内で凡例継承を確定。</t>
        </is>
      </c>
      <c r="N375" t="inlineStr">
        <is>
          <t>https://drive.google.com/file/d/1YUN-mtWYs48YBUHJk0C3vJXnhjyZFHyf/view</t>
        </is>
      </c>
    </row>
    <row r="376">
      <c r="A376" s="42" t="inlineStr">
        <is>
          <t>GSC-SL-000373</t>
        </is>
      </c>
      <c r="B376" t="inlineStr">
        <is>
          <t>SZ-SL-000373</t>
        </is>
      </c>
      <c r="C376" t="inlineStr">
        <is>
          <t>WT-SL-SHUTTER-HIKI</t>
        </is>
      </c>
      <c r="D376" t="inlineStr">
        <is>
          <t>SP-SL-SHUT-E-STD</t>
        </is>
      </c>
      <c r="E376" t="inlineStr">
        <is>
          <t>25620-2</t>
        </is>
      </c>
      <c r="F376" t="b">
        <v>1</v>
      </c>
      <c r="G376" t="n">
        <v>41</v>
      </c>
      <c r="H376" t="inlineStr">
        <is>
          <t>◆</t>
        </is>
      </c>
      <c r="I376" t="n">
        <v>40</v>
      </c>
      <c r="J376" t="inlineStr">
        <is>
          <t>P40|◆</t>
        </is>
      </c>
      <c r="K376" t="inlineStr">
        <is>
          <t>同一価格表・前頁凡例を継承</t>
        </is>
      </c>
      <c r="L376" t="inlineStr">
        <is>
          <t>202604_LIXIL_サーモスＬ_業務用資料集_完成品価格表.pdf</t>
        </is>
      </c>
      <c r="M376" t="inlineStr">
        <is>
          <t>v0.6：同一価格表セクション内で凡例継承を確定。</t>
        </is>
      </c>
      <c r="N376" t="inlineStr">
        <is>
          <t>https://drive.google.com/file/d/1YUN-mtWYs48YBUHJk0C3vJXnhjyZFHyf/view</t>
        </is>
      </c>
    </row>
    <row r="377">
      <c r="A377" s="42" t="inlineStr">
        <is>
          <t>GSC-SL-000374</t>
        </is>
      </c>
      <c r="B377" t="inlineStr">
        <is>
          <t>SZ-SL-000374</t>
        </is>
      </c>
      <c r="C377" t="inlineStr">
        <is>
          <t>WT-SL-SHUTTER-HIKI</t>
        </is>
      </c>
      <c r="D377" t="inlineStr">
        <is>
          <t>SP-SL-SHUT-E-STD</t>
        </is>
      </c>
      <c r="E377" t="inlineStr">
        <is>
          <t>25620-4</t>
        </is>
      </c>
      <c r="F377" t="b">
        <v>1</v>
      </c>
      <c r="G377" t="n">
        <v>41</v>
      </c>
      <c r="H377" t="inlineStr">
        <is>
          <t>無印</t>
        </is>
      </c>
      <c r="I377" t="n">
        <v>40</v>
      </c>
      <c r="J377" t="inlineStr">
        <is>
          <t>P40|無印</t>
        </is>
      </c>
      <c r="K377" t="inlineStr">
        <is>
          <t>同一価格表・前頁凡例を継承</t>
        </is>
      </c>
      <c r="L377" t="inlineStr">
        <is>
          <t>202604_LIXIL_サーモスＬ_業務用資料集_完成品価格表.pdf</t>
        </is>
      </c>
      <c r="M377" t="inlineStr">
        <is>
          <t>v0.6：同一価格表セクション内で凡例継承を確定。</t>
        </is>
      </c>
      <c r="N377" t="inlineStr">
        <is>
          <t>https://drive.google.com/file/d/1YUN-mtWYs48YBUHJk0C3vJXnhjyZFHyf/view</t>
        </is>
      </c>
    </row>
    <row r="378">
      <c r="A378" s="42" t="inlineStr">
        <is>
          <t>GSC-SL-000375</t>
        </is>
      </c>
      <c r="B378" t="inlineStr">
        <is>
          <t>SZ-SL-000375</t>
        </is>
      </c>
      <c r="C378" t="inlineStr">
        <is>
          <t>WT-SL-SHUTTER-HIKI</t>
        </is>
      </c>
      <c r="D378" t="inlineStr">
        <is>
          <t>SP-SL-SHUT-E-STD</t>
        </is>
      </c>
      <c r="E378" t="inlineStr">
        <is>
          <t>34718</t>
        </is>
      </c>
      <c r="F378" t="b">
        <v>1</v>
      </c>
      <c r="G378" t="n">
        <v>41</v>
      </c>
      <c r="H378" t="inlineStr">
        <is>
          <t>無印</t>
        </is>
      </c>
      <c r="I378" t="n">
        <v>40</v>
      </c>
      <c r="J378" t="inlineStr">
        <is>
          <t>P40|無印</t>
        </is>
      </c>
      <c r="K378" t="inlineStr">
        <is>
          <t>同一価格表・前頁凡例を継承</t>
        </is>
      </c>
      <c r="L378" t="inlineStr">
        <is>
          <t>202604_LIXIL_サーモスＬ_業務用資料集_完成品価格表.pdf</t>
        </is>
      </c>
      <c r="M378" t="inlineStr">
        <is>
          <t>v0.6：同一価格表セクション内で凡例継承を確定。</t>
        </is>
      </c>
      <c r="N378" t="inlineStr">
        <is>
          <t>https://drive.google.com/file/d/1YUN-mtWYs48YBUHJk0C3vJXnhjyZFHyf/view</t>
        </is>
      </c>
    </row>
    <row r="379">
      <c r="A379" s="42" t="inlineStr">
        <is>
          <t>GSC-SL-000376</t>
        </is>
      </c>
      <c r="B379" t="inlineStr">
        <is>
          <t>SZ-SL-000376</t>
        </is>
      </c>
      <c r="C379" t="inlineStr">
        <is>
          <t>WT-SL-SHUTTER-HIKI</t>
        </is>
      </c>
      <c r="D379" t="inlineStr">
        <is>
          <t>SP-SL-SHUT-E-STD</t>
        </is>
      </c>
      <c r="E379" t="inlineStr">
        <is>
          <t>34720</t>
        </is>
      </c>
      <c r="F379" t="b">
        <v>1</v>
      </c>
      <c r="G379" t="n">
        <v>41</v>
      </c>
      <c r="H379" t="inlineStr">
        <is>
          <t>★</t>
        </is>
      </c>
      <c r="I379" t="n">
        <v>40</v>
      </c>
      <c r="J379" t="inlineStr">
        <is>
          <t>P40|★</t>
        </is>
      </c>
      <c r="K379" t="inlineStr">
        <is>
          <t>同一価格表・前頁凡例を継承</t>
        </is>
      </c>
      <c r="L379" t="inlineStr">
        <is>
          <t>202604_LIXIL_サーモスＬ_業務用資料集_完成品価格表.pdf</t>
        </is>
      </c>
      <c r="M379" t="inlineStr">
        <is>
          <t>v0.6：同一価格表セクション内で凡例継承を確定。</t>
        </is>
      </c>
      <c r="N379" t="inlineStr">
        <is>
          <t>https://drive.google.com/file/d/1YUN-mtWYs48YBUHJk0C3vJXnhjyZFHyf/view</t>
        </is>
      </c>
    </row>
    <row r="380">
      <c r="A380" s="42" t="inlineStr">
        <is>
          <t>GSC-SL-000377</t>
        </is>
      </c>
      <c r="B380" t="inlineStr">
        <is>
          <t>SZ-SL-000377</t>
        </is>
      </c>
      <c r="C380" t="inlineStr">
        <is>
          <t>WT-SL-SHUTTER-HIKI</t>
        </is>
      </c>
      <c r="D380" t="inlineStr">
        <is>
          <t>SP-SL-SHUT-E-VENT</t>
        </is>
      </c>
      <c r="E380" t="inlineStr">
        <is>
          <t>25618-2</t>
        </is>
      </c>
      <c r="F380" t="b">
        <v>1</v>
      </c>
      <c r="G380" t="n">
        <v>41</v>
      </c>
      <c r="H380" t="inlineStr">
        <is>
          <t>◆</t>
        </is>
      </c>
      <c r="I380" t="n">
        <v>40</v>
      </c>
      <c r="J380" t="inlineStr">
        <is>
          <t>P40|◆</t>
        </is>
      </c>
      <c r="K380" t="inlineStr">
        <is>
          <t>同一価格表・前頁凡例を継承</t>
        </is>
      </c>
      <c r="L380" t="inlineStr">
        <is>
          <t>202604_LIXIL_サーモスＬ_業務用資料集_完成品価格表.pdf</t>
        </is>
      </c>
      <c r="M380" t="inlineStr">
        <is>
          <t>v0.6：同一価格表セクション内で凡例継承を確定。</t>
        </is>
      </c>
      <c r="N380" t="inlineStr">
        <is>
          <t>https://drive.google.com/file/d/1YUN-mtWYs48YBUHJk0C3vJXnhjyZFHyf/view</t>
        </is>
      </c>
    </row>
    <row r="381">
      <c r="A381" s="42" t="inlineStr">
        <is>
          <t>GSC-SL-000378</t>
        </is>
      </c>
      <c r="B381" t="inlineStr">
        <is>
          <t>SZ-SL-000378</t>
        </is>
      </c>
      <c r="C381" t="inlineStr">
        <is>
          <t>WT-SL-SHUTTER-HIKI</t>
        </is>
      </c>
      <c r="D381" t="inlineStr">
        <is>
          <t>SP-SL-SHUT-E-VENT</t>
        </is>
      </c>
      <c r="E381" t="inlineStr">
        <is>
          <t>25618-4</t>
        </is>
      </c>
      <c r="F381" t="b">
        <v>1</v>
      </c>
      <c r="G381" t="n">
        <v>41</v>
      </c>
      <c r="H381" t="inlineStr">
        <is>
          <t>無印</t>
        </is>
      </c>
      <c r="I381" t="n">
        <v>40</v>
      </c>
      <c r="J381" t="inlineStr">
        <is>
          <t>P40|無印</t>
        </is>
      </c>
      <c r="K381" t="inlineStr">
        <is>
          <t>同一価格表・前頁凡例を継承</t>
        </is>
      </c>
      <c r="L381" t="inlineStr">
        <is>
          <t>202604_LIXIL_サーモスＬ_業務用資料集_完成品価格表.pdf</t>
        </is>
      </c>
      <c r="M381" t="inlineStr">
        <is>
          <t>v0.6：同一価格表セクション内で凡例継承を確定。</t>
        </is>
      </c>
      <c r="N381" t="inlineStr">
        <is>
          <t>https://drive.google.com/file/d/1YUN-mtWYs48YBUHJk0C3vJXnhjyZFHyf/view</t>
        </is>
      </c>
    </row>
    <row r="382">
      <c r="A382" s="42" t="inlineStr">
        <is>
          <t>GSC-SL-000379</t>
        </is>
      </c>
      <c r="B382" t="inlineStr">
        <is>
          <t>SZ-SL-000379</t>
        </is>
      </c>
      <c r="C382" t="inlineStr">
        <is>
          <t>WT-SL-SHUTTER-HIKI</t>
        </is>
      </c>
      <c r="D382" t="inlineStr">
        <is>
          <t>SP-SL-SHUT-E-VENT</t>
        </is>
      </c>
      <c r="E382" t="inlineStr">
        <is>
          <t>25620-2</t>
        </is>
      </c>
      <c r="F382" t="b">
        <v>1</v>
      </c>
      <c r="G382" t="n">
        <v>41</v>
      </c>
      <c r="H382" t="inlineStr">
        <is>
          <t>◆</t>
        </is>
      </c>
      <c r="I382" t="n">
        <v>40</v>
      </c>
      <c r="J382" t="inlineStr">
        <is>
          <t>P40|◆</t>
        </is>
      </c>
      <c r="K382" t="inlineStr">
        <is>
          <t>同一価格表・前頁凡例を継承</t>
        </is>
      </c>
      <c r="L382" t="inlineStr">
        <is>
          <t>202604_LIXIL_サーモスＬ_業務用資料集_完成品価格表.pdf</t>
        </is>
      </c>
      <c r="M382" t="inlineStr">
        <is>
          <t>v0.6：同一価格表セクション内で凡例継承を確定。</t>
        </is>
      </c>
      <c r="N382" t="inlineStr">
        <is>
          <t>https://drive.google.com/file/d/1YUN-mtWYs48YBUHJk0C3vJXnhjyZFHyf/view</t>
        </is>
      </c>
    </row>
    <row r="383">
      <c r="A383" s="42" t="inlineStr">
        <is>
          <t>GSC-SL-000380</t>
        </is>
      </c>
      <c r="B383" t="inlineStr">
        <is>
          <t>SZ-SL-000380</t>
        </is>
      </c>
      <c r="C383" t="inlineStr">
        <is>
          <t>WT-SL-SHUTTER-HIKI</t>
        </is>
      </c>
      <c r="D383" t="inlineStr">
        <is>
          <t>SP-SL-SHUT-E-VENT</t>
        </is>
      </c>
      <c r="E383" t="inlineStr">
        <is>
          <t>25620-4</t>
        </is>
      </c>
      <c r="F383" t="b">
        <v>1</v>
      </c>
      <c r="G383" t="n">
        <v>41</v>
      </c>
      <c r="H383" t="inlineStr">
        <is>
          <t>無印</t>
        </is>
      </c>
      <c r="I383" t="n">
        <v>40</v>
      </c>
      <c r="J383" t="inlineStr">
        <is>
          <t>P40|無印</t>
        </is>
      </c>
      <c r="K383" t="inlineStr">
        <is>
          <t>同一価格表・前頁凡例を継承</t>
        </is>
      </c>
      <c r="L383" t="inlineStr">
        <is>
          <t>202604_LIXIL_サーモスＬ_業務用資料集_完成品価格表.pdf</t>
        </is>
      </c>
      <c r="M383" t="inlineStr">
        <is>
          <t>v0.6：同一価格表セクション内で凡例継承を確定。</t>
        </is>
      </c>
      <c r="N383" t="inlineStr">
        <is>
          <t>https://drive.google.com/file/d/1YUN-mtWYs48YBUHJk0C3vJXnhjyZFHyf/view</t>
        </is>
      </c>
    </row>
    <row r="384">
      <c r="A384" s="42" t="inlineStr">
        <is>
          <t>GSC-SL-000381</t>
        </is>
      </c>
      <c r="B384" t="inlineStr">
        <is>
          <t>SZ-SL-000381</t>
        </is>
      </c>
      <c r="C384" t="inlineStr">
        <is>
          <t>WT-SL-SHUTTER-HIKI</t>
        </is>
      </c>
      <c r="D384" t="inlineStr">
        <is>
          <t>SP-SL-SHUT-E-VENT</t>
        </is>
      </c>
      <c r="E384" t="inlineStr">
        <is>
          <t>34718</t>
        </is>
      </c>
      <c r="F384" t="b">
        <v>1</v>
      </c>
      <c r="G384" t="n">
        <v>41</v>
      </c>
      <c r="H384" t="inlineStr">
        <is>
          <t>無印</t>
        </is>
      </c>
      <c r="I384" t="n">
        <v>40</v>
      </c>
      <c r="J384" t="inlineStr">
        <is>
          <t>P40|無印</t>
        </is>
      </c>
      <c r="K384" t="inlineStr">
        <is>
          <t>同一価格表・前頁凡例を継承</t>
        </is>
      </c>
      <c r="L384" t="inlineStr">
        <is>
          <t>202604_LIXIL_サーモスＬ_業務用資料集_完成品価格表.pdf</t>
        </is>
      </c>
      <c r="M384" t="inlineStr">
        <is>
          <t>v0.6：同一価格表セクション内で凡例継承を確定。</t>
        </is>
      </c>
      <c r="N384" t="inlineStr">
        <is>
          <t>https://drive.google.com/file/d/1YUN-mtWYs48YBUHJk0C3vJXnhjyZFHyf/view</t>
        </is>
      </c>
    </row>
    <row r="385">
      <c r="A385" s="42" t="inlineStr">
        <is>
          <t>GSC-SL-000382</t>
        </is>
      </c>
      <c r="B385" t="inlineStr">
        <is>
          <t>SZ-SL-000382</t>
        </is>
      </c>
      <c r="C385" t="inlineStr">
        <is>
          <t>WT-SL-SHUTTER-HIKI</t>
        </is>
      </c>
      <c r="D385" t="inlineStr">
        <is>
          <t>SP-SL-SHUT-E-VENT</t>
        </is>
      </c>
      <c r="E385" t="inlineStr">
        <is>
          <t>34720</t>
        </is>
      </c>
      <c r="F385" t="b">
        <v>1</v>
      </c>
      <c r="G385" t="n">
        <v>41</v>
      </c>
      <c r="H385" t="inlineStr">
        <is>
          <t>★</t>
        </is>
      </c>
      <c r="I385" t="n">
        <v>40</v>
      </c>
      <c r="J385" t="inlineStr">
        <is>
          <t>P40|★</t>
        </is>
      </c>
      <c r="K385" t="inlineStr">
        <is>
          <t>同一価格表・前頁凡例を継承</t>
        </is>
      </c>
      <c r="L385" t="inlineStr">
        <is>
          <t>202604_LIXIL_サーモスＬ_業務用資料集_完成品価格表.pdf</t>
        </is>
      </c>
      <c r="M385" t="inlineStr">
        <is>
          <t>v0.6：同一価格表セクション内で凡例継承を確定。</t>
        </is>
      </c>
      <c r="N385" t="inlineStr">
        <is>
          <t>https://drive.google.com/file/d/1YUN-mtWYs48YBUHJk0C3vJXnhjyZFHyf/view</t>
        </is>
      </c>
    </row>
    <row r="386">
      <c r="A386" s="42" t="inlineStr">
        <is>
          <t>GSC-SL-000383</t>
        </is>
      </c>
      <c r="B386" t="inlineStr">
        <is>
          <t>SZ-SL-000383</t>
        </is>
      </c>
      <c r="C386" t="inlineStr">
        <is>
          <t>WT-SL-SHUTTER-HIKI</t>
        </is>
      </c>
      <c r="D386" t="inlineStr">
        <is>
          <t>SP-SL-SHUT-E-WIND</t>
        </is>
      </c>
      <c r="E386" t="inlineStr">
        <is>
          <t>25618-2</t>
        </is>
      </c>
      <c r="F386" t="b">
        <v>1</v>
      </c>
      <c r="G386" t="n">
        <v>41</v>
      </c>
      <c r="H386" t="inlineStr">
        <is>
          <t>◆</t>
        </is>
      </c>
      <c r="I386" t="n">
        <v>40</v>
      </c>
      <c r="J386" t="inlineStr">
        <is>
          <t>P40|◆</t>
        </is>
      </c>
      <c r="K386" t="inlineStr">
        <is>
          <t>同一価格表・前頁凡例を継承</t>
        </is>
      </c>
      <c r="L386" t="inlineStr">
        <is>
          <t>202604_LIXIL_サーモスＬ_業務用資料集_完成品価格表.pdf</t>
        </is>
      </c>
      <c r="M386" t="inlineStr">
        <is>
          <t>v0.6：同一価格表セクション内で凡例継承を確定。</t>
        </is>
      </c>
      <c r="N386" t="inlineStr">
        <is>
          <t>https://drive.google.com/file/d/1YUN-mtWYs48YBUHJk0C3vJXnhjyZFHyf/view</t>
        </is>
      </c>
    </row>
    <row r="387">
      <c r="A387" s="42" t="inlineStr">
        <is>
          <t>GSC-SL-000384</t>
        </is>
      </c>
      <c r="B387" t="inlineStr">
        <is>
          <t>SZ-SL-000384</t>
        </is>
      </c>
      <c r="C387" t="inlineStr">
        <is>
          <t>WT-SL-SHUTTER-HIKI</t>
        </is>
      </c>
      <c r="D387" t="inlineStr">
        <is>
          <t>SP-SL-SHUT-E-WIND</t>
        </is>
      </c>
      <c r="E387" t="inlineStr">
        <is>
          <t>25618-4</t>
        </is>
      </c>
      <c r="F387" t="b">
        <v>1</v>
      </c>
      <c r="G387" t="n">
        <v>41</v>
      </c>
      <c r="H387" t="inlineStr">
        <is>
          <t>無印</t>
        </is>
      </c>
      <c r="I387" t="n">
        <v>40</v>
      </c>
      <c r="J387" t="inlineStr">
        <is>
          <t>P40|無印</t>
        </is>
      </c>
      <c r="K387" t="inlineStr">
        <is>
          <t>同一価格表・前頁凡例を継承</t>
        </is>
      </c>
      <c r="L387" t="inlineStr">
        <is>
          <t>202604_LIXIL_サーモスＬ_業務用資料集_完成品価格表.pdf</t>
        </is>
      </c>
      <c r="M387" t="inlineStr">
        <is>
          <t>v0.6：同一価格表セクション内で凡例継承を確定。</t>
        </is>
      </c>
      <c r="N387" t="inlineStr">
        <is>
          <t>https://drive.google.com/file/d/1YUN-mtWYs48YBUHJk0C3vJXnhjyZFHyf/view</t>
        </is>
      </c>
    </row>
    <row r="388">
      <c r="A388" s="42" t="inlineStr">
        <is>
          <t>GSC-SL-000385</t>
        </is>
      </c>
      <c r="B388" t="inlineStr">
        <is>
          <t>SZ-SL-000385</t>
        </is>
      </c>
      <c r="C388" t="inlineStr">
        <is>
          <t>WT-SL-SHUTTER-HIKI</t>
        </is>
      </c>
      <c r="D388" t="inlineStr">
        <is>
          <t>SP-SL-SHUT-E-WIND</t>
        </is>
      </c>
      <c r="E388" t="inlineStr">
        <is>
          <t>25620-2</t>
        </is>
      </c>
      <c r="F388" t="b">
        <v>1</v>
      </c>
      <c r="G388" t="n">
        <v>41</v>
      </c>
      <c r="H388" t="inlineStr">
        <is>
          <t>◆</t>
        </is>
      </c>
      <c r="I388" t="n">
        <v>40</v>
      </c>
      <c r="J388" t="inlineStr">
        <is>
          <t>P40|◆</t>
        </is>
      </c>
      <c r="K388" t="inlineStr">
        <is>
          <t>同一価格表・前頁凡例を継承</t>
        </is>
      </c>
      <c r="L388" t="inlineStr">
        <is>
          <t>202604_LIXIL_サーモスＬ_業務用資料集_完成品価格表.pdf</t>
        </is>
      </c>
      <c r="M388" t="inlineStr">
        <is>
          <t>v0.6：同一価格表セクション内で凡例継承を確定。</t>
        </is>
      </c>
      <c r="N388" t="inlineStr">
        <is>
          <t>https://drive.google.com/file/d/1YUN-mtWYs48YBUHJk0C3vJXnhjyZFHyf/view</t>
        </is>
      </c>
    </row>
    <row r="389">
      <c r="A389" s="42" t="inlineStr">
        <is>
          <t>GSC-SL-000386</t>
        </is>
      </c>
      <c r="B389" t="inlineStr">
        <is>
          <t>SZ-SL-000386</t>
        </is>
      </c>
      <c r="C389" t="inlineStr">
        <is>
          <t>WT-SL-SHUTTER-HIKI</t>
        </is>
      </c>
      <c r="D389" t="inlineStr">
        <is>
          <t>SP-SL-SHUT-E-WIND</t>
        </is>
      </c>
      <c r="E389" t="inlineStr">
        <is>
          <t>25620-4</t>
        </is>
      </c>
      <c r="F389" t="b">
        <v>1</v>
      </c>
      <c r="G389" t="n">
        <v>41</v>
      </c>
      <c r="H389" t="inlineStr">
        <is>
          <t>無印</t>
        </is>
      </c>
      <c r="I389" t="n">
        <v>40</v>
      </c>
      <c r="J389" t="inlineStr">
        <is>
          <t>P40|無印</t>
        </is>
      </c>
      <c r="K389" t="inlineStr">
        <is>
          <t>同一価格表・前頁凡例を継承</t>
        </is>
      </c>
      <c r="L389" t="inlineStr">
        <is>
          <t>202604_LIXIL_サーモスＬ_業務用資料集_完成品価格表.pdf</t>
        </is>
      </c>
      <c r="M389" t="inlineStr">
        <is>
          <t>v0.6：同一価格表セクション内で凡例継承を確定。</t>
        </is>
      </c>
      <c r="N389" t="inlineStr">
        <is>
          <t>https://drive.google.com/file/d/1YUN-mtWYs48YBUHJk0C3vJXnhjyZFHyf/view</t>
        </is>
      </c>
    </row>
    <row r="390">
      <c r="A390" s="42" t="inlineStr">
        <is>
          <t>GSC-SL-000387</t>
        </is>
      </c>
      <c r="B390" t="inlineStr">
        <is>
          <t>SZ-SL-000387</t>
        </is>
      </c>
      <c r="C390" t="inlineStr">
        <is>
          <t>WT-SL-SHUTTER-HIKI</t>
        </is>
      </c>
      <c r="D390" t="inlineStr">
        <is>
          <t>SP-SL-SHUT-E-WIND</t>
        </is>
      </c>
      <c r="E390" t="inlineStr">
        <is>
          <t>34718</t>
        </is>
      </c>
      <c r="F390" t="b">
        <v>0</v>
      </c>
      <c r="G390" t="n">
        <v>41</v>
      </c>
      <c r="H390" t="inlineStr">
        <is>
          <t>無印</t>
        </is>
      </c>
      <c r="I390" t="n">
        <v>40</v>
      </c>
      <c r="J390" t="inlineStr">
        <is>
          <t>P40|無印</t>
        </is>
      </c>
      <c r="K390" t="inlineStr">
        <is>
          <t>同一価格表・前頁凡例を継承</t>
        </is>
      </c>
      <c r="L390" t="inlineStr">
        <is>
          <t>202604_LIXIL_サーモスＬ_業務用資料集_完成品価格表.pdf</t>
        </is>
      </c>
      <c r="M390" t="inlineStr">
        <is>
          <t>v0.6：同一価格表セクション内で凡例継承を確定。</t>
        </is>
      </c>
      <c r="N390" t="inlineStr">
        <is>
          <t>https://drive.google.com/file/d/1YUN-mtWYs48YBUHJk0C3vJXnhjyZFHyf/view</t>
        </is>
      </c>
    </row>
    <row r="391">
      <c r="A391" s="42" t="inlineStr">
        <is>
          <t>GSC-SL-000388</t>
        </is>
      </c>
      <c r="B391" t="inlineStr">
        <is>
          <t>SZ-SL-000388</t>
        </is>
      </c>
      <c r="C391" t="inlineStr">
        <is>
          <t>WT-SL-SHUTTER-HIKI</t>
        </is>
      </c>
      <c r="D391" t="inlineStr">
        <is>
          <t>SP-SL-SHUT-E-WIND</t>
        </is>
      </c>
      <c r="E391" t="inlineStr">
        <is>
          <t>34720</t>
        </is>
      </c>
      <c r="F391" t="b">
        <v>0</v>
      </c>
      <c r="G391" t="n">
        <v>41</v>
      </c>
      <c r="H391" t="inlineStr">
        <is>
          <t>★</t>
        </is>
      </c>
      <c r="I391" t="n">
        <v>40</v>
      </c>
      <c r="J391" t="inlineStr">
        <is>
          <t>P40|★</t>
        </is>
      </c>
      <c r="K391" t="inlineStr">
        <is>
          <t>同一価格表・前頁凡例を継承</t>
        </is>
      </c>
      <c r="L391" t="inlineStr">
        <is>
          <t>202604_LIXIL_サーモスＬ_業務用資料集_完成品価格表.pdf</t>
        </is>
      </c>
      <c r="M391" t="inlineStr">
        <is>
          <t>v0.6：同一価格表セクション内で凡例継承を確定。</t>
        </is>
      </c>
      <c r="N391" t="inlineStr">
        <is>
          <t>https://drive.google.com/file/d/1YUN-mtWYs48YBUHJk0C3vJXnhjyZFHyf/view</t>
        </is>
      </c>
    </row>
    <row r="392">
      <c r="A392" s="42" t="inlineStr">
        <is>
          <t>GSC-SL-000389</t>
        </is>
      </c>
      <c r="B392" t="inlineStr">
        <is>
          <t>SZ-SL-000389</t>
        </is>
      </c>
      <c r="C392" t="inlineStr">
        <is>
          <t>WT-SL-SHUTTER-HIKI</t>
        </is>
      </c>
      <c r="D392" t="inlineStr">
        <is>
          <t>SP-SL-SHUT-E-STD</t>
        </is>
      </c>
      <c r="E392" t="inlineStr">
        <is>
          <t>15022</t>
        </is>
      </c>
      <c r="F392" t="b">
        <v>1</v>
      </c>
      <c r="G392" t="n">
        <v>42</v>
      </c>
      <c r="H392" t="inlineStr">
        <is>
          <t>★</t>
        </is>
      </c>
      <c r="I392" t="n">
        <v>42</v>
      </c>
      <c r="J392" t="inlineStr">
        <is>
          <t>P42|★</t>
        </is>
      </c>
      <c r="K392" t="inlineStr">
        <is>
          <t>同頁凡例へ直接連動</t>
        </is>
      </c>
      <c r="L392" t="inlineStr">
        <is>
          <t>202604_LIXIL_サーモスＬ_業務用資料集_完成品価格表.pdf</t>
        </is>
      </c>
      <c r="M392" t="inlineStr">
        <is>
          <t>v0.6：同一価格表セクション内で凡例継承を確定。</t>
        </is>
      </c>
      <c r="N392" t="inlineStr">
        <is>
          <t>https://drive.google.com/file/d/1YUN-mtWYs48YBUHJk0C3vJXnhjyZFHyf/view</t>
        </is>
      </c>
    </row>
    <row r="393">
      <c r="A393" s="42" t="inlineStr">
        <is>
          <t>GSC-SL-000390</t>
        </is>
      </c>
      <c r="B393" t="inlineStr">
        <is>
          <t>SZ-SL-000390</t>
        </is>
      </c>
      <c r="C393" t="inlineStr">
        <is>
          <t>WT-SL-SHUTTER-HIKI</t>
        </is>
      </c>
      <c r="D393" t="inlineStr">
        <is>
          <t>SP-SL-SHUT-E-STD</t>
        </is>
      </c>
      <c r="E393" t="inlineStr">
        <is>
          <t>15024</t>
        </is>
      </c>
      <c r="F393" t="b">
        <v>1</v>
      </c>
      <c r="G393" t="n">
        <v>42</v>
      </c>
      <c r="H393" t="inlineStr">
        <is>
          <t>★</t>
        </is>
      </c>
      <c r="I393" t="n">
        <v>42</v>
      </c>
      <c r="J393" t="inlineStr">
        <is>
          <t>P42|★</t>
        </is>
      </c>
      <c r="K393" t="inlineStr">
        <is>
          <t>同頁凡例へ直接連動</t>
        </is>
      </c>
      <c r="L393" t="inlineStr">
        <is>
          <t>202604_LIXIL_サーモスＬ_業務用資料集_完成品価格表.pdf</t>
        </is>
      </c>
      <c r="M393" t="inlineStr">
        <is>
          <t>v0.6：同一価格表セクション内で凡例継承を確定。</t>
        </is>
      </c>
      <c r="N393" t="inlineStr">
        <is>
          <t>https://drive.google.com/file/d/1YUN-mtWYs48YBUHJk0C3vJXnhjyZFHyf/view</t>
        </is>
      </c>
    </row>
    <row r="394">
      <c r="A394" s="42" t="inlineStr">
        <is>
          <t>GSC-SL-000391</t>
        </is>
      </c>
      <c r="B394" t="inlineStr">
        <is>
          <t>SZ-SL-000391</t>
        </is>
      </c>
      <c r="C394" t="inlineStr">
        <is>
          <t>WT-SL-SHUTTER-HIKI</t>
        </is>
      </c>
      <c r="D394" t="inlineStr">
        <is>
          <t>SP-SL-SHUT-E-STD</t>
        </is>
      </c>
      <c r="E394" t="inlineStr">
        <is>
          <t>16022</t>
        </is>
      </c>
      <c r="F394" t="b">
        <v>1</v>
      </c>
      <c r="G394" t="n">
        <v>42</v>
      </c>
      <c r="H394" t="inlineStr">
        <is>
          <t>★</t>
        </is>
      </c>
      <c r="I394" t="n">
        <v>42</v>
      </c>
      <c r="J394" t="inlineStr">
        <is>
          <t>P42|★</t>
        </is>
      </c>
      <c r="K394" t="inlineStr">
        <is>
          <t>同頁凡例へ直接連動</t>
        </is>
      </c>
      <c r="L394" t="inlineStr">
        <is>
          <t>202604_LIXIL_サーモスＬ_業務用資料集_完成品価格表.pdf</t>
        </is>
      </c>
      <c r="M394" t="inlineStr">
        <is>
          <t>v0.6：同一価格表セクション内で凡例継承を確定。</t>
        </is>
      </c>
      <c r="N394" t="inlineStr">
        <is>
          <t>https://drive.google.com/file/d/1YUN-mtWYs48YBUHJk0C3vJXnhjyZFHyf/view</t>
        </is>
      </c>
    </row>
    <row r="395">
      <c r="A395" s="42" t="inlineStr">
        <is>
          <t>GSC-SL-000392</t>
        </is>
      </c>
      <c r="B395" t="inlineStr">
        <is>
          <t>SZ-SL-000392</t>
        </is>
      </c>
      <c r="C395" t="inlineStr">
        <is>
          <t>WT-SL-SHUTTER-HIKI</t>
        </is>
      </c>
      <c r="D395" t="inlineStr">
        <is>
          <t>SP-SL-SHUT-E-STD</t>
        </is>
      </c>
      <c r="E395" t="inlineStr">
        <is>
          <t>16024</t>
        </is>
      </c>
      <c r="F395" t="b">
        <v>1</v>
      </c>
      <c r="G395" t="n">
        <v>42</v>
      </c>
      <c r="H395" t="inlineStr">
        <is>
          <t>★</t>
        </is>
      </c>
      <c r="I395" t="n">
        <v>42</v>
      </c>
      <c r="J395" t="inlineStr">
        <is>
          <t>P42|★</t>
        </is>
      </c>
      <c r="K395" t="inlineStr">
        <is>
          <t>同頁凡例へ直接連動</t>
        </is>
      </c>
      <c r="L395" t="inlineStr">
        <is>
          <t>202604_LIXIL_サーモスＬ_業務用資料集_完成品価格表.pdf</t>
        </is>
      </c>
      <c r="M395" t="inlineStr">
        <is>
          <t>v0.6：同一価格表セクション内で凡例継承を確定。</t>
        </is>
      </c>
      <c r="N395" t="inlineStr">
        <is>
          <t>https://drive.google.com/file/d/1YUN-mtWYs48YBUHJk0C3vJXnhjyZFHyf/view</t>
        </is>
      </c>
    </row>
    <row r="396">
      <c r="A396" s="42" t="inlineStr">
        <is>
          <t>GSC-SL-000393</t>
        </is>
      </c>
      <c r="B396" t="inlineStr">
        <is>
          <t>SZ-SL-000393</t>
        </is>
      </c>
      <c r="C396" t="inlineStr">
        <is>
          <t>WT-SL-SHUTTER-HIKI</t>
        </is>
      </c>
      <c r="D396" t="inlineStr">
        <is>
          <t>SP-SL-SHUT-E-VENT</t>
        </is>
      </c>
      <c r="E396" t="inlineStr">
        <is>
          <t>15022</t>
        </is>
      </c>
      <c r="F396" t="b">
        <v>1</v>
      </c>
      <c r="G396" t="n">
        <v>42</v>
      </c>
      <c r="H396" t="inlineStr">
        <is>
          <t>★</t>
        </is>
      </c>
      <c r="I396" t="n">
        <v>42</v>
      </c>
      <c r="J396" t="inlineStr">
        <is>
          <t>P42|★</t>
        </is>
      </c>
      <c r="K396" t="inlineStr">
        <is>
          <t>同頁凡例へ直接連動</t>
        </is>
      </c>
      <c r="L396" t="inlineStr">
        <is>
          <t>202604_LIXIL_サーモスＬ_業務用資料集_完成品価格表.pdf</t>
        </is>
      </c>
      <c r="M396" t="inlineStr">
        <is>
          <t>v0.6：同一価格表セクション内で凡例継承を確定。</t>
        </is>
      </c>
      <c r="N396" t="inlineStr">
        <is>
          <t>https://drive.google.com/file/d/1YUN-mtWYs48YBUHJk0C3vJXnhjyZFHyf/view</t>
        </is>
      </c>
    </row>
    <row r="397">
      <c r="A397" s="42" t="inlineStr">
        <is>
          <t>GSC-SL-000394</t>
        </is>
      </c>
      <c r="B397" t="inlineStr">
        <is>
          <t>SZ-SL-000394</t>
        </is>
      </c>
      <c r="C397" t="inlineStr">
        <is>
          <t>WT-SL-SHUTTER-HIKI</t>
        </is>
      </c>
      <c r="D397" t="inlineStr">
        <is>
          <t>SP-SL-SHUT-E-VENT</t>
        </is>
      </c>
      <c r="E397" t="inlineStr">
        <is>
          <t>15024</t>
        </is>
      </c>
      <c r="F397" t="b">
        <v>0</v>
      </c>
      <c r="G397" t="n">
        <v>42</v>
      </c>
      <c r="H397" t="inlineStr">
        <is>
          <t>★</t>
        </is>
      </c>
      <c r="I397" t="n">
        <v>42</v>
      </c>
      <c r="J397" t="inlineStr">
        <is>
          <t>P42|★</t>
        </is>
      </c>
      <c r="K397" t="inlineStr">
        <is>
          <t>同頁凡例へ直接連動</t>
        </is>
      </c>
      <c r="L397" t="inlineStr">
        <is>
          <t>202604_LIXIL_サーモスＬ_業務用資料集_完成品価格表.pdf</t>
        </is>
      </c>
      <c r="M397" t="inlineStr">
        <is>
          <t>v0.6：同一価格表セクション内で凡例継承を確定。</t>
        </is>
      </c>
      <c r="N397" t="inlineStr">
        <is>
          <t>https://drive.google.com/file/d/1YUN-mtWYs48YBUHJk0C3vJXnhjyZFHyf/view</t>
        </is>
      </c>
    </row>
    <row r="398">
      <c r="A398" s="42" t="inlineStr">
        <is>
          <t>GSC-SL-000395</t>
        </is>
      </c>
      <c r="B398" t="inlineStr">
        <is>
          <t>SZ-SL-000395</t>
        </is>
      </c>
      <c r="C398" t="inlineStr">
        <is>
          <t>WT-SL-SHUTTER-HIKI</t>
        </is>
      </c>
      <c r="D398" t="inlineStr">
        <is>
          <t>SP-SL-SHUT-E-VENT</t>
        </is>
      </c>
      <c r="E398" t="inlineStr">
        <is>
          <t>16022</t>
        </is>
      </c>
      <c r="F398" t="b">
        <v>1</v>
      </c>
      <c r="G398" t="n">
        <v>42</v>
      </c>
      <c r="H398" t="inlineStr">
        <is>
          <t>★</t>
        </is>
      </c>
      <c r="I398" t="n">
        <v>42</v>
      </c>
      <c r="J398" t="inlineStr">
        <is>
          <t>P42|★</t>
        </is>
      </c>
      <c r="K398" t="inlineStr">
        <is>
          <t>同頁凡例へ直接連動</t>
        </is>
      </c>
      <c r="L398" t="inlineStr">
        <is>
          <t>202604_LIXIL_サーモスＬ_業務用資料集_完成品価格表.pdf</t>
        </is>
      </c>
      <c r="M398" t="inlineStr">
        <is>
          <t>v0.6：同一価格表セクション内で凡例継承を確定。</t>
        </is>
      </c>
      <c r="N398" t="inlineStr">
        <is>
          <t>https://drive.google.com/file/d/1YUN-mtWYs48YBUHJk0C3vJXnhjyZFHyf/view</t>
        </is>
      </c>
    </row>
    <row r="399">
      <c r="A399" s="42" t="inlineStr">
        <is>
          <t>GSC-SL-000396</t>
        </is>
      </c>
      <c r="B399" t="inlineStr">
        <is>
          <t>SZ-SL-000396</t>
        </is>
      </c>
      <c r="C399" t="inlineStr">
        <is>
          <t>WT-SL-SHUTTER-HIKI</t>
        </is>
      </c>
      <c r="D399" t="inlineStr">
        <is>
          <t>SP-SL-SHUT-E-VENT</t>
        </is>
      </c>
      <c r="E399" t="inlineStr">
        <is>
          <t>16024</t>
        </is>
      </c>
      <c r="F399" t="b">
        <v>0</v>
      </c>
      <c r="G399" t="n">
        <v>42</v>
      </c>
      <c r="H399" t="inlineStr">
        <is>
          <t>★</t>
        </is>
      </c>
      <c r="I399" t="n">
        <v>42</v>
      </c>
      <c r="J399" t="inlineStr">
        <is>
          <t>P42|★</t>
        </is>
      </c>
      <c r="K399" t="inlineStr">
        <is>
          <t>同頁凡例へ直接連動</t>
        </is>
      </c>
      <c r="L399" t="inlineStr">
        <is>
          <t>202604_LIXIL_サーモスＬ_業務用資料集_完成品価格表.pdf</t>
        </is>
      </c>
      <c r="M399" t="inlineStr">
        <is>
          <t>v0.6：同一価格表セクション内で凡例継承を確定。</t>
        </is>
      </c>
      <c r="N399" t="inlineStr">
        <is>
          <t>https://drive.google.com/file/d/1YUN-mtWYs48YBUHJk0C3vJXnhjyZFHyf/view</t>
        </is>
      </c>
    </row>
    <row r="400">
      <c r="A400" s="42" t="inlineStr">
        <is>
          <t>GSC-SL-000397</t>
        </is>
      </c>
      <c r="B400" t="inlineStr">
        <is>
          <t>SZ-SL-000397</t>
        </is>
      </c>
      <c r="C400" t="inlineStr">
        <is>
          <t>WT-SL-SHUTTER-HIKI</t>
        </is>
      </c>
      <c r="D400" t="inlineStr">
        <is>
          <t>SP-SL-SHUT-E-WIND</t>
        </is>
      </c>
      <c r="E400" t="inlineStr">
        <is>
          <t>15022</t>
        </is>
      </c>
      <c r="F400" t="b">
        <v>1</v>
      </c>
      <c r="G400" t="n">
        <v>42</v>
      </c>
      <c r="H400" t="inlineStr">
        <is>
          <t>★</t>
        </is>
      </c>
      <c r="I400" t="n">
        <v>42</v>
      </c>
      <c r="J400" t="inlineStr">
        <is>
          <t>P42|★</t>
        </is>
      </c>
      <c r="K400" t="inlineStr">
        <is>
          <t>同頁凡例へ直接連動</t>
        </is>
      </c>
      <c r="L400" t="inlineStr">
        <is>
          <t>202604_LIXIL_サーモスＬ_業務用資料集_完成品価格表.pdf</t>
        </is>
      </c>
      <c r="M400" t="inlineStr">
        <is>
          <t>v0.6：同一価格表セクション内で凡例継承を確定。</t>
        </is>
      </c>
      <c r="N400" t="inlineStr">
        <is>
          <t>https://drive.google.com/file/d/1YUN-mtWYs48YBUHJk0C3vJXnhjyZFHyf/view</t>
        </is>
      </c>
    </row>
    <row r="401">
      <c r="A401" s="42" t="inlineStr">
        <is>
          <t>GSC-SL-000398</t>
        </is>
      </c>
      <c r="B401" t="inlineStr">
        <is>
          <t>SZ-SL-000398</t>
        </is>
      </c>
      <c r="C401" t="inlineStr">
        <is>
          <t>WT-SL-SHUTTER-HIKI</t>
        </is>
      </c>
      <c r="D401" t="inlineStr">
        <is>
          <t>SP-SL-SHUT-E-WIND</t>
        </is>
      </c>
      <c r="E401" t="inlineStr">
        <is>
          <t>15024</t>
        </is>
      </c>
      <c r="F401" t="b">
        <v>0</v>
      </c>
      <c r="G401" t="n">
        <v>42</v>
      </c>
      <c r="H401" t="inlineStr">
        <is>
          <t>★</t>
        </is>
      </c>
      <c r="I401" t="n">
        <v>42</v>
      </c>
      <c r="J401" t="inlineStr">
        <is>
          <t>P42|★</t>
        </is>
      </c>
      <c r="K401" t="inlineStr">
        <is>
          <t>同頁凡例へ直接連動</t>
        </is>
      </c>
      <c r="L401" t="inlineStr">
        <is>
          <t>202604_LIXIL_サーモスＬ_業務用資料集_完成品価格表.pdf</t>
        </is>
      </c>
      <c r="M401" t="inlineStr">
        <is>
          <t>v0.6：同一価格表セクション内で凡例継承を確定。</t>
        </is>
      </c>
      <c r="N401" t="inlineStr">
        <is>
          <t>https://drive.google.com/file/d/1YUN-mtWYs48YBUHJk0C3vJXnhjyZFHyf/view</t>
        </is>
      </c>
    </row>
    <row r="402">
      <c r="A402" s="42" t="inlineStr">
        <is>
          <t>GSC-SL-000399</t>
        </is>
      </c>
      <c r="B402" t="inlineStr">
        <is>
          <t>SZ-SL-000399</t>
        </is>
      </c>
      <c r="C402" t="inlineStr">
        <is>
          <t>WT-SL-SHUTTER-HIKI</t>
        </is>
      </c>
      <c r="D402" t="inlineStr">
        <is>
          <t>SP-SL-SHUT-E-WIND</t>
        </is>
      </c>
      <c r="E402" t="inlineStr">
        <is>
          <t>16022</t>
        </is>
      </c>
      <c r="F402" t="b">
        <v>1</v>
      </c>
      <c r="G402" t="n">
        <v>42</v>
      </c>
      <c r="H402" t="inlineStr">
        <is>
          <t>★</t>
        </is>
      </c>
      <c r="I402" t="n">
        <v>42</v>
      </c>
      <c r="J402" t="inlineStr">
        <is>
          <t>P42|★</t>
        </is>
      </c>
      <c r="K402" t="inlineStr">
        <is>
          <t>同頁凡例へ直接連動</t>
        </is>
      </c>
      <c r="L402" t="inlineStr">
        <is>
          <t>202604_LIXIL_サーモスＬ_業務用資料集_完成品価格表.pdf</t>
        </is>
      </c>
      <c r="M402" t="inlineStr">
        <is>
          <t>v0.6：同一価格表セクション内で凡例継承を確定。</t>
        </is>
      </c>
      <c r="N402" t="inlineStr">
        <is>
          <t>https://drive.google.com/file/d/1YUN-mtWYs48YBUHJk0C3vJXnhjyZFHyf/view</t>
        </is>
      </c>
    </row>
    <row r="403">
      <c r="A403" s="42" t="inlineStr">
        <is>
          <t>GSC-SL-000400</t>
        </is>
      </c>
      <c r="B403" t="inlineStr">
        <is>
          <t>SZ-SL-000400</t>
        </is>
      </c>
      <c r="C403" t="inlineStr">
        <is>
          <t>WT-SL-SHUTTER-HIKI</t>
        </is>
      </c>
      <c r="D403" t="inlineStr">
        <is>
          <t>SP-SL-SHUT-E-WIND</t>
        </is>
      </c>
      <c r="E403" t="inlineStr">
        <is>
          <t>16024</t>
        </is>
      </c>
      <c r="F403" t="b">
        <v>0</v>
      </c>
      <c r="G403" t="n">
        <v>42</v>
      </c>
      <c r="H403" t="inlineStr">
        <is>
          <t>★</t>
        </is>
      </c>
      <c r="I403" t="n">
        <v>42</v>
      </c>
      <c r="J403" t="inlineStr">
        <is>
          <t>P42|★</t>
        </is>
      </c>
      <c r="K403" t="inlineStr">
        <is>
          <t>同頁凡例へ直接連動</t>
        </is>
      </c>
      <c r="L403" t="inlineStr">
        <is>
          <t>202604_LIXIL_サーモスＬ_業務用資料集_完成品価格表.pdf</t>
        </is>
      </c>
      <c r="M403" t="inlineStr">
        <is>
          <t>v0.6：同一価格表セクション内で凡例継承を確定。</t>
        </is>
      </c>
      <c r="N403" t="inlineStr">
        <is>
          <t>https://drive.google.com/file/d/1YUN-mtWYs48YBUHJk0C3vJXnhjyZFHyf/view</t>
        </is>
      </c>
    </row>
    <row r="404">
      <c r="A404" s="42" t="inlineStr">
        <is>
          <t>GSC-SL-000401</t>
        </is>
      </c>
      <c r="B404" t="inlineStr">
        <is>
          <t>SZ-SL-000401</t>
        </is>
      </c>
      <c r="C404" t="inlineStr">
        <is>
          <t>WT-SL-SHUTTER-HIKI</t>
        </is>
      </c>
      <c r="D404" t="inlineStr">
        <is>
          <t>SP-SL-SHUT-E-STD</t>
        </is>
      </c>
      <c r="E404" t="inlineStr">
        <is>
          <t>16522</t>
        </is>
      </c>
      <c r="F404" t="b">
        <v>1</v>
      </c>
      <c r="G404" t="n">
        <v>43</v>
      </c>
      <c r="H404" t="inlineStr">
        <is>
          <t>★</t>
        </is>
      </c>
      <c r="I404" t="n">
        <v>42</v>
      </c>
      <c r="J404" t="inlineStr">
        <is>
          <t>P42|★</t>
        </is>
      </c>
      <c r="K404" t="inlineStr">
        <is>
          <t>同一価格表・前頁凡例を継承</t>
        </is>
      </c>
      <c r="L404" t="inlineStr">
        <is>
          <t>202604_LIXIL_サーモスＬ_業務用資料集_完成品価格表.pdf</t>
        </is>
      </c>
      <c r="M404" t="inlineStr">
        <is>
          <t>v0.6：同一価格表セクション内で凡例継承を確定。</t>
        </is>
      </c>
      <c r="N404" t="inlineStr">
        <is>
          <t>https://drive.google.com/file/d/1YUN-mtWYs48YBUHJk0C3vJXnhjyZFHyf/view</t>
        </is>
      </c>
    </row>
    <row r="405">
      <c r="A405" s="42" t="inlineStr">
        <is>
          <t>GSC-SL-000402</t>
        </is>
      </c>
      <c r="B405" t="inlineStr">
        <is>
          <t>SZ-SL-000402</t>
        </is>
      </c>
      <c r="C405" t="inlineStr">
        <is>
          <t>WT-SL-SHUTTER-HIKI</t>
        </is>
      </c>
      <c r="D405" t="inlineStr">
        <is>
          <t>SP-SL-SHUT-E-STD</t>
        </is>
      </c>
      <c r="E405" t="inlineStr">
        <is>
          <t>16524</t>
        </is>
      </c>
      <c r="F405" t="b">
        <v>1</v>
      </c>
      <c r="G405" t="n">
        <v>43</v>
      </c>
      <c r="H405" t="inlineStr">
        <is>
          <t>★</t>
        </is>
      </c>
      <c r="I405" t="n">
        <v>42</v>
      </c>
      <c r="J405" t="inlineStr">
        <is>
          <t>P42|★</t>
        </is>
      </c>
      <c r="K405" t="inlineStr">
        <is>
          <t>同一価格表・前頁凡例を継承</t>
        </is>
      </c>
      <c r="L405" t="inlineStr">
        <is>
          <t>202604_LIXIL_サーモスＬ_業務用資料集_完成品価格表.pdf</t>
        </is>
      </c>
      <c r="M405" t="inlineStr">
        <is>
          <t>v0.6：同一価格表セクション内で凡例継承を確定。</t>
        </is>
      </c>
      <c r="N405" t="inlineStr">
        <is>
          <t>https://drive.google.com/file/d/1YUN-mtWYs48YBUHJk0C3vJXnhjyZFHyf/view</t>
        </is>
      </c>
    </row>
    <row r="406">
      <c r="A406" s="42" t="inlineStr">
        <is>
          <t>GSC-SL-000403</t>
        </is>
      </c>
      <c r="B406" t="inlineStr">
        <is>
          <t>SZ-SL-000403</t>
        </is>
      </c>
      <c r="C406" t="inlineStr">
        <is>
          <t>WT-SL-SHUTTER-HIKI</t>
        </is>
      </c>
      <c r="D406" t="inlineStr">
        <is>
          <t>SP-SL-SHUT-E-STD</t>
        </is>
      </c>
      <c r="E406" t="inlineStr">
        <is>
          <t>17422</t>
        </is>
      </c>
      <c r="F406" t="b">
        <v>1</v>
      </c>
      <c r="G406" t="n">
        <v>43</v>
      </c>
      <c r="H406" t="inlineStr">
        <is>
          <t>★</t>
        </is>
      </c>
      <c r="I406" t="n">
        <v>42</v>
      </c>
      <c r="J406" t="inlineStr">
        <is>
          <t>P42|★</t>
        </is>
      </c>
      <c r="K406" t="inlineStr">
        <is>
          <t>同一価格表・前頁凡例を継承</t>
        </is>
      </c>
      <c r="L406" t="inlineStr">
        <is>
          <t>202604_LIXIL_サーモスＬ_業務用資料集_完成品価格表.pdf</t>
        </is>
      </c>
      <c r="M406" t="inlineStr">
        <is>
          <t>v0.6：同一価格表セクション内で凡例継承を確定。</t>
        </is>
      </c>
      <c r="N406" t="inlineStr">
        <is>
          <t>https://drive.google.com/file/d/1YUN-mtWYs48YBUHJk0C3vJXnhjyZFHyf/view</t>
        </is>
      </c>
    </row>
    <row r="407">
      <c r="A407" s="42" t="inlineStr">
        <is>
          <t>GSC-SL-000404</t>
        </is>
      </c>
      <c r="B407" t="inlineStr">
        <is>
          <t>SZ-SL-000404</t>
        </is>
      </c>
      <c r="C407" t="inlineStr">
        <is>
          <t>WT-SL-SHUTTER-HIKI</t>
        </is>
      </c>
      <c r="D407" t="inlineStr">
        <is>
          <t>SP-SL-SHUT-E-STD</t>
        </is>
      </c>
      <c r="E407" t="inlineStr">
        <is>
          <t>17424</t>
        </is>
      </c>
      <c r="F407" t="b">
        <v>1</v>
      </c>
      <c r="G407" t="n">
        <v>43</v>
      </c>
      <c r="H407" t="inlineStr">
        <is>
          <t>★</t>
        </is>
      </c>
      <c r="I407" t="n">
        <v>42</v>
      </c>
      <c r="J407" t="inlineStr">
        <is>
          <t>P42|★</t>
        </is>
      </c>
      <c r="K407" t="inlineStr">
        <is>
          <t>同一価格表・前頁凡例を継承</t>
        </is>
      </c>
      <c r="L407" t="inlineStr">
        <is>
          <t>202604_LIXIL_サーモスＬ_業務用資料集_完成品価格表.pdf</t>
        </is>
      </c>
      <c r="M407" t="inlineStr">
        <is>
          <t>v0.6：同一価格表セクション内で凡例継承を確定。</t>
        </is>
      </c>
      <c r="N407" t="inlineStr">
        <is>
          <t>https://drive.google.com/file/d/1YUN-mtWYs48YBUHJk0C3vJXnhjyZFHyf/view</t>
        </is>
      </c>
    </row>
    <row r="408">
      <c r="A408" s="42" t="inlineStr">
        <is>
          <t>GSC-SL-000405</t>
        </is>
      </c>
      <c r="B408" t="inlineStr">
        <is>
          <t>SZ-SL-000405</t>
        </is>
      </c>
      <c r="C408" t="inlineStr">
        <is>
          <t>WT-SL-SHUTTER-HIKI</t>
        </is>
      </c>
      <c r="D408" t="inlineStr">
        <is>
          <t>SP-SL-SHUT-E-STD</t>
        </is>
      </c>
      <c r="E408" t="inlineStr">
        <is>
          <t>17622</t>
        </is>
      </c>
      <c r="F408" t="b">
        <v>1</v>
      </c>
      <c r="G408" t="n">
        <v>43</v>
      </c>
      <c r="H408" t="inlineStr">
        <is>
          <t>★</t>
        </is>
      </c>
      <c r="I408" t="n">
        <v>42</v>
      </c>
      <c r="J408" t="inlineStr">
        <is>
          <t>P42|★</t>
        </is>
      </c>
      <c r="K408" t="inlineStr">
        <is>
          <t>同一価格表・前頁凡例を継承</t>
        </is>
      </c>
      <c r="L408" t="inlineStr">
        <is>
          <t>202604_LIXIL_サーモスＬ_業務用資料集_完成品価格表.pdf</t>
        </is>
      </c>
      <c r="M408" t="inlineStr">
        <is>
          <t>v0.6：同一価格表セクション内で凡例継承を確定。</t>
        </is>
      </c>
      <c r="N408" t="inlineStr">
        <is>
          <t>https://drive.google.com/file/d/1YUN-mtWYs48YBUHJk0C3vJXnhjyZFHyf/view</t>
        </is>
      </c>
    </row>
    <row r="409">
      <c r="A409" s="42" t="inlineStr">
        <is>
          <t>GSC-SL-000406</t>
        </is>
      </c>
      <c r="B409" t="inlineStr">
        <is>
          <t>SZ-SL-000406</t>
        </is>
      </c>
      <c r="C409" t="inlineStr">
        <is>
          <t>WT-SL-SHUTTER-HIKI</t>
        </is>
      </c>
      <c r="D409" t="inlineStr">
        <is>
          <t>SP-SL-SHUT-E-STD</t>
        </is>
      </c>
      <c r="E409" t="inlineStr">
        <is>
          <t>17624</t>
        </is>
      </c>
      <c r="F409" t="b">
        <v>1</v>
      </c>
      <c r="G409" t="n">
        <v>43</v>
      </c>
      <c r="H409" t="inlineStr">
        <is>
          <t>★</t>
        </is>
      </c>
      <c r="I409" t="n">
        <v>42</v>
      </c>
      <c r="J409" t="inlineStr">
        <is>
          <t>P42|★</t>
        </is>
      </c>
      <c r="K409" t="inlineStr">
        <is>
          <t>同一価格表・前頁凡例を継承</t>
        </is>
      </c>
      <c r="L409" t="inlineStr">
        <is>
          <t>202604_LIXIL_サーモスＬ_業務用資料集_完成品価格表.pdf</t>
        </is>
      </c>
      <c r="M409" t="inlineStr">
        <is>
          <t>v0.6：同一価格表セクション内で凡例継承を確定。</t>
        </is>
      </c>
      <c r="N409" t="inlineStr">
        <is>
          <t>https://drive.google.com/file/d/1YUN-mtWYs48YBUHJk0C3vJXnhjyZFHyf/view</t>
        </is>
      </c>
    </row>
    <row r="410">
      <c r="A410" s="42" t="inlineStr">
        <is>
          <t>GSC-SL-000407</t>
        </is>
      </c>
      <c r="B410" t="inlineStr">
        <is>
          <t>SZ-SL-000407</t>
        </is>
      </c>
      <c r="C410" t="inlineStr">
        <is>
          <t>WT-SL-SHUTTER-HIKI</t>
        </is>
      </c>
      <c r="D410" t="inlineStr">
        <is>
          <t>SP-SL-SHUT-E-STD</t>
        </is>
      </c>
      <c r="E410" t="inlineStr">
        <is>
          <t>18022</t>
        </is>
      </c>
      <c r="F410" t="b">
        <v>1</v>
      </c>
      <c r="G410" t="n">
        <v>43</v>
      </c>
      <c r="H410" t="inlineStr">
        <is>
          <t>★</t>
        </is>
      </c>
      <c r="I410" t="n">
        <v>42</v>
      </c>
      <c r="J410" t="inlineStr">
        <is>
          <t>P42|★</t>
        </is>
      </c>
      <c r="K410" t="inlineStr">
        <is>
          <t>同一価格表・前頁凡例を継承</t>
        </is>
      </c>
      <c r="L410" t="inlineStr">
        <is>
          <t>202604_LIXIL_サーモスＬ_業務用資料集_完成品価格表.pdf</t>
        </is>
      </c>
      <c r="M410" t="inlineStr">
        <is>
          <t>v0.6：同一価格表セクション内で凡例継承を確定。</t>
        </is>
      </c>
      <c r="N410" t="inlineStr">
        <is>
          <t>https://drive.google.com/file/d/1YUN-mtWYs48YBUHJk0C3vJXnhjyZFHyf/view</t>
        </is>
      </c>
    </row>
    <row r="411">
      <c r="A411" s="42" t="inlineStr">
        <is>
          <t>GSC-SL-000408</t>
        </is>
      </c>
      <c r="B411" t="inlineStr">
        <is>
          <t>SZ-SL-000408</t>
        </is>
      </c>
      <c r="C411" t="inlineStr">
        <is>
          <t>WT-SL-SHUTTER-HIKI</t>
        </is>
      </c>
      <c r="D411" t="inlineStr">
        <is>
          <t>SP-SL-SHUT-E-STD</t>
        </is>
      </c>
      <c r="E411" t="inlineStr">
        <is>
          <t>18024</t>
        </is>
      </c>
      <c r="F411" t="b">
        <v>1</v>
      </c>
      <c r="G411" t="n">
        <v>43</v>
      </c>
      <c r="H411" t="inlineStr">
        <is>
          <t>☆</t>
        </is>
      </c>
      <c r="I411" t="n">
        <v>42</v>
      </c>
      <c r="J411" t="inlineStr">
        <is>
          <t>P42|☆</t>
        </is>
      </c>
      <c r="K411" t="inlineStr">
        <is>
          <t>同一価格表・前頁凡例を継承</t>
        </is>
      </c>
      <c r="L411" t="inlineStr">
        <is>
          <t>202604_LIXIL_サーモスＬ_業務用資料集_完成品価格表.pdf</t>
        </is>
      </c>
      <c r="M411" t="inlineStr">
        <is>
          <t>v0.6：同一価格表セクション内で凡例継承を確定。</t>
        </is>
      </c>
      <c r="N411" t="inlineStr">
        <is>
          <t>https://drive.google.com/file/d/1YUN-mtWYs48YBUHJk0C3vJXnhjyZFHyf/view</t>
        </is>
      </c>
    </row>
    <row r="412">
      <c r="A412" s="42" t="inlineStr">
        <is>
          <t>GSC-SL-000409</t>
        </is>
      </c>
      <c r="B412" t="inlineStr">
        <is>
          <t>SZ-SL-000409</t>
        </is>
      </c>
      <c r="C412" t="inlineStr">
        <is>
          <t>WT-SL-SHUTTER-HIKI</t>
        </is>
      </c>
      <c r="D412" t="inlineStr">
        <is>
          <t>SP-SL-SHUT-E-VENT</t>
        </is>
      </c>
      <c r="E412" t="inlineStr">
        <is>
          <t>16522</t>
        </is>
      </c>
      <c r="F412" t="b">
        <v>1</v>
      </c>
      <c r="G412" t="n">
        <v>43</v>
      </c>
      <c r="H412" t="inlineStr">
        <is>
          <t>★</t>
        </is>
      </c>
      <c r="I412" t="n">
        <v>42</v>
      </c>
      <c r="J412" t="inlineStr">
        <is>
          <t>P42|★</t>
        </is>
      </c>
      <c r="K412" t="inlineStr">
        <is>
          <t>同一価格表・前頁凡例を継承</t>
        </is>
      </c>
      <c r="L412" t="inlineStr">
        <is>
          <t>202604_LIXIL_サーモスＬ_業務用資料集_完成品価格表.pdf</t>
        </is>
      </c>
      <c r="M412" t="inlineStr">
        <is>
          <t>v0.6：同一価格表セクション内で凡例継承を確定。</t>
        </is>
      </c>
      <c r="N412" t="inlineStr">
        <is>
          <t>https://drive.google.com/file/d/1YUN-mtWYs48YBUHJk0C3vJXnhjyZFHyf/view</t>
        </is>
      </c>
    </row>
    <row r="413">
      <c r="A413" s="42" t="inlineStr">
        <is>
          <t>GSC-SL-000410</t>
        </is>
      </c>
      <c r="B413" t="inlineStr">
        <is>
          <t>SZ-SL-000410</t>
        </is>
      </c>
      <c r="C413" t="inlineStr">
        <is>
          <t>WT-SL-SHUTTER-HIKI</t>
        </is>
      </c>
      <c r="D413" t="inlineStr">
        <is>
          <t>SP-SL-SHUT-E-VENT</t>
        </is>
      </c>
      <c r="E413" t="inlineStr">
        <is>
          <t>16524</t>
        </is>
      </c>
      <c r="F413" t="b">
        <v>0</v>
      </c>
      <c r="G413" t="n">
        <v>43</v>
      </c>
      <c r="H413" t="inlineStr">
        <is>
          <t>★</t>
        </is>
      </c>
      <c r="I413" t="n">
        <v>42</v>
      </c>
      <c r="J413" t="inlineStr">
        <is>
          <t>P42|★</t>
        </is>
      </c>
      <c r="K413" t="inlineStr">
        <is>
          <t>同一価格表・前頁凡例を継承</t>
        </is>
      </c>
      <c r="L413" t="inlineStr">
        <is>
          <t>202604_LIXIL_サーモスＬ_業務用資料集_完成品価格表.pdf</t>
        </is>
      </c>
      <c r="M413" t="inlineStr">
        <is>
          <t>v0.6：同一価格表セクション内で凡例継承を確定。</t>
        </is>
      </c>
      <c r="N413" t="inlineStr">
        <is>
          <t>https://drive.google.com/file/d/1YUN-mtWYs48YBUHJk0C3vJXnhjyZFHyf/view</t>
        </is>
      </c>
    </row>
    <row r="414">
      <c r="A414" s="42" t="inlineStr">
        <is>
          <t>GSC-SL-000411</t>
        </is>
      </c>
      <c r="B414" t="inlineStr">
        <is>
          <t>SZ-SL-000411</t>
        </is>
      </c>
      <c r="C414" t="inlineStr">
        <is>
          <t>WT-SL-SHUTTER-HIKI</t>
        </is>
      </c>
      <c r="D414" t="inlineStr">
        <is>
          <t>SP-SL-SHUT-E-VENT</t>
        </is>
      </c>
      <c r="E414" t="inlineStr">
        <is>
          <t>17422</t>
        </is>
      </c>
      <c r="F414" t="b">
        <v>1</v>
      </c>
      <c r="G414" t="n">
        <v>43</v>
      </c>
      <c r="H414" t="inlineStr">
        <is>
          <t>★</t>
        </is>
      </c>
      <c r="I414" t="n">
        <v>42</v>
      </c>
      <c r="J414" t="inlineStr">
        <is>
          <t>P42|★</t>
        </is>
      </c>
      <c r="K414" t="inlineStr">
        <is>
          <t>同一価格表・前頁凡例を継承</t>
        </is>
      </c>
      <c r="L414" t="inlineStr">
        <is>
          <t>202604_LIXIL_サーモスＬ_業務用資料集_完成品価格表.pdf</t>
        </is>
      </c>
      <c r="M414" t="inlineStr">
        <is>
          <t>v0.6：同一価格表セクション内で凡例継承を確定。</t>
        </is>
      </c>
      <c r="N414" t="inlineStr">
        <is>
          <t>https://drive.google.com/file/d/1YUN-mtWYs48YBUHJk0C3vJXnhjyZFHyf/view</t>
        </is>
      </c>
    </row>
    <row r="415">
      <c r="A415" s="42" t="inlineStr">
        <is>
          <t>GSC-SL-000412</t>
        </is>
      </c>
      <c r="B415" t="inlineStr">
        <is>
          <t>SZ-SL-000412</t>
        </is>
      </c>
      <c r="C415" t="inlineStr">
        <is>
          <t>WT-SL-SHUTTER-HIKI</t>
        </is>
      </c>
      <c r="D415" t="inlineStr">
        <is>
          <t>SP-SL-SHUT-E-VENT</t>
        </is>
      </c>
      <c r="E415" t="inlineStr">
        <is>
          <t>17424</t>
        </is>
      </c>
      <c r="F415" t="b">
        <v>0</v>
      </c>
      <c r="G415" t="n">
        <v>43</v>
      </c>
      <c r="H415" t="inlineStr">
        <is>
          <t>★</t>
        </is>
      </c>
      <c r="I415" t="n">
        <v>42</v>
      </c>
      <c r="J415" t="inlineStr">
        <is>
          <t>P42|★</t>
        </is>
      </c>
      <c r="K415" t="inlineStr">
        <is>
          <t>同一価格表・前頁凡例を継承</t>
        </is>
      </c>
      <c r="L415" t="inlineStr">
        <is>
          <t>202604_LIXIL_サーモスＬ_業務用資料集_完成品価格表.pdf</t>
        </is>
      </c>
      <c r="M415" t="inlineStr">
        <is>
          <t>v0.6：同一価格表セクション内で凡例継承を確定。</t>
        </is>
      </c>
      <c r="N415" t="inlineStr">
        <is>
          <t>https://drive.google.com/file/d/1YUN-mtWYs48YBUHJk0C3vJXnhjyZFHyf/view</t>
        </is>
      </c>
    </row>
    <row r="416">
      <c r="A416" s="42" t="inlineStr">
        <is>
          <t>GSC-SL-000413</t>
        </is>
      </c>
      <c r="B416" t="inlineStr">
        <is>
          <t>SZ-SL-000413</t>
        </is>
      </c>
      <c r="C416" t="inlineStr">
        <is>
          <t>WT-SL-SHUTTER-HIKI</t>
        </is>
      </c>
      <c r="D416" t="inlineStr">
        <is>
          <t>SP-SL-SHUT-E-VENT</t>
        </is>
      </c>
      <c r="E416" t="inlineStr">
        <is>
          <t>17622</t>
        </is>
      </c>
      <c r="F416" t="b">
        <v>1</v>
      </c>
      <c r="G416" t="n">
        <v>43</v>
      </c>
      <c r="H416" t="inlineStr">
        <is>
          <t>★</t>
        </is>
      </c>
      <c r="I416" t="n">
        <v>42</v>
      </c>
      <c r="J416" t="inlineStr">
        <is>
          <t>P42|★</t>
        </is>
      </c>
      <c r="K416" t="inlineStr">
        <is>
          <t>同一価格表・前頁凡例を継承</t>
        </is>
      </c>
      <c r="L416" t="inlineStr">
        <is>
          <t>202604_LIXIL_サーモスＬ_業務用資料集_完成品価格表.pdf</t>
        </is>
      </c>
      <c r="M416" t="inlineStr">
        <is>
          <t>v0.6：同一価格表セクション内で凡例継承を確定。</t>
        </is>
      </c>
      <c r="N416" t="inlineStr">
        <is>
          <t>https://drive.google.com/file/d/1YUN-mtWYs48YBUHJk0C3vJXnhjyZFHyf/view</t>
        </is>
      </c>
    </row>
    <row r="417">
      <c r="A417" s="42" t="inlineStr">
        <is>
          <t>GSC-SL-000414</t>
        </is>
      </c>
      <c r="B417" t="inlineStr">
        <is>
          <t>SZ-SL-000414</t>
        </is>
      </c>
      <c r="C417" t="inlineStr">
        <is>
          <t>WT-SL-SHUTTER-HIKI</t>
        </is>
      </c>
      <c r="D417" t="inlineStr">
        <is>
          <t>SP-SL-SHUT-E-VENT</t>
        </is>
      </c>
      <c r="E417" t="inlineStr">
        <is>
          <t>17624</t>
        </is>
      </c>
      <c r="F417" t="b">
        <v>0</v>
      </c>
      <c r="G417" t="n">
        <v>43</v>
      </c>
      <c r="H417" t="inlineStr">
        <is>
          <t>★</t>
        </is>
      </c>
      <c r="I417" t="n">
        <v>42</v>
      </c>
      <c r="J417" t="inlineStr">
        <is>
          <t>P42|★</t>
        </is>
      </c>
      <c r="K417" t="inlineStr">
        <is>
          <t>同一価格表・前頁凡例を継承</t>
        </is>
      </c>
      <c r="L417" t="inlineStr">
        <is>
          <t>202604_LIXIL_サーモスＬ_業務用資料集_完成品価格表.pdf</t>
        </is>
      </c>
      <c r="M417" t="inlineStr">
        <is>
          <t>v0.6：同一価格表セクション内で凡例継承を確定。</t>
        </is>
      </c>
      <c r="N417" t="inlineStr">
        <is>
          <t>https://drive.google.com/file/d/1YUN-mtWYs48YBUHJk0C3vJXnhjyZFHyf/view</t>
        </is>
      </c>
    </row>
    <row r="418">
      <c r="A418" s="42" t="inlineStr">
        <is>
          <t>GSC-SL-000415</t>
        </is>
      </c>
      <c r="B418" t="inlineStr">
        <is>
          <t>SZ-SL-000415</t>
        </is>
      </c>
      <c r="C418" t="inlineStr">
        <is>
          <t>WT-SL-SHUTTER-HIKI</t>
        </is>
      </c>
      <c r="D418" t="inlineStr">
        <is>
          <t>SP-SL-SHUT-E-VENT</t>
        </is>
      </c>
      <c r="E418" t="inlineStr">
        <is>
          <t>18022</t>
        </is>
      </c>
      <c r="F418" t="b">
        <v>1</v>
      </c>
      <c r="G418" t="n">
        <v>43</v>
      </c>
      <c r="H418" t="inlineStr">
        <is>
          <t>★</t>
        </is>
      </c>
      <c r="I418" t="n">
        <v>42</v>
      </c>
      <c r="J418" t="inlineStr">
        <is>
          <t>P42|★</t>
        </is>
      </c>
      <c r="K418" t="inlineStr">
        <is>
          <t>同一価格表・前頁凡例を継承</t>
        </is>
      </c>
      <c r="L418" t="inlineStr">
        <is>
          <t>202604_LIXIL_サーモスＬ_業務用資料集_完成品価格表.pdf</t>
        </is>
      </c>
      <c r="M418" t="inlineStr">
        <is>
          <t>v0.6：同一価格表セクション内で凡例継承を確定。</t>
        </is>
      </c>
      <c r="N418" t="inlineStr">
        <is>
          <t>https://drive.google.com/file/d/1YUN-mtWYs48YBUHJk0C3vJXnhjyZFHyf/view</t>
        </is>
      </c>
    </row>
    <row r="419">
      <c r="A419" s="42" t="inlineStr">
        <is>
          <t>GSC-SL-000416</t>
        </is>
      </c>
      <c r="B419" t="inlineStr">
        <is>
          <t>SZ-SL-000416</t>
        </is>
      </c>
      <c r="C419" t="inlineStr">
        <is>
          <t>WT-SL-SHUTTER-HIKI</t>
        </is>
      </c>
      <c r="D419" t="inlineStr">
        <is>
          <t>SP-SL-SHUT-E-VENT</t>
        </is>
      </c>
      <c r="E419" t="inlineStr">
        <is>
          <t>18024</t>
        </is>
      </c>
      <c r="F419" t="b">
        <v>0</v>
      </c>
      <c r="G419" t="n">
        <v>43</v>
      </c>
      <c r="H419" t="inlineStr">
        <is>
          <t>☆</t>
        </is>
      </c>
      <c r="I419" t="n">
        <v>42</v>
      </c>
      <c r="J419" t="inlineStr">
        <is>
          <t>P42|☆</t>
        </is>
      </c>
      <c r="K419" t="inlineStr">
        <is>
          <t>同一価格表・前頁凡例を継承</t>
        </is>
      </c>
      <c r="L419" t="inlineStr">
        <is>
          <t>202604_LIXIL_サーモスＬ_業務用資料集_完成品価格表.pdf</t>
        </is>
      </c>
      <c r="M419" t="inlineStr">
        <is>
          <t>v0.6：同一価格表セクション内で凡例継承を確定。</t>
        </is>
      </c>
      <c r="N419" t="inlineStr">
        <is>
          <t>https://drive.google.com/file/d/1YUN-mtWYs48YBUHJk0C3vJXnhjyZFHyf/view</t>
        </is>
      </c>
    </row>
    <row r="420">
      <c r="A420" s="42" t="inlineStr">
        <is>
          <t>GSC-SL-000417</t>
        </is>
      </c>
      <c r="B420" t="inlineStr">
        <is>
          <t>SZ-SL-000417</t>
        </is>
      </c>
      <c r="C420" t="inlineStr">
        <is>
          <t>WT-SL-SHUTTER-HIKI</t>
        </is>
      </c>
      <c r="D420" t="inlineStr">
        <is>
          <t>SP-SL-SHUT-E-WIND</t>
        </is>
      </c>
      <c r="E420" t="inlineStr">
        <is>
          <t>16522</t>
        </is>
      </c>
      <c r="F420" t="b">
        <v>1</v>
      </c>
      <c r="G420" t="n">
        <v>43</v>
      </c>
      <c r="H420" t="inlineStr">
        <is>
          <t>★</t>
        </is>
      </c>
      <c r="I420" t="n">
        <v>42</v>
      </c>
      <c r="J420" t="inlineStr">
        <is>
          <t>P42|★</t>
        </is>
      </c>
      <c r="K420" t="inlineStr">
        <is>
          <t>同一価格表・前頁凡例を継承</t>
        </is>
      </c>
      <c r="L420" t="inlineStr">
        <is>
          <t>202604_LIXIL_サーモスＬ_業務用資料集_完成品価格表.pdf</t>
        </is>
      </c>
      <c r="M420" t="inlineStr">
        <is>
          <t>v0.6：同一価格表セクション内で凡例継承を確定。</t>
        </is>
      </c>
      <c r="N420" t="inlineStr">
        <is>
          <t>https://drive.google.com/file/d/1YUN-mtWYs48YBUHJk0C3vJXnhjyZFHyf/view</t>
        </is>
      </c>
    </row>
    <row r="421">
      <c r="A421" s="42" t="inlineStr">
        <is>
          <t>GSC-SL-000418</t>
        </is>
      </c>
      <c r="B421" t="inlineStr">
        <is>
          <t>SZ-SL-000418</t>
        </is>
      </c>
      <c r="C421" t="inlineStr">
        <is>
          <t>WT-SL-SHUTTER-HIKI</t>
        </is>
      </c>
      <c r="D421" t="inlineStr">
        <is>
          <t>SP-SL-SHUT-E-WIND</t>
        </is>
      </c>
      <c r="E421" t="inlineStr">
        <is>
          <t>16524</t>
        </is>
      </c>
      <c r="F421" t="b">
        <v>0</v>
      </c>
      <c r="G421" t="n">
        <v>43</v>
      </c>
      <c r="H421" t="inlineStr">
        <is>
          <t>★</t>
        </is>
      </c>
      <c r="I421" t="n">
        <v>42</v>
      </c>
      <c r="J421" t="inlineStr">
        <is>
          <t>P42|★</t>
        </is>
      </c>
      <c r="K421" t="inlineStr">
        <is>
          <t>同一価格表・前頁凡例を継承</t>
        </is>
      </c>
      <c r="L421" t="inlineStr">
        <is>
          <t>202604_LIXIL_サーモスＬ_業務用資料集_完成品価格表.pdf</t>
        </is>
      </c>
      <c r="M421" t="inlineStr">
        <is>
          <t>v0.6：同一価格表セクション内で凡例継承を確定。</t>
        </is>
      </c>
      <c r="N421" t="inlineStr">
        <is>
          <t>https://drive.google.com/file/d/1YUN-mtWYs48YBUHJk0C3vJXnhjyZFHyf/view</t>
        </is>
      </c>
    </row>
    <row r="422">
      <c r="A422" s="42" t="inlineStr">
        <is>
          <t>GSC-SL-000419</t>
        </is>
      </c>
      <c r="B422" t="inlineStr">
        <is>
          <t>SZ-SL-000419</t>
        </is>
      </c>
      <c r="C422" t="inlineStr">
        <is>
          <t>WT-SL-SHUTTER-HIKI</t>
        </is>
      </c>
      <c r="D422" t="inlineStr">
        <is>
          <t>SP-SL-SHUT-E-WIND</t>
        </is>
      </c>
      <c r="E422" t="inlineStr">
        <is>
          <t>17422</t>
        </is>
      </c>
      <c r="F422" t="b">
        <v>0</v>
      </c>
      <c r="G422" t="n">
        <v>43</v>
      </c>
      <c r="H422" t="inlineStr">
        <is>
          <t>★</t>
        </is>
      </c>
      <c r="I422" t="n">
        <v>42</v>
      </c>
      <c r="J422" t="inlineStr">
        <is>
          <t>P42|★</t>
        </is>
      </c>
      <c r="K422" t="inlineStr">
        <is>
          <t>同一価格表・前頁凡例を継承</t>
        </is>
      </c>
      <c r="L422" t="inlineStr">
        <is>
          <t>202604_LIXIL_サーモスＬ_業務用資料集_完成品価格表.pdf</t>
        </is>
      </c>
      <c r="M422" t="inlineStr">
        <is>
          <t>v0.6：同一価格表セクション内で凡例継承を確定。</t>
        </is>
      </c>
      <c r="N422" t="inlineStr">
        <is>
          <t>https://drive.google.com/file/d/1YUN-mtWYs48YBUHJk0C3vJXnhjyZFHyf/view</t>
        </is>
      </c>
    </row>
    <row r="423">
      <c r="A423" s="42" t="inlineStr">
        <is>
          <t>GSC-SL-000420</t>
        </is>
      </c>
      <c r="B423" t="inlineStr">
        <is>
          <t>SZ-SL-000420</t>
        </is>
      </c>
      <c r="C423" t="inlineStr">
        <is>
          <t>WT-SL-SHUTTER-HIKI</t>
        </is>
      </c>
      <c r="D423" t="inlineStr">
        <is>
          <t>SP-SL-SHUT-E-WIND</t>
        </is>
      </c>
      <c r="E423" t="inlineStr">
        <is>
          <t>17424</t>
        </is>
      </c>
      <c r="F423" t="b">
        <v>0</v>
      </c>
      <c r="G423" t="n">
        <v>43</v>
      </c>
      <c r="H423" t="inlineStr">
        <is>
          <t>★</t>
        </is>
      </c>
      <c r="I423" t="n">
        <v>42</v>
      </c>
      <c r="J423" t="inlineStr">
        <is>
          <t>P42|★</t>
        </is>
      </c>
      <c r="K423" t="inlineStr">
        <is>
          <t>同一価格表・前頁凡例を継承</t>
        </is>
      </c>
      <c r="L423" t="inlineStr">
        <is>
          <t>202604_LIXIL_サーモスＬ_業務用資料集_完成品価格表.pdf</t>
        </is>
      </c>
      <c r="M423" t="inlineStr">
        <is>
          <t>v0.6：同一価格表セクション内で凡例継承を確定。</t>
        </is>
      </c>
      <c r="N423" t="inlineStr">
        <is>
          <t>https://drive.google.com/file/d/1YUN-mtWYs48YBUHJk0C3vJXnhjyZFHyf/view</t>
        </is>
      </c>
    </row>
    <row r="424">
      <c r="A424" s="42" t="inlineStr">
        <is>
          <t>GSC-SL-000421</t>
        </is>
      </c>
      <c r="B424" t="inlineStr">
        <is>
          <t>SZ-SL-000421</t>
        </is>
      </c>
      <c r="C424" t="inlineStr">
        <is>
          <t>WT-SL-SHUTTER-HIKI</t>
        </is>
      </c>
      <c r="D424" t="inlineStr">
        <is>
          <t>SP-SL-SHUT-E-WIND</t>
        </is>
      </c>
      <c r="E424" t="inlineStr">
        <is>
          <t>17622</t>
        </is>
      </c>
      <c r="F424" t="b">
        <v>0</v>
      </c>
      <c r="G424" t="n">
        <v>43</v>
      </c>
      <c r="H424" t="inlineStr">
        <is>
          <t>★</t>
        </is>
      </c>
      <c r="I424" t="n">
        <v>42</v>
      </c>
      <c r="J424" t="inlineStr">
        <is>
          <t>P42|★</t>
        </is>
      </c>
      <c r="K424" t="inlineStr">
        <is>
          <t>同一価格表・前頁凡例を継承</t>
        </is>
      </c>
      <c r="L424" t="inlineStr">
        <is>
          <t>202604_LIXIL_サーモスＬ_業務用資料集_完成品価格表.pdf</t>
        </is>
      </c>
      <c r="M424" t="inlineStr">
        <is>
          <t>v0.6：同一価格表セクション内で凡例継承を確定。</t>
        </is>
      </c>
      <c r="N424" t="inlineStr">
        <is>
          <t>https://drive.google.com/file/d/1YUN-mtWYs48YBUHJk0C3vJXnhjyZFHyf/view</t>
        </is>
      </c>
    </row>
    <row r="425">
      <c r="A425" s="42" t="inlineStr">
        <is>
          <t>GSC-SL-000422</t>
        </is>
      </c>
      <c r="B425" t="inlineStr">
        <is>
          <t>SZ-SL-000422</t>
        </is>
      </c>
      <c r="C425" t="inlineStr">
        <is>
          <t>WT-SL-SHUTTER-HIKI</t>
        </is>
      </c>
      <c r="D425" t="inlineStr">
        <is>
          <t>SP-SL-SHUT-E-WIND</t>
        </is>
      </c>
      <c r="E425" t="inlineStr">
        <is>
          <t>17624</t>
        </is>
      </c>
      <c r="F425" t="b">
        <v>0</v>
      </c>
      <c r="G425" t="n">
        <v>43</v>
      </c>
      <c r="H425" t="inlineStr">
        <is>
          <t>★</t>
        </is>
      </c>
      <c r="I425" t="n">
        <v>42</v>
      </c>
      <c r="J425" t="inlineStr">
        <is>
          <t>P42|★</t>
        </is>
      </c>
      <c r="K425" t="inlineStr">
        <is>
          <t>同一価格表・前頁凡例を継承</t>
        </is>
      </c>
      <c r="L425" t="inlineStr">
        <is>
          <t>202604_LIXIL_サーモスＬ_業務用資料集_完成品価格表.pdf</t>
        </is>
      </c>
      <c r="M425" t="inlineStr">
        <is>
          <t>v0.6：同一価格表セクション内で凡例継承を確定。</t>
        </is>
      </c>
      <c r="N425" t="inlineStr">
        <is>
          <t>https://drive.google.com/file/d/1YUN-mtWYs48YBUHJk0C3vJXnhjyZFHyf/view</t>
        </is>
      </c>
    </row>
    <row r="426">
      <c r="A426" s="42" t="inlineStr">
        <is>
          <t>GSC-SL-000423</t>
        </is>
      </c>
      <c r="B426" t="inlineStr">
        <is>
          <t>SZ-SL-000423</t>
        </is>
      </c>
      <c r="C426" t="inlineStr">
        <is>
          <t>WT-SL-SHUTTER-HIKI</t>
        </is>
      </c>
      <c r="D426" t="inlineStr">
        <is>
          <t>SP-SL-SHUT-E-WIND</t>
        </is>
      </c>
      <c r="E426" t="inlineStr">
        <is>
          <t>18022</t>
        </is>
      </c>
      <c r="F426" t="b">
        <v>0</v>
      </c>
      <c r="G426" t="n">
        <v>43</v>
      </c>
      <c r="H426" t="inlineStr">
        <is>
          <t>★</t>
        </is>
      </c>
      <c r="I426" t="n">
        <v>42</v>
      </c>
      <c r="J426" t="inlineStr">
        <is>
          <t>P42|★</t>
        </is>
      </c>
      <c r="K426" t="inlineStr">
        <is>
          <t>同一価格表・前頁凡例を継承</t>
        </is>
      </c>
      <c r="L426" t="inlineStr">
        <is>
          <t>202604_LIXIL_サーモスＬ_業務用資料集_完成品価格表.pdf</t>
        </is>
      </c>
      <c r="M426" t="inlineStr">
        <is>
          <t>v0.6：同一価格表セクション内で凡例継承を確定。</t>
        </is>
      </c>
      <c r="N426" t="inlineStr">
        <is>
          <t>https://drive.google.com/file/d/1YUN-mtWYs48YBUHJk0C3vJXnhjyZFHyf/view</t>
        </is>
      </c>
    </row>
    <row r="427">
      <c r="A427" s="42" t="inlineStr">
        <is>
          <t>GSC-SL-000424</t>
        </is>
      </c>
      <c r="B427" t="inlineStr">
        <is>
          <t>SZ-SL-000424</t>
        </is>
      </c>
      <c r="C427" t="inlineStr">
        <is>
          <t>WT-SL-SHUTTER-HIKI</t>
        </is>
      </c>
      <c r="D427" t="inlineStr">
        <is>
          <t>SP-SL-SHUT-E-WIND</t>
        </is>
      </c>
      <c r="E427" t="inlineStr">
        <is>
          <t>18024</t>
        </is>
      </c>
      <c r="F427" t="b">
        <v>0</v>
      </c>
      <c r="G427" t="n">
        <v>43</v>
      </c>
      <c r="H427" t="inlineStr">
        <is>
          <t>☆</t>
        </is>
      </c>
      <c r="I427" t="n">
        <v>42</v>
      </c>
      <c r="J427" t="inlineStr">
        <is>
          <t>P42|☆</t>
        </is>
      </c>
      <c r="K427" t="inlineStr">
        <is>
          <t>同一価格表・前頁凡例を継承</t>
        </is>
      </c>
      <c r="L427" t="inlineStr">
        <is>
          <t>202604_LIXIL_サーモスＬ_業務用資料集_完成品価格表.pdf</t>
        </is>
      </c>
      <c r="M427" t="inlineStr">
        <is>
          <t>v0.6：同一価格表セクション内で凡例継承を確定。</t>
        </is>
      </c>
      <c r="N427" t="inlineStr">
        <is>
          <t>https://drive.google.com/file/d/1YUN-mtWYs48YBUHJk0C3vJXnhjyZFHyf/view</t>
        </is>
      </c>
    </row>
    <row r="428">
      <c r="A428" s="42" t="inlineStr">
        <is>
          <t>GSC-SL-000425</t>
        </is>
      </c>
      <c r="B428" t="inlineStr">
        <is>
          <t>SZ-SL-000425</t>
        </is>
      </c>
      <c r="C428" t="inlineStr">
        <is>
          <t>WT-SL-SHUTTER-HIKI</t>
        </is>
      </c>
      <c r="D428" t="inlineStr">
        <is>
          <t>SP-SL-SHUT-E-STD</t>
        </is>
      </c>
      <c r="E428" t="inlineStr">
        <is>
          <t>18622</t>
        </is>
      </c>
      <c r="F428" t="b">
        <v>1</v>
      </c>
      <c r="G428" t="n">
        <v>44</v>
      </c>
      <c r="H428" t="inlineStr">
        <is>
          <t>★</t>
        </is>
      </c>
      <c r="I428" t="n">
        <v>45</v>
      </c>
      <c r="J428" t="inlineStr">
        <is>
          <t>P45|★</t>
        </is>
      </c>
      <c r="K428" t="inlineStr">
        <is>
          <t>同一価格表・次頁凡例を継承</t>
        </is>
      </c>
      <c r="L428" t="inlineStr">
        <is>
          <t>202604_LIXIL_サーモスＬ_業務用資料集_完成品価格表.pdf</t>
        </is>
      </c>
      <c r="M428" t="inlineStr">
        <is>
          <t>v0.6：同一価格表セクション内で凡例継承を確定。</t>
        </is>
      </c>
      <c r="N428" t="inlineStr">
        <is>
          <t>https://drive.google.com/file/d/1YUN-mtWYs48YBUHJk0C3vJXnhjyZFHyf/view</t>
        </is>
      </c>
    </row>
    <row r="429">
      <c r="A429" s="42" t="inlineStr">
        <is>
          <t>GSC-SL-000426</t>
        </is>
      </c>
      <c r="B429" t="inlineStr">
        <is>
          <t>SZ-SL-000426</t>
        </is>
      </c>
      <c r="C429" t="inlineStr">
        <is>
          <t>WT-SL-SHUTTER-HIKI</t>
        </is>
      </c>
      <c r="D429" t="inlineStr">
        <is>
          <t>SP-SL-SHUT-E-STD</t>
        </is>
      </c>
      <c r="E429" t="inlineStr">
        <is>
          <t>18624</t>
        </is>
      </c>
      <c r="F429" t="b">
        <v>1</v>
      </c>
      <c r="G429" t="n">
        <v>44</v>
      </c>
      <c r="H429" t="inlineStr">
        <is>
          <t>☆</t>
        </is>
      </c>
      <c r="I429" t="n">
        <v>45</v>
      </c>
      <c r="J429" t="inlineStr">
        <is>
          <t>P45|☆</t>
        </is>
      </c>
      <c r="K429" t="inlineStr">
        <is>
          <t>同一価格表・次頁凡例を継承</t>
        </is>
      </c>
      <c r="L429" t="inlineStr">
        <is>
          <t>202604_LIXIL_サーモスＬ_業務用資料集_完成品価格表.pdf</t>
        </is>
      </c>
      <c r="M429" t="inlineStr">
        <is>
          <t>v0.6：同一価格表セクション内で凡例継承を確定。</t>
        </is>
      </c>
      <c r="N429" t="inlineStr">
        <is>
          <t>https://drive.google.com/file/d/1YUN-mtWYs48YBUHJk0C3vJXnhjyZFHyf/view</t>
        </is>
      </c>
    </row>
    <row r="430">
      <c r="A430" s="42" t="inlineStr">
        <is>
          <t>GSC-SL-000427</t>
        </is>
      </c>
      <c r="B430" t="inlineStr">
        <is>
          <t>SZ-SL-000427</t>
        </is>
      </c>
      <c r="C430" t="inlineStr">
        <is>
          <t>WT-SL-SHUTTER-HIKI</t>
        </is>
      </c>
      <c r="D430" t="inlineStr">
        <is>
          <t>SP-SL-SHUT-E-STD</t>
        </is>
      </c>
      <c r="E430" t="inlineStr">
        <is>
          <t>25122-2</t>
        </is>
      </c>
      <c r="F430" t="b">
        <v>1</v>
      </c>
      <c r="G430" t="n">
        <v>44</v>
      </c>
      <c r="H430" t="inlineStr">
        <is>
          <t>◆</t>
        </is>
      </c>
      <c r="I430" t="n">
        <v>45</v>
      </c>
      <c r="J430" t="inlineStr">
        <is>
          <t>P45|◆</t>
        </is>
      </c>
      <c r="K430" t="inlineStr">
        <is>
          <t>同一価格表・次頁凡例を継承</t>
        </is>
      </c>
      <c r="L430" t="inlineStr">
        <is>
          <t>202604_LIXIL_サーモスＬ_業務用資料集_完成品価格表.pdf</t>
        </is>
      </c>
      <c r="M430" t="inlineStr">
        <is>
          <t>v0.6：同一価格表セクション内で凡例継承を確定。</t>
        </is>
      </c>
      <c r="N430" t="inlineStr">
        <is>
          <t>https://drive.google.com/file/d/1YUN-mtWYs48YBUHJk0C3vJXnhjyZFHyf/view</t>
        </is>
      </c>
    </row>
    <row r="431">
      <c r="A431" s="42" t="inlineStr">
        <is>
          <t>GSC-SL-000428</t>
        </is>
      </c>
      <c r="B431" t="inlineStr">
        <is>
          <t>SZ-SL-000428</t>
        </is>
      </c>
      <c r="C431" t="inlineStr">
        <is>
          <t>WT-SL-SHUTTER-HIKI</t>
        </is>
      </c>
      <c r="D431" t="inlineStr">
        <is>
          <t>SP-SL-SHUT-E-STD</t>
        </is>
      </c>
      <c r="E431" t="inlineStr">
        <is>
          <t>25122-4</t>
        </is>
      </c>
      <c r="F431" t="b">
        <v>1</v>
      </c>
      <c r="G431" t="n">
        <v>44</v>
      </c>
      <c r="H431" t="inlineStr">
        <is>
          <t>★</t>
        </is>
      </c>
      <c r="I431" t="n">
        <v>45</v>
      </c>
      <c r="J431" t="inlineStr">
        <is>
          <t>P45|★</t>
        </is>
      </c>
      <c r="K431" t="inlineStr">
        <is>
          <t>同一価格表・次頁凡例を継承</t>
        </is>
      </c>
      <c r="L431" t="inlineStr">
        <is>
          <t>202604_LIXIL_サーモスＬ_業務用資料集_完成品価格表.pdf</t>
        </is>
      </c>
      <c r="M431" t="inlineStr">
        <is>
          <t>v0.6：同一価格表セクション内で凡例継承を確定。</t>
        </is>
      </c>
      <c r="N431" t="inlineStr">
        <is>
          <t>https://drive.google.com/file/d/1YUN-mtWYs48YBUHJk0C3vJXnhjyZFHyf/view</t>
        </is>
      </c>
    </row>
    <row r="432">
      <c r="A432" s="42" t="inlineStr">
        <is>
          <t>GSC-SL-000429</t>
        </is>
      </c>
      <c r="B432" t="inlineStr">
        <is>
          <t>SZ-SL-000429</t>
        </is>
      </c>
      <c r="C432" t="inlineStr">
        <is>
          <t>WT-SL-SHUTTER-HIKI</t>
        </is>
      </c>
      <c r="D432" t="inlineStr">
        <is>
          <t>SP-SL-SHUT-E-STD</t>
        </is>
      </c>
      <c r="E432" t="inlineStr">
        <is>
          <t>25124-2</t>
        </is>
      </c>
      <c r="F432" t="b">
        <v>1</v>
      </c>
      <c r="G432" t="n">
        <v>44</v>
      </c>
      <c r="H432" t="inlineStr">
        <is>
          <t>●</t>
        </is>
      </c>
      <c r="I432" t="n">
        <v>45</v>
      </c>
      <c r="J432" t="inlineStr">
        <is>
          <t>P45|●</t>
        </is>
      </c>
      <c r="K432" t="inlineStr">
        <is>
          <t>同一価格表・次頁凡例を継承</t>
        </is>
      </c>
      <c r="L432" t="inlineStr">
        <is>
          <t>202604_LIXIL_サーモスＬ_業務用資料集_完成品価格表.pdf</t>
        </is>
      </c>
      <c r="M432" t="inlineStr">
        <is>
          <t>v0.6：同一価格表セクション内で凡例継承を確定。</t>
        </is>
      </c>
      <c r="N432" t="inlineStr">
        <is>
          <t>https://drive.google.com/file/d/1YUN-mtWYs48YBUHJk0C3vJXnhjyZFHyf/view</t>
        </is>
      </c>
    </row>
    <row r="433">
      <c r="A433" s="42" t="inlineStr">
        <is>
          <t>GSC-SL-000430</t>
        </is>
      </c>
      <c r="B433" t="inlineStr">
        <is>
          <t>SZ-SL-000430</t>
        </is>
      </c>
      <c r="C433" t="inlineStr">
        <is>
          <t>WT-SL-SHUTTER-HIKI</t>
        </is>
      </c>
      <c r="D433" t="inlineStr">
        <is>
          <t>SP-SL-SHUT-E-STD</t>
        </is>
      </c>
      <c r="E433" t="inlineStr">
        <is>
          <t>25124-4</t>
        </is>
      </c>
      <c r="F433" t="b">
        <v>1</v>
      </c>
      <c r="G433" t="n">
        <v>44</v>
      </c>
      <c r="H433" t="inlineStr">
        <is>
          <t>★</t>
        </is>
      </c>
      <c r="I433" t="n">
        <v>45</v>
      </c>
      <c r="J433" t="inlineStr">
        <is>
          <t>P45|★</t>
        </is>
      </c>
      <c r="K433" t="inlineStr">
        <is>
          <t>同一価格表・次頁凡例を継承</t>
        </is>
      </c>
      <c r="L433" t="inlineStr">
        <is>
          <t>202604_LIXIL_サーモスＬ_業務用資料集_完成品価格表.pdf</t>
        </is>
      </c>
      <c r="M433" t="inlineStr">
        <is>
          <t>v0.6：同一価格表セクション内で凡例継承を確定。</t>
        </is>
      </c>
      <c r="N433" t="inlineStr">
        <is>
          <t>https://drive.google.com/file/d/1YUN-mtWYs48YBUHJk0C3vJXnhjyZFHyf/view</t>
        </is>
      </c>
    </row>
    <row r="434">
      <c r="A434" s="42" t="inlineStr">
        <is>
          <t>GSC-SL-000431</t>
        </is>
      </c>
      <c r="B434" t="inlineStr">
        <is>
          <t>SZ-SL-000431</t>
        </is>
      </c>
      <c r="C434" t="inlineStr">
        <is>
          <t>WT-SL-SHUTTER-HIKI</t>
        </is>
      </c>
      <c r="D434" t="inlineStr">
        <is>
          <t>SP-SL-SHUT-E-VENT</t>
        </is>
      </c>
      <c r="E434" t="inlineStr">
        <is>
          <t>18622</t>
        </is>
      </c>
      <c r="F434" t="b">
        <v>1</v>
      </c>
      <c r="G434" t="n">
        <v>44</v>
      </c>
      <c r="H434" t="inlineStr">
        <is>
          <t>★</t>
        </is>
      </c>
      <c r="I434" t="n">
        <v>45</v>
      </c>
      <c r="J434" t="inlineStr">
        <is>
          <t>P45|★</t>
        </is>
      </c>
      <c r="K434" t="inlineStr">
        <is>
          <t>同一価格表・次頁凡例を継承</t>
        </is>
      </c>
      <c r="L434" t="inlineStr">
        <is>
          <t>202604_LIXIL_サーモスＬ_業務用資料集_完成品価格表.pdf</t>
        </is>
      </c>
      <c r="M434" t="inlineStr">
        <is>
          <t>v0.6：同一価格表セクション内で凡例継承を確定。</t>
        </is>
      </c>
      <c r="N434" t="inlineStr">
        <is>
          <t>https://drive.google.com/file/d/1YUN-mtWYs48YBUHJk0C3vJXnhjyZFHyf/view</t>
        </is>
      </c>
    </row>
    <row r="435">
      <c r="A435" s="42" t="inlineStr">
        <is>
          <t>GSC-SL-000432</t>
        </is>
      </c>
      <c r="B435" t="inlineStr">
        <is>
          <t>SZ-SL-000432</t>
        </is>
      </c>
      <c r="C435" t="inlineStr">
        <is>
          <t>WT-SL-SHUTTER-HIKI</t>
        </is>
      </c>
      <c r="D435" t="inlineStr">
        <is>
          <t>SP-SL-SHUT-E-VENT</t>
        </is>
      </c>
      <c r="E435" t="inlineStr">
        <is>
          <t>18624</t>
        </is>
      </c>
      <c r="F435" t="b">
        <v>0</v>
      </c>
      <c r="G435" t="n">
        <v>44</v>
      </c>
      <c r="H435" t="inlineStr">
        <is>
          <t>☆</t>
        </is>
      </c>
      <c r="I435" t="n">
        <v>45</v>
      </c>
      <c r="J435" t="inlineStr">
        <is>
          <t>P45|☆</t>
        </is>
      </c>
      <c r="K435" t="inlineStr">
        <is>
          <t>同一価格表・次頁凡例を継承</t>
        </is>
      </c>
      <c r="L435" t="inlineStr">
        <is>
          <t>202604_LIXIL_サーモスＬ_業務用資料集_完成品価格表.pdf</t>
        </is>
      </c>
      <c r="M435" t="inlineStr">
        <is>
          <t>v0.6：同一価格表セクション内で凡例継承を確定。</t>
        </is>
      </c>
      <c r="N435" t="inlineStr">
        <is>
          <t>https://drive.google.com/file/d/1YUN-mtWYs48YBUHJk0C3vJXnhjyZFHyf/view</t>
        </is>
      </c>
    </row>
    <row r="436">
      <c r="A436" s="42" t="inlineStr">
        <is>
          <t>GSC-SL-000433</t>
        </is>
      </c>
      <c r="B436" t="inlineStr">
        <is>
          <t>SZ-SL-000433</t>
        </is>
      </c>
      <c r="C436" t="inlineStr">
        <is>
          <t>WT-SL-SHUTTER-HIKI</t>
        </is>
      </c>
      <c r="D436" t="inlineStr">
        <is>
          <t>SP-SL-SHUT-E-VENT</t>
        </is>
      </c>
      <c r="E436" t="inlineStr">
        <is>
          <t>25122-2</t>
        </is>
      </c>
      <c r="F436" t="b">
        <v>1</v>
      </c>
      <c r="G436" t="n">
        <v>44</v>
      </c>
      <c r="H436" t="inlineStr">
        <is>
          <t>◆</t>
        </is>
      </c>
      <c r="I436" t="n">
        <v>45</v>
      </c>
      <c r="J436" t="inlineStr">
        <is>
          <t>P45|◆</t>
        </is>
      </c>
      <c r="K436" t="inlineStr">
        <is>
          <t>同一価格表・次頁凡例を継承</t>
        </is>
      </c>
      <c r="L436" t="inlineStr">
        <is>
          <t>202604_LIXIL_サーモスＬ_業務用資料集_完成品価格表.pdf</t>
        </is>
      </c>
      <c r="M436" t="inlineStr">
        <is>
          <t>v0.6：同一価格表セクション内で凡例継承を確定。</t>
        </is>
      </c>
      <c r="N436" t="inlineStr">
        <is>
          <t>https://drive.google.com/file/d/1YUN-mtWYs48YBUHJk0C3vJXnhjyZFHyf/view</t>
        </is>
      </c>
    </row>
    <row r="437">
      <c r="A437" s="42" t="inlineStr">
        <is>
          <t>GSC-SL-000434</t>
        </is>
      </c>
      <c r="B437" t="inlineStr">
        <is>
          <t>SZ-SL-000434</t>
        </is>
      </c>
      <c r="C437" t="inlineStr">
        <is>
          <t>WT-SL-SHUTTER-HIKI</t>
        </is>
      </c>
      <c r="D437" t="inlineStr">
        <is>
          <t>SP-SL-SHUT-E-VENT</t>
        </is>
      </c>
      <c r="E437" t="inlineStr">
        <is>
          <t>25122-4</t>
        </is>
      </c>
      <c r="F437" t="b">
        <v>1</v>
      </c>
      <c r="G437" t="n">
        <v>44</v>
      </c>
      <c r="H437" t="inlineStr">
        <is>
          <t>★</t>
        </is>
      </c>
      <c r="I437" t="n">
        <v>45</v>
      </c>
      <c r="J437" t="inlineStr">
        <is>
          <t>P45|★</t>
        </is>
      </c>
      <c r="K437" t="inlineStr">
        <is>
          <t>同一価格表・次頁凡例を継承</t>
        </is>
      </c>
      <c r="L437" t="inlineStr">
        <is>
          <t>202604_LIXIL_サーモスＬ_業務用資料集_完成品価格表.pdf</t>
        </is>
      </c>
      <c r="M437" t="inlineStr">
        <is>
          <t>v0.6：同一価格表セクション内で凡例継承を確定。</t>
        </is>
      </c>
      <c r="N437" t="inlineStr">
        <is>
          <t>https://drive.google.com/file/d/1YUN-mtWYs48YBUHJk0C3vJXnhjyZFHyf/view</t>
        </is>
      </c>
    </row>
    <row r="438">
      <c r="A438" s="42" t="inlineStr">
        <is>
          <t>GSC-SL-000435</t>
        </is>
      </c>
      <c r="B438" t="inlineStr">
        <is>
          <t>SZ-SL-000435</t>
        </is>
      </c>
      <c r="C438" t="inlineStr">
        <is>
          <t>WT-SL-SHUTTER-HIKI</t>
        </is>
      </c>
      <c r="D438" t="inlineStr">
        <is>
          <t>SP-SL-SHUT-E-VENT</t>
        </is>
      </c>
      <c r="E438" t="inlineStr">
        <is>
          <t>25124-2</t>
        </is>
      </c>
      <c r="F438" t="b">
        <v>0</v>
      </c>
      <c r="G438" t="n">
        <v>44</v>
      </c>
      <c r="H438" t="inlineStr">
        <is>
          <t>●</t>
        </is>
      </c>
      <c r="I438" t="n">
        <v>45</v>
      </c>
      <c r="J438" t="inlineStr">
        <is>
          <t>P45|●</t>
        </is>
      </c>
      <c r="K438" t="inlineStr">
        <is>
          <t>同一価格表・次頁凡例を継承</t>
        </is>
      </c>
      <c r="L438" t="inlineStr">
        <is>
          <t>202604_LIXIL_サーモスＬ_業務用資料集_完成品価格表.pdf</t>
        </is>
      </c>
      <c r="M438" t="inlineStr">
        <is>
          <t>v0.6：同一価格表セクション内で凡例継承を確定。</t>
        </is>
      </c>
      <c r="N438" t="inlineStr">
        <is>
          <t>https://drive.google.com/file/d/1YUN-mtWYs48YBUHJk0C3vJXnhjyZFHyf/view</t>
        </is>
      </c>
    </row>
    <row r="439">
      <c r="A439" s="42" t="inlineStr">
        <is>
          <t>GSC-SL-000436</t>
        </is>
      </c>
      <c r="B439" t="inlineStr">
        <is>
          <t>SZ-SL-000436</t>
        </is>
      </c>
      <c r="C439" t="inlineStr">
        <is>
          <t>WT-SL-SHUTTER-HIKI</t>
        </is>
      </c>
      <c r="D439" t="inlineStr">
        <is>
          <t>SP-SL-SHUT-E-VENT</t>
        </is>
      </c>
      <c r="E439" t="inlineStr">
        <is>
          <t>25124-4</t>
        </is>
      </c>
      <c r="F439" t="b">
        <v>0</v>
      </c>
      <c r="G439" t="n">
        <v>44</v>
      </c>
      <c r="H439" t="inlineStr">
        <is>
          <t>★</t>
        </is>
      </c>
      <c r="I439" t="n">
        <v>45</v>
      </c>
      <c r="J439" t="inlineStr">
        <is>
          <t>P45|★</t>
        </is>
      </c>
      <c r="K439" t="inlineStr">
        <is>
          <t>同一価格表・次頁凡例を継承</t>
        </is>
      </c>
      <c r="L439" t="inlineStr">
        <is>
          <t>202604_LIXIL_サーモスＬ_業務用資料集_完成品価格表.pdf</t>
        </is>
      </c>
      <c r="M439" t="inlineStr">
        <is>
          <t>v0.6：同一価格表セクション内で凡例継承を確定。</t>
        </is>
      </c>
      <c r="N439" t="inlineStr">
        <is>
          <t>https://drive.google.com/file/d/1YUN-mtWYs48YBUHJk0C3vJXnhjyZFHyf/view</t>
        </is>
      </c>
    </row>
    <row r="440">
      <c r="A440" s="42" t="inlineStr">
        <is>
          <t>GSC-SL-000437</t>
        </is>
      </c>
      <c r="B440" t="inlineStr">
        <is>
          <t>SZ-SL-000437</t>
        </is>
      </c>
      <c r="C440" t="inlineStr">
        <is>
          <t>WT-SL-SHUTTER-HIKI</t>
        </is>
      </c>
      <c r="D440" t="inlineStr">
        <is>
          <t>SP-SL-SHUT-E-WIND</t>
        </is>
      </c>
      <c r="E440" t="inlineStr">
        <is>
          <t>18622</t>
        </is>
      </c>
      <c r="F440" t="b">
        <v>0</v>
      </c>
      <c r="G440" t="n">
        <v>44</v>
      </c>
      <c r="H440" t="inlineStr">
        <is>
          <t>★</t>
        </is>
      </c>
      <c r="I440" t="n">
        <v>45</v>
      </c>
      <c r="J440" t="inlineStr">
        <is>
          <t>P45|★</t>
        </is>
      </c>
      <c r="K440" t="inlineStr">
        <is>
          <t>同一価格表・次頁凡例を継承</t>
        </is>
      </c>
      <c r="L440" t="inlineStr">
        <is>
          <t>202604_LIXIL_サーモスＬ_業務用資料集_完成品価格表.pdf</t>
        </is>
      </c>
      <c r="M440" t="inlineStr">
        <is>
          <t>v0.6：同一価格表セクション内で凡例継承を確定。</t>
        </is>
      </c>
      <c r="N440" t="inlineStr">
        <is>
          <t>https://drive.google.com/file/d/1YUN-mtWYs48YBUHJk0C3vJXnhjyZFHyf/view</t>
        </is>
      </c>
    </row>
    <row r="441">
      <c r="A441" s="42" t="inlineStr">
        <is>
          <t>GSC-SL-000438</t>
        </is>
      </c>
      <c r="B441" t="inlineStr">
        <is>
          <t>SZ-SL-000438</t>
        </is>
      </c>
      <c r="C441" t="inlineStr">
        <is>
          <t>WT-SL-SHUTTER-HIKI</t>
        </is>
      </c>
      <c r="D441" t="inlineStr">
        <is>
          <t>SP-SL-SHUT-E-WIND</t>
        </is>
      </c>
      <c r="E441" t="inlineStr">
        <is>
          <t>18624</t>
        </is>
      </c>
      <c r="F441" t="b">
        <v>0</v>
      </c>
      <c r="G441" t="n">
        <v>44</v>
      </c>
      <c r="H441" t="inlineStr">
        <is>
          <t>☆</t>
        </is>
      </c>
      <c r="I441" t="n">
        <v>45</v>
      </c>
      <c r="J441" t="inlineStr">
        <is>
          <t>P45|☆</t>
        </is>
      </c>
      <c r="K441" t="inlineStr">
        <is>
          <t>同一価格表・次頁凡例を継承</t>
        </is>
      </c>
      <c r="L441" t="inlineStr">
        <is>
          <t>202604_LIXIL_サーモスＬ_業務用資料集_完成品価格表.pdf</t>
        </is>
      </c>
      <c r="M441" t="inlineStr">
        <is>
          <t>v0.6：同一価格表セクション内で凡例継承を確定。</t>
        </is>
      </c>
      <c r="N441" t="inlineStr">
        <is>
          <t>https://drive.google.com/file/d/1YUN-mtWYs48YBUHJk0C3vJXnhjyZFHyf/view</t>
        </is>
      </c>
    </row>
    <row r="442">
      <c r="A442" s="42" t="inlineStr">
        <is>
          <t>GSC-SL-000439</t>
        </is>
      </c>
      <c r="B442" t="inlineStr">
        <is>
          <t>SZ-SL-000439</t>
        </is>
      </c>
      <c r="C442" t="inlineStr">
        <is>
          <t>WT-SL-SHUTTER-HIKI</t>
        </is>
      </c>
      <c r="D442" t="inlineStr">
        <is>
          <t>SP-SL-SHUT-E-WIND</t>
        </is>
      </c>
      <c r="E442" t="inlineStr">
        <is>
          <t>25122-2</t>
        </is>
      </c>
      <c r="F442" t="b">
        <v>1</v>
      </c>
      <c r="G442" t="n">
        <v>44</v>
      </c>
      <c r="H442" t="inlineStr">
        <is>
          <t>◆</t>
        </is>
      </c>
      <c r="I442" t="n">
        <v>45</v>
      </c>
      <c r="J442" t="inlineStr">
        <is>
          <t>P45|◆</t>
        </is>
      </c>
      <c r="K442" t="inlineStr">
        <is>
          <t>同一価格表・次頁凡例を継承</t>
        </is>
      </c>
      <c r="L442" t="inlineStr">
        <is>
          <t>202604_LIXIL_サーモスＬ_業務用資料集_完成品価格表.pdf</t>
        </is>
      </c>
      <c r="M442" t="inlineStr">
        <is>
          <t>v0.6：同一価格表セクション内で凡例継承を確定。</t>
        </is>
      </c>
      <c r="N442" t="inlineStr">
        <is>
          <t>https://drive.google.com/file/d/1YUN-mtWYs48YBUHJk0C3vJXnhjyZFHyf/view</t>
        </is>
      </c>
    </row>
    <row r="443">
      <c r="A443" s="42" t="inlineStr">
        <is>
          <t>GSC-SL-000440</t>
        </is>
      </c>
      <c r="B443" t="inlineStr">
        <is>
          <t>SZ-SL-000440</t>
        </is>
      </c>
      <c r="C443" t="inlineStr">
        <is>
          <t>WT-SL-SHUTTER-HIKI</t>
        </is>
      </c>
      <c r="D443" t="inlineStr">
        <is>
          <t>SP-SL-SHUT-E-WIND</t>
        </is>
      </c>
      <c r="E443" t="inlineStr">
        <is>
          <t>25122-4</t>
        </is>
      </c>
      <c r="F443" t="b">
        <v>1</v>
      </c>
      <c r="G443" t="n">
        <v>44</v>
      </c>
      <c r="H443" t="inlineStr">
        <is>
          <t>★</t>
        </is>
      </c>
      <c r="I443" t="n">
        <v>45</v>
      </c>
      <c r="J443" t="inlineStr">
        <is>
          <t>P45|★</t>
        </is>
      </c>
      <c r="K443" t="inlineStr">
        <is>
          <t>同一価格表・次頁凡例を継承</t>
        </is>
      </c>
      <c r="L443" t="inlineStr">
        <is>
          <t>202604_LIXIL_サーモスＬ_業務用資料集_完成品価格表.pdf</t>
        </is>
      </c>
      <c r="M443" t="inlineStr">
        <is>
          <t>v0.6：同一価格表セクション内で凡例継承を確定。</t>
        </is>
      </c>
      <c r="N443" t="inlineStr">
        <is>
          <t>https://drive.google.com/file/d/1YUN-mtWYs48YBUHJk0C3vJXnhjyZFHyf/view</t>
        </is>
      </c>
    </row>
    <row r="444">
      <c r="A444" s="42" t="inlineStr">
        <is>
          <t>GSC-SL-000441</t>
        </is>
      </c>
      <c r="B444" t="inlineStr">
        <is>
          <t>SZ-SL-000441</t>
        </is>
      </c>
      <c r="C444" t="inlineStr">
        <is>
          <t>WT-SL-SHUTTER-HIKI</t>
        </is>
      </c>
      <c r="D444" t="inlineStr">
        <is>
          <t>SP-SL-SHUT-E-WIND</t>
        </is>
      </c>
      <c r="E444" t="inlineStr">
        <is>
          <t>25124-2</t>
        </is>
      </c>
      <c r="F444" t="b">
        <v>0</v>
      </c>
      <c r="G444" t="n">
        <v>44</v>
      </c>
      <c r="H444" t="inlineStr">
        <is>
          <t>●</t>
        </is>
      </c>
      <c r="I444" t="n">
        <v>45</v>
      </c>
      <c r="J444" t="inlineStr">
        <is>
          <t>P45|●</t>
        </is>
      </c>
      <c r="K444" t="inlineStr">
        <is>
          <t>同一価格表・次頁凡例を継承</t>
        </is>
      </c>
      <c r="L444" t="inlineStr">
        <is>
          <t>202604_LIXIL_サーモスＬ_業務用資料集_完成品価格表.pdf</t>
        </is>
      </c>
      <c r="M444" t="inlineStr">
        <is>
          <t>v0.6：同一価格表セクション内で凡例継承を確定。</t>
        </is>
      </c>
      <c r="N444" t="inlineStr">
        <is>
          <t>https://drive.google.com/file/d/1YUN-mtWYs48YBUHJk0C3vJXnhjyZFHyf/view</t>
        </is>
      </c>
    </row>
    <row r="445">
      <c r="A445" s="42" t="inlineStr">
        <is>
          <t>GSC-SL-000442</t>
        </is>
      </c>
      <c r="B445" t="inlineStr">
        <is>
          <t>SZ-SL-000442</t>
        </is>
      </c>
      <c r="C445" t="inlineStr">
        <is>
          <t>WT-SL-SHUTTER-HIKI</t>
        </is>
      </c>
      <c r="D445" t="inlineStr">
        <is>
          <t>SP-SL-SHUT-E-WIND</t>
        </is>
      </c>
      <c r="E445" t="inlineStr">
        <is>
          <t>25124-4</t>
        </is>
      </c>
      <c r="F445" t="b">
        <v>0</v>
      </c>
      <c r="G445" t="n">
        <v>44</v>
      </c>
      <c r="H445" t="inlineStr">
        <is>
          <t>★</t>
        </is>
      </c>
      <c r="I445" t="n">
        <v>45</v>
      </c>
      <c r="J445" t="inlineStr">
        <is>
          <t>P45|★</t>
        </is>
      </c>
      <c r="K445" t="inlineStr">
        <is>
          <t>同一価格表・次頁凡例を継承</t>
        </is>
      </c>
      <c r="L445" t="inlineStr">
        <is>
          <t>202604_LIXIL_サーモスＬ_業務用資料集_完成品価格表.pdf</t>
        </is>
      </c>
      <c r="M445" t="inlineStr">
        <is>
          <t>v0.6：同一価格表セクション内で凡例継承を確定。</t>
        </is>
      </c>
      <c r="N445" t="inlineStr">
        <is>
          <t>https://drive.google.com/file/d/1YUN-mtWYs48YBUHJk0C3vJXnhjyZFHyf/view</t>
        </is>
      </c>
    </row>
    <row r="446">
      <c r="A446" s="42" t="inlineStr">
        <is>
          <t>GSC-SL-000443</t>
        </is>
      </c>
      <c r="B446" t="inlineStr">
        <is>
          <t>SZ-SL-000443</t>
        </is>
      </c>
      <c r="C446" t="inlineStr">
        <is>
          <t>WT-SL-SHUTTER-HIKI</t>
        </is>
      </c>
      <c r="D446" t="inlineStr">
        <is>
          <t>SP-SL-SHUT-E-STD</t>
        </is>
      </c>
      <c r="E446" t="inlineStr">
        <is>
          <t>25622-2</t>
        </is>
      </c>
      <c r="F446" t="b">
        <v>1</v>
      </c>
      <c r="G446" t="n">
        <v>45</v>
      </c>
      <c r="H446" t="inlineStr">
        <is>
          <t>◆</t>
        </is>
      </c>
      <c r="I446" t="n">
        <v>45</v>
      </c>
      <c r="J446" t="inlineStr">
        <is>
          <t>P45|◆</t>
        </is>
      </c>
      <c r="K446" t="inlineStr">
        <is>
          <t>同頁凡例へ直接連動</t>
        </is>
      </c>
      <c r="L446" t="inlineStr">
        <is>
          <t>202604_LIXIL_サーモスＬ_業務用資料集_完成品価格表.pdf</t>
        </is>
      </c>
      <c r="M446" t="inlineStr">
        <is>
          <t>v0.6：同一価格表セクション内で凡例継承を確定。</t>
        </is>
      </c>
      <c r="N446" t="inlineStr">
        <is>
          <t>https://drive.google.com/file/d/1YUN-mtWYs48YBUHJk0C3vJXnhjyZFHyf/view</t>
        </is>
      </c>
    </row>
    <row r="447">
      <c r="A447" s="42" t="inlineStr">
        <is>
          <t>GSC-SL-000444</t>
        </is>
      </c>
      <c r="B447" t="inlineStr">
        <is>
          <t>SZ-SL-000444</t>
        </is>
      </c>
      <c r="C447" t="inlineStr">
        <is>
          <t>WT-SL-SHUTTER-HIKI</t>
        </is>
      </c>
      <c r="D447" t="inlineStr">
        <is>
          <t>SP-SL-SHUT-E-STD</t>
        </is>
      </c>
      <c r="E447" t="inlineStr">
        <is>
          <t>25622-4</t>
        </is>
      </c>
      <c r="F447" t="b">
        <v>1</v>
      </c>
      <c r="G447" t="n">
        <v>45</v>
      </c>
      <c r="H447" t="inlineStr">
        <is>
          <t>★</t>
        </is>
      </c>
      <c r="I447" t="n">
        <v>45</v>
      </c>
      <c r="J447" t="inlineStr">
        <is>
          <t>P45|★</t>
        </is>
      </c>
      <c r="K447" t="inlineStr">
        <is>
          <t>同頁凡例へ直接連動</t>
        </is>
      </c>
      <c r="L447" t="inlineStr">
        <is>
          <t>202604_LIXIL_サーモスＬ_業務用資料集_完成品価格表.pdf</t>
        </is>
      </c>
      <c r="M447" t="inlineStr">
        <is>
          <t>v0.6：同一価格表セクション内で凡例継承を確定。</t>
        </is>
      </c>
      <c r="N447" t="inlineStr">
        <is>
          <t>https://drive.google.com/file/d/1YUN-mtWYs48YBUHJk0C3vJXnhjyZFHyf/view</t>
        </is>
      </c>
    </row>
    <row r="448">
      <c r="A448" s="42" t="inlineStr">
        <is>
          <t>GSC-SL-000445</t>
        </is>
      </c>
      <c r="B448" t="inlineStr">
        <is>
          <t>SZ-SL-000445</t>
        </is>
      </c>
      <c r="C448" t="inlineStr">
        <is>
          <t>WT-SL-SHUTTER-HIKI</t>
        </is>
      </c>
      <c r="D448" t="inlineStr">
        <is>
          <t>SP-SL-SHUT-E-STD</t>
        </is>
      </c>
      <c r="E448" t="inlineStr">
        <is>
          <t>25624-2</t>
        </is>
      </c>
      <c r="F448" t="b">
        <v>1</v>
      </c>
      <c r="G448" t="n">
        <v>45</v>
      </c>
      <c r="H448" t="inlineStr">
        <is>
          <t>●</t>
        </is>
      </c>
      <c r="I448" t="n">
        <v>45</v>
      </c>
      <c r="J448" t="inlineStr">
        <is>
          <t>P45|●</t>
        </is>
      </c>
      <c r="K448" t="inlineStr">
        <is>
          <t>同頁凡例へ直接連動</t>
        </is>
      </c>
      <c r="L448" t="inlineStr">
        <is>
          <t>202604_LIXIL_サーモスＬ_業務用資料集_完成品価格表.pdf</t>
        </is>
      </c>
      <c r="M448" t="inlineStr">
        <is>
          <t>v0.6：同一価格表セクション内で凡例継承を確定。</t>
        </is>
      </c>
      <c r="N448" t="inlineStr">
        <is>
          <t>https://drive.google.com/file/d/1YUN-mtWYs48YBUHJk0C3vJXnhjyZFHyf/view</t>
        </is>
      </c>
    </row>
    <row r="449">
      <c r="A449" s="42" t="inlineStr">
        <is>
          <t>GSC-SL-000446</t>
        </is>
      </c>
      <c r="B449" t="inlineStr">
        <is>
          <t>SZ-SL-000446</t>
        </is>
      </c>
      <c r="C449" t="inlineStr">
        <is>
          <t>WT-SL-SHUTTER-HIKI</t>
        </is>
      </c>
      <c r="D449" t="inlineStr">
        <is>
          <t>SP-SL-SHUT-E-STD</t>
        </is>
      </c>
      <c r="E449" t="inlineStr">
        <is>
          <t>25624-4</t>
        </is>
      </c>
      <c r="F449" t="b">
        <v>1</v>
      </c>
      <c r="G449" t="n">
        <v>45</v>
      </c>
      <c r="H449" t="inlineStr">
        <is>
          <t>★</t>
        </is>
      </c>
      <c r="I449" t="n">
        <v>45</v>
      </c>
      <c r="J449" t="inlineStr">
        <is>
          <t>P45|★</t>
        </is>
      </c>
      <c r="K449" t="inlineStr">
        <is>
          <t>同頁凡例へ直接連動</t>
        </is>
      </c>
      <c r="L449" t="inlineStr">
        <is>
          <t>202604_LIXIL_サーモスＬ_業務用資料集_完成品価格表.pdf</t>
        </is>
      </c>
      <c r="M449" t="inlineStr">
        <is>
          <t>v0.6：同一価格表セクション内で凡例継承を確定。</t>
        </is>
      </c>
      <c r="N449" t="inlineStr">
        <is>
          <t>https://drive.google.com/file/d/1YUN-mtWYs48YBUHJk0C3vJXnhjyZFHyf/view</t>
        </is>
      </c>
    </row>
    <row r="450">
      <c r="A450" s="42" t="inlineStr">
        <is>
          <t>GSC-SL-000447</t>
        </is>
      </c>
      <c r="B450" t="inlineStr">
        <is>
          <t>SZ-SL-000447</t>
        </is>
      </c>
      <c r="C450" t="inlineStr">
        <is>
          <t>WT-SL-SHUTTER-HIKI</t>
        </is>
      </c>
      <c r="D450" t="inlineStr">
        <is>
          <t>SP-SL-SHUT-E-STD</t>
        </is>
      </c>
      <c r="E450" t="inlineStr">
        <is>
          <t>34722</t>
        </is>
      </c>
      <c r="F450" t="b">
        <v>1</v>
      </c>
      <c r="G450" t="n">
        <v>45</v>
      </c>
      <c r="H450" t="inlineStr">
        <is>
          <t>★</t>
        </is>
      </c>
      <c r="I450" t="n">
        <v>45</v>
      </c>
      <c r="J450" t="inlineStr">
        <is>
          <t>P45|★</t>
        </is>
      </c>
      <c r="K450" t="inlineStr">
        <is>
          <t>同頁凡例へ直接連動</t>
        </is>
      </c>
      <c r="L450" t="inlineStr">
        <is>
          <t>202604_LIXIL_サーモスＬ_業務用資料集_完成品価格表.pdf</t>
        </is>
      </c>
      <c r="M450" t="inlineStr">
        <is>
          <t>v0.6：同一価格表セクション内で凡例継承を確定。</t>
        </is>
      </c>
      <c r="N450" t="inlineStr">
        <is>
          <t>https://drive.google.com/file/d/1YUN-mtWYs48YBUHJk0C3vJXnhjyZFHyf/view</t>
        </is>
      </c>
    </row>
    <row r="451">
      <c r="A451" s="42" t="inlineStr">
        <is>
          <t>GSC-SL-000448</t>
        </is>
      </c>
      <c r="B451" t="inlineStr">
        <is>
          <t>SZ-SL-000448</t>
        </is>
      </c>
      <c r="C451" t="inlineStr">
        <is>
          <t>WT-SL-SHUTTER-HIKI</t>
        </is>
      </c>
      <c r="D451" t="inlineStr">
        <is>
          <t>SP-SL-SHUT-E-STD</t>
        </is>
      </c>
      <c r="E451" t="inlineStr">
        <is>
          <t>34724</t>
        </is>
      </c>
      <c r="F451" t="b">
        <v>1</v>
      </c>
      <c r="G451" t="n">
        <v>45</v>
      </c>
      <c r="H451" t="inlineStr">
        <is>
          <t>◇</t>
        </is>
      </c>
      <c r="I451" t="n">
        <v>45</v>
      </c>
      <c r="J451" t="inlineStr">
        <is>
          <t>P45|◇</t>
        </is>
      </c>
      <c r="K451" t="inlineStr">
        <is>
          <t>同頁凡例へ直接連動</t>
        </is>
      </c>
      <c r="L451" t="inlineStr">
        <is>
          <t>202604_LIXIL_サーモスＬ_業務用資料集_完成品価格表.pdf</t>
        </is>
      </c>
      <c r="M451" t="inlineStr">
        <is>
          <t>v0.6：同一価格表セクション内で凡例継承を確定。</t>
        </is>
      </c>
      <c r="N451" t="inlineStr">
        <is>
          <t>https://drive.google.com/file/d/1YUN-mtWYs48YBUHJk0C3vJXnhjyZFHyf/view</t>
        </is>
      </c>
    </row>
    <row r="452">
      <c r="A452" s="42" t="inlineStr">
        <is>
          <t>GSC-SL-000449</t>
        </is>
      </c>
      <c r="B452" t="inlineStr">
        <is>
          <t>SZ-SL-000449</t>
        </is>
      </c>
      <c r="C452" t="inlineStr">
        <is>
          <t>WT-SL-SHUTTER-HIKI</t>
        </is>
      </c>
      <c r="D452" t="inlineStr">
        <is>
          <t>SP-SL-SHUT-E-VENT</t>
        </is>
      </c>
      <c r="E452" t="inlineStr">
        <is>
          <t>25622-2</t>
        </is>
      </c>
      <c r="F452" t="b">
        <v>1</v>
      </c>
      <c r="G452" t="n">
        <v>45</v>
      </c>
      <c r="H452" t="inlineStr">
        <is>
          <t>◆</t>
        </is>
      </c>
      <c r="I452" t="n">
        <v>45</v>
      </c>
      <c r="J452" t="inlineStr">
        <is>
          <t>P45|◆</t>
        </is>
      </c>
      <c r="K452" t="inlineStr">
        <is>
          <t>同頁凡例へ直接連動</t>
        </is>
      </c>
      <c r="L452" t="inlineStr">
        <is>
          <t>202604_LIXIL_サーモスＬ_業務用資料集_完成品価格表.pdf</t>
        </is>
      </c>
      <c r="M452" t="inlineStr">
        <is>
          <t>v0.6：同一価格表セクション内で凡例継承を確定。</t>
        </is>
      </c>
      <c r="N452" t="inlineStr">
        <is>
          <t>https://drive.google.com/file/d/1YUN-mtWYs48YBUHJk0C3vJXnhjyZFHyf/view</t>
        </is>
      </c>
    </row>
    <row r="453">
      <c r="A453" s="42" t="inlineStr">
        <is>
          <t>GSC-SL-000450</t>
        </is>
      </c>
      <c r="B453" t="inlineStr">
        <is>
          <t>SZ-SL-000450</t>
        </is>
      </c>
      <c r="C453" t="inlineStr">
        <is>
          <t>WT-SL-SHUTTER-HIKI</t>
        </is>
      </c>
      <c r="D453" t="inlineStr">
        <is>
          <t>SP-SL-SHUT-E-VENT</t>
        </is>
      </c>
      <c r="E453" t="inlineStr">
        <is>
          <t>25622-4</t>
        </is>
      </c>
      <c r="F453" t="b">
        <v>1</v>
      </c>
      <c r="G453" t="n">
        <v>45</v>
      </c>
      <c r="H453" t="inlineStr">
        <is>
          <t>★</t>
        </is>
      </c>
      <c r="I453" t="n">
        <v>45</v>
      </c>
      <c r="J453" t="inlineStr">
        <is>
          <t>P45|★</t>
        </is>
      </c>
      <c r="K453" t="inlineStr">
        <is>
          <t>同頁凡例へ直接連動</t>
        </is>
      </c>
      <c r="L453" t="inlineStr">
        <is>
          <t>202604_LIXIL_サーモスＬ_業務用資料集_完成品価格表.pdf</t>
        </is>
      </c>
      <c r="M453" t="inlineStr">
        <is>
          <t>v0.6：同一価格表セクション内で凡例継承を確定。</t>
        </is>
      </c>
      <c r="N453" t="inlineStr">
        <is>
          <t>https://drive.google.com/file/d/1YUN-mtWYs48YBUHJk0C3vJXnhjyZFHyf/view</t>
        </is>
      </c>
    </row>
    <row r="454">
      <c r="A454" s="42" t="inlineStr">
        <is>
          <t>GSC-SL-000451</t>
        </is>
      </c>
      <c r="B454" t="inlineStr">
        <is>
          <t>SZ-SL-000451</t>
        </is>
      </c>
      <c r="C454" t="inlineStr">
        <is>
          <t>WT-SL-SHUTTER-HIKI</t>
        </is>
      </c>
      <c r="D454" t="inlineStr">
        <is>
          <t>SP-SL-SHUT-E-VENT</t>
        </is>
      </c>
      <c r="E454" t="inlineStr">
        <is>
          <t>25624-2</t>
        </is>
      </c>
      <c r="F454" t="b">
        <v>0</v>
      </c>
      <c r="G454" t="n">
        <v>45</v>
      </c>
      <c r="H454" t="inlineStr">
        <is>
          <t>●</t>
        </is>
      </c>
      <c r="I454" t="n">
        <v>45</v>
      </c>
      <c r="J454" t="inlineStr">
        <is>
          <t>P45|●</t>
        </is>
      </c>
      <c r="K454" t="inlineStr">
        <is>
          <t>同頁凡例へ直接連動</t>
        </is>
      </c>
      <c r="L454" t="inlineStr">
        <is>
          <t>202604_LIXIL_サーモスＬ_業務用資料集_完成品価格表.pdf</t>
        </is>
      </c>
      <c r="M454" t="inlineStr">
        <is>
          <t>v0.6：同一価格表セクション内で凡例継承を確定。</t>
        </is>
      </c>
      <c r="N454" t="inlineStr">
        <is>
          <t>https://drive.google.com/file/d/1YUN-mtWYs48YBUHJk0C3vJXnhjyZFHyf/view</t>
        </is>
      </c>
    </row>
    <row r="455">
      <c r="A455" s="42" t="inlineStr">
        <is>
          <t>GSC-SL-000452</t>
        </is>
      </c>
      <c r="B455" t="inlineStr">
        <is>
          <t>SZ-SL-000452</t>
        </is>
      </c>
      <c r="C455" t="inlineStr">
        <is>
          <t>WT-SL-SHUTTER-HIKI</t>
        </is>
      </c>
      <c r="D455" t="inlineStr">
        <is>
          <t>SP-SL-SHUT-E-VENT</t>
        </is>
      </c>
      <c r="E455" t="inlineStr">
        <is>
          <t>25624-4</t>
        </is>
      </c>
      <c r="F455" t="b">
        <v>0</v>
      </c>
      <c r="G455" t="n">
        <v>45</v>
      </c>
      <c r="H455" t="inlineStr">
        <is>
          <t>★</t>
        </is>
      </c>
      <c r="I455" t="n">
        <v>45</v>
      </c>
      <c r="J455" t="inlineStr">
        <is>
          <t>P45|★</t>
        </is>
      </c>
      <c r="K455" t="inlineStr">
        <is>
          <t>同頁凡例へ直接連動</t>
        </is>
      </c>
      <c r="L455" t="inlineStr">
        <is>
          <t>202604_LIXIL_サーモスＬ_業務用資料集_完成品価格表.pdf</t>
        </is>
      </c>
      <c r="M455" t="inlineStr">
        <is>
          <t>v0.6：同一価格表セクション内で凡例継承を確定。</t>
        </is>
      </c>
      <c r="N455" t="inlineStr">
        <is>
          <t>https://drive.google.com/file/d/1YUN-mtWYs48YBUHJk0C3vJXnhjyZFHyf/view</t>
        </is>
      </c>
    </row>
    <row r="456">
      <c r="A456" s="42" t="inlineStr">
        <is>
          <t>GSC-SL-000453</t>
        </is>
      </c>
      <c r="B456" t="inlineStr">
        <is>
          <t>SZ-SL-000453</t>
        </is>
      </c>
      <c r="C456" t="inlineStr">
        <is>
          <t>WT-SL-SHUTTER-HIKI</t>
        </is>
      </c>
      <c r="D456" t="inlineStr">
        <is>
          <t>SP-SL-SHUT-E-VENT</t>
        </is>
      </c>
      <c r="E456" t="inlineStr">
        <is>
          <t>34722</t>
        </is>
      </c>
      <c r="F456" t="b">
        <v>1</v>
      </c>
      <c r="G456" t="n">
        <v>45</v>
      </c>
      <c r="H456" t="inlineStr">
        <is>
          <t>★</t>
        </is>
      </c>
      <c r="I456" t="n">
        <v>45</v>
      </c>
      <c r="J456" t="inlineStr">
        <is>
          <t>P45|★</t>
        </is>
      </c>
      <c r="K456" t="inlineStr">
        <is>
          <t>同頁凡例へ直接連動</t>
        </is>
      </c>
      <c r="L456" t="inlineStr">
        <is>
          <t>202604_LIXIL_サーモスＬ_業務用資料集_完成品価格表.pdf</t>
        </is>
      </c>
      <c r="M456" t="inlineStr">
        <is>
          <t>v0.6：同一価格表セクション内で凡例継承を確定。</t>
        </is>
      </c>
      <c r="N456" t="inlineStr">
        <is>
          <t>https://drive.google.com/file/d/1YUN-mtWYs48YBUHJk0C3vJXnhjyZFHyf/view</t>
        </is>
      </c>
    </row>
    <row r="457">
      <c r="A457" s="42" t="inlineStr">
        <is>
          <t>GSC-SL-000454</t>
        </is>
      </c>
      <c r="B457" t="inlineStr">
        <is>
          <t>SZ-SL-000454</t>
        </is>
      </c>
      <c r="C457" t="inlineStr">
        <is>
          <t>WT-SL-SHUTTER-HIKI</t>
        </is>
      </c>
      <c r="D457" t="inlineStr">
        <is>
          <t>SP-SL-SHUT-E-VENT</t>
        </is>
      </c>
      <c r="E457" t="inlineStr">
        <is>
          <t>34724</t>
        </is>
      </c>
      <c r="F457" t="b">
        <v>0</v>
      </c>
      <c r="G457" t="n">
        <v>45</v>
      </c>
      <c r="H457" t="inlineStr">
        <is>
          <t>◇</t>
        </is>
      </c>
      <c r="I457" t="n">
        <v>45</v>
      </c>
      <c r="J457" t="inlineStr">
        <is>
          <t>P45|◇</t>
        </is>
      </c>
      <c r="K457" t="inlineStr">
        <is>
          <t>同頁凡例へ直接連動</t>
        </is>
      </c>
      <c r="L457" t="inlineStr">
        <is>
          <t>202604_LIXIL_サーモスＬ_業務用資料集_完成品価格表.pdf</t>
        </is>
      </c>
      <c r="M457" t="inlineStr">
        <is>
          <t>v0.6：同一価格表セクション内で凡例継承を確定。</t>
        </is>
      </c>
      <c r="N457" t="inlineStr">
        <is>
          <t>https://drive.google.com/file/d/1YUN-mtWYs48YBUHJk0C3vJXnhjyZFHyf/view</t>
        </is>
      </c>
    </row>
    <row r="458">
      <c r="A458" s="42" t="inlineStr">
        <is>
          <t>GSC-SL-000455</t>
        </is>
      </c>
      <c r="B458" t="inlineStr">
        <is>
          <t>SZ-SL-000455</t>
        </is>
      </c>
      <c r="C458" t="inlineStr">
        <is>
          <t>WT-SL-SHUTTER-HIKI</t>
        </is>
      </c>
      <c r="D458" t="inlineStr">
        <is>
          <t>SP-SL-SHUT-E-WIND</t>
        </is>
      </c>
      <c r="E458" t="inlineStr">
        <is>
          <t>25622-2</t>
        </is>
      </c>
      <c r="F458" t="b">
        <v>1</v>
      </c>
      <c r="G458" t="n">
        <v>45</v>
      </c>
      <c r="H458" t="inlineStr">
        <is>
          <t>◆</t>
        </is>
      </c>
      <c r="I458" t="n">
        <v>45</v>
      </c>
      <c r="J458" t="inlineStr">
        <is>
          <t>P45|◆</t>
        </is>
      </c>
      <c r="K458" t="inlineStr">
        <is>
          <t>同頁凡例へ直接連動</t>
        </is>
      </c>
      <c r="L458" t="inlineStr">
        <is>
          <t>202604_LIXIL_サーモスＬ_業務用資料集_完成品価格表.pdf</t>
        </is>
      </c>
      <c r="M458" t="inlineStr">
        <is>
          <t>v0.6：同一価格表セクション内で凡例継承を確定。</t>
        </is>
      </c>
      <c r="N458" t="inlineStr">
        <is>
          <t>https://drive.google.com/file/d/1YUN-mtWYs48YBUHJk0C3vJXnhjyZFHyf/view</t>
        </is>
      </c>
    </row>
    <row r="459">
      <c r="A459" s="42" t="inlineStr">
        <is>
          <t>GSC-SL-000456</t>
        </is>
      </c>
      <c r="B459" t="inlineStr">
        <is>
          <t>SZ-SL-000456</t>
        </is>
      </c>
      <c r="C459" t="inlineStr">
        <is>
          <t>WT-SL-SHUTTER-HIKI</t>
        </is>
      </c>
      <c r="D459" t="inlineStr">
        <is>
          <t>SP-SL-SHUT-E-WIND</t>
        </is>
      </c>
      <c r="E459" t="inlineStr">
        <is>
          <t>25622-4</t>
        </is>
      </c>
      <c r="F459" t="b">
        <v>1</v>
      </c>
      <c r="G459" t="n">
        <v>45</v>
      </c>
      <c r="H459" t="inlineStr">
        <is>
          <t>★</t>
        </is>
      </c>
      <c r="I459" t="n">
        <v>45</v>
      </c>
      <c r="J459" t="inlineStr">
        <is>
          <t>P45|★</t>
        </is>
      </c>
      <c r="K459" t="inlineStr">
        <is>
          <t>同頁凡例へ直接連動</t>
        </is>
      </c>
      <c r="L459" t="inlineStr">
        <is>
          <t>202604_LIXIL_サーモスＬ_業務用資料集_完成品価格表.pdf</t>
        </is>
      </c>
      <c r="M459" t="inlineStr">
        <is>
          <t>v0.6：同一価格表セクション内で凡例継承を確定。</t>
        </is>
      </c>
      <c r="N459" t="inlineStr">
        <is>
          <t>https://drive.google.com/file/d/1YUN-mtWYs48YBUHJk0C3vJXnhjyZFHyf/view</t>
        </is>
      </c>
    </row>
    <row r="460">
      <c r="A460" s="42" t="inlineStr">
        <is>
          <t>GSC-SL-000457</t>
        </is>
      </c>
      <c r="B460" t="inlineStr">
        <is>
          <t>SZ-SL-000457</t>
        </is>
      </c>
      <c r="C460" t="inlineStr">
        <is>
          <t>WT-SL-SHUTTER-HIKI</t>
        </is>
      </c>
      <c r="D460" t="inlineStr">
        <is>
          <t>SP-SL-SHUT-E-WIND</t>
        </is>
      </c>
      <c r="E460" t="inlineStr">
        <is>
          <t>25624-2</t>
        </is>
      </c>
      <c r="F460" t="b">
        <v>0</v>
      </c>
      <c r="G460" t="n">
        <v>45</v>
      </c>
      <c r="H460" t="inlineStr">
        <is>
          <t>●</t>
        </is>
      </c>
      <c r="I460" t="n">
        <v>45</v>
      </c>
      <c r="J460" t="inlineStr">
        <is>
          <t>P45|●</t>
        </is>
      </c>
      <c r="K460" t="inlineStr">
        <is>
          <t>同頁凡例へ直接連動</t>
        </is>
      </c>
      <c r="L460" t="inlineStr">
        <is>
          <t>202604_LIXIL_サーモスＬ_業務用資料集_完成品価格表.pdf</t>
        </is>
      </c>
      <c r="M460" t="inlineStr">
        <is>
          <t>v0.6：同一価格表セクション内で凡例継承を確定。</t>
        </is>
      </c>
      <c r="N460" t="inlineStr">
        <is>
          <t>https://drive.google.com/file/d/1YUN-mtWYs48YBUHJk0C3vJXnhjyZFHyf/view</t>
        </is>
      </c>
    </row>
    <row r="461">
      <c r="A461" s="42" t="inlineStr">
        <is>
          <t>GSC-SL-000458</t>
        </is>
      </c>
      <c r="B461" t="inlineStr">
        <is>
          <t>SZ-SL-000458</t>
        </is>
      </c>
      <c r="C461" t="inlineStr">
        <is>
          <t>WT-SL-SHUTTER-HIKI</t>
        </is>
      </c>
      <c r="D461" t="inlineStr">
        <is>
          <t>SP-SL-SHUT-E-WIND</t>
        </is>
      </c>
      <c r="E461" t="inlineStr">
        <is>
          <t>25624-4</t>
        </is>
      </c>
      <c r="F461" t="b">
        <v>0</v>
      </c>
      <c r="G461" t="n">
        <v>45</v>
      </c>
      <c r="H461" t="inlineStr">
        <is>
          <t>★</t>
        </is>
      </c>
      <c r="I461" t="n">
        <v>45</v>
      </c>
      <c r="J461" t="inlineStr">
        <is>
          <t>P45|★</t>
        </is>
      </c>
      <c r="K461" t="inlineStr">
        <is>
          <t>同頁凡例へ直接連動</t>
        </is>
      </c>
      <c r="L461" t="inlineStr">
        <is>
          <t>202604_LIXIL_サーモスＬ_業務用資料集_完成品価格表.pdf</t>
        </is>
      </c>
      <c r="M461" t="inlineStr">
        <is>
          <t>v0.6：同一価格表セクション内で凡例継承を確定。</t>
        </is>
      </c>
      <c r="N461" t="inlineStr">
        <is>
          <t>https://drive.google.com/file/d/1YUN-mtWYs48YBUHJk0C3vJXnhjyZFHyf/view</t>
        </is>
      </c>
    </row>
    <row r="462">
      <c r="A462" s="42" t="inlineStr">
        <is>
          <t>GSC-SL-000459</t>
        </is>
      </c>
      <c r="B462" t="inlineStr">
        <is>
          <t>SZ-SL-000459</t>
        </is>
      </c>
      <c r="C462" t="inlineStr">
        <is>
          <t>WT-SL-SHUTTER-HIKI</t>
        </is>
      </c>
      <c r="D462" t="inlineStr">
        <is>
          <t>SP-SL-SHUT-E-WIND</t>
        </is>
      </c>
      <c r="E462" t="inlineStr">
        <is>
          <t>34722</t>
        </is>
      </c>
      <c r="F462" t="b">
        <v>0</v>
      </c>
      <c r="G462" t="n">
        <v>45</v>
      </c>
      <c r="H462" t="inlineStr">
        <is>
          <t>★</t>
        </is>
      </c>
      <c r="I462" t="n">
        <v>45</v>
      </c>
      <c r="J462" t="inlineStr">
        <is>
          <t>P45|★</t>
        </is>
      </c>
      <c r="K462" t="inlineStr">
        <is>
          <t>同頁凡例へ直接連動</t>
        </is>
      </c>
      <c r="L462" t="inlineStr">
        <is>
          <t>202604_LIXIL_サーモスＬ_業務用資料集_完成品価格表.pdf</t>
        </is>
      </c>
      <c r="M462" t="inlineStr">
        <is>
          <t>v0.6：同一価格表セクション内で凡例継承を確定。</t>
        </is>
      </c>
      <c r="N462" t="inlineStr">
        <is>
          <t>https://drive.google.com/file/d/1YUN-mtWYs48YBUHJk0C3vJXnhjyZFHyf/view</t>
        </is>
      </c>
    </row>
    <row r="463">
      <c r="A463" s="42" t="inlineStr">
        <is>
          <t>GSC-SL-000460</t>
        </is>
      </c>
      <c r="B463" t="inlineStr">
        <is>
          <t>SZ-SL-000460</t>
        </is>
      </c>
      <c r="C463" t="inlineStr">
        <is>
          <t>WT-SL-SHUTTER-HIKI</t>
        </is>
      </c>
      <c r="D463" t="inlineStr">
        <is>
          <t>SP-SL-SHUT-E-WIND</t>
        </is>
      </c>
      <c r="E463" t="inlineStr">
        <is>
          <t>34724</t>
        </is>
      </c>
      <c r="F463" t="b">
        <v>0</v>
      </c>
      <c r="G463" t="n">
        <v>45</v>
      </c>
      <c r="H463" t="inlineStr">
        <is>
          <t>◇</t>
        </is>
      </c>
      <c r="I463" t="n">
        <v>45</v>
      </c>
      <c r="J463" t="inlineStr">
        <is>
          <t>P45|◇</t>
        </is>
      </c>
      <c r="K463" t="inlineStr">
        <is>
          <t>同頁凡例へ直接連動</t>
        </is>
      </c>
      <c r="L463" t="inlineStr">
        <is>
          <t>202604_LIXIL_サーモスＬ_業務用資料集_完成品価格表.pdf</t>
        </is>
      </c>
      <c r="M463" t="inlineStr">
        <is>
          <t>v0.6：同一価格表セクション内で凡例継承を確定。</t>
        </is>
      </c>
      <c r="N463" t="inlineStr">
        <is>
          <t>https://drive.google.com/file/d/1YUN-mtWYs48YBUHJk0C3vJXnhjyZFHyf/view</t>
        </is>
      </c>
    </row>
    <row r="464">
      <c r="A464" s="42" t="inlineStr">
        <is>
          <t>GSC-SL-000461</t>
        </is>
      </c>
      <c r="B464" t="inlineStr">
        <is>
          <t>SZ-SL-000461</t>
        </is>
      </c>
      <c r="C464" t="inlineStr">
        <is>
          <t>WT-SL-SHUTTER-HIKI</t>
        </is>
      </c>
      <c r="D464" t="inlineStr">
        <is>
          <t>SP-SL-SHUT-E-STD</t>
        </is>
      </c>
      <c r="E464" t="inlineStr">
        <is>
          <t>24318-2</t>
        </is>
      </c>
      <c r="F464" t="b">
        <v>1</v>
      </c>
      <c r="G464" t="n">
        <v>46</v>
      </c>
      <c r="H464" t="inlineStr">
        <is>
          <t>☆</t>
        </is>
      </c>
      <c r="I464" t="n">
        <v>46</v>
      </c>
      <c r="J464" t="inlineStr">
        <is>
          <t>P46|☆</t>
        </is>
      </c>
      <c r="K464" t="inlineStr">
        <is>
          <t>同頁凡例へ直接連動</t>
        </is>
      </c>
      <c r="L464" t="inlineStr">
        <is>
          <t>202604_LIXIL_サーモスＬ_業務用資料集_完成品価格表.pdf</t>
        </is>
      </c>
      <c r="M464" t="inlineStr">
        <is>
          <t>v0.6：同一価格表セクション内で凡例継承を確定。</t>
        </is>
      </c>
      <c r="N464" t="inlineStr">
        <is>
          <t>https://drive.google.com/file/d/1YUN-mtWYs48YBUHJk0C3vJXnhjyZFHyf/view</t>
        </is>
      </c>
    </row>
    <row r="465">
      <c r="A465" s="42" t="inlineStr">
        <is>
          <t>GSC-SL-000462</t>
        </is>
      </c>
      <c r="B465" t="inlineStr">
        <is>
          <t>SZ-SL-000462</t>
        </is>
      </c>
      <c r="C465" t="inlineStr">
        <is>
          <t>WT-SL-SHUTTER-HIKI</t>
        </is>
      </c>
      <c r="D465" t="inlineStr">
        <is>
          <t>SP-SL-SHUT-E-STD</t>
        </is>
      </c>
      <c r="E465" t="inlineStr">
        <is>
          <t>24320-2</t>
        </is>
      </c>
      <c r="F465" t="b">
        <v>1</v>
      </c>
      <c r="G465" t="n">
        <v>46</v>
      </c>
      <c r="H465" t="inlineStr">
        <is>
          <t>◆</t>
        </is>
      </c>
      <c r="I465" t="n">
        <v>46</v>
      </c>
      <c r="J465" t="inlineStr">
        <is>
          <t>P46|◆</t>
        </is>
      </c>
      <c r="K465" t="inlineStr">
        <is>
          <t>同頁凡例へ直接連動</t>
        </is>
      </c>
      <c r="L465" t="inlineStr">
        <is>
          <t>202604_LIXIL_サーモスＬ_業務用資料集_完成品価格表.pdf</t>
        </is>
      </c>
      <c r="M465" t="inlineStr">
        <is>
          <t>v0.6：同一価格表セクション内で凡例継承を確定。</t>
        </is>
      </c>
      <c r="N465" t="inlineStr">
        <is>
          <t>https://drive.google.com/file/d/1YUN-mtWYs48YBUHJk0C3vJXnhjyZFHyf/view</t>
        </is>
      </c>
    </row>
    <row r="466">
      <c r="A466" s="42" t="inlineStr">
        <is>
          <t>GSC-SL-000463</t>
        </is>
      </c>
      <c r="B466" t="inlineStr">
        <is>
          <t>SZ-SL-000463</t>
        </is>
      </c>
      <c r="C466" t="inlineStr">
        <is>
          <t>WT-SL-SHUTTER-HIKI</t>
        </is>
      </c>
      <c r="D466" t="inlineStr">
        <is>
          <t>SP-SL-SHUT-E-VENT</t>
        </is>
      </c>
      <c r="E466" t="inlineStr">
        <is>
          <t>24318-2</t>
        </is>
      </c>
      <c r="F466" t="b">
        <v>1</v>
      </c>
      <c r="G466" t="n">
        <v>46</v>
      </c>
      <c r="H466" t="inlineStr">
        <is>
          <t>☆</t>
        </is>
      </c>
      <c r="I466" t="n">
        <v>46</v>
      </c>
      <c r="J466" t="inlineStr">
        <is>
          <t>P46|☆</t>
        </is>
      </c>
      <c r="K466" t="inlineStr">
        <is>
          <t>同頁凡例へ直接連動</t>
        </is>
      </c>
      <c r="L466" t="inlineStr">
        <is>
          <t>202604_LIXIL_サーモスＬ_業務用資料集_完成品価格表.pdf</t>
        </is>
      </c>
      <c r="M466" t="inlineStr">
        <is>
          <t>v0.6：同一価格表セクション内で凡例継承を確定。</t>
        </is>
      </c>
      <c r="N466" t="inlineStr">
        <is>
          <t>https://drive.google.com/file/d/1YUN-mtWYs48YBUHJk0C3vJXnhjyZFHyf/view</t>
        </is>
      </c>
    </row>
    <row r="467">
      <c r="A467" s="42" t="inlineStr">
        <is>
          <t>GSC-SL-000464</t>
        </is>
      </c>
      <c r="B467" t="inlineStr">
        <is>
          <t>SZ-SL-000464</t>
        </is>
      </c>
      <c r="C467" t="inlineStr">
        <is>
          <t>WT-SL-SHUTTER-HIKI</t>
        </is>
      </c>
      <c r="D467" t="inlineStr">
        <is>
          <t>SP-SL-SHUT-E-VENT</t>
        </is>
      </c>
      <c r="E467" t="inlineStr">
        <is>
          <t>24320-2</t>
        </is>
      </c>
      <c r="F467" t="b">
        <v>1</v>
      </c>
      <c r="G467" t="n">
        <v>46</v>
      </c>
      <c r="H467" t="inlineStr">
        <is>
          <t>◆</t>
        </is>
      </c>
      <c r="I467" t="n">
        <v>46</v>
      </c>
      <c r="J467" t="inlineStr">
        <is>
          <t>P46|◆</t>
        </is>
      </c>
      <c r="K467" t="inlineStr">
        <is>
          <t>同頁凡例へ直接連動</t>
        </is>
      </c>
      <c r="L467" t="inlineStr">
        <is>
          <t>202604_LIXIL_サーモスＬ_業務用資料集_完成品価格表.pdf</t>
        </is>
      </c>
      <c r="M467" t="inlineStr">
        <is>
          <t>v0.6：同一価格表セクション内で凡例継承を確定。</t>
        </is>
      </c>
      <c r="N467" t="inlineStr">
        <is>
          <t>https://drive.google.com/file/d/1YUN-mtWYs48YBUHJk0C3vJXnhjyZFHyf/view</t>
        </is>
      </c>
    </row>
    <row r="468">
      <c r="A468" s="42" t="inlineStr">
        <is>
          <t>GSC-SL-000465</t>
        </is>
      </c>
      <c r="B468" t="inlineStr">
        <is>
          <t>SZ-SL-000465</t>
        </is>
      </c>
      <c r="C468" t="inlineStr">
        <is>
          <t>WT-SL-SHUTTER-HIKI</t>
        </is>
      </c>
      <c r="D468" t="inlineStr">
        <is>
          <t>SP-SL-SHUT-E-WIND</t>
        </is>
      </c>
      <c r="E468" t="inlineStr">
        <is>
          <t>24318-2</t>
        </is>
      </c>
      <c r="F468" t="b">
        <v>1</v>
      </c>
      <c r="G468" t="n">
        <v>46</v>
      </c>
      <c r="H468" t="inlineStr">
        <is>
          <t>☆</t>
        </is>
      </c>
      <c r="I468" t="n">
        <v>46</v>
      </c>
      <c r="J468" t="inlineStr">
        <is>
          <t>P46|☆</t>
        </is>
      </c>
      <c r="K468" t="inlineStr">
        <is>
          <t>同頁凡例へ直接連動</t>
        </is>
      </c>
      <c r="L468" t="inlineStr">
        <is>
          <t>202604_LIXIL_サーモスＬ_業務用資料集_完成品価格表.pdf</t>
        </is>
      </c>
      <c r="M468" t="inlineStr">
        <is>
          <t>v0.6：同一価格表セクション内で凡例継承を確定。</t>
        </is>
      </c>
      <c r="N468" t="inlineStr">
        <is>
          <t>https://drive.google.com/file/d/1YUN-mtWYs48YBUHJk0C3vJXnhjyZFHyf/view</t>
        </is>
      </c>
    </row>
    <row r="469">
      <c r="A469" s="42" t="inlineStr">
        <is>
          <t>GSC-SL-000466</t>
        </is>
      </c>
      <c r="B469" t="inlineStr">
        <is>
          <t>SZ-SL-000466</t>
        </is>
      </c>
      <c r="C469" t="inlineStr">
        <is>
          <t>WT-SL-SHUTTER-HIKI</t>
        </is>
      </c>
      <c r="D469" t="inlineStr">
        <is>
          <t>SP-SL-SHUT-E-WIND</t>
        </is>
      </c>
      <c r="E469" t="inlineStr">
        <is>
          <t>24320-2</t>
        </is>
      </c>
      <c r="F469" t="b">
        <v>1</v>
      </c>
      <c r="G469" t="n">
        <v>46</v>
      </c>
      <c r="H469" t="inlineStr">
        <is>
          <t>◆</t>
        </is>
      </c>
      <c r="I469" t="n">
        <v>46</v>
      </c>
      <c r="J469" t="inlineStr">
        <is>
          <t>P46|◆</t>
        </is>
      </c>
      <c r="K469" t="inlineStr">
        <is>
          <t>同頁凡例へ直接連動</t>
        </is>
      </c>
      <c r="L469" t="inlineStr">
        <is>
          <t>202604_LIXIL_サーモスＬ_業務用資料集_完成品価格表.pdf</t>
        </is>
      </c>
      <c r="M469" t="inlineStr">
        <is>
          <t>v0.6：同一価格表セクション内で凡例継承を確定。</t>
        </is>
      </c>
      <c r="N469" t="inlineStr">
        <is>
          <t>https://drive.google.com/file/d/1YUN-mtWYs48YBUHJk0C3vJXnhjyZFHyf/view</t>
        </is>
      </c>
    </row>
    <row r="470">
      <c r="A470" s="42" t="inlineStr">
        <is>
          <t>GSC-SL-000467</t>
        </is>
      </c>
      <c r="B470" t="inlineStr">
        <is>
          <t>SZ-SL-000467</t>
        </is>
      </c>
      <c r="C470" t="inlineStr">
        <is>
          <t>WT-SL-SHUTTER-HIKI</t>
        </is>
      </c>
      <c r="D470" t="inlineStr">
        <is>
          <t>SP-SL-SHUT-E-STD</t>
        </is>
      </c>
      <c r="E470" t="inlineStr">
        <is>
          <t>24322-2</t>
        </is>
      </c>
      <c r="F470" t="b">
        <v>1</v>
      </c>
      <c r="G470" t="n">
        <v>48</v>
      </c>
      <c r="H470" t="inlineStr">
        <is>
          <t>◆</t>
        </is>
      </c>
      <c r="I470" t="n">
        <v>48</v>
      </c>
      <c r="J470" t="inlineStr">
        <is>
          <t>P48|◆</t>
        </is>
      </c>
      <c r="K470" t="inlineStr">
        <is>
          <t>同頁凡例へ直接連動</t>
        </is>
      </c>
      <c r="L470" t="inlineStr">
        <is>
          <t>202604_LIXIL_サーモスＬ_業務用資料集_完成品価格表.pdf</t>
        </is>
      </c>
      <c r="M470" t="inlineStr">
        <is>
          <t>v0.6：同一価格表セクション内で凡例継承を確定。</t>
        </is>
      </c>
      <c r="N470" t="inlineStr">
        <is>
          <t>https://drive.google.com/file/d/1YUN-mtWYs48YBUHJk0C3vJXnhjyZFHyf/view</t>
        </is>
      </c>
    </row>
    <row r="471">
      <c r="A471" s="42" t="inlineStr">
        <is>
          <t>GSC-SL-000468</t>
        </is>
      </c>
      <c r="B471" t="inlineStr">
        <is>
          <t>SZ-SL-000468</t>
        </is>
      </c>
      <c r="C471" t="inlineStr">
        <is>
          <t>WT-SL-SHUTTER-HIKI</t>
        </is>
      </c>
      <c r="D471" t="inlineStr">
        <is>
          <t>SP-SL-SHUT-E-STD</t>
        </is>
      </c>
      <c r="E471" t="inlineStr">
        <is>
          <t>24324-2</t>
        </is>
      </c>
      <c r="F471" t="b">
        <v>1</v>
      </c>
      <c r="G471" t="n">
        <v>48</v>
      </c>
      <c r="H471" t="inlineStr">
        <is>
          <t>●</t>
        </is>
      </c>
      <c r="I471" t="n">
        <v>48</v>
      </c>
      <c r="J471" t="inlineStr">
        <is>
          <t>P48|●</t>
        </is>
      </c>
      <c r="K471" t="inlineStr">
        <is>
          <t>同頁凡例へ直接連動</t>
        </is>
      </c>
      <c r="L471" t="inlineStr">
        <is>
          <t>202604_LIXIL_サーモスＬ_業務用資料集_完成品価格表.pdf</t>
        </is>
      </c>
      <c r="M471" t="inlineStr">
        <is>
          <t>v0.6：同一価格表セクション内で凡例継承を確定。</t>
        </is>
      </c>
      <c r="N471" t="inlineStr">
        <is>
          <t>https://drive.google.com/file/d/1YUN-mtWYs48YBUHJk0C3vJXnhjyZFHyf/view</t>
        </is>
      </c>
    </row>
    <row r="472">
      <c r="A472" s="42" t="inlineStr">
        <is>
          <t>GSC-SL-000469</t>
        </is>
      </c>
      <c r="B472" t="inlineStr">
        <is>
          <t>SZ-SL-000469</t>
        </is>
      </c>
      <c r="C472" t="inlineStr">
        <is>
          <t>WT-SL-SHUTTER-HIKI</t>
        </is>
      </c>
      <c r="D472" t="inlineStr">
        <is>
          <t>SP-SL-SHUT-E-VENT</t>
        </is>
      </c>
      <c r="E472" t="inlineStr">
        <is>
          <t>24322-2</t>
        </is>
      </c>
      <c r="F472" t="b">
        <v>1</v>
      </c>
      <c r="G472" t="n">
        <v>48</v>
      </c>
      <c r="H472" t="inlineStr">
        <is>
          <t>◆</t>
        </is>
      </c>
      <c r="I472" t="n">
        <v>48</v>
      </c>
      <c r="J472" t="inlineStr">
        <is>
          <t>P48|◆</t>
        </is>
      </c>
      <c r="K472" t="inlineStr">
        <is>
          <t>同頁凡例へ直接連動</t>
        </is>
      </c>
      <c r="L472" t="inlineStr">
        <is>
          <t>202604_LIXIL_サーモスＬ_業務用資料集_完成品価格表.pdf</t>
        </is>
      </c>
      <c r="M472" t="inlineStr">
        <is>
          <t>v0.6：同一価格表セクション内で凡例継承を確定。</t>
        </is>
      </c>
      <c r="N472" t="inlineStr">
        <is>
          <t>https://drive.google.com/file/d/1YUN-mtWYs48YBUHJk0C3vJXnhjyZFHyf/view</t>
        </is>
      </c>
    </row>
    <row r="473">
      <c r="A473" s="42" t="inlineStr">
        <is>
          <t>GSC-SL-000470</t>
        </is>
      </c>
      <c r="B473" t="inlineStr">
        <is>
          <t>SZ-SL-000470</t>
        </is>
      </c>
      <c r="C473" t="inlineStr">
        <is>
          <t>WT-SL-SHUTTER-HIKI</t>
        </is>
      </c>
      <c r="D473" t="inlineStr">
        <is>
          <t>SP-SL-SHUT-E-VENT</t>
        </is>
      </c>
      <c r="E473" t="inlineStr">
        <is>
          <t>24324-2</t>
        </is>
      </c>
      <c r="F473" t="b">
        <v>0</v>
      </c>
      <c r="G473" t="n">
        <v>48</v>
      </c>
      <c r="H473" t="inlineStr">
        <is>
          <t>●</t>
        </is>
      </c>
      <c r="I473" t="n">
        <v>48</v>
      </c>
      <c r="J473" t="inlineStr">
        <is>
          <t>P48|●</t>
        </is>
      </c>
      <c r="K473" t="inlineStr">
        <is>
          <t>同頁凡例へ直接連動</t>
        </is>
      </c>
      <c r="L473" t="inlineStr">
        <is>
          <t>202604_LIXIL_サーモスＬ_業務用資料集_完成品価格表.pdf</t>
        </is>
      </c>
      <c r="M473" t="inlineStr">
        <is>
          <t>v0.6：同一価格表セクション内で凡例継承を確定。</t>
        </is>
      </c>
      <c r="N473" t="inlineStr">
        <is>
          <t>https://drive.google.com/file/d/1YUN-mtWYs48YBUHJk0C3vJXnhjyZFHyf/view</t>
        </is>
      </c>
    </row>
    <row r="474">
      <c r="A474" s="42" t="inlineStr">
        <is>
          <t>GSC-SL-000471</t>
        </is>
      </c>
      <c r="B474" t="inlineStr">
        <is>
          <t>SZ-SL-000471</t>
        </is>
      </c>
      <c r="C474" t="inlineStr">
        <is>
          <t>WT-SL-SHUTTER-HIKI</t>
        </is>
      </c>
      <c r="D474" t="inlineStr">
        <is>
          <t>SP-SL-SHUT-E-WIND</t>
        </is>
      </c>
      <c r="E474" t="inlineStr">
        <is>
          <t>24322-2</t>
        </is>
      </c>
      <c r="F474" t="b">
        <v>1</v>
      </c>
      <c r="G474" t="n">
        <v>48</v>
      </c>
      <c r="H474" t="inlineStr">
        <is>
          <t>◆</t>
        </is>
      </c>
      <c r="I474" t="n">
        <v>48</v>
      </c>
      <c r="J474" t="inlineStr">
        <is>
          <t>P48|◆</t>
        </is>
      </c>
      <c r="K474" t="inlineStr">
        <is>
          <t>同頁凡例へ直接連動</t>
        </is>
      </c>
      <c r="L474" t="inlineStr">
        <is>
          <t>202604_LIXIL_サーモスＬ_業務用資料集_完成品価格表.pdf</t>
        </is>
      </c>
      <c r="M474" t="inlineStr">
        <is>
          <t>v0.6：同一価格表セクション内で凡例継承を確定。</t>
        </is>
      </c>
      <c r="N474" t="inlineStr">
        <is>
          <t>https://drive.google.com/file/d/1YUN-mtWYs48YBUHJk0C3vJXnhjyZFHyf/view</t>
        </is>
      </c>
    </row>
    <row r="475">
      <c r="A475" s="42" t="inlineStr">
        <is>
          <t>GSC-SL-000472</t>
        </is>
      </c>
      <c r="B475" t="inlineStr">
        <is>
          <t>SZ-SL-000472</t>
        </is>
      </c>
      <c r="C475" t="inlineStr">
        <is>
          <t>WT-SL-SHUTTER-HIKI</t>
        </is>
      </c>
      <c r="D475" t="inlineStr">
        <is>
          <t>SP-SL-SHUT-E-WIND</t>
        </is>
      </c>
      <c r="E475" t="inlineStr">
        <is>
          <t>24324-2</t>
        </is>
      </c>
      <c r="F475" t="b">
        <v>0</v>
      </c>
      <c r="G475" t="n">
        <v>48</v>
      </c>
      <c r="H475" t="inlineStr">
        <is>
          <t>●</t>
        </is>
      </c>
      <c r="I475" t="n">
        <v>48</v>
      </c>
      <c r="J475" t="inlineStr">
        <is>
          <t>P48|●</t>
        </is>
      </c>
      <c r="K475" t="inlineStr">
        <is>
          <t>同頁凡例へ直接連動</t>
        </is>
      </c>
      <c r="L475" t="inlineStr">
        <is>
          <t>202604_LIXIL_サーモスＬ_業務用資料集_完成品価格表.pdf</t>
        </is>
      </c>
      <c r="M475" t="inlineStr">
        <is>
          <t>v0.6：同一価格表セクション内で凡例継承を確定。</t>
        </is>
      </c>
      <c r="N475" t="inlineStr">
        <is>
          <t>https://drive.google.com/file/d/1YUN-mtWYs48YBUHJk0C3vJXnhjyZFHyf/view</t>
        </is>
      </c>
    </row>
    <row r="476">
      <c r="A476" s="42" t="inlineStr">
        <is>
          <t>GSC-SL-000473</t>
        </is>
      </c>
      <c r="B476" t="inlineStr">
        <is>
          <t>SZ-SL-000473</t>
        </is>
      </c>
      <c r="C476" t="inlineStr">
        <is>
          <t>WT-SL-SHUTTER-HIKI</t>
        </is>
      </c>
      <c r="D476" t="inlineStr">
        <is>
          <t>SP-SL-SHUT-M-STD</t>
        </is>
      </c>
      <c r="E476" t="inlineStr">
        <is>
          <t>17809</t>
        </is>
      </c>
      <c r="F476" t="b">
        <v>1</v>
      </c>
      <c r="G476" t="n">
        <v>56</v>
      </c>
      <c r="H476" t="inlineStr">
        <is>
          <t>無印</t>
        </is>
      </c>
      <c r="I476" t="n">
        <v>57</v>
      </c>
      <c r="J476" t="inlineStr">
        <is>
          <t>P57|無印</t>
        </is>
      </c>
      <c r="K476" t="inlineStr">
        <is>
          <t>同一価格表・次頁凡例を継承</t>
        </is>
      </c>
      <c r="L476" t="inlineStr">
        <is>
          <t>202604_LIXIL_サーモスＬ_業務用資料集_完成品価格表.pdf</t>
        </is>
      </c>
      <c r="M476" t="inlineStr">
        <is>
          <t>v0.6：同一価格表セクション内で凡例継承を確定。</t>
        </is>
      </c>
      <c r="N476" t="inlineStr">
        <is>
          <t>https://drive.google.com/file/d/1YUN-mtWYs48YBUHJk0C3vJXnhjyZFHyf/view</t>
        </is>
      </c>
    </row>
    <row r="477">
      <c r="A477" s="42" t="inlineStr">
        <is>
          <t>GSC-SL-000474</t>
        </is>
      </c>
      <c r="B477" t="inlineStr">
        <is>
          <t>SZ-SL-000474</t>
        </is>
      </c>
      <c r="C477" t="inlineStr">
        <is>
          <t>WT-SL-SHUTTER-HIKI</t>
        </is>
      </c>
      <c r="D477" t="inlineStr">
        <is>
          <t>SP-SL-SHUT-M-STD</t>
        </is>
      </c>
      <c r="E477" t="inlineStr">
        <is>
          <t>17811</t>
        </is>
      </c>
      <c r="F477" t="b">
        <v>1</v>
      </c>
      <c r="G477" t="n">
        <v>56</v>
      </c>
      <c r="H477" t="inlineStr">
        <is>
          <t>無印</t>
        </is>
      </c>
      <c r="I477" t="n">
        <v>57</v>
      </c>
      <c r="J477" t="inlineStr">
        <is>
          <t>P57|無印</t>
        </is>
      </c>
      <c r="K477" t="inlineStr">
        <is>
          <t>同一価格表・次頁凡例を継承</t>
        </is>
      </c>
      <c r="L477" t="inlineStr">
        <is>
          <t>202604_LIXIL_サーモスＬ_業務用資料集_完成品価格表.pdf</t>
        </is>
      </c>
      <c r="M477" t="inlineStr">
        <is>
          <t>v0.6：同一価格表セクション内で凡例継承を確定。</t>
        </is>
      </c>
      <c r="N477" t="inlineStr">
        <is>
          <t>https://drive.google.com/file/d/1YUN-mtWYs48YBUHJk0C3vJXnhjyZFHyf/view</t>
        </is>
      </c>
    </row>
    <row r="478">
      <c r="A478" s="42" t="inlineStr">
        <is>
          <t>GSC-SL-000475</t>
        </is>
      </c>
      <c r="B478" t="inlineStr">
        <is>
          <t>SZ-SL-000475</t>
        </is>
      </c>
      <c r="C478" t="inlineStr">
        <is>
          <t>WT-SL-SHUTTER-HIKI</t>
        </is>
      </c>
      <c r="D478" t="inlineStr">
        <is>
          <t>SP-SL-SHUT-M-STD</t>
        </is>
      </c>
      <c r="E478" t="inlineStr">
        <is>
          <t>17813</t>
        </is>
      </c>
      <c r="F478" t="b">
        <v>1</v>
      </c>
      <c r="G478" t="n">
        <v>56</v>
      </c>
      <c r="H478" t="inlineStr">
        <is>
          <t>★</t>
        </is>
      </c>
      <c r="I478" t="n">
        <v>57</v>
      </c>
      <c r="J478" t="inlineStr">
        <is>
          <t>P57|★</t>
        </is>
      </c>
      <c r="K478" t="inlineStr">
        <is>
          <t>同一価格表・次頁凡例を継承</t>
        </is>
      </c>
      <c r="L478" t="inlineStr">
        <is>
          <t>202604_LIXIL_サーモスＬ_業務用資料集_完成品価格表.pdf</t>
        </is>
      </c>
      <c r="M478" t="inlineStr">
        <is>
          <t>v0.6：同一価格表セクション内で凡例継承を確定。</t>
        </is>
      </c>
      <c r="N478" t="inlineStr">
        <is>
          <t>https://drive.google.com/file/d/1YUN-mtWYs48YBUHJk0C3vJXnhjyZFHyf/view</t>
        </is>
      </c>
    </row>
    <row r="479">
      <c r="A479" s="42" t="inlineStr">
        <is>
          <t>GSC-SL-000476</t>
        </is>
      </c>
      <c r="B479" t="inlineStr">
        <is>
          <t>SZ-SL-000476</t>
        </is>
      </c>
      <c r="C479" t="inlineStr">
        <is>
          <t>WT-SL-SHUTTER-HIKI</t>
        </is>
      </c>
      <c r="D479" t="inlineStr">
        <is>
          <t>SP-SL-SHUT-M-STD</t>
        </is>
      </c>
      <c r="E479" t="inlineStr">
        <is>
          <t>18309</t>
        </is>
      </c>
      <c r="F479" t="b">
        <v>1</v>
      </c>
      <c r="G479" t="n">
        <v>56</v>
      </c>
      <c r="H479" t="inlineStr">
        <is>
          <t>無印</t>
        </is>
      </c>
      <c r="I479" t="n">
        <v>57</v>
      </c>
      <c r="J479" t="inlineStr">
        <is>
          <t>P57|無印</t>
        </is>
      </c>
      <c r="K479" t="inlineStr">
        <is>
          <t>同一価格表・次頁凡例を継承</t>
        </is>
      </c>
      <c r="L479" t="inlineStr">
        <is>
          <t>202604_LIXIL_サーモスＬ_業務用資料集_完成品価格表.pdf</t>
        </is>
      </c>
      <c r="M479" t="inlineStr">
        <is>
          <t>v0.6：同一価格表セクション内で凡例継承を確定。</t>
        </is>
      </c>
      <c r="N479" t="inlineStr">
        <is>
          <t>https://drive.google.com/file/d/1YUN-mtWYs48YBUHJk0C3vJXnhjyZFHyf/view</t>
        </is>
      </c>
    </row>
    <row r="480">
      <c r="A480" s="42" t="inlineStr">
        <is>
          <t>GSC-SL-000477</t>
        </is>
      </c>
      <c r="B480" t="inlineStr">
        <is>
          <t>SZ-SL-000477</t>
        </is>
      </c>
      <c r="C480" t="inlineStr">
        <is>
          <t>WT-SL-SHUTTER-HIKI</t>
        </is>
      </c>
      <c r="D480" t="inlineStr">
        <is>
          <t>SP-SL-SHUT-M-STD</t>
        </is>
      </c>
      <c r="E480" t="inlineStr">
        <is>
          <t>18311</t>
        </is>
      </c>
      <c r="F480" t="b">
        <v>1</v>
      </c>
      <c r="G480" t="n">
        <v>56</v>
      </c>
      <c r="H480" t="inlineStr">
        <is>
          <t>無印</t>
        </is>
      </c>
      <c r="I480" t="n">
        <v>57</v>
      </c>
      <c r="J480" t="inlineStr">
        <is>
          <t>P57|無印</t>
        </is>
      </c>
      <c r="K480" t="inlineStr">
        <is>
          <t>同一価格表・次頁凡例を継承</t>
        </is>
      </c>
      <c r="L480" t="inlineStr">
        <is>
          <t>202604_LIXIL_サーモスＬ_業務用資料集_完成品価格表.pdf</t>
        </is>
      </c>
      <c r="M480" t="inlineStr">
        <is>
          <t>v0.6：同一価格表セクション内で凡例継承を確定。</t>
        </is>
      </c>
      <c r="N480" t="inlineStr">
        <is>
          <t>https://drive.google.com/file/d/1YUN-mtWYs48YBUHJk0C3vJXnhjyZFHyf/view</t>
        </is>
      </c>
    </row>
    <row r="481">
      <c r="A481" s="42" t="inlineStr">
        <is>
          <t>GSC-SL-000478</t>
        </is>
      </c>
      <c r="B481" t="inlineStr">
        <is>
          <t>SZ-SL-000478</t>
        </is>
      </c>
      <c r="C481" t="inlineStr">
        <is>
          <t>WT-SL-SHUTTER-HIKI</t>
        </is>
      </c>
      <c r="D481" t="inlineStr">
        <is>
          <t>SP-SL-SHUT-M-STD</t>
        </is>
      </c>
      <c r="E481" t="inlineStr">
        <is>
          <t>18313</t>
        </is>
      </c>
      <c r="F481" t="b">
        <v>1</v>
      </c>
      <c r="G481" t="n">
        <v>56</v>
      </c>
      <c r="H481" t="inlineStr">
        <is>
          <t>★</t>
        </is>
      </c>
      <c r="I481" t="n">
        <v>57</v>
      </c>
      <c r="J481" t="inlineStr">
        <is>
          <t>P57|★</t>
        </is>
      </c>
      <c r="K481" t="inlineStr">
        <is>
          <t>同一価格表・次頁凡例を継承</t>
        </is>
      </c>
      <c r="L481" t="inlineStr">
        <is>
          <t>202604_LIXIL_サーモスＬ_業務用資料集_完成品価格表.pdf</t>
        </is>
      </c>
      <c r="M481" t="inlineStr">
        <is>
          <t>v0.6：同一価格表セクション内で凡例継承を確定。</t>
        </is>
      </c>
      <c r="N481" t="inlineStr">
        <is>
          <t>https://drive.google.com/file/d/1YUN-mtWYs48YBUHJk0C3vJXnhjyZFHyf/view</t>
        </is>
      </c>
    </row>
    <row r="482">
      <c r="A482" s="42" t="inlineStr">
        <is>
          <t>GSC-SL-000479</t>
        </is>
      </c>
      <c r="B482" t="inlineStr">
        <is>
          <t>SZ-SL-000479</t>
        </is>
      </c>
      <c r="C482" t="inlineStr">
        <is>
          <t>WT-SL-SHUTTER-HIKI</t>
        </is>
      </c>
      <c r="D482" t="inlineStr">
        <is>
          <t>SP-SL-SHUT-M-WIND</t>
        </is>
      </c>
      <c r="E482" t="inlineStr">
        <is>
          <t>17809</t>
        </is>
      </c>
      <c r="F482" t="b">
        <v>0</v>
      </c>
      <c r="G482" t="n">
        <v>56</v>
      </c>
      <c r="H482" t="inlineStr">
        <is>
          <t>無印</t>
        </is>
      </c>
      <c r="I482" t="n">
        <v>57</v>
      </c>
      <c r="J482" t="inlineStr">
        <is>
          <t>P57|無印</t>
        </is>
      </c>
      <c r="K482" t="inlineStr">
        <is>
          <t>同一価格表・次頁凡例を継承</t>
        </is>
      </c>
      <c r="L482" t="inlineStr">
        <is>
          <t>202604_LIXIL_サーモスＬ_業務用資料集_完成品価格表.pdf</t>
        </is>
      </c>
      <c r="M482" t="inlineStr">
        <is>
          <t>v0.6：同一価格表セクション内で凡例継承を確定。</t>
        </is>
      </c>
      <c r="N482" t="inlineStr">
        <is>
          <t>https://drive.google.com/file/d/1YUN-mtWYs48YBUHJk0C3vJXnhjyZFHyf/view</t>
        </is>
      </c>
    </row>
    <row r="483">
      <c r="A483" s="42" t="inlineStr">
        <is>
          <t>GSC-SL-000480</t>
        </is>
      </c>
      <c r="B483" t="inlineStr">
        <is>
          <t>SZ-SL-000480</t>
        </is>
      </c>
      <c r="C483" t="inlineStr">
        <is>
          <t>WT-SL-SHUTTER-HIKI</t>
        </is>
      </c>
      <c r="D483" t="inlineStr">
        <is>
          <t>SP-SL-SHUT-M-WIND</t>
        </is>
      </c>
      <c r="E483" t="inlineStr">
        <is>
          <t>17811</t>
        </is>
      </c>
      <c r="F483" t="b">
        <v>0</v>
      </c>
      <c r="G483" t="n">
        <v>56</v>
      </c>
      <c r="H483" t="inlineStr">
        <is>
          <t>無印</t>
        </is>
      </c>
      <c r="I483" t="n">
        <v>57</v>
      </c>
      <c r="J483" t="inlineStr">
        <is>
          <t>P57|無印</t>
        </is>
      </c>
      <c r="K483" t="inlineStr">
        <is>
          <t>同一価格表・次頁凡例を継承</t>
        </is>
      </c>
      <c r="L483" t="inlineStr">
        <is>
          <t>202604_LIXIL_サーモスＬ_業務用資料集_完成品価格表.pdf</t>
        </is>
      </c>
      <c r="M483" t="inlineStr">
        <is>
          <t>v0.6：同一価格表セクション内で凡例継承を確定。</t>
        </is>
      </c>
      <c r="N483" t="inlineStr">
        <is>
          <t>https://drive.google.com/file/d/1YUN-mtWYs48YBUHJk0C3vJXnhjyZFHyf/view</t>
        </is>
      </c>
    </row>
    <row r="484">
      <c r="A484" s="42" t="inlineStr">
        <is>
          <t>GSC-SL-000481</t>
        </is>
      </c>
      <c r="B484" t="inlineStr">
        <is>
          <t>SZ-SL-000481</t>
        </is>
      </c>
      <c r="C484" t="inlineStr">
        <is>
          <t>WT-SL-SHUTTER-HIKI</t>
        </is>
      </c>
      <c r="D484" t="inlineStr">
        <is>
          <t>SP-SL-SHUT-M-WIND</t>
        </is>
      </c>
      <c r="E484" t="inlineStr">
        <is>
          <t>17813</t>
        </is>
      </c>
      <c r="F484" t="b">
        <v>0</v>
      </c>
      <c r="G484" t="n">
        <v>56</v>
      </c>
      <c r="H484" t="inlineStr">
        <is>
          <t>★</t>
        </is>
      </c>
      <c r="I484" t="n">
        <v>57</v>
      </c>
      <c r="J484" t="inlineStr">
        <is>
          <t>P57|★</t>
        </is>
      </c>
      <c r="K484" t="inlineStr">
        <is>
          <t>同一価格表・次頁凡例を継承</t>
        </is>
      </c>
      <c r="L484" t="inlineStr">
        <is>
          <t>202604_LIXIL_サーモスＬ_業務用資料集_完成品価格表.pdf</t>
        </is>
      </c>
      <c r="M484" t="inlineStr">
        <is>
          <t>v0.6：同一価格表セクション内で凡例継承を確定。</t>
        </is>
      </c>
      <c r="N484" t="inlineStr">
        <is>
          <t>https://drive.google.com/file/d/1YUN-mtWYs48YBUHJk0C3vJXnhjyZFHyf/view</t>
        </is>
      </c>
    </row>
    <row r="485">
      <c r="A485" s="42" t="inlineStr">
        <is>
          <t>GSC-SL-000482</t>
        </is>
      </c>
      <c r="B485" t="inlineStr">
        <is>
          <t>SZ-SL-000482</t>
        </is>
      </c>
      <c r="C485" t="inlineStr">
        <is>
          <t>WT-SL-SHUTTER-HIKI</t>
        </is>
      </c>
      <c r="D485" t="inlineStr">
        <is>
          <t>SP-SL-SHUT-M-WIND</t>
        </is>
      </c>
      <c r="E485" t="inlineStr">
        <is>
          <t>18309</t>
        </is>
      </c>
      <c r="F485" t="b">
        <v>0</v>
      </c>
      <c r="G485" t="n">
        <v>56</v>
      </c>
      <c r="H485" t="inlineStr">
        <is>
          <t>無印</t>
        </is>
      </c>
      <c r="I485" t="n">
        <v>57</v>
      </c>
      <c r="J485" t="inlineStr">
        <is>
          <t>P57|無印</t>
        </is>
      </c>
      <c r="K485" t="inlineStr">
        <is>
          <t>同一価格表・次頁凡例を継承</t>
        </is>
      </c>
      <c r="L485" t="inlineStr">
        <is>
          <t>202604_LIXIL_サーモスＬ_業務用資料集_完成品価格表.pdf</t>
        </is>
      </c>
      <c r="M485" t="inlineStr">
        <is>
          <t>v0.6：同一価格表セクション内で凡例継承を確定。</t>
        </is>
      </c>
      <c r="N485" t="inlineStr">
        <is>
          <t>https://drive.google.com/file/d/1YUN-mtWYs48YBUHJk0C3vJXnhjyZFHyf/view</t>
        </is>
      </c>
    </row>
    <row r="486">
      <c r="A486" s="42" t="inlineStr">
        <is>
          <t>GSC-SL-000483</t>
        </is>
      </c>
      <c r="B486" t="inlineStr">
        <is>
          <t>SZ-SL-000483</t>
        </is>
      </c>
      <c r="C486" t="inlineStr">
        <is>
          <t>WT-SL-SHUTTER-HIKI</t>
        </is>
      </c>
      <c r="D486" t="inlineStr">
        <is>
          <t>SP-SL-SHUT-M-WIND</t>
        </is>
      </c>
      <c r="E486" t="inlineStr">
        <is>
          <t>18311</t>
        </is>
      </c>
      <c r="F486" t="b">
        <v>0</v>
      </c>
      <c r="G486" t="n">
        <v>56</v>
      </c>
      <c r="H486" t="inlineStr">
        <is>
          <t>無印</t>
        </is>
      </c>
      <c r="I486" t="n">
        <v>57</v>
      </c>
      <c r="J486" t="inlineStr">
        <is>
          <t>P57|無印</t>
        </is>
      </c>
      <c r="K486" t="inlineStr">
        <is>
          <t>同一価格表・次頁凡例を継承</t>
        </is>
      </c>
      <c r="L486" t="inlineStr">
        <is>
          <t>202604_LIXIL_サーモスＬ_業務用資料集_完成品価格表.pdf</t>
        </is>
      </c>
      <c r="M486" t="inlineStr">
        <is>
          <t>v0.6：同一価格表セクション内で凡例継承を確定。</t>
        </is>
      </c>
      <c r="N486" t="inlineStr">
        <is>
          <t>https://drive.google.com/file/d/1YUN-mtWYs48YBUHJk0C3vJXnhjyZFHyf/view</t>
        </is>
      </c>
    </row>
    <row r="487">
      <c r="A487" s="42" t="inlineStr">
        <is>
          <t>GSC-SL-000484</t>
        </is>
      </c>
      <c r="B487" t="inlineStr">
        <is>
          <t>SZ-SL-000484</t>
        </is>
      </c>
      <c r="C487" t="inlineStr">
        <is>
          <t>WT-SL-SHUTTER-HIKI</t>
        </is>
      </c>
      <c r="D487" t="inlineStr">
        <is>
          <t>SP-SL-SHUT-M-WIND</t>
        </is>
      </c>
      <c r="E487" t="inlineStr">
        <is>
          <t>18313</t>
        </is>
      </c>
      <c r="F487" t="b">
        <v>0</v>
      </c>
      <c r="G487" t="n">
        <v>56</v>
      </c>
      <c r="H487" t="inlineStr">
        <is>
          <t>★</t>
        </is>
      </c>
      <c r="I487" t="n">
        <v>57</v>
      </c>
      <c r="J487" t="inlineStr">
        <is>
          <t>P57|★</t>
        </is>
      </c>
      <c r="K487" t="inlineStr">
        <is>
          <t>同一価格表・次頁凡例を継承</t>
        </is>
      </c>
      <c r="L487" t="inlineStr">
        <is>
          <t>202604_LIXIL_サーモスＬ_業務用資料集_完成品価格表.pdf</t>
        </is>
      </c>
      <c r="M487" t="inlineStr">
        <is>
          <t>v0.6：同一価格表セクション内で凡例継承を確定。</t>
        </is>
      </c>
      <c r="N487" t="inlineStr">
        <is>
          <t>https://drive.google.com/file/d/1YUN-mtWYs48YBUHJk0C3vJXnhjyZFHyf/view</t>
        </is>
      </c>
    </row>
    <row r="488">
      <c r="A488" s="42" t="inlineStr">
        <is>
          <t>GSC-SL-000485</t>
        </is>
      </c>
      <c r="B488" t="inlineStr">
        <is>
          <t>SZ-SL-000485</t>
        </is>
      </c>
      <c r="C488" t="inlineStr">
        <is>
          <t>WT-SL-SHUTTER-HIKI</t>
        </is>
      </c>
      <c r="D488" t="inlineStr">
        <is>
          <t>SP-SL-SHUT-M-STD</t>
        </is>
      </c>
      <c r="E488" t="inlineStr">
        <is>
          <t>17818</t>
        </is>
      </c>
      <c r="F488" t="b">
        <v>1</v>
      </c>
      <c r="G488" t="n">
        <v>59</v>
      </c>
      <c r="H488" t="inlineStr">
        <is>
          <t>▲</t>
        </is>
      </c>
      <c r="I488" t="n">
        <v>59</v>
      </c>
      <c r="J488" t="inlineStr">
        <is>
          <t>P59|▲</t>
        </is>
      </c>
      <c r="K488" t="inlineStr">
        <is>
          <t>同頁凡例へ直接連動</t>
        </is>
      </c>
      <c r="L488" t="inlineStr">
        <is>
          <t>202604_LIXIL_サーモスＬ_業務用資料集_完成品価格表.pdf</t>
        </is>
      </c>
      <c r="M488" t="inlineStr">
        <is>
          <t>v0.6：同一価格表セクション内で凡例継承を確定。</t>
        </is>
      </c>
      <c r="N488" t="inlineStr">
        <is>
          <t>https://drive.google.com/file/d/1YUN-mtWYs48YBUHJk0C3vJXnhjyZFHyf/view</t>
        </is>
      </c>
    </row>
    <row r="489">
      <c r="A489" s="42" t="inlineStr">
        <is>
          <t>GSC-SL-000486</t>
        </is>
      </c>
      <c r="B489" t="inlineStr">
        <is>
          <t>SZ-SL-000486</t>
        </is>
      </c>
      <c r="C489" t="inlineStr">
        <is>
          <t>WT-SL-SHUTTER-HIKI</t>
        </is>
      </c>
      <c r="D489" t="inlineStr">
        <is>
          <t>SP-SL-SHUT-M-STD</t>
        </is>
      </c>
      <c r="E489" t="inlineStr">
        <is>
          <t>17820</t>
        </is>
      </c>
      <c r="F489" t="b">
        <v>1</v>
      </c>
      <c r="G489" t="n">
        <v>59</v>
      </c>
      <c r="H489" t="inlineStr">
        <is>
          <t>★</t>
        </is>
      </c>
      <c r="I489" t="n">
        <v>59</v>
      </c>
      <c r="J489" t="inlineStr">
        <is>
          <t>P59|★</t>
        </is>
      </c>
      <c r="K489" t="inlineStr">
        <is>
          <t>同頁凡例へ直接連動</t>
        </is>
      </c>
      <c r="L489" t="inlineStr">
        <is>
          <t>202604_LIXIL_サーモスＬ_業務用資料集_完成品価格表.pdf</t>
        </is>
      </c>
      <c r="M489" t="inlineStr">
        <is>
          <t>v0.6：同一価格表セクション内で凡例継承を確定。</t>
        </is>
      </c>
      <c r="N489" t="inlineStr">
        <is>
          <t>https://drive.google.com/file/d/1YUN-mtWYs48YBUHJk0C3vJXnhjyZFHyf/view</t>
        </is>
      </c>
    </row>
    <row r="490">
      <c r="A490" s="42" t="inlineStr">
        <is>
          <t>GSC-SL-000487</t>
        </is>
      </c>
      <c r="B490" t="inlineStr">
        <is>
          <t>SZ-SL-000487</t>
        </is>
      </c>
      <c r="C490" t="inlineStr">
        <is>
          <t>WT-SL-SHUTTER-HIKI</t>
        </is>
      </c>
      <c r="D490" t="inlineStr">
        <is>
          <t>SP-SL-SHUT-M-STD</t>
        </is>
      </c>
      <c r="E490" t="inlineStr">
        <is>
          <t>17822</t>
        </is>
      </c>
      <c r="F490" t="b">
        <v>1</v>
      </c>
      <c r="G490" t="n">
        <v>59</v>
      </c>
      <c r="H490" t="inlineStr">
        <is>
          <t>★</t>
        </is>
      </c>
      <c r="I490" t="n">
        <v>59</v>
      </c>
      <c r="J490" t="inlineStr">
        <is>
          <t>P59|★</t>
        </is>
      </c>
      <c r="K490" t="inlineStr">
        <is>
          <t>同頁凡例へ直接連動</t>
        </is>
      </c>
      <c r="L490" t="inlineStr">
        <is>
          <t>202604_LIXIL_サーモスＬ_業務用資料集_完成品価格表.pdf</t>
        </is>
      </c>
      <c r="M490" t="inlineStr">
        <is>
          <t>v0.6：同一価格表セクション内で凡例継承を確定。</t>
        </is>
      </c>
      <c r="N490" t="inlineStr">
        <is>
          <t>https://drive.google.com/file/d/1YUN-mtWYs48YBUHJk0C3vJXnhjyZFHyf/view</t>
        </is>
      </c>
    </row>
    <row r="491">
      <c r="A491" s="42" t="inlineStr">
        <is>
          <t>GSC-SL-000488</t>
        </is>
      </c>
      <c r="B491" t="inlineStr">
        <is>
          <t>SZ-SL-000488</t>
        </is>
      </c>
      <c r="C491" t="inlineStr">
        <is>
          <t>WT-SL-SHUTTER-HIKI</t>
        </is>
      </c>
      <c r="D491" t="inlineStr">
        <is>
          <t>SP-SL-SHUT-M-WIND</t>
        </is>
      </c>
      <c r="E491" t="inlineStr">
        <is>
          <t>17818</t>
        </is>
      </c>
      <c r="F491" t="b">
        <v>0</v>
      </c>
      <c r="G491" t="n">
        <v>59</v>
      </c>
      <c r="H491" t="inlineStr">
        <is>
          <t>▲</t>
        </is>
      </c>
      <c r="I491" t="n">
        <v>59</v>
      </c>
      <c r="J491" t="inlineStr">
        <is>
          <t>P59|▲</t>
        </is>
      </c>
      <c r="K491" t="inlineStr">
        <is>
          <t>同頁凡例へ直接連動</t>
        </is>
      </c>
      <c r="L491" t="inlineStr">
        <is>
          <t>202604_LIXIL_サーモスＬ_業務用資料集_完成品価格表.pdf</t>
        </is>
      </c>
      <c r="M491" t="inlineStr">
        <is>
          <t>v0.6：同一価格表セクション内で凡例継承を確定。</t>
        </is>
      </c>
      <c r="N491" t="inlineStr">
        <is>
          <t>https://drive.google.com/file/d/1YUN-mtWYs48YBUHJk0C3vJXnhjyZFHyf/view</t>
        </is>
      </c>
    </row>
    <row r="492">
      <c r="A492" s="42" t="inlineStr">
        <is>
          <t>GSC-SL-000489</t>
        </is>
      </c>
      <c r="B492" t="inlineStr">
        <is>
          <t>SZ-SL-000489</t>
        </is>
      </c>
      <c r="C492" t="inlineStr">
        <is>
          <t>WT-SL-SHUTTER-HIKI</t>
        </is>
      </c>
      <c r="D492" t="inlineStr">
        <is>
          <t>SP-SL-SHUT-M-WIND</t>
        </is>
      </c>
      <c r="E492" t="inlineStr">
        <is>
          <t>17820</t>
        </is>
      </c>
      <c r="F492" t="b">
        <v>0</v>
      </c>
      <c r="G492" t="n">
        <v>59</v>
      </c>
      <c r="H492" t="inlineStr">
        <is>
          <t>★</t>
        </is>
      </c>
      <c r="I492" t="n">
        <v>59</v>
      </c>
      <c r="J492" t="inlineStr">
        <is>
          <t>P59|★</t>
        </is>
      </c>
      <c r="K492" t="inlineStr">
        <is>
          <t>同頁凡例へ直接連動</t>
        </is>
      </c>
      <c r="L492" t="inlineStr">
        <is>
          <t>202604_LIXIL_サーモスＬ_業務用資料集_完成品価格表.pdf</t>
        </is>
      </c>
      <c r="M492" t="inlineStr">
        <is>
          <t>v0.6：同一価格表セクション内で凡例継承を確定。</t>
        </is>
      </c>
      <c r="N492" t="inlineStr">
        <is>
          <t>https://drive.google.com/file/d/1YUN-mtWYs48YBUHJk0C3vJXnhjyZFHyf/view</t>
        </is>
      </c>
    </row>
    <row r="493">
      <c r="A493" s="42" t="inlineStr">
        <is>
          <t>GSC-SL-000490</t>
        </is>
      </c>
      <c r="B493" t="inlineStr">
        <is>
          <t>SZ-SL-000490</t>
        </is>
      </c>
      <c r="C493" t="inlineStr">
        <is>
          <t>WT-SL-SHUTTER-HIKI</t>
        </is>
      </c>
      <c r="D493" t="inlineStr">
        <is>
          <t>SP-SL-SHUT-M-WIND</t>
        </is>
      </c>
      <c r="E493" t="inlineStr">
        <is>
          <t>17822</t>
        </is>
      </c>
      <c r="F493" t="b">
        <v>0</v>
      </c>
      <c r="G493" t="n">
        <v>59</v>
      </c>
      <c r="H493" t="inlineStr">
        <is>
          <t>★</t>
        </is>
      </c>
      <c r="I493" t="n">
        <v>59</v>
      </c>
      <c r="J493" t="inlineStr">
        <is>
          <t>P59|★</t>
        </is>
      </c>
      <c r="K493" t="inlineStr">
        <is>
          <t>同頁凡例へ直接連動</t>
        </is>
      </c>
      <c r="L493" t="inlineStr">
        <is>
          <t>202604_LIXIL_サーモスＬ_業務用資料集_完成品価格表.pdf</t>
        </is>
      </c>
      <c r="M493" t="inlineStr">
        <is>
          <t>v0.6：同一価格表セクション内で凡例継承を確定。</t>
        </is>
      </c>
      <c r="N493" t="inlineStr">
        <is>
          <t>https://drive.google.com/file/d/1YUN-mtWYs48YBUHJk0C3vJXnhjyZFHyf/view</t>
        </is>
      </c>
    </row>
    <row r="494">
      <c r="A494" s="42" t="inlineStr">
        <is>
          <t>GSC-SL-000491</t>
        </is>
      </c>
      <c r="B494" t="inlineStr">
        <is>
          <t>SZ-SL-000491</t>
        </is>
      </c>
      <c r="C494" t="inlineStr">
        <is>
          <t>WT-SL-SHUTTER-HIKI</t>
        </is>
      </c>
      <c r="D494" t="inlineStr">
        <is>
          <t>SP-SL-SHUT-M-STD</t>
        </is>
      </c>
      <c r="E494" t="inlineStr">
        <is>
          <t>18318</t>
        </is>
      </c>
      <c r="F494" t="b">
        <v>1</v>
      </c>
      <c r="G494" t="n">
        <v>60</v>
      </c>
      <c r="H494" t="inlineStr">
        <is>
          <t>★</t>
        </is>
      </c>
      <c r="I494" t="n">
        <v>61</v>
      </c>
      <c r="J494" t="inlineStr">
        <is>
          <t>P61|★</t>
        </is>
      </c>
      <c r="K494" t="inlineStr">
        <is>
          <t>同一価格表・次頁凡例を継承</t>
        </is>
      </c>
      <c r="L494" t="inlineStr">
        <is>
          <t>202604_LIXIL_サーモスＬ_業務用資料集_完成品価格表.pdf</t>
        </is>
      </c>
      <c r="M494" t="inlineStr">
        <is>
          <t>v0.6：同一価格表セクション内で凡例継承を確定。</t>
        </is>
      </c>
      <c r="N494" t="inlineStr">
        <is>
          <t>https://drive.google.com/file/d/1YUN-mtWYs48YBUHJk0C3vJXnhjyZFHyf/view</t>
        </is>
      </c>
    </row>
    <row r="495">
      <c r="A495" s="42" t="inlineStr">
        <is>
          <t>GSC-SL-000492</t>
        </is>
      </c>
      <c r="B495" t="inlineStr">
        <is>
          <t>SZ-SL-000492</t>
        </is>
      </c>
      <c r="C495" t="inlineStr">
        <is>
          <t>WT-SL-SHUTTER-HIKI</t>
        </is>
      </c>
      <c r="D495" t="inlineStr">
        <is>
          <t>SP-SL-SHUT-M-STD</t>
        </is>
      </c>
      <c r="E495" t="inlineStr">
        <is>
          <t>18320</t>
        </is>
      </c>
      <c r="F495" t="b">
        <v>1</v>
      </c>
      <c r="G495" t="n">
        <v>60</v>
      </c>
      <c r="H495" t="inlineStr">
        <is>
          <t>★</t>
        </is>
      </c>
      <c r="I495" t="n">
        <v>61</v>
      </c>
      <c r="J495" t="inlineStr">
        <is>
          <t>P61|★</t>
        </is>
      </c>
      <c r="K495" t="inlineStr">
        <is>
          <t>同一価格表・次頁凡例を継承</t>
        </is>
      </c>
      <c r="L495" t="inlineStr">
        <is>
          <t>202604_LIXIL_サーモスＬ_業務用資料集_完成品価格表.pdf</t>
        </is>
      </c>
      <c r="M495" t="inlineStr">
        <is>
          <t>v0.6：同一価格表セクション内で凡例継承を確定。</t>
        </is>
      </c>
      <c r="N495" t="inlineStr">
        <is>
          <t>https://drive.google.com/file/d/1YUN-mtWYs48YBUHJk0C3vJXnhjyZFHyf/view</t>
        </is>
      </c>
    </row>
    <row r="496">
      <c r="A496" s="42" t="inlineStr">
        <is>
          <t>GSC-SL-000493</t>
        </is>
      </c>
      <c r="B496" t="inlineStr">
        <is>
          <t>SZ-SL-000493</t>
        </is>
      </c>
      <c r="C496" t="inlineStr">
        <is>
          <t>WT-SL-SHUTTER-HIKI</t>
        </is>
      </c>
      <c r="D496" t="inlineStr">
        <is>
          <t>SP-SL-SHUT-M-STD</t>
        </is>
      </c>
      <c r="E496" t="inlineStr">
        <is>
          <t>18322</t>
        </is>
      </c>
      <c r="F496" t="b">
        <v>1</v>
      </c>
      <c r="G496" t="n">
        <v>60</v>
      </c>
      <c r="H496" t="inlineStr">
        <is>
          <t>★</t>
        </is>
      </c>
      <c r="I496" t="n">
        <v>61</v>
      </c>
      <c r="J496" t="inlineStr">
        <is>
          <t>P61|★</t>
        </is>
      </c>
      <c r="K496" t="inlineStr">
        <is>
          <t>同一価格表・次頁凡例を継承</t>
        </is>
      </c>
      <c r="L496" t="inlineStr">
        <is>
          <t>202604_LIXIL_サーモスＬ_業務用資料集_完成品価格表.pdf</t>
        </is>
      </c>
      <c r="M496" t="inlineStr">
        <is>
          <t>v0.6：同一価格表セクション内で凡例継承を確定。</t>
        </is>
      </c>
      <c r="N496" t="inlineStr">
        <is>
          <t>https://drive.google.com/file/d/1YUN-mtWYs48YBUHJk0C3vJXnhjyZFHyf/view</t>
        </is>
      </c>
    </row>
    <row r="497">
      <c r="A497" s="42" t="inlineStr">
        <is>
          <t>GSC-SL-000494</t>
        </is>
      </c>
      <c r="B497" t="inlineStr">
        <is>
          <t>SZ-SL-000494</t>
        </is>
      </c>
      <c r="C497" t="inlineStr">
        <is>
          <t>WT-SL-SHUTTER-HIKI</t>
        </is>
      </c>
      <c r="D497" t="inlineStr">
        <is>
          <t>SP-SL-SHUT-M-WIND</t>
        </is>
      </c>
      <c r="E497" t="inlineStr">
        <is>
          <t>18318</t>
        </is>
      </c>
      <c r="F497" t="b">
        <v>0</v>
      </c>
      <c r="G497" t="n">
        <v>60</v>
      </c>
      <c r="H497" t="inlineStr">
        <is>
          <t>★</t>
        </is>
      </c>
      <c r="I497" t="n">
        <v>61</v>
      </c>
      <c r="J497" t="inlineStr">
        <is>
          <t>P61|★</t>
        </is>
      </c>
      <c r="K497" t="inlineStr">
        <is>
          <t>同一価格表・次頁凡例を継承</t>
        </is>
      </c>
      <c r="L497" t="inlineStr">
        <is>
          <t>202604_LIXIL_サーモスＬ_業務用資料集_完成品価格表.pdf</t>
        </is>
      </c>
      <c r="M497" t="inlineStr">
        <is>
          <t>v0.6：同一価格表セクション内で凡例継承を確定。</t>
        </is>
      </c>
      <c r="N497" t="inlineStr">
        <is>
          <t>https://drive.google.com/file/d/1YUN-mtWYs48YBUHJk0C3vJXnhjyZFHyf/view</t>
        </is>
      </c>
    </row>
    <row r="498">
      <c r="A498" s="42" t="inlineStr">
        <is>
          <t>GSC-SL-000495</t>
        </is>
      </c>
      <c r="B498" t="inlineStr">
        <is>
          <t>SZ-SL-000495</t>
        </is>
      </c>
      <c r="C498" t="inlineStr">
        <is>
          <t>WT-SL-SHUTTER-HIKI</t>
        </is>
      </c>
      <c r="D498" t="inlineStr">
        <is>
          <t>SP-SL-SHUT-M-WIND</t>
        </is>
      </c>
      <c r="E498" t="inlineStr">
        <is>
          <t>18320</t>
        </is>
      </c>
      <c r="F498" t="b">
        <v>0</v>
      </c>
      <c r="G498" t="n">
        <v>60</v>
      </c>
      <c r="H498" t="inlineStr">
        <is>
          <t>★</t>
        </is>
      </c>
      <c r="I498" t="n">
        <v>61</v>
      </c>
      <c r="J498" t="inlineStr">
        <is>
          <t>P61|★</t>
        </is>
      </c>
      <c r="K498" t="inlineStr">
        <is>
          <t>同一価格表・次頁凡例を継承</t>
        </is>
      </c>
      <c r="L498" t="inlineStr">
        <is>
          <t>202604_LIXIL_サーモスＬ_業務用資料集_完成品価格表.pdf</t>
        </is>
      </c>
      <c r="M498" t="inlineStr">
        <is>
          <t>v0.6：同一価格表セクション内で凡例継承を確定。</t>
        </is>
      </c>
      <c r="N498" t="inlineStr">
        <is>
          <t>https://drive.google.com/file/d/1YUN-mtWYs48YBUHJk0C3vJXnhjyZFHyf/view</t>
        </is>
      </c>
    </row>
    <row r="499">
      <c r="A499" s="42" t="inlineStr">
        <is>
          <t>GSC-SL-000496</t>
        </is>
      </c>
      <c r="B499" t="inlineStr">
        <is>
          <t>SZ-SL-000496</t>
        </is>
      </c>
      <c r="C499" t="inlineStr">
        <is>
          <t>WT-SL-SHUTTER-HIKI</t>
        </is>
      </c>
      <c r="D499" t="inlineStr">
        <is>
          <t>SP-SL-SHUT-M-WIND</t>
        </is>
      </c>
      <c r="E499" t="inlineStr">
        <is>
          <t>18322</t>
        </is>
      </c>
      <c r="F499" t="b">
        <v>0</v>
      </c>
      <c r="G499" t="n">
        <v>60</v>
      </c>
      <c r="H499" t="inlineStr">
        <is>
          <t>★</t>
        </is>
      </c>
      <c r="I499" t="n">
        <v>61</v>
      </c>
      <c r="J499" t="inlineStr">
        <is>
          <t>P61|★</t>
        </is>
      </c>
      <c r="K499" t="inlineStr">
        <is>
          <t>同一価格表・次頁凡例を継承</t>
        </is>
      </c>
      <c r="L499" t="inlineStr">
        <is>
          <t>202604_LIXIL_サーモスＬ_業務用資料集_完成品価格表.pdf</t>
        </is>
      </c>
      <c r="M499" t="inlineStr">
        <is>
          <t>v0.6：同一価格表セクション内で凡例継承を確定。</t>
        </is>
      </c>
      <c r="N499" t="inlineStr">
        <is>
          <t>https://drive.google.com/file/d/1YUN-mtWYs48YBUHJk0C3vJXnhjyZFHyf/view</t>
        </is>
      </c>
    </row>
    <row r="500">
      <c r="A500" s="42" t="inlineStr">
        <is>
          <t>GSC-SL-000497</t>
        </is>
      </c>
      <c r="B500" t="inlineStr">
        <is>
          <t>SZ-SL-000497</t>
        </is>
      </c>
      <c r="C500" t="inlineStr">
        <is>
          <t>WT-SL-AMADO-HIKI</t>
        </is>
      </c>
      <c r="D500" t="inlineStr">
        <is>
          <t>*</t>
        </is>
      </c>
      <c r="E500" t="inlineStr">
        <is>
          <t>11409</t>
        </is>
      </c>
      <c r="F500" t="b">
        <v>1</v>
      </c>
      <c r="G500" t="n">
        <v>66</v>
      </c>
      <c r="H500" t="inlineStr">
        <is>
          <t>無印</t>
        </is>
      </c>
      <c r="I500" t="n">
        <v>66</v>
      </c>
      <c r="J500" t="inlineStr">
        <is>
          <t>P66|無印</t>
        </is>
      </c>
      <c r="K500" t="inlineStr">
        <is>
          <t>同頁凡例へ直接連動</t>
        </is>
      </c>
      <c r="L500" t="inlineStr">
        <is>
          <t>202604_LIXIL_サーモスＬ_業務用資料集_完成品価格表.pdf</t>
        </is>
      </c>
      <c r="M500" t="inlineStr">
        <is>
          <t>v0.6：同一価格表セクション内で凡例継承を確定。</t>
        </is>
      </c>
      <c r="N500" t="inlineStr">
        <is>
          <t>https://drive.google.com/file/d/1YUN-mtWYs48YBUHJk0C3vJXnhjyZFHyf/view</t>
        </is>
      </c>
    </row>
    <row r="501">
      <c r="A501" s="42" t="inlineStr">
        <is>
          <t>GSC-SL-000498</t>
        </is>
      </c>
      <c r="B501" t="inlineStr">
        <is>
          <t>SZ-SL-000498</t>
        </is>
      </c>
      <c r="C501" t="inlineStr">
        <is>
          <t>WT-SL-AMADO-HIKI</t>
        </is>
      </c>
      <c r="D501" t="inlineStr">
        <is>
          <t>*</t>
        </is>
      </c>
      <c r="E501" t="inlineStr">
        <is>
          <t>11411</t>
        </is>
      </c>
      <c r="F501" t="b">
        <v>1</v>
      </c>
      <c r="G501" t="n">
        <v>66</v>
      </c>
      <c r="H501" t="inlineStr">
        <is>
          <t>無印</t>
        </is>
      </c>
      <c r="I501" t="n">
        <v>66</v>
      </c>
      <c r="J501" t="inlineStr">
        <is>
          <t>P66|無印</t>
        </is>
      </c>
      <c r="K501" t="inlineStr">
        <is>
          <t>同頁凡例へ直接連動</t>
        </is>
      </c>
      <c r="L501" t="inlineStr">
        <is>
          <t>202604_LIXIL_サーモスＬ_業務用資料集_完成品価格表.pdf</t>
        </is>
      </c>
      <c r="M501" t="inlineStr">
        <is>
          <t>v0.6：同一価格表セクション内で凡例継承を確定。</t>
        </is>
      </c>
      <c r="N501" t="inlineStr">
        <is>
          <t>https://drive.google.com/file/d/1YUN-mtWYs48YBUHJk0C3vJXnhjyZFHyf/view</t>
        </is>
      </c>
    </row>
    <row r="502">
      <c r="A502" s="42" t="inlineStr">
        <is>
          <t>GSC-SL-000499</t>
        </is>
      </c>
      <c r="B502" t="inlineStr">
        <is>
          <t>SZ-SL-000499</t>
        </is>
      </c>
      <c r="C502" t="inlineStr">
        <is>
          <t>WT-SL-AMADO-HIKI</t>
        </is>
      </c>
      <c r="D502" t="inlineStr">
        <is>
          <t>*</t>
        </is>
      </c>
      <c r="E502" t="inlineStr">
        <is>
          <t>11909</t>
        </is>
      </c>
      <c r="F502" t="b">
        <v>1</v>
      </c>
      <c r="G502" t="n">
        <v>66</v>
      </c>
      <c r="H502" t="inlineStr">
        <is>
          <t>無印</t>
        </is>
      </c>
      <c r="I502" t="n">
        <v>66</v>
      </c>
      <c r="J502" t="inlineStr">
        <is>
          <t>P66|無印</t>
        </is>
      </c>
      <c r="K502" t="inlineStr">
        <is>
          <t>同頁凡例へ直接連動</t>
        </is>
      </c>
      <c r="L502" t="inlineStr">
        <is>
          <t>202604_LIXIL_サーモスＬ_業務用資料集_完成品価格表.pdf</t>
        </is>
      </c>
      <c r="M502" t="inlineStr">
        <is>
          <t>v0.6：同一価格表セクション内で凡例継承を確定。</t>
        </is>
      </c>
      <c r="N502" t="inlineStr">
        <is>
          <t>https://drive.google.com/file/d/1YUN-mtWYs48YBUHJk0C3vJXnhjyZFHyf/view</t>
        </is>
      </c>
    </row>
    <row r="503">
      <c r="A503" s="42" t="inlineStr">
        <is>
          <t>GSC-SL-000500</t>
        </is>
      </c>
      <c r="B503" t="inlineStr">
        <is>
          <t>SZ-SL-000500</t>
        </is>
      </c>
      <c r="C503" t="inlineStr">
        <is>
          <t>WT-SL-AMADO-HIKI</t>
        </is>
      </c>
      <c r="D503" t="inlineStr">
        <is>
          <t>*</t>
        </is>
      </c>
      <c r="E503" t="inlineStr">
        <is>
          <t>11911</t>
        </is>
      </c>
      <c r="F503" t="b">
        <v>1</v>
      </c>
      <c r="G503" t="n">
        <v>66</v>
      </c>
      <c r="H503" t="inlineStr">
        <is>
          <t>無印</t>
        </is>
      </c>
      <c r="I503" t="n">
        <v>66</v>
      </c>
      <c r="J503" t="inlineStr">
        <is>
          <t>P66|無印</t>
        </is>
      </c>
      <c r="K503" t="inlineStr">
        <is>
          <t>同頁凡例へ直接連動</t>
        </is>
      </c>
      <c r="L503" t="inlineStr">
        <is>
          <t>202604_LIXIL_サーモスＬ_業務用資料集_完成品価格表.pdf</t>
        </is>
      </c>
      <c r="M503" t="inlineStr">
        <is>
          <t>v0.6：同一価格表セクション内で凡例継承を確定。</t>
        </is>
      </c>
      <c r="N503" t="inlineStr">
        <is>
          <t>https://drive.google.com/file/d/1YUN-mtWYs48YBUHJk0C3vJXnhjyZFHyf/view</t>
        </is>
      </c>
    </row>
    <row r="504">
      <c r="A504" s="42" t="inlineStr">
        <is>
          <t>GSC-SL-000501</t>
        </is>
      </c>
      <c r="B504" t="inlineStr">
        <is>
          <t>SZ-SL-000501</t>
        </is>
      </c>
      <c r="C504" t="inlineStr">
        <is>
          <t>WT-SL-AMADO-HIKI</t>
        </is>
      </c>
      <c r="D504" t="inlineStr">
        <is>
          <t>*</t>
        </is>
      </c>
      <c r="E504" t="inlineStr">
        <is>
          <t>12809</t>
        </is>
      </c>
      <c r="F504" t="b">
        <v>1</v>
      </c>
      <c r="G504" t="n">
        <v>66</v>
      </c>
      <c r="H504" t="inlineStr">
        <is>
          <t>無印</t>
        </is>
      </c>
      <c r="I504" t="n">
        <v>66</v>
      </c>
      <c r="J504" t="inlineStr">
        <is>
          <t>P66|無印</t>
        </is>
      </c>
      <c r="K504" t="inlineStr">
        <is>
          <t>同頁凡例へ直接連動</t>
        </is>
      </c>
      <c r="L504" t="inlineStr">
        <is>
          <t>202604_LIXIL_サーモスＬ_業務用資料集_完成品価格表.pdf</t>
        </is>
      </c>
      <c r="M504" t="inlineStr">
        <is>
          <t>v0.6：同一価格表セクション内で凡例継承を確定。</t>
        </is>
      </c>
      <c r="N504" t="inlineStr">
        <is>
          <t>https://drive.google.com/file/d/1YUN-mtWYs48YBUHJk0C3vJXnhjyZFHyf/view</t>
        </is>
      </c>
    </row>
    <row r="505">
      <c r="A505" s="42" t="inlineStr">
        <is>
          <t>GSC-SL-000502</t>
        </is>
      </c>
      <c r="B505" t="inlineStr">
        <is>
          <t>SZ-SL-000502</t>
        </is>
      </c>
      <c r="C505" t="inlineStr">
        <is>
          <t>WT-SL-AMADO-HIKI</t>
        </is>
      </c>
      <c r="D505" t="inlineStr">
        <is>
          <t>*</t>
        </is>
      </c>
      <c r="E505" t="inlineStr">
        <is>
          <t>12811</t>
        </is>
      </c>
      <c r="F505" t="b">
        <v>1</v>
      </c>
      <c r="G505" t="n">
        <v>66</v>
      </c>
      <c r="H505" t="inlineStr">
        <is>
          <t>無印</t>
        </is>
      </c>
      <c r="I505" t="n">
        <v>66</v>
      </c>
      <c r="J505" t="inlineStr">
        <is>
          <t>P66|無印</t>
        </is>
      </c>
      <c r="K505" t="inlineStr">
        <is>
          <t>同頁凡例へ直接連動</t>
        </is>
      </c>
      <c r="L505" t="inlineStr">
        <is>
          <t>202604_LIXIL_サーモスＬ_業務用資料集_完成品価格表.pdf</t>
        </is>
      </c>
      <c r="M505" t="inlineStr">
        <is>
          <t>v0.6：同一価格表セクション内で凡例継承を確定。</t>
        </is>
      </c>
      <c r="N505" t="inlineStr">
        <is>
          <t>https://drive.google.com/file/d/1YUN-mtWYs48YBUHJk0C3vJXnhjyZFHyf/view</t>
        </is>
      </c>
    </row>
    <row r="506">
      <c r="A506" s="42" t="inlineStr">
        <is>
          <t>GSC-SL-000503</t>
        </is>
      </c>
      <c r="B506" t="inlineStr">
        <is>
          <t>SZ-SL-000503</t>
        </is>
      </c>
      <c r="C506" t="inlineStr">
        <is>
          <t>WT-SL-AMADO-HIKI</t>
        </is>
      </c>
      <c r="D506" t="inlineStr">
        <is>
          <t>*</t>
        </is>
      </c>
      <c r="E506" t="inlineStr">
        <is>
          <t>13309</t>
        </is>
      </c>
      <c r="F506" t="b">
        <v>1</v>
      </c>
      <c r="G506" t="n">
        <v>66</v>
      </c>
      <c r="H506" t="inlineStr">
        <is>
          <t>無印</t>
        </is>
      </c>
      <c r="I506" t="n">
        <v>66</v>
      </c>
      <c r="J506" t="inlineStr">
        <is>
          <t>P66|無印</t>
        </is>
      </c>
      <c r="K506" t="inlineStr">
        <is>
          <t>同頁凡例へ直接連動</t>
        </is>
      </c>
      <c r="L506" t="inlineStr">
        <is>
          <t>202604_LIXIL_サーモスＬ_業務用資料集_完成品価格表.pdf</t>
        </is>
      </c>
      <c r="M506" t="inlineStr">
        <is>
          <t>v0.6：同一価格表セクション内で凡例継承を確定。</t>
        </is>
      </c>
      <c r="N506" t="inlineStr">
        <is>
          <t>https://drive.google.com/file/d/1YUN-mtWYs48YBUHJk0C3vJXnhjyZFHyf/view</t>
        </is>
      </c>
    </row>
    <row r="507">
      <c r="A507" s="42" t="inlineStr">
        <is>
          <t>GSC-SL-000504</t>
        </is>
      </c>
      <c r="B507" t="inlineStr">
        <is>
          <t>SZ-SL-000504</t>
        </is>
      </c>
      <c r="C507" t="inlineStr">
        <is>
          <t>WT-SL-AMADO-HIKI</t>
        </is>
      </c>
      <c r="D507" t="inlineStr">
        <is>
          <t>*</t>
        </is>
      </c>
      <c r="E507" t="inlineStr">
        <is>
          <t>13311</t>
        </is>
      </c>
      <c r="F507" t="b">
        <v>1</v>
      </c>
      <c r="G507" t="n">
        <v>66</v>
      </c>
      <c r="H507" t="inlineStr">
        <is>
          <t>無印</t>
        </is>
      </c>
      <c r="I507" t="n">
        <v>66</v>
      </c>
      <c r="J507" t="inlineStr">
        <is>
          <t>P66|無印</t>
        </is>
      </c>
      <c r="K507" t="inlineStr">
        <is>
          <t>同頁凡例へ直接連動</t>
        </is>
      </c>
      <c r="L507" t="inlineStr">
        <is>
          <t>202604_LIXIL_サーモスＬ_業務用資料集_完成品価格表.pdf</t>
        </is>
      </c>
      <c r="M507" t="inlineStr">
        <is>
          <t>v0.6：同一価格表セクション内で凡例継承を確定。</t>
        </is>
      </c>
      <c r="N507" t="inlineStr">
        <is>
          <t>https://drive.google.com/file/d/1YUN-mtWYs48YBUHJk0C3vJXnhjyZFHyf/view</t>
        </is>
      </c>
    </row>
    <row r="508">
      <c r="A508" s="42" t="inlineStr">
        <is>
          <t>GSC-SL-000505</t>
        </is>
      </c>
      <c r="B508" t="inlineStr">
        <is>
          <t>SZ-SL-000505</t>
        </is>
      </c>
      <c r="C508" t="inlineStr">
        <is>
          <t>WT-SL-AMADO-HIKI</t>
        </is>
      </c>
      <c r="D508" t="inlineStr">
        <is>
          <t>*</t>
        </is>
      </c>
      <c r="E508" t="inlineStr">
        <is>
          <t>16507</t>
        </is>
      </c>
      <c r="F508" t="b">
        <v>1</v>
      </c>
      <c r="G508" t="n">
        <v>68</v>
      </c>
      <c r="H508" t="inlineStr">
        <is>
          <t>無印</t>
        </is>
      </c>
      <c r="I508" t="n">
        <v>68</v>
      </c>
      <c r="J508" t="inlineStr">
        <is>
          <t>P68|無印</t>
        </is>
      </c>
      <c r="K508" t="inlineStr">
        <is>
          <t>同頁凡例へ直接連動</t>
        </is>
      </c>
      <c r="L508" t="inlineStr">
        <is>
          <t>202604_LIXIL_サーモスＬ_業務用資料集_完成品価格表.pdf</t>
        </is>
      </c>
      <c r="M508" t="inlineStr">
        <is>
          <t>v0.6：同一価格表セクション内で凡例継承を確定。</t>
        </is>
      </c>
      <c r="N508" t="inlineStr">
        <is>
          <t>https://drive.google.com/file/d/1YUN-mtWYs48YBUHJk0C3vJXnhjyZFHyf/view</t>
        </is>
      </c>
    </row>
    <row r="509">
      <c r="A509" s="42" t="inlineStr">
        <is>
          <t>GSC-SL-000506</t>
        </is>
      </c>
      <c r="B509" t="inlineStr">
        <is>
          <t>SZ-SL-000506</t>
        </is>
      </c>
      <c r="C509" t="inlineStr">
        <is>
          <t>WT-SL-AMADO-HIKI</t>
        </is>
      </c>
      <c r="D509" t="inlineStr">
        <is>
          <t>*</t>
        </is>
      </c>
      <c r="E509" t="inlineStr">
        <is>
          <t>16509</t>
        </is>
      </c>
      <c r="F509" t="b">
        <v>1</v>
      </c>
      <c r="G509" t="n">
        <v>68</v>
      </c>
      <c r="H509" t="inlineStr">
        <is>
          <t>無印</t>
        </is>
      </c>
      <c r="I509" t="n">
        <v>68</v>
      </c>
      <c r="J509" t="inlineStr">
        <is>
          <t>P68|無印</t>
        </is>
      </c>
      <c r="K509" t="inlineStr">
        <is>
          <t>同頁凡例へ直接連動</t>
        </is>
      </c>
      <c r="L509" t="inlineStr">
        <is>
          <t>202604_LIXIL_サーモスＬ_業務用資料集_完成品価格表.pdf</t>
        </is>
      </c>
      <c r="M509" t="inlineStr">
        <is>
          <t>v0.6：同一価格表セクション内で凡例継承を確定。</t>
        </is>
      </c>
      <c r="N509" t="inlineStr">
        <is>
          <t>https://drive.google.com/file/d/1YUN-mtWYs48YBUHJk0C3vJXnhjyZFHyf/view</t>
        </is>
      </c>
    </row>
    <row r="510">
      <c r="A510" s="42" t="inlineStr">
        <is>
          <t>GSC-SL-000507</t>
        </is>
      </c>
      <c r="B510" t="inlineStr">
        <is>
          <t>SZ-SL-000507</t>
        </is>
      </c>
      <c r="C510" t="inlineStr">
        <is>
          <t>WT-SL-AMADO-HIKI</t>
        </is>
      </c>
      <c r="D510" t="inlineStr">
        <is>
          <t>*</t>
        </is>
      </c>
      <c r="E510" t="inlineStr">
        <is>
          <t>16511</t>
        </is>
      </c>
      <c r="F510" t="b">
        <v>1</v>
      </c>
      <c r="G510" t="n">
        <v>68</v>
      </c>
      <c r="H510" t="inlineStr">
        <is>
          <t>無印</t>
        </is>
      </c>
      <c r="I510" t="n">
        <v>68</v>
      </c>
      <c r="J510" t="inlineStr">
        <is>
          <t>P68|無印</t>
        </is>
      </c>
      <c r="K510" t="inlineStr">
        <is>
          <t>同頁凡例へ直接連動</t>
        </is>
      </c>
      <c r="L510" t="inlineStr">
        <is>
          <t>202604_LIXIL_サーモスＬ_業務用資料集_完成品価格表.pdf</t>
        </is>
      </c>
      <c r="M510" t="inlineStr">
        <is>
          <t>v0.6：同一価格表セクション内で凡例継承を確定。</t>
        </is>
      </c>
      <c r="N510" t="inlineStr">
        <is>
          <t>https://drive.google.com/file/d/1YUN-mtWYs48YBUHJk0C3vJXnhjyZFHyf/view</t>
        </is>
      </c>
    </row>
    <row r="511">
      <c r="A511" s="42" t="inlineStr">
        <is>
          <t>GSC-SL-000508</t>
        </is>
      </c>
      <c r="B511" t="inlineStr">
        <is>
          <t>SZ-SL-000508</t>
        </is>
      </c>
      <c r="C511" t="inlineStr">
        <is>
          <t>WT-SL-AMADO-HIKI</t>
        </is>
      </c>
      <c r="D511" t="inlineStr">
        <is>
          <t>*</t>
        </is>
      </c>
      <c r="E511" t="inlineStr">
        <is>
          <t>17407</t>
        </is>
      </c>
      <c r="F511" t="b">
        <v>1</v>
      </c>
      <c r="G511" t="n">
        <v>68</v>
      </c>
      <c r="H511" t="inlineStr">
        <is>
          <t>無印</t>
        </is>
      </c>
      <c r="I511" t="n">
        <v>68</v>
      </c>
      <c r="J511" t="inlineStr">
        <is>
          <t>P68|無印</t>
        </is>
      </c>
      <c r="K511" t="inlineStr">
        <is>
          <t>同頁凡例へ直接連動</t>
        </is>
      </c>
      <c r="L511" t="inlineStr">
        <is>
          <t>202604_LIXIL_サーモスＬ_業務用資料集_完成品価格表.pdf</t>
        </is>
      </c>
      <c r="M511" t="inlineStr">
        <is>
          <t>v0.6：同一価格表セクション内で凡例継承を確定。</t>
        </is>
      </c>
      <c r="N511" t="inlineStr">
        <is>
          <t>https://drive.google.com/file/d/1YUN-mtWYs48YBUHJk0C3vJXnhjyZFHyf/view</t>
        </is>
      </c>
    </row>
    <row r="512">
      <c r="A512" s="42" t="inlineStr">
        <is>
          <t>GSC-SL-000509</t>
        </is>
      </c>
      <c r="B512" t="inlineStr">
        <is>
          <t>SZ-SL-000509</t>
        </is>
      </c>
      <c r="C512" t="inlineStr">
        <is>
          <t>WT-SL-AMADO-HIKI</t>
        </is>
      </c>
      <c r="D512" t="inlineStr">
        <is>
          <t>*</t>
        </is>
      </c>
      <c r="E512" t="inlineStr">
        <is>
          <t>17409</t>
        </is>
      </c>
      <c r="F512" t="b">
        <v>1</v>
      </c>
      <c r="G512" t="n">
        <v>68</v>
      </c>
      <c r="H512" t="inlineStr">
        <is>
          <t>無印</t>
        </is>
      </c>
      <c r="I512" t="n">
        <v>68</v>
      </c>
      <c r="J512" t="inlineStr">
        <is>
          <t>P68|無印</t>
        </is>
      </c>
      <c r="K512" t="inlineStr">
        <is>
          <t>同頁凡例へ直接連動</t>
        </is>
      </c>
      <c r="L512" t="inlineStr">
        <is>
          <t>202604_LIXIL_サーモスＬ_業務用資料集_完成品価格表.pdf</t>
        </is>
      </c>
      <c r="M512" t="inlineStr">
        <is>
          <t>v0.6：同一価格表セクション内で凡例継承を確定。</t>
        </is>
      </c>
      <c r="N512" t="inlineStr">
        <is>
          <t>https://drive.google.com/file/d/1YUN-mtWYs48YBUHJk0C3vJXnhjyZFHyf/view</t>
        </is>
      </c>
    </row>
    <row r="513">
      <c r="A513" s="42" t="inlineStr">
        <is>
          <t>GSC-SL-000510</t>
        </is>
      </c>
      <c r="B513" t="inlineStr">
        <is>
          <t>SZ-SL-000510</t>
        </is>
      </c>
      <c r="C513" t="inlineStr">
        <is>
          <t>WT-SL-AMADO-HIKI</t>
        </is>
      </c>
      <c r="D513" t="inlineStr">
        <is>
          <t>*</t>
        </is>
      </c>
      <c r="E513" t="inlineStr">
        <is>
          <t>17411</t>
        </is>
      </c>
      <c r="F513" t="b">
        <v>1</v>
      </c>
      <c r="G513" t="n">
        <v>68</v>
      </c>
      <c r="H513" t="inlineStr">
        <is>
          <t>無印</t>
        </is>
      </c>
      <c r="I513" t="n">
        <v>68</v>
      </c>
      <c r="J513" t="inlineStr">
        <is>
          <t>P68|無印</t>
        </is>
      </c>
      <c r="K513" t="inlineStr">
        <is>
          <t>同頁凡例へ直接連動</t>
        </is>
      </c>
      <c r="L513" t="inlineStr">
        <is>
          <t>202604_LIXIL_サーモスＬ_業務用資料集_完成品価格表.pdf</t>
        </is>
      </c>
      <c r="M513" t="inlineStr">
        <is>
          <t>v0.6：同一価格表セクション内で凡例継承を確定。</t>
        </is>
      </c>
      <c r="N513" t="inlineStr">
        <is>
          <t>https://drive.google.com/file/d/1YUN-mtWYs48YBUHJk0C3vJXnhjyZFHyf/view</t>
        </is>
      </c>
    </row>
    <row r="514">
      <c r="A514" s="42" t="inlineStr">
        <is>
          <t>GSC-SL-000511</t>
        </is>
      </c>
      <c r="B514" t="inlineStr">
        <is>
          <t>SZ-SL-000511</t>
        </is>
      </c>
      <c r="C514" t="inlineStr">
        <is>
          <t>WT-SL-AMADO-HIKI</t>
        </is>
      </c>
      <c r="D514" t="inlineStr">
        <is>
          <t>*</t>
        </is>
      </c>
      <c r="E514" t="inlineStr">
        <is>
          <t>17607</t>
        </is>
      </c>
      <c r="F514" t="b">
        <v>1</v>
      </c>
      <c r="G514" t="n">
        <v>68</v>
      </c>
      <c r="H514" t="inlineStr">
        <is>
          <t>無印</t>
        </is>
      </c>
      <c r="I514" t="n">
        <v>68</v>
      </c>
      <c r="J514" t="inlineStr">
        <is>
          <t>P68|無印</t>
        </is>
      </c>
      <c r="K514" t="inlineStr">
        <is>
          <t>同頁凡例へ直接連動</t>
        </is>
      </c>
      <c r="L514" t="inlineStr">
        <is>
          <t>202604_LIXIL_サーモスＬ_業務用資料集_完成品価格表.pdf</t>
        </is>
      </c>
      <c r="M514" t="inlineStr">
        <is>
          <t>v0.6：同一価格表セクション内で凡例継承を確定。</t>
        </is>
      </c>
      <c r="N514" t="inlineStr">
        <is>
          <t>https://drive.google.com/file/d/1YUN-mtWYs48YBUHJk0C3vJXnhjyZFHyf/view</t>
        </is>
      </c>
    </row>
    <row r="515">
      <c r="A515" s="42" t="inlineStr">
        <is>
          <t>GSC-SL-000512</t>
        </is>
      </c>
      <c r="B515" t="inlineStr">
        <is>
          <t>SZ-SL-000512</t>
        </is>
      </c>
      <c r="C515" t="inlineStr">
        <is>
          <t>WT-SL-AMADO-HIKI</t>
        </is>
      </c>
      <c r="D515" t="inlineStr">
        <is>
          <t>*</t>
        </is>
      </c>
      <c r="E515" t="inlineStr">
        <is>
          <t>17609</t>
        </is>
      </c>
      <c r="F515" t="b">
        <v>1</v>
      </c>
      <c r="G515" t="n">
        <v>68</v>
      </c>
      <c r="H515" t="inlineStr">
        <is>
          <t>無印</t>
        </is>
      </c>
      <c r="I515" t="n">
        <v>68</v>
      </c>
      <c r="J515" t="inlineStr">
        <is>
          <t>P68|無印</t>
        </is>
      </c>
      <c r="K515" t="inlineStr">
        <is>
          <t>同頁凡例へ直接連動</t>
        </is>
      </c>
      <c r="L515" t="inlineStr">
        <is>
          <t>202604_LIXIL_サーモスＬ_業務用資料集_完成品価格表.pdf</t>
        </is>
      </c>
      <c r="M515" t="inlineStr">
        <is>
          <t>v0.6：同一価格表セクション内で凡例継承を確定。</t>
        </is>
      </c>
      <c r="N515" t="inlineStr">
        <is>
          <t>https://drive.google.com/file/d/1YUN-mtWYs48YBUHJk0C3vJXnhjyZFHyf/view</t>
        </is>
      </c>
    </row>
    <row r="516">
      <c r="A516" s="42" t="inlineStr">
        <is>
          <t>GSC-SL-000513</t>
        </is>
      </c>
      <c r="B516" t="inlineStr">
        <is>
          <t>SZ-SL-000513</t>
        </is>
      </c>
      <c r="C516" t="inlineStr">
        <is>
          <t>WT-SL-AMADO-HIKI</t>
        </is>
      </c>
      <c r="D516" t="inlineStr">
        <is>
          <t>*</t>
        </is>
      </c>
      <c r="E516" t="inlineStr">
        <is>
          <t>17611</t>
        </is>
      </c>
      <c r="F516" t="b">
        <v>1</v>
      </c>
      <c r="G516" t="n">
        <v>68</v>
      </c>
      <c r="H516" t="inlineStr">
        <is>
          <t>無印</t>
        </is>
      </c>
      <c r="I516" t="n">
        <v>68</v>
      </c>
      <c r="J516" t="inlineStr">
        <is>
          <t>P68|無印</t>
        </is>
      </c>
      <c r="K516" t="inlineStr">
        <is>
          <t>同頁凡例へ直接連動</t>
        </is>
      </c>
      <c r="L516" t="inlineStr">
        <is>
          <t>202604_LIXIL_サーモスＬ_業務用資料集_完成品価格表.pdf</t>
        </is>
      </c>
      <c r="M516" t="inlineStr">
        <is>
          <t>v0.6：同一価格表セクション内で凡例継承を確定。</t>
        </is>
      </c>
      <c r="N516" t="inlineStr">
        <is>
          <t>https://drive.google.com/file/d/1YUN-mtWYs48YBUHJk0C3vJXnhjyZFHyf/view</t>
        </is>
      </c>
    </row>
    <row r="517">
      <c r="A517" s="42" t="inlineStr">
        <is>
          <t>GSC-SL-000514</t>
        </is>
      </c>
      <c r="B517" t="inlineStr">
        <is>
          <t>SZ-SL-000514</t>
        </is>
      </c>
      <c r="C517" t="inlineStr">
        <is>
          <t>WT-SL-AMADO-HIKI</t>
        </is>
      </c>
      <c r="D517" t="inlineStr">
        <is>
          <t>*</t>
        </is>
      </c>
      <c r="E517" t="inlineStr">
        <is>
          <t>11413</t>
        </is>
      </c>
      <c r="F517" t="b">
        <v>1</v>
      </c>
      <c r="G517" t="n">
        <v>70</v>
      </c>
      <c r="H517" t="inlineStr">
        <is>
          <t>無印</t>
        </is>
      </c>
      <c r="I517" t="n">
        <v>70</v>
      </c>
      <c r="J517" t="inlineStr">
        <is>
          <t>P70|無印</t>
        </is>
      </c>
      <c r="K517" t="inlineStr">
        <is>
          <t>同頁凡例へ直接連動</t>
        </is>
      </c>
      <c r="L517" t="inlineStr">
        <is>
          <t>202604_LIXIL_サーモスＬ_業務用資料集_完成品価格表.pdf</t>
        </is>
      </c>
      <c r="M517" t="inlineStr">
        <is>
          <t>v0.6：同一価格表セクション内で凡例継承を確定。</t>
        </is>
      </c>
      <c r="N517" t="inlineStr">
        <is>
          <t>https://drive.google.com/file/d/1YUN-mtWYs48YBUHJk0C3vJXnhjyZFHyf/view</t>
        </is>
      </c>
    </row>
    <row r="518">
      <c r="A518" s="42" t="inlineStr">
        <is>
          <t>GSC-SL-000515</t>
        </is>
      </c>
      <c r="B518" t="inlineStr">
        <is>
          <t>SZ-SL-000515</t>
        </is>
      </c>
      <c r="C518" t="inlineStr">
        <is>
          <t>WT-SL-AMADO-HIKI</t>
        </is>
      </c>
      <c r="D518" t="inlineStr">
        <is>
          <t>*</t>
        </is>
      </c>
      <c r="E518" t="inlineStr">
        <is>
          <t>11913</t>
        </is>
      </c>
      <c r="F518" t="b">
        <v>1</v>
      </c>
      <c r="G518" t="n">
        <v>70</v>
      </c>
      <c r="H518" t="inlineStr">
        <is>
          <t>無印</t>
        </is>
      </c>
      <c r="I518" t="n">
        <v>70</v>
      </c>
      <c r="J518" t="inlineStr">
        <is>
          <t>P70|無印</t>
        </is>
      </c>
      <c r="K518" t="inlineStr">
        <is>
          <t>同頁凡例へ直接連動</t>
        </is>
      </c>
      <c r="L518" t="inlineStr">
        <is>
          <t>202604_LIXIL_サーモスＬ_業務用資料集_完成品価格表.pdf</t>
        </is>
      </c>
      <c r="M518" t="inlineStr">
        <is>
          <t>v0.6：同一価格表セクション内で凡例継承を確定。</t>
        </is>
      </c>
      <c r="N518" t="inlineStr">
        <is>
          <t>https://drive.google.com/file/d/1YUN-mtWYs48YBUHJk0C3vJXnhjyZFHyf/view</t>
        </is>
      </c>
    </row>
    <row r="519">
      <c r="A519" s="42" t="inlineStr">
        <is>
          <t>GSC-SL-000516</t>
        </is>
      </c>
      <c r="B519" t="inlineStr">
        <is>
          <t>SZ-SL-000516</t>
        </is>
      </c>
      <c r="C519" t="inlineStr">
        <is>
          <t>WT-SL-AMADO-HIKI</t>
        </is>
      </c>
      <c r="D519" t="inlineStr">
        <is>
          <t>*</t>
        </is>
      </c>
      <c r="E519" t="inlineStr">
        <is>
          <t>12813</t>
        </is>
      </c>
      <c r="F519" t="b">
        <v>1</v>
      </c>
      <c r="G519" t="n">
        <v>70</v>
      </c>
      <c r="H519" t="inlineStr">
        <is>
          <t>無印</t>
        </is>
      </c>
      <c r="I519" t="n">
        <v>70</v>
      </c>
      <c r="J519" t="inlineStr">
        <is>
          <t>P70|無印</t>
        </is>
      </c>
      <c r="K519" t="inlineStr">
        <is>
          <t>同頁凡例へ直接連動</t>
        </is>
      </c>
      <c r="L519" t="inlineStr">
        <is>
          <t>202604_LIXIL_サーモスＬ_業務用資料集_完成品価格表.pdf</t>
        </is>
      </c>
      <c r="M519" t="inlineStr">
        <is>
          <t>v0.6：同一価格表セクション内で凡例継承を確定。</t>
        </is>
      </c>
      <c r="N519" t="inlineStr">
        <is>
          <t>https://drive.google.com/file/d/1YUN-mtWYs48YBUHJk0C3vJXnhjyZFHyf/view</t>
        </is>
      </c>
    </row>
    <row r="520">
      <c r="A520" s="42" t="inlineStr">
        <is>
          <t>GSC-SL-000517</t>
        </is>
      </c>
      <c r="B520" t="inlineStr">
        <is>
          <t>SZ-SL-000517</t>
        </is>
      </c>
      <c r="C520" t="inlineStr">
        <is>
          <t>WT-SL-AMADO-HIKI</t>
        </is>
      </c>
      <c r="D520" t="inlineStr">
        <is>
          <t>*</t>
        </is>
      </c>
      <c r="E520" t="inlineStr">
        <is>
          <t>13313</t>
        </is>
      </c>
      <c r="F520" t="b">
        <v>1</v>
      </c>
      <c r="G520" t="n">
        <v>70</v>
      </c>
      <c r="H520" t="inlineStr">
        <is>
          <t>無印</t>
        </is>
      </c>
      <c r="I520" t="n">
        <v>70</v>
      </c>
      <c r="J520" t="inlineStr">
        <is>
          <t>P70|無印</t>
        </is>
      </c>
      <c r="K520" t="inlineStr">
        <is>
          <t>同頁凡例へ直接連動</t>
        </is>
      </c>
      <c r="L520" t="inlineStr">
        <is>
          <t>202604_LIXIL_サーモスＬ_業務用資料集_完成品価格表.pdf</t>
        </is>
      </c>
      <c r="M520" t="inlineStr">
        <is>
          <t>v0.6：同一価格表セクション内で凡例継承を確定。</t>
        </is>
      </c>
      <c r="N520" t="inlineStr">
        <is>
          <t>https://drive.google.com/file/d/1YUN-mtWYs48YBUHJk0C3vJXnhjyZFHyf/view</t>
        </is>
      </c>
    </row>
    <row r="521">
      <c r="A521" s="42" t="inlineStr">
        <is>
          <t>GSC-SL-000518</t>
        </is>
      </c>
      <c r="B521" t="inlineStr">
        <is>
          <t>SZ-SL-000518</t>
        </is>
      </c>
      <c r="C521" t="inlineStr">
        <is>
          <t>WT-SL-AMADO-HIKI</t>
        </is>
      </c>
      <c r="D521" t="inlineStr">
        <is>
          <t>*</t>
        </is>
      </c>
      <c r="E521" t="inlineStr">
        <is>
          <t>16513</t>
        </is>
      </c>
      <c r="F521" t="b">
        <v>1</v>
      </c>
      <c r="G521" t="n">
        <v>72</v>
      </c>
      <c r="H521" t="inlineStr">
        <is>
          <t>★</t>
        </is>
      </c>
      <c r="I521" t="n">
        <v>72</v>
      </c>
      <c r="J521" t="inlineStr">
        <is>
          <t>P72|★</t>
        </is>
      </c>
      <c r="K521" t="inlineStr">
        <is>
          <t>同頁凡例へ直接連動</t>
        </is>
      </c>
      <c r="L521" t="inlineStr">
        <is>
          <t>202604_LIXIL_サーモスＬ_業務用資料集_完成品価格表.pdf</t>
        </is>
      </c>
      <c r="M521" t="inlineStr">
        <is>
          <t>v0.6：同一価格表セクション内で凡例継承を確定。</t>
        </is>
      </c>
      <c r="N521" t="inlineStr">
        <is>
          <t>https://drive.google.com/file/d/1YUN-mtWYs48YBUHJk0C3vJXnhjyZFHyf/view</t>
        </is>
      </c>
    </row>
    <row r="522">
      <c r="A522" s="42" t="inlineStr">
        <is>
          <t>GSC-SL-000519</t>
        </is>
      </c>
      <c r="B522" t="inlineStr">
        <is>
          <t>SZ-SL-000519</t>
        </is>
      </c>
      <c r="C522" t="inlineStr">
        <is>
          <t>WT-SL-AMADO-HIKI</t>
        </is>
      </c>
      <c r="D522" t="inlineStr">
        <is>
          <t>*</t>
        </is>
      </c>
      <c r="E522" t="inlineStr">
        <is>
          <t>16515</t>
        </is>
      </c>
      <c r="F522" t="b">
        <v>1</v>
      </c>
      <c r="G522" t="n">
        <v>72</v>
      </c>
      <c r="H522" t="inlineStr">
        <is>
          <t>○</t>
        </is>
      </c>
      <c r="I522" t="n">
        <v>72</v>
      </c>
      <c r="J522" t="inlineStr">
        <is>
          <t>P72|○</t>
        </is>
      </c>
      <c r="K522" t="inlineStr">
        <is>
          <t>同頁凡例へ直接連動</t>
        </is>
      </c>
      <c r="L522" t="inlineStr">
        <is>
          <t>202604_LIXIL_サーモスＬ_業務用資料集_完成品価格表.pdf</t>
        </is>
      </c>
      <c r="M522" t="inlineStr">
        <is>
          <t>v0.6：同一価格表セクション内で凡例継承を確定。</t>
        </is>
      </c>
      <c r="N522" t="inlineStr">
        <is>
          <t>https://drive.google.com/file/d/1YUN-mtWYs48YBUHJk0C3vJXnhjyZFHyf/view</t>
        </is>
      </c>
    </row>
    <row r="523">
      <c r="A523" s="42" t="inlineStr">
        <is>
          <t>GSC-SL-000520</t>
        </is>
      </c>
      <c r="B523" t="inlineStr">
        <is>
          <t>SZ-SL-000520</t>
        </is>
      </c>
      <c r="C523" t="inlineStr">
        <is>
          <t>WT-SL-AMADO-HIKI</t>
        </is>
      </c>
      <c r="D523" t="inlineStr">
        <is>
          <t>*</t>
        </is>
      </c>
      <c r="E523" t="inlineStr">
        <is>
          <t>17413</t>
        </is>
      </c>
      <c r="F523" t="b">
        <v>1</v>
      </c>
      <c r="G523" t="n">
        <v>72</v>
      </c>
      <c r="H523" t="inlineStr">
        <is>
          <t>★</t>
        </is>
      </c>
      <c r="I523" t="n">
        <v>72</v>
      </c>
      <c r="J523" t="inlineStr">
        <is>
          <t>P72|★</t>
        </is>
      </c>
      <c r="K523" t="inlineStr">
        <is>
          <t>同頁凡例へ直接連動</t>
        </is>
      </c>
      <c r="L523" t="inlineStr">
        <is>
          <t>202604_LIXIL_サーモスＬ_業務用資料集_完成品価格表.pdf</t>
        </is>
      </c>
      <c r="M523" t="inlineStr">
        <is>
          <t>v0.6：同一価格表セクション内で凡例継承を確定。</t>
        </is>
      </c>
      <c r="N523" t="inlineStr">
        <is>
          <t>https://drive.google.com/file/d/1YUN-mtWYs48YBUHJk0C3vJXnhjyZFHyf/view</t>
        </is>
      </c>
    </row>
    <row r="524">
      <c r="A524" s="42" t="inlineStr">
        <is>
          <t>GSC-SL-000521</t>
        </is>
      </c>
      <c r="B524" t="inlineStr">
        <is>
          <t>SZ-SL-000521</t>
        </is>
      </c>
      <c r="C524" t="inlineStr">
        <is>
          <t>WT-SL-AMADO-HIKI</t>
        </is>
      </c>
      <c r="D524" t="inlineStr">
        <is>
          <t>*</t>
        </is>
      </c>
      <c r="E524" t="inlineStr">
        <is>
          <t>17613</t>
        </is>
      </c>
      <c r="F524" t="b">
        <v>1</v>
      </c>
      <c r="G524" t="n">
        <v>72</v>
      </c>
      <c r="H524" t="inlineStr">
        <is>
          <t>★</t>
        </is>
      </c>
      <c r="I524" t="n">
        <v>72</v>
      </c>
      <c r="J524" t="inlineStr">
        <is>
          <t>P72|★</t>
        </is>
      </c>
      <c r="K524" t="inlineStr">
        <is>
          <t>同頁凡例へ直接連動</t>
        </is>
      </c>
      <c r="L524" t="inlineStr">
        <is>
          <t>202604_LIXIL_サーモスＬ_業務用資料集_完成品価格表.pdf</t>
        </is>
      </c>
      <c r="M524" t="inlineStr">
        <is>
          <t>v0.6：同一価格表セクション内で凡例継承を確定。</t>
        </is>
      </c>
      <c r="N524" t="inlineStr">
        <is>
          <t>https://drive.google.com/file/d/1YUN-mtWYs48YBUHJk0C3vJXnhjyZFHyf/view</t>
        </is>
      </c>
    </row>
    <row r="525">
      <c r="A525" s="42" t="inlineStr">
        <is>
          <t>GSC-SL-000522</t>
        </is>
      </c>
      <c r="B525" t="inlineStr">
        <is>
          <t>SZ-SL-000522</t>
        </is>
      </c>
      <c r="C525" t="inlineStr">
        <is>
          <t>WT-SL-AMADO-HIKI</t>
        </is>
      </c>
      <c r="D525" t="inlineStr">
        <is>
          <t>*</t>
        </is>
      </c>
      <c r="E525" t="inlineStr">
        <is>
          <t>25111-2</t>
        </is>
      </c>
      <c r="F525" t="b">
        <v>1</v>
      </c>
      <c r="G525" t="n">
        <v>74</v>
      </c>
      <c r="H525" t="inlineStr">
        <is>
          <t>☆</t>
        </is>
      </c>
      <c r="I525" t="n">
        <v>74</v>
      </c>
      <c r="J525" t="inlineStr">
        <is>
          <t>P74|☆</t>
        </is>
      </c>
      <c r="K525" t="inlineStr">
        <is>
          <t>同頁凡例へ直接連動</t>
        </is>
      </c>
      <c r="L525" t="inlineStr">
        <is>
          <t>202604_LIXIL_サーモスＬ_業務用資料集_完成品価格表.pdf</t>
        </is>
      </c>
      <c r="M525" t="inlineStr">
        <is>
          <t>v0.6：同一価格表セクション内で凡例継承を確定。</t>
        </is>
      </c>
      <c r="N525" t="inlineStr">
        <is>
          <t>https://drive.google.com/file/d/1YUN-mtWYs48YBUHJk0C3vJXnhjyZFHyf/view</t>
        </is>
      </c>
    </row>
    <row r="526">
      <c r="A526" s="42" t="inlineStr">
        <is>
          <t>GSC-SL-000523</t>
        </is>
      </c>
      <c r="B526" t="inlineStr">
        <is>
          <t>SZ-SL-000523</t>
        </is>
      </c>
      <c r="C526" t="inlineStr">
        <is>
          <t>WT-SL-AMADO-HIKI</t>
        </is>
      </c>
      <c r="D526" t="inlineStr">
        <is>
          <t>*</t>
        </is>
      </c>
      <c r="E526" t="inlineStr">
        <is>
          <t>25111-4</t>
        </is>
      </c>
      <c r="F526" t="b">
        <v>1</v>
      </c>
      <c r="G526" t="n">
        <v>74</v>
      </c>
      <c r="H526" t="inlineStr">
        <is>
          <t>無印</t>
        </is>
      </c>
      <c r="I526" t="n">
        <v>74</v>
      </c>
      <c r="J526" t="inlineStr">
        <is>
          <t>P74|無印</t>
        </is>
      </c>
      <c r="K526" t="inlineStr">
        <is>
          <t>同頁凡例へ直接連動</t>
        </is>
      </c>
      <c r="L526" t="inlineStr">
        <is>
          <t>202604_LIXIL_サーモスＬ_業務用資料集_完成品価格表.pdf</t>
        </is>
      </c>
      <c r="M526" t="inlineStr">
        <is>
          <t>v0.6：同一価格表セクション内で凡例継承を確定。</t>
        </is>
      </c>
      <c r="N526" t="inlineStr">
        <is>
          <t>https://drive.google.com/file/d/1YUN-mtWYs48YBUHJk0C3vJXnhjyZFHyf/view</t>
        </is>
      </c>
    </row>
    <row r="527">
      <c r="A527" s="42" t="inlineStr">
        <is>
          <t>GSC-SL-000524</t>
        </is>
      </c>
      <c r="B527" t="inlineStr">
        <is>
          <t>SZ-SL-000524</t>
        </is>
      </c>
      <c r="C527" t="inlineStr">
        <is>
          <t>WT-SL-AMADO-HIKI</t>
        </is>
      </c>
      <c r="D527" t="inlineStr">
        <is>
          <t>*</t>
        </is>
      </c>
      <c r="E527" t="inlineStr">
        <is>
          <t>25611-2</t>
        </is>
      </c>
      <c r="F527" t="b">
        <v>1</v>
      </c>
      <c r="G527" t="n">
        <v>74</v>
      </c>
      <c r="H527" t="inlineStr">
        <is>
          <t>☆</t>
        </is>
      </c>
      <c r="I527" t="n">
        <v>74</v>
      </c>
      <c r="J527" t="inlineStr">
        <is>
          <t>P74|☆</t>
        </is>
      </c>
      <c r="K527" t="inlineStr">
        <is>
          <t>同頁凡例へ直接連動</t>
        </is>
      </c>
      <c r="L527" t="inlineStr">
        <is>
          <t>202604_LIXIL_サーモスＬ_業務用資料集_完成品価格表.pdf</t>
        </is>
      </c>
      <c r="M527" t="inlineStr">
        <is>
          <t>v0.6：同一価格表セクション内で凡例継承を確定。</t>
        </is>
      </c>
      <c r="N527" t="inlineStr">
        <is>
          <t>https://drive.google.com/file/d/1YUN-mtWYs48YBUHJk0C3vJXnhjyZFHyf/view</t>
        </is>
      </c>
    </row>
    <row r="528">
      <c r="A528" s="42" t="inlineStr">
        <is>
          <t>GSC-SL-000525</t>
        </is>
      </c>
      <c r="B528" t="inlineStr">
        <is>
          <t>SZ-SL-000525</t>
        </is>
      </c>
      <c r="C528" t="inlineStr">
        <is>
          <t>WT-SL-AMADO-HIKI</t>
        </is>
      </c>
      <c r="D528" t="inlineStr">
        <is>
          <t>*</t>
        </is>
      </c>
      <c r="E528" t="inlineStr">
        <is>
          <t>25611-4</t>
        </is>
      </c>
      <c r="F528" t="b">
        <v>1</v>
      </c>
      <c r="G528" t="n">
        <v>74</v>
      </c>
      <c r="H528" t="inlineStr">
        <is>
          <t>無印</t>
        </is>
      </c>
      <c r="I528" t="n">
        <v>74</v>
      </c>
      <c r="J528" t="inlineStr">
        <is>
          <t>P74|無印</t>
        </is>
      </c>
      <c r="K528" t="inlineStr">
        <is>
          <t>同頁凡例へ直接連動</t>
        </is>
      </c>
      <c r="L528" t="inlineStr">
        <is>
          <t>202604_LIXIL_サーモスＬ_業務用資料集_完成品価格表.pdf</t>
        </is>
      </c>
      <c r="M528" t="inlineStr">
        <is>
          <t>v0.6：同一価格表セクション内で凡例継承を確定。</t>
        </is>
      </c>
      <c r="N528" t="inlineStr">
        <is>
          <t>https://drive.google.com/file/d/1YUN-mtWYs48YBUHJk0C3vJXnhjyZFHyf/view</t>
        </is>
      </c>
    </row>
    <row r="529">
      <c r="A529" s="42" t="inlineStr">
        <is>
          <t>GSC-SL-000526</t>
        </is>
      </c>
      <c r="B529" t="inlineStr">
        <is>
          <t>SZ-SL-000526</t>
        </is>
      </c>
      <c r="C529" t="inlineStr">
        <is>
          <t>WT-SL-AMADO-HIKI</t>
        </is>
      </c>
      <c r="D529" t="inlineStr">
        <is>
          <t>*</t>
        </is>
      </c>
      <c r="E529" t="inlineStr">
        <is>
          <t>25113-2</t>
        </is>
      </c>
      <c r="F529" t="b">
        <v>1</v>
      </c>
      <c r="G529" t="n">
        <v>76</v>
      </c>
      <c r="H529" t="inlineStr">
        <is>
          <t>●</t>
        </is>
      </c>
      <c r="I529" t="n">
        <v>76</v>
      </c>
      <c r="J529" t="inlineStr">
        <is>
          <t>P76|●</t>
        </is>
      </c>
      <c r="K529" t="inlineStr">
        <is>
          <t>同頁凡例へ直接連動</t>
        </is>
      </c>
      <c r="L529" t="inlineStr">
        <is>
          <t>202604_LIXIL_サーモスＬ_業務用資料集_完成品価格表.pdf</t>
        </is>
      </c>
      <c r="M529" t="inlineStr">
        <is>
          <t>v0.6：同一価格表セクション内で凡例継承を確定。</t>
        </is>
      </c>
      <c r="N529" t="inlineStr">
        <is>
          <t>https://drive.google.com/file/d/1YUN-mtWYs48YBUHJk0C3vJXnhjyZFHyf/view</t>
        </is>
      </c>
    </row>
    <row r="530">
      <c r="A530" s="42" t="inlineStr">
        <is>
          <t>GSC-SL-000527</t>
        </is>
      </c>
      <c r="B530" t="inlineStr">
        <is>
          <t>SZ-SL-000527</t>
        </is>
      </c>
      <c r="C530" t="inlineStr">
        <is>
          <t>WT-SL-AMADO-HIKI</t>
        </is>
      </c>
      <c r="D530" t="inlineStr">
        <is>
          <t>*</t>
        </is>
      </c>
      <c r="E530" t="inlineStr">
        <is>
          <t>25113-4</t>
        </is>
      </c>
      <c r="F530" t="b">
        <v>1</v>
      </c>
      <c r="G530" t="n">
        <v>76</v>
      </c>
      <c r="H530" t="inlineStr">
        <is>
          <t>無印</t>
        </is>
      </c>
      <c r="I530" t="n">
        <v>76</v>
      </c>
      <c r="J530" t="inlineStr">
        <is>
          <t>P76|無印</t>
        </is>
      </c>
      <c r="K530" t="inlineStr">
        <is>
          <t>同頁凡例へ直接連動</t>
        </is>
      </c>
      <c r="L530" t="inlineStr">
        <is>
          <t>202604_LIXIL_サーモスＬ_業務用資料集_完成品価格表.pdf</t>
        </is>
      </c>
      <c r="M530" t="inlineStr">
        <is>
          <t>v0.6：同一価格表セクション内で凡例継承を確定。</t>
        </is>
      </c>
      <c r="N530" t="inlineStr">
        <is>
          <t>https://drive.google.com/file/d/1YUN-mtWYs48YBUHJk0C3vJXnhjyZFHyf/view</t>
        </is>
      </c>
    </row>
    <row r="531">
      <c r="A531" s="42" t="inlineStr">
        <is>
          <t>GSC-SL-000528</t>
        </is>
      </c>
      <c r="B531" t="inlineStr">
        <is>
          <t>SZ-SL-000528</t>
        </is>
      </c>
      <c r="C531" t="inlineStr">
        <is>
          <t>WT-SL-AMADO-HIKI</t>
        </is>
      </c>
      <c r="D531" t="inlineStr">
        <is>
          <t>*</t>
        </is>
      </c>
      <c r="E531" t="inlineStr">
        <is>
          <t>25613-2</t>
        </is>
      </c>
      <c r="F531" t="b">
        <v>1</v>
      </c>
      <c r="G531" t="n">
        <v>76</v>
      </c>
      <c r="H531" t="inlineStr">
        <is>
          <t>●</t>
        </is>
      </c>
      <c r="I531" t="n">
        <v>76</v>
      </c>
      <c r="J531" t="inlineStr">
        <is>
          <t>P76|●</t>
        </is>
      </c>
      <c r="K531" t="inlineStr">
        <is>
          <t>同頁凡例へ直接連動</t>
        </is>
      </c>
      <c r="L531" t="inlineStr">
        <is>
          <t>202604_LIXIL_サーモスＬ_業務用資料集_完成品価格表.pdf</t>
        </is>
      </c>
      <c r="M531" t="inlineStr">
        <is>
          <t>v0.6：同一価格表セクション内で凡例継承を確定。</t>
        </is>
      </c>
      <c r="N531" t="inlineStr">
        <is>
          <t>https://drive.google.com/file/d/1YUN-mtWYs48YBUHJk0C3vJXnhjyZFHyf/view</t>
        </is>
      </c>
    </row>
    <row r="532">
      <c r="A532" s="42" t="inlineStr">
        <is>
          <t>GSC-SL-000529</t>
        </is>
      </c>
      <c r="B532" t="inlineStr">
        <is>
          <t>SZ-SL-000529</t>
        </is>
      </c>
      <c r="C532" t="inlineStr">
        <is>
          <t>WT-SL-AMADO-HIKI</t>
        </is>
      </c>
      <c r="D532" t="inlineStr">
        <is>
          <t>*</t>
        </is>
      </c>
      <c r="E532" t="inlineStr">
        <is>
          <t>25613-4</t>
        </is>
      </c>
      <c r="F532" t="b">
        <v>1</v>
      </c>
      <c r="G532" t="n">
        <v>76</v>
      </c>
      <c r="H532" t="inlineStr">
        <is>
          <t>無印</t>
        </is>
      </c>
      <c r="I532" t="n">
        <v>76</v>
      </c>
      <c r="J532" t="inlineStr">
        <is>
          <t>P76|無印</t>
        </is>
      </c>
      <c r="K532" t="inlineStr">
        <is>
          <t>同頁凡例へ直接連動</t>
        </is>
      </c>
      <c r="L532" t="inlineStr">
        <is>
          <t>202604_LIXIL_サーモスＬ_業務用資料集_完成品価格表.pdf</t>
        </is>
      </c>
      <c r="M532" t="inlineStr">
        <is>
          <t>v0.6：同一価格表セクション内で凡例継承を確定。</t>
        </is>
      </c>
      <c r="N532" t="inlineStr">
        <is>
          <t>https://drive.google.com/file/d/1YUN-mtWYs48YBUHJk0C3vJXnhjyZFHyf/view</t>
        </is>
      </c>
    </row>
    <row r="533">
      <c r="A533" s="42" t="inlineStr">
        <is>
          <t>GSC-SL-000530</t>
        </is>
      </c>
      <c r="B533" t="inlineStr">
        <is>
          <t>SZ-SL-000530</t>
        </is>
      </c>
      <c r="C533" t="inlineStr">
        <is>
          <t>WT-SL-AMADO-HIKI</t>
        </is>
      </c>
      <c r="D533" t="inlineStr">
        <is>
          <t>*</t>
        </is>
      </c>
      <c r="E533" t="inlineStr">
        <is>
          <t>15018</t>
        </is>
      </c>
      <c r="F533" t="b">
        <v>1</v>
      </c>
      <c r="G533" t="n">
        <v>78</v>
      </c>
      <c r="H533" t="inlineStr">
        <is>
          <t>無印</t>
        </is>
      </c>
      <c r="I533" t="n">
        <v>79</v>
      </c>
      <c r="J533" t="inlineStr">
        <is>
          <t>P79|無印</t>
        </is>
      </c>
      <c r="K533" t="inlineStr">
        <is>
          <t>同一価格表・次頁凡例を継承</t>
        </is>
      </c>
      <c r="L533" t="inlineStr">
        <is>
          <t>202604_LIXIL_サーモスＬ_業務用資料集_完成品価格表.pdf</t>
        </is>
      </c>
      <c r="M533" t="inlineStr">
        <is>
          <t>v0.6：同一価格表セクション内で凡例継承を確定。</t>
        </is>
      </c>
      <c r="N533" t="inlineStr">
        <is>
          <t>https://drive.google.com/file/d/1YUN-mtWYs48YBUHJk0C3vJXnhjyZFHyf/view</t>
        </is>
      </c>
    </row>
    <row r="534">
      <c r="A534" s="42" t="inlineStr">
        <is>
          <t>GSC-SL-000531</t>
        </is>
      </c>
      <c r="B534" t="inlineStr">
        <is>
          <t>SZ-SL-000531</t>
        </is>
      </c>
      <c r="C534" t="inlineStr">
        <is>
          <t>WT-SL-AMADO-HIKI</t>
        </is>
      </c>
      <c r="D534" t="inlineStr">
        <is>
          <t>*</t>
        </is>
      </c>
      <c r="E534" t="inlineStr">
        <is>
          <t>15020</t>
        </is>
      </c>
      <c r="F534" t="b">
        <v>1</v>
      </c>
      <c r="G534" t="n">
        <v>78</v>
      </c>
      <c r="H534" t="inlineStr">
        <is>
          <t>▲</t>
        </is>
      </c>
      <c r="I534" t="n">
        <v>79</v>
      </c>
      <c r="J534" t="inlineStr">
        <is>
          <t>P79|▲</t>
        </is>
      </c>
      <c r="K534" t="inlineStr">
        <is>
          <t>同一価格表・次頁凡例を継承</t>
        </is>
      </c>
      <c r="L534" t="inlineStr">
        <is>
          <t>202604_LIXIL_サーモスＬ_業務用資料集_完成品価格表.pdf</t>
        </is>
      </c>
      <c r="M534" t="inlineStr">
        <is>
          <t>v0.6：同一価格表セクション内で凡例継承を確定。</t>
        </is>
      </c>
      <c r="N534" t="inlineStr">
        <is>
          <t>https://drive.google.com/file/d/1YUN-mtWYs48YBUHJk0C3vJXnhjyZFHyf/view</t>
        </is>
      </c>
    </row>
    <row r="535">
      <c r="A535" s="42" t="inlineStr">
        <is>
          <t>GSC-SL-000532</t>
        </is>
      </c>
      <c r="B535" t="inlineStr">
        <is>
          <t>SZ-SL-000532</t>
        </is>
      </c>
      <c r="C535" t="inlineStr">
        <is>
          <t>WT-SL-AMADO-HIKI</t>
        </is>
      </c>
      <c r="D535" t="inlineStr">
        <is>
          <t>*</t>
        </is>
      </c>
      <c r="E535" t="inlineStr">
        <is>
          <t>16018</t>
        </is>
      </c>
      <c r="F535" t="b">
        <v>1</v>
      </c>
      <c r="G535" t="n">
        <v>78</v>
      </c>
      <c r="H535" t="inlineStr">
        <is>
          <t>無印</t>
        </is>
      </c>
      <c r="I535" t="n">
        <v>79</v>
      </c>
      <c r="J535" t="inlineStr">
        <is>
          <t>P79|無印</t>
        </is>
      </c>
      <c r="K535" t="inlineStr">
        <is>
          <t>同一価格表・次頁凡例を継承</t>
        </is>
      </c>
      <c r="L535" t="inlineStr">
        <is>
          <t>202604_LIXIL_サーモスＬ_業務用資料集_完成品価格表.pdf</t>
        </is>
      </c>
      <c r="M535" t="inlineStr">
        <is>
          <t>v0.6：同一価格表セクション内で凡例継承を確定。</t>
        </is>
      </c>
      <c r="N535" t="inlineStr">
        <is>
          <t>https://drive.google.com/file/d/1YUN-mtWYs48YBUHJk0C3vJXnhjyZFHyf/view</t>
        </is>
      </c>
    </row>
    <row r="536">
      <c r="A536" s="42" t="inlineStr">
        <is>
          <t>GSC-SL-000533</t>
        </is>
      </c>
      <c r="B536" t="inlineStr">
        <is>
          <t>SZ-SL-000533</t>
        </is>
      </c>
      <c r="C536" t="inlineStr">
        <is>
          <t>WT-SL-AMADO-HIKI</t>
        </is>
      </c>
      <c r="D536" t="inlineStr">
        <is>
          <t>*</t>
        </is>
      </c>
      <c r="E536" t="inlineStr">
        <is>
          <t>16020</t>
        </is>
      </c>
      <c r="F536" t="b">
        <v>1</v>
      </c>
      <c r="G536" t="n">
        <v>78</v>
      </c>
      <c r="H536" t="inlineStr">
        <is>
          <t>△</t>
        </is>
      </c>
      <c r="I536" t="n">
        <v>79</v>
      </c>
      <c r="J536" t="inlineStr">
        <is>
          <t>P79|△</t>
        </is>
      </c>
      <c r="K536" t="inlineStr">
        <is>
          <t>同一価格表・次頁凡例を継承</t>
        </is>
      </c>
      <c r="L536" t="inlineStr">
        <is>
          <t>202604_LIXIL_サーモスＬ_業務用資料集_完成品価格表.pdf</t>
        </is>
      </c>
      <c r="M536" t="inlineStr">
        <is>
          <t>v0.6：同一価格表セクション内で凡例継承を確定。</t>
        </is>
      </c>
      <c r="N536" t="inlineStr">
        <is>
          <t>https://drive.google.com/file/d/1YUN-mtWYs48YBUHJk0C3vJXnhjyZFHyf/view</t>
        </is>
      </c>
    </row>
    <row r="537">
      <c r="A537" s="42" t="inlineStr">
        <is>
          <t>GSC-SL-000534</t>
        </is>
      </c>
      <c r="B537" t="inlineStr">
        <is>
          <t>SZ-SL-000534</t>
        </is>
      </c>
      <c r="C537" t="inlineStr">
        <is>
          <t>WT-SL-AMADO-HIKI</t>
        </is>
      </c>
      <c r="D537" t="inlineStr">
        <is>
          <t>*</t>
        </is>
      </c>
      <c r="E537" t="inlineStr">
        <is>
          <t>16518</t>
        </is>
      </c>
      <c r="F537" t="b">
        <v>1</v>
      </c>
      <c r="G537" t="n">
        <v>78</v>
      </c>
      <c r="H537" t="inlineStr">
        <is>
          <t>無印</t>
        </is>
      </c>
      <c r="I537" t="n">
        <v>79</v>
      </c>
      <c r="J537" t="inlineStr">
        <is>
          <t>P79|無印</t>
        </is>
      </c>
      <c r="K537" t="inlineStr">
        <is>
          <t>同一価格表・次頁凡例を継承</t>
        </is>
      </c>
      <c r="L537" t="inlineStr">
        <is>
          <t>202604_LIXIL_サーモスＬ_業務用資料集_完成品価格表.pdf</t>
        </is>
      </c>
      <c r="M537" t="inlineStr">
        <is>
          <t>v0.6：同一価格表セクション内で凡例継承を確定。</t>
        </is>
      </c>
      <c r="N537" t="inlineStr">
        <is>
          <t>https://drive.google.com/file/d/1YUN-mtWYs48YBUHJk0C3vJXnhjyZFHyf/view</t>
        </is>
      </c>
    </row>
    <row r="538">
      <c r="A538" s="42" t="inlineStr">
        <is>
          <t>GSC-SL-000535</t>
        </is>
      </c>
      <c r="B538" t="inlineStr">
        <is>
          <t>SZ-SL-000535</t>
        </is>
      </c>
      <c r="C538" t="inlineStr">
        <is>
          <t>WT-SL-AMADO-HIKI</t>
        </is>
      </c>
      <c r="D538" t="inlineStr">
        <is>
          <t>*</t>
        </is>
      </c>
      <c r="E538" t="inlineStr">
        <is>
          <t>16520</t>
        </is>
      </c>
      <c r="F538" t="b">
        <v>1</v>
      </c>
      <c r="G538" t="n">
        <v>78</v>
      </c>
      <c r="H538" t="inlineStr">
        <is>
          <t>★</t>
        </is>
      </c>
      <c r="I538" t="n">
        <v>79</v>
      </c>
      <c r="J538" t="inlineStr">
        <is>
          <t>P79|★</t>
        </is>
      </c>
      <c r="K538" t="inlineStr">
        <is>
          <t>同一価格表・次頁凡例を継承</t>
        </is>
      </c>
      <c r="L538" t="inlineStr">
        <is>
          <t>202604_LIXIL_サーモスＬ_業務用資料集_完成品価格表.pdf</t>
        </is>
      </c>
      <c r="M538" t="inlineStr">
        <is>
          <t>v0.6：同一価格表セクション内で凡例継承を確定。</t>
        </is>
      </c>
      <c r="N538" t="inlineStr">
        <is>
          <t>https://drive.google.com/file/d/1YUN-mtWYs48YBUHJk0C3vJXnhjyZFHyf/view</t>
        </is>
      </c>
    </row>
    <row r="539">
      <c r="A539" s="42" t="inlineStr">
        <is>
          <t>GSC-SL-000536</t>
        </is>
      </c>
      <c r="B539" t="inlineStr">
        <is>
          <t>SZ-SL-000536</t>
        </is>
      </c>
      <c r="C539" t="inlineStr">
        <is>
          <t>WT-SL-AMADO-HIKI</t>
        </is>
      </c>
      <c r="D539" t="inlineStr">
        <is>
          <t>*</t>
        </is>
      </c>
      <c r="E539" t="inlineStr">
        <is>
          <t>18618</t>
        </is>
      </c>
      <c r="F539" t="b">
        <v>1</v>
      </c>
      <c r="G539" t="n">
        <v>80</v>
      </c>
      <c r="H539" t="inlineStr">
        <is>
          <t>★</t>
        </is>
      </c>
      <c r="I539" t="n">
        <v>81</v>
      </c>
      <c r="J539" t="inlineStr">
        <is>
          <t>P81|★</t>
        </is>
      </c>
      <c r="K539" t="inlineStr">
        <is>
          <t>同一価格表・次頁凡例を継承</t>
        </is>
      </c>
      <c r="L539" t="inlineStr">
        <is>
          <t>202604_LIXIL_サーモスＬ_業務用資料集_完成品価格表.pdf</t>
        </is>
      </c>
      <c r="M539" t="inlineStr">
        <is>
          <t>v0.6：同一価格表セクション内で凡例継承を確定。</t>
        </is>
      </c>
      <c r="N539" t="inlineStr">
        <is>
          <t>https://drive.google.com/file/d/1YUN-mtWYs48YBUHJk0C3vJXnhjyZFHyf/view</t>
        </is>
      </c>
    </row>
    <row r="540">
      <c r="A540" s="42" t="inlineStr">
        <is>
          <t>GSC-SL-000537</t>
        </is>
      </c>
      <c r="B540" t="inlineStr">
        <is>
          <t>SZ-SL-000537</t>
        </is>
      </c>
      <c r="C540" t="inlineStr">
        <is>
          <t>WT-SL-AMADO-HIKI</t>
        </is>
      </c>
      <c r="D540" t="inlineStr">
        <is>
          <t>*</t>
        </is>
      </c>
      <c r="E540" t="inlineStr">
        <is>
          <t>18620</t>
        </is>
      </c>
      <c r="F540" t="b">
        <v>1</v>
      </c>
      <c r="G540" t="n">
        <v>80</v>
      </c>
      <c r="H540" t="inlineStr">
        <is>
          <t>★</t>
        </is>
      </c>
      <c r="I540" t="n">
        <v>81</v>
      </c>
      <c r="J540" t="inlineStr">
        <is>
          <t>P81|★</t>
        </is>
      </c>
      <c r="K540" t="inlineStr">
        <is>
          <t>同一価格表・次頁凡例を継承</t>
        </is>
      </c>
      <c r="L540" t="inlineStr">
        <is>
          <t>202604_LIXIL_サーモスＬ_業務用資料集_完成品価格表.pdf</t>
        </is>
      </c>
      <c r="M540" t="inlineStr">
        <is>
          <t>v0.6：同一価格表セクション内で凡例継承を確定。</t>
        </is>
      </c>
      <c r="N540" t="inlineStr">
        <is>
          <t>https://drive.google.com/file/d/1YUN-mtWYs48YBUHJk0C3vJXnhjyZFHyf/view</t>
        </is>
      </c>
    </row>
    <row r="541">
      <c r="A541" s="42" t="inlineStr">
        <is>
          <t>GSC-SL-000538</t>
        </is>
      </c>
      <c r="B541" t="inlineStr">
        <is>
          <t>SZ-SL-000538</t>
        </is>
      </c>
      <c r="C541" t="inlineStr">
        <is>
          <t>WT-SL-AMADO-HIKI</t>
        </is>
      </c>
      <c r="D541" t="inlineStr">
        <is>
          <t>*</t>
        </is>
      </c>
      <c r="E541" t="inlineStr">
        <is>
          <t>25118-2</t>
        </is>
      </c>
      <c r="F541" t="b">
        <v>1</v>
      </c>
      <c r="G541" t="n">
        <v>80</v>
      </c>
      <c r="H541" t="inlineStr">
        <is>
          <t>☆</t>
        </is>
      </c>
      <c r="I541" t="n">
        <v>81</v>
      </c>
      <c r="J541" t="inlineStr">
        <is>
          <t>P81|☆</t>
        </is>
      </c>
      <c r="K541" t="inlineStr">
        <is>
          <t>同一価格表・次頁凡例を継承</t>
        </is>
      </c>
      <c r="L541" t="inlineStr">
        <is>
          <t>202604_LIXIL_サーモスＬ_業務用資料集_完成品価格表.pdf</t>
        </is>
      </c>
      <c r="M541" t="inlineStr">
        <is>
          <t>v0.6：同一価格表セクション内で凡例継承を確定。</t>
        </is>
      </c>
      <c r="N541" t="inlineStr">
        <is>
          <t>https://drive.google.com/file/d/1YUN-mtWYs48YBUHJk0C3vJXnhjyZFHyf/view</t>
        </is>
      </c>
    </row>
    <row r="542">
      <c r="A542" s="42" t="inlineStr">
        <is>
          <t>GSC-SL-000539</t>
        </is>
      </c>
      <c r="B542" t="inlineStr">
        <is>
          <t>SZ-SL-000539</t>
        </is>
      </c>
      <c r="C542" t="inlineStr">
        <is>
          <t>WT-SL-AMADO-HIKI</t>
        </is>
      </c>
      <c r="D542" t="inlineStr">
        <is>
          <t>*</t>
        </is>
      </c>
      <c r="E542" t="inlineStr">
        <is>
          <t>25118-4</t>
        </is>
      </c>
      <c r="F542" t="b">
        <v>1</v>
      </c>
      <c r="G542" t="n">
        <v>80</v>
      </c>
      <c r="H542" t="inlineStr">
        <is>
          <t>無印</t>
        </is>
      </c>
      <c r="I542" t="n">
        <v>81</v>
      </c>
      <c r="J542" t="inlineStr">
        <is>
          <t>P81|無印</t>
        </is>
      </c>
      <c r="K542" t="inlineStr">
        <is>
          <t>同一価格表・次頁凡例を継承</t>
        </is>
      </c>
      <c r="L542" t="inlineStr">
        <is>
          <t>202604_LIXIL_サーモスＬ_業務用資料集_完成品価格表.pdf</t>
        </is>
      </c>
      <c r="M542" t="inlineStr">
        <is>
          <t>v0.6：同一価格表セクション内で凡例継承を確定。</t>
        </is>
      </c>
      <c r="N542" t="inlineStr">
        <is>
          <t>https://drive.google.com/file/d/1YUN-mtWYs48YBUHJk0C3vJXnhjyZFHyf/view</t>
        </is>
      </c>
    </row>
    <row r="543">
      <c r="A543" s="42" t="inlineStr">
        <is>
          <t>GSC-SL-000540</t>
        </is>
      </c>
      <c r="B543" t="inlineStr">
        <is>
          <t>SZ-SL-000540</t>
        </is>
      </c>
      <c r="C543" t="inlineStr">
        <is>
          <t>WT-SL-AMADO-HIKI</t>
        </is>
      </c>
      <c r="D543" t="inlineStr">
        <is>
          <t>*</t>
        </is>
      </c>
      <c r="E543" t="inlineStr">
        <is>
          <t>25120-2</t>
        </is>
      </c>
      <c r="F543" t="b">
        <v>1</v>
      </c>
      <c r="G543" t="n">
        <v>80</v>
      </c>
      <c r="H543" t="inlineStr">
        <is>
          <t>◆</t>
        </is>
      </c>
      <c r="I543" t="n">
        <v>81</v>
      </c>
      <c r="J543" t="inlineStr">
        <is>
          <t>P81|◆</t>
        </is>
      </c>
      <c r="K543" t="inlineStr">
        <is>
          <t>同一価格表・次頁凡例を継承</t>
        </is>
      </c>
      <c r="L543" t="inlineStr">
        <is>
          <t>202604_LIXIL_サーモスＬ_業務用資料集_完成品価格表.pdf</t>
        </is>
      </c>
      <c r="M543" t="inlineStr">
        <is>
          <t>v0.6：同一価格表セクション内で凡例継承を確定。</t>
        </is>
      </c>
      <c r="N543" t="inlineStr">
        <is>
          <t>https://drive.google.com/file/d/1YUN-mtWYs48YBUHJk0C3vJXnhjyZFHyf/view</t>
        </is>
      </c>
    </row>
    <row r="544">
      <c r="A544" s="42" t="inlineStr">
        <is>
          <t>GSC-SL-000541</t>
        </is>
      </c>
      <c r="B544" t="inlineStr">
        <is>
          <t>SZ-SL-000541</t>
        </is>
      </c>
      <c r="C544" t="inlineStr">
        <is>
          <t>WT-SL-AMADO-HIKI</t>
        </is>
      </c>
      <c r="D544" t="inlineStr">
        <is>
          <t>*</t>
        </is>
      </c>
      <c r="E544" t="inlineStr">
        <is>
          <t>25120-4</t>
        </is>
      </c>
      <c r="F544" t="b">
        <v>1</v>
      </c>
      <c r="G544" t="n">
        <v>80</v>
      </c>
      <c r="H544" t="inlineStr">
        <is>
          <t>無印</t>
        </is>
      </c>
      <c r="I544" t="n">
        <v>81</v>
      </c>
      <c r="J544" t="inlineStr">
        <is>
          <t>P81|無印</t>
        </is>
      </c>
      <c r="K544" t="inlineStr">
        <is>
          <t>同一価格表・次頁凡例を継承</t>
        </is>
      </c>
      <c r="L544" t="inlineStr">
        <is>
          <t>202604_LIXIL_サーモスＬ_業務用資料集_完成品価格表.pdf</t>
        </is>
      </c>
      <c r="M544" t="inlineStr">
        <is>
          <t>v0.6：同一価格表セクション内で凡例継承を確定。</t>
        </is>
      </c>
      <c r="N544" t="inlineStr">
        <is>
          <t>https://drive.google.com/file/d/1YUN-mtWYs48YBUHJk0C3vJXnhjyZFHyf/view</t>
        </is>
      </c>
    </row>
    <row r="545">
      <c r="A545" s="42" t="inlineStr">
        <is>
          <t>GSC-SL-000542</t>
        </is>
      </c>
      <c r="B545" t="inlineStr">
        <is>
          <t>SZ-SL-000542</t>
        </is>
      </c>
      <c r="C545" t="inlineStr">
        <is>
          <t>WT-SL-AMADO-HIKI</t>
        </is>
      </c>
      <c r="D545" t="inlineStr">
        <is>
          <t>*</t>
        </is>
      </c>
      <c r="E545" t="inlineStr">
        <is>
          <t>25618-2</t>
        </is>
      </c>
      <c r="F545" t="b">
        <v>1</v>
      </c>
      <c r="G545" t="n">
        <v>80</v>
      </c>
      <c r="H545" t="inlineStr">
        <is>
          <t>◆</t>
        </is>
      </c>
      <c r="I545" t="n">
        <v>81</v>
      </c>
      <c r="J545" t="inlineStr">
        <is>
          <t>P81|◆</t>
        </is>
      </c>
      <c r="K545" t="inlineStr">
        <is>
          <t>同一価格表・次頁凡例を継承</t>
        </is>
      </c>
      <c r="L545" t="inlineStr">
        <is>
          <t>202604_LIXIL_サーモスＬ_業務用資料集_完成品価格表.pdf</t>
        </is>
      </c>
      <c r="M545" t="inlineStr">
        <is>
          <t>v0.6：同一価格表セクション内で凡例継承を確定。</t>
        </is>
      </c>
      <c r="N545" t="inlineStr">
        <is>
          <t>https://drive.google.com/file/d/1YUN-mtWYs48YBUHJk0C3vJXnhjyZFHyf/view</t>
        </is>
      </c>
    </row>
    <row r="546">
      <c r="A546" s="42" t="inlineStr">
        <is>
          <t>GSC-SL-000543</t>
        </is>
      </c>
      <c r="B546" t="inlineStr">
        <is>
          <t>SZ-SL-000543</t>
        </is>
      </c>
      <c r="C546" t="inlineStr">
        <is>
          <t>WT-SL-AMADO-HIKI</t>
        </is>
      </c>
      <c r="D546" t="inlineStr">
        <is>
          <t>*</t>
        </is>
      </c>
      <c r="E546" t="inlineStr">
        <is>
          <t>25620-2</t>
        </is>
      </c>
      <c r="F546" t="b">
        <v>1</v>
      </c>
      <c r="G546" t="n">
        <v>80</v>
      </c>
      <c r="H546" t="inlineStr">
        <is>
          <t>◆</t>
        </is>
      </c>
      <c r="I546" t="n">
        <v>81</v>
      </c>
      <c r="J546" t="inlineStr">
        <is>
          <t>P81|◆</t>
        </is>
      </c>
      <c r="K546" t="inlineStr">
        <is>
          <t>同一価格表・次頁凡例を継承</t>
        </is>
      </c>
      <c r="L546" t="inlineStr">
        <is>
          <t>202604_LIXIL_サーモスＬ_業務用資料集_完成品価格表.pdf</t>
        </is>
      </c>
      <c r="M546" t="inlineStr">
        <is>
          <t>v0.6：同一価格表セクション内で凡例継承を確定。</t>
        </is>
      </c>
      <c r="N546" t="inlineStr">
        <is>
          <t>https://drive.google.com/file/d/1YUN-mtWYs48YBUHJk0C3vJXnhjyZFHyf/view</t>
        </is>
      </c>
    </row>
    <row r="547">
      <c r="A547" s="42" t="inlineStr">
        <is>
          <t>GSC-SL-000544</t>
        </is>
      </c>
      <c r="B547" t="inlineStr">
        <is>
          <t>SZ-SL-000544</t>
        </is>
      </c>
      <c r="C547" t="inlineStr">
        <is>
          <t>WT-SL-AMADO-HIKI</t>
        </is>
      </c>
      <c r="D547" t="inlineStr">
        <is>
          <t>*</t>
        </is>
      </c>
      <c r="E547" t="inlineStr">
        <is>
          <t>15022</t>
        </is>
      </c>
      <c r="F547" t="b">
        <v>1</v>
      </c>
      <c r="G547" t="n">
        <v>82</v>
      </c>
      <c r="H547" t="inlineStr">
        <is>
          <t>★</t>
        </is>
      </c>
      <c r="I547" t="n">
        <v>82</v>
      </c>
      <c r="J547" t="inlineStr">
        <is>
          <t>P82|★</t>
        </is>
      </c>
      <c r="K547" t="inlineStr">
        <is>
          <t>同頁凡例へ直接連動</t>
        </is>
      </c>
      <c r="L547" t="inlineStr">
        <is>
          <t>202604_LIXIL_サーモスＬ_業務用資料集_完成品価格表.pdf</t>
        </is>
      </c>
      <c r="M547" t="inlineStr">
        <is>
          <t>v0.6：同一価格表セクション内で凡例継承を確定。</t>
        </is>
      </c>
      <c r="N547" t="inlineStr">
        <is>
          <t>https://drive.google.com/file/d/1YUN-mtWYs48YBUHJk0C3vJXnhjyZFHyf/view</t>
        </is>
      </c>
    </row>
    <row r="548">
      <c r="A548" s="42" t="inlineStr">
        <is>
          <t>GSC-SL-000545</t>
        </is>
      </c>
      <c r="B548" t="inlineStr">
        <is>
          <t>SZ-SL-000545</t>
        </is>
      </c>
      <c r="C548" t="inlineStr">
        <is>
          <t>WT-SL-AMADO-HIKI</t>
        </is>
      </c>
      <c r="D548" t="inlineStr">
        <is>
          <t>*</t>
        </is>
      </c>
      <c r="E548" t="inlineStr">
        <is>
          <t>16022</t>
        </is>
      </c>
      <c r="F548" t="b">
        <v>1</v>
      </c>
      <c r="G548" t="n">
        <v>82</v>
      </c>
      <c r="H548" t="inlineStr">
        <is>
          <t>★</t>
        </is>
      </c>
      <c r="I548" t="n">
        <v>82</v>
      </c>
      <c r="J548" t="inlineStr">
        <is>
          <t>P82|★</t>
        </is>
      </c>
      <c r="K548" t="inlineStr">
        <is>
          <t>同頁凡例へ直接連動</t>
        </is>
      </c>
      <c r="L548" t="inlineStr">
        <is>
          <t>202604_LIXIL_サーモスＬ_業務用資料集_完成品価格表.pdf</t>
        </is>
      </c>
      <c r="M548" t="inlineStr">
        <is>
          <t>v0.6：同一価格表セクション内で凡例継承を確定。</t>
        </is>
      </c>
      <c r="N548" t="inlineStr">
        <is>
          <t>https://drive.google.com/file/d/1YUN-mtWYs48YBUHJk0C3vJXnhjyZFHyf/view</t>
        </is>
      </c>
    </row>
    <row r="549">
      <c r="A549" s="42" t="inlineStr">
        <is>
          <t>GSC-SL-000546</t>
        </is>
      </c>
      <c r="B549" t="inlineStr">
        <is>
          <t>SZ-SL-000546</t>
        </is>
      </c>
      <c r="C549" t="inlineStr">
        <is>
          <t>WT-SL-AMADO-HIKI</t>
        </is>
      </c>
      <c r="D549" t="inlineStr">
        <is>
          <t>*</t>
        </is>
      </c>
      <c r="E549" t="inlineStr">
        <is>
          <t>16522</t>
        </is>
      </c>
      <c r="F549" t="b">
        <v>1</v>
      </c>
      <c r="G549" t="n">
        <v>82</v>
      </c>
      <c r="H549" t="inlineStr">
        <is>
          <t>★</t>
        </is>
      </c>
      <c r="I549" t="n">
        <v>82</v>
      </c>
      <c r="J549" t="inlineStr">
        <is>
          <t>P82|★</t>
        </is>
      </c>
      <c r="K549" t="inlineStr">
        <is>
          <t>同頁凡例へ直接連動</t>
        </is>
      </c>
      <c r="L549" t="inlineStr">
        <is>
          <t>202604_LIXIL_サーモスＬ_業務用資料集_完成品価格表.pdf</t>
        </is>
      </c>
      <c r="M549" t="inlineStr">
        <is>
          <t>v0.6：同一価格表セクション内で凡例継承を確定。</t>
        </is>
      </c>
      <c r="N549" t="inlineStr">
        <is>
          <t>https://drive.google.com/file/d/1YUN-mtWYs48YBUHJk0C3vJXnhjyZFHyf/view</t>
        </is>
      </c>
    </row>
    <row r="550">
      <c r="A550" s="42" t="inlineStr">
        <is>
          <t>GSC-SL-000547</t>
        </is>
      </c>
      <c r="B550" t="inlineStr">
        <is>
          <t>SZ-SL-000547</t>
        </is>
      </c>
      <c r="C550" t="inlineStr">
        <is>
          <t>WT-SL-AMADO-HIKI</t>
        </is>
      </c>
      <c r="D550" t="inlineStr">
        <is>
          <t>*</t>
        </is>
      </c>
      <c r="E550" t="inlineStr">
        <is>
          <t>18622</t>
        </is>
      </c>
      <c r="F550" t="b">
        <v>1</v>
      </c>
      <c r="G550" t="n">
        <v>84</v>
      </c>
      <c r="H550" t="inlineStr">
        <is>
          <t>★</t>
        </is>
      </c>
      <c r="I550" t="n">
        <v>84</v>
      </c>
      <c r="J550" t="inlineStr">
        <is>
          <t>P84|★</t>
        </is>
      </c>
      <c r="K550" t="inlineStr">
        <is>
          <t>同頁凡例へ直接連動</t>
        </is>
      </c>
      <c r="L550" t="inlineStr">
        <is>
          <t>202604_LIXIL_サーモスＬ_業務用資料集_完成品価格表.pdf</t>
        </is>
      </c>
      <c r="M550" t="inlineStr">
        <is>
          <t>v0.6：同一価格表セクション内で凡例継承を確定。</t>
        </is>
      </c>
      <c r="N550" t="inlineStr">
        <is>
          <t>https://drive.google.com/file/d/1YUN-mtWYs48YBUHJk0C3vJXnhjyZFHyf/view</t>
        </is>
      </c>
    </row>
    <row r="551">
      <c r="A551" s="42" t="inlineStr">
        <is>
          <t>GSC-SL-000548</t>
        </is>
      </c>
      <c r="B551" t="inlineStr">
        <is>
          <t>SZ-SL-000548</t>
        </is>
      </c>
      <c r="C551" t="inlineStr">
        <is>
          <t>WT-SL-AMADO-HIKI</t>
        </is>
      </c>
      <c r="D551" t="inlineStr">
        <is>
          <t>*</t>
        </is>
      </c>
      <c r="E551" t="inlineStr">
        <is>
          <t>25122-2</t>
        </is>
      </c>
      <c r="F551" t="b">
        <v>1</v>
      </c>
      <c r="G551" t="n">
        <v>84</v>
      </c>
      <c r="H551" t="inlineStr">
        <is>
          <t>◆</t>
        </is>
      </c>
      <c r="I551" t="n">
        <v>84</v>
      </c>
      <c r="J551" t="inlineStr">
        <is>
          <t>P84|◆</t>
        </is>
      </c>
      <c r="K551" t="inlineStr">
        <is>
          <t>同頁凡例へ直接連動</t>
        </is>
      </c>
      <c r="L551" t="inlineStr">
        <is>
          <t>202604_LIXIL_サーモスＬ_業務用資料集_完成品価格表.pdf</t>
        </is>
      </c>
      <c r="M551" t="inlineStr">
        <is>
          <t>v0.6：同一価格表セクション内で凡例継承を確定。</t>
        </is>
      </c>
      <c r="N551" t="inlineStr">
        <is>
          <t>https://drive.google.com/file/d/1YUN-mtWYs48YBUHJk0C3vJXnhjyZFHyf/view</t>
        </is>
      </c>
    </row>
    <row r="552">
      <c r="A552" s="42" t="inlineStr">
        <is>
          <t>GSC-SL-000549</t>
        </is>
      </c>
      <c r="B552" t="inlineStr">
        <is>
          <t>SZ-SL-000549</t>
        </is>
      </c>
      <c r="C552" t="inlineStr">
        <is>
          <t>WT-SL-AMADO-HIKI</t>
        </is>
      </c>
      <c r="D552" t="inlineStr">
        <is>
          <t>*</t>
        </is>
      </c>
      <c r="E552" t="inlineStr">
        <is>
          <t>25122-4</t>
        </is>
      </c>
      <c r="F552" t="b">
        <v>1</v>
      </c>
      <c r="G552" t="n">
        <v>84</v>
      </c>
      <c r="H552" t="inlineStr">
        <is>
          <t>★</t>
        </is>
      </c>
      <c r="I552" t="n">
        <v>84</v>
      </c>
      <c r="J552" t="inlineStr">
        <is>
          <t>P84|★</t>
        </is>
      </c>
      <c r="K552" t="inlineStr">
        <is>
          <t>同頁凡例へ直接連動</t>
        </is>
      </c>
      <c r="L552" t="inlineStr">
        <is>
          <t>202604_LIXIL_サーモスＬ_業務用資料集_完成品価格表.pdf</t>
        </is>
      </c>
      <c r="M552" t="inlineStr">
        <is>
          <t>v0.6：同一価格表セクション内で凡例継承を確定。</t>
        </is>
      </c>
      <c r="N552" t="inlineStr">
        <is>
          <t>https://drive.google.com/file/d/1YUN-mtWYs48YBUHJk0C3vJXnhjyZFHyf/view</t>
        </is>
      </c>
    </row>
    <row r="553">
      <c r="A553" s="42" t="inlineStr">
        <is>
          <t>GSC-SL-000550</t>
        </is>
      </c>
      <c r="B553" t="inlineStr">
        <is>
          <t>SZ-SL-000550</t>
        </is>
      </c>
      <c r="C553" t="inlineStr">
        <is>
          <t>WT-SL-AMADO-HIKI</t>
        </is>
      </c>
      <c r="D553" t="inlineStr">
        <is>
          <t>*</t>
        </is>
      </c>
      <c r="E553" t="inlineStr">
        <is>
          <t>25622-2</t>
        </is>
      </c>
      <c r="F553" t="b">
        <v>1</v>
      </c>
      <c r="G553" t="n">
        <v>84</v>
      </c>
      <c r="H553" t="inlineStr">
        <is>
          <t>◆</t>
        </is>
      </c>
      <c r="I553" t="n">
        <v>84</v>
      </c>
      <c r="J553" t="inlineStr">
        <is>
          <t>P84|◆</t>
        </is>
      </c>
      <c r="K553" t="inlineStr">
        <is>
          <t>同頁凡例へ直接連動</t>
        </is>
      </c>
      <c r="L553" t="inlineStr">
        <is>
          <t>202604_LIXIL_サーモスＬ_業務用資料集_完成品価格表.pdf</t>
        </is>
      </c>
      <c r="M553" t="inlineStr">
        <is>
          <t>v0.6：同一価格表セクション内で凡例継承を確定。</t>
        </is>
      </c>
      <c r="N553" t="inlineStr">
        <is>
          <t>https://drive.google.com/file/d/1YUN-mtWYs48YBUHJk0C3vJXnhjyZFHyf/view</t>
        </is>
      </c>
    </row>
    <row r="554">
      <c r="A554" s="42" t="inlineStr">
        <is>
          <t>GSC-SL-000551</t>
        </is>
      </c>
      <c r="B554" t="inlineStr">
        <is>
          <t>SZ-SL-000551</t>
        </is>
      </c>
      <c r="C554" t="inlineStr">
        <is>
          <t>WT-SL-MENKOSHI-HIKI</t>
        </is>
      </c>
      <c r="D554" t="inlineStr">
        <is>
          <t>SP-SL-GRILLE-DIA</t>
        </is>
      </c>
      <c r="E554" t="inlineStr">
        <is>
          <t>06003</t>
        </is>
      </c>
      <c r="F554" t="b">
        <v>1</v>
      </c>
      <c r="G554" t="n">
        <v>90</v>
      </c>
      <c r="H554" t="inlineStr">
        <is>
          <t>無印</t>
        </is>
      </c>
      <c r="I554" t="n">
        <v>90</v>
      </c>
      <c r="J554" t="inlineStr">
        <is>
          <t>P90|無印</t>
        </is>
      </c>
      <c r="K554" t="inlineStr">
        <is>
          <t>同頁凡例へ直接連動</t>
        </is>
      </c>
      <c r="L554" t="inlineStr">
        <is>
          <t>202604_LIXIL_サーモスＬ_業務用資料集_完成品価格表.pdf</t>
        </is>
      </c>
      <c r="M554" t="inlineStr">
        <is>
          <t>v0.6：同一価格表セクション内で凡例継承を確定。</t>
        </is>
      </c>
      <c r="N554" t="inlineStr">
        <is>
          <t>https://drive.google.com/file/d/1YUN-mtWYs48YBUHJk0C3vJXnhjyZFHyf/view</t>
        </is>
      </c>
    </row>
    <row r="555">
      <c r="A555" s="42" t="inlineStr">
        <is>
          <t>GSC-SL-000552</t>
        </is>
      </c>
      <c r="B555" t="inlineStr">
        <is>
          <t>SZ-SL-000552</t>
        </is>
      </c>
      <c r="C555" t="inlineStr">
        <is>
          <t>WT-SL-MENKOSHI-HIKI</t>
        </is>
      </c>
      <c r="D555" t="inlineStr">
        <is>
          <t>SP-SL-GRILLE-DIA</t>
        </is>
      </c>
      <c r="E555" t="inlineStr">
        <is>
          <t>06903</t>
        </is>
      </c>
      <c r="F555" t="b">
        <v>1</v>
      </c>
      <c r="G555" t="n">
        <v>90</v>
      </c>
      <c r="H555" t="inlineStr">
        <is>
          <t>無印</t>
        </is>
      </c>
      <c r="I555" t="n">
        <v>90</v>
      </c>
      <c r="J555" t="inlineStr">
        <is>
          <t>P90|無印</t>
        </is>
      </c>
      <c r="K555" t="inlineStr">
        <is>
          <t>同頁凡例へ直接連動</t>
        </is>
      </c>
      <c r="L555" t="inlineStr">
        <is>
          <t>202604_LIXIL_サーモスＬ_業務用資料集_完成品価格表.pdf</t>
        </is>
      </c>
      <c r="M555" t="inlineStr">
        <is>
          <t>v0.6：同一価格表セクション内で凡例継承を確定。</t>
        </is>
      </c>
      <c r="N555" t="inlineStr">
        <is>
          <t>https://drive.google.com/file/d/1YUN-mtWYs48YBUHJk0C3vJXnhjyZFHyf/view</t>
        </is>
      </c>
    </row>
    <row r="556">
      <c r="A556" s="42" t="inlineStr">
        <is>
          <t>GSC-SL-000553</t>
        </is>
      </c>
      <c r="B556" t="inlineStr">
        <is>
          <t>SZ-SL-000553</t>
        </is>
      </c>
      <c r="C556" t="inlineStr">
        <is>
          <t>WT-SL-MENKOSHI-HIKI</t>
        </is>
      </c>
      <c r="D556" t="inlineStr">
        <is>
          <t>SP-SL-GRILLE-DIA</t>
        </is>
      </c>
      <c r="E556" t="inlineStr">
        <is>
          <t>07403</t>
        </is>
      </c>
      <c r="F556" t="b">
        <v>1</v>
      </c>
      <c r="G556" t="n">
        <v>90</v>
      </c>
      <c r="H556" t="inlineStr">
        <is>
          <t>無印</t>
        </is>
      </c>
      <c r="I556" t="n">
        <v>90</v>
      </c>
      <c r="J556" t="inlineStr">
        <is>
          <t>P90|無印</t>
        </is>
      </c>
      <c r="K556" t="inlineStr">
        <is>
          <t>同頁凡例へ直接連動</t>
        </is>
      </c>
      <c r="L556" t="inlineStr">
        <is>
          <t>202604_LIXIL_サーモスＬ_業務用資料集_完成品価格表.pdf</t>
        </is>
      </c>
      <c r="M556" t="inlineStr">
        <is>
          <t>v0.6：同一価格表セクション内で凡例継承を確定。</t>
        </is>
      </c>
      <c r="N556" t="inlineStr">
        <is>
          <t>https://drive.google.com/file/d/1YUN-mtWYs48YBUHJk0C3vJXnhjyZFHyf/view</t>
        </is>
      </c>
    </row>
    <row r="557">
      <c r="A557" s="42" t="inlineStr">
        <is>
          <t>GSC-SL-000554</t>
        </is>
      </c>
      <c r="B557" t="inlineStr">
        <is>
          <t>SZ-SL-000554</t>
        </is>
      </c>
      <c r="C557" t="inlineStr">
        <is>
          <t>WT-SL-MENKOSHI-HIKI</t>
        </is>
      </c>
      <c r="D557" t="inlineStr">
        <is>
          <t>SP-SL-GRILLE-H</t>
        </is>
      </c>
      <c r="E557" t="inlineStr">
        <is>
          <t>06003</t>
        </is>
      </c>
      <c r="F557" t="b">
        <v>1</v>
      </c>
      <c r="G557" t="n">
        <v>90</v>
      </c>
      <c r="H557" t="inlineStr">
        <is>
          <t>無印</t>
        </is>
      </c>
      <c r="I557" t="n">
        <v>90</v>
      </c>
      <c r="J557" t="inlineStr">
        <is>
          <t>P90|無印</t>
        </is>
      </c>
      <c r="K557" t="inlineStr">
        <is>
          <t>同頁凡例へ直接連動</t>
        </is>
      </c>
      <c r="L557" t="inlineStr">
        <is>
          <t>202604_LIXIL_サーモスＬ_業務用資料集_完成品価格表.pdf</t>
        </is>
      </c>
      <c r="M557" t="inlineStr">
        <is>
          <t>v0.6：同一価格表セクション内で凡例継承を確定。</t>
        </is>
      </c>
      <c r="N557" t="inlineStr">
        <is>
          <t>https://drive.google.com/file/d/1YUN-mtWYs48YBUHJk0C3vJXnhjyZFHyf/view</t>
        </is>
      </c>
    </row>
    <row r="558">
      <c r="A558" s="42" t="inlineStr">
        <is>
          <t>GSC-SL-000555</t>
        </is>
      </c>
      <c r="B558" t="inlineStr">
        <is>
          <t>SZ-SL-000555</t>
        </is>
      </c>
      <c r="C558" t="inlineStr">
        <is>
          <t>WT-SL-MENKOSHI-HIKI</t>
        </is>
      </c>
      <c r="D558" t="inlineStr">
        <is>
          <t>SP-SL-GRILLE-H</t>
        </is>
      </c>
      <c r="E558" t="inlineStr">
        <is>
          <t>06903</t>
        </is>
      </c>
      <c r="F558" t="b">
        <v>1</v>
      </c>
      <c r="G558" t="n">
        <v>90</v>
      </c>
      <c r="H558" t="inlineStr">
        <is>
          <t>無印</t>
        </is>
      </c>
      <c r="I558" t="n">
        <v>90</v>
      </c>
      <c r="J558" t="inlineStr">
        <is>
          <t>P90|無印</t>
        </is>
      </c>
      <c r="K558" t="inlineStr">
        <is>
          <t>同頁凡例へ直接連動</t>
        </is>
      </c>
      <c r="L558" t="inlineStr">
        <is>
          <t>202604_LIXIL_サーモスＬ_業務用資料集_完成品価格表.pdf</t>
        </is>
      </c>
      <c r="M558" t="inlineStr">
        <is>
          <t>v0.6：同一価格表セクション内で凡例継承を確定。</t>
        </is>
      </c>
      <c r="N558" t="inlineStr">
        <is>
          <t>https://drive.google.com/file/d/1YUN-mtWYs48YBUHJk0C3vJXnhjyZFHyf/view</t>
        </is>
      </c>
    </row>
    <row r="559">
      <c r="A559" s="42" t="inlineStr">
        <is>
          <t>GSC-SL-000556</t>
        </is>
      </c>
      <c r="B559" t="inlineStr">
        <is>
          <t>SZ-SL-000556</t>
        </is>
      </c>
      <c r="C559" t="inlineStr">
        <is>
          <t>WT-SL-MENKOSHI-HIKI</t>
        </is>
      </c>
      <c r="D559" t="inlineStr">
        <is>
          <t>SP-SL-GRILLE-H</t>
        </is>
      </c>
      <c r="E559" t="inlineStr">
        <is>
          <t>07403</t>
        </is>
      </c>
      <c r="F559" t="b">
        <v>1</v>
      </c>
      <c r="G559" t="n">
        <v>90</v>
      </c>
      <c r="H559" t="inlineStr">
        <is>
          <t>無印</t>
        </is>
      </c>
      <c r="I559" t="n">
        <v>90</v>
      </c>
      <c r="J559" t="inlineStr">
        <is>
          <t>P90|無印</t>
        </is>
      </c>
      <c r="K559" t="inlineStr">
        <is>
          <t>同頁凡例へ直接連動</t>
        </is>
      </c>
      <c r="L559" t="inlineStr">
        <is>
          <t>202604_LIXIL_サーモスＬ_業務用資料集_完成品価格表.pdf</t>
        </is>
      </c>
      <c r="M559" t="inlineStr">
        <is>
          <t>v0.6：同一価格表セクション内で凡例継承を確定。</t>
        </is>
      </c>
      <c r="N559" t="inlineStr">
        <is>
          <t>https://drive.google.com/file/d/1YUN-mtWYs48YBUHJk0C3vJXnhjyZFHyf/view</t>
        </is>
      </c>
    </row>
    <row r="560">
      <c r="A560" s="42" t="inlineStr">
        <is>
          <t>GSC-SL-000557</t>
        </is>
      </c>
      <c r="B560" t="inlineStr">
        <is>
          <t>SZ-SL-000557</t>
        </is>
      </c>
      <c r="C560" t="inlineStr">
        <is>
          <t>WT-SL-MENKOSHI-HIKI</t>
        </is>
      </c>
      <c r="D560" t="inlineStr">
        <is>
          <t>SP-SL-GRILLE-IGETA</t>
        </is>
      </c>
      <c r="E560" t="inlineStr">
        <is>
          <t>06003</t>
        </is>
      </c>
      <c r="F560" t="b">
        <v>1</v>
      </c>
      <c r="G560" t="n">
        <v>90</v>
      </c>
      <c r="H560" t="inlineStr">
        <is>
          <t>無印</t>
        </is>
      </c>
      <c r="I560" t="n">
        <v>90</v>
      </c>
      <c r="J560" t="inlineStr">
        <is>
          <t>P90|無印</t>
        </is>
      </c>
      <c r="K560" t="inlineStr">
        <is>
          <t>同頁凡例へ直接連動</t>
        </is>
      </c>
      <c r="L560" t="inlineStr">
        <is>
          <t>202604_LIXIL_サーモスＬ_業務用資料集_完成品価格表.pdf</t>
        </is>
      </c>
      <c r="M560" t="inlineStr">
        <is>
          <t>v0.6：同一価格表セクション内で凡例継承を確定。</t>
        </is>
      </c>
      <c r="N560" t="inlineStr">
        <is>
          <t>https://drive.google.com/file/d/1YUN-mtWYs48YBUHJk0C3vJXnhjyZFHyf/view</t>
        </is>
      </c>
    </row>
    <row r="561">
      <c r="A561" s="42" t="inlineStr">
        <is>
          <t>GSC-SL-000558</t>
        </is>
      </c>
      <c r="B561" t="inlineStr">
        <is>
          <t>SZ-SL-000558</t>
        </is>
      </c>
      <c r="C561" t="inlineStr">
        <is>
          <t>WT-SL-MENKOSHI-HIKI</t>
        </is>
      </c>
      <c r="D561" t="inlineStr">
        <is>
          <t>SP-SL-GRILLE-IGETA</t>
        </is>
      </c>
      <c r="E561" t="inlineStr">
        <is>
          <t>06903</t>
        </is>
      </c>
      <c r="F561" t="b">
        <v>1</v>
      </c>
      <c r="G561" t="n">
        <v>90</v>
      </c>
      <c r="H561" t="inlineStr">
        <is>
          <t>無印</t>
        </is>
      </c>
      <c r="I561" t="n">
        <v>90</v>
      </c>
      <c r="J561" t="inlineStr">
        <is>
          <t>P90|無印</t>
        </is>
      </c>
      <c r="K561" t="inlineStr">
        <is>
          <t>同頁凡例へ直接連動</t>
        </is>
      </c>
      <c r="L561" t="inlineStr">
        <is>
          <t>202604_LIXIL_サーモスＬ_業務用資料集_完成品価格表.pdf</t>
        </is>
      </c>
      <c r="M561" t="inlineStr">
        <is>
          <t>v0.6：同一価格表セクション内で凡例継承を確定。</t>
        </is>
      </c>
      <c r="N561" t="inlineStr">
        <is>
          <t>https://drive.google.com/file/d/1YUN-mtWYs48YBUHJk0C3vJXnhjyZFHyf/view</t>
        </is>
      </c>
    </row>
    <row r="562">
      <c r="A562" s="42" t="inlineStr">
        <is>
          <t>GSC-SL-000559</t>
        </is>
      </c>
      <c r="B562" t="inlineStr">
        <is>
          <t>SZ-SL-000559</t>
        </is>
      </c>
      <c r="C562" t="inlineStr">
        <is>
          <t>WT-SL-MENKOSHI-HIKI</t>
        </is>
      </c>
      <c r="D562" t="inlineStr">
        <is>
          <t>SP-SL-GRILLE-IGETA</t>
        </is>
      </c>
      <c r="E562" t="inlineStr">
        <is>
          <t>07403</t>
        </is>
      </c>
      <c r="F562" t="b">
        <v>1</v>
      </c>
      <c r="G562" t="n">
        <v>90</v>
      </c>
      <c r="H562" t="inlineStr">
        <is>
          <t>無印</t>
        </is>
      </c>
      <c r="I562" t="n">
        <v>90</v>
      </c>
      <c r="J562" t="inlineStr">
        <is>
          <t>P90|無印</t>
        </is>
      </c>
      <c r="K562" t="inlineStr">
        <is>
          <t>同頁凡例へ直接連動</t>
        </is>
      </c>
      <c r="L562" t="inlineStr">
        <is>
          <t>202604_LIXIL_サーモスＬ_業務用資料集_完成品価格表.pdf</t>
        </is>
      </c>
      <c r="M562" t="inlineStr">
        <is>
          <t>v0.6：同一価格表セクション内で凡例継承を確定。</t>
        </is>
      </c>
      <c r="N562" t="inlineStr">
        <is>
          <t>https://drive.google.com/file/d/1YUN-mtWYs48YBUHJk0C3vJXnhjyZFHyf/view</t>
        </is>
      </c>
    </row>
    <row r="563">
      <c r="A563" s="42" t="inlineStr">
        <is>
          <t>GSC-SL-000560</t>
        </is>
      </c>
      <c r="B563" t="inlineStr">
        <is>
          <t>SZ-SL-000560</t>
        </is>
      </c>
      <c r="C563" t="inlineStr">
        <is>
          <t>WT-SL-MENKOSHI-HIKI</t>
        </is>
      </c>
      <c r="D563" t="inlineStr">
        <is>
          <t>SP-SL-GRILLE-V</t>
        </is>
      </c>
      <c r="E563" t="inlineStr">
        <is>
          <t>06003</t>
        </is>
      </c>
      <c r="F563" t="b">
        <v>1</v>
      </c>
      <c r="G563" t="n">
        <v>90</v>
      </c>
      <c r="H563" t="inlineStr">
        <is>
          <t>無印</t>
        </is>
      </c>
      <c r="I563" t="n">
        <v>90</v>
      </c>
      <c r="J563" t="inlineStr">
        <is>
          <t>P90|無印</t>
        </is>
      </c>
      <c r="K563" t="inlineStr">
        <is>
          <t>同頁凡例へ直接連動</t>
        </is>
      </c>
      <c r="L563" t="inlineStr">
        <is>
          <t>202604_LIXIL_サーモスＬ_業務用資料集_完成品価格表.pdf</t>
        </is>
      </c>
      <c r="M563" t="inlineStr">
        <is>
          <t>v0.6：同一価格表セクション内で凡例継承を確定。</t>
        </is>
      </c>
      <c r="N563" t="inlineStr">
        <is>
          <t>https://drive.google.com/file/d/1YUN-mtWYs48YBUHJk0C3vJXnhjyZFHyf/view</t>
        </is>
      </c>
    </row>
    <row r="564">
      <c r="A564" s="42" t="inlineStr">
        <is>
          <t>GSC-SL-000561</t>
        </is>
      </c>
      <c r="B564" t="inlineStr">
        <is>
          <t>SZ-SL-000561</t>
        </is>
      </c>
      <c r="C564" t="inlineStr">
        <is>
          <t>WT-SL-MENKOSHI-HIKI</t>
        </is>
      </c>
      <c r="D564" t="inlineStr">
        <is>
          <t>SP-SL-GRILLE-V</t>
        </is>
      </c>
      <c r="E564" t="inlineStr">
        <is>
          <t>06903</t>
        </is>
      </c>
      <c r="F564" t="b">
        <v>1</v>
      </c>
      <c r="G564" t="n">
        <v>90</v>
      </c>
      <c r="H564" t="inlineStr">
        <is>
          <t>無印</t>
        </is>
      </c>
      <c r="I564" t="n">
        <v>90</v>
      </c>
      <c r="J564" t="inlineStr">
        <is>
          <t>P90|無印</t>
        </is>
      </c>
      <c r="K564" t="inlineStr">
        <is>
          <t>同頁凡例へ直接連動</t>
        </is>
      </c>
      <c r="L564" t="inlineStr">
        <is>
          <t>202604_LIXIL_サーモスＬ_業務用資料集_完成品価格表.pdf</t>
        </is>
      </c>
      <c r="M564" t="inlineStr">
        <is>
          <t>v0.6：同一価格表セクション内で凡例継承を確定。</t>
        </is>
      </c>
      <c r="N564" t="inlineStr">
        <is>
          <t>https://drive.google.com/file/d/1YUN-mtWYs48YBUHJk0C3vJXnhjyZFHyf/view</t>
        </is>
      </c>
    </row>
    <row r="565">
      <c r="A565" s="42" t="inlineStr">
        <is>
          <t>GSC-SL-000562</t>
        </is>
      </c>
      <c r="B565" t="inlineStr">
        <is>
          <t>SZ-SL-000562</t>
        </is>
      </c>
      <c r="C565" t="inlineStr">
        <is>
          <t>WT-SL-MENKOSHI-HIKI</t>
        </is>
      </c>
      <c r="D565" t="inlineStr">
        <is>
          <t>SP-SL-GRILLE-V</t>
        </is>
      </c>
      <c r="E565" t="inlineStr">
        <is>
          <t>07403</t>
        </is>
      </c>
      <c r="F565" t="b">
        <v>1</v>
      </c>
      <c r="G565" t="n">
        <v>90</v>
      </c>
      <c r="H565" t="inlineStr">
        <is>
          <t>無印</t>
        </is>
      </c>
      <c r="I565" t="n">
        <v>90</v>
      </c>
      <c r="J565" t="inlineStr">
        <is>
          <t>P90|無印</t>
        </is>
      </c>
      <c r="K565" t="inlineStr">
        <is>
          <t>同頁凡例へ直接連動</t>
        </is>
      </c>
      <c r="L565" t="inlineStr">
        <is>
          <t>202604_LIXIL_サーモスＬ_業務用資料集_完成品価格表.pdf</t>
        </is>
      </c>
      <c r="M565" t="inlineStr">
        <is>
          <t>v0.6：同一価格表セクション内で凡例継承を確定。</t>
        </is>
      </c>
      <c r="N565" t="inlineStr">
        <is>
          <t>https://drive.google.com/file/d/1YUN-mtWYs48YBUHJk0C3vJXnhjyZFHyf/view</t>
        </is>
      </c>
    </row>
    <row r="566">
      <c r="A566" s="42" t="inlineStr">
        <is>
          <t>GSC-SL-000563</t>
        </is>
      </c>
      <c r="B566" t="inlineStr">
        <is>
          <t>SZ-SL-000563</t>
        </is>
      </c>
      <c r="C566" t="inlineStr">
        <is>
          <t>WT-SL-MENKOSHI-HIKI</t>
        </is>
      </c>
      <c r="D566" t="inlineStr">
        <is>
          <t>SP-SL-GRILLE-DIA</t>
        </is>
      </c>
      <c r="E566" t="inlineStr">
        <is>
          <t>06005</t>
        </is>
      </c>
      <c r="F566" t="b">
        <v>1</v>
      </c>
      <c r="G566" t="n">
        <v>94</v>
      </c>
      <c r="H566" t="inlineStr">
        <is>
          <t>無印</t>
        </is>
      </c>
      <c r="I566" t="n">
        <v>94</v>
      </c>
      <c r="J566" t="inlineStr">
        <is>
          <t>P94|無印</t>
        </is>
      </c>
      <c r="K566" t="inlineStr">
        <is>
          <t>同頁凡例へ直接連動</t>
        </is>
      </c>
      <c r="L566" t="inlineStr">
        <is>
          <t>202604_LIXIL_サーモスＬ_業務用資料集_完成品価格表.pdf</t>
        </is>
      </c>
      <c r="M566" t="inlineStr">
        <is>
          <t>v0.6：同一価格表セクション内で凡例継承を確定。</t>
        </is>
      </c>
      <c r="N566" t="inlineStr">
        <is>
          <t>https://drive.google.com/file/d/1YUN-mtWYs48YBUHJk0C3vJXnhjyZFHyf/view</t>
        </is>
      </c>
    </row>
    <row r="567">
      <c r="A567" s="42" t="inlineStr">
        <is>
          <t>GSC-SL-000564</t>
        </is>
      </c>
      <c r="B567" t="inlineStr">
        <is>
          <t>SZ-SL-000564</t>
        </is>
      </c>
      <c r="C567" t="inlineStr">
        <is>
          <t>WT-SL-MENKOSHI-HIKI</t>
        </is>
      </c>
      <c r="D567" t="inlineStr">
        <is>
          <t>SP-SL-GRILLE-DIA</t>
        </is>
      </c>
      <c r="E567" t="inlineStr">
        <is>
          <t>06905</t>
        </is>
      </c>
      <c r="F567" t="b">
        <v>1</v>
      </c>
      <c r="G567" t="n">
        <v>94</v>
      </c>
      <c r="H567" t="inlineStr">
        <is>
          <t>無印</t>
        </is>
      </c>
      <c r="I567" t="n">
        <v>94</v>
      </c>
      <c r="J567" t="inlineStr">
        <is>
          <t>P94|無印</t>
        </is>
      </c>
      <c r="K567" t="inlineStr">
        <is>
          <t>同頁凡例へ直接連動</t>
        </is>
      </c>
      <c r="L567" t="inlineStr">
        <is>
          <t>202604_LIXIL_サーモスＬ_業務用資料集_完成品価格表.pdf</t>
        </is>
      </c>
      <c r="M567" t="inlineStr">
        <is>
          <t>v0.6：同一価格表セクション内で凡例継承を確定。</t>
        </is>
      </c>
      <c r="N567" t="inlineStr">
        <is>
          <t>https://drive.google.com/file/d/1YUN-mtWYs48YBUHJk0C3vJXnhjyZFHyf/view</t>
        </is>
      </c>
    </row>
    <row r="568">
      <c r="A568" s="42" t="inlineStr">
        <is>
          <t>GSC-SL-000565</t>
        </is>
      </c>
      <c r="B568" t="inlineStr">
        <is>
          <t>SZ-SL-000565</t>
        </is>
      </c>
      <c r="C568" t="inlineStr">
        <is>
          <t>WT-SL-MENKOSHI-HIKI</t>
        </is>
      </c>
      <c r="D568" t="inlineStr">
        <is>
          <t>SP-SL-GRILLE-DIA</t>
        </is>
      </c>
      <c r="E568" t="inlineStr">
        <is>
          <t>07405</t>
        </is>
      </c>
      <c r="F568" t="b">
        <v>1</v>
      </c>
      <c r="G568" t="n">
        <v>94</v>
      </c>
      <c r="H568" t="inlineStr">
        <is>
          <t>無印</t>
        </is>
      </c>
      <c r="I568" t="n">
        <v>94</v>
      </c>
      <c r="J568" t="inlineStr">
        <is>
          <t>P94|無印</t>
        </is>
      </c>
      <c r="K568" t="inlineStr">
        <is>
          <t>同頁凡例へ直接連動</t>
        </is>
      </c>
      <c r="L568" t="inlineStr">
        <is>
          <t>202604_LIXIL_サーモスＬ_業務用資料集_完成品価格表.pdf</t>
        </is>
      </c>
      <c r="M568" t="inlineStr">
        <is>
          <t>v0.6：同一価格表セクション内で凡例継承を確定。</t>
        </is>
      </c>
      <c r="N568" t="inlineStr">
        <is>
          <t>https://drive.google.com/file/d/1YUN-mtWYs48YBUHJk0C3vJXnhjyZFHyf/view</t>
        </is>
      </c>
    </row>
    <row r="569">
      <c r="A569" s="42" t="inlineStr">
        <is>
          <t>GSC-SL-000566</t>
        </is>
      </c>
      <c r="B569" t="inlineStr">
        <is>
          <t>SZ-SL-000566</t>
        </is>
      </c>
      <c r="C569" t="inlineStr">
        <is>
          <t>WT-SL-MENKOSHI-HIKI</t>
        </is>
      </c>
      <c r="D569" t="inlineStr">
        <is>
          <t>SP-SL-GRILLE-DIA</t>
        </is>
      </c>
      <c r="E569" t="inlineStr">
        <is>
          <t>07805</t>
        </is>
      </c>
      <c r="F569" t="b">
        <v>1</v>
      </c>
      <c r="G569" t="n">
        <v>94</v>
      </c>
      <c r="H569" t="inlineStr">
        <is>
          <t>無印</t>
        </is>
      </c>
      <c r="I569" t="n">
        <v>94</v>
      </c>
      <c r="J569" t="inlineStr">
        <is>
          <t>P94|無印</t>
        </is>
      </c>
      <c r="K569" t="inlineStr">
        <is>
          <t>同頁凡例へ直接連動</t>
        </is>
      </c>
      <c r="L569" t="inlineStr">
        <is>
          <t>202604_LIXIL_サーモスＬ_業務用資料集_完成品価格表.pdf</t>
        </is>
      </c>
      <c r="M569" t="inlineStr">
        <is>
          <t>v0.6：同一価格表セクション内で凡例継承を確定。</t>
        </is>
      </c>
      <c r="N569" t="inlineStr">
        <is>
          <t>https://drive.google.com/file/d/1YUN-mtWYs48YBUHJk0C3vJXnhjyZFHyf/view</t>
        </is>
      </c>
    </row>
    <row r="570">
      <c r="A570" s="42" t="inlineStr">
        <is>
          <t>GSC-SL-000567</t>
        </is>
      </c>
      <c r="B570" t="inlineStr">
        <is>
          <t>SZ-SL-000567</t>
        </is>
      </c>
      <c r="C570" t="inlineStr">
        <is>
          <t>WT-SL-MENKOSHI-HIKI</t>
        </is>
      </c>
      <c r="D570" t="inlineStr">
        <is>
          <t>SP-SL-GRILLE-H</t>
        </is>
      </c>
      <c r="E570" t="inlineStr">
        <is>
          <t>06005</t>
        </is>
      </c>
      <c r="F570" t="b">
        <v>1</v>
      </c>
      <c r="G570" t="n">
        <v>94</v>
      </c>
      <c r="H570" t="inlineStr">
        <is>
          <t>無印</t>
        </is>
      </c>
      <c r="I570" t="n">
        <v>94</v>
      </c>
      <c r="J570" t="inlineStr">
        <is>
          <t>P94|無印</t>
        </is>
      </c>
      <c r="K570" t="inlineStr">
        <is>
          <t>同頁凡例へ直接連動</t>
        </is>
      </c>
      <c r="L570" t="inlineStr">
        <is>
          <t>202604_LIXIL_サーモスＬ_業務用資料集_完成品価格表.pdf</t>
        </is>
      </c>
      <c r="M570" t="inlineStr">
        <is>
          <t>v0.6：同一価格表セクション内で凡例継承を確定。</t>
        </is>
      </c>
      <c r="N570" t="inlineStr">
        <is>
          <t>https://drive.google.com/file/d/1YUN-mtWYs48YBUHJk0C3vJXnhjyZFHyf/view</t>
        </is>
      </c>
    </row>
    <row r="571">
      <c r="A571" s="42" t="inlineStr">
        <is>
          <t>GSC-SL-000568</t>
        </is>
      </c>
      <c r="B571" t="inlineStr">
        <is>
          <t>SZ-SL-000568</t>
        </is>
      </c>
      <c r="C571" t="inlineStr">
        <is>
          <t>WT-SL-MENKOSHI-HIKI</t>
        </is>
      </c>
      <c r="D571" t="inlineStr">
        <is>
          <t>SP-SL-GRILLE-H</t>
        </is>
      </c>
      <c r="E571" t="inlineStr">
        <is>
          <t>06905</t>
        </is>
      </c>
      <c r="F571" t="b">
        <v>1</v>
      </c>
      <c r="G571" t="n">
        <v>94</v>
      </c>
      <c r="H571" t="inlineStr">
        <is>
          <t>無印</t>
        </is>
      </c>
      <c r="I571" t="n">
        <v>94</v>
      </c>
      <c r="J571" t="inlineStr">
        <is>
          <t>P94|無印</t>
        </is>
      </c>
      <c r="K571" t="inlineStr">
        <is>
          <t>同頁凡例へ直接連動</t>
        </is>
      </c>
      <c r="L571" t="inlineStr">
        <is>
          <t>202604_LIXIL_サーモスＬ_業務用資料集_完成品価格表.pdf</t>
        </is>
      </c>
      <c r="M571" t="inlineStr">
        <is>
          <t>v0.6：同一価格表セクション内で凡例継承を確定。</t>
        </is>
      </c>
      <c r="N571" t="inlineStr">
        <is>
          <t>https://drive.google.com/file/d/1YUN-mtWYs48YBUHJk0C3vJXnhjyZFHyf/view</t>
        </is>
      </c>
    </row>
    <row r="572">
      <c r="A572" s="42" t="inlineStr">
        <is>
          <t>GSC-SL-000569</t>
        </is>
      </c>
      <c r="B572" t="inlineStr">
        <is>
          <t>SZ-SL-000569</t>
        </is>
      </c>
      <c r="C572" t="inlineStr">
        <is>
          <t>WT-SL-MENKOSHI-HIKI</t>
        </is>
      </c>
      <c r="D572" t="inlineStr">
        <is>
          <t>SP-SL-GRILLE-H</t>
        </is>
      </c>
      <c r="E572" t="inlineStr">
        <is>
          <t>07405</t>
        </is>
      </c>
      <c r="F572" t="b">
        <v>1</v>
      </c>
      <c r="G572" t="n">
        <v>94</v>
      </c>
      <c r="H572" t="inlineStr">
        <is>
          <t>無印</t>
        </is>
      </c>
      <c r="I572" t="n">
        <v>94</v>
      </c>
      <c r="J572" t="inlineStr">
        <is>
          <t>P94|無印</t>
        </is>
      </c>
      <c r="K572" t="inlineStr">
        <is>
          <t>同頁凡例へ直接連動</t>
        </is>
      </c>
      <c r="L572" t="inlineStr">
        <is>
          <t>202604_LIXIL_サーモスＬ_業務用資料集_完成品価格表.pdf</t>
        </is>
      </c>
      <c r="M572" t="inlineStr">
        <is>
          <t>v0.6：同一価格表セクション内で凡例継承を確定。</t>
        </is>
      </c>
      <c r="N572" t="inlineStr">
        <is>
          <t>https://drive.google.com/file/d/1YUN-mtWYs48YBUHJk0C3vJXnhjyZFHyf/view</t>
        </is>
      </c>
    </row>
    <row r="573">
      <c r="A573" s="42" t="inlineStr">
        <is>
          <t>GSC-SL-000570</t>
        </is>
      </c>
      <c r="B573" t="inlineStr">
        <is>
          <t>SZ-SL-000570</t>
        </is>
      </c>
      <c r="C573" t="inlineStr">
        <is>
          <t>WT-SL-MENKOSHI-HIKI</t>
        </is>
      </c>
      <c r="D573" t="inlineStr">
        <is>
          <t>SP-SL-GRILLE-H</t>
        </is>
      </c>
      <c r="E573" t="inlineStr">
        <is>
          <t>07805</t>
        </is>
      </c>
      <c r="F573" t="b">
        <v>1</v>
      </c>
      <c r="G573" t="n">
        <v>94</v>
      </c>
      <c r="H573" t="inlineStr">
        <is>
          <t>無印</t>
        </is>
      </c>
      <c r="I573" t="n">
        <v>94</v>
      </c>
      <c r="J573" t="inlineStr">
        <is>
          <t>P94|無印</t>
        </is>
      </c>
      <c r="K573" t="inlineStr">
        <is>
          <t>同頁凡例へ直接連動</t>
        </is>
      </c>
      <c r="L573" t="inlineStr">
        <is>
          <t>202604_LIXIL_サーモスＬ_業務用資料集_完成品価格表.pdf</t>
        </is>
      </c>
      <c r="M573" t="inlineStr">
        <is>
          <t>v0.6：同一価格表セクション内で凡例継承を確定。</t>
        </is>
      </c>
      <c r="N573" t="inlineStr">
        <is>
          <t>https://drive.google.com/file/d/1YUN-mtWYs48YBUHJk0C3vJXnhjyZFHyf/view</t>
        </is>
      </c>
    </row>
    <row r="574">
      <c r="A574" s="42" t="inlineStr">
        <is>
          <t>GSC-SL-000571</t>
        </is>
      </c>
      <c r="B574" t="inlineStr">
        <is>
          <t>SZ-SL-000571</t>
        </is>
      </c>
      <c r="C574" t="inlineStr">
        <is>
          <t>WT-SL-MENKOSHI-HIKI</t>
        </is>
      </c>
      <c r="D574" t="inlineStr">
        <is>
          <t>SP-SL-GRILLE-IGETA</t>
        </is>
      </c>
      <c r="E574" t="inlineStr">
        <is>
          <t>06005</t>
        </is>
      </c>
      <c r="F574" t="b">
        <v>1</v>
      </c>
      <c r="G574" t="n">
        <v>94</v>
      </c>
      <c r="H574" t="inlineStr">
        <is>
          <t>無印</t>
        </is>
      </c>
      <c r="I574" t="n">
        <v>94</v>
      </c>
      <c r="J574" t="inlineStr">
        <is>
          <t>P94|無印</t>
        </is>
      </c>
      <c r="K574" t="inlineStr">
        <is>
          <t>同頁凡例へ直接連動</t>
        </is>
      </c>
      <c r="L574" t="inlineStr">
        <is>
          <t>202604_LIXIL_サーモスＬ_業務用資料集_完成品価格表.pdf</t>
        </is>
      </c>
      <c r="M574" t="inlineStr">
        <is>
          <t>v0.6：同一価格表セクション内で凡例継承を確定。</t>
        </is>
      </c>
      <c r="N574" t="inlineStr">
        <is>
          <t>https://drive.google.com/file/d/1YUN-mtWYs48YBUHJk0C3vJXnhjyZFHyf/view</t>
        </is>
      </c>
    </row>
    <row r="575">
      <c r="A575" s="42" t="inlineStr">
        <is>
          <t>GSC-SL-000572</t>
        </is>
      </c>
      <c r="B575" t="inlineStr">
        <is>
          <t>SZ-SL-000572</t>
        </is>
      </c>
      <c r="C575" t="inlineStr">
        <is>
          <t>WT-SL-MENKOSHI-HIKI</t>
        </is>
      </c>
      <c r="D575" t="inlineStr">
        <is>
          <t>SP-SL-GRILLE-IGETA</t>
        </is>
      </c>
      <c r="E575" t="inlineStr">
        <is>
          <t>06905</t>
        </is>
      </c>
      <c r="F575" t="b">
        <v>1</v>
      </c>
      <c r="G575" t="n">
        <v>94</v>
      </c>
      <c r="H575" t="inlineStr">
        <is>
          <t>無印</t>
        </is>
      </c>
      <c r="I575" t="n">
        <v>94</v>
      </c>
      <c r="J575" t="inlineStr">
        <is>
          <t>P94|無印</t>
        </is>
      </c>
      <c r="K575" t="inlineStr">
        <is>
          <t>同頁凡例へ直接連動</t>
        </is>
      </c>
      <c r="L575" t="inlineStr">
        <is>
          <t>202604_LIXIL_サーモスＬ_業務用資料集_完成品価格表.pdf</t>
        </is>
      </c>
      <c r="M575" t="inlineStr">
        <is>
          <t>v0.6：同一価格表セクション内で凡例継承を確定。</t>
        </is>
      </c>
      <c r="N575" t="inlineStr">
        <is>
          <t>https://drive.google.com/file/d/1YUN-mtWYs48YBUHJk0C3vJXnhjyZFHyf/view</t>
        </is>
      </c>
    </row>
    <row r="576">
      <c r="A576" s="42" t="inlineStr">
        <is>
          <t>GSC-SL-000573</t>
        </is>
      </c>
      <c r="B576" t="inlineStr">
        <is>
          <t>SZ-SL-000573</t>
        </is>
      </c>
      <c r="C576" t="inlineStr">
        <is>
          <t>WT-SL-MENKOSHI-HIKI</t>
        </is>
      </c>
      <c r="D576" t="inlineStr">
        <is>
          <t>SP-SL-GRILLE-IGETA</t>
        </is>
      </c>
      <c r="E576" t="inlineStr">
        <is>
          <t>07405</t>
        </is>
      </c>
      <c r="F576" t="b">
        <v>1</v>
      </c>
      <c r="G576" t="n">
        <v>94</v>
      </c>
      <c r="H576" t="inlineStr">
        <is>
          <t>無印</t>
        </is>
      </c>
      <c r="I576" t="n">
        <v>94</v>
      </c>
      <c r="J576" t="inlineStr">
        <is>
          <t>P94|無印</t>
        </is>
      </c>
      <c r="K576" t="inlineStr">
        <is>
          <t>同頁凡例へ直接連動</t>
        </is>
      </c>
      <c r="L576" t="inlineStr">
        <is>
          <t>202604_LIXIL_サーモスＬ_業務用資料集_完成品価格表.pdf</t>
        </is>
      </c>
      <c r="M576" t="inlineStr">
        <is>
          <t>v0.6：同一価格表セクション内で凡例継承を確定。</t>
        </is>
      </c>
      <c r="N576" t="inlineStr">
        <is>
          <t>https://drive.google.com/file/d/1YUN-mtWYs48YBUHJk0C3vJXnhjyZFHyf/view</t>
        </is>
      </c>
    </row>
    <row r="577">
      <c r="A577" s="42" t="inlineStr">
        <is>
          <t>GSC-SL-000574</t>
        </is>
      </c>
      <c r="B577" t="inlineStr">
        <is>
          <t>SZ-SL-000574</t>
        </is>
      </c>
      <c r="C577" t="inlineStr">
        <is>
          <t>WT-SL-MENKOSHI-HIKI</t>
        </is>
      </c>
      <c r="D577" t="inlineStr">
        <is>
          <t>SP-SL-GRILLE-IGETA</t>
        </is>
      </c>
      <c r="E577" t="inlineStr">
        <is>
          <t>07805</t>
        </is>
      </c>
      <c r="F577" t="b">
        <v>1</v>
      </c>
      <c r="G577" t="n">
        <v>94</v>
      </c>
      <c r="H577" t="inlineStr">
        <is>
          <t>無印</t>
        </is>
      </c>
      <c r="I577" t="n">
        <v>94</v>
      </c>
      <c r="J577" t="inlineStr">
        <is>
          <t>P94|無印</t>
        </is>
      </c>
      <c r="K577" t="inlineStr">
        <is>
          <t>同頁凡例へ直接連動</t>
        </is>
      </c>
      <c r="L577" t="inlineStr">
        <is>
          <t>202604_LIXIL_サーモスＬ_業務用資料集_完成品価格表.pdf</t>
        </is>
      </c>
      <c r="M577" t="inlineStr">
        <is>
          <t>v0.6：同一価格表セクション内で凡例継承を確定。</t>
        </is>
      </c>
      <c r="N577" t="inlineStr">
        <is>
          <t>https://drive.google.com/file/d/1YUN-mtWYs48YBUHJk0C3vJXnhjyZFHyf/view</t>
        </is>
      </c>
    </row>
    <row r="578">
      <c r="A578" s="42" t="inlineStr">
        <is>
          <t>GSC-SL-000575</t>
        </is>
      </c>
      <c r="B578" t="inlineStr">
        <is>
          <t>SZ-SL-000575</t>
        </is>
      </c>
      <c r="C578" t="inlineStr">
        <is>
          <t>WT-SL-MENKOSHI-HIKI</t>
        </is>
      </c>
      <c r="D578" t="inlineStr">
        <is>
          <t>SP-SL-GRILLE-V</t>
        </is>
      </c>
      <c r="E578" t="inlineStr">
        <is>
          <t>06005</t>
        </is>
      </c>
      <c r="F578" t="b">
        <v>1</v>
      </c>
      <c r="G578" t="n">
        <v>94</v>
      </c>
      <c r="H578" t="inlineStr">
        <is>
          <t>無印</t>
        </is>
      </c>
      <c r="I578" t="n">
        <v>94</v>
      </c>
      <c r="J578" t="inlineStr">
        <is>
          <t>P94|無印</t>
        </is>
      </c>
      <c r="K578" t="inlineStr">
        <is>
          <t>同頁凡例へ直接連動</t>
        </is>
      </c>
      <c r="L578" t="inlineStr">
        <is>
          <t>202604_LIXIL_サーモスＬ_業務用資料集_完成品価格表.pdf</t>
        </is>
      </c>
      <c r="M578" t="inlineStr">
        <is>
          <t>v0.6：同一価格表セクション内で凡例継承を確定。</t>
        </is>
      </c>
      <c r="N578" t="inlineStr">
        <is>
          <t>https://drive.google.com/file/d/1YUN-mtWYs48YBUHJk0C3vJXnhjyZFHyf/view</t>
        </is>
      </c>
    </row>
    <row r="579">
      <c r="A579" s="42" t="inlineStr">
        <is>
          <t>GSC-SL-000576</t>
        </is>
      </c>
      <c r="B579" t="inlineStr">
        <is>
          <t>SZ-SL-000576</t>
        </is>
      </c>
      <c r="C579" t="inlineStr">
        <is>
          <t>WT-SL-MENKOSHI-HIKI</t>
        </is>
      </c>
      <c r="D579" t="inlineStr">
        <is>
          <t>SP-SL-GRILLE-V</t>
        </is>
      </c>
      <c r="E579" t="inlineStr">
        <is>
          <t>06905</t>
        </is>
      </c>
      <c r="F579" t="b">
        <v>1</v>
      </c>
      <c r="G579" t="n">
        <v>94</v>
      </c>
      <c r="H579" t="inlineStr">
        <is>
          <t>無印</t>
        </is>
      </c>
      <c r="I579" t="n">
        <v>94</v>
      </c>
      <c r="J579" t="inlineStr">
        <is>
          <t>P94|無印</t>
        </is>
      </c>
      <c r="K579" t="inlineStr">
        <is>
          <t>同頁凡例へ直接連動</t>
        </is>
      </c>
      <c r="L579" t="inlineStr">
        <is>
          <t>202604_LIXIL_サーモスＬ_業務用資料集_完成品価格表.pdf</t>
        </is>
      </c>
      <c r="M579" t="inlineStr">
        <is>
          <t>v0.6：同一価格表セクション内で凡例継承を確定。</t>
        </is>
      </c>
      <c r="N579" t="inlineStr">
        <is>
          <t>https://drive.google.com/file/d/1YUN-mtWYs48YBUHJk0C3vJXnhjyZFHyf/view</t>
        </is>
      </c>
    </row>
    <row r="580">
      <c r="A580" s="42" t="inlineStr">
        <is>
          <t>GSC-SL-000577</t>
        </is>
      </c>
      <c r="B580" t="inlineStr">
        <is>
          <t>SZ-SL-000577</t>
        </is>
      </c>
      <c r="C580" t="inlineStr">
        <is>
          <t>WT-SL-MENKOSHI-HIKI</t>
        </is>
      </c>
      <c r="D580" t="inlineStr">
        <is>
          <t>SP-SL-GRILLE-V</t>
        </is>
      </c>
      <c r="E580" t="inlineStr">
        <is>
          <t>07405</t>
        </is>
      </c>
      <c r="F580" t="b">
        <v>1</v>
      </c>
      <c r="G580" t="n">
        <v>94</v>
      </c>
      <c r="H580" t="inlineStr">
        <is>
          <t>無印</t>
        </is>
      </c>
      <c r="I580" t="n">
        <v>94</v>
      </c>
      <c r="J580" t="inlineStr">
        <is>
          <t>P94|無印</t>
        </is>
      </c>
      <c r="K580" t="inlineStr">
        <is>
          <t>同頁凡例へ直接連動</t>
        </is>
      </c>
      <c r="L580" t="inlineStr">
        <is>
          <t>202604_LIXIL_サーモスＬ_業務用資料集_完成品価格表.pdf</t>
        </is>
      </c>
      <c r="M580" t="inlineStr">
        <is>
          <t>v0.6：同一価格表セクション内で凡例継承を確定。</t>
        </is>
      </c>
      <c r="N580" t="inlineStr">
        <is>
          <t>https://drive.google.com/file/d/1YUN-mtWYs48YBUHJk0C3vJXnhjyZFHyf/view</t>
        </is>
      </c>
    </row>
    <row r="581">
      <c r="A581" s="42" t="inlineStr">
        <is>
          <t>GSC-SL-000578</t>
        </is>
      </c>
      <c r="B581" t="inlineStr">
        <is>
          <t>SZ-SL-000578</t>
        </is>
      </c>
      <c r="C581" t="inlineStr">
        <is>
          <t>WT-SL-MENKOSHI-HIKI</t>
        </is>
      </c>
      <c r="D581" t="inlineStr">
        <is>
          <t>SP-SL-GRILLE-V</t>
        </is>
      </c>
      <c r="E581" t="inlineStr">
        <is>
          <t>07805</t>
        </is>
      </c>
      <c r="F581" t="b">
        <v>1</v>
      </c>
      <c r="G581" t="n">
        <v>94</v>
      </c>
      <c r="H581" t="inlineStr">
        <is>
          <t>無印</t>
        </is>
      </c>
      <c r="I581" t="n">
        <v>94</v>
      </c>
      <c r="J581" t="inlineStr">
        <is>
          <t>P94|無印</t>
        </is>
      </c>
      <c r="K581" t="inlineStr">
        <is>
          <t>同頁凡例へ直接連動</t>
        </is>
      </c>
      <c r="L581" t="inlineStr">
        <is>
          <t>202604_LIXIL_サーモスＬ_業務用資料集_完成品価格表.pdf</t>
        </is>
      </c>
      <c r="M581" t="inlineStr">
        <is>
          <t>v0.6：同一価格表セクション内で凡例継承を確定。</t>
        </is>
      </c>
      <c r="N581" t="inlineStr">
        <is>
          <t>https://drive.google.com/file/d/1YUN-mtWYs48YBUHJk0C3vJXnhjyZFHyf/view</t>
        </is>
      </c>
    </row>
    <row r="582">
      <c r="A582" s="42" t="inlineStr">
        <is>
          <t>GSC-SL-000579</t>
        </is>
      </c>
      <c r="B582" t="inlineStr">
        <is>
          <t>SZ-SL-000579</t>
        </is>
      </c>
      <c r="C582" t="inlineStr">
        <is>
          <t>WT-SL-MENKOSHI-HIKI</t>
        </is>
      </c>
      <c r="D582" t="inlineStr">
        <is>
          <t>SP-SL-GRILLE-DIA</t>
        </is>
      </c>
      <c r="E582" t="inlineStr">
        <is>
          <t>08005</t>
        </is>
      </c>
      <c r="F582" t="b">
        <v>1</v>
      </c>
      <c r="G582" t="n">
        <v>95</v>
      </c>
      <c r="H582" t="inlineStr">
        <is>
          <t>無印</t>
        </is>
      </c>
      <c r="I582" t="n">
        <v>94</v>
      </c>
      <c r="J582" t="inlineStr">
        <is>
          <t>P94|無印</t>
        </is>
      </c>
      <c r="K582" t="inlineStr">
        <is>
          <t>同一価格表・前頁凡例を継承</t>
        </is>
      </c>
      <c r="L582" t="inlineStr">
        <is>
          <t>202604_LIXIL_サーモスＬ_業務用資料集_完成品価格表.pdf</t>
        </is>
      </c>
      <c r="M582" t="inlineStr">
        <is>
          <t>v0.6：同一価格表セクション内で凡例継承を確定。</t>
        </is>
      </c>
      <c r="N582" t="inlineStr">
        <is>
          <t>https://drive.google.com/file/d/1YUN-mtWYs48YBUHJk0C3vJXnhjyZFHyf/view</t>
        </is>
      </c>
    </row>
    <row r="583">
      <c r="A583" s="42" t="inlineStr">
        <is>
          <t>GSC-SL-000580</t>
        </is>
      </c>
      <c r="B583" t="inlineStr">
        <is>
          <t>SZ-SL-000580</t>
        </is>
      </c>
      <c r="C583" t="inlineStr">
        <is>
          <t>WT-SL-MENKOSHI-HIKI</t>
        </is>
      </c>
      <c r="D583" t="inlineStr">
        <is>
          <t>SP-SL-GRILLE-DIA</t>
        </is>
      </c>
      <c r="E583" t="inlineStr">
        <is>
          <t>08305</t>
        </is>
      </c>
      <c r="F583" t="b">
        <v>1</v>
      </c>
      <c r="G583" t="n">
        <v>95</v>
      </c>
      <c r="H583" t="inlineStr">
        <is>
          <t>無印</t>
        </is>
      </c>
      <c r="I583" t="n">
        <v>94</v>
      </c>
      <c r="J583" t="inlineStr">
        <is>
          <t>P94|無印</t>
        </is>
      </c>
      <c r="K583" t="inlineStr">
        <is>
          <t>同一価格表・前頁凡例を継承</t>
        </is>
      </c>
      <c r="L583" t="inlineStr">
        <is>
          <t>202604_LIXIL_サーモスＬ_業務用資料集_完成品価格表.pdf</t>
        </is>
      </c>
      <c r="M583" t="inlineStr">
        <is>
          <t>v0.6：同一価格表セクション内で凡例継承を確定。</t>
        </is>
      </c>
      <c r="N583" t="inlineStr">
        <is>
          <t>https://drive.google.com/file/d/1YUN-mtWYs48YBUHJk0C3vJXnhjyZFHyf/view</t>
        </is>
      </c>
    </row>
    <row r="584">
      <c r="A584" s="42" t="inlineStr">
        <is>
          <t>GSC-SL-000581</t>
        </is>
      </c>
      <c r="B584" t="inlineStr">
        <is>
          <t>SZ-SL-000581</t>
        </is>
      </c>
      <c r="C584" t="inlineStr">
        <is>
          <t>WT-SL-MENKOSHI-HIKI</t>
        </is>
      </c>
      <c r="D584" t="inlineStr">
        <is>
          <t>SP-SL-GRILLE-DIA</t>
        </is>
      </c>
      <c r="E584" t="inlineStr">
        <is>
          <t>11405</t>
        </is>
      </c>
      <c r="F584" t="b">
        <v>1</v>
      </c>
      <c r="G584" t="n">
        <v>95</v>
      </c>
      <c r="H584" t="inlineStr">
        <is>
          <t>無印</t>
        </is>
      </c>
      <c r="I584" t="n">
        <v>94</v>
      </c>
      <c r="J584" t="inlineStr">
        <is>
          <t>P94|無印</t>
        </is>
      </c>
      <c r="K584" t="inlineStr">
        <is>
          <t>同一価格表・前頁凡例を継承</t>
        </is>
      </c>
      <c r="L584" t="inlineStr">
        <is>
          <t>202604_LIXIL_サーモスＬ_業務用資料集_完成品価格表.pdf</t>
        </is>
      </c>
      <c r="M584" t="inlineStr">
        <is>
          <t>v0.6：同一価格表セクション内で凡例継承を確定。</t>
        </is>
      </c>
      <c r="N584" t="inlineStr">
        <is>
          <t>https://drive.google.com/file/d/1YUN-mtWYs48YBUHJk0C3vJXnhjyZFHyf/view</t>
        </is>
      </c>
    </row>
    <row r="585">
      <c r="A585" s="42" t="inlineStr">
        <is>
          <t>GSC-SL-000582</t>
        </is>
      </c>
      <c r="B585" t="inlineStr">
        <is>
          <t>SZ-SL-000582</t>
        </is>
      </c>
      <c r="C585" t="inlineStr">
        <is>
          <t>WT-SL-MENKOSHI-HIKI</t>
        </is>
      </c>
      <c r="D585" t="inlineStr">
        <is>
          <t>SP-SL-GRILLE-DIA</t>
        </is>
      </c>
      <c r="E585" t="inlineStr">
        <is>
          <t>11905</t>
        </is>
      </c>
      <c r="F585" t="b">
        <v>1</v>
      </c>
      <c r="G585" t="n">
        <v>95</v>
      </c>
      <c r="H585" t="inlineStr">
        <is>
          <t>無印</t>
        </is>
      </c>
      <c r="I585" t="n">
        <v>94</v>
      </c>
      <c r="J585" t="inlineStr">
        <is>
          <t>P94|無印</t>
        </is>
      </c>
      <c r="K585" t="inlineStr">
        <is>
          <t>同一価格表・前頁凡例を継承</t>
        </is>
      </c>
      <c r="L585" t="inlineStr">
        <is>
          <t>202604_LIXIL_サーモスＬ_業務用資料集_完成品価格表.pdf</t>
        </is>
      </c>
      <c r="M585" t="inlineStr">
        <is>
          <t>v0.6：同一価格表セクション内で凡例継承を確定。</t>
        </is>
      </c>
      <c r="N585" t="inlineStr">
        <is>
          <t>https://drive.google.com/file/d/1YUN-mtWYs48YBUHJk0C3vJXnhjyZFHyf/view</t>
        </is>
      </c>
    </row>
    <row r="586">
      <c r="A586" s="42" t="inlineStr">
        <is>
          <t>GSC-SL-000583</t>
        </is>
      </c>
      <c r="B586" t="inlineStr">
        <is>
          <t>SZ-SL-000583</t>
        </is>
      </c>
      <c r="C586" t="inlineStr">
        <is>
          <t>WT-SL-MENKOSHI-HIKI</t>
        </is>
      </c>
      <c r="D586" t="inlineStr">
        <is>
          <t>SP-SL-GRILLE-DIA</t>
        </is>
      </c>
      <c r="E586" t="inlineStr">
        <is>
          <t>12805</t>
        </is>
      </c>
      <c r="F586" t="b">
        <v>1</v>
      </c>
      <c r="G586" t="n">
        <v>95</v>
      </c>
      <c r="H586" t="inlineStr">
        <is>
          <t>無印</t>
        </is>
      </c>
      <c r="I586" t="n">
        <v>94</v>
      </c>
      <c r="J586" t="inlineStr">
        <is>
          <t>P94|無印</t>
        </is>
      </c>
      <c r="K586" t="inlineStr">
        <is>
          <t>同一価格表・前頁凡例を継承</t>
        </is>
      </c>
      <c r="L586" t="inlineStr">
        <is>
          <t>202604_LIXIL_サーモスＬ_業務用資料集_完成品価格表.pdf</t>
        </is>
      </c>
      <c r="M586" t="inlineStr">
        <is>
          <t>v0.6：同一価格表セクション内で凡例継承を確定。</t>
        </is>
      </c>
      <c r="N586" t="inlineStr">
        <is>
          <t>https://drive.google.com/file/d/1YUN-mtWYs48YBUHJk0C3vJXnhjyZFHyf/view</t>
        </is>
      </c>
    </row>
    <row r="587">
      <c r="A587" s="42" t="inlineStr">
        <is>
          <t>GSC-SL-000584</t>
        </is>
      </c>
      <c r="B587" t="inlineStr">
        <is>
          <t>SZ-SL-000584</t>
        </is>
      </c>
      <c r="C587" t="inlineStr">
        <is>
          <t>WT-SL-MENKOSHI-HIKI</t>
        </is>
      </c>
      <c r="D587" t="inlineStr">
        <is>
          <t>SP-SL-GRILLE-H</t>
        </is>
      </c>
      <c r="E587" t="inlineStr">
        <is>
          <t>08005</t>
        </is>
      </c>
      <c r="F587" t="b">
        <v>1</v>
      </c>
      <c r="G587" t="n">
        <v>95</v>
      </c>
      <c r="H587" t="inlineStr">
        <is>
          <t>無印</t>
        </is>
      </c>
      <c r="I587" t="n">
        <v>94</v>
      </c>
      <c r="J587" t="inlineStr">
        <is>
          <t>P94|無印</t>
        </is>
      </c>
      <c r="K587" t="inlineStr">
        <is>
          <t>同一価格表・前頁凡例を継承</t>
        </is>
      </c>
      <c r="L587" t="inlineStr">
        <is>
          <t>202604_LIXIL_サーモスＬ_業務用資料集_完成品価格表.pdf</t>
        </is>
      </c>
      <c r="M587" t="inlineStr">
        <is>
          <t>v0.6：同一価格表セクション内で凡例継承を確定。</t>
        </is>
      </c>
      <c r="N587" t="inlineStr">
        <is>
          <t>https://drive.google.com/file/d/1YUN-mtWYs48YBUHJk0C3vJXnhjyZFHyf/view</t>
        </is>
      </c>
    </row>
    <row r="588">
      <c r="A588" s="42" t="inlineStr">
        <is>
          <t>GSC-SL-000585</t>
        </is>
      </c>
      <c r="B588" t="inlineStr">
        <is>
          <t>SZ-SL-000585</t>
        </is>
      </c>
      <c r="C588" t="inlineStr">
        <is>
          <t>WT-SL-MENKOSHI-HIKI</t>
        </is>
      </c>
      <c r="D588" t="inlineStr">
        <is>
          <t>SP-SL-GRILLE-H</t>
        </is>
      </c>
      <c r="E588" t="inlineStr">
        <is>
          <t>08305</t>
        </is>
      </c>
      <c r="F588" t="b">
        <v>1</v>
      </c>
      <c r="G588" t="n">
        <v>95</v>
      </c>
      <c r="H588" t="inlineStr">
        <is>
          <t>無印</t>
        </is>
      </c>
      <c r="I588" t="n">
        <v>94</v>
      </c>
      <c r="J588" t="inlineStr">
        <is>
          <t>P94|無印</t>
        </is>
      </c>
      <c r="K588" t="inlineStr">
        <is>
          <t>同一価格表・前頁凡例を継承</t>
        </is>
      </c>
      <c r="L588" t="inlineStr">
        <is>
          <t>202604_LIXIL_サーモスＬ_業務用資料集_完成品価格表.pdf</t>
        </is>
      </c>
      <c r="M588" t="inlineStr">
        <is>
          <t>v0.6：同一価格表セクション内で凡例継承を確定。</t>
        </is>
      </c>
      <c r="N588" t="inlineStr">
        <is>
          <t>https://drive.google.com/file/d/1YUN-mtWYs48YBUHJk0C3vJXnhjyZFHyf/view</t>
        </is>
      </c>
    </row>
    <row r="589">
      <c r="A589" s="42" t="inlineStr">
        <is>
          <t>GSC-SL-000586</t>
        </is>
      </c>
      <c r="B589" t="inlineStr">
        <is>
          <t>SZ-SL-000586</t>
        </is>
      </c>
      <c r="C589" t="inlineStr">
        <is>
          <t>WT-SL-MENKOSHI-HIKI</t>
        </is>
      </c>
      <c r="D589" t="inlineStr">
        <is>
          <t>SP-SL-GRILLE-H</t>
        </is>
      </c>
      <c r="E589" t="inlineStr">
        <is>
          <t>11405</t>
        </is>
      </c>
      <c r="F589" t="b">
        <v>1</v>
      </c>
      <c r="G589" t="n">
        <v>95</v>
      </c>
      <c r="H589" t="inlineStr">
        <is>
          <t>無印</t>
        </is>
      </c>
      <c r="I589" t="n">
        <v>94</v>
      </c>
      <c r="J589" t="inlineStr">
        <is>
          <t>P94|無印</t>
        </is>
      </c>
      <c r="K589" t="inlineStr">
        <is>
          <t>同一価格表・前頁凡例を継承</t>
        </is>
      </c>
      <c r="L589" t="inlineStr">
        <is>
          <t>202604_LIXIL_サーモスＬ_業務用資料集_完成品価格表.pdf</t>
        </is>
      </c>
      <c r="M589" t="inlineStr">
        <is>
          <t>v0.6：同一価格表セクション内で凡例継承を確定。</t>
        </is>
      </c>
      <c r="N589" t="inlineStr">
        <is>
          <t>https://drive.google.com/file/d/1YUN-mtWYs48YBUHJk0C3vJXnhjyZFHyf/view</t>
        </is>
      </c>
    </row>
    <row r="590">
      <c r="A590" s="42" t="inlineStr">
        <is>
          <t>GSC-SL-000587</t>
        </is>
      </c>
      <c r="B590" t="inlineStr">
        <is>
          <t>SZ-SL-000587</t>
        </is>
      </c>
      <c r="C590" t="inlineStr">
        <is>
          <t>WT-SL-MENKOSHI-HIKI</t>
        </is>
      </c>
      <c r="D590" t="inlineStr">
        <is>
          <t>SP-SL-GRILLE-H</t>
        </is>
      </c>
      <c r="E590" t="inlineStr">
        <is>
          <t>11905</t>
        </is>
      </c>
      <c r="F590" t="b">
        <v>1</v>
      </c>
      <c r="G590" t="n">
        <v>95</v>
      </c>
      <c r="H590" t="inlineStr">
        <is>
          <t>無印</t>
        </is>
      </c>
      <c r="I590" t="n">
        <v>94</v>
      </c>
      <c r="J590" t="inlineStr">
        <is>
          <t>P94|無印</t>
        </is>
      </c>
      <c r="K590" t="inlineStr">
        <is>
          <t>同一価格表・前頁凡例を継承</t>
        </is>
      </c>
      <c r="L590" t="inlineStr">
        <is>
          <t>202604_LIXIL_サーモスＬ_業務用資料集_完成品価格表.pdf</t>
        </is>
      </c>
      <c r="M590" t="inlineStr">
        <is>
          <t>v0.6：同一価格表セクション内で凡例継承を確定。</t>
        </is>
      </c>
      <c r="N590" t="inlineStr">
        <is>
          <t>https://drive.google.com/file/d/1YUN-mtWYs48YBUHJk0C3vJXnhjyZFHyf/view</t>
        </is>
      </c>
    </row>
    <row r="591">
      <c r="A591" s="42" t="inlineStr">
        <is>
          <t>GSC-SL-000588</t>
        </is>
      </c>
      <c r="B591" t="inlineStr">
        <is>
          <t>SZ-SL-000588</t>
        </is>
      </c>
      <c r="C591" t="inlineStr">
        <is>
          <t>WT-SL-MENKOSHI-HIKI</t>
        </is>
      </c>
      <c r="D591" t="inlineStr">
        <is>
          <t>SP-SL-GRILLE-H</t>
        </is>
      </c>
      <c r="E591" t="inlineStr">
        <is>
          <t>12805</t>
        </is>
      </c>
      <c r="F591" t="b">
        <v>1</v>
      </c>
      <c r="G591" t="n">
        <v>95</v>
      </c>
      <c r="H591" t="inlineStr">
        <is>
          <t>無印</t>
        </is>
      </c>
      <c r="I591" t="n">
        <v>94</v>
      </c>
      <c r="J591" t="inlineStr">
        <is>
          <t>P94|無印</t>
        </is>
      </c>
      <c r="K591" t="inlineStr">
        <is>
          <t>同一価格表・前頁凡例を継承</t>
        </is>
      </c>
      <c r="L591" t="inlineStr">
        <is>
          <t>202604_LIXIL_サーモスＬ_業務用資料集_完成品価格表.pdf</t>
        </is>
      </c>
      <c r="M591" t="inlineStr">
        <is>
          <t>v0.6：同一価格表セクション内で凡例継承を確定。</t>
        </is>
      </c>
      <c r="N591" t="inlineStr">
        <is>
          <t>https://drive.google.com/file/d/1YUN-mtWYs48YBUHJk0C3vJXnhjyZFHyf/view</t>
        </is>
      </c>
    </row>
    <row r="592">
      <c r="A592" s="42" t="inlineStr">
        <is>
          <t>GSC-SL-000589</t>
        </is>
      </c>
      <c r="B592" t="inlineStr">
        <is>
          <t>SZ-SL-000589</t>
        </is>
      </c>
      <c r="C592" t="inlineStr">
        <is>
          <t>WT-SL-MENKOSHI-HIKI</t>
        </is>
      </c>
      <c r="D592" t="inlineStr">
        <is>
          <t>SP-SL-GRILLE-IGETA</t>
        </is>
      </c>
      <c r="E592" t="inlineStr">
        <is>
          <t>08005</t>
        </is>
      </c>
      <c r="F592" t="b">
        <v>1</v>
      </c>
      <c r="G592" t="n">
        <v>95</v>
      </c>
      <c r="H592" t="inlineStr">
        <is>
          <t>無印</t>
        </is>
      </c>
      <c r="I592" t="n">
        <v>94</v>
      </c>
      <c r="J592" t="inlineStr">
        <is>
          <t>P94|無印</t>
        </is>
      </c>
      <c r="K592" t="inlineStr">
        <is>
          <t>同一価格表・前頁凡例を継承</t>
        </is>
      </c>
      <c r="L592" t="inlineStr">
        <is>
          <t>202604_LIXIL_サーモスＬ_業務用資料集_完成品価格表.pdf</t>
        </is>
      </c>
      <c r="M592" t="inlineStr">
        <is>
          <t>v0.6：同一価格表セクション内で凡例継承を確定。</t>
        </is>
      </c>
      <c r="N592" t="inlineStr">
        <is>
          <t>https://drive.google.com/file/d/1YUN-mtWYs48YBUHJk0C3vJXnhjyZFHyf/view</t>
        </is>
      </c>
    </row>
    <row r="593">
      <c r="A593" s="42" t="inlineStr">
        <is>
          <t>GSC-SL-000590</t>
        </is>
      </c>
      <c r="B593" t="inlineStr">
        <is>
          <t>SZ-SL-000590</t>
        </is>
      </c>
      <c r="C593" t="inlineStr">
        <is>
          <t>WT-SL-MENKOSHI-HIKI</t>
        </is>
      </c>
      <c r="D593" t="inlineStr">
        <is>
          <t>SP-SL-GRILLE-IGETA</t>
        </is>
      </c>
      <c r="E593" t="inlineStr">
        <is>
          <t>08305</t>
        </is>
      </c>
      <c r="F593" t="b">
        <v>1</v>
      </c>
      <c r="G593" t="n">
        <v>95</v>
      </c>
      <c r="H593" t="inlineStr">
        <is>
          <t>無印</t>
        </is>
      </c>
      <c r="I593" t="n">
        <v>94</v>
      </c>
      <c r="J593" t="inlineStr">
        <is>
          <t>P94|無印</t>
        </is>
      </c>
      <c r="K593" t="inlineStr">
        <is>
          <t>同一価格表・前頁凡例を継承</t>
        </is>
      </c>
      <c r="L593" t="inlineStr">
        <is>
          <t>202604_LIXIL_サーモスＬ_業務用資料集_完成品価格表.pdf</t>
        </is>
      </c>
      <c r="M593" t="inlineStr">
        <is>
          <t>v0.6：同一価格表セクション内で凡例継承を確定。</t>
        </is>
      </c>
      <c r="N593" t="inlineStr">
        <is>
          <t>https://drive.google.com/file/d/1YUN-mtWYs48YBUHJk0C3vJXnhjyZFHyf/view</t>
        </is>
      </c>
    </row>
    <row r="594">
      <c r="A594" s="42" t="inlineStr">
        <is>
          <t>GSC-SL-000591</t>
        </is>
      </c>
      <c r="B594" t="inlineStr">
        <is>
          <t>SZ-SL-000591</t>
        </is>
      </c>
      <c r="C594" t="inlineStr">
        <is>
          <t>WT-SL-MENKOSHI-HIKI</t>
        </is>
      </c>
      <c r="D594" t="inlineStr">
        <is>
          <t>SP-SL-GRILLE-IGETA</t>
        </is>
      </c>
      <c r="E594" t="inlineStr">
        <is>
          <t>11405</t>
        </is>
      </c>
      <c r="F594" t="b">
        <v>1</v>
      </c>
      <c r="G594" t="n">
        <v>95</v>
      </c>
      <c r="H594" t="inlineStr">
        <is>
          <t>無印</t>
        </is>
      </c>
      <c r="I594" t="n">
        <v>94</v>
      </c>
      <c r="J594" t="inlineStr">
        <is>
          <t>P94|無印</t>
        </is>
      </c>
      <c r="K594" t="inlineStr">
        <is>
          <t>同一価格表・前頁凡例を継承</t>
        </is>
      </c>
      <c r="L594" t="inlineStr">
        <is>
          <t>202604_LIXIL_サーモスＬ_業務用資料集_完成品価格表.pdf</t>
        </is>
      </c>
      <c r="M594" t="inlineStr">
        <is>
          <t>v0.6：同一価格表セクション内で凡例継承を確定。</t>
        </is>
      </c>
      <c r="N594" t="inlineStr">
        <is>
          <t>https://drive.google.com/file/d/1YUN-mtWYs48YBUHJk0C3vJXnhjyZFHyf/view</t>
        </is>
      </c>
    </row>
    <row r="595">
      <c r="A595" s="42" t="inlineStr">
        <is>
          <t>GSC-SL-000592</t>
        </is>
      </c>
      <c r="B595" t="inlineStr">
        <is>
          <t>SZ-SL-000592</t>
        </is>
      </c>
      <c r="C595" t="inlineStr">
        <is>
          <t>WT-SL-MENKOSHI-HIKI</t>
        </is>
      </c>
      <c r="D595" t="inlineStr">
        <is>
          <t>SP-SL-GRILLE-IGETA</t>
        </is>
      </c>
      <c r="E595" t="inlineStr">
        <is>
          <t>11905</t>
        </is>
      </c>
      <c r="F595" t="b">
        <v>1</v>
      </c>
      <c r="G595" t="n">
        <v>95</v>
      </c>
      <c r="H595" t="inlineStr">
        <is>
          <t>無印</t>
        </is>
      </c>
      <c r="I595" t="n">
        <v>94</v>
      </c>
      <c r="J595" t="inlineStr">
        <is>
          <t>P94|無印</t>
        </is>
      </c>
      <c r="K595" t="inlineStr">
        <is>
          <t>同一価格表・前頁凡例を継承</t>
        </is>
      </c>
      <c r="L595" t="inlineStr">
        <is>
          <t>202604_LIXIL_サーモスＬ_業務用資料集_完成品価格表.pdf</t>
        </is>
      </c>
      <c r="M595" t="inlineStr">
        <is>
          <t>v0.6：同一価格表セクション内で凡例継承を確定。</t>
        </is>
      </c>
      <c r="N595" t="inlineStr">
        <is>
          <t>https://drive.google.com/file/d/1YUN-mtWYs48YBUHJk0C3vJXnhjyZFHyf/view</t>
        </is>
      </c>
    </row>
    <row r="596">
      <c r="A596" s="42" t="inlineStr">
        <is>
          <t>GSC-SL-000593</t>
        </is>
      </c>
      <c r="B596" t="inlineStr">
        <is>
          <t>SZ-SL-000593</t>
        </is>
      </c>
      <c r="C596" t="inlineStr">
        <is>
          <t>WT-SL-MENKOSHI-HIKI</t>
        </is>
      </c>
      <c r="D596" t="inlineStr">
        <is>
          <t>SP-SL-GRILLE-IGETA</t>
        </is>
      </c>
      <c r="E596" t="inlineStr">
        <is>
          <t>12805</t>
        </is>
      </c>
      <c r="F596" t="b">
        <v>1</v>
      </c>
      <c r="G596" t="n">
        <v>95</v>
      </c>
      <c r="H596" t="inlineStr">
        <is>
          <t>無印</t>
        </is>
      </c>
      <c r="I596" t="n">
        <v>94</v>
      </c>
      <c r="J596" t="inlineStr">
        <is>
          <t>P94|無印</t>
        </is>
      </c>
      <c r="K596" t="inlineStr">
        <is>
          <t>同一価格表・前頁凡例を継承</t>
        </is>
      </c>
      <c r="L596" t="inlineStr">
        <is>
          <t>202604_LIXIL_サーモスＬ_業務用資料集_完成品価格表.pdf</t>
        </is>
      </c>
      <c r="M596" t="inlineStr">
        <is>
          <t>v0.6：同一価格表セクション内で凡例継承を確定。</t>
        </is>
      </c>
      <c r="N596" t="inlineStr">
        <is>
          <t>https://drive.google.com/file/d/1YUN-mtWYs48YBUHJk0C3vJXnhjyZFHyf/view</t>
        </is>
      </c>
    </row>
    <row r="597">
      <c r="A597" s="42" t="inlineStr">
        <is>
          <t>GSC-SL-000594</t>
        </is>
      </c>
      <c r="B597" t="inlineStr">
        <is>
          <t>SZ-SL-000594</t>
        </is>
      </c>
      <c r="C597" t="inlineStr">
        <is>
          <t>WT-SL-MENKOSHI-HIKI</t>
        </is>
      </c>
      <c r="D597" t="inlineStr">
        <is>
          <t>SP-SL-GRILLE-V</t>
        </is>
      </c>
      <c r="E597" t="inlineStr">
        <is>
          <t>08005</t>
        </is>
      </c>
      <c r="F597" t="b">
        <v>1</v>
      </c>
      <c r="G597" t="n">
        <v>95</v>
      </c>
      <c r="H597" t="inlineStr">
        <is>
          <t>無印</t>
        </is>
      </c>
      <c r="I597" t="n">
        <v>94</v>
      </c>
      <c r="J597" t="inlineStr">
        <is>
          <t>P94|無印</t>
        </is>
      </c>
      <c r="K597" t="inlineStr">
        <is>
          <t>同一価格表・前頁凡例を継承</t>
        </is>
      </c>
      <c r="L597" t="inlineStr">
        <is>
          <t>202604_LIXIL_サーモスＬ_業務用資料集_完成品価格表.pdf</t>
        </is>
      </c>
      <c r="M597" t="inlineStr">
        <is>
          <t>v0.6：同一価格表セクション内で凡例継承を確定。</t>
        </is>
      </c>
      <c r="N597" t="inlineStr">
        <is>
          <t>https://drive.google.com/file/d/1YUN-mtWYs48YBUHJk0C3vJXnhjyZFHyf/view</t>
        </is>
      </c>
    </row>
    <row r="598">
      <c r="A598" s="42" t="inlineStr">
        <is>
          <t>GSC-SL-000595</t>
        </is>
      </c>
      <c r="B598" t="inlineStr">
        <is>
          <t>SZ-SL-000595</t>
        </is>
      </c>
      <c r="C598" t="inlineStr">
        <is>
          <t>WT-SL-MENKOSHI-HIKI</t>
        </is>
      </c>
      <c r="D598" t="inlineStr">
        <is>
          <t>SP-SL-GRILLE-V</t>
        </is>
      </c>
      <c r="E598" t="inlineStr">
        <is>
          <t>08305</t>
        </is>
      </c>
      <c r="F598" t="b">
        <v>1</v>
      </c>
      <c r="G598" t="n">
        <v>95</v>
      </c>
      <c r="H598" t="inlineStr">
        <is>
          <t>無印</t>
        </is>
      </c>
      <c r="I598" t="n">
        <v>94</v>
      </c>
      <c r="J598" t="inlineStr">
        <is>
          <t>P94|無印</t>
        </is>
      </c>
      <c r="K598" t="inlineStr">
        <is>
          <t>同一価格表・前頁凡例を継承</t>
        </is>
      </c>
      <c r="L598" t="inlineStr">
        <is>
          <t>202604_LIXIL_サーモスＬ_業務用資料集_完成品価格表.pdf</t>
        </is>
      </c>
      <c r="M598" t="inlineStr">
        <is>
          <t>v0.6：同一価格表セクション内で凡例継承を確定。</t>
        </is>
      </c>
      <c r="N598" t="inlineStr">
        <is>
          <t>https://drive.google.com/file/d/1YUN-mtWYs48YBUHJk0C3vJXnhjyZFHyf/view</t>
        </is>
      </c>
    </row>
    <row r="599">
      <c r="A599" s="42" t="inlineStr">
        <is>
          <t>GSC-SL-000596</t>
        </is>
      </c>
      <c r="B599" t="inlineStr">
        <is>
          <t>SZ-SL-000596</t>
        </is>
      </c>
      <c r="C599" t="inlineStr">
        <is>
          <t>WT-SL-MENKOSHI-HIKI</t>
        </is>
      </c>
      <c r="D599" t="inlineStr">
        <is>
          <t>SP-SL-GRILLE-V</t>
        </is>
      </c>
      <c r="E599" t="inlineStr">
        <is>
          <t>11405</t>
        </is>
      </c>
      <c r="F599" t="b">
        <v>1</v>
      </c>
      <c r="G599" t="n">
        <v>95</v>
      </c>
      <c r="H599" t="inlineStr">
        <is>
          <t>無印</t>
        </is>
      </c>
      <c r="I599" t="n">
        <v>94</v>
      </c>
      <c r="J599" t="inlineStr">
        <is>
          <t>P94|無印</t>
        </is>
      </c>
      <c r="K599" t="inlineStr">
        <is>
          <t>同一価格表・前頁凡例を継承</t>
        </is>
      </c>
      <c r="L599" t="inlineStr">
        <is>
          <t>202604_LIXIL_サーモスＬ_業務用資料集_完成品価格表.pdf</t>
        </is>
      </c>
      <c r="M599" t="inlineStr">
        <is>
          <t>v0.6：同一価格表セクション内で凡例継承を確定。</t>
        </is>
      </c>
      <c r="N599" t="inlineStr">
        <is>
          <t>https://drive.google.com/file/d/1YUN-mtWYs48YBUHJk0C3vJXnhjyZFHyf/view</t>
        </is>
      </c>
    </row>
    <row r="600">
      <c r="A600" s="42" t="inlineStr">
        <is>
          <t>GSC-SL-000597</t>
        </is>
      </c>
      <c r="B600" t="inlineStr">
        <is>
          <t>SZ-SL-000597</t>
        </is>
      </c>
      <c r="C600" t="inlineStr">
        <is>
          <t>WT-SL-MENKOSHI-HIKI</t>
        </is>
      </c>
      <c r="D600" t="inlineStr">
        <is>
          <t>SP-SL-GRILLE-V</t>
        </is>
      </c>
      <c r="E600" t="inlineStr">
        <is>
          <t>11905</t>
        </is>
      </c>
      <c r="F600" t="b">
        <v>1</v>
      </c>
      <c r="G600" t="n">
        <v>95</v>
      </c>
      <c r="H600" t="inlineStr">
        <is>
          <t>無印</t>
        </is>
      </c>
      <c r="I600" t="n">
        <v>94</v>
      </c>
      <c r="J600" t="inlineStr">
        <is>
          <t>P94|無印</t>
        </is>
      </c>
      <c r="K600" t="inlineStr">
        <is>
          <t>同一価格表・前頁凡例を継承</t>
        </is>
      </c>
      <c r="L600" t="inlineStr">
        <is>
          <t>202604_LIXIL_サーモスＬ_業務用資料集_完成品価格表.pdf</t>
        </is>
      </c>
      <c r="M600" t="inlineStr">
        <is>
          <t>v0.6：同一価格表セクション内で凡例継承を確定。</t>
        </is>
      </c>
      <c r="N600" t="inlineStr">
        <is>
          <t>https://drive.google.com/file/d/1YUN-mtWYs48YBUHJk0C3vJXnhjyZFHyf/view</t>
        </is>
      </c>
    </row>
    <row r="601">
      <c r="A601" s="42" t="inlineStr">
        <is>
          <t>GSC-SL-000598</t>
        </is>
      </c>
      <c r="B601" t="inlineStr">
        <is>
          <t>SZ-SL-000598</t>
        </is>
      </c>
      <c r="C601" t="inlineStr">
        <is>
          <t>WT-SL-MENKOSHI-HIKI</t>
        </is>
      </c>
      <c r="D601" t="inlineStr">
        <is>
          <t>SP-SL-GRILLE-V</t>
        </is>
      </c>
      <c r="E601" t="inlineStr">
        <is>
          <t>12805</t>
        </is>
      </c>
      <c r="F601" t="b">
        <v>1</v>
      </c>
      <c r="G601" t="n">
        <v>95</v>
      </c>
      <c r="H601" t="inlineStr">
        <is>
          <t>無印</t>
        </is>
      </c>
      <c r="I601" t="n">
        <v>94</v>
      </c>
      <c r="J601" t="inlineStr">
        <is>
          <t>P94|無印</t>
        </is>
      </c>
      <c r="K601" t="inlineStr">
        <is>
          <t>同一価格表・前頁凡例を継承</t>
        </is>
      </c>
      <c r="L601" t="inlineStr">
        <is>
          <t>202604_LIXIL_サーモスＬ_業務用資料集_完成品価格表.pdf</t>
        </is>
      </c>
      <c r="M601" t="inlineStr">
        <is>
          <t>v0.6：同一価格表セクション内で凡例継承を確定。</t>
        </is>
      </c>
      <c r="N601" t="inlineStr">
        <is>
          <t>https://drive.google.com/file/d/1YUN-mtWYs48YBUHJk0C3vJXnhjyZFHyf/view</t>
        </is>
      </c>
    </row>
    <row r="602">
      <c r="A602" s="42" t="inlineStr">
        <is>
          <t>GSC-SL-000599</t>
        </is>
      </c>
      <c r="B602" t="inlineStr">
        <is>
          <t>SZ-SL-000599</t>
        </is>
      </c>
      <c r="C602" t="inlineStr">
        <is>
          <t>WT-SL-MENKOSHI-HIKI</t>
        </is>
      </c>
      <c r="D602" t="inlineStr">
        <is>
          <t>SP-SL-GRILLE-DIA</t>
        </is>
      </c>
      <c r="E602" t="inlineStr">
        <is>
          <t>13305</t>
        </is>
      </c>
      <c r="F602" t="b">
        <v>1</v>
      </c>
      <c r="G602" t="n">
        <v>96</v>
      </c>
      <c r="H602" t="inlineStr">
        <is>
          <t>無印</t>
        </is>
      </c>
      <c r="I602" t="n">
        <v>96</v>
      </c>
      <c r="J602" t="inlineStr">
        <is>
          <t>P96|無印</t>
        </is>
      </c>
      <c r="K602" t="inlineStr">
        <is>
          <t>同頁凡例へ直接連動</t>
        </is>
      </c>
      <c r="L602" t="inlineStr">
        <is>
          <t>202604_LIXIL_サーモスＬ_業務用資料集_完成品価格表.pdf</t>
        </is>
      </c>
      <c r="M602" t="inlineStr">
        <is>
          <t>v0.6：同一価格表セクション内で凡例継承を確定。</t>
        </is>
      </c>
      <c r="N602" t="inlineStr">
        <is>
          <t>https://drive.google.com/file/d/1YUN-mtWYs48YBUHJk0C3vJXnhjyZFHyf/view</t>
        </is>
      </c>
    </row>
    <row r="603">
      <c r="A603" s="42" t="inlineStr">
        <is>
          <t>GSC-SL-000600</t>
        </is>
      </c>
      <c r="B603" t="inlineStr">
        <is>
          <t>SZ-SL-000600</t>
        </is>
      </c>
      <c r="C603" t="inlineStr">
        <is>
          <t>WT-SL-MENKOSHI-HIKI</t>
        </is>
      </c>
      <c r="D603" t="inlineStr">
        <is>
          <t>SP-SL-GRILLE-DIA</t>
        </is>
      </c>
      <c r="E603" t="inlineStr">
        <is>
          <t>15005</t>
        </is>
      </c>
      <c r="F603" t="b">
        <v>1</v>
      </c>
      <c r="G603" t="n">
        <v>96</v>
      </c>
      <c r="H603" t="inlineStr">
        <is>
          <t>無印</t>
        </is>
      </c>
      <c r="I603" t="n">
        <v>96</v>
      </c>
      <c r="J603" t="inlineStr">
        <is>
          <t>P96|無印</t>
        </is>
      </c>
      <c r="K603" t="inlineStr">
        <is>
          <t>同頁凡例へ直接連動</t>
        </is>
      </c>
      <c r="L603" t="inlineStr">
        <is>
          <t>202604_LIXIL_サーモスＬ_業務用資料集_完成品価格表.pdf</t>
        </is>
      </c>
      <c r="M603" t="inlineStr">
        <is>
          <t>v0.6：同一価格表セクション内で凡例継承を確定。</t>
        </is>
      </c>
      <c r="N603" t="inlineStr">
        <is>
          <t>https://drive.google.com/file/d/1YUN-mtWYs48YBUHJk0C3vJXnhjyZFHyf/view</t>
        </is>
      </c>
    </row>
    <row r="604">
      <c r="A604" s="42" t="inlineStr">
        <is>
          <t>GSC-SL-000601</t>
        </is>
      </c>
      <c r="B604" t="inlineStr">
        <is>
          <t>SZ-SL-000601</t>
        </is>
      </c>
      <c r="C604" t="inlineStr">
        <is>
          <t>WT-SL-MENKOSHI-HIKI</t>
        </is>
      </c>
      <c r="D604" t="inlineStr">
        <is>
          <t>SP-SL-GRILLE-DIA</t>
        </is>
      </c>
      <c r="E604" t="inlineStr">
        <is>
          <t>16005</t>
        </is>
      </c>
      <c r="F604" t="b">
        <v>1</v>
      </c>
      <c r="G604" t="n">
        <v>96</v>
      </c>
      <c r="H604" t="inlineStr">
        <is>
          <t>無印</t>
        </is>
      </c>
      <c r="I604" t="n">
        <v>96</v>
      </c>
      <c r="J604" t="inlineStr">
        <is>
          <t>P96|無印</t>
        </is>
      </c>
      <c r="K604" t="inlineStr">
        <is>
          <t>同頁凡例へ直接連動</t>
        </is>
      </c>
      <c r="L604" t="inlineStr">
        <is>
          <t>202604_LIXIL_サーモスＬ_業務用資料集_完成品価格表.pdf</t>
        </is>
      </c>
      <c r="M604" t="inlineStr">
        <is>
          <t>v0.6：同一価格表セクション内で凡例継承を確定。</t>
        </is>
      </c>
      <c r="N604" t="inlineStr">
        <is>
          <t>https://drive.google.com/file/d/1YUN-mtWYs48YBUHJk0C3vJXnhjyZFHyf/view</t>
        </is>
      </c>
    </row>
    <row r="605">
      <c r="A605" s="42" t="inlineStr">
        <is>
          <t>GSC-SL-000602</t>
        </is>
      </c>
      <c r="B605" t="inlineStr">
        <is>
          <t>SZ-SL-000602</t>
        </is>
      </c>
      <c r="C605" t="inlineStr">
        <is>
          <t>WT-SL-MENKOSHI-HIKI</t>
        </is>
      </c>
      <c r="D605" t="inlineStr">
        <is>
          <t>SP-SL-GRILLE-DIA</t>
        </is>
      </c>
      <c r="E605" t="inlineStr">
        <is>
          <t>16505</t>
        </is>
      </c>
      <c r="F605" t="b">
        <v>1</v>
      </c>
      <c r="G605" t="n">
        <v>96</v>
      </c>
      <c r="H605" t="inlineStr">
        <is>
          <t>無印</t>
        </is>
      </c>
      <c r="I605" t="n">
        <v>96</v>
      </c>
      <c r="J605" t="inlineStr">
        <is>
          <t>P96|無印</t>
        </is>
      </c>
      <c r="K605" t="inlineStr">
        <is>
          <t>同頁凡例へ直接連動</t>
        </is>
      </c>
      <c r="L605" t="inlineStr">
        <is>
          <t>202604_LIXIL_サーモスＬ_業務用資料集_完成品価格表.pdf</t>
        </is>
      </c>
      <c r="M605" t="inlineStr">
        <is>
          <t>v0.6：同一価格表セクション内で凡例継承を確定。</t>
        </is>
      </c>
      <c r="N605" t="inlineStr">
        <is>
          <t>https://drive.google.com/file/d/1YUN-mtWYs48YBUHJk0C3vJXnhjyZFHyf/view</t>
        </is>
      </c>
    </row>
    <row r="606">
      <c r="A606" s="42" t="inlineStr">
        <is>
          <t>GSC-SL-000603</t>
        </is>
      </c>
      <c r="B606" t="inlineStr">
        <is>
          <t>SZ-SL-000603</t>
        </is>
      </c>
      <c r="C606" t="inlineStr">
        <is>
          <t>WT-SL-MENKOSHI-HIKI</t>
        </is>
      </c>
      <c r="D606" t="inlineStr">
        <is>
          <t>SP-SL-GRILLE-H</t>
        </is>
      </c>
      <c r="E606" t="inlineStr">
        <is>
          <t>13305</t>
        </is>
      </c>
      <c r="F606" t="b">
        <v>1</v>
      </c>
      <c r="G606" t="n">
        <v>96</v>
      </c>
      <c r="H606" t="inlineStr">
        <is>
          <t>無印</t>
        </is>
      </c>
      <c r="I606" t="n">
        <v>96</v>
      </c>
      <c r="J606" t="inlineStr">
        <is>
          <t>P96|無印</t>
        </is>
      </c>
      <c r="K606" t="inlineStr">
        <is>
          <t>同頁凡例へ直接連動</t>
        </is>
      </c>
      <c r="L606" t="inlineStr">
        <is>
          <t>202604_LIXIL_サーモスＬ_業務用資料集_完成品価格表.pdf</t>
        </is>
      </c>
      <c r="M606" t="inlineStr">
        <is>
          <t>v0.6：同一価格表セクション内で凡例継承を確定。</t>
        </is>
      </c>
      <c r="N606" t="inlineStr">
        <is>
          <t>https://drive.google.com/file/d/1YUN-mtWYs48YBUHJk0C3vJXnhjyZFHyf/view</t>
        </is>
      </c>
    </row>
    <row r="607">
      <c r="A607" s="42" t="inlineStr">
        <is>
          <t>GSC-SL-000604</t>
        </is>
      </c>
      <c r="B607" t="inlineStr">
        <is>
          <t>SZ-SL-000604</t>
        </is>
      </c>
      <c r="C607" t="inlineStr">
        <is>
          <t>WT-SL-MENKOSHI-HIKI</t>
        </is>
      </c>
      <c r="D607" t="inlineStr">
        <is>
          <t>SP-SL-GRILLE-H</t>
        </is>
      </c>
      <c r="E607" t="inlineStr">
        <is>
          <t>15005</t>
        </is>
      </c>
      <c r="F607" t="b">
        <v>0</v>
      </c>
      <c r="G607" t="n">
        <v>96</v>
      </c>
      <c r="H607" t="inlineStr">
        <is>
          <t>無印</t>
        </is>
      </c>
      <c r="I607" t="n">
        <v>96</v>
      </c>
      <c r="J607" t="inlineStr">
        <is>
          <t>P96|無印</t>
        </is>
      </c>
      <c r="K607" t="inlineStr">
        <is>
          <t>同頁凡例へ直接連動</t>
        </is>
      </c>
      <c r="L607" t="inlineStr">
        <is>
          <t>202604_LIXIL_サーモスＬ_業務用資料集_完成品価格表.pdf</t>
        </is>
      </c>
      <c r="M607" t="inlineStr">
        <is>
          <t>v0.6：同一価格表セクション内で凡例継承を確定。</t>
        </is>
      </c>
      <c r="N607" t="inlineStr">
        <is>
          <t>https://drive.google.com/file/d/1YUN-mtWYs48YBUHJk0C3vJXnhjyZFHyf/view</t>
        </is>
      </c>
    </row>
    <row r="608">
      <c r="A608" s="42" t="inlineStr">
        <is>
          <t>GSC-SL-000605</t>
        </is>
      </c>
      <c r="B608" t="inlineStr">
        <is>
          <t>SZ-SL-000605</t>
        </is>
      </c>
      <c r="C608" t="inlineStr">
        <is>
          <t>WT-SL-MENKOSHI-HIKI</t>
        </is>
      </c>
      <c r="D608" t="inlineStr">
        <is>
          <t>SP-SL-GRILLE-H</t>
        </is>
      </c>
      <c r="E608" t="inlineStr">
        <is>
          <t>16005</t>
        </is>
      </c>
      <c r="F608" t="b">
        <v>0</v>
      </c>
      <c r="G608" t="n">
        <v>96</v>
      </c>
      <c r="H608" t="inlineStr">
        <is>
          <t>無印</t>
        </is>
      </c>
      <c r="I608" t="n">
        <v>96</v>
      </c>
      <c r="J608" t="inlineStr">
        <is>
          <t>P96|無印</t>
        </is>
      </c>
      <c r="K608" t="inlineStr">
        <is>
          <t>同頁凡例へ直接連動</t>
        </is>
      </c>
      <c r="L608" t="inlineStr">
        <is>
          <t>202604_LIXIL_サーモスＬ_業務用資料集_完成品価格表.pdf</t>
        </is>
      </c>
      <c r="M608" t="inlineStr">
        <is>
          <t>v0.6：同一価格表セクション内で凡例継承を確定。</t>
        </is>
      </c>
      <c r="N608" t="inlineStr">
        <is>
          <t>https://drive.google.com/file/d/1YUN-mtWYs48YBUHJk0C3vJXnhjyZFHyf/view</t>
        </is>
      </c>
    </row>
    <row r="609">
      <c r="A609" s="42" t="inlineStr">
        <is>
          <t>GSC-SL-000606</t>
        </is>
      </c>
      <c r="B609" t="inlineStr">
        <is>
          <t>SZ-SL-000606</t>
        </is>
      </c>
      <c r="C609" t="inlineStr">
        <is>
          <t>WT-SL-MENKOSHI-HIKI</t>
        </is>
      </c>
      <c r="D609" t="inlineStr">
        <is>
          <t>SP-SL-GRILLE-H</t>
        </is>
      </c>
      <c r="E609" t="inlineStr">
        <is>
          <t>16505</t>
        </is>
      </c>
      <c r="F609" t="b">
        <v>0</v>
      </c>
      <c r="G609" t="n">
        <v>96</v>
      </c>
      <c r="H609" t="inlineStr">
        <is>
          <t>無印</t>
        </is>
      </c>
      <c r="I609" t="n">
        <v>96</v>
      </c>
      <c r="J609" t="inlineStr">
        <is>
          <t>P96|無印</t>
        </is>
      </c>
      <c r="K609" t="inlineStr">
        <is>
          <t>同頁凡例へ直接連動</t>
        </is>
      </c>
      <c r="L609" t="inlineStr">
        <is>
          <t>202604_LIXIL_サーモスＬ_業務用資料集_完成品価格表.pdf</t>
        </is>
      </c>
      <c r="M609" t="inlineStr">
        <is>
          <t>v0.6：同一価格表セクション内で凡例継承を確定。</t>
        </is>
      </c>
      <c r="N609" t="inlineStr">
        <is>
          <t>https://drive.google.com/file/d/1YUN-mtWYs48YBUHJk0C3vJXnhjyZFHyf/view</t>
        </is>
      </c>
    </row>
    <row r="610">
      <c r="A610" s="42" t="inlineStr">
        <is>
          <t>GSC-SL-000607</t>
        </is>
      </c>
      <c r="B610" t="inlineStr">
        <is>
          <t>SZ-SL-000607</t>
        </is>
      </c>
      <c r="C610" t="inlineStr">
        <is>
          <t>WT-SL-MENKOSHI-HIKI</t>
        </is>
      </c>
      <c r="D610" t="inlineStr">
        <is>
          <t>SP-SL-GRILLE-IGETA</t>
        </is>
      </c>
      <c r="E610" t="inlineStr">
        <is>
          <t>13305</t>
        </is>
      </c>
      <c r="F610" t="b">
        <v>1</v>
      </c>
      <c r="G610" t="n">
        <v>96</v>
      </c>
      <c r="H610" t="inlineStr">
        <is>
          <t>無印</t>
        </is>
      </c>
      <c r="I610" t="n">
        <v>96</v>
      </c>
      <c r="J610" t="inlineStr">
        <is>
          <t>P96|無印</t>
        </is>
      </c>
      <c r="K610" t="inlineStr">
        <is>
          <t>同頁凡例へ直接連動</t>
        </is>
      </c>
      <c r="L610" t="inlineStr">
        <is>
          <t>202604_LIXIL_サーモスＬ_業務用資料集_完成品価格表.pdf</t>
        </is>
      </c>
      <c r="M610" t="inlineStr">
        <is>
          <t>v0.6：同一価格表セクション内で凡例継承を確定。</t>
        </is>
      </c>
      <c r="N610" t="inlineStr">
        <is>
          <t>https://drive.google.com/file/d/1YUN-mtWYs48YBUHJk0C3vJXnhjyZFHyf/view</t>
        </is>
      </c>
    </row>
    <row r="611">
      <c r="A611" s="42" t="inlineStr">
        <is>
          <t>GSC-SL-000608</t>
        </is>
      </c>
      <c r="B611" t="inlineStr">
        <is>
          <t>SZ-SL-000608</t>
        </is>
      </c>
      <c r="C611" t="inlineStr">
        <is>
          <t>WT-SL-MENKOSHI-HIKI</t>
        </is>
      </c>
      <c r="D611" t="inlineStr">
        <is>
          <t>SP-SL-GRILLE-IGETA</t>
        </is>
      </c>
      <c r="E611" t="inlineStr">
        <is>
          <t>15005</t>
        </is>
      </c>
      <c r="F611" t="b">
        <v>1</v>
      </c>
      <c r="G611" t="n">
        <v>96</v>
      </c>
      <c r="H611" t="inlineStr">
        <is>
          <t>無印</t>
        </is>
      </c>
      <c r="I611" t="n">
        <v>96</v>
      </c>
      <c r="J611" t="inlineStr">
        <is>
          <t>P96|無印</t>
        </is>
      </c>
      <c r="K611" t="inlineStr">
        <is>
          <t>同頁凡例へ直接連動</t>
        </is>
      </c>
      <c r="L611" t="inlineStr">
        <is>
          <t>202604_LIXIL_サーモスＬ_業務用資料集_完成品価格表.pdf</t>
        </is>
      </c>
      <c r="M611" t="inlineStr">
        <is>
          <t>v0.6：同一価格表セクション内で凡例継承を確定。</t>
        </is>
      </c>
      <c r="N611" t="inlineStr">
        <is>
          <t>https://drive.google.com/file/d/1YUN-mtWYs48YBUHJk0C3vJXnhjyZFHyf/view</t>
        </is>
      </c>
    </row>
    <row r="612">
      <c r="A612" s="42" t="inlineStr">
        <is>
          <t>GSC-SL-000609</t>
        </is>
      </c>
      <c r="B612" t="inlineStr">
        <is>
          <t>SZ-SL-000609</t>
        </is>
      </c>
      <c r="C612" t="inlineStr">
        <is>
          <t>WT-SL-MENKOSHI-HIKI</t>
        </is>
      </c>
      <c r="D612" t="inlineStr">
        <is>
          <t>SP-SL-GRILLE-IGETA</t>
        </is>
      </c>
      <c r="E612" t="inlineStr">
        <is>
          <t>16005</t>
        </is>
      </c>
      <c r="F612" t="b">
        <v>1</v>
      </c>
      <c r="G612" t="n">
        <v>96</v>
      </c>
      <c r="H612" t="inlineStr">
        <is>
          <t>無印</t>
        </is>
      </c>
      <c r="I612" t="n">
        <v>96</v>
      </c>
      <c r="J612" t="inlineStr">
        <is>
          <t>P96|無印</t>
        </is>
      </c>
      <c r="K612" t="inlineStr">
        <is>
          <t>同頁凡例へ直接連動</t>
        </is>
      </c>
      <c r="L612" t="inlineStr">
        <is>
          <t>202604_LIXIL_サーモスＬ_業務用資料集_完成品価格表.pdf</t>
        </is>
      </c>
      <c r="M612" t="inlineStr">
        <is>
          <t>v0.6：同一価格表セクション内で凡例継承を確定。</t>
        </is>
      </c>
      <c r="N612" t="inlineStr">
        <is>
          <t>https://drive.google.com/file/d/1YUN-mtWYs48YBUHJk0C3vJXnhjyZFHyf/view</t>
        </is>
      </c>
    </row>
    <row r="613">
      <c r="A613" s="42" t="inlineStr">
        <is>
          <t>GSC-SL-000610</t>
        </is>
      </c>
      <c r="B613" t="inlineStr">
        <is>
          <t>SZ-SL-000610</t>
        </is>
      </c>
      <c r="C613" t="inlineStr">
        <is>
          <t>WT-SL-MENKOSHI-HIKI</t>
        </is>
      </c>
      <c r="D613" t="inlineStr">
        <is>
          <t>SP-SL-GRILLE-IGETA</t>
        </is>
      </c>
      <c r="E613" t="inlineStr">
        <is>
          <t>16505</t>
        </is>
      </c>
      <c r="F613" t="b">
        <v>1</v>
      </c>
      <c r="G613" t="n">
        <v>96</v>
      </c>
      <c r="H613" t="inlineStr">
        <is>
          <t>無印</t>
        </is>
      </c>
      <c r="I613" t="n">
        <v>96</v>
      </c>
      <c r="J613" t="inlineStr">
        <is>
          <t>P96|無印</t>
        </is>
      </c>
      <c r="K613" t="inlineStr">
        <is>
          <t>同頁凡例へ直接連動</t>
        </is>
      </c>
      <c r="L613" t="inlineStr">
        <is>
          <t>202604_LIXIL_サーモスＬ_業務用資料集_完成品価格表.pdf</t>
        </is>
      </c>
      <c r="M613" t="inlineStr">
        <is>
          <t>v0.6：同一価格表セクション内で凡例継承を確定。</t>
        </is>
      </c>
      <c r="N613" t="inlineStr">
        <is>
          <t>https://drive.google.com/file/d/1YUN-mtWYs48YBUHJk0C3vJXnhjyZFHyf/view</t>
        </is>
      </c>
    </row>
    <row r="614">
      <c r="A614" s="42" t="inlineStr">
        <is>
          <t>GSC-SL-000611</t>
        </is>
      </c>
      <c r="B614" t="inlineStr">
        <is>
          <t>SZ-SL-000611</t>
        </is>
      </c>
      <c r="C614" t="inlineStr">
        <is>
          <t>WT-SL-MENKOSHI-HIKI</t>
        </is>
      </c>
      <c r="D614" t="inlineStr">
        <is>
          <t>SP-SL-GRILLE-V</t>
        </is>
      </c>
      <c r="E614" t="inlineStr">
        <is>
          <t>13305</t>
        </is>
      </c>
      <c r="F614" t="b">
        <v>1</v>
      </c>
      <c r="G614" t="n">
        <v>96</v>
      </c>
      <c r="H614" t="inlineStr">
        <is>
          <t>無印</t>
        </is>
      </c>
      <c r="I614" t="n">
        <v>96</v>
      </c>
      <c r="J614" t="inlineStr">
        <is>
          <t>P96|無印</t>
        </is>
      </c>
      <c r="K614" t="inlineStr">
        <is>
          <t>同頁凡例へ直接連動</t>
        </is>
      </c>
      <c r="L614" t="inlineStr">
        <is>
          <t>202604_LIXIL_サーモスＬ_業務用資料集_完成品価格表.pdf</t>
        </is>
      </c>
      <c r="M614" t="inlineStr">
        <is>
          <t>v0.6：同一価格表セクション内で凡例継承を確定。</t>
        </is>
      </c>
      <c r="N614" t="inlineStr">
        <is>
          <t>https://drive.google.com/file/d/1YUN-mtWYs48YBUHJk0C3vJXnhjyZFHyf/view</t>
        </is>
      </c>
    </row>
    <row r="615">
      <c r="A615" s="42" t="inlineStr">
        <is>
          <t>GSC-SL-000612</t>
        </is>
      </c>
      <c r="B615" t="inlineStr">
        <is>
          <t>SZ-SL-000612</t>
        </is>
      </c>
      <c r="C615" t="inlineStr">
        <is>
          <t>WT-SL-MENKOSHI-HIKI</t>
        </is>
      </c>
      <c r="D615" t="inlineStr">
        <is>
          <t>SP-SL-GRILLE-V</t>
        </is>
      </c>
      <c r="E615" t="inlineStr">
        <is>
          <t>15005</t>
        </is>
      </c>
      <c r="F615" t="b">
        <v>1</v>
      </c>
      <c r="G615" t="n">
        <v>96</v>
      </c>
      <c r="H615" t="inlineStr">
        <is>
          <t>無印</t>
        </is>
      </c>
      <c r="I615" t="n">
        <v>96</v>
      </c>
      <c r="J615" t="inlineStr">
        <is>
          <t>P96|無印</t>
        </is>
      </c>
      <c r="K615" t="inlineStr">
        <is>
          <t>同頁凡例へ直接連動</t>
        </is>
      </c>
      <c r="L615" t="inlineStr">
        <is>
          <t>202604_LIXIL_サーモスＬ_業務用資料集_完成品価格表.pdf</t>
        </is>
      </c>
      <c r="M615" t="inlineStr">
        <is>
          <t>v0.6：同一価格表セクション内で凡例継承を確定。</t>
        </is>
      </c>
      <c r="N615" t="inlineStr">
        <is>
          <t>https://drive.google.com/file/d/1YUN-mtWYs48YBUHJk0C3vJXnhjyZFHyf/view</t>
        </is>
      </c>
    </row>
    <row r="616">
      <c r="A616" s="42" t="inlineStr">
        <is>
          <t>GSC-SL-000613</t>
        </is>
      </c>
      <c r="B616" t="inlineStr">
        <is>
          <t>SZ-SL-000613</t>
        </is>
      </c>
      <c r="C616" t="inlineStr">
        <is>
          <t>WT-SL-MENKOSHI-HIKI</t>
        </is>
      </c>
      <c r="D616" t="inlineStr">
        <is>
          <t>SP-SL-GRILLE-V</t>
        </is>
      </c>
      <c r="E616" t="inlineStr">
        <is>
          <t>16005</t>
        </is>
      </c>
      <c r="F616" t="b">
        <v>1</v>
      </c>
      <c r="G616" t="n">
        <v>96</v>
      </c>
      <c r="H616" t="inlineStr">
        <is>
          <t>無印</t>
        </is>
      </c>
      <c r="I616" t="n">
        <v>96</v>
      </c>
      <c r="J616" t="inlineStr">
        <is>
          <t>P96|無印</t>
        </is>
      </c>
      <c r="K616" t="inlineStr">
        <is>
          <t>同頁凡例へ直接連動</t>
        </is>
      </c>
      <c r="L616" t="inlineStr">
        <is>
          <t>202604_LIXIL_サーモスＬ_業務用資料集_完成品価格表.pdf</t>
        </is>
      </c>
      <c r="M616" t="inlineStr">
        <is>
          <t>v0.6：同一価格表セクション内で凡例継承を確定。</t>
        </is>
      </c>
      <c r="N616" t="inlineStr">
        <is>
          <t>https://drive.google.com/file/d/1YUN-mtWYs48YBUHJk0C3vJXnhjyZFHyf/view</t>
        </is>
      </c>
    </row>
    <row r="617">
      <c r="A617" s="42" t="inlineStr">
        <is>
          <t>GSC-SL-000614</t>
        </is>
      </c>
      <c r="B617" t="inlineStr">
        <is>
          <t>SZ-SL-000614</t>
        </is>
      </c>
      <c r="C617" t="inlineStr">
        <is>
          <t>WT-SL-MENKOSHI-HIKI</t>
        </is>
      </c>
      <c r="D617" t="inlineStr">
        <is>
          <t>SP-SL-GRILLE-V</t>
        </is>
      </c>
      <c r="E617" t="inlineStr">
        <is>
          <t>16505</t>
        </is>
      </c>
      <c r="F617" t="b">
        <v>1</v>
      </c>
      <c r="G617" t="n">
        <v>96</v>
      </c>
      <c r="H617" t="inlineStr">
        <is>
          <t>無印</t>
        </is>
      </c>
      <c r="I617" t="n">
        <v>96</v>
      </c>
      <c r="J617" t="inlineStr">
        <is>
          <t>P96|無印</t>
        </is>
      </c>
      <c r="K617" t="inlineStr">
        <is>
          <t>同頁凡例へ直接連動</t>
        </is>
      </c>
      <c r="L617" t="inlineStr">
        <is>
          <t>202604_LIXIL_サーモスＬ_業務用資料集_完成品価格表.pdf</t>
        </is>
      </c>
      <c r="M617" t="inlineStr">
        <is>
          <t>v0.6：同一価格表セクション内で凡例継承を確定。</t>
        </is>
      </c>
      <c r="N617" t="inlineStr">
        <is>
          <t>https://drive.google.com/file/d/1YUN-mtWYs48YBUHJk0C3vJXnhjyZFHyf/view</t>
        </is>
      </c>
    </row>
    <row r="618">
      <c r="A618" s="42" t="inlineStr">
        <is>
          <t>GSC-SL-000615</t>
        </is>
      </c>
      <c r="B618" t="inlineStr">
        <is>
          <t>SZ-SL-000615</t>
        </is>
      </c>
      <c r="C618" t="inlineStr">
        <is>
          <t>WT-SL-MENKOSHI-HIKI</t>
        </is>
      </c>
      <c r="D618" t="inlineStr">
        <is>
          <t>SP-SL-GRILLE-DIA</t>
        </is>
      </c>
      <c r="E618" t="inlineStr">
        <is>
          <t>17405</t>
        </is>
      </c>
      <c r="F618" t="b">
        <v>1</v>
      </c>
      <c r="G618" t="n">
        <v>97</v>
      </c>
      <c r="H618" t="inlineStr">
        <is>
          <t>無印</t>
        </is>
      </c>
      <c r="I618" t="n">
        <v>96</v>
      </c>
      <c r="J618" t="inlineStr">
        <is>
          <t>P96|無印</t>
        </is>
      </c>
      <c r="K618" t="inlineStr">
        <is>
          <t>同一価格表・前頁凡例を継承</t>
        </is>
      </c>
      <c r="L618" t="inlineStr">
        <is>
          <t>202604_LIXIL_サーモスＬ_業務用資料集_完成品価格表.pdf</t>
        </is>
      </c>
      <c r="M618" t="inlineStr">
        <is>
          <t>v0.6：同一価格表セクション内で凡例継承を確定。</t>
        </is>
      </c>
      <c r="N618" t="inlineStr">
        <is>
          <t>https://drive.google.com/file/d/1YUN-mtWYs48YBUHJk0C3vJXnhjyZFHyf/view</t>
        </is>
      </c>
    </row>
    <row r="619">
      <c r="A619" s="42" t="inlineStr">
        <is>
          <t>GSC-SL-000616</t>
        </is>
      </c>
      <c r="B619" t="inlineStr">
        <is>
          <t>SZ-SL-000616</t>
        </is>
      </c>
      <c r="C619" t="inlineStr">
        <is>
          <t>WT-SL-MENKOSHI-HIKI</t>
        </is>
      </c>
      <c r="D619" t="inlineStr">
        <is>
          <t>SP-SL-GRILLE-DIA</t>
        </is>
      </c>
      <c r="E619" t="inlineStr">
        <is>
          <t>17605</t>
        </is>
      </c>
      <c r="F619" t="b">
        <v>1</v>
      </c>
      <c r="G619" t="n">
        <v>97</v>
      </c>
      <c r="H619" t="inlineStr">
        <is>
          <t>無印</t>
        </is>
      </c>
      <c r="I619" t="n">
        <v>96</v>
      </c>
      <c r="J619" t="inlineStr">
        <is>
          <t>P96|無印</t>
        </is>
      </c>
      <c r="K619" t="inlineStr">
        <is>
          <t>同一価格表・前頁凡例を継承</t>
        </is>
      </c>
      <c r="L619" t="inlineStr">
        <is>
          <t>202604_LIXIL_サーモスＬ_業務用資料集_完成品価格表.pdf</t>
        </is>
      </c>
      <c r="M619" t="inlineStr">
        <is>
          <t>v0.6：同一価格表セクション内で凡例継承を確定。</t>
        </is>
      </c>
      <c r="N619" t="inlineStr">
        <is>
          <t>https://drive.google.com/file/d/1YUN-mtWYs48YBUHJk0C3vJXnhjyZFHyf/view</t>
        </is>
      </c>
    </row>
    <row r="620">
      <c r="A620" s="42" t="inlineStr">
        <is>
          <t>GSC-SL-000617</t>
        </is>
      </c>
      <c r="B620" t="inlineStr">
        <is>
          <t>SZ-SL-000617</t>
        </is>
      </c>
      <c r="C620" t="inlineStr">
        <is>
          <t>WT-SL-MENKOSHI-HIKI</t>
        </is>
      </c>
      <c r="D620" t="inlineStr">
        <is>
          <t>SP-SL-GRILLE-DIA</t>
        </is>
      </c>
      <c r="E620" t="inlineStr">
        <is>
          <t>18005</t>
        </is>
      </c>
      <c r="F620" t="b">
        <v>1</v>
      </c>
      <c r="G620" t="n">
        <v>97</v>
      </c>
      <c r="H620" t="inlineStr">
        <is>
          <t>無印</t>
        </is>
      </c>
      <c r="I620" t="n">
        <v>96</v>
      </c>
      <c r="J620" t="inlineStr">
        <is>
          <t>P96|無印</t>
        </is>
      </c>
      <c r="K620" t="inlineStr">
        <is>
          <t>同一価格表・前頁凡例を継承</t>
        </is>
      </c>
      <c r="L620" t="inlineStr">
        <is>
          <t>202604_LIXIL_サーモスＬ_業務用資料集_完成品価格表.pdf</t>
        </is>
      </c>
      <c r="M620" t="inlineStr">
        <is>
          <t>v0.6：同一価格表セクション内で凡例継承を確定。</t>
        </is>
      </c>
      <c r="N620" t="inlineStr">
        <is>
          <t>https://drive.google.com/file/d/1YUN-mtWYs48YBUHJk0C3vJXnhjyZFHyf/view</t>
        </is>
      </c>
    </row>
    <row r="621">
      <c r="A621" s="42" t="inlineStr">
        <is>
          <t>GSC-SL-000618</t>
        </is>
      </c>
      <c r="B621" t="inlineStr">
        <is>
          <t>SZ-SL-000618</t>
        </is>
      </c>
      <c r="C621" t="inlineStr">
        <is>
          <t>WT-SL-MENKOSHI-HIKI</t>
        </is>
      </c>
      <c r="D621" t="inlineStr">
        <is>
          <t>SP-SL-GRILLE-DIA</t>
        </is>
      </c>
      <c r="E621" t="inlineStr">
        <is>
          <t>18605</t>
        </is>
      </c>
      <c r="F621" t="b">
        <v>1</v>
      </c>
      <c r="G621" t="n">
        <v>97</v>
      </c>
      <c r="H621" t="inlineStr">
        <is>
          <t>無印</t>
        </is>
      </c>
      <c r="I621" t="n">
        <v>96</v>
      </c>
      <c r="J621" t="inlineStr">
        <is>
          <t>P96|無印</t>
        </is>
      </c>
      <c r="K621" t="inlineStr">
        <is>
          <t>同一価格表・前頁凡例を継承</t>
        </is>
      </c>
      <c r="L621" t="inlineStr">
        <is>
          <t>202604_LIXIL_サーモスＬ_業務用資料集_完成品価格表.pdf</t>
        </is>
      </c>
      <c r="M621" t="inlineStr">
        <is>
          <t>v0.6：同一価格表セクション内で凡例継承を確定。</t>
        </is>
      </c>
      <c r="N621" t="inlineStr">
        <is>
          <t>https://drive.google.com/file/d/1YUN-mtWYs48YBUHJk0C3vJXnhjyZFHyf/view</t>
        </is>
      </c>
    </row>
    <row r="622">
      <c r="A622" s="42" t="inlineStr">
        <is>
          <t>GSC-SL-000619</t>
        </is>
      </c>
      <c r="B622" t="inlineStr">
        <is>
          <t>SZ-SL-000619</t>
        </is>
      </c>
      <c r="C622" t="inlineStr">
        <is>
          <t>WT-SL-MENKOSHI-HIKI</t>
        </is>
      </c>
      <c r="D622" t="inlineStr">
        <is>
          <t>SP-SL-GRILLE-H</t>
        </is>
      </c>
      <c r="E622" t="inlineStr">
        <is>
          <t>17405</t>
        </is>
      </c>
      <c r="F622" t="b">
        <v>0</v>
      </c>
      <c r="G622" t="n">
        <v>97</v>
      </c>
      <c r="H622" t="inlineStr">
        <is>
          <t>無印</t>
        </is>
      </c>
      <c r="I622" t="n">
        <v>96</v>
      </c>
      <c r="J622" t="inlineStr">
        <is>
          <t>P96|無印</t>
        </is>
      </c>
      <c r="K622" t="inlineStr">
        <is>
          <t>同一価格表・前頁凡例を継承</t>
        </is>
      </c>
      <c r="L622" t="inlineStr">
        <is>
          <t>202604_LIXIL_サーモスＬ_業務用資料集_完成品価格表.pdf</t>
        </is>
      </c>
      <c r="M622" t="inlineStr">
        <is>
          <t>v0.6：同一価格表セクション内で凡例継承を確定。</t>
        </is>
      </c>
      <c r="N622" t="inlineStr">
        <is>
          <t>https://drive.google.com/file/d/1YUN-mtWYs48YBUHJk0C3vJXnhjyZFHyf/view</t>
        </is>
      </c>
    </row>
    <row r="623">
      <c r="A623" s="42" t="inlineStr">
        <is>
          <t>GSC-SL-000620</t>
        </is>
      </c>
      <c r="B623" t="inlineStr">
        <is>
          <t>SZ-SL-000620</t>
        </is>
      </c>
      <c r="C623" t="inlineStr">
        <is>
          <t>WT-SL-MENKOSHI-HIKI</t>
        </is>
      </c>
      <c r="D623" t="inlineStr">
        <is>
          <t>SP-SL-GRILLE-H</t>
        </is>
      </c>
      <c r="E623" t="inlineStr">
        <is>
          <t>17605</t>
        </is>
      </c>
      <c r="F623" t="b">
        <v>0</v>
      </c>
      <c r="G623" t="n">
        <v>97</v>
      </c>
      <c r="H623" t="inlineStr">
        <is>
          <t>無印</t>
        </is>
      </c>
      <c r="I623" t="n">
        <v>96</v>
      </c>
      <c r="J623" t="inlineStr">
        <is>
          <t>P96|無印</t>
        </is>
      </c>
      <c r="K623" t="inlineStr">
        <is>
          <t>同一価格表・前頁凡例を継承</t>
        </is>
      </c>
      <c r="L623" t="inlineStr">
        <is>
          <t>202604_LIXIL_サーモスＬ_業務用資料集_完成品価格表.pdf</t>
        </is>
      </c>
      <c r="M623" t="inlineStr">
        <is>
          <t>v0.6：同一価格表セクション内で凡例継承を確定。</t>
        </is>
      </c>
      <c r="N623" t="inlineStr">
        <is>
          <t>https://drive.google.com/file/d/1YUN-mtWYs48YBUHJk0C3vJXnhjyZFHyf/view</t>
        </is>
      </c>
    </row>
    <row r="624">
      <c r="A624" s="42" t="inlineStr">
        <is>
          <t>GSC-SL-000621</t>
        </is>
      </c>
      <c r="B624" t="inlineStr">
        <is>
          <t>SZ-SL-000621</t>
        </is>
      </c>
      <c r="C624" t="inlineStr">
        <is>
          <t>WT-SL-MENKOSHI-HIKI</t>
        </is>
      </c>
      <c r="D624" t="inlineStr">
        <is>
          <t>SP-SL-GRILLE-H</t>
        </is>
      </c>
      <c r="E624" t="inlineStr">
        <is>
          <t>18005</t>
        </is>
      </c>
      <c r="F624" t="b">
        <v>0</v>
      </c>
      <c r="G624" t="n">
        <v>97</v>
      </c>
      <c r="H624" t="inlineStr">
        <is>
          <t>無印</t>
        </is>
      </c>
      <c r="I624" t="n">
        <v>96</v>
      </c>
      <c r="J624" t="inlineStr">
        <is>
          <t>P96|無印</t>
        </is>
      </c>
      <c r="K624" t="inlineStr">
        <is>
          <t>同一価格表・前頁凡例を継承</t>
        </is>
      </c>
      <c r="L624" t="inlineStr">
        <is>
          <t>202604_LIXIL_サーモスＬ_業務用資料集_完成品価格表.pdf</t>
        </is>
      </c>
      <c r="M624" t="inlineStr">
        <is>
          <t>v0.6：同一価格表セクション内で凡例継承を確定。</t>
        </is>
      </c>
      <c r="N624" t="inlineStr">
        <is>
          <t>https://drive.google.com/file/d/1YUN-mtWYs48YBUHJk0C3vJXnhjyZFHyf/view</t>
        </is>
      </c>
    </row>
    <row r="625">
      <c r="A625" s="42" t="inlineStr">
        <is>
          <t>GSC-SL-000622</t>
        </is>
      </c>
      <c r="B625" t="inlineStr">
        <is>
          <t>SZ-SL-000622</t>
        </is>
      </c>
      <c r="C625" t="inlineStr">
        <is>
          <t>WT-SL-MENKOSHI-HIKI</t>
        </is>
      </c>
      <c r="D625" t="inlineStr">
        <is>
          <t>SP-SL-GRILLE-H</t>
        </is>
      </c>
      <c r="E625" t="inlineStr">
        <is>
          <t>18605</t>
        </is>
      </c>
      <c r="F625" t="b">
        <v>0</v>
      </c>
      <c r="G625" t="n">
        <v>97</v>
      </c>
      <c r="H625" t="inlineStr">
        <is>
          <t>無印</t>
        </is>
      </c>
      <c r="I625" t="n">
        <v>96</v>
      </c>
      <c r="J625" t="inlineStr">
        <is>
          <t>P96|無印</t>
        </is>
      </c>
      <c r="K625" t="inlineStr">
        <is>
          <t>同一価格表・前頁凡例を継承</t>
        </is>
      </c>
      <c r="L625" t="inlineStr">
        <is>
          <t>202604_LIXIL_サーモスＬ_業務用資料集_完成品価格表.pdf</t>
        </is>
      </c>
      <c r="M625" t="inlineStr">
        <is>
          <t>v0.6：同一価格表セクション内で凡例継承を確定。</t>
        </is>
      </c>
      <c r="N625" t="inlineStr">
        <is>
          <t>https://drive.google.com/file/d/1YUN-mtWYs48YBUHJk0C3vJXnhjyZFHyf/view</t>
        </is>
      </c>
    </row>
    <row r="626">
      <c r="A626" s="42" t="inlineStr">
        <is>
          <t>GSC-SL-000623</t>
        </is>
      </c>
      <c r="B626" t="inlineStr">
        <is>
          <t>SZ-SL-000623</t>
        </is>
      </c>
      <c r="C626" t="inlineStr">
        <is>
          <t>WT-SL-MENKOSHI-HIKI</t>
        </is>
      </c>
      <c r="D626" t="inlineStr">
        <is>
          <t>SP-SL-GRILLE-IGETA</t>
        </is>
      </c>
      <c r="E626" t="inlineStr">
        <is>
          <t>17405</t>
        </is>
      </c>
      <c r="F626" t="b">
        <v>1</v>
      </c>
      <c r="G626" t="n">
        <v>97</v>
      </c>
      <c r="H626" t="inlineStr">
        <is>
          <t>無印</t>
        </is>
      </c>
      <c r="I626" t="n">
        <v>96</v>
      </c>
      <c r="J626" t="inlineStr">
        <is>
          <t>P96|無印</t>
        </is>
      </c>
      <c r="K626" t="inlineStr">
        <is>
          <t>同一価格表・前頁凡例を継承</t>
        </is>
      </c>
      <c r="L626" t="inlineStr">
        <is>
          <t>202604_LIXIL_サーモスＬ_業務用資料集_完成品価格表.pdf</t>
        </is>
      </c>
      <c r="M626" t="inlineStr">
        <is>
          <t>v0.6：同一価格表セクション内で凡例継承を確定。</t>
        </is>
      </c>
      <c r="N626" t="inlineStr">
        <is>
          <t>https://drive.google.com/file/d/1YUN-mtWYs48YBUHJk0C3vJXnhjyZFHyf/view</t>
        </is>
      </c>
    </row>
    <row r="627">
      <c r="A627" s="42" t="inlineStr">
        <is>
          <t>GSC-SL-000624</t>
        </is>
      </c>
      <c r="B627" t="inlineStr">
        <is>
          <t>SZ-SL-000624</t>
        </is>
      </c>
      <c r="C627" t="inlineStr">
        <is>
          <t>WT-SL-MENKOSHI-HIKI</t>
        </is>
      </c>
      <c r="D627" t="inlineStr">
        <is>
          <t>SP-SL-GRILLE-IGETA</t>
        </is>
      </c>
      <c r="E627" t="inlineStr">
        <is>
          <t>17605</t>
        </is>
      </c>
      <c r="F627" t="b">
        <v>1</v>
      </c>
      <c r="G627" t="n">
        <v>97</v>
      </c>
      <c r="H627" t="inlineStr">
        <is>
          <t>無印</t>
        </is>
      </c>
      <c r="I627" t="n">
        <v>96</v>
      </c>
      <c r="J627" t="inlineStr">
        <is>
          <t>P96|無印</t>
        </is>
      </c>
      <c r="K627" t="inlineStr">
        <is>
          <t>同一価格表・前頁凡例を継承</t>
        </is>
      </c>
      <c r="L627" t="inlineStr">
        <is>
          <t>202604_LIXIL_サーモスＬ_業務用資料集_完成品価格表.pdf</t>
        </is>
      </c>
      <c r="M627" t="inlineStr">
        <is>
          <t>v0.6：同一価格表セクション内で凡例継承を確定。</t>
        </is>
      </c>
      <c r="N627" t="inlineStr">
        <is>
          <t>https://drive.google.com/file/d/1YUN-mtWYs48YBUHJk0C3vJXnhjyZFHyf/view</t>
        </is>
      </c>
    </row>
    <row r="628">
      <c r="A628" s="42" t="inlineStr">
        <is>
          <t>GSC-SL-000625</t>
        </is>
      </c>
      <c r="B628" t="inlineStr">
        <is>
          <t>SZ-SL-000625</t>
        </is>
      </c>
      <c r="C628" t="inlineStr">
        <is>
          <t>WT-SL-MENKOSHI-HIKI</t>
        </is>
      </c>
      <c r="D628" t="inlineStr">
        <is>
          <t>SP-SL-GRILLE-IGETA</t>
        </is>
      </c>
      <c r="E628" t="inlineStr">
        <is>
          <t>18005</t>
        </is>
      </c>
      <c r="F628" t="b">
        <v>1</v>
      </c>
      <c r="G628" t="n">
        <v>97</v>
      </c>
      <c r="H628" t="inlineStr">
        <is>
          <t>無印</t>
        </is>
      </c>
      <c r="I628" t="n">
        <v>96</v>
      </c>
      <c r="J628" t="inlineStr">
        <is>
          <t>P96|無印</t>
        </is>
      </c>
      <c r="K628" t="inlineStr">
        <is>
          <t>同一価格表・前頁凡例を継承</t>
        </is>
      </c>
      <c r="L628" t="inlineStr">
        <is>
          <t>202604_LIXIL_サーモスＬ_業務用資料集_完成品価格表.pdf</t>
        </is>
      </c>
      <c r="M628" t="inlineStr">
        <is>
          <t>v0.6：同一価格表セクション内で凡例継承を確定。</t>
        </is>
      </c>
      <c r="N628" t="inlineStr">
        <is>
          <t>https://drive.google.com/file/d/1YUN-mtWYs48YBUHJk0C3vJXnhjyZFHyf/view</t>
        </is>
      </c>
    </row>
    <row r="629">
      <c r="A629" s="42" t="inlineStr">
        <is>
          <t>GSC-SL-000626</t>
        </is>
      </c>
      <c r="B629" t="inlineStr">
        <is>
          <t>SZ-SL-000626</t>
        </is>
      </c>
      <c r="C629" t="inlineStr">
        <is>
          <t>WT-SL-MENKOSHI-HIKI</t>
        </is>
      </c>
      <c r="D629" t="inlineStr">
        <is>
          <t>SP-SL-GRILLE-IGETA</t>
        </is>
      </c>
      <c r="E629" t="inlineStr">
        <is>
          <t>18605</t>
        </is>
      </c>
      <c r="F629" t="b">
        <v>1</v>
      </c>
      <c r="G629" t="n">
        <v>97</v>
      </c>
      <c r="H629" t="inlineStr">
        <is>
          <t>無印</t>
        </is>
      </c>
      <c r="I629" t="n">
        <v>96</v>
      </c>
      <c r="J629" t="inlineStr">
        <is>
          <t>P96|無印</t>
        </is>
      </c>
      <c r="K629" t="inlineStr">
        <is>
          <t>同一価格表・前頁凡例を継承</t>
        </is>
      </c>
      <c r="L629" t="inlineStr">
        <is>
          <t>202604_LIXIL_サーモスＬ_業務用資料集_完成品価格表.pdf</t>
        </is>
      </c>
      <c r="M629" t="inlineStr">
        <is>
          <t>v0.6：同一価格表セクション内で凡例継承を確定。</t>
        </is>
      </c>
      <c r="N629" t="inlineStr">
        <is>
          <t>https://drive.google.com/file/d/1YUN-mtWYs48YBUHJk0C3vJXnhjyZFHyf/view</t>
        </is>
      </c>
    </row>
    <row r="630">
      <c r="A630" s="42" t="inlineStr">
        <is>
          <t>GSC-SL-000627</t>
        </is>
      </c>
      <c r="B630" t="inlineStr">
        <is>
          <t>SZ-SL-000627</t>
        </is>
      </c>
      <c r="C630" t="inlineStr">
        <is>
          <t>WT-SL-MENKOSHI-HIKI</t>
        </is>
      </c>
      <c r="D630" t="inlineStr">
        <is>
          <t>SP-SL-GRILLE-V</t>
        </is>
      </c>
      <c r="E630" t="inlineStr">
        <is>
          <t>17405</t>
        </is>
      </c>
      <c r="F630" t="b">
        <v>1</v>
      </c>
      <c r="G630" t="n">
        <v>97</v>
      </c>
      <c r="H630" t="inlineStr">
        <is>
          <t>無印</t>
        </is>
      </c>
      <c r="I630" t="n">
        <v>96</v>
      </c>
      <c r="J630" t="inlineStr">
        <is>
          <t>P96|無印</t>
        </is>
      </c>
      <c r="K630" t="inlineStr">
        <is>
          <t>同一価格表・前頁凡例を継承</t>
        </is>
      </c>
      <c r="L630" t="inlineStr">
        <is>
          <t>202604_LIXIL_サーモスＬ_業務用資料集_完成品価格表.pdf</t>
        </is>
      </c>
      <c r="M630" t="inlineStr">
        <is>
          <t>v0.6：同一価格表セクション内で凡例継承を確定。</t>
        </is>
      </c>
      <c r="N630" t="inlineStr">
        <is>
          <t>https://drive.google.com/file/d/1YUN-mtWYs48YBUHJk0C3vJXnhjyZFHyf/view</t>
        </is>
      </c>
    </row>
    <row r="631">
      <c r="A631" s="42" t="inlineStr">
        <is>
          <t>GSC-SL-000628</t>
        </is>
      </c>
      <c r="B631" t="inlineStr">
        <is>
          <t>SZ-SL-000628</t>
        </is>
      </c>
      <c r="C631" t="inlineStr">
        <is>
          <t>WT-SL-MENKOSHI-HIKI</t>
        </is>
      </c>
      <c r="D631" t="inlineStr">
        <is>
          <t>SP-SL-GRILLE-V</t>
        </is>
      </c>
      <c r="E631" t="inlineStr">
        <is>
          <t>17605</t>
        </is>
      </c>
      <c r="F631" t="b">
        <v>1</v>
      </c>
      <c r="G631" t="n">
        <v>97</v>
      </c>
      <c r="H631" t="inlineStr">
        <is>
          <t>無印</t>
        </is>
      </c>
      <c r="I631" t="n">
        <v>96</v>
      </c>
      <c r="J631" t="inlineStr">
        <is>
          <t>P96|無印</t>
        </is>
      </c>
      <c r="K631" t="inlineStr">
        <is>
          <t>同一価格表・前頁凡例を継承</t>
        </is>
      </c>
      <c r="L631" t="inlineStr">
        <is>
          <t>202604_LIXIL_サーモスＬ_業務用資料集_完成品価格表.pdf</t>
        </is>
      </c>
      <c r="M631" t="inlineStr">
        <is>
          <t>v0.6：同一価格表セクション内で凡例継承を確定。</t>
        </is>
      </c>
      <c r="N631" t="inlineStr">
        <is>
          <t>https://drive.google.com/file/d/1YUN-mtWYs48YBUHJk0C3vJXnhjyZFHyf/view</t>
        </is>
      </c>
    </row>
    <row r="632">
      <c r="A632" s="42" t="inlineStr">
        <is>
          <t>GSC-SL-000629</t>
        </is>
      </c>
      <c r="B632" t="inlineStr">
        <is>
          <t>SZ-SL-000629</t>
        </is>
      </c>
      <c r="C632" t="inlineStr">
        <is>
          <t>WT-SL-MENKOSHI-HIKI</t>
        </is>
      </c>
      <c r="D632" t="inlineStr">
        <is>
          <t>SP-SL-GRILLE-V</t>
        </is>
      </c>
      <c r="E632" t="inlineStr">
        <is>
          <t>18005</t>
        </is>
      </c>
      <c r="F632" t="b">
        <v>1</v>
      </c>
      <c r="G632" t="n">
        <v>97</v>
      </c>
      <c r="H632" t="inlineStr">
        <is>
          <t>無印</t>
        </is>
      </c>
      <c r="I632" t="n">
        <v>96</v>
      </c>
      <c r="J632" t="inlineStr">
        <is>
          <t>P96|無印</t>
        </is>
      </c>
      <c r="K632" t="inlineStr">
        <is>
          <t>同一価格表・前頁凡例を継承</t>
        </is>
      </c>
      <c r="L632" t="inlineStr">
        <is>
          <t>202604_LIXIL_サーモスＬ_業務用資料集_完成品価格表.pdf</t>
        </is>
      </c>
      <c r="M632" t="inlineStr">
        <is>
          <t>v0.6：同一価格表セクション内で凡例継承を確定。</t>
        </is>
      </c>
      <c r="N632" t="inlineStr">
        <is>
          <t>https://drive.google.com/file/d/1YUN-mtWYs48YBUHJk0C3vJXnhjyZFHyf/view</t>
        </is>
      </c>
    </row>
    <row r="633">
      <c r="A633" s="42" t="inlineStr">
        <is>
          <t>GSC-SL-000630</t>
        </is>
      </c>
      <c r="B633" t="inlineStr">
        <is>
          <t>SZ-SL-000630</t>
        </is>
      </c>
      <c r="C633" t="inlineStr">
        <is>
          <t>WT-SL-MENKOSHI-HIKI</t>
        </is>
      </c>
      <c r="D633" t="inlineStr">
        <is>
          <t>SP-SL-GRILLE-V</t>
        </is>
      </c>
      <c r="E633" t="inlineStr">
        <is>
          <t>18605</t>
        </is>
      </c>
      <c r="F633" t="b">
        <v>1</v>
      </c>
      <c r="G633" t="n">
        <v>97</v>
      </c>
      <c r="H633" t="inlineStr">
        <is>
          <t>無印</t>
        </is>
      </c>
      <c r="I633" t="n">
        <v>96</v>
      </c>
      <c r="J633" t="inlineStr">
        <is>
          <t>P96|無印</t>
        </is>
      </c>
      <c r="K633" t="inlineStr">
        <is>
          <t>同一価格表・前頁凡例を継承</t>
        </is>
      </c>
      <c r="L633" t="inlineStr">
        <is>
          <t>202604_LIXIL_サーモスＬ_業務用資料集_完成品価格表.pdf</t>
        </is>
      </c>
      <c r="M633" t="inlineStr">
        <is>
          <t>v0.6：同一価格表セクション内で凡例継承を確定。</t>
        </is>
      </c>
      <c r="N633" t="inlineStr">
        <is>
          <t>https://drive.google.com/file/d/1YUN-mtWYs48YBUHJk0C3vJXnhjyZFHyf/view</t>
        </is>
      </c>
    </row>
    <row r="634">
      <c r="A634" s="42" t="inlineStr">
        <is>
          <t>GSC-SL-000631</t>
        </is>
      </c>
      <c r="B634" t="inlineStr">
        <is>
          <t>SZ-SL-000631</t>
        </is>
      </c>
      <c r="C634" t="inlineStr">
        <is>
          <t>WT-SL-MENKOSHI-HIKI</t>
        </is>
      </c>
      <c r="D634" t="inlineStr">
        <is>
          <t>SP-SL-GRILLE-DIA</t>
        </is>
      </c>
      <c r="E634" t="inlineStr">
        <is>
          <t>06007</t>
        </is>
      </c>
      <c r="F634" t="b">
        <v>1</v>
      </c>
      <c r="G634" t="n">
        <v>98</v>
      </c>
      <c r="H634" t="inlineStr">
        <is>
          <t>無印</t>
        </is>
      </c>
      <c r="I634" t="n">
        <v>98</v>
      </c>
      <c r="J634" t="inlineStr">
        <is>
          <t>P98|無印</t>
        </is>
      </c>
      <c r="K634" t="inlineStr">
        <is>
          <t>同頁凡例へ直接連動</t>
        </is>
      </c>
      <c r="L634" t="inlineStr">
        <is>
          <t>202604_LIXIL_サーモスＬ_業務用資料集_完成品価格表.pdf</t>
        </is>
      </c>
      <c r="M634" t="inlineStr">
        <is>
          <t>v0.6：同一価格表セクション内で凡例継承を確定。</t>
        </is>
      </c>
      <c r="N634" t="inlineStr">
        <is>
          <t>https://drive.google.com/file/d/1YUN-mtWYs48YBUHJk0C3vJXnhjyZFHyf/view</t>
        </is>
      </c>
    </row>
    <row r="635">
      <c r="A635" s="42" t="inlineStr">
        <is>
          <t>GSC-SL-000632</t>
        </is>
      </c>
      <c r="B635" t="inlineStr">
        <is>
          <t>SZ-SL-000632</t>
        </is>
      </c>
      <c r="C635" t="inlineStr">
        <is>
          <t>WT-SL-MENKOSHI-HIKI</t>
        </is>
      </c>
      <c r="D635" t="inlineStr">
        <is>
          <t>SP-SL-GRILLE-DIA</t>
        </is>
      </c>
      <c r="E635" t="inlineStr">
        <is>
          <t>06907</t>
        </is>
      </c>
      <c r="F635" t="b">
        <v>1</v>
      </c>
      <c r="G635" t="n">
        <v>98</v>
      </c>
      <c r="H635" t="inlineStr">
        <is>
          <t>無印</t>
        </is>
      </c>
      <c r="I635" t="n">
        <v>98</v>
      </c>
      <c r="J635" t="inlineStr">
        <is>
          <t>P98|無印</t>
        </is>
      </c>
      <c r="K635" t="inlineStr">
        <is>
          <t>同頁凡例へ直接連動</t>
        </is>
      </c>
      <c r="L635" t="inlineStr">
        <is>
          <t>202604_LIXIL_サーモスＬ_業務用資料集_完成品価格表.pdf</t>
        </is>
      </c>
      <c r="M635" t="inlineStr">
        <is>
          <t>v0.6：同一価格表セクション内で凡例継承を確定。</t>
        </is>
      </c>
      <c r="N635" t="inlineStr">
        <is>
          <t>https://drive.google.com/file/d/1YUN-mtWYs48YBUHJk0C3vJXnhjyZFHyf/view</t>
        </is>
      </c>
    </row>
    <row r="636">
      <c r="A636" s="42" t="inlineStr">
        <is>
          <t>GSC-SL-000633</t>
        </is>
      </c>
      <c r="B636" t="inlineStr">
        <is>
          <t>SZ-SL-000633</t>
        </is>
      </c>
      <c r="C636" t="inlineStr">
        <is>
          <t>WT-SL-MENKOSHI-HIKI</t>
        </is>
      </c>
      <c r="D636" t="inlineStr">
        <is>
          <t>SP-SL-GRILLE-DIA</t>
        </is>
      </c>
      <c r="E636" t="inlineStr">
        <is>
          <t>07407</t>
        </is>
      </c>
      <c r="F636" t="b">
        <v>1</v>
      </c>
      <c r="G636" t="n">
        <v>98</v>
      </c>
      <c r="H636" t="inlineStr">
        <is>
          <t>無印</t>
        </is>
      </c>
      <c r="I636" t="n">
        <v>98</v>
      </c>
      <c r="J636" t="inlineStr">
        <is>
          <t>P98|無印</t>
        </is>
      </c>
      <c r="K636" t="inlineStr">
        <is>
          <t>同頁凡例へ直接連動</t>
        </is>
      </c>
      <c r="L636" t="inlineStr">
        <is>
          <t>202604_LIXIL_サーモスＬ_業務用資料集_完成品価格表.pdf</t>
        </is>
      </c>
      <c r="M636" t="inlineStr">
        <is>
          <t>v0.6：同一価格表セクション内で凡例継承を確定。</t>
        </is>
      </c>
      <c r="N636" t="inlineStr">
        <is>
          <t>https://drive.google.com/file/d/1YUN-mtWYs48YBUHJk0C3vJXnhjyZFHyf/view</t>
        </is>
      </c>
    </row>
    <row r="637">
      <c r="A637" s="42" t="inlineStr">
        <is>
          <t>GSC-SL-000634</t>
        </is>
      </c>
      <c r="B637" t="inlineStr">
        <is>
          <t>SZ-SL-000634</t>
        </is>
      </c>
      <c r="C637" t="inlineStr">
        <is>
          <t>WT-SL-MENKOSHI-HIKI</t>
        </is>
      </c>
      <c r="D637" t="inlineStr">
        <is>
          <t>SP-SL-GRILLE-DIA</t>
        </is>
      </c>
      <c r="E637" t="inlineStr">
        <is>
          <t>07807</t>
        </is>
      </c>
      <c r="F637" t="b">
        <v>1</v>
      </c>
      <c r="G637" t="n">
        <v>98</v>
      </c>
      <c r="H637" t="inlineStr">
        <is>
          <t>無印</t>
        </is>
      </c>
      <c r="I637" t="n">
        <v>98</v>
      </c>
      <c r="J637" t="inlineStr">
        <is>
          <t>P98|無印</t>
        </is>
      </c>
      <c r="K637" t="inlineStr">
        <is>
          <t>同頁凡例へ直接連動</t>
        </is>
      </c>
      <c r="L637" t="inlineStr">
        <is>
          <t>202604_LIXIL_サーモスＬ_業務用資料集_完成品価格表.pdf</t>
        </is>
      </c>
      <c r="M637" t="inlineStr">
        <is>
          <t>v0.6：同一価格表セクション内で凡例継承を確定。</t>
        </is>
      </c>
      <c r="N637" t="inlineStr">
        <is>
          <t>https://drive.google.com/file/d/1YUN-mtWYs48YBUHJk0C3vJXnhjyZFHyf/view</t>
        </is>
      </c>
    </row>
    <row r="638">
      <c r="A638" s="42" t="inlineStr">
        <is>
          <t>GSC-SL-000635</t>
        </is>
      </c>
      <c r="B638" t="inlineStr">
        <is>
          <t>SZ-SL-000635</t>
        </is>
      </c>
      <c r="C638" t="inlineStr">
        <is>
          <t>WT-SL-MENKOSHI-HIKI</t>
        </is>
      </c>
      <c r="D638" t="inlineStr">
        <is>
          <t>SP-SL-GRILLE-H</t>
        </is>
      </c>
      <c r="E638" t="inlineStr">
        <is>
          <t>06007</t>
        </is>
      </c>
      <c r="F638" t="b">
        <v>1</v>
      </c>
      <c r="G638" t="n">
        <v>98</v>
      </c>
      <c r="H638" t="inlineStr">
        <is>
          <t>無印</t>
        </is>
      </c>
      <c r="I638" t="n">
        <v>98</v>
      </c>
      <c r="J638" t="inlineStr">
        <is>
          <t>P98|無印</t>
        </is>
      </c>
      <c r="K638" t="inlineStr">
        <is>
          <t>同頁凡例へ直接連動</t>
        </is>
      </c>
      <c r="L638" t="inlineStr">
        <is>
          <t>202604_LIXIL_サーモスＬ_業務用資料集_完成品価格表.pdf</t>
        </is>
      </c>
      <c r="M638" t="inlineStr">
        <is>
          <t>v0.6：同一価格表セクション内で凡例継承を確定。</t>
        </is>
      </c>
      <c r="N638" t="inlineStr">
        <is>
          <t>https://drive.google.com/file/d/1YUN-mtWYs48YBUHJk0C3vJXnhjyZFHyf/view</t>
        </is>
      </c>
    </row>
    <row r="639">
      <c r="A639" s="42" t="inlineStr">
        <is>
          <t>GSC-SL-000636</t>
        </is>
      </c>
      <c r="B639" t="inlineStr">
        <is>
          <t>SZ-SL-000636</t>
        </is>
      </c>
      <c r="C639" t="inlineStr">
        <is>
          <t>WT-SL-MENKOSHI-HIKI</t>
        </is>
      </c>
      <c r="D639" t="inlineStr">
        <is>
          <t>SP-SL-GRILLE-H</t>
        </is>
      </c>
      <c r="E639" t="inlineStr">
        <is>
          <t>06907</t>
        </is>
      </c>
      <c r="F639" t="b">
        <v>1</v>
      </c>
      <c r="G639" t="n">
        <v>98</v>
      </c>
      <c r="H639" t="inlineStr">
        <is>
          <t>無印</t>
        </is>
      </c>
      <c r="I639" t="n">
        <v>98</v>
      </c>
      <c r="J639" t="inlineStr">
        <is>
          <t>P98|無印</t>
        </is>
      </c>
      <c r="K639" t="inlineStr">
        <is>
          <t>同頁凡例へ直接連動</t>
        </is>
      </c>
      <c r="L639" t="inlineStr">
        <is>
          <t>202604_LIXIL_サーモスＬ_業務用資料集_完成品価格表.pdf</t>
        </is>
      </c>
      <c r="M639" t="inlineStr">
        <is>
          <t>v0.6：同一価格表セクション内で凡例継承を確定。</t>
        </is>
      </c>
      <c r="N639" t="inlineStr">
        <is>
          <t>https://drive.google.com/file/d/1YUN-mtWYs48YBUHJk0C3vJXnhjyZFHyf/view</t>
        </is>
      </c>
    </row>
    <row r="640">
      <c r="A640" s="42" t="inlineStr">
        <is>
          <t>GSC-SL-000637</t>
        </is>
      </c>
      <c r="B640" t="inlineStr">
        <is>
          <t>SZ-SL-000637</t>
        </is>
      </c>
      <c r="C640" t="inlineStr">
        <is>
          <t>WT-SL-MENKOSHI-HIKI</t>
        </is>
      </c>
      <c r="D640" t="inlineStr">
        <is>
          <t>SP-SL-GRILLE-H</t>
        </is>
      </c>
      <c r="E640" t="inlineStr">
        <is>
          <t>07407</t>
        </is>
      </c>
      <c r="F640" t="b">
        <v>1</v>
      </c>
      <c r="G640" t="n">
        <v>98</v>
      </c>
      <c r="H640" t="inlineStr">
        <is>
          <t>無印</t>
        </is>
      </c>
      <c r="I640" t="n">
        <v>98</v>
      </c>
      <c r="J640" t="inlineStr">
        <is>
          <t>P98|無印</t>
        </is>
      </c>
      <c r="K640" t="inlineStr">
        <is>
          <t>同頁凡例へ直接連動</t>
        </is>
      </c>
      <c r="L640" t="inlineStr">
        <is>
          <t>202604_LIXIL_サーモスＬ_業務用資料集_完成品価格表.pdf</t>
        </is>
      </c>
      <c r="M640" t="inlineStr">
        <is>
          <t>v0.6：同一価格表セクション内で凡例継承を確定。</t>
        </is>
      </c>
      <c r="N640" t="inlineStr">
        <is>
          <t>https://drive.google.com/file/d/1YUN-mtWYs48YBUHJk0C3vJXnhjyZFHyf/view</t>
        </is>
      </c>
    </row>
    <row r="641">
      <c r="A641" s="42" t="inlineStr">
        <is>
          <t>GSC-SL-000638</t>
        </is>
      </c>
      <c r="B641" t="inlineStr">
        <is>
          <t>SZ-SL-000638</t>
        </is>
      </c>
      <c r="C641" t="inlineStr">
        <is>
          <t>WT-SL-MENKOSHI-HIKI</t>
        </is>
      </c>
      <c r="D641" t="inlineStr">
        <is>
          <t>SP-SL-GRILLE-H</t>
        </is>
      </c>
      <c r="E641" t="inlineStr">
        <is>
          <t>07807</t>
        </is>
      </c>
      <c r="F641" t="b">
        <v>1</v>
      </c>
      <c r="G641" t="n">
        <v>98</v>
      </c>
      <c r="H641" t="inlineStr">
        <is>
          <t>無印</t>
        </is>
      </c>
      <c r="I641" t="n">
        <v>98</v>
      </c>
      <c r="J641" t="inlineStr">
        <is>
          <t>P98|無印</t>
        </is>
      </c>
      <c r="K641" t="inlineStr">
        <is>
          <t>同頁凡例へ直接連動</t>
        </is>
      </c>
      <c r="L641" t="inlineStr">
        <is>
          <t>202604_LIXIL_サーモスＬ_業務用資料集_完成品価格表.pdf</t>
        </is>
      </c>
      <c r="M641" t="inlineStr">
        <is>
          <t>v0.6：同一価格表セクション内で凡例継承を確定。</t>
        </is>
      </c>
      <c r="N641" t="inlineStr">
        <is>
          <t>https://drive.google.com/file/d/1YUN-mtWYs48YBUHJk0C3vJXnhjyZFHyf/view</t>
        </is>
      </c>
    </row>
    <row r="642">
      <c r="A642" s="42" t="inlineStr">
        <is>
          <t>GSC-SL-000639</t>
        </is>
      </c>
      <c r="B642" t="inlineStr">
        <is>
          <t>SZ-SL-000639</t>
        </is>
      </c>
      <c r="C642" t="inlineStr">
        <is>
          <t>WT-SL-MENKOSHI-HIKI</t>
        </is>
      </c>
      <c r="D642" t="inlineStr">
        <is>
          <t>SP-SL-GRILLE-IGETA</t>
        </is>
      </c>
      <c r="E642" t="inlineStr">
        <is>
          <t>06007</t>
        </is>
      </c>
      <c r="F642" t="b">
        <v>1</v>
      </c>
      <c r="G642" t="n">
        <v>98</v>
      </c>
      <c r="H642" t="inlineStr">
        <is>
          <t>無印</t>
        </is>
      </c>
      <c r="I642" t="n">
        <v>98</v>
      </c>
      <c r="J642" t="inlineStr">
        <is>
          <t>P98|無印</t>
        </is>
      </c>
      <c r="K642" t="inlineStr">
        <is>
          <t>同頁凡例へ直接連動</t>
        </is>
      </c>
      <c r="L642" t="inlineStr">
        <is>
          <t>202604_LIXIL_サーモスＬ_業務用資料集_完成品価格表.pdf</t>
        </is>
      </c>
      <c r="M642" t="inlineStr">
        <is>
          <t>v0.6：同一価格表セクション内で凡例継承を確定。</t>
        </is>
      </c>
      <c r="N642" t="inlineStr">
        <is>
          <t>https://drive.google.com/file/d/1YUN-mtWYs48YBUHJk0C3vJXnhjyZFHyf/view</t>
        </is>
      </c>
    </row>
    <row r="643">
      <c r="A643" s="42" t="inlineStr">
        <is>
          <t>GSC-SL-000640</t>
        </is>
      </c>
      <c r="B643" t="inlineStr">
        <is>
          <t>SZ-SL-000640</t>
        </is>
      </c>
      <c r="C643" t="inlineStr">
        <is>
          <t>WT-SL-MENKOSHI-HIKI</t>
        </is>
      </c>
      <c r="D643" t="inlineStr">
        <is>
          <t>SP-SL-GRILLE-IGETA</t>
        </is>
      </c>
      <c r="E643" t="inlineStr">
        <is>
          <t>06907</t>
        </is>
      </c>
      <c r="F643" t="b">
        <v>1</v>
      </c>
      <c r="G643" t="n">
        <v>98</v>
      </c>
      <c r="H643" t="inlineStr">
        <is>
          <t>無印</t>
        </is>
      </c>
      <c r="I643" t="n">
        <v>98</v>
      </c>
      <c r="J643" t="inlineStr">
        <is>
          <t>P98|無印</t>
        </is>
      </c>
      <c r="K643" t="inlineStr">
        <is>
          <t>同頁凡例へ直接連動</t>
        </is>
      </c>
      <c r="L643" t="inlineStr">
        <is>
          <t>202604_LIXIL_サーモスＬ_業務用資料集_完成品価格表.pdf</t>
        </is>
      </c>
      <c r="M643" t="inlineStr">
        <is>
          <t>v0.6：同一価格表セクション内で凡例継承を確定。</t>
        </is>
      </c>
      <c r="N643" t="inlineStr">
        <is>
          <t>https://drive.google.com/file/d/1YUN-mtWYs48YBUHJk0C3vJXnhjyZFHyf/view</t>
        </is>
      </c>
    </row>
    <row r="644">
      <c r="A644" s="42" t="inlineStr">
        <is>
          <t>GSC-SL-000641</t>
        </is>
      </c>
      <c r="B644" t="inlineStr">
        <is>
          <t>SZ-SL-000641</t>
        </is>
      </c>
      <c r="C644" t="inlineStr">
        <is>
          <t>WT-SL-MENKOSHI-HIKI</t>
        </is>
      </c>
      <c r="D644" t="inlineStr">
        <is>
          <t>SP-SL-GRILLE-IGETA</t>
        </is>
      </c>
      <c r="E644" t="inlineStr">
        <is>
          <t>07407</t>
        </is>
      </c>
      <c r="F644" t="b">
        <v>1</v>
      </c>
      <c r="G644" t="n">
        <v>98</v>
      </c>
      <c r="H644" t="inlineStr">
        <is>
          <t>無印</t>
        </is>
      </c>
      <c r="I644" t="n">
        <v>98</v>
      </c>
      <c r="J644" t="inlineStr">
        <is>
          <t>P98|無印</t>
        </is>
      </c>
      <c r="K644" t="inlineStr">
        <is>
          <t>同頁凡例へ直接連動</t>
        </is>
      </c>
      <c r="L644" t="inlineStr">
        <is>
          <t>202604_LIXIL_サーモスＬ_業務用資料集_完成品価格表.pdf</t>
        </is>
      </c>
      <c r="M644" t="inlineStr">
        <is>
          <t>v0.6：同一価格表セクション内で凡例継承を確定。</t>
        </is>
      </c>
      <c r="N644" t="inlineStr">
        <is>
          <t>https://drive.google.com/file/d/1YUN-mtWYs48YBUHJk0C3vJXnhjyZFHyf/view</t>
        </is>
      </c>
    </row>
    <row r="645">
      <c r="A645" s="42" t="inlineStr">
        <is>
          <t>GSC-SL-000642</t>
        </is>
      </c>
      <c r="B645" t="inlineStr">
        <is>
          <t>SZ-SL-000642</t>
        </is>
      </c>
      <c r="C645" t="inlineStr">
        <is>
          <t>WT-SL-MENKOSHI-HIKI</t>
        </is>
      </c>
      <c r="D645" t="inlineStr">
        <is>
          <t>SP-SL-GRILLE-IGETA</t>
        </is>
      </c>
      <c r="E645" t="inlineStr">
        <is>
          <t>07807</t>
        </is>
      </c>
      <c r="F645" t="b">
        <v>1</v>
      </c>
      <c r="G645" t="n">
        <v>98</v>
      </c>
      <c r="H645" t="inlineStr">
        <is>
          <t>無印</t>
        </is>
      </c>
      <c r="I645" t="n">
        <v>98</v>
      </c>
      <c r="J645" t="inlineStr">
        <is>
          <t>P98|無印</t>
        </is>
      </c>
      <c r="K645" t="inlineStr">
        <is>
          <t>同頁凡例へ直接連動</t>
        </is>
      </c>
      <c r="L645" t="inlineStr">
        <is>
          <t>202604_LIXIL_サーモスＬ_業務用資料集_完成品価格表.pdf</t>
        </is>
      </c>
      <c r="M645" t="inlineStr">
        <is>
          <t>v0.6：同一価格表セクション内で凡例継承を確定。</t>
        </is>
      </c>
      <c r="N645" t="inlineStr">
        <is>
          <t>https://drive.google.com/file/d/1YUN-mtWYs48YBUHJk0C3vJXnhjyZFHyf/view</t>
        </is>
      </c>
    </row>
    <row r="646">
      <c r="A646" s="42" t="inlineStr">
        <is>
          <t>GSC-SL-000643</t>
        </is>
      </c>
      <c r="B646" t="inlineStr">
        <is>
          <t>SZ-SL-000643</t>
        </is>
      </c>
      <c r="C646" t="inlineStr">
        <is>
          <t>WT-SL-MENKOSHI-HIKI</t>
        </is>
      </c>
      <c r="D646" t="inlineStr">
        <is>
          <t>SP-SL-GRILLE-V</t>
        </is>
      </c>
      <c r="E646" t="inlineStr">
        <is>
          <t>06007</t>
        </is>
      </c>
      <c r="F646" t="b">
        <v>1</v>
      </c>
      <c r="G646" t="n">
        <v>98</v>
      </c>
      <c r="H646" t="inlineStr">
        <is>
          <t>無印</t>
        </is>
      </c>
      <c r="I646" t="n">
        <v>98</v>
      </c>
      <c r="J646" t="inlineStr">
        <is>
          <t>P98|無印</t>
        </is>
      </c>
      <c r="K646" t="inlineStr">
        <is>
          <t>同頁凡例へ直接連動</t>
        </is>
      </c>
      <c r="L646" t="inlineStr">
        <is>
          <t>202604_LIXIL_サーモスＬ_業務用資料集_完成品価格表.pdf</t>
        </is>
      </c>
      <c r="M646" t="inlineStr">
        <is>
          <t>v0.6：同一価格表セクション内で凡例継承を確定。</t>
        </is>
      </c>
      <c r="N646" t="inlineStr">
        <is>
          <t>https://drive.google.com/file/d/1YUN-mtWYs48YBUHJk0C3vJXnhjyZFHyf/view</t>
        </is>
      </c>
    </row>
    <row r="647">
      <c r="A647" s="42" t="inlineStr">
        <is>
          <t>GSC-SL-000644</t>
        </is>
      </c>
      <c r="B647" t="inlineStr">
        <is>
          <t>SZ-SL-000644</t>
        </is>
      </c>
      <c r="C647" t="inlineStr">
        <is>
          <t>WT-SL-MENKOSHI-HIKI</t>
        </is>
      </c>
      <c r="D647" t="inlineStr">
        <is>
          <t>SP-SL-GRILLE-V</t>
        </is>
      </c>
      <c r="E647" t="inlineStr">
        <is>
          <t>06907</t>
        </is>
      </c>
      <c r="F647" t="b">
        <v>1</v>
      </c>
      <c r="G647" t="n">
        <v>98</v>
      </c>
      <c r="H647" t="inlineStr">
        <is>
          <t>無印</t>
        </is>
      </c>
      <c r="I647" t="n">
        <v>98</v>
      </c>
      <c r="J647" t="inlineStr">
        <is>
          <t>P98|無印</t>
        </is>
      </c>
      <c r="K647" t="inlineStr">
        <is>
          <t>同頁凡例へ直接連動</t>
        </is>
      </c>
      <c r="L647" t="inlineStr">
        <is>
          <t>202604_LIXIL_サーモスＬ_業務用資料集_完成品価格表.pdf</t>
        </is>
      </c>
      <c r="M647" t="inlineStr">
        <is>
          <t>v0.6：同一価格表セクション内で凡例継承を確定。</t>
        </is>
      </c>
      <c r="N647" t="inlineStr">
        <is>
          <t>https://drive.google.com/file/d/1YUN-mtWYs48YBUHJk0C3vJXnhjyZFHyf/view</t>
        </is>
      </c>
    </row>
    <row r="648">
      <c r="A648" s="42" t="inlineStr">
        <is>
          <t>GSC-SL-000645</t>
        </is>
      </c>
      <c r="B648" t="inlineStr">
        <is>
          <t>SZ-SL-000645</t>
        </is>
      </c>
      <c r="C648" t="inlineStr">
        <is>
          <t>WT-SL-MENKOSHI-HIKI</t>
        </is>
      </c>
      <c r="D648" t="inlineStr">
        <is>
          <t>SP-SL-GRILLE-V</t>
        </is>
      </c>
      <c r="E648" t="inlineStr">
        <is>
          <t>07407</t>
        </is>
      </c>
      <c r="F648" t="b">
        <v>1</v>
      </c>
      <c r="G648" t="n">
        <v>98</v>
      </c>
      <c r="H648" t="inlineStr">
        <is>
          <t>無印</t>
        </is>
      </c>
      <c r="I648" t="n">
        <v>98</v>
      </c>
      <c r="J648" t="inlineStr">
        <is>
          <t>P98|無印</t>
        </is>
      </c>
      <c r="K648" t="inlineStr">
        <is>
          <t>同頁凡例へ直接連動</t>
        </is>
      </c>
      <c r="L648" t="inlineStr">
        <is>
          <t>202604_LIXIL_サーモスＬ_業務用資料集_完成品価格表.pdf</t>
        </is>
      </c>
      <c r="M648" t="inlineStr">
        <is>
          <t>v0.6：同一価格表セクション内で凡例継承を確定。</t>
        </is>
      </c>
      <c r="N648" t="inlineStr">
        <is>
          <t>https://drive.google.com/file/d/1YUN-mtWYs48YBUHJk0C3vJXnhjyZFHyf/view</t>
        </is>
      </c>
    </row>
    <row r="649">
      <c r="A649" s="42" t="inlineStr">
        <is>
          <t>GSC-SL-000646</t>
        </is>
      </c>
      <c r="B649" t="inlineStr">
        <is>
          <t>SZ-SL-000646</t>
        </is>
      </c>
      <c r="C649" t="inlineStr">
        <is>
          <t>WT-SL-MENKOSHI-HIKI</t>
        </is>
      </c>
      <c r="D649" t="inlineStr">
        <is>
          <t>SP-SL-GRILLE-V</t>
        </is>
      </c>
      <c r="E649" t="inlineStr">
        <is>
          <t>07807</t>
        </is>
      </c>
      <c r="F649" t="b">
        <v>1</v>
      </c>
      <c r="G649" t="n">
        <v>98</v>
      </c>
      <c r="H649" t="inlineStr">
        <is>
          <t>無印</t>
        </is>
      </c>
      <c r="I649" t="n">
        <v>98</v>
      </c>
      <c r="J649" t="inlineStr">
        <is>
          <t>P98|無印</t>
        </is>
      </c>
      <c r="K649" t="inlineStr">
        <is>
          <t>同頁凡例へ直接連動</t>
        </is>
      </c>
      <c r="L649" t="inlineStr">
        <is>
          <t>202604_LIXIL_サーモスＬ_業務用資料集_完成品価格表.pdf</t>
        </is>
      </c>
      <c r="M649" t="inlineStr">
        <is>
          <t>v0.6：同一価格表セクション内で凡例継承を確定。</t>
        </is>
      </c>
      <c r="N649" t="inlineStr">
        <is>
          <t>https://drive.google.com/file/d/1YUN-mtWYs48YBUHJk0C3vJXnhjyZFHyf/view</t>
        </is>
      </c>
    </row>
    <row r="650">
      <c r="A650" s="42" t="inlineStr">
        <is>
          <t>GSC-SL-000647</t>
        </is>
      </c>
      <c r="B650" t="inlineStr">
        <is>
          <t>SZ-SL-000647</t>
        </is>
      </c>
      <c r="C650" t="inlineStr">
        <is>
          <t>WT-SL-MENKOSHI-HIKI</t>
        </is>
      </c>
      <c r="D650" t="inlineStr">
        <is>
          <t>SP-SL-GRILLE-DIA</t>
        </is>
      </c>
      <c r="E650" t="inlineStr">
        <is>
          <t>08007</t>
        </is>
      </c>
      <c r="F650" t="b">
        <v>1</v>
      </c>
      <c r="G650" t="n">
        <v>99</v>
      </c>
      <c r="H650" t="inlineStr">
        <is>
          <t>無印</t>
        </is>
      </c>
      <c r="I650" t="n">
        <v>98</v>
      </c>
      <c r="J650" t="inlineStr">
        <is>
          <t>P98|無印</t>
        </is>
      </c>
      <c r="K650" t="inlineStr">
        <is>
          <t>同一価格表・前頁凡例を継承</t>
        </is>
      </c>
      <c r="L650" t="inlineStr">
        <is>
          <t>202604_LIXIL_サーモスＬ_業務用資料集_完成品価格表.pdf</t>
        </is>
      </c>
      <c r="M650" t="inlineStr">
        <is>
          <t>v0.6：同一価格表セクション内で凡例継承を確定。</t>
        </is>
      </c>
      <c r="N650" t="inlineStr">
        <is>
          <t>https://drive.google.com/file/d/1YUN-mtWYs48YBUHJk0C3vJXnhjyZFHyf/view</t>
        </is>
      </c>
    </row>
    <row r="651">
      <c r="A651" s="42" t="inlineStr">
        <is>
          <t>GSC-SL-000648</t>
        </is>
      </c>
      <c r="B651" t="inlineStr">
        <is>
          <t>SZ-SL-000648</t>
        </is>
      </c>
      <c r="C651" t="inlineStr">
        <is>
          <t>WT-SL-MENKOSHI-HIKI</t>
        </is>
      </c>
      <c r="D651" t="inlineStr">
        <is>
          <t>SP-SL-GRILLE-DIA</t>
        </is>
      </c>
      <c r="E651" t="inlineStr">
        <is>
          <t>08307</t>
        </is>
      </c>
      <c r="F651" t="b">
        <v>1</v>
      </c>
      <c r="G651" t="n">
        <v>99</v>
      </c>
      <c r="H651" t="inlineStr">
        <is>
          <t>無印</t>
        </is>
      </c>
      <c r="I651" t="n">
        <v>98</v>
      </c>
      <c r="J651" t="inlineStr">
        <is>
          <t>P98|無印</t>
        </is>
      </c>
      <c r="K651" t="inlineStr">
        <is>
          <t>同一価格表・前頁凡例を継承</t>
        </is>
      </c>
      <c r="L651" t="inlineStr">
        <is>
          <t>202604_LIXIL_サーモスＬ_業務用資料集_完成品価格表.pdf</t>
        </is>
      </c>
      <c r="M651" t="inlineStr">
        <is>
          <t>v0.6：同一価格表セクション内で凡例継承を確定。</t>
        </is>
      </c>
      <c r="N651" t="inlineStr">
        <is>
          <t>https://drive.google.com/file/d/1YUN-mtWYs48YBUHJk0C3vJXnhjyZFHyf/view</t>
        </is>
      </c>
    </row>
    <row r="652">
      <c r="A652" s="42" t="inlineStr">
        <is>
          <t>GSC-SL-000649</t>
        </is>
      </c>
      <c r="B652" t="inlineStr">
        <is>
          <t>SZ-SL-000649</t>
        </is>
      </c>
      <c r="C652" t="inlineStr">
        <is>
          <t>WT-SL-MENKOSHI-HIKI</t>
        </is>
      </c>
      <c r="D652" t="inlineStr">
        <is>
          <t>SP-SL-GRILLE-DIA</t>
        </is>
      </c>
      <c r="E652" t="inlineStr">
        <is>
          <t>11407</t>
        </is>
      </c>
      <c r="F652" t="b">
        <v>1</v>
      </c>
      <c r="G652" t="n">
        <v>99</v>
      </c>
      <c r="H652" t="inlineStr">
        <is>
          <t>無印</t>
        </is>
      </c>
      <c r="I652" t="n">
        <v>98</v>
      </c>
      <c r="J652" t="inlineStr">
        <is>
          <t>P98|無印</t>
        </is>
      </c>
      <c r="K652" t="inlineStr">
        <is>
          <t>同一価格表・前頁凡例を継承</t>
        </is>
      </c>
      <c r="L652" t="inlineStr">
        <is>
          <t>202604_LIXIL_サーモスＬ_業務用資料集_完成品価格表.pdf</t>
        </is>
      </c>
      <c r="M652" t="inlineStr">
        <is>
          <t>v0.6：同一価格表セクション内で凡例継承を確定。</t>
        </is>
      </c>
      <c r="N652" t="inlineStr">
        <is>
          <t>https://drive.google.com/file/d/1YUN-mtWYs48YBUHJk0C3vJXnhjyZFHyf/view</t>
        </is>
      </c>
    </row>
    <row r="653">
      <c r="A653" s="42" t="inlineStr">
        <is>
          <t>GSC-SL-000650</t>
        </is>
      </c>
      <c r="B653" t="inlineStr">
        <is>
          <t>SZ-SL-000650</t>
        </is>
      </c>
      <c r="C653" t="inlineStr">
        <is>
          <t>WT-SL-MENKOSHI-HIKI</t>
        </is>
      </c>
      <c r="D653" t="inlineStr">
        <is>
          <t>SP-SL-GRILLE-DIA</t>
        </is>
      </c>
      <c r="E653" t="inlineStr">
        <is>
          <t>11907</t>
        </is>
      </c>
      <c r="F653" t="b">
        <v>1</v>
      </c>
      <c r="G653" t="n">
        <v>99</v>
      </c>
      <c r="H653" t="inlineStr">
        <is>
          <t>無印</t>
        </is>
      </c>
      <c r="I653" t="n">
        <v>98</v>
      </c>
      <c r="J653" t="inlineStr">
        <is>
          <t>P98|無印</t>
        </is>
      </c>
      <c r="K653" t="inlineStr">
        <is>
          <t>同一価格表・前頁凡例を継承</t>
        </is>
      </c>
      <c r="L653" t="inlineStr">
        <is>
          <t>202604_LIXIL_サーモスＬ_業務用資料集_完成品価格表.pdf</t>
        </is>
      </c>
      <c r="M653" t="inlineStr">
        <is>
          <t>v0.6：同一価格表セクション内で凡例継承を確定。</t>
        </is>
      </c>
      <c r="N653" t="inlineStr">
        <is>
          <t>https://drive.google.com/file/d/1YUN-mtWYs48YBUHJk0C3vJXnhjyZFHyf/view</t>
        </is>
      </c>
    </row>
    <row r="654">
      <c r="A654" s="42" t="inlineStr">
        <is>
          <t>GSC-SL-000651</t>
        </is>
      </c>
      <c r="B654" t="inlineStr">
        <is>
          <t>SZ-SL-000651</t>
        </is>
      </c>
      <c r="C654" t="inlineStr">
        <is>
          <t>WT-SL-MENKOSHI-HIKI</t>
        </is>
      </c>
      <c r="D654" t="inlineStr">
        <is>
          <t>SP-SL-GRILLE-DIA</t>
        </is>
      </c>
      <c r="E654" t="inlineStr">
        <is>
          <t>12807</t>
        </is>
      </c>
      <c r="F654" t="b">
        <v>1</v>
      </c>
      <c r="G654" t="n">
        <v>99</v>
      </c>
      <c r="H654" t="inlineStr">
        <is>
          <t>無印</t>
        </is>
      </c>
      <c r="I654" t="n">
        <v>98</v>
      </c>
      <c r="J654" t="inlineStr">
        <is>
          <t>P98|無印</t>
        </is>
      </c>
      <c r="K654" t="inlineStr">
        <is>
          <t>同一価格表・前頁凡例を継承</t>
        </is>
      </c>
      <c r="L654" t="inlineStr">
        <is>
          <t>202604_LIXIL_サーモスＬ_業務用資料集_完成品価格表.pdf</t>
        </is>
      </c>
      <c r="M654" t="inlineStr">
        <is>
          <t>v0.6：同一価格表セクション内で凡例継承を確定。</t>
        </is>
      </c>
      <c r="N654" t="inlineStr">
        <is>
          <t>https://drive.google.com/file/d/1YUN-mtWYs48YBUHJk0C3vJXnhjyZFHyf/view</t>
        </is>
      </c>
    </row>
    <row r="655">
      <c r="A655" s="42" t="inlineStr">
        <is>
          <t>GSC-SL-000652</t>
        </is>
      </c>
      <c r="B655" t="inlineStr">
        <is>
          <t>SZ-SL-000652</t>
        </is>
      </c>
      <c r="C655" t="inlineStr">
        <is>
          <t>WT-SL-MENKOSHI-HIKI</t>
        </is>
      </c>
      <c r="D655" t="inlineStr">
        <is>
          <t>SP-SL-GRILLE-H</t>
        </is>
      </c>
      <c r="E655" t="inlineStr">
        <is>
          <t>08007</t>
        </is>
      </c>
      <c r="F655" t="b">
        <v>1</v>
      </c>
      <c r="G655" t="n">
        <v>99</v>
      </c>
      <c r="H655" t="inlineStr">
        <is>
          <t>無印</t>
        </is>
      </c>
      <c r="I655" t="n">
        <v>98</v>
      </c>
      <c r="J655" t="inlineStr">
        <is>
          <t>P98|無印</t>
        </is>
      </c>
      <c r="K655" t="inlineStr">
        <is>
          <t>同一価格表・前頁凡例を継承</t>
        </is>
      </c>
      <c r="L655" t="inlineStr">
        <is>
          <t>202604_LIXIL_サーモスＬ_業務用資料集_完成品価格表.pdf</t>
        </is>
      </c>
      <c r="M655" t="inlineStr">
        <is>
          <t>v0.6：同一価格表セクション内で凡例継承を確定。</t>
        </is>
      </c>
      <c r="N655" t="inlineStr">
        <is>
          <t>https://drive.google.com/file/d/1YUN-mtWYs48YBUHJk0C3vJXnhjyZFHyf/view</t>
        </is>
      </c>
    </row>
    <row r="656">
      <c r="A656" s="42" t="inlineStr">
        <is>
          <t>GSC-SL-000653</t>
        </is>
      </c>
      <c r="B656" t="inlineStr">
        <is>
          <t>SZ-SL-000653</t>
        </is>
      </c>
      <c r="C656" t="inlineStr">
        <is>
          <t>WT-SL-MENKOSHI-HIKI</t>
        </is>
      </c>
      <c r="D656" t="inlineStr">
        <is>
          <t>SP-SL-GRILLE-H</t>
        </is>
      </c>
      <c r="E656" t="inlineStr">
        <is>
          <t>08307</t>
        </is>
      </c>
      <c r="F656" t="b">
        <v>1</v>
      </c>
      <c r="G656" t="n">
        <v>99</v>
      </c>
      <c r="H656" t="inlineStr">
        <is>
          <t>無印</t>
        </is>
      </c>
      <c r="I656" t="n">
        <v>98</v>
      </c>
      <c r="J656" t="inlineStr">
        <is>
          <t>P98|無印</t>
        </is>
      </c>
      <c r="K656" t="inlineStr">
        <is>
          <t>同一価格表・前頁凡例を継承</t>
        </is>
      </c>
      <c r="L656" t="inlineStr">
        <is>
          <t>202604_LIXIL_サーモスＬ_業務用資料集_完成品価格表.pdf</t>
        </is>
      </c>
      <c r="M656" t="inlineStr">
        <is>
          <t>v0.6：同一価格表セクション内で凡例継承を確定。</t>
        </is>
      </c>
      <c r="N656" t="inlineStr">
        <is>
          <t>https://drive.google.com/file/d/1YUN-mtWYs48YBUHJk0C3vJXnhjyZFHyf/view</t>
        </is>
      </c>
    </row>
    <row r="657">
      <c r="A657" s="42" t="inlineStr">
        <is>
          <t>GSC-SL-000654</t>
        </is>
      </c>
      <c r="B657" t="inlineStr">
        <is>
          <t>SZ-SL-000654</t>
        </is>
      </c>
      <c r="C657" t="inlineStr">
        <is>
          <t>WT-SL-MENKOSHI-HIKI</t>
        </is>
      </c>
      <c r="D657" t="inlineStr">
        <is>
          <t>SP-SL-GRILLE-H</t>
        </is>
      </c>
      <c r="E657" t="inlineStr">
        <is>
          <t>11407</t>
        </is>
      </c>
      <c r="F657" t="b">
        <v>1</v>
      </c>
      <c r="G657" t="n">
        <v>99</v>
      </c>
      <c r="H657" t="inlineStr">
        <is>
          <t>無印</t>
        </is>
      </c>
      <c r="I657" t="n">
        <v>98</v>
      </c>
      <c r="J657" t="inlineStr">
        <is>
          <t>P98|無印</t>
        </is>
      </c>
      <c r="K657" t="inlineStr">
        <is>
          <t>同一価格表・前頁凡例を継承</t>
        </is>
      </c>
      <c r="L657" t="inlineStr">
        <is>
          <t>202604_LIXIL_サーモスＬ_業務用資料集_完成品価格表.pdf</t>
        </is>
      </c>
      <c r="M657" t="inlineStr">
        <is>
          <t>v0.6：同一価格表セクション内で凡例継承を確定。</t>
        </is>
      </c>
      <c r="N657" t="inlineStr">
        <is>
          <t>https://drive.google.com/file/d/1YUN-mtWYs48YBUHJk0C3vJXnhjyZFHyf/view</t>
        </is>
      </c>
    </row>
    <row r="658">
      <c r="A658" s="42" t="inlineStr">
        <is>
          <t>GSC-SL-000655</t>
        </is>
      </c>
      <c r="B658" t="inlineStr">
        <is>
          <t>SZ-SL-000655</t>
        </is>
      </c>
      <c r="C658" t="inlineStr">
        <is>
          <t>WT-SL-MENKOSHI-HIKI</t>
        </is>
      </c>
      <c r="D658" t="inlineStr">
        <is>
          <t>SP-SL-GRILLE-H</t>
        </is>
      </c>
      <c r="E658" t="inlineStr">
        <is>
          <t>11907</t>
        </is>
      </c>
      <c r="F658" t="b">
        <v>1</v>
      </c>
      <c r="G658" t="n">
        <v>99</v>
      </c>
      <c r="H658" t="inlineStr">
        <is>
          <t>無印</t>
        </is>
      </c>
      <c r="I658" t="n">
        <v>98</v>
      </c>
      <c r="J658" t="inlineStr">
        <is>
          <t>P98|無印</t>
        </is>
      </c>
      <c r="K658" t="inlineStr">
        <is>
          <t>同一価格表・前頁凡例を継承</t>
        </is>
      </c>
      <c r="L658" t="inlineStr">
        <is>
          <t>202604_LIXIL_サーモスＬ_業務用資料集_完成品価格表.pdf</t>
        </is>
      </c>
      <c r="M658" t="inlineStr">
        <is>
          <t>v0.6：同一価格表セクション内で凡例継承を確定。</t>
        </is>
      </c>
      <c r="N658" t="inlineStr">
        <is>
          <t>https://drive.google.com/file/d/1YUN-mtWYs48YBUHJk0C3vJXnhjyZFHyf/view</t>
        </is>
      </c>
    </row>
    <row r="659">
      <c r="A659" s="42" t="inlineStr">
        <is>
          <t>GSC-SL-000656</t>
        </is>
      </c>
      <c r="B659" t="inlineStr">
        <is>
          <t>SZ-SL-000656</t>
        </is>
      </c>
      <c r="C659" t="inlineStr">
        <is>
          <t>WT-SL-MENKOSHI-HIKI</t>
        </is>
      </c>
      <c r="D659" t="inlineStr">
        <is>
          <t>SP-SL-GRILLE-H</t>
        </is>
      </c>
      <c r="E659" t="inlineStr">
        <is>
          <t>12807</t>
        </is>
      </c>
      <c r="F659" t="b">
        <v>1</v>
      </c>
      <c r="G659" t="n">
        <v>99</v>
      </c>
      <c r="H659" t="inlineStr">
        <is>
          <t>無印</t>
        </is>
      </c>
      <c r="I659" t="n">
        <v>98</v>
      </c>
      <c r="J659" t="inlineStr">
        <is>
          <t>P98|無印</t>
        </is>
      </c>
      <c r="K659" t="inlineStr">
        <is>
          <t>同一価格表・前頁凡例を継承</t>
        </is>
      </c>
      <c r="L659" t="inlineStr">
        <is>
          <t>202604_LIXIL_サーモスＬ_業務用資料集_完成品価格表.pdf</t>
        </is>
      </c>
      <c r="M659" t="inlineStr">
        <is>
          <t>v0.6：同一価格表セクション内で凡例継承を確定。</t>
        </is>
      </c>
      <c r="N659" t="inlineStr">
        <is>
          <t>https://drive.google.com/file/d/1YUN-mtWYs48YBUHJk0C3vJXnhjyZFHyf/view</t>
        </is>
      </c>
    </row>
    <row r="660">
      <c r="A660" s="42" t="inlineStr">
        <is>
          <t>GSC-SL-000657</t>
        </is>
      </c>
      <c r="B660" t="inlineStr">
        <is>
          <t>SZ-SL-000657</t>
        </is>
      </c>
      <c r="C660" t="inlineStr">
        <is>
          <t>WT-SL-MENKOSHI-HIKI</t>
        </is>
      </c>
      <c r="D660" t="inlineStr">
        <is>
          <t>SP-SL-GRILLE-IGETA</t>
        </is>
      </c>
      <c r="E660" t="inlineStr">
        <is>
          <t>08007</t>
        </is>
      </c>
      <c r="F660" t="b">
        <v>1</v>
      </c>
      <c r="G660" t="n">
        <v>99</v>
      </c>
      <c r="H660" t="inlineStr">
        <is>
          <t>無印</t>
        </is>
      </c>
      <c r="I660" t="n">
        <v>98</v>
      </c>
      <c r="J660" t="inlineStr">
        <is>
          <t>P98|無印</t>
        </is>
      </c>
      <c r="K660" t="inlineStr">
        <is>
          <t>同一価格表・前頁凡例を継承</t>
        </is>
      </c>
      <c r="L660" t="inlineStr">
        <is>
          <t>202604_LIXIL_サーモスＬ_業務用資料集_完成品価格表.pdf</t>
        </is>
      </c>
      <c r="M660" t="inlineStr">
        <is>
          <t>v0.6：同一価格表セクション内で凡例継承を確定。</t>
        </is>
      </c>
      <c r="N660" t="inlineStr">
        <is>
          <t>https://drive.google.com/file/d/1YUN-mtWYs48YBUHJk0C3vJXnhjyZFHyf/view</t>
        </is>
      </c>
    </row>
    <row r="661">
      <c r="A661" s="42" t="inlineStr">
        <is>
          <t>GSC-SL-000658</t>
        </is>
      </c>
      <c r="B661" t="inlineStr">
        <is>
          <t>SZ-SL-000658</t>
        </is>
      </c>
      <c r="C661" t="inlineStr">
        <is>
          <t>WT-SL-MENKOSHI-HIKI</t>
        </is>
      </c>
      <c r="D661" t="inlineStr">
        <is>
          <t>SP-SL-GRILLE-IGETA</t>
        </is>
      </c>
      <c r="E661" t="inlineStr">
        <is>
          <t>08307</t>
        </is>
      </c>
      <c r="F661" t="b">
        <v>1</v>
      </c>
      <c r="G661" t="n">
        <v>99</v>
      </c>
      <c r="H661" t="inlineStr">
        <is>
          <t>無印</t>
        </is>
      </c>
      <c r="I661" t="n">
        <v>98</v>
      </c>
      <c r="J661" t="inlineStr">
        <is>
          <t>P98|無印</t>
        </is>
      </c>
      <c r="K661" t="inlineStr">
        <is>
          <t>同一価格表・前頁凡例を継承</t>
        </is>
      </c>
      <c r="L661" t="inlineStr">
        <is>
          <t>202604_LIXIL_サーモスＬ_業務用資料集_完成品価格表.pdf</t>
        </is>
      </c>
      <c r="M661" t="inlineStr">
        <is>
          <t>v0.6：同一価格表セクション内で凡例継承を確定。</t>
        </is>
      </c>
      <c r="N661" t="inlineStr">
        <is>
          <t>https://drive.google.com/file/d/1YUN-mtWYs48YBUHJk0C3vJXnhjyZFHyf/view</t>
        </is>
      </c>
    </row>
    <row r="662">
      <c r="A662" s="42" t="inlineStr">
        <is>
          <t>GSC-SL-000659</t>
        </is>
      </c>
      <c r="B662" t="inlineStr">
        <is>
          <t>SZ-SL-000659</t>
        </is>
      </c>
      <c r="C662" t="inlineStr">
        <is>
          <t>WT-SL-MENKOSHI-HIKI</t>
        </is>
      </c>
      <c r="D662" t="inlineStr">
        <is>
          <t>SP-SL-GRILLE-IGETA</t>
        </is>
      </c>
      <c r="E662" t="inlineStr">
        <is>
          <t>11407</t>
        </is>
      </c>
      <c r="F662" t="b">
        <v>1</v>
      </c>
      <c r="G662" t="n">
        <v>99</v>
      </c>
      <c r="H662" t="inlineStr">
        <is>
          <t>無印</t>
        </is>
      </c>
      <c r="I662" t="n">
        <v>98</v>
      </c>
      <c r="J662" t="inlineStr">
        <is>
          <t>P98|無印</t>
        </is>
      </c>
      <c r="K662" t="inlineStr">
        <is>
          <t>同一価格表・前頁凡例を継承</t>
        </is>
      </c>
      <c r="L662" t="inlineStr">
        <is>
          <t>202604_LIXIL_サーモスＬ_業務用資料集_完成品価格表.pdf</t>
        </is>
      </c>
      <c r="M662" t="inlineStr">
        <is>
          <t>v0.6：同一価格表セクション内で凡例継承を確定。</t>
        </is>
      </c>
      <c r="N662" t="inlineStr">
        <is>
          <t>https://drive.google.com/file/d/1YUN-mtWYs48YBUHJk0C3vJXnhjyZFHyf/view</t>
        </is>
      </c>
    </row>
    <row r="663">
      <c r="A663" s="42" t="inlineStr">
        <is>
          <t>GSC-SL-000660</t>
        </is>
      </c>
      <c r="B663" t="inlineStr">
        <is>
          <t>SZ-SL-000660</t>
        </is>
      </c>
      <c r="C663" t="inlineStr">
        <is>
          <t>WT-SL-MENKOSHI-HIKI</t>
        </is>
      </c>
      <c r="D663" t="inlineStr">
        <is>
          <t>SP-SL-GRILLE-IGETA</t>
        </is>
      </c>
      <c r="E663" t="inlineStr">
        <is>
          <t>11907</t>
        </is>
      </c>
      <c r="F663" t="b">
        <v>1</v>
      </c>
      <c r="G663" t="n">
        <v>99</v>
      </c>
      <c r="H663" t="inlineStr">
        <is>
          <t>無印</t>
        </is>
      </c>
      <c r="I663" t="n">
        <v>98</v>
      </c>
      <c r="J663" t="inlineStr">
        <is>
          <t>P98|無印</t>
        </is>
      </c>
      <c r="K663" t="inlineStr">
        <is>
          <t>同一価格表・前頁凡例を継承</t>
        </is>
      </c>
      <c r="L663" t="inlineStr">
        <is>
          <t>202604_LIXIL_サーモスＬ_業務用資料集_完成品価格表.pdf</t>
        </is>
      </c>
      <c r="M663" t="inlineStr">
        <is>
          <t>v0.6：同一価格表セクション内で凡例継承を確定。</t>
        </is>
      </c>
      <c r="N663" t="inlineStr">
        <is>
          <t>https://drive.google.com/file/d/1YUN-mtWYs48YBUHJk0C3vJXnhjyZFHyf/view</t>
        </is>
      </c>
    </row>
    <row r="664">
      <c r="A664" s="42" t="inlineStr">
        <is>
          <t>GSC-SL-000661</t>
        </is>
      </c>
      <c r="B664" t="inlineStr">
        <is>
          <t>SZ-SL-000661</t>
        </is>
      </c>
      <c r="C664" t="inlineStr">
        <is>
          <t>WT-SL-MENKOSHI-HIKI</t>
        </is>
      </c>
      <c r="D664" t="inlineStr">
        <is>
          <t>SP-SL-GRILLE-IGETA</t>
        </is>
      </c>
      <c r="E664" t="inlineStr">
        <is>
          <t>12807</t>
        </is>
      </c>
      <c r="F664" t="b">
        <v>1</v>
      </c>
      <c r="G664" t="n">
        <v>99</v>
      </c>
      <c r="H664" t="inlineStr">
        <is>
          <t>無印</t>
        </is>
      </c>
      <c r="I664" t="n">
        <v>98</v>
      </c>
      <c r="J664" t="inlineStr">
        <is>
          <t>P98|無印</t>
        </is>
      </c>
      <c r="K664" t="inlineStr">
        <is>
          <t>同一価格表・前頁凡例を継承</t>
        </is>
      </c>
      <c r="L664" t="inlineStr">
        <is>
          <t>202604_LIXIL_サーモスＬ_業務用資料集_完成品価格表.pdf</t>
        </is>
      </c>
      <c r="M664" t="inlineStr">
        <is>
          <t>v0.6：同一価格表セクション内で凡例継承を確定。</t>
        </is>
      </c>
      <c r="N664" t="inlineStr">
        <is>
          <t>https://drive.google.com/file/d/1YUN-mtWYs48YBUHJk0C3vJXnhjyZFHyf/view</t>
        </is>
      </c>
    </row>
    <row r="665">
      <c r="A665" s="42" t="inlineStr">
        <is>
          <t>GSC-SL-000662</t>
        </is>
      </c>
      <c r="B665" t="inlineStr">
        <is>
          <t>SZ-SL-000662</t>
        </is>
      </c>
      <c r="C665" t="inlineStr">
        <is>
          <t>WT-SL-MENKOSHI-HIKI</t>
        </is>
      </c>
      <c r="D665" t="inlineStr">
        <is>
          <t>SP-SL-GRILLE-V</t>
        </is>
      </c>
      <c r="E665" t="inlineStr">
        <is>
          <t>08007</t>
        </is>
      </c>
      <c r="F665" t="b">
        <v>1</v>
      </c>
      <c r="G665" t="n">
        <v>99</v>
      </c>
      <c r="H665" t="inlineStr">
        <is>
          <t>無印</t>
        </is>
      </c>
      <c r="I665" t="n">
        <v>98</v>
      </c>
      <c r="J665" t="inlineStr">
        <is>
          <t>P98|無印</t>
        </is>
      </c>
      <c r="K665" t="inlineStr">
        <is>
          <t>同一価格表・前頁凡例を継承</t>
        </is>
      </c>
      <c r="L665" t="inlineStr">
        <is>
          <t>202604_LIXIL_サーモスＬ_業務用資料集_完成品価格表.pdf</t>
        </is>
      </c>
      <c r="M665" t="inlineStr">
        <is>
          <t>v0.6：同一価格表セクション内で凡例継承を確定。</t>
        </is>
      </c>
      <c r="N665" t="inlineStr">
        <is>
          <t>https://drive.google.com/file/d/1YUN-mtWYs48YBUHJk0C3vJXnhjyZFHyf/view</t>
        </is>
      </c>
    </row>
    <row r="666">
      <c r="A666" s="42" t="inlineStr">
        <is>
          <t>GSC-SL-000663</t>
        </is>
      </c>
      <c r="B666" t="inlineStr">
        <is>
          <t>SZ-SL-000663</t>
        </is>
      </c>
      <c r="C666" t="inlineStr">
        <is>
          <t>WT-SL-MENKOSHI-HIKI</t>
        </is>
      </c>
      <c r="D666" t="inlineStr">
        <is>
          <t>SP-SL-GRILLE-V</t>
        </is>
      </c>
      <c r="E666" t="inlineStr">
        <is>
          <t>08307</t>
        </is>
      </c>
      <c r="F666" t="b">
        <v>1</v>
      </c>
      <c r="G666" t="n">
        <v>99</v>
      </c>
      <c r="H666" t="inlineStr">
        <is>
          <t>無印</t>
        </is>
      </c>
      <c r="I666" t="n">
        <v>98</v>
      </c>
      <c r="J666" t="inlineStr">
        <is>
          <t>P98|無印</t>
        </is>
      </c>
      <c r="K666" t="inlineStr">
        <is>
          <t>同一価格表・前頁凡例を継承</t>
        </is>
      </c>
      <c r="L666" t="inlineStr">
        <is>
          <t>202604_LIXIL_サーモスＬ_業務用資料集_完成品価格表.pdf</t>
        </is>
      </c>
      <c r="M666" t="inlineStr">
        <is>
          <t>v0.6：同一価格表セクション内で凡例継承を確定。</t>
        </is>
      </c>
      <c r="N666" t="inlineStr">
        <is>
          <t>https://drive.google.com/file/d/1YUN-mtWYs48YBUHJk0C3vJXnhjyZFHyf/view</t>
        </is>
      </c>
    </row>
    <row r="667">
      <c r="A667" s="42" t="inlineStr">
        <is>
          <t>GSC-SL-000664</t>
        </is>
      </c>
      <c r="B667" t="inlineStr">
        <is>
          <t>SZ-SL-000664</t>
        </is>
      </c>
      <c r="C667" t="inlineStr">
        <is>
          <t>WT-SL-MENKOSHI-HIKI</t>
        </is>
      </c>
      <c r="D667" t="inlineStr">
        <is>
          <t>SP-SL-GRILLE-V</t>
        </is>
      </c>
      <c r="E667" t="inlineStr">
        <is>
          <t>11407</t>
        </is>
      </c>
      <c r="F667" t="b">
        <v>1</v>
      </c>
      <c r="G667" t="n">
        <v>99</v>
      </c>
      <c r="H667" t="inlineStr">
        <is>
          <t>無印</t>
        </is>
      </c>
      <c r="I667" t="n">
        <v>98</v>
      </c>
      <c r="J667" t="inlineStr">
        <is>
          <t>P98|無印</t>
        </is>
      </c>
      <c r="K667" t="inlineStr">
        <is>
          <t>同一価格表・前頁凡例を継承</t>
        </is>
      </c>
      <c r="L667" t="inlineStr">
        <is>
          <t>202604_LIXIL_サーモスＬ_業務用資料集_完成品価格表.pdf</t>
        </is>
      </c>
      <c r="M667" t="inlineStr">
        <is>
          <t>v0.6：同一価格表セクション内で凡例継承を確定。</t>
        </is>
      </c>
      <c r="N667" t="inlineStr">
        <is>
          <t>https://drive.google.com/file/d/1YUN-mtWYs48YBUHJk0C3vJXnhjyZFHyf/view</t>
        </is>
      </c>
    </row>
    <row r="668">
      <c r="A668" s="42" t="inlineStr">
        <is>
          <t>GSC-SL-000665</t>
        </is>
      </c>
      <c r="B668" t="inlineStr">
        <is>
          <t>SZ-SL-000665</t>
        </is>
      </c>
      <c r="C668" t="inlineStr">
        <is>
          <t>WT-SL-MENKOSHI-HIKI</t>
        </is>
      </c>
      <c r="D668" t="inlineStr">
        <is>
          <t>SP-SL-GRILLE-V</t>
        </is>
      </c>
      <c r="E668" t="inlineStr">
        <is>
          <t>11907</t>
        </is>
      </c>
      <c r="F668" t="b">
        <v>1</v>
      </c>
      <c r="G668" t="n">
        <v>99</v>
      </c>
      <c r="H668" t="inlineStr">
        <is>
          <t>無印</t>
        </is>
      </c>
      <c r="I668" t="n">
        <v>98</v>
      </c>
      <c r="J668" t="inlineStr">
        <is>
          <t>P98|無印</t>
        </is>
      </c>
      <c r="K668" t="inlineStr">
        <is>
          <t>同一価格表・前頁凡例を継承</t>
        </is>
      </c>
      <c r="L668" t="inlineStr">
        <is>
          <t>202604_LIXIL_サーモスＬ_業務用資料集_完成品価格表.pdf</t>
        </is>
      </c>
      <c r="M668" t="inlineStr">
        <is>
          <t>v0.6：同一価格表セクション内で凡例継承を確定。</t>
        </is>
      </c>
      <c r="N668" t="inlineStr">
        <is>
          <t>https://drive.google.com/file/d/1YUN-mtWYs48YBUHJk0C3vJXnhjyZFHyf/view</t>
        </is>
      </c>
    </row>
    <row r="669">
      <c r="A669" s="42" t="inlineStr">
        <is>
          <t>GSC-SL-000666</t>
        </is>
      </c>
      <c r="B669" t="inlineStr">
        <is>
          <t>SZ-SL-000666</t>
        </is>
      </c>
      <c r="C669" t="inlineStr">
        <is>
          <t>WT-SL-MENKOSHI-HIKI</t>
        </is>
      </c>
      <c r="D669" t="inlineStr">
        <is>
          <t>SP-SL-GRILLE-V</t>
        </is>
      </c>
      <c r="E669" t="inlineStr">
        <is>
          <t>12807</t>
        </is>
      </c>
      <c r="F669" t="b">
        <v>1</v>
      </c>
      <c r="G669" t="n">
        <v>99</v>
      </c>
      <c r="H669" t="inlineStr">
        <is>
          <t>無印</t>
        </is>
      </c>
      <c r="I669" t="n">
        <v>98</v>
      </c>
      <c r="J669" t="inlineStr">
        <is>
          <t>P98|無印</t>
        </is>
      </c>
      <c r="K669" t="inlineStr">
        <is>
          <t>同一価格表・前頁凡例を継承</t>
        </is>
      </c>
      <c r="L669" t="inlineStr">
        <is>
          <t>202604_LIXIL_サーモスＬ_業務用資料集_完成品価格表.pdf</t>
        </is>
      </c>
      <c r="M669" t="inlineStr">
        <is>
          <t>v0.6：同一価格表セクション内で凡例継承を確定。</t>
        </is>
      </c>
      <c r="N669" t="inlineStr">
        <is>
          <t>https://drive.google.com/file/d/1YUN-mtWYs48YBUHJk0C3vJXnhjyZFHyf/view</t>
        </is>
      </c>
    </row>
    <row r="670">
      <c r="A670" s="42" t="inlineStr">
        <is>
          <t>GSC-SL-000667</t>
        </is>
      </c>
      <c r="B670" t="inlineStr">
        <is>
          <t>SZ-SL-000667</t>
        </is>
      </c>
      <c r="C670" t="inlineStr">
        <is>
          <t>WT-SL-MENKOSHI-HIKI</t>
        </is>
      </c>
      <c r="D670" t="inlineStr">
        <is>
          <t>SP-SL-GRILLE-DIA</t>
        </is>
      </c>
      <c r="E670" t="inlineStr">
        <is>
          <t>13307</t>
        </is>
      </c>
      <c r="F670" t="b">
        <v>1</v>
      </c>
      <c r="G670" t="n">
        <v>100</v>
      </c>
      <c r="H670" t="inlineStr">
        <is>
          <t>無印</t>
        </is>
      </c>
      <c r="I670" t="n">
        <v>100</v>
      </c>
      <c r="J670" t="inlineStr">
        <is>
          <t>P100|無印</t>
        </is>
      </c>
      <c r="K670" t="inlineStr">
        <is>
          <t>同頁凡例へ直接連動</t>
        </is>
      </c>
      <c r="L670" t="inlineStr">
        <is>
          <t>202604_LIXIL_サーモスＬ_業務用資料集_完成品価格表.pdf</t>
        </is>
      </c>
      <c r="M670" t="inlineStr">
        <is>
          <t>v0.6：同一価格表セクション内で凡例継承を確定。</t>
        </is>
      </c>
      <c r="N670" t="inlineStr">
        <is>
          <t>https://drive.google.com/file/d/1YUN-mtWYs48YBUHJk0C3vJXnhjyZFHyf/view</t>
        </is>
      </c>
    </row>
    <row r="671">
      <c r="A671" s="42" t="inlineStr">
        <is>
          <t>GSC-SL-000668</t>
        </is>
      </c>
      <c r="B671" t="inlineStr">
        <is>
          <t>SZ-SL-000668</t>
        </is>
      </c>
      <c r="C671" t="inlineStr">
        <is>
          <t>WT-SL-MENKOSHI-HIKI</t>
        </is>
      </c>
      <c r="D671" t="inlineStr">
        <is>
          <t>SP-SL-GRILLE-DIA</t>
        </is>
      </c>
      <c r="E671" t="inlineStr">
        <is>
          <t>15007</t>
        </is>
      </c>
      <c r="F671" t="b">
        <v>1</v>
      </c>
      <c r="G671" t="n">
        <v>100</v>
      </c>
      <c r="H671" t="inlineStr">
        <is>
          <t>無印</t>
        </is>
      </c>
      <c r="I671" t="n">
        <v>100</v>
      </c>
      <c r="J671" t="inlineStr">
        <is>
          <t>P100|無印</t>
        </is>
      </c>
      <c r="K671" t="inlineStr">
        <is>
          <t>同頁凡例へ直接連動</t>
        </is>
      </c>
      <c r="L671" t="inlineStr">
        <is>
          <t>202604_LIXIL_サーモスＬ_業務用資料集_完成品価格表.pdf</t>
        </is>
      </c>
      <c r="M671" t="inlineStr">
        <is>
          <t>v0.6：同一価格表セクション内で凡例継承を確定。</t>
        </is>
      </c>
      <c r="N671" t="inlineStr">
        <is>
          <t>https://drive.google.com/file/d/1YUN-mtWYs48YBUHJk0C3vJXnhjyZFHyf/view</t>
        </is>
      </c>
    </row>
    <row r="672">
      <c r="A672" s="42" t="inlineStr">
        <is>
          <t>GSC-SL-000669</t>
        </is>
      </c>
      <c r="B672" t="inlineStr">
        <is>
          <t>SZ-SL-000669</t>
        </is>
      </c>
      <c r="C672" t="inlineStr">
        <is>
          <t>WT-SL-MENKOSHI-HIKI</t>
        </is>
      </c>
      <c r="D672" t="inlineStr">
        <is>
          <t>SP-SL-GRILLE-DIA</t>
        </is>
      </c>
      <c r="E672" t="inlineStr">
        <is>
          <t>16007</t>
        </is>
      </c>
      <c r="F672" t="b">
        <v>1</v>
      </c>
      <c r="G672" t="n">
        <v>100</v>
      </c>
      <c r="H672" t="inlineStr">
        <is>
          <t>無印</t>
        </is>
      </c>
      <c r="I672" t="n">
        <v>100</v>
      </c>
      <c r="J672" t="inlineStr">
        <is>
          <t>P100|無印</t>
        </is>
      </c>
      <c r="K672" t="inlineStr">
        <is>
          <t>同頁凡例へ直接連動</t>
        </is>
      </c>
      <c r="L672" t="inlineStr">
        <is>
          <t>202604_LIXIL_サーモスＬ_業務用資料集_完成品価格表.pdf</t>
        </is>
      </c>
      <c r="M672" t="inlineStr">
        <is>
          <t>v0.6：同一価格表セクション内で凡例継承を確定。</t>
        </is>
      </c>
      <c r="N672" t="inlineStr">
        <is>
          <t>https://drive.google.com/file/d/1YUN-mtWYs48YBUHJk0C3vJXnhjyZFHyf/view</t>
        </is>
      </c>
    </row>
    <row r="673">
      <c r="A673" s="42" t="inlineStr">
        <is>
          <t>GSC-SL-000670</t>
        </is>
      </c>
      <c r="B673" t="inlineStr">
        <is>
          <t>SZ-SL-000670</t>
        </is>
      </c>
      <c r="C673" t="inlineStr">
        <is>
          <t>WT-SL-MENKOSHI-HIKI</t>
        </is>
      </c>
      <c r="D673" t="inlineStr">
        <is>
          <t>SP-SL-GRILLE-DIA</t>
        </is>
      </c>
      <c r="E673" t="inlineStr">
        <is>
          <t>16507</t>
        </is>
      </c>
      <c r="F673" t="b">
        <v>1</v>
      </c>
      <c r="G673" t="n">
        <v>100</v>
      </c>
      <c r="H673" t="inlineStr">
        <is>
          <t>無印</t>
        </is>
      </c>
      <c r="I673" t="n">
        <v>100</v>
      </c>
      <c r="J673" t="inlineStr">
        <is>
          <t>P100|無印</t>
        </is>
      </c>
      <c r="K673" t="inlineStr">
        <is>
          <t>同頁凡例へ直接連動</t>
        </is>
      </c>
      <c r="L673" t="inlineStr">
        <is>
          <t>202604_LIXIL_サーモスＬ_業務用資料集_完成品価格表.pdf</t>
        </is>
      </c>
      <c r="M673" t="inlineStr">
        <is>
          <t>v0.6：同一価格表セクション内で凡例継承を確定。</t>
        </is>
      </c>
      <c r="N673" t="inlineStr">
        <is>
          <t>https://drive.google.com/file/d/1YUN-mtWYs48YBUHJk0C3vJXnhjyZFHyf/view</t>
        </is>
      </c>
    </row>
    <row r="674">
      <c r="A674" s="42" t="inlineStr">
        <is>
          <t>GSC-SL-000671</t>
        </is>
      </c>
      <c r="B674" t="inlineStr">
        <is>
          <t>SZ-SL-000671</t>
        </is>
      </c>
      <c r="C674" t="inlineStr">
        <is>
          <t>WT-SL-MENKOSHI-HIKI</t>
        </is>
      </c>
      <c r="D674" t="inlineStr">
        <is>
          <t>SP-SL-GRILLE-H</t>
        </is>
      </c>
      <c r="E674" t="inlineStr">
        <is>
          <t>13307</t>
        </is>
      </c>
      <c r="F674" t="b">
        <v>1</v>
      </c>
      <c r="G674" t="n">
        <v>100</v>
      </c>
      <c r="H674" t="inlineStr">
        <is>
          <t>無印</t>
        </is>
      </c>
      <c r="I674" t="n">
        <v>100</v>
      </c>
      <c r="J674" t="inlineStr">
        <is>
          <t>P100|無印</t>
        </is>
      </c>
      <c r="K674" t="inlineStr">
        <is>
          <t>同頁凡例へ直接連動</t>
        </is>
      </c>
      <c r="L674" t="inlineStr">
        <is>
          <t>202604_LIXIL_サーモスＬ_業務用資料集_完成品価格表.pdf</t>
        </is>
      </c>
      <c r="M674" t="inlineStr">
        <is>
          <t>v0.6：同一価格表セクション内で凡例継承を確定。</t>
        </is>
      </c>
      <c r="N674" t="inlineStr">
        <is>
          <t>https://drive.google.com/file/d/1YUN-mtWYs48YBUHJk0C3vJXnhjyZFHyf/view</t>
        </is>
      </c>
    </row>
    <row r="675">
      <c r="A675" s="42" t="inlineStr">
        <is>
          <t>GSC-SL-000672</t>
        </is>
      </c>
      <c r="B675" t="inlineStr">
        <is>
          <t>SZ-SL-000672</t>
        </is>
      </c>
      <c r="C675" t="inlineStr">
        <is>
          <t>WT-SL-MENKOSHI-HIKI</t>
        </is>
      </c>
      <c r="D675" t="inlineStr">
        <is>
          <t>SP-SL-GRILLE-H</t>
        </is>
      </c>
      <c r="E675" t="inlineStr">
        <is>
          <t>15007</t>
        </is>
      </c>
      <c r="F675" t="b">
        <v>0</v>
      </c>
      <c r="G675" t="n">
        <v>100</v>
      </c>
      <c r="H675" t="inlineStr">
        <is>
          <t>無印</t>
        </is>
      </c>
      <c r="I675" t="n">
        <v>100</v>
      </c>
      <c r="J675" t="inlineStr">
        <is>
          <t>P100|無印</t>
        </is>
      </c>
      <c r="K675" t="inlineStr">
        <is>
          <t>同頁凡例へ直接連動</t>
        </is>
      </c>
      <c r="L675" t="inlineStr">
        <is>
          <t>202604_LIXIL_サーモスＬ_業務用資料集_完成品価格表.pdf</t>
        </is>
      </c>
      <c r="M675" t="inlineStr">
        <is>
          <t>v0.6：同一価格表セクション内で凡例継承を確定。</t>
        </is>
      </c>
      <c r="N675" t="inlineStr">
        <is>
          <t>https://drive.google.com/file/d/1YUN-mtWYs48YBUHJk0C3vJXnhjyZFHyf/view</t>
        </is>
      </c>
    </row>
    <row r="676">
      <c r="A676" s="42" t="inlineStr">
        <is>
          <t>GSC-SL-000673</t>
        </is>
      </c>
      <c r="B676" t="inlineStr">
        <is>
          <t>SZ-SL-000673</t>
        </is>
      </c>
      <c r="C676" t="inlineStr">
        <is>
          <t>WT-SL-MENKOSHI-HIKI</t>
        </is>
      </c>
      <c r="D676" t="inlineStr">
        <is>
          <t>SP-SL-GRILLE-H</t>
        </is>
      </c>
      <c r="E676" t="inlineStr">
        <is>
          <t>16007</t>
        </is>
      </c>
      <c r="F676" t="b">
        <v>0</v>
      </c>
      <c r="G676" t="n">
        <v>100</v>
      </c>
      <c r="H676" t="inlineStr">
        <is>
          <t>無印</t>
        </is>
      </c>
      <c r="I676" t="n">
        <v>100</v>
      </c>
      <c r="J676" t="inlineStr">
        <is>
          <t>P100|無印</t>
        </is>
      </c>
      <c r="K676" t="inlineStr">
        <is>
          <t>同頁凡例へ直接連動</t>
        </is>
      </c>
      <c r="L676" t="inlineStr">
        <is>
          <t>202604_LIXIL_サーモスＬ_業務用資料集_完成品価格表.pdf</t>
        </is>
      </c>
      <c r="M676" t="inlineStr">
        <is>
          <t>v0.6：同一価格表セクション内で凡例継承を確定。</t>
        </is>
      </c>
      <c r="N676" t="inlineStr">
        <is>
          <t>https://drive.google.com/file/d/1YUN-mtWYs48YBUHJk0C3vJXnhjyZFHyf/view</t>
        </is>
      </c>
    </row>
    <row r="677">
      <c r="A677" s="42" t="inlineStr">
        <is>
          <t>GSC-SL-000674</t>
        </is>
      </c>
      <c r="B677" t="inlineStr">
        <is>
          <t>SZ-SL-000674</t>
        </is>
      </c>
      <c r="C677" t="inlineStr">
        <is>
          <t>WT-SL-MENKOSHI-HIKI</t>
        </is>
      </c>
      <c r="D677" t="inlineStr">
        <is>
          <t>SP-SL-GRILLE-H</t>
        </is>
      </c>
      <c r="E677" t="inlineStr">
        <is>
          <t>16507</t>
        </is>
      </c>
      <c r="F677" t="b">
        <v>0</v>
      </c>
      <c r="G677" t="n">
        <v>100</v>
      </c>
      <c r="H677" t="inlineStr">
        <is>
          <t>無印</t>
        </is>
      </c>
      <c r="I677" t="n">
        <v>100</v>
      </c>
      <c r="J677" t="inlineStr">
        <is>
          <t>P100|無印</t>
        </is>
      </c>
      <c r="K677" t="inlineStr">
        <is>
          <t>同頁凡例へ直接連動</t>
        </is>
      </c>
      <c r="L677" t="inlineStr">
        <is>
          <t>202604_LIXIL_サーモスＬ_業務用資料集_完成品価格表.pdf</t>
        </is>
      </c>
      <c r="M677" t="inlineStr">
        <is>
          <t>v0.6：同一価格表セクション内で凡例継承を確定。</t>
        </is>
      </c>
      <c r="N677" t="inlineStr">
        <is>
          <t>https://drive.google.com/file/d/1YUN-mtWYs48YBUHJk0C3vJXnhjyZFHyf/view</t>
        </is>
      </c>
    </row>
    <row r="678">
      <c r="A678" s="42" t="inlineStr">
        <is>
          <t>GSC-SL-000675</t>
        </is>
      </c>
      <c r="B678" t="inlineStr">
        <is>
          <t>SZ-SL-000675</t>
        </is>
      </c>
      <c r="C678" t="inlineStr">
        <is>
          <t>WT-SL-MENKOSHI-HIKI</t>
        </is>
      </c>
      <c r="D678" t="inlineStr">
        <is>
          <t>SP-SL-GRILLE-IGETA</t>
        </is>
      </c>
      <c r="E678" t="inlineStr">
        <is>
          <t>13307</t>
        </is>
      </c>
      <c r="F678" t="b">
        <v>1</v>
      </c>
      <c r="G678" t="n">
        <v>100</v>
      </c>
      <c r="H678" t="inlineStr">
        <is>
          <t>無印</t>
        </is>
      </c>
      <c r="I678" t="n">
        <v>100</v>
      </c>
      <c r="J678" t="inlineStr">
        <is>
          <t>P100|無印</t>
        </is>
      </c>
      <c r="K678" t="inlineStr">
        <is>
          <t>同頁凡例へ直接連動</t>
        </is>
      </c>
      <c r="L678" t="inlineStr">
        <is>
          <t>202604_LIXIL_サーモスＬ_業務用資料集_完成品価格表.pdf</t>
        </is>
      </c>
      <c r="M678" t="inlineStr">
        <is>
          <t>v0.6：同一価格表セクション内で凡例継承を確定。</t>
        </is>
      </c>
      <c r="N678" t="inlineStr">
        <is>
          <t>https://drive.google.com/file/d/1YUN-mtWYs48YBUHJk0C3vJXnhjyZFHyf/view</t>
        </is>
      </c>
    </row>
    <row r="679">
      <c r="A679" s="42" t="inlineStr">
        <is>
          <t>GSC-SL-000676</t>
        </is>
      </c>
      <c r="B679" t="inlineStr">
        <is>
          <t>SZ-SL-000676</t>
        </is>
      </c>
      <c r="C679" t="inlineStr">
        <is>
          <t>WT-SL-MENKOSHI-HIKI</t>
        </is>
      </c>
      <c r="D679" t="inlineStr">
        <is>
          <t>SP-SL-GRILLE-IGETA</t>
        </is>
      </c>
      <c r="E679" t="inlineStr">
        <is>
          <t>15007</t>
        </is>
      </c>
      <c r="F679" t="b">
        <v>1</v>
      </c>
      <c r="G679" t="n">
        <v>100</v>
      </c>
      <c r="H679" t="inlineStr">
        <is>
          <t>無印</t>
        </is>
      </c>
      <c r="I679" t="n">
        <v>100</v>
      </c>
      <c r="J679" t="inlineStr">
        <is>
          <t>P100|無印</t>
        </is>
      </c>
      <c r="K679" t="inlineStr">
        <is>
          <t>同頁凡例へ直接連動</t>
        </is>
      </c>
      <c r="L679" t="inlineStr">
        <is>
          <t>202604_LIXIL_サーモスＬ_業務用資料集_完成品価格表.pdf</t>
        </is>
      </c>
      <c r="M679" t="inlineStr">
        <is>
          <t>v0.6：同一価格表セクション内で凡例継承を確定。</t>
        </is>
      </c>
      <c r="N679" t="inlineStr">
        <is>
          <t>https://drive.google.com/file/d/1YUN-mtWYs48YBUHJk0C3vJXnhjyZFHyf/view</t>
        </is>
      </c>
    </row>
    <row r="680">
      <c r="A680" s="42" t="inlineStr">
        <is>
          <t>GSC-SL-000677</t>
        </is>
      </c>
      <c r="B680" t="inlineStr">
        <is>
          <t>SZ-SL-000677</t>
        </is>
      </c>
      <c r="C680" t="inlineStr">
        <is>
          <t>WT-SL-MENKOSHI-HIKI</t>
        </is>
      </c>
      <c r="D680" t="inlineStr">
        <is>
          <t>SP-SL-GRILLE-IGETA</t>
        </is>
      </c>
      <c r="E680" t="inlineStr">
        <is>
          <t>16007</t>
        </is>
      </c>
      <c r="F680" t="b">
        <v>1</v>
      </c>
      <c r="G680" t="n">
        <v>100</v>
      </c>
      <c r="H680" t="inlineStr">
        <is>
          <t>無印</t>
        </is>
      </c>
      <c r="I680" t="n">
        <v>100</v>
      </c>
      <c r="J680" t="inlineStr">
        <is>
          <t>P100|無印</t>
        </is>
      </c>
      <c r="K680" t="inlineStr">
        <is>
          <t>同頁凡例へ直接連動</t>
        </is>
      </c>
      <c r="L680" t="inlineStr">
        <is>
          <t>202604_LIXIL_サーモスＬ_業務用資料集_完成品価格表.pdf</t>
        </is>
      </c>
      <c r="M680" t="inlineStr">
        <is>
          <t>v0.6：同一価格表セクション内で凡例継承を確定。</t>
        </is>
      </c>
      <c r="N680" t="inlineStr">
        <is>
          <t>https://drive.google.com/file/d/1YUN-mtWYs48YBUHJk0C3vJXnhjyZFHyf/view</t>
        </is>
      </c>
    </row>
    <row r="681">
      <c r="A681" s="42" t="inlineStr">
        <is>
          <t>GSC-SL-000678</t>
        </is>
      </c>
      <c r="B681" t="inlineStr">
        <is>
          <t>SZ-SL-000678</t>
        </is>
      </c>
      <c r="C681" t="inlineStr">
        <is>
          <t>WT-SL-MENKOSHI-HIKI</t>
        </is>
      </c>
      <c r="D681" t="inlineStr">
        <is>
          <t>SP-SL-GRILLE-IGETA</t>
        </is>
      </c>
      <c r="E681" t="inlineStr">
        <is>
          <t>16507</t>
        </is>
      </c>
      <c r="F681" t="b">
        <v>1</v>
      </c>
      <c r="G681" t="n">
        <v>100</v>
      </c>
      <c r="H681" t="inlineStr">
        <is>
          <t>無印</t>
        </is>
      </c>
      <c r="I681" t="n">
        <v>100</v>
      </c>
      <c r="J681" t="inlineStr">
        <is>
          <t>P100|無印</t>
        </is>
      </c>
      <c r="K681" t="inlineStr">
        <is>
          <t>同頁凡例へ直接連動</t>
        </is>
      </c>
      <c r="L681" t="inlineStr">
        <is>
          <t>202604_LIXIL_サーモスＬ_業務用資料集_完成品価格表.pdf</t>
        </is>
      </c>
      <c r="M681" t="inlineStr">
        <is>
          <t>v0.6：同一価格表セクション内で凡例継承を確定。</t>
        </is>
      </c>
      <c r="N681" t="inlineStr">
        <is>
          <t>https://drive.google.com/file/d/1YUN-mtWYs48YBUHJk0C3vJXnhjyZFHyf/view</t>
        </is>
      </c>
    </row>
    <row r="682">
      <c r="A682" s="42" t="inlineStr">
        <is>
          <t>GSC-SL-000679</t>
        </is>
      </c>
      <c r="B682" t="inlineStr">
        <is>
          <t>SZ-SL-000679</t>
        </is>
      </c>
      <c r="C682" t="inlineStr">
        <is>
          <t>WT-SL-MENKOSHI-HIKI</t>
        </is>
      </c>
      <c r="D682" t="inlineStr">
        <is>
          <t>SP-SL-GRILLE-V</t>
        </is>
      </c>
      <c r="E682" t="inlineStr">
        <is>
          <t>13307</t>
        </is>
      </c>
      <c r="F682" t="b">
        <v>1</v>
      </c>
      <c r="G682" t="n">
        <v>100</v>
      </c>
      <c r="H682" t="inlineStr">
        <is>
          <t>無印</t>
        </is>
      </c>
      <c r="I682" t="n">
        <v>100</v>
      </c>
      <c r="J682" t="inlineStr">
        <is>
          <t>P100|無印</t>
        </is>
      </c>
      <c r="K682" t="inlineStr">
        <is>
          <t>同頁凡例へ直接連動</t>
        </is>
      </c>
      <c r="L682" t="inlineStr">
        <is>
          <t>202604_LIXIL_サーモスＬ_業務用資料集_完成品価格表.pdf</t>
        </is>
      </c>
      <c r="M682" t="inlineStr">
        <is>
          <t>v0.6：同一価格表セクション内で凡例継承を確定。</t>
        </is>
      </c>
      <c r="N682" t="inlineStr">
        <is>
          <t>https://drive.google.com/file/d/1YUN-mtWYs48YBUHJk0C3vJXnhjyZFHyf/view</t>
        </is>
      </c>
    </row>
    <row r="683">
      <c r="A683" s="42" t="inlineStr">
        <is>
          <t>GSC-SL-000680</t>
        </is>
      </c>
      <c r="B683" t="inlineStr">
        <is>
          <t>SZ-SL-000680</t>
        </is>
      </c>
      <c r="C683" t="inlineStr">
        <is>
          <t>WT-SL-MENKOSHI-HIKI</t>
        </is>
      </c>
      <c r="D683" t="inlineStr">
        <is>
          <t>SP-SL-GRILLE-V</t>
        </is>
      </c>
      <c r="E683" t="inlineStr">
        <is>
          <t>15007</t>
        </is>
      </c>
      <c r="F683" t="b">
        <v>1</v>
      </c>
      <c r="G683" t="n">
        <v>100</v>
      </c>
      <c r="H683" t="inlineStr">
        <is>
          <t>無印</t>
        </is>
      </c>
      <c r="I683" t="n">
        <v>100</v>
      </c>
      <c r="J683" t="inlineStr">
        <is>
          <t>P100|無印</t>
        </is>
      </c>
      <c r="K683" t="inlineStr">
        <is>
          <t>同頁凡例へ直接連動</t>
        </is>
      </c>
      <c r="L683" t="inlineStr">
        <is>
          <t>202604_LIXIL_サーモスＬ_業務用資料集_完成品価格表.pdf</t>
        </is>
      </c>
      <c r="M683" t="inlineStr">
        <is>
          <t>v0.6：同一価格表セクション内で凡例継承を確定。</t>
        </is>
      </c>
      <c r="N683" t="inlineStr">
        <is>
          <t>https://drive.google.com/file/d/1YUN-mtWYs48YBUHJk0C3vJXnhjyZFHyf/view</t>
        </is>
      </c>
    </row>
    <row r="684">
      <c r="A684" s="42" t="inlineStr">
        <is>
          <t>GSC-SL-000681</t>
        </is>
      </c>
      <c r="B684" t="inlineStr">
        <is>
          <t>SZ-SL-000681</t>
        </is>
      </c>
      <c r="C684" t="inlineStr">
        <is>
          <t>WT-SL-MENKOSHI-HIKI</t>
        </is>
      </c>
      <c r="D684" t="inlineStr">
        <is>
          <t>SP-SL-GRILLE-V</t>
        </is>
      </c>
      <c r="E684" t="inlineStr">
        <is>
          <t>16007</t>
        </is>
      </c>
      <c r="F684" t="b">
        <v>1</v>
      </c>
      <c r="G684" t="n">
        <v>100</v>
      </c>
      <c r="H684" t="inlineStr">
        <is>
          <t>無印</t>
        </is>
      </c>
      <c r="I684" t="n">
        <v>100</v>
      </c>
      <c r="J684" t="inlineStr">
        <is>
          <t>P100|無印</t>
        </is>
      </c>
      <c r="K684" t="inlineStr">
        <is>
          <t>同頁凡例へ直接連動</t>
        </is>
      </c>
      <c r="L684" t="inlineStr">
        <is>
          <t>202604_LIXIL_サーモスＬ_業務用資料集_完成品価格表.pdf</t>
        </is>
      </c>
      <c r="M684" t="inlineStr">
        <is>
          <t>v0.6：同一価格表セクション内で凡例継承を確定。</t>
        </is>
      </c>
      <c r="N684" t="inlineStr">
        <is>
          <t>https://drive.google.com/file/d/1YUN-mtWYs48YBUHJk0C3vJXnhjyZFHyf/view</t>
        </is>
      </c>
    </row>
    <row r="685">
      <c r="A685" s="42" t="inlineStr">
        <is>
          <t>GSC-SL-000682</t>
        </is>
      </c>
      <c r="B685" t="inlineStr">
        <is>
          <t>SZ-SL-000682</t>
        </is>
      </c>
      <c r="C685" t="inlineStr">
        <is>
          <t>WT-SL-MENKOSHI-HIKI</t>
        </is>
      </c>
      <c r="D685" t="inlineStr">
        <is>
          <t>SP-SL-GRILLE-V</t>
        </is>
      </c>
      <c r="E685" t="inlineStr">
        <is>
          <t>16507</t>
        </is>
      </c>
      <c r="F685" t="b">
        <v>1</v>
      </c>
      <c r="G685" t="n">
        <v>100</v>
      </c>
      <c r="H685" t="inlineStr">
        <is>
          <t>無印</t>
        </is>
      </c>
      <c r="I685" t="n">
        <v>100</v>
      </c>
      <c r="J685" t="inlineStr">
        <is>
          <t>P100|無印</t>
        </is>
      </c>
      <c r="K685" t="inlineStr">
        <is>
          <t>同頁凡例へ直接連動</t>
        </is>
      </c>
      <c r="L685" t="inlineStr">
        <is>
          <t>202604_LIXIL_サーモスＬ_業務用資料集_完成品価格表.pdf</t>
        </is>
      </c>
      <c r="M685" t="inlineStr">
        <is>
          <t>v0.6：同一価格表セクション内で凡例継承を確定。</t>
        </is>
      </c>
      <c r="N685" t="inlineStr">
        <is>
          <t>https://drive.google.com/file/d/1YUN-mtWYs48YBUHJk0C3vJXnhjyZFHyf/view</t>
        </is>
      </c>
    </row>
    <row r="686">
      <c r="A686" s="42" t="inlineStr">
        <is>
          <t>GSC-SL-000683</t>
        </is>
      </c>
      <c r="B686" t="inlineStr">
        <is>
          <t>SZ-SL-000683</t>
        </is>
      </c>
      <c r="C686" t="inlineStr">
        <is>
          <t>WT-SL-MENKOSHI-HIKI</t>
        </is>
      </c>
      <c r="D686" t="inlineStr">
        <is>
          <t>SP-SL-GRILLE-DIA</t>
        </is>
      </c>
      <c r="E686" t="inlineStr">
        <is>
          <t>17407</t>
        </is>
      </c>
      <c r="F686" t="b">
        <v>1</v>
      </c>
      <c r="G686" t="n">
        <v>101</v>
      </c>
      <c r="H686" t="inlineStr">
        <is>
          <t>無印</t>
        </is>
      </c>
      <c r="I686" t="n">
        <v>100</v>
      </c>
      <c r="J686" t="inlineStr">
        <is>
          <t>P100|無印</t>
        </is>
      </c>
      <c r="K686" t="inlineStr">
        <is>
          <t>同一価格表・前頁凡例を継承</t>
        </is>
      </c>
      <c r="L686" t="inlineStr">
        <is>
          <t>202604_LIXIL_サーモスＬ_業務用資料集_完成品価格表.pdf</t>
        </is>
      </c>
      <c r="M686" t="inlineStr">
        <is>
          <t>v0.6：同一価格表セクション内で凡例継承を確定。</t>
        </is>
      </c>
      <c r="N686" t="inlineStr">
        <is>
          <t>https://drive.google.com/file/d/1YUN-mtWYs48YBUHJk0C3vJXnhjyZFHyf/view</t>
        </is>
      </c>
    </row>
    <row r="687">
      <c r="A687" s="42" t="inlineStr">
        <is>
          <t>GSC-SL-000684</t>
        </is>
      </c>
      <c r="B687" t="inlineStr">
        <is>
          <t>SZ-SL-000684</t>
        </is>
      </c>
      <c r="C687" t="inlineStr">
        <is>
          <t>WT-SL-MENKOSHI-HIKI</t>
        </is>
      </c>
      <c r="D687" t="inlineStr">
        <is>
          <t>SP-SL-GRILLE-DIA</t>
        </is>
      </c>
      <c r="E687" t="inlineStr">
        <is>
          <t>17607</t>
        </is>
      </c>
      <c r="F687" t="b">
        <v>1</v>
      </c>
      <c r="G687" t="n">
        <v>101</v>
      </c>
      <c r="H687" t="inlineStr">
        <is>
          <t>無印</t>
        </is>
      </c>
      <c r="I687" t="n">
        <v>100</v>
      </c>
      <c r="J687" t="inlineStr">
        <is>
          <t>P100|無印</t>
        </is>
      </c>
      <c r="K687" t="inlineStr">
        <is>
          <t>同一価格表・前頁凡例を継承</t>
        </is>
      </c>
      <c r="L687" t="inlineStr">
        <is>
          <t>202604_LIXIL_サーモスＬ_業務用資料集_完成品価格表.pdf</t>
        </is>
      </c>
      <c r="M687" t="inlineStr">
        <is>
          <t>v0.6：同一価格表セクション内で凡例継承を確定。</t>
        </is>
      </c>
      <c r="N687" t="inlineStr">
        <is>
          <t>https://drive.google.com/file/d/1YUN-mtWYs48YBUHJk0C3vJXnhjyZFHyf/view</t>
        </is>
      </c>
    </row>
    <row r="688">
      <c r="A688" s="42" t="inlineStr">
        <is>
          <t>GSC-SL-000685</t>
        </is>
      </c>
      <c r="B688" t="inlineStr">
        <is>
          <t>SZ-SL-000685</t>
        </is>
      </c>
      <c r="C688" t="inlineStr">
        <is>
          <t>WT-SL-MENKOSHI-HIKI</t>
        </is>
      </c>
      <c r="D688" t="inlineStr">
        <is>
          <t>SP-SL-GRILLE-DIA</t>
        </is>
      </c>
      <c r="E688" t="inlineStr">
        <is>
          <t>18007</t>
        </is>
      </c>
      <c r="F688" t="b">
        <v>1</v>
      </c>
      <c r="G688" t="n">
        <v>101</v>
      </c>
      <c r="H688" t="inlineStr">
        <is>
          <t>無印</t>
        </is>
      </c>
      <c r="I688" t="n">
        <v>100</v>
      </c>
      <c r="J688" t="inlineStr">
        <is>
          <t>P100|無印</t>
        </is>
      </c>
      <c r="K688" t="inlineStr">
        <is>
          <t>同一価格表・前頁凡例を継承</t>
        </is>
      </c>
      <c r="L688" t="inlineStr">
        <is>
          <t>202604_LIXIL_サーモスＬ_業務用資料集_完成品価格表.pdf</t>
        </is>
      </c>
      <c r="M688" t="inlineStr">
        <is>
          <t>v0.6：同一価格表セクション内で凡例継承を確定。</t>
        </is>
      </c>
      <c r="N688" t="inlineStr">
        <is>
          <t>https://drive.google.com/file/d/1YUN-mtWYs48YBUHJk0C3vJXnhjyZFHyf/view</t>
        </is>
      </c>
    </row>
    <row r="689">
      <c r="A689" s="42" t="inlineStr">
        <is>
          <t>GSC-SL-000686</t>
        </is>
      </c>
      <c r="B689" t="inlineStr">
        <is>
          <t>SZ-SL-000686</t>
        </is>
      </c>
      <c r="C689" t="inlineStr">
        <is>
          <t>WT-SL-MENKOSHI-HIKI</t>
        </is>
      </c>
      <c r="D689" t="inlineStr">
        <is>
          <t>SP-SL-GRILLE-DIA</t>
        </is>
      </c>
      <c r="E689" t="inlineStr">
        <is>
          <t>18607</t>
        </is>
      </c>
      <c r="F689" t="b">
        <v>1</v>
      </c>
      <c r="G689" t="n">
        <v>101</v>
      </c>
      <c r="H689" t="inlineStr">
        <is>
          <t>無印</t>
        </is>
      </c>
      <c r="I689" t="n">
        <v>100</v>
      </c>
      <c r="J689" t="inlineStr">
        <is>
          <t>P100|無印</t>
        </is>
      </c>
      <c r="K689" t="inlineStr">
        <is>
          <t>同一価格表・前頁凡例を継承</t>
        </is>
      </c>
      <c r="L689" t="inlineStr">
        <is>
          <t>202604_LIXIL_サーモスＬ_業務用資料集_完成品価格表.pdf</t>
        </is>
      </c>
      <c r="M689" t="inlineStr">
        <is>
          <t>v0.6：同一価格表セクション内で凡例継承を確定。</t>
        </is>
      </c>
      <c r="N689" t="inlineStr">
        <is>
          <t>https://drive.google.com/file/d/1YUN-mtWYs48YBUHJk0C3vJXnhjyZFHyf/view</t>
        </is>
      </c>
    </row>
    <row r="690">
      <c r="A690" s="42" t="inlineStr">
        <is>
          <t>GSC-SL-000687</t>
        </is>
      </c>
      <c r="B690" t="inlineStr">
        <is>
          <t>SZ-SL-000687</t>
        </is>
      </c>
      <c r="C690" t="inlineStr">
        <is>
          <t>WT-SL-MENKOSHI-HIKI</t>
        </is>
      </c>
      <c r="D690" t="inlineStr">
        <is>
          <t>SP-SL-GRILLE-H</t>
        </is>
      </c>
      <c r="E690" t="inlineStr">
        <is>
          <t>17407</t>
        </is>
      </c>
      <c r="F690" t="b">
        <v>0</v>
      </c>
      <c r="G690" t="n">
        <v>101</v>
      </c>
      <c r="H690" t="inlineStr">
        <is>
          <t>無印</t>
        </is>
      </c>
      <c r="I690" t="n">
        <v>100</v>
      </c>
      <c r="J690" t="inlineStr">
        <is>
          <t>P100|無印</t>
        </is>
      </c>
      <c r="K690" t="inlineStr">
        <is>
          <t>同一価格表・前頁凡例を継承</t>
        </is>
      </c>
      <c r="L690" t="inlineStr">
        <is>
          <t>202604_LIXIL_サーモスＬ_業務用資料集_完成品価格表.pdf</t>
        </is>
      </c>
      <c r="M690" t="inlineStr">
        <is>
          <t>v0.6：同一価格表セクション内で凡例継承を確定。</t>
        </is>
      </c>
      <c r="N690" t="inlineStr">
        <is>
          <t>https://drive.google.com/file/d/1YUN-mtWYs48YBUHJk0C3vJXnhjyZFHyf/view</t>
        </is>
      </c>
    </row>
    <row r="691">
      <c r="A691" s="42" t="inlineStr">
        <is>
          <t>GSC-SL-000688</t>
        </is>
      </c>
      <c r="B691" t="inlineStr">
        <is>
          <t>SZ-SL-000688</t>
        </is>
      </c>
      <c r="C691" t="inlineStr">
        <is>
          <t>WT-SL-MENKOSHI-HIKI</t>
        </is>
      </c>
      <c r="D691" t="inlineStr">
        <is>
          <t>SP-SL-GRILLE-H</t>
        </is>
      </c>
      <c r="E691" t="inlineStr">
        <is>
          <t>17607</t>
        </is>
      </c>
      <c r="F691" t="b">
        <v>0</v>
      </c>
      <c r="G691" t="n">
        <v>101</v>
      </c>
      <c r="H691" t="inlineStr">
        <is>
          <t>無印</t>
        </is>
      </c>
      <c r="I691" t="n">
        <v>100</v>
      </c>
      <c r="J691" t="inlineStr">
        <is>
          <t>P100|無印</t>
        </is>
      </c>
      <c r="K691" t="inlineStr">
        <is>
          <t>同一価格表・前頁凡例を継承</t>
        </is>
      </c>
      <c r="L691" t="inlineStr">
        <is>
          <t>202604_LIXIL_サーモスＬ_業務用資料集_完成品価格表.pdf</t>
        </is>
      </c>
      <c r="M691" t="inlineStr">
        <is>
          <t>v0.6：同一価格表セクション内で凡例継承を確定。</t>
        </is>
      </c>
      <c r="N691" t="inlineStr">
        <is>
          <t>https://drive.google.com/file/d/1YUN-mtWYs48YBUHJk0C3vJXnhjyZFHyf/view</t>
        </is>
      </c>
    </row>
    <row r="692">
      <c r="A692" s="42" t="inlineStr">
        <is>
          <t>GSC-SL-000689</t>
        </is>
      </c>
      <c r="B692" t="inlineStr">
        <is>
          <t>SZ-SL-000689</t>
        </is>
      </c>
      <c r="C692" t="inlineStr">
        <is>
          <t>WT-SL-MENKOSHI-HIKI</t>
        </is>
      </c>
      <c r="D692" t="inlineStr">
        <is>
          <t>SP-SL-GRILLE-H</t>
        </is>
      </c>
      <c r="E692" t="inlineStr">
        <is>
          <t>18007</t>
        </is>
      </c>
      <c r="F692" t="b">
        <v>0</v>
      </c>
      <c r="G692" t="n">
        <v>101</v>
      </c>
      <c r="H692" t="inlineStr">
        <is>
          <t>無印</t>
        </is>
      </c>
      <c r="I692" t="n">
        <v>100</v>
      </c>
      <c r="J692" t="inlineStr">
        <is>
          <t>P100|無印</t>
        </is>
      </c>
      <c r="K692" t="inlineStr">
        <is>
          <t>同一価格表・前頁凡例を継承</t>
        </is>
      </c>
      <c r="L692" t="inlineStr">
        <is>
          <t>202604_LIXIL_サーモスＬ_業務用資料集_完成品価格表.pdf</t>
        </is>
      </c>
      <c r="M692" t="inlineStr">
        <is>
          <t>v0.6：同一価格表セクション内で凡例継承を確定。</t>
        </is>
      </c>
      <c r="N692" t="inlineStr">
        <is>
          <t>https://drive.google.com/file/d/1YUN-mtWYs48YBUHJk0C3vJXnhjyZFHyf/view</t>
        </is>
      </c>
    </row>
    <row r="693">
      <c r="A693" s="42" t="inlineStr">
        <is>
          <t>GSC-SL-000690</t>
        </is>
      </c>
      <c r="B693" t="inlineStr">
        <is>
          <t>SZ-SL-000690</t>
        </is>
      </c>
      <c r="C693" t="inlineStr">
        <is>
          <t>WT-SL-MENKOSHI-HIKI</t>
        </is>
      </c>
      <c r="D693" t="inlineStr">
        <is>
          <t>SP-SL-GRILLE-H</t>
        </is>
      </c>
      <c r="E693" t="inlineStr">
        <is>
          <t>18607</t>
        </is>
      </c>
      <c r="F693" t="b">
        <v>0</v>
      </c>
      <c r="G693" t="n">
        <v>101</v>
      </c>
      <c r="H693" t="inlineStr">
        <is>
          <t>無印</t>
        </is>
      </c>
      <c r="I693" t="n">
        <v>100</v>
      </c>
      <c r="J693" t="inlineStr">
        <is>
          <t>P100|無印</t>
        </is>
      </c>
      <c r="K693" t="inlineStr">
        <is>
          <t>同一価格表・前頁凡例を継承</t>
        </is>
      </c>
      <c r="L693" t="inlineStr">
        <is>
          <t>202604_LIXIL_サーモスＬ_業務用資料集_完成品価格表.pdf</t>
        </is>
      </c>
      <c r="M693" t="inlineStr">
        <is>
          <t>v0.6：同一価格表セクション内で凡例継承を確定。</t>
        </is>
      </c>
      <c r="N693" t="inlineStr">
        <is>
          <t>https://drive.google.com/file/d/1YUN-mtWYs48YBUHJk0C3vJXnhjyZFHyf/view</t>
        </is>
      </c>
    </row>
    <row r="694">
      <c r="A694" s="42" t="inlineStr">
        <is>
          <t>GSC-SL-000691</t>
        </is>
      </c>
      <c r="B694" t="inlineStr">
        <is>
          <t>SZ-SL-000691</t>
        </is>
      </c>
      <c r="C694" t="inlineStr">
        <is>
          <t>WT-SL-MENKOSHI-HIKI</t>
        </is>
      </c>
      <c r="D694" t="inlineStr">
        <is>
          <t>SP-SL-GRILLE-IGETA</t>
        </is>
      </c>
      <c r="E694" t="inlineStr">
        <is>
          <t>17407</t>
        </is>
      </c>
      <c r="F694" t="b">
        <v>1</v>
      </c>
      <c r="G694" t="n">
        <v>101</v>
      </c>
      <c r="H694" t="inlineStr">
        <is>
          <t>無印</t>
        </is>
      </c>
      <c r="I694" t="n">
        <v>100</v>
      </c>
      <c r="J694" t="inlineStr">
        <is>
          <t>P100|無印</t>
        </is>
      </c>
      <c r="K694" t="inlineStr">
        <is>
          <t>同一価格表・前頁凡例を継承</t>
        </is>
      </c>
      <c r="L694" t="inlineStr">
        <is>
          <t>202604_LIXIL_サーモスＬ_業務用資料集_完成品価格表.pdf</t>
        </is>
      </c>
      <c r="M694" t="inlineStr">
        <is>
          <t>v0.6：同一価格表セクション内で凡例継承を確定。</t>
        </is>
      </c>
      <c r="N694" t="inlineStr">
        <is>
          <t>https://drive.google.com/file/d/1YUN-mtWYs48YBUHJk0C3vJXnhjyZFHyf/view</t>
        </is>
      </c>
    </row>
    <row r="695">
      <c r="A695" s="42" t="inlineStr">
        <is>
          <t>GSC-SL-000692</t>
        </is>
      </c>
      <c r="B695" t="inlineStr">
        <is>
          <t>SZ-SL-000692</t>
        </is>
      </c>
      <c r="C695" t="inlineStr">
        <is>
          <t>WT-SL-MENKOSHI-HIKI</t>
        </is>
      </c>
      <c r="D695" t="inlineStr">
        <is>
          <t>SP-SL-GRILLE-IGETA</t>
        </is>
      </c>
      <c r="E695" t="inlineStr">
        <is>
          <t>17607</t>
        </is>
      </c>
      <c r="F695" t="b">
        <v>1</v>
      </c>
      <c r="G695" t="n">
        <v>101</v>
      </c>
      <c r="H695" t="inlineStr">
        <is>
          <t>無印</t>
        </is>
      </c>
      <c r="I695" t="n">
        <v>100</v>
      </c>
      <c r="J695" t="inlineStr">
        <is>
          <t>P100|無印</t>
        </is>
      </c>
      <c r="K695" t="inlineStr">
        <is>
          <t>同一価格表・前頁凡例を継承</t>
        </is>
      </c>
      <c r="L695" t="inlineStr">
        <is>
          <t>202604_LIXIL_サーモスＬ_業務用資料集_完成品価格表.pdf</t>
        </is>
      </c>
      <c r="M695" t="inlineStr">
        <is>
          <t>v0.6：同一価格表セクション内で凡例継承を確定。</t>
        </is>
      </c>
      <c r="N695" t="inlineStr">
        <is>
          <t>https://drive.google.com/file/d/1YUN-mtWYs48YBUHJk0C3vJXnhjyZFHyf/view</t>
        </is>
      </c>
    </row>
    <row r="696">
      <c r="A696" s="42" t="inlineStr">
        <is>
          <t>GSC-SL-000693</t>
        </is>
      </c>
      <c r="B696" t="inlineStr">
        <is>
          <t>SZ-SL-000693</t>
        </is>
      </c>
      <c r="C696" t="inlineStr">
        <is>
          <t>WT-SL-MENKOSHI-HIKI</t>
        </is>
      </c>
      <c r="D696" t="inlineStr">
        <is>
          <t>SP-SL-GRILLE-IGETA</t>
        </is>
      </c>
      <c r="E696" t="inlineStr">
        <is>
          <t>18007</t>
        </is>
      </c>
      <c r="F696" t="b">
        <v>1</v>
      </c>
      <c r="G696" t="n">
        <v>101</v>
      </c>
      <c r="H696" t="inlineStr">
        <is>
          <t>無印</t>
        </is>
      </c>
      <c r="I696" t="n">
        <v>100</v>
      </c>
      <c r="J696" t="inlineStr">
        <is>
          <t>P100|無印</t>
        </is>
      </c>
      <c r="K696" t="inlineStr">
        <is>
          <t>同一価格表・前頁凡例を継承</t>
        </is>
      </c>
      <c r="L696" t="inlineStr">
        <is>
          <t>202604_LIXIL_サーモスＬ_業務用資料集_完成品価格表.pdf</t>
        </is>
      </c>
      <c r="M696" t="inlineStr">
        <is>
          <t>v0.6：同一価格表セクション内で凡例継承を確定。</t>
        </is>
      </c>
      <c r="N696" t="inlineStr">
        <is>
          <t>https://drive.google.com/file/d/1YUN-mtWYs48YBUHJk0C3vJXnhjyZFHyf/view</t>
        </is>
      </c>
    </row>
    <row r="697">
      <c r="A697" s="42" t="inlineStr">
        <is>
          <t>GSC-SL-000694</t>
        </is>
      </c>
      <c r="B697" t="inlineStr">
        <is>
          <t>SZ-SL-000694</t>
        </is>
      </c>
      <c r="C697" t="inlineStr">
        <is>
          <t>WT-SL-MENKOSHI-HIKI</t>
        </is>
      </c>
      <c r="D697" t="inlineStr">
        <is>
          <t>SP-SL-GRILLE-IGETA</t>
        </is>
      </c>
      <c r="E697" t="inlineStr">
        <is>
          <t>18607</t>
        </is>
      </c>
      <c r="F697" t="b">
        <v>1</v>
      </c>
      <c r="G697" t="n">
        <v>101</v>
      </c>
      <c r="H697" t="inlineStr">
        <is>
          <t>無印</t>
        </is>
      </c>
      <c r="I697" t="n">
        <v>100</v>
      </c>
      <c r="J697" t="inlineStr">
        <is>
          <t>P100|無印</t>
        </is>
      </c>
      <c r="K697" t="inlineStr">
        <is>
          <t>同一価格表・前頁凡例を継承</t>
        </is>
      </c>
      <c r="L697" t="inlineStr">
        <is>
          <t>202604_LIXIL_サーモスＬ_業務用資料集_完成品価格表.pdf</t>
        </is>
      </c>
      <c r="M697" t="inlineStr">
        <is>
          <t>v0.6：同一価格表セクション内で凡例継承を確定。</t>
        </is>
      </c>
      <c r="N697" t="inlineStr">
        <is>
          <t>https://drive.google.com/file/d/1YUN-mtWYs48YBUHJk0C3vJXnhjyZFHyf/view</t>
        </is>
      </c>
    </row>
    <row r="698">
      <c r="A698" s="42" t="inlineStr">
        <is>
          <t>GSC-SL-000695</t>
        </is>
      </c>
      <c r="B698" t="inlineStr">
        <is>
          <t>SZ-SL-000695</t>
        </is>
      </c>
      <c r="C698" t="inlineStr">
        <is>
          <t>WT-SL-MENKOSHI-HIKI</t>
        </is>
      </c>
      <c r="D698" t="inlineStr">
        <is>
          <t>SP-SL-GRILLE-V</t>
        </is>
      </c>
      <c r="E698" t="inlineStr">
        <is>
          <t>17407</t>
        </is>
      </c>
      <c r="F698" t="b">
        <v>1</v>
      </c>
      <c r="G698" t="n">
        <v>101</v>
      </c>
      <c r="H698" t="inlineStr">
        <is>
          <t>無印</t>
        </is>
      </c>
      <c r="I698" t="n">
        <v>100</v>
      </c>
      <c r="J698" t="inlineStr">
        <is>
          <t>P100|無印</t>
        </is>
      </c>
      <c r="K698" t="inlineStr">
        <is>
          <t>同一価格表・前頁凡例を継承</t>
        </is>
      </c>
      <c r="L698" t="inlineStr">
        <is>
          <t>202604_LIXIL_サーモスＬ_業務用資料集_完成品価格表.pdf</t>
        </is>
      </c>
      <c r="M698" t="inlineStr">
        <is>
          <t>v0.6：同一価格表セクション内で凡例継承を確定。</t>
        </is>
      </c>
      <c r="N698" t="inlineStr">
        <is>
          <t>https://drive.google.com/file/d/1YUN-mtWYs48YBUHJk0C3vJXnhjyZFHyf/view</t>
        </is>
      </c>
    </row>
    <row r="699">
      <c r="A699" s="42" t="inlineStr">
        <is>
          <t>GSC-SL-000696</t>
        </is>
      </c>
      <c r="B699" t="inlineStr">
        <is>
          <t>SZ-SL-000696</t>
        </is>
      </c>
      <c r="C699" t="inlineStr">
        <is>
          <t>WT-SL-MENKOSHI-HIKI</t>
        </is>
      </c>
      <c r="D699" t="inlineStr">
        <is>
          <t>SP-SL-GRILLE-V</t>
        </is>
      </c>
      <c r="E699" t="inlineStr">
        <is>
          <t>17607</t>
        </is>
      </c>
      <c r="F699" t="b">
        <v>1</v>
      </c>
      <c r="G699" t="n">
        <v>101</v>
      </c>
      <c r="H699" t="inlineStr">
        <is>
          <t>無印</t>
        </is>
      </c>
      <c r="I699" t="n">
        <v>100</v>
      </c>
      <c r="J699" t="inlineStr">
        <is>
          <t>P100|無印</t>
        </is>
      </c>
      <c r="K699" t="inlineStr">
        <is>
          <t>同一価格表・前頁凡例を継承</t>
        </is>
      </c>
      <c r="L699" t="inlineStr">
        <is>
          <t>202604_LIXIL_サーモスＬ_業務用資料集_完成品価格表.pdf</t>
        </is>
      </c>
      <c r="M699" t="inlineStr">
        <is>
          <t>v0.6：同一価格表セクション内で凡例継承を確定。</t>
        </is>
      </c>
      <c r="N699" t="inlineStr">
        <is>
          <t>https://drive.google.com/file/d/1YUN-mtWYs48YBUHJk0C3vJXnhjyZFHyf/view</t>
        </is>
      </c>
    </row>
    <row r="700">
      <c r="A700" s="42" t="inlineStr">
        <is>
          <t>GSC-SL-000697</t>
        </is>
      </c>
      <c r="B700" t="inlineStr">
        <is>
          <t>SZ-SL-000697</t>
        </is>
      </c>
      <c r="C700" t="inlineStr">
        <is>
          <t>WT-SL-MENKOSHI-HIKI</t>
        </is>
      </c>
      <c r="D700" t="inlineStr">
        <is>
          <t>SP-SL-GRILLE-V</t>
        </is>
      </c>
      <c r="E700" t="inlineStr">
        <is>
          <t>18007</t>
        </is>
      </c>
      <c r="F700" t="b">
        <v>1</v>
      </c>
      <c r="G700" t="n">
        <v>101</v>
      </c>
      <c r="H700" t="inlineStr">
        <is>
          <t>無印</t>
        </is>
      </c>
      <c r="I700" t="n">
        <v>100</v>
      </c>
      <c r="J700" t="inlineStr">
        <is>
          <t>P100|無印</t>
        </is>
      </c>
      <c r="K700" t="inlineStr">
        <is>
          <t>同一価格表・前頁凡例を継承</t>
        </is>
      </c>
      <c r="L700" t="inlineStr">
        <is>
          <t>202604_LIXIL_サーモスＬ_業務用資料集_完成品価格表.pdf</t>
        </is>
      </c>
      <c r="M700" t="inlineStr">
        <is>
          <t>v0.6：同一価格表セクション内で凡例継承を確定。</t>
        </is>
      </c>
      <c r="N700" t="inlineStr">
        <is>
          <t>https://drive.google.com/file/d/1YUN-mtWYs48YBUHJk0C3vJXnhjyZFHyf/view</t>
        </is>
      </c>
    </row>
    <row r="701">
      <c r="A701" s="42" t="inlineStr">
        <is>
          <t>GSC-SL-000698</t>
        </is>
      </c>
      <c r="B701" t="inlineStr">
        <is>
          <t>SZ-SL-000698</t>
        </is>
      </c>
      <c r="C701" t="inlineStr">
        <is>
          <t>WT-SL-MENKOSHI-HIKI</t>
        </is>
      </c>
      <c r="D701" t="inlineStr">
        <is>
          <t>SP-SL-GRILLE-V</t>
        </is>
      </c>
      <c r="E701" t="inlineStr">
        <is>
          <t>18607</t>
        </is>
      </c>
      <c r="F701" t="b">
        <v>1</v>
      </c>
      <c r="G701" t="n">
        <v>101</v>
      </c>
      <c r="H701" t="inlineStr">
        <is>
          <t>無印</t>
        </is>
      </c>
      <c r="I701" t="n">
        <v>100</v>
      </c>
      <c r="J701" t="inlineStr">
        <is>
          <t>P100|無印</t>
        </is>
      </c>
      <c r="K701" t="inlineStr">
        <is>
          <t>同一価格表・前頁凡例を継承</t>
        </is>
      </c>
      <c r="L701" t="inlineStr">
        <is>
          <t>202604_LIXIL_サーモスＬ_業務用資料集_完成品価格表.pdf</t>
        </is>
      </c>
      <c r="M701" t="inlineStr">
        <is>
          <t>v0.6：同一価格表セクション内で凡例継承を確定。</t>
        </is>
      </c>
      <c r="N701" t="inlineStr">
        <is>
          <t>https://drive.google.com/file/d/1YUN-mtWYs48YBUHJk0C3vJXnhjyZFHyf/view</t>
        </is>
      </c>
    </row>
    <row r="702">
      <c r="A702" s="42" t="inlineStr">
        <is>
          <t>GSC-SL-000699</t>
        </is>
      </c>
      <c r="B702" t="inlineStr">
        <is>
          <t>SZ-SL-000699</t>
        </is>
      </c>
      <c r="C702" t="inlineStr">
        <is>
          <t>WT-SL-MENKOSHI-HIKI</t>
        </is>
      </c>
      <c r="D702" t="inlineStr">
        <is>
          <t>SP-SL-GRILLE-DIA</t>
        </is>
      </c>
      <c r="E702" t="inlineStr">
        <is>
          <t>06009</t>
        </is>
      </c>
      <c r="F702" t="b">
        <v>1</v>
      </c>
      <c r="G702" t="n">
        <v>102</v>
      </c>
      <c r="H702" t="inlineStr">
        <is>
          <t>無印</t>
        </is>
      </c>
      <c r="I702" t="n">
        <v>102</v>
      </c>
      <c r="J702" t="inlineStr">
        <is>
          <t>P102|無印</t>
        </is>
      </c>
      <c r="K702" t="inlineStr">
        <is>
          <t>同頁凡例へ直接連動</t>
        </is>
      </c>
      <c r="L702" t="inlineStr">
        <is>
          <t>202604_LIXIL_サーモスＬ_業務用資料集_完成品価格表.pdf</t>
        </is>
      </c>
      <c r="M702" t="inlineStr">
        <is>
          <t>v0.6：同一価格表セクション内で凡例継承を確定。</t>
        </is>
      </c>
      <c r="N702" t="inlineStr">
        <is>
          <t>https://drive.google.com/file/d/1YUN-mtWYs48YBUHJk0C3vJXnhjyZFHyf/view</t>
        </is>
      </c>
    </row>
    <row r="703">
      <c r="A703" s="42" t="inlineStr">
        <is>
          <t>GSC-SL-000700</t>
        </is>
      </c>
      <c r="B703" t="inlineStr">
        <is>
          <t>SZ-SL-000700</t>
        </is>
      </c>
      <c r="C703" t="inlineStr">
        <is>
          <t>WT-SL-MENKOSHI-HIKI</t>
        </is>
      </c>
      <c r="D703" t="inlineStr">
        <is>
          <t>SP-SL-GRILLE-DIA</t>
        </is>
      </c>
      <c r="E703" t="inlineStr">
        <is>
          <t>06909</t>
        </is>
      </c>
      <c r="F703" t="b">
        <v>1</v>
      </c>
      <c r="G703" t="n">
        <v>102</v>
      </c>
      <c r="H703" t="inlineStr">
        <is>
          <t>無印</t>
        </is>
      </c>
      <c r="I703" t="n">
        <v>102</v>
      </c>
      <c r="J703" t="inlineStr">
        <is>
          <t>P102|無印</t>
        </is>
      </c>
      <c r="K703" t="inlineStr">
        <is>
          <t>同頁凡例へ直接連動</t>
        </is>
      </c>
      <c r="L703" t="inlineStr">
        <is>
          <t>202604_LIXIL_サーモスＬ_業務用資料集_完成品価格表.pdf</t>
        </is>
      </c>
      <c r="M703" t="inlineStr">
        <is>
          <t>v0.6：同一価格表セクション内で凡例継承を確定。</t>
        </is>
      </c>
      <c r="N703" t="inlineStr">
        <is>
          <t>https://drive.google.com/file/d/1YUN-mtWYs48YBUHJk0C3vJXnhjyZFHyf/view</t>
        </is>
      </c>
    </row>
    <row r="704">
      <c r="A704" s="42" t="inlineStr">
        <is>
          <t>GSC-SL-000701</t>
        </is>
      </c>
      <c r="B704" t="inlineStr">
        <is>
          <t>SZ-SL-000701</t>
        </is>
      </c>
      <c r="C704" t="inlineStr">
        <is>
          <t>WT-SL-MENKOSHI-HIKI</t>
        </is>
      </c>
      <c r="D704" t="inlineStr">
        <is>
          <t>SP-SL-GRILLE-DIA</t>
        </is>
      </c>
      <c r="E704" t="inlineStr">
        <is>
          <t>07409</t>
        </is>
      </c>
      <c r="F704" t="b">
        <v>1</v>
      </c>
      <c r="G704" t="n">
        <v>102</v>
      </c>
      <c r="H704" t="inlineStr">
        <is>
          <t>無印</t>
        </is>
      </c>
      <c r="I704" t="n">
        <v>102</v>
      </c>
      <c r="J704" t="inlineStr">
        <is>
          <t>P102|無印</t>
        </is>
      </c>
      <c r="K704" t="inlineStr">
        <is>
          <t>同頁凡例へ直接連動</t>
        </is>
      </c>
      <c r="L704" t="inlineStr">
        <is>
          <t>202604_LIXIL_サーモスＬ_業務用資料集_完成品価格表.pdf</t>
        </is>
      </c>
      <c r="M704" t="inlineStr">
        <is>
          <t>v0.6：同一価格表セクション内で凡例継承を確定。</t>
        </is>
      </c>
      <c r="N704" t="inlineStr">
        <is>
          <t>https://drive.google.com/file/d/1YUN-mtWYs48YBUHJk0C3vJXnhjyZFHyf/view</t>
        </is>
      </c>
    </row>
    <row r="705">
      <c r="A705" s="42" t="inlineStr">
        <is>
          <t>GSC-SL-000702</t>
        </is>
      </c>
      <c r="B705" t="inlineStr">
        <is>
          <t>SZ-SL-000702</t>
        </is>
      </c>
      <c r="C705" t="inlineStr">
        <is>
          <t>WT-SL-MENKOSHI-HIKI</t>
        </is>
      </c>
      <c r="D705" t="inlineStr">
        <is>
          <t>SP-SL-GRILLE-DIA</t>
        </is>
      </c>
      <c r="E705" t="inlineStr">
        <is>
          <t>07809</t>
        </is>
      </c>
      <c r="F705" t="b">
        <v>1</v>
      </c>
      <c r="G705" t="n">
        <v>102</v>
      </c>
      <c r="H705" t="inlineStr">
        <is>
          <t>無印</t>
        </is>
      </c>
      <c r="I705" t="n">
        <v>102</v>
      </c>
      <c r="J705" t="inlineStr">
        <is>
          <t>P102|無印</t>
        </is>
      </c>
      <c r="K705" t="inlineStr">
        <is>
          <t>同頁凡例へ直接連動</t>
        </is>
      </c>
      <c r="L705" t="inlineStr">
        <is>
          <t>202604_LIXIL_サーモスＬ_業務用資料集_完成品価格表.pdf</t>
        </is>
      </c>
      <c r="M705" t="inlineStr">
        <is>
          <t>v0.6：同一価格表セクション内で凡例継承を確定。</t>
        </is>
      </c>
      <c r="N705" t="inlineStr">
        <is>
          <t>https://drive.google.com/file/d/1YUN-mtWYs48YBUHJk0C3vJXnhjyZFHyf/view</t>
        </is>
      </c>
    </row>
    <row r="706">
      <c r="A706" s="42" t="inlineStr">
        <is>
          <t>GSC-SL-000703</t>
        </is>
      </c>
      <c r="B706" t="inlineStr">
        <is>
          <t>SZ-SL-000703</t>
        </is>
      </c>
      <c r="C706" t="inlineStr">
        <is>
          <t>WT-SL-MENKOSHI-HIKI</t>
        </is>
      </c>
      <c r="D706" t="inlineStr">
        <is>
          <t>SP-SL-GRILLE-H</t>
        </is>
      </c>
      <c r="E706" t="inlineStr">
        <is>
          <t>06009</t>
        </is>
      </c>
      <c r="F706" t="b">
        <v>1</v>
      </c>
      <c r="G706" t="n">
        <v>102</v>
      </c>
      <c r="H706" t="inlineStr">
        <is>
          <t>無印</t>
        </is>
      </c>
      <c r="I706" t="n">
        <v>102</v>
      </c>
      <c r="J706" t="inlineStr">
        <is>
          <t>P102|無印</t>
        </is>
      </c>
      <c r="K706" t="inlineStr">
        <is>
          <t>同頁凡例へ直接連動</t>
        </is>
      </c>
      <c r="L706" t="inlineStr">
        <is>
          <t>202604_LIXIL_サーモスＬ_業務用資料集_完成品価格表.pdf</t>
        </is>
      </c>
      <c r="M706" t="inlineStr">
        <is>
          <t>v0.6：同一価格表セクション内で凡例継承を確定。</t>
        </is>
      </c>
      <c r="N706" t="inlineStr">
        <is>
          <t>https://drive.google.com/file/d/1YUN-mtWYs48YBUHJk0C3vJXnhjyZFHyf/view</t>
        </is>
      </c>
    </row>
    <row r="707">
      <c r="A707" s="42" t="inlineStr">
        <is>
          <t>GSC-SL-000704</t>
        </is>
      </c>
      <c r="B707" t="inlineStr">
        <is>
          <t>SZ-SL-000704</t>
        </is>
      </c>
      <c r="C707" t="inlineStr">
        <is>
          <t>WT-SL-MENKOSHI-HIKI</t>
        </is>
      </c>
      <c r="D707" t="inlineStr">
        <is>
          <t>SP-SL-GRILLE-H</t>
        </is>
      </c>
      <c r="E707" t="inlineStr">
        <is>
          <t>06909</t>
        </is>
      </c>
      <c r="F707" t="b">
        <v>1</v>
      </c>
      <c r="G707" t="n">
        <v>102</v>
      </c>
      <c r="H707" t="inlineStr">
        <is>
          <t>無印</t>
        </is>
      </c>
      <c r="I707" t="n">
        <v>102</v>
      </c>
      <c r="J707" t="inlineStr">
        <is>
          <t>P102|無印</t>
        </is>
      </c>
      <c r="K707" t="inlineStr">
        <is>
          <t>同頁凡例へ直接連動</t>
        </is>
      </c>
      <c r="L707" t="inlineStr">
        <is>
          <t>202604_LIXIL_サーモスＬ_業務用資料集_完成品価格表.pdf</t>
        </is>
      </c>
      <c r="M707" t="inlineStr">
        <is>
          <t>v0.6：同一価格表セクション内で凡例継承を確定。</t>
        </is>
      </c>
      <c r="N707" t="inlineStr">
        <is>
          <t>https://drive.google.com/file/d/1YUN-mtWYs48YBUHJk0C3vJXnhjyZFHyf/view</t>
        </is>
      </c>
    </row>
    <row r="708">
      <c r="A708" s="42" t="inlineStr">
        <is>
          <t>GSC-SL-000705</t>
        </is>
      </c>
      <c r="B708" t="inlineStr">
        <is>
          <t>SZ-SL-000705</t>
        </is>
      </c>
      <c r="C708" t="inlineStr">
        <is>
          <t>WT-SL-MENKOSHI-HIKI</t>
        </is>
      </c>
      <c r="D708" t="inlineStr">
        <is>
          <t>SP-SL-GRILLE-H</t>
        </is>
      </c>
      <c r="E708" t="inlineStr">
        <is>
          <t>07409</t>
        </is>
      </c>
      <c r="F708" t="b">
        <v>1</v>
      </c>
      <c r="G708" t="n">
        <v>102</v>
      </c>
      <c r="H708" t="inlineStr">
        <is>
          <t>無印</t>
        </is>
      </c>
      <c r="I708" t="n">
        <v>102</v>
      </c>
      <c r="J708" t="inlineStr">
        <is>
          <t>P102|無印</t>
        </is>
      </c>
      <c r="K708" t="inlineStr">
        <is>
          <t>同頁凡例へ直接連動</t>
        </is>
      </c>
      <c r="L708" t="inlineStr">
        <is>
          <t>202604_LIXIL_サーモスＬ_業務用資料集_完成品価格表.pdf</t>
        </is>
      </c>
      <c r="M708" t="inlineStr">
        <is>
          <t>v0.6：同一価格表セクション内で凡例継承を確定。</t>
        </is>
      </c>
      <c r="N708" t="inlineStr">
        <is>
          <t>https://drive.google.com/file/d/1YUN-mtWYs48YBUHJk0C3vJXnhjyZFHyf/view</t>
        </is>
      </c>
    </row>
    <row r="709">
      <c r="A709" s="42" t="inlineStr">
        <is>
          <t>GSC-SL-000706</t>
        </is>
      </c>
      <c r="B709" t="inlineStr">
        <is>
          <t>SZ-SL-000706</t>
        </is>
      </c>
      <c r="C709" t="inlineStr">
        <is>
          <t>WT-SL-MENKOSHI-HIKI</t>
        </is>
      </c>
      <c r="D709" t="inlineStr">
        <is>
          <t>SP-SL-GRILLE-H</t>
        </is>
      </c>
      <c r="E709" t="inlineStr">
        <is>
          <t>07809</t>
        </is>
      </c>
      <c r="F709" t="b">
        <v>1</v>
      </c>
      <c r="G709" t="n">
        <v>102</v>
      </c>
      <c r="H709" t="inlineStr">
        <is>
          <t>無印</t>
        </is>
      </c>
      <c r="I709" t="n">
        <v>102</v>
      </c>
      <c r="J709" t="inlineStr">
        <is>
          <t>P102|無印</t>
        </is>
      </c>
      <c r="K709" t="inlineStr">
        <is>
          <t>同頁凡例へ直接連動</t>
        </is>
      </c>
      <c r="L709" t="inlineStr">
        <is>
          <t>202604_LIXIL_サーモスＬ_業務用資料集_完成品価格表.pdf</t>
        </is>
      </c>
      <c r="M709" t="inlineStr">
        <is>
          <t>v0.6：同一価格表セクション内で凡例継承を確定。</t>
        </is>
      </c>
      <c r="N709" t="inlineStr">
        <is>
          <t>https://drive.google.com/file/d/1YUN-mtWYs48YBUHJk0C3vJXnhjyZFHyf/view</t>
        </is>
      </c>
    </row>
    <row r="710">
      <c r="A710" s="42" t="inlineStr">
        <is>
          <t>GSC-SL-000707</t>
        </is>
      </c>
      <c r="B710" t="inlineStr">
        <is>
          <t>SZ-SL-000707</t>
        </is>
      </c>
      <c r="C710" t="inlineStr">
        <is>
          <t>WT-SL-MENKOSHI-HIKI</t>
        </is>
      </c>
      <c r="D710" t="inlineStr">
        <is>
          <t>SP-SL-GRILLE-IGETA</t>
        </is>
      </c>
      <c r="E710" t="inlineStr">
        <is>
          <t>06009</t>
        </is>
      </c>
      <c r="F710" t="b">
        <v>1</v>
      </c>
      <c r="G710" t="n">
        <v>102</v>
      </c>
      <c r="H710" t="inlineStr">
        <is>
          <t>無印</t>
        </is>
      </c>
      <c r="I710" t="n">
        <v>102</v>
      </c>
      <c r="J710" t="inlineStr">
        <is>
          <t>P102|無印</t>
        </is>
      </c>
      <c r="K710" t="inlineStr">
        <is>
          <t>同頁凡例へ直接連動</t>
        </is>
      </c>
      <c r="L710" t="inlineStr">
        <is>
          <t>202604_LIXIL_サーモスＬ_業務用資料集_完成品価格表.pdf</t>
        </is>
      </c>
      <c r="M710" t="inlineStr">
        <is>
          <t>v0.6：同一価格表セクション内で凡例継承を確定。</t>
        </is>
      </c>
      <c r="N710" t="inlineStr">
        <is>
          <t>https://drive.google.com/file/d/1YUN-mtWYs48YBUHJk0C3vJXnhjyZFHyf/view</t>
        </is>
      </c>
    </row>
    <row r="711">
      <c r="A711" s="42" t="inlineStr">
        <is>
          <t>GSC-SL-000708</t>
        </is>
      </c>
      <c r="B711" t="inlineStr">
        <is>
          <t>SZ-SL-000708</t>
        </is>
      </c>
      <c r="C711" t="inlineStr">
        <is>
          <t>WT-SL-MENKOSHI-HIKI</t>
        </is>
      </c>
      <c r="D711" t="inlineStr">
        <is>
          <t>SP-SL-GRILLE-IGETA</t>
        </is>
      </c>
      <c r="E711" t="inlineStr">
        <is>
          <t>06909</t>
        </is>
      </c>
      <c r="F711" t="b">
        <v>1</v>
      </c>
      <c r="G711" t="n">
        <v>102</v>
      </c>
      <c r="H711" t="inlineStr">
        <is>
          <t>無印</t>
        </is>
      </c>
      <c r="I711" t="n">
        <v>102</v>
      </c>
      <c r="J711" t="inlineStr">
        <is>
          <t>P102|無印</t>
        </is>
      </c>
      <c r="K711" t="inlineStr">
        <is>
          <t>同頁凡例へ直接連動</t>
        </is>
      </c>
      <c r="L711" t="inlineStr">
        <is>
          <t>202604_LIXIL_サーモスＬ_業務用資料集_完成品価格表.pdf</t>
        </is>
      </c>
      <c r="M711" t="inlineStr">
        <is>
          <t>v0.6：同一価格表セクション内で凡例継承を確定。</t>
        </is>
      </c>
      <c r="N711" t="inlineStr">
        <is>
          <t>https://drive.google.com/file/d/1YUN-mtWYs48YBUHJk0C3vJXnhjyZFHyf/view</t>
        </is>
      </c>
    </row>
    <row r="712">
      <c r="A712" s="42" t="inlineStr">
        <is>
          <t>GSC-SL-000709</t>
        </is>
      </c>
      <c r="B712" t="inlineStr">
        <is>
          <t>SZ-SL-000709</t>
        </is>
      </c>
      <c r="C712" t="inlineStr">
        <is>
          <t>WT-SL-MENKOSHI-HIKI</t>
        </is>
      </c>
      <c r="D712" t="inlineStr">
        <is>
          <t>SP-SL-GRILLE-IGETA</t>
        </is>
      </c>
      <c r="E712" t="inlineStr">
        <is>
          <t>07409</t>
        </is>
      </c>
      <c r="F712" t="b">
        <v>1</v>
      </c>
      <c r="G712" t="n">
        <v>102</v>
      </c>
      <c r="H712" t="inlineStr">
        <is>
          <t>無印</t>
        </is>
      </c>
      <c r="I712" t="n">
        <v>102</v>
      </c>
      <c r="J712" t="inlineStr">
        <is>
          <t>P102|無印</t>
        </is>
      </c>
      <c r="K712" t="inlineStr">
        <is>
          <t>同頁凡例へ直接連動</t>
        </is>
      </c>
      <c r="L712" t="inlineStr">
        <is>
          <t>202604_LIXIL_サーモスＬ_業務用資料集_完成品価格表.pdf</t>
        </is>
      </c>
      <c r="M712" t="inlineStr">
        <is>
          <t>v0.6：同一価格表セクション内で凡例継承を確定。</t>
        </is>
      </c>
      <c r="N712" t="inlineStr">
        <is>
          <t>https://drive.google.com/file/d/1YUN-mtWYs48YBUHJk0C3vJXnhjyZFHyf/view</t>
        </is>
      </c>
    </row>
    <row r="713">
      <c r="A713" s="42" t="inlineStr">
        <is>
          <t>GSC-SL-000710</t>
        </is>
      </c>
      <c r="B713" t="inlineStr">
        <is>
          <t>SZ-SL-000710</t>
        </is>
      </c>
      <c r="C713" t="inlineStr">
        <is>
          <t>WT-SL-MENKOSHI-HIKI</t>
        </is>
      </c>
      <c r="D713" t="inlineStr">
        <is>
          <t>SP-SL-GRILLE-IGETA</t>
        </is>
      </c>
      <c r="E713" t="inlineStr">
        <is>
          <t>07809</t>
        </is>
      </c>
      <c r="F713" t="b">
        <v>1</v>
      </c>
      <c r="G713" t="n">
        <v>102</v>
      </c>
      <c r="H713" t="inlineStr">
        <is>
          <t>無印</t>
        </is>
      </c>
      <c r="I713" t="n">
        <v>102</v>
      </c>
      <c r="J713" t="inlineStr">
        <is>
          <t>P102|無印</t>
        </is>
      </c>
      <c r="K713" t="inlineStr">
        <is>
          <t>同頁凡例へ直接連動</t>
        </is>
      </c>
      <c r="L713" t="inlineStr">
        <is>
          <t>202604_LIXIL_サーモスＬ_業務用資料集_完成品価格表.pdf</t>
        </is>
      </c>
      <c r="M713" t="inlineStr">
        <is>
          <t>v0.6：同一価格表セクション内で凡例継承を確定。</t>
        </is>
      </c>
      <c r="N713" t="inlineStr">
        <is>
          <t>https://drive.google.com/file/d/1YUN-mtWYs48YBUHJk0C3vJXnhjyZFHyf/view</t>
        </is>
      </c>
    </row>
    <row r="714">
      <c r="A714" s="42" t="inlineStr">
        <is>
          <t>GSC-SL-000711</t>
        </is>
      </c>
      <c r="B714" t="inlineStr">
        <is>
          <t>SZ-SL-000711</t>
        </is>
      </c>
      <c r="C714" t="inlineStr">
        <is>
          <t>WT-SL-MENKOSHI-HIKI</t>
        </is>
      </c>
      <c r="D714" t="inlineStr">
        <is>
          <t>SP-SL-GRILLE-V</t>
        </is>
      </c>
      <c r="E714" t="inlineStr">
        <is>
          <t>06009</t>
        </is>
      </c>
      <c r="F714" t="b">
        <v>1</v>
      </c>
      <c r="G714" t="n">
        <v>102</v>
      </c>
      <c r="H714" t="inlineStr">
        <is>
          <t>無印</t>
        </is>
      </c>
      <c r="I714" t="n">
        <v>102</v>
      </c>
      <c r="J714" t="inlineStr">
        <is>
          <t>P102|無印</t>
        </is>
      </c>
      <c r="K714" t="inlineStr">
        <is>
          <t>同頁凡例へ直接連動</t>
        </is>
      </c>
      <c r="L714" t="inlineStr">
        <is>
          <t>202604_LIXIL_サーモスＬ_業務用資料集_完成品価格表.pdf</t>
        </is>
      </c>
      <c r="M714" t="inlineStr">
        <is>
          <t>v0.6：同一価格表セクション内で凡例継承を確定。</t>
        </is>
      </c>
      <c r="N714" t="inlineStr">
        <is>
          <t>https://drive.google.com/file/d/1YUN-mtWYs48YBUHJk0C3vJXnhjyZFHyf/view</t>
        </is>
      </c>
    </row>
    <row r="715">
      <c r="A715" s="42" t="inlineStr">
        <is>
          <t>GSC-SL-000712</t>
        </is>
      </c>
      <c r="B715" t="inlineStr">
        <is>
          <t>SZ-SL-000712</t>
        </is>
      </c>
      <c r="C715" t="inlineStr">
        <is>
          <t>WT-SL-MENKOSHI-HIKI</t>
        </is>
      </c>
      <c r="D715" t="inlineStr">
        <is>
          <t>SP-SL-GRILLE-V</t>
        </is>
      </c>
      <c r="E715" t="inlineStr">
        <is>
          <t>06909</t>
        </is>
      </c>
      <c r="F715" t="b">
        <v>1</v>
      </c>
      <c r="G715" t="n">
        <v>102</v>
      </c>
      <c r="H715" t="inlineStr">
        <is>
          <t>無印</t>
        </is>
      </c>
      <c r="I715" t="n">
        <v>102</v>
      </c>
      <c r="J715" t="inlineStr">
        <is>
          <t>P102|無印</t>
        </is>
      </c>
      <c r="K715" t="inlineStr">
        <is>
          <t>同頁凡例へ直接連動</t>
        </is>
      </c>
      <c r="L715" t="inlineStr">
        <is>
          <t>202604_LIXIL_サーモスＬ_業務用資料集_完成品価格表.pdf</t>
        </is>
      </c>
      <c r="M715" t="inlineStr">
        <is>
          <t>v0.6：同一価格表セクション内で凡例継承を確定。</t>
        </is>
      </c>
      <c r="N715" t="inlineStr">
        <is>
          <t>https://drive.google.com/file/d/1YUN-mtWYs48YBUHJk0C3vJXnhjyZFHyf/view</t>
        </is>
      </c>
    </row>
    <row r="716">
      <c r="A716" s="42" t="inlineStr">
        <is>
          <t>GSC-SL-000713</t>
        </is>
      </c>
      <c r="B716" t="inlineStr">
        <is>
          <t>SZ-SL-000713</t>
        </is>
      </c>
      <c r="C716" t="inlineStr">
        <is>
          <t>WT-SL-MENKOSHI-HIKI</t>
        </is>
      </c>
      <c r="D716" t="inlineStr">
        <is>
          <t>SP-SL-GRILLE-V</t>
        </is>
      </c>
      <c r="E716" t="inlineStr">
        <is>
          <t>07409</t>
        </is>
      </c>
      <c r="F716" t="b">
        <v>1</v>
      </c>
      <c r="G716" t="n">
        <v>102</v>
      </c>
      <c r="H716" t="inlineStr">
        <is>
          <t>無印</t>
        </is>
      </c>
      <c r="I716" t="n">
        <v>102</v>
      </c>
      <c r="J716" t="inlineStr">
        <is>
          <t>P102|無印</t>
        </is>
      </c>
      <c r="K716" t="inlineStr">
        <is>
          <t>同頁凡例へ直接連動</t>
        </is>
      </c>
      <c r="L716" t="inlineStr">
        <is>
          <t>202604_LIXIL_サーモスＬ_業務用資料集_完成品価格表.pdf</t>
        </is>
      </c>
      <c r="M716" t="inlineStr">
        <is>
          <t>v0.6：同一価格表セクション内で凡例継承を確定。</t>
        </is>
      </c>
      <c r="N716" t="inlineStr">
        <is>
          <t>https://drive.google.com/file/d/1YUN-mtWYs48YBUHJk0C3vJXnhjyZFHyf/view</t>
        </is>
      </c>
    </row>
    <row r="717">
      <c r="A717" s="42" t="inlineStr">
        <is>
          <t>GSC-SL-000714</t>
        </is>
      </c>
      <c r="B717" t="inlineStr">
        <is>
          <t>SZ-SL-000714</t>
        </is>
      </c>
      <c r="C717" t="inlineStr">
        <is>
          <t>WT-SL-MENKOSHI-HIKI</t>
        </is>
      </c>
      <c r="D717" t="inlineStr">
        <is>
          <t>SP-SL-GRILLE-V</t>
        </is>
      </c>
      <c r="E717" t="inlineStr">
        <is>
          <t>07809</t>
        </is>
      </c>
      <c r="F717" t="b">
        <v>1</v>
      </c>
      <c r="G717" t="n">
        <v>102</v>
      </c>
      <c r="H717" t="inlineStr">
        <is>
          <t>無印</t>
        </is>
      </c>
      <c r="I717" t="n">
        <v>102</v>
      </c>
      <c r="J717" t="inlineStr">
        <is>
          <t>P102|無印</t>
        </is>
      </c>
      <c r="K717" t="inlineStr">
        <is>
          <t>同頁凡例へ直接連動</t>
        </is>
      </c>
      <c r="L717" t="inlineStr">
        <is>
          <t>202604_LIXIL_サーモスＬ_業務用資料集_完成品価格表.pdf</t>
        </is>
      </c>
      <c r="M717" t="inlineStr">
        <is>
          <t>v0.6：同一価格表セクション内で凡例継承を確定。</t>
        </is>
      </c>
      <c r="N717" t="inlineStr">
        <is>
          <t>https://drive.google.com/file/d/1YUN-mtWYs48YBUHJk0C3vJXnhjyZFHyf/view</t>
        </is>
      </c>
    </row>
    <row r="718">
      <c r="A718" s="42" t="inlineStr">
        <is>
          <t>GSC-SL-000715</t>
        </is>
      </c>
      <c r="B718" t="inlineStr">
        <is>
          <t>SZ-SL-000715</t>
        </is>
      </c>
      <c r="C718" t="inlineStr">
        <is>
          <t>WT-SL-MENKOSHI-HIKI</t>
        </is>
      </c>
      <c r="D718" t="inlineStr">
        <is>
          <t>SP-SL-GRILLE-DIA</t>
        </is>
      </c>
      <c r="E718" t="inlineStr">
        <is>
          <t>08009</t>
        </is>
      </c>
      <c r="F718" t="b">
        <v>1</v>
      </c>
      <c r="G718" t="n">
        <v>103</v>
      </c>
      <c r="H718" t="inlineStr">
        <is>
          <t>無印</t>
        </is>
      </c>
      <c r="I718" t="n">
        <v>102</v>
      </c>
      <c r="J718" t="inlineStr">
        <is>
          <t>P102|無印</t>
        </is>
      </c>
      <c r="K718" t="inlineStr">
        <is>
          <t>同一価格表・前頁凡例を継承</t>
        </is>
      </c>
      <c r="L718" t="inlineStr">
        <is>
          <t>202604_LIXIL_サーモスＬ_業務用資料集_完成品価格表.pdf</t>
        </is>
      </c>
      <c r="M718" t="inlineStr">
        <is>
          <t>v0.6：同一価格表セクション内で凡例継承を確定。</t>
        </is>
      </c>
      <c r="N718" t="inlineStr">
        <is>
          <t>https://drive.google.com/file/d/1YUN-mtWYs48YBUHJk0C3vJXnhjyZFHyf/view</t>
        </is>
      </c>
    </row>
    <row r="719">
      <c r="A719" s="42" t="inlineStr">
        <is>
          <t>GSC-SL-000716</t>
        </is>
      </c>
      <c r="B719" t="inlineStr">
        <is>
          <t>SZ-SL-000716</t>
        </is>
      </c>
      <c r="C719" t="inlineStr">
        <is>
          <t>WT-SL-MENKOSHI-HIKI</t>
        </is>
      </c>
      <c r="D719" t="inlineStr">
        <is>
          <t>SP-SL-GRILLE-DIA</t>
        </is>
      </c>
      <c r="E719" t="inlineStr">
        <is>
          <t>08309</t>
        </is>
      </c>
      <c r="F719" t="b">
        <v>1</v>
      </c>
      <c r="G719" t="n">
        <v>103</v>
      </c>
      <c r="H719" t="inlineStr">
        <is>
          <t>無印</t>
        </is>
      </c>
      <c r="I719" t="n">
        <v>102</v>
      </c>
      <c r="J719" t="inlineStr">
        <is>
          <t>P102|無印</t>
        </is>
      </c>
      <c r="K719" t="inlineStr">
        <is>
          <t>同一価格表・前頁凡例を継承</t>
        </is>
      </c>
      <c r="L719" t="inlineStr">
        <is>
          <t>202604_LIXIL_サーモスＬ_業務用資料集_完成品価格表.pdf</t>
        </is>
      </c>
      <c r="M719" t="inlineStr">
        <is>
          <t>v0.6：同一価格表セクション内で凡例継承を確定。</t>
        </is>
      </c>
      <c r="N719" t="inlineStr">
        <is>
          <t>https://drive.google.com/file/d/1YUN-mtWYs48YBUHJk0C3vJXnhjyZFHyf/view</t>
        </is>
      </c>
    </row>
    <row r="720">
      <c r="A720" s="42" t="inlineStr">
        <is>
          <t>GSC-SL-000717</t>
        </is>
      </c>
      <c r="B720" t="inlineStr">
        <is>
          <t>SZ-SL-000717</t>
        </is>
      </c>
      <c r="C720" t="inlineStr">
        <is>
          <t>WT-SL-MENKOSHI-HIKI</t>
        </is>
      </c>
      <c r="D720" t="inlineStr">
        <is>
          <t>SP-SL-GRILLE-DIA</t>
        </is>
      </c>
      <c r="E720" t="inlineStr">
        <is>
          <t>11409</t>
        </is>
      </c>
      <c r="F720" t="b">
        <v>1</v>
      </c>
      <c r="G720" t="n">
        <v>103</v>
      </c>
      <c r="H720" t="inlineStr">
        <is>
          <t>無印</t>
        </is>
      </c>
      <c r="I720" t="n">
        <v>102</v>
      </c>
      <c r="J720" t="inlineStr">
        <is>
          <t>P102|無印</t>
        </is>
      </c>
      <c r="K720" t="inlineStr">
        <is>
          <t>同一価格表・前頁凡例を継承</t>
        </is>
      </c>
      <c r="L720" t="inlineStr">
        <is>
          <t>202604_LIXIL_サーモスＬ_業務用資料集_完成品価格表.pdf</t>
        </is>
      </c>
      <c r="M720" t="inlineStr">
        <is>
          <t>v0.6：同一価格表セクション内で凡例継承を確定。</t>
        </is>
      </c>
      <c r="N720" t="inlineStr">
        <is>
          <t>https://drive.google.com/file/d/1YUN-mtWYs48YBUHJk0C3vJXnhjyZFHyf/view</t>
        </is>
      </c>
    </row>
    <row r="721">
      <c r="A721" s="42" t="inlineStr">
        <is>
          <t>GSC-SL-000718</t>
        </is>
      </c>
      <c r="B721" t="inlineStr">
        <is>
          <t>SZ-SL-000718</t>
        </is>
      </c>
      <c r="C721" t="inlineStr">
        <is>
          <t>WT-SL-MENKOSHI-HIKI</t>
        </is>
      </c>
      <c r="D721" t="inlineStr">
        <is>
          <t>SP-SL-GRILLE-DIA</t>
        </is>
      </c>
      <c r="E721" t="inlineStr">
        <is>
          <t>11909</t>
        </is>
      </c>
      <c r="F721" t="b">
        <v>1</v>
      </c>
      <c r="G721" t="n">
        <v>103</v>
      </c>
      <c r="H721" t="inlineStr">
        <is>
          <t>無印</t>
        </is>
      </c>
      <c r="I721" t="n">
        <v>102</v>
      </c>
      <c r="J721" t="inlineStr">
        <is>
          <t>P102|無印</t>
        </is>
      </c>
      <c r="K721" t="inlineStr">
        <is>
          <t>同一価格表・前頁凡例を継承</t>
        </is>
      </c>
      <c r="L721" t="inlineStr">
        <is>
          <t>202604_LIXIL_サーモスＬ_業務用資料集_完成品価格表.pdf</t>
        </is>
      </c>
      <c r="M721" t="inlineStr">
        <is>
          <t>v0.6：同一価格表セクション内で凡例継承を確定。</t>
        </is>
      </c>
      <c r="N721" t="inlineStr">
        <is>
          <t>https://drive.google.com/file/d/1YUN-mtWYs48YBUHJk0C3vJXnhjyZFHyf/view</t>
        </is>
      </c>
    </row>
    <row r="722">
      <c r="A722" s="42" t="inlineStr">
        <is>
          <t>GSC-SL-000719</t>
        </is>
      </c>
      <c r="B722" t="inlineStr">
        <is>
          <t>SZ-SL-000719</t>
        </is>
      </c>
      <c r="C722" t="inlineStr">
        <is>
          <t>WT-SL-MENKOSHI-HIKI</t>
        </is>
      </c>
      <c r="D722" t="inlineStr">
        <is>
          <t>SP-SL-GRILLE-DIA</t>
        </is>
      </c>
      <c r="E722" t="inlineStr">
        <is>
          <t>12809</t>
        </is>
      </c>
      <c r="F722" t="b">
        <v>1</v>
      </c>
      <c r="G722" t="n">
        <v>103</v>
      </c>
      <c r="H722" t="inlineStr">
        <is>
          <t>無印</t>
        </is>
      </c>
      <c r="I722" t="n">
        <v>102</v>
      </c>
      <c r="J722" t="inlineStr">
        <is>
          <t>P102|無印</t>
        </is>
      </c>
      <c r="K722" t="inlineStr">
        <is>
          <t>同一価格表・前頁凡例を継承</t>
        </is>
      </c>
      <c r="L722" t="inlineStr">
        <is>
          <t>202604_LIXIL_サーモスＬ_業務用資料集_完成品価格表.pdf</t>
        </is>
      </c>
      <c r="M722" t="inlineStr">
        <is>
          <t>v0.6：同一価格表セクション内で凡例継承を確定。</t>
        </is>
      </c>
      <c r="N722" t="inlineStr">
        <is>
          <t>https://drive.google.com/file/d/1YUN-mtWYs48YBUHJk0C3vJXnhjyZFHyf/view</t>
        </is>
      </c>
    </row>
    <row r="723">
      <c r="A723" s="42" t="inlineStr">
        <is>
          <t>GSC-SL-000720</t>
        </is>
      </c>
      <c r="B723" t="inlineStr">
        <is>
          <t>SZ-SL-000720</t>
        </is>
      </c>
      <c r="C723" t="inlineStr">
        <is>
          <t>WT-SL-MENKOSHI-HIKI</t>
        </is>
      </c>
      <c r="D723" t="inlineStr">
        <is>
          <t>SP-SL-GRILLE-H</t>
        </is>
      </c>
      <c r="E723" t="inlineStr">
        <is>
          <t>08009</t>
        </is>
      </c>
      <c r="F723" t="b">
        <v>1</v>
      </c>
      <c r="G723" t="n">
        <v>103</v>
      </c>
      <c r="H723" t="inlineStr">
        <is>
          <t>無印</t>
        </is>
      </c>
      <c r="I723" t="n">
        <v>102</v>
      </c>
      <c r="J723" t="inlineStr">
        <is>
          <t>P102|無印</t>
        </is>
      </c>
      <c r="K723" t="inlineStr">
        <is>
          <t>同一価格表・前頁凡例を継承</t>
        </is>
      </c>
      <c r="L723" t="inlineStr">
        <is>
          <t>202604_LIXIL_サーモスＬ_業務用資料集_完成品価格表.pdf</t>
        </is>
      </c>
      <c r="M723" t="inlineStr">
        <is>
          <t>v0.6：同一価格表セクション内で凡例継承を確定。</t>
        </is>
      </c>
      <c r="N723" t="inlineStr">
        <is>
          <t>https://drive.google.com/file/d/1YUN-mtWYs48YBUHJk0C3vJXnhjyZFHyf/view</t>
        </is>
      </c>
    </row>
    <row r="724">
      <c r="A724" s="42" t="inlineStr">
        <is>
          <t>GSC-SL-000721</t>
        </is>
      </c>
      <c r="B724" t="inlineStr">
        <is>
          <t>SZ-SL-000721</t>
        </is>
      </c>
      <c r="C724" t="inlineStr">
        <is>
          <t>WT-SL-MENKOSHI-HIKI</t>
        </is>
      </c>
      <c r="D724" t="inlineStr">
        <is>
          <t>SP-SL-GRILLE-H</t>
        </is>
      </c>
      <c r="E724" t="inlineStr">
        <is>
          <t>08309</t>
        </is>
      </c>
      <c r="F724" t="b">
        <v>1</v>
      </c>
      <c r="G724" t="n">
        <v>103</v>
      </c>
      <c r="H724" t="inlineStr">
        <is>
          <t>無印</t>
        </is>
      </c>
      <c r="I724" t="n">
        <v>102</v>
      </c>
      <c r="J724" t="inlineStr">
        <is>
          <t>P102|無印</t>
        </is>
      </c>
      <c r="K724" t="inlineStr">
        <is>
          <t>同一価格表・前頁凡例を継承</t>
        </is>
      </c>
      <c r="L724" t="inlineStr">
        <is>
          <t>202604_LIXIL_サーモスＬ_業務用資料集_完成品価格表.pdf</t>
        </is>
      </c>
      <c r="M724" t="inlineStr">
        <is>
          <t>v0.6：同一価格表セクション内で凡例継承を確定。</t>
        </is>
      </c>
      <c r="N724" t="inlineStr">
        <is>
          <t>https://drive.google.com/file/d/1YUN-mtWYs48YBUHJk0C3vJXnhjyZFHyf/view</t>
        </is>
      </c>
    </row>
    <row r="725">
      <c r="A725" s="42" t="inlineStr">
        <is>
          <t>GSC-SL-000722</t>
        </is>
      </c>
      <c r="B725" t="inlineStr">
        <is>
          <t>SZ-SL-000722</t>
        </is>
      </c>
      <c r="C725" t="inlineStr">
        <is>
          <t>WT-SL-MENKOSHI-HIKI</t>
        </is>
      </c>
      <c r="D725" t="inlineStr">
        <is>
          <t>SP-SL-GRILLE-H</t>
        </is>
      </c>
      <c r="E725" t="inlineStr">
        <is>
          <t>11409</t>
        </is>
      </c>
      <c r="F725" t="b">
        <v>1</v>
      </c>
      <c r="G725" t="n">
        <v>103</v>
      </c>
      <c r="H725" t="inlineStr">
        <is>
          <t>無印</t>
        </is>
      </c>
      <c r="I725" t="n">
        <v>102</v>
      </c>
      <c r="J725" t="inlineStr">
        <is>
          <t>P102|無印</t>
        </is>
      </c>
      <c r="K725" t="inlineStr">
        <is>
          <t>同一価格表・前頁凡例を継承</t>
        </is>
      </c>
      <c r="L725" t="inlineStr">
        <is>
          <t>202604_LIXIL_サーモスＬ_業務用資料集_完成品価格表.pdf</t>
        </is>
      </c>
      <c r="M725" t="inlineStr">
        <is>
          <t>v0.6：同一価格表セクション内で凡例継承を確定。</t>
        </is>
      </c>
      <c r="N725" t="inlineStr">
        <is>
          <t>https://drive.google.com/file/d/1YUN-mtWYs48YBUHJk0C3vJXnhjyZFHyf/view</t>
        </is>
      </c>
    </row>
    <row r="726">
      <c r="A726" s="42" t="inlineStr">
        <is>
          <t>GSC-SL-000723</t>
        </is>
      </c>
      <c r="B726" t="inlineStr">
        <is>
          <t>SZ-SL-000723</t>
        </is>
      </c>
      <c r="C726" t="inlineStr">
        <is>
          <t>WT-SL-MENKOSHI-HIKI</t>
        </is>
      </c>
      <c r="D726" t="inlineStr">
        <is>
          <t>SP-SL-GRILLE-H</t>
        </is>
      </c>
      <c r="E726" t="inlineStr">
        <is>
          <t>11909</t>
        </is>
      </c>
      <c r="F726" t="b">
        <v>1</v>
      </c>
      <c r="G726" t="n">
        <v>103</v>
      </c>
      <c r="H726" t="inlineStr">
        <is>
          <t>無印</t>
        </is>
      </c>
      <c r="I726" t="n">
        <v>102</v>
      </c>
      <c r="J726" t="inlineStr">
        <is>
          <t>P102|無印</t>
        </is>
      </c>
      <c r="K726" t="inlineStr">
        <is>
          <t>同一価格表・前頁凡例を継承</t>
        </is>
      </c>
      <c r="L726" t="inlineStr">
        <is>
          <t>202604_LIXIL_サーモスＬ_業務用資料集_完成品価格表.pdf</t>
        </is>
      </c>
      <c r="M726" t="inlineStr">
        <is>
          <t>v0.6：同一価格表セクション内で凡例継承を確定。</t>
        </is>
      </c>
      <c r="N726" t="inlineStr">
        <is>
          <t>https://drive.google.com/file/d/1YUN-mtWYs48YBUHJk0C3vJXnhjyZFHyf/view</t>
        </is>
      </c>
    </row>
    <row r="727">
      <c r="A727" s="42" t="inlineStr">
        <is>
          <t>GSC-SL-000724</t>
        </is>
      </c>
      <c r="B727" t="inlineStr">
        <is>
          <t>SZ-SL-000724</t>
        </is>
      </c>
      <c r="C727" t="inlineStr">
        <is>
          <t>WT-SL-MENKOSHI-HIKI</t>
        </is>
      </c>
      <c r="D727" t="inlineStr">
        <is>
          <t>SP-SL-GRILLE-H</t>
        </is>
      </c>
      <c r="E727" t="inlineStr">
        <is>
          <t>12809</t>
        </is>
      </c>
      <c r="F727" t="b">
        <v>1</v>
      </c>
      <c r="G727" t="n">
        <v>103</v>
      </c>
      <c r="H727" t="inlineStr">
        <is>
          <t>無印</t>
        </is>
      </c>
      <c r="I727" t="n">
        <v>102</v>
      </c>
      <c r="J727" t="inlineStr">
        <is>
          <t>P102|無印</t>
        </is>
      </c>
      <c r="K727" t="inlineStr">
        <is>
          <t>同一価格表・前頁凡例を継承</t>
        </is>
      </c>
      <c r="L727" t="inlineStr">
        <is>
          <t>202604_LIXIL_サーモスＬ_業務用資料集_完成品価格表.pdf</t>
        </is>
      </c>
      <c r="M727" t="inlineStr">
        <is>
          <t>v0.6：同一価格表セクション内で凡例継承を確定。</t>
        </is>
      </c>
      <c r="N727" t="inlineStr">
        <is>
          <t>https://drive.google.com/file/d/1YUN-mtWYs48YBUHJk0C3vJXnhjyZFHyf/view</t>
        </is>
      </c>
    </row>
    <row r="728">
      <c r="A728" s="42" t="inlineStr">
        <is>
          <t>GSC-SL-000725</t>
        </is>
      </c>
      <c r="B728" t="inlineStr">
        <is>
          <t>SZ-SL-000725</t>
        </is>
      </c>
      <c r="C728" t="inlineStr">
        <is>
          <t>WT-SL-MENKOSHI-HIKI</t>
        </is>
      </c>
      <c r="D728" t="inlineStr">
        <is>
          <t>SP-SL-GRILLE-IGETA</t>
        </is>
      </c>
      <c r="E728" t="inlineStr">
        <is>
          <t>08009</t>
        </is>
      </c>
      <c r="F728" t="b">
        <v>1</v>
      </c>
      <c r="G728" t="n">
        <v>103</v>
      </c>
      <c r="H728" t="inlineStr">
        <is>
          <t>無印</t>
        </is>
      </c>
      <c r="I728" t="n">
        <v>102</v>
      </c>
      <c r="J728" t="inlineStr">
        <is>
          <t>P102|無印</t>
        </is>
      </c>
      <c r="K728" t="inlineStr">
        <is>
          <t>同一価格表・前頁凡例を継承</t>
        </is>
      </c>
      <c r="L728" t="inlineStr">
        <is>
          <t>202604_LIXIL_サーモスＬ_業務用資料集_完成品価格表.pdf</t>
        </is>
      </c>
      <c r="M728" t="inlineStr">
        <is>
          <t>v0.6：同一価格表セクション内で凡例継承を確定。</t>
        </is>
      </c>
      <c r="N728" t="inlineStr">
        <is>
          <t>https://drive.google.com/file/d/1YUN-mtWYs48YBUHJk0C3vJXnhjyZFHyf/view</t>
        </is>
      </c>
    </row>
    <row r="729">
      <c r="A729" s="42" t="inlineStr">
        <is>
          <t>GSC-SL-000726</t>
        </is>
      </c>
      <c r="B729" t="inlineStr">
        <is>
          <t>SZ-SL-000726</t>
        </is>
      </c>
      <c r="C729" t="inlineStr">
        <is>
          <t>WT-SL-MENKOSHI-HIKI</t>
        </is>
      </c>
      <c r="D729" t="inlineStr">
        <is>
          <t>SP-SL-GRILLE-IGETA</t>
        </is>
      </c>
      <c r="E729" t="inlineStr">
        <is>
          <t>08309</t>
        </is>
      </c>
      <c r="F729" t="b">
        <v>1</v>
      </c>
      <c r="G729" t="n">
        <v>103</v>
      </c>
      <c r="H729" t="inlineStr">
        <is>
          <t>無印</t>
        </is>
      </c>
      <c r="I729" t="n">
        <v>102</v>
      </c>
      <c r="J729" t="inlineStr">
        <is>
          <t>P102|無印</t>
        </is>
      </c>
      <c r="K729" t="inlineStr">
        <is>
          <t>同一価格表・前頁凡例を継承</t>
        </is>
      </c>
      <c r="L729" t="inlineStr">
        <is>
          <t>202604_LIXIL_サーモスＬ_業務用資料集_完成品価格表.pdf</t>
        </is>
      </c>
      <c r="M729" t="inlineStr">
        <is>
          <t>v0.6：同一価格表セクション内で凡例継承を確定。</t>
        </is>
      </c>
      <c r="N729" t="inlineStr">
        <is>
          <t>https://drive.google.com/file/d/1YUN-mtWYs48YBUHJk0C3vJXnhjyZFHyf/view</t>
        </is>
      </c>
    </row>
    <row r="730">
      <c r="A730" s="42" t="inlineStr">
        <is>
          <t>GSC-SL-000727</t>
        </is>
      </c>
      <c r="B730" t="inlineStr">
        <is>
          <t>SZ-SL-000727</t>
        </is>
      </c>
      <c r="C730" t="inlineStr">
        <is>
          <t>WT-SL-MENKOSHI-HIKI</t>
        </is>
      </c>
      <c r="D730" t="inlineStr">
        <is>
          <t>SP-SL-GRILLE-IGETA</t>
        </is>
      </c>
      <c r="E730" t="inlineStr">
        <is>
          <t>11409</t>
        </is>
      </c>
      <c r="F730" t="b">
        <v>1</v>
      </c>
      <c r="G730" t="n">
        <v>103</v>
      </c>
      <c r="H730" t="inlineStr">
        <is>
          <t>無印</t>
        </is>
      </c>
      <c r="I730" t="n">
        <v>102</v>
      </c>
      <c r="J730" t="inlineStr">
        <is>
          <t>P102|無印</t>
        </is>
      </c>
      <c r="K730" t="inlineStr">
        <is>
          <t>同一価格表・前頁凡例を継承</t>
        </is>
      </c>
      <c r="L730" t="inlineStr">
        <is>
          <t>202604_LIXIL_サーモスＬ_業務用資料集_完成品価格表.pdf</t>
        </is>
      </c>
      <c r="M730" t="inlineStr">
        <is>
          <t>v0.6：同一価格表セクション内で凡例継承を確定。</t>
        </is>
      </c>
      <c r="N730" t="inlineStr">
        <is>
          <t>https://drive.google.com/file/d/1YUN-mtWYs48YBUHJk0C3vJXnhjyZFHyf/view</t>
        </is>
      </c>
    </row>
    <row r="731">
      <c r="A731" s="42" t="inlineStr">
        <is>
          <t>GSC-SL-000728</t>
        </is>
      </c>
      <c r="B731" t="inlineStr">
        <is>
          <t>SZ-SL-000728</t>
        </is>
      </c>
      <c r="C731" t="inlineStr">
        <is>
          <t>WT-SL-MENKOSHI-HIKI</t>
        </is>
      </c>
      <c r="D731" t="inlineStr">
        <is>
          <t>SP-SL-GRILLE-IGETA</t>
        </is>
      </c>
      <c r="E731" t="inlineStr">
        <is>
          <t>11909</t>
        </is>
      </c>
      <c r="F731" t="b">
        <v>1</v>
      </c>
      <c r="G731" t="n">
        <v>103</v>
      </c>
      <c r="H731" t="inlineStr">
        <is>
          <t>無印</t>
        </is>
      </c>
      <c r="I731" t="n">
        <v>102</v>
      </c>
      <c r="J731" t="inlineStr">
        <is>
          <t>P102|無印</t>
        </is>
      </c>
      <c r="K731" t="inlineStr">
        <is>
          <t>同一価格表・前頁凡例を継承</t>
        </is>
      </c>
      <c r="L731" t="inlineStr">
        <is>
          <t>202604_LIXIL_サーモスＬ_業務用資料集_完成品価格表.pdf</t>
        </is>
      </c>
      <c r="M731" t="inlineStr">
        <is>
          <t>v0.6：同一価格表セクション内で凡例継承を確定。</t>
        </is>
      </c>
      <c r="N731" t="inlineStr">
        <is>
          <t>https://drive.google.com/file/d/1YUN-mtWYs48YBUHJk0C3vJXnhjyZFHyf/view</t>
        </is>
      </c>
    </row>
    <row r="732">
      <c r="A732" s="42" t="inlineStr">
        <is>
          <t>GSC-SL-000729</t>
        </is>
      </c>
      <c r="B732" t="inlineStr">
        <is>
          <t>SZ-SL-000729</t>
        </is>
      </c>
      <c r="C732" t="inlineStr">
        <is>
          <t>WT-SL-MENKOSHI-HIKI</t>
        </is>
      </c>
      <c r="D732" t="inlineStr">
        <is>
          <t>SP-SL-GRILLE-IGETA</t>
        </is>
      </c>
      <c r="E732" t="inlineStr">
        <is>
          <t>12809</t>
        </is>
      </c>
      <c r="F732" t="b">
        <v>1</v>
      </c>
      <c r="G732" t="n">
        <v>103</v>
      </c>
      <c r="H732" t="inlineStr">
        <is>
          <t>無印</t>
        </is>
      </c>
      <c r="I732" t="n">
        <v>102</v>
      </c>
      <c r="J732" t="inlineStr">
        <is>
          <t>P102|無印</t>
        </is>
      </c>
      <c r="K732" t="inlineStr">
        <is>
          <t>同一価格表・前頁凡例を継承</t>
        </is>
      </c>
      <c r="L732" t="inlineStr">
        <is>
          <t>202604_LIXIL_サーモスＬ_業務用資料集_完成品価格表.pdf</t>
        </is>
      </c>
      <c r="M732" t="inlineStr">
        <is>
          <t>v0.6：同一価格表セクション内で凡例継承を確定。</t>
        </is>
      </c>
      <c r="N732" t="inlineStr">
        <is>
          <t>https://drive.google.com/file/d/1YUN-mtWYs48YBUHJk0C3vJXnhjyZFHyf/view</t>
        </is>
      </c>
    </row>
    <row r="733">
      <c r="A733" s="42" t="inlineStr">
        <is>
          <t>GSC-SL-000730</t>
        </is>
      </c>
      <c r="B733" t="inlineStr">
        <is>
          <t>SZ-SL-000730</t>
        </is>
      </c>
      <c r="C733" t="inlineStr">
        <is>
          <t>WT-SL-MENKOSHI-HIKI</t>
        </is>
      </c>
      <c r="D733" t="inlineStr">
        <is>
          <t>SP-SL-GRILLE-V</t>
        </is>
      </c>
      <c r="E733" t="inlineStr">
        <is>
          <t>08009</t>
        </is>
      </c>
      <c r="F733" t="b">
        <v>1</v>
      </c>
      <c r="G733" t="n">
        <v>103</v>
      </c>
      <c r="H733" t="inlineStr">
        <is>
          <t>無印</t>
        </is>
      </c>
      <c r="I733" t="n">
        <v>102</v>
      </c>
      <c r="J733" t="inlineStr">
        <is>
          <t>P102|無印</t>
        </is>
      </c>
      <c r="K733" t="inlineStr">
        <is>
          <t>同一価格表・前頁凡例を継承</t>
        </is>
      </c>
      <c r="L733" t="inlineStr">
        <is>
          <t>202604_LIXIL_サーモスＬ_業務用資料集_完成品価格表.pdf</t>
        </is>
      </c>
      <c r="M733" t="inlineStr">
        <is>
          <t>v0.6：同一価格表セクション内で凡例継承を確定。</t>
        </is>
      </c>
      <c r="N733" t="inlineStr">
        <is>
          <t>https://drive.google.com/file/d/1YUN-mtWYs48YBUHJk0C3vJXnhjyZFHyf/view</t>
        </is>
      </c>
    </row>
    <row r="734">
      <c r="A734" s="42" t="inlineStr">
        <is>
          <t>GSC-SL-000731</t>
        </is>
      </c>
      <c r="B734" t="inlineStr">
        <is>
          <t>SZ-SL-000731</t>
        </is>
      </c>
      <c r="C734" t="inlineStr">
        <is>
          <t>WT-SL-MENKOSHI-HIKI</t>
        </is>
      </c>
      <c r="D734" t="inlineStr">
        <is>
          <t>SP-SL-GRILLE-V</t>
        </is>
      </c>
      <c r="E734" t="inlineStr">
        <is>
          <t>08309</t>
        </is>
      </c>
      <c r="F734" t="b">
        <v>1</v>
      </c>
      <c r="G734" t="n">
        <v>103</v>
      </c>
      <c r="H734" t="inlineStr">
        <is>
          <t>無印</t>
        </is>
      </c>
      <c r="I734" t="n">
        <v>102</v>
      </c>
      <c r="J734" t="inlineStr">
        <is>
          <t>P102|無印</t>
        </is>
      </c>
      <c r="K734" t="inlineStr">
        <is>
          <t>同一価格表・前頁凡例を継承</t>
        </is>
      </c>
      <c r="L734" t="inlineStr">
        <is>
          <t>202604_LIXIL_サーモスＬ_業務用資料集_完成品価格表.pdf</t>
        </is>
      </c>
      <c r="M734" t="inlineStr">
        <is>
          <t>v0.6：同一価格表セクション内で凡例継承を確定。</t>
        </is>
      </c>
      <c r="N734" t="inlineStr">
        <is>
          <t>https://drive.google.com/file/d/1YUN-mtWYs48YBUHJk0C3vJXnhjyZFHyf/view</t>
        </is>
      </c>
    </row>
    <row r="735">
      <c r="A735" s="42" t="inlineStr">
        <is>
          <t>GSC-SL-000732</t>
        </is>
      </c>
      <c r="B735" t="inlineStr">
        <is>
          <t>SZ-SL-000732</t>
        </is>
      </c>
      <c r="C735" t="inlineStr">
        <is>
          <t>WT-SL-MENKOSHI-HIKI</t>
        </is>
      </c>
      <c r="D735" t="inlineStr">
        <is>
          <t>SP-SL-GRILLE-V</t>
        </is>
      </c>
      <c r="E735" t="inlineStr">
        <is>
          <t>11409</t>
        </is>
      </c>
      <c r="F735" t="b">
        <v>1</v>
      </c>
      <c r="G735" t="n">
        <v>103</v>
      </c>
      <c r="H735" t="inlineStr">
        <is>
          <t>無印</t>
        </is>
      </c>
      <c r="I735" t="n">
        <v>102</v>
      </c>
      <c r="J735" t="inlineStr">
        <is>
          <t>P102|無印</t>
        </is>
      </c>
      <c r="K735" t="inlineStr">
        <is>
          <t>同一価格表・前頁凡例を継承</t>
        </is>
      </c>
      <c r="L735" t="inlineStr">
        <is>
          <t>202604_LIXIL_サーモスＬ_業務用資料集_完成品価格表.pdf</t>
        </is>
      </c>
      <c r="M735" t="inlineStr">
        <is>
          <t>v0.6：同一価格表セクション内で凡例継承を確定。</t>
        </is>
      </c>
      <c r="N735" t="inlineStr">
        <is>
          <t>https://drive.google.com/file/d/1YUN-mtWYs48YBUHJk0C3vJXnhjyZFHyf/view</t>
        </is>
      </c>
    </row>
    <row r="736">
      <c r="A736" s="42" t="inlineStr">
        <is>
          <t>GSC-SL-000733</t>
        </is>
      </c>
      <c r="B736" t="inlineStr">
        <is>
          <t>SZ-SL-000733</t>
        </is>
      </c>
      <c r="C736" t="inlineStr">
        <is>
          <t>WT-SL-MENKOSHI-HIKI</t>
        </is>
      </c>
      <c r="D736" t="inlineStr">
        <is>
          <t>SP-SL-GRILLE-V</t>
        </is>
      </c>
      <c r="E736" t="inlineStr">
        <is>
          <t>11909</t>
        </is>
      </c>
      <c r="F736" t="b">
        <v>1</v>
      </c>
      <c r="G736" t="n">
        <v>103</v>
      </c>
      <c r="H736" t="inlineStr">
        <is>
          <t>無印</t>
        </is>
      </c>
      <c r="I736" t="n">
        <v>102</v>
      </c>
      <c r="J736" t="inlineStr">
        <is>
          <t>P102|無印</t>
        </is>
      </c>
      <c r="K736" t="inlineStr">
        <is>
          <t>同一価格表・前頁凡例を継承</t>
        </is>
      </c>
      <c r="L736" t="inlineStr">
        <is>
          <t>202604_LIXIL_サーモスＬ_業務用資料集_完成品価格表.pdf</t>
        </is>
      </c>
      <c r="M736" t="inlineStr">
        <is>
          <t>v0.6：同一価格表セクション内で凡例継承を確定。</t>
        </is>
      </c>
      <c r="N736" t="inlineStr">
        <is>
          <t>https://drive.google.com/file/d/1YUN-mtWYs48YBUHJk0C3vJXnhjyZFHyf/view</t>
        </is>
      </c>
    </row>
    <row r="737">
      <c r="A737" s="42" t="inlineStr">
        <is>
          <t>GSC-SL-000734</t>
        </is>
      </c>
      <c r="B737" t="inlineStr">
        <is>
          <t>SZ-SL-000734</t>
        </is>
      </c>
      <c r="C737" t="inlineStr">
        <is>
          <t>WT-SL-MENKOSHI-HIKI</t>
        </is>
      </c>
      <c r="D737" t="inlineStr">
        <is>
          <t>SP-SL-GRILLE-V</t>
        </is>
      </c>
      <c r="E737" t="inlineStr">
        <is>
          <t>12809</t>
        </is>
      </c>
      <c r="F737" t="b">
        <v>1</v>
      </c>
      <c r="G737" t="n">
        <v>103</v>
      </c>
      <c r="H737" t="inlineStr">
        <is>
          <t>無印</t>
        </is>
      </c>
      <c r="I737" t="n">
        <v>102</v>
      </c>
      <c r="J737" t="inlineStr">
        <is>
          <t>P102|無印</t>
        </is>
      </c>
      <c r="K737" t="inlineStr">
        <is>
          <t>同一価格表・前頁凡例を継承</t>
        </is>
      </c>
      <c r="L737" t="inlineStr">
        <is>
          <t>202604_LIXIL_サーモスＬ_業務用資料集_完成品価格表.pdf</t>
        </is>
      </c>
      <c r="M737" t="inlineStr">
        <is>
          <t>v0.6：同一価格表セクション内で凡例継承を確定。</t>
        </is>
      </c>
      <c r="N737" t="inlineStr">
        <is>
          <t>https://drive.google.com/file/d/1YUN-mtWYs48YBUHJk0C3vJXnhjyZFHyf/view</t>
        </is>
      </c>
    </row>
    <row r="738">
      <c r="A738" s="42" t="inlineStr">
        <is>
          <t>GSC-SL-000735</t>
        </is>
      </c>
      <c r="B738" t="inlineStr">
        <is>
          <t>SZ-SL-000735</t>
        </is>
      </c>
      <c r="C738" t="inlineStr">
        <is>
          <t>WT-SL-MENKOSHI-HIKI</t>
        </is>
      </c>
      <c r="D738" t="inlineStr">
        <is>
          <t>SP-SL-GRILLE-DIA</t>
        </is>
      </c>
      <c r="E738" t="inlineStr">
        <is>
          <t>13309</t>
        </is>
      </c>
      <c r="F738" t="b">
        <v>1</v>
      </c>
      <c r="G738" t="n">
        <v>104</v>
      </c>
      <c r="H738" t="inlineStr">
        <is>
          <t>無印</t>
        </is>
      </c>
      <c r="I738" t="n">
        <v>104</v>
      </c>
      <c r="J738" t="inlineStr">
        <is>
          <t>P104|無印</t>
        </is>
      </c>
      <c r="K738" t="inlineStr">
        <is>
          <t>同頁凡例へ直接連動</t>
        </is>
      </c>
      <c r="L738" t="inlineStr">
        <is>
          <t>202604_LIXIL_サーモスＬ_業務用資料集_完成品価格表.pdf</t>
        </is>
      </c>
      <c r="M738" t="inlineStr">
        <is>
          <t>v0.6：同一価格表セクション内で凡例継承を確定。</t>
        </is>
      </c>
      <c r="N738" t="inlineStr">
        <is>
          <t>https://drive.google.com/file/d/1YUN-mtWYs48YBUHJk0C3vJXnhjyZFHyf/view</t>
        </is>
      </c>
    </row>
    <row r="739">
      <c r="A739" s="42" t="inlineStr">
        <is>
          <t>GSC-SL-000736</t>
        </is>
      </c>
      <c r="B739" t="inlineStr">
        <is>
          <t>SZ-SL-000736</t>
        </is>
      </c>
      <c r="C739" t="inlineStr">
        <is>
          <t>WT-SL-MENKOSHI-HIKI</t>
        </is>
      </c>
      <c r="D739" t="inlineStr">
        <is>
          <t>SP-SL-GRILLE-DIA</t>
        </is>
      </c>
      <c r="E739" t="inlineStr">
        <is>
          <t>15009</t>
        </is>
      </c>
      <c r="F739" t="b">
        <v>1</v>
      </c>
      <c r="G739" t="n">
        <v>104</v>
      </c>
      <c r="H739" t="inlineStr">
        <is>
          <t>無印</t>
        </is>
      </c>
      <c r="I739" t="n">
        <v>104</v>
      </c>
      <c r="J739" t="inlineStr">
        <is>
          <t>P104|無印</t>
        </is>
      </c>
      <c r="K739" t="inlineStr">
        <is>
          <t>同頁凡例へ直接連動</t>
        </is>
      </c>
      <c r="L739" t="inlineStr">
        <is>
          <t>202604_LIXIL_サーモスＬ_業務用資料集_完成品価格表.pdf</t>
        </is>
      </c>
      <c r="M739" t="inlineStr">
        <is>
          <t>v0.6：同一価格表セクション内で凡例継承を確定。</t>
        </is>
      </c>
      <c r="N739" t="inlineStr">
        <is>
          <t>https://drive.google.com/file/d/1YUN-mtWYs48YBUHJk0C3vJXnhjyZFHyf/view</t>
        </is>
      </c>
    </row>
    <row r="740">
      <c r="A740" s="42" t="inlineStr">
        <is>
          <t>GSC-SL-000737</t>
        </is>
      </c>
      <c r="B740" t="inlineStr">
        <is>
          <t>SZ-SL-000737</t>
        </is>
      </c>
      <c r="C740" t="inlineStr">
        <is>
          <t>WT-SL-MENKOSHI-HIKI</t>
        </is>
      </c>
      <c r="D740" t="inlineStr">
        <is>
          <t>SP-SL-GRILLE-DIA</t>
        </is>
      </c>
      <c r="E740" t="inlineStr">
        <is>
          <t>16009</t>
        </is>
      </c>
      <c r="F740" t="b">
        <v>1</v>
      </c>
      <c r="G740" t="n">
        <v>104</v>
      </c>
      <c r="H740" t="inlineStr">
        <is>
          <t>無印</t>
        </is>
      </c>
      <c r="I740" t="n">
        <v>104</v>
      </c>
      <c r="J740" t="inlineStr">
        <is>
          <t>P104|無印</t>
        </is>
      </c>
      <c r="K740" t="inlineStr">
        <is>
          <t>同頁凡例へ直接連動</t>
        </is>
      </c>
      <c r="L740" t="inlineStr">
        <is>
          <t>202604_LIXIL_サーモスＬ_業務用資料集_完成品価格表.pdf</t>
        </is>
      </c>
      <c r="M740" t="inlineStr">
        <is>
          <t>v0.6：同一価格表セクション内で凡例継承を確定。</t>
        </is>
      </c>
      <c r="N740" t="inlineStr">
        <is>
          <t>https://drive.google.com/file/d/1YUN-mtWYs48YBUHJk0C3vJXnhjyZFHyf/view</t>
        </is>
      </c>
    </row>
    <row r="741">
      <c r="A741" s="42" t="inlineStr">
        <is>
          <t>GSC-SL-000738</t>
        </is>
      </c>
      <c r="B741" t="inlineStr">
        <is>
          <t>SZ-SL-000738</t>
        </is>
      </c>
      <c r="C741" t="inlineStr">
        <is>
          <t>WT-SL-MENKOSHI-HIKI</t>
        </is>
      </c>
      <c r="D741" t="inlineStr">
        <is>
          <t>SP-SL-GRILLE-DIA</t>
        </is>
      </c>
      <c r="E741" t="inlineStr">
        <is>
          <t>16509</t>
        </is>
      </c>
      <c r="F741" t="b">
        <v>1</v>
      </c>
      <c r="G741" t="n">
        <v>104</v>
      </c>
      <c r="H741" t="inlineStr">
        <is>
          <t>無印</t>
        </is>
      </c>
      <c r="I741" t="n">
        <v>104</v>
      </c>
      <c r="J741" t="inlineStr">
        <is>
          <t>P104|無印</t>
        </is>
      </c>
      <c r="K741" t="inlineStr">
        <is>
          <t>同頁凡例へ直接連動</t>
        </is>
      </c>
      <c r="L741" t="inlineStr">
        <is>
          <t>202604_LIXIL_サーモスＬ_業務用資料集_完成品価格表.pdf</t>
        </is>
      </c>
      <c r="M741" t="inlineStr">
        <is>
          <t>v0.6：同一価格表セクション内で凡例継承を確定。</t>
        </is>
      </c>
      <c r="N741" t="inlineStr">
        <is>
          <t>https://drive.google.com/file/d/1YUN-mtWYs48YBUHJk0C3vJXnhjyZFHyf/view</t>
        </is>
      </c>
    </row>
    <row r="742">
      <c r="A742" s="42" t="inlineStr">
        <is>
          <t>GSC-SL-000739</t>
        </is>
      </c>
      <c r="B742" t="inlineStr">
        <is>
          <t>SZ-SL-000739</t>
        </is>
      </c>
      <c r="C742" t="inlineStr">
        <is>
          <t>WT-SL-MENKOSHI-HIKI</t>
        </is>
      </c>
      <c r="D742" t="inlineStr">
        <is>
          <t>SP-SL-GRILLE-H</t>
        </is>
      </c>
      <c r="E742" t="inlineStr">
        <is>
          <t>13309</t>
        </is>
      </c>
      <c r="F742" t="b">
        <v>1</v>
      </c>
      <c r="G742" t="n">
        <v>104</v>
      </c>
      <c r="H742" t="inlineStr">
        <is>
          <t>無印</t>
        </is>
      </c>
      <c r="I742" t="n">
        <v>104</v>
      </c>
      <c r="J742" t="inlineStr">
        <is>
          <t>P104|無印</t>
        </is>
      </c>
      <c r="K742" t="inlineStr">
        <is>
          <t>同頁凡例へ直接連動</t>
        </is>
      </c>
      <c r="L742" t="inlineStr">
        <is>
          <t>202604_LIXIL_サーモスＬ_業務用資料集_完成品価格表.pdf</t>
        </is>
      </c>
      <c r="M742" t="inlineStr">
        <is>
          <t>v0.6：同一価格表セクション内で凡例継承を確定。</t>
        </is>
      </c>
      <c r="N742" t="inlineStr">
        <is>
          <t>https://drive.google.com/file/d/1YUN-mtWYs48YBUHJk0C3vJXnhjyZFHyf/view</t>
        </is>
      </c>
    </row>
    <row r="743">
      <c r="A743" s="42" t="inlineStr">
        <is>
          <t>GSC-SL-000740</t>
        </is>
      </c>
      <c r="B743" t="inlineStr">
        <is>
          <t>SZ-SL-000740</t>
        </is>
      </c>
      <c r="C743" t="inlineStr">
        <is>
          <t>WT-SL-MENKOSHI-HIKI</t>
        </is>
      </c>
      <c r="D743" t="inlineStr">
        <is>
          <t>SP-SL-GRILLE-H</t>
        </is>
      </c>
      <c r="E743" t="inlineStr">
        <is>
          <t>15009</t>
        </is>
      </c>
      <c r="F743" t="b">
        <v>0</v>
      </c>
      <c r="G743" t="n">
        <v>104</v>
      </c>
      <c r="H743" t="inlineStr">
        <is>
          <t>無印</t>
        </is>
      </c>
      <c r="I743" t="n">
        <v>104</v>
      </c>
      <c r="J743" t="inlineStr">
        <is>
          <t>P104|無印</t>
        </is>
      </c>
      <c r="K743" t="inlineStr">
        <is>
          <t>同頁凡例へ直接連動</t>
        </is>
      </c>
      <c r="L743" t="inlineStr">
        <is>
          <t>202604_LIXIL_サーモスＬ_業務用資料集_完成品価格表.pdf</t>
        </is>
      </c>
      <c r="M743" t="inlineStr">
        <is>
          <t>v0.6：同一価格表セクション内で凡例継承を確定。</t>
        </is>
      </c>
      <c r="N743" t="inlineStr">
        <is>
          <t>https://drive.google.com/file/d/1YUN-mtWYs48YBUHJk0C3vJXnhjyZFHyf/view</t>
        </is>
      </c>
    </row>
    <row r="744">
      <c r="A744" s="42" t="inlineStr">
        <is>
          <t>GSC-SL-000741</t>
        </is>
      </c>
      <c r="B744" t="inlineStr">
        <is>
          <t>SZ-SL-000741</t>
        </is>
      </c>
      <c r="C744" t="inlineStr">
        <is>
          <t>WT-SL-MENKOSHI-HIKI</t>
        </is>
      </c>
      <c r="D744" t="inlineStr">
        <is>
          <t>SP-SL-GRILLE-H</t>
        </is>
      </c>
      <c r="E744" t="inlineStr">
        <is>
          <t>16009</t>
        </is>
      </c>
      <c r="F744" t="b">
        <v>0</v>
      </c>
      <c r="G744" t="n">
        <v>104</v>
      </c>
      <c r="H744" t="inlineStr">
        <is>
          <t>無印</t>
        </is>
      </c>
      <c r="I744" t="n">
        <v>104</v>
      </c>
      <c r="J744" t="inlineStr">
        <is>
          <t>P104|無印</t>
        </is>
      </c>
      <c r="K744" t="inlineStr">
        <is>
          <t>同頁凡例へ直接連動</t>
        </is>
      </c>
      <c r="L744" t="inlineStr">
        <is>
          <t>202604_LIXIL_サーモスＬ_業務用資料集_完成品価格表.pdf</t>
        </is>
      </c>
      <c r="M744" t="inlineStr">
        <is>
          <t>v0.6：同一価格表セクション内で凡例継承を確定。</t>
        </is>
      </c>
      <c r="N744" t="inlineStr">
        <is>
          <t>https://drive.google.com/file/d/1YUN-mtWYs48YBUHJk0C3vJXnhjyZFHyf/view</t>
        </is>
      </c>
    </row>
    <row r="745">
      <c r="A745" s="42" t="inlineStr">
        <is>
          <t>GSC-SL-000742</t>
        </is>
      </c>
      <c r="B745" t="inlineStr">
        <is>
          <t>SZ-SL-000742</t>
        </is>
      </c>
      <c r="C745" t="inlineStr">
        <is>
          <t>WT-SL-MENKOSHI-HIKI</t>
        </is>
      </c>
      <c r="D745" t="inlineStr">
        <is>
          <t>SP-SL-GRILLE-H</t>
        </is>
      </c>
      <c r="E745" t="inlineStr">
        <is>
          <t>16509</t>
        </is>
      </c>
      <c r="F745" t="b">
        <v>0</v>
      </c>
      <c r="G745" t="n">
        <v>104</v>
      </c>
      <c r="H745" t="inlineStr">
        <is>
          <t>無印</t>
        </is>
      </c>
      <c r="I745" t="n">
        <v>104</v>
      </c>
      <c r="J745" t="inlineStr">
        <is>
          <t>P104|無印</t>
        </is>
      </c>
      <c r="K745" t="inlineStr">
        <is>
          <t>同頁凡例へ直接連動</t>
        </is>
      </c>
      <c r="L745" t="inlineStr">
        <is>
          <t>202604_LIXIL_サーモスＬ_業務用資料集_完成品価格表.pdf</t>
        </is>
      </c>
      <c r="M745" t="inlineStr">
        <is>
          <t>v0.6：同一価格表セクション内で凡例継承を確定。</t>
        </is>
      </c>
      <c r="N745" t="inlineStr">
        <is>
          <t>https://drive.google.com/file/d/1YUN-mtWYs48YBUHJk0C3vJXnhjyZFHyf/view</t>
        </is>
      </c>
    </row>
    <row r="746">
      <c r="A746" s="42" t="inlineStr">
        <is>
          <t>GSC-SL-000743</t>
        </is>
      </c>
      <c r="B746" t="inlineStr">
        <is>
          <t>SZ-SL-000743</t>
        </is>
      </c>
      <c r="C746" t="inlineStr">
        <is>
          <t>WT-SL-MENKOSHI-HIKI</t>
        </is>
      </c>
      <c r="D746" t="inlineStr">
        <is>
          <t>SP-SL-GRILLE-IGETA</t>
        </is>
      </c>
      <c r="E746" t="inlineStr">
        <is>
          <t>13309</t>
        </is>
      </c>
      <c r="F746" t="b">
        <v>1</v>
      </c>
      <c r="G746" t="n">
        <v>104</v>
      </c>
      <c r="H746" t="inlineStr">
        <is>
          <t>無印</t>
        </is>
      </c>
      <c r="I746" t="n">
        <v>104</v>
      </c>
      <c r="J746" t="inlineStr">
        <is>
          <t>P104|無印</t>
        </is>
      </c>
      <c r="K746" t="inlineStr">
        <is>
          <t>同頁凡例へ直接連動</t>
        </is>
      </c>
      <c r="L746" t="inlineStr">
        <is>
          <t>202604_LIXIL_サーモスＬ_業務用資料集_完成品価格表.pdf</t>
        </is>
      </c>
      <c r="M746" t="inlineStr">
        <is>
          <t>v0.6：同一価格表セクション内で凡例継承を確定。</t>
        </is>
      </c>
      <c r="N746" t="inlineStr">
        <is>
          <t>https://drive.google.com/file/d/1YUN-mtWYs48YBUHJk0C3vJXnhjyZFHyf/view</t>
        </is>
      </c>
    </row>
    <row r="747">
      <c r="A747" s="42" t="inlineStr">
        <is>
          <t>GSC-SL-000744</t>
        </is>
      </c>
      <c r="B747" t="inlineStr">
        <is>
          <t>SZ-SL-000744</t>
        </is>
      </c>
      <c r="C747" t="inlineStr">
        <is>
          <t>WT-SL-MENKOSHI-HIKI</t>
        </is>
      </c>
      <c r="D747" t="inlineStr">
        <is>
          <t>SP-SL-GRILLE-IGETA</t>
        </is>
      </c>
      <c r="E747" t="inlineStr">
        <is>
          <t>15009</t>
        </is>
      </c>
      <c r="F747" t="b">
        <v>1</v>
      </c>
      <c r="G747" t="n">
        <v>104</v>
      </c>
      <c r="H747" t="inlineStr">
        <is>
          <t>無印</t>
        </is>
      </c>
      <c r="I747" t="n">
        <v>104</v>
      </c>
      <c r="J747" t="inlineStr">
        <is>
          <t>P104|無印</t>
        </is>
      </c>
      <c r="K747" t="inlineStr">
        <is>
          <t>同頁凡例へ直接連動</t>
        </is>
      </c>
      <c r="L747" t="inlineStr">
        <is>
          <t>202604_LIXIL_サーモスＬ_業務用資料集_完成品価格表.pdf</t>
        </is>
      </c>
      <c r="M747" t="inlineStr">
        <is>
          <t>v0.6：同一価格表セクション内で凡例継承を確定。</t>
        </is>
      </c>
      <c r="N747" t="inlineStr">
        <is>
          <t>https://drive.google.com/file/d/1YUN-mtWYs48YBUHJk0C3vJXnhjyZFHyf/view</t>
        </is>
      </c>
    </row>
    <row r="748">
      <c r="A748" s="42" t="inlineStr">
        <is>
          <t>GSC-SL-000745</t>
        </is>
      </c>
      <c r="B748" t="inlineStr">
        <is>
          <t>SZ-SL-000745</t>
        </is>
      </c>
      <c r="C748" t="inlineStr">
        <is>
          <t>WT-SL-MENKOSHI-HIKI</t>
        </is>
      </c>
      <c r="D748" t="inlineStr">
        <is>
          <t>SP-SL-GRILLE-IGETA</t>
        </is>
      </c>
      <c r="E748" t="inlineStr">
        <is>
          <t>16009</t>
        </is>
      </c>
      <c r="F748" t="b">
        <v>1</v>
      </c>
      <c r="G748" t="n">
        <v>104</v>
      </c>
      <c r="H748" t="inlineStr">
        <is>
          <t>無印</t>
        </is>
      </c>
      <c r="I748" t="n">
        <v>104</v>
      </c>
      <c r="J748" t="inlineStr">
        <is>
          <t>P104|無印</t>
        </is>
      </c>
      <c r="K748" t="inlineStr">
        <is>
          <t>同頁凡例へ直接連動</t>
        </is>
      </c>
      <c r="L748" t="inlineStr">
        <is>
          <t>202604_LIXIL_サーモスＬ_業務用資料集_完成品価格表.pdf</t>
        </is>
      </c>
      <c r="M748" t="inlineStr">
        <is>
          <t>v0.6：同一価格表セクション内で凡例継承を確定。</t>
        </is>
      </c>
      <c r="N748" t="inlineStr">
        <is>
          <t>https://drive.google.com/file/d/1YUN-mtWYs48YBUHJk0C3vJXnhjyZFHyf/view</t>
        </is>
      </c>
    </row>
    <row r="749">
      <c r="A749" s="42" t="inlineStr">
        <is>
          <t>GSC-SL-000746</t>
        </is>
      </c>
      <c r="B749" t="inlineStr">
        <is>
          <t>SZ-SL-000746</t>
        </is>
      </c>
      <c r="C749" t="inlineStr">
        <is>
          <t>WT-SL-MENKOSHI-HIKI</t>
        </is>
      </c>
      <c r="D749" t="inlineStr">
        <is>
          <t>SP-SL-GRILLE-IGETA</t>
        </is>
      </c>
      <c r="E749" t="inlineStr">
        <is>
          <t>16509</t>
        </is>
      </c>
      <c r="F749" t="b">
        <v>1</v>
      </c>
      <c r="G749" t="n">
        <v>104</v>
      </c>
      <c r="H749" t="inlineStr">
        <is>
          <t>無印</t>
        </is>
      </c>
      <c r="I749" t="n">
        <v>104</v>
      </c>
      <c r="J749" t="inlineStr">
        <is>
          <t>P104|無印</t>
        </is>
      </c>
      <c r="K749" t="inlineStr">
        <is>
          <t>同頁凡例へ直接連動</t>
        </is>
      </c>
      <c r="L749" t="inlineStr">
        <is>
          <t>202604_LIXIL_サーモスＬ_業務用資料集_完成品価格表.pdf</t>
        </is>
      </c>
      <c r="M749" t="inlineStr">
        <is>
          <t>v0.6：同一価格表セクション内で凡例継承を確定。</t>
        </is>
      </c>
      <c r="N749" t="inlineStr">
        <is>
          <t>https://drive.google.com/file/d/1YUN-mtWYs48YBUHJk0C3vJXnhjyZFHyf/view</t>
        </is>
      </c>
    </row>
    <row r="750">
      <c r="A750" s="42" t="inlineStr">
        <is>
          <t>GSC-SL-000747</t>
        </is>
      </c>
      <c r="B750" t="inlineStr">
        <is>
          <t>SZ-SL-000747</t>
        </is>
      </c>
      <c r="C750" t="inlineStr">
        <is>
          <t>WT-SL-MENKOSHI-HIKI</t>
        </is>
      </c>
      <c r="D750" t="inlineStr">
        <is>
          <t>SP-SL-GRILLE-V</t>
        </is>
      </c>
      <c r="E750" t="inlineStr">
        <is>
          <t>13309</t>
        </is>
      </c>
      <c r="F750" t="b">
        <v>1</v>
      </c>
      <c r="G750" t="n">
        <v>104</v>
      </c>
      <c r="H750" t="inlineStr">
        <is>
          <t>無印</t>
        </is>
      </c>
      <c r="I750" t="n">
        <v>104</v>
      </c>
      <c r="J750" t="inlineStr">
        <is>
          <t>P104|無印</t>
        </is>
      </c>
      <c r="K750" t="inlineStr">
        <is>
          <t>同頁凡例へ直接連動</t>
        </is>
      </c>
      <c r="L750" t="inlineStr">
        <is>
          <t>202604_LIXIL_サーモスＬ_業務用資料集_完成品価格表.pdf</t>
        </is>
      </c>
      <c r="M750" t="inlineStr">
        <is>
          <t>v0.6：同一価格表セクション内で凡例継承を確定。</t>
        </is>
      </c>
      <c r="N750" t="inlineStr">
        <is>
          <t>https://drive.google.com/file/d/1YUN-mtWYs48YBUHJk0C3vJXnhjyZFHyf/view</t>
        </is>
      </c>
    </row>
    <row r="751">
      <c r="A751" s="42" t="inlineStr">
        <is>
          <t>GSC-SL-000748</t>
        </is>
      </c>
      <c r="B751" t="inlineStr">
        <is>
          <t>SZ-SL-000748</t>
        </is>
      </c>
      <c r="C751" t="inlineStr">
        <is>
          <t>WT-SL-MENKOSHI-HIKI</t>
        </is>
      </c>
      <c r="D751" t="inlineStr">
        <is>
          <t>SP-SL-GRILLE-V</t>
        </is>
      </c>
      <c r="E751" t="inlineStr">
        <is>
          <t>15009</t>
        </is>
      </c>
      <c r="F751" t="b">
        <v>1</v>
      </c>
      <c r="G751" t="n">
        <v>104</v>
      </c>
      <c r="H751" t="inlineStr">
        <is>
          <t>無印</t>
        </is>
      </c>
      <c r="I751" t="n">
        <v>104</v>
      </c>
      <c r="J751" t="inlineStr">
        <is>
          <t>P104|無印</t>
        </is>
      </c>
      <c r="K751" t="inlineStr">
        <is>
          <t>同頁凡例へ直接連動</t>
        </is>
      </c>
      <c r="L751" t="inlineStr">
        <is>
          <t>202604_LIXIL_サーモスＬ_業務用資料集_完成品価格表.pdf</t>
        </is>
      </c>
      <c r="M751" t="inlineStr">
        <is>
          <t>v0.6：同一価格表セクション内で凡例継承を確定。</t>
        </is>
      </c>
      <c r="N751" t="inlineStr">
        <is>
          <t>https://drive.google.com/file/d/1YUN-mtWYs48YBUHJk0C3vJXnhjyZFHyf/view</t>
        </is>
      </c>
    </row>
    <row r="752">
      <c r="A752" s="42" t="inlineStr">
        <is>
          <t>GSC-SL-000749</t>
        </is>
      </c>
      <c r="B752" t="inlineStr">
        <is>
          <t>SZ-SL-000749</t>
        </is>
      </c>
      <c r="C752" t="inlineStr">
        <is>
          <t>WT-SL-MENKOSHI-HIKI</t>
        </is>
      </c>
      <c r="D752" t="inlineStr">
        <is>
          <t>SP-SL-GRILLE-V</t>
        </is>
      </c>
      <c r="E752" t="inlineStr">
        <is>
          <t>16009</t>
        </is>
      </c>
      <c r="F752" t="b">
        <v>1</v>
      </c>
      <c r="G752" t="n">
        <v>104</v>
      </c>
      <c r="H752" t="inlineStr">
        <is>
          <t>無印</t>
        </is>
      </c>
      <c r="I752" t="n">
        <v>104</v>
      </c>
      <c r="J752" t="inlineStr">
        <is>
          <t>P104|無印</t>
        </is>
      </c>
      <c r="K752" t="inlineStr">
        <is>
          <t>同頁凡例へ直接連動</t>
        </is>
      </c>
      <c r="L752" t="inlineStr">
        <is>
          <t>202604_LIXIL_サーモスＬ_業務用資料集_完成品価格表.pdf</t>
        </is>
      </c>
      <c r="M752" t="inlineStr">
        <is>
          <t>v0.6：同一価格表セクション内で凡例継承を確定。</t>
        </is>
      </c>
      <c r="N752" t="inlineStr">
        <is>
          <t>https://drive.google.com/file/d/1YUN-mtWYs48YBUHJk0C3vJXnhjyZFHyf/view</t>
        </is>
      </c>
    </row>
    <row r="753">
      <c r="A753" s="42" t="inlineStr">
        <is>
          <t>GSC-SL-000750</t>
        </is>
      </c>
      <c r="B753" t="inlineStr">
        <is>
          <t>SZ-SL-000750</t>
        </is>
      </c>
      <c r="C753" t="inlineStr">
        <is>
          <t>WT-SL-MENKOSHI-HIKI</t>
        </is>
      </c>
      <c r="D753" t="inlineStr">
        <is>
          <t>SP-SL-GRILLE-V</t>
        </is>
      </c>
      <c r="E753" t="inlineStr">
        <is>
          <t>16509</t>
        </is>
      </c>
      <c r="F753" t="b">
        <v>1</v>
      </c>
      <c r="G753" t="n">
        <v>104</v>
      </c>
      <c r="H753" t="inlineStr">
        <is>
          <t>無印</t>
        </is>
      </c>
      <c r="I753" t="n">
        <v>104</v>
      </c>
      <c r="J753" t="inlineStr">
        <is>
          <t>P104|無印</t>
        </is>
      </c>
      <c r="K753" t="inlineStr">
        <is>
          <t>同頁凡例へ直接連動</t>
        </is>
      </c>
      <c r="L753" t="inlineStr">
        <is>
          <t>202604_LIXIL_サーモスＬ_業務用資料集_完成品価格表.pdf</t>
        </is>
      </c>
      <c r="M753" t="inlineStr">
        <is>
          <t>v0.6：同一価格表セクション内で凡例継承を確定。</t>
        </is>
      </c>
      <c r="N753" t="inlineStr">
        <is>
          <t>https://drive.google.com/file/d/1YUN-mtWYs48YBUHJk0C3vJXnhjyZFHyf/view</t>
        </is>
      </c>
    </row>
    <row r="754">
      <c r="A754" s="42" t="inlineStr">
        <is>
          <t>GSC-SL-000751</t>
        </is>
      </c>
      <c r="B754" t="inlineStr">
        <is>
          <t>SZ-SL-000751</t>
        </is>
      </c>
      <c r="C754" t="inlineStr">
        <is>
          <t>WT-SL-MENKOSHI-HIKI</t>
        </is>
      </c>
      <c r="D754" t="inlineStr">
        <is>
          <t>SP-SL-GRILLE-DIA</t>
        </is>
      </c>
      <c r="E754" t="inlineStr">
        <is>
          <t>17409</t>
        </is>
      </c>
      <c r="F754" t="b">
        <v>1</v>
      </c>
      <c r="G754" t="n">
        <v>105</v>
      </c>
      <c r="H754" t="inlineStr">
        <is>
          <t>無印</t>
        </is>
      </c>
      <c r="I754" t="n">
        <v>104</v>
      </c>
      <c r="J754" t="inlineStr">
        <is>
          <t>P104|無印</t>
        </is>
      </c>
      <c r="K754" t="inlineStr">
        <is>
          <t>同一価格表・前頁凡例を継承</t>
        </is>
      </c>
      <c r="L754" t="inlineStr">
        <is>
          <t>202604_LIXIL_サーモスＬ_業務用資料集_完成品価格表.pdf</t>
        </is>
      </c>
      <c r="M754" t="inlineStr">
        <is>
          <t>v0.6：同一価格表セクション内で凡例継承を確定。</t>
        </is>
      </c>
      <c r="N754" t="inlineStr">
        <is>
          <t>https://drive.google.com/file/d/1YUN-mtWYs48YBUHJk0C3vJXnhjyZFHyf/view</t>
        </is>
      </c>
    </row>
    <row r="755">
      <c r="A755" s="42" t="inlineStr">
        <is>
          <t>GSC-SL-000752</t>
        </is>
      </c>
      <c r="B755" t="inlineStr">
        <is>
          <t>SZ-SL-000752</t>
        </is>
      </c>
      <c r="C755" t="inlineStr">
        <is>
          <t>WT-SL-MENKOSHI-HIKI</t>
        </is>
      </c>
      <c r="D755" t="inlineStr">
        <is>
          <t>SP-SL-GRILLE-DIA</t>
        </is>
      </c>
      <c r="E755" t="inlineStr">
        <is>
          <t>17609</t>
        </is>
      </c>
      <c r="F755" t="b">
        <v>1</v>
      </c>
      <c r="G755" t="n">
        <v>105</v>
      </c>
      <c r="H755" t="inlineStr">
        <is>
          <t>無印</t>
        </is>
      </c>
      <c r="I755" t="n">
        <v>104</v>
      </c>
      <c r="J755" t="inlineStr">
        <is>
          <t>P104|無印</t>
        </is>
      </c>
      <c r="K755" t="inlineStr">
        <is>
          <t>同一価格表・前頁凡例を継承</t>
        </is>
      </c>
      <c r="L755" t="inlineStr">
        <is>
          <t>202604_LIXIL_サーモスＬ_業務用資料集_完成品価格表.pdf</t>
        </is>
      </c>
      <c r="M755" t="inlineStr">
        <is>
          <t>v0.6：同一価格表セクション内で凡例継承を確定。</t>
        </is>
      </c>
      <c r="N755" t="inlineStr">
        <is>
          <t>https://drive.google.com/file/d/1YUN-mtWYs48YBUHJk0C3vJXnhjyZFHyf/view</t>
        </is>
      </c>
    </row>
    <row r="756">
      <c r="A756" s="42" t="inlineStr">
        <is>
          <t>GSC-SL-000753</t>
        </is>
      </c>
      <c r="B756" t="inlineStr">
        <is>
          <t>SZ-SL-000753</t>
        </is>
      </c>
      <c r="C756" t="inlineStr">
        <is>
          <t>WT-SL-MENKOSHI-HIKI</t>
        </is>
      </c>
      <c r="D756" t="inlineStr">
        <is>
          <t>SP-SL-GRILLE-DIA</t>
        </is>
      </c>
      <c r="E756" t="inlineStr">
        <is>
          <t>18009</t>
        </is>
      </c>
      <c r="F756" t="b">
        <v>1</v>
      </c>
      <c r="G756" t="n">
        <v>105</v>
      </c>
      <c r="H756" t="inlineStr">
        <is>
          <t>無印</t>
        </is>
      </c>
      <c r="I756" t="n">
        <v>104</v>
      </c>
      <c r="J756" t="inlineStr">
        <is>
          <t>P104|無印</t>
        </is>
      </c>
      <c r="K756" t="inlineStr">
        <is>
          <t>同一価格表・前頁凡例を継承</t>
        </is>
      </c>
      <c r="L756" t="inlineStr">
        <is>
          <t>202604_LIXIL_サーモスＬ_業務用資料集_完成品価格表.pdf</t>
        </is>
      </c>
      <c r="M756" t="inlineStr">
        <is>
          <t>v0.6：同一価格表セクション内で凡例継承を確定。</t>
        </is>
      </c>
      <c r="N756" t="inlineStr">
        <is>
          <t>https://drive.google.com/file/d/1YUN-mtWYs48YBUHJk0C3vJXnhjyZFHyf/view</t>
        </is>
      </c>
    </row>
    <row r="757">
      <c r="A757" s="42" t="inlineStr">
        <is>
          <t>GSC-SL-000754</t>
        </is>
      </c>
      <c r="B757" t="inlineStr">
        <is>
          <t>SZ-SL-000754</t>
        </is>
      </c>
      <c r="C757" t="inlineStr">
        <is>
          <t>WT-SL-MENKOSHI-HIKI</t>
        </is>
      </c>
      <c r="D757" t="inlineStr">
        <is>
          <t>SP-SL-GRILLE-DIA</t>
        </is>
      </c>
      <c r="E757" t="inlineStr">
        <is>
          <t>18609</t>
        </is>
      </c>
      <c r="F757" t="b">
        <v>1</v>
      </c>
      <c r="G757" t="n">
        <v>105</v>
      </c>
      <c r="H757" t="inlineStr">
        <is>
          <t>無印</t>
        </is>
      </c>
      <c r="I757" t="n">
        <v>104</v>
      </c>
      <c r="J757" t="inlineStr">
        <is>
          <t>P104|無印</t>
        </is>
      </c>
      <c r="K757" t="inlineStr">
        <is>
          <t>同一価格表・前頁凡例を継承</t>
        </is>
      </c>
      <c r="L757" t="inlineStr">
        <is>
          <t>202604_LIXIL_サーモスＬ_業務用資料集_完成品価格表.pdf</t>
        </is>
      </c>
      <c r="M757" t="inlineStr">
        <is>
          <t>v0.6：同一価格表セクション内で凡例継承を確定。</t>
        </is>
      </c>
      <c r="N757" t="inlineStr">
        <is>
          <t>https://drive.google.com/file/d/1YUN-mtWYs48YBUHJk0C3vJXnhjyZFHyf/view</t>
        </is>
      </c>
    </row>
    <row r="758">
      <c r="A758" s="42" t="inlineStr">
        <is>
          <t>GSC-SL-000755</t>
        </is>
      </c>
      <c r="B758" t="inlineStr">
        <is>
          <t>SZ-SL-000755</t>
        </is>
      </c>
      <c r="C758" t="inlineStr">
        <is>
          <t>WT-SL-MENKOSHI-HIKI</t>
        </is>
      </c>
      <c r="D758" t="inlineStr">
        <is>
          <t>SP-SL-GRILLE-H</t>
        </is>
      </c>
      <c r="E758" t="inlineStr">
        <is>
          <t>17409</t>
        </is>
      </c>
      <c r="F758" t="b">
        <v>0</v>
      </c>
      <c r="G758" t="n">
        <v>105</v>
      </c>
      <c r="H758" t="inlineStr">
        <is>
          <t>無印</t>
        </is>
      </c>
      <c r="I758" t="n">
        <v>104</v>
      </c>
      <c r="J758" t="inlineStr">
        <is>
          <t>P104|無印</t>
        </is>
      </c>
      <c r="K758" t="inlineStr">
        <is>
          <t>同一価格表・前頁凡例を継承</t>
        </is>
      </c>
      <c r="L758" t="inlineStr">
        <is>
          <t>202604_LIXIL_サーモスＬ_業務用資料集_完成品価格表.pdf</t>
        </is>
      </c>
      <c r="M758" t="inlineStr">
        <is>
          <t>v0.6：同一価格表セクション内で凡例継承を確定。</t>
        </is>
      </c>
      <c r="N758" t="inlineStr">
        <is>
          <t>https://drive.google.com/file/d/1YUN-mtWYs48YBUHJk0C3vJXnhjyZFHyf/view</t>
        </is>
      </c>
    </row>
    <row r="759">
      <c r="A759" s="42" t="inlineStr">
        <is>
          <t>GSC-SL-000756</t>
        </is>
      </c>
      <c r="B759" t="inlineStr">
        <is>
          <t>SZ-SL-000756</t>
        </is>
      </c>
      <c r="C759" t="inlineStr">
        <is>
          <t>WT-SL-MENKOSHI-HIKI</t>
        </is>
      </c>
      <c r="D759" t="inlineStr">
        <is>
          <t>SP-SL-GRILLE-H</t>
        </is>
      </c>
      <c r="E759" t="inlineStr">
        <is>
          <t>17609</t>
        </is>
      </c>
      <c r="F759" t="b">
        <v>0</v>
      </c>
      <c r="G759" t="n">
        <v>105</v>
      </c>
      <c r="H759" t="inlineStr">
        <is>
          <t>無印</t>
        </is>
      </c>
      <c r="I759" t="n">
        <v>104</v>
      </c>
      <c r="J759" t="inlineStr">
        <is>
          <t>P104|無印</t>
        </is>
      </c>
      <c r="K759" t="inlineStr">
        <is>
          <t>同一価格表・前頁凡例を継承</t>
        </is>
      </c>
      <c r="L759" t="inlineStr">
        <is>
          <t>202604_LIXIL_サーモスＬ_業務用資料集_完成品価格表.pdf</t>
        </is>
      </c>
      <c r="M759" t="inlineStr">
        <is>
          <t>v0.6：同一価格表セクション内で凡例継承を確定。</t>
        </is>
      </c>
      <c r="N759" t="inlineStr">
        <is>
          <t>https://drive.google.com/file/d/1YUN-mtWYs48YBUHJk0C3vJXnhjyZFHyf/view</t>
        </is>
      </c>
    </row>
    <row r="760">
      <c r="A760" s="42" t="inlineStr">
        <is>
          <t>GSC-SL-000757</t>
        </is>
      </c>
      <c r="B760" t="inlineStr">
        <is>
          <t>SZ-SL-000757</t>
        </is>
      </c>
      <c r="C760" t="inlineStr">
        <is>
          <t>WT-SL-MENKOSHI-HIKI</t>
        </is>
      </c>
      <c r="D760" t="inlineStr">
        <is>
          <t>SP-SL-GRILLE-H</t>
        </is>
      </c>
      <c r="E760" t="inlineStr">
        <is>
          <t>18009</t>
        </is>
      </c>
      <c r="F760" t="b">
        <v>0</v>
      </c>
      <c r="G760" t="n">
        <v>105</v>
      </c>
      <c r="H760" t="inlineStr">
        <is>
          <t>無印</t>
        </is>
      </c>
      <c r="I760" t="n">
        <v>104</v>
      </c>
      <c r="J760" t="inlineStr">
        <is>
          <t>P104|無印</t>
        </is>
      </c>
      <c r="K760" t="inlineStr">
        <is>
          <t>同一価格表・前頁凡例を継承</t>
        </is>
      </c>
      <c r="L760" t="inlineStr">
        <is>
          <t>202604_LIXIL_サーモスＬ_業務用資料集_完成品価格表.pdf</t>
        </is>
      </c>
      <c r="M760" t="inlineStr">
        <is>
          <t>v0.6：同一価格表セクション内で凡例継承を確定。</t>
        </is>
      </c>
      <c r="N760" t="inlineStr">
        <is>
          <t>https://drive.google.com/file/d/1YUN-mtWYs48YBUHJk0C3vJXnhjyZFHyf/view</t>
        </is>
      </c>
    </row>
    <row r="761">
      <c r="A761" s="42" t="inlineStr">
        <is>
          <t>GSC-SL-000758</t>
        </is>
      </c>
      <c r="B761" t="inlineStr">
        <is>
          <t>SZ-SL-000758</t>
        </is>
      </c>
      <c r="C761" t="inlineStr">
        <is>
          <t>WT-SL-MENKOSHI-HIKI</t>
        </is>
      </c>
      <c r="D761" t="inlineStr">
        <is>
          <t>SP-SL-GRILLE-H</t>
        </is>
      </c>
      <c r="E761" t="inlineStr">
        <is>
          <t>18609</t>
        </is>
      </c>
      <c r="F761" t="b">
        <v>0</v>
      </c>
      <c r="G761" t="n">
        <v>105</v>
      </c>
      <c r="H761" t="inlineStr">
        <is>
          <t>無印</t>
        </is>
      </c>
      <c r="I761" t="n">
        <v>104</v>
      </c>
      <c r="J761" t="inlineStr">
        <is>
          <t>P104|無印</t>
        </is>
      </c>
      <c r="K761" t="inlineStr">
        <is>
          <t>同一価格表・前頁凡例を継承</t>
        </is>
      </c>
      <c r="L761" t="inlineStr">
        <is>
          <t>202604_LIXIL_サーモスＬ_業務用資料集_完成品価格表.pdf</t>
        </is>
      </c>
      <c r="M761" t="inlineStr">
        <is>
          <t>v0.6：同一価格表セクション内で凡例継承を確定。</t>
        </is>
      </c>
      <c r="N761" t="inlineStr">
        <is>
          <t>https://drive.google.com/file/d/1YUN-mtWYs48YBUHJk0C3vJXnhjyZFHyf/view</t>
        </is>
      </c>
    </row>
    <row r="762">
      <c r="A762" s="42" t="inlineStr">
        <is>
          <t>GSC-SL-000759</t>
        </is>
      </c>
      <c r="B762" t="inlineStr">
        <is>
          <t>SZ-SL-000759</t>
        </is>
      </c>
      <c r="C762" t="inlineStr">
        <is>
          <t>WT-SL-MENKOSHI-HIKI</t>
        </is>
      </c>
      <c r="D762" t="inlineStr">
        <is>
          <t>SP-SL-GRILLE-IGETA</t>
        </is>
      </c>
      <c r="E762" t="inlineStr">
        <is>
          <t>17409</t>
        </is>
      </c>
      <c r="F762" t="b">
        <v>1</v>
      </c>
      <c r="G762" t="n">
        <v>105</v>
      </c>
      <c r="H762" t="inlineStr">
        <is>
          <t>無印</t>
        </is>
      </c>
      <c r="I762" t="n">
        <v>104</v>
      </c>
      <c r="J762" t="inlineStr">
        <is>
          <t>P104|無印</t>
        </is>
      </c>
      <c r="K762" t="inlineStr">
        <is>
          <t>同一価格表・前頁凡例を継承</t>
        </is>
      </c>
      <c r="L762" t="inlineStr">
        <is>
          <t>202604_LIXIL_サーモスＬ_業務用資料集_完成品価格表.pdf</t>
        </is>
      </c>
      <c r="M762" t="inlineStr">
        <is>
          <t>v0.6：同一価格表セクション内で凡例継承を確定。</t>
        </is>
      </c>
      <c r="N762" t="inlineStr">
        <is>
          <t>https://drive.google.com/file/d/1YUN-mtWYs48YBUHJk0C3vJXnhjyZFHyf/view</t>
        </is>
      </c>
    </row>
    <row r="763">
      <c r="A763" s="42" t="inlineStr">
        <is>
          <t>GSC-SL-000760</t>
        </is>
      </c>
      <c r="B763" t="inlineStr">
        <is>
          <t>SZ-SL-000760</t>
        </is>
      </c>
      <c r="C763" t="inlineStr">
        <is>
          <t>WT-SL-MENKOSHI-HIKI</t>
        </is>
      </c>
      <c r="D763" t="inlineStr">
        <is>
          <t>SP-SL-GRILLE-IGETA</t>
        </is>
      </c>
      <c r="E763" t="inlineStr">
        <is>
          <t>17609</t>
        </is>
      </c>
      <c r="F763" t="b">
        <v>1</v>
      </c>
      <c r="G763" t="n">
        <v>105</v>
      </c>
      <c r="H763" t="inlineStr">
        <is>
          <t>無印</t>
        </is>
      </c>
      <c r="I763" t="n">
        <v>104</v>
      </c>
      <c r="J763" t="inlineStr">
        <is>
          <t>P104|無印</t>
        </is>
      </c>
      <c r="K763" t="inlineStr">
        <is>
          <t>同一価格表・前頁凡例を継承</t>
        </is>
      </c>
      <c r="L763" t="inlineStr">
        <is>
          <t>202604_LIXIL_サーモスＬ_業務用資料集_完成品価格表.pdf</t>
        </is>
      </c>
      <c r="M763" t="inlineStr">
        <is>
          <t>v0.6：同一価格表セクション内で凡例継承を確定。</t>
        </is>
      </c>
      <c r="N763" t="inlineStr">
        <is>
          <t>https://drive.google.com/file/d/1YUN-mtWYs48YBUHJk0C3vJXnhjyZFHyf/view</t>
        </is>
      </c>
    </row>
    <row r="764">
      <c r="A764" s="42" t="inlineStr">
        <is>
          <t>GSC-SL-000761</t>
        </is>
      </c>
      <c r="B764" t="inlineStr">
        <is>
          <t>SZ-SL-000761</t>
        </is>
      </c>
      <c r="C764" t="inlineStr">
        <is>
          <t>WT-SL-MENKOSHI-HIKI</t>
        </is>
      </c>
      <c r="D764" t="inlineStr">
        <is>
          <t>SP-SL-GRILLE-IGETA</t>
        </is>
      </c>
      <c r="E764" t="inlineStr">
        <is>
          <t>18009</t>
        </is>
      </c>
      <c r="F764" t="b">
        <v>1</v>
      </c>
      <c r="G764" t="n">
        <v>105</v>
      </c>
      <c r="H764" t="inlineStr">
        <is>
          <t>無印</t>
        </is>
      </c>
      <c r="I764" t="n">
        <v>104</v>
      </c>
      <c r="J764" t="inlineStr">
        <is>
          <t>P104|無印</t>
        </is>
      </c>
      <c r="K764" t="inlineStr">
        <is>
          <t>同一価格表・前頁凡例を継承</t>
        </is>
      </c>
      <c r="L764" t="inlineStr">
        <is>
          <t>202604_LIXIL_サーモスＬ_業務用資料集_完成品価格表.pdf</t>
        </is>
      </c>
      <c r="M764" t="inlineStr">
        <is>
          <t>v0.6：同一価格表セクション内で凡例継承を確定。</t>
        </is>
      </c>
      <c r="N764" t="inlineStr">
        <is>
          <t>https://drive.google.com/file/d/1YUN-mtWYs48YBUHJk0C3vJXnhjyZFHyf/view</t>
        </is>
      </c>
    </row>
    <row r="765">
      <c r="A765" s="42" t="inlineStr">
        <is>
          <t>GSC-SL-000762</t>
        </is>
      </c>
      <c r="B765" t="inlineStr">
        <is>
          <t>SZ-SL-000762</t>
        </is>
      </c>
      <c r="C765" t="inlineStr">
        <is>
          <t>WT-SL-MENKOSHI-HIKI</t>
        </is>
      </c>
      <c r="D765" t="inlineStr">
        <is>
          <t>SP-SL-GRILLE-IGETA</t>
        </is>
      </c>
      <c r="E765" t="inlineStr">
        <is>
          <t>18609</t>
        </is>
      </c>
      <c r="F765" t="b">
        <v>1</v>
      </c>
      <c r="G765" t="n">
        <v>105</v>
      </c>
      <c r="H765" t="inlineStr">
        <is>
          <t>無印</t>
        </is>
      </c>
      <c r="I765" t="n">
        <v>104</v>
      </c>
      <c r="J765" t="inlineStr">
        <is>
          <t>P104|無印</t>
        </is>
      </c>
      <c r="K765" t="inlineStr">
        <is>
          <t>同一価格表・前頁凡例を継承</t>
        </is>
      </c>
      <c r="L765" t="inlineStr">
        <is>
          <t>202604_LIXIL_サーモスＬ_業務用資料集_完成品価格表.pdf</t>
        </is>
      </c>
      <c r="M765" t="inlineStr">
        <is>
          <t>v0.6：同一価格表セクション内で凡例継承を確定。</t>
        </is>
      </c>
      <c r="N765" t="inlineStr">
        <is>
          <t>https://drive.google.com/file/d/1YUN-mtWYs48YBUHJk0C3vJXnhjyZFHyf/view</t>
        </is>
      </c>
    </row>
    <row r="766">
      <c r="A766" s="42" t="inlineStr">
        <is>
          <t>GSC-SL-000763</t>
        </is>
      </c>
      <c r="B766" t="inlineStr">
        <is>
          <t>SZ-SL-000763</t>
        </is>
      </c>
      <c r="C766" t="inlineStr">
        <is>
          <t>WT-SL-MENKOSHI-HIKI</t>
        </is>
      </c>
      <c r="D766" t="inlineStr">
        <is>
          <t>SP-SL-GRILLE-V</t>
        </is>
      </c>
      <c r="E766" t="inlineStr">
        <is>
          <t>17409</t>
        </is>
      </c>
      <c r="F766" t="b">
        <v>1</v>
      </c>
      <c r="G766" t="n">
        <v>105</v>
      </c>
      <c r="H766" t="inlineStr">
        <is>
          <t>無印</t>
        </is>
      </c>
      <c r="I766" t="n">
        <v>104</v>
      </c>
      <c r="J766" t="inlineStr">
        <is>
          <t>P104|無印</t>
        </is>
      </c>
      <c r="K766" t="inlineStr">
        <is>
          <t>同一価格表・前頁凡例を継承</t>
        </is>
      </c>
      <c r="L766" t="inlineStr">
        <is>
          <t>202604_LIXIL_サーモスＬ_業務用資料集_完成品価格表.pdf</t>
        </is>
      </c>
      <c r="M766" t="inlineStr">
        <is>
          <t>v0.6：同一価格表セクション内で凡例継承を確定。</t>
        </is>
      </c>
      <c r="N766" t="inlineStr">
        <is>
          <t>https://drive.google.com/file/d/1YUN-mtWYs48YBUHJk0C3vJXnhjyZFHyf/view</t>
        </is>
      </c>
    </row>
    <row r="767">
      <c r="A767" s="42" t="inlineStr">
        <is>
          <t>GSC-SL-000764</t>
        </is>
      </c>
      <c r="B767" t="inlineStr">
        <is>
          <t>SZ-SL-000764</t>
        </is>
      </c>
      <c r="C767" t="inlineStr">
        <is>
          <t>WT-SL-MENKOSHI-HIKI</t>
        </is>
      </c>
      <c r="D767" t="inlineStr">
        <is>
          <t>SP-SL-GRILLE-V</t>
        </is>
      </c>
      <c r="E767" t="inlineStr">
        <is>
          <t>17609</t>
        </is>
      </c>
      <c r="F767" t="b">
        <v>1</v>
      </c>
      <c r="G767" t="n">
        <v>105</v>
      </c>
      <c r="H767" t="inlineStr">
        <is>
          <t>無印</t>
        </is>
      </c>
      <c r="I767" t="n">
        <v>104</v>
      </c>
      <c r="J767" t="inlineStr">
        <is>
          <t>P104|無印</t>
        </is>
      </c>
      <c r="K767" t="inlineStr">
        <is>
          <t>同一価格表・前頁凡例を継承</t>
        </is>
      </c>
      <c r="L767" t="inlineStr">
        <is>
          <t>202604_LIXIL_サーモスＬ_業務用資料集_完成品価格表.pdf</t>
        </is>
      </c>
      <c r="M767" t="inlineStr">
        <is>
          <t>v0.6：同一価格表セクション内で凡例継承を確定。</t>
        </is>
      </c>
      <c r="N767" t="inlineStr">
        <is>
          <t>https://drive.google.com/file/d/1YUN-mtWYs48YBUHJk0C3vJXnhjyZFHyf/view</t>
        </is>
      </c>
    </row>
    <row r="768">
      <c r="A768" s="42" t="inlineStr">
        <is>
          <t>GSC-SL-000765</t>
        </is>
      </c>
      <c r="B768" t="inlineStr">
        <is>
          <t>SZ-SL-000765</t>
        </is>
      </c>
      <c r="C768" t="inlineStr">
        <is>
          <t>WT-SL-MENKOSHI-HIKI</t>
        </is>
      </c>
      <c r="D768" t="inlineStr">
        <is>
          <t>SP-SL-GRILLE-V</t>
        </is>
      </c>
      <c r="E768" t="inlineStr">
        <is>
          <t>18009</t>
        </is>
      </c>
      <c r="F768" t="b">
        <v>1</v>
      </c>
      <c r="G768" t="n">
        <v>105</v>
      </c>
      <c r="H768" t="inlineStr">
        <is>
          <t>無印</t>
        </is>
      </c>
      <c r="I768" t="n">
        <v>104</v>
      </c>
      <c r="J768" t="inlineStr">
        <is>
          <t>P104|無印</t>
        </is>
      </c>
      <c r="K768" t="inlineStr">
        <is>
          <t>同一価格表・前頁凡例を継承</t>
        </is>
      </c>
      <c r="L768" t="inlineStr">
        <is>
          <t>202604_LIXIL_サーモスＬ_業務用資料集_完成品価格表.pdf</t>
        </is>
      </c>
      <c r="M768" t="inlineStr">
        <is>
          <t>v0.6：同一価格表セクション内で凡例継承を確定。</t>
        </is>
      </c>
      <c r="N768" t="inlineStr">
        <is>
          <t>https://drive.google.com/file/d/1YUN-mtWYs48YBUHJk0C3vJXnhjyZFHyf/view</t>
        </is>
      </c>
    </row>
    <row r="769">
      <c r="A769" s="42" t="inlineStr">
        <is>
          <t>GSC-SL-000766</t>
        </is>
      </c>
      <c r="B769" t="inlineStr">
        <is>
          <t>SZ-SL-000766</t>
        </is>
      </c>
      <c r="C769" t="inlineStr">
        <is>
          <t>WT-SL-MENKOSHI-HIKI</t>
        </is>
      </c>
      <c r="D769" t="inlineStr">
        <is>
          <t>SP-SL-GRILLE-V</t>
        </is>
      </c>
      <c r="E769" t="inlineStr">
        <is>
          <t>18609</t>
        </is>
      </c>
      <c r="F769" t="b">
        <v>1</v>
      </c>
      <c r="G769" t="n">
        <v>105</v>
      </c>
      <c r="H769" t="inlineStr">
        <is>
          <t>無印</t>
        </is>
      </c>
      <c r="I769" t="n">
        <v>104</v>
      </c>
      <c r="J769" t="inlineStr">
        <is>
          <t>P104|無印</t>
        </is>
      </c>
      <c r="K769" t="inlineStr">
        <is>
          <t>同一価格表・前頁凡例を継承</t>
        </is>
      </c>
      <c r="L769" t="inlineStr">
        <is>
          <t>202604_LIXIL_サーモスＬ_業務用資料集_完成品価格表.pdf</t>
        </is>
      </c>
      <c r="M769" t="inlineStr">
        <is>
          <t>v0.6：同一価格表セクション内で凡例継承を確定。</t>
        </is>
      </c>
      <c r="N769" t="inlineStr">
        <is>
          <t>https://drive.google.com/file/d/1YUN-mtWYs48YBUHJk0C3vJXnhjyZFHyf/view</t>
        </is>
      </c>
    </row>
    <row r="770">
      <c r="A770" s="42" t="inlineStr">
        <is>
          <t>GSC-SL-000767</t>
        </is>
      </c>
      <c r="B770" t="inlineStr">
        <is>
          <t>SZ-SL-000767</t>
        </is>
      </c>
      <c r="C770" t="inlineStr">
        <is>
          <t>WT-SL-MENKOSHI-HIKI</t>
        </is>
      </c>
      <c r="D770" t="inlineStr">
        <is>
          <t>SP-SL-GRILLE-DIA</t>
        </is>
      </c>
      <c r="E770" t="inlineStr">
        <is>
          <t>07411</t>
        </is>
      </c>
      <c r="F770" t="b">
        <v>1</v>
      </c>
      <c r="G770" t="n">
        <v>106</v>
      </c>
      <c r="H770" t="inlineStr">
        <is>
          <t>無印</t>
        </is>
      </c>
      <c r="I770" t="n">
        <v>106</v>
      </c>
      <c r="J770" t="inlineStr">
        <is>
          <t>P106|無印</t>
        </is>
      </c>
      <c r="K770" t="inlineStr">
        <is>
          <t>同頁凡例へ直接連動</t>
        </is>
      </c>
      <c r="L770" t="inlineStr">
        <is>
          <t>202604_LIXIL_サーモスＬ_業務用資料集_完成品価格表.pdf</t>
        </is>
      </c>
      <c r="M770" t="inlineStr">
        <is>
          <t>v0.6：同一価格表セクション内で凡例継承を確定。</t>
        </is>
      </c>
      <c r="N770" t="inlineStr">
        <is>
          <t>https://drive.google.com/file/d/1YUN-mtWYs48YBUHJk0C3vJXnhjyZFHyf/view</t>
        </is>
      </c>
    </row>
    <row r="771">
      <c r="A771" s="42" t="inlineStr">
        <is>
          <t>GSC-SL-000768</t>
        </is>
      </c>
      <c r="B771" t="inlineStr">
        <is>
          <t>SZ-SL-000768</t>
        </is>
      </c>
      <c r="C771" t="inlineStr">
        <is>
          <t>WT-SL-MENKOSHI-HIKI</t>
        </is>
      </c>
      <c r="D771" t="inlineStr">
        <is>
          <t>SP-SL-GRILLE-H</t>
        </is>
      </c>
      <c r="E771" t="inlineStr">
        <is>
          <t>07411</t>
        </is>
      </c>
      <c r="F771" t="b">
        <v>1</v>
      </c>
      <c r="G771" t="n">
        <v>106</v>
      </c>
      <c r="H771" t="inlineStr">
        <is>
          <t>無印</t>
        </is>
      </c>
      <c r="I771" t="n">
        <v>106</v>
      </c>
      <c r="J771" t="inlineStr">
        <is>
          <t>P106|無印</t>
        </is>
      </c>
      <c r="K771" t="inlineStr">
        <is>
          <t>同頁凡例へ直接連動</t>
        </is>
      </c>
      <c r="L771" t="inlineStr">
        <is>
          <t>202604_LIXIL_サーモスＬ_業務用資料集_完成品価格表.pdf</t>
        </is>
      </c>
      <c r="M771" t="inlineStr">
        <is>
          <t>v0.6：同一価格表セクション内で凡例継承を確定。</t>
        </is>
      </c>
      <c r="N771" t="inlineStr">
        <is>
          <t>https://drive.google.com/file/d/1YUN-mtWYs48YBUHJk0C3vJXnhjyZFHyf/view</t>
        </is>
      </c>
    </row>
    <row r="772">
      <c r="A772" s="42" t="inlineStr">
        <is>
          <t>GSC-SL-000769</t>
        </is>
      </c>
      <c r="B772" t="inlineStr">
        <is>
          <t>SZ-SL-000769</t>
        </is>
      </c>
      <c r="C772" t="inlineStr">
        <is>
          <t>WT-SL-MENKOSHI-HIKI</t>
        </is>
      </c>
      <c r="D772" t="inlineStr">
        <is>
          <t>SP-SL-GRILLE-IGETA</t>
        </is>
      </c>
      <c r="E772" t="inlineStr">
        <is>
          <t>07411</t>
        </is>
      </c>
      <c r="F772" t="b">
        <v>1</v>
      </c>
      <c r="G772" t="n">
        <v>106</v>
      </c>
      <c r="H772" t="inlineStr">
        <is>
          <t>無印</t>
        </is>
      </c>
      <c r="I772" t="n">
        <v>106</v>
      </c>
      <c r="J772" t="inlineStr">
        <is>
          <t>P106|無印</t>
        </is>
      </c>
      <c r="K772" t="inlineStr">
        <is>
          <t>同頁凡例へ直接連動</t>
        </is>
      </c>
      <c r="L772" t="inlineStr">
        <is>
          <t>202604_LIXIL_サーモスＬ_業務用資料集_完成品価格表.pdf</t>
        </is>
      </c>
      <c r="M772" t="inlineStr">
        <is>
          <t>v0.6：同一価格表セクション内で凡例継承を確定。</t>
        </is>
      </c>
      <c r="N772" t="inlineStr">
        <is>
          <t>https://drive.google.com/file/d/1YUN-mtWYs48YBUHJk0C3vJXnhjyZFHyf/view</t>
        </is>
      </c>
    </row>
    <row r="773">
      <c r="A773" s="42" t="inlineStr">
        <is>
          <t>GSC-SL-000770</t>
        </is>
      </c>
      <c r="B773" t="inlineStr">
        <is>
          <t>SZ-SL-000770</t>
        </is>
      </c>
      <c r="C773" t="inlineStr">
        <is>
          <t>WT-SL-MENKOSHI-HIKI</t>
        </is>
      </c>
      <c r="D773" t="inlineStr">
        <is>
          <t>SP-SL-GRILLE-V</t>
        </is>
      </c>
      <c r="E773" t="inlineStr">
        <is>
          <t>07411</t>
        </is>
      </c>
      <c r="F773" t="b">
        <v>1</v>
      </c>
      <c r="G773" t="n">
        <v>106</v>
      </c>
      <c r="H773" t="inlineStr">
        <is>
          <t>無印</t>
        </is>
      </c>
      <c r="I773" t="n">
        <v>106</v>
      </c>
      <c r="J773" t="inlineStr">
        <is>
          <t>P106|無印</t>
        </is>
      </c>
      <c r="K773" t="inlineStr">
        <is>
          <t>同頁凡例へ直接連動</t>
        </is>
      </c>
      <c r="L773" t="inlineStr">
        <is>
          <t>202604_LIXIL_サーモスＬ_業務用資料集_完成品価格表.pdf</t>
        </is>
      </c>
      <c r="M773" t="inlineStr">
        <is>
          <t>v0.6：同一価格表セクション内で凡例継承を確定。</t>
        </is>
      </c>
      <c r="N773" t="inlineStr">
        <is>
          <t>https://drive.google.com/file/d/1YUN-mtWYs48YBUHJk0C3vJXnhjyZFHyf/view</t>
        </is>
      </c>
    </row>
    <row r="774">
      <c r="A774" s="42" t="inlineStr">
        <is>
          <t>GSC-SL-000771</t>
        </is>
      </c>
      <c r="B774" t="inlineStr">
        <is>
          <t>SZ-SL-000771</t>
        </is>
      </c>
      <c r="C774" t="inlineStr">
        <is>
          <t>WT-SL-MENKOSHI-HIKI</t>
        </is>
      </c>
      <c r="D774" t="inlineStr">
        <is>
          <t>SP-SL-GRILLE-DIA</t>
        </is>
      </c>
      <c r="E774" t="inlineStr">
        <is>
          <t>08011</t>
        </is>
      </c>
      <c r="F774" t="b">
        <v>1</v>
      </c>
      <c r="G774" t="n">
        <v>107</v>
      </c>
      <c r="H774" t="inlineStr">
        <is>
          <t>無印</t>
        </is>
      </c>
      <c r="I774" t="n">
        <v>106</v>
      </c>
      <c r="J774" t="inlineStr">
        <is>
          <t>P106|無印</t>
        </is>
      </c>
      <c r="K774" t="inlineStr">
        <is>
          <t>同一価格表・前頁凡例を継承</t>
        </is>
      </c>
      <c r="L774" t="inlineStr">
        <is>
          <t>202604_LIXIL_サーモスＬ_業務用資料集_完成品価格表.pdf</t>
        </is>
      </c>
      <c r="M774" t="inlineStr">
        <is>
          <t>v0.6：同一価格表セクション内で凡例継承を確定。</t>
        </is>
      </c>
      <c r="N774" t="inlineStr">
        <is>
          <t>https://drive.google.com/file/d/1YUN-mtWYs48YBUHJk0C3vJXnhjyZFHyf/view</t>
        </is>
      </c>
    </row>
    <row r="775">
      <c r="A775" s="42" t="inlineStr">
        <is>
          <t>GSC-SL-000772</t>
        </is>
      </c>
      <c r="B775" t="inlineStr">
        <is>
          <t>SZ-SL-000772</t>
        </is>
      </c>
      <c r="C775" t="inlineStr">
        <is>
          <t>WT-SL-MENKOSHI-HIKI</t>
        </is>
      </c>
      <c r="D775" t="inlineStr">
        <is>
          <t>SP-SL-GRILLE-DIA</t>
        </is>
      </c>
      <c r="E775" t="inlineStr">
        <is>
          <t>08311</t>
        </is>
      </c>
      <c r="F775" t="b">
        <v>1</v>
      </c>
      <c r="G775" t="n">
        <v>107</v>
      </c>
      <c r="H775" t="inlineStr">
        <is>
          <t>無印</t>
        </is>
      </c>
      <c r="I775" t="n">
        <v>106</v>
      </c>
      <c r="J775" t="inlineStr">
        <is>
          <t>P106|無印</t>
        </is>
      </c>
      <c r="K775" t="inlineStr">
        <is>
          <t>同一価格表・前頁凡例を継承</t>
        </is>
      </c>
      <c r="L775" t="inlineStr">
        <is>
          <t>202604_LIXIL_サーモスＬ_業務用資料集_完成品価格表.pdf</t>
        </is>
      </c>
      <c r="M775" t="inlineStr">
        <is>
          <t>v0.6：同一価格表セクション内で凡例継承を確定。</t>
        </is>
      </c>
      <c r="N775" t="inlineStr">
        <is>
          <t>https://drive.google.com/file/d/1YUN-mtWYs48YBUHJk0C3vJXnhjyZFHyf/view</t>
        </is>
      </c>
    </row>
    <row r="776">
      <c r="A776" s="42" t="inlineStr">
        <is>
          <t>GSC-SL-000773</t>
        </is>
      </c>
      <c r="B776" t="inlineStr">
        <is>
          <t>SZ-SL-000773</t>
        </is>
      </c>
      <c r="C776" t="inlineStr">
        <is>
          <t>WT-SL-MENKOSHI-HIKI</t>
        </is>
      </c>
      <c r="D776" t="inlineStr">
        <is>
          <t>SP-SL-GRILLE-DIA</t>
        </is>
      </c>
      <c r="E776" t="inlineStr">
        <is>
          <t>11411</t>
        </is>
      </c>
      <c r="F776" t="b">
        <v>1</v>
      </c>
      <c r="G776" t="n">
        <v>107</v>
      </c>
      <c r="H776" t="inlineStr">
        <is>
          <t>無印</t>
        </is>
      </c>
      <c r="I776" t="n">
        <v>106</v>
      </c>
      <c r="J776" t="inlineStr">
        <is>
          <t>P106|無印</t>
        </is>
      </c>
      <c r="K776" t="inlineStr">
        <is>
          <t>同一価格表・前頁凡例を継承</t>
        </is>
      </c>
      <c r="L776" t="inlineStr">
        <is>
          <t>202604_LIXIL_サーモスＬ_業務用資料集_完成品価格表.pdf</t>
        </is>
      </c>
      <c r="M776" t="inlineStr">
        <is>
          <t>v0.6：同一価格表セクション内で凡例継承を確定。</t>
        </is>
      </c>
      <c r="N776" t="inlineStr">
        <is>
          <t>https://drive.google.com/file/d/1YUN-mtWYs48YBUHJk0C3vJXnhjyZFHyf/view</t>
        </is>
      </c>
    </row>
    <row r="777">
      <c r="A777" s="42" t="inlineStr">
        <is>
          <t>GSC-SL-000774</t>
        </is>
      </c>
      <c r="B777" t="inlineStr">
        <is>
          <t>SZ-SL-000774</t>
        </is>
      </c>
      <c r="C777" t="inlineStr">
        <is>
          <t>WT-SL-MENKOSHI-HIKI</t>
        </is>
      </c>
      <c r="D777" t="inlineStr">
        <is>
          <t>SP-SL-GRILLE-DIA</t>
        </is>
      </c>
      <c r="E777" t="inlineStr">
        <is>
          <t>11911</t>
        </is>
      </c>
      <c r="F777" t="b">
        <v>1</v>
      </c>
      <c r="G777" t="n">
        <v>107</v>
      </c>
      <c r="H777" t="inlineStr">
        <is>
          <t>無印</t>
        </is>
      </c>
      <c r="I777" t="n">
        <v>106</v>
      </c>
      <c r="J777" t="inlineStr">
        <is>
          <t>P106|無印</t>
        </is>
      </c>
      <c r="K777" t="inlineStr">
        <is>
          <t>同一価格表・前頁凡例を継承</t>
        </is>
      </c>
      <c r="L777" t="inlineStr">
        <is>
          <t>202604_LIXIL_サーモスＬ_業務用資料集_完成品価格表.pdf</t>
        </is>
      </c>
      <c r="M777" t="inlineStr">
        <is>
          <t>v0.6：同一価格表セクション内で凡例継承を確定。</t>
        </is>
      </c>
      <c r="N777" t="inlineStr">
        <is>
          <t>https://drive.google.com/file/d/1YUN-mtWYs48YBUHJk0C3vJXnhjyZFHyf/view</t>
        </is>
      </c>
    </row>
    <row r="778">
      <c r="A778" s="42" t="inlineStr">
        <is>
          <t>GSC-SL-000775</t>
        </is>
      </c>
      <c r="B778" t="inlineStr">
        <is>
          <t>SZ-SL-000775</t>
        </is>
      </c>
      <c r="C778" t="inlineStr">
        <is>
          <t>WT-SL-MENKOSHI-HIKI</t>
        </is>
      </c>
      <c r="D778" t="inlineStr">
        <is>
          <t>SP-SL-GRILLE-DIA</t>
        </is>
      </c>
      <c r="E778" t="inlineStr">
        <is>
          <t>12811</t>
        </is>
      </c>
      <c r="F778" t="b">
        <v>1</v>
      </c>
      <c r="G778" t="n">
        <v>107</v>
      </c>
      <c r="H778" t="inlineStr">
        <is>
          <t>無印</t>
        </is>
      </c>
      <c r="I778" t="n">
        <v>106</v>
      </c>
      <c r="J778" t="inlineStr">
        <is>
          <t>P106|無印</t>
        </is>
      </c>
      <c r="K778" t="inlineStr">
        <is>
          <t>同一価格表・前頁凡例を継承</t>
        </is>
      </c>
      <c r="L778" t="inlineStr">
        <is>
          <t>202604_LIXIL_サーモスＬ_業務用資料集_完成品価格表.pdf</t>
        </is>
      </c>
      <c r="M778" t="inlineStr">
        <is>
          <t>v0.6：同一価格表セクション内で凡例継承を確定。</t>
        </is>
      </c>
      <c r="N778" t="inlineStr">
        <is>
          <t>https://drive.google.com/file/d/1YUN-mtWYs48YBUHJk0C3vJXnhjyZFHyf/view</t>
        </is>
      </c>
    </row>
    <row r="779">
      <c r="A779" s="42" t="inlineStr">
        <is>
          <t>GSC-SL-000776</t>
        </is>
      </c>
      <c r="B779" t="inlineStr">
        <is>
          <t>SZ-SL-000776</t>
        </is>
      </c>
      <c r="C779" t="inlineStr">
        <is>
          <t>WT-SL-MENKOSHI-HIKI</t>
        </is>
      </c>
      <c r="D779" t="inlineStr">
        <is>
          <t>SP-SL-GRILLE-H</t>
        </is>
      </c>
      <c r="E779" t="inlineStr">
        <is>
          <t>08011</t>
        </is>
      </c>
      <c r="F779" t="b">
        <v>1</v>
      </c>
      <c r="G779" t="n">
        <v>107</v>
      </c>
      <c r="H779" t="inlineStr">
        <is>
          <t>無印</t>
        </is>
      </c>
      <c r="I779" t="n">
        <v>106</v>
      </c>
      <c r="J779" t="inlineStr">
        <is>
          <t>P106|無印</t>
        </is>
      </c>
      <c r="K779" t="inlineStr">
        <is>
          <t>同一価格表・前頁凡例を継承</t>
        </is>
      </c>
      <c r="L779" t="inlineStr">
        <is>
          <t>202604_LIXIL_サーモスＬ_業務用資料集_完成品価格表.pdf</t>
        </is>
      </c>
      <c r="M779" t="inlineStr">
        <is>
          <t>v0.6：同一価格表セクション内で凡例継承を確定。</t>
        </is>
      </c>
      <c r="N779" t="inlineStr">
        <is>
          <t>https://drive.google.com/file/d/1YUN-mtWYs48YBUHJk0C3vJXnhjyZFHyf/view</t>
        </is>
      </c>
    </row>
    <row r="780">
      <c r="A780" s="42" t="inlineStr">
        <is>
          <t>GSC-SL-000777</t>
        </is>
      </c>
      <c r="B780" t="inlineStr">
        <is>
          <t>SZ-SL-000777</t>
        </is>
      </c>
      <c r="C780" t="inlineStr">
        <is>
          <t>WT-SL-MENKOSHI-HIKI</t>
        </is>
      </c>
      <c r="D780" t="inlineStr">
        <is>
          <t>SP-SL-GRILLE-H</t>
        </is>
      </c>
      <c r="E780" t="inlineStr">
        <is>
          <t>08311</t>
        </is>
      </c>
      <c r="F780" t="b">
        <v>1</v>
      </c>
      <c r="G780" t="n">
        <v>107</v>
      </c>
      <c r="H780" t="inlineStr">
        <is>
          <t>無印</t>
        </is>
      </c>
      <c r="I780" t="n">
        <v>106</v>
      </c>
      <c r="J780" t="inlineStr">
        <is>
          <t>P106|無印</t>
        </is>
      </c>
      <c r="K780" t="inlineStr">
        <is>
          <t>同一価格表・前頁凡例を継承</t>
        </is>
      </c>
      <c r="L780" t="inlineStr">
        <is>
          <t>202604_LIXIL_サーモスＬ_業務用資料集_完成品価格表.pdf</t>
        </is>
      </c>
      <c r="M780" t="inlineStr">
        <is>
          <t>v0.6：同一価格表セクション内で凡例継承を確定。</t>
        </is>
      </c>
      <c r="N780" t="inlineStr">
        <is>
          <t>https://drive.google.com/file/d/1YUN-mtWYs48YBUHJk0C3vJXnhjyZFHyf/view</t>
        </is>
      </c>
    </row>
    <row r="781">
      <c r="A781" s="42" t="inlineStr">
        <is>
          <t>GSC-SL-000778</t>
        </is>
      </c>
      <c r="B781" t="inlineStr">
        <is>
          <t>SZ-SL-000778</t>
        </is>
      </c>
      <c r="C781" t="inlineStr">
        <is>
          <t>WT-SL-MENKOSHI-HIKI</t>
        </is>
      </c>
      <c r="D781" t="inlineStr">
        <is>
          <t>SP-SL-GRILLE-H</t>
        </is>
      </c>
      <c r="E781" t="inlineStr">
        <is>
          <t>11411</t>
        </is>
      </c>
      <c r="F781" t="b">
        <v>1</v>
      </c>
      <c r="G781" t="n">
        <v>107</v>
      </c>
      <c r="H781" t="inlineStr">
        <is>
          <t>無印</t>
        </is>
      </c>
      <c r="I781" t="n">
        <v>106</v>
      </c>
      <c r="J781" t="inlineStr">
        <is>
          <t>P106|無印</t>
        </is>
      </c>
      <c r="K781" t="inlineStr">
        <is>
          <t>同一価格表・前頁凡例を継承</t>
        </is>
      </c>
      <c r="L781" t="inlineStr">
        <is>
          <t>202604_LIXIL_サーモスＬ_業務用資料集_完成品価格表.pdf</t>
        </is>
      </c>
      <c r="M781" t="inlineStr">
        <is>
          <t>v0.6：同一価格表セクション内で凡例継承を確定。</t>
        </is>
      </c>
      <c r="N781" t="inlineStr">
        <is>
          <t>https://drive.google.com/file/d/1YUN-mtWYs48YBUHJk0C3vJXnhjyZFHyf/view</t>
        </is>
      </c>
    </row>
    <row r="782">
      <c r="A782" s="42" t="inlineStr">
        <is>
          <t>GSC-SL-000779</t>
        </is>
      </c>
      <c r="B782" t="inlineStr">
        <is>
          <t>SZ-SL-000779</t>
        </is>
      </c>
      <c r="C782" t="inlineStr">
        <is>
          <t>WT-SL-MENKOSHI-HIKI</t>
        </is>
      </c>
      <c r="D782" t="inlineStr">
        <is>
          <t>SP-SL-GRILLE-H</t>
        </is>
      </c>
      <c r="E782" t="inlineStr">
        <is>
          <t>11911</t>
        </is>
      </c>
      <c r="F782" t="b">
        <v>1</v>
      </c>
      <c r="G782" t="n">
        <v>107</v>
      </c>
      <c r="H782" t="inlineStr">
        <is>
          <t>無印</t>
        </is>
      </c>
      <c r="I782" t="n">
        <v>106</v>
      </c>
      <c r="J782" t="inlineStr">
        <is>
          <t>P106|無印</t>
        </is>
      </c>
      <c r="K782" t="inlineStr">
        <is>
          <t>同一価格表・前頁凡例を継承</t>
        </is>
      </c>
      <c r="L782" t="inlineStr">
        <is>
          <t>202604_LIXIL_サーモスＬ_業務用資料集_完成品価格表.pdf</t>
        </is>
      </c>
      <c r="M782" t="inlineStr">
        <is>
          <t>v0.6：同一価格表セクション内で凡例継承を確定。</t>
        </is>
      </c>
      <c r="N782" t="inlineStr">
        <is>
          <t>https://drive.google.com/file/d/1YUN-mtWYs48YBUHJk0C3vJXnhjyZFHyf/view</t>
        </is>
      </c>
    </row>
    <row r="783">
      <c r="A783" s="42" t="inlineStr">
        <is>
          <t>GSC-SL-000780</t>
        </is>
      </c>
      <c r="B783" t="inlineStr">
        <is>
          <t>SZ-SL-000780</t>
        </is>
      </c>
      <c r="C783" t="inlineStr">
        <is>
          <t>WT-SL-MENKOSHI-HIKI</t>
        </is>
      </c>
      <c r="D783" t="inlineStr">
        <is>
          <t>SP-SL-GRILLE-H</t>
        </is>
      </c>
      <c r="E783" t="inlineStr">
        <is>
          <t>12811</t>
        </is>
      </c>
      <c r="F783" t="b">
        <v>1</v>
      </c>
      <c r="G783" t="n">
        <v>107</v>
      </c>
      <c r="H783" t="inlineStr">
        <is>
          <t>無印</t>
        </is>
      </c>
      <c r="I783" t="n">
        <v>106</v>
      </c>
      <c r="J783" t="inlineStr">
        <is>
          <t>P106|無印</t>
        </is>
      </c>
      <c r="K783" t="inlineStr">
        <is>
          <t>同一価格表・前頁凡例を継承</t>
        </is>
      </c>
      <c r="L783" t="inlineStr">
        <is>
          <t>202604_LIXIL_サーモスＬ_業務用資料集_完成品価格表.pdf</t>
        </is>
      </c>
      <c r="M783" t="inlineStr">
        <is>
          <t>v0.6：同一価格表セクション内で凡例継承を確定。</t>
        </is>
      </c>
      <c r="N783" t="inlineStr">
        <is>
          <t>https://drive.google.com/file/d/1YUN-mtWYs48YBUHJk0C3vJXnhjyZFHyf/view</t>
        </is>
      </c>
    </row>
    <row r="784">
      <c r="A784" s="42" t="inlineStr">
        <is>
          <t>GSC-SL-000781</t>
        </is>
      </c>
      <c r="B784" t="inlineStr">
        <is>
          <t>SZ-SL-000781</t>
        </is>
      </c>
      <c r="C784" t="inlineStr">
        <is>
          <t>WT-SL-MENKOSHI-HIKI</t>
        </is>
      </c>
      <c r="D784" t="inlineStr">
        <is>
          <t>SP-SL-GRILLE-IGETA</t>
        </is>
      </c>
      <c r="E784" t="inlineStr">
        <is>
          <t>08011</t>
        </is>
      </c>
      <c r="F784" t="b">
        <v>1</v>
      </c>
      <c r="G784" t="n">
        <v>107</v>
      </c>
      <c r="H784" t="inlineStr">
        <is>
          <t>無印</t>
        </is>
      </c>
      <c r="I784" t="n">
        <v>106</v>
      </c>
      <c r="J784" t="inlineStr">
        <is>
          <t>P106|無印</t>
        </is>
      </c>
      <c r="K784" t="inlineStr">
        <is>
          <t>同一価格表・前頁凡例を継承</t>
        </is>
      </c>
      <c r="L784" t="inlineStr">
        <is>
          <t>202604_LIXIL_サーモスＬ_業務用資料集_完成品価格表.pdf</t>
        </is>
      </c>
      <c r="M784" t="inlineStr">
        <is>
          <t>v0.6：同一価格表セクション内で凡例継承を確定。</t>
        </is>
      </c>
      <c r="N784" t="inlineStr">
        <is>
          <t>https://drive.google.com/file/d/1YUN-mtWYs48YBUHJk0C3vJXnhjyZFHyf/view</t>
        </is>
      </c>
    </row>
    <row r="785">
      <c r="A785" s="42" t="inlineStr">
        <is>
          <t>GSC-SL-000782</t>
        </is>
      </c>
      <c r="B785" t="inlineStr">
        <is>
          <t>SZ-SL-000782</t>
        </is>
      </c>
      <c r="C785" t="inlineStr">
        <is>
          <t>WT-SL-MENKOSHI-HIKI</t>
        </is>
      </c>
      <c r="D785" t="inlineStr">
        <is>
          <t>SP-SL-GRILLE-IGETA</t>
        </is>
      </c>
      <c r="E785" t="inlineStr">
        <is>
          <t>08311</t>
        </is>
      </c>
      <c r="F785" t="b">
        <v>1</v>
      </c>
      <c r="G785" t="n">
        <v>107</v>
      </c>
      <c r="H785" t="inlineStr">
        <is>
          <t>無印</t>
        </is>
      </c>
      <c r="I785" t="n">
        <v>106</v>
      </c>
      <c r="J785" t="inlineStr">
        <is>
          <t>P106|無印</t>
        </is>
      </c>
      <c r="K785" t="inlineStr">
        <is>
          <t>同一価格表・前頁凡例を継承</t>
        </is>
      </c>
      <c r="L785" t="inlineStr">
        <is>
          <t>202604_LIXIL_サーモスＬ_業務用資料集_完成品価格表.pdf</t>
        </is>
      </c>
      <c r="M785" t="inlineStr">
        <is>
          <t>v0.6：同一価格表セクション内で凡例継承を確定。</t>
        </is>
      </c>
      <c r="N785" t="inlineStr">
        <is>
          <t>https://drive.google.com/file/d/1YUN-mtWYs48YBUHJk0C3vJXnhjyZFHyf/view</t>
        </is>
      </c>
    </row>
    <row r="786">
      <c r="A786" s="42" t="inlineStr">
        <is>
          <t>GSC-SL-000783</t>
        </is>
      </c>
      <c r="B786" t="inlineStr">
        <is>
          <t>SZ-SL-000783</t>
        </is>
      </c>
      <c r="C786" t="inlineStr">
        <is>
          <t>WT-SL-MENKOSHI-HIKI</t>
        </is>
      </c>
      <c r="D786" t="inlineStr">
        <is>
          <t>SP-SL-GRILLE-IGETA</t>
        </is>
      </c>
      <c r="E786" t="inlineStr">
        <is>
          <t>11411</t>
        </is>
      </c>
      <c r="F786" t="b">
        <v>1</v>
      </c>
      <c r="G786" t="n">
        <v>107</v>
      </c>
      <c r="H786" t="inlineStr">
        <is>
          <t>無印</t>
        </is>
      </c>
      <c r="I786" t="n">
        <v>106</v>
      </c>
      <c r="J786" t="inlineStr">
        <is>
          <t>P106|無印</t>
        </is>
      </c>
      <c r="K786" t="inlineStr">
        <is>
          <t>同一価格表・前頁凡例を継承</t>
        </is>
      </c>
      <c r="L786" t="inlineStr">
        <is>
          <t>202604_LIXIL_サーモスＬ_業務用資料集_完成品価格表.pdf</t>
        </is>
      </c>
      <c r="M786" t="inlineStr">
        <is>
          <t>v0.6：同一価格表セクション内で凡例継承を確定。</t>
        </is>
      </c>
      <c r="N786" t="inlineStr">
        <is>
          <t>https://drive.google.com/file/d/1YUN-mtWYs48YBUHJk0C3vJXnhjyZFHyf/view</t>
        </is>
      </c>
    </row>
    <row r="787">
      <c r="A787" s="42" t="inlineStr">
        <is>
          <t>GSC-SL-000784</t>
        </is>
      </c>
      <c r="B787" t="inlineStr">
        <is>
          <t>SZ-SL-000784</t>
        </is>
      </c>
      <c r="C787" t="inlineStr">
        <is>
          <t>WT-SL-MENKOSHI-HIKI</t>
        </is>
      </c>
      <c r="D787" t="inlineStr">
        <is>
          <t>SP-SL-GRILLE-IGETA</t>
        </is>
      </c>
      <c r="E787" t="inlineStr">
        <is>
          <t>11911</t>
        </is>
      </c>
      <c r="F787" t="b">
        <v>1</v>
      </c>
      <c r="G787" t="n">
        <v>107</v>
      </c>
      <c r="H787" t="inlineStr">
        <is>
          <t>無印</t>
        </is>
      </c>
      <c r="I787" t="n">
        <v>106</v>
      </c>
      <c r="J787" t="inlineStr">
        <is>
          <t>P106|無印</t>
        </is>
      </c>
      <c r="K787" t="inlineStr">
        <is>
          <t>同一価格表・前頁凡例を継承</t>
        </is>
      </c>
      <c r="L787" t="inlineStr">
        <is>
          <t>202604_LIXIL_サーモスＬ_業務用資料集_完成品価格表.pdf</t>
        </is>
      </c>
      <c r="M787" t="inlineStr">
        <is>
          <t>v0.6：同一価格表セクション内で凡例継承を確定。</t>
        </is>
      </c>
      <c r="N787" t="inlineStr">
        <is>
          <t>https://drive.google.com/file/d/1YUN-mtWYs48YBUHJk0C3vJXnhjyZFHyf/view</t>
        </is>
      </c>
    </row>
    <row r="788">
      <c r="A788" s="42" t="inlineStr">
        <is>
          <t>GSC-SL-000785</t>
        </is>
      </c>
      <c r="B788" t="inlineStr">
        <is>
          <t>SZ-SL-000785</t>
        </is>
      </c>
      <c r="C788" t="inlineStr">
        <is>
          <t>WT-SL-MENKOSHI-HIKI</t>
        </is>
      </c>
      <c r="D788" t="inlineStr">
        <is>
          <t>SP-SL-GRILLE-IGETA</t>
        </is>
      </c>
      <c r="E788" t="inlineStr">
        <is>
          <t>12811</t>
        </is>
      </c>
      <c r="F788" t="b">
        <v>1</v>
      </c>
      <c r="G788" t="n">
        <v>107</v>
      </c>
      <c r="H788" t="inlineStr">
        <is>
          <t>無印</t>
        </is>
      </c>
      <c r="I788" t="n">
        <v>106</v>
      </c>
      <c r="J788" t="inlineStr">
        <is>
          <t>P106|無印</t>
        </is>
      </c>
      <c r="K788" t="inlineStr">
        <is>
          <t>同一価格表・前頁凡例を継承</t>
        </is>
      </c>
      <c r="L788" t="inlineStr">
        <is>
          <t>202604_LIXIL_サーモスＬ_業務用資料集_完成品価格表.pdf</t>
        </is>
      </c>
      <c r="M788" t="inlineStr">
        <is>
          <t>v0.6：同一価格表セクション内で凡例継承を確定。</t>
        </is>
      </c>
      <c r="N788" t="inlineStr">
        <is>
          <t>https://drive.google.com/file/d/1YUN-mtWYs48YBUHJk0C3vJXnhjyZFHyf/view</t>
        </is>
      </c>
    </row>
    <row r="789">
      <c r="A789" s="42" t="inlineStr">
        <is>
          <t>GSC-SL-000786</t>
        </is>
      </c>
      <c r="B789" t="inlineStr">
        <is>
          <t>SZ-SL-000786</t>
        </is>
      </c>
      <c r="C789" t="inlineStr">
        <is>
          <t>WT-SL-MENKOSHI-HIKI</t>
        </is>
      </c>
      <c r="D789" t="inlineStr">
        <is>
          <t>SP-SL-GRILLE-V</t>
        </is>
      </c>
      <c r="E789" t="inlineStr">
        <is>
          <t>08011</t>
        </is>
      </c>
      <c r="F789" t="b">
        <v>1</v>
      </c>
      <c r="G789" t="n">
        <v>107</v>
      </c>
      <c r="H789" t="inlineStr">
        <is>
          <t>無印</t>
        </is>
      </c>
      <c r="I789" t="n">
        <v>106</v>
      </c>
      <c r="J789" t="inlineStr">
        <is>
          <t>P106|無印</t>
        </is>
      </c>
      <c r="K789" t="inlineStr">
        <is>
          <t>同一価格表・前頁凡例を継承</t>
        </is>
      </c>
      <c r="L789" t="inlineStr">
        <is>
          <t>202604_LIXIL_サーモスＬ_業務用資料集_完成品価格表.pdf</t>
        </is>
      </c>
      <c r="M789" t="inlineStr">
        <is>
          <t>v0.6：同一価格表セクション内で凡例継承を確定。</t>
        </is>
      </c>
      <c r="N789" t="inlineStr">
        <is>
          <t>https://drive.google.com/file/d/1YUN-mtWYs48YBUHJk0C3vJXnhjyZFHyf/view</t>
        </is>
      </c>
    </row>
    <row r="790">
      <c r="A790" s="42" t="inlineStr">
        <is>
          <t>GSC-SL-000787</t>
        </is>
      </c>
      <c r="B790" t="inlineStr">
        <is>
          <t>SZ-SL-000787</t>
        </is>
      </c>
      <c r="C790" t="inlineStr">
        <is>
          <t>WT-SL-MENKOSHI-HIKI</t>
        </is>
      </c>
      <c r="D790" t="inlineStr">
        <is>
          <t>SP-SL-GRILLE-V</t>
        </is>
      </c>
      <c r="E790" t="inlineStr">
        <is>
          <t>08311</t>
        </is>
      </c>
      <c r="F790" t="b">
        <v>1</v>
      </c>
      <c r="G790" t="n">
        <v>107</v>
      </c>
      <c r="H790" t="inlineStr">
        <is>
          <t>無印</t>
        </is>
      </c>
      <c r="I790" t="n">
        <v>106</v>
      </c>
      <c r="J790" t="inlineStr">
        <is>
          <t>P106|無印</t>
        </is>
      </c>
      <c r="K790" t="inlineStr">
        <is>
          <t>同一価格表・前頁凡例を継承</t>
        </is>
      </c>
      <c r="L790" t="inlineStr">
        <is>
          <t>202604_LIXIL_サーモスＬ_業務用資料集_完成品価格表.pdf</t>
        </is>
      </c>
      <c r="M790" t="inlineStr">
        <is>
          <t>v0.6：同一価格表セクション内で凡例継承を確定。</t>
        </is>
      </c>
      <c r="N790" t="inlineStr">
        <is>
          <t>https://drive.google.com/file/d/1YUN-mtWYs48YBUHJk0C3vJXnhjyZFHyf/view</t>
        </is>
      </c>
    </row>
    <row r="791">
      <c r="A791" s="42" t="inlineStr">
        <is>
          <t>GSC-SL-000788</t>
        </is>
      </c>
      <c r="B791" t="inlineStr">
        <is>
          <t>SZ-SL-000788</t>
        </is>
      </c>
      <c r="C791" t="inlineStr">
        <is>
          <t>WT-SL-MENKOSHI-HIKI</t>
        </is>
      </c>
      <c r="D791" t="inlineStr">
        <is>
          <t>SP-SL-GRILLE-V</t>
        </is>
      </c>
      <c r="E791" t="inlineStr">
        <is>
          <t>11411</t>
        </is>
      </c>
      <c r="F791" t="b">
        <v>1</v>
      </c>
      <c r="G791" t="n">
        <v>107</v>
      </c>
      <c r="H791" t="inlineStr">
        <is>
          <t>無印</t>
        </is>
      </c>
      <c r="I791" t="n">
        <v>106</v>
      </c>
      <c r="J791" t="inlineStr">
        <is>
          <t>P106|無印</t>
        </is>
      </c>
      <c r="K791" t="inlineStr">
        <is>
          <t>同一価格表・前頁凡例を継承</t>
        </is>
      </c>
      <c r="L791" t="inlineStr">
        <is>
          <t>202604_LIXIL_サーモスＬ_業務用資料集_完成品価格表.pdf</t>
        </is>
      </c>
      <c r="M791" t="inlineStr">
        <is>
          <t>v0.6：同一価格表セクション内で凡例継承を確定。</t>
        </is>
      </c>
      <c r="N791" t="inlineStr">
        <is>
          <t>https://drive.google.com/file/d/1YUN-mtWYs48YBUHJk0C3vJXnhjyZFHyf/view</t>
        </is>
      </c>
    </row>
    <row r="792">
      <c r="A792" s="42" t="inlineStr">
        <is>
          <t>GSC-SL-000789</t>
        </is>
      </c>
      <c r="B792" t="inlineStr">
        <is>
          <t>SZ-SL-000789</t>
        </is>
      </c>
      <c r="C792" t="inlineStr">
        <is>
          <t>WT-SL-MENKOSHI-HIKI</t>
        </is>
      </c>
      <c r="D792" t="inlineStr">
        <is>
          <t>SP-SL-GRILLE-V</t>
        </is>
      </c>
      <c r="E792" t="inlineStr">
        <is>
          <t>11911</t>
        </is>
      </c>
      <c r="F792" t="b">
        <v>1</v>
      </c>
      <c r="G792" t="n">
        <v>107</v>
      </c>
      <c r="H792" t="inlineStr">
        <is>
          <t>無印</t>
        </is>
      </c>
      <c r="I792" t="n">
        <v>106</v>
      </c>
      <c r="J792" t="inlineStr">
        <is>
          <t>P106|無印</t>
        </is>
      </c>
      <c r="K792" t="inlineStr">
        <is>
          <t>同一価格表・前頁凡例を継承</t>
        </is>
      </c>
      <c r="L792" t="inlineStr">
        <is>
          <t>202604_LIXIL_サーモスＬ_業務用資料集_完成品価格表.pdf</t>
        </is>
      </c>
      <c r="M792" t="inlineStr">
        <is>
          <t>v0.6：同一価格表セクション内で凡例継承を確定。</t>
        </is>
      </c>
      <c r="N792" t="inlineStr">
        <is>
          <t>https://drive.google.com/file/d/1YUN-mtWYs48YBUHJk0C3vJXnhjyZFHyf/view</t>
        </is>
      </c>
    </row>
    <row r="793">
      <c r="A793" s="42" t="inlineStr">
        <is>
          <t>GSC-SL-000790</t>
        </is>
      </c>
      <c r="B793" t="inlineStr">
        <is>
          <t>SZ-SL-000790</t>
        </is>
      </c>
      <c r="C793" t="inlineStr">
        <is>
          <t>WT-SL-MENKOSHI-HIKI</t>
        </is>
      </c>
      <c r="D793" t="inlineStr">
        <is>
          <t>SP-SL-GRILLE-V</t>
        </is>
      </c>
      <c r="E793" t="inlineStr">
        <is>
          <t>12811</t>
        </is>
      </c>
      <c r="F793" t="b">
        <v>1</v>
      </c>
      <c r="G793" t="n">
        <v>107</v>
      </c>
      <c r="H793" t="inlineStr">
        <is>
          <t>無印</t>
        </is>
      </c>
      <c r="I793" t="n">
        <v>106</v>
      </c>
      <c r="J793" t="inlineStr">
        <is>
          <t>P106|無印</t>
        </is>
      </c>
      <c r="K793" t="inlineStr">
        <is>
          <t>同一価格表・前頁凡例を継承</t>
        </is>
      </c>
      <c r="L793" t="inlineStr">
        <is>
          <t>202604_LIXIL_サーモスＬ_業務用資料集_完成品価格表.pdf</t>
        </is>
      </c>
      <c r="M793" t="inlineStr">
        <is>
          <t>v0.6：同一価格表セクション内で凡例継承を確定。</t>
        </is>
      </c>
      <c r="N793" t="inlineStr">
        <is>
          <t>https://drive.google.com/file/d/1YUN-mtWYs48YBUHJk0C3vJXnhjyZFHyf/view</t>
        </is>
      </c>
    </row>
    <row r="794">
      <c r="A794" s="42" t="inlineStr">
        <is>
          <t>GSC-SL-000791</t>
        </is>
      </c>
      <c r="B794" t="inlineStr">
        <is>
          <t>SZ-SL-000791</t>
        </is>
      </c>
      <c r="C794" t="inlineStr">
        <is>
          <t>WT-SL-MENKOSHI-HIKI</t>
        </is>
      </c>
      <c r="D794" t="inlineStr">
        <is>
          <t>SP-SL-GRILLE-DIA</t>
        </is>
      </c>
      <c r="E794" t="inlineStr">
        <is>
          <t>13311</t>
        </is>
      </c>
      <c r="F794" t="b">
        <v>1</v>
      </c>
      <c r="G794" t="n">
        <v>108</v>
      </c>
      <c r="H794" t="inlineStr">
        <is>
          <t>無印</t>
        </is>
      </c>
      <c r="I794" t="n">
        <v>108</v>
      </c>
      <c r="J794" t="inlineStr">
        <is>
          <t>P108|無印</t>
        </is>
      </c>
      <c r="K794" t="inlineStr">
        <is>
          <t>同頁凡例へ直接連動</t>
        </is>
      </c>
      <c r="L794" t="inlineStr">
        <is>
          <t>202604_LIXIL_サーモスＬ_業務用資料集_完成品価格表.pdf</t>
        </is>
      </c>
      <c r="M794" t="inlineStr">
        <is>
          <t>v0.6：同一価格表セクション内で凡例継承を確定。</t>
        </is>
      </c>
      <c r="N794" t="inlineStr">
        <is>
          <t>https://drive.google.com/file/d/1YUN-mtWYs48YBUHJk0C3vJXnhjyZFHyf/view</t>
        </is>
      </c>
    </row>
    <row r="795">
      <c r="A795" s="42" t="inlineStr">
        <is>
          <t>GSC-SL-000792</t>
        </is>
      </c>
      <c r="B795" t="inlineStr">
        <is>
          <t>SZ-SL-000792</t>
        </is>
      </c>
      <c r="C795" t="inlineStr">
        <is>
          <t>WT-SL-MENKOSHI-HIKI</t>
        </is>
      </c>
      <c r="D795" t="inlineStr">
        <is>
          <t>SP-SL-GRILLE-DIA</t>
        </is>
      </c>
      <c r="E795" t="inlineStr">
        <is>
          <t>15011</t>
        </is>
      </c>
      <c r="F795" t="b">
        <v>1</v>
      </c>
      <c r="G795" t="n">
        <v>108</v>
      </c>
      <c r="H795" t="inlineStr">
        <is>
          <t>無印</t>
        </is>
      </c>
      <c r="I795" t="n">
        <v>108</v>
      </c>
      <c r="J795" t="inlineStr">
        <is>
          <t>P108|無印</t>
        </is>
      </c>
      <c r="K795" t="inlineStr">
        <is>
          <t>同頁凡例へ直接連動</t>
        </is>
      </c>
      <c r="L795" t="inlineStr">
        <is>
          <t>202604_LIXIL_サーモスＬ_業務用資料集_完成品価格表.pdf</t>
        </is>
      </c>
      <c r="M795" t="inlineStr">
        <is>
          <t>v0.6：同一価格表セクション内で凡例継承を確定。</t>
        </is>
      </c>
      <c r="N795" t="inlineStr">
        <is>
          <t>https://drive.google.com/file/d/1YUN-mtWYs48YBUHJk0C3vJXnhjyZFHyf/view</t>
        </is>
      </c>
    </row>
    <row r="796">
      <c r="A796" s="42" t="inlineStr">
        <is>
          <t>GSC-SL-000793</t>
        </is>
      </c>
      <c r="B796" t="inlineStr">
        <is>
          <t>SZ-SL-000793</t>
        </is>
      </c>
      <c r="C796" t="inlineStr">
        <is>
          <t>WT-SL-MENKOSHI-HIKI</t>
        </is>
      </c>
      <c r="D796" t="inlineStr">
        <is>
          <t>SP-SL-GRILLE-DIA</t>
        </is>
      </c>
      <c r="E796" t="inlineStr">
        <is>
          <t>16011</t>
        </is>
      </c>
      <c r="F796" t="b">
        <v>1</v>
      </c>
      <c r="G796" t="n">
        <v>108</v>
      </c>
      <c r="H796" t="inlineStr">
        <is>
          <t>無印</t>
        </is>
      </c>
      <c r="I796" t="n">
        <v>108</v>
      </c>
      <c r="J796" t="inlineStr">
        <is>
          <t>P108|無印</t>
        </is>
      </c>
      <c r="K796" t="inlineStr">
        <is>
          <t>同頁凡例へ直接連動</t>
        </is>
      </c>
      <c r="L796" t="inlineStr">
        <is>
          <t>202604_LIXIL_サーモスＬ_業務用資料集_完成品価格表.pdf</t>
        </is>
      </c>
      <c r="M796" t="inlineStr">
        <is>
          <t>v0.6：同一価格表セクション内で凡例継承を確定。</t>
        </is>
      </c>
      <c r="N796" t="inlineStr">
        <is>
          <t>https://drive.google.com/file/d/1YUN-mtWYs48YBUHJk0C3vJXnhjyZFHyf/view</t>
        </is>
      </c>
    </row>
    <row r="797">
      <c r="A797" s="42" t="inlineStr">
        <is>
          <t>GSC-SL-000794</t>
        </is>
      </c>
      <c r="B797" t="inlineStr">
        <is>
          <t>SZ-SL-000794</t>
        </is>
      </c>
      <c r="C797" t="inlineStr">
        <is>
          <t>WT-SL-MENKOSHI-HIKI</t>
        </is>
      </c>
      <c r="D797" t="inlineStr">
        <is>
          <t>SP-SL-GRILLE-DIA</t>
        </is>
      </c>
      <c r="E797" t="inlineStr">
        <is>
          <t>16511</t>
        </is>
      </c>
      <c r="F797" t="b">
        <v>1</v>
      </c>
      <c r="G797" t="n">
        <v>108</v>
      </c>
      <c r="H797" t="inlineStr">
        <is>
          <t>無印</t>
        </is>
      </c>
      <c r="I797" t="n">
        <v>108</v>
      </c>
      <c r="J797" t="inlineStr">
        <is>
          <t>P108|無印</t>
        </is>
      </c>
      <c r="K797" t="inlineStr">
        <is>
          <t>同頁凡例へ直接連動</t>
        </is>
      </c>
      <c r="L797" t="inlineStr">
        <is>
          <t>202604_LIXIL_サーモスＬ_業務用資料集_完成品価格表.pdf</t>
        </is>
      </c>
      <c r="M797" t="inlineStr">
        <is>
          <t>v0.6：同一価格表セクション内で凡例継承を確定。</t>
        </is>
      </c>
      <c r="N797" t="inlineStr">
        <is>
          <t>https://drive.google.com/file/d/1YUN-mtWYs48YBUHJk0C3vJXnhjyZFHyf/view</t>
        </is>
      </c>
    </row>
    <row r="798">
      <c r="A798" s="42" t="inlineStr">
        <is>
          <t>GSC-SL-000795</t>
        </is>
      </c>
      <c r="B798" t="inlineStr">
        <is>
          <t>SZ-SL-000795</t>
        </is>
      </c>
      <c r="C798" t="inlineStr">
        <is>
          <t>WT-SL-MENKOSHI-HIKI</t>
        </is>
      </c>
      <c r="D798" t="inlineStr">
        <is>
          <t>SP-SL-GRILLE-H</t>
        </is>
      </c>
      <c r="E798" t="inlineStr">
        <is>
          <t>13311</t>
        </is>
      </c>
      <c r="F798" t="b">
        <v>1</v>
      </c>
      <c r="G798" t="n">
        <v>108</v>
      </c>
      <c r="H798" t="inlineStr">
        <is>
          <t>無印</t>
        </is>
      </c>
      <c r="I798" t="n">
        <v>108</v>
      </c>
      <c r="J798" t="inlineStr">
        <is>
          <t>P108|無印</t>
        </is>
      </c>
      <c r="K798" t="inlineStr">
        <is>
          <t>同頁凡例へ直接連動</t>
        </is>
      </c>
      <c r="L798" t="inlineStr">
        <is>
          <t>202604_LIXIL_サーモスＬ_業務用資料集_完成品価格表.pdf</t>
        </is>
      </c>
      <c r="M798" t="inlineStr">
        <is>
          <t>v0.6：同一価格表セクション内で凡例継承を確定。</t>
        </is>
      </c>
      <c r="N798" t="inlineStr">
        <is>
          <t>https://drive.google.com/file/d/1YUN-mtWYs48YBUHJk0C3vJXnhjyZFHyf/view</t>
        </is>
      </c>
    </row>
    <row r="799">
      <c r="A799" s="42" t="inlineStr">
        <is>
          <t>GSC-SL-000796</t>
        </is>
      </c>
      <c r="B799" t="inlineStr">
        <is>
          <t>SZ-SL-000796</t>
        </is>
      </c>
      <c r="C799" t="inlineStr">
        <is>
          <t>WT-SL-MENKOSHI-HIKI</t>
        </is>
      </c>
      <c r="D799" t="inlineStr">
        <is>
          <t>SP-SL-GRILLE-H</t>
        </is>
      </c>
      <c r="E799" t="inlineStr">
        <is>
          <t>15011</t>
        </is>
      </c>
      <c r="F799" t="b">
        <v>0</v>
      </c>
      <c r="G799" t="n">
        <v>108</v>
      </c>
      <c r="H799" t="inlineStr">
        <is>
          <t>無印</t>
        </is>
      </c>
      <c r="I799" t="n">
        <v>108</v>
      </c>
      <c r="J799" t="inlineStr">
        <is>
          <t>P108|無印</t>
        </is>
      </c>
      <c r="K799" t="inlineStr">
        <is>
          <t>同頁凡例へ直接連動</t>
        </is>
      </c>
      <c r="L799" t="inlineStr">
        <is>
          <t>202604_LIXIL_サーモスＬ_業務用資料集_完成品価格表.pdf</t>
        </is>
      </c>
      <c r="M799" t="inlineStr">
        <is>
          <t>v0.6：同一価格表セクション内で凡例継承を確定。</t>
        </is>
      </c>
      <c r="N799" t="inlineStr">
        <is>
          <t>https://drive.google.com/file/d/1YUN-mtWYs48YBUHJk0C3vJXnhjyZFHyf/view</t>
        </is>
      </c>
    </row>
    <row r="800">
      <c r="A800" s="42" t="inlineStr">
        <is>
          <t>GSC-SL-000797</t>
        </is>
      </c>
      <c r="B800" t="inlineStr">
        <is>
          <t>SZ-SL-000797</t>
        </is>
      </c>
      <c r="C800" t="inlineStr">
        <is>
          <t>WT-SL-MENKOSHI-HIKI</t>
        </is>
      </c>
      <c r="D800" t="inlineStr">
        <is>
          <t>SP-SL-GRILLE-H</t>
        </is>
      </c>
      <c r="E800" t="inlineStr">
        <is>
          <t>16011</t>
        </is>
      </c>
      <c r="F800" t="b">
        <v>0</v>
      </c>
      <c r="G800" t="n">
        <v>108</v>
      </c>
      <c r="H800" t="inlineStr">
        <is>
          <t>無印</t>
        </is>
      </c>
      <c r="I800" t="n">
        <v>108</v>
      </c>
      <c r="J800" t="inlineStr">
        <is>
          <t>P108|無印</t>
        </is>
      </c>
      <c r="K800" t="inlineStr">
        <is>
          <t>同頁凡例へ直接連動</t>
        </is>
      </c>
      <c r="L800" t="inlineStr">
        <is>
          <t>202604_LIXIL_サーモスＬ_業務用資料集_完成品価格表.pdf</t>
        </is>
      </c>
      <c r="M800" t="inlineStr">
        <is>
          <t>v0.6：同一価格表セクション内で凡例継承を確定。</t>
        </is>
      </c>
      <c r="N800" t="inlineStr">
        <is>
          <t>https://drive.google.com/file/d/1YUN-mtWYs48YBUHJk0C3vJXnhjyZFHyf/view</t>
        </is>
      </c>
    </row>
    <row r="801">
      <c r="A801" s="42" t="inlineStr">
        <is>
          <t>GSC-SL-000798</t>
        </is>
      </c>
      <c r="B801" t="inlineStr">
        <is>
          <t>SZ-SL-000798</t>
        </is>
      </c>
      <c r="C801" t="inlineStr">
        <is>
          <t>WT-SL-MENKOSHI-HIKI</t>
        </is>
      </c>
      <c r="D801" t="inlineStr">
        <is>
          <t>SP-SL-GRILLE-H</t>
        </is>
      </c>
      <c r="E801" t="inlineStr">
        <is>
          <t>16511</t>
        </is>
      </c>
      <c r="F801" t="b">
        <v>0</v>
      </c>
      <c r="G801" t="n">
        <v>108</v>
      </c>
      <c r="H801" t="inlineStr">
        <is>
          <t>無印</t>
        </is>
      </c>
      <c r="I801" t="n">
        <v>108</v>
      </c>
      <c r="J801" t="inlineStr">
        <is>
          <t>P108|無印</t>
        </is>
      </c>
      <c r="K801" t="inlineStr">
        <is>
          <t>同頁凡例へ直接連動</t>
        </is>
      </c>
      <c r="L801" t="inlineStr">
        <is>
          <t>202604_LIXIL_サーモスＬ_業務用資料集_完成品価格表.pdf</t>
        </is>
      </c>
      <c r="M801" t="inlineStr">
        <is>
          <t>v0.6：同一価格表セクション内で凡例継承を確定。</t>
        </is>
      </c>
      <c r="N801" t="inlineStr">
        <is>
          <t>https://drive.google.com/file/d/1YUN-mtWYs48YBUHJk0C3vJXnhjyZFHyf/view</t>
        </is>
      </c>
    </row>
    <row r="802">
      <c r="A802" s="42" t="inlineStr">
        <is>
          <t>GSC-SL-000799</t>
        </is>
      </c>
      <c r="B802" t="inlineStr">
        <is>
          <t>SZ-SL-000799</t>
        </is>
      </c>
      <c r="C802" t="inlineStr">
        <is>
          <t>WT-SL-MENKOSHI-HIKI</t>
        </is>
      </c>
      <c r="D802" t="inlineStr">
        <is>
          <t>SP-SL-GRILLE-IGETA</t>
        </is>
      </c>
      <c r="E802" t="inlineStr">
        <is>
          <t>13311</t>
        </is>
      </c>
      <c r="F802" t="b">
        <v>1</v>
      </c>
      <c r="G802" t="n">
        <v>108</v>
      </c>
      <c r="H802" t="inlineStr">
        <is>
          <t>無印</t>
        </is>
      </c>
      <c r="I802" t="n">
        <v>108</v>
      </c>
      <c r="J802" t="inlineStr">
        <is>
          <t>P108|無印</t>
        </is>
      </c>
      <c r="K802" t="inlineStr">
        <is>
          <t>同頁凡例へ直接連動</t>
        </is>
      </c>
      <c r="L802" t="inlineStr">
        <is>
          <t>202604_LIXIL_サーモスＬ_業務用資料集_完成品価格表.pdf</t>
        </is>
      </c>
      <c r="M802" t="inlineStr">
        <is>
          <t>v0.6：同一価格表セクション内で凡例継承を確定。</t>
        </is>
      </c>
      <c r="N802" t="inlineStr">
        <is>
          <t>https://drive.google.com/file/d/1YUN-mtWYs48YBUHJk0C3vJXnhjyZFHyf/view</t>
        </is>
      </c>
    </row>
    <row r="803">
      <c r="A803" s="42" t="inlineStr">
        <is>
          <t>GSC-SL-000800</t>
        </is>
      </c>
      <c r="B803" t="inlineStr">
        <is>
          <t>SZ-SL-000800</t>
        </is>
      </c>
      <c r="C803" t="inlineStr">
        <is>
          <t>WT-SL-MENKOSHI-HIKI</t>
        </is>
      </c>
      <c r="D803" t="inlineStr">
        <is>
          <t>SP-SL-GRILLE-IGETA</t>
        </is>
      </c>
      <c r="E803" t="inlineStr">
        <is>
          <t>15011</t>
        </is>
      </c>
      <c r="F803" t="b">
        <v>1</v>
      </c>
      <c r="G803" t="n">
        <v>108</v>
      </c>
      <c r="H803" t="inlineStr">
        <is>
          <t>無印</t>
        </is>
      </c>
      <c r="I803" t="n">
        <v>108</v>
      </c>
      <c r="J803" t="inlineStr">
        <is>
          <t>P108|無印</t>
        </is>
      </c>
      <c r="K803" t="inlineStr">
        <is>
          <t>同頁凡例へ直接連動</t>
        </is>
      </c>
      <c r="L803" t="inlineStr">
        <is>
          <t>202604_LIXIL_サーモスＬ_業務用資料集_完成品価格表.pdf</t>
        </is>
      </c>
      <c r="M803" t="inlineStr">
        <is>
          <t>v0.6：同一価格表セクション内で凡例継承を確定。</t>
        </is>
      </c>
      <c r="N803" t="inlineStr">
        <is>
          <t>https://drive.google.com/file/d/1YUN-mtWYs48YBUHJk0C3vJXnhjyZFHyf/view</t>
        </is>
      </c>
    </row>
    <row r="804">
      <c r="A804" s="42" t="inlineStr">
        <is>
          <t>GSC-SL-000801</t>
        </is>
      </c>
      <c r="B804" t="inlineStr">
        <is>
          <t>SZ-SL-000801</t>
        </is>
      </c>
      <c r="C804" t="inlineStr">
        <is>
          <t>WT-SL-MENKOSHI-HIKI</t>
        </is>
      </c>
      <c r="D804" t="inlineStr">
        <is>
          <t>SP-SL-GRILLE-IGETA</t>
        </is>
      </c>
      <c r="E804" t="inlineStr">
        <is>
          <t>16011</t>
        </is>
      </c>
      <c r="F804" t="b">
        <v>1</v>
      </c>
      <c r="G804" t="n">
        <v>108</v>
      </c>
      <c r="H804" t="inlineStr">
        <is>
          <t>無印</t>
        </is>
      </c>
      <c r="I804" t="n">
        <v>108</v>
      </c>
      <c r="J804" t="inlineStr">
        <is>
          <t>P108|無印</t>
        </is>
      </c>
      <c r="K804" t="inlineStr">
        <is>
          <t>同頁凡例へ直接連動</t>
        </is>
      </c>
      <c r="L804" t="inlineStr">
        <is>
          <t>202604_LIXIL_サーモスＬ_業務用資料集_完成品価格表.pdf</t>
        </is>
      </c>
      <c r="M804" t="inlineStr">
        <is>
          <t>v0.6：同一価格表セクション内で凡例継承を確定。</t>
        </is>
      </c>
      <c r="N804" t="inlineStr">
        <is>
          <t>https://drive.google.com/file/d/1YUN-mtWYs48YBUHJk0C3vJXnhjyZFHyf/view</t>
        </is>
      </c>
    </row>
    <row r="805">
      <c r="A805" s="42" t="inlineStr">
        <is>
          <t>GSC-SL-000802</t>
        </is>
      </c>
      <c r="B805" t="inlineStr">
        <is>
          <t>SZ-SL-000802</t>
        </is>
      </c>
      <c r="C805" t="inlineStr">
        <is>
          <t>WT-SL-MENKOSHI-HIKI</t>
        </is>
      </c>
      <c r="D805" t="inlineStr">
        <is>
          <t>SP-SL-GRILLE-IGETA</t>
        </is>
      </c>
      <c r="E805" t="inlineStr">
        <is>
          <t>16511</t>
        </is>
      </c>
      <c r="F805" t="b">
        <v>1</v>
      </c>
      <c r="G805" t="n">
        <v>108</v>
      </c>
      <c r="H805" t="inlineStr">
        <is>
          <t>無印</t>
        </is>
      </c>
      <c r="I805" t="n">
        <v>108</v>
      </c>
      <c r="J805" t="inlineStr">
        <is>
          <t>P108|無印</t>
        </is>
      </c>
      <c r="K805" t="inlineStr">
        <is>
          <t>同頁凡例へ直接連動</t>
        </is>
      </c>
      <c r="L805" t="inlineStr">
        <is>
          <t>202604_LIXIL_サーモスＬ_業務用資料集_完成品価格表.pdf</t>
        </is>
      </c>
      <c r="M805" t="inlineStr">
        <is>
          <t>v0.6：同一価格表セクション内で凡例継承を確定。</t>
        </is>
      </c>
      <c r="N805" t="inlineStr">
        <is>
          <t>https://drive.google.com/file/d/1YUN-mtWYs48YBUHJk0C3vJXnhjyZFHyf/view</t>
        </is>
      </c>
    </row>
    <row r="806">
      <c r="A806" s="42" t="inlineStr">
        <is>
          <t>GSC-SL-000803</t>
        </is>
      </c>
      <c r="B806" t="inlineStr">
        <is>
          <t>SZ-SL-000803</t>
        </is>
      </c>
      <c r="C806" t="inlineStr">
        <is>
          <t>WT-SL-MENKOSHI-HIKI</t>
        </is>
      </c>
      <c r="D806" t="inlineStr">
        <is>
          <t>SP-SL-GRILLE-V</t>
        </is>
      </c>
      <c r="E806" t="inlineStr">
        <is>
          <t>13311</t>
        </is>
      </c>
      <c r="F806" t="b">
        <v>1</v>
      </c>
      <c r="G806" t="n">
        <v>108</v>
      </c>
      <c r="H806" t="inlineStr">
        <is>
          <t>無印</t>
        </is>
      </c>
      <c r="I806" t="n">
        <v>108</v>
      </c>
      <c r="J806" t="inlineStr">
        <is>
          <t>P108|無印</t>
        </is>
      </c>
      <c r="K806" t="inlineStr">
        <is>
          <t>同頁凡例へ直接連動</t>
        </is>
      </c>
      <c r="L806" t="inlineStr">
        <is>
          <t>202604_LIXIL_サーモスＬ_業務用資料集_完成品価格表.pdf</t>
        </is>
      </c>
      <c r="M806" t="inlineStr">
        <is>
          <t>v0.6：同一価格表セクション内で凡例継承を確定。</t>
        </is>
      </c>
      <c r="N806" t="inlineStr">
        <is>
          <t>https://drive.google.com/file/d/1YUN-mtWYs48YBUHJk0C3vJXnhjyZFHyf/view</t>
        </is>
      </c>
    </row>
    <row r="807">
      <c r="A807" s="42" t="inlineStr">
        <is>
          <t>GSC-SL-000804</t>
        </is>
      </c>
      <c r="B807" t="inlineStr">
        <is>
          <t>SZ-SL-000804</t>
        </is>
      </c>
      <c r="C807" t="inlineStr">
        <is>
          <t>WT-SL-MENKOSHI-HIKI</t>
        </is>
      </c>
      <c r="D807" t="inlineStr">
        <is>
          <t>SP-SL-GRILLE-V</t>
        </is>
      </c>
      <c r="E807" t="inlineStr">
        <is>
          <t>15011</t>
        </is>
      </c>
      <c r="F807" t="b">
        <v>1</v>
      </c>
      <c r="G807" t="n">
        <v>108</v>
      </c>
      <c r="H807" t="inlineStr">
        <is>
          <t>無印</t>
        </is>
      </c>
      <c r="I807" t="n">
        <v>108</v>
      </c>
      <c r="J807" t="inlineStr">
        <is>
          <t>P108|無印</t>
        </is>
      </c>
      <c r="K807" t="inlineStr">
        <is>
          <t>同頁凡例へ直接連動</t>
        </is>
      </c>
      <c r="L807" t="inlineStr">
        <is>
          <t>202604_LIXIL_サーモスＬ_業務用資料集_完成品価格表.pdf</t>
        </is>
      </c>
      <c r="M807" t="inlineStr">
        <is>
          <t>v0.6：同一価格表セクション内で凡例継承を確定。</t>
        </is>
      </c>
      <c r="N807" t="inlineStr">
        <is>
          <t>https://drive.google.com/file/d/1YUN-mtWYs48YBUHJk0C3vJXnhjyZFHyf/view</t>
        </is>
      </c>
    </row>
    <row r="808">
      <c r="A808" s="42" t="inlineStr">
        <is>
          <t>GSC-SL-000805</t>
        </is>
      </c>
      <c r="B808" t="inlineStr">
        <is>
          <t>SZ-SL-000805</t>
        </is>
      </c>
      <c r="C808" t="inlineStr">
        <is>
          <t>WT-SL-MENKOSHI-HIKI</t>
        </is>
      </c>
      <c r="D808" t="inlineStr">
        <is>
          <t>SP-SL-GRILLE-V</t>
        </is>
      </c>
      <c r="E808" t="inlineStr">
        <is>
          <t>16011</t>
        </is>
      </c>
      <c r="F808" t="b">
        <v>1</v>
      </c>
      <c r="G808" t="n">
        <v>108</v>
      </c>
      <c r="H808" t="inlineStr">
        <is>
          <t>無印</t>
        </is>
      </c>
      <c r="I808" t="n">
        <v>108</v>
      </c>
      <c r="J808" t="inlineStr">
        <is>
          <t>P108|無印</t>
        </is>
      </c>
      <c r="K808" t="inlineStr">
        <is>
          <t>同頁凡例へ直接連動</t>
        </is>
      </c>
      <c r="L808" t="inlineStr">
        <is>
          <t>202604_LIXIL_サーモスＬ_業務用資料集_完成品価格表.pdf</t>
        </is>
      </c>
      <c r="M808" t="inlineStr">
        <is>
          <t>v0.6：同一価格表セクション内で凡例継承を確定。</t>
        </is>
      </c>
      <c r="N808" t="inlineStr">
        <is>
          <t>https://drive.google.com/file/d/1YUN-mtWYs48YBUHJk0C3vJXnhjyZFHyf/view</t>
        </is>
      </c>
    </row>
    <row r="809">
      <c r="A809" s="42" t="inlineStr">
        <is>
          <t>GSC-SL-000806</t>
        </is>
      </c>
      <c r="B809" t="inlineStr">
        <is>
          <t>SZ-SL-000806</t>
        </is>
      </c>
      <c r="C809" t="inlineStr">
        <is>
          <t>WT-SL-MENKOSHI-HIKI</t>
        </is>
      </c>
      <c r="D809" t="inlineStr">
        <is>
          <t>SP-SL-GRILLE-V</t>
        </is>
      </c>
      <c r="E809" t="inlineStr">
        <is>
          <t>16511</t>
        </is>
      </c>
      <c r="F809" t="b">
        <v>1</v>
      </c>
      <c r="G809" t="n">
        <v>108</v>
      </c>
      <c r="H809" t="inlineStr">
        <is>
          <t>無印</t>
        </is>
      </c>
      <c r="I809" t="n">
        <v>108</v>
      </c>
      <c r="J809" t="inlineStr">
        <is>
          <t>P108|無印</t>
        </is>
      </c>
      <c r="K809" t="inlineStr">
        <is>
          <t>同頁凡例へ直接連動</t>
        </is>
      </c>
      <c r="L809" t="inlineStr">
        <is>
          <t>202604_LIXIL_サーモスＬ_業務用資料集_完成品価格表.pdf</t>
        </is>
      </c>
      <c r="M809" t="inlineStr">
        <is>
          <t>v0.6：同一価格表セクション内で凡例継承を確定。</t>
        </is>
      </c>
      <c r="N809" t="inlineStr">
        <is>
          <t>https://drive.google.com/file/d/1YUN-mtWYs48YBUHJk0C3vJXnhjyZFHyf/view</t>
        </is>
      </c>
    </row>
    <row r="810">
      <c r="A810" s="42" t="inlineStr">
        <is>
          <t>GSC-SL-000807</t>
        </is>
      </c>
      <c r="B810" t="inlineStr">
        <is>
          <t>SZ-SL-000807</t>
        </is>
      </c>
      <c r="C810" t="inlineStr">
        <is>
          <t>WT-SL-MENKOSHI-HIKI</t>
        </is>
      </c>
      <c r="D810" t="inlineStr">
        <is>
          <t>SP-SL-GRILLE-DIA</t>
        </is>
      </c>
      <c r="E810" t="inlineStr">
        <is>
          <t>17411</t>
        </is>
      </c>
      <c r="F810" t="b">
        <v>1</v>
      </c>
      <c r="G810" t="n">
        <v>109</v>
      </c>
      <c r="H810" t="inlineStr">
        <is>
          <t>無印</t>
        </is>
      </c>
      <c r="I810" t="n">
        <v>108</v>
      </c>
      <c r="J810" t="inlineStr">
        <is>
          <t>P108|無印</t>
        </is>
      </c>
      <c r="K810" t="inlineStr">
        <is>
          <t>同一価格表・前頁凡例を継承</t>
        </is>
      </c>
      <c r="L810" t="inlineStr">
        <is>
          <t>202604_LIXIL_サーモスＬ_業務用資料集_完成品価格表.pdf</t>
        </is>
      </c>
      <c r="M810" t="inlineStr">
        <is>
          <t>v0.6：同一価格表セクション内で凡例継承を確定。</t>
        </is>
      </c>
      <c r="N810" t="inlineStr">
        <is>
          <t>https://drive.google.com/file/d/1YUN-mtWYs48YBUHJk0C3vJXnhjyZFHyf/view</t>
        </is>
      </c>
    </row>
    <row r="811">
      <c r="A811" s="42" t="inlineStr">
        <is>
          <t>GSC-SL-000808</t>
        </is>
      </c>
      <c r="B811" t="inlineStr">
        <is>
          <t>SZ-SL-000808</t>
        </is>
      </c>
      <c r="C811" t="inlineStr">
        <is>
          <t>WT-SL-MENKOSHI-HIKI</t>
        </is>
      </c>
      <c r="D811" t="inlineStr">
        <is>
          <t>SP-SL-GRILLE-DIA</t>
        </is>
      </c>
      <c r="E811" t="inlineStr">
        <is>
          <t>17611</t>
        </is>
      </c>
      <c r="F811" t="b">
        <v>1</v>
      </c>
      <c r="G811" t="n">
        <v>109</v>
      </c>
      <c r="H811" t="inlineStr">
        <is>
          <t>無印</t>
        </is>
      </c>
      <c r="I811" t="n">
        <v>108</v>
      </c>
      <c r="J811" t="inlineStr">
        <is>
          <t>P108|無印</t>
        </is>
      </c>
      <c r="K811" t="inlineStr">
        <is>
          <t>同一価格表・前頁凡例を継承</t>
        </is>
      </c>
      <c r="L811" t="inlineStr">
        <is>
          <t>202604_LIXIL_サーモスＬ_業務用資料集_完成品価格表.pdf</t>
        </is>
      </c>
      <c r="M811" t="inlineStr">
        <is>
          <t>v0.6：同一価格表セクション内で凡例継承を確定。</t>
        </is>
      </c>
      <c r="N811" t="inlineStr">
        <is>
          <t>https://drive.google.com/file/d/1YUN-mtWYs48YBUHJk0C3vJXnhjyZFHyf/view</t>
        </is>
      </c>
    </row>
    <row r="812">
      <c r="A812" s="42" t="inlineStr">
        <is>
          <t>GSC-SL-000809</t>
        </is>
      </c>
      <c r="B812" t="inlineStr">
        <is>
          <t>SZ-SL-000809</t>
        </is>
      </c>
      <c r="C812" t="inlineStr">
        <is>
          <t>WT-SL-MENKOSHI-HIKI</t>
        </is>
      </c>
      <c r="D812" t="inlineStr">
        <is>
          <t>SP-SL-GRILLE-DIA</t>
        </is>
      </c>
      <c r="E812" t="inlineStr">
        <is>
          <t>18011</t>
        </is>
      </c>
      <c r="F812" t="b">
        <v>1</v>
      </c>
      <c r="G812" t="n">
        <v>109</v>
      </c>
      <c r="H812" t="inlineStr">
        <is>
          <t>無印</t>
        </is>
      </c>
      <c r="I812" t="n">
        <v>108</v>
      </c>
      <c r="J812" t="inlineStr">
        <is>
          <t>P108|無印</t>
        </is>
      </c>
      <c r="K812" t="inlineStr">
        <is>
          <t>同一価格表・前頁凡例を継承</t>
        </is>
      </c>
      <c r="L812" t="inlineStr">
        <is>
          <t>202604_LIXIL_サーモスＬ_業務用資料集_完成品価格表.pdf</t>
        </is>
      </c>
      <c r="M812" t="inlineStr">
        <is>
          <t>v0.6：同一価格表セクション内で凡例継承を確定。</t>
        </is>
      </c>
      <c r="N812" t="inlineStr">
        <is>
          <t>https://drive.google.com/file/d/1YUN-mtWYs48YBUHJk0C3vJXnhjyZFHyf/view</t>
        </is>
      </c>
    </row>
    <row r="813">
      <c r="A813" s="42" t="inlineStr">
        <is>
          <t>GSC-SL-000810</t>
        </is>
      </c>
      <c r="B813" t="inlineStr">
        <is>
          <t>SZ-SL-000810</t>
        </is>
      </c>
      <c r="C813" t="inlineStr">
        <is>
          <t>WT-SL-MENKOSHI-HIKI</t>
        </is>
      </c>
      <c r="D813" t="inlineStr">
        <is>
          <t>SP-SL-GRILLE-DIA</t>
        </is>
      </c>
      <c r="E813" t="inlineStr">
        <is>
          <t>18611</t>
        </is>
      </c>
      <c r="F813" t="b">
        <v>1</v>
      </c>
      <c r="G813" t="n">
        <v>109</v>
      </c>
      <c r="H813" t="inlineStr">
        <is>
          <t>★</t>
        </is>
      </c>
      <c r="I813" t="n">
        <v>108</v>
      </c>
      <c r="J813" t="inlineStr">
        <is>
          <t>P108|★</t>
        </is>
      </c>
      <c r="K813" t="inlineStr">
        <is>
          <t>同一価格表・前頁凡例を継承</t>
        </is>
      </c>
      <c r="L813" t="inlineStr">
        <is>
          <t>202604_LIXIL_サーモスＬ_業務用資料集_完成品価格表.pdf</t>
        </is>
      </c>
      <c r="M813" t="inlineStr">
        <is>
          <t>v0.6：同一価格表セクション内で凡例継承を確定。</t>
        </is>
      </c>
      <c r="N813" t="inlineStr">
        <is>
          <t>https://drive.google.com/file/d/1YUN-mtWYs48YBUHJk0C3vJXnhjyZFHyf/view</t>
        </is>
      </c>
    </row>
    <row r="814">
      <c r="A814" s="42" t="inlineStr">
        <is>
          <t>GSC-SL-000811</t>
        </is>
      </c>
      <c r="B814" t="inlineStr">
        <is>
          <t>SZ-SL-000811</t>
        </is>
      </c>
      <c r="C814" t="inlineStr">
        <is>
          <t>WT-SL-MENKOSHI-HIKI</t>
        </is>
      </c>
      <c r="D814" t="inlineStr">
        <is>
          <t>SP-SL-GRILLE-H</t>
        </is>
      </c>
      <c r="E814" t="inlineStr">
        <is>
          <t>17411</t>
        </is>
      </c>
      <c r="F814" t="b">
        <v>0</v>
      </c>
      <c r="G814" t="n">
        <v>109</v>
      </c>
      <c r="H814" t="inlineStr">
        <is>
          <t>無印</t>
        </is>
      </c>
      <c r="I814" t="n">
        <v>108</v>
      </c>
      <c r="J814" t="inlineStr">
        <is>
          <t>P108|無印</t>
        </is>
      </c>
      <c r="K814" t="inlineStr">
        <is>
          <t>同一価格表・前頁凡例を継承</t>
        </is>
      </c>
      <c r="L814" t="inlineStr">
        <is>
          <t>202604_LIXIL_サーモスＬ_業務用資料集_完成品価格表.pdf</t>
        </is>
      </c>
      <c r="M814" t="inlineStr">
        <is>
          <t>v0.6：同一価格表セクション内で凡例継承を確定。</t>
        </is>
      </c>
      <c r="N814" t="inlineStr">
        <is>
          <t>https://drive.google.com/file/d/1YUN-mtWYs48YBUHJk0C3vJXnhjyZFHyf/view</t>
        </is>
      </c>
    </row>
    <row r="815">
      <c r="A815" s="42" t="inlineStr">
        <is>
          <t>GSC-SL-000812</t>
        </is>
      </c>
      <c r="B815" t="inlineStr">
        <is>
          <t>SZ-SL-000812</t>
        </is>
      </c>
      <c r="C815" t="inlineStr">
        <is>
          <t>WT-SL-MENKOSHI-HIKI</t>
        </is>
      </c>
      <c r="D815" t="inlineStr">
        <is>
          <t>SP-SL-GRILLE-H</t>
        </is>
      </c>
      <c r="E815" t="inlineStr">
        <is>
          <t>17611</t>
        </is>
      </c>
      <c r="F815" t="b">
        <v>0</v>
      </c>
      <c r="G815" t="n">
        <v>109</v>
      </c>
      <c r="H815" t="inlineStr">
        <is>
          <t>無印</t>
        </is>
      </c>
      <c r="I815" t="n">
        <v>108</v>
      </c>
      <c r="J815" t="inlineStr">
        <is>
          <t>P108|無印</t>
        </is>
      </c>
      <c r="K815" t="inlineStr">
        <is>
          <t>同一価格表・前頁凡例を継承</t>
        </is>
      </c>
      <c r="L815" t="inlineStr">
        <is>
          <t>202604_LIXIL_サーモスＬ_業務用資料集_完成品価格表.pdf</t>
        </is>
      </c>
      <c r="M815" t="inlineStr">
        <is>
          <t>v0.6：同一価格表セクション内で凡例継承を確定。</t>
        </is>
      </c>
      <c r="N815" t="inlineStr">
        <is>
          <t>https://drive.google.com/file/d/1YUN-mtWYs48YBUHJk0C3vJXnhjyZFHyf/view</t>
        </is>
      </c>
    </row>
    <row r="816">
      <c r="A816" s="42" t="inlineStr">
        <is>
          <t>GSC-SL-000813</t>
        </is>
      </c>
      <c r="B816" t="inlineStr">
        <is>
          <t>SZ-SL-000813</t>
        </is>
      </c>
      <c r="C816" t="inlineStr">
        <is>
          <t>WT-SL-MENKOSHI-HIKI</t>
        </is>
      </c>
      <c r="D816" t="inlineStr">
        <is>
          <t>SP-SL-GRILLE-H</t>
        </is>
      </c>
      <c r="E816" t="inlineStr">
        <is>
          <t>18011</t>
        </is>
      </c>
      <c r="F816" t="b">
        <v>0</v>
      </c>
      <c r="G816" t="n">
        <v>109</v>
      </c>
      <c r="H816" t="inlineStr">
        <is>
          <t>無印</t>
        </is>
      </c>
      <c r="I816" t="n">
        <v>108</v>
      </c>
      <c r="J816" t="inlineStr">
        <is>
          <t>P108|無印</t>
        </is>
      </c>
      <c r="K816" t="inlineStr">
        <is>
          <t>同一価格表・前頁凡例を継承</t>
        </is>
      </c>
      <c r="L816" t="inlineStr">
        <is>
          <t>202604_LIXIL_サーモスＬ_業務用資料集_完成品価格表.pdf</t>
        </is>
      </c>
      <c r="M816" t="inlineStr">
        <is>
          <t>v0.6：同一価格表セクション内で凡例継承を確定。</t>
        </is>
      </c>
      <c r="N816" t="inlineStr">
        <is>
          <t>https://drive.google.com/file/d/1YUN-mtWYs48YBUHJk0C3vJXnhjyZFHyf/view</t>
        </is>
      </c>
    </row>
    <row r="817">
      <c r="A817" s="42" t="inlineStr">
        <is>
          <t>GSC-SL-000814</t>
        </is>
      </c>
      <c r="B817" t="inlineStr">
        <is>
          <t>SZ-SL-000814</t>
        </is>
      </c>
      <c r="C817" t="inlineStr">
        <is>
          <t>WT-SL-MENKOSHI-HIKI</t>
        </is>
      </c>
      <c r="D817" t="inlineStr">
        <is>
          <t>SP-SL-GRILLE-H</t>
        </is>
      </c>
      <c r="E817" t="inlineStr">
        <is>
          <t>18611</t>
        </is>
      </c>
      <c r="F817" t="b">
        <v>0</v>
      </c>
      <c r="G817" t="n">
        <v>109</v>
      </c>
      <c r="H817" t="inlineStr">
        <is>
          <t>★</t>
        </is>
      </c>
      <c r="I817" t="n">
        <v>108</v>
      </c>
      <c r="J817" t="inlineStr">
        <is>
          <t>P108|★</t>
        </is>
      </c>
      <c r="K817" t="inlineStr">
        <is>
          <t>同一価格表・前頁凡例を継承</t>
        </is>
      </c>
      <c r="L817" t="inlineStr">
        <is>
          <t>202604_LIXIL_サーモスＬ_業務用資料集_完成品価格表.pdf</t>
        </is>
      </c>
      <c r="M817" t="inlineStr">
        <is>
          <t>v0.6：同一価格表セクション内で凡例継承を確定。</t>
        </is>
      </c>
      <c r="N817" t="inlineStr">
        <is>
          <t>https://drive.google.com/file/d/1YUN-mtWYs48YBUHJk0C3vJXnhjyZFHyf/view</t>
        </is>
      </c>
    </row>
    <row r="818">
      <c r="A818" s="42" t="inlineStr">
        <is>
          <t>GSC-SL-000815</t>
        </is>
      </c>
      <c r="B818" t="inlineStr">
        <is>
          <t>SZ-SL-000815</t>
        </is>
      </c>
      <c r="C818" t="inlineStr">
        <is>
          <t>WT-SL-MENKOSHI-HIKI</t>
        </is>
      </c>
      <c r="D818" t="inlineStr">
        <is>
          <t>SP-SL-GRILLE-IGETA</t>
        </is>
      </c>
      <c r="E818" t="inlineStr">
        <is>
          <t>17411</t>
        </is>
      </c>
      <c r="F818" t="b">
        <v>1</v>
      </c>
      <c r="G818" t="n">
        <v>109</v>
      </c>
      <c r="H818" t="inlineStr">
        <is>
          <t>無印</t>
        </is>
      </c>
      <c r="I818" t="n">
        <v>108</v>
      </c>
      <c r="J818" t="inlineStr">
        <is>
          <t>P108|無印</t>
        </is>
      </c>
      <c r="K818" t="inlineStr">
        <is>
          <t>同一価格表・前頁凡例を継承</t>
        </is>
      </c>
      <c r="L818" t="inlineStr">
        <is>
          <t>202604_LIXIL_サーモスＬ_業務用資料集_完成品価格表.pdf</t>
        </is>
      </c>
      <c r="M818" t="inlineStr">
        <is>
          <t>v0.6：同一価格表セクション内で凡例継承を確定。</t>
        </is>
      </c>
      <c r="N818" t="inlineStr">
        <is>
          <t>https://drive.google.com/file/d/1YUN-mtWYs48YBUHJk0C3vJXnhjyZFHyf/view</t>
        </is>
      </c>
    </row>
    <row r="819">
      <c r="A819" s="42" t="inlineStr">
        <is>
          <t>GSC-SL-000816</t>
        </is>
      </c>
      <c r="B819" t="inlineStr">
        <is>
          <t>SZ-SL-000816</t>
        </is>
      </c>
      <c r="C819" t="inlineStr">
        <is>
          <t>WT-SL-MENKOSHI-HIKI</t>
        </is>
      </c>
      <c r="D819" t="inlineStr">
        <is>
          <t>SP-SL-GRILLE-IGETA</t>
        </is>
      </c>
      <c r="E819" t="inlineStr">
        <is>
          <t>17611</t>
        </is>
      </c>
      <c r="F819" t="b">
        <v>1</v>
      </c>
      <c r="G819" t="n">
        <v>109</v>
      </c>
      <c r="H819" t="inlineStr">
        <is>
          <t>無印</t>
        </is>
      </c>
      <c r="I819" t="n">
        <v>108</v>
      </c>
      <c r="J819" t="inlineStr">
        <is>
          <t>P108|無印</t>
        </is>
      </c>
      <c r="K819" t="inlineStr">
        <is>
          <t>同一価格表・前頁凡例を継承</t>
        </is>
      </c>
      <c r="L819" t="inlineStr">
        <is>
          <t>202604_LIXIL_サーモスＬ_業務用資料集_完成品価格表.pdf</t>
        </is>
      </c>
      <c r="M819" t="inlineStr">
        <is>
          <t>v0.6：同一価格表セクション内で凡例継承を確定。</t>
        </is>
      </c>
      <c r="N819" t="inlineStr">
        <is>
          <t>https://drive.google.com/file/d/1YUN-mtWYs48YBUHJk0C3vJXnhjyZFHyf/view</t>
        </is>
      </c>
    </row>
    <row r="820">
      <c r="A820" s="42" t="inlineStr">
        <is>
          <t>GSC-SL-000817</t>
        </is>
      </c>
      <c r="B820" t="inlineStr">
        <is>
          <t>SZ-SL-000817</t>
        </is>
      </c>
      <c r="C820" t="inlineStr">
        <is>
          <t>WT-SL-MENKOSHI-HIKI</t>
        </is>
      </c>
      <c r="D820" t="inlineStr">
        <is>
          <t>SP-SL-GRILLE-IGETA</t>
        </is>
      </c>
      <c r="E820" t="inlineStr">
        <is>
          <t>18011</t>
        </is>
      </c>
      <c r="F820" t="b">
        <v>1</v>
      </c>
      <c r="G820" t="n">
        <v>109</v>
      </c>
      <c r="H820" t="inlineStr">
        <is>
          <t>無印</t>
        </is>
      </c>
      <c r="I820" t="n">
        <v>108</v>
      </c>
      <c r="J820" t="inlineStr">
        <is>
          <t>P108|無印</t>
        </is>
      </c>
      <c r="K820" t="inlineStr">
        <is>
          <t>同一価格表・前頁凡例を継承</t>
        </is>
      </c>
      <c r="L820" t="inlineStr">
        <is>
          <t>202604_LIXIL_サーモスＬ_業務用資料集_完成品価格表.pdf</t>
        </is>
      </c>
      <c r="M820" t="inlineStr">
        <is>
          <t>v0.6：同一価格表セクション内で凡例継承を確定。</t>
        </is>
      </c>
      <c r="N820" t="inlineStr">
        <is>
          <t>https://drive.google.com/file/d/1YUN-mtWYs48YBUHJk0C3vJXnhjyZFHyf/view</t>
        </is>
      </c>
    </row>
    <row r="821">
      <c r="A821" s="42" t="inlineStr">
        <is>
          <t>GSC-SL-000818</t>
        </is>
      </c>
      <c r="B821" t="inlineStr">
        <is>
          <t>SZ-SL-000818</t>
        </is>
      </c>
      <c r="C821" t="inlineStr">
        <is>
          <t>WT-SL-MENKOSHI-HIKI</t>
        </is>
      </c>
      <c r="D821" t="inlineStr">
        <is>
          <t>SP-SL-GRILLE-IGETA</t>
        </is>
      </c>
      <c r="E821" t="inlineStr">
        <is>
          <t>18611</t>
        </is>
      </c>
      <c r="F821" t="b">
        <v>1</v>
      </c>
      <c r="G821" t="n">
        <v>109</v>
      </c>
      <c r="H821" t="inlineStr">
        <is>
          <t>★</t>
        </is>
      </c>
      <c r="I821" t="n">
        <v>108</v>
      </c>
      <c r="J821" t="inlineStr">
        <is>
          <t>P108|★</t>
        </is>
      </c>
      <c r="K821" t="inlineStr">
        <is>
          <t>同一価格表・前頁凡例を継承</t>
        </is>
      </c>
      <c r="L821" t="inlineStr">
        <is>
          <t>202604_LIXIL_サーモスＬ_業務用資料集_完成品価格表.pdf</t>
        </is>
      </c>
      <c r="M821" t="inlineStr">
        <is>
          <t>v0.6：同一価格表セクション内で凡例継承を確定。</t>
        </is>
      </c>
      <c r="N821" t="inlineStr">
        <is>
          <t>https://drive.google.com/file/d/1YUN-mtWYs48YBUHJk0C3vJXnhjyZFHyf/view</t>
        </is>
      </c>
    </row>
    <row r="822">
      <c r="A822" s="42" t="inlineStr">
        <is>
          <t>GSC-SL-000819</t>
        </is>
      </c>
      <c r="B822" t="inlineStr">
        <is>
          <t>SZ-SL-000819</t>
        </is>
      </c>
      <c r="C822" t="inlineStr">
        <is>
          <t>WT-SL-MENKOSHI-HIKI</t>
        </is>
      </c>
      <c r="D822" t="inlineStr">
        <is>
          <t>SP-SL-GRILLE-V</t>
        </is>
      </c>
      <c r="E822" t="inlineStr">
        <is>
          <t>17411</t>
        </is>
      </c>
      <c r="F822" t="b">
        <v>1</v>
      </c>
      <c r="G822" t="n">
        <v>109</v>
      </c>
      <c r="H822" t="inlineStr">
        <is>
          <t>無印</t>
        </is>
      </c>
      <c r="I822" t="n">
        <v>108</v>
      </c>
      <c r="J822" t="inlineStr">
        <is>
          <t>P108|無印</t>
        </is>
      </c>
      <c r="K822" t="inlineStr">
        <is>
          <t>同一価格表・前頁凡例を継承</t>
        </is>
      </c>
      <c r="L822" t="inlineStr">
        <is>
          <t>202604_LIXIL_サーモスＬ_業務用資料集_完成品価格表.pdf</t>
        </is>
      </c>
      <c r="M822" t="inlineStr">
        <is>
          <t>v0.6：同一価格表セクション内で凡例継承を確定。</t>
        </is>
      </c>
      <c r="N822" t="inlineStr">
        <is>
          <t>https://drive.google.com/file/d/1YUN-mtWYs48YBUHJk0C3vJXnhjyZFHyf/view</t>
        </is>
      </c>
    </row>
    <row r="823">
      <c r="A823" s="42" t="inlineStr">
        <is>
          <t>GSC-SL-000820</t>
        </is>
      </c>
      <c r="B823" t="inlineStr">
        <is>
          <t>SZ-SL-000820</t>
        </is>
      </c>
      <c r="C823" t="inlineStr">
        <is>
          <t>WT-SL-MENKOSHI-HIKI</t>
        </is>
      </c>
      <c r="D823" t="inlineStr">
        <is>
          <t>SP-SL-GRILLE-V</t>
        </is>
      </c>
      <c r="E823" t="inlineStr">
        <is>
          <t>17611</t>
        </is>
      </c>
      <c r="F823" t="b">
        <v>1</v>
      </c>
      <c r="G823" t="n">
        <v>109</v>
      </c>
      <c r="H823" t="inlineStr">
        <is>
          <t>無印</t>
        </is>
      </c>
      <c r="I823" t="n">
        <v>108</v>
      </c>
      <c r="J823" t="inlineStr">
        <is>
          <t>P108|無印</t>
        </is>
      </c>
      <c r="K823" t="inlineStr">
        <is>
          <t>同一価格表・前頁凡例を継承</t>
        </is>
      </c>
      <c r="L823" t="inlineStr">
        <is>
          <t>202604_LIXIL_サーモスＬ_業務用資料集_完成品価格表.pdf</t>
        </is>
      </c>
      <c r="M823" t="inlineStr">
        <is>
          <t>v0.6：同一価格表セクション内で凡例継承を確定。</t>
        </is>
      </c>
      <c r="N823" t="inlineStr">
        <is>
          <t>https://drive.google.com/file/d/1YUN-mtWYs48YBUHJk0C3vJXnhjyZFHyf/view</t>
        </is>
      </c>
    </row>
    <row r="824">
      <c r="A824" s="42" t="inlineStr">
        <is>
          <t>GSC-SL-000821</t>
        </is>
      </c>
      <c r="B824" t="inlineStr">
        <is>
          <t>SZ-SL-000821</t>
        </is>
      </c>
      <c r="C824" t="inlineStr">
        <is>
          <t>WT-SL-MENKOSHI-HIKI</t>
        </is>
      </c>
      <c r="D824" t="inlineStr">
        <is>
          <t>SP-SL-GRILLE-V</t>
        </is>
      </c>
      <c r="E824" t="inlineStr">
        <is>
          <t>18011</t>
        </is>
      </c>
      <c r="F824" t="b">
        <v>1</v>
      </c>
      <c r="G824" t="n">
        <v>109</v>
      </c>
      <c r="H824" t="inlineStr">
        <is>
          <t>無印</t>
        </is>
      </c>
      <c r="I824" t="n">
        <v>108</v>
      </c>
      <c r="J824" t="inlineStr">
        <is>
          <t>P108|無印</t>
        </is>
      </c>
      <c r="K824" t="inlineStr">
        <is>
          <t>同一価格表・前頁凡例を継承</t>
        </is>
      </c>
      <c r="L824" t="inlineStr">
        <is>
          <t>202604_LIXIL_サーモスＬ_業務用資料集_完成品価格表.pdf</t>
        </is>
      </c>
      <c r="M824" t="inlineStr">
        <is>
          <t>v0.6：同一価格表セクション内で凡例継承を確定。</t>
        </is>
      </c>
      <c r="N824" t="inlineStr">
        <is>
          <t>https://drive.google.com/file/d/1YUN-mtWYs48YBUHJk0C3vJXnhjyZFHyf/view</t>
        </is>
      </c>
    </row>
    <row r="825">
      <c r="A825" s="42" t="inlineStr">
        <is>
          <t>GSC-SL-000822</t>
        </is>
      </c>
      <c r="B825" t="inlineStr">
        <is>
          <t>SZ-SL-000822</t>
        </is>
      </c>
      <c r="C825" t="inlineStr">
        <is>
          <t>WT-SL-MENKOSHI-HIKI</t>
        </is>
      </c>
      <c r="D825" t="inlineStr">
        <is>
          <t>SP-SL-GRILLE-V</t>
        </is>
      </c>
      <c r="E825" t="inlineStr">
        <is>
          <t>18611</t>
        </is>
      </c>
      <c r="F825" t="b">
        <v>1</v>
      </c>
      <c r="G825" t="n">
        <v>109</v>
      </c>
      <c r="H825" t="inlineStr">
        <is>
          <t>★</t>
        </is>
      </c>
      <c r="I825" t="n">
        <v>108</v>
      </c>
      <c r="J825" t="inlineStr">
        <is>
          <t>P108|★</t>
        </is>
      </c>
      <c r="K825" t="inlineStr">
        <is>
          <t>同一価格表・前頁凡例を継承</t>
        </is>
      </c>
      <c r="L825" t="inlineStr">
        <is>
          <t>202604_LIXIL_サーモスＬ_業務用資料集_完成品価格表.pdf</t>
        </is>
      </c>
      <c r="M825" t="inlineStr">
        <is>
          <t>v0.6：同一価格表セクション内で凡例継承を確定。</t>
        </is>
      </c>
      <c r="N825" t="inlineStr">
        <is>
          <t>https://drive.google.com/file/d/1YUN-mtWYs48YBUHJk0C3vJXnhjyZFHyf/view</t>
        </is>
      </c>
    </row>
    <row r="826">
      <c r="A826" s="42" t="inlineStr">
        <is>
          <t>GSC-SL-000823</t>
        </is>
      </c>
      <c r="B826" t="inlineStr">
        <is>
          <t>SZ-SL-000823</t>
        </is>
      </c>
      <c r="C826" t="inlineStr">
        <is>
          <t>WT-SL-MENKOSHI-HIKI</t>
        </is>
      </c>
      <c r="D826" t="inlineStr">
        <is>
          <t>SP-SL-GRILLE-DIA</t>
        </is>
      </c>
      <c r="E826" t="inlineStr">
        <is>
          <t>11413</t>
        </is>
      </c>
      <c r="F826" t="b">
        <v>1</v>
      </c>
      <c r="G826" t="n">
        <v>111</v>
      </c>
      <c r="H826" t="inlineStr">
        <is>
          <t>無印</t>
        </is>
      </c>
      <c r="I826" t="n">
        <v>110</v>
      </c>
      <c r="J826" t="inlineStr">
        <is>
          <t>P110|無印</t>
        </is>
      </c>
      <c r="K826" t="inlineStr">
        <is>
          <t>同一価格表・前頁凡例を継承</t>
        </is>
      </c>
      <c r="L826" t="inlineStr">
        <is>
          <t>202604_LIXIL_サーモスＬ_業務用資料集_完成品価格表.pdf</t>
        </is>
      </c>
      <c r="M826" t="inlineStr">
        <is>
          <t>v0.6：同一価格表セクション内で凡例継承を確定。</t>
        </is>
      </c>
      <c r="N826" t="inlineStr">
        <is>
          <t>https://drive.google.com/file/d/1YUN-mtWYs48YBUHJk0C3vJXnhjyZFHyf/view</t>
        </is>
      </c>
    </row>
    <row r="827">
      <c r="A827" s="42" t="inlineStr">
        <is>
          <t>GSC-SL-000824</t>
        </is>
      </c>
      <c r="B827" t="inlineStr">
        <is>
          <t>SZ-SL-000824</t>
        </is>
      </c>
      <c r="C827" t="inlineStr">
        <is>
          <t>WT-SL-MENKOSHI-HIKI</t>
        </is>
      </c>
      <c r="D827" t="inlineStr">
        <is>
          <t>SP-SL-GRILLE-DIA</t>
        </is>
      </c>
      <c r="E827" t="inlineStr">
        <is>
          <t>11913</t>
        </is>
      </c>
      <c r="F827" t="b">
        <v>1</v>
      </c>
      <c r="G827" t="n">
        <v>111</v>
      </c>
      <c r="H827" t="inlineStr">
        <is>
          <t>無印</t>
        </is>
      </c>
      <c r="I827" t="n">
        <v>110</v>
      </c>
      <c r="J827" t="inlineStr">
        <is>
          <t>P110|無印</t>
        </is>
      </c>
      <c r="K827" t="inlineStr">
        <is>
          <t>同一価格表・前頁凡例を継承</t>
        </is>
      </c>
      <c r="L827" t="inlineStr">
        <is>
          <t>202604_LIXIL_サーモスＬ_業務用資料集_完成品価格表.pdf</t>
        </is>
      </c>
      <c r="M827" t="inlineStr">
        <is>
          <t>v0.6：同一価格表セクション内で凡例継承を確定。</t>
        </is>
      </c>
      <c r="N827" t="inlineStr">
        <is>
          <t>https://drive.google.com/file/d/1YUN-mtWYs48YBUHJk0C3vJXnhjyZFHyf/view</t>
        </is>
      </c>
    </row>
    <row r="828">
      <c r="A828" s="42" t="inlineStr">
        <is>
          <t>GSC-SL-000825</t>
        </is>
      </c>
      <c r="B828" t="inlineStr">
        <is>
          <t>SZ-SL-000825</t>
        </is>
      </c>
      <c r="C828" t="inlineStr">
        <is>
          <t>WT-SL-MENKOSHI-HIKI</t>
        </is>
      </c>
      <c r="D828" t="inlineStr">
        <is>
          <t>SP-SL-GRILLE-H</t>
        </is>
      </c>
      <c r="E828" t="inlineStr">
        <is>
          <t>11413</t>
        </is>
      </c>
      <c r="F828" t="b">
        <v>1</v>
      </c>
      <c r="G828" t="n">
        <v>111</v>
      </c>
      <c r="H828" t="inlineStr">
        <is>
          <t>無印</t>
        </is>
      </c>
      <c r="I828" t="n">
        <v>110</v>
      </c>
      <c r="J828" t="inlineStr">
        <is>
          <t>P110|無印</t>
        </is>
      </c>
      <c r="K828" t="inlineStr">
        <is>
          <t>同一価格表・前頁凡例を継承</t>
        </is>
      </c>
      <c r="L828" t="inlineStr">
        <is>
          <t>202604_LIXIL_サーモスＬ_業務用資料集_完成品価格表.pdf</t>
        </is>
      </c>
      <c r="M828" t="inlineStr">
        <is>
          <t>v0.6：同一価格表セクション内で凡例継承を確定。</t>
        </is>
      </c>
      <c r="N828" t="inlineStr">
        <is>
          <t>https://drive.google.com/file/d/1YUN-mtWYs48YBUHJk0C3vJXnhjyZFHyf/view</t>
        </is>
      </c>
    </row>
    <row r="829">
      <c r="A829" s="42" t="inlineStr">
        <is>
          <t>GSC-SL-000826</t>
        </is>
      </c>
      <c r="B829" t="inlineStr">
        <is>
          <t>SZ-SL-000826</t>
        </is>
      </c>
      <c r="C829" t="inlineStr">
        <is>
          <t>WT-SL-MENKOSHI-HIKI</t>
        </is>
      </c>
      <c r="D829" t="inlineStr">
        <is>
          <t>SP-SL-GRILLE-H</t>
        </is>
      </c>
      <c r="E829" t="inlineStr">
        <is>
          <t>11913</t>
        </is>
      </c>
      <c r="F829" t="b">
        <v>1</v>
      </c>
      <c r="G829" t="n">
        <v>111</v>
      </c>
      <c r="H829" t="inlineStr">
        <is>
          <t>無印</t>
        </is>
      </c>
      <c r="I829" t="n">
        <v>110</v>
      </c>
      <c r="J829" t="inlineStr">
        <is>
          <t>P110|無印</t>
        </is>
      </c>
      <c r="K829" t="inlineStr">
        <is>
          <t>同一価格表・前頁凡例を継承</t>
        </is>
      </c>
      <c r="L829" t="inlineStr">
        <is>
          <t>202604_LIXIL_サーモスＬ_業務用資料集_完成品価格表.pdf</t>
        </is>
      </c>
      <c r="M829" t="inlineStr">
        <is>
          <t>v0.6：同一価格表セクション内で凡例継承を確定。</t>
        </is>
      </c>
      <c r="N829" t="inlineStr">
        <is>
          <t>https://drive.google.com/file/d/1YUN-mtWYs48YBUHJk0C3vJXnhjyZFHyf/view</t>
        </is>
      </c>
    </row>
    <row r="830">
      <c r="A830" s="42" t="inlineStr">
        <is>
          <t>GSC-SL-000827</t>
        </is>
      </c>
      <c r="B830" t="inlineStr">
        <is>
          <t>SZ-SL-000827</t>
        </is>
      </c>
      <c r="C830" t="inlineStr">
        <is>
          <t>WT-SL-MENKOSHI-HIKI</t>
        </is>
      </c>
      <c r="D830" t="inlineStr">
        <is>
          <t>SP-SL-GRILLE-IGETA</t>
        </is>
      </c>
      <c r="E830" t="inlineStr">
        <is>
          <t>11413</t>
        </is>
      </c>
      <c r="F830" t="b">
        <v>1</v>
      </c>
      <c r="G830" t="n">
        <v>111</v>
      </c>
      <c r="H830" t="inlineStr">
        <is>
          <t>無印</t>
        </is>
      </c>
      <c r="I830" t="n">
        <v>110</v>
      </c>
      <c r="J830" t="inlineStr">
        <is>
          <t>P110|無印</t>
        </is>
      </c>
      <c r="K830" t="inlineStr">
        <is>
          <t>同一価格表・前頁凡例を継承</t>
        </is>
      </c>
      <c r="L830" t="inlineStr">
        <is>
          <t>202604_LIXIL_サーモスＬ_業務用資料集_完成品価格表.pdf</t>
        </is>
      </c>
      <c r="M830" t="inlineStr">
        <is>
          <t>v0.6：同一価格表セクション内で凡例継承を確定。</t>
        </is>
      </c>
      <c r="N830" t="inlineStr">
        <is>
          <t>https://drive.google.com/file/d/1YUN-mtWYs48YBUHJk0C3vJXnhjyZFHyf/view</t>
        </is>
      </c>
    </row>
    <row r="831">
      <c r="A831" s="42" t="inlineStr">
        <is>
          <t>GSC-SL-000828</t>
        </is>
      </c>
      <c r="B831" t="inlineStr">
        <is>
          <t>SZ-SL-000828</t>
        </is>
      </c>
      <c r="C831" t="inlineStr">
        <is>
          <t>WT-SL-MENKOSHI-HIKI</t>
        </is>
      </c>
      <c r="D831" t="inlineStr">
        <is>
          <t>SP-SL-GRILLE-IGETA</t>
        </is>
      </c>
      <c r="E831" t="inlineStr">
        <is>
          <t>11913</t>
        </is>
      </c>
      <c r="F831" t="b">
        <v>1</v>
      </c>
      <c r="G831" t="n">
        <v>111</v>
      </c>
      <c r="H831" t="inlineStr">
        <is>
          <t>無印</t>
        </is>
      </c>
      <c r="I831" t="n">
        <v>110</v>
      </c>
      <c r="J831" t="inlineStr">
        <is>
          <t>P110|無印</t>
        </is>
      </c>
      <c r="K831" t="inlineStr">
        <is>
          <t>同一価格表・前頁凡例を継承</t>
        </is>
      </c>
      <c r="L831" t="inlineStr">
        <is>
          <t>202604_LIXIL_サーモスＬ_業務用資料集_完成品価格表.pdf</t>
        </is>
      </c>
      <c r="M831" t="inlineStr">
        <is>
          <t>v0.6：同一価格表セクション内で凡例継承を確定。</t>
        </is>
      </c>
      <c r="N831" t="inlineStr">
        <is>
          <t>https://drive.google.com/file/d/1YUN-mtWYs48YBUHJk0C3vJXnhjyZFHyf/view</t>
        </is>
      </c>
    </row>
    <row r="832">
      <c r="A832" s="42" t="inlineStr">
        <is>
          <t>GSC-SL-000829</t>
        </is>
      </c>
      <c r="B832" t="inlineStr">
        <is>
          <t>SZ-SL-000829</t>
        </is>
      </c>
      <c r="C832" t="inlineStr">
        <is>
          <t>WT-SL-MENKOSHI-HIKI</t>
        </is>
      </c>
      <c r="D832" t="inlineStr">
        <is>
          <t>SP-SL-GRILLE-V</t>
        </is>
      </c>
      <c r="E832" t="inlineStr">
        <is>
          <t>11413</t>
        </is>
      </c>
      <c r="F832" t="b">
        <v>1</v>
      </c>
      <c r="G832" t="n">
        <v>111</v>
      </c>
      <c r="H832" t="inlineStr">
        <is>
          <t>無印</t>
        </is>
      </c>
      <c r="I832" t="n">
        <v>110</v>
      </c>
      <c r="J832" t="inlineStr">
        <is>
          <t>P110|無印</t>
        </is>
      </c>
      <c r="K832" t="inlineStr">
        <is>
          <t>同一価格表・前頁凡例を継承</t>
        </is>
      </c>
      <c r="L832" t="inlineStr">
        <is>
          <t>202604_LIXIL_サーモスＬ_業務用資料集_完成品価格表.pdf</t>
        </is>
      </c>
      <c r="M832" t="inlineStr">
        <is>
          <t>v0.6：同一価格表セクション内で凡例継承を確定。</t>
        </is>
      </c>
      <c r="N832" t="inlineStr">
        <is>
          <t>https://drive.google.com/file/d/1YUN-mtWYs48YBUHJk0C3vJXnhjyZFHyf/view</t>
        </is>
      </c>
    </row>
    <row r="833">
      <c r="A833" s="42" t="inlineStr">
        <is>
          <t>GSC-SL-000830</t>
        </is>
      </c>
      <c r="B833" t="inlineStr">
        <is>
          <t>SZ-SL-000830</t>
        </is>
      </c>
      <c r="C833" t="inlineStr">
        <is>
          <t>WT-SL-MENKOSHI-HIKI</t>
        </is>
      </c>
      <c r="D833" t="inlineStr">
        <is>
          <t>SP-SL-GRILLE-V</t>
        </is>
      </c>
      <c r="E833" t="inlineStr">
        <is>
          <t>11913</t>
        </is>
      </c>
      <c r="F833" t="b">
        <v>1</v>
      </c>
      <c r="G833" t="n">
        <v>111</v>
      </c>
      <c r="H833" t="inlineStr">
        <is>
          <t>無印</t>
        </is>
      </c>
      <c r="I833" t="n">
        <v>110</v>
      </c>
      <c r="J833" t="inlineStr">
        <is>
          <t>P110|無印</t>
        </is>
      </c>
      <c r="K833" t="inlineStr">
        <is>
          <t>同一価格表・前頁凡例を継承</t>
        </is>
      </c>
      <c r="L833" t="inlineStr">
        <is>
          <t>202604_LIXIL_サーモスＬ_業務用資料集_完成品価格表.pdf</t>
        </is>
      </c>
      <c r="M833" t="inlineStr">
        <is>
          <t>v0.6：同一価格表セクション内で凡例継承を確定。</t>
        </is>
      </c>
      <c r="N833" t="inlineStr">
        <is>
          <t>https://drive.google.com/file/d/1YUN-mtWYs48YBUHJk0C3vJXnhjyZFHyf/view</t>
        </is>
      </c>
    </row>
    <row r="834">
      <c r="A834" s="42" t="inlineStr">
        <is>
          <t>GSC-SL-000831</t>
        </is>
      </c>
      <c r="B834" t="inlineStr">
        <is>
          <t>SZ-SL-000831</t>
        </is>
      </c>
      <c r="C834" t="inlineStr">
        <is>
          <t>WT-SL-MENKOSHI-HIKI</t>
        </is>
      </c>
      <c r="D834" t="inlineStr">
        <is>
          <t>SP-SL-GRILLE-DIA</t>
        </is>
      </c>
      <c r="E834" t="inlineStr">
        <is>
          <t>15013</t>
        </is>
      </c>
      <c r="F834" t="b">
        <v>1</v>
      </c>
      <c r="G834" t="n">
        <v>112</v>
      </c>
      <c r="H834" t="inlineStr">
        <is>
          <t>無印</t>
        </is>
      </c>
      <c r="I834" t="n">
        <v>112</v>
      </c>
      <c r="J834" t="inlineStr">
        <is>
          <t>P112|無印</t>
        </is>
      </c>
      <c r="K834" t="inlineStr">
        <is>
          <t>同頁凡例へ直接連動</t>
        </is>
      </c>
      <c r="L834" t="inlineStr">
        <is>
          <t>202604_LIXIL_サーモスＬ_業務用資料集_完成品価格表.pdf</t>
        </is>
      </c>
      <c r="M834" t="inlineStr">
        <is>
          <t>v0.6：同一価格表セクション内で凡例継承を確定。</t>
        </is>
      </c>
      <c r="N834" t="inlineStr">
        <is>
          <t>https://drive.google.com/file/d/1YUN-mtWYs48YBUHJk0C3vJXnhjyZFHyf/view</t>
        </is>
      </c>
    </row>
    <row r="835">
      <c r="A835" s="42" t="inlineStr">
        <is>
          <t>GSC-SL-000832</t>
        </is>
      </c>
      <c r="B835" t="inlineStr">
        <is>
          <t>SZ-SL-000832</t>
        </is>
      </c>
      <c r="C835" t="inlineStr">
        <is>
          <t>WT-SL-MENKOSHI-HIKI</t>
        </is>
      </c>
      <c r="D835" t="inlineStr">
        <is>
          <t>SP-SL-GRILLE-DIA</t>
        </is>
      </c>
      <c r="E835" t="inlineStr">
        <is>
          <t>16013</t>
        </is>
      </c>
      <c r="F835" t="b">
        <v>1</v>
      </c>
      <c r="G835" t="n">
        <v>112</v>
      </c>
      <c r="H835" t="inlineStr">
        <is>
          <t>★</t>
        </is>
      </c>
      <c r="I835" t="n">
        <v>112</v>
      </c>
      <c r="J835" t="inlineStr">
        <is>
          <t>P112|★</t>
        </is>
      </c>
      <c r="K835" t="inlineStr">
        <is>
          <t>同頁凡例へ直接連動</t>
        </is>
      </c>
      <c r="L835" t="inlineStr">
        <is>
          <t>202604_LIXIL_サーモスＬ_業務用資料集_完成品価格表.pdf</t>
        </is>
      </c>
      <c r="M835" t="inlineStr">
        <is>
          <t>v0.6：同一価格表セクション内で凡例継承を確定。</t>
        </is>
      </c>
      <c r="N835" t="inlineStr">
        <is>
          <t>https://drive.google.com/file/d/1YUN-mtWYs48YBUHJk0C3vJXnhjyZFHyf/view</t>
        </is>
      </c>
    </row>
    <row r="836">
      <c r="A836" s="42" t="inlineStr">
        <is>
          <t>GSC-SL-000833</t>
        </is>
      </c>
      <c r="B836" t="inlineStr">
        <is>
          <t>SZ-SL-000833</t>
        </is>
      </c>
      <c r="C836" t="inlineStr">
        <is>
          <t>WT-SL-MENKOSHI-HIKI</t>
        </is>
      </c>
      <c r="D836" t="inlineStr">
        <is>
          <t>SP-SL-GRILLE-DIA</t>
        </is>
      </c>
      <c r="E836" t="inlineStr">
        <is>
          <t>16513</t>
        </is>
      </c>
      <c r="F836" t="b">
        <v>1</v>
      </c>
      <c r="G836" t="n">
        <v>112</v>
      </c>
      <c r="H836" t="inlineStr">
        <is>
          <t>★</t>
        </is>
      </c>
      <c r="I836" t="n">
        <v>112</v>
      </c>
      <c r="J836" t="inlineStr">
        <is>
          <t>P112|★</t>
        </is>
      </c>
      <c r="K836" t="inlineStr">
        <is>
          <t>同頁凡例へ直接連動</t>
        </is>
      </c>
      <c r="L836" t="inlineStr">
        <is>
          <t>202604_LIXIL_サーモスＬ_業務用資料集_完成品価格表.pdf</t>
        </is>
      </c>
      <c r="M836" t="inlineStr">
        <is>
          <t>v0.6：同一価格表セクション内で凡例継承を確定。</t>
        </is>
      </c>
      <c r="N836" t="inlineStr">
        <is>
          <t>https://drive.google.com/file/d/1YUN-mtWYs48YBUHJk0C3vJXnhjyZFHyf/view</t>
        </is>
      </c>
    </row>
    <row r="837">
      <c r="A837" s="42" t="inlineStr">
        <is>
          <t>GSC-SL-000834</t>
        </is>
      </c>
      <c r="B837" t="inlineStr">
        <is>
          <t>SZ-SL-000834</t>
        </is>
      </c>
      <c r="C837" t="inlineStr">
        <is>
          <t>WT-SL-MENKOSHI-HIKI</t>
        </is>
      </c>
      <c r="D837" t="inlineStr">
        <is>
          <t>SP-SL-GRILLE-H</t>
        </is>
      </c>
      <c r="E837" t="inlineStr">
        <is>
          <t>15013</t>
        </is>
      </c>
      <c r="F837" t="b">
        <v>0</v>
      </c>
      <c r="G837" t="n">
        <v>112</v>
      </c>
      <c r="H837" t="inlineStr">
        <is>
          <t>無印</t>
        </is>
      </c>
      <c r="I837" t="n">
        <v>112</v>
      </c>
      <c r="J837" t="inlineStr">
        <is>
          <t>P112|無印</t>
        </is>
      </c>
      <c r="K837" t="inlineStr">
        <is>
          <t>同頁凡例へ直接連動</t>
        </is>
      </c>
      <c r="L837" t="inlineStr">
        <is>
          <t>202604_LIXIL_サーモスＬ_業務用資料集_完成品価格表.pdf</t>
        </is>
      </c>
      <c r="M837" t="inlineStr">
        <is>
          <t>v0.6：同一価格表セクション内で凡例継承を確定。</t>
        </is>
      </c>
      <c r="N837" t="inlineStr">
        <is>
          <t>https://drive.google.com/file/d/1YUN-mtWYs48YBUHJk0C3vJXnhjyZFHyf/view</t>
        </is>
      </c>
    </row>
    <row r="838">
      <c r="A838" s="42" t="inlineStr">
        <is>
          <t>GSC-SL-000835</t>
        </is>
      </c>
      <c r="B838" t="inlineStr">
        <is>
          <t>SZ-SL-000835</t>
        </is>
      </c>
      <c r="C838" t="inlineStr">
        <is>
          <t>WT-SL-MENKOSHI-HIKI</t>
        </is>
      </c>
      <c r="D838" t="inlineStr">
        <is>
          <t>SP-SL-GRILLE-H</t>
        </is>
      </c>
      <c r="E838" t="inlineStr">
        <is>
          <t>16013</t>
        </is>
      </c>
      <c r="F838" t="b">
        <v>0</v>
      </c>
      <c r="G838" t="n">
        <v>112</v>
      </c>
      <c r="H838" t="inlineStr">
        <is>
          <t>★</t>
        </is>
      </c>
      <c r="I838" t="n">
        <v>112</v>
      </c>
      <c r="J838" t="inlineStr">
        <is>
          <t>P112|★</t>
        </is>
      </c>
      <c r="K838" t="inlineStr">
        <is>
          <t>同頁凡例へ直接連動</t>
        </is>
      </c>
      <c r="L838" t="inlineStr">
        <is>
          <t>202604_LIXIL_サーモスＬ_業務用資料集_完成品価格表.pdf</t>
        </is>
      </c>
      <c r="M838" t="inlineStr">
        <is>
          <t>v0.6：同一価格表セクション内で凡例継承を確定。</t>
        </is>
      </c>
      <c r="N838" t="inlineStr">
        <is>
          <t>https://drive.google.com/file/d/1YUN-mtWYs48YBUHJk0C3vJXnhjyZFHyf/view</t>
        </is>
      </c>
    </row>
    <row r="839">
      <c r="A839" s="42" t="inlineStr">
        <is>
          <t>GSC-SL-000836</t>
        </is>
      </c>
      <c r="B839" t="inlineStr">
        <is>
          <t>SZ-SL-000836</t>
        </is>
      </c>
      <c r="C839" t="inlineStr">
        <is>
          <t>WT-SL-MENKOSHI-HIKI</t>
        </is>
      </c>
      <c r="D839" t="inlineStr">
        <is>
          <t>SP-SL-GRILLE-H</t>
        </is>
      </c>
      <c r="E839" t="inlineStr">
        <is>
          <t>16513</t>
        </is>
      </c>
      <c r="F839" t="b">
        <v>0</v>
      </c>
      <c r="G839" t="n">
        <v>112</v>
      </c>
      <c r="H839" t="inlineStr">
        <is>
          <t>★</t>
        </is>
      </c>
      <c r="I839" t="n">
        <v>112</v>
      </c>
      <c r="J839" t="inlineStr">
        <is>
          <t>P112|★</t>
        </is>
      </c>
      <c r="K839" t="inlineStr">
        <is>
          <t>同頁凡例へ直接連動</t>
        </is>
      </c>
      <c r="L839" t="inlineStr">
        <is>
          <t>202604_LIXIL_サーモスＬ_業務用資料集_完成品価格表.pdf</t>
        </is>
      </c>
      <c r="M839" t="inlineStr">
        <is>
          <t>v0.6：同一価格表セクション内で凡例継承を確定。</t>
        </is>
      </c>
      <c r="N839" t="inlineStr">
        <is>
          <t>https://drive.google.com/file/d/1YUN-mtWYs48YBUHJk0C3vJXnhjyZFHyf/view</t>
        </is>
      </c>
    </row>
    <row r="840">
      <c r="A840" s="42" t="inlineStr">
        <is>
          <t>GSC-SL-000837</t>
        </is>
      </c>
      <c r="B840" t="inlineStr">
        <is>
          <t>SZ-SL-000837</t>
        </is>
      </c>
      <c r="C840" t="inlineStr">
        <is>
          <t>WT-SL-MENKOSHI-HIKI</t>
        </is>
      </c>
      <c r="D840" t="inlineStr">
        <is>
          <t>SP-SL-GRILLE-IGETA</t>
        </is>
      </c>
      <c r="E840" t="inlineStr">
        <is>
          <t>15013</t>
        </is>
      </c>
      <c r="F840" t="b">
        <v>1</v>
      </c>
      <c r="G840" t="n">
        <v>112</v>
      </c>
      <c r="H840" t="inlineStr">
        <is>
          <t>無印</t>
        </is>
      </c>
      <c r="I840" t="n">
        <v>112</v>
      </c>
      <c r="J840" t="inlineStr">
        <is>
          <t>P112|無印</t>
        </is>
      </c>
      <c r="K840" t="inlineStr">
        <is>
          <t>同頁凡例へ直接連動</t>
        </is>
      </c>
      <c r="L840" t="inlineStr">
        <is>
          <t>202604_LIXIL_サーモスＬ_業務用資料集_完成品価格表.pdf</t>
        </is>
      </c>
      <c r="M840" t="inlineStr">
        <is>
          <t>v0.6：同一価格表セクション内で凡例継承を確定。</t>
        </is>
      </c>
      <c r="N840" t="inlineStr">
        <is>
          <t>https://drive.google.com/file/d/1YUN-mtWYs48YBUHJk0C3vJXnhjyZFHyf/view</t>
        </is>
      </c>
    </row>
    <row r="841">
      <c r="A841" s="42" t="inlineStr">
        <is>
          <t>GSC-SL-000838</t>
        </is>
      </c>
      <c r="B841" t="inlineStr">
        <is>
          <t>SZ-SL-000838</t>
        </is>
      </c>
      <c r="C841" t="inlineStr">
        <is>
          <t>WT-SL-MENKOSHI-HIKI</t>
        </is>
      </c>
      <c r="D841" t="inlineStr">
        <is>
          <t>SP-SL-GRILLE-IGETA</t>
        </is>
      </c>
      <c r="E841" t="inlineStr">
        <is>
          <t>16013</t>
        </is>
      </c>
      <c r="F841" t="b">
        <v>1</v>
      </c>
      <c r="G841" t="n">
        <v>112</v>
      </c>
      <c r="H841" t="inlineStr">
        <is>
          <t>★</t>
        </is>
      </c>
      <c r="I841" t="n">
        <v>112</v>
      </c>
      <c r="J841" t="inlineStr">
        <is>
          <t>P112|★</t>
        </is>
      </c>
      <c r="K841" t="inlineStr">
        <is>
          <t>同頁凡例へ直接連動</t>
        </is>
      </c>
      <c r="L841" t="inlineStr">
        <is>
          <t>202604_LIXIL_サーモスＬ_業務用資料集_完成品価格表.pdf</t>
        </is>
      </c>
      <c r="M841" t="inlineStr">
        <is>
          <t>v0.6：同一価格表セクション内で凡例継承を確定。</t>
        </is>
      </c>
      <c r="N841" t="inlineStr">
        <is>
          <t>https://drive.google.com/file/d/1YUN-mtWYs48YBUHJk0C3vJXnhjyZFHyf/view</t>
        </is>
      </c>
    </row>
    <row r="842">
      <c r="A842" s="42" t="inlineStr">
        <is>
          <t>GSC-SL-000839</t>
        </is>
      </c>
      <c r="B842" t="inlineStr">
        <is>
          <t>SZ-SL-000839</t>
        </is>
      </c>
      <c r="C842" t="inlineStr">
        <is>
          <t>WT-SL-MENKOSHI-HIKI</t>
        </is>
      </c>
      <c r="D842" t="inlineStr">
        <is>
          <t>SP-SL-GRILLE-IGETA</t>
        </is>
      </c>
      <c r="E842" t="inlineStr">
        <is>
          <t>16513</t>
        </is>
      </c>
      <c r="F842" t="b">
        <v>1</v>
      </c>
      <c r="G842" t="n">
        <v>112</v>
      </c>
      <c r="H842" t="inlineStr">
        <is>
          <t>★</t>
        </is>
      </c>
      <c r="I842" t="n">
        <v>112</v>
      </c>
      <c r="J842" t="inlineStr">
        <is>
          <t>P112|★</t>
        </is>
      </c>
      <c r="K842" t="inlineStr">
        <is>
          <t>同頁凡例へ直接連動</t>
        </is>
      </c>
      <c r="L842" t="inlineStr">
        <is>
          <t>202604_LIXIL_サーモスＬ_業務用資料集_完成品価格表.pdf</t>
        </is>
      </c>
      <c r="M842" t="inlineStr">
        <is>
          <t>v0.6：同一価格表セクション内で凡例継承を確定。</t>
        </is>
      </c>
      <c r="N842" t="inlineStr">
        <is>
          <t>https://drive.google.com/file/d/1YUN-mtWYs48YBUHJk0C3vJXnhjyZFHyf/view</t>
        </is>
      </c>
    </row>
    <row r="843">
      <c r="A843" s="42" t="inlineStr">
        <is>
          <t>GSC-SL-000840</t>
        </is>
      </c>
      <c r="B843" t="inlineStr">
        <is>
          <t>SZ-SL-000840</t>
        </is>
      </c>
      <c r="C843" t="inlineStr">
        <is>
          <t>WT-SL-MENKOSHI-HIKI</t>
        </is>
      </c>
      <c r="D843" t="inlineStr">
        <is>
          <t>SP-SL-GRILLE-V</t>
        </is>
      </c>
      <c r="E843" t="inlineStr">
        <is>
          <t>15013</t>
        </is>
      </c>
      <c r="F843" t="b">
        <v>1</v>
      </c>
      <c r="G843" t="n">
        <v>112</v>
      </c>
      <c r="H843" t="inlineStr">
        <is>
          <t>無印</t>
        </is>
      </c>
      <c r="I843" t="n">
        <v>112</v>
      </c>
      <c r="J843" t="inlineStr">
        <is>
          <t>P112|無印</t>
        </is>
      </c>
      <c r="K843" t="inlineStr">
        <is>
          <t>同頁凡例へ直接連動</t>
        </is>
      </c>
      <c r="L843" t="inlineStr">
        <is>
          <t>202604_LIXIL_サーモスＬ_業務用資料集_完成品価格表.pdf</t>
        </is>
      </c>
      <c r="M843" t="inlineStr">
        <is>
          <t>v0.6：同一価格表セクション内で凡例継承を確定。</t>
        </is>
      </c>
      <c r="N843" t="inlineStr">
        <is>
          <t>https://drive.google.com/file/d/1YUN-mtWYs48YBUHJk0C3vJXnhjyZFHyf/view</t>
        </is>
      </c>
    </row>
    <row r="844">
      <c r="A844" s="42" t="inlineStr">
        <is>
          <t>GSC-SL-000841</t>
        </is>
      </c>
      <c r="B844" t="inlineStr">
        <is>
          <t>SZ-SL-000841</t>
        </is>
      </c>
      <c r="C844" t="inlineStr">
        <is>
          <t>WT-SL-MENKOSHI-HIKI</t>
        </is>
      </c>
      <c r="D844" t="inlineStr">
        <is>
          <t>SP-SL-GRILLE-V</t>
        </is>
      </c>
      <c r="E844" t="inlineStr">
        <is>
          <t>16013</t>
        </is>
      </c>
      <c r="F844" t="b">
        <v>1</v>
      </c>
      <c r="G844" t="n">
        <v>112</v>
      </c>
      <c r="H844" t="inlineStr">
        <is>
          <t>★</t>
        </is>
      </c>
      <c r="I844" t="n">
        <v>112</v>
      </c>
      <c r="J844" t="inlineStr">
        <is>
          <t>P112|★</t>
        </is>
      </c>
      <c r="K844" t="inlineStr">
        <is>
          <t>同頁凡例へ直接連動</t>
        </is>
      </c>
      <c r="L844" t="inlineStr">
        <is>
          <t>202604_LIXIL_サーモスＬ_業務用資料集_完成品価格表.pdf</t>
        </is>
      </c>
      <c r="M844" t="inlineStr">
        <is>
          <t>v0.6：同一価格表セクション内で凡例継承を確定。</t>
        </is>
      </c>
      <c r="N844" t="inlineStr">
        <is>
          <t>https://drive.google.com/file/d/1YUN-mtWYs48YBUHJk0C3vJXnhjyZFHyf/view</t>
        </is>
      </c>
    </row>
    <row r="845">
      <c r="A845" s="42" t="inlineStr">
        <is>
          <t>GSC-SL-000842</t>
        </is>
      </c>
      <c r="B845" t="inlineStr">
        <is>
          <t>SZ-SL-000842</t>
        </is>
      </c>
      <c r="C845" t="inlineStr">
        <is>
          <t>WT-SL-MENKOSHI-HIKI</t>
        </is>
      </c>
      <c r="D845" t="inlineStr">
        <is>
          <t>SP-SL-GRILLE-V</t>
        </is>
      </c>
      <c r="E845" t="inlineStr">
        <is>
          <t>16513</t>
        </is>
      </c>
      <c r="F845" t="b">
        <v>1</v>
      </c>
      <c r="G845" t="n">
        <v>112</v>
      </c>
      <c r="H845" t="inlineStr">
        <is>
          <t>★</t>
        </is>
      </c>
      <c r="I845" t="n">
        <v>112</v>
      </c>
      <c r="J845" t="inlineStr">
        <is>
          <t>P112|★</t>
        </is>
      </c>
      <c r="K845" t="inlineStr">
        <is>
          <t>同頁凡例へ直接連動</t>
        </is>
      </c>
      <c r="L845" t="inlineStr">
        <is>
          <t>202604_LIXIL_サーモスＬ_業務用資料集_完成品価格表.pdf</t>
        </is>
      </c>
      <c r="M845" t="inlineStr">
        <is>
          <t>v0.6：同一価格表セクション内で凡例継承を確定。</t>
        </is>
      </c>
      <c r="N845" t="inlineStr">
        <is>
          <t>https://drive.google.com/file/d/1YUN-mtWYs48YBUHJk0C3vJXnhjyZFHyf/view</t>
        </is>
      </c>
    </row>
    <row r="846">
      <c r="A846" s="42" t="inlineStr">
        <is>
          <t>GSC-SL-000843</t>
        </is>
      </c>
      <c r="B846" t="inlineStr">
        <is>
          <t>SZ-SL-000843</t>
        </is>
      </c>
      <c r="C846" t="inlineStr">
        <is>
          <t>WT-SL-TATE-SUBERI</t>
        </is>
      </c>
      <c r="D846" t="inlineStr">
        <is>
          <t>SP-SL-TATE-OP</t>
        </is>
      </c>
      <c r="E846" t="inlineStr">
        <is>
          <t>02109</t>
        </is>
      </c>
      <c r="F846" t="b">
        <v>0</v>
      </c>
      <c r="G846" t="n">
        <v>114</v>
      </c>
      <c r="H846" t="inlineStr">
        <is>
          <t>無印</t>
        </is>
      </c>
      <c r="I846" t="n">
        <v>114</v>
      </c>
      <c r="J846" t="inlineStr">
        <is>
          <t>P114|無印</t>
        </is>
      </c>
      <c r="K846" t="inlineStr">
        <is>
          <t>同頁凡例へ直接連動</t>
        </is>
      </c>
      <c r="L846" t="inlineStr">
        <is>
          <t>202604_LIXIL_サーモスＬ_業務用資料集_完成品価格表.pdf</t>
        </is>
      </c>
      <c r="M846" t="inlineStr">
        <is>
          <t>v0.6：同一価格表セクション内で凡例継承を確定。</t>
        </is>
      </c>
      <c r="N846" t="inlineStr">
        <is>
          <t>https://drive.google.com/file/d/1YUN-mtWYs48YBUHJk0C3vJXnhjyZFHyf/view</t>
        </is>
      </c>
    </row>
    <row r="847">
      <c r="A847" s="42" t="inlineStr">
        <is>
          <t>GSC-SL-000844</t>
        </is>
      </c>
      <c r="B847" t="inlineStr">
        <is>
          <t>SZ-SL-000844</t>
        </is>
      </c>
      <c r="C847" t="inlineStr">
        <is>
          <t>WT-SL-TATE-SUBERI</t>
        </is>
      </c>
      <c r="D847" t="inlineStr">
        <is>
          <t>SP-SL-TATE-OP</t>
        </is>
      </c>
      <c r="E847" t="inlineStr">
        <is>
          <t>02111</t>
        </is>
      </c>
      <c r="F847" t="b">
        <v>0</v>
      </c>
      <c r="G847" t="n">
        <v>114</v>
      </c>
      <c r="H847" t="inlineStr">
        <is>
          <t>無印</t>
        </is>
      </c>
      <c r="I847" t="n">
        <v>114</v>
      </c>
      <c r="J847" t="inlineStr">
        <is>
          <t>P114|無印</t>
        </is>
      </c>
      <c r="K847" t="inlineStr">
        <is>
          <t>同頁凡例へ直接連動</t>
        </is>
      </c>
      <c r="L847" t="inlineStr">
        <is>
          <t>202604_LIXIL_サーモスＬ_業務用資料集_完成品価格表.pdf</t>
        </is>
      </c>
      <c r="M847" t="inlineStr">
        <is>
          <t>v0.6：同一価格表セクション内で凡例継承を確定。</t>
        </is>
      </c>
      <c r="N847" t="inlineStr">
        <is>
          <t>https://drive.google.com/file/d/1YUN-mtWYs48YBUHJk0C3vJXnhjyZFHyf/view</t>
        </is>
      </c>
    </row>
    <row r="848">
      <c r="A848" s="42" t="inlineStr">
        <is>
          <t>GSC-SL-000845</t>
        </is>
      </c>
      <c r="B848" t="inlineStr">
        <is>
          <t>SZ-SL-000845</t>
        </is>
      </c>
      <c r="C848" t="inlineStr">
        <is>
          <t>WT-SL-TATE-SUBERI</t>
        </is>
      </c>
      <c r="D848" t="inlineStr">
        <is>
          <t>SP-SL-TATE-OP</t>
        </is>
      </c>
      <c r="E848" t="inlineStr">
        <is>
          <t>02113</t>
        </is>
      </c>
      <c r="F848" t="b">
        <v>0</v>
      </c>
      <c r="G848" t="n">
        <v>114</v>
      </c>
      <c r="H848" t="inlineStr">
        <is>
          <t>無印</t>
        </is>
      </c>
      <c r="I848" t="n">
        <v>114</v>
      </c>
      <c r="J848" t="inlineStr">
        <is>
          <t>P114|無印</t>
        </is>
      </c>
      <c r="K848" t="inlineStr">
        <is>
          <t>同頁凡例へ直接連動</t>
        </is>
      </c>
      <c r="L848" t="inlineStr">
        <is>
          <t>202604_LIXIL_サーモスＬ_業務用資料集_完成品価格表.pdf</t>
        </is>
      </c>
      <c r="M848" t="inlineStr">
        <is>
          <t>v0.6：同一価格表セクション内で凡例継承を確定。</t>
        </is>
      </c>
      <c r="N848" t="inlineStr">
        <is>
          <t>https://drive.google.com/file/d/1YUN-mtWYs48YBUHJk0C3vJXnhjyZFHyf/view</t>
        </is>
      </c>
    </row>
    <row r="849">
      <c r="A849" s="42" t="inlineStr">
        <is>
          <t>GSC-SL-000846</t>
        </is>
      </c>
      <c r="B849" t="inlineStr">
        <is>
          <t>SZ-SL-000846</t>
        </is>
      </c>
      <c r="C849" t="inlineStr">
        <is>
          <t>WT-SL-TATE-SUBERI</t>
        </is>
      </c>
      <c r="D849" t="inlineStr">
        <is>
          <t>SP-SL-TATE-OP</t>
        </is>
      </c>
      <c r="E849" t="inlineStr">
        <is>
          <t>02115</t>
        </is>
      </c>
      <c r="F849" t="b">
        <v>0</v>
      </c>
      <c r="G849" t="n">
        <v>114</v>
      </c>
      <c r="H849" t="inlineStr">
        <is>
          <t>無印</t>
        </is>
      </c>
      <c r="I849" t="n">
        <v>114</v>
      </c>
      <c r="J849" t="inlineStr">
        <is>
          <t>P114|無印</t>
        </is>
      </c>
      <c r="K849" t="inlineStr">
        <is>
          <t>同頁凡例へ直接連動</t>
        </is>
      </c>
      <c r="L849" t="inlineStr">
        <is>
          <t>202604_LIXIL_サーモスＬ_業務用資料集_完成品価格表.pdf</t>
        </is>
      </c>
      <c r="M849" t="inlineStr">
        <is>
          <t>v0.6：同一価格表セクション内で凡例継承を確定。</t>
        </is>
      </c>
      <c r="N849" t="inlineStr">
        <is>
          <t>https://drive.google.com/file/d/1YUN-mtWYs48YBUHJk0C3vJXnhjyZFHyf/view</t>
        </is>
      </c>
    </row>
    <row r="850">
      <c r="A850" s="42" t="inlineStr">
        <is>
          <t>GSC-SL-000847</t>
        </is>
      </c>
      <c r="B850" t="inlineStr">
        <is>
          <t>SZ-SL-000847</t>
        </is>
      </c>
      <c r="C850" t="inlineStr">
        <is>
          <t>WT-SL-TATE-SUBERI</t>
        </is>
      </c>
      <c r="D850" t="inlineStr">
        <is>
          <t>SP-SL-TATE-OP</t>
        </is>
      </c>
      <c r="E850" t="inlineStr">
        <is>
          <t>02309</t>
        </is>
      </c>
      <c r="F850" t="b">
        <v>0</v>
      </c>
      <c r="G850" t="n">
        <v>114</v>
      </c>
      <c r="H850" t="inlineStr">
        <is>
          <t>無印</t>
        </is>
      </c>
      <c r="I850" t="n">
        <v>114</v>
      </c>
      <c r="J850" t="inlineStr">
        <is>
          <t>P114|無印</t>
        </is>
      </c>
      <c r="K850" t="inlineStr">
        <is>
          <t>同頁凡例へ直接連動</t>
        </is>
      </c>
      <c r="L850" t="inlineStr">
        <is>
          <t>202604_LIXIL_サーモスＬ_業務用資料集_完成品価格表.pdf</t>
        </is>
      </c>
      <c r="M850" t="inlineStr">
        <is>
          <t>v0.6：同一価格表セクション内で凡例継承を確定。</t>
        </is>
      </c>
      <c r="N850" t="inlineStr">
        <is>
          <t>https://drive.google.com/file/d/1YUN-mtWYs48YBUHJk0C3vJXnhjyZFHyf/view</t>
        </is>
      </c>
    </row>
    <row r="851">
      <c r="A851" s="42" t="inlineStr">
        <is>
          <t>GSC-SL-000848</t>
        </is>
      </c>
      <c r="B851" t="inlineStr">
        <is>
          <t>SZ-SL-000848</t>
        </is>
      </c>
      <c r="C851" t="inlineStr">
        <is>
          <t>WT-SL-TATE-SUBERI</t>
        </is>
      </c>
      <c r="D851" t="inlineStr">
        <is>
          <t>SP-SL-TATE-OP</t>
        </is>
      </c>
      <c r="E851" t="inlineStr">
        <is>
          <t>02311</t>
        </is>
      </c>
      <c r="F851" t="b">
        <v>0</v>
      </c>
      <c r="G851" t="n">
        <v>114</v>
      </c>
      <c r="H851" t="inlineStr">
        <is>
          <t>無印</t>
        </is>
      </c>
      <c r="I851" t="n">
        <v>114</v>
      </c>
      <c r="J851" t="inlineStr">
        <is>
          <t>P114|無印</t>
        </is>
      </c>
      <c r="K851" t="inlineStr">
        <is>
          <t>同頁凡例へ直接連動</t>
        </is>
      </c>
      <c r="L851" t="inlineStr">
        <is>
          <t>202604_LIXIL_サーモスＬ_業務用資料集_完成品価格表.pdf</t>
        </is>
      </c>
      <c r="M851" t="inlineStr">
        <is>
          <t>v0.6：同一価格表セクション内で凡例継承を確定。</t>
        </is>
      </c>
      <c r="N851" t="inlineStr">
        <is>
          <t>https://drive.google.com/file/d/1YUN-mtWYs48YBUHJk0C3vJXnhjyZFHyf/view</t>
        </is>
      </c>
    </row>
    <row r="852">
      <c r="A852" s="42" t="inlineStr">
        <is>
          <t>GSC-SL-000849</t>
        </is>
      </c>
      <c r="B852" t="inlineStr">
        <is>
          <t>SZ-SL-000849</t>
        </is>
      </c>
      <c r="C852" t="inlineStr">
        <is>
          <t>WT-SL-TATE-SUBERI</t>
        </is>
      </c>
      <c r="D852" t="inlineStr">
        <is>
          <t>SP-SL-TATE-OP</t>
        </is>
      </c>
      <c r="E852" t="inlineStr">
        <is>
          <t>02313</t>
        </is>
      </c>
      <c r="F852" t="b">
        <v>0</v>
      </c>
      <c r="G852" t="n">
        <v>114</v>
      </c>
      <c r="H852" t="inlineStr">
        <is>
          <t>無印</t>
        </is>
      </c>
      <c r="I852" t="n">
        <v>114</v>
      </c>
      <c r="J852" t="inlineStr">
        <is>
          <t>P114|無印</t>
        </is>
      </c>
      <c r="K852" t="inlineStr">
        <is>
          <t>同頁凡例へ直接連動</t>
        </is>
      </c>
      <c r="L852" t="inlineStr">
        <is>
          <t>202604_LIXIL_サーモスＬ_業務用資料集_完成品価格表.pdf</t>
        </is>
      </c>
      <c r="M852" t="inlineStr">
        <is>
          <t>v0.6：同一価格表セクション内で凡例継承を確定。</t>
        </is>
      </c>
      <c r="N852" t="inlineStr">
        <is>
          <t>https://drive.google.com/file/d/1YUN-mtWYs48YBUHJk0C3vJXnhjyZFHyf/view</t>
        </is>
      </c>
    </row>
    <row r="853">
      <c r="A853" s="42" t="inlineStr">
        <is>
          <t>GSC-SL-000850</t>
        </is>
      </c>
      <c r="B853" t="inlineStr">
        <is>
          <t>SZ-SL-000850</t>
        </is>
      </c>
      <c r="C853" t="inlineStr">
        <is>
          <t>WT-SL-TATE-SUBERI</t>
        </is>
      </c>
      <c r="D853" t="inlineStr">
        <is>
          <t>SP-SL-TATE-OP</t>
        </is>
      </c>
      <c r="E853" t="inlineStr">
        <is>
          <t>02607</t>
        </is>
      </c>
      <c r="F853" t="b">
        <v>0</v>
      </c>
      <c r="G853" t="n">
        <v>114</v>
      </c>
      <c r="H853" t="inlineStr">
        <is>
          <t>無印</t>
        </is>
      </c>
      <c r="I853" t="n">
        <v>114</v>
      </c>
      <c r="J853" t="inlineStr">
        <is>
          <t>P114|無印</t>
        </is>
      </c>
      <c r="K853" t="inlineStr">
        <is>
          <t>同頁凡例へ直接連動</t>
        </is>
      </c>
      <c r="L853" t="inlineStr">
        <is>
          <t>202604_LIXIL_サーモスＬ_業務用資料集_完成品価格表.pdf</t>
        </is>
      </c>
      <c r="M853" t="inlineStr">
        <is>
          <t>v0.6：同一価格表セクション内で凡例継承を確定。</t>
        </is>
      </c>
      <c r="N853" t="inlineStr">
        <is>
          <t>https://drive.google.com/file/d/1YUN-mtWYs48YBUHJk0C3vJXnhjyZFHyf/view</t>
        </is>
      </c>
    </row>
    <row r="854">
      <c r="A854" s="42" t="inlineStr">
        <is>
          <t>GSC-SL-000851</t>
        </is>
      </c>
      <c r="B854" t="inlineStr">
        <is>
          <t>SZ-SL-000851</t>
        </is>
      </c>
      <c r="C854" t="inlineStr">
        <is>
          <t>WT-SL-TATE-SUBERI</t>
        </is>
      </c>
      <c r="D854" t="inlineStr">
        <is>
          <t>SP-SL-TATE-OP</t>
        </is>
      </c>
      <c r="E854" t="inlineStr">
        <is>
          <t>02609</t>
        </is>
      </c>
      <c r="F854" t="b">
        <v>0</v>
      </c>
      <c r="G854" t="n">
        <v>114</v>
      </c>
      <c r="H854" t="inlineStr">
        <is>
          <t>無印</t>
        </is>
      </c>
      <c r="I854" t="n">
        <v>114</v>
      </c>
      <c r="J854" t="inlineStr">
        <is>
          <t>P114|無印</t>
        </is>
      </c>
      <c r="K854" t="inlineStr">
        <is>
          <t>同頁凡例へ直接連動</t>
        </is>
      </c>
      <c r="L854" t="inlineStr">
        <is>
          <t>202604_LIXIL_サーモスＬ_業務用資料集_完成品価格表.pdf</t>
        </is>
      </c>
      <c r="M854" t="inlineStr">
        <is>
          <t>v0.6：同一価格表セクション内で凡例継承を確定。</t>
        </is>
      </c>
      <c r="N854" t="inlineStr">
        <is>
          <t>https://drive.google.com/file/d/1YUN-mtWYs48YBUHJk0C3vJXnhjyZFHyf/view</t>
        </is>
      </c>
    </row>
    <row r="855">
      <c r="A855" s="42" t="inlineStr">
        <is>
          <t>GSC-SL-000852</t>
        </is>
      </c>
      <c r="B855" t="inlineStr">
        <is>
          <t>SZ-SL-000852</t>
        </is>
      </c>
      <c r="C855" t="inlineStr">
        <is>
          <t>WT-SL-TATE-SUBERI</t>
        </is>
      </c>
      <c r="D855" t="inlineStr">
        <is>
          <t>SP-SL-TATE-OP</t>
        </is>
      </c>
      <c r="E855" t="inlineStr">
        <is>
          <t>02611</t>
        </is>
      </c>
      <c r="F855" t="b">
        <v>0</v>
      </c>
      <c r="G855" t="n">
        <v>114</v>
      </c>
      <c r="H855" t="inlineStr">
        <is>
          <t>無印</t>
        </is>
      </c>
      <c r="I855" t="n">
        <v>114</v>
      </c>
      <c r="J855" t="inlineStr">
        <is>
          <t>P114|無印</t>
        </is>
      </c>
      <c r="K855" t="inlineStr">
        <is>
          <t>同頁凡例へ直接連動</t>
        </is>
      </c>
      <c r="L855" t="inlineStr">
        <is>
          <t>202604_LIXIL_サーモスＬ_業務用資料集_完成品価格表.pdf</t>
        </is>
      </c>
      <c r="M855" t="inlineStr">
        <is>
          <t>v0.6：同一価格表セクション内で凡例継承を確定。</t>
        </is>
      </c>
      <c r="N855" t="inlineStr">
        <is>
          <t>https://drive.google.com/file/d/1YUN-mtWYs48YBUHJk0C3vJXnhjyZFHyf/view</t>
        </is>
      </c>
    </row>
    <row r="856">
      <c r="A856" s="42" t="inlineStr">
        <is>
          <t>GSC-SL-000853</t>
        </is>
      </c>
      <c r="B856" t="inlineStr">
        <is>
          <t>SZ-SL-000853</t>
        </is>
      </c>
      <c r="C856" t="inlineStr">
        <is>
          <t>WT-SL-TATE-SUBERI</t>
        </is>
      </c>
      <c r="D856" t="inlineStr">
        <is>
          <t>SP-SL-TATE-OP</t>
        </is>
      </c>
      <c r="E856" t="inlineStr">
        <is>
          <t>02613</t>
        </is>
      </c>
      <c r="F856" t="b">
        <v>0</v>
      </c>
      <c r="G856" t="n">
        <v>114</v>
      </c>
      <c r="H856" t="inlineStr">
        <is>
          <t>無印</t>
        </is>
      </c>
      <c r="I856" t="n">
        <v>114</v>
      </c>
      <c r="J856" t="inlineStr">
        <is>
          <t>P114|無印</t>
        </is>
      </c>
      <c r="K856" t="inlineStr">
        <is>
          <t>同頁凡例へ直接連動</t>
        </is>
      </c>
      <c r="L856" t="inlineStr">
        <is>
          <t>202604_LIXIL_サーモスＬ_業務用資料集_完成品価格表.pdf</t>
        </is>
      </c>
      <c r="M856" t="inlineStr">
        <is>
          <t>v0.6：同一価格表セクション内で凡例継承を確定。</t>
        </is>
      </c>
      <c r="N856" t="inlineStr">
        <is>
          <t>https://drive.google.com/file/d/1YUN-mtWYs48YBUHJk0C3vJXnhjyZFHyf/view</t>
        </is>
      </c>
    </row>
    <row r="857">
      <c r="A857" s="42" t="inlineStr">
        <is>
          <t>GSC-SL-000854</t>
        </is>
      </c>
      <c r="B857" t="inlineStr">
        <is>
          <t>SZ-SL-000854</t>
        </is>
      </c>
      <c r="C857" t="inlineStr">
        <is>
          <t>WT-SL-TATE-SUBERI</t>
        </is>
      </c>
      <c r="D857" t="inlineStr">
        <is>
          <t>SP-SL-TATE-OP</t>
        </is>
      </c>
      <c r="E857" t="inlineStr">
        <is>
          <t>02615</t>
        </is>
      </c>
      <c r="F857" t="b">
        <v>0</v>
      </c>
      <c r="G857" t="n">
        <v>114</v>
      </c>
      <c r="H857" t="inlineStr">
        <is>
          <t>無印</t>
        </is>
      </c>
      <c r="I857" t="n">
        <v>114</v>
      </c>
      <c r="J857" t="inlineStr">
        <is>
          <t>P114|無印</t>
        </is>
      </c>
      <c r="K857" t="inlineStr">
        <is>
          <t>同頁凡例へ直接連動</t>
        </is>
      </c>
      <c r="L857" t="inlineStr">
        <is>
          <t>202604_LIXIL_サーモスＬ_業務用資料集_完成品価格表.pdf</t>
        </is>
      </c>
      <c r="M857" t="inlineStr">
        <is>
          <t>v0.6：同一価格表セクション内で凡例継承を確定。</t>
        </is>
      </c>
      <c r="N857" t="inlineStr">
        <is>
          <t>https://drive.google.com/file/d/1YUN-mtWYs48YBUHJk0C3vJXnhjyZFHyf/view</t>
        </is>
      </c>
    </row>
    <row r="858">
      <c r="A858" s="42" t="inlineStr">
        <is>
          <t>GSC-SL-000855</t>
        </is>
      </c>
      <c r="B858" t="inlineStr">
        <is>
          <t>SZ-SL-000855</t>
        </is>
      </c>
      <c r="C858" t="inlineStr">
        <is>
          <t>WT-SL-TATE-SUBERI</t>
        </is>
      </c>
      <c r="D858" t="inlineStr">
        <is>
          <t>SP-SL-TATE-OP</t>
        </is>
      </c>
      <c r="E858" t="inlineStr">
        <is>
          <t>03109</t>
        </is>
      </c>
      <c r="F858" t="b">
        <v>0</v>
      </c>
      <c r="G858" t="n">
        <v>115</v>
      </c>
      <c r="H858" t="inlineStr">
        <is>
          <t>無印</t>
        </is>
      </c>
      <c r="I858" t="n">
        <v>114</v>
      </c>
      <c r="J858" t="inlineStr">
        <is>
          <t>P114|無印</t>
        </is>
      </c>
      <c r="K858" t="inlineStr">
        <is>
          <t>同一価格表・前頁凡例を継承</t>
        </is>
      </c>
      <c r="L858" t="inlineStr">
        <is>
          <t>202604_LIXIL_サーモスＬ_業務用資料集_完成品価格表.pdf</t>
        </is>
      </c>
      <c r="M858" t="inlineStr">
        <is>
          <t>v0.6：同一価格表セクション内で凡例継承を確定。</t>
        </is>
      </c>
      <c r="N858" t="inlineStr">
        <is>
          <t>https://drive.google.com/file/d/1YUN-mtWYs48YBUHJk0C3vJXnhjyZFHyf/view</t>
        </is>
      </c>
    </row>
    <row r="859">
      <c r="A859" s="42" t="inlineStr">
        <is>
          <t>GSC-SL-000856</t>
        </is>
      </c>
      <c r="B859" t="inlineStr">
        <is>
          <t>SZ-SL-000856</t>
        </is>
      </c>
      <c r="C859" t="inlineStr">
        <is>
          <t>WT-SL-TATE-SUBERI</t>
        </is>
      </c>
      <c r="D859" t="inlineStr">
        <is>
          <t>SP-SL-TATE-OP</t>
        </is>
      </c>
      <c r="E859" t="inlineStr">
        <is>
          <t>03111</t>
        </is>
      </c>
      <c r="F859" t="b">
        <v>0</v>
      </c>
      <c r="G859" t="n">
        <v>115</v>
      </c>
      <c r="H859" t="inlineStr">
        <is>
          <t>無印</t>
        </is>
      </c>
      <c r="I859" t="n">
        <v>114</v>
      </c>
      <c r="J859" t="inlineStr">
        <is>
          <t>P114|無印</t>
        </is>
      </c>
      <c r="K859" t="inlineStr">
        <is>
          <t>同一価格表・前頁凡例を継承</t>
        </is>
      </c>
      <c r="L859" t="inlineStr">
        <is>
          <t>202604_LIXIL_サーモスＬ_業務用資料集_完成品価格表.pdf</t>
        </is>
      </c>
      <c r="M859" t="inlineStr">
        <is>
          <t>v0.6：同一価格表セクション内で凡例継承を確定。</t>
        </is>
      </c>
      <c r="N859" t="inlineStr">
        <is>
          <t>https://drive.google.com/file/d/1YUN-mtWYs48YBUHJk0C3vJXnhjyZFHyf/view</t>
        </is>
      </c>
    </row>
    <row r="860">
      <c r="A860" s="42" t="inlineStr">
        <is>
          <t>GSC-SL-000857</t>
        </is>
      </c>
      <c r="B860" t="inlineStr">
        <is>
          <t>SZ-SL-000857</t>
        </is>
      </c>
      <c r="C860" t="inlineStr">
        <is>
          <t>WT-SL-TATE-SUBERI</t>
        </is>
      </c>
      <c r="D860" t="inlineStr">
        <is>
          <t>SP-SL-TATE-OP</t>
        </is>
      </c>
      <c r="E860" t="inlineStr">
        <is>
          <t>03113</t>
        </is>
      </c>
      <c r="F860" t="b">
        <v>0</v>
      </c>
      <c r="G860" t="n">
        <v>115</v>
      </c>
      <c r="H860" t="inlineStr">
        <is>
          <t>無印</t>
        </is>
      </c>
      <c r="I860" t="n">
        <v>114</v>
      </c>
      <c r="J860" t="inlineStr">
        <is>
          <t>P114|無印</t>
        </is>
      </c>
      <c r="K860" t="inlineStr">
        <is>
          <t>同一価格表・前頁凡例を継承</t>
        </is>
      </c>
      <c r="L860" t="inlineStr">
        <is>
          <t>202604_LIXIL_サーモスＬ_業務用資料集_完成品価格表.pdf</t>
        </is>
      </c>
      <c r="M860" t="inlineStr">
        <is>
          <t>v0.6：同一価格表セクション内で凡例継承を確定。</t>
        </is>
      </c>
      <c r="N860" t="inlineStr">
        <is>
          <t>https://drive.google.com/file/d/1YUN-mtWYs48YBUHJk0C3vJXnhjyZFHyf/view</t>
        </is>
      </c>
    </row>
    <row r="861">
      <c r="A861" s="42" t="inlineStr">
        <is>
          <t>GSC-SL-000858</t>
        </is>
      </c>
      <c r="B861" t="inlineStr">
        <is>
          <t>SZ-SL-000858</t>
        </is>
      </c>
      <c r="C861" t="inlineStr">
        <is>
          <t>WT-SL-TATE-SUBERI</t>
        </is>
      </c>
      <c r="D861" t="inlineStr">
        <is>
          <t>SP-SL-TATE-OP</t>
        </is>
      </c>
      <c r="E861" t="inlineStr">
        <is>
          <t>03115</t>
        </is>
      </c>
      <c r="F861" t="b">
        <v>0</v>
      </c>
      <c r="G861" t="n">
        <v>115</v>
      </c>
      <c r="H861" t="inlineStr">
        <is>
          <t>無印</t>
        </is>
      </c>
      <c r="I861" t="n">
        <v>114</v>
      </c>
      <c r="J861" t="inlineStr">
        <is>
          <t>P114|無印</t>
        </is>
      </c>
      <c r="K861" t="inlineStr">
        <is>
          <t>同一価格表・前頁凡例を継承</t>
        </is>
      </c>
      <c r="L861" t="inlineStr">
        <is>
          <t>202604_LIXIL_サーモスＬ_業務用資料集_完成品価格表.pdf</t>
        </is>
      </c>
      <c r="M861" t="inlineStr">
        <is>
          <t>v0.6：同一価格表セクション内で凡例継承を確定。</t>
        </is>
      </c>
      <c r="N861" t="inlineStr">
        <is>
          <t>https://drive.google.com/file/d/1YUN-mtWYs48YBUHJk0C3vJXnhjyZFHyf/view</t>
        </is>
      </c>
    </row>
    <row r="862">
      <c r="A862" s="42" t="inlineStr">
        <is>
          <t>GSC-SL-000859</t>
        </is>
      </c>
      <c r="B862" t="inlineStr">
        <is>
          <t>SZ-SL-000859</t>
        </is>
      </c>
      <c r="C862" t="inlineStr">
        <is>
          <t>WT-SL-TATE-SUBERI</t>
        </is>
      </c>
      <c r="D862" t="inlineStr">
        <is>
          <t>SP-SL-TATE-OP</t>
        </is>
      </c>
      <c r="E862" t="inlineStr">
        <is>
          <t>03607</t>
        </is>
      </c>
      <c r="F862" t="b">
        <v>0</v>
      </c>
      <c r="G862" t="n">
        <v>115</v>
      </c>
      <c r="H862" t="inlineStr">
        <is>
          <t>無印</t>
        </is>
      </c>
      <c r="I862" t="n">
        <v>114</v>
      </c>
      <c r="J862" t="inlineStr">
        <is>
          <t>P114|無印</t>
        </is>
      </c>
      <c r="K862" t="inlineStr">
        <is>
          <t>同一価格表・前頁凡例を継承</t>
        </is>
      </c>
      <c r="L862" t="inlineStr">
        <is>
          <t>202604_LIXIL_サーモスＬ_業務用資料集_完成品価格表.pdf</t>
        </is>
      </c>
      <c r="M862" t="inlineStr">
        <is>
          <t>v0.6：同一価格表セクション内で凡例継承を確定。</t>
        </is>
      </c>
      <c r="N862" t="inlineStr">
        <is>
          <t>https://drive.google.com/file/d/1YUN-mtWYs48YBUHJk0C3vJXnhjyZFHyf/view</t>
        </is>
      </c>
    </row>
    <row r="863">
      <c r="A863" s="42" t="inlineStr">
        <is>
          <t>GSC-SL-000860</t>
        </is>
      </c>
      <c r="B863" t="inlineStr">
        <is>
          <t>SZ-SL-000860</t>
        </is>
      </c>
      <c r="C863" t="inlineStr">
        <is>
          <t>WT-SL-TATE-SUBERI</t>
        </is>
      </c>
      <c r="D863" t="inlineStr">
        <is>
          <t>SP-SL-TATE-OP</t>
        </is>
      </c>
      <c r="E863" t="inlineStr">
        <is>
          <t>03609</t>
        </is>
      </c>
      <c r="F863" t="b">
        <v>0</v>
      </c>
      <c r="G863" t="n">
        <v>115</v>
      </c>
      <c r="H863" t="inlineStr">
        <is>
          <t>無印</t>
        </is>
      </c>
      <c r="I863" t="n">
        <v>114</v>
      </c>
      <c r="J863" t="inlineStr">
        <is>
          <t>P114|無印</t>
        </is>
      </c>
      <c r="K863" t="inlineStr">
        <is>
          <t>同一価格表・前頁凡例を継承</t>
        </is>
      </c>
      <c r="L863" t="inlineStr">
        <is>
          <t>202604_LIXIL_サーモスＬ_業務用資料集_完成品価格表.pdf</t>
        </is>
      </c>
      <c r="M863" t="inlineStr">
        <is>
          <t>v0.6：同一価格表セクション内で凡例継承を確定。</t>
        </is>
      </c>
      <c r="N863" t="inlineStr">
        <is>
          <t>https://drive.google.com/file/d/1YUN-mtWYs48YBUHJk0C3vJXnhjyZFHyf/view</t>
        </is>
      </c>
    </row>
    <row r="864">
      <c r="A864" s="42" t="inlineStr">
        <is>
          <t>GSC-SL-000861</t>
        </is>
      </c>
      <c r="B864" t="inlineStr">
        <is>
          <t>SZ-SL-000861</t>
        </is>
      </c>
      <c r="C864" t="inlineStr">
        <is>
          <t>WT-SL-TATE-SUBERI</t>
        </is>
      </c>
      <c r="D864" t="inlineStr">
        <is>
          <t>SP-SL-TATE-OP</t>
        </is>
      </c>
      <c r="E864" t="inlineStr">
        <is>
          <t>03611</t>
        </is>
      </c>
      <c r="F864" t="b">
        <v>0</v>
      </c>
      <c r="G864" t="n">
        <v>115</v>
      </c>
      <c r="H864" t="inlineStr">
        <is>
          <t>無印</t>
        </is>
      </c>
      <c r="I864" t="n">
        <v>114</v>
      </c>
      <c r="J864" t="inlineStr">
        <is>
          <t>P114|無印</t>
        </is>
      </c>
      <c r="K864" t="inlineStr">
        <is>
          <t>同一価格表・前頁凡例を継承</t>
        </is>
      </c>
      <c r="L864" t="inlineStr">
        <is>
          <t>202604_LIXIL_サーモスＬ_業務用資料集_完成品価格表.pdf</t>
        </is>
      </c>
      <c r="M864" t="inlineStr">
        <is>
          <t>v0.6：同一価格表セクション内で凡例継承を確定。</t>
        </is>
      </c>
      <c r="N864" t="inlineStr">
        <is>
          <t>https://drive.google.com/file/d/1YUN-mtWYs48YBUHJk0C3vJXnhjyZFHyf/view</t>
        </is>
      </c>
    </row>
    <row r="865">
      <c r="A865" s="42" t="inlineStr">
        <is>
          <t>GSC-SL-000862</t>
        </is>
      </c>
      <c r="B865" t="inlineStr">
        <is>
          <t>SZ-SL-000862</t>
        </is>
      </c>
      <c r="C865" t="inlineStr">
        <is>
          <t>WT-SL-TATE-SUBERI</t>
        </is>
      </c>
      <c r="D865" t="inlineStr">
        <is>
          <t>SP-SL-TATE-OP</t>
        </is>
      </c>
      <c r="E865" t="inlineStr">
        <is>
          <t>03613</t>
        </is>
      </c>
      <c r="F865" t="b">
        <v>0</v>
      </c>
      <c r="G865" t="n">
        <v>115</v>
      </c>
      <c r="H865" t="inlineStr">
        <is>
          <t>無印</t>
        </is>
      </c>
      <c r="I865" t="n">
        <v>114</v>
      </c>
      <c r="J865" t="inlineStr">
        <is>
          <t>P114|無印</t>
        </is>
      </c>
      <c r="K865" t="inlineStr">
        <is>
          <t>同一価格表・前頁凡例を継承</t>
        </is>
      </c>
      <c r="L865" t="inlineStr">
        <is>
          <t>202604_LIXIL_サーモスＬ_業務用資料集_完成品価格表.pdf</t>
        </is>
      </c>
      <c r="M865" t="inlineStr">
        <is>
          <t>v0.6：同一価格表セクション内で凡例継承を確定。</t>
        </is>
      </c>
      <c r="N865" t="inlineStr">
        <is>
          <t>https://drive.google.com/file/d/1YUN-mtWYs48YBUHJk0C3vJXnhjyZFHyf/view</t>
        </is>
      </c>
    </row>
    <row r="866">
      <c r="A866" s="42" t="inlineStr">
        <is>
          <t>GSC-SL-000863</t>
        </is>
      </c>
      <c r="B866" t="inlineStr">
        <is>
          <t>SZ-SL-000863</t>
        </is>
      </c>
      <c r="C866" t="inlineStr">
        <is>
          <t>WT-SL-TATE-SUBERI</t>
        </is>
      </c>
      <c r="D866" t="inlineStr">
        <is>
          <t>SP-SL-TATE-OP</t>
        </is>
      </c>
      <c r="E866" t="inlineStr">
        <is>
          <t>06007</t>
        </is>
      </c>
      <c r="F866" t="b">
        <v>0</v>
      </c>
      <c r="G866" t="n">
        <v>115</v>
      </c>
      <c r="H866" t="inlineStr">
        <is>
          <t>無印</t>
        </is>
      </c>
      <c r="I866" t="n">
        <v>114</v>
      </c>
      <c r="J866" t="inlineStr">
        <is>
          <t>P114|無印</t>
        </is>
      </c>
      <c r="K866" t="inlineStr">
        <is>
          <t>同一価格表・前頁凡例を継承</t>
        </is>
      </c>
      <c r="L866" t="inlineStr">
        <is>
          <t>202604_LIXIL_サーモスＬ_業務用資料集_完成品価格表.pdf</t>
        </is>
      </c>
      <c r="M866" t="inlineStr">
        <is>
          <t>v0.6：同一価格表セクション内で凡例継承を確定。</t>
        </is>
      </c>
      <c r="N866" t="inlineStr">
        <is>
          <t>https://drive.google.com/file/d/1YUN-mtWYs48YBUHJk0C3vJXnhjyZFHyf/view</t>
        </is>
      </c>
    </row>
    <row r="867">
      <c r="A867" s="42" t="inlineStr">
        <is>
          <t>GSC-SL-000864</t>
        </is>
      </c>
      <c r="B867" t="inlineStr">
        <is>
          <t>SZ-SL-000864</t>
        </is>
      </c>
      <c r="C867" t="inlineStr">
        <is>
          <t>WT-SL-TATE-SUBERI</t>
        </is>
      </c>
      <c r="D867" t="inlineStr">
        <is>
          <t>SP-SL-TATE-OP</t>
        </is>
      </c>
      <c r="E867" t="inlineStr">
        <is>
          <t>06009</t>
        </is>
      </c>
      <c r="F867" t="b">
        <v>0</v>
      </c>
      <c r="G867" t="n">
        <v>115</v>
      </c>
      <c r="H867" t="inlineStr">
        <is>
          <t>無印</t>
        </is>
      </c>
      <c r="I867" t="n">
        <v>114</v>
      </c>
      <c r="J867" t="inlineStr">
        <is>
          <t>P114|無印</t>
        </is>
      </c>
      <c r="K867" t="inlineStr">
        <is>
          <t>同一価格表・前頁凡例を継承</t>
        </is>
      </c>
      <c r="L867" t="inlineStr">
        <is>
          <t>202604_LIXIL_サーモスＬ_業務用資料集_完成品価格表.pdf</t>
        </is>
      </c>
      <c r="M867" t="inlineStr">
        <is>
          <t>v0.6：同一価格表セクション内で凡例継承を確定。</t>
        </is>
      </c>
      <c r="N867" t="inlineStr">
        <is>
          <t>https://drive.google.com/file/d/1YUN-mtWYs48YBUHJk0C3vJXnhjyZFHyf/view</t>
        </is>
      </c>
    </row>
    <row r="868">
      <c r="A868" s="42" t="inlineStr">
        <is>
          <t>GSC-SL-000865</t>
        </is>
      </c>
      <c r="B868" t="inlineStr">
        <is>
          <t>SZ-SL-000865</t>
        </is>
      </c>
      <c r="C868" t="inlineStr">
        <is>
          <t>WT-SL-TATE-SUBERI</t>
        </is>
      </c>
      <c r="D868" t="inlineStr">
        <is>
          <t>SP-SL-TATE-OP</t>
        </is>
      </c>
      <c r="E868" t="inlineStr">
        <is>
          <t>06011</t>
        </is>
      </c>
      <c r="F868" t="b">
        <v>0</v>
      </c>
      <c r="G868" t="n">
        <v>115</v>
      </c>
      <c r="H868" t="inlineStr">
        <is>
          <t>無印</t>
        </is>
      </c>
      <c r="I868" t="n">
        <v>114</v>
      </c>
      <c r="J868" t="inlineStr">
        <is>
          <t>P114|無印</t>
        </is>
      </c>
      <c r="K868" t="inlineStr">
        <is>
          <t>同一価格表・前頁凡例を継承</t>
        </is>
      </c>
      <c r="L868" t="inlineStr">
        <is>
          <t>202604_LIXIL_サーモスＬ_業務用資料集_完成品価格表.pdf</t>
        </is>
      </c>
      <c r="M868" t="inlineStr">
        <is>
          <t>v0.6：同一価格表セクション内で凡例継承を確定。</t>
        </is>
      </c>
      <c r="N868" t="inlineStr">
        <is>
          <t>https://drive.google.com/file/d/1YUN-mtWYs48YBUHJk0C3vJXnhjyZFHyf/view</t>
        </is>
      </c>
    </row>
    <row r="869">
      <c r="A869" s="42" t="inlineStr">
        <is>
          <t>GSC-SL-000866</t>
        </is>
      </c>
      <c r="B869" t="inlineStr">
        <is>
          <t>SZ-SL-000866</t>
        </is>
      </c>
      <c r="C869" t="inlineStr">
        <is>
          <t>WT-SL-TATE-SUBERI</t>
        </is>
      </c>
      <c r="D869" t="inlineStr">
        <is>
          <t>SP-SL-TATE-OP</t>
        </is>
      </c>
      <c r="E869" t="inlineStr">
        <is>
          <t>06013</t>
        </is>
      </c>
      <c r="F869" t="b">
        <v>0</v>
      </c>
      <c r="G869" t="n">
        <v>115</v>
      </c>
      <c r="H869" t="inlineStr">
        <is>
          <t>無印</t>
        </is>
      </c>
      <c r="I869" t="n">
        <v>114</v>
      </c>
      <c r="J869" t="inlineStr">
        <is>
          <t>P114|無印</t>
        </is>
      </c>
      <c r="K869" t="inlineStr">
        <is>
          <t>同一価格表・前頁凡例を継承</t>
        </is>
      </c>
      <c r="L869" t="inlineStr">
        <is>
          <t>202604_LIXIL_サーモスＬ_業務用資料集_完成品価格表.pdf</t>
        </is>
      </c>
      <c r="M869" t="inlineStr">
        <is>
          <t>v0.6：同一価格表セクション内で凡例継承を確定。</t>
        </is>
      </c>
      <c r="N869" t="inlineStr">
        <is>
          <t>https://drive.google.com/file/d/1YUN-mtWYs48YBUHJk0C3vJXnhjyZFHyf/view</t>
        </is>
      </c>
    </row>
    <row r="870">
      <c r="A870" s="42" t="inlineStr">
        <is>
          <t>GSC-SL-000867</t>
        </is>
      </c>
      <c r="B870" t="inlineStr">
        <is>
          <t>SZ-SL-000867</t>
        </is>
      </c>
      <c r="C870" t="inlineStr">
        <is>
          <t>WT-SL-TATE-SUBERI</t>
        </is>
      </c>
      <c r="D870" t="inlineStr">
        <is>
          <t>SP-SL-TATE-OP</t>
        </is>
      </c>
      <c r="E870" t="inlineStr">
        <is>
          <t>02118</t>
        </is>
      </c>
      <c r="F870" t="b">
        <v>0</v>
      </c>
      <c r="G870" t="n">
        <v>116</v>
      </c>
      <c r="H870" t="inlineStr">
        <is>
          <t>無印</t>
        </is>
      </c>
      <c r="I870" t="n">
        <v>116</v>
      </c>
      <c r="J870" t="inlineStr">
        <is>
          <t>P116|無印</t>
        </is>
      </c>
      <c r="K870" t="inlineStr">
        <is>
          <t>同頁凡例へ直接連動</t>
        </is>
      </c>
      <c r="L870" t="inlineStr">
        <is>
          <t>202604_LIXIL_サーモスＬ_業務用資料集_完成品価格表.pdf</t>
        </is>
      </c>
      <c r="M870" t="inlineStr">
        <is>
          <t>v0.6：同一価格表セクション内で凡例継承を確定。</t>
        </is>
      </c>
      <c r="N870" t="inlineStr">
        <is>
          <t>https://drive.google.com/file/d/1YUN-mtWYs48YBUHJk0C3vJXnhjyZFHyf/view</t>
        </is>
      </c>
    </row>
    <row r="871">
      <c r="A871" s="42" t="inlineStr">
        <is>
          <t>GSC-SL-000868</t>
        </is>
      </c>
      <c r="B871" t="inlineStr">
        <is>
          <t>SZ-SL-000868</t>
        </is>
      </c>
      <c r="C871" t="inlineStr">
        <is>
          <t>WT-SL-TATE-SUBERI</t>
        </is>
      </c>
      <c r="D871" t="inlineStr">
        <is>
          <t>SP-SL-TATE-OP</t>
        </is>
      </c>
      <c r="E871" t="inlineStr">
        <is>
          <t>02120</t>
        </is>
      </c>
      <c r="F871" t="b">
        <v>0</v>
      </c>
      <c r="G871" t="n">
        <v>116</v>
      </c>
      <c r="H871" t="inlineStr">
        <is>
          <t>無印</t>
        </is>
      </c>
      <c r="I871" t="n">
        <v>116</v>
      </c>
      <c r="J871" t="inlineStr">
        <is>
          <t>P116|無印</t>
        </is>
      </c>
      <c r="K871" t="inlineStr">
        <is>
          <t>同頁凡例へ直接連動</t>
        </is>
      </c>
      <c r="L871" t="inlineStr">
        <is>
          <t>202604_LIXIL_サーモスＬ_業務用資料集_完成品価格表.pdf</t>
        </is>
      </c>
      <c r="M871" t="inlineStr">
        <is>
          <t>v0.6：同一価格表セクション内で凡例継承を確定。</t>
        </is>
      </c>
      <c r="N871" t="inlineStr">
        <is>
          <t>https://drive.google.com/file/d/1YUN-mtWYs48YBUHJk0C3vJXnhjyZFHyf/view</t>
        </is>
      </c>
    </row>
    <row r="872">
      <c r="A872" s="42" t="inlineStr">
        <is>
          <t>GSC-SL-000869</t>
        </is>
      </c>
      <c r="B872" t="inlineStr">
        <is>
          <t>SZ-SL-000869</t>
        </is>
      </c>
      <c r="C872" t="inlineStr">
        <is>
          <t>WT-SL-TATE-SUBERI</t>
        </is>
      </c>
      <c r="D872" t="inlineStr">
        <is>
          <t>SP-SL-TATE-OP</t>
        </is>
      </c>
      <c r="E872" t="inlineStr">
        <is>
          <t>02122</t>
        </is>
      </c>
      <c r="F872" t="b">
        <v>0</v>
      </c>
      <c r="G872" t="n">
        <v>116</v>
      </c>
      <c r="H872" t="inlineStr">
        <is>
          <t>無印</t>
        </is>
      </c>
      <c r="I872" t="n">
        <v>116</v>
      </c>
      <c r="J872" t="inlineStr">
        <is>
          <t>P116|無印</t>
        </is>
      </c>
      <c r="K872" t="inlineStr">
        <is>
          <t>同頁凡例へ直接連動</t>
        </is>
      </c>
      <c r="L872" t="inlineStr">
        <is>
          <t>202604_LIXIL_サーモスＬ_業務用資料集_完成品価格表.pdf</t>
        </is>
      </c>
      <c r="M872" t="inlineStr">
        <is>
          <t>v0.6：同一価格表セクション内で凡例継承を確定。</t>
        </is>
      </c>
      <c r="N872" t="inlineStr">
        <is>
          <t>https://drive.google.com/file/d/1YUN-mtWYs48YBUHJk0C3vJXnhjyZFHyf/view</t>
        </is>
      </c>
    </row>
    <row r="873">
      <c r="A873" s="42" t="inlineStr">
        <is>
          <t>GSC-SL-000870</t>
        </is>
      </c>
      <c r="B873" t="inlineStr">
        <is>
          <t>SZ-SL-000870</t>
        </is>
      </c>
      <c r="C873" t="inlineStr">
        <is>
          <t>WT-SL-TATE-SUBERI</t>
        </is>
      </c>
      <c r="D873" t="inlineStr">
        <is>
          <t>SP-SL-TATE-OP</t>
        </is>
      </c>
      <c r="E873" t="inlineStr">
        <is>
          <t>02618</t>
        </is>
      </c>
      <c r="F873" t="b">
        <v>0</v>
      </c>
      <c r="G873" t="n">
        <v>116</v>
      </c>
      <c r="H873" t="inlineStr">
        <is>
          <t>無印</t>
        </is>
      </c>
      <c r="I873" t="n">
        <v>116</v>
      </c>
      <c r="J873" t="inlineStr">
        <is>
          <t>P116|無印</t>
        </is>
      </c>
      <c r="K873" t="inlineStr">
        <is>
          <t>同頁凡例へ直接連動</t>
        </is>
      </c>
      <c r="L873" t="inlineStr">
        <is>
          <t>202604_LIXIL_サーモスＬ_業務用資料集_完成品価格表.pdf</t>
        </is>
      </c>
      <c r="M873" t="inlineStr">
        <is>
          <t>v0.6：同一価格表セクション内で凡例継承を確定。</t>
        </is>
      </c>
      <c r="N873" t="inlineStr">
        <is>
          <t>https://drive.google.com/file/d/1YUN-mtWYs48YBUHJk0C3vJXnhjyZFHyf/view</t>
        </is>
      </c>
    </row>
    <row r="874">
      <c r="A874" s="42" t="inlineStr">
        <is>
          <t>GSC-SL-000871</t>
        </is>
      </c>
      <c r="B874" t="inlineStr">
        <is>
          <t>SZ-SL-000871</t>
        </is>
      </c>
      <c r="C874" t="inlineStr">
        <is>
          <t>WT-SL-TATE-SUBERI</t>
        </is>
      </c>
      <c r="D874" t="inlineStr">
        <is>
          <t>SP-SL-TATE-OP</t>
        </is>
      </c>
      <c r="E874" t="inlineStr">
        <is>
          <t>02620</t>
        </is>
      </c>
      <c r="F874" t="b">
        <v>0</v>
      </c>
      <c r="G874" t="n">
        <v>116</v>
      </c>
      <c r="H874" t="inlineStr">
        <is>
          <t>無印</t>
        </is>
      </c>
      <c r="I874" t="n">
        <v>116</v>
      </c>
      <c r="J874" t="inlineStr">
        <is>
          <t>P116|無印</t>
        </is>
      </c>
      <c r="K874" t="inlineStr">
        <is>
          <t>同頁凡例へ直接連動</t>
        </is>
      </c>
      <c r="L874" t="inlineStr">
        <is>
          <t>202604_LIXIL_サーモスＬ_業務用資料集_完成品価格表.pdf</t>
        </is>
      </c>
      <c r="M874" t="inlineStr">
        <is>
          <t>v0.6：同一価格表セクション内で凡例継承を確定。</t>
        </is>
      </c>
      <c r="N874" t="inlineStr">
        <is>
          <t>https://drive.google.com/file/d/1YUN-mtWYs48YBUHJk0C3vJXnhjyZFHyf/view</t>
        </is>
      </c>
    </row>
    <row r="875">
      <c r="A875" s="42" t="inlineStr">
        <is>
          <t>GSC-SL-000872</t>
        </is>
      </c>
      <c r="B875" t="inlineStr">
        <is>
          <t>SZ-SL-000872</t>
        </is>
      </c>
      <c r="C875" t="inlineStr">
        <is>
          <t>WT-SL-TATE-SUBERI</t>
        </is>
      </c>
      <c r="D875" t="inlineStr">
        <is>
          <t>SP-SL-TATE-OP</t>
        </is>
      </c>
      <c r="E875" t="inlineStr">
        <is>
          <t>02622</t>
        </is>
      </c>
      <c r="F875" t="b">
        <v>0</v>
      </c>
      <c r="G875" t="n">
        <v>116</v>
      </c>
      <c r="H875" t="inlineStr">
        <is>
          <t>無印</t>
        </is>
      </c>
      <c r="I875" t="n">
        <v>116</v>
      </c>
      <c r="J875" t="inlineStr">
        <is>
          <t>P116|無印</t>
        </is>
      </c>
      <c r="K875" t="inlineStr">
        <is>
          <t>同頁凡例へ直接連動</t>
        </is>
      </c>
      <c r="L875" t="inlineStr">
        <is>
          <t>202604_LIXIL_サーモスＬ_業務用資料集_完成品価格表.pdf</t>
        </is>
      </c>
      <c r="M875" t="inlineStr">
        <is>
          <t>v0.6：同一価格表セクション内で凡例継承を確定。</t>
        </is>
      </c>
      <c r="N875" t="inlineStr">
        <is>
          <t>https://drive.google.com/file/d/1YUN-mtWYs48YBUHJk0C3vJXnhjyZFHyf/view</t>
        </is>
      </c>
    </row>
    <row r="876">
      <c r="A876" s="42" t="inlineStr">
        <is>
          <t>GSC-SL-000873</t>
        </is>
      </c>
      <c r="B876" t="inlineStr">
        <is>
          <t>SZ-SL-000873</t>
        </is>
      </c>
      <c r="C876" t="inlineStr">
        <is>
          <t>WT-SL-TATE-SUBERI</t>
        </is>
      </c>
      <c r="D876" t="inlineStr">
        <is>
          <t>SP-SL-TATE-OP</t>
        </is>
      </c>
      <c r="E876" t="inlineStr">
        <is>
          <t>03118</t>
        </is>
      </c>
      <c r="F876" t="b">
        <v>0</v>
      </c>
      <c r="G876" t="n">
        <v>117</v>
      </c>
      <c r="H876" t="inlineStr">
        <is>
          <t>無印</t>
        </is>
      </c>
      <c r="I876" t="n">
        <v>116</v>
      </c>
      <c r="J876" t="inlineStr">
        <is>
          <t>P116|無印</t>
        </is>
      </c>
      <c r="K876" t="inlineStr">
        <is>
          <t>同一価格表・前頁凡例を継承</t>
        </is>
      </c>
      <c r="L876" t="inlineStr">
        <is>
          <t>202604_LIXIL_サーモスＬ_業務用資料集_完成品価格表.pdf</t>
        </is>
      </c>
      <c r="M876" t="inlineStr">
        <is>
          <t>v0.6：同一価格表セクション内で凡例継承を確定。</t>
        </is>
      </c>
      <c r="N876" t="inlineStr">
        <is>
          <t>https://drive.google.com/file/d/1YUN-mtWYs48YBUHJk0C3vJXnhjyZFHyf/view</t>
        </is>
      </c>
    </row>
    <row r="877">
      <c r="A877" s="42" t="inlineStr">
        <is>
          <t>GSC-SL-000874</t>
        </is>
      </c>
      <c r="B877" t="inlineStr">
        <is>
          <t>SZ-SL-000874</t>
        </is>
      </c>
      <c r="C877" t="inlineStr">
        <is>
          <t>WT-SL-TATE-SUBERI</t>
        </is>
      </c>
      <c r="D877" t="inlineStr">
        <is>
          <t>SP-SL-TATE-OP</t>
        </is>
      </c>
      <c r="E877" t="inlineStr">
        <is>
          <t>03120</t>
        </is>
      </c>
      <c r="F877" t="b">
        <v>0</v>
      </c>
      <c r="G877" t="n">
        <v>117</v>
      </c>
      <c r="H877" t="inlineStr">
        <is>
          <t>無印</t>
        </is>
      </c>
      <c r="I877" t="n">
        <v>116</v>
      </c>
      <c r="J877" t="inlineStr">
        <is>
          <t>P116|無印</t>
        </is>
      </c>
      <c r="K877" t="inlineStr">
        <is>
          <t>同一価格表・前頁凡例を継承</t>
        </is>
      </c>
      <c r="L877" t="inlineStr">
        <is>
          <t>202604_LIXIL_サーモスＬ_業務用資料集_完成品価格表.pdf</t>
        </is>
      </c>
      <c r="M877" t="inlineStr">
        <is>
          <t>v0.6：同一価格表セクション内で凡例継承を確定。</t>
        </is>
      </c>
      <c r="N877" t="inlineStr">
        <is>
          <t>https://drive.google.com/file/d/1YUN-mtWYs48YBUHJk0C3vJXnhjyZFHyf/view</t>
        </is>
      </c>
    </row>
    <row r="878">
      <c r="A878" s="42" t="inlineStr">
        <is>
          <t>GSC-SL-000875</t>
        </is>
      </c>
      <c r="B878" t="inlineStr">
        <is>
          <t>SZ-SL-000875</t>
        </is>
      </c>
      <c r="C878" t="inlineStr">
        <is>
          <t>WT-SL-TATE-SUBERI</t>
        </is>
      </c>
      <c r="D878" t="inlineStr">
        <is>
          <t>SP-SL-TATE-OP</t>
        </is>
      </c>
      <c r="E878" t="inlineStr">
        <is>
          <t>03122</t>
        </is>
      </c>
      <c r="F878" t="b">
        <v>0</v>
      </c>
      <c r="G878" t="n">
        <v>117</v>
      </c>
      <c r="H878" t="inlineStr">
        <is>
          <t>無印</t>
        </is>
      </c>
      <c r="I878" t="n">
        <v>116</v>
      </c>
      <c r="J878" t="inlineStr">
        <is>
          <t>P116|無印</t>
        </is>
      </c>
      <c r="K878" t="inlineStr">
        <is>
          <t>同一価格表・前頁凡例を継承</t>
        </is>
      </c>
      <c r="L878" t="inlineStr">
        <is>
          <t>202604_LIXIL_サーモスＬ_業務用資料集_完成品価格表.pdf</t>
        </is>
      </c>
      <c r="M878" t="inlineStr">
        <is>
          <t>v0.6：同一価格表セクション内で凡例継承を確定。</t>
        </is>
      </c>
      <c r="N878" t="inlineStr">
        <is>
          <t>https://drive.google.com/file/d/1YUN-mtWYs48YBUHJk0C3vJXnhjyZFHyf/view</t>
        </is>
      </c>
    </row>
    <row r="879">
      <c r="A879" s="42" t="inlineStr">
        <is>
          <t>GSC-SL-000876</t>
        </is>
      </c>
      <c r="B879" t="inlineStr">
        <is>
          <t>SZ-SL-000876</t>
        </is>
      </c>
      <c r="C879" t="inlineStr">
        <is>
          <t>WT-SL-TATE-SUBERI</t>
        </is>
      </c>
      <c r="D879" t="inlineStr">
        <is>
          <t>SP-SL-TATE-OP</t>
        </is>
      </c>
      <c r="E879" t="inlineStr">
        <is>
          <t>11409</t>
        </is>
      </c>
      <c r="F879" t="b">
        <v>0</v>
      </c>
      <c r="G879" t="n">
        <v>118</v>
      </c>
      <c r="H879" t="inlineStr">
        <is>
          <t>無印</t>
        </is>
      </c>
      <c r="I879" t="n">
        <v>118</v>
      </c>
      <c r="J879" t="inlineStr">
        <is>
          <t>P118|無印</t>
        </is>
      </c>
      <c r="K879" t="inlineStr">
        <is>
          <t>同頁凡例へ直接連動</t>
        </is>
      </c>
      <c r="L879" t="inlineStr">
        <is>
          <t>202604_LIXIL_サーモスＬ_業務用資料集_完成品価格表.pdf</t>
        </is>
      </c>
      <c r="M879" t="inlineStr">
        <is>
          <t>v0.6：同一価格表セクション内で凡例継承を確定。</t>
        </is>
      </c>
      <c r="N879" t="inlineStr">
        <is>
          <t>https://drive.google.com/file/d/1YUN-mtWYs48YBUHJk0C3vJXnhjyZFHyf/view</t>
        </is>
      </c>
    </row>
    <row r="880">
      <c r="A880" s="42" t="inlineStr">
        <is>
          <t>GSC-SL-000877</t>
        </is>
      </c>
      <c r="B880" t="inlineStr">
        <is>
          <t>SZ-SL-000877</t>
        </is>
      </c>
      <c r="C880" t="inlineStr">
        <is>
          <t>WT-SL-TATE-SUBERI</t>
        </is>
      </c>
      <c r="D880" t="inlineStr">
        <is>
          <t>SP-SL-TATE-OP</t>
        </is>
      </c>
      <c r="E880" t="inlineStr">
        <is>
          <t>11411</t>
        </is>
      </c>
      <c r="F880" t="b">
        <v>0</v>
      </c>
      <c r="G880" t="n">
        <v>118</v>
      </c>
      <c r="H880" t="inlineStr">
        <is>
          <t>無印</t>
        </is>
      </c>
      <c r="I880" t="n">
        <v>118</v>
      </c>
      <c r="J880" t="inlineStr">
        <is>
          <t>P118|無印</t>
        </is>
      </c>
      <c r="K880" t="inlineStr">
        <is>
          <t>同頁凡例へ直接連動</t>
        </is>
      </c>
      <c r="L880" t="inlineStr">
        <is>
          <t>202604_LIXIL_サーモスＬ_業務用資料集_完成品価格表.pdf</t>
        </is>
      </c>
      <c r="M880" t="inlineStr">
        <is>
          <t>v0.6：同一価格表セクション内で凡例継承を確定。</t>
        </is>
      </c>
      <c r="N880" t="inlineStr">
        <is>
          <t>https://drive.google.com/file/d/1YUN-mtWYs48YBUHJk0C3vJXnhjyZFHyf/view</t>
        </is>
      </c>
    </row>
    <row r="881">
      <c r="A881" s="42" t="inlineStr">
        <is>
          <t>GSC-SL-000878</t>
        </is>
      </c>
      <c r="B881" t="inlineStr">
        <is>
          <t>SZ-SL-000878</t>
        </is>
      </c>
      <c r="C881" t="inlineStr">
        <is>
          <t>WT-SL-TATE-SUBERI</t>
        </is>
      </c>
      <c r="D881" t="inlineStr">
        <is>
          <t>SP-SL-TATE-OP</t>
        </is>
      </c>
      <c r="E881" t="inlineStr">
        <is>
          <t>11413</t>
        </is>
      </c>
      <c r="F881" t="b">
        <v>0</v>
      </c>
      <c r="G881" t="n">
        <v>118</v>
      </c>
      <c r="H881" t="inlineStr">
        <is>
          <t>無印</t>
        </is>
      </c>
      <c r="I881" t="n">
        <v>118</v>
      </c>
      <c r="J881" t="inlineStr">
        <is>
          <t>P118|無印</t>
        </is>
      </c>
      <c r="K881" t="inlineStr">
        <is>
          <t>同頁凡例へ直接連動</t>
        </is>
      </c>
      <c r="L881" t="inlineStr">
        <is>
          <t>202604_LIXIL_サーモスＬ_業務用資料集_完成品価格表.pdf</t>
        </is>
      </c>
      <c r="M881" t="inlineStr">
        <is>
          <t>v0.6：同一価格表セクション内で凡例継承を確定。</t>
        </is>
      </c>
      <c r="N881" t="inlineStr">
        <is>
          <t>https://drive.google.com/file/d/1YUN-mtWYs48YBUHJk0C3vJXnhjyZFHyf/view</t>
        </is>
      </c>
    </row>
    <row r="882">
      <c r="A882" s="42" t="inlineStr">
        <is>
          <t>GSC-SL-000879</t>
        </is>
      </c>
      <c r="B882" t="inlineStr">
        <is>
          <t>SZ-SL-000879</t>
        </is>
      </c>
      <c r="C882" t="inlineStr">
        <is>
          <t>WT-SL-TATE-SUBERI</t>
        </is>
      </c>
      <c r="D882" t="inlineStr">
        <is>
          <t>SP-SL-TATE-OP</t>
        </is>
      </c>
      <c r="E882" t="inlineStr">
        <is>
          <t>11909</t>
        </is>
      </c>
      <c r="F882" t="b">
        <v>0</v>
      </c>
      <c r="G882" t="n">
        <v>118</v>
      </c>
      <c r="H882" t="inlineStr">
        <is>
          <t>無印</t>
        </is>
      </c>
      <c r="I882" t="n">
        <v>118</v>
      </c>
      <c r="J882" t="inlineStr">
        <is>
          <t>P118|無印</t>
        </is>
      </c>
      <c r="K882" t="inlineStr">
        <is>
          <t>同頁凡例へ直接連動</t>
        </is>
      </c>
      <c r="L882" t="inlineStr">
        <is>
          <t>202604_LIXIL_サーモスＬ_業務用資料集_完成品価格表.pdf</t>
        </is>
      </c>
      <c r="M882" t="inlineStr">
        <is>
          <t>v0.6：同一価格表セクション内で凡例継承を確定。</t>
        </is>
      </c>
      <c r="N882" t="inlineStr">
        <is>
          <t>https://drive.google.com/file/d/1YUN-mtWYs48YBUHJk0C3vJXnhjyZFHyf/view</t>
        </is>
      </c>
    </row>
    <row r="883">
      <c r="A883" s="42" t="inlineStr">
        <is>
          <t>GSC-SL-000880</t>
        </is>
      </c>
      <c r="B883" t="inlineStr">
        <is>
          <t>SZ-SL-000880</t>
        </is>
      </c>
      <c r="C883" t="inlineStr">
        <is>
          <t>WT-SL-TATE-SUBERI</t>
        </is>
      </c>
      <c r="D883" t="inlineStr">
        <is>
          <t>SP-SL-TATE-OP</t>
        </is>
      </c>
      <c r="E883" t="inlineStr">
        <is>
          <t>11911</t>
        </is>
      </c>
      <c r="F883" t="b">
        <v>0</v>
      </c>
      <c r="G883" t="n">
        <v>118</v>
      </c>
      <c r="H883" t="inlineStr">
        <is>
          <t>無印</t>
        </is>
      </c>
      <c r="I883" t="n">
        <v>118</v>
      </c>
      <c r="J883" t="inlineStr">
        <is>
          <t>P118|無印</t>
        </is>
      </c>
      <c r="K883" t="inlineStr">
        <is>
          <t>同頁凡例へ直接連動</t>
        </is>
      </c>
      <c r="L883" t="inlineStr">
        <is>
          <t>202604_LIXIL_サーモスＬ_業務用資料集_完成品価格表.pdf</t>
        </is>
      </c>
      <c r="M883" t="inlineStr">
        <is>
          <t>v0.6：同一価格表セクション内で凡例継承を確定。</t>
        </is>
      </c>
      <c r="N883" t="inlineStr">
        <is>
          <t>https://drive.google.com/file/d/1YUN-mtWYs48YBUHJk0C3vJXnhjyZFHyf/view</t>
        </is>
      </c>
    </row>
    <row r="884">
      <c r="A884" s="42" t="inlineStr">
        <is>
          <t>GSC-SL-000881</t>
        </is>
      </c>
      <c r="B884" t="inlineStr">
        <is>
          <t>SZ-SL-000881</t>
        </is>
      </c>
      <c r="C884" t="inlineStr">
        <is>
          <t>WT-SL-TATE-SUBERI</t>
        </is>
      </c>
      <c r="D884" t="inlineStr">
        <is>
          <t>SP-SL-TATE-OP</t>
        </is>
      </c>
      <c r="E884" t="inlineStr">
        <is>
          <t>11913</t>
        </is>
      </c>
      <c r="F884" t="b">
        <v>0</v>
      </c>
      <c r="G884" t="n">
        <v>118</v>
      </c>
      <c r="H884" t="inlineStr">
        <is>
          <t>★</t>
        </is>
      </c>
      <c r="I884" t="n">
        <v>118</v>
      </c>
      <c r="J884" t="inlineStr">
        <is>
          <t>P118|★</t>
        </is>
      </c>
      <c r="K884" t="inlineStr">
        <is>
          <t>同頁凡例へ直接連動</t>
        </is>
      </c>
      <c r="L884" t="inlineStr">
        <is>
          <t>202604_LIXIL_サーモスＬ_業務用資料集_完成品価格表.pdf</t>
        </is>
      </c>
      <c r="M884" t="inlineStr">
        <is>
          <t>v0.6：同一価格表セクション内で凡例継承を確定。</t>
        </is>
      </c>
      <c r="N884" t="inlineStr">
        <is>
          <t>https://drive.google.com/file/d/1YUN-mtWYs48YBUHJk0C3vJXnhjyZFHyf/view</t>
        </is>
      </c>
    </row>
    <row r="885">
      <c r="A885" s="42" t="inlineStr">
        <is>
          <t>GSC-SL-000882</t>
        </is>
      </c>
      <c r="B885" t="inlineStr">
        <is>
          <t>SZ-SL-000882</t>
        </is>
      </c>
      <c r="C885" t="inlineStr">
        <is>
          <t>WT-SL-TATE-SUBERI</t>
        </is>
      </c>
      <c r="D885" t="inlineStr">
        <is>
          <t>SP-SL-TATE-OP</t>
        </is>
      </c>
      <c r="E885" t="inlineStr">
        <is>
          <t>16009</t>
        </is>
      </c>
      <c r="F885" t="b">
        <v>0</v>
      </c>
      <c r="G885" t="n">
        <v>118</v>
      </c>
      <c r="H885" t="inlineStr">
        <is>
          <t>無印</t>
        </is>
      </c>
      <c r="I885" t="n">
        <v>118</v>
      </c>
      <c r="J885" t="inlineStr">
        <is>
          <t>P118|無印</t>
        </is>
      </c>
      <c r="K885" t="inlineStr">
        <is>
          <t>同頁凡例へ直接連動</t>
        </is>
      </c>
      <c r="L885" t="inlineStr">
        <is>
          <t>202604_LIXIL_サーモスＬ_業務用資料集_完成品価格表.pdf</t>
        </is>
      </c>
      <c r="M885" t="inlineStr">
        <is>
          <t>v0.6：同一価格表セクション内で凡例継承を確定。</t>
        </is>
      </c>
      <c r="N885" t="inlineStr">
        <is>
          <t>https://drive.google.com/file/d/1YUN-mtWYs48YBUHJk0C3vJXnhjyZFHyf/view</t>
        </is>
      </c>
    </row>
    <row r="886">
      <c r="A886" s="42" t="inlineStr">
        <is>
          <t>GSC-SL-000883</t>
        </is>
      </c>
      <c r="B886" t="inlineStr">
        <is>
          <t>SZ-SL-000883</t>
        </is>
      </c>
      <c r="C886" t="inlineStr">
        <is>
          <t>WT-SL-TATE-SUBERI</t>
        </is>
      </c>
      <c r="D886" t="inlineStr">
        <is>
          <t>SP-SL-TATE-OP</t>
        </is>
      </c>
      <c r="E886" t="inlineStr">
        <is>
          <t>16011</t>
        </is>
      </c>
      <c r="F886" t="b">
        <v>0</v>
      </c>
      <c r="G886" t="n">
        <v>118</v>
      </c>
      <c r="H886" t="inlineStr">
        <is>
          <t>★</t>
        </is>
      </c>
      <c r="I886" t="n">
        <v>118</v>
      </c>
      <c r="J886" t="inlineStr">
        <is>
          <t>P118|★</t>
        </is>
      </c>
      <c r="K886" t="inlineStr">
        <is>
          <t>同頁凡例へ直接連動</t>
        </is>
      </c>
      <c r="L886" t="inlineStr">
        <is>
          <t>202604_LIXIL_サーモスＬ_業務用資料集_完成品価格表.pdf</t>
        </is>
      </c>
      <c r="M886" t="inlineStr">
        <is>
          <t>v0.6：同一価格表セクション内で凡例継承を確定。</t>
        </is>
      </c>
      <c r="N886" t="inlineStr">
        <is>
          <t>https://drive.google.com/file/d/1YUN-mtWYs48YBUHJk0C3vJXnhjyZFHyf/view</t>
        </is>
      </c>
    </row>
    <row r="887">
      <c r="A887" s="42" t="inlineStr">
        <is>
          <t>GSC-SL-000884</t>
        </is>
      </c>
      <c r="B887" t="inlineStr">
        <is>
          <t>SZ-SL-000884</t>
        </is>
      </c>
      <c r="C887" t="inlineStr">
        <is>
          <t>WT-SL-TATE-SUBERI</t>
        </is>
      </c>
      <c r="D887" t="inlineStr">
        <is>
          <t>SP-SL-TATE-OP</t>
        </is>
      </c>
      <c r="E887" t="inlineStr">
        <is>
          <t>16013</t>
        </is>
      </c>
      <c r="F887" t="b">
        <v>0</v>
      </c>
      <c r="G887" t="n">
        <v>118</v>
      </c>
      <c r="H887" t="inlineStr">
        <is>
          <t>★</t>
        </is>
      </c>
      <c r="I887" t="n">
        <v>118</v>
      </c>
      <c r="J887" t="inlineStr">
        <is>
          <t>P118|★</t>
        </is>
      </c>
      <c r="K887" t="inlineStr">
        <is>
          <t>同頁凡例へ直接連動</t>
        </is>
      </c>
      <c r="L887" t="inlineStr">
        <is>
          <t>202604_LIXIL_サーモスＬ_業務用資料集_完成品価格表.pdf</t>
        </is>
      </c>
      <c r="M887" t="inlineStr">
        <is>
          <t>v0.6：同一価格表セクション内で凡例継承を確定。</t>
        </is>
      </c>
      <c r="N887" t="inlineStr">
        <is>
          <t>https://drive.google.com/file/d/1YUN-mtWYs48YBUHJk0C3vJXnhjyZFHyf/view</t>
        </is>
      </c>
    </row>
    <row r="888">
      <c r="A888" s="42" t="inlineStr">
        <is>
          <t>GSC-SL-000885</t>
        </is>
      </c>
      <c r="B888" t="inlineStr">
        <is>
          <t>SZ-SL-000885</t>
        </is>
      </c>
      <c r="C888" t="inlineStr">
        <is>
          <t>WT-SL-TATE-SUBERI</t>
        </is>
      </c>
      <c r="D888" t="inlineStr">
        <is>
          <t>SP-SL-TATE-OP</t>
        </is>
      </c>
      <c r="E888" t="inlineStr">
        <is>
          <t>16509</t>
        </is>
      </c>
      <c r="F888" t="b">
        <v>0</v>
      </c>
      <c r="G888" t="n">
        <v>118</v>
      </c>
      <c r="H888" t="inlineStr">
        <is>
          <t>無印</t>
        </is>
      </c>
      <c r="I888" t="n">
        <v>118</v>
      </c>
      <c r="J888" t="inlineStr">
        <is>
          <t>P118|無印</t>
        </is>
      </c>
      <c r="K888" t="inlineStr">
        <is>
          <t>同頁凡例へ直接連動</t>
        </is>
      </c>
      <c r="L888" t="inlineStr">
        <is>
          <t>202604_LIXIL_サーモスＬ_業務用資料集_完成品価格表.pdf</t>
        </is>
      </c>
      <c r="M888" t="inlineStr">
        <is>
          <t>v0.6：同一価格表セクション内で凡例継承を確定。</t>
        </is>
      </c>
      <c r="N888" t="inlineStr">
        <is>
          <t>https://drive.google.com/file/d/1YUN-mtWYs48YBUHJk0C3vJXnhjyZFHyf/view</t>
        </is>
      </c>
    </row>
    <row r="889">
      <c r="A889" s="42" t="inlineStr">
        <is>
          <t>GSC-SL-000886</t>
        </is>
      </c>
      <c r="B889" t="inlineStr">
        <is>
          <t>SZ-SL-000886</t>
        </is>
      </c>
      <c r="C889" t="inlineStr">
        <is>
          <t>WT-SL-TATE-SUBERI</t>
        </is>
      </c>
      <c r="D889" t="inlineStr">
        <is>
          <t>SP-SL-TATE-OP</t>
        </is>
      </c>
      <c r="E889" t="inlineStr">
        <is>
          <t>16511</t>
        </is>
      </c>
      <c r="F889" t="b">
        <v>0</v>
      </c>
      <c r="G889" t="n">
        <v>118</v>
      </c>
      <c r="H889" t="inlineStr">
        <is>
          <t>★</t>
        </is>
      </c>
      <c r="I889" t="n">
        <v>118</v>
      </c>
      <c r="J889" t="inlineStr">
        <is>
          <t>P118|★</t>
        </is>
      </c>
      <c r="K889" t="inlineStr">
        <is>
          <t>同頁凡例へ直接連動</t>
        </is>
      </c>
      <c r="L889" t="inlineStr">
        <is>
          <t>202604_LIXIL_サーモスＬ_業務用資料集_完成品価格表.pdf</t>
        </is>
      </c>
      <c r="M889" t="inlineStr">
        <is>
          <t>v0.6：同一価格表セクション内で凡例継承を確定。</t>
        </is>
      </c>
      <c r="N889" t="inlineStr">
        <is>
          <t>https://drive.google.com/file/d/1YUN-mtWYs48YBUHJk0C3vJXnhjyZFHyf/view</t>
        </is>
      </c>
    </row>
    <row r="890">
      <c r="A890" s="42" t="inlineStr">
        <is>
          <t>GSC-SL-000887</t>
        </is>
      </c>
      <c r="B890" t="inlineStr">
        <is>
          <t>SZ-SL-000887</t>
        </is>
      </c>
      <c r="C890" t="inlineStr">
        <is>
          <t>WT-SL-TATE-SUBERI</t>
        </is>
      </c>
      <c r="D890" t="inlineStr">
        <is>
          <t>SP-SL-TATE-OP</t>
        </is>
      </c>
      <c r="E890" t="inlineStr">
        <is>
          <t>16513</t>
        </is>
      </c>
      <c r="F890" t="b">
        <v>0</v>
      </c>
      <c r="G890" t="n">
        <v>118</v>
      </c>
      <c r="H890" t="inlineStr">
        <is>
          <t>☆</t>
        </is>
      </c>
      <c r="I890" t="n">
        <v>118</v>
      </c>
      <c r="J890" t="inlineStr">
        <is>
          <t>P118|☆</t>
        </is>
      </c>
      <c r="K890" t="inlineStr">
        <is>
          <t>同頁凡例へ直接連動</t>
        </is>
      </c>
      <c r="L890" t="inlineStr">
        <is>
          <t>202604_LIXIL_サーモスＬ_業務用資料集_完成品価格表.pdf</t>
        </is>
      </c>
      <c r="M890" t="inlineStr">
        <is>
          <t>v0.6：同一価格表セクション内で凡例継承を確定。</t>
        </is>
      </c>
      <c r="N890" t="inlineStr">
        <is>
          <t>https://drive.google.com/file/d/1YUN-mtWYs48YBUHJk0C3vJXnhjyZFHyf/view</t>
        </is>
      </c>
    </row>
    <row r="891">
      <c r="A891" s="42" t="inlineStr">
        <is>
          <t>GSC-SL-000888</t>
        </is>
      </c>
      <c r="B891" t="inlineStr">
        <is>
          <t>SZ-SL-000888</t>
        </is>
      </c>
      <c r="C891" t="inlineStr">
        <is>
          <t>WT-SL-YOKO-SUBERI</t>
        </is>
      </c>
      <c r="D891" t="inlineStr">
        <is>
          <t>SP-SL-YOKO-OP</t>
        </is>
      </c>
      <c r="E891" t="inlineStr">
        <is>
          <t>026023</t>
        </is>
      </c>
      <c r="F891" t="b">
        <v>1</v>
      </c>
      <c r="G891" t="n">
        <v>130</v>
      </c>
      <c r="H891" t="inlineStr">
        <is>
          <t>無印</t>
        </is>
      </c>
      <c r="I891" t="n">
        <v>131</v>
      </c>
      <c r="J891" t="inlineStr">
        <is>
          <t>P131|無印</t>
        </is>
      </c>
      <c r="K891" t="inlineStr">
        <is>
          <t>同一価格表・次頁凡例を継承</t>
        </is>
      </c>
      <c r="L891" t="inlineStr">
        <is>
          <t>202604_LIXIL_サーモスＬ_業務用資料集_完成品価格表.pdf</t>
        </is>
      </c>
      <c r="M891" t="inlineStr">
        <is>
          <t>v0.6：同一価格表セクション内で凡例継承を確定。</t>
        </is>
      </c>
      <c r="N891" t="inlineStr">
        <is>
          <t>https://drive.google.com/file/d/1YUN-mtWYs48YBUHJk0C3vJXnhjyZFHyf/view</t>
        </is>
      </c>
    </row>
    <row r="892">
      <c r="A892" s="42" t="inlineStr">
        <is>
          <t>GSC-SL-000889</t>
        </is>
      </c>
      <c r="B892" t="inlineStr">
        <is>
          <t>SZ-SL-000889</t>
        </is>
      </c>
      <c r="C892" t="inlineStr">
        <is>
          <t>WT-SL-YOKO-SUBERI</t>
        </is>
      </c>
      <c r="D892" t="inlineStr">
        <is>
          <t>SP-SL-YOKO-OP</t>
        </is>
      </c>
      <c r="E892" t="inlineStr">
        <is>
          <t>031028</t>
        </is>
      </c>
      <c r="F892" t="b">
        <v>1</v>
      </c>
      <c r="G892" t="n">
        <v>130</v>
      </c>
      <c r="H892" t="inlineStr">
        <is>
          <t>無印</t>
        </is>
      </c>
      <c r="I892" t="n">
        <v>131</v>
      </c>
      <c r="J892" t="inlineStr">
        <is>
          <t>P131|無印</t>
        </is>
      </c>
      <c r="K892" t="inlineStr">
        <is>
          <t>同一価格表・次頁凡例を継承</t>
        </is>
      </c>
      <c r="L892" t="inlineStr">
        <is>
          <t>202604_LIXIL_サーモスＬ_業務用資料集_完成品価格表.pdf</t>
        </is>
      </c>
      <c r="M892" t="inlineStr">
        <is>
          <t>v0.6：同一価格表セクション内で凡例継承を確定。</t>
        </is>
      </c>
      <c r="N892" t="inlineStr">
        <is>
          <t>https://drive.google.com/file/d/1YUN-mtWYs48YBUHJk0C3vJXnhjyZFHyf/view</t>
        </is>
      </c>
    </row>
    <row r="893">
      <c r="A893" s="42" t="inlineStr">
        <is>
          <t>GSC-SL-000890</t>
        </is>
      </c>
      <c r="B893" t="inlineStr">
        <is>
          <t>SZ-SL-000890</t>
        </is>
      </c>
      <c r="C893" t="inlineStr">
        <is>
          <t>WT-SL-YOKO-SUBERI</t>
        </is>
      </c>
      <c r="D893" t="inlineStr">
        <is>
          <t>SP-SL-YOKO-OP</t>
        </is>
      </c>
      <c r="E893" t="inlineStr">
        <is>
          <t>03603</t>
        </is>
      </c>
      <c r="F893" t="b">
        <v>1</v>
      </c>
      <c r="G893" t="n">
        <v>130</v>
      </c>
      <c r="H893" t="inlineStr">
        <is>
          <t>無印</t>
        </is>
      </c>
      <c r="I893" t="n">
        <v>131</v>
      </c>
      <c r="J893" t="inlineStr">
        <is>
          <t>P131|無印</t>
        </is>
      </c>
      <c r="K893" t="inlineStr">
        <is>
          <t>同一価格表・次頁凡例を継承</t>
        </is>
      </c>
      <c r="L893" t="inlineStr">
        <is>
          <t>202604_LIXIL_サーモスＬ_業務用資料集_完成品価格表.pdf</t>
        </is>
      </c>
      <c r="M893" t="inlineStr">
        <is>
          <t>v0.6：同一価格表セクション内で凡例継承を確定。</t>
        </is>
      </c>
      <c r="N893" t="inlineStr">
        <is>
          <t>https://drive.google.com/file/d/1YUN-mtWYs48YBUHJk0C3vJXnhjyZFHyf/view</t>
        </is>
      </c>
    </row>
    <row r="894">
      <c r="A894" s="42" t="inlineStr">
        <is>
          <t>GSC-SL-000891</t>
        </is>
      </c>
      <c r="B894" t="inlineStr">
        <is>
          <t>SZ-SL-000891</t>
        </is>
      </c>
      <c r="C894" t="inlineStr">
        <is>
          <t>WT-SL-YOKO-SUBERI</t>
        </is>
      </c>
      <c r="D894" t="inlineStr">
        <is>
          <t>SP-SL-YOKO-OP</t>
        </is>
      </c>
      <c r="E894" t="inlineStr">
        <is>
          <t>036033</t>
        </is>
      </c>
      <c r="F894" t="b">
        <v>1</v>
      </c>
      <c r="G894" t="n">
        <v>130</v>
      </c>
      <c r="H894" t="inlineStr">
        <is>
          <t>無印</t>
        </is>
      </c>
      <c r="I894" t="n">
        <v>131</v>
      </c>
      <c r="J894" t="inlineStr">
        <is>
          <t>P131|無印</t>
        </is>
      </c>
      <c r="K894" t="inlineStr">
        <is>
          <t>同一価格表・次頁凡例を継承</t>
        </is>
      </c>
      <c r="L894" t="inlineStr">
        <is>
          <t>202604_LIXIL_サーモスＬ_業務用資料集_完成品価格表.pdf</t>
        </is>
      </c>
      <c r="M894" t="inlineStr">
        <is>
          <t>v0.6：同一価格表セクション内で凡例継承を確定。</t>
        </is>
      </c>
      <c r="N894" t="inlineStr">
        <is>
          <t>https://drive.google.com/file/d/1YUN-mtWYs48YBUHJk0C3vJXnhjyZFHyf/view</t>
        </is>
      </c>
    </row>
    <row r="895">
      <c r="A895" s="42" t="inlineStr">
        <is>
          <t>GSC-SL-000892</t>
        </is>
      </c>
      <c r="B895" t="inlineStr">
        <is>
          <t>SZ-SL-000892</t>
        </is>
      </c>
      <c r="C895" t="inlineStr">
        <is>
          <t>WT-SL-YOKO-SUBERI</t>
        </is>
      </c>
      <c r="D895" t="inlineStr">
        <is>
          <t>SP-SL-YOKO-OP</t>
        </is>
      </c>
      <c r="E895" t="inlineStr">
        <is>
          <t>03605</t>
        </is>
      </c>
      <c r="F895" t="b">
        <v>1</v>
      </c>
      <c r="G895" t="n">
        <v>130</v>
      </c>
      <c r="H895" t="inlineStr">
        <is>
          <t>無印</t>
        </is>
      </c>
      <c r="I895" t="n">
        <v>131</v>
      </c>
      <c r="J895" t="inlineStr">
        <is>
          <t>P131|無印</t>
        </is>
      </c>
      <c r="K895" t="inlineStr">
        <is>
          <t>同一価格表・次頁凡例を継承</t>
        </is>
      </c>
      <c r="L895" t="inlineStr">
        <is>
          <t>202604_LIXIL_サーモスＬ_業務用資料集_完成品価格表.pdf</t>
        </is>
      </c>
      <c r="M895" t="inlineStr">
        <is>
          <t>v0.6：同一価格表セクション内で凡例継承を確定。</t>
        </is>
      </c>
      <c r="N895" t="inlineStr">
        <is>
          <t>https://drive.google.com/file/d/1YUN-mtWYs48YBUHJk0C3vJXnhjyZFHyf/view</t>
        </is>
      </c>
    </row>
    <row r="896">
      <c r="A896" s="42" t="inlineStr">
        <is>
          <t>GSC-SL-000893</t>
        </is>
      </c>
      <c r="B896" t="inlineStr">
        <is>
          <t>SZ-SL-000893</t>
        </is>
      </c>
      <c r="C896" t="inlineStr">
        <is>
          <t>WT-SL-YOKO-SUBERI</t>
        </is>
      </c>
      <c r="D896" t="inlineStr">
        <is>
          <t>SP-SL-YOKO-OP</t>
        </is>
      </c>
      <c r="E896" t="inlineStr">
        <is>
          <t>041038</t>
        </is>
      </c>
      <c r="F896" t="b">
        <v>1</v>
      </c>
      <c r="G896" t="n">
        <v>130</v>
      </c>
      <c r="H896" t="inlineStr">
        <is>
          <t>無印</t>
        </is>
      </c>
      <c r="I896" t="n">
        <v>131</v>
      </c>
      <c r="J896" t="inlineStr">
        <is>
          <t>P131|無印</t>
        </is>
      </c>
      <c r="K896" t="inlineStr">
        <is>
          <t>同一価格表・次頁凡例を継承</t>
        </is>
      </c>
      <c r="L896" t="inlineStr">
        <is>
          <t>202604_LIXIL_サーモスＬ_業務用資料集_完成品価格表.pdf</t>
        </is>
      </c>
      <c r="M896" t="inlineStr">
        <is>
          <t>v0.6：同一価格表セクション内で凡例継承を確定。</t>
        </is>
      </c>
      <c r="N896" t="inlineStr">
        <is>
          <t>https://drive.google.com/file/d/1YUN-mtWYs48YBUHJk0C3vJXnhjyZFHyf/view</t>
        </is>
      </c>
    </row>
    <row r="897">
      <c r="A897" s="42" t="inlineStr">
        <is>
          <t>GSC-SL-000894</t>
        </is>
      </c>
      <c r="B897" t="inlineStr">
        <is>
          <t>SZ-SL-000894</t>
        </is>
      </c>
      <c r="C897" t="inlineStr">
        <is>
          <t>WT-SL-YOKO-SUBERI</t>
        </is>
      </c>
      <c r="D897" t="inlineStr">
        <is>
          <t>SP-SL-YOKO-OP</t>
        </is>
      </c>
      <c r="E897" t="inlineStr">
        <is>
          <t>06003</t>
        </is>
      </c>
      <c r="F897" t="b">
        <v>1</v>
      </c>
      <c r="G897" t="n">
        <v>131</v>
      </c>
      <c r="H897" t="inlineStr">
        <is>
          <t>無印</t>
        </is>
      </c>
      <c r="I897" t="n">
        <v>131</v>
      </c>
      <c r="J897" t="inlineStr">
        <is>
          <t>P131|無印</t>
        </is>
      </c>
      <c r="K897" t="inlineStr">
        <is>
          <t>同頁凡例へ直接連動</t>
        </is>
      </c>
      <c r="L897" t="inlineStr">
        <is>
          <t>202604_LIXIL_サーモスＬ_業務用資料集_完成品価格表.pdf</t>
        </is>
      </c>
      <c r="M897" t="inlineStr">
        <is>
          <t>v0.6：同一価格表セクション内で凡例継承を確定。</t>
        </is>
      </c>
      <c r="N897" t="inlineStr">
        <is>
          <t>https://drive.google.com/file/d/1YUN-mtWYs48YBUHJk0C3vJXnhjyZFHyf/view</t>
        </is>
      </c>
    </row>
    <row r="898">
      <c r="A898" s="42" t="inlineStr">
        <is>
          <t>GSC-SL-000895</t>
        </is>
      </c>
      <c r="B898" t="inlineStr">
        <is>
          <t>SZ-SL-000895</t>
        </is>
      </c>
      <c r="C898" t="inlineStr">
        <is>
          <t>WT-SL-YOKO-SUBERI</t>
        </is>
      </c>
      <c r="D898" t="inlineStr">
        <is>
          <t>SP-SL-YOKO-OP</t>
        </is>
      </c>
      <c r="E898" t="inlineStr">
        <is>
          <t>06005</t>
        </is>
      </c>
      <c r="F898" t="b">
        <v>1</v>
      </c>
      <c r="G898" t="n">
        <v>131</v>
      </c>
      <c r="H898" t="inlineStr">
        <is>
          <t>無印</t>
        </is>
      </c>
      <c r="I898" t="n">
        <v>131</v>
      </c>
      <c r="J898" t="inlineStr">
        <is>
          <t>P131|無印</t>
        </is>
      </c>
      <c r="K898" t="inlineStr">
        <is>
          <t>同頁凡例へ直接連動</t>
        </is>
      </c>
      <c r="L898" t="inlineStr">
        <is>
          <t>202604_LIXIL_サーモスＬ_業務用資料集_完成品価格表.pdf</t>
        </is>
      </c>
      <c r="M898" t="inlineStr">
        <is>
          <t>v0.6：同一価格表セクション内で凡例継承を確定。</t>
        </is>
      </c>
      <c r="N898" t="inlineStr">
        <is>
          <t>https://drive.google.com/file/d/1YUN-mtWYs48YBUHJk0C3vJXnhjyZFHyf/view</t>
        </is>
      </c>
    </row>
    <row r="899">
      <c r="A899" s="42" t="inlineStr">
        <is>
          <t>GSC-SL-000896</t>
        </is>
      </c>
      <c r="B899" t="inlineStr">
        <is>
          <t>SZ-SL-000896</t>
        </is>
      </c>
      <c r="C899" t="inlineStr">
        <is>
          <t>WT-SL-YOKO-SUBERI</t>
        </is>
      </c>
      <c r="D899" t="inlineStr">
        <is>
          <t>SP-SL-YOKO-OP</t>
        </is>
      </c>
      <c r="E899" t="inlineStr">
        <is>
          <t>06903</t>
        </is>
      </c>
      <c r="F899" t="b">
        <v>1</v>
      </c>
      <c r="G899" t="n">
        <v>131</v>
      </c>
      <c r="H899" t="inlineStr">
        <is>
          <t>無印</t>
        </is>
      </c>
      <c r="I899" t="n">
        <v>131</v>
      </c>
      <c r="J899" t="inlineStr">
        <is>
          <t>P131|無印</t>
        </is>
      </c>
      <c r="K899" t="inlineStr">
        <is>
          <t>同頁凡例へ直接連動</t>
        </is>
      </c>
      <c r="L899" t="inlineStr">
        <is>
          <t>202604_LIXIL_サーモスＬ_業務用資料集_完成品価格表.pdf</t>
        </is>
      </c>
      <c r="M899" t="inlineStr">
        <is>
          <t>v0.6：同一価格表セクション内で凡例継承を確定。</t>
        </is>
      </c>
      <c r="N899" t="inlineStr">
        <is>
          <t>https://drive.google.com/file/d/1YUN-mtWYs48YBUHJk0C3vJXnhjyZFHyf/view</t>
        </is>
      </c>
    </row>
    <row r="900">
      <c r="A900" s="42" t="inlineStr">
        <is>
          <t>GSC-SL-000897</t>
        </is>
      </c>
      <c r="B900" t="inlineStr">
        <is>
          <t>SZ-SL-000897</t>
        </is>
      </c>
      <c r="C900" t="inlineStr">
        <is>
          <t>WT-SL-YOKO-SUBERI</t>
        </is>
      </c>
      <c r="D900" t="inlineStr">
        <is>
          <t>SP-SL-YOKO-OP</t>
        </is>
      </c>
      <c r="E900" t="inlineStr">
        <is>
          <t>06905</t>
        </is>
      </c>
      <c r="F900" t="b">
        <v>1</v>
      </c>
      <c r="G900" t="n">
        <v>131</v>
      </c>
      <c r="H900" t="inlineStr">
        <is>
          <t>無印</t>
        </is>
      </c>
      <c r="I900" t="n">
        <v>131</v>
      </c>
      <c r="J900" t="inlineStr">
        <is>
          <t>P131|無印</t>
        </is>
      </c>
      <c r="K900" t="inlineStr">
        <is>
          <t>同頁凡例へ直接連動</t>
        </is>
      </c>
      <c r="L900" t="inlineStr">
        <is>
          <t>202604_LIXIL_サーモスＬ_業務用資料集_完成品価格表.pdf</t>
        </is>
      </c>
      <c r="M900" t="inlineStr">
        <is>
          <t>v0.6：同一価格表セクション内で凡例継承を確定。</t>
        </is>
      </c>
      <c r="N900" t="inlineStr">
        <is>
          <t>https://drive.google.com/file/d/1YUN-mtWYs48YBUHJk0C3vJXnhjyZFHyf/view</t>
        </is>
      </c>
    </row>
    <row r="901">
      <c r="A901" s="42" t="inlineStr">
        <is>
          <t>GSC-SL-000898</t>
        </is>
      </c>
      <c r="B901" t="inlineStr">
        <is>
          <t>SZ-SL-000898</t>
        </is>
      </c>
      <c r="C901" t="inlineStr">
        <is>
          <t>WT-SL-YOKO-SUBERI</t>
        </is>
      </c>
      <c r="D901" t="inlineStr">
        <is>
          <t>SP-SL-YOKO-OP</t>
        </is>
      </c>
      <c r="E901" t="inlineStr">
        <is>
          <t>07403</t>
        </is>
      </c>
      <c r="F901" t="b">
        <v>1</v>
      </c>
      <c r="G901" t="n">
        <v>131</v>
      </c>
      <c r="H901" t="inlineStr">
        <is>
          <t>無印</t>
        </is>
      </c>
      <c r="I901" t="n">
        <v>131</v>
      </c>
      <c r="J901" t="inlineStr">
        <is>
          <t>P131|無印</t>
        </is>
      </c>
      <c r="K901" t="inlineStr">
        <is>
          <t>同頁凡例へ直接連動</t>
        </is>
      </c>
      <c r="L901" t="inlineStr">
        <is>
          <t>202604_LIXIL_サーモスＬ_業務用資料集_完成品価格表.pdf</t>
        </is>
      </c>
      <c r="M901" t="inlineStr">
        <is>
          <t>v0.6：同一価格表セクション内で凡例継承を確定。</t>
        </is>
      </c>
      <c r="N901" t="inlineStr">
        <is>
          <t>https://drive.google.com/file/d/1YUN-mtWYs48YBUHJk0C3vJXnhjyZFHyf/view</t>
        </is>
      </c>
    </row>
    <row r="902">
      <c r="A902" s="42" t="inlineStr">
        <is>
          <t>GSC-SL-000899</t>
        </is>
      </c>
      <c r="B902" t="inlineStr">
        <is>
          <t>SZ-SL-000899</t>
        </is>
      </c>
      <c r="C902" t="inlineStr">
        <is>
          <t>WT-SL-YOKO-SUBERI</t>
        </is>
      </c>
      <c r="D902" t="inlineStr">
        <is>
          <t>SP-SL-YOKO-OP</t>
        </is>
      </c>
      <c r="E902" t="inlineStr">
        <is>
          <t>07405</t>
        </is>
      </c>
      <c r="F902" t="b">
        <v>1</v>
      </c>
      <c r="G902" t="n">
        <v>131</v>
      </c>
      <c r="H902" t="inlineStr">
        <is>
          <t>無印</t>
        </is>
      </c>
      <c r="I902" t="n">
        <v>131</v>
      </c>
      <c r="J902" t="inlineStr">
        <is>
          <t>P131|無印</t>
        </is>
      </c>
      <c r="K902" t="inlineStr">
        <is>
          <t>同頁凡例へ直接連動</t>
        </is>
      </c>
      <c r="L902" t="inlineStr">
        <is>
          <t>202604_LIXIL_サーモスＬ_業務用資料集_完成品価格表.pdf</t>
        </is>
      </c>
      <c r="M902" t="inlineStr">
        <is>
          <t>v0.6：同一価格表セクション内で凡例継承を確定。</t>
        </is>
      </c>
      <c r="N902" t="inlineStr">
        <is>
          <t>https://drive.google.com/file/d/1YUN-mtWYs48YBUHJk0C3vJXnhjyZFHyf/view</t>
        </is>
      </c>
    </row>
    <row r="903">
      <c r="A903" s="42" t="inlineStr">
        <is>
          <t>GSC-SL-000900</t>
        </is>
      </c>
      <c r="B903" t="inlineStr">
        <is>
          <t>SZ-SL-000900</t>
        </is>
      </c>
      <c r="C903" t="inlineStr">
        <is>
          <t>WT-SL-YOKO-SUBERI</t>
        </is>
      </c>
      <c r="D903" t="inlineStr">
        <is>
          <t>SP-SL-YOKO-OP</t>
        </is>
      </c>
      <c r="E903" t="inlineStr">
        <is>
          <t>03607</t>
        </is>
      </c>
      <c r="F903" t="b">
        <v>1</v>
      </c>
      <c r="G903" t="n">
        <v>132</v>
      </c>
      <c r="H903" t="inlineStr">
        <is>
          <t>無印</t>
        </is>
      </c>
      <c r="I903" t="n">
        <v>132</v>
      </c>
      <c r="J903" t="inlineStr">
        <is>
          <t>P132|無印</t>
        </is>
      </c>
      <c r="K903" t="inlineStr">
        <is>
          <t>同頁凡例へ直接連動</t>
        </is>
      </c>
      <c r="L903" t="inlineStr">
        <is>
          <t>202604_LIXIL_サーモスＬ_業務用資料集_完成品価格表.pdf</t>
        </is>
      </c>
      <c r="M903" t="inlineStr">
        <is>
          <t>v0.6：同一価格表セクション内で凡例継承を確定。</t>
        </is>
      </c>
      <c r="N903" t="inlineStr">
        <is>
          <t>https://drive.google.com/file/d/1YUN-mtWYs48YBUHJk0C3vJXnhjyZFHyf/view</t>
        </is>
      </c>
    </row>
    <row r="904">
      <c r="A904" s="42" t="inlineStr">
        <is>
          <t>GSC-SL-000901</t>
        </is>
      </c>
      <c r="B904" t="inlineStr">
        <is>
          <t>SZ-SL-000901</t>
        </is>
      </c>
      <c r="C904" t="inlineStr">
        <is>
          <t>WT-SL-YOKO-SUBERI</t>
        </is>
      </c>
      <c r="D904" t="inlineStr">
        <is>
          <t>SP-SL-YOKO-OP</t>
        </is>
      </c>
      <c r="E904" t="inlineStr">
        <is>
          <t>060057</t>
        </is>
      </c>
      <c r="F904" t="b">
        <v>1</v>
      </c>
      <c r="G904" t="n">
        <v>133</v>
      </c>
      <c r="H904" t="inlineStr">
        <is>
          <t>無印</t>
        </is>
      </c>
      <c r="I904" t="n">
        <v>132</v>
      </c>
      <c r="J904" t="inlineStr">
        <is>
          <t>P132|無印</t>
        </is>
      </c>
      <c r="K904" t="inlineStr">
        <is>
          <t>同一価格表・前頁凡例を継承</t>
        </is>
      </c>
      <c r="L904" t="inlineStr">
        <is>
          <t>202604_LIXIL_サーモスＬ_業務用資料集_完成品価格表.pdf</t>
        </is>
      </c>
      <c r="M904" t="inlineStr">
        <is>
          <t>v0.6：同一価格表セクション内で凡例継承を確定。</t>
        </is>
      </c>
      <c r="N904" t="inlineStr">
        <is>
          <t>https://drive.google.com/file/d/1YUN-mtWYs48YBUHJk0C3vJXnhjyZFHyf/view</t>
        </is>
      </c>
    </row>
    <row r="905">
      <c r="A905" s="42" t="inlineStr">
        <is>
          <t>GSC-SL-000902</t>
        </is>
      </c>
      <c r="B905" t="inlineStr">
        <is>
          <t>SZ-SL-000902</t>
        </is>
      </c>
      <c r="C905" t="inlineStr">
        <is>
          <t>WT-SL-YOKO-SUBERI</t>
        </is>
      </c>
      <c r="D905" t="inlineStr">
        <is>
          <t>SP-SL-YOKO-OP</t>
        </is>
      </c>
      <c r="E905" t="inlineStr">
        <is>
          <t>06007</t>
        </is>
      </c>
      <c r="F905" t="b">
        <v>1</v>
      </c>
      <c r="G905" t="n">
        <v>133</v>
      </c>
      <c r="H905" t="inlineStr">
        <is>
          <t>無印</t>
        </is>
      </c>
      <c r="I905" t="n">
        <v>132</v>
      </c>
      <c r="J905" t="inlineStr">
        <is>
          <t>P132|無印</t>
        </is>
      </c>
      <c r="K905" t="inlineStr">
        <is>
          <t>同一価格表・前頁凡例を継承</t>
        </is>
      </c>
      <c r="L905" t="inlineStr">
        <is>
          <t>202604_LIXIL_サーモスＬ_業務用資料集_完成品価格表.pdf</t>
        </is>
      </c>
      <c r="M905" t="inlineStr">
        <is>
          <t>v0.6：同一価格表セクション内で凡例継承を確定。</t>
        </is>
      </c>
      <c r="N905" t="inlineStr">
        <is>
          <t>https://drive.google.com/file/d/1YUN-mtWYs48YBUHJk0C3vJXnhjyZFHyf/view</t>
        </is>
      </c>
    </row>
    <row r="906">
      <c r="A906" s="42" t="inlineStr">
        <is>
          <t>GSC-SL-000903</t>
        </is>
      </c>
      <c r="B906" t="inlineStr">
        <is>
          <t>SZ-SL-000903</t>
        </is>
      </c>
      <c r="C906" t="inlineStr">
        <is>
          <t>WT-SL-YOKO-SUBERI</t>
        </is>
      </c>
      <c r="D906" t="inlineStr">
        <is>
          <t>SP-SL-YOKO-OP</t>
        </is>
      </c>
      <c r="E906" t="inlineStr">
        <is>
          <t>06009</t>
        </is>
      </c>
      <c r="F906" t="b">
        <v>1</v>
      </c>
      <c r="G906" t="n">
        <v>133</v>
      </c>
      <c r="H906" t="inlineStr">
        <is>
          <t>無印</t>
        </is>
      </c>
      <c r="I906" t="n">
        <v>132</v>
      </c>
      <c r="J906" t="inlineStr">
        <is>
          <t>P132|無印</t>
        </is>
      </c>
      <c r="K906" t="inlineStr">
        <is>
          <t>同一価格表・前頁凡例を継承</t>
        </is>
      </c>
      <c r="L906" t="inlineStr">
        <is>
          <t>202604_LIXIL_サーモスＬ_業務用資料集_完成品価格表.pdf</t>
        </is>
      </c>
      <c r="M906" t="inlineStr">
        <is>
          <t>v0.6：同一価格表セクション内で凡例継承を確定。</t>
        </is>
      </c>
      <c r="N906" t="inlineStr">
        <is>
          <t>https://drive.google.com/file/d/1YUN-mtWYs48YBUHJk0C3vJXnhjyZFHyf/view</t>
        </is>
      </c>
    </row>
    <row r="907">
      <c r="A907" s="42" t="inlineStr">
        <is>
          <t>GSC-SL-000904</t>
        </is>
      </c>
      <c r="B907" t="inlineStr">
        <is>
          <t>SZ-SL-000904</t>
        </is>
      </c>
      <c r="C907" t="inlineStr">
        <is>
          <t>WT-SL-YOKO-SUBERI</t>
        </is>
      </c>
      <c r="D907" t="inlineStr">
        <is>
          <t>SP-SL-YOKO-OP</t>
        </is>
      </c>
      <c r="E907" t="inlineStr">
        <is>
          <t>06907</t>
        </is>
      </c>
      <c r="F907" t="b">
        <v>1</v>
      </c>
      <c r="G907" t="n">
        <v>133</v>
      </c>
      <c r="H907" t="inlineStr">
        <is>
          <t>無印</t>
        </is>
      </c>
      <c r="I907" t="n">
        <v>132</v>
      </c>
      <c r="J907" t="inlineStr">
        <is>
          <t>P132|無印</t>
        </is>
      </c>
      <c r="K907" t="inlineStr">
        <is>
          <t>同一価格表・前頁凡例を継承</t>
        </is>
      </c>
      <c r="L907" t="inlineStr">
        <is>
          <t>202604_LIXIL_サーモスＬ_業務用資料集_完成品価格表.pdf</t>
        </is>
      </c>
      <c r="M907" t="inlineStr">
        <is>
          <t>v0.6：同一価格表セクション内で凡例継承を確定。</t>
        </is>
      </c>
      <c r="N907" t="inlineStr">
        <is>
          <t>https://drive.google.com/file/d/1YUN-mtWYs48YBUHJk0C3vJXnhjyZFHyf/view</t>
        </is>
      </c>
    </row>
    <row r="908">
      <c r="A908" s="42" t="inlineStr">
        <is>
          <t>GSC-SL-000905</t>
        </is>
      </c>
      <c r="B908" t="inlineStr">
        <is>
          <t>SZ-SL-000905</t>
        </is>
      </c>
      <c r="C908" t="inlineStr">
        <is>
          <t>WT-SL-YOKO-SUBERI</t>
        </is>
      </c>
      <c r="D908" t="inlineStr">
        <is>
          <t>SP-SL-YOKO-OP</t>
        </is>
      </c>
      <c r="E908" t="inlineStr">
        <is>
          <t>06909</t>
        </is>
      </c>
      <c r="F908" t="b">
        <v>1</v>
      </c>
      <c r="G908" t="n">
        <v>133</v>
      </c>
      <c r="H908" t="inlineStr">
        <is>
          <t>無印</t>
        </is>
      </c>
      <c r="I908" t="n">
        <v>132</v>
      </c>
      <c r="J908" t="inlineStr">
        <is>
          <t>P132|無印</t>
        </is>
      </c>
      <c r="K908" t="inlineStr">
        <is>
          <t>同一価格表・前頁凡例を継承</t>
        </is>
      </c>
      <c r="L908" t="inlineStr">
        <is>
          <t>202604_LIXIL_サーモスＬ_業務用資料集_完成品価格表.pdf</t>
        </is>
      </c>
      <c r="M908" t="inlineStr">
        <is>
          <t>v0.6：同一価格表セクション内で凡例継承を確定。</t>
        </is>
      </c>
      <c r="N908" t="inlineStr">
        <is>
          <t>https://drive.google.com/file/d/1YUN-mtWYs48YBUHJk0C3vJXnhjyZFHyf/view</t>
        </is>
      </c>
    </row>
    <row r="909">
      <c r="A909" s="42" t="inlineStr">
        <is>
          <t>GSC-SL-000906</t>
        </is>
      </c>
      <c r="B909" t="inlineStr">
        <is>
          <t>SZ-SL-000906</t>
        </is>
      </c>
      <c r="C909" t="inlineStr">
        <is>
          <t>WT-SL-YOKO-SUBERI</t>
        </is>
      </c>
      <c r="D909" t="inlineStr">
        <is>
          <t>SP-SL-YOKO-OP</t>
        </is>
      </c>
      <c r="E909" t="inlineStr">
        <is>
          <t>07407</t>
        </is>
      </c>
      <c r="F909" t="b">
        <v>1</v>
      </c>
      <c r="G909" t="n">
        <v>133</v>
      </c>
      <c r="H909" t="inlineStr">
        <is>
          <t>無印</t>
        </is>
      </c>
      <c r="I909" t="n">
        <v>132</v>
      </c>
      <c r="J909" t="inlineStr">
        <is>
          <t>P132|無印</t>
        </is>
      </c>
      <c r="K909" t="inlineStr">
        <is>
          <t>同一価格表・前頁凡例を継承</t>
        </is>
      </c>
      <c r="L909" t="inlineStr">
        <is>
          <t>202604_LIXIL_サーモスＬ_業務用資料集_完成品価格表.pdf</t>
        </is>
      </c>
      <c r="M909" t="inlineStr">
        <is>
          <t>v0.6：同一価格表セクション内で凡例継承を確定。</t>
        </is>
      </c>
      <c r="N909" t="inlineStr">
        <is>
          <t>https://drive.google.com/file/d/1YUN-mtWYs48YBUHJk0C3vJXnhjyZFHyf/view</t>
        </is>
      </c>
    </row>
    <row r="910">
      <c r="A910" s="42" t="inlineStr">
        <is>
          <t>GSC-SL-000907</t>
        </is>
      </c>
      <c r="B910" t="inlineStr">
        <is>
          <t>SZ-SL-000907</t>
        </is>
      </c>
      <c r="C910" t="inlineStr">
        <is>
          <t>WT-SL-YOKO-SUBERI</t>
        </is>
      </c>
      <c r="D910" t="inlineStr">
        <is>
          <t>SP-SL-YOKO-OP</t>
        </is>
      </c>
      <c r="E910" t="inlineStr">
        <is>
          <t>07409</t>
        </is>
      </c>
      <c r="F910" t="b">
        <v>1</v>
      </c>
      <c r="G910" t="n">
        <v>133</v>
      </c>
      <c r="H910" t="inlineStr">
        <is>
          <t>無印</t>
        </is>
      </c>
      <c r="I910" t="n">
        <v>132</v>
      </c>
      <c r="J910" t="inlineStr">
        <is>
          <t>P132|無印</t>
        </is>
      </c>
      <c r="K910" t="inlineStr">
        <is>
          <t>同一価格表・前頁凡例を継承</t>
        </is>
      </c>
      <c r="L910" t="inlineStr">
        <is>
          <t>202604_LIXIL_サーモスＬ_業務用資料集_完成品価格表.pdf</t>
        </is>
      </c>
      <c r="M910" t="inlineStr">
        <is>
          <t>v0.6：同一価格表セクション内で凡例継承を確定。</t>
        </is>
      </c>
      <c r="N910" t="inlineStr">
        <is>
          <t>https://drive.google.com/file/d/1YUN-mtWYs48YBUHJk0C3vJXnhjyZFHyf/view</t>
        </is>
      </c>
    </row>
    <row r="911">
      <c r="A911" s="42" t="inlineStr">
        <is>
          <t>GSC-SL-000908</t>
        </is>
      </c>
      <c r="B911" t="inlineStr">
        <is>
          <t>SZ-SL-000908</t>
        </is>
      </c>
      <c r="C911" t="inlineStr">
        <is>
          <t>WT-SL-YOKO-SUBERI</t>
        </is>
      </c>
      <c r="D911" t="inlineStr">
        <is>
          <t>SP-SL-YOKO-OP</t>
        </is>
      </c>
      <c r="E911" t="inlineStr">
        <is>
          <t>096093</t>
        </is>
      </c>
      <c r="F911" t="b">
        <v>1</v>
      </c>
      <c r="G911" t="n">
        <v>133</v>
      </c>
      <c r="H911" t="inlineStr">
        <is>
          <t>無印</t>
        </is>
      </c>
      <c r="I911" t="n">
        <v>132</v>
      </c>
      <c r="J911" t="inlineStr">
        <is>
          <t>P132|無印</t>
        </is>
      </c>
      <c r="K911" t="inlineStr">
        <is>
          <t>同一価格表・前頁凡例を継承</t>
        </is>
      </c>
      <c r="L911" t="inlineStr">
        <is>
          <t>202604_LIXIL_サーモスＬ_業務用資料集_完成品価格表.pdf</t>
        </is>
      </c>
      <c r="M911" t="inlineStr">
        <is>
          <t>v0.6：同一価格表セクション内で凡例継承を確定。</t>
        </is>
      </c>
      <c r="N911" t="inlineStr">
        <is>
          <t>https://drive.google.com/file/d/1YUN-mtWYs48YBUHJk0C3vJXnhjyZFHyf/view</t>
        </is>
      </c>
    </row>
    <row r="912">
      <c r="A912" s="42" t="inlineStr">
        <is>
          <t>GSC-SL-000909</t>
        </is>
      </c>
      <c r="B912" t="inlineStr">
        <is>
          <t>SZ-SL-000909</t>
        </is>
      </c>
      <c r="C912" t="inlineStr">
        <is>
          <t>WT-SL-YOKO-SUBERI</t>
        </is>
      </c>
      <c r="D912" t="inlineStr">
        <is>
          <t>SP-SL-YOKO-OP</t>
        </is>
      </c>
      <c r="E912" t="inlineStr">
        <is>
          <t>119116</t>
        </is>
      </c>
      <c r="F912" t="b">
        <v>1</v>
      </c>
      <c r="G912" t="n">
        <v>133</v>
      </c>
      <c r="H912" t="inlineStr">
        <is>
          <t>★</t>
        </is>
      </c>
      <c r="I912" t="n">
        <v>132</v>
      </c>
      <c r="J912" t="inlineStr">
        <is>
          <t>P132|★</t>
        </is>
      </c>
      <c r="K912" t="inlineStr">
        <is>
          <t>同一価格表・前頁凡例を継承</t>
        </is>
      </c>
      <c r="L912" t="inlineStr">
        <is>
          <t>202604_LIXIL_サーモスＬ_業務用資料集_完成品価格表.pdf</t>
        </is>
      </c>
      <c r="M912" t="inlineStr">
        <is>
          <t>v0.6：同一価格表セクション内で凡例継承を確定。</t>
        </is>
      </c>
      <c r="N912" t="inlineStr">
        <is>
          <t>https://drive.google.com/file/d/1YUN-mtWYs48YBUHJk0C3vJXnhjyZFHyf/view</t>
        </is>
      </c>
    </row>
    <row r="913">
      <c r="A913" s="42" t="inlineStr">
        <is>
          <t>GSC-SL-000910</t>
        </is>
      </c>
      <c r="B913" t="inlineStr">
        <is>
          <t>SZ-SL-000910</t>
        </is>
      </c>
      <c r="C913" t="inlineStr">
        <is>
          <t>WT-SL-KOSHO-YOKO</t>
        </is>
      </c>
      <c r="D913" t="inlineStr">
        <is>
          <t>*</t>
        </is>
      </c>
      <c r="E913" t="inlineStr">
        <is>
          <t>069023</t>
        </is>
      </c>
      <c r="F913" t="b">
        <v>1</v>
      </c>
      <c r="G913" t="n">
        <v>138</v>
      </c>
      <c r="H913" t="inlineStr">
        <is>
          <t>無印</t>
        </is>
      </c>
      <c r="I913" t="n">
        <v>138</v>
      </c>
      <c r="J913" t="inlineStr">
        <is>
          <t>P138|無印</t>
        </is>
      </c>
      <c r="K913" t="inlineStr">
        <is>
          <t>同頁凡例へ直接連動</t>
        </is>
      </c>
      <c r="L913" t="inlineStr">
        <is>
          <t>202604_LIXIL_サーモスＬ_業務用資料集_完成品価格表.pdf</t>
        </is>
      </c>
      <c r="M913" t="inlineStr">
        <is>
          <t>v0.6：同一価格表セクション内で凡例継承を確定。</t>
        </is>
      </c>
      <c r="N913" t="inlineStr">
        <is>
          <t>https://drive.google.com/file/d/1YUN-mtWYs48YBUHJk0C3vJXnhjyZFHyf/view</t>
        </is>
      </c>
    </row>
    <row r="914">
      <c r="A914" s="42" t="inlineStr">
        <is>
          <t>GSC-SL-000911</t>
        </is>
      </c>
      <c r="B914" t="inlineStr">
        <is>
          <t>SZ-SL-000911</t>
        </is>
      </c>
      <c r="C914" t="inlineStr">
        <is>
          <t>WT-SL-KOSHO-YOKO</t>
        </is>
      </c>
      <c r="D914" t="inlineStr">
        <is>
          <t>*</t>
        </is>
      </c>
      <c r="E914" t="inlineStr">
        <is>
          <t>069028</t>
        </is>
      </c>
      <c r="F914" t="b">
        <v>1</v>
      </c>
      <c r="G914" t="n">
        <v>138</v>
      </c>
      <c r="H914" t="inlineStr">
        <is>
          <t>無印</t>
        </is>
      </c>
      <c r="I914" t="n">
        <v>138</v>
      </c>
      <c r="J914" t="inlineStr">
        <is>
          <t>P138|無印</t>
        </is>
      </c>
      <c r="K914" t="inlineStr">
        <is>
          <t>同頁凡例へ直接連動</t>
        </is>
      </c>
      <c r="L914" t="inlineStr">
        <is>
          <t>202604_LIXIL_サーモスＬ_業務用資料集_完成品価格表.pdf</t>
        </is>
      </c>
      <c r="M914" t="inlineStr">
        <is>
          <t>v0.6：同一価格表セクション内で凡例継承を確定。</t>
        </is>
      </c>
      <c r="N914" t="inlineStr">
        <is>
          <t>https://drive.google.com/file/d/1YUN-mtWYs48YBUHJk0C3vJXnhjyZFHyf/view</t>
        </is>
      </c>
    </row>
    <row r="915">
      <c r="A915" s="42" t="inlineStr">
        <is>
          <t>GSC-SL-000912</t>
        </is>
      </c>
      <c r="B915" t="inlineStr">
        <is>
          <t>SZ-SL-000912</t>
        </is>
      </c>
      <c r="C915" t="inlineStr">
        <is>
          <t>WT-SL-KOSHO-YOKO</t>
        </is>
      </c>
      <c r="D915" t="inlineStr">
        <is>
          <t>*</t>
        </is>
      </c>
      <c r="E915" t="inlineStr">
        <is>
          <t>06903</t>
        </is>
      </c>
      <c r="F915" t="b">
        <v>1</v>
      </c>
      <c r="G915" t="n">
        <v>138</v>
      </c>
      <c r="H915" t="inlineStr">
        <is>
          <t>無印</t>
        </is>
      </c>
      <c r="I915" t="n">
        <v>138</v>
      </c>
      <c r="J915" t="inlineStr">
        <is>
          <t>P138|無印</t>
        </is>
      </c>
      <c r="K915" t="inlineStr">
        <is>
          <t>同頁凡例へ直接連動</t>
        </is>
      </c>
      <c r="L915" t="inlineStr">
        <is>
          <t>202604_LIXIL_サーモスＬ_業務用資料集_完成品価格表.pdf</t>
        </is>
      </c>
      <c r="M915" t="inlineStr">
        <is>
          <t>v0.6：同一価格表セクション内で凡例継承を確定。</t>
        </is>
      </c>
      <c r="N915" t="inlineStr">
        <is>
          <t>https://drive.google.com/file/d/1YUN-mtWYs48YBUHJk0C3vJXnhjyZFHyf/view</t>
        </is>
      </c>
    </row>
    <row r="916">
      <c r="A916" s="42" t="inlineStr">
        <is>
          <t>GSC-SL-000913</t>
        </is>
      </c>
      <c r="B916" t="inlineStr">
        <is>
          <t>SZ-SL-000913</t>
        </is>
      </c>
      <c r="C916" t="inlineStr">
        <is>
          <t>WT-SL-KOSHO-YOKO</t>
        </is>
      </c>
      <c r="D916" t="inlineStr">
        <is>
          <t>*</t>
        </is>
      </c>
      <c r="E916" t="inlineStr">
        <is>
          <t>06905</t>
        </is>
      </c>
      <c r="F916" t="b">
        <v>1</v>
      </c>
      <c r="G916" t="n">
        <v>138</v>
      </c>
      <c r="H916" t="inlineStr">
        <is>
          <t>無印</t>
        </is>
      </c>
      <c r="I916" t="n">
        <v>138</v>
      </c>
      <c r="J916" t="inlineStr">
        <is>
          <t>P138|無印</t>
        </is>
      </c>
      <c r="K916" t="inlineStr">
        <is>
          <t>同頁凡例へ直接連動</t>
        </is>
      </c>
      <c r="L916" t="inlineStr">
        <is>
          <t>202604_LIXIL_サーモスＬ_業務用資料集_完成品価格表.pdf</t>
        </is>
      </c>
      <c r="M916" t="inlineStr">
        <is>
          <t>v0.6：同一価格表セクション内で凡例継承を確定。</t>
        </is>
      </c>
      <c r="N916" t="inlineStr">
        <is>
          <t>https://drive.google.com/file/d/1YUN-mtWYs48YBUHJk0C3vJXnhjyZFHyf/view</t>
        </is>
      </c>
    </row>
    <row r="917">
      <c r="A917" s="42" t="inlineStr">
        <is>
          <t>GSC-SL-000914</t>
        </is>
      </c>
      <c r="B917" t="inlineStr">
        <is>
          <t>SZ-SL-000914</t>
        </is>
      </c>
      <c r="C917" t="inlineStr">
        <is>
          <t>WT-SL-KOSHO-YOKO</t>
        </is>
      </c>
      <c r="D917" t="inlineStr">
        <is>
          <t>*</t>
        </is>
      </c>
      <c r="E917" t="inlineStr">
        <is>
          <t>074023</t>
        </is>
      </c>
      <c r="F917" t="b">
        <v>1</v>
      </c>
      <c r="G917" t="n">
        <v>138</v>
      </c>
      <c r="H917" t="inlineStr">
        <is>
          <t>無印</t>
        </is>
      </c>
      <c r="I917" t="n">
        <v>138</v>
      </c>
      <c r="J917" t="inlineStr">
        <is>
          <t>P138|無印</t>
        </is>
      </c>
      <c r="K917" t="inlineStr">
        <is>
          <t>同頁凡例へ直接連動</t>
        </is>
      </c>
      <c r="L917" t="inlineStr">
        <is>
          <t>202604_LIXIL_サーモスＬ_業務用資料集_完成品価格表.pdf</t>
        </is>
      </c>
      <c r="M917" t="inlineStr">
        <is>
          <t>v0.6：同一価格表セクション内で凡例継承を確定。</t>
        </is>
      </c>
      <c r="N917" t="inlineStr">
        <is>
          <t>https://drive.google.com/file/d/1YUN-mtWYs48YBUHJk0C3vJXnhjyZFHyf/view</t>
        </is>
      </c>
    </row>
    <row r="918">
      <c r="A918" s="42" t="inlineStr">
        <is>
          <t>GSC-SL-000915</t>
        </is>
      </c>
      <c r="B918" t="inlineStr">
        <is>
          <t>SZ-SL-000915</t>
        </is>
      </c>
      <c r="C918" t="inlineStr">
        <is>
          <t>WT-SL-KOSHO-YOKO</t>
        </is>
      </c>
      <c r="D918" t="inlineStr">
        <is>
          <t>*</t>
        </is>
      </c>
      <c r="E918" t="inlineStr">
        <is>
          <t>074028</t>
        </is>
      </c>
      <c r="F918" t="b">
        <v>1</v>
      </c>
      <c r="G918" t="n">
        <v>138</v>
      </c>
      <c r="H918" t="inlineStr">
        <is>
          <t>無印</t>
        </is>
      </c>
      <c r="I918" t="n">
        <v>138</v>
      </c>
      <c r="J918" t="inlineStr">
        <is>
          <t>P138|無印</t>
        </is>
      </c>
      <c r="K918" t="inlineStr">
        <is>
          <t>同頁凡例へ直接連動</t>
        </is>
      </c>
      <c r="L918" t="inlineStr">
        <is>
          <t>202604_LIXIL_サーモスＬ_業務用資料集_完成品価格表.pdf</t>
        </is>
      </c>
      <c r="M918" t="inlineStr">
        <is>
          <t>v0.6：同一価格表セクション内で凡例継承を確定。</t>
        </is>
      </c>
      <c r="N918" t="inlineStr">
        <is>
          <t>https://drive.google.com/file/d/1YUN-mtWYs48YBUHJk0C3vJXnhjyZFHyf/view</t>
        </is>
      </c>
    </row>
    <row r="919">
      <c r="A919" s="42" t="inlineStr">
        <is>
          <t>GSC-SL-000916</t>
        </is>
      </c>
      <c r="B919" t="inlineStr">
        <is>
          <t>SZ-SL-000916</t>
        </is>
      </c>
      <c r="C919" t="inlineStr">
        <is>
          <t>WT-SL-KOSHO-YOKO</t>
        </is>
      </c>
      <c r="D919" t="inlineStr">
        <is>
          <t>*</t>
        </is>
      </c>
      <c r="E919" t="inlineStr">
        <is>
          <t>07403</t>
        </is>
      </c>
      <c r="F919" t="b">
        <v>1</v>
      </c>
      <c r="G919" t="n">
        <v>138</v>
      </c>
      <c r="H919" t="inlineStr">
        <is>
          <t>無印</t>
        </is>
      </c>
      <c r="I919" t="n">
        <v>138</v>
      </c>
      <c r="J919" t="inlineStr">
        <is>
          <t>P138|無印</t>
        </is>
      </c>
      <c r="K919" t="inlineStr">
        <is>
          <t>同頁凡例へ直接連動</t>
        </is>
      </c>
      <c r="L919" t="inlineStr">
        <is>
          <t>202604_LIXIL_サーモスＬ_業務用資料集_完成品価格表.pdf</t>
        </is>
      </c>
      <c r="M919" t="inlineStr">
        <is>
          <t>v0.6：同一価格表セクション内で凡例継承を確定。</t>
        </is>
      </c>
      <c r="N919" t="inlineStr">
        <is>
          <t>https://drive.google.com/file/d/1YUN-mtWYs48YBUHJk0C3vJXnhjyZFHyf/view</t>
        </is>
      </c>
    </row>
    <row r="920">
      <c r="A920" s="42" t="inlineStr">
        <is>
          <t>GSC-SL-000917</t>
        </is>
      </c>
      <c r="B920" t="inlineStr">
        <is>
          <t>SZ-SL-000917</t>
        </is>
      </c>
      <c r="C920" t="inlineStr">
        <is>
          <t>WT-SL-KOSHO-YOKO</t>
        </is>
      </c>
      <c r="D920" t="inlineStr">
        <is>
          <t>*</t>
        </is>
      </c>
      <c r="E920" t="inlineStr">
        <is>
          <t>07405</t>
        </is>
      </c>
      <c r="F920" t="b">
        <v>1</v>
      </c>
      <c r="G920" t="n">
        <v>138</v>
      </c>
      <c r="H920" t="inlineStr">
        <is>
          <t>無印</t>
        </is>
      </c>
      <c r="I920" t="n">
        <v>138</v>
      </c>
      <c r="J920" t="inlineStr">
        <is>
          <t>P138|無印</t>
        </is>
      </c>
      <c r="K920" t="inlineStr">
        <is>
          <t>同頁凡例へ直接連動</t>
        </is>
      </c>
      <c r="L920" t="inlineStr">
        <is>
          <t>202604_LIXIL_サーモスＬ_業務用資料集_完成品価格表.pdf</t>
        </is>
      </c>
      <c r="M920" t="inlineStr">
        <is>
          <t>v0.6：同一価格表セクション内で凡例継承を確定。</t>
        </is>
      </c>
      <c r="N920" t="inlineStr">
        <is>
          <t>https://drive.google.com/file/d/1YUN-mtWYs48YBUHJk0C3vJXnhjyZFHyf/view</t>
        </is>
      </c>
    </row>
    <row r="921">
      <c r="A921" s="42" t="inlineStr">
        <is>
          <t>GSC-SL-000918</t>
        </is>
      </c>
      <c r="B921" t="inlineStr">
        <is>
          <t>SZ-SL-000918</t>
        </is>
      </c>
      <c r="C921" t="inlineStr">
        <is>
          <t>WT-SL-KOSHO-YOKO</t>
        </is>
      </c>
      <c r="D921" t="inlineStr">
        <is>
          <t>*</t>
        </is>
      </c>
      <c r="E921" t="inlineStr">
        <is>
          <t>114023</t>
        </is>
      </c>
      <c r="F921" t="b">
        <v>1</v>
      </c>
      <c r="G921" t="n">
        <v>139</v>
      </c>
      <c r="H921" t="inlineStr">
        <is>
          <t>無印</t>
        </is>
      </c>
      <c r="I921" t="n">
        <v>138</v>
      </c>
      <c r="J921" t="inlineStr">
        <is>
          <t>P138|無印</t>
        </is>
      </c>
      <c r="K921" t="inlineStr">
        <is>
          <t>同一価格表・前頁凡例を継承</t>
        </is>
      </c>
      <c r="L921" t="inlineStr">
        <is>
          <t>202604_LIXIL_サーモスＬ_業務用資料集_完成品価格表.pdf</t>
        </is>
      </c>
      <c r="M921" t="inlineStr">
        <is>
          <t>v0.6：同一価格表セクション内で凡例継承を確定。</t>
        </is>
      </c>
      <c r="N921" t="inlineStr">
        <is>
          <t>https://drive.google.com/file/d/1YUN-mtWYs48YBUHJk0C3vJXnhjyZFHyf/view</t>
        </is>
      </c>
    </row>
    <row r="922">
      <c r="A922" s="42" t="inlineStr">
        <is>
          <t>GSC-SL-000919</t>
        </is>
      </c>
      <c r="B922" t="inlineStr">
        <is>
          <t>SZ-SL-000919</t>
        </is>
      </c>
      <c r="C922" t="inlineStr">
        <is>
          <t>WT-SL-KOSHO-YOKO</t>
        </is>
      </c>
      <c r="D922" t="inlineStr">
        <is>
          <t>*</t>
        </is>
      </c>
      <c r="E922" t="inlineStr">
        <is>
          <t>114028</t>
        </is>
      </c>
      <c r="F922" t="b">
        <v>1</v>
      </c>
      <c r="G922" t="n">
        <v>139</v>
      </c>
      <c r="H922" t="inlineStr">
        <is>
          <t>無印</t>
        </is>
      </c>
      <c r="I922" t="n">
        <v>138</v>
      </c>
      <c r="J922" t="inlineStr">
        <is>
          <t>P138|無印</t>
        </is>
      </c>
      <c r="K922" t="inlineStr">
        <is>
          <t>同一価格表・前頁凡例を継承</t>
        </is>
      </c>
      <c r="L922" t="inlineStr">
        <is>
          <t>202604_LIXIL_サーモスＬ_業務用資料集_完成品価格表.pdf</t>
        </is>
      </c>
      <c r="M922" t="inlineStr">
        <is>
          <t>v0.6：同一価格表セクション内で凡例継承を確定。</t>
        </is>
      </c>
      <c r="N922" t="inlineStr">
        <is>
          <t>https://drive.google.com/file/d/1YUN-mtWYs48YBUHJk0C3vJXnhjyZFHyf/view</t>
        </is>
      </c>
    </row>
    <row r="923">
      <c r="A923" s="42" t="inlineStr">
        <is>
          <t>GSC-SL-000920</t>
        </is>
      </c>
      <c r="B923" t="inlineStr">
        <is>
          <t>SZ-SL-000920</t>
        </is>
      </c>
      <c r="C923" t="inlineStr">
        <is>
          <t>WT-SL-KOSHO-YOKO</t>
        </is>
      </c>
      <c r="D923" t="inlineStr">
        <is>
          <t>*</t>
        </is>
      </c>
      <c r="E923" t="inlineStr">
        <is>
          <t>11403</t>
        </is>
      </c>
      <c r="F923" t="b">
        <v>1</v>
      </c>
      <c r="G923" t="n">
        <v>139</v>
      </c>
      <c r="H923" t="inlineStr">
        <is>
          <t>無印</t>
        </is>
      </c>
      <c r="I923" t="n">
        <v>138</v>
      </c>
      <c r="J923" t="inlineStr">
        <is>
          <t>P138|無印</t>
        </is>
      </c>
      <c r="K923" t="inlineStr">
        <is>
          <t>同一価格表・前頁凡例を継承</t>
        </is>
      </c>
      <c r="L923" t="inlineStr">
        <is>
          <t>202604_LIXIL_サーモスＬ_業務用資料集_完成品価格表.pdf</t>
        </is>
      </c>
      <c r="M923" t="inlineStr">
        <is>
          <t>v0.6：同一価格表セクション内で凡例継承を確定。</t>
        </is>
      </c>
      <c r="N923" t="inlineStr">
        <is>
          <t>https://drive.google.com/file/d/1YUN-mtWYs48YBUHJk0C3vJXnhjyZFHyf/view</t>
        </is>
      </c>
    </row>
    <row r="924">
      <c r="A924" s="42" t="inlineStr">
        <is>
          <t>GSC-SL-000921</t>
        </is>
      </c>
      <c r="B924" t="inlineStr">
        <is>
          <t>SZ-SL-000921</t>
        </is>
      </c>
      <c r="C924" t="inlineStr">
        <is>
          <t>WT-SL-KOSHO-YOKO</t>
        </is>
      </c>
      <c r="D924" t="inlineStr">
        <is>
          <t>*</t>
        </is>
      </c>
      <c r="E924" t="inlineStr">
        <is>
          <t>11405</t>
        </is>
      </c>
      <c r="F924" t="b">
        <v>1</v>
      </c>
      <c r="G924" t="n">
        <v>139</v>
      </c>
      <c r="H924" t="inlineStr">
        <is>
          <t>無印</t>
        </is>
      </c>
      <c r="I924" t="n">
        <v>138</v>
      </c>
      <c r="J924" t="inlineStr">
        <is>
          <t>P138|無印</t>
        </is>
      </c>
      <c r="K924" t="inlineStr">
        <is>
          <t>同一価格表・前頁凡例を継承</t>
        </is>
      </c>
      <c r="L924" t="inlineStr">
        <is>
          <t>202604_LIXIL_サーモスＬ_業務用資料集_完成品価格表.pdf</t>
        </is>
      </c>
      <c r="M924" t="inlineStr">
        <is>
          <t>v0.6：同一価格表セクション内で凡例継承を確定。</t>
        </is>
      </c>
      <c r="N924" t="inlineStr">
        <is>
          <t>https://drive.google.com/file/d/1YUN-mtWYs48YBUHJk0C3vJXnhjyZFHyf/view</t>
        </is>
      </c>
    </row>
    <row r="925">
      <c r="A925" s="42" t="inlineStr">
        <is>
          <t>GSC-SL-000922</t>
        </is>
      </c>
      <c r="B925" t="inlineStr">
        <is>
          <t>SZ-SL-000922</t>
        </is>
      </c>
      <c r="C925" t="inlineStr">
        <is>
          <t>WT-SL-KOSHO-YOKO</t>
        </is>
      </c>
      <c r="D925" t="inlineStr">
        <is>
          <t>*</t>
        </is>
      </c>
      <c r="E925" t="inlineStr">
        <is>
          <t>119023</t>
        </is>
      </c>
      <c r="F925" t="b">
        <v>1</v>
      </c>
      <c r="G925" t="n">
        <v>139</v>
      </c>
      <c r="H925" t="inlineStr">
        <is>
          <t>無印</t>
        </is>
      </c>
      <c r="I925" t="n">
        <v>138</v>
      </c>
      <c r="J925" t="inlineStr">
        <is>
          <t>P138|無印</t>
        </is>
      </c>
      <c r="K925" t="inlineStr">
        <is>
          <t>同一価格表・前頁凡例を継承</t>
        </is>
      </c>
      <c r="L925" t="inlineStr">
        <is>
          <t>202604_LIXIL_サーモスＬ_業務用資料集_完成品価格表.pdf</t>
        </is>
      </c>
      <c r="M925" t="inlineStr">
        <is>
          <t>v0.6：同一価格表セクション内で凡例継承を確定。</t>
        </is>
      </c>
      <c r="N925" t="inlineStr">
        <is>
          <t>https://drive.google.com/file/d/1YUN-mtWYs48YBUHJk0C3vJXnhjyZFHyf/view</t>
        </is>
      </c>
    </row>
    <row r="926">
      <c r="A926" s="42" t="inlineStr">
        <is>
          <t>GSC-SL-000923</t>
        </is>
      </c>
      <c r="B926" t="inlineStr">
        <is>
          <t>SZ-SL-000923</t>
        </is>
      </c>
      <c r="C926" t="inlineStr">
        <is>
          <t>WT-SL-KOSHO-YOKO</t>
        </is>
      </c>
      <c r="D926" t="inlineStr">
        <is>
          <t>*</t>
        </is>
      </c>
      <c r="E926" t="inlineStr">
        <is>
          <t>119028</t>
        </is>
      </c>
      <c r="F926" t="b">
        <v>1</v>
      </c>
      <c r="G926" t="n">
        <v>139</v>
      </c>
      <c r="H926" t="inlineStr">
        <is>
          <t>無印</t>
        </is>
      </c>
      <c r="I926" t="n">
        <v>138</v>
      </c>
      <c r="J926" t="inlineStr">
        <is>
          <t>P138|無印</t>
        </is>
      </c>
      <c r="K926" t="inlineStr">
        <is>
          <t>同一価格表・前頁凡例を継承</t>
        </is>
      </c>
      <c r="L926" t="inlineStr">
        <is>
          <t>202604_LIXIL_サーモスＬ_業務用資料集_完成品価格表.pdf</t>
        </is>
      </c>
      <c r="M926" t="inlineStr">
        <is>
          <t>v0.6：同一価格表セクション内で凡例継承を確定。</t>
        </is>
      </c>
      <c r="N926" t="inlineStr">
        <is>
          <t>https://drive.google.com/file/d/1YUN-mtWYs48YBUHJk0C3vJXnhjyZFHyf/view</t>
        </is>
      </c>
    </row>
    <row r="927">
      <c r="A927" s="42" t="inlineStr">
        <is>
          <t>GSC-SL-000924</t>
        </is>
      </c>
      <c r="B927" t="inlineStr">
        <is>
          <t>SZ-SL-000924</t>
        </is>
      </c>
      <c r="C927" t="inlineStr">
        <is>
          <t>WT-SL-KOSHO-YOKO</t>
        </is>
      </c>
      <c r="D927" t="inlineStr">
        <is>
          <t>*</t>
        </is>
      </c>
      <c r="E927" t="inlineStr">
        <is>
          <t>11903</t>
        </is>
      </c>
      <c r="F927" t="b">
        <v>1</v>
      </c>
      <c r="G927" t="n">
        <v>139</v>
      </c>
      <c r="H927" t="inlineStr">
        <is>
          <t>無印</t>
        </is>
      </c>
      <c r="I927" t="n">
        <v>138</v>
      </c>
      <c r="J927" t="inlineStr">
        <is>
          <t>P138|無印</t>
        </is>
      </c>
      <c r="K927" t="inlineStr">
        <is>
          <t>同一価格表・前頁凡例を継承</t>
        </is>
      </c>
      <c r="L927" t="inlineStr">
        <is>
          <t>202604_LIXIL_サーモスＬ_業務用資料集_完成品価格表.pdf</t>
        </is>
      </c>
      <c r="M927" t="inlineStr">
        <is>
          <t>v0.6：同一価格表セクション内で凡例継承を確定。</t>
        </is>
      </c>
      <c r="N927" t="inlineStr">
        <is>
          <t>https://drive.google.com/file/d/1YUN-mtWYs48YBUHJk0C3vJXnhjyZFHyf/view</t>
        </is>
      </c>
    </row>
    <row r="928">
      <c r="A928" s="42" t="inlineStr">
        <is>
          <t>GSC-SL-000925</t>
        </is>
      </c>
      <c r="B928" t="inlineStr">
        <is>
          <t>SZ-SL-000925</t>
        </is>
      </c>
      <c r="C928" t="inlineStr">
        <is>
          <t>WT-SL-KOSHO-YOKO</t>
        </is>
      </c>
      <c r="D928" t="inlineStr">
        <is>
          <t>*</t>
        </is>
      </c>
      <c r="E928" t="inlineStr">
        <is>
          <t>11905</t>
        </is>
      </c>
      <c r="F928" t="b">
        <v>1</v>
      </c>
      <c r="G928" t="n">
        <v>139</v>
      </c>
      <c r="H928" t="inlineStr">
        <is>
          <t>無印</t>
        </is>
      </c>
      <c r="I928" t="n">
        <v>138</v>
      </c>
      <c r="J928" t="inlineStr">
        <is>
          <t>P138|無印</t>
        </is>
      </c>
      <c r="K928" t="inlineStr">
        <is>
          <t>同一価格表・前頁凡例を継承</t>
        </is>
      </c>
      <c r="L928" t="inlineStr">
        <is>
          <t>202604_LIXIL_サーモスＬ_業務用資料集_完成品価格表.pdf</t>
        </is>
      </c>
      <c r="M928" t="inlineStr">
        <is>
          <t>v0.6：同一価格表セクション内で凡例継承を確定。</t>
        </is>
      </c>
      <c r="N928" t="inlineStr">
        <is>
          <t>https://drive.google.com/file/d/1YUN-mtWYs48YBUHJk0C3vJXnhjyZFHyf/view</t>
        </is>
      </c>
    </row>
    <row r="929">
      <c r="A929" s="42" t="inlineStr">
        <is>
          <t>GSC-SL-000926</t>
        </is>
      </c>
      <c r="B929" t="inlineStr">
        <is>
          <t>SZ-SL-000926</t>
        </is>
      </c>
      <c r="C929" t="inlineStr">
        <is>
          <t>WT-SL-KOSHO-YOKO</t>
        </is>
      </c>
      <c r="D929" t="inlineStr">
        <is>
          <t>*</t>
        </is>
      </c>
      <c r="E929" t="inlineStr">
        <is>
          <t>160023</t>
        </is>
      </c>
      <c r="F929" t="b">
        <v>1</v>
      </c>
      <c r="G929" t="n">
        <v>139</v>
      </c>
      <c r="H929" t="inlineStr">
        <is>
          <t>無印</t>
        </is>
      </c>
      <c r="I929" t="n">
        <v>138</v>
      </c>
      <c r="J929" t="inlineStr">
        <is>
          <t>P138|無印</t>
        </is>
      </c>
      <c r="K929" t="inlineStr">
        <is>
          <t>同一価格表・前頁凡例を継承</t>
        </is>
      </c>
      <c r="L929" t="inlineStr">
        <is>
          <t>202604_LIXIL_サーモスＬ_業務用資料集_完成品価格表.pdf</t>
        </is>
      </c>
      <c r="M929" t="inlineStr">
        <is>
          <t>v0.6：同一価格表セクション内で凡例継承を確定。</t>
        </is>
      </c>
      <c r="N929" t="inlineStr">
        <is>
          <t>https://drive.google.com/file/d/1YUN-mtWYs48YBUHJk0C3vJXnhjyZFHyf/view</t>
        </is>
      </c>
    </row>
    <row r="930">
      <c r="A930" s="42" t="inlineStr">
        <is>
          <t>GSC-SL-000927</t>
        </is>
      </c>
      <c r="B930" t="inlineStr">
        <is>
          <t>SZ-SL-000927</t>
        </is>
      </c>
      <c r="C930" t="inlineStr">
        <is>
          <t>WT-SL-KOSHO-YOKO</t>
        </is>
      </c>
      <c r="D930" t="inlineStr">
        <is>
          <t>*</t>
        </is>
      </c>
      <c r="E930" t="inlineStr">
        <is>
          <t>160028</t>
        </is>
      </c>
      <c r="F930" t="b">
        <v>1</v>
      </c>
      <c r="G930" t="n">
        <v>139</v>
      </c>
      <c r="H930" t="inlineStr">
        <is>
          <t>無印</t>
        </is>
      </c>
      <c r="I930" t="n">
        <v>138</v>
      </c>
      <c r="J930" t="inlineStr">
        <is>
          <t>P138|無印</t>
        </is>
      </c>
      <c r="K930" t="inlineStr">
        <is>
          <t>同一価格表・前頁凡例を継承</t>
        </is>
      </c>
      <c r="L930" t="inlineStr">
        <is>
          <t>202604_LIXIL_サーモスＬ_業務用資料集_完成品価格表.pdf</t>
        </is>
      </c>
      <c r="M930" t="inlineStr">
        <is>
          <t>v0.6：同一価格表セクション内で凡例継承を確定。</t>
        </is>
      </c>
      <c r="N930" t="inlineStr">
        <is>
          <t>https://drive.google.com/file/d/1YUN-mtWYs48YBUHJk0C3vJXnhjyZFHyf/view</t>
        </is>
      </c>
    </row>
    <row r="931">
      <c r="A931" s="42" t="inlineStr">
        <is>
          <t>GSC-SL-000928</t>
        </is>
      </c>
      <c r="B931" t="inlineStr">
        <is>
          <t>SZ-SL-000928</t>
        </is>
      </c>
      <c r="C931" t="inlineStr">
        <is>
          <t>WT-SL-KOSHO-YOKO</t>
        </is>
      </c>
      <c r="D931" t="inlineStr">
        <is>
          <t>*</t>
        </is>
      </c>
      <c r="E931" t="inlineStr">
        <is>
          <t>16003</t>
        </is>
      </c>
      <c r="F931" t="b">
        <v>1</v>
      </c>
      <c r="G931" t="n">
        <v>139</v>
      </c>
      <c r="H931" t="inlineStr">
        <is>
          <t>無印</t>
        </is>
      </c>
      <c r="I931" t="n">
        <v>138</v>
      </c>
      <c r="J931" t="inlineStr">
        <is>
          <t>P138|無印</t>
        </is>
      </c>
      <c r="K931" t="inlineStr">
        <is>
          <t>同一価格表・前頁凡例を継承</t>
        </is>
      </c>
      <c r="L931" t="inlineStr">
        <is>
          <t>202604_LIXIL_サーモスＬ_業務用資料集_完成品価格表.pdf</t>
        </is>
      </c>
      <c r="M931" t="inlineStr">
        <is>
          <t>v0.6：同一価格表セクション内で凡例継承を確定。</t>
        </is>
      </c>
      <c r="N931" t="inlineStr">
        <is>
          <t>https://drive.google.com/file/d/1YUN-mtWYs48YBUHJk0C3vJXnhjyZFHyf/view</t>
        </is>
      </c>
    </row>
    <row r="932">
      <c r="A932" s="42" t="inlineStr">
        <is>
          <t>GSC-SL-000929</t>
        </is>
      </c>
      <c r="B932" t="inlineStr">
        <is>
          <t>SZ-SL-000929</t>
        </is>
      </c>
      <c r="C932" t="inlineStr">
        <is>
          <t>WT-SL-KOSHO-YOKO</t>
        </is>
      </c>
      <c r="D932" t="inlineStr">
        <is>
          <t>*</t>
        </is>
      </c>
      <c r="E932" t="inlineStr">
        <is>
          <t>16005</t>
        </is>
      </c>
      <c r="F932" t="b">
        <v>1</v>
      </c>
      <c r="G932" t="n">
        <v>139</v>
      </c>
      <c r="H932" t="inlineStr">
        <is>
          <t>無印</t>
        </is>
      </c>
      <c r="I932" t="n">
        <v>138</v>
      </c>
      <c r="J932" t="inlineStr">
        <is>
          <t>P138|無印</t>
        </is>
      </c>
      <c r="K932" t="inlineStr">
        <is>
          <t>同一価格表・前頁凡例を継承</t>
        </is>
      </c>
      <c r="L932" t="inlineStr">
        <is>
          <t>202604_LIXIL_サーモスＬ_業務用資料集_完成品価格表.pdf</t>
        </is>
      </c>
      <c r="M932" t="inlineStr">
        <is>
          <t>v0.6：同一価格表セクション内で凡例継承を確定。</t>
        </is>
      </c>
      <c r="N932" t="inlineStr">
        <is>
          <t>https://drive.google.com/file/d/1YUN-mtWYs48YBUHJk0C3vJXnhjyZFHyf/view</t>
        </is>
      </c>
    </row>
    <row r="933">
      <c r="A933" s="42" t="inlineStr">
        <is>
          <t>GSC-SL-000930</t>
        </is>
      </c>
      <c r="B933" t="inlineStr">
        <is>
          <t>SZ-SL-000930</t>
        </is>
      </c>
      <c r="C933" t="inlineStr">
        <is>
          <t>WT-SL-KOSHO-YOKO</t>
        </is>
      </c>
      <c r="D933" t="inlineStr">
        <is>
          <t>*</t>
        </is>
      </c>
      <c r="E933" t="inlineStr">
        <is>
          <t>165023</t>
        </is>
      </c>
      <c r="F933" t="b">
        <v>1</v>
      </c>
      <c r="G933" t="n">
        <v>139</v>
      </c>
      <c r="H933" t="inlineStr">
        <is>
          <t>無印</t>
        </is>
      </c>
      <c r="I933" t="n">
        <v>138</v>
      </c>
      <c r="J933" t="inlineStr">
        <is>
          <t>P138|無印</t>
        </is>
      </c>
      <c r="K933" t="inlineStr">
        <is>
          <t>同一価格表・前頁凡例を継承</t>
        </is>
      </c>
      <c r="L933" t="inlineStr">
        <is>
          <t>202604_LIXIL_サーモスＬ_業務用資料集_完成品価格表.pdf</t>
        </is>
      </c>
      <c r="M933" t="inlineStr">
        <is>
          <t>v0.6：同一価格表セクション内で凡例継承を確定。</t>
        </is>
      </c>
      <c r="N933" t="inlineStr">
        <is>
          <t>https://drive.google.com/file/d/1YUN-mtWYs48YBUHJk0C3vJXnhjyZFHyf/view</t>
        </is>
      </c>
    </row>
    <row r="934">
      <c r="A934" s="42" t="inlineStr">
        <is>
          <t>GSC-SL-000931</t>
        </is>
      </c>
      <c r="B934" t="inlineStr">
        <is>
          <t>SZ-SL-000931</t>
        </is>
      </c>
      <c r="C934" t="inlineStr">
        <is>
          <t>WT-SL-KOSHO-YOKO</t>
        </is>
      </c>
      <c r="D934" t="inlineStr">
        <is>
          <t>*</t>
        </is>
      </c>
      <c r="E934" t="inlineStr">
        <is>
          <t>165028</t>
        </is>
      </c>
      <c r="F934" t="b">
        <v>1</v>
      </c>
      <c r="G934" t="n">
        <v>139</v>
      </c>
      <c r="H934" t="inlineStr">
        <is>
          <t>無印</t>
        </is>
      </c>
      <c r="I934" t="n">
        <v>138</v>
      </c>
      <c r="J934" t="inlineStr">
        <is>
          <t>P138|無印</t>
        </is>
      </c>
      <c r="K934" t="inlineStr">
        <is>
          <t>同一価格表・前頁凡例を継承</t>
        </is>
      </c>
      <c r="L934" t="inlineStr">
        <is>
          <t>202604_LIXIL_サーモスＬ_業務用資料集_完成品価格表.pdf</t>
        </is>
      </c>
      <c r="M934" t="inlineStr">
        <is>
          <t>v0.6：同一価格表セクション内で凡例継承を確定。</t>
        </is>
      </c>
      <c r="N934" t="inlineStr">
        <is>
          <t>https://drive.google.com/file/d/1YUN-mtWYs48YBUHJk0C3vJXnhjyZFHyf/view</t>
        </is>
      </c>
    </row>
    <row r="935">
      <c r="A935" s="42" t="inlineStr">
        <is>
          <t>GSC-SL-000932</t>
        </is>
      </c>
      <c r="B935" t="inlineStr">
        <is>
          <t>SZ-SL-000932</t>
        </is>
      </c>
      <c r="C935" t="inlineStr">
        <is>
          <t>WT-SL-KOSHO-YOKO</t>
        </is>
      </c>
      <c r="D935" t="inlineStr">
        <is>
          <t>*</t>
        </is>
      </c>
      <c r="E935" t="inlineStr">
        <is>
          <t>16503</t>
        </is>
      </c>
      <c r="F935" t="b">
        <v>1</v>
      </c>
      <c r="G935" t="n">
        <v>139</v>
      </c>
      <c r="H935" t="inlineStr">
        <is>
          <t>無印</t>
        </is>
      </c>
      <c r="I935" t="n">
        <v>138</v>
      </c>
      <c r="J935" t="inlineStr">
        <is>
          <t>P138|無印</t>
        </is>
      </c>
      <c r="K935" t="inlineStr">
        <is>
          <t>同一価格表・前頁凡例を継承</t>
        </is>
      </c>
      <c r="L935" t="inlineStr">
        <is>
          <t>202604_LIXIL_サーモスＬ_業務用資料集_完成品価格表.pdf</t>
        </is>
      </c>
      <c r="M935" t="inlineStr">
        <is>
          <t>v0.6：同一価格表セクション内で凡例継承を確定。</t>
        </is>
      </c>
      <c r="N935" t="inlineStr">
        <is>
          <t>https://drive.google.com/file/d/1YUN-mtWYs48YBUHJk0C3vJXnhjyZFHyf/view</t>
        </is>
      </c>
    </row>
    <row r="936">
      <c r="A936" s="42" t="inlineStr">
        <is>
          <t>GSC-SL-000933</t>
        </is>
      </c>
      <c r="B936" t="inlineStr">
        <is>
          <t>SZ-SL-000933</t>
        </is>
      </c>
      <c r="C936" t="inlineStr">
        <is>
          <t>WT-SL-KOSHO-YOKO</t>
        </is>
      </c>
      <c r="D936" t="inlineStr">
        <is>
          <t>*</t>
        </is>
      </c>
      <c r="E936" t="inlineStr">
        <is>
          <t>16505</t>
        </is>
      </c>
      <c r="F936" t="b">
        <v>1</v>
      </c>
      <c r="G936" t="n">
        <v>139</v>
      </c>
      <c r="H936" t="inlineStr">
        <is>
          <t>無印</t>
        </is>
      </c>
      <c r="I936" t="n">
        <v>138</v>
      </c>
      <c r="J936" t="inlineStr">
        <is>
          <t>P138|無印</t>
        </is>
      </c>
      <c r="K936" t="inlineStr">
        <is>
          <t>同一価格表・前頁凡例を継承</t>
        </is>
      </c>
      <c r="L936" t="inlineStr">
        <is>
          <t>202604_LIXIL_サーモスＬ_業務用資料集_完成品価格表.pdf</t>
        </is>
      </c>
      <c r="M936" t="inlineStr">
        <is>
          <t>v0.6：同一価格表セクション内で凡例継承を確定。</t>
        </is>
      </c>
      <c r="N936" t="inlineStr">
        <is>
          <t>https://drive.google.com/file/d/1YUN-mtWYs48YBUHJk0C3vJXnhjyZFHyf/view</t>
        </is>
      </c>
    </row>
    <row r="937">
      <c r="A937" s="42" t="inlineStr">
        <is>
          <t>GSC-SL-000934</t>
        </is>
      </c>
      <c r="B937" t="inlineStr">
        <is>
          <t>SZ-SL-000934</t>
        </is>
      </c>
      <c r="C937" t="inlineStr">
        <is>
          <t>WT-SL-KOSHO-YOKO</t>
        </is>
      </c>
      <c r="D937" t="inlineStr">
        <is>
          <t>*</t>
        </is>
      </c>
      <c r="E937" t="inlineStr">
        <is>
          <t>03607</t>
        </is>
      </c>
      <c r="F937" t="b">
        <v>1</v>
      </c>
      <c r="G937" t="n">
        <v>140</v>
      </c>
      <c r="H937" t="inlineStr">
        <is>
          <t>無印</t>
        </is>
      </c>
      <c r="I937" t="n">
        <v>140</v>
      </c>
      <c r="J937" t="inlineStr">
        <is>
          <t>P140|無印</t>
        </is>
      </c>
      <c r="K937" t="inlineStr">
        <is>
          <t>同頁凡例へ直接連動</t>
        </is>
      </c>
      <c r="L937" t="inlineStr">
        <is>
          <t>202604_LIXIL_サーモスＬ_業務用資料集_完成品価格表.pdf</t>
        </is>
      </c>
      <c r="M937" t="inlineStr">
        <is>
          <t>v0.6：同一価格表セクション内で凡例継承を確定。</t>
        </is>
      </c>
      <c r="N937" t="inlineStr">
        <is>
          <t>https://drive.google.com/file/d/1YUN-mtWYs48YBUHJk0C3vJXnhjyZFHyf/view</t>
        </is>
      </c>
    </row>
    <row r="938">
      <c r="A938" s="42" t="inlineStr">
        <is>
          <t>GSC-SL-000935</t>
        </is>
      </c>
      <c r="B938" t="inlineStr">
        <is>
          <t>SZ-SL-000935</t>
        </is>
      </c>
      <c r="C938" t="inlineStr">
        <is>
          <t>WT-SL-KOSHO-YOKO</t>
        </is>
      </c>
      <c r="D938" t="inlineStr">
        <is>
          <t>*</t>
        </is>
      </c>
      <c r="E938" t="inlineStr">
        <is>
          <t>03609</t>
        </is>
      </c>
      <c r="F938" t="b">
        <v>1</v>
      </c>
      <c r="G938" t="n">
        <v>140</v>
      </c>
      <c r="H938" t="inlineStr">
        <is>
          <t>無印</t>
        </is>
      </c>
      <c r="I938" t="n">
        <v>140</v>
      </c>
      <c r="J938" t="inlineStr">
        <is>
          <t>P140|無印</t>
        </is>
      </c>
      <c r="K938" t="inlineStr">
        <is>
          <t>同頁凡例へ直接連動</t>
        </is>
      </c>
      <c r="L938" t="inlineStr">
        <is>
          <t>202604_LIXIL_サーモスＬ_業務用資料集_完成品価格表.pdf</t>
        </is>
      </c>
      <c r="M938" t="inlineStr">
        <is>
          <t>v0.6：同一価格表セクション内で凡例継承を確定。</t>
        </is>
      </c>
      <c r="N938" t="inlineStr">
        <is>
          <t>https://drive.google.com/file/d/1YUN-mtWYs48YBUHJk0C3vJXnhjyZFHyf/view</t>
        </is>
      </c>
    </row>
    <row r="939">
      <c r="A939" s="42" t="inlineStr">
        <is>
          <t>GSC-SL-000936</t>
        </is>
      </c>
      <c r="B939" t="inlineStr">
        <is>
          <t>SZ-SL-000936</t>
        </is>
      </c>
      <c r="C939" t="inlineStr">
        <is>
          <t>WT-SL-KOSHO-YOKO</t>
        </is>
      </c>
      <c r="D939" t="inlineStr">
        <is>
          <t>*</t>
        </is>
      </c>
      <c r="E939" t="inlineStr">
        <is>
          <t>03611</t>
        </is>
      </c>
      <c r="F939" t="b">
        <v>1</v>
      </c>
      <c r="G939" t="n">
        <v>140</v>
      </c>
      <c r="H939" t="inlineStr">
        <is>
          <t>無印</t>
        </is>
      </c>
      <c r="I939" t="n">
        <v>140</v>
      </c>
      <c r="J939" t="inlineStr">
        <is>
          <t>P140|無印</t>
        </is>
      </c>
      <c r="K939" t="inlineStr">
        <is>
          <t>同頁凡例へ直接連動</t>
        </is>
      </c>
      <c r="L939" t="inlineStr">
        <is>
          <t>202604_LIXIL_サーモスＬ_業務用資料集_完成品価格表.pdf</t>
        </is>
      </c>
      <c r="M939" t="inlineStr">
        <is>
          <t>v0.6：同一価格表セクション内で凡例継承を確定。</t>
        </is>
      </c>
      <c r="N939" t="inlineStr">
        <is>
          <t>https://drive.google.com/file/d/1YUN-mtWYs48YBUHJk0C3vJXnhjyZFHyf/view</t>
        </is>
      </c>
    </row>
    <row r="940">
      <c r="A940" s="42" t="inlineStr">
        <is>
          <t>GSC-SL-000937</t>
        </is>
      </c>
      <c r="B940" t="inlineStr">
        <is>
          <t>SZ-SL-000937</t>
        </is>
      </c>
      <c r="C940" t="inlineStr">
        <is>
          <t>WT-SL-KOSHO-YOKO</t>
        </is>
      </c>
      <c r="D940" t="inlineStr">
        <is>
          <t>*</t>
        </is>
      </c>
      <c r="E940" t="inlineStr">
        <is>
          <t>03613</t>
        </is>
      </c>
      <c r="F940" t="b">
        <v>1</v>
      </c>
      <c r="G940" t="n">
        <v>140</v>
      </c>
      <c r="H940" t="inlineStr">
        <is>
          <t>無印</t>
        </is>
      </c>
      <c r="I940" t="n">
        <v>140</v>
      </c>
      <c r="J940" t="inlineStr">
        <is>
          <t>P140|無印</t>
        </is>
      </c>
      <c r="K940" t="inlineStr">
        <is>
          <t>同頁凡例へ直接連動</t>
        </is>
      </c>
      <c r="L940" t="inlineStr">
        <is>
          <t>202604_LIXIL_サーモスＬ_業務用資料集_完成品価格表.pdf</t>
        </is>
      </c>
      <c r="M940" t="inlineStr">
        <is>
          <t>v0.6：同一価格表セクション内で凡例継承を確定。</t>
        </is>
      </c>
      <c r="N940" t="inlineStr">
        <is>
          <t>https://drive.google.com/file/d/1YUN-mtWYs48YBUHJk0C3vJXnhjyZFHyf/view</t>
        </is>
      </c>
    </row>
    <row r="941">
      <c r="A941" s="42" t="inlineStr">
        <is>
          <t>GSC-SL-000938</t>
        </is>
      </c>
      <c r="B941" t="inlineStr">
        <is>
          <t>SZ-SL-000938</t>
        </is>
      </c>
      <c r="C941" t="inlineStr">
        <is>
          <t>WT-SL-KOSHO-YOKO</t>
        </is>
      </c>
      <c r="D941" t="inlineStr">
        <is>
          <t>*</t>
        </is>
      </c>
      <c r="E941" t="inlineStr">
        <is>
          <t>06007</t>
        </is>
      </c>
      <c r="F941" t="b">
        <v>1</v>
      </c>
      <c r="G941" t="n">
        <v>140</v>
      </c>
      <c r="H941" t="inlineStr">
        <is>
          <t>無印</t>
        </is>
      </c>
      <c r="I941" t="n">
        <v>140</v>
      </c>
      <c r="J941" t="inlineStr">
        <is>
          <t>P140|無印</t>
        </is>
      </c>
      <c r="K941" t="inlineStr">
        <is>
          <t>同頁凡例へ直接連動</t>
        </is>
      </c>
      <c r="L941" t="inlineStr">
        <is>
          <t>202604_LIXIL_サーモスＬ_業務用資料集_完成品価格表.pdf</t>
        </is>
      </c>
      <c r="M941" t="inlineStr">
        <is>
          <t>v0.6：同一価格表セクション内で凡例継承を確定。</t>
        </is>
      </c>
      <c r="N941" t="inlineStr">
        <is>
          <t>https://drive.google.com/file/d/1YUN-mtWYs48YBUHJk0C3vJXnhjyZFHyf/view</t>
        </is>
      </c>
    </row>
    <row r="942">
      <c r="A942" s="42" t="inlineStr">
        <is>
          <t>GSC-SL-000939</t>
        </is>
      </c>
      <c r="B942" t="inlineStr">
        <is>
          <t>SZ-SL-000939</t>
        </is>
      </c>
      <c r="C942" t="inlineStr">
        <is>
          <t>WT-SL-KOSHO-YOKO</t>
        </is>
      </c>
      <c r="D942" t="inlineStr">
        <is>
          <t>*</t>
        </is>
      </c>
      <c r="E942" t="inlineStr">
        <is>
          <t>06009</t>
        </is>
      </c>
      <c r="F942" t="b">
        <v>1</v>
      </c>
      <c r="G942" t="n">
        <v>140</v>
      </c>
      <c r="H942" t="inlineStr">
        <is>
          <t>無印</t>
        </is>
      </c>
      <c r="I942" t="n">
        <v>140</v>
      </c>
      <c r="J942" t="inlineStr">
        <is>
          <t>P140|無印</t>
        </is>
      </c>
      <c r="K942" t="inlineStr">
        <is>
          <t>同頁凡例へ直接連動</t>
        </is>
      </c>
      <c r="L942" t="inlineStr">
        <is>
          <t>202604_LIXIL_サーモスＬ_業務用資料集_完成品価格表.pdf</t>
        </is>
      </c>
      <c r="M942" t="inlineStr">
        <is>
          <t>v0.6：同一価格表セクション内で凡例継承を確定。</t>
        </is>
      </c>
      <c r="N942" t="inlineStr">
        <is>
          <t>https://drive.google.com/file/d/1YUN-mtWYs48YBUHJk0C3vJXnhjyZFHyf/view</t>
        </is>
      </c>
    </row>
    <row r="943">
      <c r="A943" s="42" t="inlineStr">
        <is>
          <t>GSC-SL-000940</t>
        </is>
      </c>
      <c r="B943" t="inlineStr">
        <is>
          <t>SZ-SL-000940</t>
        </is>
      </c>
      <c r="C943" t="inlineStr">
        <is>
          <t>WT-SL-KOSHO-YOKO</t>
        </is>
      </c>
      <c r="D943" t="inlineStr">
        <is>
          <t>*</t>
        </is>
      </c>
      <c r="E943" t="inlineStr">
        <is>
          <t>06011</t>
        </is>
      </c>
      <c r="F943" t="b">
        <v>1</v>
      </c>
      <c r="G943" t="n">
        <v>140</v>
      </c>
      <c r="H943" t="inlineStr">
        <is>
          <t>無印</t>
        </is>
      </c>
      <c r="I943" t="n">
        <v>140</v>
      </c>
      <c r="J943" t="inlineStr">
        <is>
          <t>P140|無印</t>
        </is>
      </c>
      <c r="K943" t="inlineStr">
        <is>
          <t>同頁凡例へ直接連動</t>
        </is>
      </c>
      <c r="L943" t="inlineStr">
        <is>
          <t>202604_LIXIL_サーモスＬ_業務用資料集_完成品価格表.pdf</t>
        </is>
      </c>
      <c r="M943" t="inlineStr">
        <is>
          <t>v0.6：同一価格表セクション内で凡例継承を確定。</t>
        </is>
      </c>
      <c r="N943" t="inlineStr">
        <is>
          <t>https://drive.google.com/file/d/1YUN-mtWYs48YBUHJk0C3vJXnhjyZFHyf/view</t>
        </is>
      </c>
    </row>
    <row r="944">
      <c r="A944" s="42" t="inlineStr">
        <is>
          <t>GSC-SL-000941</t>
        </is>
      </c>
      <c r="B944" t="inlineStr">
        <is>
          <t>SZ-SL-000941</t>
        </is>
      </c>
      <c r="C944" t="inlineStr">
        <is>
          <t>WT-SL-KOSHO-YOKO</t>
        </is>
      </c>
      <c r="D944" t="inlineStr">
        <is>
          <t>*</t>
        </is>
      </c>
      <c r="E944" t="inlineStr">
        <is>
          <t>06013</t>
        </is>
      </c>
      <c r="F944" t="b">
        <v>1</v>
      </c>
      <c r="G944" t="n">
        <v>140</v>
      </c>
      <c r="H944" t="inlineStr">
        <is>
          <t>★</t>
        </is>
      </c>
      <c r="I944" t="n">
        <v>140</v>
      </c>
      <c r="J944" t="inlineStr">
        <is>
          <t>P140|★</t>
        </is>
      </c>
      <c r="K944" t="inlineStr">
        <is>
          <t>同頁凡例へ直接連動</t>
        </is>
      </c>
      <c r="L944" t="inlineStr">
        <is>
          <t>202604_LIXIL_サーモスＬ_業務用資料集_完成品価格表.pdf</t>
        </is>
      </c>
      <c r="M944" t="inlineStr">
        <is>
          <t>v0.6：同一価格表セクション内で凡例継承を確定。</t>
        </is>
      </c>
      <c r="N944" t="inlineStr">
        <is>
          <t>https://drive.google.com/file/d/1YUN-mtWYs48YBUHJk0C3vJXnhjyZFHyf/view</t>
        </is>
      </c>
    </row>
    <row r="945">
      <c r="A945" s="42" t="inlineStr">
        <is>
          <t>GSC-SL-000942</t>
        </is>
      </c>
      <c r="B945" t="inlineStr">
        <is>
          <t>SZ-SL-000942</t>
        </is>
      </c>
      <c r="C945" t="inlineStr">
        <is>
          <t>WT-SL-KOSHO-YOKO</t>
        </is>
      </c>
      <c r="D945" t="inlineStr">
        <is>
          <t>*</t>
        </is>
      </c>
      <c r="E945" t="inlineStr">
        <is>
          <t>06907</t>
        </is>
      </c>
      <c r="F945" t="b">
        <v>1</v>
      </c>
      <c r="G945" t="n">
        <v>140</v>
      </c>
      <c r="H945" t="inlineStr">
        <is>
          <t>無印</t>
        </is>
      </c>
      <c r="I945" t="n">
        <v>140</v>
      </c>
      <c r="J945" t="inlineStr">
        <is>
          <t>P140|無印</t>
        </is>
      </c>
      <c r="K945" t="inlineStr">
        <is>
          <t>同頁凡例へ直接連動</t>
        </is>
      </c>
      <c r="L945" t="inlineStr">
        <is>
          <t>202604_LIXIL_サーモスＬ_業務用資料集_完成品価格表.pdf</t>
        </is>
      </c>
      <c r="M945" t="inlineStr">
        <is>
          <t>v0.6：同一価格表セクション内で凡例継承を確定。</t>
        </is>
      </c>
      <c r="N945" t="inlineStr">
        <is>
          <t>https://drive.google.com/file/d/1YUN-mtWYs48YBUHJk0C3vJXnhjyZFHyf/view</t>
        </is>
      </c>
    </row>
    <row r="946">
      <c r="A946" s="42" t="inlineStr">
        <is>
          <t>GSC-SL-000943</t>
        </is>
      </c>
      <c r="B946" t="inlineStr">
        <is>
          <t>SZ-SL-000943</t>
        </is>
      </c>
      <c r="C946" t="inlineStr">
        <is>
          <t>WT-SL-KOSHO-YOKO</t>
        </is>
      </c>
      <c r="D946" t="inlineStr">
        <is>
          <t>*</t>
        </is>
      </c>
      <c r="E946" t="inlineStr">
        <is>
          <t>06909</t>
        </is>
      </c>
      <c r="F946" t="b">
        <v>1</v>
      </c>
      <c r="G946" t="n">
        <v>140</v>
      </c>
      <c r="H946" t="inlineStr">
        <is>
          <t>無印</t>
        </is>
      </c>
      <c r="I946" t="n">
        <v>140</v>
      </c>
      <c r="J946" t="inlineStr">
        <is>
          <t>P140|無印</t>
        </is>
      </c>
      <c r="K946" t="inlineStr">
        <is>
          <t>同頁凡例へ直接連動</t>
        </is>
      </c>
      <c r="L946" t="inlineStr">
        <is>
          <t>202604_LIXIL_サーモスＬ_業務用資料集_完成品価格表.pdf</t>
        </is>
      </c>
      <c r="M946" t="inlineStr">
        <is>
          <t>v0.6：同一価格表セクション内で凡例継承を確定。</t>
        </is>
      </c>
      <c r="N946" t="inlineStr">
        <is>
          <t>https://drive.google.com/file/d/1YUN-mtWYs48YBUHJk0C3vJXnhjyZFHyf/view</t>
        </is>
      </c>
    </row>
    <row r="947">
      <c r="A947" s="42" t="inlineStr">
        <is>
          <t>GSC-SL-000944</t>
        </is>
      </c>
      <c r="B947" t="inlineStr">
        <is>
          <t>SZ-SL-000944</t>
        </is>
      </c>
      <c r="C947" t="inlineStr">
        <is>
          <t>WT-SL-KOSHO-YOKO</t>
        </is>
      </c>
      <c r="D947" t="inlineStr">
        <is>
          <t>*</t>
        </is>
      </c>
      <c r="E947" t="inlineStr">
        <is>
          <t>07407</t>
        </is>
      </c>
      <c r="F947" t="b">
        <v>1</v>
      </c>
      <c r="G947" t="n">
        <v>140</v>
      </c>
      <c r="H947" t="inlineStr">
        <is>
          <t>無印</t>
        </is>
      </c>
      <c r="I947" t="n">
        <v>140</v>
      </c>
      <c r="J947" t="inlineStr">
        <is>
          <t>P140|無印</t>
        </is>
      </c>
      <c r="K947" t="inlineStr">
        <is>
          <t>同頁凡例へ直接連動</t>
        </is>
      </c>
      <c r="L947" t="inlineStr">
        <is>
          <t>202604_LIXIL_サーモスＬ_業務用資料集_完成品価格表.pdf</t>
        </is>
      </c>
      <c r="M947" t="inlineStr">
        <is>
          <t>v0.6：同一価格表セクション内で凡例継承を確定。</t>
        </is>
      </c>
      <c r="N947" t="inlineStr">
        <is>
          <t>https://drive.google.com/file/d/1YUN-mtWYs48YBUHJk0C3vJXnhjyZFHyf/view</t>
        </is>
      </c>
    </row>
    <row r="948">
      <c r="A948" s="42" t="inlineStr">
        <is>
          <t>GSC-SL-000945</t>
        </is>
      </c>
      <c r="B948" t="inlineStr">
        <is>
          <t>SZ-SL-000945</t>
        </is>
      </c>
      <c r="C948" t="inlineStr">
        <is>
          <t>WT-SL-KOSHO-YOKO</t>
        </is>
      </c>
      <c r="D948" t="inlineStr">
        <is>
          <t>*</t>
        </is>
      </c>
      <c r="E948" t="inlineStr">
        <is>
          <t>07409</t>
        </is>
      </c>
      <c r="F948" t="b">
        <v>1</v>
      </c>
      <c r="G948" t="n">
        <v>140</v>
      </c>
      <c r="H948" t="inlineStr">
        <is>
          <t>無印</t>
        </is>
      </c>
      <c r="I948" t="n">
        <v>140</v>
      </c>
      <c r="J948" t="inlineStr">
        <is>
          <t>P140|無印</t>
        </is>
      </c>
      <c r="K948" t="inlineStr">
        <is>
          <t>同頁凡例へ直接連動</t>
        </is>
      </c>
      <c r="L948" t="inlineStr">
        <is>
          <t>202604_LIXIL_サーモスＬ_業務用資料集_完成品価格表.pdf</t>
        </is>
      </c>
      <c r="M948" t="inlineStr">
        <is>
          <t>v0.6：同一価格表セクション内で凡例継承を確定。</t>
        </is>
      </c>
      <c r="N948" t="inlineStr">
        <is>
          <t>https://drive.google.com/file/d/1YUN-mtWYs48YBUHJk0C3vJXnhjyZFHyf/view</t>
        </is>
      </c>
    </row>
    <row r="949">
      <c r="A949" s="42" t="inlineStr">
        <is>
          <t>GSC-SL-000946</t>
        </is>
      </c>
      <c r="B949" t="inlineStr">
        <is>
          <t>SZ-SL-000946</t>
        </is>
      </c>
      <c r="C949" t="inlineStr">
        <is>
          <t>WT-SL-AGE-SAGE-FS</t>
        </is>
      </c>
      <c r="E949" t="inlineStr">
        <is>
          <t>02607</t>
        </is>
      </c>
      <c r="F949" t="b">
        <v>1</v>
      </c>
      <c r="G949" t="n">
        <v>142</v>
      </c>
      <c r="H949" t="inlineStr">
        <is>
          <t>無印</t>
        </is>
      </c>
      <c r="I949" t="n">
        <v>143</v>
      </c>
      <c r="J949" t="inlineStr">
        <is>
          <t>P143|無印</t>
        </is>
      </c>
      <c r="K949" t="inlineStr">
        <is>
          <t>同一価格表・次頁凡例を継承</t>
        </is>
      </c>
      <c r="L949" t="inlineStr">
        <is>
          <t>202604_LIXIL_サーモスＬ_業務用資料集_完成品価格表.pdf</t>
        </is>
      </c>
      <c r="M949" t="inlineStr">
        <is>
          <t>v0.6：同一価格表セクション内で凡例継承を確定。</t>
        </is>
      </c>
      <c r="N949" t="inlineStr">
        <is>
          <t>https://drive.google.com/file/d/1YUN-mtWYs48YBUHJk0C3vJXnhjyZFHyf/view</t>
        </is>
      </c>
    </row>
    <row r="950">
      <c r="A950" s="42" t="inlineStr">
        <is>
          <t>GSC-SL-000947</t>
        </is>
      </c>
      <c r="B950" t="inlineStr">
        <is>
          <t>SZ-SL-000947</t>
        </is>
      </c>
      <c r="C950" t="inlineStr">
        <is>
          <t>WT-SL-AGE-SAGE-FS</t>
        </is>
      </c>
      <c r="E950" t="inlineStr">
        <is>
          <t>02609</t>
        </is>
      </c>
      <c r="F950" t="b">
        <v>1</v>
      </c>
      <c r="G950" t="n">
        <v>142</v>
      </c>
      <c r="H950" t="inlineStr">
        <is>
          <t>無印</t>
        </is>
      </c>
      <c r="I950" t="n">
        <v>143</v>
      </c>
      <c r="J950" t="inlineStr">
        <is>
          <t>P143|無印</t>
        </is>
      </c>
      <c r="K950" t="inlineStr">
        <is>
          <t>同一価格表・次頁凡例を継承</t>
        </is>
      </c>
      <c r="L950" t="inlineStr">
        <is>
          <t>202604_LIXIL_サーモスＬ_業務用資料集_完成品価格表.pdf</t>
        </is>
      </c>
      <c r="M950" t="inlineStr">
        <is>
          <t>v0.6：同一価格表セクション内で凡例継承を確定。</t>
        </is>
      </c>
      <c r="N950" t="inlineStr">
        <is>
          <t>https://drive.google.com/file/d/1YUN-mtWYs48YBUHJk0C3vJXnhjyZFHyf/view</t>
        </is>
      </c>
    </row>
    <row r="951">
      <c r="A951" s="42" t="inlineStr">
        <is>
          <t>GSC-SL-000948</t>
        </is>
      </c>
      <c r="B951" t="inlineStr">
        <is>
          <t>SZ-SL-000948</t>
        </is>
      </c>
      <c r="C951" t="inlineStr">
        <is>
          <t>WT-SL-AGE-SAGE-FS</t>
        </is>
      </c>
      <c r="E951" t="inlineStr">
        <is>
          <t>02611</t>
        </is>
      </c>
      <c r="F951" t="b">
        <v>1</v>
      </c>
      <c r="G951" t="n">
        <v>142</v>
      </c>
      <c r="H951" t="inlineStr">
        <is>
          <t>無印</t>
        </is>
      </c>
      <c r="I951" t="n">
        <v>143</v>
      </c>
      <c r="J951" t="inlineStr">
        <is>
          <t>P143|無印</t>
        </is>
      </c>
      <c r="K951" t="inlineStr">
        <is>
          <t>同一価格表・次頁凡例を継承</t>
        </is>
      </c>
      <c r="L951" t="inlineStr">
        <is>
          <t>202604_LIXIL_サーモスＬ_業務用資料集_完成品価格表.pdf</t>
        </is>
      </c>
      <c r="M951" t="inlineStr">
        <is>
          <t>v0.6：同一価格表セクション内で凡例継承を確定。</t>
        </is>
      </c>
      <c r="N951" t="inlineStr">
        <is>
          <t>https://drive.google.com/file/d/1YUN-mtWYs48YBUHJk0C3vJXnhjyZFHyf/view</t>
        </is>
      </c>
    </row>
    <row r="952">
      <c r="A952" s="42" t="inlineStr">
        <is>
          <t>GSC-SL-000949</t>
        </is>
      </c>
      <c r="B952" t="inlineStr">
        <is>
          <t>SZ-SL-000949</t>
        </is>
      </c>
      <c r="C952" t="inlineStr">
        <is>
          <t>WT-SL-AGE-SAGE-FS</t>
        </is>
      </c>
      <c r="E952" t="inlineStr">
        <is>
          <t>02613</t>
        </is>
      </c>
      <c r="F952" t="b">
        <v>1</v>
      </c>
      <c r="G952" t="n">
        <v>142</v>
      </c>
      <c r="H952" t="inlineStr">
        <is>
          <t>無印</t>
        </is>
      </c>
      <c r="I952" t="n">
        <v>143</v>
      </c>
      <c r="J952" t="inlineStr">
        <is>
          <t>P143|無印</t>
        </is>
      </c>
      <c r="K952" t="inlineStr">
        <is>
          <t>同一価格表・次頁凡例を継承</t>
        </is>
      </c>
      <c r="L952" t="inlineStr">
        <is>
          <t>202604_LIXIL_サーモスＬ_業務用資料集_完成品価格表.pdf</t>
        </is>
      </c>
      <c r="M952" t="inlineStr">
        <is>
          <t>v0.6：同一価格表セクション内で凡例継承を確定。</t>
        </is>
      </c>
      <c r="N952" t="inlineStr">
        <is>
          <t>https://drive.google.com/file/d/1YUN-mtWYs48YBUHJk0C3vJXnhjyZFHyf/view</t>
        </is>
      </c>
    </row>
    <row r="953">
      <c r="A953" s="42" t="inlineStr">
        <is>
          <t>GSC-SL-000950</t>
        </is>
      </c>
      <c r="B953" t="inlineStr">
        <is>
          <t>SZ-SL-000950</t>
        </is>
      </c>
      <c r="C953" t="inlineStr">
        <is>
          <t>WT-SL-AGE-SAGE-FS</t>
        </is>
      </c>
      <c r="E953" t="inlineStr">
        <is>
          <t>03607</t>
        </is>
      </c>
      <c r="F953" t="b">
        <v>1</v>
      </c>
      <c r="G953" t="n">
        <v>142</v>
      </c>
      <c r="H953" t="inlineStr">
        <is>
          <t>無印</t>
        </is>
      </c>
      <c r="I953" t="n">
        <v>143</v>
      </c>
      <c r="J953" t="inlineStr">
        <is>
          <t>P143|無印</t>
        </is>
      </c>
      <c r="K953" t="inlineStr">
        <is>
          <t>同一価格表・次頁凡例を継承</t>
        </is>
      </c>
      <c r="L953" t="inlineStr">
        <is>
          <t>202604_LIXIL_サーモスＬ_業務用資料集_完成品価格表.pdf</t>
        </is>
      </c>
      <c r="M953" t="inlineStr">
        <is>
          <t>v0.6：同一価格表セクション内で凡例継承を確定。</t>
        </is>
      </c>
      <c r="N953" t="inlineStr">
        <is>
          <t>https://drive.google.com/file/d/1YUN-mtWYs48YBUHJk0C3vJXnhjyZFHyf/view</t>
        </is>
      </c>
    </row>
    <row r="954">
      <c r="A954" s="42" t="inlineStr">
        <is>
          <t>GSC-SL-000951</t>
        </is>
      </c>
      <c r="B954" t="inlineStr">
        <is>
          <t>SZ-SL-000951</t>
        </is>
      </c>
      <c r="C954" t="inlineStr">
        <is>
          <t>WT-SL-AGE-SAGE-FS</t>
        </is>
      </c>
      <c r="E954" t="inlineStr">
        <is>
          <t>03609</t>
        </is>
      </c>
      <c r="F954" t="b">
        <v>1</v>
      </c>
      <c r="G954" t="n">
        <v>142</v>
      </c>
      <c r="H954" t="inlineStr">
        <is>
          <t>無印</t>
        </is>
      </c>
      <c r="I954" t="n">
        <v>143</v>
      </c>
      <c r="J954" t="inlineStr">
        <is>
          <t>P143|無印</t>
        </is>
      </c>
      <c r="K954" t="inlineStr">
        <is>
          <t>同一価格表・次頁凡例を継承</t>
        </is>
      </c>
      <c r="L954" t="inlineStr">
        <is>
          <t>202604_LIXIL_サーモスＬ_業務用資料集_完成品価格表.pdf</t>
        </is>
      </c>
      <c r="M954" t="inlineStr">
        <is>
          <t>v0.6：同一価格表セクション内で凡例継承を確定。</t>
        </is>
      </c>
      <c r="N954" t="inlineStr">
        <is>
          <t>https://drive.google.com/file/d/1YUN-mtWYs48YBUHJk0C3vJXnhjyZFHyf/view</t>
        </is>
      </c>
    </row>
    <row r="955">
      <c r="A955" s="42" t="inlineStr">
        <is>
          <t>GSC-SL-000952</t>
        </is>
      </c>
      <c r="B955" t="inlineStr">
        <is>
          <t>SZ-SL-000952</t>
        </is>
      </c>
      <c r="C955" t="inlineStr">
        <is>
          <t>WT-SL-AGE-SAGE-FS</t>
        </is>
      </c>
      <c r="E955" t="inlineStr">
        <is>
          <t>03611</t>
        </is>
      </c>
      <c r="F955" t="b">
        <v>1</v>
      </c>
      <c r="G955" t="n">
        <v>142</v>
      </c>
      <c r="H955" t="inlineStr">
        <is>
          <t>無印</t>
        </is>
      </c>
      <c r="I955" t="n">
        <v>143</v>
      </c>
      <c r="J955" t="inlineStr">
        <is>
          <t>P143|無印</t>
        </is>
      </c>
      <c r="K955" t="inlineStr">
        <is>
          <t>同一価格表・次頁凡例を継承</t>
        </is>
      </c>
      <c r="L955" t="inlineStr">
        <is>
          <t>202604_LIXIL_サーモスＬ_業務用資料集_完成品価格表.pdf</t>
        </is>
      </c>
      <c r="M955" t="inlineStr">
        <is>
          <t>v0.6：同一価格表セクション内で凡例継承を確定。</t>
        </is>
      </c>
      <c r="N955" t="inlineStr">
        <is>
          <t>https://drive.google.com/file/d/1YUN-mtWYs48YBUHJk0C3vJXnhjyZFHyf/view</t>
        </is>
      </c>
    </row>
    <row r="956">
      <c r="A956" s="42" t="inlineStr">
        <is>
          <t>GSC-SL-000953</t>
        </is>
      </c>
      <c r="B956" t="inlineStr">
        <is>
          <t>SZ-SL-000953</t>
        </is>
      </c>
      <c r="C956" t="inlineStr">
        <is>
          <t>WT-SL-AGE-SAGE-FS</t>
        </is>
      </c>
      <c r="E956" t="inlineStr">
        <is>
          <t>03613</t>
        </is>
      </c>
      <c r="F956" t="b">
        <v>1</v>
      </c>
      <c r="G956" t="n">
        <v>142</v>
      </c>
      <c r="H956" t="inlineStr">
        <is>
          <t>無印</t>
        </is>
      </c>
      <c r="I956" t="n">
        <v>143</v>
      </c>
      <c r="J956" t="inlineStr">
        <is>
          <t>P143|無印</t>
        </is>
      </c>
      <c r="K956" t="inlineStr">
        <is>
          <t>同一価格表・次頁凡例を継承</t>
        </is>
      </c>
      <c r="L956" t="inlineStr">
        <is>
          <t>202604_LIXIL_サーモスＬ_業務用資料集_完成品価格表.pdf</t>
        </is>
      </c>
      <c r="M956" t="inlineStr">
        <is>
          <t>v0.6：同一価格表セクション内で凡例継承を確定。</t>
        </is>
      </c>
      <c r="N956" t="inlineStr">
        <is>
          <t>https://drive.google.com/file/d/1YUN-mtWYs48YBUHJk0C3vJXnhjyZFHyf/view</t>
        </is>
      </c>
    </row>
    <row r="957">
      <c r="A957" s="42" t="inlineStr">
        <is>
          <t>GSC-SL-000954</t>
        </is>
      </c>
      <c r="B957" t="inlineStr">
        <is>
          <t>SZ-SL-000954</t>
        </is>
      </c>
      <c r="C957" t="inlineStr">
        <is>
          <t>WT-SL-AGE-SAGE-FS</t>
        </is>
      </c>
      <c r="E957" t="inlineStr">
        <is>
          <t>03615</t>
        </is>
      </c>
      <c r="F957" t="b">
        <v>1</v>
      </c>
      <c r="G957" t="n">
        <v>142</v>
      </c>
      <c r="H957" t="inlineStr">
        <is>
          <t>無印</t>
        </is>
      </c>
      <c r="I957" t="n">
        <v>143</v>
      </c>
      <c r="J957" t="inlineStr">
        <is>
          <t>P143|無印</t>
        </is>
      </c>
      <c r="K957" t="inlineStr">
        <is>
          <t>同一価格表・次頁凡例を継承</t>
        </is>
      </c>
      <c r="L957" t="inlineStr">
        <is>
          <t>202604_LIXIL_サーモスＬ_業務用資料集_完成品価格表.pdf</t>
        </is>
      </c>
      <c r="M957" t="inlineStr">
        <is>
          <t>v0.6：同一価格表セクション内で凡例継承を確定。</t>
        </is>
      </c>
      <c r="N957" t="inlineStr">
        <is>
          <t>https://drive.google.com/file/d/1YUN-mtWYs48YBUHJk0C3vJXnhjyZFHyf/view</t>
        </is>
      </c>
    </row>
    <row r="958">
      <c r="A958" s="42" t="inlineStr">
        <is>
          <t>GSC-SL-000955</t>
        </is>
      </c>
      <c r="B958" t="inlineStr">
        <is>
          <t>SZ-SL-000955</t>
        </is>
      </c>
      <c r="C958" t="inlineStr">
        <is>
          <t>WT-SL-AGE-SAGE-FS</t>
        </is>
      </c>
      <c r="E958" t="inlineStr">
        <is>
          <t>06007</t>
        </is>
      </c>
      <c r="F958" t="b">
        <v>1</v>
      </c>
      <c r="G958" t="n">
        <v>142</v>
      </c>
      <c r="H958" t="inlineStr">
        <is>
          <t>無印</t>
        </is>
      </c>
      <c r="I958" t="n">
        <v>143</v>
      </c>
      <c r="J958" t="inlineStr">
        <is>
          <t>P143|無印</t>
        </is>
      </c>
      <c r="K958" t="inlineStr">
        <is>
          <t>同一価格表・次頁凡例を継承</t>
        </is>
      </c>
      <c r="L958" t="inlineStr">
        <is>
          <t>202604_LIXIL_サーモスＬ_業務用資料集_完成品価格表.pdf</t>
        </is>
      </c>
      <c r="M958" t="inlineStr">
        <is>
          <t>v0.6：同一価格表セクション内で凡例継承を確定。</t>
        </is>
      </c>
      <c r="N958" t="inlineStr">
        <is>
          <t>https://drive.google.com/file/d/1YUN-mtWYs48YBUHJk0C3vJXnhjyZFHyf/view</t>
        </is>
      </c>
    </row>
    <row r="959">
      <c r="A959" s="42" t="inlineStr">
        <is>
          <t>GSC-SL-000956</t>
        </is>
      </c>
      <c r="B959" t="inlineStr">
        <is>
          <t>SZ-SL-000956</t>
        </is>
      </c>
      <c r="C959" t="inlineStr">
        <is>
          <t>WT-SL-AGE-SAGE-FS</t>
        </is>
      </c>
      <c r="E959" t="inlineStr">
        <is>
          <t>06009</t>
        </is>
      </c>
      <c r="F959" t="b">
        <v>1</v>
      </c>
      <c r="G959" t="n">
        <v>142</v>
      </c>
      <c r="H959" t="inlineStr">
        <is>
          <t>無印</t>
        </is>
      </c>
      <c r="I959" t="n">
        <v>143</v>
      </c>
      <c r="J959" t="inlineStr">
        <is>
          <t>P143|無印</t>
        </is>
      </c>
      <c r="K959" t="inlineStr">
        <is>
          <t>同一価格表・次頁凡例を継承</t>
        </is>
      </c>
      <c r="L959" t="inlineStr">
        <is>
          <t>202604_LIXIL_サーモスＬ_業務用資料集_完成品価格表.pdf</t>
        </is>
      </c>
      <c r="M959" t="inlineStr">
        <is>
          <t>v0.6：同一価格表セクション内で凡例継承を確定。</t>
        </is>
      </c>
      <c r="N959" t="inlineStr">
        <is>
          <t>https://drive.google.com/file/d/1YUN-mtWYs48YBUHJk0C3vJXnhjyZFHyf/view</t>
        </is>
      </c>
    </row>
    <row r="960">
      <c r="A960" s="42" t="inlineStr">
        <is>
          <t>GSC-SL-000957</t>
        </is>
      </c>
      <c r="B960" t="inlineStr">
        <is>
          <t>SZ-SL-000957</t>
        </is>
      </c>
      <c r="C960" t="inlineStr">
        <is>
          <t>WT-SL-AGE-SAGE-FS</t>
        </is>
      </c>
      <c r="E960" t="inlineStr">
        <is>
          <t>06011</t>
        </is>
      </c>
      <c r="F960" t="b">
        <v>1</v>
      </c>
      <c r="G960" t="n">
        <v>142</v>
      </c>
      <c r="H960" t="inlineStr">
        <is>
          <t>無印</t>
        </is>
      </c>
      <c r="I960" t="n">
        <v>143</v>
      </c>
      <c r="J960" t="inlineStr">
        <is>
          <t>P143|無印</t>
        </is>
      </c>
      <c r="K960" t="inlineStr">
        <is>
          <t>同一価格表・次頁凡例を継承</t>
        </is>
      </c>
      <c r="L960" t="inlineStr">
        <is>
          <t>202604_LIXIL_サーモスＬ_業務用資料集_完成品価格表.pdf</t>
        </is>
      </c>
      <c r="M960" t="inlineStr">
        <is>
          <t>v0.6：同一価格表セクション内で凡例継承を確定。</t>
        </is>
      </c>
      <c r="N960" t="inlineStr">
        <is>
          <t>https://drive.google.com/file/d/1YUN-mtWYs48YBUHJk0C3vJXnhjyZFHyf/view</t>
        </is>
      </c>
    </row>
    <row r="961">
      <c r="A961" s="42" t="inlineStr">
        <is>
          <t>GSC-SL-000958</t>
        </is>
      </c>
      <c r="B961" t="inlineStr">
        <is>
          <t>SZ-SL-000958</t>
        </is>
      </c>
      <c r="C961" t="inlineStr">
        <is>
          <t>WT-SL-AGE-SAGE-FS</t>
        </is>
      </c>
      <c r="E961" t="inlineStr">
        <is>
          <t>06013</t>
        </is>
      </c>
      <c r="F961" t="b">
        <v>1</v>
      </c>
      <c r="G961" t="n">
        <v>142</v>
      </c>
      <c r="H961" t="inlineStr">
        <is>
          <t>無印</t>
        </is>
      </c>
      <c r="I961" t="n">
        <v>143</v>
      </c>
      <c r="J961" t="inlineStr">
        <is>
          <t>P143|無印</t>
        </is>
      </c>
      <c r="K961" t="inlineStr">
        <is>
          <t>同一価格表・次頁凡例を継承</t>
        </is>
      </c>
      <c r="L961" t="inlineStr">
        <is>
          <t>202604_LIXIL_サーモスＬ_業務用資料集_完成品価格表.pdf</t>
        </is>
      </c>
      <c r="M961" t="inlineStr">
        <is>
          <t>v0.6：同一価格表セクション内で凡例継承を確定。</t>
        </is>
      </c>
      <c r="N961" t="inlineStr">
        <is>
          <t>https://drive.google.com/file/d/1YUN-mtWYs48YBUHJk0C3vJXnhjyZFHyf/view</t>
        </is>
      </c>
    </row>
    <row r="962">
      <c r="A962" s="42" t="inlineStr">
        <is>
          <t>GSC-SL-000959</t>
        </is>
      </c>
      <c r="B962" t="inlineStr">
        <is>
          <t>SZ-SL-000959</t>
        </is>
      </c>
      <c r="C962" t="inlineStr">
        <is>
          <t>WT-SL-AGE-SAGE-FS</t>
        </is>
      </c>
      <c r="E962" t="inlineStr">
        <is>
          <t>06015</t>
        </is>
      </c>
      <c r="F962" t="b">
        <v>1</v>
      </c>
      <c r="G962" t="n">
        <v>142</v>
      </c>
      <c r="H962" t="inlineStr">
        <is>
          <t>無印</t>
        </is>
      </c>
      <c r="I962" t="n">
        <v>143</v>
      </c>
      <c r="J962" t="inlineStr">
        <is>
          <t>P143|無印</t>
        </is>
      </c>
      <c r="K962" t="inlineStr">
        <is>
          <t>同一価格表・次頁凡例を継承</t>
        </is>
      </c>
      <c r="L962" t="inlineStr">
        <is>
          <t>202604_LIXIL_サーモスＬ_業務用資料集_完成品価格表.pdf</t>
        </is>
      </c>
      <c r="M962" t="inlineStr">
        <is>
          <t>v0.6：同一価格表セクション内で凡例継承を確定。</t>
        </is>
      </c>
      <c r="N962" t="inlineStr">
        <is>
          <t>https://drive.google.com/file/d/1YUN-mtWYs48YBUHJk0C3vJXnhjyZFHyf/view</t>
        </is>
      </c>
    </row>
    <row r="963">
      <c r="A963" s="42" t="inlineStr">
        <is>
          <t>GSC-SL-000960</t>
        </is>
      </c>
      <c r="B963" t="inlineStr">
        <is>
          <t>SZ-SL-000960</t>
        </is>
      </c>
      <c r="C963" t="inlineStr">
        <is>
          <t>WT-SL-AGE-SAGE-FS</t>
        </is>
      </c>
      <c r="E963" t="inlineStr">
        <is>
          <t>06907</t>
        </is>
      </c>
      <c r="F963" t="b">
        <v>1</v>
      </c>
      <c r="G963" t="n">
        <v>142</v>
      </c>
      <c r="H963" t="inlineStr">
        <is>
          <t>無印</t>
        </is>
      </c>
      <c r="I963" t="n">
        <v>143</v>
      </c>
      <c r="J963" t="inlineStr">
        <is>
          <t>P143|無印</t>
        </is>
      </c>
      <c r="K963" t="inlineStr">
        <is>
          <t>同一価格表・次頁凡例を継承</t>
        </is>
      </c>
      <c r="L963" t="inlineStr">
        <is>
          <t>202604_LIXIL_サーモスＬ_業務用資料集_完成品価格表.pdf</t>
        </is>
      </c>
      <c r="M963" t="inlineStr">
        <is>
          <t>v0.6：同一価格表セクション内で凡例継承を確定。</t>
        </is>
      </c>
      <c r="N963" t="inlineStr">
        <is>
          <t>https://drive.google.com/file/d/1YUN-mtWYs48YBUHJk0C3vJXnhjyZFHyf/view</t>
        </is>
      </c>
    </row>
    <row r="964">
      <c r="A964" s="42" t="inlineStr">
        <is>
          <t>GSC-SL-000961</t>
        </is>
      </c>
      <c r="B964" t="inlineStr">
        <is>
          <t>SZ-SL-000961</t>
        </is>
      </c>
      <c r="C964" t="inlineStr">
        <is>
          <t>WT-SL-AGE-SAGE-FS</t>
        </is>
      </c>
      <c r="E964" t="inlineStr">
        <is>
          <t>06909</t>
        </is>
      </c>
      <c r="F964" t="b">
        <v>1</v>
      </c>
      <c r="G964" t="n">
        <v>142</v>
      </c>
      <c r="H964" t="inlineStr">
        <is>
          <t>無印</t>
        </is>
      </c>
      <c r="I964" t="n">
        <v>143</v>
      </c>
      <c r="J964" t="inlineStr">
        <is>
          <t>P143|無印</t>
        </is>
      </c>
      <c r="K964" t="inlineStr">
        <is>
          <t>同一価格表・次頁凡例を継承</t>
        </is>
      </c>
      <c r="L964" t="inlineStr">
        <is>
          <t>202604_LIXIL_サーモスＬ_業務用資料集_完成品価格表.pdf</t>
        </is>
      </c>
      <c r="M964" t="inlineStr">
        <is>
          <t>v0.6：同一価格表セクション内で凡例継承を確定。</t>
        </is>
      </c>
      <c r="N964" t="inlineStr">
        <is>
          <t>https://drive.google.com/file/d/1YUN-mtWYs48YBUHJk0C3vJXnhjyZFHyf/view</t>
        </is>
      </c>
    </row>
    <row r="965">
      <c r="A965" s="42" t="inlineStr">
        <is>
          <t>GSC-SL-000962</t>
        </is>
      </c>
      <c r="B965" t="inlineStr">
        <is>
          <t>SZ-SL-000962</t>
        </is>
      </c>
      <c r="C965" t="inlineStr">
        <is>
          <t>WT-SL-AGE-SAGE-FS</t>
        </is>
      </c>
      <c r="E965" t="inlineStr">
        <is>
          <t>06911</t>
        </is>
      </c>
      <c r="F965" t="b">
        <v>1</v>
      </c>
      <c r="G965" t="n">
        <v>142</v>
      </c>
      <c r="H965" t="inlineStr">
        <is>
          <t>無印</t>
        </is>
      </c>
      <c r="I965" t="n">
        <v>143</v>
      </c>
      <c r="J965" t="inlineStr">
        <is>
          <t>P143|無印</t>
        </is>
      </c>
      <c r="K965" t="inlineStr">
        <is>
          <t>同一価格表・次頁凡例を継承</t>
        </is>
      </c>
      <c r="L965" t="inlineStr">
        <is>
          <t>202604_LIXIL_サーモスＬ_業務用資料集_完成品価格表.pdf</t>
        </is>
      </c>
      <c r="M965" t="inlineStr">
        <is>
          <t>v0.6：同一価格表セクション内で凡例継承を確定。</t>
        </is>
      </c>
      <c r="N965" t="inlineStr">
        <is>
          <t>https://drive.google.com/file/d/1YUN-mtWYs48YBUHJk0C3vJXnhjyZFHyf/view</t>
        </is>
      </c>
    </row>
    <row r="966">
      <c r="A966" s="42" t="inlineStr">
        <is>
          <t>GSC-SL-000963</t>
        </is>
      </c>
      <c r="B966" t="inlineStr">
        <is>
          <t>SZ-SL-000963</t>
        </is>
      </c>
      <c r="C966" t="inlineStr">
        <is>
          <t>WT-SL-AGE-SAGE-FS</t>
        </is>
      </c>
      <c r="E966" t="inlineStr">
        <is>
          <t>06913</t>
        </is>
      </c>
      <c r="F966" t="b">
        <v>1</v>
      </c>
      <c r="G966" t="n">
        <v>142</v>
      </c>
      <c r="H966" t="inlineStr">
        <is>
          <t>無印</t>
        </is>
      </c>
      <c r="I966" t="n">
        <v>143</v>
      </c>
      <c r="J966" t="inlineStr">
        <is>
          <t>P143|無印</t>
        </is>
      </c>
      <c r="K966" t="inlineStr">
        <is>
          <t>同一価格表・次頁凡例を継承</t>
        </is>
      </c>
      <c r="L966" t="inlineStr">
        <is>
          <t>202604_LIXIL_サーモスＬ_業務用資料集_完成品価格表.pdf</t>
        </is>
      </c>
      <c r="M966" t="inlineStr">
        <is>
          <t>v0.6：同一価格表セクション内で凡例継承を確定。</t>
        </is>
      </c>
      <c r="N966" t="inlineStr">
        <is>
          <t>https://drive.google.com/file/d/1YUN-mtWYs48YBUHJk0C3vJXnhjyZFHyf/view</t>
        </is>
      </c>
    </row>
    <row r="967">
      <c r="A967" s="42" t="inlineStr">
        <is>
          <t>GSC-SL-000964</t>
        </is>
      </c>
      <c r="B967" t="inlineStr">
        <is>
          <t>SZ-SL-000964</t>
        </is>
      </c>
      <c r="C967" t="inlineStr">
        <is>
          <t>WT-SL-AGE-SAGE-FS</t>
        </is>
      </c>
      <c r="E967" t="inlineStr">
        <is>
          <t>06915</t>
        </is>
      </c>
      <c r="F967" t="b">
        <v>1</v>
      </c>
      <c r="G967" t="n">
        <v>142</v>
      </c>
      <c r="H967" t="inlineStr">
        <is>
          <t>無印</t>
        </is>
      </c>
      <c r="I967" t="n">
        <v>143</v>
      </c>
      <c r="J967" t="inlineStr">
        <is>
          <t>P143|無印</t>
        </is>
      </c>
      <c r="K967" t="inlineStr">
        <is>
          <t>同一価格表・次頁凡例を継承</t>
        </is>
      </c>
      <c r="L967" t="inlineStr">
        <is>
          <t>202604_LIXIL_サーモスＬ_業務用資料集_完成品価格表.pdf</t>
        </is>
      </c>
      <c r="M967" t="inlineStr">
        <is>
          <t>v0.6：同一価格表セクション内で凡例継承を確定。</t>
        </is>
      </c>
      <c r="N967" t="inlineStr">
        <is>
          <t>https://drive.google.com/file/d/1YUN-mtWYs48YBUHJk0C3vJXnhjyZFHyf/view</t>
        </is>
      </c>
    </row>
    <row r="968">
      <c r="A968" s="42" t="inlineStr">
        <is>
          <t>GSC-SL-000965</t>
        </is>
      </c>
      <c r="B968" t="inlineStr">
        <is>
          <t>SZ-SL-000965</t>
        </is>
      </c>
      <c r="C968" t="inlineStr">
        <is>
          <t>WT-SL-MENKOSHI-AGE-FS</t>
        </is>
      </c>
      <c r="D968" t="inlineStr">
        <is>
          <t>SP-SL-AGE-GRILLE-DIA</t>
        </is>
      </c>
      <c r="E968" t="inlineStr">
        <is>
          <t>02607</t>
        </is>
      </c>
      <c r="F968" t="b">
        <v>1</v>
      </c>
      <c r="G968" t="n">
        <v>144</v>
      </c>
      <c r="H968" t="inlineStr">
        <is>
          <t>無印</t>
        </is>
      </c>
      <c r="I968" t="n">
        <v>144</v>
      </c>
      <c r="J968" t="inlineStr">
        <is>
          <t>P144|無印</t>
        </is>
      </c>
      <c r="K968" t="inlineStr">
        <is>
          <t>同頁凡例へ直接連動</t>
        </is>
      </c>
      <c r="L968" t="inlineStr">
        <is>
          <t>202604_LIXIL_サーモスＬ_業務用資料集_完成品価格表.pdf</t>
        </is>
      </c>
      <c r="M968" t="inlineStr">
        <is>
          <t>v0.6：同一価格表セクション内で凡例継承を確定。</t>
        </is>
      </c>
      <c r="N968" t="inlineStr">
        <is>
          <t>https://drive.google.com/file/d/1YUN-mtWYs48YBUHJk0C3vJXnhjyZFHyf/view</t>
        </is>
      </c>
    </row>
    <row r="969">
      <c r="A969" s="42" t="inlineStr">
        <is>
          <t>GSC-SL-000966</t>
        </is>
      </c>
      <c r="B969" t="inlineStr">
        <is>
          <t>SZ-SL-000966</t>
        </is>
      </c>
      <c r="C969" t="inlineStr">
        <is>
          <t>WT-SL-MENKOSHI-AGE-FS</t>
        </is>
      </c>
      <c r="D969" t="inlineStr">
        <is>
          <t>SP-SL-AGE-GRILLE-DIA</t>
        </is>
      </c>
      <c r="E969" t="inlineStr">
        <is>
          <t>03607</t>
        </is>
      </c>
      <c r="F969" t="b">
        <v>1</v>
      </c>
      <c r="G969" t="n">
        <v>144</v>
      </c>
      <c r="H969" t="inlineStr">
        <is>
          <t>無印</t>
        </is>
      </c>
      <c r="I969" t="n">
        <v>144</v>
      </c>
      <c r="J969" t="inlineStr">
        <is>
          <t>P144|無印</t>
        </is>
      </c>
      <c r="K969" t="inlineStr">
        <is>
          <t>同頁凡例へ直接連動</t>
        </is>
      </c>
      <c r="L969" t="inlineStr">
        <is>
          <t>202604_LIXIL_サーモスＬ_業務用資料集_完成品価格表.pdf</t>
        </is>
      </c>
      <c r="M969" t="inlineStr">
        <is>
          <t>v0.6：同一価格表セクション内で凡例継承を確定。</t>
        </is>
      </c>
      <c r="N969" t="inlineStr">
        <is>
          <t>https://drive.google.com/file/d/1YUN-mtWYs48YBUHJk0C3vJXnhjyZFHyf/view</t>
        </is>
      </c>
    </row>
    <row r="970">
      <c r="A970" s="42" t="inlineStr">
        <is>
          <t>GSC-SL-000967</t>
        </is>
      </c>
      <c r="B970" t="inlineStr">
        <is>
          <t>SZ-SL-000967</t>
        </is>
      </c>
      <c r="C970" t="inlineStr">
        <is>
          <t>WT-SL-MENKOSHI-AGE-FS</t>
        </is>
      </c>
      <c r="D970" t="inlineStr">
        <is>
          <t>SP-SL-AGE-GRILLE-DIA</t>
        </is>
      </c>
      <c r="E970" t="inlineStr">
        <is>
          <t>06007</t>
        </is>
      </c>
      <c r="F970" t="b">
        <v>1</v>
      </c>
      <c r="G970" t="n">
        <v>144</v>
      </c>
      <c r="H970" t="inlineStr">
        <is>
          <t>無印</t>
        </is>
      </c>
      <c r="I970" t="n">
        <v>144</v>
      </c>
      <c r="J970" t="inlineStr">
        <is>
          <t>P144|無印</t>
        </is>
      </c>
      <c r="K970" t="inlineStr">
        <is>
          <t>同頁凡例へ直接連動</t>
        </is>
      </c>
      <c r="L970" t="inlineStr">
        <is>
          <t>202604_LIXIL_サーモスＬ_業務用資料集_完成品価格表.pdf</t>
        </is>
      </c>
      <c r="M970" t="inlineStr">
        <is>
          <t>v0.6：同一価格表セクション内で凡例継承を確定。</t>
        </is>
      </c>
      <c r="N970" t="inlineStr">
        <is>
          <t>https://drive.google.com/file/d/1YUN-mtWYs48YBUHJk0C3vJXnhjyZFHyf/view</t>
        </is>
      </c>
    </row>
    <row r="971">
      <c r="A971" s="42" t="inlineStr">
        <is>
          <t>GSC-SL-000968</t>
        </is>
      </c>
      <c r="B971" t="inlineStr">
        <is>
          <t>SZ-SL-000968</t>
        </is>
      </c>
      <c r="C971" t="inlineStr">
        <is>
          <t>WT-SL-MENKOSHI-AGE-FS</t>
        </is>
      </c>
      <c r="D971" t="inlineStr">
        <is>
          <t>SP-SL-AGE-GRILLE-DIA</t>
        </is>
      </c>
      <c r="E971" t="inlineStr">
        <is>
          <t>06907</t>
        </is>
      </c>
      <c r="F971" t="b">
        <v>1</v>
      </c>
      <c r="G971" t="n">
        <v>144</v>
      </c>
      <c r="H971" t="inlineStr">
        <is>
          <t>無印</t>
        </is>
      </c>
      <c r="I971" t="n">
        <v>144</v>
      </c>
      <c r="J971" t="inlineStr">
        <is>
          <t>P144|無印</t>
        </is>
      </c>
      <c r="K971" t="inlineStr">
        <is>
          <t>同頁凡例へ直接連動</t>
        </is>
      </c>
      <c r="L971" t="inlineStr">
        <is>
          <t>202604_LIXIL_サーモスＬ_業務用資料集_完成品価格表.pdf</t>
        </is>
      </c>
      <c r="M971" t="inlineStr">
        <is>
          <t>v0.6：同一価格表セクション内で凡例継承を確定。</t>
        </is>
      </c>
      <c r="N971" t="inlineStr">
        <is>
          <t>https://drive.google.com/file/d/1YUN-mtWYs48YBUHJk0C3vJXnhjyZFHyf/view</t>
        </is>
      </c>
    </row>
    <row r="972">
      <c r="A972" s="42" t="inlineStr">
        <is>
          <t>GSC-SL-000969</t>
        </is>
      </c>
      <c r="B972" t="inlineStr">
        <is>
          <t>SZ-SL-000969</t>
        </is>
      </c>
      <c r="C972" t="inlineStr">
        <is>
          <t>WT-SL-MENKOSHI-AGE-FS</t>
        </is>
      </c>
      <c r="D972" t="inlineStr">
        <is>
          <t>SP-SL-AGE-GRILLE-DIA</t>
        </is>
      </c>
      <c r="E972" t="inlineStr">
        <is>
          <t>07407</t>
        </is>
      </c>
      <c r="F972" t="b">
        <v>1</v>
      </c>
      <c r="G972" t="n">
        <v>144</v>
      </c>
      <c r="H972" t="inlineStr">
        <is>
          <t>無印</t>
        </is>
      </c>
      <c r="I972" t="n">
        <v>144</v>
      </c>
      <c r="J972" t="inlineStr">
        <is>
          <t>P144|無印</t>
        </is>
      </c>
      <c r="K972" t="inlineStr">
        <is>
          <t>同頁凡例へ直接連動</t>
        </is>
      </c>
      <c r="L972" t="inlineStr">
        <is>
          <t>202604_LIXIL_サーモスＬ_業務用資料集_完成品価格表.pdf</t>
        </is>
      </c>
      <c r="M972" t="inlineStr">
        <is>
          <t>v0.6：同一価格表セクション内で凡例継承を確定。</t>
        </is>
      </c>
      <c r="N972" t="inlineStr">
        <is>
          <t>https://drive.google.com/file/d/1YUN-mtWYs48YBUHJk0C3vJXnhjyZFHyf/view</t>
        </is>
      </c>
    </row>
    <row r="973">
      <c r="A973" s="42" t="inlineStr">
        <is>
          <t>GSC-SL-000970</t>
        </is>
      </c>
      <c r="B973" t="inlineStr">
        <is>
          <t>SZ-SL-000970</t>
        </is>
      </c>
      <c r="C973" t="inlineStr">
        <is>
          <t>WT-SL-MENKOSHI-AGE-FS</t>
        </is>
      </c>
      <c r="D973" t="inlineStr">
        <is>
          <t>SP-SL-AGE-GRILLE-H</t>
        </is>
      </c>
      <c r="E973" t="inlineStr">
        <is>
          <t>02607</t>
        </is>
      </c>
      <c r="F973" t="b">
        <v>1</v>
      </c>
      <c r="G973" t="n">
        <v>144</v>
      </c>
      <c r="H973" t="inlineStr">
        <is>
          <t>無印</t>
        </is>
      </c>
      <c r="I973" t="n">
        <v>144</v>
      </c>
      <c r="J973" t="inlineStr">
        <is>
          <t>P144|無印</t>
        </is>
      </c>
      <c r="K973" t="inlineStr">
        <is>
          <t>同頁凡例へ直接連動</t>
        </is>
      </c>
      <c r="L973" t="inlineStr">
        <is>
          <t>202604_LIXIL_サーモスＬ_業務用資料集_完成品価格表.pdf</t>
        </is>
      </c>
      <c r="M973" t="inlineStr">
        <is>
          <t>v0.6：同一価格表セクション内で凡例継承を確定。</t>
        </is>
      </c>
      <c r="N973" t="inlineStr">
        <is>
          <t>https://drive.google.com/file/d/1YUN-mtWYs48YBUHJk0C3vJXnhjyZFHyf/view</t>
        </is>
      </c>
    </row>
    <row r="974">
      <c r="A974" s="42" t="inlineStr">
        <is>
          <t>GSC-SL-000971</t>
        </is>
      </c>
      <c r="B974" t="inlineStr">
        <is>
          <t>SZ-SL-000971</t>
        </is>
      </c>
      <c r="C974" t="inlineStr">
        <is>
          <t>WT-SL-MENKOSHI-AGE-FS</t>
        </is>
      </c>
      <c r="D974" t="inlineStr">
        <is>
          <t>SP-SL-AGE-GRILLE-H</t>
        </is>
      </c>
      <c r="E974" t="inlineStr">
        <is>
          <t>03607</t>
        </is>
      </c>
      <c r="F974" t="b">
        <v>1</v>
      </c>
      <c r="G974" t="n">
        <v>144</v>
      </c>
      <c r="H974" t="inlineStr">
        <is>
          <t>無印</t>
        </is>
      </c>
      <c r="I974" t="n">
        <v>144</v>
      </c>
      <c r="J974" t="inlineStr">
        <is>
          <t>P144|無印</t>
        </is>
      </c>
      <c r="K974" t="inlineStr">
        <is>
          <t>同頁凡例へ直接連動</t>
        </is>
      </c>
      <c r="L974" t="inlineStr">
        <is>
          <t>202604_LIXIL_サーモスＬ_業務用資料集_完成品価格表.pdf</t>
        </is>
      </c>
      <c r="M974" t="inlineStr">
        <is>
          <t>v0.6：同一価格表セクション内で凡例継承を確定。</t>
        </is>
      </c>
      <c r="N974" t="inlineStr">
        <is>
          <t>https://drive.google.com/file/d/1YUN-mtWYs48YBUHJk0C3vJXnhjyZFHyf/view</t>
        </is>
      </c>
    </row>
    <row r="975">
      <c r="A975" s="42" t="inlineStr">
        <is>
          <t>GSC-SL-000972</t>
        </is>
      </c>
      <c r="B975" t="inlineStr">
        <is>
          <t>SZ-SL-000972</t>
        </is>
      </c>
      <c r="C975" t="inlineStr">
        <is>
          <t>WT-SL-MENKOSHI-AGE-FS</t>
        </is>
      </c>
      <c r="D975" t="inlineStr">
        <is>
          <t>SP-SL-AGE-GRILLE-H</t>
        </is>
      </c>
      <c r="E975" t="inlineStr">
        <is>
          <t>06007</t>
        </is>
      </c>
      <c r="F975" t="b">
        <v>1</v>
      </c>
      <c r="G975" t="n">
        <v>144</v>
      </c>
      <c r="H975" t="inlineStr">
        <is>
          <t>無印</t>
        </is>
      </c>
      <c r="I975" t="n">
        <v>144</v>
      </c>
      <c r="J975" t="inlineStr">
        <is>
          <t>P144|無印</t>
        </is>
      </c>
      <c r="K975" t="inlineStr">
        <is>
          <t>同頁凡例へ直接連動</t>
        </is>
      </c>
      <c r="L975" t="inlineStr">
        <is>
          <t>202604_LIXIL_サーモスＬ_業務用資料集_完成品価格表.pdf</t>
        </is>
      </c>
      <c r="M975" t="inlineStr">
        <is>
          <t>v0.6：同一価格表セクション内で凡例継承を確定。</t>
        </is>
      </c>
      <c r="N975" t="inlineStr">
        <is>
          <t>https://drive.google.com/file/d/1YUN-mtWYs48YBUHJk0C3vJXnhjyZFHyf/view</t>
        </is>
      </c>
    </row>
    <row r="976">
      <c r="A976" s="42" t="inlineStr">
        <is>
          <t>GSC-SL-000973</t>
        </is>
      </c>
      <c r="B976" t="inlineStr">
        <is>
          <t>SZ-SL-000973</t>
        </is>
      </c>
      <c r="C976" t="inlineStr">
        <is>
          <t>WT-SL-MENKOSHI-AGE-FS</t>
        </is>
      </c>
      <c r="D976" t="inlineStr">
        <is>
          <t>SP-SL-AGE-GRILLE-H</t>
        </is>
      </c>
      <c r="E976" t="inlineStr">
        <is>
          <t>06907</t>
        </is>
      </c>
      <c r="F976" t="b">
        <v>1</v>
      </c>
      <c r="G976" t="n">
        <v>144</v>
      </c>
      <c r="H976" t="inlineStr">
        <is>
          <t>無印</t>
        </is>
      </c>
      <c r="I976" t="n">
        <v>144</v>
      </c>
      <c r="J976" t="inlineStr">
        <is>
          <t>P144|無印</t>
        </is>
      </c>
      <c r="K976" t="inlineStr">
        <is>
          <t>同頁凡例へ直接連動</t>
        </is>
      </c>
      <c r="L976" t="inlineStr">
        <is>
          <t>202604_LIXIL_サーモスＬ_業務用資料集_完成品価格表.pdf</t>
        </is>
      </c>
      <c r="M976" t="inlineStr">
        <is>
          <t>v0.6：同一価格表セクション内で凡例継承を確定。</t>
        </is>
      </c>
      <c r="N976" t="inlineStr">
        <is>
          <t>https://drive.google.com/file/d/1YUN-mtWYs48YBUHJk0C3vJXnhjyZFHyf/view</t>
        </is>
      </c>
    </row>
    <row r="977">
      <c r="A977" s="42" t="inlineStr">
        <is>
          <t>GSC-SL-000974</t>
        </is>
      </c>
      <c r="B977" t="inlineStr">
        <is>
          <t>SZ-SL-000974</t>
        </is>
      </c>
      <c r="C977" t="inlineStr">
        <is>
          <t>WT-SL-MENKOSHI-AGE-FS</t>
        </is>
      </c>
      <c r="D977" t="inlineStr">
        <is>
          <t>SP-SL-AGE-GRILLE-H</t>
        </is>
      </c>
      <c r="E977" t="inlineStr">
        <is>
          <t>07407</t>
        </is>
      </c>
      <c r="F977" t="b">
        <v>1</v>
      </c>
      <c r="G977" t="n">
        <v>144</v>
      </c>
      <c r="H977" t="inlineStr">
        <is>
          <t>無印</t>
        </is>
      </c>
      <c r="I977" t="n">
        <v>144</v>
      </c>
      <c r="J977" t="inlineStr">
        <is>
          <t>P144|無印</t>
        </is>
      </c>
      <c r="K977" t="inlineStr">
        <is>
          <t>同頁凡例へ直接連動</t>
        </is>
      </c>
      <c r="L977" t="inlineStr">
        <is>
          <t>202604_LIXIL_サーモスＬ_業務用資料集_完成品価格表.pdf</t>
        </is>
      </c>
      <c r="M977" t="inlineStr">
        <is>
          <t>v0.6：同一価格表セクション内で凡例継承を確定。</t>
        </is>
      </c>
      <c r="N977" t="inlineStr">
        <is>
          <t>https://drive.google.com/file/d/1YUN-mtWYs48YBUHJk0C3vJXnhjyZFHyf/view</t>
        </is>
      </c>
    </row>
    <row r="978">
      <c r="A978" s="42" t="inlineStr">
        <is>
          <t>GSC-SL-000975</t>
        </is>
      </c>
      <c r="B978" t="inlineStr">
        <is>
          <t>SZ-SL-000975</t>
        </is>
      </c>
      <c r="C978" t="inlineStr">
        <is>
          <t>WT-SL-MENKOSHI-AGE-FS</t>
        </is>
      </c>
      <c r="D978" t="inlineStr">
        <is>
          <t>SP-SL-AGE-GRILLE-IGETA</t>
        </is>
      </c>
      <c r="E978" t="inlineStr">
        <is>
          <t>02607</t>
        </is>
      </c>
      <c r="F978" t="b">
        <v>1</v>
      </c>
      <c r="G978" t="n">
        <v>144</v>
      </c>
      <c r="H978" t="inlineStr">
        <is>
          <t>無印</t>
        </is>
      </c>
      <c r="I978" t="n">
        <v>144</v>
      </c>
      <c r="J978" t="inlineStr">
        <is>
          <t>P144|無印</t>
        </is>
      </c>
      <c r="K978" t="inlineStr">
        <is>
          <t>同頁凡例へ直接連動</t>
        </is>
      </c>
      <c r="L978" t="inlineStr">
        <is>
          <t>202604_LIXIL_サーモスＬ_業務用資料集_完成品価格表.pdf</t>
        </is>
      </c>
      <c r="M978" t="inlineStr">
        <is>
          <t>v0.6：同一価格表セクション内で凡例継承を確定。</t>
        </is>
      </c>
      <c r="N978" t="inlineStr">
        <is>
          <t>https://drive.google.com/file/d/1YUN-mtWYs48YBUHJk0C3vJXnhjyZFHyf/view</t>
        </is>
      </c>
    </row>
    <row r="979">
      <c r="A979" s="42" t="inlineStr">
        <is>
          <t>GSC-SL-000976</t>
        </is>
      </c>
      <c r="B979" t="inlineStr">
        <is>
          <t>SZ-SL-000976</t>
        </is>
      </c>
      <c r="C979" t="inlineStr">
        <is>
          <t>WT-SL-MENKOSHI-AGE-FS</t>
        </is>
      </c>
      <c r="D979" t="inlineStr">
        <is>
          <t>SP-SL-AGE-GRILLE-IGETA</t>
        </is>
      </c>
      <c r="E979" t="inlineStr">
        <is>
          <t>03607</t>
        </is>
      </c>
      <c r="F979" t="b">
        <v>1</v>
      </c>
      <c r="G979" t="n">
        <v>144</v>
      </c>
      <c r="H979" t="inlineStr">
        <is>
          <t>無印</t>
        </is>
      </c>
      <c r="I979" t="n">
        <v>144</v>
      </c>
      <c r="J979" t="inlineStr">
        <is>
          <t>P144|無印</t>
        </is>
      </c>
      <c r="K979" t="inlineStr">
        <is>
          <t>同頁凡例へ直接連動</t>
        </is>
      </c>
      <c r="L979" t="inlineStr">
        <is>
          <t>202604_LIXIL_サーモスＬ_業務用資料集_完成品価格表.pdf</t>
        </is>
      </c>
      <c r="M979" t="inlineStr">
        <is>
          <t>v0.6：同一価格表セクション内で凡例継承を確定。</t>
        </is>
      </c>
      <c r="N979" t="inlineStr">
        <is>
          <t>https://drive.google.com/file/d/1YUN-mtWYs48YBUHJk0C3vJXnhjyZFHyf/view</t>
        </is>
      </c>
    </row>
    <row r="980">
      <c r="A980" s="42" t="inlineStr">
        <is>
          <t>GSC-SL-000977</t>
        </is>
      </c>
      <c r="B980" t="inlineStr">
        <is>
          <t>SZ-SL-000977</t>
        </is>
      </c>
      <c r="C980" t="inlineStr">
        <is>
          <t>WT-SL-MENKOSHI-AGE-FS</t>
        </is>
      </c>
      <c r="D980" t="inlineStr">
        <is>
          <t>SP-SL-AGE-GRILLE-IGETA</t>
        </is>
      </c>
      <c r="E980" t="inlineStr">
        <is>
          <t>06007</t>
        </is>
      </c>
      <c r="F980" t="b">
        <v>1</v>
      </c>
      <c r="G980" t="n">
        <v>144</v>
      </c>
      <c r="H980" t="inlineStr">
        <is>
          <t>無印</t>
        </is>
      </c>
      <c r="I980" t="n">
        <v>144</v>
      </c>
      <c r="J980" t="inlineStr">
        <is>
          <t>P144|無印</t>
        </is>
      </c>
      <c r="K980" t="inlineStr">
        <is>
          <t>同頁凡例へ直接連動</t>
        </is>
      </c>
      <c r="L980" t="inlineStr">
        <is>
          <t>202604_LIXIL_サーモスＬ_業務用資料集_完成品価格表.pdf</t>
        </is>
      </c>
      <c r="M980" t="inlineStr">
        <is>
          <t>v0.6：同一価格表セクション内で凡例継承を確定。</t>
        </is>
      </c>
      <c r="N980" t="inlineStr">
        <is>
          <t>https://drive.google.com/file/d/1YUN-mtWYs48YBUHJk0C3vJXnhjyZFHyf/view</t>
        </is>
      </c>
    </row>
    <row r="981">
      <c r="A981" s="42" t="inlineStr">
        <is>
          <t>GSC-SL-000978</t>
        </is>
      </c>
      <c r="B981" t="inlineStr">
        <is>
          <t>SZ-SL-000978</t>
        </is>
      </c>
      <c r="C981" t="inlineStr">
        <is>
          <t>WT-SL-MENKOSHI-AGE-FS</t>
        </is>
      </c>
      <c r="D981" t="inlineStr">
        <is>
          <t>SP-SL-AGE-GRILLE-IGETA</t>
        </is>
      </c>
      <c r="E981" t="inlineStr">
        <is>
          <t>06907</t>
        </is>
      </c>
      <c r="F981" t="b">
        <v>1</v>
      </c>
      <c r="G981" t="n">
        <v>144</v>
      </c>
      <c r="H981" t="inlineStr">
        <is>
          <t>無印</t>
        </is>
      </c>
      <c r="I981" t="n">
        <v>144</v>
      </c>
      <c r="J981" t="inlineStr">
        <is>
          <t>P144|無印</t>
        </is>
      </c>
      <c r="K981" t="inlineStr">
        <is>
          <t>同頁凡例へ直接連動</t>
        </is>
      </c>
      <c r="L981" t="inlineStr">
        <is>
          <t>202604_LIXIL_サーモスＬ_業務用資料集_完成品価格表.pdf</t>
        </is>
      </c>
      <c r="M981" t="inlineStr">
        <is>
          <t>v0.6：同一価格表セクション内で凡例継承を確定。</t>
        </is>
      </c>
      <c r="N981" t="inlineStr">
        <is>
          <t>https://drive.google.com/file/d/1YUN-mtWYs48YBUHJk0C3vJXnhjyZFHyf/view</t>
        </is>
      </c>
    </row>
    <row r="982">
      <c r="A982" s="42" t="inlineStr">
        <is>
          <t>GSC-SL-000979</t>
        </is>
      </c>
      <c r="B982" t="inlineStr">
        <is>
          <t>SZ-SL-000979</t>
        </is>
      </c>
      <c r="C982" t="inlineStr">
        <is>
          <t>WT-SL-MENKOSHI-AGE-FS</t>
        </is>
      </c>
      <c r="D982" t="inlineStr">
        <is>
          <t>SP-SL-AGE-GRILLE-IGETA</t>
        </is>
      </c>
      <c r="E982" t="inlineStr">
        <is>
          <t>07407</t>
        </is>
      </c>
      <c r="F982" t="b">
        <v>1</v>
      </c>
      <c r="G982" t="n">
        <v>144</v>
      </c>
      <c r="H982" t="inlineStr">
        <is>
          <t>無印</t>
        </is>
      </c>
      <c r="I982" t="n">
        <v>144</v>
      </c>
      <c r="J982" t="inlineStr">
        <is>
          <t>P144|無印</t>
        </is>
      </c>
      <c r="K982" t="inlineStr">
        <is>
          <t>同頁凡例へ直接連動</t>
        </is>
      </c>
      <c r="L982" t="inlineStr">
        <is>
          <t>202604_LIXIL_サーモスＬ_業務用資料集_完成品価格表.pdf</t>
        </is>
      </c>
      <c r="M982" t="inlineStr">
        <is>
          <t>v0.6：同一価格表セクション内で凡例継承を確定。</t>
        </is>
      </c>
      <c r="N982" t="inlineStr">
        <is>
          <t>https://drive.google.com/file/d/1YUN-mtWYs48YBUHJk0C3vJXnhjyZFHyf/view</t>
        </is>
      </c>
    </row>
    <row r="983">
      <c r="A983" s="42" t="inlineStr">
        <is>
          <t>GSC-SL-000980</t>
        </is>
      </c>
      <c r="B983" t="inlineStr">
        <is>
          <t>SZ-SL-000980</t>
        </is>
      </c>
      <c r="C983" t="inlineStr">
        <is>
          <t>WT-SL-MENKOSHI-AGE-FS</t>
        </is>
      </c>
      <c r="D983" t="inlineStr">
        <is>
          <t>SP-SL-AGE-GRILLE-V</t>
        </is>
      </c>
      <c r="E983" t="inlineStr">
        <is>
          <t>02607</t>
        </is>
      </c>
      <c r="F983" t="b">
        <v>1</v>
      </c>
      <c r="G983" t="n">
        <v>144</v>
      </c>
      <c r="H983" t="inlineStr">
        <is>
          <t>無印</t>
        </is>
      </c>
      <c r="I983" t="n">
        <v>144</v>
      </c>
      <c r="J983" t="inlineStr">
        <is>
          <t>P144|無印</t>
        </is>
      </c>
      <c r="K983" t="inlineStr">
        <is>
          <t>同頁凡例へ直接連動</t>
        </is>
      </c>
      <c r="L983" t="inlineStr">
        <is>
          <t>202604_LIXIL_サーモスＬ_業務用資料集_完成品価格表.pdf</t>
        </is>
      </c>
      <c r="M983" t="inlineStr">
        <is>
          <t>v0.6：同一価格表セクション内で凡例継承を確定。</t>
        </is>
      </c>
      <c r="N983" t="inlineStr">
        <is>
          <t>https://drive.google.com/file/d/1YUN-mtWYs48YBUHJk0C3vJXnhjyZFHyf/view</t>
        </is>
      </c>
    </row>
    <row r="984">
      <c r="A984" s="42" t="inlineStr">
        <is>
          <t>GSC-SL-000981</t>
        </is>
      </c>
      <c r="B984" t="inlineStr">
        <is>
          <t>SZ-SL-000981</t>
        </is>
      </c>
      <c r="C984" t="inlineStr">
        <is>
          <t>WT-SL-MENKOSHI-AGE-FS</t>
        </is>
      </c>
      <c r="D984" t="inlineStr">
        <is>
          <t>SP-SL-AGE-GRILLE-V</t>
        </is>
      </c>
      <c r="E984" t="inlineStr">
        <is>
          <t>03607</t>
        </is>
      </c>
      <c r="F984" t="b">
        <v>1</v>
      </c>
      <c r="G984" t="n">
        <v>144</v>
      </c>
      <c r="H984" t="inlineStr">
        <is>
          <t>無印</t>
        </is>
      </c>
      <c r="I984" t="n">
        <v>144</v>
      </c>
      <c r="J984" t="inlineStr">
        <is>
          <t>P144|無印</t>
        </is>
      </c>
      <c r="K984" t="inlineStr">
        <is>
          <t>同頁凡例へ直接連動</t>
        </is>
      </c>
      <c r="L984" t="inlineStr">
        <is>
          <t>202604_LIXIL_サーモスＬ_業務用資料集_完成品価格表.pdf</t>
        </is>
      </c>
      <c r="M984" t="inlineStr">
        <is>
          <t>v0.6：同一価格表セクション内で凡例継承を確定。</t>
        </is>
      </c>
      <c r="N984" t="inlineStr">
        <is>
          <t>https://drive.google.com/file/d/1YUN-mtWYs48YBUHJk0C3vJXnhjyZFHyf/view</t>
        </is>
      </c>
    </row>
    <row r="985">
      <c r="A985" s="42" t="inlineStr">
        <is>
          <t>GSC-SL-000982</t>
        </is>
      </c>
      <c r="B985" t="inlineStr">
        <is>
          <t>SZ-SL-000982</t>
        </is>
      </c>
      <c r="C985" t="inlineStr">
        <is>
          <t>WT-SL-MENKOSHI-AGE-FS</t>
        </is>
      </c>
      <c r="D985" t="inlineStr">
        <is>
          <t>SP-SL-AGE-GRILLE-V</t>
        </is>
      </c>
      <c r="E985" t="inlineStr">
        <is>
          <t>06007</t>
        </is>
      </c>
      <c r="F985" t="b">
        <v>1</v>
      </c>
      <c r="G985" t="n">
        <v>144</v>
      </c>
      <c r="H985" t="inlineStr">
        <is>
          <t>無印</t>
        </is>
      </c>
      <c r="I985" t="n">
        <v>144</v>
      </c>
      <c r="J985" t="inlineStr">
        <is>
          <t>P144|無印</t>
        </is>
      </c>
      <c r="K985" t="inlineStr">
        <is>
          <t>同頁凡例へ直接連動</t>
        </is>
      </c>
      <c r="L985" t="inlineStr">
        <is>
          <t>202604_LIXIL_サーモスＬ_業務用資料集_完成品価格表.pdf</t>
        </is>
      </c>
      <c r="M985" t="inlineStr">
        <is>
          <t>v0.6：同一価格表セクション内で凡例継承を確定。</t>
        </is>
      </c>
      <c r="N985" t="inlineStr">
        <is>
          <t>https://drive.google.com/file/d/1YUN-mtWYs48YBUHJk0C3vJXnhjyZFHyf/view</t>
        </is>
      </c>
    </row>
    <row r="986">
      <c r="A986" s="42" t="inlineStr">
        <is>
          <t>GSC-SL-000983</t>
        </is>
      </c>
      <c r="B986" t="inlineStr">
        <is>
          <t>SZ-SL-000983</t>
        </is>
      </c>
      <c r="C986" t="inlineStr">
        <is>
          <t>WT-SL-MENKOSHI-AGE-FS</t>
        </is>
      </c>
      <c r="D986" t="inlineStr">
        <is>
          <t>SP-SL-AGE-GRILLE-V</t>
        </is>
      </c>
      <c r="E986" t="inlineStr">
        <is>
          <t>06907</t>
        </is>
      </c>
      <c r="F986" t="b">
        <v>1</v>
      </c>
      <c r="G986" t="n">
        <v>144</v>
      </c>
      <c r="H986" t="inlineStr">
        <is>
          <t>無印</t>
        </is>
      </c>
      <c r="I986" t="n">
        <v>144</v>
      </c>
      <c r="J986" t="inlineStr">
        <is>
          <t>P144|無印</t>
        </is>
      </c>
      <c r="K986" t="inlineStr">
        <is>
          <t>同頁凡例へ直接連動</t>
        </is>
      </c>
      <c r="L986" t="inlineStr">
        <is>
          <t>202604_LIXIL_サーモスＬ_業務用資料集_完成品価格表.pdf</t>
        </is>
      </c>
      <c r="M986" t="inlineStr">
        <is>
          <t>v0.6：同一価格表セクション内で凡例継承を確定。</t>
        </is>
      </c>
      <c r="N986" t="inlineStr">
        <is>
          <t>https://drive.google.com/file/d/1YUN-mtWYs48YBUHJk0C3vJXnhjyZFHyf/view</t>
        </is>
      </c>
    </row>
    <row r="987">
      <c r="A987" s="42" t="inlineStr">
        <is>
          <t>GSC-SL-000984</t>
        </is>
      </c>
      <c r="B987" t="inlineStr">
        <is>
          <t>SZ-SL-000984</t>
        </is>
      </c>
      <c r="C987" t="inlineStr">
        <is>
          <t>WT-SL-MENKOSHI-AGE-FS</t>
        </is>
      </c>
      <c r="D987" t="inlineStr">
        <is>
          <t>SP-SL-AGE-GRILLE-V</t>
        </is>
      </c>
      <c r="E987" t="inlineStr">
        <is>
          <t>07407</t>
        </is>
      </c>
      <c r="F987" t="b">
        <v>1</v>
      </c>
      <c r="G987" t="n">
        <v>144</v>
      </c>
      <c r="H987" t="inlineStr">
        <is>
          <t>無印</t>
        </is>
      </c>
      <c r="I987" t="n">
        <v>144</v>
      </c>
      <c r="J987" t="inlineStr">
        <is>
          <t>P144|無印</t>
        </is>
      </c>
      <c r="K987" t="inlineStr">
        <is>
          <t>同頁凡例へ直接連動</t>
        </is>
      </c>
      <c r="L987" t="inlineStr">
        <is>
          <t>202604_LIXIL_サーモスＬ_業務用資料集_完成品価格表.pdf</t>
        </is>
      </c>
      <c r="M987" t="inlineStr">
        <is>
          <t>v0.6：同一価格表セクション内で凡例継承を確定。</t>
        </is>
      </c>
      <c r="N987" t="inlineStr">
        <is>
          <t>https://drive.google.com/file/d/1YUN-mtWYs48YBUHJk0C3vJXnhjyZFHyf/view</t>
        </is>
      </c>
    </row>
    <row r="988">
      <c r="A988" s="42" t="inlineStr">
        <is>
          <t>GSC-SL-000985</t>
        </is>
      </c>
      <c r="B988" t="inlineStr">
        <is>
          <t>SZ-SL-000985</t>
        </is>
      </c>
      <c r="C988" t="inlineStr">
        <is>
          <t>WT-SL-MENKOSHI-AGE-FS</t>
        </is>
      </c>
      <c r="D988" t="inlineStr">
        <is>
          <t>SP-SL-AGE-GRILLE-DIA</t>
        </is>
      </c>
      <c r="E988" t="inlineStr">
        <is>
          <t>02609</t>
        </is>
      </c>
      <c r="F988" t="b">
        <v>1</v>
      </c>
      <c r="G988" t="n">
        <v>145</v>
      </c>
      <c r="H988" t="inlineStr">
        <is>
          <t>無印</t>
        </is>
      </c>
      <c r="I988" t="n">
        <v>145</v>
      </c>
      <c r="J988" t="inlineStr">
        <is>
          <t>P145|無印</t>
        </is>
      </c>
      <c r="K988" t="inlineStr">
        <is>
          <t>同頁凡例へ直接連動</t>
        </is>
      </c>
      <c r="L988" t="inlineStr">
        <is>
          <t>202604_LIXIL_サーモスＬ_業務用資料集_完成品価格表.pdf</t>
        </is>
      </c>
      <c r="M988" t="inlineStr">
        <is>
          <t>v0.6：同一価格表セクション内で凡例継承を確定。</t>
        </is>
      </c>
      <c r="N988" t="inlineStr">
        <is>
          <t>https://drive.google.com/file/d/1YUN-mtWYs48YBUHJk0C3vJXnhjyZFHyf/view</t>
        </is>
      </c>
    </row>
    <row r="989">
      <c r="A989" s="42" t="inlineStr">
        <is>
          <t>GSC-SL-000986</t>
        </is>
      </c>
      <c r="B989" t="inlineStr">
        <is>
          <t>SZ-SL-000986</t>
        </is>
      </c>
      <c r="C989" t="inlineStr">
        <is>
          <t>WT-SL-MENKOSHI-AGE-FS</t>
        </is>
      </c>
      <c r="D989" t="inlineStr">
        <is>
          <t>SP-SL-AGE-GRILLE-DIA</t>
        </is>
      </c>
      <c r="E989" t="inlineStr">
        <is>
          <t>03609</t>
        </is>
      </c>
      <c r="F989" t="b">
        <v>1</v>
      </c>
      <c r="G989" t="n">
        <v>145</v>
      </c>
      <c r="H989" t="inlineStr">
        <is>
          <t>無印</t>
        </is>
      </c>
      <c r="I989" t="n">
        <v>145</v>
      </c>
      <c r="J989" t="inlineStr">
        <is>
          <t>P145|無印</t>
        </is>
      </c>
      <c r="K989" t="inlineStr">
        <is>
          <t>同頁凡例へ直接連動</t>
        </is>
      </c>
      <c r="L989" t="inlineStr">
        <is>
          <t>202604_LIXIL_サーモスＬ_業務用資料集_完成品価格表.pdf</t>
        </is>
      </c>
      <c r="M989" t="inlineStr">
        <is>
          <t>v0.6：同一価格表セクション内で凡例継承を確定。</t>
        </is>
      </c>
      <c r="N989" t="inlineStr">
        <is>
          <t>https://drive.google.com/file/d/1YUN-mtWYs48YBUHJk0C3vJXnhjyZFHyf/view</t>
        </is>
      </c>
    </row>
    <row r="990">
      <c r="A990" s="42" t="inlineStr">
        <is>
          <t>GSC-SL-000987</t>
        </is>
      </c>
      <c r="B990" t="inlineStr">
        <is>
          <t>SZ-SL-000987</t>
        </is>
      </c>
      <c r="C990" t="inlineStr">
        <is>
          <t>WT-SL-MENKOSHI-AGE-FS</t>
        </is>
      </c>
      <c r="D990" t="inlineStr">
        <is>
          <t>SP-SL-AGE-GRILLE-DIA</t>
        </is>
      </c>
      <c r="E990" t="inlineStr">
        <is>
          <t>06009</t>
        </is>
      </c>
      <c r="F990" t="b">
        <v>1</v>
      </c>
      <c r="G990" t="n">
        <v>145</v>
      </c>
      <c r="H990" t="inlineStr">
        <is>
          <t>無印</t>
        </is>
      </c>
      <c r="I990" t="n">
        <v>145</v>
      </c>
      <c r="J990" t="inlineStr">
        <is>
          <t>P145|無印</t>
        </is>
      </c>
      <c r="K990" t="inlineStr">
        <is>
          <t>同頁凡例へ直接連動</t>
        </is>
      </c>
      <c r="L990" t="inlineStr">
        <is>
          <t>202604_LIXIL_サーモスＬ_業務用資料集_完成品価格表.pdf</t>
        </is>
      </c>
      <c r="M990" t="inlineStr">
        <is>
          <t>v0.6：同一価格表セクション内で凡例継承を確定。</t>
        </is>
      </c>
      <c r="N990" t="inlineStr">
        <is>
          <t>https://drive.google.com/file/d/1YUN-mtWYs48YBUHJk0C3vJXnhjyZFHyf/view</t>
        </is>
      </c>
    </row>
    <row r="991">
      <c r="A991" s="42" t="inlineStr">
        <is>
          <t>GSC-SL-000988</t>
        </is>
      </c>
      <c r="B991" t="inlineStr">
        <is>
          <t>SZ-SL-000988</t>
        </is>
      </c>
      <c r="C991" t="inlineStr">
        <is>
          <t>WT-SL-MENKOSHI-AGE-FS</t>
        </is>
      </c>
      <c r="D991" t="inlineStr">
        <is>
          <t>SP-SL-AGE-GRILLE-DIA</t>
        </is>
      </c>
      <c r="E991" t="inlineStr">
        <is>
          <t>06909</t>
        </is>
      </c>
      <c r="F991" t="b">
        <v>1</v>
      </c>
      <c r="G991" t="n">
        <v>145</v>
      </c>
      <c r="H991" t="inlineStr">
        <is>
          <t>無印</t>
        </is>
      </c>
      <c r="I991" t="n">
        <v>145</v>
      </c>
      <c r="J991" t="inlineStr">
        <is>
          <t>P145|無印</t>
        </is>
      </c>
      <c r="K991" t="inlineStr">
        <is>
          <t>同頁凡例へ直接連動</t>
        </is>
      </c>
      <c r="L991" t="inlineStr">
        <is>
          <t>202604_LIXIL_サーモスＬ_業務用資料集_完成品価格表.pdf</t>
        </is>
      </c>
      <c r="M991" t="inlineStr">
        <is>
          <t>v0.6：同一価格表セクション内で凡例継承を確定。</t>
        </is>
      </c>
      <c r="N991" t="inlineStr">
        <is>
          <t>https://drive.google.com/file/d/1YUN-mtWYs48YBUHJk0C3vJXnhjyZFHyf/view</t>
        </is>
      </c>
    </row>
    <row r="992">
      <c r="A992" s="42" t="inlineStr">
        <is>
          <t>GSC-SL-000989</t>
        </is>
      </c>
      <c r="B992" t="inlineStr">
        <is>
          <t>SZ-SL-000989</t>
        </is>
      </c>
      <c r="C992" t="inlineStr">
        <is>
          <t>WT-SL-MENKOSHI-AGE-FS</t>
        </is>
      </c>
      <c r="D992" t="inlineStr">
        <is>
          <t>SP-SL-AGE-GRILLE-DIA</t>
        </is>
      </c>
      <c r="E992" t="inlineStr">
        <is>
          <t>07409</t>
        </is>
      </c>
      <c r="F992" t="b">
        <v>1</v>
      </c>
      <c r="G992" t="n">
        <v>145</v>
      </c>
      <c r="H992" t="inlineStr">
        <is>
          <t>無印</t>
        </is>
      </c>
      <c r="I992" t="n">
        <v>145</v>
      </c>
      <c r="J992" t="inlineStr">
        <is>
          <t>P145|無印</t>
        </is>
      </c>
      <c r="K992" t="inlineStr">
        <is>
          <t>同頁凡例へ直接連動</t>
        </is>
      </c>
      <c r="L992" t="inlineStr">
        <is>
          <t>202604_LIXIL_サーモスＬ_業務用資料集_完成品価格表.pdf</t>
        </is>
      </c>
      <c r="M992" t="inlineStr">
        <is>
          <t>v0.6：同一価格表セクション内で凡例継承を確定。</t>
        </is>
      </c>
      <c r="N992" t="inlineStr">
        <is>
          <t>https://drive.google.com/file/d/1YUN-mtWYs48YBUHJk0C3vJXnhjyZFHyf/view</t>
        </is>
      </c>
    </row>
    <row r="993">
      <c r="A993" s="42" t="inlineStr">
        <is>
          <t>GSC-SL-000990</t>
        </is>
      </c>
      <c r="B993" t="inlineStr">
        <is>
          <t>SZ-SL-000990</t>
        </is>
      </c>
      <c r="C993" t="inlineStr">
        <is>
          <t>WT-SL-MENKOSHI-AGE-FS</t>
        </is>
      </c>
      <c r="D993" t="inlineStr">
        <is>
          <t>SP-SL-AGE-GRILLE-H</t>
        </is>
      </c>
      <c r="E993" t="inlineStr">
        <is>
          <t>02609</t>
        </is>
      </c>
      <c r="F993" t="b">
        <v>1</v>
      </c>
      <c r="G993" t="n">
        <v>145</v>
      </c>
      <c r="H993" t="inlineStr">
        <is>
          <t>無印</t>
        </is>
      </c>
      <c r="I993" t="n">
        <v>145</v>
      </c>
      <c r="J993" t="inlineStr">
        <is>
          <t>P145|無印</t>
        </is>
      </c>
      <c r="K993" t="inlineStr">
        <is>
          <t>同頁凡例へ直接連動</t>
        </is>
      </c>
      <c r="L993" t="inlineStr">
        <is>
          <t>202604_LIXIL_サーモスＬ_業務用資料集_完成品価格表.pdf</t>
        </is>
      </c>
      <c r="M993" t="inlineStr">
        <is>
          <t>v0.6：同一価格表セクション内で凡例継承を確定。</t>
        </is>
      </c>
      <c r="N993" t="inlineStr">
        <is>
          <t>https://drive.google.com/file/d/1YUN-mtWYs48YBUHJk0C3vJXnhjyZFHyf/view</t>
        </is>
      </c>
    </row>
    <row r="994">
      <c r="A994" s="42" t="inlineStr">
        <is>
          <t>GSC-SL-000991</t>
        </is>
      </c>
      <c r="B994" t="inlineStr">
        <is>
          <t>SZ-SL-000991</t>
        </is>
      </c>
      <c r="C994" t="inlineStr">
        <is>
          <t>WT-SL-MENKOSHI-AGE-FS</t>
        </is>
      </c>
      <c r="D994" t="inlineStr">
        <is>
          <t>SP-SL-AGE-GRILLE-H</t>
        </is>
      </c>
      <c r="E994" t="inlineStr">
        <is>
          <t>03609</t>
        </is>
      </c>
      <c r="F994" t="b">
        <v>1</v>
      </c>
      <c r="G994" t="n">
        <v>145</v>
      </c>
      <c r="H994" t="inlineStr">
        <is>
          <t>無印</t>
        </is>
      </c>
      <c r="I994" t="n">
        <v>145</v>
      </c>
      <c r="J994" t="inlineStr">
        <is>
          <t>P145|無印</t>
        </is>
      </c>
      <c r="K994" t="inlineStr">
        <is>
          <t>同頁凡例へ直接連動</t>
        </is>
      </c>
      <c r="L994" t="inlineStr">
        <is>
          <t>202604_LIXIL_サーモスＬ_業務用資料集_完成品価格表.pdf</t>
        </is>
      </c>
      <c r="M994" t="inlineStr">
        <is>
          <t>v0.6：同一価格表セクション内で凡例継承を確定。</t>
        </is>
      </c>
      <c r="N994" t="inlineStr">
        <is>
          <t>https://drive.google.com/file/d/1YUN-mtWYs48YBUHJk0C3vJXnhjyZFHyf/view</t>
        </is>
      </c>
    </row>
    <row r="995">
      <c r="A995" s="42" t="inlineStr">
        <is>
          <t>GSC-SL-000992</t>
        </is>
      </c>
      <c r="B995" t="inlineStr">
        <is>
          <t>SZ-SL-000992</t>
        </is>
      </c>
      <c r="C995" t="inlineStr">
        <is>
          <t>WT-SL-MENKOSHI-AGE-FS</t>
        </is>
      </c>
      <c r="D995" t="inlineStr">
        <is>
          <t>SP-SL-AGE-GRILLE-H</t>
        </is>
      </c>
      <c r="E995" t="inlineStr">
        <is>
          <t>06009</t>
        </is>
      </c>
      <c r="F995" t="b">
        <v>1</v>
      </c>
      <c r="G995" t="n">
        <v>145</v>
      </c>
      <c r="H995" t="inlineStr">
        <is>
          <t>無印</t>
        </is>
      </c>
      <c r="I995" t="n">
        <v>145</v>
      </c>
      <c r="J995" t="inlineStr">
        <is>
          <t>P145|無印</t>
        </is>
      </c>
      <c r="K995" t="inlineStr">
        <is>
          <t>同頁凡例へ直接連動</t>
        </is>
      </c>
      <c r="L995" t="inlineStr">
        <is>
          <t>202604_LIXIL_サーモスＬ_業務用資料集_完成品価格表.pdf</t>
        </is>
      </c>
      <c r="M995" t="inlineStr">
        <is>
          <t>v0.6：同一価格表セクション内で凡例継承を確定。</t>
        </is>
      </c>
      <c r="N995" t="inlineStr">
        <is>
          <t>https://drive.google.com/file/d/1YUN-mtWYs48YBUHJk0C3vJXnhjyZFHyf/view</t>
        </is>
      </c>
    </row>
    <row r="996">
      <c r="A996" s="42" t="inlineStr">
        <is>
          <t>GSC-SL-000993</t>
        </is>
      </c>
      <c r="B996" t="inlineStr">
        <is>
          <t>SZ-SL-000993</t>
        </is>
      </c>
      <c r="C996" t="inlineStr">
        <is>
          <t>WT-SL-MENKOSHI-AGE-FS</t>
        </is>
      </c>
      <c r="D996" t="inlineStr">
        <is>
          <t>SP-SL-AGE-GRILLE-H</t>
        </is>
      </c>
      <c r="E996" t="inlineStr">
        <is>
          <t>06909</t>
        </is>
      </c>
      <c r="F996" t="b">
        <v>1</v>
      </c>
      <c r="G996" t="n">
        <v>145</v>
      </c>
      <c r="H996" t="inlineStr">
        <is>
          <t>無印</t>
        </is>
      </c>
      <c r="I996" t="n">
        <v>145</v>
      </c>
      <c r="J996" t="inlineStr">
        <is>
          <t>P145|無印</t>
        </is>
      </c>
      <c r="K996" t="inlineStr">
        <is>
          <t>同頁凡例へ直接連動</t>
        </is>
      </c>
      <c r="L996" t="inlineStr">
        <is>
          <t>202604_LIXIL_サーモスＬ_業務用資料集_完成品価格表.pdf</t>
        </is>
      </c>
      <c r="M996" t="inlineStr">
        <is>
          <t>v0.6：同一価格表セクション内で凡例継承を確定。</t>
        </is>
      </c>
      <c r="N996" t="inlineStr">
        <is>
          <t>https://drive.google.com/file/d/1YUN-mtWYs48YBUHJk0C3vJXnhjyZFHyf/view</t>
        </is>
      </c>
    </row>
    <row r="997">
      <c r="A997" s="42" t="inlineStr">
        <is>
          <t>GSC-SL-000994</t>
        </is>
      </c>
      <c r="B997" t="inlineStr">
        <is>
          <t>SZ-SL-000994</t>
        </is>
      </c>
      <c r="C997" t="inlineStr">
        <is>
          <t>WT-SL-MENKOSHI-AGE-FS</t>
        </is>
      </c>
      <c r="D997" t="inlineStr">
        <is>
          <t>SP-SL-AGE-GRILLE-H</t>
        </is>
      </c>
      <c r="E997" t="inlineStr">
        <is>
          <t>07409</t>
        </is>
      </c>
      <c r="F997" t="b">
        <v>1</v>
      </c>
      <c r="G997" t="n">
        <v>145</v>
      </c>
      <c r="H997" t="inlineStr">
        <is>
          <t>無印</t>
        </is>
      </c>
      <c r="I997" t="n">
        <v>145</v>
      </c>
      <c r="J997" t="inlineStr">
        <is>
          <t>P145|無印</t>
        </is>
      </c>
      <c r="K997" t="inlineStr">
        <is>
          <t>同頁凡例へ直接連動</t>
        </is>
      </c>
      <c r="L997" t="inlineStr">
        <is>
          <t>202604_LIXIL_サーモスＬ_業務用資料集_完成品価格表.pdf</t>
        </is>
      </c>
      <c r="M997" t="inlineStr">
        <is>
          <t>v0.6：同一価格表セクション内で凡例継承を確定。</t>
        </is>
      </c>
      <c r="N997" t="inlineStr">
        <is>
          <t>https://drive.google.com/file/d/1YUN-mtWYs48YBUHJk0C3vJXnhjyZFHyf/view</t>
        </is>
      </c>
    </row>
    <row r="998">
      <c r="A998" s="42" t="inlineStr">
        <is>
          <t>GSC-SL-000995</t>
        </is>
      </c>
      <c r="B998" t="inlineStr">
        <is>
          <t>SZ-SL-000995</t>
        </is>
      </c>
      <c r="C998" t="inlineStr">
        <is>
          <t>WT-SL-MENKOSHI-AGE-FS</t>
        </is>
      </c>
      <c r="D998" t="inlineStr">
        <is>
          <t>SP-SL-AGE-GRILLE-IGETA</t>
        </is>
      </c>
      <c r="E998" t="inlineStr">
        <is>
          <t>02609</t>
        </is>
      </c>
      <c r="F998" t="b">
        <v>1</v>
      </c>
      <c r="G998" t="n">
        <v>145</v>
      </c>
      <c r="H998" t="inlineStr">
        <is>
          <t>無印</t>
        </is>
      </c>
      <c r="I998" t="n">
        <v>145</v>
      </c>
      <c r="J998" t="inlineStr">
        <is>
          <t>P145|無印</t>
        </is>
      </c>
      <c r="K998" t="inlineStr">
        <is>
          <t>同頁凡例へ直接連動</t>
        </is>
      </c>
      <c r="L998" t="inlineStr">
        <is>
          <t>202604_LIXIL_サーモスＬ_業務用資料集_完成品価格表.pdf</t>
        </is>
      </c>
      <c r="M998" t="inlineStr">
        <is>
          <t>v0.6：同一価格表セクション内で凡例継承を確定。</t>
        </is>
      </c>
      <c r="N998" t="inlineStr">
        <is>
          <t>https://drive.google.com/file/d/1YUN-mtWYs48YBUHJk0C3vJXnhjyZFHyf/view</t>
        </is>
      </c>
    </row>
    <row r="999">
      <c r="A999" s="42" t="inlineStr">
        <is>
          <t>GSC-SL-000996</t>
        </is>
      </c>
      <c r="B999" t="inlineStr">
        <is>
          <t>SZ-SL-000996</t>
        </is>
      </c>
      <c r="C999" t="inlineStr">
        <is>
          <t>WT-SL-MENKOSHI-AGE-FS</t>
        </is>
      </c>
      <c r="D999" t="inlineStr">
        <is>
          <t>SP-SL-AGE-GRILLE-IGETA</t>
        </is>
      </c>
      <c r="E999" t="inlineStr">
        <is>
          <t>03609</t>
        </is>
      </c>
      <c r="F999" t="b">
        <v>1</v>
      </c>
      <c r="G999" t="n">
        <v>145</v>
      </c>
      <c r="H999" t="inlineStr">
        <is>
          <t>無印</t>
        </is>
      </c>
      <c r="I999" t="n">
        <v>145</v>
      </c>
      <c r="J999" t="inlineStr">
        <is>
          <t>P145|無印</t>
        </is>
      </c>
      <c r="K999" t="inlineStr">
        <is>
          <t>同頁凡例へ直接連動</t>
        </is>
      </c>
      <c r="L999" t="inlineStr">
        <is>
          <t>202604_LIXIL_サーモスＬ_業務用資料集_完成品価格表.pdf</t>
        </is>
      </c>
      <c r="M999" t="inlineStr">
        <is>
          <t>v0.6：同一価格表セクション内で凡例継承を確定。</t>
        </is>
      </c>
      <c r="N999" t="inlineStr">
        <is>
          <t>https://drive.google.com/file/d/1YUN-mtWYs48YBUHJk0C3vJXnhjyZFHyf/view</t>
        </is>
      </c>
    </row>
    <row r="1000">
      <c r="A1000" s="42" t="inlineStr">
        <is>
          <t>GSC-SL-000997</t>
        </is>
      </c>
      <c r="B1000" t="inlineStr">
        <is>
          <t>SZ-SL-000997</t>
        </is>
      </c>
      <c r="C1000" t="inlineStr">
        <is>
          <t>WT-SL-MENKOSHI-AGE-FS</t>
        </is>
      </c>
      <c r="D1000" t="inlineStr">
        <is>
          <t>SP-SL-AGE-GRILLE-IGETA</t>
        </is>
      </c>
      <c r="E1000" t="inlineStr">
        <is>
          <t>06009</t>
        </is>
      </c>
      <c r="F1000" t="b">
        <v>1</v>
      </c>
      <c r="G1000" t="n">
        <v>145</v>
      </c>
      <c r="H1000" t="inlineStr">
        <is>
          <t>無印</t>
        </is>
      </c>
      <c r="I1000" t="n">
        <v>145</v>
      </c>
      <c r="J1000" t="inlineStr">
        <is>
          <t>P145|無印</t>
        </is>
      </c>
      <c r="K1000" t="inlineStr">
        <is>
          <t>同頁凡例へ直接連動</t>
        </is>
      </c>
      <c r="L1000" t="inlineStr">
        <is>
          <t>202604_LIXIL_サーモスＬ_業務用資料集_完成品価格表.pdf</t>
        </is>
      </c>
      <c r="M1000" t="inlineStr">
        <is>
          <t>v0.6：同一価格表セクション内で凡例継承を確定。</t>
        </is>
      </c>
      <c r="N1000" t="inlineStr">
        <is>
          <t>https://drive.google.com/file/d/1YUN-mtWYs48YBUHJk0C3vJXnhjyZFHyf/view</t>
        </is>
      </c>
    </row>
    <row r="1001">
      <c r="A1001" s="42" t="inlineStr">
        <is>
          <t>GSC-SL-000998</t>
        </is>
      </c>
      <c r="B1001" t="inlineStr">
        <is>
          <t>SZ-SL-000998</t>
        </is>
      </c>
      <c r="C1001" t="inlineStr">
        <is>
          <t>WT-SL-MENKOSHI-AGE-FS</t>
        </is>
      </c>
      <c r="D1001" t="inlineStr">
        <is>
          <t>SP-SL-AGE-GRILLE-IGETA</t>
        </is>
      </c>
      <c r="E1001" t="inlineStr">
        <is>
          <t>06909</t>
        </is>
      </c>
      <c r="F1001" t="b">
        <v>1</v>
      </c>
      <c r="G1001" t="n">
        <v>145</v>
      </c>
      <c r="H1001" t="inlineStr">
        <is>
          <t>無印</t>
        </is>
      </c>
      <c r="I1001" t="n">
        <v>145</v>
      </c>
      <c r="J1001" t="inlineStr">
        <is>
          <t>P145|無印</t>
        </is>
      </c>
      <c r="K1001" t="inlineStr">
        <is>
          <t>同頁凡例へ直接連動</t>
        </is>
      </c>
      <c r="L1001" t="inlineStr">
        <is>
          <t>202604_LIXIL_サーモスＬ_業務用資料集_完成品価格表.pdf</t>
        </is>
      </c>
      <c r="M1001" t="inlineStr">
        <is>
          <t>v0.6：同一価格表セクション内で凡例継承を確定。</t>
        </is>
      </c>
      <c r="N1001" t="inlineStr">
        <is>
          <t>https://drive.google.com/file/d/1YUN-mtWYs48YBUHJk0C3vJXnhjyZFHyf/view</t>
        </is>
      </c>
    </row>
    <row r="1002">
      <c r="A1002" s="42" t="inlineStr">
        <is>
          <t>GSC-SL-000999</t>
        </is>
      </c>
      <c r="B1002" t="inlineStr">
        <is>
          <t>SZ-SL-000999</t>
        </is>
      </c>
      <c r="C1002" t="inlineStr">
        <is>
          <t>WT-SL-MENKOSHI-AGE-FS</t>
        </is>
      </c>
      <c r="D1002" t="inlineStr">
        <is>
          <t>SP-SL-AGE-GRILLE-IGETA</t>
        </is>
      </c>
      <c r="E1002" t="inlineStr">
        <is>
          <t>07409</t>
        </is>
      </c>
      <c r="F1002" t="b">
        <v>1</v>
      </c>
      <c r="G1002" t="n">
        <v>145</v>
      </c>
      <c r="H1002" t="inlineStr">
        <is>
          <t>無印</t>
        </is>
      </c>
      <c r="I1002" t="n">
        <v>145</v>
      </c>
      <c r="J1002" t="inlineStr">
        <is>
          <t>P145|無印</t>
        </is>
      </c>
      <c r="K1002" t="inlineStr">
        <is>
          <t>同頁凡例へ直接連動</t>
        </is>
      </c>
      <c r="L1002" t="inlineStr">
        <is>
          <t>202604_LIXIL_サーモスＬ_業務用資料集_完成品価格表.pdf</t>
        </is>
      </c>
      <c r="M1002" t="inlineStr">
        <is>
          <t>v0.6：同一価格表セクション内で凡例継承を確定。</t>
        </is>
      </c>
      <c r="N1002" t="inlineStr">
        <is>
          <t>https://drive.google.com/file/d/1YUN-mtWYs48YBUHJk0C3vJXnhjyZFHyf/view</t>
        </is>
      </c>
    </row>
    <row r="1003">
      <c r="A1003" s="42" t="inlineStr">
        <is>
          <t>GSC-SL-001000</t>
        </is>
      </c>
      <c r="B1003" t="inlineStr">
        <is>
          <t>SZ-SL-001000</t>
        </is>
      </c>
      <c r="C1003" t="inlineStr">
        <is>
          <t>WT-SL-MENKOSHI-AGE-FS</t>
        </is>
      </c>
      <c r="D1003" t="inlineStr">
        <is>
          <t>SP-SL-AGE-GRILLE-V</t>
        </is>
      </c>
      <c r="E1003" t="inlineStr">
        <is>
          <t>02609</t>
        </is>
      </c>
      <c r="F1003" t="b">
        <v>1</v>
      </c>
      <c r="G1003" t="n">
        <v>145</v>
      </c>
      <c r="H1003" t="inlineStr">
        <is>
          <t>無印</t>
        </is>
      </c>
      <c r="I1003" t="n">
        <v>145</v>
      </c>
      <c r="J1003" t="inlineStr">
        <is>
          <t>P145|無印</t>
        </is>
      </c>
      <c r="K1003" t="inlineStr">
        <is>
          <t>同頁凡例へ直接連動</t>
        </is>
      </c>
      <c r="L1003" t="inlineStr">
        <is>
          <t>202604_LIXIL_サーモスＬ_業務用資料集_完成品価格表.pdf</t>
        </is>
      </c>
      <c r="M1003" t="inlineStr">
        <is>
          <t>v0.6：同一価格表セクション内で凡例継承を確定。</t>
        </is>
      </c>
      <c r="N1003" t="inlineStr">
        <is>
          <t>https://drive.google.com/file/d/1YUN-mtWYs48YBUHJk0C3vJXnhjyZFHyf/view</t>
        </is>
      </c>
    </row>
    <row r="1004">
      <c r="A1004" s="42" t="inlineStr">
        <is>
          <t>GSC-SL-001001</t>
        </is>
      </c>
      <c r="B1004" t="inlineStr">
        <is>
          <t>SZ-SL-001001</t>
        </is>
      </c>
      <c r="C1004" t="inlineStr">
        <is>
          <t>WT-SL-MENKOSHI-AGE-FS</t>
        </is>
      </c>
      <c r="D1004" t="inlineStr">
        <is>
          <t>SP-SL-AGE-GRILLE-V</t>
        </is>
      </c>
      <c r="E1004" t="inlineStr">
        <is>
          <t>03609</t>
        </is>
      </c>
      <c r="F1004" t="b">
        <v>1</v>
      </c>
      <c r="G1004" t="n">
        <v>145</v>
      </c>
      <c r="H1004" t="inlineStr">
        <is>
          <t>無印</t>
        </is>
      </c>
      <c r="I1004" t="n">
        <v>145</v>
      </c>
      <c r="J1004" t="inlineStr">
        <is>
          <t>P145|無印</t>
        </is>
      </c>
      <c r="K1004" t="inlineStr">
        <is>
          <t>同頁凡例へ直接連動</t>
        </is>
      </c>
      <c r="L1004" t="inlineStr">
        <is>
          <t>202604_LIXIL_サーモスＬ_業務用資料集_完成品価格表.pdf</t>
        </is>
      </c>
      <c r="M1004" t="inlineStr">
        <is>
          <t>v0.6：同一価格表セクション内で凡例継承を確定。</t>
        </is>
      </c>
      <c r="N1004" t="inlineStr">
        <is>
          <t>https://drive.google.com/file/d/1YUN-mtWYs48YBUHJk0C3vJXnhjyZFHyf/view</t>
        </is>
      </c>
    </row>
    <row r="1005">
      <c r="A1005" s="42" t="inlineStr">
        <is>
          <t>GSC-SL-001002</t>
        </is>
      </c>
      <c r="B1005" t="inlineStr">
        <is>
          <t>SZ-SL-001002</t>
        </is>
      </c>
      <c r="C1005" t="inlineStr">
        <is>
          <t>WT-SL-MENKOSHI-AGE-FS</t>
        </is>
      </c>
      <c r="D1005" t="inlineStr">
        <is>
          <t>SP-SL-AGE-GRILLE-V</t>
        </is>
      </c>
      <c r="E1005" t="inlineStr">
        <is>
          <t>06009</t>
        </is>
      </c>
      <c r="F1005" t="b">
        <v>1</v>
      </c>
      <c r="G1005" t="n">
        <v>145</v>
      </c>
      <c r="H1005" t="inlineStr">
        <is>
          <t>無印</t>
        </is>
      </c>
      <c r="I1005" t="n">
        <v>145</v>
      </c>
      <c r="J1005" t="inlineStr">
        <is>
          <t>P145|無印</t>
        </is>
      </c>
      <c r="K1005" t="inlineStr">
        <is>
          <t>同頁凡例へ直接連動</t>
        </is>
      </c>
      <c r="L1005" t="inlineStr">
        <is>
          <t>202604_LIXIL_サーモスＬ_業務用資料集_完成品価格表.pdf</t>
        </is>
      </c>
      <c r="M1005" t="inlineStr">
        <is>
          <t>v0.6：同一価格表セクション内で凡例継承を確定。</t>
        </is>
      </c>
      <c r="N1005" t="inlineStr">
        <is>
          <t>https://drive.google.com/file/d/1YUN-mtWYs48YBUHJk0C3vJXnhjyZFHyf/view</t>
        </is>
      </c>
    </row>
    <row r="1006">
      <c r="A1006" s="42" t="inlineStr">
        <is>
          <t>GSC-SL-001003</t>
        </is>
      </c>
      <c r="B1006" t="inlineStr">
        <is>
          <t>SZ-SL-001003</t>
        </is>
      </c>
      <c r="C1006" t="inlineStr">
        <is>
          <t>WT-SL-MENKOSHI-AGE-FS</t>
        </is>
      </c>
      <c r="D1006" t="inlineStr">
        <is>
          <t>SP-SL-AGE-GRILLE-V</t>
        </is>
      </c>
      <c r="E1006" t="inlineStr">
        <is>
          <t>06909</t>
        </is>
      </c>
      <c r="F1006" t="b">
        <v>1</v>
      </c>
      <c r="G1006" t="n">
        <v>145</v>
      </c>
      <c r="H1006" t="inlineStr">
        <is>
          <t>無印</t>
        </is>
      </c>
      <c r="I1006" t="n">
        <v>145</v>
      </c>
      <c r="J1006" t="inlineStr">
        <is>
          <t>P145|無印</t>
        </is>
      </c>
      <c r="K1006" t="inlineStr">
        <is>
          <t>同頁凡例へ直接連動</t>
        </is>
      </c>
      <c r="L1006" t="inlineStr">
        <is>
          <t>202604_LIXIL_サーモスＬ_業務用資料集_完成品価格表.pdf</t>
        </is>
      </c>
      <c r="M1006" t="inlineStr">
        <is>
          <t>v0.6：同一価格表セクション内で凡例継承を確定。</t>
        </is>
      </c>
      <c r="N1006" t="inlineStr">
        <is>
          <t>https://drive.google.com/file/d/1YUN-mtWYs48YBUHJk0C3vJXnhjyZFHyf/view</t>
        </is>
      </c>
    </row>
    <row r="1007">
      <c r="A1007" s="42" t="inlineStr">
        <is>
          <t>GSC-SL-001004</t>
        </is>
      </c>
      <c r="B1007" t="inlineStr">
        <is>
          <t>SZ-SL-001004</t>
        </is>
      </c>
      <c r="C1007" t="inlineStr">
        <is>
          <t>WT-SL-MENKOSHI-AGE-FS</t>
        </is>
      </c>
      <c r="D1007" t="inlineStr">
        <is>
          <t>SP-SL-AGE-GRILLE-V</t>
        </is>
      </c>
      <c r="E1007" t="inlineStr">
        <is>
          <t>07409</t>
        </is>
      </c>
      <c r="F1007" t="b">
        <v>1</v>
      </c>
      <c r="G1007" t="n">
        <v>145</v>
      </c>
      <c r="H1007" t="inlineStr">
        <is>
          <t>無印</t>
        </is>
      </c>
      <c r="I1007" t="n">
        <v>145</v>
      </c>
      <c r="J1007" t="inlineStr">
        <is>
          <t>P145|無印</t>
        </is>
      </c>
      <c r="K1007" t="inlineStr">
        <is>
          <t>同頁凡例へ直接連動</t>
        </is>
      </c>
      <c r="L1007" t="inlineStr">
        <is>
          <t>202604_LIXIL_サーモスＬ_業務用資料集_完成品価格表.pdf</t>
        </is>
      </c>
      <c r="M1007" t="inlineStr">
        <is>
          <t>v0.6：同一価格表セクション内で凡例継承を確定。</t>
        </is>
      </c>
      <c r="N1007" t="inlineStr">
        <is>
          <t>https://drive.google.com/file/d/1YUN-mtWYs48YBUHJk0C3vJXnhjyZFHyf/view</t>
        </is>
      </c>
    </row>
    <row r="1008">
      <c r="A1008" s="42" t="inlineStr">
        <is>
          <t>GSC-SL-001005</t>
        </is>
      </c>
      <c r="B1008" t="inlineStr">
        <is>
          <t>SZ-SL-001005</t>
        </is>
      </c>
      <c r="C1008" t="inlineStr">
        <is>
          <t>WT-SL-MENKOSHI-AGE-FS</t>
        </is>
      </c>
      <c r="D1008" t="inlineStr">
        <is>
          <t>SP-SL-AGE-GRILLE-DIA</t>
        </is>
      </c>
      <c r="E1008" t="inlineStr">
        <is>
          <t>02611</t>
        </is>
      </c>
      <c r="F1008" t="b">
        <v>1</v>
      </c>
      <c r="G1008" t="n">
        <v>146</v>
      </c>
      <c r="H1008" t="inlineStr">
        <is>
          <t>無印</t>
        </is>
      </c>
      <c r="I1008" t="n">
        <v>146</v>
      </c>
      <c r="J1008" t="inlineStr">
        <is>
          <t>P146|無印</t>
        </is>
      </c>
      <c r="K1008" t="inlineStr">
        <is>
          <t>同頁凡例へ直接連動</t>
        </is>
      </c>
      <c r="L1008" t="inlineStr">
        <is>
          <t>202604_LIXIL_サーモスＬ_業務用資料集_完成品価格表.pdf</t>
        </is>
      </c>
      <c r="M1008" t="inlineStr">
        <is>
          <t>v0.6：同一価格表セクション内で凡例継承を確定。</t>
        </is>
      </c>
      <c r="N1008" t="inlineStr">
        <is>
          <t>https://drive.google.com/file/d/1YUN-mtWYs48YBUHJk0C3vJXnhjyZFHyf/view</t>
        </is>
      </c>
    </row>
    <row r="1009">
      <c r="A1009" s="42" t="inlineStr">
        <is>
          <t>GSC-SL-001006</t>
        </is>
      </c>
      <c r="B1009" t="inlineStr">
        <is>
          <t>SZ-SL-001006</t>
        </is>
      </c>
      <c r="C1009" t="inlineStr">
        <is>
          <t>WT-SL-MENKOSHI-AGE-FS</t>
        </is>
      </c>
      <c r="D1009" t="inlineStr">
        <is>
          <t>SP-SL-AGE-GRILLE-DIA</t>
        </is>
      </c>
      <c r="E1009" t="inlineStr">
        <is>
          <t>03611</t>
        </is>
      </c>
      <c r="F1009" t="b">
        <v>1</v>
      </c>
      <c r="G1009" t="n">
        <v>146</v>
      </c>
      <c r="H1009" t="inlineStr">
        <is>
          <t>無印</t>
        </is>
      </c>
      <c r="I1009" t="n">
        <v>146</v>
      </c>
      <c r="J1009" t="inlineStr">
        <is>
          <t>P146|無印</t>
        </is>
      </c>
      <c r="K1009" t="inlineStr">
        <is>
          <t>同頁凡例へ直接連動</t>
        </is>
      </c>
      <c r="L1009" t="inlineStr">
        <is>
          <t>202604_LIXIL_サーモスＬ_業務用資料集_完成品価格表.pdf</t>
        </is>
      </c>
      <c r="M1009" t="inlineStr">
        <is>
          <t>v0.6：同一価格表セクション内で凡例継承を確定。</t>
        </is>
      </c>
      <c r="N1009" t="inlineStr">
        <is>
          <t>https://drive.google.com/file/d/1YUN-mtWYs48YBUHJk0C3vJXnhjyZFHyf/view</t>
        </is>
      </c>
    </row>
    <row r="1010">
      <c r="A1010" s="42" t="inlineStr">
        <is>
          <t>GSC-SL-001007</t>
        </is>
      </c>
      <c r="B1010" t="inlineStr">
        <is>
          <t>SZ-SL-001007</t>
        </is>
      </c>
      <c r="C1010" t="inlineStr">
        <is>
          <t>WT-SL-MENKOSHI-AGE-FS</t>
        </is>
      </c>
      <c r="D1010" t="inlineStr">
        <is>
          <t>SP-SL-AGE-GRILLE-DIA</t>
        </is>
      </c>
      <c r="E1010" t="inlineStr">
        <is>
          <t>06011</t>
        </is>
      </c>
      <c r="F1010" t="b">
        <v>1</v>
      </c>
      <c r="G1010" t="n">
        <v>146</v>
      </c>
      <c r="H1010" t="inlineStr">
        <is>
          <t>無印</t>
        </is>
      </c>
      <c r="I1010" t="n">
        <v>146</v>
      </c>
      <c r="J1010" t="inlineStr">
        <is>
          <t>P146|無印</t>
        </is>
      </c>
      <c r="K1010" t="inlineStr">
        <is>
          <t>同頁凡例へ直接連動</t>
        </is>
      </c>
      <c r="L1010" t="inlineStr">
        <is>
          <t>202604_LIXIL_サーモスＬ_業務用資料集_完成品価格表.pdf</t>
        </is>
      </c>
      <c r="M1010" t="inlineStr">
        <is>
          <t>v0.6：同一価格表セクション内で凡例継承を確定。</t>
        </is>
      </c>
      <c r="N1010" t="inlineStr">
        <is>
          <t>https://drive.google.com/file/d/1YUN-mtWYs48YBUHJk0C3vJXnhjyZFHyf/view</t>
        </is>
      </c>
    </row>
    <row r="1011">
      <c r="A1011" s="42" t="inlineStr">
        <is>
          <t>GSC-SL-001008</t>
        </is>
      </c>
      <c r="B1011" t="inlineStr">
        <is>
          <t>SZ-SL-001008</t>
        </is>
      </c>
      <c r="C1011" t="inlineStr">
        <is>
          <t>WT-SL-MENKOSHI-AGE-FS</t>
        </is>
      </c>
      <c r="D1011" t="inlineStr">
        <is>
          <t>SP-SL-AGE-GRILLE-DIA</t>
        </is>
      </c>
      <c r="E1011" t="inlineStr">
        <is>
          <t>06911</t>
        </is>
      </c>
      <c r="F1011" t="b">
        <v>1</v>
      </c>
      <c r="G1011" t="n">
        <v>146</v>
      </c>
      <c r="H1011" t="inlineStr">
        <is>
          <t>無印</t>
        </is>
      </c>
      <c r="I1011" t="n">
        <v>146</v>
      </c>
      <c r="J1011" t="inlineStr">
        <is>
          <t>P146|無印</t>
        </is>
      </c>
      <c r="K1011" t="inlineStr">
        <is>
          <t>同頁凡例へ直接連動</t>
        </is>
      </c>
      <c r="L1011" t="inlineStr">
        <is>
          <t>202604_LIXIL_サーモスＬ_業務用資料集_完成品価格表.pdf</t>
        </is>
      </c>
      <c r="M1011" t="inlineStr">
        <is>
          <t>v0.6：同一価格表セクション内で凡例継承を確定。</t>
        </is>
      </c>
      <c r="N1011" t="inlineStr">
        <is>
          <t>https://drive.google.com/file/d/1YUN-mtWYs48YBUHJk0C3vJXnhjyZFHyf/view</t>
        </is>
      </c>
    </row>
    <row r="1012">
      <c r="A1012" s="42" t="inlineStr">
        <is>
          <t>GSC-SL-001009</t>
        </is>
      </c>
      <c r="B1012" t="inlineStr">
        <is>
          <t>SZ-SL-001009</t>
        </is>
      </c>
      <c r="C1012" t="inlineStr">
        <is>
          <t>WT-SL-MENKOSHI-AGE-FS</t>
        </is>
      </c>
      <c r="D1012" t="inlineStr">
        <is>
          <t>SP-SL-AGE-GRILLE-DIA</t>
        </is>
      </c>
      <c r="E1012" t="inlineStr">
        <is>
          <t>07411</t>
        </is>
      </c>
      <c r="F1012" t="b">
        <v>1</v>
      </c>
      <c r="G1012" t="n">
        <v>146</v>
      </c>
      <c r="H1012" t="inlineStr">
        <is>
          <t>無印</t>
        </is>
      </c>
      <c r="I1012" t="n">
        <v>146</v>
      </c>
      <c r="J1012" t="inlineStr">
        <is>
          <t>P146|無印</t>
        </is>
      </c>
      <c r="K1012" t="inlineStr">
        <is>
          <t>同頁凡例へ直接連動</t>
        </is>
      </c>
      <c r="L1012" t="inlineStr">
        <is>
          <t>202604_LIXIL_サーモスＬ_業務用資料集_完成品価格表.pdf</t>
        </is>
      </c>
      <c r="M1012" t="inlineStr">
        <is>
          <t>v0.6：同一価格表セクション内で凡例継承を確定。</t>
        </is>
      </c>
      <c r="N1012" t="inlineStr">
        <is>
          <t>https://drive.google.com/file/d/1YUN-mtWYs48YBUHJk0C3vJXnhjyZFHyf/view</t>
        </is>
      </c>
    </row>
    <row r="1013">
      <c r="A1013" s="42" t="inlineStr">
        <is>
          <t>GSC-SL-001010</t>
        </is>
      </c>
      <c r="B1013" t="inlineStr">
        <is>
          <t>SZ-SL-001010</t>
        </is>
      </c>
      <c r="C1013" t="inlineStr">
        <is>
          <t>WT-SL-MENKOSHI-AGE-FS</t>
        </is>
      </c>
      <c r="D1013" t="inlineStr">
        <is>
          <t>SP-SL-AGE-GRILLE-H</t>
        </is>
      </c>
      <c r="E1013" t="inlineStr">
        <is>
          <t>02611</t>
        </is>
      </c>
      <c r="F1013" t="b">
        <v>1</v>
      </c>
      <c r="G1013" t="n">
        <v>146</v>
      </c>
      <c r="H1013" t="inlineStr">
        <is>
          <t>無印</t>
        </is>
      </c>
      <c r="I1013" t="n">
        <v>146</v>
      </c>
      <c r="J1013" t="inlineStr">
        <is>
          <t>P146|無印</t>
        </is>
      </c>
      <c r="K1013" t="inlineStr">
        <is>
          <t>同頁凡例へ直接連動</t>
        </is>
      </c>
      <c r="L1013" t="inlineStr">
        <is>
          <t>202604_LIXIL_サーモスＬ_業務用資料集_完成品価格表.pdf</t>
        </is>
      </c>
      <c r="M1013" t="inlineStr">
        <is>
          <t>v0.6：同一価格表セクション内で凡例継承を確定。</t>
        </is>
      </c>
      <c r="N1013" t="inlineStr">
        <is>
          <t>https://drive.google.com/file/d/1YUN-mtWYs48YBUHJk0C3vJXnhjyZFHyf/view</t>
        </is>
      </c>
    </row>
    <row r="1014">
      <c r="A1014" s="42" t="inlineStr">
        <is>
          <t>GSC-SL-001011</t>
        </is>
      </c>
      <c r="B1014" t="inlineStr">
        <is>
          <t>SZ-SL-001011</t>
        </is>
      </c>
      <c r="C1014" t="inlineStr">
        <is>
          <t>WT-SL-MENKOSHI-AGE-FS</t>
        </is>
      </c>
      <c r="D1014" t="inlineStr">
        <is>
          <t>SP-SL-AGE-GRILLE-H</t>
        </is>
      </c>
      <c r="E1014" t="inlineStr">
        <is>
          <t>03611</t>
        </is>
      </c>
      <c r="F1014" t="b">
        <v>1</v>
      </c>
      <c r="G1014" t="n">
        <v>146</v>
      </c>
      <c r="H1014" t="inlineStr">
        <is>
          <t>無印</t>
        </is>
      </c>
      <c r="I1014" t="n">
        <v>146</v>
      </c>
      <c r="J1014" t="inlineStr">
        <is>
          <t>P146|無印</t>
        </is>
      </c>
      <c r="K1014" t="inlineStr">
        <is>
          <t>同頁凡例へ直接連動</t>
        </is>
      </c>
      <c r="L1014" t="inlineStr">
        <is>
          <t>202604_LIXIL_サーモスＬ_業務用資料集_完成品価格表.pdf</t>
        </is>
      </c>
      <c r="M1014" t="inlineStr">
        <is>
          <t>v0.6：同一価格表セクション内で凡例継承を確定。</t>
        </is>
      </c>
      <c r="N1014" t="inlineStr">
        <is>
          <t>https://drive.google.com/file/d/1YUN-mtWYs48YBUHJk0C3vJXnhjyZFHyf/view</t>
        </is>
      </c>
    </row>
    <row r="1015">
      <c r="A1015" s="42" t="inlineStr">
        <is>
          <t>GSC-SL-001012</t>
        </is>
      </c>
      <c r="B1015" t="inlineStr">
        <is>
          <t>SZ-SL-001012</t>
        </is>
      </c>
      <c r="C1015" t="inlineStr">
        <is>
          <t>WT-SL-MENKOSHI-AGE-FS</t>
        </is>
      </c>
      <c r="D1015" t="inlineStr">
        <is>
          <t>SP-SL-AGE-GRILLE-H</t>
        </is>
      </c>
      <c r="E1015" t="inlineStr">
        <is>
          <t>06011</t>
        </is>
      </c>
      <c r="F1015" t="b">
        <v>1</v>
      </c>
      <c r="G1015" t="n">
        <v>146</v>
      </c>
      <c r="H1015" t="inlineStr">
        <is>
          <t>無印</t>
        </is>
      </c>
      <c r="I1015" t="n">
        <v>146</v>
      </c>
      <c r="J1015" t="inlineStr">
        <is>
          <t>P146|無印</t>
        </is>
      </c>
      <c r="K1015" t="inlineStr">
        <is>
          <t>同頁凡例へ直接連動</t>
        </is>
      </c>
      <c r="L1015" t="inlineStr">
        <is>
          <t>202604_LIXIL_サーモスＬ_業務用資料集_完成品価格表.pdf</t>
        </is>
      </c>
      <c r="M1015" t="inlineStr">
        <is>
          <t>v0.6：同一価格表セクション内で凡例継承を確定。</t>
        </is>
      </c>
      <c r="N1015" t="inlineStr">
        <is>
          <t>https://drive.google.com/file/d/1YUN-mtWYs48YBUHJk0C3vJXnhjyZFHyf/view</t>
        </is>
      </c>
    </row>
    <row r="1016">
      <c r="A1016" s="42" t="inlineStr">
        <is>
          <t>GSC-SL-001013</t>
        </is>
      </c>
      <c r="B1016" t="inlineStr">
        <is>
          <t>SZ-SL-001013</t>
        </is>
      </c>
      <c r="C1016" t="inlineStr">
        <is>
          <t>WT-SL-MENKOSHI-AGE-FS</t>
        </is>
      </c>
      <c r="D1016" t="inlineStr">
        <is>
          <t>SP-SL-AGE-GRILLE-H</t>
        </is>
      </c>
      <c r="E1016" t="inlineStr">
        <is>
          <t>06911</t>
        </is>
      </c>
      <c r="F1016" t="b">
        <v>1</v>
      </c>
      <c r="G1016" t="n">
        <v>146</v>
      </c>
      <c r="H1016" t="inlineStr">
        <is>
          <t>無印</t>
        </is>
      </c>
      <c r="I1016" t="n">
        <v>146</v>
      </c>
      <c r="J1016" t="inlineStr">
        <is>
          <t>P146|無印</t>
        </is>
      </c>
      <c r="K1016" t="inlineStr">
        <is>
          <t>同頁凡例へ直接連動</t>
        </is>
      </c>
      <c r="L1016" t="inlineStr">
        <is>
          <t>202604_LIXIL_サーモスＬ_業務用資料集_完成品価格表.pdf</t>
        </is>
      </c>
      <c r="M1016" t="inlineStr">
        <is>
          <t>v0.6：同一価格表セクション内で凡例継承を確定。</t>
        </is>
      </c>
      <c r="N1016" t="inlineStr">
        <is>
          <t>https://drive.google.com/file/d/1YUN-mtWYs48YBUHJk0C3vJXnhjyZFHyf/view</t>
        </is>
      </c>
    </row>
    <row r="1017">
      <c r="A1017" s="42" t="inlineStr">
        <is>
          <t>GSC-SL-001014</t>
        </is>
      </c>
      <c r="B1017" t="inlineStr">
        <is>
          <t>SZ-SL-001014</t>
        </is>
      </c>
      <c r="C1017" t="inlineStr">
        <is>
          <t>WT-SL-MENKOSHI-AGE-FS</t>
        </is>
      </c>
      <c r="D1017" t="inlineStr">
        <is>
          <t>SP-SL-AGE-GRILLE-H</t>
        </is>
      </c>
      <c r="E1017" t="inlineStr">
        <is>
          <t>07411</t>
        </is>
      </c>
      <c r="F1017" t="b">
        <v>1</v>
      </c>
      <c r="G1017" t="n">
        <v>146</v>
      </c>
      <c r="H1017" t="inlineStr">
        <is>
          <t>無印</t>
        </is>
      </c>
      <c r="I1017" t="n">
        <v>146</v>
      </c>
      <c r="J1017" t="inlineStr">
        <is>
          <t>P146|無印</t>
        </is>
      </c>
      <c r="K1017" t="inlineStr">
        <is>
          <t>同頁凡例へ直接連動</t>
        </is>
      </c>
      <c r="L1017" t="inlineStr">
        <is>
          <t>202604_LIXIL_サーモスＬ_業務用資料集_完成品価格表.pdf</t>
        </is>
      </c>
      <c r="M1017" t="inlineStr">
        <is>
          <t>v0.6：同一価格表セクション内で凡例継承を確定。</t>
        </is>
      </c>
      <c r="N1017" t="inlineStr">
        <is>
          <t>https://drive.google.com/file/d/1YUN-mtWYs48YBUHJk0C3vJXnhjyZFHyf/view</t>
        </is>
      </c>
    </row>
    <row r="1018">
      <c r="A1018" s="42" t="inlineStr">
        <is>
          <t>GSC-SL-001015</t>
        </is>
      </c>
      <c r="B1018" t="inlineStr">
        <is>
          <t>SZ-SL-001015</t>
        </is>
      </c>
      <c r="C1018" t="inlineStr">
        <is>
          <t>WT-SL-MENKOSHI-AGE-FS</t>
        </is>
      </c>
      <c r="D1018" t="inlineStr">
        <is>
          <t>SP-SL-AGE-GRILLE-IGETA</t>
        </is>
      </c>
      <c r="E1018" t="inlineStr">
        <is>
          <t>02611</t>
        </is>
      </c>
      <c r="F1018" t="b">
        <v>1</v>
      </c>
      <c r="G1018" t="n">
        <v>146</v>
      </c>
      <c r="H1018" t="inlineStr">
        <is>
          <t>無印</t>
        </is>
      </c>
      <c r="I1018" t="n">
        <v>146</v>
      </c>
      <c r="J1018" t="inlineStr">
        <is>
          <t>P146|無印</t>
        </is>
      </c>
      <c r="K1018" t="inlineStr">
        <is>
          <t>同頁凡例へ直接連動</t>
        </is>
      </c>
      <c r="L1018" t="inlineStr">
        <is>
          <t>202604_LIXIL_サーモスＬ_業務用資料集_完成品価格表.pdf</t>
        </is>
      </c>
      <c r="M1018" t="inlineStr">
        <is>
          <t>v0.6：同一価格表セクション内で凡例継承を確定。</t>
        </is>
      </c>
      <c r="N1018" t="inlineStr">
        <is>
          <t>https://drive.google.com/file/d/1YUN-mtWYs48YBUHJk0C3vJXnhjyZFHyf/view</t>
        </is>
      </c>
    </row>
    <row r="1019">
      <c r="A1019" s="42" t="inlineStr">
        <is>
          <t>GSC-SL-001016</t>
        </is>
      </c>
      <c r="B1019" t="inlineStr">
        <is>
          <t>SZ-SL-001016</t>
        </is>
      </c>
      <c r="C1019" t="inlineStr">
        <is>
          <t>WT-SL-MENKOSHI-AGE-FS</t>
        </is>
      </c>
      <c r="D1019" t="inlineStr">
        <is>
          <t>SP-SL-AGE-GRILLE-IGETA</t>
        </is>
      </c>
      <c r="E1019" t="inlineStr">
        <is>
          <t>03611</t>
        </is>
      </c>
      <c r="F1019" t="b">
        <v>1</v>
      </c>
      <c r="G1019" t="n">
        <v>146</v>
      </c>
      <c r="H1019" t="inlineStr">
        <is>
          <t>無印</t>
        </is>
      </c>
      <c r="I1019" t="n">
        <v>146</v>
      </c>
      <c r="J1019" t="inlineStr">
        <is>
          <t>P146|無印</t>
        </is>
      </c>
      <c r="K1019" t="inlineStr">
        <is>
          <t>同頁凡例へ直接連動</t>
        </is>
      </c>
      <c r="L1019" t="inlineStr">
        <is>
          <t>202604_LIXIL_サーモスＬ_業務用資料集_完成品価格表.pdf</t>
        </is>
      </c>
      <c r="M1019" t="inlineStr">
        <is>
          <t>v0.6：同一価格表セクション内で凡例継承を確定。</t>
        </is>
      </c>
      <c r="N1019" t="inlineStr">
        <is>
          <t>https://drive.google.com/file/d/1YUN-mtWYs48YBUHJk0C3vJXnhjyZFHyf/view</t>
        </is>
      </c>
    </row>
    <row r="1020">
      <c r="A1020" s="42" t="inlineStr">
        <is>
          <t>GSC-SL-001017</t>
        </is>
      </c>
      <c r="B1020" t="inlineStr">
        <is>
          <t>SZ-SL-001017</t>
        </is>
      </c>
      <c r="C1020" t="inlineStr">
        <is>
          <t>WT-SL-MENKOSHI-AGE-FS</t>
        </is>
      </c>
      <c r="D1020" t="inlineStr">
        <is>
          <t>SP-SL-AGE-GRILLE-IGETA</t>
        </is>
      </c>
      <c r="E1020" t="inlineStr">
        <is>
          <t>06011</t>
        </is>
      </c>
      <c r="F1020" t="b">
        <v>1</v>
      </c>
      <c r="G1020" t="n">
        <v>146</v>
      </c>
      <c r="H1020" t="inlineStr">
        <is>
          <t>無印</t>
        </is>
      </c>
      <c r="I1020" t="n">
        <v>146</v>
      </c>
      <c r="J1020" t="inlineStr">
        <is>
          <t>P146|無印</t>
        </is>
      </c>
      <c r="K1020" t="inlineStr">
        <is>
          <t>同頁凡例へ直接連動</t>
        </is>
      </c>
      <c r="L1020" t="inlineStr">
        <is>
          <t>202604_LIXIL_サーモスＬ_業務用資料集_完成品価格表.pdf</t>
        </is>
      </c>
      <c r="M1020" t="inlineStr">
        <is>
          <t>v0.6：同一価格表セクション内で凡例継承を確定。</t>
        </is>
      </c>
      <c r="N1020" t="inlineStr">
        <is>
          <t>https://drive.google.com/file/d/1YUN-mtWYs48YBUHJk0C3vJXnhjyZFHyf/view</t>
        </is>
      </c>
    </row>
    <row r="1021">
      <c r="A1021" s="42" t="inlineStr">
        <is>
          <t>GSC-SL-001018</t>
        </is>
      </c>
      <c r="B1021" t="inlineStr">
        <is>
          <t>SZ-SL-001018</t>
        </is>
      </c>
      <c r="C1021" t="inlineStr">
        <is>
          <t>WT-SL-MENKOSHI-AGE-FS</t>
        </is>
      </c>
      <c r="D1021" t="inlineStr">
        <is>
          <t>SP-SL-AGE-GRILLE-IGETA</t>
        </is>
      </c>
      <c r="E1021" t="inlineStr">
        <is>
          <t>06911</t>
        </is>
      </c>
      <c r="F1021" t="b">
        <v>1</v>
      </c>
      <c r="G1021" t="n">
        <v>146</v>
      </c>
      <c r="H1021" t="inlineStr">
        <is>
          <t>無印</t>
        </is>
      </c>
      <c r="I1021" t="n">
        <v>146</v>
      </c>
      <c r="J1021" t="inlineStr">
        <is>
          <t>P146|無印</t>
        </is>
      </c>
      <c r="K1021" t="inlineStr">
        <is>
          <t>同頁凡例へ直接連動</t>
        </is>
      </c>
      <c r="L1021" t="inlineStr">
        <is>
          <t>202604_LIXIL_サーモスＬ_業務用資料集_完成品価格表.pdf</t>
        </is>
      </c>
      <c r="M1021" t="inlineStr">
        <is>
          <t>v0.6：同一価格表セクション内で凡例継承を確定。</t>
        </is>
      </c>
      <c r="N1021" t="inlineStr">
        <is>
          <t>https://drive.google.com/file/d/1YUN-mtWYs48YBUHJk0C3vJXnhjyZFHyf/view</t>
        </is>
      </c>
    </row>
    <row r="1022">
      <c r="A1022" s="42" t="inlineStr">
        <is>
          <t>GSC-SL-001019</t>
        </is>
      </c>
      <c r="B1022" t="inlineStr">
        <is>
          <t>SZ-SL-001019</t>
        </is>
      </c>
      <c r="C1022" t="inlineStr">
        <is>
          <t>WT-SL-MENKOSHI-AGE-FS</t>
        </is>
      </c>
      <c r="D1022" t="inlineStr">
        <is>
          <t>SP-SL-AGE-GRILLE-IGETA</t>
        </is>
      </c>
      <c r="E1022" t="inlineStr">
        <is>
          <t>07411</t>
        </is>
      </c>
      <c r="F1022" t="b">
        <v>1</v>
      </c>
      <c r="G1022" t="n">
        <v>146</v>
      </c>
      <c r="H1022" t="inlineStr">
        <is>
          <t>無印</t>
        </is>
      </c>
      <c r="I1022" t="n">
        <v>146</v>
      </c>
      <c r="J1022" t="inlineStr">
        <is>
          <t>P146|無印</t>
        </is>
      </c>
      <c r="K1022" t="inlineStr">
        <is>
          <t>同頁凡例へ直接連動</t>
        </is>
      </c>
      <c r="L1022" t="inlineStr">
        <is>
          <t>202604_LIXIL_サーモスＬ_業務用資料集_完成品価格表.pdf</t>
        </is>
      </c>
      <c r="M1022" t="inlineStr">
        <is>
          <t>v0.6：同一価格表セクション内で凡例継承を確定。</t>
        </is>
      </c>
      <c r="N1022" t="inlineStr">
        <is>
          <t>https://drive.google.com/file/d/1YUN-mtWYs48YBUHJk0C3vJXnhjyZFHyf/view</t>
        </is>
      </c>
    </row>
    <row r="1023">
      <c r="A1023" s="42" t="inlineStr">
        <is>
          <t>GSC-SL-001020</t>
        </is>
      </c>
      <c r="B1023" t="inlineStr">
        <is>
          <t>SZ-SL-001020</t>
        </is>
      </c>
      <c r="C1023" t="inlineStr">
        <is>
          <t>WT-SL-MENKOSHI-AGE-FS</t>
        </is>
      </c>
      <c r="D1023" t="inlineStr">
        <is>
          <t>SP-SL-AGE-GRILLE-V</t>
        </is>
      </c>
      <c r="E1023" t="inlineStr">
        <is>
          <t>02611</t>
        </is>
      </c>
      <c r="F1023" t="b">
        <v>1</v>
      </c>
      <c r="G1023" t="n">
        <v>146</v>
      </c>
      <c r="H1023" t="inlineStr">
        <is>
          <t>無印</t>
        </is>
      </c>
      <c r="I1023" t="n">
        <v>146</v>
      </c>
      <c r="J1023" t="inlineStr">
        <is>
          <t>P146|無印</t>
        </is>
      </c>
      <c r="K1023" t="inlineStr">
        <is>
          <t>同頁凡例へ直接連動</t>
        </is>
      </c>
      <c r="L1023" t="inlineStr">
        <is>
          <t>202604_LIXIL_サーモスＬ_業務用資料集_完成品価格表.pdf</t>
        </is>
      </c>
      <c r="M1023" t="inlineStr">
        <is>
          <t>v0.6：同一価格表セクション内で凡例継承を確定。</t>
        </is>
      </c>
      <c r="N1023" t="inlineStr">
        <is>
          <t>https://drive.google.com/file/d/1YUN-mtWYs48YBUHJk0C3vJXnhjyZFHyf/view</t>
        </is>
      </c>
    </row>
    <row r="1024">
      <c r="A1024" s="42" t="inlineStr">
        <is>
          <t>GSC-SL-001021</t>
        </is>
      </c>
      <c r="B1024" t="inlineStr">
        <is>
          <t>SZ-SL-001021</t>
        </is>
      </c>
      <c r="C1024" t="inlineStr">
        <is>
          <t>WT-SL-MENKOSHI-AGE-FS</t>
        </is>
      </c>
      <c r="D1024" t="inlineStr">
        <is>
          <t>SP-SL-AGE-GRILLE-V</t>
        </is>
      </c>
      <c r="E1024" t="inlineStr">
        <is>
          <t>03611</t>
        </is>
      </c>
      <c r="F1024" t="b">
        <v>1</v>
      </c>
      <c r="G1024" t="n">
        <v>146</v>
      </c>
      <c r="H1024" t="inlineStr">
        <is>
          <t>無印</t>
        </is>
      </c>
      <c r="I1024" t="n">
        <v>146</v>
      </c>
      <c r="J1024" t="inlineStr">
        <is>
          <t>P146|無印</t>
        </is>
      </c>
      <c r="K1024" t="inlineStr">
        <is>
          <t>同頁凡例へ直接連動</t>
        </is>
      </c>
      <c r="L1024" t="inlineStr">
        <is>
          <t>202604_LIXIL_サーモスＬ_業務用資料集_完成品価格表.pdf</t>
        </is>
      </c>
      <c r="M1024" t="inlineStr">
        <is>
          <t>v0.6：同一価格表セクション内で凡例継承を確定。</t>
        </is>
      </c>
      <c r="N1024" t="inlineStr">
        <is>
          <t>https://drive.google.com/file/d/1YUN-mtWYs48YBUHJk0C3vJXnhjyZFHyf/view</t>
        </is>
      </c>
    </row>
    <row r="1025">
      <c r="A1025" s="42" t="inlineStr">
        <is>
          <t>GSC-SL-001022</t>
        </is>
      </c>
      <c r="B1025" t="inlineStr">
        <is>
          <t>SZ-SL-001022</t>
        </is>
      </c>
      <c r="C1025" t="inlineStr">
        <is>
          <t>WT-SL-MENKOSHI-AGE-FS</t>
        </is>
      </c>
      <c r="D1025" t="inlineStr">
        <is>
          <t>SP-SL-AGE-GRILLE-V</t>
        </is>
      </c>
      <c r="E1025" t="inlineStr">
        <is>
          <t>06011</t>
        </is>
      </c>
      <c r="F1025" t="b">
        <v>1</v>
      </c>
      <c r="G1025" t="n">
        <v>146</v>
      </c>
      <c r="H1025" t="inlineStr">
        <is>
          <t>無印</t>
        </is>
      </c>
      <c r="I1025" t="n">
        <v>146</v>
      </c>
      <c r="J1025" t="inlineStr">
        <is>
          <t>P146|無印</t>
        </is>
      </c>
      <c r="K1025" t="inlineStr">
        <is>
          <t>同頁凡例へ直接連動</t>
        </is>
      </c>
      <c r="L1025" t="inlineStr">
        <is>
          <t>202604_LIXIL_サーモスＬ_業務用資料集_完成品価格表.pdf</t>
        </is>
      </c>
      <c r="M1025" t="inlineStr">
        <is>
          <t>v0.6：同一価格表セクション内で凡例継承を確定。</t>
        </is>
      </c>
      <c r="N1025" t="inlineStr">
        <is>
          <t>https://drive.google.com/file/d/1YUN-mtWYs48YBUHJk0C3vJXnhjyZFHyf/view</t>
        </is>
      </c>
    </row>
    <row r="1026">
      <c r="A1026" s="42" t="inlineStr">
        <is>
          <t>GSC-SL-001023</t>
        </is>
      </c>
      <c r="B1026" t="inlineStr">
        <is>
          <t>SZ-SL-001023</t>
        </is>
      </c>
      <c r="C1026" t="inlineStr">
        <is>
          <t>WT-SL-MENKOSHI-AGE-FS</t>
        </is>
      </c>
      <c r="D1026" t="inlineStr">
        <is>
          <t>SP-SL-AGE-GRILLE-V</t>
        </is>
      </c>
      <c r="E1026" t="inlineStr">
        <is>
          <t>06911</t>
        </is>
      </c>
      <c r="F1026" t="b">
        <v>1</v>
      </c>
      <c r="G1026" t="n">
        <v>146</v>
      </c>
      <c r="H1026" t="inlineStr">
        <is>
          <t>無印</t>
        </is>
      </c>
      <c r="I1026" t="n">
        <v>146</v>
      </c>
      <c r="J1026" t="inlineStr">
        <is>
          <t>P146|無印</t>
        </is>
      </c>
      <c r="K1026" t="inlineStr">
        <is>
          <t>同頁凡例へ直接連動</t>
        </is>
      </c>
      <c r="L1026" t="inlineStr">
        <is>
          <t>202604_LIXIL_サーモスＬ_業務用資料集_完成品価格表.pdf</t>
        </is>
      </c>
      <c r="M1026" t="inlineStr">
        <is>
          <t>v0.6：同一価格表セクション内で凡例継承を確定。</t>
        </is>
      </c>
      <c r="N1026" t="inlineStr">
        <is>
          <t>https://drive.google.com/file/d/1YUN-mtWYs48YBUHJk0C3vJXnhjyZFHyf/view</t>
        </is>
      </c>
    </row>
    <row r="1027">
      <c r="A1027" s="42" t="inlineStr">
        <is>
          <t>GSC-SL-001024</t>
        </is>
      </c>
      <c r="B1027" t="inlineStr">
        <is>
          <t>SZ-SL-001024</t>
        </is>
      </c>
      <c r="C1027" t="inlineStr">
        <is>
          <t>WT-SL-MENKOSHI-AGE-FS</t>
        </is>
      </c>
      <c r="D1027" t="inlineStr">
        <is>
          <t>SP-SL-AGE-GRILLE-V</t>
        </is>
      </c>
      <c r="E1027" t="inlineStr">
        <is>
          <t>07411</t>
        </is>
      </c>
      <c r="F1027" t="b">
        <v>1</v>
      </c>
      <c r="G1027" t="n">
        <v>146</v>
      </c>
      <c r="H1027" t="inlineStr">
        <is>
          <t>無印</t>
        </is>
      </c>
      <c r="I1027" t="n">
        <v>146</v>
      </c>
      <c r="J1027" t="inlineStr">
        <is>
          <t>P146|無印</t>
        </is>
      </c>
      <c r="K1027" t="inlineStr">
        <is>
          <t>同頁凡例へ直接連動</t>
        </is>
      </c>
      <c r="L1027" t="inlineStr">
        <is>
          <t>202604_LIXIL_サーモスＬ_業務用資料集_完成品価格表.pdf</t>
        </is>
      </c>
      <c r="M1027" t="inlineStr">
        <is>
          <t>v0.6：同一価格表セクション内で凡例継承を確定。</t>
        </is>
      </c>
      <c r="N1027" t="inlineStr">
        <is>
          <t>https://drive.google.com/file/d/1YUN-mtWYs48YBUHJk0C3vJXnhjyZFHyf/view</t>
        </is>
      </c>
    </row>
    <row r="1028">
      <c r="A1028" s="42" t="inlineStr">
        <is>
          <t>GSC-SL-001025</t>
        </is>
      </c>
      <c r="B1028" t="inlineStr">
        <is>
          <t>SZ-SL-001025</t>
        </is>
      </c>
      <c r="C1028" t="inlineStr">
        <is>
          <t>WT-SL-MENKOSHI-AGE-FS</t>
        </is>
      </c>
      <c r="D1028" t="inlineStr">
        <is>
          <t>SP-SL-AGE-GRILLE-DIA</t>
        </is>
      </c>
      <c r="E1028" t="inlineStr">
        <is>
          <t>02613</t>
        </is>
      </c>
      <c r="F1028" t="b">
        <v>1</v>
      </c>
      <c r="G1028" t="n">
        <v>147</v>
      </c>
      <c r="H1028" t="inlineStr">
        <is>
          <t>無印</t>
        </is>
      </c>
      <c r="I1028" t="n">
        <v>147</v>
      </c>
      <c r="J1028" t="inlineStr">
        <is>
          <t>P147|無印</t>
        </is>
      </c>
      <c r="K1028" t="inlineStr">
        <is>
          <t>同頁凡例へ直接連動</t>
        </is>
      </c>
      <c r="L1028" t="inlineStr">
        <is>
          <t>202604_LIXIL_サーモスＬ_業務用資料集_完成品価格表.pdf</t>
        </is>
      </c>
      <c r="M1028" t="inlineStr">
        <is>
          <t>v0.6：同一価格表セクション内で凡例継承を確定。</t>
        </is>
      </c>
      <c r="N1028" t="inlineStr">
        <is>
          <t>https://drive.google.com/file/d/1YUN-mtWYs48YBUHJk0C3vJXnhjyZFHyf/view</t>
        </is>
      </c>
    </row>
    <row r="1029">
      <c r="A1029" s="42" t="inlineStr">
        <is>
          <t>GSC-SL-001026</t>
        </is>
      </c>
      <c r="B1029" t="inlineStr">
        <is>
          <t>SZ-SL-001026</t>
        </is>
      </c>
      <c r="C1029" t="inlineStr">
        <is>
          <t>WT-SL-MENKOSHI-AGE-FS</t>
        </is>
      </c>
      <c r="D1029" t="inlineStr">
        <is>
          <t>SP-SL-AGE-GRILLE-DIA</t>
        </is>
      </c>
      <c r="E1029" t="inlineStr">
        <is>
          <t>03613</t>
        </is>
      </c>
      <c r="F1029" t="b">
        <v>1</v>
      </c>
      <c r="G1029" t="n">
        <v>147</v>
      </c>
      <c r="H1029" t="inlineStr">
        <is>
          <t>無印</t>
        </is>
      </c>
      <c r="I1029" t="n">
        <v>147</v>
      </c>
      <c r="J1029" t="inlineStr">
        <is>
          <t>P147|無印</t>
        </is>
      </c>
      <c r="K1029" t="inlineStr">
        <is>
          <t>同頁凡例へ直接連動</t>
        </is>
      </c>
      <c r="L1029" t="inlineStr">
        <is>
          <t>202604_LIXIL_サーモスＬ_業務用資料集_完成品価格表.pdf</t>
        </is>
      </c>
      <c r="M1029" t="inlineStr">
        <is>
          <t>v0.6：同一価格表セクション内で凡例継承を確定。</t>
        </is>
      </c>
      <c r="N1029" t="inlineStr">
        <is>
          <t>https://drive.google.com/file/d/1YUN-mtWYs48YBUHJk0C3vJXnhjyZFHyf/view</t>
        </is>
      </c>
    </row>
    <row r="1030">
      <c r="A1030" s="42" t="inlineStr">
        <is>
          <t>GSC-SL-001027</t>
        </is>
      </c>
      <c r="B1030" t="inlineStr">
        <is>
          <t>SZ-SL-001027</t>
        </is>
      </c>
      <c r="C1030" t="inlineStr">
        <is>
          <t>WT-SL-MENKOSHI-AGE-FS</t>
        </is>
      </c>
      <c r="D1030" t="inlineStr">
        <is>
          <t>SP-SL-AGE-GRILLE-DIA</t>
        </is>
      </c>
      <c r="E1030" t="inlineStr">
        <is>
          <t>06013</t>
        </is>
      </c>
      <c r="F1030" t="b">
        <v>1</v>
      </c>
      <c r="G1030" t="n">
        <v>147</v>
      </c>
      <c r="H1030" t="inlineStr">
        <is>
          <t>無印</t>
        </is>
      </c>
      <c r="I1030" t="n">
        <v>147</v>
      </c>
      <c r="J1030" t="inlineStr">
        <is>
          <t>P147|無印</t>
        </is>
      </c>
      <c r="K1030" t="inlineStr">
        <is>
          <t>同頁凡例へ直接連動</t>
        </is>
      </c>
      <c r="L1030" t="inlineStr">
        <is>
          <t>202604_LIXIL_サーモスＬ_業務用資料集_完成品価格表.pdf</t>
        </is>
      </c>
      <c r="M1030" t="inlineStr">
        <is>
          <t>v0.6：同一価格表セクション内で凡例継承を確定。</t>
        </is>
      </c>
      <c r="N1030" t="inlineStr">
        <is>
          <t>https://drive.google.com/file/d/1YUN-mtWYs48YBUHJk0C3vJXnhjyZFHyf/view</t>
        </is>
      </c>
    </row>
    <row r="1031">
      <c r="A1031" s="42" t="inlineStr">
        <is>
          <t>GSC-SL-001028</t>
        </is>
      </c>
      <c r="B1031" t="inlineStr">
        <is>
          <t>SZ-SL-001028</t>
        </is>
      </c>
      <c r="C1031" t="inlineStr">
        <is>
          <t>WT-SL-MENKOSHI-AGE-FS</t>
        </is>
      </c>
      <c r="D1031" t="inlineStr">
        <is>
          <t>SP-SL-AGE-GRILLE-DIA</t>
        </is>
      </c>
      <c r="E1031" t="inlineStr">
        <is>
          <t>06913</t>
        </is>
      </c>
      <c r="F1031" t="b">
        <v>1</v>
      </c>
      <c r="G1031" t="n">
        <v>147</v>
      </c>
      <c r="H1031" t="inlineStr">
        <is>
          <t>無印</t>
        </is>
      </c>
      <c r="I1031" t="n">
        <v>147</v>
      </c>
      <c r="J1031" t="inlineStr">
        <is>
          <t>P147|無印</t>
        </is>
      </c>
      <c r="K1031" t="inlineStr">
        <is>
          <t>同頁凡例へ直接連動</t>
        </is>
      </c>
      <c r="L1031" t="inlineStr">
        <is>
          <t>202604_LIXIL_サーモスＬ_業務用資料集_完成品価格表.pdf</t>
        </is>
      </c>
      <c r="M1031" t="inlineStr">
        <is>
          <t>v0.6：同一価格表セクション内で凡例継承を確定。</t>
        </is>
      </c>
      <c r="N1031" t="inlineStr">
        <is>
          <t>https://drive.google.com/file/d/1YUN-mtWYs48YBUHJk0C3vJXnhjyZFHyf/view</t>
        </is>
      </c>
    </row>
    <row r="1032">
      <c r="A1032" s="42" t="inlineStr">
        <is>
          <t>GSC-SL-001029</t>
        </is>
      </c>
      <c r="B1032" t="inlineStr">
        <is>
          <t>SZ-SL-001029</t>
        </is>
      </c>
      <c r="C1032" t="inlineStr">
        <is>
          <t>WT-SL-MENKOSHI-AGE-FS</t>
        </is>
      </c>
      <c r="D1032" t="inlineStr">
        <is>
          <t>SP-SL-AGE-GRILLE-DIA</t>
        </is>
      </c>
      <c r="E1032" t="inlineStr">
        <is>
          <t>07413</t>
        </is>
      </c>
      <c r="F1032" t="b">
        <v>1</v>
      </c>
      <c r="G1032" t="n">
        <v>147</v>
      </c>
      <c r="H1032" t="inlineStr">
        <is>
          <t>無印</t>
        </is>
      </c>
      <c r="I1032" t="n">
        <v>147</v>
      </c>
      <c r="J1032" t="inlineStr">
        <is>
          <t>P147|無印</t>
        </is>
      </c>
      <c r="K1032" t="inlineStr">
        <is>
          <t>同頁凡例へ直接連動</t>
        </is>
      </c>
      <c r="L1032" t="inlineStr">
        <is>
          <t>202604_LIXIL_サーモスＬ_業務用資料集_完成品価格表.pdf</t>
        </is>
      </c>
      <c r="M1032" t="inlineStr">
        <is>
          <t>v0.6：同一価格表セクション内で凡例継承を確定。</t>
        </is>
      </c>
      <c r="N1032" t="inlineStr">
        <is>
          <t>https://drive.google.com/file/d/1YUN-mtWYs48YBUHJk0C3vJXnhjyZFHyf/view</t>
        </is>
      </c>
    </row>
    <row r="1033">
      <c r="A1033" s="42" t="inlineStr">
        <is>
          <t>GSC-SL-001030</t>
        </is>
      </c>
      <c r="B1033" t="inlineStr">
        <is>
          <t>SZ-SL-001030</t>
        </is>
      </c>
      <c r="C1033" t="inlineStr">
        <is>
          <t>WT-SL-MENKOSHI-AGE-FS</t>
        </is>
      </c>
      <c r="D1033" t="inlineStr">
        <is>
          <t>SP-SL-AGE-GRILLE-H</t>
        </is>
      </c>
      <c r="E1033" t="inlineStr">
        <is>
          <t>02613</t>
        </is>
      </c>
      <c r="F1033" t="b">
        <v>1</v>
      </c>
      <c r="G1033" t="n">
        <v>147</v>
      </c>
      <c r="H1033" t="inlineStr">
        <is>
          <t>無印</t>
        </is>
      </c>
      <c r="I1033" t="n">
        <v>147</v>
      </c>
      <c r="J1033" t="inlineStr">
        <is>
          <t>P147|無印</t>
        </is>
      </c>
      <c r="K1033" t="inlineStr">
        <is>
          <t>同頁凡例へ直接連動</t>
        </is>
      </c>
      <c r="L1033" t="inlineStr">
        <is>
          <t>202604_LIXIL_サーモスＬ_業務用資料集_完成品価格表.pdf</t>
        </is>
      </c>
      <c r="M1033" t="inlineStr">
        <is>
          <t>v0.6：同一価格表セクション内で凡例継承を確定。</t>
        </is>
      </c>
      <c r="N1033" t="inlineStr">
        <is>
          <t>https://drive.google.com/file/d/1YUN-mtWYs48YBUHJk0C3vJXnhjyZFHyf/view</t>
        </is>
      </c>
    </row>
    <row r="1034">
      <c r="A1034" s="42" t="inlineStr">
        <is>
          <t>GSC-SL-001031</t>
        </is>
      </c>
      <c r="B1034" t="inlineStr">
        <is>
          <t>SZ-SL-001031</t>
        </is>
      </c>
      <c r="C1034" t="inlineStr">
        <is>
          <t>WT-SL-MENKOSHI-AGE-FS</t>
        </is>
      </c>
      <c r="D1034" t="inlineStr">
        <is>
          <t>SP-SL-AGE-GRILLE-H</t>
        </is>
      </c>
      <c r="E1034" t="inlineStr">
        <is>
          <t>03613</t>
        </is>
      </c>
      <c r="F1034" t="b">
        <v>1</v>
      </c>
      <c r="G1034" t="n">
        <v>147</v>
      </c>
      <c r="H1034" t="inlineStr">
        <is>
          <t>無印</t>
        </is>
      </c>
      <c r="I1034" t="n">
        <v>147</v>
      </c>
      <c r="J1034" t="inlineStr">
        <is>
          <t>P147|無印</t>
        </is>
      </c>
      <c r="K1034" t="inlineStr">
        <is>
          <t>同頁凡例へ直接連動</t>
        </is>
      </c>
      <c r="L1034" t="inlineStr">
        <is>
          <t>202604_LIXIL_サーモスＬ_業務用資料集_完成品価格表.pdf</t>
        </is>
      </c>
      <c r="M1034" t="inlineStr">
        <is>
          <t>v0.6：同一価格表セクション内で凡例継承を確定。</t>
        </is>
      </c>
      <c r="N1034" t="inlineStr">
        <is>
          <t>https://drive.google.com/file/d/1YUN-mtWYs48YBUHJk0C3vJXnhjyZFHyf/view</t>
        </is>
      </c>
    </row>
    <row r="1035">
      <c r="A1035" s="42" t="inlineStr">
        <is>
          <t>GSC-SL-001032</t>
        </is>
      </c>
      <c r="B1035" t="inlineStr">
        <is>
          <t>SZ-SL-001032</t>
        </is>
      </c>
      <c r="C1035" t="inlineStr">
        <is>
          <t>WT-SL-MENKOSHI-AGE-FS</t>
        </is>
      </c>
      <c r="D1035" t="inlineStr">
        <is>
          <t>SP-SL-AGE-GRILLE-H</t>
        </is>
      </c>
      <c r="E1035" t="inlineStr">
        <is>
          <t>06013</t>
        </is>
      </c>
      <c r="F1035" t="b">
        <v>1</v>
      </c>
      <c r="G1035" t="n">
        <v>147</v>
      </c>
      <c r="H1035" t="inlineStr">
        <is>
          <t>無印</t>
        </is>
      </c>
      <c r="I1035" t="n">
        <v>147</v>
      </c>
      <c r="J1035" t="inlineStr">
        <is>
          <t>P147|無印</t>
        </is>
      </c>
      <c r="K1035" t="inlineStr">
        <is>
          <t>同頁凡例へ直接連動</t>
        </is>
      </c>
      <c r="L1035" t="inlineStr">
        <is>
          <t>202604_LIXIL_サーモスＬ_業務用資料集_完成品価格表.pdf</t>
        </is>
      </c>
      <c r="M1035" t="inlineStr">
        <is>
          <t>v0.6：同一価格表セクション内で凡例継承を確定。</t>
        </is>
      </c>
      <c r="N1035" t="inlineStr">
        <is>
          <t>https://drive.google.com/file/d/1YUN-mtWYs48YBUHJk0C3vJXnhjyZFHyf/view</t>
        </is>
      </c>
    </row>
    <row r="1036">
      <c r="A1036" s="42" t="inlineStr">
        <is>
          <t>GSC-SL-001033</t>
        </is>
      </c>
      <c r="B1036" t="inlineStr">
        <is>
          <t>SZ-SL-001033</t>
        </is>
      </c>
      <c r="C1036" t="inlineStr">
        <is>
          <t>WT-SL-MENKOSHI-AGE-FS</t>
        </is>
      </c>
      <c r="D1036" t="inlineStr">
        <is>
          <t>SP-SL-AGE-GRILLE-H</t>
        </is>
      </c>
      <c r="E1036" t="inlineStr">
        <is>
          <t>06913</t>
        </is>
      </c>
      <c r="F1036" t="b">
        <v>1</v>
      </c>
      <c r="G1036" t="n">
        <v>147</v>
      </c>
      <c r="H1036" t="inlineStr">
        <is>
          <t>無印</t>
        </is>
      </c>
      <c r="I1036" t="n">
        <v>147</v>
      </c>
      <c r="J1036" t="inlineStr">
        <is>
          <t>P147|無印</t>
        </is>
      </c>
      <c r="K1036" t="inlineStr">
        <is>
          <t>同頁凡例へ直接連動</t>
        </is>
      </c>
      <c r="L1036" t="inlineStr">
        <is>
          <t>202604_LIXIL_サーモスＬ_業務用資料集_完成品価格表.pdf</t>
        </is>
      </c>
      <c r="M1036" t="inlineStr">
        <is>
          <t>v0.6：同一価格表セクション内で凡例継承を確定。</t>
        </is>
      </c>
      <c r="N1036" t="inlineStr">
        <is>
          <t>https://drive.google.com/file/d/1YUN-mtWYs48YBUHJk0C3vJXnhjyZFHyf/view</t>
        </is>
      </c>
    </row>
    <row r="1037">
      <c r="A1037" s="42" t="inlineStr">
        <is>
          <t>GSC-SL-001034</t>
        </is>
      </c>
      <c r="B1037" t="inlineStr">
        <is>
          <t>SZ-SL-001034</t>
        </is>
      </c>
      <c r="C1037" t="inlineStr">
        <is>
          <t>WT-SL-MENKOSHI-AGE-FS</t>
        </is>
      </c>
      <c r="D1037" t="inlineStr">
        <is>
          <t>SP-SL-AGE-GRILLE-H</t>
        </is>
      </c>
      <c r="E1037" t="inlineStr">
        <is>
          <t>07413</t>
        </is>
      </c>
      <c r="F1037" t="b">
        <v>1</v>
      </c>
      <c r="G1037" t="n">
        <v>147</v>
      </c>
      <c r="H1037" t="inlineStr">
        <is>
          <t>無印</t>
        </is>
      </c>
      <c r="I1037" t="n">
        <v>147</v>
      </c>
      <c r="J1037" t="inlineStr">
        <is>
          <t>P147|無印</t>
        </is>
      </c>
      <c r="K1037" t="inlineStr">
        <is>
          <t>同頁凡例へ直接連動</t>
        </is>
      </c>
      <c r="L1037" t="inlineStr">
        <is>
          <t>202604_LIXIL_サーモスＬ_業務用資料集_完成品価格表.pdf</t>
        </is>
      </c>
      <c r="M1037" t="inlineStr">
        <is>
          <t>v0.6：同一価格表セクション内で凡例継承を確定。</t>
        </is>
      </c>
      <c r="N1037" t="inlineStr">
        <is>
          <t>https://drive.google.com/file/d/1YUN-mtWYs48YBUHJk0C3vJXnhjyZFHyf/view</t>
        </is>
      </c>
    </row>
    <row r="1038">
      <c r="A1038" s="42" t="inlineStr">
        <is>
          <t>GSC-SL-001035</t>
        </is>
      </c>
      <c r="B1038" t="inlineStr">
        <is>
          <t>SZ-SL-001035</t>
        </is>
      </c>
      <c r="C1038" t="inlineStr">
        <is>
          <t>WT-SL-MENKOSHI-AGE-FS</t>
        </is>
      </c>
      <c r="D1038" t="inlineStr">
        <is>
          <t>SP-SL-AGE-GRILLE-IGETA</t>
        </is>
      </c>
      <c r="E1038" t="inlineStr">
        <is>
          <t>02613</t>
        </is>
      </c>
      <c r="F1038" t="b">
        <v>1</v>
      </c>
      <c r="G1038" t="n">
        <v>147</v>
      </c>
      <c r="H1038" t="inlineStr">
        <is>
          <t>無印</t>
        </is>
      </c>
      <c r="I1038" t="n">
        <v>147</v>
      </c>
      <c r="J1038" t="inlineStr">
        <is>
          <t>P147|無印</t>
        </is>
      </c>
      <c r="K1038" t="inlineStr">
        <is>
          <t>同頁凡例へ直接連動</t>
        </is>
      </c>
      <c r="L1038" t="inlineStr">
        <is>
          <t>202604_LIXIL_サーモスＬ_業務用資料集_完成品価格表.pdf</t>
        </is>
      </c>
      <c r="M1038" t="inlineStr">
        <is>
          <t>v0.6：同一価格表セクション内で凡例継承を確定。</t>
        </is>
      </c>
      <c r="N1038" t="inlineStr">
        <is>
          <t>https://drive.google.com/file/d/1YUN-mtWYs48YBUHJk0C3vJXnhjyZFHyf/view</t>
        </is>
      </c>
    </row>
    <row r="1039">
      <c r="A1039" s="42" t="inlineStr">
        <is>
          <t>GSC-SL-001036</t>
        </is>
      </c>
      <c r="B1039" t="inlineStr">
        <is>
          <t>SZ-SL-001036</t>
        </is>
      </c>
      <c r="C1039" t="inlineStr">
        <is>
          <t>WT-SL-MENKOSHI-AGE-FS</t>
        </is>
      </c>
      <c r="D1039" t="inlineStr">
        <is>
          <t>SP-SL-AGE-GRILLE-IGETA</t>
        </is>
      </c>
      <c r="E1039" t="inlineStr">
        <is>
          <t>03613</t>
        </is>
      </c>
      <c r="F1039" t="b">
        <v>1</v>
      </c>
      <c r="G1039" t="n">
        <v>147</v>
      </c>
      <c r="H1039" t="inlineStr">
        <is>
          <t>無印</t>
        </is>
      </c>
      <c r="I1039" t="n">
        <v>147</v>
      </c>
      <c r="J1039" t="inlineStr">
        <is>
          <t>P147|無印</t>
        </is>
      </c>
      <c r="K1039" t="inlineStr">
        <is>
          <t>同頁凡例へ直接連動</t>
        </is>
      </c>
      <c r="L1039" t="inlineStr">
        <is>
          <t>202604_LIXIL_サーモスＬ_業務用資料集_完成品価格表.pdf</t>
        </is>
      </c>
      <c r="M1039" t="inlineStr">
        <is>
          <t>v0.6：同一価格表セクション内で凡例継承を確定。</t>
        </is>
      </c>
      <c r="N1039" t="inlineStr">
        <is>
          <t>https://drive.google.com/file/d/1YUN-mtWYs48YBUHJk0C3vJXnhjyZFHyf/view</t>
        </is>
      </c>
    </row>
    <row r="1040">
      <c r="A1040" s="42" t="inlineStr">
        <is>
          <t>GSC-SL-001037</t>
        </is>
      </c>
      <c r="B1040" t="inlineStr">
        <is>
          <t>SZ-SL-001037</t>
        </is>
      </c>
      <c r="C1040" t="inlineStr">
        <is>
          <t>WT-SL-MENKOSHI-AGE-FS</t>
        </is>
      </c>
      <c r="D1040" t="inlineStr">
        <is>
          <t>SP-SL-AGE-GRILLE-IGETA</t>
        </is>
      </c>
      <c r="E1040" t="inlineStr">
        <is>
          <t>06013</t>
        </is>
      </c>
      <c r="F1040" t="b">
        <v>1</v>
      </c>
      <c r="G1040" t="n">
        <v>147</v>
      </c>
      <c r="H1040" t="inlineStr">
        <is>
          <t>無印</t>
        </is>
      </c>
      <c r="I1040" t="n">
        <v>147</v>
      </c>
      <c r="J1040" t="inlineStr">
        <is>
          <t>P147|無印</t>
        </is>
      </c>
      <c r="K1040" t="inlineStr">
        <is>
          <t>同頁凡例へ直接連動</t>
        </is>
      </c>
      <c r="L1040" t="inlineStr">
        <is>
          <t>202604_LIXIL_サーモスＬ_業務用資料集_完成品価格表.pdf</t>
        </is>
      </c>
      <c r="M1040" t="inlineStr">
        <is>
          <t>v0.6：同一価格表セクション内で凡例継承を確定。</t>
        </is>
      </c>
      <c r="N1040" t="inlineStr">
        <is>
          <t>https://drive.google.com/file/d/1YUN-mtWYs48YBUHJk0C3vJXnhjyZFHyf/view</t>
        </is>
      </c>
    </row>
    <row r="1041">
      <c r="A1041" s="42" t="inlineStr">
        <is>
          <t>GSC-SL-001038</t>
        </is>
      </c>
      <c r="B1041" t="inlineStr">
        <is>
          <t>SZ-SL-001038</t>
        </is>
      </c>
      <c r="C1041" t="inlineStr">
        <is>
          <t>WT-SL-MENKOSHI-AGE-FS</t>
        </is>
      </c>
      <c r="D1041" t="inlineStr">
        <is>
          <t>SP-SL-AGE-GRILLE-IGETA</t>
        </is>
      </c>
      <c r="E1041" t="inlineStr">
        <is>
          <t>06913</t>
        </is>
      </c>
      <c r="F1041" t="b">
        <v>1</v>
      </c>
      <c r="G1041" t="n">
        <v>147</v>
      </c>
      <c r="H1041" t="inlineStr">
        <is>
          <t>無印</t>
        </is>
      </c>
      <c r="I1041" t="n">
        <v>147</v>
      </c>
      <c r="J1041" t="inlineStr">
        <is>
          <t>P147|無印</t>
        </is>
      </c>
      <c r="K1041" t="inlineStr">
        <is>
          <t>同頁凡例へ直接連動</t>
        </is>
      </c>
      <c r="L1041" t="inlineStr">
        <is>
          <t>202604_LIXIL_サーモスＬ_業務用資料集_完成品価格表.pdf</t>
        </is>
      </c>
      <c r="M1041" t="inlineStr">
        <is>
          <t>v0.6：同一価格表セクション内で凡例継承を確定。</t>
        </is>
      </c>
      <c r="N1041" t="inlineStr">
        <is>
          <t>https://drive.google.com/file/d/1YUN-mtWYs48YBUHJk0C3vJXnhjyZFHyf/view</t>
        </is>
      </c>
    </row>
    <row r="1042">
      <c r="A1042" s="42" t="inlineStr">
        <is>
          <t>GSC-SL-001039</t>
        </is>
      </c>
      <c r="B1042" t="inlineStr">
        <is>
          <t>SZ-SL-001039</t>
        </is>
      </c>
      <c r="C1042" t="inlineStr">
        <is>
          <t>WT-SL-MENKOSHI-AGE-FS</t>
        </is>
      </c>
      <c r="D1042" t="inlineStr">
        <is>
          <t>SP-SL-AGE-GRILLE-IGETA</t>
        </is>
      </c>
      <c r="E1042" t="inlineStr">
        <is>
          <t>07413</t>
        </is>
      </c>
      <c r="F1042" t="b">
        <v>1</v>
      </c>
      <c r="G1042" t="n">
        <v>147</v>
      </c>
      <c r="H1042" t="inlineStr">
        <is>
          <t>無印</t>
        </is>
      </c>
      <c r="I1042" t="n">
        <v>147</v>
      </c>
      <c r="J1042" t="inlineStr">
        <is>
          <t>P147|無印</t>
        </is>
      </c>
      <c r="K1042" t="inlineStr">
        <is>
          <t>同頁凡例へ直接連動</t>
        </is>
      </c>
      <c r="L1042" t="inlineStr">
        <is>
          <t>202604_LIXIL_サーモスＬ_業務用資料集_完成品価格表.pdf</t>
        </is>
      </c>
      <c r="M1042" t="inlineStr">
        <is>
          <t>v0.6：同一価格表セクション内で凡例継承を確定。</t>
        </is>
      </c>
      <c r="N1042" t="inlineStr">
        <is>
          <t>https://drive.google.com/file/d/1YUN-mtWYs48YBUHJk0C3vJXnhjyZFHyf/view</t>
        </is>
      </c>
    </row>
    <row r="1043">
      <c r="A1043" s="42" t="inlineStr">
        <is>
          <t>GSC-SL-001040</t>
        </is>
      </c>
      <c r="B1043" t="inlineStr">
        <is>
          <t>SZ-SL-001040</t>
        </is>
      </c>
      <c r="C1043" t="inlineStr">
        <is>
          <t>WT-SL-MENKOSHI-AGE-FS</t>
        </is>
      </c>
      <c r="D1043" t="inlineStr">
        <is>
          <t>SP-SL-AGE-GRILLE-V</t>
        </is>
      </c>
      <c r="E1043" t="inlineStr">
        <is>
          <t>02613</t>
        </is>
      </c>
      <c r="F1043" t="b">
        <v>1</v>
      </c>
      <c r="G1043" t="n">
        <v>147</v>
      </c>
      <c r="H1043" t="inlineStr">
        <is>
          <t>無印</t>
        </is>
      </c>
      <c r="I1043" t="n">
        <v>147</v>
      </c>
      <c r="J1043" t="inlineStr">
        <is>
          <t>P147|無印</t>
        </is>
      </c>
      <c r="K1043" t="inlineStr">
        <is>
          <t>同頁凡例へ直接連動</t>
        </is>
      </c>
      <c r="L1043" t="inlineStr">
        <is>
          <t>202604_LIXIL_サーモスＬ_業務用資料集_完成品価格表.pdf</t>
        </is>
      </c>
      <c r="M1043" t="inlineStr">
        <is>
          <t>v0.6：同一価格表セクション内で凡例継承を確定。</t>
        </is>
      </c>
      <c r="N1043" t="inlineStr">
        <is>
          <t>https://drive.google.com/file/d/1YUN-mtWYs48YBUHJk0C3vJXnhjyZFHyf/view</t>
        </is>
      </c>
    </row>
    <row r="1044">
      <c r="A1044" s="42" t="inlineStr">
        <is>
          <t>GSC-SL-001041</t>
        </is>
      </c>
      <c r="B1044" t="inlineStr">
        <is>
          <t>SZ-SL-001041</t>
        </is>
      </c>
      <c r="C1044" t="inlineStr">
        <is>
          <t>WT-SL-MENKOSHI-AGE-FS</t>
        </is>
      </c>
      <c r="D1044" t="inlineStr">
        <is>
          <t>SP-SL-AGE-GRILLE-V</t>
        </is>
      </c>
      <c r="E1044" t="inlineStr">
        <is>
          <t>03613</t>
        </is>
      </c>
      <c r="F1044" t="b">
        <v>1</v>
      </c>
      <c r="G1044" t="n">
        <v>147</v>
      </c>
      <c r="H1044" t="inlineStr">
        <is>
          <t>無印</t>
        </is>
      </c>
      <c r="I1044" t="n">
        <v>147</v>
      </c>
      <c r="J1044" t="inlineStr">
        <is>
          <t>P147|無印</t>
        </is>
      </c>
      <c r="K1044" t="inlineStr">
        <is>
          <t>同頁凡例へ直接連動</t>
        </is>
      </c>
      <c r="L1044" t="inlineStr">
        <is>
          <t>202604_LIXIL_サーモスＬ_業務用資料集_完成品価格表.pdf</t>
        </is>
      </c>
      <c r="M1044" t="inlineStr">
        <is>
          <t>v0.6：同一価格表セクション内で凡例継承を確定。</t>
        </is>
      </c>
      <c r="N1044" t="inlineStr">
        <is>
          <t>https://drive.google.com/file/d/1YUN-mtWYs48YBUHJk0C3vJXnhjyZFHyf/view</t>
        </is>
      </c>
    </row>
    <row r="1045">
      <c r="A1045" s="42" t="inlineStr">
        <is>
          <t>GSC-SL-001042</t>
        </is>
      </c>
      <c r="B1045" t="inlineStr">
        <is>
          <t>SZ-SL-001042</t>
        </is>
      </c>
      <c r="C1045" t="inlineStr">
        <is>
          <t>WT-SL-MENKOSHI-AGE-FS</t>
        </is>
      </c>
      <c r="D1045" t="inlineStr">
        <is>
          <t>SP-SL-AGE-GRILLE-V</t>
        </is>
      </c>
      <c r="E1045" t="inlineStr">
        <is>
          <t>06013</t>
        </is>
      </c>
      <c r="F1045" t="b">
        <v>1</v>
      </c>
      <c r="G1045" t="n">
        <v>147</v>
      </c>
      <c r="H1045" t="inlineStr">
        <is>
          <t>無印</t>
        </is>
      </c>
      <c r="I1045" t="n">
        <v>147</v>
      </c>
      <c r="J1045" t="inlineStr">
        <is>
          <t>P147|無印</t>
        </is>
      </c>
      <c r="K1045" t="inlineStr">
        <is>
          <t>同頁凡例へ直接連動</t>
        </is>
      </c>
      <c r="L1045" t="inlineStr">
        <is>
          <t>202604_LIXIL_サーモスＬ_業務用資料集_完成品価格表.pdf</t>
        </is>
      </c>
      <c r="M1045" t="inlineStr">
        <is>
          <t>v0.6：同一価格表セクション内で凡例継承を確定。</t>
        </is>
      </c>
      <c r="N1045" t="inlineStr">
        <is>
          <t>https://drive.google.com/file/d/1YUN-mtWYs48YBUHJk0C3vJXnhjyZFHyf/view</t>
        </is>
      </c>
    </row>
    <row r="1046">
      <c r="A1046" s="42" t="inlineStr">
        <is>
          <t>GSC-SL-001043</t>
        </is>
      </c>
      <c r="B1046" t="inlineStr">
        <is>
          <t>SZ-SL-001043</t>
        </is>
      </c>
      <c r="C1046" t="inlineStr">
        <is>
          <t>WT-SL-MENKOSHI-AGE-FS</t>
        </is>
      </c>
      <c r="D1046" t="inlineStr">
        <is>
          <t>SP-SL-AGE-GRILLE-V</t>
        </is>
      </c>
      <c r="E1046" t="inlineStr">
        <is>
          <t>06913</t>
        </is>
      </c>
      <c r="F1046" t="b">
        <v>1</v>
      </c>
      <c r="G1046" t="n">
        <v>147</v>
      </c>
      <c r="H1046" t="inlineStr">
        <is>
          <t>無印</t>
        </is>
      </c>
      <c r="I1046" t="n">
        <v>147</v>
      </c>
      <c r="J1046" t="inlineStr">
        <is>
          <t>P147|無印</t>
        </is>
      </c>
      <c r="K1046" t="inlineStr">
        <is>
          <t>同頁凡例へ直接連動</t>
        </is>
      </c>
      <c r="L1046" t="inlineStr">
        <is>
          <t>202604_LIXIL_サーモスＬ_業務用資料集_完成品価格表.pdf</t>
        </is>
      </c>
      <c r="M1046" t="inlineStr">
        <is>
          <t>v0.6：同一価格表セクション内で凡例継承を確定。</t>
        </is>
      </c>
      <c r="N1046" t="inlineStr">
        <is>
          <t>https://drive.google.com/file/d/1YUN-mtWYs48YBUHJk0C3vJXnhjyZFHyf/view</t>
        </is>
      </c>
    </row>
    <row r="1047">
      <c r="A1047" s="42" t="inlineStr">
        <is>
          <t>GSC-SL-001044</t>
        </is>
      </c>
      <c r="B1047" t="inlineStr">
        <is>
          <t>SZ-SL-001044</t>
        </is>
      </c>
      <c r="C1047" t="inlineStr">
        <is>
          <t>WT-SL-MENKOSHI-AGE-FS</t>
        </is>
      </c>
      <c r="D1047" t="inlineStr">
        <is>
          <t>SP-SL-AGE-GRILLE-V</t>
        </is>
      </c>
      <c r="E1047" t="inlineStr">
        <is>
          <t>07413</t>
        </is>
      </c>
      <c r="F1047" t="b">
        <v>1</v>
      </c>
      <c r="G1047" t="n">
        <v>147</v>
      </c>
      <c r="H1047" t="inlineStr">
        <is>
          <t>無印</t>
        </is>
      </c>
      <c r="I1047" t="n">
        <v>147</v>
      </c>
      <c r="J1047" t="inlineStr">
        <is>
          <t>P147|無印</t>
        </is>
      </c>
      <c r="K1047" t="inlineStr">
        <is>
          <t>同頁凡例へ直接連動</t>
        </is>
      </c>
      <c r="L1047" t="inlineStr">
        <is>
          <t>202604_LIXIL_サーモスＬ_業務用資料集_完成品価格表.pdf</t>
        </is>
      </c>
      <c r="M1047" t="inlineStr">
        <is>
          <t>v0.6：同一価格表セクション内で凡例継承を確定。</t>
        </is>
      </c>
      <c r="N1047" t="inlineStr">
        <is>
          <t>https://drive.google.com/file/d/1YUN-mtWYs48YBUHJk0C3vJXnhjyZFHyf/view</t>
        </is>
      </c>
    </row>
    <row r="1048">
      <c r="A1048" s="42" t="inlineStr">
        <is>
          <t>GSC-SL-001045</t>
        </is>
      </c>
      <c r="B1048" t="inlineStr">
        <is>
          <t>SZ-SL-001045</t>
        </is>
      </c>
      <c r="C1048" t="inlineStr">
        <is>
          <t>WT-SL-FIX-OUT</t>
        </is>
      </c>
      <c r="E1048" t="inlineStr">
        <is>
          <t>016013</t>
        </is>
      </c>
      <c r="F1048" t="b">
        <v>1</v>
      </c>
      <c r="G1048" t="n">
        <v>148</v>
      </c>
      <c r="H1048" t="inlineStr">
        <is>
          <t>無印</t>
        </is>
      </c>
      <c r="I1048" t="n">
        <v>149</v>
      </c>
      <c r="J1048" t="inlineStr">
        <is>
          <t>P149|無印</t>
        </is>
      </c>
      <c r="K1048" t="inlineStr">
        <is>
          <t>同一価格表・次頁凡例を継承</t>
        </is>
      </c>
      <c r="L1048" t="inlineStr">
        <is>
          <t>202604_LIXIL_サーモスＬ_業務用資料集_完成品価格表.pdf</t>
        </is>
      </c>
      <c r="M1048" t="inlineStr">
        <is>
          <t>v0.6：同一価格表セクション内で凡例継承を確定。</t>
        </is>
      </c>
      <c r="N1048" t="inlineStr">
        <is>
          <t>https://drive.google.com/file/d/1YUN-mtWYs48YBUHJk0C3vJXnhjyZFHyf/view</t>
        </is>
      </c>
    </row>
    <row r="1049">
      <c r="A1049" s="42" t="inlineStr">
        <is>
          <t>GSC-SL-001046</t>
        </is>
      </c>
      <c r="B1049" t="inlineStr">
        <is>
          <t>SZ-SL-001046</t>
        </is>
      </c>
      <c r="C1049" t="inlineStr">
        <is>
          <t>WT-SL-FIX-OUT</t>
        </is>
      </c>
      <c r="E1049" t="inlineStr">
        <is>
          <t>021018</t>
        </is>
      </c>
      <c r="F1049" t="b">
        <v>1</v>
      </c>
      <c r="G1049" t="n">
        <v>148</v>
      </c>
      <c r="H1049" t="inlineStr">
        <is>
          <t>無印</t>
        </is>
      </c>
      <c r="I1049" t="n">
        <v>149</v>
      </c>
      <c r="J1049" t="inlineStr">
        <is>
          <t>P149|無印</t>
        </is>
      </c>
      <c r="K1049" t="inlineStr">
        <is>
          <t>同一価格表・次頁凡例を継承</t>
        </is>
      </c>
      <c r="L1049" t="inlineStr">
        <is>
          <t>202604_LIXIL_サーモスＬ_業務用資料集_完成品価格表.pdf</t>
        </is>
      </c>
      <c r="M1049" t="inlineStr">
        <is>
          <t>v0.6：同一価格表セクション内で凡例継承を確定。</t>
        </is>
      </c>
      <c r="N1049" t="inlineStr">
        <is>
          <t>https://drive.google.com/file/d/1YUN-mtWYs48YBUHJk0C3vJXnhjyZFHyf/view</t>
        </is>
      </c>
    </row>
    <row r="1050">
      <c r="A1050" s="42" t="inlineStr">
        <is>
          <t>GSC-SL-001047</t>
        </is>
      </c>
      <c r="B1050" t="inlineStr">
        <is>
          <t>SZ-SL-001047</t>
        </is>
      </c>
      <c r="C1050" t="inlineStr">
        <is>
          <t>WT-SL-FIX-OUT</t>
        </is>
      </c>
      <c r="E1050" t="inlineStr">
        <is>
          <t>026023</t>
        </is>
      </c>
      <c r="F1050" t="b">
        <v>1</v>
      </c>
      <c r="G1050" t="n">
        <v>148</v>
      </c>
      <c r="H1050" t="inlineStr">
        <is>
          <t>無印</t>
        </is>
      </c>
      <c r="I1050" t="n">
        <v>149</v>
      </c>
      <c r="J1050" t="inlineStr">
        <is>
          <t>P149|無印</t>
        </is>
      </c>
      <c r="K1050" t="inlineStr">
        <is>
          <t>同一価格表・次頁凡例を継承</t>
        </is>
      </c>
      <c r="L1050" t="inlineStr">
        <is>
          <t>202604_LIXIL_サーモスＬ_業務用資料集_完成品価格表.pdf</t>
        </is>
      </c>
      <c r="M1050" t="inlineStr">
        <is>
          <t>v0.6：同一価格表セクション内で凡例継承を確定。</t>
        </is>
      </c>
      <c r="N1050" t="inlineStr">
        <is>
          <t>https://drive.google.com/file/d/1YUN-mtWYs48YBUHJk0C3vJXnhjyZFHyf/view</t>
        </is>
      </c>
    </row>
    <row r="1051">
      <c r="A1051" s="42" t="inlineStr">
        <is>
          <t>GSC-SL-001048</t>
        </is>
      </c>
      <c r="B1051" t="inlineStr">
        <is>
          <t>SZ-SL-001048</t>
        </is>
      </c>
      <c r="C1051" t="inlineStr">
        <is>
          <t>WT-SL-FIX-OUT</t>
        </is>
      </c>
      <c r="E1051" t="inlineStr">
        <is>
          <t>031028</t>
        </is>
      </c>
      <c r="F1051" t="b">
        <v>1</v>
      </c>
      <c r="G1051" t="n">
        <v>149</v>
      </c>
      <c r="H1051" t="inlineStr">
        <is>
          <t>無印</t>
        </is>
      </c>
      <c r="I1051" t="n">
        <v>149</v>
      </c>
      <c r="J1051" t="inlineStr">
        <is>
          <t>P149|無印</t>
        </is>
      </c>
      <c r="K1051" t="inlineStr">
        <is>
          <t>同頁凡例へ直接連動</t>
        </is>
      </c>
      <c r="L1051" t="inlineStr">
        <is>
          <t>202604_LIXIL_サーモスＬ_業務用資料集_完成品価格表.pdf</t>
        </is>
      </c>
      <c r="M1051" t="inlineStr">
        <is>
          <t>v0.6：同一価格表セクション内で凡例継承を確定。</t>
        </is>
      </c>
      <c r="N1051" t="inlineStr">
        <is>
          <t>https://drive.google.com/file/d/1YUN-mtWYs48YBUHJk0C3vJXnhjyZFHyf/view</t>
        </is>
      </c>
    </row>
    <row r="1052">
      <c r="A1052" s="42" t="inlineStr">
        <is>
          <t>GSC-SL-001049</t>
        </is>
      </c>
      <c r="B1052" t="inlineStr">
        <is>
          <t>SZ-SL-001049</t>
        </is>
      </c>
      <c r="C1052" t="inlineStr">
        <is>
          <t>WT-SL-FIX-OUT</t>
        </is>
      </c>
      <c r="E1052" t="inlineStr">
        <is>
          <t>03603</t>
        </is>
      </c>
      <c r="F1052" t="b">
        <v>1</v>
      </c>
      <c r="G1052" t="n">
        <v>149</v>
      </c>
      <c r="H1052" t="inlineStr">
        <is>
          <t>無印</t>
        </is>
      </c>
      <c r="I1052" t="n">
        <v>149</v>
      </c>
      <c r="J1052" t="inlineStr">
        <is>
          <t>P149|無印</t>
        </is>
      </c>
      <c r="K1052" t="inlineStr">
        <is>
          <t>同頁凡例へ直接連動</t>
        </is>
      </c>
      <c r="L1052" t="inlineStr">
        <is>
          <t>202604_LIXIL_サーモスＬ_業務用資料集_完成品価格表.pdf</t>
        </is>
      </c>
      <c r="M1052" t="inlineStr">
        <is>
          <t>v0.6：同一価格表セクション内で凡例継承を確定。</t>
        </is>
      </c>
      <c r="N1052" t="inlineStr">
        <is>
          <t>https://drive.google.com/file/d/1YUN-mtWYs48YBUHJk0C3vJXnhjyZFHyf/view</t>
        </is>
      </c>
    </row>
    <row r="1053">
      <c r="A1053" s="42" t="inlineStr">
        <is>
          <t>GSC-SL-001050</t>
        </is>
      </c>
      <c r="B1053" t="inlineStr">
        <is>
          <t>SZ-SL-001050</t>
        </is>
      </c>
      <c r="C1053" t="inlineStr">
        <is>
          <t>WT-SL-FIX-OUT</t>
        </is>
      </c>
      <c r="E1053" t="inlineStr">
        <is>
          <t>036033</t>
        </is>
      </c>
      <c r="F1053" t="b">
        <v>1</v>
      </c>
      <c r="G1053" t="n">
        <v>149</v>
      </c>
      <c r="H1053" t="inlineStr">
        <is>
          <t>無印</t>
        </is>
      </c>
      <c r="I1053" t="n">
        <v>149</v>
      </c>
      <c r="J1053" t="inlineStr">
        <is>
          <t>P149|無印</t>
        </is>
      </c>
      <c r="K1053" t="inlineStr">
        <is>
          <t>同頁凡例へ直接連動</t>
        </is>
      </c>
      <c r="L1053" t="inlineStr">
        <is>
          <t>202604_LIXIL_サーモスＬ_業務用資料集_完成品価格表.pdf</t>
        </is>
      </c>
      <c r="M1053" t="inlineStr">
        <is>
          <t>v0.6：同一価格表セクション内で凡例継承を確定。</t>
        </is>
      </c>
      <c r="N1053" t="inlineStr">
        <is>
          <t>https://drive.google.com/file/d/1YUN-mtWYs48YBUHJk0C3vJXnhjyZFHyf/view</t>
        </is>
      </c>
    </row>
    <row r="1054">
      <c r="A1054" s="42" t="inlineStr">
        <is>
          <t>GSC-SL-001051</t>
        </is>
      </c>
      <c r="B1054" t="inlineStr">
        <is>
          <t>SZ-SL-001051</t>
        </is>
      </c>
      <c r="C1054" t="inlineStr">
        <is>
          <t>WT-SL-FIX-OUT</t>
        </is>
      </c>
      <c r="E1054" t="inlineStr">
        <is>
          <t>06003</t>
        </is>
      </c>
      <c r="F1054" t="b">
        <v>1</v>
      </c>
      <c r="G1054" t="n">
        <v>149</v>
      </c>
      <c r="H1054" t="inlineStr">
        <is>
          <t>無印</t>
        </is>
      </c>
      <c r="I1054" t="n">
        <v>149</v>
      </c>
      <c r="J1054" t="inlineStr">
        <is>
          <t>P149|無印</t>
        </is>
      </c>
      <c r="K1054" t="inlineStr">
        <is>
          <t>同頁凡例へ直接連動</t>
        </is>
      </c>
      <c r="L1054" t="inlineStr">
        <is>
          <t>202604_LIXIL_サーモスＬ_業務用資料集_完成品価格表.pdf</t>
        </is>
      </c>
      <c r="M1054" t="inlineStr">
        <is>
          <t>v0.6：同一価格表セクション内で凡例継承を確定。</t>
        </is>
      </c>
      <c r="N1054" t="inlineStr">
        <is>
          <t>https://drive.google.com/file/d/1YUN-mtWYs48YBUHJk0C3vJXnhjyZFHyf/view</t>
        </is>
      </c>
    </row>
    <row r="1055">
      <c r="A1055" s="42" t="inlineStr">
        <is>
          <t>GSC-SL-001052</t>
        </is>
      </c>
      <c r="B1055" t="inlineStr">
        <is>
          <t>SZ-SL-001052</t>
        </is>
      </c>
      <c r="C1055" t="inlineStr">
        <is>
          <t>WT-SL-FIX-OUT</t>
        </is>
      </c>
      <c r="E1055" t="inlineStr">
        <is>
          <t>069018</t>
        </is>
      </c>
      <c r="F1055" t="b">
        <v>1</v>
      </c>
      <c r="G1055" t="n">
        <v>150</v>
      </c>
      <c r="H1055" t="inlineStr">
        <is>
          <t>無印</t>
        </is>
      </c>
      <c r="I1055" t="n">
        <v>151</v>
      </c>
      <c r="J1055" t="inlineStr">
        <is>
          <t>P151|無印</t>
        </is>
      </c>
      <c r="K1055" t="inlineStr">
        <is>
          <t>同一価格表・次頁凡例を継承</t>
        </is>
      </c>
      <c r="L1055" t="inlineStr">
        <is>
          <t>202604_LIXIL_サーモスＬ_業務用資料集_完成品価格表.pdf</t>
        </is>
      </c>
      <c r="M1055" t="inlineStr">
        <is>
          <t>v0.6：同一価格表セクション内で凡例継承を確定。</t>
        </is>
      </c>
      <c r="N1055" t="inlineStr">
        <is>
          <t>https://drive.google.com/file/d/1YUN-mtWYs48YBUHJk0C3vJXnhjyZFHyf/view</t>
        </is>
      </c>
    </row>
    <row r="1056">
      <c r="A1056" s="42" t="inlineStr">
        <is>
          <t>GSC-SL-001053</t>
        </is>
      </c>
      <c r="B1056" t="inlineStr">
        <is>
          <t>SZ-SL-001053</t>
        </is>
      </c>
      <c r="C1056" t="inlineStr">
        <is>
          <t>WT-SL-FIX-OUT</t>
        </is>
      </c>
      <c r="E1056" t="inlineStr">
        <is>
          <t>069023</t>
        </is>
      </c>
      <c r="F1056" t="b">
        <v>1</v>
      </c>
      <c r="G1056" t="n">
        <v>150</v>
      </c>
      <c r="H1056" t="inlineStr">
        <is>
          <t>無印</t>
        </is>
      </c>
      <c r="I1056" t="n">
        <v>151</v>
      </c>
      <c r="J1056" t="inlineStr">
        <is>
          <t>P151|無印</t>
        </is>
      </c>
      <c r="K1056" t="inlineStr">
        <is>
          <t>同一価格表・次頁凡例を継承</t>
        </is>
      </c>
      <c r="L1056" t="inlineStr">
        <is>
          <t>202604_LIXIL_サーモスＬ_業務用資料集_完成品価格表.pdf</t>
        </is>
      </c>
      <c r="M1056" t="inlineStr">
        <is>
          <t>v0.6：同一価格表セクション内で凡例継承を確定。</t>
        </is>
      </c>
      <c r="N1056" t="inlineStr">
        <is>
          <t>https://drive.google.com/file/d/1YUN-mtWYs48YBUHJk0C3vJXnhjyZFHyf/view</t>
        </is>
      </c>
    </row>
    <row r="1057">
      <c r="A1057" s="42" t="inlineStr">
        <is>
          <t>GSC-SL-001054</t>
        </is>
      </c>
      <c r="B1057" t="inlineStr">
        <is>
          <t>SZ-SL-001054</t>
        </is>
      </c>
      <c r="C1057" t="inlineStr">
        <is>
          <t>WT-SL-FIX-OUT</t>
        </is>
      </c>
      <c r="E1057" t="inlineStr">
        <is>
          <t>069028</t>
        </is>
      </c>
      <c r="F1057" t="b">
        <v>1</v>
      </c>
      <c r="G1057" t="n">
        <v>150</v>
      </c>
      <c r="H1057" t="inlineStr">
        <is>
          <t>無印</t>
        </is>
      </c>
      <c r="I1057" t="n">
        <v>151</v>
      </c>
      <c r="J1057" t="inlineStr">
        <is>
          <t>P151|無印</t>
        </is>
      </c>
      <c r="K1057" t="inlineStr">
        <is>
          <t>同一価格表・次頁凡例を継承</t>
        </is>
      </c>
      <c r="L1057" t="inlineStr">
        <is>
          <t>202604_LIXIL_サーモスＬ_業務用資料集_完成品価格表.pdf</t>
        </is>
      </c>
      <c r="M1057" t="inlineStr">
        <is>
          <t>v0.6：同一価格表セクション内で凡例継承を確定。</t>
        </is>
      </c>
      <c r="N1057" t="inlineStr">
        <is>
          <t>https://drive.google.com/file/d/1YUN-mtWYs48YBUHJk0C3vJXnhjyZFHyf/view</t>
        </is>
      </c>
    </row>
    <row r="1058">
      <c r="A1058" s="42" t="inlineStr">
        <is>
          <t>GSC-SL-001055</t>
        </is>
      </c>
      <c r="B1058" t="inlineStr">
        <is>
          <t>SZ-SL-001055</t>
        </is>
      </c>
      <c r="C1058" t="inlineStr">
        <is>
          <t>WT-SL-FIX-OUT</t>
        </is>
      </c>
      <c r="E1058" t="inlineStr">
        <is>
          <t>074018</t>
        </is>
      </c>
      <c r="F1058" t="b">
        <v>1</v>
      </c>
      <c r="G1058" t="n">
        <v>150</v>
      </c>
      <c r="H1058" t="inlineStr">
        <is>
          <t>無印</t>
        </is>
      </c>
      <c r="I1058" t="n">
        <v>151</v>
      </c>
      <c r="J1058" t="inlineStr">
        <is>
          <t>P151|無印</t>
        </is>
      </c>
      <c r="K1058" t="inlineStr">
        <is>
          <t>同一価格表・次頁凡例を継承</t>
        </is>
      </c>
      <c r="L1058" t="inlineStr">
        <is>
          <t>202604_LIXIL_サーモスＬ_業務用資料集_完成品価格表.pdf</t>
        </is>
      </c>
      <c r="M1058" t="inlineStr">
        <is>
          <t>v0.6：同一価格表セクション内で凡例継承を確定。</t>
        </is>
      </c>
      <c r="N1058" t="inlineStr">
        <is>
          <t>https://drive.google.com/file/d/1YUN-mtWYs48YBUHJk0C3vJXnhjyZFHyf/view</t>
        </is>
      </c>
    </row>
    <row r="1059">
      <c r="A1059" s="42" t="inlineStr">
        <is>
          <t>GSC-SL-001056</t>
        </is>
      </c>
      <c r="B1059" t="inlineStr">
        <is>
          <t>SZ-SL-001056</t>
        </is>
      </c>
      <c r="C1059" t="inlineStr">
        <is>
          <t>WT-SL-FIX-OUT</t>
        </is>
      </c>
      <c r="E1059" t="inlineStr">
        <is>
          <t>074023</t>
        </is>
      </c>
      <c r="F1059" t="b">
        <v>1</v>
      </c>
      <c r="G1059" t="n">
        <v>150</v>
      </c>
      <c r="H1059" t="inlineStr">
        <is>
          <t>無印</t>
        </is>
      </c>
      <c r="I1059" t="n">
        <v>151</v>
      </c>
      <c r="J1059" t="inlineStr">
        <is>
          <t>P151|無印</t>
        </is>
      </c>
      <c r="K1059" t="inlineStr">
        <is>
          <t>同一価格表・次頁凡例を継承</t>
        </is>
      </c>
      <c r="L1059" t="inlineStr">
        <is>
          <t>202604_LIXIL_サーモスＬ_業務用資料集_完成品価格表.pdf</t>
        </is>
      </c>
      <c r="M1059" t="inlineStr">
        <is>
          <t>v0.6：同一価格表セクション内で凡例継承を確定。</t>
        </is>
      </c>
      <c r="N1059" t="inlineStr">
        <is>
          <t>https://drive.google.com/file/d/1YUN-mtWYs48YBUHJk0C3vJXnhjyZFHyf/view</t>
        </is>
      </c>
    </row>
    <row r="1060">
      <c r="A1060" s="42" t="inlineStr">
        <is>
          <t>GSC-SL-001057</t>
        </is>
      </c>
      <c r="B1060" t="inlineStr">
        <is>
          <t>SZ-SL-001057</t>
        </is>
      </c>
      <c r="C1060" t="inlineStr">
        <is>
          <t>WT-SL-FIX-OUT</t>
        </is>
      </c>
      <c r="E1060" t="inlineStr">
        <is>
          <t>074028</t>
        </is>
      </c>
      <c r="F1060" t="b">
        <v>1</v>
      </c>
      <c r="G1060" t="n">
        <v>150</v>
      </c>
      <c r="H1060" t="inlineStr">
        <is>
          <t>無印</t>
        </is>
      </c>
      <c r="I1060" t="n">
        <v>151</v>
      </c>
      <c r="J1060" t="inlineStr">
        <is>
          <t>P151|無印</t>
        </is>
      </c>
      <c r="K1060" t="inlineStr">
        <is>
          <t>同一価格表・次頁凡例を継承</t>
        </is>
      </c>
      <c r="L1060" t="inlineStr">
        <is>
          <t>202604_LIXIL_サーモスＬ_業務用資料集_完成品価格表.pdf</t>
        </is>
      </c>
      <c r="M1060" t="inlineStr">
        <is>
          <t>v0.6：同一価格表セクション内で凡例継承を確定。</t>
        </is>
      </c>
      <c r="N1060" t="inlineStr">
        <is>
          <t>https://drive.google.com/file/d/1YUN-mtWYs48YBUHJk0C3vJXnhjyZFHyf/view</t>
        </is>
      </c>
    </row>
    <row r="1061">
      <c r="A1061" s="42" t="inlineStr">
        <is>
          <t>GSC-SL-001058</t>
        </is>
      </c>
      <c r="B1061" t="inlineStr">
        <is>
          <t>SZ-SL-001058</t>
        </is>
      </c>
      <c r="C1061" t="inlineStr">
        <is>
          <t>WT-SL-FIX-OUT</t>
        </is>
      </c>
      <c r="E1061" t="inlineStr">
        <is>
          <t>07403</t>
        </is>
      </c>
      <c r="F1061" t="b">
        <v>1</v>
      </c>
      <c r="G1061" t="n">
        <v>150</v>
      </c>
      <c r="H1061" t="inlineStr">
        <is>
          <t>無印</t>
        </is>
      </c>
      <c r="I1061" t="n">
        <v>151</v>
      </c>
      <c r="J1061" t="inlineStr">
        <is>
          <t>P151|無印</t>
        </is>
      </c>
      <c r="K1061" t="inlineStr">
        <is>
          <t>同一価格表・次頁凡例を継承</t>
        </is>
      </c>
      <c r="L1061" t="inlineStr">
        <is>
          <t>202604_LIXIL_サーモスＬ_業務用資料集_完成品価格表.pdf</t>
        </is>
      </c>
      <c r="M1061" t="inlineStr">
        <is>
          <t>v0.6：同一価格表セクション内で凡例継承を確定。</t>
        </is>
      </c>
      <c r="N1061" t="inlineStr">
        <is>
          <t>https://drive.google.com/file/d/1YUN-mtWYs48YBUHJk0C3vJXnhjyZFHyf/view</t>
        </is>
      </c>
    </row>
    <row r="1062">
      <c r="A1062" s="42" t="inlineStr">
        <is>
          <t>GSC-SL-001059</t>
        </is>
      </c>
      <c r="B1062" t="inlineStr">
        <is>
          <t>SZ-SL-001059</t>
        </is>
      </c>
      <c r="C1062" t="inlineStr">
        <is>
          <t>WT-SL-FIX-OUT</t>
        </is>
      </c>
      <c r="E1062" t="inlineStr">
        <is>
          <t>114018</t>
        </is>
      </c>
      <c r="F1062" t="b">
        <v>1</v>
      </c>
      <c r="G1062" t="n">
        <v>150</v>
      </c>
      <c r="H1062" t="inlineStr">
        <is>
          <t>無印</t>
        </is>
      </c>
      <c r="I1062" t="n">
        <v>151</v>
      </c>
      <c r="J1062" t="inlineStr">
        <is>
          <t>P151|無印</t>
        </is>
      </c>
      <c r="K1062" t="inlineStr">
        <is>
          <t>同一価格表・次頁凡例を継承</t>
        </is>
      </c>
      <c r="L1062" t="inlineStr">
        <is>
          <t>202604_LIXIL_サーモスＬ_業務用資料集_完成品価格表.pdf</t>
        </is>
      </c>
      <c r="M1062" t="inlineStr">
        <is>
          <t>v0.6：同一価格表セクション内で凡例継承を確定。</t>
        </is>
      </c>
      <c r="N1062" t="inlineStr">
        <is>
          <t>https://drive.google.com/file/d/1YUN-mtWYs48YBUHJk0C3vJXnhjyZFHyf/view</t>
        </is>
      </c>
    </row>
    <row r="1063">
      <c r="A1063" s="42" t="inlineStr">
        <is>
          <t>GSC-SL-001060</t>
        </is>
      </c>
      <c r="B1063" t="inlineStr">
        <is>
          <t>SZ-SL-001060</t>
        </is>
      </c>
      <c r="C1063" t="inlineStr">
        <is>
          <t>WT-SL-FIX-OUT</t>
        </is>
      </c>
      <c r="E1063" t="inlineStr">
        <is>
          <t>114023</t>
        </is>
      </c>
      <c r="F1063" t="b">
        <v>1</v>
      </c>
      <c r="G1063" t="n">
        <v>150</v>
      </c>
      <c r="H1063" t="inlineStr">
        <is>
          <t>無印</t>
        </is>
      </c>
      <c r="I1063" t="n">
        <v>151</v>
      </c>
      <c r="J1063" t="inlineStr">
        <is>
          <t>P151|無印</t>
        </is>
      </c>
      <c r="K1063" t="inlineStr">
        <is>
          <t>同一価格表・次頁凡例を継承</t>
        </is>
      </c>
      <c r="L1063" t="inlineStr">
        <is>
          <t>202604_LIXIL_サーモスＬ_業務用資料集_完成品価格表.pdf</t>
        </is>
      </c>
      <c r="M1063" t="inlineStr">
        <is>
          <t>v0.6：同一価格表セクション内で凡例継承を確定。</t>
        </is>
      </c>
      <c r="N1063" t="inlineStr">
        <is>
          <t>https://drive.google.com/file/d/1YUN-mtWYs48YBUHJk0C3vJXnhjyZFHyf/view</t>
        </is>
      </c>
    </row>
    <row r="1064">
      <c r="A1064" s="42" t="inlineStr">
        <is>
          <t>GSC-SL-001061</t>
        </is>
      </c>
      <c r="B1064" t="inlineStr">
        <is>
          <t>SZ-SL-001061</t>
        </is>
      </c>
      <c r="C1064" t="inlineStr">
        <is>
          <t>WT-SL-FIX-OUT</t>
        </is>
      </c>
      <c r="E1064" t="inlineStr">
        <is>
          <t>114028</t>
        </is>
      </c>
      <c r="F1064" t="b">
        <v>1</v>
      </c>
      <c r="G1064" t="n">
        <v>150</v>
      </c>
      <c r="H1064" t="inlineStr">
        <is>
          <t>無印</t>
        </is>
      </c>
      <c r="I1064" t="n">
        <v>151</v>
      </c>
      <c r="J1064" t="inlineStr">
        <is>
          <t>P151|無印</t>
        </is>
      </c>
      <c r="K1064" t="inlineStr">
        <is>
          <t>同一価格表・次頁凡例を継承</t>
        </is>
      </c>
      <c r="L1064" t="inlineStr">
        <is>
          <t>202604_LIXIL_サーモスＬ_業務用資料集_完成品価格表.pdf</t>
        </is>
      </c>
      <c r="M1064" t="inlineStr">
        <is>
          <t>v0.6：同一価格表セクション内で凡例継承を確定。</t>
        </is>
      </c>
      <c r="N1064" t="inlineStr">
        <is>
          <t>https://drive.google.com/file/d/1YUN-mtWYs48YBUHJk0C3vJXnhjyZFHyf/view</t>
        </is>
      </c>
    </row>
    <row r="1065">
      <c r="A1065" s="42" t="inlineStr">
        <is>
          <t>GSC-SL-001062</t>
        </is>
      </c>
      <c r="B1065" t="inlineStr">
        <is>
          <t>SZ-SL-001062</t>
        </is>
      </c>
      <c r="C1065" t="inlineStr">
        <is>
          <t>WT-SL-FIX-OUT</t>
        </is>
      </c>
      <c r="E1065" t="inlineStr">
        <is>
          <t>119018</t>
        </is>
      </c>
      <c r="F1065" t="b">
        <v>1</v>
      </c>
      <c r="G1065" t="n">
        <v>151</v>
      </c>
      <c r="H1065" t="inlineStr">
        <is>
          <t>無印</t>
        </is>
      </c>
      <c r="I1065" t="n">
        <v>151</v>
      </c>
      <c r="J1065" t="inlineStr">
        <is>
          <t>P151|無印</t>
        </is>
      </c>
      <c r="K1065" t="inlineStr">
        <is>
          <t>同頁凡例へ直接連動</t>
        </is>
      </c>
      <c r="L1065" t="inlineStr">
        <is>
          <t>202604_LIXIL_サーモスＬ_業務用資料集_完成品価格表.pdf</t>
        </is>
      </c>
      <c r="M1065" t="inlineStr">
        <is>
          <t>v0.6：同一価格表セクション内で凡例継承を確定。</t>
        </is>
      </c>
      <c r="N1065" t="inlineStr">
        <is>
          <t>https://drive.google.com/file/d/1YUN-mtWYs48YBUHJk0C3vJXnhjyZFHyf/view</t>
        </is>
      </c>
    </row>
    <row r="1066">
      <c r="A1066" s="42" t="inlineStr">
        <is>
          <t>GSC-SL-001063</t>
        </is>
      </c>
      <c r="B1066" t="inlineStr">
        <is>
          <t>SZ-SL-001063</t>
        </is>
      </c>
      <c r="C1066" t="inlineStr">
        <is>
          <t>WT-SL-FIX-OUT</t>
        </is>
      </c>
      <c r="E1066" t="inlineStr">
        <is>
          <t>119023</t>
        </is>
      </c>
      <c r="F1066" t="b">
        <v>1</v>
      </c>
      <c r="G1066" t="n">
        <v>151</v>
      </c>
      <c r="H1066" t="inlineStr">
        <is>
          <t>無印</t>
        </is>
      </c>
      <c r="I1066" t="n">
        <v>151</v>
      </c>
      <c r="J1066" t="inlineStr">
        <is>
          <t>P151|無印</t>
        </is>
      </c>
      <c r="K1066" t="inlineStr">
        <is>
          <t>同頁凡例へ直接連動</t>
        </is>
      </c>
      <c r="L1066" t="inlineStr">
        <is>
          <t>202604_LIXIL_サーモスＬ_業務用資料集_完成品価格表.pdf</t>
        </is>
      </c>
      <c r="M1066" t="inlineStr">
        <is>
          <t>v0.6：同一価格表セクション内で凡例継承を確定。</t>
        </is>
      </c>
      <c r="N1066" t="inlineStr">
        <is>
          <t>https://drive.google.com/file/d/1YUN-mtWYs48YBUHJk0C3vJXnhjyZFHyf/view</t>
        </is>
      </c>
    </row>
    <row r="1067">
      <c r="A1067" s="42" t="inlineStr">
        <is>
          <t>GSC-SL-001064</t>
        </is>
      </c>
      <c r="B1067" t="inlineStr">
        <is>
          <t>SZ-SL-001064</t>
        </is>
      </c>
      <c r="C1067" t="inlineStr">
        <is>
          <t>WT-SL-FIX-OUT</t>
        </is>
      </c>
      <c r="E1067" t="inlineStr">
        <is>
          <t>119028</t>
        </is>
      </c>
      <c r="F1067" t="b">
        <v>1</v>
      </c>
      <c r="G1067" t="n">
        <v>151</v>
      </c>
      <c r="H1067" t="inlineStr">
        <is>
          <t>無印</t>
        </is>
      </c>
      <c r="I1067" t="n">
        <v>151</v>
      </c>
      <c r="J1067" t="inlineStr">
        <is>
          <t>P151|無印</t>
        </is>
      </c>
      <c r="K1067" t="inlineStr">
        <is>
          <t>同頁凡例へ直接連動</t>
        </is>
      </c>
      <c r="L1067" t="inlineStr">
        <is>
          <t>202604_LIXIL_サーモスＬ_業務用資料集_完成品価格表.pdf</t>
        </is>
      </c>
      <c r="M1067" t="inlineStr">
        <is>
          <t>v0.6：同一価格表セクション内で凡例継承を確定。</t>
        </is>
      </c>
      <c r="N1067" t="inlineStr">
        <is>
          <t>https://drive.google.com/file/d/1YUN-mtWYs48YBUHJk0C3vJXnhjyZFHyf/view</t>
        </is>
      </c>
    </row>
    <row r="1068">
      <c r="A1068" s="42" t="inlineStr">
        <is>
          <t>GSC-SL-001065</t>
        </is>
      </c>
      <c r="B1068" t="inlineStr">
        <is>
          <t>SZ-SL-001065</t>
        </is>
      </c>
      <c r="C1068" t="inlineStr">
        <is>
          <t>WT-SL-FIX-OUT</t>
        </is>
      </c>
      <c r="E1068" t="inlineStr">
        <is>
          <t>11903</t>
        </is>
      </c>
      <c r="F1068" t="b">
        <v>1</v>
      </c>
      <c r="G1068" t="n">
        <v>151</v>
      </c>
      <c r="H1068" t="inlineStr">
        <is>
          <t>無印</t>
        </is>
      </c>
      <c r="I1068" t="n">
        <v>151</v>
      </c>
      <c r="J1068" t="inlineStr">
        <is>
          <t>P151|無印</t>
        </is>
      </c>
      <c r="K1068" t="inlineStr">
        <is>
          <t>同頁凡例へ直接連動</t>
        </is>
      </c>
      <c r="L1068" t="inlineStr">
        <is>
          <t>202604_LIXIL_サーモスＬ_業務用資料集_完成品価格表.pdf</t>
        </is>
      </c>
      <c r="M1068" t="inlineStr">
        <is>
          <t>v0.6：同一価格表セクション内で凡例継承を確定。</t>
        </is>
      </c>
      <c r="N1068" t="inlineStr">
        <is>
          <t>https://drive.google.com/file/d/1YUN-mtWYs48YBUHJk0C3vJXnhjyZFHyf/view</t>
        </is>
      </c>
    </row>
    <row r="1069">
      <c r="A1069" s="42" t="inlineStr">
        <is>
          <t>GSC-SL-001066</t>
        </is>
      </c>
      <c r="B1069" t="inlineStr">
        <is>
          <t>SZ-SL-001066</t>
        </is>
      </c>
      <c r="C1069" t="inlineStr">
        <is>
          <t>WT-SL-FIX-OUT</t>
        </is>
      </c>
      <c r="E1069" t="inlineStr">
        <is>
          <t>160018</t>
        </is>
      </c>
      <c r="F1069" t="b">
        <v>1</v>
      </c>
      <c r="G1069" t="n">
        <v>151</v>
      </c>
      <c r="H1069" t="inlineStr">
        <is>
          <t>無印</t>
        </is>
      </c>
      <c r="I1069" t="n">
        <v>151</v>
      </c>
      <c r="J1069" t="inlineStr">
        <is>
          <t>P151|無印</t>
        </is>
      </c>
      <c r="K1069" t="inlineStr">
        <is>
          <t>同頁凡例へ直接連動</t>
        </is>
      </c>
      <c r="L1069" t="inlineStr">
        <is>
          <t>202604_LIXIL_サーモスＬ_業務用資料集_完成品価格表.pdf</t>
        </is>
      </c>
      <c r="M1069" t="inlineStr">
        <is>
          <t>v0.6：同一価格表セクション内で凡例継承を確定。</t>
        </is>
      </c>
      <c r="N1069" t="inlineStr">
        <is>
          <t>https://drive.google.com/file/d/1YUN-mtWYs48YBUHJk0C3vJXnhjyZFHyf/view</t>
        </is>
      </c>
    </row>
    <row r="1070">
      <c r="A1070" s="42" t="inlineStr">
        <is>
          <t>GSC-SL-001067</t>
        </is>
      </c>
      <c r="B1070" t="inlineStr">
        <is>
          <t>SZ-SL-001067</t>
        </is>
      </c>
      <c r="C1070" t="inlineStr">
        <is>
          <t>WT-SL-FIX-OUT</t>
        </is>
      </c>
      <c r="E1070" t="inlineStr">
        <is>
          <t>160023</t>
        </is>
      </c>
      <c r="F1070" t="b">
        <v>1</v>
      </c>
      <c r="G1070" t="n">
        <v>151</v>
      </c>
      <c r="H1070" t="inlineStr">
        <is>
          <t>無印</t>
        </is>
      </c>
      <c r="I1070" t="n">
        <v>151</v>
      </c>
      <c r="J1070" t="inlineStr">
        <is>
          <t>P151|無印</t>
        </is>
      </c>
      <c r="K1070" t="inlineStr">
        <is>
          <t>同頁凡例へ直接連動</t>
        </is>
      </c>
      <c r="L1070" t="inlineStr">
        <is>
          <t>202604_LIXIL_サーモスＬ_業務用資料集_完成品価格表.pdf</t>
        </is>
      </c>
      <c r="M1070" t="inlineStr">
        <is>
          <t>v0.6：同一価格表セクション内で凡例継承を確定。</t>
        </is>
      </c>
      <c r="N1070" t="inlineStr">
        <is>
          <t>https://drive.google.com/file/d/1YUN-mtWYs48YBUHJk0C3vJXnhjyZFHyf/view</t>
        </is>
      </c>
    </row>
    <row r="1071">
      <c r="A1071" s="42" t="inlineStr">
        <is>
          <t>GSC-SL-001068</t>
        </is>
      </c>
      <c r="B1071" t="inlineStr">
        <is>
          <t>SZ-SL-001068</t>
        </is>
      </c>
      <c r="C1071" t="inlineStr">
        <is>
          <t>WT-SL-FIX-OUT</t>
        </is>
      </c>
      <c r="E1071" t="inlineStr">
        <is>
          <t>160028</t>
        </is>
      </c>
      <c r="F1071" t="b">
        <v>1</v>
      </c>
      <c r="G1071" t="n">
        <v>151</v>
      </c>
      <c r="H1071" t="inlineStr">
        <is>
          <t>無印</t>
        </is>
      </c>
      <c r="I1071" t="n">
        <v>151</v>
      </c>
      <c r="J1071" t="inlineStr">
        <is>
          <t>P151|無印</t>
        </is>
      </c>
      <c r="K1071" t="inlineStr">
        <is>
          <t>同頁凡例へ直接連動</t>
        </is>
      </c>
      <c r="L1071" t="inlineStr">
        <is>
          <t>202604_LIXIL_サーモスＬ_業務用資料集_完成品価格表.pdf</t>
        </is>
      </c>
      <c r="M1071" t="inlineStr">
        <is>
          <t>v0.6：同一価格表セクション内で凡例継承を確定。</t>
        </is>
      </c>
      <c r="N1071" t="inlineStr">
        <is>
          <t>https://drive.google.com/file/d/1YUN-mtWYs48YBUHJk0C3vJXnhjyZFHyf/view</t>
        </is>
      </c>
    </row>
    <row r="1072">
      <c r="A1072" s="42" t="inlineStr">
        <is>
          <t>GSC-SL-001069</t>
        </is>
      </c>
      <c r="B1072" t="inlineStr">
        <is>
          <t>SZ-SL-001069</t>
        </is>
      </c>
      <c r="C1072" t="inlineStr">
        <is>
          <t>WT-SL-FIX-OUT</t>
        </is>
      </c>
      <c r="E1072" t="inlineStr">
        <is>
          <t>165018</t>
        </is>
      </c>
      <c r="F1072" t="b">
        <v>1</v>
      </c>
      <c r="G1072" t="n">
        <v>151</v>
      </c>
      <c r="H1072" t="inlineStr">
        <is>
          <t>無印</t>
        </is>
      </c>
      <c r="I1072" t="n">
        <v>151</v>
      </c>
      <c r="J1072" t="inlineStr">
        <is>
          <t>P151|無印</t>
        </is>
      </c>
      <c r="K1072" t="inlineStr">
        <is>
          <t>同頁凡例へ直接連動</t>
        </is>
      </c>
      <c r="L1072" t="inlineStr">
        <is>
          <t>202604_LIXIL_サーモスＬ_業務用資料集_完成品価格表.pdf</t>
        </is>
      </c>
      <c r="M1072" t="inlineStr">
        <is>
          <t>v0.6：同一価格表セクション内で凡例継承を確定。</t>
        </is>
      </c>
      <c r="N1072" t="inlineStr">
        <is>
          <t>https://drive.google.com/file/d/1YUN-mtWYs48YBUHJk0C3vJXnhjyZFHyf/view</t>
        </is>
      </c>
    </row>
    <row r="1073">
      <c r="A1073" s="42" t="inlineStr">
        <is>
          <t>GSC-SL-001070</t>
        </is>
      </c>
      <c r="B1073" t="inlineStr">
        <is>
          <t>SZ-SL-001070</t>
        </is>
      </c>
      <c r="C1073" t="inlineStr">
        <is>
          <t>WT-SL-FIX-OUT</t>
        </is>
      </c>
      <c r="E1073" t="inlineStr">
        <is>
          <t>165023</t>
        </is>
      </c>
      <c r="F1073" t="b">
        <v>1</v>
      </c>
      <c r="G1073" t="n">
        <v>151</v>
      </c>
      <c r="H1073" t="inlineStr">
        <is>
          <t>無印</t>
        </is>
      </c>
      <c r="I1073" t="n">
        <v>151</v>
      </c>
      <c r="J1073" t="inlineStr">
        <is>
          <t>P151|無印</t>
        </is>
      </c>
      <c r="K1073" t="inlineStr">
        <is>
          <t>同頁凡例へ直接連動</t>
        </is>
      </c>
      <c r="L1073" t="inlineStr">
        <is>
          <t>202604_LIXIL_サーモスＬ_業務用資料集_完成品価格表.pdf</t>
        </is>
      </c>
      <c r="M1073" t="inlineStr">
        <is>
          <t>v0.6：同一価格表セクション内で凡例継承を確定。</t>
        </is>
      </c>
      <c r="N1073" t="inlineStr">
        <is>
          <t>https://drive.google.com/file/d/1YUN-mtWYs48YBUHJk0C3vJXnhjyZFHyf/view</t>
        </is>
      </c>
    </row>
    <row r="1074">
      <c r="A1074" s="42" t="inlineStr">
        <is>
          <t>GSC-SL-001071</t>
        </is>
      </c>
      <c r="B1074" t="inlineStr">
        <is>
          <t>SZ-SL-001071</t>
        </is>
      </c>
      <c r="C1074" t="inlineStr">
        <is>
          <t>WT-SL-FIX-OUT</t>
        </is>
      </c>
      <c r="E1074" t="inlineStr">
        <is>
          <t>165028</t>
        </is>
      </c>
      <c r="F1074" t="b">
        <v>1</v>
      </c>
      <c r="G1074" t="n">
        <v>151</v>
      </c>
      <c r="H1074" t="inlineStr">
        <is>
          <t>無印</t>
        </is>
      </c>
      <c r="I1074" t="n">
        <v>151</v>
      </c>
      <c r="J1074" t="inlineStr">
        <is>
          <t>P151|無印</t>
        </is>
      </c>
      <c r="K1074" t="inlineStr">
        <is>
          <t>同頁凡例へ直接連動</t>
        </is>
      </c>
      <c r="L1074" t="inlineStr">
        <is>
          <t>202604_LIXIL_サーモスＬ_業務用資料集_完成品価格表.pdf</t>
        </is>
      </c>
      <c r="M1074" t="inlineStr">
        <is>
          <t>v0.6：同一価格表セクション内で凡例継承を確定。</t>
        </is>
      </c>
      <c r="N1074" t="inlineStr">
        <is>
          <t>https://drive.google.com/file/d/1YUN-mtWYs48YBUHJk0C3vJXnhjyZFHyf/view</t>
        </is>
      </c>
    </row>
    <row r="1075">
      <c r="A1075" s="42" t="inlineStr">
        <is>
          <t>GSC-SL-001072</t>
        </is>
      </c>
      <c r="B1075" t="inlineStr">
        <is>
          <t>SZ-SL-001072</t>
        </is>
      </c>
      <c r="C1075" t="inlineStr">
        <is>
          <t>WT-SL-FIX-OUT</t>
        </is>
      </c>
      <c r="E1075" t="inlineStr">
        <is>
          <t>03605</t>
        </is>
      </c>
      <c r="F1075" t="b">
        <v>1</v>
      </c>
      <c r="G1075" t="n">
        <v>153</v>
      </c>
      <c r="H1075" t="inlineStr">
        <is>
          <t>無印</t>
        </is>
      </c>
      <c r="I1075" t="n">
        <v>152</v>
      </c>
      <c r="J1075" t="inlineStr">
        <is>
          <t>P152|無印</t>
        </is>
      </c>
      <c r="K1075" t="inlineStr">
        <is>
          <t>同一価格表・前頁凡例を継承</t>
        </is>
      </c>
      <c r="L1075" t="inlineStr">
        <is>
          <t>202604_LIXIL_サーモスＬ_業務用資料集_完成品価格表.pdf</t>
        </is>
      </c>
      <c r="M1075" t="inlineStr">
        <is>
          <t>v0.6：同一価格表セクション内で凡例継承を確定。</t>
        </is>
      </c>
      <c r="N1075" t="inlineStr">
        <is>
          <t>https://drive.google.com/file/d/1YUN-mtWYs48YBUHJk0C3vJXnhjyZFHyf/view</t>
        </is>
      </c>
    </row>
    <row r="1076">
      <c r="A1076" s="42" t="inlineStr">
        <is>
          <t>GSC-SL-001073</t>
        </is>
      </c>
      <c r="B1076" t="inlineStr">
        <is>
          <t>SZ-SL-001073</t>
        </is>
      </c>
      <c r="C1076" t="inlineStr">
        <is>
          <t>WT-SL-FIX-OUT</t>
        </is>
      </c>
      <c r="E1076" t="inlineStr">
        <is>
          <t>03607</t>
        </is>
      </c>
      <c r="F1076" t="b">
        <v>1</v>
      </c>
      <c r="G1076" t="n">
        <v>153</v>
      </c>
      <c r="H1076" t="inlineStr">
        <is>
          <t>無印</t>
        </is>
      </c>
      <c r="I1076" t="n">
        <v>152</v>
      </c>
      <c r="J1076" t="inlineStr">
        <is>
          <t>P152|無印</t>
        </is>
      </c>
      <c r="K1076" t="inlineStr">
        <is>
          <t>同一価格表・前頁凡例を継承</t>
        </is>
      </c>
      <c r="L1076" t="inlineStr">
        <is>
          <t>202604_LIXIL_サーモスＬ_業務用資料集_完成品価格表.pdf</t>
        </is>
      </c>
      <c r="M1076" t="inlineStr">
        <is>
          <t>v0.6：同一価格表セクション内で凡例継承を確定。</t>
        </is>
      </c>
      <c r="N1076" t="inlineStr">
        <is>
          <t>https://drive.google.com/file/d/1YUN-mtWYs48YBUHJk0C3vJXnhjyZFHyf/view</t>
        </is>
      </c>
    </row>
    <row r="1077">
      <c r="A1077" s="42" t="inlineStr">
        <is>
          <t>GSC-SL-001074</t>
        </is>
      </c>
      <c r="B1077" t="inlineStr">
        <is>
          <t>SZ-SL-001074</t>
        </is>
      </c>
      <c r="C1077" t="inlineStr">
        <is>
          <t>WT-SL-FIX-OUT</t>
        </is>
      </c>
      <c r="E1077" t="inlineStr">
        <is>
          <t>041038</t>
        </is>
      </c>
      <c r="F1077" t="b">
        <v>1</v>
      </c>
      <c r="G1077" t="n">
        <v>153</v>
      </c>
      <c r="H1077" t="inlineStr">
        <is>
          <t>無印</t>
        </is>
      </c>
      <c r="I1077" t="n">
        <v>152</v>
      </c>
      <c r="J1077" t="inlineStr">
        <is>
          <t>P152|無印</t>
        </is>
      </c>
      <c r="K1077" t="inlineStr">
        <is>
          <t>同一価格表・前頁凡例を継承</t>
        </is>
      </c>
      <c r="L1077" t="inlineStr">
        <is>
          <t>202604_LIXIL_サーモスＬ_業務用資料集_完成品価格表.pdf</t>
        </is>
      </c>
      <c r="M1077" t="inlineStr">
        <is>
          <t>v0.6：同一価格表セクション内で凡例継承を確定。</t>
        </is>
      </c>
      <c r="N1077" t="inlineStr">
        <is>
          <t>https://drive.google.com/file/d/1YUN-mtWYs48YBUHJk0C3vJXnhjyZFHyf/view</t>
        </is>
      </c>
    </row>
    <row r="1078">
      <c r="A1078" s="42" t="inlineStr">
        <is>
          <t>GSC-SL-001075</t>
        </is>
      </c>
      <c r="B1078" t="inlineStr">
        <is>
          <t>SZ-SL-001075</t>
        </is>
      </c>
      <c r="C1078" t="inlineStr">
        <is>
          <t>WT-SL-FIX-OUT</t>
        </is>
      </c>
      <c r="E1078" t="inlineStr">
        <is>
          <t>06005</t>
        </is>
      </c>
      <c r="F1078" t="b">
        <v>1</v>
      </c>
      <c r="G1078" t="n">
        <v>153</v>
      </c>
      <c r="H1078" t="inlineStr">
        <is>
          <t>無印</t>
        </is>
      </c>
      <c r="I1078" t="n">
        <v>152</v>
      </c>
      <c r="J1078" t="inlineStr">
        <is>
          <t>P152|無印</t>
        </is>
      </c>
      <c r="K1078" t="inlineStr">
        <is>
          <t>同一価格表・前頁凡例を継承</t>
        </is>
      </c>
      <c r="L1078" t="inlineStr">
        <is>
          <t>202604_LIXIL_サーモスＬ_業務用資料集_完成品価格表.pdf</t>
        </is>
      </c>
      <c r="M1078" t="inlineStr">
        <is>
          <t>v0.6：同一価格表セクション内で凡例継承を確定。</t>
        </is>
      </c>
      <c r="N1078" t="inlineStr">
        <is>
          <t>https://drive.google.com/file/d/1YUN-mtWYs48YBUHJk0C3vJXnhjyZFHyf/view</t>
        </is>
      </c>
    </row>
    <row r="1079">
      <c r="A1079" s="42" t="inlineStr">
        <is>
          <t>GSC-SL-001076</t>
        </is>
      </c>
      <c r="B1079" t="inlineStr">
        <is>
          <t>SZ-SL-001076</t>
        </is>
      </c>
      <c r="C1079" t="inlineStr">
        <is>
          <t>WT-SL-FIX-OUT</t>
        </is>
      </c>
      <c r="E1079" t="inlineStr">
        <is>
          <t>060057</t>
        </is>
      </c>
      <c r="F1079" t="b">
        <v>1</v>
      </c>
      <c r="G1079" t="n">
        <v>153</v>
      </c>
      <c r="H1079" t="inlineStr">
        <is>
          <t>無印</t>
        </is>
      </c>
      <c r="I1079" t="n">
        <v>152</v>
      </c>
      <c r="J1079" t="inlineStr">
        <is>
          <t>P152|無印</t>
        </is>
      </c>
      <c r="K1079" t="inlineStr">
        <is>
          <t>同一価格表・前頁凡例を継承</t>
        </is>
      </c>
      <c r="L1079" t="inlineStr">
        <is>
          <t>202604_LIXIL_サーモスＬ_業務用資料集_完成品価格表.pdf</t>
        </is>
      </c>
      <c r="M1079" t="inlineStr">
        <is>
          <t>v0.6：同一価格表セクション内で凡例継承を確定。</t>
        </is>
      </c>
      <c r="N1079" t="inlineStr">
        <is>
          <t>https://drive.google.com/file/d/1YUN-mtWYs48YBUHJk0C3vJXnhjyZFHyf/view</t>
        </is>
      </c>
    </row>
    <row r="1080">
      <c r="A1080" s="42" t="inlineStr">
        <is>
          <t>GSC-SL-001077</t>
        </is>
      </c>
      <c r="B1080" t="inlineStr">
        <is>
          <t>SZ-SL-001077</t>
        </is>
      </c>
      <c r="C1080" t="inlineStr">
        <is>
          <t>WT-SL-FIX-OUT</t>
        </is>
      </c>
      <c r="E1080" t="inlineStr">
        <is>
          <t>06007</t>
        </is>
      </c>
      <c r="F1080" t="b">
        <v>1</v>
      </c>
      <c r="G1080" t="n">
        <v>153</v>
      </c>
      <c r="H1080" t="inlineStr">
        <is>
          <t>無印</t>
        </is>
      </c>
      <c r="I1080" t="n">
        <v>152</v>
      </c>
      <c r="J1080" t="inlineStr">
        <is>
          <t>P152|無印</t>
        </is>
      </c>
      <c r="K1080" t="inlineStr">
        <is>
          <t>同一価格表・前頁凡例を継承</t>
        </is>
      </c>
      <c r="L1080" t="inlineStr">
        <is>
          <t>202604_LIXIL_サーモスＬ_業務用資料集_完成品価格表.pdf</t>
        </is>
      </c>
      <c r="M1080" t="inlineStr">
        <is>
          <t>v0.6：同一価格表セクション内で凡例継承を確定。</t>
        </is>
      </c>
      <c r="N1080" t="inlineStr">
        <is>
          <t>https://drive.google.com/file/d/1YUN-mtWYs48YBUHJk0C3vJXnhjyZFHyf/view</t>
        </is>
      </c>
    </row>
    <row r="1081">
      <c r="A1081" s="42" t="inlineStr">
        <is>
          <t>GSC-SL-001078</t>
        </is>
      </c>
      <c r="B1081" t="inlineStr">
        <is>
          <t>SZ-SL-001078</t>
        </is>
      </c>
      <c r="C1081" t="inlineStr">
        <is>
          <t>WT-SL-FIX-OUT</t>
        </is>
      </c>
      <c r="E1081" t="inlineStr">
        <is>
          <t>06905</t>
        </is>
      </c>
      <c r="F1081" t="b">
        <v>1</v>
      </c>
      <c r="G1081" t="n">
        <v>154</v>
      </c>
      <c r="H1081" t="inlineStr">
        <is>
          <t>無印</t>
        </is>
      </c>
      <c r="I1081" t="n">
        <v>154</v>
      </c>
      <c r="J1081" t="inlineStr">
        <is>
          <t>P154|無印</t>
        </is>
      </c>
      <c r="K1081" t="inlineStr">
        <is>
          <t>同頁凡例へ直接連動</t>
        </is>
      </c>
      <c r="L1081" t="inlineStr">
        <is>
          <t>202604_LIXIL_サーモスＬ_業務用資料集_完成品価格表.pdf</t>
        </is>
      </c>
      <c r="M1081" t="inlineStr">
        <is>
          <t>v0.6：同一価格表セクション内で凡例継承を確定。</t>
        </is>
      </c>
      <c r="N1081" t="inlineStr">
        <is>
          <t>https://drive.google.com/file/d/1YUN-mtWYs48YBUHJk0C3vJXnhjyZFHyf/view</t>
        </is>
      </c>
    </row>
    <row r="1082">
      <c r="A1082" s="42" t="inlineStr">
        <is>
          <t>GSC-SL-001079</t>
        </is>
      </c>
      <c r="B1082" t="inlineStr">
        <is>
          <t>SZ-SL-001079</t>
        </is>
      </c>
      <c r="C1082" t="inlineStr">
        <is>
          <t>WT-SL-FIX-OUT</t>
        </is>
      </c>
      <c r="E1082" t="inlineStr">
        <is>
          <t>06907</t>
        </is>
      </c>
      <c r="F1082" t="b">
        <v>1</v>
      </c>
      <c r="G1082" t="n">
        <v>154</v>
      </c>
      <c r="H1082" t="inlineStr">
        <is>
          <t>無印</t>
        </is>
      </c>
      <c r="I1082" t="n">
        <v>154</v>
      </c>
      <c r="J1082" t="inlineStr">
        <is>
          <t>P154|無印</t>
        </is>
      </c>
      <c r="K1082" t="inlineStr">
        <is>
          <t>同頁凡例へ直接連動</t>
        </is>
      </c>
      <c r="L1082" t="inlineStr">
        <is>
          <t>202604_LIXIL_サーモスＬ_業務用資料集_完成品価格表.pdf</t>
        </is>
      </c>
      <c r="M1082" t="inlineStr">
        <is>
          <t>v0.6：同一価格表セクション内で凡例継承を確定。</t>
        </is>
      </c>
      <c r="N1082" t="inlineStr">
        <is>
          <t>https://drive.google.com/file/d/1YUN-mtWYs48YBUHJk0C3vJXnhjyZFHyf/view</t>
        </is>
      </c>
    </row>
    <row r="1083">
      <c r="A1083" s="42" t="inlineStr">
        <is>
          <t>GSC-SL-001080</t>
        </is>
      </c>
      <c r="B1083" t="inlineStr">
        <is>
          <t>SZ-SL-001080</t>
        </is>
      </c>
      <c r="C1083" t="inlineStr">
        <is>
          <t>WT-SL-FIX-OUT</t>
        </is>
      </c>
      <c r="E1083" t="inlineStr">
        <is>
          <t>07405</t>
        </is>
      </c>
      <c r="F1083" t="b">
        <v>1</v>
      </c>
      <c r="G1083" t="n">
        <v>154</v>
      </c>
      <c r="H1083" t="inlineStr">
        <is>
          <t>無印</t>
        </is>
      </c>
      <c r="I1083" t="n">
        <v>154</v>
      </c>
      <c r="J1083" t="inlineStr">
        <is>
          <t>P154|無印</t>
        </is>
      </c>
      <c r="K1083" t="inlineStr">
        <is>
          <t>同頁凡例へ直接連動</t>
        </is>
      </c>
      <c r="L1083" t="inlineStr">
        <is>
          <t>202604_LIXIL_サーモスＬ_業務用資料集_完成品価格表.pdf</t>
        </is>
      </c>
      <c r="M1083" t="inlineStr">
        <is>
          <t>v0.6：同一価格表セクション内で凡例継承を確定。</t>
        </is>
      </c>
      <c r="N1083" t="inlineStr">
        <is>
          <t>https://drive.google.com/file/d/1YUN-mtWYs48YBUHJk0C3vJXnhjyZFHyf/view</t>
        </is>
      </c>
    </row>
    <row r="1084">
      <c r="A1084" s="42" t="inlineStr">
        <is>
          <t>GSC-SL-001081</t>
        </is>
      </c>
      <c r="B1084" t="inlineStr">
        <is>
          <t>SZ-SL-001081</t>
        </is>
      </c>
      <c r="C1084" t="inlineStr">
        <is>
          <t>WT-SL-FIX-OUT</t>
        </is>
      </c>
      <c r="E1084" t="inlineStr">
        <is>
          <t>07407</t>
        </is>
      </c>
      <c r="F1084" t="b">
        <v>1</v>
      </c>
      <c r="G1084" t="n">
        <v>154</v>
      </c>
      <c r="H1084" t="inlineStr">
        <is>
          <t>無印</t>
        </is>
      </c>
      <c r="I1084" t="n">
        <v>154</v>
      </c>
      <c r="J1084" t="inlineStr">
        <is>
          <t>P154|無印</t>
        </is>
      </c>
      <c r="K1084" t="inlineStr">
        <is>
          <t>同頁凡例へ直接連動</t>
        </is>
      </c>
      <c r="L1084" t="inlineStr">
        <is>
          <t>202604_LIXIL_サーモスＬ_業務用資料集_完成品価格表.pdf</t>
        </is>
      </c>
      <c r="M1084" t="inlineStr">
        <is>
          <t>v0.6：同一価格表セクション内で凡例継承を確定。</t>
        </is>
      </c>
      <c r="N1084" t="inlineStr">
        <is>
          <t>https://drive.google.com/file/d/1YUN-mtWYs48YBUHJk0C3vJXnhjyZFHyf/view</t>
        </is>
      </c>
    </row>
    <row r="1085">
      <c r="A1085" s="42" t="inlineStr">
        <is>
          <t>GSC-SL-001082</t>
        </is>
      </c>
      <c r="B1085" t="inlineStr">
        <is>
          <t>SZ-SL-001082</t>
        </is>
      </c>
      <c r="C1085" t="inlineStr">
        <is>
          <t>WT-SL-FIX-OUT</t>
        </is>
      </c>
      <c r="E1085" t="inlineStr">
        <is>
          <t>11905</t>
        </is>
      </c>
      <c r="F1085" t="b">
        <v>1</v>
      </c>
      <c r="G1085" t="n">
        <v>155</v>
      </c>
      <c r="H1085" t="inlineStr">
        <is>
          <t>無印</t>
        </is>
      </c>
      <c r="I1085" t="n">
        <v>154</v>
      </c>
      <c r="J1085" t="inlineStr">
        <is>
          <t>P154|無印</t>
        </is>
      </c>
      <c r="K1085" t="inlineStr">
        <is>
          <t>同一価格表・前頁凡例を継承</t>
        </is>
      </c>
      <c r="L1085" t="inlineStr">
        <is>
          <t>202604_LIXIL_サーモスＬ_業務用資料集_完成品価格表.pdf</t>
        </is>
      </c>
      <c r="M1085" t="inlineStr">
        <is>
          <t>v0.6：同一価格表セクション内で凡例継承を確定。</t>
        </is>
      </c>
      <c r="N1085" t="inlineStr">
        <is>
          <t>https://drive.google.com/file/d/1YUN-mtWYs48YBUHJk0C3vJXnhjyZFHyf/view</t>
        </is>
      </c>
    </row>
    <row r="1086">
      <c r="A1086" s="42" t="inlineStr">
        <is>
          <t>GSC-SL-001083</t>
        </is>
      </c>
      <c r="B1086" t="inlineStr">
        <is>
          <t>SZ-SL-001083</t>
        </is>
      </c>
      <c r="C1086" t="inlineStr">
        <is>
          <t>WT-SL-FIX-OUT</t>
        </is>
      </c>
      <c r="E1086" t="inlineStr">
        <is>
          <t>11907</t>
        </is>
      </c>
      <c r="F1086" t="b">
        <v>1</v>
      </c>
      <c r="G1086" t="n">
        <v>155</v>
      </c>
      <c r="H1086" t="inlineStr">
        <is>
          <t>無印</t>
        </is>
      </c>
      <c r="I1086" t="n">
        <v>154</v>
      </c>
      <c r="J1086" t="inlineStr">
        <is>
          <t>P154|無印</t>
        </is>
      </c>
      <c r="K1086" t="inlineStr">
        <is>
          <t>同一価格表・前頁凡例を継承</t>
        </is>
      </c>
      <c r="L1086" t="inlineStr">
        <is>
          <t>202604_LIXIL_サーモスＬ_業務用資料集_完成品価格表.pdf</t>
        </is>
      </c>
      <c r="M1086" t="inlineStr">
        <is>
          <t>v0.6：同一価格表セクション内で凡例継承を確定。</t>
        </is>
      </c>
      <c r="N1086" t="inlineStr">
        <is>
          <t>https://drive.google.com/file/d/1YUN-mtWYs48YBUHJk0C3vJXnhjyZFHyf/view</t>
        </is>
      </c>
    </row>
    <row r="1087">
      <c r="A1087" s="42" t="inlineStr">
        <is>
          <t>GSC-SL-001084</t>
        </is>
      </c>
      <c r="B1087" t="inlineStr">
        <is>
          <t>SZ-SL-001084</t>
        </is>
      </c>
      <c r="C1087" t="inlineStr">
        <is>
          <t>WT-SL-FIX-OUT</t>
        </is>
      </c>
      <c r="E1087" t="inlineStr">
        <is>
          <t>16005</t>
        </is>
      </c>
      <c r="F1087" t="b">
        <v>1</v>
      </c>
      <c r="G1087" t="n">
        <v>155</v>
      </c>
      <c r="H1087" t="inlineStr">
        <is>
          <t>無印</t>
        </is>
      </c>
      <c r="I1087" t="n">
        <v>154</v>
      </c>
      <c r="J1087" t="inlineStr">
        <is>
          <t>P154|無印</t>
        </is>
      </c>
      <c r="K1087" t="inlineStr">
        <is>
          <t>同一価格表・前頁凡例を継承</t>
        </is>
      </c>
      <c r="L1087" t="inlineStr">
        <is>
          <t>202604_LIXIL_サーモスＬ_業務用資料集_完成品価格表.pdf</t>
        </is>
      </c>
      <c r="M1087" t="inlineStr">
        <is>
          <t>v0.6：同一価格表セクション内で凡例継承を確定。</t>
        </is>
      </c>
      <c r="N1087" t="inlineStr">
        <is>
          <t>https://drive.google.com/file/d/1YUN-mtWYs48YBUHJk0C3vJXnhjyZFHyf/view</t>
        </is>
      </c>
    </row>
    <row r="1088">
      <c r="A1088" s="42" t="inlineStr">
        <is>
          <t>GSC-SL-001085</t>
        </is>
      </c>
      <c r="B1088" t="inlineStr">
        <is>
          <t>SZ-SL-001085</t>
        </is>
      </c>
      <c r="C1088" t="inlineStr">
        <is>
          <t>WT-SL-FIX-OUT</t>
        </is>
      </c>
      <c r="E1088" t="inlineStr">
        <is>
          <t>16505</t>
        </is>
      </c>
      <c r="F1088" t="b">
        <v>1</v>
      </c>
      <c r="G1088" t="n">
        <v>155</v>
      </c>
      <c r="H1088" t="inlineStr">
        <is>
          <t>無印</t>
        </is>
      </c>
      <c r="I1088" t="n">
        <v>154</v>
      </c>
      <c r="J1088" t="inlineStr">
        <is>
          <t>P154|無印</t>
        </is>
      </c>
      <c r="K1088" t="inlineStr">
        <is>
          <t>同一価格表・前頁凡例を継承</t>
        </is>
      </c>
      <c r="L1088" t="inlineStr">
        <is>
          <t>202604_LIXIL_サーモスＬ_業務用資料集_完成品価格表.pdf</t>
        </is>
      </c>
      <c r="M1088" t="inlineStr">
        <is>
          <t>v0.6：同一価格表セクション内で凡例継承を確定。</t>
        </is>
      </c>
      <c r="N1088" t="inlineStr">
        <is>
          <t>https://drive.google.com/file/d/1YUN-mtWYs48YBUHJk0C3vJXnhjyZFHyf/view</t>
        </is>
      </c>
    </row>
    <row r="1089">
      <c r="A1089" s="42" t="inlineStr">
        <is>
          <t>GSC-SL-001086</t>
        </is>
      </c>
      <c r="B1089" t="inlineStr">
        <is>
          <t>SZ-SL-001086</t>
        </is>
      </c>
      <c r="C1089" t="inlineStr">
        <is>
          <t>WT-SL-FIX-OUT</t>
        </is>
      </c>
      <c r="E1089" t="inlineStr">
        <is>
          <t>16507</t>
        </is>
      </c>
      <c r="F1089" t="b">
        <v>1</v>
      </c>
      <c r="G1089" t="n">
        <v>155</v>
      </c>
      <c r="H1089" t="inlineStr">
        <is>
          <t>★</t>
        </is>
      </c>
      <c r="I1089" t="n">
        <v>154</v>
      </c>
      <c r="J1089" t="inlineStr">
        <is>
          <t>P154|★</t>
        </is>
      </c>
      <c r="K1089" t="inlineStr">
        <is>
          <t>同一価格表・前頁凡例を継承</t>
        </is>
      </c>
      <c r="L1089" t="inlineStr">
        <is>
          <t>202604_LIXIL_サーモスＬ_業務用資料集_完成品価格表.pdf</t>
        </is>
      </c>
      <c r="M1089" t="inlineStr">
        <is>
          <t>v0.6：同一価格表セクション内で凡例継承を確定。</t>
        </is>
      </c>
      <c r="N1089" t="inlineStr">
        <is>
          <t>https://drive.google.com/file/d/1YUN-mtWYs48YBUHJk0C3vJXnhjyZFHyf/view</t>
        </is>
      </c>
    </row>
    <row r="1090">
      <c r="A1090" s="42" t="inlineStr">
        <is>
          <t>GSC-SL-001087</t>
        </is>
      </c>
      <c r="B1090" t="inlineStr">
        <is>
          <t>SZ-SL-001087</t>
        </is>
      </c>
      <c r="C1090" t="inlineStr">
        <is>
          <t>WT-SL-FIX-OUT</t>
        </is>
      </c>
      <c r="E1090" t="inlineStr">
        <is>
          <t>01609</t>
        </is>
      </c>
      <c r="F1090" t="b">
        <v>1</v>
      </c>
      <c r="G1090" t="n">
        <v>156</v>
      </c>
      <c r="H1090" t="inlineStr">
        <is>
          <t>無印</t>
        </is>
      </c>
      <c r="I1090" t="n">
        <v>157</v>
      </c>
      <c r="J1090" t="inlineStr">
        <is>
          <t>P157|無印</t>
        </is>
      </c>
      <c r="K1090" t="inlineStr">
        <is>
          <t>同一価格表・次頁凡例を継承</t>
        </is>
      </c>
      <c r="L1090" t="inlineStr">
        <is>
          <t>202604_LIXIL_サーモスＬ_業務用資料集_完成品価格表.pdf</t>
        </is>
      </c>
      <c r="M1090" t="inlineStr">
        <is>
          <t>v0.6：同一価格表セクション内で凡例継承を確定。</t>
        </is>
      </c>
      <c r="N1090" t="inlineStr">
        <is>
          <t>https://drive.google.com/file/d/1YUN-mtWYs48YBUHJk0C3vJXnhjyZFHyf/view</t>
        </is>
      </c>
    </row>
    <row r="1091">
      <c r="A1091" s="42" t="inlineStr">
        <is>
          <t>GSC-SL-001088</t>
        </is>
      </c>
      <c r="B1091" t="inlineStr">
        <is>
          <t>SZ-SL-001088</t>
        </is>
      </c>
      <c r="C1091" t="inlineStr">
        <is>
          <t>WT-SL-FIX-OUT</t>
        </is>
      </c>
      <c r="E1091" t="inlineStr">
        <is>
          <t>01611</t>
        </is>
      </c>
      <c r="F1091" t="b">
        <v>1</v>
      </c>
      <c r="G1091" t="n">
        <v>156</v>
      </c>
      <c r="H1091" t="inlineStr">
        <is>
          <t>無印</t>
        </is>
      </c>
      <c r="I1091" t="n">
        <v>157</v>
      </c>
      <c r="J1091" t="inlineStr">
        <is>
          <t>P157|無印</t>
        </is>
      </c>
      <c r="K1091" t="inlineStr">
        <is>
          <t>同一価格表・次頁凡例を継承</t>
        </is>
      </c>
      <c r="L1091" t="inlineStr">
        <is>
          <t>202604_LIXIL_サーモスＬ_業務用資料集_完成品価格表.pdf</t>
        </is>
      </c>
      <c r="M1091" t="inlineStr">
        <is>
          <t>v0.6：同一価格表セクション内で凡例継承を確定。</t>
        </is>
      </c>
      <c r="N1091" t="inlineStr">
        <is>
          <t>https://drive.google.com/file/d/1YUN-mtWYs48YBUHJk0C3vJXnhjyZFHyf/view</t>
        </is>
      </c>
    </row>
    <row r="1092">
      <c r="A1092" s="42" t="inlineStr">
        <is>
          <t>GSC-SL-001089</t>
        </is>
      </c>
      <c r="B1092" t="inlineStr">
        <is>
          <t>SZ-SL-001089</t>
        </is>
      </c>
      <c r="C1092" t="inlineStr">
        <is>
          <t>WT-SL-FIX-OUT</t>
        </is>
      </c>
      <c r="E1092" t="inlineStr">
        <is>
          <t>01613</t>
        </is>
      </c>
      <c r="F1092" t="b">
        <v>1</v>
      </c>
      <c r="G1092" t="n">
        <v>156</v>
      </c>
      <c r="H1092" t="inlineStr">
        <is>
          <t>無印</t>
        </is>
      </c>
      <c r="I1092" t="n">
        <v>157</v>
      </c>
      <c r="J1092" t="inlineStr">
        <is>
          <t>P157|無印</t>
        </is>
      </c>
      <c r="K1092" t="inlineStr">
        <is>
          <t>同一価格表・次頁凡例を継承</t>
        </is>
      </c>
      <c r="L1092" t="inlineStr">
        <is>
          <t>202604_LIXIL_サーモスＬ_業務用資料集_完成品価格表.pdf</t>
        </is>
      </c>
      <c r="M1092" t="inlineStr">
        <is>
          <t>v0.6：同一価格表セクション内で凡例継承を確定。</t>
        </is>
      </c>
      <c r="N1092" t="inlineStr">
        <is>
          <t>https://drive.google.com/file/d/1YUN-mtWYs48YBUHJk0C3vJXnhjyZFHyf/view</t>
        </is>
      </c>
    </row>
    <row r="1093">
      <c r="A1093" s="42" t="inlineStr">
        <is>
          <t>GSC-SL-001090</t>
        </is>
      </c>
      <c r="B1093" t="inlineStr">
        <is>
          <t>SZ-SL-001090</t>
        </is>
      </c>
      <c r="C1093" t="inlineStr">
        <is>
          <t>WT-SL-FIX-OUT</t>
        </is>
      </c>
      <c r="E1093" t="inlineStr">
        <is>
          <t>01615</t>
        </is>
      </c>
      <c r="F1093" t="b">
        <v>1</v>
      </c>
      <c r="G1093" t="n">
        <v>156</v>
      </c>
      <c r="H1093" t="inlineStr">
        <is>
          <t>無印</t>
        </is>
      </c>
      <c r="I1093" t="n">
        <v>157</v>
      </c>
      <c r="J1093" t="inlineStr">
        <is>
          <t>P157|無印</t>
        </is>
      </c>
      <c r="K1093" t="inlineStr">
        <is>
          <t>同一価格表・次頁凡例を継承</t>
        </is>
      </c>
      <c r="L1093" t="inlineStr">
        <is>
          <t>202604_LIXIL_サーモスＬ_業務用資料集_完成品価格表.pdf</t>
        </is>
      </c>
      <c r="M1093" t="inlineStr">
        <is>
          <t>v0.6：同一価格表セクション内で凡例継承を確定。</t>
        </is>
      </c>
      <c r="N1093" t="inlineStr">
        <is>
          <t>https://drive.google.com/file/d/1YUN-mtWYs48YBUHJk0C3vJXnhjyZFHyf/view</t>
        </is>
      </c>
    </row>
    <row r="1094">
      <c r="A1094" s="42" t="inlineStr">
        <is>
          <t>GSC-SL-001091</t>
        </is>
      </c>
      <c r="B1094" t="inlineStr">
        <is>
          <t>SZ-SL-001091</t>
        </is>
      </c>
      <c r="C1094" t="inlineStr">
        <is>
          <t>WT-SL-FIX-OUT</t>
        </is>
      </c>
      <c r="E1094" t="inlineStr">
        <is>
          <t>02109</t>
        </is>
      </c>
      <c r="F1094" t="b">
        <v>1</v>
      </c>
      <c r="G1094" t="n">
        <v>156</v>
      </c>
      <c r="H1094" t="inlineStr">
        <is>
          <t>無印</t>
        </is>
      </c>
      <c r="I1094" t="n">
        <v>157</v>
      </c>
      <c r="J1094" t="inlineStr">
        <is>
          <t>P157|無印</t>
        </is>
      </c>
      <c r="K1094" t="inlineStr">
        <is>
          <t>同一価格表・次頁凡例を継承</t>
        </is>
      </c>
      <c r="L1094" t="inlineStr">
        <is>
          <t>202604_LIXIL_サーモスＬ_業務用資料集_完成品価格表.pdf</t>
        </is>
      </c>
      <c r="M1094" t="inlineStr">
        <is>
          <t>v0.6：同一価格表セクション内で凡例継承を確定。</t>
        </is>
      </c>
      <c r="N1094" t="inlineStr">
        <is>
          <t>https://drive.google.com/file/d/1YUN-mtWYs48YBUHJk0C3vJXnhjyZFHyf/view</t>
        </is>
      </c>
    </row>
    <row r="1095">
      <c r="A1095" s="42" t="inlineStr">
        <is>
          <t>GSC-SL-001092</t>
        </is>
      </c>
      <c r="B1095" t="inlineStr">
        <is>
          <t>SZ-SL-001092</t>
        </is>
      </c>
      <c r="C1095" t="inlineStr">
        <is>
          <t>WT-SL-FIX-OUT</t>
        </is>
      </c>
      <c r="E1095" t="inlineStr">
        <is>
          <t>02111</t>
        </is>
      </c>
      <c r="F1095" t="b">
        <v>1</v>
      </c>
      <c r="G1095" t="n">
        <v>156</v>
      </c>
      <c r="H1095" t="inlineStr">
        <is>
          <t>無印</t>
        </is>
      </c>
      <c r="I1095" t="n">
        <v>157</v>
      </c>
      <c r="J1095" t="inlineStr">
        <is>
          <t>P157|無印</t>
        </is>
      </c>
      <c r="K1095" t="inlineStr">
        <is>
          <t>同一価格表・次頁凡例を継承</t>
        </is>
      </c>
      <c r="L1095" t="inlineStr">
        <is>
          <t>202604_LIXIL_サーモスＬ_業務用資料集_完成品価格表.pdf</t>
        </is>
      </c>
      <c r="M1095" t="inlineStr">
        <is>
          <t>v0.6：同一価格表セクション内で凡例継承を確定。</t>
        </is>
      </c>
      <c r="N1095" t="inlineStr">
        <is>
          <t>https://drive.google.com/file/d/1YUN-mtWYs48YBUHJk0C3vJXnhjyZFHyf/view</t>
        </is>
      </c>
    </row>
    <row r="1096">
      <c r="A1096" s="42" t="inlineStr">
        <is>
          <t>GSC-SL-001093</t>
        </is>
      </c>
      <c r="B1096" t="inlineStr">
        <is>
          <t>SZ-SL-001093</t>
        </is>
      </c>
      <c r="C1096" t="inlineStr">
        <is>
          <t>WT-SL-FIX-OUT</t>
        </is>
      </c>
      <c r="E1096" t="inlineStr">
        <is>
          <t>02113</t>
        </is>
      </c>
      <c r="F1096" t="b">
        <v>1</v>
      </c>
      <c r="G1096" t="n">
        <v>156</v>
      </c>
      <c r="H1096" t="inlineStr">
        <is>
          <t>無印</t>
        </is>
      </c>
      <c r="I1096" t="n">
        <v>157</v>
      </c>
      <c r="J1096" t="inlineStr">
        <is>
          <t>P157|無印</t>
        </is>
      </c>
      <c r="K1096" t="inlineStr">
        <is>
          <t>同一価格表・次頁凡例を継承</t>
        </is>
      </c>
      <c r="L1096" t="inlineStr">
        <is>
          <t>202604_LIXIL_サーモスＬ_業務用資料集_完成品価格表.pdf</t>
        </is>
      </c>
      <c r="M1096" t="inlineStr">
        <is>
          <t>v0.6：同一価格表セクション内で凡例継承を確定。</t>
        </is>
      </c>
      <c r="N1096" t="inlineStr">
        <is>
          <t>https://drive.google.com/file/d/1YUN-mtWYs48YBUHJk0C3vJXnhjyZFHyf/view</t>
        </is>
      </c>
    </row>
    <row r="1097">
      <c r="A1097" s="42" t="inlineStr">
        <is>
          <t>GSC-SL-001094</t>
        </is>
      </c>
      <c r="B1097" t="inlineStr">
        <is>
          <t>SZ-SL-001094</t>
        </is>
      </c>
      <c r="C1097" t="inlineStr">
        <is>
          <t>WT-SL-FIX-OUT</t>
        </is>
      </c>
      <c r="E1097" t="inlineStr">
        <is>
          <t>02115</t>
        </is>
      </c>
      <c r="F1097" t="b">
        <v>1</v>
      </c>
      <c r="G1097" t="n">
        <v>156</v>
      </c>
      <c r="H1097" t="inlineStr">
        <is>
          <t>無印</t>
        </is>
      </c>
      <c r="I1097" t="n">
        <v>157</v>
      </c>
      <c r="J1097" t="inlineStr">
        <is>
          <t>P157|無印</t>
        </is>
      </c>
      <c r="K1097" t="inlineStr">
        <is>
          <t>同一価格表・次頁凡例を継承</t>
        </is>
      </c>
      <c r="L1097" t="inlineStr">
        <is>
          <t>202604_LIXIL_サーモスＬ_業務用資料集_完成品価格表.pdf</t>
        </is>
      </c>
      <c r="M1097" t="inlineStr">
        <is>
          <t>v0.6：同一価格表セクション内で凡例継承を確定。</t>
        </is>
      </c>
      <c r="N1097" t="inlineStr">
        <is>
          <t>https://drive.google.com/file/d/1YUN-mtWYs48YBUHJk0C3vJXnhjyZFHyf/view</t>
        </is>
      </c>
    </row>
    <row r="1098">
      <c r="A1098" s="42" t="inlineStr">
        <is>
          <t>GSC-SL-001095</t>
        </is>
      </c>
      <c r="B1098" t="inlineStr">
        <is>
          <t>SZ-SL-001095</t>
        </is>
      </c>
      <c r="C1098" t="inlineStr">
        <is>
          <t>WT-SL-FIX-OUT</t>
        </is>
      </c>
      <c r="E1098" t="inlineStr">
        <is>
          <t>02309</t>
        </is>
      </c>
      <c r="F1098" t="b">
        <v>1</v>
      </c>
      <c r="G1098" t="n">
        <v>156</v>
      </c>
      <c r="H1098" t="inlineStr">
        <is>
          <t>無印</t>
        </is>
      </c>
      <c r="I1098" t="n">
        <v>157</v>
      </c>
      <c r="J1098" t="inlineStr">
        <is>
          <t>P157|無印</t>
        </is>
      </c>
      <c r="K1098" t="inlineStr">
        <is>
          <t>同一価格表・次頁凡例を継承</t>
        </is>
      </c>
      <c r="L1098" t="inlineStr">
        <is>
          <t>202604_LIXIL_サーモスＬ_業務用資料集_完成品価格表.pdf</t>
        </is>
      </c>
      <c r="M1098" t="inlineStr">
        <is>
          <t>v0.6：同一価格表セクション内で凡例継承を確定。</t>
        </is>
      </c>
      <c r="N1098" t="inlineStr">
        <is>
          <t>https://drive.google.com/file/d/1YUN-mtWYs48YBUHJk0C3vJXnhjyZFHyf/view</t>
        </is>
      </c>
    </row>
    <row r="1099">
      <c r="A1099" s="42" t="inlineStr">
        <is>
          <t>GSC-SL-001096</t>
        </is>
      </c>
      <c r="B1099" t="inlineStr">
        <is>
          <t>SZ-SL-001096</t>
        </is>
      </c>
      <c r="C1099" t="inlineStr">
        <is>
          <t>WT-SL-FIX-OUT</t>
        </is>
      </c>
      <c r="E1099" t="inlineStr">
        <is>
          <t>02311</t>
        </is>
      </c>
      <c r="F1099" t="b">
        <v>1</v>
      </c>
      <c r="G1099" t="n">
        <v>156</v>
      </c>
      <c r="H1099" t="inlineStr">
        <is>
          <t>無印</t>
        </is>
      </c>
      <c r="I1099" t="n">
        <v>157</v>
      </c>
      <c r="J1099" t="inlineStr">
        <is>
          <t>P157|無印</t>
        </is>
      </c>
      <c r="K1099" t="inlineStr">
        <is>
          <t>同一価格表・次頁凡例を継承</t>
        </is>
      </c>
      <c r="L1099" t="inlineStr">
        <is>
          <t>202604_LIXIL_サーモスＬ_業務用資料集_完成品価格表.pdf</t>
        </is>
      </c>
      <c r="M1099" t="inlineStr">
        <is>
          <t>v0.6：同一価格表セクション内で凡例継承を確定。</t>
        </is>
      </c>
      <c r="N1099" t="inlineStr">
        <is>
          <t>https://drive.google.com/file/d/1YUN-mtWYs48YBUHJk0C3vJXnhjyZFHyf/view</t>
        </is>
      </c>
    </row>
    <row r="1100">
      <c r="A1100" s="42" t="inlineStr">
        <is>
          <t>GSC-SL-001097</t>
        </is>
      </c>
      <c r="B1100" t="inlineStr">
        <is>
          <t>SZ-SL-001097</t>
        </is>
      </c>
      <c r="C1100" t="inlineStr">
        <is>
          <t>WT-SL-FIX-OUT</t>
        </is>
      </c>
      <c r="E1100" t="inlineStr">
        <is>
          <t>02313</t>
        </is>
      </c>
      <c r="F1100" t="b">
        <v>1</v>
      </c>
      <c r="G1100" t="n">
        <v>156</v>
      </c>
      <c r="H1100" t="inlineStr">
        <is>
          <t>無印</t>
        </is>
      </c>
      <c r="I1100" t="n">
        <v>157</v>
      </c>
      <c r="J1100" t="inlineStr">
        <is>
          <t>P157|無印</t>
        </is>
      </c>
      <c r="K1100" t="inlineStr">
        <is>
          <t>同一価格表・次頁凡例を継承</t>
        </is>
      </c>
      <c r="L1100" t="inlineStr">
        <is>
          <t>202604_LIXIL_サーモスＬ_業務用資料集_完成品価格表.pdf</t>
        </is>
      </c>
      <c r="M1100" t="inlineStr">
        <is>
          <t>v0.6：同一価格表セクション内で凡例継承を確定。</t>
        </is>
      </c>
      <c r="N1100" t="inlineStr">
        <is>
          <t>https://drive.google.com/file/d/1YUN-mtWYs48YBUHJk0C3vJXnhjyZFHyf/view</t>
        </is>
      </c>
    </row>
    <row r="1101">
      <c r="A1101" s="42" t="inlineStr">
        <is>
          <t>GSC-SL-001098</t>
        </is>
      </c>
      <c r="B1101" t="inlineStr">
        <is>
          <t>SZ-SL-001098</t>
        </is>
      </c>
      <c r="C1101" t="inlineStr">
        <is>
          <t>WT-SL-FIX-OUT</t>
        </is>
      </c>
      <c r="E1101" t="inlineStr">
        <is>
          <t>02609</t>
        </is>
      </c>
      <c r="F1101" t="b">
        <v>1</v>
      </c>
      <c r="G1101" t="n">
        <v>156</v>
      </c>
      <c r="H1101" t="inlineStr">
        <is>
          <t>無印</t>
        </is>
      </c>
      <c r="I1101" t="n">
        <v>157</v>
      </c>
      <c r="J1101" t="inlineStr">
        <is>
          <t>P157|無印</t>
        </is>
      </c>
      <c r="K1101" t="inlineStr">
        <is>
          <t>同一価格表・次頁凡例を継承</t>
        </is>
      </c>
      <c r="L1101" t="inlineStr">
        <is>
          <t>202604_LIXIL_サーモスＬ_業務用資料集_完成品価格表.pdf</t>
        </is>
      </c>
      <c r="M1101" t="inlineStr">
        <is>
          <t>v0.6：同一価格表セクション内で凡例継承を確定。</t>
        </is>
      </c>
      <c r="N1101" t="inlineStr">
        <is>
          <t>https://drive.google.com/file/d/1YUN-mtWYs48YBUHJk0C3vJXnhjyZFHyf/view</t>
        </is>
      </c>
    </row>
    <row r="1102">
      <c r="A1102" s="42" t="inlineStr">
        <is>
          <t>GSC-SL-001099</t>
        </is>
      </c>
      <c r="B1102" t="inlineStr">
        <is>
          <t>SZ-SL-001099</t>
        </is>
      </c>
      <c r="C1102" t="inlineStr">
        <is>
          <t>WT-SL-FIX-OUT</t>
        </is>
      </c>
      <c r="E1102" t="inlineStr">
        <is>
          <t>02611</t>
        </is>
      </c>
      <c r="F1102" t="b">
        <v>1</v>
      </c>
      <c r="G1102" t="n">
        <v>156</v>
      </c>
      <c r="H1102" t="inlineStr">
        <is>
          <t>無印</t>
        </is>
      </c>
      <c r="I1102" t="n">
        <v>157</v>
      </c>
      <c r="J1102" t="inlineStr">
        <is>
          <t>P157|無印</t>
        </is>
      </c>
      <c r="K1102" t="inlineStr">
        <is>
          <t>同一価格表・次頁凡例を継承</t>
        </is>
      </c>
      <c r="L1102" t="inlineStr">
        <is>
          <t>202604_LIXIL_サーモスＬ_業務用資料集_完成品価格表.pdf</t>
        </is>
      </c>
      <c r="M1102" t="inlineStr">
        <is>
          <t>v0.6：同一価格表セクション内で凡例継承を確定。</t>
        </is>
      </c>
      <c r="N1102" t="inlineStr">
        <is>
          <t>https://drive.google.com/file/d/1YUN-mtWYs48YBUHJk0C3vJXnhjyZFHyf/view</t>
        </is>
      </c>
    </row>
    <row r="1103">
      <c r="A1103" s="42" t="inlineStr">
        <is>
          <t>GSC-SL-001100</t>
        </is>
      </c>
      <c r="B1103" t="inlineStr">
        <is>
          <t>SZ-SL-001100</t>
        </is>
      </c>
      <c r="C1103" t="inlineStr">
        <is>
          <t>WT-SL-FIX-OUT</t>
        </is>
      </c>
      <c r="E1103" t="inlineStr">
        <is>
          <t>02613</t>
        </is>
      </c>
      <c r="F1103" t="b">
        <v>1</v>
      </c>
      <c r="G1103" t="n">
        <v>156</v>
      </c>
      <c r="H1103" t="inlineStr">
        <is>
          <t>無印</t>
        </is>
      </c>
      <c r="I1103" t="n">
        <v>157</v>
      </c>
      <c r="J1103" t="inlineStr">
        <is>
          <t>P157|無印</t>
        </is>
      </c>
      <c r="K1103" t="inlineStr">
        <is>
          <t>同一価格表・次頁凡例を継承</t>
        </is>
      </c>
      <c r="L1103" t="inlineStr">
        <is>
          <t>202604_LIXIL_サーモスＬ_業務用資料集_完成品価格表.pdf</t>
        </is>
      </c>
      <c r="M1103" t="inlineStr">
        <is>
          <t>v0.6：同一価格表セクション内で凡例継承を確定。</t>
        </is>
      </c>
      <c r="N1103" t="inlineStr">
        <is>
          <t>https://drive.google.com/file/d/1YUN-mtWYs48YBUHJk0C3vJXnhjyZFHyf/view</t>
        </is>
      </c>
    </row>
    <row r="1104">
      <c r="A1104" s="42" t="inlineStr">
        <is>
          <t>GSC-SL-001101</t>
        </is>
      </c>
      <c r="B1104" t="inlineStr">
        <is>
          <t>SZ-SL-001101</t>
        </is>
      </c>
      <c r="C1104" t="inlineStr">
        <is>
          <t>WT-SL-FIX-OUT</t>
        </is>
      </c>
      <c r="E1104" t="inlineStr">
        <is>
          <t>02615</t>
        </is>
      </c>
      <c r="F1104" t="b">
        <v>1</v>
      </c>
      <c r="G1104" t="n">
        <v>156</v>
      </c>
      <c r="H1104" t="inlineStr">
        <is>
          <t>無印</t>
        </is>
      </c>
      <c r="I1104" t="n">
        <v>157</v>
      </c>
      <c r="J1104" t="inlineStr">
        <is>
          <t>P157|無印</t>
        </is>
      </c>
      <c r="K1104" t="inlineStr">
        <is>
          <t>同一価格表・次頁凡例を継承</t>
        </is>
      </c>
      <c r="L1104" t="inlineStr">
        <is>
          <t>202604_LIXIL_サーモスＬ_業務用資料集_完成品価格表.pdf</t>
        </is>
      </c>
      <c r="M1104" t="inlineStr">
        <is>
          <t>v0.6：同一価格表セクション内で凡例継承を確定。</t>
        </is>
      </c>
      <c r="N1104" t="inlineStr">
        <is>
          <t>https://drive.google.com/file/d/1YUN-mtWYs48YBUHJk0C3vJXnhjyZFHyf/view</t>
        </is>
      </c>
    </row>
    <row r="1105">
      <c r="A1105" s="42" t="inlineStr">
        <is>
          <t>GSC-SL-001102</t>
        </is>
      </c>
      <c r="B1105" t="inlineStr">
        <is>
          <t>SZ-SL-001102</t>
        </is>
      </c>
      <c r="C1105" t="inlineStr">
        <is>
          <t>WT-SL-FIX-OUT</t>
        </is>
      </c>
      <c r="E1105" t="inlineStr">
        <is>
          <t>03109</t>
        </is>
      </c>
      <c r="F1105" t="b">
        <v>1</v>
      </c>
      <c r="G1105" t="n">
        <v>157</v>
      </c>
      <c r="H1105" t="inlineStr">
        <is>
          <t>無印</t>
        </is>
      </c>
      <c r="I1105" t="n">
        <v>157</v>
      </c>
      <c r="J1105" t="inlineStr">
        <is>
          <t>P157|無印</t>
        </is>
      </c>
      <c r="K1105" t="inlineStr">
        <is>
          <t>同頁凡例へ直接連動</t>
        </is>
      </c>
      <c r="L1105" t="inlineStr">
        <is>
          <t>202604_LIXIL_サーモスＬ_業務用資料集_完成品価格表.pdf</t>
        </is>
      </c>
      <c r="M1105" t="inlineStr">
        <is>
          <t>v0.6：同一価格表セクション内で凡例継承を確定。</t>
        </is>
      </c>
      <c r="N1105" t="inlineStr">
        <is>
          <t>https://drive.google.com/file/d/1YUN-mtWYs48YBUHJk0C3vJXnhjyZFHyf/view</t>
        </is>
      </c>
    </row>
    <row r="1106">
      <c r="A1106" s="42" t="inlineStr">
        <is>
          <t>GSC-SL-001103</t>
        </is>
      </c>
      <c r="B1106" t="inlineStr">
        <is>
          <t>SZ-SL-001103</t>
        </is>
      </c>
      <c r="C1106" t="inlineStr">
        <is>
          <t>WT-SL-FIX-OUT</t>
        </is>
      </c>
      <c r="E1106" t="inlineStr">
        <is>
          <t>03111</t>
        </is>
      </c>
      <c r="F1106" t="b">
        <v>1</v>
      </c>
      <c r="G1106" t="n">
        <v>157</v>
      </c>
      <c r="H1106" t="inlineStr">
        <is>
          <t>無印</t>
        </is>
      </c>
      <c r="I1106" t="n">
        <v>157</v>
      </c>
      <c r="J1106" t="inlineStr">
        <is>
          <t>P157|無印</t>
        </is>
      </c>
      <c r="K1106" t="inlineStr">
        <is>
          <t>同頁凡例へ直接連動</t>
        </is>
      </c>
      <c r="L1106" t="inlineStr">
        <is>
          <t>202604_LIXIL_サーモスＬ_業務用資料集_完成品価格表.pdf</t>
        </is>
      </c>
      <c r="M1106" t="inlineStr">
        <is>
          <t>v0.6：同一価格表セクション内で凡例継承を確定。</t>
        </is>
      </c>
      <c r="N1106" t="inlineStr">
        <is>
          <t>https://drive.google.com/file/d/1YUN-mtWYs48YBUHJk0C3vJXnhjyZFHyf/view</t>
        </is>
      </c>
    </row>
    <row r="1107">
      <c r="A1107" s="42" t="inlineStr">
        <is>
          <t>GSC-SL-001104</t>
        </is>
      </c>
      <c r="B1107" t="inlineStr">
        <is>
          <t>SZ-SL-001104</t>
        </is>
      </c>
      <c r="C1107" t="inlineStr">
        <is>
          <t>WT-SL-FIX-OUT</t>
        </is>
      </c>
      <c r="E1107" t="inlineStr">
        <is>
          <t>03113</t>
        </is>
      </c>
      <c r="F1107" t="b">
        <v>1</v>
      </c>
      <c r="G1107" t="n">
        <v>157</v>
      </c>
      <c r="H1107" t="inlineStr">
        <is>
          <t>無印</t>
        </is>
      </c>
      <c r="I1107" t="n">
        <v>157</v>
      </c>
      <c r="J1107" t="inlineStr">
        <is>
          <t>P157|無印</t>
        </is>
      </c>
      <c r="K1107" t="inlineStr">
        <is>
          <t>同頁凡例へ直接連動</t>
        </is>
      </c>
      <c r="L1107" t="inlineStr">
        <is>
          <t>202604_LIXIL_サーモスＬ_業務用資料集_完成品価格表.pdf</t>
        </is>
      </c>
      <c r="M1107" t="inlineStr">
        <is>
          <t>v0.6：同一価格表セクション内で凡例継承を確定。</t>
        </is>
      </c>
      <c r="N1107" t="inlineStr">
        <is>
          <t>https://drive.google.com/file/d/1YUN-mtWYs48YBUHJk0C3vJXnhjyZFHyf/view</t>
        </is>
      </c>
    </row>
    <row r="1108">
      <c r="A1108" s="42" t="inlineStr">
        <is>
          <t>GSC-SL-001105</t>
        </is>
      </c>
      <c r="B1108" t="inlineStr">
        <is>
          <t>SZ-SL-001105</t>
        </is>
      </c>
      <c r="C1108" t="inlineStr">
        <is>
          <t>WT-SL-FIX-OUT</t>
        </is>
      </c>
      <c r="E1108" t="inlineStr">
        <is>
          <t>03115</t>
        </is>
      </c>
      <c r="F1108" t="b">
        <v>1</v>
      </c>
      <c r="G1108" t="n">
        <v>157</v>
      </c>
      <c r="H1108" t="inlineStr">
        <is>
          <t>無印</t>
        </is>
      </c>
      <c r="I1108" t="n">
        <v>157</v>
      </c>
      <c r="J1108" t="inlineStr">
        <is>
          <t>P157|無印</t>
        </is>
      </c>
      <c r="K1108" t="inlineStr">
        <is>
          <t>同頁凡例へ直接連動</t>
        </is>
      </c>
      <c r="L1108" t="inlineStr">
        <is>
          <t>202604_LIXIL_サーモスＬ_業務用資料集_完成品価格表.pdf</t>
        </is>
      </c>
      <c r="M1108" t="inlineStr">
        <is>
          <t>v0.6：同一価格表セクション内で凡例継承を確定。</t>
        </is>
      </c>
      <c r="N1108" t="inlineStr">
        <is>
          <t>https://drive.google.com/file/d/1YUN-mtWYs48YBUHJk0C3vJXnhjyZFHyf/view</t>
        </is>
      </c>
    </row>
    <row r="1109">
      <c r="A1109" s="42" t="inlineStr">
        <is>
          <t>GSC-SL-001106</t>
        </is>
      </c>
      <c r="B1109" t="inlineStr">
        <is>
          <t>SZ-SL-001106</t>
        </is>
      </c>
      <c r="C1109" t="inlineStr">
        <is>
          <t>WT-SL-FIX-OUT</t>
        </is>
      </c>
      <c r="E1109" t="inlineStr">
        <is>
          <t>03609</t>
        </is>
      </c>
      <c r="F1109" t="b">
        <v>1</v>
      </c>
      <c r="G1109" t="n">
        <v>157</v>
      </c>
      <c r="H1109" t="inlineStr">
        <is>
          <t>無印</t>
        </is>
      </c>
      <c r="I1109" t="n">
        <v>157</v>
      </c>
      <c r="J1109" t="inlineStr">
        <is>
          <t>P157|無印</t>
        </is>
      </c>
      <c r="K1109" t="inlineStr">
        <is>
          <t>同頁凡例へ直接連動</t>
        </is>
      </c>
      <c r="L1109" t="inlineStr">
        <is>
          <t>202604_LIXIL_サーモスＬ_業務用資料集_完成品価格表.pdf</t>
        </is>
      </c>
      <c r="M1109" t="inlineStr">
        <is>
          <t>v0.6：同一価格表セクション内で凡例継承を確定。</t>
        </is>
      </c>
      <c r="N1109" t="inlineStr">
        <is>
          <t>https://drive.google.com/file/d/1YUN-mtWYs48YBUHJk0C3vJXnhjyZFHyf/view</t>
        </is>
      </c>
    </row>
    <row r="1110">
      <c r="A1110" s="42" t="inlineStr">
        <is>
          <t>GSC-SL-001107</t>
        </is>
      </c>
      <c r="B1110" t="inlineStr">
        <is>
          <t>SZ-SL-001107</t>
        </is>
      </c>
      <c r="C1110" t="inlineStr">
        <is>
          <t>WT-SL-FIX-OUT</t>
        </is>
      </c>
      <c r="E1110" t="inlineStr">
        <is>
          <t>03611</t>
        </is>
      </c>
      <c r="F1110" t="b">
        <v>1</v>
      </c>
      <c r="G1110" t="n">
        <v>157</v>
      </c>
      <c r="H1110" t="inlineStr">
        <is>
          <t>無印</t>
        </is>
      </c>
      <c r="I1110" t="n">
        <v>157</v>
      </c>
      <c r="J1110" t="inlineStr">
        <is>
          <t>P157|無印</t>
        </is>
      </c>
      <c r="K1110" t="inlineStr">
        <is>
          <t>同頁凡例へ直接連動</t>
        </is>
      </c>
      <c r="L1110" t="inlineStr">
        <is>
          <t>202604_LIXIL_サーモスＬ_業務用資料集_完成品価格表.pdf</t>
        </is>
      </c>
      <c r="M1110" t="inlineStr">
        <is>
          <t>v0.6：同一価格表セクション内で凡例継承を確定。</t>
        </is>
      </c>
      <c r="N1110" t="inlineStr">
        <is>
          <t>https://drive.google.com/file/d/1YUN-mtWYs48YBUHJk0C3vJXnhjyZFHyf/view</t>
        </is>
      </c>
    </row>
    <row r="1111">
      <c r="A1111" s="42" t="inlineStr">
        <is>
          <t>GSC-SL-001108</t>
        </is>
      </c>
      <c r="B1111" t="inlineStr">
        <is>
          <t>SZ-SL-001108</t>
        </is>
      </c>
      <c r="C1111" t="inlineStr">
        <is>
          <t>WT-SL-FIX-OUT</t>
        </is>
      </c>
      <c r="E1111" t="inlineStr">
        <is>
          <t>03613</t>
        </is>
      </c>
      <c r="F1111" t="b">
        <v>1</v>
      </c>
      <c r="G1111" t="n">
        <v>157</v>
      </c>
      <c r="H1111" t="inlineStr">
        <is>
          <t>無印</t>
        </is>
      </c>
      <c r="I1111" t="n">
        <v>157</v>
      </c>
      <c r="J1111" t="inlineStr">
        <is>
          <t>P157|無印</t>
        </is>
      </c>
      <c r="K1111" t="inlineStr">
        <is>
          <t>同頁凡例へ直接連動</t>
        </is>
      </c>
      <c r="L1111" t="inlineStr">
        <is>
          <t>202604_LIXIL_サーモスＬ_業務用資料集_完成品価格表.pdf</t>
        </is>
      </c>
      <c r="M1111" t="inlineStr">
        <is>
          <t>v0.6：同一価格表セクション内で凡例継承を確定。</t>
        </is>
      </c>
      <c r="N1111" t="inlineStr">
        <is>
          <t>https://drive.google.com/file/d/1YUN-mtWYs48YBUHJk0C3vJXnhjyZFHyf/view</t>
        </is>
      </c>
    </row>
    <row r="1112">
      <c r="A1112" s="42" t="inlineStr">
        <is>
          <t>GSC-SL-001109</t>
        </is>
      </c>
      <c r="B1112" t="inlineStr">
        <is>
          <t>SZ-SL-001109</t>
        </is>
      </c>
      <c r="C1112" t="inlineStr">
        <is>
          <t>WT-SL-FIX-OUT</t>
        </is>
      </c>
      <c r="E1112" t="inlineStr">
        <is>
          <t>03615</t>
        </is>
      </c>
      <c r="F1112" t="b">
        <v>1</v>
      </c>
      <c r="G1112" t="n">
        <v>157</v>
      </c>
      <c r="H1112" t="inlineStr">
        <is>
          <t>無印</t>
        </is>
      </c>
      <c r="I1112" t="n">
        <v>157</v>
      </c>
      <c r="J1112" t="inlineStr">
        <is>
          <t>P157|無印</t>
        </is>
      </c>
      <c r="K1112" t="inlineStr">
        <is>
          <t>同頁凡例へ直接連動</t>
        </is>
      </c>
      <c r="L1112" t="inlineStr">
        <is>
          <t>202604_LIXIL_サーモスＬ_業務用資料集_完成品価格表.pdf</t>
        </is>
      </c>
      <c r="M1112" t="inlineStr">
        <is>
          <t>v0.6：同一価格表セクション内で凡例継承を確定。</t>
        </is>
      </c>
      <c r="N1112" t="inlineStr">
        <is>
          <t>https://drive.google.com/file/d/1YUN-mtWYs48YBUHJk0C3vJXnhjyZFHyf/view</t>
        </is>
      </c>
    </row>
    <row r="1113">
      <c r="A1113" s="42" t="inlineStr">
        <is>
          <t>GSC-SL-001110</t>
        </is>
      </c>
      <c r="B1113" t="inlineStr">
        <is>
          <t>SZ-SL-001110</t>
        </is>
      </c>
      <c r="C1113" t="inlineStr">
        <is>
          <t>WT-SL-FIX-OUT</t>
        </is>
      </c>
      <c r="E1113" t="inlineStr">
        <is>
          <t>06009</t>
        </is>
      </c>
      <c r="F1113" t="b">
        <v>1</v>
      </c>
      <c r="G1113" t="n">
        <v>157</v>
      </c>
      <c r="H1113" t="inlineStr">
        <is>
          <t>無印</t>
        </is>
      </c>
      <c r="I1113" t="n">
        <v>157</v>
      </c>
      <c r="J1113" t="inlineStr">
        <is>
          <t>P157|無印</t>
        </is>
      </c>
      <c r="K1113" t="inlineStr">
        <is>
          <t>同頁凡例へ直接連動</t>
        </is>
      </c>
      <c r="L1113" t="inlineStr">
        <is>
          <t>202604_LIXIL_サーモスＬ_業務用資料集_完成品価格表.pdf</t>
        </is>
      </c>
      <c r="M1113" t="inlineStr">
        <is>
          <t>v0.6：同一価格表セクション内で凡例継承を確定。</t>
        </is>
      </c>
      <c r="N1113" t="inlineStr">
        <is>
          <t>https://drive.google.com/file/d/1YUN-mtWYs48YBUHJk0C3vJXnhjyZFHyf/view</t>
        </is>
      </c>
    </row>
    <row r="1114">
      <c r="A1114" s="42" t="inlineStr">
        <is>
          <t>GSC-SL-001111</t>
        </is>
      </c>
      <c r="B1114" t="inlineStr">
        <is>
          <t>SZ-SL-001111</t>
        </is>
      </c>
      <c r="C1114" t="inlineStr">
        <is>
          <t>WT-SL-FIX-OUT</t>
        </is>
      </c>
      <c r="E1114" t="inlineStr">
        <is>
          <t>06011</t>
        </is>
      </c>
      <c r="F1114" t="b">
        <v>1</v>
      </c>
      <c r="G1114" t="n">
        <v>157</v>
      </c>
      <c r="H1114" t="inlineStr">
        <is>
          <t>無印</t>
        </is>
      </c>
      <c r="I1114" t="n">
        <v>157</v>
      </c>
      <c r="J1114" t="inlineStr">
        <is>
          <t>P157|無印</t>
        </is>
      </c>
      <c r="K1114" t="inlineStr">
        <is>
          <t>同頁凡例へ直接連動</t>
        </is>
      </c>
      <c r="L1114" t="inlineStr">
        <is>
          <t>202604_LIXIL_サーモスＬ_業務用資料集_完成品価格表.pdf</t>
        </is>
      </c>
      <c r="M1114" t="inlineStr">
        <is>
          <t>v0.6：同一価格表セクション内で凡例継承を確定。</t>
        </is>
      </c>
      <c r="N1114" t="inlineStr">
        <is>
          <t>https://drive.google.com/file/d/1YUN-mtWYs48YBUHJk0C3vJXnhjyZFHyf/view</t>
        </is>
      </c>
    </row>
    <row r="1115">
      <c r="A1115" s="42" t="inlineStr">
        <is>
          <t>GSC-SL-001112</t>
        </is>
      </c>
      <c r="B1115" t="inlineStr">
        <is>
          <t>SZ-SL-001112</t>
        </is>
      </c>
      <c r="C1115" t="inlineStr">
        <is>
          <t>WT-SL-FIX-OUT</t>
        </is>
      </c>
      <c r="E1115" t="inlineStr">
        <is>
          <t>06013</t>
        </is>
      </c>
      <c r="F1115" t="b">
        <v>1</v>
      </c>
      <c r="G1115" t="n">
        <v>157</v>
      </c>
      <c r="H1115" t="inlineStr">
        <is>
          <t>無印</t>
        </is>
      </c>
      <c r="I1115" t="n">
        <v>157</v>
      </c>
      <c r="J1115" t="inlineStr">
        <is>
          <t>P157|無印</t>
        </is>
      </c>
      <c r="K1115" t="inlineStr">
        <is>
          <t>同頁凡例へ直接連動</t>
        </is>
      </c>
      <c r="L1115" t="inlineStr">
        <is>
          <t>202604_LIXIL_サーモスＬ_業務用資料集_完成品価格表.pdf</t>
        </is>
      </c>
      <c r="M1115" t="inlineStr">
        <is>
          <t>v0.6：同一価格表セクション内で凡例継承を確定。</t>
        </is>
      </c>
      <c r="N1115" t="inlineStr">
        <is>
          <t>https://drive.google.com/file/d/1YUN-mtWYs48YBUHJk0C3vJXnhjyZFHyf/view</t>
        </is>
      </c>
    </row>
    <row r="1116">
      <c r="A1116" s="42" t="inlineStr">
        <is>
          <t>GSC-SL-001113</t>
        </is>
      </c>
      <c r="B1116" t="inlineStr">
        <is>
          <t>SZ-SL-001113</t>
        </is>
      </c>
      <c r="C1116" t="inlineStr">
        <is>
          <t>WT-SL-FIX-OUT</t>
        </is>
      </c>
      <c r="E1116" t="inlineStr">
        <is>
          <t>06015</t>
        </is>
      </c>
      <c r="F1116" t="b">
        <v>1</v>
      </c>
      <c r="G1116" t="n">
        <v>157</v>
      </c>
      <c r="H1116" t="inlineStr">
        <is>
          <t>無印</t>
        </is>
      </c>
      <c r="I1116" t="n">
        <v>157</v>
      </c>
      <c r="J1116" t="inlineStr">
        <is>
          <t>P157|無印</t>
        </is>
      </c>
      <c r="K1116" t="inlineStr">
        <is>
          <t>同頁凡例へ直接連動</t>
        </is>
      </c>
      <c r="L1116" t="inlineStr">
        <is>
          <t>202604_LIXIL_サーモスＬ_業務用資料集_完成品価格表.pdf</t>
        </is>
      </c>
      <c r="M1116" t="inlineStr">
        <is>
          <t>v0.6：同一価格表セクション内で凡例継承を確定。</t>
        </is>
      </c>
      <c r="N1116" t="inlineStr">
        <is>
          <t>https://drive.google.com/file/d/1YUN-mtWYs48YBUHJk0C3vJXnhjyZFHyf/view</t>
        </is>
      </c>
    </row>
    <row r="1117">
      <c r="A1117" s="42" t="inlineStr">
        <is>
          <t>GSC-SL-001114</t>
        </is>
      </c>
      <c r="B1117" t="inlineStr">
        <is>
          <t>SZ-SL-001114</t>
        </is>
      </c>
      <c r="C1117" t="inlineStr">
        <is>
          <t>WT-SL-FIX-OUT</t>
        </is>
      </c>
      <c r="E1117" t="inlineStr">
        <is>
          <t>06909</t>
        </is>
      </c>
      <c r="F1117" t="b">
        <v>1</v>
      </c>
      <c r="G1117" t="n">
        <v>158</v>
      </c>
      <c r="H1117" t="inlineStr">
        <is>
          <t>無印</t>
        </is>
      </c>
      <c r="I1117" t="n">
        <v>159</v>
      </c>
      <c r="J1117" t="inlineStr">
        <is>
          <t>P159|無印</t>
        </is>
      </c>
      <c r="K1117" t="inlineStr">
        <is>
          <t>同一価格表・次頁凡例を継承</t>
        </is>
      </c>
      <c r="L1117" t="inlineStr">
        <is>
          <t>202604_LIXIL_サーモスＬ_業務用資料集_完成品価格表.pdf</t>
        </is>
      </c>
      <c r="M1117" t="inlineStr">
        <is>
          <t>v0.6：同一価格表セクション内で凡例継承を確定。</t>
        </is>
      </c>
      <c r="N1117" t="inlineStr">
        <is>
          <t>https://drive.google.com/file/d/1YUN-mtWYs48YBUHJk0C3vJXnhjyZFHyf/view</t>
        </is>
      </c>
    </row>
    <row r="1118">
      <c r="A1118" s="42" t="inlineStr">
        <is>
          <t>GSC-SL-001115</t>
        </is>
      </c>
      <c r="B1118" t="inlineStr">
        <is>
          <t>SZ-SL-001115</t>
        </is>
      </c>
      <c r="C1118" t="inlineStr">
        <is>
          <t>WT-SL-FIX-OUT</t>
        </is>
      </c>
      <c r="E1118" t="inlineStr">
        <is>
          <t>06911</t>
        </is>
      </c>
      <c r="F1118" t="b">
        <v>1</v>
      </c>
      <c r="G1118" t="n">
        <v>158</v>
      </c>
      <c r="H1118" t="inlineStr">
        <is>
          <t>無印</t>
        </is>
      </c>
      <c r="I1118" t="n">
        <v>159</v>
      </c>
      <c r="J1118" t="inlineStr">
        <is>
          <t>P159|無印</t>
        </is>
      </c>
      <c r="K1118" t="inlineStr">
        <is>
          <t>同一価格表・次頁凡例を継承</t>
        </is>
      </c>
      <c r="L1118" t="inlineStr">
        <is>
          <t>202604_LIXIL_サーモスＬ_業務用資料集_完成品価格表.pdf</t>
        </is>
      </c>
      <c r="M1118" t="inlineStr">
        <is>
          <t>v0.6：同一価格表セクション内で凡例継承を確定。</t>
        </is>
      </c>
      <c r="N1118" t="inlineStr">
        <is>
          <t>https://drive.google.com/file/d/1YUN-mtWYs48YBUHJk0C3vJXnhjyZFHyf/view</t>
        </is>
      </c>
    </row>
    <row r="1119">
      <c r="A1119" s="42" t="inlineStr">
        <is>
          <t>GSC-SL-001116</t>
        </is>
      </c>
      <c r="B1119" t="inlineStr">
        <is>
          <t>SZ-SL-001116</t>
        </is>
      </c>
      <c r="C1119" t="inlineStr">
        <is>
          <t>WT-SL-FIX-OUT</t>
        </is>
      </c>
      <c r="E1119" t="inlineStr">
        <is>
          <t>06913</t>
        </is>
      </c>
      <c r="F1119" t="b">
        <v>1</v>
      </c>
      <c r="G1119" t="n">
        <v>158</v>
      </c>
      <c r="H1119" t="inlineStr">
        <is>
          <t>無印</t>
        </is>
      </c>
      <c r="I1119" t="n">
        <v>159</v>
      </c>
      <c r="J1119" t="inlineStr">
        <is>
          <t>P159|無印</t>
        </is>
      </c>
      <c r="K1119" t="inlineStr">
        <is>
          <t>同一価格表・次頁凡例を継承</t>
        </is>
      </c>
      <c r="L1119" t="inlineStr">
        <is>
          <t>202604_LIXIL_サーモスＬ_業務用資料集_完成品価格表.pdf</t>
        </is>
      </c>
      <c r="M1119" t="inlineStr">
        <is>
          <t>v0.6：同一価格表セクション内で凡例継承を確定。</t>
        </is>
      </c>
      <c r="N1119" t="inlineStr">
        <is>
          <t>https://drive.google.com/file/d/1YUN-mtWYs48YBUHJk0C3vJXnhjyZFHyf/view</t>
        </is>
      </c>
    </row>
    <row r="1120">
      <c r="A1120" s="42" t="inlineStr">
        <is>
          <t>GSC-SL-001117</t>
        </is>
      </c>
      <c r="B1120" t="inlineStr">
        <is>
          <t>SZ-SL-001117</t>
        </is>
      </c>
      <c r="C1120" t="inlineStr">
        <is>
          <t>WT-SL-FIX-OUT</t>
        </is>
      </c>
      <c r="E1120" t="inlineStr">
        <is>
          <t>06915</t>
        </is>
      </c>
      <c r="F1120" t="b">
        <v>1</v>
      </c>
      <c r="G1120" t="n">
        <v>158</v>
      </c>
      <c r="H1120" t="inlineStr">
        <is>
          <t>★</t>
        </is>
      </c>
      <c r="I1120" t="n">
        <v>159</v>
      </c>
      <c r="J1120" t="inlineStr">
        <is>
          <t>P159|★</t>
        </is>
      </c>
      <c r="K1120" t="inlineStr">
        <is>
          <t>同一価格表・次頁凡例を継承</t>
        </is>
      </c>
      <c r="L1120" t="inlineStr">
        <is>
          <t>202604_LIXIL_サーモスＬ_業務用資料集_完成品価格表.pdf</t>
        </is>
      </c>
      <c r="M1120" t="inlineStr">
        <is>
          <t>v0.6：同一価格表セクション内で凡例継承を確定。</t>
        </is>
      </c>
      <c r="N1120" t="inlineStr">
        <is>
          <t>https://drive.google.com/file/d/1YUN-mtWYs48YBUHJk0C3vJXnhjyZFHyf/view</t>
        </is>
      </c>
    </row>
    <row r="1121">
      <c r="A1121" s="42" t="inlineStr">
        <is>
          <t>GSC-SL-001118</t>
        </is>
      </c>
      <c r="B1121" t="inlineStr">
        <is>
          <t>SZ-SL-001118</t>
        </is>
      </c>
      <c r="C1121" t="inlineStr">
        <is>
          <t>WT-SL-FIX-OUT</t>
        </is>
      </c>
      <c r="E1121" t="inlineStr">
        <is>
          <t>07409</t>
        </is>
      </c>
      <c r="F1121" t="b">
        <v>1</v>
      </c>
      <c r="G1121" t="n">
        <v>158</v>
      </c>
      <c r="H1121" t="inlineStr">
        <is>
          <t>無印</t>
        </is>
      </c>
      <c r="I1121" t="n">
        <v>159</v>
      </c>
      <c r="J1121" t="inlineStr">
        <is>
          <t>P159|無印</t>
        </is>
      </c>
      <c r="K1121" t="inlineStr">
        <is>
          <t>同一価格表・次頁凡例を継承</t>
        </is>
      </c>
      <c r="L1121" t="inlineStr">
        <is>
          <t>202604_LIXIL_サーモスＬ_業務用資料集_完成品価格表.pdf</t>
        </is>
      </c>
      <c r="M1121" t="inlineStr">
        <is>
          <t>v0.6：同一価格表セクション内で凡例継承を確定。</t>
        </is>
      </c>
      <c r="N1121" t="inlineStr">
        <is>
          <t>https://drive.google.com/file/d/1YUN-mtWYs48YBUHJk0C3vJXnhjyZFHyf/view</t>
        </is>
      </c>
    </row>
    <row r="1122">
      <c r="A1122" s="42" t="inlineStr">
        <is>
          <t>GSC-SL-001119</t>
        </is>
      </c>
      <c r="B1122" t="inlineStr">
        <is>
          <t>SZ-SL-001119</t>
        </is>
      </c>
      <c r="C1122" t="inlineStr">
        <is>
          <t>WT-SL-FIX-OUT</t>
        </is>
      </c>
      <c r="E1122" t="inlineStr">
        <is>
          <t>07411</t>
        </is>
      </c>
      <c r="F1122" t="b">
        <v>1</v>
      </c>
      <c r="G1122" t="n">
        <v>158</v>
      </c>
      <c r="H1122" t="inlineStr">
        <is>
          <t>無印</t>
        </is>
      </c>
      <c r="I1122" t="n">
        <v>159</v>
      </c>
      <c r="J1122" t="inlineStr">
        <is>
          <t>P159|無印</t>
        </is>
      </c>
      <c r="K1122" t="inlineStr">
        <is>
          <t>同一価格表・次頁凡例を継承</t>
        </is>
      </c>
      <c r="L1122" t="inlineStr">
        <is>
          <t>202604_LIXIL_サーモスＬ_業務用資料集_完成品価格表.pdf</t>
        </is>
      </c>
      <c r="M1122" t="inlineStr">
        <is>
          <t>v0.6：同一価格表セクション内で凡例継承を確定。</t>
        </is>
      </c>
      <c r="N1122" t="inlineStr">
        <is>
          <t>https://drive.google.com/file/d/1YUN-mtWYs48YBUHJk0C3vJXnhjyZFHyf/view</t>
        </is>
      </c>
    </row>
    <row r="1123">
      <c r="A1123" s="42" t="inlineStr">
        <is>
          <t>GSC-SL-001120</t>
        </is>
      </c>
      <c r="B1123" t="inlineStr">
        <is>
          <t>SZ-SL-001120</t>
        </is>
      </c>
      <c r="C1123" t="inlineStr">
        <is>
          <t>WT-SL-FIX-OUT</t>
        </is>
      </c>
      <c r="E1123" t="inlineStr">
        <is>
          <t>07413</t>
        </is>
      </c>
      <c r="F1123" t="b">
        <v>1</v>
      </c>
      <c r="G1123" t="n">
        <v>158</v>
      </c>
      <c r="H1123" t="inlineStr">
        <is>
          <t>★</t>
        </is>
      </c>
      <c r="I1123" t="n">
        <v>159</v>
      </c>
      <c r="J1123" t="inlineStr">
        <is>
          <t>P159|★</t>
        </is>
      </c>
      <c r="K1123" t="inlineStr">
        <is>
          <t>同一価格表・次頁凡例を継承</t>
        </is>
      </c>
      <c r="L1123" t="inlineStr">
        <is>
          <t>202604_LIXIL_サーモスＬ_業務用資料集_完成品価格表.pdf</t>
        </is>
      </c>
      <c r="M1123" t="inlineStr">
        <is>
          <t>v0.6：同一価格表セクション内で凡例継承を確定。</t>
        </is>
      </c>
      <c r="N1123" t="inlineStr">
        <is>
          <t>https://drive.google.com/file/d/1YUN-mtWYs48YBUHJk0C3vJXnhjyZFHyf/view</t>
        </is>
      </c>
    </row>
    <row r="1124">
      <c r="A1124" s="42" t="inlineStr">
        <is>
          <t>GSC-SL-001121</t>
        </is>
      </c>
      <c r="B1124" t="inlineStr">
        <is>
          <t>SZ-SL-001121</t>
        </is>
      </c>
      <c r="C1124" t="inlineStr">
        <is>
          <t>WT-SL-FIX-OUT</t>
        </is>
      </c>
      <c r="E1124" t="inlineStr">
        <is>
          <t>07415</t>
        </is>
      </c>
      <c r="F1124" t="b">
        <v>1</v>
      </c>
      <c r="G1124" t="n">
        <v>158</v>
      </c>
      <c r="H1124" t="inlineStr">
        <is>
          <t>★</t>
        </is>
      </c>
      <c r="I1124" t="n">
        <v>159</v>
      </c>
      <c r="J1124" t="inlineStr">
        <is>
          <t>P159|★</t>
        </is>
      </c>
      <c r="K1124" t="inlineStr">
        <is>
          <t>同一価格表・次頁凡例を継承</t>
        </is>
      </c>
      <c r="L1124" t="inlineStr">
        <is>
          <t>202604_LIXIL_サーモスＬ_業務用資料集_完成品価格表.pdf</t>
        </is>
      </c>
      <c r="M1124" t="inlineStr">
        <is>
          <t>v0.6：同一価格表セクション内で凡例継承を確定。</t>
        </is>
      </c>
      <c r="N1124" t="inlineStr">
        <is>
          <t>https://drive.google.com/file/d/1YUN-mtWYs48YBUHJk0C3vJXnhjyZFHyf/view</t>
        </is>
      </c>
    </row>
    <row r="1125">
      <c r="A1125" s="42" t="inlineStr">
        <is>
          <t>GSC-SL-001122</t>
        </is>
      </c>
      <c r="B1125" t="inlineStr">
        <is>
          <t>SZ-SL-001122</t>
        </is>
      </c>
      <c r="C1125" t="inlineStr">
        <is>
          <t>WT-SL-FIX-OUT</t>
        </is>
      </c>
      <c r="E1125" t="inlineStr">
        <is>
          <t>096093</t>
        </is>
      </c>
      <c r="F1125" t="b">
        <v>1</v>
      </c>
      <c r="G1125" t="n">
        <v>158</v>
      </c>
      <c r="H1125" t="inlineStr">
        <is>
          <t>無印</t>
        </is>
      </c>
      <c r="I1125" t="n">
        <v>159</v>
      </c>
      <c r="J1125" t="inlineStr">
        <is>
          <t>P159|無印</t>
        </is>
      </c>
      <c r="K1125" t="inlineStr">
        <is>
          <t>同一価格表・次頁凡例を継承</t>
        </is>
      </c>
      <c r="L1125" t="inlineStr">
        <is>
          <t>202604_LIXIL_サーモスＬ_業務用資料集_完成品価格表.pdf</t>
        </is>
      </c>
      <c r="M1125" t="inlineStr">
        <is>
          <t>v0.6：同一価格表セクション内で凡例継承を確定。</t>
        </is>
      </c>
      <c r="N1125" t="inlineStr">
        <is>
          <t>https://drive.google.com/file/d/1YUN-mtWYs48YBUHJk0C3vJXnhjyZFHyf/view</t>
        </is>
      </c>
    </row>
    <row r="1126">
      <c r="A1126" s="42" t="inlineStr">
        <is>
          <t>GSC-SL-001123</t>
        </is>
      </c>
      <c r="B1126" t="inlineStr">
        <is>
          <t>SZ-SL-001123</t>
        </is>
      </c>
      <c r="C1126" t="inlineStr">
        <is>
          <t>WT-SL-FIX-OUT</t>
        </is>
      </c>
      <c r="E1126" t="inlineStr">
        <is>
          <t>11909</t>
        </is>
      </c>
      <c r="F1126" t="b">
        <v>1</v>
      </c>
      <c r="G1126" t="n">
        <v>159</v>
      </c>
      <c r="H1126" t="inlineStr">
        <is>
          <t>★</t>
        </is>
      </c>
      <c r="I1126" t="n">
        <v>159</v>
      </c>
      <c r="J1126" t="inlineStr">
        <is>
          <t>P159|★</t>
        </is>
      </c>
      <c r="K1126" t="inlineStr">
        <is>
          <t>同頁凡例へ直接連動</t>
        </is>
      </c>
      <c r="L1126" t="inlineStr">
        <is>
          <t>202604_LIXIL_サーモスＬ_業務用資料集_完成品価格表.pdf</t>
        </is>
      </c>
      <c r="M1126" t="inlineStr">
        <is>
          <t>v0.6：同一価格表セクション内で凡例継承を確定。</t>
        </is>
      </c>
      <c r="N1126" t="inlineStr">
        <is>
          <t>https://drive.google.com/file/d/1YUN-mtWYs48YBUHJk0C3vJXnhjyZFHyf/view</t>
        </is>
      </c>
    </row>
    <row r="1127">
      <c r="A1127" s="42" t="inlineStr">
        <is>
          <t>GSC-SL-001124</t>
        </is>
      </c>
      <c r="B1127" t="inlineStr">
        <is>
          <t>SZ-SL-001124</t>
        </is>
      </c>
      <c r="C1127" t="inlineStr">
        <is>
          <t>WT-SL-FIX-OUT</t>
        </is>
      </c>
      <c r="E1127" t="inlineStr">
        <is>
          <t>11911</t>
        </is>
      </c>
      <c r="F1127" t="b">
        <v>1</v>
      </c>
      <c r="G1127" t="n">
        <v>159</v>
      </c>
      <c r="H1127" t="inlineStr">
        <is>
          <t>☆</t>
        </is>
      </c>
      <c r="I1127" t="n">
        <v>159</v>
      </c>
      <c r="J1127" t="inlineStr">
        <is>
          <t>P159|☆</t>
        </is>
      </c>
      <c r="K1127" t="inlineStr">
        <is>
          <t>同頁凡例へ直接連動</t>
        </is>
      </c>
      <c r="L1127" t="inlineStr">
        <is>
          <t>202604_LIXIL_サーモスＬ_業務用資料集_完成品価格表.pdf</t>
        </is>
      </c>
      <c r="M1127" t="inlineStr">
        <is>
          <t>v0.6：同一価格表セクション内で凡例継承を確定。</t>
        </is>
      </c>
      <c r="N1127" t="inlineStr">
        <is>
          <t>https://drive.google.com/file/d/1YUN-mtWYs48YBUHJk0C3vJXnhjyZFHyf/view</t>
        </is>
      </c>
    </row>
    <row r="1128">
      <c r="A1128" s="42" t="inlineStr">
        <is>
          <t>GSC-SL-001125</t>
        </is>
      </c>
      <c r="B1128" t="inlineStr">
        <is>
          <t>SZ-SL-001125</t>
        </is>
      </c>
      <c r="C1128" t="inlineStr">
        <is>
          <t>WT-SL-FIX-OUT</t>
        </is>
      </c>
      <c r="E1128" t="inlineStr">
        <is>
          <t>119116</t>
        </is>
      </c>
      <c r="F1128" t="b">
        <v>1</v>
      </c>
      <c r="G1128" t="n">
        <v>159</v>
      </c>
      <c r="H1128" t="inlineStr">
        <is>
          <t>無印</t>
        </is>
      </c>
      <c r="I1128" t="n">
        <v>159</v>
      </c>
      <c r="J1128" t="inlineStr">
        <is>
          <t>P159|無印</t>
        </is>
      </c>
      <c r="K1128" t="inlineStr">
        <is>
          <t>同頁凡例へ直接連動</t>
        </is>
      </c>
      <c r="L1128" t="inlineStr">
        <is>
          <t>202604_LIXIL_サーモスＬ_業務用資料集_完成品価格表.pdf</t>
        </is>
      </c>
      <c r="M1128" t="inlineStr">
        <is>
          <t>v0.6：同一価格表セクション内で凡例継承を確定。</t>
        </is>
      </c>
      <c r="N1128" t="inlineStr">
        <is>
          <t>https://drive.google.com/file/d/1YUN-mtWYs48YBUHJk0C3vJXnhjyZFHyf/view</t>
        </is>
      </c>
    </row>
    <row r="1129">
      <c r="A1129" s="42" t="inlineStr">
        <is>
          <t>GSC-SL-001126</t>
        </is>
      </c>
      <c r="B1129" t="inlineStr">
        <is>
          <t>SZ-SL-001126</t>
        </is>
      </c>
      <c r="C1129" t="inlineStr">
        <is>
          <t>WT-SL-FIX-OUT</t>
        </is>
      </c>
      <c r="E1129" t="inlineStr">
        <is>
          <t>11913</t>
        </is>
      </c>
      <c r="F1129" t="b">
        <v>1</v>
      </c>
      <c r="G1129" t="n">
        <v>159</v>
      </c>
      <c r="H1129" t="inlineStr">
        <is>
          <t>無印</t>
        </is>
      </c>
      <c r="I1129" t="n">
        <v>159</v>
      </c>
      <c r="J1129" t="inlineStr">
        <is>
          <t>P159|無印</t>
        </is>
      </c>
      <c r="K1129" t="inlineStr">
        <is>
          <t>同頁凡例へ直接連動</t>
        </is>
      </c>
      <c r="L1129" t="inlineStr">
        <is>
          <t>202604_LIXIL_サーモスＬ_業務用資料集_完成品価格表.pdf</t>
        </is>
      </c>
      <c r="M1129" t="inlineStr">
        <is>
          <t>v0.6：同一価格表セクション内で凡例継承を確定。</t>
        </is>
      </c>
      <c r="N1129" t="inlineStr">
        <is>
          <t>https://drive.google.com/file/d/1YUN-mtWYs48YBUHJk0C3vJXnhjyZFHyf/view</t>
        </is>
      </c>
    </row>
    <row r="1130">
      <c r="A1130" s="42" t="inlineStr">
        <is>
          <t>GSC-SL-001127</t>
        </is>
      </c>
      <c r="B1130" t="inlineStr">
        <is>
          <t>SZ-SL-001127</t>
        </is>
      </c>
      <c r="C1130" t="inlineStr">
        <is>
          <t>WT-SL-FIX-OUT</t>
        </is>
      </c>
      <c r="E1130" t="inlineStr">
        <is>
          <t>11915</t>
        </is>
      </c>
      <c r="F1130" t="b">
        <v>1</v>
      </c>
      <c r="G1130" t="n">
        <v>159</v>
      </c>
      <c r="H1130" t="inlineStr">
        <is>
          <t>無印</t>
        </is>
      </c>
      <c r="I1130" t="n">
        <v>159</v>
      </c>
      <c r="J1130" t="inlineStr">
        <is>
          <t>P159|無印</t>
        </is>
      </c>
      <c r="K1130" t="inlineStr">
        <is>
          <t>同頁凡例へ直接連動</t>
        </is>
      </c>
      <c r="L1130" t="inlineStr">
        <is>
          <t>202604_LIXIL_サーモスＬ_業務用資料集_完成品価格表.pdf</t>
        </is>
      </c>
      <c r="M1130" t="inlineStr">
        <is>
          <t>v0.6：同一価格表セクション内で凡例継承を確定。</t>
        </is>
      </c>
      <c r="N1130" t="inlineStr">
        <is>
          <t>https://drive.google.com/file/d/1YUN-mtWYs48YBUHJk0C3vJXnhjyZFHyf/view</t>
        </is>
      </c>
    </row>
    <row r="1131">
      <c r="A1131" s="42" t="inlineStr">
        <is>
          <t>GSC-SL-001128</t>
        </is>
      </c>
      <c r="B1131" t="inlineStr">
        <is>
          <t>SZ-SL-001128</t>
        </is>
      </c>
      <c r="C1131" t="inlineStr">
        <is>
          <t>WT-SL-FIX-OUT</t>
        </is>
      </c>
      <c r="E1131" t="inlineStr">
        <is>
          <t>16509</t>
        </is>
      </c>
      <c r="F1131" t="b">
        <v>1</v>
      </c>
      <c r="G1131" t="n">
        <v>159</v>
      </c>
      <c r="H1131" t="inlineStr">
        <is>
          <t>無印</t>
        </is>
      </c>
      <c r="I1131" t="n">
        <v>159</v>
      </c>
      <c r="J1131" t="inlineStr">
        <is>
          <t>P159|無印</t>
        </is>
      </c>
      <c r="K1131" t="inlineStr">
        <is>
          <t>同頁凡例へ直接連動</t>
        </is>
      </c>
      <c r="L1131" t="inlineStr">
        <is>
          <t>202604_LIXIL_サーモスＬ_業務用資料集_完成品価格表.pdf</t>
        </is>
      </c>
      <c r="M1131" t="inlineStr">
        <is>
          <t>v0.6：同一価格表セクション内で凡例継承を確定。</t>
        </is>
      </c>
      <c r="N1131" t="inlineStr">
        <is>
          <t>https://drive.google.com/file/d/1YUN-mtWYs48YBUHJk0C3vJXnhjyZFHyf/view</t>
        </is>
      </c>
    </row>
    <row r="1132">
      <c r="A1132" s="42" t="inlineStr">
        <is>
          <t>GSC-SL-001129</t>
        </is>
      </c>
      <c r="B1132" t="inlineStr">
        <is>
          <t>SZ-SL-001129</t>
        </is>
      </c>
      <c r="C1132" t="inlineStr">
        <is>
          <t>WT-SL-FIX-OUT</t>
        </is>
      </c>
      <c r="E1132" t="inlineStr">
        <is>
          <t>16511</t>
        </is>
      </c>
      <c r="F1132" t="b">
        <v>1</v>
      </c>
      <c r="G1132" t="n">
        <v>159</v>
      </c>
      <c r="H1132" t="inlineStr">
        <is>
          <t>無印</t>
        </is>
      </c>
      <c r="I1132" t="n">
        <v>159</v>
      </c>
      <c r="J1132" t="inlineStr">
        <is>
          <t>P159|無印</t>
        </is>
      </c>
      <c r="K1132" t="inlineStr">
        <is>
          <t>同頁凡例へ直接連動</t>
        </is>
      </c>
      <c r="L1132" t="inlineStr">
        <is>
          <t>202604_LIXIL_サーモスＬ_業務用資料集_完成品価格表.pdf</t>
        </is>
      </c>
      <c r="M1132" t="inlineStr">
        <is>
          <t>v0.6：同一価格表セクション内で凡例継承を確定。</t>
        </is>
      </c>
      <c r="N1132" t="inlineStr">
        <is>
          <t>https://drive.google.com/file/d/1YUN-mtWYs48YBUHJk0C3vJXnhjyZFHyf/view</t>
        </is>
      </c>
    </row>
    <row r="1133">
      <c r="A1133" s="42" t="inlineStr">
        <is>
          <t>GSC-SL-001130</t>
        </is>
      </c>
      <c r="B1133" t="inlineStr">
        <is>
          <t>SZ-SL-001130</t>
        </is>
      </c>
      <c r="C1133" t="inlineStr">
        <is>
          <t>WT-SL-FIX-OUT</t>
        </is>
      </c>
      <c r="E1133" t="inlineStr">
        <is>
          <t>16513</t>
        </is>
      </c>
      <c r="F1133" t="b">
        <v>1</v>
      </c>
      <c r="G1133" t="n">
        <v>159</v>
      </c>
      <c r="H1133" t="inlineStr">
        <is>
          <t>●</t>
        </is>
      </c>
      <c r="I1133" t="n">
        <v>159</v>
      </c>
      <c r="J1133" t="inlineStr">
        <is>
          <t>P159|●</t>
        </is>
      </c>
      <c r="K1133" t="inlineStr">
        <is>
          <t>同頁凡例へ直接連動</t>
        </is>
      </c>
      <c r="L1133" t="inlineStr">
        <is>
          <t>202604_LIXIL_サーモスＬ_業務用資料集_完成品価格表.pdf</t>
        </is>
      </c>
      <c r="M1133" t="inlineStr">
        <is>
          <t>v0.6：同一価格表セクション内で凡例継承を確定。</t>
        </is>
      </c>
      <c r="N1133" t="inlineStr">
        <is>
          <t>https://drive.google.com/file/d/1YUN-mtWYs48YBUHJk0C3vJXnhjyZFHyf/view</t>
        </is>
      </c>
    </row>
    <row r="1134">
      <c r="A1134" s="42" t="inlineStr">
        <is>
          <t>GSC-SL-001131</t>
        </is>
      </c>
      <c r="B1134" t="inlineStr">
        <is>
          <t>SZ-SL-001131</t>
        </is>
      </c>
      <c r="C1134" t="inlineStr">
        <is>
          <t>WT-SL-FIX-OUT</t>
        </is>
      </c>
      <c r="E1134" t="inlineStr">
        <is>
          <t>16515</t>
        </is>
      </c>
      <c r="F1134" t="b">
        <v>1</v>
      </c>
      <c r="G1134" t="n">
        <v>159</v>
      </c>
      <c r="H1134" t="inlineStr">
        <is>
          <t>◇</t>
        </is>
      </c>
      <c r="I1134" t="n">
        <v>159</v>
      </c>
      <c r="J1134" t="inlineStr">
        <is>
          <t>P159|◇</t>
        </is>
      </c>
      <c r="K1134" t="inlineStr">
        <is>
          <t>同頁凡例へ直接連動</t>
        </is>
      </c>
      <c r="L1134" t="inlineStr">
        <is>
          <t>202604_LIXIL_サーモスＬ_業務用資料集_完成品価格表.pdf</t>
        </is>
      </c>
      <c r="M1134" t="inlineStr">
        <is>
          <t>v0.6：同一価格表セクション内で凡例継承を確定。</t>
        </is>
      </c>
      <c r="N1134" t="inlineStr">
        <is>
          <t>https://drive.google.com/file/d/1YUN-mtWYs48YBUHJk0C3vJXnhjyZFHyf/view</t>
        </is>
      </c>
    </row>
    <row r="1135">
      <c r="A1135" s="42" t="inlineStr">
        <is>
          <t>GSC-SL-001132</t>
        </is>
      </c>
      <c r="B1135" t="inlineStr">
        <is>
          <t>SZ-SL-001132</t>
        </is>
      </c>
      <c r="C1135" t="inlineStr">
        <is>
          <t>WT-SL-FIX-OUT</t>
        </is>
      </c>
      <c r="E1135" t="inlineStr">
        <is>
          <t>01618</t>
        </is>
      </c>
      <c r="F1135" t="b">
        <v>1</v>
      </c>
      <c r="G1135" t="n">
        <v>160</v>
      </c>
      <c r="H1135" t="inlineStr">
        <is>
          <t>無印</t>
        </is>
      </c>
      <c r="I1135" t="n">
        <v>160</v>
      </c>
      <c r="J1135" t="inlineStr">
        <is>
          <t>P160|無印</t>
        </is>
      </c>
      <c r="K1135" t="inlineStr">
        <is>
          <t>同頁凡例へ直接連動</t>
        </is>
      </c>
      <c r="L1135" t="inlineStr">
        <is>
          <t>202604_LIXIL_サーモスＬ_業務用資料集_完成品価格表.pdf</t>
        </is>
      </c>
      <c r="M1135" t="inlineStr">
        <is>
          <t>v0.6：同一価格表セクション内で凡例継承を確定。</t>
        </is>
      </c>
      <c r="N1135" t="inlineStr">
        <is>
          <t>https://drive.google.com/file/d/1YUN-mtWYs48YBUHJk0C3vJXnhjyZFHyf/view</t>
        </is>
      </c>
    </row>
    <row r="1136">
      <c r="A1136" s="42" t="inlineStr">
        <is>
          <t>GSC-SL-001133</t>
        </is>
      </c>
      <c r="B1136" t="inlineStr">
        <is>
          <t>SZ-SL-001133</t>
        </is>
      </c>
      <c r="C1136" t="inlineStr">
        <is>
          <t>WT-SL-FIX-OUT</t>
        </is>
      </c>
      <c r="E1136" t="inlineStr">
        <is>
          <t>01620</t>
        </is>
      </c>
      <c r="F1136" t="b">
        <v>1</v>
      </c>
      <c r="G1136" t="n">
        <v>160</v>
      </c>
      <c r="H1136" t="inlineStr">
        <is>
          <t>無印</t>
        </is>
      </c>
      <c r="I1136" t="n">
        <v>160</v>
      </c>
      <c r="J1136" t="inlineStr">
        <is>
          <t>P160|無印</t>
        </is>
      </c>
      <c r="K1136" t="inlineStr">
        <is>
          <t>同頁凡例へ直接連動</t>
        </is>
      </c>
      <c r="L1136" t="inlineStr">
        <is>
          <t>202604_LIXIL_サーモスＬ_業務用資料集_完成品価格表.pdf</t>
        </is>
      </c>
      <c r="M1136" t="inlineStr">
        <is>
          <t>v0.6：同一価格表セクション内で凡例継承を確定。</t>
        </is>
      </c>
      <c r="N1136" t="inlineStr">
        <is>
          <t>https://drive.google.com/file/d/1YUN-mtWYs48YBUHJk0C3vJXnhjyZFHyf/view</t>
        </is>
      </c>
    </row>
    <row r="1137">
      <c r="A1137" s="42" t="inlineStr">
        <is>
          <t>GSC-SL-001134</t>
        </is>
      </c>
      <c r="B1137" t="inlineStr">
        <is>
          <t>SZ-SL-001134</t>
        </is>
      </c>
      <c r="C1137" t="inlineStr">
        <is>
          <t>WT-SL-FIX-OUT</t>
        </is>
      </c>
      <c r="E1137" t="inlineStr">
        <is>
          <t>01622</t>
        </is>
      </c>
      <c r="F1137" t="b">
        <v>1</v>
      </c>
      <c r="G1137" t="n">
        <v>160</v>
      </c>
      <c r="H1137" t="inlineStr">
        <is>
          <t>無印</t>
        </is>
      </c>
      <c r="I1137" t="n">
        <v>160</v>
      </c>
      <c r="J1137" t="inlineStr">
        <is>
          <t>P160|無印</t>
        </is>
      </c>
      <c r="K1137" t="inlineStr">
        <is>
          <t>同頁凡例へ直接連動</t>
        </is>
      </c>
      <c r="L1137" t="inlineStr">
        <is>
          <t>202604_LIXIL_サーモスＬ_業務用資料集_完成品価格表.pdf</t>
        </is>
      </c>
      <c r="M1137" t="inlineStr">
        <is>
          <t>v0.6：同一価格表セクション内で凡例継承を確定。</t>
        </is>
      </c>
      <c r="N1137" t="inlineStr">
        <is>
          <t>https://drive.google.com/file/d/1YUN-mtWYs48YBUHJk0C3vJXnhjyZFHyf/view</t>
        </is>
      </c>
    </row>
    <row r="1138">
      <c r="A1138" s="42" t="inlineStr">
        <is>
          <t>GSC-SL-001135</t>
        </is>
      </c>
      <c r="B1138" t="inlineStr">
        <is>
          <t>SZ-SL-001135</t>
        </is>
      </c>
      <c r="C1138" t="inlineStr">
        <is>
          <t>WT-SL-FIX-OUT</t>
        </is>
      </c>
      <c r="E1138" t="inlineStr">
        <is>
          <t>02118</t>
        </is>
      </c>
      <c r="F1138" t="b">
        <v>1</v>
      </c>
      <c r="G1138" t="n">
        <v>160</v>
      </c>
      <c r="H1138" t="inlineStr">
        <is>
          <t>無印</t>
        </is>
      </c>
      <c r="I1138" t="n">
        <v>160</v>
      </c>
      <c r="J1138" t="inlineStr">
        <is>
          <t>P160|無印</t>
        </is>
      </c>
      <c r="K1138" t="inlineStr">
        <is>
          <t>同頁凡例へ直接連動</t>
        </is>
      </c>
      <c r="L1138" t="inlineStr">
        <is>
          <t>202604_LIXIL_サーモスＬ_業務用資料集_完成品価格表.pdf</t>
        </is>
      </c>
      <c r="M1138" t="inlineStr">
        <is>
          <t>v0.6：同一価格表セクション内で凡例継承を確定。</t>
        </is>
      </c>
      <c r="N1138" t="inlineStr">
        <is>
          <t>https://drive.google.com/file/d/1YUN-mtWYs48YBUHJk0C3vJXnhjyZFHyf/view</t>
        </is>
      </c>
    </row>
    <row r="1139">
      <c r="A1139" s="42" t="inlineStr">
        <is>
          <t>GSC-SL-001136</t>
        </is>
      </c>
      <c r="B1139" t="inlineStr">
        <is>
          <t>SZ-SL-001136</t>
        </is>
      </c>
      <c r="C1139" t="inlineStr">
        <is>
          <t>WT-SL-FIX-OUT</t>
        </is>
      </c>
      <c r="E1139" t="inlineStr">
        <is>
          <t>02120</t>
        </is>
      </c>
      <c r="F1139" t="b">
        <v>1</v>
      </c>
      <c r="G1139" t="n">
        <v>160</v>
      </c>
      <c r="H1139" t="inlineStr">
        <is>
          <t>無印</t>
        </is>
      </c>
      <c r="I1139" t="n">
        <v>160</v>
      </c>
      <c r="J1139" t="inlineStr">
        <is>
          <t>P160|無印</t>
        </is>
      </c>
      <c r="K1139" t="inlineStr">
        <is>
          <t>同頁凡例へ直接連動</t>
        </is>
      </c>
      <c r="L1139" t="inlineStr">
        <is>
          <t>202604_LIXIL_サーモスＬ_業務用資料集_完成品価格表.pdf</t>
        </is>
      </c>
      <c r="M1139" t="inlineStr">
        <is>
          <t>v0.6：同一価格表セクション内で凡例継承を確定。</t>
        </is>
      </c>
      <c r="N1139" t="inlineStr">
        <is>
          <t>https://drive.google.com/file/d/1YUN-mtWYs48YBUHJk0C3vJXnhjyZFHyf/view</t>
        </is>
      </c>
    </row>
    <row r="1140">
      <c r="A1140" s="42" t="inlineStr">
        <is>
          <t>GSC-SL-001137</t>
        </is>
      </c>
      <c r="B1140" t="inlineStr">
        <is>
          <t>SZ-SL-001137</t>
        </is>
      </c>
      <c r="C1140" t="inlineStr">
        <is>
          <t>WT-SL-FIX-OUT</t>
        </is>
      </c>
      <c r="E1140" t="inlineStr">
        <is>
          <t>02122</t>
        </is>
      </c>
      <c r="F1140" t="b">
        <v>1</v>
      </c>
      <c r="G1140" t="n">
        <v>160</v>
      </c>
      <c r="H1140" t="inlineStr">
        <is>
          <t>無印</t>
        </is>
      </c>
      <c r="I1140" t="n">
        <v>160</v>
      </c>
      <c r="J1140" t="inlineStr">
        <is>
          <t>P160|無印</t>
        </is>
      </c>
      <c r="K1140" t="inlineStr">
        <is>
          <t>同頁凡例へ直接連動</t>
        </is>
      </c>
      <c r="L1140" t="inlineStr">
        <is>
          <t>202604_LIXIL_サーモスＬ_業務用資料集_完成品価格表.pdf</t>
        </is>
      </c>
      <c r="M1140" t="inlineStr">
        <is>
          <t>v0.6：同一価格表セクション内で凡例継承を確定。</t>
        </is>
      </c>
      <c r="N1140" t="inlineStr">
        <is>
          <t>https://drive.google.com/file/d/1YUN-mtWYs48YBUHJk0C3vJXnhjyZFHyf/view</t>
        </is>
      </c>
    </row>
    <row r="1141">
      <c r="A1141" s="42" t="inlineStr">
        <is>
          <t>GSC-SL-001138</t>
        </is>
      </c>
      <c r="B1141" t="inlineStr">
        <is>
          <t>SZ-SL-001138</t>
        </is>
      </c>
      <c r="C1141" t="inlineStr">
        <is>
          <t>WT-SL-FIX-OUT</t>
        </is>
      </c>
      <c r="E1141" t="inlineStr">
        <is>
          <t>02618</t>
        </is>
      </c>
      <c r="F1141" t="b">
        <v>1</v>
      </c>
      <c r="G1141" t="n">
        <v>160</v>
      </c>
      <c r="H1141" t="inlineStr">
        <is>
          <t>無印</t>
        </is>
      </c>
      <c r="I1141" t="n">
        <v>160</v>
      </c>
      <c r="J1141" t="inlineStr">
        <is>
          <t>P160|無印</t>
        </is>
      </c>
      <c r="K1141" t="inlineStr">
        <is>
          <t>同頁凡例へ直接連動</t>
        </is>
      </c>
      <c r="L1141" t="inlineStr">
        <is>
          <t>202604_LIXIL_サーモスＬ_業務用資料集_完成品価格表.pdf</t>
        </is>
      </c>
      <c r="M1141" t="inlineStr">
        <is>
          <t>v0.6：同一価格表セクション内で凡例継承を確定。</t>
        </is>
      </c>
      <c r="N1141" t="inlineStr">
        <is>
          <t>https://drive.google.com/file/d/1YUN-mtWYs48YBUHJk0C3vJXnhjyZFHyf/view</t>
        </is>
      </c>
    </row>
    <row r="1142">
      <c r="A1142" s="42" t="inlineStr">
        <is>
          <t>GSC-SL-001139</t>
        </is>
      </c>
      <c r="B1142" t="inlineStr">
        <is>
          <t>SZ-SL-001139</t>
        </is>
      </c>
      <c r="C1142" t="inlineStr">
        <is>
          <t>WT-SL-FIX-OUT</t>
        </is>
      </c>
      <c r="E1142" t="inlineStr">
        <is>
          <t>02620</t>
        </is>
      </c>
      <c r="F1142" t="b">
        <v>1</v>
      </c>
      <c r="G1142" t="n">
        <v>160</v>
      </c>
      <c r="H1142" t="inlineStr">
        <is>
          <t>無印</t>
        </is>
      </c>
      <c r="I1142" t="n">
        <v>160</v>
      </c>
      <c r="J1142" t="inlineStr">
        <is>
          <t>P160|無印</t>
        </is>
      </c>
      <c r="K1142" t="inlineStr">
        <is>
          <t>同頁凡例へ直接連動</t>
        </is>
      </c>
      <c r="L1142" t="inlineStr">
        <is>
          <t>202604_LIXIL_サーモスＬ_業務用資料集_完成品価格表.pdf</t>
        </is>
      </c>
      <c r="M1142" t="inlineStr">
        <is>
          <t>v0.6：同一価格表セクション内で凡例継承を確定。</t>
        </is>
      </c>
      <c r="N1142" t="inlineStr">
        <is>
          <t>https://drive.google.com/file/d/1YUN-mtWYs48YBUHJk0C3vJXnhjyZFHyf/view</t>
        </is>
      </c>
    </row>
    <row r="1143">
      <c r="A1143" s="42" t="inlineStr">
        <is>
          <t>GSC-SL-001140</t>
        </is>
      </c>
      <c r="B1143" t="inlineStr">
        <is>
          <t>SZ-SL-001140</t>
        </is>
      </c>
      <c r="C1143" t="inlineStr">
        <is>
          <t>WT-SL-FIX-OUT</t>
        </is>
      </c>
      <c r="E1143" t="inlineStr">
        <is>
          <t>02622</t>
        </is>
      </c>
      <c r="F1143" t="b">
        <v>1</v>
      </c>
      <c r="G1143" t="n">
        <v>160</v>
      </c>
      <c r="H1143" t="inlineStr">
        <is>
          <t>無印</t>
        </is>
      </c>
      <c r="I1143" t="n">
        <v>160</v>
      </c>
      <c r="J1143" t="inlineStr">
        <is>
          <t>P160|無印</t>
        </is>
      </c>
      <c r="K1143" t="inlineStr">
        <is>
          <t>同頁凡例へ直接連動</t>
        </is>
      </c>
      <c r="L1143" t="inlineStr">
        <is>
          <t>202604_LIXIL_サーモスＬ_業務用資料集_完成品価格表.pdf</t>
        </is>
      </c>
      <c r="M1143" t="inlineStr">
        <is>
          <t>v0.6：同一価格表セクション内で凡例継承を確定。</t>
        </is>
      </c>
      <c r="N1143" t="inlineStr">
        <is>
          <t>https://drive.google.com/file/d/1YUN-mtWYs48YBUHJk0C3vJXnhjyZFHyf/view</t>
        </is>
      </c>
    </row>
    <row r="1144">
      <c r="A1144" s="42" t="inlineStr">
        <is>
          <t>GSC-SL-001141</t>
        </is>
      </c>
      <c r="B1144" t="inlineStr">
        <is>
          <t>SZ-SL-001141</t>
        </is>
      </c>
      <c r="C1144" t="inlineStr">
        <is>
          <t>WT-SL-FIX-OUT</t>
        </is>
      </c>
      <c r="E1144" t="inlineStr">
        <is>
          <t>03118</t>
        </is>
      </c>
      <c r="F1144" t="b">
        <v>1</v>
      </c>
      <c r="G1144" t="n">
        <v>161</v>
      </c>
      <c r="H1144" t="inlineStr">
        <is>
          <t>無印</t>
        </is>
      </c>
      <c r="I1144" t="n">
        <v>160</v>
      </c>
      <c r="J1144" t="inlineStr">
        <is>
          <t>P160|無印</t>
        </is>
      </c>
      <c r="K1144" t="inlineStr">
        <is>
          <t>同一価格表・前頁凡例を継承</t>
        </is>
      </c>
      <c r="L1144" t="inlineStr">
        <is>
          <t>202604_LIXIL_サーモスＬ_業務用資料集_完成品価格表.pdf</t>
        </is>
      </c>
      <c r="M1144" t="inlineStr">
        <is>
          <t>v0.6：同一価格表セクション内で凡例継承を確定。</t>
        </is>
      </c>
      <c r="N1144" t="inlineStr">
        <is>
          <t>https://drive.google.com/file/d/1YUN-mtWYs48YBUHJk0C3vJXnhjyZFHyf/view</t>
        </is>
      </c>
    </row>
    <row r="1145">
      <c r="A1145" s="42" t="inlineStr">
        <is>
          <t>GSC-SL-001142</t>
        </is>
      </c>
      <c r="B1145" t="inlineStr">
        <is>
          <t>SZ-SL-001142</t>
        </is>
      </c>
      <c r="C1145" t="inlineStr">
        <is>
          <t>WT-SL-FIX-OUT</t>
        </is>
      </c>
      <c r="E1145" t="inlineStr">
        <is>
          <t>03120</t>
        </is>
      </c>
      <c r="F1145" t="b">
        <v>1</v>
      </c>
      <c r="G1145" t="n">
        <v>161</v>
      </c>
      <c r="H1145" t="inlineStr">
        <is>
          <t>無印</t>
        </is>
      </c>
      <c r="I1145" t="n">
        <v>160</v>
      </c>
      <c r="J1145" t="inlineStr">
        <is>
          <t>P160|無印</t>
        </is>
      </c>
      <c r="K1145" t="inlineStr">
        <is>
          <t>同一価格表・前頁凡例を継承</t>
        </is>
      </c>
      <c r="L1145" t="inlineStr">
        <is>
          <t>202604_LIXIL_サーモスＬ_業務用資料集_完成品価格表.pdf</t>
        </is>
      </c>
      <c r="M1145" t="inlineStr">
        <is>
          <t>v0.6：同一価格表セクション内で凡例継承を確定。</t>
        </is>
      </c>
      <c r="N1145" t="inlineStr">
        <is>
          <t>https://drive.google.com/file/d/1YUN-mtWYs48YBUHJk0C3vJXnhjyZFHyf/view</t>
        </is>
      </c>
    </row>
    <row r="1146">
      <c r="A1146" s="42" t="inlineStr">
        <is>
          <t>GSC-SL-001143</t>
        </is>
      </c>
      <c r="B1146" t="inlineStr">
        <is>
          <t>SZ-SL-001143</t>
        </is>
      </c>
      <c r="C1146" t="inlineStr">
        <is>
          <t>WT-SL-FIX-OUT</t>
        </is>
      </c>
      <c r="E1146" t="inlineStr">
        <is>
          <t>03122</t>
        </is>
      </c>
      <c r="F1146" t="b">
        <v>1</v>
      </c>
      <c r="G1146" t="n">
        <v>161</v>
      </c>
      <c r="H1146" t="inlineStr">
        <is>
          <t>無印</t>
        </is>
      </c>
      <c r="I1146" t="n">
        <v>160</v>
      </c>
      <c r="J1146" t="inlineStr">
        <is>
          <t>P160|無印</t>
        </is>
      </c>
      <c r="K1146" t="inlineStr">
        <is>
          <t>同一価格表・前頁凡例を継承</t>
        </is>
      </c>
      <c r="L1146" t="inlineStr">
        <is>
          <t>202604_LIXIL_サーモスＬ_業務用資料集_完成品価格表.pdf</t>
        </is>
      </c>
      <c r="M1146" t="inlineStr">
        <is>
          <t>v0.6：同一価格表セクション内で凡例継承を確定。</t>
        </is>
      </c>
      <c r="N1146" t="inlineStr">
        <is>
          <t>https://drive.google.com/file/d/1YUN-mtWYs48YBUHJk0C3vJXnhjyZFHyf/view</t>
        </is>
      </c>
    </row>
    <row r="1147">
      <c r="A1147" s="42" t="inlineStr">
        <is>
          <t>GSC-SL-001144</t>
        </is>
      </c>
      <c r="B1147" t="inlineStr">
        <is>
          <t>SZ-SL-001144</t>
        </is>
      </c>
      <c r="C1147" t="inlineStr">
        <is>
          <t>WT-SL-FIX-OUT</t>
        </is>
      </c>
      <c r="E1147" t="inlineStr">
        <is>
          <t>03618</t>
        </is>
      </c>
      <c r="F1147" t="b">
        <v>1</v>
      </c>
      <c r="G1147" t="n">
        <v>164</v>
      </c>
      <c r="H1147" t="inlineStr">
        <is>
          <t>無印</t>
        </is>
      </c>
      <c r="I1147" t="n">
        <v>164</v>
      </c>
      <c r="J1147" t="inlineStr">
        <is>
          <t>P164|無印</t>
        </is>
      </c>
      <c r="K1147" t="inlineStr">
        <is>
          <t>同頁凡例へ直接連動</t>
        </is>
      </c>
      <c r="L1147" t="inlineStr">
        <is>
          <t>202604_LIXIL_サーモスＬ_業務用資料集_完成品価格表.pdf</t>
        </is>
      </c>
      <c r="M1147" t="inlineStr">
        <is>
          <t>v0.6：同一価格表セクション内で凡例継承を確定。</t>
        </is>
      </c>
      <c r="N1147" t="inlineStr">
        <is>
          <t>https://drive.google.com/file/d/1YUN-mtWYs48YBUHJk0C3vJXnhjyZFHyf/view</t>
        </is>
      </c>
    </row>
    <row r="1148">
      <c r="A1148" s="42" t="inlineStr">
        <is>
          <t>GSC-SL-001145</t>
        </is>
      </c>
      <c r="B1148" t="inlineStr">
        <is>
          <t>SZ-SL-001145</t>
        </is>
      </c>
      <c r="C1148" t="inlineStr">
        <is>
          <t>WT-SL-FIX-OUT</t>
        </is>
      </c>
      <c r="E1148" t="inlineStr">
        <is>
          <t>03620</t>
        </is>
      </c>
      <c r="F1148" t="b">
        <v>1</v>
      </c>
      <c r="G1148" t="n">
        <v>164</v>
      </c>
      <c r="H1148" t="inlineStr">
        <is>
          <t>無印</t>
        </is>
      </c>
      <c r="I1148" t="n">
        <v>164</v>
      </c>
      <c r="J1148" t="inlineStr">
        <is>
          <t>P164|無印</t>
        </is>
      </c>
      <c r="K1148" t="inlineStr">
        <is>
          <t>同頁凡例へ直接連動</t>
        </is>
      </c>
      <c r="L1148" t="inlineStr">
        <is>
          <t>202604_LIXIL_サーモスＬ_業務用資料集_完成品価格表.pdf</t>
        </is>
      </c>
      <c r="M1148" t="inlineStr">
        <is>
          <t>v0.6：同一価格表セクション内で凡例継承を確定。</t>
        </is>
      </c>
      <c r="N1148" t="inlineStr">
        <is>
          <t>https://drive.google.com/file/d/1YUN-mtWYs48YBUHJk0C3vJXnhjyZFHyf/view</t>
        </is>
      </c>
    </row>
    <row r="1149">
      <c r="A1149" s="42" t="inlineStr">
        <is>
          <t>GSC-SL-001146</t>
        </is>
      </c>
      <c r="B1149" t="inlineStr">
        <is>
          <t>SZ-SL-001146</t>
        </is>
      </c>
      <c r="C1149" t="inlineStr">
        <is>
          <t>WT-SL-FIX-OUT</t>
        </is>
      </c>
      <c r="E1149" t="inlineStr">
        <is>
          <t>03622</t>
        </is>
      </c>
      <c r="F1149" t="b">
        <v>1</v>
      </c>
      <c r="G1149" t="n">
        <v>164</v>
      </c>
      <c r="H1149" t="inlineStr">
        <is>
          <t>無印</t>
        </is>
      </c>
      <c r="I1149" t="n">
        <v>164</v>
      </c>
      <c r="J1149" t="inlineStr">
        <is>
          <t>P164|無印</t>
        </is>
      </c>
      <c r="K1149" t="inlineStr">
        <is>
          <t>同頁凡例へ直接連動</t>
        </is>
      </c>
      <c r="L1149" t="inlineStr">
        <is>
          <t>202604_LIXIL_サーモスＬ_業務用資料集_完成品価格表.pdf</t>
        </is>
      </c>
      <c r="M1149" t="inlineStr">
        <is>
          <t>v0.6：同一価格表セクション内で凡例継承を確定。</t>
        </is>
      </c>
      <c r="N1149" t="inlineStr">
        <is>
          <t>https://drive.google.com/file/d/1YUN-mtWYs48YBUHJk0C3vJXnhjyZFHyf/view</t>
        </is>
      </c>
    </row>
    <row r="1150">
      <c r="A1150" s="42" t="inlineStr">
        <is>
          <t>GSC-SL-001147</t>
        </is>
      </c>
      <c r="B1150" t="inlineStr">
        <is>
          <t>SZ-SL-001147</t>
        </is>
      </c>
      <c r="C1150" t="inlineStr">
        <is>
          <t>WT-SL-FIX-OUT</t>
        </is>
      </c>
      <c r="E1150" t="inlineStr">
        <is>
          <t>03624</t>
        </is>
      </c>
      <c r="F1150" t="b">
        <v>1</v>
      </c>
      <c r="G1150" t="n">
        <v>164</v>
      </c>
      <c r="H1150" t="inlineStr">
        <is>
          <t>無印</t>
        </is>
      </c>
      <c r="I1150" t="n">
        <v>164</v>
      </c>
      <c r="J1150" t="inlineStr">
        <is>
          <t>P164|無印</t>
        </is>
      </c>
      <c r="K1150" t="inlineStr">
        <is>
          <t>同頁凡例へ直接連動</t>
        </is>
      </c>
      <c r="L1150" t="inlineStr">
        <is>
          <t>202604_LIXIL_サーモスＬ_業務用資料集_完成品価格表.pdf</t>
        </is>
      </c>
      <c r="M1150" t="inlineStr">
        <is>
          <t>v0.6：同一価格表セクション内で凡例継承を確定。</t>
        </is>
      </c>
      <c r="N1150" t="inlineStr">
        <is>
          <t>https://drive.google.com/file/d/1YUN-mtWYs48YBUHJk0C3vJXnhjyZFHyf/view</t>
        </is>
      </c>
    </row>
    <row r="1151">
      <c r="A1151" s="42" t="inlineStr">
        <is>
          <t>GSC-SL-001148</t>
        </is>
      </c>
      <c r="B1151" t="inlineStr">
        <is>
          <t>SZ-SL-001148</t>
        </is>
      </c>
      <c r="C1151" t="inlineStr">
        <is>
          <t>WT-SL-FIX-OUT</t>
        </is>
      </c>
      <c r="E1151" t="inlineStr">
        <is>
          <t>06018</t>
        </is>
      </c>
      <c r="F1151" t="b">
        <v>1</v>
      </c>
      <c r="G1151" t="n">
        <v>164</v>
      </c>
      <c r="H1151" t="inlineStr">
        <is>
          <t>★</t>
        </is>
      </c>
      <c r="I1151" t="n">
        <v>164</v>
      </c>
      <c r="J1151" t="inlineStr">
        <is>
          <t>P164|★</t>
        </is>
      </c>
      <c r="K1151" t="inlineStr">
        <is>
          <t>同頁凡例へ直接連動</t>
        </is>
      </c>
      <c r="L1151" t="inlineStr">
        <is>
          <t>202604_LIXIL_サーモスＬ_業務用資料集_完成品価格表.pdf</t>
        </is>
      </c>
      <c r="M1151" t="inlineStr">
        <is>
          <t>v0.6：同一価格表セクション内で凡例継承を確定。</t>
        </is>
      </c>
      <c r="N1151" t="inlineStr">
        <is>
          <t>https://drive.google.com/file/d/1YUN-mtWYs48YBUHJk0C3vJXnhjyZFHyf/view</t>
        </is>
      </c>
    </row>
    <row r="1152">
      <c r="A1152" s="42" t="inlineStr">
        <is>
          <t>GSC-SL-001149</t>
        </is>
      </c>
      <c r="B1152" t="inlineStr">
        <is>
          <t>SZ-SL-001149</t>
        </is>
      </c>
      <c r="C1152" t="inlineStr">
        <is>
          <t>WT-SL-FIX-OUT</t>
        </is>
      </c>
      <c r="E1152" t="inlineStr">
        <is>
          <t>06020</t>
        </is>
      </c>
      <c r="F1152" t="b">
        <v>1</v>
      </c>
      <c r="G1152" t="n">
        <v>164</v>
      </c>
      <c r="H1152" t="inlineStr">
        <is>
          <t>★</t>
        </is>
      </c>
      <c r="I1152" t="n">
        <v>164</v>
      </c>
      <c r="J1152" t="inlineStr">
        <is>
          <t>P164|★</t>
        </is>
      </c>
      <c r="K1152" t="inlineStr">
        <is>
          <t>同頁凡例へ直接連動</t>
        </is>
      </c>
      <c r="L1152" t="inlineStr">
        <is>
          <t>202604_LIXIL_サーモスＬ_業務用資料集_完成品価格表.pdf</t>
        </is>
      </c>
      <c r="M1152" t="inlineStr">
        <is>
          <t>v0.6：同一価格表セクション内で凡例継承を確定。</t>
        </is>
      </c>
      <c r="N1152" t="inlineStr">
        <is>
          <t>https://drive.google.com/file/d/1YUN-mtWYs48YBUHJk0C3vJXnhjyZFHyf/view</t>
        </is>
      </c>
    </row>
    <row r="1153">
      <c r="A1153" s="42" t="inlineStr">
        <is>
          <t>GSC-SL-001150</t>
        </is>
      </c>
      <c r="B1153" t="inlineStr">
        <is>
          <t>SZ-SL-001150</t>
        </is>
      </c>
      <c r="C1153" t="inlineStr">
        <is>
          <t>WT-SL-FIX-OUT</t>
        </is>
      </c>
      <c r="E1153" t="inlineStr">
        <is>
          <t>06022</t>
        </is>
      </c>
      <c r="F1153" t="b">
        <v>1</v>
      </c>
      <c r="G1153" t="n">
        <v>164</v>
      </c>
      <c r="H1153" t="inlineStr">
        <is>
          <t>☆</t>
        </is>
      </c>
      <c r="I1153" t="n">
        <v>164</v>
      </c>
      <c r="J1153" t="inlineStr">
        <is>
          <t>P164|☆</t>
        </is>
      </c>
      <c r="K1153" t="inlineStr">
        <is>
          <t>同頁凡例へ直接連動</t>
        </is>
      </c>
      <c r="L1153" t="inlineStr">
        <is>
          <t>202604_LIXIL_サーモスＬ_業務用資料集_完成品価格表.pdf</t>
        </is>
      </c>
      <c r="M1153" t="inlineStr">
        <is>
          <t>v0.6：同一価格表セクション内で凡例継承を確定。</t>
        </is>
      </c>
      <c r="N1153" t="inlineStr">
        <is>
          <t>https://drive.google.com/file/d/1YUN-mtWYs48YBUHJk0C3vJXnhjyZFHyf/view</t>
        </is>
      </c>
    </row>
    <row r="1154">
      <c r="A1154" s="42" t="inlineStr">
        <is>
          <t>GSC-SL-001151</t>
        </is>
      </c>
      <c r="B1154" t="inlineStr">
        <is>
          <t>SZ-SL-001151</t>
        </is>
      </c>
      <c r="C1154" t="inlineStr">
        <is>
          <t>WT-SL-FIX-OUT</t>
        </is>
      </c>
      <c r="E1154" t="inlineStr">
        <is>
          <t>06024</t>
        </is>
      </c>
      <c r="F1154" t="b">
        <v>1</v>
      </c>
      <c r="G1154" t="n">
        <v>164</v>
      </c>
      <c r="H1154" t="inlineStr">
        <is>
          <t>無印</t>
        </is>
      </c>
      <c r="I1154" t="n">
        <v>164</v>
      </c>
      <c r="J1154" t="inlineStr">
        <is>
          <t>P164|無印</t>
        </is>
      </c>
      <c r="K1154" t="inlineStr">
        <is>
          <t>同頁凡例へ直接連動</t>
        </is>
      </c>
      <c r="L1154" t="inlineStr">
        <is>
          <t>202604_LIXIL_サーモスＬ_業務用資料集_完成品価格表.pdf</t>
        </is>
      </c>
      <c r="M1154" t="inlineStr">
        <is>
          <t>v0.6：同一価格表セクション内で凡例継承を確定。</t>
        </is>
      </c>
      <c r="N1154" t="inlineStr">
        <is>
          <t>https://drive.google.com/file/d/1YUN-mtWYs48YBUHJk0C3vJXnhjyZFHyf/view</t>
        </is>
      </c>
    </row>
    <row r="1155">
      <c r="A1155" s="42" t="inlineStr">
        <is>
          <t>GSC-SL-001152</t>
        </is>
      </c>
      <c r="B1155" t="inlineStr">
        <is>
          <t>SZ-SL-001152</t>
        </is>
      </c>
      <c r="C1155" t="inlineStr">
        <is>
          <t>WT-SL-FIX-OUT</t>
        </is>
      </c>
      <c r="E1155" t="inlineStr">
        <is>
          <t>06918</t>
        </is>
      </c>
      <c r="F1155" t="b">
        <v>1</v>
      </c>
      <c r="G1155" t="n">
        <v>164</v>
      </c>
      <c r="H1155" t="inlineStr">
        <is>
          <t>★</t>
        </is>
      </c>
      <c r="I1155" t="n">
        <v>164</v>
      </c>
      <c r="J1155" t="inlineStr">
        <is>
          <t>P164|★</t>
        </is>
      </c>
      <c r="K1155" t="inlineStr">
        <is>
          <t>同頁凡例へ直接連動</t>
        </is>
      </c>
      <c r="L1155" t="inlineStr">
        <is>
          <t>202604_LIXIL_サーモスＬ_業務用資料集_完成品価格表.pdf</t>
        </is>
      </c>
      <c r="M1155" t="inlineStr">
        <is>
          <t>v0.6：同一価格表セクション内で凡例継承を確定。</t>
        </is>
      </c>
      <c r="N1155" t="inlineStr">
        <is>
          <t>https://drive.google.com/file/d/1YUN-mtWYs48YBUHJk0C3vJXnhjyZFHyf/view</t>
        </is>
      </c>
    </row>
    <row r="1156">
      <c r="A1156" s="42" t="inlineStr">
        <is>
          <t>GSC-SL-001153</t>
        </is>
      </c>
      <c r="B1156" t="inlineStr">
        <is>
          <t>SZ-SL-001153</t>
        </is>
      </c>
      <c r="C1156" t="inlineStr">
        <is>
          <t>WT-SL-FIX-OUT</t>
        </is>
      </c>
      <c r="E1156" t="inlineStr">
        <is>
          <t>06920</t>
        </is>
      </c>
      <c r="F1156" t="b">
        <v>1</v>
      </c>
      <c r="G1156" t="n">
        <v>164</v>
      </c>
      <c r="H1156" t="inlineStr">
        <is>
          <t>無印</t>
        </is>
      </c>
      <c r="I1156" t="n">
        <v>164</v>
      </c>
      <c r="J1156" t="inlineStr">
        <is>
          <t>P164|無印</t>
        </is>
      </c>
      <c r="K1156" t="inlineStr">
        <is>
          <t>同頁凡例へ直接連動</t>
        </is>
      </c>
      <c r="L1156" t="inlineStr">
        <is>
          <t>202604_LIXIL_サーモスＬ_業務用資料集_完成品価格表.pdf</t>
        </is>
      </c>
      <c r="M1156" t="inlineStr">
        <is>
          <t>v0.6：同一価格表セクション内で凡例継承を確定。</t>
        </is>
      </c>
      <c r="N1156" t="inlineStr">
        <is>
          <t>https://drive.google.com/file/d/1YUN-mtWYs48YBUHJk0C3vJXnhjyZFHyf/view</t>
        </is>
      </c>
    </row>
    <row r="1157">
      <c r="A1157" s="42" t="inlineStr">
        <is>
          <t>GSC-SL-001154</t>
        </is>
      </c>
      <c r="B1157" t="inlineStr">
        <is>
          <t>SZ-SL-001154</t>
        </is>
      </c>
      <c r="C1157" t="inlineStr">
        <is>
          <t>WT-SL-FIX-OUT</t>
        </is>
      </c>
      <c r="E1157" t="inlineStr">
        <is>
          <t>07418</t>
        </is>
      </c>
      <c r="F1157" t="b">
        <v>1</v>
      </c>
      <c r="G1157" t="n">
        <v>164</v>
      </c>
      <c r="H1157" t="inlineStr">
        <is>
          <t>☆</t>
        </is>
      </c>
      <c r="I1157" t="n">
        <v>164</v>
      </c>
      <c r="J1157" t="inlineStr">
        <is>
          <t>P164|☆</t>
        </is>
      </c>
      <c r="K1157" t="inlineStr">
        <is>
          <t>同頁凡例へ直接連動</t>
        </is>
      </c>
      <c r="L1157" t="inlineStr">
        <is>
          <t>202604_LIXIL_サーモスＬ_業務用資料集_完成品価格表.pdf</t>
        </is>
      </c>
      <c r="M1157" t="inlineStr">
        <is>
          <t>v0.6：同一価格表セクション内で凡例継承を確定。</t>
        </is>
      </c>
      <c r="N1157" t="inlineStr">
        <is>
          <t>https://drive.google.com/file/d/1YUN-mtWYs48YBUHJk0C3vJXnhjyZFHyf/view</t>
        </is>
      </c>
    </row>
    <row r="1158">
      <c r="A1158" s="42" t="inlineStr">
        <is>
          <t>GSC-SL-001155</t>
        </is>
      </c>
      <c r="B1158" t="inlineStr">
        <is>
          <t>SZ-SL-001155</t>
        </is>
      </c>
      <c r="C1158" t="inlineStr">
        <is>
          <t>WT-SL-FIX-OUT</t>
        </is>
      </c>
      <c r="E1158" t="inlineStr">
        <is>
          <t>07420</t>
        </is>
      </c>
      <c r="F1158" t="b">
        <v>1</v>
      </c>
      <c r="G1158" t="n">
        <v>164</v>
      </c>
      <c r="H1158" t="inlineStr">
        <is>
          <t>無印</t>
        </is>
      </c>
      <c r="I1158" t="n">
        <v>164</v>
      </c>
      <c r="J1158" t="inlineStr">
        <is>
          <t>P164|無印</t>
        </is>
      </c>
      <c r="K1158" t="inlineStr">
        <is>
          <t>同頁凡例へ直接連動</t>
        </is>
      </c>
      <c r="L1158" t="inlineStr">
        <is>
          <t>202604_LIXIL_サーモスＬ_業務用資料集_完成品価格表.pdf</t>
        </is>
      </c>
      <c r="M1158" t="inlineStr">
        <is>
          <t>v0.6：同一価格表セクション内で凡例継承を確定。</t>
        </is>
      </c>
      <c r="N1158" t="inlineStr">
        <is>
          <t>https://drive.google.com/file/d/1YUN-mtWYs48YBUHJk0C3vJXnhjyZFHyf/view</t>
        </is>
      </c>
    </row>
    <row r="1159">
      <c r="A1159" s="42" t="inlineStr">
        <is>
          <t>GSC-SL-001156</t>
        </is>
      </c>
      <c r="B1159" t="inlineStr">
        <is>
          <t>SZ-SL-001156</t>
        </is>
      </c>
      <c r="C1159" t="inlineStr">
        <is>
          <t>WT-SL-FIX-OUT</t>
        </is>
      </c>
      <c r="E1159" t="inlineStr">
        <is>
          <t>07422</t>
        </is>
      </c>
      <c r="F1159" t="b">
        <v>1</v>
      </c>
      <c r="G1159" t="n">
        <v>164</v>
      </c>
      <c r="H1159" t="inlineStr">
        <is>
          <t>無印</t>
        </is>
      </c>
      <c r="I1159" t="n">
        <v>164</v>
      </c>
      <c r="J1159" t="inlineStr">
        <is>
          <t>P164|無印</t>
        </is>
      </c>
      <c r="K1159" t="inlineStr">
        <is>
          <t>同頁凡例へ直接連動</t>
        </is>
      </c>
      <c r="L1159" t="inlineStr">
        <is>
          <t>202604_LIXIL_サーモスＬ_業務用資料集_完成品価格表.pdf</t>
        </is>
      </c>
      <c r="M1159" t="inlineStr">
        <is>
          <t>v0.6：同一価格表セクション内で凡例継承を確定。</t>
        </is>
      </c>
      <c r="N1159" t="inlineStr">
        <is>
          <t>https://drive.google.com/file/d/1YUN-mtWYs48YBUHJk0C3vJXnhjyZFHyf/view</t>
        </is>
      </c>
    </row>
    <row r="1160">
      <c r="A1160" s="42" t="inlineStr">
        <is>
          <t>GSC-SL-001157</t>
        </is>
      </c>
      <c r="B1160" t="inlineStr">
        <is>
          <t>SZ-SL-001157</t>
        </is>
      </c>
      <c r="C1160" t="inlineStr">
        <is>
          <t>WT-SL-FIX-OUT</t>
        </is>
      </c>
      <c r="E1160" t="inlineStr">
        <is>
          <t>07424</t>
        </is>
      </c>
      <c r="F1160" t="b">
        <v>1</v>
      </c>
      <c r="G1160" t="n">
        <v>164</v>
      </c>
      <c r="H1160" t="inlineStr">
        <is>
          <t>無印</t>
        </is>
      </c>
      <c r="I1160" t="n">
        <v>164</v>
      </c>
      <c r="J1160" t="inlineStr">
        <is>
          <t>P164|無印</t>
        </is>
      </c>
      <c r="K1160" t="inlineStr">
        <is>
          <t>同頁凡例へ直接連動</t>
        </is>
      </c>
      <c r="L1160" t="inlineStr">
        <is>
          <t>202604_LIXIL_サーモスＬ_業務用資料集_完成品価格表.pdf</t>
        </is>
      </c>
      <c r="M1160" t="inlineStr">
        <is>
          <t>v0.6：同一価格表セクション内で凡例継承を確定。</t>
        </is>
      </c>
      <c r="N1160" t="inlineStr">
        <is>
          <t>https://drive.google.com/file/d/1YUN-mtWYs48YBUHJk0C3vJXnhjyZFHyf/view</t>
        </is>
      </c>
    </row>
    <row r="1161">
      <c r="A1161" s="42" t="inlineStr">
        <is>
          <t>GSC-SL-001158</t>
        </is>
      </c>
      <c r="B1161" t="inlineStr">
        <is>
          <t>SZ-SL-001158</t>
        </is>
      </c>
      <c r="C1161" t="inlineStr">
        <is>
          <t>WT-SL-FIX-OUT</t>
        </is>
      </c>
      <c r="E1161" t="inlineStr">
        <is>
          <t>11918</t>
        </is>
      </c>
      <c r="F1161" t="b">
        <v>1</v>
      </c>
      <c r="G1161" t="n">
        <v>165</v>
      </c>
      <c r="H1161" t="inlineStr">
        <is>
          <t>●</t>
        </is>
      </c>
      <c r="I1161" t="n">
        <v>164</v>
      </c>
      <c r="J1161" t="inlineStr">
        <is>
          <t>P164|●</t>
        </is>
      </c>
      <c r="K1161" t="inlineStr">
        <is>
          <t>同一価格表・前頁凡例を継承</t>
        </is>
      </c>
      <c r="L1161" t="inlineStr">
        <is>
          <t>202604_LIXIL_サーモスＬ_業務用資料集_完成品価格表.pdf</t>
        </is>
      </c>
      <c r="M1161" t="inlineStr">
        <is>
          <t>v0.6：同一価格表セクション内で凡例継承を確定。</t>
        </is>
      </c>
      <c r="N1161" t="inlineStr">
        <is>
          <t>https://drive.google.com/file/d/1YUN-mtWYs48YBUHJk0C3vJXnhjyZFHyf/view</t>
        </is>
      </c>
    </row>
    <row r="1162">
      <c r="A1162" s="42" t="inlineStr">
        <is>
          <t>GSC-SL-001159</t>
        </is>
      </c>
      <c r="B1162" t="inlineStr">
        <is>
          <t>SZ-SL-001159</t>
        </is>
      </c>
      <c r="C1162" t="inlineStr">
        <is>
          <t>WT-SL-FIX-OUT</t>
        </is>
      </c>
      <c r="E1162" t="inlineStr">
        <is>
          <t>11920</t>
        </is>
      </c>
      <c r="F1162" t="b">
        <v>1</v>
      </c>
      <c r="G1162" t="n">
        <v>165</v>
      </c>
      <c r="H1162" t="inlineStr">
        <is>
          <t>◇</t>
        </is>
      </c>
      <c r="I1162" t="n">
        <v>164</v>
      </c>
      <c r="J1162" t="inlineStr">
        <is>
          <t>P164|◇</t>
        </is>
      </c>
      <c r="K1162" t="inlineStr">
        <is>
          <t>同一価格表・前頁凡例を継承</t>
        </is>
      </c>
      <c r="L1162" t="inlineStr">
        <is>
          <t>202604_LIXIL_サーモスＬ_業務用資料集_完成品価格表.pdf</t>
        </is>
      </c>
      <c r="M1162" t="inlineStr">
        <is>
          <t>v0.6：同一価格表セクション内で凡例継承を確定。</t>
        </is>
      </c>
      <c r="N1162" t="inlineStr">
        <is>
          <t>https://drive.google.com/file/d/1YUN-mtWYs48YBUHJk0C3vJXnhjyZFHyf/view</t>
        </is>
      </c>
    </row>
    <row r="1163">
      <c r="A1163" s="42" t="inlineStr">
        <is>
          <t>GSC-SL-001160</t>
        </is>
      </c>
      <c r="B1163" t="inlineStr">
        <is>
          <t>SZ-SL-001160</t>
        </is>
      </c>
      <c r="C1163" t="inlineStr">
        <is>
          <t>WT-SL-FIX-OUT</t>
        </is>
      </c>
      <c r="E1163" t="inlineStr">
        <is>
          <t>11922</t>
        </is>
      </c>
      <c r="F1163" t="b">
        <v>1</v>
      </c>
      <c r="G1163" t="n">
        <v>165</v>
      </c>
      <c r="H1163" t="inlineStr">
        <is>
          <t>◇</t>
        </is>
      </c>
      <c r="I1163" t="n">
        <v>164</v>
      </c>
      <c r="J1163" t="inlineStr">
        <is>
          <t>P164|◇</t>
        </is>
      </c>
      <c r="K1163" t="inlineStr">
        <is>
          <t>同一価格表・前頁凡例を継承</t>
        </is>
      </c>
      <c r="L1163" t="inlineStr">
        <is>
          <t>202604_LIXIL_サーモスＬ_業務用資料集_完成品価格表.pdf</t>
        </is>
      </c>
      <c r="M1163" t="inlineStr">
        <is>
          <t>v0.6：同一価格表セクション内で凡例継承を確定。</t>
        </is>
      </c>
      <c r="N1163" t="inlineStr">
        <is>
          <t>https://drive.google.com/file/d/1YUN-mtWYs48YBUHJk0C3vJXnhjyZFHyf/view</t>
        </is>
      </c>
    </row>
    <row r="1164">
      <c r="A1164" s="42" t="inlineStr">
        <is>
          <t>GSC-SL-001161</t>
        </is>
      </c>
      <c r="B1164" t="inlineStr">
        <is>
          <t>SZ-SL-001161</t>
        </is>
      </c>
      <c r="C1164" t="inlineStr">
        <is>
          <t>WT-SL-FIX-OUT</t>
        </is>
      </c>
      <c r="E1164" t="inlineStr">
        <is>
          <t>11924</t>
        </is>
      </c>
      <c r="F1164" t="b">
        <v>1</v>
      </c>
      <c r="G1164" t="n">
        <v>165</v>
      </c>
      <c r="H1164" t="inlineStr">
        <is>
          <t>無印</t>
        </is>
      </c>
      <c r="I1164" t="n">
        <v>164</v>
      </c>
      <c r="J1164" t="inlineStr">
        <is>
          <t>P164|無印</t>
        </is>
      </c>
      <c r="K1164" t="inlineStr">
        <is>
          <t>同一価格表・前頁凡例を継承</t>
        </is>
      </c>
      <c r="L1164" t="inlineStr">
        <is>
          <t>202604_LIXIL_サーモスＬ_業務用資料集_完成品価格表.pdf</t>
        </is>
      </c>
      <c r="M1164" t="inlineStr">
        <is>
          <t>v0.6：同一価格表セクション内で凡例継承を確定。</t>
        </is>
      </c>
      <c r="N1164" t="inlineStr">
        <is>
          <t>https://drive.google.com/file/d/1YUN-mtWYs48YBUHJk0C3vJXnhjyZFHyf/view</t>
        </is>
      </c>
    </row>
    <row r="1165">
      <c r="A1165" s="42" t="inlineStr">
        <is>
          <t>GSC-SL-001162</t>
        </is>
      </c>
      <c r="B1165" t="inlineStr">
        <is>
          <t>SZ-SL-001162</t>
        </is>
      </c>
      <c r="C1165" t="inlineStr">
        <is>
          <t>WT-SL-FIX-OUT</t>
        </is>
      </c>
      <c r="E1165" t="inlineStr">
        <is>
          <t>16518</t>
        </is>
      </c>
      <c r="F1165" t="b">
        <v>1</v>
      </c>
      <c r="G1165" t="n">
        <v>165</v>
      </c>
      <c r="H1165" t="inlineStr">
        <is>
          <t>○</t>
        </is>
      </c>
      <c r="I1165" t="n">
        <v>164</v>
      </c>
      <c r="J1165" t="inlineStr">
        <is>
          <t>P164|○</t>
        </is>
      </c>
      <c r="K1165" t="inlineStr">
        <is>
          <t>同一価格表・前頁凡例を継承</t>
        </is>
      </c>
      <c r="L1165" t="inlineStr">
        <is>
          <t>202604_LIXIL_サーモスＬ_業務用資料集_完成品価格表.pdf</t>
        </is>
      </c>
      <c r="M1165" t="inlineStr">
        <is>
          <t>v0.6：同一価格表セクション内で凡例継承を確定。</t>
        </is>
      </c>
      <c r="N1165" t="inlineStr">
        <is>
          <t>https://drive.google.com/file/d/1YUN-mtWYs48YBUHJk0C3vJXnhjyZFHyf/view</t>
        </is>
      </c>
    </row>
    <row r="1166">
      <c r="A1166" s="42" t="inlineStr">
        <is>
          <t>GSC-SL-001163</t>
        </is>
      </c>
      <c r="B1166" t="inlineStr">
        <is>
          <t>SZ-SL-001163</t>
        </is>
      </c>
      <c r="C1166" t="inlineStr">
        <is>
          <t>WT-SL-FIX-OUT</t>
        </is>
      </c>
      <c r="E1166" t="inlineStr">
        <is>
          <t>16520</t>
        </is>
      </c>
      <c r="F1166" t="b">
        <v>1</v>
      </c>
      <c r="G1166" t="n">
        <v>165</v>
      </c>
      <c r="H1166" t="inlineStr">
        <is>
          <t>◎</t>
        </is>
      </c>
      <c r="I1166" t="n">
        <v>164</v>
      </c>
      <c r="J1166" t="inlineStr">
        <is>
          <t>P164|◎</t>
        </is>
      </c>
      <c r="K1166" t="inlineStr">
        <is>
          <t>同一価格表・前頁凡例を継承</t>
        </is>
      </c>
      <c r="L1166" t="inlineStr">
        <is>
          <t>202604_LIXIL_サーモスＬ_業務用資料集_完成品価格表.pdf</t>
        </is>
      </c>
      <c r="M1166" t="inlineStr">
        <is>
          <t>v0.6：同一価格表セクション内で凡例継承を確定。</t>
        </is>
      </c>
      <c r="N1166" t="inlineStr">
        <is>
          <t>https://drive.google.com/file/d/1YUN-mtWYs48YBUHJk0C3vJXnhjyZFHyf/view</t>
        </is>
      </c>
    </row>
    <row r="1167">
      <c r="A1167" s="42" t="inlineStr">
        <is>
          <t>GSC-SL-001164</t>
        </is>
      </c>
      <c r="B1167" t="inlineStr">
        <is>
          <t>SZ-SL-001164</t>
        </is>
      </c>
      <c r="C1167" t="inlineStr">
        <is>
          <t>WT-SL-FIX-OUT</t>
        </is>
      </c>
      <c r="E1167" t="inlineStr">
        <is>
          <t>16522</t>
        </is>
      </c>
      <c r="F1167" t="b">
        <v>1</v>
      </c>
      <c r="G1167" t="n">
        <v>165</v>
      </c>
      <c r="H1167" t="inlineStr">
        <is>
          <t>◎</t>
        </is>
      </c>
      <c r="I1167" t="n">
        <v>164</v>
      </c>
      <c r="J1167" t="inlineStr">
        <is>
          <t>P164|◎</t>
        </is>
      </c>
      <c r="K1167" t="inlineStr">
        <is>
          <t>同一価格表・前頁凡例を継承</t>
        </is>
      </c>
      <c r="L1167" t="inlineStr">
        <is>
          <t>202604_LIXIL_サーモスＬ_業務用資料集_完成品価格表.pdf</t>
        </is>
      </c>
      <c r="M1167" t="inlineStr">
        <is>
          <t>v0.6：同一価格表セクション内で凡例継承を確定。</t>
        </is>
      </c>
      <c r="N1167" t="inlineStr">
        <is>
          <t>https://drive.google.com/file/d/1YUN-mtWYs48YBUHJk0C3vJXnhjyZFHyf/view</t>
        </is>
      </c>
    </row>
    <row r="1168">
      <c r="A1168" s="42" t="inlineStr">
        <is>
          <t>GSC-SL-001165</t>
        </is>
      </c>
      <c r="B1168" t="inlineStr">
        <is>
          <t>SZ-SL-001165</t>
        </is>
      </c>
      <c r="C1168" t="inlineStr">
        <is>
          <t>WT-SL-FIX-OUT</t>
        </is>
      </c>
      <c r="E1168" t="inlineStr">
        <is>
          <t>16524</t>
        </is>
      </c>
      <c r="F1168" t="b">
        <v>1</v>
      </c>
      <c r="G1168" t="n">
        <v>165</v>
      </c>
      <c r="H1168" t="inlineStr">
        <is>
          <t>◎</t>
        </is>
      </c>
      <c r="I1168" t="n">
        <v>164</v>
      </c>
      <c r="J1168" t="inlineStr">
        <is>
          <t>P164|◎</t>
        </is>
      </c>
      <c r="K1168" t="inlineStr">
        <is>
          <t>同一価格表・前頁凡例を継承</t>
        </is>
      </c>
      <c r="L1168" t="inlineStr">
        <is>
          <t>202604_LIXIL_サーモスＬ_業務用資料集_完成品価格表.pdf</t>
        </is>
      </c>
      <c r="M1168" t="inlineStr">
        <is>
          <t>v0.6：同一価格表セクション内で凡例継承を確定。</t>
        </is>
      </c>
      <c r="N1168" t="inlineStr">
        <is>
          <t>https://drive.google.com/file/d/1YUN-mtWYs48YBUHJk0C3vJXnhjyZFHyf/view</t>
        </is>
      </c>
    </row>
    <row r="1169">
      <c r="A1169" s="42" t="inlineStr">
        <is>
          <t>GSC-SL-001166</t>
        </is>
      </c>
      <c r="B1169" t="inlineStr">
        <is>
          <t>SZ-SL-001166</t>
        </is>
      </c>
      <c r="C1169" t="inlineStr">
        <is>
          <t>WT-SL-FIX-OUT</t>
        </is>
      </c>
      <c r="E1169" t="inlineStr">
        <is>
          <t>06922</t>
        </is>
      </c>
      <c r="F1169" t="b">
        <v>1</v>
      </c>
      <c r="G1169" t="n">
        <v>166</v>
      </c>
      <c r="H1169" t="inlineStr">
        <is>
          <t>無印</t>
        </is>
      </c>
      <c r="I1169" t="n">
        <v>166</v>
      </c>
      <c r="J1169" t="inlineStr">
        <is>
          <t>P166|無印</t>
        </is>
      </c>
      <c r="K1169" t="inlineStr">
        <is>
          <t>同頁凡例へ直接連動</t>
        </is>
      </c>
      <c r="L1169" t="inlineStr">
        <is>
          <t>202604_LIXIL_サーモスＬ_業務用資料集_完成品価格表.pdf</t>
        </is>
      </c>
      <c r="M1169" t="inlineStr">
        <is>
          <t>v0.6：同一価格表セクション内で凡例継承を確定。</t>
        </is>
      </c>
      <c r="N1169" t="inlineStr">
        <is>
          <t>https://drive.google.com/file/d/1YUN-mtWYs48YBUHJk0C3vJXnhjyZFHyf/view</t>
        </is>
      </c>
    </row>
    <row r="1170">
      <c r="A1170" s="42" t="inlineStr">
        <is>
          <t>GSC-SL-001167</t>
        </is>
      </c>
      <c r="B1170" t="inlineStr">
        <is>
          <t>SZ-SL-001167</t>
        </is>
      </c>
      <c r="C1170" t="inlineStr">
        <is>
          <t>WT-SL-FIX-OUT</t>
        </is>
      </c>
      <c r="E1170" t="inlineStr">
        <is>
          <t>06924</t>
        </is>
      </c>
      <c r="F1170" t="b">
        <v>1</v>
      </c>
      <c r="G1170" t="n">
        <v>166</v>
      </c>
      <c r="H1170" t="inlineStr">
        <is>
          <t>無印</t>
        </is>
      </c>
      <c r="I1170" t="n">
        <v>166</v>
      </c>
      <c r="J1170" t="inlineStr">
        <is>
          <t>P166|無印</t>
        </is>
      </c>
      <c r="K1170" t="inlineStr">
        <is>
          <t>同頁凡例へ直接連動</t>
        </is>
      </c>
      <c r="L1170" t="inlineStr">
        <is>
          <t>202604_LIXIL_サーモスＬ_業務用資料集_完成品価格表.pdf</t>
        </is>
      </c>
      <c r="M1170" t="inlineStr">
        <is>
          <t>v0.6：同一価格表セクション内で凡例継承を確定。</t>
        </is>
      </c>
      <c r="N1170" t="inlineStr">
        <is>
          <t>https://drive.google.com/file/d/1YUN-mtWYs48YBUHJk0C3vJXnhjyZFHyf/view</t>
        </is>
      </c>
    </row>
    <row r="1171">
      <c r="A1171" s="42" t="inlineStr">
        <is>
          <t>GSC-SL-001168</t>
        </is>
      </c>
      <c r="B1171" t="inlineStr">
        <is>
          <t>SZ-SL-001168</t>
        </is>
      </c>
      <c r="C1171" t="inlineStr">
        <is>
          <t>WT-SL-FIX-IN</t>
        </is>
      </c>
      <c r="E1171" t="inlineStr">
        <is>
          <t>021018</t>
        </is>
      </c>
      <c r="F1171" t="b">
        <v>1</v>
      </c>
      <c r="G1171" t="n">
        <v>168</v>
      </c>
      <c r="H1171" t="inlineStr">
        <is>
          <t>無印</t>
        </is>
      </c>
      <c r="I1171" t="n">
        <v>168</v>
      </c>
      <c r="J1171" t="inlineStr">
        <is>
          <t>P168|無印</t>
        </is>
      </c>
      <c r="K1171" t="inlineStr">
        <is>
          <t>同頁凡例へ直接連動</t>
        </is>
      </c>
      <c r="L1171" t="inlineStr">
        <is>
          <t>202604_LIXIL_サーモスＬ_業務用資料集_完成品価格表.pdf</t>
        </is>
      </c>
      <c r="M1171" t="inlineStr">
        <is>
          <t>v0.6：同一価格表セクション内で凡例継承を確定。</t>
        </is>
      </c>
      <c r="N1171" t="inlineStr">
        <is>
          <t>https://drive.google.com/file/d/1YUN-mtWYs48YBUHJk0C3vJXnhjyZFHyf/view</t>
        </is>
      </c>
    </row>
    <row r="1172">
      <c r="A1172" s="42" t="inlineStr">
        <is>
          <t>GSC-SL-001169</t>
        </is>
      </c>
      <c r="B1172" t="inlineStr">
        <is>
          <t>SZ-SL-001169</t>
        </is>
      </c>
      <c r="C1172" t="inlineStr">
        <is>
          <t>WT-SL-FIX-IN</t>
        </is>
      </c>
      <c r="E1172" t="inlineStr">
        <is>
          <t>026023</t>
        </is>
      </c>
      <c r="F1172" t="b">
        <v>1</v>
      </c>
      <c r="G1172" t="n">
        <v>168</v>
      </c>
      <c r="H1172" t="inlineStr">
        <is>
          <t>無印</t>
        </is>
      </c>
      <c r="I1172" t="n">
        <v>168</v>
      </c>
      <c r="J1172" t="inlineStr">
        <is>
          <t>P168|無印</t>
        </is>
      </c>
      <c r="K1172" t="inlineStr">
        <is>
          <t>同頁凡例へ直接連動</t>
        </is>
      </c>
      <c r="L1172" t="inlineStr">
        <is>
          <t>202604_LIXIL_サーモスＬ_業務用資料集_完成品価格表.pdf</t>
        </is>
      </c>
      <c r="M1172" t="inlineStr">
        <is>
          <t>v0.6：同一価格表セクション内で凡例継承を確定。</t>
        </is>
      </c>
      <c r="N1172" t="inlineStr">
        <is>
          <t>https://drive.google.com/file/d/1YUN-mtWYs48YBUHJk0C3vJXnhjyZFHyf/view</t>
        </is>
      </c>
    </row>
    <row r="1173">
      <c r="A1173" s="42" t="inlineStr">
        <is>
          <t>GSC-SL-001170</t>
        </is>
      </c>
      <c r="B1173" t="inlineStr">
        <is>
          <t>SZ-SL-001170</t>
        </is>
      </c>
      <c r="C1173" t="inlineStr">
        <is>
          <t>WT-SL-FIX-IN</t>
        </is>
      </c>
      <c r="E1173" t="inlineStr">
        <is>
          <t>031028</t>
        </is>
      </c>
      <c r="F1173" t="b">
        <v>1</v>
      </c>
      <c r="G1173" t="n">
        <v>169</v>
      </c>
      <c r="H1173" t="inlineStr">
        <is>
          <t>無印</t>
        </is>
      </c>
      <c r="I1173" t="n">
        <v>168</v>
      </c>
      <c r="J1173" t="inlineStr">
        <is>
          <t>P168|無印</t>
        </is>
      </c>
      <c r="K1173" t="inlineStr">
        <is>
          <t>同一価格表・前頁凡例を継承</t>
        </is>
      </c>
      <c r="L1173" t="inlineStr">
        <is>
          <t>202604_LIXIL_サーモスＬ_業務用資料集_完成品価格表.pdf</t>
        </is>
      </c>
      <c r="M1173" t="inlineStr">
        <is>
          <t>v0.6：同一価格表セクション内で凡例継承を確定。</t>
        </is>
      </c>
      <c r="N1173" t="inlineStr">
        <is>
          <t>https://drive.google.com/file/d/1YUN-mtWYs48YBUHJk0C3vJXnhjyZFHyf/view</t>
        </is>
      </c>
    </row>
    <row r="1174">
      <c r="A1174" s="42" t="inlineStr">
        <is>
          <t>GSC-SL-001171</t>
        </is>
      </c>
      <c r="B1174" t="inlineStr">
        <is>
          <t>SZ-SL-001171</t>
        </is>
      </c>
      <c r="C1174" t="inlineStr">
        <is>
          <t>WT-SL-FIX-IN</t>
        </is>
      </c>
      <c r="E1174" t="inlineStr">
        <is>
          <t>03603</t>
        </is>
      </c>
      <c r="F1174" t="b">
        <v>1</v>
      </c>
      <c r="G1174" t="n">
        <v>169</v>
      </c>
      <c r="H1174" t="inlineStr">
        <is>
          <t>無印</t>
        </is>
      </c>
      <c r="I1174" t="n">
        <v>168</v>
      </c>
      <c r="J1174" t="inlineStr">
        <is>
          <t>P168|無印</t>
        </is>
      </c>
      <c r="K1174" t="inlineStr">
        <is>
          <t>同一価格表・前頁凡例を継承</t>
        </is>
      </c>
      <c r="L1174" t="inlineStr">
        <is>
          <t>202604_LIXIL_サーモスＬ_業務用資料集_完成品価格表.pdf</t>
        </is>
      </c>
      <c r="M1174" t="inlineStr">
        <is>
          <t>v0.6：同一価格表セクション内で凡例継承を確定。</t>
        </is>
      </c>
      <c r="N1174" t="inlineStr">
        <is>
          <t>https://drive.google.com/file/d/1YUN-mtWYs48YBUHJk0C3vJXnhjyZFHyf/view</t>
        </is>
      </c>
    </row>
    <row r="1175">
      <c r="A1175" s="42" t="inlineStr">
        <is>
          <t>GSC-SL-001172</t>
        </is>
      </c>
      <c r="B1175" t="inlineStr">
        <is>
          <t>SZ-SL-001172</t>
        </is>
      </c>
      <c r="C1175" t="inlineStr">
        <is>
          <t>WT-SL-FIX-IN</t>
        </is>
      </c>
      <c r="E1175" t="inlineStr">
        <is>
          <t>036033</t>
        </is>
      </c>
      <c r="F1175" t="b">
        <v>1</v>
      </c>
      <c r="G1175" t="n">
        <v>169</v>
      </c>
      <c r="H1175" t="inlineStr">
        <is>
          <t>無印</t>
        </is>
      </c>
      <c r="I1175" t="n">
        <v>168</v>
      </c>
      <c r="J1175" t="inlineStr">
        <is>
          <t>P168|無印</t>
        </is>
      </c>
      <c r="K1175" t="inlineStr">
        <is>
          <t>同一価格表・前頁凡例を継承</t>
        </is>
      </c>
      <c r="L1175" t="inlineStr">
        <is>
          <t>202604_LIXIL_サーモスＬ_業務用資料集_完成品価格表.pdf</t>
        </is>
      </c>
      <c r="M1175" t="inlineStr">
        <is>
          <t>v0.6：同一価格表セクション内で凡例継承を確定。</t>
        </is>
      </c>
      <c r="N1175" t="inlineStr">
        <is>
          <t>https://drive.google.com/file/d/1YUN-mtWYs48YBUHJk0C3vJXnhjyZFHyf/view</t>
        </is>
      </c>
    </row>
    <row r="1176">
      <c r="A1176" s="42" t="inlineStr">
        <is>
          <t>GSC-SL-001173</t>
        </is>
      </c>
      <c r="B1176" t="inlineStr">
        <is>
          <t>SZ-SL-001173</t>
        </is>
      </c>
      <c r="C1176" t="inlineStr">
        <is>
          <t>WT-SL-FIX-IN</t>
        </is>
      </c>
      <c r="E1176" t="inlineStr">
        <is>
          <t>06003</t>
        </is>
      </c>
      <c r="F1176" t="b">
        <v>1</v>
      </c>
      <c r="G1176" t="n">
        <v>169</v>
      </c>
      <c r="H1176" t="inlineStr">
        <is>
          <t>無印</t>
        </is>
      </c>
      <c r="I1176" t="n">
        <v>168</v>
      </c>
      <c r="J1176" t="inlineStr">
        <is>
          <t>P168|無印</t>
        </is>
      </c>
      <c r="K1176" t="inlineStr">
        <is>
          <t>同一価格表・前頁凡例を継承</t>
        </is>
      </c>
      <c r="L1176" t="inlineStr">
        <is>
          <t>202604_LIXIL_サーモスＬ_業務用資料集_完成品価格表.pdf</t>
        </is>
      </c>
      <c r="M1176" t="inlineStr">
        <is>
          <t>v0.6：同一価格表セクション内で凡例継承を確定。</t>
        </is>
      </c>
      <c r="N1176" t="inlineStr">
        <is>
          <t>https://drive.google.com/file/d/1YUN-mtWYs48YBUHJk0C3vJXnhjyZFHyf/view</t>
        </is>
      </c>
    </row>
    <row r="1177">
      <c r="A1177" s="42" t="inlineStr">
        <is>
          <t>GSC-SL-001174</t>
        </is>
      </c>
      <c r="B1177" t="inlineStr">
        <is>
          <t>SZ-SL-001174</t>
        </is>
      </c>
      <c r="C1177" t="inlineStr">
        <is>
          <t>WT-SL-FIX-IN</t>
        </is>
      </c>
      <c r="E1177" t="inlineStr">
        <is>
          <t>069018</t>
        </is>
      </c>
      <c r="F1177" t="b">
        <v>1</v>
      </c>
      <c r="G1177" t="n">
        <v>170</v>
      </c>
      <c r="H1177" t="inlineStr">
        <is>
          <t>無印</t>
        </is>
      </c>
      <c r="I1177" t="n">
        <v>170</v>
      </c>
      <c r="J1177" t="inlineStr">
        <is>
          <t>P170|無印</t>
        </is>
      </c>
      <c r="K1177" t="inlineStr">
        <is>
          <t>同頁凡例へ直接連動</t>
        </is>
      </c>
      <c r="L1177" t="inlineStr">
        <is>
          <t>202604_LIXIL_サーモスＬ_業務用資料集_完成品価格表.pdf</t>
        </is>
      </c>
      <c r="M1177" t="inlineStr">
        <is>
          <t>v0.6：同一価格表セクション内で凡例継承を確定。</t>
        </is>
      </c>
      <c r="N1177" t="inlineStr">
        <is>
          <t>https://drive.google.com/file/d/1YUN-mtWYs48YBUHJk0C3vJXnhjyZFHyf/view</t>
        </is>
      </c>
    </row>
    <row r="1178">
      <c r="A1178" s="42" t="inlineStr">
        <is>
          <t>GSC-SL-001175</t>
        </is>
      </c>
      <c r="B1178" t="inlineStr">
        <is>
          <t>SZ-SL-001175</t>
        </is>
      </c>
      <c r="C1178" t="inlineStr">
        <is>
          <t>WT-SL-FIX-IN</t>
        </is>
      </c>
      <c r="E1178" t="inlineStr">
        <is>
          <t>069023</t>
        </is>
      </c>
      <c r="F1178" t="b">
        <v>1</v>
      </c>
      <c r="G1178" t="n">
        <v>170</v>
      </c>
      <c r="H1178" t="inlineStr">
        <is>
          <t>無印</t>
        </is>
      </c>
      <c r="I1178" t="n">
        <v>170</v>
      </c>
      <c r="J1178" t="inlineStr">
        <is>
          <t>P170|無印</t>
        </is>
      </c>
      <c r="K1178" t="inlineStr">
        <is>
          <t>同頁凡例へ直接連動</t>
        </is>
      </c>
      <c r="L1178" t="inlineStr">
        <is>
          <t>202604_LIXIL_サーモスＬ_業務用資料集_完成品価格表.pdf</t>
        </is>
      </c>
      <c r="M1178" t="inlineStr">
        <is>
          <t>v0.6：同一価格表セクション内で凡例継承を確定。</t>
        </is>
      </c>
      <c r="N1178" t="inlineStr">
        <is>
          <t>https://drive.google.com/file/d/1YUN-mtWYs48YBUHJk0C3vJXnhjyZFHyf/view</t>
        </is>
      </c>
    </row>
    <row r="1179">
      <c r="A1179" s="42" t="inlineStr">
        <is>
          <t>GSC-SL-001176</t>
        </is>
      </c>
      <c r="B1179" t="inlineStr">
        <is>
          <t>SZ-SL-001176</t>
        </is>
      </c>
      <c r="C1179" t="inlineStr">
        <is>
          <t>WT-SL-FIX-IN</t>
        </is>
      </c>
      <c r="E1179" t="inlineStr">
        <is>
          <t>069028</t>
        </is>
      </c>
      <c r="F1179" t="b">
        <v>1</v>
      </c>
      <c r="G1179" t="n">
        <v>170</v>
      </c>
      <c r="H1179" t="inlineStr">
        <is>
          <t>無印</t>
        </is>
      </c>
      <c r="I1179" t="n">
        <v>170</v>
      </c>
      <c r="J1179" t="inlineStr">
        <is>
          <t>P170|無印</t>
        </is>
      </c>
      <c r="K1179" t="inlineStr">
        <is>
          <t>同頁凡例へ直接連動</t>
        </is>
      </c>
      <c r="L1179" t="inlineStr">
        <is>
          <t>202604_LIXIL_サーモスＬ_業務用資料集_完成品価格表.pdf</t>
        </is>
      </c>
      <c r="M1179" t="inlineStr">
        <is>
          <t>v0.6：同一価格表セクション内で凡例継承を確定。</t>
        </is>
      </c>
      <c r="N1179" t="inlineStr">
        <is>
          <t>https://drive.google.com/file/d/1YUN-mtWYs48YBUHJk0C3vJXnhjyZFHyf/view</t>
        </is>
      </c>
    </row>
    <row r="1180">
      <c r="A1180" s="42" t="inlineStr">
        <is>
          <t>GSC-SL-001177</t>
        </is>
      </c>
      <c r="B1180" t="inlineStr">
        <is>
          <t>SZ-SL-001177</t>
        </is>
      </c>
      <c r="C1180" t="inlineStr">
        <is>
          <t>WT-SL-FIX-IN</t>
        </is>
      </c>
      <c r="E1180" t="inlineStr">
        <is>
          <t>074018</t>
        </is>
      </c>
      <c r="F1180" t="b">
        <v>1</v>
      </c>
      <c r="G1180" t="n">
        <v>170</v>
      </c>
      <c r="H1180" t="inlineStr">
        <is>
          <t>無印</t>
        </is>
      </c>
      <c r="I1180" t="n">
        <v>170</v>
      </c>
      <c r="J1180" t="inlineStr">
        <is>
          <t>P170|無印</t>
        </is>
      </c>
      <c r="K1180" t="inlineStr">
        <is>
          <t>同頁凡例へ直接連動</t>
        </is>
      </c>
      <c r="L1180" t="inlineStr">
        <is>
          <t>202604_LIXIL_サーモスＬ_業務用資料集_完成品価格表.pdf</t>
        </is>
      </c>
      <c r="M1180" t="inlineStr">
        <is>
          <t>v0.6：同一価格表セクション内で凡例継承を確定。</t>
        </is>
      </c>
      <c r="N1180" t="inlineStr">
        <is>
          <t>https://drive.google.com/file/d/1YUN-mtWYs48YBUHJk0C3vJXnhjyZFHyf/view</t>
        </is>
      </c>
    </row>
    <row r="1181">
      <c r="A1181" s="42" t="inlineStr">
        <is>
          <t>GSC-SL-001178</t>
        </is>
      </c>
      <c r="B1181" t="inlineStr">
        <is>
          <t>SZ-SL-001178</t>
        </is>
      </c>
      <c r="C1181" t="inlineStr">
        <is>
          <t>WT-SL-FIX-IN</t>
        </is>
      </c>
      <c r="E1181" t="inlineStr">
        <is>
          <t>074023</t>
        </is>
      </c>
      <c r="F1181" t="b">
        <v>1</v>
      </c>
      <c r="G1181" t="n">
        <v>170</v>
      </c>
      <c r="H1181" t="inlineStr">
        <is>
          <t>無印</t>
        </is>
      </c>
      <c r="I1181" t="n">
        <v>170</v>
      </c>
      <c r="J1181" t="inlineStr">
        <is>
          <t>P170|無印</t>
        </is>
      </c>
      <c r="K1181" t="inlineStr">
        <is>
          <t>同頁凡例へ直接連動</t>
        </is>
      </c>
      <c r="L1181" t="inlineStr">
        <is>
          <t>202604_LIXIL_サーモスＬ_業務用資料集_完成品価格表.pdf</t>
        </is>
      </c>
      <c r="M1181" t="inlineStr">
        <is>
          <t>v0.6：同一価格表セクション内で凡例継承を確定。</t>
        </is>
      </c>
      <c r="N1181" t="inlineStr">
        <is>
          <t>https://drive.google.com/file/d/1YUN-mtWYs48YBUHJk0C3vJXnhjyZFHyf/view</t>
        </is>
      </c>
    </row>
    <row r="1182">
      <c r="A1182" s="42" t="inlineStr">
        <is>
          <t>GSC-SL-001179</t>
        </is>
      </c>
      <c r="B1182" t="inlineStr">
        <is>
          <t>SZ-SL-001179</t>
        </is>
      </c>
      <c r="C1182" t="inlineStr">
        <is>
          <t>WT-SL-FIX-IN</t>
        </is>
      </c>
      <c r="E1182" t="inlineStr">
        <is>
          <t>074028</t>
        </is>
      </c>
      <c r="F1182" t="b">
        <v>1</v>
      </c>
      <c r="G1182" t="n">
        <v>170</v>
      </c>
      <c r="H1182" t="inlineStr">
        <is>
          <t>無印</t>
        </is>
      </c>
      <c r="I1182" t="n">
        <v>170</v>
      </c>
      <c r="J1182" t="inlineStr">
        <is>
          <t>P170|無印</t>
        </is>
      </c>
      <c r="K1182" t="inlineStr">
        <is>
          <t>同頁凡例へ直接連動</t>
        </is>
      </c>
      <c r="L1182" t="inlineStr">
        <is>
          <t>202604_LIXIL_サーモスＬ_業務用資料集_完成品価格表.pdf</t>
        </is>
      </c>
      <c r="M1182" t="inlineStr">
        <is>
          <t>v0.6：同一価格表セクション内で凡例継承を確定。</t>
        </is>
      </c>
      <c r="N1182" t="inlineStr">
        <is>
          <t>https://drive.google.com/file/d/1YUN-mtWYs48YBUHJk0C3vJXnhjyZFHyf/view</t>
        </is>
      </c>
    </row>
    <row r="1183">
      <c r="A1183" s="42" t="inlineStr">
        <is>
          <t>GSC-SL-001180</t>
        </is>
      </c>
      <c r="B1183" t="inlineStr">
        <is>
          <t>SZ-SL-001180</t>
        </is>
      </c>
      <c r="C1183" t="inlineStr">
        <is>
          <t>WT-SL-FIX-IN</t>
        </is>
      </c>
      <c r="E1183" t="inlineStr">
        <is>
          <t>07403</t>
        </is>
      </c>
      <c r="F1183" t="b">
        <v>1</v>
      </c>
      <c r="G1183" t="n">
        <v>170</v>
      </c>
      <c r="H1183" t="inlineStr">
        <is>
          <t>無印</t>
        </is>
      </c>
      <c r="I1183" t="n">
        <v>170</v>
      </c>
      <c r="J1183" t="inlineStr">
        <is>
          <t>P170|無印</t>
        </is>
      </c>
      <c r="K1183" t="inlineStr">
        <is>
          <t>同頁凡例へ直接連動</t>
        </is>
      </c>
      <c r="L1183" t="inlineStr">
        <is>
          <t>202604_LIXIL_サーモスＬ_業務用資料集_完成品価格表.pdf</t>
        </is>
      </c>
      <c r="M1183" t="inlineStr">
        <is>
          <t>v0.6：同一価格表セクション内で凡例継承を確定。</t>
        </is>
      </c>
      <c r="N1183" t="inlineStr">
        <is>
          <t>https://drive.google.com/file/d/1YUN-mtWYs48YBUHJk0C3vJXnhjyZFHyf/view</t>
        </is>
      </c>
    </row>
    <row r="1184">
      <c r="A1184" s="42" t="inlineStr">
        <is>
          <t>GSC-SL-001181</t>
        </is>
      </c>
      <c r="B1184" t="inlineStr">
        <is>
          <t>SZ-SL-001181</t>
        </is>
      </c>
      <c r="C1184" t="inlineStr">
        <is>
          <t>WT-SL-FIX-IN</t>
        </is>
      </c>
      <c r="E1184" t="inlineStr">
        <is>
          <t>114018</t>
        </is>
      </c>
      <c r="F1184" t="b">
        <v>1</v>
      </c>
      <c r="G1184" t="n">
        <v>170</v>
      </c>
      <c r="H1184" t="inlineStr">
        <is>
          <t>無印</t>
        </is>
      </c>
      <c r="I1184" t="n">
        <v>170</v>
      </c>
      <c r="J1184" t="inlineStr">
        <is>
          <t>P170|無印</t>
        </is>
      </c>
      <c r="K1184" t="inlineStr">
        <is>
          <t>同頁凡例へ直接連動</t>
        </is>
      </c>
      <c r="L1184" t="inlineStr">
        <is>
          <t>202604_LIXIL_サーモスＬ_業務用資料集_完成品価格表.pdf</t>
        </is>
      </c>
      <c r="M1184" t="inlineStr">
        <is>
          <t>v0.6：同一価格表セクション内で凡例継承を確定。</t>
        </is>
      </c>
      <c r="N1184" t="inlineStr">
        <is>
          <t>https://drive.google.com/file/d/1YUN-mtWYs48YBUHJk0C3vJXnhjyZFHyf/view</t>
        </is>
      </c>
    </row>
    <row r="1185">
      <c r="A1185" s="42" t="inlineStr">
        <is>
          <t>GSC-SL-001182</t>
        </is>
      </c>
      <c r="B1185" t="inlineStr">
        <is>
          <t>SZ-SL-001182</t>
        </is>
      </c>
      <c r="C1185" t="inlineStr">
        <is>
          <t>WT-SL-FIX-IN</t>
        </is>
      </c>
      <c r="E1185" t="inlineStr">
        <is>
          <t>114023</t>
        </is>
      </c>
      <c r="F1185" t="b">
        <v>1</v>
      </c>
      <c r="G1185" t="n">
        <v>170</v>
      </c>
      <c r="H1185" t="inlineStr">
        <is>
          <t>無印</t>
        </is>
      </c>
      <c r="I1185" t="n">
        <v>170</v>
      </c>
      <c r="J1185" t="inlineStr">
        <is>
          <t>P170|無印</t>
        </is>
      </c>
      <c r="K1185" t="inlineStr">
        <is>
          <t>同頁凡例へ直接連動</t>
        </is>
      </c>
      <c r="L1185" t="inlineStr">
        <is>
          <t>202604_LIXIL_サーモスＬ_業務用資料集_完成品価格表.pdf</t>
        </is>
      </c>
      <c r="M1185" t="inlineStr">
        <is>
          <t>v0.6：同一価格表セクション内で凡例継承を確定。</t>
        </is>
      </c>
      <c r="N1185" t="inlineStr">
        <is>
          <t>https://drive.google.com/file/d/1YUN-mtWYs48YBUHJk0C3vJXnhjyZFHyf/view</t>
        </is>
      </c>
    </row>
    <row r="1186">
      <c r="A1186" s="42" t="inlineStr">
        <is>
          <t>GSC-SL-001183</t>
        </is>
      </c>
      <c r="B1186" t="inlineStr">
        <is>
          <t>SZ-SL-001183</t>
        </is>
      </c>
      <c r="C1186" t="inlineStr">
        <is>
          <t>WT-SL-FIX-IN</t>
        </is>
      </c>
      <c r="E1186" t="inlineStr">
        <is>
          <t>114028</t>
        </is>
      </c>
      <c r="F1186" t="b">
        <v>1</v>
      </c>
      <c r="G1186" t="n">
        <v>170</v>
      </c>
      <c r="H1186" t="inlineStr">
        <is>
          <t>無印</t>
        </is>
      </c>
      <c r="I1186" t="n">
        <v>170</v>
      </c>
      <c r="J1186" t="inlineStr">
        <is>
          <t>P170|無印</t>
        </is>
      </c>
      <c r="K1186" t="inlineStr">
        <is>
          <t>同頁凡例へ直接連動</t>
        </is>
      </c>
      <c r="L1186" t="inlineStr">
        <is>
          <t>202604_LIXIL_サーモスＬ_業務用資料集_完成品価格表.pdf</t>
        </is>
      </c>
      <c r="M1186" t="inlineStr">
        <is>
          <t>v0.6：同一価格表セクション内で凡例継承を確定。</t>
        </is>
      </c>
      <c r="N1186" t="inlineStr">
        <is>
          <t>https://drive.google.com/file/d/1YUN-mtWYs48YBUHJk0C3vJXnhjyZFHyf/view</t>
        </is>
      </c>
    </row>
    <row r="1187">
      <c r="A1187" s="42" t="inlineStr">
        <is>
          <t>GSC-SL-001184</t>
        </is>
      </c>
      <c r="B1187" t="inlineStr">
        <is>
          <t>SZ-SL-001184</t>
        </is>
      </c>
      <c r="C1187" t="inlineStr">
        <is>
          <t>WT-SL-FIX-IN</t>
        </is>
      </c>
      <c r="E1187" t="inlineStr">
        <is>
          <t>119018</t>
        </is>
      </c>
      <c r="F1187" t="b">
        <v>1</v>
      </c>
      <c r="G1187" t="n">
        <v>171</v>
      </c>
      <c r="H1187" t="inlineStr">
        <is>
          <t>無印</t>
        </is>
      </c>
      <c r="I1187" t="n">
        <v>170</v>
      </c>
      <c r="J1187" t="inlineStr">
        <is>
          <t>P170|無印</t>
        </is>
      </c>
      <c r="K1187" t="inlineStr">
        <is>
          <t>同一価格表・前頁凡例を継承</t>
        </is>
      </c>
      <c r="L1187" t="inlineStr">
        <is>
          <t>202604_LIXIL_サーモスＬ_業務用資料集_完成品価格表.pdf</t>
        </is>
      </c>
      <c r="M1187" t="inlineStr">
        <is>
          <t>v0.6：同一価格表セクション内で凡例継承を確定。</t>
        </is>
      </c>
      <c r="N1187" t="inlineStr">
        <is>
          <t>https://drive.google.com/file/d/1YUN-mtWYs48YBUHJk0C3vJXnhjyZFHyf/view</t>
        </is>
      </c>
    </row>
    <row r="1188">
      <c r="A1188" s="42" t="inlineStr">
        <is>
          <t>GSC-SL-001185</t>
        </is>
      </c>
      <c r="B1188" t="inlineStr">
        <is>
          <t>SZ-SL-001185</t>
        </is>
      </c>
      <c r="C1188" t="inlineStr">
        <is>
          <t>WT-SL-FIX-IN</t>
        </is>
      </c>
      <c r="E1188" t="inlineStr">
        <is>
          <t>119023</t>
        </is>
      </c>
      <c r="F1188" t="b">
        <v>1</v>
      </c>
      <c r="G1188" t="n">
        <v>171</v>
      </c>
      <c r="H1188" t="inlineStr">
        <is>
          <t>無印</t>
        </is>
      </c>
      <c r="I1188" t="n">
        <v>170</v>
      </c>
      <c r="J1188" t="inlineStr">
        <is>
          <t>P170|無印</t>
        </is>
      </c>
      <c r="K1188" t="inlineStr">
        <is>
          <t>同一価格表・前頁凡例を継承</t>
        </is>
      </c>
      <c r="L1188" t="inlineStr">
        <is>
          <t>202604_LIXIL_サーモスＬ_業務用資料集_完成品価格表.pdf</t>
        </is>
      </c>
      <c r="M1188" t="inlineStr">
        <is>
          <t>v0.6：同一価格表セクション内で凡例継承を確定。</t>
        </is>
      </c>
      <c r="N1188" t="inlineStr">
        <is>
          <t>https://drive.google.com/file/d/1YUN-mtWYs48YBUHJk0C3vJXnhjyZFHyf/view</t>
        </is>
      </c>
    </row>
    <row r="1189">
      <c r="A1189" s="42" t="inlineStr">
        <is>
          <t>GSC-SL-001186</t>
        </is>
      </c>
      <c r="B1189" t="inlineStr">
        <is>
          <t>SZ-SL-001186</t>
        </is>
      </c>
      <c r="C1189" t="inlineStr">
        <is>
          <t>WT-SL-FIX-IN</t>
        </is>
      </c>
      <c r="E1189" t="inlineStr">
        <is>
          <t>119028</t>
        </is>
      </c>
      <c r="F1189" t="b">
        <v>1</v>
      </c>
      <c r="G1189" t="n">
        <v>171</v>
      </c>
      <c r="H1189" t="inlineStr">
        <is>
          <t>無印</t>
        </is>
      </c>
      <c r="I1189" t="n">
        <v>170</v>
      </c>
      <c r="J1189" t="inlineStr">
        <is>
          <t>P170|無印</t>
        </is>
      </c>
      <c r="K1189" t="inlineStr">
        <is>
          <t>同一価格表・前頁凡例を継承</t>
        </is>
      </c>
      <c r="L1189" t="inlineStr">
        <is>
          <t>202604_LIXIL_サーモスＬ_業務用資料集_完成品価格表.pdf</t>
        </is>
      </c>
      <c r="M1189" t="inlineStr">
        <is>
          <t>v0.6：同一価格表セクション内で凡例継承を確定。</t>
        </is>
      </c>
      <c r="N1189" t="inlineStr">
        <is>
          <t>https://drive.google.com/file/d/1YUN-mtWYs48YBUHJk0C3vJXnhjyZFHyf/view</t>
        </is>
      </c>
    </row>
    <row r="1190">
      <c r="A1190" s="42" t="inlineStr">
        <is>
          <t>GSC-SL-001187</t>
        </is>
      </c>
      <c r="B1190" t="inlineStr">
        <is>
          <t>SZ-SL-001187</t>
        </is>
      </c>
      <c r="C1190" t="inlineStr">
        <is>
          <t>WT-SL-FIX-IN</t>
        </is>
      </c>
      <c r="E1190" t="inlineStr">
        <is>
          <t>11903</t>
        </is>
      </c>
      <c r="F1190" t="b">
        <v>1</v>
      </c>
      <c r="G1190" t="n">
        <v>171</v>
      </c>
      <c r="H1190" t="inlineStr">
        <is>
          <t>無印</t>
        </is>
      </c>
      <c r="I1190" t="n">
        <v>170</v>
      </c>
      <c r="J1190" t="inlineStr">
        <is>
          <t>P170|無印</t>
        </is>
      </c>
      <c r="K1190" t="inlineStr">
        <is>
          <t>同一価格表・前頁凡例を継承</t>
        </is>
      </c>
      <c r="L1190" t="inlineStr">
        <is>
          <t>202604_LIXIL_サーモスＬ_業務用資料集_完成品価格表.pdf</t>
        </is>
      </c>
      <c r="M1190" t="inlineStr">
        <is>
          <t>v0.6：同一価格表セクション内で凡例継承を確定。</t>
        </is>
      </c>
      <c r="N1190" t="inlineStr">
        <is>
          <t>https://drive.google.com/file/d/1YUN-mtWYs48YBUHJk0C3vJXnhjyZFHyf/view</t>
        </is>
      </c>
    </row>
    <row r="1191">
      <c r="A1191" s="42" t="inlineStr">
        <is>
          <t>GSC-SL-001188</t>
        </is>
      </c>
      <c r="B1191" t="inlineStr">
        <is>
          <t>SZ-SL-001188</t>
        </is>
      </c>
      <c r="C1191" t="inlineStr">
        <is>
          <t>WT-SL-FIX-IN</t>
        </is>
      </c>
      <c r="E1191" t="inlineStr">
        <is>
          <t>160018</t>
        </is>
      </c>
      <c r="F1191" t="b">
        <v>1</v>
      </c>
      <c r="G1191" t="n">
        <v>171</v>
      </c>
      <c r="H1191" t="inlineStr">
        <is>
          <t>無印</t>
        </is>
      </c>
      <c r="I1191" t="n">
        <v>170</v>
      </c>
      <c r="J1191" t="inlineStr">
        <is>
          <t>P170|無印</t>
        </is>
      </c>
      <c r="K1191" t="inlineStr">
        <is>
          <t>同一価格表・前頁凡例を継承</t>
        </is>
      </c>
      <c r="L1191" t="inlineStr">
        <is>
          <t>202604_LIXIL_サーモスＬ_業務用資料集_完成品価格表.pdf</t>
        </is>
      </c>
      <c r="M1191" t="inlineStr">
        <is>
          <t>v0.6：同一価格表セクション内で凡例継承を確定。</t>
        </is>
      </c>
      <c r="N1191" t="inlineStr">
        <is>
          <t>https://drive.google.com/file/d/1YUN-mtWYs48YBUHJk0C3vJXnhjyZFHyf/view</t>
        </is>
      </c>
    </row>
    <row r="1192">
      <c r="A1192" s="42" t="inlineStr">
        <is>
          <t>GSC-SL-001189</t>
        </is>
      </c>
      <c r="B1192" t="inlineStr">
        <is>
          <t>SZ-SL-001189</t>
        </is>
      </c>
      <c r="C1192" t="inlineStr">
        <is>
          <t>WT-SL-FIX-IN</t>
        </is>
      </c>
      <c r="E1192" t="inlineStr">
        <is>
          <t>160023</t>
        </is>
      </c>
      <c r="F1192" t="b">
        <v>1</v>
      </c>
      <c r="G1192" t="n">
        <v>171</v>
      </c>
      <c r="H1192" t="inlineStr">
        <is>
          <t>無印</t>
        </is>
      </c>
      <c r="I1192" t="n">
        <v>170</v>
      </c>
      <c r="J1192" t="inlineStr">
        <is>
          <t>P170|無印</t>
        </is>
      </c>
      <c r="K1192" t="inlineStr">
        <is>
          <t>同一価格表・前頁凡例を継承</t>
        </is>
      </c>
      <c r="L1192" t="inlineStr">
        <is>
          <t>202604_LIXIL_サーモスＬ_業務用資料集_完成品価格表.pdf</t>
        </is>
      </c>
      <c r="M1192" t="inlineStr">
        <is>
          <t>v0.6：同一価格表セクション内で凡例継承を確定。</t>
        </is>
      </c>
      <c r="N1192" t="inlineStr">
        <is>
          <t>https://drive.google.com/file/d/1YUN-mtWYs48YBUHJk0C3vJXnhjyZFHyf/view</t>
        </is>
      </c>
    </row>
    <row r="1193">
      <c r="A1193" s="42" t="inlineStr">
        <is>
          <t>GSC-SL-001190</t>
        </is>
      </c>
      <c r="B1193" t="inlineStr">
        <is>
          <t>SZ-SL-001190</t>
        </is>
      </c>
      <c r="C1193" t="inlineStr">
        <is>
          <t>WT-SL-FIX-IN</t>
        </is>
      </c>
      <c r="E1193" t="inlineStr">
        <is>
          <t>160028</t>
        </is>
      </c>
      <c r="F1193" t="b">
        <v>1</v>
      </c>
      <c r="G1193" t="n">
        <v>171</v>
      </c>
      <c r="H1193" t="inlineStr">
        <is>
          <t>無印</t>
        </is>
      </c>
      <c r="I1193" t="n">
        <v>170</v>
      </c>
      <c r="J1193" t="inlineStr">
        <is>
          <t>P170|無印</t>
        </is>
      </c>
      <c r="K1193" t="inlineStr">
        <is>
          <t>同一価格表・前頁凡例を継承</t>
        </is>
      </c>
      <c r="L1193" t="inlineStr">
        <is>
          <t>202604_LIXIL_サーモスＬ_業務用資料集_完成品価格表.pdf</t>
        </is>
      </c>
      <c r="M1193" t="inlineStr">
        <is>
          <t>v0.6：同一価格表セクション内で凡例継承を確定。</t>
        </is>
      </c>
      <c r="N1193" t="inlineStr">
        <is>
          <t>https://drive.google.com/file/d/1YUN-mtWYs48YBUHJk0C3vJXnhjyZFHyf/view</t>
        </is>
      </c>
    </row>
    <row r="1194">
      <c r="A1194" s="42" t="inlineStr">
        <is>
          <t>GSC-SL-001191</t>
        </is>
      </c>
      <c r="B1194" t="inlineStr">
        <is>
          <t>SZ-SL-001191</t>
        </is>
      </c>
      <c r="C1194" t="inlineStr">
        <is>
          <t>WT-SL-FIX-IN</t>
        </is>
      </c>
      <c r="E1194" t="inlineStr">
        <is>
          <t>165018</t>
        </is>
      </c>
      <c r="F1194" t="b">
        <v>1</v>
      </c>
      <c r="G1194" t="n">
        <v>171</v>
      </c>
      <c r="H1194" t="inlineStr">
        <is>
          <t>無印</t>
        </is>
      </c>
      <c r="I1194" t="n">
        <v>170</v>
      </c>
      <c r="J1194" t="inlineStr">
        <is>
          <t>P170|無印</t>
        </is>
      </c>
      <c r="K1194" t="inlineStr">
        <is>
          <t>同一価格表・前頁凡例を継承</t>
        </is>
      </c>
      <c r="L1194" t="inlineStr">
        <is>
          <t>202604_LIXIL_サーモスＬ_業務用資料集_完成品価格表.pdf</t>
        </is>
      </c>
      <c r="M1194" t="inlineStr">
        <is>
          <t>v0.6：同一価格表セクション内で凡例継承を確定。</t>
        </is>
      </c>
      <c r="N1194" t="inlineStr">
        <is>
          <t>https://drive.google.com/file/d/1YUN-mtWYs48YBUHJk0C3vJXnhjyZFHyf/view</t>
        </is>
      </c>
    </row>
    <row r="1195">
      <c r="A1195" s="42" t="inlineStr">
        <is>
          <t>GSC-SL-001192</t>
        </is>
      </c>
      <c r="B1195" t="inlineStr">
        <is>
          <t>SZ-SL-001192</t>
        </is>
      </c>
      <c r="C1195" t="inlineStr">
        <is>
          <t>WT-SL-FIX-IN</t>
        </is>
      </c>
      <c r="E1195" t="inlineStr">
        <is>
          <t>165023</t>
        </is>
      </c>
      <c r="F1195" t="b">
        <v>1</v>
      </c>
      <c r="G1195" t="n">
        <v>171</v>
      </c>
      <c r="H1195" t="inlineStr">
        <is>
          <t>無印</t>
        </is>
      </c>
      <c r="I1195" t="n">
        <v>170</v>
      </c>
      <c r="J1195" t="inlineStr">
        <is>
          <t>P170|無印</t>
        </is>
      </c>
      <c r="K1195" t="inlineStr">
        <is>
          <t>同一価格表・前頁凡例を継承</t>
        </is>
      </c>
      <c r="L1195" t="inlineStr">
        <is>
          <t>202604_LIXIL_サーモスＬ_業務用資料集_完成品価格表.pdf</t>
        </is>
      </c>
      <c r="M1195" t="inlineStr">
        <is>
          <t>v0.6：同一価格表セクション内で凡例継承を確定。</t>
        </is>
      </c>
      <c r="N1195" t="inlineStr">
        <is>
          <t>https://drive.google.com/file/d/1YUN-mtWYs48YBUHJk0C3vJXnhjyZFHyf/view</t>
        </is>
      </c>
    </row>
    <row r="1196">
      <c r="A1196" s="42" t="inlineStr">
        <is>
          <t>GSC-SL-001193</t>
        </is>
      </c>
      <c r="B1196" t="inlineStr">
        <is>
          <t>SZ-SL-001193</t>
        </is>
      </c>
      <c r="C1196" t="inlineStr">
        <is>
          <t>WT-SL-FIX-IN</t>
        </is>
      </c>
      <c r="E1196" t="inlineStr">
        <is>
          <t>165028</t>
        </is>
      </c>
      <c r="F1196" t="b">
        <v>1</v>
      </c>
      <c r="G1196" t="n">
        <v>171</v>
      </c>
      <c r="H1196" t="inlineStr">
        <is>
          <t>無印</t>
        </is>
      </c>
      <c r="I1196" t="n">
        <v>170</v>
      </c>
      <c r="J1196" t="inlineStr">
        <is>
          <t>P170|無印</t>
        </is>
      </c>
      <c r="K1196" t="inlineStr">
        <is>
          <t>同一価格表・前頁凡例を継承</t>
        </is>
      </c>
      <c r="L1196" t="inlineStr">
        <is>
          <t>202604_LIXIL_サーモスＬ_業務用資料集_完成品価格表.pdf</t>
        </is>
      </c>
      <c r="M1196" t="inlineStr">
        <is>
          <t>v0.6：同一価格表セクション内で凡例継承を確定。</t>
        </is>
      </c>
      <c r="N1196" t="inlineStr">
        <is>
          <t>https://drive.google.com/file/d/1YUN-mtWYs48YBUHJk0C3vJXnhjyZFHyf/view</t>
        </is>
      </c>
    </row>
    <row r="1197">
      <c r="A1197" s="42" t="inlineStr">
        <is>
          <t>GSC-SL-001194</t>
        </is>
      </c>
      <c r="B1197" t="inlineStr">
        <is>
          <t>SZ-SL-001194</t>
        </is>
      </c>
      <c r="C1197" t="inlineStr">
        <is>
          <t>WT-SL-FIX-IN</t>
        </is>
      </c>
      <c r="E1197" t="inlineStr">
        <is>
          <t>03605</t>
        </is>
      </c>
      <c r="F1197" t="b">
        <v>1</v>
      </c>
      <c r="G1197" t="n">
        <v>173</v>
      </c>
      <c r="H1197" t="inlineStr">
        <is>
          <t>無印</t>
        </is>
      </c>
      <c r="I1197" t="n">
        <v>172</v>
      </c>
      <c r="J1197" t="inlineStr">
        <is>
          <t>P172|無印</t>
        </is>
      </c>
      <c r="K1197" t="inlineStr">
        <is>
          <t>同一価格表・前頁凡例を継承</t>
        </is>
      </c>
      <c r="L1197" t="inlineStr">
        <is>
          <t>202604_LIXIL_サーモスＬ_業務用資料集_完成品価格表.pdf</t>
        </is>
      </c>
      <c r="M1197" t="inlineStr">
        <is>
          <t>v0.6：同一価格表セクション内で凡例継承を確定。</t>
        </is>
      </c>
      <c r="N1197" t="inlineStr">
        <is>
          <t>https://drive.google.com/file/d/1YUN-mtWYs48YBUHJk0C3vJXnhjyZFHyf/view</t>
        </is>
      </c>
    </row>
    <row r="1198">
      <c r="A1198" s="42" t="inlineStr">
        <is>
          <t>GSC-SL-001195</t>
        </is>
      </c>
      <c r="B1198" t="inlineStr">
        <is>
          <t>SZ-SL-001195</t>
        </is>
      </c>
      <c r="C1198" t="inlineStr">
        <is>
          <t>WT-SL-FIX-IN</t>
        </is>
      </c>
      <c r="E1198" t="inlineStr">
        <is>
          <t>03607</t>
        </is>
      </c>
      <c r="F1198" t="b">
        <v>1</v>
      </c>
      <c r="G1198" t="n">
        <v>173</v>
      </c>
      <c r="H1198" t="inlineStr">
        <is>
          <t>無印</t>
        </is>
      </c>
      <c r="I1198" t="n">
        <v>172</v>
      </c>
      <c r="J1198" t="inlineStr">
        <is>
          <t>P172|無印</t>
        </is>
      </c>
      <c r="K1198" t="inlineStr">
        <is>
          <t>同一価格表・前頁凡例を継承</t>
        </is>
      </c>
      <c r="L1198" t="inlineStr">
        <is>
          <t>202604_LIXIL_サーモスＬ_業務用資料集_完成品価格表.pdf</t>
        </is>
      </c>
      <c r="M1198" t="inlineStr">
        <is>
          <t>v0.6：同一価格表セクション内で凡例継承を確定。</t>
        </is>
      </c>
      <c r="N1198" t="inlineStr">
        <is>
          <t>https://drive.google.com/file/d/1YUN-mtWYs48YBUHJk0C3vJXnhjyZFHyf/view</t>
        </is>
      </c>
    </row>
    <row r="1199">
      <c r="A1199" s="42" t="inlineStr">
        <is>
          <t>GSC-SL-001196</t>
        </is>
      </c>
      <c r="B1199" t="inlineStr">
        <is>
          <t>SZ-SL-001196</t>
        </is>
      </c>
      <c r="C1199" t="inlineStr">
        <is>
          <t>WT-SL-FIX-IN</t>
        </is>
      </c>
      <c r="E1199" t="inlineStr">
        <is>
          <t>041038</t>
        </is>
      </c>
      <c r="F1199" t="b">
        <v>1</v>
      </c>
      <c r="G1199" t="n">
        <v>173</v>
      </c>
      <c r="H1199" t="inlineStr">
        <is>
          <t>無印</t>
        </is>
      </c>
      <c r="I1199" t="n">
        <v>172</v>
      </c>
      <c r="J1199" t="inlineStr">
        <is>
          <t>P172|無印</t>
        </is>
      </c>
      <c r="K1199" t="inlineStr">
        <is>
          <t>同一価格表・前頁凡例を継承</t>
        </is>
      </c>
      <c r="L1199" t="inlineStr">
        <is>
          <t>202604_LIXIL_サーモスＬ_業務用資料集_完成品価格表.pdf</t>
        </is>
      </c>
      <c r="M1199" t="inlineStr">
        <is>
          <t>v0.6：同一価格表セクション内で凡例継承を確定。</t>
        </is>
      </c>
      <c r="N1199" t="inlineStr">
        <is>
          <t>https://drive.google.com/file/d/1YUN-mtWYs48YBUHJk0C3vJXnhjyZFHyf/view</t>
        </is>
      </c>
    </row>
    <row r="1200">
      <c r="A1200" s="42" t="inlineStr">
        <is>
          <t>GSC-SL-001197</t>
        </is>
      </c>
      <c r="B1200" t="inlineStr">
        <is>
          <t>SZ-SL-001197</t>
        </is>
      </c>
      <c r="C1200" t="inlineStr">
        <is>
          <t>WT-SL-FIX-IN</t>
        </is>
      </c>
      <c r="E1200" t="inlineStr">
        <is>
          <t>06005</t>
        </is>
      </c>
      <c r="F1200" t="b">
        <v>1</v>
      </c>
      <c r="G1200" t="n">
        <v>173</v>
      </c>
      <c r="H1200" t="inlineStr">
        <is>
          <t>無印</t>
        </is>
      </c>
      <c r="I1200" t="n">
        <v>172</v>
      </c>
      <c r="J1200" t="inlineStr">
        <is>
          <t>P172|無印</t>
        </is>
      </c>
      <c r="K1200" t="inlineStr">
        <is>
          <t>同一価格表・前頁凡例を継承</t>
        </is>
      </c>
      <c r="L1200" t="inlineStr">
        <is>
          <t>202604_LIXIL_サーモスＬ_業務用資料集_完成品価格表.pdf</t>
        </is>
      </c>
      <c r="M1200" t="inlineStr">
        <is>
          <t>v0.6：同一価格表セクション内で凡例継承を確定。</t>
        </is>
      </c>
      <c r="N1200" t="inlineStr">
        <is>
          <t>https://drive.google.com/file/d/1YUN-mtWYs48YBUHJk0C3vJXnhjyZFHyf/view</t>
        </is>
      </c>
    </row>
    <row r="1201">
      <c r="A1201" s="42" t="inlineStr">
        <is>
          <t>GSC-SL-001198</t>
        </is>
      </c>
      <c r="B1201" t="inlineStr">
        <is>
          <t>SZ-SL-001198</t>
        </is>
      </c>
      <c r="C1201" t="inlineStr">
        <is>
          <t>WT-SL-FIX-IN</t>
        </is>
      </c>
      <c r="E1201" t="inlineStr">
        <is>
          <t>060057</t>
        </is>
      </c>
      <c r="F1201" t="b">
        <v>1</v>
      </c>
      <c r="G1201" t="n">
        <v>173</v>
      </c>
      <c r="H1201" t="inlineStr">
        <is>
          <t>無印</t>
        </is>
      </c>
      <c r="I1201" t="n">
        <v>172</v>
      </c>
      <c r="J1201" t="inlineStr">
        <is>
          <t>P172|無印</t>
        </is>
      </c>
      <c r="K1201" t="inlineStr">
        <is>
          <t>同一価格表・前頁凡例を継承</t>
        </is>
      </c>
      <c r="L1201" t="inlineStr">
        <is>
          <t>202604_LIXIL_サーモスＬ_業務用資料集_完成品価格表.pdf</t>
        </is>
      </c>
      <c r="M1201" t="inlineStr">
        <is>
          <t>v0.6：同一価格表セクション内で凡例継承を確定。</t>
        </is>
      </c>
      <c r="N1201" t="inlineStr">
        <is>
          <t>https://drive.google.com/file/d/1YUN-mtWYs48YBUHJk0C3vJXnhjyZFHyf/view</t>
        </is>
      </c>
    </row>
    <row r="1202">
      <c r="A1202" s="42" t="inlineStr">
        <is>
          <t>GSC-SL-001199</t>
        </is>
      </c>
      <c r="B1202" t="inlineStr">
        <is>
          <t>SZ-SL-001199</t>
        </is>
      </c>
      <c r="C1202" t="inlineStr">
        <is>
          <t>WT-SL-FIX-IN</t>
        </is>
      </c>
      <c r="E1202" t="inlineStr">
        <is>
          <t>06007</t>
        </is>
      </c>
      <c r="F1202" t="b">
        <v>1</v>
      </c>
      <c r="G1202" t="n">
        <v>173</v>
      </c>
      <c r="H1202" t="inlineStr">
        <is>
          <t>無印</t>
        </is>
      </c>
      <c r="I1202" t="n">
        <v>172</v>
      </c>
      <c r="J1202" t="inlineStr">
        <is>
          <t>P172|無印</t>
        </is>
      </c>
      <c r="K1202" t="inlineStr">
        <is>
          <t>同一価格表・前頁凡例を継承</t>
        </is>
      </c>
      <c r="L1202" t="inlineStr">
        <is>
          <t>202604_LIXIL_サーモスＬ_業務用資料集_完成品価格表.pdf</t>
        </is>
      </c>
      <c r="M1202" t="inlineStr">
        <is>
          <t>v0.6：同一価格表セクション内で凡例継承を確定。</t>
        </is>
      </c>
      <c r="N1202" t="inlineStr">
        <is>
          <t>https://drive.google.com/file/d/1YUN-mtWYs48YBUHJk0C3vJXnhjyZFHyf/view</t>
        </is>
      </c>
    </row>
    <row r="1203">
      <c r="A1203" s="42" t="inlineStr">
        <is>
          <t>GSC-SL-001200</t>
        </is>
      </c>
      <c r="B1203" t="inlineStr">
        <is>
          <t>SZ-SL-001200</t>
        </is>
      </c>
      <c r="C1203" t="inlineStr">
        <is>
          <t>WT-SL-FIX-IN</t>
        </is>
      </c>
      <c r="E1203" t="inlineStr">
        <is>
          <t>06905</t>
        </is>
      </c>
      <c r="F1203" t="b">
        <v>1</v>
      </c>
      <c r="G1203" t="n">
        <v>174</v>
      </c>
      <c r="H1203" t="inlineStr">
        <is>
          <t>無印</t>
        </is>
      </c>
      <c r="I1203" t="n">
        <v>174</v>
      </c>
      <c r="J1203" t="inlineStr">
        <is>
          <t>P174|無印</t>
        </is>
      </c>
      <c r="K1203" t="inlineStr">
        <is>
          <t>同頁凡例へ直接連動</t>
        </is>
      </c>
      <c r="L1203" t="inlineStr">
        <is>
          <t>202604_LIXIL_サーモスＬ_業務用資料集_完成品価格表.pdf</t>
        </is>
      </c>
      <c r="M1203" t="inlineStr">
        <is>
          <t>v0.6：同一価格表セクション内で凡例継承を確定。</t>
        </is>
      </c>
      <c r="N1203" t="inlineStr">
        <is>
          <t>https://drive.google.com/file/d/1YUN-mtWYs48YBUHJk0C3vJXnhjyZFHyf/view</t>
        </is>
      </c>
    </row>
    <row r="1204">
      <c r="A1204" s="42" t="inlineStr">
        <is>
          <t>GSC-SL-001201</t>
        </is>
      </c>
      <c r="B1204" t="inlineStr">
        <is>
          <t>SZ-SL-001201</t>
        </is>
      </c>
      <c r="C1204" t="inlineStr">
        <is>
          <t>WT-SL-FIX-IN</t>
        </is>
      </c>
      <c r="E1204" t="inlineStr">
        <is>
          <t>06907</t>
        </is>
      </c>
      <c r="F1204" t="b">
        <v>1</v>
      </c>
      <c r="G1204" t="n">
        <v>174</v>
      </c>
      <c r="H1204" t="inlineStr">
        <is>
          <t>無印</t>
        </is>
      </c>
      <c r="I1204" t="n">
        <v>174</v>
      </c>
      <c r="J1204" t="inlineStr">
        <is>
          <t>P174|無印</t>
        </is>
      </c>
      <c r="K1204" t="inlineStr">
        <is>
          <t>同頁凡例へ直接連動</t>
        </is>
      </c>
      <c r="L1204" t="inlineStr">
        <is>
          <t>202604_LIXIL_サーモスＬ_業務用資料集_完成品価格表.pdf</t>
        </is>
      </c>
      <c r="M1204" t="inlineStr">
        <is>
          <t>v0.6：同一価格表セクション内で凡例継承を確定。</t>
        </is>
      </c>
      <c r="N1204" t="inlineStr">
        <is>
          <t>https://drive.google.com/file/d/1YUN-mtWYs48YBUHJk0C3vJXnhjyZFHyf/view</t>
        </is>
      </c>
    </row>
    <row r="1205">
      <c r="A1205" s="42" t="inlineStr">
        <is>
          <t>GSC-SL-001202</t>
        </is>
      </c>
      <c r="B1205" t="inlineStr">
        <is>
          <t>SZ-SL-001202</t>
        </is>
      </c>
      <c r="C1205" t="inlineStr">
        <is>
          <t>WT-SL-FIX-IN</t>
        </is>
      </c>
      <c r="E1205" t="inlineStr">
        <is>
          <t>07405</t>
        </is>
      </c>
      <c r="F1205" t="b">
        <v>1</v>
      </c>
      <c r="G1205" t="n">
        <v>174</v>
      </c>
      <c r="H1205" t="inlineStr">
        <is>
          <t>無印</t>
        </is>
      </c>
      <c r="I1205" t="n">
        <v>174</v>
      </c>
      <c r="J1205" t="inlineStr">
        <is>
          <t>P174|無印</t>
        </is>
      </c>
      <c r="K1205" t="inlineStr">
        <is>
          <t>同頁凡例へ直接連動</t>
        </is>
      </c>
      <c r="L1205" t="inlineStr">
        <is>
          <t>202604_LIXIL_サーモスＬ_業務用資料集_完成品価格表.pdf</t>
        </is>
      </c>
      <c r="M1205" t="inlineStr">
        <is>
          <t>v0.6：同一価格表セクション内で凡例継承を確定。</t>
        </is>
      </c>
      <c r="N1205" t="inlineStr">
        <is>
          <t>https://drive.google.com/file/d/1YUN-mtWYs48YBUHJk0C3vJXnhjyZFHyf/view</t>
        </is>
      </c>
    </row>
    <row r="1206">
      <c r="A1206" s="42" t="inlineStr">
        <is>
          <t>GSC-SL-001203</t>
        </is>
      </c>
      <c r="B1206" t="inlineStr">
        <is>
          <t>SZ-SL-001203</t>
        </is>
      </c>
      <c r="C1206" t="inlineStr">
        <is>
          <t>WT-SL-FIX-IN</t>
        </is>
      </c>
      <c r="E1206" t="inlineStr">
        <is>
          <t>07407</t>
        </is>
      </c>
      <c r="F1206" t="b">
        <v>1</v>
      </c>
      <c r="G1206" t="n">
        <v>174</v>
      </c>
      <c r="H1206" t="inlineStr">
        <is>
          <t>無印</t>
        </is>
      </c>
      <c r="I1206" t="n">
        <v>174</v>
      </c>
      <c r="J1206" t="inlineStr">
        <is>
          <t>P174|無印</t>
        </is>
      </c>
      <c r="K1206" t="inlineStr">
        <is>
          <t>同頁凡例へ直接連動</t>
        </is>
      </c>
      <c r="L1206" t="inlineStr">
        <is>
          <t>202604_LIXIL_サーモスＬ_業務用資料集_完成品価格表.pdf</t>
        </is>
      </c>
      <c r="M1206" t="inlineStr">
        <is>
          <t>v0.6：同一価格表セクション内で凡例継承を確定。</t>
        </is>
      </c>
      <c r="N1206" t="inlineStr">
        <is>
          <t>https://drive.google.com/file/d/1YUN-mtWYs48YBUHJk0C3vJXnhjyZFHyf/view</t>
        </is>
      </c>
    </row>
    <row r="1207">
      <c r="A1207" s="42" t="inlineStr">
        <is>
          <t>GSC-SL-001204</t>
        </is>
      </c>
      <c r="B1207" t="inlineStr">
        <is>
          <t>SZ-SL-001204</t>
        </is>
      </c>
      <c r="C1207" t="inlineStr">
        <is>
          <t>WT-SL-FIX-IN</t>
        </is>
      </c>
      <c r="E1207" t="inlineStr">
        <is>
          <t>11905</t>
        </is>
      </c>
      <c r="F1207" t="b">
        <v>1</v>
      </c>
      <c r="G1207" t="n">
        <v>175</v>
      </c>
      <c r="H1207" t="inlineStr">
        <is>
          <t>無印</t>
        </is>
      </c>
      <c r="I1207" t="n">
        <v>174</v>
      </c>
      <c r="J1207" t="inlineStr">
        <is>
          <t>P174|無印</t>
        </is>
      </c>
      <c r="K1207" t="inlineStr">
        <is>
          <t>同一価格表・前頁凡例を継承</t>
        </is>
      </c>
      <c r="L1207" t="inlineStr">
        <is>
          <t>202604_LIXIL_サーモスＬ_業務用資料集_完成品価格表.pdf</t>
        </is>
      </c>
      <c r="M1207" t="inlineStr">
        <is>
          <t>v0.6：同一価格表セクション内で凡例継承を確定。</t>
        </is>
      </c>
      <c r="N1207" t="inlineStr">
        <is>
          <t>https://drive.google.com/file/d/1YUN-mtWYs48YBUHJk0C3vJXnhjyZFHyf/view</t>
        </is>
      </c>
    </row>
    <row r="1208">
      <c r="A1208" s="42" t="inlineStr">
        <is>
          <t>GSC-SL-001205</t>
        </is>
      </c>
      <c r="B1208" t="inlineStr">
        <is>
          <t>SZ-SL-001205</t>
        </is>
      </c>
      <c r="C1208" t="inlineStr">
        <is>
          <t>WT-SL-FIX-IN</t>
        </is>
      </c>
      <c r="E1208" t="inlineStr">
        <is>
          <t>11907</t>
        </is>
      </c>
      <c r="F1208" t="b">
        <v>1</v>
      </c>
      <c r="G1208" t="n">
        <v>175</v>
      </c>
      <c r="H1208" t="inlineStr">
        <is>
          <t>無印</t>
        </is>
      </c>
      <c r="I1208" t="n">
        <v>174</v>
      </c>
      <c r="J1208" t="inlineStr">
        <is>
          <t>P174|無印</t>
        </is>
      </c>
      <c r="K1208" t="inlineStr">
        <is>
          <t>同一価格表・前頁凡例を継承</t>
        </is>
      </c>
      <c r="L1208" t="inlineStr">
        <is>
          <t>202604_LIXIL_サーモスＬ_業務用資料集_完成品価格表.pdf</t>
        </is>
      </c>
      <c r="M1208" t="inlineStr">
        <is>
          <t>v0.6：同一価格表セクション内で凡例継承を確定。</t>
        </is>
      </c>
      <c r="N1208" t="inlineStr">
        <is>
          <t>https://drive.google.com/file/d/1YUN-mtWYs48YBUHJk0C3vJXnhjyZFHyf/view</t>
        </is>
      </c>
    </row>
    <row r="1209">
      <c r="A1209" s="42" t="inlineStr">
        <is>
          <t>GSC-SL-001206</t>
        </is>
      </c>
      <c r="B1209" t="inlineStr">
        <is>
          <t>SZ-SL-001206</t>
        </is>
      </c>
      <c r="C1209" t="inlineStr">
        <is>
          <t>WT-SL-FIX-IN</t>
        </is>
      </c>
      <c r="E1209" t="inlineStr">
        <is>
          <t>16005</t>
        </is>
      </c>
      <c r="F1209" t="b">
        <v>1</v>
      </c>
      <c r="G1209" t="n">
        <v>175</v>
      </c>
      <c r="H1209" t="inlineStr">
        <is>
          <t>無印</t>
        </is>
      </c>
      <c r="I1209" t="n">
        <v>174</v>
      </c>
      <c r="J1209" t="inlineStr">
        <is>
          <t>P174|無印</t>
        </is>
      </c>
      <c r="K1209" t="inlineStr">
        <is>
          <t>同一価格表・前頁凡例を継承</t>
        </is>
      </c>
      <c r="L1209" t="inlineStr">
        <is>
          <t>202604_LIXIL_サーモスＬ_業務用資料集_完成品価格表.pdf</t>
        </is>
      </c>
      <c r="M1209" t="inlineStr">
        <is>
          <t>v0.6：同一価格表セクション内で凡例継承を確定。</t>
        </is>
      </c>
      <c r="N1209" t="inlineStr">
        <is>
          <t>https://drive.google.com/file/d/1YUN-mtWYs48YBUHJk0C3vJXnhjyZFHyf/view</t>
        </is>
      </c>
    </row>
    <row r="1210">
      <c r="A1210" s="42" t="inlineStr">
        <is>
          <t>GSC-SL-001207</t>
        </is>
      </c>
      <c r="B1210" t="inlineStr">
        <is>
          <t>SZ-SL-001207</t>
        </is>
      </c>
      <c r="C1210" t="inlineStr">
        <is>
          <t>WT-SL-FIX-IN</t>
        </is>
      </c>
      <c r="E1210" t="inlineStr">
        <is>
          <t>16505</t>
        </is>
      </c>
      <c r="F1210" t="b">
        <v>1</v>
      </c>
      <c r="G1210" t="n">
        <v>175</v>
      </c>
      <c r="H1210" t="inlineStr">
        <is>
          <t>無印</t>
        </is>
      </c>
      <c r="I1210" t="n">
        <v>174</v>
      </c>
      <c r="J1210" t="inlineStr">
        <is>
          <t>P174|無印</t>
        </is>
      </c>
      <c r="K1210" t="inlineStr">
        <is>
          <t>同一価格表・前頁凡例を継承</t>
        </is>
      </c>
      <c r="L1210" t="inlineStr">
        <is>
          <t>202604_LIXIL_サーモスＬ_業務用資料集_完成品価格表.pdf</t>
        </is>
      </c>
      <c r="M1210" t="inlineStr">
        <is>
          <t>v0.6：同一価格表セクション内で凡例継承を確定。</t>
        </is>
      </c>
      <c r="N1210" t="inlineStr">
        <is>
          <t>https://drive.google.com/file/d/1YUN-mtWYs48YBUHJk0C3vJXnhjyZFHyf/view</t>
        </is>
      </c>
    </row>
    <row r="1211">
      <c r="A1211" s="42" t="inlineStr">
        <is>
          <t>GSC-SL-001208</t>
        </is>
      </c>
      <c r="B1211" t="inlineStr">
        <is>
          <t>SZ-SL-001208</t>
        </is>
      </c>
      <c r="C1211" t="inlineStr">
        <is>
          <t>WT-SL-FIX-IN</t>
        </is>
      </c>
      <c r="E1211" t="inlineStr">
        <is>
          <t>16507</t>
        </is>
      </c>
      <c r="F1211" t="b">
        <v>1</v>
      </c>
      <c r="G1211" t="n">
        <v>175</v>
      </c>
      <c r="H1211" t="inlineStr">
        <is>
          <t>★</t>
        </is>
      </c>
      <c r="I1211" t="n">
        <v>174</v>
      </c>
      <c r="J1211" t="inlineStr">
        <is>
          <t>P174|★</t>
        </is>
      </c>
      <c r="K1211" t="inlineStr">
        <is>
          <t>同一価格表・前頁凡例を継承</t>
        </is>
      </c>
      <c r="L1211" t="inlineStr">
        <is>
          <t>202604_LIXIL_サーモスＬ_業務用資料集_完成品価格表.pdf</t>
        </is>
      </c>
      <c r="M1211" t="inlineStr">
        <is>
          <t>v0.6：同一価格表セクション内で凡例継承を確定。</t>
        </is>
      </c>
      <c r="N1211" t="inlineStr">
        <is>
          <t>https://drive.google.com/file/d/1YUN-mtWYs48YBUHJk0C3vJXnhjyZFHyf/view</t>
        </is>
      </c>
    </row>
    <row r="1212">
      <c r="A1212" s="42" t="inlineStr">
        <is>
          <t>GSC-SL-001209</t>
        </is>
      </c>
      <c r="B1212" t="inlineStr">
        <is>
          <t>SZ-SL-001209</t>
        </is>
      </c>
      <c r="C1212" t="inlineStr">
        <is>
          <t>WT-SL-FIX-IN</t>
        </is>
      </c>
      <c r="E1212" t="inlineStr">
        <is>
          <t>01609</t>
        </is>
      </c>
      <c r="F1212" t="b">
        <v>1</v>
      </c>
      <c r="G1212" t="n">
        <v>176</v>
      </c>
      <c r="H1212" t="inlineStr">
        <is>
          <t>無印</t>
        </is>
      </c>
      <c r="I1212" t="n">
        <v>177</v>
      </c>
      <c r="J1212" t="inlineStr">
        <is>
          <t>P177|無印</t>
        </is>
      </c>
      <c r="K1212" t="inlineStr">
        <is>
          <t>同一価格表・次頁凡例を継承</t>
        </is>
      </c>
      <c r="L1212" t="inlineStr">
        <is>
          <t>202604_LIXIL_サーモスＬ_業務用資料集_完成品価格表.pdf</t>
        </is>
      </c>
      <c r="M1212" t="inlineStr">
        <is>
          <t>v0.6：同一価格表セクション内で凡例継承を確定。</t>
        </is>
      </c>
      <c r="N1212" t="inlineStr">
        <is>
          <t>https://drive.google.com/file/d/1YUN-mtWYs48YBUHJk0C3vJXnhjyZFHyf/view</t>
        </is>
      </c>
    </row>
    <row r="1213">
      <c r="A1213" s="42" t="inlineStr">
        <is>
          <t>GSC-SL-001210</t>
        </is>
      </c>
      <c r="B1213" t="inlineStr">
        <is>
          <t>SZ-SL-001210</t>
        </is>
      </c>
      <c r="C1213" t="inlineStr">
        <is>
          <t>WT-SL-FIX-IN</t>
        </is>
      </c>
      <c r="E1213" t="inlineStr">
        <is>
          <t>01611</t>
        </is>
      </c>
      <c r="F1213" t="b">
        <v>1</v>
      </c>
      <c r="G1213" t="n">
        <v>176</v>
      </c>
      <c r="H1213" t="inlineStr">
        <is>
          <t>無印</t>
        </is>
      </c>
      <c r="I1213" t="n">
        <v>177</v>
      </c>
      <c r="J1213" t="inlineStr">
        <is>
          <t>P177|無印</t>
        </is>
      </c>
      <c r="K1213" t="inlineStr">
        <is>
          <t>同一価格表・次頁凡例を継承</t>
        </is>
      </c>
      <c r="L1213" t="inlineStr">
        <is>
          <t>202604_LIXIL_サーモスＬ_業務用資料集_完成品価格表.pdf</t>
        </is>
      </c>
      <c r="M1213" t="inlineStr">
        <is>
          <t>v0.6：同一価格表セクション内で凡例継承を確定。</t>
        </is>
      </c>
      <c r="N1213" t="inlineStr">
        <is>
          <t>https://drive.google.com/file/d/1YUN-mtWYs48YBUHJk0C3vJXnhjyZFHyf/view</t>
        </is>
      </c>
    </row>
    <row r="1214">
      <c r="A1214" s="42" t="inlineStr">
        <is>
          <t>GSC-SL-001211</t>
        </is>
      </c>
      <c r="B1214" t="inlineStr">
        <is>
          <t>SZ-SL-001211</t>
        </is>
      </c>
      <c r="C1214" t="inlineStr">
        <is>
          <t>WT-SL-FIX-IN</t>
        </is>
      </c>
      <c r="E1214" t="inlineStr">
        <is>
          <t>01613</t>
        </is>
      </c>
      <c r="F1214" t="b">
        <v>1</v>
      </c>
      <c r="G1214" t="n">
        <v>176</v>
      </c>
      <c r="H1214" t="inlineStr">
        <is>
          <t>無印</t>
        </is>
      </c>
      <c r="I1214" t="n">
        <v>177</v>
      </c>
      <c r="J1214" t="inlineStr">
        <is>
          <t>P177|無印</t>
        </is>
      </c>
      <c r="K1214" t="inlineStr">
        <is>
          <t>同一価格表・次頁凡例を継承</t>
        </is>
      </c>
      <c r="L1214" t="inlineStr">
        <is>
          <t>202604_LIXIL_サーモスＬ_業務用資料集_完成品価格表.pdf</t>
        </is>
      </c>
      <c r="M1214" t="inlineStr">
        <is>
          <t>v0.6：同一価格表セクション内で凡例継承を確定。</t>
        </is>
      </c>
      <c r="N1214" t="inlineStr">
        <is>
          <t>https://drive.google.com/file/d/1YUN-mtWYs48YBUHJk0C3vJXnhjyZFHyf/view</t>
        </is>
      </c>
    </row>
    <row r="1215">
      <c r="A1215" s="42" t="inlineStr">
        <is>
          <t>GSC-SL-001212</t>
        </is>
      </c>
      <c r="B1215" t="inlineStr">
        <is>
          <t>SZ-SL-001212</t>
        </is>
      </c>
      <c r="C1215" t="inlineStr">
        <is>
          <t>WT-SL-FIX-IN</t>
        </is>
      </c>
      <c r="E1215" t="inlineStr">
        <is>
          <t>01615</t>
        </is>
      </c>
      <c r="F1215" t="b">
        <v>1</v>
      </c>
      <c r="G1215" t="n">
        <v>176</v>
      </c>
      <c r="H1215" t="inlineStr">
        <is>
          <t>無印</t>
        </is>
      </c>
      <c r="I1215" t="n">
        <v>177</v>
      </c>
      <c r="J1215" t="inlineStr">
        <is>
          <t>P177|無印</t>
        </is>
      </c>
      <c r="K1215" t="inlineStr">
        <is>
          <t>同一価格表・次頁凡例を継承</t>
        </is>
      </c>
      <c r="L1215" t="inlineStr">
        <is>
          <t>202604_LIXIL_サーモスＬ_業務用資料集_完成品価格表.pdf</t>
        </is>
      </c>
      <c r="M1215" t="inlineStr">
        <is>
          <t>v0.6：同一価格表セクション内で凡例継承を確定。</t>
        </is>
      </c>
      <c r="N1215" t="inlineStr">
        <is>
          <t>https://drive.google.com/file/d/1YUN-mtWYs48YBUHJk0C3vJXnhjyZFHyf/view</t>
        </is>
      </c>
    </row>
    <row r="1216">
      <c r="A1216" s="42" t="inlineStr">
        <is>
          <t>GSC-SL-001213</t>
        </is>
      </c>
      <c r="B1216" t="inlineStr">
        <is>
          <t>SZ-SL-001213</t>
        </is>
      </c>
      <c r="C1216" t="inlineStr">
        <is>
          <t>WT-SL-FIX-IN</t>
        </is>
      </c>
      <c r="E1216" t="inlineStr">
        <is>
          <t>02109</t>
        </is>
      </c>
      <c r="F1216" t="b">
        <v>1</v>
      </c>
      <c r="G1216" t="n">
        <v>176</v>
      </c>
      <c r="H1216" t="inlineStr">
        <is>
          <t>無印</t>
        </is>
      </c>
      <c r="I1216" t="n">
        <v>177</v>
      </c>
      <c r="J1216" t="inlineStr">
        <is>
          <t>P177|無印</t>
        </is>
      </c>
      <c r="K1216" t="inlineStr">
        <is>
          <t>同一価格表・次頁凡例を継承</t>
        </is>
      </c>
      <c r="L1216" t="inlineStr">
        <is>
          <t>202604_LIXIL_サーモスＬ_業務用資料集_完成品価格表.pdf</t>
        </is>
      </c>
      <c r="M1216" t="inlineStr">
        <is>
          <t>v0.6：同一価格表セクション内で凡例継承を確定。</t>
        </is>
      </c>
      <c r="N1216" t="inlineStr">
        <is>
          <t>https://drive.google.com/file/d/1YUN-mtWYs48YBUHJk0C3vJXnhjyZFHyf/view</t>
        </is>
      </c>
    </row>
    <row r="1217">
      <c r="A1217" s="42" t="inlineStr">
        <is>
          <t>GSC-SL-001214</t>
        </is>
      </c>
      <c r="B1217" t="inlineStr">
        <is>
          <t>SZ-SL-001214</t>
        </is>
      </c>
      <c r="C1217" t="inlineStr">
        <is>
          <t>WT-SL-FIX-IN</t>
        </is>
      </c>
      <c r="E1217" t="inlineStr">
        <is>
          <t>02111</t>
        </is>
      </c>
      <c r="F1217" t="b">
        <v>1</v>
      </c>
      <c r="G1217" t="n">
        <v>176</v>
      </c>
      <c r="H1217" t="inlineStr">
        <is>
          <t>無印</t>
        </is>
      </c>
      <c r="I1217" t="n">
        <v>177</v>
      </c>
      <c r="J1217" t="inlineStr">
        <is>
          <t>P177|無印</t>
        </is>
      </c>
      <c r="K1217" t="inlineStr">
        <is>
          <t>同一価格表・次頁凡例を継承</t>
        </is>
      </c>
      <c r="L1217" t="inlineStr">
        <is>
          <t>202604_LIXIL_サーモスＬ_業務用資料集_完成品価格表.pdf</t>
        </is>
      </c>
      <c r="M1217" t="inlineStr">
        <is>
          <t>v0.6：同一価格表セクション内で凡例継承を確定。</t>
        </is>
      </c>
      <c r="N1217" t="inlineStr">
        <is>
          <t>https://drive.google.com/file/d/1YUN-mtWYs48YBUHJk0C3vJXnhjyZFHyf/view</t>
        </is>
      </c>
    </row>
    <row r="1218">
      <c r="A1218" s="42" t="inlineStr">
        <is>
          <t>GSC-SL-001215</t>
        </is>
      </c>
      <c r="B1218" t="inlineStr">
        <is>
          <t>SZ-SL-001215</t>
        </is>
      </c>
      <c r="C1218" t="inlineStr">
        <is>
          <t>WT-SL-FIX-IN</t>
        </is>
      </c>
      <c r="E1218" t="inlineStr">
        <is>
          <t>02113</t>
        </is>
      </c>
      <c r="F1218" t="b">
        <v>1</v>
      </c>
      <c r="G1218" t="n">
        <v>176</v>
      </c>
      <c r="H1218" t="inlineStr">
        <is>
          <t>無印</t>
        </is>
      </c>
      <c r="I1218" t="n">
        <v>177</v>
      </c>
      <c r="J1218" t="inlineStr">
        <is>
          <t>P177|無印</t>
        </is>
      </c>
      <c r="K1218" t="inlineStr">
        <is>
          <t>同一価格表・次頁凡例を継承</t>
        </is>
      </c>
      <c r="L1218" t="inlineStr">
        <is>
          <t>202604_LIXIL_サーモスＬ_業務用資料集_完成品価格表.pdf</t>
        </is>
      </c>
      <c r="M1218" t="inlineStr">
        <is>
          <t>v0.6：同一価格表セクション内で凡例継承を確定。</t>
        </is>
      </c>
      <c r="N1218" t="inlineStr">
        <is>
          <t>https://drive.google.com/file/d/1YUN-mtWYs48YBUHJk0C3vJXnhjyZFHyf/view</t>
        </is>
      </c>
    </row>
    <row r="1219">
      <c r="A1219" s="42" t="inlineStr">
        <is>
          <t>GSC-SL-001216</t>
        </is>
      </c>
      <c r="B1219" t="inlineStr">
        <is>
          <t>SZ-SL-001216</t>
        </is>
      </c>
      <c r="C1219" t="inlineStr">
        <is>
          <t>WT-SL-FIX-IN</t>
        </is>
      </c>
      <c r="E1219" t="inlineStr">
        <is>
          <t>02115</t>
        </is>
      </c>
      <c r="F1219" t="b">
        <v>1</v>
      </c>
      <c r="G1219" t="n">
        <v>176</v>
      </c>
      <c r="H1219" t="inlineStr">
        <is>
          <t>無印</t>
        </is>
      </c>
      <c r="I1219" t="n">
        <v>177</v>
      </c>
      <c r="J1219" t="inlineStr">
        <is>
          <t>P177|無印</t>
        </is>
      </c>
      <c r="K1219" t="inlineStr">
        <is>
          <t>同一価格表・次頁凡例を継承</t>
        </is>
      </c>
      <c r="L1219" t="inlineStr">
        <is>
          <t>202604_LIXIL_サーモスＬ_業務用資料集_完成品価格表.pdf</t>
        </is>
      </c>
      <c r="M1219" t="inlineStr">
        <is>
          <t>v0.6：同一価格表セクション内で凡例継承を確定。</t>
        </is>
      </c>
      <c r="N1219" t="inlineStr">
        <is>
          <t>https://drive.google.com/file/d/1YUN-mtWYs48YBUHJk0C3vJXnhjyZFHyf/view</t>
        </is>
      </c>
    </row>
    <row r="1220">
      <c r="A1220" s="42" t="inlineStr">
        <is>
          <t>GSC-SL-001217</t>
        </is>
      </c>
      <c r="B1220" t="inlineStr">
        <is>
          <t>SZ-SL-001217</t>
        </is>
      </c>
      <c r="C1220" t="inlineStr">
        <is>
          <t>WT-SL-FIX-IN</t>
        </is>
      </c>
      <c r="E1220" t="inlineStr">
        <is>
          <t>02309</t>
        </is>
      </c>
      <c r="F1220" t="b">
        <v>1</v>
      </c>
      <c r="G1220" t="n">
        <v>176</v>
      </c>
      <c r="H1220" t="inlineStr">
        <is>
          <t>無印</t>
        </is>
      </c>
      <c r="I1220" t="n">
        <v>177</v>
      </c>
      <c r="J1220" t="inlineStr">
        <is>
          <t>P177|無印</t>
        </is>
      </c>
      <c r="K1220" t="inlineStr">
        <is>
          <t>同一価格表・次頁凡例を継承</t>
        </is>
      </c>
      <c r="L1220" t="inlineStr">
        <is>
          <t>202604_LIXIL_サーモスＬ_業務用資料集_完成品価格表.pdf</t>
        </is>
      </c>
      <c r="M1220" t="inlineStr">
        <is>
          <t>v0.6：同一価格表セクション内で凡例継承を確定。</t>
        </is>
      </c>
      <c r="N1220" t="inlineStr">
        <is>
          <t>https://drive.google.com/file/d/1YUN-mtWYs48YBUHJk0C3vJXnhjyZFHyf/view</t>
        </is>
      </c>
    </row>
    <row r="1221">
      <c r="A1221" s="42" t="inlineStr">
        <is>
          <t>GSC-SL-001218</t>
        </is>
      </c>
      <c r="B1221" t="inlineStr">
        <is>
          <t>SZ-SL-001218</t>
        </is>
      </c>
      <c r="C1221" t="inlineStr">
        <is>
          <t>WT-SL-FIX-IN</t>
        </is>
      </c>
      <c r="E1221" t="inlineStr">
        <is>
          <t>02311</t>
        </is>
      </c>
      <c r="F1221" t="b">
        <v>1</v>
      </c>
      <c r="G1221" t="n">
        <v>176</v>
      </c>
      <c r="H1221" t="inlineStr">
        <is>
          <t>無印</t>
        </is>
      </c>
      <c r="I1221" t="n">
        <v>177</v>
      </c>
      <c r="J1221" t="inlineStr">
        <is>
          <t>P177|無印</t>
        </is>
      </c>
      <c r="K1221" t="inlineStr">
        <is>
          <t>同一価格表・次頁凡例を継承</t>
        </is>
      </c>
      <c r="L1221" t="inlineStr">
        <is>
          <t>202604_LIXIL_サーモスＬ_業務用資料集_完成品価格表.pdf</t>
        </is>
      </c>
      <c r="M1221" t="inlineStr">
        <is>
          <t>v0.6：同一価格表セクション内で凡例継承を確定。</t>
        </is>
      </c>
      <c r="N1221" t="inlineStr">
        <is>
          <t>https://drive.google.com/file/d/1YUN-mtWYs48YBUHJk0C3vJXnhjyZFHyf/view</t>
        </is>
      </c>
    </row>
    <row r="1222">
      <c r="A1222" s="42" t="inlineStr">
        <is>
          <t>GSC-SL-001219</t>
        </is>
      </c>
      <c r="B1222" t="inlineStr">
        <is>
          <t>SZ-SL-001219</t>
        </is>
      </c>
      <c r="C1222" t="inlineStr">
        <is>
          <t>WT-SL-FIX-IN</t>
        </is>
      </c>
      <c r="E1222" t="inlineStr">
        <is>
          <t>02313</t>
        </is>
      </c>
      <c r="F1222" t="b">
        <v>1</v>
      </c>
      <c r="G1222" t="n">
        <v>176</v>
      </c>
      <c r="H1222" t="inlineStr">
        <is>
          <t>無印</t>
        </is>
      </c>
      <c r="I1222" t="n">
        <v>177</v>
      </c>
      <c r="J1222" t="inlineStr">
        <is>
          <t>P177|無印</t>
        </is>
      </c>
      <c r="K1222" t="inlineStr">
        <is>
          <t>同一価格表・次頁凡例を継承</t>
        </is>
      </c>
      <c r="L1222" t="inlineStr">
        <is>
          <t>202604_LIXIL_サーモスＬ_業務用資料集_完成品価格表.pdf</t>
        </is>
      </c>
      <c r="M1222" t="inlineStr">
        <is>
          <t>v0.6：同一価格表セクション内で凡例継承を確定。</t>
        </is>
      </c>
      <c r="N1222" t="inlineStr">
        <is>
          <t>https://drive.google.com/file/d/1YUN-mtWYs48YBUHJk0C3vJXnhjyZFHyf/view</t>
        </is>
      </c>
    </row>
    <row r="1223">
      <c r="A1223" s="42" t="inlineStr">
        <is>
          <t>GSC-SL-001220</t>
        </is>
      </c>
      <c r="B1223" t="inlineStr">
        <is>
          <t>SZ-SL-001220</t>
        </is>
      </c>
      <c r="C1223" t="inlineStr">
        <is>
          <t>WT-SL-FIX-IN</t>
        </is>
      </c>
      <c r="E1223" t="inlineStr">
        <is>
          <t>02609</t>
        </is>
      </c>
      <c r="F1223" t="b">
        <v>1</v>
      </c>
      <c r="G1223" t="n">
        <v>176</v>
      </c>
      <c r="H1223" t="inlineStr">
        <is>
          <t>無印</t>
        </is>
      </c>
      <c r="I1223" t="n">
        <v>177</v>
      </c>
      <c r="J1223" t="inlineStr">
        <is>
          <t>P177|無印</t>
        </is>
      </c>
      <c r="K1223" t="inlineStr">
        <is>
          <t>同一価格表・次頁凡例を継承</t>
        </is>
      </c>
      <c r="L1223" t="inlineStr">
        <is>
          <t>202604_LIXIL_サーモスＬ_業務用資料集_完成品価格表.pdf</t>
        </is>
      </c>
      <c r="M1223" t="inlineStr">
        <is>
          <t>v0.6：同一価格表セクション内で凡例継承を確定。</t>
        </is>
      </c>
      <c r="N1223" t="inlineStr">
        <is>
          <t>https://drive.google.com/file/d/1YUN-mtWYs48YBUHJk0C3vJXnhjyZFHyf/view</t>
        </is>
      </c>
    </row>
    <row r="1224">
      <c r="A1224" s="42" t="inlineStr">
        <is>
          <t>GSC-SL-001221</t>
        </is>
      </c>
      <c r="B1224" t="inlineStr">
        <is>
          <t>SZ-SL-001221</t>
        </is>
      </c>
      <c r="C1224" t="inlineStr">
        <is>
          <t>WT-SL-FIX-IN</t>
        </is>
      </c>
      <c r="E1224" t="inlineStr">
        <is>
          <t>02611</t>
        </is>
      </c>
      <c r="F1224" t="b">
        <v>1</v>
      </c>
      <c r="G1224" t="n">
        <v>176</v>
      </c>
      <c r="H1224" t="inlineStr">
        <is>
          <t>無印</t>
        </is>
      </c>
      <c r="I1224" t="n">
        <v>177</v>
      </c>
      <c r="J1224" t="inlineStr">
        <is>
          <t>P177|無印</t>
        </is>
      </c>
      <c r="K1224" t="inlineStr">
        <is>
          <t>同一価格表・次頁凡例を継承</t>
        </is>
      </c>
      <c r="L1224" t="inlineStr">
        <is>
          <t>202604_LIXIL_サーモスＬ_業務用資料集_完成品価格表.pdf</t>
        </is>
      </c>
      <c r="M1224" t="inlineStr">
        <is>
          <t>v0.6：同一価格表セクション内で凡例継承を確定。</t>
        </is>
      </c>
      <c r="N1224" t="inlineStr">
        <is>
          <t>https://drive.google.com/file/d/1YUN-mtWYs48YBUHJk0C3vJXnhjyZFHyf/view</t>
        </is>
      </c>
    </row>
    <row r="1225">
      <c r="A1225" s="42" t="inlineStr">
        <is>
          <t>GSC-SL-001222</t>
        </is>
      </c>
      <c r="B1225" t="inlineStr">
        <is>
          <t>SZ-SL-001222</t>
        </is>
      </c>
      <c r="C1225" t="inlineStr">
        <is>
          <t>WT-SL-FIX-IN</t>
        </is>
      </c>
      <c r="E1225" t="inlineStr">
        <is>
          <t>02613</t>
        </is>
      </c>
      <c r="F1225" t="b">
        <v>1</v>
      </c>
      <c r="G1225" t="n">
        <v>176</v>
      </c>
      <c r="H1225" t="inlineStr">
        <is>
          <t>無印</t>
        </is>
      </c>
      <c r="I1225" t="n">
        <v>177</v>
      </c>
      <c r="J1225" t="inlineStr">
        <is>
          <t>P177|無印</t>
        </is>
      </c>
      <c r="K1225" t="inlineStr">
        <is>
          <t>同一価格表・次頁凡例を継承</t>
        </is>
      </c>
      <c r="L1225" t="inlineStr">
        <is>
          <t>202604_LIXIL_サーモスＬ_業務用資料集_完成品価格表.pdf</t>
        </is>
      </c>
      <c r="M1225" t="inlineStr">
        <is>
          <t>v0.6：同一価格表セクション内で凡例継承を確定。</t>
        </is>
      </c>
      <c r="N1225" t="inlineStr">
        <is>
          <t>https://drive.google.com/file/d/1YUN-mtWYs48YBUHJk0C3vJXnhjyZFHyf/view</t>
        </is>
      </c>
    </row>
    <row r="1226">
      <c r="A1226" s="42" t="inlineStr">
        <is>
          <t>GSC-SL-001223</t>
        </is>
      </c>
      <c r="B1226" t="inlineStr">
        <is>
          <t>SZ-SL-001223</t>
        </is>
      </c>
      <c r="C1226" t="inlineStr">
        <is>
          <t>WT-SL-FIX-IN</t>
        </is>
      </c>
      <c r="E1226" t="inlineStr">
        <is>
          <t>02615</t>
        </is>
      </c>
      <c r="F1226" t="b">
        <v>1</v>
      </c>
      <c r="G1226" t="n">
        <v>176</v>
      </c>
      <c r="H1226" t="inlineStr">
        <is>
          <t>無印</t>
        </is>
      </c>
      <c r="I1226" t="n">
        <v>177</v>
      </c>
      <c r="J1226" t="inlineStr">
        <is>
          <t>P177|無印</t>
        </is>
      </c>
      <c r="K1226" t="inlineStr">
        <is>
          <t>同一価格表・次頁凡例を継承</t>
        </is>
      </c>
      <c r="L1226" t="inlineStr">
        <is>
          <t>202604_LIXIL_サーモスＬ_業務用資料集_完成品価格表.pdf</t>
        </is>
      </c>
      <c r="M1226" t="inlineStr">
        <is>
          <t>v0.6：同一価格表セクション内で凡例継承を確定。</t>
        </is>
      </c>
      <c r="N1226" t="inlineStr">
        <is>
          <t>https://drive.google.com/file/d/1YUN-mtWYs48YBUHJk0C3vJXnhjyZFHyf/view</t>
        </is>
      </c>
    </row>
    <row r="1227">
      <c r="A1227" s="42" t="inlineStr">
        <is>
          <t>GSC-SL-001224</t>
        </is>
      </c>
      <c r="B1227" t="inlineStr">
        <is>
          <t>SZ-SL-001224</t>
        </is>
      </c>
      <c r="C1227" t="inlineStr">
        <is>
          <t>WT-SL-FIX-IN</t>
        </is>
      </c>
      <c r="E1227" t="inlineStr">
        <is>
          <t>03109</t>
        </is>
      </c>
      <c r="F1227" t="b">
        <v>1</v>
      </c>
      <c r="G1227" t="n">
        <v>177</v>
      </c>
      <c r="H1227" t="inlineStr">
        <is>
          <t>無印</t>
        </is>
      </c>
      <c r="I1227" t="n">
        <v>177</v>
      </c>
      <c r="J1227" t="inlineStr">
        <is>
          <t>P177|無印</t>
        </is>
      </c>
      <c r="K1227" t="inlineStr">
        <is>
          <t>同頁凡例へ直接連動</t>
        </is>
      </c>
      <c r="L1227" t="inlineStr">
        <is>
          <t>202604_LIXIL_サーモスＬ_業務用資料集_完成品価格表.pdf</t>
        </is>
      </c>
      <c r="M1227" t="inlineStr">
        <is>
          <t>v0.6：同一価格表セクション内で凡例継承を確定。</t>
        </is>
      </c>
      <c r="N1227" t="inlineStr">
        <is>
          <t>https://drive.google.com/file/d/1YUN-mtWYs48YBUHJk0C3vJXnhjyZFHyf/view</t>
        </is>
      </c>
    </row>
    <row r="1228">
      <c r="A1228" s="42" t="inlineStr">
        <is>
          <t>GSC-SL-001225</t>
        </is>
      </c>
      <c r="B1228" t="inlineStr">
        <is>
          <t>SZ-SL-001225</t>
        </is>
      </c>
      <c r="C1228" t="inlineStr">
        <is>
          <t>WT-SL-FIX-IN</t>
        </is>
      </c>
      <c r="E1228" t="inlineStr">
        <is>
          <t>03111</t>
        </is>
      </c>
      <c r="F1228" t="b">
        <v>1</v>
      </c>
      <c r="G1228" t="n">
        <v>177</v>
      </c>
      <c r="H1228" t="inlineStr">
        <is>
          <t>無印</t>
        </is>
      </c>
      <c r="I1228" t="n">
        <v>177</v>
      </c>
      <c r="J1228" t="inlineStr">
        <is>
          <t>P177|無印</t>
        </is>
      </c>
      <c r="K1228" t="inlineStr">
        <is>
          <t>同頁凡例へ直接連動</t>
        </is>
      </c>
      <c r="L1228" t="inlineStr">
        <is>
          <t>202604_LIXIL_サーモスＬ_業務用資料集_完成品価格表.pdf</t>
        </is>
      </c>
      <c r="M1228" t="inlineStr">
        <is>
          <t>v0.6：同一価格表セクション内で凡例継承を確定。</t>
        </is>
      </c>
      <c r="N1228" t="inlineStr">
        <is>
          <t>https://drive.google.com/file/d/1YUN-mtWYs48YBUHJk0C3vJXnhjyZFHyf/view</t>
        </is>
      </c>
    </row>
    <row r="1229">
      <c r="A1229" s="42" t="inlineStr">
        <is>
          <t>GSC-SL-001226</t>
        </is>
      </c>
      <c r="B1229" t="inlineStr">
        <is>
          <t>SZ-SL-001226</t>
        </is>
      </c>
      <c r="C1229" t="inlineStr">
        <is>
          <t>WT-SL-FIX-IN</t>
        </is>
      </c>
      <c r="E1229" t="inlineStr">
        <is>
          <t>03113</t>
        </is>
      </c>
      <c r="F1229" t="b">
        <v>1</v>
      </c>
      <c r="G1229" t="n">
        <v>177</v>
      </c>
      <c r="H1229" t="inlineStr">
        <is>
          <t>無印</t>
        </is>
      </c>
      <c r="I1229" t="n">
        <v>177</v>
      </c>
      <c r="J1229" t="inlineStr">
        <is>
          <t>P177|無印</t>
        </is>
      </c>
      <c r="K1229" t="inlineStr">
        <is>
          <t>同頁凡例へ直接連動</t>
        </is>
      </c>
      <c r="L1229" t="inlineStr">
        <is>
          <t>202604_LIXIL_サーモスＬ_業務用資料集_完成品価格表.pdf</t>
        </is>
      </c>
      <c r="M1229" t="inlineStr">
        <is>
          <t>v0.6：同一価格表セクション内で凡例継承を確定。</t>
        </is>
      </c>
      <c r="N1229" t="inlineStr">
        <is>
          <t>https://drive.google.com/file/d/1YUN-mtWYs48YBUHJk0C3vJXnhjyZFHyf/view</t>
        </is>
      </c>
    </row>
    <row r="1230">
      <c r="A1230" s="42" t="inlineStr">
        <is>
          <t>GSC-SL-001227</t>
        </is>
      </c>
      <c r="B1230" t="inlineStr">
        <is>
          <t>SZ-SL-001227</t>
        </is>
      </c>
      <c r="C1230" t="inlineStr">
        <is>
          <t>WT-SL-FIX-IN</t>
        </is>
      </c>
      <c r="E1230" t="inlineStr">
        <is>
          <t>03115</t>
        </is>
      </c>
      <c r="F1230" t="b">
        <v>1</v>
      </c>
      <c r="G1230" t="n">
        <v>177</v>
      </c>
      <c r="H1230" t="inlineStr">
        <is>
          <t>無印</t>
        </is>
      </c>
      <c r="I1230" t="n">
        <v>177</v>
      </c>
      <c r="J1230" t="inlineStr">
        <is>
          <t>P177|無印</t>
        </is>
      </c>
      <c r="K1230" t="inlineStr">
        <is>
          <t>同頁凡例へ直接連動</t>
        </is>
      </c>
      <c r="L1230" t="inlineStr">
        <is>
          <t>202604_LIXIL_サーモスＬ_業務用資料集_完成品価格表.pdf</t>
        </is>
      </c>
      <c r="M1230" t="inlineStr">
        <is>
          <t>v0.6：同一価格表セクション内で凡例継承を確定。</t>
        </is>
      </c>
      <c r="N1230" t="inlineStr">
        <is>
          <t>https://drive.google.com/file/d/1YUN-mtWYs48YBUHJk0C3vJXnhjyZFHyf/view</t>
        </is>
      </c>
    </row>
    <row r="1231">
      <c r="A1231" s="42" t="inlineStr">
        <is>
          <t>GSC-SL-001228</t>
        </is>
      </c>
      <c r="B1231" t="inlineStr">
        <is>
          <t>SZ-SL-001228</t>
        </is>
      </c>
      <c r="C1231" t="inlineStr">
        <is>
          <t>WT-SL-FIX-IN</t>
        </is>
      </c>
      <c r="E1231" t="inlineStr">
        <is>
          <t>03609</t>
        </is>
      </c>
      <c r="F1231" t="b">
        <v>1</v>
      </c>
      <c r="G1231" t="n">
        <v>177</v>
      </c>
      <c r="H1231" t="inlineStr">
        <is>
          <t>無印</t>
        </is>
      </c>
      <c r="I1231" t="n">
        <v>177</v>
      </c>
      <c r="J1231" t="inlineStr">
        <is>
          <t>P177|無印</t>
        </is>
      </c>
      <c r="K1231" t="inlineStr">
        <is>
          <t>同頁凡例へ直接連動</t>
        </is>
      </c>
      <c r="L1231" t="inlineStr">
        <is>
          <t>202604_LIXIL_サーモスＬ_業務用資料集_完成品価格表.pdf</t>
        </is>
      </c>
      <c r="M1231" t="inlineStr">
        <is>
          <t>v0.6：同一価格表セクション内で凡例継承を確定。</t>
        </is>
      </c>
      <c r="N1231" t="inlineStr">
        <is>
          <t>https://drive.google.com/file/d/1YUN-mtWYs48YBUHJk0C3vJXnhjyZFHyf/view</t>
        </is>
      </c>
    </row>
    <row r="1232">
      <c r="A1232" s="42" t="inlineStr">
        <is>
          <t>GSC-SL-001229</t>
        </is>
      </c>
      <c r="B1232" t="inlineStr">
        <is>
          <t>SZ-SL-001229</t>
        </is>
      </c>
      <c r="C1232" t="inlineStr">
        <is>
          <t>WT-SL-FIX-IN</t>
        </is>
      </c>
      <c r="E1232" t="inlineStr">
        <is>
          <t>03611</t>
        </is>
      </c>
      <c r="F1232" t="b">
        <v>1</v>
      </c>
      <c r="G1232" t="n">
        <v>177</v>
      </c>
      <c r="H1232" t="inlineStr">
        <is>
          <t>無印</t>
        </is>
      </c>
      <c r="I1232" t="n">
        <v>177</v>
      </c>
      <c r="J1232" t="inlineStr">
        <is>
          <t>P177|無印</t>
        </is>
      </c>
      <c r="K1232" t="inlineStr">
        <is>
          <t>同頁凡例へ直接連動</t>
        </is>
      </c>
      <c r="L1232" t="inlineStr">
        <is>
          <t>202604_LIXIL_サーモスＬ_業務用資料集_完成品価格表.pdf</t>
        </is>
      </c>
      <c r="M1232" t="inlineStr">
        <is>
          <t>v0.6：同一価格表セクション内で凡例継承を確定。</t>
        </is>
      </c>
      <c r="N1232" t="inlineStr">
        <is>
          <t>https://drive.google.com/file/d/1YUN-mtWYs48YBUHJk0C3vJXnhjyZFHyf/view</t>
        </is>
      </c>
    </row>
    <row r="1233">
      <c r="A1233" s="42" t="inlineStr">
        <is>
          <t>GSC-SL-001230</t>
        </is>
      </c>
      <c r="B1233" t="inlineStr">
        <is>
          <t>SZ-SL-001230</t>
        </is>
      </c>
      <c r="C1233" t="inlineStr">
        <is>
          <t>WT-SL-FIX-IN</t>
        </is>
      </c>
      <c r="E1233" t="inlineStr">
        <is>
          <t>03613</t>
        </is>
      </c>
      <c r="F1233" t="b">
        <v>1</v>
      </c>
      <c r="G1233" t="n">
        <v>177</v>
      </c>
      <c r="H1233" t="inlineStr">
        <is>
          <t>無印</t>
        </is>
      </c>
      <c r="I1233" t="n">
        <v>177</v>
      </c>
      <c r="J1233" t="inlineStr">
        <is>
          <t>P177|無印</t>
        </is>
      </c>
      <c r="K1233" t="inlineStr">
        <is>
          <t>同頁凡例へ直接連動</t>
        </is>
      </c>
      <c r="L1233" t="inlineStr">
        <is>
          <t>202604_LIXIL_サーモスＬ_業務用資料集_完成品価格表.pdf</t>
        </is>
      </c>
      <c r="M1233" t="inlineStr">
        <is>
          <t>v0.6：同一価格表セクション内で凡例継承を確定。</t>
        </is>
      </c>
      <c r="N1233" t="inlineStr">
        <is>
          <t>https://drive.google.com/file/d/1YUN-mtWYs48YBUHJk0C3vJXnhjyZFHyf/view</t>
        </is>
      </c>
    </row>
    <row r="1234">
      <c r="A1234" s="42" t="inlineStr">
        <is>
          <t>GSC-SL-001231</t>
        </is>
      </c>
      <c r="B1234" t="inlineStr">
        <is>
          <t>SZ-SL-001231</t>
        </is>
      </c>
      <c r="C1234" t="inlineStr">
        <is>
          <t>WT-SL-FIX-IN</t>
        </is>
      </c>
      <c r="E1234" t="inlineStr">
        <is>
          <t>03615</t>
        </is>
      </c>
      <c r="F1234" t="b">
        <v>1</v>
      </c>
      <c r="G1234" t="n">
        <v>177</v>
      </c>
      <c r="H1234" t="inlineStr">
        <is>
          <t>無印</t>
        </is>
      </c>
      <c r="I1234" t="n">
        <v>177</v>
      </c>
      <c r="J1234" t="inlineStr">
        <is>
          <t>P177|無印</t>
        </is>
      </c>
      <c r="K1234" t="inlineStr">
        <is>
          <t>同頁凡例へ直接連動</t>
        </is>
      </c>
      <c r="L1234" t="inlineStr">
        <is>
          <t>202604_LIXIL_サーモスＬ_業務用資料集_完成品価格表.pdf</t>
        </is>
      </c>
      <c r="M1234" t="inlineStr">
        <is>
          <t>v0.6：同一価格表セクション内で凡例継承を確定。</t>
        </is>
      </c>
      <c r="N1234" t="inlineStr">
        <is>
          <t>https://drive.google.com/file/d/1YUN-mtWYs48YBUHJk0C3vJXnhjyZFHyf/view</t>
        </is>
      </c>
    </row>
    <row r="1235">
      <c r="A1235" s="42" t="inlineStr">
        <is>
          <t>GSC-SL-001232</t>
        </is>
      </c>
      <c r="B1235" t="inlineStr">
        <is>
          <t>SZ-SL-001232</t>
        </is>
      </c>
      <c r="C1235" t="inlineStr">
        <is>
          <t>WT-SL-FIX-IN</t>
        </is>
      </c>
      <c r="E1235" t="inlineStr">
        <is>
          <t>06009</t>
        </is>
      </c>
      <c r="F1235" t="b">
        <v>1</v>
      </c>
      <c r="G1235" t="n">
        <v>177</v>
      </c>
      <c r="H1235" t="inlineStr">
        <is>
          <t>無印</t>
        </is>
      </c>
      <c r="I1235" t="n">
        <v>177</v>
      </c>
      <c r="J1235" t="inlineStr">
        <is>
          <t>P177|無印</t>
        </is>
      </c>
      <c r="K1235" t="inlineStr">
        <is>
          <t>同頁凡例へ直接連動</t>
        </is>
      </c>
      <c r="L1235" t="inlineStr">
        <is>
          <t>202604_LIXIL_サーモスＬ_業務用資料集_完成品価格表.pdf</t>
        </is>
      </c>
      <c r="M1235" t="inlineStr">
        <is>
          <t>v0.6：同一価格表セクション内で凡例継承を確定。</t>
        </is>
      </c>
      <c r="N1235" t="inlineStr">
        <is>
          <t>https://drive.google.com/file/d/1YUN-mtWYs48YBUHJk0C3vJXnhjyZFHyf/view</t>
        </is>
      </c>
    </row>
    <row r="1236">
      <c r="A1236" s="42" t="inlineStr">
        <is>
          <t>GSC-SL-001233</t>
        </is>
      </c>
      <c r="B1236" t="inlineStr">
        <is>
          <t>SZ-SL-001233</t>
        </is>
      </c>
      <c r="C1236" t="inlineStr">
        <is>
          <t>WT-SL-FIX-IN</t>
        </is>
      </c>
      <c r="E1236" t="inlineStr">
        <is>
          <t>06011</t>
        </is>
      </c>
      <c r="F1236" t="b">
        <v>1</v>
      </c>
      <c r="G1236" t="n">
        <v>177</v>
      </c>
      <c r="H1236" t="inlineStr">
        <is>
          <t>無印</t>
        </is>
      </c>
      <c r="I1236" t="n">
        <v>177</v>
      </c>
      <c r="J1236" t="inlineStr">
        <is>
          <t>P177|無印</t>
        </is>
      </c>
      <c r="K1236" t="inlineStr">
        <is>
          <t>同頁凡例へ直接連動</t>
        </is>
      </c>
      <c r="L1236" t="inlineStr">
        <is>
          <t>202604_LIXIL_サーモスＬ_業務用資料集_完成品価格表.pdf</t>
        </is>
      </c>
      <c r="M1236" t="inlineStr">
        <is>
          <t>v0.6：同一価格表セクション内で凡例継承を確定。</t>
        </is>
      </c>
      <c r="N1236" t="inlineStr">
        <is>
          <t>https://drive.google.com/file/d/1YUN-mtWYs48YBUHJk0C3vJXnhjyZFHyf/view</t>
        </is>
      </c>
    </row>
    <row r="1237">
      <c r="A1237" s="42" t="inlineStr">
        <is>
          <t>GSC-SL-001234</t>
        </is>
      </c>
      <c r="B1237" t="inlineStr">
        <is>
          <t>SZ-SL-001234</t>
        </is>
      </c>
      <c r="C1237" t="inlineStr">
        <is>
          <t>WT-SL-FIX-IN</t>
        </is>
      </c>
      <c r="E1237" t="inlineStr">
        <is>
          <t>06013</t>
        </is>
      </c>
      <c r="F1237" t="b">
        <v>1</v>
      </c>
      <c r="G1237" t="n">
        <v>177</v>
      </c>
      <c r="H1237" t="inlineStr">
        <is>
          <t>無印</t>
        </is>
      </c>
      <c r="I1237" t="n">
        <v>177</v>
      </c>
      <c r="J1237" t="inlineStr">
        <is>
          <t>P177|無印</t>
        </is>
      </c>
      <c r="K1237" t="inlineStr">
        <is>
          <t>同頁凡例へ直接連動</t>
        </is>
      </c>
      <c r="L1237" t="inlineStr">
        <is>
          <t>202604_LIXIL_サーモスＬ_業務用資料集_完成品価格表.pdf</t>
        </is>
      </c>
      <c r="M1237" t="inlineStr">
        <is>
          <t>v0.6：同一価格表セクション内で凡例継承を確定。</t>
        </is>
      </c>
      <c r="N1237" t="inlineStr">
        <is>
          <t>https://drive.google.com/file/d/1YUN-mtWYs48YBUHJk0C3vJXnhjyZFHyf/view</t>
        </is>
      </c>
    </row>
    <row r="1238">
      <c r="A1238" s="42" t="inlineStr">
        <is>
          <t>GSC-SL-001235</t>
        </is>
      </c>
      <c r="B1238" t="inlineStr">
        <is>
          <t>SZ-SL-001235</t>
        </is>
      </c>
      <c r="C1238" t="inlineStr">
        <is>
          <t>WT-SL-FIX-IN</t>
        </is>
      </c>
      <c r="E1238" t="inlineStr">
        <is>
          <t>06015</t>
        </is>
      </c>
      <c r="F1238" t="b">
        <v>1</v>
      </c>
      <c r="G1238" t="n">
        <v>177</v>
      </c>
      <c r="H1238" t="inlineStr">
        <is>
          <t>無印</t>
        </is>
      </c>
      <c r="I1238" t="n">
        <v>177</v>
      </c>
      <c r="J1238" t="inlineStr">
        <is>
          <t>P177|無印</t>
        </is>
      </c>
      <c r="K1238" t="inlineStr">
        <is>
          <t>同頁凡例へ直接連動</t>
        </is>
      </c>
      <c r="L1238" t="inlineStr">
        <is>
          <t>202604_LIXIL_サーモスＬ_業務用資料集_完成品価格表.pdf</t>
        </is>
      </c>
      <c r="M1238" t="inlineStr">
        <is>
          <t>v0.6：同一価格表セクション内で凡例継承を確定。</t>
        </is>
      </c>
      <c r="N1238" t="inlineStr">
        <is>
          <t>https://drive.google.com/file/d/1YUN-mtWYs48YBUHJk0C3vJXnhjyZFHyf/view</t>
        </is>
      </c>
    </row>
    <row r="1239">
      <c r="A1239" s="42" t="inlineStr">
        <is>
          <t>GSC-SL-001236</t>
        </is>
      </c>
      <c r="B1239" t="inlineStr">
        <is>
          <t>SZ-SL-001236</t>
        </is>
      </c>
      <c r="C1239" t="inlineStr">
        <is>
          <t>WT-SL-FIX-IN</t>
        </is>
      </c>
      <c r="E1239" t="inlineStr">
        <is>
          <t>06909</t>
        </is>
      </c>
      <c r="F1239" t="b">
        <v>1</v>
      </c>
      <c r="G1239" t="n">
        <v>178</v>
      </c>
      <c r="H1239" t="inlineStr">
        <is>
          <t>無印</t>
        </is>
      </c>
      <c r="I1239" t="n">
        <v>179</v>
      </c>
      <c r="J1239" t="inlineStr">
        <is>
          <t>P179|無印</t>
        </is>
      </c>
      <c r="K1239" t="inlineStr">
        <is>
          <t>同一価格表・次頁凡例を継承</t>
        </is>
      </c>
      <c r="L1239" t="inlineStr">
        <is>
          <t>202604_LIXIL_サーモスＬ_業務用資料集_完成品価格表.pdf</t>
        </is>
      </c>
      <c r="M1239" t="inlineStr">
        <is>
          <t>v0.6：同一価格表セクション内で凡例継承を確定。</t>
        </is>
      </c>
      <c r="N1239" t="inlineStr">
        <is>
          <t>https://drive.google.com/file/d/1YUN-mtWYs48YBUHJk0C3vJXnhjyZFHyf/view</t>
        </is>
      </c>
    </row>
    <row r="1240">
      <c r="A1240" s="42" t="inlineStr">
        <is>
          <t>GSC-SL-001237</t>
        </is>
      </c>
      <c r="B1240" t="inlineStr">
        <is>
          <t>SZ-SL-001237</t>
        </is>
      </c>
      <c r="C1240" t="inlineStr">
        <is>
          <t>WT-SL-FIX-IN</t>
        </is>
      </c>
      <c r="E1240" t="inlineStr">
        <is>
          <t>06911</t>
        </is>
      </c>
      <c r="F1240" t="b">
        <v>1</v>
      </c>
      <c r="G1240" t="n">
        <v>178</v>
      </c>
      <c r="H1240" t="inlineStr">
        <is>
          <t>無印</t>
        </is>
      </c>
      <c r="I1240" t="n">
        <v>179</v>
      </c>
      <c r="J1240" t="inlineStr">
        <is>
          <t>P179|無印</t>
        </is>
      </c>
      <c r="K1240" t="inlineStr">
        <is>
          <t>同一価格表・次頁凡例を継承</t>
        </is>
      </c>
      <c r="L1240" t="inlineStr">
        <is>
          <t>202604_LIXIL_サーモスＬ_業務用資料集_完成品価格表.pdf</t>
        </is>
      </c>
      <c r="M1240" t="inlineStr">
        <is>
          <t>v0.6：同一価格表セクション内で凡例継承を確定。</t>
        </is>
      </c>
      <c r="N1240" t="inlineStr">
        <is>
          <t>https://drive.google.com/file/d/1YUN-mtWYs48YBUHJk0C3vJXnhjyZFHyf/view</t>
        </is>
      </c>
    </row>
    <row r="1241">
      <c r="A1241" s="42" t="inlineStr">
        <is>
          <t>GSC-SL-001238</t>
        </is>
      </c>
      <c r="B1241" t="inlineStr">
        <is>
          <t>SZ-SL-001238</t>
        </is>
      </c>
      <c r="C1241" t="inlineStr">
        <is>
          <t>WT-SL-FIX-IN</t>
        </is>
      </c>
      <c r="E1241" t="inlineStr">
        <is>
          <t>06913</t>
        </is>
      </c>
      <c r="F1241" t="b">
        <v>1</v>
      </c>
      <c r="G1241" t="n">
        <v>178</v>
      </c>
      <c r="H1241" t="inlineStr">
        <is>
          <t>無印</t>
        </is>
      </c>
      <c r="I1241" t="n">
        <v>179</v>
      </c>
      <c r="J1241" t="inlineStr">
        <is>
          <t>P179|無印</t>
        </is>
      </c>
      <c r="K1241" t="inlineStr">
        <is>
          <t>同一価格表・次頁凡例を継承</t>
        </is>
      </c>
      <c r="L1241" t="inlineStr">
        <is>
          <t>202604_LIXIL_サーモスＬ_業務用資料集_完成品価格表.pdf</t>
        </is>
      </c>
      <c r="M1241" t="inlineStr">
        <is>
          <t>v0.6：同一価格表セクション内で凡例継承を確定。</t>
        </is>
      </c>
      <c r="N1241" t="inlineStr">
        <is>
          <t>https://drive.google.com/file/d/1YUN-mtWYs48YBUHJk0C3vJXnhjyZFHyf/view</t>
        </is>
      </c>
    </row>
    <row r="1242">
      <c r="A1242" s="42" t="inlineStr">
        <is>
          <t>GSC-SL-001239</t>
        </is>
      </c>
      <c r="B1242" t="inlineStr">
        <is>
          <t>SZ-SL-001239</t>
        </is>
      </c>
      <c r="C1242" t="inlineStr">
        <is>
          <t>WT-SL-FIX-IN</t>
        </is>
      </c>
      <c r="E1242" t="inlineStr">
        <is>
          <t>06915</t>
        </is>
      </c>
      <c r="F1242" t="b">
        <v>1</v>
      </c>
      <c r="G1242" t="n">
        <v>178</v>
      </c>
      <c r="H1242" t="inlineStr">
        <is>
          <t>★</t>
        </is>
      </c>
      <c r="I1242" t="n">
        <v>179</v>
      </c>
      <c r="J1242" t="inlineStr">
        <is>
          <t>P179|★</t>
        </is>
      </c>
      <c r="K1242" t="inlineStr">
        <is>
          <t>同一価格表・次頁凡例を継承</t>
        </is>
      </c>
      <c r="L1242" t="inlineStr">
        <is>
          <t>202604_LIXIL_サーモスＬ_業務用資料集_完成品価格表.pdf</t>
        </is>
      </c>
      <c r="M1242" t="inlineStr">
        <is>
          <t>v0.6：同一価格表セクション内で凡例継承を確定。</t>
        </is>
      </c>
      <c r="N1242" t="inlineStr">
        <is>
          <t>https://drive.google.com/file/d/1YUN-mtWYs48YBUHJk0C3vJXnhjyZFHyf/view</t>
        </is>
      </c>
    </row>
    <row r="1243">
      <c r="A1243" s="42" t="inlineStr">
        <is>
          <t>GSC-SL-001240</t>
        </is>
      </c>
      <c r="B1243" t="inlineStr">
        <is>
          <t>SZ-SL-001240</t>
        </is>
      </c>
      <c r="C1243" t="inlineStr">
        <is>
          <t>WT-SL-FIX-IN</t>
        </is>
      </c>
      <c r="E1243" t="inlineStr">
        <is>
          <t>07409</t>
        </is>
      </c>
      <c r="F1243" t="b">
        <v>1</v>
      </c>
      <c r="G1243" t="n">
        <v>178</v>
      </c>
      <c r="H1243" t="inlineStr">
        <is>
          <t>無印</t>
        </is>
      </c>
      <c r="I1243" t="n">
        <v>179</v>
      </c>
      <c r="J1243" t="inlineStr">
        <is>
          <t>P179|無印</t>
        </is>
      </c>
      <c r="K1243" t="inlineStr">
        <is>
          <t>同一価格表・次頁凡例を継承</t>
        </is>
      </c>
      <c r="L1243" t="inlineStr">
        <is>
          <t>202604_LIXIL_サーモスＬ_業務用資料集_完成品価格表.pdf</t>
        </is>
      </c>
      <c r="M1243" t="inlineStr">
        <is>
          <t>v0.6：同一価格表セクション内で凡例継承を確定。</t>
        </is>
      </c>
      <c r="N1243" t="inlineStr">
        <is>
          <t>https://drive.google.com/file/d/1YUN-mtWYs48YBUHJk0C3vJXnhjyZFHyf/view</t>
        </is>
      </c>
    </row>
    <row r="1244">
      <c r="A1244" s="42" t="inlineStr">
        <is>
          <t>GSC-SL-001241</t>
        </is>
      </c>
      <c r="B1244" t="inlineStr">
        <is>
          <t>SZ-SL-001241</t>
        </is>
      </c>
      <c r="C1244" t="inlineStr">
        <is>
          <t>WT-SL-FIX-IN</t>
        </is>
      </c>
      <c r="E1244" t="inlineStr">
        <is>
          <t>07411</t>
        </is>
      </c>
      <c r="F1244" t="b">
        <v>1</v>
      </c>
      <c r="G1244" t="n">
        <v>178</v>
      </c>
      <c r="H1244" t="inlineStr">
        <is>
          <t>無印</t>
        </is>
      </c>
      <c r="I1244" t="n">
        <v>179</v>
      </c>
      <c r="J1244" t="inlineStr">
        <is>
          <t>P179|無印</t>
        </is>
      </c>
      <c r="K1244" t="inlineStr">
        <is>
          <t>同一価格表・次頁凡例を継承</t>
        </is>
      </c>
      <c r="L1244" t="inlineStr">
        <is>
          <t>202604_LIXIL_サーモスＬ_業務用資料集_完成品価格表.pdf</t>
        </is>
      </c>
      <c r="M1244" t="inlineStr">
        <is>
          <t>v0.6：同一価格表セクション内で凡例継承を確定。</t>
        </is>
      </c>
      <c r="N1244" t="inlineStr">
        <is>
          <t>https://drive.google.com/file/d/1YUN-mtWYs48YBUHJk0C3vJXnhjyZFHyf/view</t>
        </is>
      </c>
    </row>
    <row r="1245">
      <c r="A1245" s="42" t="inlineStr">
        <is>
          <t>GSC-SL-001242</t>
        </is>
      </c>
      <c r="B1245" t="inlineStr">
        <is>
          <t>SZ-SL-001242</t>
        </is>
      </c>
      <c r="C1245" t="inlineStr">
        <is>
          <t>WT-SL-FIX-IN</t>
        </is>
      </c>
      <c r="E1245" t="inlineStr">
        <is>
          <t>07413</t>
        </is>
      </c>
      <c r="F1245" t="b">
        <v>1</v>
      </c>
      <c r="G1245" t="n">
        <v>178</v>
      </c>
      <c r="H1245" t="inlineStr">
        <is>
          <t>無印</t>
        </is>
      </c>
      <c r="I1245" t="n">
        <v>179</v>
      </c>
      <c r="J1245" t="inlineStr">
        <is>
          <t>P179|無印</t>
        </is>
      </c>
      <c r="K1245" t="inlineStr">
        <is>
          <t>同一価格表・次頁凡例を継承</t>
        </is>
      </c>
      <c r="L1245" t="inlineStr">
        <is>
          <t>202604_LIXIL_サーモスＬ_業務用資料集_完成品価格表.pdf</t>
        </is>
      </c>
      <c r="M1245" t="inlineStr">
        <is>
          <t>v0.6：同一価格表セクション内で凡例継承を確定。</t>
        </is>
      </c>
      <c r="N1245" t="inlineStr">
        <is>
          <t>https://drive.google.com/file/d/1YUN-mtWYs48YBUHJk0C3vJXnhjyZFHyf/view</t>
        </is>
      </c>
    </row>
    <row r="1246">
      <c r="A1246" s="42" t="inlineStr">
        <is>
          <t>GSC-SL-001243</t>
        </is>
      </c>
      <c r="B1246" t="inlineStr">
        <is>
          <t>SZ-SL-001243</t>
        </is>
      </c>
      <c r="C1246" t="inlineStr">
        <is>
          <t>WT-SL-FIX-IN</t>
        </is>
      </c>
      <c r="E1246" t="inlineStr">
        <is>
          <t>07415</t>
        </is>
      </c>
      <c r="F1246" t="b">
        <v>1</v>
      </c>
      <c r="G1246" t="n">
        <v>178</v>
      </c>
      <c r="H1246" t="inlineStr">
        <is>
          <t>★</t>
        </is>
      </c>
      <c r="I1246" t="n">
        <v>179</v>
      </c>
      <c r="J1246" t="inlineStr">
        <is>
          <t>P179|★</t>
        </is>
      </c>
      <c r="K1246" t="inlineStr">
        <is>
          <t>同一価格表・次頁凡例を継承</t>
        </is>
      </c>
      <c r="L1246" t="inlineStr">
        <is>
          <t>202604_LIXIL_サーモスＬ_業務用資料集_完成品価格表.pdf</t>
        </is>
      </c>
      <c r="M1246" t="inlineStr">
        <is>
          <t>v0.6：同一価格表セクション内で凡例継承を確定。</t>
        </is>
      </c>
      <c r="N1246" t="inlineStr">
        <is>
          <t>https://drive.google.com/file/d/1YUN-mtWYs48YBUHJk0C3vJXnhjyZFHyf/view</t>
        </is>
      </c>
    </row>
    <row r="1247">
      <c r="A1247" s="42" t="inlineStr">
        <is>
          <t>GSC-SL-001244</t>
        </is>
      </c>
      <c r="B1247" t="inlineStr">
        <is>
          <t>SZ-SL-001244</t>
        </is>
      </c>
      <c r="C1247" t="inlineStr">
        <is>
          <t>WT-SL-FIX-IN</t>
        </is>
      </c>
      <c r="E1247" t="inlineStr">
        <is>
          <t>096093</t>
        </is>
      </c>
      <c r="F1247" t="b">
        <v>1</v>
      </c>
      <c r="G1247" t="n">
        <v>178</v>
      </c>
      <c r="H1247" t="inlineStr">
        <is>
          <t>無印</t>
        </is>
      </c>
      <c r="I1247" t="n">
        <v>179</v>
      </c>
      <c r="J1247" t="inlineStr">
        <is>
          <t>P179|無印</t>
        </is>
      </c>
      <c r="K1247" t="inlineStr">
        <is>
          <t>同一価格表・次頁凡例を継承</t>
        </is>
      </c>
      <c r="L1247" t="inlineStr">
        <is>
          <t>202604_LIXIL_サーモスＬ_業務用資料集_完成品価格表.pdf</t>
        </is>
      </c>
      <c r="M1247" t="inlineStr">
        <is>
          <t>v0.6：同一価格表セクション内で凡例継承を確定。</t>
        </is>
      </c>
      <c r="N1247" t="inlineStr">
        <is>
          <t>https://drive.google.com/file/d/1YUN-mtWYs48YBUHJk0C3vJXnhjyZFHyf/view</t>
        </is>
      </c>
    </row>
    <row r="1248">
      <c r="A1248" s="42" t="inlineStr">
        <is>
          <t>GSC-SL-001245</t>
        </is>
      </c>
      <c r="B1248" t="inlineStr">
        <is>
          <t>SZ-SL-001245</t>
        </is>
      </c>
      <c r="C1248" t="inlineStr">
        <is>
          <t>WT-SL-FIX-IN</t>
        </is>
      </c>
      <c r="E1248" t="inlineStr">
        <is>
          <t>11909</t>
        </is>
      </c>
      <c r="F1248" t="b">
        <v>1</v>
      </c>
      <c r="G1248" t="n">
        <v>179</v>
      </c>
      <c r="H1248" t="inlineStr">
        <is>
          <t>★</t>
        </is>
      </c>
      <c r="I1248" t="n">
        <v>179</v>
      </c>
      <c r="J1248" t="inlineStr">
        <is>
          <t>P179|★</t>
        </is>
      </c>
      <c r="K1248" t="inlineStr">
        <is>
          <t>同頁凡例へ直接連動</t>
        </is>
      </c>
      <c r="L1248" t="inlineStr">
        <is>
          <t>202604_LIXIL_サーモスＬ_業務用資料集_完成品価格表.pdf</t>
        </is>
      </c>
      <c r="M1248" t="inlineStr">
        <is>
          <t>v0.6：同一価格表セクション内で凡例継承を確定。</t>
        </is>
      </c>
      <c r="N1248" t="inlineStr">
        <is>
          <t>https://drive.google.com/file/d/1YUN-mtWYs48YBUHJk0C3vJXnhjyZFHyf/view</t>
        </is>
      </c>
    </row>
    <row r="1249">
      <c r="A1249" s="42" t="inlineStr">
        <is>
          <t>GSC-SL-001246</t>
        </is>
      </c>
      <c r="B1249" t="inlineStr">
        <is>
          <t>SZ-SL-001246</t>
        </is>
      </c>
      <c r="C1249" t="inlineStr">
        <is>
          <t>WT-SL-FIX-IN</t>
        </is>
      </c>
      <c r="E1249" t="inlineStr">
        <is>
          <t>11911</t>
        </is>
      </c>
      <c r="F1249" t="b">
        <v>1</v>
      </c>
      <c r="G1249" t="n">
        <v>179</v>
      </c>
      <c r="H1249" t="inlineStr">
        <is>
          <t>★</t>
        </is>
      </c>
      <c r="I1249" t="n">
        <v>179</v>
      </c>
      <c r="J1249" t="inlineStr">
        <is>
          <t>P179|★</t>
        </is>
      </c>
      <c r="K1249" t="inlineStr">
        <is>
          <t>同頁凡例へ直接連動</t>
        </is>
      </c>
      <c r="L1249" t="inlineStr">
        <is>
          <t>202604_LIXIL_サーモスＬ_業務用資料集_完成品価格表.pdf</t>
        </is>
      </c>
      <c r="M1249" t="inlineStr">
        <is>
          <t>v0.6：同一価格表セクション内で凡例継承を確定。</t>
        </is>
      </c>
      <c r="N1249" t="inlineStr">
        <is>
          <t>https://drive.google.com/file/d/1YUN-mtWYs48YBUHJk0C3vJXnhjyZFHyf/view</t>
        </is>
      </c>
    </row>
    <row r="1250">
      <c r="A1250" s="42" t="inlineStr">
        <is>
          <t>GSC-SL-001247</t>
        </is>
      </c>
      <c r="B1250" t="inlineStr">
        <is>
          <t>SZ-SL-001247</t>
        </is>
      </c>
      <c r="C1250" t="inlineStr">
        <is>
          <t>WT-SL-FIX-IN</t>
        </is>
      </c>
      <c r="E1250" t="inlineStr">
        <is>
          <t>119116</t>
        </is>
      </c>
      <c r="F1250" t="b">
        <v>1</v>
      </c>
      <c r="G1250" t="n">
        <v>179</v>
      </c>
      <c r="H1250" t="inlineStr">
        <is>
          <t>無印</t>
        </is>
      </c>
      <c r="I1250" t="n">
        <v>179</v>
      </c>
      <c r="J1250" t="inlineStr">
        <is>
          <t>P179|無印</t>
        </is>
      </c>
      <c r="K1250" t="inlineStr">
        <is>
          <t>同頁凡例へ直接連動</t>
        </is>
      </c>
      <c r="L1250" t="inlineStr">
        <is>
          <t>202604_LIXIL_サーモスＬ_業務用資料集_完成品価格表.pdf</t>
        </is>
      </c>
      <c r="M1250" t="inlineStr">
        <is>
          <t>v0.6：同一価格表セクション内で凡例継承を確定。</t>
        </is>
      </c>
      <c r="N1250" t="inlineStr">
        <is>
          <t>https://drive.google.com/file/d/1YUN-mtWYs48YBUHJk0C3vJXnhjyZFHyf/view</t>
        </is>
      </c>
    </row>
    <row r="1251">
      <c r="A1251" s="42" t="inlineStr">
        <is>
          <t>GSC-SL-001248</t>
        </is>
      </c>
      <c r="B1251" t="inlineStr">
        <is>
          <t>SZ-SL-001248</t>
        </is>
      </c>
      <c r="C1251" t="inlineStr">
        <is>
          <t>WT-SL-FIX-IN</t>
        </is>
      </c>
      <c r="E1251" t="inlineStr">
        <is>
          <t>11913</t>
        </is>
      </c>
      <c r="F1251" t="b">
        <v>1</v>
      </c>
      <c r="G1251" t="n">
        <v>179</v>
      </c>
      <c r="H1251" t="inlineStr">
        <is>
          <t>無印</t>
        </is>
      </c>
      <c r="I1251" t="n">
        <v>179</v>
      </c>
      <c r="J1251" t="inlineStr">
        <is>
          <t>P179|無印</t>
        </is>
      </c>
      <c r="K1251" t="inlineStr">
        <is>
          <t>同頁凡例へ直接連動</t>
        </is>
      </c>
      <c r="L1251" t="inlineStr">
        <is>
          <t>202604_LIXIL_サーモスＬ_業務用資料集_完成品価格表.pdf</t>
        </is>
      </c>
      <c r="M1251" t="inlineStr">
        <is>
          <t>v0.6：同一価格表セクション内で凡例継承を確定。</t>
        </is>
      </c>
      <c r="N1251" t="inlineStr">
        <is>
          <t>https://drive.google.com/file/d/1YUN-mtWYs48YBUHJk0C3vJXnhjyZFHyf/view</t>
        </is>
      </c>
    </row>
    <row r="1252">
      <c r="A1252" s="42" t="inlineStr">
        <is>
          <t>GSC-SL-001249</t>
        </is>
      </c>
      <c r="B1252" t="inlineStr">
        <is>
          <t>SZ-SL-001249</t>
        </is>
      </c>
      <c r="C1252" t="inlineStr">
        <is>
          <t>WT-SL-FIX-IN</t>
        </is>
      </c>
      <c r="E1252" t="inlineStr">
        <is>
          <t>11915</t>
        </is>
      </c>
      <c r="F1252" t="b">
        <v>1</v>
      </c>
      <c r="G1252" t="n">
        <v>179</v>
      </c>
      <c r="H1252" t="inlineStr">
        <is>
          <t>無印</t>
        </is>
      </c>
      <c r="I1252" t="n">
        <v>179</v>
      </c>
      <c r="J1252" t="inlineStr">
        <is>
          <t>P179|無印</t>
        </is>
      </c>
      <c r="K1252" t="inlineStr">
        <is>
          <t>同頁凡例へ直接連動</t>
        </is>
      </c>
      <c r="L1252" t="inlineStr">
        <is>
          <t>202604_LIXIL_サーモスＬ_業務用資料集_完成品価格表.pdf</t>
        </is>
      </c>
      <c r="M1252" t="inlineStr">
        <is>
          <t>v0.6：同一価格表セクション内で凡例継承を確定。</t>
        </is>
      </c>
      <c r="N1252" t="inlineStr">
        <is>
          <t>https://drive.google.com/file/d/1YUN-mtWYs48YBUHJk0C3vJXnhjyZFHyf/view</t>
        </is>
      </c>
    </row>
    <row r="1253">
      <c r="A1253" s="42" t="inlineStr">
        <is>
          <t>GSC-SL-001250</t>
        </is>
      </c>
      <c r="B1253" t="inlineStr">
        <is>
          <t>SZ-SL-001250</t>
        </is>
      </c>
      <c r="C1253" t="inlineStr">
        <is>
          <t>WT-SL-FIX-IN</t>
        </is>
      </c>
      <c r="E1253" t="inlineStr">
        <is>
          <t>16509</t>
        </is>
      </c>
      <c r="F1253" t="b">
        <v>1</v>
      </c>
      <c r="G1253" t="n">
        <v>179</v>
      </c>
      <c r="H1253" t="inlineStr">
        <is>
          <t>無印</t>
        </is>
      </c>
      <c r="I1253" t="n">
        <v>179</v>
      </c>
      <c r="J1253" t="inlineStr">
        <is>
          <t>P179|無印</t>
        </is>
      </c>
      <c r="K1253" t="inlineStr">
        <is>
          <t>同頁凡例へ直接連動</t>
        </is>
      </c>
      <c r="L1253" t="inlineStr">
        <is>
          <t>202604_LIXIL_サーモスＬ_業務用資料集_完成品価格表.pdf</t>
        </is>
      </c>
      <c r="M1253" t="inlineStr">
        <is>
          <t>v0.6：同一価格表セクション内で凡例継承を確定。</t>
        </is>
      </c>
      <c r="N1253" t="inlineStr">
        <is>
          <t>https://drive.google.com/file/d/1YUN-mtWYs48YBUHJk0C3vJXnhjyZFHyf/view</t>
        </is>
      </c>
    </row>
    <row r="1254">
      <c r="A1254" s="42" t="inlineStr">
        <is>
          <t>GSC-SL-001251</t>
        </is>
      </c>
      <c r="B1254" t="inlineStr">
        <is>
          <t>SZ-SL-001251</t>
        </is>
      </c>
      <c r="C1254" t="inlineStr">
        <is>
          <t>WT-SL-FIX-IN</t>
        </is>
      </c>
      <c r="E1254" t="inlineStr">
        <is>
          <t>16511</t>
        </is>
      </c>
      <c r="F1254" t="b">
        <v>1</v>
      </c>
      <c r="G1254" t="n">
        <v>179</v>
      </c>
      <c r="H1254" t="inlineStr">
        <is>
          <t>無印</t>
        </is>
      </c>
      <c r="I1254" t="n">
        <v>179</v>
      </c>
      <c r="J1254" t="inlineStr">
        <is>
          <t>P179|無印</t>
        </is>
      </c>
      <c r="K1254" t="inlineStr">
        <is>
          <t>同頁凡例へ直接連動</t>
        </is>
      </c>
      <c r="L1254" t="inlineStr">
        <is>
          <t>202604_LIXIL_サーモスＬ_業務用資料集_完成品価格表.pdf</t>
        </is>
      </c>
      <c r="M1254" t="inlineStr">
        <is>
          <t>v0.6：同一価格表セクション内で凡例継承を確定。</t>
        </is>
      </c>
      <c r="N1254" t="inlineStr">
        <is>
          <t>https://drive.google.com/file/d/1YUN-mtWYs48YBUHJk0C3vJXnhjyZFHyf/view</t>
        </is>
      </c>
    </row>
    <row r="1255">
      <c r="A1255" s="42" t="inlineStr">
        <is>
          <t>GSC-SL-001252</t>
        </is>
      </c>
      <c r="B1255" t="inlineStr">
        <is>
          <t>SZ-SL-001252</t>
        </is>
      </c>
      <c r="C1255" t="inlineStr">
        <is>
          <t>WT-SL-FIX-IN</t>
        </is>
      </c>
      <c r="E1255" t="inlineStr">
        <is>
          <t>16513</t>
        </is>
      </c>
      <c r="F1255" t="b">
        <v>1</v>
      </c>
      <c r="G1255" t="n">
        <v>179</v>
      </c>
      <c r="H1255" t="inlineStr">
        <is>
          <t>●</t>
        </is>
      </c>
      <c r="I1255" t="n">
        <v>179</v>
      </c>
      <c r="J1255" t="inlineStr">
        <is>
          <t>P179|●</t>
        </is>
      </c>
      <c r="K1255" t="inlineStr">
        <is>
          <t>同頁凡例へ直接連動</t>
        </is>
      </c>
      <c r="L1255" t="inlineStr">
        <is>
          <t>202604_LIXIL_サーモスＬ_業務用資料集_完成品価格表.pdf</t>
        </is>
      </c>
      <c r="M1255" t="inlineStr">
        <is>
          <t>v0.6：同一価格表セクション内で凡例継承を確定。</t>
        </is>
      </c>
      <c r="N1255" t="inlineStr">
        <is>
          <t>https://drive.google.com/file/d/1YUN-mtWYs48YBUHJk0C3vJXnhjyZFHyf/view</t>
        </is>
      </c>
    </row>
    <row r="1256">
      <c r="A1256" s="42" t="inlineStr">
        <is>
          <t>GSC-SL-001253</t>
        </is>
      </c>
      <c r="B1256" t="inlineStr">
        <is>
          <t>SZ-SL-001253</t>
        </is>
      </c>
      <c r="C1256" t="inlineStr">
        <is>
          <t>WT-SL-FIX-IN</t>
        </is>
      </c>
      <c r="E1256" t="inlineStr">
        <is>
          <t>16515</t>
        </is>
      </c>
      <c r="F1256" t="b">
        <v>1</v>
      </c>
      <c r="G1256" t="n">
        <v>179</v>
      </c>
      <c r="H1256" t="inlineStr">
        <is>
          <t>◇</t>
        </is>
      </c>
      <c r="I1256" t="n">
        <v>179</v>
      </c>
      <c r="J1256" t="inlineStr">
        <is>
          <t>P179|◇</t>
        </is>
      </c>
      <c r="K1256" t="inlineStr">
        <is>
          <t>同頁凡例へ直接連動</t>
        </is>
      </c>
      <c r="L1256" t="inlineStr">
        <is>
          <t>202604_LIXIL_サーモスＬ_業務用資料集_完成品価格表.pdf</t>
        </is>
      </c>
      <c r="M1256" t="inlineStr">
        <is>
          <t>v0.6：同一価格表セクション内で凡例継承を確定。</t>
        </is>
      </c>
      <c r="N1256" t="inlineStr">
        <is>
          <t>https://drive.google.com/file/d/1YUN-mtWYs48YBUHJk0C3vJXnhjyZFHyf/view</t>
        </is>
      </c>
    </row>
    <row r="1257">
      <c r="A1257" s="42" t="inlineStr">
        <is>
          <t>GSC-SL-001254</t>
        </is>
      </c>
      <c r="B1257" t="inlineStr">
        <is>
          <t>SZ-SL-001254</t>
        </is>
      </c>
      <c r="C1257" t="inlineStr">
        <is>
          <t>WT-SL-FIX-IN</t>
        </is>
      </c>
      <c r="E1257" t="inlineStr">
        <is>
          <t>01618</t>
        </is>
      </c>
      <c r="F1257" t="b">
        <v>1</v>
      </c>
      <c r="G1257" t="n">
        <v>180</v>
      </c>
      <c r="H1257" t="inlineStr">
        <is>
          <t>無印</t>
        </is>
      </c>
      <c r="I1257" t="n">
        <v>180</v>
      </c>
      <c r="J1257" t="inlineStr">
        <is>
          <t>P180|無印</t>
        </is>
      </c>
      <c r="K1257" t="inlineStr">
        <is>
          <t>同頁凡例へ直接連動</t>
        </is>
      </c>
      <c r="L1257" t="inlineStr">
        <is>
          <t>202604_LIXIL_サーモスＬ_業務用資料集_完成品価格表.pdf</t>
        </is>
      </c>
      <c r="M1257" t="inlineStr">
        <is>
          <t>v0.6：同一価格表セクション内で凡例継承を確定。</t>
        </is>
      </c>
      <c r="N1257" t="inlineStr">
        <is>
          <t>https://drive.google.com/file/d/1YUN-mtWYs48YBUHJk0C3vJXnhjyZFHyf/view</t>
        </is>
      </c>
    </row>
    <row r="1258">
      <c r="A1258" s="42" t="inlineStr">
        <is>
          <t>GSC-SL-001255</t>
        </is>
      </c>
      <c r="B1258" t="inlineStr">
        <is>
          <t>SZ-SL-001255</t>
        </is>
      </c>
      <c r="C1258" t="inlineStr">
        <is>
          <t>WT-SL-FIX-IN</t>
        </is>
      </c>
      <c r="E1258" t="inlineStr">
        <is>
          <t>01620</t>
        </is>
      </c>
      <c r="F1258" t="b">
        <v>1</v>
      </c>
      <c r="G1258" t="n">
        <v>180</v>
      </c>
      <c r="H1258" t="inlineStr">
        <is>
          <t>無印</t>
        </is>
      </c>
      <c r="I1258" t="n">
        <v>180</v>
      </c>
      <c r="J1258" t="inlineStr">
        <is>
          <t>P180|無印</t>
        </is>
      </c>
      <c r="K1258" t="inlineStr">
        <is>
          <t>同頁凡例へ直接連動</t>
        </is>
      </c>
      <c r="L1258" t="inlineStr">
        <is>
          <t>202604_LIXIL_サーモスＬ_業務用資料集_完成品価格表.pdf</t>
        </is>
      </c>
      <c r="M1258" t="inlineStr">
        <is>
          <t>v0.6：同一価格表セクション内で凡例継承を確定。</t>
        </is>
      </c>
      <c r="N1258" t="inlineStr">
        <is>
          <t>https://drive.google.com/file/d/1YUN-mtWYs48YBUHJk0C3vJXnhjyZFHyf/view</t>
        </is>
      </c>
    </row>
    <row r="1259">
      <c r="A1259" s="42" t="inlineStr">
        <is>
          <t>GSC-SL-001256</t>
        </is>
      </c>
      <c r="B1259" t="inlineStr">
        <is>
          <t>SZ-SL-001256</t>
        </is>
      </c>
      <c r="C1259" t="inlineStr">
        <is>
          <t>WT-SL-FIX-IN</t>
        </is>
      </c>
      <c r="E1259" t="inlineStr">
        <is>
          <t>01622</t>
        </is>
      </c>
      <c r="F1259" t="b">
        <v>1</v>
      </c>
      <c r="G1259" t="n">
        <v>180</v>
      </c>
      <c r="H1259" t="inlineStr">
        <is>
          <t>無印</t>
        </is>
      </c>
      <c r="I1259" t="n">
        <v>180</v>
      </c>
      <c r="J1259" t="inlineStr">
        <is>
          <t>P180|無印</t>
        </is>
      </c>
      <c r="K1259" t="inlineStr">
        <is>
          <t>同頁凡例へ直接連動</t>
        </is>
      </c>
      <c r="L1259" t="inlineStr">
        <is>
          <t>202604_LIXIL_サーモスＬ_業務用資料集_完成品価格表.pdf</t>
        </is>
      </c>
      <c r="M1259" t="inlineStr">
        <is>
          <t>v0.6：同一価格表セクション内で凡例継承を確定。</t>
        </is>
      </c>
      <c r="N1259" t="inlineStr">
        <is>
          <t>https://drive.google.com/file/d/1YUN-mtWYs48YBUHJk0C3vJXnhjyZFHyf/view</t>
        </is>
      </c>
    </row>
    <row r="1260">
      <c r="A1260" s="42" t="inlineStr">
        <is>
          <t>GSC-SL-001257</t>
        </is>
      </c>
      <c r="B1260" t="inlineStr">
        <is>
          <t>SZ-SL-001257</t>
        </is>
      </c>
      <c r="C1260" t="inlineStr">
        <is>
          <t>WT-SL-FIX-IN</t>
        </is>
      </c>
      <c r="E1260" t="inlineStr">
        <is>
          <t>02118</t>
        </is>
      </c>
      <c r="F1260" t="b">
        <v>1</v>
      </c>
      <c r="G1260" t="n">
        <v>180</v>
      </c>
      <c r="H1260" t="inlineStr">
        <is>
          <t>無印</t>
        </is>
      </c>
      <c r="I1260" t="n">
        <v>180</v>
      </c>
      <c r="J1260" t="inlineStr">
        <is>
          <t>P180|無印</t>
        </is>
      </c>
      <c r="K1260" t="inlineStr">
        <is>
          <t>同頁凡例へ直接連動</t>
        </is>
      </c>
      <c r="L1260" t="inlineStr">
        <is>
          <t>202604_LIXIL_サーモスＬ_業務用資料集_完成品価格表.pdf</t>
        </is>
      </c>
      <c r="M1260" t="inlineStr">
        <is>
          <t>v0.6：同一価格表セクション内で凡例継承を確定。</t>
        </is>
      </c>
      <c r="N1260" t="inlineStr">
        <is>
          <t>https://drive.google.com/file/d/1YUN-mtWYs48YBUHJk0C3vJXnhjyZFHyf/view</t>
        </is>
      </c>
    </row>
    <row r="1261">
      <c r="A1261" s="42" t="inlineStr">
        <is>
          <t>GSC-SL-001258</t>
        </is>
      </c>
      <c r="B1261" t="inlineStr">
        <is>
          <t>SZ-SL-001258</t>
        </is>
      </c>
      <c r="C1261" t="inlineStr">
        <is>
          <t>WT-SL-FIX-IN</t>
        </is>
      </c>
      <c r="E1261" t="inlineStr">
        <is>
          <t>02120</t>
        </is>
      </c>
      <c r="F1261" t="b">
        <v>1</v>
      </c>
      <c r="G1261" t="n">
        <v>180</v>
      </c>
      <c r="H1261" t="inlineStr">
        <is>
          <t>無印</t>
        </is>
      </c>
      <c r="I1261" t="n">
        <v>180</v>
      </c>
      <c r="J1261" t="inlineStr">
        <is>
          <t>P180|無印</t>
        </is>
      </c>
      <c r="K1261" t="inlineStr">
        <is>
          <t>同頁凡例へ直接連動</t>
        </is>
      </c>
      <c r="L1261" t="inlineStr">
        <is>
          <t>202604_LIXIL_サーモスＬ_業務用資料集_完成品価格表.pdf</t>
        </is>
      </c>
      <c r="M1261" t="inlineStr">
        <is>
          <t>v0.6：同一価格表セクション内で凡例継承を確定。</t>
        </is>
      </c>
      <c r="N1261" t="inlineStr">
        <is>
          <t>https://drive.google.com/file/d/1YUN-mtWYs48YBUHJk0C3vJXnhjyZFHyf/view</t>
        </is>
      </c>
    </row>
    <row r="1262">
      <c r="A1262" s="42" t="inlineStr">
        <is>
          <t>GSC-SL-001259</t>
        </is>
      </c>
      <c r="B1262" t="inlineStr">
        <is>
          <t>SZ-SL-001259</t>
        </is>
      </c>
      <c r="C1262" t="inlineStr">
        <is>
          <t>WT-SL-FIX-IN</t>
        </is>
      </c>
      <c r="E1262" t="inlineStr">
        <is>
          <t>02122</t>
        </is>
      </c>
      <c r="F1262" t="b">
        <v>1</v>
      </c>
      <c r="G1262" t="n">
        <v>180</v>
      </c>
      <c r="H1262" t="inlineStr">
        <is>
          <t>無印</t>
        </is>
      </c>
      <c r="I1262" t="n">
        <v>180</v>
      </c>
      <c r="J1262" t="inlineStr">
        <is>
          <t>P180|無印</t>
        </is>
      </c>
      <c r="K1262" t="inlineStr">
        <is>
          <t>同頁凡例へ直接連動</t>
        </is>
      </c>
      <c r="L1262" t="inlineStr">
        <is>
          <t>202604_LIXIL_サーモスＬ_業務用資料集_完成品価格表.pdf</t>
        </is>
      </c>
      <c r="M1262" t="inlineStr">
        <is>
          <t>v0.6：同一価格表セクション内で凡例継承を確定。</t>
        </is>
      </c>
      <c r="N1262" t="inlineStr">
        <is>
          <t>https://drive.google.com/file/d/1YUN-mtWYs48YBUHJk0C3vJXnhjyZFHyf/view</t>
        </is>
      </c>
    </row>
    <row r="1263">
      <c r="A1263" s="42" t="inlineStr">
        <is>
          <t>GSC-SL-001260</t>
        </is>
      </c>
      <c r="B1263" t="inlineStr">
        <is>
          <t>SZ-SL-001260</t>
        </is>
      </c>
      <c r="C1263" t="inlineStr">
        <is>
          <t>WT-SL-FIX-IN</t>
        </is>
      </c>
      <c r="E1263" t="inlineStr">
        <is>
          <t>02618</t>
        </is>
      </c>
      <c r="F1263" t="b">
        <v>1</v>
      </c>
      <c r="G1263" t="n">
        <v>180</v>
      </c>
      <c r="H1263" t="inlineStr">
        <is>
          <t>無印</t>
        </is>
      </c>
      <c r="I1263" t="n">
        <v>180</v>
      </c>
      <c r="J1263" t="inlineStr">
        <is>
          <t>P180|無印</t>
        </is>
      </c>
      <c r="K1263" t="inlineStr">
        <is>
          <t>同頁凡例へ直接連動</t>
        </is>
      </c>
      <c r="L1263" t="inlineStr">
        <is>
          <t>202604_LIXIL_サーモスＬ_業務用資料集_完成品価格表.pdf</t>
        </is>
      </c>
      <c r="M1263" t="inlineStr">
        <is>
          <t>v0.6：同一価格表セクション内で凡例継承を確定。</t>
        </is>
      </c>
      <c r="N1263" t="inlineStr">
        <is>
          <t>https://drive.google.com/file/d/1YUN-mtWYs48YBUHJk0C3vJXnhjyZFHyf/view</t>
        </is>
      </c>
    </row>
    <row r="1264">
      <c r="A1264" s="42" t="inlineStr">
        <is>
          <t>GSC-SL-001261</t>
        </is>
      </c>
      <c r="B1264" t="inlineStr">
        <is>
          <t>SZ-SL-001261</t>
        </is>
      </c>
      <c r="C1264" t="inlineStr">
        <is>
          <t>WT-SL-FIX-IN</t>
        </is>
      </c>
      <c r="E1264" t="inlineStr">
        <is>
          <t>02620</t>
        </is>
      </c>
      <c r="F1264" t="b">
        <v>1</v>
      </c>
      <c r="G1264" t="n">
        <v>180</v>
      </c>
      <c r="H1264" t="inlineStr">
        <is>
          <t>無印</t>
        </is>
      </c>
      <c r="I1264" t="n">
        <v>180</v>
      </c>
      <c r="J1264" t="inlineStr">
        <is>
          <t>P180|無印</t>
        </is>
      </c>
      <c r="K1264" t="inlineStr">
        <is>
          <t>同頁凡例へ直接連動</t>
        </is>
      </c>
      <c r="L1264" t="inlineStr">
        <is>
          <t>202604_LIXIL_サーモスＬ_業務用資料集_完成品価格表.pdf</t>
        </is>
      </c>
      <c r="M1264" t="inlineStr">
        <is>
          <t>v0.6：同一価格表セクション内で凡例継承を確定。</t>
        </is>
      </c>
      <c r="N1264" t="inlineStr">
        <is>
          <t>https://drive.google.com/file/d/1YUN-mtWYs48YBUHJk0C3vJXnhjyZFHyf/view</t>
        </is>
      </c>
    </row>
    <row r="1265">
      <c r="A1265" s="42" t="inlineStr">
        <is>
          <t>GSC-SL-001262</t>
        </is>
      </c>
      <c r="B1265" t="inlineStr">
        <is>
          <t>SZ-SL-001262</t>
        </is>
      </c>
      <c r="C1265" t="inlineStr">
        <is>
          <t>WT-SL-FIX-IN</t>
        </is>
      </c>
      <c r="E1265" t="inlineStr">
        <is>
          <t>02622</t>
        </is>
      </c>
      <c r="F1265" t="b">
        <v>1</v>
      </c>
      <c r="G1265" t="n">
        <v>180</v>
      </c>
      <c r="H1265" t="inlineStr">
        <is>
          <t>無印</t>
        </is>
      </c>
      <c r="I1265" t="n">
        <v>180</v>
      </c>
      <c r="J1265" t="inlineStr">
        <is>
          <t>P180|無印</t>
        </is>
      </c>
      <c r="K1265" t="inlineStr">
        <is>
          <t>同頁凡例へ直接連動</t>
        </is>
      </c>
      <c r="L1265" t="inlineStr">
        <is>
          <t>202604_LIXIL_サーモスＬ_業務用資料集_完成品価格表.pdf</t>
        </is>
      </c>
      <c r="M1265" t="inlineStr">
        <is>
          <t>v0.6：同一価格表セクション内で凡例継承を確定。</t>
        </is>
      </c>
      <c r="N1265" t="inlineStr">
        <is>
          <t>https://drive.google.com/file/d/1YUN-mtWYs48YBUHJk0C3vJXnhjyZFHyf/view</t>
        </is>
      </c>
    </row>
    <row r="1266">
      <c r="A1266" s="42" t="inlineStr">
        <is>
          <t>GSC-SL-001263</t>
        </is>
      </c>
      <c r="B1266" t="inlineStr">
        <is>
          <t>SZ-SL-001263</t>
        </is>
      </c>
      <c r="C1266" t="inlineStr">
        <is>
          <t>WT-SL-FIX-IN</t>
        </is>
      </c>
      <c r="E1266" t="inlineStr">
        <is>
          <t>03118</t>
        </is>
      </c>
      <c r="F1266" t="b">
        <v>1</v>
      </c>
      <c r="G1266" t="n">
        <v>181</v>
      </c>
      <c r="H1266" t="inlineStr">
        <is>
          <t>無印</t>
        </is>
      </c>
      <c r="I1266" t="n">
        <v>180</v>
      </c>
      <c r="J1266" t="inlineStr">
        <is>
          <t>P180|無印</t>
        </is>
      </c>
      <c r="K1266" t="inlineStr">
        <is>
          <t>同一価格表・前頁凡例を継承</t>
        </is>
      </c>
      <c r="L1266" t="inlineStr">
        <is>
          <t>202604_LIXIL_サーモスＬ_業務用資料集_完成品価格表.pdf</t>
        </is>
      </c>
      <c r="M1266" t="inlineStr">
        <is>
          <t>v0.6：同一価格表セクション内で凡例継承を確定。</t>
        </is>
      </c>
      <c r="N1266" t="inlineStr">
        <is>
          <t>https://drive.google.com/file/d/1YUN-mtWYs48YBUHJk0C3vJXnhjyZFHyf/view</t>
        </is>
      </c>
    </row>
    <row r="1267">
      <c r="A1267" s="42" t="inlineStr">
        <is>
          <t>GSC-SL-001264</t>
        </is>
      </c>
      <c r="B1267" t="inlineStr">
        <is>
          <t>SZ-SL-001264</t>
        </is>
      </c>
      <c r="C1267" t="inlineStr">
        <is>
          <t>WT-SL-FIX-IN</t>
        </is>
      </c>
      <c r="E1267" t="inlineStr">
        <is>
          <t>03120</t>
        </is>
      </c>
      <c r="F1267" t="b">
        <v>1</v>
      </c>
      <c r="G1267" t="n">
        <v>181</v>
      </c>
      <c r="H1267" t="inlineStr">
        <is>
          <t>無印</t>
        </is>
      </c>
      <c r="I1267" t="n">
        <v>180</v>
      </c>
      <c r="J1267" t="inlineStr">
        <is>
          <t>P180|無印</t>
        </is>
      </c>
      <c r="K1267" t="inlineStr">
        <is>
          <t>同一価格表・前頁凡例を継承</t>
        </is>
      </c>
      <c r="L1267" t="inlineStr">
        <is>
          <t>202604_LIXIL_サーモスＬ_業務用資料集_完成品価格表.pdf</t>
        </is>
      </c>
      <c r="M1267" t="inlineStr">
        <is>
          <t>v0.6：同一価格表セクション内で凡例継承を確定。</t>
        </is>
      </c>
      <c r="N1267" t="inlineStr">
        <is>
          <t>https://drive.google.com/file/d/1YUN-mtWYs48YBUHJk0C3vJXnhjyZFHyf/view</t>
        </is>
      </c>
    </row>
    <row r="1268">
      <c r="A1268" s="42" t="inlineStr">
        <is>
          <t>GSC-SL-001265</t>
        </is>
      </c>
      <c r="B1268" t="inlineStr">
        <is>
          <t>SZ-SL-001265</t>
        </is>
      </c>
      <c r="C1268" t="inlineStr">
        <is>
          <t>WT-SL-FIX-IN</t>
        </is>
      </c>
      <c r="E1268" t="inlineStr">
        <is>
          <t>03122</t>
        </is>
      </c>
      <c r="F1268" t="b">
        <v>1</v>
      </c>
      <c r="G1268" t="n">
        <v>181</v>
      </c>
      <c r="H1268" t="inlineStr">
        <is>
          <t>無印</t>
        </is>
      </c>
      <c r="I1268" t="n">
        <v>180</v>
      </c>
      <c r="J1268" t="inlineStr">
        <is>
          <t>P180|無印</t>
        </is>
      </c>
      <c r="K1268" t="inlineStr">
        <is>
          <t>同一価格表・前頁凡例を継承</t>
        </is>
      </c>
      <c r="L1268" t="inlineStr">
        <is>
          <t>202604_LIXIL_サーモスＬ_業務用資料集_完成品価格表.pdf</t>
        </is>
      </c>
      <c r="M1268" t="inlineStr">
        <is>
          <t>v0.6：同一価格表セクション内で凡例継承を確定。</t>
        </is>
      </c>
      <c r="N1268" t="inlineStr">
        <is>
          <t>https://drive.google.com/file/d/1YUN-mtWYs48YBUHJk0C3vJXnhjyZFHyf/view</t>
        </is>
      </c>
    </row>
    <row r="1269">
      <c r="A1269" s="42" t="inlineStr">
        <is>
          <t>GSC-SL-001266</t>
        </is>
      </c>
      <c r="B1269" t="inlineStr">
        <is>
          <t>SZ-SL-001266</t>
        </is>
      </c>
      <c r="C1269" t="inlineStr">
        <is>
          <t>WT-SL-FIX-IN</t>
        </is>
      </c>
      <c r="E1269" t="inlineStr">
        <is>
          <t>03618</t>
        </is>
      </c>
      <c r="F1269" t="b">
        <v>1</v>
      </c>
      <c r="G1269" t="n">
        <v>184</v>
      </c>
      <c r="H1269" t="inlineStr">
        <is>
          <t>無印</t>
        </is>
      </c>
      <c r="I1269" t="n">
        <v>184</v>
      </c>
      <c r="J1269" t="inlineStr">
        <is>
          <t>P184|無印</t>
        </is>
      </c>
      <c r="K1269" t="inlineStr">
        <is>
          <t>同頁凡例へ直接連動</t>
        </is>
      </c>
      <c r="L1269" t="inlineStr">
        <is>
          <t>202604_LIXIL_サーモスＬ_業務用資料集_完成品価格表.pdf</t>
        </is>
      </c>
      <c r="M1269" t="inlineStr">
        <is>
          <t>v0.6：同一価格表セクション内で凡例継承を確定。</t>
        </is>
      </c>
      <c r="N1269" t="inlineStr">
        <is>
          <t>https://drive.google.com/file/d/1YUN-mtWYs48YBUHJk0C3vJXnhjyZFHyf/view</t>
        </is>
      </c>
    </row>
    <row r="1270">
      <c r="A1270" s="42" t="inlineStr">
        <is>
          <t>GSC-SL-001267</t>
        </is>
      </c>
      <c r="B1270" t="inlineStr">
        <is>
          <t>SZ-SL-001267</t>
        </is>
      </c>
      <c r="C1270" t="inlineStr">
        <is>
          <t>WT-SL-FIX-IN</t>
        </is>
      </c>
      <c r="E1270" t="inlineStr">
        <is>
          <t>03620</t>
        </is>
      </c>
      <c r="F1270" t="b">
        <v>1</v>
      </c>
      <c r="G1270" t="n">
        <v>184</v>
      </c>
      <c r="H1270" t="inlineStr">
        <is>
          <t>無印</t>
        </is>
      </c>
      <c r="I1270" t="n">
        <v>184</v>
      </c>
      <c r="J1270" t="inlineStr">
        <is>
          <t>P184|無印</t>
        </is>
      </c>
      <c r="K1270" t="inlineStr">
        <is>
          <t>同頁凡例へ直接連動</t>
        </is>
      </c>
      <c r="L1270" t="inlineStr">
        <is>
          <t>202604_LIXIL_サーモスＬ_業務用資料集_完成品価格表.pdf</t>
        </is>
      </c>
      <c r="M1270" t="inlineStr">
        <is>
          <t>v0.6：同一価格表セクション内で凡例継承を確定。</t>
        </is>
      </c>
      <c r="N1270" t="inlineStr">
        <is>
          <t>https://drive.google.com/file/d/1YUN-mtWYs48YBUHJk0C3vJXnhjyZFHyf/view</t>
        </is>
      </c>
    </row>
    <row r="1271">
      <c r="A1271" s="42" t="inlineStr">
        <is>
          <t>GSC-SL-001268</t>
        </is>
      </c>
      <c r="B1271" t="inlineStr">
        <is>
          <t>SZ-SL-001268</t>
        </is>
      </c>
      <c r="C1271" t="inlineStr">
        <is>
          <t>WT-SL-FIX-IN</t>
        </is>
      </c>
      <c r="E1271" t="inlineStr">
        <is>
          <t>03622</t>
        </is>
      </c>
      <c r="F1271" t="b">
        <v>1</v>
      </c>
      <c r="G1271" t="n">
        <v>184</v>
      </c>
      <c r="H1271" t="inlineStr">
        <is>
          <t>無印</t>
        </is>
      </c>
      <c r="I1271" t="n">
        <v>184</v>
      </c>
      <c r="J1271" t="inlineStr">
        <is>
          <t>P184|無印</t>
        </is>
      </c>
      <c r="K1271" t="inlineStr">
        <is>
          <t>同頁凡例へ直接連動</t>
        </is>
      </c>
      <c r="L1271" t="inlineStr">
        <is>
          <t>202604_LIXIL_サーモスＬ_業務用資料集_完成品価格表.pdf</t>
        </is>
      </c>
      <c r="M1271" t="inlineStr">
        <is>
          <t>v0.6：同一価格表セクション内で凡例継承を確定。</t>
        </is>
      </c>
      <c r="N1271" t="inlineStr">
        <is>
          <t>https://drive.google.com/file/d/1YUN-mtWYs48YBUHJk0C3vJXnhjyZFHyf/view</t>
        </is>
      </c>
    </row>
    <row r="1272">
      <c r="A1272" s="42" t="inlineStr">
        <is>
          <t>GSC-SL-001269</t>
        </is>
      </c>
      <c r="B1272" t="inlineStr">
        <is>
          <t>SZ-SL-001269</t>
        </is>
      </c>
      <c r="C1272" t="inlineStr">
        <is>
          <t>WT-SL-FIX-IN</t>
        </is>
      </c>
      <c r="E1272" t="inlineStr">
        <is>
          <t>03624</t>
        </is>
      </c>
      <c r="F1272" t="b">
        <v>1</v>
      </c>
      <c r="G1272" t="n">
        <v>184</v>
      </c>
      <c r="H1272" t="inlineStr">
        <is>
          <t>○</t>
        </is>
      </c>
      <c r="I1272" t="n">
        <v>184</v>
      </c>
      <c r="J1272" t="inlineStr">
        <is>
          <t>P184|○</t>
        </is>
      </c>
      <c r="K1272" t="inlineStr">
        <is>
          <t>同頁凡例へ直接連動</t>
        </is>
      </c>
      <c r="L1272" t="inlineStr">
        <is>
          <t>202604_LIXIL_サーモスＬ_業務用資料集_完成品価格表.pdf</t>
        </is>
      </c>
      <c r="M1272" t="inlineStr">
        <is>
          <t>v0.6：同一価格表セクション内で凡例継承を確定。</t>
        </is>
      </c>
      <c r="N1272" t="inlineStr">
        <is>
          <t>https://drive.google.com/file/d/1YUN-mtWYs48YBUHJk0C3vJXnhjyZFHyf/view</t>
        </is>
      </c>
    </row>
    <row r="1273">
      <c r="A1273" s="42" t="inlineStr">
        <is>
          <t>GSC-SL-001270</t>
        </is>
      </c>
      <c r="B1273" t="inlineStr">
        <is>
          <t>SZ-SL-001270</t>
        </is>
      </c>
      <c r="C1273" t="inlineStr">
        <is>
          <t>WT-SL-FIX-IN</t>
        </is>
      </c>
      <c r="E1273" t="inlineStr">
        <is>
          <t>06018</t>
        </is>
      </c>
      <c r="F1273" t="b">
        <v>1</v>
      </c>
      <c r="G1273" t="n">
        <v>184</v>
      </c>
      <c r="H1273" t="inlineStr">
        <is>
          <t>★</t>
        </is>
      </c>
      <c r="I1273" t="n">
        <v>184</v>
      </c>
      <c r="J1273" t="inlineStr">
        <is>
          <t>P184|★</t>
        </is>
      </c>
      <c r="K1273" t="inlineStr">
        <is>
          <t>同頁凡例へ直接連動</t>
        </is>
      </c>
      <c r="L1273" t="inlineStr">
        <is>
          <t>202604_LIXIL_サーモスＬ_業務用資料集_完成品価格表.pdf</t>
        </is>
      </c>
      <c r="M1273" t="inlineStr">
        <is>
          <t>v0.6：同一価格表セクション内で凡例継承を確定。</t>
        </is>
      </c>
      <c r="N1273" t="inlineStr">
        <is>
          <t>https://drive.google.com/file/d/1YUN-mtWYs48YBUHJk0C3vJXnhjyZFHyf/view</t>
        </is>
      </c>
    </row>
    <row r="1274">
      <c r="A1274" s="42" t="inlineStr">
        <is>
          <t>GSC-SL-001271</t>
        </is>
      </c>
      <c r="B1274" t="inlineStr">
        <is>
          <t>SZ-SL-001271</t>
        </is>
      </c>
      <c r="C1274" t="inlineStr">
        <is>
          <t>WT-SL-FIX-IN</t>
        </is>
      </c>
      <c r="E1274" t="inlineStr">
        <is>
          <t>06020</t>
        </is>
      </c>
      <c r="F1274" t="b">
        <v>1</v>
      </c>
      <c r="G1274" t="n">
        <v>184</v>
      </c>
      <c r="H1274" t="inlineStr">
        <is>
          <t>★</t>
        </is>
      </c>
      <c r="I1274" t="n">
        <v>184</v>
      </c>
      <c r="J1274" t="inlineStr">
        <is>
          <t>P184|★</t>
        </is>
      </c>
      <c r="K1274" t="inlineStr">
        <is>
          <t>同頁凡例へ直接連動</t>
        </is>
      </c>
      <c r="L1274" t="inlineStr">
        <is>
          <t>202604_LIXIL_サーモスＬ_業務用資料集_完成品価格表.pdf</t>
        </is>
      </c>
      <c r="M1274" t="inlineStr">
        <is>
          <t>v0.6：同一価格表セクション内で凡例継承を確定。</t>
        </is>
      </c>
      <c r="N1274" t="inlineStr">
        <is>
          <t>https://drive.google.com/file/d/1YUN-mtWYs48YBUHJk0C3vJXnhjyZFHyf/view</t>
        </is>
      </c>
    </row>
    <row r="1275">
      <c r="A1275" s="42" t="inlineStr">
        <is>
          <t>GSC-SL-001272</t>
        </is>
      </c>
      <c r="B1275" t="inlineStr">
        <is>
          <t>SZ-SL-001272</t>
        </is>
      </c>
      <c r="C1275" t="inlineStr">
        <is>
          <t>WT-SL-FIX-IN</t>
        </is>
      </c>
      <c r="E1275" t="inlineStr">
        <is>
          <t>06022</t>
        </is>
      </c>
      <c r="F1275" t="b">
        <v>1</v>
      </c>
      <c r="G1275" t="n">
        <v>184</v>
      </c>
      <c r="H1275" t="inlineStr">
        <is>
          <t>★</t>
        </is>
      </c>
      <c r="I1275" t="n">
        <v>184</v>
      </c>
      <c r="J1275" t="inlineStr">
        <is>
          <t>P184|★</t>
        </is>
      </c>
      <c r="K1275" t="inlineStr">
        <is>
          <t>同頁凡例へ直接連動</t>
        </is>
      </c>
      <c r="L1275" t="inlineStr">
        <is>
          <t>202604_LIXIL_サーモスＬ_業務用資料集_完成品価格表.pdf</t>
        </is>
      </c>
      <c r="M1275" t="inlineStr">
        <is>
          <t>v0.6：同一価格表セクション内で凡例継承を確定。</t>
        </is>
      </c>
      <c r="N1275" t="inlineStr">
        <is>
          <t>https://drive.google.com/file/d/1YUN-mtWYs48YBUHJk0C3vJXnhjyZFHyf/view</t>
        </is>
      </c>
    </row>
    <row r="1276">
      <c r="A1276" s="42" t="inlineStr">
        <is>
          <t>GSC-SL-001273</t>
        </is>
      </c>
      <c r="B1276" t="inlineStr">
        <is>
          <t>SZ-SL-001273</t>
        </is>
      </c>
      <c r="C1276" t="inlineStr">
        <is>
          <t>WT-SL-FIX-IN</t>
        </is>
      </c>
      <c r="E1276" t="inlineStr">
        <is>
          <t>06024</t>
        </is>
      </c>
      <c r="F1276" t="b">
        <v>1</v>
      </c>
      <c r="G1276" t="n">
        <v>184</v>
      </c>
      <c r="H1276" t="inlineStr">
        <is>
          <t>○</t>
        </is>
      </c>
      <c r="I1276" t="n">
        <v>184</v>
      </c>
      <c r="J1276" t="inlineStr">
        <is>
          <t>P184|○</t>
        </is>
      </c>
      <c r="K1276" t="inlineStr">
        <is>
          <t>同頁凡例へ直接連動</t>
        </is>
      </c>
      <c r="L1276" t="inlineStr">
        <is>
          <t>202604_LIXIL_サーモスＬ_業務用資料集_完成品価格表.pdf</t>
        </is>
      </c>
      <c r="M1276" t="inlineStr">
        <is>
          <t>v0.6：同一価格表セクション内で凡例継承を確定。</t>
        </is>
      </c>
      <c r="N1276" t="inlineStr">
        <is>
          <t>https://drive.google.com/file/d/1YUN-mtWYs48YBUHJk0C3vJXnhjyZFHyf/view</t>
        </is>
      </c>
    </row>
    <row r="1277">
      <c r="A1277" s="42" t="inlineStr">
        <is>
          <t>GSC-SL-001274</t>
        </is>
      </c>
      <c r="B1277" t="inlineStr">
        <is>
          <t>SZ-SL-001274</t>
        </is>
      </c>
      <c r="C1277" t="inlineStr">
        <is>
          <t>WT-SL-FIX-IN</t>
        </is>
      </c>
      <c r="E1277" t="inlineStr">
        <is>
          <t>06918</t>
        </is>
      </c>
      <c r="F1277" t="b">
        <v>1</v>
      </c>
      <c r="G1277" t="n">
        <v>184</v>
      </c>
      <c r="H1277" t="inlineStr">
        <is>
          <t>★</t>
        </is>
      </c>
      <c r="I1277" t="n">
        <v>184</v>
      </c>
      <c r="J1277" t="inlineStr">
        <is>
          <t>P184|★</t>
        </is>
      </c>
      <c r="K1277" t="inlineStr">
        <is>
          <t>同頁凡例へ直接連動</t>
        </is>
      </c>
      <c r="L1277" t="inlineStr">
        <is>
          <t>202604_LIXIL_サーモスＬ_業務用資料集_完成品価格表.pdf</t>
        </is>
      </c>
      <c r="M1277" t="inlineStr">
        <is>
          <t>v0.6：同一価格表セクション内で凡例継承を確定。</t>
        </is>
      </c>
      <c r="N1277" t="inlineStr">
        <is>
          <t>https://drive.google.com/file/d/1YUN-mtWYs48YBUHJk0C3vJXnhjyZFHyf/view</t>
        </is>
      </c>
    </row>
    <row r="1278">
      <c r="A1278" s="42" t="inlineStr">
        <is>
          <t>GSC-SL-001275</t>
        </is>
      </c>
      <c r="B1278" t="inlineStr">
        <is>
          <t>SZ-SL-001275</t>
        </is>
      </c>
      <c r="C1278" t="inlineStr">
        <is>
          <t>WT-SL-FIX-IN</t>
        </is>
      </c>
      <c r="E1278" t="inlineStr">
        <is>
          <t>06920</t>
        </is>
      </c>
      <c r="F1278" t="b">
        <v>1</v>
      </c>
      <c r="G1278" t="n">
        <v>184</v>
      </c>
      <c r="H1278" t="inlineStr">
        <is>
          <t>☆</t>
        </is>
      </c>
      <c r="I1278" t="n">
        <v>184</v>
      </c>
      <c r="J1278" t="inlineStr">
        <is>
          <t>P184|☆</t>
        </is>
      </c>
      <c r="K1278" t="inlineStr">
        <is>
          <t>同頁凡例へ直接連動</t>
        </is>
      </c>
      <c r="L1278" t="inlineStr">
        <is>
          <t>202604_LIXIL_サーモスＬ_業務用資料集_完成品価格表.pdf</t>
        </is>
      </c>
      <c r="M1278" t="inlineStr">
        <is>
          <t>v0.6：同一価格表セクション内で凡例継承を確定。</t>
        </is>
      </c>
      <c r="N1278" t="inlineStr">
        <is>
          <t>https://drive.google.com/file/d/1YUN-mtWYs48YBUHJk0C3vJXnhjyZFHyf/view</t>
        </is>
      </c>
    </row>
    <row r="1279">
      <c r="A1279" s="42" t="inlineStr">
        <is>
          <t>GSC-SL-001276</t>
        </is>
      </c>
      <c r="B1279" t="inlineStr">
        <is>
          <t>SZ-SL-001276</t>
        </is>
      </c>
      <c r="C1279" t="inlineStr">
        <is>
          <t>WT-SL-FIX-IN</t>
        </is>
      </c>
      <c r="E1279" t="inlineStr">
        <is>
          <t>07418</t>
        </is>
      </c>
      <c r="F1279" t="b">
        <v>1</v>
      </c>
      <c r="G1279" t="n">
        <v>184</v>
      </c>
      <c r="H1279" t="inlineStr">
        <is>
          <t>★</t>
        </is>
      </c>
      <c r="I1279" t="n">
        <v>184</v>
      </c>
      <c r="J1279" t="inlineStr">
        <is>
          <t>P184|★</t>
        </is>
      </c>
      <c r="K1279" t="inlineStr">
        <is>
          <t>同頁凡例へ直接連動</t>
        </is>
      </c>
      <c r="L1279" t="inlineStr">
        <is>
          <t>202604_LIXIL_サーモスＬ_業務用資料集_完成品価格表.pdf</t>
        </is>
      </c>
      <c r="M1279" t="inlineStr">
        <is>
          <t>v0.6：同一価格表セクション内で凡例継承を確定。</t>
        </is>
      </c>
      <c r="N1279" t="inlineStr">
        <is>
          <t>https://drive.google.com/file/d/1YUN-mtWYs48YBUHJk0C3vJXnhjyZFHyf/view</t>
        </is>
      </c>
    </row>
    <row r="1280">
      <c r="A1280" s="42" t="inlineStr">
        <is>
          <t>GSC-SL-001277</t>
        </is>
      </c>
      <c r="B1280" t="inlineStr">
        <is>
          <t>SZ-SL-001277</t>
        </is>
      </c>
      <c r="C1280" t="inlineStr">
        <is>
          <t>WT-SL-FIX-IN</t>
        </is>
      </c>
      <c r="E1280" t="inlineStr">
        <is>
          <t>07420</t>
        </is>
      </c>
      <c r="F1280" t="b">
        <v>1</v>
      </c>
      <c r="G1280" t="n">
        <v>184</v>
      </c>
      <c r="H1280" t="inlineStr">
        <is>
          <t>無印</t>
        </is>
      </c>
      <c r="I1280" t="n">
        <v>184</v>
      </c>
      <c r="J1280" t="inlineStr">
        <is>
          <t>P184|無印</t>
        </is>
      </c>
      <c r="K1280" t="inlineStr">
        <is>
          <t>同頁凡例へ直接連動</t>
        </is>
      </c>
      <c r="L1280" t="inlineStr">
        <is>
          <t>202604_LIXIL_サーモスＬ_業務用資料集_完成品価格表.pdf</t>
        </is>
      </c>
      <c r="M1280" t="inlineStr">
        <is>
          <t>v0.6：同一価格表セクション内で凡例継承を確定。</t>
        </is>
      </c>
      <c r="N1280" t="inlineStr">
        <is>
          <t>https://drive.google.com/file/d/1YUN-mtWYs48YBUHJk0C3vJXnhjyZFHyf/view</t>
        </is>
      </c>
    </row>
    <row r="1281">
      <c r="A1281" s="42" t="inlineStr">
        <is>
          <t>GSC-SL-001278</t>
        </is>
      </c>
      <c r="B1281" t="inlineStr">
        <is>
          <t>SZ-SL-001278</t>
        </is>
      </c>
      <c r="C1281" t="inlineStr">
        <is>
          <t>WT-SL-FIX-IN</t>
        </is>
      </c>
      <c r="E1281" t="inlineStr">
        <is>
          <t>07422</t>
        </is>
      </c>
      <c r="F1281" t="b">
        <v>1</v>
      </c>
      <c r="G1281" t="n">
        <v>184</v>
      </c>
      <c r="H1281" t="inlineStr">
        <is>
          <t>◆</t>
        </is>
      </c>
      <c r="I1281" t="n">
        <v>184</v>
      </c>
      <c r="J1281" t="inlineStr">
        <is>
          <t>P184|◆</t>
        </is>
      </c>
      <c r="K1281" t="inlineStr">
        <is>
          <t>同頁凡例へ直接連動</t>
        </is>
      </c>
      <c r="L1281" t="inlineStr">
        <is>
          <t>202604_LIXIL_サーモスＬ_業務用資料集_完成品価格表.pdf</t>
        </is>
      </c>
      <c r="M1281" t="inlineStr">
        <is>
          <t>v0.6：同一価格表セクション内で凡例継承を確定。</t>
        </is>
      </c>
      <c r="N1281" t="inlineStr">
        <is>
          <t>https://drive.google.com/file/d/1YUN-mtWYs48YBUHJk0C3vJXnhjyZFHyf/view</t>
        </is>
      </c>
    </row>
    <row r="1282">
      <c r="A1282" s="42" t="inlineStr">
        <is>
          <t>GSC-SL-001279</t>
        </is>
      </c>
      <c r="B1282" t="inlineStr">
        <is>
          <t>SZ-SL-001279</t>
        </is>
      </c>
      <c r="C1282" t="inlineStr">
        <is>
          <t>WT-SL-FIX-IN</t>
        </is>
      </c>
      <c r="E1282" t="inlineStr">
        <is>
          <t>07424</t>
        </is>
      </c>
      <c r="F1282" t="b">
        <v>1</v>
      </c>
      <c r="G1282" t="n">
        <v>184</v>
      </c>
      <c r="H1282" t="inlineStr">
        <is>
          <t>○</t>
        </is>
      </c>
      <c r="I1282" t="n">
        <v>184</v>
      </c>
      <c r="J1282" t="inlineStr">
        <is>
          <t>P184|○</t>
        </is>
      </c>
      <c r="K1282" t="inlineStr">
        <is>
          <t>同頁凡例へ直接連動</t>
        </is>
      </c>
      <c r="L1282" t="inlineStr">
        <is>
          <t>202604_LIXIL_サーモスＬ_業務用資料集_完成品価格表.pdf</t>
        </is>
      </c>
      <c r="M1282" t="inlineStr">
        <is>
          <t>v0.6：同一価格表セクション内で凡例継承を確定。</t>
        </is>
      </c>
      <c r="N1282" t="inlineStr">
        <is>
          <t>https://drive.google.com/file/d/1YUN-mtWYs48YBUHJk0C3vJXnhjyZFHyf/view</t>
        </is>
      </c>
    </row>
    <row r="1283">
      <c r="A1283" s="42" t="inlineStr">
        <is>
          <t>GSC-SL-001280</t>
        </is>
      </c>
      <c r="B1283" t="inlineStr">
        <is>
          <t>SZ-SL-001280</t>
        </is>
      </c>
      <c r="C1283" t="inlineStr">
        <is>
          <t>WT-SL-FIX-IN</t>
        </is>
      </c>
      <c r="E1283" t="inlineStr">
        <is>
          <t>11918</t>
        </is>
      </c>
      <c r="F1283" t="b">
        <v>1</v>
      </c>
      <c r="G1283" t="n">
        <v>185</v>
      </c>
      <c r="H1283" t="inlineStr">
        <is>
          <t>●</t>
        </is>
      </c>
      <c r="I1283" t="n">
        <v>184</v>
      </c>
      <c r="J1283" t="inlineStr">
        <is>
          <t>P184|●</t>
        </is>
      </c>
      <c r="K1283" t="inlineStr">
        <is>
          <t>同一価格表・前頁凡例を継承</t>
        </is>
      </c>
      <c r="L1283" t="inlineStr">
        <is>
          <t>202604_LIXIL_サーモスＬ_業務用資料集_完成品価格表.pdf</t>
        </is>
      </c>
      <c r="M1283" t="inlineStr">
        <is>
          <t>v0.6：同一価格表セクション内で凡例継承を確定。</t>
        </is>
      </c>
      <c r="N1283" t="inlineStr">
        <is>
          <t>https://drive.google.com/file/d/1YUN-mtWYs48YBUHJk0C3vJXnhjyZFHyf/view</t>
        </is>
      </c>
    </row>
    <row r="1284">
      <c r="A1284" s="42" t="inlineStr">
        <is>
          <t>GSC-SL-001281</t>
        </is>
      </c>
      <c r="B1284" t="inlineStr">
        <is>
          <t>SZ-SL-001281</t>
        </is>
      </c>
      <c r="C1284" t="inlineStr">
        <is>
          <t>WT-SL-FIX-IN</t>
        </is>
      </c>
      <c r="E1284" t="inlineStr">
        <is>
          <t>11920</t>
        </is>
      </c>
      <c r="F1284" t="b">
        <v>1</v>
      </c>
      <c r="G1284" t="n">
        <v>185</v>
      </c>
      <c r="H1284" t="inlineStr">
        <is>
          <t>◇</t>
        </is>
      </c>
      <c r="I1284" t="n">
        <v>184</v>
      </c>
      <c r="J1284" t="inlineStr">
        <is>
          <t>P184|◇</t>
        </is>
      </c>
      <c r="K1284" t="inlineStr">
        <is>
          <t>同一価格表・前頁凡例を継承</t>
        </is>
      </c>
      <c r="L1284" t="inlineStr">
        <is>
          <t>202604_LIXIL_サーモスＬ_業務用資料集_完成品価格表.pdf</t>
        </is>
      </c>
      <c r="M1284" t="inlineStr">
        <is>
          <t>v0.6：同一価格表セクション内で凡例継承を確定。</t>
        </is>
      </c>
      <c r="N1284" t="inlineStr">
        <is>
          <t>https://drive.google.com/file/d/1YUN-mtWYs48YBUHJk0C3vJXnhjyZFHyf/view</t>
        </is>
      </c>
    </row>
    <row r="1285">
      <c r="A1285" s="42" t="inlineStr">
        <is>
          <t>GSC-SL-001282</t>
        </is>
      </c>
      <c r="B1285" t="inlineStr">
        <is>
          <t>SZ-SL-001282</t>
        </is>
      </c>
      <c r="C1285" t="inlineStr">
        <is>
          <t>WT-SL-FIX-IN</t>
        </is>
      </c>
      <c r="E1285" t="inlineStr">
        <is>
          <t>11922</t>
        </is>
      </c>
      <c r="F1285" t="b">
        <v>1</v>
      </c>
      <c r="G1285" t="n">
        <v>185</v>
      </c>
      <c r="H1285" t="inlineStr">
        <is>
          <t>◇</t>
        </is>
      </c>
      <c r="I1285" t="n">
        <v>184</v>
      </c>
      <c r="J1285" t="inlineStr">
        <is>
          <t>P184|◇</t>
        </is>
      </c>
      <c r="K1285" t="inlineStr">
        <is>
          <t>同一価格表・前頁凡例を継承</t>
        </is>
      </c>
      <c r="L1285" t="inlineStr">
        <is>
          <t>202604_LIXIL_サーモスＬ_業務用資料集_完成品価格表.pdf</t>
        </is>
      </c>
      <c r="M1285" t="inlineStr">
        <is>
          <t>v0.6：同一価格表セクション内で凡例継承を確定。</t>
        </is>
      </c>
      <c r="N1285" t="inlineStr">
        <is>
          <t>https://drive.google.com/file/d/1YUN-mtWYs48YBUHJk0C3vJXnhjyZFHyf/view</t>
        </is>
      </c>
    </row>
    <row r="1286">
      <c r="A1286" s="42" t="inlineStr">
        <is>
          <t>GSC-SL-001283</t>
        </is>
      </c>
      <c r="B1286" t="inlineStr">
        <is>
          <t>SZ-SL-001283</t>
        </is>
      </c>
      <c r="C1286" t="inlineStr">
        <is>
          <t>WT-SL-FIX-IN</t>
        </is>
      </c>
      <c r="E1286" t="inlineStr">
        <is>
          <t>11924</t>
        </is>
      </c>
      <c r="F1286" t="b">
        <v>1</v>
      </c>
      <c r="G1286" t="n">
        <v>185</v>
      </c>
      <c r="H1286" t="inlineStr">
        <is>
          <t>○</t>
        </is>
      </c>
      <c r="I1286" t="n">
        <v>184</v>
      </c>
      <c r="J1286" t="inlineStr">
        <is>
          <t>P184|○</t>
        </is>
      </c>
      <c r="K1286" t="inlineStr">
        <is>
          <t>同一価格表・前頁凡例を継承</t>
        </is>
      </c>
      <c r="L1286" t="inlineStr">
        <is>
          <t>202604_LIXIL_サーモスＬ_業務用資料集_完成品価格表.pdf</t>
        </is>
      </c>
      <c r="M1286" t="inlineStr">
        <is>
          <t>v0.6：同一価格表セクション内で凡例継承を確定。</t>
        </is>
      </c>
      <c r="N1286" t="inlineStr">
        <is>
          <t>https://drive.google.com/file/d/1YUN-mtWYs48YBUHJk0C3vJXnhjyZFHyf/view</t>
        </is>
      </c>
    </row>
    <row r="1287">
      <c r="A1287" s="42" t="inlineStr">
        <is>
          <t>GSC-SL-001284</t>
        </is>
      </c>
      <c r="B1287" t="inlineStr">
        <is>
          <t>SZ-SL-001284</t>
        </is>
      </c>
      <c r="C1287" t="inlineStr">
        <is>
          <t>WT-SL-FIX-IN</t>
        </is>
      </c>
      <c r="E1287" t="inlineStr">
        <is>
          <t>16518</t>
        </is>
      </c>
      <c r="F1287" t="b">
        <v>1</v>
      </c>
      <c r="G1287" t="n">
        <v>185</v>
      </c>
      <c r="H1287" t="inlineStr">
        <is>
          <t>▲</t>
        </is>
      </c>
      <c r="I1287" t="n">
        <v>184</v>
      </c>
      <c r="J1287" t="inlineStr">
        <is>
          <t>P184|▲</t>
        </is>
      </c>
      <c r="K1287" t="inlineStr">
        <is>
          <t>同一価格表・前頁凡例を継承</t>
        </is>
      </c>
      <c r="L1287" t="inlineStr">
        <is>
          <t>202604_LIXIL_サーモスＬ_業務用資料集_完成品価格表.pdf</t>
        </is>
      </c>
      <c r="M1287" t="inlineStr">
        <is>
          <t>v0.6：同一価格表セクション内で凡例継承を確定。</t>
        </is>
      </c>
      <c r="N1287" t="inlineStr">
        <is>
          <t>https://drive.google.com/file/d/1YUN-mtWYs48YBUHJk0C3vJXnhjyZFHyf/view</t>
        </is>
      </c>
    </row>
    <row r="1288">
      <c r="A1288" s="42" t="inlineStr">
        <is>
          <t>GSC-SL-001285</t>
        </is>
      </c>
      <c r="B1288" t="inlineStr">
        <is>
          <t>SZ-SL-001285</t>
        </is>
      </c>
      <c r="C1288" t="inlineStr">
        <is>
          <t>WT-SL-FIX-IN</t>
        </is>
      </c>
      <c r="E1288" t="inlineStr">
        <is>
          <t>16520</t>
        </is>
      </c>
      <c r="F1288" t="b">
        <v>1</v>
      </c>
      <c r="G1288" t="n">
        <v>185</v>
      </c>
      <c r="H1288" t="inlineStr">
        <is>
          <t>◎</t>
        </is>
      </c>
      <c r="I1288" t="n">
        <v>184</v>
      </c>
      <c r="J1288" t="inlineStr">
        <is>
          <t>P184|◎</t>
        </is>
      </c>
      <c r="K1288" t="inlineStr">
        <is>
          <t>同一価格表・前頁凡例を継承</t>
        </is>
      </c>
      <c r="L1288" t="inlineStr">
        <is>
          <t>202604_LIXIL_サーモスＬ_業務用資料集_完成品価格表.pdf</t>
        </is>
      </c>
      <c r="M1288" t="inlineStr">
        <is>
          <t>v0.6：同一価格表セクション内で凡例継承を確定。</t>
        </is>
      </c>
      <c r="N1288" t="inlineStr">
        <is>
          <t>https://drive.google.com/file/d/1YUN-mtWYs48YBUHJk0C3vJXnhjyZFHyf/view</t>
        </is>
      </c>
    </row>
    <row r="1289">
      <c r="A1289" s="42" t="inlineStr">
        <is>
          <t>GSC-SL-001286</t>
        </is>
      </c>
      <c r="B1289" t="inlineStr">
        <is>
          <t>SZ-SL-001286</t>
        </is>
      </c>
      <c r="C1289" t="inlineStr">
        <is>
          <t>WT-SL-FIX-IN</t>
        </is>
      </c>
      <c r="E1289" t="inlineStr">
        <is>
          <t>16522</t>
        </is>
      </c>
      <c r="F1289" t="b">
        <v>1</v>
      </c>
      <c r="G1289" t="n">
        <v>185</v>
      </c>
      <c r="H1289" t="inlineStr">
        <is>
          <t>◎</t>
        </is>
      </c>
      <c r="I1289" t="n">
        <v>184</v>
      </c>
      <c r="J1289" t="inlineStr">
        <is>
          <t>P184|◎</t>
        </is>
      </c>
      <c r="K1289" t="inlineStr">
        <is>
          <t>同一価格表・前頁凡例を継承</t>
        </is>
      </c>
      <c r="L1289" t="inlineStr">
        <is>
          <t>202604_LIXIL_サーモスＬ_業務用資料集_完成品価格表.pdf</t>
        </is>
      </c>
      <c r="M1289" t="inlineStr">
        <is>
          <t>v0.6：同一価格表セクション内で凡例継承を確定。</t>
        </is>
      </c>
      <c r="N1289" t="inlineStr">
        <is>
          <t>https://drive.google.com/file/d/1YUN-mtWYs48YBUHJk0C3vJXnhjyZFHyf/view</t>
        </is>
      </c>
    </row>
    <row r="1290">
      <c r="A1290" s="42" t="inlineStr">
        <is>
          <t>GSC-SL-001287</t>
        </is>
      </c>
      <c r="B1290" t="inlineStr">
        <is>
          <t>SZ-SL-001287</t>
        </is>
      </c>
      <c r="C1290" t="inlineStr">
        <is>
          <t>WT-SL-FIX-IN</t>
        </is>
      </c>
      <c r="E1290" t="inlineStr">
        <is>
          <t>16524</t>
        </is>
      </c>
      <c r="F1290" t="b">
        <v>1</v>
      </c>
      <c r="G1290" t="n">
        <v>185</v>
      </c>
      <c r="H1290" t="inlineStr">
        <is>
          <t>◎</t>
        </is>
      </c>
      <c r="I1290" t="n">
        <v>184</v>
      </c>
      <c r="J1290" t="inlineStr">
        <is>
          <t>P184|◎</t>
        </is>
      </c>
      <c r="K1290" t="inlineStr">
        <is>
          <t>同一価格表・前頁凡例を継承</t>
        </is>
      </c>
      <c r="L1290" t="inlineStr">
        <is>
          <t>202604_LIXIL_サーモスＬ_業務用資料集_完成品価格表.pdf</t>
        </is>
      </c>
      <c r="M1290" t="inlineStr">
        <is>
          <t>v0.6：同一価格表セクション内で凡例継承を確定。</t>
        </is>
      </c>
      <c r="N1290" t="inlineStr">
        <is>
          <t>https://drive.google.com/file/d/1YUN-mtWYs48YBUHJk0C3vJXnhjyZFHyf/view</t>
        </is>
      </c>
    </row>
    <row r="1291">
      <c r="A1291" s="42" t="inlineStr">
        <is>
          <t>GSC-SL-001288</t>
        </is>
      </c>
      <c r="B1291" t="inlineStr">
        <is>
          <t>SZ-SL-001288</t>
        </is>
      </c>
      <c r="C1291" t="inlineStr">
        <is>
          <t>WT-SL-FIX-IN</t>
        </is>
      </c>
      <c r="E1291" t="inlineStr">
        <is>
          <t>06922</t>
        </is>
      </c>
      <c r="F1291" t="b">
        <v>1</v>
      </c>
      <c r="G1291" t="n">
        <v>186</v>
      </c>
      <c r="H1291" t="inlineStr">
        <is>
          <t>無印</t>
        </is>
      </c>
      <c r="I1291" t="n">
        <v>186</v>
      </c>
      <c r="J1291" t="inlineStr">
        <is>
          <t>P186|無印</t>
        </is>
      </c>
      <c r="K1291" t="inlineStr">
        <is>
          <t>同頁凡例へ直接連動</t>
        </is>
      </c>
      <c r="L1291" t="inlineStr">
        <is>
          <t>202604_LIXIL_サーモスＬ_業務用資料集_完成品価格表.pdf</t>
        </is>
      </c>
      <c r="M1291" t="inlineStr">
        <is>
          <t>v0.6：同一価格表セクション内で凡例継承を確定。</t>
        </is>
      </c>
      <c r="N1291" t="inlineStr">
        <is>
          <t>https://drive.google.com/file/d/1YUN-mtWYs48YBUHJk0C3vJXnhjyZFHyf/view</t>
        </is>
      </c>
    </row>
    <row r="1292">
      <c r="A1292" s="42" t="inlineStr">
        <is>
          <t>GSC-SL-001289</t>
        </is>
      </c>
      <c r="B1292" t="inlineStr">
        <is>
          <t>SZ-SL-001289</t>
        </is>
      </c>
      <c r="C1292" t="inlineStr">
        <is>
          <t>WT-SL-FIX-IN</t>
        </is>
      </c>
      <c r="E1292" t="inlineStr">
        <is>
          <t>06924</t>
        </is>
      </c>
      <c r="F1292" t="b">
        <v>1</v>
      </c>
      <c r="G1292" t="n">
        <v>186</v>
      </c>
      <c r="H1292" t="inlineStr">
        <is>
          <t>無印</t>
        </is>
      </c>
      <c r="I1292" t="n">
        <v>186</v>
      </c>
      <c r="J1292" t="inlineStr">
        <is>
          <t>P186|無印</t>
        </is>
      </c>
      <c r="K1292" t="inlineStr">
        <is>
          <t>同頁凡例へ直接連動</t>
        </is>
      </c>
      <c r="L1292" t="inlineStr">
        <is>
          <t>202604_LIXIL_サーモスＬ_業務用資料集_完成品価格表.pdf</t>
        </is>
      </c>
      <c r="M1292" t="inlineStr">
        <is>
          <t>v0.6：同一価格表セクション内で凡例継承を確定。</t>
        </is>
      </c>
      <c r="N1292" t="inlineStr">
        <is>
          <t>https://drive.google.com/file/d/1YUN-mtWYs48YBUHJk0C3vJXnhjyZFHyf/view</t>
        </is>
      </c>
    </row>
    <row r="1293">
      <c r="A1293" s="42" t="inlineStr">
        <is>
          <t>GSC-SL-001290</t>
        </is>
      </c>
      <c r="B1293" t="inlineStr">
        <is>
          <t>SZ-SL-001290</t>
        </is>
      </c>
      <c r="C1293" t="inlineStr">
        <is>
          <t>WT-SL-UCHIDAOSHI</t>
        </is>
      </c>
      <c r="E1293" t="inlineStr">
        <is>
          <t>03603</t>
        </is>
      </c>
      <c r="F1293" t="b">
        <v>1</v>
      </c>
      <c r="G1293" t="n">
        <v>188</v>
      </c>
      <c r="H1293" t="inlineStr">
        <is>
          <t>無印</t>
        </is>
      </c>
      <c r="I1293" t="n">
        <v>188</v>
      </c>
      <c r="J1293" t="inlineStr">
        <is>
          <t>P188|無印</t>
        </is>
      </c>
      <c r="K1293" t="inlineStr">
        <is>
          <t>同頁凡例へ直接連動</t>
        </is>
      </c>
      <c r="L1293" t="inlineStr">
        <is>
          <t>202604_LIXIL_サーモスＬ_業務用資料集_完成品価格表.pdf</t>
        </is>
      </c>
      <c r="M1293" t="inlineStr">
        <is>
          <t>v0.6：同一価格表セクション内で凡例継承を確定。</t>
        </is>
      </c>
      <c r="N1293" t="inlineStr">
        <is>
          <t>https://drive.google.com/file/d/1YUN-mtWYs48YBUHJk0C3vJXnhjyZFHyf/view</t>
        </is>
      </c>
    </row>
    <row r="1294">
      <c r="A1294" s="42" t="inlineStr">
        <is>
          <t>GSC-SL-001291</t>
        </is>
      </c>
      <c r="B1294" t="inlineStr">
        <is>
          <t>SZ-SL-001291</t>
        </is>
      </c>
      <c r="C1294" t="inlineStr">
        <is>
          <t>WT-SL-UCHIDAOSHI</t>
        </is>
      </c>
      <c r="E1294" t="inlineStr">
        <is>
          <t>03605</t>
        </is>
      </c>
      <c r="F1294" t="b">
        <v>1</v>
      </c>
      <c r="G1294" t="n">
        <v>188</v>
      </c>
      <c r="H1294" t="inlineStr">
        <is>
          <t>無印</t>
        </is>
      </c>
      <c r="I1294" t="n">
        <v>188</v>
      </c>
      <c r="J1294" t="inlineStr">
        <is>
          <t>P188|無印</t>
        </is>
      </c>
      <c r="K1294" t="inlineStr">
        <is>
          <t>同頁凡例へ直接連動</t>
        </is>
      </c>
      <c r="L1294" t="inlineStr">
        <is>
          <t>202604_LIXIL_サーモスＬ_業務用資料集_完成品価格表.pdf</t>
        </is>
      </c>
      <c r="M1294" t="inlineStr">
        <is>
          <t>v0.6：同一価格表セクション内で凡例継承を確定。</t>
        </is>
      </c>
      <c r="N1294" t="inlineStr">
        <is>
          <t>https://drive.google.com/file/d/1YUN-mtWYs48YBUHJk0C3vJXnhjyZFHyf/view</t>
        </is>
      </c>
    </row>
    <row r="1295">
      <c r="A1295" s="42" t="inlineStr">
        <is>
          <t>GSC-SL-001292</t>
        </is>
      </c>
      <c r="B1295" t="inlineStr">
        <is>
          <t>SZ-SL-001292</t>
        </is>
      </c>
      <c r="C1295" t="inlineStr">
        <is>
          <t>WT-SL-UCHIDAOSHI</t>
        </is>
      </c>
      <c r="E1295" t="inlineStr">
        <is>
          <t>03607</t>
        </is>
      </c>
      <c r="F1295" t="b">
        <v>1</v>
      </c>
      <c r="G1295" t="n">
        <v>188</v>
      </c>
      <c r="H1295" t="inlineStr">
        <is>
          <t>無印</t>
        </is>
      </c>
      <c r="I1295" t="n">
        <v>188</v>
      </c>
      <c r="J1295" t="inlineStr">
        <is>
          <t>P188|無印</t>
        </is>
      </c>
      <c r="K1295" t="inlineStr">
        <is>
          <t>同頁凡例へ直接連動</t>
        </is>
      </c>
      <c r="L1295" t="inlineStr">
        <is>
          <t>202604_LIXIL_サーモスＬ_業務用資料集_完成品価格表.pdf</t>
        </is>
      </c>
      <c r="M1295" t="inlineStr">
        <is>
          <t>v0.6：同一価格表セクション内で凡例継承を確定。</t>
        </is>
      </c>
      <c r="N1295" t="inlineStr">
        <is>
          <t>https://drive.google.com/file/d/1YUN-mtWYs48YBUHJk0C3vJXnhjyZFHyf/view</t>
        </is>
      </c>
    </row>
    <row r="1296">
      <c r="A1296" s="42" t="inlineStr">
        <is>
          <t>GSC-SL-001293</t>
        </is>
      </c>
      <c r="B1296" t="inlineStr">
        <is>
          <t>SZ-SL-001293</t>
        </is>
      </c>
      <c r="C1296" t="inlineStr">
        <is>
          <t>WT-SL-UCHIDAOSHI</t>
        </is>
      </c>
      <c r="E1296" t="inlineStr">
        <is>
          <t>06003</t>
        </is>
      </c>
      <c r="F1296" t="b">
        <v>1</v>
      </c>
      <c r="G1296" t="n">
        <v>188</v>
      </c>
      <c r="H1296" t="inlineStr">
        <is>
          <t>無印</t>
        </is>
      </c>
      <c r="I1296" t="n">
        <v>188</v>
      </c>
      <c r="J1296" t="inlineStr">
        <is>
          <t>P188|無印</t>
        </is>
      </c>
      <c r="K1296" t="inlineStr">
        <is>
          <t>同頁凡例へ直接連動</t>
        </is>
      </c>
      <c r="L1296" t="inlineStr">
        <is>
          <t>202604_LIXIL_サーモスＬ_業務用資料集_完成品価格表.pdf</t>
        </is>
      </c>
      <c r="M1296" t="inlineStr">
        <is>
          <t>v0.6：同一価格表セクション内で凡例継承を確定。</t>
        </is>
      </c>
      <c r="N1296" t="inlineStr">
        <is>
          <t>https://drive.google.com/file/d/1YUN-mtWYs48YBUHJk0C3vJXnhjyZFHyf/view</t>
        </is>
      </c>
    </row>
    <row r="1297">
      <c r="A1297" s="42" t="inlineStr">
        <is>
          <t>GSC-SL-001294</t>
        </is>
      </c>
      <c r="B1297" t="inlineStr">
        <is>
          <t>SZ-SL-001294</t>
        </is>
      </c>
      <c r="C1297" t="inlineStr">
        <is>
          <t>WT-SL-UCHIDAOSHI</t>
        </is>
      </c>
      <c r="E1297" t="inlineStr">
        <is>
          <t>06005</t>
        </is>
      </c>
      <c r="F1297" t="b">
        <v>1</v>
      </c>
      <c r="G1297" t="n">
        <v>188</v>
      </c>
      <c r="H1297" t="inlineStr">
        <is>
          <t>無印</t>
        </is>
      </c>
      <c r="I1297" t="n">
        <v>188</v>
      </c>
      <c r="J1297" t="inlineStr">
        <is>
          <t>P188|無印</t>
        </is>
      </c>
      <c r="K1297" t="inlineStr">
        <is>
          <t>同頁凡例へ直接連動</t>
        </is>
      </c>
      <c r="L1297" t="inlineStr">
        <is>
          <t>202604_LIXIL_サーモスＬ_業務用資料集_完成品価格表.pdf</t>
        </is>
      </c>
      <c r="M1297" t="inlineStr">
        <is>
          <t>v0.6：同一価格表セクション内で凡例継承を確定。</t>
        </is>
      </c>
      <c r="N1297" t="inlineStr">
        <is>
          <t>https://drive.google.com/file/d/1YUN-mtWYs48YBUHJk0C3vJXnhjyZFHyf/view</t>
        </is>
      </c>
    </row>
    <row r="1298">
      <c r="A1298" s="42" t="inlineStr">
        <is>
          <t>GSC-SL-001295</t>
        </is>
      </c>
      <c r="B1298" t="inlineStr">
        <is>
          <t>SZ-SL-001295</t>
        </is>
      </c>
      <c r="C1298" t="inlineStr">
        <is>
          <t>WT-SL-UCHIDAOSHI</t>
        </is>
      </c>
      <c r="E1298" t="inlineStr">
        <is>
          <t>06007</t>
        </is>
      </c>
      <c r="F1298" t="b">
        <v>1</v>
      </c>
      <c r="G1298" t="n">
        <v>188</v>
      </c>
      <c r="H1298" t="inlineStr">
        <is>
          <t>無印</t>
        </is>
      </c>
      <c r="I1298" t="n">
        <v>188</v>
      </c>
      <c r="J1298" t="inlineStr">
        <is>
          <t>P188|無印</t>
        </is>
      </c>
      <c r="K1298" t="inlineStr">
        <is>
          <t>同頁凡例へ直接連動</t>
        </is>
      </c>
      <c r="L1298" t="inlineStr">
        <is>
          <t>202604_LIXIL_サーモスＬ_業務用資料集_完成品価格表.pdf</t>
        </is>
      </c>
      <c r="M1298" t="inlineStr">
        <is>
          <t>v0.6：同一価格表セクション内で凡例継承を確定。</t>
        </is>
      </c>
      <c r="N1298" t="inlineStr">
        <is>
          <t>https://drive.google.com/file/d/1YUN-mtWYs48YBUHJk0C3vJXnhjyZFHyf/view</t>
        </is>
      </c>
    </row>
    <row r="1299">
      <c r="A1299" s="42" t="inlineStr">
        <is>
          <t>GSC-SL-001296</t>
        </is>
      </c>
      <c r="B1299" t="inlineStr">
        <is>
          <t>SZ-SL-001296</t>
        </is>
      </c>
      <c r="C1299" t="inlineStr">
        <is>
          <t>WT-SL-UCHIDAOSHI</t>
        </is>
      </c>
      <c r="E1299" t="inlineStr">
        <is>
          <t>06903</t>
        </is>
      </c>
      <c r="F1299" t="b">
        <v>1</v>
      </c>
      <c r="G1299" t="n">
        <v>188</v>
      </c>
      <c r="H1299" t="inlineStr">
        <is>
          <t>無印</t>
        </is>
      </c>
      <c r="I1299" t="n">
        <v>188</v>
      </c>
      <c r="J1299" t="inlineStr">
        <is>
          <t>P188|無印</t>
        </is>
      </c>
      <c r="K1299" t="inlineStr">
        <is>
          <t>同頁凡例へ直接連動</t>
        </is>
      </c>
      <c r="L1299" t="inlineStr">
        <is>
          <t>202604_LIXIL_サーモスＬ_業務用資料集_完成品価格表.pdf</t>
        </is>
      </c>
      <c r="M1299" t="inlineStr">
        <is>
          <t>v0.6：同一価格表セクション内で凡例継承を確定。</t>
        </is>
      </c>
      <c r="N1299" t="inlineStr">
        <is>
          <t>https://drive.google.com/file/d/1YUN-mtWYs48YBUHJk0C3vJXnhjyZFHyf/view</t>
        </is>
      </c>
    </row>
    <row r="1300">
      <c r="A1300" s="42" t="inlineStr">
        <is>
          <t>GSC-SL-001297</t>
        </is>
      </c>
      <c r="B1300" t="inlineStr">
        <is>
          <t>SZ-SL-001297</t>
        </is>
      </c>
      <c r="C1300" t="inlineStr">
        <is>
          <t>WT-SL-UCHIDAOSHI</t>
        </is>
      </c>
      <c r="E1300" t="inlineStr">
        <is>
          <t>06905</t>
        </is>
      </c>
      <c r="F1300" t="b">
        <v>1</v>
      </c>
      <c r="G1300" t="n">
        <v>188</v>
      </c>
      <c r="H1300" t="inlineStr">
        <is>
          <t>無印</t>
        </is>
      </c>
      <c r="I1300" t="n">
        <v>188</v>
      </c>
      <c r="J1300" t="inlineStr">
        <is>
          <t>P188|無印</t>
        </is>
      </c>
      <c r="K1300" t="inlineStr">
        <is>
          <t>同頁凡例へ直接連動</t>
        </is>
      </c>
      <c r="L1300" t="inlineStr">
        <is>
          <t>202604_LIXIL_サーモスＬ_業務用資料集_完成品価格表.pdf</t>
        </is>
      </c>
      <c r="M1300" t="inlineStr">
        <is>
          <t>v0.6：同一価格表セクション内で凡例継承を確定。</t>
        </is>
      </c>
      <c r="N1300" t="inlineStr">
        <is>
          <t>https://drive.google.com/file/d/1YUN-mtWYs48YBUHJk0C3vJXnhjyZFHyf/view</t>
        </is>
      </c>
    </row>
    <row r="1301">
      <c r="A1301" s="42" t="inlineStr">
        <is>
          <t>GSC-SL-001298</t>
        </is>
      </c>
      <c r="B1301" t="inlineStr">
        <is>
          <t>SZ-SL-001298</t>
        </is>
      </c>
      <c r="C1301" t="inlineStr">
        <is>
          <t>WT-SL-UCHIDAOSHI</t>
        </is>
      </c>
      <c r="E1301" t="inlineStr">
        <is>
          <t>06907</t>
        </is>
      </c>
      <c r="F1301" t="b">
        <v>1</v>
      </c>
      <c r="G1301" t="n">
        <v>188</v>
      </c>
      <c r="H1301" t="inlineStr">
        <is>
          <t>無印</t>
        </is>
      </c>
      <c r="I1301" t="n">
        <v>188</v>
      </c>
      <c r="J1301" t="inlineStr">
        <is>
          <t>P188|無印</t>
        </is>
      </c>
      <c r="K1301" t="inlineStr">
        <is>
          <t>同頁凡例へ直接連動</t>
        </is>
      </c>
      <c r="L1301" t="inlineStr">
        <is>
          <t>202604_LIXIL_サーモスＬ_業務用資料集_完成品価格表.pdf</t>
        </is>
      </c>
      <c r="M1301" t="inlineStr">
        <is>
          <t>v0.6：同一価格表セクション内で凡例継承を確定。</t>
        </is>
      </c>
      <c r="N1301" t="inlineStr">
        <is>
          <t>https://drive.google.com/file/d/1YUN-mtWYs48YBUHJk0C3vJXnhjyZFHyf/view</t>
        </is>
      </c>
    </row>
    <row r="1302">
      <c r="A1302" s="42" t="inlineStr">
        <is>
          <t>GSC-SL-001299</t>
        </is>
      </c>
      <c r="B1302" t="inlineStr">
        <is>
          <t>SZ-SL-001299</t>
        </is>
      </c>
      <c r="C1302" t="inlineStr">
        <is>
          <t>WT-SL-UCHIDAOSHI</t>
        </is>
      </c>
      <c r="E1302" t="inlineStr">
        <is>
          <t>07403</t>
        </is>
      </c>
      <c r="F1302" t="b">
        <v>1</v>
      </c>
      <c r="G1302" t="n">
        <v>188</v>
      </c>
      <c r="H1302" t="inlineStr">
        <is>
          <t>無印</t>
        </is>
      </c>
      <c r="I1302" t="n">
        <v>188</v>
      </c>
      <c r="J1302" t="inlineStr">
        <is>
          <t>P188|無印</t>
        </is>
      </c>
      <c r="K1302" t="inlineStr">
        <is>
          <t>同頁凡例へ直接連動</t>
        </is>
      </c>
      <c r="L1302" t="inlineStr">
        <is>
          <t>202604_LIXIL_サーモスＬ_業務用資料集_完成品価格表.pdf</t>
        </is>
      </c>
      <c r="M1302" t="inlineStr">
        <is>
          <t>v0.6：同一価格表セクション内で凡例継承を確定。</t>
        </is>
      </c>
      <c r="N1302" t="inlineStr">
        <is>
          <t>https://drive.google.com/file/d/1YUN-mtWYs48YBUHJk0C3vJXnhjyZFHyf/view</t>
        </is>
      </c>
    </row>
    <row r="1303">
      <c r="A1303" s="42" t="inlineStr">
        <is>
          <t>GSC-SL-001300</t>
        </is>
      </c>
      <c r="B1303" t="inlineStr">
        <is>
          <t>SZ-SL-001300</t>
        </is>
      </c>
      <c r="C1303" t="inlineStr">
        <is>
          <t>WT-SL-UCHIDAOSHI</t>
        </is>
      </c>
      <c r="E1303" t="inlineStr">
        <is>
          <t>07405</t>
        </is>
      </c>
      <c r="F1303" t="b">
        <v>1</v>
      </c>
      <c r="G1303" t="n">
        <v>188</v>
      </c>
      <c r="H1303" t="inlineStr">
        <is>
          <t>無印</t>
        </is>
      </c>
      <c r="I1303" t="n">
        <v>188</v>
      </c>
      <c r="J1303" t="inlineStr">
        <is>
          <t>P188|無印</t>
        </is>
      </c>
      <c r="K1303" t="inlineStr">
        <is>
          <t>同頁凡例へ直接連動</t>
        </is>
      </c>
      <c r="L1303" t="inlineStr">
        <is>
          <t>202604_LIXIL_サーモスＬ_業務用資料集_完成品価格表.pdf</t>
        </is>
      </c>
      <c r="M1303" t="inlineStr">
        <is>
          <t>v0.6：同一価格表セクション内で凡例継承を確定。</t>
        </is>
      </c>
      <c r="N1303" t="inlineStr">
        <is>
          <t>https://drive.google.com/file/d/1YUN-mtWYs48YBUHJk0C3vJXnhjyZFHyf/view</t>
        </is>
      </c>
    </row>
    <row r="1304">
      <c r="A1304" s="42" t="inlineStr">
        <is>
          <t>GSC-SL-001301</t>
        </is>
      </c>
      <c r="B1304" t="inlineStr">
        <is>
          <t>SZ-SL-001301</t>
        </is>
      </c>
      <c r="C1304" t="inlineStr">
        <is>
          <t>WT-SL-UCHIDAOSHI</t>
        </is>
      </c>
      <c r="E1304" t="inlineStr">
        <is>
          <t>07407</t>
        </is>
      </c>
      <c r="F1304" t="b">
        <v>1</v>
      </c>
      <c r="G1304" t="n">
        <v>188</v>
      </c>
      <c r="H1304" t="inlineStr">
        <is>
          <t>無印</t>
        </is>
      </c>
      <c r="I1304" t="n">
        <v>188</v>
      </c>
      <c r="J1304" t="inlineStr">
        <is>
          <t>P188|無印</t>
        </is>
      </c>
      <c r="K1304" t="inlineStr">
        <is>
          <t>同頁凡例へ直接連動</t>
        </is>
      </c>
      <c r="L1304" t="inlineStr">
        <is>
          <t>202604_LIXIL_サーモスＬ_業務用資料集_完成品価格表.pdf</t>
        </is>
      </c>
      <c r="M1304" t="inlineStr">
        <is>
          <t>v0.6：同一価格表セクション内で凡例継承を確定。</t>
        </is>
      </c>
      <c r="N1304" t="inlineStr">
        <is>
          <t>https://drive.google.com/file/d/1YUN-mtWYs48YBUHJk0C3vJXnhjyZFHyf/view</t>
        </is>
      </c>
    </row>
    <row r="1305">
      <c r="A1305" s="42" t="inlineStr">
        <is>
          <t>GSC-SL-001302</t>
        </is>
      </c>
      <c r="B1305" t="inlineStr">
        <is>
          <t>SZ-SL-001302</t>
        </is>
      </c>
      <c r="C1305" t="inlineStr">
        <is>
          <t>WT-SL-UCHIDAOSHI</t>
        </is>
      </c>
      <c r="E1305" t="inlineStr">
        <is>
          <t>11903</t>
        </is>
      </c>
      <c r="F1305" t="b">
        <v>1</v>
      </c>
      <c r="G1305" t="n">
        <v>189</v>
      </c>
      <c r="H1305" t="inlineStr">
        <is>
          <t>無印</t>
        </is>
      </c>
      <c r="I1305" t="n">
        <v>188</v>
      </c>
      <c r="J1305" t="inlineStr">
        <is>
          <t>P188|無印</t>
        </is>
      </c>
      <c r="K1305" t="inlineStr">
        <is>
          <t>同一価格表・前頁凡例を継承</t>
        </is>
      </c>
      <c r="L1305" t="inlineStr">
        <is>
          <t>202604_LIXIL_サーモスＬ_業務用資料集_完成品価格表.pdf</t>
        </is>
      </c>
      <c r="M1305" t="inlineStr">
        <is>
          <t>v0.6：同一価格表セクション内で凡例継承を確定。</t>
        </is>
      </c>
      <c r="N1305" t="inlineStr">
        <is>
          <t>https://drive.google.com/file/d/1YUN-mtWYs48YBUHJk0C3vJXnhjyZFHyf/view</t>
        </is>
      </c>
    </row>
    <row r="1306">
      <c r="A1306" s="42" t="inlineStr">
        <is>
          <t>GSC-SL-001303</t>
        </is>
      </c>
      <c r="B1306" t="inlineStr">
        <is>
          <t>SZ-SL-001303</t>
        </is>
      </c>
      <c r="C1306" t="inlineStr">
        <is>
          <t>WT-SL-UCHIDAOSHI</t>
        </is>
      </c>
      <c r="E1306" t="inlineStr">
        <is>
          <t>16503</t>
        </is>
      </c>
      <c r="F1306" t="b">
        <v>1</v>
      </c>
      <c r="G1306" t="n">
        <v>189</v>
      </c>
      <c r="H1306" t="inlineStr">
        <is>
          <t>無印</t>
        </is>
      </c>
      <c r="I1306" t="n">
        <v>188</v>
      </c>
      <c r="J1306" t="inlineStr">
        <is>
          <t>P188|無印</t>
        </is>
      </c>
      <c r="K1306" t="inlineStr">
        <is>
          <t>同一価格表・前頁凡例を継承</t>
        </is>
      </c>
      <c r="L1306" t="inlineStr">
        <is>
          <t>202604_LIXIL_サーモスＬ_業務用資料集_完成品価格表.pdf</t>
        </is>
      </c>
      <c r="M1306" t="inlineStr">
        <is>
          <t>v0.6：同一価格表セクション内で凡例継承を確定。</t>
        </is>
      </c>
      <c r="N1306" t="inlineStr">
        <is>
          <t>https://drive.google.com/file/d/1YUN-mtWYs48YBUHJk0C3vJXnhjyZFHyf/view</t>
        </is>
      </c>
    </row>
    <row r="1307">
      <c r="A1307" s="42" t="inlineStr">
        <is>
          <t>GSC-SL-001304</t>
        </is>
      </c>
      <c r="B1307" t="inlineStr">
        <is>
          <t>SZ-SL-001304</t>
        </is>
      </c>
      <c r="C1307" t="inlineStr">
        <is>
          <t>WT-SL-SOTODAOSHI</t>
        </is>
      </c>
      <c r="D1307" t="inlineStr">
        <is>
          <t>*</t>
        </is>
      </c>
      <c r="E1307" t="inlineStr">
        <is>
          <t>06005</t>
        </is>
      </c>
      <c r="F1307" t="b">
        <v>1</v>
      </c>
      <c r="G1307" t="n">
        <v>190</v>
      </c>
      <c r="H1307" t="inlineStr">
        <is>
          <t>無印</t>
        </is>
      </c>
      <c r="I1307" t="n">
        <v>190</v>
      </c>
      <c r="J1307" t="inlineStr">
        <is>
          <t>P190|無印</t>
        </is>
      </c>
      <c r="K1307" t="inlineStr">
        <is>
          <t>同頁凡例へ直接連動</t>
        </is>
      </c>
      <c r="L1307" t="inlineStr">
        <is>
          <t>202604_LIXIL_サーモスＬ_業務用資料集_完成品価格表.pdf</t>
        </is>
      </c>
      <c r="M1307" t="inlineStr">
        <is>
          <t>v0.6：同一価格表セクション内で凡例継承を確定。</t>
        </is>
      </c>
      <c r="N1307" t="inlineStr">
        <is>
          <t>https://drive.google.com/file/d/1YUN-mtWYs48YBUHJk0C3vJXnhjyZFHyf/view</t>
        </is>
      </c>
    </row>
    <row r="1308">
      <c r="A1308" s="42" t="inlineStr">
        <is>
          <t>GSC-SL-001305</t>
        </is>
      </c>
      <c r="B1308" t="inlineStr">
        <is>
          <t>SZ-SL-001305</t>
        </is>
      </c>
      <c r="C1308" t="inlineStr">
        <is>
          <t>WT-SL-SOTODAOSHI</t>
        </is>
      </c>
      <c r="D1308" t="inlineStr">
        <is>
          <t>*</t>
        </is>
      </c>
      <c r="E1308" t="inlineStr">
        <is>
          <t>06007</t>
        </is>
      </c>
      <c r="F1308" t="b">
        <v>1</v>
      </c>
      <c r="G1308" t="n">
        <v>190</v>
      </c>
      <c r="H1308" t="inlineStr">
        <is>
          <t>無印</t>
        </is>
      </c>
      <c r="I1308" t="n">
        <v>190</v>
      </c>
      <c r="J1308" t="inlineStr">
        <is>
          <t>P190|無印</t>
        </is>
      </c>
      <c r="K1308" t="inlineStr">
        <is>
          <t>同頁凡例へ直接連動</t>
        </is>
      </c>
      <c r="L1308" t="inlineStr">
        <is>
          <t>202604_LIXIL_サーモスＬ_業務用資料集_完成品価格表.pdf</t>
        </is>
      </c>
      <c r="M1308" t="inlineStr">
        <is>
          <t>v0.6：同一価格表セクション内で凡例継承を確定。</t>
        </is>
      </c>
      <c r="N1308" t="inlineStr">
        <is>
          <t>https://drive.google.com/file/d/1YUN-mtWYs48YBUHJk0C3vJXnhjyZFHyf/view</t>
        </is>
      </c>
    </row>
    <row r="1309">
      <c r="A1309" s="42" t="inlineStr">
        <is>
          <t>GSC-SL-001306</t>
        </is>
      </c>
      <c r="B1309" t="inlineStr">
        <is>
          <t>SZ-SL-001306</t>
        </is>
      </c>
      <c r="C1309" t="inlineStr">
        <is>
          <t>WT-SL-SOTODAOSHI</t>
        </is>
      </c>
      <c r="D1309" t="inlineStr">
        <is>
          <t>*</t>
        </is>
      </c>
      <c r="E1309" t="inlineStr">
        <is>
          <t>06905</t>
        </is>
      </c>
      <c r="F1309" t="b">
        <v>1</v>
      </c>
      <c r="G1309" t="n">
        <v>190</v>
      </c>
      <c r="H1309" t="inlineStr">
        <is>
          <t>無印</t>
        </is>
      </c>
      <c r="I1309" t="n">
        <v>190</v>
      </c>
      <c r="J1309" t="inlineStr">
        <is>
          <t>P190|無印</t>
        </is>
      </c>
      <c r="K1309" t="inlineStr">
        <is>
          <t>同頁凡例へ直接連動</t>
        </is>
      </c>
      <c r="L1309" t="inlineStr">
        <is>
          <t>202604_LIXIL_サーモスＬ_業務用資料集_完成品価格表.pdf</t>
        </is>
      </c>
      <c r="M1309" t="inlineStr">
        <is>
          <t>v0.6：同一価格表セクション内で凡例継承を確定。</t>
        </is>
      </c>
      <c r="N1309" t="inlineStr">
        <is>
          <t>https://drive.google.com/file/d/1YUN-mtWYs48YBUHJk0C3vJXnhjyZFHyf/view</t>
        </is>
      </c>
    </row>
    <row r="1310">
      <c r="A1310" s="42" t="inlineStr">
        <is>
          <t>GSC-SL-001307</t>
        </is>
      </c>
      <c r="B1310" t="inlineStr">
        <is>
          <t>SZ-SL-001307</t>
        </is>
      </c>
      <c r="C1310" t="inlineStr">
        <is>
          <t>WT-SL-SOTODAOSHI</t>
        </is>
      </c>
      <c r="D1310" t="inlineStr">
        <is>
          <t>*</t>
        </is>
      </c>
      <c r="E1310" t="inlineStr">
        <is>
          <t>06907</t>
        </is>
      </c>
      <c r="F1310" t="b">
        <v>1</v>
      </c>
      <c r="G1310" t="n">
        <v>190</v>
      </c>
      <c r="H1310" t="inlineStr">
        <is>
          <t>無印</t>
        </is>
      </c>
      <c r="I1310" t="n">
        <v>190</v>
      </c>
      <c r="J1310" t="inlineStr">
        <is>
          <t>P190|無印</t>
        </is>
      </c>
      <c r="K1310" t="inlineStr">
        <is>
          <t>同頁凡例へ直接連動</t>
        </is>
      </c>
      <c r="L1310" t="inlineStr">
        <is>
          <t>202604_LIXIL_サーモスＬ_業務用資料集_完成品価格表.pdf</t>
        </is>
      </c>
      <c r="M1310" t="inlineStr">
        <is>
          <t>v0.6：同一価格表セクション内で凡例継承を確定。</t>
        </is>
      </c>
      <c r="N1310" t="inlineStr">
        <is>
          <t>https://drive.google.com/file/d/1YUN-mtWYs48YBUHJk0C3vJXnhjyZFHyf/view</t>
        </is>
      </c>
    </row>
    <row r="1311">
      <c r="A1311" s="42" t="inlineStr">
        <is>
          <t>GSC-SL-001308</t>
        </is>
      </c>
      <c r="B1311" t="inlineStr">
        <is>
          <t>SZ-SL-001308</t>
        </is>
      </c>
      <c r="C1311" t="inlineStr">
        <is>
          <t>WT-SL-SOTODAOSHI</t>
        </is>
      </c>
      <c r="D1311" t="inlineStr">
        <is>
          <t>*</t>
        </is>
      </c>
      <c r="E1311" t="inlineStr">
        <is>
          <t>07405</t>
        </is>
      </c>
      <c r="F1311" t="b">
        <v>1</v>
      </c>
      <c r="G1311" t="n">
        <v>190</v>
      </c>
      <c r="H1311" t="inlineStr">
        <is>
          <t>無印</t>
        </is>
      </c>
      <c r="I1311" t="n">
        <v>190</v>
      </c>
      <c r="J1311" t="inlineStr">
        <is>
          <t>P190|無印</t>
        </is>
      </c>
      <c r="K1311" t="inlineStr">
        <is>
          <t>同頁凡例へ直接連動</t>
        </is>
      </c>
      <c r="L1311" t="inlineStr">
        <is>
          <t>202604_LIXIL_サーモスＬ_業務用資料集_完成品価格表.pdf</t>
        </is>
      </c>
      <c r="M1311" t="inlineStr">
        <is>
          <t>v0.6：同一価格表セクション内で凡例継承を確定。</t>
        </is>
      </c>
      <c r="N1311" t="inlineStr">
        <is>
          <t>https://drive.google.com/file/d/1YUN-mtWYs48YBUHJk0C3vJXnhjyZFHyf/view</t>
        </is>
      </c>
    </row>
    <row r="1312">
      <c r="A1312" s="42" t="inlineStr">
        <is>
          <t>GSC-SL-001309</t>
        </is>
      </c>
      <c r="B1312" t="inlineStr">
        <is>
          <t>SZ-SL-001309</t>
        </is>
      </c>
      <c r="C1312" t="inlineStr">
        <is>
          <t>WT-SL-SOTODAOSHI</t>
        </is>
      </c>
      <c r="D1312" t="inlineStr">
        <is>
          <t>*</t>
        </is>
      </c>
      <c r="E1312" t="inlineStr">
        <is>
          <t>07407</t>
        </is>
      </c>
      <c r="F1312" t="b">
        <v>1</v>
      </c>
      <c r="G1312" t="n">
        <v>190</v>
      </c>
      <c r="H1312" t="inlineStr">
        <is>
          <t>無印</t>
        </is>
      </c>
      <c r="I1312" t="n">
        <v>190</v>
      </c>
      <c r="J1312" t="inlineStr">
        <is>
          <t>P190|無印</t>
        </is>
      </c>
      <c r="K1312" t="inlineStr">
        <is>
          <t>同頁凡例へ直接連動</t>
        </is>
      </c>
      <c r="L1312" t="inlineStr">
        <is>
          <t>202604_LIXIL_サーモスＬ_業務用資料集_完成品価格表.pdf</t>
        </is>
      </c>
      <c r="M1312" t="inlineStr">
        <is>
          <t>v0.6：同一価格表セクション内で凡例継承を確定。</t>
        </is>
      </c>
      <c r="N1312" t="inlineStr">
        <is>
          <t>https://drive.google.com/file/d/1YUN-mtWYs48YBUHJk0C3vJXnhjyZFHyf/view</t>
        </is>
      </c>
    </row>
    <row r="1313">
      <c r="A1313" s="42" t="inlineStr">
        <is>
          <t>GSC-SL-001310</t>
        </is>
      </c>
      <c r="B1313" t="inlineStr">
        <is>
          <t>SZ-SL-001310</t>
        </is>
      </c>
      <c r="C1313" t="inlineStr">
        <is>
          <t>WT-SL-SOTODAOSHI</t>
        </is>
      </c>
      <c r="D1313" t="inlineStr">
        <is>
          <t>*</t>
        </is>
      </c>
      <c r="E1313" t="inlineStr">
        <is>
          <t>16505</t>
        </is>
      </c>
      <c r="F1313" t="b">
        <v>1</v>
      </c>
      <c r="G1313" t="n">
        <v>190</v>
      </c>
      <c r="H1313" t="inlineStr">
        <is>
          <t>無印</t>
        </is>
      </c>
      <c r="I1313" t="n">
        <v>190</v>
      </c>
      <c r="J1313" t="inlineStr">
        <is>
          <t>P190|無印</t>
        </is>
      </c>
      <c r="K1313" t="inlineStr">
        <is>
          <t>同頁凡例へ直接連動</t>
        </is>
      </c>
      <c r="L1313" t="inlineStr">
        <is>
          <t>202604_LIXIL_サーモスＬ_業務用資料集_完成品価格表.pdf</t>
        </is>
      </c>
      <c r="M1313" t="inlineStr">
        <is>
          <t>v0.6：同一価格表セクション内で凡例継承を確定。</t>
        </is>
      </c>
      <c r="N1313" t="inlineStr">
        <is>
          <t>https://drive.google.com/file/d/1YUN-mtWYs48YBUHJk0C3vJXnhjyZFHyf/view</t>
        </is>
      </c>
    </row>
    <row r="1314">
      <c r="A1314" s="42" t="inlineStr">
        <is>
          <t>GSC-SL-001311</t>
        </is>
      </c>
      <c r="B1314" t="inlineStr">
        <is>
          <t>SZ-SL-001311</t>
        </is>
      </c>
      <c r="C1314" t="inlineStr">
        <is>
          <t>WT-SL-SOTODAOSHI</t>
        </is>
      </c>
      <c r="D1314" t="inlineStr">
        <is>
          <t>*</t>
        </is>
      </c>
      <c r="E1314" t="inlineStr">
        <is>
          <t>16507</t>
        </is>
      </c>
      <c r="F1314" t="b">
        <v>1</v>
      </c>
      <c r="G1314" t="n">
        <v>190</v>
      </c>
      <c r="H1314" t="inlineStr">
        <is>
          <t>無印</t>
        </is>
      </c>
      <c r="I1314" t="n">
        <v>190</v>
      </c>
      <c r="J1314" t="inlineStr">
        <is>
          <t>P190|無印</t>
        </is>
      </c>
      <c r="K1314" t="inlineStr">
        <is>
          <t>同頁凡例へ直接連動</t>
        </is>
      </c>
      <c r="L1314" t="inlineStr">
        <is>
          <t>202604_LIXIL_サーモスＬ_業務用資料集_完成品価格表.pdf</t>
        </is>
      </c>
      <c r="M1314" t="inlineStr">
        <is>
          <t>v0.6：同一価格表セクション内で凡例継承を確定。</t>
        </is>
      </c>
      <c r="N1314" t="inlineStr">
        <is>
          <t>https://drive.google.com/file/d/1YUN-mtWYs48YBUHJk0C3vJXnhjyZFHyf/view</t>
        </is>
      </c>
    </row>
    <row r="1315">
      <c r="A1315" s="42" t="inlineStr">
        <is>
          <t>GSC-SL-001312</t>
        </is>
      </c>
      <c r="B1315" t="inlineStr">
        <is>
          <t>SZ-SL-001312</t>
        </is>
      </c>
      <c r="C1315" t="inlineStr">
        <is>
          <t>WT-SL-KAZARI-HIKI</t>
        </is>
      </c>
      <c r="D1315" t="inlineStr">
        <is>
          <t>SP-SL-KAZARI-H</t>
        </is>
      </c>
      <c r="E1315" t="inlineStr">
        <is>
          <t>06905</t>
        </is>
      </c>
      <c r="F1315" t="b">
        <v>1</v>
      </c>
      <c r="G1315" t="n">
        <v>192</v>
      </c>
      <c r="H1315" t="inlineStr">
        <is>
          <t>無印</t>
        </is>
      </c>
      <c r="I1315" t="n">
        <v>192</v>
      </c>
      <c r="J1315" t="inlineStr">
        <is>
          <t>P192|無印</t>
        </is>
      </c>
      <c r="K1315" t="inlineStr">
        <is>
          <t>同頁凡例へ直接連動</t>
        </is>
      </c>
      <c r="L1315" t="inlineStr">
        <is>
          <t>202604_LIXIL_サーモスＬ_業務用資料集_完成品価格表.pdf</t>
        </is>
      </c>
      <c r="M1315" t="inlineStr">
        <is>
          <t>v0.6：同一価格表セクション内で凡例継承を確定。</t>
        </is>
      </c>
      <c r="N1315" t="inlineStr">
        <is>
          <t>https://drive.google.com/file/d/1YUN-mtWYs48YBUHJk0C3vJXnhjyZFHyf/view</t>
        </is>
      </c>
    </row>
    <row r="1316">
      <c r="A1316" s="42" t="inlineStr">
        <is>
          <t>GSC-SL-001313</t>
        </is>
      </c>
      <c r="B1316" t="inlineStr">
        <is>
          <t>SZ-SL-001313</t>
        </is>
      </c>
      <c r="C1316" t="inlineStr">
        <is>
          <t>WT-SL-KAZARI-HIKI</t>
        </is>
      </c>
      <c r="D1316" t="inlineStr">
        <is>
          <t>SP-SL-KAZARI-H</t>
        </is>
      </c>
      <c r="E1316" t="inlineStr">
        <is>
          <t>06907</t>
        </is>
      </c>
      <c r="F1316" t="b">
        <v>1</v>
      </c>
      <c r="G1316" t="n">
        <v>192</v>
      </c>
      <c r="H1316" t="inlineStr">
        <is>
          <t>無印</t>
        </is>
      </c>
      <c r="I1316" t="n">
        <v>192</v>
      </c>
      <c r="J1316" t="inlineStr">
        <is>
          <t>P192|無印</t>
        </is>
      </c>
      <c r="K1316" t="inlineStr">
        <is>
          <t>同頁凡例へ直接連動</t>
        </is>
      </c>
      <c r="L1316" t="inlineStr">
        <is>
          <t>202604_LIXIL_サーモスＬ_業務用資料集_完成品価格表.pdf</t>
        </is>
      </c>
      <c r="M1316" t="inlineStr">
        <is>
          <t>v0.6：同一価格表セクション内で凡例継承を確定。</t>
        </is>
      </c>
      <c r="N1316" t="inlineStr">
        <is>
          <t>https://drive.google.com/file/d/1YUN-mtWYs48YBUHJk0C3vJXnhjyZFHyf/view</t>
        </is>
      </c>
    </row>
    <row r="1317">
      <c r="A1317" s="42" t="inlineStr">
        <is>
          <t>GSC-SL-001314</t>
        </is>
      </c>
      <c r="B1317" t="inlineStr">
        <is>
          <t>SZ-SL-001314</t>
        </is>
      </c>
      <c r="C1317" t="inlineStr">
        <is>
          <t>WT-SL-KAZARI-HIKI</t>
        </is>
      </c>
      <c r="D1317" t="inlineStr">
        <is>
          <t>SP-SL-KAZARI-H</t>
        </is>
      </c>
      <c r="E1317" t="inlineStr">
        <is>
          <t>06909</t>
        </is>
      </c>
      <c r="F1317" t="b">
        <v>1</v>
      </c>
      <c r="G1317" t="n">
        <v>192</v>
      </c>
      <c r="H1317" t="inlineStr">
        <is>
          <t>無印</t>
        </is>
      </c>
      <c r="I1317" t="n">
        <v>192</v>
      </c>
      <c r="J1317" t="inlineStr">
        <is>
          <t>P192|無印</t>
        </is>
      </c>
      <c r="K1317" t="inlineStr">
        <is>
          <t>同頁凡例へ直接連動</t>
        </is>
      </c>
      <c r="L1317" t="inlineStr">
        <is>
          <t>202604_LIXIL_サーモスＬ_業務用資料集_完成品価格表.pdf</t>
        </is>
      </c>
      <c r="M1317" t="inlineStr">
        <is>
          <t>v0.6：同一価格表セクション内で凡例継承を確定。</t>
        </is>
      </c>
      <c r="N1317" t="inlineStr">
        <is>
          <t>https://drive.google.com/file/d/1YUN-mtWYs48YBUHJk0C3vJXnhjyZFHyf/view</t>
        </is>
      </c>
    </row>
    <row r="1318">
      <c r="A1318" s="42" t="inlineStr">
        <is>
          <t>GSC-SL-001315</t>
        </is>
      </c>
      <c r="B1318" t="inlineStr">
        <is>
          <t>SZ-SL-001315</t>
        </is>
      </c>
      <c r="C1318" t="inlineStr">
        <is>
          <t>WT-SL-KAZARI-HIKI</t>
        </is>
      </c>
      <c r="D1318" t="inlineStr">
        <is>
          <t>SP-SL-KAZARI-H</t>
        </is>
      </c>
      <c r="E1318" t="inlineStr">
        <is>
          <t>07405</t>
        </is>
      </c>
      <c r="F1318" t="b">
        <v>1</v>
      </c>
      <c r="G1318" t="n">
        <v>192</v>
      </c>
      <c r="H1318" t="inlineStr">
        <is>
          <t>無印</t>
        </is>
      </c>
      <c r="I1318" t="n">
        <v>192</v>
      </c>
      <c r="J1318" t="inlineStr">
        <is>
          <t>P192|無印</t>
        </is>
      </c>
      <c r="K1318" t="inlineStr">
        <is>
          <t>同頁凡例へ直接連動</t>
        </is>
      </c>
      <c r="L1318" t="inlineStr">
        <is>
          <t>202604_LIXIL_サーモスＬ_業務用資料集_完成品価格表.pdf</t>
        </is>
      </c>
      <c r="M1318" t="inlineStr">
        <is>
          <t>v0.6：同一価格表セクション内で凡例継承を確定。</t>
        </is>
      </c>
      <c r="N1318" t="inlineStr">
        <is>
          <t>https://drive.google.com/file/d/1YUN-mtWYs48YBUHJk0C3vJXnhjyZFHyf/view</t>
        </is>
      </c>
    </row>
    <row r="1319">
      <c r="A1319" s="42" t="inlineStr">
        <is>
          <t>GSC-SL-001316</t>
        </is>
      </c>
      <c r="B1319" t="inlineStr">
        <is>
          <t>SZ-SL-001316</t>
        </is>
      </c>
      <c r="C1319" t="inlineStr">
        <is>
          <t>WT-SL-KAZARI-HIKI</t>
        </is>
      </c>
      <c r="D1319" t="inlineStr">
        <is>
          <t>SP-SL-KAZARI-H</t>
        </is>
      </c>
      <c r="E1319" t="inlineStr">
        <is>
          <t>07407</t>
        </is>
      </c>
      <c r="F1319" t="b">
        <v>1</v>
      </c>
      <c r="G1319" t="n">
        <v>192</v>
      </c>
      <c r="H1319" t="inlineStr">
        <is>
          <t>無印</t>
        </is>
      </c>
      <c r="I1319" t="n">
        <v>192</v>
      </c>
      <c r="J1319" t="inlineStr">
        <is>
          <t>P192|無印</t>
        </is>
      </c>
      <c r="K1319" t="inlineStr">
        <is>
          <t>同頁凡例へ直接連動</t>
        </is>
      </c>
      <c r="L1319" t="inlineStr">
        <is>
          <t>202604_LIXIL_サーモスＬ_業務用資料集_完成品価格表.pdf</t>
        </is>
      </c>
      <c r="M1319" t="inlineStr">
        <is>
          <t>v0.6：同一価格表セクション内で凡例継承を確定。</t>
        </is>
      </c>
      <c r="N1319" t="inlineStr">
        <is>
          <t>https://drive.google.com/file/d/1YUN-mtWYs48YBUHJk0C3vJXnhjyZFHyf/view</t>
        </is>
      </c>
    </row>
    <row r="1320">
      <c r="A1320" s="42" t="inlineStr">
        <is>
          <t>GSC-SL-001317</t>
        </is>
      </c>
      <c r="B1320" t="inlineStr">
        <is>
          <t>SZ-SL-001317</t>
        </is>
      </c>
      <c r="C1320" t="inlineStr">
        <is>
          <t>WT-SL-KAZARI-HIKI</t>
        </is>
      </c>
      <c r="D1320" t="inlineStr">
        <is>
          <t>SP-SL-KAZARI-H</t>
        </is>
      </c>
      <c r="E1320" t="inlineStr">
        <is>
          <t>07409</t>
        </is>
      </c>
      <c r="F1320" t="b">
        <v>1</v>
      </c>
      <c r="G1320" t="n">
        <v>192</v>
      </c>
      <c r="H1320" t="inlineStr">
        <is>
          <t>無印</t>
        </is>
      </c>
      <c r="I1320" t="n">
        <v>192</v>
      </c>
      <c r="J1320" t="inlineStr">
        <is>
          <t>P192|無印</t>
        </is>
      </c>
      <c r="K1320" t="inlineStr">
        <is>
          <t>同頁凡例へ直接連動</t>
        </is>
      </c>
      <c r="L1320" t="inlineStr">
        <is>
          <t>202604_LIXIL_サーモスＬ_業務用資料集_完成品価格表.pdf</t>
        </is>
      </c>
      <c r="M1320" t="inlineStr">
        <is>
          <t>v0.6：同一価格表セクション内で凡例継承を確定。</t>
        </is>
      </c>
      <c r="N1320" t="inlineStr">
        <is>
          <t>https://drive.google.com/file/d/1YUN-mtWYs48YBUHJk0C3vJXnhjyZFHyf/view</t>
        </is>
      </c>
    </row>
    <row r="1321">
      <c r="A1321" s="42" t="inlineStr">
        <is>
          <t>GSC-SL-001318</t>
        </is>
      </c>
      <c r="B1321" t="inlineStr">
        <is>
          <t>SZ-SL-001318</t>
        </is>
      </c>
      <c r="C1321" t="inlineStr">
        <is>
          <t>WT-SL-KAZARI-HIKI</t>
        </is>
      </c>
      <c r="D1321" t="inlineStr">
        <is>
          <t>SP-SL-KAZARI-H</t>
        </is>
      </c>
      <c r="E1321" t="inlineStr">
        <is>
          <t>11405</t>
        </is>
      </c>
      <c r="F1321" t="b">
        <v>1</v>
      </c>
      <c r="G1321" t="n">
        <v>192</v>
      </c>
      <c r="H1321" t="inlineStr">
        <is>
          <t>無印</t>
        </is>
      </c>
      <c r="I1321" t="n">
        <v>192</v>
      </c>
      <c r="J1321" t="inlineStr">
        <is>
          <t>P192|無印</t>
        </is>
      </c>
      <c r="K1321" t="inlineStr">
        <is>
          <t>同頁凡例へ直接連動</t>
        </is>
      </c>
      <c r="L1321" t="inlineStr">
        <is>
          <t>202604_LIXIL_サーモスＬ_業務用資料集_完成品価格表.pdf</t>
        </is>
      </c>
      <c r="M1321" t="inlineStr">
        <is>
          <t>v0.6：同一価格表セクション内で凡例継承を確定。</t>
        </is>
      </c>
      <c r="N1321" t="inlineStr">
        <is>
          <t>https://drive.google.com/file/d/1YUN-mtWYs48YBUHJk0C3vJXnhjyZFHyf/view</t>
        </is>
      </c>
    </row>
    <row r="1322">
      <c r="A1322" s="42" t="inlineStr">
        <is>
          <t>GSC-SL-001319</t>
        </is>
      </c>
      <c r="B1322" t="inlineStr">
        <is>
          <t>SZ-SL-001319</t>
        </is>
      </c>
      <c r="C1322" t="inlineStr">
        <is>
          <t>WT-SL-KAZARI-HIKI</t>
        </is>
      </c>
      <c r="D1322" t="inlineStr">
        <is>
          <t>SP-SL-KAZARI-H</t>
        </is>
      </c>
      <c r="E1322" t="inlineStr">
        <is>
          <t>11407</t>
        </is>
      </c>
      <c r="F1322" t="b">
        <v>1</v>
      </c>
      <c r="G1322" t="n">
        <v>192</v>
      </c>
      <c r="H1322" t="inlineStr">
        <is>
          <t>無印</t>
        </is>
      </c>
      <c r="I1322" t="n">
        <v>192</v>
      </c>
      <c r="J1322" t="inlineStr">
        <is>
          <t>P192|無印</t>
        </is>
      </c>
      <c r="K1322" t="inlineStr">
        <is>
          <t>同頁凡例へ直接連動</t>
        </is>
      </c>
      <c r="L1322" t="inlineStr">
        <is>
          <t>202604_LIXIL_サーモスＬ_業務用資料集_完成品価格表.pdf</t>
        </is>
      </c>
      <c r="M1322" t="inlineStr">
        <is>
          <t>v0.6：同一価格表セクション内で凡例継承を確定。</t>
        </is>
      </c>
      <c r="N1322" t="inlineStr">
        <is>
          <t>https://drive.google.com/file/d/1YUN-mtWYs48YBUHJk0C3vJXnhjyZFHyf/view</t>
        </is>
      </c>
    </row>
    <row r="1323">
      <c r="A1323" s="42" t="inlineStr">
        <is>
          <t>GSC-SL-001320</t>
        </is>
      </c>
      <c r="B1323" t="inlineStr">
        <is>
          <t>SZ-SL-001320</t>
        </is>
      </c>
      <c r="C1323" t="inlineStr">
        <is>
          <t>WT-SL-KAZARI-HIKI</t>
        </is>
      </c>
      <c r="D1323" t="inlineStr">
        <is>
          <t>SP-SL-KAZARI-H</t>
        </is>
      </c>
      <c r="E1323" t="inlineStr">
        <is>
          <t>11409</t>
        </is>
      </c>
      <c r="F1323" t="b">
        <v>1</v>
      </c>
      <c r="G1323" t="n">
        <v>192</v>
      </c>
      <c r="H1323" t="inlineStr">
        <is>
          <t>無印</t>
        </is>
      </c>
      <c r="I1323" t="n">
        <v>192</v>
      </c>
      <c r="J1323" t="inlineStr">
        <is>
          <t>P192|無印</t>
        </is>
      </c>
      <c r="K1323" t="inlineStr">
        <is>
          <t>同頁凡例へ直接連動</t>
        </is>
      </c>
      <c r="L1323" t="inlineStr">
        <is>
          <t>202604_LIXIL_サーモスＬ_業務用資料集_完成品価格表.pdf</t>
        </is>
      </c>
      <c r="M1323" t="inlineStr">
        <is>
          <t>v0.6：同一価格表セクション内で凡例継承を確定。</t>
        </is>
      </c>
      <c r="N1323" t="inlineStr">
        <is>
          <t>https://drive.google.com/file/d/1YUN-mtWYs48YBUHJk0C3vJXnhjyZFHyf/view</t>
        </is>
      </c>
    </row>
    <row r="1324">
      <c r="A1324" s="42" t="inlineStr">
        <is>
          <t>GSC-SL-001321</t>
        </is>
      </c>
      <c r="B1324" t="inlineStr">
        <is>
          <t>SZ-SL-001321</t>
        </is>
      </c>
      <c r="C1324" t="inlineStr">
        <is>
          <t>WT-SL-KAZARI-HIKI</t>
        </is>
      </c>
      <c r="D1324" t="inlineStr">
        <is>
          <t>SP-SL-KAZARI-H</t>
        </is>
      </c>
      <c r="E1324" t="inlineStr">
        <is>
          <t>11905</t>
        </is>
      </c>
      <c r="F1324" t="b">
        <v>1</v>
      </c>
      <c r="G1324" t="n">
        <v>192</v>
      </c>
      <c r="H1324" t="inlineStr">
        <is>
          <t>無印</t>
        </is>
      </c>
      <c r="I1324" t="n">
        <v>192</v>
      </c>
      <c r="J1324" t="inlineStr">
        <is>
          <t>P192|無印</t>
        </is>
      </c>
      <c r="K1324" t="inlineStr">
        <is>
          <t>同頁凡例へ直接連動</t>
        </is>
      </c>
      <c r="L1324" t="inlineStr">
        <is>
          <t>202604_LIXIL_サーモスＬ_業務用資料集_完成品価格表.pdf</t>
        </is>
      </c>
      <c r="M1324" t="inlineStr">
        <is>
          <t>v0.6：同一価格表セクション内で凡例継承を確定。</t>
        </is>
      </c>
      <c r="N1324" t="inlineStr">
        <is>
          <t>https://drive.google.com/file/d/1YUN-mtWYs48YBUHJk0C3vJXnhjyZFHyf/view</t>
        </is>
      </c>
    </row>
    <row r="1325">
      <c r="A1325" s="42" t="inlineStr">
        <is>
          <t>GSC-SL-001322</t>
        </is>
      </c>
      <c r="B1325" t="inlineStr">
        <is>
          <t>SZ-SL-001322</t>
        </is>
      </c>
      <c r="C1325" t="inlineStr">
        <is>
          <t>WT-SL-KAZARI-HIKI</t>
        </is>
      </c>
      <c r="D1325" t="inlineStr">
        <is>
          <t>SP-SL-KAZARI-H</t>
        </is>
      </c>
      <c r="E1325" t="inlineStr">
        <is>
          <t>11907</t>
        </is>
      </c>
      <c r="F1325" t="b">
        <v>1</v>
      </c>
      <c r="G1325" t="n">
        <v>192</v>
      </c>
      <c r="H1325" t="inlineStr">
        <is>
          <t>無印</t>
        </is>
      </c>
      <c r="I1325" t="n">
        <v>192</v>
      </c>
      <c r="J1325" t="inlineStr">
        <is>
          <t>P192|無印</t>
        </is>
      </c>
      <c r="K1325" t="inlineStr">
        <is>
          <t>同頁凡例へ直接連動</t>
        </is>
      </c>
      <c r="L1325" t="inlineStr">
        <is>
          <t>202604_LIXIL_サーモスＬ_業務用資料集_完成品価格表.pdf</t>
        </is>
      </c>
      <c r="M1325" t="inlineStr">
        <is>
          <t>v0.6：同一価格表セクション内で凡例継承を確定。</t>
        </is>
      </c>
      <c r="N1325" t="inlineStr">
        <is>
          <t>https://drive.google.com/file/d/1YUN-mtWYs48YBUHJk0C3vJXnhjyZFHyf/view</t>
        </is>
      </c>
    </row>
    <row r="1326">
      <c r="A1326" s="42" t="inlineStr">
        <is>
          <t>GSC-SL-001323</t>
        </is>
      </c>
      <c r="B1326" t="inlineStr">
        <is>
          <t>SZ-SL-001323</t>
        </is>
      </c>
      <c r="C1326" t="inlineStr">
        <is>
          <t>WT-SL-KAZARI-HIKI</t>
        </is>
      </c>
      <c r="D1326" t="inlineStr">
        <is>
          <t>SP-SL-KAZARI-H</t>
        </is>
      </c>
      <c r="E1326" t="inlineStr">
        <is>
          <t>11909</t>
        </is>
      </c>
      <c r="F1326" t="b">
        <v>1</v>
      </c>
      <c r="G1326" t="n">
        <v>192</v>
      </c>
      <c r="H1326" t="inlineStr">
        <is>
          <t>無印</t>
        </is>
      </c>
      <c r="I1326" t="n">
        <v>192</v>
      </c>
      <c r="J1326" t="inlineStr">
        <is>
          <t>P192|無印</t>
        </is>
      </c>
      <c r="K1326" t="inlineStr">
        <is>
          <t>同頁凡例へ直接連動</t>
        </is>
      </c>
      <c r="L1326" t="inlineStr">
        <is>
          <t>202604_LIXIL_サーモスＬ_業務用資料集_完成品価格表.pdf</t>
        </is>
      </c>
      <c r="M1326" t="inlineStr">
        <is>
          <t>v0.6：同一価格表セクション内で凡例継承を確定。</t>
        </is>
      </c>
      <c r="N1326" t="inlineStr">
        <is>
          <t>https://drive.google.com/file/d/1YUN-mtWYs48YBUHJk0C3vJXnhjyZFHyf/view</t>
        </is>
      </c>
    </row>
    <row r="1327">
      <c r="A1327" s="42" t="inlineStr">
        <is>
          <t>GSC-SL-001324</t>
        </is>
      </c>
      <c r="B1327" t="inlineStr">
        <is>
          <t>SZ-SL-001324</t>
        </is>
      </c>
      <c r="C1327" t="inlineStr">
        <is>
          <t>WT-SL-KAZARI-HIKI</t>
        </is>
      </c>
      <c r="D1327" t="inlineStr">
        <is>
          <t>SP-SL-KAZARI-H</t>
        </is>
      </c>
      <c r="E1327" t="inlineStr">
        <is>
          <t>16005</t>
        </is>
      </c>
      <c r="F1327" t="b">
        <v>1</v>
      </c>
      <c r="G1327" t="n">
        <v>193</v>
      </c>
      <c r="H1327" t="inlineStr">
        <is>
          <t>無印</t>
        </is>
      </c>
      <c r="I1327" t="n">
        <v>192</v>
      </c>
      <c r="J1327" t="inlineStr">
        <is>
          <t>P192|無印</t>
        </is>
      </c>
      <c r="K1327" t="inlineStr">
        <is>
          <t>同一価格表・前頁凡例を継承</t>
        </is>
      </c>
      <c r="L1327" t="inlineStr">
        <is>
          <t>202604_LIXIL_サーモスＬ_業務用資料集_完成品価格表.pdf</t>
        </is>
      </c>
      <c r="M1327" t="inlineStr">
        <is>
          <t>v0.6：同一価格表セクション内で凡例継承を確定。</t>
        </is>
      </c>
      <c r="N1327" t="inlineStr">
        <is>
          <t>https://drive.google.com/file/d/1YUN-mtWYs48YBUHJk0C3vJXnhjyZFHyf/view</t>
        </is>
      </c>
    </row>
    <row r="1328">
      <c r="A1328" s="42" t="inlineStr">
        <is>
          <t>GSC-SL-001325</t>
        </is>
      </c>
      <c r="B1328" t="inlineStr">
        <is>
          <t>SZ-SL-001325</t>
        </is>
      </c>
      <c r="C1328" t="inlineStr">
        <is>
          <t>WT-SL-KAZARI-HIKI</t>
        </is>
      </c>
      <c r="D1328" t="inlineStr">
        <is>
          <t>SP-SL-KAZARI-H</t>
        </is>
      </c>
      <c r="E1328" t="inlineStr">
        <is>
          <t>16007</t>
        </is>
      </c>
      <c r="F1328" t="b">
        <v>1</v>
      </c>
      <c r="G1328" t="n">
        <v>193</v>
      </c>
      <c r="H1328" t="inlineStr">
        <is>
          <t>無印</t>
        </is>
      </c>
      <c r="I1328" t="n">
        <v>192</v>
      </c>
      <c r="J1328" t="inlineStr">
        <is>
          <t>P192|無印</t>
        </is>
      </c>
      <c r="K1328" t="inlineStr">
        <is>
          <t>同一価格表・前頁凡例を継承</t>
        </is>
      </c>
      <c r="L1328" t="inlineStr">
        <is>
          <t>202604_LIXIL_サーモスＬ_業務用資料集_完成品価格表.pdf</t>
        </is>
      </c>
      <c r="M1328" t="inlineStr">
        <is>
          <t>v0.6：同一価格表セクション内で凡例継承を確定。</t>
        </is>
      </c>
      <c r="N1328" t="inlineStr">
        <is>
          <t>https://drive.google.com/file/d/1YUN-mtWYs48YBUHJk0C3vJXnhjyZFHyf/view</t>
        </is>
      </c>
    </row>
    <row r="1329">
      <c r="A1329" s="42" t="inlineStr">
        <is>
          <t>GSC-SL-001326</t>
        </is>
      </c>
      <c r="B1329" t="inlineStr">
        <is>
          <t>SZ-SL-001326</t>
        </is>
      </c>
      <c r="C1329" t="inlineStr">
        <is>
          <t>WT-SL-KAZARI-HIKI</t>
        </is>
      </c>
      <c r="D1329" t="inlineStr">
        <is>
          <t>SP-SL-KAZARI-H</t>
        </is>
      </c>
      <c r="E1329" t="inlineStr">
        <is>
          <t>16009</t>
        </is>
      </c>
      <c r="F1329" t="b">
        <v>1</v>
      </c>
      <c r="G1329" t="n">
        <v>193</v>
      </c>
      <c r="H1329" t="inlineStr">
        <is>
          <t>無印</t>
        </is>
      </c>
      <c r="I1329" t="n">
        <v>192</v>
      </c>
      <c r="J1329" t="inlineStr">
        <is>
          <t>P192|無印</t>
        </is>
      </c>
      <c r="K1329" t="inlineStr">
        <is>
          <t>同一価格表・前頁凡例を継承</t>
        </is>
      </c>
      <c r="L1329" t="inlineStr">
        <is>
          <t>202604_LIXIL_サーモスＬ_業務用資料集_完成品価格表.pdf</t>
        </is>
      </c>
      <c r="M1329" t="inlineStr">
        <is>
          <t>v0.6：同一価格表セクション内で凡例継承を確定。</t>
        </is>
      </c>
      <c r="N1329" t="inlineStr">
        <is>
          <t>https://drive.google.com/file/d/1YUN-mtWYs48YBUHJk0C3vJXnhjyZFHyf/view</t>
        </is>
      </c>
    </row>
    <row r="1330">
      <c r="A1330" s="42" t="inlineStr">
        <is>
          <t>GSC-SL-001327</t>
        </is>
      </c>
      <c r="B1330" t="inlineStr">
        <is>
          <t>SZ-SL-001327</t>
        </is>
      </c>
      <c r="C1330" t="inlineStr">
        <is>
          <t>WT-SL-KAZARI-HIKI</t>
        </is>
      </c>
      <c r="D1330" t="inlineStr">
        <is>
          <t>SP-SL-KAZARI-H</t>
        </is>
      </c>
      <c r="E1330" t="inlineStr">
        <is>
          <t>16503</t>
        </is>
      </c>
      <c r="F1330" t="b">
        <v>1</v>
      </c>
      <c r="G1330" t="n">
        <v>193</v>
      </c>
      <c r="H1330" t="inlineStr">
        <is>
          <t>無印</t>
        </is>
      </c>
      <c r="I1330" t="n">
        <v>192</v>
      </c>
      <c r="J1330" t="inlineStr">
        <is>
          <t>P192|無印</t>
        </is>
      </c>
      <c r="K1330" t="inlineStr">
        <is>
          <t>同一価格表・前頁凡例を継承</t>
        </is>
      </c>
      <c r="L1330" t="inlineStr">
        <is>
          <t>202604_LIXIL_サーモスＬ_業務用資料集_完成品価格表.pdf</t>
        </is>
      </c>
      <c r="M1330" t="inlineStr">
        <is>
          <t>v0.6：同一価格表セクション内で凡例継承を確定。</t>
        </is>
      </c>
      <c r="N1330" t="inlineStr">
        <is>
          <t>https://drive.google.com/file/d/1YUN-mtWYs48YBUHJk0C3vJXnhjyZFHyf/view</t>
        </is>
      </c>
    </row>
    <row r="1331">
      <c r="A1331" s="42" t="inlineStr">
        <is>
          <t>GSC-SL-001328</t>
        </is>
      </c>
      <c r="B1331" t="inlineStr">
        <is>
          <t>SZ-SL-001328</t>
        </is>
      </c>
      <c r="C1331" t="inlineStr">
        <is>
          <t>WT-SL-KAZARI-HIKI</t>
        </is>
      </c>
      <c r="D1331" t="inlineStr">
        <is>
          <t>SP-SL-KAZARI-H</t>
        </is>
      </c>
      <c r="E1331" t="inlineStr">
        <is>
          <t>16505</t>
        </is>
      </c>
      <c r="F1331" t="b">
        <v>1</v>
      </c>
      <c r="G1331" t="n">
        <v>193</v>
      </c>
      <c r="H1331" t="inlineStr">
        <is>
          <t>無印</t>
        </is>
      </c>
      <c r="I1331" t="n">
        <v>192</v>
      </c>
      <c r="J1331" t="inlineStr">
        <is>
          <t>P192|無印</t>
        </is>
      </c>
      <c r="K1331" t="inlineStr">
        <is>
          <t>同一価格表・前頁凡例を継承</t>
        </is>
      </c>
      <c r="L1331" t="inlineStr">
        <is>
          <t>202604_LIXIL_サーモスＬ_業務用資料集_完成品価格表.pdf</t>
        </is>
      </c>
      <c r="M1331" t="inlineStr">
        <is>
          <t>v0.6：同一価格表セクション内で凡例継承を確定。</t>
        </is>
      </c>
      <c r="N1331" t="inlineStr">
        <is>
          <t>https://drive.google.com/file/d/1YUN-mtWYs48YBUHJk0C3vJXnhjyZFHyf/view</t>
        </is>
      </c>
    </row>
    <row r="1332">
      <c r="A1332" s="42" t="inlineStr">
        <is>
          <t>GSC-SL-001329</t>
        </is>
      </c>
      <c r="B1332" t="inlineStr">
        <is>
          <t>SZ-SL-001329</t>
        </is>
      </c>
      <c r="C1332" t="inlineStr">
        <is>
          <t>WT-SL-KAZARI-HIKI</t>
        </is>
      </c>
      <c r="D1332" t="inlineStr">
        <is>
          <t>SP-SL-KAZARI-H</t>
        </is>
      </c>
      <c r="E1332" t="inlineStr">
        <is>
          <t>16507</t>
        </is>
      </c>
      <c r="F1332" t="b">
        <v>1</v>
      </c>
      <c r="G1332" t="n">
        <v>193</v>
      </c>
      <c r="H1332" t="inlineStr">
        <is>
          <t>無印</t>
        </is>
      </c>
      <c r="I1332" t="n">
        <v>192</v>
      </c>
      <c r="J1332" t="inlineStr">
        <is>
          <t>P192|無印</t>
        </is>
      </c>
      <c r="K1332" t="inlineStr">
        <is>
          <t>同一価格表・前頁凡例を継承</t>
        </is>
      </c>
      <c r="L1332" t="inlineStr">
        <is>
          <t>202604_LIXIL_サーモスＬ_業務用資料集_完成品価格表.pdf</t>
        </is>
      </c>
      <c r="M1332" t="inlineStr">
        <is>
          <t>v0.6：同一価格表セクション内で凡例継承を確定。</t>
        </is>
      </c>
      <c r="N1332" t="inlineStr">
        <is>
          <t>https://drive.google.com/file/d/1YUN-mtWYs48YBUHJk0C3vJXnhjyZFHyf/view</t>
        </is>
      </c>
    </row>
    <row r="1333">
      <c r="A1333" s="42" t="inlineStr">
        <is>
          <t>GSC-SL-001330</t>
        </is>
      </c>
      <c r="B1333" t="inlineStr">
        <is>
          <t>SZ-SL-001330</t>
        </is>
      </c>
      <c r="C1333" t="inlineStr">
        <is>
          <t>WT-SL-KAZARI-HIKI</t>
        </is>
      </c>
      <c r="D1333" t="inlineStr">
        <is>
          <t>SP-SL-KAZARI-H</t>
        </is>
      </c>
      <c r="E1333" t="inlineStr">
        <is>
          <t>16509</t>
        </is>
      </c>
      <c r="F1333" t="b">
        <v>1</v>
      </c>
      <c r="G1333" t="n">
        <v>193</v>
      </c>
      <c r="H1333" t="inlineStr">
        <is>
          <t>無印</t>
        </is>
      </c>
      <c r="I1333" t="n">
        <v>192</v>
      </c>
      <c r="J1333" t="inlineStr">
        <is>
          <t>P192|無印</t>
        </is>
      </c>
      <c r="K1333" t="inlineStr">
        <is>
          <t>同一価格表・前頁凡例を継承</t>
        </is>
      </c>
      <c r="L1333" t="inlineStr">
        <is>
          <t>202604_LIXIL_サーモスＬ_業務用資料集_完成品価格表.pdf</t>
        </is>
      </c>
      <c r="M1333" t="inlineStr">
        <is>
          <t>v0.6：同一価格表セクション内で凡例継承を確定。</t>
        </is>
      </c>
      <c r="N1333" t="inlineStr">
        <is>
          <t>https://drive.google.com/file/d/1YUN-mtWYs48YBUHJk0C3vJXnhjyZFHyf/view</t>
        </is>
      </c>
    </row>
    <row r="1334">
      <c r="A1334" s="42" t="inlineStr">
        <is>
          <t>GSC-SL-001331</t>
        </is>
      </c>
      <c r="B1334" t="inlineStr">
        <is>
          <t>SZ-SL-001331</t>
        </is>
      </c>
      <c r="C1334" t="inlineStr">
        <is>
          <t>WT-SL-KAZARI-HIKI</t>
        </is>
      </c>
      <c r="D1334" t="inlineStr">
        <is>
          <t>SP-SL-KAZARI-H</t>
        </is>
      </c>
      <c r="E1334" t="inlineStr">
        <is>
          <t>25609-2</t>
        </is>
      </c>
      <c r="F1334" t="b">
        <v>1</v>
      </c>
      <c r="G1334" t="n">
        <v>193</v>
      </c>
      <c r="H1334" t="inlineStr">
        <is>
          <t>★</t>
        </is>
      </c>
      <c r="I1334" t="n">
        <v>192</v>
      </c>
      <c r="J1334" t="inlineStr">
        <is>
          <t>P192|★</t>
        </is>
      </c>
      <c r="K1334" t="inlineStr">
        <is>
          <t>同一価格表・前頁凡例を継承</t>
        </is>
      </c>
      <c r="L1334" t="inlineStr">
        <is>
          <t>202604_LIXIL_サーモスＬ_業務用資料集_完成品価格表.pdf</t>
        </is>
      </c>
      <c r="M1334" t="inlineStr">
        <is>
          <t>v0.6：同一価格表セクション内で凡例継承を確定。</t>
        </is>
      </c>
      <c r="N1334" t="inlineStr">
        <is>
          <t>https://drive.google.com/file/d/1YUN-mtWYs48YBUHJk0C3vJXnhjyZFHyf/view</t>
        </is>
      </c>
    </row>
    <row r="1335">
      <c r="A1335" s="42" t="inlineStr">
        <is>
          <t>GSC-SL-001332</t>
        </is>
      </c>
      <c r="B1335" t="inlineStr">
        <is>
          <t>SZ-SL-001332</t>
        </is>
      </c>
      <c r="C1335" t="inlineStr">
        <is>
          <t>WT-SL-KAZARI-HIKI</t>
        </is>
      </c>
      <c r="D1335" t="inlineStr">
        <is>
          <t>SP-SL-KAZARI-H</t>
        </is>
      </c>
      <c r="E1335" t="inlineStr">
        <is>
          <t>25609-4</t>
        </is>
      </c>
      <c r="F1335" t="b">
        <v>1</v>
      </c>
      <c r="G1335" t="n">
        <v>193</v>
      </c>
      <c r="H1335" t="inlineStr">
        <is>
          <t>無印</t>
        </is>
      </c>
      <c r="I1335" t="n">
        <v>192</v>
      </c>
      <c r="J1335" t="inlineStr">
        <is>
          <t>P192|無印</t>
        </is>
      </c>
      <c r="K1335" t="inlineStr">
        <is>
          <t>同一価格表・前頁凡例を継承</t>
        </is>
      </c>
      <c r="L1335" t="inlineStr">
        <is>
          <t>202604_LIXIL_サーモスＬ_業務用資料集_完成品価格表.pdf</t>
        </is>
      </c>
      <c r="M1335" t="inlineStr">
        <is>
          <t>v0.6：同一価格表セクション内で凡例継承を確定。</t>
        </is>
      </c>
      <c r="N1335" t="inlineStr">
        <is>
          <t>https://drive.google.com/file/d/1YUN-mtWYs48YBUHJk0C3vJXnhjyZFHyf/view</t>
        </is>
      </c>
    </row>
    <row r="1336">
      <c r="A1336" s="42" t="inlineStr">
        <is>
          <t>GSC-SL-001333</t>
        </is>
      </c>
      <c r="B1336" t="inlineStr">
        <is>
          <t>SZ-SL-001333</t>
        </is>
      </c>
      <c r="C1336" t="inlineStr">
        <is>
          <t>WT-SL-KAZARI-HIKI</t>
        </is>
      </c>
      <c r="D1336" t="inlineStr">
        <is>
          <t>SP-SL-KAZARI-H</t>
        </is>
      </c>
      <c r="E1336" t="inlineStr">
        <is>
          <t>11411</t>
        </is>
      </c>
      <c r="F1336" t="b">
        <v>1</v>
      </c>
      <c r="G1336" t="n">
        <v>194</v>
      </c>
      <c r="H1336" t="inlineStr">
        <is>
          <t>無印</t>
        </is>
      </c>
      <c r="I1336" t="n">
        <v>194</v>
      </c>
      <c r="J1336" t="inlineStr">
        <is>
          <t>P194|無印</t>
        </is>
      </c>
      <c r="K1336" t="inlineStr">
        <is>
          <t>同頁凡例へ直接連動</t>
        </is>
      </c>
      <c r="L1336" t="inlineStr">
        <is>
          <t>202604_LIXIL_サーモスＬ_業務用資料集_完成品価格表.pdf</t>
        </is>
      </c>
      <c r="M1336" t="inlineStr">
        <is>
          <t>v0.6：同一価格表セクション内で凡例継承を確定。</t>
        </is>
      </c>
      <c r="N1336" t="inlineStr">
        <is>
          <t>https://drive.google.com/file/d/1YUN-mtWYs48YBUHJk0C3vJXnhjyZFHyf/view</t>
        </is>
      </c>
    </row>
    <row r="1337">
      <c r="A1337" s="42" t="inlineStr">
        <is>
          <t>GSC-SL-001334</t>
        </is>
      </c>
      <c r="B1337" t="inlineStr">
        <is>
          <t>SZ-SL-001334</t>
        </is>
      </c>
      <c r="C1337" t="inlineStr">
        <is>
          <t>WT-SL-KAZARI-HIKI</t>
        </is>
      </c>
      <c r="D1337" t="inlineStr">
        <is>
          <t>SP-SL-KAZARI-H</t>
        </is>
      </c>
      <c r="E1337" t="inlineStr">
        <is>
          <t>11413</t>
        </is>
      </c>
      <c r="F1337" t="b">
        <v>1</v>
      </c>
      <c r="G1337" t="n">
        <v>194</v>
      </c>
      <c r="H1337" t="inlineStr">
        <is>
          <t>無印</t>
        </is>
      </c>
      <c r="I1337" t="n">
        <v>194</v>
      </c>
      <c r="J1337" t="inlineStr">
        <is>
          <t>P194|無印</t>
        </is>
      </c>
      <c r="K1337" t="inlineStr">
        <is>
          <t>同頁凡例へ直接連動</t>
        </is>
      </c>
      <c r="L1337" t="inlineStr">
        <is>
          <t>202604_LIXIL_サーモスＬ_業務用資料集_完成品価格表.pdf</t>
        </is>
      </c>
      <c r="M1337" t="inlineStr">
        <is>
          <t>v0.6：同一価格表セクション内で凡例継承を確定。</t>
        </is>
      </c>
      <c r="N1337" t="inlineStr">
        <is>
          <t>https://drive.google.com/file/d/1YUN-mtWYs48YBUHJk0C3vJXnhjyZFHyf/view</t>
        </is>
      </c>
    </row>
    <row r="1338">
      <c r="A1338" s="42" t="inlineStr">
        <is>
          <t>GSC-SL-001335</t>
        </is>
      </c>
      <c r="B1338" t="inlineStr">
        <is>
          <t>SZ-SL-001335</t>
        </is>
      </c>
      <c r="C1338" t="inlineStr">
        <is>
          <t>WT-SL-KAZARI-HIKI</t>
        </is>
      </c>
      <c r="D1338" t="inlineStr">
        <is>
          <t>SP-SL-KAZARI-H</t>
        </is>
      </c>
      <c r="E1338" t="inlineStr">
        <is>
          <t>11911</t>
        </is>
      </c>
      <c r="F1338" t="b">
        <v>1</v>
      </c>
      <c r="G1338" t="n">
        <v>194</v>
      </c>
      <c r="H1338" t="inlineStr">
        <is>
          <t>無印</t>
        </is>
      </c>
      <c r="I1338" t="n">
        <v>194</v>
      </c>
      <c r="J1338" t="inlineStr">
        <is>
          <t>P194|無印</t>
        </is>
      </c>
      <c r="K1338" t="inlineStr">
        <is>
          <t>同頁凡例へ直接連動</t>
        </is>
      </c>
      <c r="L1338" t="inlineStr">
        <is>
          <t>202604_LIXIL_サーモスＬ_業務用資料集_完成品価格表.pdf</t>
        </is>
      </c>
      <c r="M1338" t="inlineStr">
        <is>
          <t>v0.6：同一価格表セクション内で凡例継承を確定。</t>
        </is>
      </c>
      <c r="N1338" t="inlineStr">
        <is>
          <t>https://drive.google.com/file/d/1YUN-mtWYs48YBUHJk0C3vJXnhjyZFHyf/view</t>
        </is>
      </c>
    </row>
    <row r="1339">
      <c r="A1339" s="42" t="inlineStr">
        <is>
          <t>GSC-SL-001336</t>
        </is>
      </c>
      <c r="B1339" t="inlineStr">
        <is>
          <t>SZ-SL-001336</t>
        </is>
      </c>
      <c r="C1339" t="inlineStr">
        <is>
          <t>WT-SL-KAZARI-HIKI</t>
        </is>
      </c>
      <c r="D1339" t="inlineStr">
        <is>
          <t>SP-SL-KAZARI-H</t>
        </is>
      </c>
      <c r="E1339" t="inlineStr">
        <is>
          <t>11913</t>
        </is>
      </c>
      <c r="F1339" t="b">
        <v>1</v>
      </c>
      <c r="G1339" t="n">
        <v>194</v>
      </c>
      <c r="H1339" t="inlineStr">
        <is>
          <t>無印</t>
        </is>
      </c>
      <c r="I1339" t="n">
        <v>194</v>
      </c>
      <c r="J1339" t="inlineStr">
        <is>
          <t>P194|無印</t>
        </is>
      </c>
      <c r="K1339" t="inlineStr">
        <is>
          <t>同頁凡例へ直接連動</t>
        </is>
      </c>
      <c r="L1339" t="inlineStr">
        <is>
          <t>202604_LIXIL_サーモスＬ_業務用資料集_完成品価格表.pdf</t>
        </is>
      </c>
      <c r="M1339" t="inlineStr">
        <is>
          <t>v0.6：同一価格表セクション内で凡例継承を確定。</t>
        </is>
      </c>
      <c r="N1339" t="inlineStr">
        <is>
          <t>https://drive.google.com/file/d/1YUN-mtWYs48YBUHJk0C3vJXnhjyZFHyf/view</t>
        </is>
      </c>
    </row>
    <row r="1340">
      <c r="A1340" s="42" t="inlineStr">
        <is>
          <t>GSC-SL-001337</t>
        </is>
      </c>
      <c r="B1340" t="inlineStr">
        <is>
          <t>SZ-SL-001337</t>
        </is>
      </c>
      <c r="C1340" t="inlineStr">
        <is>
          <t>WT-SL-KAZARI-HIKI</t>
        </is>
      </c>
      <c r="D1340" t="inlineStr">
        <is>
          <t>SP-SL-KAZARI-H</t>
        </is>
      </c>
      <c r="E1340" t="inlineStr">
        <is>
          <t>16011</t>
        </is>
      </c>
      <c r="F1340" t="b">
        <v>1</v>
      </c>
      <c r="G1340" t="n">
        <v>195</v>
      </c>
      <c r="H1340" t="inlineStr">
        <is>
          <t>無印</t>
        </is>
      </c>
      <c r="I1340" t="n">
        <v>194</v>
      </c>
      <c r="J1340" t="inlineStr">
        <is>
          <t>P194|無印</t>
        </is>
      </c>
      <c r="K1340" t="inlineStr">
        <is>
          <t>同一価格表・前頁凡例を継承</t>
        </is>
      </c>
      <c r="L1340" t="inlineStr">
        <is>
          <t>202604_LIXIL_サーモスＬ_業務用資料集_完成品価格表.pdf</t>
        </is>
      </c>
      <c r="M1340" t="inlineStr">
        <is>
          <t>v0.6：同一価格表セクション内で凡例継承を確定。</t>
        </is>
      </c>
      <c r="N1340" t="inlineStr">
        <is>
          <t>https://drive.google.com/file/d/1YUN-mtWYs48YBUHJk0C3vJXnhjyZFHyf/view</t>
        </is>
      </c>
    </row>
    <row r="1341">
      <c r="A1341" s="42" t="inlineStr">
        <is>
          <t>GSC-SL-001338</t>
        </is>
      </c>
      <c r="B1341" t="inlineStr">
        <is>
          <t>SZ-SL-001338</t>
        </is>
      </c>
      <c r="C1341" t="inlineStr">
        <is>
          <t>WT-SL-KAZARI-HIKI</t>
        </is>
      </c>
      <c r="D1341" t="inlineStr">
        <is>
          <t>SP-SL-KAZARI-H</t>
        </is>
      </c>
      <c r="E1341" t="inlineStr">
        <is>
          <t>16013</t>
        </is>
      </c>
      <c r="F1341" t="b">
        <v>1</v>
      </c>
      <c r="G1341" t="n">
        <v>195</v>
      </c>
      <c r="H1341" t="inlineStr">
        <is>
          <t>★</t>
        </is>
      </c>
      <c r="I1341" t="n">
        <v>194</v>
      </c>
      <c r="J1341" t="inlineStr">
        <is>
          <t>P194|★</t>
        </is>
      </c>
      <c r="K1341" t="inlineStr">
        <is>
          <t>同一価格表・前頁凡例を継承</t>
        </is>
      </c>
      <c r="L1341" t="inlineStr">
        <is>
          <t>202604_LIXIL_サーモスＬ_業務用資料集_完成品価格表.pdf</t>
        </is>
      </c>
      <c r="M1341" t="inlineStr">
        <is>
          <t>v0.6：同一価格表セクション内で凡例継承を確定。</t>
        </is>
      </c>
      <c r="N1341" t="inlineStr">
        <is>
          <t>https://drive.google.com/file/d/1YUN-mtWYs48YBUHJk0C3vJXnhjyZFHyf/view</t>
        </is>
      </c>
    </row>
    <row r="1342">
      <c r="A1342" s="42" t="inlineStr">
        <is>
          <t>GSC-SL-001339</t>
        </is>
      </c>
      <c r="B1342" t="inlineStr">
        <is>
          <t>SZ-SL-001339</t>
        </is>
      </c>
      <c r="C1342" t="inlineStr">
        <is>
          <t>WT-SL-KAZARI-HIKI</t>
        </is>
      </c>
      <c r="D1342" t="inlineStr">
        <is>
          <t>SP-SL-KAZARI-H</t>
        </is>
      </c>
      <c r="E1342" t="inlineStr">
        <is>
          <t>16015</t>
        </is>
      </c>
      <c r="F1342" t="b">
        <v>1</v>
      </c>
      <c r="G1342" t="n">
        <v>195</v>
      </c>
      <c r="H1342" t="inlineStr">
        <is>
          <t>○</t>
        </is>
      </c>
      <c r="I1342" t="n">
        <v>194</v>
      </c>
      <c r="J1342" t="inlineStr">
        <is>
          <t>P194|○</t>
        </is>
      </c>
      <c r="K1342" t="inlineStr">
        <is>
          <t>同一価格表・前頁凡例を継承</t>
        </is>
      </c>
      <c r="L1342" t="inlineStr">
        <is>
          <t>202604_LIXIL_サーモスＬ_業務用資料集_完成品価格表.pdf</t>
        </is>
      </c>
      <c r="M1342" t="inlineStr">
        <is>
          <t>v0.6：同一価格表セクション内で凡例継承を確定。</t>
        </is>
      </c>
      <c r="N1342" t="inlineStr">
        <is>
          <t>https://drive.google.com/file/d/1YUN-mtWYs48YBUHJk0C3vJXnhjyZFHyf/view</t>
        </is>
      </c>
    </row>
    <row r="1343">
      <c r="A1343" s="42" t="inlineStr">
        <is>
          <t>GSC-SL-001340</t>
        </is>
      </c>
      <c r="B1343" t="inlineStr">
        <is>
          <t>SZ-SL-001340</t>
        </is>
      </c>
      <c r="C1343" t="inlineStr">
        <is>
          <t>WT-SL-KAZARI-HIKI</t>
        </is>
      </c>
      <c r="D1343" t="inlineStr">
        <is>
          <t>SP-SL-KAZARI-H</t>
        </is>
      </c>
      <c r="E1343" t="inlineStr">
        <is>
          <t>16511</t>
        </is>
      </c>
      <c r="F1343" t="b">
        <v>1</v>
      </c>
      <c r="G1343" t="n">
        <v>195</v>
      </c>
      <c r="H1343" t="inlineStr">
        <is>
          <t>無印</t>
        </is>
      </c>
      <c r="I1343" t="n">
        <v>194</v>
      </c>
      <c r="J1343" t="inlineStr">
        <is>
          <t>P194|無印</t>
        </is>
      </c>
      <c r="K1343" t="inlineStr">
        <is>
          <t>同一価格表・前頁凡例を継承</t>
        </is>
      </c>
      <c r="L1343" t="inlineStr">
        <is>
          <t>202604_LIXIL_サーモスＬ_業務用資料集_完成品価格表.pdf</t>
        </is>
      </c>
      <c r="M1343" t="inlineStr">
        <is>
          <t>v0.6：同一価格表セクション内で凡例継承を確定。</t>
        </is>
      </c>
      <c r="N1343" t="inlineStr">
        <is>
          <t>https://drive.google.com/file/d/1YUN-mtWYs48YBUHJk0C3vJXnhjyZFHyf/view</t>
        </is>
      </c>
    </row>
    <row r="1344">
      <c r="A1344" s="42" t="inlineStr">
        <is>
          <t>GSC-SL-001341</t>
        </is>
      </c>
      <c r="B1344" t="inlineStr">
        <is>
          <t>SZ-SL-001341</t>
        </is>
      </c>
      <c r="C1344" t="inlineStr">
        <is>
          <t>WT-SL-KAZARI-HIKI</t>
        </is>
      </c>
      <c r="D1344" t="inlineStr">
        <is>
          <t>SP-SL-KAZARI-H</t>
        </is>
      </c>
      <c r="E1344" t="inlineStr">
        <is>
          <t>16513</t>
        </is>
      </c>
      <c r="F1344" t="b">
        <v>1</v>
      </c>
      <c r="G1344" t="n">
        <v>195</v>
      </c>
      <c r="H1344" t="inlineStr">
        <is>
          <t>★</t>
        </is>
      </c>
      <c r="I1344" t="n">
        <v>194</v>
      </c>
      <c r="J1344" t="inlineStr">
        <is>
          <t>P194|★</t>
        </is>
      </c>
      <c r="K1344" t="inlineStr">
        <is>
          <t>同一価格表・前頁凡例を継承</t>
        </is>
      </c>
      <c r="L1344" t="inlineStr">
        <is>
          <t>202604_LIXIL_サーモスＬ_業務用資料集_完成品価格表.pdf</t>
        </is>
      </c>
      <c r="M1344" t="inlineStr">
        <is>
          <t>v0.6：同一価格表セクション内で凡例継承を確定。</t>
        </is>
      </c>
      <c r="N1344" t="inlineStr">
        <is>
          <t>https://drive.google.com/file/d/1YUN-mtWYs48YBUHJk0C3vJXnhjyZFHyf/view</t>
        </is>
      </c>
    </row>
    <row r="1345">
      <c r="A1345" s="42" t="inlineStr">
        <is>
          <t>GSC-SL-001342</t>
        </is>
      </c>
      <c r="B1345" t="inlineStr">
        <is>
          <t>SZ-SL-001342</t>
        </is>
      </c>
      <c r="C1345" t="inlineStr">
        <is>
          <t>WT-SL-KAZARI-HIKI</t>
        </is>
      </c>
      <c r="D1345" t="inlineStr">
        <is>
          <t>SP-SL-KAZARI-H</t>
        </is>
      </c>
      <c r="E1345" t="inlineStr">
        <is>
          <t>16515</t>
        </is>
      </c>
      <c r="F1345" t="b">
        <v>1</v>
      </c>
      <c r="G1345" t="n">
        <v>195</v>
      </c>
      <c r="H1345" t="inlineStr">
        <is>
          <t>○</t>
        </is>
      </c>
      <c r="I1345" t="n">
        <v>194</v>
      </c>
      <c r="J1345" t="inlineStr">
        <is>
          <t>P194|○</t>
        </is>
      </c>
      <c r="K1345" t="inlineStr">
        <is>
          <t>同一価格表・前頁凡例を継承</t>
        </is>
      </c>
      <c r="L1345" t="inlineStr">
        <is>
          <t>202604_LIXIL_サーモスＬ_業務用資料集_完成品価格表.pdf</t>
        </is>
      </c>
      <c r="M1345" t="inlineStr">
        <is>
          <t>v0.6：同一価格表セクション内で凡例継承を確定。</t>
        </is>
      </c>
      <c r="N1345" t="inlineStr">
        <is>
          <t>https://drive.google.com/file/d/1YUN-mtWYs48YBUHJk0C3vJXnhjyZFHyf/view</t>
        </is>
      </c>
    </row>
    <row r="1346">
      <c r="A1346" s="42" t="inlineStr">
        <is>
          <t>GSC-SL-001343</t>
        </is>
      </c>
      <c r="B1346" t="inlineStr">
        <is>
          <t>SZ-SL-001343</t>
        </is>
      </c>
      <c r="C1346" t="inlineStr">
        <is>
          <t>WT-SL-KAZARI-HIKI</t>
        </is>
      </c>
      <c r="D1346" t="inlineStr">
        <is>
          <t>SP-SL-KAZARI-H</t>
        </is>
      </c>
      <c r="E1346" t="inlineStr">
        <is>
          <t>25611-2</t>
        </is>
      </c>
      <c r="F1346" t="b">
        <v>1</v>
      </c>
      <c r="G1346" t="n">
        <v>195</v>
      </c>
      <c r="H1346" t="inlineStr">
        <is>
          <t>☆</t>
        </is>
      </c>
      <c r="I1346" t="n">
        <v>194</v>
      </c>
      <c r="J1346" t="inlineStr">
        <is>
          <t>P194|☆</t>
        </is>
      </c>
      <c r="K1346" t="inlineStr">
        <is>
          <t>同一価格表・前頁凡例を継承</t>
        </is>
      </c>
      <c r="L1346" t="inlineStr">
        <is>
          <t>202604_LIXIL_サーモスＬ_業務用資料集_完成品価格表.pdf</t>
        </is>
      </c>
      <c r="M1346" t="inlineStr">
        <is>
          <t>v0.6：同一価格表セクション内で凡例継承を確定。</t>
        </is>
      </c>
      <c r="N1346" t="inlineStr">
        <is>
          <t>https://drive.google.com/file/d/1YUN-mtWYs48YBUHJk0C3vJXnhjyZFHyf/view</t>
        </is>
      </c>
    </row>
    <row r="1347">
      <c r="A1347" s="42" t="inlineStr">
        <is>
          <t>GSC-SL-001344</t>
        </is>
      </c>
      <c r="B1347" t="inlineStr">
        <is>
          <t>SZ-SL-001344</t>
        </is>
      </c>
      <c r="C1347" t="inlineStr">
        <is>
          <t>WT-SL-KAZARI-HIKI</t>
        </is>
      </c>
      <c r="D1347" t="inlineStr">
        <is>
          <t>SP-SL-KAZARI-H</t>
        </is>
      </c>
      <c r="E1347" t="inlineStr">
        <is>
          <t>25611-4</t>
        </is>
      </c>
      <c r="F1347" t="b">
        <v>1</v>
      </c>
      <c r="G1347" t="n">
        <v>195</v>
      </c>
      <c r="H1347" t="inlineStr">
        <is>
          <t>無印</t>
        </is>
      </c>
      <c r="I1347" t="n">
        <v>194</v>
      </c>
      <c r="J1347" t="inlineStr">
        <is>
          <t>P194|無印</t>
        </is>
      </c>
      <c r="K1347" t="inlineStr">
        <is>
          <t>同一価格表・前頁凡例を継承</t>
        </is>
      </c>
      <c r="L1347" t="inlineStr">
        <is>
          <t>202604_LIXIL_サーモスＬ_業務用資料集_完成品価格表.pdf</t>
        </is>
      </c>
      <c r="M1347" t="inlineStr">
        <is>
          <t>v0.6：同一価格表セクション内で凡例継承を確定。</t>
        </is>
      </c>
      <c r="N1347" t="inlineStr">
        <is>
          <t>https://drive.google.com/file/d/1YUN-mtWYs48YBUHJk0C3vJXnhjyZFHyf/view</t>
        </is>
      </c>
    </row>
    <row r="1348">
      <c r="A1348" s="42" t="inlineStr">
        <is>
          <t>GSC-SL-001345</t>
        </is>
      </c>
      <c r="B1348" t="inlineStr">
        <is>
          <t>SZ-SL-001345</t>
        </is>
      </c>
      <c r="C1348" t="inlineStr">
        <is>
          <t>WT-SL-KAZARI-HIKI</t>
        </is>
      </c>
      <c r="D1348" t="inlineStr">
        <is>
          <t>SP-SL-KAZARI-H</t>
        </is>
      </c>
      <c r="E1348" t="inlineStr">
        <is>
          <t>25613-2</t>
        </is>
      </c>
      <c r="F1348" t="b">
        <v>1</v>
      </c>
      <c r="G1348" t="n">
        <v>195</v>
      </c>
      <c r="H1348" t="inlineStr">
        <is>
          <t>●</t>
        </is>
      </c>
      <c r="I1348" t="n">
        <v>194</v>
      </c>
      <c r="J1348" t="inlineStr">
        <is>
          <t>P194|●</t>
        </is>
      </c>
      <c r="K1348" t="inlineStr">
        <is>
          <t>同一価格表・前頁凡例を継承</t>
        </is>
      </c>
      <c r="L1348" t="inlineStr">
        <is>
          <t>202604_LIXIL_サーモスＬ_業務用資料集_完成品価格表.pdf</t>
        </is>
      </c>
      <c r="M1348" t="inlineStr">
        <is>
          <t>v0.6：同一価格表セクション内で凡例継承を確定。</t>
        </is>
      </c>
      <c r="N1348" t="inlineStr">
        <is>
          <t>https://drive.google.com/file/d/1YUN-mtWYs48YBUHJk0C3vJXnhjyZFHyf/view</t>
        </is>
      </c>
    </row>
    <row r="1349">
      <c r="A1349" s="42" t="inlineStr">
        <is>
          <t>GSC-SL-001346</t>
        </is>
      </c>
      <c r="B1349" t="inlineStr">
        <is>
          <t>SZ-SL-001346</t>
        </is>
      </c>
      <c r="C1349" t="inlineStr">
        <is>
          <t>WT-SL-KAZARI-HIKI</t>
        </is>
      </c>
      <c r="D1349" t="inlineStr">
        <is>
          <t>SP-SL-KAZARI-H</t>
        </is>
      </c>
      <c r="E1349" t="inlineStr">
        <is>
          <t>25613-4</t>
        </is>
      </c>
      <c r="F1349" t="b">
        <v>1</v>
      </c>
      <c r="G1349" t="n">
        <v>195</v>
      </c>
      <c r="H1349" t="inlineStr">
        <is>
          <t>無印</t>
        </is>
      </c>
      <c r="I1349" t="n">
        <v>194</v>
      </c>
      <c r="J1349" t="inlineStr">
        <is>
          <t>P194|無印</t>
        </is>
      </c>
      <c r="K1349" t="inlineStr">
        <is>
          <t>同一価格表・前頁凡例を継承</t>
        </is>
      </c>
      <c r="L1349" t="inlineStr">
        <is>
          <t>202604_LIXIL_サーモスＬ_業務用資料集_完成品価格表.pdf</t>
        </is>
      </c>
      <c r="M1349" t="inlineStr">
        <is>
          <t>v0.6：同一価格表セクション内で凡例継承を確定。</t>
        </is>
      </c>
      <c r="N1349" t="inlineStr">
        <is>
          <t>https://drive.google.com/file/d/1YUN-mtWYs48YBUHJk0C3vJXnhjyZFHyf/view</t>
        </is>
      </c>
    </row>
    <row r="1350">
      <c r="A1350" s="42" t="inlineStr">
        <is>
          <t>GSC-SL-001347</t>
        </is>
      </c>
      <c r="B1350" t="inlineStr">
        <is>
          <t>SZ-SL-001347</t>
        </is>
      </c>
      <c r="C1350" t="inlineStr">
        <is>
          <t>WT-SL-KAZARI-HIKI</t>
        </is>
      </c>
      <c r="D1350" t="inlineStr">
        <is>
          <t>SP-SL-KAZARI-H</t>
        </is>
      </c>
      <c r="E1350" t="inlineStr">
        <is>
          <t>16518</t>
        </is>
      </c>
      <c r="F1350" t="b">
        <v>1</v>
      </c>
      <c r="G1350" t="n">
        <v>196</v>
      </c>
      <c r="H1350" t="inlineStr">
        <is>
          <t>無印</t>
        </is>
      </c>
      <c r="I1350" t="n">
        <v>196</v>
      </c>
      <c r="J1350" t="inlineStr">
        <is>
          <t>P196|無印</t>
        </is>
      </c>
      <c r="K1350" t="inlineStr">
        <is>
          <t>同頁凡例へ直接連動</t>
        </is>
      </c>
      <c r="L1350" t="inlineStr">
        <is>
          <t>202604_LIXIL_サーモスＬ_業務用資料集_完成品価格表.pdf</t>
        </is>
      </c>
      <c r="M1350" t="inlineStr">
        <is>
          <t>v0.6：同一価格表セクション内で凡例継承を確定。</t>
        </is>
      </c>
      <c r="N1350" t="inlineStr">
        <is>
          <t>https://drive.google.com/file/d/1YUN-mtWYs48YBUHJk0C3vJXnhjyZFHyf/view</t>
        </is>
      </c>
    </row>
    <row r="1351">
      <c r="A1351" s="42" t="inlineStr">
        <is>
          <t>GSC-SL-001348</t>
        </is>
      </c>
      <c r="B1351" t="inlineStr">
        <is>
          <t>SZ-SL-001348</t>
        </is>
      </c>
      <c r="C1351" t="inlineStr">
        <is>
          <t>WT-SL-KAZARI-HIKI</t>
        </is>
      </c>
      <c r="D1351" t="inlineStr">
        <is>
          <t>SP-SL-KAZARI-H</t>
        </is>
      </c>
      <c r="E1351" t="inlineStr">
        <is>
          <t>16520</t>
        </is>
      </c>
      <c r="F1351" t="b">
        <v>1</v>
      </c>
      <c r="G1351" t="n">
        <v>196</v>
      </c>
      <c r="H1351" t="inlineStr">
        <is>
          <t>★</t>
        </is>
      </c>
      <c r="I1351" t="n">
        <v>196</v>
      </c>
      <c r="J1351" t="inlineStr">
        <is>
          <t>P196|★</t>
        </is>
      </c>
      <c r="K1351" t="inlineStr">
        <is>
          <t>同頁凡例へ直接連動</t>
        </is>
      </c>
      <c r="L1351" t="inlineStr">
        <is>
          <t>202604_LIXIL_サーモスＬ_業務用資料集_完成品価格表.pdf</t>
        </is>
      </c>
      <c r="M1351" t="inlineStr">
        <is>
          <t>v0.6：同一価格表セクション内で凡例継承を確定。</t>
        </is>
      </c>
      <c r="N1351" t="inlineStr">
        <is>
          <t>https://drive.google.com/file/d/1YUN-mtWYs48YBUHJk0C3vJXnhjyZFHyf/view</t>
        </is>
      </c>
    </row>
    <row r="1352">
      <c r="A1352" s="42" t="inlineStr">
        <is>
          <t>GSC-SL-001349</t>
        </is>
      </c>
      <c r="B1352" t="inlineStr">
        <is>
          <t>SZ-SL-001349</t>
        </is>
      </c>
      <c r="C1352" t="inlineStr">
        <is>
          <t>WT-SL-KAZARI-HIKI</t>
        </is>
      </c>
      <c r="D1352" t="inlineStr">
        <is>
          <t>SP-SL-KAZARI-H</t>
        </is>
      </c>
      <c r="E1352" t="inlineStr">
        <is>
          <t>25618-2</t>
        </is>
      </c>
      <c r="F1352" t="b">
        <v>1</v>
      </c>
      <c r="G1352" t="n">
        <v>196</v>
      </c>
      <c r="H1352" t="inlineStr">
        <is>
          <t>○</t>
        </is>
      </c>
      <c r="I1352" t="n">
        <v>196</v>
      </c>
      <c r="J1352" t="inlineStr">
        <is>
          <t>P196|○</t>
        </is>
      </c>
      <c r="K1352" t="inlineStr">
        <is>
          <t>同頁凡例へ直接連動</t>
        </is>
      </c>
      <c r="L1352" t="inlineStr">
        <is>
          <t>202604_LIXIL_サーモスＬ_業務用資料集_完成品価格表.pdf</t>
        </is>
      </c>
      <c r="M1352" t="inlineStr">
        <is>
          <t>v0.6：同一価格表セクション内で凡例継承を確定。</t>
        </is>
      </c>
      <c r="N1352" t="inlineStr">
        <is>
          <t>https://drive.google.com/file/d/1YUN-mtWYs48YBUHJk0C3vJXnhjyZFHyf/view</t>
        </is>
      </c>
    </row>
    <row r="1353">
      <c r="A1353" s="42" t="inlineStr">
        <is>
          <t>GSC-SL-001350</t>
        </is>
      </c>
      <c r="B1353" t="inlineStr">
        <is>
          <t>SZ-SL-001350</t>
        </is>
      </c>
      <c r="C1353" t="inlineStr">
        <is>
          <t>WT-SL-KAZARI-HIKI</t>
        </is>
      </c>
      <c r="D1353" t="inlineStr">
        <is>
          <t>SP-SL-KAZARI-H</t>
        </is>
      </c>
      <c r="E1353" t="inlineStr">
        <is>
          <t>25618-4</t>
        </is>
      </c>
      <c r="F1353" t="b">
        <v>1</v>
      </c>
      <c r="G1353" t="n">
        <v>196</v>
      </c>
      <c r="H1353" t="inlineStr">
        <is>
          <t>無印</t>
        </is>
      </c>
      <c r="I1353" t="n">
        <v>196</v>
      </c>
      <c r="J1353" t="inlineStr">
        <is>
          <t>P196|無印</t>
        </is>
      </c>
      <c r="K1353" t="inlineStr">
        <is>
          <t>同頁凡例へ直接連動</t>
        </is>
      </c>
      <c r="L1353" t="inlineStr">
        <is>
          <t>202604_LIXIL_サーモスＬ_業務用資料集_完成品価格表.pdf</t>
        </is>
      </c>
      <c r="M1353" t="inlineStr">
        <is>
          <t>v0.6：同一価格表セクション内で凡例継承を確定。</t>
        </is>
      </c>
      <c r="N1353" t="inlineStr">
        <is>
          <t>https://drive.google.com/file/d/1YUN-mtWYs48YBUHJk0C3vJXnhjyZFHyf/view</t>
        </is>
      </c>
    </row>
    <row r="1354">
      <c r="A1354" s="42" t="inlineStr">
        <is>
          <t>GSC-SL-001351</t>
        </is>
      </c>
      <c r="B1354" t="inlineStr">
        <is>
          <t>SZ-SL-001351</t>
        </is>
      </c>
      <c r="C1354" t="inlineStr">
        <is>
          <t>WT-SL-KAZARI-HIKI</t>
        </is>
      </c>
      <c r="D1354" t="inlineStr">
        <is>
          <t>SP-SL-KAZARI-H</t>
        </is>
      </c>
      <c r="E1354" t="inlineStr">
        <is>
          <t>25620-2</t>
        </is>
      </c>
      <c r="F1354" t="b">
        <v>1</v>
      </c>
      <c r="G1354" t="n">
        <v>196</v>
      </c>
      <c r="H1354" t="inlineStr">
        <is>
          <t>○</t>
        </is>
      </c>
      <c r="I1354" t="n">
        <v>196</v>
      </c>
      <c r="J1354" t="inlineStr">
        <is>
          <t>P196|○</t>
        </is>
      </c>
      <c r="K1354" t="inlineStr">
        <is>
          <t>同頁凡例へ直接連動</t>
        </is>
      </c>
      <c r="L1354" t="inlineStr">
        <is>
          <t>202604_LIXIL_サーモスＬ_業務用資料集_完成品価格表.pdf</t>
        </is>
      </c>
      <c r="M1354" t="inlineStr">
        <is>
          <t>v0.6：同一価格表セクション内で凡例継承を確定。</t>
        </is>
      </c>
      <c r="N1354" t="inlineStr">
        <is>
          <t>https://drive.google.com/file/d/1YUN-mtWYs48YBUHJk0C3vJXnhjyZFHyf/view</t>
        </is>
      </c>
    </row>
    <row r="1355">
      <c r="A1355" s="42" t="inlineStr">
        <is>
          <t>GSC-SL-001352</t>
        </is>
      </c>
      <c r="B1355" t="inlineStr">
        <is>
          <t>SZ-SL-001352</t>
        </is>
      </c>
      <c r="C1355" t="inlineStr">
        <is>
          <t>WT-SL-KAZARI-HIKI</t>
        </is>
      </c>
      <c r="D1355" t="inlineStr">
        <is>
          <t>SP-SL-KAZARI-H</t>
        </is>
      </c>
      <c r="E1355" t="inlineStr">
        <is>
          <t>25620-4</t>
        </is>
      </c>
      <c r="F1355" t="b">
        <v>1</v>
      </c>
      <c r="G1355" t="n">
        <v>196</v>
      </c>
      <c r="H1355" t="inlineStr">
        <is>
          <t>無印</t>
        </is>
      </c>
      <c r="I1355" t="n">
        <v>196</v>
      </c>
      <c r="J1355" t="inlineStr">
        <is>
          <t>P196|無印</t>
        </is>
      </c>
      <c r="K1355" t="inlineStr">
        <is>
          <t>同頁凡例へ直接連動</t>
        </is>
      </c>
      <c r="L1355" t="inlineStr">
        <is>
          <t>202604_LIXIL_サーモスＬ_業務用資料集_完成品価格表.pdf</t>
        </is>
      </c>
      <c r="M1355" t="inlineStr">
        <is>
          <t>v0.6：同一価格表セクション内で凡例継承を確定。</t>
        </is>
      </c>
      <c r="N1355" t="inlineStr">
        <is>
          <t>https://drive.google.com/file/d/1YUN-mtWYs48YBUHJk0C3vJXnhjyZFHyf/view</t>
        </is>
      </c>
    </row>
    <row r="1356">
      <c r="A1356" s="42" t="inlineStr">
        <is>
          <t>GSC-SL-001353</t>
        </is>
      </c>
      <c r="B1356" t="inlineStr">
        <is>
          <t>SZ-SL-001353</t>
        </is>
      </c>
      <c r="C1356" t="inlineStr">
        <is>
          <t>WT-SL-KAZARI-HIKI</t>
        </is>
      </c>
      <c r="D1356" t="inlineStr">
        <is>
          <t>SP-SL-KAZARI-H</t>
        </is>
      </c>
      <c r="E1356" t="inlineStr">
        <is>
          <t>16522</t>
        </is>
      </c>
      <c r="F1356" t="b">
        <v>1</v>
      </c>
      <c r="G1356" t="n">
        <v>197</v>
      </c>
      <c r="H1356" t="inlineStr">
        <is>
          <t>★</t>
        </is>
      </c>
      <c r="I1356" t="n">
        <v>197</v>
      </c>
      <c r="J1356" t="inlineStr">
        <is>
          <t>P197|★</t>
        </is>
      </c>
      <c r="K1356" t="inlineStr">
        <is>
          <t>同頁凡例へ直接連動</t>
        </is>
      </c>
      <c r="L1356" t="inlineStr">
        <is>
          <t>202604_LIXIL_サーモスＬ_業務用資料集_完成品価格表.pdf</t>
        </is>
      </c>
      <c r="M1356" t="inlineStr">
        <is>
          <t>v0.6：同一価格表セクション内で凡例継承を確定。</t>
        </is>
      </c>
      <c r="N1356" t="inlineStr">
        <is>
          <t>https://drive.google.com/file/d/1YUN-mtWYs48YBUHJk0C3vJXnhjyZFHyf/view</t>
        </is>
      </c>
    </row>
    <row r="1357">
      <c r="A1357" s="42" t="inlineStr">
        <is>
          <t>GSC-SL-001354</t>
        </is>
      </c>
      <c r="B1357" t="inlineStr">
        <is>
          <t>SZ-SL-001354</t>
        </is>
      </c>
      <c r="C1357" t="inlineStr">
        <is>
          <t>WT-SL-KAZARI-HIKI</t>
        </is>
      </c>
      <c r="D1357" t="inlineStr">
        <is>
          <t>SP-SL-KAZARI-H</t>
        </is>
      </c>
      <c r="E1357" t="inlineStr">
        <is>
          <t>16524</t>
        </is>
      </c>
      <c r="F1357" t="b">
        <v>1</v>
      </c>
      <c r="G1357" t="n">
        <v>197</v>
      </c>
      <c r="H1357" t="inlineStr">
        <is>
          <t>★</t>
        </is>
      </c>
      <c r="I1357" t="n">
        <v>197</v>
      </c>
      <c r="J1357" t="inlineStr">
        <is>
          <t>P197|★</t>
        </is>
      </c>
      <c r="K1357" t="inlineStr">
        <is>
          <t>同頁凡例へ直接連動</t>
        </is>
      </c>
      <c r="L1357" t="inlineStr">
        <is>
          <t>202604_LIXIL_サーモスＬ_業務用資料集_完成品価格表.pdf</t>
        </is>
      </c>
      <c r="M1357" t="inlineStr">
        <is>
          <t>v0.6：同一価格表セクション内で凡例継承を確定。</t>
        </is>
      </c>
      <c r="N1357" t="inlineStr">
        <is>
          <t>https://drive.google.com/file/d/1YUN-mtWYs48YBUHJk0C3vJXnhjyZFHyf/view</t>
        </is>
      </c>
    </row>
    <row r="1358">
      <c r="A1358" s="42" t="inlineStr">
        <is>
          <t>GSC-SL-001355</t>
        </is>
      </c>
      <c r="B1358" t="inlineStr">
        <is>
          <t>SZ-SL-001355</t>
        </is>
      </c>
      <c r="C1358" t="inlineStr">
        <is>
          <t>WT-SL-KAZARI-HIKI</t>
        </is>
      </c>
      <c r="D1358" t="inlineStr">
        <is>
          <t>SP-SL-KAZARI-H</t>
        </is>
      </c>
      <c r="E1358" t="inlineStr">
        <is>
          <t>25622-2</t>
        </is>
      </c>
      <c r="F1358" t="b">
        <v>1</v>
      </c>
      <c r="G1358" t="n">
        <v>197</v>
      </c>
      <c r="H1358" t="inlineStr">
        <is>
          <t>○</t>
        </is>
      </c>
      <c r="I1358" t="n">
        <v>197</v>
      </c>
      <c r="J1358" t="inlineStr">
        <is>
          <t>P197|○</t>
        </is>
      </c>
      <c r="K1358" t="inlineStr">
        <is>
          <t>同頁凡例へ直接連動</t>
        </is>
      </c>
      <c r="L1358" t="inlineStr">
        <is>
          <t>202604_LIXIL_サーモスＬ_業務用資料集_完成品価格表.pdf</t>
        </is>
      </c>
      <c r="M1358" t="inlineStr">
        <is>
          <t>v0.6：同一価格表セクション内で凡例継承を確定。</t>
        </is>
      </c>
      <c r="N1358" t="inlineStr">
        <is>
          <t>https://drive.google.com/file/d/1YUN-mtWYs48YBUHJk0C3vJXnhjyZFHyf/view</t>
        </is>
      </c>
    </row>
    <row r="1359">
      <c r="A1359" s="42" t="inlineStr">
        <is>
          <t>GSC-SL-001356</t>
        </is>
      </c>
      <c r="B1359" t="inlineStr">
        <is>
          <t>SZ-SL-001356</t>
        </is>
      </c>
      <c r="C1359" t="inlineStr">
        <is>
          <t>WT-SL-KAZARI-HIKI</t>
        </is>
      </c>
      <c r="D1359" t="inlineStr">
        <is>
          <t>SP-SL-KAZARI-H</t>
        </is>
      </c>
      <c r="E1359" t="inlineStr">
        <is>
          <t>25622-4</t>
        </is>
      </c>
      <c r="F1359" t="b">
        <v>1</v>
      </c>
      <c r="G1359" t="n">
        <v>197</v>
      </c>
      <c r="H1359" t="inlineStr">
        <is>
          <t>★</t>
        </is>
      </c>
      <c r="I1359" t="n">
        <v>197</v>
      </c>
      <c r="J1359" t="inlineStr">
        <is>
          <t>P197|★</t>
        </is>
      </c>
      <c r="K1359" t="inlineStr">
        <is>
          <t>同頁凡例へ直接連動</t>
        </is>
      </c>
      <c r="L1359" t="inlineStr">
        <is>
          <t>202604_LIXIL_サーモスＬ_業務用資料集_完成品価格表.pdf</t>
        </is>
      </c>
      <c r="M1359" t="inlineStr">
        <is>
          <t>v0.6：同一価格表セクション内で凡例継承を確定。</t>
        </is>
      </c>
      <c r="N1359" t="inlineStr">
        <is>
          <t>https://drive.google.com/file/d/1YUN-mtWYs48YBUHJk0C3vJXnhjyZFHyf/view</t>
        </is>
      </c>
    </row>
    <row r="1360">
      <c r="A1360" s="42" t="inlineStr">
        <is>
          <t>GSC-SL-001357</t>
        </is>
      </c>
      <c r="B1360" t="inlineStr">
        <is>
          <t>SZ-SL-001357</t>
        </is>
      </c>
      <c r="C1360" t="inlineStr">
        <is>
          <t>WT-SL-KAZARI-HIKI</t>
        </is>
      </c>
      <c r="D1360" t="inlineStr">
        <is>
          <t>SP-SL-KAZARI-H</t>
        </is>
      </c>
      <c r="E1360" t="inlineStr">
        <is>
          <t>25624-2</t>
        </is>
      </c>
      <c r="F1360" t="b">
        <v>1</v>
      </c>
      <c r="G1360" t="n">
        <v>197</v>
      </c>
      <c r="H1360" t="inlineStr">
        <is>
          <t>△</t>
        </is>
      </c>
      <c r="I1360" t="n">
        <v>197</v>
      </c>
      <c r="J1360" t="inlineStr">
        <is>
          <t>P197|△</t>
        </is>
      </c>
      <c r="K1360" t="inlineStr">
        <is>
          <t>同頁凡例へ直接連動</t>
        </is>
      </c>
      <c r="L1360" t="inlineStr">
        <is>
          <t>202604_LIXIL_サーモスＬ_業務用資料集_完成品価格表.pdf</t>
        </is>
      </c>
      <c r="M1360" t="inlineStr">
        <is>
          <t>v0.6：同一価格表セクション内で凡例継承を確定。</t>
        </is>
      </c>
      <c r="N1360" t="inlineStr">
        <is>
          <t>https://drive.google.com/file/d/1YUN-mtWYs48YBUHJk0C3vJXnhjyZFHyf/view</t>
        </is>
      </c>
    </row>
    <row r="1361">
      <c r="A1361" s="42" t="inlineStr">
        <is>
          <t>GSC-SL-001358</t>
        </is>
      </c>
      <c r="B1361" t="inlineStr">
        <is>
          <t>SZ-SL-001358</t>
        </is>
      </c>
      <c r="C1361" t="inlineStr">
        <is>
          <t>WT-SL-KAZARI-HIKI</t>
        </is>
      </c>
      <c r="D1361" t="inlineStr">
        <is>
          <t>SP-SL-KAZARI-H</t>
        </is>
      </c>
      <c r="E1361" t="inlineStr">
        <is>
          <t>25624-4</t>
        </is>
      </c>
      <c r="F1361" t="b">
        <v>1</v>
      </c>
      <c r="G1361" t="n">
        <v>197</v>
      </c>
      <c r="H1361" t="inlineStr">
        <is>
          <t>★</t>
        </is>
      </c>
      <c r="I1361" t="n">
        <v>197</v>
      </c>
      <c r="J1361" t="inlineStr">
        <is>
          <t>P197|★</t>
        </is>
      </c>
      <c r="K1361" t="inlineStr">
        <is>
          <t>同頁凡例へ直接連動</t>
        </is>
      </c>
      <c r="L1361" t="inlineStr">
        <is>
          <t>202604_LIXIL_サーモスＬ_業務用資料集_完成品価格表.pdf</t>
        </is>
      </c>
      <c r="M1361" t="inlineStr">
        <is>
          <t>v0.6：同一価格表セクション内で凡例継承を確定。</t>
        </is>
      </c>
      <c r="N1361" t="inlineStr">
        <is>
          <t>https://drive.google.com/file/d/1YUN-mtWYs48YBUHJk0C3vJXnhjyZFHyf/view</t>
        </is>
      </c>
    </row>
    <row r="1362">
      <c r="A1362" s="42" t="inlineStr">
        <is>
          <t>GSC-SL-001359</t>
        </is>
      </c>
      <c r="B1362" t="inlineStr">
        <is>
          <t>SZ-SL-001359</t>
        </is>
      </c>
      <c r="C1362" t="inlineStr">
        <is>
          <t>WT-SL-KAZARI-HIKI</t>
        </is>
      </c>
      <c r="D1362" t="inlineStr">
        <is>
          <t>SP-SL-KAZARI-H</t>
        </is>
      </c>
      <c r="E1362" t="inlineStr">
        <is>
          <t>16018</t>
        </is>
      </c>
      <c r="F1362" t="b">
        <v>1</v>
      </c>
      <c r="G1362" t="n">
        <v>198</v>
      </c>
      <c r="H1362" t="inlineStr">
        <is>
          <t>無印</t>
        </is>
      </c>
      <c r="I1362" t="n">
        <v>198</v>
      </c>
      <c r="J1362" t="inlineStr">
        <is>
          <t>P198|無印</t>
        </is>
      </c>
      <c r="K1362" t="inlineStr">
        <is>
          <t>同頁凡例へ直接連動</t>
        </is>
      </c>
      <c r="L1362" t="inlineStr">
        <is>
          <t>202604_LIXIL_サーモスＬ_業務用資料集_完成品価格表.pdf</t>
        </is>
      </c>
      <c r="M1362" t="inlineStr">
        <is>
          <t>v0.6：同一価格表セクション内で凡例継承を確定。</t>
        </is>
      </c>
      <c r="N1362" t="inlineStr">
        <is>
          <t>https://drive.google.com/file/d/1YUN-mtWYs48YBUHJk0C3vJXnhjyZFHyf/view</t>
        </is>
      </c>
    </row>
    <row r="1363">
      <c r="A1363" s="42" t="inlineStr">
        <is>
          <t>GSC-SL-001360</t>
        </is>
      </c>
      <c r="B1363" t="inlineStr">
        <is>
          <t>SZ-SL-001360</t>
        </is>
      </c>
      <c r="C1363" t="inlineStr">
        <is>
          <t>WT-SL-KAZARI-HIKI</t>
        </is>
      </c>
      <c r="D1363" t="inlineStr">
        <is>
          <t>SP-SL-KAZARI-H</t>
        </is>
      </c>
      <c r="E1363" t="inlineStr">
        <is>
          <t>16020</t>
        </is>
      </c>
      <c r="F1363" t="b">
        <v>1</v>
      </c>
      <c r="G1363" t="n">
        <v>198</v>
      </c>
      <c r="H1363" t="inlineStr">
        <is>
          <t>○</t>
        </is>
      </c>
      <c r="I1363" t="n">
        <v>198</v>
      </c>
      <c r="J1363" t="inlineStr">
        <is>
          <t>P198|○</t>
        </is>
      </c>
      <c r="K1363" t="inlineStr">
        <is>
          <t>同頁凡例へ直接連動</t>
        </is>
      </c>
      <c r="L1363" t="inlineStr">
        <is>
          <t>202604_LIXIL_サーモスＬ_業務用資料集_完成品価格表.pdf</t>
        </is>
      </c>
      <c r="M1363" t="inlineStr">
        <is>
          <t>v0.6：同一価格表セクション内で凡例継承を確定。</t>
        </is>
      </c>
      <c r="N1363" t="inlineStr">
        <is>
          <t>https://drive.google.com/file/d/1YUN-mtWYs48YBUHJk0C3vJXnhjyZFHyf/view</t>
        </is>
      </c>
    </row>
    <row r="1364">
      <c r="A1364" s="42" t="inlineStr">
        <is>
          <t>GSC-SL-001361</t>
        </is>
      </c>
      <c r="B1364" t="inlineStr">
        <is>
          <t>SZ-SL-001361</t>
        </is>
      </c>
      <c r="C1364" t="inlineStr">
        <is>
          <t>WT-SL-KAZARI-HIKI</t>
        </is>
      </c>
      <c r="D1364" t="inlineStr">
        <is>
          <t>SP-SL-KAZARI-H</t>
        </is>
      </c>
      <c r="E1364" t="inlineStr">
        <is>
          <t>16022</t>
        </is>
      </c>
      <c r="F1364" t="b">
        <v>1</v>
      </c>
      <c r="G1364" t="n">
        <v>199</v>
      </c>
      <c r="H1364" t="inlineStr">
        <is>
          <t>★</t>
        </is>
      </c>
      <c r="I1364" t="n">
        <v>199</v>
      </c>
      <c r="J1364" t="inlineStr">
        <is>
          <t>P199|★</t>
        </is>
      </c>
      <c r="K1364" t="inlineStr">
        <is>
          <t>同頁凡例へ直接連動</t>
        </is>
      </c>
      <c r="L1364" t="inlineStr">
        <is>
          <t>202604_LIXIL_サーモスＬ_業務用資料集_完成品価格表.pdf</t>
        </is>
      </c>
      <c r="M1364" t="inlineStr">
        <is>
          <t>v0.6：同一価格表セクション内で凡例継承を確定。</t>
        </is>
      </c>
      <c r="N1364" t="inlineStr">
        <is>
          <t>https://drive.google.com/file/d/1YUN-mtWYs48YBUHJk0C3vJXnhjyZFHyf/view</t>
        </is>
      </c>
    </row>
    <row r="1365">
      <c r="A1365" s="42" t="inlineStr">
        <is>
          <t>GSC-SL-001362</t>
        </is>
      </c>
      <c r="B1365" t="inlineStr">
        <is>
          <t>SZ-SL-001362</t>
        </is>
      </c>
      <c r="C1365" t="inlineStr">
        <is>
          <t>WT-SL-KAZARI-HIKI</t>
        </is>
      </c>
      <c r="D1365" t="inlineStr">
        <is>
          <t>SP-SL-KAZARI-H</t>
        </is>
      </c>
      <c r="E1365" t="inlineStr">
        <is>
          <t>16024</t>
        </is>
      </c>
      <c r="F1365" t="b">
        <v>1</v>
      </c>
      <c r="G1365" t="n">
        <v>199</v>
      </c>
      <c r="H1365" t="inlineStr">
        <is>
          <t>★</t>
        </is>
      </c>
      <c r="I1365" t="n">
        <v>199</v>
      </c>
      <c r="J1365" t="inlineStr">
        <is>
          <t>P199|★</t>
        </is>
      </c>
      <c r="K1365" t="inlineStr">
        <is>
          <t>同頁凡例へ直接連動</t>
        </is>
      </c>
      <c r="L1365" t="inlineStr">
        <is>
          <t>202604_LIXIL_サーモスＬ_業務用資料集_完成品価格表.pdf</t>
        </is>
      </c>
      <c r="M1365" t="inlineStr">
        <is>
          <t>v0.6：同一価格表セクション内で凡例継承を確定。</t>
        </is>
      </c>
      <c r="N1365" t="inlineStr">
        <is>
          <t>https://drive.google.com/file/d/1YUN-mtWYs48YBUHJk0C3vJXnhjyZFHyf/view</t>
        </is>
      </c>
    </row>
    <row r="1366">
      <c r="A1366" s="42" t="inlineStr">
        <is>
          <t>GSC-SL-001363</t>
        </is>
      </c>
      <c r="B1366" t="inlineStr">
        <is>
          <t>SZ-SL-001363</t>
        </is>
      </c>
      <c r="C1366" t="inlineStr">
        <is>
          <t>WT-SL-KAZARI-HIKI</t>
        </is>
      </c>
      <c r="D1366" t="inlineStr">
        <is>
          <t>SP-SL-KAZARI-HK</t>
        </is>
      </c>
      <c r="E1366" t="inlineStr">
        <is>
          <t>25618</t>
        </is>
      </c>
      <c r="F1366" t="b">
        <v>1</v>
      </c>
      <c r="G1366" t="n">
        <v>202</v>
      </c>
      <c r="H1366" t="inlineStr">
        <is>
          <t>無印</t>
        </is>
      </c>
      <c r="I1366" t="n">
        <v>202</v>
      </c>
      <c r="J1366" t="inlineStr">
        <is>
          <t>P202|無印</t>
        </is>
      </c>
      <c r="K1366" t="inlineStr">
        <is>
          <t>同頁凡例へ直接連動</t>
        </is>
      </c>
      <c r="L1366" t="inlineStr">
        <is>
          <t>202604_LIXIL_サーモスＬ_業務用資料集_完成品価格表.pdf</t>
        </is>
      </c>
      <c r="M1366" t="inlineStr">
        <is>
          <t>v0.6：同一価格表セクション内で凡例継承を確定。</t>
        </is>
      </c>
      <c r="N1366" t="inlineStr">
        <is>
          <t>https://drive.google.com/file/d/1YUN-mtWYs48YBUHJk0C3vJXnhjyZFHyf/view</t>
        </is>
      </c>
    </row>
    <row r="1367">
      <c r="A1367" s="42" t="inlineStr">
        <is>
          <t>GSC-SL-001364</t>
        </is>
      </c>
      <c r="B1367" t="inlineStr">
        <is>
          <t>SZ-SL-001364</t>
        </is>
      </c>
      <c r="C1367" t="inlineStr">
        <is>
          <t>WT-SL-KAZARI-HIKI</t>
        </is>
      </c>
      <c r="D1367" t="inlineStr">
        <is>
          <t>SP-SL-KAZARI-HK</t>
        </is>
      </c>
      <c r="E1367" t="inlineStr">
        <is>
          <t>25620</t>
        </is>
      </c>
      <c r="F1367" t="b">
        <v>1</v>
      </c>
      <c r="G1367" t="n">
        <v>202</v>
      </c>
      <c r="H1367" t="inlineStr">
        <is>
          <t>★</t>
        </is>
      </c>
      <c r="I1367" t="n">
        <v>202</v>
      </c>
      <c r="J1367" t="inlineStr">
        <is>
          <t>P202|★</t>
        </is>
      </c>
      <c r="K1367" t="inlineStr">
        <is>
          <t>同頁凡例へ直接連動</t>
        </is>
      </c>
      <c r="L1367" t="inlineStr">
        <is>
          <t>202604_LIXIL_サーモスＬ_業務用資料集_完成品価格表.pdf</t>
        </is>
      </c>
      <c r="M1367" t="inlineStr">
        <is>
          <t>v0.6：同一価格表セクション内で凡例継承を確定。</t>
        </is>
      </c>
      <c r="N1367" t="inlineStr">
        <is>
          <t>https://drive.google.com/file/d/1YUN-mtWYs48YBUHJk0C3vJXnhjyZFHyf/view</t>
        </is>
      </c>
    </row>
    <row r="1368">
      <c r="A1368" s="42" t="inlineStr">
        <is>
          <t>GSC-SL-001365</t>
        </is>
      </c>
      <c r="B1368" t="inlineStr">
        <is>
          <t>SZ-SL-001365</t>
        </is>
      </c>
      <c r="C1368" t="inlineStr">
        <is>
          <t>WT-SL-KAZARI-HIKI</t>
        </is>
      </c>
      <c r="D1368" t="inlineStr">
        <is>
          <t>SP-SL-KAZARI-HK</t>
        </is>
      </c>
      <c r="E1368" t="inlineStr">
        <is>
          <t>25622</t>
        </is>
      </c>
      <c r="F1368" t="b">
        <v>1</v>
      </c>
      <c r="G1368" t="n">
        <v>202</v>
      </c>
      <c r="H1368" t="inlineStr">
        <is>
          <t>○</t>
        </is>
      </c>
      <c r="I1368" t="n">
        <v>202</v>
      </c>
      <c r="J1368" t="inlineStr">
        <is>
          <t>P202|○</t>
        </is>
      </c>
      <c r="K1368" t="inlineStr">
        <is>
          <t>同頁凡例へ直接連動</t>
        </is>
      </c>
      <c r="L1368" t="inlineStr">
        <is>
          <t>202604_LIXIL_サーモスＬ_業務用資料集_完成品価格表.pdf</t>
        </is>
      </c>
      <c r="M1368" t="inlineStr">
        <is>
          <t>v0.6：同一価格表セクション内で凡例継承を確定。</t>
        </is>
      </c>
      <c r="N1368" t="inlineStr">
        <is>
          <t>https://drive.google.com/file/d/1YUN-mtWYs48YBUHJk0C3vJXnhjyZFHyf/view</t>
        </is>
      </c>
    </row>
    <row r="1369">
      <c r="A1369" s="42" t="inlineStr">
        <is>
          <t>GSC-SL-001366</t>
        </is>
      </c>
      <c r="B1369" t="inlineStr">
        <is>
          <t>SZ-SL-001366</t>
        </is>
      </c>
      <c r="C1369" t="inlineStr">
        <is>
          <t>WT-SL-KAZARI-HIKI</t>
        </is>
      </c>
      <c r="D1369" t="inlineStr">
        <is>
          <t>SP-SL-KAZARI-HK</t>
        </is>
      </c>
      <c r="E1369" t="inlineStr">
        <is>
          <t>25624</t>
        </is>
      </c>
      <c r="F1369" t="b">
        <v>1</v>
      </c>
      <c r="G1369" t="n">
        <v>202</v>
      </c>
      <c r="H1369" t="inlineStr">
        <is>
          <t>△</t>
        </is>
      </c>
      <c r="I1369" t="n">
        <v>202</v>
      </c>
      <c r="J1369" t="inlineStr">
        <is>
          <t>P202|△</t>
        </is>
      </c>
      <c r="K1369" t="inlineStr">
        <is>
          <t>同頁凡例へ直接連動</t>
        </is>
      </c>
      <c r="L1369" t="inlineStr">
        <is>
          <t>202604_LIXIL_サーモスＬ_業務用資料集_完成品価格表.pdf</t>
        </is>
      </c>
      <c r="M1369" t="inlineStr">
        <is>
          <t>v0.6：同一価格表セクション内で凡例継承を確定。</t>
        </is>
      </c>
      <c r="N1369" t="inlineStr">
        <is>
          <t>https://drive.google.com/file/d/1YUN-mtWYs48YBUHJk0C3vJXnhjyZFHyf/view</t>
        </is>
      </c>
    </row>
    <row r="1370">
      <c r="A1370" s="42" t="inlineStr">
        <is>
          <t>GSC-SL-001367</t>
        </is>
      </c>
      <c r="B1370" t="inlineStr">
        <is>
          <t>SZ-SL-001367</t>
        </is>
      </c>
      <c r="C1370" t="inlineStr">
        <is>
          <t>WT-SL-KAZARI-HIKI</t>
        </is>
      </c>
      <c r="D1370" t="inlineStr">
        <is>
          <t>SP-SL-KAZARI-HKK</t>
        </is>
      </c>
      <c r="E1370" t="inlineStr">
        <is>
          <t>25609</t>
        </is>
      </c>
      <c r="F1370" t="b">
        <v>1</v>
      </c>
      <c r="G1370" t="n">
        <v>204</v>
      </c>
      <c r="H1370" t="inlineStr">
        <is>
          <t>○</t>
        </is>
      </c>
      <c r="I1370" t="n">
        <v>204</v>
      </c>
      <c r="J1370" t="inlineStr">
        <is>
          <t>P204|○</t>
        </is>
      </c>
      <c r="K1370" t="inlineStr">
        <is>
          <t>同頁凡例へ直接連動</t>
        </is>
      </c>
      <c r="L1370" t="inlineStr">
        <is>
          <t>202604_LIXIL_サーモスＬ_業務用資料集_完成品価格表.pdf</t>
        </is>
      </c>
      <c r="M1370" t="inlineStr">
        <is>
          <t>v0.6：同一価格表セクション内で凡例継承を確定。</t>
        </is>
      </c>
      <c r="N1370" t="inlineStr">
        <is>
          <t>https://drive.google.com/file/d/1YUN-mtWYs48YBUHJk0C3vJXnhjyZFHyf/view</t>
        </is>
      </c>
    </row>
    <row r="1371">
      <c r="A1371" s="42" t="inlineStr">
        <is>
          <t>GSC-SL-001368</t>
        </is>
      </c>
      <c r="B1371" t="inlineStr">
        <is>
          <t>SZ-SL-001368</t>
        </is>
      </c>
      <c r="C1371" t="inlineStr">
        <is>
          <t>WT-SL-KAZARI-HIKI</t>
        </is>
      </c>
      <c r="D1371" t="inlineStr">
        <is>
          <t>SP-SL-KAZARI-HKK</t>
        </is>
      </c>
      <c r="E1371" t="inlineStr">
        <is>
          <t>25611</t>
        </is>
      </c>
      <c r="F1371" t="b">
        <v>1</v>
      </c>
      <c r="G1371" t="n">
        <v>204</v>
      </c>
      <c r="H1371" t="inlineStr">
        <is>
          <t>☆</t>
        </is>
      </c>
      <c r="I1371" t="n">
        <v>204</v>
      </c>
      <c r="J1371" t="inlineStr">
        <is>
          <t>P204|☆</t>
        </is>
      </c>
      <c r="K1371" t="inlineStr">
        <is>
          <t>同頁凡例へ直接連動</t>
        </is>
      </c>
      <c r="L1371" t="inlineStr">
        <is>
          <t>202604_LIXIL_サーモスＬ_業務用資料集_完成品価格表.pdf</t>
        </is>
      </c>
      <c r="M1371" t="inlineStr">
        <is>
          <t>v0.6：同一価格表セクション内で凡例継承を確定。</t>
        </is>
      </c>
      <c r="N1371" t="inlineStr">
        <is>
          <t>https://drive.google.com/file/d/1YUN-mtWYs48YBUHJk0C3vJXnhjyZFHyf/view</t>
        </is>
      </c>
    </row>
    <row r="1372">
      <c r="A1372" s="42" t="inlineStr">
        <is>
          <t>GSC-SL-001369</t>
        </is>
      </c>
      <c r="B1372" t="inlineStr">
        <is>
          <t>SZ-SL-001369</t>
        </is>
      </c>
      <c r="C1372" t="inlineStr">
        <is>
          <t>WT-SL-KAZARI-HIKI</t>
        </is>
      </c>
      <c r="D1372" t="inlineStr">
        <is>
          <t>SP-SL-KAZARI-HKK</t>
        </is>
      </c>
      <c r="E1372" t="inlineStr">
        <is>
          <t>25613</t>
        </is>
      </c>
      <c r="F1372" t="b">
        <v>1</v>
      </c>
      <c r="G1372" t="n">
        <v>204</v>
      </c>
      <c r="H1372" t="inlineStr">
        <is>
          <t>●</t>
        </is>
      </c>
      <c r="I1372" t="n">
        <v>204</v>
      </c>
      <c r="J1372" t="inlineStr">
        <is>
          <t>P204|●</t>
        </is>
      </c>
      <c r="K1372" t="inlineStr">
        <is>
          <t>同頁凡例へ直接連動</t>
        </is>
      </c>
      <c r="L1372" t="inlineStr">
        <is>
          <t>202604_LIXIL_サーモスＬ_業務用資料集_完成品価格表.pdf</t>
        </is>
      </c>
      <c r="M1372" t="inlineStr">
        <is>
          <t>v0.6：同一価格表セクション内で凡例継承を確定。</t>
        </is>
      </c>
      <c r="N1372" t="inlineStr">
        <is>
          <t>https://drive.google.com/file/d/1YUN-mtWYs48YBUHJk0C3vJXnhjyZFHyf/view</t>
        </is>
      </c>
    </row>
    <row r="1373">
      <c r="A1373" s="42" t="inlineStr">
        <is>
          <t>GSC-SL-001370</t>
        </is>
      </c>
      <c r="B1373" t="inlineStr">
        <is>
          <t>SZ-SL-001370</t>
        </is>
      </c>
      <c r="C1373" t="inlineStr">
        <is>
          <t>WT-SL-KAZARI-HIKI</t>
        </is>
      </c>
      <c r="D1373" t="inlineStr">
        <is>
          <t>SP-SL-KAZARI-HKK</t>
        </is>
      </c>
      <c r="E1373" t="inlineStr">
        <is>
          <t>34718</t>
        </is>
      </c>
      <c r="F1373" t="b">
        <v>1</v>
      </c>
      <c r="G1373" t="n">
        <v>205</v>
      </c>
      <c r="H1373" t="inlineStr">
        <is>
          <t>●</t>
        </is>
      </c>
      <c r="I1373" t="n">
        <v>205</v>
      </c>
      <c r="J1373" t="inlineStr">
        <is>
          <t>P205|●</t>
        </is>
      </c>
      <c r="K1373" t="inlineStr">
        <is>
          <t>同頁凡例へ直接連動</t>
        </is>
      </c>
      <c r="L1373" t="inlineStr">
        <is>
          <t>202604_LIXIL_サーモスＬ_業務用資料集_完成品価格表.pdf</t>
        </is>
      </c>
      <c r="M1373" t="inlineStr">
        <is>
          <t>v0.6：同一価格表セクション内で凡例継承を確定。</t>
        </is>
      </c>
      <c r="N1373" t="inlineStr">
        <is>
          <t>https://drive.google.com/file/d/1YUN-mtWYs48YBUHJk0C3vJXnhjyZFHyf/view</t>
        </is>
      </c>
    </row>
    <row r="1374">
      <c r="A1374" s="42" t="inlineStr">
        <is>
          <t>GSC-SL-001371</t>
        </is>
      </c>
      <c r="B1374" t="inlineStr">
        <is>
          <t>SZ-SL-001371</t>
        </is>
      </c>
      <c r="C1374" t="inlineStr">
        <is>
          <t>WT-SL-KAZARI-HIKI</t>
        </is>
      </c>
      <c r="D1374" t="inlineStr">
        <is>
          <t>SP-SL-KAZARI-HKK</t>
        </is>
      </c>
      <c r="E1374" t="inlineStr">
        <is>
          <t>34720</t>
        </is>
      </c>
      <c r="F1374" t="b">
        <v>1</v>
      </c>
      <c r="G1374" t="n">
        <v>205</v>
      </c>
      <c r="H1374" t="inlineStr">
        <is>
          <t>○</t>
        </is>
      </c>
      <c r="I1374" t="n">
        <v>205</v>
      </c>
      <c r="J1374" t="inlineStr">
        <is>
          <t>P205|○</t>
        </is>
      </c>
      <c r="K1374" t="inlineStr">
        <is>
          <t>同頁凡例へ直接連動</t>
        </is>
      </c>
      <c r="L1374" t="inlineStr">
        <is>
          <t>202604_LIXIL_サーモスＬ_業務用資料集_完成品価格表.pdf</t>
        </is>
      </c>
      <c r="M1374" t="inlineStr">
        <is>
          <t>v0.6：同一価格表セクション内で凡例継承を確定。</t>
        </is>
      </c>
      <c r="N1374" t="inlineStr">
        <is>
          <t>https://drive.google.com/file/d/1YUN-mtWYs48YBUHJk0C3vJXnhjyZFHyf/view</t>
        </is>
      </c>
    </row>
    <row r="1375">
      <c r="A1375" s="42" t="inlineStr">
        <is>
          <t>GSC-SL-001372</t>
        </is>
      </c>
      <c r="B1375" t="inlineStr">
        <is>
          <t>SZ-SL-001372</t>
        </is>
      </c>
      <c r="C1375" t="inlineStr">
        <is>
          <t>WT-SL-TERRACE-DOOR</t>
        </is>
      </c>
      <c r="D1375" t="inlineStr">
        <is>
          <t>*</t>
        </is>
      </c>
      <c r="E1375" t="inlineStr">
        <is>
          <t>06018</t>
        </is>
      </c>
      <c r="F1375" t="b">
        <v>1</v>
      </c>
      <c r="G1375" t="n">
        <v>206</v>
      </c>
      <c r="H1375" t="inlineStr">
        <is>
          <t>無印</t>
        </is>
      </c>
      <c r="I1375" t="n">
        <v>206</v>
      </c>
      <c r="J1375" t="inlineStr">
        <is>
          <t>P206|無印</t>
        </is>
      </c>
      <c r="K1375" t="inlineStr">
        <is>
          <t>同頁凡例へ直接連動</t>
        </is>
      </c>
      <c r="L1375" t="inlineStr">
        <is>
          <t>202604_LIXIL_サーモスＬ_業務用資料集_完成品価格表.pdf</t>
        </is>
      </c>
      <c r="M1375" t="inlineStr">
        <is>
          <t>v0.6：同一価格表セクション内で凡例継承を確定。</t>
        </is>
      </c>
      <c r="N1375" t="inlineStr">
        <is>
          <t>https://drive.google.com/file/d/1YUN-mtWYs48YBUHJk0C3vJXnhjyZFHyf/view</t>
        </is>
      </c>
    </row>
    <row r="1376">
      <c r="A1376" s="42" t="inlineStr">
        <is>
          <t>GSC-SL-001373</t>
        </is>
      </c>
      <c r="B1376" t="inlineStr">
        <is>
          <t>SZ-SL-001373</t>
        </is>
      </c>
      <c r="C1376" t="inlineStr">
        <is>
          <t>WT-SL-TERRACE-DOOR</t>
        </is>
      </c>
      <c r="D1376" t="inlineStr">
        <is>
          <t>*</t>
        </is>
      </c>
      <c r="E1376" t="inlineStr">
        <is>
          <t>06020</t>
        </is>
      </c>
      <c r="F1376" t="b">
        <v>1</v>
      </c>
      <c r="G1376" t="n">
        <v>206</v>
      </c>
      <c r="H1376" t="inlineStr">
        <is>
          <t>★</t>
        </is>
      </c>
      <c r="I1376" t="n">
        <v>206</v>
      </c>
      <c r="J1376" t="inlineStr">
        <is>
          <t>P206|★</t>
        </is>
      </c>
      <c r="K1376" t="inlineStr">
        <is>
          <t>同頁凡例へ直接連動</t>
        </is>
      </c>
      <c r="L1376" t="inlineStr">
        <is>
          <t>202604_LIXIL_サーモスＬ_業務用資料集_完成品価格表.pdf</t>
        </is>
      </c>
      <c r="M1376" t="inlineStr">
        <is>
          <t>v0.6：同一価格表セクション内で凡例継承を確定。</t>
        </is>
      </c>
      <c r="N1376" t="inlineStr">
        <is>
          <t>https://drive.google.com/file/d/1YUN-mtWYs48YBUHJk0C3vJXnhjyZFHyf/view</t>
        </is>
      </c>
    </row>
    <row r="1377">
      <c r="A1377" s="42" t="inlineStr">
        <is>
          <t>GSC-SL-001374</t>
        </is>
      </c>
      <c r="B1377" t="inlineStr">
        <is>
          <t>SZ-SL-001374</t>
        </is>
      </c>
      <c r="C1377" t="inlineStr">
        <is>
          <t>WT-SL-TERRACE-DOOR</t>
        </is>
      </c>
      <c r="D1377" t="inlineStr">
        <is>
          <t>*</t>
        </is>
      </c>
      <c r="E1377" t="inlineStr">
        <is>
          <t>06022</t>
        </is>
      </c>
      <c r="F1377" t="b">
        <v>1</v>
      </c>
      <c r="G1377" t="n">
        <v>206</v>
      </c>
      <c r="H1377" t="inlineStr">
        <is>
          <t>★</t>
        </is>
      </c>
      <c r="I1377" t="n">
        <v>206</v>
      </c>
      <c r="J1377" t="inlineStr">
        <is>
          <t>P206|★</t>
        </is>
      </c>
      <c r="K1377" t="inlineStr">
        <is>
          <t>同頁凡例へ直接連動</t>
        </is>
      </c>
      <c r="L1377" t="inlineStr">
        <is>
          <t>202604_LIXIL_サーモスＬ_業務用資料集_完成品価格表.pdf</t>
        </is>
      </c>
      <c r="M1377" t="inlineStr">
        <is>
          <t>v0.6：同一価格表セクション内で凡例継承を確定。</t>
        </is>
      </c>
      <c r="N1377" t="inlineStr">
        <is>
          <t>https://drive.google.com/file/d/1YUN-mtWYs48YBUHJk0C3vJXnhjyZFHyf/view</t>
        </is>
      </c>
    </row>
    <row r="1378">
      <c r="A1378" s="42" t="inlineStr">
        <is>
          <t>GSC-SL-001375</t>
        </is>
      </c>
      <c r="B1378" t="inlineStr">
        <is>
          <t>SZ-SL-001375</t>
        </is>
      </c>
      <c r="C1378" t="inlineStr">
        <is>
          <t>WT-SL-TERRACE-DOOR</t>
        </is>
      </c>
      <c r="D1378" t="inlineStr">
        <is>
          <t>*</t>
        </is>
      </c>
      <c r="E1378" t="inlineStr">
        <is>
          <t>06024</t>
        </is>
      </c>
      <c r="F1378" t="b">
        <v>1</v>
      </c>
      <c r="G1378" t="n">
        <v>206</v>
      </c>
      <c r="H1378" t="inlineStr">
        <is>
          <t>無印</t>
        </is>
      </c>
      <c r="I1378" t="n">
        <v>206</v>
      </c>
      <c r="J1378" t="inlineStr">
        <is>
          <t>P206|無印</t>
        </is>
      </c>
      <c r="K1378" t="inlineStr">
        <is>
          <t>同頁凡例へ直接連動</t>
        </is>
      </c>
      <c r="L1378" t="inlineStr">
        <is>
          <t>202604_LIXIL_サーモスＬ_業務用資料集_完成品価格表.pdf</t>
        </is>
      </c>
      <c r="M1378" t="inlineStr">
        <is>
          <t>v0.6：同一価格表セクション内で凡例継承を確定。</t>
        </is>
      </c>
      <c r="N1378" t="inlineStr">
        <is>
          <t>https://drive.google.com/file/d/1YUN-mtWYs48YBUHJk0C3vJXnhjyZFHyf/view</t>
        </is>
      </c>
    </row>
    <row r="1379">
      <c r="A1379" s="42" t="inlineStr">
        <is>
          <t>GSC-SL-001376</t>
        </is>
      </c>
      <c r="B1379" t="inlineStr">
        <is>
          <t>SZ-SL-001376</t>
        </is>
      </c>
      <c r="C1379" t="inlineStr">
        <is>
          <t>WT-SL-TERRACE-DOOR</t>
        </is>
      </c>
      <c r="D1379" t="inlineStr">
        <is>
          <t>*</t>
        </is>
      </c>
      <c r="E1379" t="inlineStr">
        <is>
          <t>06918</t>
        </is>
      </c>
      <c r="F1379" t="b">
        <v>1</v>
      </c>
      <c r="G1379" t="n">
        <v>206</v>
      </c>
      <c r="H1379" t="inlineStr">
        <is>
          <t>★</t>
        </is>
      </c>
      <c r="I1379" t="n">
        <v>206</v>
      </c>
      <c r="J1379" t="inlineStr">
        <is>
          <t>P206|★</t>
        </is>
      </c>
      <c r="K1379" t="inlineStr">
        <is>
          <t>同頁凡例へ直接連動</t>
        </is>
      </c>
      <c r="L1379" t="inlineStr">
        <is>
          <t>202604_LIXIL_サーモスＬ_業務用資料集_完成品価格表.pdf</t>
        </is>
      </c>
      <c r="M1379" t="inlineStr">
        <is>
          <t>v0.6：同一価格表セクション内で凡例継承を確定。</t>
        </is>
      </c>
      <c r="N1379" t="inlineStr">
        <is>
          <t>https://drive.google.com/file/d/1YUN-mtWYs48YBUHJk0C3vJXnhjyZFHyf/view</t>
        </is>
      </c>
    </row>
    <row r="1380">
      <c r="A1380" s="42" t="inlineStr">
        <is>
          <t>GSC-SL-001377</t>
        </is>
      </c>
      <c r="B1380" t="inlineStr">
        <is>
          <t>SZ-SL-001377</t>
        </is>
      </c>
      <c r="C1380" t="inlineStr">
        <is>
          <t>WT-SL-TERRACE-DOOR</t>
        </is>
      </c>
      <c r="D1380" t="inlineStr">
        <is>
          <t>*</t>
        </is>
      </c>
      <c r="E1380" t="inlineStr">
        <is>
          <t>06920</t>
        </is>
      </c>
      <c r="F1380" t="b">
        <v>1</v>
      </c>
      <c r="G1380" t="n">
        <v>206</v>
      </c>
      <c r="H1380" t="inlineStr">
        <is>
          <t>★</t>
        </is>
      </c>
      <c r="I1380" t="n">
        <v>206</v>
      </c>
      <c r="J1380" t="inlineStr">
        <is>
          <t>P206|★</t>
        </is>
      </c>
      <c r="K1380" t="inlineStr">
        <is>
          <t>同頁凡例へ直接連動</t>
        </is>
      </c>
      <c r="L1380" t="inlineStr">
        <is>
          <t>202604_LIXIL_サーモスＬ_業務用資料集_完成品価格表.pdf</t>
        </is>
      </c>
      <c r="M1380" t="inlineStr">
        <is>
          <t>v0.6：同一価格表セクション内で凡例継承を確定。</t>
        </is>
      </c>
      <c r="N1380" t="inlineStr">
        <is>
          <t>https://drive.google.com/file/d/1YUN-mtWYs48YBUHJk0C3vJXnhjyZFHyf/view</t>
        </is>
      </c>
    </row>
    <row r="1381">
      <c r="A1381" s="42" t="inlineStr">
        <is>
          <t>GSC-SL-001378</t>
        </is>
      </c>
      <c r="B1381" t="inlineStr">
        <is>
          <t>SZ-SL-001378</t>
        </is>
      </c>
      <c r="C1381" t="inlineStr">
        <is>
          <t>WT-SL-TERRACE-DOOR</t>
        </is>
      </c>
      <c r="D1381" t="inlineStr">
        <is>
          <t>*</t>
        </is>
      </c>
      <c r="E1381" t="inlineStr">
        <is>
          <t>06922</t>
        </is>
      </c>
      <c r="F1381" t="b">
        <v>1</v>
      </c>
      <c r="G1381" t="n">
        <v>206</v>
      </c>
      <c r="H1381" t="inlineStr">
        <is>
          <t>☆</t>
        </is>
      </c>
      <c r="I1381" t="n">
        <v>206</v>
      </c>
      <c r="J1381" t="inlineStr">
        <is>
          <t>P206|☆</t>
        </is>
      </c>
      <c r="K1381" t="inlineStr">
        <is>
          <t>同頁凡例へ直接連動</t>
        </is>
      </c>
      <c r="L1381" t="inlineStr">
        <is>
          <t>202604_LIXIL_サーモスＬ_業務用資料集_完成品価格表.pdf</t>
        </is>
      </c>
      <c r="M1381" t="inlineStr">
        <is>
          <t>v0.6：同一価格表セクション内で凡例継承を確定。</t>
        </is>
      </c>
      <c r="N1381" t="inlineStr">
        <is>
          <t>https://drive.google.com/file/d/1YUN-mtWYs48YBUHJk0C3vJXnhjyZFHyf/view</t>
        </is>
      </c>
    </row>
    <row r="1382">
      <c r="A1382" s="42" t="inlineStr">
        <is>
          <t>GSC-SL-001379</t>
        </is>
      </c>
      <c r="B1382" t="inlineStr">
        <is>
          <t>SZ-SL-001379</t>
        </is>
      </c>
      <c r="C1382" t="inlineStr">
        <is>
          <t>WT-SL-TERRACE-DOOR</t>
        </is>
      </c>
      <c r="D1382" t="inlineStr">
        <is>
          <t>*</t>
        </is>
      </c>
      <c r="E1382" t="inlineStr">
        <is>
          <t>06924</t>
        </is>
      </c>
      <c r="F1382" t="b">
        <v>1</v>
      </c>
      <c r="G1382" t="n">
        <v>206</v>
      </c>
      <c r="H1382" t="inlineStr">
        <is>
          <t>○</t>
        </is>
      </c>
      <c r="I1382" t="n">
        <v>206</v>
      </c>
      <c r="J1382" t="inlineStr">
        <is>
          <t>P206|○</t>
        </is>
      </c>
      <c r="K1382" t="inlineStr">
        <is>
          <t>同頁凡例へ直接連動</t>
        </is>
      </c>
      <c r="L1382" t="inlineStr">
        <is>
          <t>202604_LIXIL_サーモスＬ_業務用資料集_完成品価格表.pdf</t>
        </is>
      </c>
      <c r="M1382" t="inlineStr">
        <is>
          <t>v0.6：同一価格表セクション内で凡例継承を確定。</t>
        </is>
      </c>
      <c r="N1382" t="inlineStr">
        <is>
          <t>https://drive.google.com/file/d/1YUN-mtWYs48YBUHJk0C3vJXnhjyZFHyf/view</t>
        </is>
      </c>
    </row>
    <row r="1383">
      <c r="A1383" s="42" t="inlineStr">
        <is>
          <t>GSC-SL-001380</t>
        </is>
      </c>
      <c r="B1383" t="inlineStr">
        <is>
          <t>SZ-SL-001380</t>
        </is>
      </c>
      <c r="C1383" t="inlineStr">
        <is>
          <t>WT-SL-TERRACE-DOOR</t>
        </is>
      </c>
      <c r="D1383" t="inlineStr">
        <is>
          <t>*</t>
        </is>
      </c>
      <c r="E1383" t="inlineStr">
        <is>
          <t>07418</t>
        </is>
      </c>
      <c r="F1383" t="b">
        <v>1</v>
      </c>
      <c r="G1383" t="n">
        <v>206</v>
      </c>
      <c r="H1383" t="inlineStr">
        <is>
          <t>★</t>
        </is>
      </c>
      <c r="I1383" t="n">
        <v>206</v>
      </c>
      <c r="J1383" t="inlineStr">
        <is>
          <t>P206|★</t>
        </is>
      </c>
      <c r="K1383" t="inlineStr">
        <is>
          <t>同頁凡例へ直接連動</t>
        </is>
      </c>
      <c r="L1383" t="inlineStr">
        <is>
          <t>202604_LIXIL_サーモスＬ_業務用資料集_完成品価格表.pdf</t>
        </is>
      </c>
      <c r="M1383" t="inlineStr">
        <is>
          <t>v0.6：同一価格表セクション内で凡例継承を確定。</t>
        </is>
      </c>
      <c r="N1383" t="inlineStr">
        <is>
          <t>https://drive.google.com/file/d/1YUN-mtWYs48YBUHJk0C3vJXnhjyZFHyf/view</t>
        </is>
      </c>
    </row>
    <row r="1384">
      <c r="A1384" s="42" t="inlineStr">
        <is>
          <t>GSC-SL-001381</t>
        </is>
      </c>
      <c r="B1384" t="inlineStr">
        <is>
          <t>SZ-SL-001381</t>
        </is>
      </c>
      <c r="C1384" t="inlineStr">
        <is>
          <t>WT-SL-TERRACE-DOOR</t>
        </is>
      </c>
      <c r="D1384" t="inlineStr">
        <is>
          <t>*</t>
        </is>
      </c>
      <c r="E1384" t="inlineStr">
        <is>
          <t>07420</t>
        </is>
      </c>
      <c r="F1384" t="b">
        <v>1</v>
      </c>
      <c r="G1384" t="n">
        <v>206</v>
      </c>
      <c r="H1384" t="inlineStr">
        <is>
          <t>☆</t>
        </is>
      </c>
      <c r="I1384" t="n">
        <v>206</v>
      </c>
      <c r="J1384" t="inlineStr">
        <is>
          <t>P206|☆</t>
        </is>
      </c>
      <c r="K1384" t="inlineStr">
        <is>
          <t>同頁凡例へ直接連動</t>
        </is>
      </c>
      <c r="L1384" t="inlineStr">
        <is>
          <t>202604_LIXIL_サーモスＬ_業務用資料集_完成品価格表.pdf</t>
        </is>
      </c>
      <c r="M1384" t="inlineStr">
        <is>
          <t>v0.6：同一価格表セクション内で凡例継承を確定。</t>
        </is>
      </c>
      <c r="N1384" t="inlineStr">
        <is>
          <t>https://drive.google.com/file/d/1YUN-mtWYs48YBUHJk0C3vJXnhjyZFHyf/view</t>
        </is>
      </c>
    </row>
    <row r="1385">
      <c r="A1385" s="42" t="inlineStr">
        <is>
          <t>GSC-SL-001382</t>
        </is>
      </c>
      <c r="B1385" t="inlineStr">
        <is>
          <t>SZ-SL-001382</t>
        </is>
      </c>
      <c r="C1385" t="inlineStr">
        <is>
          <t>WT-SL-TERRACE-DOOR</t>
        </is>
      </c>
      <c r="D1385" t="inlineStr">
        <is>
          <t>*</t>
        </is>
      </c>
      <c r="E1385" t="inlineStr">
        <is>
          <t>07422</t>
        </is>
      </c>
      <c r="F1385" t="b">
        <v>1</v>
      </c>
      <c r="G1385" t="n">
        <v>206</v>
      </c>
      <c r="H1385" t="inlineStr">
        <is>
          <t>無印</t>
        </is>
      </c>
      <c r="I1385" t="n">
        <v>206</v>
      </c>
      <c r="J1385" t="inlineStr">
        <is>
          <t>P206|無印</t>
        </is>
      </c>
      <c r="K1385" t="inlineStr">
        <is>
          <t>同頁凡例へ直接連動</t>
        </is>
      </c>
      <c r="L1385" t="inlineStr">
        <is>
          <t>202604_LIXIL_サーモスＬ_業務用資料集_完成品価格表.pdf</t>
        </is>
      </c>
      <c r="M1385" t="inlineStr">
        <is>
          <t>v0.6：同一価格表セクション内で凡例継承を確定。</t>
        </is>
      </c>
      <c r="N1385" t="inlineStr">
        <is>
          <t>https://drive.google.com/file/d/1YUN-mtWYs48YBUHJk0C3vJXnhjyZFHyf/view</t>
        </is>
      </c>
    </row>
    <row r="1386">
      <c r="A1386" s="42" t="inlineStr">
        <is>
          <t>GSC-SL-001383</t>
        </is>
      </c>
      <c r="B1386" t="inlineStr">
        <is>
          <t>SZ-SL-001383</t>
        </is>
      </c>
      <c r="C1386" t="inlineStr">
        <is>
          <t>WT-SL-TERRACE-DOOR</t>
        </is>
      </c>
      <c r="D1386" t="inlineStr">
        <is>
          <t>*</t>
        </is>
      </c>
      <c r="E1386" t="inlineStr">
        <is>
          <t>07424</t>
        </is>
      </c>
      <c r="F1386" t="b">
        <v>1</v>
      </c>
      <c r="G1386" t="n">
        <v>206</v>
      </c>
      <c r="H1386" t="inlineStr">
        <is>
          <t>○</t>
        </is>
      </c>
      <c r="I1386" t="n">
        <v>206</v>
      </c>
      <c r="J1386" t="inlineStr">
        <is>
          <t>P206|○</t>
        </is>
      </c>
      <c r="K1386" t="inlineStr">
        <is>
          <t>同頁凡例へ直接連動</t>
        </is>
      </c>
      <c r="L1386" t="inlineStr">
        <is>
          <t>202604_LIXIL_サーモスＬ_業務用資料集_完成品価格表.pdf</t>
        </is>
      </c>
      <c r="M1386" t="inlineStr">
        <is>
          <t>v0.6：同一価格表セクション内で凡例継承を確定。</t>
        </is>
      </c>
      <c r="N1386" t="inlineStr">
        <is>
          <t>https://drive.google.com/file/d/1YUN-mtWYs48YBUHJk0C3vJXnhjyZFHyf/view</t>
        </is>
      </c>
    </row>
    <row r="1387">
      <c r="A1387" s="42" t="inlineStr">
        <is>
          <t>GSC-SL-001384</t>
        </is>
      </c>
      <c r="B1387" t="inlineStr">
        <is>
          <t>SZ-SL-001384</t>
        </is>
      </c>
      <c r="C1387" t="inlineStr">
        <is>
          <t>WT-SL-KATTEGUCHI-VENT-FS</t>
        </is>
      </c>
      <c r="D1387" t="inlineStr">
        <is>
          <t>*</t>
        </is>
      </c>
      <c r="E1387" t="inlineStr">
        <is>
          <t>06018</t>
        </is>
      </c>
      <c r="F1387" t="b">
        <v>1</v>
      </c>
      <c r="G1387" t="n">
        <v>210</v>
      </c>
      <c r="H1387" t="inlineStr">
        <is>
          <t>無印</t>
        </is>
      </c>
      <c r="I1387" t="n">
        <v>210</v>
      </c>
      <c r="J1387" t="inlineStr">
        <is>
          <t>P210|無印</t>
        </is>
      </c>
      <c r="K1387" t="inlineStr">
        <is>
          <t>同頁凡例へ直接連動</t>
        </is>
      </c>
      <c r="L1387" t="inlineStr">
        <is>
          <t>202604_LIXIL_サーモスＬ_業務用資料集_完成品価格表.pdf</t>
        </is>
      </c>
      <c r="M1387" t="inlineStr">
        <is>
          <t>v0.6：同一価格表セクション内で凡例継承を確定。</t>
        </is>
      </c>
      <c r="N1387" t="inlineStr">
        <is>
          <t>https://drive.google.com/file/d/1YUN-mtWYs48YBUHJk0C3vJXnhjyZFHyf/view</t>
        </is>
      </c>
    </row>
    <row r="1388">
      <c r="A1388" s="42" t="inlineStr">
        <is>
          <t>GSC-SL-001385</t>
        </is>
      </c>
      <c r="B1388" t="inlineStr">
        <is>
          <t>SZ-SL-001385</t>
        </is>
      </c>
      <c r="C1388" t="inlineStr">
        <is>
          <t>WT-SL-KATTEGUCHI-VENT-FS</t>
        </is>
      </c>
      <c r="D1388" t="inlineStr">
        <is>
          <t>*</t>
        </is>
      </c>
      <c r="E1388" t="inlineStr">
        <is>
          <t>06918</t>
        </is>
      </c>
      <c r="F1388" t="b">
        <v>1</v>
      </c>
      <c r="G1388" t="n">
        <v>210</v>
      </c>
      <c r="H1388" t="inlineStr">
        <is>
          <t>無印</t>
        </is>
      </c>
      <c r="I1388" t="n">
        <v>210</v>
      </c>
      <c r="J1388" t="inlineStr">
        <is>
          <t>P210|無印</t>
        </is>
      </c>
      <c r="K1388" t="inlineStr">
        <is>
          <t>同頁凡例へ直接連動</t>
        </is>
      </c>
      <c r="L1388" t="inlineStr">
        <is>
          <t>202604_LIXIL_サーモスＬ_業務用資料集_完成品価格表.pdf</t>
        </is>
      </c>
      <c r="M1388" t="inlineStr">
        <is>
          <t>v0.6：同一価格表セクション内で凡例継承を確定。</t>
        </is>
      </c>
      <c r="N1388" t="inlineStr">
        <is>
          <t>https://drive.google.com/file/d/1YUN-mtWYs48YBUHJk0C3vJXnhjyZFHyf/view</t>
        </is>
      </c>
    </row>
    <row r="1389">
      <c r="A1389" s="42" t="inlineStr">
        <is>
          <t>GSC-SL-001386</t>
        </is>
      </c>
      <c r="B1389" t="inlineStr">
        <is>
          <t>SZ-SL-001386</t>
        </is>
      </c>
      <c r="C1389" t="inlineStr">
        <is>
          <t>WT-SL-KATTEGUCHI-VENT-FS</t>
        </is>
      </c>
      <c r="D1389" t="inlineStr">
        <is>
          <t>*</t>
        </is>
      </c>
      <c r="E1389" t="inlineStr">
        <is>
          <t>07418</t>
        </is>
      </c>
      <c r="F1389" t="b">
        <v>1</v>
      </c>
      <c r="G1389" t="n">
        <v>210</v>
      </c>
      <c r="H1389" t="inlineStr">
        <is>
          <t>無印</t>
        </is>
      </c>
      <c r="I1389" t="n">
        <v>210</v>
      </c>
      <c r="J1389" t="inlineStr">
        <is>
          <t>P210|無印</t>
        </is>
      </c>
      <c r="K1389" t="inlineStr">
        <is>
          <t>同頁凡例へ直接連動</t>
        </is>
      </c>
      <c r="L1389" t="inlineStr">
        <is>
          <t>202604_LIXIL_サーモスＬ_業務用資料集_完成品価格表.pdf</t>
        </is>
      </c>
      <c r="M1389" t="inlineStr">
        <is>
          <t>v0.6：同一価格表セクション内で凡例継承を確定。</t>
        </is>
      </c>
      <c r="N1389" t="inlineStr">
        <is>
          <t>https://drive.google.com/file/d/1YUN-mtWYs48YBUHJk0C3vJXnhjyZFHyf/view</t>
        </is>
      </c>
    </row>
    <row r="1390">
      <c r="A1390" s="42" t="inlineStr">
        <is>
          <t>GSC-SL-001387</t>
        </is>
      </c>
      <c r="B1390" t="inlineStr">
        <is>
          <t>SZ-SL-001387</t>
        </is>
      </c>
      <c r="C1390" t="inlineStr">
        <is>
          <t>WT-SL-KATTEGUCHI-VENT-FS</t>
        </is>
      </c>
      <c r="D1390" t="inlineStr">
        <is>
          <t>*</t>
        </is>
      </c>
      <c r="E1390" t="inlineStr">
        <is>
          <t>06020</t>
        </is>
      </c>
      <c r="F1390" t="b">
        <v>1</v>
      </c>
      <c r="G1390" t="n">
        <v>211</v>
      </c>
      <c r="H1390" t="inlineStr">
        <is>
          <t>無印</t>
        </is>
      </c>
      <c r="I1390" t="n">
        <v>211</v>
      </c>
      <c r="J1390" t="inlineStr">
        <is>
          <t>P211|無印</t>
        </is>
      </c>
      <c r="K1390" t="inlineStr">
        <is>
          <t>同頁凡例へ直接連動</t>
        </is>
      </c>
      <c r="L1390" t="inlineStr">
        <is>
          <t>202604_LIXIL_サーモスＬ_業務用資料集_完成品価格表.pdf</t>
        </is>
      </c>
      <c r="M1390" t="inlineStr">
        <is>
          <t>v0.6：同一価格表セクション内で凡例継承を確定。</t>
        </is>
      </c>
      <c r="N1390" t="inlineStr">
        <is>
          <t>https://drive.google.com/file/d/1YUN-mtWYs48YBUHJk0C3vJXnhjyZFHyf/view</t>
        </is>
      </c>
    </row>
    <row r="1391">
      <c r="A1391" s="42" t="inlineStr">
        <is>
          <t>GSC-SL-001388</t>
        </is>
      </c>
      <c r="B1391" t="inlineStr">
        <is>
          <t>SZ-SL-001388</t>
        </is>
      </c>
      <c r="C1391" t="inlineStr">
        <is>
          <t>WT-SL-KATTEGUCHI-VENT-FS</t>
        </is>
      </c>
      <c r="D1391" t="inlineStr">
        <is>
          <t>*</t>
        </is>
      </c>
      <c r="E1391" t="inlineStr">
        <is>
          <t>06920</t>
        </is>
      </c>
      <c r="F1391" t="b">
        <v>1</v>
      </c>
      <c r="G1391" t="n">
        <v>211</v>
      </c>
      <c r="H1391" t="inlineStr">
        <is>
          <t>無印</t>
        </is>
      </c>
      <c r="I1391" t="n">
        <v>211</v>
      </c>
      <c r="J1391" t="inlineStr">
        <is>
          <t>P211|無印</t>
        </is>
      </c>
      <c r="K1391" t="inlineStr">
        <is>
          <t>同頁凡例へ直接連動</t>
        </is>
      </c>
      <c r="L1391" t="inlineStr">
        <is>
          <t>202604_LIXIL_サーモスＬ_業務用資料集_完成品価格表.pdf</t>
        </is>
      </c>
      <c r="M1391" t="inlineStr">
        <is>
          <t>v0.6：同一価格表セクション内で凡例継承を確定。</t>
        </is>
      </c>
      <c r="N1391" t="inlineStr">
        <is>
          <t>https://drive.google.com/file/d/1YUN-mtWYs48YBUHJk0C3vJXnhjyZFHyf/view</t>
        </is>
      </c>
    </row>
    <row r="1392">
      <c r="A1392" s="42" t="inlineStr">
        <is>
          <t>GSC-SL-001389</t>
        </is>
      </c>
      <c r="B1392" t="inlineStr">
        <is>
          <t>SZ-SL-001389</t>
        </is>
      </c>
      <c r="C1392" t="inlineStr">
        <is>
          <t>WT-SL-KATTEGUCHI-VENT-FS</t>
        </is>
      </c>
      <c r="D1392" t="inlineStr">
        <is>
          <t>*</t>
        </is>
      </c>
      <c r="E1392" t="inlineStr">
        <is>
          <t>07420</t>
        </is>
      </c>
      <c r="F1392" t="b">
        <v>1</v>
      </c>
      <c r="G1392" t="n">
        <v>211</v>
      </c>
      <c r="H1392" t="inlineStr">
        <is>
          <t>無印</t>
        </is>
      </c>
      <c r="I1392" t="n">
        <v>211</v>
      </c>
      <c r="J1392" t="inlineStr">
        <is>
          <t>P211|無印</t>
        </is>
      </c>
      <c r="K1392" t="inlineStr">
        <is>
          <t>同頁凡例へ直接連動</t>
        </is>
      </c>
      <c r="L1392" t="inlineStr">
        <is>
          <t>202604_LIXIL_サーモスＬ_業務用資料集_完成品価格表.pdf</t>
        </is>
      </c>
      <c r="M1392" t="inlineStr">
        <is>
          <t>v0.6：同一価格表セクション内で凡例継承を確定。</t>
        </is>
      </c>
      <c r="N1392" t="inlineStr">
        <is>
          <t>https://drive.google.com/file/d/1YUN-mtWYs48YBUHJk0C3vJXnhjyZFHyf/view</t>
        </is>
      </c>
    </row>
    <row r="1393">
      <c r="A1393" s="42" t="inlineStr">
        <is>
          <t>GSC-SL-001390</t>
        </is>
      </c>
      <c r="B1393" t="inlineStr">
        <is>
          <t>SZ-SL-001390</t>
        </is>
      </c>
      <c r="C1393" t="inlineStr">
        <is>
          <t>WT-SL-KATTEGUCHI-VENT-FS</t>
        </is>
      </c>
      <c r="D1393" t="inlineStr">
        <is>
          <t>*</t>
        </is>
      </c>
      <c r="E1393" t="inlineStr">
        <is>
          <t>06022</t>
        </is>
      </c>
      <c r="F1393" t="b">
        <v>1</v>
      </c>
      <c r="G1393" t="n">
        <v>212</v>
      </c>
      <c r="H1393" t="inlineStr">
        <is>
          <t>無印</t>
        </is>
      </c>
      <c r="I1393" t="n">
        <v>212</v>
      </c>
      <c r="J1393" t="inlineStr">
        <is>
          <t>P212|無印</t>
        </is>
      </c>
      <c r="K1393" t="inlineStr">
        <is>
          <t>同頁凡例へ直接連動</t>
        </is>
      </c>
      <c r="L1393" t="inlineStr">
        <is>
          <t>202604_LIXIL_サーモスＬ_業務用資料集_完成品価格表.pdf</t>
        </is>
      </c>
      <c r="M1393" t="inlineStr">
        <is>
          <t>v0.6：同一価格表セクション内で凡例継承を確定。</t>
        </is>
      </c>
      <c r="N1393" t="inlineStr">
        <is>
          <t>https://drive.google.com/file/d/1YUN-mtWYs48YBUHJk0C3vJXnhjyZFHyf/view</t>
        </is>
      </c>
    </row>
    <row r="1394">
      <c r="A1394" s="42" t="inlineStr">
        <is>
          <t>GSC-SL-001391</t>
        </is>
      </c>
      <c r="B1394" t="inlineStr">
        <is>
          <t>SZ-SL-001391</t>
        </is>
      </c>
      <c r="C1394" t="inlineStr">
        <is>
          <t>WT-SL-KATTEGUCHI-VENT-FS</t>
        </is>
      </c>
      <c r="D1394" t="inlineStr">
        <is>
          <t>*</t>
        </is>
      </c>
      <c r="E1394" t="inlineStr">
        <is>
          <t>06922</t>
        </is>
      </c>
      <c r="F1394" t="b">
        <v>1</v>
      </c>
      <c r="G1394" t="n">
        <v>212</v>
      </c>
      <c r="H1394" t="inlineStr">
        <is>
          <t>無印</t>
        </is>
      </c>
      <c r="I1394" t="n">
        <v>212</v>
      </c>
      <c r="J1394" t="inlineStr">
        <is>
          <t>P212|無印</t>
        </is>
      </c>
      <c r="K1394" t="inlineStr">
        <is>
          <t>同頁凡例へ直接連動</t>
        </is>
      </c>
      <c r="L1394" t="inlineStr">
        <is>
          <t>202604_LIXIL_サーモスＬ_業務用資料集_完成品価格表.pdf</t>
        </is>
      </c>
      <c r="M1394" t="inlineStr">
        <is>
          <t>v0.6：同一価格表セクション内で凡例継承を確定。</t>
        </is>
      </c>
      <c r="N1394" t="inlineStr">
        <is>
          <t>https://drive.google.com/file/d/1YUN-mtWYs48YBUHJk0C3vJXnhjyZFHyf/view</t>
        </is>
      </c>
    </row>
    <row r="1395">
      <c r="A1395" s="42" t="inlineStr">
        <is>
          <t>GSC-SL-001392</t>
        </is>
      </c>
      <c r="B1395" t="inlineStr">
        <is>
          <t>SZ-SL-001392</t>
        </is>
      </c>
      <c r="C1395" t="inlineStr">
        <is>
          <t>WT-SL-KATTEGUCHI-VENT-FS</t>
        </is>
      </c>
      <c r="D1395" t="inlineStr">
        <is>
          <t>*</t>
        </is>
      </c>
      <c r="E1395" t="inlineStr">
        <is>
          <t>07422</t>
        </is>
      </c>
      <c r="F1395" t="b">
        <v>1</v>
      </c>
      <c r="G1395" t="n">
        <v>212</v>
      </c>
      <c r="H1395" t="inlineStr">
        <is>
          <t>無印</t>
        </is>
      </c>
      <c r="I1395" t="n">
        <v>212</v>
      </c>
      <c r="J1395" t="inlineStr">
        <is>
          <t>P212|無印</t>
        </is>
      </c>
      <c r="K1395" t="inlineStr">
        <is>
          <t>同頁凡例へ直接連動</t>
        </is>
      </c>
      <c r="L1395" t="inlineStr">
        <is>
          <t>202604_LIXIL_サーモスＬ_業務用資料集_完成品価格表.pdf</t>
        </is>
      </c>
      <c r="M1395" t="inlineStr">
        <is>
          <t>v0.6：同一価格表セクション内で凡例継承を確定。</t>
        </is>
      </c>
      <c r="N1395" t="inlineStr">
        <is>
          <t>https://drive.google.com/file/d/1YUN-mtWYs48YBUHJk0C3vJXnhjyZFHyf/view</t>
        </is>
      </c>
    </row>
    <row r="1396">
      <c r="A1396" s="42" t="inlineStr">
        <is>
          <t>GSC-SL-001393</t>
        </is>
      </c>
      <c r="B1396" t="inlineStr">
        <is>
          <t>SZ-SL-001393</t>
        </is>
      </c>
      <c r="C1396" t="inlineStr">
        <is>
          <t>WT-SL-KATTEGUCHI</t>
        </is>
      </c>
      <c r="D1396" t="inlineStr">
        <is>
          <t>*</t>
        </is>
      </c>
      <c r="E1396" t="inlineStr">
        <is>
          <t>06018</t>
        </is>
      </c>
      <c r="F1396" t="b">
        <v>1</v>
      </c>
      <c r="G1396" t="n">
        <v>220</v>
      </c>
      <c r="H1396" t="inlineStr">
        <is>
          <t>無印</t>
        </is>
      </c>
      <c r="I1396" t="n">
        <v>220</v>
      </c>
      <c r="J1396" t="inlineStr">
        <is>
          <t>P220|無印</t>
        </is>
      </c>
      <c r="K1396" t="inlineStr">
        <is>
          <t>同頁凡例へ直接連動</t>
        </is>
      </c>
      <c r="L1396" t="inlineStr">
        <is>
          <t>202604_LIXIL_サーモスＬ_業務用資料集_完成品価格表.pdf</t>
        </is>
      </c>
      <c r="M1396" t="inlineStr">
        <is>
          <t>v0.6：同一価格表セクション内で凡例継承を確定。</t>
        </is>
      </c>
      <c r="N1396" t="inlineStr">
        <is>
          <t>https://drive.google.com/file/d/1YUN-mtWYs48YBUHJk0C3vJXnhjyZFHyf/view</t>
        </is>
      </c>
    </row>
    <row r="1397">
      <c r="A1397" s="42" t="inlineStr">
        <is>
          <t>GSC-SL-001394</t>
        </is>
      </c>
      <c r="B1397" t="inlineStr">
        <is>
          <t>SZ-SL-001394</t>
        </is>
      </c>
      <c r="C1397" t="inlineStr">
        <is>
          <t>WT-SL-KATTEGUCHI</t>
        </is>
      </c>
      <c r="D1397" t="inlineStr">
        <is>
          <t>*</t>
        </is>
      </c>
      <c r="E1397" t="inlineStr">
        <is>
          <t>06020</t>
        </is>
      </c>
      <c r="F1397" t="b">
        <v>1</v>
      </c>
      <c r="G1397" t="n">
        <v>220</v>
      </c>
      <c r="H1397" t="inlineStr">
        <is>
          <t>無印</t>
        </is>
      </c>
      <c r="I1397" t="n">
        <v>220</v>
      </c>
      <c r="J1397" t="inlineStr">
        <is>
          <t>P220|無印</t>
        </is>
      </c>
      <c r="K1397" t="inlineStr">
        <is>
          <t>同頁凡例へ直接連動</t>
        </is>
      </c>
      <c r="L1397" t="inlineStr">
        <is>
          <t>202604_LIXIL_サーモスＬ_業務用資料集_完成品価格表.pdf</t>
        </is>
      </c>
      <c r="M1397" t="inlineStr">
        <is>
          <t>v0.6：同一価格表セクション内で凡例継承を確定。</t>
        </is>
      </c>
      <c r="N1397" t="inlineStr">
        <is>
          <t>https://drive.google.com/file/d/1YUN-mtWYs48YBUHJk0C3vJXnhjyZFHyf/view</t>
        </is>
      </c>
    </row>
    <row r="1398">
      <c r="A1398" s="42" t="inlineStr">
        <is>
          <t>GSC-SL-001395</t>
        </is>
      </c>
      <c r="B1398" t="inlineStr">
        <is>
          <t>SZ-SL-001395</t>
        </is>
      </c>
      <c r="C1398" t="inlineStr">
        <is>
          <t>WT-SL-KATTEGUCHI</t>
        </is>
      </c>
      <c r="D1398" t="inlineStr">
        <is>
          <t>*</t>
        </is>
      </c>
      <c r="E1398" t="inlineStr">
        <is>
          <t>06022</t>
        </is>
      </c>
      <c r="F1398" t="b">
        <v>1</v>
      </c>
      <c r="G1398" t="n">
        <v>220</v>
      </c>
      <c r="H1398" t="inlineStr">
        <is>
          <t>無印</t>
        </is>
      </c>
      <c r="I1398" t="n">
        <v>220</v>
      </c>
      <c r="J1398" t="inlineStr">
        <is>
          <t>P220|無印</t>
        </is>
      </c>
      <c r="K1398" t="inlineStr">
        <is>
          <t>同頁凡例へ直接連動</t>
        </is>
      </c>
      <c r="L1398" t="inlineStr">
        <is>
          <t>202604_LIXIL_サーモスＬ_業務用資料集_完成品価格表.pdf</t>
        </is>
      </c>
      <c r="M1398" t="inlineStr">
        <is>
          <t>v0.6：同一価格表セクション内で凡例継承を確定。</t>
        </is>
      </c>
      <c r="N1398" t="inlineStr">
        <is>
          <t>https://drive.google.com/file/d/1YUN-mtWYs48YBUHJk0C3vJXnhjyZFHyf/view</t>
        </is>
      </c>
    </row>
    <row r="1399">
      <c r="A1399" s="42" t="inlineStr">
        <is>
          <t>GSC-SL-001396</t>
        </is>
      </c>
      <c r="B1399" t="inlineStr">
        <is>
          <t>SZ-SL-001396</t>
        </is>
      </c>
      <c r="C1399" t="inlineStr">
        <is>
          <t>WT-SL-KATTEGUCHI</t>
        </is>
      </c>
      <c r="D1399" t="inlineStr">
        <is>
          <t>*</t>
        </is>
      </c>
      <c r="E1399" t="inlineStr">
        <is>
          <t>06918</t>
        </is>
      </c>
      <c r="F1399" t="b">
        <v>1</v>
      </c>
      <c r="G1399" t="n">
        <v>220</v>
      </c>
      <c r="H1399" t="inlineStr">
        <is>
          <t>無印</t>
        </is>
      </c>
      <c r="I1399" t="n">
        <v>220</v>
      </c>
      <c r="J1399" t="inlineStr">
        <is>
          <t>P220|無印</t>
        </is>
      </c>
      <c r="K1399" t="inlineStr">
        <is>
          <t>同頁凡例へ直接連動</t>
        </is>
      </c>
      <c r="L1399" t="inlineStr">
        <is>
          <t>202604_LIXIL_サーモスＬ_業務用資料集_完成品価格表.pdf</t>
        </is>
      </c>
      <c r="M1399" t="inlineStr">
        <is>
          <t>v0.6：同一価格表セクション内で凡例継承を確定。</t>
        </is>
      </c>
      <c r="N1399" t="inlineStr">
        <is>
          <t>https://drive.google.com/file/d/1YUN-mtWYs48YBUHJk0C3vJXnhjyZFHyf/view</t>
        </is>
      </c>
    </row>
    <row r="1400">
      <c r="A1400" s="42" t="inlineStr">
        <is>
          <t>GSC-SL-001397</t>
        </is>
      </c>
      <c r="B1400" t="inlineStr">
        <is>
          <t>SZ-SL-001397</t>
        </is>
      </c>
      <c r="C1400" t="inlineStr">
        <is>
          <t>WT-SL-KATTEGUCHI</t>
        </is>
      </c>
      <c r="D1400" t="inlineStr">
        <is>
          <t>*</t>
        </is>
      </c>
      <c r="E1400" t="inlineStr">
        <is>
          <t>06920</t>
        </is>
      </c>
      <c r="F1400" t="b">
        <v>1</v>
      </c>
      <c r="G1400" t="n">
        <v>220</v>
      </c>
      <c r="H1400" t="inlineStr">
        <is>
          <t>無印</t>
        </is>
      </c>
      <c r="I1400" t="n">
        <v>220</v>
      </c>
      <c r="J1400" t="inlineStr">
        <is>
          <t>P220|無印</t>
        </is>
      </c>
      <c r="K1400" t="inlineStr">
        <is>
          <t>同頁凡例へ直接連動</t>
        </is>
      </c>
      <c r="L1400" t="inlineStr">
        <is>
          <t>202604_LIXIL_サーモスＬ_業務用資料集_完成品価格表.pdf</t>
        </is>
      </c>
      <c r="M1400" t="inlineStr">
        <is>
          <t>v0.6：同一価格表セクション内で凡例継承を確定。</t>
        </is>
      </c>
      <c r="N1400" t="inlineStr">
        <is>
          <t>https://drive.google.com/file/d/1YUN-mtWYs48YBUHJk0C3vJXnhjyZFHyf/view</t>
        </is>
      </c>
    </row>
    <row r="1401">
      <c r="A1401" s="42" t="inlineStr">
        <is>
          <t>GSC-SL-001398</t>
        </is>
      </c>
      <c r="B1401" t="inlineStr">
        <is>
          <t>SZ-SL-001398</t>
        </is>
      </c>
      <c r="C1401" t="inlineStr">
        <is>
          <t>WT-SL-KATTEGUCHI</t>
        </is>
      </c>
      <c r="D1401" t="inlineStr">
        <is>
          <t>*</t>
        </is>
      </c>
      <c r="E1401" t="inlineStr">
        <is>
          <t>06922</t>
        </is>
      </c>
      <c r="F1401" t="b">
        <v>1</v>
      </c>
      <c r="G1401" t="n">
        <v>220</v>
      </c>
      <c r="H1401" t="inlineStr">
        <is>
          <t>無印</t>
        </is>
      </c>
      <c r="I1401" t="n">
        <v>220</v>
      </c>
      <c r="J1401" t="inlineStr">
        <is>
          <t>P220|無印</t>
        </is>
      </c>
      <c r="K1401" t="inlineStr">
        <is>
          <t>同頁凡例へ直接連動</t>
        </is>
      </c>
      <c r="L1401" t="inlineStr">
        <is>
          <t>202604_LIXIL_サーモスＬ_業務用資料集_完成品価格表.pdf</t>
        </is>
      </c>
      <c r="M1401" t="inlineStr">
        <is>
          <t>v0.6：同一価格表セクション内で凡例継承を確定。</t>
        </is>
      </c>
      <c r="N1401" t="inlineStr">
        <is>
          <t>https://drive.google.com/file/d/1YUN-mtWYs48YBUHJk0C3vJXnhjyZFHyf/view</t>
        </is>
      </c>
    </row>
    <row r="1402">
      <c r="A1402" s="42" t="inlineStr">
        <is>
          <t>GSC-SL-001399</t>
        </is>
      </c>
      <c r="B1402" t="inlineStr">
        <is>
          <t>SZ-SL-001399</t>
        </is>
      </c>
      <c r="C1402" t="inlineStr">
        <is>
          <t>WT-SL-KATTEGUCHI</t>
        </is>
      </c>
      <c r="D1402" t="inlineStr">
        <is>
          <t>*</t>
        </is>
      </c>
      <c r="E1402" t="inlineStr">
        <is>
          <t>07418</t>
        </is>
      </c>
      <c r="F1402" t="b">
        <v>1</v>
      </c>
      <c r="G1402" t="n">
        <v>220</v>
      </c>
      <c r="H1402" t="inlineStr">
        <is>
          <t>無印</t>
        </is>
      </c>
      <c r="I1402" t="n">
        <v>220</v>
      </c>
      <c r="J1402" t="inlineStr">
        <is>
          <t>P220|無印</t>
        </is>
      </c>
      <c r="K1402" t="inlineStr">
        <is>
          <t>同頁凡例へ直接連動</t>
        </is>
      </c>
      <c r="L1402" t="inlineStr">
        <is>
          <t>202604_LIXIL_サーモスＬ_業務用資料集_完成品価格表.pdf</t>
        </is>
      </c>
      <c r="M1402" t="inlineStr">
        <is>
          <t>v0.6：同一価格表セクション内で凡例継承を確定。</t>
        </is>
      </c>
      <c r="N1402" t="inlineStr">
        <is>
          <t>https://drive.google.com/file/d/1YUN-mtWYs48YBUHJk0C3vJXnhjyZFHyf/view</t>
        </is>
      </c>
    </row>
    <row r="1403">
      <c r="A1403" s="42" t="inlineStr">
        <is>
          <t>GSC-SL-001400</t>
        </is>
      </c>
      <c r="B1403" t="inlineStr">
        <is>
          <t>SZ-SL-001400</t>
        </is>
      </c>
      <c r="C1403" t="inlineStr">
        <is>
          <t>WT-SL-KATTEGUCHI</t>
        </is>
      </c>
      <c r="D1403" t="inlineStr">
        <is>
          <t>*</t>
        </is>
      </c>
      <c r="E1403" t="inlineStr">
        <is>
          <t>07420</t>
        </is>
      </c>
      <c r="F1403" t="b">
        <v>1</v>
      </c>
      <c r="G1403" t="n">
        <v>220</v>
      </c>
      <c r="H1403" t="inlineStr">
        <is>
          <t>無印</t>
        </is>
      </c>
      <c r="I1403" t="n">
        <v>220</v>
      </c>
      <c r="J1403" t="inlineStr">
        <is>
          <t>P220|無印</t>
        </is>
      </c>
      <c r="K1403" t="inlineStr">
        <is>
          <t>同頁凡例へ直接連動</t>
        </is>
      </c>
      <c r="L1403" t="inlineStr">
        <is>
          <t>202604_LIXIL_サーモスＬ_業務用資料集_完成品価格表.pdf</t>
        </is>
      </c>
      <c r="M1403" t="inlineStr">
        <is>
          <t>v0.6：同一価格表セクション内で凡例継承を確定。</t>
        </is>
      </c>
      <c r="N1403" t="inlineStr">
        <is>
          <t>https://drive.google.com/file/d/1YUN-mtWYs48YBUHJk0C3vJXnhjyZFHyf/view</t>
        </is>
      </c>
    </row>
    <row r="1404">
      <c r="A1404" s="42" t="inlineStr">
        <is>
          <t>GSC-SL-001401</t>
        </is>
      </c>
      <c r="B1404" t="inlineStr">
        <is>
          <t>SZ-SL-001401</t>
        </is>
      </c>
      <c r="C1404" t="inlineStr">
        <is>
          <t>WT-SL-KATTEGUCHI</t>
        </is>
      </c>
      <c r="D1404" t="inlineStr">
        <is>
          <t>*</t>
        </is>
      </c>
      <c r="E1404" t="inlineStr">
        <is>
          <t>07422</t>
        </is>
      </c>
      <c r="F1404" t="b">
        <v>1</v>
      </c>
      <c r="G1404" t="n">
        <v>220</v>
      </c>
      <c r="H1404" t="inlineStr">
        <is>
          <t>無印</t>
        </is>
      </c>
      <c r="I1404" t="n">
        <v>220</v>
      </c>
      <c r="J1404" t="inlineStr">
        <is>
          <t>P220|無印</t>
        </is>
      </c>
      <c r="K1404" t="inlineStr">
        <is>
          <t>同頁凡例へ直接連動</t>
        </is>
      </c>
      <c r="L1404" t="inlineStr">
        <is>
          <t>202604_LIXIL_サーモスＬ_業務用資料集_完成品価格表.pdf</t>
        </is>
      </c>
      <c r="M1404" t="inlineStr">
        <is>
          <t>v0.6：同一価格表セクション内で凡例継承を確定。</t>
        </is>
      </c>
      <c r="N1404" t="inlineStr">
        <is>
          <t>https://drive.google.com/file/d/1YUN-mtWYs48YBUHJk0C3vJXnhjyZFHyf/view</t>
        </is>
      </c>
    </row>
    <row r="1405">
      <c r="A1405" s="42" t="inlineStr">
        <is>
          <t>GSC-SL-001402</t>
        </is>
      </c>
      <c r="B1405" t="inlineStr">
        <is>
          <t>SZ-SL-001402</t>
        </is>
      </c>
      <c r="C1405" t="inlineStr">
        <is>
          <t>WT-SL-TATE-SUBERI</t>
        </is>
      </c>
      <c r="D1405" t="inlineStr">
        <is>
          <t>SP-SL-TATE-OP-T</t>
        </is>
      </c>
      <c r="E1405" t="inlineStr">
        <is>
          <t>02607</t>
        </is>
      </c>
      <c r="F1405" t="b">
        <v>1</v>
      </c>
      <c r="G1405" t="n">
        <v>114</v>
      </c>
      <c r="H1405" t="inlineStr">
        <is>
          <t>無印</t>
        </is>
      </c>
      <c r="I1405" t="n">
        <v>114</v>
      </c>
      <c r="J1405" t="inlineStr">
        <is>
          <t>P114|無印</t>
        </is>
      </c>
      <c r="K1405" t="inlineStr">
        <is>
          <t>同頁凡例へ直接連動</t>
        </is>
      </c>
      <c r="L1405" t="inlineStr">
        <is>
          <t>202604_LIXIL_サーモスＬ_業務用資料集_完成品価格表.pdf</t>
        </is>
      </c>
      <c r="M1405" t="inlineStr">
        <is>
          <t>v0.6：同一価格表セクション内で凡例継承を確定。</t>
        </is>
      </c>
      <c r="N1405" t="inlineStr">
        <is>
          <t>https://drive.google.com/file/d/1YUN-mtWYs48YBUHJk0C3vJXnhjyZFHyf/view</t>
        </is>
      </c>
    </row>
    <row r="1406">
      <c r="A1406" s="42" t="inlineStr">
        <is>
          <t>GSC-SL-001403</t>
        </is>
      </c>
      <c r="B1406" t="inlineStr">
        <is>
          <t>SZ-SL-001403</t>
        </is>
      </c>
      <c r="C1406" t="inlineStr">
        <is>
          <t>WT-SL-TATE-SUBERI</t>
        </is>
      </c>
      <c r="D1406" t="inlineStr">
        <is>
          <t>SP-SL-TATE-OP-T</t>
        </is>
      </c>
      <c r="E1406" t="inlineStr">
        <is>
          <t>02109</t>
        </is>
      </c>
      <c r="F1406" t="b">
        <v>1</v>
      </c>
      <c r="G1406" t="n">
        <v>114</v>
      </c>
      <c r="H1406" t="inlineStr">
        <is>
          <t>無印</t>
        </is>
      </c>
      <c r="I1406" t="n">
        <v>114</v>
      </c>
      <c r="J1406" t="inlineStr">
        <is>
          <t>P114|無印</t>
        </is>
      </c>
      <c r="K1406" t="inlineStr">
        <is>
          <t>同頁凡例へ直接連動</t>
        </is>
      </c>
      <c r="L1406" t="inlineStr">
        <is>
          <t>202604_LIXIL_サーモスＬ_業務用資料集_完成品価格表.pdf</t>
        </is>
      </c>
      <c r="M1406" t="inlineStr">
        <is>
          <t>v0.6：同一価格表セクション内で凡例継承を確定。</t>
        </is>
      </c>
      <c r="N1406" t="inlineStr">
        <is>
          <t>https://drive.google.com/file/d/1YUN-mtWYs48YBUHJk0C3vJXnhjyZFHyf/view</t>
        </is>
      </c>
    </row>
    <row r="1407">
      <c r="A1407" s="42" t="inlineStr">
        <is>
          <t>GSC-SL-001404</t>
        </is>
      </c>
      <c r="B1407" t="inlineStr">
        <is>
          <t>SZ-SL-001404</t>
        </is>
      </c>
      <c r="C1407" t="inlineStr">
        <is>
          <t>WT-SL-TATE-SUBERI</t>
        </is>
      </c>
      <c r="D1407" t="inlineStr">
        <is>
          <t>SP-SL-TATE-OP-T</t>
        </is>
      </c>
      <c r="E1407" t="inlineStr">
        <is>
          <t>02309</t>
        </is>
      </c>
      <c r="F1407" t="b">
        <v>1</v>
      </c>
      <c r="G1407" t="n">
        <v>114</v>
      </c>
      <c r="H1407" t="inlineStr">
        <is>
          <t>無印</t>
        </is>
      </c>
      <c r="I1407" t="n">
        <v>114</v>
      </c>
      <c r="J1407" t="inlineStr">
        <is>
          <t>P114|無印</t>
        </is>
      </c>
      <c r="K1407" t="inlineStr">
        <is>
          <t>同頁凡例へ直接連動</t>
        </is>
      </c>
      <c r="L1407" t="inlineStr">
        <is>
          <t>202604_LIXIL_サーモスＬ_業務用資料集_完成品価格表.pdf</t>
        </is>
      </c>
      <c r="M1407" t="inlineStr">
        <is>
          <t>v0.6：同一価格表セクション内で凡例継承を確定。</t>
        </is>
      </c>
      <c r="N1407" t="inlineStr">
        <is>
          <t>https://drive.google.com/file/d/1YUN-mtWYs48YBUHJk0C3vJXnhjyZFHyf/view</t>
        </is>
      </c>
    </row>
    <row r="1408">
      <c r="A1408" s="42" t="inlineStr">
        <is>
          <t>GSC-SL-001405</t>
        </is>
      </c>
      <c r="B1408" t="inlineStr">
        <is>
          <t>SZ-SL-001405</t>
        </is>
      </c>
      <c r="C1408" t="inlineStr">
        <is>
          <t>WT-SL-TATE-SUBERI</t>
        </is>
      </c>
      <c r="D1408" t="inlineStr">
        <is>
          <t>SP-SL-TATE-OP-T</t>
        </is>
      </c>
      <c r="E1408" t="inlineStr">
        <is>
          <t>02609</t>
        </is>
      </c>
      <c r="F1408" t="b">
        <v>1</v>
      </c>
      <c r="G1408" t="n">
        <v>114</v>
      </c>
      <c r="H1408" t="inlineStr">
        <is>
          <t>無印</t>
        </is>
      </c>
      <c r="I1408" t="n">
        <v>114</v>
      </c>
      <c r="J1408" t="inlineStr">
        <is>
          <t>P114|無印</t>
        </is>
      </c>
      <c r="K1408" t="inlineStr">
        <is>
          <t>同頁凡例へ直接連動</t>
        </is>
      </c>
      <c r="L1408" t="inlineStr">
        <is>
          <t>202604_LIXIL_サーモスＬ_業務用資料集_完成品価格表.pdf</t>
        </is>
      </c>
      <c r="M1408" t="inlineStr">
        <is>
          <t>v0.6：同一価格表セクション内で凡例継承を確定。</t>
        </is>
      </c>
      <c r="N1408" t="inlineStr">
        <is>
          <t>https://drive.google.com/file/d/1YUN-mtWYs48YBUHJk0C3vJXnhjyZFHyf/view</t>
        </is>
      </c>
    </row>
    <row r="1409">
      <c r="A1409" s="42" t="inlineStr">
        <is>
          <t>GSC-SL-001406</t>
        </is>
      </c>
      <c r="B1409" t="inlineStr">
        <is>
          <t>SZ-SL-001406</t>
        </is>
      </c>
      <c r="C1409" t="inlineStr">
        <is>
          <t>WT-SL-TATE-SUBERI</t>
        </is>
      </c>
      <c r="D1409" t="inlineStr">
        <is>
          <t>SP-SL-TATE-OP-T</t>
        </is>
      </c>
      <c r="E1409" t="inlineStr">
        <is>
          <t>02111</t>
        </is>
      </c>
      <c r="F1409" t="b">
        <v>1</v>
      </c>
      <c r="G1409" t="n">
        <v>114</v>
      </c>
      <c r="H1409" t="inlineStr">
        <is>
          <t>無印</t>
        </is>
      </c>
      <c r="I1409" t="n">
        <v>114</v>
      </c>
      <c r="J1409" t="inlineStr">
        <is>
          <t>P114|無印</t>
        </is>
      </c>
      <c r="K1409" t="inlineStr">
        <is>
          <t>同頁凡例へ直接連動</t>
        </is>
      </c>
      <c r="L1409" t="inlineStr">
        <is>
          <t>202604_LIXIL_サーモスＬ_業務用資料集_完成品価格表.pdf</t>
        </is>
      </c>
      <c r="M1409" t="inlineStr">
        <is>
          <t>v0.6：同一価格表セクション内で凡例継承を確定。</t>
        </is>
      </c>
      <c r="N1409" t="inlineStr">
        <is>
          <t>https://drive.google.com/file/d/1YUN-mtWYs48YBUHJk0C3vJXnhjyZFHyf/view</t>
        </is>
      </c>
    </row>
    <row r="1410">
      <c r="A1410" s="42" t="inlineStr">
        <is>
          <t>GSC-SL-001407</t>
        </is>
      </c>
      <c r="B1410" t="inlineStr">
        <is>
          <t>SZ-SL-001407</t>
        </is>
      </c>
      <c r="C1410" t="inlineStr">
        <is>
          <t>WT-SL-TATE-SUBERI</t>
        </is>
      </c>
      <c r="D1410" t="inlineStr">
        <is>
          <t>SP-SL-TATE-OP-T</t>
        </is>
      </c>
      <c r="E1410" t="inlineStr">
        <is>
          <t>02311</t>
        </is>
      </c>
      <c r="F1410" t="b">
        <v>1</v>
      </c>
      <c r="G1410" t="n">
        <v>114</v>
      </c>
      <c r="H1410" t="inlineStr">
        <is>
          <t>無印</t>
        </is>
      </c>
      <c r="I1410" t="n">
        <v>114</v>
      </c>
      <c r="J1410" t="inlineStr">
        <is>
          <t>P114|無印</t>
        </is>
      </c>
      <c r="K1410" t="inlineStr">
        <is>
          <t>同頁凡例へ直接連動</t>
        </is>
      </c>
      <c r="L1410" t="inlineStr">
        <is>
          <t>202604_LIXIL_サーモスＬ_業務用資料集_完成品価格表.pdf</t>
        </is>
      </c>
      <c r="M1410" t="inlineStr">
        <is>
          <t>v0.6：同一価格表セクション内で凡例継承を確定。</t>
        </is>
      </c>
      <c r="N1410" t="inlineStr">
        <is>
          <t>https://drive.google.com/file/d/1YUN-mtWYs48YBUHJk0C3vJXnhjyZFHyf/view</t>
        </is>
      </c>
    </row>
    <row r="1411">
      <c r="A1411" s="42" t="inlineStr">
        <is>
          <t>GSC-SL-001408</t>
        </is>
      </c>
      <c r="B1411" t="inlineStr">
        <is>
          <t>SZ-SL-001408</t>
        </is>
      </c>
      <c r="C1411" t="inlineStr">
        <is>
          <t>WT-SL-TATE-SUBERI</t>
        </is>
      </c>
      <c r="D1411" t="inlineStr">
        <is>
          <t>SP-SL-TATE-OP-T</t>
        </is>
      </c>
      <c r="E1411" t="inlineStr">
        <is>
          <t>02611</t>
        </is>
      </c>
      <c r="F1411" t="b">
        <v>1</v>
      </c>
      <c r="G1411" t="n">
        <v>114</v>
      </c>
      <c r="H1411" t="inlineStr">
        <is>
          <t>無印</t>
        </is>
      </c>
      <c r="I1411" t="n">
        <v>114</v>
      </c>
      <c r="J1411" t="inlineStr">
        <is>
          <t>P114|無印</t>
        </is>
      </c>
      <c r="K1411" t="inlineStr">
        <is>
          <t>同頁凡例へ直接連動</t>
        </is>
      </c>
      <c r="L1411" t="inlineStr">
        <is>
          <t>202604_LIXIL_サーモスＬ_業務用資料集_完成品価格表.pdf</t>
        </is>
      </c>
      <c r="M1411" t="inlineStr">
        <is>
          <t>v0.6：同一価格表セクション内で凡例継承を確定。</t>
        </is>
      </c>
      <c r="N1411" t="inlineStr">
        <is>
          <t>https://drive.google.com/file/d/1YUN-mtWYs48YBUHJk0C3vJXnhjyZFHyf/view</t>
        </is>
      </c>
    </row>
    <row r="1412">
      <c r="A1412" s="42" t="inlineStr">
        <is>
          <t>GSC-SL-001409</t>
        </is>
      </c>
      <c r="B1412" t="inlineStr">
        <is>
          <t>SZ-SL-001409</t>
        </is>
      </c>
      <c r="C1412" t="inlineStr">
        <is>
          <t>WT-SL-TATE-SUBERI</t>
        </is>
      </c>
      <c r="D1412" t="inlineStr">
        <is>
          <t>SP-SL-TATE-OP-T</t>
        </is>
      </c>
      <c r="E1412" t="inlineStr">
        <is>
          <t>02113</t>
        </is>
      </c>
      <c r="F1412" t="b">
        <v>1</v>
      </c>
      <c r="G1412" t="n">
        <v>114</v>
      </c>
      <c r="H1412" t="inlineStr">
        <is>
          <t>無印</t>
        </is>
      </c>
      <c r="I1412" t="n">
        <v>114</v>
      </c>
      <c r="J1412" t="inlineStr">
        <is>
          <t>P114|無印</t>
        </is>
      </c>
      <c r="K1412" t="inlineStr">
        <is>
          <t>同頁凡例へ直接連動</t>
        </is>
      </c>
      <c r="L1412" t="inlineStr">
        <is>
          <t>202604_LIXIL_サーモスＬ_業務用資料集_完成品価格表.pdf</t>
        </is>
      </c>
      <c r="M1412" t="inlineStr">
        <is>
          <t>v0.6：同一価格表セクション内で凡例継承を確定。</t>
        </is>
      </c>
      <c r="N1412" t="inlineStr">
        <is>
          <t>https://drive.google.com/file/d/1YUN-mtWYs48YBUHJk0C3vJXnhjyZFHyf/view</t>
        </is>
      </c>
    </row>
    <row r="1413">
      <c r="A1413" s="42" t="inlineStr">
        <is>
          <t>GSC-SL-001410</t>
        </is>
      </c>
      <c r="B1413" t="inlineStr">
        <is>
          <t>SZ-SL-001410</t>
        </is>
      </c>
      <c r="C1413" t="inlineStr">
        <is>
          <t>WT-SL-TATE-SUBERI</t>
        </is>
      </c>
      <c r="D1413" t="inlineStr">
        <is>
          <t>SP-SL-TATE-OP-T</t>
        </is>
      </c>
      <c r="E1413" t="inlineStr">
        <is>
          <t>02313</t>
        </is>
      </c>
      <c r="F1413" t="b">
        <v>1</v>
      </c>
      <c r="G1413" t="n">
        <v>114</v>
      </c>
      <c r="H1413" t="inlineStr">
        <is>
          <t>無印</t>
        </is>
      </c>
      <c r="I1413" t="n">
        <v>114</v>
      </c>
      <c r="J1413" t="inlineStr">
        <is>
          <t>P114|無印</t>
        </is>
      </c>
      <c r="K1413" t="inlineStr">
        <is>
          <t>同頁凡例へ直接連動</t>
        </is>
      </c>
      <c r="L1413" t="inlineStr">
        <is>
          <t>202604_LIXIL_サーモスＬ_業務用資料集_完成品価格表.pdf</t>
        </is>
      </c>
      <c r="M1413" t="inlineStr">
        <is>
          <t>v0.6：同一価格表セクション内で凡例継承を確定。</t>
        </is>
      </c>
      <c r="N1413" t="inlineStr">
        <is>
          <t>https://drive.google.com/file/d/1YUN-mtWYs48YBUHJk0C3vJXnhjyZFHyf/view</t>
        </is>
      </c>
    </row>
    <row r="1414">
      <c r="A1414" s="42" t="inlineStr">
        <is>
          <t>GSC-SL-001411</t>
        </is>
      </c>
      <c r="B1414" t="inlineStr">
        <is>
          <t>SZ-SL-001411</t>
        </is>
      </c>
      <c r="C1414" t="inlineStr">
        <is>
          <t>WT-SL-TATE-SUBERI</t>
        </is>
      </c>
      <c r="D1414" t="inlineStr">
        <is>
          <t>SP-SL-TATE-OP-T</t>
        </is>
      </c>
      <c r="E1414" t="inlineStr">
        <is>
          <t>02613</t>
        </is>
      </c>
      <c r="F1414" t="b">
        <v>1</v>
      </c>
      <c r="G1414" t="n">
        <v>114</v>
      </c>
      <c r="H1414" t="inlineStr">
        <is>
          <t>無印</t>
        </is>
      </c>
      <c r="I1414" t="n">
        <v>114</v>
      </c>
      <c r="J1414" t="inlineStr">
        <is>
          <t>P114|無印</t>
        </is>
      </c>
      <c r="K1414" t="inlineStr">
        <is>
          <t>同頁凡例へ直接連動</t>
        </is>
      </c>
      <c r="L1414" t="inlineStr">
        <is>
          <t>202604_LIXIL_サーモスＬ_業務用資料集_完成品価格表.pdf</t>
        </is>
      </c>
      <c r="M1414" t="inlineStr">
        <is>
          <t>v0.6：同一価格表セクション内で凡例継承を確定。</t>
        </is>
      </c>
      <c r="N1414" t="inlineStr">
        <is>
          <t>https://drive.google.com/file/d/1YUN-mtWYs48YBUHJk0C3vJXnhjyZFHyf/view</t>
        </is>
      </c>
    </row>
    <row r="1415">
      <c r="A1415" s="42" t="inlineStr">
        <is>
          <t>GSC-SL-001412</t>
        </is>
      </c>
      <c r="B1415" t="inlineStr">
        <is>
          <t>SZ-SL-001412</t>
        </is>
      </c>
      <c r="C1415" t="inlineStr">
        <is>
          <t>WT-SL-TATE-SUBERI</t>
        </is>
      </c>
      <c r="D1415" t="inlineStr">
        <is>
          <t>SP-SL-TATE-OP-T</t>
        </is>
      </c>
      <c r="E1415" t="inlineStr">
        <is>
          <t>02115</t>
        </is>
      </c>
      <c r="F1415" t="b">
        <v>1</v>
      </c>
      <c r="G1415" t="n">
        <v>114</v>
      </c>
      <c r="H1415" t="inlineStr">
        <is>
          <t>無印</t>
        </is>
      </c>
      <c r="I1415" t="n">
        <v>114</v>
      </c>
      <c r="J1415" t="inlineStr">
        <is>
          <t>P114|無印</t>
        </is>
      </c>
      <c r="K1415" t="inlineStr">
        <is>
          <t>同頁凡例へ直接連動</t>
        </is>
      </c>
      <c r="L1415" t="inlineStr">
        <is>
          <t>202604_LIXIL_サーモスＬ_業務用資料集_完成品価格表.pdf</t>
        </is>
      </c>
      <c r="M1415" t="inlineStr">
        <is>
          <t>v0.6：同一価格表セクション内で凡例継承を確定。</t>
        </is>
      </c>
      <c r="N1415" t="inlineStr">
        <is>
          <t>https://drive.google.com/file/d/1YUN-mtWYs48YBUHJk0C3vJXnhjyZFHyf/view</t>
        </is>
      </c>
    </row>
    <row r="1416">
      <c r="A1416" s="42" t="inlineStr">
        <is>
          <t>GSC-SL-001413</t>
        </is>
      </c>
      <c r="B1416" t="inlineStr">
        <is>
          <t>SZ-SL-001413</t>
        </is>
      </c>
      <c r="C1416" t="inlineStr">
        <is>
          <t>WT-SL-TATE-SUBERI</t>
        </is>
      </c>
      <c r="D1416" t="inlineStr">
        <is>
          <t>SP-SL-TATE-OP-T</t>
        </is>
      </c>
      <c r="E1416" t="inlineStr">
        <is>
          <t>02615</t>
        </is>
      </c>
      <c r="F1416" t="b">
        <v>1</v>
      </c>
      <c r="G1416" t="n">
        <v>114</v>
      </c>
      <c r="H1416" t="inlineStr">
        <is>
          <t>無印</t>
        </is>
      </c>
      <c r="I1416" t="n">
        <v>114</v>
      </c>
      <c r="J1416" t="inlineStr">
        <is>
          <t>P114|無印</t>
        </is>
      </c>
      <c r="K1416" t="inlineStr">
        <is>
          <t>同頁凡例へ直接連動</t>
        </is>
      </c>
      <c r="L1416" t="inlineStr">
        <is>
          <t>202604_LIXIL_サーモスＬ_業務用資料集_完成品価格表.pdf</t>
        </is>
      </c>
      <c r="M1416" t="inlineStr">
        <is>
          <t>v0.6：同一価格表セクション内で凡例継承を確定。</t>
        </is>
      </c>
      <c r="N1416" t="inlineStr">
        <is>
          <t>https://drive.google.com/file/d/1YUN-mtWYs48YBUHJk0C3vJXnhjyZFHyf/view</t>
        </is>
      </c>
    </row>
    <row r="1417">
      <c r="A1417" s="42" t="inlineStr">
        <is>
          <t>GSC-SL-001414</t>
        </is>
      </c>
      <c r="B1417" t="inlineStr">
        <is>
          <t>SZ-SL-001414</t>
        </is>
      </c>
      <c r="C1417" t="inlineStr">
        <is>
          <t>WT-SL-TATE-SUBERI</t>
        </is>
      </c>
      <c r="D1417" t="inlineStr">
        <is>
          <t>SP-SL-TATE-OP-T</t>
        </is>
      </c>
      <c r="E1417" t="inlineStr">
        <is>
          <t>03607</t>
        </is>
      </c>
      <c r="F1417" t="b">
        <v>1</v>
      </c>
      <c r="G1417" t="n">
        <v>115</v>
      </c>
      <c r="H1417" t="inlineStr">
        <is>
          <t>無印</t>
        </is>
      </c>
      <c r="I1417" t="n">
        <v>114</v>
      </c>
      <c r="J1417" t="inlineStr">
        <is>
          <t>P114|無印</t>
        </is>
      </c>
      <c r="K1417" t="inlineStr">
        <is>
          <t>同一価格表・前頁凡例を継承</t>
        </is>
      </c>
      <c r="L1417" t="inlineStr">
        <is>
          <t>202604_LIXIL_サーモスＬ_業務用資料集_完成品価格表.pdf</t>
        </is>
      </c>
      <c r="M1417" t="inlineStr">
        <is>
          <t>v0.6：同一価格表セクション内で凡例継承を確定。</t>
        </is>
      </c>
      <c r="N1417" t="inlineStr">
        <is>
          <t>https://drive.google.com/file/d/1YUN-mtWYs48YBUHJk0C3vJXnhjyZFHyf/view</t>
        </is>
      </c>
    </row>
    <row r="1418">
      <c r="A1418" s="42" t="inlineStr">
        <is>
          <t>GSC-SL-001415</t>
        </is>
      </c>
      <c r="B1418" t="inlineStr">
        <is>
          <t>SZ-SL-001415</t>
        </is>
      </c>
      <c r="C1418" t="inlineStr">
        <is>
          <t>WT-SL-TATE-SUBERI</t>
        </is>
      </c>
      <c r="D1418" t="inlineStr">
        <is>
          <t>SP-SL-TATE-OP-T</t>
        </is>
      </c>
      <c r="E1418" t="inlineStr">
        <is>
          <t>06007</t>
        </is>
      </c>
      <c r="F1418" t="b">
        <v>1</v>
      </c>
      <c r="G1418" t="n">
        <v>115</v>
      </c>
      <c r="H1418" t="inlineStr">
        <is>
          <t>無印</t>
        </is>
      </c>
      <c r="I1418" t="n">
        <v>114</v>
      </c>
      <c r="J1418" t="inlineStr">
        <is>
          <t>P114|無印</t>
        </is>
      </c>
      <c r="K1418" t="inlineStr">
        <is>
          <t>同一価格表・前頁凡例を継承</t>
        </is>
      </c>
      <c r="L1418" t="inlineStr">
        <is>
          <t>202604_LIXIL_サーモスＬ_業務用資料集_完成品価格表.pdf</t>
        </is>
      </c>
      <c r="M1418" t="inlineStr">
        <is>
          <t>v0.6：同一価格表セクション内で凡例継承を確定。</t>
        </is>
      </c>
      <c r="N1418" t="inlineStr">
        <is>
          <t>https://drive.google.com/file/d/1YUN-mtWYs48YBUHJk0C3vJXnhjyZFHyf/view</t>
        </is>
      </c>
    </row>
    <row r="1419">
      <c r="A1419" s="42" t="inlineStr">
        <is>
          <t>GSC-SL-001416</t>
        </is>
      </c>
      <c r="B1419" t="inlineStr">
        <is>
          <t>SZ-SL-001416</t>
        </is>
      </c>
      <c r="C1419" t="inlineStr">
        <is>
          <t>WT-SL-TATE-SUBERI</t>
        </is>
      </c>
      <c r="D1419" t="inlineStr">
        <is>
          <t>SP-SL-TATE-OP-T</t>
        </is>
      </c>
      <c r="E1419" t="inlineStr">
        <is>
          <t>03109</t>
        </is>
      </c>
      <c r="F1419" t="b">
        <v>1</v>
      </c>
      <c r="G1419" t="n">
        <v>115</v>
      </c>
      <c r="H1419" t="inlineStr">
        <is>
          <t>無印</t>
        </is>
      </c>
      <c r="I1419" t="n">
        <v>114</v>
      </c>
      <c r="J1419" t="inlineStr">
        <is>
          <t>P114|無印</t>
        </is>
      </c>
      <c r="K1419" t="inlineStr">
        <is>
          <t>同一価格表・前頁凡例を継承</t>
        </is>
      </c>
      <c r="L1419" t="inlineStr">
        <is>
          <t>202604_LIXIL_サーモスＬ_業務用資料集_完成品価格表.pdf</t>
        </is>
      </c>
      <c r="M1419" t="inlineStr">
        <is>
          <t>v0.6：同一価格表セクション内で凡例継承を確定。</t>
        </is>
      </c>
      <c r="N1419" t="inlineStr">
        <is>
          <t>https://drive.google.com/file/d/1YUN-mtWYs48YBUHJk0C3vJXnhjyZFHyf/view</t>
        </is>
      </c>
    </row>
    <row r="1420">
      <c r="A1420" s="42" t="inlineStr">
        <is>
          <t>GSC-SL-001417</t>
        </is>
      </c>
      <c r="B1420" t="inlineStr">
        <is>
          <t>SZ-SL-001417</t>
        </is>
      </c>
      <c r="C1420" t="inlineStr">
        <is>
          <t>WT-SL-TATE-SUBERI</t>
        </is>
      </c>
      <c r="D1420" t="inlineStr">
        <is>
          <t>SP-SL-TATE-OP-T</t>
        </is>
      </c>
      <c r="E1420" t="inlineStr">
        <is>
          <t>03609</t>
        </is>
      </c>
      <c r="F1420" t="b">
        <v>1</v>
      </c>
      <c r="G1420" t="n">
        <v>115</v>
      </c>
      <c r="H1420" t="inlineStr">
        <is>
          <t>無印</t>
        </is>
      </c>
      <c r="I1420" t="n">
        <v>114</v>
      </c>
      <c r="J1420" t="inlineStr">
        <is>
          <t>P114|無印</t>
        </is>
      </c>
      <c r="K1420" t="inlineStr">
        <is>
          <t>同一価格表・前頁凡例を継承</t>
        </is>
      </c>
      <c r="L1420" t="inlineStr">
        <is>
          <t>202604_LIXIL_サーモスＬ_業務用資料集_完成品価格表.pdf</t>
        </is>
      </c>
      <c r="M1420" t="inlineStr">
        <is>
          <t>v0.6：同一価格表セクション内で凡例継承を確定。</t>
        </is>
      </c>
      <c r="N1420" t="inlineStr">
        <is>
          <t>https://drive.google.com/file/d/1YUN-mtWYs48YBUHJk0C3vJXnhjyZFHyf/view</t>
        </is>
      </c>
    </row>
    <row r="1421">
      <c r="A1421" s="42" t="inlineStr">
        <is>
          <t>GSC-SL-001418</t>
        </is>
      </c>
      <c r="B1421" t="inlineStr">
        <is>
          <t>SZ-SL-001418</t>
        </is>
      </c>
      <c r="C1421" t="inlineStr">
        <is>
          <t>WT-SL-TATE-SUBERI</t>
        </is>
      </c>
      <c r="D1421" t="inlineStr">
        <is>
          <t>SP-SL-TATE-OP-T</t>
        </is>
      </c>
      <c r="E1421" t="inlineStr">
        <is>
          <t>06009</t>
        </is>
      </c>
      <c r="F1421" t="b">
        <v>1</v>
      </c>
      <c r="G1421" t="n">
        <v>115</v>
      </c>
      <c r="H1421" t="inlineStr">
        <is>
          <t>無印</t>
        </is>
      </c>
      <c r="I1421" t="n">
        <v>114</v>
      </c>
      <c r="J1421" t="inlineStr">
        <is>
          <t>P114|無印</t>
        </is>
      </c>
      <c r="K1421" t="inlineStr">
        <is>
          <t>同一価格表・前頁凡例を継承</t>
        </is>
      </c>
      <c r="L1421" t="inlineStr">
        <is>
          <t>202604_LIXIL_サーモスＬ_業務用資料集_完成品価格表.pdf</t>
        </is>
      </c>
      <c r="M1421" t="inlineStr">
        <is>
          <t>v0.6：同一価格表セクション内で凡例継承を確定。</t>
        </is>
      </c>
      <c r="N1421" t="inlineStr">
        <is>
          <t>https://drive.google.com/file/d/1YUN-mtWYs48YBUHJk0C3vJXnhjyZFHyf/view</t>
        </is>
      </c>
    </row>
    <row r="1422">
      <c r="A1422" s="42" t="inlineStr">
        <is>
          <t>GSC-SL-001419</t>
        </is>
      </c>
      <c r="B1422" t="inlineStr">
        <is>
          <t>SZ-SL-001419</t>
        </is>
      </c>
      <c r="C1422" t="inlineStr">
        <is>
          <t>WT-SL-TATE-SUBERI</t>
        </is>
      </c>
      <c r="D1422" t="inlineStr">
        <is>
          <t>SP-SL-TATE-OP-T</t>
        </is>
      </c>
      <c r="E1422" t="inlineStr">
        <is>
          <t>03111</t>
        </is>
      </c>
      <c r="F1422" t="b">
        <v>1</v>
      </c>
      <c r="G1422" t="n">
        <v>115</v>
      </c>
      <c r="H1422" t="inlineStr">
        <is>
          <t>無印</t>
        </is>
      </c>
      <c r="I1422" t="n">
        <v>114</v>
      </c>
      <c r="J1422" t="inlineStr">
        <is>
          <t>P114|無印</t>
        </is>
      </c>
      <c r="K1422" t="inlineStr">
        <is>
          <t>同一価格表・前頁凡例を継承</t>
        </is>
      </c>
      <c r="L1422" t="inlineStr">
        <is>
          <t>202604_LIXIL_サーモスＬ_業務用資料集_完成品価格表.pdf</t>
        </is>
      </c>
      <c r="M1422" t="inlineStr">
        <is>
          <t>v0.6：同一価格表セクション内で凡例継承を確定。</t>
        </is>
      </c>
      <c r="N1422" t="inlineStr">
        <is>
          <t>https://drive.google.com/file/d/1YUN-mtWYs48YBUHJk0C3vJXnhjyZFHyf/view</t>
        </is>
      </c>
    </row>
    <row r="1423">
      <c r="A1423" s="42" t="inlineStr">
        <is>
          <t>GSC-SL-001420</t>
        </is>
      </c>
      <c r="B1423" t="inlineStr">
        <is>
          <t>SZ-SL-001420</t>
        </is>
      </c>
      <c r="C1423" t="inlineStr">
        <is>
          <t>WT-SL-TATE-SUBERI</t>
        </is>
      </c>
      <c r="D1423" t="inlineStr">
        <is>
          <t>SP-SL-TATE-OP-T</t>
        </is>
      </c>
      <c r="E1423" t="inlineStr">
        <is>
          <t>03611</t>
        </is>
      </c>
      <c r="F1423" t="b">
        <v>1</v>
      </c>
      <c r="G1423" t="n">
        <v>115</v>
      </c>
      <c r="H1423" t="inlineStr">
        <is>
          <t>無印</t>
        </is>
      </c>
      <c r="I1423" t="n">
        <v>114</v>
      </c>
      <c r="J1423" t="inlineStr">
        <is>
          <t>P114|無印</t>
        </is>
      </c>
      <c r="K1423" t="inlineStr">
        <is>
          <t>同一価格表・前頁凡例を継承</t>
        </is>
      </c>
      <c r="L1423" t="inlineStr">
        <is>
          <t>202604_LIXIL_サーモスＬ_業務用資料集_完成品価格表.pdf</t>
        </is>
      </c>
      <c r="M1423" t="inlineStr">
        <is>
          <t>v0.6：同一価格表セクション内で凡例継承を確定。</t>
        </is>
      </c>
      <c r="N1423" t="inlineStr">
        <is>
          <t>https://drive.google.com/file/d/1YUN-mtWYs48YBUHJk0C3vJXnhjyZFHyf/view</t>
        </is>
      </c>
    </row>
    <row r="1424">
      <c r="A1424" s="42" t="inlineStr">
        <is>
          <t>GSC-SL-001421</t>
        </is>
      </c>
      <c r="B1424" t="inlineStr">
        <is>
          <t>SZ-SL-001421</t>
        </is>
      </c>
      <c r="C1424" t="inlineStr">
        <is>
          <t>WT-SL-TATE-SUBERI</t>
        </is>
      </c>
      <c r="D1424" t="inlineStr">
        <is>
          <t>SP-SL-TATE-OP-T</t>
        </is>
      </c>
      <c r="E1424" t="inlineStr">
        <is>
          <t>06011</t>
        </is>
      </c>
      <c r="F1424" t="b">
        <v>1</v>
      </c>
      <c r="G1424" t="n">
        <v>115</v>
      </c>
      <c r="H1424" t="inlineStr">
        <is>
          <t>無印</t>
        </is>
      </c>
      <c r="I1424" t="n">
        <v>114</v>
      </c>
      <c r="J1424" t="inlineStr">
        <is>
          <t>P114|無印</t>
        </is>
      </c>
      <c r="K1424" t="inlineStr">
        <is>
          <t>同一価格表・前頁凡例を継承</t>
        </is>
      </c>
      <c r="L1424" t="inlineStr">
        <is>
          <t>202604_LIXIL_サーモスＬ_業務用資料集_完成品価格表.pdf</t>
        </is>
      </c>
      <c r="M1424" t="inlineStr">
        <is>
          <t>v0.6：同一価格表セクション内で凡例継承を確定。</t>
        </is>
      </c>
      <c r="N1424" t="inlineStr">
        <is>
          <t>https://drive.google.com/file/d/1YUN-mtWYs48YBUHJk0C3vJXnhjyZFHyf/view</t>
        </is>
      </c>
    </row>
    <row r="1425">
      <c r="A1425" s="42" t="inlineStr">
        <is>
          <t>GSC-SL-001422</t>
        </is>
      </c>
      <c r="B1425" t="inlineStr">
        <is>
          <t>SZ-SL-001422</t>
        </is>
      </c>
      <c r="C1425" t="inlineStr">
        <is>
          <t>WT-SL-TATE-SUBERI</t>
        </is>
      </c>
      <c r="D1425" t="inlineStr">
        <is>
          <t>SP-SL-TATE-OP-T</t>
        </is>
      </c>
      <c r="E1425" t="inlineStr">
        <is>
          <t>03113</t>
        </is>
      </c>
      <c r="F1425" t="b">
        <v>1</v>
      </c>
      <c r="G1425" t="n">
        <v>115</v>
      </c>
      <c r="H1425" t="inlineStr">
        <is>
          <t>無印</t>
        </is>
      </c>
      <c r="I1425" t="n">
        <v>114</v>
      </c>
      <c r="J1425" t="inlineStr">
        <is>
          <t>P114|無印</t>
        </is>
      </c>
      <c r="K1425" t="inlineStr">
        <is>
          <t>同一価格表・前頁凡例を継承</t>
        </is>
      </c>
      <c r="L1425" t="inlineStr">
        <is>
          <t>202604_LIXIL_サーモスＬ_業務用資料集_完成品価格表.pdf</t>
        </is>
      </c>
      <c r="M1425" t="inlineStr">
        <is>
          <t>v0.6：同一価格表セクション内で凡例継承を確定。</t>
        </is>
      </c>
      <c r="N1425" t="inlineStr">
        <is>
          <t>https://drive.google.com/file/d/1YUN-mtWYs48YBUHJk0C3vJXnhjyZFHyf/view</t>
        </is>
      </c>
    </row>
    <row r="1426">
      <c r="A1426" s="42" t="inlineStr">
        <is>
          <t>GSC-SL-001423</t>
        </is>
      </c>
      <c r="B1426" t="inlineStr">
        <is>
          <t>SZ-SL-001423</t>
        </is>
      </c>
      <c r="C1426" t="inlineStr">
        <is>
          <t>WT-SL-TATE-SUBERI</t>
        </is>
      </c>
      <c r="D1426" t="inlineStr">
        <is>
          <t>SP-SL-TATE-OP-T</t>
        </is>
      </c>
      <c r="E1426" t="inlineStr">
        <is>
          <t>03613</t>
        </is>
      </c>
      <c r="F1426" t="b">
        <v>1</v>
      </c>
      <c r="G1426" t="n">
        <v>115</v>
      </c>
      <c r="H1426" t="inlineStr">
        <is>
          <t>無印</t>
        </is>
      </c>
      <c r="I1426" t="n">
        <v>114</v>
      </c>
      <c r="J1426" t="inlineStr">
        <is>
          <t>P114|無印</t>
        </is>
      </c>
      <c r="K1426" t="inlineStr">
        <is>
          <t>同一価格表・前頁凡例を継承</t>
        </is>
      </c>
      <c r="L1426" t="inlineStr">
        <is>
          <t>202604_LIXIL_サーモスＬ_業務用資料集_完成品価格表.pdf</t>
        </is>
      </c>
      <c r="M1426" t="inlineStr">
        <is>
          <t>v0.6：同一価格表セクション内で凡例継承を確定。</t>
        </is>
      </c>
      <c r="N1426" t="inlineStr">
        <is>
          <t>https://drive.google.com/file/d/1YUN-mtWYs48YBUHJk0C3vJXnhjyZFHyf/view</t>
        </is>
      </c>
    </row>
    <row r="1427">
      <c r="A1427" s="42" t="inlineStr">
        <is>
          <t>GSC-SL-001424</t>
        </is>
      </c>
      <c r="B1427" t="inlineStr">
        <is>
          <t>SZ-SL-001424</t>
        </is>
      </c>
      <c r="C1427" t="inlineStr">
        <is>
          <t>WT-SL-TATE-SUBERI</t>
        </is>
      </c>
      <c r="D1427" t="inlineStr">
        <is>
          <t>SP-SL-TATE-OP-T</t>
        </is>
      </c>
      <c r="E1427" t="inlineStr">
        <is>
          <t>06013</t>
        </is>
      </c>
      <c r="F1427" t="b">
        <v>1</v>
      </c>
      <c r="G1427" t="n">
        <v>115</v>
      </c>
      <c r="H1427" t="inlineStr">
        <is>
          <t>無印</t>
        </is>
      </c>
      <c r="I1427" t="n">
        <v>114</v>
      </c>
      <c r="J1427" t="inlineStr">
        <is>
          <t>P114|無印</t>
        </is>
      </c>
      <c r="K1427" t="inlineStr">
        <is>
          <t>同一価格表・前頁凡例を継承</t>
        </is>
      </c>
      <c r="L1427" t="inlineStr">
        <is>
          <t>202604_LIXIL_サーモスＬ_業務用資料集_完成品価格表.pdf</t>
        </is>
      </c>
      <c r="M1427" t="inlineStr">
        <is>
          <t>v0.6：同一価格表セクション内で凡例継承を確定。</t>
        </is>
      </c>
      <c r="N1427" t="inlineStr">
        <is>
          <t>https://drive.google.com/file/d/1YUN-mtWYs48YBUHJk0C3vJXnhjyZFHyf/view</t>
        </is>
      </c>
    </row>
    <row r="1428">
      <c r="A1428" s="42" t="inlineStr">
        <is>
          <t>GSC-SL-001425</t>
        </is>
      </c>
      <c r="B1428" t="inlineStr">
        <is>
          <t>SZ-SL-001425</t>
        </is>
      </c>
      <c r="C1428" t="inlineStr">
        <is>
          <t>WT-SL-TATE-SUBERI</t>
        </is>
      </c>
      <c r="D1428" t="inlineStr">
        <is>
          <t>SP-SL-TATE-OP-T</t>
        </is>
      </c>
      <c r="E1428" t="inlineStr">
        <is>
          <t>03115</t>
        </is>
      </c>
      <c r="F1428" t="b">
        <v>1</v>
      </c>
      <c r="G1428" t="n">
        <v>115</v>
      </c>
      <c r="H1428" t="inlineStr">
        <is>
          <t>無印</t>
        </is>
      </c>
      <c r="I1428" t="n">
        <v>114</v>
      </c>
      <c r="J1428" t="inlineStr">
        <is>
          <t>P114|無印</t>
        </is>
      </c>
      <c r="K1428" t="inlineStr">
        <is>
          <t>同一価格表・前頁凡例を継承</t>
        </is>
      </c>
      <c r="L1428" t="inlineStr">
        <is>
          <t>202604_LIXIL_サーモスＬ_業務用資料集_完成品価格表.pdf</t>
        </is>
      </c>
      <c r="M1428" t="inlineStr">
        <is>
          <t>v0.6：同一価格表セクション内で凡例継承を確定。</t>
        </is>
      </c>
      <c r="N1428" t="inlineStr">
        <is>
          <t>https://drive.google.com/file/d/1YUN-mtWYs48YBUHJk0C3vJXnhjyZFHyf/view</t>
        </is>
      </c>
    </row>
    <row r="1429">
      <c r="A1429" s="42" t="inlineStr">
        <is>
          <t>GSC-SL-001426</t>
        </is>
      </c>
      <c r="B1429" t="inlineStr">
        <is>
          <t>SZ-SL-001426</t>
        </is>
      </c>
      <c r="C1429" t="inlineStr">
        <is>
          <t>WT-SL-TATE-SUBERI</t>
        </is>
      </c>
      <c r="D1429" t="inlineStr">
        <is>
          <t>SP-SL-TATE-OP-T</t>
        </is>
      </c>
      <c r="E1429" t="inlineStr">
        <is>
          <t>02118</t>
        </is>
      </c>
      <c r="F1429" t="b">
        <v>1</v>
      </c>
      <c r="G1429" t="n">
        <v>116</v>
      </c>
      <c r="H1429" t="inlineStr">
        <is>
          <t>無印</t>
        </is>
      </c>
      <c r="I1429" t="n">
        <v>116</v>
      </c>
      <c r="J1429" t="inlineStr">
        <is>
          <t>P116|無印</t>
        </is>
      </c>
      <c r="K1429" t="inlineStr">
        <is>
          <t>同頁凡例へ直接連動</t>
        </is>
      </c>
      <c r="L1429" t="inlineStr">
        <is>
          <t>202604_LIXIL_サーモスＬ_業務用資料集_完成品価格表.pdf</t>
        </is>
      </c>
      <c r="M1429" t="inlineStr">
        <is>
          <t>v0.6：同一価格表セクション内で凡例継承を確定。</t>
        </is>
      </c>
      <c r="N1429" t="inlineStr">
        <is>
          <t>https://drive.google.com/file/d/1YUN-mtWYs48YBUHJk0C3vJXnhjyZFHyf/view</t>
        </is>
      </c>
    </row>
    <row r="1430">
      <c r="A1430" s="42" t="inlineStr">
        <is>
          <t>GSC-SL-001427</t>
        </is>
      </c>
      <c r="B1430" t="inlineStr">
        <is>
          <t>SZ-SL-001427</t>
        </is>
      </c>
      <c r="C1430" t="inlineStr">
        <is>
          <t>WT-SL-TATE-SUBERI</t>
        </is>
      </c>
      <c r="D1430" t="inlineStr">
        <is>
          <t>SP-SL-TATE-OP-T</t>
        </is>
      </c>
      <c r="E1430" t="inlineStr">
        <is>
          <t>02618</t>
        </is>
      </c>
      <c r="F1430" t="b">
        <v>1</v>
      </c>
      <c r="G1430" t="n">
        <v>116</v>
      </c>
      <c r="H1430" t="inlineStr">
        <is>
          <t>無印</t>
        </is>
      </c>
      <c r="I1430" t="n">
        <v>116</v>
      </c>
      <c r="J1430" t="inlineStr">
        <is>
          <t>P116|無印</t>
        </is>
      </c>
      <c r="K1430" t="inlineStr">
        <is>
          <t>同頁凡例へ直接連動</t>
        </is>
      </c>
      <c r="L1430" t="inlineStr">
        <is>
          <t>202604_LIXIL_サーモスＬ_業務用資料集_完成品価格表.pdf</t>
        </is>
      </c>
      <c r="M1430" t="inlineStr">
        <is>
          <t>v0.6：同一価格表セクション内で凡例継承を確定。</t>
        </is>
      </c>
      <c r="N1430" t="inlineStr">
        <is>
          <t>https://drive.google.com/file/d/1YUN-mtWYs48YBUHJk0C3vJXnhjyZFHyf/view</t>
        </is>
      </c>
    </row>
    <row r="1431">
      <c r="A1431" s="42" t="inlineStr">
        <is>
          <t>GSC-SL-001428</t>
        </is>
      </c>
      <c r="B1431" t="inlineStr">
        <is>
          <t>SZ-SL-001428</t>
        </is>
      </c>
      <c r="C1431" t="inlineStr">
        <is>
          <t>WT-SL-TATE-SUBERI</t>
        </is>
      </c>
      <c r="D1431" t="inlineStr">
        <is>
          <t>SP-SL-TATE-OP-T</t>
        </is>
      </c>
      <c r="E1431" t="inlineStr">
        <is>
          <t>02120</t>
        </is>
      </c>
      <c r="F1431" t="b">
        <v>1</v>
      </c>
      <c r="G1431" t="n">
        <v>116</v>
      </c>
      <c r="H1431" t="inlineStr">
        <is>
          <t>無印</t>
        </is>
      </c>
      <c r="I1431" t="n">
        <v>116</v>
      </c>
      <c r="J1431" t="inlineStr">
        <is>
          <t>P116|無印</t>
        </is>
      </c>
      <c r="K1431" t="inlineStr">
        <is>
          <t>同頁凡例へ直接連動</t>
        </is>
      </c>
      <c r="L1431" t="inlineStr">
        <is>
          <t>202604_LIXIL_サーモスＬ_業務用資料集_完成品価格表.pdf</t>
        </is>
      </c>
      <c r="M1431" t="inlineStr">
        <is>
          <t>v0.6：同一価格表セクション内で凡例継承を確定。</t>
        </is>
      </c>
      <c r="N1431" t="inlineStr">
        <is>
          <t>https://drive.google.com/file/d/1YUN-mtWYs48YBUHJk0C3vJXnhjyZFHyf/view</t>
        </is>
      </c>
    </row>
    <row r="1432">
      <c r="A1432" s="42" t="inlineStr">
        <is>
          <t>GSC-SL-001429</t>
        </is>
      </c>
      <c r="B1432" t="inlineStr">
        <is>
          <t>SZ-SL-001429</t>
        </is>
      </c>
      <c r="C1432" t="inlineStr">
        <is>
          <t>WT-SL-TATE-SUBERI</t>
        </is>
      </c>
      <c r="D1432" t="inlineStr">
        <is>
          <t>SP-SL-TATE-OP-T</t>
        </is>
      </c>
      <c r="E1432" t="inlineStr">
        <is>
          <t>02620</t>
        </is>
      </c>
      <c r="F1432" t="b">
        <v>1</v>
      </c>
      <c r="G1432" t="n">
        <v>116</v>
      </c>
      <c r="H1432" t="inlineStr">
        <is>
          <t>無印</t>
        </is>
      </c>
      <c r="I1432" t="n">
        <v>116</v>
      </c>
      <c r="J1432" t="inlineStr">
        <is>
          <t>P116|無印</t>
        </is>
      </c>
      <c r="K1432" t="inlineStr">
        <is>
          <t>同頁凡例へ直接連動</t>
        </is>
      </c>
      <c r="L1432" t="inlineStr">
        <is>
          <t>202604_LIXIL_サーモスＬ_業務用資料集_完成品価格表.pdf</t>
        </is>
      </c>
      <c r="M1432" t="inlineStr">
        <is>
          <t>v0.6：同一価格表セクション内で凡例継承を確定。</t>
        </is>
      </c>
      <c r="N1432" t="inlineStr">
        <is>
          <t>https://drive.google.com/file/d/1YUN-mtWYs48YBUHJk0C3vJXnhjyZFHyf/view</t>
        </is>
      </c>
    </row>
    <row r="1433">
      <c r="A1433" s="42" t="inlineStr">
        <is>
          <t>GSC-SL-001430</t>
        </is>
      </c>
      <c r="B1433" t="inlineStr">
        <is>
          <t>SZ-SL-001430</t>
        </is>
      </c>
      <c r="C1433" t="inlineStr">
        <is>
          <t>WT-SL-TATE-SUBERI</t>
        </is>
      </c>
      <c r="D1433" t="inlineStr">
        <is>
          <t>SP-SL-TATE-OP-T</t>
        </is>
      </c>
      <c r="E1433" t="inlineStr">
        <is>
          <t>02122</t>
        </is>
      </c>
      <c r="F1433" t="b">
        <v>1</v>
      </c>
      <c r="G1433" t="n">
        <v>116</v>
      </c>
      <c r="H1433" t="inlineStr">
        <is>
          <t>無印</t>
        </is>
      </c>
      <c r="I1433" t="n">
        <v>116</v>
      </c>
      <c r="J1433" t="inlineStr">
        <is>
          <t>P116|無印</t>
        </is>
      </c>
      <c r="K1433" t="inlineStr">
        <is>
          <t>同頁凡例へ直接連動</t>
        </is>
      </c>
      <c r="L1433" t="inlineStr">
        <is>
          <t>202604_LIXIL_サーモスＬ_業務用資料集_完成品価格表.pdf</t>
        </is>
      </c>
      <c r="M1433" t="inlineStr">
        <is>
          <t>v0.6：同一価格表セクション内で凡例継承を確定。</t>
        </is>
      </c>
      <c r="N1433" t="inlineStr">
        <is>
          <t>https://drive.google.com/file/d/1YUN-mtWYs48YBUHJk0C3vJXnhjyZFHyf/view</t>
        </is>
      </c>
    </row>
    <row r="1434">
      <c r="A1434" s="42" t="inlineStr">
        <is>
          <t>GSC-SL-001431</t>
        </is>
      </c>
      <c r="B1434" t="inlineStr">
        <is>
          <t>SZ-SL-001431</t>
        </is>
      </c>
      <c r="C1434" t="inlineStr">
        <is>
          <t>WT-SL-TATE-SUBERI</t>
        </is>
      </c>
      <c r="D1434" t="inlineStr">
        <is>
          <t>SP-SL-TATE-OP-T</t>
        </is>
      </c>
      <c r="E1434" t="inlineStr">
        <is>
          <t>02622</t>
        </is>
      </c>
      <c r="F1434" t="b">
        <v>1</v>
      </c>
      <c r="G1434" t="n">
        <v>116</v>
      </c>
      <c r="H1434" t="inlineStr">
        <is>
          <t>無印</t>
        </is>
      </c>
      <c r="I1434" t="n">
        <v>116</v>
      </c>
      <c r="J1434" t="inlineStr">
        <is>
          <t>P116|無印</t>
        </is>
      </c>
      <c r="K1434" t="inlineStr">
        <is>
          <t>同頁凡例へ直接連動</t>
        </is>
      </c>
      <c r="L1434" t="inlineStr">
        <is>
          <t>202604_LIXIL_サーモスＬ_業務用資料集_完成品価格表.pdf</t>
        </is>
      </c>
      <c r="M1434" t="inlineStr">
        <is>
          <t>v0.6：同一価格表セクション内で凡例継承を確定。</t>
        </is>
      </c>
      <c r="N1434" t="inlineStr">
        <is>
          <t>https://drive.google.com/file/d/1YUN-mtWYs48YBUHJk0C3vJXnhjyZFHyf/view</t>
        </is>
      </c>
    </row>
    <row r="1435">
      <c r="A1435" s="42" t="inlineStr">
        <is>
          <t>GSC-SL-001432</t>
        </is>
      </c>
      <c r="B1435" t="inlineStr">
        <is>
          <t>SZ-SL-001432</t>
        </is>
      </c>
      <c r="C1435" t="inlineStr">
        <is>
          <t>WT-SL-TATE-SUBERI</t>
        </is>
      </c>
      <c r="D1435" t="inlineStr">
        <is>
          <t>SP-SL-TATE-OP-T</t>
        </is>
      </c>
      <c r="E1435" t="inlineStr">
        <is>
          <t>03118</t>
        </is>
      </c>
      <c r="F1435" t="b">
        <v>1</v>
      </c>
      <c r="G1435" t="n">
        <v>117</v>
      </c>
      <c r="H1435" t="inlineStr">
        <is>
          <t>無印</t>
        </is>
      </c>
      <c r="I1435" t="n">
        <v>116</v>
      </c>
      <c r="J1435" t="inlineStr">
        <is>
          <t>P116|無印</t>
        </is>
      </c>
      <c r="K1435" t="inlineStr">
        <is>
          <t>同一価格表・前頁凡例を継承</t>
        </is>
      </c>
      <c r="L1435" t="inlineStr">
        <is>
          <t>202604_LIXIL_サーモスＬ_業務用資料集_完成品価格表.pdf</t>
        </is>
      </c>
      <c r="M1435" t="inlineStr">
        <is>
          <t>v0.6：同一価格表セクション内で凡例継承を確定。</t>
        </is>
      </c>
      <c r="N1435" t="inlineStr">
        <is>
          <t>https://drive.google.com/file/d/1YUN-mtWYs48YBUHJk0C3vJXnhjyZFHyf/view</t>
        </is>
      </c>
    </row>
    <row r="1436">
      <c r="A1436" s="42" t="inlineStr">
        <is>
          <t>GSC-SL-001433</t>
        </is>
      </c>
      <c r="B1436" t="inlineStr">
        <is>
          <t>SZ-SL-001433</t>
        </is>
      </c>
      <c r="C1436" t="inlineStr">
        <is>
          <t>WT-SL-TATE-SUBERI</t>
        </is>
      </c>
      <c r="D1436" t="inlineStr">
        <is>
          <t>SP-SL-TATE-OP-T</t>
        </is>
      </c>
      <c r="E1436" t="inlineStr">
        <is>
          <t>03120</t>
        </is>
      </c>
      <c r="F1436" t="b">
        <v>1</v>
      </c>
      <c r="G1436" t="n">
        <v>117</v>
      </c>
      <c r="H1436" t="inlineStr">
        <is>
          <t>無印</t>
        </is>
      </c>
      <c r="I1436" t="n">
        <v>116</v>
      </c>
      <c r="J1436" t="inlineStr">
        <is>
          <t>P116|無印</t>
        </is>
      </c>
      <c r="K1436" t="inlineStr">
        <is>
          <t>同一価格表・前頁凡例を継承</t>
        </is>
      </c>
      <c r="L1436" t="inlineStr">
        <is>
          <t>202604_LIXIL_サーモスＬ_業務用資料集_完成品価格表.pdf</t>
        </is>
      </c>
      <c r="M1436" t="inlineStr">
        <is>
          <t>v0.6：同一価格表セクション内で凡例継承を確定。</t>
        </is>
      </c>
      <c r="N1436" t="inlineStr">
        <is>
          <t>https://drive.google.com/file/d/1YUN-mtWYs48YBUHJk0C3vJXnhjyZFHyf/view</t>
        </is>
      </c>
    </row>
    <row r="1437">
      <c r="A1437" s="42" t="inlineStr">
        <is>
          <t>GSC-SL-001434</t>
        </is>
      </c>
      <c r="B1437" t="inlineStr">
        <is>
          <t>SZ-SL-001434</t>
        </is>
      </c>
      <c r="C1437" t="inlineStr">
        <is>
          <t>WT-SL-TATE-SUBERI</t>
        </is>
      </c>
      <c r="D1437" t="inlineStr">
        <is>
          <t>SP-SL-TATE-OP-T</t>
        </is>
      </c>
      <c r="E1437" t="inlineStr">
        <is>
          <t>03122</t>
        </is>
      </c>
      <c r="F1437" t="b">
        <v>1</v>
      </c>
      <c r="G1437" t="n">
        <v>117</v>
      </c>
      <c r="H1437" t="inlineStr">
        <is>
          <t>無印</t>
        </is>
      </c>
      <c r="I1437" t="n">
        <v>116</v>
      </c>
      <c r="J1437" t="inlineStr">
        <is>
          <t>P116|無印</t>
        </is>
      </c>
      <c r="K1437" t="inlineStr">
        <is>
          <t>同一価格表・前頁凡例を継承</t>
        </is>
      </c>
      <c r="L1437" t="inlineStr">
        <is>
          <t>202604_LIXIL_サーモスＬ_業務用資料集_完成品価格表.pdf</t>
        </is>
      </c>
      <c r="M1437" t="inlineStr">
        <is>
          <t>v0.6：同一価格表セクション内で凡例継承を確定。</t>
        </is>
      </c>
      <c r="N1437" t="inlineStr">
        <is>
          <t>https://drive.google.com/file/d/1YUN-mtWYs48YBUHJk0C3vJXnhjyZFHyf/view</t>
        </is>
      </c>
    </row>
    <row r="1438">
      <c r="A1438" s="42" t="inlineStr">
        <is>
          <t>GSC-SL-001435</t>
        </is>
      </c>
      <c r="B1438" t="inlineStr">
        <is>
          <t>SZ-SL-001435</t>
        </is>
      </c>
      <c r="C1438" t="inlineStr">
        <is>
          <t>WT-SL-TATE-SUBERI</t>
        </is>
      </c>
      <c r="D1438" t="inlineStr">
        <is>
          <t>SP-SL-TATE-OP-TF-OUT</t>
        </is>
      </c>
      <c r="E1438" t="inlineStr">
        <is>
          <t>11409</t>
        </is>
      </c>
      <c r="F1438" t="b">
        <v>1</v>
      </c>
      <c r="G1438" t="n">
        <v>118</v>
      </c>
      <c r="H1438" t="inlineStr">
        <is>
          <t>無印</t>
        </is>
      </c>
      <c r="I1438" t="n">
        <v>118</v>
      </c>
      <c r="J1438" t="inlineStr">
        <is>
          <t>P118|無印</t>
        </is>
      </c>
      <c r="K1438" t="inlineStr">
        <is>
          <t>同頁凡例へ直接連動</t>
        </is>
      </c>
      <c r="L1438" t="inlineStr">
        <is>
          <t>202604_LIXIL_サーモスＬ_業務用資料集_完成品価格表.pdf</t>
        </is>
      </c>
      <c r="M1438" t="inlineStr">
        <is>
          <t>v0.6：同一価格表セクション内で凡例継承を確定。</t>
        </is>
      </c>
      <c r="N1438" t="inlineStr">
        <is>
          <t>https://drive.google.com/file/d/1YUN-mtWYs48YBUHJk0C3vJXnhjyZFHyf/view</t>
        </is>
      </c>
    </row>
    <row r="1439">
      <c r="A1439" s="42" t="inlineStr">
        <is>
          <t>GSC-SL-001436</t>
        </is>
      </c>
      <c r="B1439" t="inlineStr">
        <is>
          <t>SZ-SL-001436</t>
        </is>
      </c>
      <c r="C1439" t="inlineStr">
        <is>
          <t>WT-SL-TATE-SUBERI</t>
        </is>
      </c>
      <c r="D1439" t="inlineStr">
        <is>
          <t>SP-SL-TATE-OP-TF-OUT</t>
        </is>
      </c>
      <c r="E1439" t="inlineStr">
        <is>
          <t>11909</t>
        </is>
      </c>
      <c r="F1439" t="b">
        <v>1</v>
      </c>
      <c r="G1439" t="n">
        <v>118</v>
      </c>
      <c r="H1439" t="inlineStr">
        <is>
          <t>無印</t>
        </is>
      </c>
      <c r="I1439" t="n">
        <v>118</v>
      </c>
      <c r="J1439" t="inlineStr">
        <is>
          <t>P118|無印</t>
        </is>
      </c>
      <c r="K1439" t="inlineStr">
        <is>
          <t>同頁凡例へ直接連動</t>
        </is>
      </c>
      <c r="L1439" t="inlineStr">
        <is>
          <t>202604_LIXIL_サーモスＬ_業務用資料集_完成品価格表.pdf</t>
        </is>
      </c>
      <c r="M1439" t="inlineStr">
        <is>
          <t>v0.6：同一価格表セクション内で凡例継承を確定。</t>
        </is>
      </c>
      <c r="N1439" t="inlineStr">
        <is>
          <t>https://drive.google.com/file/d/1YUN-mtWYs48YBUHJk0C3vJXnhjyZFHyf/view</t>
        </is>
      </c>
    </row>
    <row r="1440">
      <c r="A1440" s="42" t="inlineStr">
        <is>
          <t>GSC-SL-001437</t>
        </is>
      </c>
      <c r="B1440" t="inlineStr">
        <is>
          <t>SZ-SL-001437</t>
        </is>
      </c>
      <c r="C1440" t="inlineStr">
        <is>
          <t>WT-SL-TATE-SUBERI</t>
        </is>
      </c>
      <c r="D1440" t="inlineStr">
        <is>
          <t>SP-SL-TATE-OP-TF-OUT</t>
        </is>
      </c>
      <c r="E1440" t="inlineStr">
        <is>
          <t>16009</t>
        </is>
      </c>
      <c r="F1440" t="b">
        <v>1</v>
      </c>
      <c r="G1440" t="n">
        <v>118</v>
      </c>
      <c r="H1440" t="inlineStr">
        <is>
          <t>無印</t>
        </is>
      </c>
      <c r="I1440" t="n">
        <v>118</v>
      </c>
      <c r="J1440" t="inlineStr">
        <is>
          <t>P118|無印</t>
        </is>
      </c>
      <c r="K1440" t="inlineStr">
        <is>
          <t>同頁凡例へ直接連動</t>
        </is>
      </c>
      <c r="L1440" t="inlineStr">
        <is>
          <t>202604_LIXIL_サーモスＬ_業務用資料集_完成品価格表.pdf</t>
        </is>
      </c>
      <c r="M1440" t="inlineStr">
        <is>
          <t>v0.6：同一価格表セクション内で凡例継承を確定。</t>
        </is>
      </c>
      <c r="N1440" t="inlineStr">
        <is>
          <t>https://drive.google.com/file/d/1YUN-mtWYs48YBUHJk0C3vJXnhjyZFHyf/view</t>
        </is>
      </c>
    </row>
    <row r="1441">
      <c r="A1441" s="42" t="inlineStr">
        <is>
          <t>GSC-SL-001438</t>
        </is>
      </c>
      <c r="B1441" t="inlineStr">
        <is>
          <t>SZ-SL-001438</t>
        </is>
      </c>
      <c r="C1441" t="inlineStr">
        <is>
          <t>WT-SL-TATE-SUBERI</t>
        </is>
      </c>
      <c r="D1441" t="inlineStr">
        <is>
          <t>SP-SL-TATE-OP-TF-OUT</t>
        </is>
      </c>
      <c r="E1441" t="inlineStr">
        <is>
          <t>16509</t>
        </is>
      </c>
      <c r="F1441" t="b">
        <v>1</v>
      </c>
      <c r="G1441" t="n">
        <v>118</v>
      </c>
      <c r="H1441" t="inlineStr">
        <is>
          <t>無印</t>
        </is>
      </c>
      <c r="I1441" t="n">
        <v>118</v>
      </c>
      <c r="J1441" t="inlineStr">
        <is>
          <t>P118|無印</t>
        </is>
      </c>
      <c r="K1441" t="inlineStr">
        <is>
          <t>同頁凡例へ直接連動</t>
        </is>
      </c>
      <c r="L1441" t="inlineStr">
        <is>
          <t>202604_LIXIL_サーモスＬ_業務用資料集_完成品価格表.pdf</t>
        </is>
      </c>
      <c r="M1441" t="inlineStr">
        <is>
          <t>v0.6：同一価格表セクション内で凡例継承を確定。</t>
        </is>
      </c>
      <c r="N1441" t="inlineStr">
        <is>
          <t>https://drive.google.com/file/d/1YUN-mtWYs48YBUHJk0C3vJXnhjyZFHyf/view</t>
        </is>
      </c>
    </row>
    <row r="1442">
      <c r="A1442" s="42" t="inlineStr">
        <is>
          <t>GSC-SL-001439</t>
        </is>
      </c>
      <c r="B1442" t="inlineStr">
        <is>
          <t>SZ-SL-001439</t>
        </is>
      </c>
      <c r="C1442" t="inlineStr">
        <is>
          <t>WT-SL-TATE-SUBERI</t>
        </is>
      </c>
      <c r="D1442" t="inlineStr">
        <is>
          <t>SP-SL-TATE-OP-TF-OUT</t>
        </is>
      </c>
      <c r="E1442" t="inlineStr">
        <is>
          <t>11411</t>
        </is>
      </c>
      <c r="F1442" t="b">
        <v>1</v>
      </c>
      <c r="G1442" t="n">
        <v>118</v>
      </c>
      <c r="H1442" t="inlineStr">
        <is>
          <t>無印</t>
        </is>
      </c>
      <c r="I1442" t="n">
        <v>118</v>
      </c>
      <c r="J1442" t="inlineStr">
        <is>
          <t>P118|無印</t>
        </is>
      </c>
      <c r="K1442" t="inlineStr">
        <is>
          <t>同頁凡例へ直接連動</t>
        </is>
      </c>
      <c r="L1442" t="inlineStr">
        <is>
          <t>202604_LIXIL_サーモスＬ_業務用資料集_完成品価格表.pdf</t>
        </is>
      </c>
      <c r="M1442" t="inlineStr">
        <is>
          <t>v0.6：同一価格表セクション内で凡例継承を確定。</t>
        </is>
      </c>
      <c r="N1442" t="inlineStr">
        <is>
          <t>https://drive.google.com/file/d/1YUN-mtWYs48YBUHJk0C3vJXnhjyZFHyf/view</t>
        </is>
      </c>
    </row>
    <row r="1443">
      <c r="A1443" s="42" t="inlineStr">
        <is>
          <t>GSC-SL-001440</t>
        </is>
      </c>
      <c r="B1443" t="inlineStr">
        <is>
          <t>SZ-SL-001440</t>
        </is>
      </c>
      <c r="C1443" t="inlineStr">
        <is>
          <t>WT-SL-TATE-SUBERI</t>
        </is>
      </c>
      <c r="D1443" t="inlineStr">
        <is>
          <t>SP-SL-TATE-OP-TF-OUT</t>
        </is>
      </c>
      <c r="E1443" t="inlineStr">
        <is>
          <t>11911</t>
        </is>
      </c>
      <c r="F1443" t="b">
        <v>1</v>
      </c>
      <c r="G1443" t="n">
        <v>118</v>
      </c>
      <c r="H1443" t="inlineStr">
        <is>
          <t>無印</t>
        </is>
      </c>
      <c r="I1443" t="n">
        <v>118</v>
      </c>
      <c r="J1443" t="inlineStr">
        <is>
          <t>P118|無印</t>
        </is>
      </c>
      <c r="K1443" t="inlineStr">
        <is>
          <t>同頁凡例へ直接連動</t>
        </is>
      </c>
      <c r="L1443" t="inlineStr">
        <is>
          <t>202604_LIXIL_サーモスＬ_業務用資料集_完成品価格表.pdf</t>
        </is>
      </c>
      <c r="M1443" t="inlineStr">
        <is>
          <t>v0.6：同一価格表セクション内で凡例継承を確定。</t>
        </is>
      </c>
      <c r="N1443" t="inlineStr">
        <is>
          <t>https://drive.google.com/file/d/1YUN-mtWYs48YBUHJk0C3vJXnhjyZFHyf/view</t>
        </is>
      </c>
    </row>
    <row r="1444">
      <c r="A1444" s="42" t="inlineStr">
        <is>
          <t>GSC-SL-001441</t>
        </is>
      </c>
      <c r="B1444" t="inlineStr">
        <is>
          <t>SZ-SL-001441</t>
        </is>
      </c>
      <c r="C1444" t="inlineStr">
        <is>
          <t>WT-SL-TATE-SUBERI</t>
        </is>
      </c>
      <c r="D1444" t="inlineStr">
        <is>
          <t>SP-SL-TATE-OP-TF-OUT</t>
        </is>
      </c>
      <c r="E1444" t="inlineStr">
        <is>
          <t>16011</t>
        </is>
      </c>
      <c r="F1444" t="b">
        <v>1</v>
      </c>
      <c r="G1444" t="n">
        <v>118</v>
      </c>
      <c r="H1444" t="inlineStr">
        <is>
          <t>★</t>
        </is>
      </c>
      <c r="I1444" t="n">
        <v>118</v>
      </c>
      <c r="J1444" t="inlineStr">
        <is>
          <t>P118|★</t>
        </is>
      </c>
      <c r="K1444" t="inlineStr">
        <is>
          <t>同頁凡例へ直接連動</t>
        </is>
      </c>
      <c r="L1444" t="inlineStr">
        <is>
          <t>202604_LIXIL_サーモスＬ_業務用資料集_完成品価格表.pdf</t>
        </is>
      </c>
      <c r="M1444" t="inlineStr">
        <is>
          <t>v0.6：同一価格表セクション内で凡例継承を確定。</t>
        </is>
      </c>
      <c r="N1444" t="inlineStr">
        <is>
          <t>https://drive.google.com/file/d/1YUN-mtWYs48YBUHJk0C3vJXnhjyZFHyf/view</t>
        </is>
      </c>
    </row>
    <row r="1445">
      <c r="A1445" s="42" t="inlineStr">
        <is>
          <t>GSC-SL-001442</t>
        </is>
      </c>
      <c r="B1445" t="inlineStr">
        <is>
          <t>SZ-SL-001442</t>
        </is>
      </c>
      <c r="C1445" t="inlineStr">
        <is>
          <t>WT-SL-TATE-SUBERI</t>
        </is>
      </c>
      <c r="D1445" t="inlineStr">
        <is>
          <t>SP-SL-TATE-OP-TF-OUT</t>
        </is>
      </c>
      <c r="E1445" t="inlineStr">
        <is>
          <t>16511</t>
        </is>
      </c>
      <c r="F1445" t="b">
        <v>1</v>
      </c>
      <c r="G1445" t="n">
        <v>118</v>
      </c>
      <c r="H1445" t="inlineStr">
        <is>
          <t>★</t>
        </is>
      </c>
      <c r="I1445" t="n">
        <v>118</v>
      </c>
      <c r="J1445" t="inlineStr">
        <is>
          <t>P118|★</t>
        </is>
      </c>
      <c r="K1445" t="inlineStr">
        <is>
          <t>同頁凡例へ直接連動</t>
        </is>
      </c>
      <c r="L1445" t="inlineStr">
        <is>
          <t>202604_LIXIL_サーモスＬ_業務用資料集_完成品価格表.pdf</t>
        </is>
      </c>
      <c r="M1445" t="inlineStr">
        <is>
          <t>v0.6：同一価格表セクション内で凡例継承を確定。</t>
        </is>
      </c>
      <c r="N1445" t="inlineStr">
        <is>
          <t>https://drive.google.com/file/d/1YUN-mtWYs48YBUHJk0C3vJXnhjyZFHyf/view</t>
        </is>
      </c>
    </row>
    <row r="1446">
      <c r="A1446" s="42" t="inlineStr">
        <is>
          <t>GSC-SL-001443</t>
        </is>
      </c>
      <c r="B1446" t="inlineStr">
        <is>
          <t>SZ-SL-001443</t>
        </is>
      </c>
      <c r="C1446" t="inlineStr">
        <is>
          <t>WT-SL-TATE-SUBERI</t>
        </is>
      </c>
      <c r="D1446" t="inlineStr">
        <is>
          <t>SP-SL-TATE-OP-TF-OUT</t>
        </is>
      </c>
      <c r="E1446" t="inlineStr">
        <is>
          <t>11413</t>
        </is>
      </c>
      <c r="F1446" t="b">
        <v>1</v>
      </c>
      <c r="G1446" t="n">
        <v>118</v>
      </c>
      <c r="H1446" t="inlineStr">
        <is>
          <t>無印</t>
        </is>
      </c>
      <c r="I1446" t="n">
        <v>118</v>
      </c>
      <c r="J1446" t="inlineStr">
        <is>
          <t>P118|無印</t>
        </is>
      </c>
      <c r="K1446" t="inlineStr">
        <is>
          <t>同頁凡例へ直接連動</t>
        </is>
      </c>
      <c r="L1446" t="inlineStr">
        <is>
          <t>202604_LIXIL_サーモスＬ_業務用資料集_完成品価格表.pdf</t>
        </is>
      </c>
      <c r="M1446" t="inlineStr">
        <is>
          <t>v0.6：同一価格表セクション内で凡例継承を確定。</t>
        </is>
      </c>
      <c r="N1446" t="inlineStr">
        <is>
          <t>https://drive.google.com/file/d/1YUN-mtWYs48YBUHJk0C3vJXnhjyZFHyf/view</t>
        </is>
      </c>
    </row>
    <row r="1447">
      <c r="A1447" s="42" t="inlineStr">
        <is>
          <t>GSC-SL-001444</t>
        </is>
      </c>
      <c r="B1447" t="inlineStr">
        <is>
          <t>SZ-SL-001444</t>
        </is>
      </c>
      <c r="C1447" t="inlineStr">
        <is>
          <t>WT-SL-TATE-SUBERI</t>
        </is>
      </c>
      <c r="D1447" t="inlineStr">
        <is>
          <t>SP-SL-TATE-OP-TF-OUT</t>
        </is>
      </c>
      <c r="E1447" t="inlineStr">
        <is>
          <t>11913</t>
        </is>
      </c>
      <c r="F1447" t="b">
        <v>1</v>
      </c>
      <c r="G1447" t="n">
        <v>118</v>
      </c>
      <c r="H1447" t="inlineStr">
        <is>
          <t>★</t>
        </is>
      </c>
      <c r="I1447" t="n">
        <v>118</v>
      </c>
      <c r="J1447" t="inlineStr">
        <is>
          <t>P118|★</t>
        </is>
      </c>
      <c r="K1447" t="inlineStr">
        <is>
          <t>同頁凡例へ直接連動</t>
        </is>
      </c>
      <c r="L1447" t="inlineStr">
        <is>
          <t>202604_LIXIL_サーモスＬ_業務用資料集_完成品価格表.pdf</t>
        </is>
      </c>
      <c r="M1447" t="inlineStr">
        <is>
          <t>v0.6：同一価格表セクション内で凡例継承を確定。</t>
        </is>
      </c>
      <c r="N1447" t="inlineStr">
        <is>
          <t>https://drive.google.com/file/d/1YUN-mtWYs48YBUHJk0C3vJXnhjyZFHyf/view</t>
        </is>
      </c>
    </row>
    <row r="1448">
      <c r="A1448" s="42" t="inlineStr">
        <is>
          <t>GSC-SL-001445</t>
        </is>
      </c>
      <c r="B1448" t="inlineStr">
        <is>
          <t>SZ-SL-001445</t>
        </is>
      </c>
      <c r="C1448" t="inlineStr">
        <is>
          <t>WT-SL-TATE-SUBERI</t>
        </is>
      </c>
      <c r="D1448" t="inlineStr">
        <is>
          <t>SP-SL-TATE-OP-TF-OUT</t>
        </is>
      </c>
      <c r="E1448" t="inlineStr">
        <is>
          <t>16013</t>
        </is>
      </c>
      <c r="F1448" t="b">
        <v>1</v>
      </c>
      <c r="G1448" t="n">
        <v>118</v>
      </c>
      <c r="H1448" t="inlineStr">
        <is>
          <t>★</t>
        </is>
      </c>
      <c r="I1448" t="n">
        <v>118</v>
      </c>
      <c r="J1448" t="inlineStr">
        <is>
          <t>P118|★</t>
        </is>
      </c>
      <c r="K1448" t="inlineStr">
        <is>
          <t>同頁凡例へ直接連動</t>
        </is>
      </c>
      <c r="L1448" t="inlineStr">
        <is>
          <t>202604_LIXIL_サーモスＬ_業務用資料集_完成品価格表.pdf</t>
        </is>
      </c>
      <c r="M1448" t="inlineStr">
        <is>
          <t>v0.6：同一価格表セクション内で凡例継承を確定。</t>
        </is>
      </c>
      <c r="N1448" t="inlineStr">
        <is>
          <t>https://drive.google.com/file/d/1YUN-mtWYs48YBUHJk0C3vJXnhjyZFHyf/view</t>
        </is>
      </c>
    </row>
    <row r="1449">
      <c r="A1449" s="42" t="inlineStr">
        <is>
          <t>GSC-SL-001446</t>
        </is>
      </c>
      <c r="B1449" t="inlineStr">
        <is>
          <t>SZ-SL-001446</t>
        </is>
      </c>
      <c r="C1449" t="inlineStr">
        <is>
          <t>WT-SL-TATE-SUBERI</t>
        </is>
      </c>
      <c r="D1449" t="inlineStr">
        <is>
          <t>SP-SL-TATE-OP-TF-OUT</t>
        </is>
      </c>
      <c r="E1449" t="inlineStr">
        <is>
          <t>16513</t>
        </is>
      </c>
      <c r="F1449" t="b">
        <v>1</v>
      </c>
      <c r="G1449" t="n">
        <v>118</v>
      </c>
      <c r="H1449" t="inlineStr">
        <is>
          <t>☆</t>
        </is>
      </c>
      <c r="I1449" t="n">
        <v>118</v>
      </c>
      <c r="J1449" t="inlineStr">
        <is>
          <t>P118|☆</t>
        </is>
      </c>
      <c r="K1449" t="inlineStr">
        <is>
          <t>同頁凡例へ直接連動</t>
        </is>
      </c>
      <c r="L1449" t="inlineStr">
        <is>
          <t>202604_LIXIL_サーモスＬ_業務用資料集_完成品価格表.pdf</t>
        </is>
      </c>
      <c r="M1449" t="inlineStr">
        <is>
          <t>v0.6：同一価格表セクション内で凡例継承を確定。</t>
        </is>
      </c>
      <c r="N1449" t="inlineStr">
        <is>
          <t>https://drive.google.com/file/d/1YUN-mtWYs48YBUHJk0C3vJXnhjyZFHyf/view</t>
        </is>
      </c>
    </row>
    <row r="1450">
      <c r="A1450" s="42" t="inlineStr">
        <is>
          <t>GSC-SL-001447</t>
        </is>
      </c>
      <c r="B1450" t="inlineStr">
        <is>
          <t>SZ-SL-001447</t>
        </is>
      </c>
      <c r="C1450" t="inlineStr">
        <is>
          <t>WT-SL-TATE-SUBERI</t>
        </is>
      </c>
      <c r="D1450" t="inlineStr">
        <is>
          <t>SP-SL-TATE-OP-TFT-OUT</t>
        </is>
      </c>
      <c r="E1450" t="inlineStr">
        <is>
          <t>16009</t>
        </is>
      </c>
      <c r="F1450" t="b">
        <v>1</v>
      </c>
      <c r="G1450" t="n">
        <v>119</v>
      </c>
      <c r="H1450" t="inlineStr">
        <is>
          <t>無印</t>
        </is>
      </c>
      <c r="I1450" t="n">
        <v>119</v>
      </c>
      <c r="J1450" t="inlineStr">
        <is>
          <t>P119|無印</t>
        </is>
      </c>
      <c r="K1450" t="inlineStr">
        <is>
          <t>同頁凡例へ直接連動</t>
        </is>
      </c>
      <c r="L1450" t="inlineStr">
        <is>
          <t>202604_LIXIL_サーモスＬ_業務用資料集_完成品価格表.pdf</t>
        </is>
      </c>
      <c r="M1450" t="inlineStr">
        <is>
          <t>v0.6：同一価格表セクション内で凡例継承を確定。</t>
        </is>
      </c>
      <c r="N1450" t="inlineStr">
        <is>
          <t>https://drive.google.com/file/d/1YUN-mtWYs48YBUHJk0C3vJXnhjyZFHyf/view</t>
        </is>
      </c>
    </row>
    <row r="1451">
      <c r="A1451" s="42" t="inlineStr">
        <is>
          <t>GSC-SL-001448</t>
        </is>
      </c>
      <c r="B1451" t="inlineStr">
        <is>
          <t>SZ-SL-001448</t>
        </is>
      </c>
      <c r="C1451" t="inlineStr">
        <is>
          <t>WT-SL-TATE-SUBERI</t>
        </is>
      </c>
      <c r="D1451" t="inlineStr">
        <is>
          <t>SP-SL-TATE-OP-TFT-OUT</t>
        </is>
      </c>
      <c r="E1451" t="inlineStr">
        <is>
          <t>16509</t>
        </is>
      </c>
      <c r="F1451" t="b">
        <v>1</v>
      </c>
      <c r="G1451" t="n">
        <v>119</v>
      </c>
      <c r="H1451" t="inlineStr">
        <is>
          <t>無印</t>
        </is>
      </c>
      <c r="I1451" t="n">
        <v>119</v>
      </c>
      <c r="J1451" t="inlineStr">
        <is>
          <t>P119|無印</t>
        </is>
      </c>
      <c r="K1451" t="inlineStr">
        <is>
          <t>同頁凡例へ直接連動</t>
        </is>
      </c>
      <c r="L1451" t="inlineStr">
        <is>
          <t>202604_LIXIL_サーモスＬ_業務用資料集_完成品価格表.pdf</t>
        </is>
      </c>
      <c r="M1451" t="inlineStr">
        <is>
          <t>v0.6：同一価格表セクション内で凡例継承を確定。</t>
        </is>
      </c>
      <c r="N1451" t="inlineStr">
        <is>
          <t>https://drive.google.com/file/d/1YUN-mtWYs48YBUHJk0C3vJXnhjyZFHyf/view</t>
        </is>
      </c>
    </row>
    <row r="1452">
      <c r="A1452" s="42" t="inlineStr">
        <is>
          <t>GSC-SL-001449</t>
        </is>
      </c>
      <c r="B1452" t="inlineStr">
        <is>
          <t>SZ-SL-001449</t>
        </is>
      </c>
      <c r="C1452" t="inlineStr">
        <is>
          <t>WT-SL-TATE-SUBERI</t>
        </is>
      </c>
      <c r="D1452" t="inlineStr">
        <is>
          <t>SP-SL-TATE-OP-TFT-OUT</t>
        </is>
      </c>
      <c r="E1452" t="inlineStr">
        <is>
          <t>16011</t>
        </is>
      </c>
      <c r="F1452" t="b">
        <v>1</v>
      </c>
      <c r="G1452" t="n">
        <v>119</v>
      </c>
      <c r="H1452" t="inlineStr">
        <is>
          <t>無印</t>
        </is>
      </c>
      <c r="I1452" t="n">
        <v>119</v>
      </c>
      <c r="J1452" t="inlineStr">
        <is>
          <t>P119|無印</t>
        </is>
      </c>
      <c r="K1452" t="inlineStr">
        <is>
          <t>同頁凡例へ直接連動</t>
        </is>
      </c>
      <c r="L1452" t="inlineStr">
        <is>
          <t>202604_LIXIL_サーモスＬ_業務用資料集_完成品価格表.pdf</t>
        </is>
      </c>
      <c r="M1452" t="inlineStr">
        <is>
          <t>v0.6：同一価格表セクション内で凡例継承を確定。</t>
        </is>
      </c>
      <c r="N1452" t="inlineStr">
        <is>
          <t>https://drive.google.com/file/d/1YUN-mtWYs48YBUHJk0C3vJXnhjyZFHyf/view</t>
        </is>
      </c>
    </row>
    <row r="1453">
      <c r="A1453" s="42" t="inlineStr">
        <is>
          <t>GSC-SL-001450</t>
        </is>
      </c>
      <c r="B1453" t="inlineStr">
        <is>
          <t>SZ-SL-001450</t>
        </is>
      </c>
      <c r="C1453" t="inlineStr">
        <is>
          <t>WT-SL-TATE-SUBERI</t>
        </is>
      </c>
      <c r="D1453" t="inlineStr">
        <is>
          <t>SP-SL-TATE-OP-TFT-OUT</t>
        </is>
      </c>
      <c r="E1453" t="inlineStr">
        <is>
          <t>16511</t>
        </is>
      </c>
      <c r="F1453" t="b">
        <v>1</v>
      </c>
      <c r="G1453" t="n">
        <v>119</v>
      </c>
      <c r="H1453" t="inlineStr">
        <is>
          <t>無印</t>
        </is>
      </c>
      <c r="I1453" t="n">
        <v>119</v>
      </c>
      <c r="J1453" t="inlineStr">
        <is>
          <t>P119|無印</t>
        </is>
      </c>
      <c r="K1453" t="inlineStr">
        <is>
          <t>同頁凡例へ直接連動</t>
        </is>
      </c>
      <c r="L1453" t="inlineStr">
        <is>
          <t>202604_LIXIL_サーモスＬ_業務用資料集_完成品価格表.pdf</t>
        </is>
      </c>
      <c r="M1453" t="inlineStr">
        <is>
          <t>v0.6：同一価格表セクション内で凡例継承を確定。</t>
        </is>
      </c>
      <c r="N1453" t="inlineStr">
        <is>
          <t>https://drive.google.com/file/d/1YUN-mtWYs48YBUHJk0C3vJXnhjyZFHyf/view</t>
        </is>
      </c>
    </row>
    <row r="1454">
      <c r="A1454" s="42" t="inlineStr">
        <is>
          <t>GSC-SL-001451</t>
        </is>
      </c>
      <c r="B1454" t="inlineStr">
        <is>
          <t>SZ-SL-001451</t>
        </is>
      </c>
      <c r="C1454" t="inlineStr">
        <is>
          <t>WT-SL-TATE-SUBERI</t>
        </is>
      </c>
      <c r="D1454" t="inlineStr">
        <is>
          <t>SP-SL-TATE-OP-TFT-OUT</t>
        </is>
      </c>
      <c r="E1454" t="inlineStr">
        <is>
          <t>16013</t>
        </is>
      </c>
      <c r="F1454" t="b">
        <v>1</v>
      </c>
      <c r="G1454" t="n">
        <v>119</v>
      </c>
      <c r="H1454" t="inlineStr">
        <is>
          <t>★</t>
        </is>
      </c>
      <c r="I1454" t="n">
        <v>119</v>
      </c>
      <c r="J1454" t="inlineStr">
        <is>
          <t>P119|★</t>
        </is>
      </c>
      <c r="K1454" t="inlineStr">
        <is>
          <t>同頁凡例へ直接連動</t>
        </is>
      </c>
      <c r="L1454" t="inlineStr">
        <is>
          <t>202604_LIXIL_サーモスＬ_業務用資料集_完成品価格表.pdf</t>
        </is>
      </c>
      <c r="M1454" t="inlineStr">
        <is>
          <t>v0.6：同一価格表セクション内で凡例継承を確定。</t>
        </is>
      </c>
      <c r="N1454" t="inlineStr">
        <is>
          <t>https://drive.google.com/file/d/1YUN-mtWYs48YBUHJk0C3vJXnhjyZFHyf/view</t>
        </is>
      </c>
    </row>
    <row r="1455">
      <c r="A1455" s="42" t="inlineStr">
        <is>
          <t>GSC-SL-001452</t>
        </is>
      </c>
      <c r="B1455" t="inlineStr">
        <is>
          <t>SZ-SL-001452</t>
        </is>
      </c>
      <c r="C1455" t="inlineStr">
        <is>
          <t>WT-SL-TATE-SUBERI</t>
        </is>
      </c>
      <c r="D1455" t="inlineStr">
        <is>
          <t>SP-SL-TATE-OP-TFT-OUT</t>
        </is>
      </c>
      <c r="E1455" t="inlineStr">
        <is>
          <t>16513</t>
        </is>
      </c>
      <c r="F1455" t="b">
        <v>1</v>
      </c>
      <c r="G1455" t="n">
        <v>119</v>
      </c>
      <c r="H1455" t="inlineStr">
        <is>
          <t>★</t>
        </is>
      </c>
      <c r="I1455" t="n">
        <v>119</v>
      </c>
      <c r="J1455" t="inlineStr">
        <is>
          <t>P119|★</t>
        </is>
      </c>
      <c r="K1455" t="inlineStr">
        <is>
          <t>同頁凡例へ直接連動</t>
        </is>
      </c>
      <c r="L1455" t="inlineStr">
        <is>
          <t>202604_LIXIL_サーモスＬ_業務用資料集_完成品価格表.pdf</t>
        </is>
      </c>
      <c r="M1455" t="inlineStr">
        <is>
          <t>v0.6：同一価格表セクション内で凡例継承を確定。</t>
        </is>
      </c>
      <c r="N1455" t="inlineStr">
        <is>
          <t>https://drive.google.com/file/d/1YUN-mtWYs48YBUHJk0C3vJXnhjyZFHyf/view</t>
        </is>
      </c>
    </row>
    <row r="1456">
      <c r="A1456" s="42" t="inlineStr">
        <is>
          <t>GSC-SL-001453</t>
        </is>
      </c>
      <c r="B1456" t="inlineStr">
        <is>
          <t>SZ-SL-001453</t>
        </is>
      </c>
      <c r="C1456" t="inlineStr">
        <is>
          <t>WT-SL-TATE-SUBERI</t>
        </is>
      </c>
      <c r="D1456" t="inlineStr">
        <is>
          <t>SP-SL-TATE-OP-TF-IN</t>
        </is>
      </c>
      <c r="E1456" t="inlineStr">
        <is>
          <t>11409</t>
        </is>
      </c>
      <c r="F1456" t="b">
        <v>1</v>
      </c>
      <c r="G1456" t="n">
        <v>120</v>
      </c>
      <c r="H1456" t="inlineStr">
        <is>
          <t>無印</t>
        </is>
      </c>
      <c r="I1456" t="n">
        <v>120</v>
      </c>
      <c r="J1456" t="inlineStr">
        <is>
          <t>P120|無印</t>
        </is>
      </c>
      <c r="K1456" t="inlineStr">
        <is>
          <t>同頁凡例へ直接連動</t>
        </is>
      </c>
      <c r="L1456" t="inlineStr">
        <is>
          <t>202604_LIXIL_サーモスＬ_業務用資料集_完成品価格表.pdf</t>
        </is>
      </c>
      <c r="M1456" t="inlineStr">
        <is>
          <t>v0.6：同一価格表セクション内で凡例継承を確定。</t>
        </is>
      </c>
      <c r="N1456" t="inlineStr">
        <is>
          <t>https://drive.google.com/file/d/1YUN-mtWYs48YBUHJk0C3vJXnhjyZFHyf/view</t>
        </is>
      </c>
    </row>
    <row r="1457">
      <c r="A1457" s="42" t="inlineStr">
        <is>
          <t>GSC-SL-001454</t>
        </is>
      </c>
      <c r="B1457" t="inlineStr">
        <is>
          <t>SZ-SL-001454</t>
        </is>
      </c>
      <c r="C1457" t="inlineStr">
        <is>
          <t>WT-SL-TATE-SUBERI</t>
        </is>
      </c>
      <c r="D1457" t="inlineStr">
        <is>
          <t>SP-SL-TATE-OP-TF-IN</t>
        </is>
      </c>
      <c r="E1457" t="inlineStr">
        <is>
          <t>11909</t>
        </is>
      </c>
      <c r="F1457" t="b">
        <v>1</v>
      </c>
      <c r="G1457" t="n">
        <v>120</v>
      </c>
      <c r="H1457" t="inlineStr">
        <is>
          <t>無印</t>
        </is>
      </c>
      <c r="I1457" t="n">
        <v>120</v>
      </c>
      <c r="J1457" t="inlineStr">
        <is>
          <t>P120|無印</t>
        </is>
      </c>
      <c r="K1457" t="inlineStr">
        <is>
          <t>同頁凡例へ直接連動</t>
        </is>
      </c>
      <c r="L1457" t="inlineStr">
        <is>
          <t>202604_LIXIL_サーモスＬ_業務用資料集_完成品価格表.pdf</t>
        </is>
      </c>
      <c r="M1457" t="inlineStr">
        <is>
          <t>v0.6：同一価格表セクション内で凡例継承を確定。</t>
        </is>
      </c>
      <c r="N1457" t="inlineStr">
        <is>
          <t>https://drive.google.com/file/d/1YUN-mtWYs48YBUHJk0C3vJXnhjyZFHyf/view</t>
        </is>
      </c>
    </row>
    <row r="1458">
      <c r="A1458" s="42" t="inlineStr">
        <is>
          <t>GSC-SL-001455</t>
        </is>
      </c>
      <c r="B1458" t="inlineStr">
        <is>
          <t>SZ-SL-001455</t>
        </is>
      </c>
      <c r="C1458" t="inlineStr">
        <is>
          <t>WT-SL-TATE-SUBERI</t>
        </is>
      </c>
      <c r="D1458" t="inlineStr">
        <is>
          <t>SP-SL-TATE-OP-TF-IN</t>
        </is>
      </c>
      <c r="E1458" t="inlineStr">
        <is>
          <t>16009</t>
        </is>
      </c>
      <c r="F1458" t="b">
        <v>1</v>
      </c>
      <c r="G1458" t="n">
        <v>120</v>
      </c>
      <c r="H1458" t="inlineStr">
        <is>
          <t>無印</t>
        </is>
      </c>
      <c r="I1458" t="n">
        <v>120</v>
      </c>
      <c r="J1458" t="inlineStr">
        <is>
          <t>P120|無印</t>
        </is>
      </c>
      <c r="K1458" t="inlineStr">
        <is>
          <t>同頁凡例へ直接連動</t>
        </is>
      </c>
      <c r="L1458" t="inlineStr">
        <is>
          <t>202604_LIXIL_サーモスＬ_業務用資料集_完成品価格表.pdf</t>
        </is>
      </c>
      <c r="M1458" t="inlineStr">
        <is>
          <t>v0.6：同一価格表セクション内で凡例継承を確定。</t>
        </is>
      </c>
      <c r="N1458" t="inlineStr">
        <is>
          <t>https://drive.google.com/file/d/1YUN-mtWYs48YBUHJk0C3vJXnhjyZFHyf/view</t>
        </is>
      </c>
    </row>
    <row r="1459">
      <c r="A1459" s="42" t="inlineStr">
        <is>
          <t>GSC-SL-001456</t>
        </is>
      </c>
      <c r="B1459" t="inlineStr">
        <is>
          <t>SZ-SL-001456</t>
        </is>
      </c>
      <c r="C1459" t="inlineStr">
        <is>
          <t>WT-SL-TATE-SUBERI</t>
        </is>
      </c>
      <c r="D1459" t="inlineStr">
        <is>
          <t>SP-SL-TATE-OP-TF-IN</t>
        </is>
      </c>
      <c r="E1459" t="inlineStr">
        <is>
          <t>16509</t>
        </is>
      </c>
      <c r="F1459" t="b">
        <v>1</v>
      </c>
      <c r="G1459" t="n">
        <v>120</v>
      </c>
      <c r="H1459" t="inlineStr">
        <is>
          <t>無印</t>
        </is>
      </c>
      <c r="I1459" t="n">
        <v>120</v>
      </c>
      <c r="J1459" t="inlineStr">
        <is>
          <t>P120|無印</t>
        </is>
      </c>
      <c r="K1459" t="inlineStr">
        <is>
          <t>同頁凡例へ直接連動</t>
        </is>
      </c>
      <c r="L1459" t="inlineStr">
        <is>
          <t>202604_LIXIL_サーモスＬ_業務用資料集_完成品価格表.pdf</t>
        </is>
      </c>
      <c r="M1459" t="inlineStr">
        <is>
          <t>v0.6：同一価格表セクション内で凡例継承を確定。</t>
        </is>
      </c>
      <c r="N1459" t="inlineStr">
        <is>
          <t>https://drive.google.com/file/d/1YUN-mtWYs48YBUHJk0C3vJXnhjyZFHyf/view</t>
        </is>
      </c>
    </row>
    <row r="1460">
      <c r="A1460" s="42" t="inlineStr">
        <is>
          <t>GSC-SL-001457</t>
        </is>
      </c>
      <c r="B1460" t="inlineStr">
        <is>
          <t>SZ-SL-001457</t>
        </is>
      </c>
      <c r="C1460" t="inlineStr">
        <is>
          <t>WT-SL-TATE-SUBERI</t>
        </is>
      </c>
      <c r="D1460" t="inlineStr">
        <is>
          <t>SP-SL-TATE-OP-TF-IN</t>
        </is>
      </c>
      <c r="E1460" t="inlineStr">
        <is>
          <t>11411</t>
        </is>
      </c>
      <c r="F1460" t="b">
        <v>1</v>
      </c>
      <c r="G1460" t="n">
        <v>120</v>
      </c>
      <c r="H1460" t="inlineStr">
        <is>
          <t>無印</t>
        </is>
      </c>
      <c r="I1460" t="n">
        <v>120</v>
      </c>
      <c r="J1460" t="inlineStr">
        <is>
          <t>P120|無印</t>
        </is>
      </c>
      <c r="K1460" t="inlineStr">
        <is>
          <t>同頁凡例へ直接連動</t>
        </is>
      </c>
      <c r="L1460" t="inlineStr">
        <is>
          <t>202604_LIXIL_サーモスＬ_業務用資料集_完成品価格表.pdf</t>
        </is>
      </c>
      <c r="M1460" t="inlineStr">
        <is>
          <t>v0.6：同一価格表セクション内で凡例継承を確定。</t>
        </is>
      </c>
      <c r="N1460" t="inlineStr">
        <is>
          <t>https://drive.google.com/file/d/1YUN-mtWYs48YBUHJk0C3vJXnhjyZFHyf/view</t>
        </is>
      </c>
    </row>
    <row r="1461">
      <c r="A1461" s="42" t="inlineStr">
        <is>
          <t>GSC-SL-001458</t>
        </is>
      </c>
      <c r="B1461" t="inlineStr">
        <is>
          <t>SZ-SL-001458</t>
        </is>
      </c>
      <c r="C1461" t="inlineStr">
        <is>
          <t>WT-SL-TATE-SUBERI</t>
        </is>
      </c>
      <c r="D1461" t="inlineStr">
        <is>
          <t>SP-SL-TATE-OP-TF-IN</t>
        </is>
      </c>
      <c r="E1461" t="inlineStr">
        <is>
          <t>11911</t>
        </is>
      </c>
      <c r="F1461" t="b">
        <v>1</v>
      </c>
      <c r="G1461" t="n">
        <v>120</v>
      </c>
      <c r="H1461" t="inlineStr">
        <is>
          <t>無印</t>
        </is>
      </c>
      <c r="I1461" t="n">
        <v>120</v>
      </c>
      <c r="J1461" t="inlineStr">
        <is>
          <t>P120|無印</t>
        </is>
      </c>
      <c r="K1461" t="inlineStr">
        <is>
          <t>同頁凡例へ直接連動</t>
        </is>
      </c>
      <c r="L1461" t="inlineStr">
        <is>
          <t>202604_LIXIL_サーモスＬ_業務用資料集_完成品価格表.pdf</t>
        </is>
      </c>
      <c r="M1461" t="inlineStr">
        <is>
          <t>v0.6：同一価格表セクション内で凡例継承を確定。</t>
        </is>
      </c>
      <c r="N1461" t="inlineStr">
        <is>
          <t>https://drive.google.com/file/d/1YUN-mtWYs48YBUHJk0C3vJXnhjyZFHyf/view</t>
        </is>
      </c>
    </row>
    <row r="1462">
      <c r="A1462" s="42" t="inlineStr">
        <is>
          <t>GSC-SL-001459</t>
        </is>
      </c>
      <c r="B1462" t="inlineStr">
        <is>
          <t>SZ-SL-001459</t>
        </is>
      </c>
      <c r="C1462" t="inlineStr">
        <is>
          <t>WT-SL-TATE-SUBERI</t>
        </is>
      </c>
      <c r="D1462" t="inlineStr">
        <is>
          <t>SP-SL-TATE-OP-TF-IN</t>
        </is>
      </c>
      <c r="E1462" t="inlineStr">
        <is>
          <t>16011</t>
        </is>
      </c>
      <c r="F1462" t="b">
        <v>1</v>
      </c>
      <c r="G1462" t="n">
        <v>120</v>
      </c>
      <c r="H1462" t="inlineStr">
        <is>
          <t>★</t>
        </is>
      </c>
      <c r="I1462" t="n">
        <v>120</v>
      </c>
      <c r="J1462" t="inlineStr">
        <is>
          <t>P120|★</t>
        </is>
      </c>
      <c r="K1462" t="inlineStr">
        <is>
          <t>同頁凡例へ直接連動</t>
        </is>
      </c>
      <c r="L1462" t="inlineStr">
        <is>
          <t>202604_LIXIL_サーモスＬ_業務用資料集_完成品価格表.pdf</t>
        </is>
      </c>
      <c r="M1462" t="inlineStr">
        <is>
          <t>v0.6：同一価格表セクション内で凡例継承を確定。</t>
        </is>
      </c>
      <c r="N1462" t="inlineStr">
        <is>
          <t>https://drive.google.com/file/d/1YUN-mtWYs48YBUHJk0C3vJXnhjyZFHyf/view</t>
        </is>
      </c>
    </row>
    <row r="1463">
      <c r="A1463" s="42" t="inlineStr">
        <is>
          <t>GSC-SL-001460</t>
        </is>
      </c>
      <c r="B1463" t="inlineStr">
        <is>
          <t>SZ-SL-001460</t>
        </is>
      </c>
      <c r="C1463" t="inlineStr">
        <is>
          <t>WT-SL-TATE-SUBERI</t>
        </is>
      </c>
      <c r="D1463" t="inlineStr">
        <is>
          <t>SP-SL-TATE-OP-TF-IN</t>
        </is>
      </c>
      <c r="E1463" t="inlineStr">
        <is>
          <t>16511</t>
        </is>
      </c>
      <c r="F1463" t="b">
        <v>1</v>
      </c>
      <c r="G1463" t="n">
        <v>120</v>
      </c>
      <c r="H1463" t="inlineStr">
        <is>
          <t>★</t>
        </is>
      </c>
      <c r="I1463" t="n">
        <v>120</v>
      </c>
      <c r="J1463" t="inlineStr">
        <is>
          <t>P120|★</t>
        </is>
      </c>
      <c r="K1463" t="inlineStr">
        <is>
          <t>同頁凡例へ直接連動</t>
        </is>
      </c>
      <c r="L1463" t="inlineStr">
        <is>
          <t>202604_LIXIL_サーモスＬ_業務用資料集_完成品価格表.pdf</t>
        </is>
      </c>
      <c r="M1463" t="inlineStr">
        <is>
          <t>v0.6：同一価格表セクション内で凡例継承を確定。</t>
        </is>
      </c>
      <c r="N1463" t="inlineStr">
        <is>
          <t>https://drive.google.com/file/d/1YUN-mtWYs48YBUHJk0C3vJXnhjyZFHyf/view</t>
        </is>
      </c>
    </row>
    <row r="1464">
      <c r="A1464" s="42" t="inlineStr">
        <is>
          <t>GSC-SL-001461</t>
        </is>
      </c>
      <c r="B1464" t="inlineStr">
        <is>
          <t>SZ-SL-001461</t>
        </is>
      </c>
      <c r="C1464" t="inlineStr">
        <is>
          <t>WT-SL-TATE-SUBERI</t>
        </is>
      </c>
      <c r="D1464" t="inlineStr">
        <is>
          <t>SP-SL-TATE-OP-TF-IN</t>
        </is>
      </c>
      <c r="E1464" t="inlineStr">
        <is>
          <t>11413</t>
        </is>
      </c>
      <c r="F1464" t="b">
        <v>1</v>
      </c>
      <c r="G1464" t="n">
        <v>120</v>
      </c>
      <c r="H1464" t="inlineStr">
        <is>
          <t>無印</t>
        </is>
      </c>
      <c r="I1464" t="n">
        <v>120</v>
      </c>
      <c r="J1464" t="inlineStr">
        <is>
          <t>P120|無印</t>
        </is>
      </c>
      <c r="K1464" t="inlineStr">
        <is>
          <t>同頁凡例へ直接連動</t>
        </is>
      </c>
      <c r="L1464" t="inlineStr">
        <is>
          <t>202604_LIXIL_サーモスＬ_業務用資料集_完成品価格表.pdf</t>
        </is>
      </c>
      <c r="M1464" t="inlineStr">
        <is>
          <t>v0.6：同一価格表セクション内で凡例継承を確定。</t>
        </is>
      </c>
      <c r="N1464" t="inlineStr">
        <is>
          <t>https://drive.google.com/file/d/1YUN-mtWYs48YBUHJk0C3vJXnhjyZFHyf/view</t>
        </is>
      </c>
    </row>
    <row r="1465">
      <c r="A1465" s="42" t="inlineStr">
        <is>
          <t>GSC-SL-001462</t>
        </is>
      </c>
      <c r="B1465" t="inlineStr">
        <is>
          <t>SZ-SL-001462</t>
        </is>
      </c>
      <c r="C1465" t="inlineStr">
        <is>
          <t>WT-SL-TATE-SUBERI</t>
        </is>
      </c>
      <c r="D1465" t="inlineStr">
        <is>
          <t>SP-SL-TATE-OP-TF-IN</t>
        </is>
      </c>
      <c r="E1465" t="inlineStr">
        <is>
          <t>11913</t>
        </is>
      </c>
      <c r="F1465" t="b">
        <v>1</v>
      </c>
      <c r="G1465" t="n">
        <v>120</v>
      </c>
      <c r="H1465" t="inlineStr">
        <is>
          <t>無印</t>
        </is>
      </c>
      <c r="I1465" t="n">
        <v>120</v>
      </c>
      <c r="J1465" t="inlineStr">
        <is>
          <t>P120|無印</t>
        </is>
      </c>
      <c r="K1465" t="inlineStr">
        <is>
          <t>同頁凡例へ直接連動</t>
        </is>
      </c>
      <c r="L1465" t="inlineStr">
        <is>
          <t>202604_LIXIL_サーモスＬ_業務用資料集_完成品価格表.pdf</t>
        </is>
      </c>
      <c r="M1465" t="inlineStr">
        <is>
          <t>v0.6：同一価格表セクション内で凡例継承を確定。</t>
        </is>
      </c>
      <c r="N1465" t="inlineStr">
        <is>
          <t>https://drive.google.com/file/d/1YUN-mtWYs48YBUHJk0C3vJXnhjyZFHyf/view</t>
        </is>
      </c>
    </row>
    <row r="1466">
      <c r="A1466" s="42" t="inlineStr">
        <is>
          <t>GSC-SL-001463</t>
        </is>
      </c>
      <c r="B1466" t="inlineStr">
        <is>
          <t>SZ-SL-001463</t>
        </is>
      </c>
      <c r="C1466" t="inlineStr">
        <is>
          <t>WT-SL-TATE-SUBERI</t>
        </is>
      </c>
      <c r="D1466" t="inlineStr">
        <is>
          <t>SP-SL-TATE-OP-TF-IN</t>
        </is>
      </c>
      <c r="E1466" t="inlineStr">
        <is>
          <t>16013</t>
        </is>
      </c>
      <c r="F1466" t="b">
        <v>1</v>
      </c>
      <c r="G1466" t="n">
        <v>120</v>
      </c>
      <c r="H1466" t="inlineStr">
        <is>
          <t>★</t>
        </is>
      </c>
      <c r="I1466" t="n">
        <v>120</v>
      </c>
      <c r="J1466" t="inlineStr">
        <is>
          <t>P120|★</t>
        </is>
      </c>
      <c r="K1466" t="inlineStr">
        <is>
          <t>同頁凡例へ直接連動</t>
        </is>
      </c>
      <c r="L1466" t="inlineStr">
        <is>
          <t>202604_LIXIL_サーモスＬ_業務用資料集_完成品価格表.pdf</t>
        </is>
      </c>
      <c r="M1466" t="inlineStr">
        <is>
          <t>v0.6：同一価格表セクション内で凡例継承を確定。</t>
        </is>
      </c>
      <c r="N1466" t="inlineStr">
        <is>
          <t>https://drive.google.com/file/d/1YUN-mtWYs48YBUHJk0C3vJXnhjyZFHyf/view</t>
        </is>
      </c>
    </row>
    <row r="1467">
      <c r="A1467" s="42" t="inlineStr">
        <is>
          <t>GSC-SL-001464</t>
        </is>
      </c>
      <c r="B1467" t="inlineStr">
        <is>
          <t>SZ-SL-001464</t>
        </is>
      </c>
      <c r="C1467" t="inlineStr">
        <is>
          <t>WT-SL-TATE-SUBERI</t>
        </is>
      </c>
      <c r="D1467" t="inlineStr">
        <is>
          <t>SP-SL-TATE-OP-TF-IN</t>
        </is>
      </c>
      <c r="E1467" t="inlineStr">
        <is>
          <t>16513</t>
        </is>
      </c>
      <c r="F1467" t="b">
        <v>1</v>
      </c>
      <c r="G1467" t="n">
        <v>120</v>
      </c>
      <c r="H1467" t="inlineStr">
        <is>
          <t>★</t>
        </is>
      </c>
      <c r="I1467" t="n">
        <v>120</v>
      </c>
      <c r="J1467" t="inlineStr">
        <is>
          <t>P120|★</t>
        </is>
      </c>
      <c r="K1467" t="inlineStr">
        <is>
          <t>同頁凡例へ直接連動</t>
        </is>
      </c>
      <c r="L1467" t="inlineStr">
        <is>
          <t>202604_LIXIL_サーモスＬ_業務用資料集_完成品価格表.pdf</t>
        </is>
      </c>
      <c r="M1467" t="inlineStr">
        <is>
          <t>v0.6：同一価格表セクション内で凡例継承を確定。</t>
        </is>
      </c>
      <c r="N1467" t="inlineStr">
        <is>
          <t>https://drive.google.com/file/d/1YUN-mtWYs48YBUHJk0C3vJXnhjyZFHyf/view</t>
        </is>
      </c>
    </row>
    <row r="1468">
      <c r="A1468" s="42" t="inlineStr">
        <is>
          <t>GSC-SL-001465</t>
        </is>
      </c>
      <c r="B1468" t="inlineStr">
        <is>
          <t>SZ-SL-001465</t>
        </is>
      </c>
      <c r="C1468" t="inlineStr">
        <is>
          <t>WT-SL-TATE-SUBERI</t>
        </is>
      </c>
      <c r="D1468" t="inlineStr">
        <is>
          <t>SP-SL-TATE-OP-TFT-IN</t>
        </is>
      </c>
      <c r="E1468" t="inlineStr">
        <is>
          <t>16009</t>
        </is>
      </c>
      <c r="F1468" t="b">
        <v>1</v>
      </c>
      <c r="G1468" t="n">
        <v>121</v>
      </c>
      <c r="H1468" t="inlineStr">
        <is>
          <t>無印</t>
        </is>
      </c>
      <c r="I1468" t="n">
        <v>121</v>
      </c>
      <c r="J1468" t="inlineStr">
        <is>
          <t>P121|無印</t>
        </is>
      </c>
      <c r="K1468" t="inlineStr">
        <is>
          <t>同頁凡例へ直接連動</t>
        </is>
      </c>
      <c r="L1468" t="inlineStr">
        <is>
          <t>202604_LIXIL_サーモスＬ_業務用資料集_完成品価格表.pdf</t>
        </is>
      </c>
      <c r="M1468" t="inlineStr">
        <is>
          <t>v0.6：同一価格表セクション内で凡例継承を確定。</t>
        </is>
      </c>
      <c r="N1468" t="inlineStr">
        <is>
          <t>https://drive.google.com/file/d/1YUN-mtWYs48YBUHJk0C3vJXnhjyZFHyf/view</t>
        </is>
      </c>
    </row>
    <row r="1469">
      <c r="A1469" s="42" t="inlineStr">
        <is>
          <t>GSC-SL-001466</t>
        </is>
      </c>
      <c r="B1469" t="inlineStr">
        <is>
          <t>SZ-SL-001466</t>
        </is>
      </c>
      <c r="C1469" t="inlineStr">
        <is>
          <t>WT-SL-TATE-SUBERI</t>
        </is>
      </c>
      <c r="D1469" t="inlineStr">
        <is>
          <t>SP-SL-TATE-OP-TFT-IN</t>
        </is>
      </c>
      <c r="E1469" t="inlineStr">
        <is>
          <t>16509</t>
        </is>
      </c>
      <c r="F1469" t="b">
        <v>1</v>
      </c>
      <c r="G1469" t="n">
        <v>121</v>
      </c>
      <c r="H1469" t="inlineStr">
        <is>
          <t>無印</t>
        </is>
      </c>
      <c r="I1469" t="n">
        <v>121</v>
      </c>
      <c r="J1469" t="inlineStr">
        <is>
          <t>P121|無印</t>
        </is>
      </c>
      <c r="K1469" t="inlineStr">
        <is>
          <t>同頁凡例へ直接連動</t>
        </is>
      </c>
      <c r="L1469" t="inlineStr">
        <is>
          <t>202604_LIXIL_サーモスＬ_業務用資料集_完成品価格表.pdf</t>
        </is>
      </c>
      <c r="M1469" t="inlineStr">
        <is>
          <t>v0.6：同一価格表セクション内で凡例継承を確定。</t>
        </is>
      </c>
      <c r="N1469" t="inlineStr">
        <is>
          <t>https://drive.google.com/file/d/1YUN-mtWYs48YBUHJk0C3vJXnhjyZFHyf/view</t>
        </is>
      </c>
    </row>
    <row r="1470">
      <c r="A1470" s="42" t="inlineStr">
        <is>
          <t>GSC-SL-001467</t>
        </is>
      </c>
      <c r="B1470" t="inlineStr">
        <is>
          <t>SZ-SL-001467</t>
        </is>
      </c>
      <c r="C1470" t="inlineStr">
        <is>
          <t>WT-SL-TATE-SUBERI</t>
        </is>
      </c>
      <c r="D1470" t="inlineStr">
        <is>
          <t>SP-SL-TATE-OP-TFT-IN</t>
        </is>
      </c>
      <c r="E1470" t="inlineStr">
        <is>
          <t>16011</t>
        </is>
      </c>
      <c r="F1470" t="b">
        <v>1</v>
      </c>
      <c r="G1470" t="n">
        <v>121</v>
      </c>
      <c r="H1470" t="inlineStr">
        <is>
          <t>無印</t>
        </is>
      </c>
      <c r="I1470" t="n">
        <v>121</v>
      </c>
      <c r="J1470" t="inlineStr">
        <is>
          <t>P121|無印</t>
        </is>
      </c>
      <c r="K1470" t="inlineStr">
        <is>
          <t>同頁凡例へ直接連動</t>
        </is>
      </c>
      <c r="L1470" t="inlineStr">
        <is>
          <t>202604_LIXIL_サーモスＬ_業務用資料集_完成品価格表.pdf</t>
        </is>
      </c>
      <c r="M1470" t="inlineStr">
        <is>
          <t>v0.6：同一価格表セクション内で凡例継承を確定。</t>
        </is>
      </c>
      <c r="N1470" t="inlineStr">
        <is>
          <t>https://drive.google.com/file/d/1YUN-mtWYs48YBUHJk0C3vJXnhjyZFHyf/view</t>
        </is>
      </c>
    </row>
    <row r="1471">
      <c r="A1471" s="42" t="inlineStr">
        <is>
          <t>GSC-SL-001468</t>
        </is>
      </c>
      <c r="B1471" t="inlineStr">
        <is>
          <t>SZ-SL-001468</t>
        </is>
      </c>
      <c r="C1471" t="inlineStr">
        <is>
          <t>WT-SL-TATE-SUBERI</t>
        </is>
      </c>
      <c r="D1471" t="inlineStr">
        <is>
          <t>SP-SL-TATE-OP-TFT-IN</t>
        </is>
      </c>
      <c r="E1471" t="inlineStr">
        <is>
          <t>16511</t>
        </is>
      </c>
      <c r="F1471" t="b">
        <v>1</v>
      </c>
      <c r="G1471" t="n">
        <v>121</v>
      </c>
      <c r="H1471" t="inlineStr">
        <is>
          <t>無印</t>
        </is>
      </c>
      <c r="I1471" t="n">
        <v>121</v>
      </c>
      <c r="J1471" t="inlineStr">
        <is>
          <t>P121|無印</t>
        </is>
      </c>
      <c r="K1471" t="inlineStr">
        <is>
          <t>同頁凡例へ直接連動</t>
        </is>
      </c>
      <c r="L1471" t="inlineStr">
        <is>
          <t>202604_LIXIL_サーモスＬ_業務用資料集_完成品価格表.pdf</t>
        </is>
      </c>
      <c r="M1471" t="inlineStr">
        <is>
          <t>v0.6：同一価格表セクション内で凡例継承を確定。</t>
        </is>
      </c>
      <c r="N1471" t="inlineStr">
        <is>
          <t>https://drive.google.com/file/d/1YUN-mtWYs48YBUHJk0C3vJXnhjyZFHyf/view</t>
        </is>
      </c>
    </row>
    <row r="1472">
      <c r="A1472" s="42" t="inlineStr">
        <is>
          <t>GSC-SL-001469</t>
        </is>
      </c>
      <c r="B1472" t="inlineStr">
        <is>
          <t>SZ-SL-001469</t>
        </is>
      </c>
      <c r="C1472" t="inlineStr">
        <is>
          <t>WT-SL-TATE-SUBERI</t>
        </is>
      </c>
      <c r="D1472" t="inlineStr">
        <is>
          <t>SP-SL-TATE-OP-TFT-IN</t>
        </is>
      </c>
      <c r="E1472" t="inlineStr">
        <is>
          <t>16013</t>
        </is>
      </c>
      <c r="F1472" t="b">
        <v>1</v>
      </c>
      <c r="G1472" t="n">
        <v>121</v>
      </c>
      <c r="H1472" t="inlineStr">
        <is>
          <t>無印</t>
        </is>
      </c>
      <c r="I1472" t="n">
        <v>121</v>
      </c>
      <c r="J1472" t="inlineStr">
        <is>
          <t>P121|無印</t>
        </is>
      </c>
      <c r="K1472" t="inlineStr">
        <is>
          <t>同頁凡例へ直接連動</t>
        </is>
      </c>
      <c r="L1472" t="inlineStr">
        <is>
          <t>202604_LIXIL_サーモスＬ_業務用資料集_完成品価格表.pdf</t>
        </is>
      </c>
      <c r="M1472" t="inlineStr">
        <is>
          <t>v0.6：同一価格表セクション内で凡例継承を確定。</t>
        </is>
      </c>
      <c r="N1472" t="inlineStr">
        <is>
          <t>https://drive.google.com/file/d/1YUN-mtWYs48YBUHJk0C3vJXnhjyZFHyf/view</t>
        </is>
      </c>
    </row>
    <row r="1473">
      <c r="A1473" s="42" t="inlineStr">
        <is>
          <t>GSC-SL-001470</t>
        </is>
      </c>
      <c r="B1473" t="inlineStr">
        <is>
          <t>SZ-SL-001470</t>
        </is>
      </c>
      <c r="C1473" t="inlineStr">
        <is>
          <t>WT-SL-TATE-SUBERI</t>
        </is>
      </c>
      <c r="D1473" t="inlineStr">
        <is>
          <t>SP-SL-TATE-OP-TFT-IN</t>
        </is>
      </c>
      <c r="E1473" t="inlineStr">
        <is>
          <t>16513</t>
        </is>
      </c>
      <c r="F1473" t="b">
        <v>1</v>
      </c>
      <c r="G1473" t="n">
        <v>121</v>
      </c>
      <c r="H1473" t="inlineStr">
        <is>
          <t>★</t>
        </is>
      </c>
      <c r="I1473" t="n">
        <v>121</v>
      </c>
      <c r="J1473" t="inlineStr">
        <is>
          <t>P121|★</t>
        </is>
      </c>
      <c r="K1473" t="inlineStr">
        <is>
          <t>同頁凡例へ直接連動</t>
        </is>
      </c>
      <c r="L1473" t="inlineStr">
        <is>
          <t>202604_LIXIL_サーモスＬ_業務用資料集_完成品価格表.pdf</t>
        </is>
      </c>
      <c r="M1473" t="inlineStr">
        <is>
          <t>v0.6：同一価格表セクション内で凡例継承を確定。</t>
        </is>
      </c>
      <c r="N1473" t="inlineStr">
        <is>
          <t>https://drive.google.com/file/d/1YUN-mtWYs48YBUHJk0C3vJXnhjyZFHyf/view</t>
        </is>
      </c>
    </row>
    <row r="1474">
      <c r="A1474" s="42" t="inlineStr">
        <is>
          <t>GSC-SL-001471</t>
        </is>
      </c>
      <c r="B1474" t="inlineStr">
        <is>
          <t>SZ-SL-001471</t>
        </is>
      </c>
      <c r="C1474" t="inlineStr">
        <is>
          <t>WT-SL-TATE-SUBERI</t>
        </is>
      </c>
      <c r="D1474" t="inlineStr">
        <is>
          <t>SP-SL-TATE-CAM-T</t>
        </is>
      </c>
      <c r="E1474" t="inlineStr">
        <is>
          <t>02607</t>
        </is>
      </c>
      <c r="F1474" t="b">
        <v>1</v>
      </c>
      <c r="G1474" t="n">
        <v>122</v>
      </c>
      <c r="H1474" t="inlineStr">
        <is>
          <t>無印</t>
        </is>
      </c>
      <c r="I1474" t="n">
        <v>123</v>
      </c>
      <c r="J1474" t="inlineStr">
        <is>
          <t>P123|無印</t>
        </is>
      </c>
      <c r="K1474" t="inlineStr">
        <is>
          <t>同一価格表・次頁凡例を継承</t>
        </is>
      </c>
      <c r="L1474" t="inlineStr">
        <is>
          <t>202604_LIXIL_サーモスＬ_業務用資料集_完成品価格表.pdf</t>
        </is>
      </c>
      <c r="M1474" t="inlineStr">
        <is>
          <t>v0.6：同一価格表セクション内で凡例継承を確定。</t>
        </is>
      </c>
      <c r="N1474" t="inlineStr">
        <is>
          <t>https://drive.google.com/file/d/1YUN-mtWYs48YBUHJk0C3vJXnhjyZFHyf/view</t>
        </is>
      </c>
    </row>
    <row r="1475">
      <c r="A1475" s="42" t="inlineStr">
        <is>
          <t>GSC-SL-001472</t>
        </is>
      </c>
      <c r="B1475" t="inlineStr">
        <is>
          <t>SZ-SL-001472</t>
        </is>
      </c>
      <c r="C1475" t="inlineStr">
        <is>
          <t>WT-SL-TATE-SUBERI</t>
        </is>
      </c>
      <c r="D1475" t="inlineStr">
        <is>
          <t>SP-SL-TATE-CAM-T</t>
        </is>
      </c>
      <c r="E1475" t="inlineStr">
        <is>
          <t>02109</t>
        </is>
      </c>
      <c r="F1475" t="b">
        <v>1</v>
      </c>
      <c r="G1475" t="n">
        <v>122</v>
      </c>
      <c r="H1475" t="inlineStr">
        <is>
          <t>無印</t>
        </is>
      </c>
      <c r="I1475" t="n">
        <v>123</v>
      </c>
      <c r="J1475" t="inlineStr">
        <is>
          <t>P123|無印</t>
        </is>
      </c>
      <c r="K1475" t="inlineStr">
        <is>
          <t>同一価格表・次頁凡例を継承</t>
        </is>
      </c>
      <c r="L1475" t="inlineStr">
        <is>
          <t>202604_LIXIL_サーモスＬ_業務用資料集_完成品価格表.pdf</t>
        </is>
      </c>
      <c r="M1475" t="inlineStr">
        <is>
          <t>v0.6：同一価格表セクション内で凡例継承を確定。</t>
        </is>
      </c>
      <c r="N1475" t="inlineStr">
        <is>
          <t>https://drive.google.com/file/d/1YUN-mtWYs48YBUHJk0C3vJXnhjyZFHyf/view</t>
        </is>
      </c>
    </row>
    <row r="1476">
      <c r="A1476" s="42" t="inlineStr">
        <is>
          <t>GSC-SL-001473</t>
        </is>
      </c>
      <c r="B1476" t="inlineStr">
        <is>
          <t>SZ-SL-001473</t>
        </is>
      </c>
      <c r="C1476" t="inlineStr">
        <is>
          <t>WT-SL-TATE-SUBERI</t>
        </is>
      </c>
      <c r="D1476" t="inlineStr">
        <is>
          <t>SP-SL-TATE-CAM-T</t>
        </is>
      </c>
      <c r="E1476" t="inlineStr">
        <is>
          <t>02309</t>
        </is>
      </c>
      <c r="F1476" t="b">
        <v>1</v>
      </c>
      <c r="G1476" t="n">
        <v>122</v>
      </c>
      <c r="H1476" t="inlineStr">
        <is>
          <t>無印</t>
        </is>
      </c>
      <c r="I1476" t="n">
        <v>123</v>
      </c>
      <c r="J1476" t="inlineStr">
        <is>
          <t>P123|無印</t>
        </is>
      </c>
      <c r="K1476" t="inlineStr">
        <is>
          <t>同一価格表・次頁凡例を継承</t>
        </is>
      </c>
      <c r="L1476" t="inlineStr">
        <is>
          <t>202604_LIXIL_サーモスＬ_業務用資料集_完成品価格表.pdf</t>
        </is>
      </c>
      <c r="M1476" t="inlineStr">
        <is>
          <t>v0.6：同一価格表セクション内で凡例継承を確定。</t>
        </is>
      </c>
      <c r="N1476" t="inlineStr">
        <is>
          <t>https://drive.google.com/file/d/1YUN-mtWYs48YBUHJk0C3vJXnhjyZFHyf/view</t>
        </is>
      </c>
    </row>
    <row r="1477">
      <c r="A1477" s="42" t="inlineStr">
        <is>
          <t>GSC-SL-001474</t>
        </is>
      </c>
      <c r="B1477" t="inlineStr">
        <is>
          <t>SZ-SL-001474</t>
        </is>
      </c>
      <c r="C1477" t="inlineStr">
        <is>
          <t>WT-SL-TATE-SUBERI</t>
        </is>
      </c>
      <c r="D1477" t="inlineStr">
        <is>
          <t>SP-SL-TATE-CAM-T</t>
        </is>
      </c>
      <c r="E1477" t="inlineStr">
        <is>
          <t>02609</t>
        </is>
      </c>
      <c r="F1477" t="b">
        <v>1</v>
      </c>
      <c r="G1477" t="n">
        <v>122</v>
      </c>
      <c r="H1477" t="inlineStr">
        <is>
          <t>無印</t>
        </is>
      </c>
      <c r="I1477" t="n">
        <v>123</v>
      </c>
      <c r="J1477" t="inlineStr">
        <is>
          <t>P123|無印</t>
        </is>
      </c>
      <c r="K1477" t="inlineStr">
        <is>
          <t>同一価格表・次頁凡例を継承</t>
        </is>
      </c>
      <c r="L1477" t="inlineStr">
        <is>
          <t>202604_LIXIL_サーモスＬ_業務用資料集_完成品価格表.pdf</t>
        </is>
      </c>
      <c r="M1477" t="inlineStr">
        <is>
          <t>v0.6：同一価格表セクション内で凡例継承を確定。</t>
        </is>
      </c>
      <c r="N1477" t="inlineStr">
        <is>
          <t>https://drive.google.com/file/d/1YUN-mtWYs48YBUHJk0C3vJXnhjyZFHyf/view</t>
        </is>
      </c>
    </row>
    <row r="1478">
      <c r="A1478" s="42" t="inlineStr">
        <is>
          <t>GSC-SL-001475</t>
        </is>
      </c>
      <c r="B1478" t="inlineStr">
        <is>
          <t>SZ-SL-001475</t>
        </is>
      </c>
      <c r="C1478" t="inlineStr">
        <is>
          <t>WT-SL-TATE-SUBERI</t>
        </is>
      </c>
      <c r="D1478" t="inlineStr">
        <is>
          <t>SP-SL-TATE-CAM-T</t>
        </is>
      </c>
      <c r="E1478" t="inlineStr">
        <is>
          <t>02111</t>
        </is>
      </c>
      <c r="F1478" t="b">
        <v>1</v>
      </c>
      <c r="G1478" t="n">
        <v>122</v>
      </c>
      <c r="H1478" t="inlineStr">
        <is>
          <t>無印</t>
        </is>
      </c>
      <c r="I1478" t="n">
        <v>123</v>
      </c>
      <c r="J1478" t="inlineStr">
        <is>
          <t>P123|無印</t>
        </is>
      </c>
      <c r="K1478" t="inlineStr">
        <is>
          <t>同一価格表・次頁凡例を継承</t>
        </is>
      </c>
      <c r="L1478" t="inlineStr">
        <is>
          <t>202604_LIXIL_サーモスＬ_業務用資料集_完成品価格表.pdf</t>
        </is>
      </c>
      <c r="M1478" t="inlineStr">
        <is>
          <t>v0.6：同一価格表セクション内で凡例継承を確定。</t>
        </is>
      </c>
      <c r="N1478" t="inlineStr">
        <is>
          <t>https://drive.google.com/file/d/1YUN-mtWYs48YBUHJk0C3vJXnhjyZFHyf/view</t>
        </is>
      </c>
    </row>
    <row r="1479">
      <c r="A1479" s="42" t="inlineStr">
        <is>
          <t>GSC-SL-001476</t>
        </is>
      </c>
      <c r="B1479" t="inlineStr">
        <is>
          <t>SZ-SL-001476</t>
        </is>
      </c>
      <c r="C1479" t="inlineStr">
        <is>
          <t>WT-SL-TATE-SUBERI</t>
        </is>
      </c>
      <c r="D1479" t="inlineStr">
        <is>
          <t>SP-SL-TATE-CAM-T</t>
        </is>
      </c>
      <c r="E1479" t="inlineStr">
        <is>
          <t>02311</t>
        </is>
      </c>
      <c r="F1479" t="b">
        <v>1</v>
      </c>
      <c r="G1479" t="n">
        <v>122</v>
      </c>
      <c r="H1479" t="inlineStr">
        <is>
          <t>無印</t>
        </is>
      </c>
      <c r="I1479" t="n">
        <v>123</v>
      </c>
      <c r="J1479" t="inlineStr">
        <is>
          <t>P123|無印</t>
        </is>
      </c>
      <c r="K1479" t="inlineStr">
        <is>
          <t>同一価格表・次頁凡例を継承</t>
        </is>
      </c>
      <c r="L1479" t="inlineStr">
        <is>
          <t>202604_LIXIL_サーモスＬ_業務用資料集_完成品価格表.pdf</t>
        </is>
      </c>
      <c r="M1479" t="inlineStr">
        <is>
          <t>v0.6：同一価格表セクション内で凡例継承を確定。</t>
        </is>
      </c>
      <c r="N1479" t="inlineStr">
        <is>
          <t>https://drive.google.com/file/d/1YUN-mtWYs48YBUHJk0C3vJXnhjyZFHyf/view</t>
        </is>
      </c>
    </row>
    <row r="1480">
      <c r="A1480" s="42" t="inlineStr">
        <is>
          <t>GSC-SL-001477</t>
        </is>
      </c>
      <c r="B1480" t="inlineStr">
        <is>
          <t>SZ-SL-001477</t>
        </is>
      </c>
      <c r="C1480" t="inlineStr">
        <is>
          <t>WT-SL-TATE-SUBERI</t>
        </is>
      </c>
      <c r="D1480" t="inlineStr">
        <is>
          <t>SP-SL-TATE-CAM-T</t>
        </is>
      </c>
      <c r="E1480" t="inlineStr">
        <is>
          <t>02611</t>
        </is>
      </c>
      <c r="F1480" t="b">
        <v>1</v>
      </c>
      <c r="G1480" t="n">
        <v>122</v>
      </c>
      <c r="H1480" t="inlineStr">
        <is>
          <t>無印</t>
        </is>
      </c>
      <c r="I1480" t="n">
        <v>123</v>
      </c>
      <c r="J1480" t="inlineStr">
        <is>
          <t>P123|無印</t>
        </is>
      </c>
      <c r="K1480" t="inlineStr">
        <is>
          <t>同一価格表・次頁凡例を継承</t>
        </is>
      </c>
      <c r="L1480" t="inlineStr">
        <is>
          <t>202604_LIXIL_サーモスＬ_業務用資料集_完成品価格表.pdf</t>
        </is>
      </c>
      <c r="M1480" t="inlineStr">
        <is>
          <t>v0.6：同一価格表セクション内で凡例継承を確定。</t>
        </is>
      </c>
      <c r="N1480" t="inlineStr">
        <is>
          <t>https://drive.google.com/file/d/1YUN-mtWYs48YBUHJk0C3vJXnhjyZFHyf/view</t>
        </is>
      </c>
    </row>
    <row r="1481">
      <c r="A1481" s="42" t="inlineStr">
        <is>
          <t>GSC-SL-001478</t>
        </is>
      </c>
      <c r="B1481" t="inlineStr">
        <is>
          <t>SZ-SL-001478</t>
        </is>
      </c>
      <c r="C1481" t="inlineStr">
        <is>
          <t>WT-SL-TATE-SUBERI</t>
        </is>
      </c>
      <c r="D1481" t="inlineStr">
        <is>
          <t>SP-SL-TATE-CAM-T</t>
        </is>
      </c>
      <c r="E1481" t="inlineStr">
        <is>
          <t>02113</t>
        </is>
      </c>
      <c r="F1481" t="b">
        <v>1</v>
      </c>
      <c r="G1481" t="n">
        <v>122</v>
      </c>
      <c r="H1481" t="inlineStr">
        <is>
          <t>無印</t>
        </is>
      </c>
      <c r="I1481" t="n">
        <v>123</v>
      </c>
      <c r="J1481" t="inlineStr">
        <is>
          <t>P123|無印</t>
        </is>
      </c>
      <c r="K1481" t="inlineStr">
        <is>
          <t>同一価格表・次頁凡例を継承</t>
        </is>
      </c>
      <c r="L1481" t="inlineStr">
        <is>
          <t>202604_LIXIL_サーモスＬ_業務用資料集_完成品価格表.pdf</t>
        </is>
      </c>
      <c r="M1481" t="inlineStr">
        <is>
          <t>v0.6：同一価格表セクション内で凡例継承を確定。</t>
        </is>
      </c>
      <c r="N1481" t="inlineStr">
        <is>
          <t>https://drive.google.com/file/d/1YUN-mtWYs48YBUHJk0C3vJXnhjyZFHyf/view</t>
        </is>
      </c>
    </row>
    <row r="1482">
      <c r="A1482" s="42" t="inlineStr">
        <is>
          <t>GSC-SL-001479</t>
        </is>
      </c>
      <c r="B1482" t="inlineStr">
        <is>
          <t>SZ-SL-001479</t>
        </is>
      </c>
      <c r="C1482" t="inlineStr">
        <is>
          <t>WT-SL-TATE-SUBERI</t>
        </is>
      </c>
      <c r="D1482" t="inlineStr">
        <is>
          <t>SP-SL-TATE-CAM-T</t>
        </is>
      </c>
      <c r="E1482" t="inlineStr">
        <is>
          <t>02313</t>
        </is>
      </c>
      <c r="F1482" t="b">
        <v>1</v>
      </c>
      <c r="G1482" t="n">
        <v>122</v>
      </c>
      <c r="H1482" t="inlineStr">
        <is>
          <t>無印</t>
        </is>
      </c>
      <c r="I1482" t="n">
        <v>123</v>
      </c>
      <c r="J1482" t="inlineStr">
        <is>
          <t>P123|無印</t>
        </is>
      </c>
      <c r="K1482" t="inlineStr">
        <is>
          <t>同一価格表・次頁凡例を継承</t>
        </is>
      </c>
      <c r="L1482" t="inlineStr">
        <is>
          <t>202604_LIXIL_サーモスＬ_業務用資料集_完成品価格表.pdf</t>
        </is>
      </c>
      <c r="M1482" t="inlineStr">
        <is>
          <t>v0.6：同一価格表セクション内で凡例継承を確定。</t>
        </is>
      </c>
      <c r="N1482" t="inlineStr">
        <is>
          <t>https://drive.google.com/file/d/1YUN-mtWYs48YBUHJk0C3vJXnhjyZFHyf/view</t>
        </is>
      </c>
    </row>
    <row r="1483">
      <c r="A1483" s="42" t="inlineStr">
        <is>
          <t>GSC-SL-001480</t>
        </is>
      </c>
      <c r="B1483" t="inlineStr">
        <is>
          <t>SZ-SL-001480</t>
        </is>
      </c>
      <c r="C1483" t="inlineStr">
        <is>
          <t>WT-SL-TATE-SUBERI</t>
        </is>
      </c>
      <c r="D1483" t="inlineStr">
        <is>
          <t>SP-SL-TATE-CAM-T</t>
        </is>
      </c>
      <c r="E1483" t="inlineStr">
        <is>
          <t>02613</t>
        </is>
      </c>
      <c r="F1483" t="b">
        <v>1</v>
      </c>
      <c r="G1483" t="n">
        <v>122</v>
      </c>
      <c r="H1483" t="inlineStr">
        <is>
          <t>無印</t>
        </is>
      </c>
      <c r="I1483" t="n">
        <v>123</v>
      </c>
      <c r="J1483" t="inlineStr">
        <is>
          <t>P123|無印</t>
        </is>
      </c>
      <c r="K1483" t="inlineStr">
        <is>
          <t>同一価格表・次頁凡例を継承</t>
        </is>
      </c>
      <c r="L1483" t="inlineStr">
        <is>
          <t>202604_LIXIL_サーモスＬ_業務用資料集_完成品価格表.pdf</t>
        </is>
      </c>
      <c r="M1483" t="inlineStr">
        <is>
          <t>v0.6：同一価格表セクション内で凡例継承を確定。</t>
        </is>
      </c>
      <c r="N1483" t="inlineStr">
        <is>
          <t>https://drive.google.com/file/d/1YUN-mtWYs48YBUHJk0C3vJXnhjyZFHyf/view</t>
        </is>
      </c>
    </row>
    <row r="1484">
      <c r="A1484" s="42" t="inlineStr">
        <is>
          <t>GSC-SL-001481</t>
        </is>
      </c>
      <c r="B1484" t="inlineStr">
        <is>
          <t>SZ-SL-001481</t>
        </is>
      </c>
      <c r="C1484" t="inlineStr">
        <is>
          <t>WT-SL-TATE-SUBERI</t>
        </is>
      </c>
      <c r="D1484" t="inlineStr">
        <is>
          <t>SP-SL-TATE-CAM-T</t>
        </is>
      </c>
      <c r="E1484" t="inlineStr">
        <is>
          <t>02115</t>
        </is>
      </c>
      <c r="F1484" t="b">
        <v>1</v>
      </c>
      <c r="G1484" t="n">
        <v>122</v>
      </c>
      <c r="H1484" t="inlineStr">
        <is>
          <t>無印</t>
        </is>
      </c>
      <c r="I1484" t="n">
        <v>123</v>
      </c>
      <c r="J1484" t="inlineStr">
        <is>
          <t>P123|無印</t>
        </is>
      </c>
      <c r="K1484" t="inlineStr">
        <is>
          <t>同一価格表・次頁凡例を継承</t>
        </is>
      </c>
      <c r="L1484" t="inlineStr">
        <is>
          <t>202604_LIXIL_サーモスＬ_業務用資料集_完成品価格表.pdf</t>
        </is>
      </c>
      <c r="M1484" t="inlineStr">
        <is>
          <t>v0.6：同一価格表セクション内で凡例継承を確定。</t>
        </is>
      </c>
      <c r="N1484" t="inlineStr">
        <is>
          <t>https://drive.google.com/file/d/1YUN-mtWYs48YBUHJk0C3vJXnhjyZFHyf/view</t>
        </is>
      </c>
    </row>
    <row r="1485">
      <c r="A1485" s="42" t="inlineStr">
        <is>
          <t>GSC-SL-001482</t>
        </is>
      </c>
      <c r="B1485" t="inlineStr">
        <is>
          <t>SZ-SL-001482</t>
        </is>
      </c>
      <c r="C1485" t="inlineStr">
        <is>
          <t>WT-SL-TATE-SUBERI</t>
        </is>
      </c>
      <c r="D1485" t="inlineStr">
        <is>
          <t>SP-SL-TATE-CAM-T</t>
        </is>
      </c>
      <c r="E1485" t="inlineStr">
        <is>
          <t>02615</t>
        </is>
      </c>
      <c r="F1485" t="b">
        <v>1</v>
      </c>
      <c r="G1485" t="n">
        <v>122</v>
      </c>
      <c r="H1485" t="inlineStr">
        <is>
          <t>無印</t>
        </is>
      </c>
      <c r="I1485" t="n">
        <v>123</v>
      </c>
      <c r="J1485" t="inlineStr">
        <is>
          <t>P123|無印</t>
        </is>
      </c>
      <c r="K1485" t="inlineStr">
        <is>
          <t>同一価格表・次頁凡例を継承</t>
        </is>
      </c>
      <c r="L1485" t="inlineStr">
        <is>
          <t>202604_LIXIL_サーモスＬ_業務用資料集_完成品価格表.pdf</t>
        </is>
      </c>
      <c r="M1485" t="inlineStr">
        <is>
          <t>v0.6：同一価格表セクション内で凡例継承を確定。</t>
        </is>
      </c>
      <c r="N1485" t="inlineStr">
        <is>
          <t>https://drive.google.com/file/d/1YUN-mtWYs48YBUHJk0C3vJXnhjyZFHyf/view</t>
        </is>
      </c>
    </row>
    <row r="1486">
      <c r="A1486" s="42" t="inlineStr">
        <is>
          <t>GSC-SL-001483</t>
        </is>
      </c>
      <c r="B1486" t="inlineStr">
        <is>
          <t>SZ-SL-001483</t>
        </is>
      </c>
      <c r="C1486" t="inlineStr">
        <is>
          <t>WT-SL-TATE-SUBERI</t>
        </is>
      </c>
      <c r="D1486" t="inlineStr">
        <is>
          <t>SP-SL-TATE-CAM-T</t>
        </is>
      </c>
      <c r="E1486" t="inlineStr">
        <is>
          <t>03607</t>
        </is>
      </c>
      <c r="F1486" t="b">
        <v>1</v>
      </c>
      <c r="G1486" t="n">
        <v>123</v>
      </c>
      <c r="H1486" t="inlineStr">
        <is>
          <t>無印</t>
        </is>
      </c>
      <c r="I1486" t="n">
        <v>123</v>
      </c>
      <c r="J1486" t="inlineStr">
        <is>
          <t>P123|無印</t>
        </is>
      </c>
      <c r="K1486" t="inlineStr">
        <is>
          <t>同頁凡例へ直接連動</t>
        </is>
      </c>
      <c r="L1486" t="inlineStr">
        <is>
          <t>202604_LIXIL_サーモスＬ_業務用資料集_完成品価格表.pdf</t>
        </is>
      </c>
      <c r="M1486" t="inlineStr">
        <is>
          <t>v0.6：同一価格表セクション内で凡例継承を確定。</t>
        </is>
      </c>
      <c r="N1486" t="inlineStr">
        <is>
          <t>https://drive.google.com/file/d/1YUN-mtWYs48YBUHJk0C3vJXnhjyZFHyf/view</t>
        </is>
      </c>
    </row>
    <row r="1487">
      <c r="A1487" s="42" t="inlineStr">
        <is>
          <t>GSC-SL-001484</t>
        </is>
      </c>
      <c r="B1487" t="inlineStr">
        <is>
          <t>SZ-SL-001484</t>
        </is>
      </c>
      <c r="C1487" t="inlineStr">
        <is>
          <t>WT-SL-TATE-SUBERI</t>
        </is>
      </c>
      <c r="D1487" t="inlineStr">
        <is>
          <t>SP-SL-TATE-CAM-T</t>
        </is>
      </c>
      <c r="E1487" t="inlineStr">
        <is>
          <t>06007</t>
        </is>
      </c>
      <c r="F1487" t="b">
        <v>1</v>
      </c>
      <c r="G1487" t="n">
        <v>123</v>
      </c>
      <c r="H1487" t="inlineStr">
        <is>
          <t>無印</t>
        </is>
      </c>
      <c r="I1487" t="n">
        <v>123</v>
      </c>
      <c r="J1487" t="inlineStr">
        <is>
          <t>P123|無印</t>
        </is>
      </c>
      <c r="K1487" t="inlineStr">
        <is>
          <t>同頁凡例へ直接連動</t>
        </is>
      </c>
      <c r="L1487" t="inlineStr">
        <is>
          <t>202604_LIXIL_サーモスＬ_業務用資料集_完成品価格表.pdf</t>
        </is>
      </c>
      <c r="M1487" t="inlineStr">
        <is>
          <t>v0.6：同一価格表セクション内で凡例継承を確定。</t>
        </is>
      </c>
      <c r="N1487" t="inlineStr">
        <is>
          <t>https://drive.google.com/file/d/1YUN-mtWYs48YBUHJk0C3vJXnhjyZFHyf/view</t>
        </is>
      </c>
    </row>
    <row r="1488">
      <c r="A1488" s="42" t="inlineStr">
        <is>
          <t>GSC-SL-001485</t>
        </is>
      </c>
      <c r="B1488" t="inlineStr">
        <is>
          <t>SZ-SL-001485</t>
        </is>
      </c>
      <c r="C1488" t="inlineStr">
        <is>
          <t>WT-SL-TATE-SUBERI</t>
        </is>
      </c>
      <c r="D1488" t="inlineStr">
        <is>
          <t>SP-SL-TATE-CAM-T</t>
        </is>
      </c>
      <c r="E1488" t="inlineStr">
        <is>
          <t>03109</t>
        </is>
      </c>
      <c r="F1488" t="b">
        <v>1</v>
      </c>
      <c r="G1488" t="n">
        <v>123</v>
      </c>
      <c r="H1488" t="inlineStr">
        <is>
          <t>無印</t>
        </is>
      </c>
      <c r="I1488" t="n">
        <v>123</v>
      </c>
      <c r="J1488" t="inlineStr">
        <is>
          <t>P123|無印</t>
        </is>
      </c>
      <c r="K1488" t="inlineStr">
        <is>
          <t>同頁凡例へ直接連動</t>
        </is>
      </c>
      <c r="L1488" t="inlineStr">
        <is>
          <t>202604_LIXIL_サーモスＬ_業務用資料集_完成品価格表.pdf</t>
        </is>
      </c>
      <c r="M1488" t="inlineStr">
        <is>
          <t>v0.6：同一価格表セクション内で凡例継承を確定。</t>
        </is>
      </c>
      <c r="N1488" t="inlineStr">
        <is>
          <t>https://drive.google.com/file/d/1YUN-mtWYs48YBUHJk0C3vJXnhjyZFHyf/view</t>
        </is>
      </c>
    </row>
    <row r="1489">
      <c r="A1489" s="42" t="inlineStr">
        <is>
          <t>GSC-SL-001486</t>
        </is>
      </c>
      <c r="B1489" t="inlineStr">
        <is>
          <t>SZ-SL-001486</t>
        </is>
      </c>
      <c r="C1489" t="inlineStr">
        <is>
          <t>WT-SL-TATE-SUBERI</t>
        </is>
      </c>
      <c r="D1489" t="inlineStr">
        <is>
          <t>SP-SL-TATE-CAM-T</t>
        </is>
      </c>
      <c r="E1489" t="inlineStr">
        <is>
          <t>03609</t>
        </is>
      </c>
      <c r="F1489" t="b">
        <v>1</v>
      </c>
      <c r="G1489" t="n">
        <v>123</v>
      </c>
      <c r="H1489" t="inlineStr">
        <is>
          <t>無印</t>
        </is>
      </c>
      <c r="I1489" t="n">
        <v>123</v>
      </c>
      <c r="J1489" t="inlineStr">
        <is>
          <t>P123|無印</t>
        </is>
      </c>
      <c r="K1489" t="inlineStr">
        <is>
          <t>同頁凡例へ直接連動</t>
        </is>
      </c>
      <c r="L1489" t="inlineStr">
        <is>
          <t>202604_LIXIL_サーモスＬ_業務用資料集_完成品価格表.pdf</t>
        </is>
      </c>
      <c r="M1489" t="inlineStr">
        <is>
          <t>v0.6：同一価格表セクション内で凡例継承を確定。</t>
        </is>
      </c>
      <c r="N1489" t="inlineStr">
        <is>
          <t>https://drive.google.com/file/d/1YUN-mtWYs48YBUHJk0C3vJXnhjyZFHyf/view</t>
        </is>
      </c>
    </row>
    <row r="1490">
      <c r="A1490" s="42" t="inlineStr">
        <is>
          <t>GSC-SL-001487</t>
        </is>
      </c>
      <c r="B1490" t="inlineStr">
        <is>
          <t>SZ-SL-001487</t>
        </is>
      </c>
      <c r="C1490" t="inlineStr">
        <is>
          <t>WT-SL-TATE-SUBERI</t>
        </is>
      </c>
      <c r="D1490" t="inlineStr">
        <is>
          <t>SP-SL-TATE-CAM-T</t>
        </is>
      </c>
      <c r="E1490" t="inlineStr">
        <is>
          <t>06009</t>
        </is>
      </c>
      <c r="F1490" t="b">
        <v>1</v>
      </c>
      <c r="G1490" t="n">
        <v>123</v>
      </c>
      <c r="H1490" t="inlineStr">
        <is>
          <t>無印</t>
        </is>
      </c>
      <c r="I1490" t="n">
        <v>123</v>
      </c>
      <c r="J1490" t="inlineStr">
        <is>
          <t>P123|無印</t>
        </is>
      </c>
      <c r="K1490" t="inlineStr">
        <is>
          <t>同頁凡例へ直接連動</t>
        </is>
      </c>
      <c r="L1490" t="inlineStr">
        <is>
          <t>202604_LIXIL_サーモスＬ_業務用資料集_完成品価格表.pdf</t>
        </is>
      </c>
      <c r="M1490" t="inlineStr">
        <is>
          <t>v0.6：同一価格表セクション内で凡例継承を確定。</t>
        </is>
      </c>
      <c r="N1490" t="inlineStr">
        <is>
          <t>https://drive.google.com/file/d/1YUN-mtWYs48YBUHJk0C3vJXnhjyZFHyf/view</t>
        </is>
      </c>
    </row>
    <row r="1491">
      <c r="A1491" s="42" t="inlineStr">
        <is>
          <t>GSC-SL-001488</t>
        </is>
      </c>
      <c r="B1491" t="inlineStr">
        <is>
          <t>SZ-SL-001488</t>
        </is>
      </c>
      <c r="C1491" t="inlineStr">
        <is>
          <t>WT-SL-TATE-SUBERI</t>
        </is>
      </c>
      <c r="D1491" t="inlineStr">
        <is>
          <t>SP-SL-TATE-CAM-T</t>
        </is>
      </c>
      <c r="E1491" t="inlineStr">
        <is>
          <t>03111</t>
        </is>
      </c>
      <c r="F1491" t="b">
        <v>1</v>
      </c>
      <c r="G1491" t="n">
        <v>123</v>
      </c>
      <c r="H1491" t="inlineStr">
        <is>
          <t>無印</t>
        </is>
      </c>
      <c r="I1491" t="n">
        <v>123</v>
      </c>
      <c r="J1491" t="inlineStr">
        <is>
          <t>P123|無印</t>
        </is>
      </c>
      <c r="K1491" t="inlineStr">
        <is>
          <t>同頁凡例へ直接連動</t>
        </is>
      </c>
      <c r="L1491" t="inlineStr">
        <is>
          <t>202604_LIXIL_サーモスＬ_業務用資料集_完成品価格表.pdf</t>
        </is>
      </c>
      <c r="M1491" t="inlineStr">
        <is>
          <t>v0.6：同一価格表セクション内で凡例継承を確定。</t>
        </is>
      </c>
      <c r="N1491" t="inlineStr">
        <is>
          <t>https://drive.google.com/file/d/1YUN-mtWYs48YBUHJk0C3vJXnhjyZFHyf/view</t>
        </is>
      </c>
    </row>
    <row r="1492">
      <c r="A1492" s="42" t="inlineStr">
        <is>
          <t>GSC-SL-001489</t>
        </is>
      </c>
      <c r="B1492" t="inlineStr">
        <is>
          <t>SZ-SL-001489</t>
        </is>
      </c>
      <c r="C1492" t="inlineStr">
        <is>
          <t>WT-SL-TATE-SUBERI</t>
        </is>
      </c>
      <c r="D1492" t="inlineStr">
        <is>
          <t>SP-SL-TATE-CAM-T</t>
        </is>
      </c>
      <c r="E1492" t="inlineStr">
        <is>
          <t>03611</t>
        </is>
      </c>
      <c r="F1492" t="b">
        <v>1</v>
      </c>
      <c r="G1492" t="n">
        <v>123</v>
      </c>
      <c r="H1492" t="inlineStr">
        <is>
          <t>無印</t>
        </is>
      </c>
      <c r="I1492" t="n">
        <v>123</v>
      </c>
      <c r="J1492" t="inlineStr">
        <is>
          <t>P123|無印</t>
        </is>
      </c>
      <c r="K1492" t="inlineStr">
        <is>
          <t>同頁凡例へ直接連動</t>
        </is>
      </c>
      <c r="L1492" t="inlineStr">
        <is>
          <t>202604_LIXIL_サーモスＬ_業務用資料集_完成品価格表.pdf</t>
        </is>
      </c>
      <c r="M1492" t="inlineStr">
        <is>
          <t>v0.6：同一価格表セクション内で凡例継承を確定。</t>
        </is>
      </c>
      <c r="N1492" t="inlineStr">
        <is>
          <t>https://drive.google.com/file/d/1YUN-mtWYs48YBUHJk0C3vJXnhjyZFHyf/view</t>
        </is>
      </c>
    </row>
    <row r="1493">
      <c r="A1493" s="42" t="inlineStr">
        <is>
          <t>GSC-SL-001490</t>
        </is>
      </c>
      <c r="B1493" t="inlineStr">
        <is>
          <t>SZ-SL-001490</t>
        </is>
      </c>
      <c r="C1493" t="inlineStr">
        <is>
          <t>WT-SL-TATE-SUBERI</t>
        </is>
      </c>
      <c r="D1493" t="inlineStr">
        <is>
          <t>SP-SL-TATE-CAM-T</t>
        </is>
      </c>
      <c r="E1493" t="inlineStr">
        <is>
          <t>06011</t>
        </is>
      </c>
      <c r="F1493" t="b">
        <v>1</v>
      </c>
      <c r="G1493" t="n">
        <v>123</v>
      </c>
      <c r="H1493" t="inlineStr">
        <is>
          <t>無印</t>
        </is>
      </c>
      <c r="I1493" t="n">
        <v>123</v>
      </c>
      <c r="J1493" t="inlineStr">
        <is>
          <t>P123|無印</t>
        </is>
      </c>
      <c r="K1493" t="inlineStr">
        <is>
          <t>同頁凡例へ直接連動</t>
        </is>
      </c>
      <c r="L1493" t="inlineStr">
        <is>
          <t>202604_LIXIL_サーモスＬ_業務用資料集_完成品価格表.pdf</t>
        </is>
      </c>
      <c r="M1493" t="inlineStr">
        <is>
          <t>v0.6：同一価格表セクション内で凡例継承を確定。</t>
        </is>
      </c>
      <c r="N1493" t="inlineStr">
        <is>
          <t>https://drive.google.com/file/d/1YUN-mtWYs48YBUHJk0C3vJXnhjyZFHyf/view</t>
        </is>
      </c>
    </row>
    <row r="1494">
      <c r="A1494" s="42" t="inlineStr">
        <is>
          <t>GSC-SL-001491</t>
        </is>
      </c>
      <c r="B1494" t="inlineStr">
        <is>
          <t>SZ-SL-001491</t>
        </is>
      </c>
      <c r="C1494" t="inlineStr">
        <is>
          <t>WT-SL-TATE-SUBERI</t>
        </is>
      </c>
      <c r="D1494" t="inlineStr">
        <is>
          <t>SP-SL-TATE-CAM-T</t>
        </is>
      </c>
      <c r="E1494" t="inlineStr">
        <is>
          <t>03113</t>
        </is>
      </c>
      <c r="F1494" t="b">
        <v>1</v>
      </c>
      <c r="G1494" t="n">
        <v>123</v>
      </c>
      <c r="H1494" t="inlineStr">
        <is>
          <t>無印</t>
        </is>
      </c>
      <c r="I1494" t="n">
        <v>123</v>
      </c>
      <c r="J1494" t="inlineStr">
        <is>
          <t>P123|無印</t>
        </is>
      </c>
      <c r="K1494" t="inlineStr">
        <is>
          <t>同頁凡例へ直接連動</t>
        </is>
      </c>
      <c r="L1494" t="inlineStr">
        <is>
          <t>202604_LIXIL_サーモスＬ_業務用資料集_完成品価格表.pdf</t>
        </is>
      </c>
      <c r="M1494" t="inlineStr">
        <is>
          <t>v0.6：同一価格表セクション内で凡例継承を確定。</t>
        </is>
      </c>
      <c r="N1494" t="inlineStr">
        <is>
          <t>https://drive.google.com/file/d/1YUN-mtWYs48YBUHJk0C3vJXnhjyZFHyf/view</t>
        </is>
      </c>
    </row>
    <row r="1495">
      <c r="A1495" s="42" t="inlineStr">
        <is>
          <t>GSC-SL-001492</t>
        </is>
      </c>
      <c r="B1495" t="inlineStr">
        <is>
          <t>SZ-SL-001492</t>
        </is>
      </c>
      <c r="C1495" t="inlineStr">
        <is>
          <t>WT-SL-TATE-SUBERI</t>
        </is>
      </c>
      <c r="D1495" t="inlineStr">
        <is>
          <t>SP-SL-TATE-CAM-T</t>
        </is>
      </c>
      <c r="E1495" t="inlineStr">
        <is>
          <t>03613</t>
        </is>
      </c>
      <c r="F1495" t="b">
        <v>1</v>
      </c>
      <c r="G1495" t="n">
        <v>123</v>
      </c>
      <c r="H1495" t="inlineStr">
        <is>
          <t>無印</t>
        </is>
      </c>
      <c r="I1495" t="n">
        <v>123</v>
      </c>
      <c r="J1495" t="inlineStr">
        <is>
          <t>P123|無印</t>
        </is>
      </c>
      <c r="K1495" t="inlineStr">
        <is>
          <t>同頁凡例へ直接連動</t>
        </is>
      </c>
      <c r="L1495" t="inlineStr">
        <is>
          <t>202604_LIXIL_サーモスＬ_業務用資料集_完成品価格表.pdf</t>
        </is>
      </c>
      <c r="M1495" t="inlineStr">
        <is>
          <t>v0.6：同一価格表セクション内で凡例継承を確定。</t>
        </is>
      </c>
      <c r="N1495" t="inlineStr">
        <is>
          <t>https://drive.google.com/file/d/1YUN-mtWYs48YBUHJk0C3vJXnhjyZFHyf/view</t>
        </is>
      </c>
    </row>
    <row r="1496">
      <c r="A1496" s="42" t="inlineStr">
        <is>
          <t>GSC-SL-001493</t>
        </is>
      </c>
      <c r="B1496" t="inlineStr">
        <is>
          <t>SZ-SL-001493</t>
        </is>
      </c>
      <c r="C1496" t="inlineStr">
        <is>
          <t>WT-SL-TATE-SUBERI</t>
        </is>
      </c>
      <c r="D1496" t="inlineStr">
        <is>
          <t>SP-SL-TATE-CAM-T</t>
        </is>
      </c>
      <c r="E1496" t="inlineStr">
        <is>
          <t>06013</t>
        </is>
      </c>
      <c r="F1496" t="b">
        <v>1</v>
      </c>
      <c r="G1496" t="n">
        <v>123</v>
      </c>
      <c r="H1496" t="inlineStr">
        <is>
          <t>無印</t>
        </is>
      </c>
      <c r="I1496" t="n">
        <v>123</v>
      </c>
      <c r="J1496" t="inlineStr">
        <is>
          <t>P123|無印</t>
        </is>
      </c>
      <c r="K1496" t="inlineStr">
        <is>
          <t>同頁凡例へ直接連動</t>
        </is>
      </c>
      <c r="L1496" t="inlineStr">
        <is>
          <t>202604_LIXIL_サーモスＬ_業務用資料集_完成品価格表.pdf</t>
        </is>
      </c>
      <c r="M1496" t="inlineStr">
        <is>
          <t>v0.6：同一価格表セクション内で凡例継承を確定。</t>
        </is>
      </c>
      <c r="N1496" t="inlineStr">
        <is>
          <t>https://drive.google.com/file/d/1YUN-mtWYs48YBUHJk0C3vJXnhjyZFHyf/view</t>
        </is>
      </c>
    </row>
    <row r="1497">
      <c r="A1497" s="42" t="inlineStr">
        <is>
          <t>GSC-SL-001494</t>
        </is>
      </c>
      <c r="B1497" t="inlineStr">
        <is>
          <t>SZ-SL-001494</t>
        </is>
      </c>
      <c r="C1497" t="inlineStr">
        <is>
          <t>WT-SL-TATE-SUBERI</t>
        </is>
      </c>
      <c r="D1497" t="inlineStr">
        <is>
          <t>SP-SL-TATE-CAM-T</t>
        </is>
      </c>
      <c r="E1497" t="inlineStr">
        <is>
          <t>03115</t>
        </is>
      </c>
      <c r="F1497" t="b">
        <v>1</v>
      </c>
      <c r="G1497" t="n">
        <v>123</v>
      </c>
      <c r="H1497" t="inlineStr">
        <is>
          <t>無印</t>
        </is>
      </c>
      <c r="I1497" t="n">
        <v>123</v>
      </c>
      <c r="J1497" t="inlineStr">
        <is>
          <t>P123|無印</t>
        </is>
      </c>
      <c r="K1497" t="inlineStr">
        <is>
          <t>同頁凡例へ直接連動</t>
        </is>
      </c>
      <c r="L1497" t="inlineStr">
        <is>
          <t>202604_LIXIL_サーモスＬ_業務用資料集_完成品価格表.pdf</t>
        </is>
      </c>
      <c r="M1497" t="inlineStr">
        <is>
          <t>v0.6：同一価格表セクション内で凡例継承を確定。</t>
        </is>
      </c>
      <c r="N1497" t="inlineStr">
        <is>
          <t>https://drive.google.com/file/d/1YUN-mtWYs48YBUHJk0C3vJXnhjyZFHyf/view</t>
        </is>
      </c>
    </row>
    <row r="1498">
      <c r="A1498" s="42" t="inlineStr">
        <is>
          <t>GSC-SL-001495</t>
        </is>
      </c>
      <c r="B1498" t="inlineStr">
        <is>
          <t>SZ-SL-001495</t>
        </is>
      </c>
      <c r="C1498" t="inlineStr">
        <is>
          <t>WT-SL-TATE-SUBERI</t>
        </is>
      </c>
      <c r="D1498" t="inlineStr">
        <is>
          <t>SP-SL-TATE-CAM-T</t>
        </is>
      </c>
      <c r="E1498" t="inlineStr">
        <is>
          <t>02118</t>
        </is>
      </c>
      <c r="F1498" t="b">
        <v>1</v>
      </c>
      <c r="G1498" t="n">
        <v>124</v>
      </c>
      <c r="H1498" t="inlineStr">
        <is>
          <t>無印</t>
        </is>
      </c>
      <c r="I1498" t="n">
        <v>124</v>
      </c>
      <c r="J1498" t="inlineStr">
        <is>
          <t>P124|無印</t>
        </is>
      </c>
      <c r="K1498" t="inlineStr">
        <is>
          <t>同頁凡例へ直接連動</t>
        </is>
      </c>
      <c r="L1498" t="inlineStr">
        <is>
          <t>202604_LIXIL_サーモスＬ_業務用資料集_完成品価格表.pdf</t>
        </is>
      </c>
      <c r="M1498" t="inlineStr">
        <is>
          <t>v0.6：同一価格表セクション内で凡例継承を確定。</t>
        </is>
      </c>
      <c r="N1498" t="inlineStr">
        <is>
          <t>https://drive.google.com/file/d/1YUN-mtWYs48YBUHJk0C3vJXnhjyZFHyf/view</t>
        </is>
      </c>
    </row>
    <row r="1499">
      <c r="A1499" s="42" t="inlineStr">
        <is>
          <t>GSC-SL-001496</t>
        </is>
      </c>
      <c r="B1499" t="inlineStr">
        <is>
          <t>SZ-SL-001496</t>
        </is>
      </c>
      <c r="C1499" t="inlineStr">
        <is>
          <t>WT-SL-TATE-SUBERI</t>
        </is>
      </c>
      <c r="D1499" t="inlineStr">
        <is>
          <t>SP-SL-TATE-CAM-T</t>
        </is>
      </c>
      <c r="E1499" t="inlineStr">
        <is>
          <t>02618</t>
        </is>
      </c>
      <c r="F1499" t="b">
        <v>1</v>
      </c>
      <c r="G1499" t="n">
        <v>124</v>
      </c>
      <c r="H1499" t="inlineStr">
        <is>
          <t>無印</t>
        </is>
      </c>
      <c r="I1499" t="n">
        <v>124</v>
      </c>
      <c r="J1499" t="inlineStr">
        <is>
          <t>P124|無印</t>
        </is>
      </c>
      <c r="K1499" t="inlineStr">
        <is>
          <t>同頁凡例へ直接連動</t>
        </is>
      </c>
      <c r="L1499" t="inlineStr">
        <is>
          <t>202604_LIXIL_サーモスＬ_業務用資料集_完成品価格表.pdf</t>
        </is>
      </c>
      <c r="M1499" t="inlineStr">
        <is>
          <t>v0.6：同一価格表セクション内で凡例継承を確定。</t>
        </is>
      </c>
      <c r="N1499" t="inlineStr">
        <is>
          <t>https://drive.google.com/file/d/1YUN-mtWYs48YBUHJk0C3vJXnhjyZFHyf/view</t>
        </is>
      </c>
    </row>
    <row r="1500">
      <c r="A1500" s="42" t="inlineStr">
        <is>
          <t>GSC-SL-001497</t>
        </is>
      </c>
      <c r="B1500" t="inlineStr">
        <is>
          <t>SZ-SL-001497</t>
        </is>
      </c>
      <c r="C1500" t="inlineStr">
        <is>
          <t>WT-SL-TATE-SUBERI</t>
        </is>
      </c>
      <c r="D1500" t="inlineStr">
        <is>
          <t>SP-SL-TATE-CAM-T</t>
        </is>
      </c>
      <c r="E1500" t="inlineStr">
        <is>
          <t>02120</t>
        </is>
      </c>
      <c r="F1500" t="b">
        <v>1</v>
      </c>
      <c r="G1500" t="n">
        <v>124</v>
      </c>
      <c r="H1500" t="inlineStr">
        <is>
          <t>無印</t>
        </is>
      </c>
      <c r="I1500" t="n">
        <v>124</v>
      </c>
      <c r="J1500" t="inlineStr">
        <is>
          <t>P124|無印</t>
        </is>
      </c>
      <c r="K1500" t="inlineStr">
        <is>
          <t>同頁凡例へ直接連動</t>
        </is>
      </c>
      <c r="L1500" t="inlineStr">
        <is>
          <t>202604_LIXIL_サーモスＬ_業務用資料集_完成品価格表.pdf</t>
        </is>
      </c>
      <c r="M1500" t="inlineStr">
        <is>
          <t>v0.6：同一価格表セクション内で凡例継承を確定。</t>
        </is>
      </c>
      <c r="N1500" t="inlineStr">
        <is>
          <t>https://drive.google.com/file/d/1YUN-mtWYs48YBUHJk0C3vJXnhjyZFHyf/view</t>
        </is>
      </c>
    </row>
    <row r="1501">
      <c r="A1501" s="42" t="inlineStr">
        <is>
          <t>GSC-SL-001498</t>
        </is>
      </c>
      <c r="B1501" t="inlineStr">
        <is>
          <t>SZ-SL-001498</t>
        </is>
      </c>
      <c r="C1501" t="inlineStr">
        <is>
          <t>WT-SL-TATE-SUBERI</t>
        </is>
      </c>
      <c r="D1501" t="inlineStr">
        <is>
          <t>SP-SL-TATE-CAM-T</t>
        </is>
      </c>
      <c r="E1501" t="inlineStr">
        <is>
          <t>02620</t>
        </is>
      </c>
      <c r="F1501" t="b">
        <v>1</v>
      </c>
      <c r="G1501" t="n">
        <v>124</v>
      </c>
      <c r="H1501" t="inlineStr">
        <is>
          <t>無印</t>
        </is>
      </c>
      <c r="I1501" t="n">
        <v>124</v>
      </c>
      <c r="J1501" t="inlineStr">
        <is>
          <t>P124|無印</t>
        </is>
      </c>
      <c r="K1501" t="inlineStr">
        <is>
          <t>同頁凡例へ直接連動</t>
        </is>
      </c>
      <c r="L1501" t="inlineStr">
        <is>
          <t>202604_LIXIL_サーモスＬ_業務用資料集_完成品価格表.pdf</t>
        </is>
      </c>
      <c r="M1501" t="inlineStr">
        <is>
          <t>v0.6：同一価格表セクション内で凡例継承を確定。</t>
        </is>
      </c>
      <c r="N1501" t="inlineStr">
        <is>
          <t>https://drive.google.com/file/d/1YUN-mtWYs48YBUHJk0C3vJXnhjyZFHyf/view</t>
        </is>
      </c>
    </row>
    <row r="1502">
      <c r="A1502" s="42" t="inlineStr">
        <is>
          <t>GSC-SL-001499</t>
        </is>
      </c>
      <c r="B1502" t="inlineStr">
        <is>
          <t>SZ-SL-001499</t>
        </is>
      </c>
      <c r="C1502" t="inlineStr">
        <is>
          <t>WT-SL-TATE-SUBERI</t>
        </is>
      </c>
      <c r="D1502" t="inlineStr">
        <is>
          <t>SP-SL-TATE-CAM-T</t>
        </is>
      </c>
      <c r="E1502" t="inlineStr">
        <is>
          <t>02122</t>
        </is>
      </c>
      <c r="F1502" t="b">
        <v>1</v>
      </c>
      <c r="G1502" t="n">
        <v>124</v>
      </c>
      <c r="H1502" t="inlineStr">
        <is>
          <t>無印</t>
        </is>
      </c>
      <c r="I1502" t="n">
        <v>124</v>
      </c>
      <c r="J1502" t="inlineStr">
        <is>
          <t>P124|無印</t>
        </is>
      </c>
      <c r="K1502" t="inlineStr">
        <is>
          <t>同頁凡例へ直接連動</t>
        </is>
      </c>
      <c r="L1502" t="inlineStr">
        <is>
          <t>202604_LIXIL_サーモスＬ_業務用資料集_完成品価格表.pdf</t>
        </is>
      </c>
      <c r="M1502" t="inlineStr">
        <is>
          <t>v0.6：同一価格表セクション内で凡例継承を確定。</t>
        </is>
      </c>
      <c r="N1502" t="inlineStr">
        <is>
          <t>https://drive.google.com/file/d/1YUN-mtWYs48YBUHJk0C3vJXnhjyZFHyf/view</t>
        </is>
      </c>
    </row>
    <row r="1503">
      <c r="A1503" s="42" t="inlineStr">
        <is>
          <t>GSC-SL-001500</t>
        </is>
      </c>
      <c r="B1503" t="inlineStr">
        <is>
          <t>SZ-SL-001500</t>
        </is>
      </c>
      <c r="C1503" t="inlineStr">
        <is>
          <t>WT-SL-TATE-SUBERI</t>
        </is>
      </c>
      <c r="D1503" t="inlineStr">
        <is>
          <t>SP-SL-TATE-CAM-T</t>
        </is>
      </c>
      <c r="E1503" t="inlineStr">
        <is>
          <t>02622</t>
        </is>
      </c>
      <c r="F1503" t="b">
        <v>1</v>
      </c>
      <c r="G1503" t="n">
        <v>124</v>
      </c>
      <c r="H1503" t="inlineStr">
        <is>
          <t>★</t>
        </is>
      </c>
      <c r="I1503" t="n">
        <v>124</v>
      </c>
      <c r="J1503" t="inlineStr">
        <is>
          <t>P124|★</t>
        </is>
      </c>
      <c r="K1503" t="inlineStr">
        <is>
          <t>同頁凡例へ直接連動</t>
        </is>
      </c>
      <c r="L1503" t="inlineStr">
        <is>
          <t>202604_LIXIL_サーモスＬ_業務用資料集_完成品価格表.pdf</t>
        </is>
      </c>
      <c r="M1503" t="inlineStr">
        <is>
          <t>v0.6：同一価格表セクション内で凡例継承を確定。</t>
        </is>
      </c>
      <c r="N1503" t="inlineStr">
        <is>
          <t>https://drive.google.com/file/d/1YUN-mtWYs48YBUHJk0C3vJXnhjyZFHyf/view</t>
        </is>
      </c>
    </row>
    <row r="1504">
      <c r="A1504" s="42" t="inlineStr">
        <is>
          <t>GSC-SL-001501</t>
        </is>
      </c>
      <c r="B1504" t="inlineStr">
        <is>
          <t>SZ-SL-001501</t>
        </is>
      </c>
      <c r="C1504" t="inlineStr">
        <is>
          <t>WT-SL-TATE-SUBERI</t>
        </is>
      </c>
      <c r="D1504" t="inlineStr">
        <is>
          <t>SP-SL-TATE-CAM-T</t>
        </is>
      </c>
      <c r="E1504" t="inlineStr">
        <is>
          <t>03118</t>
        </is>
      </c>
      <c r="F1504" t="b">
        <v>1</v>
      </c>
      <c r="G1504" t="n">
        <v>125</v>
      </c>
      <c r="H1504" t="inlineStr">
        <is>
          <t>★</t>
        </is>
      </c>
      <c r="I1504" t="n">
        <v>124</v>
      </c>
      <c r="J1504" t="inlineStr">
        <is>
          <t>P124|★</t>
        </is>
      </c>
      <c r="K1504" t="inlineStr">
        <is>
          <t>同一価格表・前頁凡例を継承</t>
        </is>
      </c>
      <c r="L1504" t="inlineStr">
        <is>
          <t>202604_LIXIL_サーモスＬ_業務用資料集_完成品価格表.pdf</t>
        </is>
      </c>
      <c r="M1504" t="inlineStr">
        <is>
          <t>v0.6：同一価格表セクション内で凡例継承を確定。</t>
        </is>
      </c>
      <c r="N1504" t="inlineStr">
        <is>
          <t>https://drive.google.com/file/d/1YUN-mtWYs48YBUHJk0C3vJXnhjyZFHyf/view</t>
        </is>
      </c>
    </row>
    <row r="1505">
      <c r="A1505" s="42" t="inlineStr">
        <is>
          <t>GSC-SL-001502</t>
        </is>
      </c>
      <c r="B1505" t="inlineStr">
        <is>
          <t>SZ-SL-001502</t>
        </is>
      </c>
      <c r="C1505" t="inlineStr">
        <is>
          <t>WT-SL-TATE-SUBERI</t>
        </is>
      </c>
      <c r="D1505" t="inlineStr">
        <is>
          <t>SP-SL-TATE-CAM-T</t>
        </is>
      </c>
      <c r="E1505" t="inlineStr">
        <is>
          <t>03120</t>
        </is>
      </c>
      <c r="F1505" t="b">
        <v>1</v>
      </c>
      <c r="G1505" t="n">
        <v>125</v>
      </c>
      <c r="H1505" t="inlineStr">
        <is>
          <t>★</t>
        </is>
      </c>
      <c r="I1505" t="n">
        <v>124</v>
      </c>
      <c r="J1505" t="inlineStr">
        <is>
          <t>P124|★</t>
        </is>
      </c>
      <c r="K1505" t="inlineStr">
        <is>
          <t>同一価格表・前頁凡例を継承</t>
        </is>
      </c>
      <c r="L1505" t="inlineStr">
        <is>
          <t>202604_LIXIL_サーモスＬ_業務用資料集_完成品価格表.pdf</t>
        </is>
      </c>
      <c r="M1505" t="inlineStr">
        <is>
          <t>v0.6：同一価格表セクション内で凡例継承を確定。</t>
        </is>
      </c>
      <c r="N1505" t="inlineStr">
        <is>
          <t>https://drive.google.com/file/d/1YUN-mtWYs48YBUHJk0C3vJXnhjyZFHyf/view</t>
        </is>
      </c>
    </row>
    <row r="1506">
      <c r="A1506" s="42" t="inlineStr">
        <is>
          <t>GSC-SL-001503</t>
        </is>
      </c>
      <c r="B1506" t="inlineStr">
        <is>
          <t>SZ-SL-001503</t>
        </is>
      </c>
      <c r="C1506" t="inlineStr">
        <is>
          <t>WT-SL-TATE-SUBERI</t>
        </is>
      </c>
      <c r="D1506" t="inlineStr">
        <is>
          <t>SP-SL-TATE-CAM-T</t>
        </is>
      </c>
      <c r="E1506" t="inlineStr">
        <is>
          <t>03122</t>
        </is>
      </c>
      <c r="F1506" t="b">
        <v>1</v>
      </c>
      <c r="G1506" t="n">
        <v>125</v>
      </c>
      <c r="H1506" t="inlineStr">
        <is>
          <t>★</t>
        </is>
      </c>
      <c r="I1506" t="n">
        <v>124</v>
      </c>
      <c r="J1506" t="inlineStr">
        <is>
          <t>P124|★</t>
        </is>
      </c>
      <c r="K1506" t="inlineStr">
        <is>
          <t>同一価格表・前頁凡例を継承</t>
        </is>
      </c>
      <c r="L1506" t="inlineStr">
        <is>
          <t>202604_LIXIL_サーモスＬ_業務用資料集_完成品価格表.pdf</t>
        </is>
      </c>
      <c r="M1506" t="inlineStr">
        <is>
          <t>v0.6：同一価格表セクション内で凡例継承を確定。</t>
        </is>
      </c>
      <c r="N1506" t="inlineStr">
        <is>
          <t>https://drive.google.com/file/d/1YUN-mtWYs48YBUHJk0C3vJXnhjyZFHyf/view</t>
        </is>
      </c>
    </row>
    <row r="1507">
      <c r="A1507" s="42" t="inlineStr">
        <is>
          <t>GSC-SL-001504</t>
        </is>
      </c>
      <c r="B1507" t="inlineStr">
        <is>
          <t>SZ-SL-001504</t>
        </is>
      </c>
      <c r="C1507" t="inlineStr">
        <is>
          <t>WT-SL-TATE-SUBERI</t>
        </is>
      </c>
      <c r="D1507" t="inlineStr">
        <is>
          <t>SP-SL-TATE-CAM-TF-OUT</t>
        </is>
      </c>
      <c r="E1507" t="inlineStr">
        <is>
          <t>11409</t>
        </is>
      </c>
      <c r="F1507" t="b">
        <v>1</v>
      </c>
      <c r="G1507" t="n">
        <v>126</v>
      </c>
      <c r="H1507" t="inlineStr">
        <is>
          <t>無印</t>
        </is>
      </c>
      <c r="I1507" t="n">
        <v>126</v>
      </c>
      <c r="J1507" t="inlineStr">
        <is>
          <t>P126|無印</t>
        </is>
      </c>
      <c r="K1507" t="inlineStr">
        <is>
          <t>同頁凡例へ直接連動</t>
        </is>
      </c>
      <c r="L1507" t="inlineStr">
        <is>
          <t>202604_LIXIL_サーモスＬ_業務用資料集_完成品価格表.pdf</t>
        </is>
      </c>
      <c r="M1507" t="inlineStr">
        <is>
          <t>v0.6：同一価格表セクション内で凡例継承を確定。</t>
        </is>
      </c>
      <c r="N1507" t="inlineStr">
        <is>
          <t>https://drive.google.com/file/d/1YUN-mtWYs48YBUHJk0C3vJXnhjyZFHyf/view</t>
        </is>
      </c>
    </row>
    <row r="1508">
      <c r="A1508" s="42" t="inlineStr">
        <is>
          <t>GSC-SL-001505</t>
        </is>
      </c>
      <c r="B1508" t="inlineStr">
        <is>
          <t>SZ-SL-001505</t>
        </is>
      </c>
      <c r="C1508" t="inlineStr">
        <is>
          <t>WT-SL-TATE-SUBERI</t>
        </is>
      </c>
      <c r="D1508" t="inlineStr">
        <is>
          <t>SP-SL-TATE-CAM-TF-OUT</t>
        </is>
      </c>
      <c r="E1508" t="inlineStr">
        <is>
          <t>11909</t>
        </is>
      </c>
      <c r="F1508" t="b">
        <v>1</v>
      </c>
      <c r="G1508" t="n">
        <v>126</v>
      </c>
      <c r="H1508" t="inlineStr">
        <is>
          <t>無印</t>
        </is>
      </c>
      <c r="I1508" t="n">
        <v>126</v>
      </c>
      <c r="J1508" t="inlineStr">
        <is>
          <t>P126|無印</t>
        </is>
      </c>
      <c r="K1508" t="inlineStr">
        <is>
          <t>同頁凡例へ直接連動</t>
        </is>
      </c>
      <c r="L1508" t="inlineStr">
        <is>
          <t>202604_LIXIL_サーモスＬ_業務用資料集_完成品価格表.pdf</t>
        </is>
      </c>
      <c r="M1508" t="inlineStr">
        <is>
          <t>v0.6：同一価格表セクション内で凡例継承を確定。</t>
        </is>
      </c>
      <c r="N1508" t="inlineStr">
        <is>
          <t>https://drive.google.com/file/d/1YUN-mtWYs48YBUHJk0C3vJXnhjyZFHyf/view</t>
        </is>
      </c>
    </row>
    <row r="1509">
      <c r="A1509" s="42" t="inlineStr">
        <is>
          <t>GSC-SL-001506</t>
        </is>
      </c>
      <c r="B1509" t="inlineStr">
        <is>
          <t>SZ-SL-001506</t>
        </is>
      </c>
      <c r="C1509" t="inlineStr">
        <is>
          <t>WT-SL-TATE-SUBERI</t>
        </is>
      </c>
      <c r="D1509" t="inlineStr">
        <is>
          <t>SP-SL-TATE-CAM-TF-OUT</t>
        </is>
      </c>
      <c r="E1509" t="inlineStr">
        <is>
          <t>16009</t>
        </is>
      </c>
      <c r="F1509" t="b">
        <v>1</v>
      </c>
      <c r="G1509" t="n">
        <v>126</v>
      </c>
      <c r="H1509" t="inlineStr">
        <is>
          <t>無印</t>
        </is>
      </c>
      <c r="I1509" t="n">
        <v>126</v>
      </c>
      <c r="J1509" t="inlineStr">
        <is>
          <t>P126|無印</t>
        </is>
      </c>
      <c r="K1509" t="inlineStr">
        <is>
          <t>同頁凡例へ直接連動</t>
        </is>
      </c>
      <c r="L1509" t="inlineStr">
        <is>
          <t>202604_LIXIL_サーモスＬ_業務用資料集_完成品価格表.pdf</t>
        </is>
      </c>
      <c r="M1509" t="inlineStr">
        <is>
          <t>v0.6：同一価格表セクション内で凡例継承を確定。</t>
        </is>
      </c>
      <c r="N1509" t="inlineStr">
        <is>
          <t>https://drive.google.com/file/d/1YUN-mtWYs48YBUHJk0C3vJXnhjyZFHyf/view</t>
        </is>
      </c>
    </row>
    <row r="1510">
      <c r="A1510" s="42" t="inlineStr">
        <is>
          <t>GSC-SL-001507</t>
        </is>
      </c>
      <c r="B1510" t="inlineStr">
        <is>
          <t>SZ-SL-001507</t>
        </is>
      </c>
      <c r="C1510" t="inlineStr">
        <is>
          <t>WT-SL-TATE-SUBERI</t>
        </is>
      </c>
      <c r="D1510" t="inlineStr">
        <is>
          <t>SP-SL-TATE-CAM-TF-OUT</t>
        </is>
      </c>
      <c r="E1510" t="inlineStr">
        <is>
          <t>16509</t>
        </is>
      </c>
      <c r="F1510" t="b">
        <v>1</v>
      </c>
      <c r="G1510" t="n">
        <v>126</v>
      </c>
      <c r="H1510" t="inlineStr">
        <is>
          <t>無印</t>
        </is>
      </c>
      <c r="I1510" t="n">
        <v>126</v>
      </c>
      <c r="J1510" t="inlineStr">
        <is>
          <t>P126|無印</t>
        </is>
      </c>
      <c r="K1510" t="inlineStr">
        <is>
          <t>同頁凡例へ直接連動</t>
        </is>
      </c>
      <c r="L1510" t="inlineStr">
        <is>
          <t>202604_LIXIL_サーモスＬ_業務用資料集_完成品価格表.pdf</t>
        </is>
      </c>
      <c r="M1510" t="inlineStr">
        <is>
          <t>v0.6：同一価格表セクション内で凡例継承を確定。</t>
        </is>
      </c>
      <c r="N1510" t="inlineStr">
        <is>
          <t>https://drive.google.com/file/d/1YUN-mtWYs48YBUHJk0C3vJXnhjyZFHyf/view</t>
        </is>
      </c>
    </row>
    <row r="1511">
      <c r="A1511" s="42" t="inlineStr">
        <is>
          <t>GSC-SL-001508</t>
        </is>
      </c>
      <c r="B1511" t="inlineStr">
        <is>
          <t>SZ-SL-001508</t>
        </is>
      </c>
      <c r="C1511" t="inlineStr">
        <is>
          <t>WT-SL-TATE-SUBERI</t>
        </is>
      </c>
      <c r="D1511" t="inlineStr">
        <is>
          <t>SP-SL-TATE-CAM-TF-OUT</t>
        </is>
      </c>
      <c r="E1511" t="inlineStr">
        <is>
          <t>11411</t>
        </is>
      </c>
      <c r="F1511" t="b">
        <v>1</v>
      </c>
      <c r="G1511" t="n">
        <v>126</v>
      </c>
      <c r="H1511" t="inlineStr">
        <is>
          <t>無印</t>
        </is>
      </c>
      <c r="I1511" t="n">
        <v>126</v>
      </c>
      <c r="J1511" t="inlineStr">
        <is>
          <t>P126|無印</t>
        </is>
      </c>
      <c r="K1511" t="inlineStr">
        <is>
          <t>同頁凡例へ直接連動</t>
        </is>
      </c>
      <c r="L1511" t="inlineStr">
        <is>
          <t>202604_LIXIL_サーモスＬ_業務用資料集_完成品価格表.pdf</t>
        </is>
      </c>
      <c r="M1511" t="inlineStr">
        <is>
          <t>v0.6：同一価格表セクション内で凡例継承を確定。</t>
        </is>
      </c>
      <c r="N1511" t="inlineStr">
        <is>
          <t>https://drive.google.com/file/d/1YUN-mtWYs48YBUHJk0C3vJXnhjyZFHyf/view</t>
        </is>
      </c>
    </row>
    <row r="1512">
      <c r="A1512" s="42" t="inlineStr">
        <is>
          <t>GSC-SL-001509</t>
        </is>
      </c>
      <c r="B1512" t="inlineStr">
        <is>
          <t>SZ-SL-001509</t>
        </is>
      </c>
      <c r="C1512" t="inlineStr">
        <is>
          <t>WT-SL-TATE-SUBERI</t>
        </is>
      </c>
      <c r="D1512" t="inlineStr">
        <is>
          <t>SP-SL-TATE-CAM-TF-OUT</t>
        </is>
      </c>
      <c r="E1512" t="inlineStr">
        <is>
          <t>11911</t>
        </is>
      </c>
      <c r="F1512" t="b">
        <v>1</v>
      </c>
      <c r="G1512" t="n">
        <v>126</v>
      </c>
      <c r="H1512" t="inlineStr">
        <is>
          <t>無印</t>
        </is>
      </c>
      <c r="I1512" t="n">
        <v>126</v>
      </c>
      <c r="J1512" t="inlineStr">
        <is>
          <t>P126|無印</t>
        </is>
      </c>
      <c r="K1512" t="inlineStr">
        <is>
          <t>同頁凡例へ直接連動</t>
        </is>
      </c>
      <c r="L1512" t="inlineStr">
        <is>
          <t>202604_LIXIL_サーモスＬ_業務用資料集_完成品価格表.pdf</t>
        </is>
      </c>
      <c r="M1512" t="inlineStr">
        <is>
          <t>v0.6：同一価格表セクション内で凡例継承を確定。</t>
        </is>
      </c>
      <c r="N1512" t="inlineStr">
        <is>
          <t>https://drive.google.com/file/d/1YUN-mtWYs48YBUHJk0C3vJXnhjyZFHyf/view</t>
        </is>
      </c>
    </row>
    <row r="1513">
      <c r="A1513" s="42" t="inlineStr">
        <is>
          <t>GSC-SL-001510</t>
        </is>
      </c>
      <c r="B1513" t="inlineStr">
        <is>
          <t>SZ-SL-001510</t>
        </is>
      </c>
      <c r="C1513" t="inlineStr">
        <is>
          <t>WT-SL-TATE-SUBERI</t>
        </is>
      </c>
      <c r="D1513" t="inlineStr">
        <is>
          <t>SP-SL-TATE-CAM-TF-OUT</t>
        </is>
      </c>
      <c r="E1513" t="inlineStr">
        <is>
          <t>16011</t>
        </is>
      </c>
      <c r="F1513" t="b">
        <v>1</v>
      </c>
      <c r="G1513" t="n">
        <v>126</v>
      </c>
      <c r="H1513" t="inlineStr">
        <is>
          <t>★</t>
        </is>
      </c>
      <c r="I1513" t="n">
        <v>126</v>
      </c>
      <c r="J1513" t="inlineStr">
        <is>
          <t>P126|★</t>
        </is>
      </c>
      <c r="K1513" t="inlineStr">
        <is>
          <t>同頁凡例へ直接連動</t>
        </is>
      </c>
      <c r="L1513" t="inlineStr">
        <is>
          <t>202604_LIXIL_サーモスＬ_業務用資料集_完成品価格表.pdf</t>
        </is>
      </c>
      <c r="M1513" t="inlineStr">
        <is>
          <t>v0.6：同一価格表セクション内で凡例継承を確定。</t>
        </is>
      </c>
      <c r="N1513" t="inlineStr">
        <is>
          <t>https://drive.google.com/file/d/1YUN-mtWYs48YBUHJk0C3vJXnhjyZFHyf/view</t>
        </is>
      </c>
    </row>
    <row r="1514">
      <c r="A1514" s="42" t="inlineStr">
        <is>
          <t>GSC-SL-001511</t>
        </is>
      </c>
      <c r="B1514" t="inlineStr">
        <is>
          <t>SZ-SL-001511</t>
        </is>
      </c>
      <c r="C1514" t="inlineStr">
        <is>
          <t>WT-SL-TATE-SUBERI</t>
        </is>
      </c>
      <c r="D1514" t="inlineStr">
        <is>
          <t>SP-SL-TATE-CAM-TF-OUT</t>
        </is>
      </c>
      <c r="E1514" t="inlineStr">
        <is>
          <t>16511</t>
        </is>
      </c>
      <c r="F1514" t="b">
        <v>1</v>
      </c>
      <c r="G1514" t="n">
        <v>126</v>
      </c>
      <c r="H1514" t="inlineStr">
        <is>
          <t>★</t>
        </is>
      </c>
      <c r="I1514" t="n">
        <v>126</v>
      </c>
      <c r="J1514" t="inlineStr">
        <is>
          <t>P126|★</t>
        </is>
      </c>
      <c r="K1514" t="inlineStr">
        <is>
          <t>同頁凡例へ直接連動</t>
        </is>
      </c>
      <c r="L1514" t="inlineStr">
        <is>
          <t>202604_LIXIL_サーモスＬ_業務用資料集_完成品価格表.pdf</t>
        </is>
      </c>
      <c r="M1514" t="inlineStr">
        <is>
          <t>v0.6：同一価格表セクション内で凡例継承を確定。</t>
        </is>
      </c>
      <c r="N1514" t="inlineStr">
        <is>
          <t>https://drive.google.com/file/d/1YUN-mtWYs48YBUHJk0C3vJXnhjyZFHyf/view</t>
        </is>
      </c>
    </row>
    <row r="1515">
      <c r="A1515" s="42" t="inlineStr">
        <is>
          <t>GSC-SL-001512</t>
        </is>
      </c>
      <c r="B1515" t="inlineStr">
        <is>
          <t>SZ-SL-001512</t>
        </is>
      </c>
      <c r="C1515" t="inlineStr">
        <is>
          <t>WT-SL-TATE-SUBERI</t>
        </is>
      </c>
      <c r="D1515" t="inlineStr">
        <is>
          <t>SP-SL-TATE-CAM-TF-OUT</t>
        </is>
      </c>
      <c r="E1515" t="inlineStr">
        <is>
          <t>11413</t>
        </is>
      </c>
      <c r="F1515" t="b">
        <v>1</v>
      </c>
      <c r="G1515" t="n">
        <v>126</v>
      </c>
      <c r="H1515" t="inlineStr">
        <is>
          <t>無印</t>
        </is>
      </c>
      <c r="I1515" t="n">
        <v>126</v>
      </c>
      <c r="J1515" t="inlineStr">
        <is>
          <t>P126|無印</t>
        </is>
      </c>
      <c r="K1515" t="inlineStr">
        <is>
          <t>同頁凡例へ直接連動</t>
        </is>
      </c>
      <c r="L1515" t="inlineStr">
        <is>
          <t>202604_LIXIL_サーモスＬ_業務用資料集_完成品価格表.pdf</t>
        </is>
      </c>
      <c r="M1515" t="inlineStr">
        <is>
          <t>v0.6：同一価格表セクション内で凡例継承を確定。</t>
        </is>
      </c>
      <c r="N1515" t="inlineStr">
        <is>
          <t>https://drive.google.com/file/d/1YUN-mtWYs48YBUHJk0C3vJXnhjyZFHyf/view</t>
        </is>
      </c>
    </row>
    <row r="1516">
      <c r="A1516" s="42" t="inlineStr">
        <is>
          <t>GSC-SL-001513</t>
        </is>
      </c>
      <c r="B1516" t="inlineStr">
        <is>
          <t>SZ-SL-001513</t>
        </is>
      </c>
      <c r="C1516" t="inlineStr">
        <is>
          <t>WT-SL-TATE-SUBERI</t>
        </is>
      </c>
      <c r="D1516" t="inlineStr">
        <is>
          <t>SP-SL-TATE-CAM-TF-OUT</t>
        </is>
      </c>
      <c r="E1516" t="inlineStr">
        <is>
          <t>11913</t>
        </is>
      </c>
      <c r="F1516" t="b">
        <v>1</v>
      </c>
      <c r="G1516" t="n">
        <v>126</v>
      </c>
      <c r="H1516" t="inlineStr">
        <is>
          <t>★</t>
        </is>
      </c>
      <c r="I1516" t="n">
        <v>126</v>
      </c>
      <c r="J1516" t="inlineStr">
        <is>
          <t>P126|★</t>
        </is>
      </c>
      <c r="K1516" t="inlineStr">
        <is>
          <t>同頁凡例へ直接連動</t>
        </is>
      </c>
      <c r="L1516" t="inlineStr">
        <is>
          <t>202604_LIXIL_サーモスＬ_業務用資料集_完成品価格表.pdf</t>
        </is>
      </c>
      <c r="M1516" t="inlineStr">
        <is>
          <t>v0.6：同一価格表セクション内で凡例継承を確定。</t>
        </is>
      </c>
      <c r="N1516" t="inlineStr">
        <is>
          <t>https://drive.google.com/file/d/1YUN-mtWYs48YBUHJk0C3vJXnhjyZFHyf/view</t>
        </is>
      </c>
    </row>
    <row r="1517">
      <c r="A1517" s="42" t="inlineStr">
        <is>
          <t>GSC-SL-001514</t>
        </is>
      </c>
      <c r="B1517" t="inlineStr">
        <is>
          <t>SZ-SL-001514</t>
        </is>
      </c>
      <c r="C1517" t="inlineStr">
        <is>
          <t>WT-SL-TATE-SUBERI</t>
        </is>
      </c>
      <c r="D1517" t="inlineStr">
        <is>
          <t>SP-SL-TATE-CAM-TF-OUT</t>
        </is>
      </c>
      <c r="E1517" t="inlineStr">
        <is>
          <t>16013</t>
        </is>
      </c>
      <c r="F1517" t="b">
        <v>1</v>
      </c>
      <c r="G1517" t="n">
        <v>126</v>
      </c>
      <c r="H1517" t="inlineStr">
        <is>
          <t>★</t>
        </is>
      </c>
      <c r="I1517" t="n">
        <v>126</v>
      </c>
      <c r="J1517" t="inlineStr">
        <is>
          <t>P126|★</t>
        </is>
      </c>
      <c r="K1517" t="inlineStr">
        <is>
          <t>同頁凡例へ直接連動</t>
        </is>
      </c>
      <c r="L1517" t="inlineStr">
        <is>
          <t>202604_LIXIL_サーモスＬ_業務用資料集_完成品価格表.pdf</t>
        </is>
      </c>
      <c r="M1517" t="inlineStr">
        <is>
          <t>v0.6：同一価格表セクション内で凡例継承を確定。</t>
        </is>
      </c>
      <c r="N1517" t="inlineStr">
        <is>
          <t>https://drive.google.com/file/d/1YUN-mtWYs48YBUHJk0C3vJXnhjyZFHyf/view</t>
        </is>
      </c>
    </row>
    <row r="1518">
      <c r="A1518" s="42" t="inlineStr">
        <is>
          <t>GSC-SL-001515</t>
        </is>
      </c>
      <c r="B1518" t="inlineStr">
        <is>
          <t>SZ-SL-001515</t>
        </is>
      </c>
      <c r="C1518" t="inlineStr">
        <is>
          <t>WT-SL-TATE-SUBERI</t>
        </is>
      </c>
      <c r="D1518" t="inlineStr">
        <is>
          <t>SP-SL-TATE-CAM-TF-OUT</t>
        </is>
      </c>
      <c r="E1518" t="inlineStr">
        <is>
          <t>16513</t>
        </is>
      </c>
      <c r="F1518" t="b">
        <v>1</v>
      </c>
      <c r="G1518" t="n">
        <v>126</v>
      </c>
      <c r="H1518" t="inlineStr">
        <is>
          <t>☆</t>
        </is>
      </c>
      <c r="I1518" t="n">
        <v>126</v>
      </c>
      <c r="J1518" t="inlineStr">
        <is>
          <t>P126|☆</t>
        </is>
      </c>
      <c r="K1518" t="inlineStr">
        <is>
          <t>同頁凡例へ直接連動</t>
        </is>
      </c>
      <c r="L1518" t="inlineStr">
        <is>
          <t>202604_LIXIL_サーモスＬ_業務用資料集_完成品価格表.pdf</t>
        </is>
      </c>
      <c r="M1518" t="inlineStr">
        <is>
          <t>v0.6：同一価格表セクション内で凡例継承を確定。</t>
        </is>
      </c>
      <c r="N1518" t="inlineStr">
        <is>
          <t>https://drive.google.com/file/d/1YUN-mtWYs48YBUHJk0C3vJXnhjyZFHyf/view</t>
        </is>
      </c>
    </row>
    <row r="1519">
      <c r="A1519" s="42" t="inlineStr">
        <is>
          <t>GSC-SL-001516</t>
        </is>
      </c>
      <c r="B1519" t="inlineStr">
        <is>
          <t>SZ-SL-001516</t>
        </is>
      </c>
      <c r="C1519" t="inlineStr">
        <is>
          <t>WT-SL-TATE-SUBERI</t>
        </is>
      </c>
      <c r="D1519" t="inlineStr">
        <is>
          <t>SP-SL-TATE-CAM-TFT-OUT</t>
        </is>
      </c>
      <c r="E1519" t="inlineStr">
        <is>
          <t>16009</t>
        </is>
      </c>
      <c r="F1519" t="b">
        <v>1</v>
      </c>
      <c r="G1519" t="n">
        <v>127</v>
      </c>
      <c r="H1519" t="inlineStr">
        <is>
          <t>無印</t>
        </is>
      </c>
      <c r="I1519" t="n">
        <v>127</v>
      </c>
      <c r="J1519" t="inlineStr">
        <is>
          <t>P127|無印</t>
        </is>
      </c>
      <c r="K1519" t="inlineStr">
        <is>
          <t>同頁凡例へ直接連動</t>
        </is>
      </c>
      <c r="L1519" t="inlineStr">
        <is>
          <t>202604_LIXIL_サーモスＬ_業務用資料集_完成品価格表.pdf</t>
        </is>
      </c>
      <c r="M1519" t="inlineStr">
        <is>
          <t>v0.6：同一価格表セクション内で凡例継承を確定。</t>
        </is>
      </c>
      <c r="N1519" t="inlineStr">
        <is>
          <t>https://drive.google.com/file/d/1YUN-mtWYs48YBUHJk0C3vJXnhjyZFHyf/view</t>
        </is>
      </c>
    </row>
    <row r="1520">
      <c r="A1520" s="42" t="inlineStr">
        <is>
          <t>GSC-SL-001517</t>
        </is>
      </c>
      <c r="B1520" t="inlineStr">
        <is>
          <t>SZ-SL-001517</t>
        </is>
      </c>
      <c r="C1520" t="inlineStr">
        <is>
          <t>WT-SL-TATE-SUBERI</t>
        </is>
      </c>
      <c r="D1520" t="inlineStr">
        <is>
          <t>SP-SL-TATE-CAM-TFT-OUT</t>
        </is>
      </c>
      <c r="E1520" t="inlineStr">
        <is>
          <t>16509</t>
        </is>
      </c>
      <c r="F1520" t="b">
        <v>1</v>
      </c>
      <c r="G1520" t="n">
        <v>127</v>
      </c>
      <c r="H1520" t="inlineStr">
        <is>
          <t>無印</t>
        </is>
      </c>
      <c r="I1520" t="n">
        <v>127</v>
      </c>
      <c r="J1520" t="inlineStr">
        <is>
          <t>P127|無印</t>
        </is>
      </c>
      <c r="K1520" t="inlineStr">
        <is>
          <t>同頁凡例へ直接連動</t>
        </is>
      </c>
      <c r="L1520" t="inlineStr">
        <is>
          <t>202604_LIXIL_サーモスＬ_業務用資料集_完成品価格表.pdf</t>
        </is>
      </c>
      <c r="M1520" t="inlineStr">
        <is>
          <t>v0.6：同一価格表セクション内で凡例継承を確定。</t>
        </is>
      </c>
      <c r="N1520" t="inlineStr">
        <is>
          <t>https://drive.google.com/file/d/1YUN-mtWYs48YBUHJk0C3vJXnhjyZFHyf/view</t>
        </is>
      </c>
    </row>
    <row r="1521">
      <c r="A1521" s="42" t="inlineStr">
        <is>
          <t>GSC-SL-001518</t>
        </is>
      </c>
      <c r="B1521" t="inlineStr">
        <is>
          <t>SZ-SL-001518</t>
        </is>
      </c>
      <c r="C1521" t="inlineStr">
        <is>
          <t>WT-SL-TATE-SUBERI</t>
        </is>
      </c>
      <c r="D1521" t="inlineStr">
        <is>
          <t>SP-SL-TATE-CAM-TFT-OUT</t>
        </is>
      </c>
      <c r="E1521" t="inlineStr">
        <is>
          <t>16011</t>
        </is>
      </c>
      <c r="F1521" t="b">
        <v>1</v>
      </c>
      <c r="G1521" t="n">
        <v>127</v>
      </c>
      <c r="H1521" t="inlineStr">
        <is>
          <t>無印</t>
        </is>
      </c>
      <c r="I1521" t="n">
        <v>127</v>
      </c>
      <c r="J1521" t="inlineStr">
        <is>
          <t>P127|無印</t>
        </is>
      </c>
      <c r="K1521" t="inlineStr">
        <is>
          <t>同頁凡例へ直接連動</t>
        </is>
      </c>
      <c r="L1521" t="inlineStr">
        <is>
          <t>202604_LIXIL_サーモスＬ_業務用資料集_完成品価格表.pdf</t>
        </is>
      </c>
      <c r="M1521" t="inlineStr">
        <is>
          <t>v0.6：同一価格表セクション内で凡例継承を確定。</t>
        </is>
      </c>
      <c r="N1521" t="inlineStr">
        <is>
          <t>https://drive.google.com/file/d/1YUN-mtWYs48YBUHJk0C3vJXnhjyZFHyf/view</t>
        </is>
      </c>
    </row>
    <row r="1522">
      <c r="A1522" s="42" t="inlineStr">
        <is>
          <t>GSC-SL-001519</t>
        </is>
      </c>
      <c r="B1522" t="inlineStr">
        <is>
          <t>SZ-SL-001519</t>
        </is>
      </c>
      <c r="C1522" t="inlineStr">
        <is>
          <t>WT-SL-TATE-SUBERI</t>
        </is>
      </c>
      <c r="D1522" t="inlineStr">
        <is>
          <t>SP-SL-TATE-CAM-TFT-OUT</t>
        </is>
      </c>
      <c r="E1522" t="inlineStr">
        <is>
          <t>16511</t>
        </is>
      </c>
      <c r="F1522" t="b">
        <v>1</v>
      </c>
      <c r="G1522" t="n">
        <v>127</v>
      </c>
      <c r="H1522" t="inlineStr">
        <is>
          <t>無印</t>
        </is>
      </c>
      <c r="I1522" t="n">
        <v>127</v>
      </c>
      <c r="J1522" t="inlineStr">
        <is>
          <t>P127|無印</t>
        </is>
      </c>
      <c r="K1522" t="inlineStr">
        <is>
          <t>同頁凡例へ直接連動</t>
        </is>
      </c>
      <c r="L1522" t="inlineStr">
        <is>
          <t>202604_LIXIL_サーモスＬ_業務用資料集_完成品価格表.pdf</t>
        </is>
      </c>
      <c r="M1522" t="inlineStr">
        <is>
          <t>v0.6：同一価格表セクション内で凡例継承を確定。</t>
        </is>
      </c>
      <c r="N1522" t="inlineStr">
        <is>
          <t>https://drive.google.com/file/d/1YUN-mtWYs48YBUHJk0C3vJXnhjyZFHyf/view</t>
        </is>
      </c>
    </row>
    <row r="1523">
      <c r="A1523" s="42" t="inlineStr">
        <is>
          <t>GSC-SL-001520</t>
        </is>
      </c>
      <c r="B1523" t="inlineStr">
        <is>
          <t>SZ-SL-001520</t>
        </is>
      </c>
      <c r="C1523" t="inlineStr">
        <is>
          <t>WT-SL-TATE-SUBERI</t>
        </is>
      </c>
      <c r="D1523" t="inlineStr">
        <is>
          <t>SP-SL-TATE-CAM-TFT-OUT</t>
        </is>
      </c>
      <c r="E1523" t="inlineStr">
        <is>
          <t>16013</t>
        </is>
      </c>
      <c r="F1523" t="b">
        <v>1</v>
      </c>
      <c r="G1523" t="n">
        <v>127</v>
      </c>
      <c r="H1523" t="inlineStr">
        <is>
          <t>★</t>
        </is>
      </c>
      <c r="I1523" t="n">
        <v>127</v>
      </c>
      <c r="J1523" t="inlineStr">
        <is>
          <t>P127|★</t>
        </is>
      </c>
      <c r="K1523" t="inlineStr">
        <is>
          <t>同頁凡例へ直接連動</t>
        </is>
      </c>
      <c r="L1523" t="inlineStr">
        <is>
          <t>202604_LIXIL_サーモスＬ_業務用資料集_完成品価格表.pdf</t>
        </is>
      </c>
      <c r="M1523" t="inlineStr">
        <is>
          <t>v0.6：同一価格表セクション内で凡例継承を確定。</t>
        </is>
      </c>
      <c r="N1523" t="inlineStr">
        <is>
          <t>https://drive.google.com/file/d/1YUN-mtWYs48YBUHJk0C3vJXnhjyZFHyf/view</t>
        </is>
      </c>
    </row>
    <row r="1524">
      <c r="A1524" s="42" t="inlineStr">
        <is>
          <t>GSC-SL-001521</t>
        </is>
      </c>
      <c r="B1524" t="inlineStr">
        <is>
          <t>SZ-SL-001521</t>
        </is>
      </c>
      <c r="C1524" t="inlineStr">
        <is>
          <t>WT-SL-TATE-SUBERI</t>
        </is>
      </c>
      <c r="D1524" t="inlineStr">
        <is>
          <t>SP-SL-TATE-CAM-TFT-OUT</t>
        </is>
      </c>
      <c r="E1524" t="inlineStr">
        <is>
          <t>16513</t>
        </is>
      </c>
      <c r="F1524" t="b">
        <v>1</v>
      </c>
      <c r="G1524" t="n">
        <v>127</v>
      </c>
      <c r="H1524" t="inlineStr">
        <is>
          <t>★</t>
        </is>
      </c>
      <c r="I1524" t="n">
        <v>127</v>
      </c>
      <c r="J1524" t="inlineStr">
        <is>
          <t>P127|★</t>
        </is>
      </c>
      <c r="K1524" t="inlineStr">
        <is>
          <t>同頁凡例へ直接連動</t>
        </is>
      </c>
      <c r="L1524" t="inlineStr">
        <is>
          <t>202604_LIXIL_サーモスＬ_業務用資料集_完成品価格表.pdf</t>
        </is>
      </c>
      <c r="M1524" t="inlineStr">
        <is>
          <t>v0.6：同一価格表セクション内で凡例継承を確定。</t>
        </is>
      </c>
      <c r="N1524" t="inlineStr">
        <is>
          <t>https://drive.google.com/file/d/1YUN-mtWYs48YBUHJk0C3vJXnhjyZFHyf/view</t>
        </is>
      </c>
    </row>
    <row r="1525">
      <c r="A1525" s="42" t="inlineStr">
        <is>
          <t>GSC-SL-001522</t>
        </is>
      </c>
      <c r="B1525" t="inlineStr">
        <is>
          <t>SZ-SL-001522</t>
        </is>
      </c>
      <c r="C1525" t="inlineStr">
        <is>
          <t>WT-SL-TATE-SUBERI</t>
        </is>
      </c>
      <c r="D1525" t="inlineStr">
        <is>
          <t>SP-SL-TATE-CAM-TF-IN</t>
        </is>
      </c>
      <c r="E1525" t="inlineStr">
        <is>
          <t>11409</t>
        </is>
      </c>
      <c r="F1525" t="b">
        <v>1</v>
      </c>
      <c r="G1525" t="n">
        <v>128</v>
      </c>
      <c r="H1525" t="inlineStr">
        <is>
          <t>無印</t>
        </is>
      </c>
      <c r="I1525" t="n">
        <v>128</v>
      </c>
      <c r="J1525" t="inlineStr">
        <is>
          <t>P128|無印</t>
        </is>
      </c>
      <c r="K1525" t="inlineStr">
        <is>
          <t>同頁凡例へ直接連動</t>
        </is>
      </c>
      <c r="L1525" t="inlineStr">
        <is>
          <t>202604_LIXIL_サーモスＬ_業務用資料集_完成品価格表.pdf</t>
        </is>
      </c>
      <c r="M1525" t="inlineStr">
        <is>
          <t>v0.6：同一価格表セクション内で凡例継承を確定。</t>
        </is>
      </c>
      <c r="N1525" t="inlineStr">
        <is>
          <t>https://drive.google.com/file/d/1YUN-mtWYs48YBUHJk0C3vJXnhjyZFHyf/view</t>
        </is>
      </c>
    </row>
    <row r="1526">
      <c r="A1526" s="42" t="inlineStr">
        <is>
          <t>GSC-SL-001523</t>
        </is>
      </c>
      <c r="B1526" t="inlineStr">
        <is>
          <t>SZ-SL-001523</t>
        </is>
      </c>
      <c r="C1526" t="inlineStr">
        <is>
          <t>WT-SL-TATE-SUBERI</t>
        </is>
      </c>
      <c r="D1526" t="inlineStr">
        <is>
          <t>SP-SL-TATE-CAM-TF-IN</t>
        </is>
      </c>
      <c r="E1526" t="inlineStr">
        <is>
          <t>11909</t>
        </is>
      </c>
      <c r="F1526" t="b">
        <v>1</v>
      </c>
      <c r="G1526" t="n">
        <v>128</v>
      </c>
      <c r="H1526" t="inlineStr">
        <is>
          <t>無印</t>
        </is>
      </c>
      <c r="I1526" t="n">
        <v>128</v>
      </c>
      <c r="J1526" t="inlineStr">
        <is>
          <t>P128|無印</t>
        </is>
      </c>
      <c r="K1526" t="inlineStr">
        <is>
          <t>同頁凡例へ直接連動</t>
        </is>
      </c>
      <c r="L1526" t="inlineStr">
        <is>
          <t>202604_LIXIL_サーモスＬ_業務用資料集_完成品価格表.pdf</t>
        </is>
      </c>
      <c r="M1526" t="inlineStr">
        <is>
          <t>v0.6：同一価格表セクション内で凡例継承を確定。</t>
        </is>
      </c>
      <c r="N1526" t="inlineStr">
        <is>
          <t>https://drive.google.com/file/d/1YUN-mtWYs48YBUHJk0C3vJXnhjyZFHyf/view</t>
        </is>
      </c>
    </row>
    <row r="1527">
      <c r="A1527" s="42" t="inlineStr">
        <is>
          <t>GSC-SL-001524</t>
        </is>
      </c>
      <c r="B1527" t="inlineStr">
        <is>
          <t>SZ-SL-001524</t>
        </is>
      </c>
      <c r="C1527" t="inlineStr">
        <is>
          <t>WT-SL-TATE-SUBERI</t>
        </is>
      </c>
      <c r="D1527" t="inlineStr">
        <is>
          <t>SP-SL-TATE-CAM-TF-IN</t>
        </is>
      </c>
      <c r="E1527" t="inlineStr">
        <is>
          <t>16009</t>
        </is>
      </c>
      <c r="F1527" t="b">
        <v>1</v>
      </c>
      <c r="G1527" t="n">
        <v>128</v>
      </c>
      <c r="H1527" t="inlineStr">
        <is>
          <t>無印</t>
        </is>
      </c>
      <c r="I1527" t="n">
        <v>128</v>
      </c>
      <c r="J1527" t="inlineStr">
        <is>
          <t>P128|無印</t>
        </is>
      </c>
      <c r="K1527" t="inlineStr">
        <is>
          <t>同頁凡例へ直接連動</t>
        </is>
      </c>
      <c r="L1527" t="inlineStr">
        <is>
          <t>202604_LIXIL_サーモスＬ_業務用資料集_完成品価格表.pdf</t>
        </is>
      </c>
      <c r="M1527" t="inlineStr">
        <is>
          <t>v0.6：同一価格表セクション内で凡例継承を確定。</t>
        </is>
      </c>
      <c r="N1527" t="inlineStr">
        <is>
          <t>https://drive.google.com/file/d/1YUN-mtWYs48YBUHJk0C3vJXnhjyZFHyf/view</t>
        </is>
      </c>
    </row>
    <row r="1528">
      <c r="A1528" s="42" t="inlineStr">
        <is>
          <t>GSC-SL-001525</t>
        </is>
      </c>
      <c r="B1528" t="inlineStr">
        <is>
          <t>SZ-SL-001525</t>
        </is>
      </c>
      <c r="C1528" t="inlineStr">
        <is>
          <t>WT-SL-TATE-SUBERI</t>
        </is>
      </c>
      <c r="D1528" t="inlineStr">
        <is>
          <t>SP-SL-TATE-CAM-TF-IN</t>
        </is>
      </c>
      <c r="E1528" t="inlineStr">
        <is>
          <t>16509</t>
        </is>
      </c>
      <c r="F1528" t="b">
        <v>1</v>
      </c>
      <c r="G1528" t="n">
        <v>128</v>
      </c>
      <c r="H1528" t="inlineStr">
        <is>
          <t>無印</t>
        </is>
      </c>
      <c r="I1528" t="n">
        <v>128</v>
      </c>
      <c r="J1528" t="inlineStr">
        <is>
          <t>P128|無印</t>
        </is>
      </c>
      <c r="K1528" t="inlineStr">
        <is>
          <t>同頁凡例へ直接連動</t>
        </is>
      </c>
      <c r="L1528" t="inlineStr">
        <is>
          <t>202604_LIXIL_サーモスＬ_業務用資料集_完成品価格表.pdf</t>
        </is>
      </c>
      <c r="M1528" t="inlineStr">
        <is>
          <t>v0.6：同一価格表セクション内で凡例継承を確定。</t>
        </is>
      </c>
      <c r="N1528" t="inlineStr">
        <is>
          <t>https://drive.google.com/file/d/1YUN-mtWYs48YBUHJk0C3vJXnhjyZFHyf/view</t>
        </is>
      </c>
    </row>
    <row r="1529">
      <c r="A1529" s="42" t="inlineStr">
        <is>
          <t>GSC-SL-001526</t>
        </is>
      </c>
      <c r="B1529" t="inlineStr">
        <is>
          <t>SZ-SL-001526</t>
        </is>
      </c>
      <c r="C1529" t="inlineStr">
        <is>
          <t>WT-SL-TATE-SUBERI</t>
        </is>
      </c>
      <c r="D1529" t="inlineStr">
        <is>
          <t>SP-SL-TATE-CAM-TF-IN</t>
        </is>
      </c>
      <c r="E1529" t="inlineStr">
        <is>
          <t>11411</t>
        </is>
      </c>
      <c r="F1529" t="b">
        <v>1</v>
      </c>
      <c r="G1529" t="n">
        <v>128</v>
      </c>
      <c r="H1529" t="inlineStr">
        <is>
          <t>無印</t>
        </is>
      </c>
      <c r="I1529" t="n">
        <v>128</v>
      </c>
      <c r="J1529" t="inlineStr">
        <is>
          <t>P128|無印</t>
        </is>
      </c>
      <c r="K1529" t="inlineStr">
        <is>
          <t>同頁凡例へ直接連動</t>
        </is>
      </c>
      <c r="L1529" t="inlineStr">
        <is>
          <t>202604_LIXIL_サーモスＬ_業務用資料集_完成品価格表.pdf</t>
        </is>
      </c>
      <c r="M1529" t="inlineStr">
        <is>
          <t>v0.6：同一価格表セクション内で凡例継承を確定。</t>
        </is>
      </c>
      <c r="N1529" t="inlineStr">
        <is>
          <t>https://drive.google.com/file/d/1YUN-mtWYs48YBUHJk0C3vJXnhjyZFHyf/view</t>
        </is>
      </c>
    </row>
    <row r="1530">
      <c r="A1530" s="42" t="inlineStr">
        <is>
          <t>GSC-SL-001527</t>
        </is>
      </c>
      <c r="B1530" t="inlineStr">
        <is>
          <t>SZ-SL-001527</t>
        </is>
      </c>
      <c r="C1530" t="inlineStr">
        <is>
          <t>WT-SL-TATE-SUBERI</t>
        </is>
      </c>
      <c r="D1530" t="inlineStr">
        <is>
          <t>SP-SL-TATE-CAM-TF-IN</t>
        </is>
      </c>
      <c r="E1530" t="inlineStr">
        <is>
          <t>11911</t>
        </is>
      </c>
      <c r="F1530" t="b">
        <v>1</v>
      </c>
      <c r="G1530" t="n">
        <v>128</v>
      </c>
      <c r="H1530" t="inlineStr">
        <is>
          <t>無印</t>
        </is>
      </c>
      <c r="I1530" t="n">
        <v>128</v>
      </c>
      <c r="J1530" t="inlineStr">
        <is>
          <t>P128|無印</t>
        </is>
      </c>
      <c r="K1530" t="inlineStr">
        <is>
          <t>同頁凡例へ直接連動</t>
        </is>
      </c>
      <c r="L1530" t="inlineStr">
        <is>
          <t>202604_LIXIL_サーモスＬ_業務用資料集_完成品価格表.pdf</t>
        </is>
      </c>
      <c r="M1530" t="inlineStr">
        <is>
          <t>v0.6：同一価格表セクション内で凡例継承を確定。</t>
        </is>
      </c>
      <c r="N1530" t="inlineStr">
        <is>
          <t>https://drive.google.com/file/d/1YUN-mtWYs48YBUHJk0C3vJXnhjyZFHyf/view</t>
        </is>
      </c>
    </row>
    <row r="1531">
      <c r="A1531" s="42" t="inlineStr">
        <is>
          <t>GSC-SL-001528</t>
        </is>
      </c>
      <c r="B1531" t="inlineStr">
        <is>
          <t>SZ-SL-001528</t>
        </is>
      </c>
      <c r="C1531" t="inlineStr">
        <is>
          <t>WT-SL-TATE-SUBERI</t>
        </is>
      </c>
      <c r="D1531" t="inlineStr">
        <is>
          <t>SP-SL-TATE-CAM-TF-IN</t>
        </is>
      </c>
      <c r="E1531" t="inlineStr">
        <is>
          <t>16011</t>
        </is>
      </c>
      <c r="F1531" t="b">
        <v>1</v>
      </c>
      <c r="G1531" t="n">
        <v>128</v>
      </c>
      <c r="H1531" t="inlineStr">
        <is>
          <t>★</t>
        </is>
      </c>
      <c r="I1531" t="n">
        <v>128</v>
      </c>
      <c r="J1531" t="inlineStr">
        <is>
          <t>P128|★</t>
        </is>
      </c>
      <c r="K1531" t="inlineStr">
        <is>
          <t>同頁凡例へ直接連動</t>
        </is>
      </c>
      <c r="L1531" t="inlineStr">
        <is>
          <t>202604_LIXIL_サーモスＬ_業務用資料集_完成品価格表.pdf</t>
        </is>
      </c>
      <c r="M1531" t="inlineStr">
        <is>
          <t>v0.6：同一価格表セクション内で凡例継承を確定。</t>
        </is>
      </c>
      <c r="N1531" t="inlineStr">
        <is>
          <t>https://drive.google.com/file/d/1YUN-mtWYs48YBUHJk0C3vJXnhjyZFHyf/view</t>
        </is>
      </c>
    </row>
    <row r="1532">
      <c r="A1532" s="42" t="inlineStr">
        <is>
          <t>GSC-SL-001529</t>
        </is>
      </c>
      <c r="B1532" t="inlineStr">
        <is>
          <t>SZ-SL-001529</t>
        </is>
      </c>
      <c r="C1532" t="inlineStr">
        <is>
          <t>WT-SL-TATE-SUBERI</t>
        </is>
      </c>
      <c r="D1532" t="inlineStr">
        <is>
          <t>SP-SL-TATE-CAM-TF-IN</t>
        </is>
      </c>
      <c r="E1532" t="inlineStr">
        <is>
          <t>16511</t>
        </is>
      </c>
      <c r="F1532" t="b">
        <v>1</v>
      </c>
      <c r="G1532" t="n">
        <v>128</v>
      </c>
      <c r="H1532" t="inlineStr">
        <is>
          <t>★</t>
        </is>
      </c>
      <c r="I1532" t="n">
        <v>128</v>
      </c>
      <c r="J1532" t="inlineStr">
        <is>
          <t>P128|★</t>
        </is>
      </c>
      <c r="K1532" t="inlineStr">
        <is>
          <t>同頁凡例へ直接連動</t>
        </is>
      </c>
      <c r="L1532" t="inlineStr">
        <is>
          <t>202604_LIXIL_サーモスＬ_業務用資料集_完成品価格表.pdf</t>
        </is>
      </c>
      <c r="M1532" t="inlineStr">
        <is>
          <t>v0.6：同一価格表セクション内で凡例継承を確定。</t>
        </is>
      </c>
      <c r="N1532" t="inlineStr">
        <is>
          <t>https://drive.google.com/file/d/1YUN-mtWYs48YBUHJk0C3vJXnhjyZFHyf/view</t>
        </is>
      </c>
    </row>
    <row r="1533">
      <c r="A1533" s="42" t="inlineStr">
        <is>
          <t>GSC-SL-001530</t>
        </is>
      </c>
      <c r="B1533" t="inlineStr">
        <is>
          <t>SZ-SL-001530</t>
        </is>
      </c>
      <c r="C1533" t="inlineStr">
        <is>
          <t>WT-SL-TATE-SUBERI</t>
        </is>
      </c>
      <c r="D1533" t="inlineStr">
        <is>
          <t>SP-SL-TATE-CAM-TF-IN</t>
        </is>
      </c>
      <c r="E1533" t="inlineStr">
        <is>
          <t>11413</t>
        </is>
      </c>
      <c r="F1533" t="b">
        <v>1</v>
      </c>
      <c r="G1533" t="n">
        <v>128</v>
      </c>
      <c r="H1533" t="inlineStr">
        <is>
          <t>無印</t>
        </is>
      </c>
      <c r="I1533" t="n">
        <v>128</v>
      </c>
      <c r="J1533" t="inlineStr">
        <is>
          <t>P128|無印</t>
        </is>
      </c>
      <c r="K1533" t="inlineStr">
        <is>
          <t>同頁凡例へ直接連動</t>
        </is>
      </c>
      <c r="L1533" t="inlineStr">
        <is>
          <t>202604_LIXIL_サーモスＬ_業務用資料集_完成品価格表.pdf</t>
        </is>
      </c>
      <c r="M1533" t="inlineStr">
        <is>
          <t>v0.6：同一価格表セクション内で凡例継承を確定。</t>
        </is>
      </c>
      <c r="N1533" t="inlineStr">
        <is>
          <t>https://drive.google.com/file/d/1YUN-mtWYs48YBUHJk0C3vJXnhjyZFHyf/view</t>
        </is>
      </c>
    </row>
    <row r="1534">
      <c r="A1534" s="42" t="inlineStr">
        <is>
          <t>GSC-SL-001531</t>
        </is>
      </c>
      <c r="B1534" t="inlineStr">
        <is>
          <t>SZ-SL-001531</t>
        </is>
      </c>
      <c r="C1534" t="inlineStr">
        <is>
          <t>WT-SL-TATE-SUBERI</t>
        </is>
      </c>
      <c r="D1534" t="inlineStr">
        <is>
          <t>SP-SL-TATE-CAM-TF-IN</t>
        </is>
      </c>
      <c r="E1534" t="inlineStr">
        <is>
          <t>11913</t>
        </is>
      </c>
      <c r="F1534" t="b">
        <v>1</v>
      </c>
      <c r="G1534" t="n">
        <v>128</v>
      </c>
      <c r="H1534" t="inlineStr">
        <is>
          <t>無印</t>
        </is>
      </c>
      <c r="I1534" t="n">
        <v>128</v>
      </c>
      <c r="J1534" t="inlineStr">
        <is>
          <t>P128|無印</t>
        </is>
      </c>
      <c r="K1534" t="inlineStr">
        <is>
          <t>同頁凡例へ直接連動</t>
        </is>
      </c>
      <c r="L1534" t="inlineStr">
        <is>
          <t>202604_LIXIL_サーモスＬ_業務用資料集_完成品価格表.pdf</t>
        </is>
      </c>
      <c r="M1534" t="inlineStr">
        <is>
          <t>v0.6：同一価格表セクション内で凡例継承を確定。</t>
        </is>
      </c>
      <c r="N1534" t="inlineStr">
        <is>
          <t>https://drive.google.com/file/d/1YUN-mtWYs48YBUHJk0C3vJXnhjyZFHyf/view</t>
        </is>
      </c>
    </row>
    <row r="1535">
      <c r="A1535" s="42" t="inlineStr">
        <is>
          <t>GSC-SL-001532</t>
        </is>
      </c>
      <c r="B1535" t="inlineStr">
        <is>
          <t>SZ-SL-001532</t>
        </is>
      </c>
      <c r="C1535" t="inlineStr">
        <is>
          <t>WT-SL-TATE-SUBERI</t>
        </is>
      </c>
      <c r="D1535" t="inlineStr">
        <is>
          <t>SP-SL-TATE-CAM-TF-IN</t>
        </is>
      </c>
      <c r="E1535" t="inlineStr">
        <is>
          <t>16013</t>
        </is>
      </c>
      <c r="F1535" t="b">
        <v>1</v>
      </c>
      <c r="G1535" t="n">
        <v>128</v>
      </c>
      <c r="H1535" t="inlineStr">
        <is>
          <t>★</t>
        </is>
      </c>
      <c r="I1535" t="n">
        <v>128</v>
      </c>
      <c r="J1535" t="inlineStr">
        <is>
          <t>P128|★</t>
        </is>
      </c>
      <c r="K1535" t="inlineStr">
        <is>
          <t>同頁凡例へ直接連動</t>
        </is>
      </c>
      <c r="L1535" t="inlineStr">
        <is>
          <t>202604_LIXIL_サーモスＬ_業務用資料集_完成品価格表.pdf</t>
        </is>
      </c>
      <c r="M1535" t="inlineStr">
        <is>
          <t>v0.6：同一価格表セクション内で凡例継承を確定。</t>
        </is>
      </c>
      <c r="N1535" t="inlineStr">
        <is>
          <t>https://drive.google.com/file/d/1YUN-mtWYs48YBUHJk0C3vJXnhjyZFHyf/view</t>
        </is>
      </c>
    </row>
    <row r="1536">
      <c r="A1536" s="42" t="inlineStr">
        <is>
          <t>GSC-SL-001533</t>
        </is>
      </c>
      <c r="B1536" t="inlineStr">
        <is>
          <t>SZ-SL-001533</t>
        </is>
      </c>
      <c r="C1536" t="inlineStr">
        <is>
          <t>WT-SL-TATE-SUBERI</t>
        </is>
      </c>
      <c r="D1536" t="inlineStr">
        <is>
          <t>SP-SL-TATE-CAM-TF-IN</t>
        </is>
      </c>
      <c r="E1536" t="inlineStr">
        <is>
          <t>16513</t>
        </is>
      </c>
      <c r="F1536" t="b">
        <v>1</v>
      </c>
      <c r="G1536" t="n">
        <v>128</v>
      </c>
      <c r="H1536" t="inlineStr">
        <is>
          <t>★</t>
        </is>
      </c>
      <c r="I1536" t="n">
        <v>128</v>
      </c>
      <c r="J1536" t="inlineStr">
        <is>
          <t>P128|★</t>
        </is>
      </c>
      <c r="K1536" t="inlineStr">
        <is>
          <t>同頁凡例へ直接連動</t>
        </is>
      </c>
      <c r="L1536" t="inlineStr">
        <is>
          <t>202604_LIXIL_サーモスＬ_業務用資料集_完成品価格表.pdf</t>
        </is>
      </c>
      <c r="M1536" t="inlineStr">
        <is>
          <t>v0.6：同一価格表セクション内で凡例継承を確定。</t>
        </is>
      </c>
      <c r="N1536" t="inlineStr">
        <is>
          <t>https://drive.google.com/file/d/1YUN-mtWYs48YBUHJk0C3vJXnhjyZFHyf/view</t>
        </is>
      </c>
    </row>
    <row r="1537">
      <c r="A1537" s="42" t="inlineStr">
        <is>
          <t>GSC-SL-001534</t>
        </is>
      </c>
      <c r="B1537" t="inlineStr">
        <is>
          <t>SZ-SL-001534</t>
        </is>
      </c>
      <c r="C1537" t="inlineStr">
        <is>
          <t>WT-SL-TATE-SUBERI</t>
        </is>
      </c>
      <c r="D1537" t="inlineStr">
        <is>
          <t>SP-SL-TATE-CAM-TFT-IN</t>
        </is>
      </c>
      <c r="E1537" t="inlineStr">
        <is>
          <t>16009</t>
        </is>
      </c>
      <c r="F1537" t="b">
        <v>1</v>
      </c>
      <c r="G1537" t="n">
        <v>129</v>
      </c>
      <c r="H1537" t="inlineStr">
        <is>
          <t>無印</t>
        </is>
      </c>
      <c r="I1537" t="n">
        <v>129</v>
      </c>
      <c r="J1537" t="inlineStr">
        <is>
          <t>P129|無印</t>
        </is>
      </c>
      <c r="K1537" t="inlineStr">
        <is>
          <t>同頁凡例へ直接連動</t>
        </is>
      </c>
      <c r="L1537" t="inlineStr">
        <is>
          <t>202604_LIXIL_サーモスＬ_業務用資料集_完成品価格表.pdf</t>
        </is>
      </c>
      <c r="M1537" t="inlineStr">
        <is>
          <t>v0.6：同一価格表セクション内で凡例継承を確定。</t>
        </is>
      </c>
      <c r="N1537" t="inlineStr">
        <is>
          <t>https://drive.google.com/file/d/1YUN-mtWYs48YBUHJk0C3vJXnhjyZFHyf/view</t>
        </is>
      </c>
    </row>
    <row r="1538">
      <c r="A1538" s="42" t="inlineStr">
        <is>
          <t>GSC-SL-001535</t>
        </is>
      </c>
      <c r="B1538" t="inlineStr">
        <is>
          <t>SZ-SL-001535</t>
        </is>
      </c>
      <c r="C1538" t="inlineStr">
        <is>
          <t>WT-SL-TATE-SUBERI</t>
        </is>
      </c>
      <c r="D1538" t="inlineStr">
        <is>
          <t>SP-SL-TATE-CAM-TFT-IN</t>
        </is>
      </c>
      <c r="E1538" t="inlineStr">
        <is>
          <t>16509</t>
        </is>
      </c>
      <c r="F1538" t="b">
        <v>1</v>
      </c>
      <c r="G1538" t="n">
        <v>129</v>
      </c>
      <c r="H1538" t="inlineStr">
        <is>
          <t>無印</t>
        </is>
      </c>
      <c r="I1538" t="n">
        <v>129</v>
      </c>
      <c r="J1538" t="inlineStr">
        <is>
          <t>P129|無印</t>
        </is>
      </c>
      <c r="K1538" t="inlineStr">
        <is>
          <t>同頁凡例へ直接連動</t>
        </is>
      </c>
      <c r="L1538" t="inlineStr">
        <is>
          <t>202604_LIXIL_サーモスＬ_業務用資料集_完成品価格表.pdf</t>
        </is>
      </c>
      <c r="M1538" t="inlineStr">
        <is>
          <t>v0.6：同一価格表セクション内で凡例継承を確定。</t>
        </is>
      </c>
      <c r="N1538" t="inlineStr">
        <is>
          <t>https://drive.google.com/file/d/1YUN-mtWYs48YBUHJk0C3vJXnhjyZFHyf/view</t>
        </is>
      </c>
    </row>
    <row r="1539">
      <c r="A1539" s="42" t="inlineStr">
        <is>
          <t>GSC-SL-001536</t>
        </is>
      </c>
      <c r="B1539" t="inlineStr">
        <is>
          <t>SZ-SL-001536</t>
        </is>
      </c>
      <c r="C1539" t="inlineStr">
        <is>
          <t>WT-SL-TATE-SUBERI</t>
        </is>
      </c>
      <c r="D1539" t="inlineStr">
        <is>
          <t>SP-SL-TATE-CAM-TFT-IN</t>
        </is>
      </c>
      <c r="E1539" t="inlineStr">
        <is>
          <t>16011</t>
        </is>
      </c>
      <c r="F1539" t="b">
        <v>1</v>
      </c>
      <c r="G1539" t="n">
        <v>129</v>
      </c>
      <c r="H1539" t="inlineStr">
        <is>
          <t>無印</t>
        </is>
      </c>
      <c r="I1539" t="n">
        <v>129</v>
      </c>
      <c r="J1539" t="inlineStr">
        <is>
          <t>P129|無印</t>
        </is>
      </c>
      <c r="K1539" t="inlineStr">
        <is>
          <t>同頁凡例へ直接連動</t>
        </is>
      </c>
      <c r="L1539" t="inlineStr">
        <is>
          <t>202604_LIXIL_サーモスＬ_業務用資料集_完成品価格表.pdf</t>
        </is>
      </c>
      <c r="M1539" t="inlineStr">
        <is>
          <t>v0.6：同一価格表セクション内で凡例継承を確定。</t>
        </is>
      </c>
      <c r="N1539" t="inlineStr">
        <is>
          <t>https://drive.google.com/file/d/1YUN-mtWYs48YBUHJk0C3vJXnhjyZFHyf/view</t>
        </is>
      </c>
    </row>
    <row r="1540">
      <c r="A1540" s="42" t="inlineStr">
        <is>
          <t>GSC-SL-001537</t>
        </is>
      </c>
      <c r="B1540" t="inlineStr">
        <is>
          <t>SZ-SL-001537</t>
        </is>
      </c>
      <c r="C1540" t="inlineStr">
        <is>
          <t>WT-SL-TATE-SUBERI</t>
        </is>
      </c>
      <c r="D1540" t="inlineStr">
        <is>
          <t>SP-SL-TATE-CAM-TFT-IN</t>
        </is>
      </c>
      <c r="E1540" t="inlineStr">
        <is>
          <t>16511</t>
        </is>
      </c>
      <c r="F1540" t="b">
        <v>1</v>
      </c>
      <c r="G1540" t="n">
        <v>129</v>
      </c>
      <c r="H1540" t="inlineStr">
        <is>
          <t>無印</t>
        </is>
      </c>
      <c r="I1540" t="n">
        <v>129</v>
      </c>
      <c r="J1540" t="inlineStr">
        <is>
          <t>P129|無印</t>
        </is>
      </c>
      <c r="K1540" t="inlineStr">
        <is>
          <t>同頁凡例へ直接連動</t>
        </is>
      </c>
      <c r="L1540" t="inlineStr">
        <is>
          <t>202604_LIXIL_サーモスＬ_業務用資料集_完成品価格表.pdf</t>
        </is>
      </c>
      <c r="M1540" t="inlineStr">
        <is>
          <t>v0.6：同一価格表セクション内で凡例継承を確定。</t>
        </is>
      </c>
      <c r="N1540" t="inlineStr">
        <is>
          <t>https://drive.google.com/file/d/1YUN-mtWYs48YBUHJk0C3vJXnhjyZFHyf/view</t>
        </is>
      </c>
    </row>
    <row r="1541">
      <c r="A1541" s="42" t="inlineStr">
        <is>
          <t>GSC-SL-001538</t>
        </is>
      </c>
      <c r="B1541" t="inlineStr">
        <is>
          <t>SZ-SL-001538</t>
        </is>
      </c>
      <c r="C1541" t="inlineStr">
        <is>
          <t>WT-SL-TATE-SUBERI</t>
        </is>
      </c>
      <c r="D1541" t="inlineStr">
        <is>
          <t>SP-SL-TATE-CAM-TFT-IN</t>
        </is>
      </c>
      <c r="E1541" t="inlineStr">
        <is>
          <t>16013</t>
        </is>
      </c>
      <c r="F1541" t="b">
        <v>1</v>
      </c>
      <c r="G1541" t="n">
        <v>129</v>
      </c>
      <c r="H1541" t="inlineStr">
        <is>
          <t>無印</t>
        </is>
      </c>
      <c r="I1541" t="n">
        <v>129</v>
      </c>
      <c r="J1541" t="inlineStr">
        <is>
          <t>P129|無印</t>
        </is>
      </c>
      <c r="K1541" t="inlineStr">
        <is>
          <t>同頁凡例へ直接連動</t>
        </is>
      </c>
      <c r="L1541" t="inlineStr">
        <is>
          <t>202604_LIXIL_サーモスＬ_業務用資料集_完成品価格表.pdf</t>
        </is>
      </c>
      <c r="M1541" t="inlineStr">
        <is>
          <t>v0.6：同一価格表セクション内で凡例継承を確定。</t>
        </is>
      </c>
      <c r="N1541" t="inlineStr">
        <is>
          <t>https://drive.google.com/file/d/1YUN-mtWYs48YBUHJk0C3vJXnhjyZFHyf/view</t>
        </is>
      </c>
    </row>
    <row r="1542">
      <c r="A1542" s="42" t="inlineStr">
        <is>
          <t>GSC-SL-001539</t>
        </is>
      </c>
      <c r="B1542" t="inlineStr">
        <is>
          <t>SZ-SL-001539</t>
        </is>
      </c>
      <c r="C1542" t="inlineStr">
        <is>
          <t>WT-SL-TATE-SUBERI</t>
        </is>
      </c>
      <c r="D1542" t="inlineStr">
        <is>
          <t>SP-SL-TATE-CAM-TFT-IN</t>
        </is>
      </c>
      <c r="E1542" t="inlineStr">
        <is>
          <t>16513</t>
        </is>
      </c>
      <c r="F1542" t="b">
        <v>1</v>
      </c>
      <c r="G1542" t="n">
        <v>129</v>
      </c>
      <c r="H1542" t="inlineStr">
        <is>
          <t>★</t>
        </is>
      </c>
      <c r="I1542" t="n">
        <v>129</v>
      </c>
      <c r="J1542" t="inlineStr">
        <is>
          <t>P129|★</t>
        </is>
      </c>
      <c r="K1542" t="inlineStr">
        <is>
          <t>同頁凡例へ直接連動</t>
        </is>
      </c>
      <c r="L1542" t="inlineStr">
        <is>
          <t>202604_LIXIL_サーモスＬ_業務用資料集_完成品価格表.pdf</t>
        </is>
      </c>
      <c r="M1542" t="inlineStr">
        <is>
          <t>v0.6：同一価格表セクション内で凡例継承を確定。</t>
        </is>
      </c>
      <c r="N1542" t="inlineStr">
        <is>
          <t>https://drive.google.com/file/d/1YUN-mtWYs48YBUHJk0C3vJXnhjyZFHyf/view</t>
        </is>
      </c>
    </row>
    <row r="1543">
      <c r="A1543" s="42" t="inlineStr">
        <is>
          <t>GSC-SL-001540</t>
        </is>
      </c>
      <c r="B1543" t="inlineStr">
        <is>
          <t>SZ-SL-001540</t>
        </is>
      </c>
      <c r="C1543" t="inlineStr">
        <is>
          <t>WT-SL-YOKO-SUBERI</t>
        </is>
      </c>
      <c r="D1543" t="inlineStr">
        <is>
          <t>SP-SL-YOKO-CAM</t>
        </is>
      </c>
      <c r="E1543" t="inlineStr">
        <is>
          <t>026023</t>
        </is>
      </c>
      <c r="F1543" t="b">
        <v>1</v>
      </c>
      <c r="G1543" t="n">
        <v>134</v>
      </c>
      <c r="H1543" t="inlineStr">
        <is>
          <t>無印</t>
        </is>
      </c>
      <c r="I1543" t="n">
        <v>134</v>
      </c>
      <c r="J1543" t="inlineStr">
        <is>
          <t>P134|無印</t>
        </is>
      </c>
      <c r="K1543" t="inlineStr">
        <is>
          <t>同頁凡例へ直接連動</t>
        </is>
      </c>
      <c r="L1543" t="inlineStr">
        <is>
          <t>202604_LIXIL_サーモスＬ_業務用資料集_完成品価格表.pdf</t>
        </is>
      </c>
      <c r="M1543" t="inlineStr">
        <is>
          <t>v0.6：同一価格表セクション内で凡例継承を確定。</t>
        </is>
      </c>
      <c r="N1543" t="inlineStr">
        <is>
          <t>https://drive.google.com/file/d/1YUN-mtWYs48YBUHJk0C3vJXnhjyZFHyf/view</t>
        </is>
      </c>
    </row>
    <row r="1544">
      <c r="A1544" s="42" t="inlineStr">
        <is>
          <t>GSC-SL-001541</t>
        </is>
      </c>
      <c r="B1544" t="inlineStr">
        <is>
          <t>SZ-SL-001541</t>
        </is>
      </c>
      <c r="C1544" t="inlineStr">
        <is>
          <t>WT-SL-YOKO-SUBERI</t>
        </is>
      </c>
      <c r="D1544" t="inlineStr">
        <is>
          <t>SP-SL-YOKO-CAM</t>
        </is>
      </c>
      <c r="E1544" t="inlineStr">
        <is>
          <t>031028</t>
        </is>
      </c>
      <c r="F1544" t="b">
        <v>1</v>
      </c>
      <c r="G1544" t="n">
        <v>134</v>
      </c>
      <c r="H1544" t="inlineStr">
        <is>
          <t>無印</t>
        </is>
      </c>
      <c r="I1544" t="n">
        <v>134</v>
      </c>
      <c r="J1544" t="inlineStr">
        <is>
          <t>P134|無印</t>
        </is>
      </c>
      <c r="K1544" t="inlineStr">
        <is>
          <t>同頁凡例へ直接連動</t>
        </is>
      </c>
      <c r="L1544" t="inlineStr">
        <is>
          <t>202604_LIXIL_サーモスＬ_業務用資料集_完成品価格表.pdf</t>
        </is>
      </c>
      <c r="M1544" t="inlineStr">
        <is>
          <t>v0.6：同一価格表セクション内で凡例継承を確定。</t>
        </is>
      </c>
      <c r="N1544" t="inlineStr">
        <is>
          <t>https://drive.google.com/file/d/1YUN-mtWYs48YBUHJk0C3vJXnhjyZFHyf/view</t>
        </is>
      </c>
    </row>
    <row r="1545">
      <c r="A1545" s="42" t="inlineStr">
        <is>
          <t>GSC-SL-001542</t>
        </is>
      </c>
      <c r="B1545" t="inlineStr">
        <is>
          <t>SZ-SL-001542</t>
        </is>
      </c>
      <c r="C1545" t="inlineStr">
        <is>
          <t>WT-SL-YOKO-SUBERI</t>
        </is>
      </c>
      <c r="D1545" t="inlineStr">
        <is>
          <t>SP-SL-YOKO-CAM</t>
        </is>
      </c>
      <c r="E1545" t="inlineStr">
        <is>
          <t>03603</t>
        </is>
      </c>
      <c r="F1545" t="b">
        <v>1</v>
      </c>
      <c r="G1545" t="n">
        <v>134</v>
      </c>
      <c r="H1545" t="inlineStr">
        <is>
          <t>無印</t>
        </is>
      </c>
      <c r="I1545" t="n">
        <v>134</v>
      </c>
      <c r="J1545" t="inlineStr">
        <is>
          <t>P134|無印</t>
        </is>
      </c>
      <c r="K1545" t="inlineStr">
        <is>
          <t>同頁凡例へ直接連動</t>
        </is>
      </c>
      <c r="L1545" t="inlineStr">
        <is>
          <t>202604_LIXIL_サーモスＬ_業務用資料集_完成品価格表.pdf</t>
        </is>
      </c>
      <c r="M1545" t="inlineStr">
        <is>
          <t>v0.6：同一価格表セクション内で凡例継承を確定。</t>
        </is>
      </c>
      <c r="N1545" t="inlineStr">
        <is>
          <t>https://drive.google.com/file/d/1YUN-mtWYs48YBUHJk0C3vJXnhjyZFHyf/view</t>
        </is>
      </c>
    </row>
    <row r="1546">
      <c r="A1546" s="42" t="inlineStr">
        <is>
          <t>GSC-SL-001543</t>
        </is>
      </c>
      <c r="B1546" t="inlineStr">
        <is>
          <t>SZ-SL-001543</t>
        </is>
      </c>
      <c r="C1546" t="inlineStr">
        <is>
          <t>WT-SL-YOKO-SUBERI</t>
        </is>
      </c>
      <c r="D1546" t="inlineStr">
        <is>
          <t>SP-SL-YOKO-CAM</t>
        </is>
      </c>
      <c r="E1546" t="inlineStr">
        <is>
          <t>036033</t>
        </is>
      </c>
      <c r="F1546" t="b">
        <v>1</v>
      </c>
      <c r="G1546" t="n">
        <v>134</v>
      </c>
      <c r="H1546" t="inlineStr">
        <is>
          <t>無印</t>
        </is>
      </c>
      <c r="I1546" t="n">
        <v>134</v>
      </c>
      <c r="J1546" t="inlineStr">
        <is>
          <t>P134|無印</t>
        </is>
      </c>
      <c r="K1546" t="inlineStr">
        <is>
          <t>同頁凡例へ直接連動</t>
        </is>
      </c>
      <c r="L1546" t="inlineStr">
        <is>
          <t>202604_LIXIL_サーモスＬ_業務用資料集_完成品価格表.pdf</t>
        </is>
      </c>
      <c r="M1546" t="inlineStr">
        <is>
          <t>v0.6：同一価格表セクション内で凡例継承を確定。</t>
        </is>
      </c>
      <c r="N1546" t="inlineStr">
        <is>
          <t>https://drive.google.com/file/d/1YUN-mtWYs48YBUHJk0C3vJXnhjyZFHyf/view</t>
        </is>
      </c>
    </row>
    <row r="1547">
      <c r="A1547" s="42" t="inlineStr">
        <is>
          <t>GSC-SL-001544</t>
        </is>
      </c>
      <c r="B1547" t="inlineStr">
        <is>
          <t>SZ-SL-001544</t>
        </is>
      </c>
      <c r="C1547" t="inlineStr">
        <is>
          <t>WT-SL-YOKO-SUBERI</t>
        </is>
      </c>
      <c r="D1547" t="inlineStr">
        <is>
          <t>SP-SL-YOKO-CAM</t>
        </is>
      </c>
      <c r="E1547" t="inlineStr">
        <is>
          <t>041038</t>
        </is>
      </c>
      <c r="F1547" t="b">
        <v>1</v>
      </c>
      <c r="G1547" t="n">
        <v>134</v>
      </c>
      <c r="H1547" t="inlineStr">
        <is>
          <t>無印</t>
        </is>
      </c>
      <c r="I1547" t="n">
        <v>134</v>
      </c>
      <c r="J1547" t="inlineStr">
        <is>
          <t>P134|無印</t>
        </is>
      </c>
      <c r="K1547" t="inlineStr">
        <is>
          <t>同頁凡例へ直接連動</t>
        </is>
      </c>
      <c r="L1547" t="inlineStr">
        <is>
          <t>202604_LIXIL_サーモスＬ_業務用資料集_完成品価格表.pdf</t>
        </is>
      </c>
      <c r="M1547" t="inlineStr">
        <is>
          <t>v0.6：同一価格表セクション内で凡例継承を確定。</t>
        </is>
      </c>
      <c r="N1547" t="inlineStr">
        <is>
          <t>https://drive.google.com/file/d/1YUN-mtWYs48YBUHJk0C3vJXnhjyZFHyf/view</t>
        </is>
      </c>
    </row>
    <row r="1548">
      <c r="A1548" s="42" t="inlineStr">
        <is>
          <t>GSC-SL-001545</t>
        </is>
      </c>
      <c r="B1548" t="inlineStr">
        <is>
          <t>SZ-SL-001545</t>
        </is>
      </c>
      <c r="C1548" t="inlineStr">
        <is>
          <t>WT-SL-YOKO-SUBERI</t>
        </is>
      </c>
      <c r="D1548" t="inlineStr">
        <is>
          <t>SP-SL-YOKO-CAM</t>
        </is>
      </c>
      <c r="E1548" t="inlineStr">
        <is>
          <t>06003</t>
        </is>
      </c>
      <c r="F1548" t="b">
        <v>1</v>
      </c>
      <c r="G1548" t="n">
        <v>135</v>
      </c>
      <c r="H1548" t="inlineStr">
        <is>
          <t>無印</t>
        </is>
      </c>
      <c r="I1548" t="n">
        <v>134</v>
      </c>
      <c r="J1548" t="inlineStr">
        <is>
          <t>P134|無印</t>
        </is>
      </c>
      <c r="K1548" t="inlineStr">
        <is>
          <t>同一価格表・前頁凡例を継承</t>
        </is>
      </c>
      <c r="L1548" t="inlineStr">
        <is>
          <t>202604_LIXIL_サーモスＬ_業務用資料集_完成品価格表.pdf</t>
        </is>
      </c>
      <c r="M1548" t="inlineStr">
        <is>
          <t>v0.6：同一価格表セクション内で凡例継承を確定。</t>
        </is>
      </c>
      <c r="N1548" t="inlineStr">
        <is>
          <t>https://drive.google.com/file/d/1YUN-mtWYs48YBUHJk0C3vJXnhjyZFHyf/view</t>
        </is>
      </c>
    </row>
    <row r="1549">
      <c r="A1549" s="42" t="inlineStr">
        <is>
          <t>GSC-SL-001546</t>
        </is>
      </c>
      <c r="B1549" t="inlineStr">
        <is>
          <t>SZ-SL-001546</t>
        </is>
      </c>
      <c r="C1549" t="inlineStr">
        <is>
          <t>WT-SL-YOKO-SUBERI</t>
        </is>
      </c>
      <c r="D1549" t="inlineStr">
        <is>
          <t>SP-SL-YOKO-CAM</t>
        </is>
      </c>
      <c r="E1549" t="inlineStr">
        <is>
          <t>06903</t>
        </is>
      </c>
      <c r="F1549" t="b">
        <v>1</v>
      </c>
      <c r="G1549" t="n">
        <v>135</v>
      </c>
      <c r="H1549" t="inlineStr">
        <is>
          <t>無印</t>
        </is>
      </c>
      <c r="I1549" t="n">
        <v>134</v>
      </c>
      <c r="J1549" t="inlineStr">
        <is>
          <t>P134|無印</t>
        </is>
      </c>
      <c r="K1549" t="inlineStr">
        <is>
          <t>同一価格表・前頁凡例を継承</t>
        </is>
      </c>
      <c r="L1549" t="inlineStr">
        <is>
          <t>202604_LIXIL_サーモスＬ_業務用資料集_完成品価格表.pdf</t>
        </is>
      </c>
      <c r="M1549" t="inlineStr">
        <is>
          <t>v0.6：同一価格表セクション内で凡例継承を確定。</t>
        </is>
      </c>
      <c r="N1549" t="inlineStr">
        <is>
          <t>https://drive.google.com/file/d/1YUN-mtWYs48YBUHJk0C3vJXnhjyZFHyf/view</t>
        </is>
      </c>
    </row>
    <row r="1550">
      <c r="A1550" s="42" t="inlineStr">
        <is>
          <t>GSC-SL-001547</t>
        </is>
      </c>
      <c r="B1550" t="inlineStr">
        <is>
          <t>SZ-SL-001547</t>
        </is>
      </c>
      <c r="C1550" t="inlineStr">
        <is>
          <t>WT-SL-YOKO-SUBERI</t>
        </is>
      </c>
      <c r="D1550" t="inlineStr">
        <is>
          <t>SP-SL-YOKO-CAM</t>
        </is>
      </c>
      <c r="E1550" t="inlineStr">
        <is>
          <t>07403</t>
        </is>
      </c>
      <c r="F1550" t="b">
        <v>1</v>
      </c>
      <c r="G1550" t="n">
        <v>135</v>
      </c>
      <c r="H1550" t="inlineStr">
        <is>
          <t>無印</t>
        </is>
      </c>
      <c r="I1550" t="n">
        <v>134</v>
      </c>
      <c r="J1550" t="inlineStr">
        <is>
          <t>P134|無印</t>
        </is>
      </c>
      <c r="K1550" t="inlineStr">
        <is>
          <t>同一価格表・前頁凡例を継承</t>
        </is>
      </c>
      <c r="L1550" t="inlineStr">
        <is>
          <t>202604_LIXIL_サーモスＬ_業務用資料集_完成品価格表.pdf</t>
        </is>
      </c>
      <c r="M1550" t="inlineStr">
        <is>
          <t>v0.6：同一価格表セクション内で凡例継承を確定。</t>
        </is>
      </c>
      <c r="N1550" t="inlineStr">
        <is>
          <t>https://drive.google.com/file/d/1YUN-mtWYs48YBUHJk0C3vJXnhjyZFHyf/view</t>
        </is>
      </c>
    </row>
    <row r="1551">
      <c r="A1551" s="42" t="inlineStr">
        <is>
          <t>GSC-SL-001548</t>
        </is>
      </c>
      <c r="B1551" t="inlineStr">
        <is>
          <t>SZ-SL-001548</t>
        </is>
      </c>
      <c r="C1551" t="inlineStr">
        <is>
          <t>WT-SL-YOKO-SUBERI</t>
        </is>
      </c>
      <c r="D1551" t="inlineStr">
        <is>
          <t>SP-SL-YOKO-CAM</t>
        </is>
      </c>
      <c r="E1551" t="inlineStr">
        <is>
          <t>03605</t>
        </is>
      </c>
      <c r="F1551" t="b">
        <v>1</v>
      </c>
      <c r="G1551" t="n">
        <v>136</v>
      </c>
      <c r="H1551" t="inlineStr">
        <is>
          <t>無印</t>
        </is>
      </c>
      <c r="I1551" t="n">
        <v>136</v>
      </c>
      <c r="J1551" t="inlineStr">
        <is>
          <t>P136|無印</t>
        </is>
      </c>
      <c r="K1551" t="inlineStr">
        <is>
          <t>同頁凡例へ直接連動</t>
        </is>
      </c>
      <c r="L1551" t="inlineStr">
        <is>
          <t>202604_LIXIL_サーモスＬ_業務用資料集_完成品価格表.pdf</t>
        </is>
      </c>
      <c r="M1551" t="inlineStr">
        <is>
          <t>v0.6：同一価格表セクション内で凡例継承を確定。</t>
        </is>
      </c>
      <c r="N1551" t="inlineStr">
        <is>
          <t>https://drive.google.com/file/d/1YUN-mtWYs48YBUHJk0C3vJXnhjyZFHyf/view</t>
        </is>
      </c>
    </row>
    <row r="1552">
      <c r="A1552" s="42" t="inlineStr">
        <is>
          <t>GSC-SL-001549</t>
        </is>
      </c>
      <c r="B1552" t="inlineStr">
        <is>
          <t>SZ-SL-001549</t>
        </is>
      </c>
      <c r="C1552" t="inlineStr">
        <is>
          <t>WT-SL-YOKO-SUBERI</t>
        </is>
      </c>
      <c r="D1552" t="inlineStr">
        <is>
          <t>SP-SL-YOKO-CAM</t>
        </is>
      </c>
      <c r="E1552" t="inlineStr">
        <is>
          <t>03607</t>
        </is>
      </c>
      <c r="F1552" t="b">
        <v>1</v>
      </c>
      <c r="G1552" t="n">
        <v>136</v>
      </c>
      <c r="H1552" t="inlineStr">
        <is>
          <t>無印</t>
        </is>
      </c>
      <c r="I1552" t="n">
        <v>136</v>
      </c>
      <c r="J1552" t="inlineStr">
        <is>
          <t>P136|無印</t>
        </is>
      </c>
      <c r="K1552" t="inlineStr">
        <is>
          <t>同頁凡例へ直接連動</t>
        </is>
      </c>
      <c r="L1552" t="inlineStr">
        <is>
          <t>202604_LIXIL_サーモスＬ_業務用資料集_完成品価格表.pdf</t>
        </is>
      </c>
      <c r="M1552" t="inlineStr">
        <is>
          <t>v0.6：同一価格表セクション内で凡例継承を確定。</t>
        </is>
      </c>
      <c r="N1552" t="inlineStr">
        <is>
          <t>https://drive.google.com/file/d/1YUN-mtWYs48YBUHJk0C3vJXnhjyZFHyf/view</t>
        </is>
      </c>
    </row>
    <row r="1553">
      <c r="A1553" s="42" t="inlineStr">
        <is>
          <t>GSC-SL-001550</t>
        </is>
      </c>
      <c r="B1553" t="inlineStr">
        <is>
          <t>SZ-SL-001550</t>
        </is>
      </c>
      <c r="C1553" t="inlineStr">
        <is>
          <t>WT-SL-YOKO-SUBERI</t>
        </is>
      </c>
      <c r="D1553" t="inlineStr">
        <is>
          <t>SP-SL-YOKO-CAM</t>
        </is>
      </c>
      <c r="E1553" t="inlineStr">
        <is>
          <t>06005</t>
        </is>
      </c>
      <c r="F1553" t="b">
        <v>1</v>
      </c>
      <c r="G1553" t="n">
        <v>137</v>
      </c>
      <c r="H1553" t="inlineStr">
        <is>
          <t>無印</t>
        </is>
      </c>
      <c r="I1553" t="n">
        <v>136</v>
      </c>
      <c r="J1553" t="inlineStr">
        <is>
          <t>P136|無印</t>
        </is>
      </c>
      <c r="K1553" t="inlineStr">
        <is>
          <t>同一価格表・前頁凡例を継承</t>
        </is>
      </c>
      <c r="L1553" t="inlineStr">
        <is>
          <t>202604_LIXIL_サーモスＬ_業務用資料集_完成品価格表.pdf</t>
        </is>
      </c>
      <c r="M1553" t="inlineStr">
        <is>
          <t>v0.6：同一価格表セクション内で凡例継承を確定。</t>
        </is>
      </c>
      <c r="N1553" t="inlineStr">
        <is>
          <t>https://drive.google.com/file/d/1YUN-mtWYs48YBUHJk0C3vJXnhjyZFHyf/view</t>
        </is>
      </c>
    </row>
    <row r="1554">
      <c r="A1554" s="42" t="inlineStr">
        <is>
          <t>GSC-SL-001551</t>
        </is>
      </c>
      <c r="B1554" t="inlineStr">
        <is>
          <t>SZ-SL-001551</t>
        </is>
      </c>
      <c r="C1554" t="inlineStr">
        <is>
          <t>WT-SL-YOKO-SUBERI</t>
        </is>
      </c>
      <c r="D1554" t="inlineStr">
        <is>
          <t>SP-SL-YOKO-CAM</t>
        </is>
      </c>
      <c r="E1554" t="inlineStr">
        <is>
          <t>060057</t>
        </is>
      </c>
      <c r="F1554" t="b">
        <v>1</v>
      </c>
      <c r="G1554" t="n">
        <v>137</v>
      </c>
      <c r="H1554" t="inlineStr">
        <is>
          <t>無印</t>
        </is>
      </c>
      <c r="I1554" t="n">
        <v>136</v>
      </c>
      <c r="J1554" t="inlineStr">
        <is>
          <t>P136|無印</t>
        </is>
      </c>
      <c r="K1554" t="inlineStr">
        <is>
          <t>同一価格表・前頁凡例を継承</t>
        </is>
      </c>
      <c r="L1554" t="inlineStr">
        <is>
          <t>202604_LIXIL_サーモスＬ_業務用資料集_完成品価格表.pdf</t>
        </is>
      </c>
      <c r="M1554" t="inlineStr">
        <is>
          <t>v0.6：同一価格表セクション内で凡例継承を確定。</t>
        </is>
      </c>
      <c r="N1554" t="inlineStr">
        <is>
          <t>https://drive.google.com/file/d/1YUN-mtWYs48YBUHJk0C3vJXnhjyZFHyf/view</t>
        </is>
      </c>
    </row>
    <row r="1555">
      <c r="A1555" s="42" t="inlineStr">
        <is>
          <t>GSC-SL-001552</t>
        </is>
      </c>
      <c r="B1555" t="inlineStr">
        <is>
          <t>SZ-SL-001552</t>
        </is>
      </c>
      <c r="C1555" t="inlineStr">
        <is>
          <t>WT-SL-YOKO-SUBERI</t>
        </is>
      </c>
      <c r="D1555" t="inlineStr">
        <is>
          <t>SP-SL-YOKO-CAM</t>
        </is>
      </c>
      <c r="E1555" t="inlineStr">
        <is>
          <t>06007</t>
        </is>
      </c>
      <c r="F1555" t="b">
        <v>1</v>
      </c>
      <c r="G1555" t="n">
        <v>137</v>
      </c>
      <c r="H1555" t="inlineStr">
        <is>
          <t>無印</t>
        </is>
      </c>
      <c r="I1555" t="n">
        <v>136</v>
      </c>
      <c r="J1555" t="inlineStr">
        <is>
          <t>P136|無印</t>
        </is>
      </c>
      <c r="K1555" t="inlineStr">
        <is>
          <t>同一価格表・前頁凡例を継承</t>
        </is>
      </c>
      <c r="L1555" t="inlineStr">
        <is>
          <t>202604_LIXIL_サーモスＬ_業務用資料集_完成品価格表.pdf</t>
        </is>
      </c>
      <c r="M1555" t="inlineStr">
        <is>
          <t>v0.6：同一価格表セクション内で凡例継承を確定。</t>
        </is>
      </c>
      <c r="N1555" t="inlineStr">
        <is>
          <t>https://drive.google.com/file/d/1YUN-mtWYs48YBUHJk0C3vJXnhjyZFHyf/view</t>
        </is>
      </c>
    </row>
    <row r="1556">
      <c r="A1556" s="42" t="inlineStr">
        <is>
          <t>GSC-SL-001553</t>
        </is>
      </c>
      <c r="B1556" t="inlineStr">
        <is>
          <t>SZ-SL-001553</t>
        </is>
      </c>
      <c r="C1556" t="inlineStr">
        <is>
          <t>WT-SL-YOKO-SUBERI</t>
        </is>
      </c>
      <c r="D1556" t="inlineStr">
        <is>
          <t>SP-SL-YOKO-CAM</t>
        </is>
      </c>
      <c r="E1556" t="inlineStr">
        <is>
          <t>06009</t>
        </is>
      </c>
      <c r="F1556" t="b">
        <v>1</v>
      </c>
      <c r="G1556" t="n">
        <v>137</v>
      </c>
      <c r="H1556" t="inlineStr">
        <is>
          <t>無印</t>
        </is>
      </c>
      <c r="I1556" t="n">
        <v>136</v>
      </c>
      <c r="J1556" t="inlineStr">
        <is>
          <t>P136|無印</t>
        </is>
      </c>
      <c r="K1556" t="inlineStr">
        <is>
          <t>同一価格表・前頁凡例を継承</t>
        </is>
      </c>
      <c r="L1556" t="inlineStr">
        <is>
          <t>202604_LIXIL_サーモスＬ_業務用資料集_完成品価格表.pdf</t>
        </is>
      </c>
      <c r="M1556" t="inlineStr">
        <is>
          <t>v0.6：同一価格表セクション内で凡例継承を確定。</t>
        </is>
      </c>
      <c r="N1556" t="inlineStr">
        <is>
          <t>https://drive.google.com/file/d/1YUN-mtWYs48YBUHJk0C3vJXnhjyZFHyf/view</t>
        </is>
      </c>
    </row>
    <row r="1557">
      <c r="A1557" s="42" t="inlineStr">
        <is>
          <t>GSC-SL-001554</t>
        </is>
      </c>
      <c r="B1557" t="inlineStr">
        <is>
          <t>SZ-SL-001554</t>
        </is>
      </c>
      <c r="C1557" t="inlineStr">
        <is>
          <t>WT-SL-YOKO-SUBERI</t>
        </is>
      </c>
      <c r="D1557" t="inlineStr">
        <is>
          <t>SP-SL-YOKO-CAM</t>
        </is>
      </c>
      <c r="E1557" t="inlineStr">
        <is>
          <t>06905</t>
        </is>
      </c>
      <c r="F1557" t="b">
        <v>1</v>
      </c>
      <c r="G1557" t="n">
        <v>137</v>
      </c>
      <c r="H1557" t="inlineStr">
        <is>
          <t>無印</t>
        </is>
      </c>
      <c r="I1557" t="n">
        <v>136</v>
      </c>
      <c r="J1557" t="inlineStr">
        <is>
          <t>P136|無印</t>
        </is>
      </c>
      <c r="K1557" t="inlineStr">
        <is>
          <t>同一価格表・前頁凡例を継承</t>
        </is>
      </c>
      <c r="L1557" t="inlineStr">
        <is>
          <t>202604_LIXIL_サーモスＬ_業務用資料集_完成品価格表.pdf</t>
        </is>
      </c>
      <c r="M1557" t="inlineStr">
        <is>
          <t>v0.6：同一価格表セクション内で凡例継承を確定。</t>
        </is>
      </c>
      <c r="N1557" t="inlineStr">
        <is>
          <t>https://drive.google.com/file/d/1YUN-mtWYs48YBUHJk0C3vJXnhjyZFHyf/view</t>
        </is>
      </c>
    </row>
    <row r="1558">
      <c r="A1558" s="42" t="inlineStr">
        <is>
          <t>GSC-SL-001555</t>
        </is>
      </c>
      <c r="B1558" t="inlineStr">
        <is>
          <t>SZ-SL-001555</t>
        </is>
      </c>
      <c r="C1558" t="inlineStr">
        <is>
          <t>WT-SL-YOKO-SUBERI</t>
        </is>
      </c>
      <c r="D1558" t="inlineStr">
        <is>
          <t>SP-SL-YOKO-CAM</t>
        </is>
      </c>
      <c r="E1558" t="inlineStr">
        <is>
          <t>06907</t>
        </is>
      </c>
      <c r="F1558" t="b">
        <v>1</v>
      </c>
      <c r="G1558" t="n">
        <v>137</v>
      </c>
      <c r="H1558" t="inlineStr">
        <is>
          <t>無印</t>
        </is>
      </c>
      <c r="I1558" t="n">
        <v>136</v>
      </c>
      <c r="J1558" t="inlineStr">
        <is>
          <t>P136|無印</t>
        </is>
      </c>
      <c r="K1558" t="inlineStr">
        <is>
          <t>同一価格表・前頁凡例を継承</t>
        </is>
      </c>
      <c r="L1558" t="inlineStr">
        <is>
          <t>202604_LIXIL_サーモスＬ_業務用資料集_完成品価格表.pdf</t>
        </is>
      </c>
      <c r="M1558" t="inlineStr">
        <is>
          <t>v0.6：同一価格表セクション内で凡例継承を確定。</t>
        </is>
      </c>
      <c r="N1558" t="inlineStr">
        <is>
          <t>https://drive.google.com/file/d/1YUN-mtWYs48YBUHJk0C3vJXnhjyZFHyf/view</t>
        </is>
      </c>
    </row>
    <row r="1559">
      <c r="A1559" s="42" t="inlineStr">
        <is>
          <t>GSC-SL-001556</t>
        </is>
      </c>
      <c r="B1559" t="inlineStr">
        <is>
          <t>SZ-SL-001556</t>
        </is>
      </c>
      <c r="C1559" t="inlineStr">
        <is>
          <t>WT-SL-YOKO-SUBERI</t>
        </is>
      </c>
      <c r="D1559" t="inlineStr">
        <is>
          <t>SP-SL-YOKO-CAM</t>
        </is>
      </c>
      <c r="E1559" t="inlineStr">
        <is>
          <t>06909</t>
        </is>
      </c>
      <c r="F1559" t="b">
        <v>1</v>
      </c>
      <c r="G1559" t="n">
        <v>137</v>
      </c>
      <c r="H1559" t="inlineStr">
        <is>
          <t>無印</t>
        </is>
      </c>
      <c r="I1559" t="n">
        <v>136</v>
      </c>
      <c r="J1559" t="inlineStr">
        <is>
          <t>P136|無印</t>
        </is>
      </c>
      <c r="K1559" t="inlineStr">
        <is>
          <t>同一価格表・前頁凡例を継承</t>
        </is>
      </c>
      <c r="L1559" t="inlineStr">
        <is>
          <t>202604_LIXIL_サーモスＬ_業務用資料集_完成品価格表.pdf</t>
        </is>
      </c>
      <c r="M1559" t="inlineStr">
        <is>
          <t>v0.6：同一価格表セクション内で凡例継承を確定。</t>
        </is>
      </c>
      <c r="N1559" t="inlineStr">
        <is>
          <t>https://drive.google.com/file/d/1YUN-mtWYs48YBUHJk0C3vJXnhjyZFHyf/view</t>
        </is>
      </c>
    </row>
    <row r="1560">
      <c r="A1560" s="42" t="inlineStr">
        <is>
          <t>GSC-SL-001557</t>
        </is>
      </c>
      <c r="B1560" t="inlineStr">
        <is>
          <t>SZ-SL-001557</t>
        </is>
      </c>
      <c r="C1560" t="inlineStr">
        <is>
          <t>WT-SL-YOKO-SUBERI</t>
        </is>
      </c>
      <c r="D1560" t="inlineStr">
        <is>
          <t>SP-SL-YOKO-CAM</t>
        </is>
      </c>
      <c r="E1560" t="inlineStr">
        <is>
          <t>07405</t>
        </is>
      </c>
      <c r="F1560" t="b">
        <v>1</v>
      </c>
      <c r="G1560" t="n">
        <v>137</v>
      </c>
      <c r="H1560" t="inlineStr">
        <is>
          <t>無印</t>
        </is>
      </c>
      <c r="I1560" t="n">
        <v>136</v>
      </c>
      <c r="J1560" t="inlineStr">
        <is>
          <t>P136|無印</t>
        </is>
      </c>
      <c r="K1560" t="inlineStr">
        <is>
          <t>同一価格表・前頁凡例を継承</t>
        </is>
      </c>
      <c r="L1560" t="inlineStr">
        <is>
          <t>202604_LIXIL_サーモスＬ_業務用資料集_完成品価格表.pdf</t>
        </is>
      </c>
      <c r="M1560" t="inlineStr">
        <is>
          <t>v0.6：同一価格表セクション内で凡例継承を確定。</t>
        </is>
      </c>
      <c r="N1560" t="inlineStr">
        <is>
          <t>https://drive.google.com/file/d/1YUN-mtWYs48YBUHJk0C3vJXnhjyZFHyf/view</t>
        </is>
      </c>
    </row>
    <row r="1561">
      <c r="A1561" s="42" t="inlineStr">
        <is>
          <t>GSC-SL-001558</t>
        </is>
      </c>
      <c r="B1561" t="inlineStr">
        <is>
          <t>SZ-SL-001558</t>
        </is>
      </c>
      <c r="C1561" t="inlineStr">
        <is>
          <t>WT-SL-YOKO-SUBERI</t>
        </is>
      </c>
      <c r="D1561" t="inlineStr">
        <is>
          <t>SP-SL-YOKO-CAM</t>
        </is>
      </c>
      <c r="E1561" t="inlineStr">
        <is>
          <t>07407</t>
        </is>
      </c>
      <c r="F1561" t="b">
        <v>1</v>
      </c>
      <c r="G1561" t="n">
        <v>137</v>
      </c>
      <c r="H1561" t="inlineStr">
        <is>
          <t>無印</t>
        </is>
      </c>
      <c r="I1561" t="n">
        <v>136</v>
      </c>
      <c r="J1561" t="inlineStr">
        <is>
          <t>P136|無印</t>
        </is>
      </c>
      <c r="K1561" t="inlineStr">
        <is>
          <t>同一価格表・前頁凡例を継承</t>
        </is>
      </c>
      <c r="L1561" t="inlineStr">
        <is>
          <t>202604_LIXIL_サーモスＬ_業務用資料集_完成品価格表.pdf</t>
        </is>
      </c>
      <c r="M1561" t="inlineStr">
        <is>
          <t>v0.6：同一価格表セクション内で凡例継承を確定。</t>
        </is>
      </c>
      <c r="N1561" t="inlineStr">
        <is>
          <t>https://drive.google.com/file/d/1YUN-mtWYs48YBUHJk0C3vJXnhjyZFHyf/view</t>
        </is>
      </c>
    </row>
    <row r="1562">
      <c r="A1562" s="42" t="inlineStr">
        <is>
          <t>GSC-SL-001559</t>
        </is>
      </c>
      <c r="B1562" t="inlineStr">
        <is>
          <t>SZ-SL-001559</t>
        </is>
      </c>
      <c r="C1562" t="inlineStr">
        <is>
          <t>WT-SL-YOKO-SUBERI</t>
        </is>
      </c>
      <c r="D1562" t="inlineStr">
        <is>
          <t>SP-SL-YOKO-CAM</t>
        </is>
      </c>
      <c r="E1562" t="inlineStr">
        <is>
          <t>07409</t>
        </is>
      </c>
      <c r="F1562" t="b">
        <v>1</v>
      </c>
      <c r="G1562" t="n">
        <v>137</v>
      </c>
      <c r="H1562" t="inlineStr">
        <is>
          <t>無印</t>
        </is>
      </c>
      <c r="I1562" t="n">
        <v>136</v>
      </c>
      <c r="J1562" t="inlineStr">
        <is>
          <t>P136|無印</t>
        </is>
      </c>
      <c r="K1562" t="inlineStr">
        <is>
          <t>同一価格表・前頁凡例を継承</t>
        </is>
      </c>
      <c r="L1562" t="inlineStr">
        <is>
          <t>202604_LIXIL_サーモスＬ_業務用資料集_完成品価格表.pdf</t>
        </is>
      </c>
      <c r="M1562" t="inlineStr">
        <is>
          <t>v0.6：同一価格表セクション内で凡例継承を確定。</t>
        </is>
      </c>
      <c r="N1562" t="inlineStr">
        <is>
          <t>https://drive.google.com/file/d/1YUN-mtWYs48YBUHJk0C3vJXnhjyZFHyf/view</t>
        </is>
      </c>
    </row>
    <row r="1563">
      <c r="A1563" s="42" t="inlineStr">
        <is>
          <t>GSC-SL-001560</t>
        </is>
      </c>
      <c r="B1563" t="inlineStr">
        <is>
          <t>SZ-SL-001560</t>
        </is>
      </c>
      <c r="C1563" t="inlineStr">
        <is>
          <t>WT-SL-SHUTTER-HIKI</t>
        </is>
      </c>
      <c r="D1563" t="inlineStr">
        <is>
          <t>SP-SL-SHUT-M-STD</t>
        </is>
      </c>
      <c r="E1563" t="inlineStr">
        <is>
          <t>11409</t>
        </is>
      </c>
      <c r="F1563" t="b">
        <v>1</v>
      </c>
      <c r="G1563" t="n">
        <v>54</v>
      </c>
      <c r="H1563" t="inlineStr">
        <is>
          <t>無印</t>
        </is>
      </c>
      <c r="I1563" t="n">
        <v>55</v>
      </c>
      <c r="J1563" t="inlineStr">
        <is>
          <t>P55|無印</t>
        </is>
      </c>
      <c r="K1563" t="inlineStr">
        <is>
          <t>同一価格表・次頁凡例を継承</t>
        </is>
      </c>
      <c r="L1563" t="inlineStr">
        <is>
          <t>202604_LIXIL_サーモスＬ_業務用資料集_完成品価格表.pdf</t>
        </is>
      </c>
      <c r="M1563" t="inlineStr">
        <is>
          <t>v1.7：公式Source gap補完。</t>
        </is>
      </c>
      <c r="N1563" t="inlineStr">
        <is>
          <t>https://drive.google.com/file/d/1YUN-mtWYs48YBUHJk0C3vJXnhjyZFHyf/view</t>
        </is>
      </c>
    </row>
    <row r="1564">
      <c r="A1564" s="42" t="inlineStr">
        <is>
          <t>GSC-SL-001561</t>
        </is>
      </c>
      <c r="B1564" t="inlineStr">
        <is>
          <t>SZ-SL-001561</t>
        </is>
      </c>
      <c r="C1564" t="inlineStr">
        <is>
          <t>WT-SL-SHUTTER-HIKI</t>
        </is>
      </c>
      <c r="D1564" t="inlineStr">
        <is>
          <t>SP-SL-SHUT-M-STD</t>
        </is>
      </c>
      <c r="E1564" t="inlineStr">
        <is>
          <t>11909</t>
        </is>
      </c>
      <c r="F1564" t="b">
        <v>1</v>
      </c>
      <c r="G1564" t="n">
        <v>54</v>
      </c>
      <c r="H1564" t="inlineStr">
        <is>
          <t>無印</t>
        </is>
      </c>
      <c r="I1564" t="n">
        <v>55</v>
      </c>
      <c r="J1564" t="inlineStr">
        <is>
          <t>P55|無印</t>
        </is>
      </c>
      <c r="K1564" t="inlineStr">
        <is>
          <t>同一価格表・次頁凡例を継承</t>
        </is>
      </c>
      <c r="L1564" t="inlineStr">
        <is>
          <t>202604_LIXIL_サーモスＬ_業務用資料集_完成品価格表.pdf</t>
        </is>
      </c>
      <c r="M1564" t="inlineStr">
        <is>
          <t>v1.7：公式Source gap補完。</t>
        </is>
      </c>
      <c r="N1564" t="inlineStr">
        <is>
          <t>https://drive.google.com/file/d/1YUN-mtWYs48YBUHJk0C3vJXnhjyZFHyf/view</t>
        </is>
      </c>
    </row>
    <row r="1565">
      <c r="A1565" s="42" t="inlineStr">
        <is>
          <t>GSC-SL-001562</t>
        </is>
      </c>
      <c r="B1565" t="inlineStr">
        <is>
          <t>SZ-SL-001562</t>
        </is>
      </c>
      <c r="C1565" t="inlineStr">
        <is>
          <t>WT-SL-SHUTTER-HIKI</t>
        </is>
      </c>
      <c r="D1565" t="inlineStr">
        <is>
          <t>SP-SL-SHUT-M-STD</t>
        </is>
      </c>
      <c r="E1565" t="inlineStr">
        <is>
          <t>12809</t>
        </is>
      </c>
      <c r="F1565" t="b">
        <v>1</v>
      </c>
      <c r="G1565" t="n">
        <v>54</v>
      </c>
      <c r="H1565" t="inlineStr">
        <is>
          <t>無印</t>
        </is>
      </c>
      <c r="I1565" t="n">
        <v>55</v>
      </c>
      <c r="J1565" t="inlineStr">
        <is>
          <t>P55|無印</t>
        </is>
      </c>
      <c r="K1565" t="inlineStr">
        <is>
          <t>同一価格表・次頁凡例を継承</t>
        </is>
      </c>
      <c r="L1565" t="inlineStr">
        <is>
          <t>202604_LIXIL_サーモスＬ_業務用資料集_完成品価格表.pdf</t>
        </is>
      </c>
      <c r="M1565" t="inlineStr">
        <is>
          <t>v1.7：公式Source gap補完。</t>
        </is>
      </c>
      <c r="N1565" t="inlineStr">
        <is>
          <t>https://drive.google.com/file/d/1YUN-mtWYs48YBUHJk0C3vJXnhjyZFHyf/view</t>
        </is>
      </c>
    </row>
    <row r="1566">
      <c r="A1566" s="42" t="inlineStr">
        <is>
          <t>GSC-SL-001563</t>
        </is>
      </c>
      <c r="B1566" t="inlineStr">
        <is>
          <t>SZ-SL-001563</t>
        </is>
      </c>
      <c r="C1566" t="inlineStr">
        <is>
          <t>WT-SL-SHUTTER-HIKI</t>
        </is>
      </c>
      <c r="D1566" t="inlineStr">
        <is>
          <t>SP-SL-SHUT-M-STD</t>
        </is>
      </c>
      <c r="E1566" t="inlineStr">
        <is>
          <t>13309</t>
        </is>
      </c>
      <c r="F1566" t="b">
        <v>1</v>
      </c>
      <c r="G1566" t="n">
        <v>54</v>
      </c>
      <c r="H1566" t="inlineStr">
        <is>
          <t>無印</t>
        </is>
      </c>
      <c r="I1566" t="n">
        <v>55</v>
      </c>
      <c r="J1566" t="inlineStr">
        <is>
          <t>P55|無印</t>
        </is>
      </c>
      <c r="K1566" t="inlineStr">
        <is>
          <t>同一価格表・次頁凡例を継承</t>
        </is>
      </c>
      <c r="L1566" t="inlineStr">
        <is>
          <t>202604_LIXIL_サーモスＬ_業務用資料集_完成品価格表.pdf</t>
        </is>
      </c>
      <c r="M1566" t="inlineStr">
        <is>
          <t>v1.7：公式Source gap補完。</t>
        </is>
      </c>
      <c r="N1566" t="inlineStr">
        <is>
          <t>https://drive.google.com/file/d/1YUN-mtWYs48YBUHJk0C3vJXnhjyZFHyf/view</t>
        </is>
      </c>
    </row>
    <row r="1567">
      <c r="A1567" s="42" t="inlineStr">
        <is>
          <t>GSC-SL-001564</t>
        </is>
      </c>
      <c r="B1567" t="inlineStr">
        <is>
          <t>SZ-SL-001564</t>
        </is>
      </c>
      <c r="C1567" t="inlineStr">
        <is>
          <t>WT-SL-SHUTTER-HIKI</t>
        </is>
      </c>
      <c r="D1567" t="inlineStr">
        <is>
          <t>SP-SL-SHUT-M-STD</t>
        </is>
      </c>
      <c r="E1567" t="inlineStr">
        <is>
          <t>11411</t>
        </is>
      </c>
      <c r="F1567" t="b">
        <v>1</v>
      </c>
      <c r="G1567" t="n">
        <v>54</v>
      </c>
      <c r="H1567" t="inlineStr">
        <is>
          <t>無印</t>
        </is>
      </c>
      <c r="I1567" t="n">
        <v>55</v>
      </c>
      <c r="J1567" t="inlineStr">
        <is>
          <t>P55|無印</t>
        </is>
      </c>
      <c r="K1567" t="inlineStr">
        <is>
          <t>同一価格表・次頁凡例を継承</t>
        </is>
      </c>
      <c r="L1567" t="inlineStr">
        <is>
          <t>202604_LIXIL_サーモスＬ_業務用資料集_完成品価格表.pdf</t>
        </is>
      </c>
      <c r="M1567" t="inlineStr">
        <is>
          <t>v1.7：公式Source gap補完。</t>
        </is>
      </c>
      <c r="N1567" t="inlineStr">
        <is>
          <t>https://drive.google.com/file/d/1YUN-mtWYs48YBUHJk0C3vJXnhjyZFHyf/view</t>
        </is>
      </c>
    </row>
    <row r="1568">
      <c r="A1568" s="42" t="inlineStr">
        <is>
          <t>GSC-SL-001565</t>
        </is>
      </c>
      <c r="B1568" t="inlineStr">
        <is>
          <t>SZ-SL-001565</t>
        </is>
      </c>
      <c r="C1568" t="inlineStr">
        <is>
          <t>WT-SL-SHUTTER-HIKI</t>
        </is>
      </c>
      <c r="D1568" t="inlineStr">
        <is>
          <t>SP-SL-SHUT-M-STD</t>
        </is>
      </c>
      <c r="E1568" t="inlineStr">
        <is>
          <t>11911</t>
        </is>
      </c>
      <c r="F1568" t="b">
        <v>1</v>
      </c>
      <c r="G1568" t="n">
        <v>54</v>
      </c>
      <c r="H1568" t="inlineStr">
        <is>
          <t>無印</t>
        </is>
      </c>
      <c r="I1568" t="n">
        <v>55</v>
      </c>
      <c r="J1568" t="inlineStr">
        <is>
          <t>P55|無印</t>
        </is>
      </c>
      <c r="K1568" t="inlineStr">
        <is>
          <t>同一価格表・次頁凡例を継承</t>
        </is>
      </c>
      <c r="L1568" t="inlineStr">
        <is>
          <t>202604_LIXIL_サーモスＬ_業務用資料集_完成品価格表.pdf</t>
        </is>
      </c>
      <c r="M1568" t="inlineStr">
        <is>
          <t>v1.7：公式Source gap補完。</t>
        </is>
      </c>
      <c r="N1568" t="inlineStr">
        <is>
          <t>https://drive.google.com/file/d/1YUN-mtWYs48YBUHJk0C3vJXnhjyZFHyf/view</t>
        </is>
      </c>
    </row>
    <row r="1569">
      <c r="A1569" s="42" t="inlineStr">
        <is>
          <t>GSC-SL-001566</t>
        </is>
      </c>
      <c r="B1569" t="inlineStr">
        <is>
          <t>SZ-SL-001566</t>
        </is>
      </c>
      <c r="C1569" t="inlineStr">
        <is>
          <t>WT-SL-SHUTTER-HIKI</t>
        </is>
      </c>
      <c r="D1569" t="inlineStr">
        <is>
          <t>SP-SL-SHUT-M-STD</t>
        </is>
      </c>
      <c r="E1569" t="inlineStr">
        <is>
          <t>12811</t>
        </is>
      </c>
      <c r="F1569" t="b">
        <v>1</v>
      </c>
      <c r="G1569" t="n">
        <v>54</v>
      </c>
      <c r="H1569" t="inlineStr">
        <is>
          <t>無印</t>
        </is>
      </c>
      <c r="I1569" t="n">
        <v>55</v>
      </c>
      <c r="J1569" t="inlineStr">
        <is>
          <t>P55|無印</t>
        </is>
      </c>
      <c r="K1569" t="inlineStr">
        <is>
          <t>同一価格表・次頁凡例を継承</t>
        </is>
      </c>
      <c r="L1569" t="inlineStr">
        <is>
          <t>202604_LIXIL_サーモスＬ_業務用資料集_完成品価格表.pdf</t>
        </is>
      </c>
      <c r="M1569" t="inlineStr">
        <is>
          <t>v1.7：公式Source gap補完。</t>
        </is>
      </c>
      <c r="N1569" t="inlineStr">
        <is>
          <t>https://drive.google.com/file/d/1YUN-mtWYs48YBUHJk0C3vJXnhjyZFHyf/view</t>
        </is>
      </c>
    </row>
    <row r="1570">
      <c r="A1570" s="42" t="inlineStr">
        <is>
          <t>GSC-SL-001567</t>
        </is>
      </c>
      <c r="B1570" t="inlineStr">
        <is>
          <t>SZ-SL-001567</t>
        </is>
      </c>
      <c r="C1570" t="inlineStr">
        <is>
          <t>WT-SL-SHUTTER-HIKI</t>
        </is>
      </c>
      <c r="D1570" t="inlineStr">
        <is>
          <t>SP-SL-SHUT-M-STD</t>
        </is>
      </c>
      <c r="E1570" t="inlineStr">
        <is>
          <t>13311</t>
        </is>
      </c>
      <c r="F1570" t="b">
        <v>1</v>
      </c>
      <c r="G1570" t="n">
        <v>54</v>
      </c>
      <c r="H1570" t="inlineStr">
        <is>
          <t>無印</t>
        </is>
      </c>
      <c r="I1570" t="n">
        <v>55</v>
      </c>
      <c r="J1570" t="inlineStr">
        <is>
          <t>P55|無印</t>
        </is>
      </c>
      <c r="K1570" t="inlineStr">
        <is>
          <t>同一価格表・次頁凡例を継承</t>
        </is>
      </c>
      <c r="L1570" t="inlineStr">
        <is>
          <t>202604_LIXIL_サーモスＬ_業務用資料集_完成品価格表.pdf</t>
        </is>
      </c>
      <c r="M1570" t="inlineStr">
        <is>
          <t>v1.7：公式Source gap補完。</t>
        </is>
      </c>
      <c r="N1570" t="inlineStr">
        <is>
          <t>https://drive.google.com/file/d/1YUN-mtWYs48YBUHJk0C3vJXnhjyZFHyf/view</t>
        </is>
      </c>
    </row>
    <row r="1571">
      <c r="A1571" s="42" t="inlineStr">
        <is>
          <t>GSC-SL-001568</t>
        </is>
      </c>
      <c r="B1571" t="inlineStr">
        <is>
          <t>SZ-SL-001568</t>
        </is>
      </c>
      <c r="C1571" t="inlineStr">
        <is>
          <t>WT-SL-SHUTTER-HIKI</t>
        </is>
      </c>
      <c r="D1571" t="inlineStr">
        <is>
          <t>SP-SL-SHUT-M-STD</t>
        </is>
      </c>
      <c r="E1571" t="inlineStr">
        <is>
          <t>11413</t>
        </is>
      </c>
      <c r="F1571" t="b">
        <v>1</v>
      </c>
      <c r="G1571" t="n">
        <v>54</v>
      </c>
      <c r="H1571" t="inlineStr">
        <is>
          <t>無印</t>
        </is>
      </c>
      <c r="I1571" t="n">
        <v>55</v>
      </c>
      <c r="J1571" t="inlineStr">
        <is>
          <t>P55|無印</t>
        </is>
      </c>
      <c r="K1571" t="inlineStr">
        <is>
          <t>同一価格表・次頁凡例を継承</t>
        </is>
      </c>
      <c r="L1571" t="inlineStr">
        <is>
          <t>202604_LIXIL_サーモスＬ_業務用資料集_完成品価格表.pdf</t>
        </is>
      </c>
      <c r="M1571" t="inlineStr">
        <is>
          <t>v1.7：公式Source gap補完。</t>
        </is>
      </c>
      <c r="N1571" t="inlineStr">
        <is>
          <t>https://drive.google.com/file/d/1YUN-mtWYs48YBUHJk0C3vJXnhjyZFHyf/view</t>
        </is>
      </c>
    </row>
    <row r="1572">
      <c r="A1572" s="42" t="inlineStr">
        <is>
          <t>GSC-SL-001569</t>
        </is>
      </c>
      <c r="B1572" t="inlineStr">
        <is>
          <t>SZ-SL-001569</t>
        </is>
      </c>
      <c r="C1572" t="inlineStr">
        <is>
          <t>WT-SL-SHUTTER-HIKI</t>
        </is>
      </c>
      <c r="D1572" t="inlineStr">
        <is>
          <t>SP-SL-SHUT-M-STD</t>
        </is>
      </c>
      <c r="E1572" t="inlineStr">
        <is>
          <t>11913</t>
        </is>
      </c>
      <c r="F1572" t="b">
        <v>1</v>
      </c>
      <c r="G1572" t="n">
        <v>54</v>
      </c>
      <c r="H1572" t="inlineStr">
        <is>
          <t>無印</t>
        </is>
      </c>
      <c r="I1572" t="n">
        <v>55</v>
      </c>
      <c r="J1572" t="inlineStr">
        <is>
          <t>P55|無印</t>
        </is>
      </c>
      <c r="K1572" t="inlineStr">
        <is>
          <t>同一価格表・次頁凡例を継承</t>
        </is>
      </c>
      <c r="L1572" t="inlineStr">
        <is>
          <t>202604_LIXIL_サーモスＬ_業務用資料集_完成品価格表.pdf</t>
        </is>
      </c>
      <c r="M1572" t="inlineStr">
        <is>
          <t>v1.7：公式Source gap補完。</t>
        </is>
      </c>
      <c r="N1572" t="inlineStr">
        <is>
          <t>https://drive.google.com/file/d/1YUN-mtWYs48YBUHJk0C3vJXnhjyZFHyf/view</t>
        </is>
      </c>
    </row>
    <row r="1573">
      <c r="A1573" s="42" t="inlineStr">
        <is>
          <t>GSC-SL-001570</t>
        </is>
      </c>
      <c r="B1573" t="inlineStr">
        <is>
          <t>SZ-SL-001570</t>
        </is>
      </c>
      <c r="C1573" t="inlineStr">
        <is>
          <t>WT-SL-SHUTTER-HIKI</t>
        </is>
      </c>
      <c r="D1573" t="inlineStr">
        <is>
          <t>SP-SL-SHUT-M-STD</t>
        </is>
      </c>
      <c r="E1573" t="inlineStr">
        <is>
          <t>12813</t>
        </is>
      </c>
      <c r="F1573" t="b">
        <v>1</v>
      </c>
      <c r="G1573" t="n">
        <v>54</v>
      </c>
      <c r="H1573" t="inlineStr">
        <is>
          <t>無印</t>
        </is>
      </c>
      <c r="I1573" t="n">
        <v>55</v>
      </c>
      <c r="J1573" t="inlineStr">
        <is>
          <t>P55|無印</t>
        </is>
      </c>
      <c r="K1573" t="inlineStr">
        <is>
          <t>同一価格表・次頁凡例を継承</t>
        </is>
      </c>
      <c r="L1573" t="inlineStr">
        <is>
          <t>202604_LIXIL_サーモスＬ_業務用資料集_完成品価格表.pdf</t>
        </is>
      </c>
      <c r="M1573" t="inlineStr">
        <is>
          <t>v1.7：公式Source gap補完。</t>
        </is>
      </c>
      <c r="N1573" t="inlineStr">
        <is>
          <t>https://drive.google.com/file/d/1YUN-mtWYs48YBUHJk0C3vJXnhjyZFHyf/view</t>
        </is>
      </c>
    </row>
    <row r="1574">
      <c r="A1574" s="42" t="inlineStr">
        <is>
          <t>GSC-SL-001571</t>
        </is>
      </c>
      <c r="B1574" t="inlineStr">
        <is>
          <t>SZ-SL-001571</t>
        </is>
      </c>
      <c r="C1574" t="inlineStr">
        <is>
          <t>WT-SL-SHUTTER-HIKI</t>
        </is>
      </c>
      <c r="D1574" t="inlineStr">
        <is>
          <t>SP-SL-SHUT-M-STD</t>
        </is>
      </c>
      <c r="E1574" t="inlineStr">
        <is>
          <t>13313</t>
        </is>
      </c>
      <c r="F1574" t="b">
        <v>1</v>
      </c>
      <c r="G1574" t="n">
        <v>54</v>
      </c>
      <c r="H1574" t="inlineStr">
        <is>
          <t>無印</t>
        </is>
      </c>
      <c r="I1574" t="n">
        <v>55</v>
      </c>
      <c r="J1574" t="inlineStr">
        <is>
          <t>P55|無印</t>
        </is>
      </c>
      <c r="K1574" t="inlineStr">
        <is>
          <t>同一価格表・次頁凡例を継承</t>
        </is>
      </c>
      <c r="L1574" t="inlineStr">
        <is>
          <t>202604_LIXIL_サーモスＬ_業務用資料集_完成品価格表.pdf</t>
        </is>
      </c>
      <c r="M1574" t="inlineStr">
        <is>
          <t>v1.7：公式Source gap補完。</t>
        </is>
      </c>
      <c r="N1574" t="inlineStr">
        <is>
          <t>https://drive.google.com/file/d/1YUN-mtWYs48YBUHJk0C3vJXnhjyZFHyf/view</t>
        </is>
      </c>
    </row>
    <row r="1575">
      <c r="A1575" s="42" t="inlineStr">
        <is>
          <t>GSC-SL-001572</t>
        </is>
      </c>
      <c r="B1575" t="inlineStr">
        <is>
          <t>SZ-SL-001572</t>
        </is>
      </c>
      <c r="C1575" t="inlineStr">
        <is>
          <t>WT-SL-SHUTTER-HIKI</t>
        </is>
      </c>
      <c r="D1575" t="inlineStr">
        <is>
          <t>SP-SL-SHUT-M-STD</t>
        </is>
      </c>
      <c r="E1575" t="inlineStr">
        <is>
          <t>16507</t>
        </is>
      </c>
      <c r="F1575" t="b">
        <v>1</v>
      </c>
      <c r="G1575" t="n">
        <v>55</v>
      </c>
      <c r="H1575" t="inlineStr">
        <is>
          <t>無印</t>
        </is>
      </c>
      <c r="I1575" t="n">
        <v>55</v>
      </c>
      <c r="J1575" t="inlineStr">
        <is>
          <t>P55|無印</t>
        </is>
      </c>
      <c r="K1575" t="inlineStr">
        <is>
          <t>同頁凡例へ直接連動</t>
        </is>
      </c>
      <c r="L1575" t="inlineStr">
        <is>
          <t>202604_LIXIL_サーモスＬ_業務用資料集_完成品価格表.pdf</t>
        </is>
      </c>
      <c r="M1575" t="inlineStr">
        <is>
          <t>v1.7：公式Source gap補完。</t>
        </is>
      </c>
      <c r="N1575" t="inlineStr">
        <is>
          <t>https://drive.google.com/file/d/1YUN-mtWYs48YBUHJk0C3vJXnhjyZFHyf/view</t>
        </is>
      </c>
    </row>
    <row r="1576">
      <c r="A1576" s="42" t="inlineStr">
        <is>
          <t>GSC-SL-001573</t>
        </is>
      </c>
      <c r="B1576" t="inlineStr">
        <is>
          <t>SZ-SL-001573</t>
        </is>
      </c>
      <c r="C1576" t="inlineStr">
        <is>
          <t>WT-SL-SHUTTER-HIKI</t>
        </is>
      </c>
      <c r="D1576" t="inlineStr">
        <is>
          <t>SP-SL-SHUT-M-STD</t>
        </is>
      </c>
      <c r="E1576" t="inlineStr">
        <is>
          <t>15009</t>
        </is>
      </c>
      <c r="F1576" t="b">
        <v>1</v>
      </c>
      <c r="G1576" t="n">
        <v>55</v>
      </c>
      <c r="H1576" t="inlineStr">
        <is>
          <t>無印</t>
        </is>
      </c>
      <c r="I1576" t="n">
        <v>55</v>
      </c>
      <c r="J1576" t="inlineStr">
        <is>
          <t>P55|無印</t>
        </is>
      </c>
      <c r="K1576" t="inlineStr">
        <is>
          <t>同頁凡例へ直接連動</t>
        </is>
      </c>
      <c r="L1576" t="inlineStr">
        <is>
          <t>202604_LIXIL_サーモスＬ_業務用資料集_完成品価格表.pdf</t>
        </is>
      </c>
      <c r="M1576" t="inlineStr">
        <is>
          <t>v1.7：公式Source gap補完。</t>
        </is>
      </c>
      <c r="N1576" t="inlineStr">
        <is>
          <t>https://drive.google.com/file/d/1YUN-mtWYs48YBUHJk0C3vJXnhjyZFHyf/view</t>
        </is>
      </c>
    </row>
    <row r="1577">
      <c r="A1577" s="42" t="inlineStr">
        <is>
          <t>GSC-SL-001574</t>
        </is>
      </c>
      <c r="B1577" t="inlineStr">
        <is>
          <t>SZ-SL-001574</t>
        </is>
      </c>
      <c r="C1577" t="inlineStr">
        <is>
          <t>WT-SL-SHUTTER-HIKI</t>
        </is>
      </c>
      <c r="D1577" t="inlineStr">
        <is>
          <t>SP-SL-SHUT-M-STD</t>
        </is>
      </c>
      <c r="E1577" t="inlineStr">
        <is>
          <t>16009</t>
        </is>
      </c>
      <c r="F1577" t="b">
        <v>1</v>
      </c>
      <c r="G1577" t="n">
        <v>55</v>
      </c>
      <c r="H1577" t="inlineStr">
        <is>
          <t>無印</t>
        </is>
      </c>
      <c r="I1577" t="n">
        <v>55</v>
      </c>
      <c r="J1577" t="inlineStr">
        <is>
          <t>P55|無印</t>
        </is>
      </c>
      <c r="K1577" t="inlineStr">
        <is>
          <t>同頁凡例へ直接連動</t>
        </is>
      </c>
      <c r="L1577" t="inlineStr">
        <is>
          <t>202604_LIXIL_サーモスＬ_業務用資料集_完成品価格表.pdf</t>
        </is>
      </c>
      <c r="M1577" t="inlineStr">
        <is>
          <t>v1.7：公式Source gap補完。</t>
        </is>
      </c>
      <c r="N1577" t="inlineStr">
        <is>
          <t>https://drive.google.com/file/d/1YUN-mtWYs48YBUHJk0C3vJXnhjyZFHyf/view</t>
        </is>
      </c>
    </row>
    <row r="1578">
      <c r="A1578" s="42" t="inlineStr">
        <is>
          <t>GSC-SL-001575</t>
        </is>
      </c>
      <c r="B1578" t="inlineStr">
        <is>
          <t>SZ-SL-001575</t>
        </is>
      </c>
      <c r="C1578" t="inlineStr">
        <is>
          <t>WT-SL-SHUTTER-HIKI</t>
        </is>
      </c>
      <c r="D1578" t="inlineStr">
        <is>
          <t>SP-SL-SHUT-M-STD</t>
        </is>
      </c>
      <c r="E1578" t="inlineStr">
        <is>
          <t>16509</t>
        </is>
      </c>
      <c r="F1578" t="b">
        <v>1</v>
      </c>
      <c r="G1578" t="n">
        <v>55</v>
      </c>
      <c r="H1578" t="inlineStr">
        <is>
          <t>無印</t>
        </is>
      </c>
      <c r="I1578" t="n">
        <v>55</v>
      </c>
      <c r="J1578" t="inlineStr">
        <is>
          <t>P55|無印</t>
        </is>
      </c>
      <c r="K1578" t="inlineStr">
        <is>
          <t>同頁凡例へ直接連動</t>
        </is>
      </c>
      <c r="L1578" t="inlineStr">
        <is>
          <t>202604_LIXIL_サーモスＬ_業務用資料集_完成品価格表.pdf</t>
        </is>
      </c>
      <c r="M1578" t="inlineStr">
        <is>
          <t>v1.7：公式Source gap補完。</t>
        </is>
      </c>
      <c r="N1578" t="inlineStr">
        <is>
          <t>https://drive.google.com/file/d/1YUN-mtWYs48YBUHJk0C3vJXnhjyZFHyf/view</t>
        </is>
      </c>
    </row>
    <row r="1579">
      <c r="A1579" s="42" t="inlineStr">
        <is>
          <t>GSC-SL-001576</t>
        </is>
      </c>
      <c r="B1579" t="inlineStr">
        <is>
          <t>SZ-SL-001576</t>
        </is>
      </c>
      <c r="C1579" t="inlineStr">
        <is>
          <t>WT-SL-SHUTTER-HIKI</t>
        </is>
      </c>
      <c r="D1579" t="inlineStr">
        <is>
          <t>SP-SL-SHUT-M-STD</t>
        </is>
      </c>
      <c r="E1579" t="inlineStr">
        <is>
          <t>17409</t>
        </is>
      </c>
      <c r="F1579" t="b">
        <v>1</v>
      </c>
      <c r="G1579" t="n">
        <v>55</v>
      </c>
      <c r="H1579" t="inlineStr">
        <is>
          <t>無印</t>
        </is>
      </c>
      <c r="I1579" t="n">
        <v>55</v>
      </c>
      <c r="J1579" t="inlineStr">
        <is>
          <t>P55|無印</t>
        </is>
      </c>
      <c r="K1579" t="inlineStr">
        <is>
          <t>同頁凡例へ直接連動</t>
        </is>
      </c>
      <c r="L1579" t="inlineStr">
        <is>
          <t>202604_LIXIL_サーモスＬ_業務用資料集_完成品価格表.pdf</t>
        </is>
      </c>
      <c r="M1579" t="inlineStr">
        <is>
          <t>v1.7：公式Source gap補完。</t>
        </is>
      </c>
      <c r="N1579" t="inlineStr">
        <is>
          <t>https://drive.google.com/file/d/1YUN-mtWYs48YBUHJk0C3vJXnhjyZFHyf/view</t>
        </is>
      </c>
    </row>
    <row r="1580">
      <c r="A1580" s="42" t="inlineStr">
        <is>
          <t>GSC-SL-001577</t>
        </is>
      </c>
      <c r="B1580" t="inlineStr">
        <is>
          <t>SZ-SL-001577</t>
        </is>
      </c>
      <c r="C1580" t="inlineStr">
        <is>
          <t>WT-SL-SHUTTER-HIKI</t>
        </is>
      </c>
      <c r="D1580" t="inlineStr">
        <is>
          <t>SP-SL-SHUT-M-STD</t>
        </is>
      </c>
      <c r="E1580" t="inlineStr">
        <is>
          <t>17609</t>
        </is>
      </c>
      <c r="F1580" t="b">
        <v>1</v>
      </c>
      <c r="G1580" t="n">
        <v>55</v>
      </c>
      <c r="H1580" t="inlineStr">
        <is>
          <t>無印</t>
        </is>
      </c>
      <c r="I1580" t="n">
        <v>55</v>
      </c>
      <c r="J1580" t="inlineStr">
        <is>
          <t>P55|無印</t>
        </is>
      </c>
      <c r="K1580" t="inlineStr">
        <is>
          <t>同頁凡例へ直接連動</t>
        </is>
      </c>
      <c r="L1580" t="inlineStr">
        <is>
          <t>202604_LIXIL_サーモスＬ_業務用資料集_完成品価格表.pdf</t>
        </is>
      </c>
      <c r="M1580" t="inlineStr">
        <is>
          <t>v1.7：公式Source gap補完。</t>
        </is>
      </c>
      <c r="N1580" t="inlineStr">
        <is>
          <t>https://drive.google.com/file/d/1YUN-mtWYs48YBUHJk0C3vJXnhjyZFHyf/view</t>
        </is>
      </c>
    </row>
    <row r="1581">
      <c r="A1581" s="42" t="inlineStr">
        <is>
          <t>GSC-SL-001578</t>
        </is>
      </c>
      <c r="B1581" t="inlineStr">
        <is>
          <t>SZ-SL-001578</t>
        </is>
      </c>
      <c r="C1581" t="inlineStr">
        <is>
          <t>WT-SL-SHUTTER-HIKI</t>
        </is>
      </c>
      <c r="D1581" t="inlineStr">
        <is>
          <t>SP-SL-SHUT-M-STD</t>
        </is>
      </c>
      <c r="E1581" t="inlineStr">
        <is>
          <t>15011</t>
        </is>
      </c>
      <c r="F1581" t="b">
        <v>1</v>
      </c>
      <c r="G1581" t="n">
        <v>55</v>
      </c>
      <c r="H1581" t="inlineStr">
        <is>
          <t>無印</t>
        </is>
      </c>
      <c r="I1581" t="n">
        <v>55</v>
      </c>
      <c r="J1581" t="inlineStr">
        <is>
          <t>P55|無印</t>
        </is>
      </c>
      <c r="K1581" t="inlineStr">
        <is>
          <t>同頁凡例へ直接連動</t>
        </is>
      </c>
      <c r="L1581" t="inlineStr">
        <is>
          <t>202604_LIXIL_サーモスＬ_業務用資料集_完成品価格表.pdf</t>
        </is>
      </c>
      <c r="M1581" t="inlineStr">
        <is>
          <t>v1.7：公式Source gap補完。</t>
        </is>
      </c>
      <c r="N1581" t="inlineStr">
        <is>
          <t>https://drive.google.com/file/d/1YUN-mtWYs48YBUHJk0C3vJXnhjyZFHyf/view</t>
        </is>
      </c>
    </row>
    <row r="1582">
      <c r="A1582" s="42" t="inlineStr">
        <is>
          <t>GSC-SL-001579</t>
        </is>
      </c>
      <c r="B1582" t="inlineStr">
        <is>
          <t>SZ-SL-001579</t>
        </is>
      </c>
      <c r="C1582" t="inlineStr">
        <is>
          <t>WT-SL-SHUTTER-HIKI</t>
        </is>
      </c>
      <c r="D1582" t="inlineStr">
        <is>
          <t>SP-SL-SHUT-M-STD</t>
        </is>
      </c>
      <c r="E1582" t="inlineStr">
        <is>
          <t>16011</t>
        </is>
      </c>
      <c r="F1582" t="b">
        <v>1</v>
      </c>
      <c r="G1582" t="n">
        <v>55</v>
      </c>
      <c r="H1582" t="inlineStr">
        <is>
          <t>無印</t>
        </is>
      </c>
      <c r="I1582" t="n">
        <v>55</v>
      </c>
      <c r="J1582" t="inlineStr">
        <is>
          <t>P55|無印</t>
        </is>
      </c>
      <c r="K1582" t="inlineStr">
        <is>
          <t>同頁凡例へ直接連動</t>
        </is>
      </c>
      <c r="L1582" t="inlineStr">
        <is>
          <t>202604_LIXIL_サーモスＬ_業務用資料集_完成品価格表.pdf</t>
        </is>
      </c>
      <c r="M1582" t="inlineStr">
        <is>
          <t>v1.7：公式Source gap補完。</t>
        </is>
      </c>
      <c r="N1582" t="inlineStr">
        <is>
          <t>https://drive.google.com/file/d/1YUN-mtWYs48YBUHJk0C3vJXnhjyZFHyf/view</t>
        </is>
      </c>
    </row>
    <row r="1583">
      <c r="A1583" s="42" t="inlineStr">
        <is>
          <t>GSC-SL-001580</t>
        </is>
      </c>
      <c r="B1583" t="inlineStr">
        <is>
          <t>SZ-SL-001580</t>
        </is>
      </c>
      <c r="C1583" t="inlineStr">
        <is>
          <t>WT-SL-SHUTTER-HIKI</t>
        </is>
      </c>
      <c r="D1583" t="inlineStr">
        <is>
          <t>SP-SL-SHUT-M-STD</t>
        </is>
      </c>
      <c r="E1583" t="inlineStr">
        <is>
          <t>16511</t>
        </is>
      </c>
      <c r="F1583" t="b">
        <v>1</v>
      </c>
      <c r="G1583" t="n">
        <v>55</v>
      </c>
      <c r="H1583" t="inlineStr">
        <is>
          <t>無印</t>
        </is>
      </c>
      <c r="I1583" t="n">
        <v>55</v>
      </c>
      <c r="J1583" t="inlineStr">
        <is>
          <t>P55|無印</t>
        </is>
      </c>
      <c r="K1583" t="inlineStr">
        <is>
          <t>同頁凡例へ直接連動</t>
        </is>
      </c>
      <c r="L1583" t="inlineStr">
        <is>
          <t>202604_LIXIL_サーモスＬ_業務用資料集_完成品価格表.pdf</t>
        </is>
      </c>
      <c r="M1583" t="inlineStr">
        <is>
          <t>v1.7：公式Source gap補完。</t>
        </is>
      </c>
      <c r="N1583" t="inlineStr">
        <is>
          <t>https://drive.google.com/file/d/1YUN-mtWYs48YBUHJk0C3vJXnhjyZFHyf/view</t>
        </is>
      </c>
    </row>
    <row r="1584">
      <c r="A1584" s="42" t="inlineStr">
        <is>
          <t>GSC-SL-001581</t>
        </is>
      </c>
      <c r="B1584" t="inlineStr">
        <is>
          <t>SZ-SL-001581</t>
        </is>
      </c>
      <c r="C1584" t="inlineStr">
        <is>
          <t>WT-SL-SHUTTER-HIKI</t>
        </is>
      </c>
      <c r="D1584" t="inlineStr">
        <is>
          <t>SP-SL-SHUT-M-STD</t>
        </is>
      </c>
      <c r="E1584" t="inlineStr">
        <is>
          <t>17411</t>
        </is>
      </c>
      <c r="F1584" t="b">
        <v>1</v>
      </c>
      <c r="G1584" t="n">
        <v>55</v>
      </c>
      <c r="H1584" t="inlineStr">
        <is>
          <t>無印</t>
        </is>
      </c>
      <c r="I1584" t="n">
        <v>55</v>
      </c>
      <c r="J1584" t="inlineStr">
        <is>
          <t>P55|無印</t>
        </is>
      </c>
      <c r="K1584" t="inlineStr">
        <is>
          <t>同頁凡例へ直接連動</t>
        </is>
      </c>
      <c r="L1584" t="inlineStr">
        <is>
          <t>202604_LIXIL_サーモスＬ_業務用資料集_完成品価格表.pdf</t>
        </is>
      </c>
      <c r="M1584" t="inlineStr">
        <is>
          <t>v1.7：公式Source gap補完。</t>
        </is>
      </c>
      <c r="N1584" t="inlineStr">
        <is>
          <t>https://drive.google.com/file/d/1YUN-mtWYs48YBUHJk0C3vJXnhjyZFHyf/view</t>
        </is>
      </c>
    </row>
    <row r="1585">
      <c r="A1585" s="42" t="inlineStr">
        <is>
          <t>GSC-SL-001582</t>
        </is>
      </c>
      <c r="B1585" t="inlineStr">
        <is>
          <t>SZ-SL-001582</t>
        </is>
      </c>
      <c r="C1585" t="inlineStr">
        <is>
          <t>WT-SL-SHUTTER-HIKI</t>
        </is>
      </c>
      <c r="D1585" t="inlineStr">
        <is>
          <t>SP-SL-SHUT-M-STD</t>
        </is>
      </c>
      <c r="E1585" t="inlineStr">
        <is>
          <t>17611</t>
        </is>
      </c>
      <c r="F1585" t="b">
        <v>1</v>
      </c>
      <c r="G1585" t="n">
        <v>55</v>
      </c>
      <c r="H1585" t="inlineStr">
        <is>
          <t>無印</t>
        </is>
      </c>
      <c r="I1585" t="n">
        <v>55</v>
      </c>
      <c r="J1585" t="inlineStr">
        <is>
          <t>P55|無印</t>
        </is>
      </c>
      <c r="K1585" t="inlineStr">
        <is>
          <t>同頁凡例へ直接連動</t>
        </is>
      </c>
      <c r="L1585" t="inlineStr">
        <is>
          <t>202604_LIXIL_サーモスＬ_業務用資料集_完成品価格表.pdf</t>
        </is>
      </c>
      <c r="M1585" t="inlineStr">
        <is>
          <t>v1.7：公式Source gap補完。</t>
        </is>
      </c>
      <c r="N1585" t="inlineStr">
        <is>
          <t>https://drive.google.com/file/d/1YUN-mtWYs48YBUHJk0C3vJXnhjyZFHyf/view</t>
        </is>
      </c>
    </row>
    <row r="1586">
      <c r="A1586" s="42" t="inlineStr">
        <is>
          <t>GSC-SL-001583</t>
        </is>
      </c>
      <c r="B1586" t="inlineStr">
        <is>
          <t>SZ-SL-001583</t>
        </is>
      </c>
      <c r="C1586" t="inlineStr">
        <is>
          <t>WT-SL-SHUTTER-HIKI</t>
        </is>
      </c>
      <c r="D1586" t="inlineStr">
        <is>
          <t>SP-SL-SHUT-M-STD</t>
        </is>
      </c>
      <c r="E1586" t="inlineStr">
        <is>
          <t>15013</t>
        </is>
      </c>
      <c r="F1586" t="b">
        <v>1</v>
      </c>
      <c r="G1586" t="n">
        <v>55</v>
      </c>
      <c r="H1586" t="inlineStr">
        <is>
          <t>無印</t>
        </is>
      </c>
      <c r="I1586" t="n">
        <v>55</v>
      </c>
      <c r="J1586" t="inlineStr">
        <is>
          <t>P55|無印</t>
        </is>
      </c>
      <c r="K1586" t="inlineStr">
        <is>
          <t>同頁凡例へ直接連動</t>
        </is>
      </c>
      <c r="L1586" t="inlineStr">
        <is>
          <t>202604_LIXIL_サーモスＬ_業務用資料集_完成品価格表.pdf</t>
        </is>
      </c>
      <c r="M1586" t="inlineStr">
        <is>
          <t>v1.7：公式Source gap補完。</t>
        </is>
      </c>
      <c r="N1586" t="inlineStr">
        <is>
          <t>https://drive.google.com/file/d/1YUN-mtWYs48YBUHJk0C3vJXnhjyZFHyf/view</t>
        </is>
      </c>
    </row>
    <row r="1587">
      <c r="A1587" s="42" t="inlineStr">
        <is>
          <t>GSC-SL-001584</t>
        </is>
      </c>
      <c r="B1587" t="inlineStr">
        <is>
          <t>SZ-SL-001584</t>
        </is>
      </c>
      <c r="C1587" t="inlineStr">
        <is>
          <t>WT-SL-SHUTTER-HIKI</t>
        </is>
      </c>
      <c r="D1587" t="inlineStr">
        <is>
          <t>SP-SL-SHUT-M-STD</t>
        </is>
      </c>
      <c r="E1587" t="inlineStr">
        <is>
          <t>16013</t>
        </is>
      </c>
      <c r="F1587" t="b">
        <v>1</v>
      </c>
      <c r="G1587" t="n">
        <v>55</v>
      </c>
      <c r="H1587" t="inlineStr">
        <is>
          <t>★</t>
        </is>
      </c>
      <c r="I1587" t="n">
        <v>55</v>
      </c>
      <c r="J1587" t="inlineStr">
        <is>
          <t>P55|★</t>
        </is>
      </c>
      <c r="K1587" t="inlineStr">
        <is>
          <t>同頁凡例へ直接連動</t>
        </is>
      </c>
      <c r="L1587" t="inlineStr">
        <is>
          <t>202604_LIXIL_サーモスＬ_業務用資料集_完成品価格表.pdf</t>
        </is>
      </c>
      <c r="M1587" t="inlineStr">
        <is>
          <t>v1.7：公式Source gap補完。</t>
        </is>
      </c>
      <c r="N1587" t="inlineStr">
        <is>
          <t>https://drive.google.com/file/d/1YUN-mtWYs48YBUHJk0C3vJXnhjyZFHyf/view</t>
        </is>
      </c>
    </row>
    <row r="1588">
      <c r="A1588" s="42" t="inlineStr">
        <is>
          <t>GSC-SL-001585</t>
        </is>
      </c>
      <c r="B1588" t="inlineStr">
        <is>
          <t>SZ-SL-001585</t>
        </is>
      </c>
      <c r="C1588" t="inlineStr">
        <is>
          <t>WT-SL-SHUTTER-HIKI</t>
        </is>
      </c>
      <c r="D1588" t="inlineStr">
        <is>
          <t>SP-SL-SHUT-M-STD</t>
        </is>
      </c>
      <c r="E1588" t="inlineStr">
        <is>
          <t>16513</t>
        </is>
      </c>
      <c r="F1588" t="b">
        <v>1</v>
      </c>
      <c r="G1588" t="n">
        <v>55</v>
      </c>
      <c r="H1588" t="inlineStr">
        <is>
          <t>★</t>
        </is>
      </c>
      <c r="I1588" t="n">
        <v>55</v>
      </c>
      <c r="J1588" t="inlineStr">
        <is>
          <t>P55|★</t>
        </is>
      </c>
      <c r="K1588" t="inlineStr">
        <is>
          <t>同頁凡例へ直接連動</t>
        </is>
      </c>
      <c r="L1588" t="inlineStr">
        <is>
          <t>202604_LIXIL_サーモスＬ_業務用資料集_完成品価格表.pdf</t>
        </is>
      </c>
      <c r="M1588" t="inlineStr">
        <is>
          <t>v1.7：公式Source gap補完。</t>
        </is>
      </c>
      <c r="N1588" t="inlineStr">
        <is>
          <t>https://drive.google.com/file/d/1YUN-mtWYs48YBUHJk0C3vJXnhjyZFHyf/view</t>
        </is>
      </c>
    </row>
    <row r="1589">
      <c r="A1589" s="42" t="inlineStr">
        <is>
          <t>GSC-SL-001586</t>
        </is>
      </c>
      <c r="B1589" t="inlineStr">
        <is>
          <t>SZ-SL-001586</t>
        </is>
      </c>
      <c r="C1589" t="inlineStr">
        <is>
          <t>WT-SL-SHUTTER-HIKI</t>
        </is>
      </c>
      <c r="D1589" t="inlineStr">
        <is>
          <t>SP-SL-SHUT-M-STD</t>
        </is>
      </c>
      <c r="E1589" t="inlineStr">
        <is>
          <t>17413</t>
        </is>
      </c>
      <c r="F1589" t="b">
        <v>1</v>
      </c>
      <c r="G1589" t="n">
        <v>55</v>
      </c>
      <c r="H1589" t="inlineStr">
        <is>
          <t>★</t>
        </is>
      </c>
      <c r="I1589" t="n">
        <v>55</v>
      </c>
      <c r="J1589" t="inlineStr">
        <is>
          <t>P55|★</t>
        </is>
      </c>
      <c r="K1589" t="inlineStr">
        <is>
          <t>同頁凡例へ直接連動</t>
        </is>
      </c>
      <c r="L1589" t="inlineStr">
        <is>
          <t>202604_LIXIL_サーモスＬ_業務用資料集_完成品価格表.pdf</t>
        </is>
      </c>
      <c r="M1589" t="inlineStr">
        <is>
          <t>v1.7：公式Source gap補完。</t>
        </is>
      </c>
      <c r="N1589" t="inlineStr">
        <is>
          <t>https://drive.google.com/file/d/1YUN-mtWYs48YBUHJk0C3vJXnhjyZFHyf/view</t>
        </is>
      </c>
    </row>
    <row r="1590">
      <c r="A1590" s="42" t="inlineStr">
        <is>
          <t>GSC-SL-001587</t>
        </is>
      </c>
      <c r="B1590" t="inlineStr">
        <is>
          <t>SZ-SL-001587</t>
        </is>
      </c>
      <c r="C1590" t="inlineStr">
        <is>
          <t>WT-SL-SHUTTER-HIKI</t>
        </is>
      </c>
      <c r="D1590" t="inlineStr">
        <is>
          <t>SP-SL-SHUT-M-STD</t>
        </is>
      </c>
      <c r="E1590" t="inlineStr">
        <is>
          <t>17613</t>
        </is>
      </c>
      <c r="F1590" t="b">
        <v>1</v>
      </c>
      <c r="G1590" t="n">
        <v>55</v>
      </c>
      <c r="H1590" t="inlineStr">
        <is>
          <t>★</t>
        </is>
      </c>
      <c r="I1590" t="n">
        <v>55</v>
      </c>
      <c r="J1590" t="inlineStr">
        <is>
          <t>P55|★</t>
        </is>
      </c>
      <c r="K1590" t="inlineStr">
        <is>
          <t>同頁凡例へ直接連動</t>
        </is>
      </c>
      <c r="L1590" t="inlineStr">
        <is>
          <t>202604_LIXIL_サーモスＬ_業務用資料集_完成品価格表.pdf</t>
        </is>
      </c>
      <c r="M1590" t="inlineStr">
        <is>
          <t>v1.7：公式Source gap補完。</t>
        </is>
      </c>
      <c r="N1590" t="inlineStr">
        <is>
          <t>https://drive.google.com/file/d/1YUN-mtWYs48YBUHJk0C3vJXnhjyZFHyf/view</t>
        </is>
      </c>
    </row>
    <row r="1591">
      <c r="A1591" s="42" t="inlineStr">
        <is>
          <t>GSC-SL-001588</t>
        </is>
      </c>
      <c r="B1591" t="inlineStr">
        <is>
          <t>SZ-SL-001588</t>
        </is>
      </c>
      <c r="C1591" t="inlineStr">
        <is>
          <t>WT-SL-SHUTTER-HIKI</t>
        </is>
      </c>
      <c r="D1591" t="inlineStr">
        <is>
          <t>SP-SL-SHUT-M-STD</t>
        </is>
      </c>
      <c r="E1591" t="inlineStr">
        <is>
          <t>15015</t>
        </is>
      </c>
      <c r="F1591" t="b">
        <v>1</v>
      </c>
      <c r="G1591" t="n">
        <v>55</v>
      </c>
      <c r="H1591" t="inlineStr">
        <is>
          <t>○</t>
        </is>
      </c>
      <c r="I1591" t="n">
        <v>55</v>
      </c>
      <c r="J1591" t="inlineStr">
        <is>
          <t>P55|○</t>
        </is>
      </c>
      <c r="K1591" t="inlineStr">
        <is>
          <t>同頁凡例へ直接連動</t>
        </is>
      </c>
      <c r="L1591" t="inlineStr">
        <is>
          <t>202604_LIXIL_サーモスＬ_業務用資料集_完成品価格表.pdf</t>
        </is>
      </c>
      <c r="M1591" t="inlineStr">
        <is>
          <t>v1.7：公式Source gap補完。</t>
        </is>
      </c>
      <c r="N1591" t="inlineStr">
        <is>
          <t>https://drive.google.com/file/d/1YUN-mtWYs48YBUHJk0C3vJXnhjyZFHyf/view</t>
        </is>
      </c>
    </row>
    <row r="1592">
      <c r="A1592" s="42" t="inlineStr">
        <is>
          <t>GSC-SL-001589</t>
        </is>
      </c>
      <c r="B1592" t="inlineStr">
        <is>
          <t>SZ-SL-001589</t>
        </is>
      </c>
      <c r="C1592" t="inlineStr">
        <is>
          <t>WT-SL-SHUTTER-HIKI</t>
        </is>
      </c>
      <c r="D1592" t="inlineStr">
        <is>
          <t>SP-SL-SHUT-M-STD</t>
        </is>
      </c>
      <c r="E1592" t="inlineStr">
        <is>
          <t>16015</t>
        </is>
      </c>
      <c r="F1592" t="b">
        <v>1</v>
      </c>
      <c r="G1592" t="n">
        <v>55</v>
      </c>
      <c r="H1592" t="inlineStr">
        <is>
          <t>○</t>
        </is>
      </c>
      <c r="I1592" t="n">
        <v>55</v>
      </c>
      <c r="J1592" t="inlineStr">
        <is>
          <t>P55|○</t>
        </is>
      </c>
      <c r="K1592" t="inlineStr">
        <is>
          <t>同頁凡例へ直接連動</t>
        </is>
      </c>
      <c r="L1592" t="inlineStr">
        <is>
          <t>202604_LIXIL_サーモスＬ_業務用資料集_完成品価格表.pdf</t>
        </is>
      </c>
      <c r="M1592" t="inlineStr">
        <is>
          <t>v1.7：公式Source gap補完。</t>
        </is>
      </c>
      <c r="N1592" t="inlineStr">
        <is>
          <t>https://drive.google.com/file/d/1YUN-mtWYs48YBUHJk0C3vJXnhjyZFHyf/view</t>
        </is>
      </c>
    </row>
    <row r="1593">
      <c r="A1593" s="42" t="inlineStr">
        <is>
          <t>GSC-SL-001590</t>
        </is>
      </c>
      <c r="B1593" t="inlineStr">
        <is>
          <t>SZ-SL-001590</t>
        </is>
      </c>
      <c r="C1593" t="inlineStr">
        <is>
          <t>WT-SL-SHUTTER-HIKI</t>
        </is>
      </c>
      <c r="D1593" t="inlineStr">
        <is>
          <t>SP-SL-SHUT-M-STD</t>
        </is>
      </c>
      <c r="E1593" t="inlineStr">
        <is>
          <t>16515</t>
        </is>
      </c>
      <c r="F1593" t="b">
        <v>1</v>
      </c>
      <c r="G1593" t="n">
        <v>55</v>
      </c>
      <c r="H1593" t="inlineStr">
        <is>
          <t>○</t>
        </is>
      </c>
      <c r="I1593" t="n">
        <v>55</v>
      </c>
      <c r="J1593" t="inlineStr">
        <is>
          <t>P55|○</t>
        </is>
      </c>
      <c r="K1593" t="inlineStr">
        <is>
          <t>同頁凡例へ直接連動</t>
        </is>
      </c>
      <c r="L1593" t="inlineStr">
        <is>
          <t>202604_LIXIL_サーモスＬ_業務用資料集_完成品価格表.pdf</t>
        </is>
      </c>
      <c r="M1593" t="inlineStr">
        <is>
          <t>v1.7：公式Source gap補完。</t>
        </is>
      </c>
      <c r="N1593" t="inlineStr">
        <is>
          <t>https://drive.google.com/file/d/1YUN-mtWYs48YBUHJk0C3vJXnhjyZFHyf/view</t>
        </is>
      </c>
    </row>
    <row r="1594">
      <c r="A1594" s="42" t="inlineStr">
        <is>
          <t>GSC-SL-001591</t>
        </is>
      </c>
      <c r="B1594" t="inlineStr">
        <is>
          <t>SZ-SL-001591</t>
        </is>
      </c>
      <c r="C1594" t="inlineStr">
        <is>
          <t>WT-SL-SHUTTER-HIKI</t>
        </is>
      </c>
      <c r="D1594" t="inlineStr">
        <is>
          <t>SP-SL-SHUT-M-STD</t>
        </is>
      </c>
      <c r="E1594" t="inlineStr">
        <is>
          <t>18009</t>
        </is>
      </c>
      <c r="F1594" t="b">
        <v>1</v>
      </c>
      <c r="G1594" t="n">
        <v>56</v>
      </c>
      <c r="H1594" t="inlineStr">
        <is>
          <t>無印</t>
        </is>
      </c>
      <c r="I1594" t="n">
        <v>57</v>
      </c>
      <c r="J1594" t="inlineStr">
        <is>
          <t>P57|無印</t>
        </is>
      </c>
      <c r="K1594" t="inlineStr">
        <is>
          <t>同一価格表・次頁凡例を継承</t>
        </is>
      </c>
      <c r="L1594" t="inlineStr">
        <is>
          <t>202604_LIXIL_サーモスＬ_業務用資料集_完成品価格表.pdf</t>
        </is>
      </c>
      <c r="M1594" t="inlineStr">
        <is>
          <t>v1.7：公式Source gap補完。</t>
        </is>
      </c>
      <c r="N1594" t="inlineStr">
        <is>
          <t>https://drive.google.com/file/d/1YUN-mtWYs48YBUHJk0C3vJXnhjyZFHyf/view</t>
        </is>
      </c>
    </row>
    <row r="1595">
      <c r="A1595" s="42" t="inlineStr">
        <is>
          <t>GSC-SL-001592</t>
        </is>
      </c>
      <c r="B1595" t="inlineStr">
        <is>
          <t>SZ-SL-001592</t>
        </is>
      </c>
      <c r="C1595" t="inlineStr">
        <is>
          <t>WT-SL-SHUTTER-HIKI</t>
        </is>
      </c>
      <c r="D1595" t="inlineStr">
        <is>
          <t>SP-SL-SHUT-M-STD</t>
        </is>
      </c>
      <c r="E1595" t="inlineStr">
        <is>
          <t>18609</t>
        </is>
      </c>
      <c r="F1595" t="b">
        <v>1</v>
      </c>
      <c r="G1595" t="n">
        <v>56</v>
      </c>
      <c r="H1595" t="inlineStr">
        <is>
          <t>無印</t>
        </is>
      </c>
      <c r="I1595" t="n">
        <v>57</v>
      </c>
      <c r="J1595" t="inlineStr">
        <is>
          <t>P57|無印</t>
        </is>
      </c>
      <c r="K1595" t="inlineStr">
        <is>
          <t>同一価格表・次頁凡例を継承</t>
        </is>
      </c>
      <c r="L1595" t="inlineStr">
        <is>
          <t>202604_LIXIL_サーモスＬ_業務用資料集_完成品価格表.pdf</t>
        </is>
      </c>
      <c r="M1595" t="inlineStr">
        <is>
          <t>v1.7：公式Source gap補完。</t>
        </is>
      </c>
      <c r="N1595" t="inlineStr">
        <is>
          <t>https://drive.google.com/file/d/1YUN-mtWYs48YBUHJk0C3vJXnhjyZFHyf/view</t>
        </is>
      </c>
    </row>
    <row r="1596">
      <c r="A1596" s="42" t="inlineStr">
        <is>
          <t>GSC-SL-001593</t>
        </is>
      </c>
      <c r="B1596" t="inlineStr">
        <is>
          <t>SZ-SL-001593</t>
        </is>
      </c>
      <c r="C1596" t="inlineStr">
        <is>
          <t>WT-SL-SHUTTER-HIKI</t>
        </is>
      </c>
      <c r="D1596" t="inlineStr">
        <is>
          <t>SP-SL-SHUT-M-STD</t>
        </is>
      </c>
      <c r="E1596" t="inlineStr">
        <is>
          <t>18011</t>
        </is>
      </c>
      <c r="F1596" t="b">
        <v>1</v>
      </c>
      <c r="G1596" t="n">
        <v>56</v>
      </c>
      <c r="H1596" t="inlineStr">
        <is>
          <t>無印</t>
        </is>
      </c>
      <c r="I1596" t="n">
        <v>57</v>
      </c>
      <c r="J1596" t="inlineStr">
        <is>
          <t>P57|無印</t>
        </is>
      </c>
      <c r="K1596" t="inlineStr">
        <is>
          <t>同一価格表・次頁凡例を継承</t>
        </is>
      </c>
      <c r="L1596" t="inlineStr">
        <is>
          <t>202604_LIXIL_サーモスＬ_業務用資料集_完成品価格表.pdf</t>
        </is>
      </c>
      <c r="M1596" t="inlineStr">
        <is>
          <t>v1.7：公式Source gap補完。</t>
        </is>
      </c>
      <c r="N1596" t="inlineStr">
        <is>
          <t>https://drive.google.com/file/d/1YUN-mtWYs48YBUHJk0C3vJXnhjyZFHyf/view</t>
        </is>
      </c>
    </row>
    <row r="1597">
      <c r="A1597" s="42" t="inlineStr">
        <is>
          <t>GSC-SL-001594</t>
        </is>
      </c>
      <c r="B1597" t="inlineStr">
        <is>
          <t>SZ-SL-001594</t>
        </is>
      </c>
      <c r="C1597" t="inlineStr">
        <is>
          <t>WT-SL-SHUTTER-HIKI</t>
        </is>
      </c>
      <c r="D1597" t="inlineStr">
        <is>
          <t>SP-SL-SHUT-M-STD</t>
        </is>
      </c>
      <c r="E1597" t="inlineStr">
        <is>
          <t>18611</t>
        </is>
      </c>
      <c r="F1597" t="b">
        <v>1</v>
      </c>
      <c r="G1597" t="n">
        <v>56</v>
      </c>
      <c r="H1597" t="inlineStr">
        <is>
          <t>★</t>
        </is>
      </c>
      <c r="I1597" t="n">
        <v>57</v>
      </c>
      <c r="J1597" t="inlineStr">
        <is>
          <t>P57|★</t>
        </is>
      </c>
      <c r="K1597" t="inlineStr">
        <is>
          <t>同一価格表・次頁凡例を継承</t>
        </is>
      </c>
      <c r="L1597" t="inlineStr">
        <is>
          <t>202604_LIXIL_サーモスＬ_業務用資料集_完成品価格表.pdf</t>
        </is>
      </c>
      <c r="M1597" t="inlineStr">
        <is>
          <t>v1.7：公式Source gap補完。</t>
        </is>
      </c>
      <c r="N1597" t="inlineStr">
        <is>
          <t>https://drive.google.com/file/d/1YUN-mtWYs48YBUHJk0C3vJXnhjyZFHyf/view</t>
        </is>
      </c>
    </row>
    <row r="1598">
      <c r="A1598" s="42" t="inlineStr">
        <is>
          <t>GSC-SL-001595</t>
        </is>
      </c>
      <c r="B1598" t="inlineStr">
        <is>
          <t>SZ-SL-001595</t>
        </is>
      </c>
      <c r="C1598" t="inlineStr">
        <is>
          <t>WT-SL-SHUTTER-HIKI</t>
        </is>
      </c>
      <c r="D1598" t="inlineStr">
        <is>
          <t>SP-SL-SHUT-M-STD</t>
        </is>
      </c>
      <c r="E1598" t="inlineStr">
        <is>
          <t>18013</t>
        </is>
      </c>
      <c r="F1598" t="b">
        <v>1</v>
      </c>
      <c r="G1598" t="n">
        <v>56</v>
      </c>
      <c r="H1598" t="inlineStr">
        <is>
          <t>★</t>
        </is>
      </c>
      <c r="I1598" t="n">
        <v>57</v>
      </c>
      <c r="J1598" t="inlineStr">
        <is>
          <t>P57|★</t>
        </is>
      </c>
      <c r="K1598" t="inlineStr">
        <is>
          <t>同一価格表・次頁凡例を継承</t>
        </is>
      </c>
      <c r="L1598" t="inlineStr">
        <is>
          <t>202604_LIXIL_サーモスＬ_業務用資料集_完成品価格表.pdf</t>
        </is>
      </c>
      <c r="M1598" t="inlineStr">
        <is>
          <t>v1.7：公式Source gap補完。</t>
        </is>
      </c>
      <c r="N1598" t="inlineStr">
        <is>
          <t>https://drive.google.com/file/d/1YUN-mtWYs48YBUHJk0C3vJXnhjyZFHyf/view</t>
        </is>
      </c>
    </row>
    <row r="1599">
      <c r="A1599" s="42" t="inlineStr">
        <is>
          <t>GSC-SL-001596</t>
        </is>
      </c>
      <c r="B1599" t="inlineStr">
        <is>
          <t>SZ-SL-001596</t>
        </is>
      </c>
      <c r="C1599" t="inlineStr">
        <is>
          <t>WT-SL-SHUTTER-HIKI</t>
        </is>
      </c>
      <c r="D1599" t="inlineStr">
        <is>
          <t>SP-SL-SHUT-M-STD</t>
        </is>
      </c>
      <c r="E1599" t="inlineStr">
        <is>
          <t>18613</t>
        </is>
      </c>
      <c r="F1599" t="b">
        <v>1</v>
      </c>
      <c r="G1599" t="n">
        <v>56</v>
      </c>
      <c r="H1599" t="inlineStr">
        <is>
          <t>★</t>
        </is>
      </c>
      <c r="I1599" t="n">
        <v>57</v>
      </c>
      <c r="J1599" t="inlineStr">
        <is>
          <t>P57|★</t>
        </is>
      </c>
      <c r="K1599" t="inlineStr">
        <is>
          <t>同一価格表・次頁凡例を継承</t>
        </is>
      </c>
      <c r="L1599" t="inlineStr">
        <is>
          <t>202604_LIXIL_サーモスＬ_業務用資料集_完成品価格表.pdf</t>
        </is>
      </c>
      <c r="M1599" t="inlineStr">
        <is>
          <t>v1.7：公式Source gap補完。</t>
        </is>
      </c>
      <c r="N1599" t="inlineStr">
        <is>
          <t>https://drive.google.com/file/d/1YUN-mtWYs48YBUHJk0C3vJXnhjyZFHyf/view</t>
        </is>
      </c>
    </row>
    <row r="1600">
      <c r="A1600" s="42" t="inlineStr">
        <is>
          <t>GSC-SL-001597</t>
        </is>
      </c>
      <c r="B1600" t="inlineStr">
        <is>
          <t>SZ-SL-001597</t>
        </is>
      </c>
      <c r="C1600" t="inlineStr">
        <is>
          <t>WT-SL-SHUTTER-HIKI</t>
        </is>
      </c>
      <c r="D1600" t="inlineStr">
        <is>
          <t>SP-SL-SHUT-M-STD</t>
        </is>
      </c>
      <c r="E1600" t="inlineStr">
        <is>
          <t>25111-2</t>
        </is>
      </c>
      <c r="F1600" t="b">
        <v>1</v>
      </c>
      <c r="G1600" t="n">
        <v>57</v>
      </c>
      <c r="H1600" t="inlineStr">
        <is>
          <t>☆</t>
        </is>
      </c>
      <c r="I1600" t="n">
        <v>57</v>
      </c>
      <c r="J1600" t="inlineStr">
        <is>
          <t>P57|☆</t>
        </is>
      </c>
      <c r="K1600" t="inlineStr">
        <is>
          <t>同頁凡例へ直接連動</t>
        </is>
      </c>
      <c r="L1600" t="inlineStr">
        <is>
          <t>202604_LIXIL_サーモスＬ_業務用資料集_完成品価格表.pdf</t>
        </is>
      </c>
      <c r="M1600" t="inlineStr">
        <is>
          <t>v1.7：公式Source gap補完。</t>
        </is>
      </c>
      <c r="N1600" t="inlineStr">
        <is>
          <t>https://drive.google.com/file/d/1YUN-mtWYs48YBUHJk0C3vJXnhjyZFHyf/view</t>
        </is>
      </c>
    </row>
    <row r="1601">
      <c r="A1601" s="42" t="inlineStr">
        <is>
          <t>GSC-SL-001598</t>
        </is>
      </c>
      <c r="B1601" t="inlineStr">
        <is>
          <t>SZ-SL-001598</t>
        </is>
      </c>
      <c r="C1601" t="inlineStr">
        <is>
          <t>WT-SL-SHUTTER-HIKI</t>
        </is>
      </c>
      <c r="D1601" t="inlineStr">
        <is>
          <t>SP-SL-SHUT-M-STD</t>
        </is>
      </c>
      <c r="E1601" t="inlineStr">
        <is>
          <t>25111-4</t>
        </is>
      </c>
      <c r="F1601" t="b">
        <v>1</v>
      </c>
      <c r="G1601" t="n">
        <v>57</v>
      </c>
      <c r="H1601" t="inlineStr">
        <is>
          <t>無印</t>
        </is>
      </c>
      <c r="I1601" t="n">
        <v>57</v>
      </c>
      <c r="J1601" t="inlineStr">
        <is>
          <t>P57|無印</t>
        </is>
      </c>
      <c r="K1601" t="inlineStr">
        <is>
          <t>同頁凡例へ直接連動</t>
        </is>
      </c>
      <c r="L1601" t="inlineStr">
        <is>
          <t>202604_LIXIL_サーモスＬ_業務用資料集_完成品価格表.pdf</t>
        </is>
      </c>
      <c r="M1601" t="inlineStr">
        <is>
          <t>v1.7：公式Source gap補完。</t>
        </is>
      </c>
      <c r="N1601" t="inlineStr">
        <is>
          <t>https://drive.google.com/file/d/1YUN-mtWYs48YBUHJk0C3vJXnhjyZFHyf/view</t>
        </is>
      </c>
    </row>
    <row r="1602">
      <c r="A1602" s="42" t="inlineStr">
        <is>
          <t>GSC-SL-001599</t>
        </is>
      </c>
      <c r="B1602" t="inlineStr">
        <is>
          <t>SZ-SL-001599</t>
        </is>
      </c>
      <c r="C1602" t="inlineStr">
        <is>
          <t>WT-SL-SHUTTER-HIKI</t>
        </is>
      </c>
      <c r="D1602" t="inlineStr">
        <is>
          <t>SP-SL-SHUT-M-STD</t>
        </is>
      </c>
      <c r="E1602" t="inlineStr">
        <is>
          <t>25611-2</t>
        </is>
      </c>
      <c r="F1602" t="b">
        <v>1</v>
      </c>
      <c r="G1602" t="n">
        <v>57</v>
      </c>
      <c r="H1602" t="inlineStr">
        <is>
          <t>☆</t>
        </is>
      </c>
      <c r="I1602" t="n">
        <v>57</v>
      </c>
      <c r="J1602" t="inlineStr">
        <is>
          <t>P57|☆</t>
        </is>
      </c>
      <c r="K1602" t="inlineStr">
        <is>
          <t>同頁凡例へ直接連動</t>
        </is>
      </c>
      <c r="L1602" t="inlineStr">
        <is>
          <t>202604_LIXIL_サーモスＬ_業務用資料集_完成品価格表.pdf</t>
        </is>
      </c>
      <c r="M1602" t="inlineStr">
        <is>
          <t>v1.7：公式Source gap補完。</t>
        </is>
      </c>
      <c r="N1602" t="inlineStr">
        <is>
          <t>https://drive.google.com/file/d/1YUN-mtWYs48YBUHJk0C3vJXnhjyZFHyf/view</t>
        </is>
      </c>
    </row>
    <row r="1603">
      <c r="A1603" s="42" t="inlineStr">
        <is>
          <t>GSC-SL-001600</t>
        </is>
      </c>
      <c r="B1603" t="inlineStr">
        <is>
          <t>SZ-SL-001600</t>
        </is>
      </c>
      <c r="C1603" t="inlineStr">
        <is>
          <t>WT-SL-SHUTTER-HIKI</t>
        </is>
      </c>
      <c r="D1603" t="inlineStr">
        <is>
          <t>SP-SL-SHUT-M-STD</t>
        </is>
      </c>
      <c r="E1603" t="inlineStr">
        <is>
          <t>25611-4</t>
        </is>
      </c>
      <c r="F1603" t="b">
        <v>1</v>
      </c>
      <c r="G1603" t="n">
        <v>57</v>
      </c>
      <c r="H1603" t="inlineStr">
        <is>
          <t>無印</t>
        </is>
      </c>
      <c r="I1603" t="n">
        <v>57</v>
      </c>
      <c r="J1603" t="inlineStr">
        <is>
          <t>P57|無印</t>
        </is>
      </c>
      <c r="K1603" t="inlineStr">
        <is>
          <t>同頁凡例へ直接連動</t>
        </is>
      </c>
      <c r="L1603" t="inlineStr">
        <is>
          <t>202604_LIXIL_サーモスＬ_業務用資料集_完成品価格表.pdf</t>
        </is>
      </c>
      <c r="M1603" t="inlineStr">
        <is>
          <t>v1.7：公式Source gap補完。</t>
        </is>
      </c>
      <c r="N1603" t="inlineStr">
        <is>
          <t>https://drive.google.com/file/d/1YUN-mtWYs48YBUHJk0C3vJXnhjyZFHyf/view</t>
        </is>
      </c>
    </row>
    <row r="1604">
      <c r="A1604" s="42" t="inlineStr">
        <is>
          <t>GSC-SL-001601</t>
        </is>
      </c>
      <c r="B1604" t="inlineStr">
        <is>
          <t>SZ-SL-001601</t>
        </is>
      </c>
      <c r="C1604" t="inlineStr">
        <is>
          <t>WT-SL-SHUTTER-HIKI</t>
        </is>
      </c>
      <c r="D1604" t="inlineStr">
        <is>
          <t>SP-SL-SHUT-M-STD</t>
        </is>
      </c>
      <c r="E1604" t="inlineStr">
        <is>
          <t>25113-2</t>
        </is>
      </c>
      <c r="F1604" t="b">
        <v>1</v>
      </c>
      <c r="G1604" t="n">
        <v>57</v>
      </c>
      <c r="H1604" t="inlineStr">
        <is>
          <t>●</t>
        </is>
      </c>
      <c r="I1604" t="n">
        <v>57</v>
      </c>
      <c r="J1604" t="inlineStr">
        <is>
          <t>P57|●</t>
        </is>
      </c>
      <c r="K1604" t="inlineStr">
        <is>
          <t>同頁凡例へ直接連動</t>
        </is>
      </c>
      <c r="L1604" t="inlineStr">
        <is>
          <t>202604_LIXIL_サーモスＬ_業務用資料集_完成品価格表.pdf</t>
        </is>
      </c>
      <c r="M1604" t="inlineStr">
        <is>
          <t>v1.7：公式Source gap補完。</t>
        </is>
      </c>
      <c r="N1604" t="inlineStr">
        <is>
          <t>https://drive.google.com/file/d/1YUN-mtWYs48YBUHJk0C3vJXnhjyZFHyf/view</t>
        </is>
      </c>
    </row>
    <row r="1605">
      <c r="A1605" s="42" t="inlineStr">
        <is>
          <t>GSC-SL-001602</t>
        </is>
      </c>
      <c r="B1605" t="inlineStr">
        <is>
          <t>SZ-SL-001602</t>
        </is>
      </c>
      <c r="C1605" t="inlineStr">
        <is>
          <t>WT-SL-SHUTTER-HIKI</t>
        </is>
      </c>
      <c r="D1605" t="inlineStr">
        <is>
          <t>SP-SL-SHUT-M-STD</t>
        </is>
      </c>
      <c r="E1605" t="inlineStr">
        <is>
          <t>25113-4</t>
        </is>
      </c>
      <c r="F1605" t="b">
        <v>1</v>
      </c>
      <c r="G1605" t="n">
        <v>57</v>
      </c>
      <c r="H1605" t="inlineStr">
        <is>
          <t>無印</t>
        </is>
      </c>
      <c r="I1605" t="n">
        <v>57</v>
      </c>
      <c r="J1605" t="inlineStr">
        <is>
          <t>P57|無印</t>
        </is>
      </c>
      <c r="K1605" t="inlineStr">
        <is>
          <t>同頁凡例へ直接連動</t>
        </is>
      </c>
      <c r="L1605" t="inlineStr">
        <is>
          <t>202604_LIXIL_サーモスＬ_業務用資料集_完成品価格表.pdf</t>
        </is>
      </c>
      <c r="M1605" t="inlineStr">
        <is>
          <t>v1.7：公式Source gap補完。</t>
        </is>
      </c>
      <c r="N1605" t="inlineStr">
        <is>
          <t>https://drive.google.com/file/d/1YUN-mtWYs48YBUHJk0C3vJXnhjyZFHyf/view</t>
        </is>
      </c>
    </row>
    <row r="1606">
      <c r="A1606" s="42" t="inlineStr">
        <is>
          <t>GSC-SL-001603</t>
        </is>
      </c>
      <c r="B1606" t="inlineStr">
        <is>
          <t>SZ-SL-001603</t>
        </is>
      </c>
      <c r="C1606" t="inlineStr">
        <is>
          <t>WT-SL-SHUTTER-HIKI</t>
        </is>
      </c>
      <c r="D1606" t="inlineStr">
        <is>
          <t>SP-SL-SHUT-M-STD</t>
        </is>
      </c>
      <c r="E1606" t="inlineStr">
        <is>
          <t>25613-2</t>
        </is>
      </c>
      <c r="F1606" t="b">
        <v>1</v>
      </c>
      <c r="G1606" t="n">
        <v>57</v>
      </c>
      <c r="H1606" t="inlineStr">
        <is>
          <t>●</t>
        </is>
      </c>
      <c r="I1606" t="n">
        <v>57</v>
      </c>
      <c r="J1606" t="inlineStr">
        <is>
          <t>P57|●</t>
        </is>
      </c>
      <c r="K1606" t="inlineStr">
        <is>
          <t>同頁凡例へ直接連動</t>
        </is>
      </c>
      <c r="L1606" t="inlineStr">
        <is>
          <t>202604_LIXIL_サーモスＬ_業務用資料集_完成品価格表.pdf</t>
        </is>
      </c>
      <c r="M1606" t="inlineStr">
        <is>
          <t>v1.7：公式Source gap補完。</t>
        </is>
      </c>
      <c r="N1606" t="inlineStr">
        <is>
          <t>https://drive.google.com/file/d/1YUN-mtWYs48YBUHJk0C3vJXnhjyZFHyf/view</t>
        </is>
      </c>
    </row>
    <row r="1607">
      <c r="A1607" s="42" t="inlineStr">
        <is>
          <t>GSC-SL-001604</t>
        </is>
      </c>
      <c r="B1607" t="inlineStr">
        <is>
          <t>SZ-SL-001604</t>
        </is>
      </c>
      <c r="C1607" t="inlineStr">
        <is>
          <t>WT-SL-SHUTTER-HIKI</t>
        </is>
      </c>
      <c r="D1607" t="inlineStr">
        <is>
          <t>SP-SL-SHUT-M-STD</t>
        </is>
      </c>
      <c r="E1607" t="inlineStr">
        <is>
          <t>25613-4</t>
        </is>
      </c>
      <c r="F1607" t="b">
        <v>1</v>
      </c>
      <c r="G1607" t="n">
        <v>57</v>
      </c>
      <c r="H1607" t="inlineStr">
        <is>
          <t>無印</t>
        </is>
      </c>
      <c r="I1607" t="n">
        <v>57</v>
      </c>
      <c r="J1607" t="inlineStr">
        <is>
          <t>P57|無印</t>
        </is>
      </c>
      <c r="K1607" t="inlineStr">
        <is>
          <t>同頁凡例へ直接連動</t>
        </is>
      </c>
      <c r="L1607" t="inlineStr">
        <is>
          <t>202604_LIXIL_サーモスＬ_業務用資料集_完成品価格表.pdf</t>
        </is>
      </c>
      <c r="M1607" t="inlineStr">
        <is>
          <t>v1.7：公式Source gap補完。</t>
        </is>
      </c>
      <c r="N1607" t="inlineStr">
        <is>
          <t>https://drive.google.com/file/d/1YUN-mtWYs48YBUHJk0C3vJXnhjyZFHyf/view</t>
        </is>
      </c>
    </row>
    <row r="1608">
      <c r="A1608" s="42" t="inlineStr">
        <is>
          <t>GSC-SL-001605</t>
        </is>
      </c>
      <c r="B1608" t="inlineStr">
        <is>
          <t>SZ-SL-001605</t>
        </is>
      </c>
      <c r="C1608" t="inlineStr">
        <is>
          <t>WT-SL-SHUTTER-HIKI</t>
        </is>
      </c>
      <c r="D1608" t="inlineStr">
        <is>
          <t>SP-SL-SHUT-M-STD</t>
        </is>
      </c>
      <c r="E1608" t="inlineStr">
        <is>
          <t>11918</t>
        </is>
      </c>
      <c r="F1608" t="b">
        <v>1</v>
      </c>
      <c r="G1608" t="n">
        <v>58</v>
      </c>
      <c r="H1608" t="inlineStr">
        <is>
          <t>無印</t>
        </is>
      </c>
      <c r="I1608" t="n">
        <v>59</v>
      </c>
      <c r="J1608" t="inlineStr">
        <is>
          <t>P59|無印</t>
        </is>
      </c>
      <c r="K1608" t="inlineStr">
        <is>
          <t>同一価格表・次頁凡例を継承</t>
        </is>
      </c>
      <c r="L1608" t="inlineStr">
        <is>
          <t>202604_LIXIL_サーモスＬ_業務用資料集_完成品価格表.pdf</t>
        </is>
      </c>
      <c r="M1608" t="inlineStr">
        <is>
          <t>v1.7：公式Source gap補完。</t>
        </is>
      </c>
      <c r="N1608" t="inlineStr">
        <is>
          <t>https://drive.google.com/file/d/1YUN-mtWYs48YBUHJk0C3vJXnhjyZFHyf/view</t>
        </is>
      </c>
    </row>
    <row r="1609">
      <c r="A1609" s="42" t="inlineStr">
        <is>
          <t>GSC-SL-001606</t>
        </is>
      </c>
      <c r="B1609" t="inlineStr">
        <is>
          <t>SZ-SL-001606</t>
        </is>
      </c>
      <c r="C1609" t="inlineStr">
        <is>
          <t>WT-SL-SHUTTER-HIKI</t>
        </is>
      </c>
      <c r="D1609" t="inlineStr">
        <is>
          <t>SP-SL-SHUT-M-STD</t>
        </is>
      </c>
      <c r="E1609" t="inlineStr">
        <is>
          <t>13318</t>
        </is>
      </c>
      <c r="F1609" t="b">
        <v>1</v>
      </c>
      <c r="G1609" t="n">
        <v>58</v>
      </c>
      <c r="H1609" t="inlineStr">
        <is>
          <t>無印</t>
        </is>
      </c>
      <c r="I1609" t="n">
        <v>59</v>
      </c>
      <c r="J1609" t="inlineStr">
        <is>
          <t>P59|無印</t>
        </is>
      </c>
      <c r="K1609" t="inlineStr">
        <is>
          <t>同一価格表・次頁凡例を継承</t>
        </is>
      </c>
      <c r="L1609" t="inlineStr">
        <is>
          <t>202604_LIXIL_サーモスＬ_業務用資料集_完成品価格表.pdf</t>
        </is>
      </c>
      <c r="M1609" t="inlineStr">
        <is>
          <t>v1.7：公式Source gap補完。</t>
        </is>
      </c>
      <c r="N1609" t="inlineStr">
        <is>
          <t>https://drive.google.com/file/d/1YUN-mtWYs48YBUHJk0C3vJXnhjyZFHyf/view</t>
        </is>
      </c>
    </row>
    <row r="1610">
      <c r="A1610" s="42" t="inlineStr">
        <is>
          <t>GSC-SL-001607</t>
        </is>
      </c>
      <c r="B1610" t="inlineStr">
        <is>
          <t>SZ-SL-001607</t>
        </is>
      </c>
      <c r="C1610" t="inlineStr">
        <is>
          <t>WT-SL-SHUTTER-HIKI</t>
        </is>
      </c>
      <c r="D1610" t="inlineStr">
        <is>
          <t>SP-SL-SHUT-M-STD</t>
        </is>
      </c>
      <c r="E1610" t="inlineStr">
        <is>
          <t>15018</t>
        </is>
      </c>
      <c r="F1610" t="b">
        <v>1</v>
      </c>
      <c r="G1610" t="n">
        <v>58</v>
      </c>
      <c r="H1610" t="inlineStr">
        <is>
          <t>無印</t>
        </is>
      </c>
      <c r="I1610" t="n">
        <v>59</v>
      </c>
      <c r="J1610" t="inlineStr">
        <is>
          <t>P59|無印</t>
        </is>
      </c>
      <c r="K1610" t="inlineStr">
        <is>
          <t>同一価格表・次頁凡例を継承</t>
        </is>
      </c>
      <c r="L1610" t="inlineStr">
        <is>
          <t>202604_LIXIL_サーモスＬ_業務用資料集_完成品価格表.pdf</t>
        </is>
      </c>
      <c r="M1610" t="inlineStr">
        <is>
          <t>v1.7：公式Source gap補完。</t>
        </is>
      </c>
      <c r="N1610" t="inlineStr">
        <is>
          <t>https://drive.google.com/file/d/1YUN-mtWYs48YBUHJk0C3vJXnhjyZFHyf/view</t>
        </is>
      </c>
    </row>
    <row r="1611">
      <c r="A1611" s="42" t="inlineStr">
        <is>
          <t>GSC-SL-001608</t>
        </is>
      </c>
      <c r="B1611" t="inlineStr">
        <is>
          <t>SZ-SL-001608</t>
        </is>
      </c>
      <c r="C1611" t="inlineStr">
        <is>
          <t>WT-SL-SHUTTER-HIKI</t>
        </is>
      </c>
      <c r="D1611" t="inlineStr">
        <is>
          <t>SP-SL-SHUT-M-STD</t>
        </is>
      </c>
      <c r="E1611" t="inlineStr">
        <is>
          <t>16018</t>
        </is>
      </c>
      <c r="F1611" t="b">
        <v>1</v>
      </c>
      <c r="G1611" t="n">
        <v>58</v>
      </c>
      <c r="H1611" t="inlineStr">
        <is>
          <t>無印</t>
        </is>
      </c>
      <c r="I1611" t="n">
        <v>59</v>
      </c>
      <c r="J1611" t="inlineStr">
        <is>
          <t>P59|無印</t>
        </is>
      </c>
      <c r="K1611" t="inlineStr">
        <is>
          <t>同一価格表・次頁凡例を継承</t>
        </is>
      </c>
      <c r="L1611" t="inlineStr">
        <is>
          <t>202604_LIXIL_サーモスＬ_業務用資料集_完成品価格表.pdf</t>
        </is>
      </c>
      <c r="M1611" t="inlineStr">
        <is>
          <t>v1.7：公式Source gap補完。</t>
        </is>
      </c>
      <c r="N1611" t="inlineStr">
        <is>
          <t>https://drive.google.com/file/d/1YUN-mtWYs48YBUHJk0C3vJXnhjyZFHyf/view</t>
        </is>
      </c>
    </row>
    <row r="1612">
      <c r="A1612" s="42" t="inlineStr">
        <is>
          <t>GSC-SL-001609</t>
        </is>
      </c>
      <c r="B1612" t="inlineStr">
        <is>
          <t>SZ-SL-001609</t>
        </is>
      </c>
      <c r="C1612" t="inlineStr">
        <is>
          <t>WT-SL-SHUTTER-HIKI</t>
        </is>
      </c>
      <c r="D1612" t="inlineStr">
        <is>
          <t>SP-SL-SHUT-M-STD</t>
        </is>
      </c>
      <c r="E1612" t="inlineStr">
        <is>
          <t>11920</t>
        </is>
      </c>
      <c r="F1612" t="b">
        <v>1</v>
      </c>
      <c r="G1612" t="n">
        <v>58</v>
      </c>
      <c r="H1612" t="inlineStr">
        <is>
          <t>無印</t>
        </is>
      </c>
      <c r="I1612" t="n">
        <v>59</v>
      </c>
      <c r="J1612" t="inlineStr">
        <is>
          <t>P59|無印</t>
        </is>
      </c>
      <c r="K1612" t="inlineStr">
        <is>
          <t>同一価格表・次頁凡例を継承</t>
        </is>
      </c>
      <c r="L1612" t="inlineStr">
        <is>
          <t>202604_LIXIL_サーモスＬ_業務用資料集_完成品価格表.pdf</t>
        </is>
      </c>
      <c r="M1612" t="inlineStr">
        <is>
          <t>v1.7：公式Source gap補完。</t>
        </is>
      </c>
      <c r="N1612" t="inlineStr">
        <is>
          <t>https://drive.google.com/file/d/1YUN-mtWYs48YBUHJk0C3vJXnhjyZFHyf/view</t>
        </is>
      </c>
    </row>
    <row r="1613">
      <c r="A1613" s="42" t="inlineStr">
        <is>
          <t>GSC-SL-001610</t>
        </is>
      </c>
      <c r="B1613" t="inlineStr">
        <is>
          <t>SZ-SL-001610</t>
        </is>
      </c>
      <c r="C1613" t="inlineStr">
        <is>
          <t>WT-SL-SHUTTER-HIKI</t>
        </is>
      </c>
      <c r="D1613" t="inlineStr">
        <is>
          <t>SP-SL-SHUT-M-STD</t>
        </is>
      </c>
      <c r="E1613" t="inlineStr">
        <is>
          <t>13320</t>
        </is>
      </c>
      <c r="F1613" t="b">
        <v>1</v>
      </c>
      <c r="G1613" t="n">
        <v>58</v>
      </c>
      <c r="H1613" t="inlineStr">
        <is>
          <t>無印</t>
        </is>
      </c>
      <c r="I1613" t="n">
        <v>59</v>
      </c>
      <c r="J1613" t="inlineStr">
        <is>
          <t>P59|無印</t>
        </is>
      </c>
      <c r="K1613" t="inlineStr">
        <is>
          <t>同一価格表・次頁凡例を継承</t>
        </is>
      </c>
      <c r="L1613" t="inlineStr">
        <is>
          <t>202604_LIXIL_サーモスＬ_業務用資料集_完成品価格表.pdf</t>
        </is>
      </c>
      <c r="M1613" t="inlineStr">
        <is>
          <t>v1.7：公式Source gap補完。</t>
        </is>
      </c>
      <c r="N1613" t="inlineStr">
        <is>
          <t>https://drive.google.com/file/d/1YUN-mtWYs48YBUHJk0C3vJXnhjyZFHyf/view</t>
        </is>
      </c>
    </row>
    <row r="1614">
      <c r="A1614" s="42" t="inlineStr">
        <is>
          <t>GSC-SL-001611</t>
        </is>
      </c>
      <c r="B1614" t="inlineStr">
        <is>
          <t>SZ-SL-001611</t>
        </is>
      </c>
      <c r="C1614" t="inlineStr">
        <is>
          <t>WT-SL-SHUTTER-HIKI</t>
        </is>
      </c>
      <c r="D1614" t="inlineStr">
        <is>
          <t>SP-SL-SHUT-M-STD</t>
        </is>
      </c>
      <c r="E1614" t="inlineStr">
        <is>
          <t>15020</t>
        </is>
      </c>
      <c r="F1614" t="b">
        <v>1</v>
      </c>
      <c r="G1614" t="n">
        <v>58</v>
      </c>
      <c r="H1614" t="inlineStr">
        <is>
          <t>○</t>
        </is>
      </c>
      <c r="I1614" t="n">
        <v>59</v>
      </c>
      <c r="J1614" t="inlineStr">
        <is>
          <t>P59|○</t>
        </is>
      </c>
      <c r="K1614" t="inlineStr">
        <is>
          <t>同一価格表・次頁凡例を継承</t>
        </is>
      </c>
      <c r="L1614" t="inlineStr">
        <is>
          <t>202604_LIXIL_サーモスＬ_業務用資料集_完成品価格表.pdf</t>
        </is>
      </c>
      <c r="M1614" t="inlineStr">
        <is>
          <t>v1.7：公式Source gap補完。</t>
        </is>
      </c>
      <c r="N1614" t="inlineStr">
        <is>
          <t>https://drive.google.com/file/d/1YUN-mtWYs48YBUHJk0C3vJXnhjyZFHyf/view</t>
        </is>
      </c>
    </row>
    <row r="1615">
      <c r="A1615" s="42" t="inlineStr">
        <is>
          <t>GSC-SL-001612</t>
        </is>
      </c>
      <c r="B1615" t="inlineStr">
        <is>
          <t>SZ-SL-001612</t>
        </is>
      </c>
      <c r="C1615" t="inlineStr">
        <is>
          <t>WT-SL-SHUTTER-HIKI</t>
        </is>
      </c>
      <c r="D1615" t="inlineStr">
        <is>
          <t>SP-SL-SHUT-M-STD</t>
        </is>
      </c>
      <c r="E1615" t="inlineStr">
        <is>
          <t>16020</t>
        </is>
      </c>
      <c r="F1615" t="b">
        <v>1</v>
      </c>
      <c r="G1615" t="n">
        <v>58</v>
      </c>
      <c r="H1615" t="inlineStr">
        <is>
          <t>▲</t>
        </is>
      </c>
      <c r="I1615" t="n">
        <v>59</v>
      </c>
      <c r="J1615" t="inlineStr">
        <is>
          <t>P59|▲</t>
        </is>
      </c>
      <c r="K1615" t="inlineStr">
        <is>
          <t>同一価格表・次頁凡例を継承</t>
        </is>
      </c>
      <c r="L1615" t="inlineStr">
        <is>
          <t>202604_LIXIL_サーモスＬ_業務用資料集_完成品価格表.pdf</t>
        </is>
      </c>
      <c r="M1615" t="inlineStr">
        <is>
          <t>v1.7：公式Source gap補完。</t>
        </is>
      </c>
      <c r="N1615" t="inlineStr">
        <is>
          <t>https://drive.google.com/file/d/1YUN-mtWYs48YBUHJk0C3vJXnhjyZFHyf/view</t>
        </is>
      </c>
    </row>
    <row r="1616">
      <c r="A1616" s="42" t="inlineStr">
        <is>
          <t>GSC-SL-001613</t>
        </is>
      </c>
      <c r="B1616" t="inlineStr">
        <is>
          <t>SZ-SL-001613</t>
        </is>
      </c>
      <c r="C1616" t="inlineStr">
        <is>
          <t>WT-SL-SHUTTER-HIKI</t>
        </is>
      </c>
      <c r="D1616" t="inlineStr">
        <is>
          <t>SP-SL-SHUT-M-STD</t>
        </is>
      </c>
      <c r="E1616" t="inlineStr">
        <is>
          <t>15022</t>
        </is>
      </c>
      <c r="F1616" t="b">
        <v>1</v>
      </c>
      <c r="G1616" t="n">
        <v>58</v>
      </c>
      <c r="H1616" t="inlineStr">
        <is>
          <t>★</t>
        </is>
      </c>
      <c r="I1616" t="n">
        <v>59</v>
      </c>
      <c r="J1616" t="inlineStr">
        <is>
          <t>P59|★</t>
        </is>
      </c>
      <c r="K1616" t="inlineStr">
        <is>
          <t>同一価格表・次頁凡例を継承</t>
        </is>
      </c>
      <c r="L1616" t="inlineStr">
        <is>
          <t>202604_LIXIL_サーモスＬ_業務用資料集_完成品価格表.pdf</t>
        </is>
      </c>
      <c r="M1616" t="inlineStr">
        <is>
          <t>v1.7：公式Source gap補完。</t>
        </is>
      </c>
      <c r="N1616" t="inlineStr">
        <is>
          <t>https://drive.google.com/file/d/1YUN-mtWYs48YBUHJk0C3vJXnhjyZFHyf/view</t>
        </is>
      </c>
    </row>
    <row r="1617">
      <c r="A1617" s="42" t="inlineStr">
        <is>
          <t>GSC-SL-001614</t>
        </is>
      </c>
      <c r="B1617" t="inlineStr">
        <is>
          <t>SZ-SL-001614</t>
        </is>
      </c>
      <c r="C1617" t="inlineStr">
        <is>
          <t>WT-SL-SHUTTER-HIKI</t>
        </is>
      </c>
      <c r="D1617" t="inlineStr">
        <is>
          <t>SP-SL-SHUT-M-STD</t>
        </is>
      </c>
      <c r="E1617" t="inlineStr">
        <is>
          <t>16022</t>
        </is>
      </c>
      <c r="F1617" t="b">
        <v>1</v>
      </c>
      <c r="G1617" t="n">
        <v>58</v>
      </c>
      <c r="H1617" t="inlineStr">
        <is>
          <t>★</t>
        </is>
      </c>
      <c r="I1617" t="n">
        <v>59</v>
      </c>
      <c r="J1617" t="inlineStr">
        <is>
          <t>P59|★</t>
        </is>
      </c>
      <c r="K1617" t="inlineStr">
        <is>
          <t>同一価格表・次頁凡例を継承</t>
        </is>
      </c>
      <c r="L1617" t="inlineStr">
        <is>
          <t>202604_LIXIL_サーモスＬ_業務用資料集_完成品価格表.pdf</t>
        </is>
      </c>
      <c r="M1617" t="inlineStr">
        <is>
          <t>v1.7：公式Source gap補完。</t>
        </is>
      </c>
      <c r="N1617" t="inlineStr">
        <is>
          <t>https://drive.google.com/file/d/1YUN-mtWYs48YBUHJk0C3vJXnhjyZFHyf/view</t>
        </is>
      </c>
    </row>
    <row r="1618">
      <c r="A1618" s="42" t="inlineStr">
        <is>
          <t>GSC-SL-001615</t>
        </is>
      </c>
      <c r="B1618" t="inlineStr">
        <is>
          <t>SZ-SL-001615</t>
        </is>
      </c>
      <c r="C1618" t="inlineStr">
        <is>
          <t>WT-SL-SHUTTER-HIKI</t>
        </is>
      </c>
      <c r="D1618" t="inlineStr">
        <is>
          <t>SP-SL-SHUT-M-STD</t>
        </is>
      </c>
      <c r="E1618" t="inlineStr">
        <is>
          <t>16518</t>
        </is>
      </c>
      <c r="F1618" t="b">
        <v>1</v>
      </c>
      <c r="G1618" t="n">
        <v>59</v>
      </c>
      <c r="H1618" t="inlineStr">
        <is>
          <t>無印</t>
        </is>
      </c>
      <c r="I1618" t="n">
        <v>59</v>
      </c>
      <c r="J1618" t="inlineStr">
        <is>
          <t>P59|無印</t>
        </is>
      </c>
      <c r="K1618" t="inlineStr">
        <is>
          <t>同頁凡例へ直接連動</t>
        </is>
      </c>
      <c r="L1618" t="inlineStr">
        <is>
          <t>202604_LIXIL_サーモスＬ_業務用資料集_完成品価格表.pdf</t>
        </is>
      </c>
      <c r="M1618" t="inlineStr">
        <is>
          <t>v1.7：公式Source gap補完。</t>
        </is>
      </c>
      <c r="N1618" t="inlineStr">
        <is>
          <t>https://drive.google.com/file/d/1YUN-mtWYs48YBUHJk0C3vJXnhjyZFHyf/view</t>
        </is>
      </c>
    </row>
    <row r="1619">
      <c r="A1619" s="42" t="inlineStr">
        <is>
          <t>GSC-SL-001616</t>
        </is>
      </c>
      <c r="B1619" t="inlineStr">
        <is>
          <t>SZ-SL-001616</t>
        </is>
      </c>
      <c r="C1619" t="inlineStr">
        <is>
          <t>WT-SL-SHUTTER-HIKI</t>
        </is>
      </c>
      <c r="D1619" t="inlineStr">
        <is>
          <t>SP-SL-SHUT-M-STD</t>
        </is>
      </c>
      <c r="E1619" t="inlineStr">
        <is>
          <t>17418</t>
        </is>
      </c>
      <c r="F1619" t="b">
        <v>1</v>
      </c>
      <c r="G1619" t="n">
        <v>59</v>
      </c>
      <c r="H1619" t="inlineStr">
        <is>
          <t>無印</t>
        </is>
      </c>
      <c r="I1619" t="n">
        <v>59</v>
      </c>
      <c r="J1619" t="inlineStr">
        <is>
          <t>P59|無印</t>
        </is>
      </c>
      <c r="K1619" t="inlineStr">
        <is>
          <t>同頁凡例へ直接連動</t>
        </is>
      </c>
      <c r="L1619" t="inlineStr">
        <is>
          <t>202604_LIXIL_サーモスＬ_業務用資料集_完成品価格表.pdf</t>
        </is>
      </c>
      <c r="M1619" t="inlineStr">
        <is>
          <t>v1.7：公式Source gap補完。</t>
        </is>
      </c>
      <c r="N1619" t="inlineStr">
        <is>
          <t>https://drive.google.com/file/d/1YUN-mtWYs48YBUHJk0C3vJXnhjyZFHyf/view</t>
        </is>
      </c>
    </row>
    <row r="1620">
      <c r="A1620" s="42" t="inlineStr">
        <is>
          <t>GSC-SL-001617</t>
        </is>
      </c>
      <c r="B1620" t="inlineStr">
        <is>
          <t>SZ-SL-001617</t>
        </is>
      </c>
      <c r="C1620" t="inlineStr">
        <is>
          <t>WT-SL-SHUTTER-HIKI</t>
        </is>
      </c>
      <c r="D1620" t="inlineStr">
        <is>
          <t>SP-SL-SHUT-M-STD</t>
        </is>
      </c>
      <c r="E1620" t="inlineStr">
        <is>
          <t>17618</t>
        </is>
      </c>
      <c r="F1620" t="b">
        <v>1</v>
      </c>
      <c r="G1620" t="n">
        <v>59</v>
      </c>
      <c r="H1620" t="inlineStr">
        <is>
          <t>無印</t>
        </is>
      </c>
      <c r="I1620" t="n">
        <v>59</v>
      </c>
      <c r="J1620" t="inlineStr">
        <is>
          <t>P59|無印</t>
        </is>
      </c>
      <c r="K1620" t="inlineStr">
        <is>
          <t>同頁凡例へ直接連動</t>
        </is>
      </c>
      <c r="L1620" t="inlineStr">
        <is>
          <t>202604_LIXIL_サーモスＬ_業務用資料集_完成品価格表.pdf</t>
        </is>
      </c>
      <c r="M1620" t="inlineStr">
        <is>
          <t>v1.7：公式Source gap補完。</t>
        </is>
      </c>
      <c r="N1620" t="inlineStr">
        <is>
          <t>https://drive.google.com/file/d/1YUN-mtWYs48YBUHJk0C3vJXnhjyZFHyf/view</t>
        </is>
      </c>
    </row>
    <row r="1621">
      <c r="A1621" s="42" t="inlineStr">
        <is>
          <t>GSC-SL-001618</t>
        </is>
      </c>
      <c r="B1621" t="inlineStr">
        <is>
          <t>SZ-SL-001618</t>
        </is>
      </c>
      <c r="C1621" t="inlineStr">
        <is>
          <t>WT-SL-SHUTTER-HIKI</t>
        </is>
      </c>
      <c r="D1621" t="inlineStr">
        <is>
          <t>SP-SL-SHUT-M-STD</t>
        </is>
      </c>
      <c r="E1621" t="inlineStr">
        <is>
          <t>16520</t>
        </is>
      </c>
      <c r="F1621" t="b">
        <v>1</v>
      </c>
      <c r="G1621" t="n">
        <v>59</v>
      </c>
      <c r="H1621" t="inlineStr">
        <is>
          <t>★</t>
        </is>
      </c>
      <c r="I1621" t="n">
        <v>59</v>
      </c>
      <c r="J1621" t="inlineStr">
        <is>
          <t>P59|★</t>
        </is>
      </c>
      <c r="K1621" t="inlineStr">
        <is>
          <t>同頁凡例へ直接連動</t>
        </is>
      </c>
      <c r="L1621" t="inlineStr">
        <is>
          <t>202604_LIXIL_サーモスＬ_業務用資料集_完成品価格表.pdf</t>
        </is>
      </c>
      <c r="M1621" t="inlineStr">
        <is>
          <t>v1.7：公式Source gap補完。</t>
        </is>
      </c>
      <c r="N1621" t="inlineStr">
        <is>
          <t>https://drive.google.com/file/d/1YUN-mtWYs48YBUHJk0C3vJXnhjyZFHyf/view</t>
        </is>
      </c>
    </row>
    <row r="1622">
      <c r="A1622" s="42" t="inlineStr">
        <is>
          <t>GSC-SL-001619</t>
        </is>
      </c>
      <c r="B1622" t="inlineStr">
        <is>
          <t>SZ-SL-001619</t>
        </is>
      </c>
      <c r="C1622" t="inlineStr">
        <is>
          <t>WT-SL-SHUTTER-HIKI</t>
        </is>
      </c>
      <c r="D1622" t="inlineStr">
        <is>
          <t>SP-SL-SHUT-M-STD</t>
        </is>
      </c>
      <c r="E1622" t="inlineStr">
        <is>
          <t>17420</t>
        </is>
      </c>
      <c r="F1622" t="b">
        <v>1</v>
      </c>
      <c r="G1622" t="n">
        <v>59</v>
      </c>
      <c r="H1622" t="inlineStr">
        <is>
          <t>★</t>
        </is>
      </c>
      <c r="I1622" t="n">
        <v>59</v>
      </c>
      <c r="J1622" t="inlineStr">
        <is>
          <t>P59|★</t>
        </is>
      </c>
      <c r="K1622" t="inlineStr">
        <is>
          <t>同頁凡例へ直接連動</t>
        </is>
      </c>
      <c r="L1622" t="inlineStr">
        <is>
          <t>202604_LIXIL_サーモスＬ_業務用資料集_完成品価格表.pdf</t>
        </is>
      </c>
      <c r="M1622" t="inlineStr">
        <is>
          <t>v1.7：公式Source gap補完。</t>
        </is>
      </c>
      <c r="N1622" t="inlineStr">
        <is>
          <t>https://drive.google.com/file/d/1YUN-mtWYs48YBUHJk0C3vJXnhjyZFHyf/view</t>
        </is>
      </c>
    </row>
    <row r="1623">
      <c r="A1623" s="42" t="inlineStr">
        <is>
          <t>GSC-SL-001620</t>
        </is>
      </c>
      <c r="B1623" t="inlineStr">
        <is>
          <t>SZ-SL-001620</t>
        </is>
      </c>
      <c r="C1623" t="inlineStr">
        <is>
          <t>WT-SL-SHUTTER-HIKI</t>
        </is>
      </c>
      <c r="D1623" t="inlineStr">
        <is>
          <t>SP-SL-SHUT-M-STD</t>
        </is>
      </c>
      <c r="E1623" t="inlineStr">
        <is>
          <t>17620</t>
        </is>
      </c>
      <c r="F1623" t="b">
        <v>1</v>
      </c>
      <c r="G1623" t="n">
        <v>59</v>
      </c>
      <c r="H1623" t="inlineStr">
        <is>
          <t>★</t>
        </is>
      </c>
      <c r="I1623" t="n">
        <v>59</v>
      </c>
      <c r="J1623" t="inlineStr">
        <is>
          <t>P59|★</t>
        </is>
      </c>
      <c r="K1623" t="inlineStr">
        <is>
          <t>同頁凡例へ直接連動</t>
        </is>
      </c>
      <c r="L1623" t="inlineStr">
        <is>
          <t>202604_LIXIL_サーモスＬ_業務用資料集_完成品価格表.pdf</t>
        </is>
      </c>
      <c r="M1623" t="inlineStr">
        <is>
          <t>v1.7：公式Source gap補完。</t>
        </is>
      </c>
      <c r="N1623" t="inlineStr">
        <is>
          <t>https://drive.google.com/file/d/1YUN-mtWYs48YBUHJk0C3vJXnhjyZFHyf/view</t>
        </is>
      </c>
    </row>
    <row r="1624">
      <c r="A1624" s="42" t="inlineStr">
        <is>
          <t>GSC-SL-001621</t>
        </is>
      </c>
      <c r="B1624" t="inlineStr">
        <is>
          <t>SZ-SL-001621</t>
        </is>
      </c>
      <c r="C1624" t="inlineStr">
        <is>
          <t>WT-SL-SHUTTER-HIKI</t>
        </is>
      </c>
      <c r="D1624" t="inlineStr">
        <is>
          <t>SP-SL-SHUT-M-STD</t>
        </is>
      </c>
      <c r="E1624" t="inlineStr">
        <is>
          <t>16522</t>
        </is>
      </c>
      <c r="F1624" t="b">
        <v>1</v>
      </c>
      <c r="G1624" t="n">
        <v>59</v>
      </c>
      <c r="H1624" t="inlineStr">
        <is>
          <t>★</t>
        </is>
      </c>
      <c r="I1624" t="n">
        <v>59</v>
      </c>
      <c r="J1624" t="inlineStr">
        <is>
          <t>P59|★</t>
        </is>
      </c>
      <c r="K1624" t="inlineStr">
        <is>
          <t>同頁凡例へ直接連動</t>
        </is>
      </c>
      <c r="L1624" t="inlineStr">
        <is>
          <t>202604_LIXIL_サーモスＬ_業務用資料集_完成品価格表.pdf</t>
        </is>
      </c>
      <c r="M1624" t="inlineStr">
        <is>
          <t>v1.7：公式Source gap補完。</t>
        </is>
      </c>
      <c r="N1624" t="inlineStr">
        <is>
          <t>https://drive.google.com/file/d/1YUN-mtWYs48YBUHJk0C3vJXnhjyZFHyf/view</t>
        </is>
      </c>
    </row>
    <row r="1625">
      <c r="A1625" s="42" t="inlineStr">
        <is>
          <t>GSC-SL-001622</t>
        </is>
      </c>
      <c r="B1625" t="inlineStr">
        <is>
          <t>SZ-SL-001622</t>
        </is>
      </c>
      <c r="C1625" t="inlineStr">
        <is>
          <t>WT-SL-SHUTTER-HIKI</t>
        </is>
      </c>
      <c r="D1625" t="inlineStr">
        <is>
          <t>SP-SL-SHUT-M-STD</t>
        </is>
      </c>
      <c r="E1625" t="inlineStr">
        <is>
          <t>17422</t>
        </is>
      </c>
      <c r="F1625" t="b">
        <v>1</v>
      </c>
      <c r="G1625" t="n">
        <v>59</v>
      </c>
      <c r="H1625" t="inlineStr">
        <is>
          <t>★</t>
        </is>
      </c>
      <c r="I1625" t="n">
        <v>59</v>
      </c>
      <c r="J1625" t="inlineStr">
        <is>
          <t>P59|★</t>
        </is>
      </c>
      <c r="K1625" t="inlineStr">
        <is>
          <t>同頁凡例へ直接連動</t>
        </is>
      </c>
      <c r="L1625" t="inlineStr">
        <is>
          <t>202604_LIXIL_サーモスＬ_業務用資料集_完成品価格表.pdf</t>
        </is>
      </c>
      <c r="M1625" t="inlineStr">
        <is>
          <t>v1.7：公式Source gap補完。</t>
        </is>
      </c>
      <c r="N1625" t="inlineStr">
        <is>
          <t>https://drive.google.com/file/d/1YUN-mtWYs48YBUHJk0C3vJXnhjyZFHyf/view</t>
        </is>
      </c>
    </row>
    <row r="1626">
      <c r="A1626" s="42" t="inlineStr">
        <is>
          <t>GSC-SL-001623</t>
        </is>
      </c>
      <c r="B1626" t="inlineStr">
        <is>
          <t>SZ-SL-001623</t>
        </is>
      </c>
      <c r="C1626" t="inlineStr">
        <is>
          <t>WT-SL-SHUTTER-HIKI</t>
        </is>
      </c>
      <c r="D1626" t="inlineStr">
        <is>
          <t>SP-SL-SHUT-M-STD</t>
        </is>
      </c>
      <c r="E1626" t="inlineStr">
        <is>
          <t>17622</t>
        </is>
      </c>
      <c r="F1626" t="b">
        <v>1</v>
      </c>
      <c r="G1626" t="n">
        <v>59</v>
      </c>
      <c r="H1626" t="inlineStr">
        <is>
          <t>★</t>
        </is>
      </c>
      <c r="I1626" t="n">
        <v>59</v>
      </c>
      <c r="J1626" t="inlineStr">
        <is>
          <t>P59|★</t>
        </is>
      </c>
      <c r="K1626" t="inlineStr">
        <is>
          <t>同頁凡例へ直接連動</t>
        </is>
      </c>
      <c r="L1626" t="inlineStr">
        <is>
          <t>202604_LIXIL_サーモスＬ_業務用資料集_完成品価格表.pdf</t>
        </is>
      </c>
      <c r="M1626" t="inlineStr">
        <is>
          <t>v1.7：公式Source gap補完。</t>
        </is>
      </c>
      <c r="N1626" t="inlineStr">
        <is>
          <t>https://drive.google.com/file/d/1YUN-mtWYs48YBUHJk0C3vJXnhjyZFHyf/view</t>
        </is>
      </c>
    </row>
    <row r="1627">
      <c r="A1627" s="42" t="inlineStr">
        <is>
          <t>GSC-SL-001624</t>
        </is>
      </c>
      <c r="B1627" t="inlineStr">
        <is>
          <t>SZ-SL-001624</t>
        </is>
      </c>
      <c r="C1627" t="inlineStr">
        <is>
          <t>WT-SL-SHUTTER-HIKI</t>
        </is>
      </c>
      <c r="D1627" t="inlineStr">
        <is>
          <t>SP-SL-SHUT-M-STD</t>
        </is>
      </c>
      <c r="E1627" t="inlineStr">
        <is>
          <t>18018</t>
        </is>
      </c>
      <c r="F1627" t="b">
        <v>1</v>
      </c>
      <c r="G1627" t="n">
        <v>60</v>
      </c>
      <c r="H1627" t="inlineStr">
        <is>
          <t>★</t>
        </is>
      </c>
      <c r="I1627" t="n">
        <v>61</v>
      </c>
      <c r="J1627" t="inlineStr">
        <is>
          <t>P61|★</t>
        </is>
      </c>
      <c r="K1627" t="inlineStr">
        <is>
          <t>同一価格表・次頁凡例を継承</t>
        </is>
      </c>
      <c r="L1627" t="inlineStr">
        <is>
          <t>202604_LIXIL_サーモスＬ_業務用資料集_完成品価格表.pdf</t>
        </is>
      </c>
      <c r="M1627" t="inlineStr">
        <is>
          <t>v1.7：公式Source gap補完。</t>
        </is>
      </c>
      <c r="N1627" t="inlineStr">
        <is>
          <t>https://drive.google.com/file/d/1YUN-mtWYs48YBUHJk0C3vJXnhjyZFHyf/view</t>
        </is>
      </c>
    </row>
    <row r="1628">
      <c r="A1628" s="42" t="inlineStr">
        <is>
          <t>GSC-SL-001625</t>
        </is>
      </c>
      <c r="B1628" t="inlineStr">
        <is>
          <t>SZ-SL-001625</t>
        </is>
      </c>
      <c r="C1628" t="inlineStr">
        <is>
          <t>WT-SL-SHUTTER-HIKI</t>
        </is>
      </c>
      <c r="D1628" t="inlineStr">
        <is>
          <t>SP-SL-SHUT-M-STD</t>
        </is>
      </c>
      <c r="E1628" t="inlineStr">
        <is>
          <t>18618</t>
        </is>
      </c>
      <c r="F1628" t="b">
        <v>1</v>
      </c>
      <c r="G1628" t="n">
        <v>60</v>
      </c>
      <c r="H1628" t="inlineStr">
        <is>
          <t>★</t>
        </is>
      </c>
      <c r="I1628" t="n">
        <v>61</v>
      </c>
      <c r="J1628" t="inlineStr">
        <is>
          <t>P61|★</t>
        </is>
      </c>
      <c r="K1628" t="inlineStr">
        <is>
          <t>同一価格表・次頁凡例を継承</t>
        </is>
      </c>
      <c r="L1628" t="inlineStr">
        <is>
          <t>202604_LIXIL_サーモスＬ_業務用資料集_完成品価格表.pdf</t>
        </is>
      </c>
      <c r="M1628" t="inlineStr">
        <is>
          <t>v1.7：公式Source gap補完。</t>
        </is>
      </c>
      <c r="N1628" t="inlineStr">
        <is>
          <t>https://drive.google.com/file/d/1YUN-mtWYs48YBUHJk0C3vJXnhjyZFHyf/view</t>
        </is>
      </c>
    </row>
    <row r="1629">
      <c r="A1629" s="42" t="inlineStr">
        <is>
          <t>GSC-SL-001626</t>
        </is>
      </c>
      <c r="B1629" t="inlineStr">
        <is>
          <t>SZ-SL-001626</t>
        </is>
      </c>
      <c r="C1629" t="inlineStr">
        <is>
          <t>WT-SL-SHUTTER-HIKI</t>
        </is>
      </c>
      <c r="D1629" t="inlineStr">
        <is>
          <t>SP-SL-SHUT-M-STD</t>
        </is>
      </c>
      <c r="E1629" t="inlineStr">
        <is>
          <t>25118-2</t>
        </is>
      </c>
      <c r="F1629" t="b">
        <v>1</v>
      </c>
      <c r="G1629" t="n">
        <v>60</v>
      </c>
      <c r="H1629" t="inlineStr">
        <is>
          <t>☆</t>
        </is>
      </c>
      <c r="I1629" t="n">
        <v>61</v>
      </c>
      <c r="J1629" t="inlineStr">
        <is>
          <t>P61|☆</t>
        </is>
      </c>
      <c r="K1629" t="inlineStr">
        <is>
          <t>同一価格表・次頁凡例を継承</t>
        </is>
      </c>
      <c r="L1629" t="inlineStr">
        <is>
          <t>202604_LIXIL_サーモスＬ_業務用資料集_完成品価格表.pdf</t>
        </is>
      </c>
      <c r="M1629" t="inlineStr">
        <is>
          <t>v1.7：公式Source gap補完。</t>
        </is>
      </c>
      <c r="N1629" t="inlineStr">
        <is>
          <t>https://drive.google.com/file/d/1YUN-mtWYs48YBUHJk0C3vJXnhjyZFHyf/view</t>
        </is>
      </c>
    </row>
    <row r="1630">
      <c r="A1630" s="42" t="inlineStr">
        <is>
          <t>GSC-SL-001627</t>
        </is>
      </c>
      <c r="B1630" t="inlineStr">
        <is>
          <t>SZ-SL-001627</t>
        </is>
      </c>
      <c r="C1630" t="inlineStr">
        <is>
          <t>WT-SL-SHUTTER-HIKI</t>
        </is>
      </c>
      <c r="D1630" t="inlineStr">
        <is>
          <t>SP-SL-SHUT-M-STD</t>
        </is>
      </c>
      <c r="E1630" t="inlineStr">
        <is>
          <t>18020</t>
        </is>
      </c>
      <c r="F1630" t="b">
        <v>1</v>
      </c>
      <c r="G1630" t="n">
        <v>60</v>
      </c>
      <c r="H1630" t="inlineStr">
        <is>
          <t>★</t>
        </is>
      </c>
      <c r="I1630" t="n">
        <v>61</v>
      </c>
      <c r="J1630" t="inlineStr">
        <is>
          <t>P61|★</t>
        </is>
      </c>
      <c r="K1630" t="inlineStr">
        <is>
          <t>同一価格表・次頁凡例を継承</t>
        </is>
      </c>
      <c r="L1630" t="inlineStr">
        <is>
          <t>202604_LIXIL_サーモスＬ_業務用資料集_完成品価格表.pdf</t>
        </is>
      </c>
      <c r="M1630" t="inlineStr">
        <is>
          <t>v1.7：公式Source gap補完。</t>
        </is>
      </c>
      <c r="N1630" t="inlineStr">
        <is>
          <t>https://drive.google.com/file/d/1YUN-mtWYs48YBUHJk0C3vJXnhjyZFHyf/view</t>
        </is>
      </c>
    </row>
    <row r="1631">
      <c r="A1631" s="42" t="inlineStr">
        <is>
          <t>GSC-SL-001628</t>
        </is>
      </c>
      <c r="B1631" t="inlineStr">
        <is>
          <t>SZ-SL-001628</t>
        </is>
      </c>
      <c r="C1631" t="inlineStr">
        <is>
          <t>WT-SL-SHUTTER-HIKI</t>
        </is>
      </c>
      <c r="D1631" t="inlineStr">
        <is>
          <t>SP-SL-SHUT-M-STD</t>
        </is>
      </c>
      <c r="E1631" t="inlineStr">
        <is>
          <t>18620</t>
        </is>
      </c>
      <c r="F1631" t="b">
        <v>1</v>
      </c>
      <c r="G1631" t="n">
        <v>60</v>
      </c>
      <c r="H1631" t="inlineStr">
        <is>
          <t>★</t>
        </is>
      </c>
      <c r="I1631" t="n">
        <v>61</v>
      </c>
      <c r="J1631" t="inlineStr">
        <is>
          <t>P61|★</t>
        </is>
      </c>
      <c r="K1631" t="inlineStr">
        <is>
          <t>同一価格表・次頁凡例を継承</t>
        </is>
      </c>
      <c r="L1631" t="inlineStr">
        <is>
          <t>202604_LIXIL_サーモスＬ_業務用資料集_完成品価格表.pdf</t>
        </is>
      </c>
      <c r="M1631" t="inlineStr">
        <is>
          <t>v1.7：公式Source gap補完。</t>
        </is>
      </c>
      <c r="N1631" t="inlineStr">
        <is>
          <t>https://drive.google.com/file/d/1YUN-mtWYs48YBUHJk0C3vJXnhjyZFHyf/view</t>
        </is>
      </c>
    </row>
    <row r="1632">
      <c r="A1632" s="42" t="inlineStr">
        <is>
          <t>GSC-SL-001629</t>
        </is>
      </c>
      <c r="B1632" t="inlineStr">
        <is>
          <t>SZ-SL-001629</t>
        </is>
      </c>
      <c r="C1632" t="inlineStr">
        <is>
          <t>WT-SL-SHUTTER-HIKI</t>
        </is>
      </c>
      <c r="D1632" t="inlineStr">
        <is>
          <t>SP-SL-SHUT-M-STD</t>
        </is>
      </c>
      <c r="E1632" t="inlineStr">
        <is>
          <t>25120-2</t>
        </is>
      </c>
      <c r="F1632" t="b">
        <v>1</v>
      </c>
      <c r="G1632" t="n">
        <v>60</v>
      </c>
      <c r="H1632" t="inlineStr">
        <is>
          <t>◆</t>
        </is>
      </c>
      <c r="I1632" t="n">
        <v>61</v>
      </c>
      <c r="J1632" t="inlineStr">
        <is>
          <t>P61|◆</t>
        </is>
      </c>
      <c r="K1632" t="inlineStr">
        <is>
          <t>同一価格表・次頁凡例を継承</t>
        </is>
      </c>
      <c r="L1632" t="inlineStr">
        <is>
          <t>202604_LIXIL_サーモスＬ_業務用資料集_完成品価格表.pdf</t>
        </is>
      </c>
      <c r="M1632" t="inlineStr">
        <is>
          <t>v1.7：公式Source gap補完。</t>
        </is>
      </c>
      <c r="N1632" t="inlineStr">
        <is>
          <t>https://drive.google.com/file/d/1YUN-mtWYs48YBUHJk0C3vJXnhjyZFHyf/view</t>
        </is>
      </c>
    </row>
    <row r="1633">
      <c r="A1633" s="42" t="inlineStr">
        <is>
          <t>GSC-SL-001630</t>
        </is>
      </c>
      <c r="B1633" t="inlineStr">
        <is>
          <t>SZ-SL-001630</t>
        </is>
      </c>
      <c r="C1633" t="inlineStr">
        <is>
          <t>WT-SL-SHUTTER-HIKI</t>
        </is>
      </c>
      <c r="D1633" t="inlineStr">
        <is>
          <t>SP-SL-SHUT-M-STD</t>
        </is>
      </c>
      <c r="E1633" t="inlineStr">
        <is>
          <t>18022</t>
        </is>
      </c>
      <c r="F1633" t="b">
        <v>1</v>
      </c>
      <c r="G1633" t="n">
        <v>60</v>
      </c>
      <c r="H1633" t="inlineStr">
        <is>
          <t>★</t>
        </is>
      </c>
      <c r="I1633" t="n">
        <v>61</v>
      </c>
      <c r="J1633" t="inlineStr">
        <is>
          <t>P61|★</t>
        </is>
      </c>
      <c r="K1633" t="inlineStr">
        <is>
          <t>同一価格表・次頁凡例を継承</t>
        </is>
      </c>
      <c r="L1633" t="inlineStr">
        <is>
          <t>202604_LIXIL_サーモスＬ_業務用資料集_完成品価格表.pdf</t>
        </is>
      </c>
      <c r="M1633" t="inlineStr">
        <is>
          <t>v1.7：公式Source gap補完。</t>
        </is>
      </c>
      <c r="N1633" t="inlineStr">
        <is>
          <t>https://drive.google.com/file/d/1YUN-mtWYs48YBUHJk0C3vJXnhjyZFHyf/view</t>
        </is>
      </c>
    </row>
    <row r="1634">
      <c r="A1634" s="42" t="inlineStr">
        <is>
          <t>GSC-SL-001631</t>
        </is>
      </c>
      <c r="B1634" t="inlineStr">
        <is>
          <t>SZ-SL-001631</t>
        </is>
      </c>
      <c r="C1634" t="inlineStr">
        <is>
          <t>WT-SL-SHUTTER-HIKI</t>
        </is>
      </c>
      <c r="D1634" t="inlineStr">
        <is>
          <t>SP-SL-SHUT-M-STD</t>
        </is>
      </c>
      <c r="E1634" t="inlineStr">
        <is>
          <t>18622</t>
        </is>
      </c>
      <c r="F1634" t="b">
        <v>1</v>
      </c>
      <c r="G1634" t="n">
        <v>60</v>
      </c>
      <c r="H1634" t="inlineStr">
        <is>
          <t>★</t>
        </is>
      </c>
      <c r="I1634" t="n">
        <v>61</v>
      </c>
      <c r="J1634" t="inlineStr">
        <is>
          <t>P61|★</t>
        </is>
      </c>
      <c r="K1634" t="inlineStr">
        <is>
          <t>同一価格表・次頁凡例を継承</t>
        </is>
      </c>
      <c r="L1634" t="inlineStr">
        <is>
          <t>202604_LIXIL_サーモスＬ_業務用資料集_完成品価格表.pdf</t>
        </is>
      </c>
      <c r="M1634" t="inlineStr">
        <is>
          <t>v1.7：公式Source gap補完。</t>
        </is>
      </c>
      <c r="N1634" t="inlineStr">
        <is>
          <t>https://drive.google.com/file/d/1YUN-mtWYs48YBUHJk0C3vJXnhjyZFHyf/view</t>
        </is>
      </c>
    </row>
    <row r="1635">
      <c r="A1635" s="42" t="inlineStr">
        <is>
          <t>GSC-SL-001632</t>
        </is>
      </c>
      <c r="B1635" t="inlineStr">
        <is>
          <t>SZ-SL-001632</t>
        </is>
      </c>
      <c r="C1635" t="inlineStr">
        <is>
          <t>WT-SL-SHUTTER-HIKI</t>
        </is>
      </c>
      <c r="D1635" t="inlineStr">
        <is>
          <t>SP-SL-SHUT-M-STD</t>
        </is>
      </c>
      <c r="E1635" t="inlineStr">
        <is>
          <t>25122-2</t>
        </is>
      </c>
      <c r="F1635" t="b">
        <v>1</v>
      </c>
      <c r="G1635" t="n">
        <v>60</v>
      </c>
      <c r="H1635" t="inlineStr">
        <is>
          <t>◆</t>
        </is>
      </c>
      <c r="I1635" t="n">
        <v>61</v>
      </c>
      <c r="J1635" t="inlineStr">
        <is>
          <t>P61|◆</t>
        </is>
      </c>
      <c r="K1635" t="inlineStr">
        <is>
          <t>同一価格表・次頁凡例を継承</t>
        </is>
      </c>
      <c r="L1635" t="inlineStr">
        <is>
          <t>202604_LIXIL_サーモスＬ_業務用資料集_完成品価格表.pdf</t>
        </is>
      </c>
      <c r="M1635" t="inlineStr">
        <is>
          <t>v1.7：公式Source gap補完。</t>
        </is>
      </c>
      <c r="N1635" t="inlineStr">
        <is>
          <t>https://drive.google.com/file/d/1YUN-mtWYs48YBUHJk0C3vJXnhjyZFHyf/view</t>
        </is>
      </c>
    </row>
    <row r="1636">
      <c r="A1636" s="42" t="inlineStr">
        <is>
          <t>GSC-SL-001633</t>
        </is>
      </c>
      <c r="B1636" t="inlineStr">
        <is>
          <t>SZ-SL-001633</t>
        </is>
      </c>
      <c r="C1636" t="inlineStr">
        <is>
          <t>WT-SL-SHUTTER-HIKI</t>
        </is>
      </c>
      <c r="D1636" t="inlineStr">
        <is>
          <t>SP-SL-SHUT-M-STD</t>
        </is>
      </c>
      <c r="E1636" t="inlineStr">
        <is>
          <t>25118-4</t>
        </is>
      </c>
      <c r="F1636" t="b">
        <v>1</v>
      </c>
      <c r="G1636" t="n">
        <v>61</v>
      </c>
      <c r="H1636" t="inlineStr">
        <is>
          <t>無印</t>
        </is>
      </c>
      <c r="I1636" t="n">
        <v>61</v>
      </c>
      <c r="J1636" t="inlineStr">
        <is>
          <t>P61|無印</t>
        </is>
      </c>
      <c r="K1636" t="inlineStr">
        <is>
          <t>同頁凡例へ直接連動</t>
        </is>
      </c>
      <c r="L1636" t="inlineStr">
        <is>
          <t>202604_LIXIL_サーモスＬ_業務用資料集_完成品価格表.pdf</t>
        </is>
      </c>
      <c r="M1636" t="inlineStr">
        <is>
          <t>v1.7：公式Source gap補完。</t>
        </is>
      </c>
      <c r="N1636" t="inlineStr">
        <is>
          <t>https://drive.google.com/file/d/1YUN-mtWYs48YBUHJk0C3vJXnhjyZFHyf/view</t>
        </is>
      </c>
    </row>
    <row r="1637">
      <c r="A1637" s="42" t="inlineStr">
        <is>
          <t>GSC-SL-001634</t>
        </is>
      </c>
      <c r="B1637" t="inlineStr">
        <is>
          <t>SZ-SL-001634</t>
        </is>
      </c>
      <c r="C1637" t="inlineStr">
        <is>
          <t>WT-SL-SHUTTER-HIKI</t>
        </is>
      </c>
      <c r="D1637" t="inlineStr">
        <is>
          <t>SP-SL-SHUT-M-STD</t>
        </is>
      </c>
      <c r="E1637" t="inlineStr">
        <is>
          <t>25618-2</t>
        </is>
      </c>
      <c r="F1637" t="b">
        <v>1</v>
      </c>
      <c r="G1637" t="n">
        <v>61</v>
      </c>
      <c r="H1637" t="inlineStr">
        <is>
          <t>◆</t>
        </is>
      </c>
      <c r="I1637" t="n">
        <v>61</v>
      </c>
      <c r="J1637" t="inlineStr">
        <is>
          <t>P61|◆</t>
        </is>
      </c>
      <c r="K1637" t="inlineStr">
        <is>
          <t>同頁凡例へ直接連動</t>
        </is>
      </c>
      <c r="L1637" t="inlineStr">
        <is>
          <t>202604_LIXIL_サーモスＬ_業務用資料集_完成品価格表.pdf</t>
        </is>
      </c>
      <c r="M1637" t="inlineStr">
        <is>
          <t>v1.7：公式Source gap補完。</t>
        </is>
      </c>
      <c r="N1637" t="inlineStr">
        <is>
          <t>https://drive.google.com/file/d/1YUN-mtWYs48YBUHJk0C3vJXnhjyZFHyf/view</t>
        </is>
      </c>
    </row>
    <row r="1638">
      <c r="A1638" s="42" t="inlineStr">
        <is>
          <t>GSC-SL-001635</t>
        </is>
      </c>
      <c r="B1638" t="inlineStr">
        <is>
          <t>SZ-SL-001635</t>
        </is>
      </c>
      <c r="C1638" t="inlineStr">
        <is>
          <t>WT-SL-SHUTTER-HIKI</t>
        </is>
      </c>
      <c r="D1638" t="inlineStr">
        <is>
          <t>SP-SL-SHUT-M-STD</t>
        </is>
      </c>
      <c r="E1638" t="inlineStr">
        <is>
          <t>25618-4</t>
        </is>
      </c>
      <c r="F1638" t="b">
        <v>1</v>
      </c>
      <c r="G1638" t="n">
        <v>61</v>
      </c>
      <c r="H1638" t="inlineStr">
        <is>
          <t>無印</t>
        </is>
      </c>
      <c r="I1638" t="n">
        <v>61</v>
      </c>
      <c r="J1638" t="inlineStr">
        <is>
          <t>P61|無印</t>
        </is>
      </c>
      <c r="K1638" t="inlineStr">
        <is>
          <t>同頁凡例へ直接連動</t>
        </is>
      </c>
      <c r="L1638" t="inlineStr">
        <is>
          <t>202604_LIXIL_サーモスＬ_業務用資料集_完成品価格表.pdf</t>
        </is>
      </c>
      <c r="M1638" t="inlineStr">
        <is>
          <t>v1.7：公式Source gap補完。</t>
        </is>
      </c>
      <c r="N1638" t="inlineStr">
        <is>
          <t>https://drive.google.com/file/d/1YUN-mtWYs48YBUHJk0C3vJXnhjyZFHyf/view</t>
        </is>
      </c>
    </row>
    <row r="1639">
      <c r="A1639" s="42" t="inlineStr">
        <is>
          <t>GSC-SL-001636</t>
        </is>
      </c>
      <c r="B1639" t="inlineStr">
        <is>
          <t>SZ-SL-001636</t>
        </is>
      </c>
      <c r="C1639" t="inlineStr">
        <is>
          <t>WT-SL-SHUTTER-HIKI</t>
        </is>
      </c>
      <c r="D1639" t="inlineStr">
        <is>
          <t>SP-SL-SHUT-M-STD</t>
        </is>
      </c>
      <c r="E1639" t="inlineStr">
        <is>
          <t>34718</t>
        </is>
      </c>
      <c r="F1639" t="b">
        <v>1</v>
      </c>
      <c r="G1639" t="n">
        <v>61</v>
      </c>
      <c r="H1639" t="inlineStr">
        <is>
          <t>無印</t>
        </is>
      </c>
      <c r="I1639" t="n">
        <v>61</v>
      </c>
      <c r="J1639" t="inlineStr">
        <is>
          <t>P61|無印</t>
        </is>
      </c>
      <c r="K1639" t="inlineStr">
        <is>
          <t>同頁凡例へ直接連動</t>
        </is>
      </c>
      <c r="L1639" t="inlineStr">
        <is>
          <t>202604_LIXIL_サーモスＬ_業務用資料集_完成品価格表.pdf</t>
        </is>
      </c>
      <c r="M1639" t="inlineStr">
        <is>
          <t>v1.7：公式Source gap補完。</t>
        </is>
      </c>
      <c r="N1639" t="inlineStr">
        <is>
          <t>https://drive.google.com/file/d/1YUN-mtWYs48YBUHJk0C3vJXnhjyZFHyf/view</t>
        </is>
      </c>
    </row>
    <row r="1640">
      <c r="A1640" s="42" t="inlineStr">
        <is>
          <t>GSC-SL-001637</t>
        </is>
      </c>
      <c r="B1640" t="inlineStr">
        <is>
          <t>SZ-SL-001637</t>
        </is>
      </c>
      <c r="C1640" t="inlineStr">
        <is>
          <t>WT-SL-SHUTTER-HIKI</t>
        </is>
      </c>
      <c r="D1640" t="inlineStr">
        <is>
          <t>SP-SL-SHUT-M-STD</t>
        </is>
      </c>
      <c r="E1640" t="inlineStr">
        <is>
          <t>25120-4</t>
        </is>
      </c>
      <c r="F1640" t="b">
        <v>1</v>
      </c>
      <c r="G1640" t="n">
        <v>61</v>
      </c>
      <c r="H1640" t="inlineStr">
        <is>
          <t>無印</t>
        </is>
      </c>
      <c r="I1640" t="n">
        <v>61</v>
      </c>
      <c r="J1640" t="inlineStr">
        <is>
          <t>P61|無印</t>
        </is>
      </c>
      <c r="K1640" t="inlineStr">
        <is>
          <t>同頁凡例へ直接連動</t>
        </is>
      </c>
      <c r="L1640" t="inlineStr">
        <is>
          <t>202604_LIXIL_サーモスＬ_業務用資料集_完成品価格表.pdf</t>
        </is>
      </c>
      <c r="M1640" t="inlineStr">
        <is>
          <t>v1.7：公式Source gap補完。</t>
        </is>
      </c>
      <c r="N1640" t="inlineStr">
        <is>
          <t>https://drive.google.com/file/d/1YUN-mtWYs48YBUHJk0C3vJXnhjyZFHyf/view</t>
        </is>
      </c>
    </row>
    <row r="1641">
      <c r="A1641" s="42" t="inlineStr">
        <is>
          <t>GSC-SL-001638</t>
        </is>
      </c>
      <c r="B1641" t="inlineStr">
        <is>
          <t>SZ-SL-001638</t>
        </is>
      </c>
      <c r="C1641" t="inlineStr">
        <is>
          <t>WT-SL-SHUTTER-HIKI</t>
        </is>
      </c>
      <c r="D1641" t="inlineStr">
        <is>
          <t>SP-SL-SHUT-M-STD</t>
        </is>
      </c>
      <c r="E1641" t="inlineStr">
        <is>
          <t>25620-2</t>
        </is>
      </c>
      <c r="F1641" t="b">
        <v>1</v>
      </c>
      <c r="G1641" t="n">
        <v>61</v>
      </c>
      <c r="H1641" t="inlineStr">
        <is>
          <t>◆</t>
        </is>
      </c>
      <c r="I1641" t="n">
        <v>61</v>
      </c>
      <c r="J1641" t="inlineStr">
        <is>
          <t>P61|◆</t>
        </is>
      </c>
      <c r="K1641" t="inlineStr">
        <is>
          <t>同頁凡例へ直接連動</t>
        </is>
      </c>
      <c r="L1641" t="inlineStr">
        <is>
          <t>202604_LIXIL_サーモスＬ_業務用資料集_完成品価格表.pdf</t>
        </is>
      </c>
      <c r="M1641" t="inlineStr">
        <is>
          <t>v1.7：公式Source gap補完。</t>
        </is>
      </c>
      <c r="N1641" t="inlineStr">
        <is>
          <t>https://drive.google.com/file/d/1YUN-mtWYs48YBUHJk0C3vJXnhjyZFHyf/view</t>
        </is>
      </c>
    </row>
    <row r="1642">
      <c r="A1642" s="42" t="inlineStr">
        <is>
          <t>GSC-SL-001639</t>
        </is>
      </c>
      <c r="B1642" t="inlineStr">
        <is>
          <t>SZ-SL-001639</t>
        </is>
      </c>
      <c r="C1642" t="inlineStr">
        <is>
          <t>WT-SL-SHUTTER-HIKI</t>
        </is>
      </c>
      <c r="D1642" t="inlineStr">
        <is>
          <t>SP-SL-SHUT-M-STD</t>
        </is>
      </c>
      <c r="E1642" t="inlineStr">
        <is>
          <t>25620-4</t>
        </is>
      </c>
      <c r="F1642" t="b">
        <v>1</v>
      </c>
      <c r="G1642" t="n">
        <v>61</v>
      </c>
      <c r="H1642" t="inlineStr">
        <is>
          <t>無印</t>
        </is>
      </c>
      <c r="I1642" t="n">
        <v>61</v>
      </c>
      <c r="J1642" t="inlineStr">
        <is>
          <t>P61|無印</t>
        </is>
      </c>
      <c r="K1642" t="inlineStr">
        <is>
          <t>同頁凡例へ直接連動</t>
        </is>
      </c>
      <c r="L1642" t="inlineStr">
        <is>
          <t>202604_LIXIL_サーモスＬ_業務用資料集_完成品価格表.pdf</t>
        </is>
      </c>
      <c r="M1642" t="inlineStr">
        <is>
          <t>v1.7：公式Source gap補完。</t>
        </is>
      </c>
      <c r="N1642" t="inlineStr">
        <is>
          <t>https://drive.google.com/file/d/1YUN-mtWYs48YBUHJk0C3vJXnhjyZFHyf/view</t>
        </is>
      </c>
    </row>
    <row r="1643">
      <c r="A1643" s="42" t="inlineStr">
        <is>
          <t>GSC-SL-001640</t>
        </is>
      </c>
      <c r="B1643" t="inlineStr">
        <is>
          <t>SZ-SL-001640</t>
        </is>
      </c>
      <c r="C1643" t="inlineStr">
        <is>
          <t>WT-SL-SHUTTER-HIKI</t>
        </is>
      </c>
      <c r="D1643" t="inlineStr">
        <is>
          <t>SP-SL-SHUT-M-STD</t>
        </is>
      </c>
      <c r="E1643" t="inlineStr">
        <is>
          <t>34720</t>
        </is>
      </c>
      <c r="F1643" t="b">
        <v>1</v>
      </c>
      <c r="G1643" t="n">
        <v>61</v>
      </c>
      <c r="H1643" t="inlineStr">
        <is>
          <t>★</t>
        </is>
      </c>
      <c r="I1643" t="n">
        <v>61</v>
      </c>
      <c r="J1643" t="inlineStr">
        <is>
          <t>P61|★</t>
        </is>
      </c>
      <c r="K1643" t="inlineStr">
        <is>
          <t>同頁凡例へ直接連動</t>
        </is>
      </c>
      <c r="L1643" t="inlineStr">
        <is>
          <t>202604_LIXIL_サーモスＬ_業務用資料集_完成品価格表.pdf</t>
        </is>
      </c>
      <c r="M1643" t="inlineStr">
        <is>
          <t>v1.7：公式Source gap補完。</t>
        </is>
      </c>
      <c r="N1643" t="inlineStr">
        <is>
          <t>https://drive.google.com/file/d/1YUN-mtWYs48YBUHJk0C3vJXnhjyZFHyf/view</t>
        </is>
      </c>
    </row>
    <row r="1644">
      <c r="A1644" s="42" t="inlineStr">
        <is>
          <t>GSC-SL-001641</t>
        </is>
      </c>
      <c r="B1644" t="inlineStr">
        <is>
          <t>SZ-SL-001641</t>
        </is>
      </c>
      <c r="C1644" t="inlineStr">
        <is>
          <t>WT-SL-SHUTTER-HIKI</t>
        </is>
      </c>
      <c r="D1644" t="inlineStr">
        <is>
          <t>SP-SL-SHUT-M-STD</t>
        </is>
      </c>
      <c r="E1644" t="inlineStr">
        <is>
          <t>25122-4</t>
        </is>
      </c>
      <c r="F1644" t="b">
        <v>1</v>
      </c>
      <c r="G1644" t="n">
        <v>61</v>
      </c>
      <c r="H1644" t="inlineStr">
        <is>
          <t>★</t>
        </is>
      </c>
      <c r="I1644" t="n">
        <v>61</v>
      </c>
      <c r="J1644" t="inlineStr">
        <is>
          <t>P61|★</t>
        </is>
      </c>
      <c r="K1644" t="inlineStr">
        <is>
          <t>同頁凡例へ直接連動</t>
        </is>
      </c>
      <c r="L1644" t="inlineStr">
        <is>
          <t>202604_LIXIL_サーモスＬ_業務用資料集_完成品価格表.pdf</t>
        </is>
      </c>
      <c r="M1644" t="inlineStr">
        <is>
          <t>v1.7：公式Source gap補完。</t>
        </is>
      </c>
      <c r="N1644" t="inlineStr">
        <is>
          <t>https://drive.google.com/file/d/1YUN-mtWYs48YBUHJk0C3vJXnhjyZFHyf/view</t>
        </is>
      </c>
    </row>
    <row r="1645">
      <c r="A1645" s="42" t="inlineStr">
        <is>
          <t>GSC-SL-001642</t>
        </is>
      </c>
      <c r="B1645" t="inlineStr">
        <is>
          <t>SZ-SL-001642</t>
        </is>
      </c>
      <c r="C1645" t="inlineStr">
        <is>
          <t>WT-SL-SHUTTER-HIKI</t>
        </is>
      </c>
      <c r="D1645" t="inlineStr">
        <is>
          <t>SP-SL-SHUT-M-STD</t>
        </is>
      </c>
      <c r="E1645" t="inlineStr">
        <is>
          <t>25622-2</t>
        </is>
      </c>
      <c r="F1645" t="b">
        <v>1</v>
      </c>
      <c r="G1645" t="n">
        <v>61</v>
      </c>
      <c r="H1645" t="inlineStr">
        <is>
          <t>◆</t>
        </is>
      </c>
      <c r="I1645" t="n">
        <v>61</v>
      </c>
      <c r="J1645" t="inlineStr">
        <is>
          <t>P61|◆</t>
        </is>
      </c>
      <c r="K1645" t="inlineStr">
        <is>
          <t>同頁凡例へ直接連動</t>
        </is>
      </c>
      <c r="L1645" t="inlineStr">
        <is>
          <t>202604_LIXIL_サーモスＬ_業務用資料集_完成品価格表.pdf</t>
        </is>
      </c>
      <c r="M1645" t="inlineStr">
        <is>
          <t>v1.7：公式Source gap補完。</t>
        </is>
      </c>
      <c r="N1645" t="inlineStr">
        <is>
          <t>https://drive.google.com/file/d/1YUN-mtWYs48YBUHJk0C3vJXnhjyZFHyf/view</t>
        </is>
      </c>
    </row>
    <row r="1646">
      <c r="A1646" s="42" t="inlineStr">
        <is>
          <t>GSC-SL-001643</t>
        </is>
      </c>
      <c r="B1646" t="inlineStr">
        <is>
          <t>SZ-SL-001643</t>
        </is>
      </c>
      <c r="C1646" t="inlineStr">
        <is>
          <t>WT-SL-SHUTTER-HIKI</t>
        </is>
      </c>
      <c r="D1646" t="inlineStr">
        <is>
          <t>SP-SL-SHUT-M-STD</t>
        </is>
      </c>
      <c r="E1646" t="inlineStr">
        <is>
          <t>25622-4</t>
        </is>
      </c>
      <c r="F1646" t="b">
        <v>1</v>
      </c>
      <c r="G1646" t="n">
        <v>61</v>
      </c>
      <c r="H1646" t="inlineStr">
        <is>
          <t>★</t>
        </is>
      </c>
      <c r="I1646" t="n">
        <v>61</v>
      </c>
      <c r="J1646" t="inlineStr">
        <is>
          <t>P61|★</t>
        </is>
      </c>
      <c r="K1646" t="inlineStr">
        <is>
          <t>同頁凡例へ直接連動</t>
        </is>
      </c>
      <c r="L1646" t="inlineStr">
        <is>
          <t>202604_LIXIL_サーモスＬ_業務用資料集_完成品価格表.pdf</t>
        </is>
      </c>
      <c r="M1646" t="inlineStr">
        <is>
          <t>v1.7：公式Source gap補完。</t>
        </is>
      </c>
      <c r="N1646" t="inlineStr">
        <is>
          <t>https://drive.google.com/file/d/1YUN-mtWYs48YBUHJk0C3vJXnhjyZFHyf/view</t>
        </is>
      </c>
    </row>
    <row r="1647">
      <c r="A1647" s="42" t="inlineStr">
        <is>
          <t>GSC-SL-001644</t>
        </is>
      </c>
      <c r="B1647" t="inlineStr">
        <is>
          <t>SZ-SL-001644</t>
        </is>
      </c>
      <c r="C1647" t="inlineStr">
        <is>
          <t>WT-SL-SHUTTER-HIKI</t>
        </is>
      </c>
      <c r="D1647" t="inlineStr">
        <is>
          <t>SP-SL-SHUT-M-STD</t>
        </is>
      </c>
      <c r="E1647" t="inlineStr">
        <is>
          <t>34722</t>
        </is>
      </c>
      <c r="F1647" t="b">
        <v>1</v>
      </c>
      <c r="G1647" t="n">
        <v>61</v>
      </c>
      <c r="H1647" t="inlineStr">
        <is>
          <t>★</t>
        </is>
      </c>
      <c r="I1647" t="n">
        <v>61</v>
      </c>
      <c r="J1647" t="inlineStr">
        <is>
          <t>P61|★</t>
        </is>
      </c>
      <c r="K1647" t="inlineStr">
        <is>
          <t>同頁凡例へ直接連動</t>
        </is>
      </c>
      <c r="L1647" t="inlineStr">
        <is>
          <t>202604_LIXIL_サーモスＬ_業務用資料集_完成品価格表.pdf</t>
        </is>
      </c>
      <c r="M1647" t="inlineStr">
        <is>
          <t>v1.7：公式Source gap補完。</t>
        </is>
      </c>
      <c r="N1647" t="inlineStr">
        <is>
          <t>https://drive.google.com/file/d/1YUN-mtWYs48YBUHJk0C3vJXnhjyZFHyf/view</t>
        </is>
      </c>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2:N2"/>
    <mergeCell ref="A1:N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K1700"/>
  <sheetViews>
    <sheetView workbookViewId="0">
      <selection activeCell="A1" sqref="A1"/>
    </sheetView>
  </sheetViews>
  <sheetFormatPr baseColWidth="8" defaultRowHeight="15"/>
  <cols>
    <col width="16" customWidth="1" style="51" min="1" max="1"/>
    <col width="12" customWidth="1" style="51" min="2" max="2"/>
    <col width="10" customWidth="1" style="51" min="3" max="3"/>
    <col width="18" customWidth="1" style="51" min="4" max="4"/>
    <col width="16" customWidth="1" style="51" min="5" max="5"/>
    <col width="30" customWidth="1" style="51" min="6" max="6"/>
    <col width="30" customWidth="1" style="51" min="7" max="7"/>
    <col width="8" customWidth="1" style="51" min="8" max="8"/>
    <col width="70" customWidth="1" style="51" min="9" max="9"/>
    <col width="38" customWidth="1" style="51" min="10" max="10"/>
    <col width="46" customWidth="1" style="51" min="11" max="11"/>
  </cols>
  <sheetData>
    <row r="1">
      <c r="A1" s="232" t="inlineStr">
        <is>
          <t>価格表ガラス記号凡例｜ページ×記号｜サーモスL v0.5</t>
        </is>
      </c>
      <c r="B1" s="41" t="n"/>
      <c r="C1" s="41" t="n"/>
      <c r="D1" s="41" t="n"/>
      <c r="E1" s="41" t="n"/>
      <c r="F1" s="41" t="n"/>
      <c r="G1" s="41" t="n"/>
      <c r="H1" s="41" t="n"/>
      <c r="I1" s="41" t="n"/>
      <c r="J1" s="41" t="n"/>
      <c r="K1" s="41" t="n"/>
    </row>
    <row r="2">
      <c r="A2" s="233" t="inlineStr">
        <is>
          <t>価格表下部の凡例をページ単位で保持。同じ記号でも透明/型・耐風圧等級・障子構成で意味が変わるため、原本凡例をページ×記号で管理。</t>
        </is>
      </c>
      <c r="B2" s="41" t="n"/>
      <c r="C2" s="41" t="n"/>
      <c r="D2" s="41" t="n"/>
      <c r="E2" s="41" t="n"/>
      <c r="F2" s="41" t="n"/>
      <c r="G2" s="41" t="n"/>
      <c r="H2" s="41" t="n"/>
      <c r="I2" s="41" t="n"/>
      <c r="J2" s="41" t="n"/>
      <c r="K2" s="41" t="n"/>
    </row>
    <row r="3">
      <c r="A3" s="108" t="inlineStr">
        <is>
          <t>legend_id</t>
        </is>
      </c>
      <c r="B3" s="108" t="inlineStr">
        <is>
          <t>誌面ページ</t>
        </is>
      </c>
      <c r="C3" s="108" t="inlineStr">
        <is>
          <t>記号</t>
        </is>
      </c>
      <c r="D3" s="108" t="inlineStr">
        <is>
          <t>凡例キー</t>
        </is>
      </c>
      <c r="E3" s="108" t="inlineStr">
        <is>
          <t>透明/型等</t>
        </is>
      </c>
      <c r="F3" s="108" t="inlineStr">
        <is>
          <t>耐風圧/構成</t>
        </is>
      </c>
      <c r="G3" s="108" t="inlineStr">
        <is>
          <t>解析状態</t>
        </is>
      </c>
      <c r="H3" s="108" t="inlineStr">
        <is>
          <t>有効</t>
        </is>
      </c>
      <c r="I3" s="108" t="inlineStr">
        <is>
          <t>凡例原文</t>
        </is>
      </c>
      <c r="J3" s="108" t="inlineStr">
        <is>
          <t>出典</t>
        </is>
      </c>
      <c r="K3" s="108" t="inlineStr">
        <is>
          <t>一次資料URL</t>
        </is>
      </c>
    </row>
    <row r="4">
      <c r="A4" s="42" t="inlineStr">
        <is>
          <t>GLG-SL-0001</t>
        </is>
      </c>
      <c r="B4" t="n">
        <v>6</v>
      </c>
      <c r="C4" t="inlineStr">
        <is>
          <t>無印</t>
        </is>
      </c>
      <c r="D4" t="inlineStr">
        <is>
          <t>P6|無印</t>
        </is>
      </c>
      <c r="E4" t="inlineStr">
        <is>
          <t>透明/型</t>
        </is>
      </c>
      <c r="F4" t="inlineStr">
        <is>
          <t>S-3（160）等級</t>
        </is>
      </c>
      <c r="G4" t="inlineStr">
        <is>
          <t>原本凡例保持・列位置は原本参照</t>
        </is>
      </c>
      <c r="H4" t="b">
        <v>1</v>
      </c>
      <c r="I4" t="inlineStr">
        <is>
          <t>価格表は以下の条件で算出しています。 / 透明          型 / S-3（160）等級 S-3（160）等級 / 3-A-3     3-A-型4</t>
        </is>
      </c>
      <c r="J4" t="inlineStr">
        <is>
          <t>202604_LIXIL_サーモスＬ_業務用資料集_完成品価格表.pdf</t>
        </is>
      </c>
      <c r="K4" t="inlineStr">
        <is>
          <t>https://drive.google.com/file/d/1YUN-mtWYs48YBUHJk0C3vJXnhjyZFHyf/view</t>
        </is>
      </c>
    </row>
    <row r="5">
      <c r="A5" s="42" t="inlineStr">
        <is>
          <t>GLG-SL-0002</t>
        </is>
      </c>
      <c r="B5" t="n">
        <v>8</v>
      </c>
      <c r="C5" t="inlineStr">
        <is>
          <t>無印</t>
        </is>
      </c>
      <c r="D5" t="inlineStr">
        <is>
          <t>P8|無印</t>
        </is>
      </c>
      <c r="E5" t="inlineStr">
        <is>
          <t>透明/型</t>
        </is>
      </c>
      <c r="F5" t="inlineStr">
        <is>
          <t>S-3（160）等級/S-2（120）等級</t>
        </is>
      </c>
      <c r="G5" t="inlineStr">
        <is>
          <t>原本凡例保持・列位置は原本参照</t>
        </is>
      </c>
      <c r="H5" t="b">
        <v>1</v>
      </c>
      <c r="I5" t="inlineStr">
        <is>
          <t>価格表は以下の条件で算出しています。 / 透明                    型 / S-3（160）等級 S-2（120）等級 S-3（160）等級 S-2（120）等級 / 無印                  3-A-3                3-A-型4 / ○                             3-A-3                3-A-型4</t>
        </is>
      </c>
      <c r="J5" t="inlineStr">
        <is>
          <t>202604_LIXIL_サーモスＬ_業務用資料集_完成品価格表.pdf</t>
        </is>
      </c>
      <c r="K5" t="inlineStr">
        <is>
          <t>https://drive.google.com/file/d/1YUN-mtWYs48YBUHJk0C3vJXnhjyZFHyf/view</t>
        </is>
      </c>
    </row>
    <row r="6">
      <c r="A6" s="42" t="inlineStr">
        <is>
          <t>GLG-SL-0003</t>
        </is>
      </c>
      <c r="B6" t="n">
        <v>8</v>
      </c>
      <c r="C6" t="inlineStr">
        <is>
          <t>○</t>
        </is>
      </c>
      <c r="D6" t="inlineStr">
        <is>
          <t>P8|○</t>
        </is>
      </c>
      <c r="E6" t="inlineStr">
        <is>
          <t>透明/型</t>
        </is>
      </c>
      <c r="F6" t="inlineStr">
        <is>
          <t>S-3（160）等級/S-2（120）等級</t>
        </is>
      </c>
      <c r="G6" t="inlineStr">
        <is>
          <t>原本凡例保持・列位置は原本参照</t>
        </is>
      </c>
      <c r="H6" t="b">
        <v>1</v>
      </c>
      <c r="I6" t="inlineStr">
        <is>
          <t>価格表は以下の条件で算出しています。 / 透明                    型 / S-3（160）等級 S-2（120）等級 S-3（160）等級 S-2（120）等級 / 無印                  3-A-3                3-A-型4 / ○                             3-A-3                3-A-型4</t>
        </is>
      </c>
      <c r="J6" t="inlineStr">
        <is>
          <t>202604_LIXIL_サーモスＬ_業務用資料集_完成品価格表.pdf</t>
        </is>
      </c>
      <c r="K6" t="inlineStr">
        <is>
          <t>https://drive.google.com/file/d/1YUN-mtWYs48YBUHJk0C3vJXnhjyZFHyf/view</t>
        </is>
      </c>
    </row>
    <row r="7">
      <c r="A7" s="42" t="inlineStr">
        <is>
          <t>GLG-SL-0004</t>
        </is>
      </c>
      <c r="B7" t="n">
        <v>10</v>
      </c>
      <c r="C7" t="inlineStr">
        <is>
          <t>無印</t>
        </is>
      </c>
      <c r="D7" t="inlineStr">
        <is>
          <t>P10|無印</t>
        </is>
      </c>
      <c r="E7" t="inlineStr">
        <is>
          <t>透明/型</t>
        </is>
      </c>
      <c r="F7" t="inlineStr">
        <is>
          <t>S-3（160）等級/S-2（120）等級</t>
        </is>
      </c>
      <c r="G7" t="inlineStr">
        <is>
          <t>原本凡例保持・列位置は原本参照</t>
        </is>
      </c>
      <c r="H7" t="b">
        <v>1</v>
      </c>
      <c r="I7" t="inlineStr">
        <is>
          <t>価格表は以下の条件で算出しています。 / 透明                               型 / S-3（160）等級 S-2（120）等級            S-3（160）等級 S-2（120）等級 / 無印                  3-A-3                           3-A-型4 / ○                             3-A-3                           3-A-型4</t>
        </is>
      </c>
      <c r="J7" t="inlineStr">
        <is>
          <t>202604_LIXIL_サーモスＬ_業務用資料集_完成品価格表.pdf</t>
        </is>
      </c>
      <c r="K7" t="inlineStr">
        <is>
          <t>https://drive.google.com/file/d/1YUN-mtWYs48YBUHJk0C3vJXnhjyZFHyf/view</t>
        </is>
      </c>
    </row>
    <row r="8">
      <c r="A8" s="42" t="inlineStr">
        <is>
          <t>GLG-SL-0005</t>
        </is>
      </c>
      <c r="B8" t="n">
        <v>10</v>
      </c>
      <c r="C8" t="inlineStr">
        <is>
          <t>○</t>
        </is>
      </c>
      <c r="D8" t="inlineStr">
        <is>
          <t>P10|○</t>
        </is>
      </c>
      <c r="E8" t="inlineStr">
        <is>
          <t>透明/型</t>
        </is>
      </c>
      <c r="F8" t="inlineStr">
        <is>
          <t>S-3（160）等級/S-2（120）等級</t>
        </is>
      </c>
      <c r="G8" t="inlineStr">
        <is>
          <t>原本凡例保持・列位置は原本参照</t>
        </is>
      </c>
      <c r="H8" t="b">
        <v>1</v>
      </c>
      <c r="I8" t="inlineStr">
        <is>
          <t>価格表は以下の条件で算出しています。 / 透明                               型 / S-3（160）等級 S-2（120）等級            S-3（160）等級 S-2（120）等級 / 無印                  3-A-3                           3-A-型4 / ○                             3-A-3                           3-A-型4</t>
        </is>
      </c>
      <c r="J8" t="inlineStr">
        <is>
          <t>202604_LIXIL_サーモスＬ_業務用資料集_完成品価格表.pdf</t>
        </is>
      </c>
      <c r="K8" t="inlineStr">
        <is>
          <t>https://drive.google.com/file/d/1YUN-mtWYs48YBUHJk0C3vJXnhjyZFHyf/view</t>
        </is>
      </c>
    </row>
    <row r="9">
      <c r="A9" s="42" t="inlineStr">
        <is>
          <t>GLG-SL-0006</t>
        </is>
      </c>
      <c r="B9" t="n">
        <v>12</v>
      </c>
      <c r="C9" t="inlineStr">
        <is>
          <t>無印</t>
        </is>
      </c>
      <c r="D9" t="inlineStr">
        <is>
          <t>P12|無印</t>
        </is>
      </c>
      <c r="E9" t="inlineStr">
        <is>
          <t>透明/型</t>
        </is>
      </c>
      <c r="F9" t="inlineStr">
        <is>
          <t>S-3（160）等級/S-2（120）等級/S-1（80）等級</t>
        </is>
      </c>
      <c r="G9" t="inlineStr">
        <is>
          <t>原本凡例保持・列位置は原本参照</t>
        </is>
      </c>
      <c r="H9" t="b">
        <v>1</v>
      </c>
      <c r="I9" t="inlineStr">
        <is>
          <t>価格表は以下の条件で算出しています。 / 透明                                     型 / S-3（160）等級 S-2（120）等級            S-3（160）等級 S-2（120）等級             S-1（80）等級 / 無印                  3-A-3                           3-A-型4 / ★                   3-A-3                                      3-A-型4 / ○                              3-A-3                           3-A-型4 / ☆                              3-A-3                           4-A-型4 / ●                              3-A-3                                                   3-A-型4</t>
        </is>
      </c>
      <c r="J9" t="inlineStr">
        <is>
          <t>202604_LIXIL_サーモスＬ_業務用資料集_完成品価格表.pdf</t>
        </is>
      </c>
      <c r="K9" t="inlineStr">
        <is>
          <t>https://drive.google.com/file/d/1YUN-mtWYs48YBUHJk0C3vJXnhjyZFHyf/view</t>
        </is>
      </c>
    </row>
    <row r="10">
      <c r="A10" s="42" t="inlineStr">
        <is>
          <t>GLG-SL-0007</t>
        </is>
      </c>
      <c r="B10" t="n">
        <v>12</v>
      </c>
      <c r="C10" t="inlineStr">
        <is>
          <t>★</t>
        </is>
      </c>
      <c r="D10" t="inlineStr">
        <is>
          <t>P12|★</t>
        </is>
      </c>
      <c r="E10" t="inlineStr">
        <is>
          <t>透明/型</t>
        </is>
      </c>
      <c r="F10" t="inlineStr">
        <is>
          <t>S-3（160）等級/S-2（120）等級/S-1（80）等級</t>
        </is>
      </c>
      <c r="G10" t="inlineStr">
        <is>
          <t>原本凡例保持・列位置は原本参照</t>
        </is>
      </c>
      <c r="H10" t="b">
        <v>1</v>
      </c>
      <c r="I10" t="inlineStr">
        <is>
          <t>価格表は以下の条件で算出しています。 / 透明                                     型 / S-3（160）等級 S-2（120）等級            S-3（160）等級 S-2（120）等級             S-1（80）等級 / 無印                  3-A-3                           3-A-型4 / ★                   3-A-3                                      3-A-型4 / ○                              3-A-3                           3-A-型4 / ☆                              3-A-3                           4-A-型4 / ●                              3-A-3                                                   3-A-型4</t>
        </is>
      </c>
      <c r="J10" t="inlineStr">
        <is>
          <t>202604_LIXIL_サーモスＬ_業務用資料集_完成品価格表.pdf</t>
        </is>
      </c>
      <c r="K10" t="inlineStr">
        <is>
          <t>https://drive.google.com/file/d/1YUN-mtWYs48YBUHJk0C3vJXnhjyZFHyf/view</t>
        </is>
      </c>
    </row>
    <row r="11">
      <c r="A11" s="42" t="inlineStr">
        <is>
          <t>GLG-SL-0008</t>
        </is>
      </c>
      <c r="B11" t="n">
        <v>12</v>
      </c>
      <c r="C11" t="inlineStr">
        <is>
          <t>☆</t>
        </is>
      </c>
      <c r="D11" t="inlineStr">
        <is>
          <t>P12|☆</t>
        </is>
      </c>
      <c r="E11" t="inlineStr">
        <is>
          <t>透明/型</t>
        </is>
      </c>
      <c r="F11" t="inlineStr">
        <is>
          <t>S-3（160）等級/S-2（120）等級/S-1（80）等級</t>
        </is>
      </c>
      <c r="G11" t="inlineStr">
        <is>
          <t>原本凡例保持・列位置は原本参照</t>
        </is>
      </c>
      <c r="H11" t="b">
        <v>1</v>
      </c>
      <c r="I11" t="inlineStr">
        <is>
          <t>価格表は以下の条件で算出しています。 / 透明                                     型 / S-3（160）等級 S-2（120）等級            S-3（160）等級 S-2（120）等級             S-1（80）等級 / 無印                  3-A-3                           3-A-型4 / ★                   3-A-3                                      3-A-型4 / ○                              3-A-3                           3-A-型4 / ☆                              3-A-3                           4-A-型4 / ●                              3-A-3                                                   3-A-型4</t>
        </is>
      </c>
      <c r="J11" t="inlineStr">
        <is>
          <t>202604_LIXIL_サーモスＬ_業務用資料集_完成品価格表.pdf</t>
        </is>
      </c>
      <c r="K11" t="inlineStr">
        <is>
          <t>https://drive.google.com/file/d/1YUN-mtWYs48YBUHJk0C3vJXnhjyZFHyf/view</t>
        </is>
      </c>
    </row>
    <row r="12">
      <c r="A12" s="42" t="inlineStr">
        <is>
          <t>GLG-SL-0009</t>
        </is>
      </c>
      <c r="B12" t="n">
        <v>12</v>
      </c>
      <c r="C12" t="inlineStr">
        <is>
          <t>○</t>
        </is>
      </c>
      <c r="D12" t="inlineStr">
        <is>
          <t>P12|○</t>
        </is>
      </c>
      <c r="E12" t="inlineStr">
        <is>
          <t>透明/型</t>
        </is>
      </c>
      <c r="F12" t="inlineStr">
        <is>
          <t>S-3（160）等級/S-2（120）等級/S-1（80）等級</t>
        </is>
      </c>
      <c r="G12" t="inlineStr">
        <is>
          <t>原本凡例保持・列位置は原本参照</t>
        </is>
      </c>
      <c r="H12" t="b">
        <v>1</v>
      </c>
      <c r="I12" t="inlineStr">
        <is>
          <t>価格表は以下の条件で算出しています。 / 透明                                     型 / S-3（160）等級 S-2（120）等級            S-3（160）等級 S-2（120）等級             S-1（80）等級 / 無印                  3-A-3                           3-A-型4 / ★                   3-A-3                                      3-A-型4 / ○                              3-A-3                           3-A-型4 / ☆                              3-A-3                           4-A-型4 / ●                              3-A-3                                                   3-A-型4</t>
        </is>
      </c>
      <c r="J12" t="inlineStr">
        <is>
          <t>202604_LIXIL_サーモスＬ_業務用資料集_完成品価格表.pdf</t>
        </is>
      </c>
      <c r="K12" t="inlineStr">
        <is>
          <t>https://drive.google.com/file/d/1YUN-mtWYs48YBUHJk0C3vJXnhjyZFHyf/view</t>
        </is>
      </c>
    </row>
    <row r="13">
      <c r="A13" s="42" t="inlineStr">
        <is>
          <t>GLG-SL-0010</t>
        </is>
      </c>
      <c r="B13" t="n">
        <v>12</v>
      </c>
      <c r="C13" t="inlineStr">
        <is>
          <t>●</t>
        </is>
      </c>
      <c r="D13" t="inlineStr">
        <is>
          <t>P12|●</t>
        </is>
      </c>
      <c r="E13" t="inlineStr">
        <is>
          <t>透明/型</t>
        </is>
      </c>
      <c r="F13" t="inlineStr">
        <is>
          <t>S-3（160）等級/S-2（120）等級/S-1（80）等級</t>
        </is>
      </c>
      <c r="G13" t="inlineStr">
        <is>
          <t>原本凡例保持・列位置は原本参照</t>
        </is>
      </c>
      <c r="H13" t="b">
        <v>1</v>
      </c>
      <c r="I13" t="inlineStr">
        <is>
          <t>価格表は以下の条件で算出しています。 / 透明                                     型 / S-3（160）等級 S-2（120）等級            S-3（160）等級 S-2（120）等級             S-1（80）等級 / 無印                  3-A-3                           3-A-型4 / ★                   3-A-3                                      3-A-型4 / ○                              3-A-3                           3-A-型4 / ☆                              3-A-3                           4-A-型4 / ●                              3-A-3                                                   3-A-型4</t>
        </is>
      </c>
      <c r="J13" t="inlineStr">
        <is>
          <t>202604_LIXIL_サーモスＬ_業務用資料集_完成品価格表.pdf</t>
        </is>
      </c>
      <c r="K13" t="inlineStr">
        <is>
          <t>https://drive.google.com/file/d/1YUN-mtWYs48YBUHJk0C3vJXnhjyZFHyf/view</t>
        </is>
      </c>
    </row>
    <row r="14">
      <c r="A14" s="42" t="inlineStr">
        <is>
          <t>GLG-SL-0011</t>
        </is>
      </c>
      <c r="B14" t="n">
        <v>15</v>
      </c>
      <c r="C14" t="inlineStr">
        <is>
          <t>無印</t>
        </is>
      </c>
      <c r="D14" t="inlineStr">
        <is>
          <t>P15|無印</t>
        </is>
      </c>
      <c r="E14" t="inlineStr">
        <is>
          <t>透明</t>
        </is>
      </c>
      <c r="F14" t="inlineStr">
        <is>
          <t>S-3（160）等級/S-2（120）等級</t>
        </is>
      </c>
      <c r="G14" t="inlineStr">
        <is>
          <t>原本凡例保持・列位置は原本参照</t>
        </is>
      </c>
      <c r="H14" t="b">
        <v>1</v>
      </c>
      <c r="I14" t="inlineStr">
        <is>
          <t>＿＿       ＿＿       ＿＿       ＿＿       ＿＿       ＿＿               価格表は以下の条件で算出しています。 / ¥182,600 ¥189,600 ¥183,800 ¥190,800 ¥185,200 ¥192,200                                   透明 / ¥196,600 ¥204,100 ¥198,000 ¥205,500 ¥199,200 ¥206,700                         S-3（160）等級 S-2（120）等級 / ＿＿       ＿＿       ＿＿       ＿＿       ＿＿       ＿＿                 無印            3-A-3 / 3-A-3 / ¥15,900    ¥16,700    ¥15,900    ¥16,700    ¥15,900    ¥16,700      △※1          3-A-3 / ¥23,800    ¥25,100    ¥23,800    ¥25,100    ¥23,800    ¥25,100                           （PG障子） / ★17420                ★17620                ★17820                ○※2          3-A-3 / 3-A-3 / （大壁和室障子） / ［17120］               ［17320］               ［17520］ / 3-A-3 / ¥75,300    ¥82,800    ¥75,300    ¥82,800    ¥75,300    ¥82,800      ▲※3                     3-A-3 / （把手障子） / ¥91,200    ¥99,400    ¥91,200    ¥99,400    ¥91,200    ¥99,400 / ＿＿         ＿＿         ＿＿         ＿＿         ＿＿         ＿＿        ★                       3-A-3 / ¥161,400 ¥168,900 ¥162,400 ¥169,900 ¥163,400 ¥170,900             ※1 PG障子のみS-2（120）等級となります。 / ¥176,700 ¥184,900 ¥177,700 ¥185,900 ¥178,500 ¥186,700             ※2 大壁和室障子のみS-2（120）等級となります。 / ＿＿       ＿＿       ＿＿       ＿＿       ＿＿       ＿＿               ※3 把手障子のみS-3（160）等級となります。 / ¥200,400 ¥207,900 ¥201,800 ¥209,300 ¥203,200 ¥210,700             ●アシスト把手加算額 / ¥215,300 ¥223,500 ¥216,700 ¥224,900 ¥218,100 ¥226,300 / ＿＿       ＿＿       ＿＿       ＿＿       ＿＿       ＿＿                 2枚建 / +¥25,900 / ¥16,900    ¥17,600    ¥16,900    ¥17,600    ¥16,900    ¥17,600 / ¥25,700    ¥27,100    ¥25,700    ¥27,100    ¥25,700    ¥27,100          非常用進入口専用品と通常品の設定あり</t>
        </is>
      </c>
      <c r="J14" t="inlineStr">
        <is>
          <t>202604_LIXIL_サーモスＬ_業務用資料集_完成品価格表.pdf</t>
        </is>
      </c>
      <c r="K14" t="inlineStr">
        <is>
          <t>https://drive.google.com/file/d/1YUN-mtWYs48YBUHJk0C3vJXnhjyZFHyf/view</t>
        </is>
      </c>
    </row>
    <row r="15">
      <c r="A15" s="42" t="inlineStr">
        <is>
          <t>GLG-SL-0012</t>
        </is>
      </c>
      <c r="B15" t="n">
        <v>15</v>
      </c>
      <c r="C15" t="inlineStr">
        <is>
          <t>★</t>
        </is>
      </c>
      <c r="D15" t="inlineStr">
        <is>
          <t>P15|★</t>
        </is>
      </c>
      <c r="E15" t="inlineStr">
        <is>
          <t>透明</t>
        </is>
      </c>
      <c r="F15" t="inlineStr">
        <is>
          <t>S-3（160）等級/S-2（120）等級</t>
        </is>
      </c>
      <c r="G15" t="inlineStr">
        <is>
          <t>原本凡例保持・列位置は原本参照</t>
        </is>
      </c>
      <c r="H15" t="b">
        <v>1</v>
      </c>
      <c r="I15" t="inlineStr">
        <is>
          <t>＿＿       ＿＿       ＿＿       ＿＿       ＿＿       ＿＿               価格表は以下の条件で算出しています。 / ¥182,600 ¥189,600 ¥183,800 ¥190,800 ¥185,200 ¥192,200                                   透明 / ¥196,600 ¥204,100 ¥198,000 ¥205,500 ¥199,200 ¥206,700                         S-3（160）等級 S-2（120）等級 / ＿＿       ＿＿       ＿＿       ＿＿       ＿＿       ＿＿                 無印            3-A-3 / 3-A-3 / ¥15,900    ¥16,700    ¥15,900    ¥16,700    ¥15,900    ¥16,700      △※1          3-A-3 / ¥23,800    ¥25,100    ¥23,800    ¥25,100    ¥23,800    ¥25,100                           （PG障子） / ★17420                ★17620                ★17820                ○※2          3-A-3 / 3-A-3 / （大壁和室障子） / ［17120］               ［17320］               ［17520］ / 3-A-3 / ¥75,300    ¥82,800    ¥75,300    ¥82,800    ¥75,300    ¥82,800      ▲※3                     3-A-3 / （把手障子） / ¥91,200    ¥99,400    ¥91,200    ¥99,400    ¥91,200    ¥99,400 / ＿＿         ＿＿         ＿＿         ＿＿         ＿＿         ＿＿        ★                       3-A-3 / ¥161,400 ¥168,900 ¥162,400 ¥169,900 ¥163,400 ¥170,900             ※1 PG障子のみS-2（120）等級となります。 / ¥176,700 ¥184,900 ¥177,700 ¥185,900 ¥178,500 ¥186,700             ※2 大壁和室障子のみS-2（120）等級となります。 / ＿＿       ＿＿       ＿＿       ＿＿       ＿＿       ＿＿               ※3 把手障子のみS-3（160）等級となります。 / ¥200,400 ¥207,900 ¥201,800 ¥209,300 ¥203,200 ¥210,700             ●アシスト把手加算額 / ¥215,300 ¥223,500 ¥216,700 ¥224,900 ¥218,100 ¥226,300 / ＿＿       ＿＿       ＿＿       ＿＿       ＿＿       ＿＿                 2枚建 / +¥25,900 / ¥16,900    ¥17,600    ¥16,900    ¥17,600    ¥16,900    ¥17,600 / ¥25,700    ¥27,100    ¥25,700    ¥27,100    ¥25,700    ¥27,100          非常用進入口専用品と通常品の設定あり</t>
        </is>
      </c>
      <c r="J15" t="inlineStr">
        <is>
          <t>202604_LIXIL_サーモスＬ_業務用資料集_完成品価格表.pdf</t>
        </is>
      </c>
      <c r="K15" t="inlineStr">
        <is>
          <t>https://drive.google.com/file/d/1YUN-mtWYs48YBUHJk0C3vJXnhjyZFHyf/view</t>
        </is>
      </c>
    </row>
    <row r="16">
      <c r="A16" s="42" t="inlineStr">
        <is>
          <t>GLG-SL-0013</t>
        </is>
      </c>
      <c r="B16" t="n">
        <v>15</v>
      </c>
      <c r="C16" t="inlineStr">
        <is>
          <t>○</t>
        </is>
      </c>
      <c r="D16" t="inlineStr">
        <is>
          <t>P15|○</t>
        </is>
      </c>
      <c r="E16" t="inlineStr">
        <is>
          <t>透明</t>
        </is>
      </c>
      <c r="F16" t="inlineStr">
        <is>
          <t>S-3（160）等級/S-2（120）等級</t>
        </is>
      </c>
      <c r="G16" t="inlineStr">
        <is>
          <t>原本凡例保持・列位置は原本参照</t>
        </is>
      </c>
      <c r="H16" t="b">
        <v>1</v>
      </c>
      <c r="I16" t="inlineStr">
        <is>
          <t>＿＿       ＿＿       ＿＿       ＿＿       ＿＿       ＿＿               価格表は以下の条件で算出しています。 / ¥182,600 ¥189,600 ¥183,800 ¥190,800 ¥185,200 ¥192,200                                   透明 / ¥196,600 ¥204,100 ¥198,000 ¥205,500 ¥199,200 ¥206,700                         S-3（160）等級 S-2（120）等級 / ＿＿       ＿＿       ＿＿       ＿＿       ＿＿       ＿＿                 無印            3-A-3 / 3-A-3 / ¥15,900    ¥16,700    ¥15,900    ¥16,700    ¥15,900    ¥16,700      △※1          3-A-3 / ¥23,800    ¥25,100    ¥23,800    ¥25,100    ¥23,800    ¥25,100                           （PG障子） / ★17420                ★17620                ★17820                ○※2          3-A-3 / 3-A-3 / （大壁和室障子） / ［17120］               ［17320］               ［17520］ / 3-A-3 / ¥75,300    ¥82,800    ¥75,300    ¥82,800    ¥75,300    ¥82,800      ▲※3                     3-A-3 / （把手障子） / ¥91,200    ¥99,400    ¥91,200    ¥99,400    ¥91,200    ¥99,400 / ＿＿         ＿＿         ＿＿         ＿＿         ＿＿         ＿＿        ★                       3-A-3 / ¥161,400 ¥168,900 ¥162,400 ¥169,900 ¥163,400 ¥170,900             ※1 PG障子のみS-2（120）等級となります。 / ¥176,700 ¥184,900 ¥177,700 ¥185,900 ¥178,500 ¥186,700             ※2 大壁和室障子のみS-2（120）等級となります。 / ＿＿       ＿＿       ＿＿       ＿＿       ＿＿       ＿＿               ※3 把手障子のみS-3（160）等級となります。 / ¥200,400 ¥207,900 ¥201,800 ¥209,300 ¥203,200 ¥210,700             ●アシスト把手加算額 / ¥215,300 ¥223,500 ¥216,700 ¥224,900 ¥218,100 ¥226,300 / ＿＿       ＿＿       ＿＿       ＿＿       ＿＿       ＿＿                 2枚建 / +¥25,900 / ¥16,900    ¥17,600    ¥16,900    ¥17,600    ¥16,900    ¥17,600 / ¥25,700    ¥27,100    ¥25,700    ¥27,100    ¥25,700    ¥27,100          非常用進入口専用品と通常品の設定あり</t>
        </is>
      </c>
      <c r="J16" t="inlineStr">
        <is>
          <t>202604_LIXIL_サーモスＬ_業務用資料集_完成品価格表.pdf</t>
        </is>
      </c>
      <c r="K16" t="inlineStr">
        <is>
          <t>https://drive.google.com/file/d/1YUN-mtWYs48YBUHJk0C3vJXnhjyZFHyf/view</t>
        </is>
      </c>
    </row>
    <row r="17">
      <c r="A17" s="42" t="inlineStr">
        <is>
          <t>GLG-SL-0014</t>
        </is>
      </c>
      <c r="B17" t="n">
        <v>15</v>
      </c>
      <c r="C17" t="inlineStr">
        <is>
          <t>●</t>
        </is>
      </c>
      <c r="D17" t="inlineStr">
        <is>
          <t>P15|●</t>
        </is>
      </c>
      <c r="E17" t="inlineStr">
        <is>
          <t>透明</t>
        </is>
      </c>
      <c r="F17" t="inlineStr">
        <is>
          <t>S-3（160）等級/S-2（120）等級</t>
        </is>
      </c>
      <c r="G17" t="inlineStr">
        <is>
          <t>原本凡例保持・列位置は原本参照</t>
        </is>
      </c>
      <c r="H17" t="b">
        <v>1</v>
      </c>
      <c r="I17" t="inlineStr">
        <is>
          <t>＿＿       ＿＿       ＿＿       ＿＿       ＿＿       ＿＿               価格表は以下の条件で算出しています。 / ¥182,600 ¥189,600 ¥183,800 ¥190,800 ¥185,200 ¥192,200                                   透明 / ¥196,600 ¥204,100 ¥198,000 ¥205,500 ¥199,200 ¥206,700                         S-3（160）等級 S-2（120）等級 / ＿＿       ＿＿       ＿＿       ＿＿       ＿＿       ＿＿                 無印            3-A-3 / 3-A-3 / ¥15,900    ¥16,700    ¥15,900    ¥16,700    ¥15,900    ¥16,700      △※1          3-A-3 / ¥23,800    ¥25,100    ¥23,800    ¥25,100    ¥23,800    ¥25,100                           （PG障子） / ★17420                ★17620                ★17820                ○※2          3-A-3 / 3-A-3 / （大壁和室障子） / ［17120］               ［17320］               ［17520］ / 3-A-3 / ¥75,300    ¥82,800    ¥75,300    ¥82,800    ¥75,300    ¥82,800      ▲※3                     3-A-3 / （把手障子） / ¥91,200    ¥99,400    ¥91,200    ¥99,400    ¥91,200    ¥99,400 / ＿＿         ＿＿         ＿＿         ＿＿         ＿＿         ＿＿        ★                       3-A-3 / ¥161,400 ¥168,900 ¥162,400 ¥169,900 ¥163,400 ¥170,900             ※1 PG障子のみS-2（120）等級となります。 / ¥176,700 ¥184,900 ¥177,700 ¥185,900 ¥178,500 ¥186,700             ※2 大壁和室障子のみS-2（120）等級となります。 / ＿＿       ＿＿       ＿＿       ＿＿       ＿＿       ＿＿               ※3 把手障子のみS-3（160）等級となります。 / ¥200,400 ¥207,900 ¥201,800 ¥209,300 ¥203,200 ¥210,700             ●アシスト把手加算額 / ¥215,300 ¥223,500 ¥216,700 ¥224,900 ¥218,100 ¥226,300 / ＿＿       ＿＿       ＿＿       ＿＿       ＿＿       ＿＿                 2枚建 / +¥25,900 / ¥16,900    ¥17,600    ¥16,900    ¥17,600    ¥16,900    ¥17,600 / ¥25,700    ¥27,100    ¥25,700    ¥27,100    ¥25,700    ¥27,100          非常用進入口専用品と通常品の設定あり</t>
        </is>
      </c>
      <c r="J17" t="inlineStr">
        <is>
          <t>202604_LIXIL_サーモスＬ_業務用資料集_完成品価格表.pdf</t>
        </is>
      </c>
      <c r="K17" t="inlineStr">
        <is>
          <t>https://drive.google.com/file/d/1YUN-mtWYs48YBUHJk0C3vJXnhjyZFHyf/view</t>
        </is>
      </c>
    </row>
    <row r="18">
      <c r="A18" s="42" t="inlineStr">
        <is>
          <t>GLG-SL-0015</t>
        </is>
      </c>
      <c r="B18" t="n">
        <v>15</v>
      </c>
      <c r="C18" t="inlineStr">
        <is>
          <t>△</t>
        </is>
      </c>
      <c r="D18" t="inlineStr">
        <is>
          <t>P15|△</t>
        </is>
      </c>
      <c r="E18" t="inlineStr">
        <is>
          <t>透明</t>
        </is>
      </c>
      <c r="F18" t="inlineStr">
        <is>
          <t>S-3（160）等級/S-2（120）等級</t>
        </is>
      </c>
      <c r="G18" t="inlineStr">
        <is>
          <t>原本凡例保持・列位置は原本参照</t>
        </is>
      </c>
      <c r="H18" t="b">
        <v>1</v>
      </c>
      <c r="I18" t="inlineStr">
        <is>
          <t>＿＿       ＿＿       ＿＿       ＿＿       ＿＿       ＿＿               価格表は以下の条件で算出しています。 / ¥182,600 ¥189,600 ¥183,800 ¥190,800 ¥185,200 ¥192,200                                   透明 / ¥196,600 ¥204,100 ¥198,000 ¥205,500 ¥199,200 ¥206,700                         S-3（160）等級 S-2（120）等級 / ＿＿       ＿＿       ＿＿       ＿＿       ＿＿       ＿＿                 無印            3-A-3 / 3-A-3 / ¥15,900    ¥16,700    ¥15,900    ¥16,700    ¥15,900    ¥16,700      △※1          3-A-3 / ¥23,800    ¥25,100    ¥23,800    ¥25,100    ¥23,800    ¥25,100                           （PG障子） / ★17420                ★17620                ★17820                ○※2          3-A-3 / 3-A-3 / （大壁和室障子） / ［17120］               ［17320］               ［17520］ / 3-A-3 / ¥75,300    ¥82,800    ¥75,300    ¥82,800    ¥75,300    ¥82,800      ▲※3                     3-A-3 / （把手障子） / ¥91,200    ¥99,400    ¥91,200    ¥99,400    ¥91,200    ¥99,400 / ＿＿         ＿＿         ＿＿         ＿＿         ＿＿         ＿＿        ★                       3-A-3 / ¥161,400 ¥168,900 ¥162,400 ¥169,900 ¥163,400 ¥170,900             ※1 PG障子のみS-2（120）等級となります。 / ¥176,700 ¥184,900 ¥177,700 ¥185,900 ¥178,500 ¥186,700             ※2 大壁和室障子のみS-2（120）等級となります。 / ＿＿       ＿＿       ＿＿       ＿＿       ＿＿       ＿＿               ※3 把手障子のみS-3（160）等級となります。 / ¥200,400 ¥207,900 ¥201,800 ¥209,300 ¥203,200 ¥210,700             ●アシスト把手加算額 / ¥215,300 ¥223,500 ¥216,700 ¥224,900 ¥218,100 ¥226,300 / ＿＿       ＿＿       ＿＿       ＿＿       ＿＿       ＿＿                 2枚建 / +¥25,900 / ¥16,900    ¥17,600    ¥16,900    ¥17,600    ¥16,900    ¥17,600 / ¥25,700    ¥27,100    ¥25,700    ¥27,100    ¥25,700    ¥27,100          非常用進入口専用品と通常品の設定あり</t>
        </is>
      </c>
      <c r="J18" t="inlineStr">
        <is>
          <t>202604_LIXIL_サーモスＬ_業務用資料集_完成品価格表.pdf</t>
        </is>
      </c>
      <c r="K18" t="inlineStr">
        <is>
          <t>https://drive.google.com/file/d/1YUN-mtWYs48YBUHJk0C3vJXnhjyZFHyf/view</t>
        </is>
      </c>
    </row>
    <row r="19">
      <c r="A19" s="42" t="inlineStr">
        <is>
          <t>GLG-SL-0016</t>
        </is>
      </c>
      <c r="B19" t="n">
        <v>15</v>
      </c>
      <c r="C19" t="inlineStr">
        <is>
          <t>▲</t>
        </is>
      </c>
      <c r="D19" t="inlineStr">
        <is>
          <t>P15|▲</t>
        </is>
      </c>
      <c r="E19" t="inlineStr">
        <is>
          <t>透明</t>
        </is>
      </c>
      <c r="F19" t="inlineStr">
        <is>
          <t>S-3（160）等級/S-2（120）等級</t>
        </is>
      </c>
      <c r="G19" t="inlineStr">
        <is>
          <t>原本凡例保持・列位置は原本参照</t>
        </is>
      </c>
      <c r="H19" t="b">
        <v>1</v>
      </c>
      <c r="I19" t="inlineStr">
        <is>
          <t>＿＿       ＿＿       ＿＿       ＿＿       ＿＿       ＿＿               価格表は以下の条件で算出しています。 / ¥182,600 ¥189,600 ¥183,800 ¥190,800 ¥185,200 ¥192,200                                   透明 / ¥196,600 ¥204,100 ¥198,000 ¥205,500 ¥199,200 ¥206,700                         S-3（160）等級 S-2（120）等級 / ＿＿       ＿＿       ＿＿       ＿＿       ＿＿       ＿＿                 無印            3-A-3 / 3-A-3 / ¥15,900    ¥16,700    ¥15,900    ¥16,700    ¥15,900    ¥16,700      △※1          3-A-3 / ¥23,800    ¥25,100    ¥23,800    ¥25,100    ¥23,800    ¥25,100                           （PG障子） / ★17420                ★17620                ★17820                ○※2          3-A-3 / 3-A-3 / （大壁和室障子） / ［17120］               ［17320］               ［17520］ / 3-A-3 / ¥75,300    ¥82,800    ¥75,300    ¥82,800    ¥75,300    ¥82,800      ▲※3                     3-A-3 / （把手障子） / ¥91,200    ¥99,400    ¥91,200    ¥99,400    ¥91,200    ¥99,400 / ＿＿         ＿＿         ＿＿         ＿＿         ＿＿         ＿＿        ★                       3-A-3 / ¥161,400 ¥168,900 ¥162,400 ¥169,900 ¥163,400 ¥170,900             ※1 PG障子のみS-2（120）等級となります。 / ¥176,700 ¥184,900 ¥177,700 ¥185,900 ¥178,500 ¥186,700             ※2 大壁和室障子のみS-2（120）等級となります。 / ＿＿       ＿＿       ＿＿       ＿＿       ＿＿       ＿＿               ※3 把手障子のみS-3（160）等級となります。 / ¥200,400 ¥207,900 ¥201,800 ¥209,300 ¥203,200 ¥210,700             ●アシスト把手加算額 / ¥215,300 ¥223,500 ¥216,700 ¥224,900 ¥218,100 ¥226,300 / ＿＿       ＿＿       ＿＿       ＿＿       ＿＿       ＿＿                 2枚建 / +¥25,900 / ¥16,900    ¥17,600    ¥16,900    ¥17,600    ¥16,900    ¥17,600 / ¥25,700    ¥27,100    ¥25,700    ¥27,100    ¥25,700    ¥27,100          非常用進入口専用品と通常品の設定あり</t>
        </is>
      </c>
      <c r="J19" t="inlineStr">
        <is>
          <t>202604_LIXIL_サーモスＬ_業務用資料集_完成品価格表.pdf</t>
        </is>
      </c>
      <c r="K19" t="inlineStr">
        <is>
          <t>https://drive.google.com/file/d/1YUN-mtWYs48YBUHJk0C3vJXnhjyZFHyf/view</t>
        </is>
      </c>
    </row>
    <row r="20">
      <c r="A20" s="42" t="inlineStr">
        <is>
          <t>GLG-SL-0017</t>
        </is>
      </c>
      <c r="B20" t="n">
        <v>17</v>
      </c>
      <c r="C20" t="inlineStr">
        <is>
          <t>無印</t>
        </is>
      </c>
      <c r="D20" t="inlineStr">
        <is>
          <t>P17|無印</t>
        </is>
      </c>
      <c r="E20" t="inlineStr">
        <is>
          <t>透明</t>
        </is>
      </c>
      <c r="F20" t="inlineStr">
        <is>
          <t>S-3（160）等級/S-2（120）等級</t>
        </is>
      </c>
      <c r="G20" t="inlineStr">
        <is>
          <t>原本凡例保持・列位置は原本参照</t>
        </is>
      </c>
      <c r="H20" t="b">
        <v>1</v>
      </c>
      <c r="I20" t="inlineStr">
        <is>
          <t>¥103,300 ¥113,700 ¥133,100 ¥146,400 ¥152,400 ¥167,700             価格表は以下の条件で算出しています。 / ¥121,200 ¥132,300 ¥165,000 ¥179,700 ¥185,700 ¥202,500                                  透明 / ＿＿       ＿＿       ＿＿       ＿＿       ＿＿       ＿＿ / S-3（160）等級 S-2（120）等級 / ¥291,200 ¥301,600 ¥253,600 ¥266,900 ¥316,100 ¥331,400              無印            3-A-3 / ¥308,100 ¥319,200 ¥284,700 ¥299,400 ¥349,000 ¥365,800               ★                       3-A-3 / ＿＿       ＿＿       ＿＿       ＿＿       ＿＿       ＿＿ / ☆                       3-A-4 / ¥333,000 ¥343,400 ¥309,600 ¥322,900 ¥392,900 ¥408,200               ◆                       4-A-4 / ¥349,700 ¥360,800 ¥340,300 ¥355,000 ¥425,400 ¥442,200 / ＿＿       ＿＿       ＿＿       ＿＿       ＿＿       ＿＿               ●アシスト把手加算額 / ¥20,400    ¥21,500    ¥30,800    ¥32,300    ¥33,600    ¥35,300    2枚建         4枚建 / ¥31,200    ¥32,800    ¥46,800    ¥49,100    ¥51,200    ¥53,900   +¥25,900    +¥51,700 / 17</t>
        </is>
      </c>
      <c r="J20" t="inlineStr">
        <is>
          <t>202604_LIXIL_サーモスＬ_業務用資料集_完成品価格表.pdf</t>
        </is>
      </c>
      <c r="K20" t="inlineStr">
        <is>
          <t>https://drive.google.com/file/d/1YUN-mtWYs48YBUHJk0C3vJXnhjyZFHyf/view</t>
        </is>
      </c>
    </row>
    <row r="21">
      <c r="A21" s="42" t="inlineStr">
        <is>
          <t>GLG-SL-0018</t>
        </is>
      </c>
      <c r="B21" t="n">
        <v>17</v>
      </c>
      <c r="C21" t="inlineStr">
        <is>
          <t>★</t>
        </is>
      </c>
      <c r="D21" t="inlineStr">
        <is>
          <t>P17|★</t>
        </is>
      </c>
      <c r="E21" t="inlineStr">
        <is>
          <t>透明</t>
        </is>
      </c>
      <c r="F21" t="inlineStr">
        <is>
          <t>S-3（160）等級/S-2（120）等級</t>
        </is>
      </c>
      <c r="G21" t="inlineStr">
        <is>
          <t>原本凡例保持・列位置は原本参照</t>
        </is>
      </c>
      <c r="H21" t="b">
        <v>1</v>
      </c>
      <c r="I21" t="inlineStr">
        <is>
          <t>¥103,300 ¥113,700 ¥133,100 ¥146,400 ¥152,400 ¥167,700             価格表は以下の条件で算出しています。 / ¥121,200 ¥132,300 ¥165,000 ¥179,700 ¥185,700 ¥202,500                                  透明 / ＿＿       ＿＿       ＿＿       ＿＿       ＿＿       ＿＿ / S-3（160）等級 S-2（120）等級 / ¥291,200 ¥301,600 ¥253,600 ¥266,900 ¥316,100 ¥331,400              無印            3-A-3 / ¥308,100 ¥319,200 ¥284,700 ¥299,400 ¥349,000 ¥365,800               ★                       3-A-3 / ＿＿       ＿＿       ＿＿       ＿＿       ＿＿       ＿＿ / ☆                       3-A-4 / ¥333,000 ¥343,400 ¥309,600 ¥322,900 ¥392,900 ¥408,200               ◆                       4-A-4 / ¥349,700 ¥360,800 ¥340,300 ¥355,000 ¥425,400 ¥442,200 / ＿＿       ＿＿       ＿＿       ＿＿       ＿＿       ＿＿               ●アシスト把手加算額 / ¥20,400    ¥21,500    ¥30,800    ¥32,300    ¥33,600    ¥35,300    2枚建         4枚建 / ¥31,200    ¥32,800    ¥46,800    ¥49,100    ¥51,200    ¥53,900   +¥25,900    +¥51,700 / 17</t>
        </is>
      </c>
      <c r="J21" t="inlineStr">
        <is>
          <t>202604_LIXIL_サーモスＬ_業務用資料集_完成品価格表.pdf</t>
        </is>
      </c>
      <c r="K21" t="inlineStr">
        <is>
          <t>https://drive.google.com/file/d/1YUN-mtWYs48YBUHJk0C3vJXnhjyZFHyf/view</t>
        </is>
      </c>
    </row>
    <row r="22">
      <c r="A22" s="42" t="inlineStr">
        <is>
          <t>GLG-SL-0019</t>
        </is>
      </c>
      <c r="B22" t="n">
        <v>17</v>
      </c>
      <c r="C22" t="inlineStr">
        <is>
          <t>☆</t>
        </is>
      </c>
      <c r="D22" t="inlineStr">
        <is>
          <t>P17|☆</t>
        </is>
      </c>
      <c r="E22" t="inlineStr">
        <is>
          <t>透明</t>
        </is>
      </c>
      <c r="F22" t="inlineStr">
        <is>
          <t>S-3（160）等級/S-2（120）等級</t>
        </is>
      </c>
      <c r="G22" t="inlineStr">
        <is>
          <t>原本凡例保持・列位置は原本参照</t>
        </is>
      </c>
      <c r="H22" t="b">
        <v>1</v>
      </c>
      <c r="I22" t="inlineStr">
        <is>
          <t>¥103,300 ¥113,700 ¥133,100 ¥146,400 ¥152,400 ¥167,700             価格表は以下の条件で算出しています。 / ¥121,200 ¥132,300 ¥165,000 ¥179,700 ¥185,700 ¥202,500                                  透明 / ＿＿       ＿＿       ＿＿       ＿＿       ＿＿       ＿＿ / S-3（160）等級 S-2（120）等級 / ¥291,200 ¥301,600 ¥253,600 ¥266,900 ¥316,100 ¥331,400              無印            3-A-3 / ¥308,100 ¥319,200 ¥284,700 ¥299,400 ¥349,000 ¥365,800               ★                       3-A-3 / ＿＿       ＿＿       ＿＿       ＿＿       ＿＿       ＿＿ / ☆                       3-A-4 / ¥333,000 ¥343,400 ¥309,600 ¥322,900 ¥392,900 ¥408,200               ◆                       4-A-4 / ¥349,700 ¥360,800 ¥340,300 ¥355,000 ¥425,400 ¥442,200 / ＿＿       ＿＿       ＿＿       ＿＿       ＿＿       ＿＿               ●アシスト把手加算額 / ¥20,400    ¥21,500    ¥30,800    ¥32,300    ¥33,600    ¥35,300    2枚建         4枚建 / ¥31,200    ¥32,800    ¥46,800    ¥49,100    ¥51,200    ¥53,900   +¥25,900    +¥51,700 / 17</t>
        </is>
      </c>
      <c r="J22" t="inlineStr">
        <is>
          <t>202604_LIXIL_サーモスＬ_業務用資料集_完成品価格表.pdf</t>
        </is>
      </c>
      <c r="K22" t="inlineStr">
        <is>
          <t>https://drive.google.com/file/d/1YUN-mtWYs48YBUHJk0C3vJXnhjyZFHyf/view</t>
        </is>
      </c>
    </row>
    <row r="23">
      <c r="A23" s="42" t="inlineStr">
        <is>
          <t>GLG-SL-0020</t>
        </is>
      </c>
      <c r="B23" t="n">
        <v>17</v>
      </c>
      <c r="C23" t="inlineStr">
        <is>
          <t>●</t>
        </is>
      </c>
      <c r="D23" t="inlineStr">
        <is>
          <t>P17|●</t>
        </is>
      </c>
      <c r="E23" t="inlineStr">
        <is>
          <t>透明</t>
        </is>
      </c>
      <c r="F23" t="inlineStr">
        <is>
          <t>S-3（160）等級/S-2（120）等級</t>
        </is>
      </c>
      <c r="G23" t="inlineStr">
        <is>
          <t>原本凡例保持・列位置は原本参照</t>
        </is>
      </c>
      <c r="H23" t="b">
        <v>1</v>
      </c>
      <c r="I23" t="inlineStr">
        <is>
          <t>¥103,300 ¥113,700 ¥133,100 ¥146,400 ¥152,400 ¥167,700             価格表は以下の条件で算出しています。 / ¥121,200 ¥132,300 ¥165,000 ¥179,700 ¥185,700 ¥202,500                                  透明 / ＿＿       ＿＿       ＿＿       ＿＿       ＿＿       ＿＿ / S-3（160）等級 S-2（120）等級 / ¥291,200 ¥301,600 ¥253,600 ¥266,900 ¥316,100 ¥331,400              無印            3-A-3 / ¥308,100 ¥319,200 ¥284,700 ¥299,400 ¥349,000 ¥365,800               ★                       3-A-3 / ＿＿       ＿＿       ＿＿       ＿＿       ＿＿       ＿＿ / ☆                       3-A-4 / ¥333,000 ¥343,400 ¥309,600 ¥322,900 ¥392,900 ¥408,200               ◆                       4-A-4 / ¥349,700 ¥360,800 ¥340,300 ¥355,000 ¥425,400 ¥442,200 / ＿＿       ＿＿       ＿＿       ＿＿       ＿＿       ＿＿               ●アシスト把手加算額 / ¥20,400    ¥21,500    ¥30,800    ¥32,300    ¥33,600    ¥35,300    2枚建         4枚建 / ¥31,200    ¥32,800    ¥46,800    ¥49,100    ¥51,200    ¥53,900   +¥25,900    +¥51,700 / 17</t>
        </is>
      </c>
      <c r="J23" t="inlineStr">
        <is>
          <t>202604_LIXIL_サーモスＬ_業務用資料集_完成品価格表.pdf</t>
        </is>
      </c>
      <c r="K23" t="inlineStr">
        <is>
          <t>https://drive.google.com/file/d/1YUN-mtWYs48YBUHJk0C3vJXnhjyZFHyf/view</t>
        </is>
      </c>
    </row>
    <row r="24">
      <c r="A24" s="42" t="inlineStr">
        <is>
          <t>GLG-SL-0021</t>
        </is>
      </c>
      <c r="B24" t="n">
        <v>17</v>
      </c>
      <c r="C24" t="inlineStr">
        <is>
          <t>◆</t>
        </is>
      </c>
      <c r="D24" t="inlineStr">
        <is>
          <t>P17|◆</t>
        </is>
      </c>
      <c r="E24" t="inlineStr">
        <is>
          <t>透明</t>
        </is>
      </c>
      <c r="F24" t="inlineStr">
        <is>
          <t>S-3（160）等級/S-2（120）等級</t>
        </is>
      </c>
      <c r="G24" t="inlineStr">
        <is>
          <t>原本凡例保持・列位置は原本参照</t>
        </is>
      </c>
      <c r="H24" t="b">
        <v>1</v>
      </c>
      <c r="I24" t="inlineStr">
        <is>
          <t>¥103,300 ¥113,700 ¥133,100 ¥146,400 ¥152,400 ¥167,700             価格表は以下の条件で算出しています。 / ¥121,200 ¥132,300 ¥165,000 ¥179,700 ¥185,700 ¥202,500                                  透明 / ＿＿       ＿＿       ＿＿       ＿＿       ＿＿       ＿＿ / S-3（160）等級 S-2（120）等級 / ¥291,200 ¥301,600 ¥253,600 ¥266,900 ¥316,100 ¥331,400              無印            3-A-3 / ¥308,100 ¥319,200 ¥284,700 ¥299,400 ¥349,000 ¥365,800               ★                       3-A-3 / ＿＿       ＿＿       ＿＿       ＿＿       ＿＿       ＿＿ / ☆                       3-A-4 / ¥333,000 ¥343,400 ¥309,600 ¥322,900 ¥392,900 ¥408,200               ◆                       4-A-4 / ¥349,700 ¥360,800 ¥340,300 ¥355,000 ¥425,400 ¥442,200 / ＿＿       ＿＿       ＿＿       ＿＿       ＿＿       ＿＿               ●アシスト把手加算額 / ¥20,400    ¥21,500    ¥30,800    ¥32,300    ¥33,600    ¥35,300    2枚建         4枚建 / ¥31,200    ¥32,800    ¥46,800    ¥49,100    ¥51,200    ¥53,900   +¥25,900    +¥51,700 / 17</t>
        </is>
      </c>
      <c r="J24" t="inlineStr">
        <is>
          <t>202604_LIXIL_サーモスＬ_業務用資料集_完成品価格表.pdf</t>
        </is>
      </c>
      <c r="K24" t="inlineStr">
        <is>
          <t>https://drive.google.com/file/d/1YUN-mtWYs48YBUHJk0C3vJXnhjyZFHyf/view</t>
        </is>
      </c>
    </row>
    <row r="25">
      <c r="A25" s="42" t="inlineStr">
        <is>
          <t>GLG-SL-0022</t>
        </is>
      </c>
      <c r="B25" t="n">
        <v>19</v>
      </c>
      <c r="C25" t="inlineStr">
        <is>
          <t>無印</t>
        </is>
      </c>
      <c r="D25" t="inlineStr">
        <is>
          <t>P19|無印</t>
        </is>
      </c>
      <c r="E25" t="inlineStr">
        <is>
          <t>透明</t>
        </is>
      </c>
      <c r="F25" t="inlineStr">
        <is>
          <t>S-2（120）等級</t>
        </is>
      </c>
      <c r="G25" t="inlineStr">
        <is>
          <t>原本凡例保持・列位置は原本参照</t>
        </is>
      </c>
      <c r="H25" t="b">
        <v>1</v>
      </c>
      <c r="I25" t="inlineStr">
        <is>
          <t>価格表は以下の条件で算出しています。 / ¥104,000 ¥113,500 ¥104,000 ¥113,500 ¥104,000 ¥113,500 / ＿＿       ＿＿       ＿＿       ＿＿       ＿＿       ＿＿                          透明 / S-2（120）等級 / ¥188,700 ¥197,400 ¥189,900 ¥198,600 ¥224,100 ¥232,800 / ¥205,700 ¥215,200 ¥206,900 ¥216,400 ¥241,100 ¥250,600 / ★         3-A-3 / ＿＿       ＿＿       ＿＿       ＿＿       ＿＿       ＿＿                ☆         3-A-4 / ¥235,500 ¥244,200 ¥237,100 ¥245,800 ¥259,100 ¥267,800 ●アシスト把手加算額 / ¥252,500 ¥262,000 ¥254,100 ¥263,600 ¥276,100 ¥285,600 / ＿＿       ＿＿       ＿＿       ＿＿       ＿＿       ＿＿     2枚建 / ＿＿       ＿＿       ＿＿       ＿＿       ＿＿       ＿＿    +¥25,900 / ¥34,500    ¥36,300    ¥34,500    ¥36,300    ¥34,500    ¥36,300        非常用進入口専用品と通常品の設定あり / 19</t>
        </is>
      </c>
      <c r="J25" t="inlineStr">
        <is>
          <t>202604_LIXIL_サーモスＬ_業務用資料集_完成品価格表.pdf</t>
        </is>
      </c>
      <c r="K25" t="inlineStr">
        <is>
          <t>https://drive.google.com/file/d/1YUN-mtWYs48YBUHJk0C3vJXnhjyZFHyf/view</t>
        </is>
      </c>
    </row>
    <row r="26">
      <c r="A26" s="42" t="inlineStr">
        <is>
          <t>GLG-SL-0023</t>
        </is>
      </c>
      <c r="B26" t="n">
        <v>19</v>
      </c>
      <c r="C26" t="inlineStr">
        <is>
          <t>★</t>
        </is>
      </c>
      <c r="D26" t="inlineStr">
        <is>
          <t>P19|★</t>
        </is>
      </c>
      <c r="E26" t="inlineStr">
        <is>
          <t>透明</t>
        </is>
      </c>
      <c r="F26" t="inlineStr">
        <is>
          <t>S-2（120）等級</t>
        </is>
      </c>
      <c r="G26" t="inlineStr">
        <is>
          <t>原本凡例保持・列位置は原本参照</t>
        </is>
      </c>
      <c r="H26" t="b">
        <v>1</v>
      </c>
      <c r="I26" t="inlineStr">
        <is>
          <t>価格表は以下の条件で算出しています。 / ¥104,000 ¥113,500 ¥104,000 ¥113,500 ¥104,000 ¥113,500 / ＿＿       ＿＿       ＿＿       ＿＿       ＿＿       ＿＿                          透明 / S-2（120）等級 / ¥188,700 ¥197,400 ¥189,900 ¥198,600 ¥224,100 ¥232,800 / ¥205,700 ¥215,200 ¥206,900 ¥216,400 ¥241,100 ¥250,600 / ★         3-A-3 / ＿＿       ＿＿       ＿＿       ＿＿       ＿＿       ＿＿                ☆         3-A-4 / ¥235,500 ¥244,200 ¥237,100 ¥245,800 ¥259,100 ¥267,800 ●アシスト把手加算額 / ¥252,500 ¥262,000 ¥254,100 ¥263,600 ¥276,100 ¥285,600 / ＿＿       ＿＿       ＿＿       ＿＿       ＿＿       ＿＿     2枚建 / ＿＿       ＿＿       ＿＿       ＿＿       ＿＿       ＿＿    +¥25,900 / ¥34,500    ¥36,300    ¥34,500    ¥36,300    ¥34,500    ¥36,300        非常用進入口専用品と通常品の設定あり / 19</t>
        </is>
      </c>
      <c r="J26" t="inlineStr">
        <is>
          <t>202604_LIXIL_サーモスＬ_業務用資料集_完成品価格表.pdf</t>
        </is>
      </c>
      <c r="K26" t="inlineStr">
        <is>
          <t>https://drive.google.com/file/d/1YUN-mtWYs48YBUHJk0C3vJXnhjyZFHyf/view</t>
        </is>
      </c>
    </row>
    <row r="27">
      <c r="A27" s="42" t="inlineStr">
        <is>
          <t>GLG-SL-0024</t>
        </is>
      </c>
      <c r="B27" t="n">
        <v>19</v>
      </c>
      <c r="C27" t="inlineStr">
        <is>
          <t>☆</t>
        </is>
      </c>
      <c r="D27" t="inlineStr">
        <is>
          <t>P19|☆</t>
        </is>
      </c>
      <c r="E27" t="inlineStr">
        <is>
          <t>透明</t>
        </is>
      </c>
      <c r="F27" t="inlineStr">
        <is>
          <t>S-2（120）等級</t>
        </is>
      </c>
      <c r="G27" t="inlineStr">
        <is>
          <t>原本凡例保持・列位置は原本参照</t>
        </is>
      </c>
      <c r="H27" t="b">
        <v>1</v>
      </c>
      <c r="I27" t="inlineStr">
        <is>
          <t>価格表は以下の条件で算出しています。 / ¥104,000 ¥113,500 ¥104,000 ¥113,500 ¥104,000 ¥113,500 / ＿＿       ＿＿       ＿＿       ＿＿       ＿＿       ＿＿                          透明 / S-2（120）等級 / ¥188,700 ¥197,400 ¥189,900 ¥198,600 ¥224,100 ¥232,800 / ¥205,700 ¥215,200 ¥206,900 ¥216,400 ¥241,100 ¥250,600 / ★         3-A-3 / ＿＿       ＿＿       ＿＿       ＿＿       ＿＿       ＿＿                ☆         3-A-4 / ¥235,500 ¥244,200 ¥237,100 ¥245,800 ¥259,100 ¥267,800 ●アシスト把手加算額 / ¥252,500 ¥262,000 ¥254,100 ¥263,600 ¥276,100 ¥285,600 / ＿＿       ＿＿       ＿＿       ＿＿       ＿＿       ＿＿     2枚建 / ＿＿       ＿＿       ＿＿       ＿＿       ＿＿       ＿＿    +¥25,900 / ¥34,500    ¥36,300    ¥34,500    ¥36,300    ¥34,500    ¥36,300        非常用進入口専用品と通常品の設定あり / 19</t>
        </is>
      </c>
      <c r="J27" t="inlineStr">
        <is>
          <t>202604_LIXIL_サーモスＬ_業務用資料集_完成品価格表.pdf</t>
        </is>
      </c>
      <c r="K27" t="inlineStr">
        <is>
          <t>https://drive.google.com/file/d/1YUN-mtWYs48YBUHJk0C3vJXnhjyZFHyf/view</t>
        </is>
      </c>
    </row>
    <row r="28">
      <c r="A28" s="42" t="inlineStr">
        <is>
          <t>GLG-SL-0025</t>
        </is>
      </c>
      <c r="B28" t="n">
        <v>19</v>
      </c>
      <c r="C28" t="inlineStr">
        <is>
          <t>●</t>
        </is>
      </c>
      <c r="D28" t="inlineStr">
        <is>
          <t>P19|●</t>
        </is>
      </c>
      <c r="E28" t="inlineStr">
        <is>
          <t>透明</t>
        </is>
      </c>
      <c r="F28" t="inlineStr">
        <is>
          <t>S-2（120）等級</t>
        </is>
      </c>
      <c r="G28" t="inlineStr">
        <is>
          <t>原本凡例保持・列位置は原本参照</t>
        </is>
      </c>
      <c r="H28" t="b">
        <v>1</v>
      </c>
      <c r="I28" t="inlineStr">
        <is>
          <t>価格表は以下の条件で算出しています。 / ¥104,000 ¥113,500 ¥104,000 ¥113,500 ¥104,000 ¥113,500 / ＿＿       ＿＿       ＿＿       ＿＿       ＿＿       ＿＿                          透明 / S-2（120）等級 / ¥188,700 ¥197,400 ¥189,900 ¥198,600 ¥224,100 ¥232,800 / ¥205,700 ¥215,200 ¥206,900 ¥216,400 ¥241,100 ¥250,600 / ★         3-A-3 / ＿＿       ＿＿       ＿＿       ＿＿       ＿＿       ＿＿                ☆         3-A-4 / ¥235,500 ¥244,200 ¥237,100 ¥245,800 ¥259,100 ¥267,800 ●アシスト把手加算額 / ¥252,500 ¥262,000 ¥254,100 ¥263,600 ¥276,100 ¥285,600 / ＿＿       ＿＿       ＿＿       ＿＿       ＿＿       ＿＿     2枚建 / ＿＿       ＿＿       ＿＿       ＿＿       ＿＿       ＿＿    +¥25,900 / ¥34,500    ¥36,300    ¥34,500    ¥36,300    ¥34,500    ¥36,300        非常用進入口専用品と通常品の設定あり / 19</t>
        </is>
      </c>
      <c r="J28" t="inlineStr">
        <is>
          <t>202604_LIXIL_サーモスＬ_業務用資料集_完成品価格表.pdf</t>
        </is>
      </c>
      <c r="K28" t="inlineStr">
        <is>
          <t>https://drive.google.com/file/d/1YUN-mtWYs48YBUHJk0C3vJXnhjyZFHyf/view</t>
        </is>
      </c>
    </row>
    <row r="29">
      <c r="A29" s="42" t="inlineStr">
        <is>
          <t>GLG-SL-0026</t>
        </is>
      </c>
      <c r="B29" t="n">
        <v>21</v>
      </c>
      <c r="C29" t="inlineStr">
        <is>
          <t>無印</t>
        </is>
      </c>
      <c r="D29" t="inlineStr">
        <is>
          <t>P21|無印</t>
        </is>
      </c>
      <c r="E29" t="inlineStr">
        <is>
          <t>透明</t>
        </is>
      </c>
      <c r="F29" t="inlineStr">
        <is>
          <t>S-2（120）等級/S-1（80）等級</t>
        </is>
      </c>
      <c r="G29" t="inlineStr">
        <is>
          <t>原本凡例保持・列位置は原本参照</t>
        </is>
      </c>
      <c r="H29" t="b">
        <v>1</v>
      </c>
      <c r="I29" t="inlineStr">
        <is>
          <t>［25324-2］             ［25324-4］              ［34424］            価格表は以下の条件で算出しています。 / ¥119,300 ¥131,200 ¥155,200 ¥170,700 ¥177,300 ¥195,100                                  透明 / ¥139,000 ¥151,900 ¥189,700 ¥206,700 ¥213,500 ¥233,100                        S-2（120）等級 S-1（80）等級 / ＿＿       ＿＿       ＿＿       ＿＿       ＿＿       ＿＿ / ★            3-A-3 / ¥343,800 ¥355,700 ¥298,500 ¥314,000 ¥372,600 ¥390,400               ☆            3-A-4 / ¥363,500 ¥376,400 ¥333,000 ¥350,000 ¥408,800 ¥428,400               ◆            4-A-4 / ＿＿       ＿＿       ＿＿       ＿＿       ＿＿       ＿＿ / ◇                       3-A-3 / ¥394,000 ¥405,900 ¥365,300 ¥380,800 ¥465,400 ¥483,200               ●                       4-A-4 / ¥413,700 ¥426,600 ¥399,800 ¥416,800 ¥501,600 ¥521,200 / ＿＿       ＿＿       ＿＿       ＿＿       ＿＿       ＿＿               ●アシスト把手加算額 / ＿＿       ＿＿       ＿＿       ＿＿       ＿＿       ＿＿                2枚建         4枚建 / ¥41,200    ¥43,400    ¥63,700    ¥67,000    ¥69,000    ¥72,500   +¥25,900    +¥51,700 / 21</t>
        </is>
      </c>
      <c r="J29" t="inlineStr">
        <is>
          <t>202604_LIXIL_サーモスＬ_業務用資料集_完成品価格表.pdf</t>
        </is>
      </c>
      <c r="K29" t="inlineStr">
        <is>
          <t>https://drive.google.com/file/d/1YUN-mtWYs48YBUHJk0C3vJXnhjyZFHyf/view</t>
        </is>
      </c>
    </row>
    <row r="30">
      <c r="A30" s="42" t="inlineStr">
        <is>
          <t>GLG-SL-0027</t>
        </is>
      </c>
      <c r="B30" t="n">
        <v>21</v>
      </c>
      <c r="C30" t="inlineStr">
        <is>
          <t>★</t>
        </is>
      </c>
      <c r="D30" t="inlineStr">
        <is>
          <t>P21|★</t>
        </is>
      </c>
      <c r="E30" t="inlineStr">
        <is>
          <t>透明</t>
        </is>
      </c>
      <c r="F30" t="inlineStr">
        <is>
          <t>S-2（120）等級/S-1（80）等級</t>
        </is>
      </c>
      <c r="G30" t="inlineStr">
        <is>
          <t>原本凡例保持・列位置は原本参照</t>
        </is>
      </c>
      <c r="H30" t="b">
        <v>1</v>
      </c>
      <c r="I30" t="inlineStr">
        <is>
          <t>［25324-2］             ［25324-4］              ［34424］            価格表は以下の条件で算出しています。 / ¥119,300 ¥131,200 ¥155,200 ¥170,700 ¥177,300 ¥195,100                                  透明 / ¥139,000 ¥151,900 ¥189,700 ¥206,700 ¥213,500 ¥233,100                        S-2（120）等級 S-1（80）等級 / ＿＿       ＿＿       ＿＿       ＿＿       ＿＿       ＿＿ / ★            3-A-3 / ¥343,800 ¥355,700 ¥298,500 ¥314,000 ¥372,600 ¥390,400               ☆            3-A-4 / ¥363,500 ¥376,400 ¥333,000 ¥350,000 ¥408,800 ¥428,400               ◆            4-A-4 / ＿＿       ＿＿       ＿＿       ＿＿       ＿＿       ＿＿ / ◇                       3-A-3 / ¥394,000 ¥405,900 ¥365,300 ¥380,800 ¥465,400 ¥483,200               ●                       4-A-4 / ¥413,700 ¥426,600 ¥399,800 ¥416,800 ¥501,600 ¥521,200 / ＿＿       ＿＿       ＿＿       ＿＿       ＿＿       ＿＿               ●アシスト把手加算額 / ＿＿       ＿＿       ＿＿       ＿＿       ＿＿       ＿＿                2枚建         4枚建 / ¥41,200    ¥43,400    ¥63,700    ¥67,000    ¥69,000    ¥72,500   +¥25,900    +¥51,700 / 21</t>
        </is>
      </c>
      <c r="J30" t="inlineStr">
        <is>
          <t>202604_LIXIL_サーモスＬ_業務用資料集_完成品価格表.pdf</t>
        </is>
      </c>
      <c r="K30" t="inlineStr">
        <is>
          <t>https://drive.google.com/file/d/1YUN-mtWYs48YBUHJk0C3vJXnhjyZFHyf/view</t>
        </is>
      </c>
    </row>
    <row r="31">
      <c r="A31" s="42" t="inlineStr">
        <is>
          <t>GLG-SL-0028</t>
        </is>
      </c>
      <c r="B31" t="n">
        <v>21</v>
      </c>
      <c r="C31" t="inlineStr">
        <is>
          <t>☆</t>
        </is>
      </c>
      <c r="D31" t="inlineStr">
        <is>
          <t>P21|☆</t>
        </is>
      </c>
      <c r="E31" t="inlineStr">
        <is>
          <t>透明</t>
        </is>
      </c>
      <c r="F31" t="inlineStr">
        <is>
          <t>S-2（120）等級/S-1（80）等級</t>
        </is>
      </c>
      <c r="G31" t="inlineStr">
        <is>
          <t>原本凡例保持・列位置は原本参照</t>
        </is>
      </c>
      <c r="H31" t="b">
        <v>1</v>
      </c>
      <c r="I31" t="inlineStr">
        <is>
          <t>［25324-2］             ［25324-4］              ［34424］            価格表は以下の条件で算出しています。 / ¥119,300 ¥131,200 ¥155,200 ¥170,700 ¥177,300 ¥195,100                                  透明 / ¥139,000 ¥151,900 ¥189,700 ¥206,700 ¥213,500 ¥233,100                        S-2（120）等級 S-1（80）等級 / ＿＿       ＿＿       ＿＿       ＿＿       ＿＿       ＿＿ / ★            3-A-3 / ¥343,800 ¥355,700 ¥298,500 ¥314,000 ¥372,600 ¥390,400               ☆            3-A-4 / ¥363,500 ¥376,400 ¥333,000 ¥350,000 ¥408,800 ¥428,400               ◆            4-A-4 / ＿＿       ＿＿       ＿＿       ＿＿       ＿＿       ＿＿ / ◇                       3-A-3 / ¥394,000 ¥405,900 ¥365,300 ¥380,800 ¥465,400 ¥483,200               ●                       4-A-4 / ¥413,700 ¥426,600 ¥399,800 ¥416,800 ¥501,600 ¥521,200 / ＿＿       ＿＿       ＿＿       ＿＿       ＿＿       ＿＿               ●アシスト把手加算額 / ＿＿       ＿＿       ＿＿       ＿＿       ＿＿       ＿＿                2枚建         4枚建 / ¥41,200    ¥43,400    ¥63,700    ¥67,000    ¥69,000    ¥72,500   +¥25,900    +¥51,700 / 21</t>
        </is>
      </c>
      <c r="J31" t="inlineStr">
        <is>
          <t>202604_LIXIL_サーモスＬ_業務用資料集_完成品価格表.pdf</t>
        </is>
      </c>
      <c r="K31" t="inlineStr">
        <is>
          <t>https://drive.google.com/file/d/1YUN-mtWYs48YBUHJk0C3vJXnhjyZFHyf/view</t>
        </is>
      </c>
    </row>
    <row r="32">
      <c r="A32" s="42" t="inlineStr">
        <is>
          <t>GLG-SL-0029</t>
        </is>
      </c>
      <c r="B32" t="n">
        <v>21</v>
      </c>
      <c r="C32" t="inlineStr">
        <is>
          <t>●</t>
        </is>
      </c>
      <c r="D32" t="inlineStr">
        <is>
          <t>P21|●</t>
        </is>
      </c>
      <c r="E32" t="inlineStr">
        <is>
          <t>透明</t>
        </is>
      </c>
      <c r="F32" t="inlineStr">
        <is>
          <t>S-2（120）等級/S-1（80）等級</t>
        </is>
      </c>
      <c r="G32" t="inlineStr">
        <is>
          <t>原本凡例保持・列位置は原本参照</t>
        </is>
      </c>
      <c r="H32" t="b">
        <v>1</v>
      </c>
      <c r="I32" t="inlineStr">
        <is>
          <t>［25324-2］             ［25324-4］              ［34424］            価格表は以下の条件で算出しています。 / ¥119,300 ¥131,200 ¥155,200 ¥170,700 ¥177,300 ¥195,100                                  透明 / ¥139,000 ¥151,900 ¥189,700 ¥206,700 ¥213,500 ¥233,100                        S-2（120）等級 S-1（80）等級 / ＿＿       ＿＿       ＿＿       ＿＿       ＿＿       ＿＿ / ★            3-A-3 / ¥343,800 ¥355,700 ¥298,500 ¥314,000 ¥372,600 ¥390,400               ☆            3-A-4 / ¥363,500 ¥376,400 ¥333,000 ¥350,000 ¥408,800 ¥428,400               ◆            4-A-4 / ＿＿       ＿＿       ＿＿       ＿＿       ＿＿       ＿＿ / ◇                       3-A-3 / ¥394,000 ¥405,900 ¥365,300 ¥380,800 ¥465,400 ¥483,200               ●                       4-A-4 / ¥413,700 ¥426,600 ¥399,800 ¥416,800 ¥501,600 ¥521,200 / ＿＿       ＿＿       ＿＿       ＿＿       ＿＿       ＿＿               ●アシスト把手加算額 / ＿＿       ＿＿       ＿＿       ＿＿       ＿＿       ＿＿                2枚建         4枚建 / ¥41,200    ¥43,400    ¥63,700    ¥67,000    ¥69,000    ¥72,500   +¥25,900    +¥51,700 / 21</t>
        </is>
      </c>
      <c r="J32" t="inlineStr">
        <is>
          <t>202604_LIXIL_サーモスＬ_業務用資料集_完成品価格表.pdf</t>
        </is>
      </c>
      <c r="K32" t="inlineStr">
        <is>
          <t>https://drive.google.com/file/d/1YUN-mtWYs48YBUHJk0C3vJXnhjyZFHyf/view</t>
        </is>
      </c>
    </row>
    <row r="33">
      <c r="A33" s="42" t="inlineStr">
        <is>
          <t>GLG-SL-0030</t>
        </is>
      </c>
      <c r="B33" t="n">
        <v>21</v>
      </c>
      <c r="C33" t="inlineStr">
        <is>
          <t>◆</t>
        </is>
      </c>
      <c r="D33" t="inlineStr">
        <is>
          <t>P21|◆</t>
        </is>
      </c>
      <c r="E33" t="inlineStr">
        <is>
          <t>透明</t>
        </is>
      </c>
      <c r="F33" t="inlineStr">
        <is>
          <t>S-2（120）等級/S-1（80）等級</t>
        </is>
      </c>
      <c r="G33" t="inlineStr">
        <is>
          <t>原本凡例保持・列位置は原本参照</t>
        </is>
      </c>
      <c r="H33" t="b">
        <v>1</v>
      </c>
      <c r="I33" t="inlineStr">
        <is>
          <t>［25324-2］             ［25324-4］              ［34424］            価格表は以下の条件で算出しています。 / ¥119,300 ¥131,200 ¥155,200 ¥170,700 ¥177,300 ¥195,100                                  透明 / ¥139,000 ¥151,900 ¥189,700 ¥206,700 ¥213,500 ¥233,100                        S-2（120）等級 S-1（80）等級 / ＿＿       ＿＿       ＿＿       ＿＿       ＿＿       ＿＿ / ★            3-A-3 / ¥343,800 ¥355,700 ¥298,500 ¥314,000 ¥372,600 ¥390,400               ☆            3-A-4 / ¥363,500 ¥376,400 ¥333,000 ¥350,000 ¥408,800 ¥428,400               ◆            4-A-4 / ＿＿       ＿＿       ＿＿       ＿＿       ＿＿       ＿＿ / ◇                       3-A-3 / ¥394,000 ¥405,900 ¥365,300 ¥380,800 ¥465,400 ¥483,200               ●                       4-A-4 / ¥413,700 ¥426,600 ¥399,800 ¥416,800 ¥501,600 ¥521,200 / ＿＿       ＿＿       ＿＿       ＿＿       ＿＿       ＿＿               ●アシスト把手加算額 / ＿＿       ＿＿       ＿＿       ＿＿       ＿＿       ＿＿                2枚建         4枚建 / ¥41,200    ¥43,400    ¥63,700    ¥67,000    ¥69,000    ¥72,500   +¥25,900    +¥51,700 / 21</t>
        </is>
      </c>
      <c r="J33" t="inlineStr">
        <is>
          <t>202604_LIXIL_サーモスＬ_業務用資料集_完成品価格表.pdf</t>
        </is>
      </c>
      <c r="K33" t="inlineStr">
        <is>
          <t>https://drive.google.com/file/d/1YUN-mtWYs48YBUHJk0C3vJXnhjyZFHyf/view</t>
        </is>
      </c>
    </row>
    <row r="34">
      <c r="A34" s="42" t="inlineStr">
        <is>
          <t>GLG-SL-0031</t>
        </is>
      </c>
      <c r="B34" t="n">
        <v>21</v>
      </c>
      <c r="C34" t="inlineStr">
        <is>
          <t>◇</t>
        </is>
      </c>
      <c r="D34" t="inlineStr">
        <is>
          <t>P21|◇</t>
        </is>
      </c>
      <c r="E34" t="inlineStr">
        <is>
          <t>透明</t>
        </is>
      </c>
      <c r="F34" t="inlineStr">
        <is>
          <t>S-2（120）等級/S-1（80）等級</t>
        </is>
      </c>
      <c r="G34" t="inlineStr">
        <is>
          <t>原本凡例保持・列位置は原本参照</t>
        </is>
      </c>
      <c r="H34" t="b">
        <v>1</v>
      </c>
      <c r="I34" t="inlineStr">
        <is>
          <t>［25324-2］             ［25324-4］              ［34424］            価格表は以下の条件で算出しています。 / ¥119,300 ¥131,200 ¥155,200 ¥170,700 ¥177,300 ¥195,100                                  透明 / ¥139,000 ¥151,900 ¥189,700 ¥206,700 ¥213,500 ¥233,100                        S-2（120）等級 S-1（80）等級 / ＿＿       ＿＿       ＿＿       ＿＿       ＿＿       ＿＿ / ★            3-A-3 / ¥343,800 ¥355,700 ¥298,500 ¥314,000 ¥372,600 ¥390,400               ☆            3-A-4 / ¥363,500 ¥376,400 ¥333,000 ¥350,000 ¥408,800 ¥428,400               ◆            4-A-4 / ＿＿       ＿＿       ＿＿       ＿＿       ＿＿       ＿＿ / ◇                       3-A-3 / ¥394,000 ¥405,900 ¥365,300 ¥380,800 ¥465,400 ¥483,200               ●                       4-A-4 / ¥413,700 ¥426,600 ¥399,800 ¥416,800 ¥501,600 ¥521,200 / ＿＿       ＿＿       ＿＿       ＿＿       ＿＿       ＿＿               ●アシスト把手加算額 / ＿＿       ＿＿       ＿＿       ＿＿       ＿＿       ＿＿                2枚建         4枚建 / ¥41,200    ¥43,400    ¥63,700    ¥67,000    ¥69,000    ¥72,500   +¥25,900    +¥51,700 / 21</t>
        </is>
      </c>
      <c r="J34" t="inlineStr">
        <is>
          <t>202604_LIXIL_サーモスＬ_業務用資料集_完成品価格表.pdf</t>
        </is>
      </c>
      <c r="K34" t="inlineStr">
        <is>
          <t>https://drive.google.com/file/d/1YUN-mtWYs48YBUHJk0C3vJXnhjyZFHyf/view</t>
        </is>
      </c>
    </row>
    <row r="35">
      <c r="A35" s="42" t="inlineStr">
        <is>
          <t>GLG-SL-0032</t>
        </is>
      </c>
      <c r="B35" t="n">
        <v>22</v>
      </c>
      <c r="C35" t="inlineStr">
        <is>
          <t>無印</t>
        </is>
      </c>
      <c r="D35" t="inlineStr">
        <is>
          <t>P22|無印</t>
        </is>
      </c>
      <c r="E35" t="inlineStr">
        <is>
          <t>透明</t>
        </is>
      </c>
      <c r="F35" t="inlineStr">
        <is>
          <t>S-3（160）等級/S-2（120）等級</t>
        </is>
      </c>
      <c r="G35" t="inlineStr">
        <is>
          <t>原本凡例保持・列位置は原本参照</t>
        </is>
      </c>
      <c r="H35" t="b">
        <v>1</v>
      </c>
      <c r="I35" t="inlineStr">
        <is>
          <t>価格表は以下の条件で算出しています。                                    ●アシスト把手加算額 / 透明                          2枚建        4枚建 / S-3（160）等級 S-2（120）等級                +¥25,900   +¥51,700 / 無印                  3-A-3 / 3-A-3 / ○ / ※1 / 3-A-3 / （大壁和室障子） / ★                              3-A-3 / ☆                              3-A-4 / ◆                              4-A-4 / ※1 大壁和室障子のみS-2（120）等級となります。</t>
        </is>
      </c>
      <c r="J35" t="inlineStr">
        <is>
          <t>202604_LIXIL_サーモスＬ_業務用資料集_完成品価格表.pdf</t>
        </is>
      </c>
      <c r="K35" t="inlineStr">
        <is>
          <t>https://drive.google.com/file/d/1YUN-mtWYs48YBUHJk0C3vJXnhjyZFHyf/view</t>
        </is>
      </c>
    </row>
    <row r="36">
      <c r="A36" s="42" t="inlineStr">
        <is>
          <t>GLG-SL-0033</t>
        </is>
      </c>
      <c r="B36" t="n">
        <v>22</v>
      </c>
      <c r="C36" t="inlineStr">
        <is>
          <t>★</t>
        </is>
      </c>
      <c r="D36" t="inlineStr">
        <is>
          <t>P22|★</t>
        </is>
      </c>
      <c r="E36" t="inlineStr">
        <is>
          <t>透明</t>
        </is>
      </c>
      <c r="F36" t="inlineStr">
        <is>
          <t>S-3（160）等級/S-2（120）等級</t>
        </is>
      </c>
      <c r="G36" t="inlineStr">
        <is>
          <t>原本凡例保持・列位置は原本参照</t>
        </is>
      </c>
      <c r="H36" t="b">
        <v>1</v>
      </c>
      <c r="I36" t="inlineStr">
        <is>
          <t>価格表は以下の条件で算出しています。                                    ●アシスト把手加算額 / 透明                          2枚建        4枚建 / S-3（160）等級 S-2（120）等級                +¥25,900   +¥51,700 / 無印                  3-A-3 / 3-A-3 / ○ / ※1 / 3-A-3 / （大壁和室障子） / ★                              3-A-3 / ☆                              3-A-4 / ◆                              4-A-4 / ※1 大壁和室障子のみS-2（120）等級となります。</t>
        </is>
      </c>
      <c r="J36" t="inlineStr">
        <is>
          <t>202604_LIXIL_サーモスＬ_業務用資料集_完成品価格表.pdf</t>
        </is>
      </c>
      <c r="K36" t="inlineStr">
        <is>
          <t>https://drive.google.com/file/d/1YUN-mtWYs48YBUHJk0C3vJXnhjyZFHyf/view</t>
        </is>
      </c>
    </row>
    <row r="37">
      <c r="A37" s="42" t="inlineStr">
        <is>
          <t>GLG-SL-0034</t>
        </is>
      </c>
      <c r="B37" t="n">
        <v>22</v>
      </c>
      <c r="C37" t="inlineStr">
        <is>
          <t>☆</t>
        </is>
      </c>
      <c r="D37" t="inlineStr">
        <is>
          <t>P22|☆</t>
        </is>
      </c>
      <c r="E37" t="inlineStr">
        <is>
          <t>透明</t>
        </is>
      </c>
      <c r="F37" t="inlineStr">
        <is>
          <t>S-3（160）等級/S-2（120）等級</t>
        </is>
      </c>
      <c r="G37" t="inlineStr">
        <is>
          <t>原本凡例保持・列位置は原本参照</t>
        </is>
      </c>
      <c r="H37" t="b">
        <v>1</v>
      </c>
      <c r="I37" t="inlineStr">
        <is>
          <t>価格表は以下の条件で算出しています。                                    ●アシスト把手加算額 / 透明                          2枚建        4枚建 / S-3（160）等級 S-2（120）等級                +¥25,900   +¥51,700 / 無印                  3-A-3 / 3-A-3 / ○ / ※1 / 3-A-3 / （大壁和室障子） / ★                              3-A-3 / ☆                              3-A-4 / ◆                              4-A-4 / ※1 大壁和室障子のみS-2（120）等級となります。</t>
        </is>
      </c>
      <c r="J37" t="inlineStr">
        <is>
          <t>202604_LIXIL_サーモスＬ_業務用資料集_完成品価格表.pdf</t>
        </is>
      </c>
      <c r="K37" t="inlineStr">
        <is>
          <t>https://drive.google.com/file/d/1YUN-mtWYs48YBUHJk0C3vJXnhjyZFHyf/view</t>
        </is>
      </c>
    </row>
    <row r="38">
      <c r="A38" s="42" t="inlineStr">
        <is>
          <t>GLG-SL-0035</t>
        </is>
      </c>
      <c r="B38" t="n">
        <v>22</v>
      </c>
      <c r="C38" t="inlineStr">
        <is>
          <t>○</t>
        </is>
      </c>
      <c r="D38" t="inlineStr">
        <is>
          <t>P22|○</t>
        </is>
      </c>
      <c r="E38" t="inlineStr">
        <is>
          <t>透明</t>
        </is>
      </c>
      <c r="F38" t="inlineStr">
        <is>
          <t>S-3（160）等級/S-2（120）等級</t>
        </is>
      </c>
      <c r="G38" t="inlineStr">
        <is>
          <t>原本凡例保持・列位置は原本参照</t>
        </is>
      </c>
      <c r="H38" t="b">
        <v>1</v>
      </c>
      <c r="I38" t="inlineStr">
        <is>
          <t>価格表は以下の条件で算出しています。                                    ●アシスト把手加算額 / 透明                          2枚建        4枚建 / S-3（160）等級 S-2（120）等級                +¥25,900   +¥51,700 / 無印                  3-A-3 / 3-A-3 / ○ / ※1 / 3-A-3 / （大壁和室障子） / ★                              3-A-3 / ☆                              3-A-4 / ◆                              4-A-4 / ※1 大壁和室障子のみS-2（120）等級となります。</t>
        </is>
      </c>
      <c r="J38" t="inlineStr">
        <is>
          <t>202604_LIXIL_サーモスＬ_業務用資料集_完成品価格表.pdf</t>
        </is>
      </c>
      <c r="K38" t="inlineStr">
        <is>
          <t>https://drive.google.com/file/d/1YUN-mtWYs48YBUHJk0C3vJXnhjyZFHyf/view</t>
        </is>
      </c>
    </row>
    <row r="39">
      <c r="A39" s="42" t="inlineStr">
        <is>
          <t>GLG-SL-0036</t>
        </is>
      </c>
      <c r="B39" t="n">
        <v>22</v>
      </c>
      <c r="C39" t="inlineStr">
        <is>
          <t>●</t>
        </is>
      </c>
      <c r="D39" t="inlineStr">
        <is>
          <t>P22|●</t>
        </is>
      </c>
      <c r="E39" t="inlineStr">
        <is>
          <t>透明</t>
        </is>
      </c>
      <c r="F39" t="inlineStr">
        <is>
          <t>S-3（160）等級/S-2（120）等級</t>
        </is>
      </c>
      <c r="G39" t="inlineStr">
        <is>
          <t>原本凡例保持・列位置は原本参照</t>
        </is>
      </c>
      <c r="H39" t="b">
        <v>1</v>
      </c>
      <c r="I39" t="inlineStr">
        <is>
          <t>価格表は以下の条件で算出しています。                                    ●アシスト把手加算額 / 透明                          2枚建        4枚建 / S-3（160）等級 S-2（120）等級                +¥25,900   +¥51,700 / 無印                  3-A-3 / 3-A-3 / ○ / ※1 / 3-A-3 / （大壁和室障子） / ★                              3-A-3 / ☆                              3-A-4 / ◆                              4-A-4 / ※1 大壁和室障子のみS-2（120）等級となります。</t>
        </is>
      </c>
      <c r="J39" t="inlineStr">
        <is>
          <t>202604_LIXIL_サーモスＬ_業務用資料集_完成品価格表.pdf</t>
        </is>
      </c>
      <c r="K39" t="inlineStr">
        <is>
          <t>https://drive.google.com/file/d/1YUN-mtWYs48YBUHJk0C3vJXnhjyZFHyf/view</t>
        </is>
      </c>
    </row>
    <row r="40">
      <c r="A40" s="42" t="inlineStr">
        <is>
          <t>GLG-SL-0037</t>
        </is>
      </c>
      <c r="B40" t="n">
        <v>22</v>
      </c>
      <c r="C40" t="inlineStr">
        <is>
          <t>◆</t>
        </is>
      </c>
      <c r="D40" t="inlineStr">
        <is>
          <t>P22|◆</t>
        </is>
      </c>
      <c r="E40" t="inlineStr">
        <is>
          <t>透明</t>
        </is>
      </c>
      <c r="F40" t="inlineStr">
        <is>
          <t>S-3（160）等級/S-2（120）等級</t>
        </is>
      </c>
      <c r="G40" t="inlineStr">
        <is>
          <t>原本凡例保持・列位置は原本参照</t>
        </is>
      </c>
      <c r="H40" t="b">
        <v>1</v>
      </c>
      <c r="I40" t="inlineStr">
        <is>
          <t>価格表は以下の条件で算出しています。                                    ●アシスト把手加算額 / 透明                          2枚建        4枚建 / S-3（160）等級 S-2（120）等級                +¥25,900   +¥51,700 / 無印                  3-A-3 / 3-A-3 / ○ / ※1 / 3-A-3 / （大壁和室障子） / ★                              3-A-3 / ☆                              3-A-4 / ◆                              4-A-4 / ※1 大壁和室障子のみS-2（120）等級となります。</t>
        </is>
      </c>
      <c r="J40" t="inlineStr">
        <is>
          <t>202604_LIXIL_サーモスＬ_業務用資料集_完成品価格表.pdf</t>
        </is>
      </c>
      <c r="K40" t="inlineStr">
        <is>
          <t>https://drive.google.com/file/d/1YUN-mtWYs48YBUHJk0C3vJXnhjyZFHyf/view</t>
        </is>
      </c>
    </row>
    <row r="41">
      <c r="A41" s="42" t="inlineStr">
        <is>
          <t>GLG-SL-0038</t>
        </is>
      </c>
      <c r="B41" t="n">
        <v>24</v>
      </c>
      <c r="C41" t="inlineStr">
        <is>
          <t>無印</t>
        </is>
      </c>
      <c r="D41" t="inlineStr">
        <is>
          <t>P24|無印</t>
        </is>
      </c>
      <c r="E41" t="inlineStr">
        <is>
          <t>透明</t>
        </is>
      </c>
      <c r="F41" t="inlineStr">
        <is>
          <t>S-2（120）等級/S-1（80）等級</t>
        </is>
      </c>
      <c r="G41" t="inlineStr">
        <is>
          <t>原本凡例保持・列位置は原本参照</t>
        </is>
      </c>
      <c r="H41" t="b">
        <v>1</v>
      </c>
      <c r="I41" t="inlineStr">
        <is>
          <t>価格表は以下の条件で算出しています。                                    ●アシスト把手加算額 / 透明                          2枚建         4枚建 / S-2（120）等級 S-1（80）等級                 +¥25,900    +¥51,700 / ★                   3-A-3 / ◆                   4-A-4 / ●                              4-A-4</t>
        </is>
      </c>
      <c r="J41" t="inlineStr">
        <is>
          <t>202604_LIXIL_サーモスＬ_業務用資料集_完成品価格表.pdf</t>
        </is>
      </c>
      <c r="K41" t="inlineStr">
        <is>
          <t>https://drive.google.com/file/d/1YUN-mtWYs48YBUHJk0C3vJXnhjyZFHyf/view</t>
        </is>
      </c>
    </row>
    <row r="42">
      <c r="A42" s="42" t="inlineStr">
        <is>
          <t>GLG-SL-0039</t>
        </is>
      </c>
      <c r="B42" t="n">
        <v>24</v>
      </c>
      <c r="C42" t="inlineStr">
        <is>
          <t>★</t>
        </is>
      </c>
      <c r="D42" t="inlineStr">
        <is>
          <t>P24|★</t>
        </is>
      </c>
      <c r="E42" t="inlineStr">
        <is>
          <t>透明</t>
        </is>
      </c>
      <c r="F42" t="inlineStr">
        <is>
          <t>S-2（120）等級/S-1（80）等級</t>
        </is>
      </c>
      <c r="G42" t="inlineStr">
        <is>
          <t>原本凡例保持・列位置は原本参照</t>
        </is>
      </c>
      <c r="H42" t="b">
        <v>1</v>
      </c>
      <c r="I42" t="inlineStr">
        <is>
          <t>価格表は以下の条件で算出しています。                                    ●アシスト把手加算額 / 透明                          2枚建         4枚建 / S-2（120）等級 S-1（80）等級                 +¥25,900    +¥51,700 / ★                   3-A-3 / ◆                   4-A-4 / ●                              4-A-4</t>
        </is>
      </c>
      <c r="J42" t="inlineStr">
        <is>
          <t>202604_LIXIL_サーモスＬ_業務用資料集_完成品価格表.pdf</t>
        </is>
      </c>
      <c r="K42" t="inlineStr">
        <is>
          <t>https://drive.google.com/file/d/1YUN-mtWYs48YBUHJk0C3vJXnhjyZFHyf/view</t>
        </is>
      </c>
    </row>
    <row r="43">
      <c r="A43" s="42" t="inlineStr">
        <is>
          <t>GLG-SL-0040</t>
        </is>
      </c>
      <c r="B43" t="n">
        <v>24</v>
      </c>
      <c r="C43" t="inlineStr">
        <is>
          <t>●</t>
        </is>
      </c>
      <c r="D43" t="inlineStr">
        <is>
          <t>P24|●</t>
        </is>
      </c>
      <c r="E43" t="inlineStr">
        <is>
          <t>透明</t>
        </is>
      </c>
      <c r="F43" t="inlineStr">
        <is>
          <t>S-2（120）等級/S-1（80）等級</t>
        </is>
      </c>
      <c r="G43" t="inlineStr">
        <is>
          <t>原本凡例保持・列位置は原本参照</t>
        </is>
      </c>
      <c r="H43" t="b">
        <v>1</v>
      </c>
      <c r="I43" t="inlineStr">
        <is>
          <t>価格表は以下の条件で算出しています。                                    ●アシスト把手加算額 / 透明                          2枚建         4枚建 / S-2（120）等級 S-1（80）等級                 +¥25,900    +¥51,700 / ★                   3-A-3 / ◆                   4-A-4 / ●                              4-A-4</t>
        </is>
      </c>
      <c r="J43" t="inlineStr">
        <is>
          <t>202604_LIXIL_サーモスＬ_業務用資料集_完成品価格表.pdf</t>
        </is>
      </c>
      <c r="K43" t="inlineStr">
        <is>
          <t>https://drive.google.com/file/d/1YUN-mtWYs48YBUHJk0C3vJXnhjyZFHyf/view</t>
        </is>
      </c>
    </row>
    <row r="44">
      <c r="A44" s="42" t="inlineStr">
        <is>
          <t>GLG-SL-0041</t>
        </is>
      </c>
      <c r="B44" t="n">
        <v>24</v>
      </c>
      <c r="C44" t="inlineStr">
        <is>
          <t>◆</t>
        </is>
      </c>
      <c r="D44" t="inlineStr">
        <is>
          <t>P24|◆</t>
        </is>
      </c>
      <c r="E44" t="inlineStr">
        <is>
          <t>透明</t>
        </is>
      </c>
      <c r="F44" t="inlineStr">
        <is>
          <t>S-2（120）等級/S-1（80）等級</t>
        </is>
      </c>
      <c r="G44" t="inlineStr">
        <is>
          <t>原本凡例保持・列位置は原本参照</t>
        </is>
      </c>
      <c r="H44" t="b">
        <v>1</v>
      </c>
      <c r="I44" t="inlineStr">
        <is>
          <t>価格表は以下の条件で算出しています。                                    ●アシスト把手加算額 / 透明                          2枚建         4枚建 / S-2（120）等級 S-1（80）等級                 +¥25,900    +¥51,700 / ★                   3-A-3 / ◆                   4-A-4 / ●                              4-A-4</t>
        </is>
      </c>
      <c r="J44" t="inlineStr">
        <is>
          <t>202604_LIXIL_サーモスＬ_業務用資料集_完成品価格表.pdf</t>
        </is>
      </c>
      <c r="K44" t="inlineStr">
        <is>
          <t>https://drive.google.com/file/d/1YUN-mtWYs48YBUHJk0C3vJXnhjyZFHyf/view</t>
        </is>
      </c>
    </row>
    <row r="45">
      <c r="A45" s="42" t="inlineStr">
        <is>
          <t>GLG-SL-0042</t>
        </is>
      </c>
      <c r="B45" t="n">
        <v>27</v>
      </c>
      <c r="C45" t="inlineStr">
        <is>
          <t>無印</t>
        </is>
      </c>
      <c r="D45" t="inlineStr">
        <is>
          <t>P27|無印</t>
        </is>
      </c>
      <c r="E45" t="inlineStr">
        <is>
          <t>透明</t>
        </is>
      </c>
      <c r="F45" t="inlineStr">
        <is>
          <t>S-3（160）等級/S-2（120）等級</t>
        </is>
      </c>
      <c r="G45" t="inlineStr">
        <is>
          <t>原本凡例保持・列位置は原本参照</t>
        </is>
      </c>
      <c r="H45" t="b">
        <v>1</v>
      </c>
      <c r="I45"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45" t="inlineStr">
        <is>
          <t>202604_LIXIL_サーモスＬ_業務用資料集_完成品価格表.pdf</t>
        </is>
      </c>
      <c r="K45" t="inlineStr">
        <is>
          <t>https://drive.google.com/file/d/1YUN-mtWYs48YBUHJk0C3vJXnhjyZFHyf/view</t>
        </is>
      </c>
    </row>
    <row r="46">
      <c r="A46" s="42" t="inlineStr">
        <is>
          <t>GLG-SL-0043</t>
        </is>
      </c>
      <c r="B46" t="n">
        <v>27</v>
      </c>
      <c r="C46" t="inlineStr">
        <is>
          <t>★</t>
        </is>
      </c>
      <c r="D46" t="inlineStr">
        <is>
          <t>P27|★</t>
        </is>
      </c>
      <c r="E46" t="inlineStr">
        <is>
          <t>透明</t>
        </is>
      </c>
      <c r="F46" t="inlineStr">
        <is>
          <t>S-3（160）等級/S-2（120）等級</t>
        </is>
      </c>
      <c r="G46" t="inlineStr">
        <is>
          <t>原本凡例保持・列位置は原本参照</t>
        </is>
      </c>
      <c r="H46" t="b">
        <v>1</v>
      </c>
      <c r="I46"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46" t="inlineStr">
        <is>
          <t>202604_LIXIL_サーモスＬ_業務用資料集_完成品価格表.pdf</t>
        </is>
      </c>
      <c r="K46" t="inlineStr">
        <is>
          <t>https://drive.google.com/file/d/1YUN-mtWYs48YBUHJk0C3vJXnhjyZFHyf/view</t>
        </is>
      </c>
    </row>
    <row r="47">
      <c r="A47" s="42" t="inlineStr">
        <is>
          <t>GLG-SL-0044</t>
        </is>
      </c>
      <c r="B47" t="n">
        <v>27</v>
      </c>
      <c r="C47" t="inlineStr">
        <is>
          <t>☆</t>
        </is>
      </c>
      <c r="D47" t="inlineStr">
        <is>
          <t>P27|☆</t>
        </is>
      </c>
      <c r="E47" t="inlineStr">
        <is>
          <t>透明</t>
        </is>
      </c>
      <c r="F47" t="inlineStr">
        <is>
          <t>S-3（160）等級/S-2（120）等級</t>
        </is>
      </c>
      <c r="G47" t="inlineStr">
        <is>
          <t>原本凡例保持・列位置は原本参照</t>
        </is>
      </c>
      <c r="H47" t="b">
        <v>1</v>
      </c>
      <c r="I47"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47" t="inlineStr">
        <is>
          <t>202604_LIXIL_サーモスＬ_業務用資料集_完成品価格表.pdf</t>
        </is>
      </c>
      <c r="K47" t="inlineStr">
        <is>
          <t>https://drive.google.com/file/d/1YUN-mtWYs48YBUHJk0C3vJXnhjyZFHyf/view</t>
        </is>
      </c>
    </row>
    <row r="48">
      <c r="A48" s="42" t="inlineStr">
        <is>
          <t>GLG-SL-0045</t>
        </is>
      </c>
      <c r="B48" t="n">
        <v>27</v>
      </c>
      <c r="C48" t="inlineStr">
        <is>
          <t>○</t>
        </is>
      </c>
      <c r="D48" t="inlineStr">
        <is>
          <t>P27|○</t>
        </is>
      </c>
      <c r="E48" t="inlineStr">
        <is>
          <t>透明</t>
        </is>
      </c>
      <c r="F48" t="inlineStr">
        <is>
          <t>S-3（160）等級/S-2（120）等級</t>
        </is>
      </c>
      <c r="G48" t="inlineStr">
        <is>
          <t>原本凡例保持・列位置は原本参照</t>
        </is>
      </c>
      <c r="H48" t="b">
        <v>1</v>
      </c>
      <c r="I48"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48" t="inlineStr">
        <is>
          <t>202604_LIXIL_サーモスＬ_業務用資料集_完成品価格表.pdf</t>
        </is>
      </c>
      <c r="K48" t="inlineStr">
        <is>
          <t>https://drive.google.com/file/d/1YUN-mtWYs48YBUHJk0C3vJXnhjyZFHyf/view</t>
        </is>
      </c>
    </row>
    <row r="49">
      <c r="A49" s="42" t="inlineStr">
        <is>
          <t>GLG-SL-0046</t>
        </is>
      </c>
      <c r="B49" t="n">
        <v>27</v>
      </c>
      <c r="C49" t="inlineStr">
        <is>
          <t>●</t>
        </is>
      </c>
      <c r="D49" t="inlineStr">
        <is>
          <t>P27|●</t>
        </is>
      </c>
      <c r="E49" t="inlineStr">
        <is>
          <t>透明</t>
        </is>
      </c>
      <c r="F49" t="inlineStr">
        <is>
          <t>S-3（160）等級/S-2（120）等級</t>
        </is>
      </c>
      <c r="G49" t="inlineStr">
        <is>
          <t>原本凡例保持・列位置は原本参照</t>
        </is>
      </c>
      <c r="H49" t="b">
        <v>1</v>
      </c>
      <c r="I49"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49" t="inlineStr">
        <is>
          <t>202604_LIXIL_サーモスＬ_業務用資料集_完成品価格表.pdf</t>
        </is>
      </c>
      <c r="K49" t="inlineStr">
        <is>
          <t>https://drive.google.com/file/d/1YUN-mtWYs48YBUHJk0C3vJXnhjyZFHyf/view</t>
        </is>
      </c>
    </row>
    <row r="50">
      <c r="A50" s="42" t="inlineStr">
        <is>
          <t>GLG-SL-0047</t>
        </is>
      </c>
      <c r="B50" t="n">
        <v>27</v>
      </c>
      <c r="C50" t="inlineStr">
        <is>
          <t>◆</t>
        </is>
      </c>
      <c r="D50" t="inlineStr">
        <is>
          <t>P27|◆</t>
        </is>
      </c>
      <c r="E50" t="inlineStr">
        <is>
          <t>透明</t>
        </is>
      </c>
      <c r="F50" t="inlineStr">
        <is>
          <t>S-3（160）等級/S-2（120）等級</t>
        </is>
      </c>
      <c r="G50" t="inlineStr">
        <is>
          <t>原本凡例保持・列位置は原本参照</t>
        </is>
      </c>
      <c r="H50" t="b">
        <v>1</v>
      </c>
      <c r="I50"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50" t="inlineStr">
        <is>
          <t>202604_LIXIL_サーモスＬ_業務用資料集_完成品価格表.pdf</t>
        </is>
      </c>
      <c r="K50" t="inlineStr">
        <is>
          <t>https://drive.google.com/file/d/1YUN-mtWYs48YBUHJk0C3vJXnhjyZFHyf/view</t>
        </is>
      </c>
    </row>
    <row r="51">
      <c r="A51" s="42" t="inlineStr">
        <is>
          <t>GLG-SL-0048</t>
        </is>
      </c>
      <c r="B51" t="n">
        <v>27</v>
      </c>
      <c r="C51" t="inlineStr">
        <is>
          <t>△</t>
        </is>
      </c>
      <c r="D51" t="inlineStr">
        <is>
          <t>P27|△</t>
        </is>
      </c>
      <c r="E51" t="inlineStr">
        <is>
          <t>透明</t>
        </is>
      </c>
      <c r="F51" t="inlineStr">
        <is>
          <t>S-3（160）等級/S-2（120）等級</t>
        </is>
      </c>
      <c r="G51" t="inlineStr">
        <is>
          <t>原本凡例保持・列位置は原本参照</t>
        </is>
      </c>
      <c r="H51" t="b">
        <v>1</v>
      </c>
      <c r="I51" t="inlineStr">
        <is>
          <t>＿＿            ＿＿     価格表は以下の条件で算出しています。 / ¥27,900       ¥29,500                        透明 / ¥42,600       ¥44,900              S-3（160）等級 S-2（120）等級 / 24320-4B               無印            3-A-3 / ［24020-4B］                                       3-A-3 / △ / ※1 / 3-A-3 / ¥136,400      ¥149,700                          （PG障子） / ¥168,300      ¥183,000                  3-A-3 / ○ / ※2 / ＿＿            ＿＿                               3-A-3 / （把手障子） / ¥250,900      ¥264,200     ★                       3-A-3 / ¥282,000      ¥296,700     ☆                       3-A-4 / ＿＿            ＿＿ / ◆                       4-A-4 / ¥303,700      ¥317,000 / ※1 PG障子のみS-2（120）等級となります。 / ※2 把手障子のみS-3（160）等級となります。 / ¥334,400      ¥349,100 / ＿＿            ＿＿ / ¥29,900       ¥31,400   ●アシスト把手加算額 / ¥45,700       ¥48,100    2枚建         4枚建 / +¥2,400       +¥2,400   +¥25,900    +¥51,700</t>
        </is>
      </c>
      <c r="J51" t="inlineStr">
        <is>
          <t>202604_LIXIL_サーモスＬ_業務用資料集_完成品価格表.pdf</t>
        </is>
      </c>
      <c r="K51" t="inlineStr">
        <is>
          <t>https://drive.google.com/file/d/1YUN-mtWYs48YBUHJk0C3vJXnhjyZFHyf/view</t>
        </is>
      </c>
    </row>
    <row r="52">
      <c r="A52" s="42" t="inlineStr">
        <is>
          <t>GLG-SL-0049</t>
        </is>
      </c>
      <c r="B52" t="n">
        <v>28</v>
      </c>
      <c r="C52" t="inlineStr">
        <is>
          <t>無印</t>
        </is>
      </c>
      <c r="D52" t="inlineStr">
        <is>
          <t>P28|無印</t>
        </is>
      </c>
      <c r="E52" t="inlineStr">
        <is>
          <t>透明</t>
        </is>
      </c>
      <c r="F52" t="inlineStr">
        <is>
          <t>S-2（120）等級/S-1（80）等級</t>
        </is>
      </c>
      <c r="G52" t="inlineStr">
        <is>
          <t>原本凡例保持・列位置は原本参照</t>
        </is>
      </c>
      <c r="H52" t="b">
        <v>1</v>
      </c>
      <c r="I52" t="inlineStr">
        <is>
          <t>価格表は以下の条件で算出しています。                                   ●アシスト把手加算額 / 透明                        2枚建         4枚建 / S-2（120）等級 S-1（80）等級               +¥25,900    +¥51,700 / ★                   3-A-3 / ☆                   3-A-4 / ◆                   4-A-4 / ●                              4-A-4</t>
        </is>
      </c>
      <c r="J52" t="inlineStr">
        <is>
          <t>202604_LIXIL_サーモスＬ_業務用資料集_完成品価格表.pdf</t>
        </is>
      </c>
      <c r="K52" t="inlineStr">
        <is>
          <t>https://drive.google.com/file/d/1YUN-mtWYs48YBUHJk0C3vJXnhjyZFHyf/view</t>
        </is>
      </c>
    </row>
    <row r="53">
      <c r="A53" s="42" t="inlineStr">
        <is>
          <t>GLG-SL-0050</t>
        </is>
      </c>
      <c r="B53" t="n">
        <v>28</v>
      </c>
      <c r="C53" t="inlineStr">
        <is>
          <t>★</t>
        </is>
      </c>
      <c r="D53" t="inlineStr">
        <is>
          <t>P28|★</t>
        </is>
      </c>
      <c r="E53" t="inlineStr">
        <is>
          <t>透明</t>
        </is>
      </c>
      <c r="F53" t="inlineStr">
        <is>
          <t>S-2（120）等級/S-1（80）等級</t>
        </is>
      </c>
      <c r="G53" t="inlineStr">
        <is>
          <t>原本凡例保持・列位置は原本参照</t>
        </is>
      </c>
      <c r="H53" t="b">
        <v>1</v>
      </c>
      <c r="I53" t="inlineStr">
        <is>
          <t>価格表は以下の条件で算出しています。                                   ●アシスト把手加算額 / 透明                        2枚建         4枚建 / S-2（120）等級 S-1（80）等級               +¥25,900    +¥51,700 / ★                   3-A-3 / ☆                   3-A-4 / ◆                   4-A-4 / ●                              4-A-4</t>
        </is>
      </c>
      <c r="J53" t="inlineStr">
        <is>
          <t>202604_LIXIL_サーモスＬ_業務用資料集_完成品価格表.pdf</t>
        </is>
      </c>
      <c r="K53" t="inlineStr">
        <is>
          <t>https://drive.google.com/file/d/1YUN-mtWYs48YBUHJk0C3vJXnhjyZFHyf/view</t>
        </is>
      </c>
    </row>
    <row r="54">
      <c r="A54" s="42" t="inlineStr">
        <is>
          <t>GLG-SL-0051</t>
        </is>
      </c>
      <c r="B54" t="n">
        <v>28</v>
      </c>
      <c r="C54" t="inlineStr">
        <is>
          <t>☆</t>
        </is>
      </c>
      <c r="D54" t="inlineStr">
        <is>
          <t>P28|☆</t>
        </is>
      </c>
      <c r="E54" t="inlineStr">
        <is>
          <t>透明</t>
        </is>
      </c>
      <c r="F54" t="inlineStr">
        <is>
          <t>S-2（120）等級/S-1（80）等級</t>
        </is>
      </c>
      <c r="G54" t="inlineStr">
        <is>
          <t>原本凡例保持・列位置は原本参照</t>
        </is>
      </c>
      <c r="H54" t="b">
        <v>1</v>
      </c>
      <c r="I54" t="inlineStr">
        <is>
          <t>価格表は以下の条件で算出しています。                                   ●アシスト把手加算額 / 透明                        2枚建         4枚建 / S-2（120）等級 S-1（80）等級               +¥25,900    +¥51,700 / ★                   3-A-3 / ☆                   3-A-4 / ◆                   4-A-4 / ●                              4-A-4</t>
        </is>
      </c>
      <c r="J54" t="inlineStr">
        <is>
          <t>202604_LIXIL_サーモスＬ_業務用資料集_完成品価格表.pdf</t>
        </is>
      </c>
      <c r="K54" t="inlineStr">
        <is>
          <t>https://drive.google.com/file/d/1YUN-mtWYs48YBUHJk0C3vJXnhjyZFHyf/view</t>
        </is>
      </c>
    </row>
    <row r="55">
      <c r="A55" s="42" t="inlineStr">
        <is>
          <t>GLG-SL-0052</t>
        </is>
      </c>
      <c r="B55" t="n">
        <v>28</v>
      </c>
      <c r="C55" t="inlineStr">
        <is>
          <t>●</t>
        </is>
      </c>
      <c r="D55" t="inlineStr">
        <is>
          <t>P28|●</t>
        </is>
      </c>
      <c r="E55" t="inlineStr">
        <is>
          <t>透明</t>
        </is>
      </c>
      <c r="F55" t="inlineStr">
        <is>
          <t>S-2（120）等級/S-1（80）等級</t>
        </is>
      </c>
      <c r="G55" t="inlineStr">
        <is>
          <t>原本凡例保持・列位置は原本参照</t>
        </is>
      </c>
      <c r="H55" t="b">
        <v>1</v>
      </c>
      <c r="I55" t="inlineStr">
        <is>
          <t>価格表は以下の条件で算出しています。                                   ●アシスト把手加算額 / 透明                        2枚建         4枚建 / S-2（120）等級 S-1（80）等級               +¥25,900    +¥51,700 / ★                   3-A-3 / ☆                   3-A-4 / ◆                   4-A-4 / ●                              4-A-4</t>
        </is>
      </c>
      <c r="J55" t="inlineStr">
        <is>
          <t>202604_LIXIL_サーモスＬ_業務用資料集_完成品価格表.pdf</t>
        </is>
      </c>
      <c r="K55" t="inlineStr">
        <is>
          <t>https://drive.google.com/file/d/1YUN-mtWYs48YBUHJk0C3vJXnhjyZFHyf/view</t>
        </is>
      </c>
    </row>
    <row r="56">
      <c r="A56" s="42" t="inlineStr">
        <is>
          <t>GLG-SL-0053</t>
        </is>
      </c>
      <c r="B56" t="n">
        <v>28</v>
      </c>
      <c r="C56" t="inlineStr">
        <is>
          <t>◆</t>
        </is>
      </c>
      <c r="D56" t="inlineStr">
        <is>
          <t>P28|◆</t>
        </is>
      </c>
      <c r="E56" t="inlineStr">
        <is>
          <t>透明</t>
        </is>
      </c>
      <c r="F56" t="inlineStr">
        <is>
          <t>S-2（120）等級/S-1（80）等級</t>
        </is>
      </c>
      <c r="G56" t="inlineStr">
        <is>
          <t>原本凡例保持・列位置は原本参照</t>
        </is>
      </c>
      <c r="H56" t="b">
        <v>1</v>
      </c>
      <c r="I56" t="inlineStr">
        <is>
          <t>価格表は以下の条件で算出しています。                                   ●アシスト把手加算額 / 透明                        2枚建         4枚建 / S-2（120）等級 S-1（80）等級               +¥25,900    +¥51,700 / ★                   3-A-3 / ☆                   3-A-4 / ◆                   4-A-4 / ●                              4-A-4</t>
        </is>
      </c>
      <c r="J56" t="inlineStr">
        <is>
          <t>202604_LIXIL_サーモスＬ_業務用資料集_完成品価格表.pdf</t>
        </is>
      </c>
      <c r="K56" t="inlineStr">
        <is>
          <t>https://drive.google.com/file/d/1YUN-mtWYs48YBUHJk0C3vJXnhjyZFHyf/view</t>
        </is>
      </c>
    </row>
    <row r="57">
      <c r="A57" s="42" t="inlineStr">
        <is>
          <t>GLG-SL-0054</t>
        </is>
      </c>
      <c r="B57" t="n">
        <v>30</v>
      </c>
      <c r="C57" t="inlineStr">
        <is>
          <t>無印</t>
        </is>
      </c>
      <c r="D57" t="inlineStr">
        <is>
          <t>P30|無印</t>
        </is>
      </c>
      <c r="E57" t="inlineStr">
        <is>
          <t>透明/型</t>
        </is>
      </c>
      <c r="F57" t="inlineStr">
        <is>
          <t>S-3（160）等級</t>
        </is>
      </c>
      <c r="G57" t="inlineStr">
        <is>
          <t>原本凡例保持・列位置は原本参照</t>
        </is>
      </c>
      <c r="H57" t="b">
        <v>1</v>
      </c>
      <c r="I57" t="inlineStr">
        <is>
          <t>価格表は以下の条件で算出しています。                                    ●採風タイプ単機能リモコン加算額 / 透明          型                                       単窓 / S-3（160）等級 S-3（160）等級                                 −￥66,300 / 3-A-3     3-A-型4 / ●ホームデバイス / ￥50,000</t>
        </is>
      </c>
      <c r="J57" t="inlineStr">
        <is>
          <t>202604_LIXIL_サーモスＬ_業務用資料集_完成品価格表.pdf</t>
        </is>
      </c>
      <c r="K57" t="inlineStr">
        <is>
          <t>https://drive.google.com/file/d/1YUN-mtWYs48YBUHJk0C3vJXnhjyZFHyf/view</t>
        </is>
      </c>
    </row>
    <row r="58">
      <c r="A58" s="42" t="inlineStr">
        <is>
          <t>GLG-SL-0055</t>
        </is>
      </c>
      <c r="B58" t="n">
        <v>30</v>
      </c>
      <c r="C58" t="inlineStr">
        <is>
          <t>●</t>
        </is>
      </c>
      <c r="D58" t="inlineStr">
        <is>
          <t>P30|●</t>
        </is>
      </c>
      <c r="E58" t="inlineStr">
        <is>
          <t>透明/型</t>
        </is>
      </c>
      <c r="F58" t="inlineStr">
        <is>
          <t>S-3（160）等級</t>
        </is>
      </c>
      <c r="G58" t="inlineStr">
        <is>
          <t>原本凡例保持・列位置は原本参照</t>
        </is>
      </c>
      <c r="H58" t="b">
        <v>1</v>
      </c>
      <c r="I58" t="inlineStr">
        <is>
          <t>価格表は以下の条件で算出しています。                                    ●採風タイプ単機能リモコン加算額 / 透明          型                                       単窓 / S-3（160）等級 S-3（160）等級                                 −￥66,300 / 3-A-3     3-A-型4 / ●ホームデバイス / ￥50,000</t>
        </is>
      </c>
      <c r="J58" t="inlineStr">
        <is>
          <t>202604_LIXIL_サーモスＬ_業務用資料集_完成品価格表.pdf</t>
        </is>
      </c>
      <c r="K58" t="inlineStr">
        <is>
          <t>https://drive.google.com/file/d/1YUN-mtWYs48YBUHJk0C3vJXnhjyZFHyf/view</t>
        </is>
      </c>
    </row>
    <row r="59">
      <c r="A59" s="42" t="inlineStr">
        <is>
          <t>GLG-SL-0056</t>
        </is>
      </c>
      <c r="B59" t="n">
        <v>33</v>
      </c>
      <c r="C59" t="inlineStr">
        <is>
          <t>無印</t>
        </is>
      </c>
      <c r="D59" t="inlineStr">
        <is>
          <t>P33|無印</t>
        </is>
      </c>
      <c r="E59" t="inlineStr">
        <is>
          <t>透明/型</t>
        </is>
      </c>
      <c r="F59" t="inlineStr">
        <is>
          <t>S-3（160）等級/S-2（120）等級</t>
        </is>
      </c>
      <c r="G59" t="inlineStr">
        <is>
          <t>原本凡例保持・列位置は原本参照</t>
        </is>
      </c>
      <c r="H59" t="b">
        <v>1</v>
      </c>
      <c r="I59" t="inlineStr">
        <is>
          <t>価格表は以下の条件で算出しています。 / 透明 / S-3（160）等級 S-2（120）等級 / 無印            3-A-3 / ★            3-A-3 / ☆                       3-A-3 / 型 / S-3（160）等級 S-2（120）等級 / ☆25111-2             25111-4            ☆25611-2             25611-4            無印           3-A-型4 / ［24811-2］           ［24811-4］           ［25311-2］           ［25311-4］            ★                      3-A-型4 / ¥308,400  ¥329,400  ¥324,200  ¥346,700  ¥308,400  ¥329,400  ¥324,200  ¥346,700 / ☆                      4-A-型4 / ¥378,500  ¥399,500  ¥392,300  ¥414,800  ¥379,700  ¥400,700  ¥393,900  ¥416,400 / ¥412,900  ¥433,900  ¥392,300  ¥414,800  ¥414,900  ¥435,900  ¥393,900  ¥416,400   ●採風タイプ単機能リモコン加算額 / ¥409,500  ¥430,500  ¥422,700  ¥445,200  ¥411,500  ¥432,500  ¥424,700  ¥447,200     単窓 / ¥435,500  ¥456,500  ¥422,700  ¥445,200  ¥437,900  ¥458,900  ¥424,700  ¥447,200   −￥66,300 / +¥341,400 +¥358,400 +¥341,400 +¥358,400 +¥341,400 +¥358,400 +¥341,400 +¥358,400 / +¥157,600 +¥165,600 +¥157,600 +¥165,600 +¥157,600 +¥165,600 +¥157,600 +¥165,600   ●ホームデバイス / ¥13,200   ¥14,000   ¥18,400   ¥19,400   ¥13,200   ¥14,000   ¥18,400   ¥19,400   ￥50,000 / 33</t>
        </is>
      </c>
      <c r="J59" t="inlineStr">
        <is>
          <t>202604_LIXIL_サーモスＬ_業務用資料集_完成品価格表.pdf</t>
        </is>
      </c>
      <c r="K59" t="inlineStr">
        <is>
          <t>https://drive.google.com/file/d/1YUN-mtWYs48YBUHJk0C3vJXnhjyZFHyf/view</t>
        </is>
      </c>
    </row>
    <row r="60">
      <c r="A60" s="42" t="inlineStr">
        <is>
          <t>GLG-SL-0057</t>
        </is>
      </c>
      <c r="B60" t="n">
        <v>33</v>
      </c>
      <c r="C60" t="inlineStr">
        <is>
          <t>★</t>
        </is>
      </c>
      <c r="D60" t="inlineStr">
        <is>
          <t>P33|★</t>
        </is>
      </c>
      <c r="E60" t="inlineStr">
        <is>
          <t>透明/型</t>
        </is>
      </c>
      <c r="F60" t="inlineStr">
        <is>
          <t>S-3（160）等級/S-2（120）等級</t>
        </is>
      </c>
      <c r="G60" t="inlineStr">
        <is>
          <t>原本凡例保持・列位置は原本参照</t>
        </is>
      </c>
      <c r="H60" t="b">
        <v>1</v>
      </c>
      <c r="I60" t="inlineStr">
        <is>
          <t>価格表は以下の条件で算出しています。 / 透明 / S-3（160）等級 S-2（120）等級 / 無印            3-A-3 / ★            3-A-3 / ☆                       3-A-3 / 型 / S-3（160）等級 S-2（120）等級 / ☆25111-2             25111-4            ☆25611-2             25611-4            無印           3-A-型4 / ［24811-2］           ［24811-4］           ［25311-2］           ［25311-4］            ★                      3-A-型4 / ¥308,400  ¥329,400  ¥324,200  ¥346,700  ¥308,400  ¥329,400  ¥324,200  ¥346,700 / ☆                      4-A-型4 / ¥378,500  ¥399,500  ¥392,300  ¥414,800  ¥379,700  ¥400,700  ¥393,900  ¥416,400 / ¥412,900  ¥433,900  ¥392,300  ¥414,800  ¥414,900  ¥435,900  ¥393,900  ¥416,400   ●採風タイプ単機能リモコン加算額 / ¥409,500  ¥430,500  ¥422,700  ¥445,200  ¥411,500  ¥432,500  ¥424,700  ¥447,200     単窓 / ¥435,500  ¥456,500  ¥422,700  ¥445,200  ¥437,900  ¥458,900  ¥424,700  ¥447,200   −￥66,300 / +¥341,400 +¥358,400 +¥341,400 +¥358,400 +¥341,400 +¥358,400 +¥341,400 +¥358,400 / +¥157,600 +¥165,600 +¥157,600 +¥165,600 +¥157,600 +¥165,600 +¥157,600 +¥165,600   ●ホームデバイス / ¥13,200   ¥14,000   ¥18,400   ¥19,400   ¥13,200   ¥14,000   ¥18,400   ¥19,400   ￥50,000 / 33</t>
        </is>
      </c>
      <c r="J60" t="inlineStr">
        <is>
          <t>202604_LIXIL_サーモスＬ_業務用資料集_完成品価格表.pdf</t>
        </is>
      </c>
      <c r="K60" t="inlineStr">
        <is>
          <t>https://drive.google.com/file/d/1YUN-mtWYs48YBUHJk0C3vJXnhjyZFHyf/view</t>
        </is>
      </c>
    </row>
    <row r="61">
      <c r="A61" s="42" t="inlineStr">
        <is>
          <t>GLG-SL-0058</t>
        </is>
      </c>
      <c r="B61" t="n">
        <v>33</v>
      </c>
      <c r="C61" t="inlineStr">
        <is>
          <t>☆</t>
        </is>
      </c>
      <c r="D61" t="inlineStr">
        <is>
          <t>P33|☆</t>
        </is>
      </c>
      <c r="E61" t="inlineStr">
        <is>
          <t>透明/型</t>
        </is>
      </c>
      <c r="F61" t="inlineStr">
        <is>
          <t>S-3（160）等級/S-2（120）等級</t>
        </is>
      </c>
      <c r="G61" t="inlineStr">
        <is>
          <t>原本凡例保持・列位置は原本参照</t>
        </is>
      </c>
      <c r="H61" t="b">
        <v>1</v>
      </c>
      <c r="I61" t="inlineStr">
        <is>
          <t>価格表は以下の条件で算出しています。 / 透明 / S-3（160）等級 S-2（120）等級 / 無印            3-A-3 / ★            3-A-3 / ☆                       3-A-3 / 型 / S-3（160）等級 S-2（120）等級 / ☆25111-2             25111-4            ☆25611-2             25611-4            無印           3-A-型4 / ［24811-2］           ［24811-4］           ［25311-2］           ［25311-4］            ★                      3-A-型4 / ¥308,400  ¥329,400  ¥324,200  ¥346,700  ¥308,400  ¥329,400  ¥324,200  ¥346,700 / ☆                      4-A-型4 / ¥378,500  ¥399,500  ¥392,300  ¥414,800  ¥379,700  ¥400,700  ¥393,900  ¥416,400 / ¥412,900  ¥433,900  ¥392,300  ¥414,800  ¥414,900  ¥435,900  ¥393,900  ¥416,400   ●採風タイプ単機能リモコン加算額 / ¥409,500  ¥430,500  ¥422,700  ¥445,200  ¥411,500  ¥432,500  ¥424,700  ¥447,200     単窓 / ¥435,500  ¥456,500  ¥422,700  ¥445,200  ¥437,900  ¥458,900  ¥424,700  ¥447,200   −￥66,300 / +¥341,400 +¥358,400 +¥341,400 +¥358,400 +¥341,400 +¥358,400 +¥341,400 +¥358,400 / +¥157,600 +¥165,600 +¥157,600 +¥165,600 +¥157,600 +¥165,600 +¥157,600 +¥165,600   ●ホームデバイス / ¥13,200   ¥14,000   ¥18,400   ¥19,400   ¥13,200   ¥14,000   ¥18,400   ¥19,400   ￥50,000 / 33</t>
        </is>
      </c>
      <c r="J61" t="inlineStr">
        <is>
          <t>202604_LIXIL_サーモスＬ_業務用資料集_完成品価格表.pdf</t>
        </is>
      </c>
      <c r="K61" t="inlineStr">
        <is>
          <t>https://drive.google.com/file/d/1YUN-mtWYs48YBUHJk0C3vJXnhjyZFHyf/view</t>
        </is>
      </c>
    </row>
    <row r="62">
      <c r="A62" s="42" t="inlineStr">
        <is>
          <t>GLG-SL-0059</t>
        </is>
      </c>
      <c r="B62" t="n">
        <v>33</v>
      </c>
      <c r="C62" t="inlineStr">
        <is>
          <t>●</t>
        </is>
      </c>
      <c r="D62" t="inlineStr">
        <is>
          <t>P33|●</t>
        </is>
      </c>
      <c r="E62" t="inlineStr">
        <is>
          <t>透明/型</t>
        </is>
      </c>
      <c r="F62" t="inlineStr">
        <is>
          <t>S-3（160）等級/S-2（120）等級</t>
        </is>
      </c>
      <c r="G62" t="inlineStr">
        <is>
          <t>原本凡例保持・列位置は原本参照</t>
        </is>
      </c>
      <c r="H62" t="b">
        <v>1</v>
      </c>
      <c r="I62" t="inlineStr">
        <is>
          <t>価格表は以下の条件で算出しています。 / 透明 / S-3（160）等級 S-2（120）等級 / 無印            3-A-3 / ★            3-A-3 / ☆                       3-A-3 / 型 / S-3（160）等級 S-2（120）等級 / ☆25111-2             25111-4            ☆25611-2             25611-4            無印           3-A-型4 / ［24811-2］           ［24811-4］           ［25311-2］           ［25311-4］            ★                      3-A-型4 / ¥308,400  ¥329,400  ¥324,200  ¥346,700  ¥308,400  ¥329,400  ¥324,200  ¥346,700 / ☆                      4-A-型4 / ¥378,500  ¥399,500  ¥392,300  ¥414,800  ¥379,700  ¥400,700  ¥393,900  ¥416,400 / ¥412,900  ¥433,900  ¥392,300  ¥414,800  ¥414,900  ¥435,900  ¥393,900  ¥416,400   ●採風タイプ単機能リモコン加算額 / ¥409,500  ¥430,500  ¥422,700  ¥445,200  ¥411,500  ¥432,500  ¥424,700  ¥447,200     単窓 / ¥435,500  ¥456,500  ¥422,700  ¥445,200  ¥437,900  ¥458,900  ¥424,700  ¥447,200   −￥66,300 / +¥341,400 +¥358,400 +¥341,400 +¥358,400 +¥341,400 +¥358,400 +¥341,400 +¥358,400 / +¥157,600 +¥165,600 +¥157,600 +¥165,600 +¥157,600 +¥165,600 +¥157,600 +¥165,600   ●ホームデバイス / ¥13,200   ¥14,000   ¥18,400   ¥19,400   ¥13,200   ¥14,000   ¥18,400   ¥19,400   ￥50,000 / 33</t>
        </is>
      </c>
      <c r="J62" t="inlineStr">
        <is>
          <t>202604_LIXIL_サーモスＬ_業務用資料集_完成品価格表.pdf</t>
        </is>
      </c>
      <c r="K62" t="inlineStr">
        <is>
          <t>https://drive.google.com/file/d/1YUN-mtWYs48YBUHJk0C3vJXnhjyZFHyf/view</t>
        </is>
      </c>
    </row>
    <row r="63">
      <c r="A63" s="42" t="inlineStr">
        <is>
          <t>GLG-SL-0060</t>
        </is>
      </c>
      <c r="B63" t="n">
        <v>34</v>
      </c>
      <c r="C63" t="inlineStr">
        <is>
          <t>無印</t>
        </is>
      </c>
      <c r="D63" t="inlineStr">
        <is>
          <t>P34|無印</t>
        </is>
      </c>
      <c r="E63" t="inlineStr">
        <is>
          <t>透明/型</t>
        </is>
      </c>
      <c r="F63" t="inlineStr">
        <is>
          <t>S-3（160）等級/S-2（120）等級</t>
        </is>
      </c>
      <c r="G63" t="inlineStr">
        <is>
          <t>原本凡例保持・列位置は原本参照</t>
        </is>
      </c>
      <c r="H63" t="b">
        <v>1</v>
      </c>
      <c r="I63" t="inlineStr">
        <is>
          <t>価格表は以下の条件で算出しています。                                                              ●採風タイプ単機能リモコン加算額                    ●ホームデバイス / 透明                    型                              単窓                                ￥50,000 / S-3（160）等級 S-2（120）等級 S-3（160）等級 S-2（120）等級                  −￥66,300 / 無印                  3-A-3                3-A-型4 / ★                  3-A-3                           3-A-型4                       有効開口拡大仕様と通常品の設定あり / ○                             3-A-3                3-A-型4</t>
        </is>
      </c>
      <c r="J63" t="inlineStr">
        <is>
          <t>202604_LIXIL_サーモスＬ_業務用資料集_完成品価格表.pdf</t>
        </is>
      </c>
      <c r="K63" t="inlineStr">
        <is>
          <t>https://drive.google.com/file/d/1YUN-mtWYs48YBUHJk0C3vJXnhjyZFHyf/view</t>
        </is>
      </c>
    </row>
    <row r="64">
      <c r="A64" s="42" t="inlineStr">
        <is>
          <t>GLG-SL-0061</t>
        </is>
      </c>
      <c r="B64" t="n">
        <v>34</v>
      </c>
      <c r="C64" t="inlineStr">
        <is>
          <t>★</t>
        </is>
      </c>
      <c r="D64" t="inlineStr">
        <is>
          <t>P34|★</t>
        </is>
      </c>
      <c r="E64" t="inlineStr">
        <is>
          <t>透明/型</t>
        </is>
      </c>
      <c r="F64" t="inlineStr">
        <is>
          <t>S-3（160）等級/S-2（120）等級</t>
        </is>
      </c>
      <c r="G64" t="inlineStr">
        <is>
          <t>原本凡例保持・列位置は原本参照</t>
        </is>
      </c>
      <c r="H64" t="b">
        <v>1</v>
      </c>
      <c r="I64" t="inlineStr">
        <is>
          <t>価格表は以下の条件で算出しています。                                                              ●採風タイプ単機能リモコン加算額                    ●ホームデバイス / 透明                    型                              単窓                                ￥50,000 / S-3（160）等級 S-2（120）等級 S-3（160）等級 S-2（120）等級                  −￥66,300 / 無印                  3-A-3                3-A-型4 / ★                  3-A-3                           3-A-型4                       有効開口拡大仕様と通常品の設定あり / ○                             3-A-3                3-A-型4</t>
        </is>
      </c>
      <c r="J64" t="inlineStr">
        <is>
          <t>202604_LIXIL_サーモスＬ_業務用資料集_完成品価格表.pdf</t>
        </is>
      </c>
      <c r="K64" t="inlineStr">
        <is>
          <t>https://drive.google.com/file/d/1YUN-mtWYs48YBUHJk0C3vJXnhjyZFHyf/view</t>
        </is>
      </c>
    </row>
    <row r="65">
      <c r="A65" s="42" t="inlineStr">
        <is>
          <t>GLG-SL-0062</t>
        </is>
      </c>
      <c r="B65" t="n">
        <v>34</v>
      </c>
      <c r="C65" t="inlineStr">
        <is>
          <t>○</t>
        </is>
      </c>
      <c r="D65" t="inlineStr">
        <is>
          <t>P34|○</t>
        </is>
      </c>
      <c r="E65" t="inlineStr">
        <is>
          <t>透明/型</t>
        </is>
      </c>
      <c r="F65" t="inlineStr">
        <is>
          <t>S-3（160）等級/S-2（120）等級</t>
        </is>
      </c>
      <c r="G65" t="inlineStr">
        <is>
          <t>原本凡例保持・列位置は原本参照</t>
        </is>
      </c>
      <c r="H65" t="b">
        <v>1</v>
      </c>
      <c r="I65" t="inlineStr">
        <is>
          <t>価格表は以下の条件で算出しています。                                                              ●採風タイプ単機能リモコン加算額                    ●ホームデバイス / 透明                    型                              単窓                                ￥50,000 / S-3（160）等級 S-2（120）等級 S-3（160）等級 S-2（120）等級                  −￥66,300 / 無印                  3-A-3                3-A-型4 / ★                  3-A-3                           3-A-型4                       有効開口拡大仕様と通常品の設定あり / ○                             3-A-3                3-A-型4</t>
        </is>
      </c>
      <c r="J65" t="inlineStr">
        <is>
          <t>202604_LIXIL_サーモスＬ_業務用資料集_完成品価格表.pdf</t>
        </is>
      </c>
      <c r="K65" t="inlineStr">
        <is>
          <t>https://drive.google.com/file/d/1YUN-mtWYs48YBUHJk0C3vJXnhjyZFHyf/view</t>
        </is>
      </c>
    </row>
    <row r="66">
      <c r="A66" s="42" t="inlineStr">
        <is>
          <t>GLG-SL-0063</t>
        </is>
      </c>
      <c r="B66" t="n">
        <v>34</v>
      </c>
      <c r="C66" t="inlineStr">
        <is>
          <t>●</t>
        </is>
      </c>
      <c r="D66" t="inlineStr">
        <is>
          <t>P34|●</t>
        </is>
      </c>
      <c r="E66" t="inlineStr">
        <is>
          <t>透明/型</t>
        </is>
      </c>
      <c r="F66" t="inlineStr">
        <is>
          <t>S-3（160）等級/S-2（120）等級</t>
        </is>
      </c>
      <c r="G66" t="inlineStr">
        <is>
          <t>原本凡例保持・列位置は原本参照</t>
        </is>
      </c>
      <c r="H66" t="b">
        <v>1</v>
      </c>
      <c r="I66" t="inlineStr">
        <is>
          <t>価格表は以下の条件で算出しています。                                                              ●採風タイプ単機能リモコン加算額                    ●ホームデバイス / 透明                    型                              単窓                                ￥50,000 / S-3（160）等級 S-2（120）等級 S-3（160）等級 S-2（120）等級                  −￥66,300 / 無印                  3-A-3                3-A-型4 / ★                  3-A-3                           3-A-型4                       有効開口拡大仕様と通常品の設定あり / ○                             3-A-3                3-A-型4</t>
        </is>
      </c>
      <c r="J66" t="inlineStr">
        <is>
          <t>202604_LIXIL_サーモスＬ_業務用資料集_完成品価格表.pdf</t>
        </is>
      </c>
      <c r="K66" t="inlineStr">
        <is>
          <t>https://drive.google.com/file/d/1YUN-mtWYs48YBUHJk0C3vJXnhjyZFHyf/view</t>
        </is>
      </c>
    </row>
    <row r="67">
      <c r="A67" s="42" t="inlineStr">
        <is>
          <t>GLG-SL-0064</t>
        </is>
      </c>
      <c r="B67" t="n">
        <v>36</v>
      </c>
      <c r="C67" t="inlineStr">
        <is>
          <t>無印</t>
        </is>
      </c>
      <c r="D67" t="inlineStr">
        <is>
          <t>P36|無印</t>
        </is>
      </c>
      <c r="E67" t="inlineStr">
        <is>
          <t>透明/型</t>
        </is>
      </c>
      <c r="F67" t="inlineStr">
        <is>
          <t>S-3（160）等級/S-2（120）等級/S-1（80）等級</t>
        </is>
      </c>
      <c r="G67" t="inlineStr">
        <is>
          <t>原本凡例保持・列位置は原本参照</t>
        </is>
      </c>
      <c r="H67" t="b">
        <v>1</v>
      </c>
      <c r="I67" t="inlineStr">
        <is>
          <t>価格表は以下の条件で算出しています。                                                                         ●採風タイプ単機能リモコン加算額 / 透明                          型                                       単窓 / S-3（160）等級 S-2（120）等級 S-3（160）等級 S-2（120）等級              S-1（80）等級          −￥66,300 / 無印                  3-A-3                3-A-型4 / ●ホームデバイス / ★                  3-A-3                           3-A-型4 / ●                             3-A-3                                      3-A-型4            ￥50,000</t>
        </is>
      </c>
      <c r="J67" t="inlineStr">
        <is>
          <t>202604_LIXIL_サーモスＬ_業務用資料集_完成品価格表.pdf</t>
        </is>
      </c>
      <c r="K67" t="inlineStr">
        <is>
          <t>https://drive.google.com/file/d/1YUN-mtWYs48YBUHJk0C3vJXnhjyZFHyf/view</t>
        </is>
      </c>
    </row>
    <row r="68">
      <c r="A68" s="42" t="inlineStr">
        <is>
          <t>GLG-SL-0065</t>
        </is>
      </c>
      <c r="B68" t="n">
        <v>36</v>
      </c>
      <c r="C68" t="inlineStr">
        <is>
          <t>★</t>
        </is>
      </c>
      <c r="D68" t="inlineStr">
        <is>
          <t>P36|★</t>
        </is>
      </c>
      <c r="E68" t="inlineStr">
        <is>
          <t>透明/型</t>
        </is>
      </c>
      <c r="F68" t="inlineStr">
        <is>
          <t>S-3（160）等級/S-2（120）等級/S-1（80）等級</t>
        </is>
      </c>
      <c r="G68" t="inlineStr">
        <is>
          <t>原本凡例保持・列位置は原本参照</t>
        </is>
      </c>
      <c r="H68" t="b">
        <v>1</v>
      </c>
      <c r="I68" t="inlineStr">
        <is>
          <t>価格表は以下の条件で算出しています。                                                                         ●採風タイプ単機能リモコン加算額 / 透明                          型                                       単窓 / S-3（160）等級 S-2（120）等級 S-3（160）等級 S-2（120）等級              S-1（80）等級          −￥66,300 / 無印                  3-A-3                3-A-型4 / ●ホームデバイス / ★                  3-A-3                           3-A-型4 / ●                             3-A-3                                      3-A-型4            ￥50,000</t>
        </is>
      </c>
      <c r="J68" t="inlineStr">
        <is>
          <t>202604_LIXIL_サーモスＬ_業務用資料集_完成品価格表.pdf</t>
        </is>
      </c>
      <c r="K68" t="inlineStr">
        <is>
          <t>https://drive.google.com/file/d/1YUN-mtWYs48YBUHJk0C3vJXnhjyZFHyf/view</t>
        </is>
      </c>
    </row>
    <row r="69">
      <c r="A69" s="42" t="inlineStr">
        <is>
          <t>GLG-SL-0066</t>
        </is>
      </c>
      <c r="B69" t="n">
        <v>36</v>
      </c>
      <c r="C69" t="inlineStr">
        <is>
          <t>●</t>
        </is>
      </c>
      <c r="D69" t="inlineStr">
        <is>
          <t>P36|●</t>
        </is>
      </c>
      <c r="E69" t="inlineStr">
        <is>
          <t>透明/型</t>
        </is>
      </c>
      <c r="F69" t="inlineStr">
        <is>
          <t>S-3（160）等級/S-2（120）等級/S-1（80）等級</t>
        </is>
      </c>
      <c r="G69" t="inlineStr">
        <is>
          <t>原本凡例保持・列位置は原本参照</t>
        </is>
      </c>
      <c r="H69" t="b">
        <v>1</v>
      </c>
      <c r="I69" t="inlineStr">
        <is>
          <t>価格表は以下の条件で算出しています。                                                                         ●採風タイプ単機能リモコン加算額 / 透明                          型                                       単窓 / S-3（160）等級 S-2（120）等級 S-3（160）等級 S-2（120）等級              S-1（80）等級          −￥66,300 / 無印                  3-A-3                3-A-型4 / ●ホームデバイス / ★                  3-A-3                           3-A-型4 / ●                             3-A-3                                      3-A-型4            ￥50,000</t>
        </is>
      </c>
      <c r="J69" t="inlineStr">
        <is>
          <t>202604_LIXIL_サーモスＬ_業務用資料集_完成品価格表.pdf</t>
        </is>
      </c>
      <c r="K69" t="inlineStr">
        <is>
          <t>https://drive.google.com/file/d/1YUN-mtWYs48YBUHJk0C3vJXnhjyZFHyf/view</t>
        </is>
      </c>
    </row>
    <row r="70">
      <c r="A70" s="42" t="inlineStr">
        <is>
          <t>GLG-SL-0067</t>
        </is>
      </c>
      <c r="B70" t="n">
        <v>38</v>
      </c>
      <c r="C70" t="inlineStr">
        <is>
          <t>無印</t>
        </is>
      </c>
      <c r="D70" t="inlineStr">
        <is>
          <t>P38|無印</t>
        </is>
      </c>
      <c r="E70" t="inlineStr">
        <is>
          <t>透明</t>
        </is>
      </c>
      <c r="F70" t="inlineStr">
        <is>
          <t>S-3（160）等級/S-2（120）等級</t>
        </is>
      </c>
      <c r="G70" t="inlineStr">
        <is>
          <t>原本凡例保持・列位置は原本参照</t>
        </is>
      </c>
      <c r="H70" t="b">
        <v>1</v>
      </c>
      <c r="I70" t="inlineStr">
        <is>
          <t>価格表は以下の条件で算出しています。                                            ●アシスト把手加算額                                 有効開口拡大仕様と通常品の設定あり / 透明                        2枚建 / S-3（160）等級 S-2（120）等級              +¥25,900 / 無印                           3-A-3 / ●採風タイプ単機能リモコン加算額 / 3-A-3 / ○ / ※1 / 3-A-3 / （大壁和室障子）                  単窓 / 3-A-3                          －￥66,300 / ▲ / ※2 / 3-A-3 / （把手障子） / ●ホームデバイス / ★                                  3-A-3 / ￥50,000 / ※1 大壁和室障子のみS-2（120）等級となります。 / ※2 把手障子のみS-3（160）等級となります。</t>
        </is>
      </c>
      <c r="J70" t="inlineStr">
        <is>
          <t>202604_LIXIL_サーモスＬ_業務用資料集_完成品価格表.pdf</t>
        </is>
      </c>
      <c r="K70" t="inlineStr">
        <is>
          <t>https://drive.google.com/file/d/1YUN-mtWYs48YBUHJk0C3vJXnhjyZFHyf/view</t>
        </is>
      </c>
    </row>
    <row r="71">
      <c r="A71" s="42" t="inlineStr">
        <is>
          <t>GLG-SL-0068</t>
        </is>
      </c>
      <c r="B71" t="n">
        <v>38</v>
      </c>
      <c r="C71" t="inlineStr">
        <is>
          <t>★</t>
        </is>
      </c>
      <c r="D71" t="inlineStr">
        <is>
          <t>P38|★</t>
        </is>
      </c>
      <c r="E71" t="inlineStr">
        <is>
          <t>透明</t>
        </is>
      </c>
      <c r="F71" t="inlineStr">
        <is>
          <t>S-3（160）等級/S-2（120）等級</t>
        </is>
      </c>
      <c r="G71" t="inlineStr">
        <is>
          <t>原本凡例保持・列位置は原本参照</t>
        </is>
      </c>
      <c r="H71" t="b">
        <v>1</v>
      </c>
      <c r="I71" t="inlineStr">
        <is>
          <t>価格表は以下の条件で算出しています。                                            ●アシスト把手加算額                                 有効開口拡大仕様と通常品の設定あり / 透明                        2枚建 / S-3（160）等級 S-2（120）等級              +¥25,900 / 無印                           3-A-3 / ●採風タイプ単機能リモコン加算額 / 3-A-3 / ○ / ※1 / 3-A-3 / （大壁和室障子）                  単窓 / 3-A-3                          －￥66,300 / ▲ / ※2 / 3-A-3 / （把手障子） / ●ホームデバイス / ★                                  3-A-3 / ￥50,000 / ※1 大壁和室障子のみS-2（120）等級となります。 / ※2 把手障子のみS-3（160）等級となります。</t>
        </is>
      </c>
      <c r="J71" t="inlineStr">
        <is>
          <t>202604_LIXIL_サーモスＬ_業務用資料集_完成品価格表.pdf</t>
        </is>
      </c>
      <c r="K71" t="inlineStr">
        <is>
          <t>https://drive.google.com/file/d/1YUN-mtWYs48YBUHJk0C3vJXnhjyZFHyf/view</t>
        </is>
      </c>
    </row>
    <row r="72">
      <c r="A72" s="42" t="inlineStr">
        <is>
          <t>GLG-SL-0069</t>
        </is>
      </c>
      <c r="B72" t="n">
        <v>38</v>
      </c>
      <c r="C72" t="inlineStr">
        <is>
          <t>○</t>
        </is>
      </c>
      <c r="D72" t="inlineStr">
        <is>
          <t>P38|○</t>
        </is>
      </c>
      <c r="E72" t="inlineStr">
        <is>
          <t>透明</t>
        </is>
      </c>
      <c r="F72" t="inlineStr">
        <is>
          <t>S-3（160）等級/S-2（120）等級</t>
        </is>
      </c>
      <c r="G72" t="inlineStr">
        <is>
          <t>原本凡例保持・列位置は原本参照</t>
        </is>
      </c>
      <c r="H72" t="b">
        <v>1</v>
      </c>
      <c r="I72" t="inlineStr">
        <is>
          <t>価格表は以下の条件で算出しています。                                            ●アシスト把手加算額                                 有効開口拡大仕様と通常品の設定あり / 透明                        2枚建 / S-3（160）等級 S-2（120）等級              +¥25,900 / 無印                           3-A-3 / ●採風タイプ単機能リモコン加算額 / 3-A-3 / ○ / ※1 / 3-A-3 / （大壁和室障子）                  単窓 / 3-A-3                          －￥66,300 / ▲ / ※2 / 3-A-3 / （把手障子） / ●ホームデバイス / ★                                  3-A-3 / ￥50,000 / ※1 大壁和室障子のみS-2（120）等級となります。 / ※2 把手障子のみS-3（160）等級となります。</t>
        </is>
      </c>
      <c r="J72" t="inlineStr">
        <is>
          <t>202604_LIXIL_サーモスＬ_業務用資料集_完成品価格表.pdf</t>
        </is>
      </c>
      <c r="K72" t="inlineStr">
        <is>
          <t>https://drive.google.com/file/d/1YUN-mtWYs48YBUHJk0C3vJXnhjyZFHyf/view</t>
        </is>
      </c>
    </row>
    <row r="73">
      <c r="A73" s="42" t="inlineStr">
        <is>
          <t>GLG-SL-0070</t>
        </is>
      </c>
      <c r="B73" t="n">
        <v>38</v>
      </c>
      <c r="C73" t="inlineStr">
        <is>
          <t>●</t>
        </is>
      </c>
      <c r="D73" t="inlineStr">
        <is>
          <t>P38|●</t>
        </is>
      </c>
      <c r="E73" t="inlineStr">
        <is>
          <t>透明</t>
        </is>
      </c>
      <c r="F73" t="inlineStr">
        <is>
          <t>S-3（160）等級/S-2（120）等級</t>
        </is>
      </c>
      <c r="G73" t="inlineStr">
        <is>
          <t>原本凡例保持・列位置は原本参照</t>
        </is>
      </c>
      <c r="H73" t="b">
        <v>1</v>
      </c>
      <c r="I73" t="inlineStr">
        <is>
          <t>価格表は以下の条件で算出しています。                                            ●アシスト把手加算額                                 有効開口拡大仕様と通常品の設定あり / 透明                        2枚建 / S-3（160）等級 S-2（120）等級              +¥25,900 / 無印                           3-A-3 / ●採風タイプ単機能リモコン加算額 / 3-A-3 / ○ / ※1 / 3-A-3 / （大壁和室障子）                  単窓 / 3-A-3                          －￥66,300 / ▲ / ※2 / 3-A-3 / （把手障子） / ●ホームデバイス / ★                                  3-A-3 / ￥50,000 / ※1 大壁和室障子のみS-2（120）等級となります。 / ※2 把手障子のみS-3（160）等級となります。</t>
        </is>
      </c>
      <c r="J73" t="inlineStr">
        <is>
          <t>202604_LIXIL_サーモスＬ_業務用資料集_完成品価格表.pdf</t>
        </is>
      </c>
      <c r="K73" t="inlineStr">
        <is>
          <t>https://drive.google.com/file/d/1YUN-mtWYs48YBUHJk0C3vJXnhjyZFHyf/view</t>
        </is>
      </c>
    </row>
    <row r="74">
      <c r="A74" s="42" t="inlineStr">
        <is>
          <t>GLG-SL-0071</t>
        </is>
      </c>
      <c r="B74" t="n">
        <v>38</v>
      </c>
      <c r="C74" t="inlineStr">
        <is>
          <t>▲</t>
        </is>
      </c>
      <c r="D74" t="inlineStr">
        <is>
          <t>P38|▲</t>
        </is>
      </c>
      <c r="E74" t="inlineStr">
        <is>
          <t>透明</t>
        </is>
      </c>
      <c r="F74" t="inlineStr">
        <is>
          <t>S-3（160）等級/S-2（120）等級</t>
        </is>
      </c>
      <c r="G74" t="inlineStr">
        <is>
          <t>原本凡例保持・列位置は原本参照</t>
        </is>
      </c>
      <c r="H74" t="b">
        <v>1</v>
      </c>
      <c r="I74" t="inlineStr">
        <is>
          <t>価格表は以下の条件で算出しています。                                            ●アシスト把手加算額                                 有効開口拡大仕様と通常品の設定あり / 透明                        2枚建 / S-3（160）等級 S-2（120）等級              +¥25,900 / 無印                           3-A-3 / ●採風タイプ単機能リモコン加算額 / 3-A-3 / ○ / ※1 / 3-A-3 / （大壁和室障子）                  単窓 / 3-A-3                          －￥66,300 / ▲ / ※2 / 3-A-3 / （把手障子） / ●ホームデバイス / ★                                  3-A-3 / ￥50,000 / ※1 大壁和室障子のみS-2（120）等級となります。 / ※2 把手障子のみS-3（160）等級となります。</t>
        </is>
      </c>
      <c r="J74" t="inlineStr">
        <is>
          <t>202604_LIXIL_サーモスＬ_業務用資料集_完成品価格表.pdf</t>
        </is>
      </c>
      <c r="K74" t="inlineStr">
        <is>
          <t>https://drive.google.com/file/d/1YUN-mtWYs48YBUHJk0C3vJXnhjyZFHyf/view</t>
        </is>
      </c>
    </row>
    <row r="75">
      <c r="A75" s="42" t="inlineStr">
        <is>
          <t>GLG-SL-0072</t>
        </is>
      </c>
      <c r="B75" t="n">
        <v>40</v>
      </c>
      <c r="C75" t="inlineStr">
        <is>
          <t>無印</t>
        </is>
      </c>
      <c r="D75" t="inlineStr">
        <is>
          <t>P40|無印</t>
        </is>
      </c>
      <c r="E75" t="inlineStr">
        <is>
          <t>透明</t>
        </is>
      </c>
      <c r="F75" t="inlineStr">
        <is>
          <t>S-3（160）等級/S-2（120）等級</t>
        </is>
      </c>
      <c r="G75" t="inlineStr">
        <is>
          <t>原本凡例保持・列位置は原本参照</t>
        </is>
      </c>
      <c r="H75" t="b">
        <v>1</v>
      </c>
      <c r="I75" t="inlineStr">
        <is>
          <t>価格表は以下の条件で算出しています。                                       ●アシスト把手加算額 / 透明                      2枚建        4枚建 / S-3（160）等級 S-2（120）等級            +¥25,900   +¥51,700 / 無印                           3-A-3 / ●採風タイプ単機能リモコン加算額 / ★                                      3-A-3 / 単窓       連窓 / ☆                                      3-A-4 / －￥66,300 －￥66,400 / ◆                                      4-A-4 / ●ホームデバイス / ￥50,000</t>
        </is>
      </c>
      <c r="J75" t="inlineStr">
        <is>
          <t>202604_LIXIL_サーモスＬ_業務用資料集_完成品価格表.pdf</t>
        </is>
      </c>
      <c r="K75" t="inlineStr">
        <is>
          <t>https://drive.google.com/file/d/1YUN-mtWYs48YBUHJk0C3vJXnhjyZFHyf/view</t>
        </is>
      </c>
    </row>
    <row r="76">
      <c r="A76" s="42" t="inlineStr">
        <is>
          <t>GLG-SL-0073</t>
        </is>
      </c>
      <c r="B76" t="n">
        <v>40</v>
      </c>
      <c r="C76" t="inlineStr">
        <is>
          <t>★</t>
        </is>
      </c>
      <c r="D76" t="inlineStr">
        <is>
          <t>P40|★</t>
        </is>
      </c>
      <c r="E76" t="inlineStr">
        <is>
          <t>透明</t>
        </is>
      </c>
      <c r="F76" t="inlineStr">
        <is>
          <t>S-3（160）等級/S-2（120）等級</t>
        </is>
      </c>
      <c r="G76" t="inlineStr">
        <is>
          <t>原本凡例保持・列位置は原本参照</t>
        </is>
      </c>
      <c r="H76" t="b">
        <v>1</v>
      </c>
      <c r="I76" t="inlineStr">
        <is>
          <t>価格表は以下の条件で算出しています。                                       ●アシスト把手加算額 / 透明                      2枚建        4枚建 / S-3（160）等級 S-2（120）等級            +¥25,900   +¥51,700 / 無印                           3-A-3 / ●採風タイプ単機能リモコン加算額 / ★                                      3-A-3 / 単窓       連窓 / ☆                                      3-A-4 / －￥66,300 －￥66,400 / ◆                                      4-A-4 / ●ホームデバイス / ￥50,000</t>
        </is>
      </c>
      <c r="J76" t="inlineStr">
        <is>
          <t>202604_LIXIL_サーモスＬ_業務用資料集_完成品価格表.pdf</t>
        </is>
      </c>
      <c r="K76" t="inlineStr">
        <is>
          <t>https://drive.google.com/file/d/1YUN-mtWYs48YBUHJk0C3vJXnhjyZFHyf/view</t>
        </is>
      </c>
    </row>
    <row r="77">
      <c r="A77" s="42" t="inlineStr">
        <is>
          <t>GLG-SL-0074</t>
        </is>
      </c>
      <c r="B77" t="n">
        <v>40</v>
      </c>
      <c r="C77" t="inlineStr">
        <is>
          <t>☆</t>
        </is>
      </c>
      <c r="D77" t="inlineStr">
        <is>
          <t>P40|☆</t>
        </is>
      </c>
      <c r="E77" t="inlineStr">
        <is>
          <t>透明</t>
        </is>
      </c>
      <c r="F77" t="inlineStr">
        <is>
          <t>S-3（160）等級/S-2（120）等級</t>
        </is>
      </c>
      <c r="G77" t="inlineStr">
        <is>
          <t>原本凡例保持・列位置は原本参照</t>
        </is>
      </c>
      <c r="H77" t="b">
        <v>1</v>
      </c>
      <c r="I77" t="inlineStr">
        <is>
          <t>価格表は以下の条件で算出しています。                                       ●アシスト把手加算額 / 透明                      2枚建        4枚建 / S-3（160）等級 S-2（120）等級            +¥25,900   +¥51,700 / 無印                           3-A-3 / ●採風タイプ単機能リモコン加算額 / ★                                      3-A-3 / 単窓       連窓 / ☆                                      3-A-4 / －￥66,300 －￥66,400 / ◆                                      4-A-4 / ●ホームデバイス / ￥50,000</t>
        </is>
      </c>
      <c r="J77" t="inlineStr">
        <is>
          <t>202604_LIXIL_サーモスＬ_業務用資料集_完成品価格表.pdf</t>
        </is>
      </c>
      <c r="K77" t="inlineStr">
        <is>
          <t>https://drive.google.com/file/d/1YUN-mtWYs48YBUHJk0C3vJXnhjyZFHyf/view</t>
        </is>
      </c>
    </row>
    <row r="78">
      <c r="A78" s="42" t="inlineStr">
        <is>
          <t>GLG-SL-0075</t>
        </is>
      </c>
      <c r="B78" t="n">
        <v>40</v>
      </c>
      <c r="C78" t="inlineStr">
        <is>
          <t>●</t>
        </is>
      </c>
      <c r="D78" t="inlineStr">
        <is>
          <t>P40|●</t>
        </is>
      </c>
      <c r="E78" t="inlineStr">
        <is>
          <t>透明</t>
        </is>
      </c>
      <c r="F78" t="inlineStr">
        <is>
          <t>S-3（160）等級/S-2（120）等級</t>
        </is>
      </c>
      <c r="G78" t="inlineStr">
        <is>
          <t>原本凡例保持・列位置は原本参照</t>
        </is>
      </c>
      <c r="H78" t="b">
        <v>1</v>
      </c>
      <c r="I78" t="inlineStr">
        <is>
          <t>価格表は以下の条件で算出しています。                                       ●アシスト把手加算額 / 透明                      2枚建        4枚建 / S-3（160）等級 S-2（120）等級            +¥25,900   +¥51,700 / 無印                           3-A-3 / ●採風タイプ単機能リモコン加算額 / ★                                      3-A-3 / 単窓       連窓 / ☆                                      3-A-4 / －￥66,300 －￥66,400 / ◆                                      4-A-4 / ●ホームデバイス / ￥50,000</t>
        </is>
      </c>
      <c r="J78" t="inlineStr">
        <is>
          <t>202604_LIXIL_サーモスＬ_業務用資料集_完成品価格表.pdf</t>
        </is>
      </c>
      <c r="K78" t="inlineStr">
        <is>
          <t>https://drive.google.com/file/d/1YUN-mtWYs48YBUHJk0C3vJXnhjyZFHyf/view</t>
        </is>
      </c>
    </row>
    <row r="79">
      <c r="A79" s="42" t="inlineStr">
        <is>
          <t>GLG-SL-0076</t>
        </is>
      </c>
      <c r="B79" t="n">
        <v>40</v>
      </c>
      <c r="C79" t="inlineStr">
        <is>
          <t>◆</t>
        </is>
      </c>
      <c r="D79" t="inlineStr">
        <is>
          <t>P40|◆</t>
        </is>
      </c>
      <c r="E79" t="inlineStr">
        <is>
          <t>透明</t>
        </is>
      </c>
      <c r="F79" t="inlineStr">
        <is>
          <t>S-3（160）等級/S-2（120）等級</t>
        </is>
      </c>
      <c r="G79" t="inlineStr">
        <is>
          <t>原本凡例保持・列位置は原本参照</t>
        </is>
      </c>
      <c r="H79" t="b">
        <v>1</v>
      </c>
      <c r="I79" t="inlineStr">
        <is>
          <t>価格表は以下の条件で算出しています。                                       ●アシスト把手加算額 / 透明                      2枚建        4枚建 / S-3（160）等級 S-2（120）等級            +¥25,900   +¥51,700 / 無印                           3-A-3 / ●採風タイプ単機能リモコン加算額 / ★                                      3-A-3 / 単窓       連窓 / ☆                                      3-A-4 / －￥66,300 －￥66,400 / ◆                                      4-A-4 / ●ホームデバイス / ￥50,000</t>
        </is>
      </c>
      <c r="J79" t="inlineStr">
        <is>
          <t>202604_LIXIL_サーモスＬ_業務用資料集_完成品価格表.pdf</t>
        </is>
      </c>
      <c r="K79" t="inlineStr">
        <is>
          <t>https://drive.google.com/file/d/1YUN-mtWYs48YBUHJk0C3vJXnhjyZFHyf/view</t>
        </is>
      </c>
    </row>
    <row r="80">
      <c r="A80" s="42" t="inlineStr">
        <is>
          <t>GLG-SL-0077</t>
        </is>
      </c>
      <c r="B80" t="n">
        <v>42</v>
      </c>
      <c r="C80" t="inlineStr">
        <is>
          <t>無印</t>
        </is>
      </c>
      <c r="D80" t="inlineStr">
        <is>
          <t>P42|無印</t>
        </is>
      </c>
      <c r="E80" t="inlineStr">
        <is>
          <t>透明</t>
        </is>
      </c>
      <c r="F80" t="inlineStr">
        <is>
          <t>S-2（120）等級</t>
        </is>
      </c>
      <c r="G80" t="inlineStr">
        <is>
          <t>原本凡例保持・列位置は原本参照</t>
        </is>
      </c>
      <c r="H80" t="b">
        <v>1</v>
      </c>
      <c r="I80" t="inlineStr">
        <is>
          <t>価格表は以下の条件で算出しています。 ●アシスト把手加算額                                                      ●ホームデバイス              有効開口拡大仕様と通常品の設定あり / 透明                     2枚建                          ￥50,000 / S-2（120）等級                +¥25,900 / ★                       3-A-3 / ●採風タイプ単機能リモコン加算額 / ☆                       3-A-4 / 単窓 / －￥66,300</t>
        </is>
      </c>
      <c r="J80" t="inlineStr">
        <is>
          <t>202604_LIXIL_サーモスＬ_業務用資料集_完成品価格表.pdf</t>
        </is>
      </c>
      <c r="K80" t="inlineStr">
        <is>
          <t>https://drive.google.com/file/d/1YUN-mtWYs48YBUHJk0C3vJXnhjyZFHyf/view</t>
        </is>
      </c>
    </row>
    <row r="81">
      <c r="A81" s="42" t="inlineStr">
        <is>
          <t>GLG-SL-0078</t>
        </is>
      </c>
      <c r="B81" t="n">
        <v>42</v>
      </c>
      <c r="C81" t="inlineStr">
        <is>
          <t>★</t>
        </is>
      </c>
      <c r="D81" t="inlineStr">
        <is>
          <t>P42|★</t>
        </is>
      </c>
      <c r="E81" t="inlineStr">
        <is>
          <t>透明</t>
        </is>
      </c>
      <c r="F81" t="inlineStr">
        <is>
          <t>S-2（120）等級</t>
        </is>
      </c>
      <c r="G81" t="inlineStr">
        <is>
          <t>原本凡例保持・列位置は原本参照</t>
        </is>
      </c>
      <c r="H81" t="b">
        <v>1</v>
      </c>
      <c r="I81" t="inlineStr">
        <is>
          <t>価格表は以下の条件で算出しています。 ●アシスト把手加算額                                                      ●ホームデバイス              有効開口拡大仕様と通常品の設定あり / 透明                     2枚建                          ￥50,000 / S-2（120）等級                +¥25,900 / ★                       3-A-3 / ●採風タイプ単機能リモコン加算額 / ☆                       3-A-4 / 単窓 / －￥66,300</t>
        </is>
      </c>
      <c r="J81" t="inlineStr">
        <is>
          <t>202604_LIXIL_サーモスＬ_業務用資料集_完成品価格表.pdf</t>
        </is>
      </c>
      <c r="K81" t="inlineStr">
        <is>
          <t>https://drive.google.com/file/d/1YUN-mtWYs48YBUHJk0C3vJXnhjyZFHyf/view</t>
        </is>
      </c>
    </row>
    <row r="82">
      <c r="A82" s="42" t="inlineStr">
        <is>
          <t>GLG-SL-0079</t>
        </is>
      </c>
      <c r="B82" t="n">
        <v>42</v>
      </c>
      <c r="C82" t="inlineStr">
        <is>
          <t>☆</t>
        </is>
      </c>
      <c r="D82" t="inlineStr">
        <is>
          <t>P42|☆</t>
        </is>
      </c>
      <c r="E82" t="inlineStr">
        <is>
          <t>透明</t>
        </is>
      </c>
      <c r="F82" t="inlineStr">
        <is>
          <t>S-2（120）等級</t>
        </is>
      </c>
      <c r="G82" t="inlineStr">
        <is>
          <t>原本凡例保持・列位置は原本参照</t>
        </is>
      </c>
      <c r="H82" t="b">
        <v>1</v>
      </c>
      <c r="I82" t="inlineStr">
        <is>
          <t>価格表は以下の条件で算出しています。 ●アシスト把手加算額                                                      ●ホームデバイス              有効開口拡大仕様と通常品の設定あり / 透明                     2枚建                          ￥50,000 / S-2（120）等級                +¥25,900 / ★                       3-A-3 / ●採風タイプ単機能リモコン加算額 / ☆                       3-A-4 / 単窓 / －￥66,300</t>
        </is>
      </c>
      <c r="J82" t="inlineStr">
        <is>
          <t>202604_LIXIL_サーモスＬ_業務用資料集_完成品価格表.pdf</t>
        </is>
      </c>
      <c r="K82" t="inlineStr">
        <is>
          <t>https://drive.google.com/file/d/1YUN-mtWYs48YBUHJk0C3vJXnhjyZFHyf/view</t>
        </is>
      </c>
    </row>
    <row r="83">
      <c r="A83" s="42" t="inlineStr">
        <is>
          <t>GLG-SL-0080</t>
        </is>
      </c>
      <c r="B83" t="n">
        <v>42</v>
      </c>
      <c r="C83" t="inlineStr">
        <is>
          <t>●</t>
        </is>
      </c>
      <c r="D83" t="inlineStr">
        <is>
          <t>P42|●</t>
        </is>
      </c>
      <c r="E83" t="inlineStr">
        <is>
          <t>透明</t>
        </is>
      </c>
      <c r="F83" t="inlineStr">
        <is>
          <t>S-2（120）等級</t>
        </is>
      </c>
      <c r="G83" t="inlineStr">
        <is>
          <t>原本凡例保持・列位置は原本参照</t>
        </is>
      </c>
      <c r="H83" t="b">
        <v>1</v>
      </c>
      <c r="I83" t="inlineStr">
        <is>
          <t>価格表は以下の条件で算出しています。 ●アシスト把手加算額                                                      ●ホームデバイス              有効開口拡大仕様と通常品の設定あり / 透明                     2枚建                          ￥50,000 / S-2（120）等級                +¥25,900 / ★                       3-A-3 / ●採風タイプ単機能リモコン加算額 / ☆                       3-A-4 / 単窓 / －￥66,300</t>
        </is>
      </c>
      <c r="J83" t="inlineStr">
        <is>
          <t>202604_LIXIL_サーモスＬ_業務用資料集_完成品価格表.pdf</t>
        </is>
      </c>
      <c r="K83" t="inlineStr">
        <is>
          <t>https://drive.google.com/file/d/1YUN-mtWYs48YBUHJk0C3vJXnhjyZFHyf/view</t>
        </is>
      </c>
    </row>
    <row r="84">
      <c r="A84" s="42" t="inlineStr">
        <is>
          <t>GLG-SL-0081</t>
        </is>
      </c>
      <c r="B84" t="n">
        <v>45</v>
      </c>
      <c r="C84" t="inlineStr">
        <is>
          <t>無印</t>
        </is>
      </c>
      <c r="D84" t="inlineStr">
        <is>
          <t>P45|無印</t>
        </is>
      </c>
      <c r="E84" t="inlineStr">
        <is>
          <t>透明</t>
        </is>
      </c>
      <c r="F84" t="inlineStr">
        <is>
          <t>S-2（120）等級/S-1（80）等級</t>
        </is>
      </c>
      <c r="G84" t="inlineStr">
        <is>
          <t>原本凡例保持・列位置は原本参照</t>
        </is>
      </c>
      <c r="H84" t="b">
        <v>1</v>
      </c>
      <c r="I84" t="inlineStr">
        <is>
          <t>+¥340,300 +¥357,700 +¥340,300 +¥357,700 +¥602,200 +¥632,300          価格表は以下の条件で算出しています。 / +¥177,400 +¥186,200 +¥177,400 +¥186,200      ＿＿        ＿＿ / 透明 / ¥24,700   ¥25,900   ¥38,100   ¥40,000   ¥41,100   ¥43,200 / S-2（120）等級 S-1（80）等級 / ¥37,400   ¥39,400   ¥57,800   ¥60,800   ¥62,700   ¥66,000 / ★            3-A-3 / ●25624-2               ★25624-4                ◇34724 / ☆            3-A-4 / ［25324-2］              ［25324-4］               ［34424］ / ◆            4-A-4 / ¥388,100   ¥416,100    ¥424,000   ¥455,600    ¥621,500   ¥665,000 / ¥407,800   ¥436,800    ¥458,500   ¥491,600    ¥657,700   ¥703,000 / ◇                       3-A-3 / ＿＿         ＿＿          ＿＿         ＿＿          ＿＿         ＿＿       ●                       4-A-4 / ¥612,600   ¥640,600    ¥567,300   ¥598,900    ¥816,800   ¥860,300   ●アシスト把手加算額 / ¥632,300   ¥661,300    ¥601,800   ¥634,900    ¥853,000   ¥898,300 / ＿＿         ＿＿          ＿＿         ＿＿          ＿＿         ＿＿ / 2枚建         4枚建 / +¥25,900    +¥51,700 / ¥662,800   ¥690,800    ¥634,100   ¥665,700    ¥909,600   ¥953,100 / ¥682,500   ¥711,500    ¥668,600   ¥701,700    ¥945,800   ¥991,100   ●採風タイプ単機能リモコン加算額 / ＿＿         ＿＿          ＿＿         ＿＿          ＿＿         ＿＿ / 単窓       連窓 / ＿＿         ＿＿          ＿＿         ＿＿          ＿＿         ＿＿ / －￥66,300 －￥66,400 / ＿＿         ＿＿          ＿＿         ＿＿          ＿＿         ＿＿ / ＿＿         ＿＿          ＿＿         ＿＿          ＿＿         ＿＿     ●ホームデバイス</t>
        </is>
      </c>
      <c r="J84" t="inlineStr">
        <is>
          <t>202604_LIXIL_サーモスＬ_業務用資料集_完成品価格表.pdf</t>
        </is>
      </c>
      <c r="K84" t="inlineStr">
        <is>
          <t>https://drive.google.com/file/d/1YUN-mtWYs48YBUHJk0C3vJXnhjyZFHyf/view</t>
        </is>
      </c>
    </row>
    <row r="85">
      <c r="A85" s="42" t="inlineStr">
        <is>
          <t>GLG-SL-0082</t>
        </is>
      </c>
      <c r="B85" t="n">
        <v>45</v>
      </c>
      <c r="C85" t="inlineStr">
        <is>
          <t>★</t>
        </is>
      </c>
      <c r="D85" t="inlineStr">
        <is>
          <t>P45|★</t>
        </is>
      </c>
      <c r="E85" t="inlineStr">
        <is>
          <t>透明</t>
        </is>
      </c>
      <c r="F85" t="inlineStr">
        <is>
          <t>S-2（120）等級/S-1（80）等級</t>
        </is>
      </c>
      <c r="G85" t="inlineStr">
        <is>
          <t>原本凡例保持・列位置は原本参照</t>
        </is>
      </c>
      <c r="H85" t="b">
        <v>1</v>
      </c>
      <c r="I85" t="inlineStr">
        <is>
          <t>+¥340,300 +¥357,700 +¥340,300 +¥357,700 +¥602,200 +¥632,300          価格表は以下の条件で算出しています。 / +¥177,400 +¥186,200 +¥177,400 +¥186,200      ＿＿        ＿＿ / 透明 / ¥24,700   ¥25,900   ¥38,100   ¥40,000   ¥41,100   ¥43,200 / S-2（120）等級 S-1（80）等級 / ¥37,400   ¥39,400   ¥57,800   ¥60,800   ¥62,700   ¥66,000 / ★            3-A-3 / ●25624-2               ★25624-4                ◇34724 / ☆            3-A-4 / ［25324-2］              ［25324-4］               ［34424］ / ◆            4-A-4 / ¥388,100   ¥416,100    ¥424,000   ¥455,600    ¥621,500   ¥665,000 / ¥407,800   ¥436,800    ¥458,500   ¥491,600    ¥657,700   ¥703,000 / ◇                       3-A-3 / ＿＿         ＿＿          ＿＿         ＿＿          ＿＿         ＿＿       ●                       4-A-4 / ¥612,600   ¥640,600    ¥567,300   ¥598,900    ¥816,800   ¥860,300   ●アシスト把手加算額 / ¥632,300   ¥661,300    ¥601,800   ¥634,900    ¥853,000   ¥898,300 / ＿＿         ＿＿          ＿＿         ＿＿          ＿＿         ＿＿ / 2枚建         4枚建 / +¥25,900    +¥51,700 / ¥662,800   ¥690,800    ¥634,100   ¥665,700    ¥909,600   ¥953,100 / ¥682,500   ¥711,500    ¥668,600   ¥701,700    ¥945,800   ¥991,100   ●採風タイプ単機能リモコン加算額 / ＿＿         ＿＿          ＿＿         ＿＿          ＿＿         ＿＿ / 単窓       連窓 / ＿＿         ＿＿          ＿＿         ＿＿          ＿＿         ＿＿ / －￥66,300 －￥66,400 / ＿＿         ＿＿          ＿＿         ＿＿          ＿＿         ＿＿ / ＿＿         ＿＿          ＿＿         ＿＿          ＿＿         ＿＿     ●ホームデバイス</t>
        </is>
      </c>
      <c r="J85" t="inlineStr">
        <is>
          <t>202604_LIXIL_サーモスＬ_業務用資料集_完成品価格表.pdf</t>
        </is>
      </c>
      <c r="K85" t="inlineStr">
        <is>
          <t>https://drive.google.com/file/d/1YUN-mtWYs48YBUHJk0C3vJXnhjyZFHyf/view</t>
        </is>
      </c>
    </row>
    <row r="86">
      <c r="A86" s="42" t="inlineStr">
        <is>
          <t>GLG-SL-0083</t>
        </is>
      </c>
      <c r="B86" t="n">
        <v>45</v>
      </c>
      <c r="C86" t="inlineStr">
        <is>
          <t>☆</t>
        </is>
      </c>
      <c r="D86" t="inlineStr">
        <is>
          <t>P45|☆</t>
        </is>
      </c>
      <c r="E86" t="inlineStr">
        <is>
          <t>透明</t>
        </is>
      </c>
      <c r="F86" t="inlineStr">
        <is>
          <t>S-2（120）等級/S-1（80）等級</t>
        </is>
      </c>
      <c r="G86" t="inlineStr">
        <is>
          <t>原本凡例保持・列位置は原本参照</t>
        </is>
      </c>
      <c r="H86" t="b">
        <v>1</v>
      </c>
      <c r="I86" t="inlineStr">
        <is>
          <t>+¥340,300 +¥357,700 +¥340,300 +¥357,700 +¥602,200 +¥632,300          価格表は以下の条件で算出しています。 / +¥177,400 +¥186,200 +¥177,400 +¥186,200      ＿＿        ＿＿ / 透明 / ¥24,700   ¥25,900   ¥38,100   ¥40,000   ¥41,100   ¥43,200 / S-2（120）等級 S-1（80）等級 / ¥37,400   ¥39,400   ¥57,800   ¥60,800   ¥62,700   ¥66,000 / ★            3-A-3 / ●25624-2               ★25624-4                ◇34724 / ☆            3-A-4 / ［25324-2］              ［25324-4］               ［34424］ / ◆            4-A-4 / ¥388,100   ¥416,100    ¥424,000   ¥455,600    ¥621,500   ¥665,000 / ¥407,800   ¥436,800    ¥458,500   ¥491,600    ¥657,700   ¥703,000 / ◇                       3-A-3 / ＿＿         ＿＿          ＿＿         ＿＿          ＿＿         ＿＿       ●                       4-A-4 / ¥612,600   ¥640,600    ¥567,300   ¥598,900    ¥816,800   ¥860,300   ●アシスト把手加算額 / ¥632,300   ¥661,300    ¥601,800   ¥634,900    ¥853,000   ¥898,300 / ＿＿         ＿＿          ＿＿         ＿＿          ＿＿         ＿＿ / 2枚建         4枚建 / +¥25,900    +¥51,700 / ¥662,800   ¥690,800    ¥634,100   ¥665,700    ¥909,600   ¥953,100 / ¥682,500   ¥711,500    ¥668,600   ¥701,700    ¥945,800   ¥991,100   ●採風タイプ単機能リモコン加算額 / ＿＿         ＿＿          ＿＿         ＿＿          ＿＿         ＿＿ / 単窓       連窓 / ＿＿         ＿＿          ＿＿         ＿＿          ＿＿         ＿＿ / －￥66,300 －￥66,400 / ＿＿         ＿＿          ＿＿         ＿＿          ＿＿         ＿＿ / ＿＿         ＿＿          ＿＿         ＿＿          ＿＿         ＿＿     ●ホームデバイス</t>
        </is>
      </c>
      <c r="J86" t="inlineStr">
        <is>
          <t>202604_LIXIL_サーモスＬ_業務用資料集_完成品価格表.pdf</t>
        </is>
      </c>
      <c r="K86" t="inlineStr">
        <is>
          <t>https://drive.google.com/file/d/1YUN-mtWYs48YBUHJk0C3vJXnhjyZFHyf/view</t>
        </is>
      </c>
    </row>
    <row r="87">
      <c r="A87" s="42" t="inlineStr">
        <is>
          <t>GLG-SL-0084</t>
        </is>
      </c>
      <c r="B87" t="n">
        <v>45</v>
      </c>
      <c r="C87" t="inlineStr">
        <is>
          <t>●</t>
        </is>
      </c>
      <c r="D87" t="inlineStr">
        <is>
          <t>P45|●</t>
        </is>
      </c>
      <c r="E87" t="inlineStr">
        <is>
          <t>透明</t>
        </is>
      </c>
      <c r="F87" t="inlineStr">
        <is>
          <t>S-2（120）等級/S-1（80）等級</t>
        </is>
      </c>
      <c r="G87" t="inlineStr">
        <is>
          <t>原本凡例保持・列位置は原本参照</t>
        </is>
      </c>
      <c r="H87" t="b">
        <v>1</v>
      </c>
      <c r="I87" t="inlineStr">
        <is>
          <t>+¥340,300 +¥357,700 +¥340,300 +¥357,700 +¥602,200 +¥632,300          価格表は以下の条件で算出しています。 / +¥177,400 +¥186,200 +¥177,400 +¥186,200      ＿＿        ＿＿ / 透明 / ¥24,700   ¥25,900   ¥38,100   ¥40,000   ¥41,100   ¥43,200 / S-2（120）等級 S-1（80）等級 / ¥37,400   ¥39,400   ¥57,800   ¥60,800   ¥62,700   ¥66,000 / ★            3-A-3 / ●25624-2               ★25624-4                ◇34724 / ☆            3-A-4 / ［25324-2］              ［25324-4］               ［34424］ / ◆            4-A-4 / ¥388,100   ¥416,100    ¥424,000   ¥455,600    ¥621,500   ¥665,000 / ¥407,800   ¥436,800    ¥458,500   ¥491,600    ¥657,700   ¥703,000 / ◇                       3-A-3 / ＿＿         ＿＿          ＿＿         ＿＿          ＿＿         ＿＿       ●                       4-A-4 / ¥612,600   ¥640,600    ¥567,300   ¥598,900    ¥816,800   ¥860,300   ●アシスト把手加算額 / ¥632,300   ¥661,300    ¥601,800   ¥634,900    ¥853,000   ¥898,300 / ＿＿         ＿＿          ＿＿         ＿＿          ＿＿         ＿＿ / 2枚建         4枚建 / +¥25,900    +¥51,700 / ¥662,800   ¥690,800    ¥634,100   ¥665,700    ¥909,600   ¥953,100 / ¥682,500   ¥711,500    ¥668,600   ¥701,700    ¥945,800   ¥991,100   ●採風タイプ単機能リモコン加算額 / ＿＿         ＿＿          ＿＿         ＿＿          ＿＿         ＿＿ / 単窓       連窓 / ＿＿         ＿＿          ＿＿         ＿＿          ＿＿         ＿＿ / －￥66,300 －￥66,400 / ＿＿         ＿＿          ＿＿         ＿＿          ＿＿         ＿＿ / ＿＿         ＿＿          ＿＿         ＿＿          ＿＿         ＿＿     ●ホームデバイス</t>
        </is>
      </c>
      <c r="J87" t="inlineStr">
        <is>
          <t>202604_LIXIL_サーモスＬ_業務用資料集_完成品価格表.pdf</t>
        </is>
      </c>
      <c r="K87" t="inlineStr">
        <is>
          <t>https://drive.google.com/file/d/1YUN-mtWYs48YBUHJk0C3vJXnhjyZFHyf/view</t>
        </is>
      </c>
    </row>
    <row r="88">
      <c r="A88" s="42" t="inlineStr">
        <is>
          <t>GLG-SL-0085</t>
        </is>
      </c>
      <c r="B88" t="n">
        <v>45</v>
      </c>
      <c r="C88" t="inlineStr">
        <is>
          <t>◆</t>
        </is>
      </c>
      <c r="D88" t="inlineStr">
        <is>
          <t>P45|◆</t>
        </is>
      </c>
      <c r="E88" t="inlineStr">
        <is>
          <t>透明</t>
        </is>
      </c>
      <c r="F88" t="inlineStr">
        <is>
          <t>S-2（120）等級/S-1（80）等級</t>
        </is>
      </c>
      <c r="G88" t="inlineStr">
        <is>
          <t>原本凡例保持・列位置は原本参照</t>
        </is>
      </c>
      <c r="H88" t="b">
        <v>1</v>
      </c>
      <c r="I88" t="inlineStr">
        <is>
          <t>+¥340,300 +¥357,700 +¥340,300 +¥357,700 +¥602,200 +¥632,300          価格表は以下の条件で算出しています。 / +¥177,400 +¥186,200 +¥177,400 +¥186,200      ＿＿        ＿＿ / 透明 / ¥24,700   ¥25,900   ¥38,100   ¥40,000   ¥41,100   ¥43,200 / S-2（120）等級 S-1（80）等級 / ¥37,400   ¥39,400   ¥57,800   ¥60,800   ¥62,700   ¥66,000 / ★            3-A-3 / ●25624-2               ★25624-4                ◇34724 / ☆            3-A-4 / ［25324-2］              ［25324-4］               ［34424］ / ◆            4-A-4 / ¥388,100   ¥416,100    ¥424,000   ¥455,600    ¥621,500   ¥665,000 / ¥407,800   ¥436,800    ¥458,500   ¥491,600    ¥657,700   ¥703,000 / ◇                       3-A-3 / ＿＿         ＿＿          ＿＿         ＿＿          ＿＿         ＿＿       ●                       4-A-4 / ¥612,600   ¥640,600    ¥567,300   ¥598,900    ¥816,800   ¥860,300   ●アシスト把手加算額 / ¥632,300   ¥661,300    ¥601,800   ¥634,900    ¥853,000   ¥898,300 / ＿＿         ＿＿          ＿＿         ＿＿          ＿＿         ＿＿ / 2枚建         4枚建 / +¥25,900    +¥51,700 / ¥662,800   ¥690,800    ¥634,100   ¥665,700    ¥909,600   ¥953,100 / ¥682,500   ¥711,500    ¥668,600   ¥701,700    ¥945,800   ¥991,100   ●採風タイプ単機能リモコン加算額 / ＿＿         ＿＿          ＿＿         ＿＿          ＿＿         ＿＿ / 単窓       連窓 / ＿＿         ＿＿          ＿＿         ＿＿          ＿＿         ＿＿ / －￥66,300 －￥66,400 / ＿＿         ＿＿          ＿＿         ＿＿          ＿＿         ＿＿ / ＿＿         ＿＿          ＿＿         ＿＿          ＿＿         ＿＿     ●ホームデバイス</t>
        </is>
      </c>
      <c r="J88" t="inlineStr">
        <is>
          <t>202604_LIXIL_サーモスＬ_業務用資料集_完成品価格表.pdf</t>
        </is>
      </c>
      <c r="K88" t="inlineStr">
        <is>
          <t>https://drive.google.com/file/d/1YUN-mtWYs48YBUHJk0C3vJXnhjyZFHyf/view</t>
        </is>
      </c>
    </row>
    <row r="89">
      <c r="A89" s="42" t="inlineStr">
        <is>
          <t>GLG-SL-0086</t>
        </is>
      </c>
      <c r="B89" t="n">
        <v>45</v>
      </c>
      <c r="C89" t="inlineStr">
        <is>
          <t>◇</t>
        </is>
      </c>
      <c r="D89" t="inlineStr">
        <is>
          <t>P45|◇</t>
        </is>
      </c>
      <c r="E89" t="inlineStr">
        <is>
          <t>透明</t>
        </is>
      </c>
      <c r="F89" t="inlineStr">
        <is>
          <t>S-2（120）等級/S-1（80）等級</t>
        </is>
      </c>
      <c r="G89" t="inlineStr">
        <is>
          <t>原本凡例保持・列位置は原本参照</t>
        </is>
      </c>
      <c r="H89" t="b">
        <v>1</v>
      </c>
      <c r="I89" t="inlineStr">
        <is>
          <t>+¥340,300 +¥357,700 +¥340,300 +¥357,700 +¥602,200 +¥632,300          価格表は以下の条件で算出しています。 / +¥177,400 +¥186,200 +¥177,400 +¥186,200      ＿＿        ＿＿ / 透明 / ¥24,700   ¥25,900   ¥38,100   ¥40,000   ¥41,100   ¥43,200 / S-2（120）等級 S-1（80）等級 / ¥37,400   ¥39,400   ¥57,800   ¥60,800   ¥62,700   ¥66,000 / ★            3-A-3 / ●25624-2               ★25624-4                ◇34724 / ☆            3-A-4 / ［25324-2］              ［25324-4］               ［34424］ / ◆            4-A-4 / ¥388,100   ¥416,100    ¥424,000   ¥455,600    ¥621,500   ¥665,000 / ¥407,800   ¥436,800    ¥458,500   ¥491,600    ¥657,700   ¥703,000 / ◇                       3-A-3 / ＿＿         ＿＿          ＿＿         ＿＿          ＿＿         ＿＿       ●                       4-A-4 / ¥612,600   ¥640,600    ¥567,300   ¥598,900    ¥816,800   ¥860,300   ●アシスト把手加算額 / ¥632,300   ¥661,300    ¥601,800   ¥634,900    ¥853,000   ¥898,300 / ＿＿         ＿＿          ＿＿         ＿＿          ＿＿         ＿＿ / 2枚建         4枚建 / +¥25,900    +¥51,700 / ¥662,800   ¥690,800    ¥634,100   ¥665,700    ¥909,600   ¥953,100 / ¥682,500   ¥711,500    ¥668,600   ¥701,700    ¥945,800   ¥991,100   ●採風タイプ単機能リモコン加算額 / ＿＿         ＿＿          ＿＿         ＿＿          ＿＿         ＿＿ / 単窓       連窓 / ＿＿         ＿＿          ＿＿         ＿＿          ＿＿         ＿＿ / －￥66,300 －￥66,400 / ＿＿         ＿＿          ＿＿         ＿＿          ＿＿         ＿＿ / ＿＿         ＿＿          ＿＿         ＿＿          ＿＿         ＿＿     ●ホームデバイス</t>
        </is>
      </c>
      <c r="J89" t="inlineStr">
        <is>
          <t>202604_LIXIL_サーモスＬ_業務用資料集_完成品価格表.pdf</t>
        </is>
      </c>
      <c r="K89" t="inlineStr">
        <is>
          <t>https://drive.google.com/file/d/1YUN-mtWYs48YBUHJk0C3vJXnhjyZFHyf/view</t>
        </is>
      </c>
    </row>
    <row r="90">
      <c r="A90" s="42" t="inlineStr">
        <is>
          <t>GLG-SL-0087</t>
        </is>
      </c>
      <c r="B90" t="n">
        <v>46</v>
      </c>
      <c r="C90" t="inlineStr">
        <is>
          <t>無印</t>
        </is>
      </c>
      <c r="D90" t="inlineStr">
        <is>
          <t>P46|無印</t>
        </is>
      </c>
      <c r="E90" t="inlineStr">
        <is>
          <t>透明</t>
        </is>
      </c>
      <c r="F90" t="inlineStr">
        <is>
          <t>S-3（160）等級/S-2（120）等級</t>
        </is>
      </c>
      <c r="G90" t="inlineStr">
        <is>
          <t>原本凡例保持・列位置は原本参照</t>
        </is>
      </c>
      <c r="H90" t="b">
        <v>1</v>
      </c>
      <c r="I90" t="inlineStr">
        <is>
          <t>価格表は以下の条件で算出しています。                                           ●アシスト把手加算額                        ●ホームデバイス / 透明                               2枚建          4枚建                      ￥50,000 / S-3（160）等級 S-2（120）等級                     +¥25,900     +¥51,700 / 無印                  3-A-3 / ●採風タイプ単機能リモコン加算額 / 3-A-3 / ○ / ※1 / 3-A-3 / （大壁和室障子）                         単窓 / ☆                              3-A-4                      －￥66,300 / ◆                              4-A-4 / ※1 大 /  壁和室障子のみS-2（120）等級となります。</t>
        </is>
      </c>
      <c r="J90" t="inlineStr">
        <is>
          <t>202604_LIXIL_サーモスＬ_業務用資料集_完成品価格表.pdf</t>
        </is>
      </c>
      <c r="K90" t="inlineStr">
        <is>
          <t>https://drive.google.com/file/d/1YUN-mtWYs48YBUHJk0C3vJXnhjyZFHyf/view</t>
        </is>
      </c>
    </row>
    <row r="91">
      <c r="A91" s="42" t="inlineStr">
        <is>
          <t>GLG-SL-0088</t>
        </is>
      </c>
      <c r="B91" t="n">
        <v>46</v>
      </c>
      <c r="C91" t="inlineStr">
        <is>
          <t>☆</t>
        </is>
      </c>
      <c r="D91" t="inlineStr">
        <is>
          <t>P46|☆</t>
        </is>
      </c>
      <c r="E91" t="inlineStr">
        <is>
          <t>透明</t>
        </is>
      </c>
      <c r="F91" t="inlineStr">
        <is>
          <t>S-3（160）等級/S-2（120）等級</t>
        </is>
      </c>
      <c r="G91" t="inlineStr">
        <is>
          <t>原本凡例保持・列位置は原本参照</t>
        </is>
      </c>
      <c r="H91" t="b">
        <v>1</v>
      </c>
      <c r="I91" t="inlineStr">
        <is>
          <t>価格表は以下の条件で算出しています。                                           ●アシスト把手加算額                        ●ホームデバイス / 透明                               2枚建          4枚建                      ￥50,000 / S-3（160）等級 S-2（120）等級                     +¥25,900     +¥51,700 / 無印                  3-A-3 / ●採風タイプ単機能リモコン加算額 / 3-A-3 / ○ / ※1 / 3-A-3 / （大壁和室障子）                         単窓 / ☆                              3-A-4                      －￥66,300 / ◆                              4-A-4 / ※1 大 /  壁和室障子のみS-2（120）等級となります。</t>
        </is>
      </c>
      <c r="J91" t="inlineStr">
        <is>
          <t>202604_LIXIL_サーモスＬ_業務用資料集_完成品価格表.pdf</t>
        </is>
      </c>
      <c r="K91" t="inlineStr">
        <is>
          <t>https://drive.google.com/file/d/1YUN-mtWYs48YBUHJk0C3vJXnhjyZFHyf/view</t>
        </is>
      </c>
    </row>
    <row r="92">
      <c r="A92" s="42" t="inlineStr">
        <is>
          <t>GLG-SL-0089</t>
        </is>
      </c>
      <c r="B92" t="n">
        <v>46</v>
      </c>
      <c r="C92" t="inlineStr">
        <is>
          <t>○</t>
        </is>
      </c>
      <c r="D92" t="inlineStr">
        <is>
          <t>P46|○</t>
        </is>
      </c>
      <c r="E92" t="inlineStr">
        <is>
          <t>透明</t>
        </is>
      </c>
      <c r="F92" t="inlineStr">
        <is>
          <t>S-3（160）等級/S-2（120）等級</t>
        </is>
      </c>
      <c r="G92" t="inlineStr">
        <is>
          <t>原本凡例保持・列位置は原本参照</t>
        </is>
      </c>
      <c r="H92" t="b">
        <v>1</v>
      </c>
      <c r="I92" t="inlineStr">
        <is>
          <t>価格表は以下の条件で算出しています。                                           ●アシスト把手加算額                        ●ホームデバイス / 透明                               2枚建          4枚建                      ￥50,000 / S-3（160）等級 S-2（120）等級                     +¥25,900     +¥51,700 / 無印                  3-A-3 / ●採風タイプ単機能リモコン加算額 / 3-A-3 / ○ / ※1 / 3-A-3 / （大壁和室障子）                         単窓 / ☆                              3-A-4                      －￥66,300 / ◆                              4-A-4 / ※1 大 /  壁和室障子のみS-2（120）等級となります。</t>
        </is>
      </c>
      <c r="J92" t="inlineStr">
        <is>
          <t>202604_LIXIL_サーモスＬ_業務用資料集_完成品価格表.pdf</t>
        </is>
      </c>
      <c r="K92" t="inlineStr">
        <is>
          <t>https://drive.google.com/file/d/1YUN-mtWYs48YBUHJk0C3vJXnhjyZFHyf/view</t>
        </is>
      </c>
    </row>
    <row r="93">
      <c r="A93" s="42" t="inlineStr">
        <is>
          <t>GLG-SL-0090</t>
        </is>
      </c>
      <c r="B93" t="n">
        <v>46</v>
      </c>
      <c r="C93" t="inlineStr">
        <is>
          <t>●</t>
        </is>
      </c>
      <c r="D93" t="inlineStr">
        <is>
          <t>P46|●</t>
        </is>
      </c>
      <c r="E93" t="inlineStr">
        <is>
          <t>透明</t>
        </is>
      </c>
      <c r="F93" t="inlineStr">
        <is>
          <t>S-3（160）等級/S-2（120）等級</t>
        </is>
      </c>
      <c r="G93" t="inlineStr">
        <is>
          <t>原本凡例保持・列位置は原本参照</t>
        </is>
      </c>
      <c r="H93" t="b">
        <v>1</v>
      </c>
      <c r="I93" t="inlineStr">
        <is>
          <t>価格表は以下の条件で算出しています。                                           ●アシスト把手加算額                        ●ホームデバイス / 透明                               2枚建          4枚建                      ￥50,000 / S-3（160）等級 S-2（120）等級                     +¥25,900     +¥51,700 / 無印                  3-A-3 / ●採風タイプ単機能リモコン加算額 / 3-A-3 / ○ / ※1 / 3-A-3 / （大壁和室障子）                         単窓 / ☆                              3-A-4                      －￥66,300 / ◆                              4-A-4 / ※1 大 /  壁和室障子のみS-2（120）等級となります。</t>
        </is>
      </c>
      <c r="J93" t="inlineStr">
        <is>
          <t>202604_LIXIL_サーモスＬ_業務用資料集_完成品価格表.pdf</t>
        </is>
      </c>
      <c r="K93" t="inlineStr">
        <is>
          <t>https://drive.google.com/file/d/1YUN-mtWYs48YBUHJk0C3vJXnhjyZFHyf/view</t>
        </is>
      </c>
    </row>
    <row r="94">
      <c r="A94" s="42" t="inlineStr">
        <is>
          <t>GLG-SL-0091</t>
        </is>
      </c>
      <c r="B94" t="n">
        <v>46</v>
      </c>
      <c r="C94" t="inlineStr">
        <is>
          <t>◆</t>
        </is>
      </c>
      <c r="D94" t="inlineStr">
        <is>
          <t>P46|◆</t>
        </is>
      </c>
      <c r="E94" t="inlineStr">
        <is>
          <t>透明</t>
        </is>
      </c>
      <c r="F94" t="inlineStr">
        <is>
          <t>S-3（160）等級/S-2（120）等級</t>
        </is>
      </c>
      <c r="G94" t="inlineStr">
        <is>
          <t>原本凡例保持・列位置は原本参照</t>
        </is>
      </c>
      <c r="H94" t="b">
        <v>1</v>
      </c>
      <c r="I94" t="inlineStr">
        <is>
          <t>価格表は以下の条件で算出しています。                                           ●アシスト把手加算額                        ●ホームデバイス / 透明                               2枚建          4枚建                      ￥50,000 / S-3（160）等級 S-2（120）等級                     +¥25,900     +¥51,700 / 無印                  3-A-3 / ●採風タイプ単機能リモコン加算額 / 3-A-3 / ○ / ※1 / 3-A-3 / （大壁和室障子）                         単窓 / ☆                              3-A-4                      －￥66,300 / ◆                              4-A-4 / ※1 大 /  壁和室障子のみS-2（120）等級となります。</t>
        </is>
      </c>
      <c r="J94" t="inlineStr">
        <is>
          <t>202604_LIXIL_サーモスＬ_業務用資料集_完成品価格表.pdf</t>
        </is>
      </c>
      <c r="K94" t="inlineStr">
        <is>
          <t>https://drive.google.com/file/d/1YUN-mtWYs48YBUHJk0C3vJXnhjyZFHyf/view</t>
        </is>
      </c>
    </row>
    <row r="95">
      <c r="A95" s="42" t="inlineStr">
        <is>
          <t>GLG-SL-0092</t>
        </is>
      </c>
      <c r="B95" t="n">
        <v>48</v>
      </c>
      <c r="C95" t="inlineStr">
        <is>
          <t>無印</t>
        </is>
      </c>
      <c r="D95" t="inlineStr">
        <is>
          <t>P48|無印</t>
        </is>
      </c>
      <c r="E95" t="inlineStr">
        <is>
          <t>透明</t>
        </is>
      </c>
      <c r="F95" t="inlineStr">
        <is>
          <t>S-2（120）等級/S-1（80）等級</t>
        </is>
      </c>
      <c r="G95" t="inlineStr">
        <is>
          <t>原本凡例保持・列位置は原本参照</t>
        </is>
      </c>
      <c r="H95" t="b">
        <v>1</v>
      </c>
      <c r="I95" t="inlineStr">
        <is>
          <t>価格表は以下の条件で算出しています。                                     ●アシスト把手加算額                          ●ホームデバイス / 透明                          2枚建         4枚建                      ￥50,000 / S-2（120）等級 S-1（80）等級                 +¥25,900    +¥51,700 / ★                   3-A-3 / ●採風タイプ単機能リモコン加算額 / ◆                   4-A-4 / ●                              4-A-4                   単窓 / －￥66,300</t>
        </is>
      </c>
      <c r="J95" t="inlineStr">
        <is>
          <t>202604_LIXIL_サーモスＬ_業務用資料集_完成品価格表.pdf</t>
        </is>
      </c>
      <c r="K95" t="inlineStr">
        <is>
          <t>https://drive.google.com/file/d/1YUN-mtWYs48YBUHJk0C3vJXnhjyZFHyf/view</t>
        </is>
      </c>
    </row>
    <row r="96">
      <c r="A96" s="42" t="inlineStr">
        <is>
          <t>GLG-SL-0093</t>
        </is>
      </c>
      <c r="B96" t="n">
        <v>48</v>
      </c>
      <c r="C96" t="inlineStr">
        <is>
          <t>★</t>
        </is>
      </c>
      <c r="D96" t="inlineStr">
        <is>
          <t>P48|★</t>
        </is>
      </c>
      <c r="E96" t="inlineStr">
        <is>
          <t>透明</t>
        </is>
      </c>
      <c r="F96" t="inlineStr">
        <is>
          <t>S-2（120）等級/S-1（80）等級</t>
        </is>
      </c>
      <c r="G96" t="inlineStr">
        <is>
          <t>原本凡例保持・列位置は原本参照</t>
        </is>
      </c>
      <c r="H96" t="b">
        <v>1</v>
      </c>
      <c r="I96" t="inlineStr">
        <is>
          <t>価格表は以下の条件で算出しています。                                     ●アシスト把手加算額                          ●ホームデバイス / 透明                          2枚建         4枚建                      ￥50,000 / S-2（120）等級 S-1（80）等級                 +¥25,900    +¥51,700 / ★                   3-A-3 / ●採風タイプ単機能リモコン加算額 / ◆                   4-A-4 / ●                              4-A-4                   単窓 / －￥66,300</t>
        </is>
      </c>
      <c r="J96" t="inlineStr">
        <is>
          <t>202604_LIXIL_サーモスＬ_業務用資料集_完成品価格表.pdf</t>
        </is>
      </c>
      <c r="K96" t="inlineStr">
        <is>
          <t>https://drive.google.com/file/d/1YUN-mtWYs48YBUHJk0C3vJXnhjyZFHyf/view</t>
        </is>
      </c>
    </row>
    <row r="97">
      <c r="A97" s="42" t="inlineStr">
        <is>
          <t>GLG-SL-0094</t>
        </is>
      </c>
      <c r="B97" t="n">
        <v>48</v>
      </c>
      <c r="C97" t="inlineStr">
        <is>
          <t>●</t>
        </is>
      </c>
      <c r="D97" t="inlineStr">
        <is>
          <t>P48|●</t>
        </is>
      </c>
      <c r="E97" t="inlineStr">
        <is>
          <t>透明</t>
        </is>
      </c>
      <c r="F97" t="inlineStr">
        <is>
          <t>S-2（120）等級/S-1（80）等級</t>
        </is>
      </c>
      <c r="G97" t="inlineStr">
        <is>
          <t>原本凡例保持・列位置は原本参照</t>
        </is>
      </c>
      <c r="H97" t="b">
        <v>1</v>
      </c>
      <c r="I97" t="inlineStr">
        <is>
          <t>価格表は以下の条件で算出しています。                                     ●アシスト把手加算額                          ●ホームデバイス / 透明                          2枚建         4枚建                      ￥50,000 / S-2（120）等級 S-1（80）等級                 +¥25,900    +¥51,700 / ★                   3-A-3 / ●採風タイプ単機能リモコン加算額 / ◆                   4-A-4 / ●                              4-A-4                   単窓 / －￥66,300</t>
        </is>
      </c>
      <c r="J97" t="inlineStr">
        <is>
          <t>202604_LIXIL_サーモスＬ_業務用資料集_完成品価格表.pdf</t>
        </is>
      </c>
      <c r="K97" t="inlineStr">
        <is>
          <t>https://drive.google.com/file/d/1YUN-mtWYs48YBUHJk0C3vJXnhjyZFHyf/view</t>
        </is>
      </c>
    </row>
    <row r="98">
      <c r="A98" s="42" t="inlineStr">
        <is>
          <t>GLG-SL-0095</t>
        </is>
      </c>
      <c r="B98" t="n">
        <v>48</v>
      </c>
      <c r="C98" t="inlineStr">
        <is>
          <t>◆</t>
        </is>
      </c>
      <c r="D98" t="inlineStr">
        <is>
          <t>P48|◆</t>
        </is>
      </c>
      <c r="E98" t="inlineStr">
        <is>
          <t>透明</t>
        </is>
      </c>
      <c r="F98" t="inlineStr">
        <is>
          <t>S-2（120）等級/S-1（80）等級</t>
        </is>
      </c>
      <c r="G98" t="inlineStr">
        <is>
          <t>原本凡例保持・列位置は原本参照</t>
        </is>
      </c>
      <c r="H98" t="b">
        <v>1</v>
      </c>
      <c r="I98" t="inlineStr">
        <is>
          <t>価格表は以下の条件で算出しています。                                     ●アシスト把手加算額                          ●ホームデバイス / 透明                          2枚建         4枚建                      ￥50,000 / S-2（120）等級 S-1（80）等級                 +¥25,900    +¥51,700 / ★                   3-A-3 / ●採風タイプ単機能リモコン加算額 / ◆                   4-A-4 / ●                              4-A-4                   単窓 / －￥66,300</t>
        </is>
      </c>
      <c r="J98" t="inlineStr">
        <is>
          <t>202604_LIXIL_サーモスＬ_業務用資料集_完成品価格表.pdf</t>
        </is>
      </c>
      <c r="K98" t="inlineStr">
        <is>
          <t>https://drive.google.com/file/d/1YUN-mtWYs48YBUHJk0C3vJXnhjyZFHyf/view</t>
        </is>
      </c>
    </row>
    <row r="99">
      <c r="A99" s="42" t="inlineStr">
        <is>
          <t>GLG-SL-0096</t>
        </is>
      </c>
      <c r="B99" t="n">
        <v>50</v>
      </c>
      <c r="C99" t="inlineStr">
        <is>
          <t>無印</t>
        </is>
      </c>
      <c r="D99" t="inlineStr">
        <is>
          <t>P50|無印</t>
        </is>
      </c>
      <c r="E99" t="inlineStr">
        <is>
          <t>透明</t>
        </is>
      </c>
      <c r="F99" t="inlineStr">
        <is>
          <t>S-3（160）等級/S-2（120）等級</t>
        </is>
      </c>
      <c r="G99" t="inlineStr">
        <is>
          <t>原本凡例保持・列位置は原本参照</t>
        </is>
      </c>
      <c r="H99" t="b">
        <v>1</v>
      </c>
      <c r="I99" t="inlineStr">
        <is>
          <t>価格表は以下の条件で算出しています。                                   ●アシスト把手加算額                          ●ホームデバイス / 透明                         2枚建        4枚建                      ￥50,000 / S-3（160）等級 S-2（120）等級               +¥25,900   +¥51,700 / 無印                  3-A-3 / ●採風タイプ単機能リモコン加算額 / 3-A-3 / ○ / ※1 / （把手障子） / 3-A-3                 単窓 / ☆                              3-A-4               －￥66,300 / ◆                              4-A-4 / ※1 把 /  手障子のみS-3（160）等級となります。</t>
        </is>
      </c>
      <c r="J99" t="inlineStr">
        <is>
          <t>202604_LIXIL_サーモスＬ_業務用資料集_完成品価格表.pdf</t>
        </is>
      </c>
      <c r="K99" t="inlineStr">
        <is>
          <t>https://drive.google.com/file/d/1YUN-mtWYs48YBUHJk0C3vJXnhjyZFHyf/view</t>
        </is>
      </c>
    </row>
    <row r="100">
      <c r="A100" s="42" t="inlineStr">
        <is>
          <t>GLG-SL-0097</t>
        </is>
      </c>
      <c r="B100" t="n">
        <v>50</v>
      </c>
      <c r="C100" t="inlineStr">
        <is>
          <t>☆</t>
        </is>
      </c>
      <c r="D100" t="inlineStr">
        <is>
          <t>P50|☆</t>
        </is>
      </c>
      <c r="E100" t="inlineStr">
        <is>
          <t>透明</t>
        </is>
      </c>
      <c r="F100" t="inlineStr">
        <is>
          <t>S-3（160）等級/S-2（120）等級</t>
        </is>
      </c>
      <c r="G100" t="inlineStr">
        <is>
          <t>原本凡例保持・列位置は原本参照</t>
        </is>
      </c>
      <c r="H100" t="b">
        <v>1</v>
      </c>
      <c r="I100" t="inlineStr">
        <is>
          <t>価格表は以下の条件で算出しています。                                   ●アシスト把手加算額                          ●ホームデバイス / 透明                         2枚建        4枚建                      ￥50,000 / S-3（160）等級 S-2（120）等級               +¥25,900   +¥51,700 / 無印                  3-A-3 / ●採風タイプ単機能リモコン加算額 / 3-A-3 / ○ / ※1 / （把手障子） / 3-A-3                 単窓 / ☆                              3-A-4               －￥66,300 / ◆                              4-A-4 / ※1 把 /  手障子のみS-3（160）等級となります。</t>
        </is>
      </c>
      <c r="J100" t="inlineStr">
        <is>
          <t>202604_LIXIL_サーモスＬ_業務用資料集_完成品価格表.pdf</t>
        </is>
      </c>
      <c r="K100" t="inlineStr">
        <is>
          <t>https://drive.google.com/file/d/1YUN-mtWYs48YBUHJk0C3vJXnhjyZFHyf/view</t>
        </is>
      </c>
    </row>
    <row r="101">
      <c r="A101" s="42" t="inlineStr">
        <is>
          <t>GLG-SL-0098</t>
        </is>
      </c>
      <c r="B101" t="n">
        <v>50</v>
      </c>
      <c r="C101" t="inlineStr">
        <is>
          <t>○</t>
        </is>
      </c>
      <c r="D101" t="inlineStr">
        <is>
          <t>P50|○</t>
        </is>
      </c>
      <c r="E101" t="inlineStr">
        <is>
          <t>透明</t>
        </is>
      </c>
      <c r="F101" t="inlineStr">
        <is>
          <t>S-3（160）等級/S-2（120）等級</t>
        </is>
      </c>
      <c r="G101" t="inlineStr">
        <is>
          <t>原本凡例保持・列位置は原本参照</t>
        </is>
      </c>
      <c r="H101" t="b">
        <v>1</v>
      </c>
      <c r="I101" t="inlineStr">
        <is>
          <t>価格表は以下の条件で算出しています。                                   ●アシスト把手加算額                          ●ホームデバイス / 透明                         2枚建        4枚建                      ￥50,000 / S-3（160）等級 S-2（120）等級               +¥25,900   +¥51,700 / 無印                  3-A-3 / ●採風タイプ単機能リモコン加算額 / 3-A-3 / ○ / ※1 / （把手障子） / 3-A-3                 単窓 / ☆                              3-A-4               －￥66,300 / ◆                              4-A-4 / ※1 把 /  手障子のみS-3（160）等級となります。</t>
        </is>
      </c>
      <c r="J101" t="inlineStr">
        <is>
          <t>202604_LIXIL_サーモスＬ_業務用資料集_完成品価格表.pdf</t>
        </is>
      </c>
      <c r="K101" t="inlineStr">
        <is>
          <t>https://drive.google.com/file/d/1YUN-mtWYs48YBUHJk0C3vJXnhjyZFHyf/view</t>
        </is>
      </c>
    </row>
    <row r="102">
      <c r="A102" s="42" t="inlineStr">
        <is>
          <t>GLG-SL-0099</t>
        </is>
      </c>
      <c r="B102" t="n">
        <v>50</v>
      </c>
      <c r="C102" t="inlineStr">
        <is>
          <t>●</t>
        </is>
      </c>
      <c r="D102" t="inlineStr">
        <is>
          <t>P50|●</t>
        </is>
      </c>
      <c r="E102" t="inlineStr">
        <is>
          <t>透明</t>
        </is>
      </c>
      <c r="F102" t="inlineStr">
        <is>
          <t>S-3（160）等級/S-2（120）等級</t>
        </is>
      </c>
      <c r="G102" t="inlineStr">
        <is>
          <t>原本凡例保持・列位置は原本参照</t>
        </is>
      </c>
      <c r="H102" t="b">
        <v>1</v>
      </c>
      <c r="I102" t="inlineStr">
        <is>
          <t>価格表は以下の条件で算出しています。                                   ●アシスト把手加算額                          ●ホームデバイス / 透明                         2枚建        4枚建                      ￥50,000 / S-3（160）等級 S-2（120）等級               +¥25,900   +¥51,700 / 無印                  3-A-3 / ●採風タイプ単機能リモコン加算額 / 3-A-3 / ○ / ※1 / （把手障子） / 3-A-3                 単窓 / ☆                              3-A-4               －￥66,300 / ◆                              4-A-4 / ※1 把 /  手障子のみS-3（160）等級となります。</t>
        </is>
      </c>
      <c r="J102" t="inlineStr">
        <is>
          <t>202604_LIXIL_サーモスＬ_業務用資料集_完成品価格表.pdf</t>
        </is>
      </c>
      <c r="K102" t="inlineStr">
        <is>
          <t>https://drive.google.com/file/d/1YUN-mtWYs48YBUHJk0C3vJXnhjyZFHyf/view</t>
        </is>
      </c>
    </row>
    <row r="103">
      <c r="A103" s="42" t="inlineStr">
        <is>
          <t>GLG-SL-0100</t>
        </is>
      </c>
      <c r="B103" t="n">
        <v>50</v>
      </c>
      <c r="C103" t="inlineStr">
        <is>
          <t>◆</t>
        </is>
      </c>
      <c r="D103" t="inlineStr">
        <is>
          <t>P50|◆</t>
        </is>
      </c>
      <c r="E103" t="inlineStr">
        <is>
          <t>透明</t>
        </is>
      </c>
      <c r="F103" t="inlineStr">
        <is>
          <t>S-3（160）等級/S-2（120）等級</t>
        </is>
      </c>
      <c r="G103" t="inlineStr">
        <is>
          <t>原本凡例保持・列位置は原本参照</t>
        </is>
      </c>
      <c r="H103" t="b">
        <v>1</v>
      </c>
      <c r="I103" t="inlineStr">
        <is>
          <t>価格表は以下の条件で算出しています。                                   ●アシスト把手加算額                          ●ホームデバイス / 透明                         2枚建        4枚建                      ￥50,000 / S-3（160）等級 S-2（120）等級               +¥25,900   +¥51,700 / 無印                  3-A-3 / ●採風タイプ単機能リモコン加算額 / 3-A-3 / ○ / ※1 / （把手障子） / 3-A-3                 単窓 / ☆                              3-A-4               －￥66,300 / ◆                              4-A-4 / ※1 把 /  手障子のみS-3（160）等級となります。</t>
        </is>
      </c>
      <c r="J103" t="inlineStr">
        <is>
          <t>202604_LIXIL_サーモスＬ_業務用資料集_完成品価格表.pdf</t>
        </is>
      </c>
      <c r="K103" t="inlineStr">
        <is>
          <t>https://drive.google.com/file/d/1YUN-mtWYs48YBUHJk0C3vJXnhjyZFHyf/view</t>
        </is>
      </c>
    </row>
    <row r="104">
      <c r="A104" s="42" t="inlineStr">
        <is>
          <t>GLG-SL-0101</t>
        </is>
      </c>
      <c r="B104" t="n">
        <v>52</v>
      </c>
      <c r="C104" t="inlineStr">
        <is>
          <t>無印</t>
        </is>
      </c>
      <c r="D104" t="inlineStr">
        <is>
          <t>P52|無印</t>
        </is>
      </c>
      <c r="E104" t="inlineStr">
        <is>
          <t>透明</t>
        </is>
      </c>
      <c r="F104" t="inlineStr">
        <is>
          <t>S-2（120）等級/S-1（80）等級</t>
        </is>
      </c>
      <c r="G104" t="inlineStr">
        <is>
          <t>原本凡例保持・列位置は原本参照</t>
        </is>
      </c>
      <c r="H104" t="b">
        <v>1</v>
      </c>
      <c r="I104" t="inlineStr">
        <is>
          <t>価格表は以下の条件で算出しています。                                   ●アシスト把手加算額                         ●ホームデバイス / 透明                       2枚建        4枚建                      ￥50,000 / S-2（120）等級 S-1（80）等級              +¥25,900   +¥51,700 / ★                    3-A-3 / ●採風タイプ単機能リモコン加算額 / ◆                    4-A-4 / ●                               4-A-4                単窓 / －￥66,300</t>
        </is>
      </c>
      <c r="J104" t="inlineStr">
        <is>
          <t>202604_LIXIL_サーモスＬ_業務用資料集_完成品価格表.pdf</t>
        </is>
      </c>
      <c r="K104" t="inlineStr">
        <is>
          <t>https://drive.google.com/file/d/1YUN-mtWYs48YBUHJk0C3vJXnhjyZFHyf/view</t>
        </is>
      </c>
    </row>
    <row r="105">
      <c r="A105" s="42" t="inlineStr">
        <is>
          <t>GLG-SL-0102</t>
        </is>
      </c>
      <c r="B105" t="n">
        <v>52</v>
      </c>
      <c r="C105" t="inlineStr">
        <is>
          <t>★</t>
        </is>
      </c>
      <c r="D105" t="inlineStr">
        <is>
          <t>P52|★</t>
        </is>
      </c>
      <c r="E105" t="inlineStr">
        <is>
          <t>透明</t>
        </is>
      </c>
      <c r="F105" t="inlineStr">
        <is>
          <t>S-2（120）等級/S-1（80）等級</t>
        </is>
      </c>
      <c r="G105" t="inlineStr">
        <is>
          <t>原本凡例保持・列位置は原本参照</t>
        </is>
      </c>
      <c r="H105" t="b">
        <v>1</v>
      </c>
      <c r="I105" t="inlineStr">
        <is>
          <t>価格表は以下の条件で算出しています。                                   ●アシスト把手加算額                         ●ホームデバイス / 透明                       2枚建        4枚建                      ￥50,000 / S-2（120）等級 S-1（80）等級              +¥25,900   +¥51,700 / ★                    3-A-3 / ●採風タイプ単機能リモコン加算額 / ◆                    4-A-4 / ●                               4-A-4                単窓 / －￥66,300</t>
        </is>
      </c>
      <c r="J105" t="inlineStr">
        <is>
          <t>202604_LIXIL_サーモスＬ_業務用資料集_完成品価格表.pdf</t>
        </is>
      </c>
      <c r="K105" t="inlineStr">
        <is>
          <t>https://drive.google.com/file/d/1YUN-mtWYs48YBUHJk0C3vJXnhjyZFHyf/view</t>
        </is>
      </c>
    </row>
    <row r="106">
      <c r="A106" s="42" t="inlineStr">
        <is>
          <t>GLG-SL-0103</t>
        </is>
      </c>
      <c r="B106" t="n">
        <v>52</v>
      </c>
      <c r="C106" t="inlineStr">
        <is>
          <t>●</t>
        </is>
      </c>
      <c r="D106" t="inlineStr">
        <is>
          <t>P52|●</t>
        </is>
      </c>
      <c r="E106" t="inlineStr">
        <is>
          <t>透明</t>
        </is>
      </c>
      <c r="F106" t="inlineStr">
        <is>
          <t>S-2（120）等級/S-1（80）等級</t>
        </is>
      </c>
      <c r="G106" t="inlineStr">
        <is>
          <t>原本凡例保持・列位置は原本参照</t>
        </is>
      </c>
      <c r="H106" t="b">
        <v>1</v>
      </c>
      <c r="I106" t="inlineStr">
        <is>
          <t>価格表は以下の条件で算出しています。                                   ●アシスト把手加算額                         ●ホームデバイス / 透明                       2枚建        4枚建                      ￥50,000 / S-2（120）等級 S-1（80）等級              +¥25,900   +¥51,700 / ★                    3-A-3 / ●採風タイプ単機能リモコン加算額 / ◆                    4-A-4 / ●                               4-A-4                単窓 / －￥66,300</t>
        </is>
      </c>
      <c r="J106" t="inlineStr">
        <is>
          <t>202604_LIXIL_サーモスＬ_業務用資料集_完成品価格表.pdf</t>
        </is>
      </c>
      <c r="K106" t="inlineStr">
        <is>
          <t>https://drive.google.com/file/d/1YUN-mtWYs48YBUHJk0C3vJXnhjyZFHyf/view</t>
        </is>
      </c>
    </row>
    <row r="107">
      <c r="A107" s="42" t="inlineStr">
        <is>
          <t>GLG-SL-0104</t>
        </is>
      </c>
      <c r="B107" t="n">
        <v>52</v>
      </c>
      <c r="C107" t="inlineStr">
        <is>
          <t>◆</t>
        </is>
      </c>
      <c r="D107" t="inlineStr">
        <is>
          <t>P52|◆</t>
        </is>
      </c>
      <c r="E107" t="inlineStr">
        <is>
          <t>透明</t>
        </is>
      </c>
      <c r="F107" t="inlineStr">
        <is>
          <t>S-2（120）等級/S-1（80）等級</t>
        </is>
      </c>
      <c r="G107" t="inlineStr">
        <is>
          <t>原本凡例保持・列位置は原本参照</t>
        </is>
      </c>
      <c r="H107" t="b">
        <v>1</v>
      </c>
      <c r="I107" t="inlineStr">
        <is>
          <t>価格表は以下の条件で算出しています。                                   ●アシスト把手加算額                         ●ホームデバイス / 透明                       2枚建        4枚建                      ￥50,000 / S-2（120）等級 S-1（80）等級              +¥25,900   +¥51,700 / ★                    3-A-3 / ●採風タイプ単機能リモコン加算額 / ◆                    4-A-4 / ●                               4-A-4                単窓 / －￥66,300</t>
        </is>
      </c>
      <c r="J107" t="inlineStr">
        <is>
          <t>202604_LIXIL_サーモスＬ_業務用資料集_完成品価格表.pdf</t>
        </is>
      </c>
      <c r="K107" t="inlineStr">
        <is>
          <t>https://drive.google.com/file/d/1YUN-mtWYs48YBUHJk0C3vJXnhjyZFHyf/view</t>
        </is>
      </c>
    </row>
    <row r="108">
      <c r="A108" s="42" t="inlineStr">
        <is>
          <t>GLG-SL-0105</t>
        </is>
      </c>
      <c r="B108" t="n">
        <v>55</v>
      </c>
      <c r="C108" t="inlineStr">
        <is>
          <t>無印</t>
        </is>
      </c>
      <c r="D108" t="inlineStr">
        <is>
          <t>P55|無印</t>
        </is>
      </c>
      <c r="E108" t="inlineStr">
        <is>
          <t>透明/型</t>
        </is>
      </c>
      <c r="F108" t="inlineStr">
        <is>
          <t>S-3（160）等級/S-2（120）等級</t>
        </is>
      </c>
      <c r="G108" t="inlineStr">
        <is>
          <t>原本凡例保持・列位置は原本参照</t>
        </is>
      </c>
      <c r="H108" t="b">
        <v>1</v>
      </c>
      <c r="I108" t="inlineStr">
        <is>
          <t>価格表は以下の条件で算出しています。 / ¥228,800   ¥240,300    ¥234,400  ¥246,200     ¥236,800  ¥248,600     ¥250,300   ¥262,800      ¥251,300   ¥263,800 / ¥228,800   ¥240,300    ¥234,400  ¥246,200     ¥236,800  ¥248,600     ¥250,300   ¥262,800      ¥251,300   ¥263,800                     透明 / +¥94,400   +¥99,400    +¥96,700 +¥101,300     +¥96,700 +¥101,300         ＿＿         ＿＿            ＿＿         ＿＿             S-3（160）等級 S-2（120）等級 / ¥11,200    ¥11,900     ¥11,700   ¥12,400      ¥11,700   ¥12,400      ¥12,200      ¥12,700     ¥12,200      ¥12,700    無印       3-A-3 / ○15015                 ○16015                 ○16515                                                                 ★       3-A-3 / ［14715］                ［15715］                ［16215］                                                                ○                  3-A-3 / ¥166,000  ¥178,700     ¥167,300  ¥180,000     ¥167,300  ¥180,000 / 型 / S-3（160）等級 S-2（120）等級 / ¥223,100  ¥235,800     ¥228,000  ¥240,700     ¥229,800  ¥242,500 / 無印 / ¥223,100  ¥235,800     ¥228,000  ¥240,700     ¥229,800  ¥242,500 / 3-A-型4 / ¥247,900  ¥260,600     ¥254,400  ¥267,100     ¥257,000  ¥269,700 / ★                 3-A-型4 / ¥247,900  ¥260,600     ¥254,400  ¥267,100     ¥257,000  ¥269,700 / ○                 3-A-型4 / +¥96,600 +¥101,400     +¥98,600 +¥103,400     +¥98,600 +¥103,400 / ¥12,300   ¥12,800      ¥12,500   ¥13,100      ¥12,500   ¥13,100                                                         有効開口拡大仕様と通常品の設定あり / 55</t>
        </is>
      </c>
      <c r="J108" t="inlineStr">
        <is>
          <t>202604_LIXIL_サーモスＬ_業務用資料集_完成品価格表.pdf</t>
        </is>
      </c>
      <c r="K108" t="inlineStr">
        <is>
          <t>https://drive.google.com/file/d/1YUN-mtWYs48YBUHJk0C3vJXnhjyZFHyf/view</t>
        </is>
      </c>
    </row>
    <row r="109">
      <c r="A109" s="42" t="inlineStr">
        <is>
          <t>GLG-SL-0106</t>
        </is>
      </c>
      <c r="B109" t="n">
        <v>55</v>
      </c>
      <c r="C109" t="inlineStr">
        <is>
          <t>★</t>
        </is>
      </c>
      <c r="D109" t="inlineStr">
        <is>
          <t>P55|★</t>
        </is>
      </c>
      <c r="E109" t="inlineStr">
        <is>
          <t>透明/型</t>
        </is>
      </c>
      <c r="F109" t="inlineStr">
        <is>
          <t>S-3（160）等級/S-2（120）等級</t>
        </is>
      </c>
      <c r="G109" t="inlineStr">
        <is>
          <t>原本凡例保持・列位置は原本参照</t>
        </is>
      </c>
      <c r="H109" t="b">
        <v>1</v>
      </c>
      <c r="I109" t="inlineStr">
        <is>
          <t>価格表は以下の条件で算出しています。 / ¥228,800   ¥240,300    ¥234,400  ¥246,200     ¥236,800  ¥248,600     ¥250,300   ¥262,800      ¥251,300   ¥263,800 / ¥228,800   ¥240,300    ¥234,400  ¥246,200     ¥236,800  ¥248,600     ¥250,300   ¥262,800      ¥251,300   ¥263,800                     透明 / +¥94,400   +¥99,400    +¥96,700 +¥101,300     +¥96,700 +¥101,300         ＿＿         ＿＿            ＿＿         ＿＿             S-3（160）等級 S-2（120）等級 / ¥11,200    ¥11,900     ¥11,700   ¥12,400      ¥11,700   ¥12,400      ¥12,200      ¥12,700     ¥12,200      ¥12,700    無印       3-A-3 / ○15015                 ○16015                 ○16515                                                                 ★       3-A-3 / ［14715］                ［15715］                ［16215］                                                                ○                  3-A-3 / ¥166,000  ¥178,700     ¥167,300  ¥180,000     ¥167,300  ¥180,000 / 型 / S-3（160）等級 S-2（120）等級 / ¥223,100  ¥235,800     ¥228,000  ¥240,700     ¥229,800  ¥242,500 / 無印 / ¥223,100  ¥235,800     ¥228,000  ¥240,700     ¥229,800  ¥242,500 / 3-A-型4 / ¥247,900  ¥260,600     ¥254,400  ¥267,100     ¥257,000  ¥269,700 / ★                 3-A-型4 / ¥247,900  ¥260,600     ¥254,400  ¥267,100     ¥257,000  ¥269,700 / ○                 3-A-型4 / +¥96,600 +¥101,400     +¥98,600 +¥103,400     +¥98,600 +¥103,400 / ¥12,300   ¥12,800      ¥12,500   ¥13,100      ¥12,500   ¥13,100                                                         有効開口拡大仕様と通常品の設定あり / 55</t>
        </is>
      </c>
      <c r="J109" t="inlineStr">
        <is>
          <t>202604_LIXIL_サーモスＬ_業務用資料集_完成品価格表.pdf</t>
        </is>
      </c>
      <c r="K109" t="inlineStr">
        <is>
          <t>https://drive.google.com/file/d/1YUN-mtWYs48YBUHJk0C3vJXnhjyZFHyf/view</t>
        </is>
      </c>
    </row>
    <row r="110">
      <c r="A110" s="42" t="inlineStr">
        <is>
          <t>GLG-SL-0107</t>
        </is>
      </c>
      <c r="B110" t="n">
        <v>55</v>
      </c>
      <c r="C110" t="inlineStr">
        <is>
          <t>○</t>
        </is>
      </c>
      <c r="D110" t="inlineStr">
        <is>
          <t>P55|○</t>
        </is>
      </c>
      <c r="E110" t="inlineStr">
        <is>
          <t>透明/型</t>
        </is>
      </c>
      <c r="F110" t="inlineStr">
        <is>
          <t>S-3（160）等級/S-2（120）等級</t>
        </is>
      </c>
      <c r="G110" t="inlineStr">
        <is>
          <t>原本凡例保持・列位置は原本参照</t>
        </is>
      </c>
      <c r="H110" t="b">
        <v>1</v>
      </c>
      <c r="I110" t="inlineStr">
        <is>
          <t>価格表は以下の条件で算出しています。 / ¥228,800   ¥240,300    ¥234,400  ¥246,200     ¥236,800  ¥248,600     ¥250,300   ¥262,800      ¥251,300   ¥263,800 / ¥228,800   ¥240,300    ¥234,400  ¥246,200     ¥236,800  ¥248,600     ¥250,300   ¥262,800      ¥251,300   ¥263,800                     透明 / +¥94,400   +¥99,400    +¥96,700 +¥101,300     +¥96,700 +¥101,300         ＿＿         ＿＿            ＿＿         ＿＿             S-3（160）等級 S-2（120）等級 / ¥11,200    ¥11,900     ¥11,700   ¥12,400      ¥11,700   ¥12,400      ¥12,200      ¥12,700     ¥12,200      ¥12,700    無印       3-A-3 / ○15015                 ○16015                 ○16515                                                                 ★       3-A-3 / ［14715］                ［15715］                ［16215］                                                                ○                  3-A-3 / ¥166,000  ¥178,700     ¥167,300  ¥180,000     ¥167,300  ¥180,000 / 型 / S-3（160）等級 S-2（120）等級 / ¥223,100  ¥235,800     ¥228,000  ¥240,700     ¥229,800  ¥242,500 / 無印 / ¥223,100  ¥235,800     ¥228,000  ¥240,700     ¥229,800  ¥242,500 / 3-A-型4 / ¥247,900  ¥260,600     ¥254,400  ¥267,100     ¥257,000  ¥269,700 / ★                 3-A-型4 / ¥247,900  ¥260,600     ¥254,400  ¥267,100     ¥257,000  ¥269,700 / ○                 3-A-型4 / +¥96,600 +¥101,400     +¥98,600 +¥103,400     +¥98,600 +¥103,400 / ¥12,300   ¥12,800      ¥12,500   ¥13,100      ¥12,500   ¥13,100                                                         有効開口拡大仕様と通常品の設定あり / 55</t>
        </is>
      </c>
      <c r="J110" t="inlineStr">
        <is>
          <t>202604_LIXIL_サーモスＬ_業務用資料集_完成品価格表.pdf</t>
        </is>
      </c>
      <c r="K110" t="inlineStr">
        <is>
          <t>https://drive.google.com/file/d/1YUN-mtWYs48YBUHJk0C3vJXnhjyZFHyf/view</t>
        </is>
      </c>
    </row>
    <row r="111">
      <c r="A111" s="42" t="inlineStr">
        <is>
          <t>GLG-SL-0108</t>
        </is>
      </c>
      <c r="B111" t="n">
        <v>57</v>
      </c>
      <c r="C111" t="inlineStr">
        <is>
          <t>無印</t>
        </is>
      </c>
      <c r="D111" t="inlineStr">
        <is>
          <t>P57|無印</t>
        </is>
      </c>
      <c r="E111" t="inlineStr">
        <is>
          <t>透明/型</t>
        </is>
      </c>
      <c r="F111" t="inlineStr">
        <is>
          <t>S-3（160）等級/S-2（120）等級/S-1（80）等級</t>
        </is>
      </c>
      <c r="G111" t="inlineStr">
        <is>
          <t>原本凡例保持・列位置は原本参照</t>
        </is>
      </c>
      <c r="H111" t="b">
        <v>1</v>
      </c>
      <c r="I111" t="inlineStr">
        <is>
          <t>¥313,200  ¥330,600  ¥327,700  ¥346,800  ¥314,600  ¥332,000  ¥329,300  ¥348,400   価格表は以下の条件で算出しています。 / ¥350,200  ¥367,600  ¥363,700  ¥382,800  ¥352,600  ¥370,000  ¥366,100  ¥385,200                   透明 / ¥350,200  ¥367,600  ¥363,700  ¥382,800  ¥352,600  ¥370,000  ¥366,100  ¥385,200         S-3（160）等級 S-2（120）等級 / 無印 / +¥160,600 +¥168,500 +¥160,600 +¥168,500 +¥160,600 +¥168,500 +¥160,600 +¥168,500 / 3-A-3 / ★ / ¥15,600   ¥16,500   ¥21,300   ¥22,500   ¥15,600   ¥16,500   ¥21,300   ¥22,500 / 3-A-3 / ☆                  3-A-3 / ●                  3-A-3 / 型 / S-3（160）等級 S-2（120）等級   S-1（80）等級 / 無印      3-A-型4 / ★                 3-A-型4 / ☆                 4-A-型4 / ●                            3-A-型4 / 57</t>
        </is>
      </c>
      <c r="J111" t="inlineStr">
        <is>
          <t>202604_LIXIL_サーモスＬ_業務用資料集_完成品価格表.pdf</t>
        </is>
      </c>
      <c r="K111" t="inlineStr">
        <is>
          <t>https://drive.google.com/file/d/1YUN-mtWYs48YBUHJk0C3vJXnhjyZFHyf/view</t>
        </is>
      </c>
    </row>
    <row r="112">
      <c r="A112" s="42" t="inlineStr">
        <is>
          <t>GLG-SL-0109</t>
        </is>
      </c>
      <c r="B112" t="n">
        <v>57</v>
      </c>
      <c r="C112" t="inlineStr">
        <is>
          <t>★</t>
        </is>
      </c>
      <c r="D112" t="inlineStr">
        <is>
          <t>P57|★</t>
        </is>
      </c>
      <c r="E112" t="inlineStr">
        <is>
          <t>透明/型</t>
        </is>
      </c>
      <c r="F112" t="inlineStr">
        <is>
          <t>S-3（160）等級/S-2（120）等級/S-1（80）等級</t>
        </is>
      </c>
      <c r="G112" t="inlineStr">
        <is>
          <t>原本凡例保持・列位置は原本参照</t>
        </is>
      </c>
      <c r="H112" t="b">
        <v>1</v>
      </c>
      <c r="I112" t="inlineStr">
        <is>
          <t>¥313,200  ¥330,600  ¥327,700  ¥346,800  ¥314,600  ¥332,000  ¥329,300  ¥348,400   価格表は以下の条件で算出しています。 / ¥350,200  ¥367,600  ¥363,700  ¥382,800  ¥352,600  ¥370,000  ¥366,100  ¥385,200                   透明 / ¥350,200  ¥367,600  ¥363,700  ¥382,800  ¥352,600  ¥370,000  ¥366,100  ¥385,200         S-3（160）等級 S-2（120）等級 / 無印 / +¥160,600 +¥168,500 +¥160,600 +¥168,500 +¥160,600 +¥168,500 +¥160,600 +¥168,500 / 3-A-3 / ★ / ¥15,600   ¥16,500   ¥21,300   ¥22,500   ¥15,600   ¥16,500   ¥21,300   ¥22,500 / 3-A-3 / ☆                  3-A-3 / ●                  3-A-3 / 型 / S-3（160）等級 S-2（120）等級   S-1（80）等級 / 無印      3-A-型4 / ★                 3-A-型4 / ☆                 4-A-型4 / ●                            3-A-型4 / 57</t>
        </is>
      </c>
      <c r="J112" t="inlineStr">
        <is>
          <t>202604_LIXIL_サーモスＬ_業務用資料集_完成品価格表.pdf</t>
        </is>
      </c>
      <c r="K112" t="inlineStr">
        <is>
          <t>https://drive.google.com/file/d/1YUN-mtWYs48YBUHJk0C3vJXnhjyZFHyf/view</t>
        </is>
      </c>
    </row>
    <row r="113">
      <c r="A113" s="42" t="inlineStr">
        <is>
          <t>GLG-SL-0110</t>
        </is>
      </c>
      <c r="B113" t="n">
        <v>57</v>
      </c>
      <c r="C113" t="inlineStr">
        <is>
          <t>☆</t>
        </is>
      </c>
      <c r="D113" t="inlineStr">
        <is>
          <t>P57|☆</t>
        </is>
      </c>
      <c r="E113" t="inlineStr">
        <is>
          <t>透明/型</t>
        </is>
      </c>
      <c r="F113" t="inlineStr">
        <is>
          <t>S-3（160）等級/S-2（120）等級/S-1（80）等級</t>
        </is>
      </c>
      <c r="G113" t="inlineStr">
        <is>
          <t>原本凡例保持・列位置は原本参照</t>
        </is>
      </c>
      <c r="H113" t="b">
        <v>1</v>
      </c>
      <c r="I113" t="inlineStr">
        <is>
          <t>¥313,200  ¥330,600  ¥327,700  ¥346,800  ¥314,600  ¥332,000  ¥329,300  ¥348,400   価格表は以下の条件で算出しています。 / ¥350,200  ¥367,600  ¥363,700  ¥382,800  ¥352,600  ¥370,000  ¥366,100  ¥385,200                   透明 / ¥350,200  ¥367,600  ¥363,700  ¥382,800  ¥352,600  ¥370,000  ¥366,100  ¥385,200         S-3（160）等級 S-2（120）等級 / 無印 / +¥160,600 +¥168,500 +¥160,600 +¥168,500 +¥160,600 +¥168,500 +¥160,600 +¥168,500 / 3-A-3 / ★ / ¥15,600   ¥16,500   ¥21,300   ¥22,500   ¥15,600   ¥16,500   ¥21,300   ¥22,500 / 3-A-3 / ☆                  3-A-3 / ●                  3-A-3 / 型 / S-3（160）等級 S-2（120）等級   S-1（80）等級 / 無印      3-A-型4 / ★                 3-A-型4 / ☆                 4-A-型4 / ●                            3-A-型4 / 57</t>
        </is>
      </c>
      <c r="J113" t="inlineStr">
        <is>
          <t>202604_LIXIL_サーモスＬ_業務用資料集_完成品価格表.pdf</t>
        </is>
      </c>
      <c r="K113" t="inlineStr">
        <is>
          <t>https://drive.google.com/file/d/1YUN-mtWYs48YBUHJk0C3vJXnhjyZFHyf/view</t>
        </is>
      </c>
    </row>
    <row r="114">
      <c r="A114" s="42" t="inlineStr">
        <is>
          <t>GLG-SL-0111</t>
        </is>
      </c>
      <c r="B114" t="n">
        <v>57</v>
      </c>
      <c r="C114" t="inlineStr">
        <is>
          <t>●</t>
        </is>
      </c>
      <c r="D114" t="inlineStr">
        <is>
          <t>P57|●</t>
        </is>
      </c>
      <c r="E114" t="inlineStr">
        <is>
          <t>透明/型</t>
        </is>
      </c>
      <c r="F114" t="inlineStr">
        <is>
          <t>S-3（160）等級/S-2（120）等級/S-1（80）等級</t>
        </is>
      </c>
      <c r="G114" t="inlineStr">
        <is>
          <t>原本凡例保持・列位置は原本参照</t>
        </is>
      </c>
      <c r="H114" t="b">
        <v>1</v>
      </c>
      <c r="I114" t="inlineStr">
        <is>
          <t>¥313,200  ¥330,600  ¥327,700  ¥346,800  ¥314,600  ¥332,000  ¥329,300  ¥348,400   価格表は以下の条件で算出しています。 / ¥350,200  ¥367,600  ¥363,700  ¥382,800  ¥352,600  ¥370,000  ¥366,100  ¥385,200                   透明 / ¥350,200  ¥367,600  ¥363,700  ¥382,800  ¥352,600  ¥370,000  ¥366,100  ¥385,200         S-3（160）等級 S-2（120）等級 / 無印 / +¥160,600 +¥168,500 +¥160,600 +¥168,500 +¥160,600 +¥168,500 +¥160,600 +¥168,500 / 3-A-3 / ★ / ¥15,600   ¥16,500   ¥21,300   ¥22,500   ¥15,600   ¥16,500   ¥21,300   ¥22,500 / 3-A-3 / ☆                  3-A-3 / ●                  3-A-3 / 型 / S-3（160）等級 S-2（120）等級   S-1（80）等級 / 無印      3-A-型4 / ★                 3-A-型4 / ☆                 4-A-型4 / ●                            3-A-型4 / 57</t>
        </is>
      </c>
      <c r="J114" t="inlineStr">
        <is>
          <t>202604_LIXIL_サーモスＬ_業務用資料集_完成品価格表.pdf</t>
        </is>
      </c>
      <c r="K114" t="inlineStr">
        <is>
          <t>https://drive.google.com/file/d/1YUN-mtWYs48YBUHJk0C3vJXnhjyZFHyf/view</t>
        </is>
      </c>
    </row>
    <row r="115">
      <c r="A115" s="42" t="inlineStr">
        <is>
          <t>GLG-SL-0112</t>
        </is>
      </c>
      <c r="B115" t="n">
        <v>59</v>
      </c>
      <c r="C115" t="inlineStr">
        <is>
          <t>無印</t>
        </is>
      </c>
      <c r="D115" t="inlineStr">
        <is>
          <t>P59|無印</t>
        </is>
      </c>
      <c r="E115" t="inlineStr">
        <is>
          <t>透明</t>
        </is>
      </c>
      <c r="F115" t="inlineStr">
        <is>
          <t>S-3（160）等級/S-2（120）等級</t>
        </is>
      </c>
      <c r="G115" t="inlineStr">
        <is>
          <t>原本凡例保持・列位置は原本参照</t>
        </is>
      </c>
      <c r="H115" t="b">
        <v>1</v>
      </c>
      <c r="I115" t="inlineStr">
        <is>
          <t>価格表は以下の条件で算出しています。 / ¥16,200   ¥17,100      ¥16,900    ¥17,600     ¥16,900    ¥17,600     ¥16,900    ¥17,600 / ¥24,700   ¥25,900      ¥25,700    ¥27,100     ¥25,700    ¥27,100     ¥25,700    ¥27,100                         透明 / S-3（160）等級 S-2（120）等級 / ★16522                 ★17422                 ★17622                 ★17822 / ［16222］                ［17122］                ［17322］                ［17522］              無印            3-A-3 / 3-A-3 / ○ / ※1 / ¥198,300   ¥213,600    ¥210,200   ¥226,600    ¥210,200   ¥226,600    ¥210,200   ¥226,600                   3-A-3 / ¥214,200   ¥230,300    ¥226,700   ¥243,500    ¥226,700   ¥243,500    ¥226,700   ¥243,500                          （大壁和室障子） / ＿＿         ＿＿          ＿＿         ＿＿          ＿＿         ＿＿          ＿＿         ＿＿                     3-A-3 / ▲ / ※2 / 3-A-3 / （把手障子） / ¥287,200   ¥302,500    ¥303,900   ¥320,300    ¥304,900   ¥321,300    ¥305,900   ¥322,300 / ¥303,100   ¥319,200    ¥320,400   ¥337,200    ¥321,400   ¥338,200    ¥322,400   ¥339,200 / ★                       3-A-3 / ＿＿         ＿＿          ＿＿         ＿＿          ＿＿         ＿＿          ＿＿         ＿＿     ※1 大壁和室障子のみS-2（120）等級となります。 / ¥327,600   ¥342,900    ¥346,500   ¥362,900    ¥348,100   ¥364,500    ¥349,700   ¥366,100   ※2 把手障子のみS-3（160）等級となります。 / ¥343,500   ¥359,600    ¥363,000   ¥379,800    ¥364,600   ¥381,400    ¥366,200   ¥383,000   ●アシスト把手加算額 / ＿＿         ＿＿          ＿＿         ＿＿          ＿＿         ＿＿          ＿＿         ＿＿ / ＿＿         ＿＿          ＿＿         ＿＿          ＿＿         ＿＿       2枚建 / +¥106,500 +¥111,700 / +¥25,900 / ¥19,800   ¥20,900      ¥20,400    ¥21,500     ¥20,400    ¥21,500     ¥20,400    ¥21,500 / ¥30,700   ¥32,200      ¥31,200    ¥32,800     ¥31,200    ¥32,800     ¥31,200    ¥32,800          有効開口拡大仕様と通常品の設定あり</t>
        </is>
      </c>
      <c r="J115" t="inlineStr">
        <is>
          <t>202604_LIXIL_サーモスＬ_業務用資料集_完成品価格表.pdf</t>
        </is>
      </c>
      <c r="K115" t="inlineStr">
        <is>
          <t>https://drive.google.com/file/d/1YUN-mtWYs48YBUHJk0C3vJXnhjyZFHyf/view</t>
        </is>
      </c>
    </row>
    <row r="116">
      <c r="A116" s="42" t="inlineStr">
        <is>
          <t>GLG-SL-0113</t>
        </is>
      </c>
      <c r="B116" t="n">
        <v>59</v>
      </c>
      <c r="C116" t="inlineStr">
        <is>
          <t>★</t>
        </is>
      </c>
      <c r="D116" t="inlineStr">
        <is>
          <t>P59|★</t>
        </is>
      </c>
      <c r="E116" t="inlineStr">
        <is>
          <t>透明</t>
        </is>
      </c>
      <c r="F116" t="inlineStr">
        <is>
          <t>S-3（160）等級/S-2（120）等級</t>
        </is>
      </c>
      <c r="G116" t="inlineStr">
        <is>
          <t>原本凡例保持・列位置は原本参照</t>
        </is>
      </c>
      <c r="H116" t="b">
        <v>1</v>
      </c>
      <c r="I116" t="inlineStr">
        <is>
          <t>価格表は以下の条件で算出しています。 / ¥16,200   ¥17,100      ¥16,900    ¥17,600     ¥16,900    ¥17,600     ¥16,900    ¥17,600 / ¥24,700   ¥25,900      ¥25,700    ¥27,100     ¥25,700    ¥27,100     ¥25,700    ¥27,100                         透明 / S-3（160）等級 S-2（120）等級 / ★16522                 ★17422                 ★17622                 ★17822 / ［16222］                ［17122］                ［17322］                ［17522］              無印            3-A-3 / 3-A-3 / ○ / ※1 / ¥198,300   ¥213,600    ¥210,200   ¥226,600    ¥210,200   ¥226,600    ¥210,200   ¥226,600                   3-A-3 / ¥214,200   ¥230,300    ¥226,700   ¥243,500    ¥226,700   ¥243,500    ¥226,700   ¥243,500                          （大壁和室障子） / ＿＿         ＿＿          ＿＿         ＿＿          ＿＿         ＿＿          ＿＿         ＿＿                     3-A-3 / ▲ / ※2 / 3-A-3 / （把手障子） / ¥287,200   ¥302,500    ¥303,900   ¥320,300    ¥304,900   ¥321,300    ¥305,900   ¥322,300 / ¥303,100   ¥319,200    ¥320,400   ¥337,200    ¥321,400   ¥338,200    ¥322,400   ¥339,200 / ★                       3-A-3 / ＿＿         ＿＿          ＿＿         ＿＿          ＿＿         ＿＿          ＿＿         ＿＿     ※1 大壁和室障子のみS-2（120）等級となります。 / ¥327,600   ¥342,900    ¥346,500   ¥362,900    ¥348,100   ¥364,500    ¥349,700   ¥366,100   ※2 把手障子のみS-3（160）等級となります。 / ¥343,500   ¥359,600    ¥363,000   ¥379,800    ¥364,600   ¥381,400    ¥366,200   ¥383,000   ●アシスト把手加算額 / ＿＿         ＿＿          ＿＿         ＿＿          ＿＿         ＿＿          ＿＿         ＿＿ / ＿＿         ＿＿          ＿＿         ＿＿          ＿＿         ＿＿       2枚建 / +¥106,500 +¥111,700 / +¥25,900 / ¥19,800   ¥20,900      ¥20,400    ¥21,500     ¥20,400    ¥21,500     ¥20,400    ¥21,500 / ¥30,700   ¥32,200      ¥31,200    ¥32,800     ¥31,200    ¥32,800     ¥31,200    ¥32,800          有効開口拡大仕様と通常品の設定あり</t>
        </is>
      </c>
      <c r="J116" t="inlineStr">
        <is>
          <t>202604_LIXIL_サーモスＬ_業務用資料集_完成品価格表.pdf</t>
        </is>
      </c>
      <c r="K116" t="inlineStr">
        <is>
          <t>https://drive.google.com/file/d/1YUN-mtWYs48YBUHJk0C3vJXnhjyZFHyf/view</t>
        </is>
      </c>
    </row>
    <row r="117">
      <c r="A117" s="42" t="inlineStr">
        <is>
          <t>GLG-SL-0114</t>
        </is>
      </c>
      <c r="B117" t="n">
        <v>59</v>
      </c>
      <c r="C117" t="inlineStr">
        <is>
          <t>○</t>
        </is>
      </c>
      <c r="D117" t="inlineStr">
        <is>
          <t>P59|○</t>
        </is>
      </c>
      <c r="E117" t="inlineStr">
        <is>
          <t>透明</t>
        </is>
      </c>
      <c r="F117" t="inlineStr">
        <is>
          <t>S-3（160）等級/S-2（120）等級</t>
        </is>
      </c>
      <c r="G117" t="inlineStr">
        <is>
          <t>原本凡例保持・列位置は原本参照</t>
        </is>
      </c>
      <c r="H117" t="b">
        <v>1</v>
      </c>
      <c r="I117" t="inlineStr">
        <is>
          <t>価格表は以下の条件で算出しています。 / ¥16,200   ¥17,100      ¥16,900    ¥17,600     ¥16,900    ¥17,600     ¥16,900    ¥17,600 / ¥24,700   ¥25,900      ¥25,700    ¥27,100     ¥25,700    ¥27,100     ¥25,700    ¥27,100                         透明 / S-3（160）等級 S-2（120）等級 / ★16522                 ★17422                 ★17622                 ★17822 / ［16222］                ［17122］                ［17322］                ［17522］              無印            3-A-3 / 3-A-3 / ○ / ※1 / ¥198,300   ¥213,600    ¥210,200   ¥226,600    ¥210,200   ¥226,600    ¥210,200   ¥226,600                   3-A-3 / ¥214,200   ¥230,300    ¥226,700   ¥243,500    ¥226,700   ¥243,500    ¥226,700   ¥243,500                          （大壁和室障子） / ＿＿         ＿＿          ＿＿         ＿＿          ＿＿         ＿＿          ＿＿         ＿＿                     3-A-3 / ▲ / ※2 / 3-A-3 / （把手障子） / ¥287,200   ¥302,500    ¥303,900   ¥320,300    ¥304,900   ¥321,300    ¥305,900   ¥322,300 / ¥303,100   ¥319,200    ¥320,400   ¥337,200    ¥321,400   ¥338,200    ¥322,400   ¥339,200 / ★                       3-A-3 / ＿＿         ＿＿          ＿＿         ＿＿          ＿＿         ＿＿          ＿＿         ＿＿     ※1 大壁和室障子のみS-2（120）等級となります。 / ¥327,600   ¥342,900    ¥346,500   ¥362,900    ¥348,100   ¥364,500    ¥349,700   ¥366,100   ※2 把手障子のみS-3（160）等級となります。 / ¥343,500   ¥359,600    ¥363,000   ¥379,800    ¥364,600   ¥381,400    ¥366,200   ¥383,000   ●アシスト把手加算額 / ＿＿         ＿＿          ＿＿         ＿＿          ＿＿         ＿＿          ＿＿         ＿＿ / ＿＿         ＿＿          ＿＿         ＿＿          ＿＿         ＿＿       2枚建 / +¥106,500 +¥111,700 / +¥25,900 / ¥19,800   ¥20,900      ¥20,400    ¥21,500     ¥20,400    ¥21,500     ¥20,400    ¥21,500 / ¥30,700   ¥32,200      ¥31,200    ¥32,800     ¥31,200    ¥32,800     ¥31,200    ¥32,800          有効開口拡大仕様と通常品の設定あり</t>
        </is>
      </c>
      <c r="J117" t="inlineStr">
        <is>
          <t>202604_LIXIL_サーモスＬ_業務用資料集_完成品価格表.pdf</t>
        </is>
      </c>
      <c r="K117" t="inlineStr">
        <is>
          <t>https://drive.google.com/file/d/1YUN-mtWYs48YBUHJk0C3vJXnhjyZFHyf/view</t>
        </is>
      </c>
    </row>
    <row r="118">
      <c r="A118" s="42" t="inlineStr">
        <is>
          <t>GLG-SL-0115</t>
        </is>
      </c>
      <c r="B118" t="n">
        <v>59</v>
      </c>
      <c r="C118" t="inlineStr">
        <is>
          <t>●</t>
        </is>
      </c>
      <c r="D118" t="inlineStr">
        <is>
          <t>P59|●</t>
        </is>
      </c>
      <c r="E118" t="inlineStr">
        <is>
          <t>透明</t>
        </is>
      </c>
      <c r="F118" t="inlineStr">
        <is>
          <t>S-3（160）等級/S-2（120）等級</t>
        </is>
      </c>
      <c r="G118" t="inlineStr">
        <is>
          <t>原本凡例保持・列位置は原本参照</t>
        </is>
      </c>
      <c r="H118" t="b">
        <v>1</v>
      </c>
      <c r="I118" t="inlineStr">
        <is>
          <t>価格表は以下の条件で算出しています。 / ¥16,200   ¥17,100      ¥16,900    ¥17,600     ¥16,900    ¥17,600     ¥16,900    ¥17,600 / ¥24,700   ¥25,900      ¥25,700    ¥27,100     ¥25,700    ¥27,100     ¥25,700    ¥27,100                         透明 / S-3（160）等級 S-2（120）等級 / ★16522                 ★17422                 ★17622                 ★17822 / ［16222］                ［17122］                ［17322］                ［17522］              無印            3-A-3 / 3-A-3 / ○ / ※1 / ¥198,300   ¥213,600    ¥210,200   ¥226,600    ¥210,200   ¥226,600    ¥210,200   ¥226,600                   3-A-3 / ¥214,200   ¥230,300    ¥226,700   ¥243,500    ¥226,700   ¥243,500    ¥226,700   ¥243,500                          （大壁和室障子） / ＿＿         ＿＿          ＿＿         ＿＿          ＿＿         ＿＿          ＿＿         ＿＿                     3-A-3 / ▲ / ※2 / 3-A-3 / （把手障子） / ¥287,200   ¥302,500    ¥303,900   ¥320,300    ¥304,900   ¥321,300    ¥305,900   ¥322,300 / ¥303,100   ¥319,200    ¥320,400   ¥337,200    ¥321,400   ¥338,200    ¥322,400   ¥339,200 / ★                       3-A-3 / ＿＿         ＿＿          ＿＿         ＿＿          ＿＿         ＿＿          ＿＿         ＿＿     ※1 大壁和室障子のみS-2（120）等級となります。 / ¥327,600   ¥342,900    ¥346,500   ¥362,900    ¥348,100   ¥364,500    ¥349,700   ¥366,100   ※2 把手障子のみS-3（160）等級となります。 / ¥343,500   ¥359,600    ¥363,000   ¥379,800    ¥364,600   ¥381,400    ¥366,200   ¥383,000   ●アシスト把手加算額 / ＿＿         ＿＿          ＿＿         ＿＿          ＿＿         ＿＿          ＿＿         ＿＿ / ＿＿         ＿＿          ＿＿         ＿＿          ＿＿         ＿＿       2枚建 / +¥106,500 +¥111,700 / +¥25,900 / ¥19,800   ¥20,900      ¥20,400    ¥21,500     ¥20,400    ¥21,500     ¥20,400    ¥21,500 / ¥30,700   ¥32,200      ¥31,200    ¥32,800     ¥31,200    ¥32,800     ¥31,200    ¥32,800          有効開口拡大仕様と通常品の設定あり</t>
        </is>
      </c>
      <c r="J118" t="inlineStr">
        <is>
          <t>202604_LIXIL_サーモスＬ_業務用資料集_完成品価格表.pdf</t>
        </is>
      </c>
      <c r="K118" t="inlineStr">
        <is>
          <t>https://drive.google.com/file/d/1YUN-mtWYs48YBUHJk0C3vJXnhjyZFHyf/view</t>
        </is>
      </c>
    </row>
    <row r="119">
      <c r="A119" s="42" t="inlineStr">
        <is>
          <t>GLG-SL-0116</t>
        </is>
      </c>
      <c r="B119" t="n">
        <v>59</v>
      </c>
      <c r="C119" t="inlineStr">
        <is>
          <t>▲</t>
        </is>
      </c>
      <c r="D119" t="inlineStr">
        <is>
          <t>P59|▲</t>
        </is>
      </c>
      <c r="E119" t="inlineStr">
        <is>
          <t>透明</t>
        </is>
      </c>
      <c r="F119" t="inlineStr">
        <is>
          <t>S-3（160）等級/S-2（120）等級</t>
        </is>
      </c>
      <c r="G119" t="inlineStr">
        <is>
          <t>原本凡例保持・列位置は原本参照</t>
        </is>
      </c>
      <c r="H119" t="b">
        <v>1</v>
      </c>
      <c r="I119" t="inlineStr">
        <is>
          <t>価格表は以下の条件で算出しています。 / ¥16,200   ¥17,100      ¥16,900    ¥17,600     ¥16,900    ¥17,600     ¥16,900    ¥17,600 / ¥24,700   ¥25,900      ¥25,700    ¥27,100     ¥25,700    ¥27,100     ¥25,700    ¥27,100                         透明 / S-3（160）等級 S-2（120）等級 / ★16522                 ★17422                 ★17622                 ★17822 / ［16222］                ［17122］                ［17322］                ［17522］              無印            3-A-3 / 3-A-3 / ○ / ※1 / ¥198,300   ¥213,600    ¥210,200   ¥226,600    ¥210,200   ¥226,600    ¥210,200   ¥226,600                   3-A-3 / ¥214,200   ¥230,300    ¥226,700   ¥243,500    ¥226,700   ¥243,500    ¥226,700   ¥243,500                          （大壁和室障子） / ＿＿         ＿＿          ＿＿         ＿＿          ＿＿         ＿＿          ＿＿         ＿＿                     3-A-3 / ▲ / ※2 / 3-A-3 / （把手障子） / ¥287,200   ¥302,500    ¥303,900   ¥320,300    ¥304,900   ¥321,300    ¥305,900   ¥322,300 / ¥303,100   ¥319,200    ¥320,400   ¥337,200    ¥321,400   ¥338,200    ¥322,400   ¥339,200 / ★                       3-A-3 / ＿＿         ＿＿          ＿＿         ＿＿          ＿＿         ＿＿          ＿＿         ＿＿     ※1 大壁和室障子のみS-2（120）等級となります。 / ¥327,600   ¥342,900    ¥346,500   ¥362,900    ¥348,100   ¥364,500    ¥349,700   ¥366,100   ※2 把手障子のみS-3（160）等級となります。 / ¥343,500   ¥359,600    ¥363,000   ¥379,800    ¥364,600   ¥381,400    ¥366,200   ¥383,000   ●アシスト把手加算額 / ＿＿         ＿＿          ＿＿         ＿＿          ＿＿         ＿＿          ＿＿         ＿＿ / ＿＿         ＿＿          ＿＿         ＿＿          ＿＿         ＿＿       2枚建 / +¥106,500 +¥111,700 / +¥25,900 / ¥19,800   ¥20,900      ¥20,400    ¥21,500     ¥20,400    ¥21,500     ¥20,400    ¥21,500 / ¥30,700   ¥32,200      ¥31,200    ¥32,800     ¥31,200    ¥32,800     ¥31,200    ¥32,800          有効開口拡大仕様と通常品の設定あり</t>
        </is>
      </c>
      <c r="J119" t="inlineStr">
        <is>
          <t>202604_LIXIL_サーモスＬ_業務用資料集_完成品価格表.pdf</t>
        </is>
      </c>
      <c r="K119" t="inlineStr">
        <is>
          <t>https://drive.google.com/file/d/1YUN-mtWYs48YBUHJk0C3vJXnhjyZFHyf/view</t>
        </is>
      </c>
    </row>
    <row r="120">
      <c r="A120" s="42" t="inlineStr">
        <is>
          <t>GLG-SL-0117</t>
        </is>
      </c>
      <c r="B120" t="n">
        <v>61</v>
      </c>
      <c r="C120" t="inlineStr">
        <is>
          <t>無印</t>
        </is>
      </c>
      <c r="D120" t="inlineStr">
        <is>
          <t>P61|無印</t>
        </is>
      </c>
      <c r="E120" t="inlineStr">
        <is>
          <t>透明</t>
        </is>
      </c>
      <c r="F120" t="inlineStr">
        <is>
          <t>S-3（160）等級/S-2（120）等級</t>
        </is>
      </c>
      <c r="G120" t="inlineStr">
        <is>
          <t>原本凡例保持・列位置は原本参照</t>
        </is>
      </c>
      <c r="H120" t="b">
        <v>1</v>
      </c>
      <c r="I120" t="inlineStr">
        <is>
          <t>¥358,300   ¥385,500    ¥311,000   ¥334,500    ¥358,300   ¥385,500    ¥467,700   ¥502,500   価格表は以下の条件で算出しています。 / ＿＿         ＿＿          ＿＿         ＿＿          ＿＿         ＿＿          ＿＿         ＿＿                          透明 / ¥453,800   ¥479,700    ¥497,700   ¥520,200    ¥456,600   ¥482,500    ¥612,100   ¥645,200              S-3（160）等級 S-2（120）等級 / ¥487,200   ¥514,400    ¥516,700   ¥540,200    ¥490,000   ¥517,200    ¥647,000   ¥681,800    無印            3-A-3 / ＿＿         ＿＿          ＿＿         ＿＿          ＿＿         ＿＿          ＿＿         ＿＿ / ★                       3-A-3 / ¥513,800   ¥539,700    ¥543,700   ¥566,200    ¥517,800   ¥543,700    ¥696,900   ¥730,000     ☆                       3-A-4 / ¥547,200   ¥574,400    ¥562,700   ¥586,200    ¥551,200   ¥578,400    ¥731,800   ¥766,600     ◆                       4-A-4 / ＿＿         ＿＿          ＿＿         ＿＿          ＿＿         ＿＿          ＿＿         ＿＿ / +¥177,500 +¥186,200 +¥177,500 +¥186,200 +¥177,500 +¥186,200               ＿＿         ＿＿     ●アシスト把手加算額 / ¥38,100   ¥40,000   ¥24,700   ¥25,900   ¥38,100   ¥40,000            ¥41,100    ¥43,200    2枚建         4枚建 / ¥57,800   ¥60,800   ¥37,400   ¥39,400   ¥57,800   ¥60,800            ¥62,700    ¥66,000   +¥25,900    +¥51,700 / 61</t>
        </is>
      </c>
      <c r="J120" t="inlineStr">
        <is>
          <t>202604_LIXIL_サーモスＬ_業務用資料集_完成品価格表.pdf</t>
        </is>
      </c>
      <c r="K120" t="inlineStr">
        <is>
          <t>https://drive.google.com/file/d/1YUN-mtWYs48YBUHJk0C3vJXnhjyZFHyf/view</t>
        </is>
      </c>
    </row>
    <row r="121">
      <c r="A121" s="42" t="inlineStr">
        <is>
          <t>GLG-SL-0118</t>
        </is>
      </c>
      <c r="B121" t="n">
        <v>61</v>
      </c>
      <c r="C121" t="inlineStr">
        <is>
          <t>★</t>
        </is>
      </c>
      <c r="D121" t="inlineStr">
        <is>
          <t>P61|★</t>
        </is>
      </c>
      <c r="E121" t="inlineStr">
        <is>
          <t>透明</t>
        </is>
      </c>
      <c r="F121" t="inlineStr">
        <is>
          <t>S-3（160）等級/S-2（120）等級</t>
        </is>
      </c>
      <c r="G121" t="inlineStr">
        <is>
          <t>原本凡例保持・列位置は原本参照</t>
        </is>
      </c>
      <c r="H121" t="b">
        <v>1</v>
      </c>
      <c r="I121" t="inlineStr">
        <is>
          <t>¥358,300   ¥385,500    ¥311,000   ¥334,500    ¥358,300   ¥385,500    ¥467,700   ¥502,500   価格表は以下の条件で算出しています。 / ＿＿         ＿＿          ＿＿         ＿＿          ＿＿         ＿＿          ＿＿         ＿＿                          透明 / ¥453,800   ¥479,700    ¥497,700   ¥520,200    ¥456,600   ¥482,500    ¥612,100   ¥645,200              S-3（160）等級 S-2（120）等級 / ¥487,200   ¥514,400    ¥516,700   ¥540,200    ¥490,000   ¥517,200    ¥647,000   ¥681,800    無印            3-A-3 / ＿＿         ＿＿          ＿＿         ＿＿          ＿＿         ＿＿          ＿＿         ＿＿ / ★                       3-A-3 / ¥513,800   ¥539,700    ¥543,700   ¥566,200    ¥517,800   ¥543,700    ¥696,900   ¥730,000     ☆                       3-A-4 / ¥547,200   ¥574,400    ¥562,700   ¥586,200    ¥551,200   ¥578,400    ¥731,800   ¥766,600     ◆                       4-A-4 / ＿＿         ＿＿          ＿＿         ＿＿          ＿＿         ＿＿          ＿＿         ＿＿ / +¥177,500 +¥186,200 +¥177,500 +¥186,200 +¥177,500 +¥186,200               ＿＿         ＿＿     ●アシスト把手加算額 / ¥38,100   ¥40,000   ¥24,700   ¥25,900   ¥38,100   ¥40,000            ¥41,100    ¥43,200    2枚建         4枚建 / ¥57,800   ¥60,800   ¥37,400   ¥39,400   ¥57,800   ¥60,800            ¥62,700    ¥66,000   +¥25,900    +¥51,700 / 61</t>
        </is>
      </c>
      <c r="J121" t="inlineStr">
        <is>
          <t>202604_LIXIL_サーモスＬ_業務用資料集_完成品価格表.pdf</t>
        </is>
      </c>
      <c r="K121" t="inlineStr">
        <is>
          <t>https://drive.google.com/file/d/1YUN-mtWYs48YBUHJk0C3vJXnhjyZFHyf/view</t>
        </is>
      </c>
    </row>
    <row r="122">
      <c r="A122" s="42" t="inlineStr">
        <is>
          <t>GLG-SL-0119</t>
        </is>
      </c>
      <c r="B122" t="n">
        <v>61</v>
      </c>
      <c r="C122" t="inlineStr">
        <is>
          <t>☆</t>
        </is>
      </c>
      <c r="D122" t="inlineStr">
        <is>
          <t>P61|☆</t>
        </is>
      </c>
      <c r="E122" t="inlineStr">
        <is>
          <t>透明</t>
        </is>
      </c>
      <c r="F122" t="inlineStr">
        <is>
          <t>S-3（160）等級/S-2（120）等級</t>
        </is>
      </c>
      <c r="G122" t="inlineStr">
        <is>
          <t>原本凡例保持・列位置は原本参照</t>
        </is>
      </c>
      <c r="H122" t="b">
        <v>1</v>
      </c>
      <c r="I122" t="inlineStr">
        <is>
          <t>¥358,300   ¥385,500    ¥311,000   ¥334,500    ¥358,300   ¥385,500    ¥467,700   ¥502,500   価格表は以下の条件で算出しています。 / ＿＿         ＿＿          ＿＿         ＿＿          ＿＿         ＿＿          ＿＿         ＿＿                          透明 / ¥453,800   ¥479,700    ¥497,700   ¥520,200    ¥456,600   ¥482,500    ¥612,100   ¥645,200              S-3（160）等級 S-2（120）等級 / ¥487,200   ¥514,400    ¥516,700   ¥540,200    ¥490,000   ¥517,200    ¥647,000   ¥681,800    無印            3-A-3 / ＿＿         ＿＿          ＿＿         ＿＿          ＿＿         ＿＿          ＿＿         ＿＿ / ★                       3-A-3 / ¥513,800   ¥539,700    ¥543,700   ¥566,200    ¥517,800   ¥543,700    ¥696,900   ¥730,000     ☆                       3-A-4 / ¥547,200   ¥574,400    ¥562,700   ¥586,200    ¥551,200   ¥578,400    ¥731,800   ¥766,600     ◆                       4-A-4 / ＿＿         ＿＿          ＿＿         ＿＿          ＿＿         ＿＿          ＿＿         ＿＿ / +¥177,500 +¥186,200 +¥177,500 +¥186,200 +¥177,500 +¥186,200               ＿＿         ＿＿     ●アシスト把手加算額 / ¥38,100   ¥40,000   ¥24,700   ¥25,900   ¥38,100   ¥40,000            ¥41,100    ¥43,200    2枚建         4枚建 / ¥57,800   ¥60,800   ¥37,400   ¥39,400   ¥57,800   ¥60,800            ¥62,700    ¥66,000   +¥25,900    +¥51,700 / 61</t>
        </is>
      </c>
      <c r="J122" t="inlineStr">
        <is>
          <t>202604_LIXIL_サーモスＬ_業務用資料集_完成品価格表.pdf</t>
        </is>
      </c>
      <c r="K122" t="inlineStr">
        <is>
          <t>https://drive.google.com/file/d/1YUN-mtWYs48YBUHJk0C3vJXnhjyZFHyf/view</t>
        </is>
      </c>
    </row>
    <row r="123">
      <c r="A123" s="42" t="inlineStr">
        <is>
          <t>GLG-SL-0120</t>
        </is>
      </c>
      <c r="B123" t="n">
        <v>61</v>
      </c>
      <c r="C123" t="inlineStr">
        <is>
          <t>●</t>
        </is>
      </c>
      <c r="D123" t="inlineStr">
        <is>
          <t>P61|●</t>
        </is>
      </c>
      <c r="E123" t="inlineStr">
        <is>
          <t>透明</t>
        </is>
      </c>
      <c r="F123" t="inlineStr">
        <is>
          <t>S-3（160）等級/S-2（120）等級</t>
        </is>
      </c>
      <c r="G123" t="inlineStr">
        <is>
          <t>原本凡例保持・列位置は原本参照</t>
        </is>
      </c>
      <c r="H123" t="b">
        <v>1</v>
      </c>
      <c r="I123" t="inlineStr">
        <is>
          <t>¥358,300   ¥385,500    ¥311,000   ¥334,500    ¥358,300   ¥385,500    ¥467,700   ¥502,500   価格表は以下の条件で算出しています。 / ＿＿         ＿＿          ＿＿         ＿＿          ＿＿         ＿＿          ＿＿         ＿＿                          透明 / ¥453,800   ¥479,700    ¥497,700   ¥520,200    ¥456,600   ¥482,500    ¥612,100   ¥645,200              S-3（160）等級 S-2（120）等級 / ¥487,200   ¥514,400    ¥516,700   ¥540,200    ¥490,000   ¥517,200    ¥647,000   ¥681,800    無印            3-A-3 / ＿＿         ＿＿          ＿＿         ＿＿          ＿＿         ＿＿          ＿＿         ＿＿ / ★                       3-A-3 / ¥513,800   ¥539,700    ¥543,700   ¥566,200    ¥517,800   ¥543,700    ¥696,900   ¥730,000     ☆                       3-A-4 / ¥547,200   ¥574,400    ¥562,700   ¥586,200    ¥551,200   ¥578,400    ¥731,800   ¥766,600     ◆                       4-A-4 / ＿＿         ＿＿          ＿＿         ＿＿          ＿＿         ＿＿          ＿＿         ＿＿ / +¥177,500 +¥186,200 +¥177,500 +¥186,200 +¥177,500 +¥186,200               ＿＿         ＿＿     ●アシスト把手加算額 / ¥38,100   ¥40,000   ¥24,700   ¥25,900   ¥38,100   ¥40,000            ¥41,100    ¥43,200    2枚建         4枚建 / ¥57,800   ¥60,800   ¥37,400   ¥39,400   ¥57,800   ¥60,800            ¥62,700    ¥66,000   +¥25,900    +¥51,700 / 61</t>
        </is>
      </c>
      <c r="J123" t="inlineStr">
        <is>
          <t>202604_LIXIL_サーモスＬ_業務用資料集_完成品価格表.pdf</t>
        </is>
      </c>
      <c r="K123" t="inlineStr">
        <is>
          <t>https://drive.google.com/file/d/1YUN-mtWYs48YBUHJk0C3vJXnhjyZFHyf/view</t>
        </is>
      </c>
    </row>
    <row r="124">
      <c r="A124" s="42" t="inlineStr">
        <is>
          <t>GLG-SL-0121</t>
        </is>
      </c>
      <c r="B124" t="n">
        <v>61</v>
      </c>
      <c r="C124" t="inlineStr">
        <is>
          <t>◆</t>
        </is>
      </c>
      <c r="D124" t="inlineStr">
        <is>
          <t>P61|◆</t>
        </is>
      </c>
      <c r="E124" t="inlineStr">
        <is>
          <t>透明</t>
        </is>
      </c>
      <c r="F124" t="inlineStr">
        <is>
          <t>S-3（160）等級/S-2（120）等級</t>
        </is>
      </c>
      <c r="G124" t="inlineStr">
        <is>
          <t>原本凡例保持・列位置は原本参照</t>
        </is>
      </c>
      <c r="H124" t="b">
        <v>1</v>
      </c>
      <c r="I124" t="inlineStr">
        <is>
          <t>¥358,300   ¥385,500    ¥311,000   ¥334,500    ¥358,300   ¥385,500    ¥467,700   ¥502,500   価格表は以下の条件で算出しています。 / ＿＿         ＿＿          ＿＿         ＿＿          ＿＿         ＿＿          ＿＿         ＿＿                          透明 / ¥453,800   ¥479,700    ¥497,700   ¥520,200    ¥456,600   ¥482,500    ¥612,100   ¥645,200              S-3（160）等級 S-2（120）等級 / ¥487,200   ¥514,400    ¥516,700   ¥540,200    ¥490,000   ¥517,200    ¥647,000   ¥681,800    無印            3-A-3 / ＿＿         ＿＿          ＿＿         ＿＿          ＿＿         ＿＿          ＿＿         ＿＿ / ★                       3-A-3 / ¥513,800   ¥539,700    ¥543,700   ¥566,200    ¥517,800   ¥543,700    ¥696,900   ¥730,000     ☆                       3-A-4 / ¥547,200   ¥574,400    ¥562,700   ¥586,200    ¥551,200   ¥578,400    ¥731,800   ¥766,600     ◆                       4-A-4 / ＿＿         ＿＿          ＿＿         ＿＿          ＿＿         ＿＿          ＿＿         ＿＿ / +¥177,500 +¥186,200 +¥177,500 +¥186,200 +¥177,500 +¥186,200               ＿＿         ＿＿     ●アシスト把手加算額 / ¥38,100   ¥40,000   ¥24,700   ¥25,900   ¥38,100   ¥40,000            ¥41,100    ¥43,200    2枚建         4枚建 / ¥57,800   ¥60,800   ¥37,400   ¥39,400   ¥57,800   ¥60,800            ¥62,700    ¥66,000   +¥25,900    +¥51,700 / 61</t>
        </is>
      </c>
      <c r="J124" t="inlineStr">
        <is>
          <t>202604_LIXIL_サーモスＬ_業務用資料集_完成品価格表.pdf</t>
        </is>
      </c>
      <c r="K124" t="inlineStr">
        <is>
          <t>https://drive.google.com/file/d/1YUN-mtWYs48YBUHJk0C3vJXnhjyZFHyf/view</t>
        </is>
      </c>
    </row>
    <row r="125">
      <c r="A125" s="42" t="inlineStr">
        <is>
          <t>GLG-SL-0122</t>
        </is>
      </c>
      <c r="B125" t="n">
        <v>63</v>
      </c>
      <c r="C125" t="inlineStr">
        <is>
          <t>無印</t>
        </is>
      </c>
      <c r="D125" t="inlineStr">
        <is>
          <t>P63|無印</t>
        </is>
      </c>
      <c r="E125" t="inlineStr">
        <is>
          <t>透明</t>
        </is>
      </c>
      <c r="F125" t="inlineStr">
        <is>
          <t>S-3（160）等級/S-2（120）等級</t>
        </is>
      </c>
      <c r="G125" t="inlineStr">
        <is>
          <t>原本凡例保持・列位置は原本参照</t>
        </is>
      </c>
      <c r="H125" t="b">
        <v>1</v>
      </c>
      <c r="I125" t="inlineStr">
        <is>
          <t>¥45,700     ¥48,100    価格表は以下の条件で算出しています。 / ★24322-4A                                   透明 / ［24022-4A］                        S-3（160）等級 S-2（120）等級 / ¥328,200     ¥354,100    無印            3-A-3 / 3-A-3 / ○ / ¥361,600     ¥388,800         ※1 / ＿＿           ＿＿                    3-A-3 / （大壁和室障子） / ¥451,500     ¥477,400     ★                       3-A-3 / ¥484,900     ¥512,100     ☆                       3-A-4 / ＿＿           ＿＿       ◆                       4-A-4 / ¥509,100     ¥535,000   ※1 大 /  壁和室障子のみS-2（120）等級とな / ¥542,500     ¥569,700      ります。 / ＿＿           ＿＿ / ●アシスト把手加算額 / +¥177,500   +¥186,200 / ¥37,300     ¥39,200      2枚建         4枚建 / ¥57,000     ¥59,900     +¥25,900    +¥51,700 / 63</t>
        </is>
      </c>
      <c r="J125" t="inlineStr">
        <is>
          <t>202604_LIXIL_サーモスＬ_業務用資料集_完成品価格表.pdf</t>
        </is>
      </c>
      <c r="K125" t="inlineStr">
        <is>
          <t>https://drive.google.com/file/d/1YUN-mtWYs48YBUHJk0C3vJXnhjyZFHyf/view</t>
        </is>
      </c>
    </row>
    <row r="126">
      <c r="A126" s="42" t="inlineStr">
        <is>
          <t>GLG-SL-0123</t>
        </is>
      </c>
      <c r="B126" t="n">
        <v>63</v>
      </c>
      <c r="C126" t="inlineStr">
        <is>
          <t>★</t>
        </is>
      </c>
      <c r="D126" t="inlineStr">
        <is>
          <t>P63|★</t>
        </is>
      </c>
      <c r="E126" t="inlineStr">
        <is>
          <t>透明</t>
        </is>
      </c>
      <c r="F126" t="inlineStr">
        <is>
          <t>S-3（160）等級/S-2（120）等級</t>
        </is>
      </c>
      <c r="G126" t="inlineStr">
        <is>
          <t>原本凡例保持・列位置は原本参照</t>
        </is>
      </c>
      <c r="H126" t="b">
        <v>1</v>
      </c>
      <c r="I126" t="inlineStr">
        <is>
          <t>¥45,700     ¥48,100    価格表は以下の条件で算出しています。 / ★24322-4A                                   透明 / ［24022-4A］                        S-3（160）等級 S-2（120）等級 / ¥328,200     ¥354,100    無印            3-A-3 / 3-A-3 / ○ / ¥361,600     ¥388,800         ※1 / ＿＿           ＿＿                    3-A-3 / （大壁和室障子） / ¥451,500     ¥477,400     ★                       3-A-3 / ¥484,900     ¥512,100     ☆                       3-A-4 / ＿＿           ＿＿       ◆                       4-A-4 / ¥509,100     ¥535,000   ※1 大 /  壁和室障子のみS-2（120）等級とな / ¥542,500     ¥569,700      ります。 / ＿＿           ＿＿ / ●アシスト把手加算額 / +¥177,500   +¥186,200 / ¥37,300     ¥39,200      2枚建         4枚建 / ¥57,000     ¥59,900     +¥25,900    +¥51,700 / 63</t>
        </is>
      </c>
      <c r="J126" t="inlineStr">
        <is>
          <t>202604_LIXIL_サーモスＬ_業務用資料集_完成品価格表.pdf</t>
        </is>
      </c>
      <c r="K126" t="inlineStr">
        <is>
          <t>https://drive.google.com/file/d/1YUN-mtWYs48YBUHJk0C3vJXnhjyZFHyf/view</t>
        </is>
      </c>
    </row>
    <row r="127">
      <c r="A127" s="42" t="inlineStr">
        <is>
          <t>GLG-SL-0124</t>
        </is>
      </c>
      <c r="B127" t="n">
        <v>63</v>
      </c>
      <c r="C127" t="inlineStr">
        <is>
          <t>☆</t>
        </is>
      </c>
      <c r="D127" t="inlineStr">
        <is>
          <t>P63|☆</t>
        </is>
      </c>
      <c r="E127" t="inlineStr">
        <is>
          <t>透明</t>
        </is>
      </c>
      <c r="F127" t="inlineStr">
        <is>
          <t>S-3（160）等級/S-2（120）等級</t>
        </is>
      </c>
      <c r="G127" t="inlineStr">
        <is>
          <t>原本凡例保持・列位置は原本参照</t>
        </is>
      </c>
      <c r="H127" t="b">
        <v>1</v>
      </c>
      <c r="I127" t="inlineStr">
        <is>
          <t>¥45,700     ¥48,100    価格表は以下の条件で算出しています。 / ★24322-4A                                   透明 / ［24022-4A］                        S-3（160）等級 S-2（120）等級 / ¥328,200     ¥354,100    無印            3-A-3 / 3-A-3 / ○ / ¥361,600     ¥388,800         ※1 / ＿＿           ＿＿                    3-A-3 / （大壁和室障子） / ¥451,500     ¥477,400     ★                       3-A-3 / ¥484,900     ¥512,100     ☆                       3-A-4 / ＿＿           ＿＿       ◆                       4-A-4 / ¥509,100     ¥535,000   ※1 大 /  壁和室障子のみS-2（120）等級とな / ¥542,500     ¥569,700      ります。 / ＿＿           ＿＿ / ●アシスト把手加算額 / +¥177,500   +¥186,200 / ¥37,300     ¥39,200      2枚建         4枚建 / ¥57,000     ¥59,900     +¥25,900    +¥51,700 / 63</t>
        </is>
      </c>
      <c r="J127" t="inlineStr">
        <is>
          <t>202604_LIXIL_サーモスＬ_業務用資料集_完成品価格表.pdf</t>
        </is>
      </c>
      <c r="K127" t="inlineStr">
        <is>
          <t>https://drive.google.com/file/d/1YUN-mtWYs48YBUHJk0C3vJXnhjyZFHyf/view</t>
        </is>
      </c>
    </row>
    <row r="128">
      <c r="A128" s="42" t="inlineStr">
        <is>
          <t>GLG-SL-0125</t>
        </is>
      </c>
      <c r="B128" t="n">
        <v>63</v>
      </c>
      <c r="C128" t="inlineStr">
        <is>
          <t>○</t>
        </is>
      </c>
      <c r="D128" t="inlineStr">
        <is>
          <t>P63|○</t>
        </is>
      </c>
      <c r="E128" t="inlineStr">
        <is>
          <t>透明</t>
        </is>
      </c>
      <c r="F128" t="inlineStr">
        <is>
          <t>S-3（160）等級/S-2（120）等級</t>
        </is>
      </c>
      <c r="G128" t="inlineStr">
        <is>
          <t>原本凡例保持・列位置は原本参照</t>
        </is>
      </c>
      <c r="H128" t="b">
        <v>1</v>
      </c>
      <c r="I128" t="inlineStr">
        <is>
          <t>¥45,700     ¥48,100    価格表は以下の条件で算出しています。 / ★24322-4A                                   透明 / ［24022-4A］                        S-3（160）等級 S-2（120）等級 / ¥328,200     ¥354,100    無印            3-A-3 / 3-A-3 / ○ / ¥361,600     ¥388,800         ※1 / ＿＿           ＿＿                    3-A-3 / （大壁和室障子） / ¥451,500     ¥477,400     ★                       3-A-3 / ¥484,900     ¥512,100     ☆                       3-A-4 / ＿＿           ＿＿       ◆                       4-A-4 / ¥509,100     ¥535,000   ※1 大 /  壁和室障子のみS-2（120）等級とな / ¥542,500     ¥569,700      ります。 / ＿＿           ＿＿ / ●アシスト把手加算額 / +¥177,500   +¥186,200 / ¥37,300     ¥39,200      2枚建         4枚建 / ¥57,000     ¥59,900     +¥25,900    +¥51,700 / 63</t>
        </is>
      </c>
      <c r="J128" t="inlineStr">
        <is>
          <t>202604_LIXIL_サーモスＬ_業務用資料集_完成品価格表.pdf</t>
        </is>
      </c>
      <c r="K128" t="inlineStr">
        <is>
          <t>https://drive.google.com/file/d/1YUN-mtWYs48YBUHJk0C3vJXnhjyZFHyf/view</t>
        </is>
      </c>
    </row>
    <row r="129">
      <c r="A129" s="42" t="inlineStr">
        <is>
          <t>GLG-SL-0126</t>
        </is>
      </c>
      <c r="B129" t="n">
        <v>63</v>
      </c>
      <c r="C129" t="inlineStr">
        <is>
          <t>●</t>
        </is>
      </c>
      <c r="D129" t="inlineStr">
        <is>
          <t>P63|●</t>
        </is>
      </c>
      <c r="E129" t="inlineStr">
        <is>
          <t>透明</t>
        </is>
      </c>
      <c r="F129" t="inlineStr">
        <is>
          <t>S-3（160）等級/S-2（120）等級</t>
        </is>
      </c>
      <c r="G129" t="inlineStr">
        <is>
          <t>原本凡例保持・列位置は原本参照</t>
        </is>
      </c>
      <c r="H129" t="b">
        <v>1</v>
      </c>
      <c r="I129" t="inlineStr">
        <is>
          <t>¥45,700     ¥48,100    価格表は以下の条件で算出しています。 / ★24322-4A                                   透明 / ［24022-4A］                        S-3（160）等級 S-2（120）等級 / ¥328,200     ¥354,100    無印            3-A-3 / 3-A-3 / ○ / ¥361,600     ¥388,800         ※1 / ＿＿           ＿＿                    3-A-3 / （大壁和室障子） / ¥451,500     ¥477,400     ★                       3-A-3 / ¥484,900     ¥512,100     ☆                       3-A-4 / ＿＿           ＿＿       ◆                       4-A-4 / ¥509,100     ¥535,000   ※1 大 /  壁和室障子のみS-2（120）等級とな / ¥542,500     ¥569,700      ります。 / ＿＿           ＿＿ / ●アシスト把手加算額 / +¥177,500   +¥186,200 / ¥37,300     ¥39,200      2枚建         4枚建 / ¥57,000     ¥59,900     +¥25,900    +¥51,700 / 63</t>
        </is>
      </c>
      <c r="J129" t="inlineStr">
        <is>
          <t>202604_LIXIL_サーモスＬ_業務用資料集_完成品価格表.pdf</t>
        </is>
      </c>
      <c r="K129" t="inlineStr">
        <is>
          <t>https://drive.google.com/file/d/1YUN-mtWYs48YBUHJk0C3vJXnhjyZFHyf/view</t>
        </is>
      </c>
    </row>
    <row r="130">
      <c r="A130" s="42" t="inlineStr">
        <is>
          <t>GLG-SL-0127</t>
        </is>
      </c>
      <c r="B130" t="n">
        <v>63</v>
      </c>
      <c r="C130" t="inlineStr">
        <is>
          <t>◆</t>
        </is>
      </c>
      <c r="D130" t="inlineStr">
        <is>
          <t>P63|◆</t>
        </is>
      </c>
      <c r="E130" t="inlineStr">
        <is>
          <t>透明</t>
        </is>
      </c>
      <c r="F130" t="inlineStr">
        <is>
          <t>S-3（160）等級/S-2（120）等級</t>
        </is>
      </c>
      <c r="G130" t="inlineStr">
        <is>
          <t>原本凡例保持・列位置は原本参照</t>
        </is>
      </c>
      <c r="H130" t="b">
        <v>1</v>
      </c>
      <c r="I130" t="inlineStr">
        <is>
          <t>¥45,700     ¥48,100    価格表は以下の条件で算出しています。 / ★24322-4A                                   透明 / ［24022-4A］                        S-3（160）等級 S-2（120）等級 / ¥328,200     ¥354,100    無印            3-A-3 / 3-A-3 / ○ / ¥361,600     ¥388,800         ※1 / ＿＿           ＿＿                    3-A-3 / （大壁和室障子） / ¥451,500     ¥477,400     ★                       3-A-3 / ¥484,900     ¥512,100     ☆                       3-A-4 / ＿＿           ＿＿       ◆                       4-A-4 / ¥509,100     ¥535,000   ※1 大 /  壁和室障子のみS-2（120）等級とな / ¥542,500     ¥569,700      ります。 / ＿＿           ＿＿ / ●アシスト把手加算額 / +¥177,500   +¥186,200 / ¥37,300     ¥39,200      2枚建         4枚建 / ¥57,000     ¥59,900     +¥25,900    +¥51,700 / 63</t>
        </is>
      </c>
      <c r="J130" t="inlineStr">
        <is>
          <t>202604_LIXIL_サーモスＬ_業務用資料集_完成品価格表.pdf</t>
        </is>
      </c>
      <c r="K130" t="inlineStr">
        <is>
          <t>https://drive.google.com/file/d/1YUN-mtWYs48YBUHJk0C3vJXnhjyZFHyf/view</t>
        </is>
      </c>
    </row>
    <row r="131">
      <c r="A131" s="42" t="inlineStr">
        <is>
          <t>GLG-SL-0128</t>
        </is>
      </c>
      <c r="B131" t="n">
        <v>65</v>
      </c>
      <c r="C131" t="inlineStr">
        <is>
          <t>無印</t>
        </is>
      </c>
      <c r="D131" t="inlineStr">
        <is>
          <t>P65|無印</t>
        </is>
      </c>
      <c r="E131" t="inlineStr">
        <is>
          <t>透明</t>
        </is>
      </c>
      <c r="F131" t="inlineStr">
        <is>
          <t>S-3（160）等級/S-2（120）等級</t>
        </is>
      </c>
      <c r="G131" t="inlineStr">
        <is>
          <t>原本凡例保持・列位置は原本参照</t>
        </is>
      </c>
      <c r="H131" t="b">
        <v>1</v>
      </c>
      <c r="I131"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1" t="inlineStr">
        <is>
          <t>202604_LIXIL_サーモスＬ_業務用資料集_完成品価格表.pdf</t>
        </is>
      </c>
      <c r="K131" t="inlineStr">
        <is>
          <t>https://drive.google.com/file/d/1YUN-mtWYs48YBUHJk0C3vJXnhjyZFHyf/view</t>
        </is>
      </c>
    </row>
    <row r="132">
      <c r="A132" s="42" t="inlineStr">
        <is>
          <t>GLG-SL-0129</t>
        </is>
      </c>
      <c r="B132" t="n">
        <v>65</v>
      </c>
      <c r="C132" t="inlineStr">
        <is>
          <t>★</t>
        </is>
      </c>
      <c r="D132" t="inlineStr">
        <is>
          <t>P65|★</t>
        </is>
      </c>
      <c r="E132" t="inlineStr">
        <is>
          <t>透明</t>
        </is>
      </c>
      <c r="F132" t="inlineStr">
        <is>
          <t>S-3（160）等級/S-2（120）等級</t>
        </is>
      </c>
      <c r="G132" t="inlineStr">
        <is>
          <t>原本凡例保持・列位置は原本参照</t>
        </is>
      </c>
      <c r="H132" t="b">
        <v>1</v>
      </c>
      <c r="I132"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2" t="inlineStr">
        <is>
          <t>202604_LIXIL_サーモスＬ_業務用資料集_完成品価格表.pdf</t>
        </is>
      </c>
      <c r="K132" t="inlineStr">
        <is>
          <t>https://drive.google.com/file/d/1YUN-mtWYs48YBUHJk0C3vJXnhjyZFHyf/view</t>
        </is>
      </c>
    </row>
    <row r="133">
      <c r="A133" s="42" t="inlineStr">
        <is>
          <t>GLG-SL-0130</t>
        </is>
      </c>
      <c r="B133" t="n">
        <v>65</v>
      </c>
      <c r="C133" t="inlineStr">
        <is>
          <t>☆</t>
        </is>
      </c>
      <c r="D133" t="inlineStr">
        <is>
          <t>P65|☆</t>
        </is>
      </c>
      <c r="E133" t="inlineStr">
        <is>
          <t>透明</t>
        </is>
      </c>
      <c r="F133" t="inlineStr">
        <is>
          <t>S-3（160）等級/S-2（120）等級</t>
        </is>
      </c>
      <c r="G133" t="inlineStr">
        <is>
          <t>原本凡例保持・列位置は原本参照</t>
        </is>
      </c>
      <c r="H133" t="b">
        <v>1</v>
      </c>
      <c r="I133"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3" t="inlineStr">
        <is>
          <t>202604_LIXIL_サーモスＬ_業務用資料集_完成品価格表.pdf</t>
        </is>
      </c>
      <c r="K133" t="inlineStr">
        <is>
          <t>https://drive.google.com/file/d/1YUN-mtWYs48YBUHJk0C3vJXnhjyZFHyf/view</t>
        </is>
      </c>
    </row>
    <row r="134">
      <c r="A134" s="42" t="inlineStr">
        <is>
          <t>GLG-SL-0131</t>
        </is>
      </c>
      <c r="B134" t="n">
        <v>65</v>
      </c>
      <c r="C134" t="inlineStr">
        <is>
          <t>○</t>
        </is>
      </c>
      <c r="D134" t="inlineStr">
        <is>
          <t>P65|○</t>
        </is>
      </c>
      <c r="E134" t="inlineStr">
        <is>
          <t>透明</t>
        </is>
      </c>
      <c r="F134" t="inlineStr">
        <is>
          <t>S-3（160）等級/S-2（120）等級</t>
        </is>
      </c>
      <c r="G134" t="inlineStr">
        <is>
          <t>原本凡例保持・列位置は原本参照</t>
        </is>
      </c>
      <c r="H134" t="b">
        <v>1</v>
      </c>
      <c r="I134"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4" t="inlineStr">
        <is>
          <t>202604_LIXIL_サーモスＬ_業務用資料集_完成品価格表.pdf</t>
        </is>
      </c>
      <c r="K134" t="inlineStr">
        <is>
          <t>https://drive.google.com/file/d/1YUN-mtWYs48YBUHJk0C3vJXnhjyZFHyf/view</t>
        </is>
      </c>
    </row>
    <row r="135">
      <c r="A135" s="42" t="inlineStr">
        <is>
          <t>GLG-SL-0132</t>
        </is>
      </c>
      <c r="B135" t="n">
        <v>65</v>
      </c>
      <c r="C135" t="inlineStr">
        <is>
          <t>●</t>
        </is>
      </c>
      <c r="D135" t="inlineStr">
        <is>
          <t>P65|●</t>
        </is>
      </c>
      <c r="E135" t="inlineStr">
        <is>
          <t>透明</t>
        </is>
      </c>
      <c r="F135" t="inlineStr">
        <is>
          <t>S-3（160）等級/S-2（120）等級</t>
        </is>
      </c>
      <c r="G135" t="inlineStr">
        <is>
          <t>原本凡例保持・列位置は原本参照</t>
        </is>
      </c>
      <c r="H135" t="b">
        <v>1</v>
      </c>
      <c r="I135"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5" t="inlineStr">
        <is>
          <t>202604_LIXIL_サーモスＬ_業務用資料集_完成品価格表.pdf</t>
        </is>
      </c>
      <c r="K135" t="inlineStr">
        <is>
          <t>https://drive.google.com/file/d/1YUN-mtWYs48YBUHJk0C3vJXnhjyZFHyf/view</t>
        </is>
      </c>
    </row>
    <row r="136">
      <c r="A136" s="42" t="inlineStr">
        <is>
          <t>GLG-SL-0133</t>
        </is>
      </c>
      <c r="B136" t="n">
        <v>65</v>
      </c>
      <c r="C136" t="inlineStr">
        <is>
          <t>◆</t>
        </is>
      </c>
      <c r="D136" t="inlineStr">
        <is>
          <t>P65|◆</t>
        </is>
      </c>
      <c r="E136" t="inlineStr">
        <is>
          <t>透明</t>
        </is>
      </c>
      <c r="F136" t="inlineStr">
        <is>
          <t>S-3（160）等級/S-2（120）等級</t>
        </is>
      </c>
      <c r="G136" t="inlineStr">
        <is>
          <t>原本凡例保持・列位置は原本参照</t>
        </is>
      </c>
      <c r="H136" t="b">
        <v>1</v>
      </c>
      <c r="I136"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6" t="inlineStr">
        <is>
          <t>202604_LIXIL_サーモスＬ_業務用資料集_完成品価格表.pdf</t>
        </is>
      </c>
      <c r="K136" t="inlineStr">
        <is>
          <t>https://drive.google.com/file/d/1YUN-mtWYs48YBUHJk0C3vJXnhjyZFHyf/view</t>
        </is>
      </c>
    </row>
    <row r="137">
      <c r="A137" s="42" t="inlineStr">
        <is>
          <t>GLG-SL-0134</t>
        </is>
      </c>
      <c r="B137" t="n">
        <v>65</v>
      </c>
      <c r="C137" t="inlineStr">
        <is>
          <t>△</t>
        </is>
      </c>
      <c r="D137" t="inlineStr">
        <is>
          <t>P65|△</t>
        </is>
      </c>
      <c r="E137" t="inlineStr">
        <is>
          <t>透明</t>
        </is>
      </c>
      <c r="F137" t="inlineStr">
        <is>
          <t>S-3（160）等級/S-2（120）等級</t>
        </is>
      </c>
      <c r="G137" t="inlineStr">
        <is>
          <t>原本凡例保持・列位置は原本参照</t>
        </is>
      </c>
      <c r="H137" t="b">
        <v>1</v>
      </c>
      <c r="I137" t="inlineStr">
        <is>
          <t>¥29,900     ¥31,400    価格表は以下の条件で算出しています。 / ¥45,700     ¥48,100                         透明 / ★24322-4B                         S-3（160）等級 S-2（120）等級 / ［24022-4B］              無印            3-A-3 / ¥328,200     ¥354,100                             3-A-3 / △ / ※1 / 3-A-3 / ¥361,600     ¥388,800                          （PG障子） / ＿＿           ＿＿ / 3-A-3 / ○ / ※2 / 3-A-3 / ¥453,100     ¥479,000              （把手障子） / ¥486,500     ¥513,700     ★                       3-A-3 / ＿＿           ＿＿ / ☆                       3-A-4 / ¥511,100     ¥537,000     ◆                       4-A-4 / ¥544,500     ¥571,700 / ＿＿           ＿＿     ※1 PG障子のみS-2（120）等級となります。 / ※2 把手障子のみS-3（160）等級となります。 / +¥177,500   +¥186,200 / ¥37,300     ¥39,200    ●アシスト把手加算額 / ¥57,000     ¥59,900     2枚建          4枚建 / +¥2,400      +¥2,400   +¥25,900     +¥51,700</t>
        </is>
      </c>
      <c r="J137" t="inlineStr">
        <is>
          <t>202604_LIXIL_サーモスＬ_業務用資料集_完成品価格表.pdf</t>
        </is>
      </c>
      <c r="K137" t="inlineStr">
        <is>
          <t>https://drive.google.com/file/d/1YUN-mtWYs48YBUHJk0C3vJXnhjyZFHyf/view</t>
        </is>
      </c>
    </row>
    <row r="138">
      <c r="A138" s="42" t="inlineStr">
        <is>
          <t>GLG-SL-0135</t>
        </is>
      </c>
      <c r="B138" t="n">
        <v>66</v>
      </c>
      <c r="C138" t="inlineStr">
        <is>
          <t>無印</t>
        </is>
      </c>
      <c r="D138" t="inlineStr">
        <is>
          <t>P66|無印</t>
        </is>
      </c>
      <c r="E138" t="inlineStr">
        <is>
          <t>透明/型</t>
        </is>
      </c>
      <c r="F138" t="inlineStr">
        <is>
          <t>S-3（160）等級</t>
        </is>
      </c>
      <c r="G138" t="inlineStr">
        <is>
          <t>原本凡例保持・列位置は原本参照</t>
        </is>
      </c>
      <c r="H138" t="b">
        <v>1</v>
      </c>
      <c r="I138" t="inlineStr">
        <is>
          <t>価格表は以下の条件で算出しています。 / 透明          型 / S-3（160）等級 S-3（160）等級 / 3-A-3     3-A-型4</t>
        </is>
      </c>
      <c r="J138" t="inlineStr">
        <is>
          <t>202604_LIXIL_サーモスＬ_業務用資料集_完成品価格表.pdf</t>
        </is>
      </c>
      <c r="K138" t="inlineStr">
        <is>
          <t>https://drive.google.com/file/d/1YUN-mtWYs48YBUHJk0C3vJXnhjyZFHyf/view</t>
        </is>
      </c>
    </row>
    <row r="139">
      <c r="A139" s="42" t="inlineStr">
        <is>
          <t>GLG-SL-0136</t>
        </is>
      </c>
      <c r="B139" t="n">
        <v>68</v>
      </c>
      <c r="C139" t="inlineStr">
        <is>
          <t>無印</t>
        </is>
      </c>
      <c r="D139" t="inlineStr">
        <is>
          <t>P68|無印</t>
        </is>
      </c>
      <c r="E139" t="inlineStr">
        <is>
          <t>透明/型</t>
        </is>
      </c>
      <c r="F139" t="inlineStr">
        <is>
          <t>S-3（160）等級/S-2（120）等級</t>
        </is>
      </c>
      <c r="G139" t="inlineStr">
        <is>
          <t>原本凡例保持・列位置は原本参照</t>
        </is>
      </c>
      <c r="H139" t="b">
        <v>1</v>
      </c>
      <c r="I139" t="inlineStr">
        <is>
          <t>価格表は以下の条件で算出しています。 / 透明               型 / S-3（160）等級 S-3（160）等級 S-2（120）等級 / 無印                  3-A-3     3-A-型4 / ★                  3-A-3                3-A-型4</t>
        </is>
      </c>
      <c r="J139" t="inlineStr">
        <is>
          <t>202604_LIXIL_サーモスＬ_業務用資料集_完成品価格表.pdf</t>
        </is>
      </c>
      <c r="K139" t="inlineStr">
        <is>
          <t>https://drive.google.com/file/d/1YUN-mtWYs48YBUHJk0C3vJXnhjyZFHyf/view</t>
        </is>
      </c>
    </row>
    <row r="140">
      <c r="A140" s="42" t="inlineStr">
        <is>
          <t>GLG-SL-0137</t>
        </is>
      </c>
      <c r="B140" t="n">
        <v>68</v>
      </c>
      <c r="C140" t="inlineStr">
        <is>
          <t>★</t>
        </is>
      </c>
      <c r="D140" t="inlineStr">
        <is>
          <t>P68|★</t>
        </is>
      </c>
      <c r="E140" t="inlineStr">
        <is>
          <t>透明/型</t>
        </is>
      </c>
      <c r="F140" t="inlineStr">
        <is>
          <t>S-3（160）等級/S-2（120）等級</t>
        </is>
      </c>
      <c r="G140" t="inlineStr">
        <is>
          <t>原本凡例保持・列位置は原本参照</t>
        </is>
      </c>
      <c r="H140" t="b">
        <v>1</v>
      </c>
      <c r="I140" t="inlineStr">
        <is>
          <t>価格表は以下の条件で算出しています。 / 透明               型 / S-3（160）等級 S-3（160）等級 S-2（120）等級 / 無印                  3-A-3     3-A-型4 / ★                  3-A-3                3-A-型4</t>
        </is>
      </c>
      <c r="J140" t="inlineStr">
        <is>
          <t>202604_LIXIL_サーモスＬ_業務用資料集_完成品価格表.pdf</t>
        </is>
      </c>
      <c r="K140" t="inlineStr">
        <is>
          <t>https://drive.google.com/file/d/1YUN-mtWYs48YBUHJk0C3vJXnhjyZFHyf/view</t>
        </is>
      </c>
    </row>
    <row r="141">
      <c r="A141" s="42" t="inlineStr">
        <is>
          <t>GLG-SL-0138</t>
        </is>
      </c>
      <c r="B141" t="n">
        <v>70</v>
      </c>
      <c r="C141" t="inlineStr">
        <is>
          <t>無印</t>
        </is>
      </c>
      <c r="D141" t="inlineStr">
        <is>
          <t>P70|無印</t>
        </is>
      </c>
      <c r="E141" t="inlineStr">
        <is>
          <t>透明/型</t>
        </is>
      </c>
      <c r="F141" t="inlineStr">
        <is>
          <t>S-3（160）等級/S-2（120）等級</t>
        </is>
      </c>
      <c r="G141" t="inlineStr">
        <is>
          <t>原本凡例保持・列位置は原本参照</t>
        </is>
      </c>
      <c r="H141" t="b">
        <v>1</v>
      </c>
      <c r="I141" t="inlineStr">
        <is>
          <t>価格表は以下の条件で算出しています。 / 透明                    型 / S-3（160）等級 S-2（120）等級 S-3（160）等級 S-2（120）等級 / 無印                  3-A-3                3-A-型4 / ★                  3-A-3                           3-A-型4 / ○                             3-A-3                3-A-型4</t>
        </is>
      </c>
      <c r="J141" t="inlineStr">
        <is>
          <t>202604_LIXIL_サーモスＬ_業務用資料集_完成品価格表.pdf</t>
        </is>
      </c>
      <c r="K141" t="inlineStr">
        <is>
          <t>https://drive.google.com/file/d/1YUN-mtWYs48YBUHJk0C3vJXnhjyZFHyf/view</t>
        </is>
      </c>
    </row>
    <row r="142">
      <c r="A142" s="42" t="inlineStr">
        <is>
          <t>GLG-SL-0139</t>
        </is>
      </c>
      <c r="B142" t="n">
        <v>70</v>
      </c>
      <c r="C142" t="inlineStr">
        <is>
          <t>★</t>
        </is>
      </c>
      <c r="D142" t="inlineStr">
        <is>
          <t>P70|★</t>
        </is>
      </c>
      <c r="E142" t="inlineStr">
        <is>
          <t>透明/型</t>
        </is>
      </c>
      <c r="F142" t="inlineStr">
        <is>
          <t>S-3（160）等級/S-2（120）等級</t>
        </is>
      </c>
      <c r="G142" t="inlineStr">
        <is>
          <t>原本凡例保持・列位置は原本参照</t>
        </is>
      </c>
      <c r="H142" t="b">
        <v>1</v>
      </c>
      <c r="I142" t="inlineStr">
        <is>
          <t>価格表は以下の条件で算出しています。 / 透明                    型 / S-3（160）等級 S-2（120）等級 S-3（160）等級 S-2（120）等級 / 無印                  3-A-3                3-A-型4 / ★                  3-A-3                           3-A-型4 / ○                             3-A-3                3-A-型4</t>
        </is>
      </c>
      <c r="J142" t="inlineStr">
        <is>
          <t>202604_LIXIL_サーモスＬ_業務用資料集_完成品価格表.pdf</t>
        </is>
      </c>
      <c r="K142" t="inlineStr">
        <is>
          <t>https://drive.google.com/file/d/1YUN-mtWYs48YBUHJk0C3vJXnhjyZFHyf/view</t>
        </is>
      </c>
    </row>
    <row r="143">
      <c r="A143" s="42" t="inlineStr">
        <is>
          <t>GLG-SL-0140</t>
        </is>
      </c>
      <c r="B143" t="n">
        <v>70</v>
      </c>
      <c r="C143" t="inlineStr">
        <is>
          <t>○</t>
        </is>
      </c>
      <c r="D143" t="inlineStr">
        <is>
          <t>P70|○</t>
        </is>
      </c>
      <c r="E143" t="inlineStr">
        <is>
          <t>透明/型</t>
        </is>
      </c>
      <c r="F143" t="inlineStr">
        <is>
          <t>S-3（160）等級/S-2（120）等級</t>
        </is>
      </c>
      <c r="G143" t="inlineStr">
        <is>
          <t>原本凡例保持・列位置は原本参照</t>
        </is>
      </c>
      <c r="H143" t="b">
        <v>1</v>
      </c>
      <c r="I143" t="inlineStr">
        <is>
          <t>価格表は以下の条件で算出しています。 / 透明                    型 / S-3（160）等級 S-2（120）等級 S-3（160）等級 S-2（120）等級 / 無印                  3-A-3                3-A-型4 / ★                  3-A-3                           3-A-型4 / ○                             3-A-3                3-A-型4</t>
        </is>
      </c>
      <c r="J143" t="inlineStr">
        <is>
          <t>202604_LIXIL_サーモスＬ_業務用資料集_完成品価格表.pdf</t>
        </is>
      </c>
      <c r="K143" t="inlineStr">
        <is>
          <t>https://drive.google.com/file/d/1YUN-mtWYs48YBUHJk0C3vJXnhjyZFHyf/view</t>
        </is>
      </c>
    </row>
    <row r="144">
      <c r="A144" s="42" t="inlineStr">
        <is>
          <t>GLG-SL-0141</t>
        </is>
      </c>
      <c r="B144" t="n">
        <v>72</v>
      </c>
      <c r="C144" t="inlineStr">
        <is>
          <t>無印</t>
        </is>
      </c>
      <c r="D144" t="inlineStr">
        <is>
          <t>P72|無印</t>
        </is>
      </c>
      <c r="E144" t="inlineStr">
        <is>
          <t>透明/型</t>
        </is>
      </c>
      <c r="F144" t="inlineStr">
        <is>
          <t>S-3（160）等級/S-2（120）等級</t>
        </is>
      </c>
      <c r="G144" t="inlineStr">
        <is>
          <t>原本凡例保持・列位置は原本参照</t>
        </is>
      </c>
      <c r="H144" t="b">
        <v>1</v>
      </c>
      <c r="I144" t="inlineStr">
        <is>
          <t>価格表は以下の条件で算出しています。 / 透明                    型 / S-3（160）等級 S-2（120）等級 S-3（160）等級 S-2（120）等級 / ★                   3-A-3                           3-A-型4 / ○                              3-A-3                3-A-型4</t>
        </is>
      </c>
      <c r="J144" t="inlineStr">
        <is>
          <t>202604_LIXIL_サーモスＬ_業務用資料集_完成品価格表.pdf</t>
        </is>
      </c>
      <c r="K144" t="inlineStr">
        <is>
          <t>https://drive.google.com/file/d/1YUN-mtWYs48YBUHJk0C3vJXnhjyZFHyf/view</t>
        </is>
      </c>
    </row>
    <row r="145">
      <c r="A145" s="42" t="inlineStr">
        <is>
          <t>GLG-SL-0142</t>
        </is>
      </c>
      <c r="B145" t="n">
        <v>72</v>
      </c>
      <c r="C145" t="inlineStr">
        <is>
          <t>★</t>
        </is>
      </c>
      <c r="D145" t="inlineStr">
        <is>
          <t>P72|★</t>
        </is>
      </c>
      <c r="E145" t="inlineStr">
        <is>
          <t>透明/型</t>
        </is>
      </c>
      <c r="F145" t="inlineStr">
        <is>
          <t>S-3（160）等級/S-2（120）等級</t>
        </is>
      </c>
      <c r="G145" t="inlineStr">
        <is>
          <t>原本凡例保持・列位置は原本参照</t>
        </is>
      </c>
      <c r="H145" t="b">
        <v>1</v>
      </c>
      <c r="I145" t="inlineStr">
        <is>
          <t>価格表は以下の条件で算出しています。 / 透明                    型 / S-3（160）等級 S-2（120）等級 S-3（160）等級 S-2（120）等級 / ★                   3-A-3                           3-A-型4 / ○                              3-A-3                3-A-型4</t>
        </is>
      </c>
      <c r="J145" t="inlineStr">
        <is>
          <t>202604_LIXIL_サーモスＬ_業務用資料集_完成品価格表.pdf</t>
        </is>
      </c>
      <c r="K145" t="inlineStr">
        <is>
          <t>https://drive.google.com/file/d/1YUN-mtWYs48YBUHJk0C3vJXnhjyZFHyf/view</t>
        </is>
      </c>
    </row>
    <row r="146">
      <c r="A146" s="42" t="inlineStr">
        <is>
          <t>GLG-SL-0143</t>
        </is>
      </c>
      <c r="B146" t="n">
        <v>72</v>
      </c>
      <c r="C146" t="inlineStr">
        <is>
          <t>○</t>
        </is>
      </c>
      <c r="D146" t="inlineStr">
        <is>
          <t>P72|○</t>
        </is>
      </c>
      <c r="E146" t="inlineStr">
        <is>
          <t>透明/型</t>
        </is>
      </c>
      <c r="F146" t="inlineStr">
        <is>
          <t>S-3（160）等級/S-2（120）等級</t>
        </is>
      </c>
      <c r="G146" t="inlineStr">
        <is>
          <t>原本凡例保持・列位置は原本参照</t>
        </is>
      </c>
      <c r="H146" t="b">
        <v>1</v>
      </c>
      <c r="I146" t="inlineStr">
        <is>
          <t>価格表は以下の条件で算出しています。 / 透明                    型 / S-3（160）等級 S-2（120）等級 S-3（160）等級 S-2（120）等級 / ★                   3-A-3                           3-A-型4 / ○                              3-A-3                3-A-型4</t>
        </is>
      </c>
      <c r="J146" t="inlineStr">
        <is>
          <t>202604_LIXIL_サーモスＬ_業務用資料集_完成品価格表.pdf</t>
        </is>
      </c>
      <c r="K146" t="inlineStr">
        <is>
          <t>https://drive.google.com/file/d/1YUN-mtWYs48YBUHJk0C3vJXnhjyZFHyf/view</t>
        </is>
      </c>
    </row>
    <row r="147">
      <c r="A147" s="42" t="inlineStr">
        <is>
          <t>GLG-SL-0144</t>
        </is>
      </c>
      <c r="B147" t="n">
        <v>74</v>
      </c>
      <c r="C147" t="inlineStr">
        <is>
          <t>無印</t>
        </is>
      </c>
      <c r="D147" t="inlineStr">
        <is>
          <t>P74|無印</t>
        </is>
      </c>
      <c r="E147" t="inlineStr">
        <is>
          <t>透明/型</t>
        </is>
      </c>
      <c r="F147" t="inlineStr">
        <is>
          <t>S-3（160）等級/S-2（120）等級</t>
        </is>
      </c>
      <c r="G147" t="inlineStr">
        <is>
          <t>原本凡例保持・列位置は原本参照</t>
        </is>
      </c>
      <c r="H147" t="b">
        <v>1</v>
      </c>
      <c r="I147" t="inlineStr">
        <is>
          <t>価格表は以下の条件で算出しています。 / 透明                    型 / S-3（160）等級 S-2（120）等級 S-3（160）等級 S-2（120）等級 / 無印                  3-A-3                3-A-型4 / ☆                             3-A-3                4-A-型4</t>
        </is>
      </c>
      <c r="J147" t="inlineStr">
        <is>
          <t>202604_LIXIL_サーモスＬ_業務用資料集_完成品価格表.pdf</t>
        </is>
      </c>
      <c r="K147" t="inlineStr">
        <is>
          <t>https://drive.google.com/file/d/1YUN-mtWYs48YBUHJk0C3vJXnhjyZFHyf/view</t>
        </is>
      </c>
    </row>
    <row r="148">
      <c r="A148" s="42" t="inlineStr">
        <is>
          <t>GLG-SL-0145</t>
        </is>
      </c>
      <c r="B148" t="n">
        <v>74</v>
      </c>
      <c r="C148" t="inlineStr">
        <is>
          <t>☆</t>
        </is>
      </c>
      <c r="D148" t="inlineStr">
        <is>
          <t>P74|☆</t>
        </is>
      </c>
      <c r="E148" t="inlineStr">
        <is>
          <t>透明/型</t>
        </is>
      </c>
      <c r="F148" t="inlineStr">
        <is>
          <t>S-3（160）等級/S-2（120）等級</t>
        </is>
      </c>
      <c r="G148" t="inlineStr">
        <is>
          <t>原本凡例保持・列位置は原本参照</t>
        </is>
      </c>
      <c r="H148" t="b">
        <v>1</v>
      </c>
      <c r="I148" t="inlineStr">
        <is>
          <t>価格表は以下の条件で算出しています。 / 透明                    型 / S-3（160）等級 S-2（120）等級 S-3（160）等級 S-2（120）等級 / 無印                  3-A-3                3-A-型4 / ☆                             3-A-3                4-A-型4</t>
        </is>
      </c>
      <c r="J148" t="inlineStr">
        <is>
          <t>202604_LIXIL_サーモスＬ_業務用資料集_完成品価格表.pdf</t>
        </is>
      </c>
      <c r="K148" t="inlineStr">
        <is>
          <t>https://drive.google.com/file/d/1YUN-mtWYs48YBUHJk0C3vJXnhjyZFHyf/view</t>
        </is>
      </c>
    </row>
    <row r="149">
      <c r="A149" s="42" t="inlineStr">
        <is>
          <t>GLG-SL-0146</t>
        </is>
      </c>
      <c r="B149" t="n">
        <v>76</v>
      </c>
      <c r="C149" t="inlineStr">
        <is>
          <t>無印</t>
        </is>
      </c>
      <c r="D149" t="inlineStr">
        <is>
          <t>P76|無印</t>
        </is>
      </c>
      <c r="E149" t="inlineStr">
        <is>
          <t>透明/型</t>
        </is>
      </c>
      <c r="F149" t="inlineStr">
        <is>
          <t>S-3（160）等級/S-2（120）等級/S-1（80）等級</t>
        </is>
      </c>
      <c r="G149" t="inlineStr">
        <is>
          <t>原本凡例保持・列位置は原本参照</t>
        </is>
      </c>
      <c r="H149" t="b">
        <v>1</v>
      </c>
      <c r="I149" t="inlineStr">
        <is>
          <t>価格表は以下の条件で算出しています。 / 透明                            型 / S-3（160）等級 S-2（120）等級         S-3（160）等級 S-1（80）等級 / 無印                  3-A-3                        3-A-型4 / ●                             3-A-3                        3-A-型4</t>
        </is>
      </c>
      <c r="J149" t="inlineStr">
        <is>
          <t>202604_LIXIL_サーモスＬ_業務用資料集_完成品価格表.pdf</t>
        </is>
      </c>
      <c r="K149" t="inlineStr">
        <is>
          <t>https://drive.google.com/file/d/1YUN-mtWYs48YBUHJk0C3vJXnhjyZFHyf/view</t>
        </is>
      </c>
    </row>
    <row r="150">
      <c r="A150" s="42" t="inlineStr">
        <is>
          <t>GLG-SL-0147</t>
        </is>
      </c>
      <c r="B150" t="n">
        <v>76</v>
      </c>
      <c r="C150" t="inlineStr">
        <is>
          <t>●</t>
        </is>
      </c>
      <c r="D150" t="inlineStr">
        <is>
          <t>P76|●</t>
        </is>
      </c>
      <c r="E150" t="inlineStr">
        <is>
          <t>透明/型</t>
        </is>
      </c>
      <c r="F150" t="inlineStr">
        <is>
          <t>S-3（160）等級/S-2（120）等級/S-1（80）等級</t>
        </is>
      </c>
      <c r="G150" t="inlineStr">
        <is>
          <t>原本凡例保持・列位置は原本参照</t>
        </is>
      </c>
      <c r="H150" t="b">
        <v>1</v>
      </c>
      <c r="I150" t="inlineStr">
        <is>
          <t>価格表は以下の条件で算出しています。 / 透明                            型 / S-3（160）等級 S-2（120）等級         S-3（160）等級 S-1（80）等級 / 無印                  3-A-3                        3-A-型4 / ●                             3-A-3                        3-A-型4</t>
        </is>
      </c>
      <c r="J150" t="inlineStr">
        <is>
          <t>202604_LIXIL_サーモスＬ_業務用資料集_完成品価格表.pdf</t>
        </is>
      </c>
      <c r="K150" t="inlineStr">
        <is>
          <t>https://drive.google.com/file/d/1YUN-mtWYs48YBUHJk0C3vJXnhjyZFHyf/view</t>
        </is>
      </c>
    </row>
    <row r="151">
      <c r="A151" s="42" t="inlineStr">
        <is>
          <t>GLG-SL-0148</t>
        </is>
      </c>
      <c r="B151" t="n">
        <v>79</v>
      </c>
      <c r="C151" t="inlineStr">
        <is>
          <t>無印</t>
        </is>
      </c>
      <c r="D151" t="inlineStr">
        <is>
          <t>P79|無印</t>
        </is>
      </c>
      <c r="E151" t="inlineStr">
        <is>
          <t>透明</t>
        </is>
      </c>
      <c r="F151" t="inlineStr">
        <is>
          <t>S-3（160）等級/S-2（120）等級</t>
        </is>
      </c>
      <c r="G151" t="inlineStr">
        <is>
          <t>原本凡例保持・列位置は原本参照</t>
        </is>
      </c>
      <c r="H151" t="b">
        <v>1</v>
      </c>
      <c r="I151" t="inlineStr">
        <is>
          <t>¥32,400          ¥34,000          ¥32,400    ¥34,000       ¥32,400       ¥34,000     価格表は以下の条件で算出しています。                                            ●アシスト把手加算額 / ¥25,600          ¥26,900          ¥25,600    ¥26,900       ¥25,600       ¥26,900                                     透明                                2枚建 / ¥10,600          ¥11,100          ¥10,600    ¥11,100       ¥10,600       ¥11,100                           S-3（160）等級 S-2（120）等級                      +¥25,900 / ¥15,900          ¥16,700          ¥15,900    ¥16,700       ¥15,900       ¥16,700          無印                   3-A-3 / ¥23,800          ¥25,100          ¥23,800    ¥25,100       ¥23,800       ¥25,100                                          3-A-3 / ▲ / ※1 / 3-A-3 / ★17420                           ★17620                   ★18020                                                   （大壁和室障子） / ［17120］                          ［17320］                  ［17720］                        △※2 / 3-A-3 / 3-A-3 / ¥126,600        ¥139,300          ¥126,600   ¥139,300      ¥126,600      ¥139,300                           （把手障子） / ¥142,500        ¥155,900          ¥142,500   ¥155,900      ¥142,500      ¥155,900            ★                             3-A-3 / ＿＿              ＿＿                ＿＿         ＿＿            ＿＿            ＿＿       ※1 大壁和室障子のみS-2（120）等級となります。 / ¥212,700        ¥225,400          ¥213,700   ¥226,400      ¥215,700      ¥228,400     ※2 把手障子のみS-3（160）等級となります。 / ¥228,000        ¥241,400          ¥229,000   ¥242,400      ¥231,000      ¥244,400     ●雨戸錠加算額 / ＿＿              ＿＿                ＿＿         ＿＿            ＿＿            ＿＿ / ●上錠が高いところや手のとどかないところに付く場合は、 / ¥251,700        ¥264,400          ¥253,100   ¥265,800      ¥256,300      ¥269,000 / ¥266,600        ¥280,000          ¥268,000   ¥281,400      ¥271,200      ¥284,600      上錠（長） / タイプをお使いください。 / ＿＿              ＿＿                ＿＿         ＿＿            ＿＿            ＿＿       ●ルーバー雨戸は、雨戸H≦1,065mmの場合、中桟と干渉 / ¥33,500          ¥35,200          ¥33,500    ¥35,200       ¥33,500       ¥35,200      するため上錠（長）は取付けできません。 / ¥26,700          ¥27,900          ¥26,700    ¥27,900       ¥26,700       ¥27,900      種類  上錠（短） / タイプ 上錠（長）タイプ 雨戸錠の取付位置 / ¥11,000          ¥11,600          ¥11,000    ¥11,600       ¥11,000       ¥11,600       価格                      ¥1,600           ¥2,100            上        ▲ / 戸</t>
        </is>
      </c>
      <c r="J151" t="inlineStr">
        <is>
          <t>202604_LIXIL_サーモスＬ_業務用資料集_完成品価格表.pdf</t>
        </is>
      </c>
      <c r="K151" t="inlineStr">
        <is>
          <t>https://drive.google.com/file/d/1YUN-mtWYs48YBUHJk0C3vJXnhjyZFHyf/view</t>
        </is>
      </c>
    </row>
    <row r="152">
      <c r="A152" s="42" t="inlineStr">
        <is>
          <t>GLG-SL-0149</t>
        </is>
      </c>
      <c r="B152" t="n">
        <v>79</v>
      </c>
      <c r="C152" t="inlineStr">
        <is>
          <t>★</t>
        </is>
      </c>
      <c r="D152" t="inlineStr">
        <is>
          <t>P79|★</t>
        </is>
      </c>
      <c r="E152" t="inlineStr">
        <is>
          <t>透明</t>
        </is>
      </c>
      <c r="F152" t="inlineStr">
        <is>
          <t>S-3（160）等級/S-2（120）等級</t>
        </is>
      </c>
      <c r="G152" t="inlineStr">
        <is>
          <t>原本凡例保持・列位置は原本参照</t>
        </is>
      </c>
      <c r="H152" t="b">
        <v>1</v>
      </c>
      <c r="I152" t="inlineStr">
        <is>
          <t>¥32,400          ¥34,000          ¥32,400    ¥34,000       ¥32,400       ¥34,000     価格表は以下の条件で算出しています。                                            ●アシスト把手加算額 / ¥25,600          ¥26,900          ¥25,600    ¥26,900       ¥25,600       ¥26,900                                     透明                                2枚建 / ¥10,600          ¥11,100          ¥10,600    ¥11,100       ¥10,600       ¥11,100                           S-3（160）等級 S-2（120）等級                      +¥25,900 / ¥15,900          ¥16,700          ¥15,900    ¥16,700       ¥15,900       ¥16,700          無印                   3-A-3 / ¥23,800          ¥25,100          ¥23,800    ¥25,100       ¥23,800       ¥25,100                                          3-A-3 / ▲ / ※1 / 3-A-3 / ★17420                           ★17620                   ★18020                                                   （大壁和室障子） / ［17120］                          ［17320］                  ［17720］                        △※2 / 3-A-3 / 3-A-3 / ¥126,600        ¥139,300          ¥126,600   ¥139,300      ¥126,600      ¥139,300                           （把手障子） / ¥142,500        ¥155,900          ¥142,500   ¥155,900      ¥142,500      ¥155,900            ★                             3-A-3 / ＿＿              ＿＿                ＿＿         ＿＿            ＿＿            ＿＿       ※1 大壁和室障子のみS-2（120）等級となります。 / ¥212,700        ¥225,400          ¥213,700   ¥226,400      ¥215,700      ¥228,400     ※2 把手障子のみS-3（160）等級となります。 / ¥228,000        ¥241,400          ¥229,000   ¥242,400      ¥231,000      ¥244,400     ●雨戸錠加算額 / ＿＿              ＿＿                ＿＿         ＿＿            ＿＿            ＿＿ / ●上錠が高いところや手のとどかないところに付く場合は、 / ¥251,700        ¥264,400          ¥253,100   ¥265,800      ¥256,300      ¥269,000 / ¥266,600        ¥280,000          ¥268,000   ¥281,400      ¥271,200      ¥284,600      上錠（長） / タイプをお使いください。 / ＿＿              ＿＿                ＿＿         ＿＿            ＿＿            ＿＿       ●ルーバー雨戸は、雨戸H≦1,065mmの場合、中桟と干渉 / ¥33,500          ¥35,200          ¥33,500    ¥35,200       ¥33,500       ¥35,200      するため上錠（長）は取付けできません。 / ¥26,700          ¥27,900          ¥26,700    ¥27,900       ¥26,700       ¥27,900      種類  上錠（短） / タイプ 上錠（長）タイプ 雨戸錠の取付位置 / ¥11,000          ¥11,600          ¥11,000    ¥11,600       ¥11,000       ¥11,600       価格                      ¥1,600           ¥2,100            上        ▲ / 戸</t>
        </is>
      </c>
      <c r="J152" t="inlineStr">
        <is>
          <t>202604_LIXIL_サーモスＬ_業務用資料集_完成品価格表.pdf</t>
        </is>
      </c>
      <c r="K152" t="inlineStr">
        <is>
          <t>https://drive.google.com/file/d/1YUN-mtWYs48YBUHJk0C3vJXnhjyZFHyf/view</t>
        </is>
      </c>
    </row>
    <row r="153">
      <c r="A153" s="42" t="inlineStr">
        <is>
          <t>GLG-SL-0150</t>
        </is>
      </c>
      <c r="B153" t="n">
        <v>79</v>
      </c>
      <c r="C153" t="inlineStr">
        <is>
          <t>●</t>
        </is>
      </c>
      <c r="D153" t="inlineStr">
        <is>
          <t>P79|●</t>
        </is>
      </c>
      <c r="E153" t="inlineStr">
        <is>
          <t>透明</t>
        </is>
      </c>
      <c r="F153" t="inlineStr">
        <is>
          <t>S-3（160）等級/S-2（120）等級</t>
        </is>
      </c>
      <c r="G153" t="inlineStr">
        <is>
          <t>原本凡例保持・列位置は原本参照</t>
        </is>
      </c>
      <c r="H153" t="b">
        <v>1</v>
      </c>
      <c r="I153" t="inlineStr">
        <is>
          <t>¥32,400          ¥34,000          ¥32,400    ¥34,000       ¥32,400       ¥34,000     価格表は以下の条件で算出しています。                                            ●アシスト把手加算額 / ¥25,600          ¥26,900          ¥25,600    ¥26,900       ¥25,600       ¥26,900                                     透明                                2枚建 / ¥10,600          ¥11,100          ¥10,600    ¥11,100       ¥10,600       ¥11,100                           S-3（160）等級 S-2（120）等級                      +¥25,900 / ¥15,900          ¥16,700          ¥15,900    ¥16,700       ¥15,900       ¥16,700          無印                   3-A-3 / ¥23,800          ¥25,100          ¥23,800    ¥25,100       ¥23,800       ¥25,100                                          3-A-3 / ▲ / ※1 / 3-A-3 / ★17420                           ★17620                   ★18020                                                   （大壁和室障子） / ［17120］                          ［17320］                  ［17720］                        △※2 / 3-A-3 / 3-A-3 / ¥126,600        ¥139,300          ¥126,600   ¥139,300      ¥126,600      ¥139,300                           （把手障子） / ¥142,500        ¥155,900          ¥142,500   ¥155,900      ¥142,500      ¥155,900            ★                             3-A-3 / ＿＿              ＿＿                ＿＿         ＿＿            ＿＿            ＿＿       ※1 大壁和室障子のみS-2（120）等級となります。 / ¥212,700        ¥225,400          ¥213,700   ¥226,400      ¥215,700      ¥228,400     ※2 把手障子のみS-3（160）等級となります。 / ¥228,000        ¥241,400          ¥229,000   ¥242,400      ¥231,000      ¥244,400     ●雨戸錠加算額 / ＿＿              ＿＿                ＿＿         ＿＿            ＿＿            ＿＿ / ●上錠が高いところや手のとどかないところに付く場合は、 / ¥251,700        ¥264,400          ¥253,100   ¥265,800      ¥256,300      ¥269,000 / ¥266,600        ¥280,000          ¥268,000   ¥281,400      ¥271,200      ¥284,600      上錠（長） / タイプをお使いください。 / ＿＿              ＿＿                ＿＿         ＿＿            ＿＿            ＿＿       ●ルーバー雨戸は、雨戸H≦1,065mmの場合、中桟と干渉 / ¥33,500          ¥35,200          ¥33,500    ¥35,200       ¥33,500       ¥35,200      するため上錠（長）は取付けできません。 / ¥26,700          ¥27,900          ¥26,700    ¥27,900       ¥26,700       ¥27,900      種類  上錠（短） / タイプ 上錠（長）タイプ 雨戸錠の取付位置 / ¥11,000          ¥11,600          ¥11,000    ¥11,600       ¥11,000       ¥11,600       価格                      ¥1,600           ¥2,100            上        ▲ / 戸</t>
        </is>
      </c>
      <c r="J153" t="inlineStr">
        <is>
          <t>202604_LIXIL_サーモスＬ_業務用資料集_完成品価格表.pdf</t>
        </is>
      </c>
      <c r="K153" t="inlineStr">
        <is>
          <t>https://drive.google.com/file/d/1YUN-mtWYs48YBUHJk0C3vJXnhjyZFHyf/view</t>
        </is>
      </c>
    </row>
    <row r="154">
      <c r="A154" s="42" t="inlineStr">
        <is>
          <t>GLG-SL-0151</t>
        </is>
      </c>
      <c r="B154" t="n">
        <v>79</v>
      </c>
      <c r="C154" t="inlineStr">
        <is>
          <t>△</t>
        </is>
      </c>
      <c r="D154" t="inlineStr">
        <is>
          <t>P79|△</t>
        </is>
      </c>
      <c r="E154" t="inlineStr">
        <is>
          <t>透明</t>
        </is>
      </c>
      <c r="F154" t="inlineStr">
        <is>
          <t>S-3（160）等級/S-2（120）等級</t>
        </is>
      </c>
      <c r="G154" t="inlineStr">
        <is>
          <t>原本凡例保持・列位置は原本参照</t>
        </is>
      </c>
      <c r="H154" t="b">
        <v>1</v>
      </c>
      <c r="I154" t="inlineStr">
        <is>
          <t>¥32,400          ¥34,000          ¥32,400    ¥34,000       ¥32,400       ¥34,000     価格表は以下の条件で算出しています。                                            ●アシスト把手加算額 / ¥25,600          ¥26,900          ¥25,600    ¥26,900       ¥25,600       ¥26,900                                     透明                                2枚建 / ¥10,600          ¥11,100          ¥10,600    ¥11,100       ¥10,600       ¥11,100                           S-3（160）等級 S-2（120）等級                      +¥25,900 / ¥15,900          ¥16,700          ¥15,900    ¥16,700       ¥15,900       ¥16,700          無印                   3-A-3 / ¥23,800          ¥25,100          ¥23,800    ¥25,100       ¥23,800       ¥25,100                                          3-A-3 / ▲ / ※1 / 3-A-3 / ★17420                           ★17620                   ★18020                                                   （大壁和室障子） / ［17120］                          ［17320］                  ［17720］                        △※2 / 3-A-3 / 3-A-3 / ¥126,600        ¥139,300          ¥126,600   ¥139,300      ¥126,600      ¥139,300                           （把手障子） / ¥142,500        ¥155,900          ¥142,500   ¥155,900      ¥142,500      ¥155,900            ★                             3-A-3 / ＿＿              ＿＿                ＿＿         ＿＿            ＿＿            ＿＿       ※1 大壁和室障子のみS-2（120）等級となります。 / ¥212,700        ¥225,400          ¥213,700   ¥226,400      ¥215,700      ¥228,400     ※2 把手障子のみS-3（160）等級となります。 / ¥228,000        ¥241,400          ¥229,000   ¥242,400      ¥231,000      ¥244,400     ●雨戸錠加算額 / ＿＿              ＿＿                ＿＿         ＿＿            ＿＿            ＿＿ / ●上錠が高いところや手のとどかないところに付く場合は、 / ¥251,700        ¥264,400          ¥253,100   ¥265,800      ¥256,300      ¥269,000 / ¥266,600        ¥280,000          ¥268,000   ¥281,400      ¥271,200      ¥284,600      上錠（長） / タイプをお使いください。 / ＿＿              ＿＿                ＿＿         ＿＿            ＿＿            ＿＿       ●ルーバー雨戸は、雨戸H≦1,065mmの場合、中桟と干渉 / ¥33,500          ¥35,200          ¥33,500    ¥35,200       ¥33,500       ¥35,200      するため上錠（長）は取付けできません。 / ¥26,700          ¥27,900          ¥26,700    ¥27,900       ¥26,700       ¥27,900      種類  上錠（短） / タイプ 上錠（長）タイプ 雨戸錠の取付位置 / ¥11,000          ¥11,600          ¥11,000    ¥11,600       ¥11,000       ¥11,600       価格                      ¥1,600           ¥2,100            上        ▲ / 戸</t>
        </is>
      </c>
      <c r="J154" t="inlineStr">
        <is>
          <t>202604_LIXIL_サーモスＬ_業務用資料集_完成品価格表.pdf</t>
        </is>
      </c>
      <c r="K154" t="inlineStr">
        <is>
          <t>https://drive.google.com/file/d/1YUN-mtWYs48YBUHJk0C3vJXnhjyZFHyf/view</t>
        </is>
      </c>
    </row>
    <row r="155">
      <c r="A155" s="42" t="inlineStr">
        <is>
          <t>GLG-SL-0152</t>
        </is>
      </c>
      <c r="B155" t="n">
        <v>79</v>
      </c>
      <c r="C155" t="inlineStr">
        <is>
          <t>▲</t>
        </is>
      </c>
      <c r="D155" t="inlineStr">
        <is>
          <t>P79|▲</t>
        </is>
      </c>
      <c r="E155" t="inlineStr">
        <is>
          <t>透明</t>
        </is>
      </c>
      <c r="F155" t="inlineStr">
        <is>
          <t>S-3（160）等級/S-2（120）等級</t>
        </is>
      </c>
      <c r="G155" t="inlineStr">
        <is>
          <t>原本凡例保持・列位置は原本参照</t>
        </is>
      </c>
      <c r="H155" t="b">
        <v>1</v>
      </c>
      <c r="I155" t="inlineStr">
        <is>
          <t>¥32,400          ¥34,000          ¥32,400    ¥34,000       ¥32,400       ¥34,000     価格表は以下の条件で算出しています。                                            ●アシスト把手加算額 / ¥25,600          ¥26,900          ¥25,600    ¥26,900       ¥25,600       ¥26,900                                     透明                                2枚建 / ¥10,600          ¥11,100          ¥10,600    ¥11,100       ¥10,600       ¥11,100                           S-3（160）等級 S-2（120）等級                      +¥25,900 / ¥15,900          ¥16,700          ¥15,900    ¥16,700       ¥15,900       ¥16,700          無印                   3-A-3 / ¥23,800          ¥25,100          ¥23,800    ¥25,100       ¥23,800       ¥25,100                                          3-A-3 / ▲ / ※1 / 3-A-3 / ★17420                           ★17620                   ★18020                                                   （大壁和室障子） / ［17120］                          ［17320］                  ［17720］                        △※2 / 3-A-3 / 3-A-3 / ¥126,600        ¥139,300          ¥126,600   ¥139,300      ¥126,600      ¥139,300                           （把手障子） / ¥142,500        ¥155,900          ¥142,500   ¥155,900      ¥142,500      ¥155,900            ★                             3-A-3 / ＿＿              ＿＿                ＿＿         ＿＿            ＿＿            ＿＿       ※1 大壁和室障子のみS-2（120）等級となります。 / ¥212,700        ¥225,400          ¥213,700   ¥226,400      ¥215,700      ¥228,400     ※2 把手障子のみS-3（160）等級となります。 / ¥228,000        ¥241,400          ¥229,000   ¥242,400      ¥231,000      ¥244,400     ●雨戸錠加算額 / ＿＿              ＿＿                ＿＿         ＿＿            ＿＿            ＿＿ / ●上錠が高いところや手のとどかないところに付く場合は、 / ¥251,700        ¥264,400          ¥253,100   ¥265,800      ¥256,300      ¥269,000 / ¥266,600        ¥280,000          ¥268,000   ¥281,400      ¥271,200      ¥284,600      上錠（長） / タイプをお使いください。 / ＿＿              ＿＿                ＿＿         ＿＿            ＿＿            ＿＿       ●ルーバー雨戸は、雨戸H≦1,065mmの場合、中桟と干渉 / ¥33,500          ¥35,200          ¥33,500    ¥35,200       ¥33,500       ¥35,200      するため上錠（長）は取付けできません。 / ¥26,700          ¥27,900          ¥26,700    ¥27,900       ¥26,700       ¥27,900      種類  上錠（短） / タイプ 上錠（長）タイプ 雨戸錠の取付位置 / ¥11,000          ¥11,600          ¥11,000    ¥11,600       ¥11,000       ¥11,600       価格                      ¥1,600           ¥2,100            上        ▲ / 戸</t>
        </is>
      </c>
      <c r="J155" t="inlineStr">
        <is>
          <t>202604_LIXIL_サーモスＬ_業務用資料集_完成品価格表.pdf</t>
        </is>
      </c>
      <c r="K155" t="inlineStr">
        <is>
          <t>https://drive.google.com/file/d/1YUN-mtWYs48YBUHJk0C3vJXnhjyZFHyf/view</t>
        </is>
      </c>
    </row>
    <row r="156">
      <c r="A156" s="42" t="inlineStr">
        <is>
          <t>GLG-SL-0153</t>
        </is>
      </c>
      <c r="B156" t="n">
        <v>81</v>
      </c>
      <c r="C156" t="inlineStr">
        <is>
          <t>無印</t>
        </is>
      </c>
      <c r="D156" t="inlineStr">
        <is>
          <t>P81|無印</t>
        </is>
      </c>
      <c r="E156" t="inlineStr">
        <is>
          <t>透明</t>
        </is>
      </c>
      <c r="F156" t="inlineStr">
        <is>
          <t>S-3（160）等級/S-2（120）等級</t>
        </is>
      </c>
      <c r="G156" t="inlineStr">
        <is>
          <t>原本凡例保持・列位置は原本参照</t>
        </is>
      </c>
      <c r="H156" t="b">
        <v>1</v>
      </c>
      <c r="I156" t="inlineStr">
        <is>
          <t>価格表は以下の条件で算出しています。                                          ●アシスト把手加算額 / ¥43,500    ¥45,700     ¥48,100    ¥50,600 / 透明                              2枚建      4枚建 / 25620-4                ★34720 / S-3（160）等級 S-2（120）等級 / ［25320-4］               ［34420］ / +¥25,900 +¥51,700 / ¥191,100   ¥210,200    ¥225,300   ¥247,900        無印                3-A-3 / ¥223,000   ¥243,500    ¥258,600   ¥282,700         ★                           3-A-3 / ＿＿         ＿＿          ＿＿         ＿＿           ☆                           3-A-4 / ¥311,600   ¥330,700    ¥389,000   ¥411,600         ◆                           4-A-4 / ¥342,700 / ＿＿ / ¥363,200 / ＿＿ / ¥421,900 / ＿＿ / ¥446,000 / ＿＿ / ●雨戸錠加算額 / ¥367,600   ¥386,700    ¥465,800   ¥488,400   ●上錠が高いところや手のとどかないところに付く場合は、 雨戸錠の取付位置 / ¥398,300   ¥418,800    ¥498,300   ¥522,400    上錠（長） / タイプをお使いください。             上 ▲ / 戸 / ＿＿         ＿＿          ＿＿         ＿＿     ●ルーバー雨戸は、雨戸H≦1,065mmの場合、中桟と干渉 / 下   袋 / するため上錠（長）は取付けできません。</t>
        </is>
      </c>
      <c r="J156" t="inlineStr">
        <is>
          <t>202604_LIXIL_サーモスＬ_業務用資料集_完成品価格表.pdf</t>
        </is>
      </c>
      <c r="K156" t="inlineStr">
        <is>
          <t>https://drive.google.com/file/d/1YUN-mtWYs48YBUHJk0C3vJXnhjyZFHyf/view</t>
        </is>
      </c>
    </row>
    <row r="157">
      <c r="A157" s="42" t="inlineStr">
        <is>
          <t>GLG-SL-0154</t>
        </is>
      </c>
      <c r="B157" t="n">
        <v>81</v>
      </c>
      <c r="C157" t="inlineStr">
        <is>
          <t>★</t>
        </is>
      </c>
      <c r="D157" t="inlineStr">
        <is>
          <t>P81|★</t>
        </is>
      </c>
      <c r="E157" t="inlineStr">
        <is>
          <t>透明</t>
        </is>
      </c>
      <c r="F157" t="inlineStr">
        <is>
          <t>S-3（160）等級/S-2（120）等級</t>
        </is>
      </c>
      <c r="G157" t="inlineStr">
        <is>
          <t>原本凡例保持・列位置は原本参照</t>
        </is>
      </c>
      <c r="H157" t="b">
        <v>1</v>
      </c>
      <c r="I157" t="inlineStr">
        <is>
          <t>価格表は以下の条件で算出しています。                                          ●アシスト把手加算額 / ¥43,500    ¥45,700     ¥48,100    ¥50,600 / 透明                              2枚建      4枚建 / 25620-4                ★34720 / S-3（160）等級 S-2（120）等級 / ［25320-4］               ［34420］ / +¥25,900 +¥51,700 / ¥191,100   ¥210,200    ¥225,300   ¥247,900        無印                3-A-3 / ¥223,000   ¥243,500    ¥258,600   ¥282,700         ★                           3-A-3 / ＿＿         ＿＿          ＿＿         ＿＿           ☆                           3-A-4 / ¥311,600   ¥330,700    ¥389,000   ¥411,600         ◆                           4-A-4 / ¥342,700 / ＿＿ / ¥363,200 / ＿＿ / ¥421,900 / ＿＿ / ¥446,000 / ＿＿ / ●雨戸錠加算額 / ¥367,600   ¥386,700    ¥465,800   ¥488,400   ●上錠が高いところや手のとどかないところに付く場合は、 雨戸錠の取付位置 / ¥398,300   ¥418,800    ¥498,300   ¥522,400    上錠（長） / タイプをお使いください。             上 ▲ / 戸 / ＿＿         ＿＿          ＿＿         ＿＿     ●ルーバー雨戸は、雨戸H≦1,065mmの場合、中桟と干渉 / 下   袋 / するため上錠（長）は取付けできません。</t>
        </is>
      </c>
      <c r="J157" t="inlineStr">
        <is>
          <t>202604_LIXIL_サーモスＬ_業務用資料集_完成品価格表.pdf</t>
        </is>
      </c>
      <c r="K157" t="inlineStr">
        <is>
          <t>https://drive.google.com/file/d/1YUN-mtWYs48YBUHJk0C3vJXnhjyZFHyf/view</t>
        </is>
      </c>
    </row>
    <row r="158">
      <c r="A158" s="42" t="inlineStr">
        <is>
          <t>GLG-SL-0155</t>
        </is>
      </c>
      <c r="B158" t="n">
        <v>81</v>
      </c>
      <c r="C158" t="inlineStr">
        <is>
          <t>☆</t>
        </is>
      </c>
      <c r="D158" t="inlineStr">
        <is>
          <t>P81|☆</t>
        </is>
      </c>
      <c r="E158" t="inlineStr">
        <is>
          <t>透明</t>
        </is>
      </c>
      <c r="F158" t="inlineStr">
        <is>
          <t>S-3（160）等級/S-2（120）等級</t>
        </is>
      </c>
      <c r="G158" t="inlineStr">
        <is>
          <t>原本凡例保持・列位置は原本参照</t>
        </is>
      </c>
      <c r="H158" t="b">
        <v>1</v>
      </c>
      <c r="I158" t="inlineStr">
        <is>
          <t>価格表は以下の条件で算出しています。                                          ●アシスト把手加算額 / ¥43,500    ¥45,700     ¥48,100    ¥50,600 / 透明                              2枚建      4枚建 / 25620-4                ★34720 / S-3（160）等級 S-2（120）等級 / ［25320-4］               ［34420］ / +¥25,900 +¥51,700 / ¥191,100   ¥210,200    ¥225,300   ¥247,900        無印                3-A-3 / ¥223,000   ¥243,500    ¥258,600   ¥282,700         ★                           3-A-3 / ＿＿         ＿＿          ＿＿         ＿＿           ☆                           3-A-4 / ¥311,600   ¥330,700    ¥389,000   ¥411,600         ◆                           4-A-4 / ¥342,700 / ＿＿ / ¥363,200 / ＿＿ / ¥421,900 / ＿＿ / ¥446,000 / ＿＿ / ●雨戸錠加算額 / ¥367,600   ¥386,700    ¥465,800   ¥488,400   ●上錠が高いところや手のとどかないところに付く場合は、 雨戸錠の取付位置 / ¥398,300   ¥418,800    ¥498,300   ¥522,400    上錠（長） / タイプをお使いください。             上 ▲ / 戸 / ＿＿         ＿＿          ＿＿         ＿＿     ●ルーバー雨戸は、雨戸H≦1,065mmの場合、中桟と干渉 / 下   袋 / するため上錠（長）は取付けできません。</t>
        </is>
      </c>
      <c r="J158" t="inlineStr">
        <is>
          <t>202604_LIXIL_サーモスＬ_業務用資料集_完成品価格表.pdf</t>
        </is>
      </c>
      <c r="K158" t="inlineStr">
        <is>
          <t>https://drive.google.com/file/d/1YUN-mtWYs48YBUHJk0C3vJXnhjyZFHyf/view</t>
        </is>
      </c>
    </row>
    <row r="159">
      <c r="A159" s="42" t="inlineStr">
        <is>
          <t>GLG-SL-0156</t>
        </is>
      </c>
      <c r="B159" t="n">
        <v>81</v>
      </c>
      <c r="C159" t="inlineStr">
        <is>
          <t>●</t>
        </is>
      </c>
      <c r="D159" t="inlineStr">
        <is>
          <t>P81|●</t>
        </is>
      </c>
      <c r="E159" t="inlineStr">
        <is>
          <t>透明</t>
        </is>
      </c>
      <c r="F159" t="inlineStr">
        <is>
          <t>S-3（160）等級/S-2（120）等級</t>
        </is>
      </c>
      <c r="G159" t="inlineStr">
        <is>
          <t>原本凡例保持・列位置は原本参照</t>
        </is>
      </c>
      <c r="H159" t="b">
        <v>1</v>
      </c>
      <c r="I159" t="inlineStr">
        <is>
          <t>価格表は以下の条件で算出しています。                                          ●アシスト把手加算額 / ¥43,500    ¥45,700     ¥48,100    ¥50,600 / 透明                              2枚建      4枚建 / 25620-4                ★34720 / S-3（160）等級 S-2（120）等級 / ［25320-4］               ［34420］ / +¥25,900 +¥51,700 / ¥191,100   ¥210,200    ¥225,300   ¥247,900        無印                3-A-3 / ¥223,000   ¥243,500    ¥258,600   ¥282,700         ★                           3-A-3 / ＿＿         ＿＿          ＿＿         ＿＿           ☆                           3-A-4 / ¥311,600   ¥330,700    ¥389,000   ¥411,600         ◆                           4-A-4 / ¥342,700 / ＿＿ / ¥363,200 / ＿＿ / ¥421,900 / ＿＿ / ¥446,000 / ＿＿ / ●雨戸錠加算額 / ¥367,600   ¥386,700    ¥465,800   ¥488,400   ●上錠が高いところや手のとどかないところに付く場合は、 雨戸錠の取付位置 / ¥398,300   ¥418,800    ¥498,300   ¥522,400    上錠（長） / タイプをお使いください。             上 ▲ / 戸 / ＿＿         ＿＿          ＿＿         ＿＿     ●ルーバー雨戸は、雨戸H≦1,065mmの場合、中桟と干渉 / 下   袋 / するため上錠（長）は取付けできません。</t>
        </is>
      </c>
      <c r="J159" t="inlineStr">
        <is>
          <t>202604_LIXIL_サーモスＬ_業務用資料集_完成品価格表.pdf</t>
        </is>
      </c>
      <c r="K159" t="inlineStr">
        <is>
          <t>https://drive.google.com/file/d/1YUN-mtWYs48YBUHJk0C3vJXnhjyZFHyf/view</t>
        </is>
      </c>
    </row>
    <row r="160">
      <c r="A160" s="42" t="inlineStr">
        <is>
          <t>GLG-SL-0157</t>
        </is>
      </c>
      <c r="B160" t="n">
        <v>81</v>
      </c>
      <c r="C160" t="inlineStr">
        <is>
          <t>◆</t>
        </is>
      </c>
      <c r="D160" t="inlineStr">
        <is>
          <t>P81|◆</t>
        </is>
      </c>
      <c r="E160" t="inlineStr">
        <is>
          <t>透明</t>
        </is>
      </c>
      <c r="F160" t="inlineStr">
        <is>
          <t>S-3（160）等級/S-2（120）等級</t>
        </is>
      </c>
      <c r="G160" t="inlineStr">
        <is>
          <t>原本凡例保持・列位置は原本参照</t>
        </is>
      </c>
      <c r="H160" t="b">
        <v>1</v>
      </c>
      <c r="I160" t="inlineStr">
        <is>
          <t>価格表は以下の条件で算出しています。                                          ●アシスト把手加算額 / ¥43,500    ¥45,700     ¥48,100    ¥50,600 / 透明                              2枚建      4枚建 / 25620-4                ★34720 / S-3（160）等級 S-2（120）等級 / ［25320-4］               ［34420］ / +¥25,900 +¥51,700 / ¥191,100   ¥210,200    ¥225,300   ¥247,900        無印                3-A-3 / ¥223,000   ¥243,500    ¥258,600   ¥282,700         ★                           3-A-3 / ＿＿         ＿＿          ＿＿         ＿＿           ☆                           3-A-4 / ¥311,600   ¥330,700    ¥389,000   ¥411,600         ◆                           4-A-4 / ¥342,700 / ＿＿ / ¥363,200 / ＿＿ / ¥421,900 / ＿＿ / ¥446,000 / ＿＿ / ●雨戸錠加算額 / ¥367,600   ¥386,700    ¥465,800   ¥488,400   ●上錠が高いところや手のとどかないところに付く場合は、 雨戸錠の取付位置 / ¥398,300   ¥418,800    ¥498,300   ¥522,400    上錠（長） / タイプをお使いください。             上 ▲ / 戸 / ＿＿         ＿＿          ＿＿         ＿＿     ●ルーバー雨戸は、雨戸H≦1,065mmの場合、中桟と干渉 / 下   袋 / するため上錠（長）は取付けできません。</t>
        </is>
      </c>
      <c r="J160" t="inlineStr">
        <is>
          <t>202604_LIXIL_サーモスＬ_業務用資料集_完成品価格表.pdf</t>
        </is>
      </c>
      <c r="K160" t="inlineStr">
        <is>
          <t>https://drive.google.com/file/d/1YUN-mtWYs48YBUHJk0C3vJXnhjyZFHyf/view</t>
        </is>
      </c>
    </row>
    <row r="161">
      <c r="A161" s="42" t="inlineStr">
        <is>
          <t>GLG-SL-0158</t>
        </is>
      </c>
      <c r="B161" t="n">
        <v>81</v>
      </c>
      <c r="C161" t="inlineStr">
        <is>
          <t>▲</t>
        </is>
      </c>
      <c r="D161" t="inlineStr">
        <is>
          <t>P81|▲</t>
        </is>
      </c>
      <c r="E161" t="inlineStr">
        <is>
          <t>透明</t>
        </is>
      </c>
      <c r="F161" t="inlineStr">
        <is>
          <t>S-3（160）等級/S-2（120）等級</t>
        </is>
      </c>
      <c r="G161" t="inlineStr">
        <is>
          <t>原本凡例保持・列位置は原本参照</t>
        </is>
      </c>
      <c r="H161" t="b">
        <v>1</v>
      </c>
      <c r="I161" t="inlineStr">
        <is>
          <t>価格表は以下の条件で算出しています。                                          ●アシスト把手加算額 / ¥43,500    ¥45,700     ¥48,100    ¥50,600 / 透明                              2枚建      4枚建 / 25620-4                ★34720 / S-3（160）等級 S-2（120）等級 / ［25320-4］               ［34420］ / +¥25,900 +¥51,700 / ¥191,100   ¥210,200    ¥225,300   ¥247,900        無印                3-A-3 / ¥223,000   ¥243,500    ¥258,600   ¥282,700         ★                           3-A-3 / ＿＿         ＿＿          ＿＿         ＿＿           ☆                           3-A-4 / ¥311,600   ¥330,700    ¥389,000   ¥411,600         ◆                           4-A-4 / ¥342,700 / ＿＿ / ¥363,200 / ＿＿ / ¥421,900 / ＿＿ / ¥446,000 / ＿＿ / ●雨戸錠加算額 / ¥367,600   ¥386,700    ¥465,800   ¥488,400   ●上錠が高いところや手のとどかないところに付く場合は、 雨戸錠の取付位置 / ¥398,300   ¥418,800    ¥498,300   ¥522,400    上錠（長） / タイプをお使いください。             上 ▲ / 戸 / ＿＿         ＿＿          ＿＿         ＿＿     ●ルーバー雨戸は、雨戸H≦1,065mmの場合、中桟と干渉 / 下   袋 / するため上錠（長）は取付けできません。</t>
        </is>
      </c>
      <c r="J161" t="inlineStr">
        <is>
          <t>202604_LIXIL_サーモスＬ_業務用資料集_完成品価格表.pdf</t>
        </is>
      </c>
      <c r="K161" t="inlineStr">
        <is>
          <t>https://drive.google.com/file/d/1YUN-mtWYs48YBUHJk0C3vJXnhjyZFHyf/view</t>
        </is>
      </c>
    </row>
    <row r="162">
      <c r="A162" s="42" t="inlineStr">
        <is>
          <t>GLG-SL-0159</t>
        </is>
      </c>
      <c r="B162" t="n">
        <v>82</v>
      </c>
      <c r="C162" t="inlineStr">
        <is>
          <t>無印</t>
        </is>
      </c>
      <c r="D162" t="inlineStr">
        <is>
          <t>P82|無印</t>
        </is>
      </c>
      <c r="E162" t="inlineStr">
        <is>
          <t>透明</t>
        </is>
      </c>
      <c r="F162" t="inlineStr">
        <is>
          <t>S-2（120）等級</t>
        </is>
      </c>
      <c r="G162" t="inlineStr">
        <is>
          <t>原本凡例保持・列位置は原本参照</t>
        </is>
      </c>
      <c r="H162" t="b">
        <v>1</v>
      </c>
      <c r="I162" t="inlineStr">
        <is>
          <t>価格表は以下の条件で算出しています。 ●アシスト把手加算額 / 透明                   2枚建 / S-2（120）等級              +¥25,900 / ★                       3-A-3</t>
        </is>
      </c>
      <c r="J162" t="inlineStr">
        <is>
          <t>202604_LIXIL_サーモスＬ_業務用資料集_完成品価格表.pdf</t>
        </is>
      </c>
      <c r="K162" t="inlineStr">
        <is>
          <t>https://drive.google.com/file/d/1YUN-mtWYs48YBUHJk0C3vJXnhjyZFHyf/view</t>
        </is>
      </c>
    </row>
    <row r="163">
      <c r="A163" s="42" t="inlineStr">
        <is>
          <t>GLG-SL-0160</t>
        </is>
      </c>
      <c r="B163" t="n">
        <v>82</v>
      </c>
      <c r="C163" t="inlineStr">
        <is>
          <t>★</t>
        </is>
      </c>
      <c r="D163" t="inlineStr">
        <is>
          <t>P82|★</t>
        </is>
      </c>
      <c r="E163" t="inlineStr">
        <is>
          <t>透明</t>
        </is>
      </c>
      <c r="F163" t="inlineStr">
        <is>
          <t>S-2（120）等級</t>
        </is>
      </c>
      <c r="G163" t="inlineStr">
        <is>
          <t>原本凡例保持・列位置は原本参照</t>
        </is>
      </c>
      <c r="H163" t="b">
        <v>1</v>
      </c>
      <c r="I163" t="inlineStr">
        <is>
          <t>価格表は以下の条件で算出しています。 ●アシスト把手加算額 / 透明                   2枚建 / S-2（120）等級              +¥25,900 / ★                       3-A-3</t>
        </is>
      </c>
      <c r="J163" t="inlineStr">
        <is>
          <t>202604_LIXIL_サーモスＬ_業務用資料集_完成品価格表.pdf</t>
        </is>
      </c>
      <c r="K163" t="inlineStr">
        <is>
          <t>https://drive.google.com/file/d/1YUN-mtWYs48YBUHJk0C3vJXnhjyZFHyf/view</t>
        </is>
      </c>
    </row>
    <row r="164">
      <c r="A164" s="42" t="inlineStr">
        <is>
          <t>GLG-SL-0161</t>
        </is>
      </c>
      <c r="B164" t="n">
        <v>82</v>
      </c>
      <c r="C164" t="inlineStr">
        <is>
          <t>●</t>
        </is>
      </c>
      <c r="D164" t="inlineStr">
        <is>
          <t>P82|●</t>
        </is>
      </c>
      <c r="E164" t="inlineStr">
        <is>
          <t>透明</t>
        </is>
      </c>
      <c r="F164" t="inlineStr">
        <is>
          <t>S-2（120）等級</t>
        </is>
      </c>
      <c r="G164" t="inlineStr">
        <is>
          <t>原本凡例保持・列位置は原本参照</t>
        </is>
      </c>
      <c r="H164" t="b">
        <v>1</v>
      </c>
      <c r="I164" t="inlineStr">
        <is>
          <t>価格表は以下の条件で算出しています。 ●アシスト把手加算額 / 透明                   2枚建 / S-2（120）等級              +¥25,900 / ★                       3-A-3</t>
        </is>
      </c>
      <c r="J164" t="inlineStr">
        <is>
          <t>202604_LIXIL_サーモスＬ_業務用資料集_完成品価格表.pdf</t>
        </is>
      </c>
      <c r="K164" t="inlineStr">
        <is>
          <t>https://drive.google.com/file/d/1YUN-mtWYs48YBUHJk0C3vJXnhjyZFHyf/view</t>
        </is>
      </c>
    </row>
    <row r="165">
      <c r="A165" s="42" t="inlineStr">
        <is>
          <t>GLG-SL-0162</t>
        </is>
      </c>
      <c r="B165" t="n">
        <v>84</v>
      </c>
      <c r="C165" t="inlineStr">
        <is>
          <t>無印</t>
        </is>
      </c>
      <c r="D165" t="inlineStr">
        <is>
          <t>P84|無印</t>
        </is>
      </c>
      <c r="E165" t="inlineStr">
        <is>
          <t>透明</t>
        </is>
      </c>
      <c r="F165" t="inlineStr">
        <is>
          <t>S-2（120）等級</t>
        </is>
      </c>
      <c r="G165" t="inlineStr">
        <is>
          <t>原本凡例保持・列位置は原本参照</t>
        </is>
      </c>
      <c r="H165" t="b">
        <v>1</v>
      </c>
      <c r="I165" t="inlineStr">
        <is>
          <t>価格表は以下の条件で算出しています。 ●アシスト把手加算額 / 透明                  2枚建      4枚建 / S-2（120）等級             +¥25,900 +¥51,700 / ★                       3-A-3 / ◆                       4-A-4</t>
        </is>
      </c>
      <c r="J165" t="inlineStr">
        <is>
          <t>202604_LIXIL_サーモスＬ_業務用資料集_完成品価格表.pdf</t>
        </is>
      </c>
      <c r="K165" t="inlineStr">
        <is>
          <t>https://drive.google.com/file/d/1YUN-mtWYs48YBUHJk0C3vJXnhjyZFHyf/view</t>
        </is>
      </c>
    </row>
    <row r="166">
      <c r="A166" s="42" t="inlineStr">
        <is>
          <t>GLG-SL-0163</t>
        </is>
      </c>
      <c r="B166" t="n">
        <v>84</v>
      </c>
      <c r="C166" t="inlineStr">
        <is>
          <t>★</t>
        </is>
      </c>
      <c r="D166" t="inlineStr">
        <is>
          <t>P84|★</t>
        </is>
      </c>
      <c r="E166" t="inlineStr">
        <is>
          <t>透明</t>
        </is>
      </c>
      <c r="F166" t="inlineStr">
        <is>
          <t>S-2（120）等級</t>
        </is>
      </c>
      <c r="G166" t="inlineStr">
        <is>
          <t>原本凡例保持・列位置は原本参照</t>
        </is>
      </c>
      <c r="H166" t="b">
        <v>1</v>
      </c>
      <c r="I166" t="inlineStr">
        <is>
          <t>価格表は以下の条件で算出しています。 ●アシスト把手加算額 / 透明                  2枚建      4枚建 / S-2（120）等級             +¥25,900 +¥51,700 / ★                       3-A-3 / ◆                       4-A-4</t>
        </is>
      </c>
      <c r="J166" t="inlineStr">
        <is>
          <t>202604_LIXIL_サーモスＬ_業務用資料集_完成品価格表.pdf</t>
        </is>
      </c>
      <c r="K166" t="inlineStr">
        <is>
          <t>https://drive.google.com/file/d/1YUN-mtWYs48YBUHJk0C3vJXnhjyZFHyf/view</t>
        </is>
      </c>
    </row>
    <row r="167">
      <c r="A167" s="42" t="inlineStr">
        <is>
          <t>GLG-SL-0164</t>
        </is>
      </c>
      <c r="B167" t="n">
        <v>84</v>
      </c>
      <c r="C167" t="inlineStr">
        <is>
          <t>●</t>
        </is>
      </c>
      <c r="D167" t="inlineStr">
        <is>
          <t>P84|●</t>
        </is>
      </c>
      <c r="E167" t="inlineStr">
        <is>
          <t>透明</t>
        </is>
      </c>
      <c r="F167" t="inlineStr">
        <is>
          <t>S-2（120）等級</t>
        </is>
      </c>
      <c r="G167" t="inlineStr">
        <is>
          <t>原本凡例保持・列位置は原本参照</t>
        </is>
      </c>
      <c r="H167" t="b">
        <v>1</v>
      </c>
      <c r="I167" t="inlineStr">
        <is>
          <t>価格表は以下の条件で算出しています。 ●アシスト把手加算額 / 透明                  2枚建      4枚建 / S-2（120）等級             +¥25,900 +¥51,700 / ★                       3-A-3 / ◆                       4-A-4</t>
        </is>
      </c>
      <c r="J167" t="inlineStr">
        <is>
          <t>202604_LIXIL_サーモスＬ_業務用資料集_完成品価格表.pdf</t>
        </is>
      </c>
      <c r="K167" t="inlineStr">
        <is>
          <t>https://drive.google.com/file/d/1YUN-mtWYs48YBUHJk0C3vJXnhjyZFHyf/view</t>
        </is>
      </c>
    </row>
    <row r="168">
      <c r="A168" s="42" t="inlineStr">
        <is>
          <t>GLG-SL-0165</t>
        </is>
      </c>
      <c r="B168" t="n">
        <v>84</v>
      </c>
      <c r="C168" t="inlineStr">
        <is>
          <t>◆</t>
        </is>
      </c>
      <c r="D168" t="inlineStr">
        <is>
          <t>P84|◆</t>
        </is>
      </c>
      <c r="E168" t="inlineStr">
        <is>
          <t>透明</t>
        </is>
      </c>
      <c r="F168" t="inlineStr">
        <is>
          <t>S-2（120）等級</t>
        </is>
      </c>
      <c r="G168" t="inlineStr">
        <is>
          <t>原本凡例保持・列位置は原本参照</t>
        </is>
      </c>
      <c r="H168" t="b">
        <v>1</v>
      </c>
      <c r="I168" t="inlineStr">
        <is>
          <t>価格表は以下の条件で算出しています。 ●アシスト把手加算額 / 透明                  2枚建      4枚建 / S-2（120）等級             +¥25,900 +¥51,700 / ★                       3-A-3 / ◆                       4-A-4</t>
        </is>
      </c>
      <c r="J168" t="inlineStr">
        <is>
          <t>202604_LIXIL_サーモスＬ_業務用資料集_完成品価格表.pdf</t>
        </is>
      </c>
      <c r="K168" t="inlineStr">
        <is>
          <t>https://drive.google.com/file/d/1YUN-mtWYs48YBUHJk0C3vJXnhjyZFHyf/view</t>
        </is>
      </c>
    </row>
    <row r="169">
      <c r="A169" s="42" t="inlineStr">
        <is>
          <t>GLG-SL-0166</t>
        </is>
      </c>
      <c r="B169" t="n">
        <v>86</v>
      </c>
      <c r="C169" t="inlineStr">
        <is>
          <t>無印</t>
        </is>
      </c>
      <c r="D169" t="inlineStr">
        <is>
          <t>P86|無印</t>
        </is>
      </c>
      <c r="E169" t="inlineStr">
        <is>
          <t>透明</t>
        </is>
      </c>
      <c r="F169" t="inlineStr">
        <is>
          <t>S-3（160）等級</t>
        </is>
      </c>
      <c r="G169" t="inlineStr">
        <is>
          <t>原本凡例保持・列位置は原本参照</t>
        </is>
      </c>
      <c r="H169" t="b">
        <v>1</v>
      </c>
      <c r="I169" t="inlineStr">
        <is>
          <t>戸袋枠      鏡板（フタ無）          ¥24,800     ¥26,000   価格表は以下の条件で算出しています。 / 鏡板無           ¥10,300     ¥10,900       透明 / 引違い網戸（中桟付）             ¥16,200     ¥17,100   S-3（160）等級 / 引違い網戸（中桟無）             ¥24,700     ¥25,900       3-A-3</t>
        </is>
      </c>
      <c r="J169" t="inlineStr">
        <is>
          <t>202604_LIXIL_サーモスＬ_業務用資料集_完成品価格表.pdf</t>
        </is>
      </c>
      <c r="K169" t="inlineStr">
        <is>
          <t>https://drive.google.com/file/d/1YUN-mtWYs48YBUHJk0C3vJXnhjyZFHyf/view</t>
        </is>
      </c>
    </row>
    <row r="170">
      <c r="A170" s="42" t="inlineStr">
        <is>
          <t>GLG-SL-0167</t>
        </is>
      </c>
      <c r="B170" t="n">
        <v>87</v>
      </c>
      <c r="C170" t="inlineStr">
        <is>
          <t>無印</t>
        </is>
      </c>
      <c r="D170" t="inlineStr">
        <is>
          <t>P87|無印</t>
        </is>
      </c>
      <c r="E170" t="inlineStr">
        <is>
          <t>透明/型</t>
        </is>
      </c>
      <c r="F170" t="inlineStr">
        <is>
          <t>S-2（120）等級</t>
        </is>
      </c>
      <c r="G170" t="inlineStr">
        <is>
          <t>原本凡例保持・列位置は原本参照</t>
        </is>
      </c>
      <c r="H170" t="b">
        <v>1</v>
      </c>
      <c r="I170" t="inlineStr">
        <is>
          <t>価格表は以下の条件で算出しています。 ●アシスト把手加算額                                                                   ルーバーⅠ型 ホワイト（WA）、ブラック（TD）、ブラウン（GH）、シャイングレー（KK）、プラチナホワイト（DD）、ダスクグレー(HD) / 鏡板 アルミヨコリブ ホワイト（WA）、ブラック（TD）、オータムブラウン（GH）、シャイングレー（KK）、ダスクグレー(HD) / 透明                       2枚建 / ロイヤルⅠ型 ブラック（TD）、オータムブラウン（GH）、シャイングレー（KK）、ダスクグレー(HD) / S-2（120）等級                  +¥25,900 / Danパネル ホワイト（WA）、Lブラウン（TC）、シャイングレー（GJ）、シャイングレー（KK）、ダスクグレー(HC) / ★                   3-A-3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0" t="inlineStr">
        <is>
          <t>202604_LIXIL_サーモスＬ_業務用資料集_完成品価格表.pdf</t>
        </is>
      </c>
      <c r="K170" t="inlineStr">
        <is>
          <t>https://drive.google.com/file/d/1YUN-mtWYs48YBUHJk0C3vJXnhjyZFHyf/view</t>
        </is>
      </c>
    </row>
    <row r="171">
      <c r="A171" s="42" t="inlineStr">
        <is>
          <t>GLG-SL-0168</t>
        </is>
      </c>
      <c r="B171" t="n">
        <v>87</v>
      </c>
      <c r="C171" t="inlineStr">
        <is>
          <t>★</t>
        </is>
      </c>
      <c r="D171" t="inlineStr">
        <is>
          <t>P87|★</t>
        </is>
      </c>
      <c r="E171" t="inlineStr">
        <is>
          <t>透明/型</t>
        </is>
      </c>
      <c r="F171" t="inlineStr">
        <is>
          <t>S-2（120）等級</t>
        </is>
      </c>
      <c r="G171" t="inlineStr">
        <is>
          <t>原本凡例保持・列位置は原本参照</t>
        </is>
      </c>
      <c r="H171" t="b">
        <v>1</v>
      </c>
      <c r="I171" t="inlineStr">
        <is>
          <t>価格表は以下の条件で算出しています。 ●アシスト把手加算額                                                                   ルーバーⅠ型 ホワイト（WA）、ブラック（TD）、ブラウン（GH）、シャイングレー（KK）、プラチナホワイト（DD）、ダスクグレー(HD) / 鏡板 アルミヨコリブ ホワイト（WA）、ブラック（TD）、オータムブラウン（GH）、シャイングレー（KK）、ダスクグレー(HD) / 透明                       2枚建 / ロイヤルⅠ型 ブラック（TD）、オータムブラウン（GH）、シャイングレー（KK）、ダスクグレー(HD) / S-2（120）等級                  +¥25,900 / Danパネル ホワイト（WA）、Lブラウン（TC）、シャイングレー（GJ）、シャイングレー（KK）、ダスクグレー(HC) / ★                   3-A-3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1" t="inlineStr">
        <is>
          <t>202604_LIXIL_サーモスＬ_業務用資料集_完成品価格表.pdf</t>
        </is>
      </c>
      <c r="K171" t="inlineStr">
        <is>
          <t>https://drive.google.com/file/d/1YUN-mtWYs48YBUHJk0C3vJXnhjyZFHyf/view</t>
        </is>
      </c>
    </row>
    <row r="172">
      <c r="A172" s="42" t="inlineStr">
        <is>
          <t>GLG-SL-0169</t>
        </is>
      </c>
      <c r="B172" t="n">
        <v>87</v>
      </c>
      <c r="C172" t="inlineStr">
        <is>
          <t>●</t>
        </is>
      </c>
      <c r="D172" t="inlineStr">
        <is>
          <t>P87|●</t>
        </is>
      </c>
      <c r="E172" t="inlineStr">
        <is>
          <t>透明/型</t>
        </is>
      </c>
      <c r="F172" t="inlineStr">
        <is>
          <t>S-2（120）等級</t>
        </is>
      </c>
      <c r="G172" t="inlineStr">
        <is>
          <t>原本凡例保持・列位置は原本参照</t>
        </is>
      </c>
      <c r="H172" t="b">
        <v>1</v>
      </c>
      <c r="I172" t="inlineStr">
        <is>
          <t>価格表は以下の条件で算出しています。 ●アシスト把手加算額                                                                   ルーバーⅠ型 ホワイト（WA）、ブラック（TD）、ブラウン（GH）、シャイングレー（KK）、プラチナホワイト（DD）、ダスクグレー(HD) / 鏡板 アルミヨコリブ ホワイト（WA）、ブラック（TD）、オータムブラウン（GH）、シャイングレー（KK）、ダスクグレー(HD) / 透明                       2枚建 / ロイヤルⅠ型 ブラック（TD）、オータムブラウン（GH）、シャイングレー（KK）、ダスクグレー(HD) / S-2（120）等級                  +¥25,900 / Danパネル ホワイト（WA）、Lブラウン（TC）、シャイングレー（GJ）、シャイングレー（KK）、ダスクグレー(HC) / ★                   3-A-3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2" t="inlineStr">
        <is>
          <t>202604_LIXIL_サーモスＬ_業務用資料集_完成品価格表.pdf</t>
        </is>
      </c>
      <c r="K172" t="inlineStr">
        <is>
          <t>https://drive.google.com/file/d/1YUN-mtWYs48YBUHJk0C3vJXnhjyZFHyf/view</t>
        </is>
      </c>
    </row>
    <row r="173">
      <c r="A173" s="42" t="inlineStr">
        <is>
          <t>GLG-SL-0170</t>
        </is>
      </c>
      <c r="B173" t="n">
        <v>87</v>
      </c>
      <c r="C173" t="inlineStr">
        <is>
          <t>▲</t>
        </is>
      </c>
      <c r="D173" t="inlineStr">
        <is>
          <t>P87|▲</t>
        </is>
      </c>
      <c r="E173" t="inlineStr">
        <is>
          <t>透明/型</t>
        </is>
      </c>
      <c r="F173" t="inlineStr">
        <is>
          <t>S-2（120）等級</t>
        </is>
      </c>
      <c r="G173" t="inlineStr">
        <is>
          <t>原本凡例保持・列位置は原本参照</t>
        </is>
      </c>
      <c r="H173" t="b">
        <v>1</v>
      </c>
      <c r="I173" t="inlineStr">
        <is>
          <t>価格表は以下の条件で算出しています。 ●アシスト把手加算額                                                                   ルーバーⅠ型 ホワイト（WA）、ブラック（TD）、ブラウン（GH）、シャイングレー（KK）、プラチナホワイト（DD）、ダスクグレー(HD) / 鏡板 アルミヨコリブ ホワイト（WA）、ブラック（TD）、オータムブラウン（GH）、シャイングレー（KK）、ダスクグレー(HD) / 透明                       2枚建 / ロイヤルⅠ型 ブラック（TD）、オータムブラウン（GH）、シャイングレー（KK）、ダスクグレー(HD) / S-2（120）等級                  +¥25,900 / Danパネル ホワイト（WA）、Lブラウン（TC）、シャイングレー（GJ）、シャイングレー（KK）、ダスクグレー(HC) / ★                   3-A-3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3" t="inlineStr">
        <is>
          <t>202604_LIXIL_サーモスＬ_業務用資料集_完成品価格表.pdf</t>
        </is>
      </c>
      <c r="K173" t="inlineStr">
        <is>
          <t>https://drive.google.com/file/d/1YUN-mtWYs48YBUHJk0C3vJXnhjyZFHyf/view</t>
        </is>
      </c>
    </row>
    <row r="174">
      <c r="A174" s="42" t="inlineStr">
        <is>
          <t>GLG-SL-0171</t>
        </is>
      </c>
      <c r="B174" t="n">
        <v>88</v>
      </c>
      <c r="C174" t="inlineStr">
        <is>
          <t>無印</t>
        </is>
      </c>
      <c r="D174" t="inlineStr">
        <is>
          <t>P88|無印</t>
        </is>
      </c>
      <c r="E174" t="inlineStr">
        <is>
          <t>透明</t>
        </is>
      </c>
      <c r="F174" t="inlineStr">
        <is>
          <t>S-3（160）等級/S-2（120）等級</t>
        </is>
      </c>
      <c r="G174" t="inlineStr">
        <is>
          <t>原本凡例保持・列位置は原本参照</t>
        </is>
      </c>
      <c r="H174" t="b">
        <v>1</v>
      </c>
      <c r="I174" t="inlineStr">
        <is>
          <t>複層                                                              価格表は以下の条件で算出しています。 / 大壁和室障子 透明                           ¥241,000    ¥253,400 / 鏡板（フタ付）                                ¥31,400     ¥33,000                     透明 / 戸袋枠      鏡板（フタ無）                                ¥24,800     ¥26,000           S-3（160）等級 S-2（120）等級 / 鏡板無                                 ¥10,300     ¥10,900    無印         3-A-3 / 引違い網戸（中桟付）                                   ¥16,200     ¥17,100               3-A-3 / △※1                  3-A-3 / 引違い網戸（中桟無）                                   ¥24,700     ¥25,900           （把手障子） / 単純段差アタッチメント24mm用（加算額）                                 +¥1,500     +¥1,500   ※1 把手障子のみS-3（160）等級となります。</t>
        </is>
      </c>
      <c r="J174" t="inlineStr">
        <is>
          <t>202604_LIXIL_サーモスＬ_業務用資料集_完成品価格表.pdf</t>
        </is>
      </c>
      <c r="K174" t="inlineStr">
        <is>
          <t>https://drive.google.com/file/d/1YUN-mtWYs48YBUHJk0C3vJXnhjyZFHyf/view</t>
        </is>
      </c>
    </row>
    <row r="175">
      <c r="A175" s="42" t="inlineStr">
        <is>
          <t>GLG-SL-0172</t>
        </is>
      </c>
      <c r="B175" t="n">
        <v>88</v>
      </c>
      <c r="C175" t="inlineStr">
        <is>
          <t>△</t>
        </is>
      </c>
      <c r="D175" t="inlineStr">
        <is>
          <t>P88|△</t>
        </is>
      </c>
      <c r="E175" t="inlineStr">
        <is>
          <t>透明</t>
        </is>
      </c>
      <c r="F175" t="inlineStr">
        <is>
          <t>S-3（160）等級/S-2（120）等級</t>
        </is>
      </c>
      <c r="G175" t="inlineStr">
        <is>
          <t>原本凡例保持・列位置は原本参照</t>
        </is>
      </c>
      <c r="H175" t="b">
        <v>1</v>
      </c>
      <c r="I175" t="inlineStr">
        <is>
          <t>複層                                                              価格表は以下の条件で算出しています。 / 大壁和室障子 透明                           ¥241,000    ¥253,400 / 鏡板（フタ付）                                ¥31,400     ¥33,000                     透明 / 戸袋枠      鏡板（フタ無）                                ¥24,800     ¥26,000           S-3（160）等級 S-2（120）等級 / 鏡板無                                 ¥10,300     ¥10,900    無印         3-A-3 / 引違い網戸（中桟付）                                   ¥16,200     ¥17,100               3-A-3 / △※1                  3-A-3 / 引違い網戸（中桟無）                                   ¥24,700     ¥25,900           （把手障子） / 単純段差アタッチメント24mm用（加算額）                                 +¥1,500     +¥1,500   ※1 把手障子のみS-3（160）等級となります。</t>
        </is>
      </c>
      <c r="J175" t="inlineStr">
        <is>
          <t>202604_LIXIL_サーモスＬ_業務用資料集_完成品価格表.pdf</t>
        </is>
      </c>
      <c r="K175" t="inlineStr">
        <is>
          <t>https://drive.google.com/file/d/1YUN-mtWYs48YBUHJk0C3vJXnhjyZFHyf/view</t>
        </is>
      </c>
    </row>
    <row r="176">
      <c r="A176" s="42" t="inlineStr">
        <is>
          <t>GLG-SL-0173</t>
        </is>
      </c>
      <c r="B176" t="n">
        <v>89</v>
      </c>
      <c r="C176" t="inlineStr">
        <is>
          <t>無印</t>
        </is>
      </c>
      <c r="D176" t="inlineStr">
        <is>
          <t>P89|無印</t>
        </is>
      </c>
      <c r="E176" t="inlineStr">
        <is>
          <t>透明/型</t>
        </is>
      </c>
      <c r="F176" t="inlineStr">
        <is>
          <t>S-2（120）等級</t>
        </is>
      </c>
      <c r="G176" t="inlineStr">
        <is>
          <t>原本凡例保持・列位置は原本参照</t>
        </is>
      </c>
      <c r="H176" t="b">
        <v>1</v>
      </c>
      <c r="I176" t="inlineStr">
        <is>
          <t>価格表は以下の条件で算出しています。                         ●アシスト把手加算額 / ルーバーⅠ型 ホワイト（WA）、ブラック（TD）、ブラウン（GH）、シャイングレー（KK）、プラチナホワイト（DD）、ダスクグレー(HD) / 透明                         2枚建                             鏡板 アルミヨコリブ ホワイト（WA）、ブラック（TD）、オータムブラウン（GH）、シャイングレー（KK）、ダスクグレー(HD) / S-2（120）等級                    +¥25,900                                               ロイヤルⅠ型 ブラック（TD）、オータムブラウン（GH）、シャイングレー（KK）、ダスクグレー(HD) / ★                   3-A-3                                                                        Danパネル ホワイト（WA）、Lブラウン（TC）、シャイングレー（GJ）、シャイングレー（KK）、ダスクグレー(HC) /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6" t="inlineStr">
        <is>
          <t>202604_LIXIL_サーモスＬ_業務用資料集_完成品価格表.pdf</t>
        </is>
      </c>
      <c r="K176" t="inlineStr">
        <is>
          <t>https://drive.google.com/file/d/1YUN-mtWYs48YBUHJk0C3vJXnhjyZFHyf/view</t>
        </is>
      </c>
    </row>
    <row r="177">
      <c r="A177" s="42" t="inlineStr">
        <is>
          <t>GLG-SL-0174</t>
        </is>
      </c>
      <c r="B177" t="n">
        <v>89</v>
      </c>
      <c r="C177" t="inlineStr">
        <is>
          <t>★</t>
        </is>
      </c>
      <c r="D177" t="inlineStr">
        <is>
          <t>P89|★</t>
        </is>
      </c>
      <c r="E177" t="inlineStr">
        <is>
          <t>透明/型</t>
        </is>
      </c>
      <c r="F177" t="inlineStr">
        <is>
          <t>S-2（120）等級</t>
        </is>
      </c>
      <c r="G177" t="inlineStr">
        <is>
          <t>原本凡例保持・列位置は原本参照</t>
        </is>
      </c>
      <c r="H177" t="b">
        <v>1</v>
      </c>
      <c r="I177" t="inlineStr">
        <is>
          <t>価格表は以下の条件で算出しています。                         ●アシスト把手加算額 / ルーバーⅠ型 ホワイト（WA）、ブラック（TD）、ブラウン（GH）、シャイングレー（KK）、プラチナホワイト（DD）、ダスクグレー(HD) / 透明                         2枚建                             鏡板 アルミヨコリブ ホワイト（WA）、ブラック（TD）、オータムブラウン（GH）、シャイングレー（KK）、ダスクグレー(HD) / S-2（120）等級                    +¥25,900                                               ロイヤルⅠ型 ブラック（TD）、オータムブラウン（GH）、シャイングレー（KK）、ダスクグレー(HD) / ★                   3-A-3                                                                        Danパネル ホワイト（WA）、Lブラウン（TC）、シャイングレー（GJ）、シャイングレー（KK）、ダスクグレー(HC) /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7" t="inlineStr">
        <is>
          <t>202604_LIXIL_サーモスＬ_業務用資料集_完成品価格表.pdf</t>
        </is>
      </c>
      <c r="K177" t="inlineStr">
        <is>
          <t>https://drive.google.com/file/d/1YUN-mtWYs48YBUHJk0C3vJXnhjyZFHyf/view</t>
        </is>
      </c>
    </row>
    <row r="178">
      <c r="A178" s="42" t="inlineStr">
        <is>
          <t>GLG-SL-0175</t>
        </is>
      </c>
      <c r="B178" t="n">
        <v>89</v>
      </c>
      <c r="C178" t="inlineStr">
        <is>
          <t>●</t>
        </is>
      </c>
      <c r="D178" t="inlineStr">
        <is>
          <t>P89|●</t>
        </is>
      </c>
      <c r="E178" t="inlineStr">
        <is>
          <t>透明/型</t>
        </is>
      </c>
      <c r="F178" t="inlineStr">
        <is>
          <t>S-2（120）等級</t>
        </is>
      </c>
      <c r="G178" t="inlineStr">
        <is>
          <t>原本凡例保持・列位置は原本参照</t>
        </is>
      </c>
      <c r="H178" t="b">
        <v>1</v>
      </c>
      <c r="I178" t="inlineStr">
        <is>
          <t>価格表は以下の条件で算出しています。                         ●アシスト把手加算額 / ルーバーⅠ型 ホワイト（WA）、ブラック（TD）、ブラウン（GH）、シャイングレー（KK）、プラチナホワイト（DD）、ダスクグレー(HD) / 透明                         2枚建                             鏡板 アルミヨコリブ ホワイト（WA）、ブラック（TD）、オータムブラウン（GH）、シャイングレー（KK）、ダスクグレー(HD) / S-2（120）等級                    +¥25,900                                               ロイヤルⅠ型 ブラック（TD）、オータムブラウン（GH）、シャイングレー（KK）、ダスクグレー(HD) / ★                   3-A-3                                                                        Danパネル ホワイト（WA）、Lブラウン（TC）、シャイングレー（GJ）、シャイングレー（KK）、ダスクグレー(HC) /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8" t="inlineStr">
        <is>
          <t>202604_LIXIL_サーモスＬ_業務用資料集_完成品価格表.pdf</t>
        </is>
      </c>
      <c r="K178" t="inlineStr">
        <is>
          <t>https://drive.google.com/file/d/1YUN-mtWYs48YBUHJk0C3vJXnhjyZFHyf/view</t>
        </is>
      </c>
    </row>
    <row r="179">
      <c r="A179" s="42" t="inlineStr">
        <is>
          <t>GLG-SL-0176</t>
        </is>
      </c>
      <c r="B179" t="n">
        <v>89</v>
      </c>
      <c r="C179" t="inlineStr">
        <is>
          <t>▲</t>
        </is>
      </c>
      <c r="D179" t="inlineStr">
        <is>
          <t>P89|▲</t>
        </is>
      </c>
      <c r="E179" t="inlineStr">
        <is>
          <t>透明/型</t>
        </is>
      </c>
      <c r="F179" t="inlineStr">
        <is>
          <t>S-2（120）等級</t>
        </is>
      </c>
      <c r="G179" t="inlineStr">
        <is>
          <t>原本凡例保持・列位置は原本参照</t>
        </is>
      </c>
      <c r="H179" t="b">
        <v>1</v>
      </c>
      <c r="I179" t="inlineStr">
        <is>
          <t>価格表は以下の条件で算出しています。                         ●アシスト把手加算額 / ルーバーⅠ型 ホワイト（WA）、ブラック（TD）、ブラウン（GH）、シャイングレー（KK）、プラチナホワイト（DD）、ダスクグレー(HD) / 透明                         2枚建                             鏡板 アルミヨコリブ ホワイト（WA）、ブラック（TD）、オータムブラウン（GH）、シャイングレー（KK）、ダスクグレー(HD) / S-2（120）等級                    +¥25,900                                               ロイヤルⅠ型 ブラック（TD）、オータムブラウン（GH）、シャイングレー（KK）、ダスクグレー(HD) / ★                   3-A-3                                                                        Danパネル ホワイト（WA）、Lブラウン（TC）、シャイングレー（GJ）、シャイングレー（KK）、ダスクグレー(HC) / 雨戸 / ルーバー ホワイト（WA）、ブラック（TD）、ブラウン（GH）、シャイングレー（KK）、プラチナホワイト（DD）、ダスクグレー(HD) / ●雨戸錠加算額 / ●上錠が高いところや手のとどかないところに付く場合は、 / 上錠（長） / タイプをお使いください。 / ●ルーバー雨戸は、雨戸H≦1,065mmの場合、中桟と干渉 / するため上錠（長）は取付けできません。 / 種類  上錠（短） / タイプ 上錠（長）タイプ  雨戸錠の取付位置 / 価格                         ¥1,600          ¥2,100            上        ▲ / 戸 / 下        ▼    袋 / 注 防犯性能向上のため / 雨戸錠は必ず上下に / 取付けてください。</t>
        </is>
      </c>
      <c r="J179" t="inlineStr">
        <is>
          <t>202604_LIXIL_サーモスＬ_業務用資料集_完成品価格表.pdf</t>
        </is>
      </c>
      <c r="K179" t="inlineStr">
        <is>
          <t>https://drive.google.com/file/d/1YUN-mtWYs48YBUHJk0C3vJXnhjyZFHyf/view</t>
        </is>
      </c>
    </row>
    <row r="180">
      <c r="A180" s="42" t="inlineStr">
        <is>
          <t>GLG-SL-0177</t>
        </is>
      </c>
      <c r="B180" t="n">
        <v>90</v>
      </c>
      <c r="C180" t="inlineStr">
        <is>
          <t>無印</t>
        </is>
      </c>
      <c r="D180" t="inlineStr">
        <is>
          <t>P90|無印</t>
        </is>
      </c>
      <c r="E180" t="inlineStr">
        <is>
          <t>透明/型</t>
        </is>
      </c>
      <c r="F180" t="inlineStr">
        <is>
          <t>S-3（160）等級</t>
        </is>
      </c>
      <c r="G180" t="inlineStr">
        <is>
          <t>原本凡例保持・列位置は原本参照</t>
        </is>
      </c>
      <c r="H180" t="b">
        <v>1</v>
      </c>
      <c r="I180" t="inlineStr">
        <is>
          <t>価格表は以下の条件で算出しています。 / 透明          型 / S-3（160）等級 S-3（160）等級 / 3-A-3     3-A-型4</t>
        </is>
      </c>
      <c r="J180" t="inlineStr">
        <is>
          <t>202604_LIXIL_サーモスＬ_業務用資料集_完成品価格表.pdf</t>
        </is>
      </c>
      <c r="K180" t="inlineStr">
        <is>
          <t>https://drive.google.com/file/d/1YUN-mtWYs48YBUHJk0C3vJXnhjyZFHyf/view</t>
        </is>
      </c>
    </row>
    <row r="181">
      <c r="A181" s="42" t="inlineStr">
        <is>
          <t>GLG-SL-0178</t>
        </is>
      </c>
      <c r="B181" t="n">
        <v>92</v>
      </c>
      <c r="C181" t="inlineStr">
        <is>
          <t>無印</t>
        </is>
      </c>
      <c r="D181" t="inlineStr">
        <is>
          <t>P92|無印</t>
        </is>
      </c>
      <c r="E181" t="inlineStr">
        <is>
          <t>透明/型</t>
        </is>
      </c>
      <c r="F181" t="inlineStr">
        <is>
          <t>S-3（160）等級</t>
        </is>
      </c>
      <c r="G181" t="inlineStr">
        <is>
          <t>原本凡例保持・列位置は原本参照</t>
        </is>
      </c>
      <c r="H181" t="b">
        <v>1</v>
      </c>
      <c r="I181" t="inlineStr">
        <is>
          <t>価格表は以下の条件で算出しています。 / 透明                                  型 / S-3（160）等級                         S-3（160）等級 / 3-A-3                             3-A-型4</t>
        </is>
      </c>
      <c r="J181" t="inlineStr">
        <is>
          <t>202604_LIXIL_サーモスＬ_業務用資料集_完成品価格表.pdf</t>
        </is>
      </c>
      <c r="K181" t="inlineStr">
        <is>
          <t>https://drive.google.com/file/d/1YUN-mtWYs48YBUHJk0C3vJXnhjyZFHyf/view</t>
        </is>
      </c>
    </row>
    <row r="182">
      <c r="A182" s="42" t="inlineStr">
        <is>
          <t>GLG-SL-0179</t>
        </is>
      </c>
      <c r="B182" t="n">
        <v>94</v>
      </c>
      <c r="C182" t="inlineStr">
        <is>
          <t>無印</t>
        </is>
      </c>
      <c r="D182" t="inlineStr">
        <is>
          <t>P94|無印</t>
        </is>
      </c>
      <c r="E182" t="inlineStr">
        <is>
          <t>透明/型</t>
        </is>
      </c>
      <c r="F182" t="inlineStr">
        <is>
          <t>S-3（160）等級</t>
        </is>
      </c>
      <c r="G182" t="inlineStr">
        <is>
          <t>原本凡例保持・列位置は原本参照</t>
        </is>
      </c>
      <c r="H182" t="b">
        <v>1</v>
      </c>
      <c r="I182" t="inlineStr">
        <is>
          <t>価格表は以下の条件で算出しています。 / 透明          型 / S-3（160）等級 S-3（160）等級 / 3-A-3     3-A-型4</t>
        </is>
      </c>
      <c r="J182" t="inlineStr">
        <is>
          <t>202604_LIXIL_サーモスＬ_業務用資料集_完成品価格表.pdf</t>
        </is>
      </c>
      <c r="K182" t="inlineStr">
        <is>
          <t>https://drive.google.com/file/d/1YUN-mtWYs48YBUHJk0C3vJXnhjyZFHyf/view</t>
        </is>
      </c>
    </row>
    <row r="183">
      <c r="A183" s="42" t="inlineStr">
        <is>
          <t>GLG-SL-0180</t>
        </is>
      </c>
      <c r="B183" t="n">
        <v>96</v>
      </c>
      <c r="C183" t="inlineStr">
        <is>
          <t>無印</t>
        </is>
      </c>
      <c r="D183" t="inlineStr">
        <is>
          <t>P96|無印</t>
        </is>
      </c>
      <c r="E183" t="inlineStr">
        <is>
          <t>透明/型</t>
        </is>
      </c>
      <c r="F183" t="inlineStr">
        <is>
          <t>S-3（160）等級</t>
        </is>
      </c>
      <c r="G183" t="inlineStr">
        <is>
          <t>原本凡例保持・列位置は原本参照</t>
        </is>
      </c>
      <c r="H183" t="b">
        <v>1</v>
      </c>
      <c r="I183" t="inlineStr">
        <is>
          <t>価格表は以下の条件で算出しています。 / 透明          型 / S-3（160）等級 S-3（160）等級 / 3-A-3     3-A-型4</t>
        </is>
      </c>
      <c r="J183" t="inlineStr">
        <is>
          <t>202604_LIXIL_サーモスＬ_業務用資料集_完成品価格表.pdf</t>
        </is>
      </c>
      <c r="K183" t="inlineStr">
        <is>
          <t>https://drive.google.com/file/d/1YUN-mtWYs48YBUHJk0C3vJXnhjyZFHyf/view</t>
        </is>
      </c>
    </row>
    <row r="184">
      <c r="A184" s="42" t="inlineStr">
        <is>
          <t>GLG-SL-0181</t>
        </is>
      </c>
      <c r="B184" t="n">
        <v>98</v>
      </c>
      <c r="C184" t="inlineStr">
        <is>
          <t>無印</t>
        </is>
      </c>
      <c r="D184" t="inlineStr">
        <is>
          <t>P98|無印</t>
        </is>
      </c>
      <c r="E184" t="inlineStr">
        <is>
          <t>透明/型</t>
        </is>
      </c>
      <c r="F184" t="inlineStr">
        <is>
          <t>S-3（160）等級</t>
        </is>
      </c>
      <c r="G184" t="inlineStr">
        <is>
          <t>原本凡例保持・列位置は原本参照</t>
        </is>
      </c>
      <c r="H184" t="b">
        <v>1</v>
      </c>
      <c r="I184" t="inlineStr">
        <is>
          <t>価格表は以下の条件で算出しています。 / 透明          型 / S-3（160）等級 S-3（160）等級 / 3-A-3     3-A-型4</t>
        </is>
      </c>
      <c r="J184" t="inlineStr">
        <is>
          <t>202604_LIXIL_サーモスＬ_業務用資料集_完成品価格表.pdf</t>
        </is>
      </c>
      <c r="K184" t="inlineStr">
        <is>
          <t>https://drive.google.com/file/d/1YUN-mtWYs48YBUHJk0C3vJXnhjyZFHyf/view</t>
        </is>
      </c>
    </row>
    <row r="185">
      <c r="A185" s="42" t="inlineStr">
        <is>
          <t>GLG-SL-0182</t>
        </is>
      </c>
      <c r="B185" t="n">
        <v>100</v>
      </c>
      <c r="C185" t="inlineStr">
        <is>
          <t>無印</t>
        </is>
      </c>
      <c r="D185" t="inlineStr">
        <is>
          <t>P100|無印</t>
        </is>
      </c>
      <c r="E185" t="inlineStr">
        <is>
          <t>透明/型</t>
        </is>
      </c>
      <c r="F185" t="inlineStr">
        <is>
          <t>S-3（160）等級</t>
        </is>
      </c>
      <c r="G185" t="inlineStr">
        <is>
          <t>原本凡例保持・列位置は原本参照</t>
        </is>
      </c>
      <c r="H185" t="b">
        <v>1</v>
      </c>
      <c r="I185" t="inlineStr">
        <is>
          <t>価格表は以下の条件で算出しています。 / 透明          型 / S-3（160）等級 S-3（160）等級 / 3-A-3     3-A-型4</t>
        </is>
      </c>
      <c r="J185" t="inlineStr">
        <is>
          <t>202604_LIXIL_サーモスＬ_業務用資料集_完成品価格表.pdf</t>
        </is>
      </c>
      <c r="K185" t="inlineStr">
        <is>
          <t>https://drive.google.com/file/d/1YUN-mtWYs48YBUHJk0C3vJXnhjyZFHyf/view</t>
        </is>
      </c>
    </row>
    <row r="186">
      <c r="A186" s="42" t="inlineStr">
        <is>
          <t>GLG-SL-0183</t>
        </is>
      </c>
      <c r="B186" t="n">
        <v>102</v>
      </c>
      <c r="C186" t="inlineStr">
        <is>
          <t>無印</t>
        </is>
      </c>
      <c r="D186" t="inlineStr">
        <is>
          <t>P102|無印</t>
        </is>
      </c>
      <c r="E186" t="inlineStr">
        <is>
          <t>透明/型</t>
        </is>
      </c>
      <c r="F186" t="inlineStr">
        <is>
          <t>S-3（160）等級</t>
        </is>
      </c>
      <c r="G186" t="inlineStr">
        <is>
          <t>原本凡例保持・列位置は原本参照</t>
        </is>
      </c>
      <c r="H186" t="b">
        <v>1</v>
      </c>
      <c r="I186" t="inlineStr">
        <is>
          <t>価格表は以下の条件で算出しています。 / 透明          型 / S-3（160）等級 S-3（160）等級 / 3-A-3     3-A-型4</t>
        </is>
      </c>
      <c r="J186" t="inlineStr">
        <is>
          <t>202604_LIXIL_サーモスＬ_業務用資料集_完成品価格表.pdf</t>
        </is>
      </c>
      <c r="K186" t="inlineStr">
        <is>
          <t>https://drive.google.com/file/d/1YUN-mtWYs48YBUHJk0C3vJXnhjyZFHyf/view</t>
        </is>
      </c>
    </row>
    <row r="187">
      <c r="A187" s="42" t="inlineStr">
        <is>
          <t>GLG-SL-0184</t>
        </is>
      </c>
      <c r="B187" t="n">
        <v>104</v>
      </c>
      <c r="C187" t="inlineStr">
        <is>
          <t>無印</t>
        </is>
      </c>
      <c r="D187" t="inlineStr">
        <is>
          <t>P104|無印</t>
        </is>
      </c>
      <c r="E187" t="inlineStr">
        <is>
          <t>透明/型</t>
        </is>
      </c>
      <c r="F187" t="inlineStr">
        <is>
          <t>S-3（160）等級</t>
        </is>
      </c>
      <c r="G187" t="inlineStr">
        <is>
          <t>原本凡例保持・列位置は原本参照</t>
        </is>
      </c>
      <c r="H187" t="b">
        <v>1</v>
      </c>
      <c r="I187" t="inlineStr">
        <is>
          <t>価格表は以下の条件で算出しています。 / 透明          型 / S-3（160）等級 S-3（160）等級 / 3-A-3     3-A-型4</t>
        </is>
      </c>
      <c r="J187" t="inlineStr">
        <is>
          <t>202604_LIXIL_サーモスＬ_業務用資料集_完成品価格表.pdf</t>
        </is>
      </c>
      <c r="K187" t="inlineStr">
        <is>
          <t>https://drive.google.com/file/d/1YUN-mtWYs48YBUHJk0C3vJXnhjyZFHyf/view</t>
        </is>
      </c>
    </row>
    <row r="188">
      <c r="A188" s="42" t="inlineStr">
        <is>
          <t>GLG-SL-0185</t>
        </is>
      </c>
      <c r="B188" t="n">
        <v>106</v>
      </c>
      <c r="C188" t="inlineStr">
        <is>
          <t>無印</t>
        </is>
      </c>
      <c r="D188" t="inlineStr">
        <is>
          <t>P106|無印</t>
        </is>
      </c>
      <c r="E188" t="inlineStr">
        <is>
          <t>透明/型</t>
        </is>
      </c>
      <c r="F188" t="inlineStr">
        <is>
          <t>S-3（160）等級</t>
        </is>
      </c>
      <c r="G188" t="inlineStr">
        <is>
          <t>原本凡例保持・列位置は原本参照</t>
        </is>
      </c>
      <c r="H188" t="b">
        <v>1</v>
      </c>
      <c r="I188" t="inlineStr">
        <is>
          <t>価格表は以下の条件で算出しています。 / 透明          型 / S-3（160）等級 S-3（160）等級 / 3-A-3     3-A-型4</t>
        </is>
      </c>
      <c r="J188" t="inlineStr">
        <is>
          <t>202604_LIXIL_サーモスＬ_業務用資料集_完成品価格表.pdf</t>
        </is>
      </c>
      <c r="K188" t="inlineStr">
        <is>
          <t>https://drive.google.com/file/d/1YUN-mtWYs48YBUHJk0C3vJXnhjyZFHyf/view</t>
        </is>
      </c>
    </row>
    <row r="189">
      <c r="A189" s="42" t="inlineStr">
        <is>
          <t>GLG-SL-0186</t>
        </is>
      </c>
      <c r="B189" t="n">
        <v>108</v>
      </c>
      <c r="C189" t="inlineStr">
        <is>
          <t>無印</t>
        </is>
      </c>
      <c r="D189" t="inlineStr">
        <is>
          <t>P108|無印</t>
        </is>
      </c>
      <c r="E189" t="inlineStr">
        <is>
          <t>透明/型</t>
        </is>
      </c>
      <c r="F189" t="inlineStr">
        <is>
          <t>S-3（160）等級/S-2（120）等級</t>
        </is>
      </c>
      <c r="G189" t="inlineStr">
        <is>
          <t>原本凡例保持・列位置は原本参照</t>
        </is>
      </c>
      <c r="H189" t="b">
        <v>1</v>
      </c>
      <c r="I189" t="inlineStr">
        <is>
          <t>価格表は以下の条件で算出しています。 / 透明               型 / S-3（160）等級 S-3（160）等級 S-2（120）等級 / 無印                  3-A-3     3-A-型4 / ★                  3-A-3                3-A-型4</t>
        </is>
      </c>
      <c r="J189" t="inlineStr">
        <is>
          <t>202604_LIXIL_サーモスＬ_業務用資料集_完成品価格表.pdf</t>
        </is>
      </c>
      <c r="K189" t="inlineStr">
        <is>
          <t>https://drive.google.com/file/d/1YUN-mtWYs48YBUHJk0C3vJXnhjyZFHyf/view</t>
        </is>
      </c>
    </row>
    <row r="190">
      <c r="A190" s="42" t="inlineStr">
        <is>
          <t>GLG-SL-0187</t>
        </is>
      </c>
      <c r="B190" t="n">
        <v>108</v>
      </c>
      <c r="C190" t="inlineStr">
        <is>
          <t>★</t>
        </is>
      </c>
      <c r="D190" t="inlineStr">
        <is>
          <t>P108|★</t>
        </is>
      </c>
      <c r="E190" t="inlineStr">
        <is>
          <t>透明/型</t>
        </is>
      </c>
      <c r="F190" t="inlineStr">
        <is>
          <t>S-3（160）等級/S-2（120）等級</t>
        </is>
      </c>
      <c r="G190" t="inlineStr">
        <is>
          <t>原本凡例保持・列位置は原本参照</t>
        </is>
      </c>
      <c r="H190" t="b">
        <v>1</v>
      </c>
      <c r="I190" t="inlineStr">
        <is>
          <t>価格表は以下の条件で算出しています。 / 透明               型 / S-3（160）等級 S-3（160）等級 S-2（120）等級 / 無印                  3-A-3     3-A-型4 / ★                  3-A-3                3-A-型4</t>
        </is>
      </c>
      <c r="J190" t="inlineStr">
        <is>
          <t>202604_LIXIL_サーモスＬ_業務用資料集_完成品価格表.pdf</t>
        </is>
      </c>
      <c r="K190" t="inlineStr">
        <is>
          <t>https://drive.google.com/file/d/1YUN-mtWYs48YBUHJk0C3vJXnhjyZFHyf/view</t>
        </is>
      </c>
    </row>
    <row r="191">
      <c r="A191" s="42" t="inlineStr">
        <is>
          <t>GLG-SL-0188</t>
        </is>
      </c>
      <c r="B191" t="n">
        <v>110</v>
      </c>
      <c r="C191" t="inlineStr">
        <is>
          <t>無印</t>
        </is>
      </c>
      <c r="D191" t="inlineStr">
        <is>
          <t>P110|無印</t>
        </is>
      </c>
      <c r="E191" t="inlineStr">
        <is>
          <t>透明/型</t>
        </is>
      </c>
      <c r="F191" t="inlineStr">
        <is>
          <t>S-3（160）等級</t>
        </is>
      </c>
      <c r="G191" t="inlineStr">
        <is>
          <t>原本凡例保持・列位置は原本参照</t>
        </is>
      </c>
      <c r="H191" t="b">
        <v>1</v>
      </c>
      <c r="I191" t="inlineStr">
        <is>
          <t>価格表は以下の条件で算出しています。 / 透明          型 / S-3（160）等級 S-3（160）等級 / 3-A-3     3-A-型4</t>
        </is>
      </c>
      <c r="J191" t="inlineStr">
        <is>
          <t>202604_LIXIL_サーモスＬ_業務用資料集_完成品価格表.pdf</t>
        </is>
      </c>
      <c r="K191" t="inlineStr">
        <is>
          <t>https://drive.google.com/file/d/1YUN-mtWYs48YBUHJk0C3vJXnhjyZFHyf/view</t>
        </is>
      </c>
    </row>
    <row r="192">
      <c r="A192" s="42" t="inlineStr">
        <is>
          <t>GLG-SL-0189</t>
        </is>
      </c>
      <c r="B192" t="n">
        <v>112</v>
      </c>
      <c r="C192" t="inlineStr">
        <is>
          <t>無印</t>
        </is>
      </c>
      <c r="D192" t="inlineStr">
        <is>
          <t>P112|無印</t>
        </is>
      </c>
      <c r="E192" t="inlineStr">
        <is>
          <t>透明/型</t>
        </is>
      </c>
      <c r="F192" t="inlineStr">
        <is>
          <t>S-3（160）等級/S-2（120）等級</t>
        </is>
      </c>
      <c r="G192" t="inlineStr">
        <is>
          <t>原本凡例保持・列位置は原本参照</t>
        </is>
      </c>
      <c r="H192" t="b">
        <v>1</v>
      </c>
      <c r="I192" t="inlineStr">
        <is>
          <t>価格表は以下の条件で算出しています。 / 透明               型 / S-3（160）等級 S-3（160）等級 S-2（120）等級 / 無印                  3-A-3     3-A-型4 / ★                  3-A-3                3-A-型4</t>
        </is>
      </c>
      <c r="J192" t="inlineStr">
        <is>
          <t>202604_LIXIL_サーモスＬ_業務用資料集_完成品価格表.pdf</t>
        </is>
      </c>
      <c r="K192" t="inlineStr">
        <is>
          <t>https://drive.google.com/file/d/1YUN-mtWYs48YBUHJk0C3vJXnhjyZFHyf/view</t>
        </is>
      </c>
    </row>
    <row r="193">
      <c r="A193" s="42" t="inlineStr">
        <is>
          <t>GLG-SL-0190</t>
        </is>
      </c>
      <c r="B193" t="n">
        <v>112</v>
      </c>
      <c r="C193" t="inlineStr">
        <is>
          <t>★</t>
        </is>
      </c>
      <c r="D193" t="inlineStr">
        <is>
          <t>P112|★</t>
        </is>
      </c>
      <c r="E193" t="inlineStr">
        <is>
          <t>透明/型</t>
        </is>
      </c>
      <c r="F193" t="inlineStr">
        <is>
          <t>S-3（160）等級/S-2（120）等級</t>
        </is>
      </c>
      <c r="G193" t="inlineStr">
        <is>
          <t>原本凡例保持・列位置は原本参照</t>
        </is>
      </c>
      <c r="H193" t="b">
        <v>1</v>
      </c>
      <c r="I193" t="inlineStr">
        <is>
          <t>価格表は以下の条件で算出しています。 / 透明               型 / S-3（160）等級 S-3（160）等級 S-2（120）等級 / 無印                  3-A-3     3-A-型4 / ★                  3-A-3                3-A-型4</t>
        </is>
      </c>
      <c r="J193" t="inlineStr">
        <is>
          <t>202604_LIXIL_サーモスＬ_業務用資料集_完成品価格表.pdf</t>
        </is>
      </c>
      <c r="K193" t="inlineStr">
        <is>
          <t>https://drive.google.com/file/d/1YUN-mtWYs48YBUHJk0C3vJXnhjyZFHyf/view</t>
        </is>
      </c>
    </row>
    <row r="194">
      <c r="A194" s="42" t="inlineStr">
        <is>
          <t>GLG-SL-0191</t>
        </is>
      </c>
      <c r="B194" t="n">
        <v>114</v>
      </c>
      <c r="C194" t="inlineStr">
        <is>
          <t>無印</t>
        </is>
      </c>
      <c r="D194" t="inlineStr">
        <is>
          <t>P114|無印</t>
        </is>
      </c>
      <c r="E194" t="inlineStr">
        <is>
          <t>透明/型</t>
        </is>
      </c>
      <c r="F194" t="inlineStr">
        <is>
          <t>S-3（160）等級</t>
        </is>
      </c>
      <c r="G194" t="inlineStr">
        <is>
          <t>原本凡例保持・列位置は原本参照</t>
        </is>
      </c>
      <c r="H194" t="b">
        <v>1</v>
      </c>
      <c r="I194" t="inlineStr">
        <is>
          <t>価格表は以下の条件で算出しています。 / 透明          型 / S-3（160）等級 S-3（160）等級 / 3-A-3     3-A-型4</t>
        </is>
      </c>
      <c r="J194" t="inlineStr">
        <is>
          <t>202604_LIXIL_サーモスＬ_業務用資料集_完成品価格表.pdf</t>
        </is>
      </c>
      <c r="K194" t="inlineStr">
        <is>
          <t>https://drive.google.com/file/d/1YUN-mtWYs48YBUHJk0C3vJXnhjyZFHyf/view</t>
        </is>
      </c>
    </row>
    <row r="195">
      <c r="A195" s="42" t="inlineStr">
        <is>
          <t>GLG-SL-0192</t>
        </is>
      </c>
      <c r="B195" t="n">
        <v>116</v>
      </c>
      <c r="C195" t="inlineStr">
        <is>
          <t>無印</t>
        </is>
      </c>
      <c r="D195" t="inlineStr">
        <is>
          <t>P116|無印</t>
        </is>
      </c>
      <c r="E195" t="inlineStr">
        <is>
          <t>透明/型</t>
        </is>
      </c>
      <c r="F195" t="inlineStr">
        <is>
          <t>S-3（160）等級</t>
        </is>
      </c>
      <c r="G195" t="inlineStr">
        <is>
          <t>原本凡例保持・列位置は原本参照</t>
        </is>
      </c>
      <c r="H195" t="b">
        <v>1</v>
      </c>
      <c r="I195" t="inlineStr">
        <is>
          <t>価格表は以下の条件で算出しています。 / 透明          型 / S-3（160）等級 S-3（160）等級 / 3-A-3     3-A-型4</t>
        </is>
      </c>
      <c r="J195" t="inlineStr">
        <is>
          <t>202604_LIXIL_サーモスＬ_業務用資料集_完成品価格表.pdf</t>
        </is>
      </c>
      <c r="K195" t="inlineStr">
        <is>
          <t>https://drive.google.com/file/d/1YUN-mtWYs48YBUHJk0C3vJXnhjyZFHyf/view</t>
        </is>
      </c>
    </row>
    <row r="196">
      <c r="A196" s="42" t="inlineStr">
        <is>
          <t>GLG-SL-0193</t>
        </is>
      </c>
      <c r="B196" t="n">
        <v>118</v>
      </c>
      <c r="C196" t="inlineStr">
        <is>
          <t>無印</t>
        </is>
      </c>
      <c r="D196" t="inlineStr">
        <is>
          <t>P118|無印</t>
        </is>
      </c>
      <c r="E196" t="inlineStr">
        <is>
          <t>透明/型</t>
        </is>
      </c>
      <c r="F196" t="inlineStr">
        <is>
          <t>S-3（160）等級/S-2（120）等級</t>
        </is>
      </c>
      <c r="G196" t="inlineStr">
        <is>
          <t>原本凡例保持・列位置は原本参照</t>
        </is>
      </c>
      <c r="H196" t="b">
        <v>1</v>
      </c>
      <c r="I196" t="inlineStr">
        <is>
          <t>価格表は以下の条件で算出しています。 / 透明             型（FIX部） / S-3（160）等級 S-3（160）等級 S-2（120）等級 / 無印                  3-A-3     3-A-型4 / ☆                  3-A-3     4-A-型4 / ★                  3-A-3                3-A-型4 / ※開き部は全機種「無印」の組合せとなります。</t>
        </is>
      </c>
      <c r="J196" t="inlineStr">
        <is>
          <t>202604_LIXIL_サーモスＬ_業務用資料集_完成品価格表.pdf</t>
        </is>
      </c>
      <c r="K196" t="inlineStr">
        <is>
          <t>https://drive.google.com/file/d/1YUN-mtWYs48YBUHJk0C3vJXnhjyZFHyf/view</t>
        </is>
      </c>
    </row>
    <row r="197">
      <c r="A197" s="42" t="inlineStr">
        <is>
          <t>GLG-SL-0194</t>
        </is>
      </c>
      <c r="B197" t="n">
        <v>118</v>
      </c>
      <c r="C197" t="inlineStr">
        <is>
          <t>★</t>
        </is>
      </c>
      <c r="D197" t="inlineStr">
        <is>
          <t>P118|★</t>
        </is>
      </c>
      <c r="E197" t="inlineStr">
        <is>
          <t>透明/型</t>
        </is>
      </c>
      <c r="F197" t="inlineStr">
        <is>
          <t>S-3（160）等級/S-2（120）等級</t>
        </is>
      </c>
      <c r="G197" t="inlineStr">
        <is>
          <t>原本凡例保持・列位置は原本参照</t>
        </is>
      </c>
      <c r="H197" t="b">
        <v>1</v>
      </c>
      <c r="I197" t="inlineStr">
        <is>
          <t>価格表は以下の条件で算出しています。 / 透明             型（FIX部） / S-3（160）等級 S-3（160）等級 S-2（120）等級 / 無印                  3-A-3     3-A-型4 / ☆                  3-A-3     4-A-型4 / ★                  3-A-3                3-A-型4 / ※開き部は全機種「無印」の組合せとなります。</t>
        </is>
      </c>
      <c r="J197" t="inlineStr">
        <is>
          <t>202604_LIXIL_サーモスＬ_業務用資料集_完成品価格表.pdf</t>
        </is>
      </c>
      <c r="K197" t="inlineStr">
        <is>
          <t>https://drive.google.com/file/d/1YUN-mtWYs48YBUHJk0C3vJXnhjyZFHyf/view</t>
        </is>
      </c>
    </row>
    <row r="198">
      <c r="A198" s="42" t="inlineStr">
        <is>
          <t>GLG-SL-0195</t>
        </is>
      </c>
      <c r="B198" t="n">
        <v>118</v>
      </c>
      <c r="C198" t="inlineStr">
        <is>
          <t>☆</t>
        </is>
      </c>
      <c r="D198" t="inlineStr">
        <is>
          <t>P118|☆</t>
        </is>
      </c>
      <c r="E198" t="inlineStr">
        <is>
          <t>透明/型</t>
        </is>
      </c>
      <c r="F198" t="inlineStr">
        <is>
          <t>S-3（160）等級/S-2（120）等級</t>
        </is>
      </c>
      <c r="G198" t="inlineStr">
        <is>
          <t>原本凡例保持・列位置は原本参照</t>
        </is>
      </c>
      <c r="H198" t="b">
        <v>1</v>
      </c>
      <c r="I198" t="inlineStr">
        <is>
          <t>価格表は以下の条件で算出しています。 / 透明             型（FIX部） / S-3（160）等級 S-3（160）等級 S-2（120）等級 / 無印                  3-A-3     3-A-型4 / ☆                  3-A-3     4-A-型4 / ★                  3-A-3                3-A-型4 / ※開き部は全機種「無印」の組合せとなります。</t>
        </is>
      </c>
      <c r="J198" t="inlineStr">
        <is>
          <t>202604_LIXIL_サーモスＬ_業務用資料集_完成品価格表.pdf</t>
        </is>
      </c>
      <c r="K198" t="inlineStr">
        <is>
          <t>https://drive.google.com/file/d/1YUN-mtWYs48YBUHJk0C3vJXnhjyZFHyf/view</t>
        </is>
      </c>
    </row>
    <row r="199">
      <c r="A199" s="42" t="inlineStr">
        <is>
          <t>GLG-SL-0196</t>
        </is>
      </c>
      <c r="B199" t="n">
        <v>119</v>
      </c>
      <c r="C199" t="inlineStr">
        <is>
          <t>無印</t>
        </is>
      </c>
      <c r="D199" t="inlineStr">
        <is>
          <t>P119|無印</t>
        </is>
      </c>
      <c r="E199" t="inlineStr">
        <is>
          <t>透明/型</t>
        </is>
      </c>
      <c r="F199" t="inlineStr">
        <is>
          <t>S-3（160）等級/S-2（120）等級</t>
        </is>
      </c>
      <c r="G199" t="inlineStr">
        <is>
          <t>原本凡例保持・列位置は原本参照</t>
        </is>
      </c>
      <c r="H199" t="b">
        <v>1</v>
      </c>
      <c r="I199" t="inlineStr">
        <is>
          <t>価格表は以下の条件で算出しています。 / 透明             型（FIX部） / S-3（160）等級 S-3（160）等級 S-2（120）等級 / 無印                  3-A-3     3-A-型4 / ★                  3-A-3                3-A-型4 / ※開き部は全機種「無印」の組合せとなります。 / 119</t>
        </is>
      </c>
      <c r="J199" t="inlineStr">
        <is>
          <t>202604_LIXIL_サーモスＬ_業務用資料集_完成品価格表.pdf</t>
        </is>
      </c>
      <c r="K199" t="inlineStr">
        <is>
          <t>https://drive.google.com/file/d/1YUN-mtWYs48YBUHJk0C3vJXnhjyZFHyf/view</t>
        </is>
      </c>
    </row>
    <row r="200">
      <c r="A200" s="42" t="inlineStr">
        <is>
          <t>GLG-SL-0197</t>
        </is>
      </c>
      <c r="B200" t="n">
        <v>119</v>
      </c>
      <c r="C200" t="inlineStr">
        <is>
          <t>★</t>
        </is>
      </c>
      <c r="D200" t="inlineStr">
        <is>
          <t>P119|★</t>
        </is>
      </c>
      <c r="E200" t="inlineStr">
        <is>
          <t>透明/型</t>
        </is>
      </c>
      <c r="F200" t="inlineStr">
        <is>
          <t>S-3（160）等級/S-2（120）等級</t>
        </is>
      </c>
      <c r="G200" t="inlineStr">
        <is>
          <t>原本凡例保持・列位置は原本参照</t>
        </is>
      </c>
      <c r="H200" t="b">
        <v>1</v>
      </c>
      <c r="I200" t="inlineStr">
        <is>
          <t>価格表は以下の条件で算出しています。 / 透明             型（FIX部） / S-3（160）等級 S-3（160）等級 S-2（120）等級 / 無印                  3-A-3     3-A-型4 / ★                  3-A-3                3-A-型4 / ※開き部は全機種「無印」の組合せとなります。 / 119</t>
        </is>
      </c>
      <c r="J200" t="inlineStr">
        <is>
          <t>202604_LIXIL_サーモスＬ_業務用資料集_完成品価格表.pdf</t>
        </is>
      </c>
      <c r="K200" t="inlineStr">
        <is>
          <t>https://drive.google.com/file/d/1YUN-mtWYs48YBUHJk0C3vJXnhjyZFHyf/view</t>
        </is>
      </c>
    </row>
    <row r="201">
      <c r="A201" s="42" t="inlineStr">
        <is>
          <t>GLG-SL-0198</t>
        </is>
      </c>
      <c r="B201" t="n">
        <v>120</v>
      </c>
      <c r="C201" t="inlineStr">
        <is>
          <t>無印</t>
        </is>
      </c>
      <c r="D201" t="inlineStr">
        <is>
          <t>P120|無印</t>
        </is>
      </c>
      <c r="E201" t="inlineStr">
        <is>
          <t>透明/型</t>
        </is>
      </c>
      <c r="F201" t="inlineStr">
        <is>
          <t>S-3（160）等級/S-2（120）等級</t>
        </is>
      </c>
      <c r="G201" t="inlineStr">
        <is>
          <t>原本凡例保持・列位置は原本参照</t>
        </is>
      </c>
      <c r="H201" t="b">
        <v>1</v>
      </c>
      <c r="I201" t="inlineStr">
        <is>
          <t>価格表は以下の条件で算出しています。 / 透明             型（FIX部） / S-3（160）等級 S-3（160）等級 S-2（120）等級 / 無印                  3-A-3     3-A-型4 / ★                  3-A-3                3-A-型4 / ※開き部は全機種「無印」の組合せとなります。</t>
        </is>
      </c>
      <c r="J201" t="inlineStr">
        <is>
          <t>202604_LIXIL_サーモスＬ_業務用資料集_完成品価格表.pdf</t>
        </is>
      </c>
      <c r="K201" t="inlineStr">
        <is>
          <t>https://drive.google.com/file/d/1YUN-mtWYs48YBUHJk0C3vJXnhjyZFHyf/view</t>
        </is>
      </c>
    </row>
    <row r="202">
      <c r="A202" s="42" t="inlineStr">
        <is>
          <t>GLG-SL-0199</t>
        </is>
      </c>
      <c r="B202" t="n">
        <v>120</v>
      </c>
      <c r="C202" t="inlineStr">
        <is>
          <t>★</t>
        </is>
      </c>
      <c r="D202" t="inlineStr">
        <is>
          <t>P120|★</t>
        </is>
      </c>
      <c r="E202" t="inlineStr">
        <is>
          <t>透明/型</t>
        </is>
      </c>
      <c r="F202" t="inlineStr">
        <is>
          <t>S-3（160）等級/S-2（120）等級</t>
        </is>
      </c>
      <c r="G202" t="inlineStr">
        <is>
          <t>原本凡例保持・列位置は原本参照</t>
        </is>
      </c>
      <c r="H202" t="b">
        <v>1</v>
      </c>
      <c r="I202" t="inlineStr">
        <is>
          <t>価格表は以下の条件で算出しています。 / 透明             型（FIX部） / S-3（160）等級 S-3（160）等級 S-2（120）等級 / 無印                  3-A-3     3-A-型4 / ★                  3-A-3                3-A-型4 / ※開き部は全機種「無印」の組合せとなります。</t>
        </is>
      </c>
      <c r="J202" t="inlineStr">
        <is>
          <t>202604_LIXIL_サーモスＬ_業務用資料集_完成品価格表.pdf</t>
        </is>
      </c>
      <c r="K202" t="inlineStr">
        <is>
          <t>https://drive.google.com/file/d/1YUN-mtWYs48YBUHJk0C3vJXnhjyZFHyf/view</t>
        </is>
      </c>
    </row>
    <row r="203">
      <c r="A203" s="42" t="inlineStr">
        <is>
          <t>GLG-SL-0200</t>
        </is>
      </c>
      <c r="B203" t="n">
        <v>121</v>
      </c>
      <c r="C203" t="inlineStr">
        <is>
          <t>無印</t>
        </is>
      </c>
      <c r="D203" t="inlineStr">
        <is>
          <t>P121|無印</t>
        </is>
      </c>
      <c r="E203" t="inlineStr">
        <is>
          <t>透明/型</t>
        </is>
      </c>
      <c r="F203" t="inlineStr">
        <is>
          <t>S-3（160）等級/S-2（120）等級</t>
        </is>
      </c>
      <c r="G203" t="inlineStr">
        <is>
          <t>原本凡例保持・列位置は原本参照</t>
        </is>
      </c>
      <c r="H203" t="b">
        <v>1</v>
      </c>
      <c r="I203" t="inlineStr">
        <is>
          <t>価格表は以下の条件で算出しています。 / 透明             型（FIX部） / S-3（160）等級 S-3（160）等級 S-2（120）等級 / 無印                  3-A-3     3-A-型4 / ★                  3-A-3                3-A-型4 / ※開き部は全機種「無印」の組合せとなります。 / 121</t>
        </is>
      </c>
      <c r="J203" t="inlineStr">
        <is>
          <t>202604_LIXIL_サーモスＬ_業務用資料集_完成品価格表.pdf</t>
        </is>
      </c>
      <c r="K203" t="inlineStr">
        <is>
          <t>https://drive.google.com/file/d/1YUN-mtWYs48YBUHJk0C3vJXnhjyZFHyf/view</t>
        </is>
      </c>
    </row>
    <row r="204">
      <c r="A204" s="42" t="inlineStr">
        <is>
          <t>GLG-SL-0201</t>
        </is>
      </c>
      <c r="B204" t="n">
        <v>121</v>
      </c>
      <c r="C204" t="inlineStr">
        <is>
          <t>★</t>
        </is>
      </c>
      <c r="D204" t="inlineStr">
        <is>
          <t>P121|★</t>
        </is>
      </c>
      <c r="E204" t="inlineStr">
        <is>
          <t>透明/型</t>
        </is>
      </c>
      <c r="F204" t="inlineStr">
        <is>
          <t>S-3（160）等級/S-2（120）等級</t>
        </is>
      </c>
      <c r="G204" t="inlineStr">
        <is>
          <t>原本凡例保持・列位置は原本参照</t>
        </is>
      </c>
      <c r="H204" t="b">
        <v>1</v>
      </c>
      <c r="I204" t="inlineStr">
        <is>
          <t>価格表は以下の条件で算出しています。 / 透明             型（FIX部） / S-3（160）等級 S-3（160）等級 S-2（120）等級 / 無印                  3-A-3     3-A-型4 / ★                  3-A-3                3-A-型4 / ※開き部は全機種「無印」の組合せとなります。 / 121</t>
        </is>
      </c>
      <c r="J204" t="inlineStr">
        <is>
          <t>202604_LIXIL_サーモスＬ_業務用資料集_完成品価格表.pdf</t>
        </is>
      </c>
      <c r="K204" t="inlineStr">
        <is>
          <t>https://drive.google.com/file/d/1YUN-mtWYs48YBUHJk0C3vJXnhjyZFHyf/view</t>
        </is>
      </c>
    </row>
    <row r="205">
      <c r="A205" s="42" t="inlineStr">
        <is>
          <t>GLG-SL-0202</t>
        </is>
      </c>
      <c r="B205" t="n">
        <v>123</v>
      </c>
      <c r="C205" t="inlineStr">
        <is>
          <t>無印</t>
        </is>
      </c>
      <c r="D205" t="inlineStr">
        <is>
          <t>P123|無印</t>
        </is>
      </c>
      <c r="E205" t="inlineStr">
        <is>
          <t>透明/型</t>
        </is>
      </c>
      <c r="F205" t="inlineStr">
        <is>
          <t>S-3（160）等級</t>
        </is>
      </c>
      <c r="G205" t="inlineStr">
        <is>
          <t>原本凡例保持・列位置は原本参照</t>
        </is>
      </c>
      <c r="H205" t="b">
        <v>1</v>
      </c>
      <c r="I205" t="inlineStr">
        <is>
          <t>¥69,800       ¥75,100                                                             価格表は以下の条件で算出しています。 / ¥74,300       ¥79,600                                                                 透明          型 / ¥74,300       ¥79,600                                                             S-3（160）等級 S-3（160）等級 / ¥23,400       ¥23,400                                                                 3-A-3     3-A-型4 / 123</t>
        </is>
      </c>
      <c r="J205" t="inlineStr">
        <is>
          <t>202604_LIXIL_サーモスＬ_業務用資料集_完成品価格表.pdf</t>
        </is>
      </c>
      <c r="K205" t="inlineStr">
        <is>
          <t>https://drive.google.com/file/d/1YUN-mtWYs48YBUHJk0C3vJXnhjyZFHyf/view</t>
        </is>
      </c>
    </row>
    <row r="206">
      <c r="A206" s="42" t="inlineStr">
        <is>
          <t>GLG-SL-0203</t>
        </is>
      </c>
      <c r="B206" t="n">
        <v>124</v>
      </c>
      <c r="C206" t="inlineStr">
        <is>
          <t>無印</t>
        </is>
      </c>
      <c r="D206" t="inlineStr">
        <is>
          <t>P124|無印</t>
        </is>
      </c>
      <c r="E206" t="inlineStr">
        <is>
          <t>透明/型</t>
        </is>
      </c>
      <c r="F206" t="inlineStr">
        <is>
          <t>S-3（160）等級/S-2（120）等級</t>
        </is>
      </c>
      <c r="G206" t="inlineStr">
        <is>
          <t>原本凡例保持・列位置は原本参照</t>
        </is>
      </c>
      <c r="H206" t="b">
        <v>1</v>
      </c>
      <c r="I206" t="inlineStr">
        <is>
          <t>価格表は以下の条件で算出しています。 / 透明                    型 / S-3（160）等級 S-2（120）等級 S-3（160）等級 S-2（120）等級 / 無印                  3-A-3                3-A-型4 / ★                             3-A-3                3-A-型4</t>
        </is>
      </c>
      <c r="J206" t="inlineStr">
        <is>
          <t>202604_LIXIL_サーモスＬ_業務用資料集_完成品価格表.pdf</t>
        </is>
      </c>
      <c r="K206" t="inlineStr">
        <is>
          <t>https://drive.google.com/file/d/1YUN-mtWYs48YBUHJk0C3vJXnhjyZFHyf/view</t>
        </is>
      </c>
    </row>
    <row r="207">
      <c r="A207" s="42" t="inlineStr">
        <is>
          <t>GLG-SL-0204</t>
        </is>
      </c>
      <c r="B207" t="n">
        <v>124</v>
      </c>
      <c r="C207" t="inlineStr">
        <is>
          <t>★</t>
        </is>
      </c>
      <c r="D207" t="inlineStr">
        <is>
          <t>P124|★</t>
        </is>
      </c>
      <c r="E207" t="inlineStr">
        <is>
          <t>透明/型</t>
        </is>
      </c>
      <c r="F207" t="inlineStr">
        <is>
          <t>S-3（160）等級/S-2（120）等級</t>
        </is>
      </c>
      <c r="G207" t="inlineStr">
        <is>
          <t>原本凡例保持・列位置は原本参照</t>
        </is>
      </c>
      <c r="H207" t="b">
        <v>1</v>
      </c>
      <c r="I207" t="inlineStr">
        <is>
          <t>価格表は以下の条件で算出しています。 / 透明                    型 / S-3（160）等級 S-2（120）等級 S-3（160）等級 S-2（120）等級 / 無印                  3-A-3                3-A-型4 / ★                             3-A-3                3-A-型4</t>
        </is>
      </c>
      <c r="J207" t="inlineStr">
        <is>
          <t>202604_LIXIL_サーモスＬ_業務用資料集_完成品価格表.pdf</t>
        </is>
      </c>
      <c r="K207" t="inlineStr">
        <is>
          <t>https://drive.google.com/file/d/1YUN-mtWYs48YBUHJk0C3vJXnhjyZFHyf/view</t>
        </is>
      </c>
    </row>
    <row r="208">
      <c r="A208" s="42" t="inlineStr">
        <is>
          <t>GLG-SL-0205</t>
        </is>
      </c>
      <c r="B208" t="n">
        <v>126</v>
      </c>
      <c r="C208" t="inlineStr">
        <is>
          <t>無印</t>
        </is>
      </c>
      <c r="D208" t="inlineStr">
        <is>
          <t>P126|無印</t>
        </is>
      </c>
      <c r="E208" t="inlineStr">
        <is>
          <t>透明/型</t>
        </is>
      </c>
      <c r="F208" t="inlineStr">
        <is>
          <t>S-3（160）等級/S-2（120）等級</t>
        </is>
      </c>
      <c r="G208" t="inlineStr">
        <is>
          <t>原本凡例保持・列位置は原本参照</t>
        </is>
      </c>
      <c r="H208" t="b">
        <v>1</v>
      </c>
      <c r="I208" t="inlineStr">
        <is>
          <t>価格表は以下の条件で算出しています。 / 透明             型（FIX部） / S-3（160）等級 S-3（160）等級 S-2（120）等級 / 無印                  3-A-3     3-A-型4 / ☆                  3-A-3     4-A-型4 / ★                  3-A-3                3-A-型4 / ※開き部は全機種「無印」の組合せとなります。</t>
        </is>
      </c>
      <c r="J208" t="inlineStr">
        <is>
          <t>202604_LIXIL_サーモスＬ_業務用資料集_完成品価格表.pdf</t>
        </is>
      </c>
      <c r="K208" t="inlineStr">
        <is>
          <t>https://drive.google.com/file/d/1YUN-mtWYs48YBUHJk0C3vJXnhjyZFHyf/view</t>
        </is>
      </c>
    </row>
    <row r="209">
      <c r="A209" s="42" t="inlineStr">
        <is>
          <t>GLG-SL-0206</t>
        </is>
      </c>
      <c r="B209" t="n">
        <v>126</v>
      </c>
      <c r="C209" t="inlineStr">
        <is>
          <t>★</t>
        </is>
      </c>
      <c r="D209" t="inlineStr">
        <is>
          <t>P126|★</t>
        </is>
      </c>
      <c r="E209" t="inlineStr">
        <is>
          <t>透明/型</t>
        </is>
      </c>
      <c r="F209" t="inlineStr">
        <is>
          <t>S-3（160）等級/S-2（120）等級</t>
        </is>
      </c>
      <c r="G209" t="inlineStr">
        <is>
          <t>原本凡例保持・列位置は原本参照</t>
        </is>
      </c>
      <c r="H209" t="b">
        <v>1</v>
      </c>
      <c r="I209" t="inlineStr">
        <is>
          <t>価格表は以下の条件で算出しています。 / 透明             型（FIX部） / S-3（160）等級 S-3（160）等級 S-2（120）等級 / 無印                  3-A-3     3-A-型4 / ☆                  3-A-3     4-A-型4 / ★                  3-A-3                3-A-型4 / ※開き部は全機種「無印」の組合せとなります。</t>
        </is>
      </c>
      <c r="J209" t="inlineStr">
        <is>
          <t>202604_LIXIL_サーモスＬ_業務用資料集_完成品価格表.pdf</t>
        </is>
      </c>
      <c r="K209" t="inlineStr">
        <is>
          <t>https://drive.google.com/file/d/1YUN-mtWYs48YBUHJk0C3vJXnhjyZFHyf/view</t>
        </is>
      </c>
    </row>
    <row r="210">
      <c r="A210" s="42" t="inlineStr">
        <is>
          <t>GLG-SL-0207</t>
        </is>
      </c>
      <c r="B210" t="n">
        <v>126</v>
      </c>
      <c r="C210" t="inlineStr">
        <is>
          <t>☆</t>
        </is>
      </c>
      <c r="D210" t="inlineStr">
        <is>
          <t>P126|☆</t>
        </is>
      </c>
      <c r="E210" t="inlineStr">
        <is>
          <t>透明/型</t>
        </is>
      </c>
      <c r="F210" t="inlineStr">
        <is>
          <t>S-3（160）等級/S-2（120）等級</t>
        </is>
      </c>
      <c r="G210" t="inlineStr">
        <is>
          <t>原本凡例保持・列位置は原本参照</t>
        </is>
      </c>
      <c r="H210" t="b">
        <v>1</v>
      </c>
      <c r="I210" t="inlineStr">
        <is>
          <t>価格表は以下の条件で算出しています。 / 透明             型（FIX部） / S-3（160）等級 S-3（160）等級 S-2（120）等級 / 無印                  3-A-3     3-A-型4 / ☆                  3-A-3     4-A-型4 / ★                  3-A-3                3-A-型4 / ※開き部は全機種「無印」の組合せとなります。</t>
        </is>
      </c>
      <c r="J210" t="inlineStr">
        <is>
          <t>202604_LIXIL_サーモスＬ_業務用資料集_完成品価格表.pdf</t>
        </is>
      </c>
      <c r="K210" t="inlineStr">
        <is>
          <t>https://drive.google.com/file/d/1YUN-mtWYs48YBUHJk0C3vJXnhjyZFHyf/view</t>
        </is>
      </c>
    </row>
    <row r="211">
      <c r="A211" s="42" t="inlineStr">
        <is>
          <t>GLG-SL-0208</t>
        </is>
      </c>
      <c r="B211" t="n">
        <v>127</v>
      </c>
      <c r="C211" t="inlineStr">
        <is>
          <t>無印</t>
        </is>
      </c>
      <c r="D211" t="inlineStr">
        <is>
          <t>P127|無印</t>
        </is>
      </c>
      <c r="E211" t="inlineStr">
        <is>
          <t>透明/型</t>
        </is>
      </c>
      <c r="F211" t="inlineStr">
        <is>
          <t>S-3（160）等級/S-2（120）等級</t>
        </is>
      </c>
      <c r="G211" t="inlineStr">
        <is>
          <t>原本凡例保持・列位置は原本参照</t>
        </is>
      </c>
      <c r="H211" t="b">
        <v>1</v>
      </c>
      <c r="I211" t="inlineStr">
        <is>
          <t>価格表は以下の条件で算出しています。 / 透明             型（FIX部） / S-3（160）等級 S-3（160）等級 S-2（120）等級 / 無印                  3-A-3     3-A-型4 / ★                  3-A-3                3-A-型4 / ※開き部は全機種「無印」の組合せとなります。 / 127</t>
        </is>
      </c>
      <c r="J211" t="inlineStr">
        <is>
          <t>202604_LIXIL_サーモスＬ_業務用資料集_完成品価格表.pdf</t>
        </is>
      </c>
      <c r="K211" t="inlineStr">
        <is>
          <t>https://drive.google.com/file/d/1YUN-mtWYs48YBUHJk0C3vJXnhjyZFHyf/view</t>
        </is>
      </c>
    </row>
    <row r="212">
      <c r="A212" s="42" t="inlineStr">
        <is>
          <t>GLG-SL-0209</t>
        </is>
      </c>
      <c r="B212" t="n">
        <v>127</v>
      </c>
      <c r="C212" t="inlineStr">
        <is>
          <t>★</t>
        </is>
      </c>
      <c r="D212" t="inlineStr">
        <is>
          <t>P127|★</t>
        </is>
      </c>
      <c r="E212" t="inlineStr">
        <is>
          <t>透明/型</t>
        </is>
      </c>
      <c r="F212" t="inlineStr">
        <is>
          <t>S-3（160）等級/S-2（120）等級</t>
        </is>
      </c>
      <c r="G212" t="inlineStr">
        <is>
          <t>原本凡例保持・列位置は原本参照</t>
        </is>
      </c>
      <c r="H212" t="b">
        <v>1</v>
      </c>
      <c r="I212" t="inlineStr">
        <is>
          <t>価格表は以下の条件で算出しています。 / 透明             型（FIX部） / S-3（160）等級 S-3（160）等級 S-2（120）等級 / 無印                  3-A-3     3-A-型4 / ★                  3-A-3                3-A-型4 / ※開き部は全機種「無印」の組合せとなります。 / 127</t>
        </is>
      </c>
      <c r="J212" t="inlineStr">
        <is>
          <t>202604_LIXIL_サーモスＬ_業務用資料集_完成品価格表.pdf</t>
        </is>
      </c>
      <c r="K212" t="inlineStr">
        <is>
          <t>https://drive.google.com/file/d/1YUN-mtWYs48YBUHJk0C3vJXnhjyZFHyf/view</t>
        </is>
      </c>
    </row>
    <row r="213">
      <c r="A213" s="42" t="inlineStr">
        <is>
          <t>GLG-SL-0210</t>
        </is>
      </c>
      <c r="B213" t="n">
        <v>128</v>
      </c>
      <c r="C213" t="inlineStr">
        <is>
          <t>無印</t>
        </is>
      </c>
      <c r="D213" t="inlineStr">
        <is>
          <t>P128|無印</t>
        </is>
      </c>
      <c r="E213" t="inlineStr">
        <is>
          <t>透明/型</t>
        </is>
      </c>
      <c r="F213" t="inlineStr">
        <is>
          <t>S-3（160）等級/S-2（120）等級</t>
        </is>
      </c>
      <c r="G213" t="inlineStr">
        <is>
          <t>原本凡例保持・列位置は原本参照</t>
        </is>
      </c>
      <c r="H213" t="b">
        <v>1</v>
      </c>
      <c r="I213" t="inlineStr">
        <is>
          <t>価格表は以下の条件で算出しています。 / 透明             型（FIX部） / S-3（160）等級 S-3（160）等級 S-2（120）等級 / 無印                  3-A-3     3-A-型4 / ★                  3-A-3                3-A-型4 / ※開き部は全機種「無印」の組合せとなります。</t>
        </is>
      </c>
      <c r="J213" t="inlineStr">
        <is>
          <t>202604_LIXIL_サーモスＬ_業務用資料集_完成品価格表.pdf</t>
        </is>
      </c>
      <c r="K213" t="inlineStr">
        <is>
          <t>https://drive.google.com/file/d/1YUN-mtWYs48YBUHJk0C3vJXnhjyZFHyf/view</t>
        </is>
      </c>
    </row>
    <row r="214">
      <c r="A214" s="42" t="inlineStr">
        <is>
          <t>GLG-SL-0211</t>
        </is>
      </c>
      <c r="B214" t="n">
        <v>128</v>
      </c>
      <c r="C214" t="inlineStr">
        <is>
          <t>★</t>
        </is>
      </c>
      <c r="D214" t="inlineStr">
        <is>
          <t>P128|★</t>
        </is>
      </c>
      <c r="E214" t="inlineStr">
        <is>
          <t>透明/型</t>
        </is>
      </c>
      <c r="F214" t="inlineStr">
        <is>
          <t>S-3（160）等級/S-2（120）等級</t>
        </is>
      </c>
      <c r="G214" t="inlineStr">
        <is>
          <t>原本凡例保持・列位置は原本参照</t>
        </is>
      </c>
      <c r="H214" t="b">
        <v>1</v>
      </c>
      <c r="I214" t="inlineStr">
        <is>
          <t>価格表は以下の条件で算出しています。 / 透明             型（FIX部） / S-3（160）等級 S-3（160）等級 S-2（120）等級 / 無印                  3-A-3     3-A-型4 / ★                  3-A-3                3-A-型4 / ※開き部は全機種「無印」の組合せとなります。</t>
        </is>
      </c>
      <c r="J214" t="inlineStr">
        <is>
          <t>202604_LIXIL_サーモスＬ_業務用資料集_完成品価格表.pdf</t>
        </is>
      </c>
      <c r="K214" t="inlineStr">
        <is>
          <t>https://drive.google.com/file/d/1YUN-mtWYs48YBUHJk0C3vJXnhjyZFHyf/view</t>
        </is>
      </c>
    </row>
    <row r="215">
      <c r="A215" s="42" t="inlineStr">
        <is>
          <t>GLG-SL-0212</t>
        </is>
      </c>
      <c r="B215" t="n">
        <v>129</v>
      </c>
      <c r="C215" t="inlineStr">
        <is>
          <t>無印</t>
        </is>
      </c>
      <c r="D215" t="inlineStr">
        <is>
          <t>P129|無印</t>
        </is>
      </c>
      <c r="E215" t="inlineStr">
        <is>
          <t>透明/型</t>
        </is>
      </c>
      <c r="F215" t="inlineStr">
        <is>
          <t>S-3（160）等級/S-2（120）等級</t>
        </is>
      </c>
      <c r="G215" t="inlineStr">
        <is>
          <t>原本凡例保持・列位置は原本参照</t>
        </is>
      </c>
      <c r="H215" t="b">
        <v>1</v>
      </c>
      <c r="I215" t="inlineStr">
        <is>
          <t>価格表は以下の条件で算出しています。 / 透明             型（FIX部） / S-3（160）等級 S-3（160）等級 S-2（120）等級 / 無印                  3-A-3     3-A-型4 / ★                  3-A-3                3-A-型4 / ※開き部は全機種「無印」の組合せとなります。 / 129</t>
        </is>
      </c>
      <c r="J215" t="inlineStr">
        <is>
          <t>202604_LIXIL_サーモスＬ_業務用資料集_完成品価格表.pdf</t>
        </is>
      </c>
      <c r="K215" t="inlineStr">
        <is>
          <t>https://drive.google.com/file/d/1YUN-mtWYs48YBUHJk0C3vJXnhjyZFHyf/view</t>
        </is>
      </c>
    </row>
    <row r="216">
      <c r="A216" s="42" t="inlineStr">
        <is>
          <t>GLG-SL-0213</t>
        </is>
      </c>
      <c r="B216" t="n">
        <v>129</v>
      </c>
      <c r="C216" t="inlineStr">
        <is>
          <t>★</t>
        </is>
      </c>
      <c r="D216" t="inlineStr">
        <is>
          <t>P129|★</t>
        </is>
      </c>
      <c r="E216" t="inlineStr">
        <is>
          <t>透明/型</t>
        </is>
      </c>
      <c r="F216" t="inlineStr">
        <is>
          <t>S-3（160）等級/S-2（120）等級</t>
        </is>
      </c>
      <c r="G216" t="inlineStr">
        <is>
          <t>原本凡例保持・列位置は原本参照</t>
        </is>
      </c>
      <c r="H216" t="b">
        <v>1</v>
      </c>
      <c r="I216" t="inlineStr">
        <is>
          <t>価格表は以下の条件で算出しています。 / 透明             型（FIX部） / S-3（160）等級 S-3（160）等級 S-2（120）等級 / 無印                  3-A-3     3-A-型4 / ★                  3-A-3                3-A-型4 / ※開き部は全機種「無印」の組合せとなります。 / 129</t>
        </is>
      </c>
      <c r="J216" t="inlineStr">
        <is>
          <t>202604_LIXIL_サーモスＬ_業務用資料集_完成品価格表.pdf</t>
        </is>
      </c>
      <c r="K216" t="inlineStr">
        <is>
          <t>https://drive.google.com/file/d/1YUN-mtWYs48YBUHJk0C3vJXnhjyZFHyf/view</t>
        </is>
      </c>
    </row>
    <row r="217">
      <c r="A217" s="42" t="inlineStr">
        <is>
          <t>GLG-SL-0214</t>
        </is>
      </c>
      <c r="B217" t="n">
        <v>132</v>
      </c>
      <c r="C217" t="inlineStr">
        <is>
          <t>無印</t>
        </is>
      </c>
      <c r="D217" t="inlineStr">
        <is>
          <t>P132|無印</t>
        </is>
      </c>
      <c r="E217" t="inlineStr">
        <is>
          <t>透明/型</t>
        </is>
      </c>
      <c r="F217" t="inlineStr">
        <is>
          <t>S-3（160）等級/S-2（120）等級</t>
        </is>
      </c>
      <c r="G217" t="inlineStr">
        <is>
          <t>原本凡例保持・列位置は原本参照</t>
        </is>
      </c>
      <c r="H217" t="b">
        <v>1</v>
      </c>
      <c r="I217" t="inlineStr">
        <is>
          <t>価格表は以下の条件で算出しています。 / 透明               型 / S-3（160）等級 S-2（120）等級 S-3（160）等級 / 無印                    3-A-3                3-A-型4 / ★                               3-A-3</t>
        </is>
      </c>
      <c r="J217" t="inlineStr">
        <is>
          <t>202604_LIXIL_サーモスＬ_業務用資料集_完成品価格表.pdf</t>
        </is>
      </c>
      <c r="K217" t="inlineStr">
        <is>
          <t>https://drive.google.com/file/d/1YUN-mtWYs48YBUHJk0C3vJXnhjyZFHyf/view</t>
        </is>
      </c>
    </row>
    <row r="218">
      <c r="A218" s="42" t="inlineStr">
        <is>
          <t>GLG-SL-0215</t>
        </is>
      </c>
      <c r="B218" t="n">
        <v>132</v>
      </c>
      <c r="C218" t="inlineStr">
        <is>
          <t>★</t>
        </is>
      </c>
      <c r="D218" t="inlineStr">
        <is>
          <t>P132|★</t>
        </is>
      </c>
      <c r="E218" t="inlineStr">
        <is>
          <t>透明/型</t>
        </is>
      </c>
      <c r="F218" t="inlineStr">
        <is>
          <t>S-3（160）等級/S-2（120）等級</t>
        </is>
      </c>
      <c r="G218" t="inlineStr">
        <is>
          <t>原本凡例保持・列位置は原本参照</t>
        </is>
      </c>
      <c r="H218" t="b">
        <v>1</v>
      </c>
      <c r="I218" t="inlineStr">
        <is>
          <t>価格表は以下の条件で算出しています。 / 透明               型 / S-3（160）等級 S-2（120）等級 S-3（160）等級 / 無印                    3-A-3                3-A-型4 / ★                               3-A-3</t>
        </is>
      </c>
      <c r="J218" t="inlineStr">
        <is>
          <t>202604_LIXIL_サーモスＬ_業務用資料集_完成品価格表.pdf</t>
        </is>
      </c>
      <c r="K218" t="inlineStr">
        <is>
          <t>https://drive.google.com/file/d/1YUN-mtWYs48YBUHJk0C3vJXnhjyZFHyf/view</t>
        </is>
      </c>
    </row>
    <row r="219">
      <c r="A219" s="42" t="inlineStr">
        <is>
          <t>GLG-SL-0216</t>
        </is>
      </c>
      <c r="B219" t="n">
        <v>134</v>
      </c>
      <c r="C219" t="inlineStr">
        <is>
          <t>無印</t>
        </is>
      </c>
      <c r="D219" t="inlineStr">
        <is>
          <t>P134|無印</t>
        </is>
      </c>
      <c r="E219" t="inlineStr">
        <is>
          <t>透明/型</t>
        </is>
      </c>
      <c r="F219" t="inlineStr">
        <is>
          <t>S-3（160）等級</t>
        </is>
      </c>
      <c r="G219" t="inlineStr">
        <is>
          <t>原本凡例保持・列位置は原本参照</t>
        </is>
      </c>
      <c r="H219" t="b">
        <v>1</v>
      </c>
      <c r="I219" t="inlineStr">
        <is>
          <t>価格表は以下の条件で算出しています。 / 透明          型 / S-3（160）等級 S-3（160）等級 / 3-A-3     3-A-型4</t>
        </is>
      </c>
      <c r="J219" t="inlineStr">
        <is>
          <t>202604_LIXIL_サーモスＬ_業務用資料集_完成品価格表.pdf</t>
        </is>
      </c>
      <c r="K219" t="inlineStr">
        <is>
          <t>https://drive.google.com/file/d/1YUN-mtWYs48YBUHJk0C3vJXnhjyZFHyf/view</t>
        </is>
      </c>
    </row>
    <row r="220">
      <c r="A220" s="42" t="inlineStr">
        <is>
          <t>GLG-SL-0217</t>
        </is>
      </c>
      <c r="B220" t="n">
        <v>136</v>
      </c>
      <c r="C220" t="inlineStr">
        <is>
          <t>無印</t>
        </is>
      </c>
      <c r="D220" t="inlineStr">
        <is>
          <t>P136|無印</t>
        </is>
      </c>
      <c r="E220" t="inlineStr">
        <is>
          <t>透明/型</t>
        </is>
      </c>
      <c r="F220" t="inlineStr">
        <is>
          <t>S-3（160）等級</t>
        </is>
      </c>
      <c r="G220" t="inlineStr">
        <is>
          <t>原本凡例保持・列位置は原本参照</t>
        </is>
      </c>
      <c r="H220" t="b">
        <v>1</v>
      </c>
      <c r="I220" t="inlineStr">
        <is>
          <t>価格表は以下の条件で算出しています。 / 透明          型 / S-3（160）等級 S-3（160）等級 / 3-A-3     3-A-型4</t>
        </is>
      </c>
      <c r="J220" t="inlineStr">
        <is>
          <t>202604_LIXIL_サーモスＬ_業務用資料集_完成品価格表.pdf</t>
        </is>
      </c>
      <c r="K220" t="inlineStr">
        <is>
          <t>https://drive.google.com/file/d/1YUN-mtWYs48YBUHJk0C3vJXnhjyZFHyf/view</t>
        </is>
      </c>
    </row>
    <row r="221">
      <c r="A221" s="42" t="inlineStr">
        <is>
          <t>GLG-SL-0218</t>
        </is>
      </c>
      <c r="B221" t="n">
        <v>138</v>
      </c>
      <c r="C221" t="inlineStr">
        <is>
          <t>無印</t>
        </is>
      </c>
      <c r="D221" t="inlineStr">
        <is>
          <t>P138|無印</t>
        </is>
      </c>
      <c r="E221" t="inlineStr">
        <is>
          <t>透明/型</t>
        </is>
      </c>
      <c r="F221" t="inlineStr">
        <is>
          <t>S-3（160）等級</t>
        </is>
      </c>
      <c r="G221" t="inlineStr">
        <is>
          <t>原本凡例保持・列位置は原本参照</t>
        </is>
      </c>
      <c r="H221" t="b">
        <v>1</v>
      </c>
      <c r="I221" t="inlineStr">
        <is>
          <t>価格表は以下の条件で算出しています。 / 透明          型                                         開閉装置            加算額 / S-3（160）等級 S-3（160）等級                                  オペレーターハンドル         ▲ ¥32,900 / 3-A-3     3-A-型4                                   シングルループチェーン式 / ▲ ¥26,500 / オペレーター（チェーンカバー付） / ダブルループチェーン式 / ▲ ¥26,500 / オペレーター</t>
        </is>
      </c>
      <c r="J221" t="inlineStr">
        <is>
          <t>202604_LIXIL_サーモスＬ_業務用資料集_完成品価格表.pdf</t>
        </is>
      </c>
      <c r="K221" t="inlineStr">
        <is>
          <t>https://drive.google.com/file/d/1YUN-mtWYs48YBUHJk0C3vJXnhjyZFHyf/view</t>
        </is>
      </c>
    </row>
    <row r="222">
      <c r="A222" s="42" t="inlineStr">
        <is>
          <t>GLG-SL-0219</t>
        </is>
      </c>
      <c r="B222" t="n">
        <v>138</v>
      </c>
      <c r="C222" t="inlineStr">
        <is>
          <t>▲</t>
        </is>
      </c>
      <c r="D222" t="inlineStr">
        <is>
          <t>P138|▲</t>
        </is>
      </c>
      <c r="E222" t="inlineStr">
        <is>
          <t>透明/型</t>
        </is>
      </c>
      <c r="F222" t="inlineStr">
        <is>
          <t>S-3（160）等級</t>
        </is>
      </c>
      <c r="G222" t="inlineStr">
        <is>
          <t>原本凡例保持・列位置は原本参照</t>
        </is>
      </c>
      <c r="H222" t="b">
        <v>1</v>
      </c>
      <c r="I222" t="inlineStr">
        <is>
          <t>価格表は以下の条件で算出しています。 / 透明          型                                         開閉装置            加算額 / S-3（160）等級 S-3（160）等級                                  オペレーターハンドル         ▲ ¥32,900 / 3-A-3     3-A-型4                                   シングルループチェーン式 / ▲ ¥26,500 / オペレーター（チェーンカバー付） / ダブルループチェーン式 / ▲ ¥26,500 / オペレーター</t>
        </is>
      </c>
      <c r="J222" t="inlineStr">
        <is>
          <t>202604_LIXIL_サーモスＬ_業務用資料集_完成品価格表.pdf</t>
        </is>
      </c>
      <c r="K222" t="inlineStr">
        <is>
          <t>https://drive.google.com/file/d/1YUN-mtWYs48YBUHJk0C3vJXnhjyZFHyf/view</t>
        </is>
      </c>
    </row>
    <row r="223">
      <c r="A223" s="42" t="inlineStr">
        <is>
          <t>GLG-SL-0220</t>
        </is>
      </c>
      <c r="B223" t="n">
        <v>140</v>
      </c>
      <c r="C223" t="inlineStr">
        <is>
          <t>無印</t>
        </is>
      </c>
      <c r="D223" t="inlineStr">
        <is>
          <t>P140|無印</t>
        </is>
      </c>
      <c r="E223" t="inlineStr">
        <is>
          <t>透明/型</t>
        </is>
      </c>
      <c r="F223" t="inlineStr">
        <is>
          <t>S-3（160）等級/S-2（120）等級</t>
        </is>
      </c>
      <c r="G223" t="inlineStr">
        <is>
          <t>原本凡例保持・列位置は原本参照</t>
        </is>
      </c>
      <c r="H223" t="b">
        <v>1</v>
      </c>
      <c r="I223" t="inlineStr">
        <is>
          <t>価格表は以下の条件で算出しています。 / 透明                    型                                     開閉装置                  加算額 / S-3（160）等級 S-2（120）等級 S-3（160）等級 S-2（120）等級                        オペレーターハンドル               ▲ ¥32,900 / 無印                  3-A-3                3-A-型4                                    シングルループチェーン式 / ▲ ¥26,500 / ★                             3-A-3                3-A-型4                       オペレーター（チェーンカバー付） / ダブルループチェーン式 / ▲ ¥26,500 / オペレーター</t>
        </is>
      </c>
      <c r="J223" t="inlineStr">
        <is>
          <t>202604_LIXIL_サーモスＬ_業務用資料集_完成品価格表.pdf</t>
        </is>
      </c>
      <c r="K223" t="inlineStr">
        <is>
          <t>https://drive.google.com/file/d/1YUN-mtWYs48YBUHJk0C3vJXnhjyZFHyf/view</t>
        </is>
      </c>
    </row>
    <row r="224">
      <c r="A224" s="42" t="inlineStr">
        <is>
          <t>GLG-SL-0221</t>
        </is>
      </c>
      <c r="B224" t="n">
        <v>140</v>
      </c>
      <c r="C224" t="inlineStr">
        <is>
          <t>★</t>
        </is>
      </c>
      <c r="D224" t="inlineStr">
        <is>
          <t>P140|★</t>
        </is>
      </c>
      <c r="E224" t="inlineStr">
        <is>
          <t>透明/型</t>
        </is>
      </c>
      <c r="F224" t="inlineStr">
        <is>
          <t>S-3（160）等級/S-2（120）等級</t>
        </is>
      </c>
      <c r="G224" t="inlineStr">
        <is>
          <t>原本凡例保持・列位置は原本参照</t>
        </is>
      </c>
      <c r="H224" t="b">
        <v>1</v>
      </c>
      <c r="I224" t="inlineStr">
        <is>
          <t>価格表は以下の条件で算出しています。 / 透明                    型                                     開閉装置                  加算額 / S-3（160）等級 S-2（120）等級 S-3（160）等級 S-2（120）等級                        オペレーターハンドル               ▲ ¥32,900 / 無印                  3-A-3                3-A-型4                                    シングルループチェーン式 / ▲ ¥26,500 / ★                             3-A-3                3-A-型4                       オペレーター（チェーンカバー付） / ダブルループチェーン式 / ▲ ¥26,500 / オペレーター</t>
        </is>
      </c>
      <c r="J224" t="inlineStr">
        <is>
          <t>202604_LIXIL_サーモスＬ_業務用資料集_完成品価格表.pdf</t>
        </is>
      </c>
      <c r="K224" t="inlineStr">
        <is>
          <t>https://drive.google.com/file/d/1YUN-mtWYs48YBUHJk0C3vJXnhjyZFHyf/view</t>
        </is>
      </c>
    </row>
    <row r="225">
      <c r="A225" s="42" t="inlineStr">
        <is>
          <t>GLG-SL-0222</t>
        </is>
      </c>
      <c r="B225" t="n">
        <v>140</v>
      </c>
      <c r="C225" t="inlineStr">
        <is>
          <t>▲</t>
        </is>
      </c>
      <c r="D225" t="inlineStr">
        <is>
          <t>P140|▲</t>
        </is>
      </c>
      <c r="E225" t="inlineStr">
        <is>
          <t>透明/型</t>
        </is>
      </c>
      <c r="F225" t="inlineStr">
        <is>
          <t>S-3（160）等級/S-2（120）等級</t>
        </is>
      </c>
      <c r="G225" t="inlineStr">
        <is>
          <t>原本凡例保持・列位置は原本参照</t>
        </is>
      </c>
      <c r="H225" t="b">
        <v>1</v>
      </c>
      <c r="I225" t="inlineStr">
        <is>
          <t>価格表は以下の条件で算出しています。 / 透明                    型                                     開閉装置                  加算額 / S-3（160）等級 S-2（120）等級 S-3（160）等級 S-2（120）等級                        オペレーターハンドル               ▲ ¥32,900 / 無印                  3-A-3                3-A-型4                                    シングルループチェーン式 / ▲ ¥26,500 / ★                             3-A-3                3-A-型4                       オペレーター（チェーンカバー付） / ダブルループチェーン式 / ▲ ¥26,500 / オペレーター</t>
        </is>
      </c>
      <c r="J225" t="inlineStr">
        <is>
          <t>202604_LIXIL_サーモスＬ_業務用資料集_完成品価格表.pdf</t>
        </is>
      </c>
      <c r="K225" t="inlineStr">
        <is>
          <t>https://drive.google.com/file/d/1YUN-mtWYs48YBUHJk0C3vJXnhjyZFHyf/view</t>
        </is>
      </c>
    </row>
    <row r="226">
      <c r="A226" s="42" t="inlineStr">
        <is>
          <t>GLG-SL-0223</t>
        </is>
      </c>
      <c r="B226" t="n">
        <v>143</v>
      </c>
      <c r="C226" t="inlineStr">
        <is>
          <t>無印</t>
        </is>
      </c>
      <c r="D226" t="inlineStr">
        <is>
          <t>P143|無印</t>
        </is>
      </c>
      <c r="E226" t="inlineStr">
        <is>
          <t>透明/型</t>
        </is>
      </c>
      <c r="F226" t="inlineStr">
        <is>
          <t>S-3（160）等級</t>
        </is>
      </c>
      <c r="G226" t="inlineStr">
        <is>
          <t>原本凡例保持・列位置は原本参照</t>
        </is>
      </c>
      <c r="H226" t="b">
        <v>1</v>
      </c>
      <c r="I226" t="inlineStr">
        <is>
          <t>¥110,300         ¥117,000   価格表は以下の条件で算出しています。 / ¥122,500         ¥129,200       透明          型 / ¥122,500         ¥129,200   S-3（160）等級 S-3（160）等級 / ¥8,400           ¥8,700       3-A-3     3-A-型4 / 143</t>
        </is>
      </c>
      <c r="J226" t="inlineStr">
        <is>
          <t>202604_LIXIL_サーモスＬ_業務用資料集_完成品価格表.pdf</t>
        </is>
      </c>
      <c r="K226" t="inlineStr">
        <is>
          <t>https://drive.google.com/file/d/1YUN-mtWYs48YBUHJk0C3vJXnhjyZFHyf/view</t>
        </is>
      </c>
    </row>
    <row r="227">
      <c r="A227" s="42" t="inlineStr">
        <is>
          <t>GLG-SL-0224</t>
        </is>
      </c>
      <c r="B227" t="n">
        <v>144</v>
      </c>
      <c r="C227" t="inlineStr">
        <is>
          <t>無印</t>
        </is>
      </c>
      <c r="D227" t="inlineStr">
        <is>
          <t>P144|無印</t>
        </is>
      </c>
      <c r="E227" t="inlineStr">
        <is>
          <t>透明/型</t>
        </is>
      </c>
      <c r="F227" t="inlineStr">
        <is>
          <t>S-3（160）等級</t>
        </is>
      </c>
      <c r="G227" t="inlineStr">
        <is>
          <t>原本凡例保持・列位置は原本参照</t>
        </is>
      </c>
      <c r="H227" t="b">
        <v>1</v>
      </c>
      <c r="I227" t="inlineStr">
        <is>
          <t>価格表は以下の条件で算出しています。 / 透明          型 / S-3（160）等級 S-3（160）等級 / 3-A-3     3-A-型4</t>
        </is>
      </c>
      <c r="J227" t="inlineStr">
        <is>
          <t>202604_LIXIL_サーモスＬ_業務用資料集_完成品価格表.pdf</t>
        </is>
      </c>
      <c r="K227" t="inlineStr">
        <is>
          <t>https://drive.google.com/file/d/1YUN-mtWYs48YBUHJk0C3vJXnhjyZFHyf/view</t>
        </is>
      </c>
    </row>
    <row r="228">
      <c r="A228" s="42" t="inlineStr">
        <is>
          <t>GLG-SL-0225</t>
        </is>
      </c>
      <c r="B228" t="n">
        <v>145</v>
      </c>
      <c r="C228" t="inlineStr">
        <is>
          <t>無印</t>
        </is>
      </c>
      <c r="D228" t="inlineStr">
        <is>
          <t>P145|無印</t>
        </is>
      </c>
      <c r="E228" t="inlineStr">
        <is>
          <t>透明/型</t>
        </is>
      </c>
      <c r="F228" t="inlineStr">
        <is>
          <t>S-3（160）等級</t>
        </is>
      </c>
      <c r="G228" t="inlineStr">
        <is>
          <t>原本凡例保持・列位置は原本参照</t>
        </is>
      </c>
      <c r="H228" t="b">
        <v>1</v>
      </c>
      <c r="I228" t="inlineStr">
        <is>
          <t>価格表は以下の条件で算出しています。 / 透明          型 / S-3（160）等級 S-3（160）等級 / 3-A-3     3-A-型4 / 145</t>
        </is>
      </c>
      <c r="J228" t="inlineStr">
        <is>
          <t>202604_LIXIL_サーモスＬ_業務用資料集_完成品価格表.pdf</t>
        </is>
      </c>
      <c r="K228" t="inlineStr">
        <is>
          <t>https://drive.google.com/file/d/1YUN-mtWYs48YBUHJk0C3vJXnhjyZFHyf/view</t>
        </is>
      </c>
    </row>
    <row r="229">
      <c r="A229" s="42" t="inlineStr">
        <is>
          <t>GLG-SL-0226</t>
        </is>
      </c>
      <c r="B229" t="n">
        <v>146</v>
      </c>
      <c r="C229" t="inlineStr">
        <is>
          <t>無印</t>
        </is>
      </c>
      <c r="D229" t="inlineStr">
        <is>
          <t>P146|無印</t>
        </is>
      </c>
      <c r="E229" t="inlineStr">
        <is>
          <t>透明/型</t>
        </is>
      </c>
      <c r="F229" t="inlineStr">
        <is>
          <t>S-3（160）等級</t>
        </is>
      </c>
      <c r="G229" t="inlineStr">
        <is>
          <t>原本凡例保持・列位置は原本参照</t>
        </is>
      </c>
      <c r="H229" t="b">
        <v>1</v>
      </c>
      <c r="I229" t="inlineStr">
        <is>
          <t>価格表は以下の条件で算出しています。 / 透明          型 / S-3（160）等級 S-3（160）等級 / 3-A-3     3-A-型4</t>
        </is>
      </c>
      <c r="J229" t="inlineStr">
        <is>
          <t>202604_LIXIL_サーモスＬ_業務用資料集_完成品価格表.pdf</t>
        </is>
      </c>
      <c r="K229" t="inlineStr">
        <is>
          <t>https://drive.google.com/file/d/1YUN-mtWYs48YBUHJk0C3vJXnhjyZFHyf/view</t>
        </is>
      </c>
    </row>
    <row r="230">
      <c r="A230" s="42" t="inlineStr">
        <is>
          <t>GLG-SL-0227</t>
        </is>
      </c>
      <c r="B230" t="n">
        <v>147</v>
      </c>
      <c r="C230" t="inlineStr">
        <is>
          <t>無印</t>
        </is>
      </c>
      <c r="D230" t="inlineStr">
        <is>
          <t>P147|無印</t>
        </is>
      </c>
      <c r="E230" t="inlineStr">
        <is>
          <t>透明/型</t>
        </is>
      </c>
      <c r="F230" t="inlineStr">
        <is>
          <t>S-3（160）等級</t>
        </is>
      </c>
      <c r="G230" t="inlineStr">
        <is>
          <t>原本凡例保持・列位置は原本参照</t>
        </is>
      </c>
      <c r="H230" t="b">
        <v>1</v>
      </c>
      <c r="I230" t="inlineStr">
        <is>
          <t>価格表は以下の条件で算出しています。 / 透明          型 / S-3（160）等級 S-3（160）等級 / 3-A-3     3-A-型4 / 147</t>
        </is>
      </c>
      <c r="J230" t="inlineStr">
        <is>
          <t>202604_LIXIL_サーモスＬ_業務用資料集_完成品価格表.pdf</t>
        </is>
      </c>
      <c r="K230" t="inlineStr">
        <is>
          <t>https://drive.google.com/file/d/1YUN-mtWYs48YBUHJk0C3vJXnhjyZFHyf/view</t>
        </is>
      </c>
    </row>
    <row r="231">
      <c r="A231" s="42" t="inlineStr">
        <is>
          <t>GLG-SL-0228</t>
        </is>
      </c>
      <c r="B231" t="n">
        <v>149</v>
      </c>
      <c r="C231" t="inlineStr">
        <is>
          <t>無印</t>
        </is>
      </c>
      <c r="D231" t="inlineStr">
        <is>
          <t>P149|無印</t>
        </is>
      </c>
      <c r="E231" t="inlineStr">
        <is>
          <t>透明/型</t>
        </is>
      </c>
      <c r="F231" t="inlineStr">
        <is>
          <t>S-3（160）等級</t>
        </is>
      </c>
      <c r="G231" t="inlineStr">
        <is>
          <t>原本凡例保持・列位置は原本参照</t>
        </is>
      </c>
      <c r="H231" t="b">
        <v>1</v>
      </c>
      <c r="I231" t="inlineStr">
        <is>
          <t>¥41,700   ¥44,400                                             価格表は以下の条件で算出しています。 / ¥41,700   ¥44,400                                                 透明          型 / ¥45,300   ¥48,000                                             S-3（160）等級 S-3（160）等級 / ¥45,300   ¥48,000                                                 3-A-3     3-A-型4 / 149</t>
        </is>
      </c>
      <c r="J231" t="inlineStr">
        <is>
          <t>202604_LIXIL_サーモスＬ_業務用資料集_完成品価格表.pdf</t>
        </is>
      </c>
      <c r="K231" t="inlineStr">
        <is>
          <t>https://drive.google.com/file/d/1YUN-mtWYs48YBUHJk0C3vJXnhjyZFHyf/view</t>
        </is>
      </c>
    </row>
    <row r="232">
      <c r="A232" s="42" t="inlineStr">
        <is>
          <t>GLG-SL-0229</t>
        </is>
      </c>
      <c r="B232" t="n">
        <v>151</v>
      </c>
      <c r="C232" t="inlineStr">
        <is>
          <t>無印</t>
        </is>
      </c>
      <c r="D232" t="inlineStr">
        <is>
          <t>P151|無印</t>
        </is>
      </c>
      <c r="E232" t="inlineStr">
        <is>
          <t>透明/型</t>
        </is>
      </c>
      <c r="F232" t="inlineStr">
        <is>
          <t>S-3（160）等級</t>
        </is>
      </c>
      <c r="G232" t="inlineStr">
        <is>
          <t>原本凡例保持・列位置は原本参照</t>
        </is>
      </c>
      <c r="H232" t="b">
        <v>1</v>
      </c>
      <c r="I232" t="inlineStr">
        <is>
          <t>価格表は以下の条件で算出しています。 / 透明          型 / S-3（160）等級 S-3（160）等級 / 3-A-3     3-A-型4 / 151</t>
        </is>
      </c>
      <c r="J232" t="inlineStr">
        <is>
          <t>202604_LIXIL_サーモスＬ_業務用資料集_完成品価格表.pdf</t>
        </is>
      </c>
      <c r="K232" t="inlineStr">
        <is>
          <t>https://drive.google.com/file/d/1YUN-mtWYs48YBUHJk0C3vJXnhjyZFHyf/view</t>
        </is>
      </c>
    </row>
    <row r="233">
      <c r="A233" s="42" t="inlineStr">
        <is>
          <t>GLG-SL-0230</t>
        </is>
      </c>
      <c r="B233" t="n">
        <v>152</v>
      </c>
      <c r="C233" t="inlineStr">
        <is>
          <t>無印</t>
        </is>
      </c>
      <c r="D233" t="inlineStr">
        <is>
          <t>P152|無印</t>
        </is>
      </c>
      <c r="E233" t="inlineStr">
        <is>
          <t>透明/型</t>
        </is>
      </c>
      <c r="F233" t="inlineStr">
        <is>
          <t>S-3（160）等級</t>
        </is>
      </c>
      <c r="G233" t="inlineStr">
        <is>
          <t>原本凡例保持・列位置は原本参照</t>
        </is>
      </c>
      <c r="H233" t="b">
        <v>1</v>
      </c>
      <c r="I233" t="inlineStr">
        <is>
          <t>価格表は以下の条件で算出しています。 / 透明 / S-3（160）等級 S-3（160）等級 / 3-A-3     3-A-型4</t>
        </is>
      </c>
      <c r="J233" t="inlineStr">
        <is>
          <t>202604_LIXIL_サーモスＬ_業務用資料集_完成品価格表.pdf</t>
        </is>
      </c>
      <c r="K233" t="inlineStr">
        <is>
          <t>https://drive.google.com/file/d/1YUN-mtWYs48YBUHJk0C3vJXnhjyZFHyf/view</t>
        </is>
      </c>
    </row>
    <row r="234">
      <c r="A234" s="42" t="inlineStr">
        <is>
          <t>GLG-SL-0231</t>
        </is>
      </c>
      <c r="B234" t="n">
        <v>154</v>
      </c>
      <c r="C234" t="inlineStr">
        <is>
          <t>無印</t>
        </is>
      </c>
      <c r="D234" t="inlineStr">
        <is>
          <t>P154|無印</t>
        </is>
      </c>
      <c r="E234" t="inlineStr">
        <is>
          <t>透明/型</t>
        </is>
      </c>
      <c r="F234" t="inlineStr">
        <is>
          <t>S-3（160）等級/S-2（120）等級</t>
        </is>
      </c>
      <c r="G234" t="inlineStr">
        <is>
          <t>原本凡例保持・列位置は原本参照</t>
        </is>
      </c>
      <c r="H234" t="b">
        <v>1</v>
      </c>
      <c r="I234" t="inlineStr">
        <is>
          <t>価格表は以下の条件で算出しています。 / 透明               型 / S-3（160）等級 S-3（160）等級 S-2（120）等級 / 無印                  3-A-3     3-A-型4 / ★                  3-A-3                3-A-型4</t>
        </is>
      </c>
      <c r="J234" t="inlineStr">
        <is>
          <t>202604_LIXIL_サーモスＬ_業務用資料集_完成品価格表.pdf</t>
        </is>
      </c>
      <c r="K234" t="inlineStr">
        <is>
          <t>https://drive.google.com/file/d/1YUN-mtWYs48YBUHJk0C3vJXnhjyZFHyf/view</t>
        </is>
      </c>
    </row>
    <row r="235">
      <c r="A235" s="42" t="inlineStr">
        <is>
          <t>GLG-SL-0232</t>
        </is>
      </c>
      <c r="B235" t="n">
        <v>154</v>
      </c>
      <c r="C235" t="inlineStr">
        <is>
          <t>★</t>
        </is>
      </c>
      <c r="D235" t="inlineStr">
        <is>
          <t>P154|★</t>
        </is>
      </c>
      <c r="E235" t="inlineStr">
        <is>
          <t>透明/型</t>
        </is>
      </c>
      <c r="F235" t="inlineStr">
        <is>
          <t>S-3（160）等級/S-2（120）等級</t>
        </is>
      </c>
      <c r="G235" t="inlineStr">
        <is>
          <t>原本凡例保持・列位置は原本参照</t>
        </is>
      </c>
      <c r="H235" t="b">
        <v>1</v>
      </c>
      <c r="I235" t="inlineStr">
        <is>
          <t>価格表は以下の条件で算出しています。 / 透明               型 / S-3（160）等級 S-3（160）等級 S-2（120）等級 / 無印                  3-A-3     3-A-型4 / ★                  3-A-3                3-A-型4</t>
        </is>
      </c>
      <c r="J235" t="inlineStr">
        <is>
          <t>202604_LIXIL_サーモスＬ_業務用資料集_完成品価格表.pdf</t>
        </is>
      </c>
      <c r="K235" t="inlineStr">
        <is>
          <t>https://drive.google.com/file/d/1YUN-mtWYs48YBUHJk0C3vJXnhjyZFHyf/view</t>
        </is>
      </c>
    </row>
    <row r="236">
      <c r="A236" s="42" t="inlineStr">
        <is>
          <t>GLG-SL-0233</t>
        </is>
      </c>
      <c r="B236" t="n">
        <v>157</v>
      </c>
      <c r="C236" t="inlineStr">
        <is>
          <t>無印</t>
        </is>
      </c>
      <c r="D236" t="inlineStr">
        <is>
          <t>P157|無印</t>
        </is>
      </c>
      <c r="E236" t="inlineStr">
        <is>
          <t>透明/型</t>
        </is>
      </c>
      <c r="F236" t="inlineStr">
        <is>
          <t>S-3（160）等級</t>
        </is>
      </c>
      <c r="G236" t="inlineStr">
        <is>
          <t>原本凡例保持・列位置は原本参照</t>
        </is>
      </c>
      <c r="H236" t="b">
        <v>1</v>
      </c>
      <c r="I236" t="inlineStr">
        <is>
          <t>¥43,400     ¥46,800     ¥45,700   ¥49,200                         ¥56,000   ¥59,600   価格表は以下の条件で算出しています。 / ¥43,400     ¥46,800     ¥45,700   ¥49,200                         ¥56,000   ¥59,600       透明          型 / ¥49,000     ¥52,400     ¥52,300   ¥55,800                         ¥67,000   ¥70,600   S-3（160）等級 S-3（160）等級 / ¥49,000     ¥52,400     ¥52,300   ¥55,800                         ¥67,000   ¥70,600       3-A-3     3-A-型4 / 157</t>
        </is>
      </c>
      <c r="J236" t="inlineStr">
        <is>
          <t>202604_LIXIL_サーモスＬ_業務用資料集_完成品価格表.pdf</t>
        </is>
      </c>
      <c r="K236" t="inlineStr">
        <is>
          <t>https://drive.google.com/file/d/1YUN-mtWYs48YBUHJk0C3vJXnhjyZFHyf/view</t>
        </is>
      </c>
    </row>
    <row r="237">
      <c r="A237" s="42" t="inlineStr">
        <is>
          <t>GLG-SL-0234</t>
        </is>
      </c>
      <c r="B237" t="n">
        <v>159</v>
      </c>
      <c r="C237" t="inlineStr">
        <is>
          <t>無印</t>
        </is>
      </c>
      <c r="D237" t="inlineStr">
        <is>
          <t>P159|無印</t>
        </is>
      </c>
      <c r="E237" t="inlineStr">
        <is>
          <t>透明/型</t>
        </is>
      </c>
      <c r="F237" t="inlineStr">
        <is>
          <t>S-3（160）等級/S-2（120）等級</t>
        </is>
      </c>
      <c r="G237" t="inlineStr">
        <is>
          <t>原本凡例保持・列位置は原本参照</t>
        </is>
      </c>
      <c r="H237" t="b">
        <v>1</v>
      </c>
      <c r="I237" t="inlineStr">
        <is>
          <t>¥100,400      ¥104,700                          ¥147,900      ¥152,800   価格表は以下の条件で算出しています。 / □119116                                                                               透明 / ［116116］                                                                    S-3（160）等級 S-2（120）等級 / ¥42,900       ¥47,100                                                    無印       3-A-3 / ¥72,900       ¥77,100                                                     ☆       3-A-3 / ¥95,800      ¥100,000                                                     ★       3-A-3 / ¥90,000       ¥94,200                                                     □       3-A-3 / ¥104,200      ¥108,400                                                     ●       4-A-4 / ■11913                                          ●16513                  ▽                  3-A-3 / ［11613］                                         ［16213］                 ■                  3-A-3 / ¥44,300       ¥48,700                           ¥50,900       ¥56,000 / ◇                  4-A-4 / ¥77,700       ¥82,100                          ¥132,300      ¥137,400 / ¥103,200      ¥107,600                          ¥146,300      ¥151,400                   型 / ¥96,700      ¥101,100                          ¥145,200      ¥150,300         S-3（160）等級 S-2（120）等級 / ¥112,500      ¥116,900                          ¥167,700      ¥172,800    無印      3-A-型4 / ▽11915                                          ◇16515                  ☆      4-A-型4 / ［11615］                                         ［16215］                 ★                 3-A-型4 / ¥46,000       ¥50,600                           ¥52,900       ¥58,200     □                 4-A-型4 / ¥84,400       ¥89,000                          ¥146,500      ¥151,800     ●                 5-A-型4 / ¥125,400      ¥130,000                          ¥162,600      ¥167,900     ▽      5-A-型4 / ¥106,300      ¥110,900                          ¥161,400      ¥166,700     ■                 4-A-型4 / ¥143,300      ¥147,900                          ¥187,300      ¥192,600     ◇                 5-A-型4 / 159</t>
        </is>
      </c>
      <c r="J237" t="inlineStr">
        <is>
          <t>202604_LIXIL_サーモスＬ_業務用資料集_完成品価格表.pdf</t>
        </is>
      </c>
      <c r="K237" t="inlineStr">
        <is>
          <t>https://drive.google.com/file/d/1YUN-mtWYs48YBUHJk0C3vJXnhjyZFHyf/view</t>
        </is>
      </c>
    </row>
    <row r="238">
      <c r="A238" s="42" t="inlineStr">
        <is>
          <t>GLG-SL-0235</t>
        </is>
      </c>
      <c r="B238" t="n">
        <v>159</v>
      </c>
      <c r="C238" t="inlineStr">
        <is>
          <t>★</t>
        </is>
      </c>
      <c r="D238" t="inlineStr">
        <is>
          <t>P159|★</t>
        </is>
      </c>
      <c r="E238" t="inlineStr">
        <is>
          <t>透明/型</t>
        </is>
      </c>
      <c r="F238" t="inlineStr">
        <is>
          <t>S-3（160）等級/S-2（120）等級</t>
        </is>
      </c>
      <c r="G238" t="inlineStr">
        <is>
          <t>原本凡例保持・列位置は原本参照</t>
        </is>
      </c>
      <c r="H238" t="b">
        <v>1</v>
      </c>
      <c r="I238" t="inlineStr">
        <is>
          <t>¥100,400      ¥104,700                          ¥147,900      ¥152,800   価格表は以下の条件で算出しています。 / □119116                                                                               透明 / ［116116］                                                                    S-3（160）等級 S-2（120）等級 / ¥42,900       ¥47,100                                                    無印       3-A-3 / ¥72,900       ¥77,100                                                     ☆       3-A-3 / ¥95,800      ¥100,000                                                     ★       3-A-3 / ¥90,000       ¥94,200                                                     □       3-A-3 / ¥104,200      ¥108,400                                                     ●       4-A-4 / ■11913                                          ●16513                  ▽                  3-A-3 / ［11613］                                         ［16213］                 ■                  3-A-3 / ¥44,300       ¥48,700                           ¥50,900       ¥56,000 / ◇                  4-A-4 / ¥77,700       ¥82,100                          ¥132,300      ¥137,400 / ¥103,200      ¥107,600                          ¥146,300      ¥151,400                   型 / ¥96,700      ¥101,100                          ¥145,200      ¥150,300         S-3（160）等級 S-2（120）等級 / ¥112,500      ¥116,900                          ¥167,700      ¥172,800    無印      3-A-型4 / ▽11915                                          ◇16515                  ☆      4-A-型4 / ［11615］                                         ［16215］                 ★                 3-A-型4 / ¥46,000       ¥50,600                           ¥52,900       ¥58,200     □                 4-A-型4 / ¥84,400       ¥89,000                          ¥146,500      ¥151,800     ●                 5-A-型4 / ¥125,400      ¥130,000                          ¥162,600      ¥167,900     ▽      5-A-型4 / ¥106,300      ¥110,900                          ¥161,400      ¥166,700     ■                 4-A-型4 / ¥143,300      ¥147,900                          ¥187,300      ¥192,600     ◇                 5-A-型4 / 159</t>
        </is>
      </c>
      <c r="J238" t="inlineStr">
        <is>
          <t>202604_LIXIL_サーモスＬ_業務用資料集_完成品価格表.pdf</t>
        </is>
      </c>
      <c r="K238" t="inlineStr">
        <is>
          <t>https://drive.google.com/file/d/1YUN-mtWYs48YBUHJk0C3vJXnhjyZFHyf/view</t>
        </is>
      </c>
    </row>
    <row r="239">
      <c r="A239" s="42" t="inlineStr">
        <is>
          <t>GLG-SL-0236</t>
        </is>
      </c>
      <c r="B239" t="n">
        <v>159</v>
      </c>
      <c r="C239" t="inlineStr">
        <is>
          <t>☆</t>
        </is>
      </c>
      <c r="D239" t="inlineStr">
        <is>
          <t>P159|☆</t>
        </is>
      </c>
      <c r="E239" t="inlineStr">
        <is>
          <t>透明/型</t>
        </is>
      </c>
      <c r="F239" t="inlineStr">
        <is>
          <t>S-3（160）等級/S-2（120）等級</t>
        </is>
      </c>
      <c r="G239" t="inlineStr">
        <is>
          <t>原本凡例保持・列位置は原本参照</t>
        </is>
      </c>
      <c r="H239" t="b">
        <v>1</v>
      </c>
      <c r="I239" t="inlineStr">
        <is>
          <t>¥100,400      ¥104,700                          ¥147,900      ¥152,800   価格表は以下の条件で算出しています。 / □119116                                                                               透明 / ［116116］                                                                    S-3（160）等級 S-2（120）等級 / ¥42,900       ¥47,100                                                    無印       3-A-3 / ¥72,900       ¥77,100                                                     ☆       3-A-3 / ¥95,800      ¥100,000                                                     ★       3-A-3 / ¥90,000       ¥94,200                                                     □       3-A-3 / ¥104,200      ¥108,400                                                     ●       4-A-4 / ■11913                                          ●16513                  ▽                  3-A-3 / ［11613］                                         ［16213］                 ■                  3-A-3 / ¥44,300       ¥48,700                           ¥50,900       ¥56,000 / ◇                  4-A-4 / ¥77,700       ¥82,100                          ¥132,300      ¥137,400 / ¥103,200      ¥107,600                          ¥146,300      ¥151,400                   型 / ¥96,700      ¥101,100                          ¥145,200      ¥150,300         S-3（160）等級 S-2（120）等級 / ¥112,500      ¥116,900                          ¥167,700      ¥172,800    無印      3-A-型4 / ▽11915                                          ◇16515                  ☆      4-A-型4 / ［11615］                                         ［16215］                 ★                 3-A-型4 / ¥46,000       ¥50,600                           ¥52,900       ¥58,200     □                 4-A-型4 / ¥84,400       ¥89,000                          ¥146,500      ¥151,800     ●                 5-A-型4 / ¥125,400      ¥130,000                          ¥162,600      ¥167,900     ▽      5-A-型4 / ¥106,300      ¥110,900                          ¥161,400      ¥166,700     ■                 4-A-型4 / ¥143,300      ¥147,900                          ¥187,300      ¥192,600     ◇                 5-A-型4 / 159</t>
        </is>
      </c>
      <c r="J239" t="inlineStr">
        <is>
          <t>202604_LIXIL_サーモスＬ_業務用資料集_完成品価格表.pdf</t>
        </is>
      </c>
      <c r="K239" t="inlineStr">
        <is>
          <t>https://drive.google.com/file/d/1YUN-mtWYs48YBUHJk0C3vJXnhjyZFHyf/view</t>
        </is>
      </c>
    </row>
    <row r="240">
      <c r="A240" s="42" t="inlineStr">
        <is>
          <t>GLG-SL-0237</t>
        </is>
      </c>
      <c r="B240" t="n">
        <v>159</v>
      </c>
      <c r="C240" t="inlineStr">
        <is>
          <t>●</t>
        </is>
      </c>
      <c r="D240" t="inlineStr">
        <is>
          <t>P159|●</t>
        </is>
      </c>
      <c r="E240" t="inlineStr">
        <is>
          <t>透明/型</t>
        </is>
      </c>
      <c r="F240" t="inlineStr">
        <is>
          <t>S-3（160）等級/S-2（120）等級</t>
        </is>
      </c>
      <c r="G240" t="inlineStr">
        <is>
          <t>原本凡例保持・列位置は原本参照</t>
        </is>
      </c>
      <c r="H240" t="b">
        <v>1</v>
      </c>
      <c r="I240" t="inlineStr">
        <is>
          <t>¥100,400      ¥104,700                          ¥147,900      ¥152,800   価格表は以下の条件で算出しています。 / □119116                                                                               透明 / ［116116］                                                                    S-3（160）等級 S-2（120）等級 / ¥42,900       ¥47,100                                                    無印       3-A-3 / ¥72,900       ¥77,100                                                     ☆       3-A-3 / ¥95,800      ¥100,000                                                     ★       3-A-3 / ¥90,000       ¥94,200                                                     □       3-A-3 / ¥104,200      ¥108,400                                                     ●       4-A-4 / ■11913                                          ●16513                  ▽                  3-A-3 / ［11613］                                         ［16213］                 ■                  3-A-3 / ¥44,300       ¥48,700                           ¥50,900       ¥56,000 / ◇                  4-A-4 / ¥77,700       ¥82,100                          ¥132,300      ¥137,400 / ¥103,200      ¥107,600                          ¥146,300      ¥151,400                   型 / ¥96,700      ¥101,100                          ¥145,200      ¥150,300         S-3（160）等級 S-2（120）等級 / ¥112,500      ¥116,900                          ¥167,700      ¥172,800    無印      3-A-型4 / ▽11915                                          ◇16515                  ☆      4-A-型4 / ［11615］                                         ［16215］                 ★                 3-A-型4 / ¥46,000       ¥50,600                           ¥52,900       ¥58,200     □                 4-A-型4 / ¥84,400       ¥89,000                          ¥146,500      ¥151,800     ●                 5-A-型4 / ¥125,400      ¥130,000                          ¥162,600      ¥167,900     ▽      5-A-型4 / ¥106,300      ¥110,900                          ¥161,400      ¥166,700     ■                 4-A-型4 / ¥143,300      ¥147,900                          ¥187,300      ¥192,600     ◇                 5-A-型4 / 159</t>
        </is>
      </c>
      <c r="J240" t="inlineStr">
        <is>
          <t>202604_LIXIL_サーモスＬ_業務用資料集_完成品価格表.pdf</t>
        </is>
      </c>
      <c r="K240" t="inlineStr">
        <is>
          <t>https://drive.google.com/file/d/1YUN-mtWYs48YBUHJk0C3vJXnhjyZFHyf/view</t>
        </is>
      </c>
    </row>
    <row r="241">
      <c r="A241" s="42" t="inlineStr">
        <is>
          <t>GLG-SL-0238</t>
        </is>
      </c>
      <c r="B241" t="n">
        <v>159</v>
      </c>
      <c r="C241" t="inlineStr">
        <is>
          <t>◇</t>
        </is>
      </c>
      <c r="D241" t="inlineStr">
        <is>
          <t>P159|◇</t>
        </is>
      </c>
      <c r="E241" t="inlineStr">
        <is>
          <t>透明/型</t>
        </is>
      </c>
      <c r="F241" t="inlineStr">
        <is>
          <t>S-3（160）等級/S-2（120）等級</t>
        </is>
      </c>
      <c r="G241" t="inlineStr">
        <is>
          <t>原本凡例保持・列位置は原本参照</t>
        </is>
      </c>
      <c r="H241" t="b">
        <v>1</v>
      </c>
      <c r="I241" t="inlineStr">
        <is>
          <t>¥100,400      ¥104,700                          ¥147,900      ¥152,800   価格表は以下の条件で算出しています。 / □119116                                                                               透明 / ［116116］                                                                    S-3（160）等級 S-2（120）等級 / ¥42,900       ¥47,100                                                    無印       3-A-3 / ¥72,900       ¥77,100                                                     ☆       3-A-3 / ¥95,800      ¥100,000                                                     ★       3-A-3 / ¥90,000       ¥94,200                                                     □       3-A-3 / ¥104,200      ¥108,400                                                     ●       4-A-4 / ■11913                                          ●16513                  ▽                  3-A-3 / ［11613］                                         ［16213］                 ■                  3-A-3 / ¥44,300       ¥48,700                           ¥50,900       ¥56,000 / ◇                  4-A-4 / ¥77,700       ¥82,100                          ¥132,300      ¥137,400 / ¥103,200      ¥107,600                          ¥146,300      ¥151,400                   型 / ¥96,700      ¥101,100                          ¥145,200      ¥150,300         S-3（160）等級 S-2（120）等級 / ¥112,500      ¥116,900                          ¥167,700      ¥172,800    無印      3-A-型4 / ▽11915                                          ◇16515                  ☆      4-A-型4 / ［11615］                                         ［16215］                 ★                 3-A-型4 / ¥46,000       ¥50,600                           ¥52,900       ¥58,200     □                 4-A-型4 / ¥84,400       ¥89,000                          ¥146,500      ¥151,800     ●                 5-A-型4 / ¥125,400      ¥130,000                          ¥162,600      ¥167,900     ▽      5-A-型4 / ¥106,300      ¥110,900                          ¥161,400      ¥166,700     ■                 4-A-型4 / ¥143,300      ¥147,900                          ¥187,300      ¥192,600     ◇                 5-A-型4 / 159</t>
        </is>
      </c>
      <c r="J241" t="inlineStr">
        <is>
          <t>202604_LIXIL_サーモスＬ_業務用資料集_完成品価格表.pdf</t>
        </is>
      </c>
      <c r="K241" t="inlineStr">
        <is>
          <t>https://drive.google.com/file/d/1YUN-mtWYs48YBUHJk0C3vJXnhjyZFHyf/view</t>
        </is>
      </c>
    </row>
    <row r="242">
      <c r="A242" s="42" t="inlineStr">
        <is>
          <t>GLG-SL-0239</t>
        </is>
      </c>
      <c r="B242" t="n">
        <v>160</v>
      </c>
      <c r="C242" t="inlineStr">
        <is>
          <t>無印</t>
        </is>
      </c>
      <c r="D242" t="inlineStr">
        <is>
          <t>P160|無印</t>
        </is>
      </c>
      <c r="E242" t="inlineStr">
        <is>
          <t>透明/型</t>
        </is>
      </c>
      <c r="F242" t="inlineStr">
        <is>
          <t>S-3（160）等級</t>
        </is>
      </c>
      <c r="G242" t="inlineStr">
        <is>
          <t>原本凡例保持・列位置は原本参照</t>
        </is>
      </c>
      <c r="H242" t="b">
        <v>1</v>
      </c>
      <c r="I242" t="inlineStr">
        <is>
          <t>価格表は以下の条件で算出しています。 / 透明          型 / S-3（160）等級 S-3（160）等級 / 3-A-3     3-A-型4</t>
        </is>
      </c>
      <c r="J242" t="inlineStr">
        <is>
          <t>202604_LIXIL_サーモスＬ_業務用資料集_完成品価格表.pdf</t>
        </is>
      </c>
      <c r="K242" t="inlineStr">
        <is>
          <t>https://drive.google.com/file/d/1YUN-mtWYs48YBUHJk0C3vJXnhjyZFHyf/view</t>
        </is>
      </c>
    </row>
    <row r="243">
      <c r="A243" s="42" t="inlineStr">
        <is>
          <t>GLG-SL-0240</t>
        </is>
      </c>
      <c r="B243" t="n">
        <v>162</v>
      </c>
      <c r="C243" t="inlineStr">
        <is>
          <t>無印</t>
        </is>
      </c>
      <c r="D243" t="inlineStr">
        <is>
          <t>P162|無印</t>
        </is>
      </c>
      <c r="E243" t="inlineStr">
        <is>
          <t>透明/型</t>
        </is>
      </c>
      <c r="F243" t="inlineStr">
        <is>
          <t>S-3（160）等級</t>
        </is>
      </c>
      <c r="G243" t="inlineStr">
        <is>
          <t>原本凡例保持・列位置は原本参照</t>
        </is>
      </c>
      <c r="H243" t="b">
        <v>1</v>
      </c>
      <c r="I243" t="inlineStr">
        <is>
          <t>価格表は以下の条件で算出しています。 / 透明          型 / S-3（160）等級 S-3（160）等級 / 3-A-3     3-A-型4</t>
        </is>
      </c>
      <c r="J243" t="inlineStr">
        <is>
          <t>202604_LIXIL_サーモスＬ_業務用資料集_完成品価格表.pdf</t>
        </is>
      </c>
      <c r="K243" t="inlineStr">
        <is>
          <t>https://drive.google.com/file/d/1YUN-mtWYs48YBUHJk0C3vJXnhjyZFHyf/view</t>
        </is>
      </c>
    </row>
    <row r="244">
      <c r="A244" s="42" t="inlineStr">
        <is>
          <t>GLG-SL-0241</t>
        </is>
      </c>
      <c r="B244" t="n">
        <v>164</v>
      </c>
      <c r="C244" t="inlineStr">
        <is>
          <t>無印</t>
        </is>
      </c>
      <c r="D244" t="inlineStr">
        <is>
          <t>P164|無印</t>
        </is>
      </c>
      <c r="E244" t="inlineStr">
        <is>
          <t>透明/型</t>
        </is>
      </c>
      <c r="F244" t="inlineStr">
        <is>
          <t>S-3（160）等級/S-2（120）等級/S-1（80）等級</t>
        </is>
      </c>
      <c r="G244" t="inlineStr">
        <is>
          <t>原本凡例保持・列位置は原本参照</t>
        </is>
      </c>
      <c r="H244" t="b">
        <v>1</v>
      </c>
      <c r="I244"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44" t="inlineStr">
        <is>
          <t>202604_LIXIL_サーモスＬ_業務用資料集_完成品価格表.pdf</t>
        </is>
      </c>
      <c r="K244" t="inlineStr">
        <is>
          <t>https://drive.google.com/file/d/1YUN-mtWYs48YBUHJk0C3vJXnhjyZFHyf/view</t>
        </is>
      </c>
    </row>
    <row r="245">
      <c r="A245" s="42" t="inlineStr">
        <is>
          <t>GLG-SL-0242</t>
        </is>
      </c>
      <c r="B245" t="n">
        <v>164</v>
      </c>
      <c r="C245" t="inlineStr">
        <is>
          <t>★</t>
        </is>
      </c>
      <c r="D245" t="inlineStr">
        <is>
          <t>P164|★</t>
        </is>
      </c>
      <c r="E245" t="inlineStr">
        <is>
          <t>透明/型</t>
        </is>
      </c>
      <c r="F245" t="inlineStr">
        <is>
          <t>S-3（160）等級/S-2（120）等級/S-1（80）等級</t>
        </is>
      </c>
      <c r="G245" t="inlineStr">
        <is>
          <t>原本凡例保持・列位置は原本参照</t>
        </is>
      </c>
      <c r="H245" t="b">
        <v>1</v>
      </c>
      <c r="I245"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45" t="inlineStr">
        <is>
          <t>202604_LIXIL_サーモスＬ_業務用資料集_完成品価格表.pdf</t>
        </is>
      </c>
      <c r="K245" t="inlineStr">
        <is>
          <t>https://drive.google.com/file/d/1YUN-mtWYs48YBUHJk0C3vJXnhjyZFHyf/view</t>
        </is>
      </c>
    </row>
    <row r="246">
      <c r="A246" s="42" t="inlineStr">
        <is>
          <t>GLG-SL-0243</t>
        </is>
      </c>
      <c r="B246" t="n">
        <v>164</v>
      </c>
      <c r="C246" t="inlineStr">
        <is>
          <t>☆</t>
        </is>
      </c>
      <c r="D246" t="inlineStr">
        <is>
          <t>P164|☆</t>
        </is>
      </c>
      <c r="E246" t="inlineStr">
        <is>
          <t>透明/型</t>
        </is>
      </c>
      <c r="F246" t="inlineStr">
        <is>
          <t>S-3（160）等級/S-2（120）等級/S-1（80）等級</t>
        </is>
      </c>
      <c r="G246" t="inlineStr">
        <is>
          <t>原本凡例保持・列位置は原本参照</t>
        </is>
      </c>
      <c r="H246" t="b">
        <v>1</v>
      </c>
      <c r="I246"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46" t="inlineStr">
        <is>
          <t>202604_LIXIL_サーモスＬ_業務用資料集_完成品価格表.pdf</t>
        </is>
      </c>
      <c r="K246" t="inlineStr">
        <is>
          <t>https://drive.google.com/file/d/1YUN-mtWYs48YBUHJk0C3vJXnhjyZFHyf/view</t>
        </is>
      </c>
    </row>
    <row r="247">
      <c r="A247" s="42" t="inlineStr">
        <is>
          <t>GLG-SL-0244</t>
        </is>
      </c>
      <c r="B247" t="n">
        <v>164</v>
      </c>
      <c r="C247" t="inlineStr">
        <is>
          <t>○</t>
        </is>
      </c>
      <c r="D247" t="inlineStr">
        <is>
          <t>P164|○</t>
        </is>
      </c>
      <c r="E247" t="inlineStr">
        <is>
          <t>透明/型</t>
        </is>
      </c>
      <c r="F247" t="inlineStr">
        <is>
          <t>S-3（160）等級/S-2（120）等級/S-1（80）等級</t>
        </is>
      </c>
      <c r="G247" t="inlineStr">
        <is>
          <t>原本凡例保持・列位置は原本参照</t>
        </is>
      </c>
      <c r="H247" t="b">
        <v>1</v>
      </c>
      <c r="I247"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47" t="inlineStr">
        <is>
          <t>202604_LIXIL_サーモスＬ_業務用資料集_完成品価格表.pdf</t>
        </is>
      </c>
      <c r="K247" t="inlineStr">
        <is>
          <t>https://drive.google.com/file/d/1YUN-mtWYs48YBUHJk0C3vJXnhjyZFHyf/view</t>
        </is>
      </c>
    </row>
    <row r="248">
      <c r="A248" s="42" t="inlineStr">
        <is>
          <t>GLG-SL-0245</t>
        </is>
      </c>
      <c r="B248" t="n">
        <v>164</v>
      </c>
      <c r="C248" t="inlineStr">
        <is>
          <t>●</t>
        </is>
      </c>
      <c r="D248" t="inlineStr">
        <is>
          <t>P164|●</t>
        </is>
      </c>
      <c r="E248" t="inlineStr">
        <is>
          <t>透明/型</t>
        </is>
      </c>
      <c r="F248" t="inlineStr">
        <is>
          <t>S-3（160）等級/S-2（120）等級/S-1（80）等級</t>
        </is>
      </c>
      <c r="G248" t="inlineStr">
        <is>
          <t>原本凡例保持・列位置は原本参照</t>
        </is>
      </c>
      <c r="H248" t="b">
        <v>1</v>
      </c>
      <c r="I248"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48" t="inlineStr">
        <is>
          <t>202604_LIXIL_サーモスＬ_業務用資料集_完成品価格表.pdf</t>
        </is>
      </c>
      <c r="K248" t="inlineStr">
        <is>
          <t>https://drive.google.com/file/d/1YUN-mtWYs48YBUHJk0C3vJXnhjyZFHyf/view</t>
        </is>
      </c>
    </row>
    <row r="249">
      <c r="A249" s="42" t="inlineStr">
        <is>
          <t>GLG-SL-0246</t>
        </is>
      </c>
      <c r="B249" t="n">
        <v>164</v>
      </c>
      <c r="C249" t="inlineStr">
        <is>
          <t>◇</t>
        </is>
      </c>
      <c r="D249" t="inlineStr">
        <is>
          <t>P164|◇</t>
        </is>
      </c>
      <c r="E249" t="inlineStr">
        <is>
          <t>透明/型</t>
        </is>
      </c>
      <c r="F249" t="inlineStr">
        <is>
          <t>S-3（160）等級/S-2（120）等級/S-1（80）等級</t>
        </is>
      </c>
      <c r="G249" t="inlineStr">
        <is>
          <t>原本凡例保持・列位置は原本参照</t>
        </is>
      </c>
      <c r="H249" t="b">
        <v>1</v>
      </c>
      <c r="I249"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49" t="inlineStr">
        <is>
          <t>202604_LIXIL_サーモスＬ_業務用資料集_完成品価格表.pdf</t>
        </is>
      </c>
      <c r="K249" t="inlineStr">
        <is>
          <t>https://drive.google.com/file/d/1YUN-mtWYs48YBUHJk0C3vJXnhjyZFHyf/view</t>
        </is>
      </c>
    </row>
    <row r="250">
      <c r="A250" s="42" t="inlineStr">
        <is>
          <t>GLG-SL-0247</t>
        </is>
      </c>
      <c r="B250" t="n">
        <v>164</v>
      </c>
      <c r="C250" t="inlineStr">
        <is>
          <t>◎</t>
        </is>
      </c>
      <c r="D250" t="inlineStr">
        <is>
          <t>P164|◎</t>
        </is>
      </c>
      <c r="E250" t="inlineStr">
        <is>
          <t>透明/型</t>
        </is>
      </c>
      <c r="F250" t="inlineStr">
        <is>
          <t>S-3（160）等級/S-2（120）等級/S-1（80）等級</t>
        </is>
      </c>
      <c r="G250" t="inlineStr">
        <is>
          <t>原本凡例保持・列位置は原本参照</t>
        </is>
      </c>
      <c r="H250" t="b">
        <v>1</v>
      </c>
      <c r="I250" t="inlineStr">
        <is>
          <t>価格表は以下の条件で算出しています。 / 透明                          型 / S-3（160）等級 S-2（120）等級 S-3（160）等級 S-2（120）等級            S-1（80）等級 / 無印                           3-A-3                3-A-型4 / ☆                           3-A-3                4-A-型4 / ★                           3-A-3                           3-A-型4 / □                           3-A-3                           4-A-型4 / ●                           4-A-4                           5-A-型4 / ▼                           5-A-5                           製作不可 / ■                                      3-A-3                4-A-型4 / ◇                                      4-A-4                5-A-型4 / ○                                      4-A-5                                     5-A-型4 / ◎                                      5-A-5                                     5-A-型4※ / ※16524サイズは製作不可</t>
        </is>
      </c>
      <c r="J250" t="inlineStr">
        <is>
          <t>202604_LIXIL_サーモスＬ_業務用資料集_完成品価格表.pdf</t>
        </is>
      </c>
      <c r="K250" t="inlineStr">
        <is>
          <t>https://drive.google.com/file/d/1YUN-mtWYs48YBUHJk0C3vJXnhjyZFHyf/view</t>
        </is>
      </c>
    </row>
    <row r="251">
      <c r="A251" s="42" t="inlineStr">
        <is>
          <t>GLG-SL-0248</t>
        </is>
      </c>
      <c r="B251" t="n">
        <v>166</v>
      </c>
      <c r="C251" t="inlineStr">
        <is>
          <t>無印</t>
        </is>
      </c>
      <c r="D251" t="inlineStr">
        <is>
          <t>P166|無印</t>
        </is>
      </c>
      <c r="E251" t="inlineStr">
        <is>
          <t>透明/型</t>
        </is>
      </c>
      <c r="F251" t="inlineStr">
        <is>
          <t>S-3（160）等級/S-2（120）等級</t>
        </is>
      </c>
      <c r="G251" t="inlineStr">
        <is>
          <t>原本凡例保持・列位置は原本参照</t>
        </is>
      </c>
      <c r="H251" t="b">
        <v>1</v>
      </c>
      <c r="I251" t="inlineStr">
        <is>
          <t>価格表は以下の条件で算出しています。 / 透明                    型 / S-3（160）等級 S-2（120）等級 S-3（160）等級 S-2（120）等級 / 無印                  3-A-3                3-A-型4 / ☆                  3-A-3                4-A-型4 / ★                  3-A-3                           3-A-型4 / □                  3-A-3                           4-A-型4 / ■                             3-A-3                4-A-型4</t>
        </is>
      </c>
      <c r="J251" t="inlineStr">
        <is>
          <t>202604_LIXIL_サーモスＬ_業務用資料集_完成品価格表.pdf</t>
        </is>
      </c>
      <c r="K251" t="inlineStr">
        <is>
          <t>https://drive.google.com/file/d/1YUN-mtWYs48YBUHJk0C3vJXnhjyZFHyf/view</t>
        </is>
      </c>
    </row>
    <row r="252">
      <c r="A252" s="42" t="inlineStr">
        <is>
          <t>GLG-SL-0249</t>
        </is>
      </c>
      <c r="B252" t="n">
        <v>166</v>
      </c>
      <c r="C252" t="inlineStr">
        <is>
          <t>★</t>
        </is>
      </c>
      <c r="D252" t="inlineStr">
        <is>
          <t>P166|★</t>
        </is>
      </c>
      <c r="E252" t="inlineStr">
        <is>
          <t>透明/型</t>
        </is>
      </c>
      <c r="F252" t="inlineStr">
        <is>
          <t>S-3（160）等級/S-2（120）等級</t>
        </is>
      </c>
      <c r="G252" t="inlineStr">
        <is>
          <t>原本凡例保持・列位置は原本参照</t>
        </is>
      </c>
      <c r="H252" t="b">
        <v>1</v>
      </c>
      <c r="I252" t="inlineStr">
        <is>
          <t>価格表は以下の条件で算出しています。 / 透明                    型 / S-3（160）等級 S-2（120）等級 S-3（160）等級 S-2（120）等級 / 無印                  3-A-3                3-A-型4 / ☆                  3-A-3                4-A-型4 / ★                  3-A-3                           3-A-型4 / □                  3-A-3                           4-A-型4 / ■                             3-A-3                4-A-型4</t>
        </is>
      </c>
      <c r="J252" t="inlineStr">
        <is>
          <t>202604_LIXIL_サーモスＬ_業務用資料集_完成品価格表.pdf</t>
        </is>
      </c>
      <c r="K252" t="inlineStr">
        <is>
          <t>https://drive.google.com/file/d/1YUN-mtWYs48YBUHJk0C3vJXnhjyZFHyf/view</t>
        </is>
      </c>
    </row>
    <row r="253">
      <c r="A253" s="42" t="inlineStr">
        <is>
          <t>GLG-SL-0250</t>
        </is>
      </c>
      <c r="B253" t="n">
        <v>166</v>
      </c>
      <c r="C253" t="inlineStr">
        <is>
          <t>☆</t>
        </is>
      </c>
      <c r="D253" t="inlineStr">
        <is>
          <t>P166|☆</t>
        </is>
      </c>
      <c r="E253" t="inlineStr">
        <is>
          <t>透明/型</t>
        </is>
      </c>
      <c r="F253" t="inlineStr">
        <is>
          <t>S-3（160）等級/S-2（120）等級</t>
        </is>
      </c>
      <c r="G253" t="inlineStr">
        <is>
          <t>原本凡例保持・列位置は原本参照</t>
        </is>
      </c>
      <c r="H253" t="b">
        <v>1</v>
      </c>
      <c r="I253" t="inlineStr">
        <is>
          <t>価格表は以下の条件で算出しています。 / 透明                    型 / S-3（160）等級 S-2（120）等級 S-3（160）等級 S-2（120）等級 / 無印                  3-A-3                3-A-型4 / ☆                  3-A-3                4-A-型4 / ★                  3-A-3                           3-A-型4 / □                  3-A-3                           4-A-型4 / ■                             3-A-3                4-A-型4</t>
        </is>
      </c>
      <c r="J253" t="inlineStr">
        <is>
          <t>202604_LIXIL_サーモスＬ_業務用資料集_完成品価格表.pdf</t>
        </is>
      </c>
      <c r="K253" t="inlineStr">
        <is>
          <t>https://drive.google.com/file/d/1YUN-mtWYs48YBUHJk0C3vJXnhjyZFHyf/view</t>
        </is>
      </c>
    </row>
    <row r="254">
      <c r="A254" s="42" t="inlineStr">
        <is>
          <t>GLG-SL-0251</t>
        </is>
      </c>
      <c r="B254" t="n">
        <v>167</v>
      </c>
      <c r="C254" t="inlineStr">
        <is>
          <t>無印</t>
        </is>
      </c>
      <c r="D254" t="inlineStr">
        <is>
          <t>P167|無印</t>
        </is>
      </c>
      <c r="E254" t="inlineStr">
        <is>
          <t>透明/型</t>
        </is>
      </c>
      <c r="F254" t="inlineStr">
        <is>
          <t>S-3（160）等級/S-2（120）等級</t>
        </is>
      </c>
      <c r="G254" t="inlineStr">
        <is>
          <t>原本凡例保持・列位置は原本参照</t>
        </is>
      </c>
      <c r="H254" t="b">
        <v>1</v>
      </c>
      <c r="I254" t="inlineStr">
        <is>
          <t>価格表は以下の条件で算出しています。 / 透明                    型 / S-3（160）等級 S-2（120）等級 S-3（160）等級 S-2（120）等級 / 無印                  3-A-3                3-A-型4 / ○                  3-A-3                4-A-型4 / ★                  3-A-3                           3-A-型4 / □                  3-A-3                           4-A-型4 / ▼                  5-A-5                      製作不可 / ◆                             3-A-3                4-A-型4 / 167</t>
        </is>
      </c>
      <c r="J254" t="inlineStr">
        <is>
          <t>202604_LIXIL_サーモスＬ_業務用資料集_完成品価格表.pdf</t>
        </is>
      </c>
      <c r="K254" t="inlineStr">
        <is>
          <t>https://drive.google.com/file/d/1YUN-mtWYs48YBUHJk0C3vJXnhjyZFHyf/view</t>
        </is>
      </c>
    </row>
    <row r="255">
      <c r="A255" s="42" t="inlineStr">
        <is>
          <t>GLG-SL-0252</t>
        </is>
      </c>
      <c r="B255" t="n">
        <v>167</v>
      </c>
      <c r="C255" t="inlineStr">
        <is>
          <t>★</t>
        </is>
      </c>
      <c r="D255" t="inlineStr">
        <is>
          <t>P167|★</t>
        </is>
      </c>
      <c r="E255" t="inlineStr">
        <is>
          <t>透明/型</t>
        </is>
      </c>
      <c r="F255" t="inlineStr">
        <is>
          <t>S-3（160）等級/S-2（120）等級</t>
        </is>
      </c>
      <c r="G255" t="inlineStr">
        <is>
          <t>原本凡例保持・列位置は原本参照</t>
        </is>
      </c>
      <c r="H255" t="b">
        <v>1</v>
      </c>
      <c r="I255" t="inlineStr">
        <is>
          <t>価格表は以下の条件で算出しています。 / 透明                    型 / S-3（160）等級 S-2（120）等級 S-3（160）等級 S-2（120）等級 / 無印                  3-A-3                3-A-型4 / ○                  3-A-3                4-A-型4 / ★                  3-A-3                           3-A-型4 / □                  3-A-3                           4-A-型4 / ▼                  5-A-5                      製作不可 / ◆                             3-A-3                4-A-型4 / 167</t>
        </is>
      </c>
      <c r="J255" t="inlineStr">
        <is>
          <t>202604_LIXIL_サーモスＬ_業務用資料集_完成品価格表.pdf</t>
        </is>
      </c>
      <c r="K255" t="inlineStr">
        <is>
          <t>https://drive.google.com/file/d/1YUN-mtWYs48YBUHJk0C3vJXnhjyZFHyf/view</t>
        </is>
      </c>
    </row>
    <row r="256">
      <c r="A256" s="42" t="inlineStr">
        <is>
          <t>GLG-SL-0253</t>
        </is>
      </c>
      <c r="B256" t="n">
        <v>167</v>
      </c>
      <c r="C256" t="inlineStr">
        <is>
          <t>○</t>
        </is>
      </c>
      <c r="D256" t="inlineStr">
        <is>
          <t>P167|○</t>
        </is>
      </c>
      <c r="E256" t="inlineStr">
        <is>
          <t>透明/型</t>
        </is>
      </c>
      <c r="F256" t="inlineStr">
        <is>
          <t>S-3（160）等級/S-2（120）等級</t>
        </is>
      </c>
      <c r="G256" t="inlineStr">
        <is>
          <t>原本凡例保持・列位置は原本参照</t>
        </is>
      </c>
      <c r="H256" t="b">
        <v>1</v>
      </c>
      <c r="I256" t="inlineStr">
        <is>
          <t>価格表は以下の条件で算出しています。 / 透明                    型 / S-3（160）等級 S-2（120）等級 S-3（160）等級 S-2（120）等級 / 無印                  3-A-3                3-A-型4 / ○                  3-A-3                4-A-型4 / ★                  3-A-3                           3-A-型4 / □                  3-A-3                           4-A-型4 / ▼                  5-A-5                      製作不可 / ◆                             3-A-3                4-A-型4 / 167</t>
        </is>
      </c>
      <c r="J256" t="inlineStr">
        <is>
          <t>202604_LIXIL_サーモスＬ_業務用資料集_完成品価格表.pdf</t>
        </is>
      </c>
      <c r="K256" t="inlineStr">
        <is>
          <t>https://drive.google.com/file/d/1YUN-mtWYs48YBUHJk0C3vJXnhjyZFHyf/view</t>
        </is>
      </c>
    </row>
    <row r="257">
      <c r="A257" s="42" t="inlineStr">
        <is>
          <t>GLG-SL-0254</t>
        </is>
      </c>
      <c r="B257" t="n">
        <v>167</v>
      </c>
      <c r="C257" t="inlineStr">
        <is>
          <t>◆</t>
        </is>
      </c>
      <c r="D257" t="inlineStr">
        <is>
          <t>P167|◆</t>
        </is>
      </c>
      <c r="E257" t="inlineStr">
        <is>
          <t>透明/型</t>
        </is>
      </c>
      <c r="F257" t="inlineStr">
        <is>
          <t>S-3（160）等級/S-2（120）等級</t>
        </is>
      </c>
      <c r="G257" t="inlineStr">
        <is>
          <t>原本凡例保持・列位置は原本参照</t>
        </is>
      </c>
      <c r="H257" t="b">
        <v>1</v>
      </c>
      <c r="I257" t="inlineStr">
        <is>
          <t>価格表は以下の条件で算出しています。 / 透明                    型 / S-3（160）等級 S-2（120）等級 S-3（160）等級 S-2（120）等級 / 無印                  3-A-3                3-A-型4 / ○                  3-A-3                4-A-型4 / ★                  3-A-3                           3-A-型4 / □                  3-A-3                           4-A-型4 / ▼                  5-A-5                      製作不可 / ◆                             3-A-3                4-A-型4 / 167</t>
        </is>
      </c>
      <c r="J257" t="inlineStr">
        <is>
          <t>202604_LIXIL_サーモスＬ_業務用資料集_完成品価格表.pdf</t>
        </is>
      </c>
      <c r="K257" t="inlineStr">
        <is>
          <t>https://drive.google.com/file/d/1YUN-mtWYs48YBUHJk0C3vJXnhjyZFHyf/view</t>
        </is>
      </c>
    </row>
    <row r="258">
      <c r="A258" s="42" t="inlineStr">
        <is>
          <t>GLG-SL-0255</t>
        </is>
      </c>
      <c r="B258" t="n">
        <v>168</v>
      </c>
      <c r="C258" t="inlineStr">
        <is>
          <t>無印</t>
        </is>
      </c>
      <c r="D258" t="inlineStr">
        <is>
          <t>P168|無印</t>
        </is>
      </c>
      <c r="E258" t="inlineStr">
        <is>
          <t>透明/型</t>
        </is>
      </c>
      <c r="F258" t="inlineStr">
        <is>
          <t>S-3（160）等級</t>
        </is>
      </c>
      <c r="G258" t="inlineStr">
        <is>
          <t>原本凡例保持・列位置は原本参照</t>
        </is>
      </c>
      <c r="H258" t="b">
        <v>1</v>
      </c>
      <c r="I258" t="inlineStr">
        <is>
          <t>価格表は以下の条件で算出しています。 / 透明          型 / S-3（160）等級 S-3（160）等級 / 3-A-3     3-A-型4</t>
        </is>
      </c>
      <c r="J258" t="inlineStr">
        <is>
          <t>202604_LIXIL_サーモスＬ_業務用資料集_完成品価格表.pdf</t>
        </is>
      </c>
      <c r="K258" t="inlineStr">
        <is>
          <t>https://drive.google.com/file/d/1YUN-mtWYs48YBUHJk0C3vJXnhjyZFHyf/view</t>
        </is>
      </c>
    </row>
    <row r="259">
      <c r="A259" s="42" t="inlineStr">
        <is>
          <t>GLG-SL-0256</t>
        </is>
      </c>
      <c r="B259" t="n">
        <v>170</v>
      </c>
      <c r="C259" t="inlineStr">
        <is>
          <t>無印</t>
        </is>
      </c>
      <c r="D259" t="inlineStr">
        <is>
          <t>P170|無印</t>
        </is>
      </c>
      <c r="E259" t="inlineStr">
        <is>
          <t>透明/型</t>
        </is>
      </c>
      <c r="F259" t="inlineStr">
        <is>
          <t>S-3（160）等級</t>
        </is>
      </c>
      <c r="G259" t="inlineStr">
        <is>
          <t>原本凡例保持・列位置は原本参照</t>
        </is>
      </c>
      <c r="H259" t="b">
        <v>1</v>
      </c>
      <c r="I259" t="inlineStr">
        <is>
          <t>価格表は以下の条件で算出しています。 / 透明          型 / S-3（160）等級 S-3（160）等級 / 3-A-3     3-A-型4</t>
        </is>
      </c>
      <c r="J259" t="inlineStr">
        <is>
          <t>202604_LIXIL_サーモスＬ_業務用資料集_完成品価格表.pdf</t>
        </is>
      </c>
      <c r="K259" t="inlineStr">
        <is>
          <t>https://drive.google.com/file/d/1YUN-mtWYs48YBUHJk0C3vJXnhjyZFHyf/view</t>
        </is>
      </c>
    </row>
    <row r="260">
      <c r="A260" s="42" t="inlineStr">
        <is>
          <t>GLG-SL-0257</t>
        </is>
      </c>
      <c r="B260" t="n">
        <v>172</v>
      </c>
      <c r="C260" t="inlineStr">
        <is>
          <t>無印</t>
        </is>
      </c>
      <c r="D260" t="inlineStr">
        <is>
          <t>P172|無印</t>
        </is>
      </c>
      <c r="E260" t="inlineStr">
        <is>
          <t>透明/型</t>
        </is>
      </c>
      <c r="F260" t="inlineStr">
        <is>
          <t>S-3（160）等級</t>
        </is>
      </c>
      <c r="G260" t="inlineStr">
        <is>
          <t>原本凡例保持・列位置は原本参照</t>
        </is>
      </c>
      <c r="H260" t="b">
        <v>1</v>
      </c>
      <c r="I260" t="inlineStr">
        <is>
          <t>価格表は以下の条件で算出しています。 / 透明          型 / S-3（160）等級 S-3（160）等級 / 3-A-3     3-A-型4</t>
        </is>
      </c>
      <c r="J260" t="inlineStr">
        <is>
          <t>202604_LIXIL_サーモスＬ_業務用資料集_完成品価格表.pdf</t>
        </is>
      </c>
      <c r="K260" t="inlineStr">
        <is>
          <t>https://drive.google.com/file/d/1YUN-mtWYs48YBUHJk0C3vJXnhjyZFHyf/view</t>
        </is>
      </c>
    </row>
    <row r="261">
      <c r="A261" s="42" t="inlineStr">
        <is>
          <t>GLG-SL-0258</t>
        </is>
      </c>
      <c r="B261" t="n">
        <v>174</v>
      </c>
      <c r="C261" t="inlineStr">
        <is>
          <t>無印</t>
        </is>
      </c>
      <c r="D261" t="inlineStr">
        <is>
          <t>P174|無印</t>
        </is>
      </c>
      <c r="E261" t="inlineStr">
        <is>
          <t>透明/型</t>
        </is>
      </c>
      <c r="F261" t="inlineStr">
        <is>
          <t>S-3（160）等級/S-2（120）等級</t>
        </is>
      </c>
      <c r="G261" t="inlineStr">
        <is>
          <t>原本凡例保持・列位置は原本参照</t>
        </is>
      </c>
      <c r="H261" t="b">
        <v>1</v>
      </c>
      <c r="I261" t="inlineStr">
        <is>
          <t>価格表は以下の条件で算出しています。 / 透明               型 / S-3（160）等級 S-3（160）等級 S-2（120）等級 / 無印                  3-A-3     3-A-型4 / ★                  3-A-3                3-A-型4</t>
        </is>
      </c>
      <c r="J261" t="inlineStr">
        <is>
          <t>202604_LIXIL_サーモスＬ_業務用資料集_完成品価格表.pdf</t>
        </is>
      </c>
      <c r="K261" t="inlineStr">
        <is>
          <t>https://drive.google.com/file/d/1YUN-mtWYs48YBUHJk0C3vJXnhjyZFHyf/view</t>
        </is>
      </c>
    </row>
    <row r="262">
      <c r="A262" s="42" t="inlineStr">
        <is>
          <t>GLG-SL-0259</t>
        </is>
      </c>
      <c r="B262" t="n">
        <v>174</v>
      </c>
      <c r="C262" t="inlineStr">
        <is>
          <t>★</t>
        </is>
      </c>
      <c r="D262" t="inlineStr">
        <is>
          <t>P174|★</t>
        </is>
      </c>
      <c r="E262" t="inlineStr">
        <is>
          <t>透明/型</t>
        </is>
      </c>
      <c r="F262" t="inlineStr">
        <is>
          <t>S-3（160）等級/S-2（120）等級</t>
        </is>
      </c>
      <c r="G262" t="inlineStr">
        <is>
          <t>原本凡例保持・列位置は原本参照</t>
        </is>
      </c>
      <c r="H262" t="b">
        <v>1</v>
      </c>
      <c r="I262" t="inlineStr">
        <is>
          <t>価格表は以下の条件で算出しています。 / 透明               型 / S-3（160）等級 S-3（160）等級 S-2（120）等級 / 無印                  3-A-3     3-A-型4 / ★                  3-A-3                3-A-型4</t>
        </is>
      </c>
      <c r="J262" t="inlineStr">
        <is>
          <t>202604_LIXIL_サーモスＬ_業務用資料集_完成品価格表.pdf</t>
        </is>
      </c>
      <c r="K262" t="inlineStr">
        <is>
          <t>https://drive.google.com/file/d/1YUN-mtWYs48YBUHJk0C3vJXnhjyZFHyf/view</t>
        </is>
      </c>
    </row>
    <row r="263">
      <c r="A263" s="42" t="inlineStr">
        <is>
          <t>GLG-SL-0260</t>
        </is>
      </c>
      <c r="B263" t="n">
        <v>177</v>
      </c>
      <c r="C263" t="inlineStr">
        <is>
          <t>無印</t>
        </is>
      </c>
      <c r="D263" t="inlineStr">
        <is>
          <t>P177|無印</t>
        </is>
      </c>
      <c r="E263" t="inlineStr">
        <is>
          <t>透明/型</t>
        </is>
      </c>
      <c r="F263" t="inlineStr">
        <is>
          <t>S-3（160）等級</t>
        </is>
      </c>
      <c r="G263" t="inlineStr">
        <is>
          <t>原本凡例保持・列位置は原本参照</t>
        </is>
      </c>
      <c r="H263" t="b">
        <v>1</v>
      </c>
      <c r="I263" t="inlineStr">
        <is>
          <t>¥47,900     ¥51,900     ¥50,200   ¥54,200                         ¥60,900   ¥65,300   価格表は以下の条件で算出しています。 / ¥47,900     ¥51,900     ¥50,200   ¥54,200                         ¥60,900   ¥65,300       透明          型 / ¥52,700     ¥56,700     ¥56,000   ¥60,000                         ¥70,900   ¥75,300   S-3（160）等級 S-3（160）等級 / ¥52,700     ¥56,700     ¥56,000   ¥60,000                         ¥70,900   ¥75,300       3-A-3     3-A-型4 / 177</t>
        </is>
      </c>
      <c r="J263" t="inlineStr">
        <is>
          <t>202604_LIXIL_サーモスＬ_業務用資料集_完成品価格表.pdf</t>
        </is>
      </c>
      <c r="K263" t="inlineStr">
        <is>
          <t>https://drive.google.com/file/d/1YUN-mtWYs48YBUHJk0C3vJXnhjyZFHyf/view</t>
        </is>
      </c>
    </row>
    <row r="264">
      <c r="A264" s="42" t="inlineStr">
        <is>
          <t>GLG-SL-0261</t>
        </is>
      </c>
      <c r="B264" t="n">
        <v>179</v>
      </c>
      <c r="C264" t="inlineStr">
        <is>
          <t>無印</t>
        </is>
      </c>
      <c r="D264" t="inlineStr">
        <is>
          <t>P179|無印</t>
        </is>
      </c>
      <c r="E264" t="inlineStr">
        <is>
          <t>透明/型</t>
        </is>
      </c>
      <c r="F264" t="inlineStr">
        <is>
          <t>S-3（160）等級/S-2（120）等級</t>
        </is>
      </c>
      <c r="G264" t="inlineStr">
        <is>
          <t>原本凡例保持・列位置は原本参照</t>
        </is>
      </c>
      <c r="H264" t="b">
        <v>1</v>
      </c>
      <c r="I264" t="inlineStr">
        <is>
          <t>¥79,000       ¥84,300                                                   価格表は以下の条件で算出しています。 / ¥100,800      ¥106,100                                                                   透明 / ¥95,200      ¥100,500                                                         S-3（160）等級 S-2（120）等級 / ¥108,700      ¥114,000                                                    無印       3-A-3 / ■11913                                          ●16513                  ★       3-A-3 / ［11613］                                         ［16213］                 □       3-A-3 / ¥52,000       ¥57,300                           ¥59,600       ¥65,600     ●       4-A-4 / ¥83,800       ¥89,100                          ¥137,900      ¥143,900     ■                  3-A-3 / ¥108,100      ¥113,400                          ¥151,400      ¥157,400     ◇                  4-A-4 / ¥101,900      ¥107,200                          ¥150,400      ¥156,400 / ¥117,000      ¥122,300                          ¥172,100      ¥178,100                   型 / ■11915                                          ◇16515                      S-3（160）等級 S-2（120）等級 / ［11615］                                         ［16215］                無印      3-A-型4 / ¥54,100       ¥59,400                           ¥62,300       ¥68,500     ★                 3-A-型4 / ¥90,800       ¥96,100                          ¥152,600      ¥158,800     □                 4-A-型4 / ¥118,800      ¥124,100                          ¥168,100      ¥174,300     ●                 5-A-型4 / ¥111,600      ¥116,900                          ¥166,900      ¥173,100     ■                 4-A-型4 / ¥129,000      ¥134,300                          ¥191,900      ¥198,100     ◇                 5-A-型4 / 179</t>
        </is>
      </c>
      <c r="J264" t="inlineStr">
        <is>
          <t>202604_LIXIL_サーモスＬ_業務用資料集_完成品価格表.pdf</t>
        </is>
      </c>
      <c r="K264" t="inlineStr">
        <is>
          <t>https://drive.google.com/file/d/1YUN-mtWYs48YBUHJk0C3vJXnhjyZFHyf/view</t>
        </is>
      </c>
    </row>
    <row r="265">
      <c r="A265" s="42" t="inlineStr">
        <is>
          <t>GLG-SL-0262</t>
        </is>
      </c>
      <c r="B265" t="n">
        <v>179</v>
      </c>
      <c r="C265" t="inlineStr">
        <is>
          <t>★</t>
        </is>
      </c>
      <c r="D265" t="inlineStr">
        <is>
          <t>P179|★</t>
        </is>
      </c>
      <c r="E265" t="inlineStr">
        <is>
          <t>透明/型</t>
        </is>
      </c>
      <c r="F265" t="inlineStr">
        <is>
          <t>S-3（160）等級/S-2（120）等級</t>
        </is>
      </c>
      <c r="G265" t="inlineStr">
        <is>
          <t>原本凡例保持・列位置は原本参照</t>
        </is>
      </c>
      <c r="H265" t="b">
        <v>1</v>
      </c>
      <c r="I265" t="inlineStr">
        <is>
          <t>¥79,000       ¥84,300                                                   価格表は以下の条件で算出しています。 / ¥100,800      ¥106,100                                                                   透明 / ¥95,200      ¥100,500                                                         S-3（160）等級 S-2（120）等級 / ¥108,700      ¥114,000                                                    無印       3-A-3 / ■11913                                          ●16513                  ★       3-A-3 / ［11613］                                         ［16213］                 □       3-A-3 / ¥52,000       ¥57,300                           ¥59,600       ¥65,600     ●       4-A-4 / ¥83,800       ¥89,100                          ¥137,900      ¥143,900     ■                  3-A-3 / ¥108,100      ¥113,400                          ¥151,400      ¥157,400     ◇                  4-A-4 / ¥101,900      ¥107,200                          ¥150,400      ¥156,400 / ¥117,000      ¥122,300                          ¥172,100      ¥178,100                   型 / ■11915                                          ◇16515                      S-3（160）等級 S-2（120）等級 / ［11615］                                         ［16215］                無印      3-A-型4 / ¥54,100       ¥59,400                           ¥62,300       ¥68,500     ★                 3-A-型4 / ¥90,800       ¥96,100                          ¥152,600      ¥158,800     □                 4-A-型4 / ¥118,800      ¥124,100                          ¥168,100      ¥174,300     ●                 5-A-型4 / ¥111,600      ¥116,900                          ¥166,900      ¥173,100     ■                 4-A-型4 / ¥129,000      ¥134,300                          ¥191,900      ¥198,100     ◇                 5-A-型4 / 179</t>
        </is>
      </c>
      <c r="J265" t="inlineStr">
        <is>
          <t>202604_LIXIL_サーモスＬ_業務用資料集_完成品価格表.pdf</t>
        </is>
      </c>
      <c r="K265" t="inlineStr">
        <is>
          <t>https://drive.google.com/file/d/1YUN-mtWYs48YBUHJk0C3vJXnhjyZFHyf/view</t>
        </is>
      </c>
    </row>
    <row r="266">
      <c r="A266" s="42" t="inlineStr">
        <is>
          <t>GLG-SL-0263</t>
        </is>
      </c>
      <c r="B266" t="n">
        <v>179</v>
      </c>
      <c r="C266" t="inlineStr">
        <is>
          <t>●</t>
        </is>
      </c>
      <c r="D266" t="inlineStr">
        <is>
          <t>P179|●</t>
        </is>
      </c>
      <c r="E266" t="inlineStr">
        <is>
          <t>透明/型</t>
        </is>
      </c>
      <c r="F266" t="inlineStr">
        <is>
          <t>S-3（160）等級/S-2（120）等級</t>
        </is>
      </c>
      <c r="G266" t="inlineStr">
        <is>
          <t>原本凡例保持・列位置は原本参照</t>
        </is>
      </c>
      <c r="H266" t="b">
        <v>1</v>
      </c>
      <c r="I266" t="inlineStr">
        <is>
          <t>¥79,000       ¥84,300                                                   価格表は以下の条件で算出しています。 / ¥100,800      ¥106,100                                                                   透明 / ¥95,200      ¥100,500                                                         S-3（160）等級 S-2（120）等級 / ¥108,700      ¥114,000                                                    無印       3-A-3 / ■11913                                          ●16513                  ★       3-A-3 / ［11613］                                         ［16213］                 □       3-A-3 / ¥52,000       ¥57,300                           ¥59,600       ¥65,600     ●       4-A-4 / ¥83,800       ¥89,100                          ¥137,900      ¥143,900     ■                  3-A-3 / ¥108,100      ¥113,400                          ¥151,400      ¥157,400     ◇                  4-A-4 / ¥101,900      ¥107,200                          ¥150,400      ¥156,400 / ¥117,000      ¥122,300                          ¥172,100      ¥178,100                   型 / ■11915                                          ◇16515                      S-3（160）等級 S-2（120）等級 / ［11615］                                         ［16215］                無印      3-A-型4 / ¥54,100       ¥59,400                           ¥62,300       ¥68,500     ★                 3-A-型4 / ¥90,800       ¥96,100                          ¥152,600      ¥158,800     □                 4-A-型4 / ¥118,800      ¥124,100                          ¥168,100      ¥174,300     ●                 5-A-型4 / ¥111,600      ¥116,900                          ¥166,900      ¥173,100     ■                 4-A-型4 / ¥129,000      ¥134,300                          ¥191,900      ¥198,100     ◇                 5-A-型4 / 179</t>
        </is>
      </c>
      <c r="J266" t="inlineStr">
        <is>
          <t>202604_LIXIL_サーモスＬ_業務用資料集_完成品価格表.pdf</t>
        </is>
      </c>
      <c r="K266" t="inlineStr">
        <is>
          <t>https://drive.google.com/file/d/1YUN-mtWYs48YBUHJk0C3vJXnhjyZFHyf/view</t>
        </is>
      </c>
    </row>
    <row r="267">
      <c r="A267" s="42" t="inlineStr">
        <is>
          <t>GLG-SL-0264</t>
        </is>
      </c>
      <c r="B267" t="n">
        <v>179</v>
      </c>
      <c r="C267" t="inlineStr">
        <is>
          <t>◇</t>
        </is>
      </c>
      <c r="D267" t="inlineStr">
        <is>
          <t>P179|◇</t>
        </is>
      </c>
      <c r="E267" t="inlineStr">
        <is>
          <t>透明/型</t>
        </is>
      </c>
      <c r="F267" t="inlineStr">
        <is>
          <t>S-3（160）等級/S-2（120）等級</t>
        </is>
      </c>
      <c r="G267" t="inlineStr">
        <is>
          <t>原本凡例保持・列位置は原本参照</t>
        </is>
      </c>
      <c r="H267" t="b">
        <v>1</v>
      </c>
      <c r="I267" t="inlineStr">
        <is>
          <t>¥79,000       ¥84,300                                                   価格表は以下の条件で算出しています。 / ¥100,800      ¥106,100                                                                   透明 / ¥95,200      ¥100,500                                                         S-3（160）等級 S-2（120）等級 / ¥108,700      ¥114,000                                                    無印       3-A-3 / ■11913                                          ●16513                  ★       3-A-3 / ［11613］                                         ［16213］                 □       3-A-3 / ¥52,000       ¥57,300                           ¥59,600       ¥65,600     ●       4-A-4 / ¥83,800       ¥89,100                          ¥137,900      ¥143,900     ■                  3-A-3 / ¥108,100      ¥113,400                          ¥151,400      ¥157,400     ◇                  4-A-4 / ¥101,900      ¥107,200                          ¥150,400      ¥156,400 / ¥117,000      ¥122,300                          ¥172,100      ¥178,100                   型 / ■11915                                          ◇16515                      S-3（160）等級 S-2（120）等級 / ［11615］                                         ［16215］                無印      3-A-型4 / ¥54,100       ¥59,400                           ¥62,300       ¥68,500     ★                 3-A-型4 / ¥90,800       ¥96,100                          ¥152,600      ¥158,800     □                 4-A-型4 / ¥118,800      ¥124,100                          ¥168,100      ¥174,300     ●                 5-A-型4 / ¥111,600      ¥116,900                          ¥166,900      ¥173,100     ■                 4-A-型4 / ¥129,000      ¥134,300                          ¥191,900      ¥198,100     ◇                 5-A-型4 / 179</t>
        </is>
      </c>
      <c r="J267" t="inlineStr">
        <is>
          <t>202604_LIXIL_サーモスＬ_業務用資料集_完成品価格表.pdf</t>
        </is>
      </c>
      <c r="K267" t="inlineStr">
        <is>
          <t>https://drive.google.com/file/d/1YUN-mtWYs48YBUHJk0C3vJXnhjyZFHyf/view</t>
        </is>
      </c>
    </row>
    <row r="268">
      <c r="A268" s="42" t="inlineStr">
        <is>
          <t>GLG-SL-0265</t>
        </is>
      </c>
      <c r="B268" t="n">
        <v>180</v>
      </c>
      <c r="C268" t="inlineStr">
        <is>
          <t>無印</t>
        </is>
      </c>
      <c r="D268" t="inlineStr">
        <is>
          <t>P180|無印</t>
        </is>
      </c>
      <c r="E268" t="inlineStr">
        <is>
          <t>透明/型</t>
        </is>
      </c>
      <c r="F268" t="inlineStr">
        <is>
          <t>S-3（160）等級</t>
        </is>
      </c>
      <c r="G268" t="inlineStr">
        <is>
          <t>原本凡例保持・列位置は原本参照</t>
        </is>
      </c>
      <c r="H268" t="b">
        <v>1</v>
      </c>
      <c r="I268" t="inlineStr">
        <is>
          <t>価格表は以下の条件で算出しています。 / 透明          型 / S-3（160）等級 S-3（160）等級 / 3-A-3     3-A-型4</t>
        </is>
      </c>
      <c r="J268" t="inlineStr">
        <is>
          <t>202604_LIXIL_サーモスＬ_業務用資料集_完成品価格表.pdf</t>
        </is>
      </c>
      <c r="K268" t="inlineStr">
        <is>
          <t>https://drive.google.com/file/d/1YUN-mtWYs48YBUHJk0C3vJXnhjyZFHyf/view</t>
        </is>
      </c>
    </row>
    <row r="269">
      <c r="A269" s="42" t="inlineStr">
        <is>
          <t>GLG-SL-0266</t>
        </is>
      </c>
      <c r="B269" t="n">
        <v>182</v>
      </c>
      <c r="C269" t="inlineStr">
        <is>
          <t>無印</t>
        </is>
      </c>
      <c r="D269" t="inlineStr">
        <is>
          <t>P182|無印</t>
        </is>
      </c>
      <c r="E269" t="inlineStr">
        <is>
          <t>透明/型</t>
        </is>
      </c>
      <c r="F269" t="inlineStr">
        <is>
          <t>S-3（160）等級</t>
        </is>
      </c>
      <c r="G269" t="inlineStr">
        <is>
          <t>原本凡例保持・列位置は原本参照</t>
        </is>
      </c>
      <c r="H269" t="b">
        <v>1</v>
      </c>
      <c r="I269" t="inlineStr">
        <is>
          <t>価格表は以下の条件で算出しています。 / 透明          型 / S-3（160）等級 S-3（160）等級 / 3-A-3     3-A-型4</t>
        </is>
      </c>
      <c r="J269" t="inlineStr">
        <is>
          <t>202604_LIXIL_サーモスＬ_業務用資料集_完成品価格表.pdf</t>
        </is>
      </c>
      <c r="K269" t="inlineStr">
        <is>
          <t>https://drive.google.com/file/d/1YUN-mtWYs48YBUHJk0C3vJXnhjyZFHyf/view</t>
        </is>
      </c>
    </row>
    <row r="270">
      <c r="A270" s="42" t="inlineStr">
        <is>
          <t>GLG-SL-0267</t>
        </is>
      </c>
      <c r="B270" t="n">
        <v>184</v>
      </c>
      <c r="C270" t="inlineStr">
        <is>
          <t>無印</t>
        </is>
      </c>
      <c r="D270" t="inlineStr">
        <is>
          <t>P184|無印</t>
        </is>
      </c>
      <c r="E270" t="inlineStr">
        <is>
          <t>透明/型</t>
        </is>
      </c>
      <c r="F270" t="inlineStr">
        <is>
          <t>S-3（160）等級/S-2（120）等級/S-1（80）等級</t>
        </is>
      </c>
      <c r="G270" t="inlineStr">
        <is>
          <t>原本凡例保持・列位置は原本参照</t>
        </is>
      </c>
      <c r="H270" t="b">
        <v>1</v>
      </c>
      <c r="I270"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0" t="inlineStr">
        <is>
          <t>202604_LIXIL_サーモスＬ_業務用資料集_完成品価格表.pdf</t>
        </is>
      </c>
      <c r="K270" t="inlineStr">
        <is>
          <t>https://drive.google.com/file/d/1YUN-mtWYs48YBUHJk0C3vJXnhjyZFHyf/view</t>
        </is>
      </c>
    </row>
    <row r="271">
      <c r="A271" s="42" t="inlineStr">
        <is>
          <t>GLG-SL-0268</t>
        </is>
      </c>
      <c r="B271" t="n">
        <v>184</v>
      </c>
      <c r="C271" t="inlineStr">
        <is>
          <t>★</t>
        </is>
      </c>
      <c r="D271" t="inlineStr">
        <is>
          <t>P184|★</t>
        </is>
      </c>
      <c r="E271" t="inlineStr">
        <is>
          <t>透明/型</t>
        </is>
      </c>
      <c r="F271" t="inlineStr">
        <is>
          <t>S-3（160）等級/S-2（120）等級/S-1（80）等級</t>
        </is>
      </c>
      <c r="G271" t="inlineStr">
        <is>
          <t>原本凡例保持・列位置は原本参照</t>
        </is>
      </c>
      <c r="H271" t="b">
        <v>1</v>
      </c>
      <c r="I271"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1" t="inlineStr">
        <is>
          <t>202604_LIXIL_サーモスＬ_業務用資料集_完成品価格表.pdf</t>
        </is>
      </c>
      <c r="K271" t="inlineStr">
        <is>
          <t>https://drive.google.com/file/d/1YUN-mtWYs48YBUHJk0C3vJXnhjyZFHyf/view</t>
        </is>
      </c>
    </row>
    <row r="272">
      <c r="A272" s="42" t="inlineStr">
        <is>
          <t>GLG-SL-0269</t>
        </is>
      </c>
      <c r="B272" t="n">
        <v>184</v>
      </c>
      <c r="C272" t="inlineStr">
        <is>
          <t>☆</t>
        </is>
      </c>
      <c r="D272" t="inlineStr">
        <is>
          <t>P184|☆</t>
        </is>
      </c>
      <c r="E272" t="inlineStr">
        <is>
          <t>透明/型</t>
        </is>
      </c>
      <c r="F272" t="inlineStr">
        <is>
          <t>S-3（160）等級/S-2（120）等級/S-1（80）等級</t>
        </is>
      </c>
      <c r="G272" t="inlineStr">
        <is>
          <t>原本凡例保持・列位置は原本参照</t>
        </is>
      </c>
      <c r="H272" t="b">
        <v>1</v>
      </c>
      <c r="I272"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2" t="inlineStr">
        <is>
          <t>202604_LIXIL_サーモスＬ_業務用資料集_完成品価格表.pdf</t>
        </is>
      </c>
      <c r="K272" t="inlineStr">
        <is>
          <t>https://drive.google.com/file/d/1YUN-mtWYs48YBUHJk0C3vJXnhjyZFHyf/view</t>
        </is>
      </c>
    </row>
    <row r="273">
      <c r="A273" s="42" t="inlineStr">
        <is>
          <t>GLG-SL-0270</t>
        </is>
      </c>
      <c r="B273" t="n">
        <v>184</v>
      </c>
      <c r="C273" t="inlineStr">
        <is>
          <t>○</t>
        </is>
      </c>
      <c r="D273" t="inlineStr">
        <is>
          <t>P184|○</t>
        </is>
      </c>
      <c r="E273" t="inlineStr">
        <is>
          <t>透明/型</t>
        </is>
      </c>
      <c r="F273" t="inlineStr">
        <is>
          <t>S-3（160）等級/S-2（120）等級/S-1（80）等級</t>
        </is>
      </c>
      <c r="G273" t="inlineStr">
        <is>
          <t>原本凡例保持・列位置は原本参照</t>
        </is>
      </c>
      <c r="H273" t="b">
        <v>1</v>
      </c>
      <c r="I273"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3" t="inlineStr">
        <is>
          <t>202604_LIXIL_サーモスＬ_業務用資料集_完成品価格表.pdf</t>
        </is>
      </c>
      <c r="K273" t="inlineStr">
        <is>
          <t>https://drive.google.com/file/d/1YUN-mtWYs48YBUHJk0C3vJXnhjyZFHyf/view</t>
        </is>
      </c>
    </row>
    <row r="274">
      <c r="A274" s="42" t="inlineStr">
        <is>
          <t>GLG-SL-0271</t>
        </is>
      </c>
      <c r="B274" t="n">
        <v>184</v>
      </c>
      <c r="C274" t="inlineStr">
        <is>
          <t>●</t>
        </is>
      </c>
      <c r="D274" t="inlineStr">
        <is>
          <t>P184|●</t>
        </is>
      </c>
      <c r="E274" t="inlineStr">
        <is>
          <t>透明/型</t>
        </is>
      </c>
      <c r="F274" t="inlineStr">
        <is>
          <t>S-3（160）等級/S-2（120）等級/S-1（80）等級</t>
        </is>
      </c>
      <c r="G274" t="inlineStr">
        <is>
          <t>原本凡例保持・列位置は原本参照</t>
        </is>
      </c>
      <c r="H274" t="b">
        <v>1</v>
      </c>
      <c r="I274"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4" t="inlineStr">
        <is>
          <t>202604_LIXIL_サーモスＬ_業務用資料集_完成品価格表.pdf</t>
        </is>
      </c>
      <c r="K274" t="inlineStr">
        <is>
          <t>https://drive.google.com/file/d/1YUN-mtWYs48YBUHJk0C3vJXnhjyZFHyf/view</t>
        </is>
      </c>
    </row>
    <row r="275">
      <c r="A275" s="42" t="inlineStr">
        <is>
          <t>GLG-SL-0272</t>
        </is>
      </c>
      <c r="B275" t="n">
        <v>184</v>
      </c>
      <c r="C275" t="inlineStr">
        <is>
          <t>◆</t>
        </is>
      </c>
      <c r="D275" t="inlineStr">
        <is>
          <t>P184|◆</t>
        </is>
      </c>
      <c r="E275" t="inlineStr">
        <is>
          <t>透明/型</t>
        </is>
      </c>
      <c r="F275" t="inlineStr">
        <is>
          <t>S-3（160）等級/S-2（120）等級/S-1（80）等級</t>
        </is>
      </c>
      <c r="G275" t="inlineStr">
        <is>
          <t>原本凡例保持・列位置は原本参照</t>
        </is>
      </c>
      <c r="H275" t="b">
        <v>1</v>
      </c>
      <c r="I275"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5" t="inlineStr">
        <is>
          <t>202604_LIXIL_サーモスＬ_業務用資料集_完成品価格表.pdf</t>
        </is>
      </c>
      <c r="K275" t="inlineStr">
        <is>
          <t>https://drive.google.com/file/d/1YUN-mtWYs48YBUHJk0C3vJXnhjyZFHyf/view</t>
        </is>
      </c>
    </row>
    <row r="276">
      <c r="A276" s="42" t="inlineStr">
        <is>
          <t>GLG-SL-0273</t>
        </is>
      </c>
      <c r="B276" t="n">
        <v>184</v>
      </c>
      <c r="C276" t="inlineStr">
        <is>
          <t>▲</t>
        </is>
      </c>
      <c r="D276" t="inlineStr">
        <is>
          <t>P184|▲</t>
        </is>
      </c>
      <c r="E276" t="inlineStr">
        <is>
          <t>透明/型</t>
        </is>
      </c>
      <c r="F276" t="inlineStr">
        <is>
          <t>S-3（160）等級/S-2（120）等級/S-1（80）等級</t>
        </is>
      </c>
      <c r="G276" t="inlineStr">
        <is>
          <t>原本凡例保持・列位置は原本参照</t>
        </is>
      </c>
      <c r="H276" t="b">
        <v>1</v>
      </c>
      <c r="I276"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6" t="inlineStr">
        <is>
          <t>202604_LIXIL_サーモスＬ_業務用資料集_完成品価格表.pdf</t>
        </is>
      </c>
      <c r="K276" t="inlineStr">
        <is>
          <t>https://drive.google.com/file/d/1YUN-mtWYs48YBUHJk0C3vJXnhjyZFHyf/view</t>
        </is>
      </c>
    </row>
    <row r="277">
      <c r="A277" s="42" t="inlineStr">
        <is>
          <t>GLG-SL-0274</t>
        </is>
      </c>
      <c r="B277" t="n">
        <v>184</v>
      </c>
      <c r="C277" t="inlineStr">
        <is>
          <t>◇</t>
        </is>
      </c>
      <c r="D277" t="inlineStr">
        <is>
          <t>P184|◇</t>
        </is>
      </c>
      <c r="E277" t="inlineStr">
        <is>
          <t>透明/型</t>
        </is>
      </c>
      <c r="F277" t="inlineStr">
        <is>
          <t>S-3（160）等級/S-2（120）等級/S-1（80）等級</t>
        </is>
      </c>
      <c r="G277" t="inlineStr">
        <is>
          <t>原本凡例保持・列位置は原本参照</t>
        </is>
      </c>
      <c r="H277" t="b">
        <v>1</v>
      </c>
      <c r="I277"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7" t="inlineStr">
        <is>
          <t>202604_LIXIL_サーモスＬ_業務用資料集_完成品価格表.pdf</t>
        </is>
      </c>
      <c r="K277" t="inlineStr">
        <is>
          <t>https://drive.google.com/file/d/1YUN-mtWYs48YBUHJk0C3vJXnhjyZFHyf/view</t>
        </is>
      </c>
    </row>
    <row r="278">
      <c r="A278" s="42" t="inlineStr">
        <is>
          <t>GLG-SL-0275</t>
        </is>
      </c>
      <c r="B278" t="n">
        <v>184</v>
      </c>
      <c r="C278" t="inlineStr">
        <is>
          <t>◎</t>
        </is>
      </c>
      <c r="D278" t="inlineStr">
        <is>
          <t>P184|◎</t>
        </is>
      </c>
      <c r="E278" t="inlineStr">
        <is>
          <t>透明/型</t>
        </is>
      </c>
      <c r="F278" t="inlineStr">
        <is>
          <t>S-3（160）等級/S-2（120）等級/S-1（80）等級</t>
        </is>
      </c>
      <c r="G278" t="inlineStr">
        <is>
          <t>原本凡例保持・列位置は原本参照</t>
        </is>
      </c>
      <c r="H278" t="b">
        <v>1</v>
      </c>
      <c r="I278" t="inlineStr">
        <is>
          <t>価格表は以下の条件で算出しています。 / 透明                          型 / S-3（160）等級 S-2（120）等級 S-3（160）等級 S-2（120）等級            S-1（80）等級 / 無印                           3-A-3                3-A-型4 / ☆                           3-A-3                4-A-型4 / ★                           3-A-3                           3-A-型4 / □                           3-A-3                           4-A-型4 / ●                           4-A-4                           5-A-型4 / ○                           5-A-5                           製作不可 / ◆                                      3-A-3                4-A-型4 / ◇                                      4-A-4                5-A-型4 / ▲                                      4-A-4                                     5-A-型4 / ◎                                      5-A-5                                     5-A-型4※ / ※16524サイズは製作不可</t>
        </is>
      </c>
      <c r="J278" t="inlineStr">
        <is>
          <t>202604_LIXIL_サーモスＬ_業務用資料集_完成品価格表.pdf</t>
        </is>
      </c>
      <c r="K278" t="inlineStr">
        <is>
          <t>https://drive.google.com/file/d/1YUN-mtWYs48YBUHJk0C3vJXnhjyZFHyf/view</t>
        </is>
      </c>
    </row>
    <row r="279">
      <c r="A279" s="42" t="inlineStr">
        <is>
          <t>GLG-SL-0276</t>
        </is>
      </c>
      <c r="B279" t="n">
        <v>186</v>
      </c>
      <c r="C279" t="inlineStr">
        <is>
          <t>無印</t>
        </is>
      </c>
      <c r="D279" t="inlineStr">
        <is>
          <t>P186|無印</t>
        </is>
      </c>
      <c r="E279" t="inlineStr">
        <is>
          <t>透明/型</t>
        </is>
      </c>
      <c r="F279" t="inlineStr">
        <is>
          <t>S-3（160）等級/S-2（120）等級</t>
        </is>
      </c>
      <c r="G279" t="inlineStr">
        <is>
          <t>原本凡例保持・列位置は原本参照</t>
        </is>
      </c>
      <c r="H279" t="b">
        <v>1</v>
      </c>
      <c r="I279" t="inlineStr">
        <is>
          <t>価格表は以下の条件で算出しています。 / 透明                    型 / S-3（160）等級 S-2（120）等級 S-3（160）等級 S-2（120）等級 / 無印                  3-A-3                3-A-型4 / ☆                  3-A-3                4-A-型4 / ★                  3-A-3                           3-A-型4 / □                  3-A-3                           4-A-型4 / ■                             3-A-3                4-A-型4</t>
        </is>
      </c>
      <c r="J279" t="inlineStr">
        <is>
          <t>202604_LIXIL_サーモスＬ_業務用資料集_完成品価格表.pdf</t>
        </is>
      </c>
      <c r="K279" t="inlineStr">
        <is>
          <t>https://drive.google.com/file/d/1YUN-mtWYs48YBUHJk0C3vJXnhjyZFHyf/view</t>
        </is>
      </c>
    </row>
    <row r="280">
      <c r="A280" s="42" t="inlineStr">
        <is>
          <t>GLG-SL-0277</t>
        </is>
      </c>
      <c r="B280" t="n">
        <v>186</v>
      </c>
      <c r="C280" t="inlineStr">
        <is>
          <t>★</t>
        </is>
      </c>
      <c r="D280" t="inlineStr">
        <is>
          <t>P186|★</t>
        </is>
      </c>
      <c r="E280" t="inlineStr">
        <is>
          <t>透明/型</t>
        </is>
      </c>
      <c r="F280" t="inlineStr">
        <is>
          <t>S-3（160）等級/S-2（120）等級</t>
        </is>
      </c>
      <c r="G280" t="inlineStr">
        <is>
          <t>原本凡例保持・列位置は原本参照</t>
        </is>
      </c>
      <c r="H280" t="b">
        <v>1</v>
      </c>
      <c r="I280" t="inlineStr">
        <is>
          <t>価格表は以下の条件で算出しています。 / 透明                    型 / S-3（160）等級 S-2（120）等級 S-3（160）等級 S-2（120）等級 / 無印                  3-A-3                3-A-型4 / ☆                  3-A-3                4-A-型4 / ★                  3-A-3                           3-A-型4 / □                  3-A-3                           4-A-型4 / ■                             3-A-3                4-A-型4</t>
        </is>
      </c>
      <c r="J280" t="inlineStr">
        <is>
          <t>202604_LIXIL_サーモスＬ_業務用資料集_完成品価格表.pdf</t>
        </is>
      </c>
      <c r="K280" t="inlineStr">
        <is>
          <t>https://drive.google.com/file/d/1YUN-mtWYs48YBUHJk0C3vJXnhjyZFHyf/view</t>
        </is>
      </c>
    </row>
    <row r="281">
      <c r="A281" s="42" t="inlineStr">
        <is>
          <t>GLG-SL-0278</t>
        </is>
      </c>
      <c r="B281" t="n">
        <v>186</v>
      </c>
      <c r="C281" t="inlineStr">
        <is>
          <t>☆</t>
        </is>
      </c>
      <c r="D281" t="inlineStr">
        <is>
          <t>P186|☆</t>
        </is>
      </c>
      <c r="E281" t="inlineStr">
        <is>
          <t>透明/型</t>
        </is>
      </c>
      <c r="F281" t="inlineStr">
        <is>
          <t>S-3（160）等級/S-2（120）等級</t>
        </is>
      </c>
      <c r="G281" t="inlineStr">
        <is>
          <t>原本凡例保持・列位置は原本参照</t>
        </is>
      </c>
      <c r="H281" t="b">
        <v>1</v>
      </c>
      <c r="I281" t="inlineStr">
        <is>
          <t>価格表は以下の条件で算出しています。 / 透明                    型 / S-3（160）等級 S-2（120）等級 S-3（160）等級 S-2（120）等級 / 無印                  3-A-3                3-A-型4 / ☆                  3-A-3                4-A-型4 / ★                  3-A-3                           3-A-型4 / □                  3-A-3                           4-A-型4 / ■                             3-A-3                4-A-型4</t>
        </is>
      </c>
      <c r="J281" t="inlineStr">
        <is>
          <t>202604_LIXIL_サーモスＬ_業務用資料集_完成品価格表.pdf</t>
        </is>
      </c>
      <c r="K281" t="inlineStr">
        <is>
          <t>https://drive.google.com/file/d/1YUN-mtWYs48YBUHJk0C3vJXnhjyZFHyf/view</t>
        </is>
      </c>
    </row>
    <row r="282">
      <c r="A282" s="42" t="inlineStr">
        <is>
          <t>GLG-SL-0279</t>
        </is>
      </c>
      <c r="B282" t="n">
        <v>187</v>
      </c>
      <c r="C282" t="inlineStr">
        <is>
          <t>無印</t>
        </is>
      </c>
      <c r="D282" t="inlineStr">
        <is>
          <t>P187|無印</t>
        </is>
      </c>
      <c r="E282" t="inlineStr">
        <is>
          <t>透明/型</t>
        </is>
      </c>
      <c r="F282" t="inlineStr">
        <is>
          <t>S-3（160）等級/S-2（120）等級</t>
        </is>
      </c>
      <c r="G282" t="inlineStr">
        <is>
          <t>原本凡例保持・列位置は原本参照</t>
        </is>
      </c>
      <c r="H282" t="b">
        <v>1</v>
      </c>
      <c r="I282" t="inlineStr">
        <is>
          <t>価格表は以下の条件で算出しています。 / 透明               型 / S-3（160）等級 S-3（160）等級 S-2（120）等級 / 無印                  3-A-3     3-A-型4 / ☆                  3-A-3     4-A-型4 / ★                  3-A-3                3-A-型4 / ◇                  3-A-3                4-A-型4 / ▼                  5-A-5           製作不可 / 187</t>
        </is>
      </c>
      <c r="J282" t="inlineStr">
        <is>
          <t>202604_LIXIL_サーモスＬ_業務用資料集_完成品価格表.pdf</t>
        </is>
      </c>
      <c r="K282" t="inlineStr">
        <is>
          <t>https://drive.google.com/file/d/1YUN-mtWYs48YBUHJk0C3vJXnhjyZFHyf/view</t>
        </is>
      </c>
    </row>
    <row r="283">
      <c r="A283" s="42" t="inlineStr">
        <is>
          <t>GLG-SL-0280</t>
        </is>
      </c>
      <c r="B283" t="n">
        <v>187</v>
      </c>
      <c r="C283" t="inlineStr">
        <is>
          <t>★</t>
        </is>
      </c>
      <c r="D283" t="inlineStr">
        <is>
          <t>P187|★</t>
        </is>
      </c>
      <c r="E283" t="inlineStr">
        <is>
          <t>透明/型</t>
        </is>
      </c>
      <c r="F283" t="inlineStr">
        <is>
          <t>S-3（160）等級/S-2（120）等級</t>
        </is>
      </c>
      <c r="G283" t="inlineStr">
        <is>
          <t>原本凡例保持・列位置は原本参照</t>
        </is>
      </c>
      <c r="H283" t="b">
        <v>1</v>
      </c>
      <c r="I283" t="inlineStr">
        <is>
          <t>価格表は以下の条件で算出しています。 / 透明               型 / S-3（160）等級 S-3（160）等級 S-2（120）等級 / 無印                  3-A-3     3-A-型4 / ☆                  3-A-3     4-A-型4 / ★                  3-A-3                3-A-型4 / ◇                  3-A-3                4-A-型4 / ▼                  5-A-5           製作不可 / 187</t>
        </is>
      </c>
      <c r="J283" t="inlineStr">
        <is>
          <t>202604_LIXIL_サーモスＬ_業務用資料集_完成品価格表.pdf</t>
        </is>
      </c>
      <c r="K283" t="inlineStr">
        <is>
          <t>https://drive.google.com/file/d/1YUN-mtWYs48YBUHJk0C3vJXnhjyZFHyf/view</t>
        </is>
      </c>
    </row>
    <row r="284">
      <c r="A284" s="42" t="inlineStr">
        <is>
          <t>GLG-SL-0281</t>
        </is>
      </c>
      <c r="B284" t="n">
        <v>187</v>
      </c>
      <c r="C284" t="inlineStr">
        <is>
          <t>☆</t>
        </is>
      </c>
      <c r="D284" t="inlineStr">
        <is>
          <t>P187|☆</t>
        </is>
      </c>
      <c r="E284" t="inlineStr">
        <is>
          <t>透明/型</t>
        </is>
      </c>
      <c r="F284" t="inlineStr">
        <is>
          <t>S-3（160）等級/S-2（120）等級</t>
        </is>
      </c>
      <c r="G284" t="inlineStr">
        <is>
          <t>原本凡例保持・列位置は原本参照</t>
        </is>
      </c>
      <c r="H284" t="b">
        <v>1</v>
      </c>
      <c r="I284" t="inlineStr">
        <is>
          <t>価格表は以下の条件で算出しています。 / 透明               型 / S-3（160）等級 S-3（160）等級 S-2（120）等級 / 無印                  3-A-3     3-A-型4 / ☆                  3-A-3     4-A-型4 / ★                  3-A-3                3-A-型4 / ◇                  3-A-3                4-A-型4 / ▼                  5-A-5           製作不可 / 187</t>
        </is>
      </c>
      <c r="J284" t="inlineStr">
        <is>
          <t>202604_LIXIL_サーモスＬ_業務用資料集_完成品価格表.pdf</t>
        </is>
      </c>
      <c r="K284" t="inlineStr">
        <is>
          <t>https://drive.google.com/file/d/1YUN-mtWYs48YBUHJk0C3vJXnhjyZFHyf/view</t>
        </is>
      </c>
    </row>
    <row r="285">
      <c r="A285" s="42" t="inlineStr">
        <is>
          <t>GLG-SL-0282</t>
        </is>
      </c>
      <c r="B285" t="n">
        <v>187</v>
      </c>
      <c r="C285" t="inlineStr">
        <is>
          <t>◇</t>
        </is>
      </c>
      <c r="D285" t="inlineStr">
        <is>
          <t>P187|◇</t>
        </is>
      </c>
      <c r="E285" t="inlineStr">
        <is>
          <t>透明/型</t>
        </is>
      </c>
      <c r="F285" t="inlineStr">
        <is>
          <t>S-3（160）等級/S-2（120）等級</t>
        </is>
      </c>
      <c r="G285" t="inlineStr">
        <is>
          <t>原本凡例保持・列位置は原本参照</t>
        </is>
      </c>
      <c r="H285" t="b">
        <v>1</v>
      </c>
      <c r="I285" t="inlineStr">
        <is>
          <t>価格表は以下の条件で算出しています。 / 透明               型 / S-3（160）等級 S-3（160）等級 S-2（120）等級 / 無印                  3-A-3     3-A-型4 / ☆                  3-A-3     4-A-型4 / ★                  3-A-3                3-A-型4 / ◇                  3-A-3                4-A-型4 / ▼                  5-A-5           製作不可 / 187</t>
        </is>
      </c>
      <c r="J285" t="inlineStr">
        <is>
          <t>202604_LIXIL_サーモスＬ_業務用資料集_完成品価格表.pdf</t>
        </is>
      </c>
      <c r="K285" t="inlineStr">
        <is>
          <t>https://drive.google.com/file/d/1YUN-mtWYs48YBUHJk0C3vJXnhjyZFHyf/view</t>
        </is>
      </c>
    </row>
    <row r="286">
      <c r="A286" s="42" t="inlineStr">
        <is>
          <t>GLG-SL-0283</t>
        </is>
      </c>
      <c r="B286" t="n">
        <v>188</v>
      </c>
      <c r="C286" t="inlineStr">
        <is>
          <t>無印</t>
        </is>
      </c>
      <c r="D286" t="inlineStr">
        <is>
          <t>P188|無印</t>
        </is>
      </c>
      <c r="E286" t="inlineStr">
        <is>
          <t>透明/型</t>
        </is>
      </c>
      <c r="F286" t="inlineStr">
        <is>
          <t>S-3（160）等級</t>
        </is>
      </c>
      <c r="G286" t="inlineStr">
        <is>
          <t>原本凡例保持・列位置は原本参照</t>
        </is>
      </c>
      <c r="H286" t="b">
        <v>1</v>
      </c>
      <c r="I286" t="inlineStr">
        <is>
          <t>価格表は以下の条件で算出しています。 / 透明          型 / S-3（160）等級 S-3（160）等級 / 3-A-3     3-A-型4</t>
        </is>
      </c>
      <c r="J286" t="inlineStr">
        <is>
          <t>202604_LIXIL_サーモスＬ_業務用資料集_完成品価格表.pdf</t>
        </is>
      </c>
      <c r="K286" t="inlineStr">
        <is>
          <t>https://drive.google.com/file/d/1YUN-mtWYs48YBUHJk0C3vJXnhjyZFHyf/view</t>
        </is>
      </c>
    </row>
    <row r="287">
      <c r="A287" s="42" t="inlineStr">
        <is>
          <t>GLG-SL-0284</t>
        </is>
      </c>
      <c r="B287" t="n">
        <v>190</v>
      </c>
      <c r="C287" t="inlineStr">
        <is>
          <t>無印</t>
        </is>
      </c>
      <c r="D287" t="inlineStr">
        <is>
          <t>P190|無印</t>
        </is>
      </c>
      <c r="E287" t="inlineStr">
        <is>
          <t>透明/型</t>
        </is>
      </c>
      <c r="F287" t="inlineStr">
        <is>
          <t>S-3（160）等級</t>
        </is>
      </c>
      <c r="G287" t="inlineStr">
        <is>
          <t>原本凡例保持・列位置は原本参照</t>
        </is>
      </c>
      <c r="H287" t="b">
        <v>1</v>
      </c>
      <c r="I287" t="inlineStr">
        <is>
          <t>価格表は以下の条件で算出しています。 / 透明          型 / S-3（160）等級 S-3（160）等級 / 3-A-3     3-A-型4</t>
        </is>
      </c>
      <c r="J287" t="inlineStr">
        <is>
          <t>202604_LIXIL_サーモスＬ_業務用資料集_完成品価格表.pdf</t>
        </is>
      </c>
      <c r="K287" t="inlineStr">
        <is>
          <t>https://drive.google.com/file/d/1YUN-mtWYs48YBUHJk0C3vJXnhjyZFHyf/view</t>
        </is>
      </c>
    </row>
    <row r="288">
      <c r="A288" s="42" t="inlineStr">
        <is>
          <t>GLG-SL-0285</t>
        </is>
      </c>
      <c r="B288" t="n">
        <v>192</v>
      </c>
      <c r="C288" t="inlineStr">
        <is>
          <t>無印</t>
        </is>
      </c>
      <c r="D288" t="inlineStr">
        <is>
          <t>P192|無印</t>
        </is>
      </c>
      <c r="E288" t="inlineStr">
        <is>
          <t>透明/型</t>
        </is>
      </c>
      <c r="F288" t="inlineStr">
        <is>
          <t>S-3（160）等級/S-2（120）等級</t>
        </is>
      </c>
      <c r="G288" t="inlineStr">
        <is>
          <t>原本凡例保持・列位置は原本参照</t>
        </is>
      </c>
      <c r="H288" t="b">
        <v>1</v>
      </c>
      <c r="I288" t="inlineStr">
        <is>
          <t>価格表は以下の条件で算出しています。 / 透明                    型 / S-3（160）等級 S-2（120）等級 S-3（160）等級 S-2（120）等級 / 無印                  3-A-3                3-A-型4 / ★                             3-A-3                3-A-型4</t>
        </is>
      </c>
      <c r="J288" t="inlineStr">
        <is>
          <t>202604_LIXIL_サーモスＬ_業務用資料集_完成品価格表.pdf</t>
        </is>
      </c>
      <c r="K288" t="inlineStr">
        <is>
          <t>https://drive.google.com/file/d/1YUN-mtWYs48YBUHJk0C3vJXnhjyZFHyf/view</t>
        </is>
      </c>
    </row>
    <row r="289">
      <c r="A289" s="42" t="inlineStr">
        <is>
          <t>GLG-SL-0286</t>
        </is>
      </c>
      <c r="B289" t="n">
        <v>192</v>
      </c>
      <c r="C289" t="inlineStr">
        <is>
          <t>★</t>
        </is>
      </c>
      <c r="D289" t="inlineStr">
        <is>
          <t>P192|★</t>
        </is>
      </c>
      <c r="E289" t="inlineStr">
        <is>
          <t>透明/型</t>
        </is>
      </c>
      <c r="F289" t="inlineStr">
        <is>
          <t>S-3（160）等級/S-2（120）等級</t>
        </is>
      </c>
      <c r="G289" t="inlineStr">
        <is>
          <t>原本凡例保持・列位置は原本参照</t>
        </is>
      </c>
      <c r="H289" t="b">
        <v>1</v>
      </c>
      <c r="I289" t="inlineStr">
        <is>
          <t>価格表は以下の条件で算出しています。 / 透明                    型 / S-3（160）等級 S-2（120）等級 S-3（160）等級 S-2（120）等級 / 無印                  3-A-3                3-A-型4 / ★                             3-A-3                3-A-型4</t>
        </is>
      </c>
      <c r="J289" t="inlineStr">
        <is>
          <t>202604_LIXIL_サーモスＬ_業務用資料集_完成品価格表.pdf</t>
        </is>
      </c>
      <c r="K289" t="inlineStr">
        <is>
          <t>https://drive.google.com/file/d/1YUN-mtWYs48YBUHJk0C3vJXnhjyZFHyf/view</t>
        </is>
      </c>
    </row>
    <row r="290">
      <c r="A290" s="42" t="inlineStr">
        <is>
          <t>GLG-SL-0287</t>
        </is>
      </c>
      <c r="B290" t="n">
        <v>194</v>
      </c>
      <c r="C290" t="inlineStr">
        <is>
          <t>無印</t>
        </is>
      </c>
      <c r="D290" t="inlineStr">
        <is>
          <t>P194|無印</t>
        </is>
      </c>
      <c r="E290" t="inlineStr">
        <is>
          <t>透明/型</t>
        </is>
      </c>
      <c r="F290" t="inlineStr">
        <is>
          <t>S-3（160）等級/S-2（120）等級/S-1（80）等級</t>
        </is>
      </c>
      <c r="G290" t="inlineStr">
        <is>
          <t>原本凡例保持・列位置は原本参照</t>
        </is>
      </c>
      <c r="H290" t="b">
        <v>1</v>
      </c>
      <c r="I290" t="inlineStr">
        <is>
          <t>価格表は以下の条件で算出しています。 / 透明                                    型 / S-3（160）等級 S-2（120）等級           S-3（160）等級 S-2（120）等級     S-1（80）等級 / 無印                  3-A-3                          3-A-型4 / ★                   3-A-3                                     3-A-型4 / ○                              3-A-3                          3-A-型4 / ☆                              3-A-3                          4-A-型4 / ●                              3-A-3                                        3-A-型4</t>
        </is>
      </c>
      <c r="J290" t="inlineStr">
        <is>
          <t>202604_LIXIL_サーモスＬ_業務用資料集_完成品価格表.pdf</t>
        </is>
      </c>
      <c r="K290" t="inlineStr">
        <is>
          <t>https://drive.google.com/file/d/1YUN-mtWYs48YBUHJk0C3vJXnhjyZFHyf/view</t>
        </is>
      </c>
    </row>
    <row r="291">
      <c r="A291" s="42" t="inlineStr">
        <is>
          <t>GLG-SL-0288</t>
        </is>
      </c>
      <c r="B291" t="n">
        <v>194</v>
      </c>
      <c r="C291" t="inlineStr">
        <is>
          <t>★</t>
        </is>
      </c>
      <c r="D291" t="inlineStr">
        <is>
          <t>P194|★</t>
        </is>
      </c>
      <c r="E291" t="inlineStr">
        <is>
          <t>透明/型</t>
        </is>
      </c>
      <c r="F291" t="inlineStr">
        <is>
          <t>S-3（160）等級/S-2（120）等級/S-1（80）等級</t>
        </is>
      </c>
      <c r="G291" t="inlineStr">
        <is>
          <t>原本凡例保持・列位置は原本参照</t>
        </is>
      </c>
      <c r="H291" t="b">
        <v>1</v>
      </c>
      <c r="I291" t="inlineStr">
        <is>
          <t>価格表は以下の条件で算出しています。 / 透明                                    型 / S-3（160）等級 S-2（120）等級           S-3（160）等級 S-2（120）等級     S-1（80）等級 / 無印                  3-A-3                          3-A-型4 / ★                   3-A-3                                     3-A-型4 / ○                              3-A-3                          3-A-型4 / ☆                              3-A-3                          4-A-型4 / ●                              3-A-3                                        3-A-型4</t>
        </is>
      </c>
      <c r="J291" t="inlineStr">
        <is>
          <t>202604_LIXIL_サーモスＬ_業務用資料集_完成品価格表.pdf</t>
        </is>
      </c>
      <c r="K291" t="inlineStr">
        <is>
          <t>https://drive.google.com/file/d/1YUN-mtWYs48YBUHJk0C3vJXnhjyZFHyf/view</t>
        </is>
      </c>
    </row>
    <row r="292">
      <c r="A292" s="42" t="inlineStr">
        <is>
          <t>GLG-SL-0289</t>
        </is>
      </c>
      <c r="B292" t="n">
        <v>194</v>
      </c>
      <c r="C292" t="inlineStr">
        <is>
          <t>☆</t>
        </is>
      </c>
      <c r="D292" t="inlineStr">
        <is>
          <t>P194|☆</t>
        </is>
      </c>
      <c r="E292" t="inlineStr">
        <is>
          <t>透明/型</t>
        </is>
      </c>
      <c r="F292" t="inlineStr">
        <is>
          <t>S-3（160）等級/S-2（120）等級/S-1（80）等級</t>
        </is>
      </c>
      <c r="G292" t="inlineStr">
        <is>
          <t>原本凡例保持・列位置は原本参照</t>
        </is>
      </c>
      <c r="H292" t="b">
        <v>1</v>
      </c>
      <c r="I292" t="inlineStr">
        <is>
          <t>価格表は以下の条件で算出しています。 / 透明                                    型 / S-3（160）等級 S-2（120）等級           S-3（160）等級 S-2（120）等級     S-1（80）等級 / 無印                  3-A-3                          3-A-型4 / ★                   3-A-3                                     3-A-型4 / ○                              3-A-3                          3-A-型4 / ☆                              3-A-3                          4-A-型4 / ●                              3-A-3                                        3-A-型4</t>
        </is>
      </c>
      <c r="J292" t="inlineStr">
        <is>
          <t>202604_LIXIL_サーモスＬ_業務用資料集_完成品価格表.pdf</t>
        </is>
      </c>
      <c r="K292" t="inlineStr">
        <is>
          <t>https://drive.google.com/file/d/1YUN-mtWYs48YBUHJk0C3vJXnhjyZFHyf/view</t>
        </is>
      </c>
    </row>
    <row r="293">
      <c r="A293" s="42" t="inlineStr">
        <is>
          <t>GLG-SL-0290</t>
        </is>
      </c>
      <c r="B293" t="n">
        <v>194</v>
      </c>
      <c r="C293" t="inlineStr">
        <is>
          <t>○</t>
        </is>
      </c>
      <c r="D293" t="inlineStr">
        <is>
          <t>P194|○</t>
        </is>
      </c>
      <c r="E293" t="inlineStr">
        <is>
          <t>透明/型</t>
        </is>
      </c>
      <c r="F293" t="inlineStr">
        <is>
          <t>S-3（160）等級/S-2（120）等級/S-1（80）等級</t>
        </is>
      </c>
      <c r="G293" t="inlineStr">
        <is>
          <t>原本凡例保持・列位置は原本参照</t>
        </is>
      </c>
      <c r="H293" t="b">
        <v>1</v>
      </c>
      <c r="I293" t="inlineStr">
        <is>
          <t>価格表は以下の条件で算出しています。 / 透明                                    型 / S-3（160）等級 S-2（120）等級           S-3（160）等級 S-2（120）等級     S-1（80）等級 / 無印                  3-A-3                          3-A-型4 / ★                   3-A-3                                     3-A-型4 / ○                              3-A-3                          3-A-型4 / ☆                              3-A-3                          4-A-型4 / ●                              3-A-3                                        3-A-型4</t>
        </is>
      </c>
      <c r="J293" t="inlineStr">
        <is>
          <t>202604_LIXIL_サーモスＬ_業務用資料集_完成品価格表.pdf</t>
        </is>
      </c>
      <c r="K293" t="inlineStr">
        <is>
          <t>https://drive.google.com/file/d/1YUN-mtWYs48YBUHJk0C3vJXnhjyZFHyf/view</t>
        </is>
      </c>
    </row>
    <row r="294">
      <c r="A294" s="42" t="inlineStr">
        <is>
          <t>GLG-SL-0291</t>
        </is>
      </c>
      <c r="B294" t="n">
        <v>194</v>
      </c>
      <c r="C294" t="inlineStr">
        <is>
          <t>●</t>
        </is>
      </c>
      <c r="D294" t="inlineStr">
        <is>
          <t>P194|●</t>
        </is>
      </c>
      <c r="E294" t="inlineStr">
        <is>
          <t>透明/型</t>
        </is>
      </c>
      <c r="F294" t="inlineStr">
        <is>
          <t>S-3（160）等級/S-2（120）等級/S-1（80）等級</t>
        </is>
      </c>
      <c r="G294" t="inlineStr">
        <is>
          <t>原本凡例保持・列位置は原本参照</t>
        </is>
      </c>
      <c r="H294" t="b">
        <v>1</v>
      </c>
      <c r="I294" t="inlineStr">
        <is>
          <t>価格表は以下の条件で算出しています。 / 透明                                    型 / S-3（160）等級 S-2（120）等級           S-3（160）等級 S-2（120）等級     S-1（80）等級 / 無印                  3-A-3                          3-A-型4 / ★                   3-A-3                                     3-A-型4 / ○                              3-A-3                          3-A-型4 / ☆                              3-A-3                          4-A-型4 / ●                              3-A-3                                        3-A-型4</t>
        </is>
      </c>
      <c r="J294" t="inlineStr">
        <is>
          <t>202604_LIXIL_サーモスＬ_業務用資料集_完成品価格表.pdf</t>
        </is>
      </c>
      <c r="K294" t="inlineStr">
        <is>
          <t>https://drive.google.com/file/d/1YUN-mtWYs48YBUHJk0C3vJXnhjyZFHyf/view</t>
        </is>
      </c>
    </row>
    <row r="295">
      <c r="A295" s="42" t="inlineStr">
        <is>
          <t>GLG-SL-0292</t>
        </is>
      </c>
      <c r="B295" t="n">
        <v>196</v>
      </c>
      <c r="C295" t="inlineStr">
        <is>
          <t>無印</t>
        </is>
      </c>
      <c r="D295" t="inlineStr">
        <is>
          <t>P196|無印</t>
        </is>
      </c>
      <c r="E295" t="inlineStr">
        <is>
          <t>透明</t>
        </is>
      </c>
      <c r="F295" t="inlineStr">
        <is>
          <t>S-3（160）等級/S-2（120）等級</t>
        </is>
      </c>
      <c r="G295" t="inlineStr">
        <is>
          <t>原本凡例保持・列位置は原本参照</t>
        </is>
      </c>
      <c r="H295" t="b">
        <v>1</v>
      </c>
      <c r="I295" t="inlineStr">
        <is>
          <t>価格表は以下の条件で算出しています。                                  ●アシスト把手加算額 / 透明                   2枚建         4枚建 / S-3（160）等級 S-2（120）等級         +¥25,900    +¥51,700 / 無印                       3-A-3 / ★                                  3-A-3 / ○                                  4-A-4</t>
        </is>
      </c>
      <c r="J295" t="inlineStr">
        <is>
          <t>202604_LIXIL_サーモスＬ_業務用資料集_完成品価格表.pdf</t>
        </is>
      </c>
      <c r="K295" t="inlineStr">
        <is>
          <t>https://drive.google.com/file/d/1YUN-mtWYs48YBUHJk0C3vJXnhjyZFHyf/view</t>
        </is>
      </c>
    </row>
    <row r="296">
      <c r="A296" s="42" t="inlineStr">
        <is>
          <t>GLG-SL-0293</t>
        </is>
      </c>
      <c r="B296" t="n">
        <v>196</v>
      </c>
      <c r="C296" t="inlineStr">
        <is>
          <t>★</t>
        </is>
      </c>
      <c r="D296" t="inlineStr">
        <is>
          <t>P196|★</t>
        </is>
      </c>
      <c r="E296" t="inlineStr">
        <is>
          <t>透明</t>
        </is>
      </c>
      <c r="F296" t="inlineStr">
        <is>
          <t>S-3（160）等級/S-2（120）等級</t>
        </is>
      </c>
      <c r="G296" t="inlineStr">
        <is>
          <t>原本凡例保持・列位置は原本参照</t>
        </is>
      </c>
      <c r="H296" t="b">
        <v>1</v>
      </c>
      <c r="I296" t="inlineStr">
        <is>
          <t>価格表は以下の条件で算出しています。                                  ●アシスト把手加算額 / 透明                   2枚建         4枚建 / S-3（160）等級 S-2（120）等級         +¥25,900    +¥51,700 / 無印                       3-A-3 / ★                                  3-A-3 / ○                                  4-A-4</t>
        </is>
      </c>
      <c r="J296" t="inlineStr">
        <is>
          <t>202604_LIXIL_サーモスＬ_業務用資料集_完成品価格表.pdf</t>
        </is>
      </c>
      <c r="K296" t="inlineStr">
        <is>
          <t>https://drive.google.com/file/d/1YUN-mtWYs48YBUHJk0C3vJXnhjyZFHyf/view</t>
        </is>
      </c>
    </row>
    <row r="297">
      <c r="A297" s="42" t="inlineStr">
        <is>
          <t>GLG-SL-0294</t>
        </is>
      </c>
      <c r="B297" t="n">
        <v>196</v>
      </c>
      <c r="C297" t="inlineStr">
        <is>
          <t>○</t>
        </is>
      </c>
      <c r="D297" t="inlineStr">
        <is>
          <t>P196|○</t>
        </is>
      </c>
      <c r="E297" t="inlineStr">
        <is>
          <t>透明</t>
        </is>
      </c>
      <c r="F297" t="inlineStr">
        <is>
          <t>S-3（160）等級/S-2（120）等級</t>
        </is>
      </c>
      <c r="G297" t="inlineStr">
        <is>
          <t>原本凡例保持・列位置は原本参照</t>
        </is>
      </c>
      <c r="H297" t="b">
        <v>1</v>
      </c>
      <c r="I297" t="inlineStr">
        <is>
          <t>価格表は以下の条件で算出しています。                                  ●アシスト把手加算額 / 透明                   2枚建         4枚建 / S-3（160）等級 S-2（120）等級         +¥25,900    +¥51,700 / 無印                       3-A-3 / ★                                  3-A-3 / ○                                  4-A-4</t>
        </is>
      </c>
      <c r="J297" t="inlineStr">
        <is>
          <t>202604_LIXIL_サーモスＬ_業務用資料集_完成品価格表.pdf</t>
        </is>
      </c>
      <c r="K297" t="inlineStr">
        <is>
          <t>https://drive.google.com/file/d/1YUN-mtWYs48YBUHJk0C3vJXnhjyZFHyf/view</t>
        </is>
      </c>
    </row>
    <row r="298">
      <c r="A298" s="42" t="inlineStr">
        <is>
          <t>GLG-SL-0295</t>
        </is>
      </c>
      <c r="B298" t="n">
        <v>196</v>
      </c>
      <c r="C298" t="inlineStr">
        <is>
          <t>●</t>
        </is>
      </c>
      <c r="D298" t="inlineStr">
        <is>
          <t>P196|●</t>
        </is>
      </c>
      <c r="E298" t="inlineStr">
        <is>
          <t>透明</t>
        </is>
      </c>
      <c r="F298" t="inlineStr">
        <is>
          <t>S-3（160）等級/S-2（120）等級</t>
        </is>
      </c>
      <c r="G298" t="inlineStr">
        <is>
          <t>原本凡例保持・列位置は原本参照</t>
        </is>
      </c>
      <c r="H298" t="b">
        <v>1</v>
      </c>
      <c r="I298" t="inlineStr">
        <is>
          <t>価格表は以下の条件で算出しています。                                  ●アシスト把手加算額 / 透明                   2枚建         4枚建 / S-3（160）等級 S-2（120）等級         +¥25,900    +¥51,700 / 無印                       3-A-3 / ★                                  3-A-3 / ○                                  4-A-4</t>
        </is>
      </c>
      <c r="J298" t="inlineStr">
        <is>
          <t>202604_LIXIL_サーモスＬ_業務用資料集_完成品価格表.pdf</t>
        </is>
      </c>
      <c r="K298" t="inlineStr">
        <is>
          <t>https://drive.google.com/file/d/1YUN-mtWYs48YBUHJk0C3vJXnhjyZFHyf/view</t>
        </is>
      </c>
    </row>
    <row r="299">
      <c r="A299" s="42" t="inlineStr">
        <is>
          <t>GLG-SL-0296</t>
        </is>
      </c>
      <c r="B299" t="n">
        <v>197</v>
      </c>
      <c r="C299" t="inlineStr">
        <is>
          <t>無印</t>
        </is>
      </c>
      <c r="D299" t="inlineStr">
        <is>
          <t>P197|無印</t>
        </is>
      </c>
      <c r="E299" t="inlineStr">
        <is>
          <t>透明</t>
        </is>
      </c>
      <c r="F299" t="inlineStr">
        <is>
          <t>S-2（120）等級/S-1（80）等級</t>
        </is>
      </c>
      <c r="G299" t="inlineStr">
        <is>
          <t>原本凡例保持・列位置は原本参照</t>
        </is>
      </c>
      <c r="H299" t="b">
        <v>1</v>
      </c>
      <c r="I299" t="inlineStr">
        <is>
          <t>価格表は以下の条件で算出しています。                                  ●アシスト把手加算額 / 透明                    2枚建         4枚建 / S-2（120）等級 S-1（80）等級           +¥25,900    +¥51,700 / ★                        3-A-3 / ○                        4-A-4 / △                                   4-A-4 / 197</t>
        </is>
      </c>
      <c r="J299" t="inlineStr">
        <is>
          <t>202604_LIXIL_サーモスＬ_業務用資料集_完成品価格表.pdf</t>
        </is>
      </c>
      <c r="K299" t="inlineStr">
        <is>
          <t>https://drive.google.com/file/d/1YUN-mtWYs48YBUHJk0C3vJXnhjyZFHyf/view</t>
        </is>
      </c>
    </row>
    <row r="300">
      <c r="A300" s="42" t="inlineStr">
        <is>
          <t>GLG-SL-0297</t>
        </is>
      </c>
      <c r="B300" t="n">
        <v>197</v>
      </c>
      <c r="C300" t="inlineStr">
        <is>
          <t>★</t>
        </is>
      </c>
      <c r="D300" t="inlineStr">
        <is>
          <t>P197|★</t>
        </is>
      </c>
      <c r="E300" t="inlineStr">
        <is>
          <t>透明</t>
        </is>
      </c>
      <c r="F300" t="inlineStr">
        <is>
          <t>S-2（120）等級/S-1（80）等級</t>
        </is>
      </c>
      <c r="G300" t="inlineStr">
        <is>
          <t>原本凡例保持・列位置は原本参照</t>
        </is>
      </c>
      <c r="H300" t="b">
        <v>1</v>
      </c>
      <c r="I300" t="inlineStr">
        <is>
          <t>価格表は以下の条件で算出しています。                                  ●アシスト把手加算額 / 透明                    2枚建         4枚建 / S-2（120）等級 S-1（80）等級           +¥25,900    +¥51,700 / ★                        3-A-3 / ○                        4-A-4 / △                                   4-A-4 / 197</t>
        </is>
      </c>
      <c r="J300" t="inlineStr">
        <is>
          <t>202604_LIXIL_サーモスＬ_業務用資料集_完成品価格表.pdf</t>
        </is>
      </c>
      <c r="K300" t="inlineStr">
        <is>
          <t>https://drive.google.com/file/d/1YUN-mtWYs48YBUHJk0C3vJXnhjyZFHyf/view</t>
        </is>
      </c>
    </row>
    <row r="301">
      <c r="A301" s="42" t="inlineStr">
        <is>
          <t>GLG-SL-0298</t>
        </is>
      </c>
      <c r="B301" t="n">
        <v>197</v>
      </c>
      <c r="C301" t="inlineStr">
        <is>
          <t>○</t>
        </is>
      </c>
      <c r="D301" t="inlineStr">
        <is>
          <t>P197|○</t>
        </is>
      </c>
      <c r="E301" t="inlineStr">
        <is>
          <t>透明</t>
        </is>
      </c>
      <c r="F301" t="inlineStr">
        <is>
          <t>S-2（120）等級/S-1（80）等級</t>
        </is>
      </c>
      <c r="G301" t="inlineStr">
        <is>
          <t>原本凡例保持・列位置は原本参照</t>
        </is>
      </c>
      <c r="H301" t="b">
        <v>1</v>
      </c>
      <c r="I301" t="inlineStr">
        <is>
          <t>価格表は以下の条件で算出しています。                                  ●アシスト把手加算額 / 透明                    2枚建         4枚建 / S-2（120）等級 S-1（80）等級           +¥25,900    +¥51,700 / ★                        3-A-3 / ○                        4-A-4 / △                                   4-A-4 / 197</t>
        </is>
      </c>
      <c r="J301" t="inlineStr">
        <is>
          <t>202604_LIXIL_サーモスＬ_業務用資料集_完成品価格表.pdf</t>
        </is>
      </c>
      <c r="K301" t="inlineStr">
        <is>
          <t>https://drive.google.com/file/d/1YUN-mtWYs48YBUHJk0C3vJXnhjyZFHyf/view</t>
        </is>
      </c>
    </row>
    <row r="302">
      <c r="A302" s="42" t="inlineStr">
        <is>
          <t>GLG-SL-0299</t>
        </is>
      </c>
      <c r="B302" t="n">
        <v>197</v>
      </c>
      <c r="C302" t="inlineStr">
        <is>
          <t>●</t>
        </is>
      </c>
      <c r="D302" t="inlineStr">
        <is>
          <t>P197|●</t>
        </is>
      </c>
      <c r="E302" t="inlineStr">
        <is>
          <t>透明</t>
        </is>
      </c>
      <c r="F302" t="inlineStr">
        <is>
          <t>S-2（120）等級/S-1（80）等級</t>
        </is>
      </c>
      <c r="G302" t="inlineStr">
        <is>
          <t>原本凡例保持・列位置は原本参照</t>
        </is>
      </c>
      <c r="H302" t="b">
        <v>1</v>
      </c>
      <c r="I302" t="inlineStr">
        <is>
          <t>価格表は以下の条件で算出しています。                                  ●アシスト把手加算額 / 透明                    2枚建         4枚建 / S-2（120）等級 S-1（80）等級           +¥25,900    +¥51,700 / ★                        3-A-3 / ○                        4-A-4 / △                                   4-A-4 / 197</t>
        </is>
      </c>
      <c r="J302" t="inlineStr">
        <is>
          <t>202604_LIXIL_サーモスＬ_業務用資料集_完成品価格表.pdf</t>
        </is>
      </c>
      <c r="K302" t="inlineStr">
        <is>
          <t>https://drive.google.com/file/d/1YUN-mtWYs48YBUHJk0C3vJXnhjyZFHyf/view</t>
        </is>
      </c>
    </row>
    <row r="303">
      <c r="A303" s="42" t="inlineStr">
        <is>
          <t>GLG-SL-0300</t>
        </is>
      </c>
      <c r="B303" t="n">
        <v>197</v>
      </c>
      <c r="C303" t="inlineStr">
        <is>
          <t>△</t>
        </is>
      </c>
      <c r="D303" t="inlineStr">
        <is>
          <t>P197|△</t>
        </is>
      </c>
      <c r="E303" t="inlineStr">
        <is>
          <t>透明</t>
        </is>
      </c>
      <c r="F303" t="inlineStr">
        <is>
          <t>S-2（120）等級/S-1（80）等級</t>
        </is>
      </c>
      <c r="G303" t="inlineStr">
        <is>
          <t>原本凡例保持・列位置は原本参照</t>
        </is>
      </c>
      <c r="H303" t="b">
        <v>1</v>
      </c>
      <c r="I303" t="inlineStr">
        <is>
          <t>価格表は以下の条件で算出しています。                                  ●アシスト把手加算額 / 透明                    2枚建         4枚建 / S-2（120）等級 S-1（80）等級           +¥25,900    +¥51,700 / ★                        3-A-3 / ○                        4-A-4 / △                                   4-A-4 / 197</t>
        </is>
      </c>
      <c r="J303" t="inlineStr">
        <is>
          <t>202604_LIXIL_サーモスＬ_業務用資料集_完成品価格表.pdf</t>
        </is>
      </c>
      <c r="K303" t="inlineStr">
        <is>
          <t>https://drive.google.com/file/d/1YUN-mtWYs48YBUHJk0C3vJXnhjyZFHyf/view</t>
        </is>
      </c>
    </row>
    <row r="304">
      <c r="A304" s="42" t="inlineStr">
        <is>
          <t>GLG-SL-0301</t>
        </is>
      </c>
      <c r="B304" t="n">
        <v>198</v>
      </c>
      <c r="C304" t="inlineStr">
        <is>
          <t>無印</t>
        </is>
      </c>
      <c r="D304" t="inlineStr">
        <is>
          <t>P198|無印</t>
        </is>
      </c>
      <c r="E304" t="inlineStr">
        <is>
          <t>透明</t>
        </is>
      </c>
      <c r="F304" t="inlineStr">
        <is>
          <t>S-3（160）等級/S-2（120）等級</t>
        </is>
      </c>
      <c r="G304" t="inlineStr">
        <is>
          <t>原本凡例保持・列位置は原本参照</t>
        </is>
      </c>
      <c r="H304" t="b">
        <v>1</v>
      </c>
      <c r="I304" t="inlineStr">
        <is>
          <t>価格表は以下の条件で算出しています。                                            ●アシスト把手加算額 / 透明                                 2枚建 / S-3（160）等級 S-2（120）等級                       +¥25,900 / 無印                  3-A-3 / ○※1 / 3-A-3 / 3-A-3 / （大壁和室障子） / ※1 大壁和室障子のみS-2（120）等級となります。</t>
        </is>
      </c>
      <c r="J304" t="inlineStr">
        <is>
          <t>202604_LIXIL_サーモスＬ_業務用資料集_完成品価格表.pdf</t>
        </is>
      </c>
      <c r="K304" t="inlineStr">
        <is>
          <t>https://drive.google.com/file/d/1YUN-mtWYs48YBUHJk0C3vJXnhjyZFHyf/view</t>
        </is>
      </c>
    </row>
    <row r="305">
      <c r="A305" s="42" t="inlineStr">
        <is>
          <t>GLG-SL-0302</t>
        </is>
      </c>
      <c r="B305" t="n">
        <v>198</v>
      </c>
      <c r="C305" t="inlineStr">
        <is>
          <t>○</t>
        </is>
      </c>
      <c r="D305" t="inlineStr">
        <is>
          <t>P198|○</t>
        </is>
      </c>
      <c r="E305" t="inlineStr">
        <is>
          <t>透明</t>
        </is>
      </c>
      <c r="F305" t="inlineStr">
        <is>
          <t>S-3（160）等級/S-2（120）等級</t>
        </is>
      </c>
      <c r="G305" t="inlineStr">
        <is>
          <t>原本凡例保持・列位置は原本参照</t>
        </is>
      </c>
      <c r="H305" t="b">
        <v>1</v>
      </c>
      <c r="I305" t="inlineStr">
        <is>
          <t>価格表は以下の条件で算出しています。                                            ●アシスト把手加算額 / 透明                                 2枚建 / S-3（160）等級 S-2（120）等級                       +¥25,900 / 無印                  3-A-3 / ○※1 / 3-A-3 / 3-A-3 / （大壁和室障子） / ※1 大壁和室障子のみS-2（120）等級となります。</t>
        </is>
      </c>
      <c r="J305" t="inlineStr">
        <is>
          <t>202604_LIXIL_サーモスＬ_業務用資料集_完成品価格表.pdf</t>
        </is>
      </c>
      <c r="K305" t="inlineStr">
        <is>
          <t>https://drive.google.com/file/d/1YUN-mtWYs48YBUHJk0C3vJXnhjyZFHyf/view</t>
        </is>
      </c>
    </row>
    <row r="306">
      <c r="A306" s="42" t="inlineStr">
        <is>
          <t>GLG-SL-0303</t>
        </is>
      </c>
      <c r="B306" t="n">
        <v>198</v>
      </c>
      <c r="C306" t="inlineStr">
        <is>
          <t>●</t>
        </is>
      </c>
      <c r="D306" t="inlineStr">
        <is>
          <t>P198|●</t>
        </is>
      </c>
      <c r="E306" t="inlineStr">
        <is>
          <t>透明</t>
        </is>
      </c>
      <c r="F306" t="inlineStr">
        <is>
          <t>S-3（160）等級/S-2（120）等級</t>
        </is>
      </c>
      <c r="G306" t="inlineStr">
        <is>
          <t>原本凡例保持・列位置は原本参照</t>
        </is>
      </c>
      <c r="H306" t="b">
        <v>1</v>
      </c>
      <c r="I306" t="inlineStr">
        <is>
          <t>価格表は以下の条件で算出しています。                                            ●アシスト把手加算額 / 透明                                 2枚建 / S-3（160）等級 S-2（120）等級                       +¥25,900 / 無印                  3-A-3 / ○※1 / 3-A-3 / 3-A-3 / （大壁和室障子） / ※1 大壁和室障子のみS-2（120）等級となります。</t>
        </is>
      </c>
      <c r="J306" t="inlineStr">
        <is>
          <t>202604_LIXIL_サーモスＬ_業務用資料集_完成品価格表.pdf</t>
        </is>
      </c>
      <c r="K306" t="inlineStr">
        <is>
          <t>https://drive.google.com/file/d/1YUN-mtWYs48YBUHJk0C3vJXnhjyZFHyf/view</t>
        </is>
      </c>
    </row>
    <row r="307">
      <c r="A307" s="42" t="inlineStr">
        <is>
          <t>GLG-SL-0304</t>
        </is>
      </c>
      <c r="B307" t="n">
        <v>199</v>
      </c>
      <c r="C307" t="inlineStr">
        <is>
          <t>無印</t>
        </is>
      </c>
      <c r="D307" t="inlineStr">
        <is>
          <t>P199|無印</t>
        </is>
      </c>
      <c r="E307" t="inlineStr">
        <is>
          <t>透明</t>
        </is>
      </c>
      <c r="F307" t="inlineStr">
        <is>
          <t>S-2（120）等級</t>
        </is>
      </c>
      <c r="G307" t="inlineStr">
        <is>
          <t>原本凡例保持・列位置は原本参照</t>
        </is>
      </c>
      <c r="H307" t="b">
        <v>1</v>
      </c>
      <c r="I307" t="inlineStr">
        <is>
          <t>価格表は以下の条件で算出しています。                               ●アシスト把手加算額 / 透明                            2枚建 / S-2（120）等級                       +¥25,900 / ★                   3-A-3 / 199</t>
        </is>
      </c>
      <c r="J307" t="inlineStr">
        <is>
          <t>202604_LIXIL_サーモスＬ_業務用資料集_完成品価格表.pdf</t>
        </is>
      </c>
      <c r="K307" t="inlineStr">
        <is>
          <t>https://drive.google.com/file/d/1YUN-mtWYs48YBUHJk0C3vJXnhjyZFHyf/view</t>
        </is>
      </c>
    </row>
    <row r="308">
      <c r="A308" s="42" t="inlineStr">
        <is>
          <t>GLG-SL-0305</t>
        </is>
      </c>
      <c r="B308" t="n">
        <v>199</v>
      </c>
      <c r="C308" t="inlineStr">
        <is>
          <t>★</t>
        </is>
      </c>
      <c r="D308" t="inlineStr">
        <is>
          <t>P199|★</t>
        </is>
      </c>
      <c r="E308" t="inlineStr">
        <is>
          <t>透明</t>
        </is>
      </c>
      <c r="F308" t="inlineStr">
        <is>
          <t>S-2（120）等級</t>
        </is>
      </c>
      <c r="G308" t="inlineStr">
        <is>
          <t>原本凡例保持・列位置は原本参照</t>
        </is>
      </c>
      <c r="H308" t="b">
        <v>1</v>
      </c>
      <c r="I308" t="inlineStr">
        <is>
          <t>価格表は以下の条件で算出しています。                               ●アシスト把手加算額 / 透明                            2枚建 / S-2（120）等級                       +¥25,900 / ★                   3-A-3 / 199</t>
        </is>
      </c>
      <c r="J308" t="inlineStr">
        <is>
          <t>202604_LIXIL_サーモスＬ_業務用資料集_完成品価格表.pdf</t>
        </is>
      </c>
      <c r="K308" t="inlineStr">
        <is>
          <t>https://drive.google.com/file/d/1YUN-mtWYs48YBUHJk0C3vJXnhjyZFHyf/view</t>
        </is>
      </c>
    </row>
    <row r="309">
      <c r="A309" s="42" t="inlineStr">
        <is>
          <t>GLG-SL-0306</t>
        </is>
      </c>
      <c r="B309" t="n">
        <v>199</v>
      </c>
      <c r="C309" t="inlineStr">
        <is>
          <t>●</t>
        </is>
      </c>
      <c r="D309" t="inlineStr">
        <is>
          <t>P199|●</t>
        </is>
      </c>
      <c r="E309" t="inlineStr">
        <is>
          <t>透明</t>
        </is>
      </c>
      <c r="F309" t="inlineStr">
        <is>
          <t>S-2（120）等級</t>
        </is>
      </c>
      <c r="G309" t="inlineStr">
        <is>
          <t>原本凡例保持・列位置は原本参照</t>
        </is>
      </c>
      <c r="H309" t="b">
        <v>1</v>
      </c>
      <c r="I309" t="inlineStr">
        <is>
          <t>価格表は以下の条件で算出しています。                               ●アシスト把手加算額 / 透明                            2枚建 / S-2（120）等級                       +¥25,900 / ★                   3-A-3 / 199</t>
        </is>
      </c>
      <c r="J309" t="inlineStr">
        <is>
          <t>202604_LIXIL_サーモスＬ_業務用資料集_完成品価格表.pdf</t>
        </is>
      </c>
      <c r="K309" t="inlineStr">
        <is>
          <t>https://drive.google.com/file/d/1YUN-mtWYs48YBUHJk0C3vJXnhjyZFHyf/view</t>
        </is>
      </c>
    </row>
    <row r="310">
      <c r="A310" s="42" t="inlineStr">
        <is>
          <t>GLG-SL-0307</t>
        </is>
      </c>
      <c r="B310" t="n">
        <v>200</v>
      </c>
      <c r="C310" t="inlineStr">
        <is>
          <t>無印</t>
        </is>
      </c>
      <c r="D310" t="inlineStr">
        <is>
          <t>P200|無印</t>
        </is>
      </c>
      <c r="E310" t="inlineStr">
        <is>
          <t>透明/型</t>
        </is>
      </c>
      <c r="F310" t="inlineStr">
        <is>
          <t>S-3（160）等級/S-2（120）等級</t>
        </is>
      </c>
      <c r="G310" t="inlineStr">
        <is>
          <t>原本凡例保持・列位置は原本参照</t>
        </is>
      </c>
      <c r="H310" t="b">
        <v>1</v>
      </c>
      <c r="I310" t="inlineStr">
        <is>
          <t>価格表は以下の条件で算出しています。 / 透明（外障子）               型（外障子） / S-3（160）等級 S-2（120）等級 S-3（160）等級 S-2（120）等級 / 無印            3-A-3                3-A-型4 / △                       3-A-3                3-A-型4 / ※内障子は全機種「無印」の組合せとなります。</t>
        </is>
      </c>
      <c r="J310" t="inlineStr">
        <is>
          <t>202604_LIXIL_サーモスＬ_業務用資料集_完成品価格表.pdf</t>
        </is>
      </c>
      <c r="K310" t="inlineStr">
        <is>
          <t>https://drive.google.com/file/d/1YUN-mtWYs48YBUHJk0C3vJXnhjyZFHyf/view</t>
        </is>
      </c>
    </row>
    <row r="311">
      <c r="A311" s="42" t="inlineStr">
        <is>
          <t>GLG-SL-0308</t>
        </is>
      </c>
      <c r="B311" t="n">
        <v>200</v>
      </c>
      <c r="C311" t="inlineStr">
        <is>
          <t>△</t>
        </is>
      </c>
      <c r="D311" t="inlineStr">
        <is>
          <t>P200|△</t>
        </is>
      </c>
      <c r="E311" t="inlineStr">
        <is>
          <t>透明/型</t>
        </is>
      </c>
      <c r="F311" t="inlineStr">
        <is>
          <t>S-3（160）等級/S-2（120）等級</t>
        </is>
      </c>
      <c r="G311" t="inlineStr">
        <is>
          <t>原本凡例保持・列位置は原本参照</t>
        </is>
      </c>
      <c r="H311" t="b">
        <v>1</v>
      </c>
      <c r="I311" t="inlineStr">
        <is>
          <t>価格表は以下の条件で算出しています。 / 透明（外障子）               型（外障子） / S-3（160）等級 S-2（120）等級 S-3（160）等級 S-2（120）等級 / 無印            3-A-3                3-A-型4 / △                       3-A-3                3-A-型4 / ※内障子は全機種「無印」の組合せとなります。</t>
        </is>
      </c>
      <c r="J311" t="inlineStr">
        <is>
          <t>202604_LIXIL_サーモスＬ_業務用資料集_完成品価格表.pdf</t>
        </is>
      </c>
      <c r="K311" t="inlineStr">
        <is>
          <t>https://drive.google.com/file/d/1YUN-mtWYs48YBUHJk0C3vJXnhjyZFHyf/view</t>
        </is>
      </c>
    </row>
    <row r="312">
      <c r="A312" s="42" t="inlineStr">
        <is>
          <t>GLG-SL-0309</t>
        </is>
      </c>
      <c r="B312" t="n">
        <v>201</v>
      </c>
      <c r="C312" t="inlineStr">
        <is>
          <t>無印</t>
        </is>
      </c>
      <c r="D312" t="inlineStr">
        <is>
          <t>P201|無印</t>
        </is>
      </c>
      <c r="E312" t="inlineStr">
        <is>
          <t>透明/型</t>
        </is>
      </c>
      <c r="F312" t="inlineStr">
        <is>
          <t>S-3（160）等級/S-2（120）等級/S-1（80）等級</t>
        </is>
      </c>
      <c r="G312" t="inlineStr">
        <is>
          <t>原本凡例保持・列位置は原本参照</t>
        </is>
      </c>
      <c r="H312" t="b">
        <v>1</v>
      </c>
      <c r="I312" t="inlineStr">
        <is>
          <t>価格表は以下の条件で算出しています。 / 透明（外障子）                   型（外障子） / S-3（160）等級 S-2（120）等級 S-3（160）等級 S-2（120）等級                        S-1（80）等級 / 無印            3-A-3                3-A-型4 / ★            3-A-3                           3-A-型4 / ○                       3-A-3                4-A-型4 / ●                       3-A-3                                                 3-A-型4 / ※内障子は全機種「無印」の組合せとなります。 / 201</t>
        </is>
      </c>
      <c r="J312" t="inlineStr">
        <is>
          <t>202604_LIXIL_サーモスＬ_業務用資料集_完成品価格表.pdf</t>
        </is>
      </c>
      <c r="K312" t="inlineStr">
        <is>
          <t>https://drive.google.com/file/d/1YUN-mtWYs48YBUHJk0C3vJXnhjyZFHyf/view</t>
        </is>
      </c>
    </row>
    <row r="313">
      <c r="A313" s="42" t="inlineStr">
        <is>
          <t>GLG-SL-0310</t>
        </is>
      </c>
      <c r="B313" t="n">
        <v>201</v>
      </c>
      <c r="C313" t="inlineStr">
        <is>
          <t>★</t>
        </is>
      </c>
      <c r="D313" t="inlineStr">
        <is>
          <t>P201|★</t>
        </is>
      </c>
      <c r="E313" t="inlineStr">
        <is>
          <t>透明/型</t>
        </is>
      </c>
      <c r="F313" t="inlineStr">
        <is>
          <t>S-3（160）等級/S-2（120）等級/S-1（80）等級</t>
        </is>
      </c>
      <c r="G313" t="inlineStr">
        <is>
          <t>原本凡例保持・列位置は原本参照</t>
        </is>
      </c>
      <c r="H313" t="b">
        <v>1</v>
      </c>
      <c r="I313" t="inlineStr">
        <is>
          <t>価格表は以下の条件で算出しています。 / 透明（外障子）                   型（外障子） / S-3（160）等級 S-2（120）等級 S-3（160）等級 S-2（120）等級                        S-1（80）等級 / 無印            3-A-3                3-A-型4 / ★            3-A-3                           3-A-型4 / ○                       3-A-3                4-A-型4 / ●                       3-A-3                                                 3-A-型4 / ※内障子は全機種「無印」の組合せとなります。 / 201</t>
        </is>
      </c>
      <c r="J313" t="inlineStr">
        <is>
          <t>202604_LIXIL_サーモスＬ_業務用資料集_完成品価格表.pdf</t>
        </is>
      </c>
      <c r="K313" t="inlineStr">
        <is>
          <t>https://drive.google.com/file/d/1YUN-mtWYs48YBUHJk0C3vJXnhjyZFHyf/view</t>
        </is>
      </c>
    </row>
    <row r="314">
      <c r="A314" s="42" t="inlineStr">
        <is>
          <t>GLG-SL-0311</t>
        </is>
      </c>
      <c r="B314" t="n">
        <v>201</v>
      </c>
      <c r="C314" t="inlineStr">
        <is>
          <t>○</t>
        </is>
      </c>
      <c r="D314" t="inlineStr">
        <is>
          <t>P201|○</t>
        </is>
      </c>
      <c r="E314" t="inlineStr">
        <is>
          <t>透明/型</t>
        </is>
      </c>
      <c r="F314" t="inlineStr">
        <is>
          <t>S-3（160）等級/S-2（120）等級/S-1（80）等級</t>
        </is>
      </c>
      <c r="G314" t="inlineStr">
        <is>
          <t>原本凡例保持・列位置は原本参照</t>
        </is>
      </c>
      <c r="H314" t="b">
        <v>1</v>
      </c>
      <c r="I314" t="inlineStr">
        <is>
          <t>価格表は以下の条件で算出しています。 / 透明（外障子）                   型（外障子） / S-3（160）等級 S-2（120）等級 S-3（160）等級 S-2（120）等級                        S-1（80）等級 / 無印            3-A-3                3-A-型4 / ★            3-A-3                           3-A-型4 / ○                       3-A-3                4-A-型4 / ●                       3-A-3                                                 3-A-型4 / ※内障子は全機種「無印」の組合せとなります。 / 201</t>
        </is>
      </c>
      <c r="J314" t="inlineStr">
        <is>
          <t>202604_LIXIL_サーモスＬ_業務用資料集_完成品価格表.pdf</t>
        </is>
      </c>
      <c r="K314" t="inlineStr">
        <is>
          <t>https://drive.google.com/file/d/1YUN-mtWYs48YBUHJk0C3vJXnhjyZFHyf/view</t>
        </is>
      </c>
    </row>
    <row r="315">
      <c r="A315" s="42" t="inlineStr">
        <is>
          <t>GLG-SL-0312</t>
        </is>
      </c>
      <c r="B315" t="n">
        <v>201</v>
      </c>
      <c r="C315" t="inlineStr">
        <is>
          <t>●</t>
        </is>
      </c>
      <c r="D315" t="inlineStr">
        <is>
          <t>P201|●</t>
        </is>
      </c>
      <c r="E315" t="inlineStr">
        <is>
          <t>透明/型</t>
        </is>
      </c>
      <c r="F315" t="inlineStr">
        <is>
          <t>S-3（160）等級/S-2（120）等級/S-1（80）等級</t>
        </is>
      </c>
      <c r="G315" t="inlineStr">
        <is>
          <t>原本凡例保持・列位置は原本参照</t>
        </is>
      </c>
      <c r="H315" t="b">
        <v>1</v>
      </c>
      <c r="I315" t="inlineStr">
        <is>
          <t>価格表は以下の条件で算出しています。 / 透明（外障子）                   型（外障子） / S-3（160）等級 S-2（120）等級 S-3（160）等級 S-2（120）等級                        S-1（80）等級 / 無印            3-A-3                3-A-型4 / ★            3-A-3                           3-A-型4 / ○                       3-A-3                4-A-型4 / ●                       3-A-3                                                 3-A-型4 / ※内障子は全機種「無印」の組合せとなります。 / 201</t>
        </is>
      </c>
      <c r="J315" t="inlineStr">
        <is>
          <t>202604_LIXIL_サーモスＬ_業務用資料集_完成品価格表.pdf</t>
        </is>
      </c>
      <c r="K315" t="inlineStr">
        <is>
          <t>https://drive.google.com/file/d/1YUN-mtWYs48YBUHJk0C3vJXnhjyZFHyf/view</t>
        </is>
      </c>
    </row>
    <row r="316">
      <c r="A316" s="42" t="inlineStr">
        <is>
          <t>GLG-SL-0313</t>
        </is>
      </c>
      <c r="B316" t="n">
        <v>202</v>
      </c>
      <c r="C316" t="inlineStr">
        <is>
          <t>無印</t>
        </is>
      </c>
      <c r="D316" t="inlineStr">
        <is>
          <t>P202|無印</t>
        </is>
      </c>
      <c r="E316" t="inlineStr">
        <is>
          <t>透明</t>
        </is>
      </c>
      <c r="F316" t="inlineStr">
        <is>
          <t>S-3（160）等級/S-2（120）等級/S-1（80）等級</t>
        </is>
      </c>
      <c r="G316" t="inlineStr">
        <is>
          <t>原本凡例保持・列位置は原本参照</t>
        </is>
      </c>
      <c r="H316" t="b">
        <v>1</v>
      </c>
      <c r="I316" t="inlineStr">
        <is>
          <t>呼称           ○25622（L/R）             価格表は以下の条件で算出しています。 / ［内法呼称］          ［25322（L/R）］                                       透明 / 部材セット     PG障子        ¥143,800    ¥158,200 / 内障子 / 価格       把手障子        ¥166,000    ¥181,600 / S-3（160）等級 S-2（120）等級   S-1（80）等級 / 一般 PG障子 透明      ¥326,600    ¥341,000 / 無印 / 2,200 / 2,200 / 2,230 / 3-A-3 / 完成品 複層 把手障子 透明 / 22 / ¥348,800    ¥364,400 / ★                       3-A-3 / 価格 Low-E PG障子 透明     ¥378,100    ¥392,500 / ○                       3-A-3 / 複層 把手障子 透明      ¥400,300    ¥415,900 / ＿＿          ＿＿        △                                  3-A-3</t>
        </is>
      </c>
      <c r="J316" t="inlineStr">
        <is>
          <t>202604_LIXIL_サーモスＬ_業務用資料集_完成品価格表.pdf</t>
        </is>
      </c>
      <c r="K316" t="inlineStr">
        <is>
          <t>https://drive.google.com/file/d/1YUN-mtWYs48YBUHJk0C3vJXnhjyZFHyf/view</t>
        </is>
      </c>
    </row>
    <row r="317">
      <c r="A317" s="42" t="inlineStr">
        <is>
          <t>GLG-SL-0314</t>
        </is>
      </c>
      <c r="B317" t="n">
        <v>202</v>
      </c>
      <c r="C317" t="inlineStr">
        <is>
          <t>★</t>
        </is>
      </c>
      <c r="D317" t="inlineStr">
        <is>
          <t>P202|★</t>
        </is>
      </c>
      <c r="E317" t="inlineStr">
        <is>
          <t>透明</t>
        </is>
      </c>
      <c r="F317" t="inlineStr">
        <is>
          <t>S-3（160）等級/S-2（120）等級/S-1（80）等級</t>
        </is>
      </c>
      <c r="G317" t="inlineStr">
        <is>
          <t>原本凡例保持・列位置は原本参照</t>
        </is>
      </c>
      <c r="H317" t="b">
        <v>1</v>
      </c>
      <c r="I317" t="inlineStr">
        <is>
          <t>呼称           ○25622（L/R）             価格表は以下の条件で算出しています。 / ［内法呼称］          ［25322（L/R）］                                       透明 / 部材セット     PG障子        ¥143,800    ¥158,200 / 内障子 / 価格       把手障子        ¥166,000    ¥181,600 / S-3（160）等級 S-2（120）等級   S-1（80）等級 / 一般 PG障子 透明      ¥326,600    ¥341,000 / 無印 / 2,200 / 2,200 / 2,230 / 3-A-3 / 完成品 複層 把手障子 透明 / 22 / ¥348,800    ¥364,400 / ★                       3-A-3 / 価格 Low-E PG障子 透明     ¥378,100    ¥392,500 / ○                       3-A-3 / 複層 把手障子 透明      ¥400,300    ¥415,900 / ＿＿          ＿＿        △                                  3-A-3</t>
        </is>
      </c>
      <c r="J317" t="inlineStr">
        <is>
          <t>202604_LIXIL_サーモスＬ_業務用資料集_完成品価格表.pdf</t>
        </is>
      </c>
      <c r="K317" t="inlineStr">
        <is>
          <t>https://drive.google.com/file/d/1YUN-mtWYs48YBUHJk0C3vJXnhjyZFHyf/view</t>
        </is>
      </c>
    </row>
    <row r="318">
      <c r="A318" s="42" t="inlineStr">
        <is>
          <t>GLG-SL-0315</t>
        </is>
      </c>
      <c r="B318" t="n">
        <v>202</v>
      </c>
      <c r="C318" t="inlineStr">
        <is>
          <t>○</t>
        </is>
      </c>
      <c r="D318" t="inlineStr">
        <is>
          <t>P202|○</t>
        </is>
      </c>
      <c r="E318" t="inlineStr">
        <is>
          <t>透明</t>
        </is>
      </c>
      <c r="F318" t="inlineStr">
        <is>
          <t>S-3（160）等級/S-2（120）等級/S-1（80）等級</t>
        </is>
      </c>
      <c r="G318" t="inlineStr">
        <is>
          <t>原本凡例保持・列位置は原本参照</t>
        </is>
      </c>
      <c r="H318" t="b">
        <v>1</v>
      </c>
      <c r="I318" t="inlineStr">
        <is>
          <t>呼称           ○25622（L/R）             価格表は以下の条件で算出しています。 / ［内法呼称］          ［25322（L/R）］                                       透明 / 部材セット     PG障子        ¥143,800    ¥158,200 / 内障子 / 価格       把手障子        ¥166,000    ¥181,600 / S-3（160）等級 S-2（120）等級   S-1（80）等級 / 一般 PG障子 透明      ¥326,600    ¥341,000 / 無印 / 2,200 / 2,200 / 2,230 / 3-A-3 / 完成品 複層 把手障子 透明 / 22 / ¥348,800    ¥364,400 / ★                       3-A-3 / 価格 Low-E PG障子 透明     ¥378,100    ¥392,500 / ○                       3-A-3 / 複層 把手障子 透明      ¥400,300    ¥415,900 / ＿＿          ＿＿        △                                  3-A-3</t>
        </is>
      </c>
      <c r="J318" t="inlineStr">
        <is>
          <t>202604_LIXIL_サーモスＬ_業務用資料集_完成品価格表.pdf</t>
        </is>
      </c>
      <c r="K318" t="inlineStr">
        <is>
          <t>https://drive.google.com/file/d/1YUN-mtWYs48YBUHJk0C3vJXnhjyZFHyf/view</t>
        </is>
      </c>
    </row>
    <row r="319">
      <c r="A319" s="42" t="inlineStr">
        <is>
          <t>GLG-SL-0316</t>
        </is>
      </c>
      <c r="B319" t="n">
        <v>202</v>
      </c>
      <c r="C319" t="inlineStr">
        <is>
          <t>△</t>
        </is>
      </c>
      <c r="D319" t="inlineStr">
        <is>
          <t>P202|△</t>
        </is>
      </c>
      <c r="E319" t="inlineStr">
        <is>
          <t>透明</t>
        </is>
      </c>
      <c r="F319" t="inlineStr">
        <is>
          <t>S-3（160）等級/S-2（120）等級/S-1（80）等級</t>
        </is>
      </c>
      <c r="G319" t="inlineStr">
        <is>
          <t>原本凡例保持・列位置は原本参照</t>
        </is>
      </c>
      <c r="H319" t="b">
        <v>1</v>
      </c>
      <c r="I319" t="inlineStr">
        <is>
          <t>呼称           ○25622（L/R）             価格表は以下の条件で算出しています。 / ［内法呼称］          ［25322（L/R）］                                       透明 / 部材セット     PG障子        ¥143,800    ¥158,200 / 内障子 / 価格       把手障子        ¥166,000    ¥181,600 / S-3（160）等級 S-2（120）等級   S-1（80）等級 / 一般 PG障子 透明      ¥326,600    ¥341,000 / 無印 / 2,200 / 2,200 / 2,230 / 3-A-3 / 完成品 複層 把手障子 透明 / 22 / ¥348,800    ¥364,400 / ★                       3-A-3 / 価格 Low-E PG障子 透明     ¥378,100    ¥392,500 / ○                       3-A-3 / 複層 把手障子 透明      ¥400,300    ¥415,900 / ＿＿          ＿＿        △                                  3-A-3</t>
        </is>
      </c>
      <c r="J319" t="inlineStr">
        <is>
          <t>202604_LIXIL_サーモスＬ_業務用資料集_完成品価格表.pdf</t>
        </is>
      </c>
      <c r="K319" t="inlineStr">
        <is>
          <t>https://drive.google.com/file/d/1YUN-mtWYs48YBUHJk0C3vJXnhjyZFHyf/view</t>
        </is>
      </c>
    </row>
    <row r="320">
      <c r="A320" s="42" t="inlineStr">
        <is>
          <t>GLG-SL-0317</t>
        </is>
      </c>
      <c r="B320" t="n">
        <v>204</v>
      </c>
      <c r="C320" t="inlineStr">
        <is>
          <t>無印</t>
        </is>
      </c>
      <c r="D320" t="inlineStr">
        <is>
          <t>P204|無印</t>
        </is>
      </c>
      <c r="E320" t="inlineStr">
        <is>
          <t>透明/型</t>
        </is>
      </c>
      <c r="F320" t="inlineStr">
        <is>
          <t>S-3（160）等級/S-2（120）等級</t>
        </is>
      </c>
      <c r="G320" t="inlineStr">
        <is>
          <t>原本凡例保持・列位置は原本参照</t>
        </is>
      </c>
      <c r="H320" t="b">
        <v>1</v>
      </c>
      <c r="I320" t="inlineStr">
        <is>
          <t>部材セット価格        ¥51,600    ¥56,700    ¥51,600    ¥56,700                     価格表は以下の条件で算出しています。 / 一般   ＰＧ 透明    ¥81,900    ¥87,000    ¥82,200    ¥87,300                            透明（外障子） / 共通有償品 / 575 / 500 / 500 / 570 / 完成品 複層 障子     型 / 05 / ¥81,900    ¥87,000    ¥82,200    ¥87,300                            S-3（160）等級 / 価格 Low-E ＰＧ 透明    ¥93,500    ¥98,600    ¥93,900    ¥99,000                       無印       3-A-3 / 複層 障子    型    ¥93,500    ¥98,600    ¥93,900    ¥99,000                        ★       3-A-3 / 引違い網戸（中桟無）      ¥10,300    ¥11,000    ¥10,300    ¥11,000                        ○ / 呼称              16007                 16507                                ☆ / [内法呼称]            [15707]               [16207]                               ● / 部材セット価格        ¥55,000 ¥60,600 ¥55,000 ¥60,600 / 一般   ＰＧ 透明    ¥89,300 ¥94,900 ¥89,700 ¥95,300                                     S-2（120）等級 / 無印 / 775 / 700</t>
        </is>
      </c>
      <c r="J320" t="inlineStr">
        <is>
          <t>202604_LIXIL_サーモスＬ_業務用資料集_完成品価格表.pdf</t>
        </is>
      </c>
      <c r="K320" t="inlineStr">
        <is>
          <t>https://drive.google.com/file/d/1YUN-mtWYs48YBUHJk0C3vJXnhjyZFHyf/view</t>
        </is>
      </c>
    </row>
    <row r="321">
      <c r="A321" s="42" t="inlineStr">
        <is>
          <t>GLG-SL-0318</t>
        </is>
      </c>
      <c r="B321" t="n">
        <v>204</v>
      </c>
      <c r="C321" t="inlineStr">
        <is>
          <t>★</t>
        </is>
      </c>
      <c r="D321" t="inlineStr">
        <is>
          <t>P204|★</t>
        </is>
      </c>
      <c r="E321" t="inlineStr">
        <is>
          <t>透明/型</t>
        </is>
      </c>
      <c r="F321" t="inlineStr">
        <is>
          <t>S-3（160）等級/S-2（120）等級</t>
        </is>
      </c>
      <c r="G321" t="inlineStr">
        <is>
          <t>原本凡例保持・列位置は原本参照</t>
        </is>
      </c>
      <c r="H321" t="b">
        <v>1</v>
      </c>
      <c r="I321" t="inlineStr">
        <is>
          <t>部材セット価格        ¥51,600    ¥56,700    ¥51,600    ¥56,700                     価格表は以下の条件で算出しています。 / 一般   ＰＧ 透明    ¥81,900    ¥87,000    ¥82,200    ¥87,300                            透明（外障子） / 共通有償品 / 575 / 500 / 500 / 570 / 完成品 複層 障子     型 / 05 / ¥81,900    ¥87,000    ¥82,200    ¥87,300                            S-3（160）等級 / 価格 Low-E ＰＧ 透明    ¥93,500    ¥98,600    ¥93,900    ¥99,000                       無印       3-A-3 / 複層 障子    型    ¥93,500    ¥98,600    ¥93,900    ¥99,000                        ★       3-A-3 / 引違い網戸（中桟無）      ¥10,300    ¥11,000    ¥10,300    ¥11,000                        ○ / 呼称              16007                 16507                                ☆ / [内法呼称]            [15707]               [16207]                               ● / 部材セット価格        ¥55,000 ¥60,600 ¥55,000 ¥60,600 / 一般   ＰＧ 透明    ¥89,300 ¥94,900 ¥89,700 ¥95,300                                     S-2（120）等級 / 無印 / 775 / 700</t>
        </is>
      </c>
      <c r="J321" t="inlineStr">
        <is>
          <t>202604_LIXIL_サーモスＬ_業務用資料集_完成品価格表.pdf</t>
        </is>
      </c>
      <c r="K321" t="inlineStr">
        <is>
          <t>https://drive.google.com/file/d/1YUN-mtWYs48YBUHJk0C3vJXnhjyZFHyf/view</t>
        </is>
      </c>
    </row>
    <row r="322">
      <c r="A322" s="42" t="inlineStr">
        <is>
          <t>GLG-SL-0319</t>
        </is>
      </c>
      <c r="B322" t="n">
        <v>204</v>
      </c>
      <c r="C322" t="inlineStr">
        <is>
          <t>☆</t>
        </is>
      </c>
      <c r="D322" t="inlineStr">
        <is>
          <t>P204|☆</t>
        </is>
      </c>
      <c r="E322" t="inlineStr">
        <is>
          <t>透明/型</t>
        </is>
      </c>
      <c r="F322" t="inlineStr">
        <is>
          <t>S-3（160）等級/S-2（120）等級</t>
        </is>
      </c>
      <c r="G322" t="inlineStr">
        <is>
          <t>原本凡例保持・列位置は原本参照</t>
        </is>
      </c>
      <c r="H322" t="b">
        <v>1</v>
      </c>
      <c r="I322" t="inlineStr">
        <is>
          <t>部材セット価格        ¥51,600    ¥56,700    ¥51,600    ¥56,700                     価格表は以下の条件で算出しています。 / 一般   ＰＧ 透明    ¥81,900    ¥87,000    ¥82,200    ¥87,300                            透明（外障子） / 共通有償品 / 575 / 500 / 500 / 570 / 完成品 複層 障子     型 / 05 / ¥81,900    ¥87,000    ¥82,200    ¥87,300                            S-3（160）等級 / 価格 Low-E ＰＧ 透明    ¥93,500    ¥98,600    ¥93,900    ¥99,000                       無印       3-A-3 / 複層 障子    型    ¥93,500    ¥98,600    ¥93,900    ¥99,000                        ★       3-A-3 / 引違い網戸（中桟無）      ¥10,300    ¥11,000    ¥10,300    ¥11,000                        ○ / 呼称              16007                 16507                                ☆ / [内法呼称]            [15707]               [16207]                               ● / 部材セット価格        ¥55,000 ¥60,600 ¥55,000 ¥60,600 / 一般   ＰＧ 透明    ¥89,300 ¥94,900 ¥89,700 ¥95,300                                     S-2（120）等級 / 無印 / 775 / 700</t>
        </is>
      </c>
      <c r="J322" t="inlineStr">
        <is>
          <t>202604_LIXIL_サーモスＬ_業務用資料集_完成品価格表.pdf</t>
        </is>
      </c>
      <c r="K322" t="inlineStr">
        <is>
          <t>https://drive.google.com/file/d/1YUN-mtWYs48YBUHJk0C3vJXnhjyZFHyf/view</t>
        </is>
      </c>
    </row>
    <row r="323">
      <c r="A323" s="42" t="inlineStr">
        <is>
          <t>GLG-SL-0320</t>
        </is>
      </c>
      <c r="B323" t="n">
        <v>204</v>
      </c>
      <c r="C323" t="inlineStr">
        <is>
          <t>○</t>
        </is>
      </c>
      <c r="D323" t="inlineStr">
        <is>
          <t>P204|○</t>
        </is>
      </c>
      <c r="E323" t="inlineStr">
        <is>
          <t>透明/型</t>
        </is>
      </c>
      <c r="F323" t="inlineStr">
        <is>
          <t>S-3（160）等級/S-2（120）等級</t>
        </is>
      </c>
      <c r="G323" t="inlineStr">
        <is>
          <t>原本凡例保持・列位置は原本参照</t>
        </is>
      </c>
      <c r="H323" t="b">
        <v>1</v>
      </c>
      <c r="I323" t="inlineStr">
        <is>
          <t>部材セット価格        ¥51,600    ¥56,700    ¥51,600    ¥56,700                     価格表は以下の条件で算出しています。 / 一般   ＰＧ 透明    ¥81,900    ¥87,000    ¥82,200    ¥87,300                            透明（外障子） / 共通有償品 / 575 / 500 / 500 / 570 / 完成品 複層 障子     型 / 05 / ¥81,900    ¥87,000    ¥82,200    ¥87,300                            S-3（160）等級 / 価格 Low-E ＰＧ 透明    ¥93,500    ¥98,600    ¥93,900    ¥99,000                       無印       3-A-3 / 複層 障子    型    ¥93,500    ¥98,600    ¥93,900    ¥99,000                        ★       3-A-3 / 引違い網戸（中桟無）      ¥10,300    ¥11,000    ¥10,300    ¥11,000                        ○ / 呼称              16007                 16507                                ☆ / [内法呼称]            [15707]               [16207]                               ● / 部材セット価格        ¥55,000 ¥60,600 ¥55,000 ¥60,600 / 一般   ＰＧ 透明    ¥89,300 ¥94,900 ¥89,700 ¥95,300                                     S-2（120）等級 / 無印 / 775 / 700</t>
        </is>
      </c>
      <c r="J323" t="inlineStr">
        <is>
          <t>202604_LIXIL_サーモスＬ_業務用資料集_完成品価格表.pdf</t>
        </is>
      </c>
      <c r="K323" t="inlineStr">
        <is>
          <t>https://drive.google.com/file/d/1YUN-mtWYs48YBUHJk0C3vJXnhjyZFHyf/view</t>
        </is>
      </c>
    </row>
    <row r="324">
      <c r="A324" s="42" t="inlineStr">
        <is>
          <t>GLG-SL-0321</t>
        </is>
      </c>
      <c r="B324" t="n">
        <v>204</v>
      </c>
      <c r="C324" t="inlineStr">
        <is>
          <t>●</t>
        </is>
      </c>
      <c r="D324" t="inlineStr">
        <is>
          <t>P204|●</t>
        </is>
      </c>
      <c r="E324" t="inlineStr">
        <is>
          <t>透明/型</t>
        </is>
      </c>
      <c r="F324" t="inlineStr">
        <is>
          <t>S-3（160）等級/S-2（120）等級</t>
        </is>
      </c>
      <c r="G324" t="inlineStr">
        <is>
          <t>原本凡例保持・列位置は原本参照</t>
        </is>
      </c>
      <c r="H324" t="b">
        <v>1</v>
      </c>
      <c r="I324" t="inlineStr">
        <is>
          <t>部材セット価格        ¥51,600    ¥56,700    ¥51,600    ¥56,700                     価格表は以下の条件で算出しています。 / 一般   ＰＧ 透明    ¥81,900    ¥87,000    ¥82,200    ¥87,300                            透明（外障子） / 共通有償品 / 575 / 500 / 500 / 570 / 完成品 複層 障子     型 / 05 / ¥81,900    ¥87,000    ¥82,200    ¥87,300                            S-3（160）等級 / 価格 Low-E ＰＧ 透明    ¥93,500    ¥98,600    ¥93,900    ¥99,000                       無印       3-A-3 / 複層 障子    型    ¥93,500    ¥98,600    ¥93,900    ¥99,000                        ★       3-A-3 / 引違い網戸（中桟無）      ¥10,300    ¥11,000    ¥10,300    ¥11,000                        ○ / 呼称              16007                 16507                                ☆ / [内法呼称]            [15707]               [16207]                               ● / 部材セット価格        ¥55,000 ¥60,600 ¥55,000 ¥60,600 / 一般   ＰＧ 透明    ¥89,300 ¥94,900 ¥89,700 ¥95,300                                     S-2（120）等級 / 無印 / 775 / 700</t>
        </is>
      </c>
      <c r="J324" t="inlineStr">
        <is>
          <t>202604_LIXIL_サーモスＬ_業務用資料集_完成品価格表.pdf</t>
        </is>
      </c>
      <c r="K324" t="inlineStr">
        <is>
          <t>https://drive.google.com/file/d/1YUN-mtWYs48YBUHJk0C3vJXnhjyZFHyf/view</t>
        </is>
      </c>
    </row>
    <row r="325">
      <c r="A325" s="42" t="inlineStr">
        <is>
          <t>GLG-SL-0322</t>
        </is>
      </c>
      <c r="B325" t="n">
        <v>205</v>
      </c>
      <c r="C325" t="inlineStr">
        <is>
          <t>無印</t>
        </is>
      </c>
      <c r="D325" t="inlineStr">
        <is>
          <t>P205|無印</t>
        </is>
      </c>
      <c r="F325" t="inlineStr">
        <is>
          <t>S-2（120）等級/S-1（80）等級</t>
        </is>
      </c>
      <c r="G325" t="inlineStr">
        <is>
          <t>原本凡例保持・列位置は原本参照</t>
        </is>
      </c>
      <c r="H325" t="b">
        <v>1</v>
      </c>
      <c r="I325" t="inlineStr">
        <is>
          <t>価格表は以下の条件で算出しています。                                            ●アシスト把手加算額 / 内障子              外障子                    2枚建 / S-2（120）等級 S-2（120）等級 S-1（80）等級            +¥25,900 / ★                        3-A-3      4-A-4 / ●                        3-A-3      4-A-5 / ○                        3-A-3                 4-A-4 / 205</t>
        </is>
      </c>
      <c r="J325" t="inlineStr">
        <is>
          <t>202604_LIXIL_サーモスＬ_業務用資料集_完成品価格表.pdf</t>
        </is>
      </c>
      <c r="K325" t="inlineStr">
        <is>
          <t>https://drive.google.com/file/d/1YUN-mtWYs48YBUHJk0C3vJXnhjyZFHyf/view</t>
        </is>
      </c>
    </row>
    <row r="326">
      <c r="A326" s="42" t="inlineStr">
        <is>
          <t>GLG-SL-0323</t>
        </is>
      </c>
      <c r="B326" t="n">
        <v>205</v>
      </c>
      <c r="C326" t="inlineStr">
        <is>
          <t>★</t>
        </is>
      </c>
      <c r="D326" t="inlineStr">
        <is>
          <t>P205|★</t>
        </is>
      </c>
      <c r="F326" t="inlineStr">
        <is>
          <t>S-2（120）等級/S-1（80）等級</t>
        </is>
      </c>
      <c r="G326" t="inlineStr">
        <is>
          <t>原本凡例保持・列位置は原本参照</t>
        </is>
      </c>
      <c r="H326" t="b">
        <v>1</v>
      </c>
      <c r="I326" t="inlineStr">
        <is>
          <t>価格表は以下の条件で算出しています。                                            ●アシスト把手加算額 / 内障子              外障子                    2枚建 / S-2（120）等級 S-2（120）等級 S-1（80）等級            +¥25,900 / ★                        3-A-3      4-A-4 / ●                        3-A-3      4-A-5 / ○                        3-A-3                 4-A-4 / 205</t>
        </is>
      </c>
      <c r="J326" t="inlineStr">
        <is>
          <t>202604_LIXIL_サーモスＬ_業務用資料集_完成品価格表.pdf</t>
        </is>
      </c>
      <c r="K326" t="inlineStr">
        <is>
          <t>https://drive.google.com/file/d/1YUN-mtWYs48YBUHJk0C3vJXnhjyZFHyf/view</t>
        </is>
      </c>
    </row>
    <row r="327">
      <c r="A327" s="42" t="inlineStr">
        <is>
          <t>GLG-SL-0324</t>
        </is>
      </c>
      <c r="B327" t="n">
        <v>205</v>
      </c>
      <c r="C327" t="inlineStr">
        <is>
          <t>○</t>
        </is>
      </c>
      <c r="D327" t="inlineStr">
        <is>
          <t>P205|○</t>
        </is>
      </c>
      <c r="F327" t="inlineStr">
        <is>
          <t>S-2（120）等級/S-1（80）等級</t>
        </is>
      </c>
      <c r="G327" t="inlineStr">
        <is>
          <t>原本凡例保持・列位置は原本参照</t>
        </is>
      </c>
      <c r="H327" t="b">
        <v>1</v>
      </c>
      <c r="I327" t="inlineStr">
        <is>
          <t>価格表は以下の条件で算出しています。                                            ●アシスト把手加算額 / 内障子              外障子                    2枚建 / S-2（120）等級 S-2（120）等級 S-1（80）等級            +¥25,900 / ★                        3-A-3      4-A-4 / ●                        3-A-3      4-A-5 / ○                        3-A-3                 4-A-4 / 205</t>
        </is>
      </c>
      <c r="J327" t="inlineStr">
        <is>
          <t>202604_LIXIL_サーモスＬ_業務用資料集_完成品価格表.pdf</t>
        </is>
      </c>
      <c r="K327" t="inlineStr">
        <is>
          <t>https://drive.google.com/file/d/1YUN-mtWYs48YBUHJk0C3vJXnhjyZFHyf/view</t>
        </is>
      </c>
    </row>
    <row r="328">
      <c r="A328" s="42" t="inlineStr">
        <is>
          <t>GLG-SL-0325</t>
        </is>
      </c>
      <c r="B328" t="n">
        <v>205</v>
      </c>
      <c r="C328" t="inlineStr">
        <is>
          <t>●</t>
        </is>
      </c>
      <c r="D328" t="inlineStr">
        <is>
          <t>P205|●</t>
        </is>
      </c>
      <c r="F328" t="inlineStr">
        <is>
          <t>S-2（120）等級/S-1（80）等級</t>
        </is>
      </c>
      <c r="G328" t="inlineStr">
        <is>
          <t>原本凡例保持・列位置は原本参照</t>
        </is>
      </c>
      <c r="H328" t="b">
        <v>1</v>
      </c>
      <c r="I328" t="inlineStr">
        <is>
          <t>価格表は以下の条件で算出しています。                                            ●アシスト把手加算額 / 内障子              外障子                    2枚建 / S-2（120）等級 S-2（120）等級 S-1（80）等級            +¥25,900 / ★                        3-A-3      4-A-4 / ●                        3-A-3      4-A-5 / ○                        3-A-3                 4-A-4 / 205</t>
        </is>
      </c>
      <c r="J328" t="inlineStr">
        <is>
          <t>202604_LIXIL_サーモスＬ_業務用資料集_完成品価格表.pdf</t>
        </is>
      </c>
      <c r="K328" t="inlineStr">
        <is>
          <t>https://drive.google.com/file/d/1YUN-mtWYs48YBUHJk0C3vJXnhjyZFHyf/view</t>
        </is>
      </c>
    </row>
    <row r="329">
      <c r="A329" s="42" t="inlineStr">
        <is>
          <t>GLG-SL-0326</t>
        </is>
      </c>
      <c r="B329" t="n">
        <v>206</v>
      </c>
      <c r="C329" t="inlineStr">
        <is>
          <t>無印</t>
        </is>
      </c>
      <c r="D329" t="inlineStr">
        <is>
          <t>P206|無印</t>
        </is>
      </c>
      <c r="E329" t="inlineStr">
        <is>
          <t>透明/型</t>
        </is>
      </c>
      <c r="F329" t="inlineStr">
        <is>
          <t>S-3（160）等級/S-2（120）等級</t>
        </is>
      </c>
      <c r="G329" t="inlineStr">
        <is>
          <t>原本凡例保持・列位置は原本参照</t>
        </is>
      </c>
      <c r="H329" t="b">
        <v>1</v>
      </c>
      <c r="I329" t="inlineStr">
        <is>
          <t>価格表は以下の条件で算出しています。 / 透明                    型 / S-3（160）等級 S-2（120）等級 S-3（160）等級 S-2（120）等級 / 無印                       3-A-3                3-A-型4 / ☆                       3-A-3                4-A-型4 / ★                       3-A-3                           3-A-型4 / □                       3-A-3                           4-A-型4 / ■                                  3-A-3                3-A-型4 / ○                                  3-A-3                4-A-型4</t>
        </is>
      </c>
      <c r="J329" t="inlineStr">
        <is>
          <t>202604_LIXIL_サーモスＬ_業務用資料集_完成品価格表.pdf</t>
        </is>
      </c>
      <c r="K329" t="inlineStr">
        <is>
          <t>https://drive.google.com/file/d/1YUN-mtWYs48YBUHJk0C3vJXnhjyZFHyf/view</t>
        </is>
      </c>
    </row>
    <row r="330">
      <c r="A330" s="42" t="inlineStr">
        <is>
          <t>GLG-SL-0327</t>
        </is>
      </c>
      <c r="B330" t="n">
        <v>206</v>
      </c>
      <c r="C330" t="inlineStr">
        <is>
          <t>★</t>
        </is>
      </c>
      <c r="D330" t="inlineStr">
        <is>
          <t>P206|★</t>
        </is>
      </c>
      <c r="E330" t="inlineStr">
        <is>
          <t>透明/型</t>
        </is>
      </c>
      <c r="F330" t="inlineStr">
        <is>
          <t>S-3（160）等級/S-2（120）等級</t>
        </is>
      </c>
      <c r="G330" t="inlineStr">
        <is>
          <t>原本凡例保持・列位置は原本参照</t>
        </is>
      </c>
      <c r="H330" t="b">
        <v>1</v>
      </c>
      <c r="I330" t="inlineStr">
        <is>
          <t>価格表は以下の条件で算出しています。 / 透明                    型 / S-3（160）等級 S-2（120）等級 S-3（160）等級 S-2（120）等級 / 無印                       3-A-3                3-A-型4 / ☆                       3-A-3                4-A-型4 / ★                       3-A-3                           3-A-型4 / □                       3-A-3                           4-A-型4 / ■                                  3-A-3                3-A-型4 / ○                                  3-A-3                4-A-型4</t>
        </is>
      </c>
      <c r="J330" t="inlineStr">
        <is>
          <t>202604_LIXIL_サーモスＬ_業務用資料集_完成品価格表.pdf</t>
        </is>
      </c>
      <c r="K330" t="inlineStr">
        <is>
          <t>https://drive.google.com/file/d/1YUN-mtWYs48YBUHJk0C3vJXnhjyZFHyf/view</t>
        </is>
      </c>
    </row>
    <row r="331">
      <c r="A331" s="42" t="inlineStr">
        <is>
          <t>GLG-SL-0328</t>
        </is>
      </c>
      <c r="B331" t="n">
        <v>206</v>
      </c>
      <c r="C331" t="inlineStr">
        <is>
          <t>☆</t>
        </is>
      </c>
      <c r="D331" t="inlineStr">
        <is>
          <t>P206|☆</t>
        </is>
      </c>
      <c r="E331" t="inlineStr">
        <is>
          <t>透明/型</t>
        </is>
      </c>
      <c r="F331" t="inlineStr">
        <is>
          <t>S-3（160）等級/S-2（120）等級</t>
        </is>
      </c>
      <c r="G331" t="inlineStr">
        <is>
          <t>原本凡例保持・列位置は原本参照</t>
        </is>
      </c>
      <c r="H331" t="b">
        <v>1</v>
      </c>
      <c r="I331" t="inlineStr">
        <is>
          <t>価格表は以下の条件で算出しています。 / 透明                    型 / S-3（160）等級 S-2（120）等級 S-3（160）等級 S-2（120）等級 / 無印                       3-A-3                3-A-型4 / ☆                       3-A-3                4-A-型4 / ★                       3-A-3                           3-A-型4 / □                       3-A-3                           4-A-型4 / ■                                  3-A-3                3-A-型4 / ○                                  3-A-3                4-A-型4</t>
        </is>
      </c>
      <c r="J331" t="inlineStr">
        <is>
          <t>202604_LIXIL_サーモスＬ_業務用資料集_完成品価格表.pdf</t>
        </is>
      </c>
      <c r="K331" t="inlineStr">
        <is>
          <t>https://drive.google.com/file/d/1YUN-mtWYs48YBUHJk0C3vJXnhjyZFHyf/view</t>
        </is>
      </c>
    </row>
    <row r="332">
      <c r="A332" s="42" t="inlineStr">
        <is>
          <t>GLG-SL-0329</t>
        </is>
      </c>
      <c r="B332" t="n">
        <v>206</v>
      </c>
      <c r="C332" t="inlineStr">
        <is>
          <t>○</t>
        </is>
      </c>
      <c r="D332" t="inlineStr">
        <is>
          <t>P206|○</t>
        </is>
      </c>
      <c r="E332" t="inlineStr">
        <is>
          <t>透明/型</t>
        </is>
      </c>
      <c r="F332" t="inlineStr">
        <is>
          <t>S-3（160）等級/S-2（120）等級</t>
        </is>
      </c>
      <c r="G332" t="inlineStr">
        <is>
          <t>原本凡例保持・列位置は原本参照</t>
        </is>
      </c>
      <c r="H332" t="b">
        <v>1</v>
      </c>
      <c r="I332" t="inlineStr">
        <is>
          <t>価格表は以下の条件で算出しています。 / 透明                    型 / S-3（160）等級 S-2（120）等級 S-3（160）等級 S-2（120）等級 / 無印                       3-A-3                3-A-型4 / ☆                       3-A-3                4-A-型4 / ★                       3-A-3                           3-A-型4 / □                       3-A-3                           4-A-型4 / ■                                  3-A-3                3-A-型4 / ○                                  3-A-3                4-A-型4</t>
        </is>
      </c>
      <c r="J332" t="inlineStr">
        <is>
          <t>202604_LIXIL_サーモスＬ_業務用資料集_完成品価格表.pdf</t>
        </is>
      </c>
      <c r="K332" t="inlineStr">
        <is>
          <t>https://drive.google.com/file/d/1YUN-mtWYs48YBUHJk0C3vJXnhjyZFHyf/view</t>
        </is>
      </c>
    </row>
    <row r="333">
      <c r="A333" s="42" t="inlineStr">
        <is>
          <t>GLG-SL-0330</t>
        </is>
      </c>
      <c r="B333" t="n">
        <v>207</v>
      </c>
      <c r="C333" t="inlineStr">
        <is>
          <t>無印</t>
        </is>
      </c>
      <c r="D333" t="inlineStr">
        <is>
          <t>P207|無印</t>
        </is>
      </c>
      <c r="E333" t="inlineStr">
        <is>
          <t>透明/型</t>
        </is>
      </c>
      <c r="F333" t="inlineStr">
        <is>
          <t>S-3（160）等級/S-2（120）等級</t>
        </is>
      </c>
      <c r="G333" t="inlineStr">
        <is>
          <t>原本凡例保持・列位置は原本参照</t>
        </is>
      </c>
      <c r="H333" t="b">
        <v>1</v>
      </c>
      <c r="I333" t="inlineStr">
        <is>
          <t>価格表は以下の条件で算出しています。 / 透明                    型 / S-3（160）等級 S-2（120）等級 S-3（160）等級 S-2（120）等級 / 無印                  3-A-3                3-A-型4 / ☆                  3-A-3                4-A-型4 / ★                  3-A-3                           3-A-型4 / ●                             3-A-3                3-A-型4 / ○                             3-A-3                4-A-型4 / 207</t>
        </is>
      </c>
      <c r="J333" t="inlineStr">
        <is>
          <t>202604_LIXIL_サーモスＬ_業務用資料集_完成品価格表.pdf</t>
        </is>
      </c>
      <c r="K333" t="inlineStr">
        <is>
          <t>https://drive.google.com/file/d/1YUN-mtWYs48YBUHJk0C3vJXnhjyZFHyf/view</t>
        </is>
      </c>
    </row>
    <row r="334">
      <c r="A334" s="42" t="inlineStr">
        <is>
          <t>GLG-SL-0331</t>
        </is>
      </c>
      <c r="B334" t="n">
        <v>207</v>
      </c>
      <c r="C334" t="inlineStr">
        <is>
          <t>★</t>
        </is>
      </c>
      <c r="D334" t="inlineStr">
        <is>
          <t>P207|★</t>
        </is>
      </c>
      <c r="E334" t="inlineStr">
        <is>
          <t>透明/型</t>
        </is>
      </c>
      <c r="F334" t="inlineStr">
        <is>
          <t>S-3（160）等級/S-2（120）等級</t>
        </is>
      </c>
      <c r="G334" t="inlineStr">
        <is>
          <t>原本凡例保持・列位置は原本参照</t>
        </is>
      </c>
      <c r="H334" t="b">
        <v>1</v>
      </c>
      <c r="I334" t="inlineStr">
        <is>
          <t>価格表は以下の条件で算出しています。 / 透明                    型 / S-3（160）等級 S-2（120）等級 S-3（160）等級 S-2（120）等級 / 無印                  3-A-3                3-A-型4 / ☆                  3-A-3                4-A-型4 / ★                  3-A-3                           3-A-型4 / ●                             3-A-3                3-A-型4 / ○                             3-A-3                4-A-型4 / 207</t>
        </is>
      </c>
      <c r="J334" t="inlineStr">
        <is>
          <t>202604_LIXIL_サーモスＬ_業務用資料集_完成品価格表.pdf</t>
        </is>
      </c>
      <c r="K334" t="inlineStr">
        <is>
          <t>https://drive.google.com/file/d/1YUN-mtWYs48YBUHJk0C3vJXnhjyZFHyf/view</t>
        </is>
      </c>
    </row>
    <row r="335">
      <c r="A335" s="42" t="inlineStr">
        <is>
          <t>GLG-SL-0332</t>
        </is>
      </c>
      <c r="B335" t="n">
        <v>207</v>
      </c>
      <c r="C335" t="inlineStr">
        <is>
          <t>☆</t>
        </is>
      </c>
      <c r="D335" t="inlineStr">
        <is>
          <t>P207|☆</t>
        </is>
      </c>
      <c r="E335" t="inlineStr">
        <is>
          <t>透明/型</t>
        </is>
      </c>
      <c r="F335" t="inlineStr">
        <is>
          <t>S-3（160）等級/S-2（120）等級</t>
        </is>
      </c>
      <c r="G335" t="inlineStr">
        <is>
          <t>原本凡例保持・列位置は原本参照</t>
        </is>
      </c>
      <c r="H335" t="b">
        <v>1</v>
      </c>
      <c r="I335" t="inlineStr">
        <is>
          <t>価格表は以下の条件で算出しています。 / 透明                    型 / S-3（160）等級 S-2（120）等級 S-3（160）等級 S-2（120）等級 / 無印                  3-A-3                3-A-型4 / ☆                  3-A-3                4-A-型4 / ★                  3-A-3                           3-A-型4 / ●                             3-A-3                3-A-型4 / ○                             3-A-3                4-A-型4 / 207</t>
        </is>
      </c>
      <c r="J335" t="inlineStr">
        <is>
          <t>202604_LIXIL_サーモスＬ_業務用資料集_完成品価格表.pdf</t>
        </is>
      </c>
      <c r="K335" t="inlineStr">
        <is>
          <t>https://drive.google.com/file/d/1YUN-mtWYs48YBUHJk0C3vJXnhjyZFHyf/view</t>
        </is>
      </c>
    </row>
    <row r="336">
      <c r="A336" s="42" t="inlineStr">
        <is>
          <t>GLG-SL-0333</t>
        </is>
      </c>
      <c r="B336" t="n">
        <v>207</v>
      </c>
      <c r="C336" t="inlineStr">
        <is>
          <t>○</t>
        </is>
      </c>
      <c r="D336" t="inlineStr">
        <is>
          <t>P207|○</t>
        </is>
      </c>
      <c r="E336" t="inlineStr">
        <is>
          <t>透明/型</t>
        </is>
      </c>
      <c r="F336" t="inlineStr">
        <is>
          <t>S-3（160）等級/S-2（120）等級</t>
        </is>
      </c>
      <c r="G336" t="inlineStr">
        <is>
          <t>原本凡例保持・列位置は原本参照</t>
        </is>
      </c>
      <c r="H336" t="b">
        <v>1</v>
      </c>
      <c r="I336" t="inlineStr">
        <is>
          <t>価格表は以下の条件で算出しています。 / 透明                    型 / S-3（160）等級 S-2（120）等級 S-3（160）等級 S-2（120）等級 / 無印                  3-A-3                3-A-型4 / ☆                  3-A-3                4-A-型4 / ★                  3-A-3                           3-A-型4 / ●                             3-A-3                3-A-型4 / ○                             3-A-3                4-A-型4 / 207</t>
        </is>
      </c>
      <c r="J336" t="inlineStr">
        <is>
          <t>202604_LIXIL_サーモスＬ_業務用資料集_完成品価格表.pdf</t>
        </is>
      </c>
      <c r="K336" t="inlineStr">
        <is>
          <t>https://drive.google.com/file/d/1YUN-mtWYs48YBUHJk0C3vJXnhjyZFHyf/view</t>
        </is>
      </c>
    </row>
    <row r="337">
      <c r="A337" s="42" t="inlineStr">
        <is>
          <t>GLG-SL-0334</t>
        </is>
      </c>
      <c r="B337" t="n">
        <v>207</v>
      </c>
      <c r="C337" t="inlineStr">
        <is>
          <t>●</t>
        </is>
      </c>
      <c r="D337" t="inlineStr">
        <is>
          <t>P207|●</t>
        </is>
      </c>
      <c r="E337" t="inlineStr">
        <is>
          <t>透明/型</t>
        </is>
      </c>
      <c r="F337" t="inlineStr">
        <is>
          <t>S-3（160）等級/S-2（120）等級</t>
        </is>
      </c>
      <c r="G337" t="inlineStr">
        <is>
          <t>原本凡例保持・列位置は原本参照</t>
        </is>
      </c>
      <c r="H337" t="b">
        <v>1</v>
      </c>
      <c r="I337" t="inlineStr">
        <is>
          <t>価格表は以下の条件で算出しています。 / 透明                    型 / S-3（160）等級 S-2（120）等級 S-3（160）等級 S-2（120）等級 / 無印                  3-A-3                3-A-型4 / ☆                  3-A-3                4-A-型4 / ★                  3-A-3                           3-A-型4 / ●                             3-A-3                3-A-型4 / ○                             3-A-3                4-A-型4 / 207</t>
        </is>
      </c>
      <c r="J337" t="inlineStr">
        <is>
          <t>202604_LIXIL_サーモスＬ_業務用資料集_完成品価格表.pdf</t>
        </is>
      </c>
      <c r="K337" t="inlineStr">
        <is>
          <t>https://drive.google.com/file/d/1YUN-mtWYs48YBUHJk0C3vJXnhjyZFHyf/view</t>
        </is>
      </c>
    </row>
    <row r="338">
      <c r="A338" s="42" t="inlineStr">
        <is>
          <t>GLG-SL-0335</t>
        </is>
      </c>
      <c r="B338" t="n">
        <v>208</v>
      </c>
      <c r="C338" t="inlineStr">
        <is>
          <t>無印</t>
        </is>
      </c>
      <c r="D338" t="inlineStr">
        <is>
          <t>P208|無印</t>
        </is>
      </c>
      <c r="E338" t="inlineStr">
        <is>
          <t>透明/型</t>
        </is>
      </c>
      <c r="F338" t="inlineStr">
        <is>
          <t>S-3（160）等級</t>
        </is>
      </c>
      <c r="G338" t="inlineStr">
        <is>
          <t>原本凡例保持・列位置は原本参照</t>
        </is>
      </c>
      <c r="H338" t="b">
        <v>1</v>
      </c>
      <c r="I338" t="inlineStr">
        <is>
          <t>Low-E複層                                                                                                  価格表は以下の条件で算出しています。 / 型                                 ¥117,500         ¥124,600        ¥125,300          ¥132,300 / 透明 / 加算額    シリンダー付仕様                                  +¥22,200         +¥23,400        +¥22,100          +¥23,500 / しまえるんですJ                                       ¥47,500          ¥47,500         ¥47,500           ¥47,500          S-3（160）等級 / 無印 / ★06020（L/R）B                      ★06920（L/R）B / 3-A-3 / 呼称 / ［内法呼称］                                      ［05720（L/R）B］                     ［06620（L/R）B］                   ☆       3-A-3 / 部材セット価格                                       ¥83,500          ¥91,000         ¥85,500           ¥93,100      ★       3-A-3 / 透明                                 ¥114,800         ¥122,300        ¥121,100          ¥128,700      ● / 一般複層                                                                                                       ○ / 完成品            型 / 2,050 / 2,000 / 2,000 / 2,060 / ¥114,800         ¥122,300        ¥121,100          ¥128,700 / 20</t>
        </is>
      </c>
      <c r="J338" t="inlineStr">
        <is>
          <t>202604_LIXIL_サーモスＬ_業務用資料集_完成品価格表.pdf</t>
        </is>
      </c>
      <c r="K338" t="inlineStr">
        <is>
          <t>https://drive.google.com/file/d/1YUN-mtWYs48YBUHJk0C3vJXnhjyZFHyf/view</t>
        </is>
      </c>
    </row>
    <row r="339">
      <c r="A339" s="42" t="inlineStr">
        <is>
          <t>GLG-SL-0336</t>
        </is>
      </c>
      <c r="B339" t="n">
        <v>208</v>
      </c>
      <c r="C339" t="inlineStr">
        <is>
          <t>★</t>
        </is>
      </c>
      <c r="D339" t="inlineStr">
        <is>
          <t>P208|★</t>
        </is>
      </c>
      <c r="E339" t="inlineStr">
        <is>
          <t>透明/型</t>
        </is>
      </c>
      <c r="F339" t="inlineStr">
        <is>
          <t>S-3（160）等級</t>
        </is>
      </c>
      <c r="G339" t="inlineStr">
        <is>
          <t>原本凡例保持・列位置は原本参照</t>
        </is>
      </c>
      <c r="H339" t="b">
        <v>1</v>
      </c>
      <c r="I339" t="inlineStr">
        <is>
          <t>Low-E複層                                                                                                  価格表は以下の条件で算出しています。 / 型                                 ¥117,500         ¥124,600        ¥125,300          ¥132,300 / 透明 / 加算額    シリンダー付仕様                                  +¥22,200         +¥23,400        +¥22,100          +¥23,500 / しまえるんですJ                                       ¥47,500          ¥47,500         ¥47,500           ¥47,500          S-3（160）等級 / 無印 / ★06020（L/R）B                      ★06920（L/R）B / 3-A-3 / 呼称 / ［内法呼称］                                      ［05720（L/R）B］                     ［06620（L/R）B］                   ☆       3-A-3 / 部材セット価格                                       ¥83,500          ¥91,000         ¥85,500           ¥93,100      ★       3-A-3 / 透明                                 ¥114,800         ¥122,300        ¥121,100          ¥128,700      ● / 一般複層                                                                                                       ○ / 完成品            型 / 2,050 / 2,000 / 2,000 / 2,060 / ¥114,800         ¥122,300        ¥121,100          ¥128,700 / 20</t>
        </is>
      </c>
      <c r="J339" t="inlineStr">
        <is>
          <t>202604_LIXIL_サーモスＬ_業務用資料集_完成品価格表.pdf</t>
        </is>
      </c>
      <c r="K339" t="inlineStr">
        <is>
          <t>https://drive.google.com/file/d/1YUN-mtWYs48YBUHJk0C3vJXnhjyZFHyf/view</t>
        </is>
      </c>
    </row>
    <row r="340">
      <c r="A340" s="42" t="inlineStr">
        <is>
          <t>GLG-SL-0337</t>
        </is>
      </c>
      <c r="B340" t="n">
        <v>208</v>
      </c>
      <c r="C340" t="inlineStr">
        <is>
          <t>☆</t>
        </is>
      </c>
      <c r="D340" t="inlineStr">
        <is>
          <t>P208|☆</t>
        </is>
      </c>
      <c r="E340" t="inlineStr">
        <is>
          <t>透明/型</t>
        </is>
      </c>
      <c r="F340" t="inlineStr">
        <is>
          <t>S-3（160）等級</t>
        </is>
      </c>
      <c r="G340" t="inlineStr">
        <is>
          <t>原本凡例保持・列位置は原本参照</t>
        </is>
      </c>
      <c r="H340" t="b">
        <v>1</v>
      </c>
      <c r="I340" t="inlineStr">
        <is>
          <t>Low-E複層                                                                                                  価格表は以下の条件で算出しています。 / 型                                 ¥117,500         ¥124,600        ¥125,300          ¥132,300 / 透明 / 加算額    シリンダー付仕様                                  +¥22,200         +¥23,400        +¥22,100          +¥23,500 / しまえるんですJ                                       ¥47,500          ¥47,500         ¥47,500           ¥47,500          S-3（160）等級 / 無印 / ★06020（L/R）B                      ★06920（L/R）B / 3-A-3 / 呼称 / ［内法呼称］                                      ［05720（L/R）B］                     ［06620（L/R）B］                   ☆       3-A-3 / 部材セット価格                                       ¥83,500          ¥91,000         ¥85,500           ¥93,100      ★       3-A-3 / 透明                                 ¥114,800         ¥122,300        ¥121,100          ¥128,700      ● / 一般複層                                                                                                       ○ / 完成品            型 / 2,050 / 2,000 / 2,000 / 2,060 / ¥114,800         ¥122,300        ¥121,100          ¥128,700 / 20</t>
        </is>
      </c>
      <c r="J340" t="inlineStr">
        <is>
          <t>202604_LIXIL_サーモスＬ_業務用資料集_完成品価格表.pdf</t>
        </is>
      </c>
      <c r="K340" t="inlineStr">
        <is>
          <t>https://drive.google.com/file/d/1YUN-mtWYs48YBUHJk0C3vJXnhjyZFHyf/view</t>
        </is>
      </c>
    </row>
    <row r="341">
      <c r="A341" s="42" t="inlineStr">
        <is>
          <t>GLG-SL-0338</t>
        </is>
      </c>
      <c r="B341" t="n">
        <v>208</v>
      </c>
      <c r="C341" t="inlineStr">
        <is>
          <t>○</t>
        </is>
      </c>
      <c r="D341" t="inlineStr">
        <is>
          <t>P208|○</t>
        </is>
      </c>
      <c r="E341" t="inlineStr">
        <is>
          <t>透明/型</t>
        </is>
      </c>
      <c r="F341" t="inlineStr">
        <is>
          <t>S-3（160）等級</t>
        </is>
      </c>
      <c r="G341" t="inlineStr">
        <is>
          <t>原本凡例保持・列位置は原本参照</t>
        </is>
      </c>
      <c r="H341" t="b">
        <v>1</v>
      </c>
      <c r="I341" t="inlineStr">
        <is>
          <t>Low-E複層                                                                                                  価格表は以下の条件で算出しています。 / 型                                 ¥117,500         ¥124,600        ¥125,300          ¥132,300 / 透明 / 加算額    シリンダー付仕様                                  +¥22,200         +¥23,400        +¥22,100          +¥23,500 / しまえるんですJ                                       ¥47,500          ¥47,500         ¥47,500           ¥47,500          S-3（160）等級 / 無印 / ★06020（L/R）B                      ★06920（L/R）B / 3-A-3 / 呼称 / ［内法呼称］                                      ［05720（L/R）B］                     ［06620（L/R）B］                   ☆       3-A-3 / 部材セット価格                                       ¥83,500          ¥91,000         ¥85,500           ¥93,100      ★       3-A-3 / 透明                                 ¥114,800         ¥122,300        ¥121,100          ¥128,700      ● / 一般複層                                                                                                       ○ / 完成品            型 / 2,050 / 2,000 / 2,000 / 2,060 / ¥114,800         ¥122,300        ¥121,100          ¥128,700 / 20</t>
        </is>
      </c>
      <c r="J341" t="inlineStr">
        <is>
          <t>202604_LIXIL_サーモスＬ_業務用資料集_完成品価格表.pdf</t>
        </is>
      </c>
      <c r="K341" t="inlineStr">
        <is>
          <t>https://drive.google.com/file/d/1YUN-mtWYs48YBUHJk0C3vJXnhjyZFHyf/view</t>
        </is>
      </c>
    </row>
    <row r="342">
      <c r="A342" s="42" t="inlineStr">
        <is>
          <t>GLG-SL-0339</t>
        </is>
      </c>
      <c r="B342" t="n">
        <v>208</v>
      </c>
      <c r="C342" t="inlineStr">
        <is>
          <t>●</t>
        </is>
      </c>
      <c r="D342" t="inlineStr">
        <is>
          <t>P208|●</t>
        </is>
      </c>
      <c r="E342" t="inlineStr">
        <is>
          <t>透明/型</t>
        </is>
      </c>
      <c r="F342" t="inlineStr">
        <is>
          <t>S-3（160）等級</t>
        </is>
      </c>
      <c r="G342" t="inlineStr">
        <is>
          <t>原本凡例保持・列位置は原本参照</t>
        </is>
      </c>
      <c r="H342" t="b">
        <v>1</v>
      </c>
      <c r="I342" t="inlineStr">
        <is>
          <t>Low-E複層                                                                                                  価格表は以下の条件で算出しています。 / 型                                 ¥117,500         ¥124,600        ¥125,300          ¥132,300 / 透明 / 加算額    シリンダー付仕様                                  +¥22,200         +¥23,400        +¥22,100          +¥23,500 / しまえるんですJ                                       ¥47,500          ¥47,500         ¥47,500           ¥47,500          S-3（160）等級 / 無印 / ★06020（L/R）B                      ★06920（L/R）B / 3-A-3 / 呼称 / ［内法呼称］                                      ［05720（L/R）B］                     ［06620（L/R）B］                   ☆       3-A-3 / 部材セット価格                                       ¥83,500          ¥91,000         ¥85,500           ¥93,100      ★       3-A-3 / 透明                                 ¥114,800         ¥122,300        ¥121,100          ¥128,700      ● / 一般複層                                                                                                       ○ / 完成品            型 / 2,050 / 2,000 / 2,000 / 2,060 / ¥114,800         ¥122,300        ¥121,100          ¥128,700 / 20</t>
        </is>
      </c>
      <c r="J342" t="inlineStr">
        <is>
          <t>202604_LIXIL_サーモスＬ_業務用資料集_完成品価格表.pdf</t>
        </is>
      </c>
      <c r="K342" t="inlineStr">
        <is>
          <t>https://drive.google.com/file/d/1YUN-mtWYs48YBUHJk0C3vJXnhjyZFHyf/view</t>
        </is>
      </c>
    </row>
    <row r="343">
      <c r="A343" s="42" t="inlineStr">
        <is>
          <t>GLG-SL-0340</t>
        </is>
      </c>
      <c r="B343" t="n">
        <v>210</v>
      </c>
      <c r="C343" t="inlineStr">
        <is>
          <t>無印</t>
        </is>
      </c>
      <c r="D343" t="inlineStr">
        <is>
          <t>P210|無印</t>
        </is>
      </c>
      <c r="E343" t="inlineStr">
        <is>
          <t>透明/型</t>
        </is>
      </c>
      <c r="F343" t="inlineStr">
        <is>
          <t>S-3（160）等級</t>
        </is>
      </c>
      <c r="G343" t="inlineStr">
        <is>
          <t>原本凡例保持・列位置は原本参照</t>
        </is>
      </c>
      <c r="H343" t="b">
        <v>1</v>
      </c>
      <c r="I343" t="inlineStr">
        <is>
          <t>価格表は以下の条件で算出しています。 / 透明          型 / S-3（160）等級 S-3（160）等級 / 3-A-3     3-A-型4</t>
        </is>
      </c>
      <c r="J343" t="inlineStr">
        <is>
          <t>202604_LIXIL_サーモスＬ_業務用資料集_完成品価格表.pdf</t>
        </is>
      </c>
      <c r="K343" t="inlineStr">
        <is>
          <t>https://drive.google.com/file/d/1YUN-mtWYs48YBUHJk0C3vJXnhjyZFHyf/view</t>
        </is>
      </c>
    </row>
    <row r="344">
      <c r="A344" s="42" t="inlineStr">
        <is>
          <t>GLG-SL-0341</t>
        </is>
      </c>
      <c r="B344" t="n">
        <v>211</v>
      </c>
      <c r="C344" t="inlineStr">
        <is>
          <t>無印</t>
        </is>
      </c>
      <c r="D344" t="inlineStr">
        <is>
          <t>P211|無印</t>
        </is>
      </c>
      <c r="E344" t="inlineStr">
        <is>
          <t>透明/型</t>
        </is>
      </c>
      <c r="F344" t="inlineStr">
        <is>
          <t>S-3（160）等級</t>
        </is>
      </c>
      <c r="G344" t="inlineStr">
        <is>
          <t>原本凡例保持・列位置は原本参照</t>
        </is>
      </c>
      <c r="H344" t="b">
        <v>1</v>
      </c>
      <c r="I344" t="inlineStr">
        <is>
          <t>価格表は以下の条件で算出しています。 / 透明          型 / S-3（160）等級 S-3（160）等級 / 3-A-3     3-A-型4 / 211</t>
        </is>
      </c>
      <c r="J344" t="inlineStr">
        <is>
          <t>202604_LIXIL_サーモスＬ_業務用資料集_完成品価格表.pdf</t>
        </is>
      </c>
      <c r="K344" t="inlineStr">
        <is>
          <t>https://drive.google.com/file/d/1YUN-mtWYs48YBUHJk0C3vJXnhjyZFHyf/view</t>
        </is>
      </c>
    </row>
    <row r="345">
      <c r="A345" s="42" t="inlineStr">
        <is>
          <t>GLG-SL-0342</t>
        </is>
      </c>
      <c r="B345" t="n">
        <v>212</v>
      </c>
      <c r="C345" t="inlineStr">
        <is>
          <t>無印</t>
        </is>
      </c>
      <c r="D345" t="inlineStr">
        <is>
          <t>P212|無印</t>
        </is>
      </c>
      <c r="E345" t="inlineStr">
        <is>
          <t>透明/型</t>
        </is>
      </c>
      <c r="F345" t="inlineStr">
        <is>
          <t>S-3（160）等級</t>
        </is>
      </c>
      <c r="G345" t="inlineStr">
        <is>
          <t>原本凡例保持・列位置は原本参照</t>
        </is>
      </c>
      <c r="H345" t="b">
        <v>1</v>
      </c>
      <c r="I345" t="inlineStr">
        <is>
          <t>価格表は以下の条件で算出しています。 / 透明          型 / S-3（160）等級 S-3（160）等級 / 3-A-3     3-A-型4</t>
        </is>
      </c>
      <c r="J345" t="inlineStr">
        <is>
          <t>202604_LIXIL_サーモスＬ_業務用資料集_完成品価格表.pdf</t>
        </is>
      </c>
      <c r="K345" t="inlineStr">
        <is>
          <t>https://drive.google.com/file/d/1YUN-mtWYs48YBUHJk0C3vJXnhjyZFHyf/view</t>
        </is>
      </c>
    </row>
    <row r="346">
      <c r="A346" s="42" t="inlineStr">
        <is>
          <t>GLG-SL-0343</t>
        </is>
      </c>
      <c r="B346" t="n">
        <v>213</v>
      </c>
      <c r="C346" t="inlineStr">
        <is>
          <t>無印</t>
        </is>
      </c>
      <c r="D346" t="inlineStr">
        <is>
          <t>P213|無印</t>
        </is>
      </c>
      <c r="E346" t="inlineStr">
        <is>
          <t>透明/型</t>
        </is>
      </c>
      <c r="F346" t="inlineStr">
        <is>
          <t>S-3（160）等級</t>
        </is>
      </c>
      <c r="G346" t="inlineStr">
        <is>
          <t>原本凡例保持・列位置は原本参照</t>
        </is>
      </c>
      <c r="H346" t="b">
        <v>1</v>
      </c>
      <c r="I346" t="inlineStr">
        <is>
          <t>価格表は以下の条件で算出しています。 / 透明          型 / S-3（160）等級 S-3（160）等級 / 3-A-3     3-A-型4 / 213</t>
        </is>
      </c>
      <c r="J346" t="inlineStr">
        <is>
          <t>202604_LIXIL_サーモスＬ_業務用資料集_完成品価格表.pdf</t>
        </is>
      </c>
      <c r="K346" t="inlineStr">
        <is>
          <t>https://drive.google.com/file/d/1YUN-mtWYs48YBUHJk0C3vJXnhjyZFHyf/view</t>
        </is>
      </c>
    </row>
    <row r="347">
      <c r="A347" s="42" t="inlineStr">
        <is>
          <t>GLG-SL-0344</t>
        </is>
      </c>
      <c r="B347" t="n">
        <v>214</v>
      </c>
      <c r="C347" t="inlineStr">
        <is>
          <t>無印</t>
        </is>
      </c>
      <c r="D347" t="inlineStr">
        <is>
          <t>P214|無印</t>
        </is>
      </c>
      <c r="E347" t="inlineStr">
        <is>
          <t>透明/型</t>
        </is>
      </c>
      <c r="F347" t="inlineStr">
        <is>
          <t>S-3（160）等級</t>
        </is>
      </c>
      <c r="G347" t="inlineStr">
        <is>
          <t>原本凡例保持・列位置は原本参照</t>
        </is>
      </c>
      <c r="H347" t="b">
        <v>1</v>
      </c>
      <c r="I347" t="inlineStr">
        <is>
          <t>価格表は以下の条件で算出しています。 / 透明          型 / S-3（160）等級 S-3（160）等級 / 3-A-3     3-A-型4</t>
        </is>
      </c>
      <c r="J347" t="inlineStr">
        <is>
          <t>202604_LIXIL_サーモスＬ_業務用資料集_完成品価格表.pdf</t>
        </is>
      </c>
      <c r="K347" t="inlineStr">
        <is>
          <t>https://drive.google.com/file/d/1YUN-mtWYs48YBUHJk0C3vJXnhjyZFHyf/view</t>
        </is>
      </c>
    </row>
    <row r="348">
      <c r="A348" s="42" t="inlineStr">
        <is>
          <t>GLG-SL-0345</t>
        </is>
      </c>
      <c r="B348" t="n">
        <v>215</v>
      </c>
      <c r="C348" t="inlineStr">
        <is>
          <t>無印</t>
        </is>
      </c>
      <c r="D348" t="inlineStr">
        <is>
          <t>P215|無印</t>
        </is>
      </c>
      <c r="E348" t="inlineStr">
        <is>
          <t>透明/型</t>
        </is>
      </c>
      <c r="F348" t="inlineStr">
        <is>
          <t>S-3（160）等級</t>
        </is>
      </c>
      <c r="G348" t="inlineStr">
        <is>
          <t>原本凡例保持・列位置は原本参照</t>
        </is>
      </c>
      <c r="H348" t="b">
        <v>1</v>
      </c>
      <c r="I348" t="inlineStr">
        <is>
          <t>価格表は以下の条件で算出しています。 / 透明          型 / S-3（160）等級 S-3（160）等級 / 3-A-3     3-A-型4 / 215</t>
        </is>
      </c>
      <c r="J348" t="inlineStr">
        <is>
          <t>202604_LIXIL_サーモスＬ_業務用資料集_完成品価格表.pdf</t>
        </is>
      </c>
      <c r="K348" t="inlineStr">
        <is>
          <t>https://drive.google.com/file/d/1YUN-mtWYs48YBUHJk0C3vJXnhjyZFHyf/view</t>
        </is>
      </c>
    </row>
    <row r="349">
      <c r="A349" s="42" t="inlineStr">
        <is>
          <t>GLG-SL-0346</t>
        </is>
      </c>
      <c r="B349" t="n">
        <v>216</v>
      </c>
      <c r="C349" t="inlineStr">
        <is>
          <t>無印</t>
        </is>
      </c>
      <c r="D349" t="inlineStr">
        <is>
          <t>P216|無印</t>
        </is>
      </c>
      <c r="E349" t="inlineStr">
        <is>
          <t>透明/型</t>
        </is>
      </c>
      <c r="F349" t="inlineStr">
        <is>
          <t>S-3（160）等級</t>
        </is>
      </c>
      <c r="G349" t="inlineStr">
        <is>
          <t>原本凡例保持・列位置は原本参照</t>
        </is>
      </c>
      <c r="H349" t="b">
        <v>1</v>
      </c>
      <c r="I349" t="inlineStr">
        <is>
          <t>価格表は以下の条件で算出しています。 / 透明          型 / S-3（160）等級 S-3（160）等級 / 3-A-3     3-A-型4</t>
        </is>
      </c>
      <c r="J349" t="inlineStr">
        <is>
          <t>202604_LIXIL_サーモスＬ_業務用資料集_完成品価格表.pdf</t>
        </is>
      </c>
      <c r="K349" t="inlineStr">
        <is>
          <t>https://drive.google.com/file/d/1YUN-mtWYs48YBUHJk0C3vJXnhjyZFHyf/view</t>
        </is>
      </c>
    </row>
    <row r="350">
      <c r="A350" s="42" t="inlineStr">
        <is>
          <t>GLG-SL-0347</t>
        </is>
      </c>
      <c r="B350" t="n">
        <v>217</v>
      </c>
      <c r="C350" t="inlineStr">
        <is>
          <t>無印</t>
        </is>
      </c>
      <c r="D350" t="inlineStr">
        <is>
          <t>P217|無印</t>
        </is>
      </c>
      <c r="E350" t="inlineStr">
        <is>
          <t>透明/型</t>
        </is>
      </c>
      <c r="F350" t="inlineStr">
        <is>
          <t>S-3（160）等級</t>
        </is>
      </c>
      <c r="G350" t="inlineStr">
        <is>
          <t>原本凡例保持・列位置は原本参照</t>
        </is>
      </c>
      <c r="H350" t="b">
        <v>1</v>
      </c>
      <c r="I350" t="inlineStr">
        <is>
          <t>価格表は以下の条件で算出しています。 / 透明          型 / S-3（160）等級 S-3（160）等級 / 3-A-3     3-A-型4 / 217</t>
        </is>
      </c>
      <c r="J350" t="inlineStr">
        <is>
          <t>202604_LIXIL_サーモスＬ_業務用資料集_完成品価格表.pdf</t>
        </is>
      </c>
      <c r="K350" t="inlineStr">
        <is>
          <t>https://drive.google.com/file/d/1YUN-mtWYs48YBUHJk0C3vJXnhjyZFHyf/view</t>
        </is>
      </c>
    </row>
    <row r="351">
      <c r="A351" s="42" t="inlineStr">
        <is>
          <t>GLG-SL-0348</t>
        </is>
      </c>
      <c r="B351" t="n">
        <v>218</v>
      </c>
      <c r="C351" t="inlineStr">
        <is>
          <t>無印</t>
        </is>
      </c>
      <c r="D351" t="inlineStr">
        <is>
          <t>P218|無印</t>
        </is>
      </c>
      <c r="E351" t="inlineStr">
        <is>
          <t>透明/型</t>
        </is>
      </c>
      <c r="F351" t="inlineStr">
        <is>
          <t>S-3（160）等級</t>
        </is>
      </c>
      <c r="G351" t="inlineStr">
        <is>
          <t>原本凡例保持・列位置は原本参照</t>
        </is>
      </c>
      <c r="H351" t="b">
        <v>1</v>
      </c>
      <c r="I351" t="inlineStr">
        <is>
          <t>価格表は以下の条件で算出しています。 / 透明          型 / S-3（160）等級 S-3（160）等級 / 3-A-3     3-A-型4</t>
        </is>
      </c>
      <c r="J351" t="inlineStr">
        <is>
          <t>202604_LIXIL_サーモスＬ_業務用資料集_完成品価格表.pdf</t>
        </is>
      </c>
      <c r="K351" t="inlineStr">
        <is>
          <t>https://drive.google.com/file/d/1YUN-mtWYs48YBUHJk0C3vJXnhjyZFHyf/view</t>
        </is>
      </c>
    </row>
    <row r="352">
      <c r="A352" s="42" t="inlineStr">
        <is>
          <t>GLG-SL-0349</t>
        </is>
      </c>
      <c r="B352" t="n">
        <v>220</v>
      </c>
      <c r="C352" t="inlineStr">
        <is>
          <t>無印</t>
        </is>
      </c>
      <c r="D352" t="inlineStr">
        <is>
          <t>P220|無印</t>
        </is>
      </c>
      <c r="E352" t="inlineStr">
        <is>
          <t>透明/型</t>
        </is>
      </c>
      <c r="F352" t="inlineStr">
        <is>
          <t>S-3（160）等級</t>
        </is>
      </c>
      <c r="G352" t="inlineStr">
        <is>
          <t>原本凡例保持・列位置は原本参照</t>
        </is>
      </c>
      <c r="H352" t="b">
        <v>1</v>
      </c>
      <c r="I352" t="inlineStr">
        <is>
          <t>価格表は以下の条件で算出しています。 / 透明          型 / S-3（160）等級 S-3（160）等級 / 3-A-3     3-A-型4</t>
        </is>
      </c>
      <c r="J352" t="inlineStr">
        <is>
          <t>202604_LIXIL_サーモスＬ_業務用資料集_完成品価格表.pdf</t>
        </is>
      </c>
      <c r="K352" t="inlineStr">
        <is>
          <t>https://drive.google.com/file/d/1YUN-mtWYs48YBUHJk0C3vJXnhjyZFHyf/view</t>
        </is>
      </c>
    </row>
    <row r="353">
      <c r="A353" s="42" t="inlineStr">
        <is>
          <t>GLG-SL-0350</t>
        </is>
      </c>
      <c r="B353" t="n">
        <v>221</v>
      </c>
      <c r="C353" t="inlineStr">
        <is>
          <t>無印</t>
        </is>
      </c>
      <c r="D353" t="inlineStr">
        <is>
          <t>P221|無印</t>
        </is>
      </c>
      <c r="E353" t="inlineStr">
        <is>
          <t>透明/型</t>
        </is>
      </c>
      <c r="F353" t="inlineStr">
        <is>
          <t>S-3（160）等級</t>
        </is>
      </c>
      <c r="G353" t="inlineStr">
        <is>
          <t>原本凡例保持・列位置は原本参照</t>
        </is>
      </c>
      <c r="H353" t="b">
        <v>1</v>
      </c>
      <c r="I353" t="inlineStr">
        <is>
          <t>価格表は以下の条件で算出しています。 / 透明          型 / S-3（160）等級 S-3（160）等級 / 3-A-3     3-A-型4 / 221</t>
        </is>
      </c>
      <c r="J353" t="inlineStr">
        <is>
          <t>202604_LIXIL_サーモスＬ_業務用資料集_完成品価格表.pdf</t>
        </is>
      </c>
      <c r="K353" t="inlineStr">
        <is>
          <t>https://drive.google.com/file/d/1YUN-mtWYs48YBUHJk0C3vJXnhjyZFHyf/view</t>
        </is>
      </c>
    </row>
    <row r="354">
      <c r="A354" s="42" t="inlineStr">
        <is>
          <t>GLG-SL-0351</t>
        </is>
      </c>
      <c r="B354" t="n">
        <v>222</v>
      </c>
      <c r="C354" t="inlineStr">
        <is>
          <t>無印</t>
        </is>
      </c>
      <c r="D354" t="inlineStr">
        <is>
          <t>P222|無印</t>
        </is>
      </c>
      <c r="E354" t="inlineStr">
        <is>
          <t>透明/型</t>
        </is>
      </c>
      <c r="F354" t="inlineStr">
        <is>
          <t>S-3（160）等級</t>
        </is>
      </c>
      <c r="G354" t="inlineStr">
        <is>
          <t>原本凡例保持・列位置は原本参照</t>
        </is>
      </c>
      <c r="H354" t="b">
        <v>1</v>
      </c>
      <c r="I354" t="inlineStr">
        <is>
          <t>価格表は以下の条件で算出しています。 / 透明          型 / S-3（160）等級 S-3（160）等級 / 3-A-3     3-A-型4</t>
        </is>
      </c>
      <c r="J354" t="inlineStr">
        <is>
          <t>202604_LIXIL_サーモスＬ_業務用資料集_完成品価格表.pdf</t>
        </is>
      </c>
      <c r="K354" t="inlineStr">
        <is>
          <t>https://drive.google.com/file/d/1YUN-mtWYs48YBUHJk0C3vJXnhjyZFHyf/view</t>
        </is>
      </c>
    </row>
    <row r="355">
      <c r="A355" s="42" t="inlineStr">
        <is>
          <t>GLG-SL-0352</t>
        </is>
      </c>
      <c r="B355" t="n">
        <v>223</v>
      </c>
      <c r="C355" t="inlineStr">
        <is>
          <t>無印</t>
        </is>
      </c>
      <c r="D355" t="inlineStr">
        <is>
          <t>P223|無印</t>
        </is>
      </c>
      <c r="E355" t="inlineStr">
        <is>
          <t>透明/型</t>
        </is>
      </c>
      <c r="F355" t="inlineStr">
        <is>
          <t>S-3（160）等級/S-2（120）等級</t>
        </is>
      </c>
      <c r="G355" t="inlineStr">
        <is>
          <t>原本凡例保持・列位置は原本参照</t>
        </is>
      </c>
      <c r="H355" t="b">
        <v>1</v>
      </c>
      <c r="I355" t="inlineStr">
        <is>
          <t>価格表は以下の条件で算出しています。 / 透明               型 / S-3（160）等級 S-3（160）等級 S-2（120）等級 / 無印                           3-A-3     3-A-型4 / ★                           3-A-3                3-A-型4 / ☆                           3-A-3                4-A-型4 / 223</t>
        </is>
      </c>
      <c r="J355" t="inlineStr">
        <is>
          <t>202604_LIXIL_サーモスＬ_業務用資料集_完成品価格表.pdf</t>
        </is>
      </c>
      <c r="K355" t="inlineStr">
        <is>
          <t>https://drive.google.com/file/d/1YUN-mtWYs48YBUHJk0C3vJXnhjyZFHyf/view</t>
        </is>
      </c>
    </row>
    <row r="356">
      <c r="A356" s="42" t="inlineStr">
        <is>
          <t>GLG-SL-0353</t>
        </is>
      </c>
      <c r="B356" t="n">
        <v>223</v>
      </c>
      <c r="C356" t="inlineStr">
        <is>
          <t>★</t>
        </is>
      </c>
      <c r="D356" t="inlineStr">
        <is>
          <t>P223|★</t>
        </is>
      </c>
      <c r="E356" t="inlineStr">
        <is>
          <t>透明/型</t>
        </is>
      </c>
      <c r="F356" t="inlineStr">
        <is>
          <t>S-3（160）等級/S-2（120）等級</t>
        </is>
      </c>
      <c r="G356" t="inlineStr">
        <is>
          <t>原本凡例保持・列位置は原本参照</t>
        </is>
      </c>
      <c r="H356" t="b">
        <v>1</v>
      </c>
      <c r="I356" t="inlineStr">
        <is>
          <t>価格表は以下の条件で算出しています。 / 透明               型 / S-3（160）等級 S-3（160）等級 S-2（120）等級 / 無印                           3-A-3     3-A-型4 / ★                           3-A-3                3-A-型4 / ☆                           3-A-3                4-A-型4 / 223</t>
        </is>
      </c>
      <c r="J356" t="inlineStr">
        <is>
          <t>202604_LIXIL_サーモスＬ_業務用資料集_完成品価格表.pdf</t>
        </is>
      </c>
      <c r="K356" t="inlineStr">
        <is>
          <t>https://drive.google.com/file/d/1YUN-mtWYs48YBUHJk0C3vJXnhjyZFHyf/view</t>
        </is>
      </c>
    </row>
    <row r="357">
      <c r="A357" s="42" t="inlineStr">
        <is>
          <t>GLG-SL-0354</t>
        </is>
      </c>
      <c r="B357" t="n">
        <v>223</v>
      </c>
      <c r="C357" t="inlineStr">
        <is>
          <t>☆</t>
        </is>
      </c>
      <c r="D357" t="inlineStr">
        <is>
          <t>P223|☆</t>
        </is>
      </c>
      <c r="E357" t="inlineStr">
        <is>
          <t>透明/型</t>
        </is>
      </c>
      <c r="F357" t="inlineStr">
        <is>
          <t>S-3（160）等級/S-2（120）等級</t>
        </is>
      </c>
      <c r="G357" t="inlineStr">
        <is>
          <t>原本凡例保持・列位置は原本参照</t>
        </is>
      </c>
      <c r="H357" t="b">
        <v>1</v>
      </c>
      <c r="I357" t="inlineStr">
        <is>
          <t>価格表は以下の条件で算出しています。 / 透明               型 / S-3（160）等級 S-3（160）等級 S-2（120）等級 / 無印                           3-A-3     3-A-型4 / ★                           3-A-3                3-A-型4 / ☆                           3-A-3                4-A-型4 / 223</t>
        </is>
      </c>
      <c r="J357" t="inlineStr">
        <is>
          <t>202604_LIXIL_サーモスＬ_業務用資料集_完成品価格表.pdf</t>
        </is>
      </c>
      <c r="K357" t="inlineStr">
        <is>
          <t>https://drive.google.com/file/d/1YUN-mtWYs48YBUHJk0C3vJXnhjyZFHyf/view</t>
        </is>
      </c>
    </row>
    <row r="358">
      <c r="A358" s="42" t="inlineStr">
        <is>
          <t>GLG-SL-0355</t>
        </is>
      </c>
      <c r="B358" t="n">
        <v>224</v>
      </c>
      <c r="C358" t="inlineStr">
        <is>
          <t>無印</t>
        </is>
      </c>
      <c r="D358" t="inlineStr">
        <is>
          <t>P224|無印</t>
        </is>
      </c>
      <c r="E358" t="inlineStr">
        <is>
          <t>透明/型</t>
        </is>
      </c>
      <c r="F358" t="inlineStr">
        <is>
          <t>S-3（160）等級/S-2（120）等級</t>
        </is>
      </c>
      <c r="G358" t="inlineStr">
        <is>
          <t>原本凡例保持・列位置は原本参照</t>
        </is>
      </c>
      <c r="H358" t="b">
        <v>1</v>
      </c>
      <c r="I358" t="inlineStr">
        <is>
          <t>価格表は以下の条件で算出しています。 / 透明               型 / S-3（160）等級 S-3（160）等級 S-2（120）等級 / 無印                  3-A-3     3-A-型4 / ★                  3-A-3                3-A-型4</t>
        </is>
      </c>
      <c r="J358" t="inlineStr">
        <is>
          <t>202604_LIXIL_サーモスＬ_業務用資料集_完成品価格表.pdf</t>
        </is>
      </c>
      <c r="K358" t="inlineStr">
        <is>
          <t>https://drive.google.com/file/d/1YUN-mtWYs48YBUHJk0C3vJXnhjyZFHyf/view</t>
        </is>
      </c>
    </row>
    <row r="359">
      <c r="A359" s="42" t="inlineStr">
        <is>
          <t>GLG-SL-0356</t>
        </is>
      </c>
      <c r="B359" t="n">
        <v>224</v>
      </c>
      <c r="C359" t="inlineStr">
        <is>
          <t>★</t>
        </is>
      </c>
      <c r="D359" t="inlineStr">
        <is>
          <t>P224|★</t>
        </is>
      </c>
      <c r="E359" t="inlineStr">
        <is>
          <t>透明/型</t>
        </is>
      </c>
      <c r="F359" t="inlineStr">
        <is>
          <t>S-3（160）等級/S-2（120）等級</t>
        </is>
      </c>
      <c r="G359" t="inlineStr">
        <is>
          <t>原本凡例保持・列位置は原本参照</t>
        </is>
      </c>
      <c r="H359" t="b">
        <v>1</v>
      </c>
      <c r="I359" t="inlineStr">
        <is>
          <t>価格表は以下の条件で算出しています。 / 透明               型 / S-3（160）等級 S-3（160）等級 S-2（120）等級 / 無印                  3-A-3     3-A-型4 / ★                  3-A-3                3-A-型4</t>
        </is>
      </c>
      <c r="J359" t="inlineStr">
        <is>
          <t>202604_LIXIL_サーモスＬ_業務用資料集_完成品価格表.pdf</t>
        </is>
      </c>
      <c r="K359" t="inlineStr">
        <is>
          <t>https://drive.google.com/file/d/1YUN-mtWYs48YBUHJk0C3vJXnhjyZFHyf/view</t>
        </is>
      </c>
    </row>
    <row r="360">
      <c r="A360" s="42" t="inlineStr">
        <is>
          <t>GLG-SL-0357</t>
        </is>
      </c>
      <c r="B360" t="n">
        <v>225</v>
      </c>
      <c r="C360" t="inlineStr">
        <is>
          <t>無印</t>
        </is>
      </c>
      <c r="D360" t="inlineStr">
        <is>
          <t>P225|無印</t>
        </is>
      </c>
      <c r="E360" t="inlineStr">
        <is>
          <t>透明/型</t>
        </is>
      </c>
      <c r="F360" t="inlineStr">
        <is>
          <t>S-3（160）等級/S-2（120）等級</t>
        </is>
      </c>
      <c r="G360" t="inlineStr">
        <is>
          <t>原本凡例保持・列位置は原本参照</t>
        </is>
      </c>
      <c r="H360" t="b">
        <v>1</v>
      </c>
      <c r="I360" t="inlineStr">
        <is>
          <t>価格表は以下の条件で算出しています。 / 透明               型 / S-3（160）等級 S-3（160）等級 S-2（120）等級 / 無印                  3-A-3     3-A-型4 / ★                  3-A-3                3-A-型4 / 225</t>
        </is>
      </c>
      <c r="J360" t="inlineStr">
        <is>
          <t>202604_LIXIL_サーモスＬ_業務用資料集_完成品価格表.pdf</t>
        </is>
      </c>
      <c r="K360" t="inlineStr">
        <is>
          <t>https://drive.google.com/file/d/1YUN-mtWYs48YBUHJk0C3vJXnhjyZFHyf/view</t>
        </is>
      </c>
    </row>
    <row r="361">
      <c r="A361" s="42" t="inlineStr">
        <is>
          <t>GLG-SL-0358</t>
        </is>
      </c>
      <c r="B361" t="n">
        <v>225</v>
      </c>
      <c r="C361" t="inlineStr">
        <is>
          <t>★</t>
        </is>
      </c>
      <c r="D361" t="inlineStr">
        <is>
          <t>P225|★</t>
        </is>
      </c>
      <c r="E361" t="inlineStr">
        <is>
          <t>透明/型</t>
        </is>
      </c>
      <c r="F361" t="inlineStr">
        <is>
          <t>S-3（160）等級/S-2（120）等級</t>
        </is>
      </c>
      <c r="G361" t="inlineStr">
        <is>
          <t>原本凡例保持・列位置は原本参照</t>
        </is>
      </c>
      <c r="H361" t="b">
        <v>1</v>
      </c>
      <c r="I361" t="inlineStr">
        <is>
          <t>価格表は以下の条件で算出しています。 / 透明               型 / S-3（160）等級 S-3（160）等級 S-2（120）等級 / 無印                  3-A-3     3-A-型4 / ★                  3-A-3                3-A-型4 / 225</t>
        </is>
      </c>
      <c r="J361" t="inlineStr">
        <is>
          <t>202604_LIXIL_サーモスＬ_業務用資料集_完成品価格表.pdf</t>
        </is>
      </c>
      <c r="K361" t="inlineStr">
        <is>
          <t>https://drive.google.com/file/d/1YUN-mtWYs48YBUHJk0C3vJXnhjyZFHyf/view</t>
        </is>
      </c>
    </row>
    <row r="362">
      <c r="A362" s="42" t="inlineStr">
        <is>
          <t>GLG-SL-V06-001</t>
        </is>
      </c>
      <c r="B362" t="n">
        <v>131</v>
      </c>
      <c r="C362" t="inlineStr">
        <is>
          <t>無印</t>
        </is>
      </c>
      <c r="D362" t="inlineStr">
        <is>
          <t>P131|無印</t>
        </is>
      </c>
      <c r="E362" t="inlineStr">
        <is>
          <t>透明/型</t>
        </is>
      </c>
      <c r="F362" t="inlineStr">
        <is>
          <t>S-3（160）等級</t>
        </is>
      </c>
      <c r="G362" t="inlineStr">
        <is>
          <t>v0.6補完：無印キー生成</t>
        </is>
      </c>
      <c r="H362" t="b">
        <v>1</v>
      </c>
      <c r="I362" t="inlineStr">
        <is>
          <t>価格表は以下の条件で
算出しています。
透明
S-3（160）等級
3-A-3
型
S-3（160）等級
3-A-型4
060
069
074
096
119
［057］
［066］
［071］
[093]
[116]
（2.0尺）
（2.4尺入隅）
（3.0尺）
（4.5尺）
東・204
東・入・204
東
東
654
745
1,015
570
660
710
930
1,165
600
690
740
960
1,195
640
730
780
1,000
1,235
T/G/K/D/W
H
T/G/K/D/W
H
T/G/K/D/W
H
T/G/K/D/W
H
T/G/K/D/W
H
06003 
［05703］
06903 
［06603］
07403 
［07103］
¥45,900
¥50,400
¥54,100
¥59,400
¥54,100
¥59,400
¥61,000
¥65,500
¥69,200
¥74,500
¥69,200
¥74,500
¥61,000
¥65,500
¥69,200
¥74,500
¥69,200
¥74,500
¥64,600
¥69,100
¥72,800
¥78,100
¥72,800
¥78,100
¥64,600
¥69,100
¥72,800
¥78,100
¥72,800
¥78,100
¥6,900
¥6,900
¥7,200
¥7,200
¥7,200
¥7,200
06005 
［05705］
06905 
［06605］
07405 
［07105］
¥51,100
¥56,200
¥60,400
¥66,400
¥60,400
¥66,400
¥66,200
¥71,300
¥75,700
¥81,700
¥76,300
¥82,300
¥66,200
¥71,300
¥75,700
¥81,700
¥76,300
¥82,300
¥69,800
¥74,900
¥79,500
¥85,500
¥80,300
¥86,300
¥69,800
¥74,900
¥79,500
¥85,500
¥80,300
¥86,300
¥7,500
¥7,500
¥7,900
¥7,900
¥7,900
¥7,900</t>
        </is>
      </c>
      <c r="J362" t="inlineStr">
        <is>
          <t>202604_LIXIL_サーモスＬ_業務用資料集_完成品価格表.pdf</t>
        </is>
      </c>
      <c r="K362" t="inlineStr">
        <is>
          <t>https://drive.google.com/file/d/1YUN-mtWYs48YBUHJk0C3vJXnhjyZFHyf/view</t>
        </is>
      </c>
    </row>
    <row r="363">
      <c r="A363" s="42" t="inlineStr">
        <is>
          <t>GLG-SL-V06-002</t>
        </is>
      </c>
      <c r="B363" t="n">
        <v>188</v>
      </c>
      <c r="C363" t="inlineStr">
        <is>
          <t>直接注記</t>
        </is>
      </c>
      <c r="D363" t="inlineStr">
        <is>
          <t>P188|DIRECT-16503</t>
        </is>
      </c>
      <c r="E363" t="inlineStr">
        <is>
          <t>透明</t>
        </is>
      </c>
      <c r="F363" t="inlineStr">
        <is>
          <t>16503のみ3-A-3</t>
        </is>
      </c>
      <c r="G363" t="inlineStr">
        <is>
          <t>v0.6直接注記</t>
        </is>
      </c>
      <c r="H363" t="b">
        <v>1</v>
      </c>
      <c r="I363" t="inlineStr">
        <is>
          <t>16503［16203］サイズの対応可能ガラスは3-A-3のみとなります。</t>
        </is>
      </c>
      <c r="J363" t="inlineStr">
        <is>
          <t>202604_LIXIL_サーモスＬ_業務用資料集_完成品価格表.pdf</t>
        </is>
      </c>
      <c r="K363" t="inlineStr">
        <is>
          <t>https://drive.google.com/file/d/1YUN-mtWYs48YBUHJk0C3vJXnhjyZFHyf/view</t>
        </is>
      </c>
    </row>
    <row r="364">
      <c r="A364" s="42" t="n"/>
    </row>
    <row r="365">
      <c r="A365" s="42" t="n"/>
    </row>
    <row r="366">
      <c r="A366" s="42" t="n"/>
    </row>
    <row r="367">
      <c r="A367" s="42" t="n"/>
    </row>
    <row r="368">
      <c r="A368" s="42" t="n"/>
    </row>
    <row r="369">
      <c r="A369" s="42" t="n"/>
    </row>
    <row r="370">
      <c r="A370" s="42" t="n"/>
    </row>
    <row r="371">
      <c r="A371" s="42" t="n"/>
    </row>
    <row r="372">
      <c r="A372" s="42" t="n"/>
    </row>
    <row r="373">
      <c r="A373" s="42" t="n"/>
    </row>
    <row r="374">
      <c r="A374" s="42" t="n"/>
    </row>
    <row r="375">
      <c r="A375" s="42" t="n"/>
    </row>
    <row r="376">
      <c r="A376" s="42" t="n"/>
    </row>
    <row r="377">
      <c r="A377" s="42" t="n"/>
    </row>
    <row r="378">
      <c r="A378" s="42" t="n"/>
    </row>
    <row r="379">
      <c r="A379" s="42" t="n"/>
    </row>
    <row r="380">
      <c r="A380" s="42" t="n"/>
    </row>
    <row r="381">
      <c r="A381" s="42" t="n"/>
    </row>
    <row r="382">
      <c r="A382" s="42" t="n"/>
    </row>
    <row r="383">
      <c r="A383" s="42" t="n"/>
    </row>
    <row r="384">
      <c r="A384" s="42" t="n"/>
    </row>
    <row r="385">
      <c r="A385" s="42" t="n"/>
    </row>
    <row r="386">
      <c r="A386" s="42" t="n"/>
    </row>
    <row r="387">
      <c r="A387" s="42" t="n"/>
    </row>
    <row r="388">
      <c r="A388" s="42" t="n"/>
    </row>
    <row r="389">
      <c r="A389" s="42" t="n"/>
    </row>
    <row r="390">
      <c r="A390" s="42" t="n"/>
    </row>
    <row r="391">
      <c r="A391" s="42" t="n"/>
    </row>
    <row r="392">
      <c r="A392" s="42" t="n"/>
    </row>
    <row r="393">
      <c r="A393" s="42" t="n"/>
    </row>
    <row r="394">
      <c r="A394" s="42" t="n"/>
    </row>
    <row r="395">
      <c r="A395" s="42" t="n"/>
    </row>
    <row r="396">
      <c r="A396" s="42" t="n"/>
    </row>
    <row r="397">
      <c r="A397" s="42" t="n"/>
    </row>
    <row r="398">
      <c r="A398" s="42" t="n"/>
    </row>
    <row r="399">
      <c r="A399" s="42" t="n"/>
    </row>
    <row r="400">
      <c r="A400" s="42" t="n"/>
    </row>
    <row r="401">
      <c r="A401" s="42" t="n"/>
    </row>
    <row r="402">
      <c r="A402" s="42" t="n"/>
    </row>
    <row r="403">
      <c r="A403" s="42" t="n"/>
    </row>
    <row r="404">
      <c r="A404" s="42" t="n"/>
    </row>
    <row r="405">
      <c r="A405" s="42" t="n"/>
    </row>
    <row r="406">
      <c r="A406" s="42" t="n"/>
    </row>
    <row r="407">
      <c r="A407" s="42" t="n"/>
    </row>
    <row r="408">
      <c r="A408" s="42" t="n"/>
    </row>
    <row r="409">
      <c r="A409" s="42" t="n"/>
    </row>
    <row r="410">
      <c r="A410" s="42" t="n"/>
    </row>
    <row r="411">
      <c r="A411" s="42" t="n"/>
    </row>
    <row r="412">
      <c r="A412" s="42" t="n"/>
    </row>
    <row r="413">
      <c r="A413" s="42" t="n"/>
    </row>
    <row r="414">
      <c r="A414" s="42" t="n"/>
    </row>
    <row r="415">
      <c r="A415" s="42" t="n"/>
    </row>
    <row r="416">
      <c r="A416" s="42" t="n"/>
    </row>
    <row r="417">
      <c r="A417" s="42" t="n"/>
    </row>
    <row r="418">
      <c r="A418" s="42" t="n"/>
    </row>
    <row r="419">
      <c r="A419" s="42" t="n"/>
    </row>
    <row r="420">
      <c r="A420" s="42" t="n"/>
    </row>
    <row r="421">
      <c r="A421" s="42" t="n"/>
    </row>
    <row r="422">
      <c r="A422" s="42" t="n"/>
    </row>
    <row r="423">
      <c r="A423" s="42" t="n"/>
    </row>
    <row r="424">
      <c r="A424" s="42" t="n"/>
    </row>
    <row r="425">
      <c r="A425" s="42" t="n"/>
    </row>
    <row r="426">
      <c r="A426" s="42" t="n"/>
    </row>
    <row r="427">
      <c r="A427" s="42" t="n"/>
    </row>
    <row r="428">
      <c r="A428" s="42" t="n"/>
    </row>
    <row r="429">
      <c r="A429" s="42" t="n"/>
    </row>
    <row r="430">
      <c r="A430" s="42" t="n"/>
    </row>
    <row r="431">
      <c r="A431" s="42" t="n"/>
    </row>
    <row r="432">
      <c r="A432" s="42" t="n"/>
    </row>
    <row r="433">
      <c r="A433" s="42" t="n"/>
    </row>
    <row r="434">
      <c r="A434" s="42" t="n"/>
    </row>
    <row r="435">
      <c r="A435" s="42" t="n"/>
    </row>
    <row r="436">
      <c r="A436" s="42" t="n"/>
    </row>
    <row r="437">
      <c r="A437" s="42" t="n"/>
    </row>
    <row r="438">
      <c r="A438" s="42" t="n"/>
    </row>
    <row r="439">
      <c r="A439" s="42" t="n"/>
    </row>
    <row r="440">
      <c r="A440" s="42" t="n"/>
    </row>
    <row r="441">
      <c r="A441" s="42" t="n"/>
    </row>
    <row r="442">
      <c r="A442" s="42" t="n"/>
    </row>
    <row r="443">
      <c r="A443" s="42" t="n"/>
    </row>
    <row r="444">
      <c r="A444" s="42" t="n"/>
    </row>
    <row r="445">
      <c r="A445" s="42" t="n"/>
    </row>
    <row r="446">
      <c r="A446" s="42" t="n"/>
    </row>
    <row r="447">
      <c r="A447" s="42" t="n"/>
    </row>
    <row r="448">
      <c r="A448" s="42" t="n"/>
    </row>
    <row r="449">
      <c r="A449" s="42" t="n"/>
    </row>
    <row r="450">
      <c r="A450" s="42" t="n"/>
    </row>
    <row r="451">
      <c r="A451" s="42" t="n"/>
    </row>
    <row r="452">
      <c r="A452" s="42" t="n"/>
    </row>
    <row r="453">
      <c r="A453" s="42" t="n"/>
    </row>
    <row r="454">
      <c r="A454" s="42" t="n"/>
    </row>
    <row r="455">
      <c r="A455" s="42" t="n"/>
    </row>
    <row r="456">
      <c r="A456" s="42" t="n"/>
    </row>
    <row r="457">
      <c r="A457" s="42" t="n"/>
    </row>
    <row r="458">
      <c r="A458" s="42" t="n"/>
    </row>
    <row r="459">
      <c r="A459" s="42" t="n"/>
    </row>
    <row r="460">
      <c r="A460" s="42" t="n"/>
    </row>
    <row r="461">
      <c r="A461" s="42" t="n"/>
    </row>
    <row r="462">
      <c r="A462" s="42" t="n"/>
    </row>
    <row r="463">
      <c r="A463" s="42" t="n"/>
    </row>
    <row r="464">
      <c r="A464" s="42" t="n"/>
    </row>
    <row r="465">
      <c r="A465" s="42" t="n"/>
    </row>
    <row r="466">
      <c r="A466" s="42" t="n"/>
    </row>
    <row r="467">
      <c r="A467" s="42" t="n"/>
    </row>
    <row r="468">
      <c r="A468" s="42" t="n"/>
    </row>
    <row r="469">
      <c r="A469" s="42" t="n"/>
    </row>
    <row r="470">
      <c r="A470" s="42" t="n"/>
    </row>
    <row r="471">
      <c r="A471" s="42" t="n"/>
    </row>
    <row r="472">
      <c r="A472" s="42" t="n"/>
    </row>
    <row r="473">
      <c r="A473" s="42" t="n"/>
    </row>
    <row r="474">
      <c r="A474" s="42" t="n"/>
    </row>
    <row r="475">
      <c r="A475" s="42" t="n"/>
    </row>
    <row r="476">
      <c r="A476" s="42" t="n"/>
    </row>
    <row r="477">
      <c r="A477" s="42" t="n"/>
    </row>
    <row r="478">
      <c r="A478" s="42" t="n"/>
    </row>
    <row r="479">
      <c r="A479" s="42" t="n"/>
    </row>
    <row r="480">
      <c r="A480" s="42" t="n"/>
    </row>
    <row r="481">
      <c r="A481" s="42" t="n"/>
    </row>
    <row r="482">
      <c r="A482" s="42" t="n"/>
    </row>
    <row r="483">
      <c r="A483" s="42" t="n"/>
    </row>
    <row r="484">
      <c r="A484" s="42" t="n"/>
    </row>
    <row r="485">
      <c r="A485" s="42" t="n"/>
    </row>
    <row r="486">
      <c r="A486" s="42" t="n"/>
    </row>
    <row r="487">
      <c r="A487" s="42" t="n"/>
    </row>
    <row r="488">
      <c r="A488" s="42" t="n"/>
    </row>
    <row r="489">
      <c r="A489" s="42" t="n"/>
    </row>
    <row r="490">
      <c r="A490" s="42" t="n"/>
    </row>
    <row r="491">
      <c r="A491" s="42" t="n"/>
    </row>
    <row r="492">
      <c r="A492" s="42" t="n"/>
    </row>
    <row r="493">
      <c r="A493" s="42" t="n"/>
    </row>
    <row r="494">
      <c r="A494" s="42" t="n"/>
    </row>
    <row r="495">
      <c r="A495" s="42" t="n"/>
    </row>
    <row r="496">
      <c r="A496" s="42" t="n"/>
    </row>
    <row r="497">
      <c r="A497" s="42" t="n"/>
    </row>
    <row r="498">
      <c r="A498" s="42" t="n"/>
    </row>
    <row r="499">
      <c r="A499" s="42" t="n"/>
    </row>
    <row r="500">
      <c r="A500" s="42" t="n"/>
    </row>
    <row r="501">
      <c r="A501" s="42" t="n"/>
    </row>
    <row r="502">
      <c r="A502" s="42" t="n"/>
    </row>
    <row r="503">
      <c r="A503" s="42" t="n"/>
    </row>
    <row r="504">
      <c r="A504" s="42" t="n"/>
    </row>
    <row r="505">
      <c r="A505" s="42" t="n"/>
    </row>
    <row r="506">
      <c r="A506" s="42" t="n"/>
    </row>
    <row r="507">
      <c r="A507" s="42" t="n"/>
    </row>
    <row r="508">
      <c r="A508" s="42" t="n"/>
    </row>
    <row r="509">
      <c r="A509" s="42" t="n"/>
    </row>
    <row r="510">
      <c r="A510" s="42" t="n"/>
    </row>
    <row r="511">
      <c r="A511" s="42" t="n"/>
    </row>
    <row r="512">
      <c r="A512" s="42" t="n"/>
    </row>
    <row r="513">
      <c r="A513" s="42" t="n"/>
    </row>
    <row r="514">
      <c r="A514" s="42" t="n"/>
    </row>
    <row r="515">
      <c r="A515" s="42" t="n"/>
    </row>
    <row r="516">
      <c r="A516" s="42" t="n"/>
    </row>
    <row r="517">
      <c r="A517" s="42" t="n"/>
    </row>
    <row r="518">
      <c r="A518" s="42" t="n"/>
    </row>
    <row r="519">
      <c r="A519" s="42" t="n"/>
    </row>
    <row r="520">
      <c r="A520" s="42" t="n"/>
    </row>
    <row r="521">
      <c r="A521" s="42" t="n"/>
    </row>
    <row r="522">
      <c r="A522" s="42" t="n"/>
    </row>
    <row r="523">
      <c r="A523" s="42" t="n"/>
    </row>
    <row r="524">
      <c r="A524" s="42" t="n"/>
    </row>
    <row r="525">
      <c r="A525" s="42" t="n"/>
    </row>
    <row r="526">
      <c r="A526" s="42" t="n"/>
    </row>
    <row r="527">
      <c r="A527" s="42" t="n"/>
    </row>
    <row r="528">
      <c r="A528" s="42" t="n"/>
    </row>
    <row r="529">
      <c r="A529" s="42" t="n"/>
    </row>
    <row r="530">
      <c r="A530" s="42" t="n"/>
    </row>
    <row r="531">
      <c r="A531" s="42" t="n"/>
    </row>
    <row r="532">
      <c r="A532" s="42" t="n"/>
    </row>
    <row r="533">
      <c r="A533" s="42" t="n"/>
    </row>
    <row r="534">
      <c r="A534" s="42" t="n"/>
    </row>
    <row r="535">
      <c r="A535" s="42" t="n"/>
    </row>
    <row r="536">
      <c r="A536" s="42" t="n"/>
    </row>
    <row r="537">
      <c r="A537" s="42" t="n"/>
    </row>
    <row r="538">
      <c r="A538" s="42" t="n"/>
    </row>
    <row r="539">
      <c r="A539" s="42" t="n"/>
    </row>
    <row r="540">
      <c r="A540" s="42" t="n"/>
    </row>
    <row r="541">
      <c r="A541" s="42" t="n"/>
    </row>
    <row r="542">
      <c r="A542" s="42" t="n"/>
    </row>
    <row r="543">
      <c r="A543" s="42" t="n"/>
    </row>
    <row r="544">
      <c r="A544" s="42" t="n"/>
    </row>
    <row r="545">
      <c r="A545" s="42" t="n"/>
    </row>
    <row r="546">
      <c r="A546" s="42" t="n"/>
    </row>
    <row r="547">
      <c r="A547" s="42" t="n"/>
    </row>
    <row r="548">
      <c r="A548" s="42" t="n"/>
    </row>
    <row r="549">
      <c r="A549" s="42" t="n"/>
    </row>
    <row r="550">
      <c r="A550" s="42" t="n"/>
    </row>
    <row r="551">
      <c r="A551" s="42" t="n"/>
    </row>
    <row r="552">
      <c r="A552" s="42" t="n"/>
    </row>
    <row r="553">
      <c r="A553" s="42" t="n"/>
    </row>
    <row r="554">
      <c r="A554" s="42" t="n"/>
    </row>
    <row r="555">
      <c r="A555" s="42" t="n"/>
    </row>
    <row r="556">
      <c r="A556" s="42" t="n"/>
    </row>
    <row r="557">
      <c r="A557" s="42" t="n"/>
    </row>
    <row r="558">
      <c r="A558" s="42" t="n"/>
    </row>
    <row r="559">
      <c r="A559" s="42" t="n"/>
    </row>
    <row r="560">
      <c r="A560" s="42" t="n"/>
    </row>
    <row r="561">
      <c r="A561" s="42" t="n"/>
    </row>
    <row r="562">
      <c r="A562" s="42" t="n"/>
    </row>
    <row r="563">
      <c r="A563" s="42" t="n"/>
    </row>
    <row r="564">
      <c r="A564" s="42" t="n"/>
    </row>
    <row r="565">
      <c r="A565" s="42" t="n"/>
    </row>
    <row r="566">
      <c r="A566" s="42" t="n"/>
    </row>
    <row r="567">
      <c r="A567" s="42" t="n"/>
    </row>
    <row r="568">
      <c r="A568" s="42" t="n"/>
    </row>
    <row r="569">
      <c r="A569" s="42" t="n"/>
    </row>
    <row r="570">
      <c r="A570" s="42" t="n"/>
    </row>
    <row r="571">
      <c r="A571" s="42" t="n"/>
    </row>
    <row r="572">
      <c r="A572" s="42" t="n"/>
    </row>
    <row r="573">
      <c r="A573" s="42" t="n"/>
    </row>
    <row r="574">
      <c r="A574" s="42" t="n"/>
    </row>
    <row r="575">
      <c r="A575" s="42" t="n"/>
    </row>
    <row r="576">
      <c r="A576" s="42" t="n"/>
    </row>
    <row r="577">
      <c r="A577" s="42" t="n"/>
    </row>
    <row r="578">
      <c r="A578" s="42" t="n"/>
    </row>
    <row r="579">
      <c r="A579" s="42" t="n"/>
    </row>
    <row r="580">
      <c r="A580" s="42" t="n"/>
    </row>
    <row r="581">
      <c r="A581" s="42" t="n"/>
    </row>
    <row r="582">
      <c r="A582" s="42" t="n"/>
    </row>
    <row r="583">
      <c r="A583" s="42" t="n"/>
    </row>
    <row r="584">
      <c r="A584" s="42" t="n"/>
    </row>
    <row r="585">
      <c r="A585" s="42" t="n"/>
    </row>
    <row r="586">
      <c r="A586" s="42" t="n"/>
    </row>
    <row r="587">
      <c r="A587" s="42" t="n"/>
    </row>
    <row r="588">
      <c r="A588" s="42" t="n"/>
    </row>
    <row r="589">
      <c r="A589" s="42" t="n"/>
    </row>
    <row r="590">
      <c r="A590" s="42" t="n"/>
    </row>
    <row r="591">
      <c r="A591" s="42" t="n"/>
    </row>
    <row r="592">
      <c r="A592" s="42" t="n"/>
    </row>
    <row r="593">
      <c r="A593" s="42" t="n"/>
    </row>
    <row r="594">
      <c r="A594" s="42" t="n"/>
    </row>
    <row r="595">
      <c r="A595" s="42" t="n"/>
    </row>
    <row r="596">
      <c r="A596" s="42" t="n"/>
    </row>
    <row r="597">
      <c r="A597" s="42" t="n"/>
    </row>
    <row r="598">
      <c r="A598" s="42" t="n"/>
    </row>
    <row r="599">
      <c r="A599" s="42" t="n"/>
    </row>
    <row r="600">
      <c r="A600" s="42" t="n"/>
    </row>
    <row r="601">
      <c r="A601" s="42" t="n"/>
    </row>
    <row r="602">
      <c r="A602" s="42" t="n"/>
    </row>
    <row r="603">
      <c r="A603" s="42" t="n"/>
    </row>
    <row r="604">
      <c r="A604" s="42" t="n"/>
    </row>
    <row r="605">
      <c r="A605" s="42" t="n"/>
    </row>
    <row r="606">
      <c r="A606" s="42" t="n"/>
    </row>
    <row r="607">
      <c r="A607" s="42" t="n"/>
    </row>
    <row r="608">
      <c r="A608" s="42" t="n"/>
    </row>
    <row r="609">
      <c r="A609" s="42" t="n"/>
    </row>
    <row r="610">
      <c r="A610" s="42" t="n"/>
    </row>
    <row r="611">
      <c r="A611" s="42" t="n"/>
    </row>
    <row r="612">
      <c r="A612" s="42" t="n"/>
    </row>
    <row r="613">
      <c r="A613" s="42" t="n"/>
    </row>
    <row r="614">
      <c r="A614" s="42" t="n"/>
    </row>
    <row r="615">
      <c r="A615" s="42" t="n"/>
    </row>
    <row r="616">
      <c r="A616" s="42" t="n"/>
    </row>
    <row r="617">
      <c r="A617" s="42" t="n"/>
    </row>
    <row r="618">
      <c r="A618" s="42" t="n"/>
    </row>
    <row r="619">
      <c r="A619" s="42" t="n"/>
    </row>
    <row r="620">
      <c r="A620" s="42" t="n"/>
    </row>
    <row r="621">
      <c r="A621" s="42" t="n"/>
    </row>
    <row r="622">
      <c r="A622" s="42" t="n"/>
    </row>
    <row r="623">
      <c r="A623" s="42" t="n"/>
    </row>
    <row r="624">
      <c r="A624" s="42" t="n"/>
    </row>
    <row r="625">
      <c r="A625" s="42" t="n"/>
    </row>
    <row r="626">
      <c r="A626" s="42" t="n"/>
    </row>
    <row r="627">
      <c r="A627" s="42" t="n"/>
    </row>
    <row r="628">
      <c r="A628" s="42" t="n"/>
    </row>
    <row r="629">
      <c r="A629" s="42" t="n"/>
    </row>
    <row r="630">
      <c r="A630" s="42" t="n"/>
    </row>
    <row r="631">
      <c r="A631" s="42" t="n"/>
    </row>
    <row r="632">
      <c r="A632" s="42" t="n"/>
    </row>
    <row r="633">
      <c r="A633" s="42" t="n"/>
    </row>
    <row r="634">
      <c r="A634" s="42" t="n"/>
    </row>
    <row r="635">
      <c r="A635" s="42" t="n"/>
    </row>
    <row r="636">
      <c r="A636" s="42" t="n"/>
    </row>
    <row r="637">
      <c r="A637" s="42" t="n"/>
    </row>
    <row r="638">
      <c r="A638" s="42" t="n"/>
    </row>
    <row r="639">
      <c r="A639" s="42" t="n"/>
    </row>
    <row r="640">
      <c r="A640" s="42" t="n"/>
    </row>
    <row r="641">
      <c r="A641" s="42" t="n"/>
    </row>
    <row r="642">
      <c r="A642" s="42" t="n"/>
    </row>
    <row r="643">
      <c r="A643" s="42" t="n"/>
    </row>
    <row r="644">
      <c r="A644" s="42" t="n"/>
    </row>
    <row r="645">
      <c r="A645" s="42" t="n"/>
    </row>
    <row r="646">
      <c r="A646" s="42" t="n"/>
    </row>
    <row r="647">
      <c r="A647" s="42" t="n"/>
    </row>
    <row r="648">
      <c r="A648" s="42" t="n"/>
    </row>
    <row r="649">
      <c r="A649" s="42" t="n"/>
    </row>
    <row r="650">
      <c r="A650" s="42" t="n"/>
    </row>
    <row r="651">
      <c r="A651" s="42" t="n"/>
    </row>
    <row r="652">
      <c r="A652" s="42" t="n"/>
    </row>
    <row r="653">
      <c r="A653" s="42" t="n"/>
    </row>
    <row r="654">
      <c r="A654" s="42" t="n"/>
    </row>
    <row r="655">
      <c r="A655" s="42" t="n"/>
    </row>
    <row r="656">
      <c r="A656" s="42" t="n"/>
    </row>
    <row r="657">
      <c r="A657" s="42" t="n"/>
    </row>
    <row r="658">
      <c r="A658" s="42" t="n"/>
    </row>
    <row r="659">
      <c r="A659" s="42" t="n"/>
    </row>
    <row r="660">
      <c r="A660" s="42" t="n"/>
    </row>
    <row r="661">
      <c r="A661" s="42" t="n"/>
    </row>
    <row r="662">
      <c r="A662" s="42" t="n"/>
    </row>
    <row r="663">
      <c r="A663" s="42" t="n"/>
    </row>
    <row r="664">
      <c r="A664" s="42" t="n"/>
    </row>
    <row r="665">
      <c r="A665" s="42" t="n"/>
    </row>
    <row r="666">
      <c r="A666" s="42" t="n"/>
    </row>
    <row r="667">
      <c r="A667" s="42" t="n"/>
    </row>
    <row r="668">
      <c r="A668" s="42" t="n"/>
    </row>
    <row r="669">
      <c r="A669" s="42" t="n"/>
    </row>
    <row r="670">
      <c r="A670" s="42" t="n"/>
    </row>
    <row r="671">
      <c r="A671" s="42" t="n"/>
    </row>
    <row r="672">
      <c r="A672" s="42" t="n"/>
    </row>
    <row r="673">
      <c r="A673" s="42" t="n"/>
    </row>
    <row r="674">
      <c r="A674" s="42" t="n"/>
    </row>
    <row r="675">
      <c r="A675" s="42" t="n"/>
    </row>
    <row r="676">
      <c r="A676" s="42" t="n"/>
    </row>
    <row r="677">
      <c r="A677" s="42" t="n"/>
    </row>
    <row r="678">
      <c r="A678" s="42" t="n"/>
    </row>
    <row r="679">
      <c r="A679" s="42" t="n"/>
    </row>
    <row r="680">
      <c r="A680" s="42" t="n"/>
    </row>
    <row r="681">
      <c r="A681" s="42" t="n"/>
    </row>
    <row r="682">
      <c r="A682" s="42" t="n"/>
    </row>
    <row r="683">
      <c r="A683" s="42" t="n"/>
    </row>
    <row r="684">
      <c r="A684" s="42" t="n"/>
    </row>
    <row r="685">
      <c r="A685" s="42" t="n"/>
    </row>
    <row r="686">
      <c r="A686" s="42" t="n"/>
    </row>
    <row r="687">
      <c r="A687" s="42" t="n"/>
    </row>
    <row r="688">
      <c r="A688" s="42" t="n"/>
    </row>
    <row r="689">
      <c r="A689" s="42" t="n"/>
    </row>
    <row r="690">
      <c r="A690" s="42" t="n"/>
    </row>
    <row r="691">
      <c r="A691" s="42" t="n"/>
    </row>
    <row r="692">
      <c r="A692" s="42" t="n"/>
    </row>
    <row r="693">
      <c r="A693" s="42" t="n"/>
    </row>
    <row r="694">
      <c r="A694" s="42" t="n"/>
    </row>
    <row r="695">
      <c r="A695" s="42" t="n"/>
    </row>
    <row r="696">
      <c r="A696" s="42" t="n"/>
    </row>
    <row r="697">
      <c r="A697" s="42" t="n"/>
    </row>
    <row r="698">
      <c r="A698" s="42" t="n"/>
    </row>
    <row r="699">
      <c r="A699" s="42" t="n"/>
    </row>
    <row r="700">
      <c r="A700" s="42" t="n"/>
    </row>
    <row r="701">
      <c r="A701" s="42" t="n"/>
    </row>
    <row r="702">
      <c r="A702" s="42" t="n"/>
    </row>
    <row r="703">
      <c r="A703" s="42" t="n"/>
    </row>
    <row r="704">
      <c r="A704" s="42" t="n"/>
    </row>
    <row r="705">
      <c r="A705" s="42" t="n"/>
    </row>
    <row r="706">
      <c r="A706" s="42" t="n"/>
    </row>
    <row r="707">
      <c r="A707" s="42" t="n"/>
    </row>
    <row r="708">
      <c r="A708" s="42" t="n"/>
    </row>
    <row r="709">
      <c r="A709" s="42" t="n"/>
    </row>
    <row r="710">
      <c r="A710" s="42" t="n"/>
    </row>
    <row r="711">
      <c r="A711" s="42" t="n"/>
    </row>
    <row r="712">
      <c r="A712" s="42" t="n"/>
    </row>
    <row r="713">
      <c r="A713" s="42" t="n"/>
    </row>
    <row r="714">
      <c r="A714" s="42" t="n"/>
    </row>
    <row r="715">
      <c r="A715" s="42" t="n"/>
    </row>
    <row r="716">
      <c r="A716" s="42" t="n"/>
    </row>
    <row r="717">
      <c r="A717" s="42" t="n"/>
    </row>
    <row r="718">
      <c r="A718" s="42" t="n"/>
    </row>
    <row r="719">
      <c r="A719" s="42" t="n"/>
    </row>
    <row r="720">
      <c r="A720" s="42" t="n"/>
    </row>
    <row r="721">
      <c r="A721" s="42" t="n"/>
    </row>
    <row r="722">
      <c r="A722" s="42" t="n"/>
    </row>
    <row r="723">
      <c r="A723" s="42" t="n"/>
    </row>
    <row r="724">
      <c r="A724" s="42" t="n"/>
    </row>
    <row r="725">
      <c r="A725" s="42" t="n"/>
    </row>
    <row r="726">
      <c r="A726" s="42" t="n"/>
    </row>
    <row r="727">
      <c r="A727" s="42" t="n"/>
    </row>
    <row r="728">
      <c r="A728" s="42" t="n"/>
    </row>
    <row r="729">
      <c r="A729" s="42" t="n"/>
    </row>
    <row r="730">
      <c r="A730" s="42" t="n"/>
    </row>
    <row r="731">
      <c r="A731" s="42" t="n"/>
    </row>
    <row r="732">
      <c r="A732" s="42" t="n"/>
    </row>
    <row r="733">
      <c r="A733" s="42" t="n"/>
    </row>
    <row r="734">
      <c r="A734" s="42" t="n"/>
    </row>
    <row r="735">
      <c r="A735" s="42" t="n"/>
    </row>
    <row r="736">
      <c r="A736" s="42" t="n"/>
    </row>
    <row r="737">
      <c r="A737" s="42" t="n"/>
    </row>
    <row r="738">
      <c r="A738" s="42" t="n"/>
    </row>
    <row r="739">
      <c r="A739" s="42" t="n"/>
    </row>
    <row r="740">
      <c r="A740" s="42" t="n"/>
    </row>
    <row r="741">
      <c r="A741" s="42" t="n"/>
    </row>
    <row r="742">
      <c r="A742" s="42" t="n"/>
    </row>
    <row r="743">
      <c r="A743" s="42" t="n"/>
    </row>
    <row r="744">
      <c r="A744" s="42" t="n"/>
    </row>
    <row r="745">
      <c r="A745" s="42" t="n"/>
    </row>
    <row r="746">
      <c r="A746" s="42" t="n"/>
    </row>
    <row r="747">
      <c r="A747" s="42" t="n"/>
    </row>
    <row r="748">
      <c r="A748" s="42" t="n"/>
    </row>
    <row r="749">
      <c r="A749" s="42" t="n"/>
    </row>
    <row r="750">
      <c r="A750" s="42" t="n"/>
    </row>
    <row r="751">
      <c r="A751" s="42" t="n"/>
    </row>
    <row r="752">
      <c r="A752" s="42" t="n"/>
    </row>
    <row r="753">
      <c r="A753" s="42" t="n"/>
    </row>
    <row r="754">
      <c r="A754" s="42" t="n"/>
    </row>
    <row r="755">
      <c r="A755" s="42" t="n"/>
    </row>
    <row r="756">
      <c r="A756" s="42" t="n"/>
    </row>
    <row r="757">
      <c r="A757" s="42" t="n"/>
    </row>
    <row r="758">
      <c r="A758" s="42" t="n"/>
    </row>
    <row r="759">
      <c r="A759" s="42" t="n"/>
    </row>
    <row r="760">
      <c r="A760" s="42" t="n"/>
    </row>
    <row r="761">
      <c r="A761" s="42" t="n"/>
    </row>
    <row r="762">
      <c r="A762" s="42" t="n"/>
    </row>
    <row r="763">
      <c r="A763" s="42" t="n"/>
    </row>
    <row r="764">
      <c r="A764" s="42" t="n"/>
    </row>
    <row r="765">
      <c r="A765" s="42" t="n"/>
    </row>
    <row r="766">
      <c r="A766" s="42" t="n"/>
    </row>
    <row r="767">
      <c r="A767" s="42" t="n"/>
    </row>
    <row r="768">
      <c r="A768" s="42" t="n"/>
    </row>
    <row r="769">
      <c r="A769" s="42" t="n"/>
    </row>
    <row r="770">
      <c r="A770" s="42" t="n"/>
    </row>
    <row r="771">
      <c r="A771" s="42" t="n"/>
    </row>
    <row r="772">
      <c r="A772" s="42" t="n"/>
    </row>
    <row r="773">
      <c r="A773" s="42" t="n"/>
    </row>
    <row r="774">
      <c r="A774" s="42" t="n"/>
    </row>
    <row r="775">
      <c r="A775" s="42" t="n"/>
    </row>
    <row r="776">
      <c r="A776" s="42" t="n"/>
    </row>
    <row r="777">
      <c r="A777" s="42" t="n"/>
    </row>
    <row r="778">
      <c r="A778" s="42" t="n"/>
    </row>
    <row r="779">
      <c r="A779" s="42" t="n"/>
    </row>
    <row r="780">
      <c r="A780" s="42" t="n"/>
    </row>
    <row r="781">
      <c r="A781" s="42" t="n"/>
    </row>
    <row r="782">
      <c r="A782" s="42" t="n"/>
    </row>
    <row r="783">
      <c r="A783" s="42" t="n"/>
    </row>
    <row r="784">
      <c r="A784" s="42" t="n"/>
    </row>
    <row r="785">
      <c r="A785" s="42" t="n"/>
    </row>
    <row r="786">
      <c r="A786" s="42" t="n"/>
    </row>
    <row r="787">
      <c r="A787" s="42" t="n"/>
    </row>
    <row r="788">
      <c r="A788" s="42" t="n"/>
    </row>
    <row r="789">
      <c r="A789" s="42" t="n"/>
    </row>
    <row r="790">
      <c r="A790" s="42" t="n"/>
    </row>
    <row r="791">
      <c r="A791" s="42" t="n"/>
    </row>
    <row r="792">
      <c r="A792" s="42" t="n"/>
    </row>
    <row r="793">
      <c r="A793" s="42" t="n"/>
    </row>
    <row r="794">
      <c r="A794" s="42" t="n"/>
    </row>
    <row r="795">
      <c r="A795" s="42" t="n"/>
    </row>
    <row r="796">
      <c r="A796" s="42" t="n"/>
    </row>
    <row r="797">
      <c r="A797" s="42" t="n"/>
    </row>
    <row r="798">
      <c r="A798" s="42" t="n"/>
    </row>
    <row r="799">
      <c r="A799" s="42" t="n"/>
    </row>
    <row r="800">
      <c r="A800" s="42" t="n"/>
    </row>
    <row r="801">
      <c r="A801" s="42" t="n"/>
    </row>
    <row r="802">
      <c r="A802" s="42" t="n"/>
    </row>
    <row r="803">
      <c r="A803" s="42" t="n"/>
    </row>
    <row r="804">
      <c r="A804" s="42" t="n"/>
    </row>
    <row r="805">
      <c r="A805" s="42" t="n"/>
    </row>
    <row r="806">
      <c r="A806" s="42" t="n"/>
    </row>
    <row r="807">
      <c r="A807" s="42" t="n"/>
    </row>
    <row r="808">
      <c r="A808" s="42" t="n"/>
    </row>
    <row r="809">
      <c r="A809" s="42" t="n"/>
    </row>
    <row r="810">
      <c r="A810" s="42" t="n"/>
    </row>
    <row r="811">
      <c r="A811" s="42" t="n"/>
    </row>
    <row r="812">
      <c r="A812" s="42" t="n"/>
    </row>
    <row r="813">
      <c r="A813" s="42" t="n"/>
    </row>
    <row r="814">
      <c r="A814" s="42" t="n"/>
    </row>
    <row r="815">
      <c r="A815" s="42" t="n"/>
    </row>
    <row r="816">
      <c r="A816" s="42" t="n"/>
    </row>
    <row r="817">
      <c r="A817" s="42" t="n"/>
    </row>
    <row r="818">
      <c r="A818" s="42" t="n"/>
    </row>
    <row r="819">
      <c r="A819" s="42" t="n"/>
    </row>
    <row r="820">
      <c r="A820" s="42" t="n"/>
    </row>
    <row r="821">
      <c r="A821" s="42" t="n"/>
    </row>
    <row r="822">
      <c r="A822" s="42" t="n"/>
    </row>
    <row r="823">
      <c r="A823" s="42" t="n"/>
    </row>
    <row r="824">
      <c r="A824" s="42" t="n"/>
    </row>
    <row r="825">
      <c r="A825" s="42" t="n"/>
    </row>
    <row r="826">
      <c r="A826" s="42" t="n"/>
    </row>
    <row r="827">
      <c r="A827" s="42" t="n"/>
    </row>
    <row r="828">
      <c r="A828" s="42" t="n"/>
    </row>
    <row r="829">
      <c r="A829" s="42" t="n"/>
    </row>
    <row r="830">
      <c r="A830" s="42" t="n"/>
    </row>
    <row r="831">
      <c r="A831" s="42" t="n"/>
    </row>
    <row r="832">
      <c r="A832" s="42" t="n"/>
    </row>
    <row r="833">
      <c r="A833" s="42" t="n"/>
    </row>
    <row r="834">
      <c r="A834" s="42" t="n"/>
    </row>
    <row r="835">
      <c r="A835" s="42" t="n"/>
    </row>
    <row r="836">
      <c r="A836" s="42" t="n"/>
    </row>
    <row r="837">
      <c r="A837" s="42" t="n"/>
    </row>
    <row r="838">
      <c r="A838" s="42" t="n"/>
    </row>
    <row r="839">
      <c r="A839" s="42" t="n"/>
    </row>
    <row r="840">
      <c r="A840" s="42" t="n"/>
    </row>
    <row r="841">
      <c r="A841" s="42" t="n"/>
    </row>
    <row r="842">
      <c r="A842" s="42" t="n"/>
    </row>
    <row r="843">
      <c r="A843" s="42" t="n"/>
    </row>
    <row r="844">
      <c r="A844" s="42" t="n"/>
    </row>
    <row r="845">
      <c r="A845" s="42" t="n"/>
    </row>
    <row r="846">
      <c r="A846" s="42" t="n"/>
    </row>
    <row r="847">
      <c r="A847" s="42" t="n"/>
    </row>
    <row r="848">
      <c r="A848" s="42" t="n"/>
    </row>
    <row r="849">
      <c r="A849" s="42" t="n"/>
    </row>
    <row r="850">
      <c r="A850" s="42" t="n"/>
    </row>
    <row r="851">
      <c r="A851" s="42" t="n"/>
    </row>
    <row r="852">
      <c r="A852" s="42" t="n"/>
    </row>
    <row r="853">
      <c r="A853" s="42" t="n"/>
    </row>
    <row r="854">
      <c r="A854" s="42" t="n"/>
    </row>
    <row r="855">
      <c r="A855" s="42" t="n"/>
    </row>
    <row r="856">
      <c r="A856" s="42" t="n"/>
    </row>
    <row r="857">
      <c r="A857" s="42" t="n"/>
    </row>
    <row r="858">
      <c r="A858" s="42" t="n"/>
    </row>
    <row r="859">
      <c r="A859" s="42" t="n"/>
    </row>
    <row r="860">
      <c r="A860" s="42" t="n"/>
    </row>
    <row r="861">
      <c r="A861" s="42" t="n"/>
    </row>
    <row r="862">
      <c r="A862" s="42" t="n"/>
    </row>
    <row r="863">
      <c r="A863" s="42" t="n"/>
    </row>
    <row r="864">
      <c r="A864" s="42" t="n"/>
    </row>
    <row r="865">
      <c r="A865" s="42" t="n"/>
    </row>
    <row r="866">
      <c r="A866" s="42" t="n"/>
    </row>
    <row r="867">
      <c r="A867" s="42" t="n"/>
    </row>
    <row r="868">
      <c r="A868" s="42" t="n"/>
    </row>
    <row r="869">
      <c r="A869" s="42" t="n"/>
    </row>
    <row r="870">
      <c r="A870" s="42" t="n"/>
    </row>
    <row r="871">
      <c r="A871" s="42" t="n"/>
    </row>
    <row r="872">
      <c r="A872" s="42" t="n"/>
    </row>
    <row r="873">
      <c r="A873" s="42" t="n"/>
    </row>
    <row r="874">
      <c r="A874" s="42" t="n"/>
    </row>
    <row r="875">
      <c r="A875" s="42" t="n"/>
    </row>
    <row r="876">
      <c r="A876" s="42" t="n"/>
    </row>
    <row r="877">
      <c r="A877" s="42" t="n"/>
    </row>
    <row r="878">
      <c r="A878" s="42" t="n"/>
    </row>
    <row r="879">
      <c r="A879" s="42" t="n"/>
    </row>
    <row r="880">
      <c r="A880" s="42" t="n"/>
    </row>
    <row r="881">
      <c r="A881" s="42" t="n"/>
    </row>
    <row r="882">
      <c r="A882" s="42" t="n"/>
    </row>
    <row r="883">
      <c r="A883" s="42" t="n"/>
    </row>
    <row r="884">
      <c r="A884" s="42" t="n"/>
    </row>
    <row r="885">
      <c r="A885" s="42" t="n"/>
    </row>
    <row r="886">
      <c r="A886" s="42" t="n"/>
    </row>
    <row r="887">
      <c r="A887" s="42" t="n"/>
    </row>
    <row r="888">
      <c r="A888" s="42" t="n"/>
    </row>
    <row r="889">
      <c r="A889" s="42" t="n"/>
    </row>
    <row r="890">
      <c r="A890" s="42" t="n"/>
    </row>
    <row r="891">
      <c r="A891" s="42" t="n"/>
    </row>
    <row r="892">
      <c r="A892" s="42" t="n"/>
    </row>
    <row r="893">
      <c r="A893" s="42" t="n"/>
    </row>
    <row r="894">
      <c r="A894" s="42" t="n"/>
    </row>
    <row r="895">
      <c r="A895" s="42" t="n"/>
    </row>
    <row r="896">
      <c r="A896" s="42" t="n"/>
    </row>
    <row r="897">
      <c r="A897" s="42" t="n"/>
    </row>
    <row r="898">
      <c r="A898" s="42" t="n"/>
    </row>
    <row r="899">
      <c r="A899" s="42" t="n"/>
    </row>
    <row r="900">
      <c r="A900" s="42" t="n"/>
    </row>
    <row r="901">
      <c r="A901" s="42" t="n"/>
    </row>
    <row r="902">
      <c r="A902" s="42" t="n"/>
    </row>
    <row r="903">
      <c r="A903" s="42" t="n"/>
    </row>
    <row r="904">
      <c r="A904" s="42" t="n"/>
    </row>
    <row r="905">
      <c r="A905" s="42" t="n"/>
    </row>
    <row r="906">
      <c r="A906" s="42" t="n"/>
    </row>
    <row r="907">
      <c r="A907" s="42" t="n"/>
    </row>
    <row r="908">
      <c r="A908" s="42" t="n"/>
    </row>
    <row r="909">
      <c r="A909" s="42" t="n"/>
    </row>
    <row r="910">
      <c r="A910" s="42" t="n"/>
    </row>
    <row r="911">
      <c r="A911" s="42" t="n"/>
    </row>
    <row r="912">
      <c r="A912" s="42" t="n"/>
    </row>
    <row r="913">
      <c r="A913" s="42" t="n"/>
    </row>
    <row r="914">
      <c r="A914" s="42" t="n"/>
    </row>
    <row r="915">
      <c r="A915" s="42" t="n"/>
    </row>
    <row r="916">
      <c r="A916" s="42" t="n"/>
    </row>
    <row r="917">
      <c r="A917" s="42" t="n"/>
    </row>
    <row r="918">
      <c r="A918" s="42" t="n"/>
    </row>
    <row r="919">
      <c r="A919" s="42" t="n"/>
    </row>
    <row r="920">
      <c r="A920" s="42" t="n"/>
    </row>
    <row r="921">
      <c r="A921" s="42" t="n"/>
    </row>
    <row r="922">
      <c r="A922" s="42" t="n"/>
    </row>
    <row r="923">
      <c r="A923" s="42" t="n"/>
    </row>
    <row r="924">
      <c r="A924" s="42" t="n"/>
    </row>
    <row r="925">
      <c r="A925" s="42" t="n"/>
    </row>
    <row r="926">
      <c r="A926" s="42" t="n"/>
    </row>
    <row r="927">
      <c r="A927" s="42" t="n"/>
    </row>
    <row r="928">
      <c r="A928" s="42" t="n"/>
    </row>
    <row r="929">
      <c r="A929" s="42" t="n"/>
    </row>
    <row r="930">
      <c r="A930" s="42" t="n"/>
    </row>
    <row r="931">
      <c r="A931" s="42" t="n"/>
    </row>
    <row r="932">
      <c r="A932" s="42" t="n"/>
    </row>
    <row r="933">
      <c r="A933" s="42" t="n"/>
    </row>
    <row r="934">
      <c r="A934" s="42" t="n"/>
    </row>
    <row r="935">
      <c r="A935" s="42" t="n"/>
    </row>
    <row r="936">
      <c r="A936" s="42" t="n"/>
    </row>
    <row r="937">
      <c r="A937" s="42" t="n"/>
    </row>
    <row r="938">
      <c r="A938" s="42" t="n"/>
    </row>
    <row r="939">
      <c r="A939" s="42" t="n"/>
    </row>
    <row r="940">
      <c r="A940" s="42" t="n"/>
    </row>
    <row r="941">
      <c r="A941" s="42" t="n"/>
    </row>
    <row r="942">
      <c r="A942" s="42" t="n"/>
    </row>
    <row r="943">
      <c r="A943" s="42" t="n"/>
    </row>
    <row r="944">
      <c r="A944" s="42" t="n"/>
    </row>
    <row r="945">
      <c r="A945" s="42" t="n"/>
    </row>
    <row r="946">
      <c r="A946" s="42" t="n"/>
    </row>
    <row r="947">
      <c r="A947" s="42" t="n"/>
    </row>
    <row r="948">
      <c r="A948" s="42" t="n"/>
    </row>
    <row r="949">
      <c r="A949" s="42" t="n"/>
    </row>
    <row r="950">
      <c r="A950" s="42" t="n"/>
    </row>
    <row r="951">
      <c r="A951" s="42" t="n"/>
    </row>
    <row r="952">
      <c r="A952" s="42" t="n"/>
    </row>
    <row r="953">
      <c r="A953" s="42" t="n"/>
    </row>
    <row r="954">
      <c r="A954" s="42" t="n"/>
    </row>
    <row r="955">
      <c r="A955" s="42" t="n"/>
    </row>
    <row r="956">
      <c r="A956" s="42" t="n"/>
    </row>
    <row r="957">
      <c r="A957" s="42" t="n"/>
    </row>
    <row r="958">
      <c r="A958" s="42" t="n"/>
    </row>
    <row r="959">
      <c r="A959" s="42" t="n"/>
    </row>
    <row r="960">
      <c r="A960" s="42" t="n"/>
    </row>
    <row r="961">
      <c r="A961" s="42" t="n"/>
    </row>
    <row r="962">
      <c r="A962" s="42" t="n"/>
    </row>
    <row r="963">
      <c r="A963" s="42" t="n"/>
    </row>
    <row r="964">
      <c r="A964" s="42" t="n"/>
    </row>
    <row r="965">
      <c r="A965" s="42" t="n"/>
    </row>
    <row r="966">
      <c r="A966" s="42" t="n"/>
    </row>
    <row r="967">
      <c r="A967" s="42" t="n"/>
    </row>
    <row r="968">
      <c r="A968" s="42" t="n"/>
    </row>
    <row r="969">
      <c r="A969" s="42" t="n"/>
    </row>
    <row r="970">
      <c r="A970" s="42" t="n"/>
    </row>
    <row r="971">
      <c r="A971" s="42" t="n"/>
    </row>
    <row r="972">
      <c r="A972" s="42" t="n"/>
    </row>
    <row r="973">
      <c r="A973" s="42" t="n"/>
    </row>
    <row r="974">
      <c r="A974" s="42" t="n"/>
    </row>
    <row r="975">
      <c r="A975" s="42" t="n"/>
    </row>
    <row r="976">
      <c r="A976" s="42" t="n"/>
    </row>
    <row r="977">
      <c r="A977" s="42" t="n"/>
    </row>
    <row r="978">
      <c r="A978" s="42" t="n"/>
    </row>
    <row r="979">
      <c r="A979" s="42" t="n"/>
    </row>
    <row r="980">
      <c r="A980" s="42" t="n"/>
    </row>
    <row r="981">
      <c r="A981" s="42" t="n"/>
    </row>
    <row r="982">
      <c r="A982" s="42" t="n"/>
    </row>
    <row r="983">
      <c r="A983" s="42" t="n"/>
    </row>
    <row r="984">
      <c r="A984" s="42" t="n"/>
    </row>
    <row r="985">
      <c r="A985" s="42" t="n"/>
    </row>
    <row r="986">
      <c r="A986" s="42" t="n"/>
    </row>
    <row r="987">
      <c r="A987" s="42" t="n"/>
    </row>
    <row r="988">
      <c r="A988" s="42" t="n"/>
    </row>
    <row r="989">
      <c r="A989" s="42" t="n"/>
    </row>
    <row r="990">
      <c r="A990" s="42" t="n"/>
    </row>
    <row r="991">
      <c r="A991" s="42" t="n"/>
    </row>
    <row r="992">
      <c r="A992" s="42" t="n"/>
    </row>
    <row r="993">
      <c r="A993" s="42" t="n"/>
    </row>
    <row r="994">
      <c r="A994" s="42" t="n"/>
    </row>
    <row r="995">
      <c r="A995" s="42" t="n"/>
    </row>
    <row r="996">
      <c r="A996" s="42" t="n"/>
    </row>
    <row r="997">
      <c r="A997" s="42" t="n"/>
    </row>
    <row r="998">
      <c r="A998" s="42" t="n"/>
    </row>
    <row r="999">
      <c r="A999" s="42" t="n"/>
    </row>
    <row r="1000">
      <c r="A1000" s="42" t="n"/>
    </row>
    <row r="1001">
      <c r="A1001" s="42" t="n"/>
    </row>
    <row r="1002">
      <c r="A1002" s="42" t="n"/>
    </row>
    <row r="1003">
      <c r="A1003" s="42" t="n"/>
    </row>
    <row r="1004">
      <c r="A1004" s="42" t="n"/>
    </row>
    <row r="1005">
      <c r="A1005" s="42" t="n"/>
    </row>
    <row r="1006">
      <c r="A1006" s="42" t="n"/>
    </row>
    <row r="1007">
      <c r="A1007" s="42" t="n"/>
    </row>
    <row r="1008">
      <c r="A1008" s="42" t="n"/>
    </row>
    <row r="1009">
      <c r="A1009" s="42" t="n"/>
    </row>
    <row r="1010">
      <c r="A1010" s="42" t="n"/>
    </row>
    <row r="1011">
      <c r="A1011" s="42" t="n"/>
    </row>
    <row r="1012">
      <c r="A1012" s="42" t="n"/>
    </row>
    <row r="1013">
      <c r="A1013" s="42" t="n"/>
    </row>
    <row r="1014">
      <c r="A1014" s="42" t="n"/>
    </row>
    <row r="1015">
      <c r="A1015" s="42" t="n"/>
    </row>
    <row r="1016">
      <c r="A1016" s="42" t="n"/>
    </row>
    <row r="1017">
      <c r="A1017" s="42" t="n"/>
    </row>
    <row r="1018">
      <c r="A1018" s="42" t="n"/>
    </row>
    <row r="1019">
      <c r="A1019" s="42" t="n"/>
    </row>
    <row r="1020">
      <c r="A1020" s="42" t="n"/>
    </row>
    <row r="1021">
      <c r="A1021" s="42" t="n"/>
    </row>
    <row r="1022">
      <c r="A1022" s="42" t="n"/>
    </row>
    <row r="1023">
      <c r="A1023" s="42" t="n"/>
    </row>
    <row r="1024">
      <c r="A1024" s="42" t="n"/>
    </row>
    <row r="1025">
      <c r="A1025" s="42" t="n"/>
    </row>
    <row r="1026">
      <c r="A1026" s="42" t="n"/>
    </row>
    <row r="1027">
      <c r="A1027" s="42" t="n"/>
    </row>
    <row r="1028">
      <c r="A1028" s="42" t="n"/>
    </row>
    <row r="1029">
      <c r="A1029" s="42" t="n"/>
    </row>
    <row r="1030">
      <c r="A1030" s="42" t="n"/>
    </row>
    <row r="1031">
      <c r="A1031" s="42" t="n"/>
    </row>
    <row r="1032">
      <c r="A1032" s="42" t="n"/>
    </row>
    <row r="1033">
      <c r="A1033" s="42" t="n"/>
    </row>
    <row r="1034">
      <c r="A1034" s="42" t="n"/>
    </row>
    <row r="1035">
      <c r="A1035" s="42" t="n"/>
    </row>
    <row r="1036">
      <c r="A1036" s="42" t="n"/>
    </row>
    <row r="1037">
      <c r="A1037" s="42" t="n"/>
    </row>
    <row r="1038">
      <c r="A1038" s="42" t="n"/>
    </row>
    <row r="1039">
      <c r="A1039" s="42" t="n"/>
    </row>
    <row r="1040">
      <c r="A1040" s="42" t="n"/>
    </row>
    <row r="1041">
      <c r="A1041" s="42" t="n"/>
    </row>
    <row r="1042">
      <c r="A1042" s="42" t="n"/>
    </row>
    <row r="1043">
      <c r="A1043" s="42" t="n"/>
    </row>
    <row r="1044">
      <c r="A1044" s="42" t="n"/>
    </row>
    <row r="1045">
      <c r="A1045" s="42" t="n"/>
    </row>
    <row r="1046">
      <c r="A1046" s="42" t="n"/>
    </row>
    <row r="1047">
      <c r="A1047" s="42" t="n"/>
    </row>
    <row r="1048">
      <c r="A1048" s="42" t="n"/>
    </row>
    <row r="1049">
      <c r="A1049" s="42" t="n"/>
    </row>
    <row r="1050">
      <c r="A1050" s="42" t="n"/>
    </row>
    <row r="1051">
      <c r="A1051" s="42" t="n"/>
    </row>
    <row r="1052">
      <c r="A1052" s="42" t="n"/>
    </row>
    <row r="1053">
      <c r="A1053" s="42" t="n"/>
    </row>
    <row r="1054">
      <c r="A1054" s="42" t="n"/>
    </row>
    <row r="1055">
      <c r="A1055" s="42" t="n"/>
    </row>
    <row r="1056">
      <c r="A1056" s="42" t="n"/>
    </row>
    <row r="1057">
      <c r="A1057" s="42" t="n"/>
    </row>
    <row r="1058">
      <c r="A1058" s="42" t="n"/>
    </row>
    <row r="1059">
      <c r="A1059" s="42" t="n"/>
    </row>
    <row r="1060">
      <c r="A1060" s="42" t="n"/>
    </row>
    <row r="1061">
      <c r="A1061" s="42" t="n"/>
    </row>
    <row r="1062">
      <c r="A1062" s="42" t="n"/>
    </row>
    <row r="1063">
      <c r="A1063" s="42" t="n"/>
    </row>
    <row r="1064">
      <c r="A1064" s="42" t="n"/>
    </row>
    <row r="1065">
      <c r="A1065" s="42" t="n"/>
    </row>
    <row r="1066">
      <c r="A1066" s="42" t="n"/>
    </row>
    <row r="1067">
      <c r="A1067" s="42" t="n"/>
    </row>
    <row r="1068">
      <c r="A1068" s="42" t="n"/>
    </row>
    <row r="1069">
      <c r="A1069" s="42" t="n"/>
    </row>
    <row r="1070">
      <c r="A1070" s="42" t="n"/>
    </row>
    <row r="1071">
      <c r="A1071" s="42" t="n"/>
    </row>
    <row r="1072">
      <c r="A1072" s="42" t="n"/>
    </row>
    <row r="1073">
      <c r="A1073" s="42" t="n"/>
    </row>
    <row r="1074">
      <c r="A1074" s="42" t="n"/>
    </row>
    <row r="1075">
      <c r="A1075" s="42" t="n"/>
    </row>
    <row r="1076">
      <c r="A1076" s="42" t="n"/>
    </row>
    <row r="1077">
      <c r="A1077" s="42" t="n"/>
    </row>
    <row r="1078">
      <c r="A1078" s="42" t="n"/>
    </row>
    <row r="1079">
      <c r="A1079" s="42" t="n"/>
    </row>
    <row r="1080">
      <c r="A1080" s="42" t="n"/>
    </row>
    <row r="1081">
      <c r="A1081" s="42" t="n"/>
    </row>
    <row r="1082">
      <c r="A1082" s="42" t="n"/>
    </row>
    <row r="1083">
      <c r="A1083" s="42" t="n"/>
    </row>
    <row r="1084">
      <c r="A1084" s="42" t="n"/>
    </row>
    <row r="1085">
      <c r="A1085" s="42" t="n"/>
    </row>
    <row r="1086">
      <c r="A1086" s="42" t="n"/>
    </row>
    <row r="1087">
      <c r="A1087" s="42" t="n"/>
    </row>
    <row r="1088">
      <c r="A1088" s="42" t="n"/>
    </row>
    <row r="1089">
      <c r="A1089" s="42" t="n"/>
    </row>
    <row r="1090">
      <c r="A1090" s="42" t="n"/>
    </row>
    <row r="1091">
      <c r="A1091" s="42" t="n"/>
    </row>
    <row r="1092">
      <c r="A1092" s="42" t="n"/>
    </row>
    <row r="1093">
      <c r="A1093" s="42" t="n"/>
    </row>
    <row r="1094">
      <c r="A1094" s="42" t="n"/>
    </row>
    <row r="1095">
      <c r="A1095" s="42" t="n"/>
    </row>
    <row r="1096">
      <c r="A1096" s="42" t="n"/>
    </row>
    <row r="1097">
      <c r="A1097" s="42" t="n"/>
    </row>
    <row r="1098">
      <c r="A1098" s="42" t="n"/>
    </row>
    <row r="1099">
      <c r="A1099" s="42" t="n"/>
    </row>
    <row r="1100">
      <c r="A1100" s="42" t="n"/>
    </row>
    <row r="1101">
      <c r="A1101" s="42" t="n"/>
    </row>
    <row r="1102">
      <c r="A1102" s="42" t="n"/>
    </row>
    <row r="1103">
      <c r="A1103" s="42" t="n"/>
    </row>
    <row r="1104">
      <c r="A1104" s="42" t="n"/>
    </row>
    <row r="1105">
      <c r="A1105" s="42" t="n"/>
    </row>
    <row r="1106">
      <c r="A1106" s="42" t="n"/>
    </row>
    <row r="1107">
      <c r="A1107" s="42" t="n"/>
    </row>
    <row r="1108">
      <c r="A1108" s="42" t="n"/>
    </row>
    <row r="1109">
      <c r="A1109" s="42" t="n"/>
    </row>
    <row r="1110">
      <c r="A1110" s="42" t="n"/>
    </row>
    <row r="1111">
      <c r="A1111" s="42" t="n"/>
    </row>
    <row r="1112">
      <c r="A1112" s="42" t="n"/>
    </row>
    <row r="1113">
      <c r="A1113" s="42" t="n"/>
    </row>
    <row r="1114">
      <c r="A1114" s="42" t="n"/>
    </row>
    <row r="1115">
      <c r="A1115" s="42" t="n"/>
    </row>
    <row r="1116">
      <c r="A1116" s="42" t="n"/>
    </row>
    <row r="1117">
      <c r="A1117" s="42" t="n"/>
    </row>
    <row r="1118">
      <c r="A1118" s="42" t="n"/>
    </row>
    <row r="1119">
      <c r="A1119" s="42" t="n"/>
    </row>
    <row r="1120">
      <c r="A1120" s="42" t="n"/>
    </row>
    <row r="1121">
      <c r="A1121" s="42" t="n"/>
    </row>
    <row r="1122">
      <c r="A1122" s="42" t="n"/>
    </row>
    <row r="1123">
      <c r="A1123" s="42" t="n"/>
    </row>
    <row r="1124">
      <c r="A1124" s="42" t="n"/>
    </row>
    <row r="1125">
      <c r="A1125" s="42" t="n"/>
    </row>
    <row r="1126">
      <c r="A1126" s="42" t="n"/>
    </row>
    <row r="1127">
      <c r="A1127" s="42" t="n"/>
    </row>
    <row r="1128">
      <c r="A1128" s="42" t="n"/>
    </row>
    <row r="1129">
      <c r="A1129" s="42" t="n"/>
    </row>
    <row r="1130">
      <c r="A1130" s="42" t="n"/>
    </row>
    <row r="1131">
      <c r="A1131" s="42" t="n"/>
    </row>
    <row r="1132">
      <c r="A1132" s="42" t="n"/>
    </row>
    <row r="1133">
      <c r="A1133" s="42" t="n"/>
    </row>
    <row r="1134">
      <c r="A1134" s="42" t="n"/>
    </row>
    <row r="1135">
      <c r="A1135" s="42" t="n"/>
    </row>
    <row r="1136">
      <c r="A1136" s="42" t="n"/>
    </row>
    <row r="1137">
      <c r="A1137" s="42" t="n"/>
    </row>
    <row r="1138">
      <c r="A1138" s="42" t="n"/>
    </row>
    <row r="1139">
      <c r="A1139" s="42" t="n"/>
    </row>
    <row r="1140">
      <c r="A1140" s="42" t="n"/>
    </row>
    <row r="1141">
      <c r="A1141" s="42" t="n"/>
    </row>
    <row r="1142">
      <c r="A1142" s="42" t="n"/>
    </row>
    <row r="1143">
      <c r="A1143" s="42" t="n"/>
    </row>
    <row r="1144">
      <c r="A1144" s="42" t="n"/>
    </row>
    <row r="1145">
      <c r="A1145" s="42" t="n"/>
    </row>
    <row r="1146">
      <c r="A1146" s="42" t="n"/>
    </row>
    <row r="1147">
      <c r="A1147" s="42" t="n"/>
    </row>
    <row r="1148">
      <c r="A1148" s="42" t="n"/>
    </row>
    <row r="1149">
      <c r="A1149" s="42" t="n"/>
    </row>
    <row r="1150">
      <c r="A1150" s="42" t="n"/>
    </row>
    <row r="1151">
      <c r="A1151" s="42" t="n"/>
    </row>
    <row r="1152">
      <c r="A1152" s="42" t="n"/>
    </row>
    <row r="1153">
      <c r="A1153" s="42" t="n"/>
    </row>
    <row r="1154">
      <c r="A1154" s="42" t="n"/>
    </row>
    <row r="1155">
      <c r="A1155" s="42" t="n"/>
    </row>
    <row r="1156">
      <c r="A1156" s="42" t="n"/>
    </row>
    <row r="1157">
      <c r="A1157" s="42" t="n"/>
    </row>
    <row r="1158">
      <c r="A1158" s="42" t="n"/>
    </row>
    <row r="1159">
      <c r="A1159" s="42" t="n"/>
    </row>
    <row r="1160">
      <c r="A1160" s="42" t="n"/>
    </row>
    <row r="1161">
      <c r="A1161" s="42" t="n"/>
    </row>
    <row r="1162">
      <c r="A1162" s="42" t="n"/>
    </row>
    <row r="1163">
      <c r="A1163" s="42" t="n"/>
    </row>
    <row r="1164">
      <c r="A1164" s="42" t="n"/>
    </row>
    <row r="1165">
      <c r="A1165" s="42" t="n"/>
    </row>
    <row r="1166">
      <c r="A1166" s="42" t="n"/>
    </row>
    <row r="1167">
      <c r="A1167" s="42" t="n"/>
    </row>
    <row r="1168">
      <c r="A1168" s="42" t="n"/>
    </row>
    <row r="1169">
      <c r="A1169" s="42" t="n"/>
    </row>
    <row r="1170">
      <c r="A1170" s="42" t="n"/>
    </row>
    <row r="1171">
      <c r="A1171" s="42" t="n"/>
    </row>
    <row r="1172">
      <c r="A1172" s="42" t="n"/>
    </row>
    <row r="1173">
      <c r="A1173" s="42" t="n"/>
    </row>
    <row r="1174">
      <c r="A1174" s="42" t="n"/>
    </row>
    <row r="1175">
      <c r="A1175" s="42" t="n"/>
    </row>
    <row r="1176">
      <c r="A1176" s="42" t="n"/>
    </row>
    <row r="1177">
      <c r="A1177" s="42" t="n"/>
    </row>
    <row r="1178">
      <c r="A1178" s="42" t="n"/>
    </row>
    <row r="1179">
      <c r="A1179" s="42" t="n"/>
    </row>
    <row r="1180">
      <c r="A1180" s="42" t="n"/>
    </row>
    <row r="1181">
      <c r="A1181" s="42" t="n"/>
    </row>
    <row r="1182">
      <c r="A1182" s="42" t="n"/>
    </row>
    <row r="1183">
      <c r="A1183" s="42" t="n"/>
    </row>
    <row r="1184">
      <c r="A1184" s="42" t="n"/>
    </row>
    <row r="1185">
      <c r="A1185" s="42" t="n"/>
    </row>
    <row r="1186">
      <c r="A1186" s="42" t="n"/>
    </row>
    <row r="1187">
      <c r="A1187" s="42" t="n"/>
    </row>
    <row r="1188">
      <c r="A1188" s="42" t="n"/>
    </row>
    <row r="1189">
      <c r="A1189" s="42" t="n"/>
    </row>
    <row r="1190">
      <c r="A1190" s="42" t="n"/>
    </row>
    <row r="1191">
      <c r="A1191" s="42" t="n"/>
    </row>
    <row r="1192">
      <c r="A1192" s="42" t="n"/>
    </row>
    <row r="1193">
      <c r="A1193" s="42" t="n"/>
    </row>
    <row r="1194">
      <c r="A1194" s="42" t="n"/>
    </row>
    <row r="1195">
      <c r="A1195" s="42" t="n"/>
    </row>
    <row r="1196">
      <c r="A1196" s="42" t="n"/>
    </row>
    <row r="1197">
      <c r="A1197" s="42" t="n"/>
    </row>
    <row r="1198">
      <c r="A1198" s="42" t="n"/>
    </row>
    <row r="1199">
      <c r="A1199" s="42" t="n"/>
    </row>
    <row r="1200">
      <c r="A1200" s="42" t="n"/>
    </row>
    <row r="1201">
      <c r="A1201" s="42" t="n"/>
    </row>
    <row r="1202">
      <c r="A1202" s="42" t="n"/>
    </row>
    <row r="1203">
      <c r="A1203" s="42" t="n"/>
    </row>
    <row r="1204">
      <c r="A1204" s="42" t="n"/>
    </row>
    <row r="1205">
      <c r="A1205" s="42" t="n"/>
    </row>
    <row r="1206">
      <c r="A1206" s="42" t="n"/>
    </row>
    <row r="1207">
      <c r="A1207" s="42" t="n"/>
    </row>
    <row r="1208">
      <c r="A1208" s="42" t="n"/>
    </row>
    <row r="1209">
      <c r="A1209" s="42" t="n"/>
    </row>
    <row r="1210">
      <c r="A1210" s="42" t="n"/>
    </row>
    <row r="1211">
      <c r="A1211" s="42" t="n"/>
    </row>
    <row r="1212">
      <c r="A1212" s="42" t="n"/>
    </row>
    <row r="1213">
      <c r="A1213" s="42" t="n"/>
    </row>
    <row r="1214">
      <c r="A1214" s="42" t="n"/>
    </row>
    <row r="1215">
      <c r="A1215" s="42" t="n"/>
    </row>
    <row r="1216">
      <c r="A1216" s="42" t="n"/>
    </row>
    <row r="1217">
      <c r="A1217" s="42" t="n"/>
    </row>
    <row r="1218">
      <c r="A1218" s="42" t="n"/>
    </row>
    <row r="1219">
      <c r="A1219" s="42" t="n"/>
    </row>
    <row r="1220">
      <c r="A1220" s="42" t="n"/>
    </row>
    <row r="1221">
      <c r="A1221" s="42" t="n"/>
    </row>
    <row r="1222">
      <c r="A1222" s="42" t="n"/>
    </row>
    <row r="1223">
      <c r="A1223" s="42" t="n"/>
    </row>
    <row r="1224">
      <c r="A1224" s="42" t="n"/>
    </row>
    <row r="1225">
      <c r="A1225" s="42" t="n"/>
    </row>
    <row r="1226">
      <c r="A1226" s="42" t="n"/>
    </row>
    <row r="1227">
      <c r="A1227" s="42" t="n"/>
    </row>
    <row r="1228">
      <c r="A1228" s="42" t="n"/>
    </row>
    <row r="1229">
      <c r="A1229" s="42" t="n"/>
    </row>
    <row r="1230">
      <c r="A1230" s="42" t="n"/>
    </row>
    <row r="1231">
      <c r="A1231" s="42" t="n"/>
    </row>
    <row r="1232">
      <c r="A1232" s="42" t="n"/>
    </row>
    <row r="1233">
      <c r="A1233" s="42" t="n"/>
    </row>
    <row r="1234">
      <c r="A1234" s="42" t="n"/>
    </row>
    <row r="1235">
      <c r="A1235" s="42" t="n"/>
    </row>
    <row r="1236">
      <c r="A1236" s="42" t="n"/>
    </row>
    <row r="1237">
      <c r="A1237" s="42" t="n"/>
    </row>
    <row r="1238">
      <c r="A1238" s="42" t="n"/>
    </row>
    <row r="1239">
      <c r="A1239" s="42" t="n"/>
    </row>
    <row r="1240">
      <c r="A1240" s="42" t="n"/>
    </row>
    <row r="1241">
      <c r="A1241" s="42" t="n"/>
    </row>
    <row r="1242">
      <c r="A1242" s="42" t="n"/>
    </row>
    <row r="1243">
      <c r="A1243" s="42" t="n"/>
    </row>
    <row r="1244">
      <c r="A1244" s="42" t="n"/>
    </row>
    <row r="1245">
      <c r="A1245" s="42" t="n"/>
    </row>
    <row r="1246">
      <c r="A1246" s="42" t="n"/>
    </row>
    <row r="1247">
      <c r="A1247" s="42" t="n"/>
    </row>
    <row r="1248">
      <c r="A1248" s="42" t="n"/>
    </row>
    <row r="1249">
      <c r="A1249" s="42" t="n"/>
    </row>
    <row r="1250">
      <c r="A1250" s="42" t="n"/>
    </row>
    <row r="1251">
      <c r="A1251" s="42" t="n"/>
    </row>
    <row r="1252">
      <c r="A1252" s="42" t="n"/>
    </row>
    <row r="1253">
      <c r="A1253" s="42" t="n"/>
    </row>
    <row r="1254">
      <c r="A1254" s="42" t="n"/>
    </row>
    <row r="1255">
      <c r="A1255" s="42" t="n"/>
    </row>
    <row r="1256">
      <c r="A1256" s="42" t="n"/>
    </row>
    <row r="1257">
      <c r="A1257" s="42" t="n"/>
    </row>
    <row r="1258">
      <c r="A1258" s="42" t="n"/>
    </row>
    <row r="1259">
      <c r="A1259" s="42" t="n"/>
    </row>
    <row r="1260">
      <c r="A1260" s="42" t="n"/>
    </row>
    <row r="1261">
      <c r="A1261" s="42" t="n"/>
    </row>
    <row r="1262">
      <c r="A1262" s="42" t="n"/>
    </row>
    <row r="1263">
      <c r="A1263" s="42" t="n"/>
    </row>
    <row r="1264">
      <c r="A1264" s="42" t="n"/>
    </row>
    <row r="1265">
      <c r="A1265" s="42" t="n"/>
    </row>
    <row r="1266">
      <c r="A1266" s="42" t="n"/>
    </row>
    <row r="1267">
      <c r="A1267" s="42" t="n"/>
    </row>
    <row r="1268">
      <c r="A1268" s="42" t="n"/>
    </row>
    <row r="1269">
      <c r="A1269" s="42" t="n"/>
    </row>
    <row r="1270">
      <c r="A1270" s="42" t="n"/>
    </row>
    <row r="1271">
      <c r="A1271" s="42" t="n"/>
    </row>
    <row r="1272">
      <c r="A1272" s="42" t="n"/>
    </row>
    <row r="1273">
      <c r="A1273" s="42" t="n"/>
    </row>
    <row r="1274">
      <c r="A1274" s="42" t="n"/>
    </row>
    <row r="1275">
      <c r="A1275" s="42" t="n"/>
    </row>
    <row r="1276">
      <c r="A1276" s="42" t="n"/>
    </row>
    <row r="1277">
      <c r="A1277" s="42" t="n"/>
    </row>
    <row r="1278">
      <c r="A1278" s="42" t="n"/>
    </row>
    <row r="1279">
      <c r="A1279" s="42" t="n"/>
    </row>
    <row r="1280">
      <c r="A1280" s="42" t="n"/>
    </row>
    <row r="1281">
      <c r="A1281" s="42" t="n"/>
    </row>
    <row r="1282">
      <c r="A1282" s="42" t="n"/>
    </row>
    <row r="1283">
      <c r="A1283" s="42" t="n"/>
    </row>
    <row r="1284">
      <c r="A1284" s="42" t="n"/>
    </row>
    <row r="1285">
      <c r="A1285" s="42" t="n"/>
    </row>
    <row r="1286">
      <c r="A1286" s="42" t="n"/>
    </row>
    <row r="1287">
      <c r="A1287" s="42" t="n"/>
    </row>
    <row r="1288">
      <c r="A1288" s="42" t="n"/>
    </row>
    <row r="1289">
      <c r="A1289" s="42" t="n"/>
    </row>
    <row r="1290">
      <c r="A1290" s="42" t="n"/>
    </row>
    <row r="1291">
      <c r="A1291" s="42" t="n"/>
    </row>
    <row r="1292">
      <c r="A1292" s="42" t="n"/>
    </row>
    <row r="1293">
      <c r="A1293" s="42" t="n"/>
    </row>
    <row r="1294">
      <c r="A1294" s="42" t="n"/>
    </row>
    <row r="1295">
      <c r="A1295" s="42" t="n"/>
    </row>
    <row r="1296">
      <c r="A1296" s="42" t="n"/>
    </row>
    <row r="1297">
      <c r="A1297" s="42" t="n"/>
    </row>
    <row r="1298">
      <c r="A1298" s="42" t="n"/>
    </row>
    <row r="1299">
      <c r="A1299" s="42" t="n"/>
    </row>
    <row r="1300">
      <c r="A1300" s="42" t="n"/>
    </row>
    <row r="1301">
      <c r="A1301" s="42" t="n"/>
    </row>
    <row r="1302">
      <c r="A1302" s="42" t="n"/>
    </row>
    <row r="1303">
      <c r="A1303" s="42" t="n"/>
    </row>
    <row r="1304">
      <c r="A1304" s="42" t="n"/>
    </row>
    <row r="1305">
      <c r="A1305" s="42" t="n"/>
    </row>
    <row r="1306">
      <c r="A1306" s="42" t="n"/>
    </row>
    <row r="1307">
      <c r="A1307" s="42" t="n"/>
    </row>
    <row r="1308">
      <c r="A1308" s="42" t="n"/>
    </row>
    <row r="1309">
      <c r="A1309" s="42" t="n"/>
    </row>
    <row r="1310">
      <c r="A1310" s="42" t="n"/>
    </row>
    <row r="1311">
      <c r="A1311" s="42" t="n"/>
    </row>
    <row r="1312">
      <c r="A1312" s="42" t="n"/>
    </row>
    <row r="1313">
      <c r="A1313" s="42" t="n"/>
    </row>
    <row r="1314">
      <c r="A1314" s="42" t="n"/>
    </row>
    <row r="1315">
      <c r="A1315" s="42" t="n"/>
    </row>
    <row r="1316">
      <c r="A1316" s="42" t="n"/>
    </row>
    <row r="1317">
      <c r="A1317" s="42" t="n"/>
    </row>
    <row r="1318">
      <c r="A1318" s="42" t="n"/>
    </row>
    <row r="1319">
      <c r="A1319" s="42" t="n"/>
    </row>
    <row r="1320">
      <c r="A1320" s="42" t="n"/>
    </row>
    <row r="1321">
      <c r="A1321" s="42" t="n"/>
    </row>
    <row r="1322">
      <c r="A1322" s="42" t="n"/>
    </row>
    <row r="1323">
      <c r="A1323" s="42" t="n"/>
    </row>
    <row r="1324">
      <c r="A1324" s="42" t="n"/>
    </row>
    <row r="1325">
      <c r="A1325" s="42" t="n"/>
    </row>
    <row r="1326">
      <c r="A1326" s="42" t="n"/>
    </row>
    <row r="1327">
      <c r="A1327" s="42" t="n"/>
    </row>
    <row r="1328">
      <c r="A1328" s="42" t="n"/>
    </row>
    <row r="1329">
      <c r="A1329" s="42" t="n"/>
    </row>
    <row r="1330">
      <c r="A1330" s="42" t="n"/>
    </row>
    <row r="1331">
      <c r="A1331" s="42" t="n"/>
    </row>
    <row r="1332">
      <c r="A1332" s="42" t="n"/>
    </row>
    <row r="1333">
      <c r="A1333" s="42" t="n"/>
    </row>
    <row r="1334">
      <c r="A1334" s="42" t="n"/>
    </row>
    <row r="1335">
      <c r="A1335" s="42" t="n"/>
    </row>
    <row r="1336">
      <c r="A1336" s="42" t="n"/>
    </row>
    <row r="1337">
      <c r="A1337" s="42" t="n"/>
    </row>
    <row r="1338">
      <c r="A1338" s="42" t="n"/>
    </row>
    <row r="1339">
      <c r="A1339" s="42" t="n"/>
    </row>
    <row r="1340">
      <c r="A1340" s="42" t="n"/>
    </row>
    <row r="1341">
      <c r="A1341" s="42" t="n"/>
    </row>
    <row r="1342">
      <c r="A1342" s="42" t="n"/>
    </row>
    <row r="1343">
      <c r="A1343" s="42" t="n"/>
    </row>
    <row r="1344">
      <c r="A1344" s="42" t="n"/>
    </row>
    <row r="1345">
      <c r="A1345" s="42" t="n"/>
    </row>
    <row r="1346">
      <c r="A1346" s="42" t="n"/>
    </row>
    <row r="1347">
      <c r="A1347" s="42" t="n"/>
    </row>
    <row r="1348">
      <c r="A1348" s="42" t="n"/>
    </row>
    <row r="1349">
      <c r="A1349" s="42" t="n"/>
    </row>
    <row r="1350">
      <c r="A1350" s="42" t="n"/>
    </row>
    <row r="1351">
      <c r="A1351" s="42" t="n"/>
    </row>
    <row r="1352">
      <c r="A1352" s="42" t="n"/>
    </row>
    <row r="1353">
      <c r="A1353" s="42" t="n"/>
    </row>
    <row r="1354">
      <c r="A1354" s="42" t="n"/>
    </row>
    <row r="1355">
      <c r="A1355" s="42" t="n"/>
    </row>
    <row r="1356">
      <c r="A1356" s="42" t="n"/>
    </row>
    <row r="1357">
      <c r="A1357" s="42" t="n"/>
    </row>
    <row r="1358">
      <c r="A1358" s="42" t="n"/>
    </row>
    <row r="1359">
      <c r="A1359" s="42" t="n"/>
    </row>
    <row r="1360">
      <c r="A1360" s="42" t="n"/>
    </row>
    <row r="1361">
      <c r="A1361" s="42" t="n"/>
    </row>
    <row r="1362">
      <c r="A1362" s="42" t="n"/>
    </row>
    <row r="1363">
      <c r="A1363" s="42" t="n"/>
    </row>
    <row r="1364">
      <c r="A1364" s="42" t="n"/>
    </row>
    <row r="1365">
      <c r="A1365" s="42" t="n"/>
    </row>
    <row r="1366">
      <c r="A1366" s="42" t="n"/>
    </row>
    <row r="1367">
      <c r="A1367" s="42" t="n"/>
    </row>
    <row r="1368">
      <c r="A1368" s="42" t="n"/>
    </row>
    <row r="1369">
      <c r="A1369" s="42" t="n"/>
    </row>
    <row r="1370">
      <c r="A1370" s="42" t="n"/>
    </row>
    <row r="1371">
      <c r="A1371" s="42" t="n"/>
    </row>
    <row r="1372">
      <c r="A1372" s="42" t="n"/>
    </row>
    <row r="1373">
      <c r="A1373" s="42" t="n"/>
    </row>
    <row r="1374">
      <c r="A1374" s="42" t="n"/>
    </row>
    <row r="1375">
      <c r="A1375" s="42" t="n"/>
    </row>
    <row r="1376">
      <c r="A1376" s="42" t="n"/>
    </row>
    <row r="1377">
      <c r="A1377" s="42" t="n"/>
    </row>
    <row r="1378">
      <c r="A1378" s="42" t="n"/>
    </row>
    <row r="1379">
      <c r="A1379" s="42" t="n"/>
    </row>
    <row r="1380">
      <c r="A1380" s="42" t="n"/>
    </row>
    <row r="1381">
      <c r="A1381" s="42" t="n"/>
    </row>
    <row r="1382">
      <c r="A1382" s="42" t="n"/>
    </row>
    <row r="1383">
      <c r="A1383" s="42" t="n"/>
    </row>
    <row r="1384">
      <c r="A1384" s="42" t="n"/>
    </row>
    <row r="1385">
      <c r="A1385" s="42" t="n"/>
    </row>
    <row r="1386">
      <c r="A1386" s="42" t="n"/>
    </row>
    <row r="1387">
      <c r="A1387" s="42" t="n"/>
    </row>
    <row r="1388">
      <c r="A1388" s="42" t="n"/>
    </row>
    <row r="1389">
      <c r="A1389" s="42" t="n"/>
    </row>
    <row r="1390">
      <c r="A1390" s="42" t="n"/>
    </row>
    <row r="1391">
      <c r="A1391" s="42" t="n"/>
    </row>
    <row r="1392">
      <c r="A1392" s="42" t="n"/>
    </row>
    <row r="1393">
      <c r="A1393" s="42" t="n"/>
    </row>
    <row r="1394">
      <c r="A1394" s="42" t="n"/>
    </row>
    <row r="1395">
      <c r="A1395" s="42" t="n"/>
    </row>
    <row r="1396">
      <c r="A1396" s="42" t="n"/>
    </row>
    <row r="1397">
      <c r="A1397" s="42" t="n"/>
    </row>
    <row r="1398">
      <c r="A1398" s="42" t="n"/>
    </row>
    <row r="1399">
      <c r="A1399" s="42" t="n"/>
    </row>
    <row r="1400">
      <c r="A1400" s="42" t="n"/>
    </row>
    <row r="1401">
      <c r="A1401" s="42" t="n"/>
    </row>
    <row r="1402">
      <c r="A1402" s="42" t="n"/>
    </row>
    <row r="1403">
      <c r="A1403" s="42" t="n"/>
    </row>
    <row r="1404">
      <c r="A1404" s="42" t="n"/>
    </row>
    <row r="1405">
      <c r="A1405" s="42" t="n"/>
    </row>
    <row r="1406">
      <c r="A1406" s="42" t="n"/>
    </row>
    <row r="1407">
      <c r="A1407" s="42" t="n"/>
    </row>
    <row r="1408">
      <c r="A1408" s="42" t="n"/>
    </row>
    <row r="1409">
      <c r="A1409" s="42" t="n"/>
    </row>
    <row r="1410">
      <c r="A1410" s="42" t="n"/>
    </row>
    <row r="1411">
      <c r="A1411" s="42" t="n"/>
    </row>
    <row r="1412">
      <c r="A1412" s="42" t="n"/>
    </row>
    <row r="1413">
      <c r="A1413" s="42" t="n"/>
    </row>
    <row r="1414">
      <c r="A1414" s="42" t="n"/>
    </row>
    <row r="1415">
      <c r="A1415" s="42" t="n"/>
    </row>
    <row r="1416">
      <c r="A1416" s="42" t="n"/>
    </row>
    <row r="1417">
      <c r="A1417" s="42" t="n"/>
    </row>
    <row r="1418">
      <c r="A1418" s="42" t="n"/>
    </row>
    <row r="1419">
      <c r="A1419" s="42" t="n"/>
    </row>
    <row r="1420">
      <c r="A1420" s="42" t="n"/>
    </row>
    <row r="1421">
      <c r="A1421" s="42" t="n"/>
    </row>
    <row r="1422">
      <c r="A1422" s="42" t="n"/>
    </row>
    <row r="1423">
      <c r="A1423" s="42" t="n"/>
    </row>
    <row r="1424">
      <c r="A1424" s="42" t="n"/>
    </row>
    <row r="1425">
      <c r="A1425" s="42" t="n"/>
    </row>
    <row r="1426">
      <c r="A1426" s="42" t="n"/>
    </row>
    <row r="1427">
      <c r="A1427" s="42" t="n"/>
    </row>
    <row r="1428">
      <c r="A1428" s="42" t="n"/>
    </row>
    <row r="1429">
      <c r="A1429" s="42" t="n"/>
    </row>
    <row r="1430">
      <c r="A1430" s="42" t="n"/>
    </row>
    <row r="1431">
      <c r="A1431" s="42" t="n"/>
    </row>
    <row r="1432">
      <c r="A1432" s="42" t="n"/>
    </row>
    <row r="1433">
      <c r="A1433" s="42" t="n"/>
    </row>
    <row r="1434">
      <c r="A1434" s="42" t="n"/>
    </row>
    <row r="1435">
      <c r="A1435" s="42" t="n"/>
    </row>
    <row r="1436">
      <c r="A1436" s="42" t="n"/>
    </row>
    <row r="1437">
      <c r="A1437" s="42" t="n"/>
    </row>
    <row r="1438">
      <c r="A1438" s="42" t="n"/>
    </row>
    <row r="1439">
      <c r="A1439" s="42" t="n"/>
    </row>
    <row r="1440">
      <c r="A1440" s="42" t="n"/>
    </row>
    <row r="1441">
      <c r="A1441" s="42" t="n"/>
    </row>
    <row r="1442">
      <c r="A1442" s="42" t="n"/>
    </row>
    <row r="1443">
      <c r="A1443" s="42" t="n"/>
    </row>
    <row r="1444">
      <c r="A1444" s="42" t="n"/>
    </row>
    <row r="1445">
      <c r="A1445" s="42" t="n"/>
    </row>
    <row r="1446">
      <c r="A1446" s="42" t="n"/>
    </row>
    <row r="1447">
      <c r="A1447" s="42" t="n"/>
    </row>
    <row r="1448">
      <c r="A1448" s="42" t="n"/>
    </row>
    <row r="1449">
      <c r="A1449" s="42" t="n"/>
    </row>
    <row r="1450">
      <c r="A1450" s="42" t="n"/>
    </row>
    <row r="1451">
      <c r="A1451" s="42" t="n"/>
    </row>
    <row r="1452">
      <c r="A1452" s="42" t="n"/>
    </row>
    <row r="1453">
      <c r="A1453" s="42" t="n"/>
    </row>
    <row r="1454">
      <c r="A1454" s="42" t="n"/>
    </row>
    <row r="1455">
      <c r="A1455" s="42" t="n"/>
    </row>
    <row r="1456">
      <c r="A1456" s="42" t="n"/>
    </row>
    <row r="1457">
      <c r="A1457" s="42" t="n"/>
    </row>
    <row r="1458">
      <c r="A1458" s="42" t="n"/>
    </row>
    <row r="1459">
      <c r="A1459" s="42" t="n"/>
    </row>
    <row r="1460">
      <c r="A1460" s="42" t="n"/>
    </row>
    <row r="1461">
      <c r="A1461" s="42" t="n"/>
    </row>
    <row r="1462">
      <c r="A1462" s="42" t="n"/>
    </row>
    <row r="1463">
      <c r="A1463" s="42" t="n"/>
    </row>
    <row r="1464">
      <c r="A1464" s="42" t="n"/>
    </row>
    <row r="1465">
      <c r="A1465" s="42" t="n"/>
    </row>
    <row r="1466">
      <c r="A1466" s="42" t="n"/>
    </row>
    <row r="1467">
      <c r="A1467" s="42" t="n"/>
    </row>
    <row r="1468">
      <c r="A1468" s="42" t="n"/>
    </row>
    <row r="1469">
      <c r="A1469" s="42" t="n"/>
    </row>
    <row r="1470">
      <c r="A1470" s="42" t="n"/>
    </row>
    <row r="1471">
      <c r="A1471" s="42" t="n"/>
    </row>
    <row r="1472">
      <c r="A1472" s="42" t="n"/>
    </row>
    <row r="1473">
      <c r="A1473" s="42" t="n"/>
    </row>
    <row r="1474">
      <c r="A1474" s="42" t="n"/>
    </row>
    <row r="1475">
      <c r="A1475" s="42" t="n"/>
    </row>
    <row r="1476">
      <c r="A1476" s="42" t="n"/>
    </row>
    <row r="1477">
      <c r="A1477" s="42" t="n"/>
    </row>
    <row r="1478">
      <c r="A1478" s="42" t="n"/>
    </row>
    <row r="1479">
      <c r="A1479" s="42" t="n"/>
    </row>
    <row r="1480">
      <c r="A1480" s="42" t="n"/>
    </row>
    <row r="1481">
      <c r="A1481" s="42" t="n"/>
    </row>
    <row r="1482">
      <c r="A1482" s="42" t="n"/>
    </row>
    <row r="1483">
      <c r="A1483" s="42" t="n"/>
    </row>
    <row r="1484">
      <c r="A1484" s="42" t="n"/>
    </row>
    <row r="1485">
      <c r="A1485" s="42" t="n"/>
    </row>
    <row r="1486">
      <c r="A1486" s="42" t="n"/>
    </row>
    <row r="1487">
      <c r="A1487" s="42" t="n"/>
    </row>
    <row r="1488">
      <c r="A1488" s="42" t="n"/>
    </row>
    <row r="1489">
      <c r="A1489" s="42" t="n"/>
    </row>
    <row r="1490">
      <c r="A1490" s="42" t="n"/>
    </row>
    <row r="1491">
      <c r="A1491" s="42" t="n"/>
    </row>
    <row r="1492">
      <c r="A1492" s="42" t="n"/>
    </row>
    <row r="1493">
      <c r="A1493" s="42" t="n"/>
    </row>
    <row r="1494">
      <c r="A1494" s="42" t="n"/>
    </row>
    <row r="1495">
      <c r="A1495" s="42" t="n"/>
    </row>
    <row r="1496">
      <c r="A1496" s="42" t="n"/>
    </row>
    <row r="1497">
      <c r="A1497" s="42" t="n"/>
    </row>
    <row r="1498">
      <c r="A1498" s="42" t="n"/>
    </row>
    <row r="1499">
      <c r="A1499" s="42" t="n"/>
    </row>
    <row r="1500">
      <c r="A1500" s="42" t="n"/>
    </row>
    <row r="1501">
      <c r="A1501" s="42" t="n"/>
    </row>
    <row r="1502">
      <c r="A1502" s="42" t="n"/>
    </row>
    <row r="1503">
      <c r="A1503" s="42" t="n"/>
    </row>
    <row r="1504">
      <c r="A1504" s="42" t="n"/>
    </row>
    <row r="1505">
      <c r="A1505" s="42" t="n"/>
    </row>
    <row r="1506">
      <c r="A1506" s="42" t="n"/>
    </row>
    <row r="1507">
      <c r="A1507" s="42" t="n"/>
    </row>
    <row r="1508">
      <c r="A1508" s="42" t="n"/>
    </row>
    <row r="1509">
      <c r="A1509" s="42" t="n"/>
    </row>
    <row r="1510">
      <c r="A1510" s="42" t="n"/>
    </row>
    <row r="1511">
      <c r="A1511" s="42" t="n"/>
    </row>
    <row r="1512">
      <c r="A1512" s="42" t="n"/>
    </row>
    <row r="1513">
      <c r="A1513" s="42" t="n"/>
    </row>
    <row r="1514">
      <c r="A1514" s="42" t="n"/>
    </row>
    <row r="1515">
      <c r="A1515" s="42" t="n"/>
    </row>
    <row r="1516">
      <c r="A1516" s="42" t="n"/>
    </row>
    <row r="1517">
      <c r="A1517" s="42" t="n"/>
    </row>
    <row r="1518">
      <c r="A1518" s="42" t="n"/>
    </row>
    <row r="1519">
      <c r="A1519" s="42" t="n"/>
    </row>
    <row r="1520">
      <c r="A1520" s="42" t="n"/>
    </row>
    <row r="1521">
      <c r="A1521" s="42" t="n"/>
    </row>
    <row r="1522">
      <c r="A1522" s="42" t="n"/>
    </row>
    <row r="1523">
      <c r="A1523" s="42" t="n"/>
    </row>
    <row r="1524">
      <c r="A1524" s="42" t="n"/>
    </row>
    <row r="1525">
      <c r="A1525" s="42" t="n"/>
    </row>
    <row r="1526">
      <c r="A1526" s="42" t="n"/>
    </row>
    <row r="1527">
      <c r="A1527" s="42" t="n"/>
    </row>
    <row r="1528">
      <c r="A1528" s="42" t="n"/>
    </row>
    <row r="1529">
      <c r="A1529" s="42" t="n"/>
    </row>
    <row r="1530">
      <c r="A1530" s="42" t="n"/>
    </row>
    <row r="1531">
      <c r="A1531" s="42" t="n"/>
    </row>
    <row r="1532">
      <c r="A1532" s="42" t="n"/>
    </row>
    <row r="1533">
      <c r="A1533" s="42" t="n"/>
    </row>
    <row r="1534">
      <c r="A1534" s="42" t="n"/>
    </row>
    <row r="1535">
      <c r="A1535" s="42" t="n"/>
    </row>
    <row r="1536">
      <c r="A1536" s="42" t="n"/>
    </row>
    <row r="1537">
      <c r="A1537" s="42" t="n"/>
    </row>
    <row r="1538">
      <c r="A1538" s="42" t="n"/>
    </row>
    <row r="1539">
      <c r="A1539" s="42" t="n"/>
    </row>
    <row r="1540">
      <c r="A1540" s="42" t="n"/>
    </row>
    <row r="1541">
      <c r="A1541" s="42" t="n"/>
    </row>
    <row r="1542">
      <c r="A1542" s="42" t="n"/>
    </row>
    <row r="1543">
      <c r="A1543" s="42" t="n"/>
    </row>
    <row r="1544">
      <c r="A1544" s="42" t="n"/>
    </row>
    <row r="1545">
      <c r="A1545" s="42" t="n"/>
    </row>
    <row r="1546">
      <c r="A1546" s="42" t="n"/>
    </row>
    <row r="1547">
      <c r="A1547" s="42" t="n"/>
    </row>
    <row r="1548">
      <c r="A1548" s="42" t="n"/>
    </row>
    <row r="1549">
      <c r="A1549" s="42" t="n"/>
    </row>
    <row r="1550">
      <c r="A1550" s="42" t="n"/>
    </row>
    <row r="1551">
      <c r="A1551" s="42" t="n"/>
    </row>
    <row r="1552">
      <c r="A1552" s="42" t="n"/>
    </row>
    <row r="1553">
      <c r="A1553" s="42" t="n"/>
    </row>
    <row r="1554">
      <c r="A1554" s="42" t="n"/>
    </row>
    <row r="1555">
      <c r="A1555" s="42" t="n"/>
    </row>
    <row r="1556">
      <c r="A1556" s="42" t="n"/>
    </row>
    <row r="1557">
      <c r="A1557" s="42" t="n"/>
    </row>
    <row r="1558">
      <c r="A1558" s="42" t="n"/>
    </row>
    <row r="1559">
      <c r="A1559" s="42" t="n"/>
    </row>
    <row r="1560">
      <c r="A1560" s="42" t="n"/>
    </row>
    <row r="1561">
      <c r="A1561" s="42" t="n"/>
    </row>
    <row r="1562">
      <c r="A1562" s="42" t="n"/>
    </row>
    <row r="1563">
      <c r="A1563" s="42" t="n"/>
    </row>
    <row r="1564">
      <c r="A1564" s="42" t="n"/>
    </row>
    <row r="1565">
      <c r="A1565" s="42" t="n"/>
    </row>
    <row r="1566">
      <c r="A1566" s="42" t="n"/>
    </row>
    <row r="1567">
      <c r="A1567" s="42" t="n"/>
    </row>
    <row r="1568">
      <c r="A1568" s="42" t="n"/>
    </row>
    <row r="1569">
      <c r="A1569" s="42" t="n"/>
    </row>
    <row r="1570">
      <c r="A1570" s="42" t="n"/>
    </row>
    <row r="1571">
      <c r="A1571" s="42" t="n"/>
    </row>
    <row r="1572">
      <c r="A1572" s="42" t="n"/>
    </row>
    <row r="1573">
      <c r="A1573" s="42" t="n"/>
    </row>
    <row r="1574">
      <c r="A1574" s="42" t="n"/>
    </row>
    <row r="1575">
      <c r="A1575" s="42" t="n"/>
    </row>
    <row r="1576">
      <c r="A1576" s="42" t="n"/>
    </row>
    <row r="1577">
      <c r="A1577" s="42" t="n"/>
    </row>
    <row r="1578">
      <c r="A1578" s="42" t="n"/>
    </row>
    <row r="1579">
      <c r="A1579" s="42" t="n"/>
    </row>
    <row r="1580">
      <c r="A1580" s="42" t="n"/>
    </row>
    <row r="1581">
      <c r="A1581" s="42" t="n"/>
    </row>
    <row r="1582">
      <c r="A1582" s="42" t="n"/>
    </row>
    <row r="1583">
      <c r="A1583" s="42" t="n"/>
    </row>
    <row r="1584">
      <c r="A1584" s="42" t="n"/>
    </row>
    <row r="1585">
      <c r="A1585" s="42" t="n"/>
    </row>
    <row r="1586">
      <c r="A1586" s="42" t="n"/>
    </row>
    <row r="1587">
      <c r="A1587" s="42" t="n"/>
    </row>
    <row r="1588">
      <c r="A1588" s="42" t="n"/>
    </row>
    <row r="1589">
      <c r="A1589" s="42" t="n"/>
    </row>
    <row r="1590">
      <c r="A1590" s="42" t="n"/>
    </row>
    <row r="1591">
      <c r="A1591" s="42" t="n"/>
    </row>
    <row r="1592">
      <c r="A1592" s="42" t="n"/>
    </row>
    <row r="1593">
      <c r="A1593" s="42" t="n"/>
    </row>
    <row r="1594">
      <c r="A1594" s="42" t="n"/>
    </row>
    <row r="1595">
      <c r="A1595" s="42" t="n"/>
    </row>
    <row r="1596">
      <c r="A1596" s="42" t="n"/>
    </row>
    <row r="1597">
      <c r="A1597" s="42" t="n"/>
    </row>
    <row r="1598">
      <c r="A1598" s="42" t="n"/>
    </row>
    <row r="1599">
      <c r="A1599" s="42" t="n"/>
    </row>
    <row r="1600">
      <c r="A1600" s="42" t="n"/>
    </row>
    <row r="1601">
      <c r="A1601" s="42" t="n"/>
    </row>
    <row r="1602">
      <c r="A1602" s="42" t="n"/>
    </row>
    <row r="1603">
      <c r="A1603" s="42" t="n"/>
    </row>
    <row r="1604">
      <c r="A1604" s="42" t="n"/>
    </row>
    <row r="1605">
      <c r="A1605" s="42" t="n"/>
    </row>
    <row r="1606">
      <c r="A1606" s="42" t="n"/>
    </row>
    <row r="1607">
      <c r="A1607" s="42" t="n"/>
    </row>
    <row r="1608">
      <c r="A1608" s="42" t="n"/>
    </row>
    <row r="1609">
      <c r="A1609" s="42" t="n"/>
    </row>
    <row r="1610">
      <c r="A1610" s="42" t="n"/>
    </row>
    <row r="1611">
      <c r="A1611" s="42" t="n"/>
    </row>
    <row r="1612">
      <c r="A1612" s="42" t="n"/>
    </row>
    <row r="1613">
      <c r="A1613" s="42" t="n"/>
    </row>
    <row r="1614">
      <c r="A1614" s="42" t="n"/>
    </row>
    <row r="1615">
      <c r="A1615" s="42" t="n"/>
    </row>
    <row r="1616">
      <c r="A1616" s="42" t="n"/>
    </row>
    <row r="1617">
      <c r="A1617" s="42" t="n"/>
    </row>
    <row r="1618">
      <c r="A1618" s="42" t="n"/>
    </row>
    <row r="1619">
      <c r="A1619" s="42" t="n"/>
    </row>
    <row r="1620">
      <c r="A1620" s="42" t="n"/>
    </row>
    <row r="1621">
      <c r="A1621" s="42" t="n"/>
    </row>
    <row r="1622">
      <c r="A1622" s="42" t="n"/>
    </row>
    <row r="1623">
      <c r="A1623" s="42" t="n"/>
    </row>
    <row r="1624">
      <c r="A1624" s="42" t="n"/>
    </row>
    <row r="1625">
      <c r="A1625" s="42" t="n"/>
    </row>
    <row r="1626">
      <c r="A1626" s="42" t="n"/>
    </row>
    <row r="1627">
      <c r="A1627" s="42" t="n"/>
    </row>
    <row r="1628">
      <c r="A1628" s="42" t="n"/>
    </row>
    <row r="1629">
      <c r="A1629" s="42" t="n"/>
    </row>
    <row r="1630">
      <c r="A1630" s="42" t="n"/>
    </row>
    <row r="1631">
      <c r="A1631" s="42" t="n"/>
    </row>
    <row r="1632">
      <c r="A1632" s="42" t="n"/>
    </row>
    <row r="1633">
      <c r="A1633" s="42" t="n"/>
    </row>
    <row r="1634">
      <c r="A1634" s="42" t="n"/>
    </row>
    <row r="1635">
      <c r="A1635" s="42" t="n"/>
    </row>
    <row r="1636">
      <c r="A1636" s="42" t="n"/>
    </row>
    <row r="1637">
      <c r="A1637" s="42" t="n"/>
    </row>
    <row r="1638">
      <c r="A1638" s="42" t="n"/>
    </row>
    <row r="1639">
      <c r="A1639" s="42" t="n"/>
    </row>
    <row r="1640">
      <c r="A1640" s="42" t="n"/>
    </row>
    <row r="1641">
      <c r="A1641" s="42" t="n"/>
    </row>
    <row r="1642">
      <c r="A1642" s="42" t="n"/>
    </row>
    <row r="1643">
      <c r="A1643" s="42" t="n"/>
    </row>
    <row r="1644">
      <c r="A1644" s="42" t="n"/>
    </row>
    <row r="1645">
      <c r="A1645" s="42" t="n"/>
    </row>
    <row r="1646">
      <c r="A1646" s="42" t="n"/>
    </row>
    <row r="1647">
      <c r="A1647" s="42" t="n"/>
    </row>
    <row r="1648">
      <c r="A1648" s="42" t="n"/>
    </row>
    <row r="1649">
      <c r="A1649" s="42" t="n"/>
    </row>
    <row r="1650">
      <c r="A1650" s="42" t="n"/>
    </row>
    <row r="1651">
      <c r="A1651" s="42" t="n"/>
    </row>
    <row r="1652">
      <c r="A1652" s="42" t="n"/>
    </row>
    <row r="1653">
      <c r="A1653" s="42" t="n"/>
    </row>
    <row r="1654">
      <c r="A1654" s="42" t="n"/>
    </row>
    <row r="1655">
      <c r="A1655" s="42" t="n"/>
    </row>
    <row r="1656">
      <c r="A1656" s="42" t="n"/>
    </row>
    <row r="1657">
      <c r="A1657" s="42" t="n"/>
    </row>
    <row r="1658">
      <c r="A1658" s="42" t="n"/>
    </row>
    <row r="1659">
      <c r="A1659" s="42" t="n"/>
    </row>
    <row r="1660">
      <c r="A1660" s="42" t="n"/>
    </row>
    <row r="1661">
      <c r="A1661" s="42" t="n"/>
    </row>
    <row r="1662">
      <c r="A1662" s="42" t="n"/>
    </row>
    <row r="1663">
      <c r="A1663" s="42" t="n"/>
    </row>
    <row r="1664">
      <c r="A1664" s="42" t="n"/>
    </row>
    <row r="1665">
      <c r="A1665" s="42" t="n"/>
    </row>
    <row r="1666">
      <c r="A1666" s="42" t="n"/>
    </row>
    <row r="1667">
      <c r="A1667" s="42" t="n"/>
    </row>
    <row r="1668">
      <c r="A1668" s="42" t="n"/>
    </row>
    <row r="1669">
      <c r="A1669" s="42" t="n"/>
    </row>
    <row r="1670">
      <c r="A1670" s="42" t="n"/>
    </row>
    <row r="1671">
      <c r="A1671" s="42" t="n"/>
    </row>
    <row r="1672">
      <c r="A1672" s="42" t="n"/>
    </row>
    <row r="1673">
      <c r="A1673" s="42" t="n"/>
    </row>
    <row r="1674">
      <c r="A1674" s="42" t="n"/>
    </row>
    <row r="1675">
      <c r="A1675" s="42" t="n"/>
    </row>
    <row r="1676">
      <c r="A1676" s="42" t="n"/>
    </row>
    <row r="1677">
      <c r="A1677" s="42" t="n"/>
    </row>
    <row r="1678">
      <c r="A1678" s="42" t="n"/>
    </row>
    <row r="1679">
      <c r="A1679" s="42" t="n"/>
    </row>
    <row r="1680">
      <c r="A1680" s="42" t="n"/>
    </row>
    <row r="1681">
      <c r="A1681" s="42" t="n"/>
    </row>
    <row r="1682">
      <c r="A1682" s="42" t="n"/>
    </row>
    <row r="1683">
      <c r="A1683" s="42" t="n"/>
    </row>
    <row r="1684">
      <c r="A1684" s="42" t="n"/>
    </row>
    <row r="1685">
      <c r="A1685" s="42" t="n"/>
    </row>
    <row r="1686">
      <c r="A1686" s="42" t="n"/>
    </row>
    <row r="1687">
      <c r="A1687" s="42" t="n"/>
    </row>
    <row r="1688">
      <c r="A1688" s="42" t="n"/>
    </row>
    <row r="1689">
      <c r="A1689" s="42" t="n"/>
    </row>
    <row r="1690">
      <c r="A1690" s="42" t="n"/>
    </row>
    <row r="1691">
      <c r="A1691" s="42" t="n"/>
    </row>
    <row r="1692">
      <c r="A1692" s="42" t="n"/>
    </row>
    <row r="1693">
      <c r="A1693" s="42" t="n"/>
    </row>
    <row r="1694">
      <c r="A1694" s="42" t="n"/>
    </row>
    <row r="1695">
      <c r="A1695" s="42" t="n"/>
    </row>
    <row r="1696">
      <c r="A1696" s="42" t="n"/>
    </row>
    <row r="1697">
      <c r="A1697" s="42" t="n"/>
    </row>
    <row r="1698">
      <c r="A1698" s="42" t="n"/>
    </row>
    <row r="1699">
      <c r="A1699" s="42" t="n"/>
    </row>
    <row r="1700">
      <c r="A1700" s="42" t="n"/>
    </row>
  </sheetData>
  <mergeCells count="2">
    <mergeCell ref="A2:K2"/>
    <mergeCell ref="A1:K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M1700"/>
  <sheetViews>
    <sheetView workbookViewId="0">
      <selection activeCell="A1" sqref="A1"/>
    </sheetView>
  </sheetViews>
  <sheetFormatPr baseColWidth="8" defaultRowHeight="15"/>
  <cols>
    <col width="16" customWidth="1" style="51" min="1" max="1"/>
    <col width="24" customWidth="1" style="51" min="2" max="2"/>
    <col width="28" customWidth="1" style="51" min="3" max="3"/>
    <col width="18" customWidth="1" style="51" min="4" max="4"/>
    <col width="28" customWidth="1" style="51" min="5" max="5"/>
    <col width="30" customWidth="1" style="51" min="6" max="6"/>
    <col width="18" customWidth="1" style="51" min="7" max="7"/>
    <col width="25" customWidth="1" style="51" min="8" max="8"/>
    <col width="30" customWidth="1" style="51" min="9" max="9"/>
    <col width="8" customWidth="1" style="51" min="10" max="10"/>
    <col width="42" customWidth="1" style="51" min="11" max="11"/>
    <col width="48" customWidth="1" style="51" min="12" max="12"/>
    <col width="58" customWidth="1" style="51" min="13" max="13"/>
  </cols>
  <sheetData>
    <row r="1">
      <c r="A1" s="234" t="inlineStr">
        <is>
          <t>機能ガラス組合せ確認ゲート｜サーモスL v0.7-R2</t>
        </is>
      </c>
      <c r="B1" s="41" t="n"/>
      <c r="C1" s="41" t="n"/>
      <c r="D1" s="41" t="n"/>
      <c r="E1" s="41" t="n"/>
      <c r="F1" s="41" t="n"/>
      <c r="G1" s="41" t="n"/>
      <c r="H1" s="41" t="n"/>
      <c r="I1" s="41" t="n"/>
      <c r="J1" s="41" t="n"/>
      <c r="K1" s="41" t="n"/>
      <c r="L1" s="41" t="n"/>
      <c r="M1" s="41" t="n"/>
    </row>
    <row r="2">
      <c r="A2" s="228" t="inlineStr">
        <is>
          <t>SN1400 P1のメーカー見積システム直接委譲をSection20へ正式適用。既知のBLOCK・直接結果・数値制限を先に評価し、残差だけをESTIMATE_CONFIRM_REQUIREDとしてLIXIL見積システムへ送る。自動成立は禁止。</t>
        </is>
      </c>
      <c r="B2" s="41" t="n"/>
      <c r="C2" s="41" t="n"/>
      <c r="D2" s="41" t="n"/>
      <c r="E2" s="41" t="n"/>
      <c r="F2" s="41" t="n"/>
      <c r="G2" s="41" t="n"/>
      <c r="H2" s="41" t="n"/>
      <c r="I2" s="41" t="n"/>
      <c r="J2" s="41" t="n"/>
      <c r="K2" s="41" t="n"/>
      <c r="L2" s="41" t="n"/>
      <c r="M2" s="41" t="n"/>
    </row>
    <row r="3">
      <c r="A3" s="213" t="inlineStr">
        <is>
          <t>gate_id</t>
        </is>
      </c>
      <c r="B3" s="213" t="inlineStr">
        <is>
          <t>glass_id</t>
        </is>
      </c>
      <c r="C3" s="213" t="inlineStr">
        <is>
          <t>機能</t>
        </is>
      </c>
      <c r="D3" s="213" t="inlineStr">
        <is>
          <t>カタログ掲載</t>
        </is>
      </c>
      <c r="E3" s="213" t="inlineStr">
        <is>
          <t>地域/依存条件</t>
        </is>
      </c>
      <c r="F3" s="213" t="inlineStr">
        <is>
          <t>窓種条件</t>
        </is>
      </c>
      <c r="G3" s="213" t="inlineStr">
        <is>
          <t>サイズ別自動確定</t>
        </is>
      </c>
      <c r="H3" s="213" t="inlineStr">
        <is>
          <t>最終確認先</t>
        </is>
      </c>
      <c r="I3" s="213" t="inlineStr">
        <is>
          <t>アプリ候補</t>
        </is>
      </c>
      <c r="J3" s="213" t="inlineStr">
        <is>
          <t>有効</t>
        </is>
      </c>
      <c r="K3" s="213" t="inlineStr">
        <is>
          <t>登録状態</t>
        </is>
      </c>
      <c r="L3" s="213" t="inlineStr">
        <is>
          <t>備考</t>
        </is>
      </c>
      <c r="M3" s="213" t="inlineStr">
        <is>
          <t>一次資料URL</t>
        </is>
      </c>
    </row>
    <row r="4" ht="42" customHeight="1" s="51">
      <c r="A4" s="43" t="inlineStr">
        <is>
          <t>GG-SL-001</t>
        </is>
      </c>
      <c r="B4" s="43" t="inlineStr">
        <is>
          <t>GL-SL-FUNC-GREEN</t>
        </is>
      </c>
      <c r="C4" s="43" t="inlineStr">
        <is>
          <t>Low-E グリーン</t>
        </is>
      </c>
      <c r="D4" s="43" t="inlineStr">
        <is>
          <t>確認済み</t>
        </is>
      </c>
      <c r="E4" s="43" t="str"/>
      <c r="F4" s="43" t="inlineStr">
        <is>
          <t>商品体系連動</t>
        </is>
      </c>
      <c r="G4" s="43" t="b">
        <v>0</v>
      </c>
      <c r="H4" s="43" t="inlineStr">
        <is>
          <t>LIXIL見積システム</t>
        </is>
      </c>
      <c r="I4" s="43" t="inlineStr">
        <is>
          <t>ESTIMATE_CONFIRM_REQUIRED</t>
        </is>
      </c>
      <c r="J4" s="43" t="b">
        <v>1</v>
      </c>
      <c r="K4" s="43" t="inlineStr">
        <is>
          <t>PASS_SECTION20_DELEGATION</t>
        </is>
      </c>
      <c r="L4" s="43" t="inlineStr">
        <is>
          <t>SN1400 P1の直接委譲範囲。既知制限を先に評価し、残差のみLIXIL見積システム確認。ESTIMATE_CONFIRM_REQUIREDを自動ALLOWEDにしない。</t>
        </is>
      </c>
      <c r="M4" s="43" t="inlineStr">
        <is>
          <t>https://webcatalog.lixil.co.jp/iportal/CatalogDetail.do?catalogID=15191910000&amp;categoryID=1630000&amp;designID=newinter&amp;method=initial_screen&amp;position=18&amp;type=mc&amp;volumeID=LXL13001</t>
        </is>
      </c>
    </row>
    <row r="5" ht="42" customHeight="1" s="51">
      <c r="A5" s="43" t="inlineStr">
        <is>
          <t>GG-SL-002</t>
        </is>
      </c>
      <c r="B5" s="43" t="inlineStr">
        <is>
          <t>GL-SL-FUNC-GREEN-HS</t>
        </is>
      </c>
      <c r="C5" s="43" t="inlineStr">
        <is>
          <t>Low-E グリーン（高遮熱仕様）</t>
        </is>
      </c>
      <c r="D5" s="43" t="inlineStr">
        <is>
          <t>確認済み</t>
        </is>
      </c>
      <c r="E5" s="43" t="str"/>
      <c r="F5" s="43" t="inlineStr">
        <is>
          <t>商品体系連動</t>
        </is>
      </c>
      <c r="G5" s="43" t="b">
        <v>0</v>
      </c>
      <c r="H5" s="43" t="inlineStr">
        <is>
          <t>LIXIL見積システム</t>
        </is>
      </c>
      <c r="I5" s="43" t="inlineStr">
        <is>
          <t>ESTIMATE_CONFIRM_REQUIRED</t>
        </is>
      </c>
      <c r="J5" s="43" t="b">
        <v>1</v>
      </c>
      <c r="K5" s="43" t="inlineStr">
        <is>
          <t>PASS_SECTION20_DELEGATION</t>
        </is>
      </c>
      <c r="L5" s="43" t="inlineStr">
        <is>
          <t>SN1400 P1の直接委譲範囲。既知制限を先に評価し、残差のみLIXIL見積システム確認。ESTIMATE_CONFIRM_REQUIREDを自動ALLOWEDにしない。</t>
        </is>
      </c>
      <c r="M5" s="43" t="inlineStr">
        <is>
          <t>https://webcatalog.lixil.co.jp/iportal/CatalogDetail.do?catalogID=15191910000&amp;categoryID=1630000&amp;designID=newinter&amp;method=initial_screen&amp;position=18&amp;type=mc&amp;volumeID=LXL13001</t>
        </is>
      </c>
    </row>
    <row r="6" ht="42" customHeight="1" s="51">
      <c r="A6" s="43" t="inlineStr">
        <is>
          <t>GG-SL-003</t>
        </is>
      </c>
      <c r="B6" s="43" t="inlineStr">
        <is>
          <t>GL-SL-FUNC-HISOLAR</t>
        </is>
      </c>
      <c r="C6" s="43" t="inlineStr">
        <is>
          <t>Low-E クリア（高日射取得仕様）</t>
        </is>
      </c>
      <c r="D6" s="43" t="inlineStr">
        <is>
          <t>確認済み</t>
        </is>
      </c>
      <c r="E6" s="43" t="str"/>
      <c r="F6" s="43" t="inlineStr">
        <is>
          <t>サーモスL非対応（TW・EWのみ）</t>
        </is>
      </c>
      <c r="G6" s="43" t="b">
        <v>1</v>
      </c>
      <c r="H6" s="43" t="inlineStr">
        <is>
          <t>適用外</t>
        </is>
      </c>
      <c r="I6" s="43" t="inlineStr">
        <is>
          <t>非表示/BLOCK</t>
        </is>
      </c>
      <c r="J6" s="43" t="b">
        <v>0</v>
      </c>
      <c r="K6" s="43" t="inlineStr">
        <is>
          <t>BLOCK</t>
        </is>
      </c>
      <c r="L6" s="43" t="inlineStr">
        <is>
          <t>SN1400 P1注記※6でLow-Eクリア（高日射取得仕様）はTW・EWのみ。サーモスLでは候補非表示・BLOCK。</t>
        </is>
      </c>
      <c r="M6" s="43" t="inlineStr">
        <is>
          <t>https://webcatalog.lixil.co.jp/iportal/CatalogDetail.do?catalogID=15191910000&amp;categoryID=1630000&amp;designID=newinter&amp;method=initial_screen&amp;position=18&amp;type=mc&amp;volumeID=LXL13001</t>
        </is>
      </c>
    </row>
    <row r="7" ht="42" customHeight="1" s="51">
      <c r="A7" s="43" t="inlineStr">
        <is>
          <t>GG-SL-004</t>
        </is>
      </c>
      <c r="B7" s="43" t="inlineStr">
        <is>
          <t>GL-SL-LOWE-BRONZE</t>
        </is>
      </c>
      <c r="C7" s="43" t="inlineStr">
        <is>
          <t>Low-E ブロンズ</t>
        </is>
      </c>
      <c r="D7" s="43" t="inlineStr">
        <is>
          <t>確認済み</t>
        </is>
      </c>
      <c r="E7" s="43" t="inlineStr">
        <is>
          <t>北海道・東北地区限定</t>
        </is>
      </c>
      <c r="F7" s="43" t="inlineStr">
        <is>
          <t>商品体系連動</t>
        </is>
      </c>
      <c r="G7" s="43" t="b">
        <v>0</v>
      </c>
      <c r="H7" s="43" t="inlineStr">
        <is>
          <t>LIXIL見積システム</t>
        </is>
      </c>
      <c r="I7" s="43" t="inlineStr">
        <is>
          <t>ESTIMATE_CONFIRM_REQUIRED</t>
        </is>
      </c>
      <c r="J7" s="43" t="b">
        <v>1</v>
      </c>
      <c r="K7" s="43" t="inlineStr">
        <is>
          <t>PASS_SECTION20_DELEGATION</t>
        </is>
      </c>
      <c r="L7" s="43" t="inlineStr">
        <is>
          <t>SN1400 P1の直接委譲範囲。既知制限を先に評価し、残差のみLIXIL見積システム確認。ESTIMATE_CONFIRM_REQUIREDを自動ALLOWEDにしない。</t>
        </is>
      </c>
      <c r="M7" s="43" t="inlineStr">
        <is>
          <t>https://webcatalog.lixil.co.jp/iportal/CatalogDetail.do?catalogID=15191910000&amp;categoryID=1630000&amp;designID=newinter&amp;method=initial_screen&amp;position=18&amp;type=mc&amp;volumeID=LXL13001</t>
        </is>
      </c>
    </row>
    <row r="8" ht="42" customHeight="1" s="51">
      <c r="A8" s="43" t="inlineStr">
        <is>
          <t>GG-SL-005</t>
        </is>
      </c>
      <c r="B8" s="43" t="inlineStr">
        <is>
          <t>GL-SL-OPT-PATTERN</t>
        </is>
      </c>
      <c r="C8" s="43" t="inlineStr">
        <is>
          <t>型板</t>
        </is>
      </c>
      <c r="D8" s="43" t="inlineStr">
        <is>
          <t>確認済み</t>
        </is>
      </c>
      <c r="E8" s="43" t="str"/>
      <c r="F8" s="43" t="inlineStr">
        <is>
          <t>窓種・サイズにより不可あり</t>
        </is>
      </c>
      <c r="G8" s="43" t="b">
        <v>1</v>
      </c>
      <c r="H8" s="43" t="inlineStr">
        <is>
          <t>08A/08B サイズ条件</t>
        </is>
      </c>
      <c r="I8" s="43" t="inlineStr">
        <is>
          <t>SOURCE_SIZE_CONTROLLED</t>
        </is>
      </c>
      <c r="J8" s="43" t="b">
        <v>1</v>
      </c>
      <c r="K8" s="43" t="inlineStr">
        <is>
          <t>PASS</t>
        </is>
      </c>
      <c r="L8" s="43" t="inlineStr">
        <is>
          <t>Size Recordと窓種制御の既知条件で判定。</t>
        </is>
      </c>
      <c r="M8" s="43" t="inlineStr">
        <is>
          <t>https://webcatalog.lixil.co.jp/iportal/CatalogDetail.do?catalogID=15191910000&amp;categoryID=1630000&amp;designID=newinter&amp;method=initial_screen&amp;position=18&amp;type=mc&amp;volumeID=LXL13001</t>
        </is>
      </c>
    </row>
    <row r="9" ht="42" customHeight="1" s="51">
      <c r="A9" s="43" t="inlineStr">
        <is>
          <t>GG-SL-006</t>
        </is>
      </c>
      <c r="B9" s="43" t="inlineStr">
        <is>
          <t>GL-SL-OPT-FROST</t>
        </is>
      </c>
      <c r="C9" s="43" t="inlineStr">
        <is>
          <t>目隠しフロスト</t>
        </is>
      </c>
      <c r="D9" s="43" t="inlineStr">
        <is>
          <t>確認済み</t>
        </is>
      </c>
      <c r="E9" s="43" t="str"/>
      <c r="F9" s="43" t="inlineStr">
        <is>
          <t>窓種・サイズにより不可あり</t>
        </is>
      </c>
      <c r="G9" s="43" t="b">
        <v>0</v>
      </c>
      <c r="H9" s="43" t="inlineStr">
        <is>
          <t>LIXIL見積システム</t>
        </is>
      </c>
      <c r="I9" s="43" t="inlineStr">
        <is>
          <t>ESTIMATE_CONFIRM_REQUIRED</t>
        </is>
      </c>
      <c r="J9" s="43" t="b">
        <v>1</v>
      </c>
      <c r="K9" s="43" t="inlineStr">
        <is>
          <t>PASS_SECTION20_DELEGATION</t>
        </is>
      </c>
      <c r="L9" s="43" t="inlineStr">
        <is>
          <t>SN1400 P1の直接委譲範囲。既知制限を先に評価し、残差のみLIXIL見積システム確認。ESTIMATE_CONFIRM_REQUIREDを自動ALLOWEDにしない。</t>
        </is>
      </c>
      <c r="M9" s="43" t="inlineStr">
        <is>
          <t>https://webcatalog.lixil.co.jp/iportal/CatalogDetail.do?catalogID=15191910000&amp;categoryID=1630000&amp;designID=newinter&amp;method=initial_screen&amp;position=18&amp;type=mc&amp;volumeID=LXL13001</t>
        </is>
      </c>
    </row>
    <row r="10" ht="42" customHeight="1" s="51">
      <c r="A10" s="43" t="inlineStr">
        <is>
          <t>GG-SL-007</t>
        </is>
      </c>
      <c r="B10" s="43" t="inlineStr">
        <is>
          <t>GL-SL-OPT-SAFE</t>
        </is>
      </c>
      <c r="C10" s="43" t="inlineStr">
        <is>
          <t>安全合わせ</t>
        </is>
      </c>
      <c r="D10" s="43" t="inlineStr">
        <is>
          <t>確認済み</t>
        </is>
      </c>
      <c r="E10" s="43" t="str"/>
      <c r="F10" s="43" t="inlineStr">
        <is>
          <t>STANDARD 523件直接結果／残1,121件とCUSTOMはECR</t>
        </is>
      </c>
      <c r="G10" s="43" t="b">
        <v>0</v>
      </c>
      <c r="H10" s="43" t="inlineStr">
        <is>
          <t>直接公式結果→既知数値制限→LIXIL見積システム</t>
        </is>
      </c>
      <c r="I10" s="43" t="inlineStr">
        <is>
          <t>DIRECT_RESULT_OR_ESTIMATE_CONFIRM_REQUIRED</t>
        </is>
      </c>
      <c r="J10" s="43" t="b">
        <v>1</v>
      </c>
      <c r="K10" s="43" t="inlineStr">
        <is>
          <t>PASS_SECTION20_DELEGATION</t>
        </is>
      </c>
      <c r="L10" s="43" t="inlineStr">
        <is>
          <t>SDC0003156/3157の523件は517 ALLOWED / 6 BLOCKEDを維持。残1,121件とCUSTOMはSN1400既知制限を先に評価し、残差のみECR。</t>
        </is>
      </c>
      <c r="M10" s="43" t="inlineStr">
        <is>
          <t>https://webcatalog.lixil.co.jp/iportal/CatalogDetail.do?catalogID=15191910000&amp;categoryID=1630000&amp;designID=newinter&amp;method=initial_screen&amp;position=18&amp;type=mc&amp;volumeID=LXL13001</t>
        </is>
      </c>
    </row>
    <row r="11" ht="42" customHeight="1" s="51">
      <c r="A11" s="43" t="inlineStr">
        <is>
          <t>GG-SL-008</t>
        </is>
      </c>
      <c r="B11" s="43" t="inlineStr">
        <is>
          <t>GL-SL-OPT-DISASTER</t>
        </is>
      </c>
      <c r="C11" s="43" t="inlineStr">
        <is>
          <t>防災安全合わせ</t>
        </is>
      </c>
      <c r="D11" s="43" t="inlineStr">
        <is>
          <t>確認済み</t>
        </is>
      </c>
      <c r="E11" s="43" t="str"/>
      <c r="F11" s="43" t="inlineStr">
        <is>
          <t>窓種・サイズにより不可あり</t>
        </is>
      </c>
      <c r="G11" s="43" t="b">
        <v>0</v>
      </c>
      <c r="H11" s="43" t="inlineStr">
        <is>
          <t>LIXIL見積システム</t>
        </is>
      </c>
      <c r="I11" s="43" t="inlineStr">
        <is>
          <t>ESTIMATE_CONFIRM_REQUIRED</t>
        </is>
      </c>
      <c r="J11" s="43" t="b">
        <v>1</v>
      </c>
      <c r="K11" s="43" t="inlineStr">
        <is>
          <t>PASS_SECTION20_DELEGATION</t>
        </is>
      </c>
      <c r="L11" s="43" t="inlineStr">
        <is>
          <t>SN1400 P1の直接委譲範囲。既知制限を先に評価し、残差のみLIXIL見積システム確認。ESTIMATE_CONFIRM_REQUIREDを自動ALLOWEDにしない。</t>
        </is>
      </c>
      <c r="M11" s="43" t="inlineStr">
        <is>
          <t>https://webcatalog.lixil.co.jp/iportal/CatalogDetail.do?catalogID=15191910000&amp;categoryID=1630000&amp;designID=newinter&amp;method=initial_screen&amp;position=18&amp;type=mc&amp;volumeID=LXL13001</t>
        </is>
      </c>
    </row>
    <row r="12" ht="42" customHeight="1" s="51">
      <c r="A12" s="43" t="inlineStr">
        <is>
          <t>GG-SL-009</t>
        </is>
      </c>
      <c r="B12" s="43" t="inlineStr">
        <is>
          <t>GL-SL-OPT-MILKY</t>
        </is>
      </c>
      <c r="C12" s="43" t="inlineStr">
        <is>
          <t>安全合わせ乳白</t>
        </is>
      </c>
      <c r="D12" s="43" t="inlineStr">
        <is>
          <t>確認済み</t>
        </is>
      </c>
      <c r="E12" s="43" t="inlineStr">
        <is>
          <t>安全合わせ選択時のみ</t>
        </is>
      </c>
      <c r="F12" s="43" t="inlineStr">
        <is>
          <t>FROST・PATTERNとの組合せはBLOCK、その他残差はECR</t>
        </is>
      </c>
      <c r="G12" s="43" t="b">
        <v>0</v>
      </c>
      <c r="H12" s="43" t="inlineStr">
        <is>
          <t>既知BLOCK→LIXIL見積システム</t>
        </is>
      </c>
      <c r="I12" s="43" t="inlineStr">
        <is>
          <t>BLOCK_OR_ESTIMATE_CONFIRM_REQUIRED</t>
        </is>
      </c>
      <c r="J12" s="43" t="b">
        <v>1</v>
      </c>
      <c r="K12" s="43" t="inlineStr">
        <is>
          <t>PASS_SECTION20_DELEGATION</t>
        </is>
      </c>
      <c r="L12" s="43" t="inlineStr">
        <is>
          <t>SN1400 P1注記※2。安全合わせ乳白×フロスト／型板は公式非対応としてBLOCK。その他の未確定残差のみECR。</t>
        </is>
      </c>
      <c r="M12" s="43" t="inlineStr">
        <is>
          <t>https://webcatalog.lixil.co.jp/iportal/CatalogDetail.do?catalogID=15191910000&amp;categoryID=1630000&amp;designID=newinter&amp;method=initial_screen&amp;position=18&amp;type=mc&amp;volumeID=LXL13001</t>
        </is>
      </c>
    </row>
    <row r="13" ht="42" customHeight="1" s="51">
      <c r="A13" s="43" t="inlineStr">
        <is>
          <t>GG-SL-010</t>
        </is>
      </c>
      <c r="B13" s="43" t="inlineStr">
        <is>
          <t>GL-SL-OPT-BLIND</t>
        </is>
      </c>
      <c r="C13" s="43" t="inlineStr">
        <is>
          <t>調光ブラインドイン</t>
        </is>
      </c>
      <c r="D13" s="43" t="inlineStr">
        <is>
          <t>確認済み</t>
        </is>
      </c>
      <c r="E13" s="43" t="inlineStr">
        <is>
          <t>専用構成／中空層15mm／ガラス縦450～1900mm・横480～1640mm</t>
        </is>
      </c>
      <c r="F13" s="43" t="inlineStr">
        <is>
          <t>公式Window/specific_spec Scope＋P34寸法</t>
        </is>
      </c>
      <c r="G13" s="43" t="b">
        <v>0</v>
      </c>
      <c r="H13" s="43" t="inlineStr">
        <is>
          <t>既知Scope・寸法BLOCK→LIXIL見積システム</t>
        </is>
      </c>
      <c r="I13" s="43" t="inlineStr">
        <is>
          <t>BLOCK_OR_ESTIMATE_CONFIRM_REQUIRED</t>
        </is>
      </c>
      <c r="J13" s="43" t="b">
        <v>1</v>
      </c>
      <c r="K13" s="43" t="inlineStr">
        <is>
          <t>PASS_SECTION20_DELEGATION</t>
        </is>
      </c>
      <c r="L13" s="43" t="inlineStr">
        <is>
          <t>非対象Window/specific_specと公式ガラス寸法範囲外はBLOCK。ガラス開口寸法が未解決の残差のみECR。</t>
        </is>
      </c>
      <c r="M13" s="43" t="inlineStr">
        <is>
          <t>https://webcatalog.lixil.co.jp/iportal/CatalogDetail.do?catalogID=15191910000&amp;categoryID=1630000&amp;designID=newinter&amp;method=initial_screen&amp;position=18&amp;type=mc&amp;volumeID=LXL13001</t>
        </is>
      </c>
    </row>
    <row r="14" ht="42" customHeight="1" s="51">
      <c r="A14" s="43" t="inlineStr">
        <is>
          <t>GG-SL-011</t>
        </is>
      </c>
      <c r="B14" s="43" t="inlineStr">
        <is>
          <t>GL-SL-OPT-GRID</t>
        </is>
      </c>
      <c r="C14" s="43" t="inlineStr">
        <is>
          <t>意匠格子入り</t>
        </is>
      </c>
      <c r="D14" s="43" t="inlineStr">
        <is>
          <t>確認済み</t>
        </is>
      </c>
      <c r="E14" s="43" t="inlineStr">
        <is>
          <t>専用構成</t>
        </is>
      </c>
      <c r="F14" s="43" t="inlineStr">
        <is>
          <t>限定窓種</t>
        </is>
      </c>
      <c r="G14" s="43" t="b">
        <v>0</v>
      </c>
      <c r="H14" s="43" t="inlineStr">
        <is>
          <t>LIXIL見積システム</t>
        </is>
      </c>
      <c r="I14" s="43" t="inlineStr">
        <is>
          <t>ESTIMATE_CONFIRM_REQUIRED</t>
        </is>
      </c>
      <c r="J14" s="43" t="b">
        <v>1</v>
      </c>
      <c r="K14" s="43" t="inlineStr">
        <is>
          <t>PASS_SECTION20_DELEGATION</t>
        </is>
      </c>
      <c r="L14" s="43" t="inlineStr">
        <is>
          <t>SN1400 P1の直接委譲範囲。既知制限を先に評価し、残差のみLIXIL見積システム確認。ESTIMATE_CONFIRM_REQUIREDを自動ALLOWEDにしない。</t>
        </is>
      </c>
      <c r="M14" s="43" t="inlineStr">
        <is>
          <t>https://webcatalog.lixil.co.jp/iportal/CatalogDetail.do?catalogID=15191910000&amp;categoryID=1630000&amp;designID=newinter&amp;method=initial_screen&amp;position=18&amp;type=mc&amp;volumeID=LXL13001</t>
        </is>
      </c>
    </row>
    <row r="15" ht="42" customHeight="1" s="51">
      <c r="A15" s="43" t="inlineStr">
        <is>
          <t>GG-SL-012</t>
        </is>
      </c>
      <c r="B15" s="43" t="inlineStr">
        <is>
          <t>GL-SL-OPT-TEMPERED</t>
        </is>
      </c>
      <c r="C15" s="43" t="inlineStr">
        <is>
          <t>強化複層</t>
        </is>
      </c>
      <c r="D15" s="43" t="inlineStr">
        <is>
          <t>一般サーモスLとして未確定</t>
        </is>
      </c>
      <c r="E15" s="43" t="inlineStr">
        <is>
          <t>原本条件未確定</t>
        </is>
      </c>
      <c r="F15" s="43" t="inlineStr">
        <is>
          <t>自動候補にしない</t>
        </is>
      </c>
      <c r="G15" s="43" t="b">
        <v>0</v>
      </c>
      <c r="H15" s="43" t="inlineStr">
        <is>
          <t>正式可否未閉包（確認経路未確定）</t>
        </is>
      </c>
      <c r="I15" s="43" t="inlineStr">
        <is>
          <t>非表示/BLOCK</t>
        </is>
      </c>
      <c r="J15" s="43" t="b">
        <v>0</v>
      </c>
      <c r="K15" s="43" t="inlineStr">
        <is>
          <t>BLOCK</t>
        </is>
      </c>
      <c r="L15" s="43" t="inlineStr">
        <is>
          <t>一般サーモスLの設定として公式根拠が閉包していないため一般化しない。特定確認経路も確定しない。</t>
        </is>
      </c>
      <c r="M15" s="43" t="inlineStr">
        <is>
          <t>https://webcatalog.lixil.co.jp/iportal/CatalogDetail.do?catalogID=15191910000&amp;categoryID=1630000&amp;designID=newinter&amp;method=initial_screen&amp;position=18&amp;type=mc&amp;volumeID=LXL13001</t>
        </is>
      </c>
    </row>
    <row r="16">
      <c r="A16" s="43" t="n"/>
      <c r="B16" s="43" t="n"/>
      <c r="C16" s="43" t="n"/>
      <c r="D16" s="43" t="n"/>
      <c r="E16" s="43" t="n"/>
      <c r="F16" s="43" t="n"/>
      <c r="G16" s="43" t="n"/>
      <c r="H16" s="43" t="n"/>
      <c r="I16" s="43" t="n"/>
      <c r="J16" s="43" t="n"/>
      <c r="K16" s="43" t="n"/>
      <c r="L16" s="43" t="n"/>
      <c r="M16" s="43" t="n"/>
    </row>
    <row r="17">
      <c r="A17" s="43" t="n"/>
      <c r="B17" s="43" t="n"/>
      <c r="C17" s="43" t="n"/>
      <c r="D17" s="43" t="n"/>
      <c r="E17" s="43" t="n"/>
      <c r="F17" s="43" t="n"/>
      <c r="G17" s="43" t="n"/>
      <c r="H17" s="43" t="n"/>
      <c r="I17" s="43" t="n"/>
      <c r="J17" s="43" t="n"/>
      <c r="K17" s="43" t="n"/>
      <c r="L17" s="43" t="n"/>
      <c r="M17" s="43" t="n"/>
    </row>
    <row r="18">
      <c r="A18" s="43" t="n"/>
      <c r="B18" s="43" t="n"/>
      <c r="C18" s="43" t="n"/>
      <c r="D18" s="43" t="n"/>
      <c r="E18" s="43" t="n"/>
      <c r="F18" s="43" t="n"/>
      <c r="G18" s="43" t="n"/>
      <c r="H18" s="43" t="n"/>
      <c r="I18" s="43" t="n"/>
      <c r="J18" s="43" t="n"/>
      <c r="K18" s="43" t="n"/>
      <c r="L18" s="43" t="n"/>
      <c r="M18" s="43" t="n"/>
    </row>
    <row r="19">
      <c r="A19" s="43" t="n"/>
      <c r="B19" s="43" t="n"/>
      <c r="C19" s="43" t="n"/>
      <c r="D19" s="43" t="n"/>
      <c r="E19" s="43" t="n"/>
      <c r="F19" s="43" t="n"/>
      <c r="G19" s="43" t="n"/>
      <c r="H19" s="43" t="n"/>
      <c r="I19" s="43" t="n"/>
      <c r="J19" s="43" t="n"/>
      <c r="K19" s="43" t="n"/>
      <c r="L19" s="43" t="n"/>
      <c r="M19" s="43" t="n"/>
    </row>
    <row r="20">
      <c r="A20" s="43" t="n"/>
      <c r="B20" s="43" t="n"/>
      <c r="C20" s="43" t="n"/>
      <c r="D20" s="43" t="n"/>
      <c r="E20" s="43" t="n"/>
      <c r="F20" s="43" t="n"/>
      <c r="G20" s="43" t="n"/>
      <c r="H20" s="43" t="n"/>
      <c r="I20" s="43" t="n"/>
      <c r="J20" s="43" t="n"/>
      <c r="K20" s="43" t="n"/>
      <c r="L20" s="43" t="n"/>
      <c r="M20" s="43" t="n"/>
    </row>
    <row r="21">
      <c r="A21" s="43" t="n"/>
      <c r="B21" s="43" t="n"/>
      <c r="C21" s="43" t="n"/>
      <c r="D21" s="43" t="n"/>
      <c r="E21" s="43" t="n"/>
      <c r="F21" s="43" t="n"/>
      <c r="G21" s="43" t="n"/>
      <c r="H21" s="43" t="n"/>
      <c r="I21" s="43" t="n"/>
      <c r="J21" s="43" t="n"/>
      <c r="K21" s="43" t="n"/>
      <c r="L21" s="43" t="n"/>
      <c r="M21" s="43" t="n"/>
    </row>
    <row r="22">
      <c r="A22" s="43" t="n"/>
      <c r="B22" s="43" t="n"/>
      <c r="C22" s="43" t="n"/>
      <c r="D22" s="43" t="n"/>
      <c r="E22" s="43" t="n"/>
      <c r="F22" s="43" t="n"/>
      <c r="G22" s="43" t="n"/>
      <c r="H22" s="43" t="n"/>
      <c r="I22" s="43" t="n"/>
      <c r="J22" s="43" t="n"/>
      <c r="K22" s="43" t="n"/>
      <c r="L22" s="43" t="n"/>
      <c r="M22" s="43" t="n"/>
    </row>
    <row r="23">
      <c r="A23" s="43" t="n"/>
      <c r="B23" s="43" t="n"/>
      <c r="C23" s="43" t="n"/>
      <c r="D23" s="43" t="n"/>
      <c r="E23" s="43" t="n"/>
      <c r="F23" s="43" t="n"/>
      <c r="G23" s="43" t="n"/>
      <c r="H23" s="43" t="n"/>
      <c r="I23" s="43" t="n"/>
      <c r="J23" s="43" t="n"/>
      <c r="K23" s="43" t="n"/>
      <c r="L23" s="43" t="n"/>
      <c r="M23" s="43" t="n"/>
    </row>
    <row r="24">
      <c r="A24" s="43" t="n"/>
      <c r="B24" s="43" t="n"/>
      <c r="C24" s="43" t="n"/>
      <c r="D24" s="43" t="n"/>
      <c r="E24" s="43" t="n"/>
      <c r="F24" s="43" t="n"/>
      <c r="G24" s="43" t="n"/>
      <c r="H24" s="43" t="n"/>
      <c r="I24" s="43" t="n"/>
      <c r="J24" s="43" t="n"/>
      <c r="K24" s="43" t="n"/>
      <c r="L24" s="43" t="n"/>
      <c r="M24" s="43" t="n"/>
    </row>
    <row r="25">
      <c r="A25" s="43" t="n"/>
      <c r="B25" s="43" t="n"/>
      <c r="C25" s="43" t="n"/>
      <c r="D25" s="43" t="n"/>
      <c r="E25" s="43" t="n"/>
      <c r="F25" s="43" t="n"/>
      <c r="G25" s="43" t="n"/>
      <c r="H25" s="43" t="n"/>
      <c r="I25" s="43" t="n"/>
      <c r="J25" s="43" t="n"/>
      <c r="K25" s="43" t="n"/>
      <c r="L25" s="43" t="n"/>
      <c r="M25" s="43" t="n"/>
    </row>
    <row r="26">
      <c r="A26" s="43" t="n"/>
      <c r="B26" s="43" t="n"/>
      <c r="C26" s="43" t="n"/>
      <c r="D26" s="43" t="n"/>
      <c r="E26" s="43" t="n"/>
      <c r="F26" s="43" t="n"/>
      <c r="G26" s="43" t="n"/>
      <c r="H26" s="43" t="n"/>
      <c r="I26" s="43" t="n"/>
      <c r="J26" s="43" t="n"/>
      <c r="K26" s="43" t="n"/>
      <c r="L26" s="43" t="n"/>
      <c r="M26" s="43" t="n"/>
    </row>
    <row r="27">
      <c r="A27" s="43" t="n"/>
      <c r="B27" s="43" t="n"/>
      <c r="C27" s="43" t="n"/>
      <c r="D27" s="43" t="n"/>
      <c r="E27" s="43" t="n"/>
      <c r="F27" s="43" t="n"/>
      <c r="G27" s="43" t="n"/>
      <c r="H27" s="43" t="n"/>
      <c r="I27" s="43" t="n"/>
      <c r="J27" s="43" t="n"/>
      <c r="K27" s="43" t="n"/>
      <c r="L27" s="43" t="n"/>
      <c r="M27" s="43" t="n"/>
    </row>
    <row r="28">
      <c r="A28" s="43" t="n"/>
      <c r="B28" s="43" t="n"/>
      <c r="C28" s="43" t="n"/>
      <c r="D28" s="43" t="n"/>
      <c r="E28" s="43" t="n"/>
      <c r="F28" s="43" t="n"/>
      <c r="G28" s="43" t="n"/>
      <c r="H28" s="43" t="n"/>
      <c r="I28" s="43" t="n"/>
      <c r="J28" s="43" t="n"/>
      <c r="K28" s="43" t="n"/>
      <c r="L28" s="43" t="n"/>
      <c r="M28" s="43" t="n"/>
    </row>
    <row r="29">
      <c r="A29" s="43" t="n"/>
      <c r="B29" s="43" t="n"/>
      <c r="C29" s="43" t="n"/>
      <c r="D29" s="43" t="n"/>
      <c r="E29" s="43" t="n"/>
      <c r="F29" s="43" t="n"/>
      <c r="G29" s="43" t="n"/>
      <c r="H29" s="43" t="n"/>
      <c r="I29" s="43" t="n"/>
      <c r="J29" s="43" t="n"/>
      <c r="K29" s="43" t="n"/>
      <c r="L29" s="43" t="n"/>
      <c r="M29" s="43" t="n"/>
    </row>
    <row r="30">
      <c r="A30" s="43" t="n"/>
      <c r="B30" s="43" t="n"/>
      <c r="C30" s="43" t="n"/>
      <c r="D30" s="43" t="n"/>
      <c r="E30" s="43" t="n"/>
      <c r="F30" s="43" t="n"/>
      <c r="G30" s="43" t="n"/>
      <c r="H30" s="43" t="n"/>
      <c r="I30" s="43" t="n"/>
      <c r="J30" s="43" t="n"/>
      <c r="K30" s="43" t="n"/>
      <c r="L30" s="43" t="n"/>
      <c r="M30" s="43" t="n"/>
    </row>
    <row r="31">
      <c r="A31" s="43" t="n"/>
      <c r="B31" s="43" t="n"/>
      <c r="C31" s="43" t="n"/>
      <c r="D31" s="43" t="n"/>
      <c r="E31" s="43" t="n"/>
      <c r="F31" s="43" t="n"/>
      <c r="G31" s="43" t="n"/>
      <c r="H31" s="43" t="n"/>
      <c r="I31" s="43" t="n"/>
      <c r="J31" s="43" t="n"/>
      <c r="K31" s="43" t="n"/>
      <c r="L31" s="43" t="n"/>
      <c r="M31" s="43" t="n"/>
    </row>
    <row r="32">
      <c r="A32" s="43" t="n"/>
      <c r="B32" s="43" t="n"/>
      <c r="C32" s="43" t="n"/>
      <c r="D32" s="43" t="n"/>
      <c r="E32" s="43" t="n"/>
      <c r="F32" s="43" t="n"/>
      <c r="G32" s="43" t="n"/>
      <c r="H32" s="43" t="n"/>
      <c r="I32" s="43" t="n"/>
      <c r="J32" s="43" t="n"/>
      <c r="K32" s="43" t="n"/>
      <c r="L32" s="43" t="n"/>
      <c r="M32" s="43" t="n"/>
    </row>
    <row r="33">
      <c r="A33" s="43" t="n"/>
      <c r="B33" s="43" t="n"/>
      <c r="C33" s="43" t="n"/>
      <c r="D33" s="43" t="n"/>
      <c r="E33" s="43" t="n"/>
      <c r="F33" s="43" t="n"/>
      <c r="G33" s="43" t="n"/>
      <c r="H33" s="43" t="n"/>
      <c r="I33" s="43" t="n"/>
      <c r="J33" s="43" t="n"/>
      <c r="K33" s="43" t="n"/>
      <c r="L33" s="43" t="n"/>
      <c r="M33" s="43" t="n"/>
    </row>
    <row r="34">
      <c r="A34" s="43" t="n"/>
      <c r="B34" s="43" t="n"/>
      <c r="C34" s="43" t="n"/>
      <c r="D34" s="43" t="n"/>
      <c r="E34" s="43" t="n"/>
      <c r="F34" s="43" t="n"/>
      <c r="G34" s="43" t="n"/>
      <c r="H34" s="43" t="n"/>
      <c r="I34" s="43" t="n"/>
      <c r="J34" s="43" t="n"/>
      <c r="K34" s="43" t="n"/>
      <c r="L34" s="43" t="n"/>
      <c r="M34" s="43" t="n"/>
    </row>
    <row r="35">
      <c r="A35" s="43" t="n"/>
      <c r="B35" s="43" t="n"/>
      <c r="C35" s="43" t="n"/>
      <c r="D35" s="43" t="n"/>
      <c r="E35" s="43" t="n"/>
      <c r="F35" s="43" t="n"/>
      <c r="G35" s="43" t="n"/>
      <c r="H35" s="43" t="n"/>
      <c r="I35" s="43" t="n"/>
      <c r="J35" s="43" t="n"/>
      <c r="K35" s="43" t="n"/>
      <c r="L35" s="43" t="n"/>
      <c r="M35" s="43" t="n"/>
    </row>
    <row r="36">
      <c r="A36" s="43" t="n"/>
      <c r="B36" s="43" t="n"/>
      <c r="C36" s="43" t="n"/>
      <c r="D36" s="43" t="n"/>
      <c r="E36" s="43" t="n"/>
      <c r="F36" s="43" t="n"/>
      <c r="G36" s="43" t="n"/>
      <c r="H36" s="43" t="n"/>
      <c r="I36" s="43" t="n"/>
      <c r="J36" s="43" t="n"/>
      <c r="K36" s="43" t="n"/>
      <c r="L36" s="43" t="n"/>
      <c r="M36" s="43" t="n"/>
    </row>
    <row r="37">
      <c r="A37" s="43" t="n"/>
      <c r="B37" s="43" t="n"/>
      <c r="C37" s="43" t="n"/>
      <c r="D37" s="43" t="n"/>
      <c r="E37" s="43" t="n"/>
      <c r="F37" s="43" t="n"/>
      <c r="G37" s="43" t="n"/>
      <c r="H37" s="43" t="n"/>
      <c r="I37" s="43" t="n"/>
      <c r="J37" s="43" t="n"/>
      <c r="K37" s="43" t="n"/>
      <c r="L37" s="43" t="n"/>
      <c r="M37" s="43" t="n"/>
    </row>
    <row r="38">
      <c r="A38" s="43" t="n"/>
      <c r="B38" s="43" t="n"/>
      <c r="C38" s="43" t="n"/>
      <c r="D38" s="43" t="n"/>
      <c r="E38" s="43" t="n"/>
      <c r="F38" s="43" t="n"/>
      <c r="G38" s="43" t="n"/>
      <c r="H38" s="43" t="n"/>
      <c r="I38" s="43" t="n"/>
      <c r="J38" s="43" t="n"/>
      <c r="K38" s="43" t="n"/>
      <c r="L38" s="43" t="n"/>
      <c r="M38" s="43" t="n"/>
    </row>
    <row r="39">
      <c r="A39" s="43" t="n"/>
      <c r="B39" s="43" t="n"/>
      <c r="C39" s="43" t="n"/>
      <c r="D39" s="43" t="n"/>
      <c r="E39" s="43" t="n"/>
      <c r="F39" s="43" t="n"/>
      <c r="G39" s="43" t="n"/>
      <c r="H39" s="43" t="n"/>
      <c r="I39" s="43" t="n"/>
      <c r="J39" s="43" t="n"/>
      <c r="K39" s="43" t="n"/>
      <c r="L39" s="43" t="n"/>
      <c r="M39" s="43" t="n"/>
    </row>
    <row r="40">
      <c r="A40" s="43" t="n"/>
      <c r="B40" s="43" t="n"/>
      <c r="C40" s="43" t="n"/>
      <c r="D40" s="43" t="n"/>
      <c r="E40" s="43" t="n"/>
      <c r="F40" s="43" t="n"/>
      <c r="G40" s="43" t="n"/>
      <c r="H40" s="43" t="n"/>
      <c r="I40" s="43" t="n"/>
      <c r="J40" s="43" t="n"/>
      <c r="K40" s="43" t="n"/>
      <c r="L40" s="43" t="n"/>
      <c r="M40" s="43" t="n"/>
    </row>
    <row r="41">
      <c r="A41" s="43" t="n"/>
      <c r="B41" s="43" t="n"/>
      <c r="C41" s="43" t="n"/>
      <c r="D41" s="43" t="n"/>
      <c r="E41" s="43" t="n"/>
      <c r="F41" s="43" t="n"/>
      <c r="G41" s="43" t="n"/>
      <c r="H41" s="43" t="n"/>
      <c r="I41" s="43" t="n"/>
      <c r="J41" s="43" t="n"/>
      <c r="K41" s="43" t="n"/>
      <c r="L41" s="43" t="n"/>
      <c r="M41" s="43" t="n"/>
    </row>
    <row r="42">
      <c r="A42" s="43" t="n"/>
      <c r="B42" s="43" t="n"/>
      <c r="C42" s="43" t="n"/>
      <c r="D42" s="43" t="n"/>
      <c r="E42" s="43" t="n"/>
      <c r="F42" s="43" t="n"/>
      <c r="G42" s="43" t="n"/>
      <c r="H42" s="43" t="n"/>
      <c r="I42" s="43" t="n"/>
      <c r="J42" s="43" t="n"/>
      <c r="K42" s="43" t="n"/>
      <c r="L42" s="43" t="n"/>
      <c r="M42" s="43" t="n"/>
    </row>
    <row r="43">
      <c r="A43" s="43" t="n"/>
      <c r="B43" s="43" t="n"/>
      <c r="C43" s="43" t="n"/>
      <c r="D43" s="43" t="n"/>
      <c r="E43" s="43" t="n"/>
      <c r="F43" s="43" t="n"/>
      <c r="G43" s="43" t="n"/>
      <c r="H43" s="43" t="n"/>
      <c r="I43" s="43" t="n"/>
      <c r="J43" s="43" t="n"/>
      <c r="K43" s="43" t="n"/>
      <c r="L43" s="43" t="n"/>
      <c r="M43" s="43" t="n"/>
    </row>
    <row r="44">
      <c r="A44" s="43" t="n"/>
      <c r="B44" s="43" t="n"/>
      <c r="C44" s="43" t="n"/>
      <c r="D44" s="43" t="n"/>
      <c r="E44" s="43" t="n"/>
      <c r="F44" s="43" t="n"/>
      <c r="G44" s="43" t="n"/>
      <c r="H44" s="43" t="n"/>
      <c r="I44" s="43" t="n"/>
      <c r="J44" s="43" t="n"/>
      <c r="K44" s="43" t="n"/>
      <c r="L44" s="43" t="n"/>
      <c r="M44" s="43" t="n"/>
    </row>
    <row r="45">
      <c r="A45" s="43" t="n"/>
      <c r="B45" s="43" t="n"/>
      <c r="C45" s="43" t="n"/>
      <c r="D45" s="43" t="n"/>
      <c r="E45" s="43" t="n"/>
      <c r="F45" s="43" t="n"/>
      <c r="G45" s="43" t="n"/>
      <c r="H45" s="43" t="n"/>
      <c r="I45" s="43" t="n"/>
      <c r="J45" s="43" t="n"/>
      <c r="K45" s="43" t="n"/>
      <c r="L45" s="43" t="n"/>
      <c r="M45" s="43" t="n"/>
    </row>
    <row r="46">
      <c r="A46" s="43" t="n"/>
      <c r="B46" s="43" t="n"/>
      <c r="C46" s="43" t="n"/>
      <c r="D46" s="43" t="n"/>
      <c r="E46" s="43" t="n"/>
      <c r="F46" s="43" t="n"/>
      <c r="G46" s="43" t="n"/>
      <c r="H46" s="43" t="n"/>
      <c r="I46" s="43" t="n"/>
      <c r="J46" s="43" t="n"/>
      <c r="K46" s="43" t="n"/>
      <c r="L46" s="43" t="n"/>
      <c r="M46" s="43" t="n"/>
    </row>
    <row r="47">
      <c r="A47" s="43" t="n"/>
      <c r="B47" s="43" t="n"/>
      <c r="C47" s="43" t="n"/>
      <c r="D47" s="43" t="n"/>
      <c r="E47" s="43" t="n"/>
      <c r="F47" s="43" t="n"/>
      <c r="G47" s="43" t="n"/>
      <c r="H47" s="43" t="n"/>
      <c r="I47" s="43" t="n"/>
      <c r="J47" s="43" t="n"/>
      <c r="K47" s="43" t="n"/>
      <c r="L47" s="43" t="n"/>
      <c r="M47" s="43" t="n"/>
    </row>
    <row r="48">
      <c r="A48" s="43" t="n"/>
      <c r="B48" s="43" t="n"/>
      <c r="C48" s="43" t="n"/>
      <c r="D48" s="43" t="n"/>
      <c r="E48" s="43" t="n"/>
      <c r="F48" s="43" t="n"/>
      <c r="G48" s="43" t="n"/>
      <c r="H48" s="43" t="n"/>
      <c r="I48" s="43" t="n"/>
      <c r="J48" s="43" t="n"/>
      <c r="K48" s="43" t="n"/>
      <c r="L48" s="43" t="n"/>
      <c r="M48" s="43" t="n"/>
    </row>
    <row r="49">
      <c r="A49" s="43" t="n"/>
      <c r="B49" s="43" t="n"/>
      <c r="C49" s="43" t="n"/>
      <c r="D49" s="43" t="n"/>
      <c r="E49" s="43" t="n"/>
      <c r="F49" s="43" t="n"/>
      <c r="G49" s="43" t="n"/>
      <c r="H49" s="43" t="n"/>
      <c r="I49" s="43" t="n"/>
      <c r="J49" s="43" t="n"/>
      <c r="K49" s="43" t="n"/>
      <c r="L49" s="43" t="n"/>
      <c r="M49" s="43" t="n"/>
    </row>
    <row r="50">
      <c r="A50" s="43" t="n"/>
      <c r="B50" s="43" t="n"/>
      <c r="C50" s="43" t="n"/>
      <c r="D50" s="43" t="n"/>
      <c r="E50" s="43" t="n"/>
      <c r="F50" s="43" t="n"/>
      <c r="G50" s="43" t="n"/>
      <c r="H50" s="43" t="n"/>
      <c r="I50" s="43" t="n"/>
      <c r="J50" s="43" t="n"/>
      <c r="K50" s="43" t="n"/>
      <c r="L50" s="43" t="n"/>
      <c r="M50" s="43" t="n"/>
    </row>
    <row r="51">
      <c r="A51" s="43" t="n"/>
      <c r="B51" s="43" t="n"/>
      <c r="C51" s="43" t="n"/>
      <c r="D51" s="43" t="n"/>
      <c r="E51" s="43" t="n"/>
      <c r="F51" s="43" t="n"/>
      <c r="G51" s="43" t="n"/>
      <c r="H51" s="43" t="n"/>
      <c r="I51" s="43" t="n"/>
      <c r="J51" s="43" t="n"/>
      <c r="K51" s="43" t="n"/>
      <c r="L51" s="43" t="n"/>
      <c r="M51" s="43" t="n"/>
    </row>
    <row r="52">
      <c r="A52" s="43" t="n"/>
      <c r="B52" s="43" t="n"/>
      <c r="C52" s="43" t="n"/>
      <c r="D52" s="43" t="n"/>
      <c r="E52" s="43" t="n"/>
      <c r="F52" s="43" t="n"/>
      <c r="G52" s="43" t="n"/>
      <c r="H52" s="43" t="n"/>
      <c r="I52" s="43" t="n"/>
      <c r="J52" s="43" t="n"/>
      <c r="K52" s="43" t="n"/>
      <c r="L52" s="43" t="n"/>
      <c r="M52" s="43" t="n"/>
    </row>
    <row r="53">
      <c r="A53" s="43" t="n"/>
      <c r="B53" s="43" t="n"/>
      <c r="C53" s="43" t="n"/>
      <c r="D53" s="43" t="n"/>
      <c r="E53" s="43" t="n"/>
      <c r="F53" s="43" t="n"/>
      <c r="G53" s="43" t="n"/>
      <c r="H53" s="43" t="n"/>
      <c r="I53" s="43" t="n"/>
      <c r="J53" s="43" t="n"/>
      <c r="K53" s="43" t="n"/>
      <c r="L53" s="43" t="n"/>
      <c r="M53" s="43" t="n"/>
    </row>
    <row r="54">
      <c r="A54" s="43" t="n"/>
      <c r="B54" s="43" t="n"/>
      <c r="C54" s="43" t="n"/>
      <c r="D54" s="43" t="n"/>
      <c r="E54" s="43" t="n"/>
      <c r="F54" s="43" t="n"/>
      <c r="G54" s="43" t="n"/>
      <c r="H54" s="43" t="n"/>
      <c r="I54" s="43" t="n"/>
      <c r="J54" s="43" t="n"/>
      <c r="K54" s="43" t="n"/>
      <c r="L54" s="43" t="n"/>
      <c r="M54" s="43" t="n"/>
    </row>
    <row r="55">
      <c r="A55" s="43" t="n"/>
      <c r="B55" s="43" t="n"/>
      <c r="C55" s="43" t="n"/>
      <c r="D55" s="43" t="n"/>
      <c r="E55" s="43" t="n"/>
      <c r="F55" s="43" t="n"/>
      <c r="G55" s="43" t="n"/>
      <c r="H55" s="43" t="n"/>
      <c r="I55" s="43" t="n"/>
      <c r="J55" s="43" t="n"/>
      <c r="K55" s="43" t="n"/>
      <c r="L55" s="43" t="n"/>
      <c r="M55" s="43" t="n"/>
    </row>
    <row r="56">
      <c r="A56" s="43" t="n"/>
      <c r="B56" s="43" t="n"/>
      <c r="C56" s="43" t="n"/>
      <c r="D56" s="43" t="n"/>
      <c r="E56" s="43" t="n"/>
      <c r="F56" s="43" t="n"/>
      <c r="G56" s="43" t="n"/>
      <c r="H56" s="43" t="n"/>
      <c r="I56" s="43" t="n"/>
      <c r="J56" s="43" t="n"/>
      <c r="K56" s="43" t="n"/>
      <c r="L56" s="43" t="n"/>
      <c r="M56" s="43" t="n"/>
    </row>
    <row r="57">
      <c r="A57" s="43" t="n"/>
      <c r="B57" s="43" t="n"/>
      <c r="C57" s="43" t="n"/>
      <c r="D57" s="43" t="n"/>
      <c r="E57" s="43" t="n"/>
      <c r="F57" s="43" t="n"/>
      <c r="G57" s="43" t="n"/>
      <c r="H57" s="43" t="n"/>
      <c r="I57" s="43" t="n"/>
      <c r="J57" s="43" t="n"/>
      <c r="K57" s="43" t="n"/>
      <c r="L57" s="43" t="n"/>
      <c r="M57" s="43" t="n"/>
    </row>
    <row r="58">
      <c r="A58" s="43" t="n"/>
      <c r="B58" s="43" t="n"/>
      <c r="C58" s="43" t="n"/>
      <c r="D58" s="43" t="n"/>
      <c r="E58" s="43" t="n"/>
      <c r="F58" s="43" t="n"/>
      <c r="G58" s="43" t="n"/>
      <c r="H58" s="43" t="n"/>
      <c r="I58" s="43" t="n"/>
      <c r="J58" s="43" t="n"/>
      <c r="K58" s="43" t="n"/>
      <c r="L58" s="43" t="n"/>
      <c r="M58" s="43" t="n"/>
    </row>
    <row r="59">
      <c r="A59" s="43" t="n"/>
      <c r="B59" s="43" t="n"/>
      <c r="C59" s="43" t="n"/>
      <c r="D59" s="43" t="n"/>
      <c r="E59" s="43" t="n"/>
      <c r="F59" s="43" t="n"/>
      <c r="G59" s="43" t="n"/>
      <c r="H59" s="43" t="n"/>
      <c r="I59" s="43" t="n"/>
      <c r="J59" s="43" t="n"/>
      <c r="K59" s="43" t="n"/>
      <c r="L59" s="43" t="n"/>
      <c r="M59" s="43" t="n"/>
    </row>
    <row r="60">
      <c r="A60" s="43" t="n"/>
      <c r="B60" s="43" t="n"/>
      <c r="C60" s="43" t="n"/>
      <c r="D60" s="43" t="n"/>
      <c r="E60" s="43" t="n"/>
      <c r="F60" s="43" t="n"/>
      <c r="G60" s="43" t="n"/>
      <c r="H60" s="43" t="n"/>
      <c r="I60" s="43" t="n"/>
      <c r="J60" s="43" t="n"/>
      <c r="K60" s="43" t="n"/>
      <c r="L60" s="43" t="n"/>
      <c r="M60" s="43" t="n"/>
    </row>
    <row r="61">
      <c r="A61" s="43" t="n"/>
      <c r="B61" s="43" t="n"/>
      <c r="C61" s="43" t="n"/>
      <c r="D61" s="43" t="n"/>
      <c r="E61" s="43" t="n"/>
      <c r="F61" s="43" t="n"/>
      <c r="G61" s="43" t="n"/>
      <c r="H61" s="43" t="n"/>
      <c r="I61" s="43" t="n"/>
      <c r="J61" s="43" t="n"/>
      <c r="K61" s="43" t="n"/>
      <c r="L61" s="43" t="n"/>
      <c r="M61" s="43" t="n"/>
    </row>
    <row r="62">
      <c r="A62" s="43" t="n"/>
      <c r="B62" s="43" t="n"/>
      <c r="C62" s="43" t="n"/>
      <c r="D62" s="43" t="n"/>
      <c r="E62" s="43" t="n"/>
      <c r="F62" s="43" t="n"/>
      <c r="G62" s="43" t="n"/>
      <c r="H62" s="43" t="n"/>
      <c r="I62" s="43" t="n"/>
      <c r="J62" s="43" t="n"/>
      <c r="K62" s="43" t="n"/>
      <c r="L62" s="43" t="n"/>
      <c r="M62" s="43" t="n"/>
    </row>
    <row r="63">
      <c r="A63" s="43" t="n"/>
      <c r="B63" s="43" t="n"/>
      <c r="C63" s="43" t="n"/>
      <c r="D63" s="43" t="n"/>
      <c r="E63" s="43" t="n"/>
      <c r="F63" s="43" t="n"/>
      <c r="G63" s="43" t="n"/>
      <c r="H63" s="43" t="n"/>
      <c r="I63" s="43" t="n"/>
      <c r="J63" s="43" t="n"/>
      <c r="K63" s="43" t="n"/>
      <c r="L63" s="43" t="n"/>
      <c r="M63" s="43" t="n"/>
    </row>
    <row r="64">
      <c r="A64" s="43" t="n"/>
      <c r="B64" s="43" t="n"/>
      <c r="C64" s="43" t="n"/>
      <c r="D64" s="43" t="n"/>
      <c r="E64" s="43" t="n"/>
      <c r="F64" s="43" t="n"/>
      <c r="G64" s="43" t="n"/>
      <c r="H64" s="43" t="n"/>
      <c r="I64" s="43" t="n"/>
      <c r="J64" s="43" t="n"/>
      <c r="K64" s="43" t="n"/>
      <c r="L64" s="43" t="n"/>
      <c r="M64" s="43" t="n"/>
    </row>
    <row r="65">
      <c r="A65" s="43" t="n"/>
      <c r="B65" s="43" t="n"/>
      <c r="C65" s="43" t="n"/>
      <c r="D65" s="43" t="n"/>
      <c r="E65" s="43" t="n"/>
      <c r="F65" s="43" t="n"/>
      <c r="G65" s="43" t="n"/>
      <c r="H65" s="43" t="n"/>
      <c r="I65" s="43" t="n"/>
      <c r="J65" s="43" t="n"/>
      <c r="K65" s="43" t="n"/>
      <c r="L65" s="43" t="n"/>
      <c r="M65" s="43" t="n"/>
    </row>
    <row r="66">
      <c r="A66" s="43" t="n"/>
      <c r="B66" s="43" t="n"/>
      <c r="C66" s="43" t="n"/>
      <c r="D66" s="43" t="n"/>
      <c r="E66" s="43" t="n"/>
      <c r="F66" s="43" t="n"/>
      <c r="G66" s="43" t="n"/>
      <c r="H66" s="43" t="n"/>
      <c r="I66" s="43" t="n"/>
      <c r="J66" s="43" t="n"/>
      <c r="K66" s="43" t="n"/>
      <c r="L66" s="43" t="n"/>
      <c r="M66" s="43" t="n"/>
    </row>
    <row r="67">
      <c r="A67" s="43" t="n"/>
      <c r="B67" s="43" t="n"/>
      <c r="C67" s="43" t="n"/>
      <c r="D67" s="43" t="n"/>
      <c r="E67" s="43" t="n"/>
      <c r="F67" s="43" t="n"/>
      <c r="G67" s="43" t="n"/>
      <c r="H67" s="43" t="n"/>
      <c r="I67" s="43" t="n"/>
      <c r="J67" s="43" t="n"/>
      <c r="K67" s="43" t="n"/>
      <c r="L67" s="43" t="n"/>
      <c r="M67" s="43" t="n"/>
    </row>
    <row r="68">
      <c r="A68" s="43" t="n"/>
      <c r="B68" s="43" t="n"/>
      <c r="C68" s="43" t="n"/>
      <c r="D68" s="43" t="n"/>
      <c r="E68" s="43" t="n"/>
      <c r="F68" s="43" t="n"/>
      <c r="G68" s="43" t="n"/>
      <c r="H68" s="43" t="n"/>
      <c r="I68" s="43" t="n"/>
      <c r="J68" s="43" t="n"/>
      <c r="K68" s="43" t="n"/>
      <c r="L68" s="43" t="n"/>
      <c r="M68" s="43" t="n"/>
    </row>
    <row r="69">
      <c r="A69" s="43" t="n"/>
      <c r="B69" s="43" t="n"/>
      <c r="C69" s="43" t="n"/>
      <c r="D69" s="43" t="n"/>
      <c r="E69" s="43" t="n"/>
      <c r="F69" s="43" t="n"/>
      <c r="G69" s="43" t="n"/>
      <c r="H69" s="43" t="n"/>
      <c r="I69" s="43" t="n"/>
      <c r="J69" s="43" t="n"/>
      <c r="K69" s="43" t="n"/>
      <c r="L69" s="43" t="n"/>
      <c r="M69" s="43" t="n"/>
    </row>
    <row r="70">
      <c r="A70" s="43" t="n"/>
      <c r="B70" s="43" t="n"/>
      <c r="C70" s="43" t="n"/>
      <c r="D70" s="43" t="n"/>
      <c r="E70" s="43" t="n"/>
      <c r="F70" s="43" t="n"/>
      <c r="G70" s="43" t="n"/>
      <c r="H70" s="43" t="n"/>
      <c r="I70" s="43" t="n"/>
      <c r="J70" s="43" t="n"/>
      <c r="K70" s="43" t="n"/>
      <c r="L70" s="43" t="n"/>
      <c r="M70" s="43" t="n"/>
    </row>
    <row r="71">
      <c r="A71" s="43" t="n"/>
      <c r="B71" s="43" t="n"/>
      <c r="C71" s="43" t="n"/>
      <c r="D71" s="43" t="n"/>
      <c r="E71" s="43" t="n"/>
      <c r="F71" s="43" t="n"/>
      <c r="G71" s="43" t="n"/>
      <c r="H71" s="43" t="n"/>
      <c r="I71" s="43" t="n"/>
      <c r="J71" s="43" t="n"/>
      <c r="K71" s="43" t="n"/>
      <c r="L71" s="43" t="n"/>
      <c r="M71" s="43" t="n"/>
    </row>
    <row r="72">
      <c r="A72" s="43" t="n"/>
      <c r="B72" s="43" t="n"/>
      <c r="C72" s="43" t="n"/>
      <c r="D72" s="43" t="n"/>
      <c r="E72" s="43" t="n"/>
      <c r="F72" s="43" t="n"/>
      <c r="G72" s="43" t="n"/>
      <c r="H72" s="43" t="n"/>
      <c r="I72" s="43" t="n"/>
      <c r="J72" s="43" t="n"/>
      <c r="K72" s="43" t="n"/>
      <c r="L72" s="43" t="n"/>
      <c r="M72" s="43" t="n"/>
    </row>
    <row r="73">
      <c r="A73" s="43" t="n"/>
      <c r="B73" s="43" t="n"/>
      <c r="C73" s="43" t="n"/>
      <c r="D73" s="43" t="n"/>
      <c r="E73" s="43" t="n"/>
      <c r="F73" s="43" t="n"/>
      <c r="G73" s="43" t="n"/>
      <c r="H73" s="43" t="n"/>
      <c r="I73" s="43" t="n"/>
      <c r="J73" s="43" t="n"/>
      <c r="K73" s="43" t="n"/>
      <c r="L73" s="43" t="n"/>
      <c r="M73" s="43" t="n"/>
    </row>
    <row r="74">
      <c r="A74" s="43" t="n"/>
      <c r="B74" s="43" t="n"/>
      <c r="C74" s="43" t="n"/>
      <c r="D74" s="43" t="n"/>
      <c r="E74" s="43" t="n"/>
      <c r="F74" s="43" t="n"/>
      <c r="G74" s="43" t="n"/>
      <c r="H74" s="43" t="n"/>
      <c r="I74" s="43" t="n"/>
      <c r="J74" s="43" t="n"/>
      <c r="K74" s="43" t="n"/>
      <c r="L74" s="43" t="n"/>
      <c r="M74" s="43" t="n"/>
    </row>
    <row r="75">
      <c r="A75" s="43" t="n"/>
      <c r="B75" s="43" t="n"/>
      <c r="C75" s="43" t="n"/>
      <c r="D75" s="43" t="n"/>
      <c r="E75" s="43" t="n"/>
      <c r="F75" s="43" t="n"/>
      <c r="G75" s="43" t="n"/>
      <c r="H75" s="43" t="n"/>
      <c r="I75" s="43" t="n"/>
      <c r="J75" s="43" t="n"/>
      <c r="K75" s="43" t="n"/>
      <c r="L75" s="43" t="n"/>
      <c r="M75" s="43" t="n"/>
    </row>
    <row r="76">
      <c r="A76" s="43" t="n"/>
      <c r="B76" s="43" t="n"/>
      <c r="C76" s="43" t="n"/>
      <c r="D76" s="43" t="n"/>
      <c r="E76" s="43" t="n"/>
      <c r="F76" s="43" t="n"/>
      <c r="G76" s="43" t="n"/>
      <c r="H76" s="43" t="n"/>
      <c r="I76" s="43" t="n"/>
      <c r="J76" s="43" t="n"/>
      <c r="K76" s="43" t="n"/>
      <c r="L76" s="43" t="n"/>
      <c r="M76" s="43" t="n"/>
    </row>
    <row r="77">
      <c r="A77" s="43" t="n"/>
      <c r="B77" s="43" t="n"/>
      <c r="C77" s="43" t="n"/>
      <c r="D77" s="43" t="n"/>
      <c r="E77" s="43" t="n"/>
      <c r="F77" s="43" t="n"/>
      <c r="G77" s="43" t="n"/>
      <c r="H77" s="43" t="n"/>
      <c r="I77" s="43" t="n"/>
      <c r="J77" s="43" t="n"/>
      <c r="K77" s="43" t="n"/>
      <c r="L77" s="43" t="n"/>
      <c r="M77" s="43" t="n"/>
    </row>
    <row r="78">
      <c r="A78" s="43" t="n"/>
      <c r="B78" s="43" t="n"/>
      <c r="C78" s="43" t="n"/>
      <c r="D78" s="43" t="n"/>
      <c r="E78" s="43" t="n"/>
      <c r="F78" s="43" t="n"/>
      <c r="G78" s="43" t="n"/>
      <c r="H78" s="43" t="n"/>
      <c r="I78" s="43" t="n"/>
      <c r="J78" s="43" t="n"/>
      <c r="K78" s="43" t="n"/>
      <c r="L78" s="43" t="n"/>
      <c r="M78" s="43" t="n"/>
    </row>
    <row r="79">
      <c r="A79" s="43" t="n"/>
      <c r="B79" s="43" t="n"/>
      <c r="C79" s="43" t="n"/>
      <c r="D79" s="43" t="n"/>
      <c r="E79" s="43" t="n"/>
      <c r="F79" s="43" t="n"/>
      <c r="G79" s="43" t="n"/>
      <c r="H79" s="43" t="n"/>
      <c r="I79" s="43" t="n"/>
      <c r="J79" s="43" t="n"/>
      <c r="K79" s="43" t="n"/>
      <c r="L79" s="43" t="n"/>
      <c r="M79" s="43" t="n"/>
    </row>
    <row r="80">
      <c r="A80" s="43" t="n"/>
      <c r="B80" s="43" t="n"/>
      <c r="C80" s="43" t="n"/>
      <c r="D80" s="43" t="n"/>
      <c r="E80" s="43" t="n"/>
      <c r="F80" s="43" t="n"/>
      <c r="G80" s="43" t="n"/>
      <c r="H80" s="43" t="n"/>
      <c r="I80" s="43" t="n"/>
      <c r="J80" s="43" t="n"/>
      <c r="K80" s="43" t="n"/>
      <c r="L80" s="43" t="n"/>
      <c r="M80" s="43" t="n"/>
    </row>
    <row r="81">
      <c r="A81" s="43" t="n"/>
      <c r="B81" s="43" t="n"/>
      <c r="C81" s="43" t="n"/>
      <c r="D81" s="43" t="n"/>
      <c r="E81" s="43" t="n"/>
      <c r="F81" s="43" t="n"/>
      <c r="G81" s="43" t="n"/>
      <c r="H81" s="43" t="n"/>
      <c r="I81" s="43" t="n"/>
      <c r="J81" s="43" t="n"/>
      <c r="K81" s="43" t="n"/>
      <c r="L81" s="43" t="n"/>
      <c r="M81" s="43" t="n"/>
    </row>
    <row r="82">
      <c r="A82" s="43" t="n"/>
      <c r="B82" s="43" t="n"/>
      <c r="C82" s="43" t="n"/>
      <c r="D82" s="43" t="n"/>
      <c r="E82" s="43" t="n"/>
      <c r="F82" s="43" t="n"/>
      <c r="G82" s="43" t="n"/>
      <c r="H82" s="43" t="n"/>
      <c r="I82" s="43" t="n"/>
      <c r="J82" s="43" t="n"/>
      <c r="K82" s="43" t="n"/>
      <c r="L82" s="43" t="n"/>
      <c r="M82" s="43" t="n"/>
    </row>
    <row r="83">
      <c r="A83" s="43" t="n"/>
      <c r="B83" s="43" t="n"/>
      <c r="C83" s="43" t="n"/>
      <c r="D83" s="43" t="n"/>
      <c r="E83" s="43" t="n"/>
      <c r="F83" s="43" t="n"/>
      <c r="G83" s="43" t="n"/>
      <c r="H83" s="43" t="n"/>
      <c r="I83" s="43" t="n"/>
      <c r="J83" s="43" t="n"/>
      <c r="K83" s="43" t="n"/>
      <c r="L83" s="43" t="n"/>
      <c r="M83" s="43" t="n"/>
    </row>
    <row r="84">
      <c r="A84" s="43" t="n"/>
      <c r="B84" s="43" t="n"/>
      <c r="C84" s="43" t="n"/>
      <c r="D84" s="43" t="n"/>
      <c r="E84" s="43" t="n"/>
      <c r="F84" s="43" t="n"/>
      <c r="G84" s="43" t="n"/>
      <c r="H84" s="43" t="n"/>
      <c r="I84" s="43" t="n"/>
      <c r="J84" s="43" t="n"/>
      <c r="K84" s="43" t="n"/>
      <c r="L84" s="43" t="n"/>
      <c r="M84" s="43" t="n"/>
    </row>
    <row r="85">
      <c r="A85" s="43" t="n"/>
      <c r="B85" s="43" t="n"/>
      <c r="C85" s="43" t="n"/>
      <c r="D85" s="43" t="n"/>
      <c r="E85" s="43" t="n"/>
      <c r="F85" s="43" t="n"/>
      <c r="G85" s="43" t="n"/>
      <c r="H85" s="43" t="n"/>
      <c r="I85" s="43" t="n"/>
      <c r="J85" s="43" t="n"/>
      <c r="K85" s="43" t="n"/>
      <c r="L85" s="43" t="n"/>
      <c r="M85" s="43" t="n"/>
    </row>
    <row r="86">
      <c r="A86" s="43" t="n"/>
      <c r="B86" s="43" t="n"/>
      <c r="C86" s="43" t="n"/>
      <c r="D86" s="43" t="n"/>
      <c r="E86" s="43" t="n"/>
      <c r="F86" s="43" t="n"/>
      <c r="G86" s="43" t="n"/>
      <c r="H86" s="43" t="n"/>
      <c r="I86" s="43" t="n"/>
      <c r="J86" s="43" t="n"/>
      <c r="K86" s="43" t="n"/>
      <c r="L86" s="43" t="n"/>
      <c r="M86" s="43" t="n"/>
    </row>
    <row r="87">
      <c r="A87" s="43" t="n"/>
      <c r="B87" s="43" t="n"/>
      <c r="C87" s="43" t="n"/>
      <c r="D87" s="43" t="n"/>
      <c r="E87" s="43" t="n"/>
      <c r="F87" s="43" t="n"/>
      <c r="G87" s="43" t="n"/>
      <c r="H87" s="43" t="n"/>
      <c r="I87" s="43" t="n"/>
      <c r="J87" s="43" t="n"/>
      <c r="K87" s="43" t="n"/>
      <c r="L87" s="43" t="n"/>
      <c r="M87" s="43" t="n"/>
    </row>
    <row r="88">
      <c r="A88" s="43" t="n"/>
      <c r="B88" s="43" t="n"/>
      <c r="C88" s="43" t="n"/>
      <c r="D88" s="43" t="n"/>
      <c r="E88" s="43" t="n"/>
      <c r="F88" s="43" t="n"/>
      <c r="G88" s="43" t="n"/>
      <c r="H88" s="43" t="n"/>
      <c r="I88" s="43" t="n"/>
      <c r="J88" s="43" t="n"/>
      <c r="K88" s="43" t="n"/>
      <c r="L88" s="43" t="n"/>
      <c r="M88" s="43" t="n"/>
    </row>
    <row r="89">
      <c r="A89" s="43" t="n"/>
      <c r="B89" s="43" t="n"/>
      <c r="C89" s="43" t="n"/>
      <c r="D89" s="43" t="n"/>
      <c r="E89" s="43" t="n"/>
      <c r="F89" s="43" t="n"/>
      <c r="G89" s="43" t="n"/>
      <c r="H89" s="43" t="n"/>
      <c r="I89" s="43" t="n"/>
      <c r="J89" s="43" t="n"/>
      <c r="K89" s="43" t="n"/>
      <c r="L89" s="43" t="n"/>
      <c r="M89" s="43" t="n"/>
    </row>
    <row r="90">
      <c r="A90" s="43" t="n"/>
      <c r="B90" s="43" t="n"/>
      <c r="C90" s="43" t="n"/>
      <c r="D90" s="43" t="n"/>
      <c r="E90" s="43" t="n"/>
      <c r="F90" s="43" t="n"/>
      <c r="G90" s="43" t="n"/>
      <c r="H90" s="43" t="n"/>
      <c r="I90" s="43" t="n"/>
      <c r="J90" s="43" t="n"/>
      <c r="K90" s="43" t="n"/>
      <c r="L90" s="43" t="n"/>
      <c r="M90" s="43" t="n"/>
    </row>
    <row r="91">
      <c r="A91" s="43" t="n"/>
      <c r="B91" s="43" t="n"/>
      <c r="C91" s="43" t="n"/>
      <c r="D91" s="43" t="n"/>
      <c r="E91" s="43" t="n"/>
      <c r="F91" s="43" t="n"/>
      <c r="G91" s="43" t="n"/>
      <c r="H91" s="43" t="n"/>
      <c r="I91" s="43" t="n"/>
      <c r="J91" s="43" t="n"/>
      <c r="K91" s="43" t="n"/>
      <c r="L91" s="43" t="n"/>
      <c r="M91" s="43" t="n"/>
    </row>
    <row r="92">
      <c r="A92" s="43" t="n"/>
      <c r="B92" s="43" t="n"/>
      <c r="C92" s="43" t="n"/>
      <c r="D92" s="43" t="n"/>
      <c r="E92" s="43" t="n"/>
      <c r="F92" s="43" t="n"/>
      <c r="G92" s="43" t="n"/>
      <c r="H92" s="43" t="n"/>
      <c r="I92" s="43" t="n"/>
      <c r="J92" s="43" t="n"/>
      <c r="K92" s="43" t="n"/>
      <c r="L92" s="43" t="n"/>
      <c r="M92" s="43" t="n"/>
    </row>
    <row r="93">
      <c r="A93" s="43" t="n"/>
      <c r="B93" s="43" t="n"/>
      <c r="C93" s="43" t="n"/>
      <c r="D93" s="43" t="n"/>
      <c r="E93" s="43" t="n"/>
      <c r="F93" s="43" t="n"/>
      <c r="G93" s="43" t="n"/>
      <c r="H93" s="43" t="n"/>
      <c r="I93" s="43" t="n"/>
      <c r="J93" s="43" t="n"/>
      <c r="K93" s="43" t="n"/>
      <c r="L93" s="43" t="n"/>
      <c r="M93" s="43" t="n"/>
    </row>
    <row r="94">
      <c r="A94" s="43" t="n"/>
      <c r="B94" s="43" t="n"/>
      <c r="C94" s="43" t="n"/>
      <c r="D94" s="43" t="n"/>
      <c r="E94" s="43" t="n"/>
      <c r="F94" s="43" t="n"/>
      <c r="G94" s="43" t="n"/>
      <c r="H94" s="43" t="n"/>
      <c r="I94" s="43" t="n"/>
      <c r="J94" s="43" t="n"/>
      <c r="K94" s="43" t="n"/>
      <c r="L94" s="43" t="n"/>
      <c r="M94" s="43" t="n"/>
    </row>
    <row r="95">
      <c r="A95" s="43" t="n"/>
      <c r="B95" s="43" t="n"/>
      <c r="C95" s="43" t="n"/>
      <c r="D95" s="43" t="n"/>
      <c r="E95" s="43" t="n"/>
      <c r="F95" s="43" t="n"/>
      <c r="G95" s="43" t="n"/>
      <c r="H95" s="43" t="n"/>
      <c r="I95" s="43" t="n"/>
      <c r="J95" s="43" t="n"/>
      <c r="K95" s="43" t="n"/>
      <c r="L95" s="43" t="n"/>
      <c r="M95" s="43" t="n"/>
    </row>
    <row r="96">
      <c r="A96" s="43" t="n"/>
      <c r="B96" s="43" t="n"/>
      <c r="C96" s="43" t="n"/>
      <c r="D96" s="43" t="n"/>
      <c r="E96" s="43" t="n"/>
      <c r="F96" s="43" t="n"/>
      <c r="G96" s="43" t="n"/>
      <c r="H96" s="43" t="n"/>
      <c r="I96" s="43" t="n"/>
      <c r="J96" s="43" t="n"/>
      <c r="K96" s="43" t="n"/>
      <c r="L96" s="43" t="n"/>
      <c r="M96" s="43" t="n"/>
    </row>
    <row r="97">
      <c r="A97" s="43" t="n"/>
      <c r="B97" s="43" t="n"/>
      <c r="C97" s="43" t="n"/>
      <c r="D97" s="43" t="n"/>
      <c r="E97" s="43" t="n"/>
      <c r="F97" s="43" t="n"/>
      <c r="G97" s="43" t="n"/>
      <c r="H97" s="43" t="n"/>
      <c r="I97" s="43" t="n"/>
      <c r="J97" s="43" t="n"/>
      <c r="K97" s="43" t="n"/>
      <c r="L97" s="43" t="n"/>
      <c r="M97" s="43" t="n"/>
    </row>
    <row r="98">
      <c r="A98" s="43" t="n"/>
      <c r="B98" s="43" t="n"/>
      <c r="C98" s="43" t="n"/>
      <c r="D98" s="43" t="n"/>
      <c r="E98" s="43" t="n"/>
      <c r="F98" s="43" t="n"/>
      <c r="G98" s="43" t="n"/>
      <c r="H98" s="43" t="n"/>
      <c r="I98" s="43" t="n"/>
      <c r="J98" s="43" t="n"/>
      <c r="K98" s="43" t="n"/>
      <c r="L98" s="43" t="n"/>
      <c r="M98" s="43" t="n"/>
    </row>
    <row r="99">
      <c r="A99" s="43" t="n"/>
      <c r="B99" s="43" t="n"/>
      <c r="C99" s="43" t="n"/>
      <c r="D99" s="43" t="n"/>
      <c r="E99" s="43" t="n"/>
      <c r="F99" s="43" t="n"/>
      <c r="G99" s="43" t="n"/>
      <c r="H99" s="43" t="n"/>
      <c r="I99" s="43" t="n"/>
      <c r="J99" s="43" t="n"/>
      <c r="K99" s="43" t="n"/>
      <c r="L99" s="43" t="n"/>
      <c r="M99" s="43" t="n"/>
    </row>
    <row r="100">
      <c r="A100" s="43" t="n"/>
      <c r="B100" s="43" t="n"/>
      <c r="C100" s="43" t="n"/>
      <c r="D100" s="43" t="n"/>
      <c r="E100" s="43" t="n"/>
      <c r="F100" s="43" t="n"/>
      <c r="G100" s="43" t="n"/>
      <c r="H100" s="43" t="n"/>
      <c r="I100" s="43" t="n"/>
      <c r="J100" s="43" t="n"/>
      <c r="K100" s="43" t="n"/>
      <c r="L100" s="43" t="n"/>
      <c r="M100" s="43" t="n"/>
    </row>
    <row r="101">
      <c r="A101" s="43" t="n"/>
      <c r="B101" s="43" t="n"/>
      <c r="C101" s="43" t="n"/>
      <c r="D101" s="43" t="n"/>
      <c r="E101" s="43" t="n"/>
      <c r="F101" s="43" t="n"/>
      <c r="G101" s="43" t="n"/>
      <c r="H101" s="43" t="n"/>
      <c r="I101" s="43" t="n"/>
      <c r="J101" s="43" t="n"/>
      <c r="K101" s="43" t="n"/>
      <c r="L101" s="43" t="n"/>
      <c r="M101" s="43" t="n"/>
    </row>
    <row r="102">
      <c r="A102" s="43" t="n"/>
      <c r="B102" s="43" t="n"/>
      <c r="C102" s="43" t="n"/>
      <c r="D102" s="43" t="n"/>
      <c r="E102" s="43" t="n"/>
      <c r="F102" s="43" t="n"/>
      <c r="G102" s="43" t="n"/>
      <c r="H102" s="43" t="n"/>
      <c r="I102" s="43" t="n"/>
      <c r="J102" s="43" t="n"/>
      <c r="K102" s="43" t="n"/>
      <c r="L102" s="43" t="n"/>
      <c r="M102" s="43" t="n"/>
    </row>
    <row r="103">
      <c r="A103" s="43" t="n"/>
      <c r="B103" s="43" t="n"/>
      <c r="C103" s="43" t="n"/>
      <c r="D103" s="43" t="n"/>
      <c r="E103" s="43" t="n"/>
      <c r="F103" s="43" t="n"/>
      <c r="G103" s="43" t="n"/>
      <c r="H103" s="43" t="n"/>
      <c r="I103" s="43" t="n"/>
      <c r="J103" s="43" t="n"/>
      <c r="K103" s="43" t="n"/>
      <c r="L103" s="43" t="n"/>
      <c r="M103" s="43" t="n"/>
    </row>
    <row r="104">
      <c r="A104" s="43" t="n"/>
      <c r="B104" s="43" t="n"/>
      <c r="C104" s="43" t="n"/>
      <c r="D104" s="43" t="n"/>
      <c r="E104" s="43" t="n"/>
      <c r="F104" s="43" t="n"/>
      <c r="G104" s="43" t="n"/>
      <c r="H104" s="43" t="n"/>
      <c r="I104" s="43" t="n"/>
      <c r="J104" s="43" t="n"/>
      <c r="K104" s="43" t="n"/>
      <c r="L104" s="43" t="n"/>
      <c r="M104" s="43" t="n"/>
    </row>
    <row r="105">
      <c r="A105" s="43" t="n"/>
      <c r="B105" s="43" t="n"/>
      <c r="C105" s="43" t="n"/>
      <c r="D105" s="43" t="n"/>
      <c r="E105" s="43" t="n"/>
      <c r="F105" s="43" t="n"/>
      <c r="G105" s="43" t="n"/>
      <c r="H105" s="43" t="n"/>
      <c r="I105" s="43" t="n"/>
      <c r="J105" s="43" t="n"/>
      <c r="K105" s="43" t="n"/>
      <c r="L105" s="43" t="n"/>
      <c r="M105" s="43" t="n"/>
    </row>
    <row r="106">
      <c r="A106" s="43" t="n"/>
      <c r="B106" s="43" t="n"/>
      <c r="C106" s="43" t="n"/>
      <c r="D106" s="43" t="n"/>
      <c r="E106" s="43" t="n"/>
      <c r="F106" s="43" t="n"/>
      <c r="G106" s="43" t="n"/>
      <c r="H106" s="43" t="n"/>
      <c r="I106" s="43" t="n"/>
      <c r="J106" s="43" t="n"/>
      <c r="K106" s="43" t="n"/>
      <c r="L106" s="43" t="n"/>
      <c r="M106" s="43" t="n"/>
    </row>
    <row r="107">
      <c r="A107" s="43" t="n"/>
      <c r="B107" s="43" t="n"/>
      <c r="C107" s="43" t="n"/>
      <c r="D107" s="43" t="n"/>
      <c r="E107" s="43" t="n"/>
      <c r="F107" s="43" t="n"/>
      <c r="G107" s="43" t="n"/>
      <c r="H107" s="43" t="n"/>
      <c r="I107" s="43" t="n"/>
      <c r="J107" s="43" t="n"/>
      <c r="K107" s="43" t="n"/>
      <c r="L107" s="43" t="n"/>
      <c r="M107" s="43" t="n"/>
    </row>
    <row r="108">
      <c r="A108" s="43" t="n"/>
      <c r="B108" s="43" t="n"/>
      <c r="C108" s="43" t="n"/>
      <c r="D108" s="43" t="n"/>
      <c r="E108" s="43" t="n"/>
      <c r="F108" s="43" t="n"/>
      <c r="G108" s="43" t="n"/>
      <c r="H108" s="43" t="n"/>
      <c r="I108" s="43" t="n"/>
      <c r="J108" s="43" t="n"/>
      <c r="K108" s="43" t="n"/>
      <c r="L108" s="43" t="n"/>
      <c r="M108" s="43" t="n"/>
    </row>
    <row r="109">
      <c r="A109" s="43" t="n"/>
      <c r="B109" s="43" t="n"/>
      <c r="C109" s="43" t="n"/>
      <c r="D109" s="43" t="n"/>
      <c r="E109" s="43" t="n"/>
      <c r="F109" s="43" t="n"/>
      <c r="G109" s="43" t="n"/>
      <c r="H109" s="43" t="n"/>
      <c r="I109" s="43" t="n"/>
      <c r="J109" s="43" t="n"/>
      <c r="K109" s="43" t="n"/>
      <c r="L109" s="43" t="n"/>
      <c r="M109" s="43" t="n"/>
    </row>
    <row r="110">
      <c r="A110" s="43" t="n"/>
      <c r="B110" s="43" t="n"/>
      <c r="C110" s="43" t="n"/>
      <c r="D110" s="43" t="n"/>
      <c r="E110" s="43" t="n"/>
      <c r="F110" s="43" t="n"/>
      <c r="G110" s="43" t="n"/>
      <c r="H110" s="43" t="n"/>
      <c r="I110" s="43" t="n"/>
      <c r="J110" s="43" t="n"/>
      <c r="K110" s="43" t="n"/>
      <c r="L110" s="43" t="n"/>
      <c r="M110" s="43" t="n"/>
    </row>
    <row r="111">
      <c r="A111" s="43" t="n"/>
      <c r="B111" s="43" t="n"/>
      <c r="C111" s="43" t="n"/>
      <c r="D111" s="43" t="n"/>
      <c r="E111" s="43" t="n"/>
      <c r="F111" s="43" t="n"/>
      <c r="G111" s="43" t="n"/>
      <c r="H111" s="43" t="n"/>
      <c r="I111" s="43" t="n"/>
      <c r="J111" s="43" t="n"/>
      <c r="K111" s="43" t="n"/>
      <c r="L111" s="43" t="n"/>
      <c r="M111" s="43" t="n"/>
    </row>
    <row r="112">
      <c r="A112" s="43" t="n"/>
      <c r="B112" s="43" t="n"/>
      <c r="C112" s="43" t="n"/>
      <c r="D112" s="43" t="n"/>
      <c r="E112" s="43" t="n"/>
      <c r="F112" s="43" t="n"/>
      <c r="G112" s="43" t="n"/>
      <c r="H112" s="43" t="n"/>
      <c r="I112" s="43" t="n"/>
      <c r="J112" s="43" t="n"/>
      <c r="K112" s="43" t="n"/>
      <c r="L112" s="43" t="n"/>
      <c r="M112" s="43" t="n"/>
    </row>
    <row r="113">
      <c r="A113" s="43" t="n"/>
      <c r="B113" s="43" t="n"/>
      <c r="C113" s="43" t="n"/>
      <c r="D113" s="43" t="n"/>
      <c r="E113" s="43" t="n"/>
      <c r="F113" s="43" t="n"/>
      <c r="G113" s="43" t="n"/>
      <c r="H113" s="43" t="n"/>
      <c r="I113" s="43" t="n"/>
      <c r="J113" s="43" t="n"/>
      <c r="K113" s="43" t="n"/>
      <c r="L113" s="43" t="n"/>
      <c r="M113" s="43" t="n"/>
    </row>
    <row r="114">
      <c r="A114" s="43" t="n"/>
      <c r="B114" s="43" t="n"/>
      <c r="C114" s="43" t="n"/>
      <c r="D114" s="43" t="n"/>
      <c r="E114" s="43" t="n"/>
      <c r="F114" s="43" t="n"/>
      <c r="G114" s="43" t="n"/>
      <c r="H114" s="43" t="n"/>
      <c r="I114" s="43" t="n"/>
      <c r="J114" s="43" t="n"/>
      <c r="K114" s="43" t="n"/>
      <c r="L114" s="43" t="n"/>
      <c r="M114" s="43" t="n"/>
    </row>
    <row r="115">
      <c r="A115" s="43" t="n"/>
      <c r="B115" s="43" t="n"/>
      <c r="C115" s="43" t="n"/>
      <c r="D115" s="43" t="n"/>
      <c r="E115" s="43" t="n"/>
      <c r="F115" s="43" t="n"/>
      <c r="G115" s="43" t="n"/>
      <c r="H115" s="43" t="n"/>
      <c r="I115" s="43" t="n"/>
      <c r="J115" s="43" t="n"/>
      <c r="K115" s="43" t="n"/>
      <c r="L115" s="43" t="n"/>
      <c r="M115" s="43" t="n"/>
    </row>
    <row r="116">
      <c r="A116" s="43" t="n"/>
      <c r="B116" s="43" t="n"/>
      <c r="C116" s="43" t="n"/>
      <c r="D116" s="43" t="n"/>
      <c r="E116" s="43" t="n"/>
      <c r="F116" s="43" t="n"/>
      <c r="G116" s="43" t="n"/>
      <c r="H116" s="43" t="n"/>
      <c r="I116" s="43" t="n"/>
      <c r="J116" s="43" t="n"/>
      <c r="K116" s="43" t="n"/>
      <c r="L116" s="43" t="n"/>
      <c r="M116" s="43" t="n"/>
    </row>
    <row r="117">
      <c r="A117" s="43" t="n"/>
      <c r="B117" s="43" t="n"/>
      <c r="C117" s="43" t="n"/>
      <c r="D117" s="43" t="n"/>
      <c r="E117" s="43" t="n"/>
      <c r="F117" s="43" t="n"/>
      <c r="G117" s="43" t="n"/>
      <c r="H117" s="43" t="n"/>
      <c r="I117" s="43" t="n"/>
      <c r="J117" s="43" t="n"/>
      <c r="K117" s="43" t="n"/>
      <c r="L117" s="43" t="n"/>
      <c r="M117" s="43" t="n"/>
    </row>
    <row r="118">
      <c r="A118" s="43" t="n"/>
      <c r="B118" s="43" t="n"/>
      <c r="C118" s="43" t="n"/>
      <c r="D118" s="43" t="n"/>
      <c r="E118" s="43" t="n"/>
      <c r="F118" s="43" t="n"/>
      <c r="G118" s="43" t="n"/>
      <c r="H118" s="43" t="n"/>
      <c r="I118" s="43" t="n"/>
      <c r="J118" s="43" t="n"/>
      <c r="K118" s="43" t="n"/>
      <c r="L118" s="43" t="n"/>
      <c r="M118" s="43" t="n"/>
    </row>
    <row r="119">
      <c r="A119" s="43" t="n"/>
      <c r="B119" s="43" t="n"/>
      <c r="C119" s="43" t="n"/>
      <c r="D119" s="43" t="n"/>
      <c r="E119" s="43" t="n"/>
      <c r="F119" s="43" t="n"/>
      <c r="G119" s="43" t="n"/>
      <c r="H119" s="43" t="n"/>
      <c r="I119" s="43" t="n"/>
      <c r="J119" s="43" t="n"/>
      <c r="K119" s="43" t="n"/>
      <c r="L119" s="43" t="n"/>
      <c r="M119" s="43" t="n"/>
    </row>
    <row r="120">
      <c r="A120" s="43" t="n"/>
      <c r="B120" s="43" t="n"/>
      <c r="C120" s="43" t="n"/>
      <c r="D120" s="43" t="n"/>
      <c r="E120" s="43" t="n"/>
      <c r="F120" s="43" t="n"/>
      <c r="G120" s="43" t="n"/>
      <c r="H120" s="43" t="n"/>
      <c r="I120" s="43" t="n"/>
      <c r="J120" s="43" t="n"/>
      <c r="K120" s="43" t="n"/>
      <c r="L120" s="43" t="n"/>
      <c r="M120" s="43" t="n"/>
    </row>
    <row r="121">
      <c r="A121" s="43" t="n"/>
      <c r="B121" s="43" t="n"/>
      <c r="C121" s="43" t="n"/>
      <c r="D121" s="43" t="n"/>
      <c r="E121" s="43" t="n"/>
      <c r="F121" s="43" t="n"/>
      <c r="G121" s="43" t="n"/>
      <c r="H121" s="43" t="n"/>
      <c r="I121" s="43" t="n"/>
      <c r="J121" s="43" t="n"/>
      <c r="K121" s="43" t="n"/>
      <c r="L121" s="43" t="n"/>
      <c r="M121" s="43" t="n"/>
    </row>
    <row r="122">
      <c r="A122" s="43" t="n"/>
      <c r="B122" s="43" t="n"/>
      <c r="C122" s="43" t="n"/>
      <c r="D122" s="43" t="n"/>
      <c r="E122" s="43" t="n"/>
      <c r="F122" s="43" t="n"/>
      <c r="G122" s="43" t="n"/>
      <c r="H122" s="43" t="n"/>
      <c r="I122" s="43" t="n"/>
      <c r="J122" s="43" t="n"/>
      <c r="K122" s="43" t="n"/>
      <c r="L122" s="43" t="n"/>
      <c r="M122" s="43" t="n"/>
    </row>
    <row r="123">
      <c r="A123" s="43" t="n"/>
      <c r="B123" s="43" t="n"/>
      <c r="C123" s="43" t="n"/>
      <c r="D123" s="43" t="n"/>
      <c r="E123" s="43" t="n"/>
      <c r="F123" s="43" t="n"/>
      <c r="G123" s="43" t="n"/>
      <c r="H123" s="43" t="n"/>
      <c r="I123" s="43" t="n"/>
      <c r="J123" s="43" t="n"/>
      <c r="K123" s="43" t="n"/>
      <c r="L123" s="43" t="n"/>
      <c r="M123" s="43" t="n"/>
    </row>
    <row r="124">
      <c r="A124" s="43" t="n"/>
      <c r="B124" s="43" t="n"/>
      <c r="C124" s="43" t="n"/>
      <c r="D124" s="43" t="n"/>
      <c r="E124" s="43" t="n"/>
      <c r="F124" s="43" t="n"/>
      <c r="G124" s="43" t="n"/>
      <c r="H124" s="43" t="n"/>
      <c r="I124" s="43" t="n"/>
      <c r="J124" s="43" t="n"/>
      <c r="K124" s="43" t="n"/>
      <c r="L124" s="43" t="n"/>
      <c r="M124" s="43" t="n"/>
    </row>
    <row r="125">
      <c r="A125" s="43" t="n"/>
      <c r="B125" s="43" t="n"/>
      <c r="C125" s="43" t="n"/>
      <c r="D125" s="43" t="n"/>
      <c r="E125" s="43" t="n"/>
      <c r="F125" s="43" t="n"/>
      <c r="G125" s="43" t="n"/>
      <c r="H125" s="43" t="n"/>
      <c r="I125" s="43" t="n"/>
      <c r="J125" s="43" t="n"/>
      <c r="K125" s="43" t="n"/>
      <c r="L125" s="43" t="n"/>
      <c r="M125" s="43" t="n"/>
    </row>
    <row r="126">
      <c r="A126" s="43" t="n"/>
      <c r="B126" s="43" t="n"/>
      <c r="C126" s="43" t="n"/>
      <c r="D126" s="43" t="n"/>
      <c r="E126" s="43" t="n"/>
      <c r="F126" s="43" t="n"/>
      <c r="G126" s="43" t="n"/>
      <c r="H126" s="43" t="n"/>
      <c r="I126" s="43" t="n"/>
      <c r="J126" s="43" t="n"/>
      <c r="K126" s="43" t="n"/>
      <c r="L126" s="43" t="n"/>
      <c r="M126" s="43" t="n"/>
    </row>
    <row r="127">
      <c r="A127" s="43" t="n"/>
      <c r="B127" s="43" t="n"/>
      <c r="C127" s="43" t="n"/>
      <c r="D127" s="43" t="n"/>
      <c r="E127" s="43" t="n"/>
      <c r="F127" s="43" t="n"/>
      <c r="G127" s="43" t="n"/>
      <c r="H127" s="43" t="n"/>
      <c r="I127" s="43" t="n"/>
      <c r="J127" s="43" t="n"/>
      <c r="K127" s="43" t="n"/>
      <c r="L127" s="43" t="n"/>
      <c r="M127" s="43" t="n"/>
    </row>
    <row r="128">
      <c r="A128" s="43" t="n"/>
      <c r="B128" s="43" t="n"/>
      <c r="C128" s="43" t="n"/>
      <c r="D128" s="43" t="n"/>
      <c r="E128" s="43" t="n"/>
      <c r="F128" s="43" t="n"/>
      <c r="G128" s="43" t="n"/>
      <c r="H128" s="43" t="n"/>
      <c r="I128" s="43" t="n"/>
      <c r="J128" s="43" t="n"/>
      <c r="K128" s="43" t="n"/>
      <c r="L128" s="43" t="n"/>
      <c r="M128" s="43" t="n"/>
    </row>
    <row r="129">
      <c r="A129" s="43" t="n"/>
      <c r="B129" s="43" t="n"/>
      <c r="C129" s="43" t="n"/>
      <c r="D129" s="43" t="n"/>
      <c r="E129" s="43" t="n"/>
      <c r="F129" s="43" t="n"/>
      <c r="G129" s="43" t="n"/>
      <c r="H129" s="43" t="n"/>
      <c r="I129" s="43" t="n"/>
      <c r="J129" s="43" t="n"/>
      <c r="K129" s="43" t="n"/>
      <c r="L129" s="43" t="n"/>
      <c r="M129" s="43" t="n"/>
    </row>
    <row r="130">
      <c r="A130" s="43" t="n"/>
      <c r="B130" s="43" t="n"/>
      <c r="C130" s="43" t="n"/>
      <c r="D130" s="43" t="n"/>
      <c r="E130" s="43" t="n"/>
      <c r="F130" s="43" t="n"/>
      <c r="G130" s="43" t="n"/>
      <c r="H130" s="43" t="n"/>
      <c r="I130" s="43" t="n"/>
      <c r="J130" s="43" t="n"/>
      <c r="K130" s="43" t="n"/>
      <c r="L130" s="43" t="n"/>
      <c r="M130" s="43" t="n"/>
    </row>
    <row r="131">
      <c r="A131" s="43" t="n"/>
      <c r="B131" s="43" t="n"/>
      <c r="C131" s="43" t="n"/>
      <c r="D131" s="43" t="n"/>
      <c r="E131" s="43" t="n"/>
      <c r="F131" s="43" t="n"/>
      <c r="G131" s="43" t="n"/>
      <c r="H131" s="43" t="n"/>
      <c r="I131" s="43" t="n"/>
      <c r="J131" s="43" t="n"/>
      <c r="K131" s="43" t="n"/>
      <c r="L131" s="43" t="n"/>
      <c r="M131" s="43" t="n"/>
    </row>
    <row r="132">
      <c r="A132" s="43" t="n"/>
      <c r="B132" s="43" t="n"/>
      <c r="C132" s="43" t="n"/>
      <c r="D132" s="43" t="n"/>
      <c r="E132" s="43" t="n"/>
      <c r="F132" s="43" t="n"/>
      <c r="G132" s="43" t="n"/>
      <c r="H132" s="43" t="n"/>
      <c r="I132" s="43" t="n"/>
      <c r="J132" s="43" t="n"/>
      <c r="K132" s="43" t="n"/>
      <c r="L132" s="43" t="n"/>
      <c r="M132" s="43" t="n"/>
    </row>
    <row r="133">
      <c r="A133" s="43" t="n"/>
      <c r="B133" s="43" t="n"/>
      <c r="C133" s="43" t="n"/>
      <c r="D133" s="43" t="n"/>
      <c r="E133" s="43" t="n"/>
      <c r="F133" s="43" t="n"/>
      <c r="G133" s="43" t="n"/>
      <c r="H133" s="43" t="n"/>
      <c r="I133" s="43" t="n"/>
      <c r="J133" s="43" t="n"/>
      <c r="K133" s="43" t="n"/>
      <c r="L133" s="43" t="n"/>
      <c r="M133" s="43" t="n"/>
    </row>
    <row r="134">
      <c r="A134" s="43" t="n"/>
      <c r="B134" s="43" t="n"/>
      <c r="C134" s="43" t="n"/>
      <c r="D134" s="43" t="n"/>
      <c r="E134" s="43" t="n"/>
      <c r="F134" s="43" t="n"/>
      <c r="G134" s="43" t="n"/>
      <c r="H134" s="43" t="n"/>
      <c r="I134" s="43" t="n"/>
      <c r="J134" s="43" t="n"/>
      <c r="K134" s="43" t="n"/>
      <c r="L134" s="43" t="n"/>
      <c r="M134" s="43" t="n"/>
    </row>
    <row r="135">
      <c r="A135" s="43" t="n"/>
      <c r="B135" s="43" t="n"/>
      <c r="C135" s="43" t="n"/>
      <c r="D135" s="43" t="n"/>
      <c r="E135" s="43" t="n"/>
      <c r="F135" s="43" t="n"/>
      <c r="G135" s="43" t="n"/>
      <c r="H135" s="43" t="n"/>
      <c r="I135" s="43" t="n"/>
      <c r="J135" s="43" t="n"/>
      <c r="K135" s="43" t="n"/>
      <c r="L135" s="43" t="n"/>
      <c r="M135" s="43" t="n"/>
    </row>
    <row r="136">
      <c r="A136" s="43" t="n"/>
      <c r="B136" s="43" t="n"/>
      <c r="C136" s="43" t="n"/>
      <c r="D136" s="43" t="n"/>
      <c r="E136" s="43" t="n"/>
      <c r="F136" s="43" t="n"/>
      <c r="G136" s="43" t="n"/>
      <c r="H136" s="43" t="n"/>
      <c r="I136" s="43" t="n"/>
      <c r="J136" s="43" t="n"/>
      <c r="K136" s="43" t="n"/>
      <c r="L136" s="43" t="n"/>
      <c r="M136" s="43" t="n"/>
    </row>
    <row r="137">
      <c r="A137" s="43" t="n"/>
      <c r="B137" s="43" t="n"/>
      <c r="C137" s="43" t="n"/>
      <c r="D137" s="43" t="n"/>
      <c r="E137" s="43" t="n"/>
      <c r="F137" s="43" t="n"/>
      <c r="G137" s="43" t="n"/>
      <c r="H137" s="43" t="n"/>
      <c r="I137" s="43" t="n"/>
      <c r="J137" s="43" t="n"/>
      <c r="K137" s="43" t="n"/>
      <c r="L137" s="43" t="n"/>
      <c r="M137" s="43" t="n"/>
    </row>
    <row r="138">
      <c r="A138" s="43" t="n"/>
      <c r="B138" s="43" t="n"/>
      <c r="C138" s="43" t="n"/>
      <c r="D138" s="43" t="n"/>
      <c r="E138" s="43" t="n"/>
      <c r="F138" s="43" t="n"/>
      <c r="G138" s="43" t="n"/>
      <c r="H138" s="43" t="n"/>
      <c r="I138" s="43" t="n"/>
      <c r="J138" s="43" t="n"/>
      <c r="K138" s="43" t="n"/>
      <c r="L138" s="43" t="n"/>
      <c r="M138" s="43" t="n"/>
    </row>
    <row r="139">
      <c r="A139" s="43" t="n"/>
      <c r="B139" s="43" t="n"/>
      <c r="C139" s="43" t="n"/>
      <c r="D139" s="43" t="n"/>
      <c r="E139" s="43" t="n"/>
      <c r="F139" s="43" t="n"/>
      <c r="G139" s="43" t="n"/>
      <c r="H139" s="43" t="n"/>
      <c r="I139" s="43" t="n"/>
      <c r="J139" s="43" t="n"/>
      <c r="K139" s="43" t="n"/>
      <c r="L139" s="43" t="n"/>
      <c r="M139" s="43" t="n"/>
    </row>
    <row r="140">
      <c r="A140" s="43" t="n"/>
      <c r="B140" s="43" t="n"/>
      <c r="C140" s="43" t="n"/>
      <c r="D140" s="43" t="n"/>
      <c r="E140" s="43" t="n"/>
      <c r="F140" s="43" t="n"/>
      <c r="G140" s="43" t="n"/>
      <c r="H140" s="43" t="n"/>
      <c r="I140" s="43" t="n"/>
      <c r="J140" s="43" t="n"/>
      <c r="K140" s="43" t="n"/>
      <c r="L140" s="43" t="n"/>
      <c r="M140" s="43" t="n"/>
    </row>
    <row r="141">
      <c r="A141" s="43" t="n"/>
      <c r="B141" s="43" t="n"/>
      <c r="C141" s="43" t="n"/>
      <c r="D141" s="43" t="n"/>
      <c r="E141" s="43" t="n"/>
      <c r="F141" s="43" t="n"/>
      <c r="G141" s="43" t="n"/>
      <c r="H141" s="43" t="n"/>
      <c r="I141" s="43" t="n"/>
      <c r="J141" s="43" t="n"/>
      <c r="K141" s="43" t="n"/>
      <c r="L141" s="43" t="n"/>
      <c r="M141" s="43" t="n"/>
    </row>
    <row r="142">
      <c r="A142" s="43" t="n"/>
      <c r="B142" s="43" t="n"/>
      <c r="C142" s="43" t="n"/>
      <c r="D142" s="43" t="n"/>
      <c r="E142" s="43" t="n"/>
      <c r="F142" s="43" t="n"/>
      <c r="G142" s="43" t="n"/>
      <c r="H142" s="43" t="n"/>
      <c r="I142" s="43" t="n"/>
      <c r="J142" s="43" t="n"/>
      <c r="K142" s="43" t="n"/>
      <c r="L142" s="43" t="n"/>
      <c r="M142" s="43" t="n"/>
    </row>
    <row r="143">
      <c r="A143" s="43" t="n"/>
      <c r="B143" s="43" t="n"/>
      <c r="C143" s="43" t="n"/>
      <c r="D143" s="43" t="n"/>
      <c r="E143" s="43" t="n"/>
      <c r="F143" s="43" t="n"/>
      <c r="G143" s="43" t="n"/>
      <c r="H143" s="43" t="n"/>
      <c r="I143" s="43" t="n"/>
      <c r="J143" s="43" t="n"/>
      <c r="K143" s="43" t="n"/>
      <c r="L143" s="43" t="n"/>
      <c r="M143" s="43" t="n"/>
    </row>
    <row r="144">
      <c r="A144" s="43" t="n"/>
      <c r="B144" s="43" t="n"/>
      <c r="C144" s="43" t="n"/>
      <c r="D144" s="43" t="n"/>
      <c r="E144" s="43" t="n"/>
      <c r="F144" s="43" t="n"/>
      <c r="G144" s="43" t="n"/>
      <c r="H144" s="43" t="n"/>
      <c r="I144" s="43" t="n"/>
      <c r="J144" s="43" t="n"/>
      <c r="K144" s="43" t="n"/>
      <c r="L144" s="43" t="n"/>
      <c r="M144" s="43" t="n"/>
    </row>
    <row r="145">
      <c r="A145" s="43" t="n"/>
      <c r="B145" s="43" t="n"/>
      <c r="C145" s="43" t="n"/>
      <c r="D145" s="43" t="n"/>
      <c r="E145" s="43" t="n"/>
      <c r="F145" s="43" t="n"/>
      <c r="G145" s="43" t="n"/>
      <c r="H145" s="43" t="n"/>
      <c r="I145" s="43" t="n"/>
      <c r="J145" s="43" t="n"/>
      <c r="K145" s="43" t="n"/>
      <c r="L145" s="43" t="n"/>
      <c r="M145" s="43" t="n"/>
    </row>
    <row r="146">
      <c r="A146" s="43" t="n"/>
      <c r="B146" s="43" t="n"/>
      <c r="C146" s="43" t="n"/>
      <c r="D146" s="43" t="n"/>
      <c r="E146" s="43" t="n"/>
      <c r="F146" s="43" t="n"/>
      <c r="G146" s="43" t="n"/>
      <c r="H146" s="43" t="n"/>
      <c r="I146" s="43" t="n"/>
      <c r="J146" s="43" t="n"/>
      <c r="K146" s="43" t="n"/>
      <c r="L146" s="43" t="n"/>
      <c r="M146" s="43" t="n"/>
    </row>
    <row r="147">
      <c r="A147" s="43" t="n"/>
      <c r="B147" s="43" t="n"/>
      <c r="C147" s="43" t="n"/>
      <c r="D147" s="43" t="n"/>
      <c r="E147" s="43" t="n"/>
      <c r="F147" s="43" t="n"/>
      <c r="G147" s="43" t="n"/>
      <c r="H147" s="43" t="n"/>
      <c r="I147" s="43" t="n"/>
      <c r="J147" s="43" t="n"/>
      <c r="K147" s="43" t="n"/>
      <c r="L147" s="43" t="n"/>
      <c r="M147" s="43" t="n"/>
    </row>
    <row r="148">
      <c r="A148" s="43" t="n"/>
      <c r="B148" s="43" t="n"/>
      <c r="C148" s="43" t="n"/>
      <c r="D148" s="43" t="n"/>
      <c r="E148" s="43" t="n"/>
      <c r="F148" s="43" t="n"/>
      <c r="G148" s="43" t="n"/>
      <c r="H148" s="43" t="n"/>
      <c r="I148" s="43" t="n"/>
      <c r="J148" s="43" t="n"/>
      <c r="K148" s="43" t="n"/>
      <c r="L148" s="43" t="n"/>
      <c r="M148" s="43" t="n"/>
    </row>
    <row r="149">
      <c r="A149" s="43" t="n"/>
      <c r="B149" s="43" t="n"/>
      <c r="C149" s="43" t="n"/>
      <c r="D149" s="43" t="n"/>
      <c r="E149" s="43" t="n"/>
      <c r="F149" s="43" t="n"/>
      <c r="G149" s="43" t="n"/>
      <c r="H149" s="43" t="n"/>
      <c r="I149" s="43" t="n"/>
      <c r="J149" s="43" t="n"/>
      <c r="K149" s="43" t="n"/>
      <c r="L149" s="43" t="n"/>
      <c r="M149" s="43" t="n"/>
    </row>
    <row r="150">
      <c r="A150" s="43" t="n"/>
      <c r="B150" s="43" t="n"/>
      <c r="C150" s="43" t="n"/>
      <c r="D150" s="43" t="n"/>
      <c r="E150" s="43" t="n"/>
      <c r="F150" s="43" t="n"/>
      <c r="G150" s="43" t="n"/>
      <c r="H150" s="43" t="n"/>
      <c r="I150" s="43" t="n"/>
      <c r="J150" s="43" t="n"/>
      <c r="K150" s="43" t="n"/>
      <c r="L150" s="43" t="n"/>
      <c r="M150" s="43" t="n"/>
    </row>
    <row r="151">
      <c r="A151" s="43" t="n"/>
      <c r="B151" s="43" t="n"/>
      <c r="C151" s="43" t="n"/>
      <c r="D151" s="43" t="n"/>
      <c r="E151" s="43" t="n"/>
      <c r="F151" s="43" t="n"/>
      <c r="G151" s="43" t="n"/>
      <c r="H151" s="43" t="n"/>
      <c r="I151" s="43" t="n"/>
      <c r="J151" s="43" t="n"/>
      <c r="K151" s="43" t="n"/>
      <c r="L151" s="43" t="n"/>
      <c r="M151" s="43" t="n"/>
    </row>
    <row r="152">
      <c r="A152" s="43" t="n"/>
      <c r="B152" s="43" t="n"/>
      <c r="C152" s="43" t="n"/>
      <c r="D152" s="43" t="n"/>
      <c r="E152" s="43" t="n"/>
      <c r="F152" s="43" t="n"/>
      <c r="G152" s="43" t="n"/>
      <c r="H152" s="43" t="n"/>
      <c r="I152" s="43" t="n"/>
      <c r="J152" s="43" t="n"/>
      <c r="K152" s="43" t="n"/>
      <c r="L152" s="43" t="n"/>
      <c r="M152" s="43" t="n"/>
    </row>
    <row r="153">
      <c r="A153" s="43" t="n"/>
      <c r="B153" s="43" t="n"/>
      <c r="C153" s="43" t="n"/>
      <c r="D153" s="43" t="n"/>
      <c r="E153" s="43" t="n"/>
      <c r="F153" s="43" t="n"/>
      <c r="G153" s="43" t="n"/>
      <c r="H153" s="43" t="n"/>
      <c r="I153" s="43" t="n"/>
      <c r="J153" s="43" t="n"/>
      <c r="K153" s="43" t="n"/>
      <c r="L153" s="43" t="n"/>
      <c r="M153" s="43" t="n"/>
    </row>
    <row r="154">
      <c r="A154" s="43" t="n"/>
      <c r="B154" s="43" t="n"/>
      <c r="C154" s="43" t="n"/>
      <c r="D154" s="43" t="n"/>
      <c r="E154" s="43" t="n"/>
      <c r="F154" s="43" t="n"/>
      <c r="G154" s="43" t="n"/>
      <c r="H154" s="43" t="n"/>
      <c r="I154" s="43" t="n"/>
      <c r="J154" s="43" t="n"/>
      <c r="K154" s="43" t="n"/>
      <c r="L154" s="43" t="n"/>
      <c r="M154" s="43" t="n"/>
    </row>
    <row r="155">
      <c r="A155" s="43" t="n"/>
      <c r="B155" s="43" t="n"/>
      <c r="C155" s="43" t="n"/>
      <c r="D155" s="43" t="n"/>
      <c r="E155" s="43" t="n"/>
      <c r="F155" s="43" t="n"/>
      <c r="G155" s="43" t="n"/>
      <c r="H155" s="43" t="n"/>
      <c r="I155" s="43" t="n"/>
      <c r="J155" s="43" t="n"/>
      <c r="K155" s="43" t="n"/>
      <c r="L155" s="43" t="n"/>
      <c r="M155" s="43" t="n"/>
    </row>
    <row r="156">
      <c r="A156" s="43" t="n"/>
      <c r="B156" s="43" t="n"/>
      <c r="C156" s="43" t="n"/>
      <c r="D156" s="43" t="n"/>
      <c r="E156" s="43" t="n"/>
      <c r="F156" s="43" t="n"/>
      <c r="G156" s="43" t="n"/>
      <c r="H156" s="43" t="n"/>
      <c r="I156" s="43" t="n"/>
      <c r="J156" s="43" t="n"/>
      <c r="K156" s="43" t="n"/>
      <c r="L156" s="43" t="n"/>
      <c r="M156" s="43" t="n"/>
    </row>
    <row r="157">
      <c r="A157" s="43" t="n"/>
      <c r="B157" s="43" t="n"/>
      <c r="C157" s="43" t="n"/>
      <c r="D157" s="43" t="n"/>
      <c r="E157" s="43" t="n"/>
      <c r="F157" s="43" t="n"/>
      <c r="G157" s="43" t="n"/>
      <c r="H157" s="43" t="n"/>
      <c r="I157" s="43" t="n"/>
      <c r="J157" s="43" t="n"/>
      <c r="K157" s="43" t="n"/>
      <c r="L157" s="43" t="n"/>
      <c r="M157" s="43" t="n"/>
    </row>
    <row r="158">
      <c r="A158" s="43" t="n"/>
      <c r="B158" s="43" t="n"/>
      <c r="C158" s="43" t="n"/>
      <c r="D158" s="43" t="n"/>
      <c r="E158" s="43" t="n"/>
      <c r="F158" s="43" t="n"/>
      <c r="G158" s="43" t="n"/>
      <c r="H158" s="43" t="n"/>
      <c r="I158" s="43" t="n"/>
      <c r="J158" s="43" t="n"/>
      <c r="K158" s="43" t="n"/>
      <c r="L158" s="43" t="n"/>
      <c r="M158" s="43" t="n"/>
    </row>
    <row r="159">
      <c r="A159" s="43" t="n"/>
      <c r="B159" s="43" t="n"/>
      <c r="C159" s="43" t="n"/>
      <c r="D159" s="43" t="n"/>
      <c r="E159" s="43" t="n"/>
      <c r="F159" s="43" t="n"/>
      <c r="G159" s="43" t="n"/>
      <c r="H159" s="43" t="n"/>
      <c r="I159" s="43" t="n"/>
      <c r="J159" s="43" t="n"/>
      <c r="K159" s="43" t="n"/>
      <c r="L159" s="43" t="n"/>
      <c r="M159" s="43" t="n"/>
    </row>
    <row r="160">
      <c r="A160" s="43" t="n"/>
      <c r="B160" s="43" t="n"/>
      <c r="C160" s="43" t="n"/>
      <c r="D160" s="43" t="n"/>
      <c r="E160" s="43" t="n"/>
      <c r="F160" s="43" t="n"/>
      <c r="G160" s="43" t="n"/>
      <c r="H160" s="43" t="n"/>
      <c r="I160" s="43" t="n"/>
      <c r="J160" s="43" t="n"/>
      <c r="K160" s="43" t="n"/>
      <c r="L160" s="43" t="n"/>
      <c r="M160" s="43" t="n"/>
    </row>
    <row r="161">
      <c r="A161" s="43" t="n"/>
      <c r="B161" s="43" t="n"/>
      <c r="C161" s="43" t="n"/>
      <c r="D161" s="43" t="n"/>
      <c r="E161" s="43" t="n"/>
      <c r="F161" s="43" t="n"/>
      <c r="G161" s="43" t="n"/>
      <c r="H161" s="43" t="n"/>
      <c r="I161" s="43" t="n"/>
      <c r="J161" s="43" t="n"/>
      <c r="K161" s="43" t="n"/>
      <c r="L161" s="43" t="n"/>
      <c r="M161" s="43" t="n"/>
    </row>
    <row r="162">
      <c r="A162" s="43" t="n"/>
      <c r="B162" s="43" t="n"/>
      <c r="C162" s="43" t="n"/>
      <c r="D162" s="43" t="n"/>
      <c r="E162" s="43" t="n"/>
      <c r="F162" s="43" t="n"/>
      <c r="G162" s="43" t="n"/>
      <c r="H162" s="43" t="n"/>
      <c r="I162" s="43" t="n"/>
      <c r="J162" s="43" t="n"/>
      <c r="K162" s="43" t="n"/>
      <c r="L162" s="43" t="n"/>
      <c r="M162" s="43" t="n"/>
    </row>
    <row r="163">
      <c r="A163" s="43" t="n"/>
      <c r="B163" s="43" t="n"/>
      <c r="C163" s="43" t="n"/>
      <c r="D163" s="43" t="n"/>
      <c r="E163" s="43" t="n"/>
      <c r="F163" s="43" t="n"/>
      <c r="G163" s="43" t="n"/>
      <c r="H163" s="43" t="n"/>
      <c r="I163" s="43" t="n"/>
      <c r="J163" s="43" t="n"/>
      <c r="K163" s="43" t="n"/>
      <c r="L163" s="43" t="n"/>
      <c r="M163" s="43" t="n"/>
    </row>
    <row r="164">
      <c r="A164" s="43" t="n"/>
      <c r="B164" s="43" t="n"/>
      <c r="C164" s="43" t="n"/>
      <c r="D164" s="43" t="n"/>
      <c r="E164" s="43" t="n"/>
      <c r="F164" s="43" t="n"/>
      <c r="G164" s="43" t="n"/>
      <c r="H164" s="43" t="n"/>
      <c r="I164" s="43" t="n"/>
      <c r="J164" s="43" t="n"/>
      <c r="K164" s="43" t="n"/>
      <c r="L164" s="43" t="n"/>
      <c r="M164" s="43" t="n"/>
    </row>
    <row r="165">
      <c r="A165" s="43" t="n"/>
      <c r="B165" s="43" t="n"/>
      <c r="C165" s="43" t="n"/>
      <c r="D165" s="43" t="n"/>
      <c r="E165" s="43" t="n"/>
      <c r="F165" s="43" t="n"/>
      <c r="G165" s="43" t="n"/>
      <c r="H165" s="43" t="n"/>
      <c r="I165" s="43" t="n"/>
      <c r="J165" s="43" t="n"/>
      <c r="K165" s="43" t="n"/>
      <c r="L165" s="43" t="n"/>
      <c r="M165" s="43" t="n"/>
    </row>
    <row r="166">
      <c r="A166" s="43" t="n"/>
      <c r="B166" s="43" t="n"/>
      <c r="C166" s="43" t="n"/>
      <c r="D166" s="43" t="n"/>
      <c r="E166" s="43" t="n"/>
      <c r="F166" s="43" t="n"/>
      <c r="G166" s="43" t="n"/>
      <c r="H166" s="43" t="n"/>
      <c r="I166" s="43" t="n"/>
      <c r="J166" s="43" t="n"/>
      <c r="K166" s="43" t="n"/>
      <c r="L166" s="43" t="n"/>
      <c r="M166" s="43" t="n"/>
    </row>
    <row r="167">
      <c r="A167" s="43" t="n"/>
      <c r="B167" s="43" t="n"/>
      <c r="C167" s="43" t="n"/>
      <c r="D167" s="43" t="n"/>
      <c r="E167" s="43" t="n"/>
      <c r="F167" s="43" t="n"/>
      <c r="G167" s="43" t="n"/>
      <c r="H167" s="43" t="n"/>
      <c r="I167" s="43" t="n"/>
      <c r="J167" s="43" t="n"/>
      <c r="K167" s="43" t="n"/>
      <c r="L167" s="43" t="n"/>
      <c r="M167" s="43" t="n"/>
    </row>
    <row r="168">
      <c r="A168" s="43" t="n"/>
      <c r="B168" s="43" t="n"/>
      <c r="C168" s="43" t="n"/>
      <c r="D168" s="43" t="n"/>
      <c r="E168" s="43" t="n"/>
      <c r="F168" s="43" t="n"/>
      <c r="G168" s="43" t="n"/>
      <c r="H168" s="43" t="n"/>
      <c r="I168" s="43" t="n"/>
      <c r="J168" s="43" t="n"/>
      <c r="K168" s="43" t="n"/>
      <c r="L168" s="43" t="n"/>
      <c r="M168" s="43" t="n"/>
    </row>
    <row r="169">
      <c r="A169" s="43" t="n"/>
      <c r="B169" s="43" t="n"/>
      <c r="C169" s="43" t="n"/>
      <c r="D169" s="43" t="n"/>
      <c r="E169" s="43" t="n"/>
      <c r="F169" s="43" t="n"/>
      <c r="G169" s="43" t="n"/>
      <c r="H169" s="43" t="n"/>
      <c r="I169" s="43" t="n"/>
      <c r="J169" s="43" t="n"/>
      <c r="K169" s="43" t="n"/>
      <c r="L169" s="43" t="n"/>
      <c r="M169" s="43" t="n"/>
    </row>
    <row r="170">
      <c r="A170" s="43" t="n"/>
      <c r="B170" s="43" t="n"/>
      <c r="C170" s="43" t="n"/>
      <c r="D170" s="43" t="n"/>
      <c r="E170" s="43" t="n"/>
      <c r="F170" s="43" t="n"/>
      <c r="G170" s="43" t="n"/>
      <c r="H170" s="43" t="n"/>
      <c r="I170" s="43" t="n"/>
      <c r="J170" s="43" t="n"/>
      <c r="K170" s="43" t="n"/>
      <c r="L170" s="43" t="n"/>
      <c r="M170" s="43" t="n"/>
    </row>
    <row r="171">
      <c r="A171" s="43" t="n"/>
      <c r="B171" s="43" t="n"/>
      <c r="C171" s="43" t="n"/>
      <c r="D171" s="43" t="n"/>
      <c r="E171" s="43" t="n"/>
      <c r="F171" s="43" t="n"/>
      <c r="G171" s="43" t="n"/>
      <c r="H171" s="43" t="n"/>
      <c r="I171" s="43" t="n"/>
      <c r="J171" s="43" t="n"/>
      <c r="K171" s="43" t="n"/>
      <c r="L171" s="43" t="n"/>
      <c r="M171" s="43" t="n"/>
    </row>
    <row r="172">
      <c r="A172" s="43" t="n"/>
      <c r="B172" s="43" t="n"/>
      <c r="C172" s="43" t="n"/>
      <c r="D172" s="43" t="n"/>
      <c r="E172" s="43" t="n"/>
      <c r="F172" s="43" t="n"/>
      <c r="G172" s="43" t="n"/>
      <c r="H172" s="43" t="n"/>
      <c r="I172" s="43" t="n"/>
      <c r="J172" s="43" t="n"/>
      <c r="K172" s="43" t="n"/>
      <c r="L172" s="43" t="n"/>
      <c r="M172" s="43" t="n"/>
    </row>
    <row r="173">
      <c r="A173" s="43" t="n"/>
      <c r="B173" s="43" t="n"/>
      <c r="C173" s="43" t="n"/>
      <c r="D173" s="43" t="n"/>
      <c r="E173" s="43" t="n"/>
      <c r="F173" s="43" t="n"/>
      <c r="G173" s="43" t="n"/>
      <c r="H173" s="43" t="n"/>
      <c r="I173" s="43" t="n"/>
      <c r="J173" s="43" t="n"/>
      <c r="K173" s="43" t="n"/>
      <c r="L173" s="43" t="n"/>
      <c r="M173" s="43" t="n"/>
    </row>
    <row r="174">
      <c r="A174" s="43" t="n"/>
      <c r="B174" s="43" t="n"/>
      <c r="C174" s="43" t="n"/>
      <c r="D174" s="43" t="n"/>
      <c r="E174" s="43" t="n"/>
      <c r="F174" s="43" t="n"/>
      <c r="G174" s="43" t="n"/>
      <c r="H174" s="43" t="n"/>
      <c r="I174" s="43" t="n"/>
      <c r="J174" s="43" t="n"/>
      <c r="K174" s="43" t="n"/>
      <c r="L174" s="43" t="n"/>
      <c r="M174" s="43" t="n"/>
    </row>
    <row r="175">
      <c r="A175" s="43" t="n"/>
      <c r="B175" s="43" t="n"/>
      <c r="C175" s="43" t="n"/>
      <c r="D175" s="43" t="n"/>
      <c r="E175" s="43" t="n"/>
      <c r="F175" s="43" t="n"/>
      <c r="G175" s="43" t="n"/>
      <c r="H175" s="43" t="n"/>
      <c r="I175" s="43" t="n"/>
      <c r="J175" s="43" t="n"/>
      <c r="K175" s="43" t="n"/>
      <c r="L175" s="43" t="n"/>
      <c r="M175" s="43" t="n"/>
    </row>
    <row r="176">
      <c r="A176" s="43" t="n"/>
      <c r="B176" s="43" t="n"/>
      <c r="C176" s="43" t="n"/>
      <c r="D176" s="43" t="n"/>
      <c r="E176" s="43" t="n"/>
      <c r="F176" s="43" t="n"/>
      <c r="G176" s="43" t="n"/>
      <c r="H176" s="43" t="n"/>
      <c r="I176" s="43" t="n"/>
      <c r="J176" s="43" t="n"/>
      <c r="K176" s="43" t="n"/>
      <c r="L176" s="43" t="n"/>
      <c r="M176" s="43" t="n"/>
    </row>
    <row r="177">
      <c r="A177" s="43" t="n"/>
      <c r="B177" s="43" t="n"/>
      <c r="C177" s="43" t="n"/>
      <c r="D177" s="43" t="n"/>
      <c r="E177" s="43" t="n"/>
      <c r="F177" s="43" t="n"/>
      <c r="G177" s="43" t="n"/>
      <c r="H177" s="43" t="n"/>
      <c r="I177" s="43" t="n"/>
      <c r="J177" s="43" t="n"/>
      <c r="K177" s="43" t="n"/>
      <c r="L177" s="43" t="n"/>
      <c r="M177" s="43" t="n"/>
    </row>
    <row r="178">
      <c r="A178" s="43" t="n"/>
      <c r="B178" s="43" t="n"/>
      <c r="C178" s="43" t="n"/>
      <c r="D178" s="43" t="n"/>
      <c r="E178" s="43" t="n"/>
      <c r="F178" s="43" t="n"/>
      <c r="G178" s="43" t="n"/>
      <c r="H178" s="43" t="n"/>
      <c r="I178" s="43" t="n"/>
      <c r="J178" s="43" t="n"/>
      <c r="K178" s="43" t="n"/>
      <c r="L178" s="43" t="n"/>
      <c r="M178" s="43" t="n"/>
    </row>
    <row r="179">
      <c r="A179" s="43" t="n"/>
      <c r="B179" s="43" t="n"/>
      <c r="C179" s="43" t="n"/>
      <c r="D179" s="43" t="n"/>
      <c r="E179" s="43" t="n"/>
      <c r="F179" s="43" t="n"/>
      <c r="G179" s="43" t="n"/>
      <c r="H179" s="43" t="n"/>
      <c r="I179" s="43" t="n"/>
      <c r="J179" s="43" t="n"/>
      <c r="K179" s="43" t="n"/>
      <c r="L179" s="43" t="n"/>
      <c r="M179" s="43" t="n"/>
    </row>
    <row r="180">
      <c r="A180" s="43" t="n"/>
      <c r="B180" s="43" t="n"/>
      <c r="C180" s="43" t="n"/>
      <c r="D180" s="43" t="n"/>
      <c r="E180" s="43" t="n"/>
      <c r="F180" s="43" t="n"/>
      <c r="G180" s="43" t="n"/>
      <c r="H180" s="43" t="n"/>
      <c r="I180" s="43" t="n"/>
      <c r="J180" s="43" t="n"/>
      <c r="K180" s="43" t="n"/>
      <c r="L180" s="43" t="n"/>
      <c r="M180" s="43" t="n"/>
    </row>
    <row r="181">
      <c r="A181" s="43" t="n"/>
      <c r="B181" s="43" t="n"/>
      <c r="C181" s="43" t="n"/>
      <c r="D181" s="43" t="n"/>
      <c r="E181" s="43" t="n"/>
      <c r="F181" s="43" t="n"/>
      <c r="G181" s="43" t="n"/>
      <c r="H181" s="43" t="n"/>
      <c r="I181" s="43" t="n"/>
      <c r="J181" s="43" t="n"/>
      <c r="K181" s="43" t="n"/>
      <c r="L181" s="43" t="n"/>
      <c r="M181" s="43" t="n"/>
    </row>
    <row r="182">
      <c r="A182" s="43" t="n"/>
      <c r="B182" s="43" t="n"/>
      <c r="C182" s="43" t="n"/>
      <c r="D182" s="43" t="n"/>
      <c r="E182" s="43" t="n"/>
      <c r="F182" s="43" t="n"/>
      <c r="G182" s="43" t="n"/>
      <c r="H182" s="43" t="n"/>
      <c r="I182" s="43" t="n"/>
      <c r="J182" s="43" t="n"/>
      <c r="K182" s="43" t="n"/>
      <c r="L182" s="43" t="n"/>
      <c r="M182" s="43" t="n"/>
    </row>
    <row r="183">
      <c r="A183" s="43" t="n"/>
      <c r="B183" s="43" t="n"/>
      <c r="C183" s="43" t="n"/>
      <c r="D183" s="43" t="n"/>
      <c r="E183" s="43" t="n"/>
      <c r="F183" s="43" t="n"/>
      <c r="G183" s="43" t="n"/>
      <c r="H183" s="43" t="n"/>
      <c r="I183" s="43" t="n"/>
      <c r="J183" s="43" t="n"/>
      <c r="K183" s="43" t="n"/>
      <c r="L183" s="43" t="n"/>
      <c r="M183" s="43" t="n"/>
    </row>
    <row r="184">
      <c r="A184" s="43" t="n"/>
      <c r="B184" s="43" t="n"/>
      <c r="C184" s="43" t="n"/>
      <c r="D184" s="43" t="n"/>
      <c r="E184" s="43" t="n"/>
      <c r="F184" s="43" t="n"/>
      <c r="G184" s="43" t="n"/>
      <c r="H184" s="43" t="n"/>
      <c r="I184" s="43" t="n"/>
      <c r="J184" s="43" t="n"/>
      <c r="K184" s="43" t="n"/>
      <c r="L184" s="43" t="n"/>
      <c r="M184" s="43" t="n"/>
    </row>
    <row r="185">
      <c r="A185" s="43" t="n"/>
      <c r="B185" s="43" t="n"/>
      <c r="C185" s="43" t="n"/>
      <c r="D185" s="43" t="n"/>
      <c r="E185" s="43" t="n"/>
      <c r="F185" s="43" t="n"/>
      <c r="G185" s="43" t="n"/>
      <c r="H185" s="43" t="n"/>
      <c r="I185" s="43" t="n"/>
      <c r="J185" s="43" t="n"/>
      <c r="K185" s="43" t="n"/>
      <c r="L185" s="43" t="n"/>
      <c r="M185" s="43" t="n"/>
    </row>
    <row r="186">
      <c r="A186" s="43" t="n"/>
      <c r="B186" s="43" t="n"/>
      <c r="C186" s="43" t="n"/>
      <c r="D186" s="43" t="n"/>
      <c r="E186" s="43" t="n"/>
      <c r="F186" s="43" t="n"/>
      <c r="G186" s="43" t="n"/>
      <c r="H186" s="43" t="n"/>
      <c r="I186" s="43" t="n"/>
      <c r="J186" s="43" t="n"/>
      <c r="K186" s="43" t="n"/>
      <c r="L186" s="43" t="n"/>
      <c r="M186" s="43" t="n"/>
    </row>
    <row r="187">
      <c r="A187" s="43" t="n"/>
      <c r="B187" s="43" t="n"/>
      <c r="C187" s="43" t="n"/>
      <c r="D187" s="43" t="n"/>
      <c r="E187" s="43" t="n"/>
      <c r="F187" s="43" t="n"/>
      <c r="G187" s="43" t="n"/>
      <c r="H187" s="43" t="n"/>
      <c r="I187" s="43" t="n"/>
      <c r="J187" s="43" t="n"/>
      <c r="K187" s="43" t="n"/>
      <c r="L187" s="43" t="n"/>
      <c r="M187" s="43" t="n"/>
    </row>
    <row r="188">
      <c r="A188" s="43" t="n"/>
      <c r="B188" s="43" t="n"/>
      <c r="C188" s="43" t="n"/>
      <c r="D188" s="43" t="n"/>
      <c r="E188" s="43" t="n"/>
      <c r="F188" s="43" t="n"/>
      <c r="G188" s="43" t="n"/>
      <c r="H188" s="43" t="n"/>
      <c r="I188" s="43" t="n"/>
      <c r="J188" s="43" t="n"/>
      <c r="K188" s="43" t="n"/>
      <c r="L188" s="43" t="n"/>
      <c r="M188" s="43" t="n"/>
    </row>
    <row r="189">
      <c r="A189" s="43" t="n"/>
      <c r="B189" s="43" t="n"/>
      <c r="C189" s="43" t="n"/>
      <c r="D189" s="43" t="n"/>
      <c r="E189" s="43" t="n"/>
      <c r="F189" s="43" t="n"/>
      <c r="G189" s="43" t="n"/>
      <c r="H189" s="43" t="n"/>
      <c r="I189" s="43" t="n"/>
      <c r="J189" s="43" t="n"/>
      <c r="K189" s="43" t="n"/>
      <c r="L189" s="43" t="n"/>
      <c r="M189" s="43" t="n"/>
    </row>
    <row r="190">
      <c r="A190" s="43" t="n"/>
      <c r="B190" s="43" t="n"/>
      <c r="C190" s="43" t="n"/>
      <c r="D190" s="43" t="n"/>
      <c r="E190" s="43" t="n"/>
      <c r="F190" s="43" t="n"/>
      <c r="G190" s="43" t="n"/>
      <c r="H190" s="43" t="n"/>
      <c r="I190" s="43" t="n"/>
      <c r="J190" s="43" t="n"/>
      <c r="K190" s="43" t="n"/>
      <c r="L190" s="43" t="n"/>
      <c r="M190" s="43" t="n"/>
    </row>
    <row r="191">
      <c r="A191" s="43" t="n"/>
      <c r="B191" s="43" t="n"/>
      <c r="C191" s="43" t="n"/>
      <c r="D191" s="43" t="n"/>
      <c r="E191" s="43" t="n"/>
      <c r="F191" s="43" t="n"/>
      <c r="G191" s="43" t="n"/>
      <c r="H191" s="43" t="n"/>
      <c r="I191" s="43" t="n"/>
      <c r="J191" s="43" t="n"/>
      <c r="K191" s="43" t="n"/>
      <c r="L191" s="43" t="n"/>
      <c r="M191" s="43" t="n"/>
    </row>
    <row r="192">
      <c r="A192" s="43" t="n"/>
      <c r="B192" s="43" t="n"/>
      <c r="C192" s="43" t="n"/>
      <c r="D192" s="43" t="n"/>
      <c r="E192" s="43" t="n"/>
      <c r="F192" s="43" t="n"/>
      <c r="G192" s="43" t="n"/>
      <c r="H192" s="43" t="n"/>
      <c r="I192" s="43" t="n"/>
      <c r="J192" s="43" t="n"/>
      <c r="K192" s="43" t="n"/>
      <c r="L192" s="43" t="n"/>
      <c r="M192" s="43" t="n"/>
    </row>
    <row r="193">
      <c r="A193" s="43" t="n"/>
      <c r="B193" s="43" t="n"/>
      <c r="C193" s="43" t="n"/>
      <c r="D193" s="43" t="n"/>
      <c r="E193" s="43" t="n"/>
      <c r="F193" s="43" t="n"/>
      <c r="G193" s="43" t="n"/>
      <c r="H193" s="43" t="n"/>
      <c r="I193" s="43" t="n"/>
      <c r="J193" s="43" t="n"/>
      <c r="K193" s="43" t="n"/>
      <c r="L193" s="43" t="n"/>
      <c r="M193" s="43" t="n"/>
    </row>
    <row r="194">
      <c r="A194" s="43" t="n"/>
      <c r="B194" s="43" t="n"/>
      <c r="C194" s="43" t="n"/>
      <c r="D194" s="43" t="n"/>
      <c r="E194" s="43" t="n"/>
      <c r="F194" s="43" t="n"/>
      <c r="G194" s="43" t="n"/>
      <c r="H194" s="43" t="n"/>
      <c r="I194" s="43" t="n"/>
      <c r="J194" s="43" t="n"/>
      <c r="K194" s="43" t="n"/>
      <c r="L194" s="43" t="n"/>
      <c r="M194" s="43" t="n"/>
    </row>
    <row r="195">
      <c r="A195" s="43" t="n"/>
      <c r="B195" s="43" t="n"/>
      <c r="C195" s="43" t="n"/>
      <c r="D195" s="43" t="n"/>
      <c r="E195" s="43" t="n"/>
      <c r="F195" s="43" t="n"/>
      <c r="G195" s="43" t="n"/>
      <c r="H195" s="43" t="n"/>
      <c r="I195" s="43" t="n"/>
      <c r="J195" s="43" t="n"/>
      <c r="K195" s="43" t="n"/>
      <c r="L195" s="43" t="n"/>
      <c r="M195" s="43" t="n"/>
    </row>
    <row r="196">
      <c r="A196" s="43" t="n"/>
      <c r="B196" s="43" t="n"/>
      <c r="C196" s="43" t="n"/>
      <c r="D196" s="43" t="n"/>
      <c r="E196" s="43" t="n"/>
      <c r="F196" s="43" t="n"/>
      <c r="G196" s="43" t="n"/>
      <c r="H196" s="43" t="n"/>
      <c r="I196" s="43" t="n"/>
      <c r="J196" s="43" t="n"/>
      <c r="K196" s="43" t="n"/>
      <c r="L196" s="43" t="n"/>
      <c r="M196" s="43" t="n"/>
    </row>
    <row r="197">
      <c r="A197" s="43" t="n"/>
      <c r="B197" s="43" t="n"/>
      <c r="C197" s="43" t="n"/>
      <c r="D197" s="43" t="n"/>
      <c r="E197" s="43" t="n"/>
      <c r="F197" s="43" t="n"/>
      <c r="G197" s="43" t="n"/>
      <c r="H197" s="43" t="n"/>
      <c r="I197" s="43" t="n"/>
      <c r="J197" s="43" t="n"/>
      <c r="K197" s="43" t="n"/>
      <c r="L197" s="43" t="n"/>
      <c r="M197" s="43" t="n"/>
    </row>
    <row r="198">
      <c r="A198" s="43" t="n"/>
      <c r="B198" s="43" t="n"/>
      <c r="C198" s="43" t="n"/>
      <c r="D198" s="43" t="n"/>
      <c r="E198" s="43" t="n"/>
      <c r="F198" s="43" t="n"/>
      <c r="G198" s="43" t="n"/>
      <c r="H198" s="43" t="n"/>
      <c r="I198" s="43" t="n"/>
      <c r="J198" s="43" t="n"/>
      <c r="K198" s="43" t="n"/>
      <c r="L198" s="43" t="n"/>
      <c r="M198" s="43" t="n"/>
    </row>
    <row r="199">
      <c r="A199" s="43" t="n"/>
      <c r="B199" s="43" t="n"/>
      <c r="C199" s="43" t="n"/>
      <c r="D199" s="43" t="n"/>
      <c r="E199" s="43" t="n"/>
      <c r="F199" s="43" t="n"/>
      <c r="G199" s="43" t="n"/>
      <c r="H199" s="43" t="n"/>
      <c r="I199" s="43" t="n"/>
      <c r="J199" s="43" t="n"/>
      <c r="K199" s="43" t="n"/>
      <c r="L199" s="43" t="n"/>
      <c r="M199" s="43" t="n"/>
    </row>
    <row r="200">
      <c r="A200" s="43" t="n"/>
      <c r="B200" s="43" t="n"/>
      <c r="C200" s="43" t="n"/>
      <c r="D200" s="43" t="n"/>
      <c r="E200" s="43" t="n"/>
      <c r="F200" s="43" t="n"/>
      <c r="G200" s="43" t="n"/>
      <c r="H200" s="43" t="n"/>
      <c r="I200" s="43" t="n"/>
      <c r="J200" s="43" t="n"/>
      <c r="K200" s="43" t="n"/>
      <c r="L200" s="43" t="n"/>
      <c r="M200" s="43" t="n"/>
    </row>
    <row r="201">
      <c r="A201" s="43" t="n"/>
      <c r="B201" s="43" t="n"/>
      <c r="C201" s="43" t="n"/>
      <c r="D201" s="43" t="n"/>
      <c r="E201" s="43" t="n"/>
      <c r="F201" s="43" t="n"/>
      <c r="G201" s="43" t="n"/>
      <c r="H201" s="43" t="n"/>
      <c r="I201" s="43" t="n"/>
      <c r="J201" s="43" t="n"/>
      <c r="K201" s="43" t="n"/>
      <c r="L201" s="43" t="n"/>
      <c r="M201" s="43" t="n"/>
    </row>
    <row r="202">
      <c r="A202" s="43" t="n"/>
      <c r="B202" s="43" t="n"/>
      <c r="C202" s="43" t="n"/>
      <c r="D202" s="43" t="n"/>
      <c r="E202" s="43" t="n"/>
      <c r="F202" s="43" t="n"/>
      <c r="G202" s="43" t="n"/>
      <c r="H202" s="43" t="n"/>
      <c r="I202" s="43" t="n"/>
      <c r="J202" s="43" t="n"/>
      <c r="K202" s="43" t="n"/>
      <c r="L202" s="43" t="n"/>
      <c r="M202" s="43" t="n"/>
    </row>
    <row r="203">
      <c r="A203" s="43" t="n"/>
      <c r="B203" s="43" t="n"/>
      <c r="C203" s="43" t="n"/>
      <c r="D203" s="43" t="n"/>
      <c r="E203" s="43" t="n"/>
      <c r="F203" s="43" t="n"/>
      <c r="G203" s="43" t="n"/>
      <c r="H203" s="43" t="n"/>
      <c r="I203" s="43" t="n"/>
      <c r="J203" s="43" t="n"/>
      <c r="K203" s="43" t="n"/>
      <c r="L203" s="43" t="n"/>
      <c r="M203" s="43" t="n"/>
    </row>
    <row r="204">
      <c r="A204" s="43" t="n"/>
      <c r="B204" s="43" t="n"/>
      <c r="C204" s="43" t="n"/>
      <c r="D204" s="43" t="n"/>
      <c r="E204" s="43" t="n"/>
      <c r="F204" s="43" t="n"/>
      <c r="G204" s="43" t="n"/>
      <c r="H204" s="43" t="n"/>
      <c r="I204" s="43" t="n"/>
      <c r="J204" s="43" t="n"/>
      <c r="K204" s="43" t="n"/>
      <c r="L204" s="43" t="n"/>
      <c r="M204" s="43" t="n"/>
    </row>
    <row r="205">
      <c r="A205" s="43" t="n"/>
      <c r="B205" s="43" t="n"/>
      <c r="C205" s="43" t="n"/>
      <c r="D205" s="43" t="n"/>
      <c r="E205" s="43" t="n"/>
      <c r="F205" s="43" t="n"/>
      <c r="G205" s="43" t="n"/>
      <c r="H205" s="43" t="n"/>
      <c r="I205" s="43" t="n"/>
      <c r="J205" s="43" t="n"/>
      <c r="K205" s="43" t="n"/>
      <c r="L205" s="43" t="n"/>
      <c r="M205" s="43" t="n"/>
    </row>
    <row r="206">
      <c r="A206" s="43" t="n"/>
      <c r="B206" s="43" t="n"/>
      <c r="C206" s="43" t="n"/>
      <c r="D206" s="43" t="n"/>
      <c r="E206" s="43" t="n"/>
      <c r="F206" s="43" t="n"/>
      <c r="G206" s="43" t="n"/>
      <c r="H206" s="43" t="n"/>
      <c r="I206" s="43" t="n"/>
      <c r="J206" s="43" t="n"/>
      <c r="K206" s="43" t="n"/>
      <c r="L206" s="43" t="n"/>
      <c r="M206" s="43" t="n"/>
    </row>
    <row r="207">
      <c r="A207" s="43" t="n"/>
      <c r="B207" s="43" t="n"/>
      <c r="C207" s="43" t="n"/>
      <c r="D207" s="43" t="n"/>
      <c r="E207" s="43" t="n"/>
      <c r="F207" s="43" t="n"/>
      <c r="G207" s="43" t="n"/>
      <c r="H207" s="43" t="n"/>
      <c r="I207" s="43" t="n"/>
      <c r="J207" s="43" t="n"/>
      <c r="K207" s="43" t="n"/>
      <c r="L207" s="43" t="n"/>
      <c r="M207" s="43" t="n"/>
    </row>
    <row r="208">
      <c r="A208" s="43" t="n"/>
      <c r="B208" s="43" t="n"/>
      <c r="C208" s="43" t="n"/>
      <c r="D208" s="43" t="n"/>
      <c r="E208" s="43" t="n"/>
      <c r="F208" s="43" t="n"/>
      <c r="G208" s="43" t="n"/>
      <c r="H208" s="43" t="n"/>
      <c r="I208" s="43" t="n"/>
      <c r="J208" s="43" t="n"/>
      <c r="K208" s="43" t="n"/>
      <c r="L208" s="43" t="n"/>
      <c r="M208" s="43" t="n"/>
    </row>
    <row r="209">
      <c r="A209" s="43" t="n"/>
      <c r="B209" s="43" t="n"/>
      <c r="C209" s="43" t="n"/>
      <c r="D209" s="43" t="n"/>
      <c r="E209" s="43" t="n"/>
      <c r="F209" s="43" t="n"/>
      <c r="G209" s="43" t="n"/>
      <c r="H209" s="43" t="n"/>
      <c r="I209" s="43" t="n"/>
      <c r="J209" s="43" t="n"/>
      <c r="K209" s="43" t="n"/>
      <c r="L209" s="43" t="n"/>
      <c r="M209" s="43" t="n"/>
    </row>
    <row r="210">
      <c r="A210" s="43" t="n"/>
      <c r="B210" s="43" t="n"/>
      <c r="C210" s="43" t="n"/>
      <c r="D210" s="43" t="n"/>
      <c r="E210" s="43" t="n"/>
      <c r="F210" s="43" t="n"/>
      <c r="G210" s="43" t="n"/>
      <c r="H210" s="43" t="n"/>
      <c r="I210" s="43" t="n"/>
      <c r="J210" s="43" t="n"/>
      <c r="K210" s="43" t="n"/>
      <c r="L210" s="43" t="n"/>
      <c r="M210" s="43" t="n"/>
    </row>
    <row r="211">
      <c r="A211" s="43" t="n"/>
      <c r="B211" s="43" t="n"/>
      <c r="C211" s="43" t="n"/>
      <c r="D211" s="43" t="n"/>
      <c r="E211" s="43" t="n"/>
      <c r="F211" s="43" t="n"/>
      <c r="G211" s="43" t="n"/>
      <c r="H211" s="43" t="n"/>
      <c r="I211" s="43" t="n"/>
      <c r="J211" s="43" t="n"/>
      <c r="K211" s="43" t="n"/>
      <c r="L211" s="43" t="n"/>
      <c r="M211" s="43" t="n"/>
    </row>
    <row r="212">
      <c r="A212" s="43" t="n"/>
      <c r="B212" s="43" t="n"/>
      <c r="C212" s="43" t="n"/>
      <c r="D212" s="43" t="n"/>
      <c r="E212" s="43" t="n"/>
      <c r="F212" s="43" t="n"/>
      <c r="G212" s="43" t="n"/>
      <c r="H212" s="43" t="n"/>
      <c r="I212" s="43" t="n"/>
      <c r="J212" s="43" t="n"/>
      <c r="K212" s="43" t="n"/>
      <c r="L212" s="43" t="n"/>
      <c r="M212" s="43" t="n"/>
    </row>
    <row r="213">
      <c r="A213" s="43" t="n"/>
      <c r="B213" s="43" t="n"/>
      <c r="C213" s="43" t="n"/>
      <c r="D213" s="43" t="n"/>
      <c r="E213" s="43" t="n"/>
      <c r="F213" s="43" t="n"/>
      <c r="G213" s="43" t="n"/>
      <c r="H213" s="43" t="n"/>
      <c r="I213" s="43" t="n"/>
      <c r="J213" s="43" t="n"/>
      <c r="K213" s="43" t="n"/>
      <c r="L213" s="43" t="n"/>
      <c r="M213" s="43" t="n"/>
    </row>
    <row r="214">
      <c r="A214" s="43" t="n"/>
      <c r="B214" s="43" t="n"/>
      <c r="C214" s="43" t="n"/>
      <c r="D214" s="43" t="n"/>
      <c r="E214" s="43" t="n"/>
      <c r="F214" s="43" t="n"/>
      <c r="G214" s="43" t="n"/>
      <c r="H214" s="43" t="n"/>
      <c r="I214" s="43" t="n"/>
      <c r="J214" s="43" t="n"/>
      <c r="K214" s="43" t="n"/>
      <c r="L214" s="43" t="n"/>
      <c r="M214" s="43" t="n"/>
    </row>
    <row r="215">
      <c r="A215" s="43" t="n"/>
      <c r="B215" s="43" t="n"/>
      <c r="C215" s="43" t="n"/>
      <c r="D215" s="43" t="n"/>
      <c r="E215" s="43" t="n"/>
      <c r="F215" s="43" t="n"/>
      <c r="G215" s="43" t="n"/>
      <c r="H215" s="43" t="n"/>
      <c r="I215" s="43" t="n"/>
      <c r="J215" s="43" t="n"/>
      <c r="K215" s="43" t="n"/>
      <c r="L215" s="43" t="n"/>
      <c r="M215" s="43" t="n"/>
    </row>
    <row r="216">
      <c r="A216" s="43" t="n"/>
      <c r="B216" s="43" t="n"/>
      <c r="C216" s="43" t="n"/>
      <c r="D216" s="43" t="n"/>
      <c r="E216" s="43" t="n"/>
      <c r="F216" s="43" t="n"/>
      <c r="G216" s="43" t="n"/>
      <c r="H216" s="43" t="n"/>
      <c r="I216" s="43" t="n"/>
      <c r="J216" s="43" t="n"/>
      <c r="K216" s="43" t="n"/>
      <c r="L216" s="43" t="n"/>
      <c r="M216" s="43" t="n"/>
    </row>
    <row r="217">
      <c r="A217" s="43" t="n"/>
      <c r="B217" s="43" t="n"/>
      <c r="C217" s="43" t="n"/>
      <c r="D217" s="43" t="n"/>
      <c r="E217" s="43" t="n"/>
      <c r="F217" s="43" t="n"/>
      <c r="G217" s="43" t="n"/>
      <c r="H217" s="43" t="n"/>
      <c r="I217" s="43" t="n"/>
      <c r="J217" s="43" t="n"/>
      <c r="K217" s="43" t="n"/>
      <c r="L217" s="43" t="n"/>
      <c r="M217" s="43" t="n"/>
    </row>
    <row r="218">
      <c r="A218" s="43" t="n"/>
      <c r="B218" s="43" t="n"/>
      <c r="C218" s="43" t="n"/>
      <c r="D218" s="43" t="n"/>
      <c r="E218" s="43" t="n"/>
      <c r="F218" s="43" t="n"/>
      <c r="G218" s="43" t="n"/>
      <c r="H218" s="43" t="n"/>
      <c r="I218" s="43" t="n"/>
      <c r="J218" s="43" t="n"/>
      <c r="K218" s="43" t="n"/>
      <c r="L218" s="43" t="n"/>
      <c r="M218" s="43" t="n"/>
    </row>
    <row r="219">
      <c r="A219" s="43" t="n"/>
      <c r="B219" s="43" t="n"/>
      <c r="C219" s="43" t="n"/>
      <c r="D219" s="43" t="n"/>
      <c r="E219" s="43" t="n"/>
      <c r="F219" s="43" t="n"/>
      <c r="G219" s="43" t="n"/>
      <c r="H219" s="43" t="n"/>
      <c r="I219" s="43" t="n"/>
      <c r="J219" s="43" t="n"/>
      <c r="K219" s="43" t="n"/>
      <c r="L219" s="43" t="n"/>
      <c r="M219" s="43" t="n"/>
    </row>
    <row r="220">
      <c r="A220" s="43" t="n"/>
      <c r="B220" s="43" t="n"/>
      <c r="C220" s="43" t="n"/>
      <c r="D220" s="43" t="n"/>
      <c r="E220" s="43" t="n"/>
      <c r="F220" s="43" t="n"/>
      <c r="G220" s="43" t="n"/>
      <c r="H220" s="43" t="n"/>
      <c r="I220" s="43" t="n"/>
      <c r="J220" s="43" t="n"/>
      <c r="K220" s="43" t="n"/>
      <c r="L220" s="43" t="n"/>
      <c r="M220" s="43" t="n"/>
    </row>
    <row r="221">
      <c r="A221" s="43" t="n"/>
      <c r="B221" s="43" t="n"/>
      <c r="C221" s="43" t="n"/>
      <c r="D221" s="43" t="n"/>
      <c r="E221" s="43" t="n"/>
      <c r="F221" s="43" t="n"/>
      <c r="G221" s="43" t="n"/>
      <c r="H221" s="43" t="n"/>
      <c r="I221" s="43" t="n"/>
      <c r="J221" s="43" t="n"/>
      <c r="K221" s="43" t="n"/>
      <c r="L221" s="43" t="n"/>
      <c r="M221" s="43" t="n"/>
    </row>
    <row r="222">
      <c r="A222" s="43" t="n"/>
      <c r="B222" s="43" t="n"/>
      <c r="C222" s="43" t="n"/>
      <c r="D222" s="43" t="n"/>
      <c r="E222" s="43" t="n"/>
      <c r="F222" s="43" t="n"/>
      <c r="G222" s="43" t="n"/>
      <c r="H222" s="43" t="n"/>
      <c r="I222" s="43" t="n"/>
      <c r="J222" s="43" t="n"/>
      <c r="K222" s="43" t="n"/>
      <c r="L222" s="43" t="n"/>
      <c r="M222" s="43" t="n"/>
    </row>
    <row r="223">
      <c r="A223" s="43" t="n"/>
      <c r="B223" s="43" t="n"/>
      <c r="C223" s="43" t="n"/>
      <c r="D223" s="43" t="n"/>
      <c r="E223" s="43" t="n"/>
      <c r="F223" s="43" t="n"/>
      <c r="G223" s="43" t="n"/>
      <c r="H223" s="43" t="n"/>
      <c r="I223" s="43" t="n"/>
      <c r="J223" s="43" t="n"/>
      <c r="K223" s="43" t="n"/>
      <c r="L223" s="43" t="n"/>
      <c r="M223" s="43" t="n"/>
    </row>
    <row r="224">
      <c r="A224" s="43" t="n"/>
      <c r="B224" s="43" t="n"/>
      <c r="C224" s="43" t="n"/>
      <c r="D224" s="43" t="n"/>
      <c r="E224" s="43" t="n"/>
      <c r="F224" s="43" t="n"/>
      <c r="G224" s="43" t="n"/>
      <c r="H224" s="43" t="n"/>
      <c r="I224" s="43" t="n"/>
      <c r="J224" s="43" t="n"/>
      <c r="K224" s="43" t="n"/>
      <c r="L224" s="43" t="n"/>
      <c r="M224" s="43" t="n"/>
    </row>
    <row r="225">
      <c r="A225" s="43" t="n"/>
      <c r="B225" s="43" t="n"/>
      <c r="C225" s="43" t="n"/>
      <c r="D225" s="43" t="n"/>
      <c r="E225" s="43" t="n"/>
      <c r="F225" s="43" t="n"/>
      <c r="G225" s="43" t="n"/>
      <c r="H225" s="43" t="n"/>
      <c r="I225" s="43" t="n"/>
      <c r="J225" s="43" t="n"/>
      <c r="K225" s="43" t="n"/>
      <c r="L225" s="43" t="n"/>
      <c r="M225" s="43" t="n"/>
    </row>
    <row r="226">
      <c r="A226" s="43" t="n"/>
      <c r="B226" s="43" t="n"/>
      <c r="C226" s="43" t="n"/>
      <c r="D226" s="43" t="n"/>
      <c r="E226" s="43" t="n"/>
      <c r="F226" s="43" t="n"/>
      <c r="G226" s="43" t="n"/>
      <c r="H226" s="43" t="n"/>
      <c r="I226" s="43" t="n"/>
      <c r="J226" s="43" t="n"/>
      <c r="K226" s="43" t="n"/>
      <c r="L226" s="43" t="n"/>
      <c r="M226" s="43" t="n"/>
    </row>
    <row r="227">
      <c r="A227" s="43" t="n"/>
      <c r="B227" s="43" t="n"/>
      <c r="C227" s="43" t="n"/>
      <c r="D227" s="43" t="n"/>
      <c r="E227" s="43" t="n"/>
      <c r="F227" s="43" t="n"/>
      <c r="G227" s="43" t="n"/>
      <c r="H227" s="43" t="n"/>
      <c r="I227" s="43" t="n"/>
      <c r="J227" s="43" t="n"/>
      <c r="K227" s="43" t="n"/>
      <c r="L227" s="43" t="n"/>
      <c r="M227" s="43" t="n"/>
    </row>
    <row r="228">
      <c r="A228" s="43" t="n"/>
      <c r="B228" s="43" t="n"/>
      <c r="C228" s="43" t="n"/>
      <c r="D228" s="43" t="n"/>
      <c r="E228" s="43" t="n"/>
      <c r="F228" s="43" t="n"/>
      <c r="G228" s="43" t="n"/>
      <c r="H228" s="43" t="n"/>
      <c r="I228" s="43" t="n"/>
      <c r="J228" s="43" t="n"/>
      <c r="K228" s="43" t="n"/>
      <c r="L228" s="43" t="n"/>
      <c r="M228" s="43" t="n"/>
    </row>
    <row r="229">
      <c r="A229" s="43" t="n"/>
      <c r="B229" s="43" t="n"/>
      <c r="C229" s="43" t="n"/>
      <c r="D229" s="43" t="n"/>
      <c r="E229" s="43" t="n"/>
      <c r="F229" s="43" t="n"/>
      <c r="G229" s="43" t="n"/>
      <c r="H229" s="43" t="n"/>
      <c r="I229" s="43" t="n"/>
      <c r="J229" s="43" t="n"/>
      <c r="K229" s="43" t="n"/>
      <c r="L229" s="43" t="n"/>
      <c r="M229" s="43" t="n"/>
    </row>
    <row r="230">
      <c r="A230" s="43" t="n"/>
      <c r="B230" s="43" t="n"/>
      <c r="C230" s="43" t="n"/>
      <c r="D230" s="43" t="n"/>
      <c r="E230" s="43" t="n"/>
      <c r="F230" s="43" t="n"/>
      <c r="G230" s="43" t="n"/>
      <c r="H230" s="43" t="n"/>
      <c r="I230" s="43" t="n"/>
      <c r="J230" s="43" t="n"/>
      <c r="K230" s="43" t="n"/>
      <c r="L230" s="43" t="n"/>
      <c r="M230" s="43" t="n"/>
    </row>
    <row r="231">
      <c r="A231" s="43" t="n"/>
      <c r="B231" s="43" t="n"/>
      <c r="C231" s="43" t="n"/>
      <c r="D231" s="43" t="n"/>
      <c r="E231" s="43" t="n"/>
      <c r="F231" s="43" t="n"/>
      <c r="G231" s="43" t="n"/>
      <c r="H231" s="43" t="n"/>
      <c r="I231" s="43" t="n"/>
      <c r="J231" s="43" t="n"/>
      <c r="K231" s="43" t="n"/>
      <c r="L231" s="43" t="n"/>
      <c r="M231" s="43" t="n"/>
    </row>
    <row r="232">
      <c r="A232" s="43" t="n"/>
      <c r="B232" s="43" t="n"/>
      <c r="C232" s="43" t="n"/>
      <c r="D232" s="43" t="n"/>
      <c r="E232" s="43" t="n"/>
      <c r="F232" s="43" t="n"/>
      <c r="G232" s="43" t="n"/>
      <c r="H232" s="43" t="n"/>
      <c r="I232" s="43" t="n"/>
      <c r="J232" s="43" t="n"/>
      <c r="K232" s="43" t="n"/>
      <c r="L232" s="43" t="n"/>
      <c r="M232" s="43" t="n"/>
    </row>
    <row r="233">
      <c r="A233" s="43" t="n"/>
      <c r="B233" s="43" t="n"/>
      <c r="C233" s="43" t="n"/>
      <c r="D233" s="43" t="n"/>
      <c r="E233" s="43" t="n"/>
      <c r="F233" s="43" t="n"/>
      <c r="G233" s="43" t="n"/>
      <c r="H233" s="43" t="n"/>
      <c r="I233" s="43" t="n"/>
      <c r="J233" s="43" t="n"/>
      <c r="K233" s="43" t="n"/>
      <c r="L233" s="43" t="n"/>
      <c r="M233" s="43" t="n"/>
    </row>
    <row r="234">
      <c r="A234" s="43" t="n"/>
      <c r="B234" s="43" t="n"/>
      <c r="C234" s="43" t="n"/>
      <c r="D234" s="43" t="n"/>
      <c r="E234" s="43" t="n"/>
      <c r="F234" s="43" t="n"/>
      <c r="G234" s="43" t="n"/>
      <c r="H234" s="43" t="n"/>
      <c r="I234" s="43" t="n"/>
      <c r="J234" s="43" t="n"/>
      <c r="K234" s="43" t="n"/>
      <c r="L234" s="43" t="n"/>
      <c r="M234" s="43" t="n"/>
    </row>
    <row r="235">
      <c r="A235" s="43" t="n"/>
      <c r="B235" s="43" t="n"/>
      <c r="C235" s="43" t="n"/>
      <c r="D235" s="43" t="n"/>
      <c r="E235" s="43" t="n"/>
      <c r="F235" s="43" t="n"/>
      <c r="G235" s="43" t="n"/>
      <c r="H235" s="43" t="n"/>
      <c r="I235" s="43" t="n"/>
      <c r="J235" s="43" t="n"/>
      <c r="K235" s="43" t="n"/>
      <c r="L235" s="43" t="n"/>
      <c r="M235" s="43" t="n"/>
    </row>
    <row r="236">
      <c r="A236" s="43" t="n"/>
      <c r="B236" s="43" t="n"/>
      <c r="C236" s="43" t="n"/>
      <c r="D236" s="43" t="n"/>
      <c r="E236" s="43" t="n"/>
      <c r="F236" s="43" t="n"/>
      <c r="G236" s="43" t="n"/>
      <c r="H236" s="43" t="n"/>
      <c r="I236" s="43" t="n"/>
      <c r="J236" s="43" t="n"/>
      <c r="K236" s="43" t="n"/>
      <c r="L236" s="43" t="n"/>
      <c r="M236" s="43" t="n"/>
    </row>
    <row r="237">
      <c r="A237" s="43" t="n"/>
      <c r="B237" s="43" t="n"/>
      <c r="C237" s="43" t="n"/>
      <c r="D237" s="43" t="n"/>
      <c r="E237" s="43" t="n"/>
      <c r="F237" s="43" t="n"/>
      <c r="G237" s="43" t="n"/>
      <c r="H237" s="43" t="n"/>
      <c r="I237" s="43" t="n"/>
      <c r="J237" s="43" t="n"/>
      <c r="K237" s="43" t="n"/>
      <c r="L237" s="43" t="n"/>
      <c r="M237" s="43" t="n"/>
    </row>
    <row r="238">
      <c r="A238" s="43" t="n"/>
      <c r="B238" s="43" t="n"/>
      <c r="C238" s="43" t="n"/>
      <c r="D238" s="43" t="n"/>
      <c r="E238" s="43" t="n"/>
      <c r="F238" s="43" t="n"/>
      <c r="G238" s="43" t="n"/>
      <c r="H238" s="43" t="n"/>
      <c r="I238" s="43" t="n"/>
      <c r="J238" s="43" t="n"/>
      <c r="K238" s="43" t="n"/>
      <c r="L238" s="43" t="n"/>
      <c r="M238" s="43" t="n"/>
    </row>
    <row r="239">
      <c r="A239" s="43" t="n"/>
      <c r="B239" s="43" t="n"/>
      <c r="C239" s="43" t="n"/>
      <c r="D239" s="43" t="n"/>
      <c r="E239" s="43" t="n"/>
      <c r="F239" s="43" t="n"/>
      <c r="G239" s="43" t="n"/>
      <c r="H239" s="43" t="n"/>
      <c r="I239" s="43" t="n"/>
      <c r="J239" s="43" t="n"/>
      <c r="K239" s="43" t="n"/>
      <c r="L239" s="43" t="n"/>
      <c r="M239" s="43" t="n"/>
    </row>
    <row r="240">
      <c r="A240" s="43" t="n"/>
      <c r="B240" s="43" t="n"/>
      <c r="C240" s="43" t="n"/>
      <c r="D240" s="43" t="n"/>
      <c r="E240" s="43" t="n"/>
      <c r="F240" s="43" t="n"/>
      <c r="G240" s="43" t="n"/>
      <c r="H240" s="43" t="n"/>
      <c r="I240" s="43" t="n"/>
      <c r="J240" s="43" t="n"/>
      <c r="K240" s="43" t="n"/>
      <c r="L240" s="43" t="n"/>
      <c r="M240" s="43" t="n"/>
    </row>
    <row r="241">
      <c r="A241" s="43" t="n"/>
      <c r="B241" s="43" t="n"/>
      <c r="C241" s="43" t="n"/>
      <c r="D241" s="43" t="n"/>
      <c r="E241" s="43" t="n"/>
      <c r="F241" s="43" t="n"/>
      <c r="G241" s="43" t="n"/>
      <c r="H241" s="43" t="n"/>
      <c r="I241" s="43" t="n"/>
      <c r="J241" s="43" t="n"/>
      <c r="K241" s="43" t="n"/>
      <c r="L241" s="43" t="n"/>
      <c r="M241" s="43" t="n"/>
    </row>
    <row r="242">
      <c r="A242" s="43" t="n"/>
      <c r="B242" s="43" t="n"/>
      <c r="C242" s="43" t="n"/>
      <c r="D242" s="43" t="n"/>
      <c r="E242" s="43" t="n"/>
      <c r="F242" s="43" t="n"/>
      <c r="G242" s="43" t="n"/>
      <c r="H242" s="43" t="n"/>
      <c r="I242" s="43" t="n"/>
      <c r="J242" s="43" t="n"/>
      <c r="K242" s="43" t="n"/>
      <c r="L242" s="43" t="n"/>
      <c r="M242" s="43" t="n"/>
    </row>
    <row r="243">
      <c r="A243" s="43" t="n"/>
      <c r="B243" s="43" t="n"/>
      <c r="C243" s="43" t="n"/>
      <c r="D243" s="43" t="n"/>
      <c r="E243" s="43" t="n"/>
      <c r="F243" s="43" t="n"/>
      <c r="G243" s="43" t="n"/>
      <c r="H243" s="43" t="n"/>
      <c r="I243" s="43" t="n"/>
      <c r="J243" s="43" t="n"/>
      <c r="K243" s="43" t="n"/>
      <c r="L243" s="43" t="n"/>
      <c r="M243" s="43" t="n"/>
    </row>
    <row r="244">
      <c r="A244" s="43" t="n"/>
      <c r="B244" s="43" t="n"/>
      <c r="C244" s="43" t="n"/>
      <c r="D244" s="43" t="n"/>
      <c r="E244" s="43" t="n"/>
      <c r="F244" s="43" t="n"/>
      <c r="G244" s="43" t="n"/>
      <c r="H244" s="43" t="n"/>
      <c r="I244" s="43" t="n"/>
      <c r="J244" s="43" t="n"/>
      <c r="K244" s="43" t="n"/>
      <c r="L244" s="43" t="n"/>
      <c r="M244" s="43" t="n"/>
    </row>
    <row r="245">
      <c r="A245" s="43" t="n"/>
      <c r="B245" s="43" t="n"/>
      <c r="C245" s="43" t="n"/>
      <c r="D245" s="43" t="n"/>
      <c r="E245" s="43" t="n"/>
      <c r="F245" s="43" t="n"/>
      <c r="G245" s="43" t="n"/>
      <c r="H245" s="43" t="n"/>
      <c r="I245" s="43" t="n"/>
      <c r="J245" s="43" t="n"/>
      <c r="K245" s="43" t="n"/>
      <c r="L245" s="43" t="n"/>
      <c r="M245" s="43" t="n"/>
    </row>
    <row r="246">
      <c r="A246" s="43" t="n"/>
      <c r="B246" s="43" t="n"/>
      <c r="C246" s="43" t="n"/>
      <c r="D246" s="43" t="n"/>
      <c r="E246" s="43" t="n"/>
      <c r="F246" s="43" t="n"/>
      <c r="G246" s="43" t="n"/>
      <c r="H246" s="43" t="n"/>
      <c r="I246" s="43" t="n"/>
      <c r="J246" s="43" t="n"/>
      <c r="K246" s="43" t="n"/>
      <c r="L246" s="43" t="n"/>
      <c r="M246" s="43" t="n"/>
    </row>
    <row r="247">
      <c r="A247" s="43" t="n"/>
      <c r="B247" s="43" t="n"/>
      <c r="C247" s="43" t="n"/>
      <c r="D247" s="43" t="n"/>
      <c r="E247" s="43" t="n"/>
      <c r="F247" s="43" t="n"/>
      <c r="G247" s="43" t="n"/>
      <c r="H247" s="43" t="n"/>
      <c r="I247" s="43" t="n"/>
      <c r="J247" s="43" t="n"/>
      <c r="K247" s="43" t="n"/>
      <c r="L247" s="43" t="n"/>
      <c r="M247" s="43" t="n"/>
    </row>
    <row r="248">
      <c r="A248" s="43" t="n"/>
      <c r="B248" s="43" t="n"/>
      <c r="C248" s="43" t="n"/>
      <c r="D248" s="43" t="n"/>
      <c r="E248" s="43" t="n"/>
      <c r="F248" s="43" t="n"/>
      <c r="G248" s="43" t="n"/>
      <c r="H248" s="43" t="n"/>
      <c r="I248" s="43" t="n"/>
      <c r="J248" s="43" t="n"/>
      <c r="K248" s="43" t="n"/>
      <c r="L248" s="43" t="n"/>
      <c r="M248" s="43" t="n"/>
    </row>
    <row r="249">
      <c r="A249" s="43" t="n"/>
      <c r="B249" s="43" t="n"/>
      <c r="C249" s="43" t="n"/>
      <c r="D249" s="43" t="n"/>
      <c r="E249" s="43" t="n"/>
      <c r="F249" s="43" t="n"/>
      <c r="G249" s="43" t="n"/>
      <c r="H249" s="43" t="n"/>
      <c r="I249" s="43" t="n"/>
      <c r="J249" s="43" t="n"/>
      <c r="K249" s="43" t="n"/>
      <c r="L249" s="43" t="n"/>
      <c r="M249" s="43" t="n"/>
    </row>
    <row r="250">
      <c r="A250" s="43" t="n"/>
      <c r="B250" s="43" t="n"/>
      <c r="C250" s="43" t="n"/>
      <c r="D250" s="43" t="n"/>
      <c r="E250" s="43" t="n"/>
      <c r="F250" s="43" t="n"/>
      <c r="G250" s="43" t="n"/>
      <c r="H250" s="43" t="n"/>
      <c r="I250" s="43" t="n"/>
      <c r="J250" s="43" t="n"/>
      <c r="K250" s="43" t="n"/>
      <c r="L250" s="43" t="n"/>
      <c r="M250" s="43" t="n"/>
    </row>
    <row r="251">
      <c r="A251" s="43" t="n"/>
      <c r="B251" s="43" t="n"/>
      <c r="C251" s="43" t="n"/>
      <c r="D251" s="43" t="n"/>
      <c r="E251" s="43" t="n"/>
      <c r="F251" s="43" t="n"/>
      <c r="G251" s="43" t="n"/>
      <c r="H251" s="43" t="n"/>
      <c r="I251" s="43" t="n"/>
      <c r="J251" s="43" t="n"/>
      <c r="K251" s="43" t="n"/>
      <c r="L251" s="43" t="n"/>
      <c r="M251" s="43" t="n"/>
    </row>
    <row r="252">
      <c r="A252" s="43" t="n"/>
      <c r="B252" s="43" t="n"/>
      <c r="C252" s="43" t="n"/>
      <c r="D252" s="43" t="n"/>
      <c r="E252" s="43" t="n"/>
      <c r="F252" s="43" t="n"/>
      <c r="G252" s="43" t="n"/>
      <c r="H252" s="43" t="n"/>
      <c r="I252" s="43" t="n"/>
      <c r="J252" s="43" t="n"/>
      <c r="K252" s="43" t="n"/>
      <c r="L252" s="43" t="n"/>
      <c r="M252" s="43" t="n"/>
    </row>
    <row r="253">
      <c r="A253" s="43" t="n"/>
      <c r="B253" s="43" t="n"/>
      <c r="C253" s="43" t="n"/>
      <c r="D253" s="43" t="n"/>
      <c r="E253" s="43" t="n"/>
      <c r="F253" s="43" t="n"/>
      <c r="G253" s="43" t="n"/>
      <c r="H253" s="43" t="n"/>
      <c r="I253" s="43" t="n"/>
      <c r="J253" s="43" t="n"/>
      <c r="K253" s="43" t="n"/>
      <c r="L253" s="43" t="n"/>
      <c r="M253" s="43" t="n"/>
    </row>
    <row r="254">
      <c r="A254" s="43" t="n"/>
      <c r="B254" s="43" t="n"/>
      <c r="C254" s="43" t="n"/>
      <c r="D254" s="43" t="n"/>
      <c r="E254" s="43" t="n"/>
      <c r="F254" s="43" t="n"/>
      <c r="G254" s="43" t="n"/>
      <c r="H254" s="43" t="n"/>
      <c r="I254" s="43" t="n"/>
      <c r="J254" s="43" t="n"/>
      <c r="K254" s="43" t="n"/>
      <c r="L254" s="43" t="n"/>
      <c r="M254" s="43" t="n"/>
    </row>
    <row r="255">
      <c r="A255" s="43" t="n"/>
      <c r="B255" s="43" t="n"/>
      <c r="C255" s="43" t="n"/>
      <c r="D255" s="43" t="n"/>
      <c r="E255" s="43" t="n"/>
      <c r="F255" s="43" t="n"/>
      <c r="G255" s="43" t="n"/>
      <c r="H255" s="43" t="n"/>
      <c r="I255" s="43" t="n"/>
      <c r="J255" s="43" t="n"/>
      <c r="K255" s="43" t="n"/>
      <c r="L255" s="43" t="n"/>
      <c r="M255" s="43" t="n"/>
    </row>
    <row r="256">
      <c r="A256" s="43" t="n"/>
      <c r="B256" s="43" t="n"/>
      <c r="C256" s="43" t="n"/>
      <c r="D256" s="43" t="n"/>
      <c r="E256" s="43" t="n"/>
      <c r="F256" s="43" t="n"/>
      <c r="G256" s="43" t="n"/>
      <c r="H256" s="43" t="n"/>
      <c r="I256" s="43" t="n"/>
      <c r="J256" s="43" t="n"/>
      <c r="K256" s="43" t="n"/>
      <c r="L256" s="43" t="n"/>
      <c r="M256" s="43" t="n"/>
    </row>
    <row r="257">
      <c r="A257" s="43" t="n"/>
      <c r="B257" s="43" t="n"/>
      <c r="C257" s="43" t="n"/>
      <c r="D257" s="43" t="n"/>
      <c r="E257" s="43" t="n"/>
      <c r="F257" s="43" t="n"/>
      <c r="G257" s="43" t="n"/>
      <c r="H257" s="43" t="n"/>
      <c r="I257" s="43" t="n"/>
      <c r="J257" s="43" t="n"/>
      <c r="K257" s="43" t="n"/>
      <c r="L257" s="43" t="n"/>
      <c r="M257" s="43" t="n"/>
    </row>
    <row r="258">
      <c r="A258" s="43" t="n"/>
      <c r="B258" s="43" t="n"/>
      <c r="C258" s="43" t="n"/>
      <c r="D258" s="43" t="n"/>
      <c r="E258" s="43" t="n"/>
      <c r="F258" s="43" t="n"/>
      <c r="G258" s="43" t="n"/>
      <c r="H258" s="43" t="n"/>
      <c r="I258" s="43" t="n"/>
      <c r="J258" s="43" t="n"/>
      <c r="K258" s="43" t="n"/>
      <c r="L258" s="43" t="n"/>
      <c r="M258" s="43" t="n"/>
    </row>
    <row r="259">
      <c r="A259" s="43" t="n"/>
      <c r="B259" s="43" t="n"/>
      <c r="C259" s="43" t="n"/>
      <c r="D259" s="43" t="n"/>
      <c r="E259" s="43" t="n"/>
      <c r="F259" s="43" t="n"/>
      <c r="G259" s="43" t="n"/>
      <c r="H259" s="43" t="n"/>
      <c r="I259" s="43" t="n"/>
      <c r="J259" s="43" t="n"/>
      <c r="K259" s="43" t="n"/>
      <c r="L259" s="43" t="n"/>
      <c r="M259" s="43" t="n"/>
    </row>
    <row r="260">
      <c r="A260" s="43" t="n"/>
      <c r="B260" s="43" t="n"/>
      <c r="C260" s="43" t="n"/>
      <c r="D260" s="43" t="n"/>
      <c r="E260" s="43" t="n"/>
      <c r="F260" s="43" t="n"/>
      <c r="G260" s="43" t="n"/>
      <c r="H260" s="43" t="n"/>
      <c r="I260" s="43" t="n"/>
      <c r="J260" s="43" t="n"/>
      <c r="K260" s="43" t="n"/>
      <c r="L260" s="43" t="n"/>
      <c r="M260" s="43" t="n"/>
    </row>
    <row r="261">
      <c r="A261" s="43" t="n"/>
      <c r="B261" s="43" t="n"/>
      <c r="C261" s="43" t="n"/>
      <c r="D261" s="43" t="n"/>
      <c r="E261" s="43" t="n"/>
      <c r="F261" s="43" t="n"/>
      <c r="G261" s="43" t="n"/>
      <c r="H261" s="43" t="n"/>
      <c r="I261" s="43" t="n"/>
      <c r="J261" s="43" t="n"/>
      <c r="K261" s="43" t="n"/>
      <c r="L261" s="43" t="n"/>
      <c r="M261" s="43" t="n"/>
    </row>
    <row r="262">
      <c r="A262" s="43" t="n"/>
      <c r="B262" s="43" t="n"/>
      <c r="C262" s="43" t="n"/>
      <c r="D262" s="43" t="n"/>
      <c r="E262" s="43" t="n"/>
      <c r="F262" s="43" t="n"/>
      <c r="G262" s="43" t="n"/>
      <c r="H262" s="43" t="n"/>
      <c r="I262" s="43" t="n"/>
      <c r="J262" s="43" t="n"/>
      <c r="K262" s="43" t="n"/>
      <c r="L262" s="43" t="n"/>
      <c r="M262" s="43" t="n"/>
    </row>
    <row r="263">
      <c r="A263" s="43" t="n"/>
      <c r="B263" s="43" t="n"/>
      <c r="C263" s="43" t="n"/>
      <c r="D263" s="43" t="n"/>
      <c r="E263" s="43" t="n"/>
      <c r="F263" s="43" t="n"/>
      <c r="G263" s="43" t="n"/>
      <c r="H263" s="43" t="n"/>
      <c r="I263" s="43" t="n"/>
      <c r="J263" s="43" t="n"/>
      <c r="K263" s="43" t="n"/>
      <c r="L263" s="43" t="n"/>
      <c r="M263" s="43" t="n"/>
    </row>
    <row r="264">
      <c r="A264" s="43" t="n"/>
      <c r="B264" s="43" t="n"/>
      <c r="C264" s="43" t="n"/>
      <c r="D264" s="43" t="n"/>
      <c r="E264" s="43" t="n"/>
      <c r="F264" s="43" t="n"/>
      <c r="G264" s="43" t="n"/>
      <c r="H264" s="43" t="n"/>
      <c r="I264" s="43" t="n"/>
      <c r="J264" s="43" t="n"/>
      <c r="K264" s="43" t="n"/>
      <c r="L264" s="43" t="n"/>
      <c r="M264" s="43" t="n"/>
    </row>
    <row r="265">
      <c r="A265" s="43" t="n"/>
      <c r="B265" s="43" t="n"/>
      <c r="C265" s="43" t="n"/>
      <c r="D265" s="43" t="n"/>
      <c r="E265" s="43" t="n"/>
      <c r="F265" s="43" t="n"/>
      <c r="G265" s="43" t="n"/>
      <c r="H265" s="43" t="n"/>
      <c r="I265" s="43" t="n"/>
      <c r="J265" s="43" t="n"/>
      <c r="K265" s="43" t="n"/>
      <c r="L265" s="43" t="n"/>
      <c r="M265" s="43" t="n"/>
    </row>
    <row r="266">
      <c r="A266" s="43" t="n"/>
      <c r="B266" s="43" t="n"/>
      <c r="C266" s="43" t="n"/>
      <c r="D266" s="43" t="n"/>
      <c r="E266" s="43" t="n"/>
      <c r="F266" s="43" t="n"/>
      <c r="G266" s="43" t="n"/>
      <c r="H266" s="43" t="n"/>
      <c r="I266" s="43" t="n"/>
      <c r="J266" s="43" t="n"/>
      <c r="K266" s="43" t="n"/>
      <c r="L266" s="43" t="n"/>
      <c r="M266" s="43" t="n"/>
    </row>
    <row r="267">
      <c r="A267" s="43" t="n"/>
      <c r="B267" s="43" t="n"/>
      <c r="C267" s="43" t="n"/>
      <c r="D267" s="43" t="n"/>
      <c r="E267" s="43" t="n"/>
      <c r="F267" s="43" t="n"/>
      <c r="G267" s="43" t="n"/>
      <c r="H267" s="43" t="n"/>
      <c r="I267" s="43" t="n"/>
      <c r="J267" s="43" t="n"/>
      <c r="K267" s="43" t="n"/>
      <c r="L267" s="43" t="n"/>
      <c r="M267" s="43" t="n"/>
    </row>
    <row r="268">
      <c r="A268" s="43" t="n"/>
      <c r="B268" s="43" t="n"/>
      <c r="C268" s="43" t="n"/>
      <c r="D268" s="43" t="n"/>
      <c r="E268" s="43" t="n"/>
      <c r="F268" s="43" t="n"/>
      <c r="G268" s="43" t="n"/>
      <c r="H268" s="43" t="n"/>
      <c r="I268" s="43" t="n"/>
      <c r="J268" s="43" t="n"/>
      <c r="K268" s="43" t="n"/>
      <c r="L268" s="43" t="n"/>
      <c r="M268" s="43" t="n"/>
    </row>
    <row r="269">
      <c r="A269" s="43" t="n"/>
      <c r="B269" s="43" t="n"/>
      <c r="C269" s="43" t="n"/>
      <c r="D269" s="43" t="n"/>
      <c r="E269" s="43" t="n"/>
      <c r="F269" s="43" t="n"/>
      <c r="G269" s="43" t="n"/>
      <c r="H269" s="43" t="n"/>
      <c r="I269" s="43" t="n"/>
      <c r="J269" s="43" t="n"/>
      <c r="K269" s="43" t="n"/>
      <c r="L269" s="43" t="n"/>
      <c r="M269" s="43" t="n"/>
    </row>
    <row r="270">
      <c r="A270" s="43" t="n"/>
      <c r="B270" s="43" t="n"/>
      <c r="C270" s="43" t="n"/>
      <c r="D270" s="43" t="n"/>
      <c r="E270" s="43" t="n"/>
      <c r="F270" s="43" t="n"/>
      <c r="G270" s="43" t="n"/>
      <c r="H270" s="43" t="n"/>
      <c r="I270" s="43" t="n"/>
      <c r="J270" s="43" t="n"/>
      <c r="K270" s="43" t="n"/>
      <c r="L270" s="43" t="n"/>
      <c r="M270" s="43" t="n"/>
    </row>
    <row r="271">
      <c r="A271" s="43" t="n"/>
      <c r="B271" s="43" t="n"/>
      <c r="C271" s="43" t="n"/>
      <c r="D271" s="43" t="n"/>
      <c r="E271" s="43" t="n"/>
      <c r="F271" s="43" t="n"/>
      <c r="G271" s="43" t="n"/>
      <c r="H271" s="43" t="n"/>
      <c r="I271" s="43" t="n"/>
      <c r="J271" s="43" t="n"/>
      <c r="K271" s="43" t="n"/>
      <c r="L271" s="43" t="n"/>
      <c r="M271" s="43" t="n"/>
    </row>
    <row r="272">
      <c r="A272" s="43" t="n"/>
      <c r="B272" s="43" t="n"/>
      <c r="C272" s="43" t="n"/>
      <c r="D272" s="43" t="n"/>
      <c r="E272" s="43" t="n"/>
      <c r="F272" s="43" t="n"/>
      <c r="G272" s="43" t="n"/>
      <c r="H272" s="43" t="n"/>
      <c r="I272" s="43" t="n"/>
      <c r="J272" s="43" t="n"/>
      <c r="K272" s="43" t="n"/>
      <c r="L272" s="43" t="n"/>
      <c r="M272" s="43" t="n"/>
    </row>
    <row r="273">
      <c r="A273" s="43" t="n"/>
      <c r="B273" s="43" t="n"/>
      <c r="C273" s="43" t="n"/>
      <c r="D273" s="43" t="n"/>
      <c r="E273" s="43" t="n"/>
      <c r="F273" s="43" t="n"/>
      <c r="G273" s="43" t="n"/>
      <c r="H273" s="43" t="n"/>
      <c r="I273" s="43" t="n"/>
      <c r="J273" s="43" t="n"/>
      <c r="K273" s="43" t="n"/>
      <c r="L273" s="43" t="n"/>
      <c r="M273" s="43" t="n"/>
    </row>
    <row r="274">
      <c r="A274" s="43" t="n"/>
      <c r="B274" s="43" t="n"/>
      <c r="C274" s="43" t="n"/>
      <c r="D274" s="43" t="n"/>
      <c r="E274" s="43" t="n"/>
      <c r="F274" s="43" t="n"/>
      <c r="G274" s="43" t="n"/>
      <c r="H274" s="43" t="n"/>
      <c r="I274" s="43" t="n"/>
      <c r="J274" s="43" t="n"/>
      <c r="K274" s="43" t="n"/>
      <c r="L274" s="43" t="n"/>
      <c r="M274" s="43" t="n"/>
    </row>
    <row r="275">
      <c r="A275" s="43" t="n"/>
      <c r="B275" s="43" t="n"/>
      <c r="C275" s="43" t="n"/>
      <c r="D275" s="43" t="n"/>
      <c r="E275" s="43" t="n"/>
      <c r="F275" s="43" t="n"/>
      <c r="G275" s="43" t="n"/>
      <c r="H275" s="43" t="n"/>
      <c r="I275" s="43" t="n"/>
      <c r="J275" s="43" t="n"/>
      <c r="K275" s="43" t="n"/>
      <c r="L275" s="43" t="n"/>
      <c r="M275" s="43" t="n"/>
    </row>
    <row r="276">
      <c r="A276" s="43" t="n"/>
      <c r="B276" s="43" t="n"/>
      <c r="C276" s="43" t="n"/>
      <c r="D276" s="43" t="n"/>
      <c r="E276" s="43" t="n"/>
      <c r="F276" s="43" t="n"/>
      <c r="G276" s="43" t="n"/>
      <c r="H276" s="43" t="n"/>
      <c r="I276" s="43" t="n"/>
      <c r="J276" s="43" t="n"/>
      <c r="K276" s="43" t="n"/>
      <c r="L276" s="43" t="n"/>
      <c r="M276" s="43" t="n"/>
    </row>
    <row r="277">
      <c r="A277" s="43" t="n"/>
      <c r="B277" s="43" t="n"/>
      <c r="C277" s="43" t="n"/>
      <c r="D277" s="43" t="n"/>
      <c r="E277" s="43" t="n"/>
      <c r="F277" s="43" t="n"/>
      <c r="G277" s="43" t="n"/>
      <c r="H277" s="43" t="n"/>
      <c r="I277" s="43" t="n"/>
      <c r="J277" s="43" t="n"/>
      <c r="K277" s="43" t="n"/>
      <c r="L277" s="43" t="n"/>
      <c r="M277" s="43" t="n"/>
    </row>
    <row r="278">
      <c r="A278" s="43" t="n"/>
      <c r="B278" s="43" t="n"/>
      <c r="C278" s="43" t="n"/>
      <c r="D278" s="43" t="n"/>
      <c r="E278" s="43" t="n"/>
      <c r="F278" s="43" t="n"/>
      <c r="G278" s="43" t="n"/>
      <c r="H278" s="43" t="n"/>
      <c r="I278" s="43" t="n"/>
      <c r="J278" s="43" t="n"/>
      <c r="K278" s="43" t="n"/>
      <c r="L278" s="43" t="n"/>
      <c r="M278" s="43" t="n"/>
    </row>
    <row r="279">
      <c r="A279" s="43" t="n"/>
      <c r="B279" s="43" t="n"/>
      <c r="C279" s="43" t="n"/>
      <c r="D279" s="43" t="n"/>
      <c r="E279" s="43" t="n"/>
      <c r="F279" s="43" t="n"/>
      <c r="G279" s="43" t="n"/>
      <c r="H279" s="43" t="n"/>
      <c r="I279" s="43" t="n"/>
      <c r="J279" s="43" t="n"/>
      <c r="K279" s="43" t="n"/>
      <c r="L279" s="43" t="n"/>
      <c r="M279" s="43" t="n"/>
    </row>
    <row r="280">
      <c r="A280" s="43" t="n"/>
      <c r="B280" s="43" t="n"/>
      <c r="C280" s="43" t="n"/>
      <c r="D280" s="43" t="n"/>
      <c r="E280" s="43" t="n"/>
      <c r="F280" s="43" t="n"/>
      <c r="G280" s="43" t="n"/>
      <c r="H280" s="43" t="n"/>
      <c r="I280" s="43" t="n"/>
      <c r="J280" s="43" t="n"/>
      <c r="K280" s="43" t="n"/>
      <c r="L280" s="43" t="n"/>
      <c r="M280" s="43" t="n"/>
    </row>
    <row r="281">
      <c r="A281" s="43" t="n"/>
      <c r="B281" s="43" t="n"/>
      <c r="C281" s="43" t="n"/>
      <c r="D281" s="43" t="n"/>
      <c r="E281" s="43" t="n"/>
      <c r="F281" s="43" t="n"/>
      <c r="G281" s="43" t="n"/>
      <c r="H281" s="43" t="n"/>
      <c r="I281" s="43" t="n"/>
      <c r="J281" s="43" t="n"/>
      <c r="K281" s="43" t="n"/>
      <c r="L281" s="43" t="n"/>
      <c r="M281" s="43" t="n"/>
    </row>
    <row r="282">
      <c r="A282" s="43" t="n"/>
      <c r="B282" s="43" t="n"/>
      <c r="C282" s="43" t="n"/>
      <c r="D282" s="43" t="n"/>
      <c r="E282" s="43" t="n"/>
      <c r="F282" s="43" t="n"/>
      <c r="G282" s="43" t="n"/>
      <c r="H282" s="43" t="n"/>
      <c r="I282" s="43" t="n"/>
      <c r="J282" s="43" t="n"/>
      <c r="K282" s="43" t="n"/>
      <c r="L282" s="43" t="n"/>
      <c r="M282" s="43" t="n"/>
    </row>
    <row r="283">
      <c r="A283" s="43" t="n"/>
      <c r="B283" s="43" t="n"/>
      <c r="C283" s="43" t="n"/>
      <c r="D283" s="43" t="n"/>
      <c r="E283" s="43" t="n"/>
      <c r="F283" s="43" t="n"/>
      <c r="G283" s="43" t="n"/>
      <c r="H283" s="43" t="n"/>
      <c r="I283" s="43" t="n"/>
      <c r="J283" s="43" t="n"/>
      <c r="K283" s="43" t="n"/>
      <c r="L283" s="43" t="n"/>
      <c r="M283" s="43" t="n"/>
    </row>
    <row r="284">
      <c r="A284" s="43" t="n"/>
      <c r="B284" s="43" t="n"/>
      <c r="C284" s="43" t="n"/>
      <c r="D284" s="43" t="n"/>
      <c r="E284" s="43" t="n"/>
      <c r="F284" s="43" t="n"/>
      <c r="G284" s="43" t="n"/>
      <c r="H284" s="43" t="n"/>
      <c r="I284" s="43" t="n"/>
      <c r="J284" s="43" t="n"/>
      <c r="K284" s="43" t="n"/>
      <c r="L284" s="43" t="n"/>
      <c r="M284" s="43" t="n"/>
    </row>
    <row r="285">
      <c r="A285" s="43" t="n"/>
      <c r="B285" s="43" t="n"/>
      <c r="C285" s="43" t="n"/>
      <c r="D285" s="43" t="n"/>
      <c r="E285" s="43" t="n"/>
      <c r="F285" s="43" t="n"/>
      <c r="G285" s="43" t="n"/>
      <c r="H285" s="43" t="n"/>
      <c r="I285" s="43" t="n"/>
      <c r="J285" s="43" t="n"/>
      <c r="K285" s="43" t="n"/>
      <c r="L285" s="43" t="n"/>
      <c r="M285" s="43" t="n"/>
    </row>
    <row r="286">
      <c r="A286" s="43" t="n"/>
      <c r="B286" s="43" t="n"/>
      <c r="C286" s="43" t="n"/>
      <c r="D286" s="43" t="n"/>
      <c r="E286" s="43" t="n"/>
      <c r="F286" s="43" t="n"/>
      <c r="G286" s="43" t="n"/>
      <c r="H286" s="43" t="n"/>
      <c r="I286" s="43" t="n"/>
      <c r="J286" s="43" t="n"/>
      <c r="K286" s="43" t="n"/>
      <c r="L286" s="43" t="n"/>
      <c r="M286" s="43" t="n"/>
    </row>
    <row r="287">
      <c r="A287" s="43" t="n"/>
      <c r="B287" s="43" t="n"/>
      <c r="C287" s="43" t="n"/>
      <c r="D287" s="43" t="n"/>
      <c r="E287" s="43" t="n"/>
      <c r="F287" s="43" t="n"/>
      <c r="G287" s="43" t="n"/>
      <c r="H287" s="43" t="n"/>
      <c r="I287" s="43" t="n"/>
      <c r="J287" s="43" t="n"/>
      <c r="K287" s="43" t="n"/>
      <c r="L287" s="43" t="n"/>
      <c r="M287" s="43" t="n"/>
    </row>
    <row r="288">
      <c r="A288" s="43" t="n"/>
      <c r="B288" s="43" t="n"/>
      <c r="C288" s="43" t="n"/>
      <c r="D288" s="43" t="n"/>
      <c r="E288" s="43" t="n"/>
      <c r="F288" s="43" t="n"/>
      <c r="G288" s="43" t="n"/>
      <c r="H288" s="43" t="n"/>
      <c r="I288" s="43" t="n"/>
      <c r="J288" s="43" t="n"/>
      <c r="K288" s="43" t="n"/>
      <c r="L288" s="43" t="n"/>
      <c r="M288" s="43" t="n"/>
    </row>
    <row r="289">
      <c r="A289" s="43" t="n"/>
      <c r="B289" s="43" t="n"/>
      <c r="C289" s="43" t="n"/>
      <c r="D289" s="43" t="n"/>
      <c r="E289" s="43" t="n"/>
      <c r="F289" s="43" t="n"/>
      <c r="G289" s="43" t="n"/>
      <c r="H289" s="43" t="n"/>
      <c r="I289" s="43" t="n"/>
      <c r="J289" s="43" t="n"/>
      <c r="K289" s="43" t="n"/>
      <c r="L289" s="43" t="n"/>
      <c r="M289" s="43" t="n"/>
    </row>
    <row r="290">
      <c r="A290" s="43" t="n"/>
      <c r="B290" s="43" t="n"/>
      <c r="C290" s="43" t="n"/>
      <c r="D290" s="43" t="n"/>
      <c r="E290" s="43" t="n"/>
      <c r="F290" s="43" t="n"/>
      <c r="G290" s="43" t="n"/>
      <c r="H290" s="43" t="n"/>
      <c r="I290" s="43" t="n"/>
      <c r="J290" s="43" t="n"/>
      <c r="K290" s="43" t="n"/>
      <c r="L290" s="43" t="n"/>
      <c r="M290" s="43" t="n"/>
    </row>
    <row r="291">
      <c r="A291" s="43" t="n"/>
      <c r="B291" s="43" t="n"/>
      <c r="C291" s="43" t="n"/>
      <c r="D291" s="43" t="n"/>
      <c r="E291" s="43" t="n"/>
      <c r="F291" s="43" t="n"/>
      <c r="G291" s="43" t="n"/>
      <c r="H291" s="43" t="n"/>
      <c r="I291" s="43" t="n"/>
      <c r="J291" s="43" t="n"/>
      <c r="K291" s="43" t="n"/>
      <c r="L291" s="43" t="n"/>
      <c r="M291" s="43" t="n"/>
    </row>
    <row r="292">
      <c r="A292" s="43" t="n"/>
      <c r="B292" s="43" t="n"/>
      <c r="C292" s="43" t="n"/>
      <c r="D292" s="43" t="n"/>
      <c r="E292" s="43" t="n"/>
      <c r="F292" s="43" t="n"/>
      <c r="G292" s="43" t="n"/>
      <c r="H292" s="43" t="n"/>
      <c r="I292" s="43" t="n"/>
      <c r="J292" s="43" t="n"/>
      <c r="K292" s="43" t="n"/>
      <c r="L292" s="43" t="n"/>
      <c r="M292" s="43" t="n"/>
    </row>
    <row r="293">
      <c r="A293" s="43" t="n"/>
      <c r="B293" s="43" t="n"/>
      <c r="C293" s="43" t="n"/>
      <c r="D293" s="43" t="n"/>
      <c r="E293" s="43" t="n"/>
      <c r="F293" s="43" t="n"/>
      <c r="G293" s="43" t="n"/>
      <c r="H293" s="43" t="n"/>
      <c r="I293" s="43" t="n"/>
      <c r="J293" s="43" t="n"/>
      <c r="K293" s="43" t="n"/>
      <c r="L293" s="43" t="n"/>
      <c r="M293" s="43" t="n"/>
    </row>
    <row r="294">
      <c r="A294" s="43" t="n"/>
      <c r="B294" s="43" t="n"/>
      <c r="C294" s="43" t="n"/>
      <c r="D294" s="43" t="n"/>
      <c r="E294" s="43" t="n"/>
      <c r="F294" s="43" t="n"/>
      <c r="G294" s="43" t="n"/>
      <c r="H294" s="43" t="n"/>
      <c r="I294" s="43" t="n"/>
      <c r="J294" s="43" t="n"/>
      <c r="K294" s="43" t="n"/>
      <c r="L294" s="43" t="n"/>
      <c r="M294" s="43" t="n"/>
    </row>
    <row r="295">
      <c r="A295" s="43" t="n"/>
      <c r="B295" s="43" t="n"/>
      <c r="C295" s="43" t="n"/>
      <c r="D295" s="43" t="n"/>
      <c r="E295" s="43" t="n"/>
      <c r="F295" s="43" t="n"/>
      <c r="G295" s="43" t="n"/>
      <c r="H295" s="43" t="n"/>
      <c r="I295" s="43" t="n"/>
      <c r="J295" s="43" t="n"/>
      <c r="K295" s="43" t="n"/>
      <c r="L295" s="43" t="n"/>
      <c r="M295" s="43" t="n"/>
    </row>
    <row r="296">
      <c r="A296" s="43" t="n"/>
      <c r="B296" s="43" t="n"/>
      <c r="C296" s="43" t="n"/>
      <c r="D296" s="43" t="n"/>
      <c r="E296" s="43" t="n"/>
      <c r="F296" s="43" t="n"/>
      <c r="G296" s="43" t="n"/>
      <c r="H296" s="43" t="n"/>
      <c r="I296" s="43" t="n"/>
      <c r="J296" s="43" t="n"/>
      <c r="K296" s="43" t="n"/>
      <c r="L296" s="43" t="n"/>
      <c r="M296" s="43" t="n"/>
    </row>
    <row r="297">
      <c r="A297" s="43" t="n"/>
      <c r="B297" s="43" t="n"/>
      <c r="C297" s="43" t="n"/>
      <c r="D297" s="43" t="n"/>
      <c r="E297" s="43" t="n"/>
      <c r="F297" s="43" t="n"/>
      <c r="G297" s="43" t="n"/>
      <c r="H297" s="43" t="n"/>
      <c r="I297" s="43" t="n"/>
      <c r="J297" s="43" t="n"/>
      <c r="K297" s="43" t="n"/>
      <c r="L297" s="43" t="n"/>
      <c r="M297" s="43" t="n"/>
    </row>
    <row r="298">
      <c r="A298" s="43" t="n"/>
      <c r="B298" s="43" t="n"/>
      <c r="C298" s="43" t="n"/>
      <c r="D298" s="43" t="n"/>
      <c r="E298" s="43" t="n"/>
      <c r="F298" s="43" t="n"/>
      <c r="G298" s="43" t="n"/>
      <c r="H298" s="43" t="n"/>
      <c r="I298" s="43" t="n"/>
      <c r="J298" s="43" t="n"/>
      <c r="K298" s="43" t="n"/>
      <c r="L298" s="43" t="n"/>
      <c r="M298" s="43" t="n"/>
    </row>
    <row r="299">
      <c r="A299" s="43" t="n"/>
      <c r="B299" s="43" t="n"/>
      <c r="C299" s="43" t="n"/>
      <c r="D299" s="43" t="n"/>
      <c r="E299" s="43" t="n"/>
      <c r="F299" s="43" t="n"/>
      <c r="G299" s="43" t="n"/>
      <c r="H299" s="43" t="n"/>
      <c r="I299" s="43" t="n"/>
      <c r="J299" s="43" t="n"/>
      <c r="K299" s="43" t="n"/>
      <c r="L299" s="43" t="n"/>
      <c r="M299" s="43" t="n"/>
    </row>
    <row r="300">
      <c r="A300" s="43" t="n"/>
      <c r="B300" s="43" t="n"/>
      <c r="C300" s="43" t="n"/>
      <c r="D300" s="43" t="n"/>
      <c r="E300" s="43" t="n"/>
      <c r="F300" s="43" t="n"/>
      <c r="G300" s="43" t="n"/>
      <c r="H300" s="43" t="n"/>
      <c r="I300" s="43" t="n"/>
      <c r="J300" s="43" t="n"/>
      <c r="K300" s="43" t="n"/>
      <c r="L300" s="43" t="n"/>
      <c r="M300" s="43" t="n"/>
    </row>
    <row r="301">
      <c r="A301" s="43" t="n"/>
      <c r="B301" s="43" t="n"/>
      <c r="C301" s="43" t="n"/>
      <c r="D301" s="43" t="n"/>
      <c r="E301" s="43" t="n"/>
      <c r="F301" s="43" t="n"/>
      <c r="G301" s="43" t="n"/>
      <c r="H301" s="43" t="n"/>
      <c r="I301" s="43" t="n"/>
      <c r="J301" s="43" t="n"/>
      <c r="K301" s="43" t="n"/>
      <c r="L301" s="43" t="n"/>
      <c r="M301" s="43" t="n"/>
    </row>
    <row r="302">
      <c r="A302" s="43" t="n"/>
      <c r="B302" s="43" t="n"/>
      <c r="C302" s="43" t="n"/>
      <c r="D302" s="43" t="n"/>
      <c r="E302" s="43" t="n"/>
      <c r="F302" s="43" t="n"/>
      <c r="G302" s="43" t="n"/>
      <c r="H302" s="43" t="n"/>
      <c r="I302" s="43" t="n"/>
      <c r="J302" s="43" t="n"/>
      <c r="K302" s="43" t="n"/>
      <c r="L302" s="43" t="n"/>
      <c r="M302" s="43" t="n"/>
    </row>
    <row r="303">
      <c r="A303" s="43" t="n"/>
      <c r="B303" s="43" t="n"/>
      <c r="C303" s="43" t="n"/>
      <c r="D303" s="43" t="n"/>
      <c r="E303" s="43" t="n"/>
      <c r="F303" s="43" t="n"/>
      <c r="G303" s="43" t="n"/>
      <c r="H303" s="43" t="n"/>
      <c r="I303" s="43" t="n"/>
      <c r="J303" s="43" t="n"/>
      <c r="K303" s="43" t="n"/>
      <c r="L303" s="43" t="n"/>
      <c r="M303" s="43" t="n"/>
    </row>
    <row r="304">
      <c r="A304" s="43" t="n"/>
      <c r="B304" s="43" t="n"/>
      <c r="C304" s="43" t="n"/>
      <c r="D304" s="43" t="n"/>
      <c r="E304" s="43" t="n"/>
      <c r="F304" s="43" t="n"/>
      <c r="G304" s="43" t="n"/>
      <c r="H304" s="43" t="n"/>
      <c r="I304" s="43" t="n"/>
      <c r="J304" s="43" t="n"/>
      <c r="K304" s="43" t="n"/>
      <c r="L304" s="43" t="n"/>
      <c r="M304" s="43" t="n"/>
    </row>
    <row r="305">
      <c r="A305" s="43" t="n"/>
      <c r="B305" s="43" t="n"/>
      <c r="C305" s="43" t="n"/>
      <c r="D305" s="43" t="n"/>
      <c r="E305" s="43" t="n"/>
      <c r="F305" s="43" t="n"/>
      <c r="G305" s="43" t="n"/>
      <c r="H305" s="43" t="n"/>
      <c r="I305" s="43" t="n"/>
      <c r="J305" s="43" t="n"/>
      <c r="K305" s="43" t="n"/>
      <c r="L305" s="43" t="n"/>
      <c r="M305" s="43" t="n"/>
    </row>
    <row r="306">
      <c r="A306" s="43" t="n"/>
      <c r="B306" s="43" t="n"/>
      <c r="C306" s="43" t="n"/>
      <c r="D306" s="43" t="n"/>
      <c r="E306" s="43" t="n"/>
      <c r="F306" s="43" t="n"/>
      <c r="G306" s="43" t="n"/>
      <c r="H306" s="43" t="n"/>
      <c r="I306" s="43" t="n"/>
      <c r="J306" s="43" t="n"/>
      <c r="K306" s="43" t="n"/>
      <c r="L306" s="43" t="n"/>
      <c r="M306" s="43" t="n"/>
    </row>
    <row r="307">
      <c r="A307" s="43" t="n"/>
      <c r="B307" s="43" t="n"/>
      <c r="C307" s="43" t="n"/>
      <c r="D307" s="43" t="n"/>
      <c r="E307" s="43" t="n"/>
      <c r="F307" s="43" t="n"/>
      <c r="G307" s="43" t="n"/>
      <c r="H307" s="43" t="n"/>
      <c r="I307" s="43" t="n"/>
      <c r="J307" s="43" t="n"/>
      <c r="K307" s="43" t="n"/>
      <c r="L307" s="43" t="n"/>
      <c r="M307" s="43" t="n"/>
    </row>
    <row r="308">
      <c r="A308" s="43" t="n"/>
      <c r="B308" s="43" t="n"/>
      <c r="C308" s="43" t="n"/>
      <c r="D308" s="43" t="n"/>
      <c r="E308" s="43" t="n"/>
      <c r="F308" s="43" t="n"/>
      <c r="G308" s="43" t="n"/>
      <c r="H308" s="43" t="n"/>
      <c r="I308" s="43" t="n"/>
      <c r="J308" s="43" t="n"/>
      <c r="K308" s="43" t="n"/>
      <c r="L308" s="43" t="n"/>
      <c r="M308" s="43" t="n"/>
    </row>
    <row r="309">
      <c r="A309" s="43" t="n"/>
      <c r="B309" s="43" t="n"/>
      <c r="C309" s="43" t="n"/>
      <c r="D309" s="43" t="n"/>
      <c r="E309" s="43" t="n"/>
      <c r="F309" s="43" t="n"/>
      <c r="G309" s="43" t="n"/>
      <c r="H309" s="43" t="n"/>
      <c r="I309" s="43" t="n"/>
      <c r="J309" s="43" t="n"/>
      <c r="K309" s="43" t="n"/>
      <c r="L309" s="43" t="n"/>
      <c r="M309" s="43" t="n"/>
    </row>
    <row r="310">
      <c r="A310" s="43" t="n"/>
      <c r="B310" s="43" t="n"/>
      <c r="C310" s="43" t="n"/>
      <c r="D310" s="43" t="n"/>
      <c r="E310" s="43" t="n"/>
      <c r="F310" s="43" t="n"/>
      <c r="G310" s="43" t="n"/>
      <c r="H310" s="43" t="n"/>
      <c r="I310" s="43" t="n"/>
      <c r="J310" s="43" t="n"/>
      <c r="K310" s="43" t="n"/>
      <c r="L310" s="43" t="n"/>
      <c r="M310" s="43" t="n"/>
    </row>
    <row r="311">
      <c r="A311" s="43" t="n"/>
      <c r="B311" s="43" t="n"/>
      <c r="C311" s="43" t="n"/>
      <c r="D311" s="43" t="n"/>
      <c r="E311" s="43" t="n"/>
      <c r="F311" s="43" t="n"/>
      <c r="G311" s="43" t="n"/>
      <c r="H311" s="43" t="n"/>
      <c r="I311" s="43" t="n"/>
      <c r="J311" s="43" t="n"/>
      <c r="K311" s="43" t="n"/>
      <c r="L311" s="43" t="n"/>
      <c r="M311" s="43" t="n"/>
    </row>
    <row r="312">
      <c r="A312" s="43" t="n"/>
      <c r="B312" s="43" t="n"/>
      <c r="C312" s="43" t="n"/>
      <c r="D312" s="43" t="n"/>
      <c r="E312" s="43" t="n"/>
      <c r="F312" s="43" t="n"/>
      <c r="G312" s="43" t="n"/>
      <c r="H312" s="43" t="n"/>
      <c r="I312" s="43" t="n"/>
      <c r="J312" s="43" t="n"/>
      <c r="K312" s="43" t="n"/>
      <c r="L312" s="43" t="n"/>
      <c r="M312" s="43" t="n"/>
    </row>
    <row r="313">
      <c r="A313" s="43" t="n"/>
      <c r="B313" s="43" t="n"/>
      <c r="C313" s="43" t="n"/>
      <c r="D313" s="43" t="n"/>
      <c r="E313" s="43" t="n"/>
      <c r="F313" s="43" t="n"/>
      <c r="G313" s="43" t="n"/>
      <c r="H313" s="43" t="n"/>
      <c r="I313" s="43" t="n"/>
      <c r="J313" s="43" t="n"/>
      <c r="K313" s="43" t="n"/>
      <c r="L313" s="43" t="n"/>
      <c r="M313" s="43" t="n"/>
    </row>
    <row r="314">
      <c r="A314" s="43" t="n"/>
      <c r="B314" s="43" t="n"/>
      <c r="C314" s="43" t="n"/>
      <c r="D314" s="43" t="n"/>
      <c r="E314" s="43" t="n"/>
      <c r="F314" s="43" t="n"/>
      <c r="G314" s="43" t="n"/>
      <c r="H314" s="43" t="n"/>
      <c r="I314" s="43" t="n"/>
      <c r="J314" s="43" t="n"/>
      <c r="K314" s="43" t="n"/>
      <c r="L314" s="43" t="n"/>
      <c r="M314" s="43" t="n"/>
    </row>
    <row r="315">
      <c r="A315" s="43" t="n"/>
      <c r="B315" s="43" t="n"/>
      <c r="C315" s="43" t="n"/>
      <c r="D315" s="43" t="n"/>
      <c r="E315" s="43" t="n"/>
      <c r="F315" s="43" t="n"/>
      <c r="G315" s="43" t="n"/>
      <c r="H315" s="43" t="n"/>
      <c r="I315" s="43" t="n"/>
      <c r="J315" s="43" t="n"/>
      <c r="K315" s="43" t="n"/>
      <c r="L315" s="43" t="n"/>
      <c r="M315" s="43" t="n"/>
    </row>
    <row r="316">
      <c r="A316" s="43" t="n"/>
      <c r="B316" s="43" t="n"/>
      <c r="C316" s="43" t="n"/>
      <c r="D316" s="43" t="n"/>
      <c r="E316" s="43" t="n"/>
      <c r="F316" s="43" t="n"/>
      <c r="G316" s="43" t="n"/>
      <c r="H316" s="43" t="n"/>
      <c r="I316" s="43" t="n"/>
      <c r="J316" s="43" t="n"/>
      <c r="K316" s="43" t="n"/>
      <c r="L316" s="43" t="n"/>
      <c r="M316" s="43" t="n"/>
    </row>
    <row r="317">
      <c r="A317" s="43" t="n"/>
      <c r="B317" s="43" t="n"/>
      <c r="C317" s="43" t="n"/>
      <c r="D317" s="43" t="n"/>
      <c r="E317" s="43" t="n"/>
      <c r="F317" s="43" t="n"/>
      <c r="G317" s="43" t="n"/>
      <c r="H317" s="43" t="n"/>
      <c r="I317" s="43" t="n"/>
      <c r="J317" s="43" t="n"/>
      <c r="K317" s="43" t="n"/>
      <c r="L317" s="43" t="n"/>
      <c r="M317" s="43" t="n"/>
    </row>
    <row r="318">
      <c r="A318" s="43" t="n"/>
      <c r="B318" s="43" t="n"/>
      <c r="C318" s="43" t="n"/>
      <c r="D318" s="43" t="n"/>
      <c r="E318" s="43" t="n"/>
      <c r="F318" s="43" t="n"/>
      <c r="G318" s="43" t="n"/>
      <c r="H318" s="43" t="n"/>
      <c r="I318" s="43" t="n"/>
      <c r="J318" s="43" t="n"/>
      <c r="K318" s="43" t="n"/>
      <c r="L318" s="43" t="n"/>
      <c r="M318" s="43" t="n"/>
    </row>
    <row r="319">
      <c r="A319" s="43" t="n"/>
      <c r="B319" s="43" t="n"/>
      <c r="C319" s="43" t="n"/>
      <c r="D319" s="43" t="n"/>
      <c r="E319" s="43" t="n"/>
      <c r="F319" s="43" t="n"/>
      <c r="G319" s="43" t="n"/>
      <c r="H319" s="43" t="n"/>
      <c r="I319" s="43" t="n"/>
      <c r="J319" s="43" t="n"/>
      <c r="K319" s="43" t="n"/>
      <c r="L319" s="43" t="n"/>
      <c r="M319" s="43" t="n"/>
    </row>
    <row r="320">
      <c r="A320" s="43" t="n"/>
      <c r="B320" s="43" t="n"/>
      <c r="C320" s="43" t="n"/>
      <c r="D320" s="43" t="n"/>
      <c r="E320" s="43" t="n"/>
      <c r="F320" s="43" t="n"/>
      <c r="G320" s="43" t="n"/>
      <c r="H320" s="43" t="n"/>
      <c r="I320" s="43" t="n"/>
      <c r="J320" s="43" t="n"/>
      <c r="K320" s="43" t="n"/>
      <c r="L320" s="43" t="n"/>
      <c r="M320" s="43" t="n"/>
    </row>
    <row r="321">
      <c r="A321" s="43" t="n"/>
      <c r="B321" s="43" t="n"/>
      <c r="C321" s="43" t="n"/>
      <c r="D321" s="43" t="n"/>
      <c r="E321" s="43" t="n"/>
      <c r="F321" s="43" t="n"/>
      <c r="G321" s="43" t="n"/>
      <c r="H321" s="43" t="n"/>
      <c r="I321" s="43" t="n"/>
      <c r="J321" s="43" t="n"/>
      <c r="K321" s="43" t="n"/>
      <c r="L321" s="43" t="n"/>
      <c r="M321" s="43" t="n"/>
    </row>
    <row r="322">
      <c r="A322" s="43" t="n"/>
      <c r="B322" s="43" t="n"/>
      <c r="C322" s="43" t="n"/>
      <c r="D322" s="43" t="n"/>
      <c r="E322" s="43" t="n"/>
      <c r="F322" s="43" t="n"/>
      <c r="G322" s="43" t="n"/>
      <c r="H322" s="43" t="n"/>
      <c r="I322" s="43" t="n"/>
      <c r="J322" s="43" t="n"/>
      <c r="K322" s="43" t="n"/>
      <c r="L322" s="43" t="n"/>
      <c r="M322" s="43" t="n"/>
    </row>
    <row r="323">
      <c r="A323" s="43" t="n"/>
      <c r="B323" s="43" t="n"/>
      <c r="C323" s="43" t="n"/>
      <c r="D323" s="43" t="n"/>
      <c r="E323" s="43" t="n"/>
      <c r="F323" s="43" t="n"/>
      <c r="G323" s="43" t="n"/>
      <c r="H323" s="43" t="n"/>
      <c r="I323" s="43" t="n"/>
      <c r="J323" s="43" t="n"/>
      <c r="K323" s="43" t="n"/>
      <c r="L323" s="43" t="n"/>
      <c r="M323" s="43" t="n"/>
    </row>
    <row r="324">
      <c r="A324" s="43" t="n"/>
      <c r="B324" s="43" t="n"/>
      <c r="C324" s="43" t="n"/>
      <c r="D324" s="43" t="n"/>
      <c r="E324" s="43" t="n"/>
      <c r="F324" s="43" t="n"/>
      <c r="G324" s="43" t="n"/>
      <c r="H324" s="43" t="n"/>
      <c r="I324" s="43" t="n"/>
      <c r="J324" s="43" t="n"/>
      <c r="K324" s="43" t="n"/>
      <c r="L324" s="43" t="n"/>
      <c r="M324" s="43" t="n"/>
    </row>
    <row r="325">
      <c r="A325" s="43" t="n"/>
      <c r="B325" s="43" t="n"/>
      <c r="C325" s="43" t="n"/>
      <c r="D325" s="43" t="n"/>
      <c r="E325" s="43" t="n"/>
      <c r="F325" s="43" t="n"/>
      <c r="G325" s="43" t="n"/>
      <c r="H325" s="43" t="n"/>
      <c r="I325" s="43" t="n"/>
      <c r="J325" s="43" t="n"/>
      <c r="K325" s="43" t="n"/>
      <c r="L325" s="43" t="n"/>
      <c r="M325" s="43" t="n"/>
    </row>
    <row r="326">
      <c r="A326" s="43" t="n"/>
      <c r="B326" s="43" t="n"/>
      <c r="C326" s="43" t="n"/>
      <c r="D326" s="43" t="n"/>
      <c r="E326" s="43" t="n"/>
      <c r="F326" s="43" t="n"/>
      <c r="G326" s="43" t="n"/>
      <c r="H326" s="43" t="n"/>
      <c r="I326" s="43" t="n"/>
      <c r="J326" s="43" t="n"/>
      <c r="K326" s="43" t="n"/>
      <c r="L326" s="43" t="n"/>
      <c r="M326" s="43" t="n"/>
    </row>
    <row r="327">
      <c r="A327" s="43" t="n"/>
      <c r="B327" s="43" t="n"/>
      <c r="C327" s="43" t="n"/>
      <c r="D327" s="43" t="n"/>
      <c r="E327" s="43" t="n"/>
      <c r="F327" s="43" t="n"/>
      <c r="G327" s="43" t="n"/>
      <c r="H327" s="43" t="n"/>
      <c r="I327" s="43" t="n"/>
      <c r="J327" s="43" t="n"/>
      <c r="K327" s="43" t="n"/>
      <c r="L327" s="43" t="n"/>
      <c r="M327" s="43" t="n"/>
    </row>
    <row r="328">
      <c r="A328" s="43" t="n"/>
      <c r="B328" s="43" t="n"/>
      <c r="C328" s="43" t="n"/>
      <c r="D328" s="43" t="n"/>
      <c r="E328" s="43" t="n"/>
      <c r="F328" s="43" t="n"/>
      <c r="G328" s="43" t="n"/>
      <c r="H328" s="43" t="n"/>
      <c r="I328" s="43" t="n"/>
      <c r="J328" s="43" t="n"/>
      <c r="K328" s="43" t="n"/>
      <c r="L328" s="43" t="n"/>
      <c r="M328" s="43" t="n"/>
    </row>
    <row r="329">
      <c r="A329" s="43" t="n"/>
      <c r="B329" s="43" t="n"/>
      <c r="C329" s="43" t="n"/>
      <c r="D329" s="43" t="n"/>
      <c r="E329" s="43" t="n"/>
      <c r="F329" s="43" t="n"/>
      <c r="G329" s="43" t="n"/>
      <c r="H329" s="43" t="n"/>
      <c r="I329" s="43" t="n"/>
      <c r="J329" s="43" t="n"/>
      <c r="K329" s="43" t="n"/>
      <c r="L329" s="43" t="n"/>
      <c r="M329" s="43" t="n"/>
    </row>
    <row r="330">
      <c r="A330" s="43" t="n"/>
      <c r="B330" s="43" t="n"/>
      <c r="C330" s="43" t="n"/>
      <c r="D330" s="43" t="n"/>
      <c r="E330" s="43" t="n"/>
      <c r="F330" s="43" t="n"/>
      <c r="G330" s="43" t="n"/>
      <c r="H330" s="43" t="n"/>
      <c r="I330" s="43" t="n"/>
      <c r="J330" s="43" t="n"/>
      <c r="K330" s="43" t="n"/>
      <c r="L330" s="43" t="n"/>
      <c r="M330" s="43" t="n"/>
    </row>
    <row r="331">
      <c r="A331" s="43" t="n"/>
      <c r="B331" s="43" t="n"/>
      <c r="C331" s="43" t="n"/>
      <c r="D331" s="43" t="n"/>
      <c r="E331" s="43" t="n"/>
      <c r="F331" s="43" t="n"/>
      <c r="G331" s="43" t="n"/>
      <c r="H331" s="43" t="n"/>
      <c r="I331" s="43" t="n"/>
      <c r="J331" s="43" t="n"/>
      <c r="K331" s="43" t="n"/>
      <c r="L331" s="43" t="n"/>
      <c r="M331" s="43" t="n"/>
    </row>
    <row r="332">
      <c r="A332" s="43" t="n"/>
      <c r="B332" s="43" t="n"/>
      <c r="C332" s="43" t="n"/>
      <c r="D332" s="43" t="n"/>
      <c r="E332" s="43" t="n"/>
      <c r="F332" s="43" t="n"/>
      <c r="G332" s="43" t="n"/>
      <c r="H332" s="43" t="n"/>
      <c r="I332" s="43" t="n"/>
      <c r="J332" s="43" t="n"/>
      <c r="K332" s="43" t="n"/>
      <c r="L332" s="43" t="n"/>
      <c r="M332" s="43" t="n"/>
    </row>
    <row r="333">
      <c r="A333" s="43" t="n"/>
      <c r="B333" s="43" t="n"/>
      <c r="C333" s="43" t="n"/>
      <c r="D333" s="43" t="n"/>
      <c r="E333" s="43" t="n"/>
      <c r="F333" s="43" t="n"/>
      <c r="G333" s="43" t="n"/>
      <c r="H333" s="43" t="n"/>
      <c r="I333" s="43" t="n"/>
      <c r="J333" s="43" t="n"/>
      <c r="K333" s="43" t="n"/>
      <c r="L333" s="43" t="n"/>
      <c r="M333" s="43" t="n"/>
    </row>
    <row r="334">
      <c r="A334" s="43" t="n"/>
      <c r="B334" s="43" t="n"/>
      <c r="C334" s="43" t="n"/>
      <c r="D334" s="43" t="n"/>
      <c r="E334" s="43" t="n"/>
      <c r="F334" s="43" t="n"/>
      <c r="G334" s="43" t="n"/>
      <c r="H334" s="43" t="n"/>
      <c r="I334" s="43" t="n"/>
      <c r="J334" s="43" t="n"/>
      <c r="K334" s="43" t="n"/>
      <c r="L334" s="43" t="n"/>
      <c r="M334" s="43" t="n"/>
    </row>
    <row r="335">
      <c r="A335" s="43" t="n"/>
      <c r="B335" s="43" t="n"/>
      <c r="C335" s="43" t="n"/>
      <c r="D335" s="43" t="n"/>
      <c r="E335" s="43" t="n"/>
      <c r="F335" s="43" t="n"/>
      <c r="G335" s="43" t="n"/>
      <c r="H335" s="43" t="n"/>
      <c r="I335" s="43" t="n"/>
      <c r="J335" s="43" t="n"/>
      <c r="K335" s="43" t="n"/>
      <c r="L335" s="43" t="n"/>
      <c r="M335" s="43" t="n"/>
    </row>
    <row r="336">
      <c r="A336" s="43" t="n"/>
      <c r="B336" s="43" t="n"/>
      <c r="C336" s="43" t="n"/>
      <c r="D336" s="43" t="n"/>
      <c r="E336" s="43" t="n"/>
      <c r="F336" s="43" t="n"/>
      <c r="G336" s="43" t="n"/>
      <c r="H336" s="43" t="n"/>
      <c r="I336" s="43" t="n"/>
      <c r="J336" s="43" t="n"/>
      <c r="K336" s="43" t="n"/>
      <c r="L336" s="43" t="n"/>
      <c r="M336" s="43" t="n"/>
    </row>
    <row r="337">
      <c r="A337" s="43" t="n"/>
      <c r="B337" s="43" t="n"/>
      <c r="C337" s="43" t="n"/>
      <c r="D337" s="43" t="n"/>
      <c r="E337" s="43" t="n"/>
      <c r="F337" s="43" t="n"/>
      <c r="G337" s="43" t="n"/>
      <c r="H337" s="43" t="n"/>
      <c r="I337" s="43" t="n"/>
      <c r="J337" s="43" t="n"/>
      <c r="K337" s="43" t="n"/>
      <c r="L337" s="43" t="n"/>
      <c r="M337" s="43" t="n"/>
    </row>
    <row r="338">
      <c r="A338" s="43" t="n"/>
      <c r="B338" s="43" t="n"/>
      <c r="C338" s="43" t="n"/>
      <c r="D338" s="43" t="n"/>
      <c r="E338" s="43" t="n"/>
      <c r="F338" s="43" t="n"/>
      <c r="G338" s="43" t="n"/>
      <c r="H338" s="43" t="n"/>
      <c r="I338" s="43" t="n"/>
      <c r="J338" s="43" t="n"/>
      <c r="K338" s="43" t="n"/>
      <c r="L338" s="43" t="n"/>
      <c r="M338" s="43" t="n"/>
    </row>
    <row r="339">
      <c r="A339" s="43" t="n"/>
      <c r="B339" s="43" t="n"/>
      <c r="C339" s="43" t="n"/>
      <c r="D339" s="43" t="n"/>
      <c r="E339" s="43" t="n"/>
      <c r="F339" s="43" t="n"/>
      <c r="G339" s="43" t="n"/>
      <c r="H339" s="43" t="n"/>
      <c r="I339" s="43" t="n"/>
      <c r="J339" s="43" t="n"/>
      <c r="K339" s="43" t="n"/>
      <c r="L339" s="43" t="n"/>
      <c r="M339" s="43" t="n"/>
    </row>
    <row r="340">
      <c r="A340" s="43" t="n"/>
      <c r="B340" s="43" t="n"/>
      <c r="C340" s="43" t="n"/>
      <c r="D340" s="43" t="n"/>
      <c r="E340" s="43" t="n"/>
      <c r="F340" s="43" t="n"/>
      <c r="G340" s="43" t="n"/>
      <c r="H340" s="43" t="n"/>
      <c r="I340" s="43" t="n"/>
      <c r="J340" s="43" t="n"/>
      <c r="K340" s="43" t="n"/>
      <c r="L340" s="43" t="n"/>
      <c r="M340" s="43" t="n"/>
    </row>
    <row r="341">
      <c r="A341" s="43" t="n"/>
      <c r="B341" s="43" t="n"/>
      <c r="C341" s="43" t="n"/>
      <c r="D341" s="43" t="n"/>
      <c r="E341" s="43" t="n"/>
      <c r="F341" s="43" t="n"/>
      <c r="G341" s="43" t="n"/>
      <c r="H341" s="43" t="n"/>
      <c r="I341" s="43" t="n"/>
      <c r="J341" s="43" t="n"/>
      <c r="K341" s="43" t="n"/>
      <c r="L341" s="43" t="n"/>
      <c r="M341" s="43" t="n"/>
    </row>
    <row r="342">
      <c r="A342" s="43" t="n"/>
      <c r="B342" s="43" t="n"/>
      <c r="C342" s="43" t="n"/>
      <c r="D342" s="43" t="n"/>
      <c r="E342" s="43" t="n"/>
      <c r="F342" s="43" t="n"/>
      <c r="G342" s="43" t="n"/>
      <c r="H342" s="43" t="n"/>
      <c r="I342" s="43" t="n"/>
      <c r="J342" s="43" t="n"/>
      <c r="K342" s="43" t="n"/>
      <c r="L342" s="43" t="n"/>
      <c r="M342" s="43" t="n"/>
    </row>
    <row r="343">
      <c r="A343" s="43" t="n"/>
      <c r="B343" s="43" t="n"/>
      <c r="C343" s="43" t="n"/>
      <c r="D343" s="43" t="n"/>
      <c r="E343" s="43" t="n"/>
      <c r="F343" s="43" t="n"/>
      <c r="G343" s="43" t="n"/>
      <c r="H343" s="43" t="n"/>
      <c r="I343" s="43" t="n"/>
      <c r="J343" s="43" t="n"/>
      <c r="K343" s="43" t="n"/>
      <c r="L343" s="43" t="n"/>
      <c r="M343" s="43" t="n"/>
    </row>
    <row r="344">
      <c r="A344" s="43" t="n"/>
      <c r="B344" s="43" t="n"/>
      <c r="C344" s="43" t="n"/>
      <c r="D344" s="43" t="n"/>
      <c r="E344" s="43" t="n"/>
      <c r="F344" s="43" t="n"/>
      <c r="G344" s="43" t="n"/>
      <c r="H344" s="43" t="n"/>
      <c r="I344" s="43" t="n"/>
      <c r="J344" s="43" t="n"/>
      <c r="K344" s="43" t="n"/>
      <c r="L344" s="43" t="n"/>
      <c r="M344" s="43" t="n"/>
    </row>
    <row r="345">
      <c r="A345" s="43" t="n"/>
      <c r="B345" s="43" t="n"/>
      <c r="C345" s="43" t="n"/>
      <c r="D345" s="43" t="n"/>
      <c r="E345" s="43" t="n"/>
      <c r="F345" s="43" t="n"/>
      <c r="G345" s="43" t="n"/>
      <c r="H345" s="43" t="n"/>
      <c r="I345" s="43" t="n"/>
      <c r="J345" s="43" t="n"/>
      <c r="K345" s="43" t="n"/>
      <c r="L345" s="43" t="n"/>
      <c r="M345" s="43" t="n"/>
    </row>
    <row r="346">
      <c r="A346" s="43" t="n"/>
      <c r="B346" s="43" t="n"/>
      <c r="C346" s="43" t="n"/>
      <c r="D346" s="43" t="n"/>
      <c r="E346" s="43" t="n"/>
      <c r="F346" s="43" t="n"/>
      <c r="G346" s="43" t="n"/>
      <c r="H346" s="43" t="n"/>
      <c r="I346" s="43" t="n"/>
      <c r="J346" s="43" t="n"/>
      <c r="K346" s="43" t="n"/>
      <c r="L346" s="43" t="n"/>
      <c r="M346" s="43" t="n"/>
    </row>
    <row r="347">
      <c r="A347" s="43" t="n"/>
      <c r="B347" s="43" t="n"/>
      <c r="C347" s="43" t="n"/>
      <c r="D347" s="43" t="n"/>
      <c r="E347" s="43" t="n"/>
      <c r="F347" s="43" t="n"/>
      <c r="G347" s="43" t="n"/>
      <c r="H347" s="43" t="n"/>
      <c r="I347" s="43" t="n"/>
      <c r="J347" s="43" t="n"/>
      <c r="K347" s="43" t="n"/>
      <c r="L347" s="43" t="n"/>
      <c r="M347" s="43" t="n"/>
    </row>
    <row r="348">
      <c r="A348" s="43" t="n"/>
      <c r="B348" s="43" t="n"/>
      <c r="C348" s="43" t="n"/>
      <c r="D348" s="43" t="n"/>
      <c r="E348" s="43" t="n"/>
      <c r="F348" s="43" t="n"/>
      <c r="G348" s="43" t="n"/>
      <c r="H348" s="43" t="n"/>
      <c r="I348" s="43" t="n"/>
      <c r="J348" s="43" t="n"/>
      <c r="K348" s="43" t="n"/>
      <c r="L348" s="43" t="n"/>
      <c r="M348" s="43" t="n"/>
    </row>
    <row r="349">
      <c r="A349" s="43" t="n"/>
      <c r="B349" s="43" t="n"/>
      <c r="C349" s="43" t="n"/>
      <c r="D349" s="43" t="n"/>
      <c r="E349" s="43" t="n"/>
      <c r="F349" s="43" t="n"/>
      <c r="G349" s="43" t="n"/>
      <c r="H349" s="43" t="n"/>
      <c r="I349" s="43" t="n"/>
      <c r="J349" s="43" t="n"/>
      <c r="K349" s="43" t="n"/>
      <c r="L349" s="43" t="n"/>
      <c r="M349" s="43" t="n"/>
    </row>
    <row r="350">
      <c r="A350" s="43" t="n"/>
      <c r="B350" s="43" t="n"/>
      <c r="C350" s="43" t="n"/>
      <c r="D350" s="43" t="n"/>
      <c r="E350" s="43" t="n"/>
      <c r="F350" s="43" t="n"/>
      <c r="G350" s="43" t="n"/>
      <c r="H350" s="43" t="n"/>
      <c r="I350" s="43" t="n"/>
      <c r="J350" s="43" t="n"/>
      <c r="K350" s="43" t="n"/>
      <c r="L350" s="43" t="n"/>
      <c r="M350" s="43" t="n"/>
    </row>
    <row r="351">
      <c r="A351" s="43" t="n"/>
      <c r="B351" s="43" t="n"/>
      <c r="C351" s="43" t="n"/>
      <c r="D351" s="43" t="n"/>
      <c r="E351" s="43" t="n"/>
      <c r="F351" s="43" t="n"/>
      <c r="G351" s="43" t="n"/>
      <c r="H351" s="43" t="n"/>
      <c r="I351" s="43" t="n"/>
      <c r="J351" s="43" t="n"/>
      <c r="K351" s="43" t="n"/>
      <c r="L351" s="43" t="n"/>
      <c r="M351" s="43" t="n"/>
    </row>
    <row r="352">
      <c r="A352" s="43" t="n"/>
      <c r="B352" s="43" t="n"/>
      <c r="C352" s="43" t="n"/>
      <c r="D352" s="43" t="n"/>
      <c r="E352" s="43" t="n"/>
      <c r="F352" s="43" t="n"/>
      <c r="G352" s="43" t="n"/>
      <c r="H352" s="43" t="n"/>
      <c r="I352" s="43" t="n"/>
      <c r="J352" s="43" t="n"/>
      <c r="K352" s="43" t="n"/>
      <c r="L352" s="43" t="n"/>
      <c r="M352" s="43" t="n"/>
    </row>
    <row r="353">
      <c r="A353" s="43" t="n"/>
      <c r="B353" s="43" t="n"/>
      <c r="C353" s="43" t="n"/>
      <c r="D353" s="43" t="n"/>
      <c r="E353" s="43" t="n"/>
      <c r="F353" s="43" t="n"/>
      <c r="G353" s="43" t="n"/>
      <c r="H353" s="43" t="n"/>
      <c r="I353" s="43" t="n"/>
      <c r="J353" s="43" t="n"/>
      <c r="K353" s="43" t="n"/>
      <c r="L353" s="43" t="n"/>
      <c r="M353" s="43" t="n"/>
    </row>
    <row r="354">
      <c r="A354" s="43" t="n"/>
      <c r="B354" s="43" t="n"/>
      <c r="C354" s="43" t="n"/>
      <c r="D354" s="43" t="n"/>
      <c r="E354" s="43" t="n"/>
      <c r="F354" s="43" t="n"/>
      <c r="G354" s="43" t="n"/>
      <c r="H354" s="43" t="n"/>
      <c r="I354" s="43" t="n"/>
      <c r="J354" s="43" t="n"/>
      <c r="K354" s="43" t="n"/>
      <c r="L354" s="43" t="n"/>
      <c r="M354" s="43" t="n"/>
    </row>
    <row r="355">
      <c r="A355" s="43" t="n"/>
      <c r="B355" s="43" t="n"/>
      <c r="C355" s="43" t="n"/>
      <c r="D355" s="43" t="n"/>
      <c r="E355" s="43" t="n"/>
      <c r="F355" s="43" t="n"/>
      <c r="G355" s="43" t="n"/>
      <c r="H355" s="43" t="n"/>
      <c r="I355" s="43" t="n"/>
      <c r="J355" s="43" t="n"/>
      <c r="K355" s="43" t="n"/>
      <c r="L355" s="43" t="n"/>
      <c r="M355" s="43" t="n"/>
    </row>
    <row r="356">
      <c r="A356" s="43" t="n"/>
      <c r="B356" s="43" t="n"/>
      <c r="C356" s="43" t="n"/>
      <c r="D356" s="43" t="n"/>
      <c r="E356" s="43" t="n"/>
      <c r="F356" s="43" t="n"/>
      <c r="G356" s="43" t="n"/>
      <c r="H356" s="43" t="n"/>
      <c r="I356" s="43" t="n"/>
      <c r="J356" s="43" t="n"/>
      <c r="K356" s="43" t="n"/>
      <c r="L356" s="43" t="n"/>
      <c r="M356" s="43" t="n"/>
    </row>
    <row r="357">
      <c r="A357" s="43" t="n"/>
      <c r="B357" s="43" t="n"/>
      <c r="C357" s="43" t="n"/>
      <c r="D357" s="43" t="n"/>
      <c r="E357" s="43" t="n"/>
      <c r="F357" s="43" t="n"/>
      <c r="G357" s="43" t="n"/>
      <c r="H357" s="43" t="n"/>
      <c r="I357" s="43" t="n"/>
      <c r="J357" s="43" t="n"/>
      <c r="K357" s="43" t="n"/>
      <c r="L357" s="43" t="n"/>
      <c r="M357" s="43" t="n"/>
    </row>
    <row r="358">
      <c r="A358" s="43" t="n"/>
      <c r="B358" s="43" t="n"/>
      <c r="C358" s="43" t="n"/>
      <c r="D358" s="43" t="n"/>
      <c r="E358" s="43" t="n"/>
      <c r="F358" s="43" t="n"/>
      <c r="G358" s="43" t="n"/>
      <c r="H358" s="43" t="n"/>
      <c r="I358" s="43" t="n"/>
      <c r="J358" s="43" t="n"/>
      <c r="K358" s="43" t="n"/>
      <c r="L358" s="43" t="n"/>
      <c r="M358" s="43" t="n"/>
    </row>
    <row r="359">
      <c r="A359" s="43" t="n"/>
      <c r="B359" s="43" t="n"/>
      <c r="C359" s="43" t="n"/>
      <c r="D359" s="43" t="n"/>
      <c r="E359" s="43" t="n"/>
      <c r="F359" s="43" t="n"/>
      <c r="G359" s="43" t="n"/>
      <c r="H359" s="43" t="n"/>
      <c r="I359" s="43" t="n"/>
      <c r="J359" s="43" t="n"/>
      <c r="K359" s="43" t="n"/>
      <c r="L359" s="43" t="n"/>
      <c r="M359" s="43" t="n"/>
    </row>
    <row r="360">
      <c r="A360" s="43" t="n"/>
      <c r="B360" s="43" t="n"/>
      <c r="C360" s="43" t="n"/>
      <c r="D360" s="43" t="n"/>
      <c r="E360" s="43" t="n"/>
      <c r="F360" s="43" t="n"/>
      <c r="G360" s="43" t="n"/>
      <c r="H360" s="43" t="n"/>
      <c r="I360" s="43" t="n"/>
      <c r="J360" s="43" t="n"/>
      <c r="K360" s="43" t="n"/>
      <c r="L360" s="43" t="n"/>
      <c r="M360" s="43" t="n"/>
    </row>
    <row r="361">
      <c r="A361" s="43" t="n"/>
      <c r="B361" s="43" t="n"/>
      <c r="C361" s="43" t="n"/>
      <c r="D361" s="43" t="n"/>
      <c r="E361" s="43" t="n"/>
      <c r="F361" s="43" t="n"/>
      <c r="G361" s="43" t="n"/>
      <c r="H361" s="43" t="n"/>
      <c r="I361" s="43" t="n"/>
      <c r="J361" s="43" t="n"/>
      <c r="K361" s="43" t="n"/>
      <c r="L361" s="43" t="n"/>
      <c r="M361" s="43" t="n"/>
    </row>
    <row r="362">
      <c r="A362" s="43" t="n"/>
      <c r="B362" s="43" t="n"/>
      <c r="C362" s="43" t="n"/>
      <c r="D362" s="43" t="n"/>
      <c r="E362" s="43" t="n"/>
      <c r="F362" s="43" t="n"/>
      <c r="G362" s="43" t="n"/>
      <c r="H362" s="43" t="n"/>
      <c r="I362" s="43" t="n"/>
      <c r="J362" s="43" t="n"/>
      <c r="K362" s="43" t="n"/>
      <c r="L362" s="43" t="n"/>
      <c r="M362" s="43" t="n"/>
    </row>
    <row r="363">
      <c r="A363" s="43" t="n"/>
      <c r="B363" s="43" t="n"/>
      <c r="C363" s="43" t="n"/>
      <c r="D363" s="43" t="n"/>
      <c r="E363" s="43" t="n"/>
      <c r="F363" s="43" t="n"/>
      <c r="G363" s="43" t="n"/>
      <c r="H363" s="43" t="n"/>
      <c r="I363" s="43" t="n"/>
      <c r="J363" s="43" t="n"/>
      <c r="K363" s="43" t="n"/>
      <c r="L363" s="43" t="n"/>
      <c r="M363" s="43" t="n"/>
    </row>
    <row r="364">
      <c r="A364" s="43" t="n"/>
      <c r="B364" s="43" t="n"/>
      <c r="C364" s="43" t="n"/>
      <c r="D364" s="43" t="n"/>
      <c r="E364" s="43" t="n"/>
      <c r="F364" s="43" t="n"/>
      <c r="G364" s="43" t="n"/>
      <c r="H364" s="43" t="n"/>
      <c r="I364" s="43" t="n"/>
      <c r="J364" s="43" t="n"/>
      <c r="K364" s="43" t="n"/>
      <c r="L364" s="43" t="n"/>
      <c r="M364" s="43" t="n"/>
    </row>
    <row r="365">
      <c r="A365" s="43" t="n"/>
      <c r="B365" s="43" t="n"/>
      <c r="C365" s="43" t="n"/>
      <c r="D365" s="43" t="n"/>
      <c r="E365" s="43" t="n"/>
      <c r="F365" s="43" t="n"/>
      <c r="G365" s="43" t="n"/>
      <c r="H365" s="43" t="n"/>
      <c r="I365" s="43" t="n"/>
      <c r="J365" s="43" t="n"/>
      <c r="K365" s="43" t="n"/>
      <c r="L365" s="43" t="n"/>
      <c r="M365" s="43" t="n"/>
    </row>
    <row r="366">
      <c r="A366" s="43" t="n"/>
      <c r="B366" s="43" t="n"/>
      <c r="C366" s="43" t="n"/>
      <c r="D366" s="43" t="n"/>
      <c r="E366" s="43" t="n"/>
      <c r="F366" s="43" t="n"/>
      <c r="G366" s="43" t="n"/>
      <c r="H366" s="43" t="n"/>
      <c r="I366" s="43" t="n"/>
      <c r="J366" s="43" t="n"/>
      <c r="K366" s="43" t="n"/>
      <c r="L366" s="43" t="n"/>
      <c r="M366" s="43" t="n"/>
    </row>
    <row r="367">
      <c r="A367" s="43" t="n"/>
      <c r="B367" s="43" t="n"/>
      <c r="C367" s="43" t="n"/>
      <c r="D367" s="43" t="n"/>
      <c r="E367" s="43" t="n"/>
      <c r="F367" s="43" t="n"/>
      <c r="G367" s="43" t="n"/>
      <c r="H367" s="43" t="n"/>
      <c r="I367" s="43" t="n"/>
      <c r="J367" s="43" t="n"/>
      <c r="K367" s="43" t="n"/>
      <c r="L367" s="43" t="n"/>
      <c r="M367" s="43" t="n"/>
    </row>
    <row r="368">
      <c r="A368" s="43" t="n"/>
      <c r="B368" s="43" t="n"/>
      <c r="C368" s="43" t="n"/>
      <c r="D368" s="43" t="n"/>
      <c r="E368" s="43" t="n"/>
      <c r="F368" s="43" t="n"/>
      <c r="G368" s="43" t="n"/>
      <c r="H368" s="43" t="n"/>
      <c r="I368" s="43" t="n"/>
      <c r="J368" s="43" t="n"/>
      <c r="K368" s="43" t="n"/>
      <c r="L368" s="43" t="n"/>
      <c r="M368" s="43" t="n"/>
    </row>
    <row r="369">
      <c r="A369" s="43" t="n"/>
      <c r="B369" s="43" t="n"/>
      <c r="C369" s="43" t="n"/>
      <c r="D369" s="43" t="n"/>
      <c r="E369" s="43" t="n"/>
      <c r="F369" s="43" t="n"/>
      <c r="G369" s="43" t="n"/>
      <c r="H369" s="43" t="n"/>
      <c r="I369" s="43" t="n"/>
      <c r="J369" s="43" t="n"/>
      <c r="K369" s="43" t="n"/>
      <c r="L369" s="43" t="n"/>
      <c r="M369" s="43" t="n"/>
    </row>
    <row r="370">
      <c r="A370" s="43" t="n"/>
      <c r="B370" s="43" t="n"/>
      <c r="C370" s="43" t="n"/>
      <c r="D370" s="43" t="n"/>
      <c r="E370" s="43" t="n"/>
      <c r="F370" s="43" t="n"/>
      <c r="G370" s="43" t="n"/>
      <c r="H370" s="43" t="n"/>
      <c r="I370" s="43" t="n"/>
      <c r="J370" s="43" t="n"/>
      <c r="K370" s="43" t="n"/>
      <c r="L370" s="43" t="n"/>
      <c r="M370" s="43" t="n"/>
    </row>
    <row r="371">
      <c r="A371" s="43" t="n"/>
      <c r="B371" s="43" t="n"/>
      <c r="C371" s="43" t="n"/>
      <c r="D371" s="43" t="n"/>
      <c r="E371" s="43" t="n"/>
      <c r="F371" s="43" t="n"/>
      <c r="G371" s="43" t="n"/>
      <c r="H371" s="43" t="n"/>
      <c r="I371" s="43" t="n"/>
      <c r="J371" s="43" t="n"/>
      <c r="K371" s="43" t="n"/>
      <c r="L371" s="43" t="n"/>
      <c r="M371" s="43" t="n"/>
    </row>
    <row r="372">
      <c r="A372" s="43" t="n"/>
      <c r="B372" s="43" t="n"/>
      <c r="C372" s="43" t="n"/>
      <c r="D372" s="43" t="n"/>
      <c r="E372" s="43" t="n"/>
      <c r="F372" s="43" t="n"/>
      <c r="G372" s="43" t="n"/>
      <c r="H372" s="43" t="n"/>
      <c r="I372" s="43" t="n"/>
      <c r="J372" s="43" t="n"/>
      <c r="K372" s="43" t="n"/>
      <c r="L372" s="43" t="n"/>
      <c r="M372" s="43" t="n"/>
    </row>
    <row r="373">
      <c r="A373" s="43" t="n"/>
      <c r="B373" s="43" t="n"/>
      <c r="C373" s="43" t="n"/>
      <c r="D373" s="43" t="n"/>
      <c r="E373" s="43" t="n"/>
      <c r="F373" s="43" t="n"/>
      <c r="G373" s="43" t="n"/>
      <c r="H373" s="43" t="n"/>
      <c r="I373" s="43" t="n"/>
      <c r="J373" s="43" t="n"/>
      <c r="K373" s="43" t="n"/>
      <c r="L373" s="43" t="n"/>
      <c r="M373" s="43" t="n"/>
    </row>
    <row r="374">
      <c r="A374" s="43" t="n"/>
      <c r="B374" s="43" t="n"/>
      <c r="C374" s="43" t="n"/>
      <c r="D374" s="43" t="n"/>
      <c r="E374" s="43" t="n"/>
      <c r="F374" s="43" t="n"/>
      <c r="G374" s="43" t="n"/>
      <c r="H374" s="43" t="n"/>
      <c r="I374" s="43" t="n"/>
      <c r="J374" s="43" t="n"/>
      <c r="K374" s="43" t="n"/>
      <c r="L374" s="43" t="n"/>
      <c r="M374" s="43" t="n"/>
    </row>
    <row r="375">
      <c r="A375" s="43" t="n"/>
      <c r="B375" s="43" t="n"/>
      <c r="C375" s="43" t="n"/>
      <c r="D375" s="43" t="n"/>
      <c r="E375" s="43" t="n"/>
      <c r="F375" s="43" t="n"/>
      <c r="G375" s="43" t="n"/>
      <c r="H375" s="43" t="n"/>
      <c r="I375" s="43" t="n"/>
      <c r="J375" s="43" t="n"/>
      <c r="K375" s="43" t="n"/>
      <c r="L375" s="43" t="n"/>
      <c r="M375" s="43" t="n"/>
    </row>
    <row r="376">
      <c r="A376" s="43" t="n"/>
      <c r="B376" s="43" t="n"/>
      <c r="C376" s="43" t="n"/>
      <c r="D376" s="43" t="n"/>
      <c r="E376" s="43" t="n"/>
      <c r="F376" s="43" t="n"/>
      <c r="G376" s="43" t="n"/>
      <c r="H376" s="43" t="n"/>
      <c r="I376" s="43" t="n"/>
      <c r="J376" s="43" t="n"/>
      <c r="K376" s="43" t="n"/>
      <c r="L376" s="43" t="n"/>
      <c r="M376" s="43" t="n"/>
    </row>
    <row r="377">
      <c r="A377" s="43" t="n"/>
      <c r="B377" s="43" t="n"/>
      <c r="C377" s="43" t="n"/>
      <c r="D377" s="43" t="n"/>
      <c r="E377" s="43" t="n"/>
      <c r="F377" s="43" t="n"/>
      <c r="G377" s="43" t="n"/>
      <c r="H377" s="43" t="n"/>
      <c r="I377" s="43" t="n"/>
      <c r="J377" s="43" t="n"/>
      <c r="K377" s="43" t="n"/>
      <c r="L377" s="43" t="n"/>
      <c r="M377" s="43" t="n"/>
    </row>
    <row r="378">
      <c r="A378" s="43" t="n"/>
      <c r="B378" s="43" t="n"/>
      <c r="C378" s="43" t="n"/>
      <c r="D378" s="43" t="n"/>
      <c r="E378" s="43" t="n"/>
      <c r="F378" s="43" t="n"/>
      <c r="G378" s="43" t="n"/>
      <c r="H378" s="43" t="n"/>
      <c r="I378" s="43" t="n"/>
      <c r="J378" s="43" t="n"/>
      <c r="K378" s="43" t="n"/>
      <c r="L378" s="43" t="n"/>
      <c r="M378" s="43" t="n"/>
    </row>
    <row r="379">
      <c r="A379" s="43" t="n"/>
      <c r="B379" s="43" t="n"/>
      <c r="C379" s="43" t="n"/>
      <c r="D379" s="43" t="n"/>
      <c r="E379" s="43" t="n"/>
      <c r="F379" s="43" t="n"/>
      <c r="G379" s="43" t="n"/>
      <c r="H379" s="43" t="n"/>
      <c r="I379" s="43" t="n"/>
      <c r="J379" s="43" t="n"/>
      <c r="K379" s="43" t="n"/>
      <c r="L379" s="43" t="n"/>
      <c r="M379" s="43" t="n"/>
    </row>
    <row r="380">
      <c r="A380" s="43" t="n"/>
      <c r="B380" s="43" t="n"/>
      <c r="C380" s="43" t="n"/>
      <c r="D380" s="43" t="n"/>
      <c r="E380" s="43" t="n"/>
      <c r="F380" s="43" t="n"/>
      <c r="G380" s="43" t="n"/>
      <c r="H380" s="43" t="n"/>
      <c r="I380" s="43" t="n"/>
      <c r="J380" s="43" t="n"/>
      <c r="K380" s="43" t="n"/>
      <c r="L380" s="43" t="n"/>
      <c r="M380" s="43" t="n"/>
    </row>
    <row r="381">
      <c r="A381" s="43" t="n"/>
      <c r="B381" s="43" t="n"/>
      <c r="C381" s="43" t="n"/>
      <c r="D381" s="43" t="n"/>
      <c r="E381" s="43" t="n"/>
      <c r="F381" s="43" t="n"/>
      <c r="G381" s="43" t="n"/>
      <c r="H381" s="43" t="n"/>
      <c r="I381" s="43" t="n"/>
      <c r="J381" s="43" t="n"/>
      <c r="K381" s="43" t="n"/>
      <c r="L381" s="43" t="n"/>
      <c r="M381" s="43" t="n"/>
    </row>
    <row r="382">
      <c r="A382" s="43" t="n"/>
      <c r="B382" s="43" t="n"/>
      <c r="C382" s="43" t="n"/>
      <c r="D382" s="43" t="n"/>
      <c r="E382" s="43" t="n"/>
      <c r="F382" s="43" t="n"/>
      <c r="G382" s="43" t="n"/>
      <c r="H382" s="43" t="n"/>
      <c r="I382" s="43" t="n"/>
      <c r="J382" s="43" t="n"/>
      <c r="K382" s="43" t="n"/>
      <c r="L382" s="43" t="n"/>
      <c r="M382" s="43" t="n"/>
    </row>
    <row r="383">
      <c r="A383" s="43" t="n"/>
      <c r="B383" s="43" t="n"/>
      <c r="C383" s="43" t="n"/>
      <c r="D383" s="43" t="n"/>
      <c r="E383" s="43" t="n"/>
      <c r="F383" s="43" t="n"/>
      <c r="G383" s="43" t="n"/>
      <c r="H383" s="43" t="n"/>
      <c r="I383" s="43" t="n"/>
      <c r="J383" s="43" t="n"/>
      <c r="K383" s="43" t="n"/>
      <c r="L383" s="43" t="n"/>
      <c r="M383" s="43" t="n"/>
    </row>
    <row r="384">
      <c r="A384" s="43" t="n"/>
      <c r="B384" s="43" t="n"/>
      <c r="C384" s="43" t="n"/>
      <c r="D384" s="43" t="n"/>
      <c r="E384" s="43" t="n"/>
      <c r="F384" s="43" t="n"/>
      <c r="G384" s="43" t="n"/>
      <c r="H384" s="43" t="n"/>
      <c r="I384" s="43" t="n"/>
      <c r="J384" s="43" t="n"/>
      <c r="K384" s="43" t="n"/>
      <c r="L384" s="43" t="n"/>
      <c r="M384" s="43" t="n"/>
    </row>
    <row r="385">
      <c r="A385" s="43" t="n"/>
      <c r="B385" s="43" t="n"/>
      <c r="C385" s="43" t="n"/>
      <c r="D385" s="43" t="n"/>
      <c r="E385" s="43" t="n"/>
      <c r="F385" s="43" t="n"/>
      <c r="G385" s="43" t="n"/>
      <c r="H385" s="43" t="n"/>
      <c r="I385" s="43" t="n"/>
      <c r="J385" s="43" t="n"/>
      <c r="K385" s="43" t="n"/>
      <c r="L385" s="43" t="n"/>
      <c r="M385" s="43" t="n"/>
    </row>
    <row r="386">
      <c r="A386" s="43" t="n"/>
      <c r="B386" s="43" t="n"/>
      <c r="C386" s="43" t="n"/>
      <c r="D386" s="43" t="n"/>
      <c r="E386" s="43" t="n"/>
      <c r="F386" s="43" t="n"/>
      <c r="G386" s="43" t="n"/>
      <c r="H386" s="43" t="n"/>
      <c r="I386" s="43" t="n"/>
      <c r="J386" s="43" t="n"/>
      <c r="K386" s="43" t="n"/>
      <c r="L386" s="43" t="n"/>
      <c r="M386" s="43" t="n"/>
    </row>
    <row r="387">
      <c r="A387" s="43" t="n"/>
      <c r="B387" s="43" t="n"/>
      <c r="C387" s="43" t="n"/>
      <c r="D387" s="43" t="n"/>
      <c r="E387" s="43" t="n"/>
      <c r="F387" s="43" t="n"/>
      <c r="G387" s="43" t="n"/>
      <c r="H387" s="43" t="n"/>
      <c r="I387" s="43" t="n"/>
      <c r="J387" s="43" t="n"/>
      <c r="K387" s="43" t="n"/>
      <c r="L387" s="43" t="n"/>
      <c r="M387" s="43" t="n"/>
    </row>
    <row r="388">
      <c r="A388" s="43" t="n"/>
      <c r="B388" s="43" t="n"/>
      <c r="C388" s="43" t="n"/>
      <c r="D388" s="43" t="n"/>
      <c r="E388" s="43" t="n"/>
      <c r="F388" s="43" t="n"/>
      <c r="G388" s="43" t="n"/>
      <c r="H388" s="43" t="n"/>
      <c r="I388" s="43" t="n"/>
      <c r="J388" s="43" t="n"/>
      <c r="K388" s="43" t="n"/>
      <c r="L388" s="43" t="n"/>
      <c r="M388" s="43" t="n"/>
    </row>
    <row r="389">
      <c r="A389" s="43" t="n"/>
      <c r="B389" s="43" t="n"/>
      <c r="C389" s="43" t="n"/>
      <c r="D389" s="43" t="n"/>
      <c r="E389" s="43" t="n"/>
      <c r="F389" s="43" t="n"/>
      <c r="G389" s="43" t="n"/>
      <c r="H389" s="43" t="n"/>
      <c r="I389" s="43" t="n"/>
      <c r="J389" s="43" t="n"/>
      <c r="K389" s="43" t="n"/>
      <c r="L389" s="43" t="n"/>
      <c r="M389" s="43" t="n"/>
    </row>
    <row r="390">
      <c r="A390" s="43" t="n"/>
      <c r="B390" s="43" t="n"/>
      <c r="C390" s="43" t="n"/>
      <c r="D390" s="43" t="n"/>
      <c r="E390" s="43" t="n"/>
      <c r="F390" s="43" t="n"/>
      <c r="G390" s="43" t="n"/>
      <c r="H390" s="43" t="n"/>
      <c r="I390" s="43" t="n"/>
      <c r="J390" s="43" t="n"/>
      <c r="K390" s="43" t="n"/>
      <c r="L390" s="43" t="n"/>
      <c r="M390" s="43" t="n"/>
    </row>
    <row r="391">
      <c r="A391" s="43" t="n"/>
      <c r="B391" s="43" t="n"/>
      <c r="C391" s="43" t="n"/>
      <c r="D391" s="43" t="n"/>
      <c r="E391" s="43" t="n"/>
      <c r="F391" s="43" t="n"/>
      <c r="G391" s="43" t="n"/>
      <c r="H391" s="43" t="n"/>
      <c r="I391" s="43" t="n"/>
      <c r="J391" s="43" t="n"/>
      <c r="K391" s="43" t="n"/>
      <c r="L391" s="43" t="n"/>
      <c r="M391" s="43" t="n"/>
    </row>
    <row r="392">
      <c r="A392" s="43" t="n"/>
      <c r="B392" s="43" t="n"/>
      <c r="C392" s="43" t="n"/>
      <c r="D392" s="43" t="n"/>
      <c r="E392" s="43" t="n"/>
      <c r="F392" s="43" t="n"/>
      <c r="G392" s="43" t="n"/>
      <c r="H392" s="43" t="n"/>
      <c r="I392" s="43" t="n"/>
      <c r="J392" s="43" t="n"/>
      <c r="K392" s="43" t="n"/>
      <c r="L392" s="43" t="n"/>
      <c r="M392" s="43" t="n"/>
    </row>
    <row r="393">
      <c r="A393" s="43" t="n"/>
      <c r="B393" s="43" t="n"/>
      <c r="C393" s="43" t="n"/>
      <c r="D393" s="43" t="n"/>
      <c r="E393" s="43" t="n"/>
      <c r="F393" s="43" t="n"/>
      <c r="G393" s="43" t="n"/>
      <c r="H393" s="43" t="n"/>
      <c r="I393" s="43" t="n"/>
      <c r="J393" s="43" t="n"/>
      <c r="K393" s="43" t="n"/>
      <c r="L393" s="43" t="n"/>
      <c r="M393" s="43" t="n"/>
    </row>
    <row r="394">
      <c r="A394" s="43" t="n"/>
      <c r="B394" s="43" t="n"/>
      <c r="C394" s="43" t="n"/>
      <c r="D394" s="43" t="n"/>
      <c r="E394" s="43" t="n"/>
      <c r="F394" s="43" t="n"/>
      <c r="G394" s="43" t="n"/>
      <c r="H394" s="43" t="n"/>
      <c r="I394" s="43" t="n"/>
      <c r="J394" s="43" t="n"/>
      <c r="K394" s="43" t="n"/>
      <c r="L394" s="43" t="n"/>
      <c r="M394" s="43" t="n"/>
    </row>
    <row r="395">
      <c r="A395" s="43" t="n"/>
      <c r="B395" s="43" t="n"/>
      <c r="C395" s="43" t="n"/>
      <c r="D395" s="43" t="n"/>
      <c r="E395" s="43" t="n"/>
      <c r="F395" s="43" t="n"/>
      <c r="G395" s="43" t="n"/>
      <c r="H395" s="43" t="n"/>
      <c r="I395" s="43" t="n"/>
      <c r="J395" s="43" t="n"/>
      <c r="K395" s="43" t="n"/>
      <c r="L395" s="43" t="n"/>
      <c r="M395" s="43" t="n"/>
    </row>
    <row r="396">
      <c r="A396" s="43" t="n"/>
      <c r="B396" s="43" t="n"/>
      <c r="C396" s="43" t="n"/>
      <c r="D396" s="43" t="n"/>
      <c r="E396" s="43" t="n"/>
      <c r="F396" s="43" t="n"/>
      <c r="G396" s="43" t="n"/>
      <c r="H396" s="43" t="n"/>
      <c r="I396" s="43" t="n"/>
      <c r="J396" s="43" t="n"/>
      <c r="K396" s="43" t="n"/>
      <c r="L396" s="43" t="n"/>
      <c r="M396" s="43" t="n"/>
    </row>
    <row r="397">
      <c r="A397" s="43" t="n"/>
      <c r="B397" s="43" t="n"/>
      <c r="C397" s="43" t="n"/>
      <c r="D397" s="43" t="n"/>
      <c r="E397" s="43" t="n"/>
      <c r="F397" s="43" t="n"/>
      <c r="G397" s="43" t="n"/>
      <c r="H397" s="43" t="n"/>
      <c r="I397" s="43" t="n"/>
      <c r="J397" s="43" t="n"/>
      <c r="K397" s="43" t="n"/>
      <c r="L397" s="43" t="n"/>
      <c r="M397" s="43" t="n"/>
    </row>
    <row r="398">
      <c r="A398" s="43" t="n"/>
      <c r="B398" s="43" t="n"/>
      <c r="C398" s="43" t="n"/>
      <c r="D398" s="43" t="n"/>
      <c r="E398" s="43" t="n"/>
      <c r="F398" s="43" t="n"/>
      <c r="G398" s="43" t="n"/>
      <c r="H398" s="43" t="n"/>
      <c r="I398" s="43" t="n"/>
      <c r="J398" s="43" t="n"/>
      <c r="K398" s="43" t="n"/>
      <c r="L398" s="43" t="n"/>
      <c r="M398" s="43" t="n"/>
    </row>
    <row r="399">
      <c r="A399" s="43" t="n"/>
      <c r="B399" s="43" t="n"/>
      <c r="C399" s="43" t="n"/>
      <c r="D399" s="43" t="n"/>
      <c r="E399" s="43" t="n"/>
      <c r="F399" s="43" t="n"/>
      <c r="G399" s="43" t="n"/>
      <c r="H399" s="43" t="n"/>
      <c r="I399" s="43" t="n"/>
      <c r="J399" s="43" t="n"/>
      <c r="K399" s="43" t="n"/>
      <c r="L399" s="43" t="n"/>
      <c r="M399" s="43" t="n"/>
    </row>
    <row r="400">
      <c r="A400" s="43" t="n"/>
      <c r="B400" s="43" t="n"/>
      <c r="C400" s="43" t="n"/>
      <c r="D400" s="43" t="n"/>
      <c r="E400" s="43" t="n"/>
      <c r="F400" s="43" t="n"/>
      <c r="G400" s="43" t="n"/>
      <c r="H400" s="43" t="n"/>
      <c r="I400" s="43" t="n"/>
      <c r="J400" s="43" t="n"/>
      <c r="K400" s="43" t="n"/>
      <c r="L400" s="43" t="n"/>
      <c r="M400" s="43" t="n"/>
    </row>
    <row r="401">
      <c r="A401" s="43" t="n"/>
      <c r="B401" s="43" t="n"/>
      <c r="C401" s="43" t="n"/>
      <c r="D401" s="43" t="n"/>
      <c r="E401" s="43" t="n"/>
      <c r="F401" s="43" t="n"/>
      <c r="G401" s="43" t="n"/>
      <c r="H401" s="43" t="n"/>
      <c r="I401" s="43" t="n"/>
      <c r="J401" s="43" t="n"/>
      <c r="K401" s="43" t="n"/>
      <c r="L401" s="43" t="n"/>
      <c r="M401" s="43" t="n"/>
    </row>
    <row r="402">
      <c r="A402" s="43" t="n"/>
      <c r="B402" s="43" t="n"/>
      <c r="C402" s="43" t="n"/>
      <c r="D402" s="43" t="n"/>
      <c r="E402" s="43" t="n"/>
      <c r="F402" s="43" t="n"/>
      <c r="G402" s="43" t="n"/>
      <c r="H402" s="43" t="n"/>
      <c r="I402" s="43" t="n"/>
      <c r="J402" s="43" t="n"/>
      <c r="K402" s="43" t="n"/>
      <c r="L402" s="43" t="n"/>
      <c r="M402" s="43" t="n"/>
    </row>
    <row r="403">
      <c r="A403" s="43" t="n"/>
      <c r="B403" s="43" t="n"/>
      <c r="C403" s="43" t="n"/>
      <c r="D403" s="43" t="n"/>
      <c r="E403" s="43" t="n"/>
      <c r="F403" s="43" t="n"/>
      <c r="G403" s="43" t="n"/>
      <c r="H403" s="43" t="n"/>
      <c r="I403" s="43" t="n"/>
      <c r="J403" s="43" t="n"/>
      <c r="K403" s="43" t="n"/>
      <c r="L403" s="43" t="n"/>
      <c r="M403" s="43" t="n"/>
    </row>
    <row r="404">
      <c r="A404" s="43" t="n"/>
      <c r="B404" s="43" t="n"/>
      <c r="C404" s="43" t="n"/>
      <c r="D404" s="43" t="n"/>
      <c r="E404" s="43" t="n"/>
      <c r="F404" s="43" t="n"/>
      <c r="G404" s="43" t="n"/>
      <c r="H404" s="43" t="n"/>
      <c r="I404" s="43" t="n"/>
      <c r="J404" s="43" t="n"/>
      <c r="K404" s="43" t="n"/>
      <c r="L404" s="43" t="n"/>
      <c r="M404" s="43" t="n"/>
    </row>
    <row r="405">
      <c r="A405" s="43" t="n"/>
      <c r="B405" s="43" t="n"/>
      <c r="C405" s="43" t="n"/>
      <c r="D405" s="43" t="n"/>
      <c r="E405" s="43" t="n"/>
      <c r="F405" s="43" t="n"/>
      <c r="G405" s="43" t="n"/>
      <c r="H405" s="43" t="n"/>
      <c r="I405" s="43" t="n"/>
      <c r="J405" s="43" t="n"/>
      <c r="K405" s="43" t="n"/>
      <c r="L405" s="43" t="n"/>
      <c r="M405" s="43" t="n"/>
    </row>
    <row r="406">
      <c r="A406" s="43" t="n"/>
      <c r="B406" s="43" t="n"/>
      <c r="C406" s="43" t="n"/>
      <c r="D406" s="43" t="n"/>
      <c r="E406" s="43" t="n"/>
      <c r="F406" s="43" t="n"/>
      <c r="G406" s="43" t="n"/>
      <c r="H406" s="43" t="n"/>
      <c r="I406" s="43" t="n"/>
      <c r="J406" s="43" t="n"/>
      <c r="K406" s="43" t="n"/>
      <c r="L406" s="43" t="n"/>
      <c r="M406" s="43" t="n"/>
    </row>
    <row r="407">
      <c r="A407" s="43" t="n"/>
      <c r="B407" s="43" t="n"/>
      <c r="C407" s="43" t="n"/>
      <c r="D407" s="43" t="n"/>
      <c r="E407" s="43" t="n"/>
      <c r="F407" s="43" t="n"/>
      <c r="G407" s="43" t="n"/>
      <c r="H407" s="43" t="n"/>
      <c r="I407" s="43" t="n"/>
      <c r="J407" s="43" t="n"/>
      <c r="K407" s="43" t="n"/>
      <c r="L407" s="43" t="n"/>
      <c r="M407" s="43" t="n"/>
    </row>
    <row r="408">
      <c r="A408" s="43" t="n"/>
      <c r="B408" s="43" t="n"/>
      <c r="C408" s="43" t="n"/>
      <c r="D408" s="43" t="n"/>
      <c r="E408" s="43" t="n"/>
      <c r="F408" s="43" t="n"/>
      <c r="G408" s="43" t="n"/>
      <c r="H408" s="43" t="n"/>
      <c r="I408" s="43" t="n"/>
      <c r="J408" s="43" t="n"/>
      <c r="K408" s="43" t="n"/>
      <c r="L408" s="43" t="n"/>
      <c r="M408" s="43" t="n"/>
    </row>
    <row r="409">
      <c r="A409" s="43" t="n"/>
      <c r="B409" s="43" t="n"/>
      <c r="C409" s="43" t="n"/>
      <c r="D409" s="43" t="n"/>
      <c r="E409" s="43" t="n"/>
      <c r="F409" s="43" t="n"/>
      <c r="G409" s="43" t="n"/>
      <c r="H409" s="43" t="n"/>
      <c r="I409" s="43" t="n"/>
      <c r="J409" s="43" t="n"/>
      <c r="K409" s="43" t="n"/>
      <c r="L409" s="43" t="n"/>
      <c r="M409" s="43" t="n"/>
    </row>
    <row r="410">
      <c r="A410" s="43" t="n"/>
      <c r="B410" s="43" t="n"/>
      <c r="C410" s="43" t="n"/>
      <c r="D410" s="43" t="n"/>
      <c r="E410" s="43" t="n"/>
      <c r="F410" s="43" t="n"/>
      <c r="G410" s="43" t="n"/>
      <c r="H410" s="43" t="n"/>
      <c r="I410" s="43" t="n"/>
      <c r="J410" s="43" t="n"/>
      <c r="K410" s="43" t="n"/>
      <c r="L410" s="43" t="n"/>
      <c r="M410" s="43" t="n"/>
    </row>
    <row r="411">
      <c r="A411" s="43" t="n"/>
      <c r="B411" s="43" t="n"/>
      <c r="C411" s="43" t="n"/>
      <c r="D411" s="43" t="n"/>
      <c r="E411" s="43" t="n"/>
      <c r="F411" s="43" t="n"/>
      <c r="G411" s="43" t="n"/>
      <c r="H411" s="43" t="n"/>
      <c r="I411" s="43" t="n"/>
      <c r="J411" s="43" t="n"/>
      <c r="K411" s="43" t="n"/>
      <c r="L411" s="43" t="n"/>
      <c r="M411" s="43" t="n"/>
    </row>
    <row r="412">
      <c r="A412" s="43" t="n"/>
      <c r="B412" s="43" t="n"/>
      <c r="C412" s="43" t="n"/>
      <c r="D412" s="43" t="n"/>
      <c r="E412" s="43" t="n"/>
      <c r="F412" s="43" t="n"/>
      <c r="G412" s="43" t="n"/>
      <c r="H412" s="43" t="n"/>
      <c r="I412" s="43" t="n"/>
      <c r="J412" s="43" t="n"/>
      <c r="K412" s="43" t="n"/>
      <c r="L412" s="43" t="n"/>
      <c r="M412" s="43" t="n"/>
    </row>
    <row r="413">
      <c r="A413" s="43" t="n"/>
      <c r="B413" s="43" t="n"/>
      <c r="C413" s="43" t="n"/>
      <c r="D413" s="43" t="n"/>
      <c r="E413" s="43" t="n"/>
      <c r="F413" s="43" t="n"/>
      <c r="G413" s="43" t="n"/>
      <c r="H413" s="43" t="n"/>
      <c r="I413" s="43" t="n"/>
      <c r="J413" s="43" t="n"/>
      <c r="K413" s="43" t="n"/>
      <c r="L413" s="43" t="n"/>
      <c r="M413" s="43" t="n"/>
    </row>
    <row r="414">
      <c r="A414" s="43" t="n"/>
      <c r="B414" s="43" t="n"/>
      <c r="C414" s="43" t="n"/>
      <c r="D414" s="43" t="n"/>
      <c r="E414" s="43" t="n"/>
      <c r="F414" s="43" t="n"/>
      <c r="G414" s="43" t="n"/>
      <c r="H414" s="43" t="n"/>
      <c r="I414" s="43" t="n"/>
      <c r="J414" s="43" t="n"/>
      <c r="K414" s="43" t="n"/>
      <c r="L414" s="43" t="n"/>
      <c r="M414" s="43" t="n"/>
    </row>
    <row r="415">
      <c r="A415" s="43" t="n"/>
      <c r="B415" s="43" t="n"/>
      <c r="C415" s="43" t="n"/>
      <c r="D415" s="43" t="n"/>
      <c r="E415" s="43" t="n"/>
      <c r="F415" s="43" t="n"/>
      <c r="G415" s="43" t="n"/>
      <c r="H415" s="43" t="n"/>
      <c r="I415" s="43" t="n"/>
      <c r="J415" s="43" t="n"/>
      <c r="K415" s="43" t="n"/>
      <c r="L415" s="43" t="n"/>
      <c r="M415" s="43" t="n"/>
    </row>
    <row r="416">
      <c r="A416" s="43" t="n"/>
      <c r="B416" s="43" t="n"/>
      <c r="C416" s="43" t="n"/>
      <c r="D416" s="43" t="n"/>
      <c r="E416" s="43" t="n"/>
      <c r="F416" s="43" t="n"/>
      <c r="G416" s="43" t="n"/>
      <c r="H416" s="43" t="n"/>
      <c r="I416" s="43" t="n"/>
      <c r="J416" s="43" t="n"/>
      <c r="K416" s="43" t="n"/>
      <c r="L416" s="43" t="n"/>
      <c r="M416" s="43" t="n"/>
    </row>
    <row r="417">
      <c r="A417" s="43" t="n"/>
      <c r="B417" s="43" t="n"/>
      <c r="C417" s="43" t="n"/>
      <c r="D417" s="43" t="n"/>
      <c r="E417" s="43" t="n"/>
      <c r="F417" s="43" t="n"/>
      <c r="G417" s="43" t="n"/>
      <c r="H417" s="43" t="n"/>
      <c r="I417" s="43" t="n"/>
      <c r="J417" s="43" t="n"/>
      <c r="K417" s="43" t="n"/>
      <c r="L417" s="43" t="n"/>
      <c r="M417" s="43" t="n"/>
    </row>
    <row r="418">
      <c r="A418" s="43" t="n"/>
      <c r="B418" s="43" t="n"/>
      <c r="C418" s="43" t="n"/>
      <c r="D418" s="43" t="n"/>
      <c r="E418" s="43" t="n"/>
      <c r="F418" s="43" t="n"/>
      <c r="G418" s="43" t="n"/>
      <c r="H418" s="43" t="n"/>
      <c r="I418" s="43" t="n"/>
      <c r="J418" s="43" t="n"/>
      <c r="K418" s="43" t="n"/>
      <c r="L418" s="43" t="n"/>
      <c r="M418" s="43" t="n"/>
    </row>
    <row r="419">
      <c r="A419" s="43" t="n"/>
      <c r="B419" s="43" t="n"/>
      <c r="C419" s="43" t="n"/>
      <c r="D419" s="43" t="n"/>
      <c r="E419" s="43" t="n"/>
      <c r="F419" s="43" t="n"/>
      <c r="G419" s="43" t="n"/>
      <c r="H419" s="43" t="n"/>
      <c r="I419" s="43" t="n"/>
      <c r="J419" s="43" t="n"/>
      <c r="K419" s="43" t="n"/>
      <c r="L419" s="43" t="n"/>
      <c r="M419" s="43" t="n"/>
    </row>
    <row r="420">
      <c r="A420" s="43" t="n"/>
      <c r="B420" s="43" t="n"/>
      <c r="C420" s="43" t="n"/>
      <c r="D420" s="43" t="n"/>
      <c r="E420" s="43" t="n"/>
      <c r="F420" s="43" t="n"/>
      <c r="G420" s="43" t="n"/>
      <c r="H420" s="43" t="n"/>
      <c r="I420" s="43" t="n"/>
      <c r="J420" s="43" t="n"/>
      <c r="K420" s="43" t="n"/>
      <c r="L420" s="43" t="n"/>
      <c r="M420" s="43" t="n"/>
    </row>
    <row r="421">
      <c r="A421" s="43" t="n"/>
      <c r="B421" s="43" t="n"/>
      <c r="C421" s="43" t="n"/>
      <c r="D421" s="43" t="n"/>
      <c r="E421" s="43" t="n"/>
      <c r="F421" s="43" t="n"/>
      <c r="G421" s="43" t="n"/>
      <c r="H421" s="43" t="n"/>
      <c r="I421" s="43" t="n"/>
      <c r="J421" s="43" t="n"/>
      <c r="K421" s="43" t="n"/>
      <c r="L421" s="43" t="n"/>
      <c r="M421" s="43" t="n"/>
    </row>
    <row r="422">
      <c r="A422" s="43" t="n"/>
      <c r="B422" s="43" t="n"/>
      <c r="C422" s="43" t="n"/>
      <c r="D422" s="43" t="n"/>
      <c r="E422" s="43" t="n"/>
      <c r="F422" s="43" t="n"/>
      <c r="G422" s="43" t="n"/>
      <c r="H422" s="43" t="n"/>
      <c r="I422" s="43" t="n"/>
      <c r="J422" s="43" t="n"/>
      <c r="K422" s="43" t="n"/>
      <c r="L422" s="43" t="n"/>
      <c r="M422" s="43" t="n"/>
    </row>
    <row r="423">
      <c r="A423" s="43" t="n"/>
      <c r="B423" s="43" t="n"/>
      <c r="C423" s="43" t="n"/>
      <c r="D423" s="43" t="n"/>
      <c r="E423" s="43" t="n"/>
      <c r="F423" s="43" t="n"/>
      <c r="G423" s="43" t="n"/>
      <c r="H423" s="43" t="n"/>
      <c r="I423" s="43" t="n"/>
      <c r="J423" s="43" t="n"/>
      <c r="K423" s="43" t="n"/>
      <c r="L423" s="43" t="n"/>
      <c r="M423" s="43" t="n"/>
    </row>
    <row r="424">
      <c r="A424" s="43" t="n"/>
      <c r="B424" s="43" t="n"/>
      <c r="C424" s="43" t="n"/>
      <c r="D424" s="43" t="n"/>
      <c r="E424" s="43" t="n"/>
      <c r="F424" s="43" t="n"/>
      <c r="G424" s="43" t="n"/>
      <c r="H424" s="43" t="n"/>
      <c r="I424" s="43" t="n"/>
      <c r="J424" s="43" t="n"/>
      <c r="K424" s="43" t="n"/>
      <c r="L424" s="43" t="n"/>
      <c r="M424" s="43" t="n"/>
    </row>
    <row r="425">
      <c r="A425" s="43" t="n"/>
      <c r="B425" s="43" t="n"/>
      <c r="C425" s="43" t="n"/>
      <c r="D425" s="43" t="n"/>
      <c r="E425" s="43" t="n"/>
      <c r="F425" s="43" t="n"/>
      <c r="G425" s="43" t="n"/>
      <c r="H425" s="43" t="n"/>
      <c r="I425" s="43" t="n"/>
      <c r="J425" s="43" t="n"/>
      <c r="K425" s="43" t="n"/>
      <c r="L425" s="43" t="n"/>
      <c r="M425" s="43" t="n"/>
    </row>
    <row r="426">
      <c r="A426" s="43" t="n"/>
      <c r="B426" s="43" t="n"/>
      <c r="C426" s="43" t="n"/>
      <c r="D426" s="43" t="n"/>
      <c r="E426" s="43" t="n"/>
      <c r="F426" s="43" t="n"/>
      <c r="G426" s="43" t="n"/>
      <c r="H426" s="43" t="n"/>
      <c r="I426" s="43" t="n"/>
      <c r="J426" s="43" t="n"/>
      <c r="K426" s="43" t="n"/>
      <c r="L426" s="43" t="n"/>
      <c r="M426" s="43" t="n"/>
    </row>
    <row r="427">
      <c r="A427" s="43" t="n"/>
      <c r="B427" s="43" t="n"/>
      <c r="C427" s="43" t="n"/>
      <c r="D427" s="43" t="n"/>
      <c r="E427" s="43" t="n"/>
      <c r="F427" s="43" t="n"/>
      <c r="G427" s="43" t="n"/>
      <c r="H427" s="43" t="n"/>
      <c r="I427" s="43" t="n"/>
      <c r="J427" s="43" t="n"/>
      <c r="K427" s="43" t="n"/>
      <c r="L427" s="43" t="n"/>
      <c r="M427" s="43" t="n"/>
    </row>
    <row r="428">
      <c r="A428" s="43" t="n"/>
      <c r="B428" s="43" t="n"/>
      <c r="C428" s="43" t="n"/>
      <c r="D428" s="43" t="n"/>
      <c r="E428" s="43" t="n"/>
      <c r="F428" s="43" t="n"/>
      <c r="G428" s="43" t="n"/>
      <c r="H428" s="43" t="n"/>
      <c r="I428" s="43" t="n"/>
      <c r="J428" s="43" t="n"/>
      <c r="K428" s="43" t="n"/>
      <c r="L428" s="43" t="n"/>
      <c r="M428" s="43" t="n"/>
    </row>
    <row r="429">
      <c r="A429" s="43" t="n"/>
      <c r="B429" s="43" t="n"/>
      <c r="C429" s="43" t="n"/>
      <c r="D429" s="43" t="n"/>
      <c r="E429" s="43" t="n"/>
      <c r="F429" s="43" t="n"/>
      <c r="G429" s="43" t="n"/>
      <c r="H429" s="43" t="n"/>
      <c r="I429" s="43" t="n"/>
      <c r="J429" s="43" t="n"/>
      <c r="K429" s="43" t="n"/>
      <c r="L429" s="43" t="n"/>
      <c r="M429" s="43" t="n"/>
    </row>
    <row r="430">
      <c r="A430" s="43" t="n"/>
      <c r="B430" s="43" t="n"/>
      <c r="C430" s="43" t="n"/>
      <c r="D430" s="43" t="n"/>
      <c r="E430" s="43" t="n"/>
      <c r="F430" s="43" t="n"/>
      <c r="G430" s="43" t="n"/>
      <c r="H430" s="43" t="n"/>
      <c r="I430" s="43" t="n"/>
      <c r="J430" s="43" t="n"/>
      <c r="K430" s="43" t="n"/>
      <c r="L430" s="43" t="n"/>
      <c r="M430" s="43" t="n"/>
    </row>
    <row r="431">
      <c r="A431" s="43" t="n"/>
      <c r="B431" s="43" t="n"/>
      <c r="C431" s="43" t="n"/>
      <c r="D431" s="43" t="n"/>
      <c r="E431" s="43" t="n"/>
      <c r="F431" s="43" t="n"/>
      <c r="G431" s="43" t="n"/>
      <c r="H431" s="43" t="n"/>
      <c r="I431" s="43" t="n"/>
      <c r="J431" s="43" t="n"/>
      <c r="K431" s="43" t="n"/>
      <c r="L431" s="43" t="n"/>
      <c r="M431" s="43" t="n"/>
    </row>
    <row r="432">
      <c r="A432" s="43" t="n"/>
      <c r="B432" s="43" t="n"/>
      <c r="C432" s="43" t="n"/>
      <c r="D432" s="43" t="n"/>
      <c r="E432" s="43" t="n"/>
      <c r="F432" s="43" t="n"/>
      <c r="G432" s="43" t="n"/>
      <c r="H432" s="43" t="n"/>
      <c r="I432" s="43" t="n"/>
      <c r="J432" s="43" t="n"/>
      <c r="K432" s="43" t="n"/>
      <c r="L432" s="43" t="n"/>
      <c r="M432" s="43" t="n"/>
    </row>
    <row r="433">
      <c r="A433" s="43" t="n"/>
      <c r="B433" s="43" t="n"/>
      <c r="C433" s="43" t="n"/>
      <c r="D433" s="43" t="n"/>
      <c r="E433" s="43" t="n"/>
      <c r="F433" s="43" t="n"/>
      <c r="G433" s="43" t="n"/>
      <c r="H433" s="43" t="n"/>
      <c r="I433" s="43" t="n"/>
      <c r="J433" s="43" t="n"/>
      <c r="K433" s="43" t="n"/>
      <c r="L433" s="43" t="n"/>
      <c r="M433" s="43" t="n"/>
    </row>
    <row r="434">
      <c r="A434" s="43" t="n"/>
      <c r="B434" s="43" t="n"/>
      <c r="C434" s="43" t="n"/>
      <c r="D434" s="43" t="n"/>
      <c r="E434" s="43" t="n"/>
      <c r="F434" s="43" t="n"/>
      <c r="G434" s="43" t="n"/>
      <c r="H434" s="43" t="n"/>
      <c r="I434" s="43" t="n"/>
      <c r="J434" s="43" t="n"/>
      <c r="K434" s="43" t="n"/>
      <c r="L434" s="43" t="n"/>
      <c r="M434" s="43" t="n"/>
    </row>
    <row r="435">
      <c r="A435" s="43" t="n"/>
      <c r="B435" s="43" t="n"/>
      <c r="C435" s="43" t="n"/>
      <c r="D435" s="43" t="n"/>
      <c r="E435" s="43" t="n"/>
      <c r="F435" s="43" t="n"/>
      <c r="G435" s="43" t="n"/>
      <c r="H435" s="43" t="n"/>
      <c r="I435" s="43" t="n"/>
      <c r="J435" s="43" t="n"/>
      <c r="K435" s="43" t="n"/>
      <c r="L435" s="43" t="n"/>
      <c r="M435" s="43" t="n"/>
    </row>
    <row r="436">
      <c r="A436" s="43" t="n"/>
      <c r="B436" s="43" t="n"/>
      <c r="C436" s="43" t="n"/>
      <c r="D436" s="43" t="n"/>
      <c r="E436" s="43" t="n"/>
      <c r="F436" s="43" t="n"/>
      <c r="G436" s="43" t="n"/>
      <c r="H436" s="43" t="n"/>
      <c r="I436" s="43" t="n"/>
      <c r="J436" s="43" t="n"/>
      <c r="K436" s="43" t="n"/>
      <c r="L436" s="43" t="n"/>
      <c r="M436" s="43" t="n"/>
    </row>
    <row r="437">
      <c r="A437" s="43" t="n"/>
      <c r="B437" s="43" t="n"/>
      <c r="C437" s="43" t="n"/>
      <c r="D437" s="43" t="n"/>
      <c r="E437" s="43" t="n"/>
      <c r="F437" s="43" t="n"/>
      <c r="G437" s="43" t="n"/>
      <c r="H437" s="43" t="n"/>
      <c r="I437" s="43" t="n"/>
      <c r="J437" s="43" t="n"/>
      <c r="K437" s="43" t="n"/>
      <c r="L437" s="43" t="n"/>
      <c r="M437" s="43" t="n"/>
    </row>
    <row r="438">
      <c r="A438" s="43" t="n"/>
      <c r="B438" s="43" t="n"/>
      <c r="C438" s="43" t="n"/>
      <c r="D438" s="43" t="n"/>
      <c r="E438" s="43" t="n"/>
      <c r="F438" s="43" t="n"/>
      <c r="G438" s="43" t="n"/>
      <c r="H438" s="43" t="n"/>
      <c r="I438" s="43" t="n"/>
      <c r="J438" s="43" t="n"/>
      <c r="K438" s="43" t="n"/>
      <c r="L438" s="43" t="n"/>
      <c r="M438" s="43" t="n"/>
    </row>
    <row r="439">
      <c r="A439" s="43" t="n"/>
      <c r="B439" s="43" t="n"/>
      <c r="C439" s="43" t="n"/>
      <c r="D439" s="43" t="n"/>
      <c r="E439" s="43" t="n"/>
      <c r="F439" s="43" t="n"/>
      <c r="G439" s="43" t="n"/>
      <c r="H439" s="43" t="n"/>
      <c r="I439" s="43" t="n"/>
      <c r="J439" s="43" t="n"/>
      <c r="K439" s="43" t="n"/>
      <c r="L439" s="43" t="n"/>
      <c r="M439" s="43" t="n"/>
    </row>
    <row r="440">
      <c r="A440" s="43" t="n"/>
      <c r="B440" s="43" t="n"/>
      <c r="C440" s="43" t="n"/>
      <c r="D440" s="43" t="n"/>
      <c r="E440" s="43" t="n"/>
      <c r="F440" s="43" t="n"/>
      <c r="G440" s="43" t="n"/>
      <c r="H440" s="43" t="n"/>
      <c r="I440" s="43" t="n"/>
      <c r="J440" s="43" t="n"/>
      <c r="K440" s="43" t="n"/>
      <c r="L440" s="43" t="n"/>
      <c r="M440" s="43" t="n"/>
    </row>
    <row r="441">
      <c r="A441" s="43" t="n"/>
      <c r="B441" s="43" t="n"/>
      <c r="C441" s="43" t="n"/>
      <c r="D441" s="43" t="n"/>
      <c r="E441" s="43" t="n"/>
      <c r="F441" s="43" t="n"/>
      <c r="G441" s="43" t="n"/>
      <c r="H441" s="43" t="n"/>
      <c r="I441" s="43" t="n"/>
      <c r="J441" s="43" t="n"/>
      <c r="K441" s="43" t="n"/>
      <c r="L441" s="43" t="n"/>
      <c r="M441" s="43" t="n"/>
    </row>
    <row r="442">
      <c r="A442" s="43" t="n"/>
      <c r="B442" s="43" t="n"/>
      <c r="C442" s="43" t="n"/>
      <c r="D442" s="43" t="n"/>
      <c r="E442" s="43" t="n"/>
      <c r="F442" s="43" t="n"/>
      <c r="G442" s="43" t="n"/>
      <c r="H442" s="43" t="n"/>
      <c r="I442" s="43" t="n"/>
      <c r="J442" s="43" t="n"/>
      <c r="K442" s="43" t="n"/>
      <c r="L442" s="43" t="n"/>
      <c r="M442" s="43" t="n"/>
    </row>
    <row r="443">
      <c r="A443" s="43" t="n"/>
      <c r="B443" s="43" t="n"/>
      <c r="C443" s="43" t="n"/>
      <c r="D443" s="43" t="n"/>
      <c r="E443" s="43" t="n"/>
      <c r="F443" s="43" t="n"/>
      <c r="G443" s="43" t="n"/>
      <c r="H443" s="43" t="n"/>
      <c r="I443" s="43" t="n"/>
      <c r="J443" s="43" t="n"/>
      <c r="K443" s="43" t="n"/>
      <c r="L443" s="43" t="n"/>
      <c r="M443" s="43" t="n"/>
    </row>
    <row r="444">
      <c r="A444" s="43" t="n"/>
      <c r="B444" s="43" t="n"/>
      <c r="C444" s="43" t="n"/>
      <c r="D444" s="43" t="n"/>
      <c r="E444" s="43" t="n"/>
      <c r="F444" s="43" t="n"/>
      <c r="G444" s="43" t="n"/>
      <c r="H444" s="43" t="n"/>
      <c r="I444" s="43" t="n"/>
      <c r="J444" s="43" t="n"/>
      <c r="K444" s="43" t="n"/>
      <c r="L444" s="43" t="n"/>
      <c r="M444" s="43" t="n"/>
    </row>
    <row r="445">
      <c r="A445" s="43" t="n"/>
      <c r="B445" s="43" t="n"/>
      <c r="C445" s="43" t="n"/>
      <c r="D445" s="43" t="n"/>
      <c r="E445" s="43" t="n"/>
      <c r="F445" s="43" t="n"/>
      <c r="G445" s="43" t="n"/>
      <c r="H445" s="43" t="n"/>
      <c r="I445" s="43" t="n"/>
      <c r="J445" s="43" t="n"/>
      <c r="K445" s="43" t="n"/>
      <c r="L445" s="43" t="n"/>
      <c r="M445" s="43" t="n"/>
    </row>
    <row r="446">
      <c r="A446" s="43" t="n"/>
      <c r="B446" s="43" t="n"/>
      <c r="C446" s="43" t="n"/>
      <c r="D446" s="43" t="n"/>
      <c r="E446" s="43" t="n"/>
      <c r="F446" s="43" t="n"/>
      <c r="G446" s="43" t="n"/>
      <c r="H446" s="43" t="n"/>
      <c r="I446" s="43" t="n"/>
      <c r="J446" s="43" t="n"/>
      <c r="K446" s="43" t="n"/>
      <c r="L446" s="43" t="n"/>
      <c r="M446" s="43" t="n"/>
    </row>
    <row r="447">
      <c r="A447" s="43" t="n"/>
      <c r="B447" s="43" t="n"/>
      <c r="C447" s="43" t="n"/>
      <c r="D447" s="43" t="n"/>
      <c r="E447" s="43" t="n"/>
      <c r="F447" s="43" t="n"/>
      <c r="G447" s="43" t="n"/>
      <c r="H447" s="43" t="n"/>
      <c r="I447" s="43" t="n"/>
      <c r="J447" s="43" t="n"/>
      <c r="K447" s="43" t="n"/>
      <c r="L447" s="43" t="n"/>
      <c r="M447" s="43" t="n"/>
    </row>
    <row r="448">
      <c r="A448" s="43" t="n"/>
      <c r="B448" s="43" t="n"/>
      <c r="C448" s="43" t="n"/>
      <c r="D448" s="43" t="n"/>
      <c r="E448" s="43" t="n"/>
      <c r="F448" s="43" t="n"/>
      <c r="G448" s="43" t="n"/>
      <c r="H448" s="43" t="n"/>
      <c r="I448" s="43" t="n"/>
      <c r="J448" s="43" t="n"/>
      <c r="K448" s="43" t="n"/>
      <c r="L448" s="43" t="n"/>
      <c r="M448" s="43" t="n"/>
    </row>
    <row r="449">
      <c r="A449" s="43" t="n"/>
      <c r="B449" s="43" t="n"/>
      <c r="C449" s="43" t="n"/>
      <c r="D449" s="43" t="n"/>
      <c r="E449" s="43" t="n"/>
      <c r="F449" s="43" t="n"/>
      <c r="G449" s="43" t="n"/>
      <c r="H449" s="43" t="n"/>
      <c r="I449" s="43" t="n"/>
      <c r="J449" s="43" t="n"/>
      <c r="K449" s="43" t="n"/>
      <c r="L449" s="43" t="n"/>
      <c r="M449" s="43" t="n"/>
    </row>
    <row r="450">
      <c r="A450" s="43" t="n"/>
      <c r="B450" s="43" t="n"/>
      <c r="C450" s="43" t="n"/>
      <c r="D450" s="43" t="n"/>
      <c r="E450" s="43" t="n"/>
      <c r="F450" s="43" t="n"/>
      <c r="G450" s="43" t="n"/>
      <c r="H450" s="43" t="n"/>
      <c r="I450" s="43" t="n"/>
      <c r="J450" s="43" t="n"/>
      <c r="K450" s="43" t="n"/>
      <c r="L450" s="43" t="n"/>
      <c r="M450" s="43" t="n"/>
    </row>
    <row r="451">
      <c r="A451" s="43" t="n"/>
      <c r="B451" s="43" t="n"/>
      <c r="C451" s="43" t="n"/>
      <c r="D451" s="43" t="n"/>
      <c r="E451" s="43" t="n"/>
      <c r="F451" s="43" t="n"/>
      <c r="G451" s="43" t="n"/>
      <c r="H451" s="43" t="n"/>
      <c r="I451" s="43" t="n"/>
      <c r="J451" s="43" t="n"/>
      <c r="K451" s="43" t="n"/>
      <c r="L451" s="43" t="n"/>
      <c r="M451" s="43" t="n"/>
    </row>
    <row r="452">
      <c r="A452" s="43" t="n"/>
      <c r="B452" s="43" t="n"/>
      <c r="C452" s="43" t="n"/>
      <c r="D452" s="43" t="n"/>
      <c r="E452" s="43" t="n"/>
      <c r="F452" s="43" t="n"/>
      <c r="G452" s="43" t="n"/>
      <c r="H452" s="43" t="n"/>
      <c r="I452" s="43" t="n"/>
      <c r="J452" s="43" t="n"/>
      <c r="K452" s="43" t="n"/>
      <c r="L452" s="43" t="n"/>
      <c r="M452" s="43" t="n"/>
    </row>
    <row r="453">
      <c r="A453" s="43" t="n"/>
      <c r="B453" s="43" t="n"/>
      <c r="C453" s="43" t="n"/>
      <c r="D453" s="43" t="n"/>
      <c r="E453" s="43" t="n"/>
      <c r="F453" s="43" t="n"/>
      <c r="G453" s="43" t="n"/>
      <c r="H453" s="43" t="n"/>
      <c r="I453" s="43" t="n"/>
      <c r="J453" s="43" t="n"/>
      <c r="K453" s="43" t="n"/>
      <c r="L453" s="43" t="n"/>
      <c r="M453" s="43" t="n"/>
    </row>
    <row r="454">
      <c r="A454" s="43" t="n"/>
      <c r="B454" s="43" t="n"/>
      <c r="C454" s="43" t="n"/>
      <c r="D454" s="43" t="n"/>
      <c r="E454" s="43" t="n"/>
      <c r="F454" s="43" t="n"/>
      <c r="G454" s="43" t="n"/>
      <c r="H454" s="43" t="n"/>
      <c r="I454" s="43" t="n"/>
      <c r="J454" s="43" t="n"/>
      <c r="K454" s="43" t="n"/>
      <c r="L454" s="43" t="n"/>
      <c r="M454" s="43" t="n"/>
    </row>
    <row r="455">
      <c r="A455" s="43" t="n"/>
      <c r="B455" s="43" t="n"/>
      <c r="C455" s="43" t="n"/>
      <c r="D455" s="43" t="n"/>
      <c r="E455" s="43" t="n"/>
      <c r="F455" s="43" t="n"/>
      <c r="G455" s="43" t="n"/>
      <c r="H455" s="43" t="n"/>
      <c r="I455" s="43" t="n"/>
      <c r="J455" s="43" t="n"/>
      <c r="K455" s="43" t="n"/>
      <c r="L455" s="43" t="n"/>
      <c r="M455" s="43" t="n"/>
    </row>
    <row r="456">
      <c r="A456" s="43" t="n"/>
      <c r="B456" s="43" t="n"/>
      <c r="C456" s="43" t="n"/>
      <c r="D456" s="43" t="n"/>
      <c r="E456" s="43" t="n"/>
      <c r="F456" s="43" t="n"/>
      <c r="G456" s="43" t="n"/>
      <c r="H456" s="43" t="n"/>
      <c r="I456" s="43" t="n"/>
      <c r="J456" s="43" t="n"/>
      <c r="K456" s="43" t="n"/>
      <c r="L456" s="43" t="n"/>
      <c r="M456" s="43" t="n"/>
    </row>
    <row r="457">
      <c r="A457" s="43" t="n"/>
      <c r="B457" s="43" t="n"/>
      <c r="C457" s="43" t="n"/>
      <c r="D457" s="43" t="n"/>
      <c r="E457" s="43" t="n"/>
      <c r="F457" s="43" t="n"/>
      <c r="G457" s="43" t="n"/>
      <c r="H457" s="43" t="n"/>
      <c r="I457" s="43" t="n"/>
      <c r="J457" s="43" t="n"/>
      <c r="K457" s="43" t="n"/>
      <c r="L457" s="43" t="n"/>
      <c r="M457" s="43" t="n"/>
    </row>
    <row r="458">
      <c r="A458" s="43" t="n"/>
      <c r="B458" s="43" t="n"/>
      <c r="C458" s="43" t="n"/>
      <c r="D458" s="43" t="n"/>
      <c r="E458" s="43" t="n"/>
      <c r="F458" s="43" t="n"/>
      <c r="G458" s="43" t="n"/>
      <c r="H458" s="43" t="n"/>
      <c r="I458" s="43" t="n"/>
      <c r="J458" s="43" t="n"/>
      <c r="K458" s="43" t="n"/>
      <c r="L458" s="43" t="n"/>
      <c r="M458" s="43" t="n"/>
    </row>
    <row r="459">
      <c r="A459" s="43" t="n"/>
      <c r="B459" s="43" t="n"/>
      <c r="C459" s="43" t="n"/>
      <c r="D459" s="43" t="n"/>
      <c r="E459" s="43" t="n"/>
      <c r="F459" s="43" t="n"/>
      <c r="G459" s="43" t="n"/>
      <c r="H459" s="43" t="n"/>
      <c r="I459" s="43" t="n"/>
      <c r="J459" s="43" t="n"/>
      <c r="K459" s="43" t="n"/>
      <c r="L459" s="43" t="n"/>
      <c r="M459" s="43" t="n"/>
    </row>
    <row r="460">
      <c r="A460" s="43" t="n"/>
      <c r="B460" s="43" t="n"/>
      <c r="C460" s="43" t="n"/>
      <c r="D460" s="43" t="n"/>
      <c r="E460" s="43" t="n"/>
      <c r="F460" s="43" t="n"/>
      <c r="G460" s="43" t="n"/>
      <c r="H460" s="43" t="n"/>
      <c r="I460" s="43" t="n"/>
      <c r="J460" s="43" t="n"/>
      <c r="K460" s="43" t="n"/>
      <c r="L460" s="43" t="n"/>
      <c r="M460" s="43" t="n"/>
    </row>
    <row r="461">
      <c r="A461" s="43" t="n"/>
      <c r="B461" s="43" t="n"/>
      <c r="C461" s="43" t="n"/>
      <c r="D461" s="43" t="n"/>
      <c r="E461" s="43" t="n"/>
      <c r="F461" s="43" t="n"/>
      <c r="G461" s="43" t="n"/>
      <c r="H461" s="43" t="n"/>
      <c r="I461" s="43" t="n"/>
      <c r="J461" s="43" t="n"/>
      <c r="K461" s="43" t="n"/>
      <c r="L461" s="43" t="n"/>
      <c r="M461" s="43" t="n"/>
    </row>
    <row r="462">
      <c r="A462" s="43" t="n"/>
      <c r="B462" s="43" t="n"/>
      <c r="C462" s="43" t="n"/>
      <c r="D462" s="43" t="n"/>
      <c r="E462" s="43" t="n"/>
      <c r="F462" s="43" t="n"/>
      <c r="G462" s="43" t="n"/>
      <c r="H462" s="43" t="n"/>
      <c r="I462" s="43" t="n"/>
      <c r="J462" s="43" t="n"/>
      <c r="K462" s="43" t="n"/>
      <c r="L462" s="43" t="n"/>
      <c r="M462" s="43" t="n"/>
    </row>
    <row r="463">
      <c r="A463" s="43" t="n"/>
      <c r="B463" s="43" t="n"/>
      <c r="C463" s="43" t="n"/>
      <c r="D463" s="43" t="n"/>
      <c r="E463" s="43" t="n"/>
      <c r="F463" s="43" t="n"/>
      <c r="G463" s="43" t="n"/>
      <c r="H463" s="43" t="n"/>
      <c r="I463" s="43" t="n"/>
      <c r="J463" s="43" t="n"/>
      <c r="K463" s="43" t="n"/>
      <c r="L463" s="43" t="n"/>
      <c r="M463" s="43" t="n"/>
    </row>
    <row r="464">
      <c r="A464" s="43" t="n"/>
      <c r="B464" s="43" t="n"/>
      <c r="C464" s="43" t="n"/>
      <c r="D464" s="43" t="n"/>
      <c r="E464" s="43" t="n"/>
      <c r="F464" s="43" t="n"/>
      <c r="G464" s="43" t="n"/>
      <c r="H464" s="43" t="n"/>
      <c r="I464" s="43" t="n"/>
      <c r="J464" s="43" t="n"/>
      <c r="K464" s="43" t="n"/>
      <c r="L464" s="43" t="n"/>
      <c r="M464" s="43" t="n"/>
    </row>
    <row r="465">
      <c r="A465" s="43" t="n"/>
      <c r="B465" s="43" t="n"/>
      <c r="C465" s="43" t="n"/>
      <c r="D465" s="43" t="n"/>
      <c r="E465" s="43" t="n"/>
      <c r="F465" s="43" t="n"/>
      <c r="G465" s="43" t="n"/>
      <c r="H465" s="43" t="n"/>
      <c r="I465" s="43" t="n"/>
      <c r="J465" s="43" t="n"/>
      <c r="K465" s="43" t="n"/>
      <c r="L465" s="43" t="n"/>
      <c r="M465" s="43" t="n"/>
    </row>
    <row r="466">
      <c r="A466" s="43" t="n"/>
      <c r="B466" s="43" t="n"/>
      <c r="C466" s="43" t="n"/>
      <c r="D466" s="43" t="n"/>
      <c r="E466" s="43" t="n"/>
      <c r="F466" s="43" t="n"/>
      <c r="G466" s="43" t="n"/>
      <c r="H466" s="43" t="n"/>
      <c r="I466" s="43" t="n"/>
      <c r="J466" s="43" t="n"/>
      <c r="K466" s="43" t="n"/>
      <c r="L466" s="43" t="n"/>
      <c r="M466" s="43" t="n"/>
    </row>
    <row r="467">
      <c r="A467" s="43" t="n"/>
      <c r="B467" s="43" t="n"/>
      <c r="C467" s="43" t="n"/>
      <c r="D467" s="43" t="n"/>
      <c r="E467" s="43" t="n"/>
      <c r="F467" s="43" t="n"/>
      <c r="G467" s="43" t="n"/>
      <c r="H467" s="43" t="n"/>
      <c r="I467" s="43" t="n"/>
      <c r="J467" s="43" t="n"/>
      <c r="K467" s="43" t="n"/>
      <c r="L467" s="43" t="n"/>
      <c r="M467" s="43" t="n"/>
    </row>
    <row r="468">
      <c r="A468" s="43" t="n"/>
      <c r="B468" s="43" t="n"/>
      <c r="C468" s="43" t="n"/>
      <c r="D468" s="43" t="n"/>
      <c r="E468" s="43" t="n"/>
      <c r="F468" s="43" t="n"/>
      <c r="G468" s="43" t="n"/>
      <c r="H468" s="43" t="n"/>
      <c r="I468" s="43" t="n"/>
      <c r="J468" s="43" t="n"/>
      <c r="K468" s="43" t="n"/>
      <c r="L468" s="43" t="n"/>
      <c r="M468" s="43" t="n"/>
    </row>
    <row r="469">
      <c r="A469" s="43" t="n"/>
      <c r="B469" s="43" t="n"/>
      <c r="C469" s="43" t="n"/>
      <c r="D469" s="43" t="n"/>
      <c r="E469" s="43" t="n"/>
      <c r="F469" s="43" t="n"/>
      <c r="G469" s="43" t="n"/>
      <c r="H469" s="43" t="n"/>
      <c r="I469" s="43" t="n"/>
      <c r="J469" s="43" t="n"/>
      <c r="K469" s="43" t="n"/>
      <c r="L469" s="43" t="n"/>
      <c r="M469" s="43" t="n"/>
    </row>
    <row r="470">
      <c r="A470" s="43" t="n"/>
      <c r="B470" s="43" t="n"/>
      <c r="C470" s="43" t="n"/>
      <c r="D470" s="43" t="n"/>
      <c r="E470" s="43" t="n"/>
      <c r="F470" s="43" t="n"/>
      <c r="G470" s="43" t="n"/>
      <c r="H470" s="43" t="n"/>
      <c r="I470" s="43" t="n"/>
      <c r="J470" s="43" t="n"/>
      <c r="K470" s="43" t="n"/>
      <c r="L470" s="43" t="n"/>
      <c r="M470" s="43" t="n"/>
    </row>
    <row r="471">
      <c r="A471" s="43" t="n"/>
      <c r="B471" s="43" t="n"/>
      <c r="C471" s="43" t="n"/>
      <c r="D471" s="43" t="n"/>
      <c r="E471" s="43" t="n"/>
      <c r="F471" s="43" t="n"/>
      <c r="G471" s="43" t="n"/>
      <c r="H471" s="43" t="n"/>
      <c r="I471" s="43" t="n"/>
      <c r="J471" s="43" t="n"/>
      <c r="K471" s="43" t="n"/>
      <c r="L471" s="43" t="n"/>
      <c r="M471" s="43" t="n"/>
    </row>
    <row r="472">
      <c r="A472" s="43" t="n"/>
      <c r="B472" s="43" t="n"/>
      <c r="C472" s="43" t="n"/>
      <c r="D472" s="43" t="n"/>
      <c r="E472" s="43" t="n"/>
      <c r="F472" s="43" t="n"/>
      <c r="G472" s="43" t="n"/>
      <c r="H472" s="43" t="n"/>
      <c r="I472" s="43" t="n"/>
      <c r="J472" s="43" t="n"/>
      <c r="K472" s="43" t="n"/>
      <c r="L472" s="43" t="n"/>
      <c r="M472" s="43" t="n"/>
    </row>
    <row r="473">
      <c r="A473" s="43" t="n"/>
      <c r="B473" s="43" t="n"/>
      <c r="C473" s="43" t="n"/>
      <c r="D473" s="43" t="n"/>
      <c r="E473" s="43" t="n"/>
      <c r="F473" s="43" t="n"/>
      <c r="G473" s="43" t="n"/>
      <c r="H473" s="43" t="n"/>
      <c r="I473" s="43" t="n"/>
      <c r="J473" s="43" t="n"/>
      <c r="K473" s="43" t="n"/>
      <c r="L473" s="43" t="n"/>
      <c r="M473" s="43" t="n"/>
    </row>
    <row r="474">
      <c r="A474" s="43" t="n"/>
      <c r="B474" s="43" t="n"/>
      <c r="C474" s="43" t="n"/>
      <c r="D474" s="43" t="n"/>
      <c r="E474" s="43" t="n"/>
      <c r="F474" s="43" t="n"/>
      <c r="G474" s="43" t="n"/>
      <c r="H474" s="43" t="n"/>
      <c r="I474" s="43" t="n"/>
      <c r="J474" s="43" t="n"/>
      <c r="K474" s="43" t="n"/>
      <c r="L474" s="43" t="n"/>
      <c r="M474" s="43" t="n"/>
    </row>
    <row r="475">
      <c r="A475" s="43" t="n"/>
      <c r="B475" s="43" t="n"/>
      <c r="C475" s="43" t="n"/>
      <c r="D475" s="43" t="n"/>
      <c r="E475" s="43" t="n"/>
      <c r="F475" s="43" t="n"/>
      <c r="G475" s="43" t="n"/>
      <c r="H475" s="43" t="n"/>
      <c r="I475" s="43" t="n"/>
      <c r="J475" s="43" t="n"/>
      <c r="K475" s="43" t="n"/>
      <c r="L475" s="43" t="n"/>
      <c r="M475" s="43" t="n"/>
    </row>
    <row r="476">
      <c r="A476" s="43" t="n"/>
      <c r="B476" s="43" t="n"/>
      <c r="C476" s="43" t="n"/>
      <c r="D476" s="43" t="n"/>
      <c r="E476" s="43" t="n"/>
      <c r="F476" s="43" t="n"/>
      <c r="G476" s="43" t="n"/>
      <c r="H476" s="43" t="n"/>
      <c r="I476" s="43" t="n"/>
      <c r="J476" s="43" t="n"/>
      <c r="K476" s="43" t="n"/>
      <c r="L476" s="43" t="n"/>
      <c r="M476" s="43" t="n"/>
    </row>
    <row r="477">
      <c r="A477" s="43" t="n"/>
      <c r="B477" s="43" t="n"/>
      <c r="C477" s="43" t="n"/>
      <c r="D477" s="43" t="n"/>
      <c r="E477" s="43" t="n"/>
      <c r="F477" s="43" t="n"/>
      <c r="G477" s="43" t="n"/>
      <c r="H477" s="43" t="n"/>
      <c r="I477" s="43" t="n"/>
      <c r="J477" s="43" t="n"/>
      <c r="K477" s="43" t="n"/>
      <c r="L477" s="43" t="n"/>
      <c r="M477" s="43" t="n"/>
    </row>
    <row r="478">
      <c r="A478" s="43" t="n"/>
      <c r="B478" s="43" t="n"/>
      <c r="C478" s="43" t="n"/>
      <c r="D478" s="43" t="n"/>
      <c r="E478" s="43" t="n"/>
      <c r="F478" s="43" t="n"/>
      <c r="G478" s="43" t="n"/>
      <c r="H478" s="43" t="n"/>
      <c r="I478" s="43" t="n"/>
      <c r="J478" s="43" t="n"/>
      <c r="K478" s="43" t="n"/>
      <c r="L478" s="43" t="n"/>
      <c r="M478" s="43" t="n"/>
    </row>
    <row r="479">
      <c r="A479" s="43" t="n"/>
      <c r="B479" s="43" t="n"/>
      <c r="C479" s="43" t="n"/>
      <c r="D479" s="43" t="n"/>
      <c r="E479" s="43" t="n"/>
      <c r="F479" s="43" t="n"/>
      <c r="G479" s="43" t="n"/>
      <c r="H479" s="43" t="n"/>
      <c r="I479" s="43" t="n"/>
      <c r="J479" s="43" t="n"/>
      <c r="K479" s="43" t="n"/>
      <c r="L479" s="43" t="n"/>
      <c r="M479" s="43" t="n"/>
    </row>
    <row r="480">
      <c r="A480" s="43" t="n"/>
      <c r="B480" s="43" t="n"/>
      <c r="C480" s="43" t="n"/>
      <c r="D480" s="43" t="n"/>
      <c r="E480" s="43" t="n"/>
      <c r="F480" s="43" t="n"/>
      <c r="G480" s="43" t="n"/>
      <c r="H480" s="43" t="n"/>
      <c r="I480" s="43" t="n"/>
      <c r="J480" s="43" t="n"/>
      <c r="K480" s="43" t="n"/>
      <c r="L480" s="43" t="n"/>
      <c r="M480" s="43" t="n"/>
    </row>
    <row r="481">
      <c r="A481" s="43" t="n"/>
      <c r="B481" s="43" t="n"/>
      <c r="C481" s="43" t="n"/>
      <c r="D481" s="43" t="n"/>
      <c r="E481" s="43" t="n"/>
      <c r="F481" s="43" t="n"/>
      <c r="G481" s="43" t="n"/>
      <c r="H481" s="43" t="n"/>
      <c r="I481" s="43" t="n"/>
      <c r="J481" s="43" t="n"/>
      <c r="K481" s="43" t="n"/>
      <c r="L481" s="43" t="n"/>
      <c r="M481" s="43" t="n"/>
    </row>
    <row r="482">
      <c r="A482" s="43" t="n"/>
      <c r="B482" s="43" t="n"/>
      <c r="C482" s="43" t="n"/>
      <c r="D482" s="43" t="n"/>
      <c r="E482" s="43" t="n"/>
      <c r="F482" s="43" t="n"/>
      <c r="G482" s="43" t="n"/>
      <c r="H482" s="43" t="n"/>
      <c r="I482" s="43" t="n"/>
      <c r="J482" s="43" t="n"/>
      <c r="K482" s="43" t="n"/>
      <c r="L482" s="43" t="n"/>
      <c r="M482" s="43" t="n"/>
    </row>
    <row r="483">
      <c r="A483" s="43" t="n"/>
      <c r="B483" s="43" t="n"/>
      <c r="C483" s="43" t="n"/>
      <c r="D483" s="43" t="n"/>
      <c r="E483" s="43" t="n"/>
      <c r="F483" s="43" t="n"/>
      <c r="G483" s="43" t="n"/>
      <c r="H483" s="43" t="n"/>
      <c r="I483" s="43" t="n"/>
      <c r="J483" s="43" t="n"/>
      <c r="K483" s="43" t="n"/>
      <c r="L483" s="43" t="n"/>
      <c r="M483" s="43" t="n"/>
    </row>
    <row r="484">
      <c r="A484" s="43" t="n"/>
      <c r="B484" s="43" t="n"/>
      <c r="C484" s="43" t="n"/>
      <c r="D484" s="43" t="n"/>
      <c r="E484" s="43" t="n"/>
      <c r="F484" s="43" t="n"/>
      <c r="G484" s="43" t="n"/>
      <c r="H484" s="43" t="n"/>
      <c r="I484" s="43" t="n"/>
      <c r="J484" s="43" t="n"/>
      <c r="K484" s="43" t="n"/>
      <c r="L484" s="43" t="n"/>
      <c r="M484" s="43" t="n"/>
    </row>
    <row r="485">
      <c r="A485" s="43" t="n"/>
      <c r="B485" s="43" t="n"/>
      <c r="C485" s="43" t="n"/>
      <c r="D485" s="43" t="n"/>
      <c r="E485" s="43" t="n"/>
      <c r="F485" s="43" t="n"/>
      <c r="G485" s="43" t="n"/>
      <c r="H485" s="43" t="n"/>
      <c r="I485" s="43" t="n"/>
      <c r="J485" s="43" t="n"/>
      <c r="K485" s="43" t="n"/>
      <c r="L485" s="43" t="n"/>
      <c r="M485" s="43" t="n"/>
    </row>
    <row r="486">
      <c r="A486" s="43" t="n"/>
      <c r="B486" s="43" t="n"/>
      <c r="C486" s="43" t="n"/>
      <c r="D486" s="43" t="n"/>
      <c r="E486" s="43" t="n"/>
      <c r="F486" s="43" t="n"/>
      <c r="G486" s="43" t="n"/>
      <c r="H486" s="43" t="n"/>
      <c r="I486" s="43" t="n"/>
      <c r="J486" s="43" t="n"/>
      <c r="K486" s="43" t="n"/>
      <c r="L486" s="43" t="n"/>
      <c r="M486" s="43" t="n"/>
    </row>
    <row r="487">
      <c r="A487" s="43" t="n"/>
      <c r="B487" s="43" t="n"/>
      <c r="C487" s="43" t="n"/>
      <c r="D487" s="43" t="n"/>
      <c r="E487" s="43" t="n"/>
      <c r="F487" s="43" t="n"/>
      <c r="G487" s="43" t="n"/>
      <c r="H487" s="43" t="n"/>
      <c r="I487" s="43" t="n"/>
      <c r="J487" s="43" t="n"/>
      <c r="K487" s="43" t="n"/>
      <c r="L487" s="43" t="n"/>
      <c r="M487" s="43" t="n"/>
    </row>
    <row r="488">
      <c r="A488" s="43" t="n"/>
      <c r="B488" s="43" t="n"/>
      <c r="C488" s="43" t="n"/>
      <c r="D488" s="43" t="n"/>
      <c r="E488" s="43" t="n"/>
      <c r="F488" s="43" t="n"/>
      <c r="G488" s="43" t="n"/>
      <c r="H488" s="43" t="n"/>
      <c r="I488" s="43" t="n"/>
      <c r="J488" s="43" t="n"/>
      <c r="K488" s="43" t="n"/>
      <c r="L488" s="43" t="n"/>
      <c r="M488" s="43" t="n"/>
    </row>
    <row r="489">
      <c r="A489" s="43" t="n"/>
      <c r="B489" s="43" t="n"/>
      <c r="C489" s="43" t="n"/>
      <c r="D489" s="43" t="n"/>
      <c r="E489" s="43" t="n"/>
      <c r="F489" s="43" t="n"/>
      <c r="G489" s="43" t="n"/>
      <c r="H489" s="43" t="n"/>
      <c r="I489" s="43" t="n"/>
      <c r="J489" s="43" t="n"/>
      <c r="K489" s="43" t="n"/>
      <c r="L489" s="43" t="n"/>
      <c r="M489" s="43" t="n"/>
    </row>
    <row r="490">
      <c r="A490" s="43" t="n"/>
      <c r="B490" s="43" t="n"/>
      <c r="C490" s="43" t="n"/>
      <c r="D490" s="43" t="n"/>
      <c r="E490" s="43" t="n"/>
      <c r="F490" s="43" t="n"/>
      <c r="G490" s="43" t="n"/>
      <c r="H490" s="43" t="n"/>
      <c r="I490" s="43" t="n"/>
      <c r="J490" s="43" t="n"/>
      <c r="K490" s="43" t="n"/>
      <c r="L490" s="43" t="n"/>
      <c r="M490" s="43" t="n"/>
    </row>
    <row r="491">
      <c r="A491" s="43" t="n"/>
      <c r="B491" s="43" t="n"/>
      <c r="C491" s="43" t="n"/>
      <c r="D491" s="43" t="n"/>
      <c r="E491" s="43" t="n"/>
      <c r="F491" s="43" t="n"/>
      <c r="G491" s="43" t="n"/>
      <c r="H491" s="43" t="n"/>
      <c r="I491" s="43" t="n"/>
      <c r="J491" s="43" t="n"/>
      <c r="K491" s="43" t="n"/>
      <c r="L491" s="43" t="n"/>
      <c r="M491" s="43" t="n"/>
    </row>
    <row r="492">
      <c r="A492" s="43" t="n"/>
      <c r="B492" s="43" t="n"/>
      <c r="C492" s="43" t="n"/>
      <c r="D492" s="43" t="n"/>
      <c r="E492" s="43" t="n"/>
      <c r="F492" s="43" t="n"/>
      <c r="G492" s="43" t="n"/>
      <c r="H492" s="43" t="n"/>
      <c r="I492" s="43" t="n"/>
      <c r="J492" s="43" t="n"/>
      <c r="K492" s="43" t="n"/>
      <c r="L492" s="43" t="n"/>
      <c r="M492" s="43" t="n"/>
    </row>
    <row r="493">
      <c r="A493" s="43" t="n"/>
      <c r="B493" s="43" t="n"/>
      <c r="C493" s="43" t="n"/>
      <c r="D493" s="43" t="n"/>
      <c r="E493" s="43" t="n"/>
      <c r="F493" s="43" t="n"/>
      <c r="G493" s="43" t="n"/>
      <c r="H493" s="43" t="n"/>
      <c r="I493" s="43" t="n"/>
      <c r="J493" s="43" t="n"/>
      <c r="K493" s="43" t="n"/>
      <c r="L493" s="43" t="n"/>
      <c r="M493" s="43" t="n"/>
    </row>
    <row r="494">
      <c r="A494" s="43" t="n"/>
      <c r="B494" s="43" t="n"/>
      <c r="C494" s="43" t="n"/>
      <c r="D494" s="43" t="n"/>
      <c r="E494" s="43" t="n"/>
      <c r="F494" s="43" t="n"/>
      <c r="G494" s="43" t="n"/>
      <c r="H494" s="43" t="n"/>
      <c r="I494" s="43" t="n"/>
      <c r="J494" s="43" t="n"/>
      <c r="K494" s="43" t="n"/>
      <c r="L494" s="43" t="n"/>
      <c r="M494" s="43" t="n"/>
    </row>
    <row r="495">
      <c r="A495" s="43" t="n"/>
      <c r="B495" s="43" t="n"/>
      <c r="C495" s="43" t="n"/>
      <c r="D495" s="43" t="n"/>
      <c r="E495" s="43" t="n"/>
      <c r="F495" s="43" t="n"/>
      <c r="G495" s="43" t="n"/>
      <c r="H495" s="43" t="n"/>
      <c r="I495" s="43" t="n"/>
      <c r="J495" s="43" t="n"/>
      <c r="K495" s="43" t="n"/>
      <c r="L495" s="43" t="n"/>
      <c r="M495" s="43" t="n"/>
    </row>
    <row r="496">
      <c r="A496" s="43" t="n"/>
      <c r="B496" s="43" t="n"/>
      <c r="C496" s="43" t="n"/>
      <c r="D496" s="43" t="n"/>
      <c r="E496" s="43" t="n"/>
      <c r="F496" s="43" t="n"/>
      <c r="G496" s="43" t="n"/>
      <c r="H496" s="43" t="n"/>
      <c r="I496" s="43" t="n"/>
      <c r="J496" s="43" t="n"/>
      <c r="K496" s="43" t="n"/>
      <c r="L496" s="43" t="n"/>
      <c r="M496" s="43" t="n"/>
    </row>
    <row r="497">
      <c r="A497" s="43" t="n"/>
      <c r="B497" s="43" t="n"/>
      <c r="C497" s="43" t="n"/>
      <c r="D497" s="43" t="n"/>
      <c r="E497" s="43" t="n"/>
      <c r="F497" s="43" t="n"/>
      <c r="G497" s="43" t="n"/>
      <c r="H497" s="43" t="n"/>
      <c r="I497" s="43" t="n"/>
      <c r="J497" s="43" t="n"/>
      <c r="K497" s="43" t="n"/>
      <c r="L497" s="43" t="n"/>
      <c r="M497" s="43" t="n"/>
    </row>
    <row r="498">
      <c r="A498" s="43" t="n"/>
      <c r="B498" s="43" t="n"/>
      <c r="C498" s="43" t="n"/>
      <c r="D498" s="43" t="n"/>
      <c r="E498" s="43" t="n"/>
      <c r="F498" s="43" t="n"/>
      <c r="G498" s="43" t="n"/>
      <c r="H498" s="43" t="n"/>
      <c r="I498" s="43" t="n"/>
      <c r="J498" s="43" t="n"/>
      <c r="K498" s="43" t="n"/>
      <c r="L498" s="43" t="n"/>
      <c r="M498" s="43" t="n"/>
    </row>
    <row r="499">
      <c r="A499" s="43" t="n"/>
      <c r="B499" s="43" t="n"/>
      <c r="C499" s="43" t="n"/>
      <c r="D499" s="43" t="n"/>
      <c r="E499" s="43" t="n"/>
      <c r="F499" s="43" t="n"/>
      <c r="G499" s="43" t="n"/>
      <c r="H499" s="43" t="n"/>
      <c r="I499" s="43" t="n"/>
      <c r="J499" s="43" t="n"/>
      <c r="K499" s="43" t="n"/>
      <c r="L499" s="43" t="n"/>
      <c r="M499" s="43" t="n"/>
    </row>
    <row r="500">
      <c r="A500" s="43" t="n"/>
      <c r="B500" s="43" t="n"/>
      <c r="C500" s="43" t="n"/>
      <c r="D500" s="43" t="n"/>
      <c r="E500" s="43" t="n"/>
      <c r="F500" s="43" t="n"/>
      <c r="G500" s="43" t="n"/>
      <c r="H500" s="43" t="n"/>
      <c r="I500" s="43" t="n"/>
      <c r="J500" s="43" t="n"/>
      <c r="K500" s="43" t="n"/>
      <c r="L500" s="43" t="n"/>
      <c r="M500" s="43" t="n"/>
    </row>
    <row r="501">
      <c r="A501" s="43" t="n"/>
      <c r="B501" s="43" t="n"/>
      <c r="C501" s="43" t="n"/>
      <c r="D501" s="43" t="n"/>
      <c r="E501" s="43" t="n"/>
      <c r="F501" s="43" t="n"/>
      <c r="G501" s="43" t="n"/>
      <c r="H501" s="43" t="n"/>
      <c r="I501" s="43" t="n"/>
      <c r="J501" s="43" t="n"/>
      <c r="K501" s="43" t="n"/>
      <c r="L501" s="43" t="n"/>
      <c r="M501" s="43" t="n"/>
    </row>
    <row r="502">
      <c r="A502" s="43" t="n"/>
      <c r="B502" s="43" t="n"/>
      <c r="C502" s="43" t="n"/>
      <c r="D502" s="43" t="n"/>
      <c r="E502" s="43" t="n"/>
      <c r="F502" s="43" t="n"/>
      <c r="G502" s="43" t="n"/>
      <c r="H502" s="43" t="n"/>
      <c r="I502" s="43" t="n"/>
      <c r="J502" s="43" t="n"/>
      <c r="K502" s="43" t="n"/>
      <c r="L502" s="43" t="n"/>
      <c r="M502" s="43" t="n"/>
    </row>
    <row r="503">
      <c r="A503" s="43" t="n"/>
      <c r="B503" s="43" t="n"/>
      <c r="C503" s="43" t="n"/>
      <c r="D503" s="43" t="n"/>
      <c r="E503" s="43" t="n"/>
      <c r="F503" s="43" t="n"/>
      <c r="G503" s="43" t="n"/>
      <c r="H503" s="43" t="n"/>
      <c r="I503" s="43" t="n"/>
      <c r="J503" s="43" t="n"/>
      <c r="K503" s="43" t="n"/>
      <c r="L503" s="43" t="n"/>
      <c r="M503" s="43" t="n"/>
    </row>
    <row r="504">
      <c r="A504" s="43" t="n"/>
      <c r="B504" s="43" t="n"/>
      <c r="C504" s="43" t="n"/>
      <c r="D504" s="43" t="n"/>
      <c r="E504" s="43" t="n"/>
      <c r="F504" s="43" t="n"/>
      <c r="G504" s="43" t="n"/>
      <c r="H504" s="43" t="n"/>
      <c r="I504" s="43" t="n"/>
      <c r="J504" s="43" t="n"/>
      <c r="K504" s="43" t="n"/>
      <c r="L504" s="43" t="n"/>
      <c r="M504" s="43" t="n"/>
    </row>
    <row r="505">
      <c r="A505" s="43" t="n"/>
      <c r="B505" s="43" t="n"/>
      <c r="C505" s="43" t="n"/>
      <c r="D505" s="43" t="n"/>
      <c r="E505" s="43" t="n"/>
      <c r="F505" s="43" t="n"/>
      <c r="G505" s="43" t="n"/>
      <c r="H505" s="43" t="n"/>
      <c r="I505" s="43" t="n"/>
      <c r="J505" s="43" t="n"/>
      <c r="K505" s="43" t="n"/>
      <c r="L505" s="43" t="n"/>
      <c r="M505" s="43" t="n"/>
    </row>
    <row r="506">
      <c r="A506" s="43" t="n"/>
      <c r="B506" s="43" t="n"/>
      <c r="C506" s="43" t="n"/>
      <c r="D506" s="43" t="n"/>
      <c r="E506" s="43" t="n"/>
      <c r="F506" s="43" t="n"/>
      <c r="G506" s="43" t="n"/>
      <c r="H506" s="43" t="n"/>
      <c r="I506" s="43" t="n"/>
      <c r="J506" s="43" t="n"/>
      <c r="K506" s="43" t="n"/>
      <c r="L506" s="43" t="n"/>
      <c r="M506" s="43" t="n"/>
    </row>
    <row r="507">
      <c r="A507" s="43" t="n"/>
      <c r="B507" s="43" t="n"/>
      <c r="C507" s="43" t="n"/>
      <c r="D507" s="43" t="n"/>
      <c r="E507" s="43" t="n"/>
      <c r="F507" s="43" t="n"/>
      <c r="G507" s="43" t="n"/>
      <c r="H507" s="43" t="n"/>
      <c r="I507" s="43" t="n"/>
      <c r="J507" s="43" t="n"/>
      <c r="K507" s="43" t="n"/>
      <c r="L507" s="43" t="n"/>
      <c r="M507" s="43" t="n"/>
    </row>
    <row r="508">
      <c r="A508" s="43" t="n"/>
      <c r="B508" s="43" t="n"/>
      <c r="C508" s="43" t="n"/>
      <c r="D508" s="43" t="n"/>
      <c r="E508" s="43" t="n"/>
      <c r="F508" s="43" t="n"/>
      <c r="G508" s="43" t="n"/>
      <c r="H508" s="43" t="n"/>
      <c r="I508" s="43" t="n"/>
      <c r="J508" s="43" t="n"/>
      <c r="K508" s="43" t="n"/>
      <c r="L508" s="43" t="n"/>
      <c r="M508" s="43" t="n"/>
    </row>
    <row r="509">
      <c r="A509" s="43" t="n"/>
      <c r="B509" s="43" t="n"/>
      <c r="C509" s="43" t="n"/>
      <c r="D509" s="43" t="n"/>
      <c r="E509" s="43" t="n"/>
      <c r="F509" s="43" t="n"/>
      <c r="G509" s="43" t="n"/>
      <c r="H509" s="43" t="n"/>
      <c r="I509" s="43" t="n"/>
      <c r="J509" s="43" t="n"/>
      <c r="K509" s="43" t="n"/>
      <c r="L509" s="43" t="n"/>
      <c r="M509" s="43" t="n"/>
    </row>
    <row r="510">
      <c r="A510" s="43" t="n"/>
      <c r="B510" s="43" t="n"/>
      <c r="C510" s="43" t="n"/>
      <c r="D510" s="43" t="n"/>
      <c r="E510" s="43" t="n"/>
      <c r="F510" s="43" t="n"/>
      <c r="G510" s="43" t="n"/>
      <c r="H510" s="43" t="n"/>
      <c r="I510" s="43" t="n"/>
      <c r="J510" s="43" t="n"/>
      <c r="K510" s="43" t="n"/>
      <c r="L510" s="43" t="n"/>
      <c r="M510" s="43" t="n"/>
    </row>
    <row r="511">
      <c r="A511" s="43" t="n"/>
      <c r="B511" s="43" t="n"/>
      <c r="C511" s="43" t="n"/>
      <c r="D511" s="43" t="n"/>
      <c r="E511" s="43" t="n"/>
      <c r="F511" s="43" t="n"/>
      <c r="G511" s="43" t="n"/>
      <c r="H511" s="43" t="n"/>
      <c r="I511" s="43" t="n"/>
      <c r="J511" s="43" t="n"/>
      <c r="K511" s="43" t="n"/>
      <c r="L511" s="43" t="n"/>
      <c r="M511" s="43" t="n"/>
    </row>
    <row r="512">
      <c r="A512" s="43" t="n"/>
      <c r="B512" s="43" t="n"/>
      <c r="C512" s="43" t="n"/>
      <c r="D512" s="43" t="n"/>
      <c r="E512" s="43" t="n"/>
      <c r="F512" s="43" t="n"/>
      <c r="G512" s="43" t="n"/>
      <c r="H512" s="43" t="n"/>
      <c r="I512" s="43" t="n"/>
      <c r="J512" s="43" t="n"/>
      <c r="K512" s="43" t="n"/>
      <c r="L512" s="43" t="n"/>
      <c r="M512" s="43" t="n"/>
    </row>
    <row r="513">
      <c r="A513" s="43" t="n"/>
      <c r="B513" s="43" t="n"/>
      <c r="C513" s="43" t="n"/>
      <c r="D513" s="43" t="n"/>
      <c r="E513" s="43" t="n"/>
      <c r="F513" s="43" t="n"/>
      <c r="G513" s="43" t="n"/>
      <c r="H513" s="43" t="n"/>
      <c r="I513" s="43" t="n"/>
      <c r="J513" s="43" t="n"/>
      <c r="K513" s="43" t="n"/>
      <c r="L513" s="43" t="n"/>
      <c r="M513" s="43" t="n"/>
    </row>
    <row r="514">
      <c r="A514" s="43" t="n"/>
      <c r="B514" s="43" t="n"/>
      <c r="C514" s="43" t="n"/>
      <c r="D514" s="43" t="n"/>
      <c r="E514" s="43" t="n"/>
      <c r="F514" s="43" t="n"/>
      <c r="G514" s="43" t="n"/>
      <c r="H514" s="43" t="n"/>
      <c r="I514" s="43" t="n"/>
      <c r="J514" s="43" t="n"/>
      <c r="K514" s="43" t="n"/>
      <c r="L514" s="43" t="n"/>
      <c r="M514" s="43" t="n"/>
    </row>
    <row r="515">
      <c r="A515" s="43" t="n"/>
      <c r="B515" s="43" t="n"/>
      <c r="C515" s="43" t="n"/>
      <c r="D515" s="43" t="n"/>
      <c r="E515" s="43" t="n"/>
      <c r="F515" s="43" t="n"/>
      <c r="G515" s="43" t="n"/>
      <c r="H515" s="43" t="n"/>
      <c r="I515" s="43" t="n"/>
      <c r="J515" s="43" t="n"/>
      <c r="K515" s="43" t="n"/>
      <c r="L515" s="43" t="n"/>
      <c r="M515" s="43" t="n"/>
    </row>
    <row r="516">
      <c r="A516" s="43" t="n"/>
      <c r="B516" s="43" t="n"/>
      <c r="C516" s="43" t="n"/>
      <c r="D516" s="43" t="n"/>
      <c r="E516" s="43" t="n"/>
      <c r="F516" s="43" t="n"/>
      <c r="G516" s="43" t="n"/>
      <c r="H516" s="43" t="n"/>
      <c r="I516" s="43" t="n"/>
      <c r="J516" s="43" t="n"/>
      <c r="K516" s="43" t="n"/>
      <c r="L516" s="43" t="n"/>
      <c r="M516" s="43" t="n"/>
    </row>
    <row r="517">
      <c r="A517" s="43" t="n"/>
      <c r="B517" s="43" t="n"/>
      <c r="C517" s="43" t="n"/>
      <c r="D517" s="43" t="n"/>
      <c r="E517" s="43" t="n"/>
      <c r="F517" s="43" t="n"/>
      <c r="G517" s="43" t="n"/>
      <c r="H517" s="43" t="n"/>
      <c r="I517" s="43" t="n"/>
      <c r="J517" s="43" t="n"/>
      <c r="K517" s="43" t="n"/>
      <c r="L517" s="43" t="n"/>
      <c r="M517" s="43" t="n"/>
    </row>
    <row r="518">
      <c r="A518" s="43" t="n"/>
      <c r="B518" s="43" t="n"/>
      <c r="C518" s="43" t="n"/>
      <c r="D518" s="43" t="n"/>
      <c r="E518" s="43" t="n"/>
      <c r="F518" s="43" t="n"/>
      <c r="G518" s="43" t="n"/>
      <c r="H518" s="43" t="n"/>
      <c r="I518" s="43" t="n"/>
      <c r="J518" s="43" t="n"/>
      <c r="K518" s="43" t="n"/>
      <c r="L518" s="43" t="n"/>
      <c r="M518" s="43" t="n"/>
    </row>
    <row r="519">
      <c r="A519" s="43" t="n"/>
      <c r="B519" s="43" t="n"/>
      <c r="C519" s="43" t="n"/>
      <c r="D519" s="43" t="n"/>
      <c r="E519" s="43" t="n"/>
      <c r="F519" s="43" t="n"/>
      <c r="G519" s="43" t="n"/>
      <c r="H519" s="43" t="n"/>
      <c r="I519" s="43" t="n"/>
      <c r="J519" s="43" t="n"/>
      <c r="K519" s="43" t="n"/>
      <c r="L519" s="43" t="n"/>
      <c r="M519" s="43" t="n"/>
    </row>
    <row r="520">
      <c r="A520" s="43" t="n"/>
      <c r="B520" s="43" t="n"/>
      <c r="C520" s="43" t="n"/>
      <c r="D520" s="43" t="n"/>
      <c r="E520" s="43" t="n"/>
      <c r="F520" s="43" t="n"/>
      <c r="G520" s="43" t="n"/>
      <c r="H520" s="43" t="n"/>
      <c r="I520" s="43" t="n"/>
      <c r="J520" s="43" t="n"/>
      <c r="K520" s="43" t="n"/>
      <c r="L520" s="43" t="n"/>
      <c r="M520" s="43" t="n"/>
    </row>
    <row r="521">
      <c r="A521" s="43" t="n"/>
      <c r="B521" s="43" t="n"/>
      <c r="C521" s="43" t="n"/>
      <c r="D521" s="43" t="n"/>
      <c r="E521" s="43" t="n"/>
      <c r="F521" s="43" t="n"/>
      <c r="G521" s="43" t="n"/>
      <c r="H521" s="43" t="n"/>
      <c r="I521" s="43" t="n"/>
      <c r="J521" s="43" t="n"/>
      <c r="K521" s="43" t="n"/>
      <c r="L521" s="43" t="n"/>
      <c r="M521" s="43" t="n"/>
    </row>
    <row r="522">
      <c r="A522" s="43" t="n"/>
      <c r="B522" s="43" t="n"/>
      <c r="C522" s="43" t="n"/>
      <c r="D522" s="43" t="n"/>
      <c r="E522" s="43" t="n"/>
      <c r="F522" s="43" t="n"/>
      <c r="G522" s="43" t="n"/>
      <c r="H522" s="43" t="n"/>
      <c r="I522" s="43" t="n"/>
      <c r="J522" s="43" t="n"/>
      <c r="K522" s="43" t="n"/>
      <c r="L522" s="43" t="n"/>
      <c r="M522" s="43" t="n"/>
    </row>
    <row r="523">
      <c r="A523" s="43" t="n"/>
      <c r="B523" s="43" t="n"/>
      <c r="C523" s="43" t="n"/>
      <c r="D523" s="43" t="n"/>
      <c r="E523" s="43" t="n"/>
      <c r="F523" s="43" t="n"/>
      <c r="G523" s="43" t="n"/>
      <c r="H523" s="43" t="n"/>
      <c r="I523" s="43" t="n"/>
      <c r="J523" s="43" t="n"/>
      <c r="K523" s="43" t="n"/>
      <c r="L523" s="43" t="n"/>
      <c r="M523" s="43" t="n"/>
    </row>
    <row r="524">
      <c r="A524" s="43" t="n"/>
      <c r="B524" s="43" t="n"/>
      <c r="C524" s="43" t="n"/>
      <c r="D524" s="43" t="n"/>
      <c r="E524" s="43" t="n"/>
      <c r="F524" s="43" t="n"/>
      <c r="G524" s="43" t="n"/>
      <c r="H524" s="43" t="n"/>
      <c r="I524" s="43" t="n"/>
      <c r="J524" s="43" t="n"/>
      <c r="K524" s="43" t="n"/>
      <c r="L524" s="43" t="n"/>
      <c r="M524" s="43" t="n"/>
    </row>
    <row r="525">
      <c r="A525" s="43" t="n"/>
      <c r="B525" s="43" t="n"/>
      <c r="C525" s="43" t="n"/>
      <c r="D525" s="43" t="n"/>
      <c r="E525" s="43" t="n"/>
      <c r="F525" s="43" t="n"/>
      <c r="G525" s="43" t="n"/>
      <c r="H525" s="43" t="n"/>
      <c r="I525" s="43" t="n"/>
      <c r="J525" s="43" t="n"/>
      <c r="K525" s="43" t="n"/>
      <c r="L525" s="43" t="n"/>
      <c r="M525" s="43" t="n"/>
    </row>
    <row r="526">
      <c r="A526" s="43" t="n"/>
      <c r="B526" s="43" t="n"/>
      <c r="C526" s="43" t="n"/>
      <c r="D526" s="43" t="n"/>
      <c r="E526" s="43" t="n"/>
      <c r="F526" s="43" t="n"/>
      <c r="G526" s="43" t="n"/>
      <c r="H526" s="43" t="n"/>
      <c r="I526" s="43" t="n"/>
      <c r="J526" s="43" t="n"/>
      <c r="K526" s="43" t="n"/>
      <c r="L526" s="43" t="n"/>
      <c r="M526" s="43" t="n"/>
    </row>
    <row r="527">
      <c r="A527" s="43" t="n"/>
      <c r="B527" s="43" t="n"/>
      <c r="C527" s="43" t="n"/>
      <c r="D527" s="43" t="n"/>
      <c r="E527" s="43" t="n"/>
      <c r="F527" s="43" t="n"/>
      <c r="G527" s="43" t="n"/>
      <c r="H527" s="43" t="n"/>
      <c r="I527" s="43" t="n"/>
      <c r="J527" s="43" t="n"/>
      <c r="K527" s="43" t="n"/>
      <c r="L527" s="43" t="n"/>
      <c r="M527" s="43" t="n"/>
    </row>
    <row r="528">
      <c r="A528" s="43" t="n"/>
      <c r="B528" s="43" t="n"/>
      <c r="C528" s="43" t="n"/>
      <c r="D528" s="43" t="n"/>
      <c r="E528" s="43" t="n"/>
      <c r="F528" s="43" t="n"/>
      <c r="G528" s="43" t="n"/>
      <c r="H528" s="43" t="n"/>
      <c r="I528" s="43" t="n"/>
      <c r="J528" s="43" t="n"/>
      <c r="K528" s="43" t="n"/>
      <c r="L528" s="43" t="n"/>
      <c r="M528" s="43" t="n"/>
    </row>
    <row r="529">
      <c r="A529" s="43" t="n"/>
      <c r="B529" s="43" t="n"/>
      <c r="C529" s="43" t="n"/>
      <c r="D529" s="43" t="n"/>
      <c r="E529" s="43" t="n"/>
      <c r="F529" s="43" t="n"/>
      <c r="G529" s="43" t="n"/>
      <c r="H529" s="43" t="n"/>
      <c r="I529" s="43" t="n"/>
      <c r="J529" s="43" t="n"/>
      <c r="K529" s="43" t="n"/>
      <c r="L529" s="43" t="n"/>
      <c r="M529" s="43" t="n"/>
    </row>
    <row r="530">
      <c r="A530" s="43" t="n"/>
      <c r="B530" s="43" t="n"/>
      <c r="C530" s="43" t="n"/>
      <c r="D530" s="43" t="n"/>
      <c r="E530" s="43" t="n"/>
      <c r="F530" s="43" t="n"/>
      <c r="G530" s="43" t="n"/>
      <c r="H530" s="43" t="n"/>
      <c r="I530" s="43" t="n"/>
      <c r="J530" s="43" t="n"/>
      <c r="K530" s="43" t="n"/>
      <c r="L530" s="43" t="n"/>
      <c r="M530" s="43" t="n"/>
    </row>
    <row r="531">
      <c r="A531" s="43" t="n"/>
      <c r="B531" s="43" t="n"/>
      <c r="C531" s="43" t="n"/>
      <c r="D531" s="43" t="n"/>
      <c r="E531" s="43" t="n"/>
      <c r="F531" s="43" t="n"/>
      <c r="G531" s="43" t="n"/>
      <c r="H531" s="43" t="n"/>
      <c r="I531" s="43" t="n"/>
      <c r="J531" s="43" t="n"/>
      <c r="K531" s="43" t="n"/>
      <c r="L531" s="43" t="n"/>
      <c r="M531" s="43" t="n"/>
    </row>
    <row r="532">
      <c r="A532" s="43" t="n"/>
      <c r="B532" s="43" t="n"/>
      <c r="C532" s="43" t="n"/>
      <c r="D532" s="43" t="n"/>
      <c r="E532" s="43" t="n"/>
      <c r="F532" s="43" t="n"/>
      <c r="G532" s="43" t="n"/>
      <c r="H532" s="43" t="n"/>
      <c r="I532" s="43" t="n"/>
      <c r="J532" s="43" t="n"/>
      <c r="K532" s="43" t="n"/>
      <c r="L532" s="43" t="n"/>
      <c r="M532" s="43" t="n"/>
    </row>
    <row r="533">
      <c r="A533" s="43" t="n"/>
      <c r="B533" s="43" t="n"/>
      <c r="C533" s="43" t="n"/>
      <c r="D533" s="43" t="n"/>
      <c r="E533" s="43" t="n"/>
      <c r="F533" s="43" t="n"/>
      <c r="G533" s="43" t="n"/>
      <c r="H533" s="43" t="n"/>
      <c r="I533" s="43" t="n"/>
      <c r="J533" s="43" t="n"/>
      <c r="K533" s="43" t="n"/>
      <c r="L533" s="43" t="n"/>
      <c r="M533" s="43" t="n"/>
    </row>
    <row r="534">
      <c r="A534" s="43" t="n"/>
      <c r="B534" s="43" t="n"/>
      <c r="C534" s="43" t="n"/>
      <c r="D534" s="43" t="n"/>
      <c r="E534" s="43" t="n"/>
      <c r="F534" s="43" t="n"/>
      <c r="G534" s="43" t="n"/>
      <c r="H534" s="43" t="n"/>
      <c r="I534" s="43" t="n"/>
      <c r="J534" s="43" t="n"/>
      <c r="K534" s="43" t="n"/>
      <c r="L534" s="43" t="n"/>
      <c r="M534" s="43" t="n"/>
    </row>
    <row r="535">
      <c r="A535" s="43" t="n"/>
      <c r="B535" s="43" t="n"/>
      <c r="C535" s="43" t="n"/>
      <c r="D535" s="43" t="n"/>
      <c r="E535" s="43" t="n"/>
      <c r="F535" s="43" t="n"/>
      <c r="G535" s="43" t="n"/>
      <c r="H535" s="43" t="n"/>
      <c r="I535" s="43" t="n"/>
      <c r="J535" s="43" t="n"/>
      <c r="K535" s="43" t="n"/>
      <c r="L535" s="43" t="n"/>
      <c r="M535" s="43" t="n"/>
    </row>
    <row r="536">
      <c r="A536" s="43" t="n"/>
      <c r="B536" s="43" t="n"/>
      <c r="C536" s="43" t="n"/>
      <c r="D536" s="43" t="n"/>
      <c r="E536" s="43" t="n"/>
      <c r="F536" s="43" t="n"/>
      <c r="G536" s="43" t="n"/>
      <c r="H536" s="43" t="n"/>
      <c r="I536" s="43" t="n"/>
      <c r="J536" s="43" t="n"/>
      <c r="K536" s="43" t="n"/>
      <c r="L536" s="43" t="n"/>
      <c r="M536" s="43" t="n"/>
    </row>
    <row r="537">
      <c r="A537" s="43" t="n"/>
      <c r="B537" s="43" t="n"/>
      <c r="C537" s="43" t="n"/>
      <c r="D537" s="43" t="n"/>
      <c r="E537" s="43" t="n"/>
      <c r="F537" s="43" t="n"/>
      <c r="G537" s="43" t="n"/>
      <c r="H537" s="43" t="n"/>
      <c r="I537" s="43" t="n"/>
      <c r="J537" s="43" t="n"/>
      <c r="K537" s="43" t="n"/>
      <c r="L537" s="43" t="n"/>
      <c r="M537" s="43" t="n"/>
    </row>
    <row r="538">
      <c r="A538" s="43" t="n"/>
      <c r="B538" s="43" t="n"/>
      <c r="C538" s="43" t="n"/>
      <c r="D538" s="43" t="n"/>
      <c r="E538" s="43" t="n"/>
      <c r="F538" s="43" t="n"/>
      <c r="G538" s="43" t="n"/>
      <c r="H538" s="43" t="n"/>
      <c r="I538" s="43" t="n"/>
      <c r="J538" s="43" t="n"/>
      <c r="K538" s="43" t="n"/>
      <c r="L538" s="43" t="n"/>
      <c r="M538" s="43" t="n"/>
    </row>
    <row r="539">
      <c r="A539" s="43" t="n"/>
      <c r="B539" s="43" t="n"/>
      <c r="C539" s="43" t="n"/>
      <c r="D539" s="43" t="n"/>
      <c r="E539" s="43" t="n"/>
      <c r="F539" s="43" t="n"/>
      <c r="G539" s="43" t="n"/>
      <c r="H539" s="43" t="n"/>
      <c r="I539" s="43" t="n"/>
      <c r="J539" s="43" t="n"/>
      <c r="K539" s="43" t="n"/>
      <c r="L539" s="43" t="n"/>
      <c r="M539" s="43" t="n"/>
    </row>
    <row r="540">
      <c r="A540" s="43" t="n"/>
      <c r="B540" s="43" t="n"/>
      <c r="C540" s="43" t="n"/>
      <c r="D540" s="43" t="n"/>
      <c r="E540" s="43" t="n"/>
      <c r="F540" s="43" t="n"/>
      <c r="G540" s="43" t="n"/>
      <c r="H540" s="43" t="n"/>
      <c r="I540" s="43" t="n"/>
      <c r="J540" s="43" t="n"/>
      <c r="K540" s="43" t="n"/>
      <c r="L540" s="43" t="n"/>
      <c r="M540" s="43" t="n"/>
    </row>
    <row r="541">
      <c r="A541" s="43" t="n"/>
      <c r="B541" s="43" t="n"/>
      <c r="C541" s="43" t="n"/>
      <c r="D541" s="43" t="n"/>
      <c r="E541" s="43" t="n"/>
      <c r="F541" s="43" t="n"/>
      <c r="G541" s="43" t="n"/>
      <c r="H541" s="43" t="n"/>
      <c r="I541" s="43" t="n"/>
      <c r="J541" s="43" t="n"/>
      <c r="K541" s="43" t="n"/>
      <c r="L541" s="43" t="n"/>
      <c r="M541" s="43" t="n"/>
    </row>
    <row r="542">
      <c r="A542" s="43" t="n"/>
      <c r="B542" s="43" t="n"/>
      <c r="C542" s="43" t="n"/>
      <c r="D542" s="43" t="n"/>
      <c r="E542" s="43" t="n"/>
      <c r="F542" s="43" t="n"/>
      <c r="G542" s="43" t="n"/>
      <c r="H542" s="43" t="n"/>
      <c r="I542" s="43" t="n"/>
      <c r="J542" s="43" t="n"/>
      <c r="K542" s="43" t="n"/>
      <c r="L542" s="43" t="n"/>
      <c r="M542" s="43" t="n"/>
    </row>
    <row r="543">
      <c r="A543" s="43" t="n"/>
      <c r="B543" s="43" t="n"/>
      <c r="C543" s="43" t="n"/>
      <c r="D543" s="43" t="n"/>
      <c r="E543" s="43" t="n"/>
      <c r="F543" s="43" t="n"/>
      <c r="G543" s="43" t="n"/>
      <c r="H543" s="43" t="n"/>
      <c r="I543" s="43" t="n"/>
      <c r="J543" s="43" t="n"/>
      <c r="K543" s="43" t="n"/>
      <c r="L543" s="43" t="n"/>
      <c r="M543" s="43" t="n"/>
    </row>
    <row r="544">
      <c r="A544" s="43" t="n"/>
      <c r="B544" s="43" t="n"/>
      <c r="C544" s="43" t="n"/>
      <c r="D544" s="43" t="n"/>
      <c r="E544" s="43" t="n"/>
      <c r="F544" s="43" t="n"/>
      <c r="G544" s="43" t="n"/>
      <c r="H544" s="43" t="n"/>
      <c r="I544" s="43" t="n"/>
      <c r="J544" s="43" t="n"/>
      <c r="K544" s="43" t="n"/>
      <c r="L544" s="43" t="n"/>
      <c r="M544" s="43" t="n"/>
    </row>
    <row r="545">
      <c r="A545" s="43" t="n"/>
      <c r="B545" s="43" t="n"/>
      <c r="C545" s="43" t="n"/>
      <c r="D545" s="43" t="n"/>
      <c r="E545" s="43" t="n"/>
      <c r="F545" s="43" t="n"/>
      <c r="G545" s="43" t="n"/>
      <c r="H545" s="43" t="n"/>
      <c r="I545" s="43" t="n"/>
      <c r="J545" s="43" t="n"/>
      <c r="K545" s="43" t="n"/>
      <c r="L545" s="43" t="n"/>
      <c r="M545" s="43" t="n"/>
    </row>
    <row r="546">
      <c r="A546" s="43" t="n"/>
      <c r="B546" s="43" t="n"/>
      <c r="C546" s="43" t="n"/>
      <c r="D546" s="43" t="n"/>
      <c r="E546" s="43" t="n"/>
      <c r="F546" s="43" t="n"/>
      <c r="G546" s="43" t="n"/>
      <c r="H546" s="43" t="n"/>
      <c r="I546" s="43" t="n"/>
      <c r="J546" s="43" t="n"/>
      <c r="K546" s="43" t="n"/>
      <c r="L546" s="43" t="n"/>
      <c r="M546" s="43" t="n"/>
    </row>
    <row r="547">
      <c r="A547" s="43" t="n"/>
      <c r="B547" s="43" t="n"/>
      <c r="C547" s="43" t="n"/>
      <c r="D547" s="43" t="n"/>
      <c r="E547" s="43" t="n"/>
      <c r="F547" s="43" t="n"/>
      <c r="G547" s="43" t="n"/>
      <c r="H547" s="43" t="n"/>
      <c r="I547" s="43" t="n"/>
      <c r="J547" s="43" t="n"/>
      <c r="K547" s="43" t="n"/>
      <c r="L547" s="43" t="n"/>
      <c r="M547" s="43" t="n"/>
    </row>
    <row r="548">
      <c r="A548" s="43" t="n"/>
      <c r="B548" s="43" t="n"/>
      <c r="C548" s="43" t="n"/>
      <c r="D548" s="43" t="n"/>
      <c r="E548" s="43" t="n"/>
      <c r="F548" s="43" t="n"/>
      <c r="G548" s="43" t="n"/>
      <c r="H548" s="43" t="n"/>
      <c r="I548" s="43" t="n"/>
      <c r="J548" s="43" t="n"/>
      <c r="K548" s="43" t="n"/>
      <c r="L548" s="43" t="n"/>
      <c r="M548" s="43" t="n"/>
    </row>
    <row r="549">
      <c r="A549" s="43" t="n"/>
      <c r="B549" s="43" t="n"/>
      <c r="C549" s="43" t="n"/>
      <c r="D549" s="43" t="n"/>
      <c r="E549" s="43" t="n"/>
      <c r="F549" s="43" t="n"/>
      <c r="G549" s="43" t="n"/>
      <c r="H549" s="43" t="n"/>
      <c r="I549" s="43" t="n"/>
      <c r="J549" s="43" t="n"/>
      <c r="K549" s="43" t="n"/>
      <c r="L549" s="43" t="n"/>
      <c r="M549" s="43" t="n"/>
    </row>
    <row r="550">
      <c r="A550" s="43" t="n"/>
      <c r="B550" s="43" t="n"/>
      <c r="C550" s="43" t="n"/>
      <c r="D550" s="43" t="n"/>
      <c r="E550" s="43" t="n"/>
      <c r="F550" s="43" t="n"/>
      <c r="G550" s="43" t="n"/>
      <c r="H550" s="43" t="n"/>
      <c r="I550" s="43" t="n"/>
      <c r="J550" s="43" t="n"/>
      <c r="K550" s="43" t="n"/>
      <c r="L550" s="43" t="n"/>
      <c r="M550" s="43" t="n"/>
    </row>
    <row r="551">
      <c r="A551" s="43" t="n"/>
      <c r="B551" s="43" t="n"/>
      <c r="C551" s="43" t="n"/>
      <c r="D551" s="43" t="n"/>
      <c r="E551" s="43" t="n"/>
      <c r="F551" s="43" t="n"/>
      <c r="G551" s="43" t="n"/>
      <c r="H551" s="43" t="n"/>
      <c r="I551" s="43" t="n"/>
      <c r="J551" s="43" t="n"/>
      <c r="K551" s="43" t="n"/>
      <c r="L551" s="43" t="n"/>
      <c r="M551" s="43" t="n"/>
    </row>
    <row r="552">
      <c r="A552" s="43" t="n"/>
      <c r="B552" s="43" t="n"/>
      <c r="C552" s="43" t="n"/>
      <c r="D552" s="43" t="n"/>
      <c r="E552" s="43" t="n"/>
      <c r="F552" s="43" t="n"/>
      <c r="G552" s="43" t="n"/>
      <c r="H552" s="43" t="n"/>
      <c r="I552" s="43" t="n"/>
      <c r="J552" s="43" t="n"/>
      <c r="K552" s="43" t="n"/>
      <c r="L552" s="43" t="n"/>
      <c r="M552" s="43" t="n"/>
    </row>
    <row r="553">
      <c r="A553" s="43" t="n"/>
      <c r="B553" s="43" t="n"/>
      <c r="C553" s="43" t="n"/>
      <c r="D553" s="43" t="n"/>
      <c r="E553" s="43" t="n"/>
      <c r="F553" s="43" t="n"/>
      <c r="G553" s="43" t="n"/>
      <c r="H553" s="43" t="n"/>
      <c r="I553" s="43" t="n"/>
      <c r="J553" s="43" t="n"/>
      <c r="K553" s="43" t="n"/>
      <c r="L553" s="43" t="n"/>
      <c r="M553" s="43" t="n"/>
    </row>
    <row r="554">
      <c r="A554" s="43" t="n"/>
      <c r="B554" s="43" t="n"/>
      <c r="C554" s="43" t="n"/>
      <c r="D554" s="43" t="n"/>
      <c r="E554" s="43" t="n"/>
      <c r="F554" s="43" t="n"/>
      <c r="G554" s="43" t="n"/>
      <c r="H554" s="43" t="n"/>
      <c r="I554" s="43" t="n"/>
      <c r="J554" s="43" t="n"/>
      <c r="K554" s="43" t="n"/>
      <c r="L554" s="43" t="n"/>
      <c r="M554" s="43" t="n"/>
    </row>
    <row r="555">
      <c r="A555" s="43" t="n"/>
      <c r="B555" s="43" t="n"/>
      <c r="C555" s="43" t="n"/>
      <c r="D555" s="43" t="n"/>
      <c r="E555" s="43" t="n"/>
      <c r="F555" s="43" t="n"/>
      <c r="G555" s="43" t="n"/>
      <c r="H555" s="43" t="n"/>
      <c r="I555" s="43" t="n"/>
      <c r="J555" s="43" t="n"/>
      <c r="K555" s="43" t="n"/>
      <c r="L555" s="43" t="n"/>
      <c r="M555" s="43" t="n"/>
    </row>
    <row r="556">
      <c r="A556" s="43" t="n"/>
      <c r="B556" s="43" t="n"/>
      <c r="C556" s="43" t="n"/>
      <c r="D556" s="43" t="n"/>
      <c r="E556" s="43" t="n"/>
      <c r="F556" s="43" t="n"/>
      <c r="G556" s="43" t="n"/>
      <c r="H556" s="43" t="n"/>
      <c r="I556" s="43" t="n"/>
      <c r="J556" s="43" t="n"/>
      <c r="K556" s="43" t="n"/>
      <c r="L556" s="43" t="n"/>
      <c r="M556" s="43" t="n"/>
    </row>
    <row r="557">
      <c r="A557" s="43" t="n"/>
      <c r="B557" s="43" t="n"/>
      <c r="C557" s="43" t="n"/>
      <c r="D557" s="43" t="n"/>
      <c r="E557" s="43" t="n"/>
      <c r="F557" s="43" t="n"/>
      <c r="G557" s="43" t="n"/>
      <c r="H557" s="43" t="n"/>
      <c r="I557" s="43" t="n"/>
      <c r="J557" s="43" t="n"/>
      <c r="K557" s="43" t="n"/>
      <c r="L557" s="43" t="n"/>
      <c r="M557" s="43" t="n"/>
    </row>
    <row r="558">
      <c r="A558" s="43" t="n"/>
      <c r="B558" s="43" t="n"/>
      <c r="C558" s="43" t="n"/>
      <c r="D558" s="43" t="n"/>
      <c r="E558" s="43" t="n"/>
      <c r="F558" s="43" t="n"/>
      <c r="G558" s="43" t="n"/>
      <c r="H558" s="43" t="n"/>
      <c r="I558" s="43" t="n"/>
      <c r="J558" s="43" t="n"/>
      <c r="K558" s="43" t="n"/>
      <c r="L558" s="43" t="n"/>
      <c r="M558" s="43" t="n"/>
    </row>
    <row r="559">
      <c r="A559" s="43" t="n"/>
      <c r="B559" s="43" t="n"/>
      <c r="C559" s="43" t="n"/>
      <c r="D559" s="43" t="n"/>
      <c r="E559" s="43" t="n"/>
      <c r="F559" s="43" t="n"/>
      <c r="G559" s="43" t="n"/>
      <c r="H559" s="43" t="n"/>
      <c r="I559" s="43" t="n"/>
      <c r="J559" s="43" t="n"/>
      <c r="K559" s="43" t="n"/>
      <c r="L559" s="43" t="n"/>
      <c r="M559" s="43" t="n"/>
    </row>
    <row r="560">
      <c r="A560" s="43" t="n"/>
      <c r="B560" s="43" t="n"/>
      <c r="C560" s="43" t="n"/>
      <c r="D560" s="43" t="n"/>
      <c r="E560" s="43" t="n"/>
      <c r="F560" s="43" t="n"/>
      <c r="G560" s="43" t="n"/>
      <c r="H560" s="43" t="n"/>
      <c r="I560" s="43" t="n"/>
      <c r="J560" s="43" t="n"/>
      <c r="K560" s="43" t="n"/>
      <c r="L560" s="43" t="n"/>
      <c r="M560" s="43" t="n"/>
    </row>
    <row r="561">
      <c r="A561" s="43" t="n"/>
      <c r="B561" s="43" t="n"/>
      <c r="C561" s="43" t="n"/>
      <c r="D561" s="43" t="n"/>
      <c r="E561" s="43" t="n"/>
      <c r="F561" s="43" t="n"/>
      <c r="G561" s="43" t="n"/>
      <c r="H561" s="43" t="n"/>
      <c r="I561" s="43" t="n"/>
      <c r="J561" s="43" t="n"/>
      <c r="K561" s="43" t="n"/>
      <c r="L561" s="43" t="n"/>
      <c r="M561" s="43" t="n"/>
    </row>
    <row r="562">
      <c r="A562" s="43" t="n"/>
      <c r="B562" s="43" t="n"/>
      <c r="C562" s="43" t="n"/>
      <c r="D562" s="43" t="n"/>
      <c r="E562" s="43" t="n"/>
      <c r="F562" s="43" t="n"/>
      <c r="G562" s="43" t="n"/>
      <c r="H562" s="43" t="n"/>
      <c r="I562" s="43" t="n"/>
      <c r="J562" s="43" t="n"/>
      <c r="K562" s="43" t="n"/>
      <c r="L562" s="43" t="n"/>
      <c r="M562" s="43" t="n"/>
    </row>
    <row r="563">
      <c r="A563" s="43" t="n"/>
      <c r="B563" s="43" t="n"/>
      <c r="C563" s="43" t="n"/>
      <c r="D563" s="43" t="n"/>
      <c r="E563" s="43" t="n"/>
      <c r="F563" s="43" t="n"/>
      <c r="G563" s="43" t="n"/>
      <c r="H563" s="43" t="n"/>
      <c r="I563" s="43" t="n"/>
      <c r="J563" s="43" t="n"/>
      <c r="K563" s="43" t="n"/>
      <c r="L563" s="43" t="n"/>
      <c r="M563" s="43" t="n"/>
    </row>
    <row r="564">
      <c r="A564" s="43" t="n"/>
      <c r="B564" s="43" t="n"/>
      <c r="C564" s="43" t="n"/>
      <c r="D564" s="43" t="n"/>
      <c r="E564" s="43" t="n"/>
      <c r="F564" s="43" t="n"/>
      <c r="G564" s="43" t="n"/>
      <c r="H564" s="43" t="n"/>
      <c r="I564" s="43" t="n"/>
      <c r="J564" s="43" t="n"/>
      <c r="K564" s="43" t="n"/>
      <c r="L564" s="43" t="n"/>
      <c r="M564" s="43" t="n"/>
    </row>
    <row r="565">
      <c r="A565" s="43" t="n"/>
      <c r="B565" s="43" t="n"/>
      <c r="C565" s="43" t="n"/>
      <c r="D565" s="43" t="n"/>
      <c r="E565" s="43" t="n"/>
      <c r="F565" s="43" t="n"/>
      <c r="G565" s="43" t="n"/>
      <c r="H565" s="43" t="n"/>
      <c r="I565" s="43" t="n"/>
      <c r="J565" s="43" t="n"/>
      <c r="K565" s="43" t="n"/>
      <c r="L565" s="43" t="n"/>
      <c r="M565" s="43" t="n"/>
    </row>
    <row r="566">
      <c r="A566" s="43" t="n"/>
      <c r="B566" s="43" t="n"/>
      <c r="C566" s="43" t="n"/>
      <c r="D566" s="43" t="n"/>
      <c r="E566" s="43" t="n"/>
      <c r="F566" s="43" t="n"/>
      <c r="G566" s="43" t="n"/>
      <c r="H566" s="43" t="n"/>
      <c r="I566" s="43" t="n"/>
      <c r="J566" s="43" t="n"/>
      <c r="K566" s="43" t="n"/>
      <c r="L566" s="43" t="n"/>
      <c r="M566" s="43" t="n"/>
    </row>
    <row r="567">
      <c r="A567" s="43" t="n"/>
      <c r="B567" s="43" t="n"/>
      <c r="C567" s="43" t="n"/>
      <c r="D567" s="43" t="n"/>
      <c r="E567" s="43" t="n"/>
      <c r="F567" s="43" t="n"/>
      <c r="G567" s="43" t="n"/>
      <c r="H567" s="43" t="n"/>
      <c r="I567" s="43" t="n"/>
      <c r="J567" s="43" t="n"/>
      <c r="K567" s="43" t="n"/>
      <c r="L567" s="43" t="n"/>
      <c r="M567" s="43" t="n"/>
    </row>
    <row r="568">
      <c r="A568" s="43" t="n"/>
      <c r="B568" s="43" t="n"/>
      <c r="C568" s="43" t="n"/>
      <c r="D568" s="43" t="n"/>
      <c r="E568" s="43" t="n"/>
      <c r="F568" s="43" t="n"/>
      <c r="G568" s="43" t="n"/>
      <c r="H568" s="43" t="n"/>
      <c r="I568" s="43" t="n"/>
      <c r="J568" s="43" t="n"/>
      <c r="K568" s="43" t="n"/>
      <c r="L568" s="43" t="n"/>
      <c r="M568" s="43" t="n"/>
    </row>
    <row r="569">
      <c r="A569" s="43" t="n"/>
      <c r="B569" s="43" t="n"/>
      <c r="C569" s="43" t="n"/>
      <c r="D569" s="43" t="n"/>
      <c r="E569" s="43" t="n"/>
      <c r="F569" s="43" t="n"/>
      <c r="G569" s="43" t="n"/>
      <c r="H569" s="43" t="n"/>
      <c r="I569" s="43" t="n"/>
      <c r="J569" s="43" t="n"/>
      <c r="K569" s="43" t="n"/>
      <c r="L569" s="43" t="n"/>
      <c r="M569" s="43" t="n"/>
    </row>
    <row r="570">
      <c r="A570" s="43" t="n"/>
      <c r="B570" s="43" t="n"/>
      <c r="C570" s="43" t="n"/>
      <c r="D570" s="43" t="n"/>
      <c r="E570" s="43" t="n"/>
      <c r="F570" s="43" t="n"/>
      <c r="G570" s="43" t="n"/>
      <c r="H570" s="43" t="n"/>
      <c r="I570" s="43" t="n"/>
      <c r="J570" s="43" t="n"/>
      <c r="K570" s="43" t="n"/>
      <c r="L570" s="43" t="n"/>
      <c r="M570" s="43" t="n"/>
    </row>
    <row r="571">
      <c r="A571" s="43" t="n"/>
      <c r="B571" s="43" t="n"/>
      <c r="C571" s="43" t="n"/>
      <c r="D571" s="43" t="n"/>
      <c r="E571" s="43" t="n"/>
      <c r="F571" s="43" t="n"/>
      <c r="G571" s="43" t="n"/>
      <c r="H571" s="43" t="n"/>
      <c r="I571" s="43" t="n"/>
      <c r="J571" s="43" t="n"/>
      <c r="K571" s="43" t="n"/>
      <c r="L571" s="43" t="n"/>
      <c r="M571" s="43" t="n"/>
    </row>
    <row r="572">
      <c r="A572" s="43" t="n"/>
      <c r="B572" s="43" t="n"/>
      <c r="C572" s="43" t="n"/>
      <c r="D572" s="43" t="n"/>
      <c r="E572" s="43" t="n"/>
      <c r="F572" s="43" t="n"/>
      <c r="G572" s="43" t="n"/>
      <c r="H572" s="43" t="n"/>
      <c r="I572" s="43" t="n"/>
      <c r="J572" s="43" t="n"/>
      <c r="K572" s="43" t="n"/>
      <c r="L572" s="43" t="n"/>
      <c r="M572" s="43" t="n"/>
    </row>
    <row r="573">
      <c r="A573" s="43" t="n"/>
      <c r="B573" s="43" t="n"/>
      <c r="C573" s="43" t="n"/>
      <c r="D573" s="43" t="n"/>
      <c r="E573" s="43" t="n"/>
      <c r="F573" s="43" t="n"/>
      <c r="G573" s="43" t="n"/>
      <c r="H573" s="43" t="n"/>
      <c r="I573" s="43" t="n"/>
      <c r="J573" s="43" t="n"/>
      <c r="K573" s="43" t="n"/>
      <c r="L573" s="43" t="n"/>
      <c r="M573" s="43" t="n"/>
    </row>
    <row r="574">
      <c r="A574" s="43" t="n"/>
      <c r="B574" s="43" t="n"/>
      <c r="C574" s="43" t="n"/>
      <c r="D574" s="43" t="n"/>
      <c r="E574" s="43" t="n"/>
      <c r="F574" s="43" t="n"/>
      <c r="G574" s="43" t="n"/>
      <c r="H574" s="43" t="n"/>
      <c r="I574" s="43" t="n"/>
      <c r="J574" s="43" t="n"/>
      <c r="K574" s="43" t="n"/>
      <c r="L574" s="43" t="n"/>
      <c r="M574" s="43" t="n"/>
    </row>
    <row r="575">
      <c r="A575" s="43" t="n"/>
      <c r="B575" s="43" t="n"/>
      <c r="C575" s="43" t="n"/>
      <c r="D575" s="43" t="n"/>
      <c r="E575" s="43" t="n"/>
      <c r="F575" s="43" t="n"/>
      <c r="G575" s="43" t="n"/>
      <c r="H575" s="43" t="n"/>
      <c r="I575" s="43" t="n"/>
      <c r="J575" s="43" t="n"/>
      <c r="K575" s="43" t="n"/>
      <c r="L575" s="43" t="n"/>
      <c r="M575" s="43" t="n"/>
    </row>
    <row r="576">
      <c r="A576" s="43" t="n"/>
      <c r="B576" s="43" t="n"/>
      <c r="C576" s="43" t="n"/>
      <c r="D576" s="43" t="n"/>
      <c r="E576" s="43" t="n"/>
      <c r="F576" s="43" t="n"/>
      <c r="G576" s="43" t="n"/>
      <c r="H576" s="43" t="n"/>
      <c r="I576" s="43" t="n"/>
      <c r="J576" s="43" t="n"/>
      <c r="K576" s="43" t="n"/>
      <c r="L576" s="43" t="n"/>
      <c r="M576" s="43" t="n"/>
    </row>
    <row r="577">
      <c r="A577" s="43" t="n"/>
      <c r="B577" s="43" t="n"/>
      <c r="C577" s="43" t="n"/>
      <c r="D577" s="43" t="n"/>
      <c r="E577" s="43" t="n"/>
      <c r="F577" s="43" t="n"/>
      <c r="G577" s="43" t="n"/>
      <c r="H577" s="43" t="n"/>
      <c r="I577" s="43" t="n"/>
      <c r="J577" s="43" t="n"/>
      <c r="K577" s="43" t="n"/>
      <c r="L577" s="43" t="n"/>
      <c r="M577" s="43" t="n"/>
    </row>
    <row r="578">
      <c r="A578" s="43" t="n"/>
      <c r="B578" s="43" t="n"/>
      <c r="C578" s="43" t="n"/>
      <c r="D578" s="43" t="n"/>
      <c r="E578" s="43" t="n"/>
      <c r="F578" s="43" t="n"/>
      <c r="G578" s="43" t="n"/>
      <c r="H578" s="43" t="n"/>
      <c r="I578" s="43" t="n"/>
      <c r="J578" s="43" t="n"/>
      <c r="K578" s="43" t="n"/>
      <c r="L578" s="43" t="n"/>
      <c r="M578" s="43" t="n"/>
    </row>
    <row r="579">
      <c r="A579" s="43" t="n"/>
      <c r="B579" s="43" t="n"/>
      <c r="C579" s="43" t="n"/>
      <c r="D579" s="43" t="n"/>
      <c r="E579" s="43" t="n"/>
      <c r="F579" s="43" t="n"/>
      <c r="G579" s="43" t="n"/>
      <c r="H579" s="43" t="n"/>
      <c r="I579" s="43" t="n"/>
      <c r="J579" s="43" t="n"/>
      <c r="K579" s="43" t="n"/>
      <c r="L579" s="43" t="n"/>
      <c r="M579" s="43" t="n"/>
    </row>
    <row r="580">
      <c r="A580" s="43" t="n"/>
      <c r="B580" s="43" t="n"/>
      <c r="C580" s="43" t="n"/>
      <c r="D580" s="43" t="n"/>
      <c r="E580" s="43" t="n"/>
      <c r="F580" s="43" t="n"/>
      <c r="G580" s="43" t="n"/>
      <c r="H580" s="43" t="n"/>
      <c r="I580" s="43" t="n"/>
      <c r="J580" s="43" t="n"/>
      <c r="K580" s="43" t="n"/>
      <c r="L580" s="43" t="n"/>
      <c r="M580" s="43" t="n"/>
    </row>
    <row r="581">
      <c r="A581" s="43" t="n"/>
      <c r="B581" s="43" t="n"/>
      <c r="C581" s="43" t="n"/>
      <c r="D581" s="43" t="n"/>
      <c r="E581" s="43" t="n"/>
      <c r="F581" s="43" t="n"/>
      <c r="G581" s="43" t="n"/>
      <c r="H581" s="43" t="n"/>
      <c r="I581" s="43" t="n"/>
      <c r="J581" s="43" t="n"/>
      <c r="K581" s="43" t="n"/>
      <c r="L581" s="43" t="n"/>
      <c r="M581" s="43" t="n"/>
    </row>
    <row r="582">
      <c r="A582" s="43" t="n"/>
      <c r="B582" s="43" t="n"/>
      <c r="C582" s="43" t="n"/>
      <c r="D582" s="43" t="n"/>
      <c r="E582" s="43" t="n"/>
      <c r="F582" s="43" t="n"/>
      <c r="G582" s="43" t="n"/>
      <c r="H582" s="43" t="n"/>
      <c r="I582" s="43" t="n"/>
      <c r="J582" s="43" t="n"/>
      <c r="K582" s="43" t="n"/>
      <c r="L582" s="43" t="n"/>
      <c r="M582" s="43" t="n"/>
    </row>
    <row r="583">
      <c r="A583" s="43" t="n"/>
      <c r="B583" s="43" t="n"/>
      <c r="C583" s="43" t="n"/>
      <c r="D583" s="43" t="n"/>
      <c r="E583" s="43" t="n"/>
      <c r="F583" s="43" t="n"/>
      <c r="G583" s="43" t="n"/>
      <c r="H583" s="43" t="n"/>
      <c r="I583" s="43" t="n"/>
      <c r="J583" s="43" t="n"/>
      <c r="K583" s="43" t="n"/>
      <c r="L583" s="43" t="n"/>
      <c r="M583" s="43" t="n"/>
    </row>
    <row r="584">
      <c r="A584" s="43" t="n"/>
      <c r="B584" s="43" t="n"/>
      <c r="C584" s="43" t="n"/>
      <c r="D584" s="43" t="n"/>
      <c r="E584" s="43" t="n"/>
      <c r="F584" s="43" t="n"/>
      <c r="G584" s="43" t="n"/>
      <c r="H584" s="43" t="n"/>
      <c r="I584" s="43" t="n"/>
      <c r="J584" s="43" t="n"/>
      <c r="K584" s="43" t="n"/>
      <c r="L584" s="43" t="n"/>
      <c r="M584" s="43" t="n"/>
    </row>
    <row r="585">
      <c r="A585" s="43" t="n"/>
      <c r="B585" s="43" t="n"/>
      <c r="C585" s="43" t="n"/>
      <c r="D585" s="43" t="n"/>
      <c r="E585" s="43" t="n"/>
      <c r="F585" s="43" t="n"/>
      <c r="G585" s="43" t="n"/>
      <c r="H585" s="43" t="n"/>
      <c r="I585" s="43" t="n"/>
      <c r="J585" s="43" t="n"/>
      <c r="K585" s="43" t="n"/>
      <c r="L585" s="43" t="n"/>
      <c r="M585" s="43" t="n"/>
    </row>
    <row r="586">
      <c r="A586" s="43" t="n"/>
      <c r="B586" s="43" t="n"/>
      <c r="C586" s="43" t="n"/>
      <c r="D586" s="43" t="n"/>
      <c r="E586" s="43" t="n"/>
      <c r="F586" s="43" t="n"/>
      <c r="G586" s="43" t="n"/>
      <c r="H586" s="43" t="n"/>
      <c r="I586" s="43" t="n"/>
      <c r="J586" s="43" t="n"/>
      <c r="K586" s="43" t="n"/>
      <c r="L586" s="43" t="n"/>
      <c r="M586" s="43" t="n"/>
    </row>
    <row r="587">
      <c r="A587" s="43" t="n"/>
      <c r="B587" s="43" t="n"/>
      <c r="C587" s="43" t="n"/>
      <c r="D587" s="43" t="n"/>
      <c r="E587" s="43" t="n"/>
      <c r="F587" s="43" t="n"/>
      <c r="G587" s="43" t="n"/>
      <c r="H587" s="43" t="n"/>
      <c r="I587" s="43" t="n"/>
      <c r="J587" s="43" t="n"/>
      <c r="K587" s="43" t="n"/>
      <c r="L587" s="43" t="n"/>
      <c r="M587" s="43" t="n"/>
    </row>
    <row r="588">
      <c r="A588" s="43" t="n"/>
      <c r="B588" s="43" t="n"/>
      <c r="C588" s="43" t="n"/>
      <c r="D588" s="43" t="n"/>
      <c r="E588" s="43" t="n"/>
      <c r="F588" s="43" t="n"/>
      <c r="G588" s="43" t="n"/>
      <c r="H588" s="43" t="n"/>
      <c r="I588" s="43" t="n"/>
      <c r="J588" s="43" t="n"/>
      <c r="K588" s="43" t="n"/>
      <c r="L588" s="43" t="n"/>
      <c r="M588" s="43" t="n"/>
    </row>
    <row r="589">
      <c r="A589" s="43" t="n"/>
      <c r="B589" s="43" t="n"/>
      <c r="C589" s="43" t="n"/>
      <c r="D589" s="43" t="n"/>
      <c r="E589" s="43" t="n"/>
      <c r="F589" s="43" t="n"/>
      <c r="G589" s="43" t="n"/>
      <c r="H589" s="43" t="n"/>
      <c r="I589" s="43" t="n"/>
      <c r="J589" s="43" t="n"/>
      <c r="K589" s="43" t="n"/>
      <c r="L589" s="43" t="n"/>
      <c r="M589" s="43" t="n"/>
    </row>
    <row r="590">
      <c r="A590" s="43" t="n"/>
      <c r="B590" s="43" t="n"/>
      <c r="C590" s="43" t="n"/>
      <c r="D590" s="43" t="n"/>
      <c r="E590" s="43" t="n"/>
      <c r="F590" s="43" t="n"/>
      <c r="G590" s="43" t="n"/>
      <c r="H590" s="43" t="n"/>
      <c r="I590" s="43" t="n"/>
      <c r="J590" s="43" t="n"/>
      <c r="K590" s="43" t="n"/>
      <c r="L590" s="43" t="n"/>
      <c r="M590" s="43" t="n"/>
    </row>
    <row r="591">
      <c r="A591" s="43" t="n"/>
      <c r="B591" s="43" t="n"/>
      <c r="C591" s="43" t="n"/>
      <c r="D591" s="43" t="n"/>
      <c r="E591" s="43" t="n"/>
      <c r="F591" s="43" t="n"/>
      <c r="G591" s="43" t="n"/>
      <c r="H591" s="43" t="n"/>
      <c r="I591" s="43" t="n"/>
      <c r="J591" s="43" t="n"/>
      <c r="K591" s="43" t="n"/>
      <c r="L591" s="43" t="n"/>
      <c r="M591" s="43" t="n"/>
    </row>
    <row r="592">
      <c r="A592" s="43" t="n"/>
      <c r="B592" s="43" t="n"/>
      <c r="C592" s="43" t="n"/>
      <c r="D592" s="43" t="n"/>
      <c r="E592" s="43" t="n"/>
      <c r="F592" s="43" t="n"/>
      <c r="G592" s="43" t="n"/>
      <c r="H592" s="43" t="n"/>
      <c r="I592" s="43" t="n"/>
      <c r="J592" s="43" t="n"/>
      <c r="K592" s="43" t="n"/>
      <c r="L592" s="43" t="n"/>
      <c r="M592" s="43" t="n"/>
    </row>
    <row r="593">
      <c r="A593" s="43" t="n"/>
      <c r="B593" s="43" t="n"/>
      <c r="C593" s="43" t="n"/>
      <c r="D593" s="43" t="n"/>
      <c r="E593" s="43" t="n"/>
      <c r="F593" s="43" t="n"/>
      <c r="G593" s="43" t="n"/>
      <c r="H593" s="43" t="n"/>
      <c r="I593" s="43" t="n"/>
      <c r="J593" s="43" t="n"/>
      <c r="K593" s="43" t="n"/>
      <c r="L593" s="43" t="n"/>
      <c r="M593" s="43" t="n"/>
    </row>
    <row r="594">
      <c r="A594" s="43" t="n"/>
      <c r="B594" s="43" t="n"/>
      <c r="C594" s="43" t="n"/>
      <c r="D594" s="43" t="n"/>
      <c r="E594" s="43" t="n"/>
      <c r="F594" s="43" t="n"/>
      <c r="G594" s="43" t="n"/>
      <c r="H594" s="43" t="n"/>
      <c r="I594" s="43" t="n"/>
      <c r="J594" s="43" t="n"/>
      <c r="K594" s="43" t="n"/>
      <c r="L594" s="43" t="n"/>
      <c r="M594" s="43" t="n"/>
    </row>
    <row r="595">
      <c r="A595" s="43" t="n"/>
      <c r="B595" s="43" t="n"/>
      <c r="C595" s="43" t="n"/>
      <c r="D595" s="43" t="n"/>
      <c r="E595" s="43" t="n"/>
      <c r="F595" s="43" t="n"/>
      <c r="G595" s="43" t="n"/>
      <c r="H595" s="43" t="n"/>
      <c r="I595" s="43" t="n"/>
      <c r="J595" s="43" t="n"/>
      <c r="K595" s="43" t="n"/>
      <c r="L595" s="43" t="n"/>
      <c r="M595" s="43" t="n"/>
    </row>
    <row r="596">
      <c r="A596" s="43" t="n"/>
      <c r="B596" s="43" t="n"/>
      <c r="C596" s="43" t="n"/>
      <c r="D596" s="43" t="n"/>
      <c r="E596" s="43" t="n"/>
      <c r="F596" s="43" t="n"/>
      <c r="G596" s="43" t="n"/>
      <c r="H596" s="43" t="n"/>
      <c r="I596" s="43" t="n"/>
      <c r="J596" s="43" t="n"/>
      <c r="K596" s="43" t="n"/>
      <c r="L596" s="43" t="n"/>
      <c r="M596" s="43" t="n"/>
    </row>
    <row r="597">
      <c r="A597" s="43" t="n"/>
      <c r="B597" s="43" t="n"/>
      <c r="C597" s="43" t="n"/>
      <c r="D597" s="43" t="n"/>
      <c r="E597" s="43" t="n"/>
      <c r="F597" s="43" t="n"/>
      <c r="G597" s="43" t="n"/>
      <c r="H597" s="43" t="n"/>
      <c r="I597" s="43" t="n"/>
      <c r="J597" s="43" t="n"/>
      <c r="K597" s="43" t="n"/>
      <c r="L597" s="43" t="n"/>
      <c r="M597" s="43" t="n"/>
    </row>
    <row r="598">
      <c r="A598" s="43" t="n"/>
      <c r="B598" s="43" t="n"/>
      <c r="C598" s="43" t="n"/>
      <c r="D598" s="43" t="n"/>
      <c r="E598" s="43" t="n"/>
      <c r="F598" s="43" t="n"/>
      <c r="G598" s="43" t="n"/>
      <c r="H598" s="43" t="n"/>
      <c r="I598" s="43" t="n"/>
      <c r="J598" s="43" t="n"/>
      <c r="K598" s="43" t="n"/>
      <c r="L598" s="43" t="n"/>
      <c r="M598" s="43" t="n"/>
    </row>
    <row r="599">
      <c r="A599" s="43" t="n"/>
      <c r="B599" s="43" t="n"/>
      <c r="C599" s="43" t="n"/>
      <c r="D599" s="43" t="n"/>
      <c r="E599" s="43" t="n"/>
      <c r="F599" s="43" t="n"/>
      <c r="G599" s="43" t="n"/>
      <c r="H599" s="43" t="n"/>
      <c r="I599" s="43" t="n"/>
      <c r="J599" s="43" t="n"/>
      <c r="K599" s="43" t="n"/>
      <c r="L599" s="43" t="n"/>
      <c r="M599" s="43" t="n"/>
    </row>
    <row r="600">
      <c r="A600" s="43" t="n"/>
      <c r="B600" s="43" t="n"/>
      <c r="C600" s="43" t="n"/>
      <c r="D600" s="43" t="n"/>
      <c r="E600" s="43" t="n"/>
      <c r="F600" s="43" t="n"/>
      <c r="G600" s="43" t="n"/>
      <c r="H600" s="43" t="n"/>
      <c r="I600" s="43" t="n"/>
      <c r="J600" s="43" t="n"/>
      <c r="K600" s="43" t="n"/>
      <c r="L600" s="43" t="n"/>
      <c r="M600" s="43" t="n"/>
    </row>
    <row r="601">
      <c r="A601" s="43" t="n"/>
      <c r="B601" s="43" t="n"/>
      <c r="C601" s="43" t="n"/>
      <c r="D601" s="43" t="n"/>
      <c r="E601" s="43" t="n"/>
      <c r="F601" s="43" t="n"/>
      <c r="G601" s="43" t="n"/>
      <c r="H601" s="43" t="n"/>
      <c r="I601" s="43" t="n"/>
      <c r="J601" s="43" t="n"/>
      <c r="K601" s="43" t="n"/>
      <c r="L601" s="43" t="n"/>
      <c r="M601" s="43" t="n"/>
    </row>
    <row r="602">
      <c r="A602" s="43" t="n"/>
      <c r="B602" s="43" t="n"/>
      <c r="C602" s="43" t="n"/>
      <c r="D602" s="43" t="n"/>
      <c r="E602" s="43" t="n"/>
      <c r="F602" s="43" t="n"/>
      <c r="G602" s="43" t="n"/>
      <c r="H602" s="43" t="n"/>
      <c r="I602" s="43" t="n"/>
      <c r="J602" s="43" t="n"/>
      <c r="K602" s="43" t="n"/>
      <c r="L602" s="43" t="n"/>
      <c r="M602" s="43" t="n"/>
    </row>
    <row r="603">
      <c r="A603" s="43" t="n"/>
      <c r="B603" s="43" t="n"/>
      <c r="C603" s="43" t="n"/>
      <c r="D603" s="43" t="n"/>
      <c r="E603" s="43" t="n"/>
      <c r="F603" s="43" t="n"/>
      <c r="G603" s="43" t="n"/>
      <c r="H603" s="43" t="n"/>
      <c r="I603" s="43" t="n"/>
      <c r="J603" s="43" t="n"/>
      <c r="K603" s="43" t="n"/>
      <c r="L603" s="43" t="n"/>
      <c r="M603" s="43" t="n"/>
    </row>
    <row r="604">
      <c r="A604" s="43" t="n"/>
      <c r="B604" s="43" t="n"/>
      <c r="C604" s="43" t="n"/>
      <c r="D604" s="43" t="n"/>
      <c r="E604" s="43" t="n"/>
      <c r="F604" s="43" t="n"/>
      <c r="G604" s="43" t="n"/>
      <c r="H604" s="43" t="n"/>
      <c r="I604" s="43" t="n"/>
      <c r="J604" s="43" t="n"/>
      <c r="K604" s="43" t="n"/>
      <c r="L604" s="43" t="n"/>
      <c r="M604" s="43" t="n"/>
    </row>
    <row r="605">
      <c r="A605" s="43" t="n"/>
      <c r="B605" s="43" t="n"/>
      <c r="C605" s="43" t="n"/>
      <c r="D605" s="43" t="n"/>
      <c r="E605" s="43" t="n"/>
      <c r="F605" s="43" t="n"/>
      <c r="G605" s="43" t="n"/>
      <c r="H605" s="43" t="n"/>
      <c r="I605" s="43" t="n"/>
      <c r="J605" s="43" t="n"/>
      <c r="K605" s="43" t="n"/>
      <c r="L605" s="43" t="n"/>
      <c r="M605" s="43" t="n"/>
    </row>
    <row r="606">
      <c r="A606" s="43" t="n"/>
      <c r="B606" s="43" t="n"/>
      <c r="C606" s="43" t="n"/>
      <c r="D606" s="43" t="n"/>
      <c r="E606" s="43" t="n"/>
      <c r="F606" s="43" t="n"/>
      <c r="G606" s="43" t="n"/>
      <c r="H606" s="43" t="n"/>
      <c r="I606" s="43" t="n"/>
      <c r="J606" s="43" t="n"/>
      <c r="K606" s="43" t="n"/>
      <c r="L606" s="43" t="n"/>
      <c r="M606" s="43" t="n"/>
    </row>
    <row r="607">
      <c r="A607" s="43" t="n"/>
      <c r="B607" s="43" t="n"/>
      <c r="C607" s="43" t="n"/>
      <c r="D607" s="43" t="n"/>
      <c r="E607" s="43" t="n"/>
      <c r="F607" s="43" t="n"/>
      <c r="G607" s="43" t="n"/>
      <c r="H607" s="43" t="n"/>
      <c r="I607" s="43" t="n"/>
      <c r="J607" s="43" t="n"/>
      <c r="K607" s="43" t="n"/>
      <c r="L607" s="43" t="n"/>
      <c r="M607" s="43" t="n"/>
    </row>
    <row r="608">
      <c r="A608" s="43" t="n"/>
      <c r="B608" s="43" t="n"/>
      <c r="C608" s="43" t="n"/>
      <c r="D608" s="43" t="n"/>
      <c r="E608" s="43" t="n"/>
      <c r="F608" s="43" t="n"/>
      <c r="G608" s="43" t="n"/>
      <c r="H608" s="43" t="n"/>
      <c r="I608" s="43" t="n"/>
      <c r="J608" s="43" t="n"/>
      <c r="K608" s="43" t="n"/>
      <c r="L608" s="43" t="n"/>
      <c r="M608" s="43" t="n"/>
    </row>
    <row r="609">
      <c r="A609" s="43" t="n"/>
      <c r="B609" s="43" t="n"/>
      <c r="C609" s="43" t="n"/>
      <c r="D609" s="43" t="n"/>
      <c r="E609" s="43" t="n"/>
      <c r="F609" s="43" t="n"/>
      <c r="G609" s="43" t="n"/>
      <c r="H609" s="43" t="n"/>
      <c r="I609" s="43" t="n"/>
      <c r="J609" s="43" t="n"/>
      <c r="K609" s="43" t="n"/>
      <c r="L609" s="43" t="n"/>
      <c r="M609" s="43" t="n"/>
    </row>
    <row r="610">
      <c r="A610" s="43" t="n"/>
      <c r="B610" s="43" t="n"/>
      <c r="C610" s="43" t="n"/>
      <c r="D610" s="43" t="n"/>
      <c r="E610" s="43" t="n"/>
      <c r="F610" s="43" t="n"/>
      <c r="G610" s="43" t="n"/>
      <c r="H610" s="43" t="n"/>
      <c r="I610" s="43" t="n"/>
      <c r="J610" s="43" t="n"/>
      <c r="K610" s="43" t="n"/>
      <c r="L610" s="43" t="n"/>
      <c r="M610" s="43" t="n"/>
    </row>
    <row r="611">
      <c r="A611" s="43" t="n"/>
      <c r="B611" s="43" t="n"/>
      <c r="C611" s="43" t="n"/>
      <c r="D611" s="43" t="n"/>
      <c r="E611" s="43" t="n"/>
      <c r="F611" s="43" t="n"/>
      <c r="G611" s="43" t="n"/>
      <c r="H611" s="43" t="n"/>
      <c r="I611" s="43" t="n"/>
      <c r="J611" s="43" t="n"/>
      <c r="K611" s="43" t="n"/>
      <c r="L611" s="43" t="n"/>
      <c r="M611" s="43" t="n"/>
    </row>
    <row r="612">
      <c r="A612" s="43" t="n"/>
      <c r="B612" s="43" t="n"/>
      <c r="C612" s="43" t="n"/>
      <c r="D612" s="43" t="n"/>
      <c r="E612" s="43" t="n"/>
      <c r="F612" s="43" t="n"/>
      <c r="G612" s="43" t="n"/>
      <c r="H612" s="43" t="n"/>
      <c r="I612" s="43" t="n"/>
      <c r="J612" s="43" t="n"/>
      <c r="K612" s="43" t="n"/>
      <c r="L612" s="43" t="n"/>
      <c r="M612" s="43" t="n"/>
    </row>
    <row r="613">
      <c r="A613" s="43" t="n"/>
      <c r="B613" s="43" t="n"/>
      <c r="C613" s="43" t="n"/>
      <c r="D613" s="43" t="n"/>
      <c r="E613" s="43" t="n"/>
      <c r="F613" s="43" t="n"/>
      <c r="G613" s="43" t="n"/>
      <c r="H613" s="43" t="n"/>
      <c r="I613" s="43" t="n"/>
      <c r="J613" s="43" t="n"/>
      <c r="K613" s="43" t="n"/>
      <c r="L613" s="43" t="n"/>
      <c r="M613" s="43" t="n"/>
    </row>
    <row r="614">
      <c r="A614" s="43" t="n"/>
      <c r="B614" s="43" t="n"/>
      <c r="C614" s="43" t="n"/>
      <c r="D614" s="43" t="n"/>
      <c r="E614" s="43" t="n"/>
      <c r="F614" s="43" t="n"/>
      <c r="G614" s="43" t="n"/>
      <c r="H614" s="43" t="n"/>
      <c r="I614" s="43" t="n"/>
      <c r="J614" s="43" t="n"/>
      <c r="K614" s="43" t="n"/>
      <c r="L614" s="43" t="n"/>
      <c r="M614" s="43" t="n"/>
    </row>
    <row r="615">
      <c r="A615" s="43" t="n"/>
      <c r="B615" s="43" t="n"/>
      <c r="C615" s="43" t="n"/>
      <c r="D615" s="43" t="n"/>
      <c r="E615" s="43" t="n"/>
      <c r="F615" s="43" t="n"/>
      <c r="G615" s="43" t="n"/>
      <c r="H615" s="43" t="n"/>
      <c r="I615" s="43" t="n"/>
      <c r="J615" s="43" t="n"/>
      <c r="K615" s="43" t="n"/>
      <c r="L615" s="43" t="n"/>
      <c r="M615" s="43" t="n"/>
    </row>
    <row r="616">
      <c r="A616" s="43" t="n"/>
      <c r="B616" s="43" t="n"/>
      <c r="C616" s="43" t="n"/>
      <c r="D616" s="43" t="n"/>
      <c r="E616" s="43" t="n"/>
      <c r="F616" s="43" t="n"/>
      <c r="G616" s="43" t="n"/>
      <c r="H616" s="43" t="n"/>
      <c r="I616" s="43" t="n"/>
      <c r="J616" s="43" t="n"/>
      <c r="K616" s="43" t="n"/>
      <c r="L616" s="43" t="n"/>
      <c r="M616" s="43" t="n"/>
    </row>
    <row r="617">
      <c r="A617" s="43" t="n"/>
      <c r="B617" s="43" t="n"/>
      <c r="C617" s="43" t="n"/>
      <c r="D617" s="43" t="n"/>
      <c r="E617" s="43" t="n"/>
      <c r="F617" s="43" t="n"/>
      <c r="G617" s="43" t="n"/>
      <c r="H617" s="43" t="n"/>
      <c r="I617" s="43" t="n"/>
      <c r="J617" s="43" t="n"/>
      <c r="K617" s="43" t="n"/>
      <c r="L617" s="43" t="n"/>
      <c r="M617" s="43" t="n"/>
    </row>
    <row r="618">
      <c r="A618" s="43" t="n"/>
      <c r="B618" s="43" t="n"/>
      <c r="C618" s="43" t="n"/>
      <c r="D618" s="43" t="n"/>
      <c r="E618" s="43" t="n"/>
      <c r="F618" s="43" t="n"/>
      <c r="G618" s="43" t="n"/>
      <c r="H618" s="43" t="n"/>
      <c r="I618" s="43" t="n"/>
      <c r="J618" s="43" t="n"/>
      <c r="K618" s="43" t="n"/>
      <c r="L618" s="43" t="n"/>
      <c r="M618" s="43" t="n"/>
    </row>
    <row r="619">
      <c r="A619" s="43" t="n"/>
      <c r="B619" s="43" t="n"/>
      <c r="C619" s="43" t="n"/>
      <c r="D619" s="43" t="n"/>
      <c r="E619" s="43" t="n"/>
      <c r="F619" s="43" t="n"/>
      <c r="G619" s="43" t="n"/>
      <c r="H619" s="43" t="n"/>
      <c r="I619" s="43" t="n"/>
      <c r="J619" s="43" t="n"/>
      <c r="K619" s="43" t="n"/>
      <c r="L619" s="43" t="n"/>
      <c r="M619" s="43" t="n"/>
    </row>
    <row r="620">
      <c r="A620" s="43" t="n"/>
      <c r="B620" s="43" t="n"/>
      <c r="C620" s="43" t="n"/>
      <c r="D620" s="43" t="n"/>
      <c r="E620" s="43" t="n"/>
      <c r="F620" s="43" t="n"/>
      <c r="G620" s="43" t="n"/>
      <c r="H620" s="43" t="n"/>
      <c r="I620" s="43" t="n"/>
      <c r="J620" s="43" t="n"/>
      <c r="K620" s="43" t="n"/>
      <c r="L620" s="43" t="n"/>
      <c r="M620" s="43" t="n"/>
    </row>
    <row r="621">
      <c r="A621" s="43" t="n"/>
      <c r="B621" s="43" t="n"/>
      <c r="C621" s="43" t="n"/>
      <c r="D621" s="43" t="n"/>
      <c r="E621" s="43" t="n"/>
      <c r="F621" s="43" t="n"/>
      <c r="G621" s="43" t="n"/>
      <c r="H621" s="43" t="n"/>
      <c r="I621" s="43" t="n"/>
      <c r="J621" s="43" t="n"/>
      <c r="K621" s="43" t="n"/>
      <c r="L621" s="43" t="n"/>
      <c r="M621" s="43" t="n"/>
    </row>
    <row r="622">
      <c r="A622" s="43" t="n"/>
      <c r="B622" s="43" t="n"/>
      <c r="C622" s="43" t="n"/>
      <c r="D622" s="43" t="n"/>
      <c r="E622" s="43" t="n"/>
      <c r="F622" s="43" t="n"/>
      <c r="G622" s="43" t="n"/>
      <c r="H622" s="43" t="n"/>
      <c r="I622" s="43" t="n"/>
      <c r="J622" s="43" t="n"/>
      <c r="K622" s="43" t="n"/>
      <c r="L622" s="43" t="n"/>
      <c r="M622" s="43" t="n"/>
    </row>
    <row r="623">
      <c r="A623" s="43" t="n"/>
      <c r="B623" s="43" t="n"/>
      <c r="C623" s="43" t="n"/>
      <c r="D623" s="43" t="n"/>
      <c r="E623" s="43" t="n"/>
      <c r="F623" s="43" t="n"/>
      <c r="G623" s="43" t="n"/>
      <c r="H623" s="43" t="n"/>
      <c r="I623" s="43" t="n"/>
      <c r="J623" s="43" t="n"/>
      <c r="K623" s="43" t="n"/>
      <c r="L623" s="43" t="n"/>
      <c r="M623" s="43" t="n"/>
    </row>
    <row r="624">
      <c r="A624" s="43" t="n"/>
      <c r="B624" s="43" t="n"/>
      <c r="C624" s="43" t="n"/>
      <c r="D624" s="43" t="n"/>
      <c r="E624" s="43" t="n"/>
      <c r="F624" s="43" t="n"/>
      <c r="G624" s="43" t="n"/>
      <c r="H624" s="43" t="n"/>
      <c r="I624" s="43" t="n"/>
      <c r="J624" s="43" t="n"/>
      <c r="K624" s="43" t="n"/>
      <c r="L624" s="43" t="n"/>
      <c r="M624" s="43" t="n"/>
    </row>
    <row r="625">
      <c r="A625" s="43" t="n"/>
      <c r="B625" s="43" t="n"/>
      <c r="C625" s="43" t="n"/>
      <c r="D625" s="43" t="n"/>
      <c r="E625" s="43" t="n"/>
      <c r="F625" s="43" t="n"/>
      <c r="G625" s="43" t="n"/>
      <c r="H625" s="43" t="n"/>
      <c r="I625" s="43" t="n"/>
      <c r="J625" s="43" t="n"/>
      <c r="K625" s="43" t="n"/>
      <c r="L625" s="43" t="n"/>
      <c r="M625" s="43" t="n"/>
    </row>
    <row r="626">
      <c r="A626" s="43" t="n"/>
      <c r="B626" s="43" t="n"/>
      <c r="C626" s="43" t="n"/>
      <c r="D626" s="43" t="n"/>
      <c r="E626" s="43" t="n"/>
      <c r="F626" s="43" t="n"/>
      <c r="G626" s="43" t="n"/>
      <c r="H626" s="43" t="n"/>
      <c r="I626" s="43" t="n"/>
      <c r="J626" s="43" t="n"/>
      <c r="K626" s="43" t="n"/>
      <c r="L626" s="43" t="n"/>
      <c r="M626" s="43" t="n"/>
    </row>
    <row r="627">
      <c r="A627" s="43" t="n"/>
      <c r="B627" s="43" t="n"/>
      <c r="C627" s="43" t="n"/>
      <c r="D627" s="43" t="n"/>
      <c r="E627" s="43" t="n"/>
      <c r="F627" s="43" t="n"/>
      <c r="G627" s="43" t="n"/>
      <c r="H627" s="43" t="n"/>
      <c r="I627" s="43" t="n"/>
      <c r="J627" s="43" t="n"/>
      <c r="K627" s="43" t="n"/>
      <c r="L627" s="43" t="n"/>
      <c r="M627" s="43" t="n"/>
    </row>
    <row r="628">
      <c r="A628" s="43" t="n"/>
      <c r="B628" s="43" t="n"/>
      <c r="C628" s="43" t="n"/>
      <c r="D628" s="43" t="n"/>
      <c r="E628" s="43" t="n"/>
      <c r="F628" s="43" t="n"/>
      <c r="G628" s="43" t="n"/>
      <c r="H628" s="43" t="n"/>
      <c r="I628" s="43" t="n"/>
      <c r="J628" s="43" t="n"/>
      <c r="K628" s="43" t="n"/>
      <c r="L628" s="43" t="n"/>
      <c r="M628" s="43" t="n"/>
    </row>
    <row r="629">
      <c r="A629" s="43" t="n"/>
      <c r="B629" s="43" t="n"/>
      <c r="C629" s="43" t="n"/>
      <c r="D629" s="43" t="n"/>
      <c r="E629" s="43" t="n"/>
      <c r="F629" s="43" t="n"/>
      <c r="G629" s="43" t="n"/>
      <c r="H629" s="43" t="n"/>
      <c r="I629" s="43" t="n"/>
      <c r="J629" s="43" t="n"/>
      <c r="K629" s="43" t="n"/>
      <c r="L629" s="43" t="n"/>
      <c r="M629" s="43" t="n"/>
    </row>
    <row r="630">
      <c r="A630" s="43" t="n"/>
      <c r="B630" s="43" t="n"/>
      <c r="C630" s="43" t="n"/>
      <c r="D630" s="43" t="n"/>
      <c r="E630" s="43" t="n"/>
      <c r="F630" s="43" t="n"/>
      <c r="G630" s="43" t="n"/>
      <c r="H630" s="43" t="n"/>
      <c r="I630" s="43" t="n"/>
      <c r="J630" s="43" t="n"/>
      <c r="K630" s="43" t="n"/>
      <c r="L630" s="43" t="n"/>
      <c r="M630" s="43" t="n"/>
    </row>
    <row r="631">
      <c r="A631" s="43" t="n"/>
      <c r="B631" s="43" t="n"/>
      <c r="C631" s="43" t="n"/>
      <c r="D631" s="43" t="n"/>
      <c r="E631" s="43" t="n"/>
      <c r="F631" s="43" t="n"/>
      <c r="G631" s="43" t="n"/>
      <c r="H631" s="43" t="n"/>
      <c r="I631" s="43" t="n"/>
      <c r="J631" s="43" t="n"/>
      <c r="K631" s="43" t="n"/>
      <c r="L631" s="43" t="n"/>
      <c r="M631" s="43" t="n"/>
    </row>
    <row r="632">
      <c r="A632" s="43" t="n"/>
      <c r="B632" s="43" t="n"/>
      <c r="C632" s="43" t="n"/>
      <c r="D632" s="43" t="n"/>
      <c r="E632" s="43" t="n"/>
      <c r="F632" s="43" t="n"/>
      <c r="G632" s="43" t="n"/>
      <c r="H632" s="43" t="n"/>
      <c r="I632" s="43" t="n"/>
      <c r="J632" s="43" t="n"/>
      <c r="K632" s="43" t="n"/>
      <c r="L632" s="43" t="n"/>
      <c r="M632" s="43" t="n"/>
    </row>
    <row r="633">
      <c r="A633" s="43" t="n"/>
      <c r="B633" s="43" t="n"/>
      <c r="C633" s="43" t="n"/>
      <c r="D633" s="43" t="n"/>
      <c r="E633" s="43" t="n"/>
      <c r="F633" s="43" t="n"/>
      <c r="G633" s="43" t="n"/>
      <c r="H633" s="43" t="n"/>
      <c r="I633" s="43" t="n"/>
      <c r="J633" s="43" t="n"/>
      <c r="K633" s="43" t="n"/>
      <c r="L633" s="43" t="n"/>
      <c r="M633" s="43" t="n"/>
    </row>
    <row r="634">
      <c r="A634" s="43" t="n"/>
      <c r="B634" s="43" t="n"/>
      <c r="C634" s="43" t="n"/>
      <c r="D634" s="43" t="n"/>
      <c r="E634" s="43" t="n"/>
      <c r="F634" s="43" t="n"/>
      <c r="G634" s="43" t="n"/>
      <c r="H634" s="43" t="n"/>
      <c r="I634" s="43" t="n"/>
      <c r="J634" s="43" t="n"/>
      <c r="K634" s="43" t="n"/>
      <c r="L634" s="43" t="n"/>
      <c r="M634" s="43" t="n"/>
    </row>
    <row r="635">
      <c r="A635" s="43" t="n"/>
      <c r="B635" s="43" t="n"/>
      <c r="C635" s="43" t="n"/>
      <c r="D635" s="43" t="n"/>
      <c r="E635" s="43" t="n"/>
      <c r="F635" s="43" t="n"/>
      <c r="G635" s="43" t="n"/>
      <c r="H635" s="43" t="n"/>
      <c r="I635" s="43" t="n"/>
      <c r="J635" s="43" t="n"/>
      <c r="K635" s="43" t="n"/>
      <c r="L635" s="43" t="n"/>
      <c r="M635" s="43" t="n"/>
    </row>
    <row r="636">
      <c r="A636" s="43" t="n"/>
      <c r="B636" s="43" t="n"/>
      <c r="C636" s="43" t="n"/>
      <c r="D636" s="43" t="n"/>
      <c r="E636" s="43" t="n"/>
      <c r="F636" s="43" t="n"/>
      <c r="G636" s="43" t="n"/>
      <c r="H636" s="43" t="n"/>
      <c r="I636" s="43" t="n"/>
      <c r="J636" s="43" t="n"/>
      <c r="K636" s="43" t="n"/>
      <c r="L636" s="43" t="n"/>
      <c r="M636" s="43" t="n"/>
    </row>
    <row r="637">
      <c r="A637" s="43" t="n"/>
      <c r="B637" s="43" t="n"/>
      <c r="C637" s="43" t="n"/>
      <c r="D637" s="43" t="n"/>
      <c r="E637" s="43" t="n"/>
      <c r="F637" s="43" t="n"/>
      <c r="G637" s="43" t="n"/>
      <c r="H637" s="43" t="n"/>
      <c r="I637" s="43" t="n"/>
      <c r="J637" s="43" t="n"/>
      <c r="K637" s="43" t="n"/>
      <c r="L637" s="43" t="n"/>
      <c r="M637" s="43" t="n"/>
    </row>
    <row r="638">
      <c r="A638" s="43" t="n"/>
      <c r="B638" s="43" t="n"/>
      <c r="C638" s="43" t="n"/>
      <c r="D638" s="43" t="n"/>
      <c r="E638" s="43" t="n"/>
      <c r="F638" s="43" t="n"/>
      <c r="G638" s="43" t="n"/>
      <c r="H638" s="43" t="n"/>
      <c r="I638" s="43" t="n"/>
      <c r="J638" s="43" t="n"/>
      <c r="K638" s="43" t="n"/>
      <c r="L638" s="43" t="n"/>
      <c r="M638" s="43" t="n"/>
    </row>
    <row r="639">
      <c r="A639" s="43" t="n"/>
      <c r="B639" s="43" t="n"/>
      <c r="C639" s="43" t="n"/>
      <c r="D639" s="43" t="n"/>
      <c r="E639" s="43" t="n"/>
      <c r="F639" s="43" t="n"/>
      <c r="G639" s="43" t="n"/>
      <c r="H639" s="43" t="n"/>
      <c r="I639" s="43" t="n"/>
      <c r="J639" s="43" t="n"/>
      <c r="K639" s="43" t="n"/>
      <c r="L639" s="43" t="n"/>
      <c r="M639" s="43" t="n"/>
    </row>
    <row r="640">
      <c r="A640" s="43" t="n"/>
      <c r="B640" s="43" t="n"/>
      <c r="C640" s="43" t="n"/>
      <c r="D640" s="43" t="n"/>
      <c r="E640" s="43" t="n"/>
      <c r="F640" s="43" t="n"/>
      <c r="G640" s="43" t="n"/>
      <c r="H640" s="43" t="n"/>
      <c r="I640" s="43" t="n"/>
      <c r="J640" s="43" t="n"/>
      <c r="K640" s="43" t="n"/>
      <c r="L640" s="43" t="n"/>
      <c r="M640" s="43" t="n"/>
    </row>
    <row r="641">
      <c r="A641" s="43" t="n"/>
      <c r="B641" s="43" t="n"/>
      <c r="C641" s="43" t="n"/>
      <c r="D641" s="43" t="n"/>
      <c r="E641" s="43" t="n"/>
      <c r="F641" s="43" t="n"/>
      <c r="G641" s="43" t="n"/>
      <c r="H641" s="43" t="n"/>
      <c r="I641" s="43" t="n"/>
      <c r="J641" s="43" t="n"/>
      <c r="K641" s="43" t="n"/>
      <c r="L641" s="43" t="n"/>
      <c r="M641" s="43" t="n"/>
    </row>
    <row r="642">
      <c r="A642" s="43" t="n"/>
      <c r="B642" s="43" t="n"/>
      <c r="C642" s="43" t="n"/>
      <c r="D642" s="43" t="n"/>
      <c r="E642" s="43" t="n"/>
      <c r="F642" s="43" t="n"/>
      <c r="G642" s="43" t="n"/>
      <c r="H642" s="43" t="n"/>
      <c r="I642" s="43" t="n"/>
      <c r="J642" s="43" t="n"/>
      <c r="K642" s="43" t="n"/>
      <c r="L642" s="43" t="n"/>
      <c r="M642" s="43" t="n"/>
    </row>
    <row r="643">
      <c r="A643" s="43" t="n"/>
      <c r="B643" s="43" t="n"/>
      <c r="C643" s="43" t="n"/>
      <c r="D643" s="43" t="n"/>
      <c r="E643" s="43" t="n"/>
      <c r="F643" s="43" t="n"/>
      <c r="G643" s="43" t="n"/>
      <c r="H643" s="43" t="n"/>
      <c r="I643" s="43" t="n"/>
      <c r="J643" s="43" t="n"/>
      <c r="K643" s="43" t="n"/>
      <c r="L643" s="43" t="n"/>
      <c r="M643" s="43" t="n"/>
    </row>
    <row r="644">
      <c r="A644" s="43" t="n"/>
      <c r="B644" s="43" t="n"/>
      <c r="C644" s="43" t="n"/>
      <c r="D644" s="43" t="n"/>
      <c r="E644" s="43" t="n"/>
      <c r="F644" s="43" t="n"/>
      <c r="G644" s="43" t="n"/>
      <c r="H644" s="43" t="n"/>
      <c r="I644" s="43" t="n"/>
      <c r="J644" s="43" t="n"/>
      <c r="K644" s="43" t="n"/>
      <c r="L644" s="43" t="n"/>
      <c r="M644" s="43" t="n"/>
    </row>
    <row r="645">
      <c r="A645" s="43" t="n"/>
      <c r="B645" s="43" t="n"/>
      <c r="C645" s="43" t="n"/>
      <c r="D645" s="43" t="n"/>
      <c r="E645" s="43" t="n"/>
      <c r="F645" s="43" t="n"/>
      <c r="G645" s="43" t="n"/>
      <c r="H645" s="43" t="n"/>
      <c r="I645" s="43" t="n"/>
      <c r="J645" s="43" t="n"/>
      <c r="K645" s="43" t="n"/>
      <c r="L645" s="43" t="n"/>
      <c r="M645" s="43" t="n"/>
    </row>
    <row r="646">
      <c r="A646" s="43" t="n"/>
      <c r="B646" s="43" t="n"/>
      <c r="C646" s="43" t="n"/>
      <c r="D646" s="43" t="n"/>
      <c r="E646" s="43" t="n"/>
      <c r="F646" s="43" t="n"/>
      <c r="G646" s="43" t="n"/>
      <c r="H646" s="43" t="n"/>
      <c r="I646" s="43" t="n"/>
      <c r="J646" s="43" t="n"/>
      <c r="K646" s="43" t="n"/>
      <c r="L646" s="43" t="n"/>
      <c r="M646" s="43" t="n"/>
    </row>
    <row r="647">
      <c r="A647" s="43" t="n"/>
      <c r="B647" s="43" t="n"/>
      <c r="C647" s="43" t="n"/>
      <c r="D647" s="43" t="n"/>
      <c r="E647" s="43" t="n"/>
      <c r="F647" s="43" t="n"/>
      <c r="G647" s="43" t="n"/>
      <c r="H647" s="43" t="n"/>
      <c r="I647" s="43" t="n"/>
      <c r="J647" s="43" t="n"/>
      <c r="K647" s="43" t="n"/>
      <c r="L647" s="43" t="n"/>
      <c r="M647" s="43" t="n"/>
    </row>
    <row r="648">
      <c r="A648" s="43" t="n"/>
      <c r="B648" s="43" t="n"/>
      <c r="C648" s="43" t="n"/>
      <c r="D648" s="43" t="n"/>
      <c r="E648" s="43" t="n"/>
      <c r="F648" s="43" t="n"/>
      <c r="G648" s="43" t="n"/>
      <c r="H648" s="43" t="n"/>
      <c r="I648" s="43" t="n"/>
      <c r="J648" s="43" t="n"/>
      <c r="K648" s="43" t="n"/>
      <c r="L648" s="43" t="n"/>
      <c r="M648" s="43" t="n"/>
    </row>
    <row r="649">
      <c r="A649" s="43" t="n"/>
      <c r="B649" s="43" t="n"/>
      <c r="C649" s="43" t="n"/>
      <c r="D649" s="43" t="n"/>
      <c r="E649" s="43" t="n"/>
      <c r="F649" s="43" t="n"/>
      <c r="G649" s="43" t="n"/>
      <c r="H649" s="43" t="n"/>
      <c r="I649" s="43" t="n"/>
      <c r="J649" s="43" t="n"/>
      <c r="K649" s="43" t="n"/>
      <c r="L649" s="43" t="n"/>
      <c r="M649" s="43" t="n"/>
    </row>
    <row r="650">
      <c r="A650" s="43" t="n"/>
      <c r="B650" s="43" t="n"/>
      <c r="C650" s="43" t="n"/>
      <c r="D650" s="43" t="n"/>
      <c r="E650" s="43" t="n"/>
      <c r="F650" s="43" t="n"/>
      <c r="G650" s="43" t="n"/>
      <c r="H650" s="43" t="n"/>
      <c r="I650" s="43" t="n"/>
      <c r="J650" s="43" t="n"/>
      <c r="K650" s="43" t="n"/>
      <c r="L650" s="43" t="n"/>
      <c r="M650" s="43" t="n"/>
    </row>
    <row r="651">
      <c r="A651" s="43" t="n"/>
      <c r="B651" s="43" t="n"/>
      <c r="C651" s="43" t="n"/>
      <c r="D651" s="43" t="n"/>
      <c r="E651" s="43" t="n"/>
      <c r="F651" s="43" t="n"/>
      <c r="G651" s="43" t="n"/>
      <c r="H651" s="43" t="n"/>
      <c r="I651" s="43" t="n"/>
      <c r="J651" s="43" t="n"/>
      <c r="K651" s="43" t="n"/>
      <c r="L651" s="43" t="n"/>
      <c r="M651" s="43" t="n"/>
    </row>
    <row r="652">
      <c r="A652" s="43" t="n"/>
      <c r="B652" s="43" t="n"/>
      <c r="C652" s="43" t="n"/>
      <c r="D652" s="43" t="n"/>
      <c r="E652" s="43" t="n"/>
      <c r="F652" s="43" t="n"/>
      <c r="G652" s="43" t="n"/>
      <c r="H652" s="43" t="n"/>
      <c r="I652" s="43" t="n"/>
      <c r="J652" s="43" t="n"/>
      <c r="K652" s="43" t="n"/>
      <c r="L652" s="43" t="n"/>
      <c r="M652" s="43" t="n"/>
    </row>
    <row r="653">
      <c r="A653" s="43" t="n"/>
      <c r="B653" s="43" t="n"/>
      <c r="C653" s="43" t="n"/>
      <c r="D653" s="43" t="n"/>
      <c r="E653" s="43" t="n"/>
      <c r="F653" s="43" t="n"/>
      <c r="G653" s="43" t="n"/>
      <c r="H653" s="43" t="n"/>
      <c r="I653" s="43" t="n"/>
      <c r="J653" s="43" t="n"/>
      <c r="K653" s="43" t="n"/>
      <c r="L653" s="43" t="n"/>
      <c r="M653" s="43" t="n"/>
    </row>
    <row r="654">
      <c r="A654" s="43" t="n"/>
      <c r="B654" s="43" t="n"/>
      <c r="C654" s="43" t="n"/>
      <c r="D654" s="43" t="n"/>
      <c r="E654" s="43" t="n"/>
      <c r="F654" s="43" t="n"/>
      <c r="G654" s="43" t="n"/>
      <c r="H654" s="43" t="n"/>
      <c r="I654" s="43" t="n"/>
      <c r="J654" s="43" t="n"/>
      <c r="K654" s="43" t="n"/>
      <c r="L654" s="43" t="n"/>
      <c r="M654" s="43" t="n"/>
    </row>
    <row r="655">
      <c r="A655" s="43" t="n"/>
      <c r="B655" s="43" t="n"/>
      <c r="C655" s="43" t="n"/>
      <c r="D655" s="43" t="n"/>
      <c r="E655" s="43" t="n"/>
      <c r="F655" s="43" t="n"/>
      <c r="G655" s="43" t="n"/>
      <c r="H655" s="43" t="n"/>
      <c r="I655" s="43" t="n"/>
      <c r="J655" s="43" t="n"/>
      <c r="K655" s="43" t="n"/>
      <c r="L655" s="43" t="n"/>
      <c r="M655" s="43" t="n"/>
    </row>
    <row r="656">
      <c r="A656" s="43" t="n"/>
      <c r="B656" s="43" t="n"/>
      <c r="C656" s="43" t="n"/>
      <c r="D656" s="43" t="n"/>
      <c r="E656" s="43" t="n"/>
      <c r="F656" s="43" t="n"/>
      <c r="G656" s="43" t="n"/>
      <c r="H656" s="43" t="n"/>
      <c r="I656" s="43" t="n"/>
      <c r="J656" s="43" t="n"/>
      <c r="K656" s="43" t="n"/>
      <c r="L656" s="43" t="n"/>
      <c r="M656" s="43" t="n"/>
    </row>
    <row r="657">
      <c r="A657" s="43" t="n"/>
      <c r="B657" s="43" t="n"/>
      <c r="C657" s="43" t="n"/>
      <c r="D657" s="43" t="n"/>
      <c r="E657" s="43" t="n"/>
      <c r="F657" s="43" t="n"/>
      <c r="G657" s="43" t="n"/>
      <c r="H657" s="43" t="n"/>
      <c r="I657" s="43" t="n"/>
      <c r="J657" s="43" t="n"/>
      <c r="K657" s="43" t="n"/>
      <c r="L657" s="43" t="n"/>
      <c r="M657" s="43" t="n"/>
    </row>
    <row r="658">
      <c r="A658" s="43" t="n"/>
      <c r="B658" s="43" t="n"/>
      <c r="C658" s="43" t="n"/>
      <c r="D658" s="43" t="n"/>
      <c r="E658" s="43" t="n"/>
      <c r="F658" s="43" t="n"/>
      <c r="G658" s="43" t="n"/>
      <c r="H658" s="43" t="n"/>
      <c r="I658" s="43" t="n"/>
      <c r="J658" s="43" t="n"/>
      <c r="K658" s="43" t="n"/>
      <c r="L658" s="43" t="n"/>
      <c r="M658" s="43" t="n"/>
    </row>
    <row r="659">
      <c r="A659" s="43" t="n"/>
      <c r="B659" s="43" t="n"/>
      <c r="C659" s="43" t="n"/>
      <c r="D659" s="43" t="n"/>
      <c r="E659" s="43" t="n"/>
      <c r="F659" s="43" t="n"/>
      <c r="G659" s="43" t="n"/>
      <c r="H659" s="43" t="n"/>
      <c r="I659" s="43" t="n"/>
      <c r="J659" s="43" t="n"/>
      <c r="K659" s="43" t="n"/>
      <c r="L659" s="43" t="n"/>
      <c r="M659" s="43" t="n"/>
    </row>
    <row r="660">
      <c r="A660" s="43" t="n"/>
      <c r="B660" s="43" t="n"/>
      <c r="C660" s="43" t="n"/>
      <c r="D660" s="43" t="n"/>
      <c r="E660" s="43" t="n"/>
      <c r="F660" s="43" t="n"/>
      <c r="G660" s="43" t="n"/>
      <c r="H660" s="43" t="n"/>
      <c r="I660" s="43" t="n"/>
      <c r="J660" s="43" t="n"/>
      <c r="K660" s="43" t="n"/>
      <c r="L660" s="43" t="n"/>
      <c r="M660" s="43" t="n"/>
    </row>
    <row r="661">
      <c r="A661" s="43" t="n"/>
      <c r="B661" s="43" t="n"/>
      <c r="C661" s="43" t="n"/>
      <c r="D661" s="43" t="n"/>
      <c r="E661" s="43" t="n"/>
      <c r="F661" s="43" t="n"/>
      <c r="G661" s="43" t="n"/>
      <c r="H661" s="43" t="n"/>
      <c r="I661" s="43" t="n"/>
      <c r="J661" s="43" t="n"/>
      <c r="K661" s="43" t="n"/>
      <c r="L661" s="43" t="n"/>
      <c r="M661" s="43" t="n"/>
    </row>
    <row r="662">
      <c r="A662" s="43" t="n"/>
      <c r="B662" s="43" t="n"/>
      <c r="C662" s="43" t="n"/>
      <c r="D662" s="43" t="n"/>
      <c r="E662" s="43" t="n"/>
      <c r="F662" s="43" t="n"/>
      <c r="G662" s="43" t="n"/>
      <c r="H662" s="43" t="n"/>
      <c r="I662" s="43" t="n"/>
      <c r="J662" s="43" t="n"/>
      <c r="K662" s="43" t="n"/>
      <c r="L662" s="43" t="n"/>
      <c r="M662" s="43" t="n"/>
    </row>
    <row r="663">
      <c r="A663" s="43" t="n"/>
      <c r="B663" s="43" t="n"/>
      <c r="C663" s="43" t="n"/>
      <c r="D663" s="43" t="n"/>
      <c r="E663" s="43" t="n"/>
      <c r="F663" s="43" t="n"/>
      <c r="G663" s="43" t="n"/>
      <c r="H663" s="43" t="n"/>
      <c r="I663" s="43" t="n"/>
      <c r="J663" s="43" t="n"/>
      <c r="K663" s="43" t="n"/>
      <c r="L663" s="43" t="n"/>
      <c r="M663" s="43" t="n"/>
    </row>
    <row r="664">
      <c r="A664" s="43" t="n"/>
      <c r="B664" s="43" t="n"/>
      <c r="C664" s="43" t="n"/>
      <c r="D664" s="43" t="n"/>
      <c r="E664" s="43" t="n"/>
      <c r="F664" s="43" t="n"/>
      <c r="G664" s="43" t="n"/>
      <c r="H664" s="43" t="n"/>
      <c r="I664" s="43" t="n"/>
      <c r="J664" s="43" t="n"/>
      <c r="K664" s="43" t="n"/>
      <c r="L664" s="43" t="n"/>
      <c r="M664" s="43" t="n"/>
    </row>
    <row r="665">
      <c r="A665" s="43" t="n"/>
      <c r="B665" s="43" t="n"/>
      <c r="C665" s="43" t="n"/>
      <c r="D665" s="43" t="n"/>
      <c r="E665" s="43" t="n"/>
      <c r="F665" s="43" t="n"/>
      <c r="G665" s="43" t="n"/>
      <c r="H665" s="43" t="n"/>
      <c r="I665" s="43" t="n"/>
      <c r="J665" s="43" t="n"/>
      <c r="K665" s="43" t="n"/>
      <c r="L665" s="43" t="n"/>
      <c r="M665" s="43" t="n"/>
    </row>
    <row r="666">
      <c r="A666" s="43" t="n"/>
      <c r="B666" s="43" t="n"/>
      <c r="C666" s="43" t="n"/>
      <c r="D666" s="43" t="n"/>
      <c r="E666" s="43" t="n"/>
      <c r="F666" s="43" t="n"/>
      <c r="G666" s="43" t="n"/>
      <c r="H666" s="43" t="n"/>
      <c r="I666" s="43" t="n"/>
      <c r="J666" s="43" t="n"/>
      <c r="K666" s="43" t="n"/>
      <c r="L666" s="43" t="n"/>
      <c r="M666" s="43" t="n"/>
    </row>
    <row r="667">
      <c r="A667" s="43" t="n"/>
      <c r="B667" s="43" t="n"/>
      <c r="C667" s="43" t="n"/>
      <c r="D667" s="43" t="n"/>
      <c r="E667" s="43" t="n"/>
      <c r="F667" s="43" t="n"/>
      <c r="G667" s="43" t="n"/>
      <c r="H667" s="43" t="n"/>
      <c r="I667" s="43" t="n"/>
      <c r="J667" s="43" t="n"/>
      <c r="K667" s="43" t="n"/>
      <c r="L667" s="43" t="n"/>
      <c r="M667" s="43" t="n"/>
    </row>
    <row r="668">
      <c r="A668" s="43" t="n"/>
      <c r="B668" s="43" t="n"/>
      <c r="C668" s="43" t="n"/>
      <c r="D668" s="43" t="n"/>
      <c r="E668" s="43" t="n"/>
      <c r="F668" s="43" t="n"/>
      <c r="G668" s="43" t="n"/>
      <c r="H668" s="43" t="n"/>
      <c r="I668" s="43" t="n"/>
      <c r="J668" s="43" t="n"/>
      <c r="K668" s="43" t="n"/>
      <c r="L668" s="43" t="n"/>
      <c r="M668" s="43" t="n"/>
    </row>
    <row r="669">
      <c r="A669" s="43" t="n"/>
      <c r="B669" s="43" t="n"/>
      <c r="C669" s="43" t="n"/>
      <c r="D669" s="43" t="n"/>
      <c r="E669" s="43" t="n"/>
      <c r="F669" s="43" t="n"/>
      <c r="G669" s="43" t="n"/>
      <c r="H669" s="43" t="n"/>
      <c r="I669" s="43" t="n"/>
      <c r="J669" s="43" t="n"/>
      <c r="K669" s="43" t="n"/>
      <c r="L669" s="43" t="n"/>
      <c r="M669" s="43" t="n"/>
    </row>
    <row r="670">
      <c r="A670" s="43" t="n"/>
      <c r="B670" s="43" t="n"/>
      <c r="C670" s="43" t="n"/>
      <c r="D670" s="43" t="n"/>
      <c r="E670" s="43" t="n"/>
      <c r="F670" s="43" t="n"/>
      <c r="G670" s="43" t="n"/>
      <c r="H670" s="43" t="n"/>
      <c r="I670" s="43" t="n"/>
      <c r="J670" s="43" t="n"/>
      <c r="K670" s="43" t="n"/>
      <c r="L670" s="43" t="n"/>
      <c r="M670" s="43" t="n"/>
    </row>
    <row r="671">
      <c r="A671" s="43" t="n"/>
      <c r="B671" s="43" t="n"/>
      <c r="C671" s="43" t="n"/>
      <c r="D671" s="43" t="n"/>
      <c r="E671" s="43" t="n"/>
      <c r="F671" s="43" t="n"/>
      <c r="G671" s="43" t="n"/>
      <c r="H671" s="43" t="n"/>
      <c r="I671" s="43" t="n"/>
      <c r="J671" s="43" t="n"/>
      <c r="K671" s="43" t="n"/>
      <c r="L671" s="43" t="n"/>
      <c r="M671" s="43" t="n"/>
    </row>
    <row r="672">
      <c r="A672" s="43" t="n"/>
      <c r="B672" s="43" t="n"/>
      <c r="C672" s="43" t="n"/>
      <c r="D672" s="43" t="n"/>
      <c r="E672" s="43" t="n"/>
      <c r="F672" s="43" t="n"/>
      <c r="G672" s="43" t="n"/>
      <c r="H672" s="43" t="n"/>
      <c r="I672" s="43" t="n"/>
      <c r="J672" s="43" t="n"/>
      <c r="K672" s="43" t="n"/>
      <c r="L672" s="43" t="n"/>
      <c r="M672" s="43" t="n"/>
    </row>
    <row r="673">
      <c r="A673" s="43" t="n"/>
      <c r="B673" s="43" t="n"/>
      <c r="C673" s="43" t="n"/>
      <c r="D673" s="43" t="n"/>
      <c r="E673" s="43" t="n"/>
      <c r="F673" s="43" t="n"/>
      <c r="G673" s="43" t="n"/>
      <c r="H673" s="43" t="n"/>
      <c r="I673" s="43" t="n"/>
      <c r="J673" s="43" t="n"/>
      <c r="K673" s="43" t="n"/>
      <c r="L673" s="43" t="n"/>
      <c r="M673" s="43" t="n"/>
    </row>
    <row r="674">
      <c r="A674" s="43" t="n"/>
      <c r="B674" s="43" t="n"/>
      <c r="C674" s="43" t="n"/>
      <c r="D674" s="43" t="n"/>
      <c r="E674" s="43" t="n"/>
      <c r="F674" s="43" t="n"/>
      <c r="G674" s="43" t="n"/>
      <c r="H674" s="43" t="n"/>
      <c r="I674" s="43" t="n"/>
      <c r="J674" s="43" t="n"/>
      <c r="K674" s="43" t="n"/>
      <c r="L674" s="43" t="n"/>
      <c r="M674" s="43" t="n"/>
    </row>
    <row r="675">
      <c r="A675" s="43" t="n"/>
      <c r="B675" s="43" t="n"/>
      <c r="C675" s="43" t="n"/>
      <c r="D675" s="43" t="n"/>
      <c r="E675" s="43" t="n"/>
      <c r="F675" s="43" t="n"/>
      <c r="G675" s="43" t="n"/>
      <c r="H675" s="43" t="n"/>
      <c r="I675" s="43" t="n"/>
      <c r="J675" s="43" t="n"/>
      <c r="K675" s="43" t="n"/>
      <c r="L675" s="43" t="n"/>
      <c r="M675" s="43" t="n"/>
    </row>
    <row r="676">
      <c r="A676" s="43" t="n"/>
      <c r="B676" s="43" t="n"/>
      <c r="C676" s="43" t="n"/>
      <c r="D676" s="43" t="n"/>
      <c r="E676" s="43" t="n"/>
      <c r="F676" s="43" t="n"/>
      <c r="G676" s="43" t="n"/>
      <c r="H676" s="43" t="n"/>
      <c r="I676" s="43" t="n"/>
      <c r="J676" s="43" t="n"/>
      <c r="K676" s="43" t="n"/>
      <c r="L676" s="43" t="n"/>
      <c r="M676" s="43" t="n"/>
    </row>
    <row r="677">
      <c r="A677" s="43" t="n"/>
      <c r="B677" s="43" t="n"/>
      <c r="C677" s="43" t="n"/>
      <c r="D677" s="43" t="n"/>
      <c r="E677" s="43" t="n"/>
      <c r="F677" s="43" t="n"/>
      <c r="G677" s="43" t="n"/>
      <c r="H677" s="43" t="n"/>
      <c r="I677" s="43" t="n"/>
      <c r="J677" s="43" t="n"/>
      <c r="K677" s="43" t="n"/>
      <c r="L677" s="43" t="n"/>
      <c r="M677" s="43" t="n"/>
    </row>
    <row r="678">
      <c r="A678" s="43" t="n"/>
      <c r="B678" s="43" t="n"/>
      <c r="C678" s="43" t="n"/>
      <c r="D678" s="43" t="n"/>
      <c r="E678" s="43" t="n"/>
      <c r="F678" s="43" t="n"/>
      <c r="G678" s="43" t="n"/>
      <c r="H678" s="43" t="n"/>
      <c r="I678" s="43" t="n"/>
      <c r="J678" s="43" t="n"/>
      <c r="K678" s="43" t="n"/>
      <c r="L678" s="43" t="n"/>
      <c r="M678" s="43" t="n"/>
    </row>
    <row r="679">
      <c r="A679" s="43" t="n"/>
      <c r="B679" s="43" t="n"/>
      <c r="C679" s="43" t="n"/>
      <c r="D679" s="43" t="n"/>
      <c r="E679" s="43" t="n"/>
      <c r="F679" s="43" t="n"/>
      <c r="G679" s="43" t="n"/>
      <c r="H679" s="43" t="n"/>
      <c r="I679" s="43" t="n"/>
      <c r="J679" s="43" t="n"/>
      <c r="K679" s="43" t="n"/>
      <c r="L679" s="43" t="n"/>
      <c r="M679" s="43" t="n"/>
    </row>
    <row r="680">
      <c r="A680" s="43" t="n"/>
      <c r="B680" s="43" t="n"/>
      <c r="C680" s="43" t="n"/>
      <c r="D680" s="43" t="n"/>
      <c r="E680" s="43" t="n"/>
      <c r="F680" s="43" t="n"/>
      <c r="G680" s="43" t="n"/>
      <c r="H680" s="43" t="n"/>
      <c r="I680" s="43" t="n"/>
      <c r="J680" s="43" t="n"/>
      <c r="K680" s="43" t="n"/>
      <c r="L680" s="43" t="n"/>
      <c r="M680" s="43" t="n"/>
    </row>
    <row r="681">
      <c r="A681" s="43" t="n"/>
      <c r="B681" s="43" t="n"/>
      <c r="C681" s="43" t="n"/>
      <c r="D681" s="43" t="n"/>
      <c r="E681" s="43" t="n"/>
      <c r="F681" s="43" t="n"/>
      <c r="G681" s="43" t="n"/>
      <c r="H681" s="43" t="n"/>
      <c r="I681" s="43" t="n"/>
      <c r="J681" s="43" t="n"/>
      <c r="K681" s="43" t="n"/>
      <c r="L681" s="43" t="n"/>
      <c r="M681" s="43" t="n"/>
    </row>
    <row r="682">
      <c r="A682" s="43" t="n"/>
      <c r="B682" s="43" t="n"/>
      <c r="C682" s="43" t="n"/>
      <c r="D682" s="43" t="n"/>
      <c r="E682" s="43" t="n"/>
      <c r="F682" s="43" t="n"/>
      <c r="G682" s="43" t="n"/>
      <c r="H682" s="43" t="n"/>
      <c r="I682" s="43" t="n"/>
      <c r="J682" s="43" t="n"/>
      <c r="K682" s="43" t="n"/>
      <c r="L682" s="43" t="n"/>
      <c r="M682" s="43" t="n"/>
    </row>
    <row r="683">
      <c r="A683" s="43" t="n"/>
      <c r="B683" s="43" t="n"/>
      <c r="C683" s="43" t="n"/>
      <c r="D683" s="43" t="n"/>
      <c r="E683" s="43" t="n"/>
      <c r="F683" s="43" t="n"/>
      <c r="G683" s="43" t="n"/>
      <c r="H683" s="43" t="n"/>
      <c r="I683" s="43" t="n"/>
      <c r="J683" s="43" t="n"/>
      <c r="K683" s="43" t="n"/>
      <c r="L683" s="43" t="n"/>
      <c r="M683" s="43" t="n"/>
    </row>
    <row r="684">
      <c r="A684" s="43" t="n"/>
      <c r="B684" s="43" t="n"/>
      <c r="C684" s="43" t="n"/>
      <c r="D684" s="43" t="n"/>
      <c r="E684" s="43" t="n"/>
      <c r="F684" s="43" t="n"/>
      <c r="G684" s="43" t="n"/>
      <c r="H684" s="43" t="n"/>
      <c r="I684" s="43" t="n"/>
      <c r="J684" s="43" t="n"/>
      <c r="K684" s="43" t="n"/>
      <c r="L684" s="43" t="n"/>
      <c r="M684" s="43" t="n"/>
    </row>
    <row r="685">
      <c r="A685" s="43" t="n"/>
      <c r="B685" s="43" t="n"/>
      <c r="C685" s="43" t="n"/>
      <c r="D685" s="43" t="n"/>
      <c r="E685" s="43" t="n"/>
      <c r="F685" s="43" t="n"/>
      <c r="G685" s="43" t="n"/>
      <c r="H685" s="43" t="n"/>
      <c r="I685" s="43" t="n"/>
      <c r="J685" s="43" t="n"/>
      <c r="K685" s="43" t="n"/>
      <c r="L685" s="43" t="n"/>
      <c r="M685" s="43" t="n"/>
    </row>
    <row r="686">
      <c r="A686" s="43" t="n"/>
      <c r="B686" s="43" t="n"/>
      <c r="C686" s="43" t="n"/>
      <c r="D686" s="43" t="n"/>
      <c r="E686" s="43" t="n"/>
      <c r="F686" s="43" t="n"/>
      <c r="G686" s="43" t="n"/>
      <c r="H686" s="43" t="n"/>
      <c r="I686" s="43" t="n"/>
      <c r="J686" s="43" t="n"/>
      <c r="K686" s="43" t="n"/>
      <c r="L686" s="43" t="n"/>
      <c r="M686" s="43" t="n"/>
    </row>
    <row r="687">
      <c r="A687" s="43" t="n"/>
      <c r="B687" s="43" t="n"/>
      <c r="C687" s="43" t="n"/>
      <c r="D687" s="43" t="n"/>
      <c r="E687" s="43" t="n"/>
      <c r="F687" s="43" t="n"/>
      <c r="G687" s="43" t="n"/>
      <c r="H687" s="43" t="n"/>
      <c r="I687" s="43" t="n"/>
      <c r="J687" s="43" t="n"/>
      <c r="K687" s="43" t="n"/>
      <c r="L687" s="43" t="n"/>
      <c r="M687" s="43" t="n"/>
    </row>
    <row r="688">
      <c r="A688" s="43" t="n"/>
      <c r="B688" s="43" t="n"/>
      <c r="C688" s="43" t="n"/>
      <c r="D688" s="43" t="n"/>
      <c r="E688" s="43" t="n"/>
      <c r="F688" s="43" t="n"/>
      <c r="G688" s="43" t="n"/>
      <c r="H688" s="43" t="n"/>
      <c r="I688" s="43" t="n"/>
      <c r="J688" s="43" t="n"/>
      <c r="K688" s="43" t="n"/>
      <c r="L688" s="43" t="n"/>
      <c r="M688" s="43" t="n"/>
    </row>
    <row r="689">
      <c r="A689" s="43" t="n"/>
      <c r="B689" s="43" t="n"/>
      <c r="C689" s="43" t="n"/>
      <c r="D689" s="43" t="n"/>
      <c r="E689" s="43" t="n"/>
      <c r="F689" s="43" t="n"/>
      <c r="G689" s="43" t="n"/>
      <c r="H689" s="43" t="n"/>
      <c r="I689" s="43" t="n"/>
      <c r="J689" s="43" t="n"/>
      <c r="K689" s="43" t="n"/>
      <c r="L689" s="43" t="n"/>
      <c r="M689" s="43" t="n"/>
    </row>
    <row r="690">
      <c r="A690" s="43" t="n"/>
      <c r="B690" s="43" t="n"/>
      <c r="C690" s="43" t="n"/>
      <c r="D690" s="43" t="n"/>
      <c r="E690" s="43" t="n"/>
      <c r="F690" s="43" t="n"/>
      <c r="G690" s="43" t="n"/>
      <c r="H690" s="43" t="n"/>
      <c r="I690" s="43" t="n"/>
      <c r="J690" s="43" t="n"/>
      <c r="K690" s="43" t="n"/>
      <c r="L690" s="43" t="n"/>
      <c r="M690" s="43" t="n"/>
    </row>
    <row r="691">
      <c r="A691" s="43" t="n"/>
      <c r="B691" s="43" t="n"/>
      <c r="C691" s="43" t="n"/>
      <c r="D691" s="43" t="n"/>
      <c r="E691" s="43" t="n"/>
      <c r="F691" s="43" t="n"/>
      <c r="G691" s="43" t="n"/>
      <c r="H691" s="43" t="n"/>
      <c r="I691" s="43" t="n"/>
      <c r="J691" s="43" t="n"/>
      <c r="K691" s="43" t="n"/>
      <c r="L691" s="43" t="n"/>
      <c r="M691" s="43" t="n"/>
    </row>
    <row r="692">
      <c r="A692" s="43" t="n"/>
      <c r="B692" s="43" t="n"/>
      <c r="C692" s="43" t="n"/>
      <c r="D692" s="43" t="n"/>
      <c r="E692" s="43" t="n"/>
      <c r="F692" s="43" t="n"/>
      <c r="G692" s="43" t="n"/>
      <c r="H692" s="43" t="n"/>
      <c r="I692" s="43" t="n"/>
      <c r="J692" s="43" t="n"/>
      <c r="K692" s="43" t="n"/>
      <c r="L692" s="43" t="n"/>
      <c r="M692" s="43" t="n"/>
    </row>
    <row r="693">
      <c r="A693" s="43" t="n"/>
      <c r="B693" s="43" t="n"/>
      <c r="C693" s="43" t="n"/>
      <c r="D693" s="43" t="n"/>
      <c r="E693" s="43" t="n"/>
      <c r="F693" s="43" t="n"/>
      <c r="G693" s="43" t="n"/>
      <c r="H693" s="43" t="n"/>
      <c r="I693" s="43" t="n"/>
      <c r="J693" s="43" t="n"/>
      <c r="K693" s="43" t="n"/>
      <c r="L693" s="43" t="n"/>
      <c r="M693" s="43" t="n"/>
    </row>
    <row r="694">
      <c r="A694" s="43" t="n"/>
      <c r="B694" s="43" t="n"/>
      <c r="C694" s="43" t="n"/>
      <c r="D694" s="43" t="n"/>
      <c r="E694" s="43" t="n"/>
      <c r="F694" s="43" t="n"/>
      <c r="G694" s="43" t="n"/>
      <c r="H694" s="43" t="n"/>
      <c r="I694" s="43" t="n"/>
      <c r="J694" s="43" t="n"/>
      <c r="K694" s="43" t="n"/>
      <c r="L694" s="43" t="n"/>
      <c r="M694" s="43" t="n"/>
    </row>
    <row r="695">
      <c r="A695" s="43" t="n"/>
      <c r="B695" s="43" t="n"/>
      <c r="C695" s="43" t="n"/>
      <c r="D695" s="43" t="n"/>
      <c r="E695" s="43" t="n"/>
      <c r="F695" s="43" t="n"/>
      <c r="G695" s="43" t="n"/>
      <c r="H695" s="43" t="n"/>
      <c r="I695" s="43" t="n"/>
      <c r="J695" s="43" t="n"/>
      <c r="K695" s="43" t="n"/>
      <c r="L695" s="43" t="n"/>
      <c r="M695" s="43" t="n"/>
    </row>
    <row r="696">
      <c r="A696" s="43" t="n"/>
      <c r="B696" s="43" t="n"/>
      <c r="C696" s="43" t="n"/>
      <c r="D696" s="43" t="n"/>
      <c r="E696" s="43" t="n"/>
      <c r="F696" s="43" t="n"/>
      <c r="G696" s="43" t="n"/>
      <c r="H696" s="43" t="n"/>
      <c r="I696" s="43" t="n"/>
      <c r="J696" s="43" t="n"/>
      <c r="K696" s="43" t="n"/>
      <c r="L696" s="43" t="n"/>
      <c r="M696" s="43" t="n"/>
    </row>
    <row r="697">
      <c r="A697" s="43" t="n"/>
      <c r="B697" s="43" t="n"/>
      <c r="C697" s="43" t="n"/>
      <c r="D697" s="43" t="n"/>
      <c r="E697" s="43" t="n"/>
      <c r="F697" s="43" t="n"/>
      <c r="G697" s="43" t="n"/>
      <c r="H697" s="43" t="n"/>
      <c r="I697" s="43" t="n"/>
      <c r="J697" s="43" t="n"/>
      <c r="K697" s="43" t="n"/>
      <c r="L697" s="43" t="n"/>
      <c r="M697" s="43" t="n"/>
    </row>
    <row r="698">
      <c r="A698" s="43" t="n"/>
      <c r="B698" s="43" t="n"/>
      <c r="C698" s="43" t="n"/>
      <c r="D698" s="43" t="n"/>
      <c r="E698" s="43" t="n"/>
      <c r="F698" s="43" t="n"/>
      <c r="G698" s="43" t="n"/>
      <c r="H698" s="43" t="n"/>
      <c r="I698" s="43" t="n"/>
      <c r="J698" s="43" t="n"/>
      <c r="K698" s="43" t="n"/>
      <c r="L698" s="43" t="n"/>
      <c r="M698" s="43" t="n"/>
    </row>
    <row r="699">
      <c r="A699" s="43" t="n"/>
      <c r="B699" s="43" t="n"/>
      <c r="C699" s="43" t="n"/>
      <c r="D699" s="43" t="n"/>
      <c r="E699" s="43" t="n"/>
      <c r="F699" s="43" t="n"/>
      <c r="G699" s="43" t="n"/>
      <c r="H699" s="43" t="n"/>
      <c r="I699" s="43" t="n"/>
      <c r="J699" s="43" t="n"/>
      <c r="K699" s="43" t="n"/>
      <c r="L699" s="43" t="n"/>
      <c r="M699" s="43" t="n"/>
    </row>
    <row r="700">
      <c r="A700" s="43" t="n"/>
      <c r="B700" s="43" t="n"/>
      <c r="C700" s="43" t="n"/>
      <c r="D700" s="43" t="n"/>
      <c r="E700" s="43" t="n"/>
      <c r="F700" s="43" t="n"/>
      <c r="G700" s="43" t="n"/>
      <c r="H700" s="43" t="n"/>
      <c r="I700" s="43" t="n"/>
      <c r="J700" s="43" t="n"/>
      <c r="K700" s="43" t="n"/>
      <c r="L700" s="43" t="n"/>
      <c r="M700" s="43" t="n"/>
    </row>
    <row r="701">
      <c r="A701" s="43" t="n"/>
      <c r="B701" s="43" t="n"/>
      <c r="C701" s="43" t="n"/>
      <c r="D701" s="43" t="n"/>
      <c r="E701" s="43" t="n"/>
      <c r="F701" s="43" t="n"/>
      <c r="G701" s="43" t="n"/>
      <c r="H701" s="43" t="n"/>
      <c r="I701" s="43" t="n"/>
      <c r="J701" s="43" t="n"/>
      <c r="K701" s="43" t="n"/>
      <c r="L701" s="43" t="n"/>
      <c r="M701" s="43" t="n"/>
    </row>
    <row r="702">
      <c r="A702" s="43" t="n"/>
      <c r="B702" s="43" t="n"/>
      <c r="C702" s="43" t="n"/>
      <c r="D702" s="43" t="n"/>
      <c r="E702" s="43" t="n"/>
      <c r="F702" s="43" t="n"/>
      <c r="G702" s="43" t="n"/>
      <c r="H702" s="43" t="n"/>
      <c r="I702" s="43" t="n"/>
      <c r="J702" s="43" t="n"/>
      <c r="K702" s="43" t="n"/>
      <c r="L702" s="43" t="n"/>
      <c r="M702" s="43" t="n"/>
    </row>
    <row r="703">
      <c r="A703" s="43" t="n"/>
      <c r="B703" s="43" t="n"/>
      <c r="C703" s="43" t="n"/>
      <c r="D703" s="43" t="n"/>
      <c r="E703" s="43" t="n"/>
      <c r="F703" s="43" t="n"/>
      <c r="G703" s="43" t="n"/>
      <c r="H703" s="43" t="n"/>
      <c r="I703" s="43" t="n"/>
      <c r="J703" s="43" t="n"/>
      <c r="K703" s="43" t="n"/>
      <c r="L703" s="43" t="n"/>
      <c r="M703" s="43" t="n"/>
    </row>
    <row r="704">
      <c r="A704" s="43" t="n"/>
      <c r="B704" s="43" t="n"/>
      <c r="C704" s="43" t="n"/>
      <c r="D704" s="43" t="n"/>
      <c r="E704" s="43" t="n"/>
      <c r="F704" s="43" t="n"/>
      <c r="G704" s="43" t="n"/>
      <c r="H704" s="43" t="n"/>
      <c r="I704" s="43" t="n"/>
      <c r="J704" s="43" t="n"/>
      <c r="K704" s="43" t="n"/>
      <c r="L704" s="43" t="n"/>
      <c r="M704" s="43" t="n"/>
    </row>
    <row r="705">
      <c r="A705" s="43" t="n"/>
      <c r="B705" s="43" t="n"/>
      <c r="C705" s="43" t="n"/>
      <c r="D705" s="43" t="n"/>
      <c r="E705" s="43" t="n"/>
      <c r="F705" s="43" t="n"/>
      <c r="G705" s="43" t="n"/>
      <c r="H705" s="43" t="n"/>
      <c r="I705" s="43" t="n"/>
      <c r="J705" s="43" t="n"/>
      <c r="K705" s="43" t="n"/>
      <c r="L705" s="43" t="n"/>
      <c r="M705" s="43" t="n"/>
    </row>
    <row r="706">
      <c r="A706" s="43" t="n"/>
      <c r="B706" s="43" t="n"/>
      <c r="C706" s="43" t="n"/>
      <c r="D706" s="43" t="n"/>
      <c r="E706" s="43" t="n"/>
      <c r="F706" s="43" t="n"/>
      <c r="G706" s="43" t="n"/>
      <c r="H706" s="43" t="n"/>
      <c r="I706" s="43" t="n"/>
      <c r="J706" s="43" t="n"/>
      <c r="K706" s="43" t="n"/>
      <c r="L706" s="43" t="n"/>
      <c r="M706" s="43" t="n"/>
    </row>
    <row r="707">
      <c r="A707" s="43" t="n"/>
      <c r="B707" s="43" t="n"/>
      <c r="C707" s="43" t="n"/>
      <c r="D707" s="43" t="n"/>
      <c r="E707" s="43" t="n"/>
      <c r="F707" s="43" t="n"/>
      <c r="G707" s="43" t="n"/>
      <c r="H707" s="43" t="n"/>
      <c r="I707" s="43" t="n"/>
      <c r="J707" s="43" t="n"/>
      <c r="K707" s="43" t="n"/>
      <c r="L707" s="43" t="n"/>
      <c r="M707" s="43" t="n"/>
    </row>
    <row r="708">
      <c r="A708" s="43" t="n"/>
      <c r="B708" s="43" t="n"/>
      <c r="C708" s="43" t="n"/>
      <c r="D708" s="43" t="n"/>
      <c r="E708" s="43" t="n"/>
      <c r="F708" s="43" t="n"/>
      <c r="G708" s="43" t="n"/>
      <c r="H708" s="43" t="n"/>
      <c r="I708" s="43" t="n"/>
      <c r="J708" s="43" t="n"/>
      <c r="K708" s="43" t="n"/>
      <c r="L708" s="43" t="n"/>
      <c r="M708" s="43" t="n"/>
    </row>
    <row r="709">
      <c r="A709" s="43" t="n"/>
      <c r="B709" s="43" t="n"/>
      <c r="C709" s="43" t="n"/>
      <c r="D709" s="43" t="n"/>
      <c r="E709" s="43" t="n"/>
      <c r="F709" s="43" t="n"/>
      <c r="G709" s="43" t="n"/>
      <c r="H709" s="43" t="n"/>
      <c r="I709" s="43" t="n"/>
      <c r="J709" s="43" t="n"/>
      <c r="K709" s="43" t="n"/>
      <c r="L709" s="43" t="n"/>
      <c r="M709" s="43" t="n"/>
    </row>
    <row r="710">
      <c r="A710" s="43" t="n"/>
      <c r="B710" s="43" t="n"/>
      <c r="C710" s="43" t="n"/>
      <c r="D710" s="43" t="n"/>
      <c r="E710" s="43" t="n"/>
      <c r="F710" s="43" t="n"/>
      <c r="G710" s="43" t="n"/>
      <c r="H710" s="43" t="n"/>
      <c r="I710" s="43" t="n"/>
      <c r="J710" s="43" t="n"/>
      <c r="K710" s="43" t="n"/>
      <c r="L710" s="43" t="n"/>
      <c r="M710" s="43" t="n"/>
    </row>
    <row r="711">
      <c r="A711" s="43" t="n"/>
      <c r="B711" s="43" t="n"/>
      <c r="C711" s="43" t="n"/>
      <c r="D711" s="43" t="n"/>
      <c r="E711" s="43" t="n"/>
      <c r="F711" s="43" t="n"/>
      <c r="G711" s="43" t="n"/>
      <c r="H711" s="43" t="n"/>
      <c r="I711" s="43" t="n"/>
      <c r="J711" s="43" t="n"/>
      <c r="K711" s="43" t="n"/>
      <c r="L711" s="43" t="n"/>
      <c r="M711" s="43" t="n"/>
    </row>
    <row r="712">
      <c r="A712" s="43" t="n"/>
      <c r="B712" s="43" t="n"/>
      <c r="C712" s="43" t="n"/>
      <c r="D712" s="43" t="n"/>
      <c r="E712" s="43" t="n"/>
      <c r="F712" s="43" t="n"/>
      <c r="G712" s="43" t="n"/>
      <c r="H712" s="43" t="n"/>
      <c r="I712" s="43" t="n"/>
      <c r="J712" s="43" t="n"/>
      <c r="K712" s="43" t="n"/>
      <c r="L712" s="43" t="n"/>
      <c r="M712" s="43" t="n"/>
    </row>
    <row r="713">
      <c r="A713" s="43" t="n"/>
      <c r="B713" s="43" t="n"/>
      <c r="C713" s="43" t="n"/>
      <c r="D713" s="43" t="n"/>
      <c r="E713" s="43" t="n"/>
      <c r="F713" s="43" t="n"/>
      <c r="G713" s="43" t="n"/>
      <c r="H713" s="43" t="n"/>
      <c r="I713" s="43" t="n"/>
      <c r="J713" s="43" t="n"/>
      <c r="K713" s="43" t="n"/>
      <c r="L713" s="43" t="n"/>
      <c r="M713" s="43" t="n"/>
    </row>
    <row r="714">
      <c r="A714" s="43" t="n"/>
      <c r="B714" s="43" t="n"/>
      <c r="C714" s="43" t="n"/>
      <c r="D714" s="43" t="n"/>
      <c r="E714" s="43" t="n"/>
      <c r="F714" s="43" t="n"/>
      <c r="G714" s="43" t="n"/>
      <c r="H714" s="43" t="n"/>
      <c r="I714" s="43" t="n"/>
      <c r="J714" s="43" t="n"/>
      <c r="K714" s="43" t="n"/>
      <c r="L714" s="43" t="n"/>
      <c r="M714" s="43" t="n"/>
    </row>
    <row r="715">
      <c r="A715" s="43" t="n"/>
      <c r="B715" s="43" t="n"/>
      <c r="C715" s="43" t="n"/>
      <c r="D715" s="43" t="n"/>
      <c r="E715" s="43" t="n"/>
      <c r="F715" s="43" t="n"/>
      <c r="G715" s="43" t="n"/>
      <c r="H715" s="43" t="n"/>
      <c r="I715" s="43" t="n"/>
      <c r="J715" s="43" t="n"/>
      <c r="K715" s="43" t="n"/>
      <c r="L715" s="43" t="n"/>
      <c r="M715" s="43" t="n"/>
    </row>
    <row r="716">
      <c r="A716" s="43" t="n"/>
      <c r="B716" s="43" t="n"/>
      <c r="C716" s="43" t="n"/>
      <c r="D716" s="43" t="n"/>
      <c r="E716" s="43" t="n"/>
      <c r="F716" s="43" t="n"/>
      <c r="G716" s="43" t="n"/>
      <c r="H716" s="43" t="n"/>
      <c r="I716" s="43" t="n"/>
      <c r="J716" s="43" t="n"/>
      <c r="K716" s="43" t="n"/>
      <c r="L716" s="43" t="n"/>
      <c r="M716" s="43" t="n"/>
    </row>
    <row r="717">
      <c r="A717" s="43" t="n"/>
      <c r="B717" s="43" t="n"/>
      <c r="C717" s="43" t="n"/>
      <c r="D717" s="43" t="n"/>
      <c r="E717" s="43" t="n"/>
      <c r="F717" s="43" t="n"/>
      <c r="G717" s="43" t="n"/>
      <c r="H717" s="43" t="n"/>
      <c r="I717" s="43" t="n"/>
      <c r="J717" s="43" t="n"/>
      <c r="K717" s="43" t="n"/>
      <c r="L717" s="43" t="n"/>
      <c r="M717" s="43" t="n"/>
    </row>
    <row r="718">
      <c r="A718" s="43" t="n"/>
      <c r="B718" s="43" t="n"/>
      <c r="C718" s="43" t="n"/>
      <c r="D718" s="43" t="n"/>
      <c r="E718" s="43" t="n"/>
      <c r="F718" s="43" t="n"/>
      <c r="G718" s="43" t="n"/>
      <c r="H718" s="43" t="n"/>
      <c r="I718" s="43" t="n"/>
      <c r="J718" s="43" t="n"/>
      <c r="K718" s="43" t="n"/>
      <c r="L718" s="43" t="n"/>
      <c r="M718" s="43" t="n"/>
    </row>
    <row r="719">
      <c r="A719" s="43" t="n"/>
      <c r="B719" s="43" t="n"/>
      <c r="C719" s="43" t="n"/>
      <c r="D719" s="43" t="n"/>
      <c r="E719" s="43" t="n"/>
      <c r="F719" s="43" t="n"/>
      <c r="G719" s="43" t="n"/>
      <c r="H719" s="43" t="n"/>
      <c r="I719" s="43" t="n"/>
      <c r="J719" s="43" t="n"/>
      <c r="K719" s="43" t="n"/>
      <c r="L719" s="43" t="n"/>
      <c r="M719" s="43" t="n"/>
    </row>
    <row r="720">
      <c r="A720" s="43" t="n"/>
      <c r="B720" s="43" t="n"/>
      <c r="C720" s="43" t="n"/>
      <c r="D720" s="43" t="n"/>
      <c r="E720" s="43" t="n"/>
      <c r="F720" s="43" t="n"/>
      <c r="G720" s="43" t="n"/>
      <c r="H720" s="43" t="n"/>
      <c r="I720" s="43" t="n"/>
      <c r="J720" s="43" t="n"/>
      <c r="K720" s="43" t="n"/>
      <c r="L720" s="43" t="n"/>
      <c r="M720" s="43" t="n"/>
    </row>
    <row r="721">
      <c r="A721" s="43" t="n"/>
      <c r="B721" s="43" t="n"/>
      <c r="C721" s="43" t="n"/>
      <c r="D721" s="43" t="n"/>
      <c r="E721" s="43" t="n"/>
      <c r="F721" s="43" t="n"/>
      <c r="G721" s="43" t="n"/>
      <c r="H721" s="43" t="n"/>
      <c r="I721" s="43" t="n"/>
      <c r="J721" s="43" t="n"/>
      <c r="K721" s="43" t="n"/>
      <c r="L721" s="43" t="n"/>
      <c r="M721" s="43" t="n"/>
    </row>
    <row r="722">
      <c r="A722" s="43" t="n"/>
      <c r="B722" s="43" t="n"/>
      <c r="C722" s="43" t="n"/>
      <c r="D722" s="43" t="n"/>
      <c r="E722" s="43" t="n"/>
      <c r="F722" s="43" t="n"/>
      <c r="G722" s="43" t="n"/>
      <c r="H722" s="43" t="n"/>
      <c r="I722" s="43" t="n"/>
      <c r="J722" s="43" t="n"/>
      <c r="K722" s="43" t="n"/>
      <c r="L722" s="43" t="n"/>
      <c r="M722" s="43" t="n"/>
    </row>
    <row r="723">
      <c r="A723" s="43" t="n"/>
      <c r="B723" s="43" t="n"/>
      <c r="C723" s="43" t="n"/>
      <c r="D723" s="43" t="n"/>
      <c r="E723" s="43" t="n"/>
      <c r="F723" s="43" t="n"/>
      <c r="G723" s="43" t="n"/>
      <c r="H723" s="43" t="n"/>
      <c r="I723" s="43" t="n"/>
      <c r="J723" s="43" t="n"/>
      <c r="K723" s="43" t="n"/>
      <c r="L723" s="43" t="n"/>
      <c r="M723" s="43" t="n"/>
    </row>
    <row r="724">
      <c r="A724" s="43" t="n"/>
      <c r="B724" s="43" t="n"/>
      <c r="C724" s="43" t="n"/>
      <c r="D724" s="43" t="n"/>
      <c r="E724" s="43" t="n"/>
      <c r="F724" s="43" t="n"/>
      <c r="G724" s="43" t="n"/>
      <c r="H724" s="43" t="n"/>
      <c r="I724" s="43" t="n"/>
      <c r="J724" s="43" t="n"/>
      <c r="K724" s="43" t="n"/>
      <c r="L724" s="43" t="n"/>
      <c r="M724" s="43" t="n"/>
    </row>
    <row r="725">
      <c r="A725" s="43" t="n"/>
      <c r="B725" s="43" t="n"/>
      <c r="C725" s="43" t="n"/>
      <c r="D725" s="43" t="n"/>
      <c r="E725" s="43" t="n"/>
      <c r="F725" s="43" t="n"/>
      <c r="G725" s="43" t="n"/>
      <c r="H725" s="43" t="n"/>
      <c r="I725" s="43" t="n"/>
      <c r="J725" s="43" t="n"/>
      <c r="K725" s="43" t="n"/>
      <c r="L725" s="43" t="n"/>
      <c r="M725" s="43" t="n"/>
    </row>
    <row r="726">
      <c r="A726" s="43" t="n"/>
      <c r="B726" s="43" t="n"/>
      <c r="C726" s="43" t="n"/>
      <c r="D726" s="43" t="n"/>
      <c r="E726" s="43" t="n"/>
      <c r="F726" s="43" t="n"/>
      <c r="G726" s="43" t="n"/>
      <c r="H726" s="43" t="n"/>
      <c r="I726" s="43" t="n"/>
      <c r="J726" s="43" t="n"/>
      <c r="K726" s="43" t="n"/>
      <c r="L726" s="43" t="n"/>
      <c r="M726" s="43" t="n"/>
    </row>
    <row r="727">
      <c r="A727" s="43" t="n"/>
      <c r="B727" s="43" t="n"/>
      <c r="C727" s="43" t="n"/>
      <c r="D727" s="43" t="n"/>
      <c r="E727" s="43" t="n"/>
      <c r="F727" s="43" t="n"/>
      <c r="G727" s="43" t="n"/>
      <c r="H727" s="43" t="n"/>
      <c r="I727" s="43" t="n"/>
      <c r="J727" s="43" t="n"/>
      <c r="K727" s="43" t="n"/>
      <c r="L727" s="43" t="n"/>
      <c r="M727" s="43" t="n"/>
    </row>
    <row r="728">
      <c r="A728" s="43" t="n"/>
      <c r="B728" s="43" t="n"/>
      <c r="C728" s="43" t="n"/>
      <c r="D728" s="43" t="n"/>
      <c r="E728" s="43" t="n"/>
      <c r="F728" s="43" t="n"/>
      <c r="G728" s="43" t="n"/>
      <c r="H728" s="43" t="n"/>
      <c r="I728" s="43" t="n"/>
      <c r="J728" s="43" t="n"/>
      <c r="K728" s="43" t="n"/>
      <c r="L728" s="43" t="n"/>
      <c r="M728" s="43" t="n"/>
    </row>
    <row r="729">
      <c r="A729" s="43" t="n"/>
      <c r="B729" s="43" t="n"/>
      <c r="C729" s="43" t="n"/>
      <c r="D729" s="43" t="n"/>
      <c r="E729" s="43" t="n"/>
      <c r="F729" s="43" t="n"/>
      <c r="G729" s="43" t="n"/>
      <c r="H729" s="43" t="n"/>
      <c r="I729" s="43" t="n"/>
      <c r="J729" s="43" t="n"/>
      <c r="K729" s="43" t="n"/>
      <c r="L729" s="43" t="n"/>
      <c r="M729" s="43" t="n"/>
    </row>
    <row r="730">
      <c r="A730" s="43" t="n"/>
      <c r="B730" s="43" t="n"/>
      <c r="C730" s="43" t="n"/>
      <c r="D730" s="43" t="n"/>
      <c r="E730" s="43" t="n"/>
      <c r="F730" s="43" t="n"/>
      <c r="G730" s="43" t="n"/>
      <c r="H730" s="43" t="n"/>
      <c r="I730" s="43" t="n"/>
      <c r="J730" s="43" t="n"/>
      <c r="K730" s="43" t="n"/>
      <c r="L730" s="43" t="n"/>
      <c r="M730" s="43" t="n"/>
    </row>
    <row r="731">
      <c r="A731" s="43" t="n"/>
      <c r="B731" s="43" t="n"/>
      <c r="C731" s="43" t="n"/>
      <c r="D731" s="43" t="n"/>
      <c r="E731" s="43" t="n"/>
      <c r="F731" s="43" t="n"/>
      <c r="G731" s="43" t="n"/>
      <c r="H731" s="43" t="n"/>
      <c r="I731" s="43" t="n"/>
      <c r="J731" s="43" t="n"/>
      <c r="K731" s="43" t="n"/>
      <c r="L731" s="43" t="n"/>
      <c r="M731" s="43" t="n"/>
    </row>
    <row r="732">
      <c r="A732" s="43" t="n"/>
      <c r="B732" s="43" t="n"/>
      <c r="C732" s="43" t="n"/>
      <c r="D732" s="43" t="n"/>
      <c r="E732" s="43" t="n"/>
      <c r="F732" s="43" t="n"/>
      <c r="G732" s="43" t="n"/>
      <c r="H732" s="43" t="n"/>
      <c r="I732" s="43" t="n"/>
      <c r="J732" s="43" t="n"/>
      <c r="K732" s="43" t="n"/>
      <c r="L732" s="43" t="n"/>
      <c r="M732" s="43" t="n"/>
    </row>
    <row r="733">
      <c r="A733" s="43" t="n"/>
      <c r="B733" s="43" t="n"/>
      <c r="C733" s="43" t="n"/>
      <c r="D733" s="43" t="n"/>
      <c r="E733" s="43" t="n"/>
      <c r="F733" s="43" t="n"/>
      <c r="G733" s="43" t="n"/>
      <c r="H733" s="43" t="n"/>
      <c r="I733" s="43" t="n"/>
      <c r="J733" s="43" t="n"/>
      <c r="K733" s="43" t="n"/>
      <c r="L733" s="43" t="n"/>
      <c r="M733" s="43" t="n"/>
    </row>
    <row r="734">
      <c r="A734" s="43" t="n"/>
      <c r="B734" s="43" t="n"/>
      <c r="C734" s="43" t="n"/>
      <c r="D734" s="43" t="n"/>
      <c r="E734" s="43" t="n"/>
      <c r="F734" s="43" t="n"/>
      <c r="G734" s="43" t="n"/>
      <c r="H734" s="43" t="n"/>
      <c r="I734" s="43" t="n"/>
      <c r="J734" s="43" t="n"/>
      <c r="K734" s="43" t="n"/>
      <c r="L734" s="43" t="n"/>
      <c r="M734" s="43" t="n"/>
    </row>
    <row r="735">
      <c r="A735" s="43" t="n"/>
      <c r="B735" s="43" t="n"/>
      <c r="C735" s="43" t="n"/>
      <c r="D735" s="43" t="n"/>
      <c r="E735" s="43" t="n"/>
      <c r="F735" s="43" t="n"/>
      <c r="G735" s="43" t="n"/>
      <c r="H735" s="43" t="n"/>
      <c r="I735" s="43" t="n"/>
      <c r="J735" s="43" t="n"/>
      <c r="K735" s="43" t="n"/>
      <c r="L735" s="43" t="n"/>
      <c r="M735" s="43" t="n"/>
    </row>
    <row r="736">
      <c r="A736" s="43" t="n"/>
      <c r="B736" s="43" t="n"/>
      <c r="C736" s="43" t="n"/>
      <c r="D736" s="43" t="n"/>
      <c r="E736" s="43" t="n"/>
      <c r="F736" s="43" t="n"/>
      <c r="G736" s="43" t="n"/>
      <c r="H736" s="43" t="n"/>
      <c r="I736" s="43" t="n"/>
      <c r="J736" s="43" t="n"/>
      <c r="K736" s="43" t="n"/>
      <c r="L736" s="43" t="n"/>
      <c r="M736" s="43" t="n"/>
    </row>
    <row r="737">
      <c r="A737" s="43" t="n"/>
      <c r="B737" s="43" t="n"/>
      <c r="C737" s="43" t="n"/>
      <c r="D737" s="43" t="n"/>
      <c r="E737" s="43" t="n"/>
      <c r="F737" s="43" t="n"/>
      <c r="G737" s="43" t="n"/>
      <c r="H737" s="43" t="n"/>
      <c r="I737" s="43" t="n"/>
      <c r="J737" s="43" t="n"/>
      <c r="K737" s="43" t="n"/>
      <c r="L737" s="43" t="n"/>
      <c r="M737" s="43" t="n"/>
    </row>
    <row r="738">
      <c r="A738" s="43" t="n"/>
      <c r="B738" s="43" t="n"/>
      <c r="C738" s="43" t="n"/>
      <c r="D738" s="43" t="n"/>
      <c r="E738" s="43" t="n"/>
      <c r="F738" s="43" t="n"/>
      <c r="G738" s="43" t="n"/>
      <c r="H738" s="43" t="n"/>
      <c r="I738" s="43" t="n"/>
      <c r="J738" s="43" t="n"/>
      <c r="K738" s="43" t="n"/>
      <c r="L738" s="43" t="n"/>
      <c r="M738" s="43" t="n"/>
    </row>
    <row r="739">
      <c r="A739" s="43" t="n"/>
      <c r="B739" s="43" t="n"/>
      <c r="C739" s="43" t="n"/>
      <c r="D739" s="43" t="n"/>
      <c r="E739" s="43" t="n"/>
      <c r="F739" s="43" t="n"/>
      <c r="G739" s="43" t="n"/>
      <c r="H739" s="43" t="n"/>
      <c r="I739" s="43" t="n"/>
      <c r="J739" s="43" t="n"/>
      <c r="K739" s="43" t="n"/>
      <c r="L739" s="43" t="n"/>
      <c r="M739" s="43" t="n"/>
    </row>
    <row r="740">
      <c r="A740" s="43" t="n"/>
      <c r="B740" s="43" t="n"/>
      <c r="C740" s="43" t="n"/>
      <c r="D740" s="43" t="n"/>
      <c r="E740" s="43" t="n"/>
      <c r="F740" s="43" t="n"/>
      <c r="G740" s="43" t="n"/>
      <c r="H740" s="43" t="n"/>
      <c r="I740" s="43" t="n"/>
      <c r="J740" s="43" t="n"/>
      <c r="K740" s="43" t="n"/>
      <c r="L740" s="43" t="n"/>
      <c r="M740" s="43" t="n"/>
    </row>
    <row r="741">
      <c r="A741" s="43" t="n"/>
      <c r="B741" s="43" t="n"/>
      <c r="C741" s="43" t="n"/>
      <c r="D741" s="43" t="n"/>
      <c r="E741" s="43" t="n"/>
      <c r="F741" s="43" t="n"/>
      <c r="G741" s="43" t="n"/>
      <c r="H741" s="43" t="n"/>
      <c r="I741" s="43" t="n"/>
      <c r="J741" s="43" t="n"/>
      <c r="K741" s="43" t="n"/>
      <c r="L741" s="43" t="n"/>
      <c r="M741" s="43" t="n"/>
    </row>
    <row r="742">
      <c r="A742" s="43" t="n"/>
      <c r="B742" s="43" t="n"/>
      <c r="C742" s="43" t="n"/>
      <c r="D742" s="43" t="n"/>
      <c r="E742" s="43" t="n"/>
      <c r="F742" s="43" t="n"/>
      <c r="G742" s="43" t="n"/>
      <c r="H742" s="43" t="n"/>
      <c r="I742" s="43" t="n"/>
      <c r="J742" s="43" t="n"/>
      <c r="K742" s="43" t="n"/>
      <c r="L742" s="43" t="n"/>
      <c r="M742" s="43" t="n"/>
    </row>
    <row r="743">
      <c r="A743" s="43" t="n"/>
      <c r="B743" s="43" t="n"/>
      <c r="C743" s="43" t="n"/>
      <c r="D743" s="43" t="n"/>
      <c r="E743" s="43" t="n"/>
      <c r="F743" s="43" t="n"/>
      <c r="G743" s="43" t="n"/>
      <c r="H743" s="43" t="n"/>
      <c r="I743" s="43" t="n"/>
      <c r="J743" s="43" t="n"/>
      <c r="K743" s="43" t="n"/>
      <c r="L743" s="43" t="n"/>
      <c r="M743" s="43" t="n"/>
    </row>
    <row r="744">
      <c r="A744" s="43" t="n"/>
      <c r="B744" s="43" t="n"/>
      <c r="C744" s="43" t="n"/>
      <c r="D744" s="43" t="n"/>
      <c r="E744" s="43" t="n"/>
      <c r="F744" s="43" t="n"/>
      <c r="G744" s="43" t="n"/>
      <c r="H744" s="43" t="n"/>
      <c r="I744" s="43" t="n"/>
      <c r="J744" s="43" t="n"/>
      <c r="K744" s="43" t="n"/>
      <c r="L744" s="43" t="n"/>
      <c r="M744" s="43" t="n"/>
    </row>
    <row r="745">
      <c r="A745" s="43" t="n"/>
      <c r="B745" s="43" t="n"/>
      <c r="C745" s="43" t="n"/>
      <c r="D745" s="43" t="n"/>
      <c r="E745" s="43" t="n"/>
      <c r="F745" s="43" t="n"/>
      <c r="G745" s="43" t="n"/>
      <c r="H745" s="43" t="n"/>
      <c r="I745" s="43" t="n"/>
      <c r="J745" s="43" t="n"/>
      <c r="K745" s="43" t="n"/>
      <c r="L745" s="43" t="n"/>
      <c r="M745" s="43" t="n"/>
    </row>
    <row r="746">
      <c r="A746" s="43" t="n"/>
      <c r="B746" s="43" t="n"/>
      <c r="C746" s="43" t="n"/>
      <c r="D746" s="43" t="n"/>
      <c r="E746" s="43" t="n"/>
      <c r="F746" s="43" t="n"/>
      <c r="G746" s="43" t="n"/>
      <c r="H746" s="43" t="n"/>
      <c r="I746" s="43" t="n"/>
      <c r="J746" s="43" t="n"/>
      <c r="K746" s="43" t="n"/>
      <c r="L746" s="43" t="n"/>
      <c r="M746" s="43" t="n"/>
    </row>
    <row r="747">
      <c r="A747" s="43" t="n"/>
      <c r="B747" s="43" t="n"/>
      <c r="C747" s="43" t="n"/>
      <c r="D747" s="43" t="n"/>
      <c r="E747" s="43" t="n"/>
      <c r="F747" s="43" t="n"/>
      <c r="G747" s="43" t="n"/>
      <c r="H747" s="43" t="n"/>
      <c r="I747" s="43" t="n"/>
      <c r="J747" s="43" t="n"/>
      <c r="K747" s="43" t="n"/>
      <c r="L747" s="43" t="n"/>
      <c r="M747" s="43" t="n"/>
    </row>
    <row r="748">
      <c r="A748" s="43" t="n"/>
      <c r="B748" s="43" t="n"/>
      <c r="C748" s="43" t="n"/>
      <c r="D748" s="43" t="n"/>
      <c r="E748" s="43" t="n"/>
      <c r="F748" s="43" t="n"/>
      <c r="G748" s="43" t="n"/>
      <c r="H748" s="43" t="n"/>
      <c r="I748" s="43" t="n"/>
      <c r="J748" s="43" t="n"/>
      <c r="K748" s="43" t="n"/>
      <c r="L748" s="43" t="n"/>
      <c r="M748" s="43" t="n"/>
    </row>
    <row r="749">
      <c r="A749" s="43" t="n"/>
      <c r="B749" s="43" t="n"/>
      <c r="C749" s="43" t="n"/>
      <c r="D749" s="43" t="n"/>
      <c r="E749" s="43" t="n"/>
      <c r="F749" s="43" t="n"/>
      <c r="G749" s="43" t="n"/>
      <c r="H749" s="43" t="n"/>
      <c r="I749" s="43" t="n"/>
      <c r="J749" s="43" t="n"/>
      <c r="K749" s="43" t="n"/>
      <c r="L749" s="43" t="n"/>
      <c r="M749" s="43" t="n"/>
    </row>
    <row r="750">
      <c r="A750" s="43" t="n"/>
      <c r="B750" s="43" t="n"/>
      <c r="C750" s="43" t="n"/>
      <c r="D750" s="43" t="n"/>
      <c r="E750" s="43" t="n"/>
      <c r="F750" s="43" t="n"/>
      <c r="G750" s="43" t="n"/>
      <c r="H750" s="43" t="n"/>
      <c r="I750" s="43" t="n"/>
      <c r="J750" s="43" t="n"/>
      <c r="K750" s="43" t="n"/>
      <c r="L750" s="43" t="n"/>
      <c r="M750" s="43" t="n"/>
    </row>
    <row r="751">
      <c r="A751" s="43" t="n"/>
      <c r="B751" s="43" t="n"/>
      <c r="C751" s="43" t="n"/>
      <c r="D751" s="43" t="n"/>
      <c r="E751" s="43" t="n"/>
      <c r="F751" s="43" t="n"/>
      <c r="G751" s="43" t="n"/>
      <c r="H751" s="43" t="n"/>
      <c r="I751" s="43" t="n"/>
      <c r="J751" s="43" t="n"/>
      <c r="K751" s="43" t="n"/>
      <c r="L751" s="43" t="n"/>
      <c r="M751" s="43" t="n"/>
    </row>
    <row r="752">
      <c r="A752" s="43" t="n"/>
      <c r="B752" s="43" t="n"/>
      <c r="C752" s="43" t="n"/>
      <c r="D752" s="43" t="n"/>
      <c r="E752" s="43" t="n"/>
      <c r="F752" s="43" t="n"/>
      <c r="G752" s="43" t="n"/>
      <c r="H752" s="43" t="n"/>
      <c r="I752" s="43" t="n"/>
      <c r="J752" s="43" t="n"/>
      <c r="K752" s="43" t="n"/>
      <c r="L752" s="43" t="n"/>
      <c r="M752" s="43" t="n"/>
    </row>
    <row r="753">
      <c r="A753" s="43" t="n"/>
      <c r="B753" s="43" t="n"/>
      <c r="C753" s="43" t="n"/>
      <c r="D753" s="43" t="n"/>
      <c r="E753" s="43" t="n"/>
      <c r="F753" s="43" t="n"/>
      <c r="G753" s="43" t="n"/>
      <c r="H753" s="43" t="n"/>
      <c r="I753" s="43" t="n"/>
      <c r="J753" s="43" t="n"/>
      <c r="K753" s="43" t="n"/>
      <c r="L753" s="43" t="n"/>
      <c r="M753" s="43" t="n"/>
    </row>
    <row r="754">
      <c r="A754" s="43" t="n"/>
      <c r="B754" s="43" t="n"/>
      <c r="C754" s="43" t="n"/>
      <c r="D754" s="43" t="n"/>
      <c r="E754" s="43" t="n"/>
      <c r="F754" s="43" t="n"/>
      <c r="G754" s="43" t="n"/>
      <c r="H754" s="43" t="n"/>
      <c r="I754" s="43" t="n"/>
      <c r="J754" s="43" t="n"/>
      <c r="K754" s="43" t="n"/>
      <c r="L754" s="43" t="n"/>
      <c r="M754" s="43" t="n"/>
    </row>
    <row r="755">
      <c r="A755" s="43" t="n"/>
      <c r="B755" s="43" t="n"/>
      <c r="C755" s="43" t="n"/>
      <c r="D755" s="43" t="n"/>
      <c r="E755" s="43" t="n"/>
      <c r="F755" s="43" t="n"/>
      <c r="G755" s="43" t="n"/>
      <c r="H755" s="43" t="n"/>
      <c r="I755" s="43" t="n"/>
      <c r="J755" s="43" t="n"/>
      <c r="K755" s="43" t="n"/>
      <c r="L755" s="43" t="n"/>
      <c r="M755" s="43" t="n"/>
    </row>
    <row r="756">
      <c r="A756" s="43" t="n"/>
      <c r="B756" s="43" t="n"/>
      <c r="C756" s="43" t="n"/>
      <c r="D756" s="43" t="n"/>
      <c r="E756" s="43" t="n"/>
      <c r="F756" s="43" t="n"/>
      <c r="G756" s="43" t="n"/>
      <c r="H756" s="43" t="n"/>
      <c r="I756" s="43" t="n"/>
      <c r="J756" s="43" t="n"/>
      <c r="K756" s="43" t="n"/>
      <c r="L756" s="43" t="n"/>
      <c r="M756" s="43" t="n"/>
    </row>
    <row r="757">
      <c r="A757" s="43" t="n"/>
      <c r="B757" s="43" t="n"/>
      <c r="C757" s="43" t="n"/>
      <c r="D757" s="43" t="n"/>
      <c r="E757" s="43" t="n"/>
      <c r="F757" s="43" t="n"/>
      <c r="G757" s="43" t="n"/>
      <c r="H757" s="43" t="n"/>
      <c r="I757" s="43" t="n"/>
      <c r="J757" s="43" t="n"/>
      <c r="K757" s="43" t="n"/>
      <c r="L757" s="43" t="n"/>
      <c r="M757" s="43" t="n"/>
    </row>
    <row r="758">
      <c r="A758" s="43" t="n"/>
      <c r="B758" s="43" t="n"/>
      <c r="C758" s="43" t="n"/>
      <c r="D758" s="43" t="n"/>
      <c r="E758" s="43" t="n"/>
      <c r="F758" s="43" t="n"/>
      <c r="G758" s="43" t="n"/>
      <c r="H758" s="43" t="n"/>
      <c r="I758" s="43" t="n"/>
      <c r="J758" s="43" t="n"/>
      <c r="K758" s="43" t="n"/>
      <c r="L758" s="43" t="n"/>
      <c r="M758" s="43" t="n"/>
    </row>
    <row r="759">
      <c r="A759" s="43" t="n"/>
      <c r="B759" s="43" t="n"/>
      <c r="C759" s="43" t="n"/>
      <c r="D759" s="43" t="n"/>
      <c r="E759" s="43" t="n"/>
      <c r="F759" s="43" t="n"/>
      <c r="G759" s="43" t="n"/>
      <c r="H759" s="43" t="n"/>
      <c r="I759" s="43" t="n"/>
      <c r="J759" s="43" t="n"/>
      <c r="K759" s="43" t="n"/>
      <c r="L759" s="43" t="n"/>
      <c r="M759" s="43" t="n"/>
    </row>
    <row r="760">
      <c r="A760" s="43" t="n"/>
      <c r="B760" s="43" t="n"/>
      <c r="C760" s="43" t="n"/>
      <c r="D760" s="43" t="n"/>
      <c r="E760" s="43" t="n"/>
      <c r="F760" s="43" t="n"/>
      <c r="G760" s="43" t="n"/>
      <c r="H760" s="43" t="n"/>
      <c r="I760" s="43" t="n"/>
      <c r="J760" s="43" t="n"/>
      <c r="K760" s="43" t="n"/>
      <c r="L760" s="43" t="n"/>
      <c r="M760" s="43" t="n"/>
    </row>
    <row r="761">
      <c r="A761" s="43" t="n"/>
      <c r="B761" s="43" t="n"/>
      <c r="C761" s="43" t="n"/>
      <c r="D761" s="43" t="n"/>
      <c r="E761" s="43" t="n"/>
      <c r="F761" s="43" t="n"/>
      <c r="G761" s="43" t="n"/>
      <c r="H761" s="43" t="n"/>
      <c r="I761" s="43" t="n"/>
      <c r="J761" s="43" t="n"/>
      <c r="K761" s="43" t="n"/>
      <c r="L761" s="43" t="n"/>
      <c r="M761" s="43" t="n"/>
    </row>
    <row r="762">
      <c r="A762" s="43" t="n"/>
      <c r="B762" s="43" t="n"/>
      <c r="C762" s="43" t="n"/>
      <c r="D762" s="43" t="n"/>
      <c r="E762" s="43" t="n"/>
      <c r="F762" s="43" t="n"/>
      <c r="G762" s="43" t="n"/>
      <c r="H762" s="43" t="n"/>
      <c r="I762" s="43" t="n"/>
      <c r="J762" s="43" t="n"/>
      <c r="K762" s="43" t="n"/>
      <c r="L762" s="43" t="n"/>
      <c r="M762" s="43" t="n"/>
    </row>
    <row r="763">
      <c r="A763" s="43" t="n"/>
      <c r="B763" s="43" t="n"/>
      <c r="C763" s="43" t="n"/>
      <c r="D763" s="43" t="n"/>
      <c r="E763" s="43" t="n"/>
      <c r="F763" s="43" t="n"/>
      <c r="G763" s="43" t="n"/>
      <c r="H763" s="43" t="n"/>
      <c r="I763" s="43" t="n"/>
      <c r="J763" s="43" t="n"/>
      <c r="K763" s="43" t="n"/>
      <c r="L763" s="43" t="n"/>
      <c r="M763" s="43" t="n"/>
    </row>
    <row r="764">
      <c r="A764" s="43" t="n"/>
      <c r="B764" s="43" t="n"/>
      <c r="C764" s="43" t="n"/>
      <c r="D764" s="43" t="n"/>
      <c r="E764" s="43" t="n"/>
      <c r="F764" s="43" t="n"/>
      <c r="G764" s="43" t="n"/>
      <c r="H764" s="43" t="n"/>
      <c r="I764" s="43" t="n"/>
      <c r="J764" s="43" t="n"/>
      <c r="K764" s="43" t="n"/>
      <c r="L764" s="43" t="n"/>
      <c r="M764" s="43" t="n"/>
    </row>
    <row r="765">
      <c r="A765" s="43" t="n"/>
      <c r="B765" s="43" t="n"/>
      <c r="C765" s="43" t="n"/>
      <c r="D765" s="43" t="n"/>
      <c r="E765" s="43" t="n"/>
      <c r="F765" s="43" t="n"/>
      <c r="G765" s="43" t="n"/>
      <c r="H765" s="43" t="n"/>
      <c r="I765" s="43" t="n"/>
      <c r="J765" s="43" t="n"/>
      <c r="K765" s="43" t="n"/>
      <c r="L765" s="43" t="n"/>
      <c r="M765" s="43" t="n"/>
    </row>
    <row r="766">
      <c r="A766" s="43" t="n"/>
      <c r="B766" s="43" t="n"/>
      <c r="C766" s="43" t="n"/>
      <c r="D766" s="43" t="n"/>
      <c r="E766" s="43" t="n"/>
      <c r="F766" s="43" t="n"/>
      <c r="G766" s="43" t="n"/>
      <c r="H766" s="43" t="n"/>
      <c r="I766" s="43" t="n"/>
      <c r="J766" s="43" t="n"/>
      <c r="K766" s="43" t="n"/>
      <c r="L766" s="43" t="n"/>
      <c r="M766" s="43" t="n"/>
    </row>
    <row r="767">
      <c r="A767" s="43" t="n"/>
      <c r="B767" s="43" t="n"/>
      <c r="C767" s="43" t="n"/>
      <c r="D767" s="43" t="n"/>
      <c r="E767" s="43" t="n"/>
      <c r="F767" s="43" t="n"/>
      <c r="G767" s="43" t="n"/>
      <c r="H767" s="43" t="n"/>
      <c r="I767" s="43" t="n"/>
      <c r="J767" s="43" t="n"/>
      <c r="K767" s="43" t="n"/>
      <c r="L767" s="43" t="n"/>
      <c r="M767" s="43" t="n"/>
    </row>
    <row r="768">
      <c r="A768" s="43" t="n"/>
      <c r="B768" s="43" t="n"/>
      <c r="C768" s="43" t="n"/>
      <c r="D768" s="43" t="n"/>
      <c r="E768" s="43" t="n"/>
      <c r="F768" s="43" t="n"/>
      <c r="G768" s="43" t="n"/>
      <c r="H768" s="43" t="n"/>
      <c r="I768" s="43" t="n"/>
      <c r="J768" s="43" t="n"/>
      <c r="K768" s="43" t="n"/>
      <c r="L768" s="43" t="n"/>
      <c r="M768" s="43" t="n"/>
    </row>
    <row r="769">
      <c r="A769" s="43" t="n"/>
      <c r="B769" s="43" t="n"/>
      <c r="C769" s="43" t="n"/>
      <c r="D769" s="43" t="n"/>
      <c r="E769" s="43" t="n"/>
      <c r="F769" s="43" t="n"/>
      <c r="G769" s="43" t="n"/>
      <c r="H769" s="43" t="n"/>
      <c r="I769" s="43" t="n"/>
      <c r="J769" s="43" t="n"/>
      <c r="K769" s="43" t="n"/>
      <c r="L769" s="43" t="n"/>
      <c r="M769" s="43" t="n"/>
    </row>
    <row r="770">
      <c r="A770" s="43" t="n"/>
      <c r="B770" s="43" t="n"/>
      <c r="C770" s="43" t="n"/>
      <c r="D770" s="43" t="n"/>
      <c r="E770" s="43" t="n"/>
      <c r="F770" s="43" t="n"/>
      <c r="G770" s="43" t="n"/>
      <c r="H770" s="43" t="n"/>
      <c r="I770" s="43" t="n"/>
      <c r="J770" s="43" t="n"/>
      <c r="K770" s="43" t="n"/>
      <c r="L770" s="43" t="n"/>
      <c r="M770" s="43" t="n"/>
    </row>
    <row r="771">
      <c r="A771" s="43" t="n"/>
      <c r="B771" s="43" t="n"/>
      <c r="C771" s="43" t="n"/>
      <c r="D771" s="43" t="n"/>
      <c r="E771" s="43" t="n"/>
      <c r="F771" s="43" t="n"/>
      <c r="G771" s="43" t="n"/>
      <c r="H771" s="43" t="n"/>
      <c r="I771" s="43" t="n"/>
      <c r="J771" s="43" t="n"/>
      <c r="K771" s="43" t="n"/>
      <c r="L771" s="43" t="n"/>
      <c r="M771" s="43" t="n"/>
    </row>
    <row r="772">
      <c r="A772" s="43" t="n"/>
      <c r="B772" s="43" t="n"/>
      <c r="C772" s="43" t="n"/>
      <c r="D772" s="43" t="n"/>
      <c r="E772" s="43" t="n"/>
      <c r="F772" s="43" t="n"/>
      <c r="G772" s="43" t="n"/>
      <c r="H772" s="43" t="n"/>
      <c r="I772" s="43" t="n"/>
      <c r="J772" s="43" t="n"/>
      <c r="K772" s="43" t="n"/>
      <c r="L772" s="43" t="n"/>
      <c r="M772" s="43" t="n"/>
    </row>
    <row r="773">
      <c r="A773" s="43" t="n"/>
      <c r="B773" s="43" t="n"/>
      <c r="C773" s="43" t="n"/>
      <c r="D773" s="43" t="n"/>
      <c r="E773" s="43" t="n"/>
      <c r="F773" s="43" t="n"/>
      <c r="G773" s="43" t="n"/>
      <c r="H773" s="43" t="n"/>
      <c r="I773" s="43" t="n"/>
      <c r="J773" s="43" t="n"/>
      <c r="K773" s="43" t="n"/>
      <c r="L773" s="43" t="n"/>
      <c r="M773" s="43" t="n"/>
    </row>
    <row r="774">
      <c r="A774" s="43" t="n"/>
      <c r="B774" s="43" t="n"/>
      <c r="C774" s="43" t="n"/>
      <c r="D774" s="43" t="n"/>
      <c r="E774" s="43" t="n"/>
      <c r="F774" s="43" t="n"/>
      <c r="G774" s="43" t="n"/>
      <c r="H774" s="43" t="n"/>
      <c r="I774" s="43" t="n"/>
      <c r="J774" s="43" t="n"/>
      <c r="K774" s="43" t="n"/>
      <c r="L774" s="43" t="n"/>
      <c r="M774" s="43" t="n"/>
    </row>
    <row r="775">
      <c r="A775" s="43" t="n"/>
      <c r="B775" s="43" t="n"/>
      <c r="C775" s="43" t="n"/>
      <c r="D775" s="43" t="n"/>
      <c r="E775" s="43" t="n"/>
      <c r="F775" s="43" t="n"/>
      <c r="G775" s="43" t="n"/>
      <c r="H775" s="43" t="n"/>
      <c r="I775" s="43" t="n"/>
      <c r="J775" s="43" t="n"/>
      <c r="K775" s="43" t="n"/>
      <c r="L775" s="43" t="n"/>
      <c r="M775" s="43" t="n"/>
    </row>
    <row r="776">
      <c r="A776" s="43" t="n"/>
      <c r="B776" s="43" t="n"/>
      <c r="C776" s="43" t="n"/>
      <c r="D776" s="43" t="n"/>
      <c r="E776" s="43" t="n"/>
      <c r="F776" s="43" t="n"/>
      <c r="G776" s="43" t="n"/>
      <c r="H776" s="43" t="n"/>
      <c r="I776" s="43" t="n"/>
      <c r="J776" s="43" t="n"/>
      <c r="K776" s="43" t="n"/>
      <c r="L776" s="43" t="n"/>
      <c r="M776" s="43" t="n"/>
    </row>
    <row r="777">
      <c r="A777" s="43" t="n"/>
      <c r="B777" s="43" t="n"/>
      <c r="C777" s="43" t="n"/>
      <c r="D777" s="43" t="n"/>
      <c r="E777" s="43" t="n"/>
      <c r="F777" s="43" t="n"/>
      <c r="G777" s="43" t="n"/>
      <c r="H777" s="43" t="n"/>
      <c r="I777" s="43" t="n"/>
      <c r="J777" s="43" t="n"/>
      <c r="K777" s="43" t="n"/>
      <c r="L777" s="43" t="n"/>
      <c r="M777" s="43" t="n"/>
    </row>
    <row r="778">
      <c r="A778" s="43" t="n"/>
      <c r="B778" s="43" t="n"/>
      <c r="C778" s="43" t="n"/>
      <c r="D778" s="43" t="n"/>
      <c r="E778" s="43" t="n"/>
      <c r="F778" s="43" t="n"/>
      <c r="G778" s="43" t="n"/>
      <c r="H778" s="43" t="n"/>
      <c r="I778" s="43" t="n"/>
      <c r="J778" s="43" t="n"/>
      <c r="K778" s="43" t="n"/>
      <c r="L778" s="43" t="n"/>
      <c r="M778" s="43" t="n"/>
    </row>
    <row r="779">
      <c r="A779" s="43" t="n"/>
      <c r="B779" s="43" t="n"/>
      <c r="C779" s="43" t="n"/>
      <c r="D779" s="43" t="n"/>
      <c r="E779" s="43" t="n"/>
      <c r="F779" s="43" t="n"/>
      <c r="G779" s="43" t="n"/>
      <c r="H779" s="43" t="n"/>
      <c r="I779" s="43" t="n"/>
      <c r="J779" s="43" t="n"/>
      <c r="K779" s="43" t="n"/>
      <c r="L779" s="43" t="n"/>
      <c r="M779" s="43" t="n"/>
    </row>
    <row r="780">
      <c r="A780" s="43" t="n"/>
      <c r="B780" s="43" t="n"/>
      <c r="C780" s="43" t="n"/>
      <c r="D780" s="43" t="n"/>
      <c r="E780" s="43" t="n"/>
      <c r="F780" s="43" t="n"/>
      <c r="G780" s="43" t="n"/>
      <c r="H780" s="43" t="n"/>
      <c r="I780" s="43" t="n"/>
      <c r="J780" s="43" t="n"/>
      <c r="K780" s="43" t="n"/>
      <c r="L780" s="43" t="n"/>
      <c r="M780" s="43" t="n"/>
    </row>
    <row r="781">
      <c r="A781" s="43" t="n"/>
      <c r="B781" s="43" t="n"/>
      <c r="C781" s="43" t="n"/>
      <c r="D781" s="43" t="n"/>
      <c r="E781" s="43" t="n"/>
      <c r="F781" s="43" t="n"/>
      <c r="G781" s="43" t="n"/>
      <c r="H781" s="43" t="n"/>
      <c r="I781" s="43" t="n"/>
      <c r="J781" s="43" t="n"/>
      <c r="K781" s="43" t="n"/>
      <c r="L781" s="43" t="n"/>
      <c r="M781" s="43" t="n"/>
    </row>
    <row r="782">
      <c r="A782" s="43" t="n"/>
      <c r="B782" s="43" t="n"/>
      <c r="C782" s="43" t="n"/>
      <c r="D782" s="43" t="n"/>
      <c r="E782" s="43" t="n"/>
      <c r="F782" s="43" t="n"/>
      <c r="G782" s="43" t="n"/>
      <c r="H782" s="43" t="n"/>
      <c r="I782" s="43" t="n"/>
      <c r="J782" s="43" t="n"/>
      <c r="K782" s="43" t="n"/>
      <c r="L782" s="43" t="n"/>
      <c r="M782" s="43" t="n"/>
    </row>
    <row r="783">
      <c r="A783" s="43" t="n"/>
      <c r="B783" s="43" t="n"/>
      <c r="C783" s="43" t="n"/>
      <c r="D783" s="43" t="n"/>
      <c r="E783" s="43" t="n"/>
      <c r="F783" s="43" t="n"/>
      <c r="G783" s="43" t="n"/>
      <c r="H783" s="43" t="n"/>
      <c r="I783" s="43" t="n"/>
      <c r="J783" s="43" t="n"/>
      <c r="K783" s="43" t="n"/>
      <c r="L783" s="43" t="n"/>
      <c r="M783" s="43" t="n"/>
    </row>
    <row r="784">
      <c r="A784" s="43" t="n"/>
      <c r="B784" s="43" t="n"/>
      <c r="C784" s="43" t="n"/>
      <c r="D784" s="43" t="n"/>
      <c r="E784" s="43" t="n"/>
      <c r="F784" s="43" t="n"/>
      <c r="G784" s="43" t="n"/>
      <c r="H784" s="43" t="n"/>
      <c r="I784" s="43" t="n"/>
      <c r="J784" s="43" t="n"/>
      <c r="K784" s="43" t="n"/>
      <c r="L784" s="43" t="n"/>
      <c r="M784" s="43" t="n"/>
    </row>
    <row r="785">
      <c r="A785" s="43" t="n"/>
      <c r="B785" s="43" t="n"/>
      <c r="C785" s="43" t="n"/>
      <c r="D785" s="43" t="n"/>
      <c r="E785" s="43" t="n"/>
      <c r="F785" s="43" t="n"/>
      <c r="G785" s="43" t="n"/>
      <c r="H785" s="43" t="n"/>
      <c r="I785" s="43" t="n"/>
      <c r="J785" s="43" t="n"/>
      <c r="K785" s="43" t="n"/>
      <c r="L785" s="43" t="n"/>
      <c r="M785" s="43" t="n"/>
    </row>
    <row r="786">
      <c r="A786" s="43" t="n"/>
      <c r="B786" s="43" t="n"/>
      <c r="C786" s="43" t="n"/>
      <c r="D786" s="43" t="n"/>
      <c r="E786" s="43" t="n"/>
      <c r="F786" s="43" t="n"/>
      <c r="G786" s="43" t="n"/>
      <c r="H786" s="43" t="n"/>
      <c r="I786" s="43" t="n"/>
      <c r="J786" s="43" t="n"/>
      <c r="K786" s="43" t="n"/>
      <c r="L786" s="43" t="n"/>
      <c r="M786" s="43" t="n"/>
    </row>
    <row r="787">
      <c r="A787" s="43" t="n"/>
      <c r="B787" s="43" t="n"/>
      <c r="C787" s="43" t="n"/>
      <c r="D787" s="43" t="n"/>
      <c r="E787" s="43" t="n"/>
      <c r="F787" s="43" t="n"/>
      <c r="G787" s="43" t="n"/>
      <c r="H787" s="43" t="n"/>
      <c r="I787" s="43" t="n"/>
      <c r="J787" s="43" t="n"/>
      <c r="K787" s="43" t="n"/>
      <c r="L787" s="43" t="n"/>
      <c r="M787" s="43" t="n"/>
    </row>
    <row r="788">
      <c r="A788" s="43" t="n"/>
      <c r="B788" s="43" t="n"/>
      <c r="C788" s="43" t="n"/>
      <c r="D788" s="43" t="n"/>
      <c r="E788" s="43" t="n"/>
      <c r="F788" s="43" t="n"/>
      <c r="G788" s="43" t="n"/>
      <c r="H788" s="43" t="n"/>
      <c r="I788" s="43" t="n"/>
      <c r="J788" s="43" t="n"/>
      <c r="K788" s="43" t="n"/>
      <c r="L788" s="43" t="n"/>
      <c r="M788" s="43" t="n"/>
    </row>
    <row r="789">
      <c r="A789" s="43" t="n"/>
      <c r="B789" s="43" t="n"/>
      <c r="C789" s="43" t="n"/>
      <c r="D789" s="43" t="n"/>
      <c r="E789" s="43" t="n"/>
      <c r="F789" s="43" t="n"/>
      <c r="G789" s="43" t="n"/>
      <c r="H789" s="43" t="n"/>
      <c r="I789" s="43" t="n"/>
      <c r="J789" s="43" t="n"/>
      <c r="K789" s="43" t="n"/>
      <c r="L789" s="43" t="n"/>
      <c r="M789" s="43" t="n"/>
    </row>
    <row r="790">
      <c r="A790" s="43" t="n"/>
      <c r="B790" s="43" t="n"/>
      <c r="C790" s="43" t="n"/>
      <c r="D790" s="43" t="n"/>
      <c r="E790" s="43" t="n"/>
      <c r="F790" s="43" t="n"/>
      <c r="G790" s="43" t="n"/>
      <c r="H790" s="43" t="n"/>
      <c r="I790" s="43" t="n"/>
      <c r="J790" s="43" t="n"/>
      <c r="K790" s="43" t="n"/>
      <c r="L790" s="43" t="n"/>
      <c r="M790" s="43" t="n"/>
    </row>
    <row r="791">
      <c r="A791" s="43" t="n"/>
      <c r="B791" s="43" t="n"/>
      <c r="C791" s="43" t="n"/>
      <c r="D791" s="43" t="n"/>
      <c r="E791" s="43" t="n"/>
      <c r="F791" s="43" t="n"/>
      <c r="G791" s="43" t="n"/>
      <c r="H791" s="43" t="n"/>
      <c r="I791" s="43" t="n"/>
      <c r="J791" s="43" t="n"/>
      <c r="K791" s="43" t="n"/>
      <c r="L791" s="43" t="n"/>
      <c r="M791" s="43" t="n"/>
    </row>
    <row r="792">
      <c r="A792" s="43" t="n"/>
      <c r="B792" s="43" t="n"/>
      <c r="C792" s="43" t="n"/>
      <c r="D792" s="43" t="n"/>
      <c r="E792" s="43" t="n"/>
      <c r="F792" s="43" t="n"/>
      <c r="G792" s="43" t="n"/>
      <c r="H792" s="43" t="n"/>
      <c r="I792" s="43" t="n"/>
      <c r="J792" s="43" t="n"/>
      <c r="K792" s="43" t="n"/>
      <c r="L792" s="43" t="n"/>
      <c r="M792" s="43" t="n"/>
    </row>
    <row r="793">
      <c r="A793" s="43" t="n"/>
      <c r="B793" s="43" t="n"/>
      <c r="C793" s="43" t="n"/>
      <c r="D793" s="43" t="n"/>
      <c r="E793" s="43" t="n"/>
      <c r="F793" s="43" t="n"/>
      <c r="G793" s="43" t="n"/>
      <c r="H793" s="43" t="n"/>
      <c r="I793" s="43" t="n"/>
      <c r="J793" s="43" t="n"/>
      <c r="K793" s="43" t="n"/>
      <c r="L793" s="43" t="n"/>
      <c r="M793" s="43" t="n"/>
    </row>
    <row r="794">
      <c r="A794" s="43" t="n"/>
      <c r="B794" s="43" t="n"/>
      <c r="C794" s="43" t="n"/>
      <c r="D794" s="43" t="n"/>
      <c r="E794" s="43" t="n"/>
      <c r="F794" s="43" t="n"/>
      <c r="G794" s="43" t="n"/>
      <c r="H794" s="43" t="n"/>
      <c r="I794" s="43" t="n"/>
      <c r="J794" s="43" t="n"/>
      <c r="K794" s="43" t="n"/>
      <c r="L794" s="43" t="n"/>
      <c r="M794" s="43" t="n"/>
    </row>
    <row r="795">
      <c r="A795" s="43" t="n"/>
      <c r="B795" s="43" t="n"/>
      <c r="C795" s="43" t="n"/>
      <c r="D795" s="43" t="n"/>
      <c r="E795" s="43" t="n"/>
      <c r="F795" s="43" t="n"/>
      <c r="G795" s="43" t="n"/>
      <c r="H795" s="43" t="n"/>
      <c r="I795" s="43" t="n"/>
      <c r="J795" s="43" t="n"/>
      <c r="K795" s="43" t="n"/>
      <c r="L795" s="43" t="n"/>
      <c r="M795" s="43" t="n"/>
    </row>
    <row r="796">
      <c r="A796" s="43" t="n"/>
      <c r="B796" s="43" t="n"/>
      <c r="C796" s="43" t="n"/>
      <c r="D796" s="43" t="n"/>
      <c r="E796" s="43" t="n"/>
      <c r="F796" s="43" t="n"/>
      <c r="G796" s="43" t="n"/>
      <c r="H796" s="43" t="n"/>
      <c r="I796" s="43" t="n"/>
      <c r="J796" s="43" t="n"/>
      <c r="K796" s="43" t="n"/>
      <c r="L796" s="43" t="n"/>
      <c r="M796" s="43" t="n"/>
    </row>
    <row r="797">
      <c r="A797" s="43" t="n"/>
      <c r="B797" s="43" t="n"/>
      <c r="C797" s="43" t="n"/>
      <c r="D797" s="43" t="n"/>
      <c r="E797" s="43" t="n"/>
      <c r="F797" s="43" t="n"/>
      <c r="G797" s="43" t="n"/>
      <c r="H797" s="43" t="n"/>
      <c r="I797" s="43" t="n"/>
      <c r="J797" s="43" t="n"/>
      <c r="K797" s="43" t="n"/>
      <c r="L797" s="43" t="n"/>
      <c r="M797" s="43" t="n"/>
    </row>
    <row r="798">
      <c r="A798" s="43" t="n"/>
      <c r="B798" s="43" t="n"/>
      <c r="C798" s="43" t="n"/>
      <c r="D798" s="43" t="n"/>
      <c r="E798" s="43" t="n"/>
      <c r="F798" s="43" t="n"/>
      <c r="G798" s="43" t="n"/>
      <c r="H798" s="43" t="n"/>
      <c r="I798" s="43" t="n"/>
      <c r="J798" s="43" t="n"/>
      <c r="K798" s="43" t="n"/>
      <c r="L798" s="43" t="n"/>
      <c r="M798" s="43" t="n"/>
    </row>
    <row r="799">
      <c r="A799" s="43" t="n"/>
      <c r="B799" s="43" t="n"/>
      <c r="C799" s="43" t="n"/>
      <c r="D799" s="43" t="n"/>
      <c r="E799" s="43" t="n"/>
      <c r="F799" s="43" t="n"/>
      <c r="G799" s="43" t="n"/>
      <c r="H799" s="43" t="n"/>
      <c r="I799" s="43" t="n"/>
      <c r="J799" s="43" t="n"/>
      <c r="K799" s="43" t="n"/>
      <c r="L799" s="43" t="n"/>
      <c r="M799" s="43" t="n"/>
    </row>
    <row r="800">
      <c r="A800" s="43" t="n"/>
      <c r="B800" s="43" t="n"/>
      <c r="C800" s="43" t="n"/>
      <c r="D800" s="43" t="n"/>
      <c r="E800" s="43" t="n"/>
      <c r="F800" s="43" t="n"/>
      <c r="G800" s="43" t="n"/>
      <c r="H800" s="43" t="n"/>
      <c r="I800" s="43" t="n"/>
      <c r="J800" s="43" t="n"/>
      <c r="K800" s="43" t="n"/>
      <c r="L800" s="43" t="n"/>
      <c r="M800" s="43" t="n"/>
    </row>
    <row r="801">
      <c r="A801" s="43" t="n"/>
      <c r="B801" s="43" t="n"/>
      <c r="C801" s="43" t="n"/>
      <c r="D801" s="43" t="n"/>
      <c r="E801" s="43" t="n"/>
      <c r="F801" s="43" t="n"/>
      <c r="G801" s="43" t="n"/>
      <c r="H801" s="43" t="n"/>
      <c r="I801" s="43" t="n"/>
      <c r="J801" s="43" t="n"/>
      <c r="K801" s="43" t="n"/>
      <c r="L801" s="43" t="n"/>
      <c r="M801" s="43" t="n"/>
    </row>
    <row r="802">
      <c r="A802" s="43" t="n"/>
      <c r="B802" s="43" t="n"/>
      <c r="C802" s="43" t="n"/>
      <c r="D802" s="43" t="n"/>
      <c r="E802" s="43" t="n"/>
      <c r="F802" s="43" t="n"/>
      <c r="G802" s="43" t="n"/>
      <c r="H802" s="43" t="n"/>
      <c r="I802" s="43" t="n"/>
      <c r="J802" s="43" t="n"/>
      <c r="K802" s="43" t="n"/>
      <c r="L802" s="43" t="n"/>
      <c r="M802" s="43" t="n"/>
    </row>
    <row r="803">
      <c r="A803" s="43" t="n"/>
      <c r="B803" s="43" t="n"/>
      <c r="C803" s="43" t="n"/>
      <c r="D803" s="43" t="n"/>
      <c r="E803" s="43" t="n"/>
      <c r="F803" s="43" t="n"/>
      <c r="G803" s="43" t="n"/>
      <c r="H803" s="43" t="n"/>
      <c r="I803" s="43" t="n"/>
      <c r="J803" s="43" t="n"/>
      <c r="K803" s="43" t="n"/>
      <c r="L803" s="43" t="n"/>
      <c r="M803" s="43" t="n"/>
    </row>
    <row r="804">
      <c r="A804" s="43" t="n"/>
      <c r="B804" s="43" t="n"/>
      <c r="C804" s="43" t="n"/>
      <c r="D804" s="43" t="n"/>
      <c r="E804" s="43" t="n"/>
      <c r="F804" s="43" t="n"/>
      <c r="G804" s="43" t="n"/>
      <c r="H804" s="43" t="n"/>
      <c r="I804" s="43" t="n"/>
      <c r="J804" s="43" t="n"/>
      <c r="K804" s="43" t="n"/>
      <c r="L804" s="43" t="n"/>
      <c r="M804" s="43" t="n"/>
    </row>
    <row r="805">
      <c r="A805" s="43" t="n"/>
      <c r="B805" s="43" t="n"/>
      <c r="C805" s="43" t="n"/>
      <c r="D805" s="43" t="n"/>
      <c r="E805" s="43" t="n"/>
      <c r="F805" s="43" t="n"/>
      <c r="G805" s="43" t="n"/>
      <c r="H805" s="43" t="n"/>
      <c r="I805" s="43" t="n"/>
      <c r="J805" s="43" t="n"/>
      <c r="K805" s="43" t="n"/>
      <c r="L805" s="43" t="n"/>
      <c r="M805" s="43" t="n"/>
    </row>
    <row r="806">
      <c r="A806" s="43" t="n"/>
      <c r="B806" s="43" t="n"/>
      <c r="C806" s="43" t="n"/>
      <c r="D806" s="43" t="n"/>
      <c r="E806" s="43" t="n"/>
      <c r="F806" s="43" t="n"/>
      <c r="G806" s="43" t="n"/>
      <c r="H806" s="43" t="n"/>
      <c r="I806" s="43" t="n"/>
      <c r="J806" s="43" t="n"/>
      <c r="K806" s="43" t="n"/>
      <c r="L806" s="43" t="n"/>
      <c r="M806" s="43" t="n"/>
    </row>
    <row r="807">
      <c r="A807" s="43" t="n"/>
      <c r="B807" s="43" t="n"/>
      <c r="C807" s="43" t="n"/>
      <c r="D807" s="43" t="n"/>
      <c r="E807" s="43" t="n"/>
      <c r="F807" s="43" t="n"/>
      <c r="G807" s="43" t="n"/>
      <c r="H807" s="43" t="n"/>
      <c r="I807" s="43" t="n"/>
      <c r="J807" s="43" t="n"/>
      <c r="K807" s="43" t="n"/>
      <c r="L807" s="43" t="n"/>
      <c r="M807" s="43" t="n"/>
    </row>
    <row r="808">
      <c r="A808" s="43" t="n"/>
      <c r="B808" s="43" t="n"/>
      <c r="C808" s="43" t="n"/>
      <c r="D808" s="43" t="n"/>
      <c r="E808" s="43" t="n"/>
      <c r="F808" s="43" t="n"/>
      <c r="G808" s="43" t="n"/>
      <c r="H808" s="43" t="n"/>
      <c r="I808" s="43" t="n"/>
      <c r="J808" s="43" t="n"/>
      <c r="K808" s="43" t="n"/>
      <c r="L808" s="43" t="n"/>
      <c r="M808" s="43" t="n"/>
    </row>
    <row r="809">
      <c r="A809" s="43" t="n"/>
      <c r="B809" s="43" t="n"/>
      <c r="C809" s="43" t="n"/>
      <c r="D809" s="43" t="n"/>
      <c r="E809" s="43" t="n"/>
      <c r="F809" s="43" t="n"/>
      <c r="G809" s="43" t="n"/>
      <c r="H809" s="43" t="n"/>
      <c r="I809" s="43" t="n"/>
      <c r="J809" s="43" t="n"/>
      <c r="K809" s="43" t="n"/>
      <c r="L809" s="43" t="n"/>
      <c r="M809" s="43" t="n"/>
    </row>
    <row r="810">
      <c r="A810" s="43" t="n"/>
      <c r="B810" s="43" t="n"/>
      <c r="C810" s="43" t="n"/>
      <c r="D810" s="43" t="n"/>
      <c r="E810" s="43" t="n"/>
      <c r="F810" s="43" t="n"/>
      <c r="G810" s="43" t="n"/>
      <c r="H810" s="43" t="n"/>
      <c r="I810" s="43" t="n"/>
      <c r="J810" s="43" t="n"/>
      <c r="K810" s="43" t="n"/>
      <c r="L810" s="43" t="n"/>
      <c r="M810" s="43" t="n"/>
    </row>
    <row r="811">
      <c r="A811" s="43" t="n"/>
      <c r="B811" s="43" t="n"/>
      <c r="C811" s="43" t="n"/>
      <c r="D811" s="43" t="n"/>
      <c r="E811" s="43" t="n"/>
      <c r="F811" s="43" t="n"/>
      <c r="G811" s="43" t="n"/>
      <c r="H811" s="43" t="n"/>
      <c r="I811" s="43" t="n"/>
      <c r="J811" s="43" t="n"/>
      <c r="K811" s="43" t="n"/>
      <c r="L811" s="43" t="n"/>
      <c r="M811" s="43" t="n"/>
    </row>
    <row r="812">
      <c r="A812" s="43" t="n"/>
      <c r="B812" s="43" t="n"/>
      <c r="C812" s="43" t="n"/>
      <c r="D812" s="43" t="n"/>
      <c r="E812" s="43" t="n"/>
      <c r="F812" s="43" t="n"/>
      <c r="G812" s="43" t="n"/>
      <c r="H812" s="43" t="n"/>
      <c r="I812" s="43" t="n"/>
      <c r="J812" s="43" t="n"/>
      <c r="K812" s="43" t="n"/>
      <c r="L812" s="43" t="n"/>
      <c r="M812" s="43" t="n"/>
    </row>
    <row r="813">
      <c r="A813" s="43" t="n"/>
      <c r="B813" s="43" t="n"/>
      <c r="C813" s="43" t="n"/>
      <c r="D813" s="43" t="n"/>
      <c r="E813" s="43" t="n"/>
      <c r="F813" s="43" t="n"/>
      <c r="G813" s="43" t="n"/>
      <c r="H813" s="43" t="n"/>
      <c r="I813" s="43" t="n"/>
      <c r="J813" s="43" t="n"/>
      <c r="K813" s="43" t="n"/>
      <c r="L813" s="43" t="n"/>
      <c r="M813" s="43" t="n"/>
    </row>
    <row r="814">
      <c r="A814" s="43" t="n"/>
      <c r="B814" s="43" t="n"/>
      <c r="C814" s="43" t="n"/>
      <c r="D814" s="43" t="n"/>
      <c r="E814" s="43" t="n"/>
      <c r="F814" s="43" t="n"/>
      <c r="G814" s="43" t="n"/>
      <c r="H814" s="43" t="n"/>
      <c r="I814" s="43" t="n"/>
      <c r="J814" s="43" t="n"/>
      <c r="K814" s="43" t="n"/>
      <c r="L814" s="43" t="n"/>
      <c r="M814" s="43" t="n"/>
    </row>
    <row r="815">
      <c r="A815" s="43" t="n"/>
      <c r="B815" s="43" t="n"/>
      <c r="C815" s="43" t="n"/>
      <c r="D815" s="43" t="n"/>
      <c r="E815" s="43" t="n"/>
      <c r="F815" s="43" t="n"/>
      <c r="G815" s="43" t="n"/>
      <c r="H815" s="43" t="n"/>
      <c r="I815" s="43" t="n"/>
      <c r="J815" s="43" t="n"/>
      <c r="K815" s="43" t="n"/>
      <c r="L815" s="43" t="n"/>
      <c r="M815" s="43" t="n"/>
    </row>
    <row r="816">
      <c r="A816" s="43" t="n"/>
      <c r="B816" s="43" t="n"/>
      <c r="C816" s="43" t="n"/>
      <c r="D816" s="43" t="n"/>
      <c r="E816" s="43" t="n"/>
      <c r="F816" s="43" t="n"/>
      <c r="G816" s="43" t="n"/>
      <c r="H816" s="43" t="n"/>
      <c r="I816" s="43" t="n"/>
      <c r="J816" s="43" t="n"/>
      <c r="K816" s="43" t="n"/>
      <c r="L816" s="43" t="n"/>
      <c r="M816" s="43" t="n"/>
    </row>
    <row r="817">
      <c r="A817" s="43" t="n"/>
      <c r="B817" s="43" t="n"/>
      <c r="C817" s="43" t="n"/>
      <c r="D817" s="43" t="n"/>
      <c r="E817" s="43" t="n"/>
      <c r="F817" s="43" t="n"/>
      <c r="G817" s="43" t="n"/>
      <c r="H817" s="43" t="n"/>
      <c r="I817" s="43" t="n"/>
      <c r="J817" s="43" t="n"/>
      <c r="K817" s="43" t="n"/>
      <c r="L817" s="43" t="n"/>
      <c r="M817" s="43" t="n"/>
    </row>
    <row r="818">
      <c r="A818" s="43" t="n"/>
      <c r="B818" s="43" t="n"/>
      <c r="C818" s="43" t="n"/>
      <c r="D818" s="43" t="n"/>
      <c r="E818" s="43" t="n"/>
      <c r="F818" s="43" t="n"/>
      <c r="G818" s="43" t="n"/>
      <c r="H818" s="43" t="n"/>
      <c r="I818" s="43" t="n"/>
      <c r="J818" s="43" t="n"/>
      <c r="K818" s="43" t="n"/>
      <c r="L818" s="43" t="n"/>
      <c r="M818" s="43" t="n"/>
    </row>
    <row r="819">
      <c r="A819" s="43" t="n"/>
      <c r="B819" s="43" t="n"/>
      <c r="C819" s="43" t="n"/>
      <c r="D819" s="43" t="n"/>
      <c r="E819" s="43" t="n"/>
      <c r="F819" s="43" t="n"/>
      <c r="G819" s="43" t="n"/>
      <c r="H819" s="43" t="n"/>
      <c r="I819" s="43" t="n"/>
      <c r="J819" s="43" t="n"/>
      <c r="K819" s="43" t="n"/>
      <c r="L819" s="43" t="n"/>
      <c r="M819" s="43" t="n"/>
    </row>
    <row r="820">
      <c r="A820" s="43" t="n"/>
      <c r="B820" s="43" t="n"/>
      <c r="C820" s="43" t="n"/>
      <c r="D820" s="43" t="n"/>
      <c r="E820" s="43" t="n"/>
      <c r="F820" s="43" t="n"/>
      <c r="G820" s="43" t="n"/>
      <c r="H820" s="43" t="n"/>
      <c r="I820" s="43" t="n"/>
      <c r="J820" s="43" t="n"/>
      <c r="K820" s="43" t="n"/>
      <c r="L820" s="43" t="n"/>
      <c r="M820" s="43" t="n"/>
    </row>
    <row r="821">
      <c r="A821" s="43" t="n"/>
      <c r="B821" s="43" t="n"/>
      <c r="C821" s="43" t="n"/>
      <c r="D821" s="43" t="n"/>
      <c r="E821" s="43" t="n"/>
      <c r="F821" s="43" t="n"/>
      <c r="G821" s="43" t="n"/>
      <c r="H821" s="43" t="n"/>
      <c r="I821" s="43" t="n"/>
      <c r="J821" s="43" t="n"/>
      <c r="K821" s="43" t="n"/>
      <c r="L821" s="43" t="n"/>
      <c r="M821" s="43" t="n"/>
    </row>
    <row r="822">
      <c r="A822" s="43" t="n"/>
      <c r="B822" s="43" t="n"/>
      <c r="C822" s="43" t="n"/>
      <c r="D822" s="43" t="n"/>
      <c r="E822" s="43" t="n"/>
      <c r="F822" s="43" t="n"/>
      <c r="G822" s="43" t="n"/>
      <c r="H822" s="43" t="n"/>
      <c r="I822" s="43" t="n"/>
      <c r="J822" s="43" t="n"/>
      <c r="K822" s="43" t="n"/>
      <c r="L822" s="43" t="n"/>
      <c r="M822" s="43" t="n"/>
    </row>
    <row r="823">
      <c r="A823" s="43" t="n"/>
      <c r="B823" s="43" t="n"/>
      <c r="C823" s="43" t="n"/>
      <c r="D823" s="43" t="n"/>
      <c r="E823" s="43" t="n"/>
      <c r="F823" s="43" t="n"/>
      <c r="G823" s="43" t="n"/>
      <c r="H823" s="43" t="n"/>
      <c r="I823" s="43" t="n"/>
      <c r="J823" s="43" t="n"/>
      <c r="K823" s="43" t="n"/>
      <c r="L823" s="43" t="n"/>
      <c r="M823" s="43" t="n"/>
    </row>
    <row r="824">
      <c r="A824" s="43" t="n"/>
      <c r="B824" s="43" t="n"/>
      <c r="C824" s="43" t="n"/>
      <c r="D824" s="43" t="n"/>
      <c r="E824" s="43" t="n"/>
      <c r="F824" s="43" t="n"/>
      <c r="G824" s="43" t="n"/>
      <c r="H824" s="43" t="n"/>
      <c r="I824" s="43" t="n"/>
      <c r="J824" s="43" t="n"/>
      <c r="K824" s="43" t="n"/>
      <c r="L824" s="43" t="n"/>
      <c r="M824" s="43" t="n"/>
    </row>
    <row r="825">
      <c r="A825" s="43" t="n"/>
      <c r="B825" s="43" t="n"/>
      <c r="C825" s="43" t="n"/>
      <c r="D825" s="43" t="n"/>
      <c r="E825" s="43" t="n"/>
      <c r="F825" s="43" t="n"/>
      <c r="G825" s="43" t="n"/>
      <c r="H825" s="43" t="n"/>
      <c r="I825" s="43" t="n"/>
      <c r="J825" s="43" t="n"/>
      <c r="K825" s="43" t="n"/>
      <c r="L825" s="43" t="n"/>
      <c r="M825" s="43" t="n"/>
    </row>
    <row r="826">
      <c r="A826" s="43" t="n"/>
      <c r="B826" s="43" t="n"/>
      <c r="C826" s="43" t="n"/>
      <c r="D826" s="43" t="n"/>
      <c r="E826" s="43" t="n"/>
      <c r="F826" s="43" t="n"/>
      <c r="G826" s="43" t="n"/>
      <c r="H826" s="43" t="n"/>
      <c r="I826" s="43" t="n"/>
      <c r="J826" s="43" t="n"/>
      <c r="K826" s="43" t="n"/>
      <c r="L826" s="43" t="n"/>
      <c r="M826" s="43" t="n"/>
    </row>
    <row r="827">
      <c r="A827" s="43" t="n"/>
      <c r="B827" s="43" t="n"/>
      <c r="C827" s="43" t="n"/>
      <c r="D827" s="43" t="n"/>
      <c r="E827" s="43" t="n"/>
      <c r="F827" s="43" t="n"/>
      <c r="G827" s="43" t="n"/>
      <c r="H827" s="43" t="n"/>
      <c r="I827" s="43" t="n"/>
      <c r="J827" s="43" t="n"/>
      <c r="K827" s="43" t="n"/>
      <c r="L827" s="43" t="n"/>
      <c r="M827" s="43" t="n"/>
    </row>
    <row r="828">
      <c r="A828" s="43" t="n"/>
      <c r="B828" s="43" t="n"/>
      <c r="C828" s="43" t="n"/>
      <c r="D828" s="43" t="n"/>
      <c r="E828" s="43" t="n"/>
      <c r="F828" s="43" t="n"/>
      <c r="G828" s="43" t="n"/>
      <c r="H828" s="43" t="n"/>
      <c r="I828" s="43" t="n"/>
      <c r="J828" s="43" t="n"/>
      <c r="K828" s="43" t="n"/>
      <c r="L828" s="43" t="n"/>
      <c r="M828" s="43" t="n"/>
    </row>
    <row r="829">
      <c r="A829" s="43" t="n"/>
      <c r="B829" s="43" t="n"/>
      <c r="C829" s="43" t="n"/>
      <c r="D829" s="43" t="n"/>
      <c r="E829" s="43" t="n"/>
      <c r="F829" s="43" t="n"/>
      <c r="G829" s="43" t="n"/>
      <c r="H829" s="43" t="n"/>
      <c r="I829" s="43" t="n"/>
      <c r="J829" s="43" t="n"/>
      <c r="K829" s="43" t="n"/>
      <c r="L829" s="43" t="n"/>
      <c r="M829" s="43" t="n"/>
    </row>
    <row r="830">
      <c r="A830" s="43" t="n"/>
      <c r="B830" s="43" t="n"/>
      <c r="C830" s="43" t="n"/>
      <c r="D830" s="43" t="n"/>
      <c r="E830" s="43" t="n"/>
      <c r="F830" s="43" t="n"/>
      <c r="G830" s="43" t="n"/>
      <c r="H830" s="43" t="n"/>
      <c r="I830" s="43" t="n"/>
      <c r="J830" s="43" t="n"/>
      <c r="K830" s="43" t="n"/>
      <c r="L830" s="43" t="n"/>
      <c r="M830" s="43" t="n"/>
    </row>
    <row r="831">
      <c r="A831" s="43" t="n"/>
      <c r="B831" s="43" t="n"/>
      <c r="C831" s="43" t="n"/>
      <c r="D831" s="43" t="n"/>
      <c r="E831" s="43" t="n"/>
      <c r="F831" s="43" t="n"/>
      <c r="G831" s="43" t="n"/>
      <c r="H831" s="43" t="n"/>
      <c r="I831" s="43" t="n"/>
      <c r="J831" s="43" t="n"/>
      <c r="K831" s="43" t="n"/>
      <c r="L831" s="43" t="n"/>
      <c r="M831" s="43" t="n"/>
    </row>
    <row r="832">
      <c r="A832" s="43" t="n"/>
      <c r="B832" s="43" t="n"/>
      <c r="C832" s="43" t="n"/>
      <c r="D832" s="43" t="n"/>
      <c r="E832" s="43" t="n"/>
      <c r="F832" s="43" t="n"/>
      <c r="G832" s="43" t="n"/>
      <c r="H832" s="43" t="n"/>
      <c r="I832" s="43" t="n"/>
      <c r="J832" s="43" t="n"/>
      <c r="K832" s="43" t="n"/>
      <c r="L832" s="43" t="n"/>
      <c r="M832" s="43" t="n"/>
    </row>
    <row r="833">
      <c r="A833" s="43" t="n"/>
      <c r="B833" s="43" t="n"/>
      <c r="C833" s="43" t="n"/>
      <c r="D833" s="43" t="n"/>
      <c r="E833" s="43" t="n"/>
      <c r="F833" s="43" t="n"/>
      <c r="G833" s="43" t="n"/>
      <c r="H833" s="43" t="n"/>
      <c r="I833" s="43" t="n"/>
      <c r="J833" s="43" t="n"/>
      <c r="K833" s="43" t="n"/>
      <c r="L833" s="43" t="n"/>
      <c r="M833" s="43" t="n"/>
    </row>
    <row r="834">
      <c r="A834" s="43" t="n"/>
      <c r="B834" s="43" t="n"/>
      <c r="C834" s="43" t="n"/>
      <c r="D834" s="43" t="n"/>
      <c r="E834" s="43" t="n"/>
      <c r="F834" s="43" t="n"/>
      <c r="G834" s="43" t="n"/>
      <c r="H834" s="43" t="n"/>
      <c r="I834" s="43" t="n"/>
      <c r="J834" s="43" t="n"/>
      <c r="K834" s="43" t="n"/>
      <c r="L834" s="43" t="n"/>
      <c r="M834" s="43" t="n"/>
    </row>
    <row r="835">
      <c r="A835" s="43" t="n"/>
      <c r="B835" s="43" t="n"/>
      <c r="C835" s="43" t="n"/>
      <c r="D835" s="43" t="n"/>
      <c r="E835" s="43" t="n"/>
      <c r="F835" s="43" t="n"/>
      <c r="G835" s="43" t="n"/>
      <c r="H835" s="43" t="n"/>
      <c r="I835" s="43" t="n"/>
      <c r="J835" s="43" t="n"/>
      <c r="K835" s="43" t="n"/>
      <c r="L835" s="43" t="n"/>
      <c r="M835" s="43" t="n"/>
    </row>
    <row r="836">
      <c r="A836" s="43" t="n"/>
      <c r="B836" s="43" t="n"/>
      <c r="C836" s="43" t="n"/>
      <c r="D836" s="43" t="n"/>
      <c r="E836" s="43" t="n"/>
      <c r="F836" s="43" t="n"/>
      <c r="G836" s="43" t="n"/>
      <c r="H836" s="43" t="n"/>
      <c r="I836" s="43" t="n"/>
      <c r="J836" s="43" t="n"/>
      <c r="K836" s="43" t="n"/>
      <c r="L836" s="43" t="n"/>
      <c r="M836" s="43" t="n"/>
    </row>
    <row r="837">
      <c r="A837" s="43" t="n"/>
      <c r="B837" s="43" t="n"/>
      <c r="C837" s="43" t="n"/>
      <c r="D837" s="43" t="n"/>
      <c r="E837" s="43" t="n"/>
      <c r="F837" s="43" t="n"/>
      <c r="G837" s="43" t="n"/>
      <c r="H837" s="43" t="n"/>
      <c r="I837" s="43" t="n"/>
      <c r="J837" s="43" t="n"/>
      <c r="K837" s="43" t="n"/>
      <c r="L837" s="43" t="n"/>
      <c r="M837" s="43" t="n"/>
    </row>
    <row r="838">
      <c r="A838" s="43" t="n"/>
      <c r="B838" s="43" t="n"/>
      <c r="C838" s="43" t="n"/>
      <c r="D838" s="43" t="n"/>
      <c r="E838" s="43" t="n"/>
      <c r="F838" s="43" t="n"/>
      <c r="G838" s="43" t="n"/>
      <c r="H838" s="43" t="n"/>
      <c r="I838" s="43" t="n"/>
      <c r="J838" s="43" t="n"/>
      <c r="K838" s="43" t="n"/>
      <c r="L838" s="43" t="n"/>
      <c r="M838" s="43" t="n"/>
    </row>
    <row r="839">
      <c r="A839" s="43" t="n"/>
      <c r="B839" s="43" t="n"/>
      <c r="C839" s="43" t="n"/>
      <c r="D839" s="43" t="n"/>
      <c r="E839" s="43" t="n"/>
      <c r="F839" s="43" t="n"/>
      <c r="G839" s="43" t="n"/>
      <c r="H839" s="43" t="n"/>
      <c r="I839" s="43" t="n"/>
      <c r="J839" s="43" t="n"/>
      <c r="K839" s="43" t="n"/>
      <c r="L839" s="43" t="n"/>
      <c r="M839" s="43" t="n"/>
    </row>
    <row r="840">
      <c r="A840" s="43" t="n"/>
      <c r="B840" s="43" t="n"/>
      <c r="C840" s="43" t="n"/>
      <c r="D840" s="43" t="n"/>
      <c r="E840" s="43" t="n"/>
      <c r="F840" s="43" t="n"/>
      <c r="G840" s="43" t="n"/>
      <c r="H840" s="43" t="n"/>
      <c r="I840" s="43" t="n"/>
      <c r="J840" s="43" t="n"/>
      <c r="K840" s="43" t="n"/>
      <c r="L840" s="43" t="n"/>
      <c r="M840" s="43" t="n"/>
    </row>
    <row r="841">
      <c r="A841" s="43" t="n"/>
      <c r="B841" s="43" t="n"/>
      <c r="C841" s="43" t="n"/>
      <c r="D841" s="43" t="n"/>
      <c r="E841" s="43" t="n"/>
      <c r="F841" s="43" t="n"/>
      <c r="G841" s="43" t="n"/>
      <c r="H841" s="43" t="n"/>
      <c r="I841" s="43" t="n"/>
      <c r="J841" s="43" t="n"/>
      <c r="K841" s="43" t="n"/>
      <c r="L841" s="43" t="n"/>
      <c r="M841" s="43" t="n"/>
    </row>
    <row r="842">
      <c r="A842" s="43" t="n"/>
      <c r="B842" s="43" t="n"/>
      <c r="C842" s="43" t="n"/>
      <c r="D842" s="43" t="n"/>
      <c r="E842" s="43" t="n"/>
      <c r="F842" s="43" t="n"/>
      <c r="G842" s="43" t="n"/>
      <c r="H842" s="43" t="n"/>
      <c r="I842" s="43" t="n"/>
      <c r="J842" s="43" t="n"/>
      <c r="K842" s="43" t="n"/>
      <c r="L842" s="43" t="n"/>
      <c r="M842" s="43" t="n"/>
    </row>
    <row r="843">
      <c r="A843" s="43" t="n"/>
      <c r="B843" s="43" t="n"/>
      <c r="C843" s="43" t="n"/>
      <c r="D843" s="43" t="n"/>
      <c r="E843" s="43" t="n"/>
      <c r="F843" s="43" t="n"/>
      <c r="G843" s="43" t="n"/>
      <c r="H843" s="43" t="n"/>
      <c r="I843" s="43" t="n"/>
      <c r="J843" s="43" t="n"/>
      <c r="K843" s="43" t="n"/>
      <c r="L843" s="43" t="n"/>
      <c r="M843" s="43" t="n"/>
    </row>
    <row r="844">
      <c r="A844" s="43" t="n"/>
      <c r="B844" s="43" t="n"/>
      <c r="C844" s="43" t="n"/>
      <c r="D844" s="43" t="n"/>
      <c r="E844" s="43" t="n"/>
      <c r="F844" s="43" t="n"/>
      <c r="G844" s="43" t="n"/>
      <c r="H844" s="43" t="n"/>
      <c r="I844" s="43" t="n"/>
      <c r="J844" s="43" t="n"/>
      <c r="K844" s="43" t="n"/>
      <c r="L844" s="43" t="n"/>
      <c r="M844" s="43" t="n"/>
    </row>
    <row r="845">
      <c r="A845" s="43" t="n"/>
      <c r="B845" s="43" t="n"/>
      <c r="C845" s="43" t="n"/>
      <c r="D845" s="43" t="n"/>
      <c r="E845" s="43" t="n"/>
      <c r="F845" s="43" t="n"/>
      <c r="G845" s="43" t="n"/>
      <c r="H845" s="43" t="n"/>
      <c r="I845" s="43" t="n"/>
      <c r="J845" s="43" t="n"/>
      <c r="K845" s="43" t="n"/>
      <c r="L845" s="43" t="n"/>
      <c r="M845" s="43" t="n"/>
    </row>
    <row r="846">
      <c r="A846" s="43" t="n"/>
      <c r="B846" s="43" t="n"/>
      <c r="C846" s="43" t="n"/>
      <c r="D846" s="43" t="n"/>
      <c r="E846" s="43" t="n"/>
      <c r="F846" s="43" t="n"/>
      <c r="G846" s="43" t="n"/>
      <c r="H846" s="43" t="n"/>
      <c r="I846" s="43" t="n"/>
      <c r="J846" s="43" t="n"/>
      <c r="K846" s="43" t="n"/>
      <c r="L846" s="43" t="n"/>
      <c r="M846" s="43" t="n"/>
    </row>
    <row r="847">
      <c r="A847" s="43" t="n"/>
      <c r="B847" s="43" t="n"/>
      <c r="C847" s="43" t="n"/>
      <c r="D847" s="43" t="n"/>
      <c r="E847" s="43" t="n"/>
      <c r="F847" s="43" t="n"/>
      <c r="G847" s="43" t="n"/>
      <c r="H847" s="43" t="n"/>
      <c r="I847" s="43" t="n"/>
      <c r="J847" s="43" t="n"/>
      <c r="K847" s="43" t="n"/>
      <c r="L847" s="43" t="n"/>
      <c r="M847" s="43" t="n"/>
    </row>
    <row r="848">
      <c r="A848" s="43" t="n"/>
      <c r="B848" s="43" t="n"/>
      <c r="C848" s="43" t="n"/>
      <c r="D848" s="43" t="n"/>
      <c r="E848" s="43" t="n"/>
      <c r="F848" s="43" t="n"/>
      <c r="G848" s="43" t="n"/>
      <c r="H848" s="43" t="n"/>
      <c r="I848" s="43" t="n"/>
      <c r="J848" s="43" t="n"/>
      <c r="K848" s="43" t="n"/>
      <c r="L848" s="43" t="n"/>
      <c r="M848" s="43" t="n"/>
    </row>
    <row r="849">
      <c r="A849" s="43" t="n"/>
      <c r="B849" s="43" t="n"/>
      <c r="C849" s="43" t="n"/>
      <c r="D849" s="43" t="n"/>
      <c r="E849" s="43" t="n"/>
      <c r="F849" s="43" t="n"/>
      <c r="G849" s="43" t="n"/>
      <c r="H849" s="43" t="n"/>
      <c r="I849" s="43" t="n"/>
      <c r="J849" s="43" t="n"/>
      <c r="K849" s="43" t="n"/>
      <c r="L849" s="43" t="n"/>
      <c r="M849" s="43" t="n"/>
    </row>
    <row r="850">
      <c r="A850" s="43" t="n"/>
      <c r="B850" s="43" t="n"/>
      <c r="C850" s="43" t="n"/>
      <c r="D850" s="43" t="n"/>
      <c r="E850" s="43" t="n"/>
      <c r="F850" s="43" t="n"/>
      <c r="G850" s="43" t="n"/>
      <c r="H850" s="43" t="n"/>
      <c r="I850" s="43" t="n"/>
      <c r="J850" s="43" t="n"/>
      <c r="K850" s="43" t="n"/>
      <c r="L850" s="43" t="n"/>
      <c r="M850" s="43" t="n"/>
    </row>
    <row r="851">
      <c r="A851" s="43" t="n"/>
      <c r="B851" s="43" t="n"/>
      <c r="C851" s="43" t="n"/>
      <c r="D851" s="43" t="n"/>
      <c r="E851" s="43" t="n"/>
      <c r="F851" s="43" t="n"/>
      <c r="G851" s="43" t="n"/>
      <c r="H851" s="43" t="n"/>
      <c r="I851" s="43" t="n"/>
      <c r="J851" s="43" t="n"/>
      <c r="K851" s="43" t="n"/>
      <c r="L851" s="43" t="n"/>
      <c r="M851" s="43" t="n"/>
    </row>
    <row r="852">
      <c r="A852" s="43" t="n"/>
      <c r="B852" s="43" t="n"/>
      <c r="C852" s="43" t="n"/>
      <c r="D852" s="43" t="n"/>
      <c r="E852" s="43" t="n"/>
      <c r="F852" s="43" t="n"/>
      <c r="G852" s="43" t="n"/>
      <c r="H852" s="43" t="n"/>
      <c r="I852" s="43" t="n"/>
      <c r="J852" s="43" t="n"/>
      <c r="K852" s="43" t="n"/>
      <c r="L852" s="43" t="n"/>
      <c r="M852" s="43" t="n"/>
    </row>
    <row r="853">
      <c r="A853" s="43" t="n"/>
      <c r="B853" s="43" t="n"/>
      <c r="C853" s="43" t="n"/>
      <c r="D853" s="43" t="n"/>
      <c r="E853" s="43" t="n"/>
      <c r="F853" s="43" t="n"/>
      <c r="G853" s="43" t="n"/>
      <c r="H853" s="43" t="n"/>
      <c r="I853" s="43" t="n"/>
      <c r="J853" s="43" t="n"/>
      <c r="K853" s="43" t="n"/>
      <c r="L853" s="43" t="n"/>
      <c r="M853" s="43" t="n"/>
    </row>
    <row r="854">
      <c r="A854" s="43" t="n"/>
      <c r="B854" s="43" t="n"/>
      <c r="C854" s="43" t="n"/>
      <c r="D854" s="43" t="n"/>
      <c r="E854" s="43" t="n"/>
      <c r="F854" s="43" t="n"/>
      <c r="G854" s="43" t="n"/>
      <c r="H854" s="43" t="n"/>
      <c r="I854" s="43" t="n"/>
      <c r="J854" s="43" t="n"/>
      <c r="K854" s="43" t="n"/>
      <c r="L854" s="43" t="n"/>
      <c r="M854" s="43" t="n"/>
    </row>
    <row r="855">
      <c r="A855" s="43" t="n"/>
      <c r="B855" s="43" t="n"/>
      <c r="C855" s="43" t="n"/>
      <c r="D855" s="43" t="n"/>
      <c r="E855" s="43" t="n"/>
      <c r="F855" s="43" t="n"/>
      <c r="G855" s="43" t="n"/>
      <c r="H855" s="43" t="n"/>
      <c r="I855" s="43" t="n"/>
      <c r="J855" s="43" t="n"/>
      <c r="K855" s="43" t="n"/>
      <c r="L855" s="43" t="n"/>
      <c r="M855" s="43" t="n"/>
    </row>
    <row r="856">
      <c r="A856" s="43" t="n"/>
      <c r="B856" s="43" t="n"/>
      <c r="C856" s="43" t="n"/>
      <c r="D856" s="43" t="n"/>
      <c r="E856" s="43" t="n"/>
      <c r="F856" s="43" t="n"/>
      <c r="G856" s="43" t="n"/>
      <c r="H856" s="43" t="n"/>
      <c r="I856" s="43" t="n"/>
      <c r="J856" s="43" t="n"/>
      <c r="K856" s="43" t="n"/>
      <c r="L856" s="43" t="n"/>
      <c r="M856" s="43" t="n"/>
    </row>
    <row r="857">
      <c r="A857" s="43" t="n"/>
      <c r="B857" s="43" t="n"/>
      <c r="C857" s="43" t="n"/>
      <c r="D857" s="43" t="n"/>
      <c r="E857" s="43" t="n"/>
      <c r="F857" s="43" t="n"/>
      <c r="G857" s="43" t="n"/>
      <c r="H857" s="43" t="n"/>
      <c r="I857" s="43" t="n"/>
      <c r="J857" s="43" t="n"/>
      <c r="K857" s="43" t="n"/>
      <c r="L857" s="43" t="n"/>
      <c r="M857" s="43" t="n"/>
    </row>
    <row r="858">
      <c r="A858" s="43" t="n"/>
      <c r="B858" s="43" t="n"/>
      <c r="C858" s="43" t="n"/>
      <c r="D858" s="43" t="n"/>
      <c r="E858" s="43" t="n"/>
      <c r="F858" s="43" t="n"/>
      <c r="G858" s="43" t="n"/>
      <c r="H858" s="43" t="n"/>
      <c r="I858" s="43" t="n"/>
      <c r="J858" s="43" t="n"/>
      <c r="K858" s="43" t="n"/>
      <c r="L858" s="43" t="n"/>
      <c r="M858" s="43" t="n"/>
    </row>
    <row r="859">
      <c r="A859" s="43" t="n"/>
      <c r="B859" s="43" t="n"/>
      <c r="C859" s="43" t="n"/>
      <c r="D859" s="43" t="n"/>
      <c r="E859" s="43" t="n"/>
      <c r="F859" s="43" t="n"/>
      <c r="G859" s="43" t="n"/>
      <c r="H859" s="43" t="n"/>
      <c r="I859" s="43" t="n"/>
      <c r="J859" s="43" t="n"/>
      <c r="K859" s="43" t="n"/>
      <c r="L859" s="43" t="n"/>
      <c r="M859" s="43" t="n"/>
    </row>
    <row r="860">
      <c r="A860" s="43" t="n"/>
      <c r="B860" s="43" t="n"/>
      <c r="C860" s="43" t="n"/>
      <c r="D860" s="43" t="n"/>
      <c r="E860" s="43" t="n"/>
      <c r="F860" s="43" t="n"/>
      <c r="G860" s="43" t="n"/>
      <c r="H860" s="43" t="n"/>
      <c r="I860" s="43" t="n"/>
      <c r="J860" s="43" t="n"/>
      <c r="K860" s="43" t="n"/>
      <c r="L860" s="43" t="n"/>
      <c r="M860" s="43" t="n"/>
    </row>
    <row r="861">
      <c r="A861" s="43" t="n"/>
      <c r="B861" s="43" t="n"/>
      <c r="C861" s="43" t="n"/>
      <c r="D861" s="43" t="n"/>
      <c r="E861" s="43" t="n"/>
      <c r="F861" s="43" t="n"/>
      <c r="G861" s="43" t="n"/>
      <c r="H861" s="43" t="n"/>
      <c r="I861" s="43" t="n"/>
      <c r="J861" s="43" t="n"/>
      <c r="K861" s="43" t="n"/>
      <c r="L861" s="43" t="n"/>
      <c r="M861" s="43" t="n"/>
    </row>
    <row r="862">
      <c r="A862" s="43" t="n"/>
      <c r="B862" s="43" t="n"/>
      <c r="C862" s="43" t="n"/>
      <c r="D862" s="43" t="n"/>
      <c r="E862" s="43" t="n"/>
      <c r="F862" s="43" t="n"/>
      <c r="G862" s="43" t="n"/>
      <c r="H862" s="43" t="n"/>
      <c r="I862" s="43" t="n"/>
      <c r="J862" s="43" t="n"/>
      <c r="K862" s="43" t="n"/>
      <c r="L862" s="43" t="n"/>
      <c r="M862" s="43" t="n"/>
    </row>
    <row r="863">
      <c r="A863" s="43" t="n"/>
      <c r="B863" s="43" t="n"/>
      <c r="C863" s="43" t="n"/>
      <c r="D863" s="43" t="n"/>
      <c r="E863" s="43" t="n"/>
      <c r="F863" s="43" t="n"/>
      <c r="G863" s="43" t="n"/>
      <c r="H863" s="43" t="n"/>
      <c r="I863" s="43" t="n"/>
      <c r="J863" s="43" t="n"/>
      <c r="K863" s="43" t="n"/>
      <c r="L863" s="43" t="n"/>
      <c r="M863" s="43" t="n"/>
    </row>
    <row r="864">
      <c r="A864" s="43" t="n"/>
      <c r="B864" s="43" t="n"/>
      <c r="C864" s="43" t="n"/>
      <c r="D864" s="43" t="n"/>
      <c r="E864" s="43" t="n"/>
      <c r="F864" s="43" t="n"/>
      <c r="G864" s="43" t="n"/>
      <c r="H864" s="43" t="n"/>
      <c r="I864" s="43" t="n"/>
      <c r="J864" s="43" t="n"/>
      <c r="K864" s="43" t="n"/>
      <c r="L864" s="43" t="n"/>
      <c r="M864" s="43" t="n"/>
    </row>
    <row r="865">
      <c r="A865" s="43" t="n"/>
      <c r="B865" s="43" t="n"/>
      <c r="C865" s="43" t="n"/>
      <c r="D865" s="43" t="n"/>
      <c r="E865" s="43" t="n"/>
      <c r="F865" s="43" t="n"/>
      <c r="G865" s="43" t="n"/>
      <c r="H865" s="43" t="n"/>
      <c r="I865" s="43" t="n"/>
      <c r="J865" s="43" t="n"/>
      <c r="K865" s="43" t="n"/>
      <c r="L865" s="43" t="n"/>
      <c r="M865" s="43" t="n"/>
    </row>
    <row r="866">
      <c r="A866" s="43" t="n"/>
      <c r="B866" s="43" t="n"/>
      <c r="C866" s="43" t="n"/>
      <c r="D866" s="43" t="n"/>
      <c r="E866" s="43" t="n"/>
      <c r="F866" s="43" t="n"/>
      <c r="G866" s="43" t="n"/>
      <c r="H866" s="43" t="n"/>
      <c r="I866" s="43" t="n"/>
      <c r="J866" s="43" t="n"/>
      <c r="K866" s="43" t="n"/>
      <c r="L866" s="43" t="n"/>
      <c r="M866" s="43" t="n"/>
    </row>
    <row r="867">
      <c r="A867" s="43" t="n"/>
      <c r="B867" s="43" t="n"/>
      <c r="C867" s="43" t="n"/>
      <c r="D867" s="43" t="n"/>
      <c r="E867" s="43" t="n"/>
      <c r="F867" s="43" t="n"/>
      <c r="G867" s="43" t="n"/>
      <c r="H867" s="43" t="n"/>
      <c r="I867" s="43" t="n"/>
      <c r="J867" s="43" t="n"/>
      <c r="K867" s="43" t="n"/>
      <c r="L867" s="43" t="n"/>
      <c r="M867" s="43" t="n"/>
    </row>
    <row r="868">
      <c r="A868" s="43" t="n"/>
      <c r="B868" s="43" t="n"/>
      <c r="C868" s="43" t="n"/>
      <c r="D868" s="43" t="n"/>
      <c r="E868" s="43" t="n"/>
      <c r="F868" s="43" t="n"/>
      <c r="G868" s="43" t="n"/>
      <c r="H868" s="43" t="n"/>
      <c r="I868" s="43" t="n"/>
      <c r="J868" s="43" t="n"/>
      <c r="K868" s="43" t="n"/>
      <c r="L868" s="43" t="n"/>
      <c r="M868" s="43" t="n"/>
    </row>
    <row r="869">
      <c r="A869" s="43" t="n"/>
      <c r="B869" s="43" t="n"/>
      <c r="C869" s="43" t="n"/>
      <c r="D869" s="43" t="n"/>
      <c r="E869" s="43" t="n"/>
      <c r="F869" s="43" t="n"/>
      <c r="G869" s="43" t="n"/>
      <c r="H869" s="43" t="n"/>
      <c r="I869" s="43" t="n"/>
      <c r="J869" s="43" t="n"/>
      <c r="K869" s="43" t="n"/>
      <c r="L869" s="43" t="n"/>
      <c r="M869" s="43" t="n"/>
    </row>
    <row r="870">
      <c r="A870" s="43" t="n"/>
      <c r="B870" s="43" t="n"/>
      <c r="C870" s="43" t="n"/>
      <c r="D870" s="43" t="n"/>
      <c r="E870" s="43" t="n"/>
      <c r="F870" s="43" t="n"/>
      <c r="G870" s="43" t="n"/>
      <c r="H870" s="43" t="n"/>
      <c r="I870" s="43" t="n"/>
      <c r="J870" s="43" t="n"/>
      <c r="K870" s="43" t="n"/>
      <c r="L870" s="43" t="n"/>
      <c r="M870" s="43" t="n"/>
    </row>
    <row r="871">
      <c r="A871" s="43" t="n"/>
      <c r="B871" s="43" t="n"/>
      <c r="C871" s="43" t="n"/>
      <c r="D871" s="43" t="n"/>
      <c r="E871" s="43" t="n"/>
      <c r="F871" s="43" t="n"/>
      <c r="G871" s="43" t="n"/>
      <c r="H871" s="43" t="n"/>
      <c r="I871" s="43" t="n"/>
      <c r="J871" s="43" t="n"/>
      <c r="K871" s="43" t="n"/>
      <c r="L871" s="43" t="n"/>
      <c r="M871" s="43" t="n"/>
    </row>
    <row r="872">
      <c r="A872" s="43" t="n"/>
      <c r="B872" s="43" t="n"/>
      <c r="C872" s="43" t="n"/>
      <c r="D872" s="43" t="n"/>
      <c r="E872" s="43" t="n"/>
      <c r="F872" s="43" t="n"/>
      <c r="G872" s="43" t="n"/>
      <c r="H872" s="43" t="n"/>
      <c r="I872" s="43" t="n"/>
      <c r="J872" s="43" t="n"/>
      <c r="K872" s="43" t="n"/>
      <c r="L872" s="43" t="n"/>
      <c r="M872" s="43" t="n"/>
    </row>
    <row r="873">
      <c r="A873" s="43" t="n"/>
      <c r="B873" s="43" t="n"/>
      <c r="C873" s="43" t="n"/>
      <c r="D873" s="43" t="n"/>
      <c r="E873" s="43" t="n"/>
      <c r="F873" s="43" t="n"/>
      <c r="G873" s="43" t="n"/>
      <c r="H873" s="43" t="n"/>
      <c r="I873" s="43" t="n"/>
      <c r="J873" s="43" t="n"/>
      <c r="K873" s="43" t="n"/>
      <c r="L873" s="43" t="n"/>
      <c r="M873" s="43" t="n"/>
    </row>
    <row r="874">
      <c r="A874" s="43" t="n"/>
      <c r="B874" s="43" t="n"/>
      <c r="C874" s="43" t="n"/>
      <c r="D874" s="43" t="n"/>
      <c r="E874" s="43" t="n"/>
      <c r="F874" s="43" t="n"/>
      <c r="G874" s="43" t="n"/>
      <c r="H874" s="43" t="n"/>
      <c r="I874" s="43" t="n"/>
      <c r="J874" s="43" t="n"/>
      <c r="K874" s="43" t="n"/>
      <c r="L874" s="43" t="n"/>
      <c r="M874" s="43" t="n"/>
    </row>
    <row r="875">
      <c r="A875" s="43" t="n"/>
      <c r="B875" s="43" t="n"/>
      <c r="C875" s="43" t="n"/>
      <c r="D875" s="43" t="n"/>
      <c r="E875" s="43" t="n"/>
      <c r="F875" s="43" t="n"/>
      <c r="G875" s="43" t="n"/>
      <c r="H875" s="43" t="n"/>
      <c r="I875" s="43" t="n"/>
      <c r="J875" s="43" t="n"/>
      <c r="K875" s="43" t="n"/>
      <c r="L875" s="43" t="n"/>
      <c r="M875" s="43" t="n"/>
    </row>
    <row r="876">
      <c r="A876" s="43" t="n"/>
      <c r="B876" s="43" t="n"/>
      <c r="C876" s="43" t="n"/>
      <c r="D876" s="43" t="n"/>
      <c r="E876" s="43" t="n"/>
      <c r="F876" s="43" t="n"/>
      <c r="G876" s="43" t="n"/>
      <c r="H876" s="43" t="n"/>
      <c r="I876" s="43" t="n"/>
      <c r="J876" s="43" t="n"/>
      <c r="K876" s="43" t="n"/>
      <c r="L876" s="43" t="n"/>
      <c r="M876" s="43" t="n"/>
    </row>
    <row r="877">
      <c r="A877" s="43" t="n"/>
      <c r="B877" s="43" t="n"/>
      <c r="C877" s="43" t="n"/>
      <c r="D877" s="43" t="n"/>
      <c r="E877" s="43" t="n"/>
      <c r="F877" s="43" t="n"/>
      <c r="G877" s="43" t="n"/>
      <c r="H877" s="43" t="n"/>
      <c r="I877" s="43" t="n"/>
      <c r="J877" s="43" t="n"/>
      <c r="K877" s="43" t="n"/>
      <c r="L877" s="43" t="n"/>
      <c r="M877" s="43" t="n"/>
    </row>
    <row r="878">
      <c r="A878" s="43" t="n"/>
      <c r="B878" s="43" t="n"/>
      <c r="C878" s="43" t="n"/>
      <c r="D878" s="43" t="n"/>
      <c r="E878" s="43" t="n"/>
      <c r="F878" s="43" t="n"/>
      <c r="G878" s="43" t="n"/>
      <c r="H878" s="43" t="n"/>
      <c r="I878" s="43" t="n"/>
      <c r="J878" s="43" t="n"/>
      <c r="K878" s="43" t="n"/>
      <c r="L878" s="43" t="n"/>
      <c r="M878" s="43" t="n"/>
    </row>
    <row r="879">
      <c r="A879" s="43" t="n"/>
      <c r="B879" s="43" t="n"/>
      <c r="C879" s="43" t="n"/>
      <c r="D879" s="43" t="n"/>
      <c r="E879" s="43" t="n"/>
      <c r="F879" s="43" t="n"/>
      <c r="G879" s="43" t="n"/>
      <c r="H879" s="43" t="n"/>
      <c r="I879" s="43" t="n"/>
      <c r="J879" s="43" t="n"/>
      <c r="K879" s="43" t="n"/>
      <c r="L879" s="43" t="n"/>
      <c r="M879" s="43" t="n"/>
    </row>
    <row r="880">
      <c r="A880" s="43" t="n"/>
      <c r="B880" s="43" t="n"/>
      <c r="C880" s="43" t="n"/>
      <c r="D880" s="43" t="n"/>
      <c r="E880" s="43" t="n"/>
      <c r="F880" s="43" t="n"/>
      <c r="G880" s="43" t="n"/>
      <c r="H880" s="43" t="n"/>
      <c r="I880" s="43" t="n"/>
      <c r="J880" s="43" t="n"/>
      <c r="K880" s="43" t="n"/>
      <c r="L880" s="43" t="n"/>
      <c r="M880" s="43" t="n"/>
    </row>
    <row r="881">
      <c r="A881" s="43" t="n"/>
      <c r="B881" s="43" t="n"/>
      <c r="C881" s="43" t="n"/>
      <c r="D881" s="43" t="n"/>
      <c r="E881" s="43" t="n"/>
      <c r="F881" s="43" t="n"/>
      <c r="G881" s="43" t="n"/>
      <c r="H881" s="43" t="n"/>
      <c r="I881" s="43" t="n"/>
      <c r="J881" s="43" t="n"/>
      <c r="K881" s="43" t="n"/>
      <c r="L881" s="43" t="n"/>
      <c r="M881" s="43" t="n"/>
    </row>
    <row r="882">
      <c r="A882" s="43" t="n"/>
      <c r="B882" s="43" t="n"/>
      <c r="C882" s="43" t="n"/>
      <c r="D882" s="43" t="n"/>
      <c r="E882" s="43" t="n"/>
      <c r="F882" s="43" t="n"/>
      <c r="G882" s="43" t="n"/>
      <c r="H882" s="43" t="n"/>
      <c r="I882" s="43" t="n"/>
      <c r="J882" s="43" t="n"/>
      <c r="K882" s="43" t="n"/>
      <c r="L882" s="43" t="n"/>
      <c r="M882" s="43" t="n"/>
    </row>
    <row r="883">
      <c r="A883" s="43" t="n"/>
      <c r="B883" s="43" t="n"/>
      <c r="C883" s="43" t="n"/>
      <c r="D883" s="43" t="n"/>
      <c r="E883" s="43" t="n"/>
      <c r="F883" s="43" t="n"/>
      <c r="G883" s="43" t="n"/>
      <c r="H883" s="43" t="n"/>
      <c r="I883" s="43" t="n"/>
      <c r="J883" s="43" t="n"/>
      <c r="K883" s="43" t="n"/>
      <c r="L883" s="43" t="n"/>
      <c r="M883" s="43" t="n"/>
    </row>
    <row r="884">
      <c r="A884" s="43" t="n"/>
      <c r="B884" s="43" t="n"/>
      <c r="C884" s="43" t="n"/>
      <c r="D884" s="43" t="n"/>
      <c r="E884" s="43" t="n"/>
      <c r="F884" s="43" t="n"/>
      <c r="G884" s="43" t="n"/>
      <c r="H884" s="43" t="n"/>
      <c r="I884" s="43" t="n"/>
      <c r="J884" s="43" t="n"/>
      <c r="K884" s="43" t="n"/>
      <c r="L884" s="43" t="n"/>
      <c r="M884" s="43" t="n"/>
    </row>
    <row r="885">
      <c r="A885" s="43" t="n"/>
      <c r="B885" s="43" t="n"/>
      <c r="C885" s="43" t="n"/>
      <c r="D885" s="43" t="n"/>
      <c r="E885" s="43" t="n"/>
      <c r="F885" s="43" t="n"/>
      <c r="G885" s="43" t="n"/>
      <c r="H885" s="43" t="n"/>
      <c r="I885" s="43" t="n"/>
      <c r="J885" s="43" t="n"/>
      <c r="K885" s="43" t="n"/>
      <c r="L885" s="43" t="n"/>
      <c r="M885" s="43" t="n"/>
    </row>
    <row r="886">
      <c r="A886" s="43" t="n"/>
      <c r="B886" s="43" t="n"/>
      <c r="C886" s="43" t="n"/>
      <c r="D886" s="43" t="n"/>
      <c r="E886" s="43" t="n"/>
      <c r="F886" s="43" t="n"/>
      <c r="G886" s="43" t="n"/>
      <c r="H886" s="43" t="n"/>
      <c r="I886" s="43" t="n"/>
      <c r="J886" s="43" t="n"/>
      <c r="K886" s="43" t="n"/>
      <c r="L886" s="43" t="n"/>
      <c r="M886" s="43" t="n"/>
    </row>
    <row r="887">
      <c r="A887" s="43" t="n"/>
      <c r="B887" s="43" t="n"/>
      <c r="C887" s="43" t="n"/>
      <c r="D887" s="43" t="n"/>
      <c r="E887" s="43" t="n"/>
      <c r="F887" s="43" t="n"/>
      <c r="G887" s="43" t="n"/>
      <c r="H887" s="43" t="n"/>
      <c r="I887" s="43" t="n"/>
      <c r="J887" s="43" t="n"/>
      <c r="K887" s="43" t="n"/>
      <c r="L887" s="43" t="n"/>
      <c r="M887" s="43" t="n"/>
    </row>
    <row r="888">
      <c r="A888" s="43" t="n"/>
      <c r="B888" s="43" t="n"/>
      <c r="C888" s="43" t="n"/>
      <c r="D888" s="43" t="n"/>
      <c r="E888" s="43" t="n"/>
      <c r="F888" s="43" t="n"/>
      <c r="G888" s="43" t="n"/>
      <c r="H888" s="43" t="n"/>
      <c r="I888" s="43" t="n"/>
      <c r="J888" s="43" t="n"/>
      <c r="K888" s="43" t="n"/>
      <c r="L888" s="43" t="n"/>
      <c r="M888" s="43" t="n"/>
    </row>
    <row r="889">
      <c r="A889" s="43" t="n"/>
      <c r="B889" s="43" t="n"/>
      <c r="C889" s="43" t="n"/>
      <c r="D889" s="43" t="n"/>
      <c r="E889" s="43" t="n"/>
      <c r="F889" s="43" t="n"/>
      <c r="G889" s="43" t="n"/>
      <c r="H889" s="43" t="n"/>
      <c r="I889" s="43" t="n"/>
      <c r="J889" s="43" t="n"/>
      <c r="K889" s="43" t="n"/>
      <c r="L889" s="43" t="n"/>
      <c r="M889" s="43" t="n"/>
    </row>
    <row r="890">
      <c r="A890" s="43" t="n"/>
      <c r="B890" s="43" t="n"/>
      <c r="C890" s="43" t="n"/>
      <c r="D890" s="43" t="n"/>
      <c r="E890" s="43" t="n"/>
      <c r="F890" s="43" t="n"/>
      <c r="G890" s="43" t="n"/>
      <c r="H890" s="43" t="n"/>
      <c r="I890" s="43" t="n"/>
      <c r="J890" s="43" t="n"/>
      <c r="K890" s="43" t="n"/>
      <c r="L890" s="43" t="n"/>
      <c r="M890" s="43" t="n"/>
    </row>
    <row r="891">
      <c r="A891" s="43" t="n"/>
      <c r="B891" s="43" t="n"/>
      <c r="C891" s="43" t="n"/>
      <c r="D891" s="43" t="n"/>
      <c r="E891" s="43" t="n"/>
      <c r="F891" s="43" t="n"/>
      <c r="G891" s="43" t="n"/>
      <c r="H891" s="43" t="n"/>
      <c r="I891" s="43" t="n"/>
      <c r="J891" s="43" t="n"/>
      <c r="K891" s="43" t="n"/>
      <c r="L891" s="43" t="n"/>
      <c r="M891" s="43" t="n"/>
    </row>
    <row r="892">
      <c r="A892" s="43" t="n"/>
      <c r="B892" s="43" t="n"/>
      <c r="C892" s="43" t="n"/>
      <c r="D892" s="43" t="n"/>
      <c r="E892" s="43" t="n"/>
      <c r="F892" s="43" t="n"/>
      <c r="G892" s="43" t="n"/>
      <c r="H892" s="43" t="n"/>
      <c r="I892" s="43" t="n"/>
      <c r="J892" s="43" t="n"/>
      <c r="K892" s="43" t="n"/>
      <c r="L892" s="43" t="n"/>
      <c r="M892" s="43" t="n"/>
    </row>
    <row r="893">
      <c r="A893" s="43" t="n"/>
      <c r="B893" s="43" t="n"/>
      <c r="C893" s="43" t="n"/>
      <c r="D893" s="43" t="n"/>
      <c r="E893" s="43" t="n"/>
      <c r="F893" s="43" t="n"/>
      <c r="G893" s="43" t="n"/>
      <c r="H893" s="43" t="n"/>
      <c r="I893" s="43" t="n"/>
      <c r="J893" s="43" t="n"/>
      <c r="K893" s="43" t="n"/>
      <c r="L893" s="43" t="n"/>
      <c r="M893" s="43" t="n"/>
    </row>
    <row r="894">
      <c r="A894" s="43" t="n"/>
      <c r="B894" s="43" t="n"/>
      <c r="C894" s="43" t="n"/>
      <c r="D894" s="43" t="n"/>
      <c r="E894" s="43" t="n"/>
      <c r="F894" s="43" t="n"/>
      <c r="G894" s="43" t="n"/>
      <c r="H894" s="43" t="n"/>
      <c r="I894" s="43" t="n"/>
      <c r="J894" s="43" t="n"/>
      <c r="K894" s="43" t="n"/>
      <c r="L894" s="43" t="n"/>
      <c r="M894" s="43" t="n"/>
    </row>
    <row r="895">
      <c r="A895" s="43" t="n"/>
      <c r="B895" s="43" t="n"/>
      <c r="C895" s="43" t="n"/>
      <c r="D895" s="43" t="n"/>
      <c r="E895" s="43" t="n"/>
      <c r="F895" s="43" t="n"/>
      <c r="G895" s="43" t="n"/>
      <c r="H895" s="43" t="n"/>
      <c r="I895" s="43" t="n"/>
      <c r="J895" s="43" t="n"/>
      <c r="K895" s="43" t="n"/>
      <c r="L895" s="43" t="n"/>
      <c r="M895" s="43" t="n"/>
    </row>
    <row r="896">
      <c r="A896" s="43" t="n"/>
      <c r="B896" s="43" t="n"/>
      <c r="C896" s="43" t="n"/>
      <c r="D896" s="43" t="n"/>
      <c r="E896" s="43" t="n"/>
      <c r="F896" s="43" t="n"/>
      <c r="G896" s="43" t="n"/>
      <c r="H896" s="43" t="n"/>
      <c r="I896" s="43" t="n"/>
      <c r="J896" s="43" t="n"/>
      <c r="K896" s="43" t="n"/>
      <c r="L896" s="43" t="n"/>
      <c r="M896" s="43" t="n"/>
    </row>
    <row r="897">
      <c r="A897" s="43" t="n"/>
      <c r="B897" s="43" t="n"/>
      <c r="C897" s="43" t="n"/>
      <c r="D897" s="43" t="n"/>
      <c r="E897" s="43" t="n"/>
      <c r="F897" s="43" t="n"/>
      <c r="G897" s="43" t="n"/>
      <c r="H897" s="43" t="n"/>
      <c r="I897" s="43" t="n"/>
      <c r="J897" s="43" t="n"/>
      <c r="K897" s="43" t="n"/>
      <c r="L897" s="43" t="n"/>
      <c r="M897" s="43" t="n"/>
    </row>
    <row r="898">
      <c r="A898" s="43" t="n"/>
      <c r="B898" s="43" t="n"/>
      <c r="C898" s="43" t="n"/>
      <c r="D898" s="43" t="n"/>
      <c r="E898" s="43" t="n"/>
      <c r="F898" s="43" t="n"/>
      <c r="G898" s="43" t="n"/>
      <c r="H898" s="43" t="n"/>
      <c r="I898" s="43" t="n"/>
      <c r="J898" s="43" t="n"/>
      <c r="K898" s="43" t="n"/>
      <c r="L898" s="43" t="n"/>
      <c r="M898" s="43" t="n"/>
    </row>
    <row r="899">
      <c r="A899" s="43" t="n"/>
      <c r="B899" s="43" t="n"/>
      <c r="C899" s="43" t="n"/>
      <c r="D899" s="43" t="n"/>
      <c r="E899" s="43" t="n"/>
      <c r="F899" s="43" t="n"/>
      <c r="G899" s="43" t="n"/>
      <c r="H899" s="43" t="n"/>
      <c r="I899" s="43" t="n"/>
      <c r="J899" s="43" t="n"/>
      <c r="K899" s="43" t="n"/>
      <c r="L899" s="43" t="n"/>
      <c r="M899" s="43" t="n"/>
    </row>
    <row r="900">
      <c r="A900" s="43" t="n"/>
      <c r="B900" s="43" t="n"/>
      <c r="C900" s="43" t="n"/>
      <c r="D900" s="43" t="n"/>
      <c r="E900" s="43" t="n"/>
      <c r="F900" s="43" t="n"/>
      <c r="G900" s="43" t="n"/>
      <c r="H900" s="43" t="n"/>
      <c r="I900" s="43" t="n"/>
      <c r="J900" s="43" t="n"/>
      <c r="K900" s="43" t="n"/>
      <c r="L900" s="43" t="n"/>
      <c r="M900" s="43" t="n"/>
    </row>
    <row r="901">
      <c r="A901" s="43" t="n"/>
      <c r="B901" s="43" t="n"/>
      <c r="C901" s="43" t="n"/>
      <c r="D901" s="43" t="n"/>
      <c r="E901" s="43" t="n"/>
      <c r="F901" s="43" t="n"/>
      <c r="G901" s="43" t="n"/>
      <c r="H901" s="43" t="n"/>
      <c r="I901" s="43" t="n"/>
      <c r="J901" s="43" t="n"/>
      <c r="K901" s="43" t="n"/>
      <c r="L901" s="43" t="n"/>
      <c r="M901" s="43" t="n"/>
    </row>
    <row r="902">
      <c r="A902" s="43" t="n"/>
      <c r="B902" s="43" t="n"/>
      <c r="C902" s="43" t="n"/>
      <c r="D902" s="43" t="n"/>
      <c r="E902" s="43" t="n"/>
      <c r="F902" s="43" t="n"/>
      <c r="G902" s="43" t="n"/>
      <c r="H902" s="43" t="n"/>
      <c r="I902" s="43" t="n"/>
      <c r="J902" s="43" t="n"/>
      <c r="K902" s="43" t="n"/>
      <c r="L902" s="43" t="n"/>
      <c r="M902" s="43" t="n"/>
    </row>
    <row r="903">
      <c r="A903" s="43" t="n"/>
      <c r="B903" s="43" t="n"/>
      <c r="C903" s="43" t="n"/>
      <c r="D903" s="43" t="n"/>
      <c r="E903" s="43" t="n"/>
      <c r="F903" s="43" t="n"/>
      <c r="G903" s="43" t="n"/>
      <c r="H903" s="43" t="n"/>
      <c r="I903" s="43" t="n"/>
      <c r="J903" s="43" t="n"/>
      <c r="K903" s="43" t="n"/>
      <c r="L903" s="43" t="n"/>
      <c r="M903" s="43" t="n"/>
    </row>
    <row r="904">
      <c r="A904" s="43" t="n"/>
      <c r="B904" s="43" t="n"/>
      <c r="C904" s="43" t="n"/>
      <c r="D904" s="43" t="n"/>
      <c r="E904" s="43" t="n"/>
      <c r="F904" s="43" t="n"/>
      <c r="G904" s="43" t="n"/>
      <c r="H904" s="43" t="n"/>
      <c r="I904" s="43" t="n"/>
      <c r="J904" s="43" t="n"/>
      <c r="K904" s="43" t="n"/>
      <c r="L904" s="43" t="n"/>
      <c r="M904" s="43" t="n"/>
    </row>
    <row r="905">
      <c r="A905" s="43" t="n"/>
      <c r="B905" s="43" t="n"/>
      <c r="C905" s="43" t="n"/>
      <c r="D905" s="43" t="n"/>
      <c r="E905" s="43" t="n"/>
      <c r="F905" s="43" t="n"/>
      <c r="G905" s="43" t="n"/>
      <c r="H905" s="43" t="n"/>
      <c r="I905" s="43" t="n"/>
      <c r="J905" s="43" t="n"/>
      <c r="K905" s="43" t="n"/>
      <c r="L905" s="43" t="n"/>
      <c r="M905" s="43" t="n"/>
    </row>
    <row r="906">
      <c r="A906" s="43" t="n"/>
      <c r="B906" s="43" t="n"/>
      <c r="C906" s="43" t="n"/>
      <c r="D906" s="43" t="n"/>
      <c r="E906" s="43" t="n"/>
      <c r="F906" s="43" t="n"/>
      <c r="G906" s="43" t="n"/>
      <c r="H906" s="43" t="n"/>
      <c r="I906" s="43" t="n"/>
      <c r="J906" s="43" t="n"/>
      <c r="K906" s="43" t="n"/>
      <c r="L906" s="43" t="n"/>
      <c r="M906" s="43" t="n"/>
    </row>
    <row r="907">
      <c r="A907" s="43" t="n"/>
      <c r="B907" s="43" t="n"/>
      <c r="C907" s="43" t="n"/>
      <c r="D907" s="43" t="n"/>
      <c r="E907" s="43" t="n"/>
      <c r="F907" s="43" t="n"/>
      <c r="G907" s="43" t="n"/>
      <c r="H907" s="43" t="n"/>
      <c r="I907" s="43" t="n"/>
      <c r="J907" s="43" t="n"/>
      <c r="K907" s="43" t="n"/>
      <c r="L907" s="43" t="n"/>
      <c r="M907" s="43" t="n"/>
    </row>
    <row r="908">
      <c r="A908" s="43" t="n"/>
      <c r="B908" s="43" t="n"/>
      <c r="C908" s="43" t="n"/>
      <c r="D908" s="43" t="n"/>
      <c r="E908" s="43" t="n"/>
      <c r="F908" s="43" t="n"/>
      <c r="G908" s="43" t="n"/>
      <c r="H908" s="43" t="n"/>
      <c r="I908" s="43" t="n"/>
      <c r="J908" s="43" t="n"/>
      <c r="K908" s="43" t="n"/>
      <c r="L908" s="43" t="n"/>
      <c r="M908" s="43" t="n"/>
    </row>
    <row r="909">
      <c r="A909" s="43" t="n"/>
      <c r="B909" s="43" t="n"/>
      <c r="C909" s="43" t="n"/>
      <c r="D909" s="43" t="n"/>
      <c r="E909" s="43" t="n"/>
      <c r="F909" s="43" t="n"/>
      <c r="G909" s="43" t="n"/>
      <c r="H909" s="43" t="n"/>
      <c r="I909" s="43" t="n"/>
      <c r="J909" s="43" t="n"/>
      <c r="K909" s="43" t="n"/>
      <c r="L909" s="43" t="n"/>
      <c r="M909" s="43" t="n"/>
    </row>
    <row r="910">
      <c r="A910" s="43" t="n"/>
      <c r="B910" s="43" t="n"/>
      <c r="C910" s="43" t="n"/>
      <c r="D910" s="43" t="n"/>
      <c r="E910" s="43" t="n"/>
      <c r="F910" s="43" t="n"/>
      <c r="G910" s="43" t="n"/>
      <c r="H910" s="43" t="n"/>
      <c r="I910" s="43" t="n"/>
      <c r="J910" s="43" t="n"/>
      <c r="K910" s="43" t="n"/>
      <c r="L910" s="43" t="n"/>
      <c r="M910" s="43" t="n"/>
    </row>
    <row r="911">
      <c r="A911" s="43" t="n"/>
      <c r="B911" s="43" t="n"/>
      <c r="C911" s="43" t="n"/>
      <c r="D911" s="43" t="n"/>
      <c r="E911" s="43" t="n"/>
      <c r="F911" s="43" t="n"/>
      <c r="G911" s="43" t="n"/>
      <c r="H911" s="43" t="n"/>
      <c r="I911" s="43" t="n"/>
      <c r="J911" s="43" t="n"/>
      <c r="K911" s="43" t="n"/>
      <c r="L911" s="43" t="n"/>
      <c r="M911" s="43" t="n"/>
    </row>
    <row r="912">
      <c r="A912" s="43" t="n"/>
      <c r="B912" s="43" t="n"/>
      <c r="C912" s="43" t="n"/>
      <c r="D912" s="43" t="n"/>
      <c r="E912" s="43" t="n"/>
      <c r="F912" s="43" t="n"/>
      <c r="G912" s="43" t="n"/>
      <c r="H912" s="43" t="n"/>
      <c r="I912" s="43" t="n"/>
      <c r="J912" s="43" t="n"/>
      <c r="K912" s="43" t="n"/>
      <c r="L912" s="43" t="n"/>
      <c r="M912" s="43" t="n"/>
    </row>
    <row r="913">
      <c r="A913" s="43" t="n"/>
      <c r="B913" s="43" t="n"/>
      <c r="C913" s="43" t="n"/>
      <c r="D913" s="43" t="n"/>
      <c r="E913" s="43" t="n"/>
      <c r="F913" s="43" t="n"/>
      <c r="G913" s="43" t="n"/>
      <c r="H913" s="43" t="n"/>
      <c r="I913" s="43" t="n"/>
      <c r="J913" s="43" t="n"/>
      <c r="K913" s="43" t="n"/>
      <c r="L913" s="43" t="n"/>
      <c r="M913" s="43" t="n"/>
    </row>
    <row r="914">
      <c r="A914" s="43" t="n"/>
      <c r="B914" s="43" t="n"/>
      <c r="C914" s="43" t="n"/>
      <c r="D914" s="43" t="n"/>
      <c r="E914" s="43" t="n"/>
      <c r="F914" s="43" t="n"/>
      <c r="G914" s="43" t="n"/>
      <c r="H914" s="43" t="n"/>
      <c r="I914" s="43" t="n"/>
      <c r="J914" s="43" t="n"/>
      <c r="K914" s="43" t="n"/>
      <c r="L914" s="43" t="n"/>
      <c r="M914" s="43" t="n"/>
    </row>
    <row r="915">
      <c r="A915" s="43" t="n"/>
      <c r="B915" s="43" t="n"/>
      <c r="C915" s="43" t="n"/>
      <c r="D915" s="43" t="n"/>
      <c r="E915" s="43" t="n"/>
      <c r="F915" s="43" t="n"/>
      <c r="G915" s="43" t="n"/>
      <c r="H915" s="43" t="n"/>
      <c r="I915" s="43" t="n"/>
      <c r="J915" s="43" t="n"/>
      <c r="K915" s="43" t="n"/>
      <c r="L915" s="43" t="n"/>
      <c r="M915" s="43" t="n"/>
    </row>
    <row r="916">
      <c r="A916" s="43" t="n"/>
      <c r="B916" s="43" t="n"/>
      <c r="C916" s="43" t="n"/>
      <c r="D916" s="43" t="n"/>
      <c r="E916" s="43" t="n"/>
      <c r="F916" s="43" t="n"/>
      <c r="G916" s="43" t="n"/>
      <c r="H916" s="43" t="n"/>
      <c r="I916" s="43" t="n"/>
      <c r="J916" s="43" t="n"/>
      <c r="K916" s="43" t="n"/>
      <c r="L916" s="43" t="n"/>
      <c r="M916" s="43" t="n"/>
    </row>
    <row r="917">
      <c r="A917" s="43" t="n"/>
      <c r="B917" s="43" t="n"/>
      <c r="C917" s="43" t="n"/>
      <c r="D917" s="43" t="n"/>
      <c r="E917" s="43" t="n"/>
      <c r="F917" s="43" t="n"/>
      <c r="G917" s="43" t="n"/>
      <c r="H917" s="43" t="n"/>
      <c r="I917" s="43" t="n"/>
      <c r="J917" s="43" t="n"/>
      <c r="K917" s="43" t="n"/>
      <c r="L917" s="43" t="n"/>
      <c r="M917" s="43" t="n"/>
    </row>
    <row r="918">
      <c r="A918" s="43" t="n"/>
      <c r="B918" s="43" t="n"/>
      <c r="C918" s="43" t="n"/>
      <c r="D918" s="43" t="n"/>
      <c r="E918" s="43" t="n"/>
      <c r="F918" s="43" t="n"/>
      <c r="G918" s="43" t="n"/>
      <c r="H918" s="43" t="n"/>
      <c r="I918" s="43" t="n"/>
      <c r="J918" s="43" t="n"/>
      <c r="K918" s="43" t="n"/>
      <c r="L918" s="43" t="n"/>
      <c r="M918" s="43" t="n"/>
    </row>
    <row r="919">
      <c r="A919" s="43" t="n"/>
      <c r="B919" s="43" t="n"/>
      <c r="C919" s="43" t="n"/>
      <c r="D919" s="43" t="n"/>
      <c r="E919" s="43" t="n"/>
      <c r="F919" s="43" t="n"/>
      <c r="G919" s="43" t="n"/>
      <c r="H919" s="43" t="n"/>
      <c r="I919" s="43" t="n"/>
      <c r="J919" s="43" t="n"/>
      <c r="K919" s="43" t="n"/>
      <c r="L919" s="43" t="n"/>
      <c r="M919" s="43" t="n"/>
    </row>
    <row r="920">
      <c r="A920" s="43" t="n"/>
      <c r="B920" s="43" t="n"/>
      <c r="C920" s="43" t="n"/>
      <c r="D920" s="43" t="n"/>
      <c r="E920" s="43" t="n"/>
      <c r="F920" s="43" t="n"/>
      <c r="G920" s="43" t="n"/>
      <c r="H920" s="43" t="n"/>
      <c r="I920" s="43" t="n"/>
      <c r="J920" s="43" t="n"/>
      <c r="K920" s="43" t="n"/>
      <c r="L920" s="43" t="n"/>
      <c r="M920" s="43" t="n"/>
    </row>
    <row r="921">
      <c r="A921" s="43" t="n"/>
      <c r="B921" s="43" t="n"/>
      <c r="C921" s="43" t="n"/>
      <c r="D921" s="43" t="n"/>
      <c r="E921" s="43" t="n"/>
      <c r="F921" s="43" t="n"/>
      <c r="G921" s="43" t="n"/>
      <c r="H921" s="43" t="n"/>
      <c r="I921" s="43" t="n"/>
      <c r="J921" s="43" t="n"/>
      <c r="K921" s="43" t="n"/>
      <c r="L921" s="43" t="n"/>
      <c r="M921" s="43" t="n"/>
    </row>
    <row r="922">
      <c r="A922" s="43" t="n"/>
      <c r="B922" s="43" t="n"/>
      <c r="C922" s="43" t="n"/>
      <c r="D922" s="43" t="n"/>
      <c r="E922" s="43" t="n"/>
      <c r="F922" s="43" t="n"/>
      <c r="G922" s="43" t="n"/>
      <c r="H922" s="43" t="n"/>
      <c r="I922" s="43" t="n"/>
      <c r="J922" s="43" t="n"/>
      <c r="K922" s="43" t="n"/>
      <c r="L922" s="43" t="n"/>
      <c r="M922" s="43" t="n"/>
    </row>
    <row r="923">
      <c r="A923" s="43" t="n"/>
      <c r="B923" s="43" t="n"/>
      <c r="C923" s="43" t="n"/>
      <c r="D923" s="43" t="n"/>
      <c r="E923" s="43" t="n"/>
      <c r="F923" s="43" t="n"/>
      <c r="G923" s="43" t="n"/>
      <c r="H923" s="43" t="n"/>
      <c r="I923" s="43" t="n"/>
      <c r="J923" s="43" t="n"/>
      <c r="K923" s="43" t="n"/>
      <c r="L923" s="43" t="n"/>
      <c r="M923" s="43" t="n"/>
    </row>
    <row r="924">
      <c r="A924" s="43" t="n"/>
      <c r="B924" s="43" t="n"/>
      <c r="C924" s="43" t="n"/>
      <c r="D924" s="43" t="n"/>
      <c r="E924" s="43" t="n"/>
      <c r="F924" s="43" t="n"/>
      <c r="G924" s="43" t="n"/>
      <c r="H924" s="43" t="n"/>
      <c r="I924" s="43" t="n"/>
      <c r="J924" s="43" t="n"/>
      <c r="K924" s="43" t="n"/>
      <c r="L924" s="43" t="n"/>
      <c r="M924" s="43" t="n"/>
    </row>
    <row r="925">
      <c r="A925" s="43" t="n"/>
      <c r="B925" s="43" t="n"/>
      <c r="C925" s="43" t="n"/>
      <c r="D925" s="43" t="n"/>
      <c r="E925" s="43" t="n"/>
      <c r="F925" s="43" t="n"/>
      <c r="G925" s="43" t="n"/>
      <c r="H925" s="43" t="n"/>
      <c r="I925" s="43" t="n"/>
      <c r="J925" s="43" t="n"/>
      <c r="K925" s="43" t="n"/>
      <c r="L925" s="43" t="n"/>
      <c r="M925" s="43" t="n"/>
    </row>
    <row r="926">
      <c r="A926" s="43" t="n"/>
      <c r="B926" s="43" t="n"/>
      <c r="C926" s="43" t="n"/>
      <c r="D926" s="43" t="n"/>
      <c r="E926" s="43" t="n"/>
      <c r="F926" s="43" t="n"/>
      <c r="G926" s="43" t="n"/>
      <c r="H926" s="43" t="n"/>
      <c r="I926" s="43" t="n"/>
      <c r="J926" s="43" t="n"/>
      <c r="K926" s="43" t="n"/>
      <c r="L926" s="43" t="n"/>
      <c r="M926" s="43" t="n"/>
    </row>
    <row r="927">
      <c r="A927" s="43" t="n"/>
      <c r="B927" s="43" t="n"/>
      <c r="C927" s="43" t="n"/>
      <c r="D927" s="43" t="n"/>
      <c r="E927" s="43" t="n"/>
      <c r="F927" s="43" t="n"/>
      <c r="G927" s="43" t="n"/>
      <c r="H927" s="43" t="n"/>
      <c r="I927" s="43" t="n"/>
      <c r="J927" s="43" t="n"/>
      <c r="K927" s="43" t="n"/>
      <c r="L927" s="43" t="n"/>
      <c r="M927" s="43" t="n"/>
    </row>
    <row r="928">
      <c r="A928" s="43" t="n"/>
      <c r="B928" s="43" t="n"/>
      <c r="C928" s="43" t="n"/>
      <c r="D928" s="43" t="n"/>
      <c r="E928" s="43" t="n"/>
      <c r="F928" s="43" t="n"/>
      <c r="G928" s="43" t="n"/>
      <c r="H928" s="43" t="n"/>
      <c r="I928" s="43" t="n"/>
      <c r="J928" s="43" t="n"/>
      <c r="K928" s="43" t="n"/>
      <c r="L928" s="43" t="n"/>
      <c r="M928" s="43" t="n"/>
    </row>
    <row r="929">
      <c r="A929" s="43" t="n"/>
      <c r="B929" s="43" t="n"/>
      <c r="C929" s="43" t="n"/>
      <c r="D929" s="43" t="n"/>
      <c r="E929" s="43" t="n"/>
      <c r="F929" s="43" t="n"/>
      <c r="G929" s="43" t="n"/>
      <c r="H929" s="43" t="n"/>
      <c r="I929" s="43" t="n"/>
      <c r="J929" s="43" t="n"/>
      <c r="K929" s="43" t="n"/>
      <c r="L929" s="43" t="n"/>
      <c r="M929" s="43" t="n"/>
    </row>
    <row r="930">
      <c r="A930" s="43" t="n"/>
      <c r="B930" s="43" t="n"/>
      <c r="C930" s="43" t="n"/>
      <c r="D930" s="43" t="n"/>
      <c r="E930" s="43" t="n"/>
      <c r="F930" s="43" t="n"/>
      <c r="G930" s="43" t="n"/>
      <c r="H930" s="43" t="n"/>
      <c r="I930" s="43" t="n"/>
      <c r="J930" s="43" t="n"/>
      <c r="K930" s="43" t="n"/>
      <c r="L930" s="43" t="n"/>
      <c r="M930" s="43" t="n"/>
    </row>
    <row r="931">
      <c r="A931" s="43" t="n"/>
      <c r="B931" s="43" t="n"/>
      <c r="C931" s="43" t="n"/>
      <c r="D931" s="43" t="n"/>
      <c r="E931" s="43" t="n"/>
      <c r="F931" s="43" t="n"/>
      <c r="G931" s="43" t="n"/>
      <c r="H931" s="43" t="n"/>
      <c r="I931" s="43" t="n"/>
      <c r="J931" s="43" t="n"/>
      <c r="K931" s="43" t="n"/>
      <c r="L931" s="43" t="n"/>
      <c r="M931" s="43" t="n"/>
    </row>
    <row r="932">
      <c r="A932" s="43" t="n"/>
      <c r="B932" s="43" t="n"/>
      <c r="C932" s="43" t="n"/>
      <c r="D932" s="43" t="n"/>
      <c r="E932" s="43" t="n"/>
      <c r="F932" s="43" t="n"/>
      <c r="G932" s="43" t="n"/>
      <c r="H932" s="43" t="n"/>
      <c r="I932" s="43" t="n"/>
      <c r="J932" s="43" t="n"/>
      <c r="K932" s="43" t="n"/>
      <c r="L932" s="43" t="n"/>
      <c r="M932" s="43" t="n"/>
    </row>
    <row r="933">
      <c r="A933" s="43" t="n"/>
      <c r="B933" s="43" t="n"/>
      <c r="C933" s="43" t="n"/>
      <c r="D933" s="43" t="n"/>
      <c r="E933" s="43" t="n"/>
      <c r="F933" s="43" t="n"/>
      <c r="G933" s="43" t="n"/>
      <c r="H933" s="43" t="n"/>
      <c r="I933" s="43" t="n"/>
      <c r="J933" s="43" t="n"/>
      <c r="K933" s="43" t="n"/>
      <c r="L933" s="43" t="n"/>
      <c r="M933" s="43" t="n"/>
    </row>
    <row r="934">
      <c r="A934" s="43" t="n"/>
      <c r="B934" s="43" t="n"/>
      <c r="C934" s="43" t="n"/>
      <c r="D934" s="43" t="n"/>
      <c r="E934" s="43" t="n"/>
      <c r="F934" s="43" t="n"/>
      <c r="G934" s="43" t="n"/>
      <c r="H934" s="43" t="n"/>
      <c r="I934" s="43" t="n"/>
      <c r="J934" s="43" t="n"/>
      <c r="K934" s="43" t="n"/>
      <c r="L934" s="43" t="n"/>
      <c r="M934" s="43" t="n"/>
    </row>
    <row r="935">
      <c r="A935" s="43" t="n"/>
      <c r="B935" s="43" t="n"/>
      <c r="C935" s="43" t="n"/>
      <c r="D935" s="43" t="n"/>
      <c r="E935" s="43" t="n"/>
      <c r="F935" s="43" t="n"/>
      <c r="G935" s="43" t="n"/>
      <c r="H935" s="43" t="n"/>
      <c r="I935" s="43" t="n"/>
      <c r="J935" s="43" t="n"/>
      <c r="K935" s="43" t="n"/>
      <c r="L935" s="43" t="n"/>
      <c r="M935" s="43" t="n"/>
    </row>
    <row r="936">
      <c r="A936" s="43" t="n"/>
      <c r="B936" s="43" t="n"/>
      <c r="C936" s="43" t="n"/>
      <c r="D936" s="43" t="n"/>
      <c r="E936" s="43" t="n"/>
      <c r="F936" s="43" t="n"/>
      <c r="G936" s="43" t="n"/>
      <c r="H936" s="43" t="n"/>
      <c r="I936" s="43" t="n"/>
      <c r="J936" s="43" t="n"/>
      <c r="K936" s="43" t="n"/>
      <c r="L936" s="43" t="n"/>
      <c r="M936" s="43" t="n"/>
    </row>
    <row r="937">
      <c r="A937" s="43" t="n"/>
      <c r="B937" s="43" t="n"/>
      <c r="C937" s="43" t="n"/>
      <c r="D937" s="43" t="n"/>
      <c r="E937" s="43" t="n"/>
      <c r="F937" s="43" t="n"/>
      <c r="G937" s="43" t="n"/>
      <c r="H937" s="43" t="n"/>
      <c r="I937" s="43" t="n"/>
      <c r="J937" s="43" t="n"/>
      <c r="K937" s="43" t="n"/>
      <c r="L937" s="43" t="n"/>
      <c r="M937" s="43" t="n"/>
    </row>
    <row r="938">
      <c r="A938" s="43" t="n"/>
      <c r="B938" s="43" t="n"/>
      <c r="C938" s="43" t="n"/>
      <c r="D938" s="43" t="n"/>
      <c r="E938" s="43" t="n"/>
      <c r="F938" s="43" t="n"/>
      <c r="G938" s="43" t="n"/>
      <c r="H938" s="43" t="n"/>
      <c r="I938" s="43" t="n"/>
      <c r="J938" s="43" t="n"/>
      <c r="K938" s="43" t="n"/>
      <c r="L938" s="43" t="n"/>
      <c r="M938" s="43" t="n"/>
    </row>
    <row r="939">
      <c r="A939" s="43" t="n"/>
      <c r="B939" s="43" t="n"/>
      <c r="C939" s="43" t="n"/>
      <c r="D939" s="43" t="n"/>
      <c r="E939" s="43" t="n"/>
      <c r="F939" s="43" t="n"/>
      <c r="G939" s="43" t="n"/>
      <c r="H939" s="43" t="n"/>
      <c r="I939" s="43" t="n"/>
      <c r="J939" s="43" t="n"/>
      <c r="K939" s="43" t="n"/>
      <c r="L939" s="43" t="n"/>
      <c r="M939" s="43" t="n"/>
    </row>
    <row r="940">
      <c r="A940" s="43" t="n"/>
      <c r="B940" s="43" t="n"/>
      <c r="C940" s="43" t="n"/>
      <c r="D940" s="43" t="n"/>
      <c r="E940" s="43" t="n"/>
      <c r="F940" s="43" t="n"/>
      <c r="G940" s="43" t="n"/>
      <c r="H940" s="43" t="n"/>
      <c r="I940" s="43" t="n"/>
      <c r="J940" s="43" t="n"/>
      <c r="K940" s="43" t="n"/>
      <c r="L940" s="43" t="n"/>
      <c r="M940" s="43" t="n"/>
    </row>
    <row r="941">
      <c r="A941" s="43" t="n"/>
      <c r="B941" s="43" t="n"/>
      <c r="C941" s="43" t="n"/>
      <c r="D941" s="43" t="n"/>
      <c r="E941" s="43" t="n"/>
      <c r="F941" s="43" t="n"/>
      <c r="G941" s="43" t="n"/>
      <c r="H941" s="43" t="n"/>
      <c r="I941" s="43" t="n"/>
      <c r="J941" s="43" t="n"/>
      <c r="K941" s="43" t="n"/>
      <c r="L941" s="43" t="n"/>
      <c r="M941" s="43" t="n"/>
    </row>
    <row r="942">
      <c r="A942" s="43" t="n"/>
      <c r="B942" s="43" t="n"/>
      <c r="C942" s="43" t="n"/>
      <c r="D942" s="43" t="n"/>
      <c r="E942" s="43" t="n"/>
      <c r="F942" s="43" t="n"/>
      <c r="G942" s="43" t="n"/>
      <c r="H942" s="43" t="n"/>
      <c r="I942" s="43" t="n"/>
      <c r="J942" s="43" t="n"/>
      <c r="K942" s="43" t="n"/>
      <c r="L942" s="43" t="n"/>
      <c r="M942" s="43" t="n"/>
    </row>
    <row r="943">
      <c r="A943" s="43" t="n"/>
      <c r="B943" s="43" t="n"/>
      <c r="C943" s="43" t="n"/>
      <c r="D943" s="43" t="n"/>
      <c r="E943" s="43" t="n"/>
      <c r="F943" s="43" t="n"/>
      <c r="G943" s="43" t="n"/>
      <c r="H943" s="43" t="n"/>
      <c r="I943" s="43" t="n"/>
      <c r="J943" s="43" t="n"/>
      <c r="K943" s="43" t="n"/>
      <c r="L943" s="43" t="n"/>
      <c r="M943" s="43" t="n"/>
    </row>
    <row r="944">
      <c r="A944" s="43" t="n"/>
      <c r="B944" s="43" t="n"/>
      <c r="C944" s="43" t="n"/>
      <c r="D944" s="43" t="n"/>
      <c r="E944" s="43" t="n"/>
      <c r="F944" s="43" t="n"/>
      <c r="G944" s="43" t="n"/>
      <c r="H944" s="43" t="n"/>
      <c r="I944" s="43" t="n"/>
      <c r="J944" s="43" t="n"/>
      <c r="K944" s="43" t="n"/>
      <c r="L944" s="43" t="n"/>
      <c r="M944" s="43" t="n"/>
    </row>
    <row r="945">
      <c r="A945" s="43" t="n"/>
      <c r="B945" s="43" t="n"/>
      <c r="C945" s="43" t="n"/>
      <c r="D945" s="43" t="n"/>
      <c r="E945" s="43" t="n"/>
      <c r="F945" s="43" t="n"/>
      <c r="G945" s="43" t="n"/>
      <c r="H945" s="43" t="n"/>
      <c r="I945" s="43" t="n"/>
      <c r="J945" s="43" t="n"/>
      <c r="K945" s="43" t="n"/>
      <c r="L945" s="43" t="n"/>
      <c r="M945" s="43" t="n"/>
    </row>
    <row r="946">
      <c r="A946" s="43" t="n"/>
      <c r="B946" s="43" t="n"/>
      <c r="C946" s="43" t="n"/>
      <c r="D946" s="43" t="n"/>
      <c r="E946" s="43" t="n"/>
      <c r="F946" s="43" t="n"/>
      <c r="G946" s="43" t="n"/>
      <c r="H946" s="43" t="n"/>
      <c r="I946" s="43" t="n"/>
      <c r="J946" s="43" t="n"/>
      <c r="K946" s="43" t="n"/>
      <c r="L946" s="43" t="n"/>
      <c r="M946" s="43" t="n"/>
    </row>
    <row r="947">
      <c r="A947" s="43" t="n"/>
      <c r="B947" s="43" t="n"/>
      <c r="C947" s="43" t="n"/>
      <c r="D947" s="43" t="n"/>
      <c r="E947" s="43" t="n"/>
      <c r="F947" s="43" t="n"/>
      <c r="G947" s="43" t="n"/>
      <c r="H947" s="43" t="n"/>
      <c r="I947" s="43" t="n"/>
      <c r="J947" s="43" t="n"/>
      <c r="K947" s="43" t="n"/>
      <c r="L947" s="43" t="n"/>
      <c r="M947" s="43" t="n"/>
    </row>
    <row r="948">
      <c r="A948" s="43" t="n"/>
      <c r="B948" s="43" t="n"/>
      <c r="C948" s="43" t="n"/>
      <c r="D948" s="43" t="n"/>
      <c r="E948" s="43" t="n"/>
      <c r="F948" s="43" t="n"/>
      <c r="G948" s="43" t="n"/>
      <c r="H948" s="43" t="n"/>
      <c r="I948" s="43" t="n"/>
      <c r="J948" s="43" t="n"/>
      <c r="K948" s="43" t="n"/>
      <c r="L948" s="43" t="n"/>
      <c r="M948" s="43" t="n"/>
    </row>
    <row r="949">
      <c r="A949" s="43" t="n"/>
      <c r="B949" s="43" t="n"/>
      <c r="C949" s="43" t="n"/>
      <c r="D949" s="43" t="n"/>
      <c r="E949" s="43" t="n"/>
      <c r="F949" s="43" t="n"/>
      <c r="G949" s="43" t="n"/>
      <c r="H949" s="43" t="n"/>
      <c r="I949" s="43" t="n"/>
      <c r="J949" s="43" t="n"/>
      <c r="K949" s="43" t="n"/>
      <c r="L949" s="43" t="n"/>
      <c r="M949" s="43" t="n"/>
    </row>
    <row r="950">
      <c r="A950" s="43" t="n"/>
      <c r="B950" s="43" t="n"/>
      <c r="C950" s="43" t="n"/>
      <c r="D950" s="43" t="n"/>
      <c r="E950" s="43" t="n"/>
      <c r="F950" s="43" t="n"/>
      <c r="G950" s="43" t="n"/>
      <c r="H950" s="43" t="n"/>
      <c r="I950" s="43" t="n"/>
      <c r="J950" s="43" t="n"/>
      <c r="K950" s="43" t="n"/>
      <c r="L950" s="43" t="n"/>
      <c r="M950" s="43" t="n"/>
    </row>
    <row r="951">
      <c r="A951" s="43" t="n"/>
      <c r="B951" s="43" t="n"/>
      <c r="C951" s="43" t="n"/>
      <c r="D951" s="43" t="n"/>
      <c r="E951" s="43" t="n"/>
      <c r="F951" s="43" t="n"/>
      <c r="G951" s="43" t="n"/>
      <c r="H951" s="43" t="n"/>
      <c r="I951" s="43" t="n"/>
      <c r="J951" s="43" t="n"/>
      <c r="K951" s="43" t="n"/>
      <c r="L951" s="43" t="n"/>
      <c r="M951" s="43" t="n"/>
    </row>
    <row r="952">
      <c r="A952" s="43" t="n"/>
      <c r="B952" s="43" t="n"/>
      <c r="C952" s="43" t="n"/>
      <c r="D952" s="43" t="n"/>
      <c r="E952" s="43" t="n"/>
      <c r="F952" s="43" t="n"/>
      <c r="G952" s="43" t="n"/>
      <c r="H952" s="43" t="n"/>
      <c r="I952" s="43" t="n"/>
      <c r="J952" s="43" t="n"/>
      <c r="K952" s="43" t="n"/>
      <c r="L952" s="43" t="n"/>
      <c r="M952" s="43" t="n"/>
    </row>
    <row r="953">
      <c r="A953" s="43" t="n"/>
      <c r="B953" s="43" t="n"/>
      <c r="C953" s="43" t="n"/>
      <c r="D953" s="43" t="n"/>
      <c r="E953" s="43" t="n"/>
      <c r="F953" s="43" t="n"/>
      <c r="G953" s="43" t="n"/>
      <c r="H953" s="43" t="n"/>
      <c r="I953" s="43" t="n"/>
      <c r="J953" s="43" t="n"/>
      <c r="K953" s="43" t="n"/>
      <c r="L953" s="43" t="n"/>
      <c r="M953" s="43" t="n"/>
    </row>
    <row r="954">
      <c r="A954" s="43" t="n"/>
      <c r="B954" s="43" t="n"/>
      <c r="C954" s="43" t="n"/>
      <c r="D954" s="43" t="n"/>
      <c r="E954" s="43" t="n"/>
      <c r="F954" s="43" t="n"/>
      <c r="G954" s="43" t="n"/>
      <c r="H954" s="43" t="n"/>
      <c r="I954" s="43" t="n"/>
      <c r="J954" s="43" t="n"/>
      <c r="K954" s="43" t="n"/>
      <c r="L954" s="43" t="n"/>
      <c r="M954" s="43" t="n"/>
    </row>
    <row r="955">
      <c r="A955" s="43" t="n"/>
      <c r="B955" s="43" t="n"/>
      <c r="C955" s="43" t="n"/>
      <c r="D955" s="43" t="n"/>
      <c r="E955" s="43" t="n"/>
      <c r="F955" s="43" t="n"/>
      <c r="G955" s="43" t="n"/>
      <c r="H955" s="43" t="n"/>
      <c r="I955" s="43" t="n"/>
      <c r="J955" s="43" t="n"/>
      <c r="K955" s="43" t="n"/>
      <c r="L955" s="43" t="n"/>
      <c r="M955" s="43" t="n"/>
    </row>
    <row r="956">
      <c r="A956" s="43" t="n"/>
      <c r="B956" s="43" t="n"/>
      <c r="C956" s="43" t="n"/>
      <c r="D956" s="43" t="n"/>
      <c r="E956" s="43" t="n"/>
      <c r="F956" s="43" t="n"/>
      <c r="G956" s="43" t="n"/>
      <c r="H956" s="43" t="n"/>
      <c r="I956" s="43" t="n"/>
      <c r="J956" s="43" t="n"/>
      <c r="K956" s="43" t="n"/>
      <c r="L956" s="43" t="n"/>
      <c r="M956" s="43" t="n"/>
    </row>
    <row r="957">
      <c r="A957" s="43" t="n"/>
      <c r="B957" s="43" t="n"/>
      <c r="C957" s="43" t="n"/>
      <c r="D957" s="43" t="n"/>
      <c r="E957" s="43" t="n"/>
      <c r="F957" s="43" t="n"/>
      <c r="G957" s="43" t="n"/>
      <c r="H957" s="43" t="n"/>
      <c r="I957" s="43" t="n"/>
      <c r="J957" s="43" t="n"/>
      <c r="K957" s="43" t="n"/>
      <c r="L957" s="43" t="n"/>
      <c r="M957" s="43" t="n"/>
    </row>
    <row r="958">
      <c r="A958" s="43" t="n"/>
      <c r="B958" s="43" t="n"/>
      <c r="C958" s="43" t="n"/>
      <c r="D958" s="43" t="n"/>
      <c r="E958" s="43" t="n"/>
      <c r="F958" s="43" t="n"/>
      <c r="G958" s="43" t="n"/>
      <c r="H958" s="43" t="n"/>
      <c r="I958" s="43" t="n"/>
      <c r="J958" s="43" t="n"/>
      <c r="K958" s="43" t="n"/>
      <c r="L958" s="43" t="n"/>
      <c r="M958" s="43" t="n"/>
    </row>
    <row r="959">
      <c r="A959" s="43" t="n"/>
      <c r="B959" s="43" t="n"/>
      <c r="C959" s="43" t="n"/>
      <c r="D959" s="43" t="n"/>
      <c r="E959" s="43" t="n"/>
      <c r="F959" s="43" t="n"/>
      <c r="G959" s="43" t="n"/>
      <c r="H959" s="43" t="n"/>
      <c r="I959" s="43" t="n"/>
      <c r="J959" s="43" t="n"/>
      <c r="K959" s="43" t="n"/>
      <c r="L959" s="43" t="n"/>
      <c r="M959" s="43" t="n"/>
    </row>
    <row r="960">
      <c r="A960" s="43" t="n"/>
      <c r="B960" s="43" t="n"/>
      <c r="C960" s="43" t="n"/>
      <c r="D960" s="43" t="n"/>
      <c r="E960" s="43" t="n"/>
      <c r="F960" s="43" t="n"/>
      <c r="G960" s="43" t="n"/>
      <c r="H960" s="43" t="n"/>
      <c r="I960" s="43" t="n"/>
      <c r="J960" s="43" t="n"/>
      <c r="K960" s="43" t="n"/>
      <c r="L960" s="43" t="n"/>
      <c r="M960" s="43" t="n"/>
    </row>
    <row r="961">
      <c r="A961" s="43" t="n"/>
      <c r="B961" s="43" t="n"/>
      <c r="C961" s="43" t="n"/>
      <c r="D961" s="43" t="n"/>
      <c r="E961" s="43" t="n"/>
      <c r="F961" s="43" t="n"/>
      <c r="G961" s="43" t="n"/>
      <c r="H961" s="43" t="n"/>
      <c r="I961" s="43" t="n"/>
      <c r="J961" s="43" t="n"/>
      <c r="K961" s="43" t="n"/>
      <c r="L961" s="43" t="n"/>
      <c r="M961" s="43" t="n"/>
    </row>
    <row r="962">
      <c r="A962" s="43" t="n"/>
      <c r="B962" s="43" t="n"/>
      <c r="C962" s="43" t="n"/>
      <c r="D962" s="43" t="n"/>
      <c r="E962" s="43" t="n"/>
      <c r="F962" s="43" t="n"/>
      <c r="G962" s="43" t="n"/>
      <c r="H962" s="43" t="n"/>
      <c r="I962" s="43" t="n"/>
      <c r="J962" s="43" t="n"/>
      <c r="K962" s="43" t="n"/>
      <c r="L962" s="43" t="n"/>
      <c r="M962" s="43" t="n"/>
    </row>
    <row r="963">
      <c r="A963" s="43" t="n"/>
      <c r="B963" s="43" t="n"/>
      <c r="C963" s="43" t="n"/>
      <c r="D963" s="43" t="n"/>
      <c r="E963" s="43" t="n"/>
      <c r="F963" s="43" t="n"/>
      <c r="G963" s="43" t="n"/>
      <c r="H963" s="43" t="n"/>
      <c r="I963" s="43" t="n"/>
      <c r="J963" s="43" t="n"/>
      <c r="K963" s="43" t="n"/>
      <c r="L963" s="43" t="n"/>
      <c r="M963" s="43" t="n"/>
    </row>
    <row r="964">
      <c r="A964" s="43" t="n"/>
      <c r="B964" s="43" t="n"/>
      <c r="C964" s="43" t="n"/>
      <c r="D964" s="43" t="n"/>
      <c r="E964" s="43" t="n"/>
      <c r="F964" s="43" t="n"/>
      <c r="G964" s="43" t="n"/>
      <c r="H964" s="43" t="n"/>
      <c r="I964" s="43" t="n"/>
      <c r="J964" s="43" t="n"/>
      <c r="K964" s="43" t="n"/>
      <c r="L964" s="43" t="n"/>
      <c r="M964" s="43" t="n"/>
    </row>
    <row r="965">
      <c r="A965" s="43" t="n"/>
      <c r="B965" s="43" t="n"/>
      <c r="C965" s="43" t="n"/>
      <c r="D965" s="43" t="n"/>
      <c r="E965" s="43" t="n"/>
      <c r="F965" s="43" t="n"/>
      <c r="G965" s="43" t="n"/>
      <c r="H965" s="43" t="n"/>
      <c r="I965" s="43" t="n"/>
      <c r="J965" s="43" t="n"/>
      <c r="K965" s="43" t="n"/>
      <c r="L965" s="43" t="n"/>
      <c r="M965" s="43" t="n"/>
    </row>
    <row r="966">
      <c r="A966" s="43" t="n"/>
      <c r="B966" s="43" t="n"/>
      <c r="C966" s="43" t="n"/>
      <c r="D966" s="43" t="n"/>
      <c r="E966" s="43" t="n"/>
      <c r="F966" s="43" t="n"/>
      <c r="G966" s="43" t="n"/>
      <c r="H966" s="43" t="n"/>
      <c r="I966" s="43" t="n"/>
      <c r="J966" s="43" t="n"/>
      <c r="K966" s="43" t="n"/>
      <c r="L966" s="43" t="n"/>
      <c r="M966" s="43" t="n"/>
    </row>
    <row r="967">
      <c r="A967" s="43" t="n"/>
      <c r="B967" s="43" t="n"/>
      <c r="C967" s="43" t="n"/>
      <c r="D967" s="43" t="n"/>
      <c r="E967" s="43" t="n"/>
      <c r="F967" s="43" t="n"/>
      <c r="G967" s="43" t="n"/>
      <c r="H967" s="43" t="n"/>
      <c r="I967" s="43" t="n"/>
      <c r="J967" s="43" t="n"/>
      <c r="K967" s="43" t="n"/>
      <c r="L967" s="43" t="n"/>
      <c r="M967" s="43" t="n"/>
    </row>
    <row r="968">
      <c r="A968" s="43" t="n"/>
      <c r="B968" s="43" t="n"/>
      <c r="C968" s="43" t="n"/>
      <c r="D968" s="43" t="n"/>
      <c r="E968" s="43" t="n"/>
      <c r="F968" s="43" t="n"/>
      <c r="G968" s="43" t="n"/>
      <c r="H968" s="43" t="n"/>
      <c r="I968" s="43" t="n"/>
      <c r="J968" s="43" t="n"/>
      <c r="K968" s="43" t="n"/>
      <c r="L968" s="43" t="n"/>
      <c r="M968" s="43" t="n"/>
    </row>
    <row r="969">
      <c r="A969" s="43" t="n"/>
      <c r="B969" s="43" t="n"/>
      <c r="C969" s="43" t="n"/>
      <c r="D969" s="43" t="n"/>
      <c r="E969" s="43" t="n"/>
      <c r="F969" s="43" t="n"/>
      <c r="G969" s="43" t="n"/>
      <c r="H969" s="43" t="n"/>
      <c r="I969" s="43" t="n"/>
      <c r="J969" s="43" t="n"/>
      <c r="K969" s="43" t="n"/>
      <c r="L969" s="43" t="n"/>
      <c r="M969" s="43" t="n"/>
    </row>
    <row r="970">
      <c r="A970" s="43" t="n"/>
      <c r="B970" s="43" t="n"/>
      <c r="C970" s="43" t="n"/>
      <c r="D970" s="43" t="n"/>
      <c r="E970" s="43" t="n"/>
      <c r="F970" s="43" t="n"/>
      <c r="G970" s="43" t="n"/>
      <c r="H970" s="43" t="n"/>
      <c r="I970" s="43" t="n"/>
      <c r="J970" s="43" t="n"/>
      <c r="K970" s="43" t="n"/>
      <c r="L970" s="43" t="n"/>
      <c r="M970" s="43" t="n"/>
    </row>
    <row r="971">
      <c r="A971" s="43" t="n"/>
      <c r="B971" s="43" t="n"/>
      <c r="C971" s="43" t="n"/>
      <c r="D971" s="43" t="n"/>
      <c r="E971" s="43" t="n"/>
      <c r="F971" s="43" t="n"/>
      <c r="G971" s="43" t="n"/>
      <c r="H971" s="43" t="n"/>
      <c r="I971" s="43" t="n"/>
      <c r="J971" s="43" t="n"/>
      <c r="K971" s="43" t="n"/>
      <c r="L971" s="43" t="n"/>
      <c r="M971" s="43" t="n"/>
    </row>
    <row r="972">
      <c r="A972" s="43" t="n"/>
      <c r="B972" s="43" t="n"/>
      <c r="C972" s="43" t="n"/>
      <c r="D972" s="43" t="n"/>
      <c r="E972" s="43" t="n"/>
      <c r="F972" s="43" t="n"/>
      <c r="G972" s="43" t="n"/>
      <c r="H972" s="43" t="n"/>
      <c r="I972" s="43" t="n"/>
      <c r="J972" s="43" t="n"/>
      <c r="K972" s="43" t="n"/>
      <c r="L972" s="43" t="n"/>
      <c r="M972" s="43" t="n"/>
    </row>
    <row r="973">
      <c r="A973" s="43" t="n"/>
      <c r="B973" s="43" t="n"/>
      <c r="C973" s="43" t="n"/>
      <c r="D973" s="43" t="n"/>
      <c r="E973" s="43" t="n"/>
      <c r="F973" s="43" t="n"/>
      <c r="G973" s="43" t="n"/>
      <c r="H973" s="43" t="n"/>
      <c r="I973" s="43" t="n"/>
      <c r="J973" s="43" t="n"/>
      <c r="K973" s="43" t="n"/>
      <c r="L973" s="43" t="n"/>
      <c r="M973" s="43" t="n"/>
    </row>
    <row r="974">
      <c r="A974" s="43" t="n"/>
      <c r="B974" s="43" t="n"/>
      <c r="C974" s="43" t="n"/>
      <c r="D974" s="43" t="n"/>
      <c r="E974" s="43" t="n"/>
      <c r="F974" s="43" t="n"/>
      <c r="G974" s="43" t="n"/>
      <c r="H974" s="43" t="n"/>
      <c r="I974" s="43" t="n"/>
      <c r="J974" s="43" t="n"/>
      <c r="K974" s="43" t="n"/>
      <c r="L974" s="43" t="n"/>
      <c r="M974" s="43" t="n"/>
    </row>
    <row r="975">
      <c r="A975" s="43" t="n"/>
      <c r="B975" s="43" t="n"/>
      <c r="C975" s="43" t="n"/>
      <c r="D975" s="43" t="n"/>
      <c r="E975" s="43" t="n"/>
      <c r="F975" s="43" t="n"/>
      <c r="G975" s="43" t="n"/>
      <c r="H975" s="43" t="n"/>
      <c r="I975" s="43" t="n"/>
      <c r="J975" s="43" t="n"/>
      <c r="K975" s="43" t="n"/>
      <c r="L975" s="43" t="n"/>
      <c r="M975" s="43" t="n"/>
    </row>
    <row r="976">
      <c r="A976" s="43" t="n"/>
      <c r="B976" s="43" t="n"/>
      <c r="C976" s="43" t="n"/>
      <c r="D976" s="43" t="n"/>
      <c r="E976" s="43" t="n"/>
      <c r="F976" s="43" t="n"/>
      <c r="G976" s="43" t="n"/>
      <c r="H976" s="43" t="n"/>
      <c r="I976" s="43" t="n"/>
      <c r="J976" s="43" t="n"/>
      <c r="K976" s="43" t="n"/>
      <c r="L976" s="43" t="n"/>
      <c r="M976" s="43" t="n"/>
    </row>
    <row r="977">
      <c r="A977" s="43" t="n"/>
      <c r="B977" s="43" t="n"/>
      <c r="C977" s="43" t="n"/>
      <c r="D977" s="43" t="n"/>
      <c r="E977" s="43" t="n"/>
      <c r="F977" s="43" t="n"/>
      <c r="G977" s="43" t="n"/>
      <c r="H977" s="43" t="n"/>
      <c r="I977" s="43" t="n"/>
      <c r="J977" s="43" t="n"/>
      <c r="K977" s="43" t="n"/>
      <c r="L977" s="43" t="n"/>
      <c r="M977" s="43" t="n"/>
    </row>
    <row r="978">
      <c r="A978" s="43" t="n"/>
      <c r="B978" s="43" t="n"/>
      <c r="C978" s="43" t="n"/>
      <c r="D978" s="43" t="n"/>
      <c r="E978" s="43" t="n"/>
      <c r="F978" s="43" t="n"/>
      <c r="G978" s="43" t="n"/>
      <c r="H978" s="43" t="n"/>
      <c r="I978" s="43" t="n"/>
      <c r="J978" s="43" t="n"/>
      <c r="K978" s="43" t="n"/>
      <c r="L978" s="43" t="n"/>
      <c r="M978" s="43" t="n"/>
    </row>
    <row r="979">
      <c r="A979" s="43" t="n"/>
      <c r="B979" s="43" t="n"/>
      <c r="C979" s="43" t="n"/>
      <c r="D979" s="43" t="n"/>
      <c r="E979" s="43" t="n"/>
      <c r="F979" s="43" t="n"/>
      <c r="G979" s="43" t="n"/>
      <c r="H979" s="43" t="n"/>
      <c r="I979" s="43" t="n"/>
      <c r="J979" s="43" t="n"/>
      <c r="K979" s="43" t="n"/>
      <c r="L979" s="43" t="n"/>
      <c r="M979" s="43" t="n"/>
    </row>
    <row r="980">
      <c r="A980" s="43" t="n"/>
      <c r="B980" s="43" t="n"/>
      <c r="C980" s="43" t="n"/>
      <c r="D980" s="43" t="n"/>
      <c r="E980" s="43" t="n"/>
      <c r="F980" s="43" t="n"/>
      <c r="G980" s="43" t="n"/>
      <c r="H980" s="43" t="n"/>
      <c r="I980" s="43" t="n"/>
      <c r="J980" s="43" t="n"/>
      <c r="K980" s="43" t="n"/>
      <c r="L980" s="43" t="n"/>
      <c r="M980" s="43" t="n"/>
    </row>
    <row r="981">
      <c r="A981" s="43" t="n"/>
      <c r="B981" s="43" t="n"/>
      <c r="C981" s="43" t="n"/>
      <c r="D981" s="43" t="n"/>
      <c r="E981" s="43" t="n"/>
      <c r="F981" s="43" t="n"/>
      <c r="G981" s="43" t="n"/>
      <c r="H981" s="43" t="n"/>
      <c r="I981" s="43" t="n"/>
      <c r="J981" s="43" t="n"/>
      <c r="K981" s="43" t="n"/>
      <c r="L981" s="43" t="n"/>
      <c r="M981" s="43" t="n"/>
    </row>
    <row r="982">
      <c r="A982" s="43" t="n"/>
      <c r="B982" s="43" t="n"/>
      <c r="C982" s="43" t="n"/>
      <c r="D982" s="43" t="n"/>
      <c r="E982" s="43" t="n"/>
      <c r="F982" s="43" t="n"/>
      <c r="G982" s="43" t="n"/>
      <c r="H982" s="43" t="n"/>
      <c r="I982" s="43" t="n"/>
      <c r="J982" s="43" t="n"/>
      <c r="K982" s="43" t="n"/>
      <c r="L982" s="43" t="n"/>
      <c r="M982" s="43" t="n"/>
    </row>
    <row r="983">
      <c r="A983" s="43" t="n"/>
      <c r="B983" s="43" t="n"/>
      <c r="C983" s="43" t="n"/>
      <c r="D983" s="43" t="n"/>
      <c r="E983" s="43" t="n"/>
      <c r="F983" s="43" t="n"/>
      <c r="G983" s="43" t="n"/>
      <c r="H983" s="43" t="n"/>
      <c r="I983" s="43" t="n"/>
      <c r="J983" s="43" t="n"/>
      <c r="K983" s="43" t="n"/>
      <c r="L983" s="43" t="n"/>
      <c r="M983" s="43" t="n"/>
    </row>
    <row r="984">
      <c r="A984" s="43" t="n"/>
      <c r="B984" s="43" t="n"/>
      <c r="C984" s="43" t="n"/>
      <c r="D984" s="43" t="n"/>
      <c r="E984" s="43" t="n"/>
      <c r="F984" s="43" t="n"/>
      <c r="G984" s="43" t="n"/>
      <c r="H984" s="43" t="n"/>
      <c r="I984" s="43" t="n"/>
      <c r="J984" s="43" t="n"/>
      <c r="K984" s="43" t="n"/>
      <c r="L984" s="43" t="n"/>
      <c r="M984" s="43" t="n"/>
    </row>
    <row r="985">
      <c r="A985" s="43" t="n"/>
      <c r="B985" s="43" t="n"/>
      <c r="C985" s="43" t="n"/>
      <c r="D985" s="43" t="n"/>
      <c r="E985" s="43" t="n"/>
      <c r="F985" s="43" t="n"/>
      <c r="G985" s="43" t="n"/>
      <c r="H985" s="43" t="n"/>
      <c r="I985" s="43" t="n"/>
      <c r="J985" s="43" t="n"/>
      <c r="K985" s="43" t="n"/>
      <c r="L985" s="43" t="n"/>
      <c r="M985" s="43" t="n"/>
    </row>
    <row r="986">
      <c r="A986" s="43" t="n"/>
      <c r="B986" s="43" t="n"/>
      <c r="C986" s="43" t="n"/>
      <c r="D986" s="43" t="n"/>
      <c r="E986" s="43" t="n"/>
      <c r="F986" s="43" t="n"/>
      <c r="G986" s="43" t="n"/>
      <c r="H986" s="43" t="n"/>
      <c r="I986" s="43" t="n"/>
      <c r="J986" s="43" t="n"/>
      <c r="K986" s="43" t="n"/>
      <c r="L986" s="43" t="n"/>
      <c r="M986" s="43" t="n"/>
    </row>
    <row r="987">
      <c r="A987" s="43" t="n"/>
      <c r="B987" s="43" t="n"/>
      <c r="C987" s="43" t="n"/>
      <c r="D987" s="43" t="n"/>
      <c r="E987" s="43" t="n"/>
      <c r="F987" s="43" t="n"/>
      <c r="G987" s="43" t="n"/>
      <c r="H987" s="43" t="n"/>
      <c r="I987" s="43" t="n"/>
      <c r="J987" s="43" t="n"/>
      <c r="K987" s="43" t="n"/>
      <c r="L987" s="43" t="n"/>
      <c r="M987" s="43" t="n"/>
    </row>
    <row r="988">
      <c r="A988" s="43" t="n"/>
      <c r="B988" s="43" t="n"/>
      <c r="C988" s="43" t="n"/>
      <c r="D988" s="43" t="n"/>
      <c r="E988" s="43" t="n"/>
      <c r="F988" s="43" t="n"/>
      <c r="G988" s="43" t="n"/>
      <c r="H988" s="43" t="n"/>
      <c r="I988" s="43" t="n"/>
      <c r="J988" s="43" t="n"/>
      <c r="K988" s="43" t="n"/>
      <c r="L988" s="43" t="n"/>
      <c r="M988" s="43" t="n"/>
    </row>
    <row r="989">
      <c r="A989" s="43" t="n"/>
      <c r="B989" s="43" t="n"/>
      <c r="C989" s="43" t="n"/>
      <c r="D989" s="43" t="n"/>
      <c r="E989" s="43" t="n"/>
      <c r="F989" s="43" t="n"/>
      <c r="G989" s="43" t="n"/>
      <c r="H989" s="43" t="n"/>
      <c r="I989" s="43" t="n"/>
      <c r="J989" s="43" t="n"/>
      <c r="K989" s="43" t="n"/>
      <c r="L989" s="43" t="n"/>
      <c r="M989" s="43" t="n"/>
    </row>
    <row r="990">
      <c r="A990" s="43" t="n"/>
      <c r="B990" s="43" t="n"/>
      <c r="C990" s="43" t="n"/>
      <c r="D990" s="43" t="n"/>
      <c r="E990" s="43" t="n"/>
      <c r="F990" s="43" t="n"/>
      <c r="G990" s="43" t="n"/>
      <c r="H990" s="43" t="n"/>
      <c r="I990" s="43" t="n"/>
      <c r="J990" s="43" t="n"/>
      <c r="K990" s="43" t="n"/>
      <c r="L990" s="43" t="n"/>
      <c r="M990" s="43" t="n"/>
    </row>
    <row r="991">
      <c r="A991" s="43" t="n"/>
      <c r="B991" s="43" t="n"/>
      <c r="C991" s="43" t="n"/>
      <c r="D991" s="43" t="n"/>
      <c r="E991" s="43" t="n"/>
      <c r="F991" s="43" t="n"/>
      <c r="G991" s="43" t="n"/>
      <c r="H991" s="43" t="n"/>
      <c r="I991" s="43" t="n"/>
      <c r="J991" s="43" t="n"/>
      <c r="K991" s="43" t="n"/>
      <c r="L991" s="43" t="n"/>
      <c r="M991" s="43" t="n"/>
    </row>
    <row r="992">
      <c r="A992" s="43" t="n"/>
      <c r="B992" s="43" t="n"/>
      <c r="C992" s="43" t="n"/>
      <c r="D992" s="43" t="n"/>
      <c r="E992" s="43" t="n"/>
      <c r="F992" s="43" t="n"/>
      <c r="G992" s="43" t="n"/>
      <c r="H992" s="43" t="n"/>
      <c r="I992" s="43" t="n"/>
      <c r="J992" s="43" t="n"/>
      <c r="K992" s="43" t="n"/>
      <c r="L992" s="43" t="n"/>
      <c r="M992" s="43" t="n"/>
    </row>
    <row r="993">
      <c r="A993" s="43" t="n"/>
      <c r="B993" s="43" t="n"/>
      <c r="C993" s="43" t="n"/>
      <c r="D993" s="43" t="n"/>
      <c r="E993" s="43" t="n"/>
      <c r="F993" s="43" t="n"/>
      <c r="G993" s="43" t="n"/>
      <c r="H993" s="43" t="n"/>
      <c r="I993" s="43" t="n"/>
      <c r="J993" s="43" t="n"/>
      <c r="K993" s="43" t="n"/>
      <c r="L993" s="43" t="n"/>
      <c r="M993" s="43" t="n"/>
    </row>
    <row r="994">
      <c r="A994" s="43" t="n"/>
      <c r="B994" s="43" t="n"/>
      <c r="C994" s="43" t="n"/>
      <c r="D994" s="43" t="n"/>
      <c r="E994" s="43" t="n"/>
      <c r="F994" s="43" t="n"/>
      <c r="G994" s="43" t="n"/>
      <c r="H994" s="43" t="n"/>
      <c r="I994" s="43" t="n"/>
      <c r="J994" s="43" t="n"/>
      <c r="K994" s="43" t="n"/>
      <c r="L994" s="43" t="n"/>
      <c r="M994" s="43" t="n"/>
    </row>
    <row r="995">
      <c r="A995" s="43" t="n"/>
      <c r="B995" s="43" t="n"/>
      <c r="C995" s="43" t="n"/>
      <c r="D995" s="43" t="n"/>
      <c r="E995" s="43" t="n"/>
      <c r="F995" s="43" t="n"/>
      <c r="G995" s="43" t="n"/>
      <c r="H995" s="43" t="n"/>
      <c r="I995" s="43" t="n"/>
      <c r="J995" s="43" t="n"/>
      <c r="K995" s="43" t="n"/>
      <c r="L995" s="43" t="n"/>
      <c r="M995" s="43" t="n"/>
    </row>
    <row r="996">
      <c r="A996" s="43" t="n"/>
      <c r="B996" s="43" t="n"/>
      <c r="C996" s="43" t="n"/>
      <c r="D996" s="43" t="n"/>
      <c r="E996" s="43" t="n"/>
      <c r="F996" s="43" t="n"/>
      <c r="G996" s="43" t="n"/>
      <c r="H996" s="43" t="n"/>
      <c r="I996" s="43" t="n"/>
      <c r="J996" s="43" t="n"/>
      <c r="K996" s="43" t="n"/>
      <c r="L996" s="43" t="n"/>
      <c r="M996" s="43" t="n"/>
    </row>
    <row r="997">
      <c r="A997" s="43" t="n"/>
      <c r="B997" s="43" t="n"/>
      <c r="C997" s="43" t="n"/>
      <c r="D997" s="43" t="n"/>
      <c r="E997" s="43" t="n"/>
      <c r="F997" s="43" t="n"/>
      <c r="G997" s="43" t="n"/>
      <c r="H997" s="43" t="n"/>
      <c r="I997" s="43" t="n"/>
      <c r="J997" s="43" t="n"/>
      <c r="K997" s="43" t="n"/>
      <c r="L997" s="43" t="n"/>
      <c r="M997" s="43" t="n"/>
    </row>
    <row r="998">
      <c r="A998" s="43" t="n"/>
      <c r="B998" s="43" t="n"/>
      <c r="C998" s="43" t="n"/>
      <c r="D998" s="43" t="n"/>
      <c r="E998" s="43" t="n"/>
      <c r="F998" s="43" t="n"/>
      <c r="G998" s="43" t="n"/>
      <c r="H998" s="43" t="n"/>
      <c r="I998" s="43" t="n"/>
      <c r="J998" s="43" t="n"/>
      <c r="K998" s="43" t="n"/>
      <c r="L998" s="43" t="n"/>
      <c r="M998" s="43" t="n"/>
    </row>
    <row r="999">
      <c r="A999" s="43" t="n"/>
      <c r="B999" s="43" t="n"/>
      <c r="C999" s="43" t="n"/>
      <c r="D999" s="43" t="n"/>
      <c r="E999" s="43" t="n"/>
      <c r="F999" s="43" t="n"/>
      <c r="G999" s="43" t="n"/>
      <c r="H999" s="43" t="n"/>
      <c r="I999" s="43" t="n"/>
      <c r="J999" s="43" t="n"/>
      <c r="K999" s="43" t="n"/>
      <c r="L999" s="43" t="n"/>
      <c r="M999" s="43" t="n"/>
    </row>
    <row r="1000">
      <c r="A1000" s="43" t="n"/>
      <c r="B1000" s="43" t="n"/>
      <c r="C1000" s="43" t="n"/>
      <c r="D1000" s="43" t="n"/>
      <c r="E1000" s="43" t="n"/>
      <c r="F1000" s="43" t="n"/>
      <c r="G1000" s="43" t="n"/>
      <c r="H1000" s="43" t="n"/>
      <c r="I1000" s="43" t="n"/>
      <c r="J1000" s="43" t="n"/>
      <c r="K1000" s="43" t="n"/>
      <c r="L1000" s="43" t="n"/>
      <c r="M1000" s="43" t="n"/>
    </row>
    <row r="1001">
      <c r="A1001" s="43" t="n"/>
      <c r="B1001" s="43" t="n"/>
      <c r="C1001" s="43" t="n"/>
      <c r="D1001" s="43" t="n"/>
      <c r="E1001" s="43" t="n"/>
      <c r="F1001" s="43" t="n"/>
      <c r="G1001" s="43" t="n"/>
      <c r="H1001" s="43" t="n"/>
      <c r="I1001" s="43" t="n"/>
      <c r="J1001" s="43" t="n"/>
      <c r="K1001" s="43" t="n"/>
      <c r="L1001" s="43" t="n"/>
      <c r="M1001" s="43" t="n"/>
    </row>
    <row r="1002">
      <c r="A1002" s="43" t="n"/>
      <c r="B1002" s="43" t="n"/>
      <c r="C1002" s="43" t="n"/>
      <c r="D1002" s="43" t="n"/>
      <c r="E1002" s="43" t="n"/>
      <c r="F1002" s="43" t="n"/>
      <c r="G1002" s="43" t="n"/>
      <c r="H1002" s="43" t="n"/>
      <c r="I1002" s="43" t="n"/>
      <c r="J1002" s="43" t="n"/>
      <c r="K1002" s="43" t="n"/>
      <c r="L1002" s="43" t="n"/>
      <c r="M1002" s="43" t="n"/>
    </row>
    <row r="1003">
      <c r="A1003" s="43" t="n"/>
      <c r="B1003" s="43" t="n"/>
      <c r="C1003" s="43" t="n"/>
      <c r="D1003" s="43" t="n"/>
      <c r="E1003" s="43" t="n"/>
      <c r="F1003" s="43" t="n"/>
      <c r="G1003" s="43" t="n"/>
      <c r="H1003" s="43" t="n"/>
      <c r="I1003" s="43" t="n"/>
      <c r="J1003" s="43" t="n"/>
      <c r="K1003" s="43" t="n"/>
      <c r="L1003" s="43" t="n"/>
      <c r="M1003" s="43" t="n"/>
    </row>
    <row r="1004">
      <c r="A1004" s="43" t="n"/>
      <c r="B1004" s="43" t="n"/>
      <c r="C1004" s="43" t="n"/>
      <c r="D1004" s="43" t="n"/>
      <c r="E1004" s="43" t="n"/>
      <c r="F1004" s="43" t="n"/>
      <c r="G1004" s="43" t="n"/>
      <c r="H1004" s="43" t="n"/>
      <c r="I1004" s="43" t="n"/>
      <c r="J1004" s="43" t="n"/>
      <c r="K1004" s="43" t="n"/>
      <c r="L1004" s="43" t="n"/>
      <c r="M1004" s="43" t="n"/>
    </row>
    <row r="1005">
      <c r="A1005" s="43" t="n"/>
      <c r="B1005" s="43" t="n"/>
      <c r="C1005" s="43" t="n"/>
      <c r="D1005" s="43" t="n"/>
      <c r="E1005" s="43" t="n"/>
      <c r="F1005" s="43" t="n"/>
      <c r="G1005" s="43" t="n"/>
      <c r="H1005" s="43" t="n"/>
      <c r="I1005" s="43" t="n"/>
      <c r="J1005" s="43" t="n"/>
      <c r="K1005" s="43" t="n"/>
      <c r="L1005" s="43" t="n"/>
      <c r="M1005" s="43" t="n"/>
    </row>
    <row r="1006">
      <c r="A1006" s="43" t="n"/>
      <c r="B1006" s="43" t="n"/>
      <c r="C1006" s="43" t="n"/>
      <c r="D1006" s="43" t="n"/>
      <c r="E1006" s="43" t="n"/>
      <c r="F1006" s="43" t="n"/>
      <c r="G1006" s="43" t="n"/>
      <c r="H1006" s="43" t="n"/>
      <c r="I1006" s="43" t="n"/>
      <c r="J1006" s="43" t="n"/>
      <c r="K1006" s="43" t="n"/>
      <c r="L1006" s="43" t="n"/>
      <c r="M1006" s="43" t="n"/>
    </row>
    <row r="1007">
      <c r="A1007" s="43" t="n"/>
      <c r="B1007" s="43" t="n"/>
      <c r="C1007" s="43" t="n"/>
      <c r="D1007" s="43" t="n"/>
      <c r="E1007" s="43" t="n"/>
      <c r="F1007" s="43" t="n"/>
      <c r="G1007" s="43" t="n"/>
      <c r="H1007" s="43" t="n"/>
      <c r="I1007" s="43" t="n"/>
      <c r="J1007" s="43" t="n"/>
      <c r="K1007" s="43" t="n"/>
      <c r="L1007" s="43" t="n"/>
      <c r="M1007" s="43" t="n"/>
    </row>
    <row r="1008">
      <c r="A1008" s="43" t="n"/>
      <c r="B1008" s="43" t="n"/>
      <c r="C1008" s="43" t="n"/>
      <c r="D1008" s="43" t="n"/>
      <c r="E1008" s="43" t="n"/>
      <c r="F1008" s="43" t="n"/>
      <c r="G1008" s="43" t="n"/>
      <c r="H1008" s="43" t="n"/>
      <c r="I1008" s="43" t="n"/>
      <c r="J1008" s="43" t="n"/>
      <c r="K1008" s="43" t="n"/>
      <c r="L1008" s="43" t="n"/>
      <c r="M1008" s="43" t="n"/>
    </row>
    <row r="1009">
      <c r="A1009" s="43" t="n"/>
      <c r="B1009" s="43" t="n"/>
      <c r="C1009" s="43" t="n"/>
      <c r="D1009" s="43" t="n"/>
      <c r="E1009" s="43" t="n"/>
      <c r="F1009" s="43" t="n"/>
      <c r="G1009" s="43" t="n"/>
      <c r="H1009" s="43" t="n"/>
      <c r="I1009" s="43" t="n"/>
      <c r="J1009" s="43" t="n"/>
      <c r="K1009" s="43" t="n"/>
      <c r="L1009" s="43" t="n"/>
      <c r="M1009" s="43" t="n"/>
    </row>
    <row r="1010">
      <c r="A1010" s="43" t="n"/>
      <c r="B1010" s="43" t="n"/>
      <c r="C1010" s="43" t="n"/>
      <c r="D1010" s="43" t="n"/>
      <c r="E1010" s="43" t="n"/>
      <c r="F1010" s="43" t="n"/>
      <c r="G1010" s="43" t="n"/>
      <c r="H1010" s="43" t="n"/>
      <c r="I1010" s="43" t="n"/>
      <c r="J1010" s="43" t="n"/>
      <c r="K1010" s="43" t="n"/>
      <c r="L1010" s="43" t="n"/>
      <c r="M1010" s="43" t="n"/>
    </row>
    <row r="1011">
      <c r="A1011" s="43" t="n"/>
      <c r="B1011" s="43" t="n"/>
      <c r="C1011" s="43" t="n"/>
      <c r="D1011" s="43" t="n"/>
      <c r="E1011" s="43" t="n"/>
      <c r="F1011" s="43" t="n"/>
      <c r="G1011" s="43" t="n"/>
      <c r="H1011" s="43" t="n"/>
      <c r="I1011" s="43" t="n"/>
      <c r="J1011" s="43" t="n"/>
      <c r="K1011" s="43" t="n"/>
      <c r="L1011" s="43" t="n"/>
      <c r="M1011" s="43" t="n"/>
    </row>
    <row r="1012">
      <c r="A1012" s="43" t="n"/>
      <c r="B1012" s="43" t="n"/>
      <c r="C1012" s="43" t="n"/>
      <c r="D1012" s="43" t="n"/>
      <c r="E1012" s="43" t="n"/>
      <c r="F1012" s="43" t="n"/>
      <c r="G1012" s="43" t="n"/>
      <c r="H1012" s="43" t="n"/>
      <c r="I1012" s="43" t="n"/>
      <c r="J1012" s="43" t="n"/>
      <c r="K1012" s="43" t="n"/>
      <c r="L1012" s="43" t="n"/>
      <c r="M1012" s="43" t="n"/>
    </row>
    <row r="1013">
      <c r="A1013" s="43" t="n"/>
      <c r="B1013" s="43" t="n"/>
      <c r="C1013" s="43" t="n"/>
      <c r="D1013" s="43" t="n"/>
      <c r="E1013" s="43" t="n"/>
      <c r="F1013" s="43" t="n"/>
      <c r="G1013" s="43" t="n"/>
      <c r="H1013" s="43" t="n"/>
      <c r="I1013" s="43" t="n"/>
      <c r="J1013" s="43" t="n"/>
      <c r="K1013" s="43" t="n"/>
      <c r="L1013" s="43" t="n"/>
      <c r="M1013" s="43" t="n"/>
    </row>
    <row r="1014">
      <c r="A1014" s="43" t="n"/>
      <c r="B1014" s="43" t="n"/>
      <c r="C1014" s="43" t="n"/>
      <c r="D1014" s="43" t="n"/>
      <c r="E1014" s="43" t="n"/>
      <c r="F1014" s="43" t="n"/>
      <c r="G1014" s="43" t="n"/>
      <c r="H1014" s="43" t="n"/>
      <c r="I1014" s="43" t="n"/>
      <c r="J1014" s="43" t="n"/>
      <c r="K1014" s="43" t="n"/>
      <c r="L1014" s="43" t="n"/>
      <c r="M1014" s="43" t="n"/>
    </row>
    <row r="1015">
      <c r="A1015" s="43" t="n"/>
      <c r="B1015" s="43" t="n"/>
      <c r="C1015" s="43" t="n"/>
      <c r="D1015" s="43" t="n"/>
      <c r="E1015" s="43" t="n"/>
      <c r="F1015" s="43" t="n"/>
      <c r="G1015" s="43" t="n"/>
      <c r="H1015" s="43" t="n"/>
      <c r="I1015" s="43" t="n"/>
      <c r="J1015" s="43" t="n"/>
      <c r="K1015" s="43" t="n"/>
      <c r="L1015" s="43" t="n"/>
      <c r="M1015" s="43" t="n"/>
    </row>
    <row r="1016">
      <c r="A1016" s="43" t="n"/>
      <c r="B1016" s="43" t="n"/>
      <c r="C1016" s="43" t="n"/>
      <c r="D1016" s="43" t="n"/>
      <c r="E1016" s="43" t="n"/>
      <c r="F1016" s="43" t="n"/>
      <c r="G1016" s="43" t="n"/>
      <c r="H1016" s="43" t="n"/>
      <c r="I1016" s="43" t="n"/>
      <c r="J1016" s="43" t="n"/>
      <c r="K1016" s="43" t="n"/>
      <c r="L1016" s="43" t="n"/>
      <c r="M1016" s="43" t="n"/>
    </row>
    <row r="1017">
      <c r="A1017" s="43" t="n"/>
      <c r="B1017" s="43" t="n"/>
      <c r="C1017" s="43" t="n"/>
      <c r="D1017" s="43" t="n"/>
      <c r="E1017" s="43" t="n"/>
      <c r="F1017" s="43" t="n"/>
      <c r="G1017" s="43" t="n"/>
      <c r="H1017" s="43" t="n"/>
      <c r="I1017" s="43" t="n"/>
      <c r="J1017" s="43" t="n"/>
      <c r="K1017" s="43" t="n"/>
      <c r="L1017" s="43" t="n"/>
      <c r="M1017" s="43" t="n"/>
    </row>
    <row r="1018">
      <c r="A1018" s="43" t="n"/>
      <c r="B1018" s="43" t="n"/>
      <c r="C1018" s="43" t="n"/>
      <c r="D1018" s="43" t="n"/>
      <c r="E1018" s="43" t="n"/>
      <c r="F1018" s="43" t="n"/>
      <c r="G1018" s="43" t="n"/>
      <c r="H1018" s="43" t="n"/>
      <c r="I1018" s="43" t="n"/>
      <c r="J1018" s="43" t="n"/>
      <c r="K1018" s="43" t="n"/>
      <c r="L1018" s="43" t="n"/>
      <c r="M1018" s="43" t="n"/>
    </row>
    <row r="1019">
      <c r="A1019" s="43" t="n"/>
      <c r="B1019" s="43" t="n"/>
      <c r="C1019" s="43" t="n"/>
      <c r="D1019" s="43" t="n"/>
      <c r="E1019" s="43" t="n"/>
      <c r="F1019" s="43" t="n"/>
      <c r="G1019" s="43" t="n"/>
      <c r="H1019" s="43" t="n"/>
      <c r="I1019" s="43" t="n"/>
      <c r="J1019" s="43" t="n"/>
      <c r="K1019" s="43" t="n"/>
      <c r="L1019" s="43" t="n"/>
      <c r="M1019" s="43" t="n"/>
    </row>
    <row r="1020">
      <c r="A1020" s="43" t="n"/>
      <c r="B1020" s="43" t="n"/>
      <c r="C1020" s="43" t="n"/>
      <c r="D1020" s="43" t="n"/>
      <c r="E1020" s="43" t="n"/>
      <c r="F1020" s="43" t="n"/>
      <c r="G1020" s="43" t="n"/>
      <c r="H1020" s="43" t="n"/>
      <c r="I1020" s="43" t="n"/>
      <c r="J1020" s="43" t="n"/>
      <c r="K1020" s="43" t="n"/>
      <c r="L1020" s="43" t="n"/>
      <c r="M1020" s="43" t="n"/>
    </row>
    <row r="1021">
      <c r="A1021" s="43" t="n"/>
      <c r="B1021" s="43" t="n"/>
      <c r="C1021" s="43" t="n"/>
      <c r="D1021" s="43" t="n"/>
      <c r="E1021" s="43" t="n"/>
      <c r="F1021" s="43" t="n"/>
      <c r="G1021" s="43" t="n"/>
      <c r="H1021" s="43" t="n"/>
      <c r="I1021" s="43" t="n"/>
      <c r="J1021" s="43" t="n"/>
      <c r="K1021" s="43" t="n"/>
      <c r="L1021" s="43" t="n"/>
      <c r="M1021" s="43" t="n"/>
    </row>
    <row r="1022">
      <c r="A1022" s="43" t="n"/>
      <c r="B1022" s="43" t="n"/>
      <c r="C1022" s="43" t="n"/>
      <c r="D1022" s="43" t="n"/>
      <c r="E1022" s="43" t="n"/>
      <c r="F1022" s="43" t="n"/>
      <c r="G1022" s="43" t="n"/>
      <c r="H1022" s="43" t="n"/>
      <c r="I1022" s="43" t="n"/>
      <c r="J1022" s="43" t="n"/>
      <c r="K1022" s="43" t="n"/>
      <c r="L1022" s="43" t="n"/>
      <c r="M1022" s="43" t="n"/>
    </row>
    <row r="1023">
      <c r="A1023" s="43" t="n"/>
      <c r="B1023" s="43" t="n"/>
      <c r="C1023" s="43" t="n"/>
      <c r="D1023" s="43" t="n"/>
      <c r="E1023" s="43" t="n"/>
      <c r="F1023" s="43" t="n"/>
      <c r="G1023" s="43" t="n"/>
      <c r="H1023" s="43" t="n"/>
      <c r="I1023" s="43" t="n"/>
      <c r="J1023" s="43" t="n"/>
      <c r="K1023" s="43" t="n"/>
      <c r="L1023" s="43" t="n"/>
      <c r="M1023" s="43" t="n"/>
    </row>
    <row r="1024">
      <c r="A1024" s="43" t="n"/>
      <c r="B1024" s="43" t="n"/>
      <c r="C1024" s="43" t="n"/>
      <c r="D1024" s="43" t="n"/>
      <c r="E1024" s="43" t="n"/>
      <c r="F1024" s="43" t="n"/>
      <c r="G1024" s="43" t="n"/>
      <c r="H1024" s="43" t="n"/>
      <c r="I1024" s="43" t="n"/>
      <c r="J1024" s="43" t="n"/>
      <c r="K1024" s="43" t="n"/>
      <c r="L1024" s="43" t="n"/>
      <c r="M1024" s="43" t="n"/>
    </row>
    <row r="1025">
      <c r="A1025" s="43" t="n"/>
      <c r="B1025" s="43" t="n"/>
      <c r="C1025" s="43" t="n"/>
      <c r="D1025" s="43" t="n"/>
      <c r="E1025" s="43" t="n"/>
      <c r="F1025" s="43" t="n"/>
      <c r="G1025" s="43" t="n"/>
      <c r="H1025" s="43" t="n"/>
      <c r="I1025" s="43" t="n"/>
      <c r="J1025" s="43" t="n"/>
      <c r="K1025" s="43" t="n"/>
      <c r="L1025" s="43" t="n"/>
      <c r="M1025" s="43" t="n"/>
    </row>
    <row r="1026">
      <c r="A1026" s="43" t="n"/>
      <c r="B1026" s="43" t="n"/>
      <c r="C1026" s="43" t="n"/>
      <c r="D1026" s="43" t="n"/>
      <c r="E1026" s="43" t="n"/>
      <c r="F1026" s="43" t="n"/>
      <c r="G1026" s="43" t="n"/>
      <c r="H1026" s="43" t="n"/>
      <c r="I1026" s="43" t="n"/>
      <c r="J1026" s="43" t="n"/>
      <c r="K1026" s="43" t="n"/>
      <c r="L1026" s="43" t="n"/>
      <c r="M1026" s="43" t="n"/>
    </row>
    <row r="1027">
      <c r="A1027" s="43" t="n"/>
      <c r="B1027" s="43" t="n"/>
      <c r="C1027" s="43" t="n"/>
      <c r="D1027" s="43" t="n"/>
      <c r="E1027" s="43" t="n"/>
      <c r="F1027" s="43" t="n"/>
      <c r="G1027" s="43" t="n"/>
      <c r="H1027" s="43" t="n"/>
      <c r="I1027" s="43" t="n"/>
      <c r="J1027" s="43" t="n"/>
      <c r="K1027" s="43" t="n"/>
      <c r="L1027" s="43" t="n"/>
      <c r="M1027" s="43" t="n"/>
    </row>
    <row r="1028">
      <c r="A1028" s="43" t="n"/>
      <c r="B1028" s="43" t="n"/>
      <c r="C1028" s="43" t="n"/>
      <c r="D1028" s="43" t="n"/>
      <c r="E1028" s="43" t="n"/>
      <c r="F1028" s="43" t="n"/>
      <c r="G1028" s="43" t="n"/>
      <c r="H1028" s="43" t="n"/>
      <c r="I1028" s="43" t="n"/>
      <c r="J1028" s="43" t="n"/>
      <c r="K1028" s="43" t="n"/>
      <c r="L1028" s="43" t="n"/>
      <c r="M1028" s="43" t="n"/>
    </row>
    <row r="1029">
      <c r="A1029" s="43" t="n"/>
      <c r="B1029" s="43" t="n"/>
      <c r="C1029" s="43" t="n"/>
      <c r="D1029" s="43" t="n"/>
      <c r="E1029" s="43" t="n"/>
      <c r="F1029" s="43" t="n"/>
      <c r="G1029" s="43" t="n"/>
      <c r="H1029" s="43" t="n"/>
      <c r="I1029" s="43" t="n"/>
      <c r="J1029" s="43" t="n"/>
      <c r="K1029" s="43" t="n"/>
      <c r="L1029" s="43" t="n"/>
      <c r="M1029" s="43" t="n"/>
    </row>
    <row r="1030">
      <c r="A1030" s="43" t="n"/>
      <c r="B1030" s="43" t="n"/>
      <c r="C1030" s="43" t="n"/>
      <c r="D1030" s="43" t="n"/>
      <c r="E1030" s="43" t="n"/>
      <c r="F1030" s="43" t="n"/>
      <c r="G1030" s="43" t="n"/>
      <c r="H1030" s="43" t="n"/>
      <c r="I1030" s="43" t="n"/>
      <c r="J1030" s="43" t="n"/>
      <c r="K1030" s="43" t="n"/>
      <c r="L1030" s="43" t="n"/>
      <c r="M1030" s="43" t="n"/>
    </row>
    <row r="1031">
      <c r="A1031" s="43" t="n"/>
      <c r="B1031" s="43" t="n"/>
      <c r="C1031" s="43" t="n"/>
      <c r="D1031" s="43" t="n"/>
      <c r="E1031" s="43" t="n"/>
      <c r="F1031" s="43" t="n"/>
      <c r="G1031" s="43" t="n"/>
      <c r="H1031" s="43" t="n"/>
      <c r="I1031" s="43" t="n"/>
      <c r="J1031" s="43" t="n"/>
      <c r="K1031" s="43" t="n"/>
      <c r="L1031" s="43" t="n"/>
      <c r="M1031" s="43" t="n"/>
    </row>
    <row r="1032">
      <c r="A1032" s="43" t="n"/>
      <c r="B1032" s="43" t="n"/>
      <c r="C1032" s="43" t="n"/>
      <c r="D1032" s="43" t="n"/>
      <c r="E1032" s="43" t="n"/>
      <c r="F1032" s="43" t="n"/>
      <c r="G1032" s="43" t="n"/>
      <c r="H1032" s="43" t="n"/>
      <c r="I1032" s="43" t="n"/>
      <c r="J1032" s="43" t="n"/>
      <c r="K1032" s="43" t="n"/>
      <c r="L1032" s="43" t="n"/>
      <c r="M1032" s="43" t="n"/>
    </row>
    <row r="1033">
      <c r="A1033" s="43" t="n"/>
      <c r="B1033" s="43" t="n"/>
      <c r="C1033" s="43" t="n"/>
      <c r="D1033" s="43" t="n"/>
      <c r="E1033" s="43" t="n"/>
      <c r="F1033" s="43" t="n"/>
      <c r="G1033" s="43" t="n"/>
      <c r="H1033" s="43" t="n"/>
      <c r="I1033" s="43" t="n"/>
      <c r="J1033" s="43" t="n"/>
      <c r="K1033" s="43" t="n"/>
      <c r="L1033" s="43" t="n"/>
      <c r="M1033" s="43" t="n"/>
    </row>
    <row r="1034">
      <c r="A1034" s="43" t="n"/>
      <c r="B1034" s="43" t="n"/>
      <c r="C1034" s="43" t="n"/>
      <c r="D1034" s="43" t="n"/>
      <c r="E1034" s="43" t="n"/>
      <c r="F1034" s="43" t="n"/>
      <c r="G1034" s="43" t="n"/>
      <c r="H1034" s="43" t="n"/>
      <c r="I1034" s="43" t="n"/>
      <c r="J1034" s="43" t="n"/>
      <c r="K1034" s="43" t="n"/>
      <c r="L1034" s="43" t="n"/>
      <c r="M1034" s="43" t="n"/>
    </row>
    <row r="1035">
      <c r="A1035" s="43" t="n"/>
      <c r="B1035" s="43" t="n"/>
      <c r="C1035" s="43" t="n"/>
      <c r="D1035" s="43" t="n"/>
      <c r="E1035" s="43" t="n"/>
      <c r="F1035" s="43" t="n"/>
      <c r="G1035" s="43" t="n"/>
      <c r="H1035" s="43" t="n"/>
      <c r="I1035" s="43" t="n"/>
      <c r="J1035" s="43" t="n"/>
      <c r="K1035" s="43" t="n"/>
      <c r="L1035" s="43" t="n"/>
      <c r="M1035" s="43" t="n"/>
    </row>
    <row r="1036">
      <c r="A1036" s="43" t="n"/>
      <c r="B1036" s="43" t="n"/>
      <c r="C1036" s="43" t="n"/>
      <c r="D1036" s="43" t="n"/>
      <c r="E1036" s="43" t="n"/>
      <c r="F1036" s="43" t="n"/>
      <c r="G1036" s="43" t="n"/>
      <c r="H1036" s="43" t="n"/>
      <c r="I1036" s="43" t="n"/>
      <c r="J1036" s="43" t="n"/>
      <c r="K1036" s="43" t="n"/>
      <c r="L1036" s="43" t="n"/>
      <c r="M1036" s="43" t="n"/>
    </row>
    <row r="1037">
      <c r="A1037" s="43" t="n"/>
      <c r="B1037" s="43" t="n"/>
      <c r="C1037" s="43" t="n"/>
      <c r="D1037" s="43" t="n"/>
      <c r="E1037" s="43" t="n"/>
      <c r="F1037" s="43" t="n"/>
      <c r="G1037" s="43" t="n"/>
      <c r="H1037" s="43" t="n"/>
      <c r="I1037" s="43" t="n"/>
      <c r="J1037" s="43" t="n"/>
      <c r="K1037" s="43" t="n"/>
      <c r="L1037" s="43" t="n"/>
      <c r="M1037" s="43" t="n"/>
    </row>
    <row r="1038">
      <c r="A1038" s="43" t="n"/>
      <c r="B1038" s="43" t="n"/>
      <c r="C1038" s="43" t="n"/>
      <c r="D1038" s="43" t="n"/>
      <c r="E1038" s="43" t="n"/>
      <c r="F1038" s="43" t="n"/>
      <c r="G1038" s="43" t="n"/>
      <c r="H1038" s="43" t="n"/>
      <c r="I1038" s="43" t="n"/>
      <c r="J1038" s="43" t="n"/>
      <c r="K1038" s="43" t="n"/>
      <c r="L1038" s="43" t="n"/>
      <c r="M1038" s="43" t="n"/>
    </row>
    <row r="1039">
      <c r="A1039" s="43" t="n"/>
      <c r="B1039" s="43" t="n"/>
      <c r="C1039" s="43" t="n"/>
      <c r="D1039" s="43" t="n"/>
      <c r="E1039" s="43" t="n"/>
      <c r="F1039" s="43" t="n"/>
      <c r="G1039" s="43" t="n"/>
      <c r="H1039" s="43" t="n"/>
      <c r="I1039" s="43" t="n"/>
      <c r="J1039" s="43" t="n"/>
      <c r="K1039" s="43" t="n"/>
      <c r="L1039" s="43" t="n"/>
      <c r="M1039" s="43" t="n"/>
    </row>
    <row r="1040">
      <c r="A1040" s="43" t="n"/>
      <c r="B1040" s="43" t="n"/>
      <c r="C1040" s="43" t="n"/>
      <c r="D1040" s="43" t="n"/>
      <c r="E1040" s="43" t="n"/>
      <c r="F1040" s="43" t="n"/>
      <c r="G1040" s="43" t="n"/>
      <c r="H1040" s="43" t="n"/>
      <c r="I1040" s="43" t="n"/>
      <c r="J1040" s="43" t="n"/>
      <c r="K1040" s="43" t="n"/>
      <c r="L1040" s="43" t="n"/>
      <c r="M1040" s="43" t="n"/>
    </row>
    <row r="1041">
      <c r="A1041" s="43" t="n"/>
      <c r="B1041" s="43" t="n"/>
      <c r="C1041" s="43" t="n"/>
      <c r="D1041" s="43" t="n"/>
      <c r="E1041" s="43" t="n"/>
      <c r="F1041" s="43" t="n"/>
      <c r="G1041" s="43" t="n"/>
      <c r="H1041" s="43" t="n"/>
      <c r="I1041" s="43" t="n"/>
      <c r="J1041" s="43" t="n"/>
      <c r="K1041" s="43" t="n"/>
      <c r="L1041" s="43" t="n"/>
      <c r="M1041" s="43" t="n"/>
    </row>
    <row r="1042">
      <c r="A1042" s="43" t="n"/>
      <c r="B1042" s="43" t="n"/>
      <c r="C1042" s="43" t="n"/>
      <c r="D1042" s="43" t="n"/>
      <c r="E1042" s="43" t="n"/>
      <c r="F1042" s="43" t="n"/>
      <c r="G1042" s="43" t="n"/>
      <c r="H1042" s="43" t="n"/>
      <c r="I1042" s="43" t="n"/>
      <c r="J1042" s="43" t="n"/>
      <c r="K1042" s="43" t="n"/>
      <c r="L1042" s="43" t="n"/>
      <c r="M1042" s="43" t="n"/>
    </row>
    <row r="1043">
      <c r="A1043" s="43" t="n"/>
      <c r="B1043" s="43" t="n"/>
      <c r="C1043" s="43" t="n"/>
      <c r="D1043" s="43" t="n"/>
      <c r="E1043" s="43" t="n"/>
      <c r="F1043" s="43" t="n"/>
      <c r="G1043" s="43" t="n"/>
      <c r="H1043" s="43" t="n"/>
      <c r="I1043" s="43" t="n"/>
      <c r="J1043" s="43" t="n"/>
      <c r="K1043" s="43" t="n"/>
      <c r="L1043" s="43" t="n"/>
      <c r="M1043" s="43" t="n"/>
    </row>
    <row r="1044">
      <c r="A1044" s="43" t="n"/>
      <c r="B1044" s="43" t="n"/>
      <c r="C1044" s="43" t="n"/>
      <c r="D1044" s="43" t="n"/>
      <c r="E1044" s="43" t="n"/>
      <c r="F1044" s="43" t="n"/>
      <c r="G1044" s="43" t="n"/>
      <c r="H1044" s="43" t="n"/>
      <c r="I1044" s="43" t="n"/>
      <c r="J1044" s="43" t="n"/>
      <c r="K1044" s="43" t="n"/>
      <c r="L1044" s="43" t="n"/>
      <c r="M1044" s="43" t="n"/>
    </row>
    <row r="1045">
      <c r="A1045" s="43" t="n"/>
      <c r="B1045" s="43" t="n"/>
      <c r="C1045" s="43" t="n"/>
      <c r="D1045" s="43" t="n"/>
      <c r="E1045" s="43" t="n"/>
      <c r="F1045" s="43" t="n"/>
      <c r="G1045" s="43" t="n"/>
      <c r="H1045" s="43" t="n"/>
      <c r="I1045" s="43" t="n"/>
      <c r="J1045" s="43" t="n"/>
      <c r="K1045" s="43" t="n"/>
      <c r="L1045" s="43" t="n"/>
      <c r="M1045" s="43" t="n"/>
    </row>
    <row r="1046">
      <c r="A1046" s="43" t="n"/>
      <c r="B1046" s="43" t="n"/>
      <c r="C1046" s="43" t="n"/>
      <c r="D1046" s="43" t="n"/>
      <c r="E1046" s="43" t="n"/>
      <c r="F1046" s="43" t="n"/>
      <c r="G1046" s="43" t="n"/>
      <c r="H1046" s="43" t="n"/>
      <c r="I1046" s="43" t="n"/>
      <c r="J1046" s="43" t="n"/>
      <c r="K1046" s="43" t="n"/>
      <c r="L1046" s="43" t="n"/>
      <c r="M1046" s="43" t="n"/>
    </row>
    <row r="1047">
      <c r="A1047" s="43" t="n"/>
      <c r="B1047" s="43" t="n"/>
      <c r="C1047" s="43" t="n"/>
      <c r="D1047" s="43" t="n"/>
      <c r="E1047" s="43" t="n"/>
      <c r="F1047" s="43" t="n"/>
      <c r="G1047" s="43" t="n"/>
      <c r="H1047" s="43" t="n"/>
      <c r="I1047" s="43" t="n"/>
      <c r="J1047" s="43" t="n"/>
      <c r="K1047" s="43" t="n"/>
      <c r="L1047" s="43" t="n"/>
      <c r="M1047" s="43" t="n"/>
    </row>
    <row r="1048">
      <c r="A1048" s="43" t="n"/>
      <c r="B1048" s="43" t="n"/>
      <c r="C1048" s="43" t="n"/>
      <c r="D1048" s="43" t="n"/>
      <c r="E1048" s="43" t="n"/>
      <c r="F1048" s="43" t="n"/>
      <c r="G1048" s="43" t="n"/>
      <c r="H1048" s="43" t="n"/>
      <c r="I1048" s="43" t="n"/>
      <c r="J1048" s="43" t="n"/>
      <c r="K1048" s="43" t="n"/>
      <c r="L1048" s="43" t="n"/>
      <c r="M1048" s="43" t="n"/>
    </row>
    <row r="1049">
      <c r="A1049" s="43" t="n"/>
      <c r="B1049" s="43" t="n"/>
      <c r="C1049" s="43" t="n"/>
      <c r="D1049" s="43" t="n"/>
      <c r="E1049" s="43" t="n"/>
      <c r="F1049" s="43" t="n"/>
      <c r="G1049" s="43" t="n"/>
      <c r="H1049" s="43" t="n"/>
      <c r="I1049" s="43" t="n"/>
      <c r="J1049" s="43" t="n"/>
      <c r="K1049" s="43" t="n"/>
      <c r="L1049" s="43" t="n"/>
      <c r="M1049" s="43" t="n"/>
    </row>
    <row r="1050">
      <c r="A1050" s="43" t="n"/>
      <c r="B1050" s="43" t="n"/>
      <c r="C1050" s="43" t="n"/>
      <c r="D1050" s="43" t="n"/>
      <c r="E1050" s="43" t="n"/>
      <c r="F1050" s="43" t="n"/>
      <c r="G1050" s="43" t="n"/>
      <c r="H1050" s="43" t="n"/>
      <c r="I1050" s="43" t="n"/>
      <c r="J1050" s="43" t="n"/>
      <c r="K1050" s="43" t="n"/>
      <c r="L1050" s="43" t="n"/>
      <c r="M1050" s="43" t="n"/>
    </row>
    <row r="1051">
      <c r="A1051" s="43" t="n"/>
      <c r="B1051" s="43" t="n"/>
      <c r="C1051" s="43" t="n"/>
      <c r="D1051" s="43" t="n"/>
      <c r="E1051" s="43" t="n"/>
      <c r="F1051" s="43" t="n"/>
      <c r="G1051" s="43" t="n"/>
      <c r="H1051" s="43" t="n"/>
      <c r="I1051" s="43" t="n"/>
      <c r="J1051" s="43" t="n"/>
      <c r="K1051" s="43" t="n"/>
      <c r="L1051" s="43" t="n"/>
      <c r="M1051" s="43" t="n"/>
    </row>
    <row r="1052">
      <c r="A1052" s="43" t="n"/>
      <c r="B1052" s="43" t="n"/>
      <c r="C1052" s="43" t="n"/>
      <c r="D1052" s="43" t="n"/>
      <c r="E1052" s="43" t="n"/>
      <c r="F1052" s="43" t="n"/>
      <c r="G1052" s="43" t="n"/>
      <c r="H1052" s="43" t="n"/>
      <c r="I1052" s="43" t="n"/>
      <c r="J1052" s="43" t="n"/>
      <c r="K1052" s="43" t="n"/>
      <c r="L1052" s="43" t="n"/>
      <c r="M1052" s="43" t="n"/>
    </row>
    <row r="1053">
      <c r="A1053" s="43" t="n"/>
      <c r="B1053" s="43" t="n"/>
      <c r="C1053" s="43" t="n"/>
      <c r="D1053" s="43" t="n"/>
      <c r="E1053" s="43" t="n"/>
      <c r="F1053" s="43" t="n"/>
      <c r="G1053" s="43" t="n"/>
      <c r="H1053" s="43" t="n"/>
      <c r="I1053" s="43" t="n"/>
      <c r="J1053" s="43" t="n"/>
      <c r="K1053" s="43" t="n"/>
      <c r="L1053" s="43" t="n"/>
      <c r="M1053" s="43" t="n"/>
    </row>
    <row r="1054">
      <c r="A1054" s="43" t="n"/>
      <c r="B1054" s="43" t="n"/>
      <c r="C1054" s="43" t="n"/>
      <c r="D1054" s="43" t="n"/>
      <c r="E1054" s="43" t="n"/>
      <c r="F1054" s="43" t="n"/>
      <c r="G1054" s="43" t="n"/>
      <c r="H1054" s="43" t="n"/>
      <c r="I1054" s="43" t="n"/>
      <c r="J1054" s="43" t="n"/>
      <c r="K1054" s="43" t="n"/>
      <c r="L1054" s="43" t="n"/>
      <c r="M1054" s="43" t="n"/>
    </row>
    <row r="1055">
      <c r="A1055" s="43" t="n"/>
      <c r="B1055" s="43" t="n"/>
      <c r="C1055" s="43" t="n"/>
      <c r="D1055" s="43" t="n"/>
      <c r="E1055" s="43" t="n"/>
      <c r="F1055" s="43" t="n"/>
      <c r="G1055" s="43" t="n"/>
      <c r="H1055" s="43" t="n"/>
      <c r="I1055" s="43" t="n"/>
      <c r="J1055" s="43" t="n"/>
      <c r="K1055" s="43" t="n"/>
      <c r="L1055" s="43" t="n"/>
      <c r="M1055" s="43" t="n"/>
    </row>
    <row r="1056">
      <c r="A1056" s="43" t="n"/>
      <c r="B1056" s="43" t="n"/>
      <c r="C1056" s="43" t="n"/>
      <c r="D1056" s="43" t="n"/>
      <c r="E1056" s="43" t="n"/>
      <c r="F1056" s="43" t="n"/>
      <c r="G1056" s="43" t="n"/>
      <c r="H1056" s="43" t="n"/>
      <c r="I1056" s="43" t="n"/>
      <c r="J1056" s="43" t="n"/>
      <c r="K1056" s="43" t="n"/>
      <c r="L1056" s="43" t="n"/>
      <c r="M1056" s="43" t="n"/>
    </row>
    <row r="1057">
      <c r="A1057" s="43" t="n"/>
      <c r="B1057" s="43" t="n"/>
      <c r="C1057" s="43" t="n"/>
      <c r="D1057" s="43" t="n"/>
      <c r="E1057" s="43" t="n"/>
      <c r="F1057" s="43" t="n"/>
      <c r="G1057" s="43" t="n"/>
      <c r="H1057" s="43" t="n"/>
      <c r="I1057" s="43" t="n"/>
      <c r="J1057" s="43" t="n"/>
      <c r="K1057" s="43" t="n"/>
      <c r="L1057" s="43" t="n"/>
      <c r="M1057" s="43" t="n"/>
    </row>
    <row r="1058">
      <c r="A1058" s="43" t="n"/>
      <c r="B1058" s="43" t="n"/>
      <c r="C1058" s="43" t="n"/>
      <c r="D1058" s="43" t="n"/>
      <c r="E1058" s="43" t="n"/>
      <c r="F1058" s="43" t="n"/>
      <c r="G1058" s="43" t="n"/>
      <c r="H1058" s="43" t="n"/>
      <c r="I1058" s="43" t="n"/>
      <c r="J1058" s="43" t="n"/>
      <c r="K1058" s="43" t="n"/>
      <c r="L1058" s="43" t="n"/>
      <c r="M1058" s="43" t="n"/>
    </row>
    <row r="1059">
      <c r="A1059" s="43" t="n"/>
      <c r="B1059" s="43" t="n"/>
      <c r="C1059" s="43" t="n"/>
      <c r="D1059" s="43" t="n"/>
      <c r="E1059" s="43" t="n"/>
      <c r="F1059" s="43" t="n"/>
      <c r="G1059" s="43" t="n"/>
      <c r="H1059" s="43" t="n"/>
      <c r="I1059" s="43" t="n"/>
      <c r="J1059" s="43" t="n"/>
      <c r="K1059" s="43" t="n"/>
      <c r="L1059" s="43" t="n"/>
      <c r="M1059" s="43" t="n"/>
    </row>
    <row r="1060">
      <c r="A1060" s="43" t="n"/>
      <c r="B1060" s="43" t="n"/>
      <c r="C1060" s="43" t="n"/>
      <c r="D1060" s="43" t="n"/>
      <c r="E1060" s="43" t="n"/>
      <c r="F1060" s="43" t="n"/>
      <c r="G1060" s="43" t="n"/>
      <c r="H1060" s="43" t="n"/>
      <c r="I1060" s="43" t="n"/>
      <c r="J1060" s="43" t="n"/>
      <c r="K1060" s="43" t="n"/>
      <c r="L1060" s="43" t="n"/>
      <c r="M1060" s="43" t="n"/>
    </row>
    <row r="1061">
      <c r="A1061" s="43" t="n"/>
      <c r="B1061" s="43" t="n"/>
      <c r="C1061" s="43" t="n"/>
      <c r="D1061" s="43" t="n"/>
      <c r="E1061" s="43" t="n"/>
      <c r="F1061" s="43" t="n"/>
      <c r="G1061" s="43" t="n"/>
      <c r="H1061" s="43" t="n"/>
      <c r="I1061" s="43" t="n"/>
      <c r="J1061" s="43" t="n"/>
      <c r="K1061" s="43" t="n"/>
      <c r="L1061" s="43" t="n"/>
      <c r="M1061" s="43" t="n"/>
    </row>
    <row r="1062">
      <c r="A1062" s="43" t="n"/>
      <c r="B1062" s="43" t="n"/>
      <c r="C1062" s="43" t="n"/>
      <c r="D1062" s="43" t="n"/>
      <c r="E1062" s="43" t="n"/>
      <c r="F1062" s="43" t="n"/>
      <c r="G1062" s="43" t="n"/>
      <c r="H1062" s="43" t="n"/>
      <c r="I1062" s="43" t="n"/>
      <c r="J1062" s="43" t="n"/>
      <c r="K1062" s="43" t="n"/>
      <c r="L1062" s="43" t="n"/>
      <c r="M1062" s="43" t="n"/>
    </row>
    <row r="1063">
      <c r="A1063" s="43" t="n"/>
      <c r="B1063" s="43" t="n"/>
      <c r="C1063" s="43" t="n"/>
      <c r="D1063" s="43" t="n"/>
      <c r="E1063" s="43" t="n"/>
      <c r="F1063" s="43" t="n"/>
      <c r="G1063" s="43" t="n"/>
      <c r="H1063" s="43" t="n"/>
      <c r="I1063" s="43" t="n"/>
      <c r="J1063" s="43" t="n"/>
      <c r="K1063" s="43" t="n"/>
      <c r="L1063" s="43" t="n"/>
      <c r="M1063" s="43" t="n"/>
    </row>
    <row r="1064">
      <c r="A1064" s="43" t="n"/>
      <c r="B1064" s="43" t="n"/>
      <c r="C1064" s="43" t="n"/>
      <c r="D1064" s="43" t="n"/>
      <c r="E1064" s="43" t="n"/>
      <c r="F1064" s="43" t="n"/>
      <c r="G1064" s="43" t="n"/>
      <c r="H1064" s="43" t="n"/>
      <c r="I1064" s="43" t="n"/>
      <c r="J1064" s="43" t="n"/>
      <c r="K1064" s="43" t="n"/>
      <c r="L1064" s="43" t="n"/>
      <c r="M1064" s="43" t="n"/>
    </row>
    <row r="1065">
      <c r="A1065" s="43" t="n"/>
      <c r="B1065" s="43" t="n"/>
      <c r="C1065" s="43" t="n"/>
      <c r="D1065" s="43" t="n"/>
      <c r="E1065" s="43" t="n"/>
      <c r="F1065" s="43" t="n"/>
      <c r="G1065" s="43" t="n"/>
      <c r="H1065" s="43" t="n"/>
      <c r="I1065" s="43" t="n"/>
      <c r="J1065" s="43" t="n"/>
      <c r="K1065" s="43" t="n"/>
      <c r="L1065" s="43" t="n"/>
      <c r="M1065" s="43" t="n"/>
    </row>
    <row r="1066">
      <c r="A1066" s="43" t="n"/>
      <c r="B1066" s="43" t="n"/>
      <c r="C1066" s="43" t="n"/>
      <c r="D1066" s="43" t="n"/>
      <c r="E1066" s="43" t="n"/>
      <c r="F1066" s="43" t="n"/>
      <c r="G1066" s="43" t="n"/>
      <c r="H1066" s="43" t="n"/>
      <c r="I1066" s="43" t="n"/>
      <c r="J1066" s="43" t="n"/>
      <c r="K1066" s="43" t="n"/>
      <c r="L1066" s="43" t="n"/>
      <c r="M1066" s="43" t="n"/>
    </row>
    <row r="1067">
      <c r="A1067" s="43" t="n"/>
      <c r="B1067" s="43" t="n"/>
      <c r="C1067" s="43" t="n"/>
      <c r="D1067" s="43" t="n"/>
      <c r="E1067" s="43" t="n"/>
      <c r="F1067" s="43" t="n"/>
      <c r="G1067" s="43" t="n"/>
      <c r="H1067" s="43" t="n"/>
      <c r="I1067" s="43" t="n"/>
      <c r="J1067" s="43" t="n"/>
      <c r="K1067" s="43" t="n"/>
      <c r="L1067" s="43" t="n"/>
      <c r="M1067" s="43" t="n"/>
    </row>
    <row r="1068">
      <c r="A1068" s="43" t="n"/>
      <c r="B1068" s="43" t="n"/>
      <c r="C1068" s="43" t="n"/>
      <c r="D1068" s="43" t="n"/>
      <c r="E1068" s="43" t="n"/>
      <c r="F1068" s="43" t="n"/>
      <c r="G1068" s="43" t="n"/>
      <c r="H1068" s="43" t="n"/>
      <c r="I1068" s="43" t="n"/>
      <c r="J1068" s="43" t="n"/>
      <c r="K1068" s="43" t="n"/>
      <c r="L1068" s="43" t="n"/>
      <c r="M1068" s="43" t="n"/>
    </row>
    <row r="1069">
      <c r="A1069" s="43" t="n"/>
      <c r="B1069" s="43" t="n"/>
      <c r="C1069" s="43" t="n"/>
      <c r="D1069" s="43" t="n"/>
      <c r="E1069" s="43" t="n"/>
      <c r="F1069" s="43" t="n"/>
      <c r="G1069" s="43" t="n"/>
      <c r="H1069" s="43" t="n"/>
      <c r="I1069" s="43" t="n"/>
      <c r="J1069" s="43" t="n"/>
      <c r="K1069" s="43" t="n"/>
      <c r="L1069" s="43" t="n"/>
      <c r="M1069" s="43" t="n"/>
    </row>
    <row r="1070">
      <c r="A1070" s="43" t="n"/>
      <c r="B1070" s="43" t="n"/>
      <c r="C1070" s="43" t="n"/>
      <c r="D1070" s="43" t="n"/>
      <c r="E1070" s="43" t="n"/>
      <c r="F1070" s="43" t="n"/>
      <c r="G1070" s="43" t="n"/>
      <c r="H1070" s="43" t="n"/>
      <c r="I1070" s="43" t="n"/>
      <c r="J1070" s="43" t="n"/>
      <c r="K1070" s="43" t="n"/>
      <c r="L1070" s="43" t="n"/>
      <c r="M1070" s="43" t="n"/>
    </row>
    <row r="1071">
      <c r="A1071" s="43" t="n"/>
      <c r="B1071" s="43" t="n"/>
      <c r="C1071" s="43" t="n"/>
      <c r="D1071" s="43" t="n"/>
      <c r="E1071" s="43" t="n"/>
      <c r="F1071" s="43" t="n"/>
      <c r="G1071" s="43" t="n"/>
      <c r="H1071" s="43" t="n"/>
      <c r="I1071" s="43" t="n"/>
      <c r="J1071" s="43" t="n"/>
      <c r="K1071" s="43" t="n"/>
      <c r="L1071" s="43" t="n"/>
      <c r="M1071" s="43" t="n"/>
    </row>
    <row r="1072">
      <c r="A1072" s="43" t="n"/>
      <c r="B1072" s="43" t="n"/>
      <c r="C1072" s="43" t="n"/>
      <c r="D1072" s="43" t="n"/>
      <c r="E1072" s="43" t="n"/>
      <c r="F1072" s="43" t="n"/>
      <c r="G1072" s="43" t="n"/>
      <c r="H1072" s="43" t="n"/>
      <c r="I1072" s="43" t="n"/>
      <c r="J1072" s="43" t="n"/>
      <c r="K1072" s="43" t="n"/>
      <c r="L1072" s="43" t="n"/>
      <c r="M1072" s="43" t="n"/>
    </row>
    <row r="1073">
      <c r="A1073" s="43" t="n"/>
      <c r="B1073" s="43" t="n"/>
      <c r="C1073" s="43" t="n"/>
      <c r="D1073" s="43" t="n"/>
      <c r="E1073" s="43" t="n"/>
      <c r="F1073" s="43" t="n"/>
      <c r="G1073" s="43" t="n"/>
      <c r="H1073" s="43" t="n"/>
      <c r="I1073" s="43" t="n"/>
      <c r="J1073" s="43" t="n"/>
      <c r="K1073" s="43" t="n"/>
      <c r="L1073" s="43" t="n"/>
      <c r="M1073" s="43" t="n"/>
    </row>
    <row r="1074">
      <c r="A1074" s="43" t="n"/>
      <c r="B1074" s="43" t="n"/>
      <c r="C1074" s="43" t="n"/>
      <c r="D1074" s="43" t="n"/>
      <c r="E1074" s="43" t="n"/>
      <c r="F1074" s="43" t="n"/>
      <c r="G1074" s="43" t="n"/>
      <c r="H1074" s="43" t="n"/>
      <c r="I1074" s="43" t="n"/>
      <c r="J1074" s="43" t="n"/>
      <c r="K1074" s="43" t="n"/>
      <c r="L1074" s="43" t="n"/>
      <c r="M1074" s="43" t="n"/>
    </row>
    <row r="1075">
      <c r="A1075" s="43" t="n"/>
      <c r="B1075" s="43" t="n"/>
      <c r="C1075" s="43" t="n"/>
      <c r="D1075" s="43" t="n"/>
      <c r="E1075" s="43" t="n"/>
      <c r="F1075" s="43" t="n"/>
      <c r="G1075" s="43" t="n"/>
      <c r="H1075" s="43" t="n"/>
      <c r="I1075" s="43" t="n"/>
      <c r="J1075" s="43" t="n"/>
      <c r="K1075" s="43" t="n"/>
      <c r="L1075" s="43" t="n"/>
      <c r="M1075" s="43" t="n"/>
    </row>
    <row r="1076">
      <c r="A1076" s="43" t="n"/>
      <c r="B1076" s="43" t="n"/>
      <c r="C1076" s="43" t="n"/>
      <c r="D1076" s="43" t="n"/>
      <c r="E1076" s="43" t="n"/>
      <c r="F1076" s="43" t="n"/>
      <c r="G1076" s="43" t="n"/>
      <c r="H1076" s="43" t="n"/>
      <c r="I1076" s="43" t="n"/>
      <c r="J1076" s="43" t="n"/>
      <c r="K1076" s="43" t="n"/>
      <c r="L1076" s="43" t="n"/>
      <c r="M1076" s="43" t="n"/>
    </row>
    <row r="1077">
      <c r="A1077" s="43" t="n"/>
      <c r="B1077" s="43" t="n"/>
      <c r="C1077" s="43" t="n"/>
      <c r="D1077" s="43" t="n"/>
      <c r="E1077" s="43" t="n"/>
      <c r="F1077" s="43" t="n"/>
      <c r="G1077" s="43" t="n"/>
      <c r="H1077" s="43" t="n"/>
      <c r="I1077" s="43" t="n"/>
      <c r="J1077" s="43" t="n"/>
      <c r="K1077" s="43" t="n"/>
      <c r="L1077" s="43" t="n"/>
      <c r="M1077" s="43" t="n"/>
    </row>
    <row r="1078">
      <c r="A1078" s="43" t="n"/>
      <c r="B1078" s="43" t="n"/>
      <c r="C1078" s="43" t="n"/>
      <c r="D1078" s="43" t="n"/>
      <c r="E1078" s="43" t="n"/>
      <c r="F1078" s="43" t="n"/>
      <c r="G1078" s="43" t="n"/>
      <c r="H1078" s="43" t="n"/>
      <c r="I1078" s="43" t="n"/>
      <c r="J1078" s="43" t="n"/>
      <c r="K1078" s="43" t="n"/>
      <c r="L1078" s="43" t="n"/>
      <c r="M1078" s="43" t="n"/>
    </row>
    <row r="1079">
      <c r="A1079" s="43" t="n"/>
      <c r="B1079" s="43" t="n"/>
      <c r="C1079" s="43" t="n"/>
      <c r="D1079" s="43" t="n"/>
      <c r="E1079" s="43" t="n"/>
      <c r="F1079" s="43" t="n"/>
      <c r="G1079" s="43" t="n"/>
      <c r="H1079" s="43" t="n"/>
      <c r="I1079" s="43" t="n"/>
      <c r="J1079" s="43" t="n"/>
      <c r="K1079" s="43" t="n"/>
      <c r="L1079" s="43" t="n"/>
      <c r="M1079" s="43" t="n"/>
    </row>
    <row r="1080">
      <c r="A1080" s="43" t="n"/>
      <c r="B1080" s="43" t="n"/>
      <c r="C1080" s="43" t="n"/>
      <c r="D1080" s="43" t="n"/>
      <c r="E1080" s="43" t="n"/>
      <c r="F1080" s="43" t="n"/>
      <c r="G1080" s="43" t="n"/>
      <c r="H1080" s="43" t="n"/>
      <c r="I1080" s="43" t="n"/>
      <c r="J1080" s="43" t="n"/>
      <c r="K1080" s="43" t="n"/>
      <c r="L1080" s="43" t="n"/>
      <c r="M1080" s="43" t="n"/>
    </row>
    <row r="1081">
      <c r="A1081" s="43" t="n"/>
      <c r="B1081" s="43" t="n"/>
      <c r="C1081" s="43" t="n"/>
      <c r="D1081" s="43" t="n"/>
      <c r="E1081" s="43" t="n"/>
      <c r="F1081" s="43" t="n"/>
      <c r="G1081" s="43" t="n"/>
      <c r="H1081" s="43" t="n"/>
      <c r="I1081" s="43" t="n"/>
      <c r="J1081" s="43" t="n"/>
      <c r="K1081" s="43" t="n"/>
      <c r="L1081" s="43" t="n"/>
      <c r="M1081" s="43" t="n"/>
    </row>
    <row r="1082">
      <c r="A1082" s="43" t="n"/>
      <c r="B1082" s="43" t="n"/>
      <c r="C1082" s="43" t="n"/>
      <c r="D1082" s="43" t="n"/>
      <c r="E1082" s="43" t="n"/>
      <c r="F1082" s="43" t="n"/>
      <c r="G1082" s="43" t="n"/>
      <c r="H1082" s="43" t="n"/>
      <c r="I1082" s="43" t="n"/>
      <c r="J1082" s="43" t="n"/>
      <c r="K1082" s="43" t="n"/>
      <c r="L1082" s="43" t="n"/>
      <c r="M1082" s="43" t="n"/>
    </row>
    <row r="1083">
      <c r="A1083" s="43" t="n"/>
      <c r="B1083" s="43" t="n"/>
      <c r="C1083" s="43" t="n"/>
      <c r="D1083" s="43" t="n"/>
      <c r="E1083" s="43" t="n"/>
      <c r="F1083" s="43" t="n"/>
      <c r="G1083" s="43" t="n"/>
      <c r="H1083" s="43" t="n"/>
      <c r="I1083" s="43" t="n"/>
      <c r="J1083" s="43" t="n"/>
      <c r="K1083" s="43" t="n"/>
      <c r="L1083" s="43" t="n"/>
      <c r="M1083" s="43" t="n"/>
    </row>
    <row r="1084">
      <c r="A1084" s="43" t="n"/>
      <c r="B1084" s="43" t="n"/>
      <c r="C1084" s="43" t="n"/>
      <c r="D1084" s="43" t="n"/>
      <c r="E1084" s="43" t="n"/>
      <c r="F1084" s="43" t="n"/>
      <c r="G1084" s="43" t="n"/>
      <c r="H1084" s="43" t="n"/>
      <c r="I1084" s="43" t="n"/>
      <c r="J1084" s="43" t="n"/>
      <c r="K1084" s="43" t="n"/>
      <c r="L1084" s="43" t="n"/>
      <c r="M1084" s="43" t="n"/>
    </row>
    <row r="1085">
      <c r="A1085" s="43" t="n"/>
      <c r="B1085" s="43" t="n"/>
      <c r="C1085" s="43" t="n"/>
      <c r="D1085" s="43" t="n"/>
      <c r="E1085" s="43" t="n"/>
      <c r="F1085" s="43" t="n"/>
      <c r="G1085" s="43" t="n"/>
      <c r="H1085" s="43" t="n"/>
      <c r="I1085" s="43" t="n"/>
      <c r="J1085" s="43" t="n"/>
      <c r="K1085" s="43" t="n"/>
      <c r="L1085" s="43" t="n"/>
      <c r="M1085" s="43" t="n"/>
    </row>
    <row r="1086">
      <c r="A1086" s="43" t="n"/>
      <c r="B1086" s="43" t="n"/>
      <c r="C1086" s="43" t="n"/>
      <c r="D1086" s="43" t="n"/>
      <c r="E1086" s="43" t="n"/>
      <c r="F1086" s="43" t="n"/>
      <c r="G1086" s="43" t="n"/>
      <c r="H1086" s="43" t="n"/>
      <c r="I1086" s="43" t="n"/>
      <c r="J1086" s="43" t="n"/>
      <c r="K1086" s="43" t="n"/>
      <c r="L1086" s="43" t="n"/>
      <c r="M1086" s="43" t="n"/>
    </row>
    <row r="1087">
      <c r="A1087" s="43" t="n"/>
      <c r="B1087" s="43" t="n"/>
      <c r="C1087" s="43" t="n"/>
      <c r="D1087" s="43" t="n"/>
      <c r="E1087" s="43" t="n"/>
      <c r="F1087" s="43" t="n"/>
      <c r="G1087" s="43" t="n"/>
      <c r="H1087" s="43" t="n"/>
      <c r="I1087" s="43" t="n"/>
      <c r="J1087" s="43" t="n"/>
      <c r="K1087" s="43" t="n"/>
      <c r="L1087" s="43" t="n"/>
      <c r="M1087" s="43" t="n"/>
    </row>
    <row r="1088">
      <c r="A1088" s="43" t="n"/>
      <c r="B1088" s="43" t="n"/>
      <c r="C1088" s="43" t="n"/>
      <c r="D1088" s="43" t="n"/>
      <c r="E1088" s="43" t="n"/>
      <c r="F1088" s="43" t="n"/>
      <c r="G1088" s="43" t="n"/>
      <c r="H1088" s="43" t="n"/>
      <c r="I1088" s="43" t="n"/>
      <c r="J1088" s="43" t="n"/>
      <c r="K1088" s="43" t="n"/>
      <c r="L1088" s="43" t="n"/>
      <c r="M1088" s="43" t="n"/>
    </row>
    <row r="1089">
      <c r="A1089" s="43" t="n"/>
      <c r="B1089" s="43" t="n"/>
      <c r="C1089" s="43" t="n"/>
      <c r="D1089" s="43" t="n"/>
      <c r="E1089" s="43" t="n"/>
      <c r="F1089" s="43" t="n"/>
      <c r="G1089" s="43" t="n"/>
      <c r="H1089" s="43" t="n"/>
      <c r="I1089" s="43" t="n"/>
      <c r="J1089" s="43" t="n"/>
      <c r="K1089" s="43" t="n"/>
      <c r="L1089" s="43" t="n"/>
      <c r="M1089" s="43" t="n"/>
    </row>
    <row r="1090">
      <c r="A1090" s="43" t="n"/>
      <c r="B1090" s="43" t="n"/>
      <c r="C1090" s="43" t="n"/>
      <c r="D1090" s="43" t="n"/>
      <c r="E1090" s="43" t="n"/>
      <c r="F1090" s="43" t="n"/>
      <c r="G1090" s="43" t="n"/>
      <c r="H1090" s="43" t="n"/>
      <c r="I1090" s="43" t="n"/>
      <c r="J1090" s="43" t="n"/>
      <c r="K1090" s="43" t="n"/>
      <c r="L1090" s="43" t="n"/>
      <c r="M1090" s="43" t="n"/>
    </row>
    <row r="1091">
      <c r="A1091" s="43" t="n"/>
      <c r="B1091" s="43" t="n"/>
      <c r="C1091" s="43" t="n"/>
      <c r="D1091" s="43" t="n"/>
      <c r="E1091" s="43" t="n"/>
      <c r="F1091" s="43" t="n"/>
      <c r="G1091" s="43" t="n"/>
      <c r="H1091" s="43" t="n"/>
      <c r="I1091" s="43" t="n"/>
      <c r="J1091" s="43" t="n"/>
      <c r="K1091" s="43" t="n"/>
      <c r="L1091" s="43" t="n"/>
      <c r="M1091" s="43" t="n"/>
    </row>
    <row r="1092">
      <c r="A1092" s="43" t="n"/>
      <c r="B1092" s="43" t="n"/>
      <c r="C1092" s="43" t="n"/>
      <c r="D1092" s="43" t="n"/>
      <c r="E1092" s="43" t="n"/>
      <c r="F1092" s="43" t="n"/>
      <c r="G1092" s="43" t="n"/>
      <c r="H1092" s="43" t="n"/>
      <c r="I1092" s="43" t="n"/>
      <c r="J1092" s="43" t="n"/>
      <c r="K1092" s="43" t="n"/>
      <c r="L1092" s="43" t="n"/>
      <c r="M1092" s="43" t="n"/>
    </row>
    <row r="1093">
      <c r="A1093" s="43" t="n"/>
      <c r="B1093" s="43" t="n"/>
      <c r="C1093" s="43" t="n"/>
      <c r="D1093" s="43" t="n"/>
      <c r="E1093" s="43" t="n"/>
      <c r="F1093" s="43" t="n"/>
      <c r="G1093" s="43" t="n"/>
      <c r="H1093" s="43" t="n"/>
      <c r="I1093" s="43" t="n"/>
      <c r="J1093" s="43" t="n"/>
      <c r="K1093" s="43" t="n"/>
      <c r="L1093" s="43" t="n"/>
      <c r="M1093" s="43" t="n"/>
    </row>
    <row r="1094">
      <c r="A1094" s="43" t="n"/>
      <c r="B1094" s="43" t="n"/>
      <c r="C1094" s="43" t="n"/>
      <c r="D1094" s="43" t="n"/>
      <c r="E1094" s="43" t="n"/>
      <c r="F1094" s="43" t="n"/>
      <c r="G1094" s="43" t="n"/>
      <c r="H1094" s="43" t="n"/>
      <c r="I1094" s="43" t="n"/>
      <c r="J1094" s="43" t="n"/>
      <c r="K1094" s="43" t="n"/>
      <c r="L1094" s="43" t="n"/>
      <c r="M1094" s="43" t="n"/>
    </row>
    <row r="1095">
      <c r="A1095" s="43" t="n"/>
      <c r="B1095" s="43" t="n"/>
      <c r="C1095" s="43" t="n"/>
      <c r="D1095" s="43" t="n"/>
      <c r="E1095" s="43" t="n"/>
      <c r="F1095" s="43" t="n"/>
      <c r="G1095" s="43" t="n"/>
      <c r="H1095" s="43" t="n"/>
      <c r="I1095" s="43" t="n"/>
      <c r="J1095" s="43" t="n"/>
      <c r="K1095" s="43" t="n"/>
      <c r="L1095" s="43" t="n"/>
      <c r="M1095" s="43" t="n"/>
    </row>
    <row r="1096">
      <c r="A1096" s="43" t="n"/>
      <c r="B1096" s="43" t="n"/>
      <c r="C1096" s="43" t="n"/>
      <c r="D1096" s="43" t="n"/>
      <c r="E1096" s="43" t="n"/>
      <c r="F1096" s="43" t="n"/>
      <c r="G1096" s="43" t="n"/>
      <c r="H1096" s="43" t="n"/>
      <c r="I1096" s="43" t="n"/>
      <c r="J1096" s="43" t="n"/>
      <c r="K1096" s="43" t="n"/>
      <c r="L1096" s="43" t="n"/>
      <c r="M1096" s="43" t="n"/>
    </row>
    <row r="1097">
      <c r="A1097" s="43" t="n"/>
      <c r="B1097" s="43" t="n"/>
      <c r="C1097" s="43" t="n"/>
      <c r="D1097" s="43" t="n"/>
      <c r="E1097" s="43" t="n"/>
      <c r="F1097" s="43" t="n"/>
      <c r="G1097" s="43" t="n"/>
      <c r="H1097" s="43" t="n"/>
      <c r="I1097" s="43" t="n"/>
      <c r="J1097" s="43" t="n"/>
      <c r="K1097" s="43" t="n"/>
      <c r="L1097" s="43" t="n"/>
      <c r="M1097" s="43" t="n"/>
    </row>
    <row r="1098">
      <c r="A1098" s="43" t="n"/>
      <c r="B1098" s="43" t="n"/>
      <c r="C1098" s="43" t="n"/>
      <c r="D1098" s="43" t="n"/>
      <c r="E1098" s="43" t="n"/>
      <c r="F1098" s="43" t="n"/>
      <c r="G1098" s="43" t="n"/>
      <c r="H1098" s="43" t="n"/>
      <c r="I1098" s="43" t="n"/>
      <c r="J1098" s="43" t="n"/>
      <c r="K1098" s="43" t="n"/>
      <c r="L1098" s="43" t="n"/>
      <c r="M1098" s="43" t="n"/>
    </row>
    <row r="1099">
      <c r="A1099" s="43" t="n"/>
      <c r="B1099" s="43" t="n"/>
      <c r="C1099" s="43" t="n"/>
      <c r="D1099" s="43" t="n"/>
      <c r="E1099" s="43" t="n"/>
      <c r="F1099" s="43" t="n"/>
      <c r="G1099" s="43" t="n"/>
      <c r="H1099" s="43" t="n"/>
      <c r="I1099" s="43" t="n"/>
      <c r="J1099" s="43" t="n"/>
      <c r="K1099" s="43" t="n"/>
      <c r="L1099" s="43" t="n"/>
      <c r="M1099" s="43" t="n"/>
    </row>
    <row r="1100">
      <c r="A1100" s="43" t="n"/>
      <c r="B1100" s="43" t="n"/>
      <c r="C1100" s="43" t="n"/>
      <c r="D1100" s="43" t="n"/>
      <c r="E1100" s="43" t="n"/>
      <c r="F1100" s="43" t="n"/>
      <c r="G1100" s="43" t="n"/>
      <c r="H1100" s="43" t="n"/>
      <c r="I1100" s="43" t="n"/>
      <c r="J1100" s="43" t="n"/>
      <c r="K1100" s="43" t="n"/>
      <c r="L1100" s="43" t="n"/>
      <c r="M1100" s="43" t="n"/>
    </row>
    <row r="1101">
      <c r="A1101" s="43" t="n"/>
      <c r="B1101" s="43" t="n"/>
      <c r="C1101" s="43" t="n"/>
      <c r="D1101" s="43" t="n"/>
      <c r="E1101" s="43" t="n"/>
      <c r="F1101" s="43" t="n"/>
      <c r="G1101" s="43" t="n"/>
      <c r="H1101" s="43" t="n"/>
      <c r="I1101" s="43" t="n"/>
      <c r="J1101" s="43" t="n"/>
      <c r="K1101" s="43" t="n"/>
      <c r="L1101" s="43" t="n"/>
      <c r="M1101" s="43" t="n"/>
    </row>
    <row r="1102">
      <c r="A1102" s="43" t="n"/>
      <c r="B1102" s="43" t="n"/>
      <c r="C1102" s="43" t="n"/>
      <c r="D1102" s="43" t="n"/>
      <c r="E1102" s="43" t="n"/>
      <c r="F1102" s="43" t="n"/>
      <c r="G1102" s="43" t="n"/>
      <c r="H1102" s="43" t="n"/>
      <c r="I1102" s="43" t="n"/>
      <c r="J1102" s="43" t="n"/>
      <c r="K1102" s="43" t="n"/>
      <c r="L1102" s="43" t="n"/>
      <c r="M1102" s="43" t="n"/>
    </row>
    <row r="1103">
      <c r="A1103" s="43" t="n"/>
      <c r="B1103" s="43" t="n"/>
      <c r="C1103" s="43" t="n"/>
      <c r="D1103" s="43" t="n"/>
      <c r="E1103" s="43" t="n"/>
      <c r="F1103" s="43" t="n"/>
      <c r="G1103" s="43" t="n"/>
      <c r="H1103" s="43" t="n"/>
      <c r="I1103" s="43" t="n"/>
      <c r="J1103" s="43" t="n"/>
      <c r="K1103" s="43" t="n"/>
      <c r="L1103" s="43" t="n"/>
      <c r="M1103" s="43" t="n"/>
    </row>
    <row r="1104">
      <c r="A1104" s="43" t="n"/>
      <c r="B1104" s="43" t="n"/>
      <c r="C1104" s="43" t="n"/>
      <c r="D1104" s="43" t="n"/>
      <c r="E1104" s="43" t="n"/>
      <c r="F1104" s="43" t="n"/>
      <c r="G1104" s="43" t="n"/>
      <c r="H1104" s="43" t="n"/>
      <c r="I1104" s="43" t="n"/>
      <c r="J1104" s="43" t="n"/>
      <c r="K1104" s="43" t="n"/>
      <c r="L1104" s="43" t="n"/>
      <c r="M1104" s="43" t="n"/>
    </row>
    <row r="1105">
      <c r="A1105" s="43" t="n"/>
      <c r="B1105" s="43" t="n"/>
      <c r="C1105" s="43" t="n"/>
      <c r="D1105" s="43" t="n"/>
      <c r="E1105" s="43" t="n"/>
      <c r="F1105" s="43" t="n"/>
      <c r="G1105" s="43" t="n"/>
      <c r="H1105" s="43" t="n"/>
      <c r="I1105" s="43" t="n"/>
      <c r="J1105" s="43" t="n"/>
      <c r="K1105" s="43" t="n"/>
      <c r="L1105" s="43" t="n"/>
      <c r="M1105" s="43" t="n"/>
    </row>
    <row r="1106">
      <c r="A1106" s="43" t="n"/>
      <c r="B1106" s="43" t="n"/>
      <c r="C1106" s="43" t="n"/>
      <c r="D1106" s="43" t="n"/>
      <c r="E1106" s="43" t="n"/>
      <c r="F1106" s="43" t="n"/>
      <c r="G1106" s="43" t="n"/>
      <c r="H1106" s="43" t="n"/>
      <c r="I1106" s="43" t="n"/>
      <c r="J1106" s="43" t="n"/>
      <c r="K1106" s="43" t="n"/>
      <c r="L1106" s="43" t="n"/>
      <c r="M1106" s="43" t="n"/>
    </row>
    <row r="1107">
      <c r="A1107" s="43" t="n"/>
      <c r="B1107" s="43" t="n"/>
      <c r="C1107" s="43" t="n"/>
      <c r="D1107" s="43" t="n"/>
      <c r="E1107" s="43" t="n"/>
      <c r="F1107" s="43" t="n"/>
      <c r="G1107" s="43" t="n"/>
      <c r="H1107" s="43" t="n"/>
      <c r="I1107" s="43" t="n"/>
      <c r="J1107" s="43" t="n"/>
      <c r="K1107" s="43" t="n"/>
      <c r="L1107" s="43" t="n"/>
      <c r="M1107" s="43" t="n"/>
    </row>
    <row r="1108">
      <c r="A1108" s="43" t="n"/>
      <c r="B1108" s="43" t="n"/>
      <c r="C1108" s="43" t="n"/>
      <c r="D1108" s="43" t="n"/>
      <c r="E1108" s="43" t="n"/>
      <c r="F1108" s="43" t="n"/>
      <c r="G1108" s="43" t="n"/>
      <c r="H1108" s="43" t="n"/>
      <c r="I1108" s="43" t="n"/>
      <c r="J1108" s="43" t="n"/>
      <c r="K1108" s="43" t="n"/>
      <c r="L1108" s="43" t="n"/>
      <c r="M1108" s="43" t="n"/>
    </row>
    <row r="1109">
      <c r="A1109" s="43" t="n"/>
      <c r="B1109" s="43" t="n"/>
      <c r="C1109" s="43" t="n"/>
      <c r="D1109" s="43" t="n"/>
      <c r="E1109" s="43" t="n"/>
      <c r="F1109" s="43" t="n"/>
      <c r="G1109" s="43" t="n"/>
      <c r="H1109" s="43" t="n"/>
      <c r="I1109" s="43" t="n"/>
      <c r="J1109" s="43" t="n"/>
      <c r="K1109" s="43" t="n"/>
      <c r="L1109" s="43" t="n"/>
      <c r="M1109" s="43" t="n"/>
    </row>
    <row r="1110">
      <c r="A1110" s="43" t="n"/>
      <c r="B1110" s="43" t="n"/>
      <c r="C1110" s="43" t="n"/>
      <c r="D1110" s="43" t="n"/>
      <c r="E1110" s="43" t="n"/>
      <c r="F1110" s="43" t="n"/>
      <c r="G1110" s="43" t="n"/>
      <c r="H1110" s="43" t="n"/>
      <c r="I1110" s="43" t="n"/>
      <c r="J1110" s="43" t="n"/>
      <c r="K1110" s="43" t="n"/>
      <c r="L1110" s="43" t="n"/>
      <c r="M1110" s="43" t="n"/>
    </row>
    <row r="1111">
      <c r="A1111" s="43" t="n"/>
      <c r="B1111" s="43" t="n"/>
      <c r="C1111" s="43" t="n"/>
      <c r="D1111" s="43" t="n"/>
      <c r="E1111" s="43" t="n"/>
      <c r="F1111" s="43" t="n"/>
      <c r="G1111" s="43" t="n"/>
      <c r="H1111" s="43" t="n"/>
      <c r="I1111" s="43" t="n"/>
      <c r="J1111" s="43" t="n"/>
      <c r="K1111" s="43" t="n"/>
      <c r="L1111" s="43" t="n"/>
      <c r="M1111" s="43" t="n"/>
    </row>
    <row r="1112">
      <c r="A1112" s="43" t="n"/>
      <c r="B1112" s="43" t="n"/>
      <c r="C1112" s="43" t="n"/>
      <c r="D1112" s="43" t="n"/>
      <c r="E1112" s="43" t="n"/>
      <c r="F1112" s="43" t="n"/>
      <c r="G1112" s="43" t="n"/>
      <c r="H1112" s="43" t="n"/>
      <c r="I1112" s="43" t="n"/>
      <c r="J1112" s="43" t="n"/>
      <c r="K1112" s="43" t="n"/>
      <c r="L1112" s="43" t="n"/>
      <c r="M1112" s="43" t="n"/>
    </row>
    <row r="1113">
      <c r="A1113" s="43" t="n"/>
      <c r="B1113" s="43" t="n"/>
      <c r="C1113" s="43" t="n"/>
      <c r="D1113" s="43" t="n"/>
      <c r="E1113" s="43" t="n"/>
      <c r="F1113" s="43" t="n"/>
      <c r="G1113" s="43" t="n"/>
      <c r="H1113" s="43" t="n"/>
      <c r="I1113" s="43" t="n"/>
      <c r="J1113" s="43" t="n"/>
      <c r="K1113" s="43" t="n"/>
      <c r="L1113" s="43" t="n"/>
      <c r="M1113" s="43" t="n"/>
    </row>
    <row r="1114">
      <c r="A1114" s="43" t="n"/>
      <c r="B1114" s="43" t="n"/>
      <c r="C1114" s="43" t="n"/>
      <c r="D1114" s="43" t="n"/>
      <c r="E1114" s="43" t="n"/>
      <c r="F1114" s="43" t="n"/>
      <c r="G1114" s="43" t="n"/>
      <c r="H1114" s="43" t="n"/>
      <c r="I1114" s="43" t="n"/>
      <c r="J1114" s="43" t="n"/>
      <c r="K1114" s="43" t="n"/>
      <c r="L1114" s="43" t="n"/>
      <c r="M1114" s="43" t="n"/>
    </row>
    <row r="1115">
      <c r="A1115" s="43" t="n"/>
      <c r="B1115" s="43" t="n"/>
      <c r="C1115" s="43" t="n"/>
      <c r="D1115" s="43" t="n"/>
      <c r="E1115" s="43" t="n"/>
      <c r="F1115" s="43" t="n"/>
      <c r="G1115" s="43" t="n"/>
      <c r="H1115" s="43" t="n"/>
      <c r="I1115" s="43" t="n"/>
      <c r="J1115" s="43" t="n"/>
      <c r="K1115" s="43" t="n"/>
      <c r="L1115" s="43" t="n"/>
      <c r="M1115" s="43" t="n"/>
    </row>
    <row r="1116">
      <c r="A1116" s="43" t="n"/>
      <c r="B1116" s="43" t="n"/>
      <c r="C1116" s="43" t="n"/>
      <c r="D1116" s="43" t="n"/>
      <c r="E1116" s="43" t="n"/>
      <c r="F1116" s="43" t="n"/>
      <c r="G1116" s="43" t="n"/>
      <c r="H1116" s="43" t="n"/>
      <c r="I1116" s="43" t="n"/>
      <c r="J1116" s="43" t="n"/>
      <c r="K1116" s="43" t="n"/>
      <c r="L1116" s="43" t="n"/>
      <c r="M1116" s="43" t="n"/>
    </row>
    <row r="1117">
      <c r="A1117" s="43" t="n"/>
      <c r="B1117" s="43" t="n"/>
      <c r="C1117" s="43" t="n"/>
      <c r="D1117" s="43" t="n"/>
      <c r="E1117" s="43" t="n"/>
      <c r="F1117" s="43" t="n"/>
      <c r="G1117" s="43" t="n"/>
      <c r="H1117" s="43" t="n"/>
      <c r="I1117" s="43" t="n"/>
      <c r="J1117" s="43" t="n"/>
      <c r="K1117" s="43" t="n"/>
      <c r="L1117" s="43" t="n"/>
      <c r="M1117" s="43" t="n"/>
    </row>
    <row r="1118">
      <c r="A1118" s="43" t="n"/>
      <c r="B1118" s="43" t="n"/>
      <c r="C1118" s="43" t="n"/>
      <c r="D1118" s="43" t="n"/>
      <c r="E1118" s="43" t="n"/>
      <c r="F1118" s="43" t="n"/>
      <c r="G1118" s="43" t="n"/>
      <c r="H1118" s="43" t="n"/>
      <c r="I1118" s="43" t="n"/>
      <c r="J1118" s="43" t="n"/>
      <c r="K1118" s="43" t="n"/>
      <c r="L1118" s="43" t="n"/>
      <c r="M1118" s="43" t="n"/>
    </row>
    <row r="1119">
      <c r="A1119" s="43" t="n"/>
      <c r="B1119" s="43" t="n"/>
      <c r="C1119" s="43" t="n"/>
      <c r="D1119" s="43" t="n"/>
      <c r="E1119" s="43" t="n"/>
      <c r="F1119" s="43" t="n"/>
      <c r="G1119" s="43" t="n"/>
      <c r="H1119" s="43" t="n"/>
      <c r="I1119" s="43" t="n"/>
      <c r="J1119" s="43" t="n"/>
      <c r="K1119" s="43" t="n"/>
      <c r="L1119" s="43" t="n"/>
      <c r="M1119" s="43" t="n"/>
    </row>
    <row r="1120">
      <c r="A1120" s="43" t="n"/>
      <c r="B1120" s="43" t="n"/>
      <c r="C1120" s="43" t="n"/>
      <c r="D1120" s="43" t="n"/>
      <c r="E1120" s="43" t="n"/>
      <c r="F1120" s="43" t="n"/>
      <c r="G1120" s="43" t="n"/>
      <c r="H1120" s="43" t="n"/>
      <c r="I1120" s="43" t="n"/>
      <c r="J1120" s="43" t="n"/>
      <c r="K1120" s="43" t="n"/>
      <c r="L1120" s="43" t="n"/>
      <c r="M1120" s="43" t="n"/>
    </row>
    <row r="1121">
      <c r="A1121" s="43" t="n"/>
      <c r="B1121" s="43" t="n"/>
      <c r="C1121" s="43" t="n"/>
      <c r="D1121" s="43" t="n"/>
      <c r="E1121" s="43" t="n"/>
      <c r="F1121" s="43" t="n"/>
      <c r="G1121" s="43" t="n"/>
      <c r="H1121" s="43" t="n"/>
      <c r="I1121" s="43" t="n"/>
      <c r="J1121" s="43" t="n"/>
      <c r="K1121" s="43" t="n"/>
      <c r="L1121" s="43" t="n"/>
      <c r="M1121" s="43" t="n"/>
    </row>
    <row r="1122">
      <c r="A1122" s="43" t="n"/>
      <c r="B1122" s="43" t="n"/>
      <c r="C1122" s="43" t="n"/>
      <c r="D1122" s="43" t="n"/>
      <c r="E1122" s="43" t="n"/>
      <c r="F1122" s="43" t="n"/>
      <c r="G1122" s="43" t="n"/>
      <c r="H1122" s="43" t="n"/>
      <c r="I1122" s="43" t="n"/>
      <c r="J1122" s="43" t="n"/>
      <c r="K1122" s="43" t="n"/>
      <c r="L1122" s="43" t="n"/>
      <c r="M1122" s="43" t="n"/>
    </row>
    <row r="1123">
      <c r="A1123" s="43" t="n"/>
      <c r="B1123" s="43" t="n"/>
      <c r="C1123" s="43" t="n"/>
      <c r="D1123" s="43" t="n"/>
      <c r="E1123" s="43" t="n"/>
      <c r="F1123" s="43" t="n"/>
      <c r="G1123" s="43" t="n"/>
      <c r="H1123" s="43" t="n"/>
      <c r="I1123" s="43" t="n"/>
      <c r="J1123" s="43" t="n"/>
      <c r="K1123" s="43" t="n"/>
      <c r="L1123" s="43" t="n"/>
      <c r="M1123" s="43" t="n"/>
    </row>
    <row r="1124">
      <c r="A1124" s="43" t="n"/>
      <c r="B1124" s="43" t="n"/>
      <c r="C1124" s="43" t="n"/>
      <c r="D1124" s="43" t="n"/>
      <c r="E1124" s="43" t="n"/>
      <c r="F1124" s="43" t="n"/>
      <c r="G1124" s="43" t="n"/>
      <c r="H1124" s="43" t="n"/>
      <c r="I1124" s="43" t="n"/>
      <c r="J1124" s="43" t="n"/>
      <c r="K1124" s="43" t="n"/>
      <c r="L1124" s="43" t="n"/>
      <c r="M1124" s="43" t="n"/>
    </row>
    <row r="1125">
      <c r="A1125" s="43" t="n"/>
      <c r="B1125" s="43" t="n"/>
      <c r="C1125" s="43" t="n"/>
      <c r="D1125" s="43" t="n"/>
      <c r="E1125" s="43" t="n"/>
      <c r="F1125" s="43" t="n"/>
      <c r="G1125" s="43" t="n"/>
      <c r="H1125" s="43" t="n"/>
      <c r="I1125" s="43" t="n"/>
      <c r="J1125" s="43" t="n"/>
      <c r="K1125" s="43" t="n"/>
      <c r="L1125" s="43" t="n"/>
      <c r="M1125" s="43" t="n"/>
    </row>
    <row r="1126">
      <c r="A1126" s="43" t="n"/>
      <c r="B1126" s="43" t="n"/>
      <c r="C1126" s="43" t="n"/>
      <c r="D1126" s="43" t="n"/>
      <c r="E1126" s="43" t="n"/>
      <c r="F1126" s="43" t="n"/>
      <c r="G1126" s="43" t="n"/>
      <c r="H1126" s="43" t="n"/>
      <c r="I1126" s="43" t="n"/>
      <c r="J1126" s="43" t="n"/>
      <c r="K1126" s="43" t="n"/>
      <c r="L1126" s="43" t="n"/>
      <c r="M1126" s="43" t="n"/>
    </row>
    <row r="1127">
      <c r="A1127" s="43" t="n"/>
      <c r="B1127" s="43" t="n"/>
      <c r="C1127" s="43" t="n"/>
      <c r="D1127" s="43" t="n"/>
      <c r="E1127" s="43" t="n"/>
      <c r="F1127" s="43" t="n"/>
      <c r="G1127" s="43" t="n"/>
      <c r="H1127" s="43" t="n"/>
      <c r="I1127" s="43" t="n"/>
      <c r="J1127" s="43" t="n"/>
      <c r="K1127" s="43" t="n"/>
      <c r="L1127" s="43" t="n"/>
      <c r="M1127" s="43" t="n"/>
    </row>
    <row r="1128">
      <c r="A1128" s="43" t="n"/>
      <c r="B1128" s="43" t="n"/>
      <c r="C1128" s="43" t="n"/>
      <c r="D1128" s="43" t="n"/>
      <c r="E1128" s="43" t="n"/>
      <c r="F1128" s="43" t="n"/>
      <c r="G1128" s="43" t="n"/>
      <c r="H1128" s="43" t="n"/>
      <c r="I1128" s="43" t="n"/>
      <c r="J1128" s="43" t="n"/>
      <c r="K1128" s="43" t="n"/>
      <c r="L1128" s="43" t="n"/>
      <c r="M1128" s="43" t="n"/>
    </row>
    <row r="1129">
      <c r="A1129" s="43" t="n"/>
      <c r="B1129" s="43" t="n"/>
      <c r="C1129" s="43" t="n"/>
      <c r="D1129" s="43" t="n"/>
      <c r="E1129" s="43" t="n"/>
      <c r="F1129" s="43" t="n"/>
      <c r="G1129" s="43" t="n"/>
      <c r="H1129" s="43" t="n"/>
      <c r="I1129" s="43" t="n"/>
      <c r="J1129" s="43" t="n"/>
      <c r="K1129" s="43" t="n"/>
      <c r="L1129" s="43" t="n"/>
      <c r="M1129" s="43" t="n"/>
    </row>
    <row r="1130">
      <c r="A1130" s="43" t="n"/>
      <c r="B1130" s="43" t="n"/>
      <c r="C1130" s="43" t="n"/>
      <c r="D1130" s="43" t="n"/>
      <c r="E1130" s="43" t="n"/>
      <c r="F1130" s="43" t="n"/>
      <c r="G1130" s="43" t="n"/>
      <c r="H1130" s="43" t="n"/>
      <c r="I1130" s="43" t="n"/>
      <c r="J1130" s="43" t="n"/>
      <c r="K1130" s="43" t="n"/>
      <c r="L1130" s="43" t="n"/>
      <c r="M1130" s="43" t="n"/>
    </row>
    <row r="1131">
      <c r="A1131" s="43" t="n"/>
      <c r="B1131" s="43" t="n"/>
      <c r="C1131" s="43" t="n"/>
      <c r="D1131" s="43" t="n"/>
      <c r="E1131" s="43" t="n"/>
      <c r="F1131" s="43" t="n"/>
      <c r="G1131" s="43" t="n"/>
      <c r="H1131" s="43" t="n"/>
      <c r="I1131" s="43" t="n"/>
      <c r="J1131" s="43" t="n"/>
      <c r="K1131" s="43" t="n"/>
      <c r="L1131" s="43" t="n"/>
      <c r="M1131" s="43" t="n"/>
    </row>
    <row r="1132">
      <c r="A1132" s="43" t="n"/>
      <c r="B1132" s="43" t="n"/>
      <c r="C1132" s="43" t="n"/>
      <c r="D1132" s="43" t="n"/>
      <c r="E1132" s="43" t="n"/>
      <c r="F1132" s="43" t="n"/>
      <c r="G1132" s="43" t="n"/>
      <c r="H1132" s="43" t="n"/>
      <c r="I1132" s="43" t="n"/>
      <c r="J1132" s="43" t="n"/>
      <c r="K1132" s="43" t="n"/>
      <c r="L1132" s="43" t="n"/>
      <c r="M1132" s="43" t="n"/>
    </row>
    <row r="1133">
      <c r="A1133" s="43" t="n"/>
      <c r="B1133" s="43" t="n"/>
      <c r="C1133" s="43" t="n"/>
      <c r="D1133" s="43" t="n"/>
      <c r="E1133" s="43" t="n"/>
      <c r="F1133" s="43" t="n"/>
      <c r="G1133" s="43" t="n"/>
      <c r="H1133" s="43" t="n"/>
      <c r="I1133" s="43" t="n"/>
      <c r="J1133" s="43" t="n"/>
      <c r="K1133" s="43" t="n"/>
      <c r="L1133" s="43" t="n"/>
      <c r="M1133" s="43" t="n"/>
    </row>
    <row r="1134">
      <c r="A1134" s="43" t="n"/>
      <c r="B1134" s="43" t="n"/>
      <c r="C1134" s="43" t="n"/>
      <c r="D1134" s="43" t="n"/>
      <c r="E1134" s="43" t="n"/>
      <c r="F1134" s="43" t="n"/>
      <c r="G1134" s="43" t="n"/>
      <c r="H1134" s="43" t="n"/>
      <c r="I1134" s="43" t="n"/>
      <c r="J1134" s="43" t="n"/>
      <c r="K1134" s="43" t="n"/>
      <c r="L1134" s="43" t="n"/>
      <c r="M1134" s="43" t="n"/>
    </row>
    <row r="1135">
      <c r="A1135" s="43" t="n"/>
      <c r="B1135" s="43" t="n"/>
      <c r="C1135" s="43" t="n"/>
      <c r="D1135" s="43" t="n"/>
      <c r="E1135" s="43" t="n"/>
      <c r="F1135" s="43" t="n"/>
      <c r="G1135" s="43" t="n"/>
      <c r="H1135" s="43" t="n"/>
      <c r="I1135" s="43" t="n"/>
      <c r="J1135" s="43" t="n"/>
      <c r="K1135" s="43" t="n"/>
      <c r="L1135" s="43" t="n"/>
      <c r="M1135" s="43" t="n"/>
    </row>
    <row r="1136">
      <c r="A1136" s="43" t="n"/>
      <c r="B1136" s="43" t="n"/>
      <c r="C1136" s="43" t="n"/>
      <c r="D1136" s="43" t="n"/>
      <c r="E1136" s="43" t="n"/>
      <c r="F1136" s="43" t="n"/>
      <c r="G1136" s="43" t="n"/>
      <c r="H1136" s="43" t="n"/>
      <c r="I1136" s="43" t="n"/>
      <c r="J1136" s="43" t="n"/>
      <c r="K1136" s="43" t="n"/>
      <c r="L1136" s="43" t="n"/>
      <c r="M1136" s="43" t="n"/>
    </row>
    <row r="1137">
      <c r="A1137" s="43" t="n"/>
      <c r="B1137" s="43" t="n"/>
      <c r="C1137" s="43" t="n"/>
      <c r="D1137" s="43" t="n"/>
      <c r="E1137" s="43" t="n"/>
      <c r="F1137" s="43" t="n"/>
      <c r="G1137" s="43" t="n"/>
      <c r="H1137" s="43" t="n"/>
      <c r="I1137" s="43" t="n"/>
      <c r="J1137" s="43" t="n"/>
      <c r="K1137" s="43" t="n"/>
      <c r="L1137" s="43" t="n"/>
      <c r="M1137" s="43" t="n"/>
    </row>
    <row r="1138">
      <c r="A1138" s="43" t="n"/>
      <c r="B1138" s="43" t="n"/>
      <c r="C1138" s="43" t="n"/>
      <c r="D1138" s="43" t="n"/>
      <c r="E1138" s="43" t="n"/>
      <c r="F1138" s="43" t="n"/>
      <c r="G1138" s="43" t="n"/>
      <c r="H1138" s="43" t="n"/>
      <c r="I1138" s="43" t="n"/>
      <c r="J1138" s="43" t="n"/>
      <c r="K1138" s="43" t="n"/>
      <c r="L1138" s="43" t="n"/>
      <c r="M1138" s="43" t="n"/>
    </row>
    <row r="1139">
      <c r="A1139" s="43" t="n"/>
      <c r="B1139" s="43" t="n"/>
      <c r="C1139" s="43" t="n"/>
      <c r="D1139" s="43" t="n"/>
      <c r="E1139" s="43" t="n"/>
      <c r="F1139" s="43" t="n"/>
      <c r="G1139" s="43" t="n"/>
      <c r="H1139" s="43" t="n"/>
      <c r="I1139" s="43" t="n"/>
      <c r="J1139" s="43" t="n"/>
      <c r="K1139" s="43" t="n"/>
      <c r="L1139" s="43" t="n"/>
      <c r="M1139" s="43" t="n"/>
    </row>
    <row r="1140">
      <c r="A1140" s="43" t="n"/>
      <c r="B1140" s="43" t="n"/>
      <c r="C1140" s="43" t="n"/>
      <c r="D1140" s="43" t="n"/>
      <c r="E1140" s="43" t="n"/>
      <c r="F1140" s="43" t="n"/>
      <c r="G1140" s="43" t="n"/>
      <c r="H1140" s="43" t="n"/>
      <c r="I1140" s="43" t="n"/>
      <c r="J1140" s="43" t="n"/>
      <c r="K1140" s="43" t="n"/>
      <c r="L1140" s="43" t="n"/>
      <c r="M1140" s="43" t="n"/>
    </row>
    <row r="1141">
      <c r="A1141" s="43" t="n"/>
      <c r="B1141" s="43" t="n"/>
      <c r="C1141" s="43" t="n"/>
      <c r="D1141" s="43" t="n"/>
      <c r="E1141" s="43" t="n"/>
      <c r="F1141" s="43" t="n"/>
      <c r="G1141" s="43" t="n"/>
      <c r="H1141" s="43" t="n"/>
      <c r="I1141" s="43" t="n"/>
      <c r="J1141" s="43" t="n"/>
      <c r="K1141" s="43" t="n"/>
      <c r="L1141" s="43" t="n"/>
      <c r="M1141" s="43" t="n"/>
    </row>
    <row r="1142">
      <c r="A1142" s="43" t="n"/>
      <c r="B1142" s="43" t="n"/>
      <c r="C1142" s="43" t="n"/>
      <c r="D1142" s="43" t="n"/>
      <c r="E1142" s="43" t="n"/>
      <c r="F1142" s="43" t="n"/>
      <c r="G1142" s="43" t="n"/>
      <c r="H1142" s="43" t="n"/>
      <c r="I1142" s="43" t="n"/>
      <c r="J1142" s="43" t="n"/>
      <c r="K1142" s="43" t="n"/>
      <c r="L1142" s="43" t="n"/>
      <c r="M1142" s="43" t="n"/>
    </row>
    <row r="1143">
      <c r="A1143" s="43" t="n"/>
      <c r="B1143" s="43" t="n"/>
      <c r="C1143" s="43" t="n"/>
      <c r="D1143" s="43" t="n"/>
      <c r="E1143" s="43" t="n"/>
      <c r="F1143" s="43" t="n"/>
      <c r="G1143" s="43" t="n"/>
      <c r="H1143" s="43" t="n"/>
      <c r="I1143" s="43" t="n"/>
      <c r="J1143" s="43" t="n"/>
      <c r="K1143" s="43" t="n"/>
      <c r="L1143" s="43" t="n"/>
      <c r="M1143" s="43" t="n"/>
    </row>
    <row r="1144">
      <c r="A1144" s="43" t="n"/>
      <c r="B1144" s="43" t="n"/>
      <c r="C1144" s="43" t="n"/>
      <c r="D1144" s="43" t="n"/>
      <c r="E1144" s="43" t="n"/>
      <c r="F1144" s="43" t="n"/>
      <c r="G1144" s="43" t="n"/>
      <c r="H1144" s="43" t="n"/>
      <c r="I1144" s="43" t="n"/>
      <c r="J1144" s="43" t="n"/>
      <c r="K1144" s="43" t="n"/>
      <c r="L1144" s="43" t="n"/>
      <c r="M1144" s="43" t="n"/>
    </row>
    <row r="1145">
      <c r="A1145" s="43" t="n"/>
      <c r="B1145" s="43" t="n"/>
      <c r="C1145" s="43" t="n"/>
      <c r="D1145" s="43" t="n"/>
      <c r="E1145" s="43" t="n"/>
      <c r="F1145" s="43" t="n"/>
      <c r="G1145" s="43" t="n"/>
      <c r="H1145" s="43" t="n"/>
      <c r="I1145" s="43" t="n"/>
      <c r="J1145" s="43" t="n"/>
      <c r="K1145" s="43" t="n"/>
      <c r="L1145" s="43" t="n"/>
      <c r="M1145" s="43" t="n"/>
    </row>
    <row r="1146">
      <c r="A1146" s="43" t="n"/>
      <c r="B1146" s="43" t="n"/>
      <c r="C1146" s="43" t="n"/>
      <c r="D1146" s="43" t="n"/>
      <c r="E1146" s="43" t="n"/>
      <c r="F1146" s="43" t="n"/>
      <c r="G1146" s="43" t="n"/>
      <c r="H1146" s="43" t="n"/>
      <c r="I1146" s="43" t="n"/>
      <c r="J1146" s="43" t="n"/>
      <c r="K1146" s="43" t="n"/>
      <c r="L1146" s="43" t="n"/>
      <c r="M1146" s="43" t="n"/>
    </row>
    <row r="1147">
      <c r="A1147" s="43" t="n"/>
      <c r="B1147" s="43" t="n"/>
      <c r="C1147" s="43" t="n"/>
      <c r="D1147" s="43" t="n"/>
      <c r="E1147" s="43" t="n"/>
      <c r="F1147" s="43" t="n"/>
      <c r="G1147" s="43" t="n"/>
      <c r="H1147" s="43" t="n"/>
      <c r="I1147" s="43" t="n"/>
      <c r="J1147" s="43" t="n"/>
      <c r="K1147" s="43" t="n"/>
      <c r="L1147" s="43" t="n"/>
      <c r="M1147" s="43" t="n"/>
    </row>
    <row r="1148">
      <c r="A1148" s="43" t="n"/>
      <c r="B1148" s="43" t="n"/>
      <c r="C1148" s="43" t="n"/>
      <c r="D1148" s="43" t="n"/>
      <c r="E1148" s="43" t="n"/>
      <c r="F1148" s="43" t="n"/>
      <c r="G1148" s="43" t="n"/>
      <c r="H1148" s="43" t="n"/>
      <c r="I1148" s="43" t="n"/>
      <c r="J1148" s="43" t="n"/>
      <c r="K1148" s="43" t="n"/>
      <c r="L1148" s="43" t="n"/>
      <c r="M1148" s="43" t="n"/>
    </row>
    <row r="1149">
      <c r="A1149" s="43" t="n"/>
      <c r="B1149" s="43" t="n"/>
      <c r="C1149" s="43" t="n"/>
      <c r="D1149" s="43" t="n"/>
      <c r="E1149" s="43" t="n"/>
      <c r="F1149" s="43" t="n"/>
      <c r="G1149" s="43" t="n"/>
      <c r="H1149" s="43" t="n"/>
      <c r="I1149" s="43" t="n"/>
      <c r="J1149" s="43" t="n"/>
      <c r="K1149" s="43" t="n"/>
      <c r="L1149" s="43" t="n"/>
      <c r="M1149" s="43" t="n"/>
    </row>
    <row r="1150">
      <c r="A1150" s="43" t="n"/>
      <c r="B1150" s="43" t="n"/>
      <c r="C1150" s="43" t="n"/>
      <c r="D1150" s="43" t="n"/>
      <c r="E1150" s="43" t="n"/>
      <c r="F1150" s="43" t="n"/>
      <c r="G1150" s="43" t="n"/>
      <c r="H1150" s="43" t="n"/>
      <c r="I1150" s="43" t="n"/>
      <c r="J1150" s="43" t="n"/>
      <c r="K1150" s="43" t="n"/>
      <c r="L1150" s="43" t="n"/>
      <c r="M1150" s="43" t="n"/>
    </row>
    <row r="1151">
      <c r="A1151" s="43" t="n"/>
      <c r="B1151" s="43" t="n"/>
      <c r="C1151" s="43" t="n"/>
      <c r="D1151" s="43" t="n"/>
      <c r="E1151" s="43" t="n"/>
      <c r="F1151" s="43" t="n"/>
      <c r="G1151" s="43" t="n"/>
      <c r="H1151" s="43" t="n"/>
      <c r="I1151" s="43" t="n"/>
      <c r="J1151" s="43" t="n"/>
      <c r="K1151" s="43" t="n"/>
      <c r="L1151" s="43" t="n"/>
      <c r="M1151" s="43" t="n"/>
    </row>
    <row r="1152">
      <c r="A1152" s="43" t="n"/>
      <c r="B1152" s="43" t="n"/>
      <c r="C1152" s="43" t="n"/>
      <c r="D1152" s="43" t="n"/>
      <c r="E1152" s="43" t="n"/>
      <c r="F1152" s="43" t="n"/>
      <c r="G1152" s="43" t="n"/>
      <c r="H1152" s="43" t="n"/>
      <c r="I1152" s="43" t="n"/>
      <c r="J1152" s="43" t="n"/>
      <c r="K1152" s="43" t="n"/>
      <c r="L1152" s="43" t="n"/>
      <c r="M1152" s="43" t="n"/>
    </row>
    <row r="1153">
      <c r="A1153" s="43" t="n"/>
      <c r="B1153" s="43" t="n"/>
      <c r="C1153" s="43" t="n"/>
      <c r="D1153" s="43" t="n"/>
      <c r="E1153" s="43" t="n"/>
      <c r="F1153" s="43" t="n"/>
      <c r="G1153" s="43" t="n"/>
      <c r="H1153" s="43" t="n"/>
      <c r="I1153" s="43" t="n"/>
      <c r="J1153" s="43" t="n"/>
      <c r="K1153" s="43" t="n"/>
      <c r="L1153" s="43" t="n"/>
      <c r="M1153" s="43" t="n"/>
    </row>
    <row r="1154">
      <c r="A1154" s="43" t="n"/>
      <c r="B1154" s="43" t="n"/>
      <c r="C1154" s="43" t="n"/>
      <c r="D1154" s="43" t="n"/>
      <c r="E1154" s="43" t="n"/>
      <c r="F1154" s="43" t="n"/>
      <c r="G1154" s="43" t="n"/>
      <c r="H1154" s="43" t="n"/>
      <c r="I1154" s="43" t="n"/>
      <c r="J1154" s="43" t="n"/>
      <c r="K1154" s="43" t="n"/>
      <c r="L1154" s="43" t="n"/>
      <c r="M1154" s="43" t="n"/>
    </row>
    <row r="1155">
      <c r="A1155" s="43" t="n"/>
      <c r="B1155" s="43" t="n"/>
      <c r="C1155" s="43" t="n"/>
      <c r="D1155" s="43" t="n"/>
      <c r="E1155" s="43" t="n"/>
      <c r="F1155" s="43" t="n"/>
      <c r="G1155" s="43" t="n"/>
      <c r="H1155" s="43" t="n"/>
      <c r="I1155" s="43" t="n"/>
      <c r="J1155" s="43" t="n"/>
      <c r="K1155" s="43" t="n"/>
      <c r="L1155" s="43" t="n"/>
      <c r="M1155" s="43" t="n"/>
    </row>
    <row r="1156">
      <c r="A1156" s="43" t="n"/>
      <c r="B1156" s="43" t="n"/>
      <c r="C1156" s="43" t="n"/>
      <c r="D1156" s="43" t="n"/>
      <c r="E1156" s="43" t="n"/>
      <c r="F1156" s="43" t="n"/>
      <c r="G1156" s="43" t="n"/>
      <c r="H1156" s="43" t="n"/>
      <c r="I1156" s="43" t="n"/>
      <c r="J1156" s="43" t="n"/>
      <c r="K1156" s="43" t="n"/>
      <c r="L1156" s="43" t="n"/>
      <c r="M1156" s="43" t="n"/>
    </row>
    <row r="1157">
      <c r="A1157" s="43" t="n"/>
      <c r="B1157" s="43" t="n"/>
      <c r="C1157" s="43" t="n"/>
      <c r="D1157" s="43" t="n"/>
      <c r="E1157" s="43" t="n"/>
      <c r="F1157" s="43" t="n"/>
      <c r="G1157" s="43" t="n"/>
      <c r="H1157" s="43" t="n"/>
      <c r="I1157" s="43" t="n"/>
      <c r="J1157" s="43" t="n"/>
      <c r="K1157" s="43" t="n"/>
      <c r="L1157" s="43" t="n"/>
      <c r="M1157" s="43" t="n"/>
    </row>
    <row r="1158">
      <c r="A1158" s="43" t="n"/>
      <c r="B1158" s="43" t="n"/>
      <c r="C1158" s="43" t="n"/>
      <c r="D1158" s="43" t="n"/>
      <c r="E1158" s="43" t="n"/>
      <c r="F1158" s="43" t="n"/>
      <c r="G1158" s="43" t="n"/>
      <c r="H1158" s="43" t="n"/>
      <c r="I1158" s="43" t="n"/>
      <c r="J1158" s="43" t="n"/>
      <c r="K1158" s="43" t="n"/>
      <c r="L1158" s="43" t="n"/>
      <c r="M1158" s="43" t="n"/>
    </row>
    <row r="1159">
      <c r="A1159" s="43" t="n"/>
      <c r="B1159" s="43" t="n"/>
      <c r="C1159" s="43" t="n"/>
      <c r="D1159" s="43" t="n"/>
      <c r="E1159" s="43" t="n"/>
      <c r="F1159" s="43" t="n"/>
      <c r="G1159" s="43" t="n"/>
      <c r="H1159" s="43" t="n"/>
      <c r="I1159" s="43" t="n"/>
      <c r="J1159" s="43" t="n"/>
      <c r="K1159" s="43" t="n"/>
      <c r="L1159" s="43" t="n"/>
      <c r="M1159" s="43" t="n"/>
    </row>
    <row r="1160">
      <c r="A1160" s="43" t="n"/>
      <c r="B1160" s="43" t="n"/>
      <c r="C1160" s="43" t="n"/>
      <c r="D1160" s="43" t="n"/>
      <c r="E1160" s="43" t="n"/>
      <c r="F1160" s="43" t="n"/>
      <c r="G1160" s="43" t="n"/>
      <c r="H1160" s="43" t="n"/>
      <c r="I1160" s="43" t="n"/>
      <c r="J1160" s="43" t="n"/>
      <c r="K1160" s="43" t="n"/>
      <c r="L1160" s="43" t="n"/>
      <c r="M1160" s="43" t="n"/>
    </row>
    <row r="1161">
      <c r="A1161" s="43" t="n"/>
      <c r="B1161" s="43" t="n"/>
      <c r="C1161" s="43" t="n"/>
      <c r="D1161" s="43" t="n"/>
      <c r="E1161" s="43" t="n"/>
      <c r="F1161" s="43" t="n"/>
      <c r="G1161" s="43" t="n"/>
      <c r="H1161" s="43" t="n"/>
      <c r="I1161" s="43" t="n"/>
      <c r="J1161" s="43" t="n"/>
      <c r="K1161" s="43" t="n"/>
      <c r="L1161" s="43" t="n"/>
      <c r="M1161" s="43" t="n"/>
    </row>
    <row r="1162">
      <c r="A1162" s="43" t="n"/>
      <c r="B1162" s="43" t="n"/>
      <c r="C1162" s="43" t="n"/>
      <c r="D1162" s="43" t="n"/>
      <c r="E1162" s="43" t="n"/>
      <c r="F1162" s="43" t="n"/>
      <c r="G1162" s="43" t="n"/>
      <c r="H1162" s="43" t="n"/>
      <c r="I1162" s="43" t="n"/>
      <c r="J1162" s="43" t="n"/>
      <c r="K1162" s="43" t="n"/>
      <c r="L1162" s="43" t="n"/>
      <c r="M1162" s="43" t="n"/>
    </row>
    <row r="1163">
      <c r="A1163" s="43" t="n"/>
      <c r="B1163" s="43" t="n"/>
      <c r="C1163" s="43" t="n"/>
      <c r="D1163" s="43" t="n"/>
      <c r="E1163" s="43" t="n"/>
      <c r="F1163" s="43" t="n"/>
      <c r="G1163" s="43" t="n"/>
      <c r="H1163" s="43" t="n"/>
      <c r="I1163" s="43" t="n"/>
      <c r="J1163" s="43" t="n"/>
      <c r="K1163" s="43" t="n"/>
      <c r="L1163" s="43" t="n"/>
      <c r="M1163" s="43" t="n"/>
    </row>
    <row r="1164">
      <c r="A1164" s="43" t="n"/>
      <c r="B1164" s="43" t="n"/>
      <c r="C1164" s="43" t="n"/>
      <c r="D1164" s="43" t="n"/>
      <c r="E1164" s="43" t="n"/>
      <c r="F1164" s="43" t="n"/>
      <c r="G1164" s="43" t="n"/>
      <c r="H1164" s="43" t="n"/>
      <c r="I1164" s="43" t="n"/>
      <c r="J1164" s="43" t="n"/>
      <c r="K1164" s="43" t="n"/>
      <c r="L1164" s="43" t="n"/>
      <c r="M1164" s="43" t="n"/>
    </row>
    <row r="1165">
      <c r="A1165" s="43" t="n"/>
      <c r="B1165" s="43" t="n"/>
      <c r="C1165" s="43" t="n"/>
      <c r="D1165" s="43" t="n"/>
      <c r="E1165" s="43" t="n"/>
      <c r="F1165" s="43" t="n"/>
      <c r="G1165" s="43" t="n"/>
      <c r="H1165" s="43" t="n"/>
      <c r="I1165" s="43" t="n"/>
      <c r="J1165" s="43" t="n"/>
      <c r="K1165" s="43" t="n"/>
      <c r="L1165" s="43" t="n"/>
      <c r="M1165" s="43" t="n"/>
    </row>
    <row r="1166">
      <c r="A1166" s="43" t="n"/>
      <c r="B1166" s="43" t="n"/>
      <c r="C1166" s="43" t="n"/>
      <c r="D1166" s="43" t="n"/>
      <c r="E1166" s="43" t="n"/>
      <c r="F1166" s="43" t="n"/>
      <c r="G1166" s="43" t="n"/>
      <c r="H1166" s="43" t="n"/>
      <c r="I1166" s="43" t="n"/>
      <c r="J1166" s="43" t="n"/>
      <c r="K1166" s="43" t="n"/>
      <c r="L1166" s="43" t="n"/>
      <c r="M1166" s="43" t="n"/>
    </row>
    <row r="1167">
      <c r="A1167" s="43" t="n"/>
      <c r="B1167" s="43" t="n"/>
      <c r="C1167" s="43" t="n"/>
      <c r="D1167" s="43" t="n"/>
      <c r="E1167" s="43" t="n"/>
      <c r="F1167" s="43" t="n"/>
      <c r="G1167" s="43" t="n"/>
      <c r="H1167" s="43" t="n"/>
      <c r="I1167" s="43" t="n"/>
      <c r="J1167" s="43" t="n"/>
      <c r="K1167" s="43" t="n"/>
      <c r="L1167" s="43" t="n"/>
      <c r="M1167" s="43" t="n"/>
    </row>
    <row r="1168">
      <c r="A1168" s="43" t="n"/>
      <c r="B1168" s="43" t="n"/>
      <c r="C1168" s="43" t="n"/>
      <c r="D1168" s="43" t="n"/>
      <c r="E1168" s="43" t="n"/>
      <c r="F1168" s="43" t="n"/>
      <c r="G1168" s="43" t="n"/>
      <c r="H1168" s="43" t="n"/>
      <c r="I1168" s="43" t="n"/>
      <c r="J1168" s="43" t="n"/>
      <c r="K1168" s="43" t="n"/>
      <c r="L1168" s="43" t="n"/>
      <c r="M1168" s="43" t="n"/>
    </row>
    <row r="1169">
      <c r="A1169" s="43" t="n"/>
      <c r="B1169" s="43" t="n"/>
      <c r="C1169" s="43" t="n"/>
      <c r="D1169" s="43" t="n"/>
      <c r="E1169" s="43" t="n"/>
      <c r="F1169" s="43" t="n"/>
      <c r="G1169" s="43" t="n"/>
      <c r="H1169" s="43" t="n"/>
      <c r="I1169" s="43" t="n"/>
      <c r="J1169" s="43" t="n"/>
      <c r="K1169" s="43" t="n"/>
      <c r="L1169" s="43" t="n"/>
      <c r="M1169" s="43" t="n"/>
    </row>
    <row r="1170">
      <c r="A1170" s="43" t="n"/>
      <c r="B1170" s="43" t="n"/>
      <c r="C1170" s="43" t="n"/>
      <c r="D1170" s="43" t="n"/>
      <c r="E1170" s="43" t="n"/>
      <c r="F1170" s="43" t="n"/>
      <c r="G1170" s="43" t="n"/>
      <c r="H1170" s="43" t="n"/>
      <c r="I1170" s="43" t="n"/>
      <c r="J1170" s="43" t="n"/>
      <c r="K1170" s="43" t="n"/>
      <c r="L1170" s="43" t="n"/>
      <c r="M1170" s="43" t="n"/>
    </row>
    <row r="1171">
      <c r="A1171" s="43" t="n"/>
      <c r="B1171" s="43" t="n"/>
      <c r="C1171" s="43" t="n"/>
      <c r="D1171" s="43" t="n"/>
      <c r="E1171" s="43" t="n"/>
      <c r="F1171" s="43" t="n"/>
      <c r="G1171" s="43" t="n"/>
      <c r="H1171" s="43" t="n"/>
      <c r="I1171" s="43" t="n"/>
      <c r="J1171" s="43" t="n"/>
      <c r="K1171" s="43" t="n"/>
      <c r="L1171" s="43" t="n"/>
      <c r="M1171" s="43" t="n"/>
    </row>
    <row r="1172">
      <c r="A1172" s="43" t="n"/>
      <c r="B1172" s="43" t="n"/>
      <c r="C1172" s="43" t="n"/>
      <c r="D1172" s="43" t="n"/>
      <c r="E1172" s="43" t="n"/>
      <c r="F1172" s="43" t="n"/>
      <c r="G1172" s="43" t="n"/>
      <c r="H1172" s="43" t="n"/>
      <c r="I1172" s="43" t="n"/>
      <c r="J1172" s="43" t="n"/>
      <c r="K1172" s="43" t="n"/>
      <c r="L1172" s="43" t="n"/>
      <c r="M1172" s="43" t="n"/>
    </row>
    <row r="1173">
      <c r="A1173" s="43" t="n"/>
      <c r="B1173" s="43" t="n"/>
      <c r="C1173" s="43" t="n"/>
      <c r="D1173" s="43" t="n"/>
      <c r="E1173" s="43" t="n"/>
      <c r="F1173" s="43" t="n"/>
      <c r="G1173" s="43" t="n"/>
      <c r="H1173" s="43" t="n"/>
      <c r="I1173" s="43" t="n"/>
      <c r="J1173" s="43" t="n"/>
      <c r="K1173" s="43" t="n"/>
      <c r="L1173" s="43" t="n"/>
      <c r="M1173" s="43" t="n"/>
    </row>
    <row r="1174">
      <c r="A1174" s="43" t="n"/>
      <c r="B1174" s="43" t="n"/>
      <c r="C1174" s="43" t="n"/>
      <c r="D1174" s="43" t="n"/>
      <c r="E1174" s="43" t="n"/>
      <c r="F1174" s="43" t="n"/>
      <c r="G1174" s="43" t="n"/>
      <c r="H1174" s="43" t="n"/>
      <c r="I1174" s="43" t="n"/>
      <c r="J1174" s="43" t="n"/>
      <c r="K1174" s="43" t="n"/>
      <c r="L1174" s="43" t="n"/>
      <c r="M1174" s="43" t="n"/>
    </row>
    <row r="1175">
      <c r="A1175" s="43" t="n"/>
      <c r="B1175" s="43" t="n"/>
      <c r="C1175" s="43" t="n"/>
      <c r="D1175" s="43" t="n"/>
      <c r="E1175" s="43" t="n"/>
      <c r="F1175" s="43" t="n"/>
      <c r="G1175" s="43" t="n"/>
      <c r="H1175" s="43" t="n"/>
      <c r="I1175" s="43" t="n"/>
      <c r="J1175" s="43" t="n"/>
      <c r="K1175" s="43" t="n"/>
      <c r="L1175" s="43" t="n"/>
      <c r="M1175" s="43" t="n"/>
    </row>
    <row r="1176">
      <c r="A1176" s="43" t="n"/>
      <c r="B1176" s="43" t="n"/>
      <c r="C1176" s="43" t="n"/>
      <c r="D1176" s="43" t="n"/>
      <c r="E1176" s="43" t="n"/>
      <c r="F1176" s="43" t="n"/>
      <c r="G1176" s="43" t="n"/>
      <c r="H1176" s="43" t="n"/>
      <c r="I1176" s="43" t="n"/>
      <c r="J1176" s="43" t="n"/>
      <c r="K1176" s="43" t="n"/>
      <c r="L1176" s="43" t="n"/>
      <c r="M1176" s="43" t="n"/>
    </row>
    <row r="1177">
      <c r="A1177" s="43" t="n"/>
      <c r="B1177" s="43" t="n"/>
      <c r="C1177" s="43" t="n"/>
      <c r="D1177" s="43" t="n"/>
      <c r="E1177" s="43" t="n"/>
      <c r="F1177" s="43" t="n"/>
      <c r="G1177" s="43" t="n"/>
      <c r="H1177" s="43" t="n"/>
      <c r="I1177" s="43" t="n"/>
      <c r="J1177" s="43" t="n"/>
      <c r="K1177" s="43" t="n"/>
      <c r="L1177" s="43" t="n"/>
      <c r="M1177" s="43" t="n"/>
    </row>
    <row r="1178">
      <c r="A1178" s="43" t="n"/>
      <c r="B1178" s="43" t="n"/>
      <c r="C1178" s="43" t="n"/>
      <c r="D1178" s="43" t="n"/>
      <c r="E1178" s="43" t="n"/>
      <c r="F1178" s="43" t="n"/>
      <c r="G1178" s="43" t="n"/>
      <c r="H1178" s="43" t="n"/>
      <c r="I1178" s="43" t="n"/>
      <c r="J1178" s="43" t="n"/>
      <c r="K1178" s="43" t="n"/>
      <c r="L1178" s="43" t="n"/>
      <c r="M1178" s="43" t="n"/>
    </row>
    <row r="1179">
      <c r="A1179" s="43" t="n"/>
      <c r="B1179" s="43" t="n"/>
      <c r="C1179" s="43" t="n"/>
      <c r="D1179" s="43" t="n"/>
      <c r="E1179" s="43" t="n"/>
      <c r="F1179" s="43" t="n"/>
      <c r="G1179" s="43" t="n"/>
      <c r="H1179" s="43" t="n"/>
      <c r="I1179" s="43" t="n"/>
      <c r="J1179" s="43" t="n"/>
      <c r="K1179" s="43" t="n"/>
      <c r="L1179" s="43" t="n"/>
      <c r="M1179" s="43" t="n"/>
    </row>
    <row r="1180">
      <c r="A1180" s="43" t="n"/>
      <c r="B1180" s="43" t="n"/>
      <c r="C1180" s="43" t="n"/>
      <c r="D1180" s="43" t="n"/>
      <c r="E1180" s="43" t="n"/>
      <c r="F1180" s="43" t="n"/>
      <c r="G1180" s="43" t="n"/>
      <c r="H1180" s="43" t="n"/>
      <c r="I1180" s="43" t="n"/>
      <c r="J1180" s="43" t="n"/>
      <c r="K1180" s="43" t="n"/>
      <c r="L1180" s="43" t="n"/>
      <c r="M1180" s="43" t="n"/>
    </row>
    <row r="1181">
      <c r="A1181" s="43" t="n"/>
      <c r="B1181" s="43" t="n"/>
      <c r="C1181" s="43" t="n"/>
      <c r="D1181" s="43" t="n"/>
      <c r="E1181" s="43" t="n"/>
      <c r="F1181" s="43" t="n"/>
      <c r="G1181" s="43" t="n"/>
      <c r="H1181" s="43" t="n"/>
      <c r="I1181" s="43" t="n"/>
      <c r="J1181" s="43" t="n"/>
      <c r="K1181" s="43" t="n"/>
      <c r="L1181" s="43" t="n"/>
      <c r="M1181" s="43" t="n"/>
    </row>
    <row r="1182">
      <c r="A1182" s="43" t="n"/>
      <c r="B1182" s="43" t="n"/>
      <c r="C1182" s="43" t="n"/>
      <c r="D1182" s="43" t="n"/>
      <c r="E1182" s="43" t="n"/>
      <c r="F1182" s="43" t="n"/>
      <c r="G1182" s="43" t="n"/>
      <c r="H1182" s="43" t="n"/>
      <c r="I1182" s="43" t="n"/>
      <c r="J1182" s="43" t="n"/>
      <c r="K1182" s="43" t="n"/>
      <c r="L1182" s="43" t="n"/>
      <c r="M1182" s="43" t="n"/>
    </row>
    <row r="1183">
      <c r="A1183" s="43" t="n"/>
      <c r="B1183" s="43" t="n"/>
      <c r="C1183" s="43" t="n"/>
      <c r="D1183" s="43" t="n"/>
      <c r="E1183" s="43" t="n"/>
      <c r="F1183" s="43" t="n"/>
      <c r="G1183" s="43" t="n"/>
      <c r="H1183" s="43" t="n"/>
      <c r="I1183" s="43" t="n"/>
      <c r="J1183" s="43" t="n"/>
      <c r="K1183" s="43" t="n"/>
      <c r="L1183" s="43" t="n"/>
      <c r="M1183" s="43" t="n"/>
    </row>
    <row r="1184">
      <c r="A1184" s="43" t="n"/>
      <c r="B1184" s="43" t="n"/>
      <c r="C1184" s="43" t="n"/>
      <c r="D1184" s="43" t="n"/>
      <c r="E1184" s="43" t="n"/>
      <c r="F1184" s="43" t="n"/>
      <c r="G1184" s="43" t="n"/>
      <c r="H1184" s="43" t="n"/>
      <c r="I1184" s="43" t="n"/>
      <c r="J1184" s="43" t="n"/>
      <c r="K1184" s="43" t="n"/>
      <c r="L1184" s="43" t="n"/>
      <c r="M1184" s="43" t="n"/>
    </row>
    <row r="1185">
      <c r="A1185" s="43" t="n"/>
      <c r="B1185" s="43" t="n"/>
      <c r="C1185" s="43" t="n"/>
      <c r="D1185" s="43" t="n"/>
      <c r="E1185" s="43" t="n"/>
      <c r="F1185" s="43" t="n"/>
      <c r="G1185" s="43" t="n"/>
      <c r="H1185" s="43" t="n"/>
      <c r="I1185" s="43" t="n"/>
      <c r="J1185" s="43" t="n"/>
      <c r="K1185" s="43" t="n"/>
      <c r="L1185" s="43" t="n"/>
      <c r="M1185" s="43" t="n"/>
    </row>
    <row r="1186">
      <c r="A1186" s="43" t="n"/>
      <c r="B1186" s="43" t="n"/>
      <c r="C1186" s="43" t="n"/>
      <c r="D1186" s="43" t="n"/>
      <c r="E1186" s="43" t="n"/>
      <c r="F1186" s="43" t="n"/>
      <c r="G1186" s="43" t="n"/>
      <c r="H1186" s="43" t="n"/>
      <c r="I1186" s="43" t="n"/>
      <c r="J1186" s="43" t="n"/>
      <c r="K1186" s="43" t="n"/>
      <c r="L1186" s="43" t="n"/>
      <c r="M1186" s="43" t="n"/>
    </row>
    <row r="1187">
      <c r="A1187" s="43" t="n"/>
      <c r="B1187" s="43" t="n"/>
      <c r="C1187" s="43" t="n"/>
      <c r="D1187" s="43" t="n"/>
      <c r="E1187" s="43" t="n"/>
      <c r="F1187" s="43" t="n"/>
      <c r="G1187" s="43" t="n"/>
      <c r="H1187" s="43" t="n"/>
      <c r="I1187" s="43" t="n"/>
      <c r="J1187" s="43" t="n"/>
      <c r="K1187" s="43" t="n"/>
      <c r="L1187" s="43" t="n"/>
      <c r="M1187" s="43" t="n"/>
    </row>
    <row r="1188">
      <c r="A1188" s="43" t="n"/>
      <c r="B1188" s="43" t="n"/>
      <c r="C1188" s="43" t="n"/>
      <c r="D1188" s="43" t="n"/>
      <c r="E1188" s="43" t="n"/>
      <c r="F1188" s="43" t="n"/>
      <c r="G1188" s="43" t="n"/>
      <c r="H1188" s="43" t="n"/>
      <c r="I1188" s="43" t="n"/>
      <c r="J1188" s="43" t="n"/>
      <c r="K1188" s="43" t="n"/>
      <c r="L1188" s="43" t="n"/>
      <c r="M1188" s="43" t="n"/>
    </row>
    <row r="1189">
      <c r="A1189" s="43" t="n"/>
      <c r="B1189" s="43" t="n"/>
      <c r="C1189" s="43" t="n"/>
      <c r="D1189" s="43" t="n"/>
      <c r="E1189" s="43" t="n"/>
      <c r="F1189" s="43" t="n"/>
      <c r="G1189" s="43" t="n"/>
      <c r="H1189" s="43" t="n"/>
      <c r="I1189" s="43" t="n"/>
      <c r="J1189" s="43" t="n"/>
      <c r="K1189" s="43" t="n"/>
      <c r="L1189" s="43" t="n"/>
      <c r="M1189" s="43" t="n"/>
    </row>
    <row r="1190">
      <c r="A1190" s="43" t="n"/>
      <c r="B1190" s="43" t="n"/>
      <c r="C1190" s="43" t="n"/>
      <c r="D1190" s="43" t="n"/>
      <c r="E1190" s="43" t="n"/>
      <c r="F1190" s="43" t="n"/>
      <c r="G1190" s="43" t="n"/>
      <c r="H1190" s="43" t="n"/>
      <c r="I1190" s="43" t="n"/>
      <c r="J1190" s="43" t="n"/>
      <c r="K1190" s="43" t="n"/>
      <c r="L1190" s="43" t="n"/>
      <c r="M1190" s="43" t="n"/>
    </row>
    <row r="1191">
      <c r="A1191" s="43" t="n"/>
      <c r="B1191" s="43" t="n"/>
      <c r="C1191" s="43" t="n"/>
      <c r="D1191" s="43" t="n"/>
      <c r="E1191" s="43" t="n"/>
      <c r="F1191" s="43" t="n"/>
      <c r="G1191" s="43" t="n"/>
      <c r="H1191" s="43" t="n"/>
      <c r="I1191" s="43" t="n"/>
      <c r="J1191" s="43" t="n"/>
      <c r="K1191" s="43" t="n"/>
      <c r="L1191" s="43" t="n"/>
      <c r="M1191" s="43" t="n"/>
    </row>
    <row r="1192">
      <c r="A1192" s="43" t="n"/>
      <c r="B1192" s="43" t="n"/>
      <c r="C1192" s="43" t="n"/>
      <c r="D1192" s="43" t="n"/>
      <c r="E1192" s="43" t="n"/>
      <c r="F1192" s="43" t="n"/>
      <c r="G1192" s="43" t="n"/>
      <c r="H1192" s="43" t="n"/>
      <c r="I1192" s="43" t="n"/>
      <c r="J1192" s="43" t="n"/>
      <c r="K1192" s="43" t="n"/>
      <c r="L1192" s="43" t="n"/>
      <c r="M1192" s="43" t="n"/>
    </row>
    <row r="1193">
      <c r="A1193" s="43" t="n"/>
      <c r="B1193" s="43" t="n"/>
      <c r="C1193" s="43" t="n"/>
      <c r="D1193" s="43" t="n"/>
      <c r="E1193" s="43" t="n"/>
      <c r="F1193" s="43" t="n"/>
      <c r="G1193" s="43" t="n"/>
      <c r="H1193" s="43" t="n"/>
      <c r="I1193" s="43" t="n"/>
      <c r="J1193" s="43" t="n"/>
      <c r="K1193" s="43" t="n"/>
      <c r="L1193" s="43" t="n"/>
      <c r="M1193" s="43" t="n"/>
    </row>
    <row r="1194">
      <c r="A1194" s="43" t="n"/>
      <c r="B1194" s="43" t="n"/>
      <c r="C1194" s="43" t="n"/>
      <c r="D1194" s="43" t="n"/>
      <c r="E1194" s="43" t="n"/>
      <c r="F1194" s="43" t="n"/>
      <c r="G1194" s="43" t="n"/>
      <c r="H1194" s="43" t="n"/>
      <c r="I1194" s="43" t="n"/>
      <c r="J1194" s="43" t="n"/>
      <c r="K1194" s="43" t="n"/>
      <c r="L1194" s="43" t="n"/>
      <c r="M1194" s="43" t="n"/>
    </row>
    <row r="1195">
      <c r="A1195" s="43" t="n"/>
      <c r="B1195" s="43" t="n"/>
      <c r="C1195" s="43" t="n"/>
      <c r="D1195" s="43" t="n"/>
      <c r="E1195" s="43" t="n"/>
      <c r="F1195" s="43" t="n"/>
      <c r="G1195" s="43" t="n"/>
      <c r="H1195" s="43" t="n"/>
      <c r="I1195" s="43" t="n"/>
      <c r="J1195" s="43" t="n"/>
      <c r="K1195" s="43" t="n"/>
      <c r="L1195" s="43" t="n"/>
      <c r="M1195" s="43" t="n"/>
    </row>
    <row r="1196">
      <c r="A1196" s="43" t="n"/>
      <c r="B1196" s="43" t="n"/>
      <c r="C1196" s="43" t="n"/>
      <c r="D1196" s="43" t="n"/>
      <c r="E1196" s="43" t="n"/>
      <c r="F1196" s="43" t="n"/>
      <c r="G1196" s="43" t="n"/>
      <c r="H1196" s="43" t="n"/>
      <c r="I1196" s="43" t="n"/>
      <c r="J1196" s="43" t="n"/>
      <c r="K1196" s="43" t="n"/>
      <c r="L1196" s="43" t="n"/>
      <c r="M1196" s="43" t="n"/>
    </row>
    <row r="1197">
      <c r="A1197" s="43" t="n"/>
      <c r="B1197" s="43" t="n"/>
      <c r="C1197" s="43" t="n"/>
      <c r="D1197" s="43" t="n"/>
      <c r="E1197" s="43" t="n"/>
      <c r="F1197" s="43" t="n"/>
      <c r="G1197" s="43" t="n"/>
      <c r="H1197" s="43" t="n"/>
      <c r="I1197" s="43" t="n"/>
      <c r="J1197" s="43" t="n"/>
      <c r="K1197" s="43" t="n"/>
      <c r="L1197" s="43" t="n"/>
      <c r="M1197" s="43" t="n"/>
    </row>
    <row r="1198">
      <c r="A1198" s="43" t="n"/>
      <c r="B1198" s="43" t="n"/>
      <c r="C1198" s="43" t="n"/>
      <c r="D1198" s="43" t="n"/>
      <c r="E1198" s="43" t="n"/>
      <c r="F1198" s="43" t="n"/>
      <c r="G1198" s="43" t="n"/>
      <c r="H1198" s="43" t="n"/>
      <c r="I1198" s="43" t="n"/>
      <c r="J1198" s="43" t="n"/>
      <c r="K1198" s="43" t="n"/>
      <c r="L1198" s="43" t="n"/>
      <c r="M1198" s="43" t="n"/>
    </row>
    <row r="1199">
      <c r="A1199" s="43" t="n"/>
      <c r="B1199" s="43" t="n"/>
      <c r="C1199" s="43" t="n"/>
      <c r="D1199" s="43" t="n"/>
      <c r="E1199" s="43" t="n"/>
      <c r="F1199" s="43" t="n"/>
      <c r="G1199" s="43" t="n"/>
      <c r="H1199" s="43" t="n"/>
      <c r="I1199" s="43" t="n"/>
      <c r="J1199" s="43" t="n"/>
      <c r="K1199" s="43" t="n"/>
      <c r="L1199" s="43" t="n"/>
      <c r="M1199" s="43" t="n"/>
    </row>
    <row r="1200">
      <c r="A1200" s="43" t="n"/>
      <c r="B1200" s="43" t="n"/>
      <c r="C1200" s="43" t="n"/>
      <c r="D1200" s="43" t="n"/>
      <c r="E1200" s="43" t="n"/>
      <c r="F1200" s="43" t="n"/>
      <c r="G1200" s="43" t="n"/>
      <c r="H1200" s="43" t="n"/>
      <c r="I1200" s="43" t="n"/>
      <c r="J1200" s="43" t="n"/>
      <c r="K1200" s="43" t="n"/>
      <c r="L1200" s="43" t="n"/>
      <c r="M1200" s="43" t="n"/>
    </row>
    <row r="1201">
      <c r="A1201" s="43" t="n"/>
      <c r="B1201" s="43" t="n"/>
      <c r="C1201" s="43" t="n"/>
      <c r="D1201" s="43" t="n"/>
      <c r="E1201" s="43" t="n"/>
      <c r="F1201" s="43" t="n"/>
      <c r="G1201" s="43" t="n"/>
      <c r="H1201" s="43" t="n"/>
      <c r="I1201" s="43" t="n"/>
      <c r="J1201" s="43" t="n"/>
      <c r="K1201" s="43" t="n"/>
      <c r="L1201" s="43" t="n"/>
      <c r="M1201" s="43" t="n"/>
    </row>
    <row r="1202">
      <c r="A1202" s="43" t="n"/>
      <c r="B1202" s="43" t="n"/>
      <c r="C1202" s="43" t="n"/>
      <c r="D1202" s="43" t="n"/>
      <c r="E1202" s="43" t="n"/>
      <c r="F1202" s="43" t="n"/>
      <c r="G1202" s="43" t="n"/>
      <c r="H1202" s="43" t="n"/>
      <c r="I1202" s="43" t="n"/>
      <c r="J1202" s="43" t="n"/>
      <c r="K1202" s="43" t="n"/>
      <c r="L1202" s="43" t="n"/>
      <c r="M1202" s="43" t="n"/>
    </row>
    <row r="1203">
      <c r="A1203" s="43" t="n"/>
      <c r="B1203" s="43" t="n"/>
      <c r="C1203" s="43" t="n"/>
      <c r="D1203" s="43" t="n"/>
      <c r="E1203" s="43" t="n"/>
      <c r="F1203" s="43" t="n"/>
      <c r="G1203" s="43" t="n"/>
      <c r="H1203" s="43" t="n"/>
      <c r="I1203" s="43" t="n"/>
      <c r="J1203" s="43" t="n"/>
      <c r="K1203" s="43" t="n"/>
      <c r="L1203" s="43" t="n"/>
      <c r="M1203" s="43" t="n"/>
    </row>
    <row r="1204">
      <c r="A1204" s="43" t="n"/>
      <c r="B1204" s="43" t="n"/>
      <c r="C1204" s="43" t="n"/>
      <c r="D1204" s="43" t="n"/>
      <c r="E1204" s="43" t="n"/>
      <c r="F1204" s="43" t="n"/>
      <c r="G1204" s="43" t="n"/>
      <c r="H1204" s="43" t="n"/>
      <c r="I1204" s="43" t="n"/>
      <c r="J1204" s="43" t="n"/>
      <c r="K1204" s="43" t="n"/>
      <c r="L1204" s="43" t="n"/>
      <c r="M1204" s="43" t="n"/>
    </row>
    <row r="1205">
      <c r="A1205" s="43" t="n"/>
      <c r="B1205" s="43" t="n"/>
      <c r="C1205" s="43" t="n"/>
      <c r="D1205" s="43" t="n"/>
      <c r="E1205" s="43" t="n"/>
      <c r="F1205" s="43" t="n"/>
      <c r="G1205" s="43" t="n"/>
      <c r="H1205" s="43" t="n"/>
      <c r="I1205" s="43" t="n"/>
      <c r="J1205" s="43" t="n"/>
      <c r="K1205" s="43" t="n"/>
      <c r="L1205" s="43" t="n"/>
      <c r="M1205" s="43" t="n"/>
    </row>
    <row r="1206">
      <c r="A1206" s="43" t="n"/>
      <c r="B1206" s="43" t="n"/>
      <c r="C1206" s="43" t="n"/>
      <c r="D1206" s="43" t="n"/>
      <c r="E1206" s="43" t="n"/>
      <c r="F1206" s="43" t="n"/>
      <c r="G1206" s="43" t="n"/>
      <c r="H1206" s="43" t="n"/>
      <c r="I1206" s="43" t="n"/>
      <c r="J1206" s="43" t="n"/>
      <c r="K1206" s="43" t="n"/>
      <c r="L1206" s="43" t="n"/>
      <c r="M1206" s="43" t="n"/>
    </row>
    <row r="1207">
      <c r="A1207" s="43" t="n"/>
      <c r="B1207" s="43" t="n"/>
      <c r="C1207" s="43" t="n"/>
      <c r="D1207" s="43" t="n"/>
      <c r="E1207" s="43" t="n"/>
      <c r="F1207" s="43" t="n"/>
      <c r="G1207" s="43" t="n"/>
      <c r="H1207" s="43" t="n"/>
      <c r="I1207" s="43" t="n"/>
      <c r="J1207" s="43" t="n"/>
      <c r="K1207" s="43" t="n"/>
      <c r="L1207" s="43" t="n"/>
      <c r="M1207" s="43" t="n"/>
    </row>
    <row r="1208">
      <c r="A1208" s="43" t="n"/>
      <c r="B1208" s="43" t="n"/>
      <c r="C1208" s="43" t="n"/>
      <c r="D1208" s="43" t="n"/>
      <c r="E1208" s="43" t="n"/>
      <c r="F1208" s="43" t="n"/>
      <c r="G1208" s="43" t="n"/>
      <c r="H1208" s="43" t="n"/>
      <c r="I1208" s="43" t="n"/>
      <c r="J1208" s="43" t="n"/>
      <c r="K1208" s="43" t="n"/>
      <c r="L1208" s="43" t="n"/>
      <c r="M1208" s="43" t="n"/>
    </row>
    <row r="1209">
      <c r="A1209" s="43" t="n"/>
      <c r="B1209" s="43" t="n"/>
      <c r="C1209" s="43" t="n"/>
      <c r="D1209" s="43" t="n"/>
      <c r="E1209" s="43" t="n"/>
      <c r="F1209" s="43" t="n"/>
      <c r="G1209" s="43" t="n"/>
      <c r="H1209" s="43" t="n"/>
      <c r="I1209" s="43" t="n"/>
      <c r="J1209" s="43" t="n"/>
      <c r="K1209" s="43" t="n"/>
      <c r="L1209" s="43" t="n"/>
      <c r="M1209" s="43" t="n"/>
    </row>
    <row r="1210">
      <c r="A1210" s="43" t="n"/>
      <c r="B1210" s="43" t="n"/>
      <c r="C1210" s="43" t="n"/>
      <c r="D1210" s="43" t="n"/>
      <c r="E1210" s="43" t="n"/>
      <c r="F1210" s="43" t="n"/>
      <c r="G1210" s="43" t="n"/>
      <c r="H1210" s="43" t="n"/>
      <c r="I1210" s="43" t="n"/>
      <c r="J1210" s="43" t="n"/>
      <c r="K1210" s="43" t="n"/>
      <c r="L1210" s="43" t="n"/>
      <c r="M1210" s="43" t="n"/>
    </row>
    <row r="1211">
      <c r="A1211" s="43" t="n"/>
      <c r="B1211" s="43" t="n"/>
      <c r="C1211" s="43" t="n"/>
      <c r="D1211" s="43" t="n"/>
      <c r="E1211" s="43" t="n"/>
      <c r="F1211" s="43" t="n"/>
      <c r="G1211" s="43" t="n"/>
      <c r="H1211" s="43" t="n"/>
      <c r="I1211" s="43" t="n"/>
      <c r="J1211" s="43" t="n"/>
      <c r="K1211" s="43" t="n"/>
      <c r="L1211" s="43" t="n"/>
      <c r="M1211" s="43" t="n"/>
    </row>
    <row r="1212">
      <c r="A1212" s="43" t="n"/>
      <c r="B1212" s="43" t="n"/>
      <c r="C1212" s="43" t="n"/>
      <c r="D1212" s="43" t="n"/>
      <c r="E1212" s="43" t="n"/>
      <c r="F1212" s="43" t="n"/>
      <c r="G1212" s="43" t="n"/>
      <c r="H1212" s="43" t="n"/>
      <c r="I1212" s="43" t="n"/>
      <c r="J1212" s="43" t="n"/>
      <c r="K1212" s="43" t="n"/>
      <c r="L1212" s="43" t="n"/>
      <c r="M1212" s="43" t="n"/>
    </row>
    <row r="1213">
      <c r="A1213" s="43" t="n"/>
      <c r="B1213" s="43" t="n"/>
      <c r="C1213" s="43" t="n"/>
      <c r="D1213" s="43" t="n"/>
      <c r="E1213" s="43" t="n"/>
      <c r="F1213" s="43" t="n"/>
      <c r="G1213" s="43" t="n"/>
      <c r="H1213" s="43" t="n"/>
      <c r="I1213" s="43" t="n"/>
      <c r="J1213" s="43" t="n"/>
      <c r="K1213" s="43" t="n"/>
      <c r="L1213" s="43" t="n"/>
      <c r="M1213" s="43" t="n"/>
    </row>
    <row r="1214">
      <c r="A1214" s="43" t="n"/>
      <c r="B1214" s="43" t="n"/>
      <c r="C1214" s="43" t="n"/>
      <c r="D1214" s="43" t="n"/>
      <c r="E1214" s="43" t="n"/>
      <c r="F1214" s="43" t="n"/>
      <c r="G1214" s="43" t="n"/>
      <c r="H1214" s="43" t="n"/>
      <c r="I1214" s="43" t="n"/>
      <c r="J1214" s="43" t="n"/>
      <c r="K1214" s="43" t="n"/>
      <c r="L1214" s="43" t="n"/>
      <c r="M1214" s="43" t="n"/>
    </row>
    <row r="1215">
      <c r="A1215" s="43" t="n"/>
      <c r="B1215" s="43" t="n"/>
      <c r="C1215" s="43" t="n"/>
      <c r="D1215" s="43" t="n"/>
      <c r="E1215" s="43" t="n"/>
      <c r="F1215" s="43" t="n"/>
      <c r="G1215" s="43" t="n"/>
      <c r="H1215" s="43" t="n"/>
      <c r="I1215" s="43" t="n"/>
      <c r="J1215" s="43" t="n"/>
      <c r="K1215" s="43" t="n"/>
      <c r="L1215" s="43" t="n"/>
      <c r="M1215" s="43" t="n"/>
    </row>
    <row r="1216">
      <c r="A1216" s="43" t="n"/>
      <c r="B1216" s="43" t="n"/>
      <c r="C1216" s="43" t="n"/>
      <c r="D1216" s="43" t="n"/>
      <c r="E1216" s="43" t="n"/>
      <c r="F1216" s="43" t="n"/>
      <c r="G1216" s="43" t="n"/>
      <c r="H1216" s="43" t="n"/>
      <c r="I1216" s="43" t="n"/>
      <c r="J1216" s="43" t="n"/>
      <c r="K1216" s="43" t="n"/>
      <c r="L1216" s="43" t="n"/>
      <c r="M1216" s="43" t="n"/>
    </row>
    <row r="1217">
      <c r="A1217" s="43" t="n"/>
      <c r="B1217" s="43" t="n"/>
      <c r="C1217" s="43" t="n"/>
      <c r="D1217" s="43" t="n"/>
      <c r="E1217" s="43" t="n"/>
      <c r="F1217" s="43" t="n"/>
      <c r="G1217" s="43" t="n"/>
      <c r="H1217" s="43" t="n"/>
      <c r="I1217" s="43" t="n"/>
      <c r="J1217" s="43" t="n"/>
      <c r="K1217" s="43" t="n"/>
      <c r="L1217" s="43" t="n"/>
      <c r="M1217" s="43" t="n"/>
    </row>
    <row r="1218">
      <c r="A1218" s="43" t="n"/>
      <c r="B1218" s="43" t="n"/>
      <c r="C1218" s="43" t="n"/>
      <c r="D1218" s="43" t="n"/>
      <c r="E1218" s="43" t="n"/>
      <c r="F1218" s="43" t="n"/>
      <c r="G1218" s="43" t="n"/>
      <c r="H1218" s="43" t="n"/>
      <c r="I1218" s="43" t="n"/>
      <c r="J1218" s="43" t="n"/>
      <c r="K1218" s="43" t="n"/>
      <c r="L1218" s="43" t="n"/>
      <c r="M1218" s="43" t="n"/>
    </row>
    <row r="1219">
      <c r="A1219" s="43" t="n"/>
      <c r="B1219" s="43" t="n"/>
      <c r="C1219" s="43" t="n"/>
      <c r="D1219" s="43" t="n"/>
      <c r="E1219" s="43" t="n"/>
      <c r="F1219" s="43" t="n"/>
      <c r="G1219" s="43" t="n"/>
      <c r="H1219" s="43" t="n"/>
      <c r="I1219" s="43" t="n"/>
      <c r="J1219" s="43" t="n"/>
      <c r="K1219" s="43" t="n"/>
      <c r="L1219" s="43" t="n"/>
      <c r="M1219" s="43" t="n"/>
    </row>
    <row r="1220">
      <c r="A1220" s="43" t="n"/>
      <c r="B1220" s="43" t="n"/>
      <c r="C1220" s="43" t="n"/>
      <c r="D1220" s="43" t="n"/>
      <c r="E1220" s="43" t="n"/>
      <c r="F1220" s="43" t="n"/>
      <c r="G1220" s="43" t="n"/>
      <c r="H1220" s="43" t="n"/>
      <c r="I1220" s="43" t="n"/>
      <c r="J1220" s="43" t="n"/>
      <c r="K1220" s="43" t="n"/>
      <c r="L1220" s="43" t="n"/>
      <c r="M1220" s="43" t="n"/>
    </row>
    <row r="1221">
      <c r="A1221" s="43" t="n"/>
      <c r="B1221" s="43" t="n"/>
      <c r="C1221" s="43" t="n"/>
      <c r="D1221" s="43" t="n"/>
      <c r="E1221" s="43" t="n"/>
      <c r="F1221" s="43" t="n"/>
      <c r="G1221" s="43" t="n"/>
      <c r="H1221" s="43" t="n"/>
      <c r="I1221" s="43" t="n"/>
      <c r="J1221" s="43" t="n"/>
      <c r="K1221" s="43" t="n"/>
      <c r="L1221" s="43" t="n"/>
      <c r="M1221" s="43" t="n"/>
    </row>
    <row r="1222">
      <c r="A1222" s="43" t="n"/>
      <c r="B1222" s="43" t="n"/>
      <c r="C1222" s="43" t="n"/>
      <c r="D1222" s="43" t="n"/>
      <c r="E1222" s="43" t="n"/>
      <c r="F1222" s="43" t="n"/>
      <c r="G1222" s="43" t="n"/>
      <c r="H1222" s="43" t="n"/>
      <c r="I1222" s="43" t="n"/>
      <c r="J1222" s="43" t="n"/>
      <c r="K1222" s="43" t="n"/>
      <c r="L1222" s="43" t="n"/>
      <c r="M1222" s="43" t="n"/>
    </row>
    <row r="1223">
      <c r="A1223" s="43" t="n"/>
      <c r="B1223" s="43" t="n"/>
      <c r="C1223" s="43" t="n"/>
      <c r="D1223" s="43" t="n"/>
      <c r="E1223" s="43" t="n"/>
      <c r="F1223" s="43" t="n"/>
      <c r="G1223" s="43" t="n"/>
      <c r="H1223" s="43" t="n"/>
      <c r="I1223" s="43" t="n"/>
      <c r="J1223" s="43" t="n"/>
      <c r="K1223" s="43" t="n"/>
      <c r="L1223" s="43" t="n"/>
      <c r="M1223" s="43" t="n"/>
    </row>
    <row r="1224">
      <c r="A1224" s="43" t="n"/>
      <c r="B1224" s="43" t="n"/>
      <c r="C1224" s="43" t="n"/>
      <c r="D1224" s="43" t="n"/>
      <c r="E1224" s="43" t="n"/>
      <c r="F1224" s="43" t="n"/>
      <c r="G1224" s="43" t="n"/>
      <c r="H1224" s="43" t="n"/>
      <c r="I1224" s="43" t="n"/>
      <c r="J1224" s="43" t="n"/>
      <c r="K1224" s="43" t="n"/>
      <c r="L1224" s="43" t="n"/>
      <c r="M1224" s="43" t="n"/>
    </row>
    <row r="1225">
      <c r="A1225" s="43" t="n"/>
      <c r="B1225" s="43" t="n"/>
      <c r="C1225" s="43" t="n"/>
      <c r="D1225" s="43" t="n"/>
      <c r="E1225" s="43" t="n"/>
      <c r="F1225" s="43" t="n"/>
      <c r="G1225" s="43" t="n"/>
      <c r="H1225" s="43" t="n"/>
      <c r="I1225" s="43" t="n"/>
      <c r="J1225" s="43" t="n"/>
      <c r="K1225" s="43" t="n"/>
      <c r="L1225" s="43" t="n"/>
      <c r="M1225" s="43" t="n"/>
    </row>
    <row r="1226">
      <c r="A1226" s="43" t="n"/>
      <c r="B1226" s="43" t="n"/>
      <c r="C1226" s="43" t="n"/>
      <c r="D1226" s="43" t="n"/>
      <c r="E1226" s="43" t="n"/>
      <c r="F1226" s="43" t="n"/>
      <c r="G1226" s="43" t="n"/>
      <c r="H1226" s="43" t="n"/>
      <c r="I1226" s="43" t="n"/>
      <c r="J1226" s="43" t="n"/>
      <c r="K1226" s="43" t="n"/>
      <c r="L1226" s="43" t="n"/>
      <c r="M1226" s="43" t="n"/>
    </row>
    <row r="1227">
      <c r="A1227" s="43" t="n"/>
      <c r="B1227" s="43" t="n"/>
      <c r="C1227" s="43" t="n"/>
      <c r="D1227" s="43" t="n"/>
      <c r="E1227" s="43" t="n"/>
      <c r="F1227" s="43" t="n"/>
      <c r="G1227" s="43" t="n"/>
      <c r="H1227" s="43" t="n"/>
      <c r="I1227" s="43" t="n"/>
      <c r="J1227" s="43" t="n"/>
      <c r="K1227" s="43" t="n"/>
      <c r="L1227" s="43" t="n"/>
      <c r="M1227" s="43" t="n"/>
    </row>
    <row r="1228">
      <c r="A1228" s="43" t="n"/>
      <c r="B1228" s="43" t="n"/>
      <c r="C1228" s="43" t="n"/>
      <c r="D1228" s="43" t="n"/>
      <c r="E1228" s="43" t="n"/>
      <c r="F1228" s="43" t="n"/>
      <c r="G1228" s="43" t="n"/>
      <c r="H1228" s="43" t="n"/>
      <c r="I1228" s="43" t="n"/>
      <c r="J1228" s="43" t="n"/>
      <c r="K1228" s="43" t="n"/>
      <c r="L1228" s="43" t="n"/>
      <c r="M1228" s="43" t="n"/>
    </row>
    <row r="1229">
      <c r="A1229" s="43" t="n"/>
      <c r="B1229" s="43" t="n"/>
      <c r="C1229" s="43" t="n"/>
      <c r="D1229" s="43" t="n"/>
      <c r="E1229" s="43" t="n"/>
      <c r="F1229" s="43" t="n"/>
      <c r="G1229" s="43" t="n"/>
      <c r="H1229" s="43" t="n"/>
      <c r="I1229" s="43" t="n"/>
      <c r="J1229" s="43" t="n"/>
      <c r="K1229" s="43" t="n"/>
      <c r="L1229" s="43" t="n"/>
      <c r="M1229" s="43" t="n"/>
    </row>
    <row r="1230">
      <c r="A1230" s="43" t="n"/>
      <c r="B1230" s="43" t="n"/>
      <c r="C1230" s="43" t="n"/>
      <c r="D1230" s="43" t="n"/>
      <c r="E1230" s="43" t="n"/>
      <c r="F1230" s="43" t="n"/>
      <c r="G1230" s="43" t="n"/>
      <c r="H1230" s="43" t="n"/>
      <c r="I1230" s="43" t="n"/>
      <c r="J1230" s="43" t="n"/>
      <c r="K1230" s="43" t="n"/>
      <c r="L1230" s="43" t="n"/>
      <c r="M1230" s="43" t="n"/>
    </row>
    <row r="1231">
      <c r="A1231" s="43" t="n"/>
      <c r="B1231" s="43" t="n"/>
      <c r="C1231" s="43" t="n"/>
      <c r="D1231" s="43" t="n"/>
      <c r="E1231" s="43" t="n"/>
      <c r="F1231" s="43" t="n"/>
      <c r="G1231" s="43" t="n"/>
      <c r="H1231" s="43" t="n"/>
      <c r="I1231" s="43" t="n"/>
      <c r="J1231" s="43" t="n"/>
      <c r="K1231" s="43" t="n"/>
      <c r="L1231" s="43" t="n"/>
      <c r="M1231" s="43" t="n"/>
    </row>
    <row r="1232">
      <c r="A1232" s="43" t="n"/>
      <c r="B1232" s="43" t="n"/>
      <c r="C1232" s="43" t="n"/>
      <c r="D1232" s="43" t="n"/>
      <c r="E1232" s="43" t="n"/>
      <c r="F1232" s="43" t="n"/>
      <c r="G1232" s="43" t="n"/>
      <c r="H1232" s="43" t="n"/>
      <c r="I1232" s="43" t="n"/>
      <c r="J1232" s="43" t="n"/>
      <c r="K1232" s="43" t="n"/>
      <c r="L1232" s="43" t="n"/>
      <c r="M1232" s="43" t="n"/>
    </row>
    <row r="1233">
      <c r="A1233" s="43" t="n"/>
      <c r="B1233" s="43" t="n"/>
      <c r="C1233" s="43" t="n"/>
      <c r="D1233" s="43" t="n"/>
      <c r="E1233" s="43" t="n"/>
      <c r="F1233" s="43" t="n"/>
      <c r="G1233" s="43" t="n"/>
      <c r="H1233" s="43" t="n"/>
      <c r="I1233" s="43" t="n"/>
      <c r="J1233" s="43" t="n"/>
      <c r="K1233" s="43" t="n"/>
      <c r="L1233" s="43" t="n"/>
      <c r="M1233" s="43" t="n"/>
    </row>
    <row r="1234">
      <c r="A1234" s="43" t="n"/>
      <c r="B1234" s="43" t="n"/>
      <c r="C1234" s="43" t="n"/>
      <c r="D1234" s="43" t="n"/>
      <c r="E1234" s="43" t="n"/>
      <c r="F1234" s="43" t="n"/>
      <c r="G1234" s="43" t="n"/>
      <c r="H1234" s="43" t="n"/>
      <c r="I1234" s="43" t="n"/>
      <c r="J1234" s="43" t="n"/>
      <c r="K1234" s="43" t="n"/>
      <c r="L1234" s="43" t="n"/>
      <c r="M1234" s="43" t="n"/>
    </row>
    <row r="1235">
      <c r="A1235" s="43" t="n"/>
      <c r="B1235" s="43" t="n"/>
      <c r="C1235" s="43" t="n"/>
      <c r="D1235" s="43" t="n"/>
      <c r="E1235" s="43" t="n"/>
      <c r="F1235" s="43" t="n"/>
      <c r="G1235" s="43" t="n"/>
      <c r="H1235" s="43" t="n"/>
      <c r="I1235" s="43" t="n"/>
      <c r="J1235" s="43" t="n"/>
      <c r="K1235" s="43" t="n"/>
      <c r="L1235" s="43" t="n"/>
      <c r="M1235" s="43" t="n"/>
    </row>
    <row r="1236">
      <c r="A1236" s="43" t="n"/>
      <c r="B1236" s="43" t="n"/>
      <c r="C1236" s="43" t="n"/>
      <c r="D1236" s="43" t="n"/>
      <c r="E1236" s="43" t="n"/>
      <c r="F1236" s="43" t="n"/>
      <c r="G1236" s="43" t="n"/>
      <c r="H1236" s="43" t="n"/>
      <c r="I1236" s="43" t="n"/>
      <c r="J1236" s="43" t="n"/>
      <c r="K1236" s="43" t="n"/>
      <c r="L1236" s="43" t="n"/>
      <c r="M1236" s="43" t="n"/>
    </row>
    <row r="1237">
      <c r="A1237" s="43" t="n"/>
      <c r="B1237" s="43" t="n"/>
      <c r="C1237" s="43" t="n"/>
      <c r="D1237" s="43" t="n"/>
      <c r="E1237" s="43" t="n"/>
      <c r="F1237" s="43" t="n"/>
      <c r="G1237" s="43" t="n"/>
      <c r="H1237" s="43" t="n"/>
      <c r="I1237" s="43" t="n"/>
      <c r="J1237" s="43" t="n"/>
      <c r="K1237" s="43" t="n"/>
      <c r="L1237" s="43" t="n"/>
      <c r="M1237" s="43" t="n"/>
    </row>
    <row r="1238">
      <c r="A1238" s="43" t="n"/>
      <c r="B1238" s="43" t="n"/>
      <c r="C1238" s="43" t="n"/>
      <c r="D1238" s="43" t="n"/>
      <c r="E1238" s="43" t="n"/>
      <c r="F1238" s="43" t="n"/>
      <c r="G1238" s="43" t="n"/>
      <c r="H1238" s="43" t="n"/>
      <c r="I1238" s="43" t="n"/>
      <c r="J1238" s="43" t="n"/>
      <c r="K1238" s="43" t="n"/>
      <c r="L1238" s="43" t="n"/>
      <c r="M1238" s="43" t="n"/>
    </row>
    <row r="1239">
      <c r="A1239" s="43" t="n"/>
      <c r="B1239" s="43" t="n"/>
      <c r="C1239" s="43" t="n"/>
      <c r="D1239" s="43" t="n"/>
      <c r="E1239" s="43" t="n"/>
      <c r="F1239" s="43" t="n"/>
      <c r="G1239" s="43" t="n"/>
      <c r="H1239" s="43" t="n"/>
      <c r="I1239" s="43" t="n"/>
      <c r="J1239" s="43" t="n"/>
      <c r="K1239" s="43" t="n"/>
      <c r="L1239" s="43" t="n"/>
      <c r="M1239" s="43" t="n"/>
    </row>
    <row r="1240">
      <c r="A1240" s="43" t="n"/>
      <c r="B1240" s="43" t="n"/>
      <c r="C1240" s="43" t="n"/>
      <c r="D1240" s="43" t="n"/>
      <c r="E1240" s="43" t="n"/>
      <c r="F1240" s="43" t="n"/>
      <c r="G1240" s="43" t="n"/>
      <c r="H1240" s="43" t="n"/>
      <c r="I1240" s="43" t="n"/>
      <c r="J1240" s="43" t="n"/>
      <c r="K1240" s="43" t="n"/>
      <c r="L1240" s="43" t="n"/>
      <c r="M1240" s="43" t="n"/>
    </row>
    <row r="1241">
      <c r="A1241" s="43" t="n"/>
      <c r="B1241" s="43" t="n"/>
      <c r="C1241" s="43" t="n"/>
      <c r="D1241" s="43" t="n"/>
      <c r="E1241" s="43" t="n"/>
      <c r="F1241" s="43" t="n"/>
      <c r="G1241" s="43" t="n"/>
      <c r="H1241" s="43" t="n"/>
      <c r="I1241" s="43" t="n"/>
      <c r="J1241" s="43" t="n"/>
      <c r="K1241" s="43" t="n"/>
      <c r="L1241" s="43" t="n"/>
      <c r="M1241" s="43" t="n"/>
    </row>
    <row r="1242">
      <c r="A1242" s="43" t="n"/>
      <c r="B1242" s="43" t="n"/>
      <c r="C1242" s="43" t="n"/>
      <c r="D1242" s="43" t="n"/>
      <c r="E1242" s="43" t="n"/>
      <c r="F1242" s="43" t="n"/>
      <c r="G1242" s="43" t="n"/>
      <c r="H1242" s="43" t="n"/>
      <c r="I1242" s="43" t="n"/>
      <c r="J1242" s="43" t="n"/>
      <c r="K1242" s="43" t="n"/>
      <c r="L1242" s="43" t="n"/>
      <c r="M1242" s="43" t="n"/>
    </row>
    <row r="1243">
      <c r="A1243" s="43" t="n"/>
      <c r="B1243" s="43" t="n"/>
      <c r="C1243" s="43" t="n"/>
      <c r="D1243" s="43" t="n"/>
      <c r="E1243" s="43" t="n"/>
      <c r="F1243" s="43" t="n"/>
      <c r="G1243" s="43" t="n"/>
      <c r="H1243" s="43" t="n"/>
      <c r="I1243" s="43" t="n"/>
      <c r="J1243" s="43" t="n"/>
      <c r="K1243" s="43" t="n"/>
      <c r="L1243" s="43" t="n"/>
      <c r="M1243" s="43" t="n"/>
    </row>
    <row r="1244">
      <c r="A1244" s="43" t="n"/>
      <c r="B1244" s="43" t="n"/>
      <c r="C1244" s="43" t="n"/>
      <c r="D1244" s="43" t="n"/>
      <c r="E1244" s="43" t="n"/>
      <c r="F1244" s="43" t="n"/>
      <c r="G1244" s="43" t="n"/>
      <c r="H1244" s="43" t="n"/>
      <c r="I1244" s="43" t="n"/>
      <c r="J1244" s="43" t="n"/>
      <c r="K1244" s="43" t="n"/>
      <c r="L1244" s="43" t="n"/>
      <c r="M1244" s="43" t="n"/>
    </row>
    <row r="1245">
      <c r="A1245" s="43" t="n"/>
      <c r="B1245" s="43" t="n"/>
      <c r="C1245" s="43" t="n"/>
      <c r="D1245" s="43" t="n"/>
      <c r="E1245" s="43" t="n"/>
      <c r="F1245" s="43" t="n"/>
      <c r="G1245" s="43" t="n"/>
      <c r="H1245" s="43" t="n"/>
      <c r="I1245" s="43" t="n"/>
      <c r="J1245" s="43" t="n"/>
      <c r="K1245" s="43" t="n"/>
      <c r="L1245" s="43" t="n"/>
      <c r="M1245" s="43" t="n"/>
    </row>
    <row r="1246">
      <c r="A1246" s="43" t="n"/>
      <c r="B1246" s="43" t="n"/>
      <c r="C1246" s="43" t="n"/>
      <c r="D1246" s="43" t="n"/>
      <c r="E1246" s="43" t="n"/>
      <c r="F1246" s="43" t="n"/>
      <c r="G1246" s="43" t="n"/>
      <c r="H1246" s="43" t="n"/>
      <c r="I1246" s="43" t="n"/>
      <c r="J1246" s="43" t="n"/>
      <c r="K1246" s="43" t="n"/>
      <c r="L1246" s="43" t="n"/>
      <c r="M1246" s="43" t="n"/>
    </row>
    <row r="1247">
      <c r="A1247" s="43" t="n"/>
      <c r="B1247" s="43" t="n"/>
      <c r="C1247" s="43" t="n"/>
      <c r="D1247" s="43" t="n"/>
      <c r="E1247" s="43" t="n"/>
      <c r="F1247" s="43" t="n"/>
      <c r="G1247" s="43" t="n"/>
      <c r="H1247" s="43" t="n"/>
      <c r="I1247" s="43" t="n"/>
      <c r="J1247" s="43" t="n"/>
      <c r="K1247" s="43" t="n"/>
      <c r="L1247" s="43" t="n"/>
      <c r="M1247" s="43" t="n"/>
    </row>
    <row r="1248">
      <c r="A1248" s="43" t="n"/>
      <c r="B1248" s="43" t="n"/>
      <c r="C1248" s="43" t="n"/>
      <c r="D1248" s="43" t="n"/>
      <c r="E1248" s="43" t="n"/>
      <c r="F1248" s="43" t="n"/>
      <c r="G1248" s="43" t="n"/>
      <c r="H1248" s="43" t="n"/>
      <c r="I1248" s="43" t="n"/>
      <c r="J1248" s="43" t="n"/>
      <c r="K1248" s="43" t="n"/>
      <c r="L1248" s="43" t="n"/>
      <c r="M1248" s="43" t="n"/>
    </row>
    <row r="1249">
      <c r="A1249" s="43" t="n"/>
      <c r="B1249" s="43" t="n"/>
      <c r="C1249" s="43" t="n"/>
      <c r="D1249" s="43" t="n"/>
      <c r="E1249" s="43" t="n"/>
      <c r="F1249" s="43" t="n"/>
      <c r="G1249" s="43" t="n"/>
      <c r="H1249" s="43" t="n"/>
      <c r="I1249" s="43" t="n"/>
      <c r="J1249" s="43" t="n"/>
      <c r="K1249" s="43" t="n"/>
      <c r="L1249" s="43" t="n"/>
      <c r="M1249" s="43" t="n"/>
    </row>
    <row r="1250">
      <c r="A1250" s="43" t="n"/>
      <c r="B1250" s="43" t="n"/>
      <c r="C1250" s="43" t="n"/>
      <c r="D1250" s="43" t="n"/>
      <c r="E1250" s="43" t="n"/>
      <c r="F1250" s="43" t="n"/>
      <c r="G1250" s="43" t="n"/>
      <c r="H1250" s="43" t="n"/>
      <c r="I1250" s="43" t="n"/>
      <c r="J1250" s="43" t="n"/>
      <c r="K1250" s="43" t="n"/>
      <c r="L1250" s="43" t="n"/>
      <c r="M1250" s="43" t="n"/>
    </row>
    <row r="1251">
      <c r="A1251" s="43" t="n"/>
      <c r="B1251" s="43" t="n"/>
      <c r="C1251" s="43" t="n"/>
      <c r="D1251" s="43" t="n"/>
      <c r="E1251" s="43" t="n"/>
      <c r="F1251" s="43" t="n"/>
      <c r="G1251" s="43" t="n"/>
      <c r="H1251" s="43" t="n"/>
      <c r="I1251" s="43" t="n"/>
      <c r="J1251" s="43" t="n"/>
      <c r="K1251" s="43" t="n"/>
      <c r="L1251" s="43" t="n"/>
      <c r="M1251" s="43" t="n"/>
    </row>
    <row r="1252">
      <c r="A1252" s="43" t="n"/>
      <c r="B1252" s="43" t="n"/>
      <c r="C1252" s="43" t="n"/>
      <c r="D1252" s="43" t="n"/>
      <c r="E1252" s="43" t="n"/>
      <c r="F1252" s="43" t="n"/>
      <c r="G1252" s="43" t="n"/>
      <c r="H1252" s="43" t="n"/>
      <c r="I1252" s="43" t="n"/>
      <c r="J1252" s="43" t="n"/>
      <c r="K1252" s="43" t="n"/>
      <c r="L1252" s="43" t="n"/>
      <c r="M1252" s="43" t="n"/>
    </row>
    <row r="1253">
      <c r="A1253" s="43" t="n"/>
      <c r="B1253" s="43" t="n"/>
      <c r="C1253" s="43" t="n"/>
      <c r="D1253" s="43" t="n"/>
      <c r="E1253" s="43" t="n"/>
      <c r="F1253" s="43" t="n"/>
      <c r="G1253" s="43" t="n"/>
      <c r="H1253" s="43" t="n"/>
      <c r="I1253" s="43" t="n"/>
      <c r="J1253" s="43" t="n"/>
      <c r="K1253" s="43" t="n"/>
      <c r="L1253" s="43" t="n"/>
      <c r="M1253" s="43" t="n"/>
    </row>
    <row r="1254">
      <c r="A1254" s="43" t="n"/>
      <c r="B1254" s="43" t="n"/>
      <c r="C1254" s="43" t="n"/>
      <c r="D1254" s="43" t="n"/>
      <c r="E1254" s="43" t="n"/>
      <c r="F1254" s="43" t="n"/>
      <c r="G1254" s="43" t="n"/>
      <c r="H1254" s="43" t="n"/>
      <c r="I1254" s="43" t="n"/>
      <c r="J1254" s="43" t="n"/>
      <c r="K1254" s="43" t="n"/>
      <c r="L1254" s="43" t="n"/>
      <c r="M1254" s="43" t="n"/>
    </row>
    <row r="1255">
      <c r="A1255" s="43" t="n"/>
      <c r="B1255" s="43" t="n"/>
      <c r="C1255" s="43" t="n"/>
      <c r="D1255" s="43" t="n"/>
      <c r="E1255" s="43" t="n"/>
      <c r="F1255" s="43" t="n"/>
      <c r="G1255" s="43" t="n"/>
      <c r="H1255" s="43" t="n"/>
      <c r="I1255" s="43" t="n"/>
      <c r="J1255" s="43" t="n"/>
      <c r="K1255" s="43" t="n"/>
      <c r="L1255" s="43" t="n"/>
      <c r="M1255" s="43" t="n"/>
    </row>
    <row r="1256">
      <c r="A1256" s="43" t="n"/>
      <c r="B1256" s="43" t="n"/>
      <c r="C1256" s="43" t="n"/>
      <c r="D1256" s="43" t="n"/>
      <c r="E1256" s="43" t="n"/>
      <c r="F1256" s="43" t="n"/>
      <c r="G1256" s="43" t="n"/>
      <c r="H1256" s="43" t="n"/>
      <c r="I1256" s="43" t="n"/>
      <c r="J1256" s="43" t="n"/>
      <c r="K1256" s="43" t="n"/>
      <c r="L1256" s="43" t="n"/>
      <c r="M1256" s="43" t="n"/>
    </row>
    <row r="1257">
      <c r="A1257" s="43" t="n"/>
      <c r="B1257" s="43" t="n"/>
      <c r="C1257" s="43" t="n"/>
      <c r="D1257" s="43" t="n"/>
      <c r="E1257" s="43" t="n"/>
      <c r="F1257" s="43" t="n"/>
      <c r="G1257" s="43" t="n"/>
      <c r="H1257" s="43" t="n"/>
      <c r="I1257" s="43" t="n"/>
      <c r="J1257" s="43" t="n"/>
      <c r="K1257" s="43" t="n"/>
      <c r="L1257" s="43" t="n"/>
      <c r="M1257" s="43" t="n"/>
    </row>
    <row r="1258">
      <c r="A1258" s="43" t="n"/>
      <c r="B1258" s="43" t="n"/>
      <c r="C1258" s="43" t="n"/>
      <c r="D1258" s="43" t="n"/>
      <c r="E1258" s="43" t="n"/>
      <c r="F1258" s="43" t="n"/>
      <c r="G1258" s="43" t="n"/>
      <c r="H1258" s="43" t="n"/>
      <c r="I1258" s="43" t="n"/>
      <c r="J1258" s="43" t="n"/>
      <c r="K1258" s="43" t="n"/>
      <c r="L1258" s="43" t="n"/>
      <c r="M1258" s="43" t="n"/>
    </row>
    <row r="1259">
      <c r="A1259" s="43" t="n"/>
      <c r="B1259" s="43" t="n"/>
      <c r="C1259" s="43" t="n"/>
      <c r="D1259" s="43" t="n"/>
      <c r="E1259" s="43" t="n"/>
      <c r="F1259" s="43" t="n"/>
      <c r="G1259" s="43" t="n"/>
      <c r="H1259" s="43" t="n"/>
      <c r="I1259" s="43" t="n"/>
      <c r="J1259" s="43" t="n"/>
      <c r="K1259" s="43" t="n"/>
      <c r="L1259" s="43" t="n"/>
      <c r="M1259" s="43" t="n"/>
    </row>
    <row r="1260">
      <c r="A1260" s="43" t="n"/>
      <c r="B1260" s="43" t="n"/>
      <c r="C1260" s="43" t="n"/>
      <c r="D1260" s="43" t="n"/>
      <c r="E1260" s="43" t="n"/>
      <c r="F1260" s="43" t="n"/>
      <c r="G1260" s="43" t="n"/>
      <c r="H1260" s="43" t="n"/>
      <c r="I1260" s="43" t="n"/>
      <c r="J1260" s="43" t="n"/>
      <c r="K1260" s="43" t="n"/>
      <c r="L1260" s="43" t="n"/>
      <c r="M1260" s="43" t="n"/>
    </row>
    <row r="1261">
      <c r="A1261" s="43" t="n"/>
      <c r="B1261" s="43" t="n"/>
      <c r="C1261" s="43" t="n"/>
      <c r="D1261" s="43" t="n"/>
      <c r="E1261" s="43" t="n"/>
      <c r="F1261" s="43" t="n"/>
      <c r="G1261" s="43" t="n"/>
      <c r="H1261" s="43" t="n"/>
      <c r="I1261" s="43" t="n"/>
      <c r="J1261" s="43" t="n"/>
      <c r="K1261" s="43" t="n"/>
      <c r="L1261" s="43" t="n"/>
      <c r="M1261" s="43" t="n"/>
    </row>
    <row r="1262">
      <c r="A1262" s="43" t="n"/>
      <c r="B1262" s="43" t="n"/>
      <c r="C1262" s="43" t="n"/>
      <c r="D1262" s="43" t="n"/>
      <c r="E1262" s="43" t="n"/>
      <c r="F1262" s="43" t="n"/>
      <c r="G1262" s="43" t="n"/>
      <c r="H1262" s="43" t="n"/>
      <c r="I1262" s="43" t="n"/>
      <c r="J1262" s="43" t="n"/>
      <c r="K1262" s="43" t="n"/>
      <c r="L1262" s="43" t="n"/>
      <c r="M1262" s="43" t="n"/>
    </row>
    <row r="1263">
      <c r="A1263" s="43" t="n"/>
      <c r="B1263" s="43" t="n"/>
      <c r="C1263" s="43" t="n"/>
      <c r="D1263" s="43" t="n"/>
      <c r="E1263" s="43" t="n"/>
      <c r="F1263" s="43" t="n"/>
      <c r="G1263" s="43" t="n"/>
      <c r="H1263" s="43" t="n"/>
      <c r="I1263" s="43" t="n"/>
      <c r="J1263" s="43" t="n"/>
      <c r="K1263" s="43" t="n"/>
      <c r="L1263" s="43" t="n"/>
      <c r="M1263" s="43" t="n"/>
    </row>
    <row r="1264">
      <c r="A1264" s="43" t="n"/>
      <c r="B1264" s="43" t="n"/>
      <c r="C1264" s="43" t="n"/>
      <c r="D1264" s="43" t="n"/>
      <c r="E1264" s="43" t="n"/>
      <c r="F1264" s="43" t="n"/>
      <c r="G1264" s="43" t="n"/>
      <c r="H1264" s="43" t="n"/>
      <c r="I1264" s="43" t="n"/>
      <c r="J1264" s="43" t="n"/>
      <c r="K1264" s="43" t="n"/>
      <c r="L1264" s="43" t="n"/>
      <c r="M1264" s="43" t="n"/>
    </row>
    <row r="1265">
      <c r="A1265" s="43" t="n"/>
      <c r="B1265" s="43" t="n"/>
      <c r="C1265" s="43" t="n"/>
      <c r="D1265" s="43" t="n"/>
      <c r="E1265" s="43" t="n"/>
      <c r="F1265" s="43" t="n"/>
      <c r="G1265" s="43" t="n"/>
      <c r="H1265" s="43" t="n"/>
      <c r="I1265" s="43" t="n"/>
      <c r="J1265" s="43" t="n"/>
      <c r="K1265" s="43" t="n"/>
      <c r="L1265" s="43" t="n"/>
      <c r="M1265" s="43" t="n"/>
    </row>
    <row r="1266">
      <c r="A1266" s="43" t="n"/>
      <c r="B1266" s="43" t="n"/>
      <c r="C1266" s="43" t="n"/>
      <c r="D1266" s="43" t="n"/>
      <c r="E1266" s="43" t="n"/>
      <c r="F1266" s="43" t="n"/>
      <c r="G1266" s="43" t="n"/>
      <c r="H1266" s="43" t="n"/>
      <c r="I1266" s="43" t="n"/>
      <c r="J1266" s="43" t="n"/>
      <c r="K1266" s="43" t="n"/>
      <c r="L1266" s="43" t="n"/>
      <c r="M1266" s="43" t="n"/>
    </row>
    <row r="1267">
      <c r="A1267" s="43" t="n"/>
      <c r="B1267" s="43" t="n"/>
      <c r="C1267" s="43" t="n"/>
      <c r="D1267" s="43" t="n"/>
      <c r="E1267" s="43" t="n"/>
      <c r="F1267" s="43" t="n"/>
      <c r="G1267" s="43" t="n"/>
      <c r="H1267" s="43" t="n"/>
      <c r="I1267" s="43" t="n"/>
      <c r="J1267" s="43" t="n"/>
      <c r="K1267" s="43" t="n"/>
      <c r="L1267" s="43" t="n"/>
      <c r="M1267" s="43" t="n"/>
    </row>
    <row r="1268">
      <c r="A1268" s="43" t="n"/>
      <c r="B1268" s="43" t="n"/>
      <c r="C1268" s="43" t="n"/>
      <c r="D1268" s="43" t="n"/>
      <c r="E1268" s="43" t="n"/>
      <c r="F1268" s="43" t="n"/>
      <c r="G1268" s="43" t="n"/>
      <c r="H1268" s="43" t="n"/>
      <c r="I1268" s="43" t="n"/>
      <c r="J1268" s="43" t="n"/>
      <c r="K1268" s="43" t="n"/>
      <c r="L1268" s="43" t="n"/>
      <c r="M1268" s="43" t="n"/>
    </row>
    <row r="1269">
      <c r="A1269" s="43" t="n"/>
      <c r="B1269" s="43" t="n"/>
      <c r="C1269" s="43" t="n"/>
      <c r="D1269" s="43" t="n"/>
      <c r="E1269" s="43" t="n"/>
      <c r="F1269" s="43" t="n"/>
      <c r="G1269" s="43" t="n"/>
      <c r="H1269" s="43" t="n"/>
      <c r="I1269" s="43" t="n"/>
      <c r="J1269" s="43" t="n"/>
      <c r="K1269" s="43" t="n"/>
      <c r="L1269" s="43" t="n"/>
      <c r="M1269" s="43" t="n"/>
    </row>
    <row r="1270">
      <c r="A1270" s="43" t="n"/>
      <c r="B1270" s="43" t="n"/>
      <c r="C1270" s="43" t="n"/>
      <c r="D1270" s="43" t="n"/>
      <c r="E1270" s="43" t="n"/>
      <c r="F1270" s="43" t="n"/>
      <c r="G1270" s="43" t="n"/>
      <c r="H1270" s="43" t="n"/>
      <c r="I1270" s="43" t="n"/>
      <c r="J1270" s="43" t="n"/>
      <c r="K1270" s="43" t="n"/>
      <c r="L1270" s="43" t="n"/>
      <c r="M1270" s="43" t="n"/>
    </row>
    <row r="1271">
      <c r="A1271" s="43" t="n"/>
      <c r="B1271" s="43" t="n"/>
      <c r="C1271" s="43" t="n"/>
      <c r="D1271" s="43" t="n"/>
      <c r="E1271" s="43" t="n"/>
      <c r="F1271" s="43" t="n"/>
      <c r="G1271" s="43" t="n"/>
      <c r="H1271" s="43" t="n"/>
      <c r="I1271" s="43" t="n"/>
      <c r="J1271" s="43" t="n"/>
      <c r="K1271" s="43" t="n"/>
      <c r="L1271" s="43" t="n"/>
      <c r="M1271" s="43" t="n"/>
    </row>
    <row r="1272">
      <c r="A1272" s="43" t="n"/>
      <c r="B1272" s="43" t="n"/>
      <c r="C1272" s="43" t="n"/>
      <c r="D1272" s="43" t="n"/>
      <c r="E1272" s="43" t="n"/>
      <c r="F1272" s="43" t="n"/>
      <c r="G1272" s="43" t="n"/>
      <c r="H1272" s="43" t="n"/>
      <c r="I1272" s="43" t="n"/>
      <c r="J1272" s="43" t="n"/>
      <c r="K1272" s="43" t="n"/>
      <c r="L1272" s="43" t="n"/>
      <c r="M1272" s="43" t="n"/>
    </row>
    <row r="1273">
      <c r="A1273" s="43" t="n"/>
      <c r="B1273" s="43" t="n"/>
      <c r="C1273" s="43" t="n"/>
      <c r="D1273" s="43" t="n"/>
      <c r="E1273" s="43" t="n"/>
      <c r="F1273" s="43" t="n"/>
      <c r="G1273" s="43" t="n"/>
      <c r="H1273" s="43" t="n"/>
      <c r="I1273" s="43" t="n"/>
      <c r="J1273" s="43" t="n"/>
      <c r="K1273" s="43" t="n"/>
      <c r="L1273" s="43" t="n"/>
      <c r="M1273" s="43" t="n"/>
    </row>
    <row r="1274">
      <c r="A1274" s="43" t="n"/>
      <c r="B1274" s="43" t="n"/>
      <c r="C1274" s="43" t="n"/>
      <c r="D1274" s="43" t="n"/>
      <c r="E1274" s="43" t="n"/>
      <c r="F1274" s="43" t="n"/>
      <c r="G1274" s="43" t="n"/>
      <c r="H1274" s="43" t="n"/>
      <c r="I1274" s="43" t="n"/>
      <c r="J1274" s="43" t="n"/>
      <c r="K1274" s="43" t="n"/>
      <c r="L1274" s="43" t="n"/>
      <c r="M1274" s="43" t="n"/>
    </row>
    <row r="1275">
      <c r="A1275" s="43" t="n"/>
      <c r="B1275" s="43" t="n"/>
      <c r="C1275" s="43" t="n"/>
      <c r="D1275" s="43" t="n"/>
      <c r="E1275" s="43" t="n"/>
      <c r="F1275" s="43" t="n"/>
      <c r="G1275" s="43" t="n"/>
      <c r="H1275" s="43" t="n"/>
      <c r="I1275" s="43" t="n"/>
      <c r="J1275" s="43" t="n"/>
      <c r="K1275" s="43" t="n"/>
      <c r="L1275" s="43" t="n"/>
      <c r="M1275" s="43" t="n"/>
    </row>
    <row r="1276">
      <c r="A1276" s="43" t="n"/>
      <c r="B1276" s="43" t="n"/>
      <c r="C1276" s="43" t="n"/>
      <c r="D1276" s="43" t="n"/>
      <c r="E1276" s="43" t="n"/>
      <c r="F1276" s="43" t="n"/>
      <c r="G1276" s="43" t="n"/>
      <c r="H1276" s="43" t="n"/>
      <c r="I1276" s="43" t="n"/>
      <c r="J1276" s="43" t="n"/>
      <c r="K1276" s="43" t="n"/>
      <c r="L1276" s="43" t="n"/>
      <c r="M1276" s="43" t="n"/>
    </row>
    <row r="1277">
      <c r="A1277" s="43" t="n"/>
      <c r="B1277" s="43" t="n"/>
      <c r="C1277" s="43" t="n"/>
      <c r="D1277" s="43" t="n"/>
      <c r="E1277" s="43" t="n"/>
      <c r="F1277" s="43" t="n"/>
      <c r="G1277" s="43" t="n"/>
      <c r="H1277" s="43" t="n"/>
      <c r="I1277" s="43" t="n"/>
      <c r="J1277" s="43" t="n"/>
      <c r="K1277" s="43" t="n"/>
      <c r="L1277" s="43" t="n"/>
      <c r="M1277" s="43" t="n"/>
    </row>
    <row r="1278">
      <c r="A1278" s="43" t="n"/>
      <c r="B1278" s="43" t="n"/>
      <c r="C1278" s="43" t="n"/>
      <c r="D1278" s="43" t="n"/>
      <c r="E1278" s="43" t="n"/>
      <c r="F1278" s="43" t="n"/>
      <c r="G1278" s="43" t="n"/>
      <c r="H1278" s="43" t="n"/>
      <c r="I1278" s="43" t="n"/>
      <c r="J1278" s="43" t="n"/>
      <c r="K1278" s="43" t="n"/>
      <c r="L1278" s="43" t="n"/>
      <c r="M1278" s="43" t="n"/>
    </row>
    <row r="1279">
      <c r="A1279" s="43" t="n"/>
      <c r="B1279" s="43" t="n"/>
      <c r="C1279" s="43" t="n"/>
      <c r="D1279" s="43" t="n"/>
      <c r="E1279" s="43" t="n"/>
      <c r="F1279" s="43" t="n"/>
      <c r="G1279" s="43" t="n"/>
      <c r="H1279" s="43" t="n"/>
      <c r="I1279" s="43" t="n"/>
      <c r="J1279" s="43" t="n"/>
      <c r="K1279" s="43" t="n"/>
      <c r="L1279" s="43" t="n"/>
      <c r="M1279" s="43" t="n"/>
    </row>
    <row r="1280">
      <c r="A1280" s="43" t="n"/>
      <c r="B1280" s="43" t="n"/>
      <c r="C1280" s="43" t="n"/>
      <c r="D1280" s="43" t="n"/>
      <c r="E1280" s="43" t="n"/>
      <c r="F1280" s="43" t="n"/>
      <c r="G1280" s="43" t="n"/>
      <c r="H1280" s="43" t="n"/>
      <c r="I1280" s="43" t="n"/>
      <c r="J1280" s="43" t="n"/>
      <c r="K1280" s="43" t="n"/>
      <c r="L1280" s="43" t="n"/>
      <c r="M1280" s="43" t="n"/>
    </row>
    <row r="1281">
      <c r="A1281" s="43" t="n"/>
      <c r="B1281" s="43" t="n"/>
      <c r="C1281" s="43" t="n"/>
      <c r="D1281" s="43" t="n"/>
      <c r="E1281" s="43" t="n"/>
      <c r="F1281" s="43" t="n"/>
      <c r="G1281" s="43" t="n"/>
      <c r="H1281" s="43" t="n"/>
      <c r="I1281" s="43" t="n"/>
      <c r="J1281" s="43" t="n"/>
      <c r="K1281" s="43" t="n"/>
      <c r="L1281" s="43" t="n"/>
      <c r="M1281" s="43" t="n"/>
    </row>
    <row r="1282">
      <c r="A1282" s="43" t="n"/>
      <c r="B1282" s="43" t="n"/>
      <c r="C1282" s="43" t="n"/>
      <c r="D1282" s="43" t="n"/>
      <c r="E1282" s="43" t="n"/>
      <c r="F1282" s="43" t="n"/>
      <c r="G1282" s="43" t="n"/>
      <c r="H1282" s="43" t="n"/>
      <c r="I1282" s="43" t="n"/>
      <c r="J1282" s="43" t="n"/>
      <c r="K1282" s="43" t="n"/>
      <c r="L1282" s="43" t="n"/>
      <c r="M1282" s="43" t="n"/>
    </row>
    <row r="1283">
      <c r="A1283" s="43" t="n"/>
      <c r="B1283" s="43" t="n"/>
      <c r="C1283" s="43" t="n"/>
      <c r="D1283" s="43" t="n"/>
      <c r="E1283" s="43" t="n"/>
      <c r="F1283" s="43" t="n"/>
      <c r="G1283" s="43" t="n"/>
      <c r="H1283" s="43" t="n"/>
      <c r="I1283" s="43" t="n"/>
      <c r="J1283" s="43" t="n"/>
      <c r="K1283" s="43" t="n"/>
      <c r="L1283" s="43" t="n"/>
      <c r="M1283" s="43" t="n"/>
    </row>
    <row r="1284">
      <c r="A1284" s="43" t="n"/>
      <c r="B1284" s="43" t="n"/>
      <c r="C1284" s="43" t="n"/>
      <c r="D1284" s="43" t="n"/>
      <c r="E1284" s="43" t="n"/>
      <c r="F1284" s="43" t="n"/>
      <c r="G1284" s="43" t="n"/>
      <c r="H1284" s="43" t="n"/>
      <c r="I1284" s="43" t="n"/>
      <c r="J1284" s="43" t="n"/>
      <c r="K1284" s="43" t="n"/>
      <c r="L1284" s="43" t="n"/>
      <c r="M1284" s="43" t="n"/>
    </row>
    <row r="1285">
      <c r="A1285" s="43" t="n"/>
      <c r="B1285" s="43" t="n"/>
      <c r="C1285" s="43" t="n"/>
      <c r="D1285" s="43" t="n"/>
      <c r="E1285" s="43" t="n"/>
      <c r="F1285" s="43" t="n"/>
      <c r="G1285" s="43" t="n"/>
      <c r="H1285" s="43" t="n"/>
      <c r="I1285" s="43" t="n"/>
      <c r="J1285" s="43" t="n"/>
      <c r="K1285" s="43" t="n"/>
      <c r="L1285" s="43" t="n"/>
      <c r="M1285" s="43" t="n"/>
    </row>
    <row r="1286">
      <c r="A1286" s="43" t="n"/>
      <c r="B1286" s="43" t="n"/>
      <c r="C1286" s="43" t="n"/>
      <c r="D1286" s="43" t="n"/>
      <c r="E1286" s="43" t="n"/>
      <c r="F1286" s="43" t="n"/>
      <c r="G1286" s="43" t="n"/>
      <c r="H1286" s="43" t="n"/>
      <c r="I1286" s="43" t="n"/>
      <c r="J1286" s="43" t="n"/>
      <c r="K1286" s="43" t="n"/>
      <c r="L1286" s="43" t="n"/>
      <c r="M1286" s="43" t="n"/>
    </row>
    <row r="1287">
      <c r="A1287" s="43" t="n"/>
      <c r="B1287" s="43" t="n"/>
      <c r="C1287" s="43" t="n"/>
      <c r="D1287" s="43" t="n"/>
      <c r="E1287" s="43" t="n"/>
      <c r="F1287" s="43" t="n"/>
      <c r="G1287" s="43" t="n"/>
      <c r="H1287" s="43" t="n"/>
      <c r="I1287" s="43" t="n"/>
      <c r="J1287" s="43" t="n"/>
      <c r="K1287" s="43" t="n"/>
      <c r="L1287" s="43" t="n"/>
      <c r="M1287" s="43" t="n"/>
    </row>
    <row r="1288">
      <c r="A1288" s="43" t="n"/>
      <c r="B1288" s="43" t="n"/>
      <c r="C1288" s="43" t="n"/>
      <c r="D1288" s="43" t="n"/>
      <c r="E1288" s="43" t="n"/>
      <c r="F1288" s="43" t="n"/>
      <c r="G1288" s="43" t="n"/>
      <c r="H1288" s="43" t="n"/>
      <c r="I1288" s="43" t="n"/>
      <c r="J1288" s="43" t="n"/>
      <c r="K1288" s="43" t="n"/>
      <c r="L1288" s="43" t="n"/>
      <c r="M1288" s="43" t="n"/>
    </row>
    <row r="1289">
      <c r="A1289" s="43" t="n"/>
      <c r="B1289" s="43" t="n"/>
      <c r="C1289" s="43" t="n"/>
      <c r="D1289" s="43" t="n"/>
      <c r="E1289" s="43" t="n"/>
      <c r="F1289" s="43" t="n"/>
      <c r="G1289" s="43" t="n"/>
      <c r="H1289" s="43" t="n"/>
      <c r="I1289" s="43" t="n"/>
      <c r="J1289" s="43" t="n"/>
      <c r="K1289" s="43" t="n"/>
      <c r="L1289" s="43" t="n"/>
      <c r="M1289" s="43" t="n"/>
    </row>
    <row r="1290">
      <c r="A1290" s="43" t="n"/>
      <c r="B1290" s="43" t="n"/>
      <c r="C1290" s="43" t="n"/>
      <c r="D1290" s="43" t="n"/>
      <c r="E1290" s="43" t="n"/>
      <c r="F1290" s="43" t="n"/>
      <c r="G1290" s="43" t="n"/>
      <c r="H1290" s="43" t="n"/>
      <c r="I1290" s="43" t="n"/>
      <c r="J1290" s="43" t="n"/>
      <c r="K1290" s="43" t="n"/>
      <c r="L1290" s="43" t="n"/>
      <c r="M1290" s="43" t="n"/>
    </row>
    <row r="1291">
      <c r="A1291" s="43" t="n"/>
      <c r="B1291" s="43" t="n"/>
      <c r="C1291" s="43" t="n"/>
      <c r="D1291" s="43" t="n"/>
      <c r="E1291" s="43" t="n"/>
      <c r="F1291" s="43" t="n"/>
      <c r="G1291" s="43" t="n"/>
      <c r="H1291" s="43" t="n"/>
      <c r="I1291" s="43" t="n"/>
      <c r="J1291" s="43" t="n"/>
      <c r="K1291" s="43" t="n"/>
      <c r="L1291" s="43" t="n"/>
      <c r="M1291" s="43" t="n"/>
    </row>
    <row r="1292">
      <c r="A1292" s="43" t="n"/>
      <c r="B1292" s="43" t="n"/>
      <c r="C1292" s="43" t="n"/>
      <c r="D1292" s="43" t="n"/>
      <c r="E1292" s="43" t="n"/>
      <c r="F1292" s="43" t="n"/>
      <c r="G1292" s="43" t="n"/>
      <c r="H1292" s="43" t="n"/>
      <c r="I1292" s="43" t="n"/>
      <c r="J1292" s="43" t="n"/>
      <c r="K1292" s="43" t="n"/>
      <c r="L1292" s="43" t="n"/>
      <c r="M1292" s="43" t="n"/>
    </row>
    <row r="1293">
      <c r="A1293" s="43" t="n"/>
      <c r="B1293" s="43" t="n"/>
      <c r="C1293" s="43" t="n"/>
      <c r="D1293" s="43" t="n"/>
      <c r="E1293" s="43" t="n"/>
      <c r="F1293" s="43" t="n"/>
      <c r="G1293" s="43" t="n"/>
      <c r="H1293" s="43" t="n"/>
      <c r="I1293" s="43" t="n"/>
      <c r="J1293" s="43" t="n"/>
      <c r="K1293" s="43" t="n"/>
      <c r="L1293" s="43" t="n"/>
      <c r="M1293" s="43" t="n"/>
    </row>
    <row r="1294">
      <c r="A1294" s="43" t="n"/>
      <c r="B1294" s="43" t="n"/>
      <c r="C1294" s="43" t="n"/>
      <c r="D1294" s="43" t="n"/>
      <c r="E1294" s="43" t="n"/>
      <c r="F1294" s="43" t="n"/>
      <c r="G1294" s="43" t="n"/>
      <c r="H1294" s="43" t="n"/>
      <c r="I1294" s="43" t="n"/>
      <c r="J1294" s="43" t="n"/>
      <c r="K1294" s="43" t="n"/>
      <c r="L1294" s="43" t="n"/>
      <c r="M1294" s="43" t="n"/>
    </row>
    <row r="1295">
      <c r="A1295" s="43" t="n"/>
      <c r="B1295" s="43" t="n"/>
      <c r="C1295" s="43" t="n"/>
      <c r="D1295" s="43" t="n"/>
      <c r="E1295" s="43" t="n"/>
      <c r="F1295" s="43" t="n"/>
      <c r="G1295" s="43" t="n"/>
      <c r="H1295" s="43" t="n"/>
      <c r="I1295" s="43" t="n"/>
      <c r="J1295" s="43" t="n"/>
      <c r="K1295" s="43" t="n"/>
      <c r="L1295" s="43" t="n"/>
      <c r="M1295" s="43" t="n"/>
    </row>
    <row r="1296">
      <c r="A1296" s="43" t="n"/>
      <c r="B1296" s="43" t="n"/>
      <c r="C1296" s="43" t="n"/>
      <c r="D1296" s="43" t="n"/>
      <c r="E1296" s="43" t="n"/>
      <c r="F1296" s="43" t="n"/>
      <c r="G1296" s="43" t="n"/>
      <c r="H1296" s="43" t="n"/>
      <c r="I1296" s="43" t="n"/>
      <c r="J1296" s="43" t="n"/>
      <c r="K1296" s="43" t="n"/>
      <c r="L1296" s="43" t="n"/>
      <c r="M1296" s="43" t="n"/>
    </row>
    <row r="1297">
      <c r="A1297" s="43" t="n"/>
      <c r="B1297" s="43" t="n"/>
      <c r="C1297" s="43" t="n"/>
      <c r="D1297" s="43" t="n"/>
      <c r="E1297" s="43" t="n"/>
      <c r="F1297" s="43" t="n"/>
      <c r="G1297" s="43" t="n"/>
      <c r="H1297" s="43" t="n"/>
      <c r="I1297" s="43" t="n"/>
      <c r="J1297" s="43" t="n"/>
      <c r="K1297" s="43" t="n"/>
      <c r="L1297" s="43" t="n"/>
      <c r="M1297" s="43" t="n"/>
    </row>
    <row r="1298">
      <c r="A1298" s="43" t="n"/>
      <c r="B1298" s="43" t="n"/>
      <c r="C1298" s="43" t="n"/>
      <c r="D1298" s="43" t="n"/>
      <c r="E1298" s="43" t="n"/>
      <c r="F1298" s="43" t="n"/>
      <c r="G1298" s="43" t="n"/>
      <c r="H1298" s="43" t="n"/>
      <c r="I1298" s="43" t="n"/>
      <c r="J1298" s="43" t="n"/>
      <c r="K1298" s="43" t="n"/>
      <c r="L1298" s="43" t="n"/>
      <c r="M1298" s="43" t="n"/>
    </row>
    <row r="1299">
      <c r="A1299" s="43" t="n"/>
      <c r="B1299" s="43" t="n"/>
      <c r="C1299" s="43" t="n"/>
      <c r="D1299" s="43" t="n"/>
      <c r="E1299" s="43" t="n"/>
      <c r="F1299" s="43" t="n"/>
      <c r="G1299" s="43" t="n"/>
      <c r="H1299" s="43" t="n"/>
      <c r="I1299" s="43" t="n"/>
      <c r="J1299" s="43" t="n"/>
      <c r="K1299" s="43" t="n"/>
      <c r="L1299" s="43" t="n"/>
      <c r="M1299" s="43" t="n"/>
    </row>
    <row r="1300">
      <c r="A1300" s="43" t="n"/>
      <c r="B1300" s="43" t="n"/>
      <c r="C1300" s="43" t="n"/>
      <c r="D1300" s="43" t="n"/>
      <c r="E1300" s="43" t="n"/>
      <c r="F1300" s="43" t="n"/>
      <c r="G1300" s="43" t="n"/>
      <c r="H1300" s="43" t="n"/>
      <c r="I1300" s="43" t="n"/>
      <c r="J1300" s="43" t="n"/>
      <c r="K1300" s="43" t="n"/>
      <c r="L1300" s="43" t="n"/>
      <c r="M1300" s="43" t="n"/>
    </row>
    <row r="1301">
      <c r="A1301" s="43" t="n"/>
      <c r="B1301" s="43" t="n"/>
      <c r="C1301" s="43" t="n"/>
      <c r="D1301" s="43" t="n"/>
      <c r="E1301" s="43" t="n"/>
      <c r="F1301" s="43" t="n"/>
      <c r="G1301" s="43" t="n"/>
      <c r="H1301" s="43" t="n"/>
      <c r="I1301" s="43" t="n"/>
      <c r="J1301" s="43" t="n"/>
      <c r="K1301" s="43" t="n"/>
      <c r="L1301" s="43" t="n"/>
      <c r="M1301" s="43" t="n"/>
    </row>
    <row r="1302">
      <c r="A1302" s="43" t="n"/>
      <c r="B1302" s="43" t="n"/>
      <c r="C1302" s="43" t="n"/>
      <c r="D1302" s="43" t="n"/>
      <c r="E1302" s="43" t="n"/>
      <c r="F1302" s="43" t="n"/>
      <c r="G1302" s="43" t="n"/>
      <c r="H1302" s="43" t="n"/>
      <c r="I1302" s="43" t="n"/>
      <c r="J1302" s="43" t="n"/>
      <c r="K1302" s="43" t="n"/>
      <c r="L1302" s="43" t="n"/>
      <c r="M1302" s="43" t="n"/>
    </row>
    <row r="1303">
      <c r="A1303" s="43" t="n"/>
      <c r="B1303" s="43" t="n"/>
      <c r="C1303" s="43" t="n"/>
      <c r="D1303" s="43" t="n"/>
      <c r="E1303" s="43" t="n"/>
      <c r="F1303" s="43" t="n"/>
      <c r="G1303" s="43" t="n"/>
      <c r="H1303" s="43" t="n"/>
      <c r="I1303" s="43" t="n"/>
      <c r="J1303" s="43" t="n"/>
      <c r="K1303" s="43" t="n"/>
      <c r="L1303" s="43" t="n"/>
      <c r="M1303" s="43" t="n"/>
    </row>
    <row r="1304">
      <c r="A1304" s="43" t="n"/>
      <c r="B1304" s="43" t="n"/>
      <c r="C1304" s="43" t="n"/>
      <c r="D1304" s="43" t="n"/>
      <c r="E1304" s="43" t="n"/>
      <c r="F1304" s="43" t="n"/>
      <c r="G1304" s="43" t="n"/>
      <c r="H1304" s="43" t="n"/>
      <c r="I1304" s="43" t="n"/>
      <c r="J1304" s="43" t="n"/>
      <c r="K1304" s="43" t="n"/>
      <c r="L1304" s="43" t="n"/>
      <c r="M1304" s="43" t="n"/>
    </row>
    <row r="1305">
      <c r="A1305" s="43" t="n"/>
      <c r="B1305" s="43" t="n"/>
      <c r="C1305" s="43" t="n"/>
      <c r="D1305" s="43" t="n"/>
      <c r="E1305" s="43" t="n"/>
      <c r="F1305" s="43" t="n"/>
      <c r="G1305" s="43" t="n"/>
      <c r="H1305" s="43" t="n"/>
      <c r="I1305" s="43" t="n"/>
      <c r="J1305" s="43" t="n"/>
      <c r="K1305" s="43" t="n"/>
      <c r="L1305" s="43" t="n"/>
      <c r="M1305" s="43" t="n"/>
    </row>
    <row r="1306">
      <c r="A1306" s="43" t="n"/>
      <c r="B1306" s="43" t="n"/>
      <c r="C1306" s="43" t="n"/>
      <c r="D1306" s="43" t="n"/>
      <c r="E1306" s="43" t="n"/>
      <c r="F1306" s="43" t="n"/>
      <c r="G1306" s="43" t="n"/>
      <c r="H1306" s="43" t="n"/>
      <c r="I1306" s="43" t="n"/>
      <c r="J1306" s="43" t="n"/>
      <c r="K1306" s="43" t="n"/>
      <c r="L1306" s="43" t="n"/>
      <c r="M1306" s="43" t="n"/>
    </row>
    <row r="1307">
      <c r="A1307" s="43" t="n"/>
      <c r="B1307" s="43" t="n"/>
      <c r="C1307" s="43" t="n"/>
      <c r="D1307" s="43" t="n"/>
      <c r="E1307" s="43" t="n"/>
      <c r="F1307" s="43" t="n"/>
      <c r="G1307" s="43" t="n"/>
      <c r="H1307" s="43" t="n"/>
      <c r="I1307" s="43" t="n"/>
      <c r="J1307" s="43" t="n"/>
      <c r="K1307" s="43" t="n"/>
      <c r="L1307" s="43" t="n"/>
      <c r="M1307" s="43" t="n"/>
    </row>
    <row r="1308">
      <c r="A1308" s="43" t="n"/>
      <c r="B1308" s="43" t="n"/>
      <c r="C1308" s="43" t="n"/>
      <c r="D1308" s="43" t="n"/>
      <c r="E1308" s="43" t="n"/>
      <c r="F1308" s="43" t="n"/>
      <c r="G1308" s="43" t="n"/>
      <c r="H1308" s="43" t="n"/>
      <c r="I1308" s="43" t="n"/>
      <c r="J1308" s="43" t="n"/>
      <c r="K1308" s="43" t="n"/>
      <c r="L1308" s="43" t="n"/>
      <c r="M1308" s="43" t="n"/>
    </row>
    <row r="1309">
      <c r="A1309" s="43" t="n"/>
      <c r="B1309" s="43" t="n"/>
      <c r="C1309" s="43" t="n"/>
      <c r="D1309" s="43" t="n"/>
      <c r="E1309" s="43" t="n"/>
      <c r="F1309" s="43" t="n"/>
      <c r="G1309" s="43" t="n"/>
      <c r="H1309" s="43" t="n"/>
      <c r="I1309" s="43" t="n"/>
      <c r="J1309" s="43" t="n"/>
      <c r="K1309" s="43" t="n"/>
      <c r="L1309" s="43" t="n"/>
      <c r="M1309" s="43" t="n"/>
    </row>
    <row r="1310">
      <c r="A1310" s="43" t="n"/>
      <c r="B1310" s="43" t="n"/>
      <c r="C1310" s="43" t="n"/>
      <c r="D1310" s="43" t="n"/>
      <c r="E1310" s="43" t="n"/>
      <c r="F1310" s="43" t="n"/>
      <c r="G1310" s="43" t="n"/>
      <c r="H1310" s="43" t="n"/>
      <c r="I1310" s="43" t="n"/>
      <c r="J1310" s="43" t="n"/>
      <c r="K1310" s="43" t="n"/>
      <c r="L1310" s="43" t="n"/>
      <c r="M1310" s="43" t="n"/>
    </row>
    <row r="1311">
      <c r="A1311" s="43" t="n"/>
      <c r="B1311" s="43" t="n"/>
      <c r="C1311" s="43" t="n"/>
      <c r="D1311" s="43" t="n"/>
      <c r="E1311" s="43" t="n"/>
      <c r="F1311" s="43" t="n"/>
      <c r="G1311" s="43" t="n"/>
      <c r="H1311" s="43" t="n"/>
      <c r="I1311" s="43" t="n"/>
      <c r="J1311" s="43" t="n"/>
      <c r="K1311" s="43" t="n"/>
      <c r="L1311" s="43" t="n"/>
      <c r="M1311" s="43" t="n"/>
    </row>
    <row r="1312">
      <c r="A1312" s="43" t="n"/>
      <c r="B1312" s="43" t="n"/>
      <c r="C1312" s="43" t="n"/>
      <c r="D1312" s="43" t="n"/>
      <c r="E1312" s="43" t="n"/>
      <c r="F1312" s="43" t="n"/>
      <c r="G1312" s="43" t="n"/>
      <c r="H1312" s="43" t="n"/>
      <c r="I1312" s="43" t="n"/>
      <c r="J1312" s="43" t="n"/>
      <c r="K1312" s="43" t="n"/>
      <c r="L1312" s="43" t="n"/>
      <c r="M1312" s="43" t="n"/>
    </row>
    <row r="1313">
      <c r="A1313" s="43" t="n"/>
      <c r="B1313" s="43" t="n"/>
      <c r="C1313" s="43" t="n"/>
      <c r="D1313" s="43" t="n"/>
      <c r="E1313" s="43" t="n"/>
      <c r="F1313" s="43" t="n"/>
      <c r="G1313" s="43" t="n"/>
      <c r="H1313" s="43" t="n"/>
      <c r="I1313" s="43" t="n"/>
      <c r="J1313" s="43" t="n"/>
      <c r="K1313" s="43" t="n"/>
      <c r="L1313" s="43" t="n"/>
      <c r="M1313" s="43" t="n"/>
    </row>
    <row r="1314">
      <c r="A1314" s="43" t="n"/>
      <c r="B1314" s="43" t="n"/>
      <c r="C1314" s="43" t="n"/>
      <c r="D1314" s="43" t="n"/>
      <c r="E1314" s="43" t="n"/>
      <c r="F1314" s="43" t="n"/>
      <c r="G1314" s="43" t="n"/>
      <c r="H1314" s="43" t="n"/>
      <c r="I1314" s="43" t="n"/>
      <c r="J1314" s="43" t="n"/>
      <c r="K1314" s="43" t="n"/>
      <c r="L1314" s="43" t="n"/>
      <c r="M1314" s="43" t="n"/>
    </row>
    <row r="1315">
      <c r="A1315" s="43" t="n"/>
      <c r="B1315" s="43" t="n"/>
      <c r="C1315" s="43" t="n"/>
      <c r="D1315" s="43" t="n"/>
      <c r="E1315" s="43" t="n"/>
      <c r="F1315" s="43" t="n"/>
      <c r="G1315" s="43" t="n"/>
      <c r="H1315" s="43" t="n"/>
      <c r="I1315" s="43" t="n"/>
      <c r="J1315" s="43" t="n"/>
      <c r="K1315" s="43" t="n"/>
      <c r="L1315" s="43" t="n"/>
      <c r="M1315" s="43" t="n"/>
    </row>
    <row r="1316">
      <c r="A1316" s="43" t="n"/>
      <c r="B1316" s="43" t="n"/>
      <c r="C1316" s="43" t="n"/>
      <c r="D1316" s="43" t="n"/>
      <c r="E1316" s="43" t="n"/>
      <c r="F1316" s="43" t="n"/>
      <c r="G1316" s="43" t="n"/>
      <c r="H1316" s="43" t="n"/>
      <c r="I1316" s="43" t="n"/>
      <c r="J1316" s="43" t="n"/>
      <c r="K1316" s="43" t="n"/>
      <c r="L1316" s="43" t="n"/>
      <c r="M1316" s="43" t="n"/>
    </row>
    <row r="1317">
      <c r="A1317" s="43" t="n"/>
      <c r="B1317" s="43" t="n"/>
      <c r="C1317" s="43" t="n"/>
      <c r="D1317" s="43" t="n"/>
      <c r="E1317" s="43" t="n"/>
      <c r="F1317" s="43" t="n"/>
      <c r="G1317" s="43" t="n"/>
      <c r="H1317" s="43" t="n"/>
      <c r="I1317" s="43" t="n"/>
      <c r="J1317" s="43" t="n"/>
      <c r="K1317" s="43" t="n"/>
      <c r="L1317" s="43" t="n"/>
      <c r="M1317" s="43" t="n"/>
    </row>
    <row r="1318">
      <c r="A1318" s="43" t="n"/>
      <c r="B1318" s="43" t="n"/>
      <c r="C1318" s="43" t="n"/>
      <c r="D1318" s="43" t="n"/>
      <c r="E1318" s="43" t="n"/>
      <c r="F1318" s="43" t="n"/>
      <c r="G1318" s="43" t="n"/>
      <c r="H1318" s="43" t="n"/>
      <c r="I1318" s="43" t="n"/>
      <c r="J1318" s="43" t="n"/>
      <c r="K1318" s="43" t="n"/>
      <c r="L1318" s="43" t="n"/>
      <c r="M1318" s="43" t="n"/>
    </row>
    <row r="1319">
      <c r="A1319" s="43" t="n"/>
      <c r="B1319" s="43" t="n"/>
      <c r="C1319" s="43" t="n"/>
      <c r="D1319" s="43" t="n"/>
      <c r="E1319" s="43" t="n"/>
      <c r="F1319" s="43" t="n"/>
      <c r="G1319" s="43" t="n"/>
      <c r="H1319" s="43" t="n"/>
      <c r="I1319" s="43" t="n"/>
      <c r="J1319" s="43" t="n"/>
      <c r="K1319" s="43" t="n"/>
      <c r="L1319" s="43" t="n"/>
      <c r="M1319" s="43" t="n"/>
    </row>
    <row r="1320">
      <c r="A1320" s="43" t="n"/>
      <c r="B1320" s="43" t="n"/>
      <c r="C1320" s="43" t="n"/>
      <c r="D1320" s="43" t="n"/>
      <c r="E1320" s="43" t="n"/>
      <c r="F1320" s="43" t="n"/>
      <c r="G1320" s="43" t="n"/>
      <c r="H1320" s="43" t="n"/>
      <c r="I1320" s="43" t="n"/>
      <c r="J1320" s="43" t="n"/>
      <c r="K1320" s="43" t="n"/>
      <c r="L1320" s="43" t="n"/>
      <c r="M1320" s="43" t="n"/>
    </row>
    <row r="1321">
      <c r="A1321" s="43" t="n"/>
      <c r="B1321" s="43" t="n"/>
      <c r="C1321" s="43" t="n"/>
      <c r="D1321" s="43" t="n"/>
      <c r="E1321" s="43" t="n"/>
      <c r="F1321" s="43" t="n"/>
      <c r="G1321" s="43" t="n"/>
      <c r="H1321" s="43" t="n"/>
      <c r="I1321" s="43" t="n"/>
      <c r="J1321" s="43" t="n"/>
      <c r="K1321" s="43" t="n"/>
      <c r="L1321" s="43" t="n"/>
      <c r="M1321" s="43" t="n"/>
    </row>
    <row r="1322">
      <c r="A1322" s="43" t="n"/>
      <c r="B1322" s="43" t="n"/>
      <c r="C1322" s="43" t="n"/>
      <c r="D1322" s="43" t="n"/>
      <c r="E1322" s="43" t="n"/>
      <c r="F1322" s="43" t="n"/>
      <c r="G1322" s="43" t="n"/>
      <c r="H1322" s="43" t="n"/>
      <c r="I1322" s="43" t="n"/>
      <c r="J1322" s="43" t="n"/>
      <c r="K1322" s="43" t="n"/>
      <c r="L1322" s="43" t="n"/>
      <c r="M1322" s="43" t="n"/>
    </row>
    <row r="1323">
      <c r="A1323" s="43" t="n"/>
      <c r="B1323" s="43" t="n"/>
      <c r="C1323" s="43" t="n"/>
      <c r="D1323" s="43" t="n"/>
      <c r="E1323" s="43" t="n"/>
      <c r="F1323" s="43" t="n"/>
      <c r="G1323" s="43" t="n"/>
      <c r="H1323" s="43" t="n"/>
      <c r="I1323" s="43" t="n"/>
      <c r="J1323" s="43" t="n"/>
      <c r="K1323" s="43" t="n"/>
      <c r="L1323" s="43" t="n"/>
      <c r="M1323" s="43" t="n"/>
    </row>
    <row r="1324">
      <c r="A1324" s="43" t="n"/>
      <c r="B1324" s="43" t="n"/>
      <c r="C1324" s="43" t="n"/>
      <c r="D1324" s="43" t="n"/>
      <c r="E1324" s="43" t="n"/>
      <c r="F1324" s="43" t="n"/>
      <c r="G1324" s="43" t="n"/>
      <c r="H1324" s="43" t="n"/>
      <c r="I1324" s="43" t="n"/>
      <c r="J1324" s="43" t="n"/>
      <c r="K1324" s="43" t="n"/>
      <c r="L1324" s="43" t="n"/>
      <c r="M1324" s="43" t="n"/>
    </row>
    <row r="1325">
      <c r="A1325" s="43" t="n"/>
      <c r="B1325" s="43" t="n"/>
      <c r="C1325" s="43" t="n"/>
      <c r="D1325" s="43" t="n"/>
      <c r="E1325" s="43" t="n"/>
      <c r="F1325" s="43" t="n"/>
      <c r="G1325" s="43" t="n"/>
      <c r="H1325" s="43" t="n"/>
      <c r="I1325" s="43" t="n"/>
      <c r="J1325" s="43" t="n"/>
      <c r="K1325" s="43" t="n"/>
      <c r="L1325" s="43" t="n"/>
      <c r="M1325" s="43" t="n"/>
    </row>
    <row r="1326">
      <c r="A1326" s="43" t="n"/>
      <c r="B1326" s="43" t="n"/>
      <c r="C1326" s="43" t="n"/>
      <c r="D1326" s="43" t="n"/>
      <c r="E1326" s="43" t="n"/>
      <c r="F1326" s="43" t="n"/>
      <c r="G1326" s="43" t="n"/>
      <c r="H1326" s="43" t="n"/>
      <c r="I1326" s="43" t="n"/>
      <c r="J1326" s="43" t="n"/>
      <c r="K1326" s="43" t="n"/>
      <c r="L1326" s="43" t="n"/>
      <c r="M1326" s="43" t="n"/>
    </row>
    <row r="1327">
      <c r="A1327" s="43" t="n"/>
      <c r="B1327" s="43" t="n"/>
      <c r="C1327" s="43" t="n"/>
      <c r="D1327" s="43" t="n"/>
      <c r="E1327" s="43" t="n"/>
      <c r="F1327" s="43" t="n"/>
      <c r="G1327" s="43" t="n"/>
      <c r="H1327" s="43" t="n"/>
      <c r="I1327" s="43" t="n"/>
      <c r="J1327" s="43" t="n"/>
      <c r="K1327" s="43" t="n"/>
      <c r="L1327" s="43" t="n"/>
      <c r="M1327" s="43" t="n"/>
    </row>
    <row r="1328">
      <c r="A1328" s="43" t="n"/>
      <c r="B1328" s="43" t="n"/>
      <c r="C1328" s="43" t="n"/>
      <c r="D1328" s="43" t="n"/>
      <c r="E1328" s="43" t="n"/>
      <c r="F1328" s="43" t="n"/>
      <c r="G1328" s="43" t="n"/>
      <c r="H1328" s="43" t="n"/>
      <c r="I1328" s="43" t="n"/>
      <c r="J1328" s="43" t="n"/>
      <c r="K1328" s="43" t="n"/>
      <c r="L1328" s="43" t="n"/>
      <c r="M1328" s="43" t="n"/>
    </row>
    <row r="1329">
      <c r="A1329" s="43" t="n"/>
      <c r="B1329" s="43" t="n"/>
      <c r="C1329" s="43" t="n"/>
      <c r="D1329" s="43" t="n"/>
      <c r="E1329" s="43" t="n"/>
      <c r="F1329" s="43" t="n"/>
      <c r="G1329" s="43" t="n"/>
      <c r="H1329" s="43" t="n"/>
      <c r="I1329" s="43" t="n"/>
      <c r="J1329" s="43" t="n"/>
      <c r="K1329" s="43" t="n"/>
      <c r="L1329" s="43" t="n"/>
      <c r="M1329" s="43" t="n"/>
    </row>
    <row r="1330">
      <c r="A1330" s="43" t="n"/>
      <c r="B1330" s="43" t="n"/>
      <c r="C1330" s="43" t="n"/>
      <c r="D1330" s="43" t="n"/>
      <c r="E1330" s="43" t="n"/>
      <c r="F1330" s="43" t="n"/>
      <c r="G1330" s="43" t="n"/>
      <c r="H1330" s="43" t="n"/>
      <c r="I1330" s="43" t="n"/>
      <c r="J1330" s="43" t="n"/>
      <c r="K1330" s="43" t="n"/>
      <c r="L1330" s="43" t="n"/>
      <c r="M1330" s="43" t="n"/>
    </row>
    <row r="1331">
      <c r="A1331" s="43" t="n"/>
      <c r="B1331" s="43" t="n"/>
      <c r="C1331" s="43" t="n"/>
      <c r="D1331" s="43" t="n"/>
      <c r="E1331" s="43" t="n"/>
      <c r="F1331" s="43" t="n"/>
      <c r="G1331" s="43" t="n"/>
      <c r="H1331" s="43" t="n"/>
      <c r="I1331" s="43" t="n"/>
      <c r="J1331" s="43" t="n"/>
      <c r="K1331" s="43" t="n"/>
      <c r="L1331" s="43" t="n"/>
      <c r="M1331" s="43" t="n"/>
    </row>
    <row r="1332">
      <c r="A1332" s="43" t="n"/>
      <c r="B1332" s="43" t="n"/>
      <c r="C1332" s="43" t="n"/>
      <c r="D1332" s="43" t="n"/>
      <c r="E1332" s="43" t="n"/>
      <c r="F1332" s="43" t="n"/>
      <c r="G1332" s="43" t="n"/>
      <c r="H1332" s="43" t="n"/>
      <c r="I1332" s="43" t="n"/>
      <c r="J1332" s="43" t="n"/>
      <c r="K1332" s="43" t="n"/>
      <c r="L1332" s="43" t="n"/>
      <c r="M1332" s="43" t="n"/>
    </row>
    <row r="1333">
      <c r="A1333" s="43" t="n"/>
      <c r="B1333" s="43" t="n"/>
      <c r="C1333" s="43" t="n"/>
      <c r="D1333" s="43" t="n"/>
      <c r="E1333" s="43" t="n"/>
      <c r="F1333" s="43" t="n"/>
      <c r="G1333" s="43" t="n"/>
      <c r="H1333" s="43" t="n"/>
      <c r="I1333" s="43" t="n"/>
      <c r="J1333" s="43" t="n"/>
      <c r="K1333" s="43" t="n"/>
      <c r="L1333" s="43" t="n"/>
      <c r="M1333" s="43" t="n"/>
    </row>
    <row r="1334">
      <c r="A1334" s="43" t="n"/>
      <c r="B1334" s="43" t="n"/>
      <c r="C1334" s="43" t="n"/>
      <c r="D1334" s="43" t="n"/>
      <c r="E1334" s="43" t="n"/>
      <c r="F1334" s="43" t="n"/>
      <c r="G1334" s="43" t="n"/>
      <c r="H1334" s="43" t="n"/>
      <c r="I1334" s="43" t="n"/>
      <c r="J1334" s="43" t="n"/>
      <c r="K1334" s="43" t="n"/>
      <c r="L1334" s="43" t="n"/>
      <c r="M1334" s="43" t="n"/>
    </row>
    <row r="1335">
      <c r="A1335" s="43" t="n"/>
      <c r="B1335" s="43" t="n"/>
      <c r="C1335" s="43" t="n"/>
      <c r="D1335" s="43" t="n"/>
      <c r="E1335" s="43" t="n"/>
      <c r="F1335" s="43" t="n"/>
      <c r="G1335" s="43" t="n"/>
      <c r="H1335" s="43" t="n"/>
      <c r="I1335" s="43" t="n"/>
      <c r="J1335" s="43" t="n"/>
      <c r="K1335" s="43" t="n"/>
      <c r="L1335" s="43" t="n"/>
      <c r="M1335" s="43" t="n"/>
    </row>
    <row r="1336">
      <c r="A1336" s="43" t="n"/>
      <c r="B1336" s="43" t="n"/>
      <c r="C1336" s="43" t="n"/>
      <c r="D1336" s="43" t="n"/>
      <c r="E1336" s="43" t="n"/>
      <c r="F1336" s="43" t="n"/>
      <c r="G1336" s="43" t="n"/>
      <c r="H1336" s="43" t="n"/>
      <c r="I1336" s="43" t="n"/>
      <c r="J1336" s="43" t="n"/>
      <c r="K1336" s="43" t="n"/>
      <c r="L1336" s="43" t="n"/>
      <c r="M1336" s="43" t="n"/>
    </row>
    <row r="1337">
      <c r="A1337" s="43" t="n"/>
      <c r="B1337" s="43" t="n"/>
      <c r="C1337" s="43" t="n"/>
      <c r="D1337" s="43" t="n"/>
      <c r="E1337" s="43" t="n"/>
      <c r="F1337" s="43" t="n"/>
      <c r="G1337" s="43" t="n"/>
      <c r="H1337" s="43" t="n"/>
      <c r="I1337" s="43" t="n"/>
      <c r="J1337" s="43" t="n"/>
      <c r="K1337" s="43" t="n"/>
      <c r="L1337" s="43" t="n"/>
      <c r="M1337" s="43" t="n"/>
    </row>
    <row r="1338">
      <c r="A1338" s="43" t="n"/>
      <c r="B1338" s="43" t="n"/>
      <c r="C1338" s="43" t="n"/>
      <c r="D1338" s="43" t="n"/>
      <c r="E1338" s="43" t="n"/>
      <c r="F1338" s="43" t="n"/>
      <c r="G1338" s="43" t="n"/>
      <c r="H1338" s="43" t="n"/>
      <c r="I1338" s="43" t="n"/>
      <c r="J1338" s="43" t="n"/>
      <c r="K1338" s="43" t="n"/>
      <c r="L1338" s="43" t="n"/>
      <c r="M1338" s="43" t="n"/>
    </row>
    <row r="1339">
      <c r="A1339" s="43" t="n"/>
      <c r="B1339" s="43" t="n"/>
      <c r="C1339" s="43" t="n"/>
      <c r="D1339" s="43" t="n"/>
      <c r="E1339" s="43" t="n"/>
      <c r="F1339" s="43" t="n"/>
      <c r="G1339" s="43" t="n"/>
      <c r="H1339" s="43" t="n"/>
      <c r="I1339" s="43" t="n"/>
      <c r="J1339" s="43" t="n"/>
      <c r="K1339" s="43" t="n"/>
      <c r="L1339" s="43" t="n"/>
      <c r="M1339" s="43" t="n"/>
    </row>
    <row r="1340">
      <c r="A1340" s="43" t="n"/>
      <c r="B1340" s="43" t="n"/>
      <c r="C1340" s="43" t="n"/>
      <c r="D1340" s="43" t="n"/>
      <c r="E1340" s="43" t="n"/>
      <c r="F1340" s="43" t="n"/>
      <c r="G1340" s="43" t="n"/>
      <c r="H1340" s="43" t="n"/>
      <c r="I1340" s="43" t="n"/>
      <c r="J1340" s="43" t="n"/>
      <c r="K1340" s="43" t="n"/>
      <c r="L1340" s="43" t="n"/>
      <c r="M1340" s="43" t="n"/>
    </row>
    <row r="1341">
      <c r="A1341" s="43" t="n"/>
      <c r="B1341" s="43" t="n"/>
      <c r="C1341" s="43" t="n"/>
      <c r="D1341" s="43" t="n"/>
      <c r="E1341" s="43" t="n"/>
      <c r="F1341" s="43" t="n"/>
      <c r="G1341" s="43" t="n"/>
      <c r="H1341" s="43" t="n"/>
      <c r="I1341" s="43" t="n"/>
      <c r="J1341" s="43" t="n"/>
      <c r="K1341" s="43" t="n"/>
      <c r="L1341" s="43" t="n"/>
      <c r="M1341" s="43" t="n"/>
    </row>
    <row r="1342">
      <c r="A1342" s="43" t="n"/>
      <c r="B1342" s="43" t="n"/>
      <c r="C1342" s="43" t="n"/>
      <c r="D1342" s="43" t="n"/>
      <c r="E1342" s="43" t="n"/>
      <c r="F1342" s="43" t="n"/>
      <c r="G1342" s="43" t="n"/>
      <c r="H1342" s="43" t="n"/>
      <c r="I1342" s="43" t="n"/>
      <c r="J1342" s="43" t="n"/>
      <c r="K1342" s="43" t="n"/>
      <c r="L1342" s="43" t="n"/>
      <c r="M1342" s="43" t="n"/>
    </row>
    <row r="1343">
      <c r="A1343" s="43" t="n"/>
      <c r="B1343" s="43" t="n"/>
      <c r="C1343" s="43" t="n"/>
      <c r="D1343" s="43" t="n"/>
      <c r="E1343" s="43" t="n"/>
      <c r="F1343" s="43" t="n"/>
      <c r="G1343" s="43" t="n"/>
      <c r="H1343" s="43" t="n"/>
      <c r="I1343" s="43" t="n"/>
      <c r="J1343" s="43" t="n"/>
      <c r="K1343" s="43" t="n"/>
      <c r="L1343" s="43" t="n"/>
      <c r="M1343" s="43" t="n"/>
    </row>
    <row r="1344">
      <c r="A1344" s="43" t="n"/>
      <c r="B1344" s="43" t="n"/>
      <c r="C1344" s="43" t="n"/>
      <c r="D1344" s="43" t="n"/>
      <c r="E1344" s="43" t="n"/>
      <c r="F1344" s="43" t="n"/>
      <c r="G1344" s="43" t="n"/>
      <c r="H1344" s="43" t="n"/>
      <c r="I1344" s="43" t="n"/>
      <c r="J1344" s="43" t="n"/>
      <c r="K1344" s="43" t="n"/>
      <c r="L1344" s="43" t="n"/>
      <c r="M1344" s="43" t="n"/>
    </row>
    <row r="1345">
      <c r="A1345" s="43" t="n"/>
      <c r="B1345" s="43" t="n"/>
      <c r="C1345" s="43" t="n"/>
      <c r="D1345" s="43" t="n"/>
      <c r="E1345" s="43" t="n"/>
      <c r="F1345" s="43" t="n"/>
      <c r="G1345" s="43" t="n"/>
      <c r="H1345" s="43" t="n"/>
      <c r="I1345" s="43" t="n"/>
      <c r="J1345" s="43" t="n"/>
      <c r="K1345" s="43" t="n"/>
      <c r="L1345" s="43" t="n"/>
      <c r="M1345" s="43" t="n"/>
    </row>
    <row r="1346">
      <c r="A1346" s="43" t="n"/>
      <c r="B1346" s="43" t="n"/>
      <c r="C1346" s="43" t="n"/>
      <c r="D1346" s="43" t="n"/>
      <c r="E1346" s="43" t="n"/>
      <c r="F1346" s="43" t="n"/>
      <c r="G1346" s="43" t="n"/>
      <c r="H1346" s="43" t="n"/>
      <c r="I1346" s="43" t="n"/>
      <c r="J1346" s="43" t="n"/>
      <c r="K1346" s="43" t="n"/>
      <c r="L1346" s="43" t="n"/>
      <c r="M1346" s="43" t="n"/>
    </row>
    <row r="1347">
      <c r="A1347" s="43" t="n"/>
      <c r="B1347" s="43" t="n"/>
      <c r="C1347" s="43" t="n"/>
      <c r="D1347" s="43" t="n"/>
      <c r="E1347" s="43" t="n"/>
      <c r="F1347" s="43" t="n"/>
      <c r="G1347" s="43" t="n"/>
      <c r="H1347" s="43" t="n"/>
      <c r="I1347" s="43" t="n"/>
      <c r="J1347" s="43" t="n"/>
      <c r="K1347" s="43" t="n"/>
      <c r="L1347" s="43" t="n"/>
      <c r="M1347" s="43" t="n"/>
    </row>
    <row r="1348">
      <c r="A1348" s="43" t="n"/>
      <c r="B1348" s="43" t="n"/>
      <c r="C1348" s="43" t="n"/>
      <c r="D1348" s="43" t="n"/>
      <c r="E1348" s="43" t="n"/>
      <c r="F1348" s="43" t="n"/>
      <c r="G1348" s="43" t="n"/>
      <c r="H1348" s="43" t="n"/>
      <c r="I1348" s="43" t="n"/>
      <c r="J1348" s="43" t="n"/>
      <c r="K1348" s="43" t="n"/>
      <c r="L1348" s="43" t="n"/>
      <c r="M1348" s="43" t="n"/>
    </row>
    <row r="1349">
      <c r="A1349" s="43" t="n"/>
      <c r="B1349" s="43" t="n"/>
      <c r="C1349" s="43" t="n"/>
      <c r="D1349" s="43" t="n"/>
      <c r="E1349" s="43" t="n"/>
      <c r="F1349" s="43" t="n"/>
      <c r="G1349" s="43" t="n"/>
      <c r="H1349" s="43" t="n"/>
      <c r="I1349" s="43" t="n"/>
      <c r="J1349" s="43" t="n"/>
      <c r="K1349" s="43" t="n"/>
      <c r="L1349" s="43" t="n"/>
      <c r="M1349" s="43" t="n"/>
    </row>
    <row r="1350">
      <c r="A1350" s="43" t="n"/>
      <c r="B1350" s="43" t="n"/>
      <c r="C1350" s="43" t="n"/>
      <c r="D1350" s="43" t="n"/>
      <c r="E1350" s="43" t="n"/>
      <c r="F1350" s="43" t="n"/>
      <c r="G1350" s="43" t="n"/>
      <c r="H1350" s="43" t="n"/>
      <c r="I1350" s="43" t="n"/>
      <c r="J1350" s="43" t="n"/>
      <c r="K1350" s="43" t="n"/>
      <c r="L1350" s="43" t="n"/>
      <c r="M1350" s="43" t="n"/>
    </row>
    <row r="1351">
      <c r="A1351" s="43" t="n"/>
      <c r="B1351" s="43" t="n"/>
      <c r="C1351" s="43" t="n"/>
      <c r="D1351" s="43" t="n"/>
      <c r="E1351" s="43" t="n"/>
      <c r="F1351" s="43" t="n"/>
      <c r="G1351" s="43" t="n"/>
      <c r="H1351" s="43" t="n"/>
      <c r="I1351" s="43" t="n"/>
      <c r="J1351" s="43" t="n"/>
      <c r="K1351" s="43" t="n"/>
      <c r="L1351" s="43" t="n"/>
      <c r="M1351" s="43" t="n"/>
    </row>
    <row r="1352">
      <c r="A1352" s="43" t="n"/>
      <c r="B1352" s="43" t="n"/>
      <c r="C1352" s="43" t="n"/>
      <c r="D1352" s="43" t="n"/>
      <c r="E1352" s="43" t="n"/>
      <c r="F1352" s="43" t="n"/>
      <c r="G1352" s="43" t="n"/>
      <c r="H1352" s="43" t="n"/>
      <c r="I1352" s="43" t="n"/>
      <c r="J1352" s="43" t="n"/>
      <c r="K1352" s="43" t="n"/>
      <c r="L1352" s="43" t="n"/>
      <c r="M1352" s="43" t="n"/>
    </row>
    <row r="1353">
      <c r="A1353" s="43" t="n"/>
      <c r="B1353" s="43" t="n"/>
      <c r="C1353" s="43" t="n"/>
      <c r="D1353" s="43" t="n"/>
      <c r="E1353" s="43" t="n"/>
      <c r="F1353" s="43" t="n"/>
      <c r="G1353" s="43" t="n"/>
      <c r="H1353" s="43" t="n"/>
      <c r="I1353" s="43" t="n"/>
      <c r="J1353" s="43" t="n"/>
      <c r="K1353" s="43" t="n"/>
      <c r="L1353" s="43" t="n"/>
      <c r="M1353" s="43" t="n"/>
    </row>
    <row r="1354">
      <c r="A1354" s="43" t="n"/>
      <c r="B1354" s="43" t="n"/>
      <c r="C1354" s="43" t="n"/>
      <c r="D1354" s="43" t="n"/>
      <c r="E1354" s="43" t="n"/>
      <c r="F1354" s="43" t="n"/>
      <c r="G1354" s="43" t="n"/>
      <c r="H1354" s="43" t="n"/>
      <c r="I1354" s="43" t="n"/>
      <c r="J1354" s="43" t="n"/>
      <c r="K1354" s="43" t="n"/>
      <c r="L1354" s="43" t="n"/>
      <c r="M1354" s="43" t="n"/>
    </row>
    <row r="1355">
      <c r="A1355" s="43" t="n"/>
      <c r="B1355" s="43" t="n"/>
      <c r="C1355" s="43" t="n"/>
      <c r="D1355" s="43" t="n"/>
      <c r="E1355" s="43" t="n"/>
      <c r="F1355" s="43" t="n"/>
      <c r="G1355" s="43" t="n"/>
      <c r="H1355" s="43" t="n"/>
      <c r="I1355" s="43" t="n"/>
      <c r="J1355" s="43" t="n"/>
      <c r="K1355" s="43" t="n"/>
      <c r="L1355" s="43" t="n"/>
      <c r="M1355" s="43" t="n"/>
    </row>
    <row r="1356">
      <c r="A1356" s="43" t="n"/>
      <c r="B1356" s="43" t="n"/>
      <c r="C1356" s="43" t="n"/>
      <c r="D1356" s="43" t="n"/>
      <c r="E1356" s="43" t="n"/>
      <c r="F1356" s="43" t="n"/>
      <c r="G1356" s="43" t="n"/>
      <c r="H1356" s="43" t="n"/>
      <c r="I1356" s="43" t="n"/>
      <c r="J1356" s="43" t="n"/>
      <c r="K1356" s="43" t="n"/>
      <c r="L1356" s="43" t="n"/>
      <c r="M1356" s="43" t="n"/>
    </row>
    <row r="1357">
      <c r="A1357" s="43" t="n"/>
      <c r="B1357" s="43" t="n"/>
      <c r="C1357" s="43" t="n"/>
      <c r="D1357" s="43" t="n"/>
      <c r="E1357" s="43" t="n"/>
      <c r="F1357" s="43" t="n"/>
      <c r="G1357" s="43" t="n"/>
      <c r="H1357" s="43" t="n"/>
      <c r="I1357" s="43" t="n"/>
      <c r="J1357" s="43" t="n"/>
      <c r="K1357" s="43" t="n"/>
      <c r="L1357" s="43" t="n"/>
      <c r="M1357" s="43" t="n"/>
    </row>
    <row r="1358">
      <c r="A1358" s="43" t="n"/>
      <c r="B1358" s="43" t="n"/>
      <c r="C1358" s="43" t="n"/>
      <c r="D1358" s="43" t="n"/>
      <c r="E1358" s="43" t="n"/>
      <c r="F1358" s="43" t="n"/>
      <c r="G1358" s="43" t="n"/>
      <c r="H1358" s="43" t="n"/>
      <c r="I1358" s="43" t="n"/>
      <c r="J1358" s="43" t="n"/>
      <c r="K1358" s="43" t="n"/>
      <c r="L1358" s="43" t="n"/>
      <c r="M1358" s="43" t="n"/>
    </row>
    <row r="1359">
      <c r="A1359" s="43" t="n"/>
      <c r="B1359" s="43" t="n"/>
      <c r="C1359" s="43" t="n"/>
      <c r="D1359" s="43" t="n"/>
      <c r="E1359" s="43" t="n"/>
      <c r="F1359" s="43" t="n"/>
      <c r="G1359" s="43" t="n"/>
      <c r="H1359" s="43" t="n"/>
      <c r="I1359" s="43" t="n"/>
      <c r="J1359" s="43" t="n"/>
      <c r="K1359" s="43" t="n"/>
      <c r="L1359" s="43" t="n"/>
      <c r="M1359" s="43" t="n"/>
    </row>
    <row r="1360">
      <c r="A1360" s="43" t="n"/>
      <c r="B1360" s="43" t="n"/>
      <c r="C1360" s="43" t="n"/>
      <c r="D1360" s="43" t="n"/>
      <c r="E1360" s="43" t="n"/>
      <c r="F1360" s="43" t="n"/>
      <c r="G1360" s="43" t="n"/>
      <c r="H1360" s="43" t="n"/>
      <c r="I1360" s="43" t="n"/>
      <c r="J1360" s="43" t="n"/>
      <c r="K1360" s="43" t="n"/>
      <c r="L1360" s="43" t="n"/>
      <c r="M1360" s="43" t="n"/>
    </row>
    <row r="1361">
      <c r="A1361" s="43" t="n"/>
      <c r="B1361" s="43" t="n"/>
      <c r="C1361" s="43" t="n"/>
      <c r="D1361" s="43" t="n"/>
      <c r="E1361" s="43" t="n"/>
      <c r="F1361" s="43" t="n"/>
      <c r="G1361" s="43" t="n"/>
      <c r="H1361" s="43" t="n"/>
      <c r="I1361" s="43" t="n"/>
      <c r="J1361" s="43" t="n"/>
      <c r="K1361" s="43" t="n"/>
      <c r="L1361" s="43" t="n"/>
      <c r="M1361" s="43" t="n"/>
    </row>
    <row r="1362">
      <c r="A1362" s="43" t="n"/>
      <c r="B1362" s="43" t="n"/>
      <c r="C1362" s="43" t="n"/>
      <c r="D1362" s="43" t="n"/>
      <c r="E1362" s="43" t="n"/>
      <c r="F1362" s="43" t="n"/>
      <c r="G1362" s="43" t="n"/>
      <c r="H1362" s="43" t="n"/>
      <c r="I1362" s="43" t="n"/>
      <c r="J1362" s="43" t="n"/>
      <c r="K1362" s="43" t="n"/>
      <c r="L1362" s="43" t="n"/>
      <c r="M1362" s="43" t="n"/>
    </row>
    <row r="1363">
      <c r="A1363" s="43" t="n"/>
      <c r="B1363" s="43" t="n"/>
      <c r="C1363" s="43" t="n"/>
      <c r="D1363" s="43" t="n"/>
      <c r="E1363" s="43" t="n"/>
      <c r="F1363" s="43" t="n"/>
      <c r="G1363" s="43" t="n"/>
      <c r="H1363" s="43" t="n"/>
      <c r="I1363" s="43" t="n"/>
      <c r="J1363" s="43" t="n"/>
      <c r="K1363" s="43" t="n"/>
      <c r="L1363" s="43" t="n"/>
      <c r="M1363" s="43" t="n"/>
    </row>
    <row r="1364">
      <c r="A1364" s="43" t="n"/>
      <c r="B1364" s="43" t="n"/>
      <c r="C1364" s="43" t="n"/>
      <c r="D1364" s="43" t="n"/>
      <c r="E1364" s="43" t="n"/>
      <c r="F1364" s="43" t="n"/>
      <c r="G1364" s="43" t="n"/>
      <c r="H1364" s="43" t="n"/>
      <c r="I1364" s="43" t="n"/>
      <c r="J1364" s="43" t="n"/>
      <c r="K1364" s="43" t="n"/>
      <c r="L1364" s="43" t="n"/>
      <c r="M1364" s="43" t="n"/>
    </row>
    <row r="1365">
      <c r="A1365" s="43" t="n"/>
      <c r="B1365" s="43" t="n"/>
      <c r="C1365" s="43" t="n"/>
      <c r="D1365" s="43" t="n"/>
      <c r="E1365" s="43" t="n"/>
      <c r="F1365" s="43" t="n"/>
      <c r="G1365" s="43" t="n"/>
      <c r="H1365" s="43" t="n"/>
      <c r="I1365" s="43" t="n"/>
      <c r="J1365" s="43" t="n"/>
      <c r="K1365" s="43" t="n"/>
      <c r="L1365" s="43" t="n"/>
      <c r="M1365" s="43" t="n"/>
    </row>
    <row r="1366">
      <c r="A1366" s="43" t="n"/>
      <c r="B1366" s="43" t="n"/>
      <c r="C1366" s="43" t="n"/>
      <c r="D1366" s="43" t="n"/>
      <c r="E1366" s="43" t="n"/>
      <c r="F1366" s="43" t="n"/>
      <c r="G1366" s="43" t="n"/>
      <c r="H1366" s="43" t="n"/>
      <c r="I1366" s="43" t="n"/>
      <c r="J1366" s="43" t="n"/>
      <c r="K1366" s="43" t="n"/>
      <c r="L1366" s="43" t="n"/>
      <c r="M1366" s="43" t="n"/>
    </row>
    <row r="1367">
      <c r="A1367" s="43" t="n"/>
      <c r="B1367" s="43" t="n"/>
      <c r="C1367" s="43" t="n"/>
      <c r="D1367" s="43" t="n"/>
      <c r="E1367" s="43" t="n"/>
      <c r="F1367" s="43" t="n"/>
      <c r="G1367" s="43" t="n"/>
      <c r="H1367" s="43" t="n"/>
      <c r="I1367" s="43" t="n"/>
      <c r="J1367" s="43" t="n"/>
      <c r="K1367" s="43" t="n"/>
      <c r="L1367" s="43" t="n"/>
      <c r="M1367" s="43" t="n"/>
    </row>
    <row r="1368">
      <c r="A1368" s="43" t="n"/>
      <c r="B1368" s="43" t="n"/>
      <c r="C1368" s="43" t="n"/>
      <c r="D1368" s="43" t="n"/>
      <c r="E1368" s="43" t="n"/>
      <c r="F1368" s="43" t="n"/>
      <c r="G1368" s="43" t="n"/>
      <c r="H1368" s="43" t="n"/>
      <c r="I1368" s="43" t="n"/>
      <c r="J1368" s="43" t="n"/>
      <c r="K1368" s="43" t="n"/>
      <c r="L1368" s="43" t="n"/>
      <c r="M1368" s="43" t="n"/>
    </row>
    <row r="1369">
      <c r="A1369" s="43" t="n"/>
      <c r="B1369" s="43" t="n"/>
      <c r="C1369" s="43" t="n"/>
      <c r="D1369" s="43" t="n"/>
      <c r="E1369" s="43" t="n"/>
      <c r="F1369" s="43" t="n"/>
      <c r="G1369" s="43" t="n"/>
      <c r="H1369" s="43" t="n"/>
      <c r="I1369" s="43" t="n"/>
      <c r="J1369" s="43" t="n"/>
      <c r="K1369" s="43" t="n"/>
      <c r="L1369" s="43" t="n"/>
      <c r="M1369" s="43" t="n"/>
    </row>
    <row r="1370">
      <c r="A1370" s="43" t="n"/>
      <c r="B1370" s="43" t="n"/>
      <c r="C1370" s="43" t="n"/>
      <c r="D1370" s="43" t="n"/>
      <c r="E1370" s="43" t="n"/>
      <c r="F1370" s="43" t="n"/>
      <c r="G1370" s="43" t="n"/>
      <c r="H1370" s="43" t="n"/>
      <c r="I1370" s="43" t="n"/>
      <c r="J1370" s="43" t="n"/>
      <c r="K1370" s="43" t="n"/>
      <c r="L1370" s="43" t="n"/>
      <c r="M1370" s="43" t="n"/>
    </row>
    <row r="1371">
      <c r="A1371" s="43" t="n"/>
      <c r="B1371" s="43" t="n"/>
      <c r="C1371" s="43" t="n"/>
      <c r="D1371" s="43" t="n"/>
      <c r="E1371" s="43" t="n"/>
      <c r="F1371" s="43" t="n"/>
      <c r="G1371" s="43" t="n"/>
      <c r="H1371" s="43" t="n"/>
      <c r="I1371" s="43" t="n"/>
      <c r="J1371" s="43" t="n"/>
      <c r="K1371" s="43" t="n"/>
      <c r="L1371" s="43" t="n"/>
      <c r="M1371" s="43" t="n"/>
    </row>
    <row r="1372">
      <c r="A1372" s="43" t="n"/>
      <c r="B1372" s="43" t="n"/>
      <c r="C1372" s="43" t="n"/>
      <c r="D1372" s="43" t="n"/>
      <c r="E1372" s="43" t="n"/>
      <c r="F1372" s="43" t="n"/>
      <c r="G1372" s="43" t="n"/>
      <c r="H1372" s="43" t="n"/>
      <c r="I1372" s="43" t="n"/>
      <c r="J1372" s="43" t="n"/>
      <c r="K1372" s="43" t="n"/>
      <c r="L1372" s="43" t="n"/>
      <c r="M1372" s="43" t="n"/>
    </row>
    <row r="1373">
      <c r="A1373" s="43" t="n"/>
      <c r="B1373" s="43" t="n"/>
      <c r="C1373" s="43" t="n"/>
      <c r="D1373" s="43" t="n"/>
      <c r="E1373" s="43" t="n"/>
      <c r="F1373" s="43" t="n"/>
      <c r="G1373" s="43" t="n"/>
      <c r="H1373" s="43" t="n"/>
      <c r="I1373" s="43" t="n"/>
      <c r="J1373" s="43" t="n"/>
      <c r="K1373" s="43" t="n"/>
      <c r="L1373" s="43" t="n"/>
      <c r="M1373" s="43" t="n"/>
    </row>
    <row r="1374">
      <c r="A1374" s="43" t="n"/>
      <c r="B1374" s="43" t="n"/>
      <c r="C1374" s="43" t="n"/>
      <c r="D1374" s="43" t="n"/>
      <c r="E1374" s="43" t="n"/>
      <c r="F1374" s="43" t="n"/>
      <c r="G1374" s="43" t="n"/>
      <c r="H1374" s="43" t="n"/>
      <c r="I1374" s="43" t="n"/>
      <c r="J1374" s="43" t="n"/>
      <c r="K1374" s="43" t="n"/>
      <c r="L1374" s="43" t="n"/>
      <c r="M1374" s="43" t="n"/>
    </row>
    <row r="1375">
      <c r="A1375" s="43" t="n"/>
      <c r="B1375" s="43" t="n"/>
      <c r="C1375" s="43" t="n"/>
      <c r="D1375" s="43" t="n"/>
      <c r="E1375" s="43" t="n"/>
      <c r="F1375" s="43" t="n"/>
      <c r="G1375" s="43" t="n"/>
      <c r="H1375" s="43" t="n"/>
      <c r="I1375" s="43" t="n"/>
      <c r="J1375" s="43" t="n"/>
      <c r="K1375" s="43" t="n"/>
      <c r="L1375" s="43" t="n"/>
      <c r="M1375" s="43" t="n"/>
    </row>
    <row r="1376">
      <c r="A1376" s="43" t="n"/>
      <c r="B1376" s="43" t="n"/>
      <c r="C1376" s="43" t="n"/>
      <c r="D1376" s="43" t="n"/>
      <c r="E1376" s="43" t="n"/>
      <c r="F1376" s="43" t="n"/>
      <c r="G1376" s="43" t="n"/>
      <c r="H1376" s="43" t="n"/>
      <c r="I1376" s="43" t="n"/>
      <c r="J1376" s="43" t="n"/>
      <c r="K1376" s="43" t="n"/>
      <c r="L1376" s="43" t="n"/>
      <c r="M1376" s="43" t="n"/>
    </row>
    <row r="1377">
      <c r="A1377" s="43" t="n"/>
      <c r="B1377" s="43" t="n"/>
      <c r="C1377" s="43" t="n"/>
      <c r="D1377" s="43" t="n"/>
      <c r="E1377" s="43" t="n"/>
      <c r="F1377" s="43" t="n"/>
      <c r="G1377" s="43" t="n"/>
      <c r="H1377" s="43" t="n"/>
      <c r="I1377" s="43" t="n"/>
      <c r="J1377" s="43" t="n"/>
      <c r="K1377" s="43" t="n"/>
      <c r="L1377" s="43" t="n"/>
      <c r="M1377" s="43" t="n"/>
    </row>
    <row r="1378">
      <c r="A1378" s="43" t="n"/>
      <c r="B1378" s="43" t="n"/>
      <c r="C1378" s="43" t="n"/>
      <c r="D1378" s="43" t="n"/>
      <c r="E1378" s="43" t="n"/>
      <c r="F1378" s="43" t="n"/>
      <c r="G1378" s="43" t="n"/>
      <c r="H1378" s="43" t="n"/>
      <c r="I1378" s="43" t="n"/>
      <c r="J1378" s="43" t="n"/>
      <c r="K1378" s="43" t="n"/>
      <c r="L1378" s="43" t="n"/>
      <c r="M1378" s="43" t="n"/>
    </row>
    <row r="1379">
      <c r="A1379" s="43" t="n"/>
      <c r="B1379" s="43" t="n"/>
      <c r="C1379" s="43" t="n"/>
      <c r="D1379" s="43" t="n"/>
      <c r="E1379" s="43" t="n"/>
      <c r="F1379" s="43" t="n"/>
      <c r="G1379" s="43" t="n"/>
      <c r="H1379" s="43" t="n"/>
      <c r="I1379" s="43" t="n"/>
      <c r="J1379" s="43" t="n"/>
      <c r="K1379" s="43" t="n"/>
      <c r="L1379" s="43" t="n"/>
      <c r="M1379" s="43" t="n"/>
    </row>
    <row r="1380">
      <c r="A1380" s="43" t="n"/>
      <c r="B1380" s="43" t="n"/>
      <c r="C1380" s="43" t="n"/>
      <c r="D1380" s="43" t="n"/>
      <c r="E1380" s="43" t="n"/>
      <c r="F1380" s="43" t="n"/>
      <c r="G1380" s="43" t="n"/>
      <c r="H1380" s="43" t="n"/>
      <c r="I1380" s="43" t="n"/>
      <c r="J1380" s="43" t="n"/>
      <c r="K1380" s="43" t="n"/>
      <c r="L1380" s="43" t="n"/>
      <c r="M1380" s="43" t="n"/>
    </row>
    <row r="1381">
      <c r="A1381" s="43" t="n"/>
      <c r="B1381" s="43" t="n"/>
      <c r="C1381" s="43" t="n"/>
      <c r="D1381" s="43" t="n"/>
      <c r="E1381" s="43" t="n"/>
      <c r="F1381" s="43" t="n"/>
      <c r="G1381" s="43" t="n"/>
      <c r="H1381" s="43" t="n"/>
      <c r="I1381" s="43" t="n"/>
      <c r="J1381" s="43" t="n"/>
      <c r="K1381" s="43" t="n"/>
      <c r="L1381" s="43" t="n"/>
      <c r="M1381" s="43" t="n"/>
    </row>
    <row r="1382">
      <c r="A1382" s="43" t="n"/>
      <c r="B1382" s="43" t="n"/>
      <c r="C1382" s="43" t="n"/>
      <c r="D1382" s="43" t="n"/>
      <c r="E1382" s="43" t="n"/>
      <c r="F1382" s="43" t="n"/>
      <c r="G1382" s="43" t="n"/>
      <c r="H1382" s="43" t="n"/>
      <c r="I1382" s="43" t="n"/>
      <c r="J1382" s="43" t="n"/>
      <c r="K1382" s="43" t="n"/>
      <c r="L1382" s="43" t="n"/>
      <c r="M1382" s="43" t="n"/>
    </row>
    <row r="1383">
      <c r="A1383" s="43" t="n"/>
      <c r="B1383" s="43" t="n"/>
      <c r="C1383" s="43" t="n"/>
      <c r="D1383" s="43" t="n"/>
      <c r="E1383" s="43" t="n"/>
      <c r="F1383" s="43" t="n"/>
      <c r="G1383" s="43" t="n"/>
      <c r="H1383" s="43" t="n"/>
      <c r="I1383" s="43" t="n"/>
      <c r="J1383" s="43" t="n"/>
      <c r="K1383" s="43" t="n"/>
      <c r="L1383" s="43" t="n"/>
      <c r="M1383" s="43" t="n"/>
    </row>
    <row r="1384">
      <c r="A1384" s="43" t="n"/>
      <c r="B1384" s="43" t="n"/>
      <c r="C1384" s="43" t="n"/>
      <c r="D1384" s="43" t="n"/>
      <c r="E1384" s="43" t="n"/>
      <c r="F1384" s="43" t="n"/>
      <c r="G1384" s="43" t="n"/>
      <c r="H1384" s="43" t="n"/>
      <c r="I1384" s="43" t="n"/>
      <c r="J1384" s="43" t="n"/>
      <c r="K1384" s="43" t="n"/>
      <c r="L1384" s="43" t="n"/>
      <c r="M1384" s="43" t="n"/>
    </row>
    <row r="1385">
      <c r="A1385" s="43" t="n"/>
      <c r="B1385" s="43" t="n"/>
      <c r="C1385" s="43" t="n"/>
      <c r="D1385" s="43" t="n"/>
      <c r="E1385" s="43" t="n"/>
      <c r="F1385" s="43" t="n"/>
      <c r="G1385" s="43" t="n"/>
      <c r="H1385" s="43" t="n"/>
      <c r="I1385" s="43" t="n"/>
      <c r="J1385" s="43" t="n"/>
      <c r="K1385" s="43" t="n"/>
      <c r="L1385" s="43" t="n"/>
      <c r="M1385" s="43" t="n"/>
    </row>
    <row r="1386">
      <c r="A1386" s="43" t="n"/>
      <c r="B1386" s="43" t="n"/>
      <c r="C1386" s="43" t="n"/>
      <c r="D1386" s="43" t="n"/>
      <c r="E1386" s="43" t="n"/>
      <c r="F1386" s="43" t="n"/>
      <c r="G1386" s="43" t="n"/>
      <c r="H1386" s="43" t="n"/>
      <c r="I1386" s="43" t="n"/>
      <c r="J1386" s="43" t="n"/>
      <c r="K1386" s="43" t="n"/>
      <c r="L1386" s="43" t="n"/>
      <c r="M1386" s="43" t="n"/>
    </row>
    <row r="1387">
      <c r="A1387" s="43" t="n"/>
      <c r="B1387" s="43" t="n"/>
      <c r="C1387" s="43" t="n"/>
      <c r="D1387" s="43" t="n"/>
      <c r="E1387" s="43" t="n"/>
      <c r="F1387" s="43" t="n"/>
      <c r="G1387" s="43" t="n"/>
      <c r="H1387" s="43" t="n"/>
      <c r="I1387" s="43" t="n"/>
      <c r="J1387" s="43" t="n"/>
      <c r="K1387" s="43" t="n"/>
      <c r="L1387" s="43" t="n"/>
      <c r="M1387" s="43" t="n"/>
    </row>
    <row r="1388">
      <c r="A1388" s="43" t="n"/>
      <c r="B1388" s="43" t="n"/>
      <c r="C1388" s="43" t="n"/>
      <c r="D1388" s="43" t="n"/>
      <c r="E1388" s="43" t="n"/>
      <c r="F1388" s="43" t="n"/>
      <c r="G1388" s="43" t="n"/>
      <c r="H1388" s="43" t="n"/>
      <c r="I1388" s="43" t="n"/>
      <c r="J1388" s="43" t="n"/>
      <c r="K1388" s="43" t="n"/>
      <c r="L1388" s="43" t="n"/>
      <c r="M1388" s="43" t="n"/>
    </row>
    <row r="1389">
      <c r="A1389" s="43" t="n"/>
      <c r="B1389" s="43" t="n"/>
      <c r="C1389" s="43" t="n"/>
      <c r="D1389" s="43" t="n"/>
      <c r="E1389" s="43" t="n"/>
      <c r="F1389" s="43" t="n"/>
      <c r="G1389" s="43" t="n"/>
      <c r="H1389" s="43" t="n"/>
      <c r="I1389" s="43" t="n"/>
      <c r="J1389" s="43" t="n"/>
      <c r="K1389" s="43" t="n"/>
      <c r="L1389" s="43" t="n"/>
      <c r="M1389" s="43" t="n"/>
    </row>
    <row r="1390">
      <c r="A1390" s="43" t="n"/>
      <c r="B1390" s="43" t="n"/>
      <c r="C1390" s="43" t="n"/>
      <c r="D1390" s="43" t="n"/>
      <c r="E1390" s="43" t="n"/>
      <c r="F1390" s="43" t="n"/>
      <c r="G1390" s="43" t="n"/>
      <c r="H1390" s="43" t="n"/>
      <c r="I1390" s="43" t="n"/>
      <c r="J1390" s="43" t="n"/>
      <c r="K1390" s="43" t="n"/>
      <c r="L1390" s="43" t="n"/>
      <c r="M1390" s="43" t="n"/>
    </row>
    <row r="1391">
      <c r="A1391" s="43" t="n"/>
      <c r="B1391" s="43" t="n"/>
      <c r="C1391" s="43" t="n"/>
      <c r="D1391" s="43" t="n"/>
      <c r="E1391" s="43" t="n"/>
      <c r="F1391" s="43" t="n"/>
      <c r="G1391" s="43" t="n"/>
      <c r="H1391" s="43" t="n"/>
      <c r="I1391" s="43" t="n"/>
      <c r="J1391" s="43" t="n"/>
      <c r="K1391" s="43" t="n"/>
      <c r="L1391" s="43" t="n"/>
      <c r="M1391" s="43" t="n"/>
    </row>
    <row r="1392">
      <c r="A1392" s="43" t="n"/>
      <c r="B1392" s="43" t="n"/>
      <c r="C1392" s="43" t="n"/>
      <c r="D1392" s="43" t="n"/>
      <c r="E1392" s="43" t="n"/>
      <c r="F1392" s="43" t="n"/>
      <c r="G1392" s="43" t="n"/>
      <c r="H1392" s="43" t="n"/>
      <c r="I1392" s="43" t="n"/>
      <c r="J1392" s="43" t="n"/>
      <c r="K1392" s="43" t="n"/>
      <c r="L1392" s="43" t="n"/>
      <c r="M1392" s="43" t="n"/>
    </row>
    <row r="1393">
      <c r="A1393" s="43" t="n"/>
      <c r="B1393" s="43" t="n"/>
      <c r="C1393" s="43" t="n"/>
      <c r="D1393" s="43" t="n"/>
      <c r="E1393" s="43" t="n"/>
      <c r="F1393" s="43" t="n"/>
      <c r="G1393" s="43" t="n"/>
      <c r="H1393" s="43" t="n"/>
      <c r="I1393" s="43" t="n"/>
      <c r="J1393" s="43" t="n"/>
      <c r="K1393" s="43" t="n"/>
      <c r="L1393" s="43" t="n"/>
      <c r="M1393" s="43" t="n"/>
    </row>
    <row r="1394">
      <c r="A1394" s="43" t="n"/>
      <c r="B1394" s="43" t="n"/>
      <c r="C1394" s="43" t="n"/>
      <c r="D1394" s="43" t="n"/>
      <c r="E1394" s="43" t="n"/>
      <c r="F1394" s="43" t="n"/>
      <c r="G1394" s="43" t="n"/>
      <c r="H1394" s="43" t="n"/>
      <c r="I1394" s="43" t="n"/>
      <c r="J1394" s="43" t="n"/>
      <c r="K1394" s="43" t="n"/>
      <c r="L1394" s="43" t="n"/>
      <c r="M1394" s="43" t="n"/>
    </row>
    <row r="1395">
      <c r="A1395" s="43" t="n"/>
      <c r="B1395" s="43" t="n"/>
      <c r="C1395" s="43" t="n"/>
      <c r="D1395" s="43" t="n"/>
      <c r="E1395" s="43" t="n"/>
      <c r="F1395" s="43" t="n"/>
      <c r="G1395" s="43" t="n"/>
      <c r="H1395" s="43" t="n"/>
      <c r="I1395" s="43" t="n"/>
      <c r="J1395" s="43" t="n"/>
      <c r="K1395" s="43" t="n"/>
      <c r="L1395" s="43" t="n"/>
      <c r="M1395" s="43" t="n"/>
    </row>
    <row r="1396">
      <c r="A1396" s="43" t="n"/>
      <c r="B1396" s="43" t="n"/>
      <c r="C1396" s="43" t="n"/>
      <c r="D1396" s="43" t="n"/>
      <c r="E1396" s="43" t="n"/>
      <c r="F1396" s="43" t="n"/>
      <c r="G1396" s="43" t="n"/>
      <c r="H1396" s="43" t="n"/>
      <c r="I1396" s="43" t="n"/>
      <c r="J1396" s="43" t="n"/>
      <c r="K1396" s="43" t="n"/>
      <c r="L1396" s="43" t="n"/>
      <c r="M1396" s="43" t="n"/>
    </row>
    <row r="1397">
      <c r="A1397" s="43" t="n"/>
      <c r="B1397" s="43" t="n"/>
      <c r="C1397" s="43" t="n"/>
      <c r="D1397" s="43" t="n"/>
      <c r="E1397" s="43" t="n"/>
      <c r="F1397" s="43" t="n"/>
      <c r="G1397" s="43" t="n"/>
      <c r="H1397" s="43" t="n"/>
      <c r="I1397" s="43" t="n"/>
      <c r="J1397" s="43" t="n"/>
      <c r="K1397" s="43" t="n"/>
      <c r="L1397" s="43" t="n"/>
      <c r="M1397" s="43" t="n"/>
    </row>
    <row r="1398">
      <c r="A1398" s="43" t="n"/>
      <c r="B1398" s="43" t="n"/>
      <c r="C1398" s="43" t="n"/>
      <c r="D1398" s="43" t="n"/>
      <c r="E1398" s="43" t="n"/>
      <c r="F1398" s="43" t="n"/>
      <c r="G1398" s="43" t="n"/>
      <c r="H1398" s="43" t="n"/>
      <c r="I1398" s="43" t="n"/>
      <c r="J1398" s="43" t="n"/>
      <c r="K1398" s="43" t="n"/>
      <c r="L1398" s="43" t="n"/>
      <c r="M1398" s="43" t="n"/>
    </row>
    <row r="1399">
      <c r="A1399" s="43" t="n"/>
      <c r="B1399" s="43" t="n"/>
      <c r="C1399" s="43" t="n"/>
      <c r="D1399" s="43" t="n"/>
      <c r="E1399" s="43" t="n"/>
      <c r="F1399" s="43" t="n"/>
      <c r="G1399" s="43" t="n"/>
      <c r="H1399" s="43" t="n"/>
      <c r="I1399" s="43" t="n"/>
      <c r="J1399" s="43" t="n"/>
      <c r="K1399" s="43" t="n"/>
      <c r="L1399" s="43" t="n"/>
      <c r="M1399" s="43" t="n"/>
    </row>
    <row r="1400">
      <c r="A1400" s="43" t="n"/>
      <c r="B1400" s="43" t="n"/>
      <c r="C1400" s="43" t="n"/>
      <c r="D1400" s="43" t="n"/>
      <c r="E1400" s="43" t="n"/>
      <c r="F1400" s="43" t="n"/>
      <c r="G1400" s="43" t="n"/>
      <c r="H1400" s="43" t="n"/>
      <c r="I1400" s="43" t="n"/>
      <c r="J1400" s="43" t="n"/>
      <c r="K1400" s="43" t="n"/>
      <c r="L1400" s="43" t="n"/>
      <c r="M1400" s="43" t="n"/>
    </row>
    <row r="1401">
      <c r="A1401" s="43" t="n"/>
      <c r="B1401" s="43" t="n"/>
      <c r="C1401" s="43" t="n"/>
      <c r="D1401" s="43" t="n"/>
      <c r="E1401" s="43" t="n"/>
      <c r="F1401" s="43" t="n"/>
      <c r="G1401" s="43" t="n"/>
      <c r="H1401" s="43" t="n"/>
      <c r="I1401" s="43" t="n"/>
      <c r="J1401" s="43" t="n"/>
      <c r="K1401" s="43" t="n"/>
      <c r="L1401" s="43" t="n"/>
      <c r="M1401" s="43" t="n"/>
    </row>
    <row r="1402">
      <c r="A1402" s="43" t="n"/>
      <c r="B1402" s="43" t="n"/>
      <c r="C1402" s="43" t="n"/>
      <c r="D1402" s="43" t="n"/>
      <c r="E1402" s="43" t="n"/>
      <c r="F1402" s="43" t="n"/>
      <c r="G1402" s="43" t="n"/>
      <c r="H1402" s="43" t="n"/>
      <c r="I1402" s="43" t="n"/>
      <c r="J1402" s="43" t="n"/>
      <c r="K1402" s="43" t="n"/>
      <c r="L1402" s="43" t="n"/>
      <c r="M1402" s="43" t="n"/>
    </row>
    <row r="1403">
      <c r="A1403" s="43" t="n"/>
      <c r="B1403" s="43" t="n"/>
      <c r="C1403" s="43" t="n"/>
      <c r="D1403" s="43" t="n"/>
      <c r="E1403" s="43" t="n"/>
      <c r="F1403" s="43" t="n"/>
      <c r="G1403" s="43" t="n"/>
      <c r="H1403" s="43" t="n"/>
      <c r="I1403" s="43" t="n"/>
      <c r="J1403" s="43" t="n"/>
      <c r="K1403" s="43" t="n"/>
      <c r="L1403" s="43" t="n"/>
      <c r="M1403" s="43" t="n"/>
    </row>
    <row r="1404">
      <c r="A1404" s="43" t="n"/>
      <c r="B1404" s="43" t="n"/>
      <c r="C1404" s="43" t="n"/>
      <c r="D1404" s="43" t="n"/>
      <c r="E1404" s="43" t="n"/>
      <c r="F1404" s="43" t="n"/>
      <c r="G1404" s="43" t="n"/>
      <c r="H1404" s="43" t="n"/>
      <c r="I1404" s="43" t="n"/>
      <c r="J1404" s="43" t="n"/>
      <c r="K1404" s="43" t="n"/>
      <c r="L1404" s="43" t="n"/>
      <c r="M1404" s="43" t="n"/>
    </row>
    <row r="1405">
      <c r="A1405" s="43" t="n"/>
      <c r="B1405" s="43" t="n"/>
      <c r="C1405" s="43" t="n"/>
      <c r="D1405" s="43" t="n"/>
      <c r="E1405" s="43" t="n"/>
      <c r="F1405" s="43" t="n"/>
      <c r="G1405" s="43" t="n"/>
      <c r="H1405" s="43" t="n"/>
      <c r="I1405" s="43" t="n"/>
      <c r="J1405" s="43" t="n"/>
      <c r="K1405" s="43" t="n"/>
      <c r="L1405" s="43" t="n"/>
      <c r="M1405" s="43" t="n"/>
    </row>
    <row r="1406">
      <c r="A1406" s="43" t="n"/>
      <c r="B1406" s="43" t="n"/>
      <c r="C1406" s="43" t="n"/>
      <c r="D1406" s="43" t="n"/>
      <c r="E1406" s="43" t="n"/>
      <c r="F1406" s="43" t="n"/>
      <c r="G1406" s="43" t="n"/>
      <c r="H1406" s="43" t="n"/>
      <c r="I1406" s="43" t="n"/>
      <c r="J1406" s="43" t="n"/>
      <c r="K1406" s="43" t="n"/>
      <c r="L1406" s="43" t="n"/>
      <c r="M1406" s="43" t="n"/>
    </row>
    <row r="1407">
      <c r="A1407" s="43" t="n"/>
      <c r="B1407" s="43" t="n"/>
      <c r="C1407" s="43" t="n"/>
      <c r="D1407" s="43" t="n"/>
      <c r="E1407" s="43" t="n"/>
      <c r="F1407" s="43" t="n"/>
      <c r="G1407" s="43" t="n"/>
      <c r="H1407" s="43" t="n"/>
      <c r="I1407" s="43" t="n"/>
      <c r="J1407" s="43" t="n"/>
      <c r="K1407" s="43" t="n"/>
      <c r="L1407" s="43" t="n"/>
      <c r="M1407" s="43" t="n"/>
    </row>
    <row r="1408">
      <c r="A1408" s="43" t="n"/>
      <c r="B1408" s="43" t="n"/>
      <c r="C1408" s="43" t="n"/>
      <c r="D1408" s="43" t="n"/>
      <c r="E1408" s="43" t="n"/>
      <c r="F1408" s="43" t="n"/>
      <c r="G1408" s="43" t="n"/>
      <c r="H1408" s="43" t="n"/>
      <c r="I1408" s="43" t="n"/>
      <c r="J1408" s="43" t="n"/>
      <c r="K1408" s="43" t="n"/>
      <c r="L1408" s="43" t="n"/>
      <c r="M1408" s="43" t="n"/>
    </row>
    <row r="1409">
      <c r="A1409" s="43" t="n"/>
      <c r="B1409" s="43" t="n"/>
      <c r="C1409" s="43" t="n"/>
      <c r="D1409" s="43" t="n"/>
      <c r="E1409" s="43" t="n"/>
      <c r="F1409" s="43" t="n"/>
      <c r="G1409" s="43" t="n"/>
      <c r="H1409" s="43" t="n"/>
      <c r="I1409" s="43" t="n"/>
      <c r="J1409" s="43" t="n"/>
      <c r="K1409" s="43" t="n"/>
      <c r="L1409" s="43" t="n"/>
      <c r="M1409" s="43" t="n"/>
    </row>
    <row r="1410">
      <c r="A1410" s="43" t="n"/>
      <c r="B1410" s="43" t="n"/>
      <c r="C1410" s="43" t="n"/>
      <c r="D1410" s="43" t="n"/>
      <c r="E1410" s="43" t="n"/>
      <c r="F1410" s="43" t="n"/>
      <c r="G1410" s="43" t="n"/>
      <c r="H1410" s="43" t="n"/>
      <c r="I1410" s="43" t="n"/>
      <c r="J1410" s="43" t="n"/>
      <c r="K1410" s="43" t="n"/>
      <c r="L1410" s="43" t="n"/>
      <c r="M1410" s="43" t="n"/>
    </row>
    <row r="1411">
      <c r="A1411" s="43" t="n"/>
      <c r="B1411" s="43" t="n"/>
      <c r="C1411" s="43" t="n"/>
      <c r="D1411" s="43" t="n"/>
      <c r="E1411" s="43" t="n"/>
      <c r="F1411" s="43" t="n"/>
      <c r="G1411" s="43" t="n"/>
      <c r="H1411" s="43" t="n"/>
      <c r="I1411" s="43" t="n"/>
      <c r="J1411" s="43" t="n"/>
      <c r="K1411" s="43" t="n"/>
      <c r="L1411" s="43" t="n"/>
      <c r="M1411" s="43" t="n"/>
    </row>
    <row r="1412">
      <c r="A1412" s="43" t="n"/>
      <c r="B1412" s="43" t="n"/>
      <c r="C1412" s="43" t="n"/>
      <c r="D1412" s="43" t="n"/>
      <c r="E1412" s="43" t="n"/>
      <c r="F1412" s="43" t="n"/>
      <c r="G1412" s="43" t="n"/>
      <c r="H1412" s="43" t="n"/>
      <c r="I1412" s="43" t="n"/>
      <c r="J1412" s="43" t="n"/>
      <c r="K1412" s="43" t="n"/>
      <c r="L1412" s="43" t="n"/>
      <c r="M1412" s="43" t="n"/>
    </row>
    <row r="1413">
      <c r="A1413" s="43" t="n"/>
      <c r="B1413" s="43" t="n"/>
      <c r="C1413" s="43" t="n"/>
      <c r="D1413" s="43" t="n"/>
      <c r="E1413" s="43" t="n"/>
      <c r="F1413" s="43" t="n"/>
      <c r="G1413" s="43" t="n"/>
      <c r="H1413" s="43" t="n"/>
      <c r="I1413" s="43" t="n"/>
      <c r="J1413" s="43" t="n"/>
      <c r="K1413" s="43" t="n"/>
      <c r="L1413" s="43" t="n"/>
      <c r="M1413" s="43" t="n"/>
    </row>
    <row r="1414">
      <c r="A1414" s="43" t="n"/>
      <c r="B1414" s="43" t="n"/>
      <c r="C1414" s="43" t="n"/>
      <c r="D1414" s="43" t="n"/>
      <c r="E1414" s="43" t="n"/>
      <c r="F1414" s="43" t="n"/>
      <c r="G1414" s="43" t="n"/>
      <c r="H1414" s="43" t="n"/>
      <c r="I1414" s="43" t="n"/>
      <c r="J1414" s="43" t="n"/>
      <c r="K1414" s="43" t="n"/>
      <c r="L1414" s="43" t="n"/>
      <c r="M1414" s="43" t="n"/>
    </row>
    <row r="1415">
      <c r="A1415" s="43" t="n"/>
      <c r="B1415" s="43" t="n"/>
      <c r="C1415" s="43" t="n"/>
      <c r="D1415" s="43" t="n"/>
      <c r="E1415" s="43" t="n"/>
      <c r="F1415" s="43" t="n"/>
      <c r="G1415" s="43" t="n"/>
      <c r="H1415" s="43" t="n"/>
      <c r="I1415" s="43" t="n"/>
      <c r="J1415" s="43" t="n"/>
      <c r="K1415" s="43" t="n"/>
      <c r="L1415" s="43" t="n"/>
      <c r="M1415" s="43" t="n"/>
    </row>
    <row r="1416">
      <c r="A1416" s="43" t="n"/>
      <c r="B1416" s="43" t="n"/>
      <c r="C1416" s="43" t="n"/>
      <c r="D1416" s="43" t="n"/>
      <c r="E1416" s="43" t="n"/>
      <c r="F1416" s="43" t="n"/>
      <c r="G1416" s="43" t="n"/>
      <c r="H1416" s="43" t="n"/>
      <c r="I1416" s="43" t="n"/>
      <c r="J1416" s="43" t="n"/>
      <c r="K1416" s="43" t="n"/>
      <c r="L1416" s="43" t="n"/>
      <c r="M1416" s="43" t="n"/>
    </row>
    <row r="1417">
      <c r="A1417" s="43" t="n"/>
      <c r="B1417" s="43" t="n"/>
      <c r="C1417" s="43" t="n"/>
      <c r="D1417" s="43" t="n"/>
      <c r="E1417" s="43" t="n"/>
      <c r="F1417" s="43" t="n"/>
      <c r="G1417" s="43" t="n"/>
      <c r="H1417" s="43" t="n"/>
      <c r="I1417" s="43" t="n"/>
      <c r="J1417" s="43" t="n"/>
      <c r="K1417" s="43" t="n"/>
      <c r="L1417" s="43" t="n"/>
      <c r="M1417" s="43" t="n"/>
    </row>
    <row r="1418">
      <c r="A1418" s="43" t="n"/>
      <c r="B1418" s="43" t="n"/>
      <c r="C1418" s="43" t="n"/>
      <c r="D1418" s="43" t="n"/>
      <c r="E1418" s="43" t="n"/>
      <c r="F1418" s="43" t="n"/>
      <c r="G1418" s="43" t="n"/>
      <c r="H1418" s="43" t="n"/>
      <c r="I1418" s="43" t="n"/>
      <c r="J1418" s="43" t="n"/>
      <c r="K1418" s="43" t="n"/>
      <c r="L1418" s="43" t="n"/>
      <c r="M1418" s="43" t="n"/>
    </row>
    <row r="1419">
      <c r="A1419" s="43" t="n"/>
      <c r="B1419" s="43" t="n"/>
      <c r="C1419" s="43" t="n"/>
      <c r="D1419" s="43" t="n"/>
      <c r="E1419" s="43" t="n"/>
      <c r="F1419" s="43" t="n"/>
      <c r="G1419" s="43" t="n"/>
      <c r="H1419" s="43" t="n"/>
      <c r="I1419" s="43" t="n"/>
      <c r="J1419" s="43" t="n"/>
      <c r="K1419" s="43" t="n"/>
      <c r="L1419" s="43" t="n"/>
      <c r="M1419" s="43" t="n"/>
    </row>
    <row r="1420">
      <c r="A1420" s="43" t="n"/>
      <c r="B1420" s="43" t="n"/>
      <c r="C1420" s="43" t="n"/>
      <c r="D1420" s="43" t="n"/>
      <c r="E1420" s="43" t="n"/>
      <c r="F1420" s="43" t="n"/>
      <c r="G1420" s="43" t="n"/>
      <c r="H1420" s="43" t="n"/>
      <c r="I1420" s="43" t="n"/>
      <c r="J1420" s="43" t="n"/>
      <c r="K1420" s="43" t="n"/>
      <c r="L1420" s="43" t="n"/>
      <c r="M1420" s="43" t="n"/>
    </row>
    <row r="1421">
      <c r="A1421" s="43" t="n"/>
      <c r="B1421" s="43" t="n"/>
      <c r="C1421" s="43" t="n"/>
      <c r="D1421" s="43" t="n"/>
      <c r="E1421" s="43" t="n"/>
      <c r="F1421" s="43" t="n"/>
      <c r="G1421" s="43" t="n"/>
      <c r="H1421" s="43" t="n"/>
      <c r="I1421" s="43" t="n"/>
      <c r="J1421" s="43" t="n"/>
      <c r="K1421" s="43" t="n"/>
      <c r="L1421" s="43" t="n"/>
      <c r="M1421" s="43" t="n"/>
    </row>
    <row r="1422">
      <c r="A1422" s="43" t="n"/>
      <c r="B1422" s="43" t="n"/>
      <c r="C1422" s="43" t="n"/>
      <c r="D1422" s="43" t="n"/>
      <c r="E1422" s="43" t="n"/>
      <c r="F1422" s="43" t="n"/>
      <c r="G1422" s="43" t="n"/>
      <c r="H1422" s="43" t="n"/>
      <c r="I1422" s="43" t="n"/>
      <c r="J1422" s="43" t="n"/>
      <c r="K1422" s="43" t="n"/>
      <c r="L1422" s="43" t="n"/>
      <c r="M1422" s="43" t="n"/>
    </row>
    <row r="1423">
      <c r="A1423" s="43" t="n"/>
      <c r="B1423" s="43" t="n"/>
      <c r="C1423" s="43" t="n"/>
      <c r="D1423" s="43" t="n"/>
      <c r="E1423" s="43" t="n"/>
      <c r="F1423" s="43" t="n"/>
      <c r="G1423" s="43" t="n"/>
      <c r="H1423" s="43" t="n"/>
      <c r="I1423" s="43" t="n"/>
      <c r="J1423" s="43" t="n"/>
      <c r="K1423" s="43" t="n"/>
      <c r="L1423" s="43" t="n"/>
      <c r="M1423" s="43" t="n"/>
    </row>
    <row r="1424">
      <c r="A1424" s="43" t="n"/>
      <c r="B1424" s="43" t="n"/>
      <c r="C1424" s="43" t="n"/>
      <c r="D1424" s="43" t="n"/>
      <c r="E1424" s="43" t="n"/>
      <c r="F1424" s="43" t="n"/>
      <c r="G1424" s="43" t="n"/>
      <c r="H1424" s="43" t="n"/>
      <c r="I1424" s="43" t="n"/>
      <c r="J1424" s="43" t="n"/>
      <c r="K1424" s="43" t="n"/>
      <c r="L1424" s="43" t="n"/>
      <c r="M1424" s="43" t="n"/>
    </row>
    <row r="1425">
      <c r="A1425" s="43" t="n"/>
      <c r="B1425" s="43" t="n"/>
      <c r="C1425" s="43" t="n"/>
      <c r="D1425" s="43" t="n"/>
      <c r="E1425" s="43" t="n"/>
      <c r="F1425" s="43" t="n"/>
      <c r="G1425" s="43" t="n"/>
      <c r="H1425" s="43" t="n"/>
      <c r="I1425" s="43" t="n"/>
      <c r="J1425" s="43" t="n"/>
      <c r="K1425" s="43" t="n"/>
      <c r="L1425" s="43" t="n"/>
      <c r="M1425" s="43" t="n"/>
    </row>
    <row r="1426">
      <c r="A1426" s="43" t="n"/>
      <c r="B1426" s="43" t="n"/>
      <c r="C1426" s="43" t="n"/>
      <c r="D1426" s="43" t="n"/>
      <c r="E1426" s="43" t="n"/>
      <c r="F1426" s="43" t="n"/>
      <c r="G1426" s="43" t="n"/>
      <c r="H1426" s="43" t="n"/>
      <c r="I1426" s="43" t="n"/>
      <c r="J1426" s="43" t="n"/>
      <c r="K1426" s="43" t="n"/>
      <c r="L1426" s="43" t="n"/>
      <c r="M1426" s="43" t="n"/>
    </row>
    <row r="1427">
      <c r="A1427" s="43" t="n"/>
      <c r="B1427" s="43" t="n"/>
      <c r="C1427" s="43" t="n"/>
      <c r="D1427" s="43" t="n"/>
      <c r="E1427" s="43" t="n"/>
      <c r="F1427" s="43" t="n"/>
      <c r="G1427" s="43" t="n"/>
      <c r="H1427" s="43" t="n"/>
      <c r="I1427" s="43" t="n"/>
      <c r="J1427" s="43" t="n"/>
      <c r="K1427" s="43" t="n"/>
      <c r="L1427" s="43" t="n"/>
      <c r="M1427" s="43" t="n"/>
    </row>
    <row r="1428">
      <c r="A1428" s="43" t="n"/>
      <c r="B1428" s="43" t="n"/>
      <c r="C1428" s="43" t="n"/>
      <c r="D1428" s="43" t="n"/>
      <c r="E1428" s="43" t="n"/>
      <c r="F1428" s="43" t="n"/>
      <c r="G1428" s="43" t="n"/>
      <c r="H1428" s="43" t="n"/>
      <c r="I1428" s="43" t="n"/>
      <c r="J1428" s="43" t="n"/>
      <c r="K1428" s="43" t="n"/>
      <c r="L1428" s="43" t="n"/>
      <c r="M1428" s="43" t="n"/>
    </row>
    <row r="1429">
      <c r="A1429" s="43" t="n"/>
      <c r="B1429" s="43" t="n"/>
      <c r="C1429" s="43" t="n"/>
      <c r="D1429" s="43" t="n"/>
      <c r="E1429" s="43" t="n"/>
      <c r="F1429" s="43" t="n"/>
      <c r="G1429" s="43" t="n"/>
      <c r="H1429" s="43" t="n"/>
      <c r="I1429" s="43" t="n"/>
      <c r="J1429" s="43" t="n"/>
      <c r="K1429" s="43" t="n"/>
      <c r="L1429" s="43" t="n"/>
      <c r="M1429" s="43" t="n"/>
    </row>
    <row r="1430">
      <c r="A1430" s="43" t="n"/>
      <c r="B1430" s="43" t="n"/>
      <c r="C1430" s="43" t="n"/>
      <c r="D1430" s="43" t="n"/>
      <c r="E1430" s="43" t="n"/>
      <c r="F1430" s="43" t="n"/>
      <c r="G1430" s="43" t="n"/>
      <c r="H1430" s="43" t="n"/>
      <c r="I1430" s="43" t="n"/>
      <c r="J1430" s="43" t="n"/>
      <c r="K1430" s="43" t="n"/>
      <c r="L1430" s="43" t="n"/>
      <c r="M1430" s="43" t="n"/>
    </row>
    <row r="1431">
      <c r="A1431" s="43" t="n"/>
      <c r="B1431" s="43" t="n"/>
      <c r="C1431" s="43" t="n"/>
      <c r="D1431" s="43" t="n"/>
      <c r="E1431" s="43" t="n"/>
      <c r="F1431" s="43" t="n"/>
      <c r="G1431" s="43" t="n"/>
      <c r="H1431" s="43" t="n"/>
      <c r="I1431" s="43" t="n"/>
      <c r="J1431" s="43" t="n"/>
      <c r="K1431" s="43" t="n"/>
      <c r="L1431" s="43" t="n"/>
      <c r="M1431" s="43" t="n"/>
    </row>
    <row r="1432">
      <c r="A1432" s="43" t="n"/>
      <c r="B1432" s="43" t="n"/>
      <c r="C1432" s="43" t="n"/>
      <c r="D1432" s="43" t="n"/>
      <c r="E1432" s="43" t="n"/>
      <c r="F1432" s="43" t="n"/>
      <c r="G1432" s="43" t="n"/>
      <c r="H1432" s="43" t="n"/>
      <c r="I1432" s="43" t="n"/>
      <c r="J1432" s="43" t="n"/>
      <c r="K1432" s="43" t="n"/>
      <c r="L1432" s="43" t="n"/>
      <c r="M1432" s="43" t="n"/>
    </row>
    <row r="1433">
      <c r="A1433" s="43" t="n"/>
      <c r="B1433" s="43" t="n"/>
      <c r="C1433" s="43" t="n"/>
      <c r="D1433" s="43" t="n"/>
      <c r="E1433" s="43" t="n"/>
      <c r="F1433" s="43" t="n"/>
      <c r="G1433" s="43" t="n"/>
      <c r="H1433" s="43" t="n"/>
      <c r="I1433" s="43" t="n"/>
      <c r="J1433" s="43" t="n"/>
      <c r="K1433" s="43" t="n"/>
      <c r="L1433" s="43" t="n"/>
      <c r="M1433" s="43" t="n"/>
    </row>
    <row r="1434">
      <c r="A1434" s="43" t="n"/>
      <c r="B1434" s="43" t="n"/>
      <c r="C1434" s="43" t="n"/>
      <c r="D1434" s="43" t="n"/>
      <c r="E1434" s="43" t="n"/>
      <c r="F1434" s="43" t="n"/>
      <c r="G1434" s="43" t="n"/>
      <c r="H1434" s="43" t="n"/>
      <c r="I1434" s="43" t="n"/>
      <c r="J1434" s="43" t="n"/>
      <c r="K1434" s="43" t="n"/>
      <c r="L1434" s="43" t="n"/>
      <c r="M1434" s="43" t="n"/>
    </row>
    <row r="1435">
      <c r="A1435" s="43" t="n"/>
      <c r="B1435" s="43" t="n"/>
      <c r="C1435" s="43" t="n"/>
      <c r="D1435" s="43" t="n"/>
      <c r="E1435" s="43" t="n"/>
      <c r="F1435" s="43" t="n"/>
      <c r="G1435" s="43" t="n"/>
      <c r="H1435" s="43" t="n"/>
      <c r="I1435" s="43" t="n"/>
      <c r="J1435" s="43" t="n"/>
      <c r="K1435" s="43" t="n"/>
      <c r="L1435" s="43" t="n"/>
      <c r="M1435" s="43" t="n"/>
    </row>
    <row r="1436">
      <c r="A1436" s="43" t="n"/>
      <c r="B1436" s="43" t="n"/>
      <c r="C1436" s="43" t="n"/>
      <c r="D1436" s="43" t="n"/>
      <c r="E1436" s="43" t="n"/>
      <c r="F1436" s="43" t="n"/>
      <c r="G1436" s="43" t="n"/>
      <c r="H1436" s="43" t="n"/>
      <c r="I1436" s="43" t="n"/>
      <c r="J1436" s="43" t="n"/>
      <c r="K1436" s="43" t="n"/>
      <c r="L1436" s="43" t="n"/>
      <c r="M1436" s="43" t="n"/>
    </row>
    <row r="1437">
      <c r="A1437" s="43" t="n"/>
      <c r="B1437" s="43" t="n"/>
      <c r="C1437" s="43" t="n"/>
      <c r="D1437" s="43" t="n"/>
      <c r="E1437" s="43" t="n"/>
      <c r="F1437" s="43" t="n"/>
      <c r="G1437" s="43" t="n"/>
      <c r="H1437" s="43" t="n"/>
      <c r="I1437" s="43" t="n"/>
      <c r="J1437" s="43" t="n"/>
      <c r="K1437" s="43" t="n"/>
      <c r="L1437" s="43" t="n"/>
      <c r="M1437" s="43" t="n"/>
    </row>
    <row r="1438">
      <c r="A1438" s="43" t="n"/>
      <c r="B1438" s="43" t="n"/>
      <c r="C1438" s="43" t="n"/>
      <c r="D1438" s="43" t="n"/>
      <c r="E1438" s="43" t="n"/>
      <c r="F1438" s="43" t="n"/>
      <c r="G1438" s="43" t="n"/>
      <c r="H1438" s="43" t="n"/>
      <c r="I1438" s="43" t="n"/>
      <c r="J1438" s="43" t="n"/>
      <c r="K1438" s="43" t="n"/>
      <c r="L1438" s="43" t="n"/>
      <c r="M1438" s="43" t="n"/>
    </row>
    <row r="1439">
      <c r="A1439" s="43" t="n"/>
      <c r="B1439" s="43" t="n"/>
      <c r="C1439" s="43" t="n"/>
      <c r="D1439" s="43" t="n"/>
      <c r="E1439" s="43" t="n"/>
      <c r="F1439" s="43" t="n"/>
      <c r="G1439" s="43" t="n"/>
      <c r="H1439" s="43" t="n"/>
      <c r="I1439" s="43" t="n"/>
      <c r="J1439" s="43" t="n"/>
      <c r="K1439" s="43" t="n"/>
      <c r="L1439" s="43" t="n"/>
      <c r="M1439" s="43" t="n"/>
    </row>
    <row r="1440">
      <c r="A1440" s="43" t="n"/>
      <c r="B1440" s="43" t="n"/>
      <c r="C1440" s="43" t="n"/>
      <c r="D1440" s="43" t="n"/>
      <c r="E1440" s="43" t="n"/>
      <c r="F1440" s="43" t="n"/>
      <c r="G1440" s="43" t="n"/>
      <c r="H1440" s="43" t="n"/>
      <c r="I1440" s="43" t="n"/>
      <c r="J1440" s="43" t="n"/>
      <c r="K1440" s="43" t="n"/>
      <c r="L1440" s="43" t="n"/>
      <c r="M1440" s="43" t="n"/>
    </row>
    <row r="1441">
      <c r="A1441" s="43" t="n"/>
      <c r="B1441" s="43" t="n"/>
      <c r="C1441" s="43" t="n"/>
      <c r="D1441" s="43" t="n"/>
      <c r="E1441" s="43" t="n"/>
      <c r="F1441" s="43" t="n"/>
      <c r="G1441" s="43" t="n"/>
      <c r="H1441" s="43" t="n"/>
      <c r="I1441" s="43" t="n"/>
      <c r="J1441" s="43" t="n"/>
      <c r="K1441" s="43" t="n"/>
      <c r="L1441" s="43" t="n"/>
      <c r="M1441" s="43" t="n"/>
    </row>
    <row r="1442">
      <c r="A1442" s="43" t="n"/>
      <c r="B1442" s="43" t="n"/>
      <c r="C1442" s="43" t="n"/>
      <c r="D1442" s="43" t="n"/>
      <c r="E1442" s="43" t="n"/>
      <c r="F1442" s="43" t="n"/>
      <c r="G1442" s="43" t="n"/>
      <c r="H1442" s="43" t="n"/>
      <c r="I1442" s="43" t="n"/>
      <c r="J1442" s="43" t="n"/>
      <c r="K1442" s="43" t="n"/>
      <c r="L1442" s="43" t="n"/>
      <c r="M1442" s="43" t="n"/>
    </row>
    <row r="1443">
      <c r="A1443" s="43" t="n"/>
      <c r="B1443" s="43" t="n"/>
      <c r="C1443" s="43" t="n"/>
      <c r="D1443" s="43" t="n"/>
      <c r="E1443" s="43" t="n"/>
      <c r="F1443" s="43" t="n"/>
      <c r="G1443" s="43" t="n"/>
      <c r="H1443" s="43" t="n"/>
      <c r="I1443" s="43" t="n"/>
      <c r="J1443" s="43" t="n"/>
      <c r="K1443" s="43" t="n"/>
      <c r="L1443" s="43" t="n"/>
      <c r="M1443" s="43" t="n"/>
    </row>
    <row r="1444">
      <c r="A1444" s="43" t="n"/>
      <c r="B1444" s="43" t="n"/>
      <c r="C1444" s="43" t="n"/>
      <c r="D1444" s="43" t="n"/>
      <c r="E1444" s="43" t="n"/>
      <c r="F1444" s="43" t="n"/>
      <c r="G1444" s="43" t="n"/>
      <c r="H1444" s="43" t="n"/>
      <c r="I1444" s="43" t="n"/>
      <c r="J1444" s="43" t="n"/>
      <c r="K1444" s="43" t="n"/>
      <c r="L1444" s="43" t="n"/>
      <c r="M1444" s="43" t="n"/>
    </row>
    <row r="1445">
      <c r="A1445" s="43" t="n"/>
      <c r="B1445" s="43" t="n"/>
      <c r="C1445" s="43" t="n"/>
      <c r="D1445" s="43" t="n"/>
      <c r="E1445" s="43" t="n"/>
      <c r="F1445" s="43" t="n"/>
      <c r="G1445" s="43" t="n"/>
      <c r="H1445" s="43" t="n"/>
      <c r="I1445" s="43" t="n"/>
      <c r="J1445" s="43" t="n"/>
      <c r="K1445" s="43" t="n"/>
      <c r="L1445" s="43" t="n"/>
      <c r="M1445" s="43" t="n"/>
    </row>
    <row r="1446">
      <c r="A1446" s="43" t="n"/>
      <c r="B1446" s="43" t="n"/>
      <c r="C1446" s="43" t="n"/>
      <c r="D1446" s="43" t="n"/>
      <c r="E1446" s="43" t="n"/>
      <c r="F1446" s="43" t="n"/>
      <c r="G1446" s="43" t="n"/>
      <c r="H1446" s="43" t="n"/>
      <c r="I1446" s="43" t="n"/>
      <c r="J1446" s="43" t="n"/>
      <c r="K1446" s="43" t="n"/>
      <c r="L1446" s="43" t="n"/>
      <c r="M1446" s="43" t="n"/>
    </row>
    <row r="1447">
      <c r="A1447" s="43" t="n"/>
      <c r="B1447" s="43" t="n"/>
      <c r="C1447" s="43" t="n"/>
      <c r="D1447" s="43" t="n"/>
      <c r="E1447" s="43" t="n"/>
      <c r="F1447" s="43" t="n"/>
      <c r="G1447" s="43" t="n"/>
      <c r="H1447" s="43" t="n"/>
      <c r="I1447" s="43" t="n"/>
      <c r="J1447" s="43" t="n"/>
      <c r="K1447" s="43" t="n"/>
      <c r="L1447" s="43" t="n"/>
      <c r="M1447" s="43" t="n"/>
    </row>
    <row r="1448">
      <c r="A1448" s="43" t="n"/>
      <c r="B1448" s="43" t="n"/>
      <c r="C1448" s="43" t="n"/>
      <c r="D1448" s="43" t="n"/>
      <c r="E1448" s="43" t="n"/>
      <c r="F1448" s="43" t="n"/>
      <c r="G1448" s="43" t="n"/>
      <c r="H1448" s="43" t="n"/>
      <c r="I1448" s="43" t="n"/>
      <c r="J1448" s="43" t="n"/>
      <c r="K1448" s="43" t="n"/>
      <c r="L1448" s="43" t="n"/>
      <c r="M1448" s="43" t="n"/>
    </row>
    <row r="1449">
      <c r="A1449" s="43" t="n"/>
      <c r="B1449" s="43" t="n"/>
      <c r="C1449" s="43" t="n"/>
      <c r="D1449" s="43" t="n"/>
      <c r="E1449" s="43" t="n"/>
      <c r="F1449" s="43" t="n"/>
      <c r="G1449" s="43" t="n"/>
      <c r="H1449" s="43" t="n"/>
      <c r="I1449" s="43" t="n"/>
      <c r="J1449" s="43" t="n"/>
      <c r="K1449" s="43" t="n"/>
      <c r="L1449" s="43" t="n"/>
      <c r="M1449" s="43" t="n"/>
    </row>
    <row r="1450">
      <c r="A1450" s="43" t="n"/>
      <c r="B1450" s="43" t="n"/>
      <c r="C1450" s="43" t="n"/>
      <c r="D1450" s="43" t="n"/>
      <c r="E1450" s="43" t="n"/>
      <c r="F1450" s="43" t="n"/>
      <c r="G1450" s="43" t="n"/>
      <c r="H1450" s="43" t="n"/>
      <c r="I1450" s="43" t="n"/>
      <c r="J1450" s="43" t="n"/>
      <c r="K1450" s="43" t="n"/>
      <c r="L1450" s="43" t="n"/>
      <c r="M1450" s="43" t="n"/>
    </row>
    <row r="1451">
      <c r="A1451" s="43" t="n"/>
      <c r="B1451" s="43" t="n"/>
      <c r="C1451" s="43" t="n"/>
      <c r="D1451" s="43" t="n"/>
      <c r="E1451" s="43" t="n"/>
      <c r="F1451" s="43" t="n"/>
      <c r="G1451" s="43" t="n"/>
      <c r="H1451" s="43" t="n"/>
      <c r="I1451" s="43" t="n"/>
      <c r="J1451" s="43" t="n"/>
      <c r="K1451" s="43" t="n"/>
      <c r="L1451" s="43" t="n"/>
      <c r="M1451" s="43" t="n"/>
    </row>
    <row r="1452">
      <c r="A1452" s="43" t="n"/>
      <c r="B1452" s="43" t="n"/>
      <c r="C1452" s="43" t="n"/>
      <c r="D1452" s="43" t="n"/>
      <c r="E1452" s="43" t="n"/>
      <c r="F1452" s="43" t="n"/>
      <c r="G1452" s="43" t="n"/>
      <c r="H1452" s="43" t="n"/>
      <c r="I1452" s="43" t="n"/>
      <c r="J1452" s="43" t="n"/>
      <c r="K1452" s="43" t="n"/>
      <c r="L1452" s="43" t="n"/>
      <c r="M1452" s="43" t="n"/>
    </row>
    <row r="1453">
      <c r="A1453" s="43" t="n"/>
      <c r="B1453" s="43" t="n"/>
      <c r="C1453" s="43" t="n"/>
      <c r="D1453" s="43" t="n"/>
      <c r="E1453" s="43" t="n"/>
      <c r="F1453" s="43" t="n"/>
      <c r="G1453" s="43" t="n"/>
      <c r="H1453" s="43" t="n"/>
      <c r="I1453" s="43" t="n"/>
      <c r="J1453" s="43" t="n"/>
      <c r="K1453" s="43" t="n"/>
      <c r="L1453" s="43" t="n"/>
      <c r="M1453" s="43" t="n"/>
    </row>
    <row r="1454">
      <c r="A1454" s="43" t="n"/>
      <c r="B1454" s="43" t="n"/>
      <c r="C1454" s="43" t="n"/>
      <c r="D1454" s="43" t="n"/>
      <c r="E1454" s="43" t="n"/>
      <c r="F1454" s="43" t="n"/>
      <c r="G1454" s="43" t="n"/>
      <c r="H1454" s="43" t="n"/>
      <c r="I1454" s="43" t="n"/>
      <c r="J1454" s="43" t="n"/>
      <c r="K1454" s="43" t="n"/>
      <c r="L1454" s="43" t="n"/>
      <c r="M1454" s="43" t="n"/>
    </row>
    <row r="1455">
      <c r="A1455" s="43" t="n"/>
      <c r="B1455" s="43" t="n"/>
      <c r="C1455" s="43" t="n"/>
      <c r="D1455" s="43" t="n"/>
      <c r="E1455" s="43" t="n"/>
      <c r="F1455" s="43" t="n"/>
      <c r="G1455" s="43" t="n"/>
      <c r="H1455" s="43" t="n"/>
      <c r="I1455" s="43" t="n"/>
      <c r="J1455" s="43" t="n"/>
      <c r="K1455" s="43" t="n"/>
      <c r="L1455" s="43" t="n"/>
      <c r="M1455" s="43" t="n"/>
    </row>
    <row r="1456">
      <c r="A1456" s="43" t="n"/>
      <c r="B1456" s="43" t="n"/>
      <c r="C1456" s="43" t="n"/>
      <c r="D1456" s="43" t="n"/>
      <c r="E1456" s="43" t="n"/>
      <c r="F1456" s="43" t="n"/>
      <c r="G1456" s="43" t="n"/>
      <c r="H1456" s="43" t="n"/>
      <c r="I1456" s="43" t="n"/>
      <c r="J1456" s="43" t="n"/>
      <c r="K1456" s="43" t="n"/>
      <c r="L1456" s="43" t="n"/>
      <c r="M1456" s="43" t="n"/>
    </row>
    <row r="1457">
      <c r="A1457" s="43" t="n"/>
      <c r="B1457" s="43" t="n"/>
      <c r="C1457" s="43" t="n"/>
      <c r="D1457" s="43" t="n"/>
      <c r="E1457" s="43" t="n"/>
      <c r="F1457" s="43" t="n"/>
      <c r="G1457" s="43" t="n"/>
      <c r="H1457" s="43" t="n"/>
      <c r="I1457" s="43" t="n"/>
      <c r="J1457" s="43" t="n"/>
      <c r="K1457" s="43" t="n"/>
      <c r="L1457" s="43" t="n"/>
      <c r="M1457" s="43" t="n"/>
    </row>
    <row r="1458">
      <c r="A1458" s="43" t="n"/>
      <c r="B1458" s="43" t="n"/>
      <c r="C1458" s="43" t="n"/>
      <c r="D1458" s="43" t="n"/>
      <c r="E1458" s="43" t="n"/>
      <c r="F1458" s="43" t="n"/>
      <c r="G1458" s="43" t="n"/>
      <c r="H1458" s="43" t="n"/>
      <c r="I1458" s="43" t="n"/>
      <c r="J1458" s="43" t="n"/>
      <c r="K1458" s="43" t="n"/>
      <c r="L1458" s="43" t="n"/>
      <c r="M1458" s="43" t="n"/>
    </row>
    <row r="1459">
      <c r="A1459" s="43" t="n"/>
      <c r="B1459" s="43" t="n"/>
      <c r="C1459" s="43" t="n"/>
      <c r="D1459" s="43" t="n"/>
      <c r="E1459" s="43" t="n"/>
      <c r="F1459" s="43" t="n"/>
      <c r="G1459" s="43" t="n"/>
      <c r="H1459" s="43" t="n"/>
      <c r="I1459" s="43" t="n"/>
      <c r="J1459" s="43" t="n"/>
      <c r="K1459" s="43" t="n"/>
      <c r="L1459" s="43" t="n"/>
      <c r="M1459" s="43" t="n"/>
    </row>
    <row r="1460">
      <c r="A1460" s="43" t="n"/>
      <c r="B1460" s="43" t="n"/>
      <c r="C1460" s="43" t="n"/>
      <c r="D1460" s="43" t="n"/>
      <c r="E1460" s="43" t="n"/>
      <c r="F1460" s="43" t="n"/>
      <c r="G1460" s="43" t="n"/>
      <c r="H1460" s="43" t="n"/>
      <c r="I1460" s="43" t="n"/>
      <c r="J1460" s="43" t="n"/>
      <c r="K1460" s="43" t="n"/>
      <c r="L1460" s="43" t="n"/>
      <c r="M1460" s="43" t="n"/>
    </row>
    <row r="1461">
      <c r="A1461" s="43" t="n"/>
      <c r="B1461" s="43" t="n"/>
      <c r="C1461" s="43" t="n"/>
      <c r="D1461" s="43" t="n"/>
      <c r="E1461" s="43" t="n"/>
      <c r="F1461" s="43" t="n"/>
      <c r="G1461" s="43" t="n"/>
      <c r="H1461" s="43" t="n"/>
      <c r="I1461" s="43" t="n"/>
      <c r="J1461" s="43" t="n"/>
      <c r="K1461" s="43" t="n"/>
      <c r="L1461" s="43" t="n"/>
      <c r="M1461" s="43" t="n"/>
    </row>
    <row r="1462">
      <c r="A1462" s="43" t="n"/>
      <c r="B1462" s="43" t="n"/>
      <c r="C1462" s="43" t="n"/>
      <c r="D1462" s="43" t="n"/>
      <c r="E1462" s="43" t="n"/>
      <c r="F1462" s="43" t="n"/>
      <c r="G1462" s="43" t="n"/>
      <c r="H1462" s="43" t="n"/>
      <c r="I1462" s="43" t="n"/>
      <c r="J1462" s="43" t="n"/>
      <c r="K1462" s="43" t="n"/>
      <c r="L1462" s="43" t="n"/>
      <c r="M1462" s="43" t="n"/>
    </row>
    <row r="1463">
      <c r="A1463" s="43" t="n"/>
      <c r="B1463" s="43" t="n"/>
      <c r="C1463" s="43" t="n"/>
      <c r="D1463" s="43" t="n"/>
      <c r="E1463" s="43" t="n"/>
      <c r="F1463" s="43" t="n"/>
      <c r="G1463" s="43" t="n"/>
      <c r="H1463" s="43" t="n"/>
      <c r="I1463" s="43" t="n"/>
      <c r="J1463" s="43" t="n"/>
      <c r="K1463" s="43" t="n"/>
      <c r="L1463" s="43" t="n"/>
      <c r="M1463" s="43" t="n"/>
    </row>
    <row r="1464">
      <c r="A1464" s="43" t="n"/>
      <c r="B1464" s="43" t="n"/>
      <c r="C1464" s="43" t="n"/>
      <c r="D1464" s="43" t="n"/>
      <c r="E1464" s="43" t="n"/>
      <c r="F1464" s="43" t="n"/>
      <c r="G1464" s="43" t="n"/>
      <c r="H1464" s="43" t="n"/>
      <c r="I1464" s="43" t="n"/>
      <c r="J1464" s="43" t="n"/>
      <c r="K1464" s="43" t="n"/>
      <c r="L1464" s="43" t="n"/>
      <c r="M1464" s="43" t="n"/>
    </row>
    <row r="1465">
      <c r="A1465" s="43" t="n"/>
      <c r="B1465" s="43" t="n"/>
      <c r="C1465" s="43" t="n"/>
      <c r="D1465" s="43" t="n"/>
      <c r="E1465" s="43" t="n"/>
      <c r="F1465" s="43" t="n"/>
      <c r="G1465" s="43" t="n"/>
      <c r="H1465" s="43" t="n"/>
      <c r="I1465" s="43" t="n"/>
      <c r="J1465" s="43" t="n"/>
      <c r="K1465" s="43" t="n"/>
      <c r="L1465" s="43" t="n"/>
      <c r="M1465" s="43" t="n"/>
    </row>
    <row r="1466">
      <c r="A1466" s="43" t="n"/>
      <c r="B1466" s="43" t="n"/>
      <c r="C1466" s="43" t="n"/>
      <c r="D1466" s="43" t="n"/>
      <c r="E1466" s="43" t="n"/>
      <c r="F1466" s="43" t="n"/>
      <c r="G1466" s="43" t="n"/>
      <c r="H1466" s="43" t="n"/>
      <c r="I1466" s="43" t="n"/>
      <c r="J1466" s="43" t="n"/>
      <c r="K1466" s="43" t="n"/>
      <c r="L1466" s="43" t="n"/>
      <c r="M1466" s="43" t="n"/>
    </row>
    <row r="1467">
      <c r="A1467" s="43" t="n"/>
      <c r="B1467" s="43" t="n"/>
      <c r="C1467" s="43" t="n"/>
      <c r="D1467" s="43" t="n"/>
      <c r="E1467" s="43" t="n"/>
      <c r="F1467" s="43" t="n"/>
      <c r="G1467" s="43" t="n"/>
      <c r="H1467" s="43" t="n"/>
      <c r="I1467" s="43" t="n"/>
      <c r="J1467" s="43" t="n"/>
      <c r="K1467" s="43" t="n"/>
      <c r="L1467" s="43" t="n"/>
      <c r="M1467" s="43" t="n"/>
    </row>
    <row r="1468">
      <c r="A1468" s="43" t="n"/>
      <c r="B1468" s="43" t="n"/>
      <c r="C1468" s="43" t="n"/>
      <c r="D1468" s="43" t="n"/>
      <c r="E1468" s="43" t="n"/>
      <c r="F1468" s="43" t="n"/>
      <c r="G1468" s="43" t="n"/>
      <c r="H1468" s="43" t="n"/>
      <c r="I1468" s="43" t="n"/>
      <c r="J1468" s="43" t="n"/>
      <c r="K1468" s="43" t="n"/>
      <c r="L1468" s="43" t="n"/>
      <c r="M1468" s="43" t="n"/>
    </row>
    <row r="1469">
      <c r="A1469" s="43" t="n"/>
      <c r="B1469" s="43" t="n"/>
      <c r="C1469" s="43" t="n"/>
      <c r="D1469" s="43" t="n"/>
      <c r="E1469" s="43" t="n"/>
      <c r="F1469" s="43" t="n"/>
      <c r="G1469" s="43" t="n"/>
      <c r="H1469" s="43" t="n"/>
      <c r="I1469" s="43" t="n"/>
      <c r="J1469" s="43" t="n"/>
      <c r="K1469" s="43" t="n"/>
      <c r="L1469" s="43" t="n"/>
      <c r="M1469" s="43" t="n"/>
    </row>
    <row r="1470">
      <c r="A1470" s="43" t="n"/>
      <c r="B1470" s="43" t="n"/>
      <c r="C1470" s="43" t="n"/>
      <c r="D1470" s="43" t="n"/>
      <c r="E1470" s="43" t="n"/>
      <c r="F1470" s="43" t="n"/>
      <c r="G1470" s="43" t="n"/>
      <c r="H1470" s="43" t="n"/>
      <c r="I1470" s="43" t="n"/>
      <c r="J1470" s="43" t="n"/>
      <c r="K1470" s="43" t="n"/>
      <c r="L1470" s="43" t="n"/>
      <c r="M1470" s="43" t="n"/>
    </row>
    <row r="1471">
      <c r="A1471" s="43" t="n"/>
      <c r="B1471" s="43" t="n"/>
      <c r="C1471" s="43" t="n"/>
      <c r="D1471" s="43" t="n"/>
      <c r="E1471" s="43" t="n"/>
      <c r="F1471" s="43" t="n"/>
      <c r="G1471" s="43" t="n"/>
      <c r="H1471" s="43" t="n"/>
      <c r="I1471" s="43" t="n"/>
      <c r="J1471" s="43" t="n"/>
      <c r="K1471" s="43" t="n"/>
      <c r="L1471" s="43" t="n"/>
      <c r="M1471" s="43" t="n"/>
    </row>
    <row r="1472">
      <c r="A1472" s="43" t="n"/>
      <c r="B1472" s="43" t="n"/>
      <c r="C1472" s="43" t="n"/>
      <c r="D1472" s="43" t="n"/>
      <c r="E1472" s="43" t="n"/>
      <c r="F1472" s="43" t="n"/>
      <c r="G1472" s="43" t="n"/>
      <c r="H1472" s="43" t="n"/>
      <c r="I1472" s="43" t="n"/>
      <c r="J1472" s="43" t="n"/>
      <c r="K1472" s="43" t="n"/>
      <c r="L1472" s="43" t="n"/>
      <c r="M1472" s="43" t="n"/>
    </row>
    <row r="1473">
      <c r="A1473" s="43" t="n"/>
      <c r="B1473" s="43" t="n"/>
      <c r="C1473" s="43" t="n"/>
      <c r="D1473" s="43" t="n"/>
      <c r="E1473" s="43" t="n"/>
      <c r="F1473" s="43" t="n"/>
      <c r="G1473" s="43" t="n"/>
      <c r="H1473" s="43" t="n"/>
      <c r="I1473" s="43" t="n"/>
      <c r="J1473" s="43" t="n"/>
      <c r="K1473" s="43" t="n"/>
      <c r="L1473" s="43" t="n"/>
      <c r="M1473" s="43" t="n"/>
    </row>
    <row r="1474">
      <c r="A1474" s="43" t="n"/>
      <c r="B1474" s="43" t="n"/>
      <c r="C1474" s="43" t="n"/>
      <c r="D1474" s="43" t="n"/>
      <c r="E1474" s="43" t="n"/>
      <c r="F1474" s="43" t="n"/>
      <c r="G1474" s="43" t="n"/>
      <c r="H1474" s="43" t="n"/>
      <c r="I1474" s="43" t="n"/>
      <c r="J1474" s="43" t="n"/>
      <c r="K1474" s="43" t="n"/>
      <c r="L1474" s="43" t="n"/>
      <c r="M1474" s="43" t="n"/>
    </row>
    <row r="1475">
      <c r="A1475" s="43" t="n"/>
      <c r="B1475" s="43" t="n"/>
      <c r="C1475" s="43" t="n"/>
      <c r="D1475" s="43" t="n"/>
      <c r="E1475" s="43" t="n"/>
      <c r="F1475" s="43" t="n"/>
      <c r="G1475" s="43" t="n"/>
      <c r="H1475" s="43" t="n"/>
      <c r="I1475" s="43" t="n"/>
      <c r="J1475" s="43" t="n"/>
      <c r="K1475" s="43" t="n"/>
      <c r="L1475" s="43" t="n"/>
      <c r="M1475" s="43" t="n"/>
    </row>
    <row r="1476">
      <c r="A1476" s="43" t="n"/>
      <c r="B1476" s="43" t="n"/>
      <c r="C1476" s="43" t="n"/>
      <c r="D1476" s="43" t="n"/>
      <c r="E1476" s="43" t="n"/>
      <c r="F1476" s="43" t="n"/>
      <c r="G1476" s="43" t="n"/>
      <c r="H1476" s="43" t="n"/>
      <c r="I1476" s="43" t="n"/>
      <c r="J1476" s="43" t="n"/>
      <c r="K1476" s="43" t="n"/>
      <c r="L1476" s="43" t="n"/>
      <c r="M1476" s="43" t="n"/>
    </row>
    <row r="1477">
      <c r="A1477" s="43" t="n"/>
      <c r="B1477" s="43" t="n"/>
      <c r="C1477" s="43" t="n"/>
      <c r="D1477" s="43" t="n"/>
      <c r="E1477" s="43" t="n"/>
      <c r="F1477" s="43" t="n"/>
      <c r="G1477" s="43" t="n"/>
      <c r="H1477" s="43" t="n"/>
      <c r="I1477" s="43" t="n"/>
      <c r="J1477" s="43" t="n"/>
      <c r="K1477" s="43" t="n"/>
      <c r="L1477" s="43" t="n"/>
      <c r="M1477" s="43" t="n"/>
    </row>
    <row r="1478">
      <c r="A1478" s="43" t="n"/>
      <c r="B1478" s="43" t="n"/>
      <c r="C1478" s="43" t="n"/>
      <c r="D1478" s="43" t="n"/>
      <c r="E1478" s="43" t="n"/>
      <c r="F1478" s="43" t="n"/>
      <c r="G1478" s="43" t="n"/>
      <c r="H1478" s="43" t="n"/>
      <c r="I1478" s="43" t="n"/>
      <c r="J1478" s="43" t="n"/>
      <c r="K1478" s="43" t="n"/>
      <c r="L1478" s="43" t="n"/>
      <c r="M1478" s="43" t="n"/>
    </row>
    <row r="1479">
      <c r="A1479" s="43" t="n"/>
      <c r="B1479" s="43" t="n"/>
      <c r="C1479" s="43" t="n"/>
      <c r="D1479" s="43" t="n"/>
      <c r="E1479" s="43" t="n"/>
      <c r="F1479" s="43" t="n"/>
      <c r="G1479" s="43" t="n"/>
      <c r="H1479" s="43" t="n"/>
      <c r="I1479" s="43" t="n"/>
      <c r="J1479" s="43" t="n"/>
      <c r="K1479" s="43" t="n"/>
      <c r="L1479" s="43" t="n"/>
      <c r="M1479" s="43" t="n"/>
    </row>
    <row r="1480">
      <c r="A1480" s="43" t="n"/>
      <c r="B1480" s="43" t="n"/>
      <c r="C1480" s="43" t="n"/>
      <c r="D1480" s="43" t="n"/>
      <c r="E1480" s="43" t="n"/>
      <c r="F1480" s="43" t="n"/>
      <c r="G1480" s="43" t="n"/>
      <c r="H1480" s="43" t="n"/>
      <c r="I1480" s="43" t="n"/>
      <c r="J1480" s="43" t="n"/>
      <c r="K1480" s="43" t="n"/>
      <c r="L1480" s="43" t="n"/>
      <c r="M1480" s="43" t="n"/>
    </row>
    <row r="1481">
      <c r="A1481" s="43" t="n"/>
      <c r="B1481" s="43" t="n"/>
      <c r="C1481" s="43" t="n"/>
      <c r="D1481" s="43" t="n"/>
      <c r="E1481" s="43" t="n"/>
      <c r="F1481" s="43" t="n"/>
      <c r="G1481" s="43" t="n"/>
      <c r="H1481" s="43" t="n"/>
      <c r="I1481" s="43" t="n"/>
      <c r="J1481" s="43" t="n"/>
      <c r="K1481" s="43" t="n"/>
      <c r="L1481" s="43" t="n"/>
      <c r="M1481" s="43" t="n"/>
    </row>
    <row r="1482">
      <c r="A1482" s="43" t="n"/>
      <c r="B1482" s="43" t="n"/>
      <c r="C1482" s="43" t="n"/>
      <c r="D1482" s="43" t="n"/>
      <c r="E1482" s="43" t="n"/>
      <c r="F1482" s="43" t="n"/>
      <c r="G1482" s="43" t="n"/>
      <c r="H1482" s="43" t="n"/>
      <c r="I1482" s="43" t="n"/>
      <c r="J1482" s="43" t="n"/>
      <c r="K1482" s="43" t="n"/>
      <c r="L1482" s="43" t="n"/>
      <c r="M1482" s="43" t="n"/>
    </row>
    <row r="1483">
      <c r="A1483" s="43" t="n"/>
      <c r="B1483" s="43" t="n"/>
      <c r="C1483" s="43" t="n"/>
      <c r="D1483" s="43" t="n"/>
      <c r="E1483" s="43" t="n"/>
      <c r="F1483" s="43" t="n"/>
      <c r="G1483" s="43" t="n"/>
      <c r="H1483" s="43" t="n"/>
      <c r="I1483" s="43" t="n"/>
      <c r="J1483" s="43" t="n"/>
      <c r="K1483" s="43" t="n"/>
      <c r="L1483" s="43" t="n"/>
      <c r="M1483" s="43" t="n"/>
    </row>
    <row r="1484">
      <c r="A1484" s="43" t="n"/>
      <c r="B1484" s="43" t="n"/>
      <c r="C1484" s="43" t="n"/>
      <c r="D1484" s="43" t="n"/>
      <c r="E1484" s="43" t="n"/>
      <c r="F1484" s="43" t="n"/>
      <c r="G1484" s="43" t="n"/>
      <c r="H1484" s="43" t="n"/>
      <c r="I1484" s="43" t="n"/>
      <c r="J1484" s="43" t="n"/>
      <c r="K1484" s="43" t="n"/>
      <c r="L1484" s="43" t="n"/>
      <c r="M1484" s="43" t="n"/>
    </row>
    <row r="1485">
      <c r="A1485" s="43" t="n"/>
      <c r="B1485" s="43" t="n"/>
      <c r="C1485" s="43" t="n"/>
      <c r="D1485" s="43" t="n"/>
      <c r="E1485" s="43" t="n"/>
      <c r="F1485" s="43" t="n"/>
      <c r="G1485" s="43" t="n"/>
      <c r="H1485" s="43" t="n"/>
      <c r="I1485" s="43" t="n"/>
      <c r="J1485" s="43" t="n"/>
      <c r="K1485" s="43" t="n"/>
      <c r="L1485" s="43" t="n"/>
      <c r="M1485" s="43" t="n"/>
    </row>
    <row r="1486">
      <c r="A1486" s="43" t="n"/>
      <c r="B1486" s="43" t="n"/>
      <c r="C1486" s="43" t="n"/>
      <c r="D1486" s="43" t="n"/>
      <c r="E1486" s="43" t="n"/>
      <c r="F1486" s="43" t="n"/>
      <c r="G1486" s="43" t="n"/>
      <c r="H1486" s="43" t="n"/>
      <c r="I1486" s="43" t="n"/>
      <c r="J1486" s="43" t="n"/>
      <c r="K1486" s="43" t="n"/>
      <c r="L1486" s="43" t="n"/>
      <c r="M1486" s="43" t="n"/>
    </row>
    <row r="1487">
      <c r="A1487" s="43" t="n"/>
      <c r="B1487" s="43" t="n"/>
      <c r="C1487" s="43" t="n"/>
      <c r="D1487" s="43" t="n"/>
      <c r="E1487" s="43" t="n"/>
      <c r="F1487" s="43" t="n"/>
      <c r="G1487" s="43" t="n"/>
      <c r="H1487" s="43" t="n"/>
      <c r="I1487" s="43" t="n"/>
      <c r="J1487" s="43" t="n"/>
      <c r="K1487" s="43" t="n"/>
      <c r="L1487" s="43" t="n"/>
      <c r="M1487" s="43" t="n"/>
    </row>
    <row r="1488">
      <c r="A1488" s="43" t="n"/>
      <c r="B1488" s="43" t="n"/>
      <c r="C1488" s="43" t="n"/>
      <c r="D1488" s="43" t="n"/>
      <c r="E1488" s="43" t="n"/>
      <c r="F1488" s="43" t="n"/>
      <c r="G1488" s="43" t="n"/>
      <c r="H1488" s="43" t="n"/>
      <c r="I1488" s="43" t="n"/>
      <c r="J1488" s="43" t="n"/>
      <c r="K1488" s="43" t="n"/>
      <c r="L1488" s="43" t="n"/>
      <c r="M1488" s="43" t="n"/>
    </row>
    <row r="1489">
      <c r="A1489" s="43" t="n"/>
      <c r="B1489" s="43" t="n"/>
      <c r="C1489" s="43" t="n"/>
      <c r="D1489" s="43" t="n"/>
      <c r="E1489" s="43" t="n"/>
      <c r="F1489" s="43" t="n"/>
      <c r="G1489" s="43" t="n"/>
      <c r="H1489" s="43" t="n"/>
      <c r="I1489" s="43" t="n"/>
      <c r="J1489" s="43" t="n"/>
      <c r="K1489" s="43" t="n"/>
      <c r="L1489" s="43" t="n"/>
      <c r="M1489" s="43" t="n"/>
    </row>
    <row r="1490">
      <c r="A1490" s="43" t="n"/>
      <c r="B1490" s="43" t="n"/>
      <c r="C1490" s="43" t="n"/>
      <c r="D1490" s="43" t="n"/>
      <c r="E1490" s="43" t="n"/>
      <c r="F1490" s="43" t="n"/>
      <c r="G1490" s="43" t="n"/>
      <c r="H1490" s="43" t="n"/>
      <c r="I1490" s="43" t="n"/>
      <c r="J1490" s="43" t="n"/>
      <c r="K1490" s="43" t="n"/>
      <c r="L1490" s="43" t="n"/>
      <c r="M1490" s="43" t="n"/>
    </row>
    <row r="1491">
      <c r="A1491" s="43" t="n"/>
      <c r="B1491" s="43" t="n"/>
      <c r="C1491" s="43" t="n"/>
      <c r="D1491" s="43" t="n"/>
      <c r="E1491" s="43" t="n"/>
      <c r="F1491" s="43" t="n"/>
      <c r="G1491" s="43" t="n"/>
      <c r="H1491" s="43" t="n"/>
      <c r="I1491" s="43" t="n"/>
      <c r="J1491" s="43" t="n"/>
      <c r="K1491" s="43" t="n"/>
      <c r="L1491" s="43" t="n"/>
      <c r="M1491" s="43" t="n"/>
    </row>
    <row r="1492">
      <c r="A1492" s="43" t="n"/>
      <c r="B1492" s="43" t="n"/>
      <c r="C1492" s="43" t="n"/>
      <c r="D1492" s="43" t="n"/>
      <c r="E1492" s="43" t="n"/>
      <c r="F1492" s="43" t="n"/>
      <c r="G1492" s="43" t="n"/>
      <c r="H1492" s="43" t="n"/>
      <c r="I1492" s="43" t="n"/>
      <c r="J1492" s="43" t="n"/>
      <c r="K1492" s="43" t="n"/>
      <c r="L1492" s="43" t="n"/>
      <c r="M1492" s="43" t="n"/>
    </row>
    <row r="1493">
      <c r="A1493" s="43" t="n"/>
      <c r="B1493" s="43" t="n"/>
      <c r="C1493" s="43" t="n"/>
      <c r="D1493" s="43" t="n"/>
      <c r="E1493" s="43" t="n"/>
      <c r="F1493" s="43" t="n"/>
      <c r="G1493" s="43" t="n"/>
      <c r="H1493" s="43" t="n"/>
      <c r="I1493" s="43" t="n"/>
      <c r="J1493" s="43" t="n"/>
      <c r="K1493" s="43" t="n"/>
      <c r="L1493" s="43" t="n"/>
      <c r="M1493" s="43" t="n"/>
    </row>
    <row r="1494">
      <c r="A1494" s="43" t="n"/>
      <c r="B1494" s="43" t="n"/>
      <c r="C1494" s="43" t="n"/>
      <c r="D1494" s="43" t="n"/>
      <c r="E1494" s="43" t="n"/>
      <c r="F1494" s="43" t="n"/>
      <c r="G1494" s="43" t="n"/>
      <c r="H1494" s="43" t="n"/>
      <c r="I1494" s="43" t="n"/>
      <c r="J1494" s="43" t="n"/>
      <c r="K1494" s="43" t="n"/>
      <c r="L1494" s="43" t="n"/>
      <c r="M1494" s="43" t="n"/>
    </row>
    <row r="1495">
      <c r="A1495" s="43" t="n"/>
      <c r="B1495" s="43" t="n"/>
      <c r="C1495" s="43" t="n"/>
      <c r="D1495" s="43" t="n"/>
      <c r="E1495" s="43" t="n"/>
      <c r="F1495" s="43" t="n"/>
      <c r="G1495" s="43" t="n"/>
      <c r="H1495" s="43" t="n"/>
      <c r="I1495" s="43" t="n"/>
      <c r="J1495" s="43" t="n"/>
      <c r="K1495" s="43" t="n"/>
      <c r="L1495" s="43" t="n"/>
      <c r="M1495" s="43" t="n"/>
    </row>
    <row r="1496">
      <c r="A1496" s="43" t="n"/>
      <c r="B1496" s="43" t="n"/>
      <c r="C1496" s="43" t="n"/>
      <c r="D1496" s="43" t="n"/>
      <c r="E1496" s="43" t="n"/>
      <c r="F1496" s="43" t="n"/>
      <c r="G1496" s="43" t="n"/>
      <c r="H1496" s="43" t="n"/>
      <c r="I1496" s="43" t="n"/>
      <c r="J1496" s="43" t="n"/>
      <c r="K1496" s="43" t="n"/>
      <c r="L1496" s="43" t="n"/>
      <c r="M1496" s="43" t="n"/>
    </row>
    <row r="1497">
      <c r="A1497" s="43" t="n"/>
      <c r="B1497" s="43" t="n"/>
      <c r="C1497" s="43" t="n"/>
      <c r="D1497" s="43" t="n"/>
      <c r="E1497" s="43" t="n"/>
      <c r="F1497" s="43" t="n"/>
      <c r="G1497" s="43" t="n"/>
      <c r="H1497" s="43" t="n"/>
      <c r="I1497" s="43" t="n"/>
      <c r="J1497" s="43" t="n"/>
      <c r="K1497" s="43" t="n"/>
      <c r="L1497" s="43" t="n"/>
      <c r="M1497" s="43" t="n"/>
    </row>
    <row r="1498">
      <c r="A1498" s="43" t="n"/>
      <c r="B1498" s="43" t="n"/>
      <c r="C1498" s="43" t="n"/>
      <c r="D1498" s="43" t="n"/>
      <c r="E1498" s="43" t="n"/>
      <c r="F1498" s="43" t="n"/>
      <c r="G1498" s="43" t="n"/>
      <c r="H1498" s="43" t="n"/>
      <c r="I1498" s="43" t="n"/>
      <c r="J1498" s="43" t="n"/>
      <c r="K1498" s="43" t="n"/>
      <c r="L1498" s="43" t="n"/>
      <c r="M1498" s="43" t="n"/>
    </row>
    <row r="1499">
      <c r="A1499" s="43" t="n"/>
      <c r="B1499" s="43" t="n"/>
      <c r="C1499" s="43" t="n"/>
      <c r="D1499" s="43" t="n"/>
      <c r="E1499" s="43" t="n"/>
      <c r="F1499" s="43" t="n"/>
      <c r="G1499" s="43" t="n"/>
      <c r="H1499" s="43" t="n"/>
      <c r="I1499" s="43" t="n"/>
      <c r="J1499" s="43" t="n"/>
      <c r="K1499" s="43" t="n"/>
      <c r="L1499" s="43" t="n"/>
      <c r="M1499" s="43" t="n"/>
    </row>
    <row r="1500">
      <c r="A1500" s="43" t="n"/>
      <c r="B1500" s="43" t="n"/>
      <c r="C1500" s="43" t="n"/>
      <c r="D1500" s="43" t="n"/>
      <c r="E1500" s="43" t="n"/>
      <c r="F1500" s="43" t="n"/>
      <c r="G1500" s="43" t="n"/>
      <c r="H1500" s="43" t="n"/>
      <c r="I1500" s="43" t="n"/>
      <c r="J1500" s="43" t="n"/>
      <c r="K1500" s="43" t="n"/>
      <c r="L1500" s="43" t="n"/>
      <c r="M1500" s="43" t="n"/>
    </row>
    <row r="1501">
      <c r="A1501" s="43" t="n"/>
      <c r="B1501" s="43" t="n"/>
      <c r="C1501" s="43" t="n"/>
      <c r="D1501" s="43" t="n"/>
      <c r="E1501" s="43" t="n"/>
      <c r="F1501" s="43" t="n"/>
      <c r="G1501" s="43" t="n"/>
      <c r="H1501" s="43" t="n"/>
      <c r="I1501" s="43" t="n"/>
      <c r="J1501" s="43" t="n"/>
      <c r="K1501" s="43" t="n"/>
      <c r="L1501" s="43" t="n"/>
      <c r="M1501" s="43" t="n"/>
    </row>
    <row r="1502">
      <c r="A1502" s="43" t="n"/>
      <c r="B1502" s="43" t="n"/>
      <c r="C1502" s="43" t="n"/>
      <c r="D1502" s="43" t="n"/>
      <c r="E1502" s="43" t="n"/>
      <c r="F1502" s="43" t="n"/>
      <c r="G1502" s="43" t="n"/>
      <c r="H1502" s="43" t="n"/>
      <c r="I1502" s="43" t="n"/>
      <c r="J1502" s="43" t="n"/>
      <c r="K1502" s="43" t="n"/>
      <c r="L1502" s="43" t="n"/>
      <c r="M1502" s="43" t="n"/>
    </row>
    <row r="1503">
      <c r="A1503" s="43" t="n"/>
      <c r="B1503" s="43" t="n"/>
      <c r="C1503" s="43" t="n"/>
      <c r="D1503" s="43" t="n"/>
      <c r="E1503" s="43" t="n"/>
      <c r="F1503" s="43" t="n"/>
      <c r="G1503" s="43" t="n"/>
      <c r="H1503" s="43" t="n"/>
      <c r="I1503" s="43" t="n"/>
      <c r="J1503" s="43" t="n"/>
      <c r="K1503" s="43" t="n"/>
      <c r="L1503" s="43" t="n"/>
      <c r="M1503" s="43" t="n"/>
    </row>
    <row r="1504">
      <c r="A1504" s="43" t="n"/>
      <c r="B1504" s="43" t="n"/>
      <c r="C1504" s="43" t="n"/>
      <c r="D1504" s="43" t="n"/>
      <c r="E1504" s="43" t="n"/>
      <c r="F1504" s="43" t="n"/>
      <c r="G1504" s="43" t="n"/>
      <c r="H1504" s="43" t="n"/>
      <c r="I1504" s="43" t="n"/>
      <c r="J1504" s="43" t="n"/>
      <c r="K1504" s="43" t="n"/>
      <c r="L1504" s="43" t="n"/>
      <c r="M1504" s="43" t="n"/>
    </row>
    <row r="1505">
      <c r="A1505" s="43" t="n"/>
      <c r="B1505" s="43" t="n"/>
      <c r="C1505" s="43" t="n"/>
      <c r="D1505" s="43" t="n"/>
      <c r="E1505" s="43" t="n"/>
      <c r="F1505" s="43" t="n"/>
      <c r="G1505" s="43" t="n"/>
      <c r="H1505" s="43" t="n"/>
      <c r="I1505" s="43" t="n"/>
      <c r="J1505" s="43" t="n"/>
      <c r="K1505" s="43" t="n"/>
      <c r="L1505" s="43" t="n"/>
      <c r="M1505" s="43" t="n"/>
    </row>
    <row r="1506">
      <c r="A1506" s="43" t="n"/>
      <c r="B1506" s="43" t="n"/>
      <c r="C1506" s="43" t="n"/>
      <c r="D1506" s="43" t="n"/>
      <c r="E1506" s="43" t="n"/>
      <c r="F1506" s="43" t="n"/>
      <c r="G1506" s="43" t="n"/>
      <c r="H1506" s="43" t="n"/>
      <c r="I1506" s="43" t="n"/>
      <c r="J1506" s="43" t="n"/>
      <c r="K1506" s="43" t="n"/>
      <c r="L1506" s="43" t="n"/>
      <c r="M1506" s="43" t="n"/>
    </row>
    <row r="1507">
      <c r="A1507" s="43" t="n"/>
      <c r="B1507" s="43" t="n"/>
      <c r="C1507" s="43" t="n"/>
      <c r="D1507" s="43" t="n"/>
      <c r="E1507" s="43" t="n"/>
      <c r="F1507" s="43" t="n"/>
      <c r="G1507" s="43" t="n"/>
      <c r="H1507" s="43" t="n"/>
      <c r="I1507" s="43" t="n"/>
      <c r="J1507" s="43" t="n"/>
      <c r="K1507" s="43" t="n"/>
      <c r="L1507" s="43" t="n"/>
      <c r="M1507" s="43" t="n"/>
    </row>
    <row r="1508">
      <c r="A1508" s="43" t="n"/>
      <c r="B1508" s="43" t="n"/>
      <c r="C1508" s="43" t="n"/>
      <c r="D1508" s="43" t="n"/>
      <c r="E1508" s="43" t="n"/>
      <c r="F1508" s="43" t="n"/>
      <c r="G1508" s="43" t="n"/>
      <c r="H1508" s="43" t="n"/>
      <c r="I1508" s="43" t="n"/>
      <c r="J1508" s="43" t="n"/>
      <c r="K1508" s="43" t="n"/>
      <c r="L1508" s="43" t="n"/>
      <c r="M1508" s="43" t="n"/>
    </row>
    <row r="1509">
      <c r="A1509" s="43" t="n"/>
      <c r="B1509" s="43" t="n"/>
      <c r="C1509" s="43" t="n"/>
      <c r="D1509" s="43" t="n"/>
      <c r="E1509" s="43" t="n"/>
      <c r="F1509" s="43" t="n"/>
      <c r="G1509" s="43" t="n"/>
      <c r="H1509" s="43" t="n"/>
      <c r="I1509" s="43" t="n"/>
      <c r="J1509" s="43" t="n"/>
      <c r="K1509" s="43" t="n"/>
      <c r="L1509" s="43" t="n"/>
      <c r="M1509" s="43" t="n"/>
    </row>
    <row r="1510">
      <c r="A1510" s="43" t="n"/>
      <c r="B1510" s="43" t="n"/>
      <c r="C1510" s="43" t="n"/>
      <c r="D1510" s="43" t="n"/>
      <c r="E1510" s="43" t="n"/>
      <c r="F1510" s="43" t="n"/>
      <c r="G1510" s="43" t="n"/>
      <c r="H1510" s="43" t="n"/>
      <c r="I1510" s="43" t="n"/>
      <c r="J1510" s="43" t="n"/>
      <c r="K1510" s="43" t="n"/>
      <c r="L1510" s="43" t="n"/>
      <c r="M1510" s="43" t="n"/>
    </row>
    <row r="1511">
      <c r="A1511" s="43" t="n"/>
      <c r="B1511" s="43" t="n"/>
      <c r="C1511" s="43" t="n"/>
      <c r="D1511" s="43" t="n"/>
      <c r="E1511" s="43" t="n"/>
      <c r="F1511" s="43" t="n"/>
      <c r="G1511" s="43" t="n"/>
      <c r="H1511" s="43" t="n"/>
      <c r="I1511" s="43" t="n"/>
      <c r="J1511" s="43" t="n"/>
      <c r="K1511" s="43" t="n"/>
      <c r="L1511" s="43" t="n"/>
      <c r="M1511" s="43" t="n"/>
    </row>
    <row r="1512">
      <c r="A1512" s="43" t="n"/>
      <c r="B1512" s="43" t="n"/>
      <c r="C1512" s="43" t="n"/>
      <c r="D1512" s="43" t="n"/>
      <c r="E1512" s="43" t="n"/>
      <c r="F1512" s="43" t="n"/>
      <c r="G1512" s="43" t="n"/>
      <c r="H1512" s="43" t="n"/>
      <c r="I1512" s="43" t="n"/>
      <c r="J1512" s="43" t="n"/>
      <c r="K1512" s="43" t="n"/>
      <c r="L1512" s="43" t="n"/>
      <c r="M1512" s="43" t="n"/>
    </row>
    <row r="1513">
      <c r="A1513" s="43" t="n"/>
      <c r="B1513" s="43" t="n"/>
      <c r="C1513" s="43" t="n"/>
      <c r="D1513" s="43" t="n"/>
      <c r="E1513" s="43" t="n"/>
      <c r="F1513" s="43" t="n"/>
      <c r="G1513" s="43" t="n"/>
      <c r="H1513" s="43" t="n"/>
      <c r="I1513" s="43" t="n"/>
      <c r="J1513" s="43" t="n"/>
      <c r="K1513" s="43" t="n"/>
      <c r="L1513" s="43" t="n"/>
      <c r="M1513" s="43" t="n"/>
    </row>
    <row r="1514">
      <c r="A1514" s="43" t="n"/>
      <c r="B1514" s="43" t="n"/>
      <c r="C1514" s="43" t="n"/>
      <c r="D1514" s="43" t="n"/>
      <c r="E1514" s="43" t="n"/>
      <c r="F1514" s="43" t="n"/>
      <c r="G1514" s="43" t="n"/>
      <c r="H1514" s="43" t="n"/>
      <c r="I1514" s="43" t="n"/>
      <c r="J1514" s="43" t="n"/>
      <c r="K1514" s="43" t="n"/>
      <c r="L1514" s="43" t="n"/>
      <c r="M1514" s="43" t="n"/>
    </row>
    <row r="1515">
      <c r="A1515" s="43" t="n"/>
      <c r="B1515" s="43" t="n"/>
      <c r="C1515" s="43" t="n"/>
      <c r="D1515" s="43" t="n"/>
      <c r="E1515" s="43" t="n"/>
      <c r="F1515" s="43" t="n"/>
      <c r="G1515" s="43" t="n"/>
      <c r="H1515" s="43" t="n"/>
      <c r="I1515" s="43" t="n"/>
      <c r="J1515" s="43" t="n"/>
      <c r="K1515" s="43" t="n"/>
      <c r="L1515" s="43" t="n"/>
      <c r="M1515" s="43" t="n"/>
    </row>
    <row r="1516">
      <c r="A1516" s="43" t="n"/>
      <c r="B1516" s="43" t="n"/>
      <c r="C1516" s="43" t="n"/>
      <c r="D1516" s="43" t="n"/>
      <c r="E1516" s="43" t="n"/>
      <c r="F1516" s="43" t="n"/>
      <c r="G1516" s="43" t="n"/>
      <c r="H1516" s="43" t="n"/>
      <c r="I1516" s="43" t="n"/>
      <c r="J1516" s="43" t="n"/>
      <c r="K1516" s="43" t="n"/>
      <c r="L1516" s="43" t="n"/>
      <c r="M1516" s="43" t="n"/>
    </row>
    <row r="1517">
      <c r="A1517" s="43" t="n"/>
      <c r="B1517" s="43" t="n"/>
      <c r="C1517" s="43" t="n"/>
      <c r="D1517" s="43" t="n"/>
      <c r="E1517" s="43" t="n"/>
      <c r="F1517" s="43" t="n"/>
      <c r="G1517" s="43" t="n"/>
      <c r="H1517" s="43" t="n"/>
      <c r="I1517" s="43" t="n"/>
      <c r="J1517" s="43" t="n"/>
      <c r="K1517" s="43" t="n"/>
      <c r="L1517" s="43" t="n"/>
      <c r="M1517" s="43" t="n"/>
    </row>
    <row r="1518">
      <c r="A1518" s="43" t="n"/>
      <c r="B1518" s="43" t="n"/>
      <c r="C1518" s="43" t="n"/>
      <c r="D1518" s="43" t="n"/>
      <c r="E1518" s="43" t="n"/>
      <c r="F1518" s="43" t="n"/>
      <c r="G1518" s="43" t="n"/>
      <c r="H1518" s="43" t="n"/>
      <c r="I1518" s="43" t="n"/>
      <c r="J1518" s="43" t="n"/>
      <c r="K1518" s="43" t="n"/>
      <c r="L1518" s="43" t="n"/>
      <c r="M1518" s="43" t="n"/>
    </row>
    <row r="1519">
      <c r="A1519" s="43" t="n"/>
      <c r="B1519" s="43" t="n"/>
      <c r="C1519" s="43" t="n"/>
      <c r="D1519" s="43" t="n"/>
      <c r="E1519" s="43" t="n"/>
      <c r="F1519" s="43" t="n"/>
      <c r="G1519" s="43" t="n"/>
      <c r="H1519" s="43" t="n"/>
      <c r="I1519" s="43" t="n"/>
      <c r="J1519" s="43" t="n"/>
      <c r="K1519" s="43" t="n"/>
      <c r="L1519" s="43" t="n"/>
      <c r="M1519" s="43" t="n"/>
    </row>
    <row r="1520">
      <c r="A1520" s="43" t="n"/>
      <c r="B1520" s="43" t="n"/>
      <c r="C1520" s="43" t="n"/>
      <c r="D1520" s="43" t="n"/>
      <c r="E1520" s="43" t="n"/>
      <c r="F1520" s="43" t="n"/>
      <c r="G1520" s="43" t="n"/>
      <c r="H1520" s="43" t="n"/>
      <c r="I1520" s="43" t="n"/>
      <c r="J1520" s="43" t="n"/>
      <c r="K1520" s="43" t="n"/>
      <c r="L1520" s="43" t="n"/>
      <c r="M1520" s="43" t="n"/>
    </row>
    <row r="1521">
      <c r="A1521" s="43" t="n"/>
      <c r="B1521" s="43" t="n"/>
      <c r="C1521" s="43" t="n"/>
      <c r="D1521" s="43" t="n"/>
      <c r="E1521" s="43" t="n"/>
      <c r="F1521" s="43" t="n"/>
      <c r="G1521" s="43" t="n"/>
      <c r="H1521" s="43" t="n"/>
      <c r="I1521" s="43" t="n"/>
      <c r="J1521" s="43" t="n"/>
      <c r="K1521" s="43" t="n"/>
      <c r="L1521" s="43" t="n"/>
      <c r="M1521" s="43" t="n"/>
    </row>
    <row r="1522">
      <c r="A1522" s="43" t="n"/>
      <c r="B1522" s="43" t="n"/>
      <c r="C1522" s="43" t="n"/>
      <c r="D1522" s="43" t="n"/>
      <c r="E1522" s="43" t="n"/>
      <c r="F1522" s="43" t="n"/>
      <c r="G1522" s="43" t="n"/>
      <c r="H1522" s="43" t="n"/>
      <c r="I1522" s="43" t="n"/>
      <c r="J1522" s="43" t="n"/>
      <c r="K1522" s="43" t="n"/>
      <c r="L1522" s="43" t="n"/>
      <c r="M1522" s="43" t="n"/>
    </row>
    <row r="1523">
      <c r="A1523" s="43" t="n"/>
      <c r="B1523" s="43" t="n"/>
      <c r="C1523" s="43" t="n"/>
      <c r="D1523" s="43" t="n"/>
      <c r="E1523" s="43" t="n"/>
      <c r="F1523" s="43" t="n"/>
      <c r="G1523" s="43" t="n"/>
      <c r="H1523" s="43" t="n"/>
      <c r="I1523" s="43" t="n"/>
      <c r="J1523" s="43" t="n"/>
      <c r="K1523" s="43" t="n"/>
      <c r="L1523" s="43" t="n"/>
      <c r="M1523" s="43" t="n"/>
    </row>
    <row r="1524">
      <c r="A1524" s="43" t="n"/>
      <c r="B1524" s="43" t="n"/>
      <c r="C1524" s="43" t="n"/>
      <c r="D1524" s="43" t="n"/>
      <c r="E1524" s="43" t="n"/>
      <c r="F1524" s="43" t="n"/>
      <c r="G1524" s="43" t="n"/>
      <c r="H1524" s="43" t="n"/>
      <c r="I1524" s="43" t="n"/>
      <c r="J1524" s="43" t="n"/>
      <c r="K1524" s="43" t="n"/>
      <c r="L1524" s="43" t="n"/>
      <c r="M1524" s="43" t="n"/>
    </row>
    <row r="1525">
      <c r="A1525" s="43" t="n"/>
      <c r="B1525" s="43" t="n"/>
      <c r="C1525" s="43" t="n"/>
      <c r="D1525" s="43" t="n"/>
      <c r="E1525" s="43" t="n"/>
      <c r="F1525" s="43" t="n"/>
      <c r="G1525" s="43" t="n"/>
      <c r="H1525" s="43" t="n"/>
      <c r="I1525" s="43" t="n"/>
      <c r="J1525" s="43" t="n"/>
      <c r="K1525" s="43" t="n"/>
      <c r="L1525" s="43" t="n"/>
      <c r="M1525" s="43" t="n"/>
    </row>
    <row r="1526">
      <c r="A1526" s="43" t="n"/>
      <c r="B1526" s="43" t="n"/>
      <c r="C1526" s="43" t="n"/>
      <c r="D1526" s="43" t="n"/>
      <c r="E1526" s="43" t="n"/>
      <c r="F1526" s="43" t="n"/>
      <c r="G1526" s="43" t="n"/>
      <c r="H1526" s="43" t="n"/>
      <c r="I1526" s="43" t="n"/>
      <c r="J1526" s="43" t="n"/>
      <c r="K1526" s="43" t="n"/>
      <c r="L1526" s="43" t="n"/>
      <c r="M1526" s="43" t="n"/>
    </row>
    <row r="1527">
      <c r="A1527" s="43" t="n"/>
      <c r="B1527" s="43" t="n"/>
      <c r="C1527" s="43" t="n"/>
      <c r="D1527" s="43" t="n"/>
      <c r="E1527" s="43" t="n"/>
      <c r="F1527" s="43" t="n"/>
      <c r="G1527" s="43" t="n"/>
      <c r="H1527" s="43" t="n"/>
      <c r="I1527" s="43" t="n"/>
      <c r="J1527" s="43" t="n"/>
      <c r="K1527" s="43" t="n"/>
      <c r="L1527" s="43" t="n"/>
      <c r="M1527" s="43" t="n"/>
    </row>
    <row r="1528">
      <c r="A1528" s="43" t="n"/>
      <c r="B1528" s="43" t="n"/>
      <c r="C1528" s="43" t="n"/>
      <c r="D1528" s="43" t="n"/>
      <c r="E1528" s="43" t="n"/>
      <c r="F1528" s="43" t="n"/>
      <c r="G1528" s="43" t="n"/>
      <c r="H1528" s="43" t="n"/>
      <c r="I1528" s="43" t="n"/>
      <c r="J1528" s="43" t="n"/>
      <c r="K1528" s="43" t="n"/>
      <c r="L1528" s="43" t="n"/>
      <c r="M1528" s="43" t="n"/>
    </row>
    <row r="1529">
      <c r="A1529" s="43" t="n"/>
      <c r="B1529" s="43" t="n"/>
      <c r="C1529" s="43" t="n"/>
      <c r="D1529" s="43" t="n"/>
      <c r="E1529" s="43" t="n"/>
      <c r="F1529" s="43" t="n"/>
      <c r="G1529" s="43" t="n"/>
      <c r="H1529" s="43" t="n"/>
      <c r="I1529" s="43" t="n"/>
      <c r="J1529" s="43" t="n"/>
      <c r="K1529" s="43" t="n"/>
      <c r="L1529" s="43" t="n"/>
      <c r="M1529" s="43" t="n"/>
    </row>
    <row r="1530">
      <c r="A1530" s="43" t="n"/>
      <c r="B1530" s="43" t="n"/>
      <c r="C1530" s="43" t="n"/>
      <c r="D1530" s="43" t="n"/>
      <c r="E1530" s="43" t="n"/>
      <c r="F1530" s="43" t="n"/>
      <c r="G1530" s="43" t="n"/>
      <c r="H1530" s="43" t="n"/>
      <c r="I1530" s="43" t="n"/>
      <c r="J1530" s="43" t="n"/>
      <c r="K1530" s="43" t="n"/>
      <c r="L1530" s="43" t="n"/>
      <c r="M1530" s="43" t="n"/>
    </row>
    <row r="1531">
      <c r="A1531" s="43" t="n"/>
      <c r="B1531" s="43" t="n"/>
      <c r="C1531" s="43" t="n"/>
      <c r="D1531" s="43" t="n"/>
      <c r="E1531" s="43" t="n"/>
      <c r="F1531" s="43" t="n"/>
      <c r="G1531" s="43" t="n"/>
      <c r="H1531" s="43" t="n"/>
      <c r="I1531" s="43" t="n"/>
      <c r="J1531" s="43" t="n"/>
      <c r="K1531" s="43" t="n"/>
      <c r="L1531" s="43" t="n"/>
      <c r="M1531" s="43" t="n"/>
    </row>
    <row r="1532">
      <c r="A1532" s="43" t="n"/>
      <c r="B1532" s="43" t="n"/>
      <c r="C1532" s="43" t="n"/>
      <c r="D1532" s="43" t="n"/>
      <c r="E1532" s="43" t="n"/>
      <c r="F1532" s="43" t="n"/>
      <c r="G1532" s="43" t="n"/>
      <c r="H1532" s="43" t="n"/>
      <c r="I1532" s="43" t="n"/>
      <c r="J1532" s="43" t="n"/>
      <c r="K1532" s="43" t="n"/>
      <c r="L1532" s="43" t="n"/>
      <c r="M1532" s="43" t="n"/>
    </row>
    <row r="1533">
      <c r="A1533" s="43" t="n"/>
      <c r="B1533" s="43" t="n"/>
      <c r="C1533" s="43" t="n"/>
      <c r="D1533" s="43" t="n"/>
      <c r="E1533" s="43" t="n"/>
      <c r="F1533" s="43" t="n"/>
      <c r="G1533" s="43" t="n"/>
      <c r="H1533" s="43" t="n"/>
      <c r="I1533" s="43" t="n"/>
      <c r="J1533" s="43" t="n"/>
      <c r="K1533" s="43" t="n"/>
      <c r="L1533" s="43" t="n"/>
      <c r="M1533" s="43" t="n"/>
    </row>
    <row r="1534">
      <c r="A1534" s="43" t="n"/>
      <c r="B1534" s="43" t="n"/>
      <c r="C1534" s="43" t="n"/>
      <c r="D1534" s="43" t="n"/>
      <c r="E1534" s="43" t="n"/>
      <c r="F1534" s="43" t="n"/>
      <c r="G1534" s="43" t="n"/>
      <c r="H1534" s="43" t="n"/>
      <c r="I1534" s="43" t="n"/>
      <c r="J1534" s="43" t="n"/>
      <c r="K1534" s="43" t="n"/>
      <c r="L1534" s="43" t="n"/>
      <c r="M1534" s="43" t="n"/>
    </row>
    <row r="1535">
      <c r="A1535" s="43" t="n"/>
      <c r="B1535" s="43" t="n"/>
      <c r="C1535" s="43" t="n"/>
      <c r="D1535" s="43" t="n"/>
      <c r="E1535" s="43" t="n"/>
      <c r="F1535" s="43" t="n"/>
      <c r="G1535" s="43" t="n"/>
      <c r="H1535" s="43" t="n"/>
      <c r="I1535" s="43" t="n"/>
      <c r="J1535" s="43" t="n"/>
      <c r="K1535" s="43" t="n"/>
      <c r="L1535" s="43" t="n"/>
      <c r="M1535" s="43" t="n"/>
    </row>
    <row r="1536">
      <c r="A1536" s="43" t="n"/>
      <c r="B1536" s="43" t="n"/>
      <c r="C1536" s="43" t="n"/>
      <c r="D1536" s="43" t="n"/>
      <c r="E1536" s="43" t="n"/>
      <c r="F1536" s="43" t="n"/>
      <c r="G1536" s="43" t="n"/>
      <c r="H1536" s="43" t="n"/>
      <c r="I1536" s="43" t="n"/>
      <c r="J1536" s="43" t="n"/>
      <c r="K1536" s="43" t="n"/>
      <c r="L1536" s="43" t="n"/>
      <c r="M1536" s="43" t="n"/>
    </row>
    <row r="1537">
      <c r="A1537" s="43" t="n"/>
      <c r="B1537" s="43" t="n"/>
      <c r="C1537" s="43" t="n"/>
      <c r="D1537" s="43" t="n"/>
      <c r="E1537" s="43" t="n"/>
      <c r="F1537" s="43" t="n"/>
      <c r="G1537" s="43" t="n"/>
      <c r="H1537" s="43" t="n"/>
      <c r="I1537" s="43" t="n"/>
      <c r="J1537" s="43" t="n"/>
      <c r="K1537" s="43" t="n"/>
      <c r="L1537" s="43" t="n"/>
      <c r="M1537" s="43" t="n"/>
    </row>
    <row r="1538">
      <c r="A1538" s="43" t="n"/>
      <c r="B1538" s="43" t="n"/>
      <c r="C1538" s="43" t="n"/>
      <c r="D1538" s="43" t="n"/>
      <c r="E1538" s="43" t="n"/>
      <c r="F1538" s="43" t="n"/>
      <c r="G1538" s="43" t="n"/>
      <c r="H1538" s="43" t="n"/>
      <c r="I1538" s="43" t="n"/>
      <c r="J1538" s="43" t="n"/>
      <c r="K1538" s="43" t="n"/>
      <c r="L1538" s="43" t="n"/>
      <c r="M1538" s="43" t="n"/>
    </row>
    <row r="1539">
      <c r="A1539" s="43" t="n"/>
      <c r="B1539" s="43" t="n"/>
      <c r="C1539" s="43" t="n"/>
      <c r="D1539" s="43" t="n"/>
      <c r="E1539" s="43" t="n"/>
      <c r="F1539" s="43" t="n"/>
      <c r="G1539" s="43" t="n"/>
      <c r="H1539" s="43" t="n"/>
      <c r="I1539" s="43" t="n"/>
      <c r="J1539" s="43" t="n"/>
      <c r="K1539" s="43" t="n"/>
      <c r="L1539" s="43" t="n"/>
      <c r="M1539" s="43" t="n"/>
    </row>
    <row r="1540">
      <c r="A1540" s="43" t="n"/>
      <c r="B1540" s="43" t="n"/>
      <c r="C1540" s="43" t="n"/>
      <c r="D1540" s="43" t="n"/>
      <c r="E1540" s="43" t="n"/>
      <c r="F1540" s="43" t="n"/>
      <c r="G1540" s="43" t="n"/>
      <c r="H1540" s="43" t="n"/>
      <c r="I1540" s="43" t="n"/>
      <c r="J1540" s="43" t="n"/>
      <c r="K1540" s="43" t="n"/>
      <c r="L1540" s="43" t="n"/>
      <c r="M1540" s="43" t="n"/>
    </row>
    <row r="1541">
      <c r="A1541" s="43" t="n"/>
      <c r="B1541" s="43" t="n"/>
      <c r="C1541" s="43" t="n"/>
      <c r="D1541" s="43" t="n"/>
      <c r="E1541" s="43" t="n"/>
      <c r="F1541" s="43" t="n"/>
      <c r="G1541" s="43" t="n"/>
      <c r="H1541" s="43" t="n"/>
      <c r="I1541" s="43" t="n"/>
      <c r="J1541" s="43" t="n"/>
      <c r="K1541" s="43" t="n"/>
      <c r="L1541" s="43" t="n"/>
      <c r="M1541" s="43" t="n"/>
    </row>
    <row r="1542">
      <c r="A1542" s="43" t="n"/>
      <c r="B1542" s="43" t="n"/>
      <c r="C1542" s="43" t="n"/>
      <c r="D1542" s="43" t="n"/>
      <c r="E1542" s="43" t="n"/>
      <c r="F1542" s="43" t="n"/>
      <c r="G1542" s="43" t="n"/>
      <c r="H1542" s="43" t="n"/>
      <c r="I1542" s="43" t="n"/>
      <c r="J1542" s="43" t="n"/>
      <c r="K1542" s="43" t="n"/>
      <c r="L1542" s="43" t="n"/>
      <c r="M1542" s="43" t="n"/>
    </row>
    <row r="1543">
      <c r="A1543" s="43" t="n"/>
      <c r="B1543" s="43" t="n"/>
      <c r="C1543" s="43" t="n"/>
      <c r="D1543" s="43" t="n"/>
      <c r="E1543" s="43" t="n"/>
      <c r="F1543" s="43" t="n"/>
      <c r="G1543" s="43" t="n"/>
      <c r="H1543" s="43" t="n"/>
      <c r="I1543" s="43" t="n"/>
      <c r="J1543" s="43" t="n"/>
      <c r="K1543" s="43" t="n"/>
      <c r="L1543" s="43" t="n"/>
      <c r="M1543" s="43" t="n"/>
    </row>
    <row r="1544">
      <c r="A1544" s="43" t="n"/>
      <c r="B1544" s="43" t="n"/>
      <c r="C1544" s="43" t="n"/>
      <c r="D1544" s="43" t="n"/>
      <c r="E1544" s="43" t="n"/>
      <c r="F1544" s="43" t="n"/>
      <c r="G1544" s="43" t="n"/>
      <c r="H1544" s="43" t="n"/>
      <c r="I1544" s="43" t="n"/>
      <c r="J1544" s="43" t="n"/>
      <c r="K1544" s="43" t="n"/>
      <c r="L1544" s="43" t="n"/>
      <c r="M1544" s="43" t="n"/>
    </row>
    <row r="1545">
      <c r="A1545" s="43" t="n"/>
      <c r="B1545" s="43" t="n"/>
      <c r="C1545" s="43" t="n"/>
      <c r="D1545" s="43" t="n"/>
      <c r="E1545" s="43" t="n"/>
      <c r="F1545" s="43" t="n"/>
      <c r="G1545" s="43" t="n"/>
      <c r="H1545" s="43" t="n"/>
      <c r="I1545" s="43" t="n"/>
      <c r="J1545" s="43" t="n"/>
      <c r="K1545" s="43" t="n"/>
      <c r="L1545" s="43" t="n"/>
      <c r="M1545" s="43" t="n"/>
    </row>
    <row r="1546">
      <c r="A1546" s="43" t="n"/>
      <c r="B1546" s="43" t="n"/>
      <c r="C1546" s="43" t="n"/>
      <c r="D1546" s="43" t="n"/>
      <c r="E1546" s="43" t="n"/>
      <c r="F1546" s="43" t="n"/>
      <c r="G1546" s="43" t="n"/>
      <c r="H1546" s="43" t="n"/>
      <c r="I1546" s="43" t="n"/>
      <c r="J1546" s="43" t="n"/>
      <c r="K1546" s="43" t="n"/>
      <c r="L1546" s="43" t="n"/>
      <c r="M1546" s="43" t="n"/>
    </row>
    <row r="1547">
      <c r="A1547" s="43" t="n"/>
      <c r="B1547" s="43" t="n"/>
      <c r="C1547" s="43" t="n"/>
      <c r="D1547" s="43" t="n"/>
      <c r="E1547" s="43" t="n"/>
      <c r="F1547" s="43" t="n"/>
      <c r="G1547" s="43" t="n"/>
      <c r="H1547" s="43" t="n"/>
      <c r="I1547" s="43" t="n"/>
      <c r="J1547" s="43" t="n"/>
      <c r="K1547" s="43" t="n"/>
      <c r="L1547" s="43" t="n"/>
      <c r="M1547" s="43" t="n"/>
    </row>
    <row r="1548">
      <c r="A1548" s="43" t="n"/>
      <c r="B1548" s="43" t="n"/>
      <c r="C1548" s="43" t="n"/>
      <c r="D1548" s="43" t="n"/>
      <c r="E1548" s="43" t="n"/>
      <c r="F1548" s="43" t="n"/>
      <c r="G1548" s="43" t="n"/>
      <c r="H1548" s="43" t="n"/>
      <c r="I1548" s="43" t="n"/>
      <c r="J1548" s="43" t="n"/>
      <c r="K1548" s="43" t="n"/>
      <c r="L1548" s="43" t="n"/>
      <c r="M1548" s="43" t="n"/>
    </row>
    <row r="1549">
      <c r="A1549" s="43" t="n"/>
      <c r="B1549" s="43" t="n"/>
      <c r="C1549" s="43" t="n"/>
      <c r="D1549" s="43" t="n"/>
      <c r="E1549" s="43" t="n"/>
      <c r="F1549" s="43" t="n"/>
      <c r="G1549" s="43" t="n"/>
      <c r="H1549" s="43" t="n"/>
      <c r="I1549" s="43" t="n"/>
      <c r="J1549" s="43" t="n"/>
      <c r="K1549" s="43" t="n"/>
      <c r="L1549" s="43" t="n"/>
      <c r="M1549" s="43" t="n"/>
    </row>
    <row r="1550">
      <c r="A1550" s="43" t="n"/>
      <c r="B1550" s="43" t="n"/>
      <c r="C1550" s="43" t="n"/>
      <c r="D1550" s="43" t="n"/>
      <c r="E1550" s="43" t="n"/>
      <c r="F1550" s="43" t="n"/>
      <c r="G1550" s="43" t="n"/>
      <c r="H1550" s="43" t="n"/>
      <c r="I1550" s="43" t="n"/>
      <c r="J1550" s="43" t="n"/>
      <c r="K1550" s="43" t="n"/>
      <c r="L1550" s="43" t="n"/>
      <c r="M1550" s="43" t="n"/>
    </row>
    <row r="1551">
      <c r="A1551" s="43" t="n"/>
      <c r="B1551" s="43" t="n"/>
      <c r="C1551" s="43" t="n"/>
      <c r="D1551" s="43" t="n"/>
      <c r="E1551" s="43" t="n"/>
      <c r="F1551" s="43" t="n"/>
      <c r="G1551" s="43" t="n"/>
      <c r="H1551" s="43" t="n"/>
      <c r="I1551" s="43" t="n"/>
      <c r="J1551" s="43" t="n"/>
      <c r="K1551" s="43" t="n"/>
      <c r="L1551" s="43" t="n"/>
      <c r="M1551" s="43" t="n"/>
    </row>
    <row r="1552">
      <c r="A1552" s="43" t="n"/>
      <c r="B1552" s="43" t="n"/>
      <c r="C1552" s="43" t="n"/>
      <c r="D1552" s="43" t="n"/>
      <c r="E1552" s="43" t="n"/>
      <c r="F1552" s="43" t="n"/>
      <c r="G1552" s="43" t="n"/>
      <c r="H1552" s="43" t="n"/>
      <c r="I1552" s="43" t="n"/>
      <c r="J1552" s="43" t="n"/>
      <c r="K1552" s="43" t="n"/>
      <c r="L1552" s="43" t="n"/>
      <c r="M1552" s="43" t="n"/>
    </row>
    <row r="1553">
      <c r="A1553" s="43" t="n"/>
      <c r="B1553" s="43" t="n"/>
      <c r="C1553" s="43" t="n"/>
      <c r="D1553" s="43" t="n"/>
      <c r="E1553" s="43" t="n"/>
      <c r="F1553" s="43" t="n"/>
      <c r="G1553" s="43" t="n"/>
      <c r="H1553" s="43" t="n"/>
      <c r="I1553" s="43" t="n"/>
      <c r="J1553" s="43" t="n"/>
      <c r="K1553" s="43" t="n"/>
      <c r="L1553" s="43" t="n"/>
      <c r="M1553" s="43" t="n"/>
    </row>
    <row r="1554">
      <c r="A1554" s="43" t="n"/>
      <c r="B1554" s="43" t="n"/>
      <c r="C1554" s="43" t="n"/>
      <c r="D1554" s="43" t="n"/>
      <c r="E1554" s="43" t="n"/>
      <c r="F1554" s="43" t="n"/>
      <c r="G1554" s="43" t="n"/>
      <c r="H1554" s="43" t="n"/>
      <c r="I1554" s="43" t="n"/>
      <c r="J1554" s="43" t="n"/>
      <c r="K1554" s="43" t="n"/>
      <c r="L1554" s="43" t="n"/>
      <c r="M1554" s="43" t="n"/>
    </row>
    <row r="1555">
      <c r="A1555" s="43" t="n"/>
      <c r="B1555" s="43" t="n"/>
      <c r="C1555" s="43" t="n"/>
      <c r="D1555" s="43" t="n"/>
      <c r="E1555" s="43" t="n"/>
      <c r="F1555" s="43" t="n"/>
      <c r="G1555" s="43" t="n"/>
      <c r="H1555" s="43" t="n"/>
      <c r="I1555" s="43" t="n"/>
      <c r="J1555" s="43" t="n"/>
      <c r="K1555" s="43" t="n"/>
      <c r="L1555" s="43" t="n"/>
      <c r="M1555" s="43" t="n"/>
    </row>
    <row r="1556">
      <c r="A1556" s="43" t="n"/>
      <c r="B1556" s="43" t="n"/>
      <c r="C1556" s="43" t="n"/>
      <c r="D1556" s="43" t="n"/>
      <c r="E1556" s="43" t="n"/>
      <c r="F1556" s="43" t="n"/>
      <c r="G1556" s="43" t="n"/>
      <c r="H1556" s="43" t="n"/>
      <c r="I1556" s="43" t="n"/>
      <c r="J1556" s="43" t="n"/>
      <c r="K1556" s="43" t="n"/>
      <c r="L1556" s="43" t="n"/>
      <c r="M1556" s="43" t="n"/>
    </row>
    <row r="1557">
      <c r="A1557" s="43" t="n"/>
      <c r="B1557" s="43" t="n"/>
      <c r="C1557" s="43" t="n"/>
      <c r="D1557" s="43" t="n"/>
      <c r="E1557" s="43" t="n"/>
      <c r="F1557" s="43" t="n"/>
      <c r="G1557" s="43" t="n"/>
      <c r="H1557" s="43" t="n"/>
      <c r="I1557" s="43" t="n"/>
      <c r="J1557" s="43" t="n"/>
      <c r="K1557" s="43" t="n"/>
      <c r="L1557" s="43" t="n"/>
      <c r="M1557" s="43" t="n"/>
    </row>
    <row r="1558">
      <c r="A1558" s="43" t="n"/>
      <c r="B1558" s="43" t="n"/>
      <c r="C1558" s="43" t="n"/>
      <c r="D1558" s="43" t="n"/>
      <c r="E1558" s="43" t="n"/>
      <c r="F1558" s="43" t="n"/>
      <c r="G1558" s="43" t="n"/>
      <c r="H1558" s="43" t="n"/>
      <c r="I1558" s="43" t="n"/>
      <c r="J1558" s="43" t="n"/>
      <c r="K1558" s="43" t="n"/>
      <c r="L1558" s="43" t="n"/>
      <c r="M1558" s="43" t="n"/>
    </row>
    <row r="1559">
      <c r="A1559" s="43" t="n"/>
      <c r="B1559" s="43" t="n"/>
      <c r="C1559" s="43" t="n"/>
      <c r="D1559" s="43" t="n"/>
      <c r="E1559" s="43" t="n"/>
      <c r="F1559" s="43" t="n"/>
      <c r="G1559" s="43" t="n"/>
      <c r="H1559" s="43" t="n"/>
      <c r="I1559" s="43" t="n"/>
      <c r="J1559" s="43" t="n"/>
      <c r="K1559" s="43" t="n"/>
      <c r="L1559" s="43" t="n"/>
      <c r="M1559" s="43" t="n"/>
    </row>
    <row r="1560">
      <c r="A1560" s="43" t="n"/>
      <c r="B1560" s="43" t="n"/>
      <c r="C1560" s="43" t="n"/>
      <c r="D1560" s="43" t="n"/>
      <c r="E1560" s="43" t="n"/>
      <c r="F1560" s="43" t="n"/>
      <c r="G1560" s="43" t="n"/>
      <c r="H1560" s="43" t="n"/>
      <c r="I1560" s="43" t="n"/>
      <c r="J1560" s="43" t="n"/>
      <c r="K1560" s="43" t="n"/>
      <c r="L1560" s="43" t="n"/>
      <c r="M1560" s="43" t="n"/>
    </row>
    <row r="1561">
      <c r="A1561" s="43" t="n"/>
      <c r="B1561" s="43" t="n"/>
      <c r="C1561" s="43" t="n"/>
      <c r="D1561" s="43" t="n"/>
      <c r="E1561" s="43" t="n"/>
      <c r="F1561" s="43" t="n"/>
      <c r="G1561" s="43" t="n"/>
      <c r="H1561" s="43" t="n"/>
      <c r="I1561" s="43" t="n"/>
      <c r="J1561" s="43" t="n"/>
      <c r="K1561" s="43" t="n"/>
      <c r="L1561" s="43" t="n"/>
      <c r="M1561" s="43" t="n"/>
    </row>
    <row r="1562">
      <c r="A1562" s="43" t="n"/>
      <c r="B1562" s="43" t="n"/>
      <c r="C1562" s="43" t="n"/>
      <c r="D1562" s="43" t="n"/>
      <c r="E1562" s="43" t="n"/>
      <c r="F1562" s="43" t="n"/>
      <c r="G1562" s="43" t="n"/>
      <c r="H1562" s="43" t="n"/>
      <c r="I1562" s="43" t="n"/>
      <c r="J1562" s="43" t="n"/>
      <c r="K1562" s="43" t="n"/>
      <c r="L1562" s="43" t="n"/>
      <c r="M1562" s="43" t="n"/>
    </row>
    <row r="1563">
      <c r="A1563" s="43" t="n"/>
      <c r="B1563" s="43" t="n"/>
      <c r="C1563" s="43" t="n"/>
      <c r="D1563" s="43" t="n"/>
      <c r="E1563" s="43" t="n"/>
      <c r="F1563" s="43" t="n"/>
      <c r="G1563" s="43" t="n"/>
      <c r="H1563" s="43" t="n"/>
      <c r="I1563" s="43" t="n"/>
      <c r="J1563" s="43" t="n"/>
      <c r="K1563" s="43" t="n"/>
      <c r="L1563" s="43" t="n"/>
      <c r="M1563" s="43" t="n"/>
    </row>
    <row r="1564">
      <c r="A1564" s="43" t="n"/>
      <c r="B1564" s="43" t="n"/>
      <c r="C1564" s="43" t="n"/>
      <c r="D1564" s="43" t="n"/>
      <c r="E1564" s="43" t="n"/>
      <c r="F1564" s="43" t="n"/>
      <c r="G1564" s="43" t="n"/>
      <c r="H1564" s="43" t="n"/>
      <c r="I1564" s="43" t="n"/>
      <c r="J1564" s="43" t="n"/>
      <c r="K1564" s="43" t="n"/>
      <c r="L1564" s="43" t="n"/>
      <c r="M1564" s="43" t="n"/>
    </row>
    <row r="1565">
      <c r="A1565" s="43" t="n"/>
      <c r="B1565" s="43" t="n"/>
      <c r="C1565" s="43" t="n"/>
      <c r="D1565" s="43" t="n"/>
      <c r="E1565" s="43" t="n"/>
      <c r="F1565" s="43" t="n"/>
      <c r="G1565" s="43" t="n"/>
      <c r="H1565" s="43" t="n"/>
      <c r="I1565" s="43" t="n"/>
      <c r="J1565" s="43" t="n"/>
      <c r="K1565" s="43" t="n"/>
      <c r="L1565" s="43" t="n"/>
      <c r="M1565" s="43" t="n"/>
    </row>
    <row r="1566">
      <c r="A1566" s="43" t="n"/>
      <c r="B1566" s="43" t="n"/>
      <c r="C1566" s="43" t="n"/>
      <c r="D1566" s="43" t="n"/>
      <c r="E1566" s="43" t="n"/>
      <c r="F1566" s="43" t="n"/>
      <c r="G1566" s="43" t="n"/>
      <c r="H1566" s="43" t="n"/>
      <c r="I1566" s="43" t="n"/>
      <c r="J1566" s="43" t="n"/>
      <c r="K1566" s="43" t="n"/>
      <c r="L1566" s="43" t="n"/>
      <c r="M1566" s="43" t="n"/>
    </row>
    <row r="1567">
      <c r="A1567" s="43" t="n"/>
      <c r="B1567" s="43" t="n"/>
      <c r="C1567" s="43" t="n"/>
      <c r="D1567" s="43" t="n"/>
      <c r="E1567" s="43" t="n"/>
      <c r="F1567" s="43" t="n"/>
      <c r="G1567" s="43" t="n"/>
      <c r="H1567" s="43" t="n"/>
      <c r="I1567" s="43" t="n"/>
      <c r="J1567" s="43" t="n"/>
      <c r="K1567" s="43" t="n"/>
      <c r="L1567" s="43" t="n"/>
      <c r="M1567" s="43" t="n"/>
    </row>
    <row r="1568">
      <c r="A1568" s="43" t="n"/>
      <c r="B1568" s="43" t="n"/>
      <c r="C1568" s="43" t="n"/>
      <c r="D1568" s="43" t="n"/>
      <c r="E1568" s="43" t="n"/>
      <c r="F1568" s="43" t="n"/>
      <c r="G1568" s="43" t="n"/>
      <c r="H1568" s="43" t="n"/>
      <c r="I1568" s="43" t="n"/>
      <c r="J1568" s="43" t="n"/>
      <c r="K1568" s="43" t="n"/>
      <c r="L1568" s="43" t="n"/>
      <c r="M1568" s="43" t="n"/>
    </row>
    <row r="1569">
      <c r="A1569" s="43" t="n"/>
      <c r="B1569" s="43" t="n"/>
      <c r="C1569" s="43" t="n"/>
      <c r="D1569" s="43" t="n"/>
      <c r="E1569" s="43" t="n"/>
      <c r="F1569" s="43" t="n"/>
      <c r="G1569" s="43" t="n"/>
      <c r="H1569" s="43" t="n"/>
      <c r="I1569" s="43" t="n"/>
      <c r="J1569" s="43" t="n"/>
      <c r="K1569" s="43" t="n"/>
      <c r="L1569" s="43" t="n"/>
      <c r="M1569" s="43" t="n"/>
    </row>
    <row r="1570">
      <c r="A1570" s="43" t="n"/>
      <c r="B1570" s="43" t="n"/>
      <c r="C1570" s="43" t="n"/>
      <c r="D1570" s="43" t="n"/>
      <c r="E1570" s="43" t="n"/>
      <c r="F1570" s="43" t="n"/>
      <c r="G1570" s="43" t="n"/>
      <c r="H1570" s="43" t="n"/>
      <c r="I1570" s="43" t="n"/>
      <c r="J1570" s="43" t="n"/>
      <c r="K1570" s="43" t="n"/>
      <c r="L1570" s="43" t="n"/>
      <c r="M1570" s="43" t="n"/>
    </row>
    <row r="1571">
      <c r="A1571" s="43" t="n"/>
      <c r="B1571" s="43" t="n"/>
      <c r="C1571" s="43" t="n"/>
      <c r="D1571" s="43" t="n"/>
      <c r="E1571" s="43" t="n"/>
      <c r="F1571" s="43" t="n"/>
      <c r="G1571" s="43" t="n"/>
      <c r="H1571" s="43" t="n"/>
      <c r="I1571" s="43" t="n"/>
      <c r="J1571" s="43" t="n"/>
      <c r="K1571" s="43" t="n"/>
      <c r="L1571" s="43" t="n"/>
      <c r="M1571" s="43" t="n"/>
    </row>
    <row r="1572">
      <c r="A1572" s="43" t="n"/>
      <c r="B1572" s="43" t="n"/>
      <c r="C1572" s="43" t="n"/>
      <c r="D1572" s="43" t="n"/>
      <c r="E1572" s="43" t="n"/>
      <c r="F1572" s="43" t="n"/>
      <c r="G1572" s="43" t="n"/>
      <c r="H1572" s="43" t="n"/>
      <c r="I1572" s="43" t="n"/>
      <c r="J1572" s="43" t="n"/>
      <c r="K1572" s="43" t="n"/>
      <c r="L1572" s="43" t="n"/>
      <c r="M1572" s="43" t="n"/>
    </row>
    <row r="1573">
      <c r="A1573" s="43" t="n"/>
      <c r="B1573" s="43" t="n"/>
      <c r="C1573" s="43" t="n"/>
      <c r="D1573" s="43" t="n"/>
      <c r="E1573" s="43" t="n"/>
      <c r="F1573" s="43" t="n"/>
      <c r="G1573" s="43" t="n"/>
      <c r="H1573" s="43" t="n"/>
      <c r="I1573" s="43" t="n"/>
      <c r="J1573" s="43" t="n"/>
      <c r="K1573" s="43" t="n"/>
      <c r="L1573" s="43" t="n"/>
      <c r="M1573" s="43" t="n"/>
    </row>
    <row r="1574">
      <c r="A1574" s="43" t="n"/>
      <c r="B1574" s="43" t="n"/>
      <c r="C1574" s="43" t="n"/>
      <c r="D1574" s="43" t="n"/>
      <c r="E1574" s="43" t="n"/>
      <c r="F1574" s="43" t="n"/>
      <c r="G1574" s="43" t="n"/>
      <c r="H1574" s="43" t="n"/>
      <c r="I1574" s="43" t="n"/>
      <c r="J1574" s="43" t="n"/>
      <c r="K1574" s="43" t="n"/>
      <c r="L1574" s="43" t="n"/>
      <c r="M1574" s="43" t="n"/>
    </row>
    <row r="1575">
      <c r="A1575" s="43" t="n"/>
      <c r="B1575" s="43" t="n"/>
      <c r="C1575" s="43" t="n"/>
      <c r="D1575" s="43" t="n"/>
      <c r="E1575" s="43" t="n"/>
      <c r="F1575" s="43" t="n"/>
      <c r="G1575" s="43" t="n"/>
      <c r="H1575" s="43" t="n"/>
      <c r="I1575" s="43" t="n"/>
      <c r="J1575" s="43" t="n"/>
      <c r="K1575" s="43" t="n"/>
      <c r="L1575" s="43" t="n"/>
      <c r="M1575" s="43" t="n"/>
    </row>
    <row r="1576">
      <c r="A1576" s="43" t="n"/>
      <c r="B1576" s="43" t="n"/>
      <c r="C1576" s="43" t="n"/>
      <c r="D1576" s="43" t="n"/>
      <c r="E1576" s="43" t="n"/>
      <c r="F1576" s="43" t="n"/>
      <c r="G1576" s="43" t="n"/>
      <c r="H1576" s="43" t="n"/>
      <c r="I1576" s="43" t="n"/>
      <c r="J1576" s="43" t="n"/>
      <c r="K1576" s="43" t="n"/>
      <c r="L1576" s="43" t="n"/>
      <c r="M1576" s="43" t="n"/>
    </row>
    <row r="1577">
      <c r="A1577" s="43" t="n"/>
      <c r="B1577" s="43" t="n"/>
      <c r="C1577" s="43" t="n"/>
      <c r="D1577" s="43" t="n"/>
      <c r="E1577" s="43" t="n"/>
      <c r="F1577" s="43" t="n"/>
      <c r="G1577" s="43" t="n"/>
      <c r="H1577" s="43" t="n"/>
      <c r="I1577" s="43" t="n"/>
      <c r="J1577" s="43" t="n"/>
      <c r="K1577" s="43" t="n"/>
      <c r="L1577" s="43" t="n"/>
      <c r="M1577" s="43" t="n"/>
    </row>
    <row r="1578">
      <c r="A1578" s="43" t="n"/>
      <c r="B1578" s="43" t="n"/>
      <c r="C1578" s="43" t="n"/>
      <c r="D1578" s="43" t="n"/>
      <c r="E1578" s="43" t="n"/>
      <c r="F1578" s="43" t="n"/>
      <c r="G1578" s="43" t="n"/>
      <c r="H1578" s="43" t="n"/>
      <c r="I1578" s="43" t="n"/>
      <c r="J1578" s="43" t="n"/>
      <c r="K1578" s="43" t="n"/>
      <c r="L1578" s="43" t="n"/>
      <c r="M1578" s="43" t="n"/>
    </row>
    <row r="1579">
      <c r="A1579" s="43" t="n"/>
      <c r="B1579" s="43" t="n"/>
      <c r="C1579" s="43" t="n"/>
      <c r="D1579" s="43" t="n"/>
      <c r="E1579" s="43" t="n"/>
      <c r="F1579" s="43" t="n"/>
      <c r="G1579" s="43" t="n"/>
      <c r="H1579" s="43" t="n"/>
      <c r="I1579" s="43" t="n"/>
      <c r="J1579" s="43" t="n"/>
      <c r="K1579" s="43" t="n"/>
      <c r="L1579" s="43" t="n"/>
      <c r="M1579" s="43" t="n"/>
    </row>
    <row r="1580">
      <c r="A1580" s="43" t="n"/>
      <c r="B1580" s="43" t="n"/>
      <c r="C1580" s="43" t="n"/>
      <c r="D1580" s="43" t="n"/>
      <c r="E1580" s="43" t="n"/>
      <c r="F1580" s="43" t="n"/>
      <c r="G1580" s="43" t="n"/>
      <c r="H1580" s="43" t="n"/>
      <c r="I1580" s="43" t="n"/>
      <c r="J1580" s="43" t="n"/>
      <c r="K1580" s="43" t="n"/>
      <c r="L1580" s="43" t="n"/>
      <c r="M1580" s="43" t="n"/>
    </row>
    <row r="1581">
      <c r="A1581" s="43" t="n"/>
      <c r="B1581" s="43" t="n"/>
      <c r="C1581" s="43" t="n"/>
      <c r="D1581" s="43" t="n"/>
      <c r="E1581" s="43" t="n"/>
      <c r="F1581" s="43" t="n"/>
      <c r="G1581" s="43" t="n"/>
      <c r="H1581" s="43" t="n"/>
      <c r="I1581" s="43" t="n"/>
      <c r="J1581" s="43" t="n"/>
      <c r="K1581" s="43" t="n"/>
      <c r="L1581" s="43" t="n"/>
      <c r="M1581" s="43" t="n"/>
    </row>
    <row r="1582">
      <c r="A1582" s="43" t="n"/>
      <c r="B1582" s="43" t="n"/>
      <c r="C1582" s="43" t="n"/>
      <c r="D1582" s="43" t="n"/>
      <c r="E1582" s="43" t="n"/>
      <c r="F1582" s="43" t="n"/>
      <c r="G1582" s="43" t="n"/>
      <c r="H1582" s="43" t="n"/>
      <c r="I1582" s="43" t="n"/>
      <c r="J1582" s="43" t="n"/>
      <c r="K1582" s="43" t="n"/>
      <c r="L1582" s="43" t="n"/>
      <c r="M1582" s="43" t="n"/>
    </row>
    <row r="1583">
      <c r="A1583" s="43" t="n"/>
      <c r="B1583" s="43" t="n"/>
      <c r="C1583" s="43" t="n"/>
      <c r="D1583" s="43" t="n"/>
      <c r="E1583" s="43" t="n"/>
      <c r="F1583" s="43" t="n"/>
      <c r="G1583" s="43" t="n"/>
      <c r="H1583" s="43" t="n"/>
      <c r="I1583" s="43" t="n"/>
      <c r="J1583" s="43" t="n"/>
      <c r="K1583" s="43" t="n"/>
      <c r="L1583" s="43" t="n"/>
      <c r="M1583" s="43" t="n"/>
    </row>
    <row r="1584">
      <c r="A1584" s="43" t="n"/>
      <c r="B1584" s="43" t="n"/>
      <c r="C1584" s="43" t="n"/>
      <c r="D1584" s="43" t="n"/>
      <c r="E1584" s="43" t="n"/>
      <c r="F1584" s="43" t="n"/>
      <c r="G1584" s="43" t="n"/>
      <c r="H1584" s="43" t="n"/>
      <c r="I1584" s="43" t="n"/>
      <c r="J1584" s="43" t="n"/>
      <c r="K1584" s="43" t="n"/>
      <c r="L1584" s="43" t="n"/>
      <c r="M1584" s="43" t="n"/>
    </row>
    <row r="1585">
      <c r="A1585" s="43" t="n"/>
      <c r="B1585" s="43" t="n"/>
      <c r="C1585" s="43" t="n"/>
      <c r="D1585" s="43" t="n"/>
      <c r="E1585" s="43" t="n"/>
      <c r="F1585" s="43" t="n"/>
      <c r="G1585" s="43" t="n"/>
      <c r="H1585" s="43" t="n"/>
      <c r="I1585" s="43" t="n"/>
      <c r="J1585" s="43" t="n"/>
      <c r="K1585" s="43" t="n"/>
      <c r="L1585" s="43" t="n"/>
      <c r="M1585" s="43" t="n"/>
    </row>
    <row r="1586">
      <c r="A1586" s="43" t="n"/>
      <c r="B1586" s="43" t="n"/>
      <c r="C1586" s="43" t="n"/>
      <c r="D1586" s="43" t="n"/>
      <c r="E1586" s="43" t="n"/>
      <c r="F1586" s="43" t="n"/>
      <c r="G1586" s="43" t="n"/>
      <c r="H1586" s="43" t="n"/>
      <c r="I1586" s="43" t="n"/>
      <c r="J1586" s="43" t="n"/>
      <c r="K1586" s="43" t="n"/>
      <c r="L1586" s="43" t="n"/>
      <c r="M1586" s="43" t="n"/>
    </row>
    <row r="1587">
      <c r="A1587" s="43" t="n"/>
      <c r="B1587" s="43" t="n"/>
      <c r="C1587" s="43" t="n"/>
      <c r="D1587" s="43" t="n"/>
      <c r="E1587" s="43" t="n"/>
      <c r="F1587" s="43" t="n"/>
      <c r="G1587" s="43" t="n"/>
      <c r="H1587" s="43" t="n"/>
      <c r="I1587" s="43" t="n"/>
      <c r="J1587" s="43" t="n"/>
      <c r="K1587" s="43" t="n"/>
      <c r="L1587" s="43" t="n"/>
      <c r="M1587" s="43" t="n"/>
    </row>
    <row r="1588">
      <c r="A1588" s="43" t="n"/>
      <c r="B1588" s="43" t="n"/>
      <c r="C1588" s="43" t="n"/>
      <c r="D1588" s="43" t="n"/>
      <c r="E1588" s="43" t="n"/>
      <c r="F1588" s="43" t="n"/>
      <c r="G1588" s="43" t="n"/>
      <c r="H1588" s="43" t="n"/>
      <c r="I1588" s="43" t="n"/>
      <c r="J1588" s="43" t="n"/>
      <c r="K1588" s="43" t="n"/>
      <c r="L1588" s="43" t="n"/>
      <c r="M1588" s="43" t="n"/>
    </row>
    <row r="1589">
      <c r="A1589" s="43" t="n"/>
      <c r="B1589" s="43" t="n"/>
      <c r="C1589" s="43" t="n"/>
      <c r="D1589" s="43" t="n"/>
      <c r="E1589" s="43" t="n"/>
      <c r="F1589" s="43" t="n"/>
      <c r="G1589" s="43" t="n"/>
      <c r="H1589" s="43" t="n"/>
      <c r="I1589" s="43" t="n"/>
      <c r="J1589" s="43" t="n"/>
      <c r="K1589" s="43" t="n"/>
      <c r="L1589" s="43" t="n"/>
      <c r="M1589" s="43" t="n"/>
    </row>
    <row r="1590">
      <c r="A1590" s="43" t="n"/>
      <c r="B1590" s="43" t="n"/>
      <c r="C1590" s="43" t="n"/>
      <c r="D1590" s="43" t="n"/>
      <c r="E1590" s="43" t="n"/>
      <c r="F1590" s="43" t="n"/>
      <c r="G1590" s="43" t="n"/>
      <c r="H1590" s="43" t="n"/>
      <c r="I1590" s="43" t="n"/>
      <c r="J1590" s="43" t="n"/>
      <c r="K1590" s="43" t="n"/>
      <c r="L1590" s="43" t="n"/>
      <c r="M1590" s="43" t="n"/>
    </row>
    <row r="1591">
      <c r="A1591" s="43" t="n"/>
      <c r="B1591" s="43" t="n"/>
      <c r="C1591" s="43" t="n"/>
      <c r="D1591" s="43" t="n"/>
      <c r="E1591" s="43" t="n"/>
      <c r="F1591" s="43" t="n"/>
      <c r="G1591" s="43" t="n"/>
      <c r="H1591" s="43" t="n"/>
      <c r="I1591" s="43" t="n"/>
      <c r="J1591" s="43" t="n"/>
      <c r="K1591" s="43" t="n"/>
      <c r="L1591" s="43" t="n"/>
      <c r="M1591" s="43" t="n"/>
    </row>
    <row r="1592">
      <c r="A1592" s="43" t="n"/>
      <c r="B1592" s="43" t="n"/>
      <c r="C1592" s="43" t="n"/>
      <c r="D1592" s="43" t="n"/>
      <c r="E1592" s="43" t="n"/>
      <c r="F1592" s="43" t="n"/>
      <c r="G1592" s="43" t="n"/>
      <c r="H1592" s="43" t="n"/>
      <c r="I1592" s="43" t="n"/>
      <c r="J1592" s="43" t="n"/>
      <c r="K1592" s="43" t="n"/>
      <c r="L1592" s="43" t="n"/>
      <c r="M1592" s="43" t="n"/>
    </row>
    <row r="1593">
      <c r="A1593" s="43" t="n"/>
      <c r="B1593" s="43" t="n"/>
      <c r="C1593" s="43" t="n"/>
      <c r="D1593" s="43" t="n"/>
      <c r="E1593" s="43" t="n"/>
      <c r="F1593" s="43" t="n"/>
      <c r="G1593" s="43" t="n"/>
      <c r="H1593" s="43" t="n"/>
      <c r="I1593" s="43" t="n"/>
      <c r="J1593" s="43" t="n"/>
      <c r="K1593" s="43" t="n"/>
      <c r="L1593" s="43" t="n"/>
      <c r="M1593" s="43" t="n"/>
    </row>
    <row r="1594">
      <c r="A1594" s="43" t="n"/>
      <c r="B1594" s="43" t="n"/>
      <c r="C1594" s="43" t="n"/>
      <c r="D1594" s="43" t="n"/>
      <c r="E1594" s="43" t="n"/>
      <c r="F1594" s="43" t="n"/>
      <c r="G1594" s="43" t="n"/>
      <c r="H1594" s="43" t="n"/>
      <c r="I1594" s="43" t="n"/>
      <c r="J1594" s="43" t="n"/>
      <c r="K1594" s="43" t="n"/>
      <c r="L1594" s="43" t="n"/>
      <c r="M1594" s="43" t="n"/>
    </row>
    <row r="1595">
      <c r="A1595" s="43" t="n"/>
      <c r="B1595" s="43" t="n"/>
      <c r="C1595" s="43" t="n"/>
      <c r="D1595" s="43" t="n"/>
      <c r="E1595" s="43" t="n"/>
      <c r="F1595" s="43" t="n"/>
      <c r="G1595" s="43" t="n"/>
      <c r="H1595" s="43" t="n"/>
      <c r="I1595" s="43" t="n"/>
      <c r="J1595" s="43" t="n"/>
      <c r="K1595" s="43" t="n"/>
      <c r="L1595" s="43" t="n"/>
      <c r="M1595" s="43" t="n"/>
    </row>
    <row r="1596">
      <c r="A1596" s="43" t="n"/>
      <c r="B1596" s="43" t="n"/>
      <c r="C1596" s="43" t="n"/>
      <c r="D1596" s="43" t="n"/>
      <c r="E1596" s="43" t="n"/>
      <c r="F1596" s="43" t="n"/>
      <c r="G1596" s="43" t="n"/>
      <c r="H1596" s="43" t="n"/>
      <c r="I1596" s="43" t="n"/>
      <c r="J1596" s="43" t="n"/>
      <c r="K1596" s="43" t="n"/>
      <c r="L1596" s="43" t="n"/>
      <c r="M1596" s="43" t="n"/>
    </row>
    <row r="1597">
      <c r="A1597" s="43" t="n"/>
      <c r="B1597" s="43" t="n"/>
      <c r="C1597" s="43" t="n"/>
      <c r="D1597" s="43" t="n"/>
      <c r="E1597" s="43" t="n"/>
      <c r="F1597" s="43" t="n"/>
      <c r="G1597" s="43" t="n"/>
      <c r="H1597" s="43" t="n"/>
      <c r="I1597" s="43" t="n"/>
      <c r="J1597" s="43" t="n"/>
      <c r="K1597" s="43" t="n"/>
      <c r="L1597" s="43" t="n"/>
      <c r="M1597" s="43" t="n"/>
    </row>
    <row r="1598">
      <c r="A1598" s="43" t="n"/>
      <c r="B1598" s="43" t="n"/>
      <c r="C1598" s="43" t="n"/>
      <c r="D1598" s="43" t="n"/>
      <c r="E1598" s="43" t="n"/>
      <c r="F1598" s="43" t="n"/>
      <c r="G1598" s="43" t="n"/>
      <c r="H1598" s="43" t="n"/>
      <c r="I1598" s="43" t="n"/>
      <c r="J1598" s="43" t="n"/>
      <c r="K1598" s="43" t="n"/>
      <c r="L1598" s="43" t="n"/>
      <c r="M1598" s="43" t="n"/>
    </row>
    <row r="1599">
      <c r="A1599" s="43" t="n"/>
      <c r="B1599" s="43" t="n"/>
      <c r="C1599" s="43" t="n"/>
      <c r="D1599" s="43" t="n"/>
      <c r="E1599" s="43" t="n"/>
      <c r="F1599" s="43" t="n"/>
      <c r="G1599" s="43" t="n"/>
      <c r="H1599" s="43" t="n"/>
      <c r="I1599" s="43" t="n"/>
      <c r="J1599" s="43" t="n"/>
      <c r="K1599" s="43" t="n"/>
      <c r="L1599" s="43" t="n"/>
      <c r="M1599" s="43" t="n"/>
    </row>
    <row r="1600">
      <c r="A1600" s="43" t="n"/>
      <c r="B1600" s="43" t="n"/>
      <c r="C1600" s="43" t="n"/>
      <c r="D1600" s="43" t="n"/>
      <c r="E1600" s="43" t="n"/>
      <c r="F1600" s="43" t="n"/>
      <c r="G1600" s="43" t="n"/>
      <c r="H1600" s="43" t="n"/>
      <c r="I1600" s="43" t="n"/>
      <c r="J1600" s="43" t="n"/>
      <c r="K1600" s="43" t="n"/>
      <c r="L1600" s="43" t="n"/>
      <c r="M1600" s="43" t="n"/>
    </row>
    <row r="1601">
      <c r="A1601" s="43" t="n"/>
      <c r="B1601" s="43" t="n"/>
      <c r="C1601" s="43" t="n"/>
      <c r="D1601" s="43" t="n"/>
      <c r="E1601" s="43" t="n"/>
      <c r="F1601" s="43" t="n"/>
      <c r="G1601" s="43" t="n"/>
      <c r="H1601" s="43" t="n"/>
      <c r="I1601" s="43" t="n"/>
      <c r="J1601" s="43" t="n"/>
      <c r="K1601" s="43" t="n"/>
      <c r="L1601" s="43" t="n"/>
      <c r="M1601" s="43" t="n"/>
    </row>
    <row r="1602">
      <c r="A1602" s="43" t="n"/>
      <c r="B1602" s="43" t="n"/>
      <c r="C1602" s="43" t="n"/>
      <c r="D1602" s="43" t="n"/>
      <c r="E1602" s="43" t="n"/>
      <c r="F1602" s="43" t="n"/>
      <c r="G1602" s="43" t="n"/>
      <c r="H1602" s="43" t="n"/>
      <c r="I1602" s="43" t="n"/>
      <c r="J1602" s="43" t="n"/>
      <c r="K1602" s="43" t="n"/>
      <c r="L1602" s="43" t="n"/>
      <c r="M1602" s="43" t="n"/>
    </row>
    <row r="1603">
      <c r="A1603" s="43" t="n"/>
      <c r="B1603" s="43" t="n"/>
      <c r="C1603" s="43" t="n"/>
      <c r="D1603" s="43" t="n"/>
      <c r="E1603" s="43" t="n"/>
      <c r="F1603" s="43" t="n"/>
      <c r="G1603" s="43" t="n"/>
      <c r="H1603" s="43" t="n"/>
      <c r="I1603" s="43" t="n"/>
      <c r="J1603" s="43" t="n"/>
      <c r="K1603" s="43" t="n"/>
      <c r="L1603" s="43" t="n"/>
      <c r="M1603" s="43" t="n"/>
    </row>
    <row r="1604">
      <c r="A1604" s="43" t="n"/>
      <c r="B1604" s="43" t="n"/>
      <c r="C1604" s="43" t="n"/>
      <c r="D1604" s="43" t="n"/>
      <c r="E1604" s="43" t="n"/>
      <c r="F1604" s="43" t="n"/>
      <c r="G1604" s="43" t="n"/>
      <c r="H1604" s="43" t="n"/>
      <c r="I1604" s="43" t="n"/>
      <c r="J1604" s="43" t="n"/>
      <c r="K1604" s="43" t="n"/>
      <c r="L1604" s="43" t="n"/>
      <c r="M1604" s="43" t="n"/>
    </row>
    <row r="1605">
      <c r="A1605" s="43" t="n"/>
      <c r="B1605" s="43" t="n"/>
      <c r="C1605" s="43" t="n"/>
      <c r="D1605" s="43" t="n"/>
      <c r="E1605" s="43" t="n"/>
      <c r="F1605" s="43" t="n"/>
      <c r="G1605" s="43" t="n"/>
      <c r="H1605" s="43" t="n"/>
      <c r="I1605" s="43" t="n"/>
      <c r="J1605" s="43" t="n"/>
      <c r="K1605" s="43" t="n"/>
      <c r="L1605" s="43" t="n"/>
      <c r="M1605" s="43" t="n"/>
    </row>
    <row r="1606">
      <c r="A1606" s="43" t="n"/>
      <c r="B1606" s="43" t="n"/>
      <c r="C1606" s="43" t="n"/>
      <c r="D1606" s="43" t="n"/>
      <c r="E1606" s="43" t="n"/>
      <c r="F1606" s="43" t="n"/>
      <c r="G1606" s="43" t="n"/>
      <c r="H1606" s="43" t="n"/>
      <c r="I1606" s="43" t="n"/>
      <c r="J1606" s="43" t="n"/>
      <c r="K1606" s="43" t="n"/>
      <c r="L1606" s="43" t="n"/>
      <c r="M1606" s="43" t="n"/>
    </row>
    <row r="1607">
      <c r="A1607" s="43" t="n"/>
      <c r="B1607" s="43" t="n"/>
      <c r="C1607" s="43" t="n"/>
      <c r="D1607" s="43" t="n"/>
      <c r="E1607" s="43" t="n"/>
      <c r="F1607" s="43" t="n"/>
      <c r="G1607" s="43" t="n"/>
      <c r="H1607" s="43" t="n"/>
      <c r="I1607" s="43" t="n"/>
      <c r="J1607" s="43" t="n"/>
      <c r="K1607" s="43" t="n"/>
      <c r="L1607" s="43" t="n"/>
      <c r="M1607" s="43" t="n"/>
    </row>
    <row r="1608">
      <c r="A1608" s="43" t="n"/>
      <c r="B1608" s="43" t="n"/>
      <c r="C1608" s="43" t="n"/>
      <c r="D1608" s="43" t="n"/>
      <c r="E1608" s="43" t="n"/>
      <c r="F1608" s="43" t="n"/>
      <c r="G1608" s="43" t="n"/>
      <c r="H1608" s="43" t="n"/>
      <c r="I1608" s="43" t="n"/>
      <c r="J1608" s="43" t="n"/>
      <c r="K1608" s="43" t="n"/>
      <c r="L1608" s="43" t="n"/>
      <c r="M1608" s="43" t="n"/>
    </row>
    <row r="1609">
      <c r="A1609" s="43" t="n"/>
      <c r="B1609" s="43" t="n"/>
      <c r="C1609" s="43" t="n"/>
      <c r="D1609" s="43" t="n"/>
      <c r="E1609" s="43" t="n"/>
      <c r="F1609" s="43" t="n"/>
      <c r="G1609" s="43" t="n"/>
      <c r="H1609" s="43" t="n"/>
      <c r="I1609" s="43" t="n"/>
      <c r="J1609" s="43" t="n"/>
      <c r="K1609" s="43" t="n"/>
      <c r="L1609" s="43" t="n"/>
      <c r="M1609" s="43" t="n"/>
    </row>
    <row r="1610">
      <c r="A1610" s="43" t="n"/>
      <c r="B1610" s="43" t="n"/>
      <c r="C1610" s="43" t="n"/>
      <c r="D1610" s="43" t="n"/>
      <c r="E1610" s="43" t="n"/>
      <c r="F1610" s="43" t="n"/>
      <c r="G1610" s="43" t="n"/>
      <c r="H1610" s="43" t="n"/>
      <c r="I1610" s="43" t="n"/>
      <c r="J1610" s="43" t="n"/>
      <c r="K1610" s="43" t="n"/>
      <c r="L1610" s="43" t="n"/>
      <c r="M1610" s="43" t="n"/>
    </row>
    <row r="1611">
      <c r="A1611" s="43" t="n"/>
      <c r="B1611" s="43" t="n"/>
      <c r="C1611" s="43" t="n"/>
      <c r="D1611" s="43" t="n"/>
      <c r="E1611" s="43" t="n"/>
      <c r="F1611" s="43" t="n"/>
      <c r="G1611" s="43" t="n"/>
      <c r="H1611" s="43" t="n"/>
      <c r="I1611" s="43" t="n"/>
      <c r="J1611" s="43" t="n"/>
      <c r="K1611" s="43" t="n"/>
      <c r="L1611" s="43" t="n"/>
      <c r="M1611" s="43" t="n"/>
    </row>
    <row r="1612">
      <c r="A1612" s="43" t="n"/>
      <c r="B1612" s="43" t="n"/>
      <c r="C1612" s="43" t="n"/>
      <c r="D1612" s="43" t="n"/>
      <c r="E1612" s="43" t="n"/>
      <c r="F1612" s="43" t="n"/>
      <c r="G1612" s="43" t="n"/>
      <c r="H1612" s="43" t="n"/>
      <c r="I1612" s="43" t="n"/>
      <c r="J1612" s="43" t="n"/>
      <c r="K1612" s="43" t="n"/>
      <c r="L1612" s="43" t="n"/>
      <c r="M1612" s="43" t="n"/>
    </row>
    <row r="1613">
      <c r="A1613" s="43" t="n"/>
      <c r="B1613" s="43" t="n"/>
      <c r="C1613" s="43" t="n"/>
      <c r="D1613" s="43" t="n"/>
      <c r="E1613" s="43" t="n"/>
      <c r="F1613" s="43" t="n"/>
      <c r="G1613" s="43" t="n"/>
      <c r="H1613" s="43" t="n"/>
      <c r="I1613" s="43" t="n"/>
      <c r="J1613" s="43" t="n"/>
      <c r="K1613" s="43" t="n"/>
      <c r="L1613" s="43" t="n"/>
      <c r="M1613" s="43" t="n"/>
    </row>
    <row r="1614">
      <c r="A1614" s="43" t="n"/>
      <c r="B1614" s="43" t="n"/>
      <c r="C1614" s="43" t="n"/>
      <c r="D1614" s="43" t="n"/>
      <c r="E1614" s="43" t="n"/>
      <c r="F1614" s="43" t="n"/>
      <c r="G1614" s="43" t="n"/>
      <c r="H1614" s="43" t="n"/>
      <c r="I1614" s="43" t="n"/>
      <c r="J1614" s="43" t="n"/>
      <c r="K1614" s="43" t="n"/>
      <c r="L1614" s="43" t="n"/>
      <c r="M1614" s="43" t="n"/>
    </row>
    <row r="1615">
      <c r="A1615" s="43" t="n"/>
      <c r="B1615" s="43" t="n"/>
      <c r="C1615" s="43" t="n"/>
      <c r="D1615" s="43" t="n"/>
      <c r="E1615" s="43" t="n"/>
      <c r="F1615" s="43" t="n"/>
      <c r="G1615" s="43" t="n"/>
      <c r="H1615" s="43" t="n"/>
      <c r="I1615" s="43" t="n"/>
      <c r="J1615" s="43" t="n"/>
      <c r="K1615" s="43" t="n"/>
      <c r="L1615" s="43" t="n"/>
      <c r="M1615" s="43" t="n"/>
    </row>
    <row r="1616">
      <c r="A1616" s="43" t="n"/>
      <c r="B1616" s="43" t="n"/>
      <c r="C1616" s="43" t="n"/>
      <c r="D1616" s="43" t="n"/>
      <c r="E1616" s="43" t="n"/>
      <c r="F1616" s="43" t="n"/>
      <c r="G1616" s="43" t="n"/>
      <c r="H1616" s="43" t="n"/>
      <c r="I1616" s="43" t="n"/>
      <c r="J1616" s="43" t="n"/>
      <c r="K1616" s="43" t="n"/>
      <c r="L1616" s="43" t="n"/>
      <c r="M1616" s="43" t="n"/>
    </row>
    <row r="1617">
      <c r="A1617" s="43" t="n"/>
      <c r="B1617" s="43" t="n"/>
      <c r="C1617" s="43" t="n"/>
      <c r="D1617" s="43" t="n"/>
      <c r="E1617" s="43" t="n"/>
      <c r="F1617" s="43" t="n"/>
      <c r="G1617" s="43" t="n"/>
      <c r="H1617" s="43" t="n"/>
      <c r="I1617" s="43" t="n"/>
      <c r="J1617" s="43" t="n"/>
      <c r="K1617" s="43" t="n"/>
      <c r="L1617" s="43" t="n"/>
      <c r="M1617" s="43" t="n"/>
    </row>
    <row r="1618">
      <c r="A1618" s="43" t="n"/>
      <c r="B1618" s="43" t="n"/>
      <c r="C1618" s="43" t="n"/>
      <c r="D1618" s="43" t="n"/>
      <c r="E1618" s="43" t="n"/>
      <c r="F1618" s="43" t="n"/>
      <c r="G1618" s="43" t="n"/>
      <c r="H1618" s="43" t="n"/>
      <c r="I1618" s="43" t="n"/>
      <c r="J1618" s="43" t="n"/>
      <c r="K1618" s="43" t="n"/>
      <c r="L1618" s="43" t="n"/>
      <c r="M1618" s="43" t="n"/>
    </row>
    <row r="1619">
      <c r="A1619" s="43" t="n"/>
      <c r="B1619" s="43" t="n"/>
      <c r="C1619" s="43" t="n"/>
      <c r="D1619" s="43" t="n"/>
      <c r="E1619" s="43" t="n"/>
      <c r="F1619" s="43" t="n"/>
      <c r="G1619" s="43" t="n"/>
      <c r="H1619" s="43" t="n"/>
      <c r="I1619" s="43" t="n"/>
      <c r="J1619" s="43" t="n"/>
      <c r="K1619" s="43" t="n"/>
      <c r="L1619" s="43" t="n"/>
      <c r="M1619" s="43" t="n"/>
    </row>
    <row r="1620">
      <c r="A1620" s="43" t="n"/>
      <c r="B1620" s="43" t="n"/>
      <c r="C1620" s="43" t="n"/>
      <c r="D1620" s="43" t="n"/>
      <c r="E1620" s="43" t="n"/>
      <c r="F1620" s="43" t="n"/>
      <c r="G1620" s="43" t="n"/>
      <c r="H1620" s="43" t="n"/>
      <c r="I1620" s="43" t="n"/>
      <c r="J1620" s="43" t="n"/>
      <c r="K1620" s="43" t="n"/>
      <c r="L1620" s="43" t="n"/>
      <c r="M1620" s="43" t="n"/>
    </row>
    <row r="1621">
      <c r="A1621" s="43" t="n"/>
      <c r="B1621" s="43" t="n"/>
      <c r="C1621" s="43" t="n"/>
      <c r="D1621" s="43" t="n"/>
      <c r="E1621" s="43" t="n"/>
      <c r="F1621" s="43" t="n"/>
      <c r="G1621" s="43" t="n"/>
      <c r="H1621" s="43" t="n"/>
      <c r="I1621" s="43" t="n"/>
      <c r="J1621" s="43" t="n"/>
      <c r="K1621" s="43" t="n"/>
      <c r="L1621" s="43" t="n"/>
      <c r="M1621" s="43" t="n"/>
    </row>
    <row r="1622">
      <c r="A1622" s="43" t="n"/>
      <c r="B1622" s="43" t="n"/>
      <c r="C1622" s="43" t="n"/>
      <c r="D1622" s="43" t="n"/>
      <c r="E1622" s="43" t="n"/>
      <c r="F1622" s="43" t="n"/>
      <c r="G1622" s="43" t="n"/>
      <c r="H1622" s="43" t="n"/>
      <c r="I1622" s="43" t="n"/>
      <c r="J1622" s="43" t="n"/>
      <c r="K1622" s="43" t="n"/>
      <c r="L1622" s="43" t="n"/>
      <c r="M1622" s="43" t="n"/>
    </row>
    <row r="1623">
      <c r="A1623" s="43" t="n"/>
      <c r="B1623" s="43" t="n"/>
      <c r="C1623" s="43" t="n"/>
      <c r="D1623" s="43" t="n"/>
      <c r="E1623" s="43" t="n"/>
      <c r="F1623" s="43" t="n"/>
      <c r="G1623" s="43" t="n"/>
      <c r="H1623" s="43" t="n"/>
      <c r="I1623" s="43" t="n"/>
      <c r="J1623" s="43" t="n"/>
      <c r="K1623" s="43" t="n"/>
      <c r="L1623" s="43" t="n"/>
      <c r="M1623" s="43" t="n"/>
    </row>
    <row r="1624">
      <c r="A1624" s="43" t="n"/>
      <c r="B1624" s="43" t="n"/>
      <c r="C1624" s="43" t="n"/>
      <c r="D1624" s="43" t="n"/>
      <c r="E1624" s="43" t="n"/>
      <c r="F1624" s="43" t="n"/>
      <c r="G1624" s="43" t="n"/>
      <c r="H1624" s="43" t="n"/>
      <c r="I1624" s="43" t="n"/>
      <c r="J1624" s="43" t="n"/>
      <c r="K1624" s="43" t="n"/>
      <c r="L1624" s="43" t="n"/>
      <c r="M1624" s="43" t="n"/>
    </row>
    <row r="1625">
      <c r="A1625" s="43" t="n"/>
      <c r="B1625" s="43" t="n"/>
      <c r="C1625" s="43" t="n"/>
      <c r="D1625" s="43" t="n"/>
      <c r="E1625" s="43" t="n"/>
      <c r="F1625" s="43" t="n"/>
      <c r="G1625" s="43" t="n"/>
      <c r="H1625" s="43" t="n"/>
      <c r="I1625" s="43" t="n"/>
      <c r="J1625" s="43" t="n"/>
      <c r="K1625" s="43" t="n"/>
      <c r="L1625" s="43" t="n"/>
      <c r="M1625" s="43" t="n"/>
    </row>
    <row r="1626">
      <c r="A1626" s="43" t="n"/>
      <c r="B1626" s="43" t="n"/>
      <c r="C1626" s="43" t="n"/>
      <c r="D1626" s="43" t="n"/>
      <c r="E1626" s="43" t="n"/>
      <c r="F1626" s="43" t="n"/>
      <c r="G1626" s="43" t="n"/>
      <c r="H1626" s="43" t="n"/>
      <c r="I1626" s="43" t="n"/>
      <c r="J1626" s="43" t="n"/>
      <c r="K1626" s="43" t="n"/>
      <c r="L1626" s="43" t="n"/>
      <c r="M1626" s="43" t="n"/>
    </row>
    <row r="1627">
      <c r="A1627" s="43" t="n"/>
      <c r="B1627" s="43" t="n"/>
      <c r="C1627" s="43" t="n"/>
      <c r="D1627" s="43" t="n"/>
      <c r="E1627" s="43" t="n"/>
      <c r="F1627" s="43" t="n"/>
      <c r="G1627" s="43" t="n"/>
      <c r="H1627" s="43" t="n"/>
      <c r="I1627" s="43" t="n"/>
      <c r="J1627" s="43" t="n"/>
      <c r="K1627" s="43" t="n"/>
      <c r="L1627" s="43" t="n"/>
      <c r="M1627" s="43" t="n"/>
    </row>
    <row r="1628">
      <c r="A1628" s="43" t="n"/>
      <c r="B1628" s="43" t="n"/>
      <c r="C1628" s="43" t="n"/>
      <c r="D1628" s="43" t="n"/>
      <c r="E1628" s="43" t="n"/>
      <c r="F1628" s="43" t="n"/>
      <c r="G1628" s="43" t="n"/>
      <c r="H1628" s="43" t="n"/>
      <c r="I1628" s="43" t="n"/>
      <c r="J1628" s="43" t="n"/>
      <c r="K1628" s="43" t="n"/>
      <c r="L1628" s="43" t="n"/>
      <c r="M1628" s="43" t="n"/>
    </row>
    <row r="1629">
      <c r="A1629" s="43" t="n"/>
      <c r="B1629" s="43" t="n"/>
      <c r="C1629" s="43" t="n"/>
      <c r="D1629" s="43" t="n"/>
      <c r="E1629" s="43" t="n"/>
      <c r="F1629" s="43" t="n"/>
      <c r="G1629" s="43" t="n"/>
      <c r="H1629" s="43" t="n"/>
      <c r="I1629" s="43" t="n"/>
      <c r="J1629" s="43" t="n"/>
      <c r="K1629" s="43" t="n"/>
      <c r="L1629" s="43" t="n"/>
      <c r="M1629" s="43" t="n"/>
    </row>
    <row r="1630">
      <c r="A1630" s="43" t="n"/>
      <c r="B1630" s="43" t="n"/>
      <c r="C1630" s="43" t="n"/>
      <c r="D1630" s="43" t="n"/>
      <c r="E1630" s="43" t="n"/>
      <c r="F1630" s="43" t="n"/>
      <c r="G1630" s="43" t="n"/>
      <c r="H1630" s="43" t="n"/>
      <c r="I1630" s="43" t="n"/>
      <c r="J1630" s="43" t="n"/>
      <c r="K1630" s="43" t="n"/>
      <c r="L1630" s="43" t="n"/>
      <c r="M1630" s="43" t="n"/>
    </row>
    <row r="1631">
      <c r="A1631" s="43" t="n"/>
      <c r="B1631" s="43" t="n"/>
      <c r="C1631" s="43" t="n"/>
      <c r="D1631" s="43" t="n"/>
      <c r="E1631" s="43" t="n"/>
      <c r="F1631" s="43" t="n"/>
      <c r="G1631" s="43" t="n"/>
      <c r="H1631" s="43" t="n"/>
      <c r="I1631" s="43" t="n"/>
      <c r="J1631" s="43" t="n"/>
      <c r="K1631" s="43" t="n"/>
      <c r="L1631" s="43" t="n"/>
      <c r="M1631" s="43" t="n"/>
    </row>
    <row r="1632">
      <c r="A1632" s="43" t="n"/>
      <c r="B1632" s="43" t="n"/>
      <c r="C1632" s="43" t="n"/>
      <c r="D1632" s="43" t="n"/>
      <c r="E1632" s="43" t="n"/>
      <c r="F1632" s="43" t="n"/>
      <c r="G1632" s="43" t="n"/>
      <c r="H1632" s="43" t="n"/>
      <c r="I1632" s="43" t="n"/>
      <c r="J1632" s="43" t="n"/>
      <c r="K1632" s="43" t="n"/>
      <c r="L1632" s="43" t="n"/>
      <c r="M1632" s="43" t="n"/>
    </row>
    <row r="1633">
      <c r="A1633" s="43" t="n"/>
      <c r="B1633" s="43" t="n"/>
      <c r="C1633" s="43" t="n"/>
      <c r="D1633" s="43" t="n"/>
      <c r="E1633" s="43" t="n"/>
      <c r="F1633" s="43" t="n"/>
      <c r="G1633" s="43" t="n"/>
      <c r="H1633" s="43" t="n"/>
      <c r="I1633" s="43" t="n"/>
      <c r="J1633" s="43" t="n"/>
      <c r="K1633" s="43" t="n"/>
      <c r="L1633" s="43" t="n"/>
      <c r="M1633" s="43" t="n"/>
    </row>
    <row r="1634">
      <c r="A1634" s="43" t="n"/>
      <c r="B1634" s="43" t="n"/>
      <c r="C1634" s="43" t="n"/>
      <c r="D1634" s="43" t="n"/>
      <c r="E1634" s="43" t="n"/>
      <c r="F1634" s="43" t="n"/>
      <c r="G1634" s="43" t="n"/>
      <c r="H1634" s="43" t="n"/>
      <c r="I1634" s="43" t="n"/>
      <c r="J1634" s="43" t="n"/>
      <c r="K1634" s="43" t="n"/>
      <c r="L1634" s="43" t="n"/>
      <c r="M1634" s="43" t="n"/>
    </row>
    <row r="1635">
      <c r="A1635" s="43" t="n"/>
      <c r="B1635" s="43" t="n"/>
      <c r="C1635" s="43" t="n"/>
      <c r="D1635" s="43" t="n"/>
      <c r="E1635" s="43" t="n"/>
      <c r="F1635" s="43" t="n"/>
      <c r="G1635" s="43" t="n"/>
      <c r="H1635" s="43" t="n"/>
      <c r="I1635" s="43" t="n"/>
      <c r="J1635" s="43" t="n"/>
      <c r="K1635" s="43" t="n"/>
      <c r="L1635" s="43" t="n"/>
      <c r="M1635" s="43" t="n"/>
    </row>
    <row r="1636">
      <c r="A1636" s="43" t="n"/>
      <c r="B1636" s="43" t="n"/>
      <c r="C1636" s="43" t="n"/>
      <c r="D1636" s="43" t="n"/>
      <c r="E1636" s="43" t="n"/>
      <c r="F1636" s="43" t="n"/>
      <c r="G1636" s="43" t="n"/>
      <c r="H1636" s="43" t="n"/>
      <c r="I1636" s="43" t="n"/>
      <c r="J1636" s="43" t="n"/>
      <c r="K1636" s="43" t="n"/>
      <c r="L1636" s="43" t="n"/>
      <c r="M1636" s="43" t="n"/>
    </row>
    <row r="1637">
      <c r="A1637" s="43" t="n"/>
      <c r="B1637" s="43" t="n"/>
      <c r="C1637" s="43" t="n"/>
      <c r="D1637" s="43" t="n"/>
      <c r="E1637" s="43" t="n"/>
      <c r="F1637" s="43" t="n"/>
      <c r="G1637" s="43" t="n"/>
      <c r="H1637" s="43" t="n"/>
      <c r="I1637" s="43" t="n"/>
      <c r="J1637" s="43" t="n"/>
      <c r="K1637" s="43" t="n"/>
      <c r="L1637" s="43" t="n"/>
      <c r="M1637" s="43" t="n"/>
    </row>
    <row r="1638">
      <c r="A1638" s="43" t="n"/>
      <c r="B1638" s="43" t="n"/>
      <c r="C1638" s="43" t="n"/>
      <c r="D1638" s="43" t="n"/>
      <c r="E1638" s="43" t="n"/>
      <c r="F1638" s="43" t="n"/>
      <c r="G1638" s="43" t="n"/>
      <c r="H1638" s="43" t="n"/>
      <c r="I1638" s="43" t="n"/>
      <c r="J1638" s="43" t="n"/>
      <c r="K1638" s="43" t="n"/>
      <c r="L1638" s="43" t="n"/>
      <c r="M1638" s="43" t="n"/>
    </row>
    <row r="1639">
      <c r="A1639" s="43" t="n"/>
      <c r="B1639" s="43" t="n"/>
      <c r="C1639" s="43" t="n"/>
      <c r="D1639" s="43" t="n"/>
      <c r="E1639" s="43" t="n"/>
      <c r="F1639" s="43" t="n"/>
      <c r="G1639" s="43" t="n"/>
      <c r="H1639" s="43" t="n"/>
      <c r="I1639" s="43" t="n"/>
      <c r="J1639" s="43" t="n"/>
      <c r="K1639" s="43" t="n"/>
      <c r="L1639" s="43" t="n"/>
      <c r="M1639" s="43" t="n"/>
    </row>
    <row r="1640">
      <c r="A1640" s="43" t="n"/>
      <c r="B1640" s="43" t="n"/>
      <c r="C1640" s="43" t="n"/>
      <c r="D1640" s="43" t="n"/>
      <c r="E1640" s="43" t="n"/>
      <c r="F1640" s="43" t="n"/>
      <c r="G1640" s="43" t="n"/>
      <c r="H1640" s="43" t="n"/>
      <c r="I1640" s="43" t="n"/>
      <c r="J1640" s="43" t="n"/>
      <c r="K1640" s="43" t="n"/>
      <c r="L1640" s="43" t="n"/>
      <c r="M1640" s="43" t="n"/>
    </row>
    <row r="1641">
      <c r="A1641" s="43" t="n"/>
      <c r="B1641" s="43" t="n"/>
      <c r="C1641" s="43" t="n"/>
      <c r="D1641" s="43" t="n"/>
      <c r="E1641" s="43" t="n"/>
      <c r="F1641" s="43" t="n"/>
      <c r="G1641" s="43" t="n"/>
      <c r="H1641" s="43" t="n"/>
      <c r="I1641" s="43" t="n"/>
      <c r="J1641" s="43" t="n"/>
      <c r="K1641" s="43" t="n"/>
      <c r="L1641" s="43" t="n"/>
      <c r="M1641" s="43" t="n"/>
    </row>
    <row r="1642">
      <c r="A1642" s="43" t="n"/>
      <c r="B1642" s="43" t="n"/>
      <c r="C1642" s="43" t="n"/>
      <c r="D1642" s="43" t="n"/>
      <c r="E1642" s="43" t="n"/>
      <c r="F1642" s="43" t="n"/>
      <c r="G1642" s="43" t="n"/>
      <c r="H1642" s="43" t="n"/>
      <c r="I1642" s="43" t="n"/>
      <c r="J1642" s="43" t="n"/>
      <c r="K1642" s="43" t="n"/>
      <c r="L1642" s="43" t="n"/>
      <c r="M1642" s="43" t="n"/>
    </row>
    <row r="1643">
      <c r="A1643" s="43" t="n"/>
      <c r="B1643" s="43" t="n"/>
      <c r="C1643" s="43" t="n"/>
      <c r="D1643" s="43" t="n"/>
      <c r="E1643" s="43" t="n"/>
      <c r="F1643" s="43" t="n"/>
      <c r="G1643" s="43" t="n"/>
      <c r="H1643" s="43" t="n"/>
      <c r="I1643" s="43" t="n"/>
      <c r="J1643" s="43" t="n"/>
      <c r="K1643" s="43" t="n"/>
      <c r="L1643" s="43" t="n"/>
      <c r="M1643" s="43" t="n"/>
    </row>
    <row r="1644">
      <c r="A1644" s="43" t="n"/>
      <c r="B1644" s="43" t="n"/>
      <c r="C1644" s="43" t="n"/>
      <c r="D1644" s="43" t="n"/>
      <c r="E1644" s="43" t="n"/>
      <c r="F1644" s="43" t="n"/>
      <c r="G1644" s="43" t="n"/>
      <c r="H1644" s="43" t="n"/>
      <c r="I1644" s="43" t="n"/>
      <c r="J1644" s="43" t="n"/>
      <c r="K1644" s="43" t="n"/>
      <c r="L1644" s="43" t="n"/>
      <c r="M1644" s="43" t="n"/>
    </row>
    <row r="1645">
      <c r="A1645" s="43" t="n"/>
      <c r="B1645" s="43" t="n"/>
      <c r="C1645" s="43" t="n"/>
      <c r="D1645" s="43" t="n"/>
      <c r="E1645" s="43" t="n"/>
      <c r="F1645" s="43" t="n"/>
      <c r="G1645" s="43" t="n"/>
      <c r="H1645" s="43" t="n"/>
      <c r="I1645" s="43" t="n"/>
      <c r="J1645" s="43" t="n"/>
      <c r="K1645" s="43" t="n"/>
      <c r="L1645" s="43" t="n"/>
      <c r="M1645" s="43" t="n"/>
    </row>
    <row r="1646">
      <c r="A1646" s="43" t="n"/>
      <c r="B1646" s="43" t="n"/>
      <c r="C1646" s="43" t="n"/>
      <c r="D1646" s="43" t="n"/>
      <c r="E1646" s="43" t="n"/>
      <c r="F1646" s="43" t="n"/>
      <c r="G1646" s="43" t="n"/>
      <c r="H1646" s="43" t="n"/>
      <c r="I1646" s="43" t="n"/>
      <c r="J1646" s="43" t="n"/>
      <c r="K1646" s="43" t="n"/>
      <c r="L1646" s="43" t="n"/>
      <c r="M1646" s="43" t="n"/>
    </row>
    <row r="1647">
      <c r="A1647" s="43" t="n"/>
      <c r="B1647" s="43" t="n"/>
      <c r="C1647" s="43" t="n"/>
      <c r="D1647" s="43" t="n"/>
      <c r="E1647" s="43" t="n"/>
      <c r="F1647" s="43" t="n"/>
      <c r="G1647" s="43" t="n"/>
      <c r="H1647" s="43" t="n"/>
      <c r="I1647" s="43" t="n"/>
      <c r="J1647" s="43" t="n"/>
      <c r="K1647" s="43" t="n"/>
      <c r="L1647" s="43" t="n"/>
      <c r="M1647" s="43" t="n"/>
    </row>
    <row r="1648">
      <c r="A1648" s="43" t="n"/>
      <c r="B1648" s="43" t="n"/>
      <c r="C1648" s="43" t="n"/>
      <c r="D1648" s="43" t="n"/>
      <c r="E1648" s="43" t="n"/>
      <c r="F1648" s="43" t="n"/>
      <c r="G1648" s="43" t="n"/>
      <c r="H1648" s="43" t="n"/>
      <c r="I1648" s="43" t="n"/>
      <c r="J1648" s="43" t="n"/>
      <c r="K1648" s="43" t="n"/>
      <c r="L1648" s="43" t="n"/>
      <c r="M1648" s="43" t="n"/>
    </row>
    <row r="1649">
      <c r="A1649" s="43" t="n"/>
      <c r="B1649" s="43" t="n"/>
      <c r="C1649" s="43" t="n"/>
      <c r="D1649" s="43" t="n"/>
      <c r="E1649" s="43" t="n"/>
      <c r="F1649" s="43" t="n"/>
      <c r="G1649" s="43" t="n"/>
      <c r="H1649" s="43" t="n"/>
      <c r="I1649" s="43" t="n"/>
      <c r="J1649" s="43" t="n"/>
      <c r="K1649" s="43" t="n"/>
      <c r="L1649" s="43" t="n"/>
      <c r="M1649" s="43" t="n"/>
    </row>
    <row r="1650">
      <c r="A1650" s="43" t="n"/>
      <c r="B1650" s="43" t="n"/>
      <c r="C1650" s="43" t="n"/>
      <c r="D1650" s="43" t="n"/>
      <c r="E1650" s="43" t="n"/>
      <c r="F1650" s="43" t="n"/>
      <c r="G1650" s="43" t="n"/>
      <c r="H1650" s="43" t="n"/>
      <c r="I1650" s="43" t="n"/>
      <c r="J1650" s="43" t="n"/>
      <c r="K1650" s="43" t="n"/>
      <c r="L1650" s="43" t="n"/>
      <c r="M1650" s="43" t="n"/>
    </row>
    <row r="1651">
      <c r="A1651" s="43" t="n"/>
      <c r="B1651" s="43" t="n"/>
      <c r="C1651" s="43" t="n"/>
      <c r="D1651" s="43" t="n"/>
      <c r="E1651" s="43" t="n"/>
      <c r="F1651" s="43" t="n"/>
      <c r="G1651" s="43" t="n"/>
      <c r="H1651" s="43" t="n"/>
      <c r="I1651" s="43" t="n"/>
      <c r="J1651" s="43" t="n"/>
      <c r="K1651" s="43" t="n"/>
      <c r="L1651" s="43" t="n"/>
      <c r="M1651" s="43" t="n"/>
    </row>
    <row r="1652">
      <c r="A1652" s="43" t="n"/>
      <c r="B1652" s="43" t="n"/>
      <c r="C1652" s="43" t="n"/>
      <c r="D1652" s="43" t="n"/>
      <c r="E1652" s="43" t="n"/>
      <c r="F1652" s="43" t="n"/>
      <c r="G1652" s="43" t="n"/>
      <c r="H1652" s="43" t="n"/>
      <c r="I1652" s="43" t="n"/>
      <c r="J1652" s="43" t="n"/>
      <c r="K1652" s="43" t="n"/>
      <c r="L1652" s="43" t="n"/>
      <c r="M1652" s="43" t="n"/>
    </row>
    <row r="1653">
      <c r="A1653" s="43" t="n"/>
      <c r="B1653" s="43" t="n"/>
      <c r="C1653" s="43" t="n"/>
      <c r="D1653" s="43" t="n"/>
      <c r="E1653" s="43" t="n"/>
      <c r="F1653" s="43" t="n"/>
      <c r="G1653" s="43" t="n"/>
      <c r="H1653" s="43" t="n"/>
      <c r="I1653" s="43" t="n"/>
      <c r="J1653" s="43" t="n"/>
      <c r="K1653" s="43" t="n"/>
      <c r="L1653" s="43" t="n"/>
      <c r="M1653" s="43" t="n"/>
    </row>
    <row r="1654">
      <c r="A1654" s="43" t="n"/>
      <c r="B1654" s="43" t="n"/>
      <c r="C1654" s="43" t="n"/>
      <c r="D1654" s="43" t="n"/>
      <c r="E1654" s="43" t="n"/>
      <c r="F1654" s="43" t="n"/>
      <c r="G1654" s="43" t="n"/>
      <c r="H1654" s="43" t="n"/>
      <c r="I1654" s="43" t="n"/>
      <c r="J1654" s="43" t="n"/>
      <c r="K1654" s="43" t="n"/>
      <c r="L1654" s="43" t="n"/>
      <c r="M1654" s="43" t="n"/>
    </row>
    <row r="1655">
      <c r="A1655" s="43" t="n"/>
      <c r="B1655" s="43" t="n"/>
      <c r="C1655" s="43" t="n"/>
      <c r="D1655" s="43" t="n"/>
      <c r="E1655" s="43" t="n"/>
      <c r="F1655" s="43" t="n"/>
      <c r="G1655" s="43" t="n"/>
      <c r="H1655" s="43" t="n"/>
      <c r="I1655" s="43" t="n"/>
      <c r="J1655" s="43" t="n"/>
      <c r="K1655" s="43" t="n"/>
      <c r="L1655" s="43" t="n"/>
      <c r="M1655" s="43" t="n"/>
    </row>
    <row r="1656">
      <c r="A1656" s="43" t="n"/>
      <c r="B1656" s="43" t="n"/>
      <c r="C1656" s="43" t="n"/>
      <c r="D1656" s="43" t="n"/>
      <c r="E1656" s="43" t="n"/>
      <c r="F1656" s="43" t="n"/>
      <c r="G1656" s="43" t="n"/>
      <c r="H1656" s="43" t="n"/>
      <c r="I1656" s="43" t="n"/>
      <c r="J1656" s="43" t="n"/>
      <c r="K1656" s="43" t="n"/>
      <c r="L1656" s="43" t="n"/>
      <c r="M1656" s="43" t="n"/>
    </row>
    <row r="1657">
      <c r="A1657" s="43" t="n"/>
      <c r="B1657" s="43" t="n"/>
      <c r="C1657" s="43" t="n"/>
      <c r="D1657" s="43" t="n"/>
      <c r="E1657" s="43" t="n"/>
      <c r="F1657" s="43" t="n"/>
      <c r="G1657" s="43" t="n"/>
      <c r="H1657" s="43" t="n"/>
      <c r="I1657" s="43" t="n"/>
      <c r="J1657" s="43" t="n"/>
      <c r="K1657" s="43" t="n"/>
      <c r="L1657" s="43" t="n"/>
      <c r="M1657" s="43" t="n"/>
    </row>
    <row r="1658">
      <c r="A1658" s="43" t="n"/>
      <c r="B1658" s="43" t="n"/>
      <c r="C1658" s="43" t="n"/>
      <c r="D1658" s="43" t="n"/>
      <c r="E1658" s="43" t="n"/>
      <c r="F1658" s="43" t="n"/>
      <c r="G1658" s="43" t="n"/>
      <c r="H1658" s="43" t="n"/>
      <c r="I1658" s="43" t="n"/>
      <c r="J1658" s="43" t="n"/>
      <c r="K1658" s="43" t="n"/>
      <c r="L1658" s="43" t="n"/>
      <c r="M1658" s="43" t="n"/>
    </row>
    <row r="1659">
      <c r="A1659" s="43" t="n"/>
      <c r="B1659" s="43" t="n"/>
      <c r="C1659" s="43" t="n"/>
      <c r="D1659" s="43" t="n"/>
      <c r="E1659" s="43" t="n"/>
      <c r="F1659" s="43" t="n"/>
      <c r="G1659" s="43" t="n"/>
      <c r="H1659" s="43" t="n"/>
      <c r="I1659" s="43" t="n"/>
      <c r="J1659" s="43" t="n"/>
      <c r="K1659" s="43" t="n"/>
      <c r="L1659" s="43" t="n"/>
      <c r="M1659" s="43" t="n"/>
    </row>
    <row r="1660">
      <c r="A1660" s="43" t="n"/>
      <c r="B1660" s="43" t="n"/>
      <c r="C1660" s="43" t="n"/>
      <c r="D1660" s="43" t="n"/>
      <c r="E1660" s="43" t="n"/>
      <c r="F1660" s="43" t="n"/>
      <c r="G1660" s="43" t="n"/>
      <c r="H1660" s="43" t="n"/>
      <c r="I1660" s="43" t="n"/>
      <c r="J1660" s="43" t="n"/>
      <c r="K1660" s="43" t="n"/>
      <c r="L1660" s="43" t="n"/>
      <c r="M1660" s="43" t="n"/>
    </row>
    <row r="1661">
      <c r="A1661" s="43" t="n"/>
      <c r="B1661" s="43" t="n"/>
      <c r="C1661" s="43" t="n"/>
      <c r="D1661" s="43" t="n"/>
      <c r="E1661" s="43" t="n"/>
      <c r="F1661" s="43" t="n"/>
      <c r="G1661" s="43" t="n"/>
      <c r="H1661" s="43" t="n"/>
      <c r="I1661" s="43" t="n"/>
      <c r="J1661" s="43" t="n"/>
      <c r="K1661" s="43" t="n"/>
      <c r="L1661" s="43" t="n"/>
      <c r="M1661" s="43" t="n"/>
    </row>
    <row r="1662">
      <c r="A1662" s="43" t="n"/>
      <c r="B1662" s="43" t="n"/>
      <c r="C1662" s="43" t="n"/>
      <c r="D1662" s="43" t="n"/>
      <c r="E1662" s="43" t="n"/>
      <c r="F1662" s="43" t="n"/>
      <c r="G1662" s="43" t="n"/>
      <c r="H1662" s="43" t="n"/>
      <c r="I1662" s="43" t="n"/>
      <c r="J1662" s="43" t="n"/>
      <c r="K1662" s="43" t="n"/>
      <c r="L1662" s="43" t="n"/>
      <c r="M1662" s="43" t="n"/>
    </row>
    <row r="1663">
      <c r="A1663" s="43" t="n"/>
      <c r="B1663" s="43" t="n"/>
      <c r="C1663" s="43" t="n"/>
      <c r="D1663" s="43" t="n"/>
      <c r="E1663" s="43" t="n"/>
      <c r="F1663" s="43" t="n"/>
      <c r="G1663" s="43" t="n"/>
      <c r="H1663" s="43" t="n"/>
      <c r="I1663" s="43" t="n"/>
      <c r="J1663" s="43" t="n"/>
      <c r="K1663" s="43" t="n"/>
      <c r="L1663" s="43" t="n"/>
      <c r="M1663" s="43" t="n"/>
    </row>
    <row r="1664">
      <c r="A1664" s="43" t="n"/>
      <c r="B1664" s="43" t="n"/>
      <c r="C1664" s="43" t="n"/>
      <c r="D1664" s="43" t="n"/>
      <c r="E1664" s="43" t="n"/>
      <c r="F1664" s="43" t="n"/>
      <c r="G1664" s="43" t="n"/>
      <c r="H1664" s="43" t="n"/>
      <c r="I1664" s="43" t="n"/>
      <c r="J1664" s="43" t="n"/>
      <c r="K1664" s="43" t="n"/>
      <c r="L1664" s="43" t="n"/>
      <c r="M1664" s="43" t="n"/>
    </row>
    <row r="1665">
      <c r="A1665" s="43" t="n"/>
      <c r="B1665" s="43" t="n"/>
      <c r="C1665" s="43" t="n"/>
      <c r="D1665" s="43" t="n"/>
      <c r="E1665" s="43" t="n"/>
      <c r="F1665" s="43" t="n"/>
      <c r="G1665" s="43" t="n"/>
      <c r="H1665" s="43" t="n"/>
      <c r="I1665" s="43" t="n"/>
      <c r="J1665" s="43" t="n"/>
      <c r="K1665" s="43" t="n"/>
      <c r="L1665" s="43" t="n"/>
      <c r="M1665" s="43" t="n"/>
    </row>
    <row r="1666">
      <c r="A1666" s="43" t="n"/>
      <c r="B1666" s="43" t="n"/>
      <c r="C1666" s="43" t="n"/>
      <c r="D1666" s="43" t="n"/>
      <c r="E1666" s="43" t="n"/>
      <c r="F1666" s="43" t="n"/>
      <c r="G1666" s="43" t="n"/>
      <c r="H1666" s="43" t="n"/>
      <c r="I1666" s="43" t="n"/>
      <c r="J1666" s="43" t="n"/>
      <c r="K1666" s="43" t="n"/>
      <c r="L1666" s="43" t="n"/>
      <c r="M1666" s="43" t="n"/>
    </row>
    <row r="1667">
      <c r="A1667" s="43" t="n"/>
      <c r="B1667" s="43" t="n"/>
      <c r="C1667" s="43" t="n"/>
      <c r="D1667" s="43" t="n"/>
      <c r="E1667" s="43" t="n"/>
      <c r="F1667" s="43" t="n"/>
      <c r="G1667" s="43" t="n"/>
      <c r="H1667" s="43" t="n"/>
      <c r="I1667" s="43" t="n"/>
      <c r="J1667" s="43" t="n"/>
      <c r="K1667" s="43" t="n"/>
      <c r="L1667" s="43" t="n"/>
      <c r="M1667" s="43" t="n"/>
    </row>
    <row r="1668">
      <c r="A1668" s="43" t="n"/>
      <c r="B1668" s="43" t="n"/>
      <c r="C1668" s="43" t="n"/>
      <c r="D1668" s="43" t="n"/>
      <c r="E1668" s="43" t="n"/>
      <c r="F1668" s="43" t="n"/>
      <c r="G1668" s="43" t="n"/>
      <c r="H1668" s="43" t="n"/>
      <c r="I1668" s="43" t="n"/>
      <c r="J1668" s="43" t="n"/>
      <c r="K1668" s="43" t="n"/>
      <c r="L1668" s="43" t="n"/>
      <c r="M1668" s="43" t="n"/>
    </row>
    <row r="1669">
      <c r="A1669" s="43" t="n"/>
      <c r="B1669" s="43" t="n"/>
      <c r="C1669" s="43" t="n"/>
      <c r="D1669" s="43" t="n"/>
      <c r="E1669" s="43" t="n"/>
      <c r="F1669" s="43" t="n"/>
      <c r="G1669" s="43" t="n"/>
      <c r="H1669" s="43" t="n"/>
      <c r="I1669" s="43" t="n"/>
      <c r="J1669" s="43" t="n"/>
      <c r="K1669" s="43" t="n"/>
      <c r="L1669" s="43" t="n"/>
      <c r="M1669" s="43" t="n"/>
    </row>
    <row r="1670">
      <c r="A1670" s="43" t="n"/>
      <c r="B1670" s="43" t="n"/>
      <c r="C1670" s="43" t="n"/>
      <c r="D1670" s="43" t="n"/>
      <c r="E1670" s="43" t="n"/>
      <c r="F1670" s="43" t="n"/>
      <c r="G1670" s="43" t="n"/>
      <c r="H1670" s="43" t="n"/>
      <c r="I1670" s="43" t="n"/>
      <c r="J1670" s="43" t="n"/>
      <c r="K1670" s="43" t="n"/>
      <c r="L1670" s="43" t="n"/>
      <c r="M1670" s="43" t="n"/>
    </row>
    <row r="1671">
      <c r="A1671" s="43" t="n"/>
      <c r="B1671" s="43" t="n"/>
      <c r="C1671" s="43" t="n"/>
      <c r="D1671" s="43" t="n"/>
      <c r="E1671" s="43" t="n"/>
      <c r="F1671" s="43" t="n"/>
      <c r="G1671" s="43" t="n"/>
      <c r="H1671" s="43" t="n"/>
      <c r="I1671" s="43" t="n"/>
      <c r="J1671" s="43" t="n"/>
      <c r="K1671" s="43" t="n"/>
      <c r="L1671" s="43" t="n"/>
      <c r="M1671" s="43" t="n"/>
    </row>
    <row r="1672">
      <c r="A1672" s="43" t="n"/>
      <c r="B1672" s="43" t="n"/>
      <c r="C1672" s="43" t="n"/>
      <c r="D1672" s="43" t="n"/>
      <c r="E1672" s="43" t="n"/>
      <c r="F1672" s="43" t="n"/>
      <c r="G1672" s="43" t="n"/>
      <c r="H1672" s="43" t="n"/>
      <c r="I1672" s="43" t="n"/>
      <c r="J1672" s="43" t="n"/>
      <c r="K1672" s="43" t="n"/>
      <c r="L1672" s="43" t="n"/>
      <c r="M1672" s="43" t="n"/>
    </row>
    <row r="1673">
      <c r="A1673" s="43" t="n"/>
      <c r="B1673" s="43" t="n"/>
      <c r="C1673" s="43" t="n"/>
      <c r="D1673" s="43" t="n"/>
      <c r="E1673" s="43" t="n"/>
      <c r="F1673" s="43" t="n"/>
      <c r="G1673" s="43" t="n"/>
      <c r="H1673" s="43" t="n"/>
      <c r="I1673" s="43" t="n"/>
      <c r="J1673" s="43" t="n"/>
      <c r="K1673" s="43" t="n"/>
      <c r="L1673" s="43" t="n"/>
      <c r="M1673" s="43" t="n"/>
    </row>
    <row r="1674">
      <c r="A1674" s="43" t="n"/>
      <c r="B1674" s="43" t="n"/>
      <c r="C1674" s="43" t="n"/>
      <c r="D1674" s="43" t="n"/>
      <c r="E1674" s="43" t="n"/>
      <c r="F1674" s="43" t="n"/>
      <c r="G1674" s="43" t="n"/>
      <c r="H1674" s="43" t="n"/>
      <c r="I1674" s="43" t="n"/>
      <c r="J1674" s="43" t="n"/>
      <c r="K1674" s="43" t="n"/>
      <c r="L1674" s="43" t="n"/>
      <c r="M1674" s="43" t="n"/>
    </row>
    <row r="1675">
      <c r="A1675" s="43" t="n"/>
      <c r="B1675" s="43" t="n"/>
      <c r="C1675" s="43" t="n"/>
      <c r="D1675" s="43" t="n"/>
      <c r="E1675" s="43" t="n"/>
      <c r="F1675" s="43" t="n"/>
      <c r="G1675" s="43" t="n"/>
      <c r="H1675" s="43" t="n"/>
      <c r="I1675" s="43" t="n"/>
      <c r="J1675" s="43" t="n"/>
      <c r="K1675" s="43" t="n"/>
      <c r="L1675" s="43" t="n"/>
      <c r="M1675" s="43" t="n"/>
    </row>
    <row r="1676">
      <c r="A1676" s="43" t="n"/>
      <c r="B1676" s="43" t="n"/>
      <c r="C1676" s="43" t="n"/>
      <c r="D1676" s="43" t="n"/>
      <c r="E1676" s="43" t="n"/>
      <c r="F1676" s="43" t="n"/>
      <c r="G1676" s="43" t="n"/>
      <c r="H1676" s="43" t="n"/>
      <c r="I1676" s="43" t="n"/>
      <c r="J1676" s="43" t="n"/>
      <c r="K1676" s="43" t="n"/>
      <c r="L1676" s="43" t="n"/>
      <c r="M1676" s="43" t="n"/>
    </row>
    <row r="1677">
      <c r="A1677" s="43" t="n"/>
      <c r="B1677" s="43" t="n"/>
      <c r="C1677" s="43" t="n"/>
      <c r="D1677" s="43" t="n"/>
      <c r="E1677" s="43" t="n"/>
      <c r="F1677" s="43" t="n"/>
      <c r="G1677" s="43" t="n"/>
      <c r="H1677" s="43" t="n"/>
      <c r="I1677" s="43" t="n"/>
      <c r="J1677" s="43" t="n"/>
      <c r="K1677" s="43" t="n"/>
      <c r="L1677" s="43" t="n"/>
      <c r="M1677" s="43" t="n"/>
    </row>
    <row r="1678">
      <c r="A1678" s="43" t="n"/>
      <c r="B1678" s="43" t="n"/>
      <c r="C1678" s="43" t="n"/>
      <c r="D1678" s="43" t="n"/>
      <c r="E1678" s="43" t="n"/>
      <c r="F1678" s="43" t="n"/>
      <c r="G1678" s="43" t="n"/>
      <c r="H1678" s="43" t="n"/>
      <c r="I1678" s="43" t="n"/>
      <c r="J1678" s="43" t="n"/>
      <c r="K1678" s="43" t="n"/>
      <c r="L1678" s="43" t="n"/>
      <c r="M1678" s="43" t="n"/>
    </row>
    <row r="1679">
      <c r="A1679" s="43" t="n"/>
      <c r="B1679" s="43" t="n"/>
      <c r="C1679" s="43" t="n"/>
      <c r="D1679" s="43" t="n"/>
      <c r="E1679" s="43" t="n"/>
      <c r="F1679" s="43" t="n"/>
      <c r="G1679" s="43" t="n"/>
      <c r="H1679" s="43" t="n"/>
      <c r="I1679" s="43" t="n"/>
      <c r="J1679" s="43" t="n"/>
      <c r="K1679" s="43" t="n"/>
      <c r="L1679" s="43" t="n"/>
      <c r="M1679" s="43" t="n"/>
    </row>
    <row r="1680">
      <c r="A1680" s="43" t="n"/>
      <c r="B1680" s="43" t="n"/>
      <c r="C1680" s="43" t="n"/>
      <c r="D1680" s="43" t="n"/>
      <c r="E1680" s="43" t="n"/>
      <c r="F1680" s="43" t="n"/>
      <c r="G1680" s="43" t="n"/>
      <c r="H1680" s="43" t="n"/>
      <c r="I1680" s="43" t="n"/>
      <c r="J1680" s="43" t="n"/>
      <c r="K1680" s="43" t="n"/>
      <c r="L1680" s="43" t="n"/>
      <c r="M1680" s="43" t="n"/>
    </row>
    <row r="1681">
      <c r="A1681" s="43" t="n"/>
      <c r="B1681" s="43" t="n"/>
      <c r="C1681" s="43" t="n"/>
      <c r="D1681" s="43" t="n"/>
      <c r="E1681" s="43" t="n"/>
      <c r="F1681" s="43" t="n"/>
      <c r="G1681" s="43" t="n"/>
      <c r="H1681" s="43" t="n"/>
      <c r="I1681" s="43" t="n"/>
      <c r="J1681" s="43" t="n"/>
      <c r="K1681" s="43" t="n"/>
      <c r="L1681" s="43" t="n"/>
      <c r="M1681" s="43" t="n"/>
    </row>
    <row r="1682">
      <c r="A1682" s="43" t="n"/>
      <c r="B1682" s="43" t="n"/>
      <c r="C1682" s="43" t="n"/>
      <c r="D1682" s="43" t="n"/>
      <c r="E1682" s="43" t="n"/>
      <c r="F1682" s="43" t="n"/>
      <c r="G1682" s="43" t="n"/>
      <c r="H1682" s="43" t="n"/>
      <c r="I1682" s="43" t="n"/>
      <c r="J1682" s="43" t="n"/>
      <c r="K1682" s="43" t="n"/>
      <c r="L1682" s="43" t="n"/>
      <c r="M1682" s="43" t="n"/>
    </row>
    <row r="1683">
      <c r="A1683" s="43" t="n"/>
      <c r="B1683" s="43" t="n"/>
      <c r="C1683" s="43" t="n"/>
      <c r="D1683" s="43" t="n"/>
      <c r="E1683" s="43" t="n"/>
      <c r="F1683" s="43" t="n"/>
      <c r="G1683" s="43" t="n"/>
      <c r="H1683" s="43" t="n"/>
      <c r="I1683" s="43" t="n"/>
      <c r="J1683" s="43" t="n"/>
      <c r="K1683" s="43" t="n"/>
      <c r="L1683" s="43" t="n"/>
      <c r="M1683" s="43" t="n"/>
    </row>
    <row r="1684">
      <c r="A1684" s="43" t="n"/>
      <c r="B1684" s="43" t="n"/>
      <c r="C1684" s="43" t="n"/>
      <c r="D1684" s="43" t="n"/>
      <c r="E1684" s="43" t="n"/>
      <c r="F1684" s="43" t="n"/>
      <c r="G1684" s="43" t="n"/>
      <c r="H1684" s="43" t="n"/>
      <c r="I1684" s="43" t="n"/>
      <c r="J1684" s="43" t="n"/>
      <c r="K1684" s="43" t="n"/>
      <c r="L1684" s="43" t="n"/>
      <c r="M1684" s="43" t="n"/>
    </row>
    <row r="1685">
      <c r="A1685" s="43" t="n"/>
      <c r="B1685" s="43" t="n"/>
      <c r="C1685" s="43" t="n"/>
      <c r="D1685" s="43" t="n"/>
      <c r="E1685" s="43" t="n"/>
      <c r="F1685" s="43" t="n"/>
      <c r="G1685" s="43" t="n"/>
      <c r="H1685" s="43" t="n"/>
      <c r="I1685" s="43" t="n"/>
      <c r="J1685" s="43" t="n"/>
      <c r="K1685" s="43" t="n"/>
      <c r="L1685" s="43" t="n"/>
      <c r="M1685" s="43" t="n"/>
    </row>
    <row r="1686">
      <c r="A1686" s="43" t="n"/>
      <c r="B1686" s="43" t="n"/>
      <c r="C1686" s="43" t="n"/>
      <c r="D1686" s="43" t="n"/>
      <c r="E1686" s="43" t="n"/>
      <c r="F1686" s="43" t="n"/>
      <c r="G1686" s="43" t="n"/>
      <c r="H1686" s="43" t="n"/>
      <c r="I1686" s="43" t="n"/>
      <c r="J1686" s="43" t="n"/>
      <c r="K1686" s="43" t="n"/>
      <c r="L1686" s="43" t="n"/>
      <c r="M1686" s="43" t="n"/>
    </row>
    <row r="1687">
      <c r="A1687" s="43" t="n"/>
      <c r="B1687" s="43" t="n"/>
      <c r="C1687" s="43" t="n"/>
      <c r="D1687" s="43" t="n"/>
      <c r="E1687" s="43" t="n"/>
      <c r="F1687" s="43" t="n"/>
      <c r="G1687" s="43" t="n"/>
      <c r="H1687" s="43" t="n"/>
      <c r="I1687" s="43" t="n"/>
      <c r="J1687" s="43" t="n"/>
      <c r="K1687" s="43" t="n"/>
      <c r="L1687" s="43" t="n"/>
      <c r="M1687" s="43" t="n"/>
    </row>
    <row r="1688">
      <c r="A1688" s="43" t="n"/>
      <c r="B1688" s="43" t="n"/>
      <c r="C1688" s="43" t="n"/>
      <c r="D1688" s="43" t="n"/>
      <c r="E1688" s="43" t="n"/>
      <c r="F1688" s="43" t="n"/>
      <c r="G1688" s="43" t="n"/>
      <c r="H1688" s="43" t="n"/>
      <c r="I1688" s="43" t="n"/>
      <c r="J1688" s="43" t="n"/>
      <c r="K1688" s="43" t="n"/>
      <c r="L1688" s="43" t="n"/>
      <c r="M1688" s="43" t="n"/>
    </row>
    <row r="1689">
      <c r="A1689" s="43" t="n"/>
      <c r="B1689" s="43" t="n"/>
      <c r="C1689" s="43" t="n"/>
      <c r="D1689" s="43" t="n"/>
      <c r="E1689" s="43" t="n"/>
      <c r="F1689" s="43" t="n"/>
      <c r="G1689" s="43" t="n"/>
      <c r="H1689" s="43" t="n"/>
      <c r="I1689" s="43" t="n"/>
      <c r="J1689" s="43" t="n"/>
      <c r="K1689" s="43" t="n"/>
      <c r="L1689" s="43" t="n"/>
      <c r="M1689" s="43" t="n"/>
    </row>
    <row r="1690">
      <c r="A1690" s="43" t="n"/>
      <c r="B1690" s="43" t="n"/>
      <c r="C1690" s="43" t="n"/>
      <c r="D1690" s="43" t="n"/>
      <c r="E1690" s="43" t="n"/>
      <c r="F1690" s="43" t="n"/>
      <c r="G1690" s="43" t="n"/>
      <c r="H1690" s="43" t="n"/>
      <c r="I1690" s="43" t="n"/>
      <c r="J1690" s="43" t="n"/>
      <c r="K1690" s="43" t="n"/>
      <c r="L1690" s="43" t="n"/>
      <c r="M1690" s="43" t="n"/>
    </row>
    <row r="1691">
      <c r="A1691" s="43" t="n"/>
      <c r="B1691" s="43" t="n"/>
      <c r="C1691" s="43" t="n"/>
      <c r="D1691" s="43" t="n"/>
      <c r="E1691" s="43" t="n"/>
      <c r="F1691" s="43" t="n"/>
      <c r="G1691" s="43" t="n"/>
      <c r="H1691" s="43" t="n"/>
      <c r="I1691" s="43" t="n"/>
      <c r="J1691" s="43" t="n"/>
      <c r="K1691" s="43" t="n"/>
      <c r="L1691" s="43" t="n"/>
      <c r="M1691" s="43" t="n"/>
    </row>
    <row r="1692">
      <c r="A1692" s="43" t="n"/>
      <c r="B1692" s="43" t="n"/>
      <c r="C1692" s="43" t="n"/>
      <c r="D1692" s="43" t="n"/>
      <c r="E1692" s="43" t="n"/>
      <c r="F1692" s="43" t="n"/>
      <c r="G1692" s="43" t="n"/>
      <c r="H1692" s="43" t="n"/>
      <c r="I1692" s="43" t="n"/>
      <c r="J1692" s="43" t="n"/>
      <c r="K1692" s="43" t="n"/>
      <c r="L1692" s="43" t="n"/>
      <c r="M1692" s="43" t="n"/>
    </row>
    <row r="1693">
      <c r="A1693" s="43" t="n"/>
      <c r="B1693" s="43" t="n"/>
      <c r="C1693" s="43" t="n"/>
      <c r="D1693" s="43" t="n"/>
      <c r="E1693" s="43" t="n"/>
      <c r="F1693" s="43" t="n"/>
      <c r="G1693" s="43" t="n"/>
      <c r="H1693" s="43" t="n"/>
      <c r="I1693" s="43" t="n"/>
      <c r="J1693" s="43" t="n"/>
      <c r="K1693" s="43" t="n"/>
      <c r="L1693" s="43" t="n"/>
      <c r="M1693" s="43" t="n"/>
    </row>
    <row r="1694">
      <c r="A1694" s="43" t="n"/>
      <c r="B1694" s="43" t="n"/>
      <c r="C1694" s="43" t="n"/>
      <c r="D1694" s="43" t="n"/>
      <c r="E1694" s="43" t="n"/>
      <c r="F1694" s="43" t="n"/>
      <c r="G1694" s="43" t="n"/>
      <c r="H1694" s="43" t="n"/>
      <c r="I1694" s="43" t="n"/>
      <c r="J1694" s="43" t="n"/>
      <c r="K1694" s="43" t="n"/>
      <c r="L1694" s="43" t="n"/>
      <c r="M1694" s="43" t="n"/>
    </row>
    <row r="1695">
      <c r="A1695" s="43" t="n"/>
      <c r="B1695" s="43" t="n"/>
      <c r="C1695" s="43" t="n"/>
      <c r="D1695" s="43" t="n"/>
      <c r="E1695" s="43" t="n"/>
      <c r="F1695" s="43" t="n"/>
      <c r="G1695" s="43" t="n"/>
      <c r="H1695" s="43" t="n"/>
      <c r="I1695" s="43" t="n"/>
      <c r="J1695" s="43" t="n"/>
      <c r="K1695" s="43" t="n"/>
      <c r="L1695" s="43" t="n"/>
      <c r="M1695" s="43" t="n"/>
    </row>
    <row r="1696">
      <c r="A1696" s="43" t="n"/>
      <c r="B1696" s="43" t="n"/>
      <c r="C1696" s="43" t="n"/>
      <c r="D1696" s="43" t="n"/>
      <c r="E1696" s="43" t="n"/>
      <c r="F1696" s="43" t="n"/>
      <c r="G1696" s="43" t="n"/>
      <c r="H1696" s="43" t="n"/>
      <c r="I1696" s="43" t="n"/>
      <c r="J1696" s="43" t="n"/>
      <c r="K1696" s="43" t="n"/>
      <c r="L1696" s="43" t="n"/>
      <c r="M1696" s="43" t="n"/>
    </row>
    <row r="1697">
      <c r="A1697" s="43" t="n"/>
      <c r="B1697" s="43" t="n"/>
      <c r="C1697" s="43" t="n"/>
      <c r="D1697" s="43" t="n"/>
      <c r="E1697" s="43" t="n"/>
      <c r="F1697" s="43" t="n"/>
      <c r="G1697" s="43" t="n"/>
      <c r="H1697" s="43" t="n"/>
      <c r="I1697" s="43" t="n"/>
      <c r="J1697" s="43" t="n"/>
      <c r="K1697" s="43" t="n"/>
      <c r="L1697" s="43" t="n"/>
      <c r="M1697" s="43" t="n"/>
    </row>
    <row r="1698">
      <c r="A1698" s="43" t="n"/>
      <c r="B1698" s="43" t="n"/>
      <c r="C1698" s="43" t="n"/>
      <c r="D1698" s="43" t="n"/>
      <c r="E1698" s="43" t="n"/>
      <c r="F1698" s="43" t="n"/>
      <c r="G1698" s="43" t="n"/>
      <c r="H1698" s="43" t="n"/>
      <c r="I1698" s="43" t="n"/>
      <c r="J1698" s="43" t="n"/>
      <c r="K1698" s="43" t="n"/>
      <c r="L1698" s="43" t="n"/>
      <c r="M1698" s="43" t="n"/>
    </row>
    <row r="1699">
      <c r="A1699" s="43" t="n"/>
      <c r="B1699" s="43" t="n"/>
      <c r="C1699" s="43" t="n"/>
      <c r="D1699" s="43" t="n"/>
      <c r="E1699" s="43" t="n"/>
      <c r="F1699" s="43" t="n"/>
      <c r="G1699" s="43" t="n"/>
      <c r="H1699" s="43" t="n"/>
      <c r="I1699" s="43" t="n"/>
      <c r="J1699" s="43" t="n"/>
      <c r="K1699" s="43" t="n"/>
      <c r="L1699" s="43" t="n"/>
      <c r="M1699" s="43" t="n"/>
    </row>
    <row r="1700">
      <c r="A1700" s="43" t="n"/>
      <c r="B1700" s="43" t="n"/>
      <c r="C1700" s="43" t="n"/>
      <c r="D1700" s="43" t="n"/>
      <c r="E1700" s="43" t="n"/>
      <c r="F1700" s="43" t="n"/>
      <c r="G1700" s="43" t="n"/>
      <c r="H1700" s="43" t="n"/>
      <c r="I1700" s="43" t="n"/>
      <c r="J1700" s="43" t="n"/>
      <c r="K1700" s="43" t="n"/>
      <c r="L1700" s="43" t="n"/>
      <c r="M1700" s="43" t="n"/>
    </row>
  </sheetData>
  <mergeCells count="2">
    <mergeCell ref="A2:M2"/>
    <mergeCell ref="A1:M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L311"/>
  <sheetViews>
    <sheetView workbookViewId="0">
      <selection activeCell="A1" sqref="A1"/>
    </sheetView>
  </sheetViews>
  <sheetFormatPr baseColWidth="8" defaultRowHeight="15"/>
  <sheetData>
    <row r="1">
      <c r="A1" s="235" t="inlineStr">
        <is>
          <t>ガラス凡例継承マップ｜同一価格表セクション｜サーモスL v0.6</t>
        </is>
      </c>
      <c r="B1" s="41" t="n"/>
      <c r="C1" s="41" t="n"/>
      <c r="D1" s="41" t="n"/>
      <c r="E1" s="41" t="n"/>
      <c r="F1" s="41" t="n"/>
      <c r="G1" s="41" t="n"/>
      <c r="H1" s="41" t="n"/>
      <c r="I1" s="41" t="n"/>
      <c r="J1" s="41" t="n"/>
      <c r="K1" s="41" t="n"/>
      <c r="L1" s="41" t="n"/>
    </row>
    <row r="2">
      <c r="A2" s="44" t="inlineStr">
        <is>
          <t>凡例が次ページに掲載される価格表と、前ページ凡例を継続する価格表をセクション単位で明示。</t>
        </is>
      </c>
      <c r="B2" s="41" t="n"/>
      <c r="C2" s="41" t="n"/>
      <c r="D2" s="41" t="n"/>
      <c r="E2" s="41" t="n"/>
      <c r="F2" s="41" t="n"/>
      <c r="G2" s="41" t="n"/>
      <c r="H2" s="41" t="n"/>
      <c r="I2" s="41" t="n"/>
      <c r="J2" s="41" t="n"/>
      <c r="K2" s="41" t="n"/>
      <c r="L2" s="41" t="n"/>
    </row>
    <row r="3">
      <c r="A3" s="120" t="inlineStr">
        <is>
          <t>map_id</t>
        </is>
      </c>
      <c r="B3" s="120" t="inlineStr">
        <is>
          <t>対象誌面頁</t>
        </is>
      </c>
      <c r="C3" s="120" t="inlineStr">
        <is>
          <t>記号</t>
        </is>
      </c>
      <c r="D3" s="120" t="inlineStr">
        <is>
          <t>セクション開始</t>
        </is>
      </c>
      <c r="E3" s="120" t="inlineStr">
        <is>
          <t>セクション終了</t>
        </is>
      </c>
      <c r="F3" s="120" t="inlineStr">
        <is>
          <t>セクション</t>
        </is>
      </c>
      <c r="G3" s="120" t="inlineStr">
        <is>
          <t>凡例参照頁</t>
        </is>
      </c>
      <c r="H3" s="120" t="inlineStr">
        <is>
          <t>凡例キー</t>
        </is>
      </c>
      <c r="I3" s="120" t="inlineStr">
        <is>
          <t>継承方向</t>
        </is>
      </c>
      <c r="J3" s="120" t="inlineStr">
        <is>
          <t>確定状態</t>
        </is>
      </c>
      <c r="K3" s="120" t="inlineStr">
        <is>
          <t>出典</t>
        </is>
      </c>
      <c r="L3" s="120" t="inlineStr">
        <is>
          <t>一次資料URL</t>
        </is>
      </c>
    </row>
    <row r="4">
      <c r="A4" t="inlineStr">
        <is>
          <t>GLMAP-SL-0001</t>
        </is>
      </c>
      <c r="B4" t="n">
        <v>6</v>
      </c>
      <c r="C4" t="inlineStr">
        <is>
          <t>無印</t>
        </is>
      </c>
      <c r="D4" t="n">
        <v>6</v>
      </c>
      <c r="E4" t="n">
        <v>7</v>
      </c>
      <c r="F4" t="inlineStr">
        <is>
          <t>引違い窓 │単体引違い窓 / （在来・204）マド①</t>
        </is>
      </c>
      <c r="G4" t="n">
        <v>6</v>
      </c>
      <c r="H4" t="inlineStr">
        <is>
          <t>P6|無印</t>
        </is>
      </c>
      <c r="I4" t="inlineStr">
        <is>
          <t>same_page</t>
        </is>
      </c>
      <c r="J4" t="inlineStr">
        <is>
          <t>同頁凡例へ直接連動</t>
        </is>
      </c>
      <c r="K4" t="inlineStr">
        <is>
          <t>202604_LIXIL_サーモスＬ_業務用資料集_完成品価格表.pdf</t>
        </is>
      </c>
      <c r="L4" t="inlineStr">
        <is>
          <t>https://drive.google.com/file/d/1YUN-mtWYs48YBUHJk0C3vJXnhjyZFHyf/view</t>
        </is>
      </c>
    </row>
    <row r="5">
      <c r="A5" t="inlineStr">
        <is>
          <t>GLMAP-SL-0002</t>
        </is>
      </c>
      <c r="B5" t="n">
        <v>7</v>
      </c>
      <c r="C5" t="inlineStr">
        <is>
          <t>無印</t>
        </is>
      </c>
      <c r="D5" t="n">
        <v>6</v>
      </c>
      <c r="E5" t="n">
        <v>7</v>
      </c>
      <c r="F5" t="inlineStr">
        <is>
          <t>引違い窓 │単体引違い窓 / （在来・204）マド①</t>
        </is>
      </c>
      <c r="G5" t="n">
        <v>6</v>
      </c>
      <c r="H5" t="inlineStr">
        <is>
          <t>P6|無印</t>
        </is>
      </c>
      <c r="I5" t="inlineStr">
        <is>
          <t>previous_in_same_section</t>
        </is>
      </c>
      <c r="J5" t="inlineStr">
        <is>
          <t>同一価格表・前頁凡例を継承</t>
        </is>
      </c>
      <c r="K5" t="inlineStr">
        <is>
          <t>202604_LIXIL_サーモスＬ_業務用資料集_完成品価格表.pdf</t>
        </is>
      </c>
      <c r="L5" t="inlineStr">
        <is>
          <t>https://drive.google.com/file/d/1YUN-mtWYs48YBUHJk0C3vJXnhjyZFHyf/view</t>
        </is>
      </c>
    </row>
    <row r="6">
      <c r="A6" t="inlineStr">
        <is>
          <t>GLMAP-SL-0003</t>
        </is>
      </c>
      <c r="B6" t="n">
        <v>8</v>
      </c>
      <c r="C6" t="inlineStr">
        <is>
          <t>無印</t>
        </is>
      </c>
      <c r="D6" t="n">
        <v>8</v>
      </c>
      <c r="E6" t="n">
        <v>9</v>
      </c>
      <c r="F6" t="inlineStr">
        <is>
          <t>引違い窓 │単体引違い窓 / （在来・204）マド②</t>
        </is>
      </c>
      <c r="G6" t="n">
        <v>8</v>
      </c>
      <c r="H6" t="inlineStr">
        <is>
          <t>P8|無印</t>
        </is>
      </c>
      <c r="I6" t="inlineStr">
        <is>
          <t>same_page</t>
        </is>
      </c>
      <c r="J6" t="inlineStr">
        <is>
          <t>同頁凡例へ直接連動</t>
        </is>
      </c>
      <c r="K6" t="inlineStr">
        <is>
          <t>202604_LIXIL_サーモスＬ_業務用資料集_完成品価格表.pdf</t>
        </is>
      </c>
      <c r="L6" t="inlineStr">
        <is>
          <t>https://drive.google.com/file/d/1YUN-mtWYs48YBUHJk0C3vJXnhjyZFHyf/view</t>
        </is>
      </c>
    </row>
    <row r="7">
      <c r="A7" t="inlineStr">
        <is>
          <t>GLMAP-SL-0004</t>
        </is>
      </c>
      <c r="B7" t="n">
        <v>9</v>
      </c>
      <c r="C7" t="inlineStr">
        <is>
          <t>○</t>
        </is>
      </c>
      <c r="D7" t="n">
        <v>8</v>
      </c>
      <c r="E7" t="n">
        <v>9</v>
      </c>
      <c r="F7" t="inlineStr">
        <is>
          <t>引違い窓 │単体引違い窓 / （在来・204）マド②</t>
        </is>
      </c>
      <c r="G7" t="n">
        <v>8</v>
      </c>
      <c r="H7" t="inlineStr">
        <is>
          <t>P8|○</t>
        </is>
      </c>
      <c r="I7" t="inlineStr">
        <is>
          <t>previous_in_same_section</t>
        </is>
      </c>
      <c r="J7" t="inlineStr">
        <is>
          <t>同一価格表・前頁凡例を継承</t>
        </is>
      </c>
      <c r="K7" t="inlineStr">
        <is>
          <t>202604_LIXIL_サーモスＬ_業務用資料集_完成品価格表.pdf</t>
        </is>
      </c>
      <c r="L7" t="inlineStr">
        <is>
          <t>https://drive.google.com/file/d/1YUN-mtWYs48YBUHJk0C3vJXnhjyZFHyf/view</t>
        </is>
      </c>
    </row>
    <row r="8">
      <c r="A8" t="inlineStr">
        <is>
          <t>GLMAP-SL-0005</t>
        </is>
      </c>
      <c r="B8" t="n">
        <v>9</v>
      </c>
      <c r="C8" t="inlineStr">
        <is>
          <t>無印</t>
        </is>
      </c>
      <c r="D8" t="n">
        <v>8</v>
      </c>
      <c r="E8" t="n">
        <v>9</v>
      </c>
      <c r="F8" t="inlineStr">
        <is>
          <t>引違い窓 │単体引違い窓 / （在来・204）マド②</t>
        </is>
      </c>
      <c r="G8" t="n">
        <v>8</v>
      </c>
      <c r="H8" t="inlineStr">
        <is>
          <t>P8|無印</t>
        </is>
      </c>
      <c r="I8" t="inlineStr">
        <is>
          <t>previous_in_same_section</t>
        </is>
      </c>
      <c r="J8" t="inlineStr">
        <is>
          <t>同一価格表・前頁凡例を継承</t>
        </is>
      </c>
      <c r="K8" t="inlineStr">
        <is>
          <t>202604_LIXIL_サーモスＬ_業務用資料集_完成品価格表.pdf</t>
        </is>
      </c>
      <c r="L8" t="inlineStr">
        <is>
          <t>https://drive.google.com/file/d/1YUN-mtWYs48YBUHJk0C3vJXnhjyZFHyf/view</t>
        </is>
      </c>
    </row>
    <row r="9">
      <c r="A9" t="inlineStr">
        <is>
          <t>GLMAP-SL-0006</t>
        </is>
      </c>
      <c r="B9" t="n">
        <v>10</v>
      </c>
      <c r="C9" t="inlineStr">
        <is>
          <t>無印</t>
        </is>
      </c>
      <c r="D9" t="n">
        <v>10</v>
      </c>
      <c r="E9" t="n">
        <v>11</v>
      </c>
      <c r="F9" t="inlineStr">
        <is>
          <t>引違い窓 │単体引違い窓 / （在来・204）マド③</t>
        </is>
      </c>
      <c r="G9" t="n">
        <v>10</v>
      </c>
      <c r="H9" t="inlineStr">
        <is>
          <t>P10|無印</t>
        </is>
      </c>
      <c r="I9" t="inlineStr">
        <is>
          <t>same_page</t>
        </is>
      </c>
      <c r="J9" t="inlineStr">
        <is>
          <t>同頁凡例へ直接連動</t>
        </is>
      </c>
      <c r="K9" t="inlineStr">
        <is>
          <t>202604_LIXIL_サーモスＬ_業務用資料集_完成品価格表.pdf</t>
        </is>
      </c>
      <c r="L9" t="inlineStr">
        <is>
          <t>https://drive.google.com/file/d/1YUN-mtWYs48YBUHJk0C3vJXnhjyZFHyf/view</t>
        </is>
      </c>
    </row>
    <row r="10">
      <c r="A10" t="inlineStr">
        <is>
          <t>GLMAP-SL-0007</t>
        </is>
      </c>
      <c r="B10" t="n">
        <v>11</v>
      </c>
      <c r="C10" t="inlineStr">
        <is>
          <t>○</t>
        </is>
      </c>
      <c r="D10" t="n">
        <v>10</v>
      </c>
      <c r="E10" t="n">
        <v>11</v>
      </c>
      <c r="F10" t="inlineStr">
        <is>
          <t>引違い窓 │単体引違い窓 / （在来・204）マド③</t>
        </is>
      </c>
      <c r="G10" t="n">
        <v>10</v>
      </c>
      <c r="H10" t="inlineStr">
        <is>
          <t>P10|○</t>
        </is>
      </c>
      <c r="I10" t="inlineStr">
        <is>
          <t>previous_in_same_section</t>
        </is>
      </c>
      <c r="J10" t="inlineStr">
        <is>
          <t>同一価格表・前頁凡例を継承</t>
        </is>
      </c>
      <c r="K10" t="inlineStr">
        <is>
          <t>202604_LIXIL_サーモスＬ_業務用資料集_完成品価格表.pdf</t>
        </is>
      </c>
      <c r="L10" t="inlineStr">
        <is>
          <t>https://drive.google.com/file/d/1YUN-mtWYs48YBUHJk0C3vJXnhjyZFHyf/view</t>
        </is>
      </c>
    </row>
    <row r="11">
      <c r="A11" t="inlineStr">
        <is>
          <t>GLMAP-SL-0008</t>
        </is>
      </c>
      <c r="B11" t="n">
        <v>11</v>
      </c>
      <c r="C11" t="inlineStr">
        <is>
          <t>無印</t>
        </is>
      </c>
      <c r="D11" t="n">
        <v>10</v>
      </c>
      <c r="E11" t="n">
        <v>11</v>
      </c>
      <c r="F11" t="inlineStr">
        <is>
          <t>引違い窓 │単体引違い窓 / （在来・204）マド③</t>
        </is>
      </c>
      <c r="G11" t="n">
        <v>10</v>
      </c>
      <c r="H11" t="inlineStr">
        <is>
          <t>P10|無印</t>
        </is>
      </c>
      <c r="I11" t="inlineStr">
        <is>
          <t>previous_in_same_section</t>
        </is>
      </c>
      <c r="J11" t="inlineStr">
        <is>
          <t>同一価格表・前頁凡例を継承</t>
        </is>
      </c>
      <c r="K11" t="inlineStr">
        <is>
          <t>202604_LIXIL_サーモスＬ_業務用資料集_完成品価格表.pdf</t>
        </is>
      </c>
      <c r="L11" t="inlineStr">
        <is>
          <t>https://drive.google.com/file/d/1YUN-mtWYs48YBUHJk0C3vJXnhjyZFHyf/view</t>
        </is>
      </c>
    </row>
    <row r="12">
      <c r="A12" t="inlineStr">
        <is>
          <t>GLMAP-SL-0009</t>
        </is>
      </c>
      <c r="B12" t="n">
        <v>12</v>
      </c>
      <c r="C12" t="inlineStr">
        <is>
          <t>○</t>
        </is>
      </c>
      <c r="D12" t="n">
        <v>12</v>
      </c>
      <c r="E12" t="n">
        <v>13</v>
      </c>
      <c r="F12" t="inlineStr">
        <is>
          <t>引違い窓 │単体引違い窓 / （在来・204）マド④</t>
        </is>
      </c>
      <c r="G12" t="n">
        <v>12</v>
      </c>
      <c r="H12" t="inlineStr">
        <is>
          <t>P12|○</t>
        </is>
      </c>
      <c r="I12" t="inlineStr">
        <is>
          <t>same_page</t>
        </is>
      </c>
      <c r="J12" t="inlineStr">
        <is>
          <t>同頁凡例へ直接連動</t>
        </is>
      </c>
      <c r="K12" t="inlineStr">
        <is>
          <t>202604_LIXIL_サーモスＬ_業務用資料集_完成品価格表.pdf</t>
        </is>
      </c>
      <c r="L12" t="inlineStr">
        <is>
          <t>https://drive.google.com/file/d/1YUN-mtWYs48YBUHJk0C3vJXnhjyZFHyf/view</t>
        </is>
      </c>
    </row>
    <row r="13">
      <c r="A13" t="inlineStr">
        <is>
          <t>GLMAP-SL-0010</t>
        </is>
      </c>
      <c r="B13" t="n">
        <v>12</v>
      </c>
      <c r="C13" t="inlineStr">
        <is>
          <t>★</t>
        </is>
      </c>
      <c r="D13" t="n">
        <v>12</v>
      </c>
      <c r="E13" t="n">
        <v>13</v>
      </c>
      <c r="F13" t="inlineStr">
        <is>
          <t>引違い窓 │単体引違い窓 / （在来・204）マド④</t>
        </is>
      </c>
      <c r="G13" t="n">
        <v>12</v>
      </c>
      <c r="H13" t="inlineStr">
        <is>
          <t>P12|★</t>
        </is>
      </c>
      <c r="I13" t="inlineStr">
        <is>
          <t>same_page</t>
        </is>
      </c>
      <c r="J13" t="inlineStr">
        <is>
          <t>同頁凡例へ直接連動</t>
        </is>
      </c>
      <c r="K13" t="inlineStr">
        <is>
          <t>202604_LIXIL_サーモスＬ_業務用資料集_完成品価格表.pdf</t>
        </is>
      </c>
      <c r="L13" t="inlineStr">
        <is>
          <t>https://drive.google.com/file/d/1YUN-mtWYs48YBUHJk0C3vJXnhjyZFHyf/view</t>
        </is>
      </c>
    </row>
    <row r="14">
      <c r="A14" t="inlineStr">
        <is>
          <t>GLMAP-SL-0011</t>
        </is>
      </c>
      <c r="B14" t="n">
        <v>12</v>
      </c>
      <c r="C14" t="inlineStr">
        <is>
          <t>無印</t>
        </is>
      </c>
      <c r="D14" t="n">
        <v>12</v>
      </c>
      <c r="E14" t="n">
        <v>13</v>
      </c>
      <c r="F14" t="inlineStr">
        <is>
          <t>引違い窓 │単体引違い窓 / （在来・204）マド④</t>
        </is>
      </c>
      <c r="G14" t="n">
        <v>12</v>
      </c>
      <c r="H14" t="inlineStr">
        <is>
          <t>P12|無印</t>
        </is>
      </c>
      <c r="I14" t="inlineStr">
        <is>
          <t>same_page</t>
        </is>
      </c>
      <c r="J14" t="inlineStr">
        <is>
          <t>同頁凡例へ直接連動</t>
        </is>
      </c>
      <c r="K14" t="inlineStr">
        <is>
          <t>202604_LIXIL_サーモスＬ_業務用資料集_完成品価格表.pdf</t>
        </is>
      </c>
      <c r="L14" t="inlineStr">
        <is>
          <t>https://drive.google.com/file/d/1YUN-mtWYs48YBUHJk0C3vJXnhjyZFHyf/view</t>
        </is>
      </c>
    </row>
    <row r="15">
      <c r="A15" t="inlineStr">
        <is>
          <t>GLMAP-SL-0012</t>
        </is>
      </c>
      <c r="B15" t="n">
        <v>13</v>
      </c>
      <c r="C15" t="inlineStr">
        <is>
          <t>●</t>
        </is>
      </c>
      <c r="D15" t="n">
        <v>12</v>
      </c>
      <c r="E15" t="n">
        <v>13</v>
      </c>
      <c r="F15" t="inlineStr">
        <is>
          <t>引違い窓 │単体引違い窓 / （在来・204）マド④</t>
        </is>
      </c>
      <c r="G15" t="n">
        <v>12</v>
      </c>
      <c r="H15" t="inlineStr">
        <is>
          <t>P12|●</t>
        </is>
      </c>
      <c r="I15" t="inlineStr">
        <is>
          <t>previous_in_same_section</t>
        </is>
      </c>
      <c r="J15" t="inlineStr">
        <is>
          <t>同一価格表・前頁凡例を継承</t>
        </is>
      </c>
      <c r="K15" t="inlineStr">
        <is>
          <t>202604_LIXIL_サーモスＬ_業務用資料集_完成品価格表.pdf</t>
        </is>
      </c>
      <c r="L15" t="inlineStr">
        <is>
          <t>https://drive.google.com/file/d/1YUN-mtWYs48YBUHJk0C3vJXnhjyZFHyf/view</t>
        </is>
      </c>
    </row>
    <row r="16">
      <c r="A16" t="inlineStr">
        <is>
          <t>GLMAP-SL-0013</t>
        </is>
      </c>
      <c r="B16" t="n">
        <v>13</v>
      </c>
      <c r="C16" t="inlineStr">
        <is>
          <t>★</t>
        </is>
      </c>
      <c r="D16" t="n">
        <v>12</v>
      </c>
      <c r="E16" t="n">
        <v>13</v>
      </c>
      <c r="F16" t="inlineStr">
        <is>
          <t>引違い窓 │単体引違い窓 / （在来・204）マド④</t>
        </is>
      </c>
      <c r="G16" t="n">
        <v>12</v>
      </c>
      <c r="H16" t="inlineStr">
        <is>
          <t>P12|★</t>
        </is>
      </c>
      <c r="I16" t="inlineStr">
        <is>
          <t>previous_in_same_section</t>
        </is>
      </c>
      <c r="J16" t="inlineStr">
        <is>
          <t>同一価格表・前頁凡例を継承</t>
        </is>
      </c>
      <c r="K16" t="inlineStr">
        <is>
          <t>202604_LIXIL_サーモスＬ_業務用資料集_完成品価格表.pdf</t>
        </is>
      </c>
      <c r="L16" t="inlineStr">
        <is>
          <t>https://drive.google.com/file/d/1YUN-mtWYs48YBUHJk0C3vJXnhjyZFHyf/view</t>
        </is>
      </c>
    </row>
    <row r="17">
      <c r="A17" t="inlineStr">
        <is>
          <t>GLMAP-SL-0014</t>
        </is>
      </c>
      <c r="B17" t="n">
        <v>13</v>
      </c>
      <c r="C17" t="inlineStr">
        <is>
          <t>☆</t>
        </is>
      </c>
      <c r="D17" t="n">
        <v>12</v>
      </c>
      <c r="E17" t="n">
        <v>13</v>
      </c>
      <c r="F17" t="inlineStr">
        <is>
          <t>引違い窓 │単体引違い窓 / （在来・204）マド④</t>
        </is>
      </c>
      <c r="G17" t="n">
        <v>12</v>
      </c>
      <c r="H17" t="inlineStr">
        <is>
          <t>P12|☆</t>
        </is>
      </c>
      <c r="I17" t="inlineStr">
        <is>
          <t>previous_in_same_section</t>
        </is>
      </c>
      <c r="J17" t="inlineStr">
        <is>
          <t>同一価格表・前頁凡例を継承</t>
        </is>
      </c>
      <c r="K17" t="inlineStr">
        <is>
          <t>202604_LIXIL_サーモスＬ_業務用資料集_完成品価格表.pdf</t>
        </is>
      </c>
      <c r="L17" t="inlineStr">
        <is>
          <t>https://drive.google.com/file/d/1YUN-mtWYs48YBUHJk0C3vJXnhjyZFHyf/view</t>
        </is>
      </c>
    </row>
    <row r="18">
      <c r="A18" t="inlineStr">
        <is>
          <t>GLMAP-SL-0015</t>
        </is>
      </c>
      <c r="B18" t="n">
        <v>13</v>
      </c>
      <c r="C18" t="inlineStr">
        <is>
          <t>無印</t>
        </is>
      </c>
      <c r="D18" t="n">
        <v>12</v>
      </c>
      <c r="E18" t="n">
        <v>13</v>
      </c>
      <c r="F18" t="inlineStr">
        <is>
          <t>引違い窓 │単体引違い窓 / （在来・204）マド④</t>
        </is>
      </c>
      <c r="G18" t="n">
        <v>12</v>
      </c>
      <c r="H18" t="inlineStr">
        <is>
          <t>P12|無印</t>
        </is>
      </c>
      <c r="I18" t="inlineStr">
        <is>
          <t>previous_in_same_section</t>
        </is>
      </c>
      <c r="J18" t="inlineStr">
        <is>
          <t>同一価格表・前頁凡例を継承</t>
        </is>
      </c>
      <c r="K18" t="inlineStr">
        <is>
          <t>202604_LIXIL_サーモスＬ_業務用資料集_完成品価格表.pdf</t>
        </is>
      </c>
      <c r="L18" t="inlineStr">
        <is>
          <t>https://drive.google.com/file/d/1YUN-mtWYs48YBUHJk0C3vJXnhjyZFHyf/view</t>
        </is>
      </c>
    </row>
    <row r="19">
      <c r="A19" t="inlineStr">
        <is>
          <t>GLMAP-SL-0016</t>
        </is>
      </c>
      <c r="B19" t="n">
        <v>14</v>
      </c>
      <c r="C19" t="inlineStr">
        <is>
          <t>▲</t>
        </is>
      </c>
      <c r="D19" t="n">
        <v>14</v>
      </c>
      <c r="E19" t="n">
        <v>15</v>
      </c>
      <c r="F19" t="inlineStr">
        <is>
          <t>引違い窓 │単体引違い窓 / （在来）テラス①</t>
        </is>
      </c>
      <c r="G19" t="n">
        <v>15</v>
      </c>
      <c r="H19" t="inlineStr">
        <is>
          <t>P15|▲</t>
        </is>
      </c>
      <c r="I19" t="inlineStr">
        <is>
          <t>next_in_same_section</t>
        </is>
      </c>
      <c r="J19" t="inlineStr">
        <is>
          <t>同一価格表・次頁凡例を継承</t>
        </is>
      </c>
      <c r="K19" t="inlineStr">
        <is>
          <t>202604_LIXIL_サーモスＬ_業務用資料集_完成品価格表.pdf</t>
        </is>
      </c>
      <c r="L19" t="inlineStr">
        <is>
          <t>https://drive.google.com/file/d/1YUN-mtWYs48YBUHJk0C3vJXnhjyZFHyf/view</t>
        </is>
      </c>
    </row>
    <row r="20">
      <c r="A20" t="inlineStr">
        <is>
          <t>GLMAP-SL-0017</t>
        </is>
      </c>
      <c r="B20" t="n">
        <v>14</v>
      </c>
      <c r="C20" t="inlineStr">
        <is>
          <t>○</t>
        </is>
      </c>
      <c r="D20" t="n">
        <v>14</v>
      </c>
      <c r="E20" t="n">
        <v>15</v>
      </c>
      <c r="F20" t="inlineStr">
        <is>
          <t>引違い窓 │単体引違い窓 / （在来）テラス①</t>
        </is>
      </c>
      <c r="G20" t="n">
        <v>15</v>
      </c>
      <c r="H20" t="inlineStr">
        <is>
          <t>P15|○</t>
        </is>
      </c>
      <c r="I20" t="inlineStr">
        <is>
          <t>next_in_same_section</t>
        </is>
      </c>
      <c r="J20" t="inlineStr">
        <is>
          <t>同一価格表・次頁凡例を継承</t>
        </is>
      </c>
      <c r="K20" t="inlineStr">
        <is>
          <t>202604_LIXIL_サーモスＬ_業務用資料集_完成品価格表.pdf</t>
        </is>
      </c>
      <c r="L20" t="inlineStr">
        <is>
          <t>https://drive.google.com/file/d/1YUN-mtWYs48YBUHJk0C3vJXnhjyZFHyf/view</t>
        </is>
      </c>
    </row>
    <row r="21">
      <c r="A21" t="inlineStr">
        <is>
          <t>GLMAP-SL-0018</t>
        </is>
      </c>
      <c r="B21" t="n">
        <v>14</v>
      </c>
      <c r="C21" t="inlineStr">
        <is>
          <t>★</t>
        </is>
      </c>
      <c r="D21" t="n">
        <v>14</v>
      </c>
      <c r="E21" t="n">
        <v>15</v>
      </c>
      <c r="F21" t="inlineStr">
        <is>
          <t>引違い窓 │単体引違い窓 / （在来）テラス①</t>
        </is>
      </c>
      <c r="G21" t="n">
        <v>15</v>
      </c>
      <c r="H21" t="inlineStr">
        <is>
          <t>P15|★</t>
        </is>
      </c>
      <c r="I21" t="inlineStr">
        <is>
          <t>next_in_same_section</t>
        </is>
      </c>
      <c r="J21" t="inlineStr">
        <is>
          <t>同一価格表・次頁凡例を継承</t>
        </is>
      </c>
      <c r="K21" t="inlineStr">
        <is>
          <t>202604_LIXIL_サーモスＬ_業務用資料集_完成品価格表.pdf</t>
        </is>
      </c>
      <c r="L21" t="inlineStr">
        <is>
          <t>https://drive.google.com/file/d/1YUN-mtWYs48YBUHJk0C3vJXnhjyZFHyf/view</t>
        </is>
      </c>
    </row>
    <row r="22">
      <c r="A22" t="inlineStr">
        <is>
          <t>GLMAP-SL-0019</t>
        </is>
      </c>
      <c r="B22" t="n">
        <v>14</v>
      </c>
      <c r="C22" t="inlineStr">
        <is>
          <t>無印</t>
        </is>
      </c>
      <c r="D22" t="n">
        <v>14</v>
      </c>
      <c r="E22" t="n">
        <v>15</v>
      </c>
      <c r="F22" t="inlineStr">
        <is>
          <t>引違い窓 │単体引違い窓 / （在来）テラス①</t>
        </is>
      </c>
      <c r="G22" t="n">
        <v>15</v>
      </c>
      <c r="H22" t="inlineStr">
        <is>
          <t>P15|無印</t>
        </is>
      </c>
      <c r="I22" t="inlineStr">
        <is>
          <t>next_in_same_section</t>
        </is>
      </c>
      <c r="J22" t="inlineStr">
        <is>
          <t>同一価格表・次頁凡例を継承</t>
        </is>
      </c>
      <c r="K22" t="inlineStr">
        <is>
          <t>202604_LIXIL_サーモスＬ_業務用資料集_完成品価格表.pdf</t>
        </is>
      </c>
      <c r="L22" t="inlineStr">
        <is>
          <t>https://drive.google.com/file/d/1YUN-mtWYs48YBUHJk0C3vJXnhjyZFHyf/view</t>
        </is>
      </c>
    </row>
    <row r="23">
      <c r="A23" t="inlineStr">
        <is>
          <t>GLMAP-SL-0020</t>
        </is>
      </c>
      <c r="B23" t="n">
        <v>15</v>
      </c>
      <c r="C23" t="inlineStr">
        <is>
          <t>△</t>
        </is>
      </c>
      <c r="D23" t="n">
        <v>14</v>
      </c>
      <c r="E23" t="n">
        <v>15</v>
      </c>
      <c r="F23" t="inlineStr">
        <is>
          <t>引違い窓 │単体引違い窓 / （在来）テラス①</t>
        </is>
      </c>
      <c r="G23" t="n">
        <v>15</v>
      </c>
      <c r="H23" t="inlineStr">
        <is>
          <t>P15|△</t>
        </is>
      </c>
      <c r="I23" t="inlineStr">
        <is>
          <t>same_page</t>
        </is>
      </c>
      <c r="J23" t="inlineStr">
        <is>
          <t>同頁凡例へ直接連動</t>
        </is>
      </c>
      <c r="K23" t="inlineStr">
        <is>
          <t>202604_LIXIL_サーモスＬ_業務用資料集_完成品価格表.pdf</t>
        </is>
      </c>
      <c r="L23" t="inlineStr">
        <is>
          <t>https://drive.google.com/file/d/1YUN-mtWYs48YBUHJk0C3vJXnhjyZFHyf/view</t>
        </is>
      </c>
    </row>
    <row r="24">
      <c r="A24" t="inlineStr">
        <is>
          <t>GLMAP-SL-0021</t>
        </is>
      </c>
      <c r="B24" t="n">
        <v>15</v>
      </c>
      <c r="C24" t="inlineStr">
        <is>
          <t>★</t>
        </is>
      </c>
      <c r="D24" t="n">
        <v>14</v>
      </c>
      <c r="E24" t="n">
        <v>15</v>
      </c>
      <c r="F24" t="inlineStr">
        <is>
          <t>引違い窓 │単体引違い窓 / （在来）テラス①</t>
        </is>
      </c>
      <c r="G24" t="n">
        <v>15</v>
      </c>
      <c r="H24" t="inlineStr">
        <is>
          <t>P15|★</t>
        </is>
      </c>
      <c r="I24" t="inlineStr">
        <is>
          <t>same_page</t>
        </is>
      </c>
      <c r="J24" t="inlineStr">
        <is>
          <t>同頁凡例へ直接連動</t>
        </is>
      </c>
      <c r="K24" t="inlineStr">
        <is>
          <t>202604_LIXIL_サーモスＬ_業務用資料集_完成品価格表.pdf</t>
        </is>
      </c>
      <c r="L24" t="inlineStr">
        <is>
          <t>https://drive.google.com/file/d/1YUN-mtWYs48YBUHJk0C3vJXnhjyZFHyf/view</t>
        </is>
      </c>
    </row>
    <row r="25">
      <c r="A25" t="inlineStr">
        <is>
          <t>GLMAP-SL-0022</t>
        </is>
      </c>
      <c r="B25" t="n">
        <v>15</v>
      </c>
      <c r="C25" t="inlineStr">
        <is>
          <t>無印</t>
        </is>
      </c>
      <c r="D25" t="n">
        <v>14</v>
      </c>
      <c r="E25" t="n">
        <v>15</v>
      </c>
      <c r="F25" t="inlineStr">
        <is>
          <t>引違い窓 │単体引違い窓 / （在来）テラス①</t>
        </is>
      </c>
      <c r="G25" t="n">
        <v>15</v>
      </c>
      <c r="H25" t="inlineStr">
        <is>
          <t>P15|無印</t>
        </is>
      </c>
      <c r="I25" t="inlineStr">
        <is>
          <t>same_page</t>
        </is>
      </c>
      <c r="J25" t="inlineStr">
        <is>
          <t>同頁凡例へ直接連動</t>
        </is>
      </c>
      <c r="K25" t="inlineStr">
        <is>
          <t>202604_LIXIL_サーモスＬ_業務用資料集_完成品価格表.pdf</t>
        </is>
      </c>
      <c r="L25" t="inlineStr">
        <is>
          <t>https://drive.google.com/file/d/1YUN-mtWYs48YBUHJk0C3vJXnhjyZFHyf/view</t>
        </is>
      </c>
    </row>
    <row r="26">
      <c r="A26" t="inlineStr">
        <is>
          <t>GLMAP-SL-0023</t>
        </is>
      </c>
      <c r="B26" t="n">
        <v>16</v>
      </c>
      <c r="C26" t="inlineStr">
        <is>
          <t>◆</t>
        </is>
      </c>
      <c r="D26" t="n">
        <v>16</v>
      </c>
      <c r="E26" t="n">
        <v>17</v>
      </c>
      <c r="F26" t="inlineStr">
        <is>
          <t>引違い窓 │単体引違い窓 / （在来）テラス②</t>
        </is>
      </c>
      <c r="G26" t="n">
        <v>17</v>
      </c>
      <c r="H26" t="inlineStr">
        <is>
          <t>P17|◆</t>
        </is>
      </c>
      <c r="I26" t="inlineStr">
        <is>
          <t>next_in_same_section</t>
        </is>
      </c>
      <c r="J26" t="inlineStr">
        <is>
          <t>同一価格表・次頁凡例を継承</t>
        </is>
      </c>
      <c r="K26" t="inlineStr">
        <is>
          <t>202604_LIXIL_サーモスＬ_業務用資料集_完成品価格表.pdf</t>
        </is>
      </c>
      <c r="L26" t="inlineStr">
        <is>
          <t>https://drive.google.com/file/d/1YUN-mtWYs48YBUHJk0C3vJXnhjyZFHyf/view</t>
        </is>
      </c>
    </row>
    <row r="27">
      <c r="A27" t="inlineStr">
        <is>
          <t>GLMAP-SL-0024</t>
        </is>
      </c>
      <c r="B27" t="n">
        <v>16</v>
      </c>
      <c r="C27" t="inlineStr">
        <is>
          <t>★</t>
        </is>
      </c>
      <c r="D27" t="n">
        <v>16</v>
      </c>
      <c r="E27" t="n">
        <v>17</v>
      </c>
      <c r="F27" t="inlineStr">
        <is>
          <t>引違い窓 │単体引違い窓 / （在来）テラス②</t>
        </is>
      </c>
      <c r="G27" t="n">
        <v>17</v>
      </c>
      <c r="H27" t="inlineStr">
        <is>
          <t>P17|★</t>
        </is>
      </c>
      <c r="I27" t="inlineStr">
        <is>
          <t>next_in_same_section</t>
        </is>
      </c>
      <c r="J27" t="inlineStr">
        <is>
          <t>同一価格表・次頁凡例を継承</t>
        </is>
      </c>
      <c r="K27" t="inlineStr">
        <is>
          <t>202604_LIXIL_サーモスＬ_業務用資料集_完成品価格表.pdf</t>
        </is>
      </c>
      <c r="L27" t="inlineStr">
        <is>
          <t>https://drive.google.com/file/d/1YUN-mtWYs48YBUHJk0C3vJXnhjyZFHyf/view</t>
        </is>
      </c>
    </row>
    <row r="28">
      <c r="A28" t="inlineStr">
        <is>
          <t>GLMAP-SL-0025</t>
        </is>
      </c>
      <c r="B28" t="n">
        <v>16</v>
      </c>
      <c r="C28" t="inlineStr">
        <is>
          <t>☆</t>
        </is>
      </c>
      <c r="D28" t="n">
        <v>16</v>
      </c>
      <c r="E28" t="n">
        <v>17</v>
      </c>
      <c r="F28" t="inlineStr">
        <is>
          <t>引違い窓 │単体引違い窓 / （在来）テラス②</t>
        </is>
      </c>
      <c r="G28" t="n">
        <v>17</v>
      </c>
      <c r="H28" t="inlineStr">
        <is>
          <t>P17|☆</t>
        </is>
      </c>
      <c r="I28" t="inlineStr">
        <is>
          <t>next_in_same_section</t>
        </is>
      </c>
      <c r="J28" t="inlineStr">
        <is>
          <t>同一価格表・次頁凡例を継承</t>
        </is>
      </c>
      <c r="K28" t="inlineStr">
        <is>
          <t>202604_LIXIL_サーモスＬ_業務用資料集_完成品価格表.pdf</t>
        </is>
      </c>
      <c r="L28" t="inlineStr">
        <is>
          <t>https://drive.google.com/file/d/1YUN-mtWYs48YBUHJk0C3vJXnhjyZFHyf/view</t>
        </is>
      </c>
    </row>
    <row r="29">
      <c r="A29" t="inlineStr">
        <is>
          <t>GLMAP-SL-0026</t>
        </is>
      </c>
      <c r="B29" t="n">
        <v>16</v>
      </c>
      <c r="C29" t="inlineStr">
        <is>
          <t>無印</t>
        </is>
      </c>
      <c r="D29" t="n">
        <v>16</v>
      </c>
      <c r="E29" t="n">
        <v>17</v>
      </c>
      <c r="F29" t="inlineStr">
        <is>
          <t>引違い窓 │単体引違い窓 / （在来）テラス②</t>
        </is>
      </c>
      <c r="G29" t="n">
        <v>17</v>
      </c>
      <c r="H29" t="inlineStr">
        <is>
          <t>P17|無印</t>
        </is>
      </c>
      <c r="I29" t="inlineStr">
        <is>
          <t>next_in_same_section</t>
        </is>
      </c>
      <c r="J29" t="inlineStr">
        <is>
          <t>同一価格表・次頁凡例を継承</t>
        </is>
      </c>
      <c r="K29" t="inlineStr">
        <is>
          <t>202604_LIXIL_サーモスＬ_業務用資料集_完成品価格表.pdf</t>
        </is>
      </c>
      <c r="L29" t="inlineStr">
        <is>
          <t>https://drive.google.com/file/d/1YUN-mtWYs48YBUHJk0C3vJXnhjyZFHyf/view</t>
        </is>
      </c>
    </row>
    <row r="30">
      <c r="A30" t="inlineStr">
        <is>
          <t>GLMAP-SL-0027</t>
        </is>
      </c>
      <c r="B30" t="n">
        <v>17</v>
      </c>
      <c r="C30" t="inlineStr">
        <is>
          <t>◆</t>
        </is>
      </c>
      <c r="D30" t="n">
        <v>16</v>
      </c>
      <c r="E30" t="n">
        <v>17</v>
      </c>
      <c r="F30" t="inlineStr">
        <is>
          <t>引違い窓 │単体引違い窓 / （在来）テラス②</t>
        </is>
      </c>
      <c r="G30" t="n">
        <v>17</v>
      </c>
      <c r="H30" t="inlineStr">
        <is>
          <t>P17|◆</t>
        </is>
      </c>
      <c r="I30" t="inlineStr">
        <is>
          <t>same_page</t>
        </is>
      </c>
      <c r="J30" t="inlineStr">
        <is>
          <t>同頁凡例へ直接連動</t>
        </is>
      </c>
      <c r="K30" t="inlineStr">
        <is>
          <t>202604_LIXIL_サーモスＬ_業務用資料集_完成品価格表.pdf</t>
        </is>
      </c>
      <c r="L30" t="inlineStr">
        <is>
          <t>https://drive.google.com/file/d/1YUN-mtWYs48YBUHJk0C3vJXnhjyZFHyf/view</t>
        </is>
      </c>
    </row>
    <row r="31">
      <c r="A31" t="inlineStr">
        <is>
          <t>GLMAP-SL-0028</t>
        </is>
      </c>
      <c r="B31" t="n">
        <v>17</v>
      </c>
      <c r="C31" t="inlineStr">
        <is>
          <t>★</t>
        </is>
      </c>
      <c r="D31" t="n">
        <v>16</v>
      </c>
      <c r="E31" t="n">
        <v>17</v>
      </c>
      <c r="F31" t="inlineStr">
        <is>
          <t>引違い窓 │単体引違い窓 / （在来）テラス②</t>
        </is>
      </c>
      <c r="G31" t="n">
        <v>17</v>
      </c>
      <c r="H31" t="inlineStr">
        <is>
          <t>P17|★</t>
        </is>
      </c>
      <c r="I31" t="inlineStr">
        <is>
          <t>same_page</t>
        </is>
      </c>
      <c r="J31" t="inlineStr">
        <is>
          <t>同頁凡例へ直接連動</t>
        </is>
      </c>
      <c r="K31" t="inlineStr">
        <is>
          <t>202604_LIXIL_サーモスＬ_業務用資料集_完成品価格表.pdf</t>
        </is>
      </c>
      <c r="L31" t="inlineStr">
        <is>
          <t>https://drive.google.com/file/d/1YUN-mtWYs48YBUHJk0C3vJXnhjyZFHyf/view</t>
        </is>
      </c>
    </row>
    <row r="32">
      <c r="A32" t="inlineStr">
        <is>
          <t>GLMAP-SL-0029</t>
        </is>
      </c>
      <c r="B32" t="n">
        <v>17</v>
      </c>
      <c r="C32" t="inlineStr">
        <is>
          <t>無印</t>
        </is>
      </c>
      <c r="D32" t="n">
        <v>16</v>
      </c>
      <c r="E32" t="n">
        <v>17</v>
      </c>
      <c r="F32" t="inlineStr">
        <is>
          <t>引違い窓 │単体引違い窓 / （在来）テラス②</t>
        </is>
      </c>
      <c r="G32" t="n">
        <v>17</v>
      </c>
      <c r="H32" t="inlineStr">
        <is>
          <t>P17|無印</t>
        </is>
      </c>
      <c r="I32" t="inlineStr">
        <is>
          <t>same_page</t>
        </is>
      </c>
      <c r="J32" t="inlineStr">
        <is>
          <t>同頁凡例へ直接連動</t>
        </is>
      </c>
      <c r="K32" t="inlineStr">
        <is>
          <t>202604_LIXIL_サーモスＬ_業務用資料集_完成品価格表.pdf</t>
        </is>
      </c>
      <c r="L32" t="inlineStr">
        <is>
          <t>https://drive.google.com/file/d/1YUN-mtWYs48YBUHJk0C3vJXnhjyZFHyf/view</t>
        </is>
      </c>
    </row>
    <row r="33">
      <c r="A33" t="inlineStr">
        <is>
          <t>GLMAP-SL-0030</t>
        </is>
      </c>
      <c r="B33" t="n">
        <v>18</v>
      </c>
      <c r="C33" t="inlineStr">
        <is>
          <t>★</t>
        </is>
      </c>
      <c r="D33" t="n">
        <v>18</v>
      </c>
      <c r="E33" t="n">
        <v>19</v>
      </c>
      <c r="F33" t="inlineStr">
        <is>
          <t>引違い窓 │単体引違い窓 / （在来）テラス③</t>
        </is>
      </c>
      <c r="G33" t="n">
        <v>19</v>
      </c>
      <c r="H33" t="inlineStr">
        <is>
          <t>P19|★</t>
        </is>
      </c>
      <c r="I33" t="inlineStr">
        <is>
          <t>next_in_same_section</t>
        </is>
      </c>
      <c r="J33" t="inlineStr">
        <is>
          <t>同一価格表・次頁凡例を継承</t>
        </is>
      </c>
      <c r="K33" t="inlineStr">
        <is>
          <t>202604_LIXIL_サーモスＬ_業務用資料集_完成品価格表.pdf</t>
        </is>
      </c>
      <c r="L33" t="inlineStr">
        <is>
          <t>https://drive.google.com/file/d/1YUN-mtWYs48YBUHJk0C3vJXnhjyZFHyf/view</t>
        </is>
      </c>
    </row>
    <row r="34">
      <c r="A34" t="inlineStr">
        <is>
          <t>GLMAP-SL-0031</t>
        </is>
      </c>
      <c r="B34" t="n">
        <v>18</v>
      </c>
      <c r="C34" t="inlineStr">
        <is>
          <t>無印</t>
        </is>
      </c>
      <c r="D34" t="n">
        <v>18</v>
      </c>
      <c r="E34" t="n">
        <v>19</v>
      </c>
      <c r="F34" t="inlineStr">
        <is>
          <t>引違い窓 │単体引違い窓 / （在来）テラス③</t>
        </is>
      </c>
      <c r="G34" t="n">
        <v>19</v>
      </c>
      <c r="H34" t="inlineStr">
        <is>
          <t>P19|無印</t>
        </is>
      </c>
      <c r="I34" t="inlineStr">
        <is>
          <t>next_in_same_section</t>
        </is>
      </c>
      <c r="J34" t="inlineStr">
        <is>
          <t>同一価格表・次頁凡例を継承</t>
        </is>
      </c>
      <c r="K34" t="inlineStr">
        <is>
          <t>202604_LIXIL_サーモスＬ_業務用資料集_完成品価格表.pdf</t>
        </is>
      </c>
      <c r="L34" t="inlineStr">
        <is>
          <t>https://drive.google.com/file/d/1YUN-mtWYs48YBUHJk0C3vJXnhjyZFHyf/view</t>
        </is>
      </c>
    </row>
    <row r="35">
      <c r="A35" t="inlineStr">
        <is>
          <t>GLMAP-SL-0032</t>
        </is>
      </c>
      <c r="B35" t="n">
        <v>19</v>
      </c>
      <c r="C35" t="inlineStr">
        <is>
          <t>★</t>
        </is>
      </c>
      <c r="D35" t="n">
        <v>18</v>
      </c>
      <c r="E35" t="n">
        <v>19</v>
      </c>
      <c r="F35" t="inlineStr">
        <is>
          <t>引違い窓 │単体引違い窓 / （在来）テラス③</t>
        </is>
      </c>
      <c r="G35" t="n">
        <v>19</v>
      </c>
      <c r="H35" t="inlineStr">
        <is>
          <t>P19|★</t>
        </is>
      </c>
      <c r="I35" t="inlineStr">
        <is>
          <t>same_page</t>
        </is>
      </c>
      <c r="J35" t="inlineStr">
        <is>
          <t>同頁凡例へ直接連動</t>
        </is>
      </c>
      <c r="K35" t="inlineStr">
        <is>
          <t>202604_LIXIL_サーモスＬ_業務用資料集_完成品価格表.pdf</t>
        </is>
      </c>
      <c r="L35" t="inlineStr">
        <is>
          <t>https://drive.google.com/file/d/1YUN-mtWYs48YBUHJk0C3vJXnhjyZFHyf/view</t>
        </is>
      </c>
    </row>
    <row r="36">
      <c r="A36" t="inlineStr">
        <is>
          <t>GLMAP-SL-0033</t>
        </is>
      </c>
      <c r="B36" t="n">
        <v>19</v>
      </c>
      <c r="C36" t="inlineStr">
        <is>
          <t>☆</t>
        </is>
      </c>
      <c r="D36" t="n">
        <v>18</v>
      </c>
      <c r="E36" t="n">
        <v>19</v>
      </c>
      <c r="F36" t="inlineStr">
        <is>
          <t>引違い窓 │単体引違い窓 / （在来）テラス③</t>
        </is>
      </c>
      <c r="G36" t="n">
        <v>19</v>
      </c>
      <c r="H36" t="inlineStr">
        <is>
          <t>P19|☆</t>
        </is>
      </c>
      <c r="I36" t="inlineStr">
        <is>
          <t>same_page</t>
        </is>
      </c>
      <c r="J36" t="inlineStr">
        <is>
          <t>同頁凡例へ直接連動</t>
        </is>
      </c>
      <c r="K36" t="inlineStr">
        <is>
          <t>202604_LIXIL_サーモスＬ_業務用資料集_完成品価格表.pdf</t>
        </is>
      </c>
      <c r="L36" t="inlineStr">
        <is>
          <t>https://drive.google.com/file/d/1YUN-mtWYs48YBUHJk0C3vJXnhjyZFHyf/view</t>
        </is>
      </c>
    </row>
    <row r="37">
      <c r="A37" t="inlineStr">
        <is>
          <t>GLMAP-SL-0034</t>
        </is>
      </c>
      <c r="B37" t="n">
        <v>19</v>
      </c>
      <c r="C37" t="inlineStr">
        <is>
          <t>無印</t>
        </is>
      </c>
      <c r="D37" t="n">
        <v>18</v>
      </c>
      <c r="E37" t="n">
        <v>19</v>
      </c>
      <c r="F37" t="inlineStr">
        <is>
          <t>引違い窓 │単体引違い窓 / （在来）テラス③</t>
        </is>
      </c>
      <c r="G37" t="n">
        <v>19</v>
      </c>
      <c r="H37" t="inlineStr">
        <is>
          <t>P19|無印</t>
        </is>
      </c>
      <c r="I37" t="inlineStr">
        <is>
          <t>same_page</t>
        </is>
      </c>
      <c r="J37" t="inlineStr">
        <is>
          <t>同頁凡例へ直接連動</t>
        </is>
      </c>
      <c r="K37" t="inlineStr">
        <is>
          <t>202604_LIXIL_サーモスＬ_業務用資料集_完成品価格表.pdf</t>
        </is>
      </c>
      <c r="L37" t="inlineStr">
        <is>
          <t>https://drive.google.com/file/d/1YUN-mtWYs48YBUHJk0C3vJXnhjyZFHyf/view</t>
        </is>
      </c>
    </row>
    <row r="38">
      <c r="A38" t="inlineStr">
        <is>
          <t>GLMAP-SL-0035</t>
        </is>
      </c>
      <c r="B38" t="n">
        <v>20</v>
      </c>
      <c r="C38" t="inlineStr">
        <is>
          <t>◆</t>
        </is>
      </c>
      <c r="D38" t="n">
        <v>20</v>
      </c>
      <c r="E38" t="n">
        <v>21</v>
      </c>
      <c r="F38" t="inlineStr">
        <is>
          <t>引違い窓 │単体引違い窓 / （在来）テラス④</t>
        </is>
      </c>
      <c r="G38" t="n">
        <v>21</v>
      </c>
      <c r="H38" t="inlineStr">
        <is>
          <t>P21|◆</t>
        </is>
      </c>
      <c r="I38" t="inlineStr">
        <is>
          <t>next_in_same_section</t>
        </is>
      </c>
      <c r="J38" t="inlineStr">
        <is>
          <t>同一価格表・次頁凡例を継承</t>
        </is>
      </c>
      <c r="K38" t="inlineStr">
        <is>
          <t>202604_LIXIL_サーモスＬ_業務用資料集_完成品価格表.pdf</t>
        </is>
      </c>
      <c r="L38" t="inlineStr">
        <is>
          <t>https://drive.google.com/file/d/1YUN-mtWYs48YBUHJk0C3vJXnhjyZFHyf/view</t>
        </is>
      </c>
    </row>
    <row r="39">
      <c r="A39" t="inlineStr">
        <is>
          <t>GLMAP-SL-0036</t>
        </is>
      </c>
      <c r="B39" t="n">
        <v>20</v>
      </c>
      <c r="C39" t="inlineStr">
        <is>
          <t>●</t>
        </is>
      </c>
      <c r="D39" t="n">
        <v>20</v>
      </c>
      <c r="E39" t="n">
        <v>21</v>
      </c>
      <c r="F39" t="inlineStr">
        <is>
          <t>引違い窓 │単体引違い窓 / （在来）テラス④</t>
        </is>
      </c>
      <c r="G39" t="n">
        <v>21</v>
      </c>
      <c r="H39" t="inlineStr">
        <is>
          <t>P21|●</t>
        </is>
      </c>
      <c r="I39" t="inlineStr">
        <is>
          <t>next_in_same_section</t>
        </is>
      </c>
      <c r="J39" t="inlineStr">
        <is>
          <t>同一価格表・次頁凡例を継承</t>
        </is>
      </c>
      <c r="K39" t="inlineStr">
        <is>
          <t>202604_LIXIL_サーモスＬ_業務用資料集_完成品価格表.pdf</t>
        </is>
      </c>
      <c r="L39" t="inlineStr">
        <is>
          <t>https://drive.google.com/file/d/1YUN-mtWYs48YBUHJk0C3vJXnhjyZFHyf/view</t>
        </is>
      </c>
    </row>
    <row r="40">
      <c r="A40" t="inlineStr">
        <is>
          <t>GLMAP-SL-0037</t>
        </is>
      </c>
      <c r="B40" t="n">
        <v>20</v>
      </c>
      <c r="C40" t="inlineStr">
        <is>
          <t>★</t>
        </is>
      </c>
      <c r="D40" t="n">
        <v>20</v>
      </c>
      <c r="E40" t="n">
        <v>21</v>
      </c>
      <c r="F40" t="inlineStr">
        <is>
          <t>引違い窓 │単体引違い窓 / （在来）テラス④</t>
        </is>
      </c>
      <c r="G40" t="n">
        <v>21</v>
      </c>
      <c r="H40" t="inlineStr">
        <is>
          <t>P21|★</t>
        </is>
      </c>
      <c r="I40" t="inlineStr">
        <is>
          <t>next_in_same_section</t>
        </is>
      </c>
      <c r="J40" t="inlineStr">
        <is>
          <t>同一価格表・次頁凡例を継承</t>
        </is>
      </c>
      <c r="K40" t="inlineStr">
        <is>
          <t>202604_LIXIL_サーモスＬ_業務用資料集_完成品価格表.pdf</t>
        </is>
      </c>
      <c r="L40" t="inlineStr">
        <is>
          <t>https://drive.google.com/file/d/1YUN-mtWYs48YBUHJk0C3vJXnhjyZFHyf/view</t>
        </is>
      </c>
    </row>
    <row r="41">
      <c r="A41" t="inlineStr">
        <is>
          <t>GLMAP-SL-0038</t>
        </is>
      </c>
      <c r="B41" t="n">
        <v>20</v>
      </c>
      <c r="C41" t="inlineStr">
        <is>
          <t>☆</t>
        </is>
      </c>
      <c r="D41" t="n">
        <v>20</v>
      </c>
      <c r="E41" t="n">
        <v>21</v>
      </c>
      <c r="F41" t="inlineStr">
        <is>
          <t>引違い窓 │単体引違い窓 / （在来）テラス④</t>
        </is>
      </c>
      <c r="G41" t="n">
        <v>21</v>
      </c>
      <c r="H41" t="inlineStr">
        <is>
          <t>P21|☆</t>
        </is>
      </c>
      <c r="I41" t="inlineStr">
        <is>
          <t>next_in_same_section</t>
        </is>
      </c>
      <c r="J41" t="inlineStr">
        <is>
          <t>同一価格表・次頁凡例を継承</t>
        </is>
      </c>
      <c r="K41" t="inlineStr">
        <is>
          <t>202604_LIXIL_サーモスＬ_業務用資料集_完成品価格表.pdf</t>
        </is>
      </c>
      <c r="L41" t="inlineStr">
        <is>
          <t>https://drive.google.com/file/d/1YUN-mtWYs48YBUHJk0C3vJXnhjyZFHyf/view</t>
        </is>
      </c>
    </row>
    <row r="42">
      <c r="A42" t="inlineStr">
        <is>
          <t>GLMAP-SL-0039</t>
        </is>
      </c>
      <c r="B42" t="n">
        <v>20</v>
      </c>
      <c r="C42" t="inlineStr">
        <is>
          <t>無印</t>
        </is>
      </c>
      <c r="D42" t="n">
        <v>20</v>
      </c>
      <c r="E42" t="n">
        <v>21</v>
      </c>
      <c r="F42" t="inlineStr">
        <is>
          <t>引違い窓 │単体引違い窓 / （在来）テラス④</t>
        </is>
      </c>
      <c r="G42" t="n">
        <v>21</v>
      </c>
      <c r="H42" t="inlineStr">
        <is>
          <t>P21|無印</t>
        </is>
      </c>
      <c r="I42" t="inlineStr">
        <is>
          <t>next_in_same_section</t>
        </is>
      </c>
      <c r="J42" t="inlineStr">
        <is>
          <t>同一価格表・次頁凡例を継承</t>
        </is>
      </c>
      <c r="K42" t="inlineStr">
        <is>
          <t>202604_LIXIL_サーモスＬ_業務用資料集_完成品価格表.pdf</t>
        </is>
      </c>
      <c r="L42" t="inlineStr">
        <is>
          <t>https://drive.google.com/file/d/1YUN-mtWYs48YBUHJk0C3vJXnhjyZFHyf/view</t>
        </is>
      </c>
    </row>
    <row r="43">
      <c r="A43" t="inlineStr">
        <is>
          <t>GLMAP-SL-0040</t>
        </is>
      </c>
      <c r="B43" t="n">
        <v>21</v>
      </c>
      <c r="C43" t="inlineStr">
        <is>
          <t>◆</t>
        </is>
      </c>
      <c r="D43" t="n">
        <v>20</v>
      </c>
      <c r="E43" t="n">
        <v>21</v>
      </c>
      <c r="F43" t="inlineStr">
        <is>
          <t>引違い窓 │単体引違い窓 / （在来）テラス④</t>
        </is>
      </c>
      <c r="G43" t="n">
        <v>21</v>
      </c>
      <c r="H43" t="inlineStr">
        <is>
          <t>P21|◆</t>
        </is>
      </c>
      <c r="I43" t="inlineStr">
        <is>
          <t>same_page</t>
        </is>
      </c>
      <c r="J43" t="inlineStr">
        <is>
          <t>同頁凡例へ直接連動</t>
        </is>
      </c>
      <c r="K43" t="inlineStr">
        <is>
          <t>202604_LIXIL_サーモスＬ_業務用資料集_完成品価格表.pdf</t>
        </is>
      </c>
      <c r="L43" t="inlineStr">
        <is>
          <t>https://drive.google.com/file/d/1YUN-mtWYs48YBUHJk0C3vJXnhjyZFHyf/view</t>
        </is>
      </c>
    </row>
    <row r="44">
      <c r="A44" t="inlineStr">
        <is>
          <t>GLMAP-SL-0041</t>
        </is>
      </c>
      <c r="B44" t="n">
        <v>21</v>
      </c>
      <c r="C44" t="inlineStr">
        <is>
          <t>◇</t>
        </is>
      </c>
      <c r="D44" t="n">
        <v>20</v>
      </c>
      <c r="E44" t="n">
        <v>21</v>
      </c>
      <c r="F44" t="inlineStr">
        <is>
          <t>引違い窓 │単体引違い窓 / （在来）テラス④</t>
        </is>
      </c>
      <c r="G44" t="n">
        <v>21</v>
      </c>
      <c r="H44" t="inlineStr">
        <is>
          <t>P21|◇</t>
        </is>
      </c>
      <c r="I44" t="inlineStr">
        <is>
          <t>same_page</t>
        </is>
      </c>
      <c r="J44" t="inlineStr">
        <is>
          <t>同頁凡例へ直接連動</t>
        </is>
      </c>
      <c r="K44" t="inlineStr">
        <is>
          <t>202604_LIXIL_サーモスＬ_業務用資料集_完成品価格表.pdf</t>
        </is>
      </c>
      <c r="L44" t="inlineStr">
        <is>
          <t>https://drive.google.com/file/d/1YUN-mtWYs48YBUHJk0C3vJXnhjyZFHyf/view</t>
        </is>
      </c>
    </row>
    <row r="45">
      <c r="A45" t="inlineStr">
        <is>
          <t>GLMAP-SL-0042</t>
        </is>
      </c>
      <c r="B45" t="n">
        <v>21</v>
      </c>
      <c r="C45" t="inlineStr">
        <is>
          <t>●</t>
        </is>
      </c>
      <c r="D45" t="n">
        <v>20</v>
      </c>
      <c r="E45" t="n">
        <v>21</v>
      </c>
      <c r="F45" t="inlineStr">
        <is>
          <t>引違い窓 │単体引違い窓 / （在来）テラス④</t>
        </is>
      </c>
      <c r="G45" t="n">
        <v>21</v>
      </c>
      <c r="H45" t="inlineStr">
        <is>
          <t>P21|●</t>
        </is>
      </c>
      <c r="I45" t="inlineStr">
        <is>
          <t>same_page</t>
        </is>
      </c>
      <c r="J45" t="inlineStr">
        <is>
          <t>同頁凡例へ直接連動</t>
        </is>
      </c>
      <c r="K45" t="inlineStr">
        <is>
          <t>202604_LIXIL_サーモスＬ_業務用資料集_完成品価格表.pdf</t>
        </is>
      </c>
      <c r="L45" t="inlineStr">
        <is>
          <t>https://drive.google.com/file/d/1YUN-mtWYs48YBUHJk0C3vJXnhjyZFHyf/view</t>
        </is>
      </c>
    </row>
    <row r="46">
      <c r="A46" t="inlineStr">
        <is>
          <t>GLMAP-SL-0043</t>
        </is>
      </c>
      <c r="B46" t="n">
        <v>21</v>
      </c>
      <c r="C46" t="inlineStr">
        <is>
          <t>★</t>
        </is>
      </c>
      <c r="D46" t="n">
        <v>20</v>
      </c>
      <c r="E46" t="n">
        <v>21</v>
      </c>
      <c r="F46" t="inlineStr">
        <is>
          <t>引違い窓 │単体引違い窓 / （在来）テラス④</t>
        </is>
      </c>
      <c r="G46" t="n">
        <v>21</v>
      </c>
      <c r="H46" t="inlineStr">
        <is>
          <t>P21|★</t>
        </is>
      </c>
      <c r="I46" t="inlineStr">
        <is>
          <t>same_page</t>
        </is>
      </c>
      <c r="J46" t="inlineStr">
        <is>
          <t>同頁凡例へ直接連動</t>
        </is>
      </c>
      <c r="K46" t="inlineStr">
        <is>
          <t>202604_LIXIL_サーモスＬ_業務用資料集_完成品価格表.pdf</t>
        </is>
      </c>
      <c r="L46" t="inlineStr">
        <is>
          <t>https://drive.google.com/file/d/1YUN-mtWYs48YBUHJk0C3vJXnhjyZFHyf/view</t>
        </is>
      </c>
    </row>
    <row r="47">
      <c r="A47" t="inlineStr">
        <is>
          <t>GLMAP-SL-0044</t>
        </is>
      </c>
      <c r="B47" t="n">
        <v>21</v>
      </c>
      <c r="C47" t="inlineStr">
        <is>
          <t>無印</t>
        </is>
      </c>
      <c r="D47" t="n">
        <v>20</v>
      </c>
      <c r="E47" t="n">
        <v>21</v>
      </c>
      <c r="F47" t="inlineStr">
        <is>
          <t>引違い窓 │単体引違い窓 / （在来）テラス④</t>
        </is>
      </c>
      <c r="G47" t="n">
        <v>21</v>
      </c>
      <c r="H47" t="inlineStr">
        <is>
          <t>P21|無印</t>
        </is>
      </c>
      <c r="I47" t="inlineStr">
        <is>
          <t>same_page</t>
        </is>
      </c>
      <c r="J47" t="inlineStr">
        <is>
          <t>同頁凡例へ直接連動</t>
        </is>
      </c>
      <c r="K47" t="inlineStr">
        <is>
          <t>202604_LIXIL_サーモスＬ_業務用資料集_完成品価格表.pdf</t>
        </is>
      </c>
      <c r="L47" t="inlineStr">
        <is>
          <t>https://drive.google.com/file/d/1YUN-mtWYs48YBUHJk0C3vJXnhjyZFHyf/view</t>
        </is>
      </c>
    </row>
    <row r="48">
      <c r="A48" t="inlineStr">
        <is>
          <t>GLMAP-SL-0045</t>
        </is>
      </c>
      <c r="B48" t="n">
        <v>22</v>
      </c>
      <c r="C48" t="inlineStr">
        <is>
          <t>◆</t>
        </is>
      </c>
      <c r="D48" t="n">
        <v>22</v>
      </c>
      <c r="E48" t="n">
        <v>23</v>
      </c>
      <c r="F48" t="inlineStr">
        <is>
          <t>引違い窓 │単体引違い窓 / （204）テラス①</t>
        </is>
      </c>
      <c r="G48" t="n">
        <v>22</v>
      </c>
      <c r="H48" t="inlineStr">
        <is>
          <t>P22|◆</t>
        </is>
      </c>
      <c r="I48" t="inlineStr">
        <is>
          <t>same_page</t>
        </is>
      </c>
      <c r="J48" t="inlineStr">
        <is>
          <t>同頁凡例へ直接連動</t>
        </is>
      </c>
      <c r="K48" t="inlineStr">
        <is>
          <t>202604_LIXIL_サーモスＬ_業務用資料集_完成品価格表.pdf</t>
        </is>
      </c>
      <c r="L48" t="inlineStr">
        <is>
          <t>https://drive.google.com/file/d/1YUN-mtWYs48YBUHJk0C3vJXnhjyZFHyf/view</t>
        </is>
      </c>
    </row>
    <row r="49">
      <c r="A49" t="inlineStr">
        <is>
          <t>GLMAP-SL-0046</t>
        </is>
      </c>
      <c r="B49" t="n">
        <v>22</v>
      </c>
      <c r="C49" t="inlineStr">
        <is>
          <t>○</t>
        </is>
      </c>
      <c r="D49" t="n">
        <v>22</v>
      </c>
      <c r="E49" t="n">
        <v>23</v>
      </c>
      <c r="F49" t="inlineStr">
        <is>
          <t>引違い窓 │単体引違い窓 / （204）テラス①</t>
        </is>
      </c>
      <c r="G49" t="n">
        <v>22</v>
      </c>
      <c r="H49" t="inlineStr">
        <is>
          <t>P22|○</t>
        </is>
      </c>
      <c r="I49" t="inlineStr">
        <is>
          <t>same_page</t>
        </is>
      </c>
      <c r="J49" t="inlineStr">
        <is>
          <t>同頁凡例へ直接連動</t>
        </is>
      </c>
      <c r="K49" t="inlineStr">
        <is>
          <t>202604_LIXIL_サーモスＬ_業務用資料集_完成品価格表.pdf</t>
        </is>
      </c>
      <c r="L49" t="inlineStr">
        <is>
          <t>https://drive.google.com/file/d/1YUN-mtWYs48YBUHJk0C3vJXnhjyZFHyf/view</t>
        </is>
      </c>
    </row>
    <row r="50">
      <c r="A50" t="inlineStr">
        <is>
          <t>GLMAP-SL-0047</t>
        </is>
      </c>
      <c r="B50" t="n">
        <v>22</v>
      </c>
      <c r="C50" t="inlineStr">
        <is>
          <t>★</t>
        </is>
      </c>
      <c r="D50" t="n">
        <v>22</v>
      </c>
      <c r="E50" t="n">
        <v>23</v>
      </c>
      <c r="F50" t="inlineStr">
        <is>
          <t>引違い窓 │単体引違い窓 / （204）テラス①</t>
        </is>
      </c>
      <c r="G50" t="n">
        <v>22</v>
      </c>
      <c r="H50" t="inlineStr">
        <is>
          <t>P22|★</t>
        </is>
      </c>
      <c r="I50" t="inlineStr">
        <is>
          <t>same_page</t>
        </is>
      </c>
      <c r="J50" t="inlineStr">
        <is>
          <t>同頁凡例へ直接連動</t>
        </is>
      </c>
      <c r="K50" t="inlineStr">
        <is>
          <t>202604_LIXIL_サーモスＬ_業務用資料集_完成品価格表.pdf</t>
        </is>
      </c>
      <c r="L50" t="inlineStr">
        <is>
          <t>https://drive.google.com/file/d/1YUN-mtWYs48YBUHJk0C3vJXnhjyZFHyf/view</t>
        </is>
      </c>
    </row>
    <row r="51">
      <c r="A51" t="inlineStr">
        <is>
          <t>GLMAP-SL-0048</t>
        </is>
      </c>
      <c r="B51" t="n">
        <v>22</v>
      </c>
      <c r="C51" t="inlineStr">
        <is>
          <t>☆</t>
        </is>
      </c>
      <c r="D51" t="n">
        <v>22</v>
      </c>
      <c r="E51" t="n">
        <v>23</v>
      </c>
      <c r="F51" t="inlineStr">
        <is>
          <t>引違い窓 │単体引違い窓 / （204）テラス①</t>
        </is>
      </c>
      <c r="G51" t="n">
        <v>22</v>
      </c>
      <c r="H51" t="inlineStr">
        <is>
          <t>P22|☆</t>
        </is>
      </c>
      <c r="I51" t="inlineStr">
        <is>
          <t>same_page</t>
        </is>
      </c>
      <c r="J51" t="inlineStr">
        <is>
          <t>同頁凡例へ直接連動</t>
        </is>
      </c>
      <c r="K51" t="inlineStr">
        <is>
          <t>202604_LIXIL_サーモスＬ_業務用資料集_完成品価格表.pdf</t>
        </is>
      </c>
      <c r="L51" t="inlineStr">
        <is>
          <t>https://drive.google.com/file/d/1YUN-mtWYs48YBUHJk0C3vJXnhjyZFHyf/view</t>
        </is>
      </c>
    </row>
    <row r="52">
      <c r="A52" t="inlineStr">
        <is>
          <t>GLMAP-SL-0049</t>
        </is>
      </c>
      <c r="B52" t="n">
        <v>22</v>
      </c>
      <c r="C52" t="inlineStr">
        <is>
          <t>無印</t>
        </is>
      </c>
      <c r="D52" t="n">
        <v>22</v>
      </c>
      <c r="E52" t="n">
        <v>23</v>
      </c>
      <c r="F52" t="inlineStr">
        <is>
          <t>引違い窓 │単体引違い窓 / （204）テラス①</t>
        </is>
      </c>
      <c r="G52" t="n">
        <v>22</v>
      </c>
      <c r="H52" t="inlineStr">
        <is>
          <t>P22|無印</t>
        </is>
      </c>
      <c r="I52" t="inlineStr">
        <is>
          <t>same_page</t>
        </is>
      </c>
      <c r="J52" t="inlineStr">
        <is>
          <t>同頁凡例へ直接連動</t>
        </is>
      </c>
      <c r="K52" t="inlineStr">
        <is>
          <t>202604_LIXIL_サーモスＬ_業務用資料集_完成品価格表.pdf</t>
        </is>
      </c>
      <c r="L52" t="inlineStr">
        <is>
          <t>https://drive.google.com/file/d/1YUN-mtWYs48YBUHJk0C3vJXnhjyZFHyf/view</t>
        </is>
      </c>
    </row>
    <row r="53">
      <c r="A53" t="inlineStr">
        <is>
          <t>GLMAP-SL-0050</t>
        </is>
      </c>
      <c r="B53" t="n">
        <v>24</v>
      </c>
      <c r="C53" t="inlineStr">
        <is>
          <t>◆</t>
        </is>
      </c>
      <c r="D53" t="n">
        <v>24</v>
      </c>
      <c r="E53" t="n">
        <v>25</v>
      </c>
      <c r="F53" t="inlineStr">
        <is>
          <t>引違い窓 │単体引違い窓 / （204）テラス②</t>
        </is>
      </c>
      <c r="G53" t="n">
        <v>24</v>
      </c>
      <c r="H53" t="inlineStr">
        <is>
          <t>P24|◆</t>
        </is>
      </c>
      <c r="I53" t="inlineStr">
        <is>
          <t>same_page</t>
        </is>
      </c>
      <c r="J53" t="inlineStr">
        <is>
          <t>同頁凡例へ直接連動</t>
        </is>
      </c>
      <c r="K53" t="inlineStr">
        <is>
          <t>202604_LIXIL_サーモスＬ_業務用資料集_完成品価格表.pdf</t>
        </is>
      </c>
      <c r="L53" t="inlineStr">
        <is>
          <t>https://drive.google.com/file/d/1YUN-mtWYs48YBUHJk0C3vJXnhjyZFHyf/view</t>
        </is>
      </c>
    </row>
    <row r="54">
      <c r="A54" t="inlineStr">
        <is>
          <t>GLMAP-SL-0051</t>
        </is>
      </c>
      <c r="B54" t="n">
        <v>24</v>
      </c>
      <c r="C54" t="inlineStr">
        <is>
          <t>●</t>
        </is>
      </c>
      <c r="D54" t="n">
        <v>24</v>
      </c>
      <c r="E54" t="n">
        <v>25</v>
      </c>
      <c r="F54" t="inlineStr">
        <is>
          <t>引違い窓 │単体引違い窓 / （204）テラス②</t>
        </is>
      </c>
      <c r="G54" t="n">
        <v>24</v>
      </c>
      <c r="H54" t="inlineStr">
        <is>
          <t>P24|●</t>
        </is>
      </c>
      <c r="I54" t="inlineStr">
        <is>
          <t>same_page</t>
        </is>
      </c>
      <c r="J54" t="inlineStr">
        <is>
          <t>同頁凡例へ直接連動</t>
        </is>
      </c>
      <c r="K54" t="inlineStr">
        <is>
          <t>202604_LIXIL_サーモスＬ_業務用資料集_完成品価格表.pdf</t>
        </is>
      </c>
      <c r="L54" t="inlineStr">
        <is>
          <t>https://drive.google.com/file/d/1YUN-mtWYs48YBUHJk0C3vJXnhjyZFHyf/view</t>
        </is>
      </c>
    </row>
    <row r="55">
      <c r="A55" t="inlineStr">
        <is>
          <t>GLMAP-SL-0052</t>
        </is>
      </c>
      <c r="B55" t="n">
        <v>24</v>
      </c>
      <c r="C55" t="inlineStr">
        <is>
          <t>★</t>
        </is>
      </c>
      <c r="D55" t="n">
        <v>24</v>
      </c>
      <c r="E55" t="n">
        <v>25</v>
      </c>
      <c r="F55" t="inlineStr">
        <is>
          <t>引違い窓 │単体引違い窓 / （204）テラス②</t>
        </is>
      </c>
      <c r="G55" t="n">
        <v>24</v>
      </c>
      <c r="H55" t="inlineStr">
        <is>
          <t>P24|★</t>
        </is>
      </c>
      <c r="I55" t="inlineStr">
        <is>
          <t>same_page</t>
        </is>
      </c>
      <c r="J55" t="inlineStr">
        <is>
          <t>同頁凡例へ直接連動</t>
        </is>
      </c>
      <c r="K55" t="inlineStr">
        <is>
          <t>202604_LIXIL_サーモスＬ_業務用資料集_完成品価格表.pdf</t>
        </is>
      </c>
      <c r="L55" t="inlineStr">
        <is>
          <t>https://drive.google.com/file/d/1YUN-mtWYs48YBUHJk0C3vJXnhjyZFHyf/view</t>
        </is>
      </c>
    </row>
    <row r="56">
      <c r="A56" t="inlineStr">
        <is>
          <t>GLMAP-SL-0053</t>
        </is>
      </c>
      <c r="B56" t="n">
        <v>24</v>
      </c>
      <c r="C56" t="inlineStr">
        <is>
          <t>無印</t>
        </is>
      </c>
      <c r="D56" t="n">
        <v>24</v>
      </c>
      <c r="E56" t="n">
        <v>25</v>
      </c>
      <c r="F56" t="inlineStr">
        <is>
          <t>引違い窓 │単体引違い窓 / （204）テラス②</t>
        </is>
      </c>
      <c r="G56" t="n">
        <v>24</v>
      </c>
      <c r="H56" t="inlineStr">
        <is>
          <t>P24|無印</t>
        </is>
      </c>
      <c r="I56" t="inlineStr">
        <is>
          <t>same_page</t>
        </is>
      </c>
      <c r="J56" t="inlineStr">
        <is>
          <t>同頁凡例へ直接連動</t>
        </is>
      </c>
      <c r="K56" t="inlineStr">
        <is>
          <t>202604_LIXIL_サーモスＬ_業務用資料集_完成品価格表.pdf</t>
        </is>
      </c>
      <c r="L56" t="inlineStr">
        <is>
          <t>https://drive.google.com/file/d/1YUN-mtWYs48YBUHJk0C3vJXnhjyZFHyf/view</t>
        </is>
      </c>
    </row>
    <row r="57">
      <c r="A57" t="inlineStr">
        <is>
          <t>GLMAP-SL-0054</t>
        </is>
      </c>
      <c r="B57" t="n">
        <v>30</v>
      </c>
      <c r="C57" t="inlineStr">
        <is>
          <t>無印</t>
        </is>
      </c>
      <c r="D57" t="n">
        <v>30</v>
      </c>
      <c r="E57" t="n">
        <v>31</v>
      </c>
      <c r="F57" t="inlineStr">
        <is>
          <t>引違い窓 │シャッター付引違い窓 / 電動 （在来・204）マド①</t>
        </is>
      </c>
      <c r="G57" t="n">
        <v>30</v>
      </c>
      <c r="H57" t="inlineStr">
        <is>
          <t>P30|無印</t>
        </is>
      </c>
      <c r="I57" t="inlineStr">
        <is>
          <t>same_page</t>
        </is>
      </c>
      <c r="J57" t="inlineStr">
        <is>
          <t>同頁凡例へ直接連動</t>
        </is>
      </c>
      <c r="K57" t="inlineStr">
        <is>
          <t>202604_LIXIL_サーモスＬ_業務用資料集_完成品価格表.pdf</t>
        </is>
      </c>
      <c r="L57" t="inlineStr">
        <is>
          <t>https://drive.google.com/file/d/1YUN-mtWYs48YBUHJk0C3vJXnhjyZFHyf/view</t>
        </is>
      </c>
    </row>
    <row r="58">
      <c r="A58" t="inlineStr">
        <is>
          <t>GLMAP-SL-0055</t>
        </is>
      </c>
      <c r="B58" t="n">
        <v>31</v>
      </c>
      <c r="C58" t="inlineStr">
        <is>
          <t>無印</t>
        </is>
      </c>
      <c r="D58" t="n">
        <v>30</v>
      </c>
      <c r="E58" t="n">
        <v>31</v>
      </c>
      <c r="F58" t="inlineStr">
        <is>
          <t>引違い窓 │シャッター付引違い窓 / 電動 （在来・204）マド①</t>
        </is>
      </c>
      <c r="G58" t="n">
        <v>30</v>
      </c>
      <c r="H58" t="inlineStr">
        <is>
          <t>P30|無印</t>
        </is>
      </c>
      <c r="I58" t="inlineStr">
        <is>
          <t>previous_in_same_section</t>
        </is>
      </c>
      <c r="J58" t="inlineStr">
        <is>
          <t>同一価格表・前頁凡例を継承</t>
        </is>
      </c>
      <c r="K58" t="inlineStr">
        <is>
          <t>202604_LIXIL_サーモスＬ_業務用資料集_完成品価格表.pdf</t>
        </is>
      </c>
      <c r="L58" t="inlineStr">
        <is>
          <t>https://drive.google.com/file/d/1YUN-mtWYs48YBUHJk0C3vJXnhjyZFHyf/view</t>
        </is>
      </c>
    </row>
    <row r="59">
      <c r="A59" t="inlineStr">
        <is>
          <t>GLMAP-SL-0056</t>
        </is>
      </c>
      <c r="B59" t="n">
        <v>32</v>
      </c>
      <c r="C59" t="inlineStr">
        <is>
          <t>★</t>
        </is>
      </c>
      <c r="D59" t="n">
        <v>32</v>
      </c>
      <c r="E59" t="n">
        <v>33</v>
      </c>
      <c r="F59" t="inlineStr">
        <is>
          <t>引違い窓 │シャッター付引違い窓 / 電動 （在来・204）マド②</t>
        </is>
      </c>
      <c r="G59" t="n">
        <v>33</v>
      </c>
      <c r="H59" t="inlineStr">
        <is>
          <t>P33|★</t>
        </is>
      </c>
      <c r="I59" t="inlineStr">
        <is>
          <t>next_in_same_section</t>
        </is>
      </c>
      <c r="J59" t="inlineStr">
        <is>
          <t>同一価格表・次頁凡例を継承</t>
        </is>
      </c>
      <c r="K59" t="inlineStr">
        <is>
          <t>202604_LIXIL_サーモスＬ_業務用資料集_完成品価格表.pdf</t>
        </is>
      </c>
      <c r="L59" t="inlineStr">
        <is>
          <t>https://drive.google.com/file/d/1YUN-mtWYs48YBUHJk0C3vJXnhjyZFHyf/view</t>
        </is>
      </c>
    </row>
    <row r="60">
      <c r="A60" t="inlineStr">
        <is>
          <t>GLMAP-SL-0057</t>
        </is>
      </c>
      <c r="B60" t="n">
        <v>32</v>
      </c>
      <c r="C60" t="inlineStr">
        <is>
          <t>無印</t>
        </is>
      </c>
      <c r="D60" t="n">
        <v>32</v>
      </c>
      <c r="E60" t="n">
        <v>33</v>
      </c>
      <c r="F60" t="inlineStr">
        <is>
          <t>引違い窓 │シャッター付引違い窓 / 電動 （在来・204）マド②</t>
        </is>
      </c>
      <c r="G60" t="n">
        <v>33</v>
      </c>
      <c r="H60" t="inlineStr">
        <is>
          <t>P33|無印</t>
        </is>
      </c>
      <c r="I60" t="inlineStr">
        <is>
          <t>next_in_same_section</t>
        </is>
      </c>
      <c r="J60" t="inlineStr">
        <is>
          <t>同一価格表・次頁凡例を継承</t>
        </is>
      </c>
      <c r="K60" t="inlineStr">
        <is>
          <t>202604_LIXIL_サーモスＬ_業務用資料集_完成品価格表.pdf</t>
        </is>
      </c>
      <c r="L60" t="inlineStr">
        <is>
          <t>https://drive.google.com/file/d/1YUN-mtWYs48YBUHJk0C3vJXnhjyZFHyf/view</t>
        </is>
      </c>
    </row>
    <row r="61">
      <c r="A61" t="inlineStr">
        <is>
          <t>GLMAP-SL-0058</t>
        </is>
      </c>
      <c r="B61" t="n">
        <v>33</v>
      </c>
      <c r="C61" t="inlineStr">
        <is>
          <t>☆</t>
        </is>
      </c>
      <c r="D61" t="n">
        <v>32</v>
      </c>
      <c r="E61" t="n">
        <v>33</v>
      </c>
      <c r="F61" t="inlineStr">
        <is>
          <t>引違い窓 │シャッター付引違い窓 / 電動 （在来・204）マド②</t>
        </is>
      </c>
      <c r="G61" t="n">
        <v>33</v>
      </c>
      <c r="H61" t="inlineStr">
        <is>
          <t>P33|☆</t>
        </is>
      </c>
      <c r="I61" t="inlineStr">
        <is>
          <t>same_page</t>
        </is>
      </c>
      <c r="J61" t="inlineStr">
        <is>
          <t>同頁凡例へ直接連動</t>
        </is>
      </c>
      <c r="K61" t="inlineStr">
        <is>
          <t>202604_LIXIL_サーモスＬ_業務用資料集_完成品価格表.pdf</t>
        </is>
      </c>
      <c r="L61" t="inlineStr">
        <is>
          <t>https://drive.google.com/file/d/1YUN-mtWYs48YBUHJk0C3vJXnhjyZFHyf/view</t>
        </is>
      </c>
    </row>
    <row r="62">
      <c r="A62" t="inlineStr">
        <is>
          <t>GLMAP-SL-0059</t>
        </is>
      </c>
      <c r="B62" t="n">
        <v>33</v>
      </c>
      <c r="C62" t="inlineStr">
        <is>
          <t>無印</t>
        </is>
      </c>
      <c r="D62" t="n">
        <v>32</v>
      </c>
      <c r="E62" t="n">
        <v>33</v>
      </c>
      <c r="F62" t="inlineStr">
        <is>
          <t>引違い窓 │シャッター付引違い窓 / 電動 （在来・204）マド②</t>
        </is>
      </c>
      <c r="G62" t="n">
        <v>33</v>
      </c>
      <c r="H62" t="inlineStr">
        <is>
          <t>P33|無印</t>
        </is>
      </c>
      <c r="I62" t="inlineStr">
        <is>
          <t>same_page</t>
        </is>
      </c>
      <c r="J62" t="inlineStr">
        <is>
          <t>同頁凡例へ直接連動</t>
        </is>
      </c>
      <c r="K62" t="inlineStr">
        <is>
          <t>202604_LIXIL_サーモスＬ_業務用資料集_完成品価格表.pdf</t>
        </is>
      </c>
      <c r="L62" t="inlineStr">
        <is>
          <t>https://drive.google.com/file/d/1YUN-mtWYs48YBUHJk0C3vJXnhjyZFHyf/view</t>
        </is>
      </c>
    </row>
    <row r="63">
      <c r="A63" t="inlineStr">
        <is>
          <t>GLMAP-SL-0060</t>
        </is>
      </c>
      <c r="B63" t="n">
        <v>34</v>
      </c>
      <c r="C63" t="inlineStr">
        <is>
          <t>無印</t>
        </is>
      </c>
      <c r="D63" t="n">
        <v>34</v>
      </c>
      <c r="E63" t="n">
        <v>35</v>
      </c>
      <c r="F63" t="inlineStr">
        <is>
          <t>引違い窓 │シャッター付引違い窓 / 電動 （在来・204）マド③</t>
        </is>
      </c>
      <c r="G63" t="n">
        <v>34</v>
      </c>
      <c r="H63" t="inlineStr">
        <is>
          <t>P34|無印</t>
        </is>
      </c>
      <c r="I63" t="inlineStr">
        <is>
          <t>same_page</t>
        </is>
      </c>
      <c r="J63" t="inlineStr">
        <is>
          <t>同頁凡例へ直接連動</t>
        </is>
      </c>
      <c r="K63" t="inlineStr">
        <is>
          <t>202604_LIXIL_サーモスＬ_業務用資料集_完成品価格表.pdf</t>
        </is>
      </c>
      <c r="L63" t="inlineStr">
        <is>
          <t>https://drive.google.com/file/d/1YUN-mtWYs48YBUHJk0C3vJXnhjyZFHyf/view</t>
        </is>
      </c>
    </row>
    <row r="64">
      <c r="A64" t="inlineStr">
        <is>
          <t>GLMAP-SL-0061</t>
        </is>
      </c>
      <c r="B64" t="n">
        <v>35</v>
      </c>
      <c r="C64" t="inlineStr">
        <is>
          <t>○</t>
        </is>
      </c>
      <c r="D64" t="n">
        <v>34</v>
      </c>
      <c r="E64" t="n">
        <v>35</v>
      </c>
      <c r="F64" t="inlineStr">
        <is>
          <t>引違い窓 │シャッター付引違い窓 / 電動 （在来・204）マド③</t>
        </is>
      </c>
      <c r="G64" t="n">
        <v>34</v>
      </c>
      <c r="H64" t="inlineStr">
        <is>
          <t>P34|○</t>
        </is>
      </c>
      <c r="I64" t="inlineStr">
        <is>
          <t>previous_in_same_section</t>
        </is>
      </c>
      <c r="J64" t="inlineStr">
        <is>
          <t>同一価格表・前頁凡例を継承</t>
        </is>
      </c>
      <c r="K64" t="inlineStr">
        <is>
          <t>202604_LIXIL_サーモスＬ_業務用資料集_完成品価格表.pdf</t>
        </is>
      </c>
      <c r="L64" t="inlineStr">
        <is>
          <t>https://drive.google.com/file/d/1YUN-mtWYs48YBUHJk0C3vJXnhjyZFHyf/view</t>
        </is>
      </c>
    </row>
    <row r="65">
      <c r="A65" t="inlineStr">
        <is>
          <t>GLMAP-SL-0062</t>
        </is>
      </c>
      <c r="B65" t="n">
        <v>35</v>
      </c>
      <c r="C65" t="inlineStr">
        <is>
          <t>★</t>
        </is>
      </c>
      <c r="D65" t="n">
        <v>34</v>
      </c>
      <c r="E65" t="n">
        <v>35</v>
      </c>
      <c r="F65" t="inlineStr">
        <is>
          <t>引違い窓 │シャッター付引違い窓 / 電動 （在来・204）マド③</t>
        </is>
      </c>
      <c r="G65" t="n">
        <v>34</v>
      </c>
      <c r="H65" t="inlineStr">
        <is>
          <t>P34|★</t>
        </is>
      </c>
      <c r="I65" t="inlineStr">
        <is>
          <t>previous_in_same_section</t>
        </is>
      </c>
      <c r="J65" t="inlineStr">
        <is>
          <t>同一価格表・前頁凡例を継承</t>
        </is>
      </c>
      <c r="K65" t="inlineStr">
        <is>
          <t>202604_LIXIL_サーモスＬ_業務用資料集_完成品価格表.pdf</t>
        </is>
      </c>
      <c r="L65" t="inlineStr">
        <is>
          <t>https://drive.google.com/file/d/1YUN-mtWYs48YBUHJk0C3vJXnhjyZFHyf/view</t>
        </is>
      </c>
    </row>
    <row r="66">
      <c r="A66" t="inlineStr">
        <is>
          <t>GLMAP-SL-0063</t>
        </is>
      </c>
      <c r="B66" t="n">
        <v>35</v>
      </c>
      <c r="C66" t="inlineStr">
        <is>
          <t>無印</t>
        </is>
      </c>
      <c r="D66" t="n">
        <v>34</v>
      </c>
      <c r="E66" t="n">
        <v>35</v>
      </c>
      <c r="F66" t="inlineStr">
        <is>
          <t>引違い窓 │シャッター付引違い窓 / 電動 （在来・204）マド③</t>
        </is>
      </c>
      <c r="G66" t="n">
        <v>34</v>
      </c>
      <c r="H66" t="inlineStr">
        <is>
          <t>P34|無印</t>
        </is>
      </c>
      <c r="I66" t="inlineStr">
        <is>
          <t>previous_in_same_section</t>
        </is>
      </c>
      <c r="J66" t="inlineStr">
        <is>
          <t>同一価格表・前頁凡例を継承</t>
        </is>
      </c>
      <c r="K66" t="inlineStr">
        <is>
          <t>202604_LIXIL_サーモスＬ_業務用資料集_完成品価格表.pdf</t>
        </is>
      </c>
      <c r="L66" t="inlineStr">
        <is>
          <t>https://drive.google.com/file/d/1YUN-mtWYs48YBUHJk0C3vJXnhjyZFHyf/view</t>
        </is>
      </c>
    </row>
    <row r="67">
      <c r="A67" t="inlineStr">
        <is>
          <t>GLMAP-SL-0064</t>
        </is>
      </c>
      <c r="B67" t="n">
        <v>36</v>
      </c>
      <c r="C67" t="inlineStr">
        <is>
          <t>★</t>
        </is>
      </c>
      <c r="D67" t="n">
        <v>36</v>
      </c>
      <c r="E67" t="n">
        <v>37</v>
      </c>
      <c r="F67" t="inlineStr">
        <is>
          <t>引違い窓 │シャッター付引違い窓 / 電動 （在来・204）マド④</t>
        </is>
      </c>
      <c r="G67" t="n">
        <v>36</v>
      </c>
      <c r="H67" t="inlineStr">
        <is>
          <t>P36|★</t>
        </is>
      </c>
      <c r="I67" t="inlineStr">
        <is>
          <t>same_page</t>
        </is>
      </c>
      <c r="J67" t="inlineStr">
        <is>
          <t>同頁凡例へ直接連動</t>
        </is>
      </c>
      <c r="K67" t="inlineStr">
        <is>
          <t>202604_LIXIL_サーモスＬ_業務用資料集_完成品価格表.pdf</t>
        </is>
      </c>
      <c r="L67" t="inlineStr">
        <is>
          <t>https://drive.google.com/file/d/1YUN-mtWYs48YBUHJk0C3vJXnhjyZFHyf/view</t>
        </is>
      </c>
    </row>
    <row r="68">
      <c r="A68" t="inlineStr">
        <is>
          <t>GLMAP-SL-0065</t>
        </is>
      </c>
      <c r="B68" t="n">
        <v>36</v>
      </c>
      <c r="C68" t="inlineStr">
        <is>
          <t>無印</t>
        </is>
      </c>
      <c r="D68" t="n">
        <v>36</v>
      </c>
      <c r="E68" t="n">
        <v>37</v>
      </c>
      <c r="F68" t="inlineStr">
        <is>
          <t>引違い窓 │シャッター付引違い窓 / 電動 （在来・204）マド④</t>
        </is>
      </c>
      <c r="G68" t="n">
        <v>36</v>
      </c>
      <c r="H68" t="inlineStr">
        <is>
          <t>P36|無印</t>
        </is>
      </c>
      <c r="I68" t="inlineStr">
        <is>
          <t>same_page</t>
        </is>
      </c>
      <c r="J68" t="inlineStr">
        <is>
          <t>同頁凡例へ直接連動</t>
        </is>
      </c>
      <c r="K68" t="inlineStr">
        <is>
          <t>202604_LIXIL_サーモスＬ_業務用資料集_完成品価格表.pdf</t>
        </is>
      </c>
      <c r="L68" t="inlineStr">
        <is>
          <t>https://drive.google.com/file/d/1YUN-mtWYs48YBUHJk0C3vJXnhjyZFHyf/view</t>
        </is>
      </c>
    </row>
    <row r="69">
      <c r="A69" t="inlineStr">
        <is>
          <t>GLMAP-SL-0066</t>
        </is>
      </c>
      <c r="B69" t="n">
        <v>37</v>
      </c>
      <c r="C69" t="inlineStr">
        <is>
          <t>●</t>
        </is>
      </c>
      <c r="D69" t="n">
        <v>36</v>
      </c>
      <c r="E69" t="n">
        <v>37</v>
      </c>
      <c r="F69" t="inlineStr">
        <is>
          <t>引違い窓 │シャッター付引違い窓 / 電動 （在来・204）マド④</t>
        </is>
      </c>
      <c r="G69" t="n">
        <v>36</v>
      </c>
      <c r="H69" t="inlineStr">
        <is>
          <t>P36|●</t>
        </is>
      </c>
      <c r="I69" t="inlineStr">
        <is>
          <t>previous_in_same_section</t>
        </is>
      </c>
      <c r="J69" t="inlineStr">
        <is>
          <t>同一価格表・前頁凡例を継承</t>
        </is>
      </c>
      <c r="K69" t="inlineStr">
        <is>
          <t>202604_LIXIL_サーモスＬ_業務用資料集_完成品価格表.pdf</t>
        </is>
      </c>
      <c r="L69" t="inlineStr">
        <is>
          <t>https://drive.google.com/file/d/1YUN-mtWYs48YBUHJk0C3vJXnhjyZFHyf/view</t>
        </is>
      </c>
    </row>
    <row r="70">
      <c r="A70" t="inlineStr">
        <is>
          <t>GLMAP-SL-0067</t>
        </is>
      </c>
      <c r="B70" t="n">
        <v>37</v>
      </c>
      <c r="C70" t="inlineStr">
        <is>
          <t>無印</t>
        </is>
      </c>
      <c r="D70" t="n">
        <v>36</v>
      </c>
      <c r="E70" t="n">
        <v>37</v>
      </c>
      <c r="F70" t="inlineStr">
        <is>
          <t>引違い窓 │シャッター付引違い窓 / 電動 （在来・204）マド④</t>
        </is>
      </c>
      <c r="G70" t="n">
        <v>36</v>
      </c>
      <c r="H70" t="inlineStr">
        <is>
          <t>P36|無印</t>
        </is>
      </c>
      <c r="I70" t="inlineStr">
        <is>
          <t>previous_in_same_section</t>
        </is>
      </c>
      <c r="J70" t="inlineStr">
        <is>
          <t>同一価格表・前頁凡例を継承</t>
        </is>
      </c>
      <c r="K70" t="inlineStr">
        <is>
          <t>202604_LIXIL_サーモスＬ_業務用資料集_完成品価格表.pdf</t>
        </is>
      </c>
      <c r="L70" t="inlineStr">
        <is>
          <t>https://drive.google.com/file/d/1YUN-mtWYs48YBUHJk0C3vJXnhjyZFHyf/view</t>
        </is>
      </c>
    </row>
    <row r="71">
      <c r="A71" t="inlineStr">
        <is>
          <t>GLMAP-SL-0068</t>
        </is>
      </c>
      <c r="B71" t="n">
        <v>38</v>
      </c>
      <c r="C71" t="inlineStr">
        <is>
          <t>▲</t>
        </is>
      </c>
      <c r="D71" t="n">
        <v>38</v>
      </c>
      <c r="E71" t="n">
        <v>39</v>
      </c>
      <c r="F71" t="inlineStr">
        <is>
          <t>引違い窓 │シャッター付引違い窓 / 電動 （在来）テラス①</t>
        </is>
      </c>
      <c r="G71" t="n">
        <v>38</v>
      </c>
      <c r="H71" t="inlineStr">
        <is>
          <t>P38|▲</t>
        </is>
      </c>
      <c r="I71" t="inlineStr">
        <is>
          <t>same_page</t>
        </is>
      </c>
      <c r="J71" t="inlineStr">
        <is>
          <t>同頁凡例へ直接連動</t>
        </is>
      </c>
      <c r="K71" t="inlineStr">
        <is>
          <t>202604_LIXIL_サーモスＬ_業務用資料集_完成品価格表.pdf</t>
        </is>
      </c>
      <c r="L71" t="inlineStr">
        <is>
          <t>https://drive.google.com/file/d/1YUN-mtWYs48YBUHJk0C3vJXnhjyZFHyf/view</t>
        </is>
      </c>
    </row>
    <row r="72">
      <c r="A72" t="inlineStr">
        <is>
          <t>GLMAP-SL-0069</t>
        </is>
      </c>
      <c r="B72" t="n">
        <v>38</v>
      </c>
      <c r="C72" t="inlineStr">
        <is>
          <t>○</t>
        </is>
      </c>
      <c r="D72" t="n">
        <v>38</v>
      </c>
      <c r="E72" t="n">
        <v>39</v>
      </c>
      <c r="F72" t="inlineStr">
        <is>
          <t>引違い窓 │シャッター付引違い窓 / 電動 （在来）テラス①</t>
        </is>
      </c>
      <c r="G72" t="n">
        <v>38</v>
      </c>
      <c r="H72" t="inlineStr">
        <is>
          <t>P38|○</t>
        </is>
      </c>
      <c r="I72" t="inlineStr">
        <is>
          <t>same_page</t>
        </is>
      </c>
      <c r="J72" t="inlineStr">
        <is>
          <t>同頁凡例へ直接連動</t>
        </is>
      </c>
      <c r="K72" t="inlineStr">
        <is>
          <t>202604_LIXIL_サーモスＬ_業務用資料集_完成品価格表.pdf</t>
        </is>
      </c>
      <c r="L72" t="inlineStr">
        <is>
          <t>https://drive.google.com/file/d/1YUN-mtWYs48YBUHJk0C3vJXnhjyZFHyf/view</t>
        </is>
      </c>
    </row>
    <row r="73">
      <c r="A73" t="inlineStr">
        <is>
          <t>GLMAP-SL-0070</t>
        </is>
      </c>
      <c r="B73" t="n">
        <v>38</v>
      </c>
      <c r="C73" t="inlineStr">
        <is>
          <t>無印</t>
        </is>
      </c>
      <c r="D73" t="n">
        <v>38</v>
      </c>
      <c r="E73" t="n">
        <v>39</v>
      </c>
      <c r="F73" t="inlineStr">
        <is>
          <t>引違い窓 │シャッター付引違い窓 / 電動 （在来）テラス①</t>
        </is>
      </c>
      <c r="G73" t="n">
        <v>38</v>
      </c>
      <c r="H73" t="inlineStr">
        <is>
          <t>P38|無印</t>
        </is>
      </c>
      <c r="I73" t="inlineStr">
        <is>
          <t>same_page</t>
        </is>
      </c>
      <c r="J73" t="inlineStr">
        <is>
          <t>同頁凡例へ直接連動</t>
        </is>
      </c>
      <c r="K73" t="inlineStr">
        <is>
          <t>202604_LIXIL_サーモスＬ_業務用資料集_完成品価格表.pdf</t>
        </is>
      </c>
      <c r="L73" t="inlineStr">
        <is>
          <t>https://drive.google.com/file/d/1YUN-mtWYs48YBUHJk0C3vJXnhjyZFHyf/view</t>
        </is>
      </c>
    </row>
    <row r="74">
      <c r="A74" t="inlineStr">
        <is>
          <t>GLMAP-SL-0071</t>
        </is>
      </c>
      <c r="B74" t="n">
        <v>39</v>
      </c>
      <c r="C74" t="inlineStr">
        <is>
          <t>★</t>
        </is>
      </c>
      <c r="D74" t="n">
        <v>38</v>
      </c>
      <c r="E74" t="n">
        <v>39</v>
      </c>
      <c r="F74" t="inlineStr">
        <is>
          <t>引違い窓 │シャッター付引違い窓 / 電動 （在来）テラス①</t>
        </is>
      </c>
      <c r="G74" t="n">
        <v>38</v>
      </c>
      <c r="H74" t="inlineStr">
        <is>
          <t>P38|★</t>
        </is>
      </c>
      <c r="I74" t="inlineStr">
        <is>
          <t>previous_in_same_section</t>
        </is>
      </c>
      <c r="J74" t="inlineStr">
        <is>
          <t>同一価格表・前頁凡例を継承</t>
        </is>
      </c>
      <c r="K74" t="inlineStr">
        <is>
          <t>202604_LIXIL_サーモスＬ_業務用資料集_完成品価格表.pdf</t>
        </is>
      </c>
      <c r="L74" t="inlineStr">
        <is>
          <t>https://drive.google.com/file/d/1YUN-mtWYs48YBUHJk0C3vJXnhjyZFHyf/view</t>
        </is>
      </c>
    </row>
    <row r="75">
      <c r="A75" t="inlineStr">
        <is>
          <t>GLMAP-SL-0072</t>
        </is>
      </c>
      <c r="B75" t="n">
        <v>39</v>
      </c>
      <c r="C75" t="inlineStr">
        <is>
          <t>無印</t>
        </is>
      </c>
      <c r="D75" t="n">
        <v>38</v>
      </c>
      <c r="E75" t="n">
        <v>39</v>
      </c>
      <c r="F75" t="inlineStr">
        <is>
          <t>引違い窓 │シャッター付引違い窓 / 電動 （在来）テラス①</t>
        </is>
      </c>
      <c r="G75" t="n">
        <v>38</v>
      </c>
      <c r="H75" t="inlineStr">
        <is>
          <t>P38|無印</t>
        </is>
      </c>
      <c r="I75" t="inlineStr">
        <is>
          <t>previous_in_same_section</t>
        </is>
      </c>
      <c r="J75" t="inlineStr">
        <is>
          <t>同一価格表・前頁凡例を継承</t>
        </is>
      </c>
      <c r="K75" t="inlineStr">
        <is>
          <t>202604_LIXIL_サーモスＬ_業務用資料集_完成品価格表.pdf</t>
        </is>
      </c>
      <c r="L75" t="inlineStr">
        <is>
          <t>https://drive.google.com/file/d/1YUN-mtWYs48YBUHJk0C3vJXnhjyZFHyf/view</t>
        </is>
      </c>
    </row>
    <row r="76">
      <c r="A76" t="inlineStr">
        <is>
          <t>GLMAP-SL-0073</t>
        </is>
      </c>
      <c r="B76" t="n">
        <v>40</v>
      </c>
      <c r="C76" t="inlineStr">
        <is>
          <t>◆</t>
        </is>
      </c>
      <c r="D76" t="n">
        <v>40</v>
      </c>
      <c r="E76" t="n">
        <v>41</v>
      </c>
      <c r="F76" t="inlineStr">
        <is>
          <t>引違い窓 │シャッター付引違い窓 / 電動 （在来）テラス②</t>
        </is>
      </c>
      <c r="G76" t="n">
        <v>40</v>
      </c>
      <c r="H76" t="inlineStr">
        <is>
          <t>P40|◆</t>
        </is>
      </c>
      <c r="I76" t="inlineStr">
        <is>
          <t>same_page</t>
        </is>
      </c>
      <c r="J76" t="inlineStr">
        <is>
          <t>同頁凡例へ直接連動</t>
        </is>
      </c>
      <c r="K76" t="inlineStr">
        <is>
          <t>202604_LIXIL_サーモスＬ_業務用資料集_完成品価格表.pdf</t>
        </is>
      </c>
      <c r="L76" t="inlineStr">
        <is>
          <t>https://drive.google.com/file/d/1YUN-mtWYs48YBUHJk0C3vJXnhjyZFHyf/view</t>
        </is>
      </c>
    </row>
    <row r="77">
      <c r="A77" t="inlineStr">
        <is>
          <t>GLMAP-SL-0074</t>
        </is>
      </c>
      <c r="B77" t="n">
        <v>40</v>
      </c>
      <c r="C77" t="inlineStr">
        <is>
          <t>★</t>
        </is>
      </c>
      <c r="D77" t="n">
        <v>40</v>
      </c>
      <c r="E77" t="n">
        <v>41</v>
      </c>
      <c r="F77" t="inlineStr">
        <is>
          <t>引違い窓 │シャッター付引違い窓 / 電動 （在来）テラス②</t>
        </is>
      </c>
      <c r="G77" t="n">
        <v>40</v>
      </c>
      <c r="H77" t="inlineStr">
        <is>
          <t>P40|★</t>
        </is>
      </c>
      <c r="I77" t="inlineStr">
        <is>
          <t>same_page</t>
        </is>
      </c>
      <c r="J77" t="inlineStr">
        <is>
          <t>同頁凡例へ直接連動</t>
        </is>
      </c>
      <c r="K77" t="inlineStr">
        <is>
          <t>202604_LIXIL_サーモスＬ_業務用資料集_完成品価格表.pdf</t>
        </is>
      </c>
      <c r="L77" t="inlineStr">
        <is>
          <t>https://drive.google.com/file/d/1YUN-mtWYs48YBUHJk0C3vJXnhjyZFHyf/view</t>
        </is>
      </c>
    </row>
    <row r="78">
      <c r="A78" t="inlineStr">
        <is>
          <t>GLMAP-SL-0075</t>
        </is>
      </c>
      <c r="B78" t="n">
        <v>40</v>
      </c>
      <c r="C78" t="inlineStr">
        <is>
          <t>☆</t>
        </is>
      </c>
      <c r="D78" t="n">
        <v>40</v>
      </c>
      <c r="E78" t="n">
        <v>41</v>
      </c>
      <c r="F78" t="inlineStr">
        <is>
          <t>引違い窓 │シャッター付引違い窓 / 電動 （在来）テラス②</t>
        </is>
      </c>
      <c r="G78" t="n">
        <v>40</v>
      </c>
      <c r="H78" t="inlineStr">
        <is>
          <t>P40|☆</t>
        </is>
      </c>
      <c r="I78" t="inlineStr">
        <is>
          <t>same_page</t>
        </is>
      </c>
      <c r="J78" t="inlineStr">
        <is>
          <t>同頁凡例へ直接連動</t>
        </is>
      </c>
      <c r="K78" t="inlineStr">
        <is>
          <t>202604_LIXIL_サーモスＬ_業務用資料集_完成品価格表.pdf</t>
        </is>
      </c>
      <c r="L78" t="inlineStr">
        <is>
          <t>https://drive.google.com/file/d/1YUN-mtWYs48YBUHJk0C3vJXnhjyZFHyf/view</t>
        </is>
      </c>
    </row>
    <row r="79">
      <c r="A79" t="inlineStr">
        <is>
          <t>GLMAP-SL-0076</t>
        </is>
      </c>
      <c r="B79" t="n">
        <v>40</v>
      </c>
      <c r="C79" t="inlineStr">
        <is>
          <t>無印</t>
        </is>
      </c>
      <c r="D79" t="n">
        <v>40</v>
      </c>
      <c r="E79" t="n">
        <v>41</v>
      </c>
      <c r="F79" t="inlineStr">
        <is>
          <t>引違い窓 │シャッター付引違い窓 / 電動 （在来）テラス②</t>
        </is>
      </c>
      <c r="G79" t="n">
        <v>40</v>
      </c>
      <c r="H79" t="inlineStr">
        <is>
          <t>P40|無印</t>
        </is>
      </c>
      <c r="I79" t="inlineStr">
        <is>
          <t>same_page</t>
        </is>
      </c>
      <c r="J79" t="inlineStr">
        <is>
          <t>同頁凡例へ直接連動</t>
        </is>
      </c>
      <c r="K79" t="inlineStr">
        <is>
          <t>202604_LIXIL_サーモスＬ_業務用資料集_完成品価格表.pdf</t>
        </is>
      </c>
      <c r="L79" t="inlineStr">
        <is>
          <t>https://drive.google.com/file/d/1YUN-mtWYs48YBUHJk0C3vJXnhjyZFHyf/view</t>
        </is>
      </c>
    </row>
    <row r="80">
      <c r="A80" t="inlineStr">
        <is>
          <t>GLMAP-SL-0077</t>
        </is>
      </c>
      <c r="B80" t="n">
        <v>41</v>
      </c>
      <c r="C80" t="inlineStr">
        <is>
          <t>◆</t>
        </is>
      </c>
      <c r="D80" t="n">
        <v>40</v>
      </c>
      <c r="E80" t="n">
        <v>41</v>
      </c>
      <c r="F80" t="inlineStr">
        <is>
          <t>引違い窓 │シャッター付引違い窓 / 電動 （在来）テラス②</t>
        </is>
      </c>
      <c r="G80" t="n">
        <v>40</v>
      </c>
      <c r="H80" t="inlineStr">
        <is>
          <t>P40|◆</t>
        </is>
      </c>
      <c r="I80" t="inlineStr">
        <is>
          <t>previous_in_same_section</t>
        </is>
      </c>
      <c r="J80" t="inlineStr">
        <is>
          <t>同一価格表・前頁凡例を継承</t>
        </is>
      </c>
      <c r="K80" t="inlineStr">
        <is>
          <t>202604_LIXIL_サーモスＬ_業務用資料集_完成品価格表.pdf</t>
        </is>
      </c>
      <c r="L80" t="inlineStr">
        <is>
          <t>https://drive.google.com/file/d/1YUN-mtWYs48YBUHJk0C3vJXnhjyZFHyf/view</t>
        </is>
      </c>
    </row>
    <row r="81">
      <c r="A81" t="inlineStr">
        <is>
          <t>GLMAP-SL-0078</t>
        </is>
      </c>
      <c r="B81" t="n">
        <v>41</v>
      </c>
      <c r="C81" t="inlineStr">
        <is>
          <t>★</t>
        </is>
      </c>
      <c r="D81" t="n">
        <v>40</v>
      </c>
      <c r="E81" t="n">
        <v>41</v>
      </c>
      <c r="F81" t="inlineStr">
        <is>
          <t>引違い窓 │シャッター付引違い窓 / 電動 （在来）テラス②</t>
        </is>
      </c>
      <c r="G81" t="n">
        <v>40</v>
      </c>
      <c r="H81" t="inlineStr">
        <is>
          <t>P40|★</t>
        </is>
      </c>
      <c r="I81" t="inlineStr">
        <is>
          <t>previous_in_same_section</t>
        </is>
      </c>
      <c r="J81" t="inlineStr">
        <is>
          <t>同一価格表・前頁凡例を継承</t>
        </is>
      </c>
      <c r="K81" t="inlineStr">
        <is>
          <t>202604_LIXIL_サーモスＬ_業務用資料集_完成品価格表.pdf</t>
        </is>
      </c>
      <c r="L81" t="inlineStr">
        <is>
          <t>https://drive.google.com/file/d/1YUN-mtWYs48YBUHJk0C3vJXnhjyZFHyf/view</t>
        </is>
      </c>
    </row>
    <row r="82">
      <c r="A82" t="inlineStr">
        <is>
          <t>GLMAP-SL-0079</t>
        </is>
      </c>
      <c r="B82" t="n">
        <v>41</v>
      </c>
      <c r="C82" t="inlineStr">
        <is>
          <t>無印</t>
        </is>
      </c>
      <c r="D82" t="n">
        <v>40</v>
      </c>
      <c r="E82" t="n">
        <v>41</v>
      </c>
      <c r="F82" t="inlineStr">
        <is>
          <t>引違い窓 │シャッター付引違い窓 / 電動 （在来）テラス②</t>
        </is>
      </c>
      <c r="G82" t="n">
        <v>40</v>
      </c>
      <c r="H82" t="inlineStr">
        <is>
          <t>P40|無印</t>
        </is>
      </c>
      <c r="I82" t="inlineStr">
        <is>
          <t>previous_in_same_section</t>
        </is>
      </c>
      <c r="J82" t="inlineStr">
        <is>
          <t>同一価格表・前頁凡例を継承</t>
        </is>
      </c>
      <c r="K82" t="inlineStr">
        <is>
          <t>202604_LIXIL_サーモスＬ_業務用資料集_完成品価格表.pdf</t>
        </is>
      </c>
      <c r="L82" t="inlineStr">
        <is>
          <t>https://drive.google.com/file/d/1YUN-mtWYs48YBUHJk0C3vJXnhjyZFHyf/view</t>
        </is>
      </c>
    </row>
    <row r="83">
      <c r="A83" t="inlineStr">
        <is>
          <t>GLMAP-SL-0080</t>
        </is>
      </c>
      <c r="B83" t="n">
        <v>42</v>
      </c>
      <c r="C83" t="inlineStr">
        <is>
          <t>★</t>
        </is>
      </c>
      <c r="D83" t="n">
        <v>42</v>
      </c>
      <c r="E83" t="n">
        <v>43</v>
      </c>
      <c r="F83" t="inlineStr">
        <is>
          <t>引違い窓 │シャッター付引違い窓 / 電動 （在来）テラス③</t>
        </is>
      </c>
      <c r="G83" t="n">
        <v>42</v>
      </c>
      <c r="H83" t="inlineStr">
        <is>
          <t>P42|★</t>
        </is>
      </c>
      <c r="I83" t="inlineStr">
        <is>
          <t>same_page</t>
        </is>
      </c>
      <c r="J83" t="inlineStr">
        <is>
          <t>同頁凡例へ直接連動</t>
        </is>
      </c>
      <c r="K83" t="inlineStr">
        <is>
          <t>202604_LIXIL_サーモスＬ_業務用資料集_完成品価格表.pdf</t>
        </is>
      </c>
      <c r="L83" t="inlineStr">
        <is>
          <t>https://drive.google.com/file/d/1YUN-mtWYs48YBUHJk0C3vJXnhjyZFHyf/view</t>
        </is>
      </c>
    </row>
    <row r="84">
      <c r="A84" t="inlineStr">
        <is>
          <t>GLMAP-SL-0081</t>
        </is>
      </c>
      <c r="B84" t="n">
        <v>42</v>
      </c>
      <c r="C84" t="inlineStr">
        <is>
          <t>無印</t>
        </is>
      </c>
      <c r="D84" t="n">
        <v>42</v>
      </c>
      <c r="E84" t="n">
        <v>43</v>
      </c>
      <c r="F84" t="inlineStr">
        <is>
          <t>引違い窓 │シャッター付引違い窓 / 電動 （在来）テラス③</t>
        </is>
      </c>
      <c r="G84" t="n">
        <v>42</v>
      </c>
      <c r="H84" t="inlineStr">
        <is>
          <t>P42|無印</t>
        </is>
      </c>
      <c r="I84" t="inlineStr">
        <is>
          <t>same_page</t>
        </is>
      </c>
      <c r="J84" t="inlineStr">
        <is>
          <t>同頁凡例へ直接連動</t>
        </is>
      </c>
      <c r="K84" t="inlineStr">
        <is>
          <t>202604_LIXIL_サーモスＬ_業務用資料集_完成品価格表.pdf</t>
        </is>
      </c>
      <c r="L84" t="inlineStr">
        <is>
          <t>https://drive.google.com/file/d/1YUN-mtWYs48YBUHJk0C3vJXnhjyZFHyf/view</t>
        </is>
      </c>
    </row>
    <row r="85">
      <c r="A85" t="inlineStr">
        <is>
          <t>GLMAP-SL-0082</t>
        </is>
      </c>
      <c r="B85" t="n">
        <v>43</v>
      </c>
      <c r="C85" t="inlineStr">
        <is>
          <t>★</t>
        </is>
      </c>
      <c r="D85" t="n">
        <v>42</v>
      </c>
      <c r="E85" t="n">
        <v>43</v>
      </c>
      <c r="F85" t="inlineStr">
        <is>
          <t>引違い窓 │シャッター付引違い窓 / 電動 （在来）テラス③</t>
        </is>
      </c>
      <c r="G85" t="n">
        <v>42</v>
      </c>
      <c r="H85" t="inlineStr">
        <is>
          <t>P42|★</t>
        </is>
      </c>
      <c r="I85" t="inlineStr">
        <is>
          <t>previous_in_same_section</t>
        </is>
      </c>
      <c r="J85" t="inlineStr">
        <is>
          <t>同一価格表・前頁凡例を継承</t>
        </is>
      </c>
      <c r="K85" t="inlineStr">
        <is>
          <t>202604_LIXIL_サーモスＬ_業務用資料集_完成品価格表.pdf</t>
        </is>
      </c>
      <c r="L85" t="inlineStr">
        <is>
          <t>https://drive.google.com/file/d/1YUN-mtWYs48YBUHJk0C3vJXnhjyZFHyf/view</t>
        </is>
      </c>
    </row>
    <row r="86">
      <c r="A86" t="inlineStr">
        <is>
          <t>GLMAP-SL-0083</t>
        </is>
      </c>
      <c r="B86" t="n">
        <v>43</v>
      </c>
      <c r="C86" t="inlineStr">
        <is>
          <t>☆</t>
        </is>
      </c>
      <c r="D86" t="n">
        <v>42</v>
      </c>
      <c r="E86" t="n">
        <v>43</v>
      </c>
      <c r="F86" t="inlineStr">
        <is>
          <t>引違い窓 │シャッター付引違い窓 / 電動 （在来）テラス③</t>
        </is>
      </c>
      <c r="G86" t="n">
        <v>42</v>
      </c>
      <c r="H86" t="inlineStr">
        <is>
          <t>P42|☆</t>
        </is>
      </c>
      <c r="I86" t="inlineStr">
        <is>
          <t>previous_in_same_section</t>
        </is>
      </c>
      <c r="J86" t="inlineStr">
        <is>
          <t>同一価格表・前頁凡例を継承</t>
        </is>
      </c>
      <c r="K86" t="inlineStr">
        <is>
          <t>202604_LIXIL_サーモスＬ_業務用資料集_完成品価格表.pdf</t>
        </is>
      </c>
      <c r="L86" t="inlineStr">
        <is>
          <t>https://drive.google.com/file/d/1YUN-mtWYs48YBUHJk0C3vJXnhjyZFHyf/view</t>
        </is>
      </c>
    </row>
    <row r="87">
      <c r="A87" t="inlineStr">
        <is>
          <t>GLMAP-SL-0084</t>
        </is>
      </c>
      <c r="B87" t="n">
        <v>43</v>
      </c>
      <c r="C87" t="inlineStr">
        <is>
          <t>無印</t>
        </is>
      </c>
      <c r="D87" t="n">
        <v>42</v>
      </c>
      <c r="E87" t="n">
        <v>43</v>
      </c>
      <c r="F87" t="inlineStr">
        <is>
          <t>引違い窓 │シャッター付引違い窓 / 電動 （在来）テラス③</t>
        </is>
      </c>
      <c r="G87" t="n">
        <v>42</v>
      </c>
      <c r="H87" t="inlineStr">
        <is>
          <t>P42|無印</t>
        </is>
      </c>
      <c r="I87" t="inlineStr">
        <is>
          <t>previous_in_same_section</t>
        </is>
      </c>
      <c r="J87" t="inlineStr">
        <is>
          <t>同一価格表・前頁凡例を継承</t>
        </is>
      </c>
      <c r="K87" t="inlineStr">
        <is>
          <t>202604_LIXIL_サーモスＬ_業務用資料集_完成品価格表.pdf</t>
        </is>
      </c>
      <c r="L87" t="inlineStr">
        <is>
          <t>https://drive.google.com/file/d/1YUN-mtWYs48YBUHJk0C3vJXnhjyZFHyf/view</t>
        </is>
      </c>
    </row>
    <row r="88">
      <c r="A88" t="inlineStr">
        <is>
          <t>GLMAP-SL-0085</t>
        </is>
      </c>
      <c r="B88" t="n">
        <v>44</v>
      </c>
      <c r="C88" t="inlineStr">
        <is>
          <t>◆</t>
        </is>
      </c>
      <c r="D88" t="n">
        <v>44</v>
      </c>
      <c r="E88" t="n">
        <v>45</v>
      </c>
      <c r="F88" t="inlineStr">
        <is>
          <t>引違い窓 │シャッター付引違い窓 / 電動 （在来）テラス④</t>
        </is>
      </c>
      <c r="G88" t="n">
        <v>45</v>
      </c>
      <c r="H88" t="inlineStr">
        <is>
          <t>P45|◆</t>
        </is>
      </c>
      <c r="I88" t="inlineStr">
        <is>
          <t>next_in_same_section</t>
        </is>
      </c>
      <c r="J88" t="inlineStr">
        <is>
          <t>同一価格表・次頁凡例を継承</t>
        </is>
      </c>
      <c r="K88" t="inlineStr">
        <is>
          <t>202604_LIXIL_サーモスＬ_業務用資料集_完成品価格表.pdf</t>
        </is>
      </c>
      <c r="L88" t="inlineStr">
        <is>
          <t>https://drive.google.com/file/d/1YUN-mtWYs48YBUHJk0C3vJXnhjyZFHyf/view</t>
        </is>
      </c>
    </row>
    <row r="89">
      <c r="A89" t="inlineStr">
        <is>
          <t>GLMAP-SL-0086</t>
        </is>
      </c>
      <c r="B89" t="n">
        <v>44</v>
      </c>
      <c r="C89" t="inlineStr">
        <is>
          <t>●</t>
        </is>
      </c>
      <c r="D89" t="n">
        <v>44</v>
      </c>
      <c r="E89" t="n">
        <v>45</v>
      </c>
      <c r="F89" t="inlineStr">
        <is>
          <t>引違い窓 │シャッター付引違い窓 / 電動 （在来）テラス④</t>
        </is>
      </c>
      <c r="G89" t="n">
        <v>45</v>
      </c>
      <c r="H89" t="inlineStr">
        <is>
          <t>P45|●</t>
        </is>
      </c>
      <c r="I89" t="inlineStr">
        <is>
          <t>next_in_same_section</t>
        </is>
      </c>
      <c r="J89" t="inlineStr">
        <is>
          <t>同一価格表・次頁凡例を継承</t>
        </is>
      </c>
      <c r="K89" t="inlineStr">
        <is>
          <t>202604_LIXIL_サーモスＬ_業務用資料集_完成品価格表.pdf</t>
        </is>
      </c>
      <c r="L89" t="inlineStr">
        <is>
          <t>https://drive.google.com/file/d/1YUN-mtWYs48YBUHJk0C3vJXnhjyZFHyf/view</t>
        </is>
      </c>
    </row>
    <row r="90">
      <c r="A90" t="inlineStr">
        <is>
          <t>GLMAP-SL-0087</t>
        </is>
      </c>
      <c r="B90" t="n">
        <v>44</v>
      </c>
      <c r="C90" t="inlineStr">
        <is>
          <t>★</t>
        </is>
      </c>
      <c r="D90" t="n">
        <v>44</v>
      </c>
      <c r="E90" t="n">
        <v>45</v>
      </c>
      <c r="F90" t="inlineStr">
        <is>
          <t>引違い窓 │シャッター付引違い窓 / 電動 （在来）テラス④</t>
        </is>
      </c>
      <c r="G90" t="n">
        <v>45</v>
      </c>
      <c r="H90" t="inlineStr">
        <is>
          <t>P45|★</t>
        </is>
      </c>
      <c r="I90" t="inlineStr">
        <is>
          <t>next_in_same_section</t>
        </is>
      </c>
      <c r="J90" t="inlineStr">
        <is>
          <t>同一価格表・次頁凡例を継承</t>
        </is>
      </c>
      <c r="K90" t="inlineStr">
        <is>
          <t>202604_LIXIL_サーモスＬ_業務用資料集_完成品価格表.pdf</t>
        </is>
      </c>
      <c r="L90" t="inlineStr">
        <is>
          <t>https://drive.google.com/file/d/1YUN-mtWYs48YBUHJk0C3vJXnhjyZFHyf/view</t>
        </is>
      </c>
    </row>
    <row r="91">
      <c r="A91" t="inlineStr">
        <is>
          <t>GLMAP-SL-0088</t>
        </is>
      </c>
      <c r="B91" t="n">
        <v>44</v>
      </c>
      <c r="C91" t="inlineStr">
        <is>
          <t>☆</t>
        </is>
      </c>
      <c r="D91" t="n">
        <v>44</v>
      </c>
      <c r="E91" t="n">
        <v>45</v>
      </c>
      <c r="F91" t="inlineStr">
        <is>
          <t>引違い窓 │シャッター付引違い窓 / 電動 （在来）テラス④</t>
        </is>
      </c>
      <c r="G91" t="n">
        <v>45</v>
      </c>
      <c r="H91" t="inlineStr">
        <is>
          <t>P45|☆</t>
        </is>
      </c>
      <c r="I91" t="inlineStr">
        <is>
          <t>next_in_same_section</t>
        </is>
      </c>
      <c r="J91" t="inlineStr">
        <is>
          <t>同一価格表・次頁凡例を継承</t>
        </is>
      </c>
      <c r="K91" t="inlineStr">
        <is>
          <t>202604_LIXIL_サーモスＬ_業務用資料集_完成品価格表.pdf</t>
        </is>
      </c>
      <c r="L91" t="inlineStr">
        <is>
          <t>https://drive.google.com/file/d/1YUN-mtWYs48YBUHJk0C3vJXnhjyZFHyf/view</t>
        </is>
      </c>
    </row>
    <row r="92">
      <c r="A92" t="inlineStr">
        <is>
          <t>GLMAP-SL-0089</t>
        </is>
      </c>
      <c r="B92" t="n">
        <v>44</v>
      </c>
      <c r="C92" t="inlineStr">
        <is>
          <t>無印</t>
        </is>
      </c>
      <c r="D92" t="n">
        <v>44</v>
      </c>
      <c r="E92" t="n">
        <v>45</v>
      </c>
      <c r="F92" t="inlineStr">
        <is>
          <t>引違い窓 │シャッター付引違い窓 / 電動 （在来）テラス④</t>
        </is>
      </c>
      <c r="G92" t="n">
        <v>45</v>
      </c>
      <c r="H92" t="inlineStr">
        <is>
          <t>P45|無印</t>
        </is>
      </c>
      <c r="I92" t="inlineStr">
        <is>
          <t>next_in_same_section</t>
        </is>
      </c>
      <c r="J92" t="inlineStr">
        <is>
          <t>同一価格表・次頁凡例を継承</t>
        </is>
      </c>
      <c r="K92" t="inlineStr">
        <is>
          <t>202604_LIXIL_サーモスＬ_業務用資料集_完成品価格表.pdf</t>
        </is>
      </c>
      <c r="L92" t="inlineStr">
        <is>
          <t>https://drive.google.com/file/d/1YUN-mtWYs48YBUHJk0C3vJXnhjyZFHyf/view</t>
        </is>
      </c>
    </row>
    <row r="93">
      <c r="A93" t="inlineStr">
        <is>
          <t>GLMAP-SL-0090</t>
        </is>
      </c>
      <c r="B93" t="n">
        <v>45</v>
      </c>
      <c r="C93" t="inlineStr">
        <is>
          <t>◆</t>
        </is>
      </c>
      <c r="D93" t="n">
        <v>44</v>
      </c>
      <c r="E93" t="n">
        <v>45</v>
      </c>
      <c r="F93" t="inlineStr">
        <is>
          <t>引違い窓 │シャッター付引違い窓 / 電動 （在来）テラス④</t>
        </is>
      </c>
      <c r="G93" t="n">
        <v>45</v>
      </c>
      <c r="H93" t="inlineStr">
        <is>
          <t>P45|◆</t>
        </is>
      </c>
      <c r="I93" t="inlineStr">
        <is>
          <t>same_page</t>
        </is>
      </c>
      <c r="J93" t="inlineStr">
        <is>
          <t>同頁凡例へ直接連動</t>
        </is>
      </c>
      <c r="K93" t="inlineStr">
        <is>
          <t>202604_LIXIL_サーモスＬ_業務用資料集_完成品価格表.pdf</t>
        </is>
      </c>
      <c r="L93" t="inlineStr">
        <is>
          <t>https://drive.google.com/file/d/1YUN-mtWYs48YBUHJk0C3vJXnhjyZFHyf/view</t>
        </is>
      </c>
    </row>
    <row r="94">
      <c r="A94" t="inlineStr">
        <is>
          <t>GLMAP-SL-0091</t>
        </is>
      </c>
      <c r="B94" t="n">
        <v>45</v>
      </c>
      <c r="C94" t="inlineStr">
        <is>
          <t>◇</t>
        </is>
      </c>
      <c r="D94" t="n">
        <v>44</v>
      </c>
      <c r="E94" t="n">
        <v>45</v>
      </c>
      <c r="F94" t="inlineStr">
        <is>
          <t>引違い窓 │シャッター付引違い窓 / 電動 （在来）テラス④</t>
        </is>
      </c>
      <c r="G94" t="n">
        <v>45</v>
      </c>
      <c r="H94" t="inlineStr">
        <is>
          <t>P45|◇</t>
        </is>
      </c>
      <c r="I94" t="inlineStr">
        <is>
          <t>same_page</t>
        </is>
      </c>
      <c r="J94" t="inlineStr">
        <is>
          <t>同頁凡例へ直接連動</t>
        </is>
      </c>
      <c r="K94" t="inlineStr">
        <is>
          <t>202604_LIXIL_サーモスＬ_業務用資料集_完成品価格表.pdf</t>
        </is>
      </c>
      <c r="L94" t="inlineStr">
        <is>
          <t>https://drive.google.com/file/d/1YUN-mtWYs48YBUHJk0C3vJXnhjyZFHyf/view</t>
        </is>
      </c>
    </row>
    <row r="95">
      <c r="A95" t="inlineStr">
        <is>
          <t>GLMAP-SL-0092</t>
        </is>
      </c>
      <c r="B95" t="n">
        <v>45</v>
      </c>
      <c r="C95" t="inlineStr">
        <is>
          <t>●</t>
        </is>
      </c>
      <c r="D95" t="n">
        <v>44</v>
      </c>
      <c r="E95" t="n">
        <v>45</v>
      </c>
      <c r="F95" t="inlineStr">
        <is>
          <t>引違い窓 │シャッター付引違い窓 / 電動 （在来）テラス④</t>
        </is>
      </c>
      <c r="G95" t="n">
        <v>45</v>
      </c>
      <c r="H95" t="inlineStr">
        <is>
          <t>P45|●</t>
        </is>
      </c>
      <c r="I95" t="inlineStr">
        <is>
          <t>same_page</t>
        </is>
      </c>
      <c r="J95" t="inlineStr">
        <is>
          <t>同頁凡例へ直接連動</t>
        </is>
      </c>
      <c r="K95" t="inlineStr">
        <is>
          <t>202604_LIXIL_サーモスＬ_業務用資料集_完成品価格表.pdf</t>
        </is>
      </c>
      <c r="L95" t="inlineStr">
        <is>
          <t>https://drive.google.com/file/d/1YUN-mtWYs48YBUHJk0C3vJXnhjyZFHyf/view</t>
        </is>
      </c>
    </row>
    <row r="96">
      <c r="A96" t="inlineStr">
        <is>
          <t>GLMAP-SL-0093</t>
        </is>
      </c>
      <c r="B96" t="n">
        <v>45</v>
      </c>
      <c r="C96" t="inlineStr">
        <is>
          <t>★</t>
        </is>
      </c>
      <c r="D96" t="n">
        <v>44</v>
      </c>
      <c r="E96" t="n">
        <v>45</v>
      </c>
      <c r="F96" t="inlineStr">
        <is>
          <t>引違い窓 │シャッター付引違い窓 / 電動 （在来）テラス④</t>
        </is>
      </c>
      <c r="G96" t="n">
        <v>45</v>
      </c>
      <c r="H96" t="inlineStr">
        <is>
          <t>P45|★</t>
        </is>
      </c>
      <c r="I96" t="inlineStr">
        <is>
          <t>same_page</t>
        </is>
      </c>
      <c r="J96" t="inlineStr">
        <is>
          <t>同頁凡例へ直接連動</t>
        </is>
      </c>
      <c r="K96" t="inlineStr">
        <is>
          <t>202604_LIXIL_サーモスＬ_業務用資料集_完成品価格表.pdf</t>
        </is>
      </c>
      <c r="L96" t="inlineStr">
        <is>
          <t>https://drive.google.com/file/d/1YUN-mtWYs48YBUHJk0C3vJXnhjyZFHyf/view</t>
        </is>
      </c>
    </row>
    <row r="97">
      <c r="A97" t="inlineStr">
        <is>
          <t>GLMAP-SL-0094</t>
        </is>
      </c>
      <c r="B97" t="n">
        <v>45</v>
      </c>
      <c r="C97" t="inlineStr">
        <is>
          <t>無印</t>
        </is>
      </c>
      <c r="D97" t="n">
        <v>44</v>
      </c>
      <c r="E97" t="n">
        <v>45</v>
      </c>
      <c r="F97" t="inlineStr">
        <is>
          <t>引違い窓 │シャッター付引違い窓 / 電動 （在来）テラス④</t>
        </is>
      </c>
      <c r="G97" t="n">
        <v>45</v>
      </c>
      <c r="H97" t="inlineStr">
        <is>
          <t>P45|無印</t>
        </is>
      </c>
      <c r="I97" t="inlineStr">
        <is>
          <t>same_page</t>
        </is>
      </c>
      <c r="J97" t="inlineStr">
        <is>
          <t>同頁凡例へ直接連動</t>
        </is>
      </c>
      <c r="K97" t="inlineStr">
        <is>
          <t>202604_LIXIL_サーモスＬ_業務用資料集_完成品価格表.pdf</t>
        </is>
      </c>
      <c r="L97" t="inlineStr">
        <is>
          <t>https://drive.google.com/file/d/1YUN-mtWYs48YBUHJk0C3vJXnhjyZFHyf/view</t>
        </is>
      </c>
    </row>
    <row r="98">
      <c r="A98" t="inlineStr">
        <is>
          <t>GLMAP-SL-0095</t>
        </is>
      </c>
      <c r="B98" t="n">
        <v>46</v>
      </c>
      <c r="C98" t="inlineStr">
        <is>
          <t>◆</t>
        </is>
      </c>
      <c r="D98" t="n">
        <v>46</v>
      </c>
      <c r="E98" t="n">
        <v>47</v>
      </c>
      <c r="F98" t="inlineStr">
        <is>
          <t>引違い窓 │シャッター付引違い窓 / 電動 （204）テラス①</t>
        </is>
      </c>
      <c r="G98" t="n">
        <v>46</v>
      </c>
      <c r="H98" t="inlineStr">
        <is>
          <t>P46|◆</t>
        </is>
      </c>
      <c r="I98" t="inlineStr">
        <is>
          <t>same_page</t>
        </is>
      </c>
      <c r="J98" t="inlineStr">
        <is>
          <t>同頁凡例へ直接連動</t>
        </is>
      </c>
      <c r="K98" t="inlineStr">
        <is>
          <t>202604_LIXIL_サーモスＬ_業務用資料集_完成品価格表.pdf</t>
        </is>
      </c>
      <c r="L98" t="inlineStr">
        <is>
          <t>https://drive.google.com/file/d/1YUN-mtWYs48YBUHJk0C3vJXnhjyZFHyf/view</t>
        </is>
      </c>
    </row>
    <row r="99">
      <c r="A99" t="inlineStr">
        <is>
          <t>GLMAP-SL-0096</t>
        </is>
      </c>
      <c r="B99" t="n">
        <v>46</v>
      </c>
      <c r="C99" t="inlineStr">
        <is>
          <t>○</t>
        </is>
      </c>
      <c r="D99" t="n">
        <v>46</v>
      </c>
      <c r="E99" t="n">
        <v>47</v>
      </c>
      <c r="F99" t="inlineStr">
        <is>
          <t>引違い窓 │シャッター付引違い窓 / 電動 （204）テラス①</t>
        </is>
      </c>
      <c r="G99" t="n">
        <v>46</v>
      </c>
      <c r="H99" t="inlineStr">
        <is>
          <t>P46|○</t>
        </is>
      </c>
      <c r="I99" t="inlineStr">
        <is>
          <t>same_page</t>
        </is>
      </c>
      <c r="J99" t="inlineStr">
        <is>
          <t>同頁凡例へ直接連動</t>
        </is>
      </c>
      <c r="K99" t="inlineStr">
        <is>
          <t>202604_LIXIL_サーモスＬ_業務用資料集_完成品価格表.pdf</t>
        </is>
      </c>
      <c r="L99" t="inlineStr">
        <is>
          <t>https://drive.google.com/file/d/1YUN-mtWYs48YBUHJk0C3vJXnhjyZFHyf/view</t>
        </is>
      </c>
    </row>
    <row r="100">
      <c r="A100" t="inlineStr">
        <is>
          <t>GLMAP-SL-0097</t>
        </is>
      </c>
      <c r="B100" t="n">
        <v>46</v>
      </c>
      <c r="C100" t="inlineStr">
        <is>
          <t>☆</t>
        </is>
      </c>
      <c r="D100" t="n">
        <v>46</v>
      </c>
      <c r="E100" t="n">
        <v>47</v>
      </c>
      <c r="F100" t="inlineStr">
        <is>
          <t>引違い窓 │シャッター付引違い窓 / 電動 （204）テラス①</t>
        </is>
      </c>
      <c r="G100" t="n">
        <v>46</v>
      </c>
      <c r="H100" t="inlineStr">
        <is>
          <t>P46|☆</t>
        </is>
      </c>
      <c r="I100" t="inlineStr">
        <is>
          <t>same_page</t>
        </is>
      </c>
      <c r="J100" t="inlineStr">
        <is>
          <t>同頁凡例へ直接連動</t>
        </is>
      </c>
      <c r="K100" t="inlineStr">
        <is>
          <t>202604_LIXIL_サーモスＬ_業務用資料集_完成品価格表.pdf</t>
        </is>
      </c>
      <c r="L100" t="inlineStr">
        <is>
          <t>https://drive.google.com/file/d/1YUN-mtWYs48YBUHJk0C3vJXnhjyZFHyf/view</t>
        </is>
      </c>
    </row>
    <row r="101">
      <c r="A101" t="inlineStr">
        <is>
          <t>GLMAP-SL-0098</t>
        </is>
      </c>
      <c r="B101" t="n">
        <v>46</v>
      </c>
      <c r="C101" t="inlineStr">
        <is>
          <t>無印</t>
        </is>
      </c>
      <c r="D101" t="n">
        <v>46</v>
      </c>
      <c r="E101" t="n">
        <v>47</v>
      </c>
      <c r="F101" t="inlineStr">
        <is>
          <t>引違い窓 │シャッター付引違い窓 / 電動 （204）テラス①</t>
        </is>
      </c>
      <c r="G101" t="n">
        <v>46</v>
      </c>
      <c r="H101" t="inlineStr">
        <is>
          <t>P46|無印</t>
        </is>
      </c>
      <c r="I101" t="inlineStr">
        <is>
          <t>same_page</t>
        </is>
      </c>
      <c r="J101" t="inlineStr">
        <is>
          <t>同頁凡例へ直接連動</t>
        </is>
      </c>
      <c r="K101" t="inlineStr">
        <is>
          <t>202604_LIXIL_サーモスＬ_業務用資料集_完成品価格表.pdf</t>
        </is>
      </c>
      <c r="L101" t="inlineStr">
        <is>
          <t>https://drive.google.com/file/d/1YUN-mtWYs48YBUHJk0C3vJXnhjyZFHyf/view</t>
        </is>
      </c>
    </row>
    <row r="102">
      <c r="A102" t="inlineStr">
        <is>
          <t>GLMAP-SL-0099</t>
        </is>
      </c>
      <c r="B102" t="n">
        <v>48</v>
      </c>
      <c r="C102" t="inlineStr">
        <is>
          <t>◆</t>
        </is>
      </c>
      <c r="D102" t="n">
        <v>48</v>
      </c>
      <c r="E102" t="n">
        <v>49</v>
      </c>
      <c r="F102" t="inlineStr">
        <is>
          <t>引違い窓 │シャッター付引違い窓 / 電動 （204）テラス②</t>
        </is>
      </c>
      <c r="G102" t="n">
        <v>48</v>
      </c>
      <c r="H102" t="inlineStr">
        <is>
          <t>P48|◆</t>
        </is>
      </c>
      <c r="I102" t="inlineStr">
        <is>
          <t>same_page</t>
        </is>
      </c>
      <c r="J102" t="inlineStr">
        <is>
          <t>同頁凡例へ直接連動</t>
        </is>
      </c>
      <c r="K102" t="inlineStr">
        <is>
          <t>202604_LIXIL_サーモスＬ_業務用資料集_完成品価格表.pdf</t>
        </is>
      </c>
      <c r="L102" t="inlineStr">
        <is>
          <t>https://drive.google.com/file/d/1YUN-mtWYs48YBUHJk0C3vJXnhjyZFHyf/view</t>
        </is>
      </c>
    </row>
    <row r="103">
      <c r="A103" t="inlineStr">
        <is>
          <t>GLMAP-SL-0100</t>
        </is>
      </c>
      <c r="B103" t="n">
        <v>48</v>
      </c>
      <c r="C103" t="inlineStr">
        <is>
          <t>●</t>
        </is>
      </c>
      <c r="D103" t="n">
        <v>48</v>
      </c>
      <c r="E103" t="n">
        <v>49</v>
      </c>
      <c r="F103" t="inlineStr">
        <is>
          <t>引違い窓 │シャッター付引違い窓 / 電動 （204）テラス②</t>
        </is>
      </c>
      <c r="G103" t="n">
        <v>48</v>
      </c>
      <c r="H103" t="inlineStr">
        <is>
          <t>P48|●</t>
        </is>
      </c>
      <c r="I103" t="inlineStr">
        <is>
          <t>same_page</t>
        </is>
      </c>
      <c r="J103" t="inlineStr">
        <is>
          <t>同頁凡例へ直接連動</t>
        </is>
      </c>
      <c r="K103" t="inlineStr">
        <is>
          <t>202604_LIXIL_サーモスＬ_業務用資料集_完成品価格表.pdf</t>
        </is>
      </c>
      <c r="L103" t="inlineStr">
        <is>
          <t>https://drive.google.com/file/d/1YUN-mtWYs48YBUHJk0C3vJXnhjyZFHyf/view</t>
        </is>
      </c>
    </row>
    <row r="104">
      <c r="A104" t="inlineStr">
        <is>
          <t>GLMAP-SL-0101</t>
        </is>
      </c>
      <c r="B104" t="n">
        <v>48</v>
      </c>
      <c r="C104" t="inlineStr">
        <is>
          <t>★</t>
        </is>
      </c>
      <c r="D104" t="n">
        <v>48</v>
      </c>
      <c r="E104" t="n">
        <v>49</v>
      </c>
      <c r="F104" t="inlineStr">
        <is>
          <t>引違い窓 │シャッター付引違い窓 / 電動 （204）テラス②</t>
        </is>
      </c>
      <c r="G104" t="n">
        <v>48</v>
      </c>
      <c r="H104" t="inlineStr">
        <is>
          <t>P48|★</t>
        </is>
      </c>
      <c r="I104" t="inlineStr">
        <is>
          <t>same_page</t>
        </is>
      </c>
      <c r="J104" t="inlineStr">
        <is>
          <t>同頁凡例へ直接連動</t>
        </is>
      </c>
      <c r="K104" t="inlineStr">
        <is>
          <t>202604_LIXIL_サーモスＬ_業務用資料集_完成品価格表.pdf</t>
        </is>
      </c>
      <c r="L104" t="inlineStr">
        <is>
          <t>https://drive.google.com/file/d/1YUN-mtWYs48YBUHJk0C3vJXnhjyZFHyf/view</t>
        </is>
      </c>
    </row>
    <row r="105">
      <c r="A105" t="inlineStr">
        <is>
          <t>GLMAP-SL-0102</t>
        </is>
      </c>
      <c r="B105" t="n">
        <v>48</v>
      </c>
      <c r="C105" t="inlineStr">
        <is>
          <t>無印</t>
        </is>
      </c>
      <c r="D105" t="n">
        <v>48</v>
      </c>
      <c r="E105" t="n">
        <v>49</v>
      </c>
      <c r="F105" t="inlineStr">
        <is>
          <t>引違い窓 │シャッター付引違い窓 / 電動 （204）テラス②</t>
        </is>
      </c>
      <c r="G105" t="n">
        <v>48</v>
      </c>
      <c r="H105" t="inlineStr">
        <is>
          <t>P48|無印</t>
        </is>
      </c>
      <c r="I105" t="inlineStr">
        <is>
          <t>same_page</t>
        </is>
      </c>
      <c r="J105" t="inlineStr">
        <is>
          <t>同頁凡例へ直接連動</t>
        </is>
      </c>
      <c r="K105" t="inlineStr">
        <is>
          <t>202604_LIXIL_サーモスＬ_業務用資料集_完成品価格表.pdf</t>
        </is>
      </c>
      <c r="L105" t="inlineStr">
        <is>
          <t>https://drive.google.com/file/d/1YUN-mtWYs48YBUHJk0C3vJXnhjyZFHyf/view</t>
        </is>
      </c>
    </row>
    <row r="106">
      <c r="A106" t="inlineStr">
        <is>
          <t>GLMAP-SL-0103</t>
        </is>
      </c>
      <c r="B106" t="n">
        <v>56</v>
      </c>
      <c r="C106" t="inlineStr">
        <is>
          <t>★</t>
        </is>
      </c>
      <c r="D106" t="n">
        <v>56</v>
      </c>
      <c r="E106" t="n">
        <v>57</v>
      </c>
      <c r="F106" t="inlineStr">
        <is>
          <t>引違い窓 │シャッター付引違い窓 / 手動 （在来・204）マド②</t>
        </is>
      </c>
      <c r="G106" t="n">
        <v>57</v>
      </c>
      <c r="H106" t="inlineStr">
        <is>
          <t>P57|★</t>
        </is>
      </c>
      <c r="I106" t="inlineStr">
        <is>
          <t>next_in_same_section</t>
        </is>
      </c>
      <c r="J106" t="inlineStr">
        <is>
          <t>同一価格表・次頁凡例を継承</t>
        </is>
      </c>
      <c r="K106" t="inlineStr">
        <is>
          <t>202604_LIXIL_サーモスＬ_業務用資料集_完成品価格表.pdf</t>
        </is>
      </c>
      <c r="L106" t="inlineStr">
        <is>
          <t>https://drive.google.com/file/d/1YUN-mtWYs48YBUHJk0C3vJXnhjyZFHyf/view</t>
        </is>
      </c>
    </row>
    <row r="107">
      <c r="A107" t="inlineStr">
        <is>
          <t>GLMAP-SL-0104</t>
        </is>
      </c>
      <c r="B107" t="n">
        <v>56</v>
      </c>
      <c r="C107" t="inlineStr">
        <is>
          <t>無印</t>
        </is>
      </c>
      <c r="D107" t="n">
        <v>56</v>
      </c>
      <c r="E107" t="n">
        <v>57</v>
      </c>
      <c r="F107" t="inlineStr">
        <is>
          <t>引違い窓 │シャッター付引違い窓 / 手動 （在来・204）マド②</t>
        </is>
      </c>
      <c r="G107" t="n">
        <v>57</v>
      </c>
      <c r="H107" t="inlineStr">
        <is>
          <t>P57|無印</t>
        </is>
      </c>
      <c r="I107" t="inlineStr">
        <is>
          <t>next_in_same_section</t>
        </is>
      </c>
      <c r="J107" t="inlineStr">
        <is>
          <t>同一価格表・次頁凡例を継承</t>
        </is>
      </c>
      <c r="K107" t="inlineStr">
        <is>
          <t>202604_LIXIL_サーモスＬ_業務用資料集_完成品価格表.pdf</t>
        </is>
      </c>
      <c r="L107" t="inlineStr">
        <is>
          <t>https://drive.google.com/file/d/1YUN-mtWYs48YBUHJk0C3vJXnhjyZFHyf/view</t>
        </is>
      </c>
    </row>
    <row r="108">
      <c r="A108" t="inlineStr">
        <is>
          <t>GLMAP-SL-0105</t>
        </is>
      </c>
      <c r="B108" t="n">
        <v>59</v>
      </c>
      <c r="C108" t="inlineStr">
        <is>
          <t>▲</t>
        </is>
      </c>
      <c r="D108" t="n">
        <v>58</v>
      </c>
      <c r="E108" t="n">
        <v>59</v>
      </c>
      <c r="F108" t="inlineStr">
        <is>
          <t>引違い窓 │シャッター付引違い窓 / 手動 （在来）テラス①</t>
        </is>
      </c>
      <c r="G108" t="n">
        <v>59</v>
      </c>
      <c r="H108" t="inlineStr">
        <is>
          <t>P59|▲</t>
        </is>
      </c>
      <c r="I108" t="inlineStr">
        <is>
          <t>same_page</t>
        </is>
      </c>
      <c r="J108" t="inlineStr">
        <is>
          <t>同頁凡例へ直接連動</t>
        </is>
      </c>
      <c r="K108" t="inlineStr">
        <is>
          <t>202604_LIXIL_サーモスＬ_業務用資料集_完成品価格表.pdf</t>
        </is>
      </c>
      <c r="L108" t="inlineStr">
        <is>
          <t>https://drive.google.com/file/d/1YUN-mtWYs48YBUHJk0C3vJXnhjyZFHyf/view</t>
        </is>
      </c>
    </row>
    <row r="109">
      <c r="A109" t="inlineStr">
        <is>
          <t>GLMAP-SL-0106</t>
        </is>
      </c>
      <c r="B109" t="n">
        <v>59</v>
      </c>
      <c r="C109" t="inlineStr">
        <is>
          <t>★</t>
        </is>
      </c>
      <c r="D109" t="n">
        <v>58</v>
      </c>
      <c r="E109" t="n">
        <v>59</v>
      </c>
      <c r="F109" t="inlineStr">
        <is>
          <t>引違い窓 │シャッター付引違い窓 / 手動 （在来）テラス①</t>
        </is>
      </c>
      <c r="G109" t="n">
        <v>59</v>
      </c>
      <c r="H109" t="inlineStr">
        <is>
          <t>P59|★</t>
        </is>
      </c>
      <c r="I109" t="inlineStr">
        <is>
          <t>same_page</t>
        </is>
      </c>
      <c r="J109" t="inlineStr">
        <is>
          <t>同頁凡例へ直接連動</t>
        </is>
      </c>
      <c r="K109" t="inlineStr">
        <is>
          <t>202604_LIXIL_サーモスＬ_業務用資料集_完成品価格表.pdf</t>
        </is>
      </c>
      <c r="L109" t="inlineStr">
        <is>
          <t>https://drive.google.com/file/d/1YUN-mtWYs48YBUHJk0C3vJXnhjyZFHyf/view</t>
        </is>
      </c>
    </row>
    <row r="110">
      <c r="A110" t="inlineStr">
        <is>
          <t>GLMAP-SL-0107</t>
        </is>
      </c>
      <c r="B110" t="n">
        <v>59</v>
      </c>
      <c r="C110" t="inlineStr">
        <is>
          <t>無印</t>
        </is>
      </c>
      <c r="D110" t="n">
        <v>58</v>
      </c>
      <c r="E110" t="n">
        <v>59</v>
      </c>
      <c r="F110" t="inlineStr">
        <is>
          <t>引違い窓 │シャッター付引違い窓 / 手動 （在来）テラス①</t>
        </is>
      </c>
      <c r="G110" t="n">
        <v>59</v>
      </c>
      <c r="H110" t="inlineStr">
        <is>
          <t>P59|無印</t>
        </is>
      </c>
      <c r="I110" t="inlineStr">
        <is>
          <t>same_page</t>
        </is>
      </c>
      <c r="J110" t="inlineStr">
        <is>
          <t>同頁凡例へ直接連動</t>
        </is>
      </c>
      <c r="K110" t="inlineStr">
        <is>
          <t>202604_LIXIL_サーモスＬ_業務用資料集_完成品価格表.pdf</t>
        </is>
      </c>
      <c r="L110" t="inlineStr">
        <is>
          <t>https://drive.google.com/file/d/1YUN-mtWYs48YBUHJk0C3vJXnhjyZFHyf/view</t>
        </is>
      </c>
    </row>
    <row r="111">
      <c r="A111" t="inlineStr">
        <is>
          <t>GLMAP-SL-0108</t>
        </is>
      </c>
      <c r="B111" t="n">
        <v>60</v>
      </c>
      <c r="C111" t="inlineStr">
        <is>
          <t>◆</t>
        </is>
      </c>
      <c r="D111" t="n">
        <v>60</v>
      </c>
      <c r="E111" t="n">
        <v>61</v>
      </c>
      <c r="F111" t="inlineStr">
        <is>
          <t>引違い窓 │シャッター付引違い窓 / 手動 （在来）テラス②</t>
        </is>
      </c>
      <c r="G111" t="n">
        <v>61</v>
      </c>
      <c r="H111" t="inlineStr">
        <is>
          <t>P61|◆</t>
        </is>
      </c>
      <c r="I111" t="inlineStr">
        <is>
          <t>next_in_same_section</t>
        </is>
      </c>
      <c r="J111" t="inlineStr">
        <is>
          <t>同一価格表・次頁凡例を継承</t>
        </is>
      </c>
      <c r="K111" t="inlineStr">
        <is>
          <t>202604_LIXIL_サーモスＬ_業務用資料集_完成品価格表.pdf</t>
        </is>
      </c>
      <c r="L111" t="inlineStr">
        <is>
          <t>https://drive.google.com/file/d/1YUN-mtWYs48YBUHJk0C3vJXnhjyZFHyf/view</t>
        </is>
      </c>
    </row>
    <row r="112">
      <c r="A112" t="inlineStr">
        <is>
          <t>GLMAP-SL-0109</t>
        </is>
      </c>
      <c r="B112" t="n">
        <v>60</v>
      </c>
      <c r="C112" t="inlineStr">
        <is>
          <t>★</t>
        </is>
      </c>
      <c r="D112" t="n">
        <v>60</v>
      </c>
      <c r="E112" t="n">
        <v>61</v>
      </c>
      <c r="F112" t="inlineStr">
        <is>
          <t>引違い窓 │シャッター付引違い窓 / 手動 （在来）テラス②</t>
        </is>
      </c>
      <c r="G112" t="n">
        <v>61</v>
      </c>
      <c r="H112" t="inlineStr">
        <is>
          <t>P61|★</t>
        </is>
      </c>
      <c r="I112" t="inlineStr">
        <is>
          <t>next_in_same_section</t>
        </is>
      </c>
      <c r="J112" t="inlineStr">
        <is>
          <t>同一価格表・次頁凡例を継承</t>
        </is>
      </c>
      <c r="K112" t="inlineStr">
        <is>
          <t>202604_LIXIL_サーモスＬ_業務用資料集_完成品価格表.pdf</t>
        </is>
      </c>
      <c r="L112" t="inlineStr">
        <is>
          <t>https://drive.google.com/file/d/1YUN-mtWYs48YBUHJk0C3vJXnhjyZFHyf/view</t>
        </is>
      </c>
    </row>
    <row r="113">
      <c r="A113" t="inlineStr">
        <is>
          <t>GLMAP-SL-0110</t>
        </is>
      </c>
      <c r="B113" t="n">
        <v>60</v>
      </c>
      <c r="C113" t="inlineStr">
        <is>
          <t>☆</t>
        </is>
      </c>
      <c r="D113" t="n">
        <v>60</v>
      </c>
      <c r="E113" t="n">
        <v>61</v>
      </c>
      <c r="F113" t="inlineStr">
        <is>
          <t>引違い窓 │シャッター付引違い窓 / 手動 （在来）テラス②</t>
        </is>
      </c>
      <c r="G113" t="n">
        <v>61</v>
      </c>
      <c r="H113" t="inlineStr">
        <is>
          <t>P61|☆</t>
        </is>
      </c>
      <c r="I113" t="inlineStr">
        <is>
          <t>next_in_same_section</t>
        </is>
      </c>
      <c r="J113" t="inlineStr">
        <is>
          <t>同一価格表・次頁凡例を継承</t>
        </is>
      </c>
      <c r="K113" t="inlineStr">
        <is>
          <t>202604_LIXIL_サーモスＬ_業務用資料集_完成品価格表.pdf</t>
        </is>
      </c>
      <c r="L113" t="inlineStr">
        <is>
          <t>https://drive.google.com/file/d/1YUN-mtWYs48YBUHJk0C3vJXnhjyZFHyf/view</t>
        </is>
      </c>
    </row>
    <row r="114">
      <c r="A114" t="inlineStr">
        <is>
          <t>GLMAP-SL-0111</t>
        </is>
      </c>
      <c r="B114" t="n">
        <v>60</v>
      </c>
      <c r="C114" t="inlineStr">
        <is>
          <t>無印</t>
        </is>
      </c>
      <c r="D114" t="n">
        <v>60</v>
      </c>
      <c r="E114" t="n">
        <v>61</v>
      </c>
      <c r="F114" t="inlineStr">
        <is>
          <t>引違い窓 │シャッター付引違い窓 / 手動 （在来）テラス②</t>
        </is>
      </c>
      <c r="G114" t="n">
        <v>61</v>
      </c>
      <c r="H114" t="inlineStr">
        <is>
          <t>P61|無印</t>
        </is>
      </c>
      <c r="I114" t="inlineStr">
        <is>
          <t>next_in_same_section</t>
        </is>
      </c>
      <c r="J114" t="inlineStr">
        <is>
          <t>同一価格表・次頁凡例を継承</t>
        </is>
      </c>
      <c r="K114" t="inlineStr">
        <is>
          <t>202604_LIXIL_サーモスＬ_業務用資料集_完成品価格表.pdf</t>
        </is>
      </c>
      <c r="L114" t="inlineStr">
        <is>
          <t>https://drive.google.com/file/d/1YUN-mtWYs48YBUHJk0C3vJXnhjyZFHyf/view</t>
        </is>
      </c>
    </row>
    <row r="115">
      <c r="A115" t="inlineStr">
        <is>
          <t>GLMAP-SL-0112</t>
        </is>
      </c>
      <c r="B115" t="n">
        <v>66</v>
      </c>
      <c r="C115" t="inlineStr">
        <is>
          <t>無印</t>
        </is>
      </c>
      <c r="D115" t="n">
        <v>66</v>
      </c>
      <c r="E115" t="n">
        <v>67</v>
      </c>
      <c r="F115" t="inlineStr">
        <is>
          <t>引違い窓 │雨戸付引違い窓 / （在来・204）マド①</t>
        </is>
      </c>
      <c r="G115" t="n">
        <v>66</v>
      </c>
      <c r="H115" t="inlineStr">
        <is>
          <t>P66|無印</t>
        </is>
      </c>
      <c r="I115" t="inlineStr">
        <is>
          <t>same_page</t>
        </is>
      </c>
      <c r="J115" t="inlineStr">
        <is>
          <t>同頁凡例へ直接連動</t>
        </is>
      </c>
      <c r="K115" t="inlineStr">
        <is>
          <t>202604_LIXIL_サーモスＬ_業務用資料集_完成品価格表.pdf</t>
        </is>
      </c>
      <c r="L115" t="inlineStr">
        <is>
          <t>https://drive.google.com/file/d/1YUN-mtWYs48YBUHJk0C3vJXnhjyZFHyf/view</t>
        </is>
      </c>
    </row>
    <row r="116">
      <c r="A116" t="inlineStr">
        <is>
          <t>GLMAP-SL-0113</t>
        </is>
      </c>
      <c r="B116" t="n">
        <v>68</v>
      </c>
      <c r="C116" t="inlineStr">
        <is>
          <t>無印</t>
        </is>
      </c>
      <c r="D116" t="n">
        <v>68</v>
      </c>
      <c r="E116" t="n">
        <v>69</v>
      </c>
      <c r="F116" t="inlineStr">
        <is>
          <t>引違い窓 │雨戸付引違い窓 / （在来・204）マド②</t>
        </is>
      </c>
      <c r="G116" t="n">
        <v>68</v>
      </c>
      <c r="H116" t="inlineStr">
        <is>
          <t>P68|無印</t>
        </is>
      </c>
      <c r="I116" t="inlineStr">
        <is>
          <t>same_page</t>
        </is>
      </c>
      <c r="J116" t="inlineStr">
        <is>
          <t>同頁凡例へ直接連動</t>
        </is>
      </c>
      <c r="K116" t="inlineStr">
        <is>
          <t>202604_LIXIL_サーモスＬ_業務用資料集_完成品価格表.pdf</t>
        </is>
      </c>
      <c r="L116" t="inlineStr">
        <is>
          <t>https://drive.google.com/file/d/1YUN-mtWYs48YBUHJk0C3vJXnhjyZFHyf/view</t>
        </is>
      </c>
    </row>
    <row r="117">
      <c r="A117" t="inlineStr">
        <is>
          <t>GLMAP-SL-0114</t>
        </is>
      </c>
      <c r="B117" t="n">
        <v>70</v>
      </c>
      <c r="C117" t="inlineStr">
        <is>
          <t>無印</t>
        </is>
      </c>
      <c r="D117" t="n">
        <v>70</v>
      </c>
      <c r="E117" t="n">
        <v>71</v>
      </c>
      <c r="F117" t="inlineStr">
        <is>
          <t>引違い窓 │雨戸付引違い窓 / （在来・204）マド③</t>
        </is>
      </c>
      <c r="G117" t="n">
        <v>70</v>
      </c>
      <c r="H117" t="inlineStr">
        <is>
          <t>P70|無印</t>
        </is>
      </c>
      <c r="I117" t="inlineStr">
        <is>
          <t>same_page</t>
        </is>
      </c>
      <c r="J117" t="inlineStr">
        <is>
          <t>同頁凡例へ直接連動</t>
        </is>
      </c>
      <c r="K117" t="inlineStr">
        <is>
          <t>202604_LIXIL_サーモスＬ_業務用資料集_完成品価格表.pdf</t>
        </is>
      </c>
      <c r="L117" t="inlineStr">
        <is>
          <t>https://drive.google.com/file/d/1YUN-mtWYs48YBUHJk0C3vJXnhjyZFHyf/view</t>
        </is>
      </c>
    </row>
    <row r="118">
      <c r="A118" t="inlineStr">
        <is>
          <t>GLMAP-SL-0115</t>
        </is>
      </c>
      <c r="B118" t="n">
        <v>72</v>
      </c>
      <c r="C118" t="inlineStr">
        <is>
          <t>○</t>
        </is>
      </c>
      <c r="D118" t="n">
        <v>72</v>
      </c>
      <c r="E118" t="n">
        <v>73</v>
      </c>
      <c r="F118" t="inlineStr">
        <is>
          <t>引違い窓 │雨戸付引違い窓 / （在来・204）マド④</t>
        </is>
      </c>
      <c r="G118" t="n">
        <v>72</v>
      </c>
      <c r="H118" t="inlineStr">
        <is>
          <t>P72|○</t>
        </is>
      </c>
      <c r="I118" t="inlineStr">
        <is>
          <t>same_page</t>
        </is>
      </c>
      <c r="J118" t="inlineStr">
        <is>
          <t>同頁凡例へ直接連動</t>
        </is>
      </c>
      <c r="K118" t="inlineStr">
        <is>
          <t>202604_LIXIL_サーモスＬ_業務用資料集_完成品価格表.pdf</t>
        </is>
      </c>
      <c r="L118" t="inlineStr">
        <is>
          <t>https://drive.google.com/file/d/1YUN-mtWYs48YBUHJk0C3vJXnhjyZFHyf/view</t>
        </is>
      </c>
    </row>
    <row r="119">
      <c r="A119" t="inlineStr">
        <is>
          <t>GLMAP-SL-0116</t>
        </is>
      </c>
      <c r="B119" t="n">
        <v>72</v>
      </c>
      <c r="C119" t="inlineStr">
        <is>
          <t>★</t>
        </is>
      </c>
      <c r="D119" t="n">
        <v>72</v>
      </c>
      <c r="E119" t="n">
        <v>73</v>
      </c>
      <c r="F119" t="inlineStr">
        <is>
          <t>引違い窓 │雨戸付引違い窓 / （在来・204）マド④</t>
        </is>
      </c>
      <c r="G119" t="n">
        <v>72</v>
      </c>
      <c r="H119" t="inlineStr">
        <is>
          <t>P72|★</t>
        </is>
      </c>
      <c r="I119" t="inlineStr">
        <is>
          <t>same_page</t>
        </is>
      </c>
      <c r="J119" t="inlineStr">
        <is>
          <t>同頁凡例へ直接連動</t>
        </is>
      </c>
      <c r="K119" t="inlineStr">
        <is>
          <t>202604_LIXIL_サーモスＬ_業務用資料集_完成品価格表.pdf</t>
        </is>
      </c>
      <c r="L119" t="inlineStr">
        <is>
          <t>https://drive.google.com/file/d/1YUN-mtWYs48YBUHJk0C3vJXnhjyZFHyf/view</t>
        </is>
      </c>
    </row>
    <row r="120">
      <c r="A120" t="inlineStr">
        <is>
          <t>GLMAP-SL-0117</t>
        </is>
      </c>
      <c r="B120" t="n">
        <v>72</v>
      </c>
      <c r="C120" t="inlineStr">
        <is>
          <t>無印</t>
        </is>
      </c>
      <c r="D120" t="n">
        <v>72</v>
      </c>
      <c r="E120" t="n">
        <v>73</v>
      </c>
      <c r="F120" t="inlineStr">
        <is>
          <t>引違い窓 │雨戸付引違い窓 / （在来・204）マド④</t>
        </is>
      </c>
      <c r="G120" t="n">
        <v>72</v>
      </c>
      <c r="H120" t="inlineStr">
        <is>
          <t>P72|無印</t>
        </is>
      </c>
      <c r="I120" t="inlineStr">
        <is>
          <t>same_page</t>
        </is>
      </c>
      <c r="J120" t="inlineStr">
        <is>
          <t>同頁凡例へ直接連動</t>
        </is>
      </c>
      <c r="K120" t="inlineStr">
        <is>
          <t>202604_LIXIL_サーモスＬ_業務用資料集_完成品価格表.pdf</t>
        </is>
      </c>
      <c r="L120" t="inlineStr">
        <is>
          <t>https://drive.google.com/file/d/1YUN-mtWYs48YBUHJk0C3vJXnhjyZFHyf/view</t>
        </is>
      </c>
    </row>
    <row r="121">
      <c r="A121" t="inlineStr">
        <is>
          <t>GLMAP-SL-0118</t>
        </is>
      </c>
      <c r="B121" t="n">
        <v>74</v>
      </c>
      <c r="C121" t="inlineStr">
        <is>
          <t>☆</t>
        </is>
      </c>
      <c r="D121" t="n">
        <v>74</v>
      </c>
      <c r="E121" t="n">
        <v>75</v>
      </c>
      <c r="F121" t="inlineStr">
        <is>
          <t>引違い窓 │雨戸付引違い窓 / （在来・204）マド⑤</t>
        </is>
      </c>
      <c r="G121" t="n">
        <v>74</v>
      </c>
      <c r="H121" t="inlineStr">
        <is>
          <t>P74|☆</t>
        </is>
      </c>
      <c r="I121" t="inlineStr">
        <is>
          <t>same_page</t>
        </is>
      </c>
      <c r="J121" t="inlineStr">
        <is>
          <t>同頁凡例へ直接連動</t>
        </is>
      </c>
      <c r="K121" t="inlineStr">
        <is>
          <t>202604_LIXIL_サーモスＬ_業務用資料集_完成品価格表.pdf</t>
        </is>
      </c>
      <c r="L121" t="inlineStr">
        <is>
          <t>https://drive.google.com/file/d/1YUN-mtWYs48YBUHJk0C3vJXnhjyZFHyf/view</t>
        </is>
      </c>
    </row>
    <row r="122">
      <c r="A122" t="inlineStr">
        <is>
          <t>GLMAP-SL-0119</t>
        </is>
      </c>
      <c r="B122" t="n">
        <v>74</v>
      </c>
      <c r="C122" t="inlineStr">
        <is>
          <t>無印</t>
        </is>
      </c>
      <c r="D122" t="n">
        <v>74</v>
      </c>
      <c r="E122" t="n">
        <v>75</v>
      </c>
      <c r="F122" t="inlineStr">
        <is>
          <t>引違い窓 │雨戸付引違い窓 / （在来・204）マド⑤</t>
        </is>
      </c>
      <c r="G122" t="n">
        <v>74</v>
      </c>
      <c r="H122" t="inlineStr">
        <is>
          <t>P74|無印</t>
        </is>
      </c>
      <c r="I122" t="inlineStr">
        <is>
          <t>same_page</t>
        </is>
      </c>
      <c r="J122" t="inlineStr">
        <is>
          <t>同頁凡例へ直接連動</t>
        </is>
      </c>
      <c r="K122" t="inlineStr">
        <is>
          <t>202604_LIXIL_サーモスＬ_業務用資料集_完成品価格表.pdf</t>
        </is>
      </c>
      <c r="L122" t="inlineStr">
        <is>
          <t>https://drive.google.com/file/d/1YUN-mtWYs48YBUHJk0C3vJXnhjyZFHyf/view</t>
        </is>
      </c>
    </row>
    <row r="123">
      <c r="A123" t="inlineStr">
        <is>
          <t>GLMAP-SL-0120</t>
        </is>
      </c>
      <c r="B123" t="n">
        <v>76</v>
      </c>
      <c r="C123" t="inlineStr">
        <is>
          <t>●</t>
        </is>
      </c>
      <c r="D123" t="n">
        <v>76</v>
      </c>
      <c r="E123" t="n">
        <v>77</v>
      </c>
      <c r="F123" t="inlineStr">
        <is>
          <t>引違い窓 │雨戸付引違い窓 / （在来・204）マド⑥</t>
        </is>
      </c>
      <c r="G123" t="n">
        <v>76</v>
      </c>
      <c r="H123" t="inlineStr">
        <is>
          <t>P76|●</t>
        </is>
      </c>
      <c r="I123" t="inlineStr">
        <is>
          <t>same_page</t>
        </is>
      </c>
      <c r="J123" t="inlineStr">
        <is>
          <t>同頁凡例へ直接連動</t>
        </is>
      </c>
      <c r="K123" t="inlineStr">
        <is>
          <t>202604_LIXIL_サーモスＬ_業務用資料集_完成品価格表.pdf</t>
        </is>
      </c>
      <c r="L123" t="inlineStr">
        <is>
          <t>https://drive.google.com/file/d/1YUN-mtWYs48YBUHJk0C3vJXnhjyZFHyf/view</t>
        </is>
      </c>
    </row>
    <row r="124">
      <c r="A124" t="inlineStr">
        <is>
          <t>GLMAP-SL-0121</t>
        </is>
      </c>
      <c r="B124" t="n">
        <v>76</v>
      </c>
      <c r="C124" t="inlineStr">
        <is>
          <t>無印</t>
        </is>
      </c>
      <c r="D124" t="n">
        <v>76</v>
      </c>
      <c r="E124" t="n">
        <v>77</v>
      </c>
      <c r="F124" t="inlineStr">
        <is>
          <t>引違い窓 │雨戸付引違い窓 / （在来・204）マド⑥</t>
        </is>
      </c>
      <c r="G124" t="n">
        <v>76</v>
      </c>
      <c r="H124" t="inlineStr">
        <is>
          <t>P76|無印</t>
        </is>
      </c>
      <c r="I124" t="inlineStr">
        <is>
          <t>same_page</t>
        </is>
      </c>
      <c r="J124" t="inlineStr">
        <is>
          <t>同頁凡例へ直接連動</t>
        </is>
      </c>
      <c r="K124" t="inlineStr">
        <is>
          <t>202604_LIXIL_サーモスＬ_業務用資料集_完成品価格表.pdf</t>
        </is>
      </c>
      <c r="L124" t="inlineStr">
        <is>
          <t>https://drive.google.com/file/d/1YUN-mtWYs48YBUHJk0C3vJXnhjyZFHyf/view</t>
        </is>
      </c>
    </row>
    <row r="125">
      <c r="A125" t="inlineStr">
        <is>
          <t>GLMAP-SL-0122</t>
        </is>
      </c>
      <c r="B125" t="n">
        <v>78</v>
      </c>
      <c r="C125" t="inlineStr">
        <is>
          <t>▲</t>
        </is>
      </c>
      <c r="D125" t="n">
        <v>78</v>
      </c>
      <c r="E125" t="n">
        <v>79</v>
      </c>
      <c r="F125" t="inlineStr">
        <is>
          <t>引違い窓 │雨戸付引違い窓 / （在来）テラス①</t>
        </is>
      </c>
      <c r="G125" t="n">
        <v>79</v>
      </c>
      <c r="H125" t="inlineStr">
        <is>
          <t>P79|▲</t>
        </is>
      </c>
      <c r="I125" t="inlineStr">
        <is>
          <t>next_in_same_section</t>
        </is>
      </c>
      <c r="J125" t="inlineStr">
        <is>
          <t>同一価格表・次頁凡例を継承</t>
        </is>
      </c>
      <c r="K125" t="inlineStr">
        <is>
          <t>202604_LIXIL_サーモスＬ_業務用資料集_完成品価格表.pdf</t>
        </is>
      </c>
      <c r="L125" t="inlineStr">
        <is>
          <t>https://drive.google.com/file/d/1YUN-mtWYs48YBUHJk0C3vJXnhjyZFHyf/view</t>
        </is>
      </c>
    </row>
    <row r="126">
      <c r="A126" t="inlineStr">
        <is>
          <t>GLMAP-SL-0123</t>
        </is>
      </c>
      <c r="B126" t="n">
        <v>78</v>
      </c>
      <c r="C126" t="inlineStr">
        <is>
          <t>△</t>
        </is>
      </c>
      <c r="D126" t="n">
        <v>78</v>
      </c>
      <c r="E126" t="n">
        <v>79</v>
      </c>
      <c r="F126" t="inlineStr">
        <is>
          <t>引違い窓 │雨戸付引違い窓 / （在来）テラス①</t>
        </is>
      </c>
      <c r="G126" t="n">
        <v>79</v>
      </c>
      <c r="H126" t="inlineStr">
        <is>
          <t>P79|△</t>
        </is>
      </c>
      <c r="I126" t="inlineStr">
        <is>
          <t>next_in_same_section</t>
        </is>
      </c>
      <c r="J126" t="inlineStr">
        <is>
          <t>同一価格表・次頁凡例を継承</t>
        </is>
      </c>
      <c r="K126" t="inlineStr">
        <is>
          <t>202604_LIXIL_サーモスＬ_業務用資料集_完成品価格表.pdf</t>
        </is>
      </c>
      <c r="L126" t="inlineStr">
        <is>
          <t>https://drive.google.com/file/d/1YUN-mtWYs48YBUHJk0C3vJXnhjyZFHyf/view</t>
        </is>
      </c>
    </row>
    <row r="127">
      <c r="A127" t="inlineStr">
        <is>
          <t>GLMAP-SL-0124</t>
        </is>
      </c>
      <c r="B127" t="n">
        <v>78</v>
      </c>
      <c r="C127" t="inlineStr">
        <is>
          <t>★</t>
        </is>
      </c>
      <c r="D127" t="n">
        <v>78</v>
      </c>
      <c r="E127" t="n">
        <v>79</v>
      </c>
      <c r="F127" t="inlineStr">
        <is>
          <t>引違い窓 │雨戸付引違い窓 / （在来）テラス①</t>
        </is>
      </c>
      <c r="G127" t="n">
        <v>79</v>
      </c>
      <c r="H127" t="inlineStr">
        <is>
          <t>P79|★</t>
        </is>
      </c>
      <c r="I127" t="inlineStr">
        <is>
          <t>next_in_same_section</t>
        </is>
      </c>
      <c r="J127" t="inlineStr">
        <is>
          <t>同一価格表・次頁凡例を継承</t>
        </is>
      </c>
      <c r="K127" t="inlineStr">
        <is>
          <t>202604_LIXIL_サーモスＬ_業務用資料集_完成品価格表.pdf</t>
        </is>
      </c>
      <c r="L127" t="inlineStr">
        <is>
          <t>https://drive.google.com/file/d/1YUN-mtWYs48YBUHJk0C3vJXnhjyZFHyf/view</t>
        </is>
      </c>
    </row>
    <row r="128">
      <c r="A128" t="inlineStr">
        <is>
          <t>GLMAP-SL-0125</t>
        </is>
      </c>
      <c r="B128" t="n">
        <v>78</v>
      </c>
      <c r="C128" t="inlineStr">
        <is>
          <t>無印</t>
        </is>
      </c>
      <c r="D128" t="n">
        <v>78</v>
      </c>
      <c r="E128" t="n">
        <v>79</v>
      </c>
      <c r="F128" t="inlineStr">
        <is>
          <t>引違い窓 │雨戸付引違い窓 / （在来）テラス①</t>
        </is>
      </c>
      <c r="G128" t="n">
        <v>79</v>
      </c>
      <c r="H128" t="inlineStr">
        <is>
          <t>P79|無印</t>
        </is>
      </c>
      <c r="I128" t="inlineStr">
        <is>
          <t>next_in_same_section</t>
        </is>
      </c>
      <c r="J128" t="inlineStr">
        <is>
          <t>同一価格表・次頁凡例を継承</t>
        </is>
      </c>
      <c r="K128" t="inlineStr">
        <is>
          <t>202604_LIXIL_サーモスＬ_業務用資料集_完成品価格表.pdf</t>
        </is>
      </c>
      <c r="L128" t="inlineStr">
        <is>
          <t>https://drive.google.com/file/d/1YUN-mtWYs48YBUHJk0C3vJXnhjyZFHyf/view</t>
        </is>
      </c>
    </row>
    <row r="129">
      <c r="A129" t="inlineStr">
        <is>
          <t>GLMAP-SL-0126</t>
        </is>
      </c>
      <c r="B129" t="n">
        <v>80</v>
      </c>
      <c r="C129" t="inlineStr">
        <is>
          <t>◆</t>
        </is>
      </c>
      <c r="D129" t="n">
        <v>80</v>
      </c>
      <c r="E129" t="n">
        <v>81</v>
      </c>
      <c r="F129" t="inlineStr">
        <is>
          <t>引違い窓 │雨戸付引違い窓 / （在来）テラス②</t>
        </is>
      </c>
      <c r="G129" t="n">
        <v>81</v>
      </c>
      <c r="H129" t="inlineStr">
        <is>
          <t>P81|◆</t>
        </is>
      </c>
      <c r="I129" t="inlineStr">
        <is>
          <t>next_in_same_section</t>
        </is>
      </c>
      <c r="J129" t="inlineStr">
        <is>
          <t>同一価格表・次頁凡例を継承</t>
        </is>
      </c>
      <c r="K129" t="inlineStr">
        <is>
          <t>202604_LIXIL_サーモスＬ_業務用資料集_完成品価格表.pdf</t>
        </is>
      </c>
      <c r="L129" t="inlineStr">
        <is>
          <t>https://drive.google.com/file/d/1YUN-mtWYs48YBUHJk0C3vJXnhjyZFHyf/view</t>
        </is>
      </c>
    </row>
    <row r="130">
      <c r="A130" t="inlineStr">
        <is>
          <t>GLMAP-SL-0127</t>
        </is>
      </c>
      <c r="B130" t="n">
        <v>80</v>
      </c>
      <c r="C130" t="inlineStr">
        <is>
          <t>★</t>
        </is>
      </c>
      <c r="D130" t="n">
        <v>80</v>
      </c>
      <c r="E130" t="n">
        <v>81</v>
      </c>
      <c r="F130" t="inlineStr">
        <is>
          <t>引違い窓 │雨戸付引違い窓 / （在来）テラス②</t>
        </is>
      </c>
      <c r="G130" t="n">
        <v>81</v>
      </c>
      <c r="H130" t="inlineStr">
        <is>
          <t>P81|★</t>
        </is>
      </c>
      <c r="I130" t="inlineStr">
        <is>
          <t>next_in_same_section</t>
        </is>
      </c>
      <c r="J130" t="inlineStr">
        <is>
          <t>同一価格表・次頁凡例を継承</t>
        </is>
      </c>
      <c r="K130" t="inlineStr">
        <is>
          <t>202604_LIXIL_サーモスＬ_業務用資料集_完成品価格表.pdf</t>
        </is>
      </c>
      <c r="L130" t="inlineStr">
        <is>
          <t>https://drive.google.com/file/d/1YUN-mtWYs48YBUHJk0C3vJXnhjyZFHyf/view</t>
        </is>
      </c>
    </row>
    <row r="131">
      <c r="A131" t="inlineStr">
        <is>
          <t>GLMAP-SL-0128</t>
        </is>
      </c>
      <c r="B131" t="n">
        <v>80</v>
      </c>
      <c r="C131" t="inlineStr">
        <is>
          <t>☆</t>
        </is>
      </c>
      <c r="D131" t="n">
        <v>80</v>
      </c>
      <c r="E131" t="n">
        <v>81</v>
      </c>
      <c r="F131" t="inlineStr">
        <is>
          <t>引違い窓 │雨戸付引違い窓 / （在来）テラス②</t>
        </is>
      </c>
      <c r="G131" t="n">
        <v>81</v>
      </c>
      <c r="H131" t="inlineStr">
        <is>
          <t>P81|☆</t>
        </is>
      </c>
      <c r="I131" t="inlineStr">
        <is>
          <t>next_in_same_section</t>
        </is>
      </c>
      <c r="J131" t="inlineStr">
        <is>
          <t>同一価格表・次頁凡例を継承</t>
        </is>
      </c>
      <c r="K131" t="inlineStr">
        <is>
          <t>202604_LIXIL_サーモスＬ_業務用資料集_完成品価格表.pdf</t>
        </is>
      </c>
      <c r="L131" t="inlineStr">
        <is>
          <t>https://drive.google.com/file/d/1YUN-mtWYs48YBUHJk0C3vJXnhjyZFHyf/view</t>
        </is>
      </c>
    </row>
    <row r="132">
      <c r="A132" t="inlineStr">
        <is>
          <t>GLMAP-SL-0129</t>
        </is>
      </c>
      <c r="B132" t="n">
        <v>80</v>
      </c>
      <c r="C132" t="inlineStr">
        <is>
          <t>無印</t>
        </is>
      </c>
      <c r="D132" t="n">
        <v>80</v>
      </c>
      <c r="E132" t="n">
        <v>81</v>
      </c>
      <c r="F132" t="inlineStr">
        <is>
          <t>引違い窓 │雨戸付引違い窓 / （在来）テラス②</t>
        </is>
      </c>
      <c r="G132" t="n">
        <v>81</v>
      </c>
      <c r="H132" t="inlineStr">
        <is>
          <t>P81|無印</t>
        </is>
      </c>
      <c r="I132" t="inlineStr">
        <is>
          <t>next_in_same_section</t>
        </is>
      </c>
      <c r="J132" t="inlineStr">
        <is>
          <t>同一価格表・次頁凡例を継承</t>
        </is>
      </c>
      <c r="K132" t="inlineStr">
        <is>
          <t>202604_LIXIL_サーモスＬ_業務用資料集_完成品価格表.pdf</t>
        </is>
      </c>
      <c r="L132" t="inlineStr">
        <is>
          <t>https://drive.google.com/file/d/1YUN-mtWYs48YBUHJk0C3vJXnhjyZFHyf/view</t>
        </is>
      </c>
    </row>
    <row r="133">
      <c r="A133" t="inlineStr">
        <is>
          <t>GLMAP-SL-0130</t>
        </is>
      </c>
      <c r="B133" t="n">
        <v>82</v>
      </c>
      <c r="C133" t="inlineStr">
        <is>
          <t>★</t>
        </is>
      </c>
      <c r="D133" t="n">
        <v>82</v>
      </c>
      <c r="E133" t="n">
        <v>83</v>
      </c>
      <c r="F133" t="inlineStr">
        <is>
          <t>引違い窓 │雨戸付引違い窓 / （在来）テラス③</t>
        </is>
      </c>
      <c r="G133" t="n">
        <v>82</v>
      </c>
      <c r="H133" t="inlineStr">
        <is>
          <t>P82|★</t>
        </is>
      </c>
      <c r="I133" t="inlineStr">
        <is>
          <t>same_page</t>
        </is>
      </c>
      <c r="J133" t="inlineStr">
        <is>
          <t>同頁凡例へ直接連動</t>
        </is>
      </c>
      <c r="K133" t="inlineStr">
        <is>
          <t>202604_LIXIL_サーモスＬ_業務用資料集_完成品価格表.pdf</t>
        </is>
      </c>
      <c r="L133" t="inlineStr">
        <is>
          <t>https://drive.google.com/file/d/1YUN-mtWYs48YBUHJk0C3vJXnhjyZFHyf/view</t>
        </is>
      </c>
    </row>
    <row r="134">
      <c r="A134" t="inlineStr">
        <is>
          <t>GLMAP-SL-0131</t>
        </is>
      </c>
      <c r="B134" t="n">
        <v>82</v>
      </c>
      <c r="C134" t="inlineStr">
        <is>
          <t>無印</t>
        </is>
      </c>
      <c r="D134" t="n">
        <v>82</v>
      </c>
      <c r="E134" t="n">
        <v>83</v>
      </c>
      <c r="F134" t="inlineStr">
        <is>
          <t>引違い窓 │雨戸付引違い窓 / （在来）テラス③</t>
        </is>
      </c>
      <c r="G134" t="n">
        <v>82</v>
      </c>
      <c r="H134" t="inlineStr">
        <is>
          <t>P82|無印</t>
        </is>
      </c>
      <c r="I134" t="inlineStr">
        <is>
          <t>same_page</t>
        </is>
      </c>
      <c r="J134" t="inlineStr">
        <is>
          <t>同頁凡例へ直接連動</t>
        </is>
      </c>
      <c r="K134" t="inlineStr">
        <is>
          <t>202604_LIXIL_サーモスＬ_業務用資料集_完成品価格表.pdf</t>
        </is>
      </c>
      <c r="L134" t="inlineStr">
        <is>
          <t>https://drive.google.com/file/d/1YUN-mtWYs48YBUHJk0C3vJXnhjyZFHyf/view</t>
        </is>
      </c>
    </row>
    <row r="135">
      <c r="A135" t="inlineStr">
        <is>
          <t>GLMAP-SL-0132</t>
        </is>
      </c>
      <c r="B135" t="n">
        <v>84</v>
      </c>
      <c r="C135" t="inlineStr">
        <is>
          <t>◆</t>
        </is>
      </c>
      <c r="D135" t="n">
        <v>84</v>
      </c>
      <c r="E135" t="n">
        <v>85</v>
      </c>
      <c r="F135" t="inlineStr">
        <is>
          <t>引違い窓 │雨戸付引違い窓 / （在来）テラス④</t>
        </is>
      </c>
      <c r="G135" t="n">
        <v>84</v>
      </c>
      <c r="H135" t="inlineStr">
        <is>
          <t>P84|◆</t>
        </is>
      </c>
      <c r="I135" t="inlineStr">
        <is>
          <t>same_page</t>
        </is>
      </c>
      <c r="J135" t="inlineStr">
        <is>
          <t>同頁凡例へ直接連動</t>
        </is>
      </c>
      <c r="K135" t="inlineStr">
        <is>
          <t>202604_LIXIL_サーモスＬ_業務用資料集_完成品価格表.pdf</t>
        </is>
      </c>
      <c r="L135" t="inlineStr">
        <is>
          <t>https://drive.google.com/file/d/1YUN-mtWYs48YBUHJk0C3vJXnhjyZFHyf/view</t>
        </is>
      </c>
    </row>
    <row r="136">
      <c r="A136" t="inlineStr">
        <is>
          <t>GLMAP-SL-0133</t>
        </is>
      </c>
      <c r="B136" t="n">
        <v>84</v>
      </c>
      <c r="C136" t="inlineStr">
        <is>
          <t>★</t>
        </is>
      </c>
      <c r="D136" t="n">
        <v>84</v>
      </c>
      <c r="E136" t="n">
        <v>85</v>
      </c>
      <c r="F136" t="inlineStr">
        <is>
          <t>引違い窓 │雨戸付引違い窓 / （在来）テラス④</t>
        </is>
      </c>
      <c r="G136" t="n">
        <v>84</v>
      </c>
      <c r="H136" t="inlineStr">
        <is>
          <t>P84|★</t>
        </is>
      </c>
      <c r="I136" t="inlineStr">
        <is>
          <t>same_page</t>
        </is>
      </c>
      <c r="J136" t="inlineStr">
        <is>
          <t>同頁凡例へ直接連動</t>
        </is>
      </c>
      <c r="K136" t="inlineStr">
        <is>
          <t>202604_LIXIL_サーモスＬ_業務用資料集_完成品価格表.pdf</t>
        </is>
      </c>
      <c r="L136" t="inlineStr">
        <is>
          <t>https://drive.google.com/file/d/1YUN-mtWYs48YBUHJk0C3vJXnhjyZFHyf/view</t>
        </is>
      </c>
    </row>
    <row r="137">
      <c r="A137" t="inlineStr">
        <is>
          <t>GLMAP-SL-0134</t>
        </is>
      </c>
      <c r="B137" t="n">
        <v>84</v>
      </c>
      <c r="C137" t="inlineStr">
        <is>
          <t>無印</t>
        </is>
      </c>
      <c r="D137" t="n">
        <v>84</v>
      </c>
      <c r="E137" t="n">
        <v>85</v>
      </c>
      <c r="F137" t="inlineStr">
        <is>
          <t>引違い窓 │雨戸付引違い窓 / （在来）テラス④</t>
        </is>
      </c>
      <c r="G137" t="n">
        <v>84</v>
      </c>
      <c r="H137" t="inlineStr">
        <is>
          <t>P84|無印</t>
        </is>
      </c>
      <c r="I137" t="inlineStr">
        <is>
          <t>same_page</t>
        </is>
      </c>
      <c r="J137" t="inlineStr">
        <is>
          <t>同頁凡例へ直接連動</t>
        </is>
      </c>
      <c r="K137" t="inlineStr">
        <is>
          <t>202604_LIXIL_サーモスＬ_業務用資料集_完成品価格表.pdf</t>
        </is>
      </c>
      <c r="L137" t="inlineStr">
        <is>
          <t>https://drive.google.com/file/d/1YUN-mtWYs48YBUHJk0C3vJXnhjyZFHyf/view</t>
        </is>
      </c>
    </row>
    <row r="138">
      <c r="A138" t="inlineStr">
        <is>
          <t>GLMAP-SL-0135</t>
        </is>
      </c>
      <c r="B138" t="n">
        <v>90</v>
      </c>
      <c r="C138" t="inlineStr">
        <is>
          <t>無印</t>
        </is>
      </c>
      <c r="D138" t="n">
        <v>90</v>
      </c>
      <c r="E138" t="n">
        <v>91</v>
      </c>
      <c r="F138" t="inlineStr">
        <is>
          <t>（在来・204）① / 引違い窓 │面格子付引違い窓</t>
        </is>
      </c>
      <c r="G138" t="n">
        <v>90</v>
      </c>
      <c r="H138" t="inlineStr">
        <is>
          <t>P90|無印</t>
        </is>
      </c>
      <c r="I138" t="inlineStr">
        <is>
          <t>same_page</t>
        </is>
      </c>
      <c r="J138" t="inlineStr">
        <is>
          <t>同頁凡例へ直接連動</t>
        </is>
      </c>
      <c r="K138" t="inlineStr">
        <is>
          <t>202604_LIXIL_サーモスＬ_業務用資料集_完成品価格表.pdf</t>
        </is>
      </c>
      <c r="L138" t="inlineStr">
        <is>
          <t>https://drive.google.com/file/d/1YUN-mtWYs48YBUHJk0C3vJXnhjyZFHyf/view</t>
        </is>
      </c>
    </row>
    <row r="139">
      <c r="A139" t="inlineStr">
        <is>
          <t>GLMAP-SL-0136</t>
        </is>
      </c>
      <c r="B139" t="n">
        <v>94</v>
      </c>
      <c r="C139" t="inlineStr">
        <is>
          <t>無印</t>
        </is>
      </c>
      <c r="D139" t="n">
        <v>94</v>
      </c>
      <c r="E139" t="n">
        <v>95</v>
      </c>
      <c r="F139" t="inlineStr">
        <is>
          <t>（在来・204）③ / 引違い窓 │面格子付引違い窓</t>
        </is>
      </c>
      <c r="G139" t="n">
        <v>94</v>
      </c>
      <c r="H139" t="inlineStr">
        <is>
          <t>P94|無印</t>
        </is>
      </c>
      <c r="I139" t="inlineStr">
        <is>
          <t>same_page</t>
        </is>
      </c>
      <c r="J139" t="inlineStr">
        <is>
          <t>同頁凡例へ直接連動</t>
        </is>
      </c>
      <c r="K139" t="inlineStr">
        <is>
          <t>202604_LIXIL_サーモスＬ_業務用資料集_完成品価格表.pdf</t>
        </is>
      </c>
      <c r="L139" t="inlineStr">
        <is>
          <t>https://drive.google.com/file/d/1YUN-mtWYs48YBUHJk0C3vJXnhjyZFHyf/view</t>
        </is>
      </c>
    </row>
    <row r="140">
      <c r="A140" t="inlineStr">
        <is>
          <t>GLMAP-SL-0137</t>
        </is>
      </c>
      <c r="B140" t="n">
        <v>95</v>
      </c>
      <c r="C140" t="inlineStr">
        <is>
          <t>無印</t>
        </is>
      </c>
      <c r="D140" t="n">
        <v>94</v>
      </c>
      <c r="E140" t="n">
        <v>95</v>
      </c>
      <c r="F140" t="inlineStr">
        <is>
          <t>（在来・204）③ / 引違い窓 │面格子付引違い窓</t>
        </is>
      </c>
      <c r="G140" t="n">
        <v>94</v>
      </c>
      <c r="H140" t="inlineStr">
        <is>
          <t>P94|無印</t>
        </is>
      </c>
      <c r="I140" t="inlineStr">
        <is>
          <t>previous_in_same_section</t>
        </is>
      </c>
      <c r="J140" t="inlineStr">
        <is>
          <t>同一価格表・前頁凡例を継承</t>
        </is>
      </c>
      <c r="K140" t="inlineStr">
        <is>
          <t>202604_LIXIL_サーモスＬ_業務用資料集_完成品価格表.pdf</t>
        </is>
      </c>
      <c r="L140" t="inlineStr">
        <is>
          <t>https://drive.google.com/file/d/1YUN-mtWYs48YBUHJk0C3vJXnhjyZFHyf/view</t>
        </is>
      </c>
    </row>
    <row r="141">
      <c r="A141" t="inlineStr">
        <is>
          <t>GLMAP-SL-0138</t>
        </is>
      </c>
      <c r="B141" t="n">
        <v>96</v>
      </c>
      <c r="C141" t="inlineStr">
        <is>
          <t>無印</t>
        </is>
      </c>
      <c r="D141" t="n">
        <v>96</v>
      </c>
      <c r="E141" t="n">
        <v>97</v>
      </c>
      <c r="F141" t="inlineStr">
        <is>
          <t>（在来・204）④ / 引違い窓 │面格子付引違い窓</t>
        </is>
      </c>
      <c r="G141" t="n">
        <v>96</v>
      </c>
      <c r="H141" t="inlineStr">
        <is>
          <t>P96|無印</t>
        </is>
      </c>
      <c r="I141" t="inlineStr">
        <is>
          <t>same_page</t>
        </is>
      </c>
      <c r="J141" t="inlineStr">
        <is>
          <t>同頁凡例へ直接連動</t>
        </is>
      </c>
      <c r="K141" t="inlineStr">
        <is>
          <t>202604_LIXIL_サーモスＬ_業務用資料集_完成品価格表.pdf</t>
        </is>
      </c>
      <c r="L141" t="inlineStr">
        <is>
          <t>https://drive.google.com/file/d/1YUN-mtWYs48YBUHJk0C3vJXnhjyZFHyf/view</t>
        </is>
      </c>
    </row>
    <row r="142">
      <c r="A142" t="inlineStr">
        <is>
          <t>GLMAP-SL-0139</t>
        </is>
      </c>
      <c r="B142" t="n">
        <v>97</v>
      </c>
      <c r="C142" t="inlineStr">
        <is>
          <t>無印</t>
        </is>
      </c>
      <c r="D142" t="n">
        <v>96</v>
      </c>
      <c r="E142" t="n">
        <v>97</v>
      </c>
      <c r="F142" t="inlineStr">
        <is>
          <t>（在来・204）④ / 引違い窓 │面格子付引違い窓</t>
        </is>
      </c>
      <c r="G142" t="n">
        <v>96</v>
      </c>
      <c r="H142" t="inlineStr">
        <is>
          <t>P96|無印</t>
        </is>
      </c>
      <c r="I142" t="inlineStr">
        <is>
          <t>previous_in_same_section</t>
        </is>
      </c>
      <c r="J142" t="inlineStr">
        <is>
          <t>同一価格表・前頁凡例を継承</t>
        </is>
      </c>
      <c r="K142" t="inlineStr">
        <is>
          <t>202604_LIXIL_サーモスＬ_業務用資料集_完成品価格表.pdf</t>
        </is>
      </c>
      <c r="L142" t="inlineStr">
        <is>
          <t>https://drive.google.com/file/d/1YUN-mtWYs48YBUHJk0C3vJXnhjyZFHyf/view</t>
        </is>
      </c>
    </row>
    <row r="143">
      <c r="A143" t="inlineStr">
        <is>
          <t>GLMAP-SL-0140</t>
        </is>
      </c>
      <c r="B143" t="n">
        <v>98</v>
      </c>
      <c r="C143" t="inlineStr">
        <is>
          <t>無印</t>
        </is>
      </c>
      <c r="D143" t="n">
        <v>98</v>
      </c>
      <c r="E143" t="n">
        <v>99</v>
      </c>
      <c r="F143" t="inlineStr">
        <is>
          <t>引違い窓 │面格子付引違い窓 / （在来・204）⑤</t>
        </is>
      </c>
      <c r="G143" t="n">
        <v>98</v>
      </c>
      <c r="H143" t="inlineStr">
        <is>
          <t>P98|無印</t>
        </is>
      </c>
      <c r="I143" t="inlineStr">
        <is>
          <t>same_page</t>
        </is>
      </c>
      <c r="J143" t="inlineStr">
        <is>
          <t>同頁凡例へ直接連動</t>
        </is>
      </c>
      <c r="K143" t="inlineStr">
        <is>
          <t>202604_LIXIL_サーモスＬ_業務用資料集_完成品価格表.pdf</t>
        </is>
      </c>
      <c r="L143" t="inlineStr">
        <is>
          <t>https://drive.google.com/file/d/1YUN-mtWYs48YBUHJk0C3vJXnhjyZFHyf/view</t>
        </is>
      </c>
    </row>
    <row r="144">
      <c r="A144" t="inlineStr">
        <is>
          <t>GLMAP-SL-0141</t>
        </is>
      </c>
      <c r="B144" t="n">
        <v>99</v>
      </c>
      <c r="C144" t="inlineStr">
        <is>
          <t>無印</t>
        </is>
      </c>
      <c r="D144" t="n">
        <v>98</v>
      </c>
      <c r="E144" t="n">
        <v>99</v>
      </c>
      <c r="F144" t="inlineStr">
        <is>
          <t>引違い窓 │面格子付引違い窓 / （在来・204）⑤</t>
        </is>
      </c>
      <c r="G144" t="n">
        <v>98</v>
      </c>
      <c r="H144" t="inlineStr">
        <is>
          <t>P98|無印</t>
        </is>
      </c>
      <c r="I144" t="inlineStr">
        <is>
          <t>previous_in_same_section</t>
        </is>
      </c>
      <c r="J144" t="inlineStr">
        <is>
          <t>同一価格表・前頁凡例を継承</t>
        </is>
      </c>
      <c r="K144" t="inlineStr">
        <is>
          <t>202604_LIXIL_サーモスＬ_業務用資料集_完成品価格表.pdf</t>
        </is>
      </c>
      <c r="L144" t="inlineStr">
        <is>
          <t>https://drive.google.com/file/d/1YUN-mtWYs48YBUHJk0C3vJXnhjyZFHyf/view</t>
        </is>
      </c>
    </row>
    <row r="145">
      <c r="A145" t="inlineStr">
        <is>
          <t>GLMAP-SL-0142</t>
        </is>
      </c>
      <c r="B145" t="n">
        <v>100</v>
      </c>
      <c r="C145" t="inlineStr">
        <is>
          <t>無印</t>
        </is>
      </c>
      <c r="D145" t="n">
        <v>100</v>
      </c>
      <c r="E145" t="n">
        <v>101</v>
      </c>
      <c r="F145" t="inlineStr">
        <is>
          <t>引違い窓 │面格子付引違い窓 / （在来・204）⑥</t>
        </is>
      </c>
      <c r="G145" t="n">
        <v>100</v>
      </c>
      <c r="H145" t="inlineStr">
        <is>
          <t>P100|無印</t>
        </is>
      </c>
      <c r="I145" t="inlineStr">
        <is>
          <t>same_page</t>
        </is>
      </c>
      <c r="J145" t="inlineStr">
        <is>
          <t>同頁凡例へ直接連動</t>
        </is>
      </c>
      <c r="K145" t="inlineStr">
        <is>
          <t>202604_LIXIL_サーモスＬ_業務用資料集_完成品価格表.pdf</t>
        </is>
      </c>
      <c r="L145" t="inlineStr">
        <is>
          <t>https://drive.google.com/file/d/1YUN-mtWYs48YBUHJk0C3vJXnhjyZFHyf/view</t>
        </is>
      </c>
    </row>
    <row r="146">
      <c r="A146" t="inlineStr">
        <is>
          <t>GLMAP-SL-0143</t>
        </is>
      </c>
      <c r="B146" t="n">
        <v>101</v>
      </c>
      <c r="C146" t="inlineStr">
        <is>
          <t>無印</t>
        </is>
      </c>
      <c r="D146" t="n">
        <v>100</v>
      </c>
      <c r="E146" t="n">
        <v>101</v>
      </c>
      <c r="F146" t="inlineStr">
        <is>
          <t>引違い窓 │面格子付引違い窓 / （在来・204）⑥</t>
        </is>
      </c>
      <c r="G146" t="n">
        <v>100</v>
      </c>
      <c r="H146" t="inlineStr">
        <is>
          <t>P100|無印</t>
        </is>
      </c>
      <c r="I146" t="inlineStr">
        <is>
          <t>previous_in_same_section</t>
        </is>
      </c>
      <c r="J146" t="inlineStr">
        <is>
          <t>同一価格表・前頁凡例を継承</t>
        </is>
      </c>
      <c r="K146" t="inlineStr">
        <is>
          <t>202604_LIXIL_サーモスＬ_業務用資料集_完成品価格表.pdf</t>
        </is>
      </c>
      <c r="L146" t="inlineStr">
        <is>
          <t>https://drive.google.com/file/d/1YUN-mtWYs48YBUHJk0C3vJXnhjyZFHyf/view</t>
        </is>
      </c>
    </row>
    <row r="147">
      <c r="A147" t="inlineStr">
        <is>
          <t>GLMAP-SL-0144</t>
        </is>
      </c>
      <c r="B147" t="n">
        <v>102</v>
      </c>
      <c r="C147" t="inlineStr">
        <is>
          <t>無印</t>
        </is>
      </c>
      <c r="D147" t="n">
        <v>102</v>
      </c>
      <c r="E147" t="n">
        <v>103</v>
      </c>
      <c r="F147" t="inlineStr">
        <is>
          <t>引違い窓 │面格子付引違い窓 / （在来・204）⑦</t>
        </is>
      </c>
      <c r="G147" t="n">
        <v>102</v>
      </c>
      <c r="H147" t="inlineStr">
        <is>
          <t>P102|無印</t>
        </is>
      </c>
      <c r="I147" t="inlineStr">
        <is>
          <t>same_page</t>
        </is>
      </c>
      <c r="J147" t="inlineStr">
        <is>
          <t>同頁凡例へ直接連動</t>
        </is>
      </c>
      <c r="K147" t="inlineStr">
        <is>
          <t>202604_LIXIL_サーモスＬ_業務用資料集_完成品価格表.pdf</t>
        </is>
      </c>
      <c r="L147" t="inlineStr">
        <is>
          <t>https://drive.google.com/file/d/1YUN-mtWYs48YBUHJk0C3vJXnhjyZFHyf/view</t>
        </is>
      </c>
    </row>
    <row r="148">
      <c r="A148" t="inlineStr">
        <is>
          <t>GLMAP-SL-0145</t>
        </is>
      </c>
      <c r="B148" t="n">
        <v>103</v>
      </c>
      <c r="C148" t="inlineStr">
        <is>
          <t>無印</t>
        </is>
      </c>
      <c r="D148" t="n">
        <v>102</v>
      </c>
      <c r="E148" t="n">
        <v>103</v>
      </c>
      <c r="F148" t="inlineStr">
        <is>
          <t>引違い窓 │面格子付引違い窓 / （在来・204）⑦</t>
        </is>
      </c>
      <c r="G148" t="n">
        <v>102</v>
      </c>
      <c r="H148" t="inlineStr">
        <is>
          <t>P102|無印</t>
        </is>
      </c>
      <c r="I148" t="inlineStr">
        <is>
          <t>previous_in_same_section</t>
        </is>
      </c>
      <c r="J148" t="inlineStr">
        <is>
          <t>同一価格表・前頁凡例を継承</t>
        </is>
      </c>
      <c r="K148" t="inlineStr">
        <is>
          <t>202604_LIXIL_サーモスＬ_業務用資料集_完成品価格表.pdf</t>
        </is>
      </c>
      <c r="L148" t="inlineStr">
        <is>
          <t>https://drive.google.com/file/d/1YUN-mtWYs48YBUHJk0C3vJXnhjyZFHyf/view</t>
        </is>
      </c>
    </row>
    <row r="149">
      <c r="A149" t="inlineStr">
        <is>
          <t>GLMAP-SL-0146</t>
        </is>
      </c>
      <c r="B149" t="n">
        <v>104</v>
      </c>
      <c r="C149" t="inlineStr">
        <is>
          <t>無印</t>
        </is>
      </c>
      <c r="D149" t="n">
        <v>104</v>
      </c>
      <c r="E149" t="n">
        <v>105</v>
      </c>
      <c r="F149" t="inlineStr">
        <is>
          <t>引違い窓 │面格子付引違い窓 / （在来・204）⑧</t>
        </is>
      </c>
      <c r="G149" t="n">
        <v>104</v>
      </c>
      <c r="H149" t="inlineStr">
        <is>
          <t>P104|無印</t>
        </is>
      </c>
      <c r="I149" t="inlineStr">
        <is>
          <t>same_page</t>
        </is>
      </c>
      <c r="J149" t="inlineStr">
        <is>
          <t>同頁凡例へ直接連動</t>
        </is>
      </c>
      <c r="K149" t="inlineStr">
        <is>
          <t>202604_LIXIL_サーモスＬ_業務用資料集_完成品価格表.pdf</t>
        </is>
      </c>
      <c r="L149" t="inlineStr">
        <is>
          <t>https://drive.google.com/file/d/1YUN-mtWYs48YBUHJk0C3vJXnhjyZFHyf/view</t>
        </is>
      </c>
    </row>
    <row r="150">
      <c r="A150" t="inlineStr">
        <is>
          <t>GLMAP-SL-0147</t>
        </is>
      </c>
      <c r="B150" t="n">
        <v>105</v>
      </c>
      <c r="C150" t="inlineStr">
        <is>
          <t>無印</t>
        </is>
      </c>
      <c r="D150" t="n">
        <v>104</v>
      </c>
      <c r="E150" t="n">
        <v>105</v>
      </c>
      <c r="F150" t="inlineStr">
        <is>
          <t>引違い窓 │面格子付引違い窓 / （在来・204）⑧</t>
        </is>
      </c>
      <c r="G150" t="n">
        <v>104</v>
      </c>
      <c r="H150" t="inlineStr">
        <is>
          <t>P104|無印</t>
        </is>
      </c>
      <c r="I150" t="inlineStr">
        <is>
          <t>previous_in_same_section</t>
        </is>
      </c>
      <c r="J150" t="inlineStr">
        <is>
          <t>同一価格表・前頁凡例を継承</t>
        </is>
      </c>
      <c r="K150" t="inlineStr">
        <is>
          <t>202604_LIXIL_サーモスＬ_業務用資料集_完成品価格表.pdf</t>
        </is>
      </c>
      <c r="L150" t="inlineStr">
        <is>
          <t>https://drive.google.com/file/d/1YUN-mtWYs48YBUHJk0C3vJXnhjyZFHyf/view</t>
        </is>
      </c>
    </row>
    <row r="151">
      <c r="A151" t="inlineStr">
        <is>
          <t>GLMAP-SL-0148</t>
        </is>
      </c>
      <c r="B151" t="n">
        <v>106</v>
      </c>
      <c r="C151" t="inlineStr">
        <is>
          <t>無印</t>
        </is>
      </c>
      <c r="D151" t="n">
        <v>106</v>
      </c>
      <c r="E151" t="n">
        <v>107</v>
      </c>
      <c r="F151" t="inlineStr">
        <is>
          <t>引違い窓 │面格子付引違い窓</t>
        </is>
      </c>
      <c r="G151" t="n">
        <v>106</v>
      </c>
      <c r="H151" t="inlineStr">
        <is>
          <t>P106|無印</t>
        </is>
      </c>
      <c r="I151" t="inlineStr">
        <is>
          <t>same_page</t>
        </is>
      </c>
      <c r="J151" t="inlineStr">
        <is>
          <t>同頁凡例へ直接連動</t>
        </is>
      </c>
      <c r="K151" t="inlineStr">
        <is>
          <t>202604_LIXIL_サーモスＬ_業務用資料集_完成品価格表.pdf</t>
        </is>
      </c>
      <c r="L151" t="inlineStr">
        <is>
          <t>https://drive.google.com/file/d/1YUN-mtWYs48YBUHJk0C3vJXnhjyZFHyf/view</t>
        </is>
      </c>
    </row>
    <row r="152">
      <c r="A152" t="inlineStr">
        <is>
          <t>GLMAP-SL-0149</t>
        </is>
      </c>
      <c r="B152" t="n">
        <v>107</v>
      </c>
      <c r="C152" t="inlineStr">
        <is>
          <t>無印</t>
        </is>
      </c>
      <c r="D152" t="n">
        <v>106</v>
      </c>
      <c r="E152" t="n">
        <v>107</v>
      </c>
      <c r="F152" t="inlineStr">
        <is>
          <t>引違い窓 │面格子付引違い窓</t>
        </is>
      </c>
      <c r="G152" t="n">
        <v>106</v>
      </c>
      <c r="H152" t="inlineStr">
        <is>
          <t>P106|無印</t>
        </is>
      </c>
      <c r="I152" t="inlineStr">
        <is>
          <t>previous_in_same_section</t>
        </is>
      </c>
      <c r="J152" t="inlineStr">
        <is>
          <t>同一価格表・前頁凡例を継承</t>
        </is>
      </c>
      <c r="K152" t="inlineStr">
        <is>
          <t>202604_LIXIL_サーモスＬ_業務用資料集_完成品価格表.pdf</t>
        </is>
      </c>
      <c r="L152" t="inlineStr">
        <is>
          <t>https://drive.google.com/file/d/1YUN-mtWYs48YBUHJk0C3vJXnhjyZFHyf/view</t>
        </is>
      </c>
    </row>
    <row r="153">
      <c r="A153" t="inlineStr">
        <is>
          <t>GLMAP-SL-0150</t>
        </is>
      </c>
      <c r="B153" t="n">
        <v>108</v>
      </c>
      <c r="C153" t="inlineStr">
        <is>
          <t>無印</t>
        </is>
      </c>
      <c r="D153" t="n">
        <v>108</v>
      </c>
      <c r="E153" t="n">
        <v>109</v>
      </c>
      <c r="F153" t="inlineStr">
        <is>
          <t>引違い窓 │面格子付引違い窓</t>
        </is>
      </c>
      <c r="G153" t="n">
        <v>108</v>
      </c>
      <c r="H153" t="inlineStr">
        <is>
          <t>P108|無印</t>
        </is>
      </c>
      <c r="I153" t="inlineStr">
        <is>
          <t>same_page</t>
        </is>
      </c>
      <c r="J153" t="inlineStr">
        <is>
          <t>同頁凡例へ直接連動</t>
        </is>
      </c>
      <c r="K153" t="inlineStr">
        <is>
          <t>202604_LIXIL_サーモスＬ_業務用資料集_完成品価格表.pdf</t>
        </is>
      </c>
      <c r="L153" t="inlineStr">
        <is>
          <t>https://drive.google.com/file/d/1YUN-mtWYs48YBUHJk0C3vJXnhjyZFHyf/view</t>
        </is>
      </c>
    </row>
    <row r="154">
      <c r="A154" t="inlineStr">
        <is>
          <t>GLMAP-SL-0151</t>
        </is>
      </c>
      <c r="B154" t="n">
        <v>109</v>
      </c>
      <c r="C154" t="inlineStr">
        <is>
          <t>★</t>
        </is>
      </c>
      <c r="D154" t="n">
        <v>108</v>
      </c>
      <c r="E154" t="n">
        <v>109</v>
      </c>
      <c r="F154" t="inlineStr">
        <is>
          <t>引違い窓 │面格子付引違い窓</t>
        </is>
      </c>
      <c r="G154" t="n">
        <v>108</v>
      </c>
      <c r="H154" t="inlineStr">
        <is>
          <t>P108|★</t>
        </is>
      </c>
      <c r="I154" t="inlineStr">
        <is>
          <t>previous_in_same_section</t>
        </is>
      </c>
      <c r="J154" t="inlineStr">
        <is>
          <t>同一価格表・前頁凡例を継承</t>
        </is>
      </c>
      <c r="K154" t="inlineStr">
        <is>
          <t>202604_LIXIL_サーモスＬ_業務用資料集_完成品価格表.pdf</t>
        </is>
      </c>
      <c r="L154" t="inlineStr">
        <is>
          <t>https://drive.google.com/file/d/1YUN-mtWYs48YBUHJk0C3vJXnhjyZFHyf/view</t>
        </is>
      </c>
    </row>
    <row r="155">
      <c r="A155" t="inlineStr">
        <is>
          <t>GLMAP-SL-0152</t>
        </is>
      </c>
      <c r="B155" t="n">
        <v>109</v>
      </c>
      <c r="C155" t="inlineStr">
        <is>
          <t>無印</t>
        </is>
      </c>
      <c r="D155" t="n">
        <v>108</v>
      </c>
      <c r="E155" t="n">
        <v>109</v>
      </c>
      <c r="F155" t="inlineStr">
        <is>
          <t>引違い窓 │面格子付引違い窓</t>
        </is>
      </c>
      <c r="G155" t="n">
        <v>108</v>
      </c>
      <c r="H155" t="inlineStr">
        <is>
          <t>P108|無印</t>
        </is>
      </c>
      <c r="I155" t="inlineStr">
        <is>
          <t>previous_in_same_section</t>
        </is>
      </c>
      <c r="J155" t="inlineStr">
        <is>
          <t>同一価格表・前頁凡例を継承</t>
        </is>
      </c>
      <c r="K155" t="inlineStr">
        <is>
          <t>202604_LIXIL_サーモスＬ_業務用資料集_完成品価格表.pdf</t>
        </is>
      </c>
      <c r="L155" t="inlineStr">
        <is>
          <t>https://drive.google.com/file/d/1YUN-mtWYs48YBUHJk0C3vJXnhjyZFHyf/view</t>
        </is>
      </c>
    </row>
    <row r="156">
      <c r="A156" t="inlineStr">
        <is>
          <t>GLMAP-SL-0153</t>
        </is>
      </c>
      <c r="B156" t="n">
        <v>111</v>
      </c>
      <c r="C156" t="inlineStr">
        <is>
          <t>無印</t>
        </is>
      </c>
      <c r="D156" t="n">
        <v>110</v>
      </c>
      <c r="E156" t="n">
        <v>111</v>
      </c>
      <c r="F156" t="inlineStr">
        <is>
          <t>引違い窓 │面格子付引違い窓</t>
        </is>
      </c>
      <c r="G156" t="n">
        <v>110</v>
      </c>
      <c r="H156" t="inlineStr">
        <is>
          <t>P110|無印</t>
        </is>
      </c>
      <c r="I156" t="inlineStr">
        <is>
          <t>previous_in_same_section</t>
        </is>
      </c>
      <c r="J156" t="inlineStr">
        <is>
          <t>同一価格表・前頁凡例を継承</t>
        </is>
      </c>
      <c r="K156" t="inlineStr">
        <is>
          <t>202604_LIXIL_サーモスＬ_業務用資料集_完成品価格表.pdf</t>
        </is>
      </c>
      <c r="L156" t="inlineStr">
        <is>
          <t>https://drive.google.com/file/d/1YUN-mtWYs48YBUHJk0C3vJXnhjyZFHyf/view</t>
        </is>
      </c>
    </row>
    <row r="157">
      <c r="A157" t="inlineStr">
        <is>
          <t>GLMAP-SL-0154</t>
        </is>
      </c>
      <c r="B157" t="n">
        <v>112</v>
      </c>
      <c r="C157" t="inlineStr">
        <is>
          <t>★</t>
        </is>
      </c>
      <c r="D157" t="n">
        <v>112</v>
      </c>
      <c r="E157" t="n">
        <v>113</v>
      </c>
      <c r="F157" t="inlineStr">
        <is>
          <t>引違い窓 │面格子付引違い窓</t>
        </is>
      </c>
      <c r="G157" t="n">
        <v>112</v>
      </c>
      <c r="H157" t="inlineStr">
        <is>
          <t>P112|★</t>
        </is>
      </c>
      <c r="I157" t="inlineStr">
        <is>
          <t>same_page</t>
        </is>
      </c>
      <c r="J157" t="inlineStr">
        <is>
          <t>同頁凡例へ直接連動</t>
        </is>
      </c>
      <c r="K157" t="inlineStr">
        <is>
          <t>202604_LIXIL_サーモスＬ_業務用資料集_完成品価格表.pdf</t>
        </is>
      </c>
      <c r="L157" t="inlineStr">
        <is>
          <t>https://drive.google.com/file/d/1YUN-mtWYs48YBUHJk0C3vJXnhjyZFHyf/view</t>
        </is>
      </c>
    </row>
    <row r="158">
      <c r="A158" t="inlineStr">
        <is>
          <t>GLMAP-SL-0155</t>
        </is>
      </c>
      <c r="B158" t="n">
        <v>112</v>
      </c>
      <c r="C158" t="inlineStr">
        <is>
          <t>無印</t>
        </is>
      </c>
      <c r="D158" t="n">
        <v>112</v>
      </c>
      <c r="E158" t="n">
        <v>113</v>
      </c>
      <c r="F158" t="inlineStr">
        <is>
          <t>引違い窓 │面格子付引違い窓</t>
        </is>
      </c>
      <c r="G158" t="n">
        <v>112</v>
      </c>
      <c r="H158" t="inlineStr">
        <is>
          <t>P112|無印</t>
        </is>
      </c>
      <c r="I158" t="inlineStr">
        <is>
          <t>same_page</t>
        </is>
      </c>
      <c r="J158" t="inlineStr">
        <is>
          <t>同頁凡例へ直接連動</t>
        </is>
      </c>
      <c r="K158" t="inlineStr">
        <is>
          <t>202604_LIXIL_サーモスＬ_業務用資料集_完成品価格表.pdf</t>
        </is>
      </c>
      <c r="L158" t="inlineStr">
        <is>
          <t>https://drive.google.com/file/d/1YUN-mtWYs48YBUHJk0C3vJXnhjyZFHyf/view</t>
        </is>
      </c>
    </row>
    <row r="159">
      <c r="A159" t="inlineStr">
        <is>
          <t>GLMAP-SL-0156</t>
        </is>
      </c>
      <c r="B159" t="n">
        <v>114</v>
      </c>
      <c r="C159" t="inlineStr">
        <is>
          <t>無印</t>
        </is>
      </c>
      <c r="D159" t="n">
        <v>114</v>
      </c>
      <c r="E159" t="n">
        <v>115</v>
      </c>
      <c r="F159" t="inlineStr">
        <is>
          <t>装飾窓 │縦すべり出し窓（オペレーター） / T （在来・204）①</t>
        </is>
      </c>
      <c r="G159" t="n">
        <v>114</v>
      </c>
      <c r="H159" t="inlineStr">
        <is>
          <t>P114|無印</t>
        </is>
      </c>
      <c r="I159" t="inlineStr">
        <is>
          <t>same_page</t>
        </is>
      </c>
      <c r="J159" t="inlineStr">
        <is>
          <t>同頁凡例へ直接連動</t>
        </is>
      </c>
      <c r="K159" t="inlineStr">
        <is>
          <t>202604_LIXIL_サーモスＬ_業務用資料集_完成品価格表.pdf</t>
        </is>
      </c>
      <c r="L159" t="inlineStr">
        <is>
          <t>https://drive.google.com/file/d/1YUN-mtWYs48YBUHJk0C3vJXnhjyZFHyf/view</t>
        </is>
      </c>
    </row>
    <row r="160">
      <c r="A160" t="inlineStr">
        <is>
          <t>GLMAP-SL-0157</t>
        </is>
      </c>
      <c r="B160" t="n">
        <v>115</v>
      </c>
      <c r="C160" t="inlineStr">
        <is>
          <t>無印</t>
        </is>
      </c>
      <c r="D160" t="n">
        <v>114</v>
      </c>
      <c r="E160" t="n">
        <v>115</v>
      </c>
      <c r="F160" t="inlineStr">
        <is>
          <t>装飾窓 │縦すべり出し窓（オペレーター） / T （在来・204）①</t>
        </is>
      </c>
      <c r="G160" t="n">
        <v>114</v>
      </c>
      <c r="H160" t="inlineStr">
        <is>
          <t>P114|無印</t>
        </is>
      </c>
      <c r="I160" t="inlineStr">
        <is>
          <t>previous_in_same_section</t>
        </is>
      </c>
      <c r="J160" t="inlineStr">
        <is>
          <t>同一価格表・前頁凡例を継承</t>
        </is>
      </c>
      <c r="K160" t="inlineStr">
        <is>
          <t>202604_LIXIL_サーモスＬ_業務用資料集_完成品価格表.pdf</t>
        </is>
      </c>
      <c r="L160" t="inlineStr">
        <is>
          <t>https://drive.google.com/file/d/1YUN-mtWYs48YBUHJk0C3vJXnhjyZFHyf/view</t>
        </is>
      </c>
    </row>
    <row r="161">
      <c r="A161" t="inlineStr">
        <is>
          <t>GLMAP-SL-0158</t>
        </is>
      </c>
      <c r="B161" t="n">
        <v>116</v>
      </c>
      <c r="C161" t="inlineStr">
        <is>
          <t>無印</t>
        </is>
      </c>
      <c r="D161" t="n">
        <v>116</v>
      </c>
      <c r="E161" t="n">
        <v>117</v>
      </c>
      <c r="F161" t="inlineStr">
        <is>
          <t>装飾窓 │縦すべり出し窓（オペレーター） / T （在来・204）②</t>
        </is>
      </c>
      <c r="G161" t="n">
        <v>116</v>
      </c>
      <c r="H161" t="inlineStr">
        <is>
          <t>P116|無印</t>
        </is>
      </c>
      <c r="I161" t="inlineStr">
        <is>
          <t>same_page</t>
        </is>
      </c>
      <c r="J161" t="inlineStr">
        <is>
          <t>同頁凡例へ直接連動</t>
        </is>
      </c>
      <c r="K161" t="inlineStr">
        <is>
          <t>202604_LIXIL_サーモスＬ_業務用資料集_完成品価格表.pdf</t>
        </is>
      </c>
      <c r="L161" t="inlineStr">
        <is>
          <t>https://drive.google.com/file/d/1YUN-mtWYs48YBUHJk0C3vJXnhjyZFHyf/view</t>
        </is>
      </c>
    </row>
    <row r="162">
      <c r="A162" t="inlineStr">
        <is>
          <t>GLMAP-SL-0159</t>
        </is>
      </c>
      <c r="B162" t="n">
        <v>117</v>
      </c>
      <c r="C162" t="inlineStr">
        <is>
          <t>無印</t>
        </is>
      </c>
      <c r="D162" t="n">
        <v>116</v>
      </c>
      <c r="E162" t="n">
        <v>117</v>
      </c>
      <c r="F162" t="inlineStr">
        <is>
          <t>装飾窓 │縦すべり出し窓（オペレーター） / T （在来・204）②</t>
        </is>
      </c>
      <c r="G162" t="n">
        <v>116</v>
      </c>
      <c r="H162" t="inlineStr">
        <is>
          <t>P116|無印</t>
        </is>
      </c>
      <c r="I162" t="inlineStr">
        <is>
          <t>previous_in_same_section</t>
        </is>
      </c>
      <c r="J162" t="inlineStr">
        <is>
          <t>同一価格表・前頁凡例を継承</t>
        </is>
      </c>
      <c r="K162" t="inlineStr">
        <is>
          <t>202604_LIXIL_サーモスＬ_業務用資料集_完成品価格表.pdf</t>
        </is>
      </c>
      <c r="L162" t="inlineStr">
        <is>
          <t>https://drive.google.com/file/d/1YUN-mtWYs48YBUHJk0C3vJXnhjyZFHyf/view</t>
        </is>
      </c>
    </row>
    <row r="163">
      <c r="A163" t="inlineStr">
        <is>
          <t>GLMAP-SL-0160</t>
        </is>
      </c>
      <c r="B163" t="n">
        <v>118</v>
      </c>
      <c r="C163" t="inlineStr">
        <is>
          <t>★</t>
        </is>
      </c>
      <c r="D163" t="n">
        <v>118</v>
      </c>
      <c r="E163" t="n">
        <v>119</v>
      </c>
      <c r="F163" t="inlineStr">
        <is>
          <t>装飾窓 │縦すべり出し窓（オペレーター）</t>
        </is>
      </c>
      <c r="G163" t="n">
        <v>118</v>
      </c>
      <c r="H163" t="inlineStr">
        <is>
          <t>P118|★</t>
        </is>
      </c>
      <c r="I163" t="inlineStr">
        <is>
          <t>same_page</t>
        </is>
      </c>
      <c r="J163" t="inlineStr">
        <is>
          <t>同頁凡例へ直接連動</t>
        </is>
      </c>
      <c r="K163" t="inlineStr">
        <is>
          <t>202604_LIXIL_サーモスＬ_業務用資料集_完成品価格表.pdf</t>
        </is>
      </c>
      <c r="L163" t="inlineStr">
        <is>
          <t>https://drive.google.com/file/d/1YUN-mtWYs48YBUHJk0C3vJXnhjyZFHyf/view</t>
        </is>
      </c>
    </row>
    <row r="164">
      <c r="A164" t="inlineStr">
        <is>
          <t>GLMAP-SL-0161</t>
        </is>
      </c>
      <c r="B164" t="n">
        <v>118</v>
      </c>
      <c r="C164" t="inlineStr">
        <is>
          <t>☆</t>
        </is>
      </c>
      <c r="D164" t="n">
        <v>118</v>
      </c>
      <c r="E164" t="n">
        <v>119</v>
      </c>
      <c r="F164" t="inlineStr">
        <is>
          <t>装飾窓 │縦すべり出し窓（オペレーター）</t>
        </is>
      </c>
      <c r="G164" t="n">
        <v>118</v>
      </c>
      <c r="H164" t="inlineStr">
        <is>
          <t>P118|☆</t>
        </is>
      </c>
      <c r="I164" t="inlineStr">
        <is>
          <t>same_page</t>
        </is>
      </c>
      <c r="J164" t="inlineStr">
        <is>
          <t>同頁凡例へ直接連動</t>
        </is>
      </c>
      <c r="K164" t="inlineStr">
        <is>
          <t>202604_LIXIL_サーモスＬ_業務用資料集_完成品価格表.pdf</t>
        </is>
      </c>
      <c r="L164" t="inlineStr">
        <is>
          <t>https://drive.google.com/file/d/1YUN-mtWYs48YBUHJk0C3vJXnhjyZFHyf/view</t>
        </is>
      </c>
    </row>
    <row r="165">
      <c r="A165" t="inlineStr">
        <is>
          <t>GLMAP-SL-0162</t>
        </is>
      </c>
      <c r="B165" t="n">
        <v>118</v>
      </c>
      <c r="C165" t="inlineStr">
        <is>
          <t>無印</t>
        </is>
      </c>
      <c r="D165" t="n">
        <v>118</v>
      </c>
      <c r="E165" t="n">
        <v>119</v>
      </c>
      <c r="F165" t="inlineStr">
        <is>
          <t>装飾窓 │縦すべり出し窓（オペレーター）</t>
        </is>
      </c>
      <c r="G165" t="n">
        <v>118</v>
      </c>
      <c r="H165" t="inlineStr">
        <is>
          <t>P118|無印</t>
        </is>
      </c>
      <c r="I165" t="inlineStr">
        <is>
          <t>same_page</t>
        </is>
      </c>
      <c r="J165" t="inlineStr">
        <is>
          <t>同頁凡例へ直接連動</t>
        </is>
      </c>
      <c r="K165" t="inlineStr">
        <is>
          <t>202604_LIXIL_サーモスＬ_業務用資料集_完成品価格表.pdf</t>
        </is>
      </c>
      <c r="L165" t="inlineStr">
        <is>
          <t>https://drive.google.com/file/d/1YUN-mtWYs48YBUHJk0C3vJXnhjyZFHyf/view</t>
        </is>
      </c>
    </row>
    <row r="166">
      <c r="A166" t="inlineStr">
        <is>
          <t>GLMAP-SL-0163</t>
        </is>
      </c>
      <c r="B166" t="n">
        <v>119</v>
      </c>
      <c r="C166" t="inlineStr">
        <is>
          <t>★</t>
        </is>
      </c>
      <c r="D166" t="n">
        <v>118</v>
      </c>
      <c r="E166" t="n">
        <v>119</v>
      </c>
      <c r="F166" t="inlineStr">
        <is>
          <t>装飾窓 │縦すべり出し窓（オペレーター）</t>
        </is>
      </c>
      <c r="G166" t="n">
        <v>119</v>
      </c>
      <c r="H166" t="inlineStr">
        <is>
          <t>P119|★</t>
        </is>
      </c>
      <c r="I166" t="inlineStr">
        <is>
          <t>same_page</t>
        </is>
      </c>
      <c r="J166" t="inlineStr">
        <is>
          <t>同頁凡例へ直接連動</t>
        </is>
      </c>
      <c r="K166" t="inlineStr">
        <is>
          <t>202604_LIXIL_サーモスＬ_業務用資料集_完成品価格表.pdf</t>
        </is>
      </c>
      <c r="L166" t="inlineStr">
        <is>
          <t>https://drive.google.com/file/d/1YUN-mtWYs48YBUHJk0C3vJXnhjyZFHyf/view</t>
        </is>
      </c>
    </row>
    <row r="167">
      <c r="A167" t="inlineStr">
        <is>
          <t>GLMAP-SL-0164</t>
        </is>
      </c>
      <c r="B167" t="n">
        <v>119</v>
      </c>
      <c r="C167" t="inlineStr">
        <is>
          <t>無印</t>
        </is>
      </c>
      <c r="D167" t="n">
        <v>118</v>
      </c>
      <c r="E167" t="n">
        <v>119</v>
      </c>
      <c r="F167" t="inlineStr">
        <is>
          <t>装飾窓 │縦すべり出し窓（オペレーター）</t>
        </is>
      </c>
      <c r="G167" t="n">
        <v>119</v>
      </c>
      <c r="H167" t="inlineStr">
        <is>
          <t>P119|無印</t>
        </is>
      </c>
      <c r="I167" t="inlineStr">
        <is>
          <t>same_page</t>
        </is>
      </c>
      <c r="J167" t="inlineStr">
        <is>
          <t>同頁凡例へ直接連動</t>
        </is>
      </c>
      <c r="K167" t="inlineStr">
        <is>
          <t>202604_LIXIL_サーモスＬ_業務用資料集_完成品価格表.pdf</t>
        </is>
      </c>
      <c r="L167" t="inlineStr">
        <is>
          <t>https://drive.google.com/file/d/1YUN-mtWYs48YBUHJk0C3vJXnhjyZFHyf/view</t>
        </is>
      </c>
    </row>
    <row r="168">
      <c r="A168" t="inlineStr">
        <is>
          <t>GLMAP-SL-0165</t>
        </is>
      </c>
      <c r="B168" t="n">
        <v>120</v>
      </c>
      <c r="C168" t="inlineStr">
        <is>
          <t>★</t>
        </is>
      </c>
      <c r="D168" t="n">
        <v>120</v>
      </c>
      <c r="E168" t="n">
        <v>121</v>
      </c>
      <c r="F168" t="inlineStr">
        <is>
          <t>装飾窓 │縦すべり出し窓（オペレーター）</t>
        </is>
      </c>
      <c r="G168" t="n">
        <v>120</v>
      </c>
      <c r="H168" t="inlineStr">
        <is>
          <t>P120|★</t>
        </is>
      </c>
      <c r="I168" t="inlineStr">
        <is>
          <t>same_page</t>
        </is>
      </c>
      <c r="J168" t="inlineStr">
        <is>
          <t>同頁凡例へ直接連動</t>
        </is>
      </c>
      <c r="K168" t="inlineStr">
        <is>
          <t>202604_LIXIL_サーモスＬ_業務用資料集_完成品価格表.pdf</t>
        </is>
      </c>
      <c r="L168" t="inlineStr">
        <is>
          <t>https://drive.google.com/file/d/1YUN-mtWYs48YBUHJk0C3vJXnhjyZFHyf/view</t>
        </is>
      </c>
    </row>
    <row r="169">
      <c r="A169" t="inlineStr">
        <is>
          <t>GLMAP-SL-0166</t>
        </is>
      </c>
      <c r="B169" t="n">
        <v>120</v>
      </c>
      <c r="C169" t="inlineStr">
        <is>
          <t>無印</t>
        </is>
      </c>
      <c r="D169" t="n">
        <v>120</v>
      </c>
      <c r="E169" t="n">
        <v>121</v>
      </c>
      <c r="F169" t="inlineStr">
        <is>
          <t>装飾窓 │縦すべり出し窓（オペレーター）</t>
        </is>
      </c>
      <c r="G169" t="n">
        <v>120</v>
      </c>
      <c r="H169" t="inlineStr">
        <is>
          <t>P120|無印</t>
        </is>
      </c>
      <c r="I169" t="inlineStr">
        <is>
          <t>same_page</t>
        </is>
      </c>
      <c r="J169" t="inlineStr">
        <is>
          <t>同頁凡例へ直接連動</t>
        </is>
      </c>
      <c r="K169" t="inlineStr">
        <is>
          <t>202604_LIXIL_サーモスＬ_業務用資料集_完成品価格表.pdf</t>
        </is>
      </c>
      <c r="L169" t="inlineStr">
        <is>
          <t>https://drive.google.com/file/d/1YUN-mtWYs48YBUHJk0C3vJXnhjyZFHyf/view</t>
        </is>
      </c>
    </row>
    <row r="170">
      <c r="A170" t="inlineStr">
        <is>
          <t>GLMAP-SL-0167</t>
        </is>
      </c>
      <c r="B170" t="n">
        <v>121</v>
      </c>
      <c r="C170" t="inlineStr">
        <is>
          <t>★</t>
        </is>
      </c>
      <c r="D170" t="n">
        <v>120</v>
      </c>
      <c r="E170" t="n">
        <v>121</v>
      </c>
      <c r="F170" t="inlineStr">
        <is>
          <t>装飾窓 │縦すべり出し窓（オペレーター）</t>
        </is>
      </c>
      <c r="G170" t="n">
        <v>121</v>
      </c>
      <c r="H170" t="inlineStr">
        <is>
          <t>P121|★</t>
        </is>
      </c>
      <c r="I170" t="inlineStr">
        <is>
          <t>same_page</t>
        </is>
      </c>
      <c r="J170" t="inlineStr">
        <is>
          <t>同頁凡例へ直接連動</t>
        </is>
      </c>
      <c r="K170" t="inlineStr">
        <is>
          <t>202604_LIXIL_サーモスＬ_業務用資料集_完成品価格表.pdf</t>
        </is>
      </c>
      <c r="L170" t="inlineStr">
        <is>
          <t>https://drive.google.com/file/d/1YUN-mtWYs48YBUHJk0C3vJXnhjyZFHyf/view</t>
        </is>
      </c>
    </row>
    <row r="171">
      <c r="A171" t="inlineStr">
        <is>
          <t>GLMAP-SL-0168</t>
        </is>
      </c>
      <c r="B171" t="n">
        <v>121</v>
      </c>
      <c r="C171" t="inlineStr">
        <is>
          <t>無印</t>
        </is>
      </c>
      <c r="D171" t="n">
        <v>120</v>
      </c>
      <c r="E171" t="n">
        <v>121</v>
      </c>
      <c r="F171" t="inlineStr">
        <is>
          <t>装飾窓 │縦すべり出し窓（オペレーター）</t>
        </is>
      </c>
      <c r="G171" t="n">
        <v>121</v>
      </c>
      <c r="H171" t="inlineStr">
        <is>
          <t>P121|無印</t>
        </is>
      </c>
      <c r="I171" t="inlineStr">
        <is>
          <t>same_page</t>
        </is>
      </c>
      <c r="J171" t="inlineStr">
        <is>
          <t>同頁凡例へ直接連動</t>
        </is>
      </c>
      <c r="K171" t="inlineStr">
        <is>
          <t>202604_LIXIL_サーモスＬ_業務用資料集_完成品価格表.pdf</t>
        </is>
      </c>
      <c r="L171" t="inlineStr">
        <is>
          <t>https://drive.google.com/file/d/1YUN-mtWYs48YBUHJk0C3vJXnhjyZFHyf/view</t>
        </is>
      </c>
    </row>
    <row r="172">
      <c r="A172" t="inlineStr">
        <is>
          <t>GLMAP-SL-0169</t>
        </is>
      </c>
      <c r="B172" t="n">
        <v>122</v>
      </c>
      <c r="C172" t="inlineStr">
        <is>
          <t>無印</t>
        </is>
      </c>
      <c r="D172" t="n">
        <v>122</v>
      </c>
      <c r="E172" t="n">
        <v>123</v>
      </c>
      <c r="F172" t="inlineStr">
        <is>
          <t>装飾窓 │縦すべり出し窓（カムラッチ） / T （在来・204）①</t>
        </is>
      </c>
      <c r="G172" t="n">
        <v>123</v>
      </c>
      <c r="H172" t="inlineStr">
        <is>
          <t>P123|無印</t>
        </is>
      </c>
      <c r="I172" t="inlineStr">
        <is>
          <t>next_in_same_section</t>
        </is>
      </c>
      <c r="J172" t="inlineStr">
        <is>
          <t>同一価格表・次頁凡例を継承</t>
        </is>
      </c>
      <c r="K172" t="inlineStr">
        <is>
          <t>202604_LIXIL_サーモスＬ_業務用資料集_完成品価格表.pdf</t>
        </is>
      </c>
      <c r="L172" t="inlineStr">
        <is>
          <t>https://drive.google.com/file/d/1YUN-mtWYs48YBUHJk0C3vJXnhjyZFHyf/view</t>
        </is>
      </c>
    </row>
    <row r="173">
      <c r="A173" t="inlineStr">
        <is>
          <t>GLMAP-SL-0170</t>
        </is>
      </c>
      <c r="B173" t="n">
        <v>123</v>
      </c>
      <c r="C173" t="inlineStr">
        <is>
          <t>無印</t>
        </is>
      </c>
      <c r="D173" t="n">
        <v>122</v>
      </c>
      <c r="E173" t="n">
        <v>123</v>
      </c>
      <c r="F173" t="inlineStr">
        <is>
          <t>装飾窓 │縦すべり出し窓（カムラッチ） / T （在来・204）①</t>
        </is>
      </c>
      <c r="G173" t="n">
        <v>123</v>
      </c>
      <c r="H173" t="inlineStr">
        <is>
          <t>P123|無印</t>
        </is>
      </c>
      <c r="I173" t="inlineStr">
        <is>
          <t>same_page</t>
        </is>
      </c>
      <c r="J173" t="inlineStr">
        <is>
          <t>同頁凡例へ直接連動</t>
        </is>
      </c>
      <c r="K173" t="inlineStr">
        <is>
          <t>202604_LIXIL_サーモスＬ_業務用資料集_完成品価格表.pdf</t>
        </is>
      </c>
      <c r="L173" t="inlineStr">
        <is>
          <t>https://drive.google.com/file/d/1YUN-mtWYs48YBUHJk0C3vJXnhjyZFHyf/view</t>
        </is>
      </c>
    </row>
    <row r="174">
      <c r="A174" t="inlineStr">
        <is>
          <t>GLMAP-SL-0171</t>
        </is>
      </c>
      <c r="B174" t="n">
        <v>124</v>
      </c>
      <c r="C174" t="inlineStr">
        <is>
          <t>★</t>
        </is>
      </c>
      <c r="D174" t="n">
        <v>124</v>
      </c>
      <c r="E174" t="n">
        <v>125</v>
      </c>
      <c r="F174" t="inlineStr">
        <is>
          <t>装飾窓 │縦すべり出し窓（カムラッチ） / T （在来・204）②</t>
        </is>
      </c>
      <c r="G174" t="n">
        <v>124</v>
      </c>
      <c r="H174" t="inlineStr">
        <is>
          <t>P124|★</t>
        </is>
      </c>
      <c r="I174" t="inlineStr">
        <is>
          <t>same_page</t>
        </is>
      </c>
      <c r="J174" t="inlineStr">
        <is>
          <t>同頁凡例へ直接連動</t>
        </is>
      </c>
      <c r="K174" t="inlineStr">
        <is>
          <t>202604_LIXIL_サーモスＬ_業務用資料集_完成品価格表.pdf</t>
        </is>
      </c>
      <c r="L174" t="inlineStr">
        <is>
          <t>https://drive.google.com/file/d/1YUN-mtWYs48YBUHJk0C3vJXnhjyZFHyf/view</t>
        </is>
      </c>
    </row>
    <row r="175">
      <c r="A175" t="inlineStr">
        <is>
          <t>GLMAP-SL-0172</t>
        </is>
      </c>
      <c r="B175" t="n">
        <v>124</v>
      </c>
      <c r="C175" t="inlineStr">
        <is>
          <t>無印</t>
        </is>
      </c>
      <c r="D175" t="n">
        <v>124</v>
      </c>
      <c r="E175" t="n">
        <v>125</v>
      </c>
      <c r="F175" t="inlineStr">
        <is>
          <t>装飾窓 │縦すべり出し窓（カムラッチ） / T （在来・204）②</t>
        </is>
      </c>
      <c r="G175" t="n">
        <v>124</v>
      </c>
      <c r="H175" t="inlineStr">
        <is>
          <t>P124|無印</t>
        </is>
      </c>
      <c r="I175" t="inlineStr">
        <is>
          <t>same_page</t>
        </is>
      </c>
      <c r="J175" t="inlineStr">
        <is>
          <t>同頁凡例へ直接連動</t>
        </is>
      </c>
      <c r="K175" t="inlineStr">
        <is>
          <t>202604_LIXIL_サーモスＬ_業務用資料集_完成品価格表.pdf</t>
        </is>
      </c>
      <c r="L175" t="inlineStr">
        <is>
          <t>https://drive.google.com/file/d/1YUN-mtWYs48YBUHJk0C3vJXnhjyZFHyf/view</t>
        </is>
      </c>
    </row>
    <row r="176">
      <c r="A176" t="inlineStr">
        <is>
          <t>GLMAP-SL-0173</t>
        </is>
      </c>
      <c r="B176" t="n">
        <v>125</v>
      </c>
      <c r="C176" t="inlineStr">
        <is>
          <t>★</t>
        </is>
      </c>
      <c r="D176" t="n">
        <v>124</v>
      </c>
      <c r="E176" t="n">
        <v>125</v>
      </c>
      <c r="F176" t="inlineStr">
        <is>
          <t>装飾窓 │縦すべり出し窓（カムラッチ） / T （在来・204）②</t>
        </is>
      </c>
      <c r="G176" t="n">
        <v>124</v>
      </c>
      <c r="H176" t="inlineStr">
        <is>
          <t>P124|★</t>
        </is>
      </c>
      <c r="I176" t="inlineStr">
        <is>
          <t>previous_in_same_section</t>
        </is>
      </c>
      <c r="J176" t="inlineStr">
        <is>
          <t>同一価格表・前頁凡例を継承</t>
        </is>
      </c>
      <c r="K176" t="inlineStr">
        <is>
          <t>202604_LIXIL_サーモスＬ_業務用資料集_完成品価格表.pdf</t>
        </is>
      </c>
      <c r="L176" t="inlineStr">
        <is>
          <t>https://drive.google.com/file/d/1YUN-mtWYs48YBUHJk0C3vJXnhjyZFHyf/view</t>
        </is>
      </c>
    </row>
    <row r="177">
      <c r="A177" t="inlineStr">
        <is>
          <t>GLMAP-SL-0174</t>
        </is>
      </c>
      <c r="B177" t="n">
        <v>125</v>
      </c>
      <c r="C177" t="inlineStr">
        <is>
          <t>無印</t>
        </is>
      </c>
      <c r="D177" t="n">
        <v>124</v>
      </c>
      <c r="E177" t="n">
        <v>125</v>
      </c>
      <c r="F177" t="inlineStr">
        <is>
          <t>装飾窓 │縦すべり出し窓（カムラッチ） / T （在来・204）②</t>
        </is>
      </c>
      <c r="G177" t="n">
        <v>124</v>
      </c>
      <c r="H177" t="inlineStr">
        <is>
          <t>P124|無印</t>
        </is>
      </c>
      <c r="I177" t="inlineStr">
        <is>
          <t>previous_in_same_section</t>
        </is>
      </c>
      <c r="J177" t="inlineStr">
        <is>
          <t>同一価格表・前頁凡例を継承</t>
        </is>
      </c>
      <c r="K177" t="inlineStr">
        <is>
          <t>202604_LIXIL_サーモスＬ_業務用資料集_完成品価格表.pdf</t>
        </is>
      </c>
      <c r="L177" t="inlineStr">
        <is>
          <t>https://drive.google.com/file/d/1YUN-mtWYs48YBUHJk0C3vJXnhjyZFHyf/view</t>
        </is>
      </c>
    </row>
    <row r="178">
      <c r="A178" t="inlineStr">
        <is>
          <t>GLMAP-SL-0175</t>
        </is>
      </c>
      <c r="B178" t="n">
        <v>126</v>
      </c>
      <c r="C178" t="inlineStr">
        <is>
          <t>★</t>
        </is>
      </c>
      <c r="D178" t="n">
        <v>126</v>
      </c>
      <c r="E178" t="n">
        <v>127</v>
      </c>
      <c r="F178" t="inlineStr">
        <is>
          <t>装飾窓 │縦すべり出し窓（カムラッチ）</t>
        </is>
      </c>
      <c r="G178" t="n">
        <v>126</v>
      </c>
      <c r="H178" t="inlineStr">
        <is>
          <t>P126|★</t>
        </is>
      </c>
      <c r="I178" t="inlineStr">
        <is>
          <t>same_page</t>
        </is>
      </c>
      <c r="J178" t="inlineStr">
        <is>
          <t>同頁凡例へ直接連動</t>
        </is>
      </c>
      <c r="K178" t="inlineStr">
        <is>
          <t>202604_LIXIL_サーモスＬ_業務用資料集_完成品価格表.pdf</t>
        </is>
      </c>
      <c r="L178" t="inlineStr">
        <is>
          <t>https://drive.google.com/file/d/1YUN-mtWYs48YBUHJk0C3vJXnhjyZFHyf/view</t>
        </is>
      </c>
    </row>
    <row r="179">
      <c r="A179" t="inlineStr">
        <is>
          <t>GLMAP-SL-0176</t>
        </is>
      </c>
      <c r="B179" t="n">
        <v>126</v>
      </c>
      <c r="C179" t="inlineStr">
        <is>
          <t>☆</t>
        </is>
      </c>
      <c r="D179" t="n">
        <v>126</v>
      </c>
      <c r="E179" t="n">
        <v>127</v>
      </c>
      <c r="F179" t="inlineStr">
        <is>
          <t>装飾窓 │縦すべり出し窓（カムラッチ）</t>
        </is>
      </c>
      <c r="G179" t="n">
        <v>126</v>
      </c>
      <c r="H179" t="inlineStr">
        <is>
          <t>P126|☆</t>
        </is>
      </c>
      <c r="I179" t="inlineStr">
        <is>
          <t>same_page</t>
        </is>
      </c>
      <c r="J179" t="inlineStr">
        <is>
          <t>同頁凡例へ直接連動</t>
        </is>
      </c>
      <c r="K179" t="inlineStr">
        <is>
          <t>202604_LIXIL_サーモスＬ_業務用資料集_完成品価格表.pdf</t>
        </is>
      </c>
      <c r="L179" t="inlineStr">
        <is>
          <t>https://drive.google.com/file/d/1YUN-mtWYs48YBUHJk0C3vJXnhjyZFHyf/view</t>
        </is>
      </c>
    </row>
    <row r="180">
      <c r="A180" t="inlineStr">
        <is>
          <t>GLMAP-SL-0177</t>
        </is>
      </c>
      <c r="B180" t="n">
        <v>126</v>
      </c>
      <c r="C180" t="inlineStr">
        <is>
          <t>無印</t>
        </is>
      </c>
      <c r="D180" t="n">
        <v>126</v>
      </c>
      <c r="E180" t="n">
        <v>127</v>
      </c>
      <c r="F180" t="inlineStr">
        <is>
          <t>装飾窓 │縦すべり出し窓（カムラッチ）</t>
        </is>
      </c>
      <c r="G180" t="n">
        <v>126</v>
      </c>
      <c r="H180" t="inlineStr">
        <is>
          <t>P126|無印</t>
        </is>
      </c>
      <c r="I180" t="inlineStr">
        <is>
          <t>same_page</t>
        </is>
      </c>
      <c r="J180" t="inlineStr">
        <is>
          <t>同頁凡例へ直接連動</t>
        </is>
      </c>
      <c r="K180" t="inlineStr">
        <is>
          <t>202604_LIXIL_サーモスＬ_業務用資料集_完成品価格表.pdf</t>
        </is>
      </c>
      <c r="L180" t="inlineStr">
        <is>
          <t>https://drive.google.com/file/d/1YUN-mtWYs48YBUHJk0C3vJXnhjyZFHyf/view</t>
        </is>
      </c>
    </row>
    <row r="181">
      <c r="A181" t="inlineStr">
        <is>
          <t>GLMAP-SL-0178</t>
        </is>
      </c>
      <c r="B181" t="n">
        <v>127</v>
      </c>
      <c r="C181" t="inlineStr">
        <is>
          <t>★</t>
        </is>
      </c>
      <c r="D181" t="n">
        <v>126</v>
      </c>
      <c r="E181" t="n">
        <v>127</v>
      </c>
      <c r="F181" t="inlineStr">
        <is>
          <t>装飾窓 │縦すべり出し窓（カムラッチ）</t>
        </is>
      </c>
      <c r="G181" t="n">
        <v>127</v>
      </c>
      <c r="H181" t="inlineStr">
        <is>
          <t>P127|★</t>
        </is>
      </c>
      <c r="I181" t="inlineStr">
        <is>
          <t>same_page</t>
        </is>
      </c>
      <c r="J181" t="inlineStr">
        <is>
          <t>同頁凡例へ直接連動</t>
        </is>
      </c>
      <c r="K181" t="inlineStr">
        <is>
          <t>202604_LIXIL_サーモスＬ_業務用資料集_完成品価格表.pdf</t>
        </is>
      </c>
      <c r="L181" t="inlineStr">
        <is>
          <t>https://drive.google.com/file/d/1YUN-mtWYs48YBUHJk0C3vJXnhjyZFHyf/view</t>
        </is>
      </c>
    </row>
    <row r="182">
      <c r="A182" t="inlineStr">
        <is>
          <t>GLMAP-SL-0179</t>
        </is>
      </c>
      <c r="B182" t="n">
        <v>127</v>
      </c>
      <c r="C182" t="inlineStr">
        <is>
          <t>無印</t>
        </is>
      </c>
      <c r="D182" t="n">
        <v>126</v>
      </c>
      <c r="E182" t="n">
        <v>127</v>
      </c>
      <c r="F182" t="inlineStr">
        <is>
          <t>装飾窓 │縦すべり出し窓（カムラッチ）</t>
        </is>
      </c>
      <c r="G182" t="n">
        <v>127</v>
      </c>
      <c r="H182" t="inlineStr">
        <is>
          <t>P127|無印</t>
        </is>
      </c>
      <c r="I182" t="inlineStr">
        <is>
          <t>same_page</t>
        </is>
      </c>
      <c r="J182" t="inlineStr">
        <is>
          <t>同頁凡例へ直接連動</t>
        </is>
      </c>
      <c r="K182" t="inlineStr">
        <is>
          <t>202604_LIXIL_サーモスＬ_業務用資料集_完成品価格表.pdf</t>
        </is>
      </c>
      <c r="L182" t="inlineStr">
        <is>
          <t>https://drive.google.com/file/d/1YUN-mtWYs48YBUHJk0C3vJXnhjyZFHyf/view</t>
        </is>
      </c>
    </row>
    <row r="183">
      <c r="A183" t="inlineStr">
        <is>
          <t>GLMAP-SL-0180</t>
        </is>
      </c>
      <c r="B183" t="n">
        <v>128</v>
      </c>
      <c r="C183" t="inlineStr">
        <is>
          <t>★</t>
        </is>
      </c>
      <c r="D183" t="n">
        <v>128</v>
      </c>
      <c r="E183" t="n">
        <v>129</v>
      </c>
      <c r="F183" t="inlineStr">
        <is>
          <t>装飾窓 │縦すべり出し窓（カムラッチ）</t>
        </is>
      </c>
      <c r="G183" t="n">
        <v>128</v>
      </c>
      <c r="H183" t="inlineStr">
        <is>
          <t>P128|★</t>
        </is>
      </c>
      <c r="I183" t="inlineStr">
        <is>
          <t>same_page</t>
        </is>
      </c>
      <c r="J183" t="inlineStr">
        <is>
          <t>同頁凡例へ直接連動</t>
        </is>
      </c>
      <c r="K183" t="inlineStr">
        <is>
          <t>202604_LIXIL_サーモスＬ_業務用資料集_完成品価格表.pdf</t>
        </is>
      </c>
      <c r="L183" t="inlineStr">
        <is>
          <t>https://drive.google.com/file/d/1YUN-mtWYs48YBUHJk0C3vJXnhjyZFHyf/view</t>
        </is>
      </c>
    </row>
    <row r="184">
      <c r="A184" t="inlineStr">
        <is>
          <t>GLMAP-SL-0181</t>
        </is>
      </c>
      <c r="B184" t="n">
        <v>128</v>
      </c>
      <c r="C184" t="inlineStr">
        <is>
          <t>無印</t>
        </is>
      </c>
      <c r="D184" t="n">
        <v>128</v>
      </c>
      <c r="E184" t="n">
        <v>129</v>
      </c>
      <c r="F184" t="inlineStr">
        <is>
          <t>装飾窓 │縦すべり出し窓（カムラッチ）</t>
        </is>
      </c>
      <c r="G184" t="n">
        <v>128</v>
      </c>
      <c r="H184" t="inlineStr">
        <is>
          <t>P128|無印</t>
        </is>
      </c>
      <c r="I184" t="inlineStr">
        <is>
          <t>same_page</t>
        </is>
      </c>
      <c r="J184" t="inlineStr">
        <is>
          <t>同頁凡例へ直接連動</t>
        </is>
      </c>
      <c r="K184" t="inlineStr">
        <is>
          <t>202604_LIXIL_サーモスＬ_業務用資料集_完成品価格表.pdf</t>
        </is>
      </c>
      <c r="L184" t="inlineStr">
        <is>
          <t>https://drive.google.com/file/d/1YUN-mtWYs48YBUHJk0C3vJXnhjyZFHyf/view</t>
        </is>
      </c>
    </row>
    <row r="185">
      <c r="A185" t="inlineStr">
        <is>
          <t>GLMAP-SL-0182</t>
        </is>
      </c>
      <c r="B185" t="n">
        <v>129</v>
      </c>
      <c r="C185" t="inlineStr">
        <is>
          <t>★</t>
        </is>
      </c>
      <c r="D185" t="n">
        <v>128</v>
      </c>
      <c r="E185" t="n">
        <v>129</v>
      </c>
      <c r="F185" t="inlineStr">
        <is>
          <t>装飾窓 │縦すべり出し窓（カムラッチ）</t>
        </is>
      </c>
      <c r="G185" t="n">
        <v>129</v>
      </c>
      <c r="H185" t="inlineStr">
        <is>
          <t>P129|★</t>
        </is>
      </c>
      <c r="I185" t="inlineStr">
        <is>
          <t>same_page</t>
        </is>
      </c>
      <c r="J185" t="inlineStr">
        <is>
          <t>同頁凡例へ直接連動</t>
        </is>
      </c>
      <c r="K185" t="inlineStr">
        <is>
          <t>202604_LIXIL_サーモスＬ_業務用資料集_完成品価格表.pdf</t>
        </is>
      </c>
      <c r="L185" t="inlineStr">
        <is>
          <t>https://drive.google.com/file/d/1YUN-mtWYs48YBUHJk0C3vJXnhjyZFHyf/view</t>
        </is>
      </c>
    </row>
    <row r="186">
      <c r="A186" t="inlineStr">
        <is>
          <t>GLMAP-SL-0183</t>
        </is>
      </c>
      <c r="B186" t="n">
        <v>129</v>
      </c>
      <c r="C186" t="inlineStr">
        <is>
          <t>無印</t>
        </is>
      </c>
      <c r="D186" t="n">
        <v>128</v>
      </c>
      <c r="E186" t="n">
        <v>129</v>
      </c>
      <c r="F186" t="inlineStr">
        <is>
          <t>装飾窓 │縦すべり出し窓（カムラッチ）</t>
        </is>
      </c>
      <c r="G186" t="n">
        <v>129</v>
      </c>
      <c r="H186" t="inlineStr">
        <is>
          <t>P129|無印</t>
        </is>
      </c>
      <c r="I186" t="inlineStr">
        <is>
          <t>same_page</t>
        </is>
      </c>
      <c r="J186" t="inlineStr">
        <is>
          <t>同頁凡例へ直接連動</t>
        </is>
      </c>
      <c r="K186" t="inlineStr">
        <is>
          <t>202604_LIXIL_サーモスＬ_業務用資料集_完成品価格表.pdf</t>
        </is>
      </c>
      <c r="L186" t="inlineStr">
        <is>
          <t>https://drive.google.com/file/d/1YUN-mtWYs48YBUHJk0C3vJXnhjyZFHyf/view</t>
        </is>
      </c>
    </row>
    <row r="187">
      <c r="A187" t="inlineStr">
        <is>
          <t>GLMAP-SL-0184</t>
        </is>
      </c>
      <c r="B187" t="n">
        <v>130</v>
      </c>
      <c r="C187" t="inlineStr">
        <is>
          <t>無印</t>
        </is>
      </c>
      <c r="D187" t="n">
        <v>130</v>
      </c>
      <c r="E187" t="n">
        <v>131</v>
      </c>
      <c r="F187" t="inlineStr">
        <is>
          <t>装飾窓 │横すべり出し窓（オペレーター） / （在来・204）①</t>
        </is>
      </c>
      <c r="G187" t="n">
        <v>131</v>
      </c>
      <c r="H187" t="inlineStr">
        <is>
          <t>P131|無印</t>
        </is>
      </c>
      <c r="I187" t="inlineStr">
        <is>
          <t>next_in_same_section</t>
        </is>
      </c>
      <c r="J187" t="inlineStr">
        <is>
          <t>同一価格表・次頁凡例を継承</t>
        </is>
      </c>
      <c r="K187" t="inlineStr">
        <is>
          <t>202604_LIXIL_サーモスＬ_業務用資料集_完成品価格表.pdf</t>
        </is>
      </c>
      <c r="L187" t="inlineStr">
        <is>
          <t>https://drive.google.com/file/d/1YUN-mtWYs48YBUHJk0C3vJXnhjyZFHyf/view</t>
        </is>
      </c>
    </row>
    <row r="188">
      <c r="A188" t="inlineStr">
        <is>
          <t>GLMAP-SL-0185</t>
        </is>
      </c>
      <c r="B188" t="n">
        <v>131</v>
      </c>
      <c r="C188" t="inlineStr">
        <is>
          <t>無印</t>
        </is>
      </c>
      <c r="D188" t="n">
        <v>130</v>
      </c>
      <c r="E188" t="n">
        <v>131</v>
      </c>
      <c r="F188" t="inlineStr">
        <is>
          <t>装飾窓 │横すべり出し窓（オペレーター） / （在来・204）①</t>
        </is>
      </c>
      <c r="G188" t="n">
        <v>131</v>
      </c>
      <c r="H188" t="inlineStr">
        <is>
          <t>P131|無印</t>
        </is>
      </c>
      <c r="I188" t="inlineStr">
        <is>
          <t>same_page</t>
        </is>
      </c>
      <c r="J188" t="inlineStr">
        <is>
          <t>同頁凡例へ直接連動</t>
        </is>
      </c>
      <c r="K188" t="inlineStr">
        <is>
          <t>202604_LIXIL_サーモスＬ_業務用資料集_完成品価格表.pdf</t>
        </is>
      </c>
      <c r="L188" t="inlineStr">
        <is>
          <t>https://drive.google.com/file/d/1YUN-mtWYs48YBUHJk0C3vJXnhjyZFHyf/view</t>
        </is>
      </c>
    </row>
    <row r="189">
      <c r="A189" t="inlineStr">
        <is>
          <t>GLMAP-SL-0186</t>
        </is>
      </c>
      <c r="B189" t="n">
        <v>132</v>
      </c>
      <c r="C189" t="inlineStr">
        <is>
          <t>無印</t>
        </is>
      </c>
      <c r="D189" t="n">
        <v>132</v>
      </c>
      <c r="E189" t="n">
        <v>133</v>
      </c>
      <c r="F189" t="inlineStr">
        <is>
          <t>装飾窓 │横すべり出し窓（オペレーター） / （在来・204）②</t>
        </is>
      </c>
      <c r="G189" t="n">
        <v>132</v>
      </c>
      <c r="H189" t="inlineStr">
        <is>
          <t>P132|無印</t>
        </is>
      </c>
      <c r="I189" t="inlineStr">
        <is>
          <t>same_page</t>
        </is>
      </c>
      <c r="J189" t="inlineStr">
        <is>
          <t>同頁凡例へ直接連動</t>
        </is>
      </c>
      <c r="K189" t="inlineStr">
        <is>
          <t>202604_LIXIL_サーモスＬ_業務用資料集_完成品価格表.pdf</t>
        </is>
      </c>
      <c r="L189" t="inlineStr">
        <is>
          <t>https://drive.google.com/file/d/1YUN-mtWYs48YBUHJk0C3vJXnhjyZFHyf/view</t>
        </is>
      </c>
    </row>
    <row r="190">
      <c r="A190" t="inlineStr">
        <is>
          <t>GLMAP-SL-0187</t>
        </is>
      </c>
      <c r="B190" t="n">
        <v>133</v>
      </c>
      <c r="C190" t="inlineStr">
        <is>
          <t>★</t>
        </is>
      </c>
      <c r="D190" t="n">
        <v>132</v>
      </c>
      <c r="E190" t="n">
        <v>133</v>
      </c>
      <c r="F190" t="inlineStr">
        <is>
          <t>装飾窓 │横すべり出し窓（オペレーター） / （在来・204）②</t>
        </is>
      </c>
      <c r="G190" t="n">
        <v>132</v>
      </c>
      <c r="H190" t="inlineStr">
        <is>
          <t>P132|★</t>
        </is>
      </c>
      <c r="I190" t="inlineStr">
        <is>
          <t>previous_in_same_section</t>
        </is>
      </c>
      <c r="J190" t="inlineStr">
        <is>
          <t>同一価格表・前頁凡例を継承</t>
        </is>
      </c>
      <c r="K190" t="inlineStr">
        <is>
          <t>202604_LIXIL_サーモスＬ_業務用資料集_完成品価格表.pdf</t>
        </is>
      </c>
      <c r="L190" t="inlineStr">
        <is>
          <t>https://drive.google.com/file/d/1YUN-mtWYs48YBUHJk0C3vJXnhjyZFHyf/view</t>
        </is>
      </c>
    </row>
    <row r="191">
      <c r="A191" t="inlineStr">
        <is>
          <t>GLMAP-SL-0188</t>
        </is>
      </c>
      <c r="B191" t="n">
        <v>133</v>
      </c>
      <c r="C191" t="inlineStr">
        <is>
          <t>無印</t>
        </is>
      </c>
      <c r="D191" t="n">
        <v>132</v>
      </c>
      <c r="E191" t="n">
        <v>133</v>
      </c>
      <c r="F191" t="inlineStr">
        <is>
          <t>装飾窓 │横すべり出し窓（オペレーター） / （在来・204）②</t>
        </is>
      </c>
      <c r="G191" t="n">
        <v>132</v>
      </c>
      <c r="H191" t="inlineStr">
        <is>
          <t>P132|無印</t>
        </is>
      </c>
      <c r="I191" t="inlineStr">
        <is>
          <t>previous_in_same_section</t>
        </is>
      </c>
      <c r="J191" t="inlineStr">
        <is>
          <t>同一価格表・前頁凡例を継承</t>
        </is>
      </c>
      <c r="K191" t="inlineStr">
        <is>
          <t>202604_LIXIL_サーモスＬ_業務用資料集_完成品価格表.pdf</t>
        </is>
      </c>
      <c r="L191" t="inlineStr">
        <is>
          <t>https://drive.google.com/file/d/1YUN-mtWYs48YBUHJk0C3vJXnhjyZFHyf/view</t>
        </is>
      </c>
    </row>
    <row r="192">
      <c r="A192" t="inlineStr">
        <is>
          <t>GLMAP-SL-0189</t>
        </is>
      </c>
      <c r="B192" t="n">
        <v>134</v>
      </c>
      <c r="C192" t="inlineStr">
        <is>
          <t>無印</t>
        </is>
      </c>
      <c r="D192" t="n">
        <v>134</v>
      </c>
      <c r="E192" t="n">
        <v>135</v>
      </c>
      <c r="F192" t="inlineStr">
        <is>
          <t>装飾窓 │横すべり出し窓（カムラッチ） / （在来・204）①</t>
        </is>
      </c>
      <c r="G192" t="n">
        <v>134</v>
      </c>
      <c r="H192" t="inlineStr">
        <is>
          <t>P134|無印</t>
        </is>
      </c>
      <c r="I192" t="inlineStr">
        <is>
          <t>same_page</t>
        </is>
      </c>
      <c r="J192" t="inlineStr">
        <is>
          <t>同頁凡例へ直接連動</t>
        </is>
      </c>
      <c r="K192" t="inlineStr">
        <is>
          <t>202604_LIXIL_サーモスＬ_業務用資料集_完成品価格表.pdf</t>
        </is>
      </c>
      <c r="L192" t="inlineStr">
        <is>
          <t>https://drive.google.com/file/d/1YUN-mtWYs48YBUHJk0C3vJXnhjyZFHyf/view</t>
        </is>
      </c>
    </row>
    <row r="193">
      <c r="A193" t="inlineStr">
        <is>
          <t>GLMAP-SL-0190</t>
        </is>
      </c>
      <c r="B193" t="n">
        <v>135</v>
      </c>
      <c r="C193" t="inlineStr">
        <is>
          <t>無印</t>
        </is>
      </c>
      <c r="D193" t="n">
        <v>134</v>
      </c>
      <c r="E193" t="n">
        <v>135</v>
      </c>
      <c r="F193" t="inlineStr">
        <is>
          <t>装飾窓 │横すべり出し窓（カムラッチ） / （在来・204）①</t>
        </is>
      </c>
      <c r="G193" t="n">
        <v>134</v>
      </c>
      <c r="H193" t="inlineStr">
        <is>
          <t>P134|無印</t>
        </is>
      </c>
      <c r="I193" t="inlineStr">
        <is>
          <t>previous_in_same_section</t>
        </is>
      </c>
      <c r="J193" t="inlineStr">
        <is>
          <t>同一価格表・前頁凡例を継承</t>
        </is>
      </c>
      <c r="K193" t="inlineStr">
        <is>
          <t>202604_LIXIL_サーモスＬ_業務用資料集_完成品価格表.pdf</t>
        </is>
      </c>
      <c r="L193" t="inlineStr">
        <is>
          <t>https://drive.google.com/file/d/1YUN-mtWYs48YBUHJk0C3vJXnhjyZFHyf/view</t>
        </is>
      </c>
    </row>
    <row r="194">
      <c r="A194" t="inlineStr">
        <is>
          <t>GLMAP-SL-0191</t>
        </is>
      </c>
      <c r="B194" t="n">
        <v>136</v>
      </c>
      <c r="C194" t="inlineStr">
        <is>
          <t>無印</t>
        </is>
      </c>
      <c r="D194" t="n">
        <v>136</v>
      </c>
      <c r="E194" t="n">
        <v>137</v>
      </c>
      <c r="F194" t="inlineStr">
        <is>
          <t>装飾窓 │横すべり出し窓（カムラッチ） / （在来・204）②</t>
        </is>
      </c>
      <c r="G194" t="n">
        <v>136</v>
      </c>
      <c r="H194" t="inlineStr">
        <is>
          <t>P136|無印</t>
        </is>
      </c>
      <c r="I194" t="inlineStr">
        <is>
          <t>same_page</t>
        </is>
      </c>
      <c r="J194" t="inlineStr">
        <is>
          <t>同頁凡例へ直接連動</t>
        </is>
      </c>
      <c r="K194" t="inlineStr">
        <is>
          <t>202604_LIXIL_サーモスＬ_業務用資料集_完成品価格表.pdf</t>
        </is>
      </c>
      <c r="L194" t="inlineStr">
        <is>
          <t>https://drive.google.com/file/d/1YUN-mtWYs48YBUHJk0C3vJXnhjyZFHyf/view</t>
        </is>
      </c>
    </row>
    <row r="195">
      <c r="A195" t="inlineStr">
        <is>
          <t>GLMAP-SL-0192</t>
        </is>
      </c>
      <c r="B195" t="n">
        <v>137</v>
      </c>
      <c r="C195" t="inlineStr">
        <is>
          <t>無印</t>
        </is>
      </c>
      <c r="D195" t="n">
        <v>136</v>
      </c>
      <c r="E195" t="n">
        <v>137</v>
      </c>
      <c r="F195" t="inlineStr">
        <is>
          <t>装飾窓 │横すべり出し窓（カムラッチ） / （在来・204）②</t>
        </is>
      </c>
      <c r="G195" t="n">
        <v>136</v>
      </c>
      <c r="H195" t="inlineStr">
        <is>
          <t>P136|無印</t>
        </is>
      </c>
      <c r="I195" t="inlineStr">
        <is>
          <t>previous_in_same_section</t>
        </is>
      </c>
      <c r="J195" t="inlineStr">
        <is>
          <t>同一価格表・前頁凡例を継承</t>
        </is>
      </c>
      <c r="K195" t="inlineStr">
        <is>
          <t>202604_LIXIL_サーモスＬ_業務用資料集_完成品価格表.pdf</t>
        </is>
      </c>
      <c r="L195" t="inlineStr">
        <is>
          <t>https://drive.google.com/file/d/1YUN-mtWYs48YBUHJk0C3vJXnhjyZFHyf/view</t>
        </is>
      </c>
    </row>
    <row r="196">
      <c r="A196" t="inlineStr">
        <is>
          <t>GLMAP-SL-0193</t>
        </is>
      </c>
      <c r="B196" t="n">
        <v>138</v>
      </c>
      <c r="C196" t="inlineStr">
        <is>
          <t>無印</t>
        </is>
      </c>
      <c r="D196" t="n">
        <v>138</v>
      </c>
      <c r="E196" t="n">
        <v>139</v>
      </c>
      <c r="F196" t="inlineStr">
        <is>
          <t>装飾窓 │高所用横すべり出し窓 / （在来・204）①</t>
        </is>
      </c>
      <c r="G196" t="n">
        <v>138</v>
      </c>
      <c r="H196" t="inlineStr">
        <is>
          <t>P138|無印</t>
        </is>
      </c>
      <c r="I196" t="inlineStr">
        <is>
          <t>same_page</t>
        </is>
      </c>
      <c r="J196" t="inlineStr">
        <is>
          <t>同頁凡例へ直接連動</t>
        </is>
      </c>
      <c r="K196" t="inlineStr">
        <is>
          <t>202604_LIXIL_サーモスＬ_業務用資料集_完成品価格表.pdf</t>
        </is>
      </c>
      <c r="L196" t="inlineStr">
        <is>
          <t>https://drive.google.com/file/d/1YUN-mtWYs48YBUHJk0C3vJXnhjyZFHyf/view</t>
        </is>
      </c>
    </row>
    <row r="197">
      <c r="A197" t="inlineStr">
        <is>
          <t>GLMAP-SL-0194</t>
        </is>
      </c>
      <c r="B197" t="n">
        <v>139</v>
      </c>
      <c r="C197" t="inlineStr">
        <is>
          <t>無印</t>
        </is>
      </c>
      <c r="D197" t="n">
        <v>138</v>
      </c>
      <c r="E197" t="n">
        <v>139</v>
      </c>
      <c r="F197" t="inlineStr">
        <is>
          <t>装飾窓 │高所用横すべり出し窓 / （在来・204）①</t>
        </is>
      </c>
      <c r="G197" t="n">
        <v>138</v>
      </c>
      <c r="H197" t="inlineStr">
        <is>
          <t>P138|無印</t>
        </is>
      </c>
      <c r="I197" t="inlineStr">
        <is>
          <t>previous_in_same_section</t>
        </is>
      </c>
      <c r="J197" t="inlineStr">
        <is>
          <t>同一価格表・前頁凡例を継承</t>
        </is>
      </c>
      <c r="K197" t="inlineStr">
        <is>
          <t>202604_LIXIL_サーモスＬ_業務用資料集_完成品価格表.pdf</t>
        </is>
      </c>
      <c r="L197" t="inlineStr">
        <is>
          <t>https://drive.google.com/file/d/1YUN-mtWYs48YBUHJk0C3vJXnhjyZFHyf/view</t>
        </is>
      </c>
    </row>
    <row r="198">
      <c r="A198" t="inlineStr">
        <is>
          <t>GLMAP-SL-0195</t>
        </is>
      </c>
      <c r="B198" t="n">
        <v>140</v>
      </c>
      <c r="C198" t="inlineStr">
        <is>
          <t>★</t>
        </is>
      </c>
      <c r="D198" t="n">
        <v>140</v>
      </c>
      <c r="E198" t="n">
        <v>141</v>
      </c>
      <c r="F198" t="inlineStr">
        <is>
          <t>装飾窓 │高所用横すべり出し窓 / （在来・204）②</t>
        </is>
      </c>
      <c r="G198" t="n">
        <v>140</v>
      </c>
      <c r="H198" t="inlineStr">
        <is>
          <t>P140|★</t>
        </is>
      </c>
      <c r="I198" t="inlineStr">
        <is>
          <t>same_page</t>
        </is>
      </c>
      <c r="J198" t="inlineStr">
        <is>
          <t>同頁凡例へ直接連動</t>
        </is>
      </c>
      <c r="K198" t="inlineStr">
        <is>
          <t>202604_LIXIL_サーモスＬ_業務用資料集_完成品価格表.pdf</t>
        </is>
      </c>
      <c r="L198" t="inlineStr">
        <is>
          <t>https://drive.google.com/file/d/1YUN-mtWYs48YBUHJk0C3vJXnhjyZFHyf/view</t>
        </is>
      </c>
    </row>
    <row r="199">
      <c r="A199" t="inlineStr">
        <is>
          <t>GLMAP-SL-0196</t>
        </is>
      </c>
      <c r="B199" t="n">
        <v>140</v>
      </c>
      <c r="C199" t="inlineStr">
        <is>
          <t>無印</t>
        </is>
      </c>
      <c r="D199" t="n">
        <v>140</v>
      </c>
      <c r="E199" t="n">
        <v>141</v>
      </c>
      <c r="F199" t="inlineStr">
        <is>
          <t>装飾窓 │高所用横すべり出し窓 / （在来・204）②</t>
        </is>
      </c>
      <c r="G199" t="n">
        <v>140</v>
      </c>
      <c r="H199" t="inlineStr">
        <is>
          <t>P140|無印</t>
        </is>
      </c>
      <c r="I199" t="inlineStr">
        <is>
          <t>same_page</t>
        </is>
      </c>
      <c r="J199" t="inlineStr">
        <is>
          <t>同頁凡例へ直接連動</t>
        </is>
      </c>
      <c r="K199" t="inlineStr">
        <is>
          <t>202604_LIXIL_サーモスＬ_業務用資料集_完成品価格表.pdf</t>
        </is>
      </c>
      <c r="L199" t="inlineStr">
        <is>
          <t>https://drive.google.com/file/d/1YUN-mtWYs48YBUHJk0C3vJXnhjyZFHyf/view</t>
        </is>
      </c>
    </row>
    <row r="200">
      <c r="A200" t="inlineStr">
        <is>
          <t>GLMAP-SL-0197</t>
        </is>
      </c>
      <c r="B200" t="n">
        <v>142</v>
      </c>
      <c r="C200" t="inlineStr">
        <is>
          <t>無印</t>
        </is>
      </c>
      <c r="D200" t="n">
        <v>142</v>
      </c>
      <c r="E200" t="n">
        <v>143</v>
      </c>
      <c r="F200" t="inlineStr">
        <is>
          <t>装飾窓 │上げ下げ窓F S (フラットスライド)</t>
        </is>
      </c>
      <c r="G200" t="n">
        <v>143</v>
      </c>
      <c r="H200" t="inlineStr">
        <is>
          <t>P143|無印</t>
        </is>
      </c>
      <c r="I200" t="inlineStr">
        <is>
          <t>next_in_same_section</t>
        </is>
      </c>
      <c r="J200" t="inlineStr">
        <is>
          <t>同一価格表・次頁凡例を継承</t>
        </is>
      </c>
      <c r="K200" t="inlineStr">
        <is>
          <t>202604_LIXIL_サーモスＬ_業務用資料集_完成品価格表.pdf</t>
        </is>
      </c>
      <c r="L200" t="inlineStr">
        <is>
          <t>https://drive.google.com/file/d/1YUN-mtWYs48YBUHJk0C3vJXnhjyZFHyf/view</t>
        </is>
      </c>
    </row>
    <row r="201">
      <c r="A201" t="inlineStr">
        <is>
          <t>GLMAP-SL-0198</t>
        </is>
      </c>
      <c r="B201" t="n">
        <v>144</v>
      </c>
      <c r="C201" t="inlineStr">
        <is>
          <t>無印</t>
        </is>
      </c>
      <c r="D201" t="n">
        <v>144</v>
      </c>
      <c r="E201" t="n">
        <v>145</v>
      </c>
      <c r="F201" t="inlineStr">
        <is>
          <t>（在来・204）① / 装飾窓 │面格子付上げ下げ窓F S (フラットスライド)</t>
        </is>
      </c>
      <c r="G201" t="n">
        <v>144</v>
      </c>
      <c r="H201" t="inlineStr">
        <is>
          <t>P144|無印</t>
        </is>
      </c>
      <c r="I201" t="inlineStr">
        <is>
          <t>same_page</t>
        </is>
      </c>
      <c r="J201" t="inlineStr">
        <is>
          <t>同頁凡例へ直接連動</t>
        </is>
      </c>
      <c r="K201" t="inlineStr">
        <is>
          <t>202604_LIXIL_サーモスＬ_業務用資料集_完成品価格表.pdf</t>
        </is>
      </c>
      <c r="L201" t="inlineStr">
        <is>
          <t>https://drive.google.com/file/d/1YUN-mtWYs48YBUHJk0C3vJXnhjyZFHyf/view</t>
        </is>
      </c>
    </row>
    <row r="202">
      <c r="A202" t="inlineStr">
        <is>
          <t>GLMAP-SL-0199</t>
        </is>
      </c>
      <c r="B202" t="n">
        <v>145</v>
      </c>
      <c r="C202" t="inlineStr">
        <is>
          <t>無印</t>
        </is>
      </c>
      <c r="D202" t="n">
        <v>144</v>
      </c>
      <c r="E202" t="n">
        <v>145</v>
      </c>
      <c r="F202" t="inlineStr">
        <is>
          <t>（在来・204）① / 装飾窓 │面格子付上げ下げ窓F S (フラットスライド)</t>
        </is>
      </c>
      <c r="G202" t="n">
        <v>145</v>
      </c>
      <c r="H202" t="inlineStr">
        <is>
          <t>P145|無印</t>
        </is>
      </c>
      <c r="I202" t="inlineStr">
        <is>
          <t>same_page</t>
        </is>
      </c>
      <c r="J202" t="inlineStr">
        <is>
          <t>同頁凡例へ直接連動</t>
        </is>
      </c>
      <c r="K202" t="inlineStr">
        <is>
          <t>202604_LIXIL_サーモスＬ_業務用資料集_完成品価格表.pdf</t>
        </is>
      </c>
      <c r="L202" t="inlineStr">
        <is>
          <t>https://drive.google.com/file/d/1YUN-mtWYs48YBUHJk0C3vJXnhjyZFHyf/view</t>
        </is>
      </c>
    </row>
    <row r="203">
      <c r="A203" t="inlineStr">
        <is>
          <t>GLMAP-SL-0200</t>
        </is>
      </c>
      <c r="B203" t="n">
        <v>146</v>
      </c>
      <c r="C203" t="inlineStr">
        <is>
          <t>無印</t>
        </is>
      </c>
      <c r="D203" t="n">
        <v>146</v>
      </c>
      <c r="E203" t="n">
        <v>147</v>
      </c>
      <c r="F203" t="inlineStr">
        <is>
          <t>（在来・204）② / 装飾窓 │面格子付上げ下げ窓F S (フラットスライド)</t>
        </is>
      </c>
      <c r="G203" t="n">
        <v>146</v>
      </c>
      <c r="H203" t="inlineStr">
        <is>
          <t>P146|無印</t>
        </is>
      </c>
      <c r="I203" t="inlineStr">
        <is>
          <t>same_page</t>
        </is>
      </c>
      <c r="J203" t="inlineStr">
        <is>
          <t>同頁凡例へ直接連動</t>
        </is>
      </c>
      <c r="K203" t="inlineStr">
        <is>
          <t>202604_LIXIL_サーモスＬ_業務用資料集_完成品価格表.pdf</t>
        </is>
      </c>
      <c r="L203" t="inlineStr">
        <is>
          <t>https://drive.google.com/file/d/1YUN-mtWYs48YBUHJk0C3vJXnhjyZFHyf/view</t>
        </is>
      </c>
    </row>
    <row r="204">
      <c r="A204" t="inlineStr">
        <is>
          <t>GLMAP-SL-0201</t>
        </is>
      </c>
      <c r="B204" t="n">
        <v>147</v>
      </c>
      <c r="C204" t="inlineStr">
        <is>
          <t>無印</t>
        </is>
      </c>
      <c r="D204" t="n">
        <v>146</v>
      </c>
      <c r="E204" t="n">
        <v>147</v>
      </c>
      <c r="F204" t="inlineStr">
        <is>
          <t>（在来・204）② / 装飾窓 │面格子付上げ下げ窓F S (フラットスライド)</t>
        </is>
      </c>
      <c r="G204" t="n">
        <v>147</v>
      </c>
      <c r="H204" t="inlineStr">
        <is>
          <t>P147|無印</t>
        </is>
      </c>
      <c r="I204" t="inlineStr">
        <is>
          <t>same_page</t>
        </is>
      </c>
      <c r="J204" t="inlineStr">
        <is>
          <t>同頁凡例へ直接連動</t>
        </is>
      </c>
      <c r="K204" t="inlineStr">
        <is>
          <t>202604_LIXIL_サーモスＬ_業務用資料集_完成品価格表.pdf</t>
        </is>
      </c>
      <c r="L204" t="inlineStr">
        <is>
          <t>https://drive.google.com/file/d/1YUN-mtWYs48YBUHJk0C3vJXnhjyZFHyf/view</t>
        </is>
      </c>
    </row>
    <row r="205">
      <c r="A205" t="inlineStr">
        <is>
          <t>GLMAP-SL-0202</t>
        </is>
      </c>
      <c r="B205" t="n">
        <v>148</v>
      </c>
      <c r="C205" t="inlineStr">
        <is>
          <t>無印</t>
        </is>
      </c>
      <c r="D205" t="n">
        <v>148</v>
      </c>
      <c r="E205" t="n">
        <v>149</v>
      </c>
      <c r="F205" t="inlineStr">
        <is>
          <t>（在来・204）マド① / 装飾窓 │F I X 窓（外押縁タイプ）</t>
        </is>
      </c>
      <c r="G205" t="n">
        <v>149</v>
      </c>
      <c r="H205" t="inlineStr">
        <is>
          <t>P149|無印</t>
        </is>
      </c>
      <c r="I205" t="inlineStr">
        <is>
          <t>next_in_same_section</t>
        </is>
      </c>
      <c r="J205" t="inlineStr">
        <is>
          <t>同一価格表・次頁凡例を継承</t>
        </is>
      </c>
      <c r="K205" t="inlineStr">
        <is>
          <t>202604_LIXIL_サーモスＬ_業務用資料集_完成品価格表.pdf</t>
        </is>
      </c>
      <c r="L205" t="inlineStr">
        <is>
          <t>https://drive.google.com/file/d/1YUN-mtWYs48YBUHJk0C3vJXnhjyZFHyf/view</t>
        </is>
      </c>
    </row>
    <row r="206">
      <c r="A206" t="inlineStr">
        <is>
          <t>GLMAP-SL-0203</t>
        </is>
      </c>
      <c r="B206" t="n">
        <v>149</v>
      </c>
      <c r="C206" t="inlineStr">
        <is>
          <t>無印</t>
        </is>
      </c>
      <c r="D206" t="n">
        <v>148</v>
      </c>
      <c r="E206" t="n">
        <v>149</v>
      </c>
      <c r="F206" t="inlineStr">
        <is>
          <t>（在来・204）マド① / 装飾窓 │F I X 窓（外押縁タイプ）</t>
        </is>
      </c>
      <c r="G206" t="n">
        <v>149</v>
      </c>
      <c r="H206" t="inlineStr">
        <is>
          <t>P149|無印</t>
        </is>
      </c>
      <c r="I206" t="inlineStr">
        <is>
          <t>same_page</t>
        </is>
      </c>
      <c r="J206" t="inlineStr">
        <is>
          <t>同頁凡例へ直接連動</t>
        </is>
      </c>
      <c r="K206" t="inlineStr">
        <is>
          <t>202604_LIXIL_サーモスＬ_業務用資料集_完成品価格表.pdf</t>
        </is>
      </c>
      <c r="L206" t="inlineStr">
        <is>
          <t>https://drive.google.com/file/d/1YUN-mtWYs48YBUHJk0C3vJXnhjyZFHyf/view</t>
        </is>
      </c>
    </row>
    <row r="207">
      <c r="A207" t="inlineStr">
        <is>
          <t>GLMAP-SL-0204</t>
        </is>
      </c>
      <c r="B207" t="n">
        <v>150</v>
      </c>
      <c r="C207" t="inlineStr">
        <is>
          <t>無印</t>
        </is>
      </c>
      <c r="D207" t="n">
        <v>150</v>
      </c>
      <c r="E207" t="n">
        <v>151</v>
      </c>
      <c r="F207" t="inlineStr">
        <is>
          <t>（在来・204）マド② / 装飾窓 │F I X 窓（外押縁タイプ）</t>
        </is>
      </c>
      <c r="G207" t="n">
        <v>151</v>
      </c>
      <c r="H207" t="inlineStr">
        <is>
          <t>P151|無印</t>
        </is>
      </c>
      <c r="I207" t="inlineStr">
        <is>
          <t>next_in_same_section</t>
        </is>
      </c>
      <c r="J207" t="inlineStr">
        <is>
          <t>同一価格表・次頁凡例を継承</t>
        </is>
      </c>
      <c r="K207" t="inlineStr">
        <is>
          <t>202604_LIXIL_サーモスＬ_業務用資料集_完成品価格表.pdf</t>
        </is>
      </c>
      <c r="L207" t="inlineStr">
        <is>
          <t>https://drive.google.com/file/d/1YUN-mtWYs48YBUHJk0C3vJXnhjyZFHyf/view</t>
        </is>
      </c>
    </row>
    <row r="208">
      <c r="A208" t="inlineStr">
        <is>
          <t>GLMAP-SL-0205</t>
        </is>
      </c>
      <c r="B208" t="n">
        <v>151</v>
      </c>
      <c r="C208" t="inlineStr">
        <is>
          <t>無印</t>
        </is>
      </c>
      <c r="D208" t="n">
        <v>150</v>
      </c>
      <c r="E208" t="n">
        <v>151</v>
      </c>
      <c r="F208" t="inlineStr">
        <is>
          <t>（在来・204）マド② / 装飾窓 │F I X 窓（外押縁タイプ）</t>
        </is>
      </c>
      <c r="G208" t="n">
        <v>151</v>
      </c>
      <c r="H208" t="inlineStr">
        <is>
          <t>P151|無印</t>
        </is>
      </c>
      <c r="I208" t="inlineStr">
        <is>
          <t>same_page</t>
        </is>
      </c>
      <c r="J208" t="inlineStr">
        <is>
          <t>同頁凡例へ直接連動</t>
        </is>
      </c>
      <c r="K208" t="inlineStr">
        <is>
          <t>202604_LIXIL_サーモスＬ_業務用資料集_完成品価格表.pdf</t>
        </is>
      </c>
      <c r="L208" t="inlineStr">
        <is>
          <t>https://drive.google.com/file/d/1YUN-mtWYs48YBUHJk0C3vJXnhjyZFHyf/view</t>
        </is>
      </c>
    </row>
    <row r="209">
      <c r="A209" t="inlineStr">
        <is>
          <t>GLMAP-SL-0206</t>
        </is>
      </c>
      <c r="B209" t="n">
        <v>153</v>
      </c>
      <c r="C209" t="inlineStr">
        <is>
          <t>無印</t>
        </is>
      </c>
      <c r="D209" t="n">
        <v>152</v>
      </c>
      <c r="E209" t="n">
        <v>153</v>
      </c>
      <c r="F209" t="inlineStr">
        <is>
          <t>（在来・204）マド③ / 装飾窓 │F I X 窓（外押縁タイプ）</t>
        </is>
      </c>
      <c r="G209" t="n">
        <v>152</v>
      </c>
      <c r="H209" t="inlineStr">
        <is>
          <t>P152|無印</t>
        </is>
      </c>
      <c r="I209" t="inlineStr">
        <is>
          <t>previous_in_same_section</t>
        </is>
      </c>
      <c r="J209" t="inlineStr">
        <is>
          <t>同一価格表・前頁凡例を継承</t>
        </is>
      </c>
      <c r="K209" t="inlineStr">
        <is>
          <t>202604_LIXIL_サーモスＬ_業務用資料集_完成品価格表.pdf</t>
        </is>
      </c>
      <c r="L209" t="inlineStr">
        <is>
          <t>https://drive.google.com/file/d/1YUN-mtWYs48YBUHJk0C3vJXnhjyZFHyf/view</t>
        </is>
      </c>
    </row>
    <row r="210">
      <c r="A210" t="inlineStr">
        <is>
          <t>GLMAP-SL-0207</t>
        </is>
      </c>
      <c r="B210" t="n">
        <v>154</v>
      </c>
      <c r="C210" t="inlineStr">
        <is>
          <t>無印</t>
        </is>
      </c>
      <c r="D210" t="n">
        <v>154</v>
      </c>
      <c r="E210" t="n">
        <v>155</v>
      </c>
      <c r="F210" t="inlineStr">
        <is>
          <t>（在来・204）マド④ / 装飾窓 │F I X 窓（外押縁タイプ）</t>
        </is>
      </c>
      <c r="G210" t="n">
        <v>154</v>
      </c>
      <c r="H210" t="inlineStr">
        <is>
          <t>P154|無印</t>
        </is>
      </c>
      <c r="I210" t="inlineStr">
        <is>
          <t>same_page</t>
        </is>
      </c>
      <c r="J210" t="inlineStr">
        <is>
          <t>同頁凡例へ直接連動</t>
        </is>
      </c>
      <c r="K210" t="inlineStr">
        <is>
          <t>202604_LIXIL_サーモスＬ_業務用資料集_完成品価格表.pdf</t>
        </is>
      </c>
      <c r="L210" t="inlineStr">
        <is>
          <t>https://drive.google.com/file/d/1YUN-mtWYs48YBUHJk0C3vJXnhjyZFHyf/view</t>
        </is>
      </c>
    </row>
    <row r="211">
      <c r="A211" t="inlineStr">
        <is>
          <t>GLMAP-SL-0208</t>
        </is>
      </c>
      <c r="B211" t="n">
        <v>155</v>
      </c>
      <c r="C211" t="inlineStr">
        <is>
          <t>★</t>
        </is>
      </c>
      <c r="D211" t="n">
        <v>154</v>
      </c>
      <c r="E211" t="n">
        <v>155</v>
      </c>
      <c r="F211" t="inlineStr">
        <is>
          <t>（在来・204）マド④ / 装飾窓 │F I X 窓（外押縁タイプ）</t>
        </is>
      </c>
      <c r="G211" t="n">
        <v>154</v>
      </c>
      <c r="H211" t="inlineStr">
        <is>
          <t>P154|★</t>
        </is>
      </c>
      <c r="I211" t="inlineStr">
        <is>
          <t>previous_in_same_section</t>
        </is>
      </c>
      <c r="J211" t="inlineStr">
        <is>
          <t>同一価格表・前頁凡例を継承</t>
        </is>
      </c>
      <c r="K211" t="inlineStr">
        <is>
          <t>202604_LIXIL_サーモスＬ_業務用資料集_完成品価格表.pdf</t>
        </is>
      </c>
      <c r="L211" t="inlineStr">
        <is>
          <t>https://drive.google.com/file/d/1YUN-mtWYs48YBUHJk0C3vJXnhjyZFHyf/view</t>
        </is>
      </c>
    </row>
    <row r="212">
      <c r="A212" t="inlineStr">
        <is>
          <t>GLMAP-SL-0209</t>
        </is>
      </c>
      <c r="B212" t="n">
        <v>155</v>
      </c>
      <c r="C212" t="inlineStr">
        <is>
          <t>無印</t>
        </is>
      </c>
      <c r="D212" t="n">
        <v>154</v>
      </c>
      <c r="E212" t="n">
        <v>155</v>
      </c>
      <c r="F212" t="inlineStr">
        <is>
          <t>（在来・204）マド④ / 装飾窓 │F I X 窓（外押縁タイプ）</t>
        </is>
      </c>
      <c r="G212" t="n">
        <v>154</v>
      </c>
      <c r="H212" t="inlineStr">
        <is>
          <t>P154|無印</t>
        </is>
      </c>
      <c r="I212" t="inlineStr">
        <is>
          <t>previous_in_same_section</t>
        </is>
      </c>
      <c r="J212" t="inlineStr">
        <is>
          <t>同一価格表・前頁凡例を継承</t>
        </is>
      </c>
      <c r="K212" t="inlineStr">
        <is>
          <t>202604_LIXIL_サーモスＬ_業務用資料集_完成品価格表.pdf</t>
        </is>
      </c>
      <c r="L212" t="inlineStr">
        <is>
          <t>https://drive.google.com/file/d/1YUN-mtWYs48YBUHJk0C3vJXnhjyZFHyf/view</t>
        </is>
      </c>
    </row>
    <row r="213">
      <c r="A213" t="inlineStr">
        <is>
          <t>GLMAP-SL-0210</t>
        </is>
      </c>
      <c r="B213" t="n">
        <v>156</v>
      </c>
      <c r="C213" t="inlineStr">
        <is>
          <t>無印</t>
        </is>
      </c>
      <c r="D213" t="n">
        <v>156</v>
      </c>
      <c r="E213" t="n">
        <v>157</v>
      </c>
      <c r="F213" t="inlineStr">
        <is>
          <t>（在来・204）マド⑤ / 装飾窓 │F I X 窓（外押縁タイプ）</t>
        </is>
      </c>
      <c r="G213" t="n">
        <v>157</v>
      </c>
      <c r="H213" t="inlineStr">
        <is>
          <t>P157|無印</t>
        </is>
      </c>
      <c r="I213" t="inlineStr">
        <is>
          <t>next_in_same_section</t>
        </is>
      </c>
      <c r="J213" t="inlineStr">
        <is>
          <t>同一価格表・次頁凡例を継承</t>
        </is>
      </c>
      <c r="K213" t="inlineStr">
        <is>
          <t>202604_LIXIL_サーモスＬ_業務用資料集_完成品価格表.pdf</t>
        </is>
      </c>
      <c r="L213" t="inlineStr">
        <is>
          <t>https://drive.google.com/file/d/1YUN-mtWYs48YBUHJk0C3vJXnhjyZFHyf/view</t>
        </is>
      </c>
    </row>
    <row r="214">
      <c r="A214" t="inlineStr">
        <is>
          <t>GLMAP-SL-0211</t>
        </is>
      </c>
      <c r="B214" t="n">
        <v>157</v>
      </c>
      <c r="C214" t="inlineStr">
        <is>
          <t>無印</t>
        </is>
      </c>
      <c r="D214" t="n">
        <v>156</v>
      </c>
      <c r="E214" t="n">
        <v>157</v>
      </c>
      <c r="F214" t="inlineStr">
        <is>
          <t>（在来・204）マド⑤ / 装飾窓 │F I X 窓（外押縁タイプ）</t>
        </is>
      </c>
      <c r="G214" t="n">
        <v>157</v>
      </c>
      <c r="H214" t="inlineStr">
        <is>
          <t>P157|無印</t>
        </is>
      </c>
      <c r="I214" t="inlineStr">
        <is>
          <t>same_page</t>
        </is>
      </c>
      <c r="J214" t="inlineStr">
        <is>
          <t>同頁凡例へ直接連動</t>
        </is>
      </c>
      <c r="K214" t="inlineStr">
        <is>
          <t>202604_LIXIL_サーモスＬ_業務用資料集_完成品価格表.pdf</t>
        </is>
      </c>
      <c r="L214" t="inlineStr">
        <is>
          <t>https://drive.google.com/file/d/1YUN-mtWYs48YBUHJk0C3vJXnhjyZFHyf/view</t>
        </is>
      </c>
    </row>
    <row r="215">
      <c r="A215" t="inlineStr">
        <is>
          <t>GLMAP-SL-0212</t>
        </is>
      </c>
      <c r="B215" t="n">
        <v>158</v>
      </c>
      <c r="C215" t="inlineStr">
        <is>
          <t>★</t>
        </is>
      </c>
      <c r="D215" t="n">
        <v>158</v>
      </c>
      <c r="E215" t="n">
        <v>159</v>
      </c>
      <c r="F215" t="inlineStr">
        <is>
          <t>（在来・204）マド⑥ / 装飾窓 │F I X 窓（外押縁タイプ）</t>
        </is>
      </c>
      <c r="G215" t="n">
        <v>159</v>
      </c>
      <c r="H215" t="inlineStr">
        <is>
          <t>P159|★</t>
        </is>
      </c>
      <c r="I215" t="inlineStr">
        <is>
          <t>next_in_same_section</t>
        </is>
      </c>
      <c r="J215" t="inlineStr">
        <is>
          <t>同一価格表・次頁凡例を継承</t>
        </is>
      </c>
      <c r="K215" t="inlineStr">
        <is>
          <t>202604_LIXIL_サーモスＬ_業務用資料集_完成品価格表.pdf</t>
        </is>
      </c>
      <c r="L215" t="inlineStr">
        <is>
          <t>https://drive.google.com/file/d/1YUN-mtWYs48YBUHJk0C3vJXnhjyZFHyf/view</t>
        </is>
      </c>
    </row>
    <row r="216">
      <c r="A216" t="inlineStr">
        <is>
          <t>GLMAP-SL-0213</t>
        </is>
      </c>
      <c r="B216" t="n">
        <v>158</v>
      </c>
      <c r="C216" t="inlineStr">
        <is>
          <t>無印</t>
        </is>
      </c>
      <c r="D216" t="n">
        <v>158</v>
      </c>
      <c r="E216" t="n">
        <v>159</v>
      </c>
      <c r="F216" t="inlineStr">
        <is>
          <t>（在来・204）マド⑥ / 装飾窓 │F I X 窓（外押縁タイプ）</t>
        </is>
      </c>
      <c r="G216" t="n">
        <v>159</v>
      </c>
      <c r="H216" t="inlineStr">
        <is>
          <t>P159|無印</t>
        </is>
      </c>
      <c r="I216" t="inlineStr">
        <is>
          <t>next_in_same_section</t>
        </is>
      </c>
      <c r="J216" t="inlineStr">
        <is>
          <t>同一価格表・次頁凡例を継承</t>
        </is>
      </c>
      <c r="K216" t="inlineStr">
        <is>
          <t>202604_LIXIL_サーモスＬ_業務用資料集_完成品価格表.pdf</t>
        </is>
      </c>
      <c r="L216" t="inlineStr">
        <is>
          <t>https://drive.google.com/file/d/1YUN-mtWYs48YBUHJk0C3vJXnhjyZFHyf/view</t>
        </is>
      </c>
    </row>
    <row r="217">
      <c r="A217" t="inlineStr">
        <is>
          <t>GLMAP-SL-0214</t>
        </is>
      </c>
      <c r="B217" t="n">
        <v>159</v>
      </c>
      <c r="C217" t="inlineStr">
        <is>
          <t>◇</t>
        </is>
      </c>
      <c r="D217" t="n">
        <v>158</v>
      </c>
      <c r="E217" t="n">
        <v>159</v>
      </c>
      <c r="F217" t="inlineStr">
        <is>
          <t>（在来・204）マド⑥ / 装飾窓 │F I X 窓（外押縁タイプ）</t>
        </is>
      </c>
      <c r="G217" t="n">
        <v>159</v>
      </c>
      <c r="H217" t="inlineStr">
        <is>
          <t>P159|◇</t>
        </is>
      </c>
      <c r="I217" t="inlineStr">
        <is>
          <t>same_page</t>
        </is>
      </c>
      <c r="J217" t="inlineStr">
        <is>
          <t>同頁凡例へ直接連動</t>
        </is>
      </c>
      <c r="K217" t="inlineStr">
        <is>
          <t>202604_LIXIL_サーモスＬ_業務用資料集_完成品価格表.pdf</t>
        </is>
      </c>
      <c r="L217" t="inlineStr">
        <is>
          <t>https://drive.google.com/file/d/1YUN-mtWYs48YBUHJk0C3vJXnhjyZFHyf/view</t>
        </is>
      </c>
    </row>
    <row r="218">
      <c r="A218" t="inlineStr">
        <is>
          <t>GLMAP-SL-0215</t>
        </is>
      </c>
      <c r="B218" t="n">
        <v>159</v>
      </c>
      <c r="C218" t="inlineStr">
        <is>
          <t>●</t>
        </is>
      </c>
      <c r="D218" t="n">
        <v>158</v>
      </c>
      <c r="E218" t="n">
        <v>159</v>
      </c>
      <c r="F218" t="inlineStr">
        <is>
          <t>（在来・204）マド⑥ / 装飾窓 │F I X 窓（外押縁タイプ）</t>
        </is>
      </c>
      <c r="G218" t="n">
        <v>159</v>
      </c>
      <c r="H218" t="inlineStr">
        <is>
          <t>P159|●</t>
        </is>
      </c>
      <c r="I218" t="inlineStr">
        <is>
          <t>same_page</t>
        </is>
      </c>
      <c r="J218" t="inlineStr">
        <is>
          <t>同頁凡例へ直接連動</t>
        </is>
      </c>
      <c r="K218" t="inlineStr">
        <is>
          <t>202604_LIXIL_サーモスＬ_業務用資料集_完成品価格表.pdf</t>
        </is>
      </c>
      <c r="L218" t="inlineStr">
        <is>
          <t>https://drive.google.com/file/d/1YUN-mtWYs48YBUHJk0C3vJXnhjyZFHyf/view</t>
        </is>
      </c>
    </row>
    <row r="219">
      <c r="A219" t="inlineStr">
        <is>
          <t>GLMAP-SL-0216</t>
        </is>
      </c>
      <c r="B219" t="n">
        <v>159</v>
      </c>
      <c r="C219" t="inlineStr">
        <is>
          <t>★</t>
        </is>
      </c>
      <c r="D219" t="n">
        <v>158</v>
      </c>
      <c r="E219" t="n">
        <v>159</v>
      </c>
      <c r="F219" t="inlineStr">
        <is>
          <t>（在来・204）マド⑥ / 装飾窓 │F I X 窓（外押縁タイプ）</t>
        </is>
      </c>
      <c r="G219" t="n">
        <v>159</v>
      </c>
      <c r="H219" t="inlineStr">
        <is>
          <t>P159|★</t>
        </is>
      </c>
      <c r="I219" t="inlineStr">
        <is>
          <t>same_page</t>
        </is>
      </c>
      <c r="J219" t="inlineStr">
        <is>
          <t>同頁凡例へ直接連動</t>
        </is>
      </c>
      <c r="K219" t="inlineStr">
        <is>
          <t>202604_LIXIL_サーモスＬ_業務用資料集_完成品価格表.pdf</t>
        </is>
      </c>
      <c r="L219" t="inlineStr">
        <is>
          <t>https://drive.google.com/file/d/1YUN-mtWYs48YBUHJk0C3vJXnhjyZFHyf/view</t>
        </is>
      </c>
    </row>
    <row r="220">
      <c r="A220" t="inlineStr">
        <is>
          <t>GLMAP-SL-0217</t>
        </is>
      </c>
      <c r="B220" t="n">
        <v>159</v>
      </c>
      <c r="C220" t="inlineStr">
        <is>
          <t>☆</t>
        </is>
      </c>
      <c r="D220" t="n">
        <v>158</v>
      </c>
      <c r="E220" t="n">
        <v>159</v>
      </c>
      <c r="F220" t="inlineStr">
        <is>
          <t>（在来・204）マド⑥ / 装飾窓 │F I X 窓（外押縁タイプ）</t>
        </is>
      </c>
      <c r="G220" t="n">
        <v>159</v>
      </c>
      <c r="H220" t="inlineStr">
        <is>
          <t>P159|☆</t>
        </is>
      </c>
      <c r="I220" t="inlineStr">
        <is>
          <t>same_page</t>
        </is>
      </c>
      <c r="J220" t="inlineStr">
        <is>
          <t>同頁凡例へ直接連動</t>
        </is>
      </c>
      <c r="K220" t="inlineStr">
        <is>
          <t>202604_LIXIL_サーモスＬ_業務用資料集_完成品価格表.pdf</t>
        </is>
      </c>
      <c r="L220" t="inlineStr">
        <is>
          <t>https://drive.google.com/file/d/1YUN-mtWYs48YBUHJk0C3vJXnhjyZFHyf/view</t>
        </is>
      </c>
    </row>
    <row r="221">
      <c r="A221" t="inlineStr">
        <is>
          <t>GLMAP-SL-0218</t>
        </is>
      </c>
      <c r="B221" t="n">
        <v>159</v>
      </c>
      <c r="C221" t="inlineStr">
        <is>
          <t>無印</t>
        </is>
      </c>
      <c r="D221" t="n">
        <v>158</v>
      </c>
      <c r="E221" t="n">
        <v>159</v>
      </c>
      <c r="F221" t="inlineStr">
        <is>
          <t>（在来・204）マド⑥ / 装飾窓 │F I X 窓（外押縁タイプ）</t>
        </is>
      </c>
      <c r="G221" t="n">
        <v>159</v>
      </c>
      <c r="H221" t="inlineStr">
        <is>
          <t>P159|無印</t>
        </is>
      </c>
      <c r="I221" t="inlineStr">
        <is>
          <t>same_page</t>
        </is>
      </c>
      <c r="J221" t="inlineStr">
        <is>
          <t>同頁凡例へ直接連動</t>
        </is>
      </c>
      <c r="K221" t="inlineStr">
        <is>
          <t>202604_LIXIL_サーモスＬ_業務用資料集_完成品価格表.pdf</t>
        </is>
      </c>
      <c r="L221" t="inlineStr">
        <is>
          <t>https://drive.google.com/file/d/1YUN-mtWYs48YBUHJk0C3vJXnhjyZFHyf/view</t>
        </is>
      </c>
    </row>
    <row r="222">
      <c r="A222" t="inlineStr">
        <is>
          <t>GLMAP-SL-0219</t>
        </is>
      </c>
      <c r="B222" t="n">
        <v>160</v>
      </c>
      <c r="C222" t="inlineStr">
        <is>
          <t>無印</t>
        </is>
      </c>
      <c r="D222" t="n">
        <v>160</v>
      </c>
      <c r="E222" t="n">
        <v>161</v>
      </c>
      <c r="F222" t="inlineStr">
        <is>
          <t>（在来・204）マド⑦ / 装飾窓 │F I X 窓（外押縁タイプ）</t>
        </is>
      </c>
      <c r="G222" t="n">
        <v>160</v>
      </c>
      <c r="H222" t="inlineStr">
        <is>
          <t>P160|無印</t>
        </is>
      </c>
      <c r="I222" t="inlineStr">
        <is>
          <t>same_page</t>
        </is>
      </c>
      <c r="J222" t="inlineStr">
        <is>
          <t>同頁凡例へ直接連動</t>
        </is>
      </c>
      <c r="K222" t="inlineStr">
        <is>
          <t>202604_LIXIL_サーモスＬ_業務用資料集_完成品価格表.pdf</t>
        </is>
      </c>
      <c r="L222" t="inlineStr">
        <is>
          <t>https://drive.google.com/file/d/1YUN-mtWYs48YBUHJk0C3vJXnhjyZFHyf/view</t>
        </is>
      </c>
    </row>
    <row r="223">
      <c r="A223" t="inlineStr">
        <is>
          <t>GLMAP-SL-0220</t>
        </is>
      </c>
      <c r="B223" t="n">
        <v>161</v>
      </c>
      <c r="C223" t="inlineStr">
        <is>
          <t>無印</t>
        </is>
      </c>
      <c r="D223" t="n">
        <v>160</v>
      </c>
      <c r="E223" t="n">
        <v>161</v>
      </c>
      <c r="F223" t="inlineStr">
        <is>
          <t>（在来・204）マド⑦ / 装飾窓 │F I X 窓（外押縁タイプ）</t>
        </is>
      </c>
      <c r="G223" t="n">
        <v>160</v>
      </c>
      <c r="H223" t="inlineStr">
        <is>
          <t>P160|無印</t>
        </is>
      </c>
      <c r="I223" t="inlineStr">
        <is>
          <t>previous_in_same_section</t>
        </is>
      </c>
      <c r="J223" t="inlineStr">
        <is>
          <t>同一価格表・前頁凡例を継承</t>
        </is>
      </c>
      <c r="K223" t="inlineStr">
        <is>
          <t>202604_LIXIL_サーモスＬ_業務用資料集_完成品価格表.pdf</t>
        </is>
      </c>
      <c r="L223" t="inlineStr">
        <is>
          <t>https://drive.google.com/file/d/1YUN-mtWYs48YBUHJk0C3vJXnhjyZFHyf/view</t>
        </is>
      </c>
    </row>
    <row r="224">
      <c r="A224" t="inlineStr">
        <is>
          <t>GLMAP-SL-0221</t>
        </is>
      </c>
      <c r="B224" t="n">
        <v>164</v>
      </c>
      <c r="C224" t="inlineStr">
        <is>
          <t>★</t>
        </is>
      </c>
      <c r="D224" t="n">
        <v>164</v>
      </c>
      <c r="E224" t="n">
        <v>165</v>
      </c>
      <c r="F224" t="inlineStr">
        <is>
          <t>装飾窓 │F I X 窓（外押縁タイプ）</t>
        </is>
      </c>
      <c r="G224" t="n">
        <v>164</v>
      </c>
      <c r="H224" t="inlineStr">
        <is>
          <t>P164|★</t>
        </is>
      </c>
      <c r="I224" t="inlineStr">
        <is>
          <t>same_page</t>
        </is>
      </c>
      <c r="J224" t="inlineStr">
        <is>
          <t>同頁凡例へ直接連動</t>
        </is>
      </c>
      <c r="K224" t="inlineStr">
        <is>
          <t>202604_LIXIL_サーモスＬ_業務用資料集_完成品価格表.pdf</t>
        </is>
      </c>
      <c r="L224" t="inlineStr">
        <is>
          <t>https://drive.google.com/file/d/1YUN-mtWYs48YBUHJk0C3vJXnhjyZFHyf/view</t>
        </is>
      </c>
    </row>
    <row r="225">
      <c r="A225" t="inlineStr">
        <is>
          <t>GLMAP-SL-0222</t>
        </is>
      </c>
      <c r="B225" t="n">
        <v>164</v>
      </c>
      <c r="C225" t="inlineStr">
        <is>
          <t>☆</t>
        </is>
      </c>
      <c r="D225" t="n">
        <v>164</v>
      </c>
      <c r="E225" t="n">
        <v>165</v>
      </c>
      <c r="F225" t="inlineStr">
        <is>
          <t>装飾窓 │F I X 窓（外押縁タイプ）</t>
        </is>
      </c>
      <c r="G225" t="n">
        <v>164</v>
      </c>
      <c r="H225" t="inlineStr">
        <is>
          <t>P164|☆</t>
        </is>
      </c>
      <c r="I225" t="inlineStr">
        <is>
          <t>same_page</t>
        </is>
      </c>
      <c r="J225" t="inlineStr">
        <is>
          <t>同頁凡例へ直接連動</t>
        </is>
      </c>
      <c r="K225" t="inlineStr">
        <is>
          <t>202604_LIXIL_サーモスＬ_業務用資料集_完成品価格表.pdf</t>
        </is>
      </c>
      <c r="L225" t="inlineStr">
        <is>
          <t>https://drive.google.com/file/d/1YUN-mtWYs48YBUHJk0C3vJXnhjyZFHyf/view</t>
        </is>
      </c>
    </row>
    <row r="226">
      <c r="A226" t="inlineStr">
        <is>
          <t>GLMAP-SL-0223</t>
        </is>
      </c>
      <c r="B226" t="n">
        <v>164</v>
      </c>
      <c r="C226" t="inlineStr">
        <is>
          <t>無印</t>
        </is>
      </c>
      <c r="D226" t="n">
        <v>164</v>
      </c>
      <c r="E226" t="n">
        <v>165</v>
      </c>
      <c r="F226" t="inlineStr">
        <is>
          <t>装飾窓 │F I X 窓（外押縁タイプ）</t>
        </is>
      </c>
      <c r="G226" t="n">
        <v>164</v>
      </c>
      <c r="H226" t="inlineStr">
        <is>
          <t>P164|無印</t>
        </is>
      </c>
      <c r="I226" t="inlineStr">
        <is>
          <t>same_page</t>
        </is>
      </c>
      <c r="J226" t="inlineStr">
        <is>
          <t>同頁凡例へ直接連動</t>
        </is>
      </c>
      <c r="K226" t="inlineStr">
        <is>
          <t>202604_LIXIL_サーモスＬ_業務用資料集_完成品価格表.pdf</t>
        </is>
      </c>
      <c r="L226" t="inlineStr">
        <is>
          <t>https://drive.google.com/file/d/1YUN-mtWYs48YBUHJk0C3vJXnhjyZFHyf/view</t>
        </is>
      </c>
    </row>
    <row r="227">
      <c r="A227" t="inlineStr">
        <is>
          <t>GLMAP-SL-0224</t>
        </is>
      </c>
      <c r="B227" t="n">
        <v>165</v>
      </c>
      <c r="C227" t="inlineStr">
        <is>
          <t>◇</t>
        </is>
      </c>
      <c r="D227" t="n">
        <v>164</v>
      </c>
      <c r="E227" t="n">
        <v>165</v>
      </c>
      <c r="F227" t="inlineStr">
        <is>
          <t>装飾窓 │F I X 窓（外押縁タイプ）</t>
        </is>
      </c>
      <c r="G227" t="n">
        <v>164</v>
      </c>
      <c r="H227" t="inlineStr">
        <is>
          <t>P164|◇</t>
        </is>
      </c>
      <c r="I227" t="inlineStr">
        <is>
          <t>previous_in_same_section</t>
        </is>
      </c>
      <c r="J227" t="inlineStr">
        <is>
          <t>同一価格表・前頁凡例を継承</t>
        </is>
      </c>
      <c r="K227" t="inlineStr">
        <is>
          <t>202604_LIXIL_サーモスＬ_業務用資料集_完成品価格表.pdf</t>
        </is>
      </c>
      <c r="L227" t="inlineStr">
        <is>
          <t>https://drive.google.com/file/d/1YUN-mtWYs48YBUHJk0C3vJXnhjyZFHyf/view</t>
        </is>
      </c>
    </row>
    <row r="228">
      <c r="A228" t="inlineStr">
        <is>
          <t>GLMAP-SL-0225</t>
        </is>
      </c>
      <c r="B228" t="n">
        <v>165</v>
      </c>
      <c r="C228" t="inlineStr">
        <is>
          <t>○</t>
        </is>
      </c>
      <c r="D228" t="n">
        <v>164</v>
      </c>
      <c r="E228" t="n">
        <v>165</v>
      </c>
      <c r="F228" t="inlineStr">
        <is>
          <t>装飾窓 │F I X 窓（外押縁タイプ）</t>
        </is>
      </c>
      <c r="G228" t="n">
        <v>164</v>
      </c>
      <c r="H228" t="inlineStr">
        <is>
          <t>P164|○</t>
        </is>
      </c>
      <c r="I228" t="inlineStr">
        <is>
          <t>previous_in_same_section</t>
        </is>
      </c>
      <c r="J228" t="inlineStr">
        <is>
          <t>同一価格表・前頁凡例を継承</t>
        </is>
      </c>
      <c r="K228" t="inlineStr">
        <is>
          <t>202604_LIXIL_サーモスＬ_業務用資料集_完成品価格表.pdf</t>
        </is>
      </c>
      <c r="L228" t="inlineStr">
        <is>
          <t>https://drive.google.com/file/d/1YUN-mtWYs48YBUHJk0C3vJXnhjyZFHyf/view</t>
        </is>
      </c>
    </row>
    <row r="229">
      <c r="A229" t="inlineStr">
        <is>
          <t>GLMAP-SL-0226</t>
        </is>
      </c>
      <c r="B229" t="n">
        <v>165</v>
      </c>
      <c r="C229" t="inlineStr">
        <is>
          <t>◎</t>
        </is>
      </c>
      <c r="D229" t="n">
        <v>164</v>
      </c>
      <c r="E229" t="n">
        <v>165</v>
      </c>
      <c r="F229" t="inlineStr">
        <is>
          <t>装飾窓 │F I X 窓（外押縁タイプ）</t>
        </is>
      </c>
      <c r="G229" t="n">
        <v>164</v>
      </c>
      <c r="H229" t="inlineStr">
        <is>
          <t>P164|◎</t>
        </is>
      </c>
      <c r="I229" t="inlineStr">
        <is>
          <t>previous_in_same_section</t>
        </is>
      </c>
      <c r="J229" t="inlineStr">
        <is>
          <t>同一価格表・前頁凡例を継承</t>
        </is>
      </c>
      <c r="K229" t="inlineStr">
        <is>
          <t>202604_LIXIL_サーモスＬ_業務用資料集_完成品価格表.pdf</t>
        </is>
      </c>
      <c r="L229" t="inlineStr">
        <is>
          <t>https://drive.google.com/file/d/1YUN-mtWYs48YBUHJk0C3vJXnhjyZFHyf/view</t>
        </is>
      </c>
    </row>
    <row r="230">
      <c r="A230" t="inlineStr">
        <is>
          <t>GLMAP-SL-0227</t>
        </is>
      </c>
      <c r="B230" t="n">
        <v>165</v>
      </c>
      <c r="C230" t="inlineStr">
        <is>
          <t>●</t>
        </is>
      </c>
      <c r="D230" t="n">
        <v>164</v>
      </c>
      <c r="E230" t="n">
        <v>165</v>
      </c>
      <c r="F230" t="inlineStr">
        <is>
          <t>装飾窓 │F I X 窓（外押縁タイプ）</t>
        </is>
      </c>
      <c r="G230" t="n">
        <v>164</v>
      </c>
      <c r="H230" t="inlineStr">
        <is>
          <t>P164|●</t>
        </is>
      </c>
      <c r="I230" t="inlineStr">
        <is>
          <t>previous_in_same_section</t>
        </is>
      </c>
      <c r="J230" t="inlineStr">
        <is>
          <t>同一価格表・前頁凡例を継承</t>
        </is>
      </c>
      <c r="K230" t="inlineStr">
        <is>
          <t>202604_LIXIL_サーモスＬ_業務用資料集_完成品価格表.pdf</t>
        </is>
      </c>
      <c r="L230" t="inlineStr">
        <is>
          <t>https://drive.google.com/file/d/1YUN-mtWYs48YBUHJk0C3vJXnhjyZFHyf/view</t>
        </is>
      </c>
    </row>
    <row r="231">
      <c r="A231" t="inlineStr">
        <is>
          <t>GLMAP-SL-0228</t>
        </is>
      </c>
      <c r="B231" t="n">
        <v>165</v>
      </c>
      <c r="C231" t="inlineStr">
        <is>
          <t>無印</t>
        </is>
      </c>
      <c r="D231" t="n">
        <v>164</v>
      </c>
      <c r="E231" t="n">
        <v>165</v>
      </c>
      <c r="F231" t="inlineStr">
        <is>
          <t>装飾窓 │F I X 窓（外押縁タイプ）</t>
        </is>
      </c>
      <c r="G231" t="n">
        <v>164</v>
      </c>
      <c r="H231" t="inlineStr">
        <is>
          <t>P164|無印</t>
        </is>
      </c>
      <c r="I231" t="inlineStr">
        <is>
          <t>previous_in_same_section</t>
        </is>
      </c>
      <c r="J231" t="inlineStr">
        <is>
          <t>同一価格表・前頁凡例を継承</t>
        </is>
      </c>
      <c r="K231" t="inlineStr">
        <is>
          <t>202604_LIXIL_サーモスＬ_業務用資料集_完成品価格表.pdf</t>
        </is>
      </c>
      <c r="L231" t="inlineStr">
        <is>
          <t>https://drive.google.com/file/d/1YUN-mtWYs48YBUHJk0C3vJXnhjyZFHyf/view</t>
        </is>
      </c>
    </row>
    <row r="232">
      <c r="A232" t="inlineStr">
        <is>
          <t>GLMAP-SL-0229</t>
        </is>
      </c>
      <c r="B232" t="n">
        <v>166</v>
      </c>
      <c r="C232" t="inlineStr">
        <is>
          <t>★</t>
        </is>
      </c>
      <c r="D232" t="n">
        <v>166</v>
      </c>
      <c r="E232" t="n">
        <v>167</v>
      </c>
      <c r="F232" t="inlineStr">
        <is>
          <t>装飾窓 │F I X 窓（外押縁タイプ）</t>
        </is>
      </c>
      <c r="G232" t="n">
        <v>166</v>
      </c>
      <c r="H232" t="inlineStr">
        <is>
          <t>P166|★</t>
        </is>
      </c>
      <c r="I232" t="inlineStr">
        <is>
          <t>same_page</t>
        </is>
      </c>
      <c r="J232" t="inlineStr">
        <is>
          <t>同頁凡例へ直接連動</t>
        </is>
      </c>
      <c r="K232" t="inlineStr">
        <is>
          <t>202604_LIXIL_サーモスＬ_業務用資料集_完成品価格表.pdf</t>
        </is>
      </c>
      <c r="L232" t="inlineStr">
        <is>
          <t>https://drive.google.com/file/d/1YUN-mtWYs48YBUHJk0C3vJXnhjyZFHyf/view</t>
        </is>
      </c>
    </row>
    <row r="233">
      <c r="A233" t="inlineStr">
        <is>
          <t>GLMAP-SL-0230</t>
        </is>
      </c>
      <c r="B233" t="n">
        <v>166</v>
      </c>
      <c r="C233" t="inlineStr">
        <is>
          <t>☆</t>
        </is>
      </c>
      <c r="D233" t="n">
        <v>166</v>
      </c>
      <c r="E233" t="n">
        <v>167</v>
      </c>
      <c r="F233" t="inlineStr">
        <is>
          <t>装飾窓 │F I X 窓（外押縁タイプ）</t>
        </is>
      </c>
      <c r="G233" t="n">
        <v>166</v>
      </c>
      <c r="H233" t="inlineStr">
        <is>
          <t>P166|☆</t>
        </is>
      </c>
      <c r="I233" t="inlineStr">
        <is>
          <t>same_page</t>
        </is>
      </c>
      <c r="J233" t="inlineStr">
        <is>
          <t>同頁凡例へ直接連動</t>
        </is>
      </c>
      <c r="K233" t="inlineStr">
        <is>
          <t>202604_LIXIL_サーモスＬ_業務用資料集_完成品価格表.pdf</t>
        </is>
      </c>
      <c r="L233" t="inlineStr">
        <is>
          <t>https://drive.google.com/file/d/1YUN-mtWYs48YBUHJk0C3vJXnhjyZFHyf/view</t>
        </is>
      </c>
    </row>
    <row r="234">
      <c r="A234" t="inlineStr">
        <is>
          <t>GLMAP-SL-0231</t>
        </is>
      </c>
      <c r="B234" t="n">
        <v>166</v>
      </c>
      <c r="C234" t="inlineStr">
        <is>
          <t>無印</t>
        </is>
      </c>
      <c r="D234" t="n">
        <v>166</v>
      </c>
      <c r="E234" t="n">
        <v>167</v>
      </c>
      <c r="F234" t="inlineStr">
        <is>
          <t>装飾窓 │F I X 窓（外押縁タイプ）</t>
        </is>
      </c>
      <c r="G234" t="n">
        <v>166</v>
      </c>
      <c r="H234" t="inlineStr">
        <is>
          <t>P166|無印</t>
        </is>
      </c>
      <c r="I234" t="inlineStr">
        <is>
          <t>same_page</t>
        </is>
      </c>
      <c r="J234" t="inlineStr">
        <is>
          <t>同頁凡例へ直接連動</t>
        </is>
      </c>
      <c r="K234" t="inlineStr">
        <is>
          <t>202604_LIXIL_サーモスＬ_業務用資料集_完成品価格表.pdf</t>
        </is>
      </c>
      <c r="L234" t="inlineStr">
        <is>
          <t>https://drive.google.com/file/d/1YUN-mtWYs48YBUHJk0C3vJXnhjyZFHyf/view</t>
        </is>
      </c>
    </row>
    <row r="235">
      <c r="A235" t="inlineStr">
        <is>
          <t>GLMAP-SL-0232</t>
        </is>
      </c>
      <c r="B235" t="n">
        <v>168</v>
      </c>
      <c r="C235" t="inlineStr">
        <is>
          <t>無印</t>
        </is>
      </c>
      <c r="D235" t="n">
        <v>168</v>
      </c>
      <c r="E235" t="n">
        <v>169</v>
      </c>
      <c r="F235" t="inlineStr">
        <is>
          <t>（在来・204）マド① / 装飾窓 │F I X 窓（内押縁タイプ）</t>
        </is>
      </c>
      <c r="G235" t="n">
        <v>168</v>
      </c>
      <c r="H235" t="inlineStr">
        <is>
          <t>P168|無印</t>
        </is>
      </c>
      <c r="I235" t="inlineStr">
        <is>
          <t>same_page</t>
        </is>
      </c>
      <c r="J235" t="inlineStr">
        <is>
          <t>同頁凡例へ直接連動</t>
        </is>
      </c>
      <c r="K235" t="inlineStr">
        <is>
          <t>202604_LIXIL_サーモスＬ_業務用資料集_完成品価格表.pdf</t>
        </is>
      </c>
      <c r="L235" t="inlineStr">
        <is>
          <t>https://drive.google.com/file/d/1YUN-mtWYs48YBUHJk0C3vJXnhjyZFHyf/view</t>
        </is>
      </c>
    </row>
    <row r="236">
      <c r="A236" t="inlineStr">
        <is>
          <t>GLMAP-SL-0233</t>
        </is>
      </c>
      <c r="B236" t="n">
        <v>169</v>
      </c>
      <c r="C236" t="inlineStr">
        <is>
          <t>無印</t>
        </is>
      </c>
      <c r="D236" t="n">
        <v>168</v>
      </c>
      <c r="E236" t="n">
        <v>169</v>
      </c>
      <c r="F236" t="inlineStr">
        <is>
          <t>（在来・204）マド① / 装飾窓 │F I X 窓（内押縁タイプ）</t>
        </is>
      </c>
      <c r="G236" t="n">
        <v>168</v>
      </c>
      <c r="H236" t="inlineStr">
        <is>
          <t>P168|無印</t>
        </is>
      </c>
      <c r="I236" t="inlineStr">
        <is>
          <t>previous_in_same_section</t>
        </is>
      </c>
      <c r="J236" t="inlineStr">
        <is>
          <t>同一価格表・前頁凡例を継承</t>
        </is>
      </c>
      <c r="K236" t="inlineStr">
        <is>
          <t>202604_LIXIL_サーモスＬ_業務用資料集_完成品価格表.pdf</t>
        </is>
      </c>
      <c r="L236" t="inlineStr">
        <is>
          <t>https://drive.google.com/file/d/1YUN-mtWYs48YBUHJk0C3vJXnhjyZFHyf/view</t>
        </is>
      </c>
    </row>
    <row r="237">
      <c r="A237" t="inlineStr">
        <is>
          <t>GLMAP-SL-0234</t>
        </is>
      </c>
      <c r="B237" t="n">
        <v>170</v>
      </c>
      <c r="C237" t="inlineStr">
        <is>
          <t>無印</t>
        </is>
      </c>
      <c r="D237" t="n">
        <v>170</v>
      </c>
      <c r="E237" t="n">
        <v>171</v>
      </c>
      <c r="F237" t="inlineStr">
        <is>
          <t>（在来・204）マド② / 装飾窓 │F I X 窓（内押縁タイプ）</t>
        </is>
      </c>
      <c r="G237" t="n">
        <v>170</v>
      </c>
      <c r="H237" t="inlineStr">
        <is>
          <t>P170|無印</t>
        </is>
      </c>
      <c r="I237" t="inlineStr">
        <is>
          <t>same_page</t>
        </is>
      </c>
      <c r="J237" t="inlineStr">
        <is>
          <t>同頁凡例へ直接連動</t>
        </is>
      </c>
      <c r="K237" t="inlineStr">
        <is>
          <t>202604_LIXIL_サーモスＬ_業務用資料集_完成品価格表.pdf</t>
        </is>
      </c>
      <c r="L237" t="inlineStr">
        <is>
          <t>https://drive.google.com/file/d/1YUN-mtWYs48YBUHJk0C3vJXnhjyZFHyf/view</t>
        </is>
      </c>
    </row>
    <row r="238">
      <c r="A238" t="inlineStr">
        <is>
          <t>GLMAP-SL-0235</t>
        </is>
      </c>
      <c r="B238" t="n">
        <v>171</v>
      </c>
      <c r="C238" t="inlineStr">
        <is>
          <t>無印</t>
        </is>
      </c>
      <c r="D238" t="n">
        <v>170</v>
      </c>
      <c r="E238" t="n">
        <v>171</v>
      </c>
      <c r="F238" t="inlineStr">
        <is>
          <t>（在来・204）マド② / 装飾窓 │F I X 窓（内押縁タイプ）</t>
        </is>
      </c>
      <c r="G238" t="n">
        <v>170</v>
      </c>
      <c r="H238" t="inlineStr">
        <is>
          <t>P170|無印</t>
        </is>
      </c>
      <c r="I238" t="inlineStr">
        <is>
          <t>previous_in_same_section</t>
        </is>
      </c>
      <c r="J238" t="inlineStr">
        <is>
          <t>同一価格表・前頁凡例を継承</t>
        </is>
      </c>
      <c r="K238" t="inlineStr">
        <is>
          <t>202604_LIXIL_サーモスＬ_業務用資料集_完成品価格表.pdf</t>
        </is>
      </c>
      <c r="L238" t="inlineStr">
        <is>
          <t>https://drive.google.com/file/d/1YUN-mtWYs48YBUHJk0C3vJXnhjyZFHyf/view</t>
        </is>
      </c>
    </row>
    <row r="239">
      <c r="A239" t="inlineStr">
        <is>
          <t>GLMAP-SL-0236</t>
        </is>
      </c>
      <c r="B239" t="n">
        <v>173</v>
      </c>
      <c r="C239" t="inlineStr">
        <is>
          <t>無印</t>
        </is>
      </c>
      <c r="D239" t="n">
        <v>172</v>
      </c>
      <c r="E239" t="n">
        <v>173</v>
      </c>
      <c r="F239" t="inlineStr">
        <is>
          <t>（在来・204）マド③ / 装飾窓 │F I X 窓（内押縁タイプ）</t>
        </is>
      </c>
      <c r="G239" t="n">
        <v>172</v>
      </c>
      <c r="H239" t="inlineStr">
        <is>
          <t>P172|無印</t>
        </is>
      </c>
      <c r="I239" t="inlineStr">
        <is>
          <t>previous_in_same_section</t>
        </is>
      </c>
      <c r="J239" t="inlineStr">
        <is>
          <t>同一価格表・前頁凡例を継承</t>
        </is>
      </c>
      <c r="K239" t="inlineStr">
        <is>
          <t>202604_LIXIL_サーモスＬ_業務用資料集_完成品価格表.pdf</t>
        </is>
      </c>
      <c r="L239" t="inlineStr">
        <is>
          <t>https://drive.google.com/file/d/1YUN-mtWYs48YBUHJk0C3vJXnhjyZFHyf/view</t>
        </is>
      </c>
    </row>
    <row r="240">
      <c r="A240" t="inlineStr">
        <is>
          <t>GLMAP-SL-0237</t>
        </is>
      </c>
      <c r="B240" t="n">
        <v>174</v>
      </c>
      <c r="C240" t="inlineStr">
        <is>
          <t>無印</t>
        </is>
      </c>
      <c r="D240" t="n">
        <v>174</v>
      </c>
      <c r="E240" t="n">
        <v>175</v>
      </c>
      <c r="F240" t="inlineStr">
        <is>
          <t>（在来・204）マド④ / 装飾窓 │F I X 窓（内押縁タイプ）</t>
        </is>
      </c>
      <c r="G240" t="n">
        <v>174</v>
      </c>
      <c r="H240" t="inlineStr">
        <is>
          <t>P174|無印</t>
        </is>
      </c>
      <c r="I240" t="inlineStr">
        <is>
          <t>same_page</t>
        </is>
      </c>
      <c r="J240" t="inlineStr">
        <is>
          <t>同頁凡例へ直接連動</t>
        </is>
      </c>
      <c r="K240" t="inlineStr">
        <is>
          <t>202604_LIXIL_サーモスＬ_業務用資料集_完成品価格表.pdf</t>
        </is>
      </c>
      <c r="L240" t="inlineStr">
        <is>
          <t>https://drive.google.com/file/d/1YUN-mtWYs48YBUHJk0C3vJXnhjyZFHyf/view</t>
        </is>
      </c>
    </row>
    <row r="241">
      <c r="A241" t="inlineStr">
        <is>
          <t>GLMAP-SL-0238</t>
        </is>
      </c>
      <c r="B241" t="n">
        <v>175</v>
      </c>
      <c r="C241" t="inlineStr">
        <is>
          <t>★</t>
        </is>
      </c>
      <c r="D241" t="n">
        <v>174</v>
      </c>
      <c r="E241" t="n">
        <v>175</v>
      </c>
      <c r="F241" t="inlineStr">
        <is>
          <t>（在来・204）マド④ / 装飾窓 │F I X 窓（内押縁タイプ）</t>
        </is>
      </c>
      <c r="G241" t="n">
        <v>174</v>
      </c>
      <c r="H241" t="inlineStr">
        <is>
          <t>P174|★</t>
        </is>
      </c>
      <c r="I241" t="inlineStr">
        <is>
          <t>previous_in_same_section</t>
        </is>
      </c>
      <c r="J241" t="inlineStr">
        <is>
          <t>同一価格表・前頁凡例を継承</t>
        </is>
      </c>
      <c r="K241" t="inlineStr">
        <is>
          <t>202604_LIXIL_サーモスＬ_業務用資料集_完成品価格表.pdf</t>
        </is>
      </c>
      <c r="L241" t="inlineStr">
        <is>
          <t>https://drive.google.com/file/d/1YUN-mtWYs48YBUHJk0C3vJXnhjyZFHyf/view</t>
        </is>
      </c>
    </row>
    <row r="242">
      <c r="A242" t="inlineStr">
        <is>
          <t>GLMAP-SL-0239</t>
        </is>
      </c>
      <c r="B242" t="n">
        <v>175</v>
      </c>
      <c r="C242" t="inlineStr">
        <is>
          <t>無印</t>
        </is>
      </c>
      <c r="D242" t="n">
        <v>174</v>
      </c>
      <c r="E242" t="n">
        <v>175</v>
      </c>
      <c r="F242" t="inlineStr">
        <is>
          <t>（在来・204）マド④ / 装飾窓 │F I X 窓（内押縁タイプ）</t>
        </is>
      </c>
      <c r="G242" t="n">
        <v>174</v>
      </c>
      <c r="H242" t="inlineStr">
        <is>
          <t>P174|無印</t>
        </is>
      </c>
      <c r="I242" t="inlineStr">
        <is>
          <t>previous_in_same_section</t>
        </is>
      </c>
      <c r="J242" t="inlineStr">
        <is>
          <t>同一価格表・前頁凡例を継承</t>
        </is>
      </c>
      <c r="K242" t="inlineStr">
        <is>
          <t>202604_LIXIL_サーモスＬ_業務用資料集_完成品価格表.pdf</t>
        </is>
      </c>
      <c r="L242" t="inlineStr">
        <is>
          <t>https://drive.google.com/file/d/1YUN-mtWYs48YBUHJk0C3vJXnhjyZFHyf/view</t>
        </is>
      </c>
    </row>
    <row r="243">
      <c r="A243" t="inlineStr">
        <is>
          <t>GLMAP-SL-0240</t>
        </is>
      </c>
      <c r="B243" t="n">
        <v>176</v>
      </c>
      <c r="C243" t="inlineStr">
        <is>
          <t>無印</t>
        </is>
      </c>
      <c r="D243" t="n">
        <v>176</v>
      </c>
      <c r="E243" t="n">
        <v>177</v>
      </c>
      <c r="F243" t="inlineStr">
        <is>
          <t>（在来・204）マド⑤ / 装飾窓 │F I X 窓（内押縁タイプ）</t>
        </is>
      </c>
      <c r="G243" t="n">
        <v>177</v>
      </c>
      <c r="H243" t="inlineStr">
        <is>
          <t>P177|無印</t>
        </is>
      </c>
      <c r="I243" t="inlineStr">
        <is>
          <t>next_in_same_section</t>
        </is>
      </c>
      <c r="J243" t="inlineStr">
        <is>
          <t>同一価格表・次頁凡例を継承</t>
        </is>
      </c>
      <c r="K243" t="inlineStr">
        <is>
          <t>202604_LIXIL_サーモスＬ_業務用資料集_完成品価格表.pdf</t>
        </is>
      </c>
      <c r="L243" t="inlineStr">
        <is>
          <t>https://drive.google.com/file/d/1YUN-mtWYs48YBUHJk0C3vJXnhjyZFHyf/view</t>
        </is>
      </c>
    </row>
    <row r="244">
      <c r="A244" t="inlineStr">
        <is>
          <t>GLMAP-SL-0241</t>
        </is>
      </c>
      <c r="B244" t="n">
        <v>177</v>
      </c>
      <c r="C244" t="inlineStr">
        <is>
          <t>無印</t>
        </is>
      </c>
      <c r="D244" t="n">
        <v>176</v>
      </c>
      <c r="E244" t="n">
        <v>177</v>
      </c>
      <c r="F244" t="inlineStr">
        <is>
          <t>（在来・204）マド⑤ / 装飾窓 │F I X 窓（内押縁タイプ）</t>
        </is>
      </c>
      <c r="G244" t="n">
        <v>177</v>
      </c>
      <c r="H244" t="inlineStr">
        <is>
          <t>P177|無印</t>
        </is>
      </c>
      <c r="I244" t="inlineStr">
        <is>
          <t>same_page</t>
        </is>
      </c>
      <c r="J244" t="inlineStr">
        <is>
          <t>同頁凡例へ直接連動</t>
        </is>
      </c>
      <c r="K244" t="inlineStr">
        <is>
          <t>202604_LIXIL_サーモスＬ_業務用資料集_完成品価格表.pdf</t>
        </is>
      </c>
      <c r="L244" t="inlineStr">
        <is>
          <t>https://drive.google.com/file/d/1YUN-mtWYs48YBUHJk0C3vJXnhjyZFHyf/view</t>
        </is>
      </c>
    </row>
    <row r="245">
      <c r="A245" t="inlineStr">
        <is>
          <t>GLMAP-SL-0242</t>
        </is>
      </c>
      <c r="B245" t="n">
        <v>178</v>
      </c>
      <c r="C245" t="inlineStr">
        <is>
          <t>★</t>
        </is>
      </c>
      <c r="D245" t="n">
        <v>178</v>
      </c>
      <c r="E245" t="n">
        <v>179</v>
      </c>
      <c r="F245" t="inlineStr">
        <is>
          <t>（在来・204）マド⑥ / 装飾窓 │F I X 窓（内押縁タイプ）</t>
        </is>
      </c>
      <c r="G245" t="n">
        <v>179</v>
      </c>
      <c r="H245" t="inlineStr">
        <is>
          <t>P179|★</t>
        </is>
      </c>
      <c r="I245" t="inlineStr">
        <is>
          <t>next_in_same_section</t>
        </is>
      </c>
      <c r="J245" t="inlineStr">
        <is>
          <t>同一価格表・次頁凡例を継承</t>
        </is>
      </c>
      <c r="K245" t="inlineStr">
        <is>
          <t>202604_LIXIL_サーモスＬ_業務用資料集_完成品価格表.pdf</t>
        </is>
      </c>
      <c r="L245" t="inlineStr">
        <is>
          <t>https://drive.google.com/file/d/1YUN-mtWYs48YBUHJk0C3vJXnhjyZFHyf/view</t>
        </is>
      </c>
    </row>
    <row r="246">
      <c r="A246" t="inlineStr">
        <is>
          <t>GLMAP-SL-0243</t>
        </is>
      </c>
      <c r="B246" t="n">
        <v>178</v>
      </c>
      <c r="C246" t="inlineStr">
        <is>
          <t>無印</t>
        </is>
      </c>
      <c r="D246" t="n">
        <v>178</v>
      </c>
      <c r="E246" t="n">
        <v>179</v>
      </c>
      <c r="F246" t="inlineStr">
        <is>
          <t>（在来・204）マド⑥ / 装飾窓 │F I X 窓（内押縁タイプ）</t>
        </is>
      </c>
      <c r="G246" t="n">
        <v>179</v>
      </c>
      <c r="H246" t="inlineStr">
        <is>
          <t>P179|無印</t>
        </is>
      </c>
      <c r="I246" t="inlineStr">
        <is>
          <t>next_in_same_section</t>
        </is>
      </c>
      <c r="J246" t="inlineStr">
        <is>
          <t>同一価格表・次頁凡例を継承</t>
        </is>
      </c>
      <c r="K246" t="inlineStr">
        <is>
          <t>202604_LIXIL_サーモスＬ_業務用資料集_完成品価格表.pdf</t>
        </is>
      </c>
      <c r="L246" t="inlineStr">
        <is>
          <t>https://drive.google.com/file/d/1YUN-mtWYs48YBUHJk0C3vJXnhjyZFHyf/view</t>
        </is>
      </c>
    </row>
    <row r="247">
      <c r="A247" t="inlineStr">
        <is>
          <t>GLMAP-SL-0244</t>
        </is>
      </c>
      <c r="B247" t="n">
        <v>179</v>
      </c>
      <c r="C247" t="inlineStr">
        <is>
          <t>◇</t>
        </is>
      </c>
      <c r="D247" t="n">
        <v>178</v>
      </c>
      <c r="E247" t="n">
        <v>179</v>
      </c>
      <c r="F247" t="inlineStr">
        <is>
          <t>（在来・204）マド⑥ / 装飾窓 │F I X 窓（内押縁タイプ）</t>
        </is>
      </c>
      <c r="G247" t="n">
        <v>179</v>
      </c>
      <c r="H247" t="inlineStr">
        <is>
          <t>P179|◇</t>
        </is>
      </c>
      <c r="I247" t="inlineStr">
        <is>
          <t>same_page</t>
        </is>
      </c>
      <c r="J247" t="inlineStr">
        <is>
          <t>同頁凡例へ直接連動</t>
        </is>
      </c>
      <c r="K247" t="inlineStr">
        <is>
          <t>202604_LIXIL_サーモスＬ_業務用資料集_完成品価格表.pdf</t>
        </is>
      </c>
      <c r="L247" t="inlineStr">
        <is>
          <t>https://drive.google.com/file/d/1YUN-mtWYs48YBUHJk0C3vJXnhjyZFHyf/view</t>
        </is>
      </c>
    </row>
    <row r="248">
      <c r="A248" t="inlineStr">
        <is>
          <t>GLMAP-SL-0245</t>
        </is>
      </c>
      <c r="B248" t="n">
        <v>179</v>
      </c>
      <c r="C248" t="inlineStr">
        <is>
          <t>●</t>
        </is>
      </c>
      <c r="D248" t="n">
        <v>178</v>
      </c>
      <c r="E248" t="n">
        <v>179</v>
      </c>
      <c r="F248" t="inlineStr">
        <is>
          <t>（在来・204）マド⑥ / 装飾窓 │F I X 窓（内押縁タイプ）</t>
        </is>
      </c>
      <c r="G248" t="n">
        <v>179</v>
      </c>
      <c r="H248" t="inlineStr">
        <is>
          <t>P179|●</t>
        </is>
      </c>
      <c r="I248" t="inlineStr">
        <is>
          <t>same_page</t>
        </is>
      </c>
      <c r="J248" t="inlineStr">
        <is>
          <t>同頁凡例へ直接連動</t>
        </is>
      </c>
      <c r="K248" t="inlineStr">
        <is>
          <t>202604_LIXIL_サーモスＬ_業務用資料集_完成品価格表.pdf</t>
        </is>
      </c>
      <c r="L248" t="inlineStr">
        <is>
          <t>https://drive.google.com/file/d/1YUN-mtWYs48YBUHJk0C3vJXnhjyZFHyf/view</t>
        </is>
      </c>
    </row>
    <row r="249">
      <c r="A249" t="inlineStr">
        <is>
          <t>GLMAP-SL-0246</t>
        </is>
      </c>
      <c r="B249" t="n">
        <v>179</v>
      </c>
      <c r="C249" t="inlineStr">
        <is>
          <t>★</t>
        </is>
      </c>
      <c r="D249" t="n">
        <v>178</v>
      </c>
      <c r="E249" t="n">
        <v>179</v>
      </c>
      <c r="F249" t="inlineStr">
        <is>
          <t>（在来・204）マド⑥ / 装飾窓 │F I X 窓（内押縁タイプ）</t>
        </is>
      </c>
      <c r="G249" t="n">
        <v>179</v>
      </c>
      <c r="H249" t="inlineStr">
        <is>
          <t>P179|★</t>
        </is>
      </c>
      <c r="I249" t="inlineStr">
        <is>
          <t>same_page</t>
        </is>
      </c>
      <c r="J249" t="inlineStr">
        <is>
          <t>同頁凡例へ直接連動</t>
        </is>
      </c>
      <c r="K249" t="inlineStr">
        <is>
          <t>202604_LIXIL_サーモスＬ_業務用資料集_完成品価格表.pdf</t>
        </is>
      </c>
      <c r="L249" t="inlineStr">
        <is>
          <t>https://drive.google.com/file/d/1YUN-mtWYs48YBUHJk0C3vJXnhjyZFHyf/view</t>
        </is>
      </c>
    </row>
    <row r="250">
      <c r="A250" t="inlineStr">
        <is>
          <t>GLMAP-SL-0247</t>
        </is>
      </c>
      <c r="B250" t="n">
        <v>179</v>
      </c>
      <c r="C250" t="inlineStr">
        <is>
          <t>無印</t>
        </is>
      </c>
      <c r="D250" t="n">
        <v>178</v>
      </c>
      <c r="E250" t="n">
        <v>179</v>
      </c>
      <c r="F250" t="inlineStr">
        <is>
          <t>（在来・204）マド⑥ / 装飾窓 │F I X 窓（内押縁タイプ）</t>
        </is>
      </c>
      <c r="G250" t="n">
        <v>179</v>
      </c>
      <c r="H250" t="inlineStr">
        <is>
          <t>P179|無印</t>
        </is>
      </c>
      <c r="I250" t="inlineStr">
        <is>
          <t>same_page</t>
        </is>
      </c>
      <c r="J250" t="inlineStr">
        <is>
          <t>同頁凡例へ直接連動</t>
        </is>
      </c>
      <c r="K250" t="inlineStr">
        <is>
          <t>202604_LIXIL_サーモスＬ_業務用資料集_完成品価格表.pdf</t>
        </is>
      </c>
      <c r="L250" t="inlineStr">
        <is>
          <t>https://drive.google.com/file/d/1YUN-mtWYs48YBUHJk0C3vJXnhjyZFHyf/view</t>
        </is>
      </c>
    </row>
    <row r="251">
      <c r="A251" t="inlineStr">
        <is>
          <t>GLMAP-SL-0248</t>
        </is>
      </c>
      <c r="B251" t="n">
        <v>180</v>
      </c>
      <c r="C251" t="inlineStr">
        <is>
          <t>無印</t>
        </is>
      </c>
      <c r="D251" t="n">
        <v>180</v>
      </c>
      <c r="E251" t="n">
        <v>181</v>
      </c>
      <c r="F251" t="inlineStr">
        <is>
          <t>（在来・204）マド⑦ / 装飾窓 │F I X 窓（内押縁タイプ）</t>
        </is>
      </c>
      <c r="G251" t="n">
        <v>180</v>
      </c>
      <c r="H251" t="inlineStr">
        <is>
          <t>P180|無印</t>
        </is>
      </c>
      <c r="I251" t="inlineStr">
        <is>
          <t>same_page</t>
        </is>
      </c>
      <c r="J251" t="inlineStr">
        <is>
          <t>同頁凡例へ直接連動</t>
        </is>
      </c>
      <c r="K251" t="inlineStr">
        <is>
          <t>202604_LIXIL_サーモスＬ_業務用資料集_完成品価格表.pdf</t>
        </is>
      </c>
      <c r="L251" t="inlineStr">
        <is>
          <t>https://drive.google.com/file/d/1YUN-mtWYs48YBUHJk0C3vJXnhjyZFHyf/view</t>
        </is>
      </c>
    </row>
    <row r="252">
      <c r="A252" t="inlineStr">
        <is>
          <t>GLMAP-SL-0249</t>
        </is>
      </c>
      <c r="B252" t="n">
        <v>181</v>
      </c>
      <c r="C252" t="inlineStr">
        <is>
          <t>無印</t>
        </is>
      </c>
      <c r="D252" t="n">
        <v>180</v>
      </c>
      <c r="E252" t="n">
        <v>181</v>
      </c>
      <c r="F252" t="inlineStr">
        <is>
          <t>（在来・204）マド⑦ / 装飾窓 │F I X 窓（内押縁タイプ）</t>
        </is>
      </c>
      <c r="G252" t="n">
        <v>180</v>
      </c>
      <c r="H252" t="inlineStr">
        <is>
          <t>P180|無印</t>
        </is>
      </c>
      <c r="I252" t="inlineStr">
        <is>
          <t>previous_in_same_section</t>
        </is>
      </c>
      <c r="J252" t="inlineStr">
        <is>
          <t>同一価格表・前頁凡例を継承</t>
        </is>
      </c>
      <c r="K252" t="inlineStr">
        <is>
          <t>202604_LIXIL_サーモスＬ_業務用資料集_完成品価格表.pdf</t>
        </is>
      </c>
      <c r="L252" t="inlineStr">
        <is>
          <t>https://drive.google.com/file/d/1YUN-mtWYs48YBUHJk0C3vJXnhjyZFHyf/view</t>
        </is>
      </c>
    </row>
    <row r="253">
      <c r="A253" t="inlineStr">
        <is>
          <t>GLMAP-SL-0250</t>
        </is>
      </c>
      <c r="B253" t="n">
        <v>184</v>
      </c>
      <c r="C253" t="inlineStr">
        <is>
          <t>◆</t>
        </is>
      </c>
      <c r="D253" t="n">
        <v>184</v>
      </c>
      <c r="E253" t="n">
        <v>185</v>
      </c>
      <c r="F253" t="inlineStr">
        <is>
          <t>装飾窓 │F I X 窓（内押縁タイプ）</t>
        </is>
      </c>
      <c r="G253" t="n">
        <v>184</v>
      </c>
      <c r="H253" t="inlineStr">
        <is>
          <t>P184|◆</t>
        </is>
      </c>
      <c r="I253" t="inlineStr">
        <is>
          <t>same_page</t>
        </is>
      </c>
      <c r="J253" t="inlineStr">
        <is>
          <t>同頁凡例へ直接連動</t>
        </is>
      </c>
      <c r="K253" t="inlineStr">
        <is>
          <t>202604_LIXIL_サーモスＬ_業務用資料集_完成品価格表.pdf</t>
        </is>
      </c>
      <c r="L253" t="inlineStr">
        <is>
          <t>https://drive.google.com/file/d/1YUN-mtWYs48YBUHJk0C3vJXnhjyZFHyf/view</t>
        </is>
      </c>
    </row>
    <row r="254">
      <c r="A254" t="inlineStr">
        <is>
          <t>GLMAP-SL-0251</t>
        </is>
      </c>
      <c r="B254" t="n">
        <v>184</v>
      </c>
      <c r="C254" t="inlineStr">
        <is>
          <t>○</t>
        </is>
      </c>
      <c r="D254" t="n">
        <v>184</v>
      </c>
      <c r="E254" t="n">
        <v>185</v>
      </c>
      <c r="F254" t="inlineStr">
        <is>
          <t>装飾窓 │F I X 窓（内押縁タイプ）</t>
        </is>
      </c>
      <c r="G254" t="n">
        <v>184</v>
      </c>
      <c r="H254" t="inlineStr">
        <is>
          <t>P184|○</t>
        </is>
      </c>
      <c r="I254" t="inlineStr">
        <is>
          <t>same_page</t>
        </is>
      </c>
      <c r="J254" t="inlineStr">
        <is>
          <t>同頁凡例へ直接連動</t>
        </is>
      </c>
      <c r="K254" t="inlineStr">
        <is>
          <t>202604_LIXIL_サーモスＬ_業務用資料集_完成品価格表.pdf</t>
        </is>
      </c>
      <c r="L254" t="inlineStr">
        <is>
          <t>https://drive.google.com/file/d/1YUN-mtWYs48YBUHJk0C3vJXnhjyZFHyf/view</t>
        </is>
      </c>
    </row>
    <row r="255">
      <c r="A255" t="inlineStr">
        <is>
          <t>GLMAP-SL-0252</t>
        </is>
      </c>
      <c r="B255" t="n">
        <v>184</v>
      </c>
      <c r="C255" t="inlineStr">
        <is>
          <t>★</t>
        </is>
      </c>
      <c r="D255" t="n">
        <v>184</v>
      </c>
      <c r="E255" t="n">
        <v>185</v>
      </c>
      <c r="F255" t="inlineStr">
        <is>
          <t>装飾窓 │F I X 窓（内押縁タイプ）</t>
        </is>
      </c>
      <c r="G255" t="n">
        <v>184</v>
      </c>
      <c r="H255" t="inlineStr">
        <is>
          <t>P184|★</t>
        </is>
      </c>
      <c r="I255" t="inlineStr">
        <is>
          <t>same_page</t>
        </is>
      </c>
      <c r="J255" t="inlineStr">
        <is>
          <t>同頁凡例へ直接連動</t>
        </is>
      </c>
      <c r="K255" t="inlineStr">
        <is>
          <t>202604_LIXIL_サーモスＬ_業務用資料集_完成品価格表.pdf</t>
        </is>
      </c>
      <c r="L255" t="inlineStr">
        <is>
          <t>https://drive.google.com/file/d/1YUN-mtWYs48YBUHJk0C3vJXnhjyZFHyf/view</t>
        </is>
      </c>
    </row>
    <row r="256">
      <c r="A256" t="inlineStr">
        <is>
          <t>GLMAP-SL-0253</t>
        </is>
      </c>
      <c r="B256" t="n">
        <v>184</v>
      </c>
      <c r="C256" t="inlineStr">
        <is>
          <t>☆</t>
        </is>
      </c>
      <c r="D256" t="n">
        <v>184</v>
      </c>
      <c r="E256" t="n">
        <v>185</v>
      </c>
      <c r="F256" t="inlineStr">
        <is>
          <t>装飾窓 │F I X 窓（内押縁タイプ）</t>
        </is>
      </c>
      <c r="G256" t="n">
        <v>184</v>
      </c>
      <c r="H256" t="inlineStr">
        <is>
          <t>P184|☆</t>
        </is>
      </c>
      <c r="I256" t="inlineStr">
        <is>
          <t>same_page</t>
        </is>
      </c>
      <c r="J256" t="inlineStr">
        <is>
          <t>同頁凡例へ直接連動</t>
        </is>
      </c>
      <c r="K256" t="inlineStr">
        <is>
          <t>202604_LIXIL_サーモスＬ_業務用資料集_完成品価格表.pdf</t>
        </is>
      </c>
      <c r="L256" t="inlineStr">
        <is>
          <t>https://drive.google.com/file/d/1YUN-mtWYs48YBUHJk0C3vJXnhjyZFHyf/view</t>
        </is>
      </c>
    </row>
    <row r="257">
      <c r="A257" t="inlineStr">
        <is>
          <t>GLMAP-SL-0254</t>
        </is>
      </c>
      <c r="B257" t="n">
        <v>184</v>
      </c>
      <c r="C257" t="inlineStr">
        <is>
          <t>無印</t>
        </is>
      </c>
      <c r="D257" t="n">
        <v>184</v>
      </c>
      <c r="E257" t="n">
        <v>185</v>
      </c>
      <c r="F257" t="inlineStr">
        <is>
          <t>装飾窓 │F I X 窓（内押縁タイプ）</t>
        </is>
      </c>
      <c r="G257" t="n">
        <v>184</v>
      </c>
      <c r="H257" t="inlineStr">
        <is>
          <t>P184|無印</t>
        </is>
      </c>
      <c r="I257" t="inlineStr">
        <is>
          <t>same_page</t>
        </is>
      </c>
      <c r="J257" t="inlineStr">
        <is>
          <t>同頁凡例へ直接連動</t>
        </is>
      </c>
      <c r="K257" t="inlineStr">
        <is>
          <t>202604_LIXIL_サーモスＬ_業務用資料集_完成品価格表.pdf</t>
        </is>
      </c>
      <c r="L257" t="inlineStr">
        <is>
          <t>https://drive.google.com/file/d/1YUN-mtWYs48YBUHJk0C3vJXnhjyZFHyf/view</t>
        </is>
      </c>
    </row>
    <row r="258">
      <c r="A258" t="inlineStr">
        <is>
          <t>GLMAP-SL-0255</t>
        </is>
      </c>
      <c r="B258" t="n">
        <v>185</v>
      </c>
      <c r="C258" t="inlineStr">
        <is>
          <t>▲</t>
        </is>
      </c>
      <c r="D258" t="n">
        <v>184</v>
      </c>
      <c r="E258" t="n">
        <v>185</v>
      </c>
      <c r="F258" t="inlineStr">
        <is>
          <t>装飾窓 │F I X 窓（内押縁タイプ）</t>
        </is>
      </c>
      <c r="G258" t="n">
        <v>184</v>
      </c>
      <c r="H258" t="inlineStr">
        <is>
          <t>P184|▲</t>
        </is>
      </c>
      <c r="I258" t="inlineStr">
        <is>
          <t>previous_in_same_section</t>
        </is>
      </c>
      <c r="J258" t="inlineStr">
        <is>
          <t>同一価格表・前頁凡例を継承</t>
        </is>
      </c>
      <c r="K258" t="inlineStr">
        <is>
          <t>202604_LIXIL_サーモスＬ_業務用資料集_完成品価格表.pdf</t>
        </is>
      </c>
      <c r="L258" t="inlineStr">
        <is>
          <t>https://drive.google.com/file/d/1YUN-mtWYs48YBUHJk0C3vJXnhjyZFHyf/view</t>
        </is>
      </c>
    </row>
    <row r="259">
      <c r="A259" t="inlineStr">
        <is>
          <t>GLMAP-SL-0256</t>
        </is>
      </c>
      <c r="B259" t="n">
        <v>185</v>
      </c>
      <c r="C259" t="inlineStr">
        <is>
          <t>◇</t>
        </is>
      </c>
      <c r="D259" t="n">
        <v>184</v>
      </c>
      <c r="E259" t="n">
        <v>185</v>
      </c>
      <c r="F259" t="inlineStr">
        <is>
          <t>装飾窓 │F I X 窓（内押縁タイプ）</t>
        </is>
      </c>
      <c r="G259" t="n">
        <v>184</v>
      </c>
      <c r="H259" t="inlineStr">
        <is>
          <t>P184|◇</t>
        </is>
      </c>
      <c r="I259" t="inlineStr">
        <is>
          <t>previous_in_same_section</t>
        </is>
      </c>
      <c r="J259" t="inlineStr">
        <is>
          <t>同一価格表・前頁凡例を継承</t>
        </is>
      </c>
      <c r="K259" t="inlineStr">
        <is>
          <t>202604_LIXIL_サーモスＬ_業務用資料集_完成品価格表.pdf</t>
        </is>
      </c>
      <c r="L259" t="inlineStr">
        <is>
          <t>https://drive.google.com/file/d/1YUN-mtWYs48YBUHJk0C3vJXnhjyZFHyf/view</t>
        </is>
      </c>
    </row>
    <row r="260">
      <c r="A260" t="inlineStr">
        <is>
          <t>GLMAP-SL-0257</t>
        </is>
      </c>
      <c r="B260" t="n">
        <v>185</v>
      </c>
      <c r="C260" t="inlineStr">
        <is>
          <t>○</t>
        </is>
      </c>
      <c r="D260" t="n">
        <v>184</v>
      </c>
      <c r="E260" t="n">
        <v>185</v>
      </c>
      <c r="F260" t="inlineStr">
        <is>
          <t>装飾窓 │F I X 窓（内押縁タイプ）</t>
        </is>
      </c>
      <c r="G260" t="n">
        <v>184</v>
      </c>
      <c r="H260" t="inlineStr">
        <is>
          <t>P184|○</t>
        </is>
      </c>
      <c r="I260" t="inlineStr">
        <is>
          <t>previous_in_same_section</t>
        </is>
      </c>
      <c r="J260" t="inlineStr">
        <is>
          <t>同一価格表・前頁凡例を継承</t>
        </is>
      </c>
      <c r="K260" t="inlineStr">
        <is>
          <t>202604_LIXIL_サーモスＬ_業務用資料集_完成品価格表.pdf</t>
        </is>
      </c>
      <c r="L260" t="inlineStr">
        <is>
          <t>https://drive.google.com/file/d/1YUN-mtWYs48YBUHJk0C3vJXnhjyZFHyf/view</t>
        </is>
      </c>
    </row>
    <row r="261">
      <c r="A261" t="inlineStr">
        <is>
          <t>GLMAP-SL-0258</t>
        </is>
      </c>
      <c r="B261" t="n">
        <v>185</v>
      </c>
      <c r="C261" t="inlineStr">
        <is>
          <t>◎</t>
        </is>
      </c>
      <c r="D261" t="n">
        <v>184</v>
      </c>
      <c r="E261" t="n">
        <v>185</v>
      </c>
      <c r="F261" t="inlineStr">
        <is>
          <t>装飾窓 │F I X 窓（内押縁タイプ）</t>
        </is>
      </c>
      <c r="G261" t="n">
        <v>184</v>
      </c>
      <c r="H261" t="inlineStr">
        <is>
          <t>P184|◎</t>
        </is>
      </c>
      <c r="I261" t="inlineStr">
        <is>
          <t>previous_in_same_section</t>
        </is>
      </c>
      <c r="J261" t="inlineStr">
        <is>
          <t>同一価格表・前頁凡例を継承</t>
        </is>
      </c>
      <c r="K261" t="inlineStr">
        <is>
          <t>202604_LIXIL_サーモスＬ_業務用資料集_完成品価格表.pdf</t>
        </is>
      </c>
      <c r="L261" t="inlineStr">
        <is>
          <t>https://drive.google.com/file/d/1YUN-mtWYs48YBUHJk0C3vJXnhjyZFHyf/view</t>
        </is>
      </c>
    </row>
    <row r="262">
      <c r="A262" t="inlineStr">
        <is>
          <t>GLMAP-SL-0259</t>
        </is>
      </c>
      <c r="B262" t="n">
        <v>185</v>
      </c>
      <c r="C262" t="inlineStr">
        <is>
          <t>●</t>
        </is>
      </c>
      <c r="D262" t="n">
        <v>184</v>
      </c>
      <c r="E262" t="n">
        <v>185</v>
      </c>
      <c r="F262" t="inlineStr">
        <is>
          <t>装飾窓 │F I X 窓（内押縁タイプ）</t>
        </is>
      </c>
      <c r="G262" t="n">
        <v>184</v>
      </c>
      <c r="H262" t="inlineStr">
        <is>
          <t>P184|●</t>
        </is>
      </c>
      <c r="I262" t="inlineStr">
        <is>
          <t>previous_in_same_section</t>
        </is>
      </c>
      <c r="J262" t="inlineStr">
        <is>
          <t>同一価格表・前頁凡例を継承</t>
        </is>
      </c>
      <c r="K262" t="inlineStr">
        <is>
          <t>202604_LIXIL_サーモスＬ_業務用資料集_完成品価格表.pdf</t>
        </is>
      </c>
      <c r="L262" t="inlineStr">
        <is>
          <t>https://drive.google.com/file/d/1YUN-mtWYs48YBUHJk0C3vJXnhjyZFHyf/view</t>
        </is>
      </c>
    </row>
    <row r="263">
      <c r="A263" t="inlineStr">
        <is>
          <t>GLMAP-SL-0260</t>
        </is>
      </c>
      <c r="B263" t="n">
        <v>185</v>
      </c>
      <c r="C263" t="inlineStr">
        <is>
          <t>無印</t>
        </is>
      </c>
      <c r="D263" t="n">
        <v>184</v>
      </c>
      <c r="E263" t="n">
        <v>185</v>
      </c>
      <c r="F263" t="inlineStr">
        <is>
          <t>装飾窓 │F I X 窓（内押縁タイプ）</t>
        </is>
      </c>
      <c r="G263" t="n">
        <v>184</v>
      </c>
      <c r="H263" t="inlineStr">
        <is>
          <t>P184|無印</t>
        </is>
      </c>
      <c r="I263" t="inlineStr">
        <is>
          <t>previous_in_same_section</t>
        </is>
      </c>
      <c r="J263" t="inlineStr">
        <is>
          <t>同一価格表・前頁凡例を継承</t>
        </is>
      </c>
      <c r="K263" t="inlineStr">
        <is>
          <t>202604_LIXIL_サーモスＬ_業務用資料集_完成品価格表.pdf</t>
        </is>
      </c>
      <c r="L263" t="inlineStr">
        <is>
          <t>https://drive.google.com/file/d/1YUN-mtWYs48YBUHJk0C3vJXnhjyZFHyf/view</t>
        </is>
      </c>
    </row>
    <row r="264">
      <c r="A264" t="inlineStr">
        <is>
          <t>GLMAP-SL-0261</t>
        </is>
      </c>
      <c r="B264" t="n">
        <v>186</v>
      </c>
      <c r="C264" t="inlineStr">
        <is>
          <t>★</t>
        </is>
      </c>
      <c r="D264" t="n">
        <v>186</v>
      </c>
      <c r="E264" t="n">
        <v>187</v>
      </c>
      <c r="F264" t="inlineStr">
        <is>
          <t>装飾窓 │F I X 窓（内押縁タイプ）</t>
        </is>
      </c>
      <c r="G264" t="n">
        <v>186</v>
      </c>
      <c r="H264" t="inlineStr">
        <is>
          <t>P186|★</t>
        </is>
      </c>
      <c r="I264" t="inlineStr">
        <is>
          <t>same_page</t>
        </is>
      </c>
      <c r="J264" t="inlineStr">
        <is>
          <t>同頁凡例へ直接連動</t>
        </is>
      </c>
      <c r="K264" t="inlineStr">
        <is>
          <t>202604_LIXIL_サーモスＬ_業務用資料集_完成品価格表.pdf</t>
        </is>
      </c>
      <c r="L264" t="inlineStr">
        <is>
          <t>https://drive.google.com/file/d/1YUN-mtWYs48YBUHJk0C3vJXnhjyZFHyf/view</t>
        </is>
      </c>
    </row>
    <row r="265">
      <c r="A265" t="inlineStr">
        <is>
          <t>GLMAP-SL-0262</t>
        </is>
      </c>
      <c r="B265" t="n">
        <v>186</v>
      </c>
      <c r="C265" t="inlineStr">
        <is>
          <t>☆</t>
        </is>
      </c>
      <c r="D265" t="n">
        <v>186</v>
      </c>
      <c r="E265" t="n">
        <v>187</v>
      </c>
      <c r="F265" t="inlineStr">
        <is>
          <t>装飾窓 │F I X 窓（内押縁タイプ）</t>
        </is>
      </c>
      <c r="G265" t="n">
        <v>186</v>
      </c>
      <c r="H265" t="inlineStr">
        <is>
          <t>P186|☆</t>
        </is>
      </c>
      <c r="I265" t="inlineStr">
        <is>
          <t>same_page</t>
        </is>
      </c>
      <c r="J265" t="inlineStr">
        <is>
          <t>同頁凡例へ直接連動</t>
        </is>
      </c>
      <c r="K265" t="inlineStr">
        <is>
          <t>202604_LIXIL_サーモスＬ_業務用資料集_完成品価格表.pdf</t>
        </is>
      </c>
      <c r="L265" t="inlineStr">
        <is>
          <t>https://drive.google.com/file/d/1YUN-mtWYs48YBUHJk0C3vJXnhjyZFHyf/view</t>
        </is>
      </c>
    </row>
    <row r="266">
      <c r="A266" t="inlineStr">
        <is>
          <t>GLMAP-SL-0263</t>
        </is>
      </c>
      <c r="B266" t="n">
        <v>186</v>
      </c>
      <c r="C266" t="inlineStr">
        <is>
          <t>無印</t>
        </is>
      </c>
      <c r="D266" t="n">
        <v>186</v>
      </c>
      <c r="E266" t="n">
        <v>187</v>
      </c>
      <c r="F266" t="inlineStr">
        <is>
          <t>装飾窓 │F I X 窓（内押縁タイプ）</t>
        </is>
      </c>
      <c r="G266" t="n">
        <v>186</v>
      </c>
      <c r="H266" t="inlineStr">
        <is>
          <t>P186|無印</t>
        </is>
      </c>
      <c r="I266" t="inlineStr">
        <is>
          <t>same_page</t>
        </is>
      </c>
      <c r="J266" t="inlineStr">
        <is>
          <t>同頁凡例へ直接連動</t>
        </is>
      </c>
      <c r="K266" t="inlineStr">
        <is>
          <t>202604_LIXIL_サーモスＬ_業務用資料集_完成品価格表.pdf</t>
        </is>
      </c>
      <c r="L266" t="inlineStr">
        <is>
          <t>https://drive.google.com/file/d/1YUN-mtWYs48YBUHJk0C3vJXnhjyZFHyf/view</t>
        </is>
      </c>
    </row>
    <row r="267">
      <c r="A267" t="inlineStr">
        <is>
          <t>GLMAP-SL-0264</t>
        </is>
      </c>
      <c r="B267" t="n">
        <v>188</v>
      </c>
      <c r="C267" t="inlineStr">
        <is>
          <t>●</t>
        </is>
      </c>
      <c r="D267" t="n">
        <v>188</v>
      </c>
      <c r="E267" t="n">
        <v>189</v>
      </c>
      <c r="F267" t="inlineStr">
        <is>
          <t>装飾窓 │内倒し窓</t>
        </is>
      </c>
      <c r="G267" t="n">
        <v>188</v>
      </c>
      <c r="H267" t="inlineStr">
        <is>
          <t>P188|DIRECT-16503</t>
        </is>
      </c>
      <c r="I267" t="inlineStr">
        <is>
          <t>direct_note</t>
        </is>
      </c>
      <c r="J267" t="inlineStr">
        <is>
          <t>直接注記（16503は3-A-3のみ）</t>
        </is>
      </c>
      <c r="K267" t="inlineStr">
        <is>
          <t>202604_LIXIL_サーモスＬ_業務用資料集_完成品価格表.pdf</t>
        </is>
      </c>
      <c r="L267" t="inlineStr">
        <is>
          <t>https://drive.google.com/file/d/1YUN-mtWYs48YBUHJk0C3vJXnhjyZFHyf/view</t>
        </is>
      </c>
    </row>
    <row r="268">
      <c r="A268" t="inlineStr">
        <is>
          <t>GLMAP-SL-0265</t>
        </is>
      </c>
      <c r="B268" t="n">
        <v>188</v>
      </c>
      <c r="C268" t="inlineStr">
        <is>
          <t>無印</t>
        </is>
      </c>
      <c r="D268" t="n">
        <v>188</v>
      </c>
      <c r="E268" t="n">
        <v>189</v>
      </c>
      <c r="F268" t="inlineStr">
        <is>
          <t>装飾窓 │内倒し窓</t>
        </is>
      </c>
      <c r="G268" t="n">
        <v>188</v>
      </c>
      <c r="H268" t="inlineStr">
        <is>
          <t>P188|無印</t>
        </is>
      </c>
      <c r="I268" t="inlineStr">
        <is>
          <t>same_page</t>
        </is>
      </c>
      <c r="J268" t="inlineStr">
        <is>
          <t>同頁凡例へ直接連動</t>
        </is>
      </c>
      <c r="K268" t="inlineStr">
        <is>
          <t>202604_LIXIL_サーモスＬ_業務用資料集_完成品価格表.pdf</t>
        </is>
      </c>
      <c r="L268" t="inlineStr">
        <is>
          <t>https://drive.google.com/file/d/1YUN-mtWYs48YBUHJk0C3vJXnhjyZFHyf/view</t>
        </is>
      </c>
    </row>
    <row r="269">
      <c r="A269" t="inlineStr">
        <is>
          <t>GLMAP-SL-0266</t>
        </is>
      </c>
      <c r="B269" t="n">
        <v>189</v>
      </c>
      <c r="C269" t="inlineStr">
        <is>
          <t>無印</t>
        </is>
      </c>
      <c r="D269" t="n">
        <v>188</v>
      </c>
      <c r="E269" t="n">
        <v>189</v>
      </c>
      <c r="F269" t="inlineStr">
        <is>
          <t>装飾窓 │内倒し窓</t>
        </is>
      </c>
      <c r="G269" t="n">
        <v>188</v>
      </c>
      <c r="H269" t="inlineStr">
        <is>
          <t>P188|無印</t>
        </is>
      </c>
      <c r="I269" t="inlineStr">
        <is>
          <t>previous_in_same_section</t>
        </is>
      </c>
      <c r="J269" t="inlineStr">
        <is>
          <t>同一価格表・前頁凡例を継承</t>
        </is>
      </c>
      <c r="K269" t="inlineStr">
        <is>
          <t>202604_LIXIL_サーモスＬ_業務用資料集_完成品価格表.pdf</t>
        </is>
      </c>
      <c r="L269" t="inlineStr">
        <is>
          <t>https://drive.google.com/file/d/1YUN-mtWYs48YBUHJk0C3vJXnhjyZFHyf/view</t>
        </is>
      </c>
    </row>
    <row r="270">
      <c r="A270" t="inlineStr">
        <is>
          <t>GLMAP-SL-0267</t>
        </is>
      </c>
      <c r="B270" t="n">
        <v>190</v>
      </c>
      <c r="C270" t="inlineStr">
        <is>
          <t>無印</t>
        </is>
      </c>
      <c r="D270" t="n">
        <v>190</v>
      </c>
      <c r="E270" t="n">
        <v>191</v>
      </c>
      <c r="F270" t="inlineStr">
        <is>
          <t>装飾窓 │外倒し窓</t>
        </is>
      </c>
      <c r="G270" t="n">
        <v>190</v>
      </c>
      <c r="H270" t="inlineStr">
        <is>
          <t>P190|無印</t>
        </is>
      </c>
      <c r="I270" t="inlineStr">
        <is>
          <t>same_page</t>
        </is>
      </c>
      <c r="J270" t="inlineStr">
        <is>
          <t>同頁凡例へ直接連動</t>
        </is>
      </c>
      <c r="K270" t="inlineStr">
        <is>
          <t>202604_LIXIL_サーモスＬ_業務用資料集_完成品価格表.pdf</t>
        </is>
      </c>
      <c r="L270" t="inlineStr">
        <is>
          <t>https://drive.google.com/file/d/1YUN-mtWYs48YBUHJk0C3vJXnhjyZFHyf/view</t>
        </is>
      </c>
    </row>
    <row r="271">
      <c r="A271" t="inlineStr">
        <is>
          <t>GLMAP-SL-0268</t>
        </is>
      </c>
      <c r="B271" t="n">
        <v>192</v>
      </c>
      <c r="C271" t="inlineStr">
        <is>
          <t>無印</t>
        </is>
      </c>
      <c r="D271" t="n">
        <v>192</v>
      </c>
      <c r="E271" t="n">
        <v>193</v>
      </c>
      <c r="F271" t="inlineStr">
        <is>
          <t>装飾窓 │引違い窓 / H （在来・204）マド①</t>
        </is>
      </c>
      <c r="G271" t="n">
        <v>192</v>
      </c>
      <c r="H271" t="inlineStr">
        <is>
          <t>P192|無印</t>
        </is>
      </c>
      <c r="I271" t="inlineStr">
        <is>
          <t>same_page</t>
        </is>
      </c>
      <c r="J271" t="inlineStr">
        <is>
          <t>同頁凡例へ直接連動</t>
        </is>
      </c>
      <c r="K271" t="inlineStr">
        <is>
          <t>202604_LIXIL_サーモスＬ_業務用資料集_完成品価格表.pdf</t>
        </is>
      </c>
      <c r="L271" t="inlineStr">
        <is>
          <t>https://drive.google.com/file/d/1YUN-mtWYs48YBUHJk0C3vJXnhjyZFHyf/view</t>
        </is>
      </c>
    </row>
    <row r="272">
      <c r="A272" t="inlineStr">
        <is>
          <t>GLMAP-SL-0269</t>
        </is>
      </c>
      <c r="B272" t="n">
        <v>193</v>
      </c>
      <c r="C272" t="inlineStr">
        <is>
          <t>★</t>
        </is>
      </c>
      <c r="D272" t="n">
        <v>192</v>
      </c>
      <c r="E272" t="n">
        <v>193</v>
      </c>
      <c r="F272" t="inlineStr">
        <is>
          <t>装飾窓 │引違い窓 / H （在来・204）マド①</t>
        </is>
      </c>
      <c r="G272" t="n">
        <v>192</v>
      </c>
      <c r="H272" t="inlineStr">
        <is>
          <t>P192|★</t>
        </is>
      </c>
      <c r="I272" t="inlineStr">
        <is>
          <t>previous_in_same_section</t>
        </is>
      </c>
      <c r="J272" t="inlineStr">
        <is>
          <t>同一価格表・前頁凡例を継承</t>
        </is>
      </c>
      <c r="K272" t="inlineStr">
        <is>
          <t>202604_LIXIL_サーモスＬ_業務用資料集_完成品価格表.pdf</t>
        </is>
      </c>
      <c r="L272" t="inlineStr">
        <is>
          <t>https://drive.google.com/file/d/1YUN-mtWYs48YBUHJk0C3vJXnhjyZFHyf/view</t>
        </is>
      </c>
    </row>
    <row r="273">
      <c r="A273" t="inlineStr">
        <is>
          <t>GLMAP-SL-0270</t>
        </is>
      </c>
      <c r="B273" t="n">
        <v>193</v>
      </c>
      <c r="C273" t="inlineStr">
        <is>
          <t>無印</t>
        </is>
      </c>
      <c r="D273" t="n">
        <v>192</v>
      </c>
      <c r="E273" t="n">
        <v>193</v>
      </c>
      <c r="F273" t="inlineStr">
        <is>
          <t>装飾窓 │引違い窓 / H （在来・204）マド①</t>
        </is>
      </c>
      <c r="G273" t="n">
        <v>192</v>
      </c>
      <c r="H273" t="inlineStr">
        <is>
          <t>P192|無印</t>
        </is>
      </c>
      <c r="I273" t="inlineStr">
        <is>
          <t>previous_in_same_section</t>
        </is>
      </c>
      <c r="J273" t="inlineStr">
        <is>
          <t>同一価格表・前頁凡例を継承</t>
        </is>
      </c>
      <c r="K273" t="inlineStr">
        <is>
          <t>202604_LIXIL_サーモスＬ_業務用資料集_完成品価格表.pdf</t>
        </is>
      </c>
      <c r="L273" t="inlineStr">
        <is>
          <t>https://drive.google.com/file/d/1YUN-mtWYs48YBUHJk0C3vJXnhjyZFHyf/view</t>
        </is>
      </c>
    </row>
    <row r="274">
      <c r="A274" t="inlineStr">
        <is>
          <t>GLMAP-SL-0271</t>
        </is>
      </c>
      <c r="B274" t="n">
        <v>194</v>
      </c>
      <c r="C274" t="inlineStr">
        <is>
          <t>無印</t>
        </is>
      </c>
      <c r="D274" t="n">
        <v>194</v>
      </c>
      <c r="E274" t="n">
        <v>195</v>
      </c>
      <c r="F274" t="inlineStr">
        <is>
          <t>装飾窓 │引違い窓 / H （在来・204）マド②</t>
        </is>
      </c>
      <c r="G274" t="n">
        <v>194</v>
      </c>
      <c r="H274" t="inlineStr">
        <is>
          <t>P194|無印</t>
        </is>
      </c>
      <c r="I274" t="inlineStr">
        <is>
          <t>same_page</t>
        </is>
      </c>
      <c r="J274" t="inlineStr">
        <is>
          <t>同頁凡例へ直接連動</t>
        </is>
      </c>
      <c r="K274" t="inlineStr">
        <is>
          <t>202604_LIXIL_サーモスＬ_業務用資料集_完成品価格表.pdf</t>
        </is>
      </c>
      <c r="L274" t="inlineStr">
        <is>
          <t>https://drive.google.com/file/d/1YUN-mtWYs48YBUHJk0C3vJXnhjyZFHyf/view</t>
        </is>
      </c>
    </row>
    <row r="275">
      <c r="A275" t="inlineStr">
        <is>
          <t>GLMAP-SL-0272</t>
        </is>
      </c>
      <c r="B275" t="n">
        <v>195</v>
      </c>
      <c r="C275" t="inlineStr">
        <is>
          <t>○</t>
        </is>
      </c>
      <c r="D275" t="n">
        <v>194</v>
      </c>
      <c r="E275" t="n">
        <v>195</v>
      </c>
      <c r="F275" t="inlineStr">
        <is>
          <t>装飾窓 │引違い窓 / H （在来・204）マド②</t>
        </is>
      </c>
      <c r="G275" t="n">
        <v>194</v>
      </c>
      <c r="H275" t="inlineStr">
        <is>
          <t>P194|○</t>
        </is>
      </c>
      <c r="I275" t="inlineStr">
        <is>
          <t>previous_in_same_section</t>
        </is>
      </c>
      <c r="J275" t="inlineStr">
        <is>
          <t>同一価格表・前頁凡例を継承</t>
        </is>
      </c>
      <c r="K275" t="inlineStr">
        <is>
          <t>202604_LIXIL_サーモスＬ_業務用資料集_完成品価格表.pdf</t>
        </is>
      </c>
      <c r="L275" t="inlineStr">
        <is>
          <t>https://drive.google.com/file/d/1YUN-mtWYs48YBUHJk0C3vJXnhjyZFHyf/view</t>
        </is>
      </c>
    </row>
    <row r="276">
      <c r="A276" t="inlineStr">
        <is>
          <t>GLMAP-SL-0273</t>
        </is>
      </c>
      <c r="B276" t="n">
        <v>195</v>
      </c>
      <c r="C276" t="inlineStr">
        <is>
          <t>●</t>
        </is>
      </c>
      <c r="D276" t="n">
        <v>194</v>
      </c>
      <c r="E276" t="n">
        <v>195</v>
      </c>
      <c r="F276" t="inlineStr">
        <is>
          <t>装飾窓 │引違い窓 / H （在来・204）マド②</t>
        </is>
      </c>
      <c r="G276" t="n">
        <v>194</v>
      </c>
      <c r="H276" t="inlineStr">
        <is>
          <t>P194|●</t>
        </is>
      </c>
      <c r="I276" t="inlineStr">
        <is>
          <t>previous_in_same_section</t>
        </is>
      </c>
      <c r="J276" t="inlineStr">
        <is>
          <t>同一価格表・前頁凡例を継承</t>
        </is>
      </c>
      <c r="K276" t="inlineStr">
        <is>
          <t>202604_LIXIL_サーモスＬ_業務用資料集_完成品価格表.pdf</t>
        </is>
      </c>
      <c r="L276" t="inlineStr">
        <is>
          <t>https://drive.google.com/file/d/1YUN-mtWYs48YBUHJk0C3vJXnhjyZFHyf/view</t>
        </is>
      </c>
    </row>
    <row r="277">
      <c r="A277" t="inlineStr">
        <is>
          <t>GLMAP-SL-0274</t>
        </is>
      </c>
      <c r="B277" t="n">
        <v>195</v>
      </c>
      <c r="C277" t="inlineStr">
        <is>
          <t>★</t>
        </is>
      </c>
      <c r="D277" t="n">
        <v>194</v>
      </c>
      <c r="E277" t="n">
        <v>195</v>
      </c>
      <c r="F277" t="inlineStr">
        <is>
          <t>装飾窓 │引違い窓 / H （在来・204）マド②</t>
        </is>
      </c>
      <c r="G277" t="n">
        <v>194</v>
      </c>
      <c r="H277" t="inlineStr">
        <is>
          <t>P194|★</t>
        </is>
      </c>
      <c r="I277" t="inlineStr">
        <is>
          <t>previous_in_same_section</t>
        </is>
      </c>
      <c r="J277" t="inlineStr">
        <is>
          <t>同一価格表・前頁凡例を継承</t>
        </is>
      </c>
      <c r="K277" t="inlineStr">
        <is>
          <t>202604_LIXIL_サーモスＬ_業務用資料集_完成品価格表.pdf</t>
        </is>
      </c>
      <c r="L277" t="inlineStr">
        <is>
          <t>https://drive.google.com/file/d/1YUN-mtWYs48YBUHJk0C3vJXnhjyZFHyf/view</t>
        </is>
      </c>
    </row>
    <row r="278">
      <c r="A278" t="inlineStr">
        <is>
          <t>GLMAP-SL-0275</t>
        </is>
      </c>
      <c r="B278" t="n">
        <v>195</v>
      </c>
      <c r="C278" t="inlineStr">
        <is>
          <t>☆</t>
        </is>
      </c>
      <c r="D278" t="n">
        <v>194</v>
      </c>
      <c r="E278" t="n">
        <v>195</v>
      </c>
      <c r="F278" t="inlineStr">
        <is>
          <t>装飾窓 │引違い窓 / H （在来・204）マド②</t>
        </is>
      </c>
      <c r="G278" t="n">
        <v>194</v>
      </c>
      <c r="H278" t="inlineStr">
        <is>
          <t>P194|☆</t>
        </is>
      </c>
      <c r="I278" t="inlineStr">
        <is>
          <t>previous_in_same_section</t>
        </is>
      </c>
      <c r="J278" t="inlineStr">
        <is>
          <t>同一価格表・前頁凡例を継承</t>
        </is>
      </c>
      <c r="K278" t="inlineStr">
        <is>
          <t>202604_LIXIL_サーモスＬ_業務用資料集_完成品価格表.pdf</t>
        </is>
      </c>
      <c r="L278" t="inlineStr">
        <is>
          <t>https://drive.google.com/file/d/1YUN-mtWYs48YBUHJk0C3vJXnhjyZFHyf/view</t>
        </is>
      </c>
    </row>
    <row r="279">
      <c r="A279" t="inlineStr">
        <is>
          <t>GLMAP-SL-0276</t>
        </is>
      </c>
      <c r="B279" t="n">
        <v>195</v>
      </c>
      <c r="C279" t="inlineStr">
        <is>
          <t>無印</t>
        </is>
      </c>
      <c r="D279" t="n">
        <v>194</v>
      </c>
      <c r="E279" t="n">
        <v>195</v>
      </c>
      <c r="F279" t="inlineStr">
        <is>
          <t>装飾窓 │引違い窓 / H （在来・204）マド②</t>
        </is>
      </c>
      <c r="G279" t="n">
        <v>194</v>
      </c>
      <c r="H279" t="inlineStr">
        <is>
          <t>P194|無印</t>
        </is>
      </c>
      <c r="I279" t="inlineStr">
        <is>
          <t>previous_in_same_section</t>
        </is>
      </c>
      <c r="J279" t="inlineStr">
        <is>
          <t>同一価格表・前頁凡例を継承</t>
        </is>
      </c>
      <c r="K279" t="inlineStr">
        <is>
          <t>202604_LIXIL_サーモスＬ_業務用資料集_完成品価格表.pdf</t>
        </is>
      </c>
      <c r="L279" t="inlineStr">
        <is>
          <t>https://drive.google.com/file/d/1YUN-mtWYs48YBUHJk0C3vJXnhjyZFHyf/view</t>
        </is>
      </c>
    </row>
    <row r="280">
      <c r="A280" t="inlineStr">
        <is>
          <t>GLMAP-SL-0277</t>
        </is>
      </c>
      <c r="B280" t="n">
        <v>196</v>
      </c>
      <c r="C280" t="inlineStr">
        <is>
          <t>○</t>
        </is>
      </c>
      <c r="D280" t="n">
        <v>196</v>
      </c>
      <c r="E280" t="n">
        <v>197</v>
      </c>
      <c r="F280" t="inlineStr">
        <is>
          <t>装飾窓 │引違い窓</t>
        </is>
      </c>
      <c r="G280" t="n">
        <v>196</v>
      </c>
      <c r="H280" t="inlineStr">
        <is>
          <t>P196|○</t>
        </is>
      </c>
      <c r="I280" t="inlineStr">
        <is>
          <t>same_page</t>
        </is>
      </c>
      <c r="J280" t="inlineStr">
        <is>
          <t>同頁凡例へ直接連動</t>
        </is>
      </c>
      <c r="K280" t="inlineStr">
        <is>
          <t>202604_LIXIL_サーモスＬ_業務用資料集_完成品価格表.pdf</t>
        </is>
      </c>
      <c r="L280" t="inlineStr">
        <is>
          <t>https://drive.google.com/file/d/1YUN-mtWYs48YBUHJk0C3vJXnhjyZFHyf/view</t>
        </is>
      </c>
    </row>
    <row r="281">
      <c r="A281" t="inlineStr">
        <is>
          <t>GLMAP-SL-0278</t>
        </is>
      </c>
      <c r="B281" t="n">
        <v>196</v>
      </c>
      <c r="C281" t="inlineStr">
        <is>
          <t>★</t>
        </is>
      </c>
      <c r="D281" t="n">
        <v>196</v>
      </c>
      <c r="E281" t="n">
        <v>197</v>
      </c>
      <c r="F281" t="inlineStr">
        <is>
          <t>装飾窓 │引違い窓</t>
        </is>
      </c>
      <c r="G281" t="n">
        <v>196</v>
      </c>
      <c r="H281" t="inlineStr">
        <is>
          <t>P196|★</t>
        </is>
      </c>
      <c r="I281" t="inlineStr">
        <is>
          <t>same_page</t>
        </is>
      </c>
      <c r="J281" t="inlineStr">
        <is>
          <t>同頁凡例へ直接連動</t>
        </is>
      </c>
      <c r="K281" t="inlineStr">
        <is>
          <t>202604_LIXIL_サーモスＬ_業務用資料集_完成品価格表.pdf</t>
        </is>
      </c>
      <c r="L281" t="inlineStr">
        <is>
          <t>https://drive.google.com/file/d/1YUN-mtWYs48YBUHJk0C3vJXnhjyZFHyf/view</t>
        </is>
      </c>
    </row>
    <row r="282">
      <c r="A282" t="inlineStr">
        <is>
          <t>GLMAP-SL-0279</t>
        </is>
      </c>
      <c r="B282" t="n">
        <v>196</v>
      </c>
      <c r="C282" t="inlineStr">
        <is>
          <t>無印</t>
        </is>
      </c>
      <c r="D282" t="n">
        <v>196</v>
      </c>
      <c r="E282" t="n">
        <v>197</v>
      </c>
      <c r="F282" t="inlineStr">
        <is>
          <t>装飾窓 │引違い窓</t>
        </is>
      </c>
      <c r="G282" t="n">
        <v>196</v>
      </c>
      <c r="H282" t="inlineStr">
        <is>
          <t>P196|無印</t>
        </is>
      </c>
      <c r="I282" t="inlineStr">
        <is>
          <t>same_page</t>
        </is>
      </c>
      <c r="J282" t="inlineStr">
        <is>
          <t>同頁凡例へ直接連動</t>
        </is>
      </c>
      <c r="K282" t="inlineStr">
        <is>
          <t>202604_LIXIL_サーモスＬ_業務用資料集_完成品価格表.pdf</t>
        </is>
      </c>
      <c r="L282" t="inlineStr">
        <is>
          <t>https://drive.google.com/file/d/1YUN-mtWYs48YBUHJk0C3vJXnhjyZFHyf/view</t>
        </is>
      </c>
    </row>
    <row r="283">
      <c r="A283" t="inlineStr">
        <is>
          <t>GLMAP-SL-0280</t>
        </is>
      </c>
      <c r="B283" t="n">
        <v>197</v>
      </c>
      <c r="C283" t="inlineStr">
        <is>
          <t>△</t>
        </is>
      </c>
      <c r="D283" t="n">
        <v>196</v>
      </c>
      <c r="E283" t="n">
        <v>197</v>
      </c>
      <c r="F283" t="inlineStr">
        <is>
          <t>装飾窓 │引違い窓</t>
        </is>
      </c>
      <c r="G283" t="n">
        <v>197</v>
      </c>
      <c r="H283" t="inlineStr">
        <is>
          <t>P197|△</t>
        </is>
      </c>
      <c r="I283" t="inlineStr">
        <is>
          <t>same_page</t>
        </is>
      </c>
      <c r="J283" t="inlineStr">
        <is>
          <t>同頁凡例へ直接連動</t>
        </is>
      </c>
      <c r="K283" t="inlineStr">
        <is>
          <t>202604_LIXIL_サーモスＬ_業務用資料集_完成品価格表.pdf</t>
        </is>
      </c>
      <c r="L283" t="inlineStr">
        <is>
          <t>https://drive.google.com/file/d/1YUN-mtWYs48YBUHJk0C3vJXnhjyZFHyf/view</t>
        </is>
      </c>
    </row>
    <row r="284">
      <c r="A284" t="inlineStr">
        <is>
          <t>GLMAP-SL-0281</t>
        </is>
      </c>
      <c r="B284" t="n">
        <v>197</v>
      </c>
      <c r="C284" t="inlineStr">
        <is>
          <t>○</t>
        </is>
      </c>
      <c r="D284" t="n">
        <v>196</v>
      </c>
      <c r="E284" t="n">
        <v>197</v>
      </c>
      <c r="F284" t="inlineStr">
        <is>
          <t>装飾窓 │引違い窓</t>
        </is>
      </c>
      <c r="G284" t="n">
        <v>197</v>
      </c>
      <c r="H284" t="inlineStr">
        <is>
          <t>P197|○</t>
        </is>
      </c>
      <c r="I284" t="inlineStr">
        <is>
          <t>same_page</t>
        </is>
      </c>
      <c r="J284" t="inlineStr">
        <is>
          <t>同頁凡例へ直接連動</t>
        </is>
      </c>
      <c r="K284" t="inlineStr">
        <is>
          <t>202604_LIXIL_サーモスＬ_業務用資料集_完成品価格表.pdf</t>
        </is>
      </c>
      <c r="L284" t="inlineStr">
        <is>
          <t>https://drive.google.com/file/d/1YUN-mtWYs48YBUHJk0C3vJXnhjyZFHyf/view</t>
        </is>
      </c>
    </row>
    <row r="285">
      <c r="A285" t="inlineStr">
        <is>
          <t>GLMAP-SL-0282</t>
        </is>
      </c>
      <c r="B285" t="n">
        <v>197</v>
      </c>
      <c r="C285" t="inlineStr">
        <is>
          <t>★</t>
        </is>
      </c>
      <c r="D285" t="n">
        <v>196</v>
      </c>
      <c r="E285" t="n">
        <v>197</v>
      </c>
      <c r="F285" t="inlineStr">
        <is>
          <t>装飾窓 │引違い窓</t>
        </is>
      </c>
      <c r="G285" t="n">
        <v>197</v>
      </c>
      <c r="H285" t="inlineStr">
        <is>
          <t>P197|★</t>
        </is>
      </c>
      <c r="I285" t="inlineStr">
        <is>
          <t>same_page</t>
        </is>
      </c>
      <c r="J285" t="inlineStr">
        <is>
          <t>同頁凡例へ直接連動</t>
        </is>
      </c>
      <c r="K285" t="inlineStr">
        <is>
          <t>202604_LIXIL_サーモスＬ_業務用資料集_完成品価格表.pdf</t>
        </is>
      </c>
      <c r="L285" t="inlineStr">
        <is>
          <t>https://drive.google.com/file/d/1YUN-mtWYs48YBUHJk0C3vJXnhjyZFHyf/view</t>
        </is>
      </c>
    </row>
    <row r="286">
      <c r="A286" t="inlineStr">
        <is>
          <t>GLMAP-SL-0283</t>
        </is>
      </c>
      <c r="B286" t="n">
        <v>197</v>
      </c>
      <c r="C286" t="inlineStr">
        <is>
          <t>無印</t>
        </is>
      </c>
      <c r="D286" t="n">
        <v>196</v>
      </c>
      <c r="E286" t="n">
        <v>197</v>
      </c>
      <c r="F286" t="inlineStr">
        <is>
          <t>装飾窓 │引違い窓</t>
        </is>
      </c>
      <c r="G286" t="n">
        <v>197</v>
      </c>
      <c r="H286" t="inlineStr">
        <is>
          <t>P197|無印</t>
        </is>
      </c>
      <c r="I286" t="inlineStr">
        <is>
          <t>same_page</t>
        </is>
      </c>
      <c r="J286" t="inlineStr">
        <is>
          <t>同頁凡例へ直接連動</t>
        </is>
      </c>
      <c r="K286" t="inlineStr">
        <is>
          <t>202604_LIXIL_サーモスＬ_業務用資料集_完成品価格表.pdf</t>
        </is>
      </c>
      <c r="L286" t="inlineStr">
        <is>
          <t>https://drive.google.com/file/d/1YUN-mtWYs48YBUHJk0C3vJXnhjyZFHyf/view</t>
        </is>
      </c>
    </row>
    <row r="287">
      <c r="A287" t="inlineStr">
        <is>
          <t>GLMAP-SL-0284</t>
        </is>
      </c>
      <c r="B287" t="n">
        <v>198</v>
      </c>
      <c r="C287" t="inlineStr">
        <is>
          <t>○</t>
        </is>
      </c>
      <c r="D287" t="n">
        <v>198</v>
      </c>
      <c r="E287" t="n">
        <v>199</v>
      </c>
      <c r="F287" t="inlineStr">
        <is>
          <t>装飾窓 │引違い窓</t>
        </is>
      </c>
      <c r="G287" t="n">
        <v>198</v>
      </c>
      <c r="H287" t="inlineStr">
        <is>
          <t>P198|○</t>
        </is>
      </c>
      <c r="I287" t="inlineStr">
        <is>
          <t>same_page</t>
        </is>
      </c>
      <c r="J287" t="inlineStr">
        <is>
          <t>同頁凡例へ直接連動</t>
        </is>
      </c>
      <c r="K287" t="inlineStr">
        <is>
          <t>202604_LIXIL_サーモスＬ_業務用資料集_完成品価格表.pdf</t>
        </is>
      </c>
      <c r="L287" t="inlineStr">
        <is>
          <t>https://drive.google.com/file/d/1YUN-mtWYs48YBUHJk0C3vJXnhjyZFHyf/view</t>
        </is>
      </c>
    </row>
    <row r="288">
      <c r="A288" t="inlineStr">
        <is>
          <t>GLMAP-SL-0285</t>
        </is>
      </c>
      <c r="B288" t="n">
        <v>198</v>
      </c>
      <c r="C288" t="inlineStr">
        <is>
          <t>無印</t>
        </is>
      </c>
      <c r="D288" t="n">
        <v>198</v>
      </c>
      <c r="E288" t="n">
        <v>199</v>
      </c>
      <c r="F288" t="inlineStr">
        <is>
          <t>装飾窓 │引違い窓</t>
        </is>
      </c>
      <c r="G288" t="n">
        <v>198</v>
      </c>
      <c r="H288" t="inlineStr">
        <is>
          <t>P198|無印</t>
        </is>
      </c>
      <c r="I288" t="inlineStr">
        <is>
          <t>same_page</t>
        </is>
      </c>
      <c r="J288" t="inlineStr">
        <is>
          <t>同頁凡例へ直接連動</t>
        </is>
      </c>
      <c r="K288" t="inlineStr">
        <is>
          <t>202604_LIXIL_サーモスＬ_業務用資料集_完成品価格表.pdf</t>
        </is>
      </c>
      <c r="L288" t="inlineStr">
        <is>
          <t>https://drive.google.com/file/d/1YUN-mtWYs48YBUHJk0C3vJXnhjyZFHyf/view</t>
        </is>
      </c>
    </row>
    <row r="289">
      <c r="A289" t="inlineStr">
        <is>
          <t>GLMAP-SL-0286</t>
        </is>
      </c>
      <c r="B289" t="n">
        <v>199</v>
      </c>
      <c r="C289" t="inlineStr">
        <is>
          <t>★</t>
        </is>
      </c>
      <c r="D289" t="n">
        <v>198</v>
      </c>
      <c r="E289" t="n">
        <v>199</v>
      </c>
      <c r="F289" t="inlineStr">
        <is>
          <t>装飾窓 │引違い窓</t>
        </is>
      </c>
      <c r="G289" t="n">
        <v>199</v>
      </c>
      <c r="H289" t="inlineStr">
        <is>
          <t>P199|★</t>
        </is>
      </c>
      <c r="I289" t="inlineStr">
        <is>
          <t>same_page</t>
        </is>
      </c>
      <c r="J289" t="inlineStr">
        <is>
          <t>同頁凡例へ直接連動</t>
        </is>
      </c>
      <c r="K289" t="inlineStr">
        <is>
          <t>202604_LIXIL_サーモスＬ_業務用資料集_完成品価格表.pdf</t>
        </is>
      </c>
      <c r="L289" t="inlineStr">
        <is>
          <t>https://drive.google.com/file/d/1YUN-mtWYs48YBUHJk0C3vJXnhjyZFHyf/view</t>
        </is>
      </c>
    </row>
    <row r="290">
      <c r="A290" t="inlineStr">
        <is>
          <t>GLMAP-SL-0287</t>
        </is>
      </c>
      <c r="B290" t="n">
        <v>199</v>
      </c>
      <c r="C290" t="inlineStr">
        <is>
          <t>無印</t>
        </is>
      </c>
      <c r="D290" t="n">
        <v>198</v>
      </c>
      <c r="E290" t="n">
        <v>199</v>
      </c>
      <c r="F290" t="inlineStr">
        <is>
          <t>装飾窓 │引違い窓</t>
        </is>
      </c>
      <c r="G290" t="n">
        <v>199</v>
      </c>
      <c r="H290" t="inlineStr">
        <is>
          <t>P199|無印</t>
        </is>
      </c>
      <c r="I290" t="inlineStr">
        <is>
          <t>same_page</t>
        </is>
      </c>
      <c r="J290" t="inlineStr">
        <is>
          <t>同頁凡例へ直接連動</t>
        </is>
      </c>
      <c r="K290" t="inlineStr">
        <is>
          <t>202604_LIXIL_サーモスＬ_業務用資料集_完成品価格表.pdf</t>
        </is>
      </c>
      <c r="L290" t="inlineStr">
        <is>
          <t>https://drive.google.com/file/d/1YUN-mtWYs48YBUHJk0C3vJXnhjyZFHyf/view</t>
        </is>
      </c>
    </row>
    <row r="291">
      <c r="A291" t="inlineStr">
        <is>
          <t>GLMAP-SL-0288</t>
        </is>
      </c>
      <c r="B291" t="n">
        <v>202</v>
      </c>
      <c r="C291" t="inlineStr">
        <is>
          <t>△</t>
        </is>
      </c>
      <c r="D291" t="n">
        <v>202</v>
      </c>
      <c r="E291" t="n">
        <v>203</v>
      </c>
      <c r="F291" t="inlineStr">
        <is>
          <t>装飾窓 │引違い窓</t>
        </is>
      </c>
      <c r="G291" t="n">
        <v>202</v>
      </c>
      <c r="H291" t="inlineStr">
        <is>
          <t>P202|△</t>
        </is>
      </c>
      <c r="I291" t="inlineStr">
        <is>
          <t>same_page</t>
        </is>
      </c>
      <c r="J291" t="inlineStr">
        <is>
          <t>同頁凡例へ直接連動</t>
        </is>
      </c>
      <c r="K291" t="inlineStr">
        <is>
          <t>202604_LIXIL_サーモスＬ_業務用資料集_完成品価格表.pdf</t>
        </is>
      </c>
      <c r="L291" t="inlineStr">
        <is>
          <t>https://drive.google.com/file/d/1YUN-mtWYs48YBUHJk0C3vJXnhjyZFHyf/view</t>
        </is>
      </c>
    </row>
    <row r="292">
      <c r="A292" t="inlineStr">
        <is>
          <t>GLMAP-SL-0289</t>
        </is>
      </c>
      <c r="B292" t="n">
        <v>202</v>
      </c>
      <c r="C292" t="inlineStr">
        <is>
          <t>○</t>
        </is>
      </c>
      <c r="D292" t="n">
        <v>202</v>
      </c>
      <c r="E292" t="n">
        <v>203</v>
      </c>
      <c r="F292" t="inlineStr">
        <is>
          <t>装飾窓 │引違い窓</t>
        </is>
      </c>
      <c r="G292" t="n">
        <v>202</v>
      </c>
      <c r="H292" t="inlineStr">
        <is>
          <t>P202|○</t>
        </is>
      </c>
      <c r="I292" t="inlineStr">
        <is>
          <t>same_page</t>
        </is>
      </c>
      <c r="J292" t="inlineStr">
        <is>
          <t>同頁凡例へ直接連動</t>
        </is>
      </c>
      <c r="K292" t="inlineStr">
        <is>
          <t>202604_LIXIL_サーモスＬ_業務用資料集_完成品価格表.pdf</t>
        </is>
      </c>
      <c r="L292" t="inlineStr">
        <is>
          <t>https://drive.google.com/file/d/1YUN-mtWYs48YBUHJk0C3vJXnhjyZFHyf/view</t>
        </is>
      </c>
    </row>
    <row r="293">
      <c r="A293" t="inlineStr">
        <is>
          <t>GLMAP-SL-0290</t>
        </is>
      </c>
      <c r="B293" t="n">
        <v>202</v>
      </c>
      <c r="C293" t="inlineStr">
        <is>
          <t>★</t>
        </is>
      </c>
      <c r="D293" t="n">
        <v>202</v>
      </c>
      <c r="E293" t="n">
        <v>203</v>
      </c>
      <c r="F293" t="inlineStr">
        <is>
          <t>装飾窓 │引違い窓</t>
        </is>
      </c>
      <c r="G293" t="n">
        <v>202</v>
      </c>
      <c r="H293" t="inlineStr">
        <is>
          <t>P202|★</t>
        </is>
      </c>
      <c r="I293" t="inlineStr">
        <is>
          <t>same_page</t>
        </is>
      </c>
      <c r="J293" t="inlineStr">
        <is>
          <t>同頁凡例へ直接連動</t>
        </is>
      </c>
      <c r="K293" t="inlineStr">
        <is>
          <t>202604_LIXIL_サーモスＬ_業務用資料集_完成品価格表.pdf</t>
        </is>
      </c>
      <c r="L293" t="inlineStr">
        <is>
          <t>https://drive.google.com/file/d/1YUN-mtWYs48YBUHJk0C3vJXnhjyZFHyf/view</t>
        </is>
      </c>
    </row>
    <row r="294">
      <c r="A294" t="inlineStr">
        <is>
          <t>GLMAP-SL-0291</t>
        </is>
      </c>
      <c r="B294" t="n">
        <v>202</v>
      </c>
      <c r="C294" t="inlineStr">
        <is>
          <t>無印</t>
        </is>
      </c>
      <c r="D294" t="n">
        <v>202</v>
      </c>
      <c r="E294" t="n">
        <v>203</v>
      </c>
      <c r="F294" t="inlineStr">
        <is>
          <t>装飾窓 │引違い窓</t>
        </is>
      </c>
      <c r="G294" t="n">
        <v>202</v>
      </c>
      <c r="H294" t="inlineStr">
        <is>
          <t>P202|無印</t>
        </is>
      </c>
      <c r="I294" t="inlineStr">
        <is>
          <t>same_page</t>
        </is>
      </c>
      <c r="J294" t="inlineStr">
        <is>
          <t>同頁凡例へ直接連動</t>
        </is>
      </c>
      <c r="K294" t="inlineStr">
        <is>
          <t>202604_LIXIL_サーモスＬ_業務用資料集_完成品価格表.pdf</t>
        </is>
      </c>
      <c r="L294" t="inlineStr">
        <is>
          <t>https://drive.google.com/file/d/1YUN-mtWYs48YBUHJk0C3vJXnhjyZFHyf/view</t>
        </is>
      </c>
    </row>
    <row r="295">
      <c r="A295" t="inlineStr">
        <is>
          <t>GLMAP-SL-0292</t>
        </is>
      </c>
      <c r="B295" t="n">
        <v>204</v>
      </c>
      <c r="C295" t="inlineStr">
        <is>
          <t>○</t>
        </is>
      </c>
      <c r="D295" t="n">
        <v>204</v>
      </c>
      <c r="E295" t="n">
        <v>205</v>
      </c>
      <c r="F295" t="inlineStr">
        <is>
          <t>装飾窓 │引違い窓</t>
        </is>
      </c>
      <c r="G295" t="n">
        <v>204</v>
      </c>
      <c r="H295" t="inlineStr">
        <is>
          <t>P204|○</t>
        </is>
      </c>
      <c r="I295" t="inlineStr">
        <is>
          <t>same_page</t>
        </is>
      </c>
      <c r="J295" t="inlineStr">
        <is>
          <t>同頁凡例へ直接連動</t>
        </is>
      </c>
      <c r="K295" t="inlineStr">
        <is>
          <t>202604_LIXIL_サーモスＬ_業務用資料集_完成品価格表.pdf</t>
        </is>
      </c>
      <c r="L295" t="inlineStr">
        <is>
          <t>https://drive.google.com/file/d/1YUN-mtWYs48YBUHJk0C3vJXnhjyZFHyf/view</t>
        </is>
      </c>
    </row>
    <row r="296">
      <c r="A296" t="inlineStr">
        <is>
          <t>GLMAP-SL-0293</t>
        </is>
      </c>
      <c r="B296" t="n">
        <v>204</v>
      </c>
      <c r="C296" t="inlineStr">
        <is>
          <t>●</t>
        </is>
      </c>
      <c r="D296" t="n">
        <v>204</v>
      </c>
      <c r="E296" t="n">
        <v>205</v>
      </c>
      <c r="F296" t="inlineStr">
        <is>
          <t>装飾窓 │引違い窓</t>
        </is>
      </c>
      <c r="G296" t="n">
        <v>204</v>
      </c>
      <c r="H296" t="inlineStr">
        <is>
          <t>P204|●</t>
        </is>
      </c>
      <c r="I296" t="inlineStr">
        <is>
          <t>same_page</t>
        </is>
      </c>
      <c r="J296" t="inlineStr">
        <is>
          <t>同頁凡例へ直接連動</t>
        </is>
      </c>
      <c r="K296" t="inlineStr">
        <is>
          <t>202604_LIXIL_サーモスＬ_業務用資料集_完成品価格表.pdf</t>
        </is>
      </c>
      <c r="L296" t="inlineStr">
        <is>
          <t>https://drive.google.com/file/d/1YUN-mtWYs48YBUHJk0C3vJXnhjyZFHyf/view</t>
        </is>
      </c>
    </row>
    <row r="297">
      <c r="A297" t="inlineStr">
        <is>
          <t>GLMAP-SL-0294</t>
        </is>
      </c>
      <c r="B297" t="n">
        <v>204</v>
      </c>
      <c r="C297" t="inlineStr">
        <is>
          <t>★</t>
        </is>
      </c>
      <c r="D297" t="n">
        <v>204</v>
      </c>
      <c r="E297" t="n">
        <v>205</v>
      </c>
      <c r="F297" t="inlineStr">
        <is>
          <t>装飾窓 │引違い窓</t>
        </is>
      </c>
      <c r="G297" t="n">
        <v>204</v>
      </c>
      <c r="H297" t="inlineStr">
        <is>
          <t>P204|★</t>
        </is>
      </c>
      <c r="I297" t="inlineStr">
        <is>
          <t>same_page</t>
        </is>
      </c>
      <c r="J297" t="inlineStr">
        <is>
          <t>同頁凡例へ直接連動</t>
        </is>
      </c>
      <c r="K297" t="inlineStr">
        <is>
          <t>202604_LIXIL_サーモスＬ_業務用資料集_完成品価格表.pdf</t>
        </is>
      </c>
      <c r="L297" t="inlineStr">
        <is>
          <t>https://drive.google.com/file/d/1YUN-mtWYs48YBUHJk0C3vJXnhjyZFHyf/view</t>
        </is>
      </c>
    </row>
    <row r="298">
      <c r="A298" t="inlineStr">
        <is>
          <t>GLMAP-SL-0295</t>
        </is>
      </c>
      <c r="B298" t="n">
        <v>204</v>
      </c>
      <c r="C298" t="inlineStr">
        <is>
          <t>☆</t>
        </is>
      </c>
      <c r="D298" t="n">
        <v>204</v>
      </c>
      <c r="E298" t="n">
        <v>205</v>
      </c>
      <c r="F298" t="inlineStr">
        <is>
          <t>装飾窓 │引違い窓</t>
        </is>
      </c>
      <c r="G298" t="n">
        <v>204</v>
      </c>
      <c r="H298" t="inlineStr">
        <is>
          <t>P204|☆</t>
        </is>
      </c>
      <c r="I298" t="inlineStr">
        <is>
          <t>same_page</t>
        </is>
      </c>
      <c r="J298" t="inlineStr">
        <is>
          <t>同頁凡例へ直接連動</t>
        </is>
      </c>
      <c r="K298" t="inlineStr">
        <is>
          <t>202604_LIXIL_サーモスＬ_業務用資料集_完成品価格表.pdf</t>
        </is>
      </c>
      <c r="L298" t="inlineStr">
        <is>
          <t>https://drive.google.com/file/d/1YUN-mtWYs48YBUHJk0C3vJXnhjyZFHyf/view</t>
        </is>
      </c>
    </row>
    <row r="299">
      <c r="A299" t="inlineStr">
        <is>
          <t>GLMAP-SL-0296</t>
        </is>
      </c>
      <c r="B299" t="n">
        <v>204</v>
      </c>
      <c r="C299" t="inlineStr">
        <is>
          <t>無印</t>
        </is>
      </c>
      <c r="D299" t="n">
        <v>204</v>
      </c>
      <c r="E299" t="n">
        <v>205</v>
      </c>
      <c r="F299" t="inlineStr">
        <is>
          <t>装飾窓 │引違い窓</t>
        </is>
      </c>
      <c r="G299" t="n">
        <v>204</v>
      </c>
      <c r="H299" t="inlineStr">
        <is>
          <t>P204|無印</t>
        </is>
      </c>
      <c r="I299" t="inlineStr">
        <is>
          <t>same_page</t>
        </is>
      </c>
      <c r="J299" t="inlineStr">
        <is>
          <t>同頁凡例へ直接連動</t>
        </is>
      </c>
      <c r="K299" t="inlineStr">
        <is>
          <t>202604_LIXIL_サーモスＬ_業務用資料集_完成品価格表.pdf</t>
        </is>
      </c>
      <c r="L299" t="inlineStr">
        <is>
          <t>https://drive.google.com/file/d/1YUN-mtWYs48YBUHJk0C3vJXnhjyZFHyf/view</t>
        </is>
      </c>
    </row>
    <row r="300">
      <c r="A300" t="inlineStr">
        <is>
          <t>GLMAP-SL-0297</t>
        </is>
      </c>
      <c r="B300" t="n">
        <v>205</v>
      </c>
      <c r="C300" t="inlineStr">
        <is>
          <t>○</t>
        </is>
      </c>
      <c r="D300" t="n">
        <v>204</v>
      </c>
      <c r="E300" t="n">
        <v>205</v>
      </c>
      <c r="F300" t="inlineStr">
        <is>
          <t>装飾窓 │引違い窓</t>
        </is>
      </c>
      <c r="G300" t="n">
        <v>205</v>
      </c>
      <c r="H300" t="inlineStr">
        <is>
          <t>P205|○</t>
        </is>
      </c>
      <c r="I300" t="inlineStr">
        <is>
          <t>same_page</t>
        </is>
      </c>
      <c r="J300" t="inlineStr">
        <is>
          <t>同頁凡例へ直接連動</t>
        </is>
      </c>
      <c r="K300" t="inlineStr">
        <is>
          <t>202604_LIXIL_サーモスＬ_業務用資料集_完成品価格表.pdf</t>
        </is>
      </c>
      <c r="L300" t="inlineStr">
        <is>
          <t>https://drive.google.com/file/d/1YUN-mtWYs48YBUHJk0C3vJXnhjyZFHyf/view</t>
        </is>
      </c>
    </row>
    <row r="301">
      <c r="A301" t="inlineStr">
        <is>
          <t>GLMAP-SL-0298</t>
        </is>
      </c>
      <c r="B301" t="n">
        <v>205</v>
      </c>
      <c r="C301" t="inlineStr">
        <is>
          <t>●</t>
        </is>
      </c>
      <c r="D301" t="n">
        <v>204</v>
      </c>
      <c r="E301" t="n">
        <v>205</v>
      </c>
      <c r="F301" t="inlineStr">
        <is>
          <t>装飾窓 │引違い窓</t>
        </is>
      </c>
      <c r="G301" t="n">
        <v>205</v>
      </c>
      <c r="H301" t="inlineStr">
        <is>
          <t>P205|●</t>
        </is>
      </c>
      <c r="I301" t="inlineStr">
        <is>
          <t>same_page</t>
        </is>
      </c>
      <c r="J301" t="inlineStr">
        <is>
          <t>同頁凡例へ直接連動</t>
        </is>
      </c>
      <c r="K301" t="inlineStr">
        <is>
          <t>202604_LIXIL_サーモスＬ_業務用資料集_完成品価格表.pdf</t>
        </is>
      </c>
      <c r="L301" t="inlineStr">
        <is>
          <t>https://drive.google.com/file/d/1YUN-mtWYs48YBUHJk0C3vJXnhjyZFHyf/view</t>
        </is>
      </c>
    </row>
    <row r="302">
      <c r="A302" t="inlineStr">
        <is>
          <t>GLMAP-SL-0299</t>
        </is>
      </c>
      <c r="B302" t="n">
        <v>205</v>
      </c>
      <c r="C302" t="inlineStr">
        <is>
          <t>★</t>
        </is>
      </c>
      <c r="D302" t="n">
        <v>204</v>
      </c>
      <c r="E302" t="n">
        <v>205</v>
      </c>
      <c r="F302" t="inlineStr">
        <is>
          <t>装飾窓 │引違い窓</t>
        </is>
      </c>
      <c r="G302" t="n">
        <v>205</v>
      </c>
      <c r="H302" t="inlineStr">
        <is>
          <t>P205|★</t>
        </is>
      </c>
      <c r="I302" t="inlineStr">
        <is>
          <t>same_page</t>
        </is>
      </c>
      <c r="J302" t="inlineStr">
        <is>
          <t>同頁凡例へ直接連動</t>
        </is>
      </c>
      <c r="K302" t="inlineStr">
        <is>
          <t>202604_LIXIL_サーモスＬ_業務用資料集_完成品価格表.pdf</t>
        </is>
      </c>
      <c r="L302" t="inlineStr">
        <is>
          <t>https://drive.google.com/file/d/1YUN-mtWYs48YBUHJk0C3vJXnhjyZFHyf/view</t>
        </is>
      </c>
    </row>
    <row r="303">
      <c r="A303" t="inlineStr">
        <is>
          <t>GLMAP-SL-0300</t>
        </is>
      </c>
      <c r="B303" t="n">
        <v>205</v>
      </c>
      <c r="C303" t="inlineStr">
        <is>
          <t>無印</t>
        </is>
      </c>
      <c r="D303" t="n">
        <v>204</v>
      </c>
      <c r="E303" t="n">
        <v>205</v>
      </c>
      <c r="F303" t="inlineStr">
        <is>
          <t>装飾窓 │引違い窓</t>
        </is>
      </c>
      <c r="G303" t="n">
        <v>205</v>
      </c>
      <c r="H303" t="inlineStr">
        <is>
          <t>P205|無印</t>
        </is>
      </c>
      <c r="I303" t="inlineStr">
        <is>
          <t>same_page</t>
        </is>
      </c>
      <c r="J303" t="inlineStr">
        <is>
          <t>同頁凡例へ直接連動</t>
        </is>
      </c>
      <c r="K303" t="inlineStr">
        <is>
          <t>202604_LIXIL_サーモスＬ_業務用資料集_完成品価格表.pdf</t>
        </is>
      </c>
      <c r="L303" t="inlineStr">
        <is>
          <t>https://drive.google.com/file/d/1YUN-mtWYs48YBUHJk0C3vJXnhjyZFHyf/view</t>
        </is>
      </c>
    </row>
    <row r="304">
      <c r="A304" t="inlineStr">
        <is>
          <t>GLMAP-SL-0301</t>
        </is>
      </c>
      <c r="B304" t="n">
        <v>206</v>
      </c>
      <c r="C304" t="inlineStr">
        <is>
          <t>○</t>
        </is>
      </c>
      <c r="D304" t="n">
        <v>206</v>
      </c>
      <c r="E304" t="n">
        <v>207</v>
      </c>
      <c r="F304" t="inlineStr">
        <is>
          <t>ドア │テラスドア</t>
        </is>
      </c>
      <c r="G304" t="n">
        <v>206</v>
      </c>
      <c r="H304" t="inlineStr">
        <is>
          <t>P206|○</t>
        </is>
      </c>
      <c r="I304" t="inlineStr">
        <is>
          <t>same_page</t>
        </is>
      </c>
      <c r="J304" t="inlineStr">
        <is>
          <t>同頁凡例へ直接連動</t>
        </is>
      </c>
      <c r="K304" t="inlineStr">
        <is>
          <t>202604_LIXIL_サーモスＬ_業務用資料集_完成品価格表.pdf</t>
        </is>
      </c>
      <c r="L304" t="inlineStr">
        <is>
          <t>https://drive.google.com/file/d/1YUN-mtWYs48YBUHJk0C3vJXnhjyZFHyf/view</t>
        </is>
      </c>
    </row>
    <row r="305">
      <c r="A305" t="inlineStr">
        <is>
          <t>GLMAP-SL-0302</t>
        </is>
      </c>
      <c r="B305" t="n">
        <v>206</v>
      </c>
      <c r="C305" t="inlineStr">
        <is>
          <t>★</t>
        </is>
      </c>
      <c r="D305" t="n">
        <v>206</v>
      </c>
      <c r="E305" t="n">
        <v>207</v>
      </c>
      <c r="F305" t="inlineStr">
        <is>
          <t>ドア │テラスドア</t>
        </is>
      </c>
      <c r="G305" t="n">
        <v>206</v>
      </c>
      <c r="H305" t="inlineStr">
        <is>
          <t>P206|★</t>
        </is>
      </c>
      <c r="I305" t="inlineStr">
        <is>
          <t>same_page</t>
        </is>
      </c>
      <c r="J305" t="inlineStr">
        <is>
          <t>同頁凡例へ直接連動</t>
        </is>
      </c>
      <c r="K305" t="inlineStr">
        <is>
          <t>202604_LIXIL_サーモスＬ_業務用資料集_完成品価格表.pdf</t>
        </is>
      </c>
      <c r="L305" t="inlineStr">
        <is>
          <t>https://drive.google.com/file/d/1YUN-mtWYs48YBUHJk0C3vJXnhjyZFHyf/view</t>
        </is>
      </c>
    </row>
    <row r="306">
      <c r="A306" t="inlineStr">
        <is>
          <t>GLMAP-SL-0303</t>
        </is>
      </c>
      <c r="B306" t="n">
        <v>206</v>
      </c>
      <c r="C306" t="inlineStr">
        <is>
          <t>☆</t>
        </is>
      </c>
      <c r="D306" t="n">
        <v>206</v>
      </c>
      <c r="E306" t="n">
        <v>207</v>
      </c>
      <c r="F306" t="inlineStr">
        <is>
          <t>ドア │テラスドア</t>
        </is>
      </c>
      <c r="G306" t="n">
        <v>206</v>
      </c>
      <c r="H306" t="inlineStr">
        <is>
          <t>P206|☆</t>
        </is>
      </c>
      <c r="I306" t="inlineStr">
        <is>
          <t>same_page</t>
        </is>
      </c>
      <c r="J306" t="inlineStr">
        <is>
          <t>同頁凡例へ直接連動</t>
        </is>
      </c>
      <c r="K306" t="inlineStr">
        <is>
          <t>202604_LIXIL_サーモスＬ_業務用資料集_完成品価格表.pdf</t>
        </is>
      </c>
      <c r="L306" t="inlineStr">
        <is>
          <t>https://drive.google.com/file/d/1YUN-mtWYs48YBUHJk0C3vJXnhjyZFHyf/view</t>
        </is>
      </c>
    </row>
    <row r="307">
      <c r="A307" t="inlineStr">
        <is>
          <t>GLMAP-SL-0304</t>
        </is>
      </c>
      <c r="B307" t="n">
        <v>206</v>
      </c>
      <c r="C307" t="inlineStr">
        <is>
          <t>無印</t>
        </is>
      </c>
      <c r="D307" t="n">
        <v>206</v>
      </c>
      <c r="E307" t="n">
        <v>207</v>
      </c>
      <c r="F307" t="inlineStr">
        <is>
          <t>ドア │テラスドア</t>
        </is>
      </c>
      <c r="G307" t="n">
        <v>206</v>
      </c>
      <c r="H307" t="inlineStr">
        <is>
          <t>P206|無印</t>
        </is>
      </c>
      <c r="I307" t="inlineStr">
        <is>
          <t>same_page</t>
        </is>
      </c>
      <c r="J307" t="inlineStr">
        <is>
          <t>同頁凡例へ直接連動</t>
        </is>
      </c>
      <c r="K307" t="inlineStr">
        <is>
          <t>202604_LIXIL_サーモスＬ_業務用資料集_完成品価格表.pdf</t>
        </is>
      </c>
      <c r="L307" t="inlineStr">
        <is>
          <t>https://drive.google.com/file/d/1YUN-mtWYs48YBUHJk0C3vJXnhjyZFHyf/view</t>
        </is>
      </c>
    </row>
    <row r="308">
      <c r="A308" t="inlineStr">
        <is>
          <t>GLMAP-SL-0305</t>
        </is>
      </c>
      <c r="B308" t="n">
        <v>210</v>
      </c>
      <c r="C308" t="inlineStr">
        <is>
          <t>無印</t>
        </is>
      </c>
      <c r="D308" t="n">
        <v>210</v>
      </c>
      <c r="E308" t="n">
        <v>211</v>
      </c>
      <c r="F308" t="inlineStr">
        <is>
          <t>ドア │採風勝手口ドアF S (フラットスライド) / （在来）①</t>
        </is>
      </c>
      <c r="G308" t="n">
        <v>210</v>
      </c>
      <c r="H308" t="inlineStr">
        <is>
          <t>P210|無印</t>
        </is>
      </c>
      <c r="I308" t="inlineStr">
        <is>
          <t>same_page</t>
        </is>
      </c>
      <c r="J308" t="inlineStr">
        <is>
          <t>同頁凡例へ直接連動</t>
        </is>
      </c>
      <c r="K308" t="inlineStr">
        <is>
          <t>202604_LIXIL_サーモスＬ_業務用資料集_完成品価格表.pdf</t>
        </is>
      </c>
      <c r="L308" t="inlineStr">
        <is>
          <t>https://drive.google.com/file/d/1YUN-mtWYs48YBUHJk0C3vJXnhjyZFHyf/view</t>
        </is>
      </c>
    </row>
    <row r="309">
      <c r="A309" t="inlineStr">
        <is>
          <t>GLMAP-SL-0306</t>
        </is>
      </c>
      <c r="B309" t="n">
        <v>211</v>
      </c>
      <c r="C309" t="inlineStr">
        <is>
          <t>無印</t>
        </is>
      </c>
      <c r="D309" t="n">
        <v>210</v>
      </c>
      <c r="E309" t="n">
        <v>211</v>
      </c>
      <c r="F309" t="inlineStr">
        <is>
          <t>ドア │採風勝手口ドアF S (フラットスライド) / （在来）①</t>
        </is>
      </c>
      <c r="G309" t="n">
        <v>211</v>
      </c>
      <c r="H309" t="inlineStr">
        <is>
          <t>P211|無印</t>
        </is>
      </c>
      <c r="I309" t="inlineStr">
        <is>
          <t>same_page</t>
        </is>
      </c>
      <c r="J309" t="inlineStr">
        <is>
          <t>同頁凡例へ直接連動</t>
        </is>
      </c>
      <c r="K309" t="inlineStr">
        <is>
          <t>202604_LIXIL_サーモスＬ_業務用資料集_完成品価格表.pdf</t>
        </is>
      </c>
      <c r="L309" t="inlineStr">
        <is>
          <t>https://drive.google.com/file/d/1YUN-mtWYs48YBUHJk0C3vJXnhjyZFHyf/view</t>
        </is>
      </c>
    </row>
    <row r="310">
      <c r="A310" t="inlineStr">
        <is>
          <t>GLMAP-SL-0307</t>
        </is>
      </c>
      <c r="B310" t="n">
        <v>212</v>
      </c>
      <c r="C310" t="inlineStr">
        <is>
          <t>無印</t>
        </is>
      </c>
      <c r="D310" t="n">
        <v>212</v>
      </c>
      <c r="E310" t="n">
        <v>213</v>
      </c>
      <c r="F310" t="inlineStr">
        <is>
          <t>ドア │採風勝手口ドアF S (フラットスライド) / （在来）②</t>
        </is>
      </c>
      <c r="G310" t="n">
        <v>212</v>
      </c>
      <c r="H310" t="inlineStr">
        <is>
          <t>P212|無印</t>
        </is>
      </c>
      <c r="I310" t="inlineStr">
        <is>
          <t>same_page</t>
        </is>
      </c>
      <c r="J310" t="inlineStr">
        <is>
          <t>同頁凡例へ直接連動</t>
        </is>
      </c>
      <c r="K310" t="inlineStr">
        <is>
          <t>202604_LIXIL_サーモスＬ_業務用資料集_完成品価格表.pdf</t>
        </is>
      </c>
      <c r="L310" t="inlineStr">
        <is>
          <t>https://drive.google.com/file/d/1YUN-mtWYs48YBUHJk0C3vJXnhjyZFHyf/view</t>
        </is>
      </c>
    </row>
    <row r="311">
      <c r="A311" t="inlineStr">
        <is>
          <t>GLMAP-SL-0308</t>
        </is>
      </c>
      <c r="B311" t="n">
        <v>220</v>
      </c>
      <c r="C311" t="inlineStr">
        <is>
          <t>無印</t>
        </is>
      </c>
      <c r="D311" t="n">
        <v>220</v>
      </c>
      <c r="E311" t="n">
        <v>221</v>
      </c>
      <c r="F311" t="inlineStr">
        <is>
          <t>ドア │勝手口ドア</t>
        </is>
      </c>
      <c r="G311" t="n">
        <v>220</v>
      </c>
      <c r="H311" t="inlineStr">
        <is>
          <t>P220|無印</t>
        </is>
      </c>
      <c r="I311" t="inlineStr">
        <is>
          <t>same_page</t>
        </is>
      </c>
      <c r="J311" t="inlineStr">
        <is>
          <t>同頁凡例へ直接連動</t>
        </is>
      </c>
      <c r="K311" t="inlineStr">
        <is>
          <t>202604_LIXIL_サーモスＬ_業務用資料集_完成品価格表.pdf</t>
        </is>
      </c>
      <c r="L311" t="inlineStr">
        <is>
          <t>https://drive.google.com/file/d/1YUN-mtWYs48YBUHJk0C3vJXnhjyZFHyf/view</t>
        </is>
      </c>
    </row>
  </sheetData>
  <mergeCells count="2">
    <mergeCell ref="A2:L2"/>
    <mergeCell ref="A1:L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36" t="inlineStr">
        <is>
          <t>高所用横すべり出し窓 操作条件｜サーモスL v0.6</t>
        </is>
      </c>
      <c r="B1" s="41" t="n"/>
      <c r="C1" s="41" t="n"/>
      <c r="D1" s="41" t="n"/>
      <c r="E1" s="41" t="n"/>
      <c r="F1" s="41" t="n"/>
      <c r="G1" s="41" t="n"/>
      <c r="H1" s="41" t="n"/>
      <c r="I1" s="41" t="n"/>
      <c r="J1" s="41" t="n"/>
      <c r="K1" s="41" t="n"/>
      <c r="L1" s="41" t="n"/>
    </row>
    <row r="2">
      <c r="A2" s="44" t="inlineStr">
        <is>
          <t>手動3方式はサッシH700mm未満に取付不可。チェーン長は床からサッシH下端までの高さで選定。</t>
        </is>
      </c>
      <c r="B2" s="41" t="n"/>
      <c r="C2" s="41" t="n"/>
      <c r="D2" s="41" t="n"/>
      <c r="E2" s="41" t="n"/>
      <c r="F2" s="41" t="n"/>
      <c r="G2" s="41" t="n"/>
      <c r="H2" s="41" t="n"/>
      <c r="I2" s="41" t="n"/>
      <c r="J2" s="41" t="n"/>
      <c r="K2" s="41" t="n"/>
      <c r="L2" s="41" t="n"/>
    </row>
    <row r="3">
      <c r="A3" s="127" t="inlineStr">
        <is>
          <t>rule_id</t>
        </is>
      </c>
      <c r="B3" s="127" t="inlineStr">
        <is>
          <t>spec_id</t>
        </is>
      </c>
      <c r="C3" s="127" t="inlineStr">
        <is>
          <t>操作方式</t>
        </is>
      </c>
      <c r="D3" s="127" t="inlineStr">
        <is>
          <t>条件分類</t>
        </is>
      </c>
      <c r="E3" s="127" t="inlineStr">
        <is>
          <t>下限(mm)</t>
        </is>
      </c>
      <c r="F3" s="127" t="inlineStr">
        <is>
          <t>上限未満(mm)</t>
        </is>
      </c>
      <c r="G3" s="127" t="inlineStr">
        <is>
          <t>選定値</t>
        </is>
      </c>
      <c r="H3" s="127" t="inlineStr">
        <is>
          <t>判定</t>
        </is>
      </c>
      <c r="I3" s="127" t="inlineStr">
        <is>
          <t>有効</t>
        </is>
      </c>
      <c r="J3" s="127" t="inlineStr">
        <is>
          <t>出典</t>
        </is>
      </c>
      <c r="K3" s="127" t="inlineStr">
        <is>
          <t>アプリ動作</t>
        </is>
      </c>
      <c r="L3" s="127" t="inlineStr">
        <is>
          <t>備考</t>
        </is>
      </c>
    </row>
    <row r="4">
      <c r="A4" t="inlineStr">
        <is>
          <t>KOP-SL-001</t>
        </is>
      </c>
      <c r="B4" t="inlineStr">
        <is>
          <t>SP-SL-KOSHO-HANDLE</t>
        </is>
      </c>
      <c r="C4" t="inlineStr">
        <is>
          <t>オペレーターハンドル</t>
        </is>
      </c>
      <c r="D4" t="inlineStr">
        <is>
          <t>サッシH</t>
        </is>
      </c>
      <c r="E4" t="n">
        <v>700</v>
      </c>
      <c r="H4" t="inlineStr">
        <is>
          <t>H&gt;=700のみ可</t>
        </is>
      </c>
      <c r="I4" t="b">
        <v>1</v>
      </c>
      <c r="J4" t="inlineStr">
        <is>
          <t>202604価格表 P254</t>
        </is>
      </c>
      <c r="K4" t="inlineStr">
        <is>
          <t>H&lt;700で非表示</t>
        </is>
      </c>
    </row>
    <row r="5">
      <c r="A5" t="inlineStr">
        <is>
          <t>KOP-SL-002</t>
        </is>
      </c>
      <c r="B5" t="inlineStr">
        <is>
          <t>SP-SL-KOSHO-SINGLE</t>
        </is>
      </c>
      <c r="C5" t="inlineStr">
        <is>
          <t>シングルループチェーン</t>
        </is>
      </c>
      <c r="D5" t="inlineStr">
        <is>
          <t>サッシH</t>
        </is>
      </c>
      <c r="E5" t="n">
        <v>700</v>
      </c>
      <c r="H5" t="inlineStr">
        <is>
          <t>H&gt;=700のみ可</t>
        </is>
      </c>
      <c r="I5" t="b">
        <v>1</v>
      </c>
      <c r="J5" t="inlineStr">
        <is>
          <t>P254</t>
        </is>
      </c>
      <c r="K5" t="inlineStr">
        <is>
          <t>H&lt;700で非表示</t>
        </is>
      </c>
    </row>
    <row r="6">
      <c r="A6" t="inlineStr">
        <is>
          <t>KOP-SL-003</t>
        </is>
      </c>
      <c r="B6" t="inlineStr">
        <is>
          <t>SP-SL-KOSHO-DOUBLE</t>
        </is>
      </c>
      <c r="C6" t="inlineStr">
        <is>
          <t>ダブルループチェーン</t>
        </is>
      </c>
      <c r="D6" t="inlineStr">
        <is>
          <t>サッシH</t>
        </is>
      </c>
      <c r="E6" t="n">
        <v>700</v>
      </c>
      <c r="H6" t="inlineStr">
        <is>
          <t>H&gt;=700のみ可</t>
        </is>
      </c>
      <c r="I6" t="b">
        <v>1</v>
      </c>
      <c r="J6" t="inlineStr">
        <is>
          <t>P254</t>
        </is>
      </c>
      <c r="K6" t="inlineStr">
        <is>
          <t>H&lt;700で非表示</t>
        </is>
      </c>
    </row>
    <row r="7">
      <c r="A7" t="inlineStr">
        <is>
          <t>KOP-SL-004</t>
        </is>
      </c>
      <c r="B7" t="inlineStr">
        <is>
          <t>SP-SL-KOSHO-ELECTRIC</t>
        </is>
      </c>
      <c r="C7" t="inlineStr">
        <is>
          <t>電動ユニット</t>
        </is>
      </c>
      <c r="D7" t="inlineStr">
        <is>
          <t>環境</t>
        </is>
      </c>
      <c r="G7" t="inlineStr">
        <is>
          <t>浴室・高温多湿</t>
        </is>
      </c>
      <c r="H7" t="inlineStr">
        <is>
          <t>使用不可</t>
        </is>
      </c>
      <c r="I7" t="b">
        <v>1</v>
      </c>
      <c r="J7" t="inlineStr">
        <is>
          <t>商品カタログ</t>
        </is>
      </c>
      <c r="K7" t="inlineStr">
        <is>
          <t>該当環境でERROR</t>
        </is>
      </c>
    </row>
    <row r="8">
      <c r="A8" t="inlineStr">
        <is>
          <t>KOP-SL-005</t>
        </is>
      </c>
      <c r="B8" t="inlineStr">
        <is>
          <t>SP-SL-KOSHO-SINGLE</t>
        </is>
      </c>
      <c r="C8" t="inlineStr">
        <is>
          <t>シングルループチェーン</t>
        </is>
      </c>
      <c r="D8" t="inlineStr">
        <is>
          <t>床→サッシH下端</t>
        </is>
      </c>
      <c r="E8" t="n">
        <v>1450</v>
      </c>
      <c r="F8" t="n">
        <v>1700</v>
      </c>
      <c r="G8" t="inlineStr">
        <is>
          <t>1.00m</t>
        </is>
      </c>
      <c r="H8" t="inlineStr">
        <is>
          <t>範囲一致</t>
        </is>
      </c>
      <c r="I8" t="b">
        <v>1</v>
      </c>
      <c r="J8" t="inlineStr">
        <is>
          <t>商品カタログ</t>
        </is>
      </c>
      <c r="K8" t="inlineStr">
        <is>
          <t>取付高さから自動選定</t>
        </is>
      </c>
    </row>
    <row r="9">
      <c r="A9" t="inlineStr">
        <is>
          <t>KOP-SL-006</t>
        </is>
      </c>
      <c r="B9" t="inlineStr">
        <is>
          <t>SP-SL-KOSHO-SINGLE</t>
        </is>
      </c>
      <c r="C9" t="inlineStr">
        <is>
          <t>シングルループチェーン</t>
        </is>
      </c>
      <c r="D9" t="inlineStr">
        <is>
          <t>床→サッシH下端</t>
        </is>
      </c>
      <c r="E9" t="n">
        <v>1700</v>
      </c>
      <c r="F9" t="n">
        <v>1950</v>
      </c>
      <c r="G9" t="inlineStr">
        <is>
          <t>1.25m</t>
        </is>
      </c>
      <c r="H9" t="inlineStr">
        <is>
          <t>範囲一致</t>
        </is>
      </c>
      <c r="I9" t="b">
        <v>1</v>
      </c>
      <c r="J9" t="inlineStr">
        <is>
          <t>商品カタログ</t>
        </is>
      </c>
      <c r="K9" t="inlineStr">
        <is>
          <t>取付高さから自動選定</t>
        </is>
      </c>
    </row>
    <row r="10">
      <c r="A10" t="inlineStr">
        <is>
          <t>KOP-SL-007</t>
        </is>
      </c>
      <c r="B10" t="inlineStr">
        <is>
          <t>SP-SL-KOSHO-SINGLE</t>
        </is>
      </c>
      <c r="C10" t="inlineStr">
        <is>
          <t>シングルループチェーン</t>
        </is>
      </c>
      <c r="D10" t="inlineStr">
        <is>
          <t>床→サッシH下端</t>
        </is>
      </c>
      <c r="E10" t="n">
        <v>1950</v>
      </c>
      <c r="F10" t="n">
        <v>2200</v>
      </c>
      <c r="G10" t="inlineStr">
        <is>
          <t>1.50m</t>
        </is>
      </c>
      <c r="H10" t="inlineStr">
        <is>
          <t>範囲一致</t>
        </is>
      </c>
      <c r="I10" t="b">
        <v>1</v>
      </c>
      <c r="J10" t="inlineStr">
        <is>
          <t>商品カタログ</t>
        </is>
      </c>
      <c r="K10" t="inlineStr">
        <is>
          <t>取付高さから自動選定</t>
        </is>
      </c>
    </row>
    <row r="11">
      <c r="A11" t="inlineStr">
        <is>
          <t>KOP-SL-008</t>
        </is>
      </c>
      <c r="B11" t="inlineStr">
        <is>
          <t>SP-SL-KOSHO-SINGLE</t>
        </is>
      </c>
      <c r="C11" t="inlineStr">
        <is>
          <t>シングルループチェーン</t>
        </is>
      </c>
      <c r="D11" t="inlineStr">
        <is>
          <t>床→サッシH下端</t>
        </is>
      </c>
      <c r="E11" t="n">
        <v>2200</v>
      </c>
      <c r="F11" t="n">
        <v>2750</v>
      </c>
      <c r="G11" t="inlineStr">
        <is>
          <t>1.75m</t>
        </is>
      </c>
      <c r="H11" t="inlineStr">
        <is>
          <t>範囲一致</t>
        </is>
      </c>
      <c r="I11" t="b">
        <v>1</v>
      </c>
      <c r="J11" t="inlineStr">
        <is>
          <t>商品カタログ</t>
        </is>
      </c>
      <c r="K11" t="inlineStr">
        <is>
          <t>取付高さから自動選定</t>
        </is>
      </c>
    </row>
    <row r="12">
      <c r="A12" t="inlineStr">
        <is>
          <t>KOP-SL-009</t>
        </is>
      </c>
      <c r="B12" t="inlineStr">
        <is>
          <t>SP-SL-KOSHO-SINGLE</t>
        </is>
      </c>
      <c r="C12" t="inlineStr">
        <is>
          <t>シングルループチェーン</t>
        </is>
      </c>
      <c r="D12" t="inlineStr">
        <is>
          <t>床→サッシH下端</t>
        </is>
      </c>
      <c r="E12" t="n">
        <v>2750</v>
      </c>
      <c r="F12" t="n">
        <v>3250</v>
      </c>
      <c r="G12" t="inlineStr">
        <is>
          <t>2.25m</t>
        </is>
      </c>
      <c r="H12" t="inlineStr">
        <is>
          <t>範囲一致</t>
        </is>
      </c>
      <c r="I12" t="b">
        <v>1</v>
      </c>
      <c r="J12" t="inlineStr">
        <is>
          <t>商品カタログ</t>
        </is>
      </c>
      <c r="K12" t="inlineStr">
        <is>
          <t>取付高さから自動選定</t>
        </is>
      </c>
    </row>
    <row r="13">
      <c r="A13" t="inlineStr">
        <is>
          <t>KOP-SL-010</t>
        </is>
      </c>
      <c r="B13" t="inlineStr">
        <is>
          <t>SP-SL-KOSHO-SINGLE</t>
        </is>
      </c>
      <c r="C13" t="inlineStr">
        <is>
          <t>シングルループチェーン</t>
        </is>
      </c>
      <c r="D13" t="inlineStr">
        <is>
          <t>床→サッシH下端</t>
        </is>
      </c>
      <c r="E13" t="n">
        <v>3250</v>
      </c>
      <c r="F13" t="n">
        <v>3750</v>
      </c>
      <c r="G13" t="inlineStr">
        <is>
          <t>2.75m</t>
        </is>
      </c>
      <c r="H13" t="inlineStr">
        <is>
          <t>範囲一致</t>
        </is>
      </c>
      <c r="I13" t="b">
        <v>1</v>
      </c>
      <c r="J13" t="inlineStr">
        <is>
          <t>商品カタログ</t>
        </is>
      </c>
      <c r="K13" t="inlineStr">
        <is>
          <t>取付高さから自動選定</t>
        </is>
      </c>
    </row>
    <row r="14">
      <c r="A14" t="inlineStr">
        <is>
          <t>KOP-SL-011</t>
        </is>
      </c>
      <c r="B14" t="inlineStr">
        <is>
          <t>SP-SL-KOSHO-SINGLE</t>
        </is>
      </c>
      <c r="C14" t="inlineStr">
        <is>
          <t>シングルループチェーン</t>
        </is>
      </c>
      <c r="D14" t="inlineStr">
        <is>
          <t>床→サッシH下端</t>
        </is>
      </c>
      <c r="E14" t="n">
        <v>3750</v>
      </c>
      <c r="F14" t="n">
        <v>4300</v>
      </c>
      <c r="G14" t="inlineStr">
        <is>
          <t>3.25m</t>
        </is>
      </c>
      <c r="H14" t="inlineStr">
        <is>
          <t>範囲一致</t>
        </is>
      </c>
      <c r="I14" t="b">
        <v>1</v>
      </c>
      <c r="J14" t="inlineStr">
        <is>
          <t>商品カタログ</t>
        </is>
      </c>
      <c r="K14" t="inlineStr">
        <is>
          <t>取付高さから自動選定</t>
        </is>
      </c>
    </row>
    <row r="15">
      <c r="A15" t="inlineStr">
        <is>
          <t>KOP-SL-012</t>
        </is>
      </c>
      <c r="B15" t="inlineStr">
        <is>
          <t>SP-SL-KOSHO-SINGLE</t>
        </is>
      </c>
      <c r="C15" t="inlineStr">
        <is>
          <t>シングルループチェーン</t>
        </is>
      </c>
      <c r="D15" t="inlineStr">
        <is>
          <t>床→サッシH下端</t>
        </is>
      </c>
      <c r="E15" t="n">
        <v>4300</v>
      </c>
      <c r="F15" t="n">
        <v>4800</v>
      </c>
      <c r="G15" t="inlineStr">
        <is>
          <t>3.75m</t>
        </is>
      </c>
      <c r="H15" t="inlineStr">
        <is>
          <t>範囲一致</t>
        </is>
      </c>
      <c r="I15" t="b">
        <v>1</v>
      </c>
      <c r="J15" t="inlineStr">
        <is>
          <t>商品カタログ</t>
        </is>
      </c>
      <c r="K15" t="inlineStr">
        <is>
          <t>取付高さから自動選定</t>
        </is>
      </c>
    </row>
    <row r="16">
      <c r="A16" t="inlineStr">
        <is>
          <t>KOP-SL-013</t>
        </is>
      </c>
      <c r="B16" t="inlineStr">
        <is>
          <t>SP-SL-KOSHO-DOUBLE</t>
        </is>
      </c>
      <c r="C16" t="inlineStr">
        <is>
          <t>ダブルループチェーン</t>
        </is>
      </c>
      <c r="D16" t="inlineStr">
        <is>
          <t>床→サッシH下端</t>
        </is>
      </c>
      <c r="E16" t="n">
        <v>1750</v>
      </c>
      <c r="F16" t="n">
        <v>2150</v>
      </c>
      <c r="G16" t="inlineStr">
        <is>
          <t>1.25m</t>
        </is>
      </c>
      <c r="H16" t="inlineStr">
        <is>
          <t>範囲一致</t>
        </is>
      </c>
      <c r="I16" t="b">
        <v>1</v>
      </c>
      <c r="J16" t="inlineStr">
        <is>
          <t>商品カタログ</t>
        </is>
      </c>
      <c r="K16" t="inlineStr">
        <is>
          <t>取付高さから自動選定</t>
        </is>
      </c>
      <c r="L16" t="inlineStr">
        <is>
          <t>斜め操作約20°以上はシングル/電動推奨</t>
        </is>
      </c>
    </row>
    <row r="17">
      <c r="A17" t="inlineStr">
        <is>
          <t>KOP-SL-014</t>
        </is>
      </c>
      <c r="B17" t="inlineStr">
        <is>
          <t>SP-SL-KOSHO-DOUBLE</t>
        </is>
      </c>
      <c r="C17" t="inlineStr">
        <is>
          <t>ダブルループチェーン</t>
        </is>
      </c>
      <c r="D17" t="inlineStr">
        <is>
          <t>床→サッシH下端</t>
        </is>
      </c>
      <c r="E17" t="n">
        <v>2150</v>
      </c>
      <c r="F17" t="n">
        <v>2650</v>
      </c>
      <c r="G17" t="inlineStr">
        <is>
          <t>1.75m</t>
        </is>
      </c>
      <c r="H17" t="inlineStr">
        <is>
          <t>範囲一致</t>
        </is>
      </c>
      <c r="I17" t="b">
        <v>1</v>
      </c>
      <c r="J17" t="inlineStr">
        <is>
          <t>商品カタログ</t>
        </is>
      </c>
      <c r="K17" t="inlineStr">
        <is>
          <t>取付高さから自動選定</t>
        </is>
      </c>
      <c r="L17" t="inlineStr">
        <is>
          <t>斜め操作約20°以上はシングル/電動推奨</t>
        </is>
      </c>
    </row>
    <row r="18">
      <c r="A18" t="inlineStr">
        <is>
          <t>KOP-SL-015</t>
        </is>
      </c>
      <c r="B18" t="inlineStr">
        <is>
          <t>SP-SL-KOSHO-DOUBLE</t>
        </is>
      </c>
      <c r="C18" t="inlineStr">
        <is>
          <t>ダブルループチェーン</t>
        </is>
      </c>
      <c r="D18" t="inlineStr">
        <is>
          <t>床→サッシH下端</t>
        </is>
      </c>
      <c r="E18" t="n">
        <v>2650</v>
      </c>
      <c r="F18" t="n">
        <v>3150</v>
      </c>
      <c r="G18" t="inlineStr">
        <is>
          <t>2.25m</t>
        </is>
      </c>
      <c r="H18" t="inlineStr">
        <is>
          <t>範囲一致</t>
        </is>
      </c>
      <c r="I18" t="b">
        <v>1</v>
      </c>
      <c r="J18" t="inlineStr">
        <is>
          <t>商品カタログ</t>
        </is>
      </c>
      <c r="K18" t="inlineStr">
        <is>
          <t>取付高さから自動選定</t>
        </is>
      </c>
      <c r="L18" t="inlineStr">
        <is>
          <t>斜め操作約20°以上はシングル/電動推奨</t>
        </is>
      </c>
    </row>
    <row r="19">
      <c r="A19" t="inlineStr">
        <is>
          <t>KOP-SL-016</t>
        </is>
      </c>
      <c r="B19" t="inlineStr">
        <is>
          <t>SP-SL-KOSHO-DOUBLE</t>
        </is>
      </c>
      <c r="C19" t="inlineStr">
        <is>
          <t>ダブルループチェーン</t>
        </is>
      </c>
      <c r="D19" t="inlineStr">
        <is>
          <t>床→サッシH下端</t>
        </is>
      </c>
      <c r="E19" t="n">
        <v>3150</v>
      </c>
      <c r="F19" t="n">
        <v>3650</v>
      </c>
      <c r="G19" t="inlineStr">
        <is>
          <t>2.75m</t>
        </is>
      </c>
      <c r="H19" t="inlineStr">
        <is>
          <t>範囲一致</t>
        </is>
      </c>
      <c r="I19" t="b">
        <v>1</v>
      </c>
      <c r="J19" t="inlineStr">
        <is>
          <t>商品カタログ</t>
        </is>
      </c>
      <c r="K19" t="inlineStr">
        <is>
          <t>取付高さから自動選定</t>
        </is>
      </c>
      <c r="L19" t="inlineStr">
        <is>
          <t>斜め操作約20°以上はシングル/電動推奨</t>
        </is>
      </c>
    </row>
    <row r="20">
      <c r="A20" t="inlineStr">
        <is>
          <t>KOP-SL-017</t>
        </is>
      </c>
      <c r="B20" t="inlineStr">
        <is>
          <t>SP-SL-KOSHO-DOUBLE</t>
        </is>
      </c>
      <c r="C20" t="inlineStr">
        <is>
          <t>ダブルループチェーン</t>
        </is>
      </c>
      <c r="D20" t="inlineStr">
        <is>
          <t>床→サッシH下端</t>
        </is>
      </c>
      <c r="E20" t="n">
        <v>3650</v>
      </c>
      <c r="F20" t="n">
        <v>4150</v>
      </c>
      <c r="G20" t="inlineStr">
        <is>
          <t>3.25m</t>
        </is>
      </c>
      <c r="H20" t="inlineStr">
        <is>
          <t>範囲一致</t>
        </is>
      </c>
      <c r="I20" t="b">
        <v>1</v>
      </c>
      <c r="J20" t="inlineStr">
        <is>
          <t>商品カタログ</t>
        </is>
      </c>
      <c r="K20" t="inlineStr">
        <is>
          <t>取付高さから自動選定</t>
        </is>
      </c>
      <c r="L20" t="inlineStr">
        <is>
          <t>斜め操作約20°以上はシングル/電動推奨</t>
        </is>
      </c>
    </row>
    <row r="21">
      <c r="A21" t="inlineStr">
        <is>
          <t>KOP-SL-018</t>
        </is>
      </c>
      <c r="B21" t="inlineStr">
        <is>
          <t>SP-SL-KOSHO-DOUBLE</t>
        </is>
      </c>
      <c r="C21" t="inlineStr">
        <is>
          <t>ダブルループチェーン</t>
        </is>
      </c>
      <c r="D21" t="inlineStr">
        <is>
          <t>床→サッシH下端</t>
        </is>
      </c>
      <c r="E21" t="n">
        <v>4150</v>
      </c>
      <c r="F21" t="n">
        <v>4650</v>
      </c>
      <c r="G21" t="inlineStr">
        <is>
          <t>3.75m</t>
        </is>
      </c>
      <c r="H21" t="inlineStr">
        <is>
          <t>範囲一致</t>
        </is>
      </c>
      <c r="I21" t="b">
        <v>1</v>
      </c>
      <c r="J21" t="inlineStr">
        <is>
          <t>商品カタログ</t>
        </is>
      </c>
      <c r="K21" t="inlineStr">
        <is>
          <t>取付高さから自動選定</t>
        </is>
      </c>
      <c r="L21" t="inlineStr">
        <is>
          <t>斜め操作約20°以上はシングル/電動推奨</t>
        </is>
      </c>
    </row>
    <row r="22">
      <c r="A22" t="inlineStr">
        <is>
          <t>KOP-SL-019</t>
        </is>
      </c>
      <c r="B22" t="inlineStr">
        <is>
          <t>SP-SL-KOSHO-DOUBLE</t>
        </is>
      </c>
      <c r="C22" t="inlineStr">
        <is>
          <t>ダブルループチェーン</t>
        </is>
      </c>
      <c r="D22" t="inlineStr">
        <is>
          <t>床→サッシH下端</t>
        </is>
      </c>
      <c r="E22" t="n">
        <v>4650</v>
      </c>
      <c r="F22" t="n">
        <v>5150</v>
      </c>
      <c r="G22" t="inlineStr">
        <is>
          <t>4.25m</t>
        </is>
      </c>
      <c r="H22" t="inlineStr">
        <is>
          <t>範囲一致</t>
        </is>
      </c>
      <c r="I22" t="b">
        <v>1</v>
      </c>
      <c r="J22" t="inlineStr">
        <is>
          <t>商品カタログ</t>
        </is>
      </c>
      <c r="K22" t="inlineStr">
        <is>
          <t>取付高さから自動選定</t>
        </is>
      </c>
      <c r="L22" t="inlineStr">
        <is>
          <t>斜め操作約20°以上はシングル/電動推奨</t>
        </is>
      </c>
    </row>
    <row r="23">
      <c r="A23" t="inlineStr">
        <is>
          <t>KOP-SL-020</t>
        </is>
      </c>
      <c r="B23" t="inlineStr">
        <is>
          <t>SP-SL-KOSHO-DOUBLE</t>
        </is>
      </c>
      <c r="C23" t="inlineStr">
        <is>
          <t>ダブルループチェーン</t>
        </is>
      </c>
      <c r="D23" t="inlineStr">
        <is>
          <t>床→サッシH下端</t>
        </is>
      </c>
      <c r="E23" t="n">
        <v>5150</v>
      </c>
      <c r="F23" t="n">
        <v>5650</v>
      </c>
      <c r="G23" t="inlineStr">
        <is>
          <t>4.75m</t>
        </is>
      </c>
      <c r="H23" t="inlineStr">
        <is>
          <t>範囲一致</t>
        </is>
      </c>
      <c r="I23" t="b">
        <v>1</v>
      </c>
      <c r="J23" t="inlineStr">
        <is>
          <t>商品カタログ</t>
        </is>
      </c>
      <c r="K23" t="inlineStr">
        <is>
          <t>取付高さから自動選定</t>
        </is>
      </c>
      <c r="L23" t="inlineStr">
        <is>
          <t>斜め操作約20°以上はシングル/電動推奨</t>
        </is>
      </c>
    </row>
  </sheetData>
  <mergeCells count="2">
    <mergeCell ref="A2:L2"/>
    <mergeCell ref="A1:L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N147"/>
  <sheetViews>
    <sheetView workbookViewId="0">
      <selection activeCell="A1" sqref="A1"/>
    </sheetView>
  </sheetViews>
  <sheetFormatPr baseColWidth="8" defaultRowHeight="15"/>
  <sheetData>
    <row r="1">
      <c r="A1" s="236" t="inlineStr">
        <is>
          <t>高所用横すべり出し窓 操作方式×規格サイズ｜サーモスL v0.6</t>
        </is>
      </c>
      <c r="B1" s="41" t="n"/>
      <c r="C1" s="41" t="n"/>
      <c r="D1" s="41" t="n"/>
      <c r="E1" s="41" t="n"/>
      <c r="F1" s="41" t="n"/>
      <c r="G1" s="41" t="n"/>
      <c r="H1" s="41" t="n"/>
      <c r="I1" s="41" t="n"/>
      <c r="J1" s="41" t="n"/>
      <c r="K1" s="41" t="n"/>
      <c r="L1" s="41" t="n"/>
      <c r="M1" s="41" t="n"/>
      <c r="N1" s="41" t="n"/>
    </row>
    <row r="2">
      <c r="A2" s="44" t="inlineStr">
        <is>
          <t>36規格×4操作方式=144行。手動3方式はH700mm以上のみ、電動は現行規格サイズ全件を候補。</t>
        </is>
      </c>
      <c r="B2" s="41" t="n"/>
      <c r="C2" s="41" t="n"/>
      <c r="D2" s="41" t="n"/>
      <c r="E2" s="41" t="n"/>
      <c r="F2" s="41" t="n"/>
      <c r="G2" s="41" t="n"/>
      <c r="H2" s="41" t="n"/>
      <c r="I2" s="41" t="n"/>
      <c r="J2" s="41" t="n"/>
      <c r="K2" s="41" t="n"/>
      <c r="L2" s="41" t="n"/>
      <c r="M2" s="41" t="n"/>
      <c r="N2" s="41" t="n"/>
    </row>
    <row r="3">
      <c r="A3" s="127" t="inlineStr">
        <is>
          <t>op_size_id</t>
        </is>
      </c>
      <c r="B3" s="127" t="inlineStr">
        <is>
          <t>size_id</t>
        </is>
      </c>
      <c r="C3" s="127" t="inlineStr">
        <is>
          <t>呼称</t>
        </is>
      </c>
      <c r="D3" s="127" t="inlineStr">
        <is>
          <t>W(mm)</t>
        </is>
      </c>
      <c r="E3" s="127" t="inlineStr">
        <is>
          <t>H(mm)</t>
        </is>
      </c>
      <c r="F3" s="127" t="inlineStr">
        <is>
          <t>spec_id</t>
        </is>
      </c>
      <c r="G3" s="127" t="inlineStr">
        <is>
          <t>操作方式</t>
        </is>
      </c>
      <c r="H3" s="127" t="inlineStr">
        <is>
          <t>設定可</t>
        </is>
      </c>
      <c r="I3" s="127" t="inlineStr">
        <is>
          <t>判定理由</t>
        </is>
      </c>
      <c r="J3" s="127" t="inlineStr">
        <is>
          <t>登録状態</t>
        </is>
      </c>
      <c r="K3" s="127" t="inlineStr">
        <is>
          <t>誌面ページ</t>
        </is>
      </c>
      <c r="L3" s="127" t="inlineStr">
        <is>
          <t>出典</t>
        </is>
      </c>
      <c r="M3" s="127" t="inlineStr">
        <is>
          <t>一次資料URL</t>
        </is>
      </c>
      <c r="N3" s="127" t="inlineStr">
        <is>
          <t>アプリ動作</t>
        </is>
      </c>
    </row>
    <row r="4">
      <c r="A4" t="inlineStr">
        <is>
          <t>KOSZ-SL-0001</t>
        </is>
      </c>
      <c r="B4" t="inlineStr">
        <is>
          <t>SZ-SL-000910</t>
        </is>
      </c>
      <c r="C4" t="inlineStr">
        <is>
          <t>069023</t>
        </is>
      </c>
      <c r="D4" t="n">
        <v>730</v>
      </c>
      <c r="E4" t="n">
        <v>300</v>
      </c>
      <c r="F4" t="inlineStr">
        <is>
          <t>SP-SL-KOSHO-HANDLE</t>
        </is>
      </c>
      <c r="G4" t="inlineStr">
        <is>
          <t>オペレーターハンドル</t>
        </is>
      </c>
      <c r="H4" t="b">
        <v>0</v>
      </c>
      <c r="I4" t="inlineStr">
        <is>
          <t>H&lt;700：取付不可</t>
        </is>
      </c>
      <c r="J4" t="inlineStr">
        <is>
          <t>2026価格表確認済み</t>
        </is>
      </c>
      <c r="K4" t="n">
        <v>138</v>
      </c>
      <c r="L4" t="inlineStr">
        <is>
          <t>202604完成品価格表 P138-141/P254</t>
        </is>
      </c>
      <c r="M4" t="inlineStr">
        <is>
          <t>https://drive.google.com/file/d/1YUN-mtWYs48YBUHJk0C3vJXnhjyZFHyf/view</t>
        </is>
      </c>
      <c r="N4" t="inlineStr">
        <is>
          <t>非表示</t>
        </is>
      </c>
    </row>
    <row r="5">
      <c r="A5" t="inlineStr">
        <is>
          <t>KOSZ-SL-0002</t>
        </is>
      </c>
      <c r="B5" t="inlineStr">
        <is>
          <t>SZ-SL-000910</t>
        </is>
      </c>
      <c r="C5" t="inlineStr">
        <is>
          <t>069023</t>
        </is>
      </c>
      <c r="D5" t="n">
        <v>730</v>
      </c>
      <c r="E5" t="n">
        <v>300</v>
      </c>
      <c r="F5" t="inlineStr">
        <is>
          <t>SP-SL-KOSHO-SINGLE</t>
        </is>
      </c>
      <c r="G5" t="inlineStr">
        <is>
          <t>シングルループチェーン</t>
        </is>
      </c>
      <c r="H5" t="b">
        <v>0</v>
      </c>
      <c r="I5" t="inlineStr">
        <is>
          <t>H&lt;700：取付不可</t>
        </is>
      </c>
      <c r="J5" t="inlineStr">
        <is>
          <t>2026価格表確認済み</t>
        </is>
      </c>
      <c r="K5" t="n">
        <v>138</v>
      </c>
      <c r="L5" t="inlineStr">
        <is>
          <t>202604完成品価格表 P138-141/P254</t>
        </is>
      </c>
      <c r="M5" t="inlineStr">
        <is>
          <t>https://drive.google.com/file/d/1YUN-mtWYs48YBUHJk0C3vJXnhjyZFHyf/view</t>
        </is>
      </c>
      <c r="N5" t="inlineStr">
        <is>
          <t>非表示</t>
        </is>
      </c>
    </row>
    <row r="6">
      <c r="A6" t="inlineStr">
        <is>
          <t>KOSZ-SL-0003</t>
        </is>
      </c>
      <c r="B6" t="inlineStr">
        <is>
          <t>SZ-SL-000910</t>
        </is>
      </c>
      <c r="C6" t="inlineStr">
        <is>
          <t>069023</t>
        </is>
      </c>
      <c r="D6" t="n">
        <v>730</v>
      </c>
      <c r="E6" t="n">
        <v>300</v>
      </c>
      <c r="F6" t="inlineStr">
        <is>
          <t>SP-SL-KOSHO-DOUBLE</t>
        </is>
      </c>
      <c r="G6" t="inlineStr">
        <is>
          <t>ダブルループチェーン</t>
        </is>
      </c>
      <c r="H6" t="b">
        <v>0</v>
      </c>
      <c r="I6" t="inlineStr">
        <is>
          <t>H&lt;700：取付不可</t>
        </is>
      </c>
      <c r="J6" t="inlineStr">
        <is>
          <t>2026価格表確認済み</t>
        </is>
      </c>
      <c r="K6" t="n">
        <v>138</v>
      </c>
      <c r="L6" t="inlineStr">
        <is>
          <t>202604完成品価格表 P138-141/P254</t>
        </is>
      </c>
      <c r="M6" t="inlineStr">
        <is>
          <t>https://drive.google.com/file/d/1YUN-mtWYs48YBUHJk0C3vJXnhjyZFHyf/view</t>
        </is>
      </c>
      <c r="N6" t="inlineStr">
        <is>
          <t>非表示</t>
        </is>
      </c>
    </row>
    <row r="7">
      <c r="A7" t="inlineStr">
        <is>
          <t>KOSZ-SL-0004</t>
        </is>
      </c>
      <c r="B7" t="inlineStr">
        <is>
          <t>SZ-SL-000910</t>
        </is>
      </c>
      <c r="C7" t="inlineStr">
        <is>
          <t>069023</t>
        </is>
      </c>
      <c r="D7" t="n">
        <v>730</v>
      </c>
      <c r="E7" t="n">
        <v>300</v>
      </c>
      <c r="F7" t="inlineStr">
        <is>
          <t>SP-SL-KOSHO-ELECTRIC</t>
        </is>
      </c>
      <c r="G7" t="inlineStr">
        <is>
          <t>電動ユニット</t>
        </is>
      </c>
      <c r="H7" t="b">
        <v>1</v>
      </c>
      <c r="I7" t="inlineStr">
        <is>
          <t>現行規格サイズ・電動候補</t>
        </is>
      </c>
      <c r="J7" t="inlineStr">
        <is>
          <t>2026価格表確認済み</t>
        </is>
      </c>
      <c r="K7" t="n">
        <v>138</v>
      </c>
      <c r="L7" t="inlineStr">
        <is>
          <t>202604完成品価格表 P138-141/P254</t>
        </is>
      </c>
      <c r="M7" t="inlineStr">
        <is>
          <t>https://drive.google.com/file/d/1YUN-mtWYs48YBUHJk0C3vJXnhjyZFHyf/view</t>
        </is>
      </c>
      <c r="N7" t="inlineStr">
        <is>
          <t>候補表示</t>
        </is>
      </c>
    </row>
    <row r="8">
      <c r="A8" t="inlineStr">
        <is>
          <t>KOSZ-SL-0005</t>
        </is>
      </c>
      <c r="B8" t="inlineStr">
        <is>
          <t>SZ-SL-000911</t>
        </is>
      </c>
      <c r="C8" t="inlineStr">
        <is>
          <t>069028</t>
        </is>
      </c>
      <c r="D8" t="n">
        <v>730</v>
      </c>
      <c r="E8" t="n">
        <v>350</v>
      </c>
      <c r="F8" t="inlineStr">
        <is>
          <t>SP-SL-KOSHO-HANDLE</t>
        </is>
      </c>
      <c r="G8" t="inlineStr">
        <is>
          <t>オペレーターハンドル</t>
        </is>
      </c>
      <c r="H8" t="b">
        <v>0</v>
      </c>
      <c r="I8" t="inlineStr">
        <is>
          <t>H&lt;700：取付不可</t>
        </is>
      </c>
      <c r="J8" t="inlineStr">
        <is>
          <t>2026価格表確認済み</t>
        </is>
      </c>
      <c r="K8" t="n">
        <v>138</v>
      </c>
      <c r="L8" t="inlineStr">
        <is>
          <t>202604完成品価格表 P138-141/P254</t>
        </is>
      </c>
      <c r="M8" t="inlineStr">
        <is>
          <t>https://drive.google.com/file/d/1YUN-mtWYs48YBUHJk0C3vJXnhjyZFHyf/view</t>
        </is>
      </c>
      <c r="N8" t="inlineStr">
        <is>
          <t>非表示</t>
        </is>
      </c>
    </row>
    <row r="9">
      <c r="A9" t="inlineStr">
        <is>
          <t>KOSZ-SL-0006</t>
        </is>
      </c>
      <c r="B9" t="inlineStr">
        <is>
          <t>SZ-SL-000911</t>
        </is>
      </c>
      <c r="C9" t="inlineStr">
        <is>
          <t>069028</t>
        </is>
      </c>
      <c r="D9" t="n">
        <v>730</v>
      </c>
      <c r="E9" t="n">
        <v>350</v>
      </c>
      <c r="F9" t="inlineStr">
        <is>
          <t>SP-SL-KOSHO-SINGLE</t>
        </is>
      </c>
      <c r="G9" t="inlineStr">
        <is>
          <t>シングルループチェーン</t>
        </is>
      </c>
      <c r="H9" t="b">
        <v>0</v>
      </c>
      <c r="I9" t="inlineStr">
        <is>
          <t>H&lt;700：取付不可</t>
        </is>
      </c>
      <c r="J9" t="inlineStr">
        <is>
          <t>2026価格表確認済み</t>
        </is>
      </c>
      <c r="K9" t="n">
        <v>138</v>
      </c>
      <c r="L9" t="inlineStr">
        <is>
          <t>202604完成品価格表 P138-141/P254</t>
        </is>
      </c>
      <c r="M9" t="inlineStr">
        <is>
          <t>https://drive.google.com/file/d/1YUN-mtWYs48YBUHJk0C3vJXnhjyZFHyf/view</t>
        </is>
      </c>
      <c r="N9" t="inlineStr">
        <is>
          <t>非表示</t>
        </is>
      </c>
    </row>
    <row r="10">
      <c r="A10" t="inlineStr">
        <is>
          <t>KOSZ-SL-0007</t>
        </is>
      </c>
      <c r="B10" t="inlineStr">
        <is>
          <t>SZ-SL-000911</t>
        </is>
      </c>
      <c r="C10" t="inlineStr">
        <is>
          <t>069028</t>
        </is>
      </c>
      <c r="D10" t="n">
        <v>730</v>
      </c>
      <c r="E10" t="n">
        <v>350</v>
      </c>
      <c r="F10" t="inlineStr">
        <is>
          <t>SP-SL-KOSHO-DOUBLE</t>
        </is>
      </c>
      <c r="G10" t="inlineStr">
        <is>
          <t>ダブルループチェーン</t>
        </is>
      </c>
      <c r="H10" t="b">
        <v>0</v>
      </c>
      <c r="I10" t="inlineStr">
        <is>
          <t>H&lt;700：取付不可</t>
        </is>
      </c>
      <c r="J10" t="inlineStr">
        <is>
          <t>2026価格表確認済み</t>
        </is>
      </c>
      <c r="K10" t="n">
        <v>138</v>
      </c>
      <c r="L10" t="inlineStr">
        <is>
          <t>202604完成品価格表 P138-141/P254</t>
        </is>
      </c>
      <c r="M10" t="inlineStr">
        <is>
          <t>https://drive.google.com/file/d/1YUN-mtWYs48YBUHJk0C3vJXnhjyZFHyf/view</t>
        </is>
      </c>
      <c r="N10" t="inlineStr">
        <is>
          <t>非表示</t>
        </is>
      </c>
    </row>
    <row r="11">
      <c r="A11" t="inlineStr">
        <is>
          <t>KOSZ-SL-0008</t>
        </is>
      </c>
      <c r="B11" t="inlineStr">
        <is>
          <t>SZ-SL-000911</t>
        </is>
      </c>
      <c r="C11" t="inlineStr">
        <is>
          <t>069028</t>
        </is>
      </c>
      <c r="D11" t="n">
        <v>730</v>
      </c>
      <c r="E11" t="n">
        <v>350</v>
      </c>
      <c r="F11" t="inlineStr">
        <is>
          <t>SP-SL-KOSHO-ELECTRIC</t>
        </is>
      </c>
      <c r="G11" t="inlineStr">
        <is>
          <t>電動ユニット</t>
        </is>
      </c>
      <c r="H11" t="b">
        <v>1</v>
      </c>
      <c r="I11" t="inlineStr">
        <is>
          <t>現行規格サイズ・電動候補</t>
        </is>
      </c>
      <c r="J11" t="inlineStr">
        <is>
          <t>2026価格表確認済み</t>
        </is>
      </c>
      <c r="K11" t="n">
        <v>138</v>
      </c>
      <c r="L11" t="inlineStr">
        <is>
          <t>202604完成品価格表 P138-141/P254</t>
        </is>
      </c>
      <c r="M11" t="inlineStr">
        <is>
          <t>https://drive.google.com/file/d/1YUN-mtWYs48YBUHJk0C3vJXnhjyZFHyf/view</t>
        </is>
      </c>
      <c r="N11" t="inlineStr">
        <is>
          <t>候補表示</t>
        </is>
      </c>
    </row>
    <row r="12">
      <c r="A12" t="inlineStr">
        <is>
          <t>KOSZ-SL-0009</t>
        </is>
      </c>
      <c r="B12" t="inlineStr">
        <is>
          <t>SZ-SL-000912</t>
        </is>
      </c>
      <c r="C12" t="inlineStr">
        <is>
          <t>06903</t>
        </is>
      </c>
      <c r="D12" t="n">
        <v>730</v>
      </c>
      <c r="E12" t="n">
        <v>370</v>
      </c>
      <c r="F12" t="inlineStr">
        <is>
          <t>SP-SL-KOSHO-HANDLE</t>
        </is>
      </c>
      <c r="G12" t="inlineStr">
        <is>
          <t>オペレーターハンドル</t>
        </is>
      </c>
      <c r="H12" t="b">
        <v>0</v>
      </c>
      <c r="I12" t="inlineStr">
        <is>
          <t>H&lt;700：取付不可</t>
        </is>
      </c>
      <c r="J12" t="inlineStr">
        <is>
          <t>2026価格表確認済み</t>
        </is>
      </c>
      <c r="K12" t="n">
        <v>138</v>
      </c>
      <c r="L12" t="inlineStr">
        <is>
          <t>202604完成品価格表 P138-141/P254</t>
        </is>
      </c>
      <c r="M12" t="inlineStr">
        <is>
          <t>https://drive.google.com/file/d/1YUN-mtWYs48YBUHJk0C3vJXnhjyZFHyf/view</t>
        </is>
      </c>
      <c r="N12" t="inlineStr">
        <is>
          <t>非表示</t>
        </is>
      </c>
    </row>
    <row r="13">
      <c r="A13" t="inlineStr">
        <is>
          <t>KOSZ-SL-0010</t>
        </is>
      </c>
      <c r="B13" t="inlineStr">
        <is>
          <t>SZ-SL-000912</t>
        </is>
      </c>
      <c r="C13" t="inlineStr">
        <is>
          <t>06903</t>
        </is>
      </c>
      <c r="D13" t="n">
        <v>730</v>
      </c>
      <c r="E13" t="n">
        <v>370</v>
      </c>
      <c r="F13" t="inlineStr">
        <is>
          <t>SP-SL-KOSHO-SINGLE</t>
        </is>
      </c>
      <c r="G13" t="inlineStr">
        <is>
          <t>シングルループチェーン</t>
        </is>
      </c>
      <c r="H13" t="b">
        <v>0</v>
      </c>
      <c r="I13" t="inlineStr">
        <is>
          <t>H&lt;700：取付不可</t>
        </is>
      </c>
      <c r="J13" t="inlineStr">
        <is>
          <t>2026価格表確認済み</t>
        </is>
      </c>
      <c r="K13" t="n">
        <v>138</v>
      </c>
      <c r="L13" t="inlineStr">
        <is>
          <t>202604完成品価格表 P138-141/P254</t>
        </is>
      </c>
      <c r="M13" t="inlineStr">
        <is>
          <t>https://drive.google.com/file/d/1YUN-mtWYs48YBUHJk0C3vJXnhjyZFHyf/view</t>
        </is>
      </c>
      <c r="N13" t="inlineStr">
        <is>
          <t>非表示</t>
        </is>
      </c>
    </row>
    <row r="14">
      <c r="A14" t="inlineStr">
        <is>
          <t>KOSZ-SL-0011</t>
        </is>
      </c>
      <c r="B14" t="inlineStr">
        <is>
          <t>SZ-SL-000912</t>
        </is>
      </c>
      <c r="C14" t="inlineStr">
        <is>
          <t>06903</t>
        </is>
      </c>
      <c r="D14" t="n">
        <v>730</v>
      </c>
      <c r="E14" t="n">
        <v>370</v>
      </c>
      <c r="F14" t="inlineStr">
        <is>
          <t>SP-SL-KOSHO-DOUBLE</t>
        </is>
      </c>
      <c r="G14" t="inlineStr">
        <is>
          <t>ダブルループチェーン</t>
        </is>
      </c>
      <c r="H14" t="b">
        <v>0</v>
      </c>
      <c r="I14" t="inlineStr">
        <is>
          <t>H&lt;700：取付不可</t>
        </is>
      </c>
      <c r="J14" t="inlineStr">
        <is>
          <t>2026価格表確認済み</t>
        </is>
      </c>
      <c r="K14" t="n">
        <v>138</v>
      </c>
      <c r="L14" t="inlineStr">
        <is>
          <t>202604完成品価格表 P138-141/P254</t>
        </is>
      </c>
      <c r="M14" t="inlineStr">
        <is>
          <t>https://drive.google.com/file/d/1YUN-mtWYs48YBUHJk0C3vJXnhjyZFHyf/view</t>
        </is>
      </c>
      <c r="N14" t="inlineStr">
        <is>
          <t>非表示</t>
        </is>
      </c>
    </row>
    <row r="15">
      <c r="A15" t="inlineStr">
        <is>
          <t>KOSZ-SL-0012</t>
        </is>
      </c>
      <c r="B15" t="inlineStr">
        <is>
          <t>SZ-SL-000912</t>
        </is>
      </c>
      <c r="C15" t="inlineStr">
        <is>
          <t>06903</t>
        </is>
      </c>
      <c r="D15" t="n">
        <v>730</v>
      </c>
      <c r="E15" t="n">
        <v>370</v>
      </c>
      <c r="F15" t="inlineStr">
        <is>
          <t>SP-SL-KOSHO-ELECTRIC</t>
        </is>
      </c>
      <c r="G15" t="inlineStr">
        <is>
          <t>電動ユニット</t>
        </is>
      </c>
      <c r="H15" t="b">
        <v>1</v>
      </c>
      <c r="I15" t="inlineStr">
        <is>
          <t>現行規格サイズ・電動候補</t>
        </is>
      </c>
      <c r="J15" t="inlineStr">
        <is>
          <t>2026価格表確認済み</t>
        </is>
      </c>
      <c r="K15" t="n">
        <v>138</v>
      </c>
      <c r="L15" t="inlineStr">
        <is>
          <t>202604完成品価格表 P138-141/P254</t>
        </is>
      </c>
      <c r="M15" t="inlineStr">
        <is>
          <t>https://drive.google.com/file/d/1YUN-mtWYs48YBUHJk0C3vJXnhjyZFHyf/view</t>
        </is>
      </c>
      <c r="N15" t="inlineStr">
        <is>
          <t>候補表示</t>
        </is>
      </c>
    </row>
    <row r="16">
      <c r="A16" t="inlineStr">
        <is>
          <t>KOSZ-SL-0013</t>
        </is>
      </c>
      <c r="B16" t="inlineStr">
        <is>
          <t>SZ-SL-000913</t>
        </is>
      </c>
      <c r="C16" t="inlineStr">
        <is>
          <t>06905</t>
        </is>
      </c>
      <c r="D16" t="n">
        <v>730</v>
      </c>
      <c r="E16" t="n">
        <v>570</v>
      </c>
      <c r="F16" t="inlineStr">
        <is>
          <t>SP-SL-KOSHO-HANDLE</t>
        </is>
      </c>
      <c r="G16" t="inlineStr">
        <is>
          <t>オペレーターハンドル</t>
        </is>
      </c>
      <c r="H16" t="b">
        <v>0</v>
      </c>
      <c r="I16" t="inlineStr">
        <is>
          <t>H&lt;700：取付不可</t>
        </is>
      </c>
      <c r="J16" t="inlineStr">
        <is>
          <t>2026価格表確認済み</t>
        </is>
      </c>
      <c r="K16" t="n">
        <v>138</v>
      </c>
      <c r="L16" t="inlineStr">
        <is>
          <t>202604完成品価格表 P138-141/P254</t>
        </is>
      </c>
      <c r="M16" t="inlineStr">
        <is>
          <t>https://drive.google.com/file/d/1YUN-mtWYs48YBUHJk0C3vJXnhjyZFHyf/view</t>
        </is>
      </c>
      <c r="N16" t="inlineStr">
        <is>
          <t>非表示</t>
        </is>
      </c>
    </row>
    <row r="17">
      <c r="A17" t="inlineStr">
        <is>
          <t>KOSZ-SL-0014</t>
        </is>
      </c>
      <c r="B17" t="inlineStr">
        <is>
          <t>SZ-SL-000913</t>
        </is>
      </c>
      <c r="C17" t="inlineStr">
        <is>
          <t>06905</t>
        </is>
      </c>
      <c r="D17" t="n">
        <v>730</v>
      </c>
      <c r="E17" t="n">
        <v>570</v>
      </c>
      <c r="F17" t="inlineStr">
        <is>
          <t>SP-SL-KOSHO-SINGLE</t>
        </is>
      </c>
      <c r="G17" t="inlineStr">
        <is>
          <t>シングルループチェーン</t>
        </is>
      </c>
      <c r="H17" t="b">
        <v>0</v>
      </c>
      <c r="I17" t="inlineStr">
        <is>
          <t>H&lt;700：取付不可</t>
        </is>
      </c>
      <c r="J17" t="inlineStr">
        <is>
          <t>2026価格表確認済み</t>
        </is>
      </c>
      <c r="K17" t="n">
        <v>138</v>
      </c>
      <c r="L17" t="inlineStr">
        <is>
          <t>202604完成品価格表 P138-141/P254</t>
        </is>
      </c>
      <c r="M17" t="inlineStr">
        <is>
          <t>https://drive.google.com/file/d/1YUN-mtWYs48YBUHJk0C3vJXnhjyZFHyf/view</t>
        </is>
      </c>
      <c r="N17" t="inlineStr">
        <is>
          <t>非表示</t>
        </is>
      </c>
    </row>
    <row r="18">
      <c r="A18" t="inlineStr">
        <is>
          <t>KOSZ-SL-0015</t>
        </is>
      </c>
      <c r="B18" t="inlineStr">
        <is>
          <t>SZ-SL-000913</t>
        </is>
      </c>
      <c r="C18" t="inlineStr">
        <is>
          <t>06905</t>
        </is>
      </c>
      <c r="D18" t="n">
        <v>730</v>
      </c>
      <c r="E18" t="n">
        <v>570</v>
      </c>
      <c r="F18" t="inlineStr">
        <is>
          <t>SP-SL-KOSHO-DOUBLE</t>
        </is>
      </c>
      <c r="G18" t="inlineStr">
        <is>
          <t>ダブルループチェーン</t>
        </is>
      </c>
      <c r="H18" t="b">
        <v>0</v>
      </c>
      <c r="I18" t="inlineStr">
        <is>
          <t>H&lt;700：取付不可</t>
        </is>
      </c>
      <c r="J18" t="inlineStr">
        <is>
          <t>2026価格表確認済み</t>
        </is>
      </c>
      <c r="K18" t="n">
        <v>138</v>
      </c>
      <c r="L18" t="inlineStr">
        <is>
          <t>202604完成品価格表 P138-141/P254</t>
        </is>
      </c>
      <c r="M18" t="inlineStr">
        <is>
          <t>https://drive.google.com/file/d/1YUN-mtWYs48YBUHJk0C3vJXnhjyZFHyf/view</t>
        </is>
      </c>
      <c r="N18" t="inlineStr">
        <is>
          <t>非表示</t>
        </is>
      </c>
    </row>
    <row r="19">
      <c r="A19" t="inlineStr">
        <is>
          <t>KOSZ-SL-0016</t>
        </is>
      </c>
      <c r="B19" t="inlineStr">
        <is>
          <t>SZ-SL-000913</t>
        </is>
      </c>
      <c r="C19" t="inlineStr">
        <is>
          <t>06905</t>
        </is>
      </c>
      <c r="D19" t="n">
        <v>730</v>
      </c>
      <c r="E19" t="n">
        <v>570</v>
      </c>
      <c r="F19" t="inlineStr">
        <is>
          <t>SP-SL-KOSHO-ELECTRIC</t>
        </is>
      </c>
      <c r="G19" t="inlineStr">
        <is>
          <t>電動ユニット</t>
        </is>
      </c>
      <c r="H19" t="b">
        <v>1</v>
      </c>
      <c r="I19" t="inlineStr">
        <is>
          <t>現行規格サイズ・電動候補</t>
        </is>
      </c>
      <c r="J19" t="inlineStr">
        <is>
          <t>2026価格表確認済み</t>
        </is>
      </c>
      <c r="K19" t="n">
        <v>138</v>
      </c>
      <c r="L19" t="inlineStr">
        <is>
          <t>202604完成品価格表 P138-141/P254</t>
        </is>
      </c>
      <c r="M19" t="inlineStr">
        <is>
          <t>https://drive.google.com/file/d/1YUN-mtWYs48YBUHJk0C3vJXnhjyZFHyf/view</t>
        </is>
      </c>
      <c r="N19" t="inlineStr">
        <is>
          <t>候補表示</t>
        </is>
      </c>
    </row>
    <row r="20">
      <c r="A20" t="inlineStr">
        <is>
          <t>KOSZ-SL-0017</t>
        </is>
      </c>
      <c r="B20" t="inlineStr">
        <is>
          <t>SZ-SL-000914</t>
        </is>
      </c>
      <c r="C20" t="inlineStr">
        <is>
          <t>074023</t>
        </is>
      </c>
      <c r="D20" t="n">
        <v>780</v>
      </c>
      <c r="E20" t="n">
        <v>300</v>
      </c>
      <c r="F20" t="inlineStr">
        <is>
          <t>SP-SL-KOSHO-HANDLE</t>
        </is>
      </c>
      <c r="G20" t="inlineStr">
        <is>
          <t>オペレーターハンドル</t>
        </is>
      </c>
      <c r="H20" t="b">
        <v>0</v>
      </c>
      <c r="I20" t="inlineStr">
        <is>
          <t>H&lt;700：取付不可</t>
        </is>
      </c>
      <c r="J20" t="inlineStr">
        <is>
          <t>2026価格表確認済み</t>
        </is>
      </c>
      <c r="K20" t="n">
        <v>138</v>
      </c>
      <c r="L20" t="inlineStr">
        <is>
          <t>202604完成品価格表 P138-141/P254</t>
        </is>
      </c>
      <c r="M20" t="inlineStr">
        <is>
          <t>https://drive.google.com/file/d/1YUN-mtWYs48YBUHJk0C3vJXnhjyZFHyf/view</t>
        </is>
      </c>
      <c r="N20" t="inlineStr">
        <is>
          <t>非表示</t>
        </is>
      </c>
    </row>
    <row r="21">
      <c r="A21" t="inlineStr">
        <is>
          <t>KOSZ-SL-0018</t>
        </is>
      </c>
      <c r="B21" t="inlineStr">
        <is>
          <t>SZ-SL-000914</t>
        </is>
      </c>
      <c r="C21" t="inlineStr">
        <is>
          <t>074023</t>
        </is>
      </c>
      <c r="D21" t="n">
        <v>780</v>
      </c>
      <c r="E21" t="n">
        <v>300</v>
      </c>
      <c r="F21" t="inlineStr">
        <is>
          <t>SP-SL-KOSHO-SINGLE</t>
        </is>
      </c>
      <c r="G21" t="inlineStr">
        <is>
          <t>シングルループチェーン</t>
        </is>
      </c>
      <c r="H21" t="b">
        <v>0</v>
      </c>
      <c r="I21" t="inlineStr">
        <is>
          <t>H&lt;700：取付不可</t>
        </is>
      </c>
      <c r="J21" t="inlineStr">
        <is>
          <t>2026価格表確認済み</t>
        </is>
      </c>
      <c r="K21" t="n">
        <v>138</v>
      </c>
      <c r="L21" t="inlineStr">
        <is>
          <t>202604完成品価格表 P138-141/P254</t>
        </is>
      </c>
      <c r="M21" t="inlineStr">
        <is>
          <t>https://drive.google.com/file/d/1YUN-mtWYs48YBUHJk0C3vJXnhjyZFHyf/view</t>
        </is>
      </c>
      <c r="N21" t="inlineStr">
        <is>
          <t>非表示</t>
        </is>
      </c>
    </row>
    <row r="22">
      <c r="A22" t="inlineStr">
        <is>
          <t>KOSZ-SL-0019</t>
        </is>
      </c>
      <c r="B22" t="inlineStr">
        <is>
          <t>SZ-SL-000914</t>
        </is>
      </c>
      <c r="C22" t="inlineStr">
        <is>
          <t>074023</t>
        </is>
      </c>
      <c r="D22" t="n">
        <v>780</v>
      </c>
      <c r="E22" t="n">
        <v>300</v>
      </c>
      <c r="F22" t="inlineStr">
        <is>
          <t>SP-SL-KOSHO-DOUBLE</t>
        </is>
      </c>
      <c r="G22" t="inlineStr">
        <is>
          <t>ダブルループチェーン</t>
        </is>
      </c>
      <c r="H22" t="b">
        <v>0</v>
      </c>
      <c r="I22" t="inlineStr">
        <is>
          <t>H&lt;700：取付不可</t>
        </is>
      </c>
      <c r="J22" t="inlineStr">
        <is>
          <t>2026価格表確認済み</t>
        </is>
      </c>
      <c r="K22" t="n">
        <v>138</v>
      </c>
      <c r="L22" t="inlineStr">
        <is>
          <t>202604完成品価格表 P138-141/P254</t>
        </is>
      </c>
      <c r="M22" t="inlineStr">
        <is>
          <t>https://drive.google.com/file/d/1YUN-mtWYs48YBUHJk0C3vJXnhjyZFHyf/view</t>
        </is>
      </c>
      <c r="N22" t="inlineStr">
        <is>
          <t>非表示</t>
        </is>
      </c>
    </row>
    <row r="23">
      <c r="A23" t="inlineStr">
        <is>
          <t>KOSZ-SL-0020</t>
        </is>
      </c>
      <c r="B23" t="inlineStr">
        <is>
          <t>SZ-SL-000914</t>
        </is>
      </c>
      <c r="C23" t="inlineStr">
        <is>
          <t>074023</t>
        </is>
      </c>
      <c r="D23" t="n">
        <v>780</v>
      </c>
      <c r="E23" t="n">
        <v>300</v>
      </c>
      <c r="F23" t="inlineStr">
        <is>
          <t>SP-SL-KOSHO-ELECTRIC</t>
        </is>
      </c>
      <c r="G23" t="inlineStr">
        <is>
          <t>電動ユニット</t>
        </is>
      </c>
      <c r="H23" t="b">
        <v>1</v>
      </c>
      <c r="I23" t="inlineStr">
        <is>
          <t>現行規格サイズ・電動候補</t>
        </is>
      </c>
      <c r="J23" t="inlineStr">
        <is>
          <t>2026価格表確認済み</t>
        </is>
      </c>
      <c r="K23" t="n">
        <v>138</v>
      </c>
      <c r="L23" t="inlineStr">
        <is>
          <t>202604完成品価格表 P138-141/P254</t>
        </is>
      </c>
      <c r="M23" t="inlineStr">
        <is>
          <t>https://drive.google.com/file/d/1YUN-mtWYs48YBUHJk0C3vJXnhjyZFHyf/view</t>
        </is>
      </c>
      <c r="N23" t="inlineStr">
        <is>
          <t>候補表示</t>
        </is>
      </c>
    </row>
    <row r="24">
      <c r="A24" t="inlineStr">
        <is>
          <t>KOSZ-SL-0021</t>
        </is>
      </c>
      <c r="B24" t="inlineStr">
        <is>
          <t>SZ-SL-000915</t>
        </is>
      </c>
      <c r="C24" t="inlineStr">
        <is>
          <t>074028</t>
        </is>
      </c>
      <c r="D24" t="n">
        <v>780</v>
      </c>
      <c r="E24" t="n">
        <v>350</v>
      </c>
      <c r="F24" t="inlineStr">
        <is>
          <t>SP-SL-KOSHO-HANDLE</t>
        </is>
      </c>
      <c r="G24" t="inlineStr">
        <is>
          <t>オペレーターハンドル</t>
        </is>
      </c>
      <c r="H24" t="b">
        <v>0</v>
      </c>
      <c r="I24" t="inlineStr">
        <is>
          <t>H&lt;700：取付不可</t>
        </is>
      </c>
      <c r="J24" t="inlineStr">
        <is>
          <t>2026価格表確認済み</t>
        </is>
      </c>
      <c r="K24" t="n">
        <v>138</v>
      </c>
      <c r="L24" t="inlineStr">
        <is>
          <t>202604完成品価格表 P138-141/P254</t>
        </is>
      </c>
      <c r="M24" t="inlineStr">
        <is>
          <t>https://drive.google.com/file/d/1YUN-mtWYs48YBUHJk0C3vJXnhjyZFHyf/view</t>
        </is>
      </c>
      <c r="N24" t="inlineStr">
        <is>
          <t>非表示</t>
        </is>
      </c>
    </row>
    <row r="25">
      <c r="A25" t="inlineStr">
        <is>
          <t>KOSZ-SL-0022</t>
        </is>
      </c>
      <c r="B25" t="inlineStr">
        <is>
          <t>SZ-SL-000915</t>
        </is>
      </c>
      <c r="C25" t="inlineStr">
        <is>
          <t>074028</t>
        </is>
      </c>
      <c r="D25" t="n">
        <v>780</v>
      </c>
      <c r="E25" t="n">
        <v>350</v>
      </c>
      <c r="F25" t="inlineStr">
        <is>
          <t>SP-SL-KOSHO-SINGLE</t>
        </is>
      </c>
      <c r="G25" t="inlineStr">
        <is>
          <t>シングルループチェーン</t>
        </is>
      </c>
      <c r="H25" t="b">
        <v>0</v>
      </c>
      <c r="I25" t="inlineStr">
        <is>
          <t>H&lt;700：取付不可</t>
        </is>
      </c>
      <c r="J25" t="inlineStr">
        <is>
          <t>2026価格表確認済み</t>
        </is>
      </c>
      <c r="K25" t="n">
        <v>138</v>
      </c>
      <c r="L25" t="inlineStr">
        <is>
          <t>202604完成品価格表 P138-141/P254</t>
        </is>
      </c>
      <c r="M25" t="inlineStr">
        <is>
          <t>https://drive.google.com/file/d/1YUN-mtWYs48YBUHJk0C3vJXnhjyZFHyf/view</t>
        </is>
      </c>
      <c r="N25" t="inlineStr">
        <is>
          <t>非表示</t>
        </is>
      </c>
    </row>
    <row r="26">
      <c r="A26" t="inlineStr">
        <is>
          <t>KOSZ-SL-0023</t>
        </is>
      </c>
      <c r="B26" t="inlineStr">
        <is>
          <t>SZ-SL-000915</t>
        </is>
      </c>
      <c r="C26" t="inlineStr">
        <is>
          <t>074028</t>
        </is>
      </c>
      <c r="D26" t="n">
        <v>780</v>
      </c>
      <c r="E26" t="n">
        <v>350</v>
      </c>
      <c r="F26" t="inlineStr">
        <is>
          <t>SP-SL-KOSHO-DOUBLE</t>
        </is>
      </c>
      <c r="G26" t="inlineStr">
        <is>
          <t>ダブルループチェーン</t>
        </is>
      </c>
      <c r="H26" t="b">
        <v>0</v>
      </c>
      <c r="I26" t="inlineStr">
        <is>
          <t>H&lt;700：取付不可</t>
        </is>
      </c>
      <c r="J26" t="inlineStr">
        <is>
          <t>2026価格表確認済み</t>
        </is>
      </c>
      <c r="K26" t="n">
        <v>138</v>
      </c>
      <c r="L26" t="inlineStr">
        <is>
          <t>202604完成品価格表 P138-141/P254</t>
        </is>
      </c>
      <c r="M26" t="inlineStr">
        <is>
          <t>https://drive.google.com/file/d/1YUN-mtWYs48YBUHJk0C3vJXnhjyZFHyf/view</t>
        </is>
      </c>
      <c r="N26" t="inlineStr">
        <is>
          <t>非表示</t>
        </is>
      </c>
    </row>
    <row r="27">
      <c r="A27" t="inlineStr">
        <is>
          <t>KOSZ-SL-0024</t>
        </is>
      </c>
      <c r="B27" t="inlineStr">
        <is>
          <t>SZ-SL-000915</t>
        </is>
      </c>
      <c r="C27" t="inlineStr">
        <is>
          <t>074028</t>
        </is>
      </c>
      <c r="D27" t="n">
        <v>780</v>
      </c>
      <c r="E27" t="n">
        <v>350</v>
      </c>
      <c r="F27" t="inlineStr">
        <is>
          <t>SP-SL-KOSHO-ELECTRIC</t>
        </is>
      </c>
      <c r="G27" t="inlineStr">
        <is>
          <t>電動ユニット</t>
        </is>
      </c>
      <c r="H27" t="b">
        <v>1</v>
      </c>
      <c r="I27" t="inlineStr">
        <is>
          <t>現行規格サイズ・電動候補</t>
        </is>
      </c>
      <c r="J27" t="inlineStr">
        <is>
          <t>2026価格表確認済み</t>
        </is>
      </c>
      <c r="K27" t="n">
        <v>138</v>
      </c>
      <c r="L27" t="inlineStr">
        <is>
          <t>202604完成品価格表 P138-141/P254</t>
        </is>
      </c>
      <c r="M27" t="inlineStr">
        <is>
          <t>https://drive.google.com/file/d/1YUN-mtWYs48YBUHJk0C3vJXnhjyZFHyf/view</t>
        </is>
      </c>
      <c r="N27" t="inlineStr">
        <is>
          <t>候補表示</t>
        </is>
      </c>
    </row>
    <row r="28">
      <c r="A28" t="inlineStr">
        <is>
          <t>KOSZ-SL-0025</t>
        </is>
      </c>
      <c r="B28" t="inlineStr">
        <is>
          <t>SZ-SL-000916</t>
        </is>
      </c>
      <c r="C28" t="inlineStr">
        <is>
          <t>07403</t>
        </is>
      </c>
      <c r="D28" t="n">
        <v>780</v>
      </c>
      <c r="E28" t="n">
        <v>370</v>
      </c>
      <c r="F28" t="inlineStr">
        <is>
          <t>SP-SL-KOSHO-HANDLE</t>
        </is>
      </c>
      <c r="G28" t="inlineStr">
        <is>
          <t>オペレーターハンドル</t>
        </is>
      </c>
      <c r="H28" t="b">
        <v>0</v>
      </c>
      <c r="I28" t="inlineStr">
        <is>
          <t>H&lt;700：取付不可</t>
        </is>
      </c>
      <c r="J28" t="inlineStr">
        <is>
          <t>2026価格表確認済み</t>
        </is>
      </c>
      <c r="K28" t="n">
        <v>138</v>
      </c>
      <c r="L28" t="inlineStr">
        <is>
          <t>202604完成品価格表 P138-141/P254</t>
        </is>
      </c>
      <c r="M28" t="inlineStr">
        <is>
          <t>https://drive.google.com/file/d/1YUN-mtWYs48YBUHJk0C3vJXnhjyZFHyf/view</t>
        </is>
      </c>
      <c r="N28" t="inlineStr">
        <is>
          <t>非表示</t>
        </is>
      </c>
    </row>
    <row r="29">
      <c r="A29" t="inlineStr">
        <is>
          <t>KOSZ-SL-0026</t>
        </is>
      </c>
      <c r="B29" t="inlineStr">
        <is>
          <t>SZ-SL-000916</t>
        </is>
      </c>
      <c r="C29" t="inlineStr">
        <is>
          <t>07403</t>
        </is>
      </c>
      <c r="D29" t="n">
        <v>780</v>
      </c>
      <c r="E29" t="n">
        <v>370</v>
      </c>
      <c r="F29" t="inlineStr">
        <is>
          <t>SP-SL-KOSHO-SINGLE</t>
        </is>
      </c>
      <c r="G29" t="inlineStr">
        <is>
          <t>シングルループチェーン</t>
        </is>
      </c>
      <c r="H29" t="b">
        <v>0</v>
      </c>
      <c r="I29" t="inlineStr">
        <is>
          <t>H&lt;700：取付不可</t>
        </is>
      </c>
      <c r="J29" t="inlineStr">
        <is>
          <t>2026価格表確認済み</t>
        </is>
      </c>
      <c r="K29" t="n">
        <v>138</v>
      </c>
      <c r="L29" t="inlineStr">
        <is>
          <t>202604完成品価格表 P138-141/P254</t>
        </is>
      </c>
      <c r="M29" t="inlineStr">
        <is>
          <t>https://drive.google.com/file/d/1YUN-mtWYs48YBUHJk0C3vJXnhjyZFHyf/view</t>
        </is>
      </c>
      <c r="N29" t="inlineStr">
        <is>
          <t>非表示</t>
        </is>
      </c>
    </row>
    <row r="30">
      <c r="A30" t="inlineStr">
        <is>
          <t>KOSZ-SL-0027</t>
        </is>
      </c>
      <c r="B30" t="inlineStr">
        <is>
          <t>SZ-SL-000916</t>
        </is>
      </c>
      <c r="C30" t="inlineStr">
        <is>
          <t>07403</t>
        </is>
      </c>
      <c r="D30" t="n">
        <v>780</v>
      </c>
      <c r="E30" t="n">
        <v>370</v>
      </c>
      <c r="F30" t="inlineStr">
        <is>
          <t>SP-SL-KOSHO-DOUBLE</t>
        </is>
      </c>
      <c r="G30" t="inlineStr">
        <is>
          <t>ダブルループチェーン</t>
        </is>
      </c>
      <c r="H30" t="b">
        <v>0</v>
      </c>
      <c r="I30" t="inlineStr">
        <is>
          <t>H&lt;700：取付不可</t>
        </is>
      </c>
      <c r="J30" t="inlineStr">
        <is>
          <t>2026価格表確認済み</t>
        </is>
      </c>
      <c r="K30" t="n">
        <v>138</v>
      </c>
      <c r="L30" t="inlineStr">
        <is>
          <t>202604完成品価格表 P138-141/P254</t>
        </is>
      </c>
      <c r="M30" t="inlineStr">
        <is>
          <t>https://drive.google.com/file/d/1YUN-mtWYs48YBUHJk0C3vJXnhjyZFHyf/view</t>
        </is>
      </c>
      <c r="N30" t="inlineStr">
        <is>
          <t>非表示</t>
        </is>
      </c>
    </row>
    <row r="31">
      <c r="A31" t="inlineStr">
        <is>
          <t>KOSZ-SL-0028</t>
        </is>
      </c>
      <c r="B31" t="inlineStr">
        <is>
          <t>SZ-SL-000916</t>
        </is>
      </c>
      <c r="C31" t="inlineStr">
        <is>
          <t>07403</t>
        </is>
      </c>
      <c r="D31" t="n">
        <v>780</v>
      </c>
      <c r="E31" t="n">
        <v>370</v>
      </c>
      <c r="F31" t="inlineStr">
        <is>
          <t>SP-SL-KOSHO-ELECTRIC</t>
        </is>
      </c>
      <c r="G31" t="inlineStr">
        <is>
          <t>電動ユニット</t>
        </is>
      </c>
      <c r="H31" t="b">
        <v>1</v>
      </c>
      <c r="I31" t="inlineStr">
        <is>
          <t>現行規格サイズ・電動候補</t>
        </is>
      </c>
      <c r="J31" t="inlineStr">
        <is>
          <t>2026価格表確認済み</t>
        </is>
      </c>
      <c r="K31" t="n">
        <v>138</v>
      </c>
      <c r="L31" t="inlineStr">
        <is>
          <t>202604完成品価格表 P138-141/P254</t>
        </is>
      </c>
      <c r="M31" t="inlineStr">
        <is>
          <t>https://drive.google.com/file/d/1YUN-mtWYs48YBUHJk0C3vJXnhjyZFHyf/view</t>
        </is>
      </c>
      <c r="N31" t="inlineStr">
        <is>
          <t>候補表示</t>
        </is>
      </c>
    </row>
    <row r="32">
      <c r="A32" t="inlineStr">
        <is>
          <t>KOSZ-SL-0029</t>
        </is>
      </c>
      <c r="B32" t="inlineStr">
        <is>
          <t>SZ-SL-000917</t>
        </is>
      </c>
      <c r="C32" t="inlineStr">
        <is>
          <t>07405</t>
        </is>
      </c>
      <c r="D32" t="n">
        <v>780</v>
      </c>
      <c r="E32" t="n">
        <v>570</v>
      </c>
      <c r="F32" t="inlineStr">
        <is>
          <t>SP-SL-KOSHO-HANDLE</t>
        </is>
      </c>
      <c r="G32" t="inlineStr">
        <is>
          <t>オペレーターハンドル</t>
        </is>
      </c>
      <c r="H32" t="b">
        <v>0</v>
      </c>
      <c r="I32" t="inlineStr">
        <is>
          <t>H&lt;700：取付不可</t>
        </is>
      </c>
      <c r="J32" t="inlineStr">
        <is>
          <t>2026価格表確認済み</t>
        </is>
      </c>
      <c r="K32" t="n">
        <v>138</v>
      </c>
      <c r="L32" t="inlineStr">
        <is>
          <t>202604完成品価格表 P138-141/P254</t>
        </is>
      </c>
      <c r="M32" t="inlineStr">
        <is>
          <t>https://drive.google.com/file/d/1YUN-mtWYs48YBUHJk0C3vJXnhjyZFHyf/view</t>
        </is>
      </c>
      <c r="N32" t="inlineStr">
        <is>
          <t>非表示</t>
        </is>
      </c>
    </row>
    <row r="33">
      <c r="A33" t="inlineStr">
        <is>
          <t>KOSZ-SL-0030</t>
        </is>
      </c>
      <c r="B33" t="inlineStr">
        <is>
          <t>SZ-SL-000917</t>
        </is>
      </c>
      <c r="C33" t="inlineStr">
        <is>
          <t>07405</t>
        </is>
      </c>
      <c r="D33" t="n">
        <v>780</v>
      </c>
      <c r="E33" t="n">
        <v>570</v>
      </c>
      <c r="F33" t="inlineStr">
        <is>
          <t>SP-SL-KOSHO-SINGLE</t>
        </is>
      </c>
      <c r="G33" t="inlineStr">
        <is>
          <t>シングルループチェーン</t>
        </is>
      </c>
      <c r="H33" t="b">
        <v>0</v>
      </c>
      <c r="I33" t="inlineStr">
        <is>
          <t>H&lt;700：取付不可</t>
        </is>
      </c>
      <c r="J33" t="inlineStr">
        <is>
          <t>2026価格表確認済み</t>
        </is>
      </c>
      <c r="K33" t="n">
        <v>138</v>
      </c>
      <c r="L33" t="inlineStr">
        <is>
          <t>202604完成品価格表 P138-141/P254</t>
        </is>
      </c>
      <c r="M33" t="inlineStr">
        <is>
          <t>https://drive.google.com/file/d/1YUN-mtWYs48YBUHJk0C3vJXnhjyZFHyf/view</t>
        </is>
      </c>
      <c r="N33" t="inlineStr">
        <is>
          <t>非表示</t>
        </is>
      </c>
    </row>
    <row r="34">
      <c r="A34" t="inlineStr">
        <is>
          <t>KOSZ-SL-0031</t>
        </is>
      </c>
      <c r="B34" t="inlineStr">
        <is>
          <t>SZ-SL-000917</t>
        </is>
      </c>
      <c r="C34" t="inlineStr">
        <is>
          <t>07405</t>
        </is>
      </c>
      <c r="D34" t="n">
        <v>780</v>
      </c>
      <c r="E34" t="n">
        <v>570</v>
      </c>
      <c r="F34" t="inlineStr">
        <is>
          <t>SP-SL-KOSHO-DOUBLE</t>
        </is>
      </c>
      <c r="G34" t="inlineStr">
        <is>
          <t>ダブルループチェーン</t>
        </is>
      </c>
      <c r="H34" t="b">
        <v>0</v>
      </c>
      <c r="I34" t="inlineStr">
        <is>
          <t>H&lt;700：取付不可</t>
        </is>
      </c>
      <c r="J34" t="inlineStr">
        <is>
          <t>2026価格表確認済み</t>
        </is>
      </c>
      <c r="K34" t="n">
        <v>138</v>
      </c>
      <c r="L34" t="inlineStr">
        <is>
          <t>202604完成品価格表 P138-141/P254</t>
        </is>
      </c>
      <c r="M34" t="inlineStr">
        <is>
          <t>https://drive.google.com/file/d/1YUN-mtWYs48YBUHJk0C3vJXnhjyZFHyf/view</t>
        </is>
      </c>
      <c r="N34" t="inlineStr">
        <is>
          <t>非表示</t>
        </is>
      </c>
    </row>
    <row r="35">
      <c r="A35" t="inlineStr">
        <is>
          <t>KOSZ-SL-0032</t>
        </is>
      </c>
      <c r="B35" t="inlineStr">
        <is>
          <t>SZ-SL-000917</t>
        </is>
      </c>
      <c r="C35" t="inlineStr">
        <is>
          <t>07405</t>
        </is>
      </c>
      <c r="D35" t="n">
        <v>780</v>
      </c>
      <c r="E35" t="n">
        <v>570</v>
      </c>
      <c r="F35" t="inlineStr">
        <is>
          <t>SP-SL-KOSHO-ELECTRIC</t>
        </is>
      </c>
      <c r="G35" t="inlineStr">
        <is>
          <t>電動ユニット</t>
        </is>
      </c>
      <c r="H35" t="b">
        <v>1</v>
      </c>
      <c r="I35" t="inlineStr">
        <is>
          <t>現行規格サイズ・電動候補</t>
        </is>
      </c>
      <c r="J35" t="inlineStr">
        <is>
          <t>2026価格表確認済み</t>
        </is>
      </c>
      <c r="K35" t="n">
        <v>138</v>
      </c>
      <c r="L35" t="inlineStr">
        <is>
          <t>202604完成品価格表 P138-141/P254</t>
        </is>
      </c>
      <c r="M35" t="inlineStr">
        <is>
          <t>https://drive.google.com/file/d/1YUN-mtWYs48YBUHJk0C3vJXnhjyZFHyf/view</t>
        </is>
      </c>
      <c r="N35" t="inlineStr">
        <is>
          <t>候補表示</t>
        </is>
      </c>
    </row>
    <row r="36">
      <c r="A36" t="inlineStr">
        <is>
          <t>KOSZ-SL-0033</t>
        </is>
      </c>
      <c r="B36" t="inlineStr">
        <is>
          <t>SZ-SL-000918</t>
        </is>
      </c>
      <c r="C36" t="inlineStr">
        <is>
          <t>114023</t>
        </is>
      </c>
      <c r="D36" t="n">
        <v>1185</v>
      </c>
      <c r="E36" t="n">
        <v>300</v>
      </c>
      <c r="F36" t="inlineStr">
        <is>
          <t>SP-SL-KOSHO-HANDLE</t>
        </is>
      </c>
      <c r="G36" t="inlineStr">
        <is>
          <t>オペレーターハンドル</t>
        </is>
      </c>
      <c r="H36" t="b">
        <v>0</v>
      </c>
      <c r="I36" t="inlineStr">
        <is>
          <t>H&lt;700：取付不可</t>
        </is>
      </c>
      <c r="J36" t="inlineStr">
        <is>
          <t>2026価格表確認済み</t>
        </is>
      </c>
      <c r="K36" t="n">
        <v>139</v>
      </c>
      <c r="L36" t="inlineStr">
        <is>
          <t>202604完成品価格表 P138-141/P254</t>
        </is>
      </c>
      <c r="M36" t="inlineStr">
        <is>
          <t>https://drive.google.com/file/d/1YUN-mtWYs48YBUHJk0C3vJXnhjyZFHyf/view</t>
        </is>
      </c>
      <c r="N36" t="inlineStr">
        <is>
          <t>非表示</t>
        </is>
      </c>
    </row>
    <row r="37">
      <c r="A37" t="inlineStr">
        <is>
          <t>KOSZ-SL-0034</t>
        </is>
      </c>
      <c r="B37" t="inlineStr">
        <is>
          <t>SZ-SL-000918</t>
        </is>
      </c>
      <c r="C37" t="inlineStr">
        <is>
          <t>114023</t>
        </is>
      </c>
      <c r="D37" t="n">
        <v>1185</v>
      </c>
      <c r="E37" t="n">
        <v>300</v>
      </c>
      <c r="F37" t="inlineStr">
        <is>
          <t>SP-SL-KOSHO-SINGLE</t>
        </is>
      </c>
      <c r="G37" t="inlineStr">
        <is>
          <t>シングルループチェーン</t>
        </is>
      </c>
      <c r="H37" t="b">
        <v>0</v>
      </c>
      <c r="I37" t="inlineStr">
        <is>
          <t>H&lt;700：取付不可</t>
        </is>
      </c>
      <c r="J37" t="inlineStr">
        <is>
          <t>2026価格表確認済み</t>
        </is>
      </c>
      <c r="K37" t="n">
        <v>139</v>
      </c>
      <c r="L37" t="inlineStr">
        <is>
          <t>202604完成品価格表 P138-141/P254</t>
        </is>
      </c>
      <c r="M37" t="inlineStr">
        <is>
          <t>https://drive.google.com/file/d/1YUN-mtWYs48YBUHJk0C3vJXnhjyZFHyf/view</t>
        </is>
      </c>
      <c r="N37" t="inlineStr">
        <is>
          <t>非表示</t>
        </is>
      </c>
    </row>
    <row r="38">
      <c r="A38" t="inlineStr">
        <is>
          <t>KOSZ-SL-0035</t>
        </is>
      </c>
      <c r="B38" t="inlineStr">
        <is>
          <t>SZ-SL-000918</t>
        </is>
      </c>
      <c r="C38" t="inlineStr">
        <is>
          <t>114023</t>
        </is>
      </c>
      <c r="D38" t="n">
        <v>1185</v>
      </c>
      <c r="E38" t="n">
        <v>300</v>
      </c>
      <c r="F38" t="inlineStr">
        <is>
          <t>SP-SL-KOSHO-DOUBLE</t>
        </is>
      </c>
      <c r="G38" t="inlineStr">
        <is>
          <t>ダブルループチェーン</t>
        </is>
      </c>
      <c r="H38" t="b">
        <v>0</v>
      </c>
      <c r="I38" t="inlineStr">
        <is>
          <t>H&lt;700：取付不可</t>
        </is>
      </c>
      <c r="J38" t="inlineStr">
        <is>
          <t>2026価格表確認済み</t>
        </is>
      </c>
      <c r="K38" t="n">
        <v>139</v>
      </c>
      <c r="L38" t="inlineStr">
        <is>
          <t>202604完成品価格表 P138-141/P254</t>
        </is>
      </c>
      <c r="M38" t="inlineStr">
        <is>
          <t>https://drive.google.com/file/d/1YUN-mtWYs48YBUHJk0C3vJXnhjyZFHyf/view</t>
        </is>
      </c>
      <c r="N38" t="inlineStr">
        <is>
          <t>非表示</t>
        </is>
      </c>
    </row>
    <row r="39">
      <c r="A39" t="inlineStr">
        <is>
          <t>KOSZ-SL-0036</t>
        </is>
      </c>
      <c r="B39" t="inlineStr">
        <is>
          <t>SZ-SL-000918</t>
        </is>
      </c>
      <c r="C39" t="inlineStr">
        <is>
          <t>114023</t>
        </is>
      </c>
      <c r="D39" t="n">
        <v>1185</v>
      </c>
      <c r="E39" t="n">
        <v>300</v>
      </c>
      <c r="F39" t="inlineStr">
        <is>
          <t>SP-SL-KOSHO-ELECTRIC</t>
        </is>
      </c>
      <c r="G39" t="inlineStr">
        <is>
          <t>電動ユニット</t>
        </is>
      </c>
      <c r="H39" t="b">
        <v>1</v>
      </c>
      <c r="I39" t="inlineStr">
        <is>
          <t>現行規格サイズ・電動候補</t>
        </is>
      </c>
      <c r="J39" t="inlineStr">
        <is>
          <t>2026価格表確認済み</t>
        </is>
      </c>
      <c r="K39" t="n">
        <v>139</v>
      </c>
      <c r="L39" t="inlineStr">
        <is>
          <t>202604完成品価格表 P138-141/P254</t>
        </is>
      </c>
      <c r="M39" t="inlineStr">
        <is>
          <t>https://drive.google.com/file/d/1YUN-mtWYs48YBUHJk0C3vJXnhjyZFHyf/view</t>
        </is>
      </c>
      <c r="N39" t="inlineStr">
        <is>
          <t>候補表示</t>
        </is>
      </c>
    </row>
    <row r="40">
      <c r="A40" t="inlineStr">
        <is>
          <t>KOSZ-SL-0037</t>
        </is>
      </c>
      <c r="B40" t="inlineStr">
        <is>
          <t>SZ-SL-000919</t>
        </is>
      </c>
      <c r="C40" t="inlineStr">
        <is>
          <t>114028</t>
        </is>
      </c>
      <c r="D40" t="n">
        <v>1185</v>
      </c>
      <c r="E40" t="n">
        <v>350</v>
      </c>
      <c r="F40" t="inlineStr">
        <is>
          <t>SP-SL-KOSHO-HANDLE</t>
        </is>
      </c>
      <c r="G40" t="inlineStr">
        <is>
          <t>オペレーターハンドル</t>
        </is>
      </c>
      <c r="H40" t="b">
        <v>0</v>
      </c>
      <c r="I40" t="inlineStr">
        <is>
          <t>H&lt;700：取付不可</t>
        </is>
      </c>
      <c r="J40" t="inlineStr">
        <is>
          <t>2026価格表確認済み</t>
        </is>
      </c>
      <c r="K40" t="n">
        <v>139</v>
      </c>
      <c r="L40" t="inlineStr">
        <is>
          <t>202604完成品価格表 P138-141/P254</t>
        </is>
      </c>
      <c r="M40" t="inlineStr">
        <is>
          <t>https://drive.google.com/file/d/1YUN-mtWYs48YBUHJk0C3vJXnhjyZFHyf/view</t>
        </is>
      </c>
      <c r="N40" t="inlineStr">
        <is>
          <t>非表示</t>
        </is>
      </c>
    </row>
    <row r="41">
      <c r="A41" t="inlineStr">
        <is>
          <t>KOSZ-SL-0038</t>
        </is>
      </c>
      <c r="B41" t="inlineStr">
        <is>
          <t>SZ-SL-000919</t>
        </is>
      </c>
      <c r="C41" t="inlineStr">
        <is>
          <t>114028</t>
        </is>
      </c>
      <c r="D41" t="n">
        <v>1185</v>
      </c>
      <c r="E41" t="n">
        <v>350</v>
      </c>
      <c r="F41" t="inlineStr">
        <is>
          <t>SP-SL-KOSHO-SINGLE</t>
        </is>
      </c>
      <c r="G41" t="inlineStr">
        <is>
          <t>シングルループチェーン</t>
        </is>
      </c>
      <c r="H41" t="b">
        <v>0</v>
      </c>
      <c r="I41" t="inlineStr">
        <is>
          <t>H&lt;700：取付不可</t>
        </is>
      </c>
      <c r="J41" t="inlineStr">
        <is>
          <t>2026価格表確認済み</t>
        </is>
      </c>
      <c r="K41" t="n">
        <v>139</v>
      </c>
      <c r="L41" t="inlineStr">
        <is>
          <t>202604完成品価格表 P138-141/P254</t>
        </is>
      </c>
      <c r="M41" t="inlineStr">
        <is>
          <t>https://drive.google.com/file/d/1YUN-mtWYs48YBUHJk0C3vJXnhjyZFHyf/view</t>
        </is>
      </c>
      <c r="N41" t="inlineStr">
        <is>
          <t>非表示</t>
        </is>
      </c>
    </row>
    <row r="42">
      <c r="A42" t="inlineStr">
        <is>
          <t>KOSZ-SL-0039</t>
        </is>
      </c>
      <c r="B42" t="inlineStr">
        <is>
          <t>SZ-SL-000919</t>
        </is>
      </c>
      <c r="C42" t="inlineStr">
        <is>
          <t>114028</t>
        </is>
      </c>
      <c r="D42" t="n">
        <v>1185</v>
      </c>
      <c r="E42" t="n">
        <v>350</v>
      </c>
      <c r="F42" t="inlineStr">
        <is>
          <t>SP-SL-KOSHO-DOUBLE</t>
        </is>
      </c>
      <c r="G42" t="inlineStr">
        <is>
          <t>ダブルループチェーン</t>
        </is>
      </c>
      <c r="H42" t="b">
        <v>0</v>
      </c>
      <c r="I42" t="inlineStr">
        <is>
          <t>H&lt;700：取付不可</t>
        </is>
      </c>
      <c r="J42" t="inlineStr">
        <is>
          <t>2026価格表確認済み</t>
        </is>
      </c>
      <c r="K42" t="n">
        <v>139</v>
      </c>
      <c r="L42" t="inlineStr">
        <is>
          <t>202604完成品価格表 P138-141/P254</t>
        </is>
      </c>
      <c r="M42" t="inlineStr">
        <is>
          <t>https://drive.google.com/file/d/1YUN-mtWYs48YBUHJk0C3vJXnhjyZFHyf/view</t>
        </is>
      </c>
      <c r="N42" t="inlineStr">
        <is>
          <t>非表示</t>
        </is>
      </c>
    </row>
    <row r="43">
      <c r="A43" t="inlineStr">
        <is>
          <t>KOSZ-SL-0040</t>
        </is>
      </c>
      <c r="B43" t="inlineStr">
        <is>
          <t>SZ-SL-000919</t>
        </is>
      </c>
      <c r="C43" t="inlineStr">
        <is>
          <t>114028</t>
        </is>
      </c>
      <c r="D43" t="n">
        <v>1185</v>
      </c>
      <c r="E43" t="n">
        <v>350</v>
      </c>
      <c r="F43" t="inlineStr">
        <is>
          <t>SP-SL-KOSHO-ELECTRIC</t>
        </is>
      </c>
      <c r="G43" t="inlineStr">
        <is>
          <t>電動ユニット</t>
        </is>
      </c>
      <c r="H43" t="b">
        <v>1</v>
      </c>
      <c r="I43" t="inlineStr">
        <is>
          <t>現行規格サイズ・電動候補</t>
        </is>
      </c>
      <c r="J43" t="inlineStr">
        <is>
          <t>2026価格表確認済み</t>
        </is>
      </c>
      <c r="K43" t="n">
        <v>139</v>
      </c>
      <c r="L43" t="inlineStr">
        <is>
          <t>202604完成品価格表 P138-141/P254</t>
        </is>
      </c>
      <c r="M43" t="inlineStr">
        <is>
          <t>https://drive.google.com/file/d/1YUN-mtWYs48YBUHJk0C3vJXnhjyZFHyf/view</t>
        </is>
      </c>
      <c r="N43" t="inlineStr">
        <is>
          <t>候補表示</t>
        </is>
      </c>
    </row>
    <row r="44">
      <c r="A44" t="inlineStr">
        <is>
          <t>KOSZ-SL-0041</t>
        </is>
      </c>
      <c r="B44" t="inlineStr">
        <is>
          <t>SZ-SL-000920</t>
        </is>
      </c>
      <c r="C44" t="inlineStr">
        <is>
          <t>11403</t>
        </is>
      </c>
      <c r="D44" t="n">
        <v>1185</v>
      </c>
      <c r="E44" t="n">
        <v>370</v>
      </c>
      <c r="F44" t="inlineStr">
        <is>
          <t>SP-SL-KOSHO-HANDLE</t>
        </is>
      </c>
      <c r="G44" t="inlineStr">
        <is>
          <t>オペレーターハンドル</t>
        </is>
      </c>
      <c r="H44" t="b">
        <v>0</v>
      </c>
      <c r="I44" t="inlineStr">
        <is>
          <t>H&lt;700：取付不可</t>
        </is>
      </c>
      <c r="J44" t="inlineStr">
        <is>
          <t>2026価格表確認済み</t>
        </is>
      </c>
      <c r="K44" t="n">
        <v>139</v>
      </c>
      <c r="L44" t="inlineStr">
        <is>
          <t>202604完成品価格表 P138-141/P254</t>
        </is>
      </c>
      <c r="M44" t="inlineStr">
        <is>
          <t>https://drive.google.com/file/d/1YUN-mtWYs48YBUHJk0C3vJXnhjyZFHyf/view</t>
        </is>
      </c>
      <c r="N44" t="inlineStr">
        <is>
          <t>非表示</t>
        </is>
      </c>
    </row>
    <row r="45">
      <c r="A45" t="inlineStr">
        <is>
          <t>KOSZ-SL-0042</t>
        </is>
      </c>
      <c r="B45" t="inlineStr">
        <is>
          <t>SZ-SL-000920</t>
        </is>
      </c>
      <c r="C45" t="inlineStr">
        <is>
          <t>11403</t>
        </is>
      </c>
      <c r="D45" t="n">
        <v>1185</v>
      </c>
      <c r="E45" t="n">
        <v>370</v>
      </c>
      <c r="F45" t="inlineStr">
        <is>
          <t>SP-SL-KOSHO-SINGLE</t>
        </is>
      </c>
      <c r="G45" t="inlineStr">
        <is>
          <t>シングルループチェーン</t>
        </is>
      </c>
      <c r="H45" t="b">
        <v>0</v>
      </c>
      <c r="I45" t="inlineStr">
        <is>
          <t>H&lt;700：取付不可</t>
        </is>
      </c>
      <c r="J45" t="inlineStr">
        <is>
          <t>2026価格表確認済み</t>
        </is>
      </c>
      <c r="K45" t="n">
        <v>139</v>
      </c>
      <c r="L45" t="inlineStr">
        <is>
          <t>202604完成品価格表 P138-141/P254</t>
        </is>
      </c>
      <c r="M45" t="inlineStr">
        <is>
          <t>https://drive.google.com/file/d/1YUN-mtWYs48YBUHJk0C3vJXnhjyZFHyf/view</t>
        </is>
      </c>
      <c r="N45" t="inlineStr">
        <is>
          <t>非表示</t>
        </is>
      </c>
    </row>
    <row r="46">
      <c r="A46" t="inlineStr">
        <is>
          <t>KOSZ-SL-0043</t>
        </is>
      </c>
      <c r="B46" t="inlineStr">
        <is>
          <t>SZ-SL-000920</t>
        </is>
      </c>
      <c r="C46" t="inlineStr">
        <is>
          <t>11403</t>
        </is>
      </c>
      <c r="D46" t="n">
        <v>1185</v>
      </c>
      <c r="E46" t="n">
        <v>370</v>
      </c>
      <c r="F46" t="inlineStr">
        <is>
          <t>SP-SL-KOSHO-DOUBLE</t>
        </is>
      </c>
      <c r="G46" t="inlineStr">
        <is>
          <t>ダブルループチェーン</t>
        </is>
      </c>
      <c r="H46" t="b">
        <v>0</v>
      </c>
      <c r="I46" t="inlineStr">
        <is>
          <t>H&lt;700：取付不可</t>
        </is>
      </c>
      <c r="J46" t="inlineStr">
        <is>
          <t>2026価格表確認済み</t>
        </is>
      </c>
      <c r="K46" t="n">
        <v>139</v>
      </c>
      <c r="L46" t="inlineStr">
        <is>
          <t>202604完成品価格表 P138-141/P254</t>
        </is>
      </c>
      <c r="M46" t="inlineStr">
        <is>
          <t>https://drive.google.com/file/d/1YUN-mtWYs48YBUHJk0C3vJXnhjyZFHyf/view</t>
        </is>
      </c>
      <c r="N46" t="inlineStr">
        <is>
          <t>非表示</t>
        </is>
      </c>
    </row>
    <row r="47">
      <c r="A47" t="inlineStr">
        <is>
          <t>KOSZ-SL-0044</t>
        </is>
      </c>
      <c r="B47" t="inlineStr">
        <is>
          <t>SZ-SL-000920</t>
        </is>
      </c>
      <c r="C47" t="inlineStr">
        <is>
          <t>11403</t>
        </is>
      </c>
      <c r="D47" t="n">
        <v>1185</v>
      </c>
      <c r="E47" t="n">
        <v>370</v>
      </c>
      <c r="F47" t="inlineStr">
        <is>
          <t>SP-SL-KOSHO-ELECTRIC</t>
        </is>
      </c>
      <c r="G47" t="inlineStr">
        <is>
          <t>電動ユニット</t>
        </is>
      </c>
      <c r="H47" t="b">
        <v>1</v>
      </c>
      <c r="I47" t="inlineStr">
        <is>
          <t>現行規格サイズ・電動候補</t>
        </is>
      </c>
      <c r="J47" t="inlineStr">
        <is>
          <t>2026価格表確認済み</t>
        </is>
      </c>
      <c r="K47" t="n">
        <v>139</v>
      </c>
      <c r="L47" t="inlineStr">
        <is>
          <t>202604完成品価格表 P138-141/P254</t>
        </is>
      </c>
      <c r="M47" t="inlineStr">
        <is>
          <t>https://drive.google.com/file/d/1YUN-mtWYs48YBUHJk0C3vJXnhjyZFHyf/view</t>
        </is>
      </c>
      <c r="N47" t="inlineStr">
        <is>
          <t>候補表示</t>
        </is>
      </c>
    </row>
    <row r="48">
      <c r="A48" t="inlineStr">
        <is>
          <t>KOSZ-SL-0045</t>
        </is>
      </c>
      <c r="B48" t="inlineStr">
        <is>
          <t>SZ-SL-000921</t>
        </is>
      </c>
      <c r="C48" t="inlineStr">
        <is>
          <t>11405</t>
        </is>
      </c>
      <c r="D48" t="n">
        <v>1185</v>
      </c>
      <c r="E48" t="n">
        <v>570</v>
      </c>
      <c r="F48" t="inlineStr">
        <is>
          <t>SP-SL-KOSHO-HANDLE</t>
        </is>
      </c>
      <c r="G48" t="inlineStr">
        <is>
          <t>オペレーターハンドル</t>
        </is>
      </c>
      <c r="H48" t="b">
        <v>0</v>
      </c>
      <c r="I48" t="inlineStr">
        <is>
          <t>H&lt;700：取付不可</t>
        </is>
      </c>
      <c r="J48" t="inlineStr">
        <is>
          <t>2026価格表確認済み</t>
        </is>
      </c>
      <c r="K48" t="n">
        <v>139</v>
      </c>
      <c r="L48" t="inlineStr">
        <is>
          <t>202604完成品価格表 P138-141/P254</t>
        </is>
      </c>
      <c r="M48" t="inlineStr">
        <is>
          <t>https://drive.google.com/file/d/1YUN-mtWYs48YBUHJk0C3vJXnhjyZFHyf/view</t>
        </is>
      </c>
      <c r="N48" t="inlineStr">
        <is>
          <t>非表示</t>
        </is>
      </c>
    </row>
    <row r="49">
      <c r="A49" t="inlineStr">
        <is>
          <t>KOSZ-SL-0046</t>
        </is>
      </c>
      <c r="B49" t="inlineStr">
        <is>
          <t>SZ-SL-000921</t>
        </is>
      </c>
      <c r="C49" t="inlineStr">
        <is>
          <t>11405</t>
        </is>
      </c>
      <c r="D49" t="n">
        <v>1185</v>
      </c>
      <c r="E49" t="n">
        <v>570</v>
      </c>
      <c r="F49" t="inlineStr">
        <is>
          <t>SP-SL-KOSHO-SINGLE</t>
        </is>
      </c>
      <c r="G49" t="inlineStr">
        <is>
          <t>シングルループチェーン</t>
        </is>
      </c>
      <c r="H49" t="b">
        <v>0</v>
      </c>
      <c r="I49" t="inlineStr">
        <is>
          <t>H&lt;700：取付不可</t>
        </is>
      </c>
      <c r="J49" t="inlineStr">
        <is>
          <t>2026価格表確認済み</t>
        </is>
      </c>
      <c r="K49" t="n">
        <v>139</v>
      </c>
      <c r="L49" t="inlineStr">
        <is>
          <t>202604完成品価格表 P138-141/P254</t>
        </is>
      </c>
      <c r="M49" t="inlineStr">
        <is>
          <t>https://drive.google.com/file/d/1YUN-mtWYs48YBUHJk0C3vJXnhjyZFHyf/view</t>
        </is>
      </c>
      <c r="N49" t="inlineStr">
        <is>
          <t>非表示</t>
        </is>
      </c>
    </row>
    <row r="50">
      <c r="A50" t="inlineStr">
        <is>
          <t>KOSZ-SL-0047</t>
        </is>
      </c>
      <c r="B50" t="inlineStr">
        <is>
          <t>SZ-SL-000921</t>
        </is>
      </c>
      <c r="C50" t="inlineStr">
        <is>
          <t>11405</t>
        </is>
      </c>
      <c r="D50" t="n">
        <v>1185</v>
      </c>
      <c r="E50" t="n">
        <v>570</v>
      </c>
      <c r="F50" t="inlineStr">
        <is>
          <t>SP-SL-KOSHO-DOUBLE</t>
        </is>
      </c>
      <c r="G50" t="inlineStr">
        <is>
          <t>ダブルループチェーン</t>
        </is>
      </c>
      <c r="H50" t="b">
        <v>0</v>
      </c>
      <c r="I50" t="inlineStr">
        <is>
          <t>H&lt;700：取付不可</t>
        </is>
      </c>
      <c r="J50" t="inlineStr">
        <is>
          <t>2026価格表確認済み</t>
        </is>
      </c>
      <c r="K50" t="n">
        <v>139</v>
      </c>
      <c r="L50" t="inlineStr">
        <is>
          <t>202604完成品価格表 P138-141/P254</t>
        </is>
      </c>
      <c r="M50" t="inlineStr">
        <is>
          <t>https://drive.google.com/file/d/1YUN-mtWYs48YBUHJk0C3vJXnhjyZFHyf/view</t>
        </is>
      </c>
      <c r="N50" t="inlineStr">
        <is>
          <t>非表示</t>
        </is>
      </c>
    </row>
    <row r="51">
      <c r="A51" t="inlineStr">
        <is>
          <t>KOSZ-SL-0048</t>
        </is>
      </c>
      <c r="B51" t="inlineStr">
        <is>
          <t>SZ-SL-000921</t>
        </is>
      </c>
      <c r="C51" t="inlineStr">
        <is>
          <t>11405</t>
        </is>
      </c>
      <c r="D51" t="n">
        <v>1185</v>
      </c>
      <c r="E51" t="n">
        <v>570</v>
      </c>
      <c r="F51" t="inlineStr">
        <is>
          <t>SP-SL-KOSHO-ELECTRIC</t>
        </is>
      </c>
      <c r="G51" t="inlineStr">
        <is>
          <t>電動ユニット</t>
        </is>
      </c>
      <c r="H51" t="b">
        <v>1</v>
      </c>
      <c r="I51" t="inlineStr">
        <is>
          <t>現行規格サイズ・電動候補</t>
        </is>
      </c>
      <c r="J51" t="inlineStr">
        <is>
          <t>2026価格表確認済み</t>
        </is>
      </c>
      <c r="K51" t="n">
        <v>139</v>
      </c>
      <c r="L51" t="inlineStr">
        <is>
          <t>202604完成品価格表 P138-141/P254</t>
        </is>
      </c>
      <c r="M51" t="inlineStr">
        <is>
          <t>https://drive.google.com/file/d/1YUN-mtWYs48YBUHJk0C3vJXnhjyZFHyf/view</t>
        </is>
      </c>
      <c r="N51" t="inlineStr">
        <is>
          <t>候補表示</t>
        </is>
      </c>
    </row>
    <row r="52">
      <c r="A52" t="inlineStr">
        <is>
          <t>KOSZ-SL-0049</t>
        </is>
      </c>
      <c r="B52" t="inlineStr">
        <is>
          <t>SZ-SL-000922</t>
        </is>
      </c>
      <c r="C52" t="inlineStr">
        <is>
          <t>119023</t>
        </is>
      </c>
      <c r="D52" t="n">
        <v>1235</v>
      </c>
      <c r="E52" t="n">
        <v>300</v>
      </c>
      <c r="F52" t="inlineStr">
        <is>
          <t>SP-SL-KOSHO-HANDLE</t>
        </is>
      </c>
      <c r="G52" t="inlineStr">
        <is>
          <t>オペレーターハンドル</t>
        </is>
      </c>
      <c r="H52" t="b">
        <v>0</v>
      </c>
      <c r="I52" t="inlineStr">
        <is>
          <t>H&lt;700：取付不可</t>
        </is>
      </c>
      <c r="J52" t="inlineStr">
        <is>
          <t>2026価格表確認済み</t>
        </is>
      </c>
      <c r="K52" t="n">
        <v>139</v>
      </c>
      <c r="L52" t="inlineStr">
        <is>
          <t>202604完成品価格表 P138-141/P254</t>
        </is>
      </c>
      <c r="M52" t="inlineStr">
        <is>
          <t>https://drive.google.com/file/d/1YUN-mtWYs48YBUHJk0C3vJXnhjyZFHyf/view</t>
        </is>
      </c>
      <c r="N52" t="inlineStr">
        <is>
          <t>非表示</t>
        </is>
      </c>
    </row>
    <row r="53">
      <c r="A53" t="inlineStr">
        <is>
          <t>KOSZ-SL-0050</t>
        </is>
      </c>
      <c r="B53" t="inlineStr">
        <is>
          <t>SZ-SL-000922</t>
        </is>
      </c>
      <c r="C53" t="inlineStr">
        <is>
          <t>119023</t>
        </is>
      </c>
      <c r="D53" t="n">
        <v>1235</v>
      </c>
      <c r="E53" t="n">
        <v>300</v>
      </c>
      <c r="F53" t="inlineStr">
        <is>
          <t>SP-SL-KOSHO-SINGLE</t>
        </is>
      </c>
      <c r="G53" t="inlineStr">
        <is>
          <t>シングルループチェーン</t>
        </is>
      </c>
      <c r="H53" t="b">
        <v>0</v>
      </c>
      <c r="I53" t="inlineStr">
        <is>
          <t>H&lt;700：取付不可</t>
        </is>
      </c>
      <c r="J53" t="inlineStr">
        <is>
          <t>2026価格表確認済み</t>
        </is>
      </c>
      <c r="K53" t="n">
        <v>139</v>
      </c>
      <c r="L53" t="inlineStr">
        <is>
          <t>202604完成品価格表 P138-141/P254</t>
        </is>
      </c>
      <c r="M53" t="inlineStr">
        <is>
          <t>https://drive.google.com/file/d/1YUN-mtWYs48YBUHJk0C3vJXnhjyZFHyf/view</t>
        </is>
      </c>
      <c r="N53" t="inlineStr">
        <is>
          <t>非表示</t>
        </is>
      </c>
    </row>
    <row r="54">
      <c r="A54" t="inlineStr">
        <is>
          <t>KOSZ-SL-0051</t>
        </is>
      </c>
      <c r="B54" t="inlineStr">
        <is>
          <t>SZ-SL-000922</t>
        </is>
      </c>
      <c r="C54" t="inlineStr">
        <is>
          <t>119023</t>
        </is>
      </c>
      <c r="D54" t="n">
        <v>1235</v>
      </c>
      <c r="E54" t="n">
        <v>300</v>
      </c>
      <c r="F54" t="inlineStr">
        <is>
          <t>SP-SL-KOSHO-DOUBLE</t>
        </is>
      </c>
      <c r="G54" t="inlineStr">
        <is>
          <t>ダブルループチェーン</t>
        </is>
      </c>
      <c r="H54" t="b">
        <v>0</v>
      </c>
      <c r="I54" t="inlineStr">
        <is>
          <t>H&lt;700：取付不可</t>
        </is>
      </c>
      <c r="J54" t="inlineStr">
        <is>
          <t>2026価格表確認済み</t>
        </is>
      </c>
      <c r="K54" t="n">
        <v>139</v>
      </c>
      <c r="L54" t="inlineStr">
        <is>
          <t>202604完成品価格表 P138-141/P254</t>
        </is>
      </c>
      <c r="M54" t="inlineStr">
        <is>
          <t>https://drive.google.com/file/d/1YUN-mtWYs48YBUHJk0C3vJXnhjyZFHyf/view</t>
        </is>
      </c>
      <c r="N54" t="inlineStr">
        <is>
          <t>非表示</t>
        </is>
      </c>
    </row>
    <row r="55">
      <c r="A55" t="inlineStr">
        <is>
          <t>KOSZ-SL-0052</t>
        </is>
      </c>
      <c r="B55" t="inlineStr">
        <is>
          <t>SZ-SL-000922</t>
        </is>
      </c>
      <c r="C55" t="inlineStr">
        <is>
          <t>119023</t>
        </is>
      </c>
      <c r="D55" t="n">
        <v>1235</v>
      </c>
      <c r="E55" t="n">
        <v>300</v>
      </c>
      <c r="F55" t="inlineStr">
        <is>
          <t>SP-SL-KOSHO-ELECTRIC</t>
        </is>
      </c>
      <c r="G55" t="inlineStr">
        <is>
          <t>電動ユニット</t>
        </is>
      </c>
      <c r="H55" t="b">
        <v>1</v>
      </c>
      <c r="I55" t="inlineStr">
        <is>
          <t>現行規格サイズ・電動候補</t>
        </is>
      </c>
      <c r="J55" t="inlineStr">
        <is>
          <t>2026価格表確認済み</t>
        </is>
      </c>
      <c r="K55" t="n">
        <v>139</v>
      </c>
      <c r="L55" t="inlineStr">
        <is>
          <t>202604完成品価格表 P138-141/P254</t>
        </is>
      </c>
      <c r="M55" t="inlineStr">
        <is>
          <t>https://drive.google.com/file/d/1YUN-mtWYs48YBUHJk0C3vJXnhjyZFHyf/view</t>
        </is>
      </c>
      <c r="N55" t="inlineStr">
        <is>
          <t>候補表示</t>
        </is>
      </c>
    </row>
    <row r="56">
      <c r="A56" t="inlineStr">
        <is>
          <t>KOSZ-SL-0053</t>
        </is>
      </c>
      <c r="B56" t="inlineStr">
        <is>
          <t>SZ-SL-000923</t>
        </is>
      </c>
      <c r="C56" t="inlineStr">
        <is>
          <t>119028</t>
        </is>
      </c>
      <c r="D56" t="n">
        <v>1235</v>
      </c>
      <c r="E56" t="n">
        <v>350</v>
      </c>
      <c r="F56" t="inlineStr">
        <is>
          <t>SP-SL-KOSHO-HANDLE</t>
        </is>
      </c>
      <c r="G56" t="inlineStr">
        <is>
          <t>オペレーターハンドル</t>
        </is>
      </c>
      <c r="H56" t="b">
        <v>0</v>
      </c>
      <c r="I56" t="inlineStr">
        <is>
          <t>H&lt;700：取付不可</t>
        </is>
      </c>
      <c r="J56" t="inlineStr">
        <is>
          <t>2026価格表確認済み</t>
        </is>
      </c>
      <c r="K56" t="n">
        <v>139</v>
      </c>
      <c r="L56" t="inlineStr">
        <is>
          <t>202604完成品価格表 P138-141/P254</t>
        </is>
      </c>
      <c r="M56" t="inlineStr">
        <is>
          <t>https://drive.google.com/file/d/1YUN-mtWYs48YBUHJk0C3vJXnhjyZFHyf/view</t>
        </is>
      </c>
      <c r="N56" t="inlineStr">
        <is>
          <t>非表示</t>
        </is>
      </c>
    </row>
    <row r="57">
      <c r="A57" t="inlineStr">
        <is>
          <t>KOSZ-SL-0054</t>
        </is>
      </c>
      <c r="B57" t="inlineStr">
        <is>
          <t>SZ-SL-000923</t>
        </is>
      </c>
      <c r="C57" t="inlineStr">
        <is>
          <t>119028</t>
        </is>
      </c>
      <c r="D57" t="n">
        <v>1235</v>
      </c>
      <c r="E57" t="n">
        <v>350</v>
      </c>
      <c r="F57" t="inlineStr">
        <is>
          <t>SP-SL-KOSHO-SINGLE</t>
        </is>
      </c>
      <c r="G57" t="inlineStr">
        <is>
          <t>シングルループチェーン</t>
        </is>
      </c>
      <c r="H57" t="b">
        <v>0</v>
      </c>
      <c r="I57" t="inlineStr">
        <is>
          <t>H&lt;700：取付不可</t>
        </is>
      </c>
      <c r="J57" t="inlineStr">
        <is>
          <t>2026価格表確認済み</t>
        </is>
      </c>
      <c r="K57" t="n">
        <v>139</v>
      </c>
      <c r="L57" t="inlineStr">
        <is>
          <t>202604完成品価格表 P138-141/P254</t>
        </is>
      </c>
      <c r="M57" t="inlineStr">
        <is>
          <t>https://drive.google.com/file/d/1YUN-mtWYs48YBUHJk0C3vJXnhjyZFHyf/view</t>
        </is>
      </c>
      <c r="N57" t="inlineStr">
        <is>
          <t>非表示</t>
        </is>
      </c>
    </row>
    <row r="58">
      <c r="A58" t="inlineStr">
        <is>
          <t>KOSZ-SL-0055</t>
        </is>
      </c>
      <c r="B58" t="inlineStr">
        <is>
          <t>SZ-SL-000923</t>
        </is>
      </c>
      <c r="C58" t="inlineStr">
        <is>
          <t>119028</t>
        </is>
      </c>
      <c r="D58" t="n">
        <v>1235</v>
      </c>
      <c r="E58" t="n">
        <v>350</v>
      </c>
      <c r="F58" t="inlineStr">
        <is>
          <t>SP-SL-KOSHO-DOUBLE</t>
        </is>
      </c>
      <c r="G58" t="inlineStr">
        <is>
          <t>ダブルループチェーン</t>
        </is>
      </c>
      <c r="H58" t="b">
        <v>0</v>
      </c>
      <c r="I58" t="inlineStr">
        <is>
          <t>H&lt;700：取付不可</t>
        </is>
      </c>
      <c r="J58" t="inlineStr">
        <is>
          <t>2026価格表確認済み</t>
        </is>
      </c>
      <c r="K58" t="n">
        <v>139</v>
      </c>
      <c r="L58" t="inlineStr">
        <is>
          <t>202604完成品価格表 P138-141/P254</t>
        </is>
      </c>
      <c r="M58" t="inlineStr">
        <is>
          <t>https://drive.google.com/file/d/1YUN-mtWYs48YBUHJk0C3vJXnhjyZFHyf/view</t>
        </is>
      </c>
      <c r="N58" t="inlineStr">
        <is>
          <t>非表示</t>
        </is>
      </c>
    </row>
    <row r="59">
      <c r="A59" t="inlineStr">
        <is>
          <t>KOSZ-SL-0056</t>
        </is>
      </c>
      <c r="B59" t="inlineStr">
        <is>
          <t>SZ-SL-000923</t>
        </is>
      </c>
      <c r="C59" t="inlineStr">
        <is>
          <t>119028</t>
        </is>
      </c>
      <c r="D59" t="n">
        <v>1235</v>
      </c>
      <c r="E59" t="n">
        <v>350</v>
      </c>
      <c r="F59" t="inlineStr">
        <is>
          <t>SP-SL-KOSHO-ELECTRIC</t>
        </is>
      </c>
      <c r="G59" t="inlineStr">
        <is>
          <t>電動ユニット</t>
        </is>
      </c>
      <c r="H59" t="b">
        <v>1</v>
      </c>
      <c r="I59" t="inlineStr">
        <is>
          <t>現行規格サイズ・電動候補</t>
        </is>
      </c>
      <c r="J59" t="inlineStr">
        <is>
          <t>2026価格表確認済み</t>
        </is>
      </c>
      <c r="K59" t="n">
        <v>139</v>
      </c>
      <c r="L59" t="inlineStr">
        <is>
          <t>202604完成品価格表 P138-141/P254</t>
        </is>
      </c>
      <c r="M59" t="inlineStr">
        <is>
          <t>https://drive.google.com/file/d/1YUN-mtWYs48YBUHJk0C3vJXnhjyZFHyf/view</t>
        </is>
      </c>
      <c r="N59" t="inlineStr">
        <is>
          <t>候補表示</t>
        </is>
      </c>
    </row>
    <row r="60">
      <c r="A60" t="inlineStr">
        <is>
          <t>KOSZ-SL-0057</t>
        </is>
      </c>
      <c r="B60" t="inlineStr">
        <is>
          <t>SZ-SL-000924</t>
        </is>
      </c>
      <c r="C60" t="inlineStr">
        <is>
          <t>11903</t>
        </is>
      </c>
      <c r="D60" t="n">
        <v>1235</v>
      </c>
      <c r="E60" t="n">
        <v>370</v>
      </c>
      <c r="F60" t="inlineStr">
        <is>
          <t>SP-SL-KOSHO-HANDLE</t>
        </is>
      </c>
      <c r="G60" t="inlineStr">
        <is>
          <t>オペレーターハンドル</t>
        </is>
      </c>
      <c r="H60" t="b">
        <v>0</v>
      </c>
      <c r="I60" t="inlineStr">
        <is>
          <t>H&lt;700：取付不可</t>
        </is>
      </c>
      <c r="J60" t="inlineStr">
        <is>
          <t>2026価格表確認済み</t>
        </is>
      </c>
      <c r="K60" t="n">
        <v>139</v>
      </c>
      <c r="L60" t="inlineStr">
        <is>
          <t>202604完成品価格表 P138-141/P254</t>
        </is>
      </c>
      <c r="M60" t="inlineStr">
        <is>
          <t>https://drive.google.com/file/d/1YUN-mtWYs48YBUHJk0C3vJXnhjyZFHyf/view</t>
        </is>
      </c>
      <c r="N60" t="inlineStr">
        <is>
          <t>非表示</t>
        </is>
      </c>
    </row>
    <row r="61">
      <c r="A61" t="inlineStr">
        <is>
          <t>KOSZ-SL-0058</t>
        </is>
      </c>
      <c r="B61" t="inlineStr">
        <is>
          <t>SZ-SL-000924</t>
        </is>
      </c>
      <c r="C61" t="inlineStr">
        <is>
          <t>11903</t>
        </is>
      </c>
      <c r="D61" t="n">
        <v>1235</v>
      </c>
      <c r="E61" t="n">
        <v>370</v>
      </c>
      <c r="F61" t="inlineStr">
        <is>
          <t>SP-SL-KOSHO-SINGLE</t>
        </is>
      </c>
      <c r="G61" t="inlineStr">
        <is>
          <t>シングルループチェーン</t>
        </is>
      </c>
      <c r="H61" t="b">
        <v>0</v>
      </c>
      <c r="I61" t="inlineStr">
        <is>
          <t>H&lt;700：取付不可</t>
        </is>
      </c>
      <c r="J61" t="inlineStr">
        <is>
          <t>2026価格表確認済み</t>
        </is>
      </c>
      <c r="K61" t="n">
        <v>139</v>
      </c>
      <c r="L61" t="inlineStr">
        <is>
          <t>202604完成品価格表 P138-141/P254</t>
        </is>
      </c>
      <c r="M61" t="inlineStr">
        <is>
          <t>https://drive.google.com/file/d/1YUN-mtWYs48YBUHJk0C3vJXnhjyZFHyf/view</t>
        </is>
      </c>
      <c r="N61" t="inlineStr">
        <is>
          <t>非表示</t>
        </is>
      </c>
    </row>
    <row r="62">
      <c r="A62" t="inlineStr">
        <is>
          <t>KOSZ-SL-0059</t>
        </is>
      </c>
      <c r="B62" t="inlineStr">
        <is>
          <t>SZ-SL-000924</t>
        </is>
      </c>
      <c r="C62" t="inlineStr">
        <is>
          <t>11903</t>
        </is>
      </c>
      <c r="D62" t="n">
        <v>1235</v>
      </c>
      <c r="E62" t="n">
        <v>370</v>
      </c>
      <c r="F62" t="inlineStr">
        <is>
          <t>SP-SL-KOSHO-DOUBLE</t>
        </is>
      </c>
      <c r="G62" t="inlineStr">
        <is>
          <t>ダブルループチェーン</t>
        </is>
      </c>
      <c r="H62" t="b">
        <v>0</v>
      </c>
      <c r="I62" t="inlineStr">
        <is>
          <t>H&lt;700：取付不可</t>
        </is>
      </c>
      <c r="J62" t="inlineStr">
        <is>
          <t>2026価格表確認済み</t>
        </is>
      </c>
      <c r="K62" t="n">
        <v>139</v>
      </c>
      <c r="L62" t="inlineStr">
        <is>
          <t>202604完成品価格表 P138-141/P254</t>
        </is>
      </c>
      <c r="M62" t="inlineStr">
        <is>
          <t>https://drive.google.com/file/d/1YUN-mtWYs48YBUHJk0C3vJXnhjyZFHyf/view</t>
        </is>
      </c>
      <c r="N62" t="inlineStr">
        <is>
          <t>非表示</t>
        </is>
      </c>
    </row>
    <row r="63">
      <c r="A63" t="inlineStr">
        <is>
          <t>KOSZ-SL-0060</t>
        </is>
      </c>
      <c r="B63" t="inlineStr">
        <is>
          <t>SZ-SL-000924</t>
        </is>
      </c>
      <c r="C63" t="inlineStr">
        <is>
          <t>11903</t>
        </is>
      </c>
      <c r="D63" t="n">
        <v>1235</v>
      </c>
      <c r="E63" t="n">
        <v>370</v>
      </c>
      <c r="F63" t="inlineStr">
        <is>
          <t>SP-SL-KOSHO-ELECTRIC</t>
        </is>
      </c>
      <c r="G63" t="inlineStr">
        <is>
          <t>電動ユニット</t>
        </is>
      </c>
      <c r="H63" t="b">
        <v>1</v>
      </c>
      <c r="I63" t="inlineStr">
        <is>
          <t>現行規格サイズ・電動候補</t>
        </is>
      </c>
      <c r="J63" t="inlineStr">
        <is>
          <t>2026価格表確認済み</t>
        </is>
      </c>
      <c r="K63" t="n">
        <v>139</v>
      </c>
      <c r="L63" t="inlineStr">
        <is>
          <t>202604完成品価格表 P138-141/P254</t>
        </is>
      </c>
      <c r="M63" t="inlineStr">
        <is>
          <t>https://drive.google.com/file/d/1YUN-mtWYs48YBUHJk0C3vJXnhjyZFHyf/view</t>
        </is>
      </c>
      <c r="N63" t="inlineStr">
        <is>
          <t>候補表示</t>
        </is>
      </c>
    </row>
    <row r="64">
      <c r="A64" t="inlineStr">
        <is>
          <t>KOSZ-SL-0061</t>
        </is>
      </c>
      <c r="B64" t="inlineStr">
        <is>
          <t>SZ-SL-000925</t>
        </is>
      </c>
      <c r="C64" t="inlineStr">
        <is>
          <t>11905</t>
        </is>
      </c>
      <c r="D64" t="n">
        <v>1235</v>
      </c>
      <c r="E64" t="n">
        <v>570</v>
      </c>
      <c r="F64" t="inlineStr">
        <is>
          <t>SP-SL-KOSHO-HANDLE</t>
        </is>
      </c>
      <c r="G64" t="inlineStr">
        <is>
          <t>オペレーターハンドル</t>
        </is>
      </c>
      <c r="H64" t="b">
        <v>0</v>
      </c>
      <c r="I64" t="inlineStr">
        <is>
          <t>H&lt;700：取付不可</t>
        </is>
      </c>
      <c r="J64" t="inlineStr">
        <is>
          <t>2026価格表確認済み</t>
        </is>
      </c>
      <c r="K64" t="n">
        <v>139</v>
      </c>
      <c r="L64" t="inlineStr">
        <is>
          <t>202604完成品価格表 P138-141/P254</t>
        </is>
      </c>
      <c r="M64" t="inlineStr">
        <is>
          <t>https://drive.google.com/file/d/1YUN-mtWYs48YBUHJk0C3vJXnhjyZFHyf/view</t>
        </is>
      </c>
      <c r="N64" t="inlineStr">
        <is>
          <t>非表示</t>
        </is>
      </c>
    </row>
    <row r="65">
      <c r="A65" t="inlineStr">
        <is>
          <t>KOSZ-SL-0062</t>
        </is>
      </c>
      <c r="B65" t="inlineStr">
        <is>
          <t>SZ-SL-000925</t>
        </is>
      </c>
      <c r="C65" t="inlineStr">
        <is>
          <t>11905</t>
        </is>
      </c>
      <c r="D65" t="n">
        <v>1235</v>
      </c>
      <c r="E65" t="n">
        <v>570</v>
      </c>
      <c r="F65" t="inlineStr">
        <is>
          <t>SP-SL-KOSHO-SINGLE</t>
        </is>
      </c>
      <c r="G65" t="inlineStr">
        <is>
          <t>シングルループチェーン</t>
        </is>
      </c>
      <c r="H65" t="b">
        <v>0</v>
      </c>
      <c r="I65" t="inlineStr">
        <is>
          <t>H&lt;700：取付不可</t>
        </is>
      </c>
      <c r="J65" t="inlineStr">
        <is>
          <t>2026価格表確認済み</t>
        </is>
      </c>
      <c r="K65" t="n">
        <v>139</v>
      </c>
      <c r="L65" t="inlineStr">
        <is>
          <t>202604完成品価格表 P138-141/P254</t>
        </is>
      </c>
      <c r="M65" t="inlineStr">
        <is>
          <t>https://drive.google.com/file/d/1YUN-mtWYs48YBUHJk0C3vJXnhjyZFHyf/view</t>
        </is>
      </c>
      <c r="N65" t="inlineStr">
        <is>
          <t>非表示</t>
        </is>
      </c>
    </row>
    <row r="66">
      <c r="A66" t="inlineStr">
        <is>
          <t>KOSZ-SL-0063</t>
        </is>
      </c>
      <c r="B66" t="inlineStr">
        <is>
          <t>SZ-SL-000925</t>
        </is>
      </c>
      <c r="C66" t="inlineStr">
        <is>
          <t>11905</t>
        </is>
      </c>
      <c r="D66" t="n">
        <v>1235</v>
      </c>
      <c r="E66" t="n">
        <v>570</v>
      </c>
      <c r="F66" t="inlineStr">
        <is>
          <t>SP-SL-KOSHO-DOUBLE</t>
        </is>
      </c>
      <c r="G66" t="inlineStr">
        <is>
          <t>ダブルループチェーン</t>
        </is>
      </c>
      <c r="H66" t="b">
        <v>0</v>
      </c>
      <c r="I66" t="inlineStr">
        <is>
          <t>H&lt;700：取付不可</t>
        </is>
      </c>
      <c r="J66" t="inlineStr">
        <is>
          <t>2026価格表確認済み</t>
        </is>
      </c>
      <c r="K66" t="n">
        <v>139</v>
      </c>
      <c r="L66" t="inlineStr">
        <is>
          <t>202604完成品価格表 P138-141/P254</t>
        </is>
      </c>
      <c r="M66" t="inlineStr">
        <is>
          <t>https://drive.google.com/file/d/1YUN-mtWYs48YBUHJk0C3vJXnhjyZFHyf/view</t>
        </is>
      </c>
      <c r="N66" t="inlineStr">
        <is>
          <t>非表示</t>
        </is>
      </c>
    </row>
    <row r="67">
      <c r="A67" t="inlineStr">
        <is>
          <t>KOSZ-SL-0064</t>
        </is>
      </c>
      <c r="B67" t="inlineStr">
        <is>
          <t>SZ-SL-000925</t>
        </is>
      </c>
      <c r="C67" t="inlineStr">
        <is>
          <t>11905</t>
        </is>
      </c>
      <c r="D67" t="n">
        <v>1235</v>
      </c>
      <c r="E67" t="n">
        <v>570</v>
      </c>
      <c r="F67" t="inlineStr">
        <is>
          <t>SP-SL-KOSHO-ELECTRIC</t>
        </is>
      </c>
      <c r="G67" t="inlineStr">
        <is>
          <t>電動ユニット</t>
        </is>
      </c>
      <c r="H67" t="b">
        <v>1</v>
      </c>
      <c r="I67" t="inlineStr">
        <is>
          <t>現行規格サイズ・電動候補</t>
        </is>
      </c>
      <c r="J67" t="inlineStr">
        <is>
          <t>2026価格表確認済み</t>
        </is>
      </c>
      <c r="K67" t="n">
        <v>139</v>
      </c>
      <c r="L67" t="inlineStr">
        <is>
          <t>202604完成品価格表 P138-141/P254</t>
        </is>
      </c>
      <c r="M67" t="inlineStr">
        <is>
          <t>https://drive.google.com/file/d/1YUN-mtWYs48YBUHJk0C3vJXnhjyZFHyf/view</t>
        </is>
      </c>
      <c r="N67" t="inlineStr">
        <is>
          <t>候補表示</t>
        </is>
      </c>
    </row>
    <row r="68">
      <c r="A68" t="inlineStr">
        <is>
          <t>KOSZ-SL-0065</t>
        </is>
      </c>
      <c r="B68" t="inlineStr">
        <is>
          <t>SZ-SL-000926</t>
        </is>
      </c>
      <c r="C68" t="inlineStr">
        <is>
          <t>160023</t>
        </is>
      </c>
      <c r="D68" t="n">
        <v>1640</v>
      </c>
      <c r="E68" t="n">
        <v>300</v>
      </c>
      <c r="F68" t="inlineStr">
        <is>
          <t>SP-SL-KOSHO-HANDLE</t>
        </is>
      </c>
      <c r="G68" t="inlineStr">
        <is>
          <t>オペレーターハンドル</t>
        </is>
      </c>
      <c r="H68" t="b">
        <v>0</v>
      </c>
      <c r="I68" t="inlineStr">
        <is>
          <t>H&lt;700：取付不可</t>
        </is>
      </c>
      <c r="J68" t="inlineStr">
        <is>
          <t>2026価格表確認済み</t>
        </is>
      </c>
      <c r="K68" t="n">
        <v>139</v>
      </c>
      <c r="L68" t="inlineStr">
        <is>
          <t>202604完成品価格表 P138-141/P254</t>
        </is>
      </c>
      <c r="M68" t="inlineStr">
        <is>
          <t>https://drive.google.com/file/d/1YUN-mtWYs48YBUHJk0C3vJXnhjyZFHyf/view</t>
        </is>
      </c>
      <c r="N68" t="inlineStr">
        <is>
          <t>非表示</t>
        </is>
      </c>
    </row>
    <row r="69">
      <c r="A69" t="inlineStr">
        <is>
          <t>KOSZ-SL-0066</t>
        </is>
      </c>
      <c r="B69" t="inlineStr">
        <is>
          <t>SZ-SL-000926</t>
        </is>
      </c>
      <c r="C69" t="inlineStr">
        <is>
          <t>160023</t>
        </is>
      </c>
      <c r="D69" t="n">
        <v>1640</v>
      </c>
      <c r="E69" t="n">
        <v>300</v>
      </c>
      <c r="F69" t="inlineStr">
        <is>
          <t>SP-SL-KOSHO-SINGLE</t>
        </is>
      </c>
      <c r="G69" t="inlineStr">
        <is>
          <t>シングルループチェーン</t>
        </is>
      </c>
      <c r="H69" t="b">
        <v>0</v>
      </c>
      <c r="I69" t="inlineStr">
        <is>
          <t>H&lt;700：取付不可</t>
        </is>
      </c>
      <c r="J69" t="inlineStr">
        <is>
          <t>2026価格表確認済み</t>
        </is>
      </c>
      <c r="K69" t="n">
        <v>139</v>
      </c>
      <c r="L69" t="inlineStr">
        <is>
          <t>202604完成品価格表 P138-141/P254</t>
        </is>
      </c>
      <c r="M69" t="inlineStr">
        <is>
          <t>https://drive.google.com/file/d/1YUN-mtWYs48YBUHJk0C3vJXnhjyZFHyf/view</t>
        </is>
      </c>
      <c r="N69" t="inlineStr">
        <is>
          <t>非表示</t>
        </is>
      </c>
    </row>
    <row r="70">
      <c r="A70" t="inlineStr">
        <is>
          <t>KOSZ-SL-0067</t>
        </is>
      </c>
      <c r="B70" t="inlineStr">
        <is>
          <t>SZ-SL-000926</t>
        </is>
      </c>
      <c r="C70" t="inlineStr">
        <is>
          <t>160023</t>
        </is>
      </c>
      <c r="D70" t="n">
        <v>1640</v>
      </c>
      <c r="E70" t="n">
        <v>300</v>
      </c>
      <c r="F70" t="inlineStr">
        <is>
          <t>SP-SL-KOSHO-DOUBLE</t>
        </is>
      </c>
      <c r="G70" t="inlineStr">
        <is>
          <t>ダブルループチェーン</t>
        </is>
      </c>
      <c r="H70" t="b">
        <v>0</v>
      </c>
      <c r="I70" t="inlineStr">
        <is>
          <t>H&lt;700：取付不可</t>
        </is>
      </c>
      <c r="J70" t="inlineStr">
        <is>
          <t>2026価格表確認済み</t>
        </is>
      </c>
      <c r="K70" t="n">
        <v>139</v>
      </c>
      <c r="L70" t="inlineStr">
        <is>
          <t>202604完成品価格表 P138-141/P254</t>
        </is>
      </c>
      <c r="M70" t="inlineStr">
        <is>
          <t>https://drive.google.com/file/d/1YUN-mtWYs48YBUHJk0C3vJXnhjyZFHyf/view</t>
        </is>
      </c>
      <c r="N70" t="inlineStr">
        <is>
          <t>非表示</t>
        </is>
      </c>
    </row>
    <row r="71">
      <c r="A71" t="inlineStr">
        <is>
          <t>KOSZ-SL-0068</t>
        </is>
      </c>
      <c r="B71" t="inlineStr">
        <is>
          <t>SZ-SL-000926</t>
        </is>
      </c>
      <c r="C71" t="inlineStr">
        <is>
          <t>160023</t>
        </is>
      </c>
      <c r="D71" t="n">
        <v>1640</v>
      </c>
      <c r="E71" t="n">
        <v>300</v>
      </c>
      <c r="F71" t="inlineStr">
        <is>
          <t>SP-SL-KOSHO-ELECTRIC</t>
        </is>
      </c>
      <c r="G71" t="inlineStr">
        <is>
          <t>電動ユニット</t>
        </is>
      </c>
      <c r="H71" t="b">
        <v>1</v>
      </c>
      <c r="I71" t="inlineStr">
        <is>
          <t>現行規格サイズ・電動候補</t>
        </is>
      </c>
      <c r="J71" t="inlineStr">
        <is>
          <t>2026価格表確認済み</t>
        </is>
      </c>
      <c r="K71" t="n">
        <v>139</v>
      </c>
      <c r="L71" t="inlineStr">
        <is>
          <t>202604完成品価格表 P138-141/P254</t>
        </is>
      </c>
      <c r="M71" t="inlineStr">
        <is>
          <t>https://drive.google.com/file/d/1YUN-mtWYs48YBUHJk0C3vJXnhjyZFHyf/view</t>
        </is>
      </c>
      <c r="N71" t="inlineStr">
        <is>
          <t>候補表示</t>
        </is>
      </c>
    </row>
    <row r="72">
      <c r="A72" t="inlineStr">
        <is>
          <t>KOSZ-SL-0069</t>
        </is>
      </c>
      <c r="B72" t="inlineStr">
        <is>
          <t>SZ-SL-000927</t>
        </is>
      </c>
      <c r="C72" t="inlineStr">
        <is>
          <t>160028</t>
        </is>
      </c>
      <c r="D72" t="n">
        <v>1640</v>
      </c>
      <c r="E72" t="n">
        <v>350</v>
      </c>
      <c r="F72" t="inlineStr">
        <is>
          <t>SP-SL-KOSHO-HANDLE</t>
        </is>
      </c>
      <c r="G72" t="inlineStr">
        <is>
          <t>オペレーターハンドル</t>
        </is>
      </c>
      <c r="H72" t="b">
        <v>0</v>
      </c>
      <c r="I72" t="inlineStr">
        <is>
          <t>H&lt;700：取付不可</t>
        </is>
      </c>
      <c r="J72" t="inlineStr">
        <is>
          <t>2026価格表確認済み</t>
        </is>
      </c>
      <c r="K72" t="n">
        <v>139</v>
      </c>
      <c r="L72" t="inlineStr">
        <is>
          <t>202604完成品価格表 P138-141/P254</t>
        </is>
      </c>
      <c r="M72" t="inlineStr">
        <is>
          <t>https://drive.google.com/file/d/1YUN-mtWYs48YBUHJk0C3vJXnhjyZFHyf/view</t>
        </is>
      </c>
      <c r="N72" t="inlineStr">
        <is>
          <t>非表示</t>
        </is>
      </c>
    </row>
    <row r="73">
      <c r="A73" t="inlineStr">
        <is>
          <t>KOSZ-SL-0070</t>
        </is>
      </c>
      <c r="B73" t="inlineStr">
        <is>
          <t>SZ-SL-000927</t>
        </is>
      </c>
      <c r="C73" t="inlineStr">
        <is>
          <t>160028</t>
        </is>
      </c>
      <c r="D73" t="n">
        <v>1640</v>
      </c>
      <c r="E73" t="n">
        <v>350</v>
      </c>
      <c r="F73" t="inlineStr">
        <is>
          <t>SP-SL-KOSHO-SINGLE</t>
        </is>
      </c>
      <c r="G73" t="inlineStr">
        <is>
          <t>シングルループチェーン</t>
        </is>
      </c>
      <c r="H73" t="b">
        <v>0</v>
      </c>
      <c r="I73" t="inlineStr">
        <is>
          <t>H&lt;700：取付不可</t>
        </is>
      </c>
      <c r="J73" t="inlineStr">
        <is>
          <t>2026価格表確認済み</t>
        </is>
      </c>
      <c r="K73" t="n">
        <v>139</v>
      </c>
      <c r="L73" t="inlineStr">
        <is>
          <t>202604完成品価格表 P138-141/P254</t>
        </is>
      </c>
      <c r="M73" t="inlineStr">
        <is>
          <t>https://drive.google.com/file/d/1YUN-mtWYs48YBUHJk0C3vJXnhjyZFHyf/view</t>
        </is>
      </c>
      <c r="N73" t="inlineStr">
        <is>
          <t>非表示</t>
        </is>
      </c>
    </row>
    <row r="74">
      <c r="A74" t="inlineStr">
        <is>
          <t>KOSZ-SL-0071</t>
        </is>
      </c>
      <c r="B74" t="inlineStr">
        <is>
          <t>SZ-SL-000927</t>
        </is>
      </c>
      <c r="C74" t="inlineStr">
        <is>
          <t>160028</t>
        </is>
      </c>
      <c r="D74" t="n">
        <v>1640</v>
      </c>
      <c r="E74" t="n">
        <v>350</v>
      </c>
      <c r="F74" t="inlineStr">
        <is>
          <t>SP-SL-KOSHO-DOUBLE</t>
        </is>
      </c>
      <c r="G74" t="inlineStr">
        <is>
          <t>ダブルループチェーン</t>
        </is>
      </c>
      <c r="H74" t="b">
        <v>0</v>
      </c>
      <c r="I74" t="inlineStr">
        <is>
          <t>H&lt;700：取付不可</t>
        </is>
      </c>
      <c r="J74" t="inlineStr">
        <is>
          <t>2026価格表確認済み</t>
        </is>
      </c>
      <c r="K74" t="n">
        <v>139</v>
      </c>
      <c r="L74" t="inlineStr">
        <is>
          <t>202604完成品価格表 P138-141/P254</t>
        </is>
      </c>
      <c r="M74" t="inlineStr">
        <is>
          <t>https://drive.google.com/file/d/1YUN-mtWYs48YBUHJk0C3vJXnhjyZFHyf/view</t>
        </is>
      </c>
      <c r="N74" t="inlineStr">
        <is>
          <t>非表示</t>
        </is>
      </c>
    </row>
    <row r="75">
      <c r="A75" t="inlineStr">
        <is>
          <t>KOSZ-SL-0072</t>
        </is>
      </c>
      <c r="B75" t="inlineStr">
        <is>
          <t>SZ-SL-000927</t>
        </is>
      </c>
      <c r="C75" t="inlineStr">
        <is>
          <t>160028</t>
        </is>
      </c>
      <c r="D75" t="n">
        <v>1640</v>
      </c>
      <c r="E75" t="n">
        <v>350</v>
      </c>
      <c r="F75" t="inlineStr">
        <is>
          <t>SP-SL-KOSHO-ELECTRIC</t>
        </is>
      </c>
      <c r="G75" t="inlineStr">
        <is>
          <t>電動ユニット</t>
        </is>
      </c>
      <c r="H75" t="b">
        <v>1</v>
      </c>
      <c r="I75" t="inlineStr">
        <is>
          <t>現行規格サイズ・電動候補</t>
        </is>
      </c>
      <c r="J75" t="inlineStr">
        <is>
          <t>2026価格表確認済み</t>
        </is>
      </c>
      <c r="K75" t="n">
        <v>139</v>
      </c>
      <c r="L75" t="inlineStr">
        <is>
          <t>202604完成品価格表 P138-141/P254</t>
        </is>
      </c>
      <c r="M75" t="inlineStr">
        <is>
          <t>https://drive.google.com/file/d/1YUN-mtWYs48YBUHJk0C3vJXnhjyZFHyf/view</t>
        </is>
      </c>
      <c r="N75" t="inlineStr">
        <is>
          <t>候補表示</t>
        </is>
      </c>
    </row>
    <row r="76">
      <c r="A76" t="inlineStr">
        <is>
          <t>KOSZ-SL-0073</t>
        </is>
      </c>
      <c r="B76" t="inlineStr">
        <is>
          <t>SZ-SL-000928</t>
        </is>
      </c>
      <c r="C76" t="inlineStr">
        <is>
          <t>16003</t>
        </is>
      </c>
      <c r="D76" t="n">
        <v>1640</v>
      </c>
      <c r="E76" t="n">
        <v>370</v>
      </c>
      <c r="F76" t="inlineStr">
        <is>
          <t>SP-SL-KOSHO-HANDLE</t>
        </is>
      </c>
      <c r="G76" t="inlineStr">
        <is>
          <t>オペレーターハンドル</t>
        </is>
      </c>
      <c r="H76" t="b">
        <v>0</v>
      </c>
      <c r="I76" t="inlineStr">
        <is>
          <t>H&lt;700：取付不可</t>
        </is>
      </c>
      <c r="J76" t="inlineStr">
        <is>
          <t>2026価格表確認済み</t>
        </is>
      </c>
      <c r="K76" t="n">
        <v>139</v>
      </c>
      <c r="L76" t="inlineStr">
        <is>
          <t>202604完成品価格表 P138-141/P254</t>
        </is>
      </c>
      <c r="M76" t="inlineStr">
        <is>
          <t>https://drive.google.com/file/d/1YUN-mtWYs48YBUHJk0C3vJXnhjyZFHyf/view</t>
        </is>
      </c>
      <c r="N76" t="inlineStr">
        <is>
          <t>非表示</t>
        </is>
      </c>
    </row>
    <row r="77">
      <c r="A77" t="inlineStr">
        <is>
          <t>KOSZ-SL-0074</t>
        </is>
      </c>
      <c r="B77" t="inlineStr">
        <is>
          <t>SZ-SL-000928</t>
        </is>
      </c>
      <c r="C77" t="inlineStr">
        <is>
          <t>16003</t>
        </is>
      </c>
      <c r="D77" t="n">
        <v>1640</v>
      </c>
      <c r="E77" t="n">
        <v>370</v>
      </c>
      <c r="F77" t="inlineStr">
        <is>
          <t>SP-SL-KOSHO-SINGLE</t>
        </is>
      </c>
      <c r="G77" t="inlineStr">
        <is>
          <t>シングルループチェーン</t>
        </is>
      </c>
      <c r="H77" t="b">
        <v>0</v>
      </c>
      <c r="I77" t="inlineStr">
        <is>
          <t>H&lt;700：取付不可</t>
        </is>
      </c>
      <c r="J77" t="inlineStr">
        <is>
          <t>2026価格表確認済み</t>
        </is>
      </c>
      <c r="K77" t="n">
        <v>139</v>
      </c>
      <c r="L77" t="inlineStr">
        <is>
          <t>202604完成品価格表 P138-141/P254</t>
        </is>
      </c>
      <c r="M77" t="inlineStr">
        <is>
          <t>https://drive.google.com/file/d/1YUN-mtWYs48YBUHJk0C3vJXnhjyZFHyf/view</t>
        </is>
      </c>
      <c r="N77" t="inlineStr">
        <is>
          <t>非表示</t>
        </is>
      </c>
    </row>
    <row r="78">
      <c r="A78" t="inlineStr">
        <is>
          <t>KOSZ-SL-0075</t>
        </is>
      </c>
      <c r="B78" t="inlineStr">
        <is>
          <t>SZ-SL-000928</t>
        </is>
      </c>
      <c r="C78" t="inlineStr">
        <is>
          <t>16003</t>
        </is>
      </c>
      <c r="D78" t="n">
        <v>1640</v>
      </c>
      <c r="E78" t="n">
        <v>370</v>
      </c>
      <c r="F78" t="inlineStr">
        <is>
          <t>SP-SL-KOSHO-DOUBLE</t>
        </is>
      </c>
      <c r="G78" t="inlineStr">
        <is>
          <t>ダブルループチェーン</t>
        </is>
      </c>
      <c r="H78" t="b">
        <v>0</v>
      </c>
      <c r="I78" t="inlineStr">
        <is>
          <t>H&lt;700：取付不可</t>
        </is>
      </c>
      <c r="J78" t="inlineStr">
        <is>
          <t>2026価格表確認済み</t>
        </is>
      </c>
      <c r="K78" t="n">
        <v>139</v>
      </c>
      <c r="L78" t="inlineStr">
        <is>
          <t>202604完成品価格表 P138-141/P254</t>
        </is>
      </c>
      <c r="M78" t="inlineStr">
        <is>
          <t>https://drive.google.com/file/d/1YUN-mtWYs48YBUHJk0C3vJXnhjyZFHyf/view</t>
        </is>
      </c>
      <c r="N78" t="inlineStr">
        <is>
          <t>非表示</t>
        </is>
      </c>
    </row>
    <row r="79">
      <c r="A79" t="inlineStr">
        <is>
          <t>KOSZ-SL-0076</t>
        </is>
      </c>
      <c r="B79" t="inlineStr">
        <is>
          <t>SZ-SL-000928</t>
        </is>
      </c>
      <c r="C79" t="inlineStr">
        <is>
          <t>16003</t>
        </is>
      </c>
      <c r="D79" t="n">
        <v>1640</v>
      </c>
      <c r="E79" t="n">
        <v>370</v>
      </c>
      <c r="F79" t="inlineStr">
        <is>
          <t>SP-SL-KOSHO-ELECTRIC</t>
        </is>
      </c>
      <c r="G79" t="inlineStr">
        <is>
          <t>電動ユニット</t>
        </is>
      </c>
      <c r="H79" t="b">
        <v>1</v>
      </c>
      <c r="I79" t="inlineStr">
        <is>
          <t>現行規格サイズ・電動候補</t>
        </is>
      </c>
      <c r="J79" t="inlineStr">
        <is>
          <t>2026価格表確認済み</t>
        </is>
      </c>
      <c r="K79" t="n">
        <v>139</v>
      </c>
      <c r="L79" t="inlineStr">
        <is>
          <t>202604完成品価格表 P138-141/P254</t>
        </is>
      </c>
      <c r="M79" t="inlineStr">
        <is>
          <t>https://drive.google.com/file/d/1YUN-mtWYs48YBUHJk0C3vJXnhjyZFHyf/view</t>
        </is>
      </c>
      <c r="N79" t="inlineStr">
        <is>
          <t>候補表示</t>
        </is>
      </c>
    </row>
    <row r="80">
      <c r="A80" t="inlineStr">
        <is>
          <t>KOSZ-SL-0077</t>
        </is>
      </c>
      <c r="B80" t="inlineStr">
        <is>
          <t>SZ-SL-000929</t>
        </is>
      </c>
      <c r="C80" t="inlineStr">
        <is>
          <t>16005</t>
        </is>
      </c>
      <c r="D80" t="n">
        <v>1640</v>
      </c>
      <c r="E80" t="n">
        <v>570</v>
      </c>
      <c r="F80" t="inlineStr">
        <is>
          <t>SP-SL-KOSHO-HANDLE</t>
        </is>
      </c>
      <c r="G80" t="inlineStr">
        <is>
          <t>オペレーターハンドル</t>
        </is>
      </c>
      <c r="H80" t="b">
        <v>0</v>
      </c>
      <c r="I80" t="inlineStr">
        <is>
          <t>H&lt;700：取付不可</t>
        </is>
      </c>
      <c r="J80" t="inlineStr">
        <is>
          <t>2026価格表確認済み</t>
        </is>
      </c>
      <c r="K80" t="n">
        <v>139</v>
      </c>
      <c r="L80" t="inlineStr">
        <is>
          <t>202604完成品価格表 P138-141/P254</t>
        </is>
      </c>
      <c r="M80" t="inlineStr">
        <is>
          <t>https://drive.google.com/file/d/1YUN-mtWYs48YBUHJk0C3vJXnhjyZFHyf/view</t>
        </is>
      </c>
      <c r="N80" t="inlineStr">
        <is>
          <t>非表示</t>
        </is>
      </c>
    </row>
    <row r="81">
      <c r="A81" t="inlineStr">
        <is>
          <t>KOSZ-SL-0078</t>
        </is>
      </c>
      <c r="B81" t="inlineStr">
        <is>
          <t>SZ-SL-000929</t>
        </is>
      </c>
      <c r="C81" t="inlineStr">
        <is>
          <t>16005</t>
        </is>
      </c>
      <c r="D81" t="n">
        <v>1640</v>
      </c>
      <c r="E81" t="n">
        <v>570</v>
      </c>
      <c r="F81" t="inlineStr">
        <is>
          <t>SP-SL-KOSHO-SINGLE</t>
        </is>
      </c>
      <c r="G81" t="inlineStr">
        <is>
          <t>シングルループチェーン</t>
        </is>
      </c>
      <c r="H81" t="b">
        <v>0</v>
      </c>
      <c r="I81" t="inlineStr">
        <is>
          <t>H&lt;700：取付不可</t>
        </is>
      </c>
      <c r="J81" t="inlineStr">
        <is>
          <t>2026価格表確認済み</t>
        </is>
      </c>
      <c r="K81" t="n">
        <v>139</v>
      </c>
      <c r="L81" t="inlineStr">
        <is>
          <t>202604完成品価格表 P138-141/P254</t>
        </is>
      </c>
      <c r="M81" t="inlineStr">
        <is>
          <t>https://drive.google.com/file/d/1YUN-mtWYs48YBUHJk0C3vJXnhjyZFHyf/view</t>
        </is>
      </c>
      <c r="N81" t="inlineStr">
        <is>
          <t>非表示</t>
        </is>
      </c>
    </row>
    <row r="82">
      <c r="A82" t="inlineStr">
        <is>
          <t>KOSZ-SL-0079</t>
        </is>
      </c>
      <c r="B82" t="inlineStr">
        <is>
          <t>SZ-SL-000929</t>
        </is>
      </c>
      <c r="C82" t="inlineStr">
        <is>
          <t>16005</t>
        </is>
      </c>
      <c r="D82" t="n">
        <v>1640</v>
      </c>
      <c r="E82" t="n">
        <v>570</v>
      </c>
      <c r="F82" t="inlineStr">
        <is>
          <t>SP-SL-KOSHO-DOUBLE</t>
        </is>
      </c>
      <c r="G82" t="inlineStr">
        <is>
          <t>ダブルループチェーン</t>
        </is>
      </c>
      <c r="H82" t="b">
        <v>0</v>
      </c>
      <c r="I82" t="inlineStr">
        <is>
          <t>H&lt;700：取付不可</t>
        </is>
      </c>
      <c r="J82" t="inlineStr">
        <is>
          <t>2026価格表確認済み</t>
        </is>
      </c>
      <c r="K82" t="n">
        <v>139</v>
      </c>
      <c r="L82" t="inlineStr">
        <is>
          <t>202604完成品価格表 P138-141/P254</t>
        </is>
      </c>
      <c r="M82" t="inlineStr">
        <is>
          <t>https://drive.google.com/file/d/1YUN-mtWYs48YBUHJk0C3vJXnhjyZFHyf/view</t>
        </is>
      </c>
      <c r="N82" t="inlineStr">
        <is>
          <t>非表示</t>
        </is>
      </c>
    </row>
    <row r="83">
      <c r="A83" t="inlineStr">
        <is>
          <t>KOSZ-SL-0080</t>
        </is>
      </c>
      <c r="B83" t="inlineStr">
        <is>
          <t>SZ-SL-000929</t>
        </is>
      </c>
      <c r="C83" t="inlineStr">
        <is>
          <t>16005</t>
        </is>
      </c>
      <c r="D83" t="n">
        <v>1640</v>
      </c>
      <c r="E83" t="n">
        <v>570</v>
      </c>
      <c r="F83" t="inlineStr">
        <is>
          <t>SP-SL-KOSHO-ELECTRIC</t>
        </is>
      </c>
      <c r="G83" t="inlineStr">
        <is>
          <t>電動ユニット</t>
        </is>
      </c>
      <c r="H83" t="b">
        <v>1</v>
      </c>
      <c r="I83" t="inlineStr">
        <is>
          <t>現行規格サイズ・電動候補</t>
        </is>
      </c>
      <c r="J83" t="inlineStr">
        <is>
          <t>2026価格表確認済み</t>
        </is>
      </c>
      <c r="K83" t="n">
        <v>139</v>
      </c>
      <c r="L83" t="inlineStr">
        <is>
          <t>202604完成品価格表 P138-141/P254</t>
        </is>
      </c>
      <c r="M83" t="inlineStr">
        <is>
          <t>https://drive.google.com/file/d/1YUN-mtWYs48YBUHJk0C3vJXnhjyZFHyf/view</t>
        </is>
      </c>
      <c r="N83" t="inlineStr">
        <is>
          <t>候補表示</t>
        </is>
      </c>
    </row>
    <row r="84">
      <c r="A84" t="inlineStr">
        <is>
          <t>KOSZ-SL-0081</t>
        </is>
      </c>
      <c r="B84" t="inlineStr">
        <is>
          <t>SZ-SL-000930</t>
        </is>
      </c>
      <c r="C84" t="inlineStr">
        <is>
          <t>165023</t>
        </is>
      </c>
      <c r="D84" t="n">
        <v>1690</v>
      </c>
      <c r="E84" t="n">
        <v>300</v>
      </c>
      <c r="F84" t="inlineStr">
        <is>
          <t>SP-SL-KOSHO-HANDLE</t>
        </is>
      </c>
      <c r="G84" t="inlineStr">
        <is>
          <t>オペレーターハンドル</t>
        </is>
      </c>
      <c r="H84" t="b">
        <v>0</v>
      </c>
      <c r="I84" t="inlineStr">
        <is>
          <t>H&lt;700：取付不可</t>
        </is>
      </c>
      <c r="J84" t="inlineStr">
        <is>
          <t>2026価格表確認済み</t>
        </is>
      </c>
      <c r="K84" t="n">
        <v>139</v>
      </c>
      <c r="L84" t="inlineStr">
        <is>
          <t>202604完成品価格表 P138-141/P254</t>
        </is>
      </c>
      <c r="M84" t="inlineStr">
        <is>
          <t>https://drive.google.com/file/d/1YUN-mtWYs48YBUHJk0C3vJXnhjyZFHyf/view</t>
        </is>
      </c>
      <c r="N84" t="inlineStr">
        <is>
          <t>非表示</t>
        </is>
      </c>
    </row>
    <row r="85">
      <c r="A85" t="inlineStr">
        <is>
          <t>KOSZ-SL-0082</t>
        </is>
      </c>
      <c r="B85" t="inlineStr">
        <is>
          <t>SZ-SL-000930</t>
        </is>
      </c>
      <c r="C85" t="inlineStr">
        <is>
          <t>165023</t>
        </is>
      </c>
      <c r="D85" t="n">
        <v>1690</v>
      </c>
      <c r="E85" t="n">
        <v>300</v>
      </c>
      <c r="F85" t="inlineStr">
        <is>
          <t>SP-SL-KOSHO-SINGLE</t>
        </is>
      </c>
      <c r="G85" t="inlineStr">
        <is>
          <t>シングルループチェーン</t>
        </is>
      </c>
      <c r="H85" t="b">
        <v>0</v>
      </c>
      <c r="I85" t="inlineStr">
        <is>
          <t>H&lt;700：取付不可</t>
        </is>
      </c>
      <c r="J85" t="inlineStr">
        <is>
          <t>2026価格表確認済み</t>
        </is>
      </c>
      <c r="K85" t="n">
        <v>139</v>
      </c>
      <c r="L85" t="inlineStr">
        <is>
          <t>202604完成品価格表 P138-141/P254</t>
        </is>
      </c>
      <c r="M85" t="inlineStr">
        <is>
          <t>https://drive.google.com/file/d/1YUN-mtWYs48YBUHJk0C3vJXnhjyZFHyf/view</t>
        </is>
      </c>
      <c r="N85" t="inlineStr">
        <is>
          <t>非表示</t>
        </is>
      </c>
    </row>
    <row r="86">
      <c r="A86" t="inlineStr">
        <is>
          <t>KOSZ-SL-0083</t>
        </is>
      </c>
      <c r="B86" t="inlineStr">
        <is>
          <t>SZ-SL-000930</t>
        </is>
      </c>
      <c r="C86" t="inlineStr">
        <is>
          <t>165023</t>
        </is>
      </c>
      <c r="D86" t="n">
        <v>1690</v>
      </c>
      <c r="E86" t="n">
        <v>300</v>
      </c>
      <c r="F86" t="inlineStr">
        <is>
          <t>SP-SL-KOSHO-DOUBLE</t>
        </is>
      </c>
      <c r="G86" t="inlineStr">
        <is>
          <t>ダブルループチェーン</t>
        </is>
      </c>
      <c r="H86" t="b">
        <v>0</v>
      </c>
      <c r="I86" t="inlineStr">
        <is>
          <t>H&lt;700：取付不可</t>
        </is>
      </c>
      <c r="J86" t="inlineStr">
        <is>
          <t>2026価格表確認済み</t>
        </is>
      </c>
      <c r="K86" t="n">
        <v>139</v>
      </c>
      <c r="L86" t="inlineStr">
        <is>
          <t>202604完成品価格表 P138-141/P254</t>
        </is>
      </c>
      <c r="M86" t="inlineStr">
        <is>
          <t>https://drive.google.com/file/d/1YUN-mtWYs48YBUHJk0C3vJXnhjyZFHyf/view</t>
        </is>
      </c>
      <c r="N86" t="inlineStr">
        <is>
          <t>非表示</t>
        </is>
      </c>
    </row>
    <row r="87">
      <c r="A87" t="inlineStr">
        <is>
          <t>KOSZ-SL-0084</t>
        </is>
      </c>
      <c r="B87" t="inlineStr">
        <is>
          <t>SZ-SL-000930</t>
        </is>
      </c>
      <c r="C87" t="inlineStr">
        <is>
          <t>165023</t>
        </is>
      </c>
      <c r="D87" t="n">
        <v>1690</v>
      </c>
      <c r="E87" t="n">
        <v>300</v>
      </c>
      <c r="F87" t="inlineStr">
        <is>
          <t>SP-SL-KOSHO-ELECTRIC</t>
        </is>
      </c>
      <c r="G87" t="inlineStr">
        <is>
          <t>電動ユニット</t>
        </is>
      </c>
      <c r="H87" t="b">
        <v>1</v>
      </c>
      <c r="I87" t="inlineStr">
        <is>
          <t>現行規格サイズ・電動候補</t>
        </is>
      </c>
      <c r="J87" t="inlineStr">
        <is>
          <t>2026価格表確認済み</t>
        </is>
      </c>
      <c r="K87" t="n">
        <v>139</v>
      </c>
      <c r="L87" t="inlineStr">
        <is>
          <t>202604完成品価格表 P138-141/P254</t>
        </is>
      </c>
      <c r="M87" t="inlineStr">
        <is>
          <t>https://drive.google.com/file/d/1YUN-mtWYs48YBUHJk0C3vJXnhjyZFHyf/view</t>
        </is>
      </c>
      <c r="N87" t="inlineStr">
        <is>
          <t>候補表示</t>
        </is>
      </c>
    </row>
    <row r="88">
      <c r="A88" t="inlineStr">
        <is>
          <t>KOSZ-SL-0085</t>
        </is>
      </c>
      <c r="B88" t="inlineStr">
        <is>
          <t>SZ-SL-000931</t>
        </is>
      </c>
      <c r="C88" t="inlineStr">
        <is>
          <t>165028</t>
        </is>
      </c>
      <c r="D88" t="n">
        <v>1690</v>
      </c>
      <c r="E88" t="n">
        <v>350</v>
      </c>
      <c r="F88" t="inlineStr">
        <is>
          <t>SP-SL-KOSHO-HANDLE</t>
        </is>
      </c>
      <c r="G88" t="inlineStr">
        <is>
          <t>オペレーターハンドル</t>
        </is>
      </c>
      <c r="H88" t="b">
        <v>0</v>
      </c>
      <c r="I88" t="inlineStr">
        <is>
          <t>H&lt;700：取付不可</t>
        </is>
      </c>
      <c r="J88" t="inlineStr">
        <is>
          <t>2026価格表確認済み</t>
        </is>
      </c>
      <c r="K88" t="n">
        <v>139</v>
      </c>
      <c r="L88" t="inlineStr">
        <is>
          <t>202604完成品価格表 P138-141/P254</t>
        </is>
      </c>
      <c r="M88" t="inlineStr">
        <is>
          <t>https://drive.google.com/file/d/1YUN-mtWYs48YBUHJk0C3vJXnhjyZFHyf/view</t>
        </is>
      </c>
      <c r="N88" t="inlineStr">
        <is>
          <t>非表示</t>
        </is>
      </c>
    </row>
    <row r="89">
      <c r="A89" t="inlineStr">
        <is>
          <t>KOSZ-SL-0086</t>
        </is>
      </c>
      <c r="B89" t="inlineStr">
        <is>
          <t>SZ-SL-000931</t>
        </is>
      </c>
      <c r="C89" t="inlineStr">
        <is>
          <t>165028</t>
        </is>
      </c>
      <c r="D89" t="n">
        <v>1690</v>
      </c>
      <c r="E89" t="n">
        <v>350</v>
      </c>
      <c r="F89" t="inlineStr">
        <is>
          <t>SP-SL-KOSHO-SINGLE</t>
        </is>
      </c>
      <c r="G89" t="inlineStr">
        <is>
          <t>シングルループチェーン</t>
        </is>
      </c>
      <c r="H89" t="b">
        <v>0</v>
      </c>
      <c r="I89" t="inlineStr">
        <is>
          <t>H&lt;700：取付不可</t>
        </is>
      </c>
      <c r="J89" t="inlineStr">
        <is>
          <t>2026価格表確認済み</t>
        </is>
      </c>
      <c r="K89" t="n">
        <v>139</v>
      </c>
      <c r="L89" t="inlineStr">
        <is>
          <t>202604完成品価格表 P138-141/P254</t>
        </is>
      </c>
      <c r="M89" t="inlineStr">
        <is>
          <t>https://drive.google.com/file/d/1YUN-mtWYs48YBUHJk0C3vJXnhjyZFHyf/view</t>
        </is>
      </c>
      <c r="N89" t="inlineStr">
        <is>
          <t>非表示</t>
        </is>
      </c>
    </row>
    <row r="90">
      <c r="A90" t="inlineStr">
        <is>
          <t>KOSZ-SL-0087</t>
        </is>
      </c>
      <c r="B90" t="inlineStr">
        <is>
          <t>SZ-SL-000931</t>
        </is>
      </c>
      <c r="C90" t="inlineStr">
        <is>
          <t>165028</t>
        </is>
      </c>
      <c r="D90" t="n">
        <v>1690</v>
      </c>
      <c r="E90" t="n">
        <v>350</v>
      </c>
      <c r="F90" t="inlineStr">
        <is>
          <t>SP-SL-KOSHO-DOUBLE</t>
        </is>
      </c>
      <c r="G90" t="inlineStr">
        <is>
          <t>ダブルループチェーン</t>
        </is>
      </c>
      <c r="H90" t="b">
        <v>0</v>
      </c>
      <c r="I90" t="inlineStr">
        <is>
          <t>H&lt;700：取付不可</t>
        </is>
      </c>
      <c r="J90" t="inlineStr">
        <is>
          <t>2026価格表確認済み</t>
        </is>
      </c>
      <c r="K90" t="n">
        <v>139</v>
      </c>
      <c r="L90" t="inlineStr">
        <is>
          <t>202604完成品価格表 P138-141/P254</t>
        </is>
      </c>
      <c r="M90" t="inlineStr">
        <is>
          <t>https://drive.google.com/file/d/1YUN-mtWYs48YBUHJk0C3vJXnhjyZFHyf/view</t>
        </is>
      </c>
      <c r="N90" t="inlineStr">
        <is>
          <t>非表示</t>
        </is>
      </c>
    </row>
    <row r="91">
      <c r="A91" t="inlineStr">
        <is>
          <t>KOSZ-SL-0088</t>
        </is>
      </c>
      <c r="B91" t="inlineStr">
        <is>
          <t>SZ-SL-000931</t>
        </is>
      </c>
      <c r="C91" t="inlineStr">
        <is>
          <t>165028</t>
        </is>
      </c>
      <c r="D91" t="n">
        <v>1690</v>
      </c>
      <c r="E91" t="n">
        <v>350</v>
      </c>
      <c r="F91" t="inlineStr">
        <is>
          <t>SP-SL-KOSHO-ELECTRIC</t>
        </is>
      </c>
      <c r="G91" t="inlineStr">
        <is>
          <t>電動ユニット</t>
        </is>
      </c>
      <c r="H91" t="b">
        <v>1</v>
      </c>
      <c r="I91" t="inlineStr">
        <is>
          <t>現行規格サイズ・電動候補</t>
        </is>
      </c>
      <c r="J91" t="inlineStr">
        <is>
          <t>2026価格表確認済み</t>
        </is>
      </c>
      <c r="K91" t="n">
        <v>139</v>
      </c>
      <c r="L91" t="inlineStr">
        <is>
          <t>202604完成品価格表 P138-141/P254</t>
        </is>
      </c>
      <c r="M91" t="inlineStr">
        <is>
          <t>https://drive.google.com/file/d/1YUN-mtWYs48YBUHJk0C3vJXnhjyZFHyf/view</t>
        </is>
      </c>
      <c r="N91" t="inlineStr">
        <is>
          <t>候補表示</t>
        </is>
      </c>
    </row>
    <row r="92">
      <c r="A92" t="inlineStr">
        <is>
          <t>KOSZ-SL-0089</t>
        </is>
      </c>
      <c r="B92" t="inlineStr">
        <is>
          <t>SZ-SL-000932</t>
        </is>
      </c>
      <c r="C92" t="inlineStr">
        <is>
          <t>16503</t>
        </is>
      </c>
      <c r="D92" t="n">
        <v>1690</v>
      </c>
      <c r="E92" t="n">
        <v>370</v>
      </c>
      <c r="F92" t="inlineStr">
        <is>
          <t>SP-SL-KOSHO-HANDLE</t>
        </is>
      </c>
      <c r="G92" t="inlineStr">
        <is>
          <t>オペレーターハンドル</t>
        </is>
      </c>
      <c r="H92" t="b">
        <v>0</v>
      </c>
      <c r="I92" t="inlineStr">
        <is>
          <t>H&lt;700：取付不可</t>
        </is>
      </c>
      <c r="J92" t="inlineStr">
        <is>
          <t>2026価格表確認済み</t>
        </is>
      </c>
      <c r="K92" t="n">
        <v>139</v>
      </c>
      <c r="L92" t="inlineStr">
        <is>
          <t>202604完成品価格表 P138-141/P254</t>
        </is>
      </c>
      <c r="M92" t="inlineStr">
        <is>
          <t>https://drive.google.com/file/d/1YUN-mtWYs48YBUHJk0C3vJXnhjyZFHyf/view</t>
        </is>
      </c>
      <c r="N92" t="inlineStr">
        <is>
          <t>非表示</t>
        </is>
      </c>
    </row>
    <row r="93">
      <c r="A93" t="inlineStr">
        <is>
          <t>KOSZ-SL-0090</t>
        </is>
      </c>
      <c r="B93" t="inlineStr">
        <is>
          <t>SZ-SL-000932</t>
        </is>
      </c>
      <c r="C93" t="inlineStr">
        <is>
          <t>16503</t>
        </is>
      </c>
      <c r="D93" t="n">
        <v>1690</v>
      </c>
      <c r="E93" t="n">
        <v>370</v>
      </c>
      <c r="F93" t="inlineStr">
        <is>
          <t>SP-SL-KOSHO-SINGLE</t>
        </is>
      </c>
      <c r="G93" t="inlineStr">
        <is>
          <t>シングルループチェーン</t>
        </is>
      </c>
      <c r="H93" t="b">
        <v>0</v>
      </c>
      <c r="I93" t="inlineStr">
        <is>
          <t>H&lt;700：取付不可</t>
        </is>
      </c>
      <c r="J93" t="inlineStr">
        <is>
          <t>2026価格表確認済み</t>
        </is>
      </c>
      <c r="K93" t="n">
        <v>139</v>
      </c>
      <c r="L93" t="inlineStr">
        <is>
          <t>202604完成品価格表 P138-141/P254</t>
        </is>
      </c>
      <c r="M93" t="inlineStr">
        <is>
          <t>https://drive.google.com/file/d/1YUN-mtWYs48YBUHJk0C3vJXnhjyZFHyf/view</t>
        </is>
      </c>
      <c r="N93" t="inlineStr">
        <is>
          <t>非表示</t>
        </is>
      </c>
    </row>
    <row r="94">
      <c r="A94" t="inlineStr">
        <is>
          <t>KOSZ-SL-0091</t>
        </is>
      </c>
      <c r="B94" t="inlineStr">
        <is>
          <t>SZ-SL-000932</t>
        </is>
      </c>
      <c r="C94" t="inlineStr">
        <is>
          <t>16503</t>
        </is>
      </c>
      <c r="D94" t="n">
        <v>1690</v>
      </c>
      <c r="E94" t="n">
        <v>370</v>
      </c>
      <c r="F94" t="inlineStr">
        <is>
          <t>SP-SL-KOSHO-DOUBLE</t>
        </is>
      </c>
      <c r="G94" t="inlineStr">
        <is>
          <t>ダブルループチェーン</t>
        </is>
      </c>
      <c r="H94" t="b">
        <v>0</v>
      </c>
      <c r="I94" t="inlineStr">
        <is>
          <t>H&lt;700：取付不可</t>
        </is>
      </c>
      <c r="J94" t="inlineStr">
        <is>
          <t>2026価格表確認済み</t>
        </is>
      </c>
      <c r="K94" t="n">
        <v>139</v>
      </c>
      <c r="L94" t="inlineStr">
        <is>
          <t>202604完成品価格表 P138-141/P254</t>
        </is>
      </c>
      <c r="M94" t="inlineStr">
        <is>
          <t>https://drive.google.com/file/d/1YUN-mtWYs48YBUHJk0C3vJXnhjyZFHyf/view</t>
        </is>
      </c>
      <c r="N94" t="inlineStr">
        <is>
          <t>非表示</t>
        </is>
      </c>
    </row>
    <row r="95">
      <c r="A95" t="inlineStr">
        <is>
          <t>KOSZ-SL-0092</t>
        </is>
      </c>
      <c r="B95" t="inlineStr">
        <is>
          <t>SZ-SL-000932</t>
        </is>
      </c>
      <c r="C95" t="inlineStr">
        <is>
          <t>16503</t>
        </is>
      </c>
      <c r="D95" t="n">
        <v>1690</v>
      </c>
      <c r="E95" t="n">
        <v>370</v>
      </c>
      <c r="F95" t="inlineStr">
        <is>
          <t>SP-SL-KOSHO-ELECTRIC</t>
        </is>
      </c>
      <c r="G95" t="inlineStr">
        <is>
          <t>電動ユニット</t>
        </is>
      </c>
      <c r="H95" t="b">
        <v>1</v>
      </c>
      <c r="I95" t="inlineStr">
        <is>
          <t>現行規格サイズ・電動候補</t>
        </is>
      </c>
      <c r="J95" t="inlineStr">
        <is>
          <t>2026価格表確認済み</t>
        </is>
      </c>
      <c r="K95" t="n">
        <v>139</v>
      </c>
      <c r="L95" t="inlineStr">
        <is>
          <t>202604完成品価格表 P138-141/P254</t>
        </is>
      </c>
      <c r="M95" t="inlineStr">
        <is>
          <t>https://drive.google.com/file/d/1YUN-mtWYs48YBUHJk0C3vJXnhjyZFHyf/view</t>
        </is>
      </c>
      <c r="N95" t="inlineStr">
        <is>
          <t>候補表示</t>
        </is>
      </c>
    </row>
    <row r="96">
      <c r="A96" t="inlineStr">
        <is>
          <t>KOSZ-SL-0093</t>
        </is>
      </c>
      <c r="B96" t="inlineStr">
        <is>
          <t>SZ-SL-000933</t>
        </is>
      </c>
      <c r="C96" t="inlineStr">
        <is>
          <t>16505</t>
        </is>
      </c>
      <c r="D96" t="n">
        <v>1690</v>
      </c>
      <c r="E96" t="n">
        <v>570</v>
      </c>
      <c r="F96" t="inlineStr">
        <is>
          <t>SP-SL-KOSHO-HANDLE</t>
        </is>
      </c>
      <c r="G96" t="inlineStr">
        <is>
          <t>オペレーターハンドル</t>
        </is>
      </c>
      <c r="H96" t="b">
        <v>0</v>
      </c>
      <c r="I96" t="inlineStr">
        <is>
          <t>H&lt;700：取付不可</t>
        </is>
      </c>
      <c r="J96" t="inlineStr">
        <is>
          <t>2026価格表確認済み</t>
        </is>
      </c>
      <c r="K96" t="n">
        <v>139</v>
      </c>
      <c r="L96" t="inlineStr">
        <is>
          <t>202604完成品価格表 P138-141/P254</t>
        </is>
      </c>
      <c r="M96" t="inlineStr">
        <is>
          <t>https://drive.google.com/file/d/1YUN-mtWYs48YBUHJk0C3vJXnhjyZFHyf/view</t>
        </is>
      </c>
      <c r="N96" t="inlineStr">
        <is>
          <t>非表示</t>
        </is>
      </c>
    </row>
    <row r="97">
      <c r="A97" t="inlineStr">
        <is>
          <t>KOSZ-SL-0094</t>
        </is>
      </c>
      <c r="B97" t="inlineStr">
        <is>
          <t>SZ-SL-000933</t>
        </is>
      </c>
      <c r="C97" t="inlineStr">
        <is>
          <t>16505</t>
        </is>
      </c>
      <c r="D97" t="n">
        <v>1690</v>
      </c>
      <c r="E97" t="n">
        <v>570</v>
      </c>
      <c r="F97" t="inlineStr">
        <is>
          <t>SP-SL-KOSHO-SINGLE</t>
        </is>
      </c>
      <c r="G97" t="inlineStr">
        <is>
          <t>シングルループチェーン</t>
        </is>
      </c>
      <c r="H97" t="b">
        <v>0</v>
      </c>
      <c r="I97" t="inlineStr">
        <is>
          <t>H&lt;700：取付不可</t>
        </is>
      </c>
      <c r="J97" t="inlineStr">
        <is>
          <t>2026価格表確認済み</t>
        </is>
      </c>
      <c r="K97" t="n">
        <v>139</v>
      </c>
      <c r="L97" t="inlineStr">
        <is>
          <t>202604完成品価格表 P138-141/P254</t>
        </is>
      </c>
      <c r="M97" t="inlineStr">
        <is>
          <t>https://drive.google.com/file/d/1YUN-mtWYs48YBUHJk0C3vJXnhjyZFHyf/view</t>
        </is>
      </c>
      <c r="N97" t="inlineStr">
        <is>
          <t>非表示</t>
        </is>
      </c>
    </row>
    <row r="98">
      <c r="A98" t="inlineStr">
        <is>
          <t>KOSZ-SL-0095</t>
        </is>
      </c>
      <c r="B98" t="inlineStr">
        <is>
          <t>SZ-SL-000933</t>
        </is>
      </c>
      <c r="C98" t="inlineStr">
        <is>
          <t>16505</t>
        </is>
      </c>
      <c r="D98" t="n">
        <v>1690</v>
      </c>
      <c r="E98" t="n">
        <v>570</v>
      </c>
      <c r="F98" t="inlineStr">
        <is>
          <t>SP-SL-KOSHO-DOUBLE</t>
        </is>
      </c>
      <c r="G98" t="inlineStr">
        <is>
          <t>ダブルループチェーン</t>
        </is>
      </c>
      <c r="H98" t="b">
        <v>0</v>
      </c>
      <c r="I98" t="inlineStr">
        <is>
          <t>H&lt;700：取付不可</t>
        </is>
      </c>
      <c r="J98" t="inlineStr">
        <is>
          <t>2026価格表確認済み</t>
        </is>
      </c>
      <c r="K98" t="n">
        <v>139</v>
      </c>
      <c r="L98" t="inlineStr">
        <is>
          <t>202604完成品価格表 P138-141/P254</t>
        </is>
      </c>
      <c r="M98" t="inlineStr">
        <is>
          <t>https://drive.google.com/file/d/1YUN-mtWYs48YBUHJk0C3vJXnhjyZFHyf/view</t>
        </is>
      </c>
      <c r="N98" t="inlineStr">
        <is>
          <t>非表示</t>
        </is>
      </c>
    </row>
    <row r="99">
      <c r="A99" t="inlineStr">
        <is>
          <t>KOSZ-SL-0096</t>
        </is>
      </c>
      <c r="B99" t="inlineStr">
        <is>
          <t>SZ-SL-000933</t>
        </is>
      </c>
      <c r="C99" t="inlineStr">
        <is>
          <t>16505</t>
        </is>
      </c>
      <c r="D99" t="n">
        <v>1690</v>
      </c>
      <c r="E99" t="n">
        <v>570</v>
      </c>
      <c r="F99" t="inlineStr">
        <is>
          <t>SP-SL-KOSHO-ELECTRIC</t>
        </is>
      </c>
      <c r="G99" t="inlineStr">
        <is>
          <t>電動ユニット</t>
        </is>
      </c>
      <c r="H99" t="b">
        <v>1</v>
      </c>
      <c r="I99" t="inlineStr">
        <is>
          <t>現行規格サイズ・電動候補</t>
        </is>
      </c>
      <c r="J99" t="inlineStr">
        <is>
          <t>2026価格表確認済み</t>
        </is>
      </c>
      <c r="K99" t="n">
        <v>139</v>
      </c>
      <c r="L99" t="inlineStr">
        <is>
          <t>202604完成品価格表 P138-141/P254</t>
        </is>
      </c>
      <c r="M99" t="inlineStr">
        <is>
          <t>https://drive.google.com/file/d/1YUN-mtWYs48YBUHJk0C3vJXnhjyZFHyf/view</t>
        </is>
      </c>
      <c r="N99" t="inlineStr">
        <is>
          <t>候補表示</t>
        </is>
      </c>
    </row>
    <row r="100">
      <c r="A100" t="inlineStr">
        <is>
          <t>KOSZ-SL-0097</t>
        </is>
      </c>
      <c r="B100" t="inlineStr">
        <is>
          <t>SZ-SL-000934</t>
        </is>
      </c>
      <c r="C100" t="inlineStr">
        <is>
          <t>03607</t>
        </is>
      </c>
      <c r="D100" t="n">
        <v>405</v>
      </c>
      <c r="E100" t="n">
        <v>770</v>
      </c>
      <c r="F100" t="inlineStr">
        <is>
          <t>SP-SL-KOSHO-HANDLE</t>
        </is>
      </c>
      <c r="G100" t="inlineStr">
        <is>
          <t>オペレーターハンドル</t>
        </is>
      </c>
      <c r="H100" t="b">
        <v>1</v>
      </c>
      <c r="I100" t="inlineStr">
        <is>
          <t>H&gt;=700：取付可</t>
        </is>
      </c>
      <c r="J100" t="inlineStr">
        <is>
          <t>2026価格表確認済み</t>
        </is>
      </c>
      <c r="K100" t="n">
        <v>140</v>
      </c>
      <c r="L100" t="inlineStr">
        <is>
          <t>202604完成品価格表 P138-141/P254</t>
        </is>
      </c>
      <c r="M100" t="inlineStr">
        <is>
          <t>https://drive.google.com/file/d/1YUN-mtWYs48YBUHJk0C3vJXnhjyZFHyf/view</t>
        </is>
      </c>
      <c r="N100" t="inlineStr">
        <is>
          <t>候補表示</t>
        </is>
      </c>
    </row>
    <row r="101">
      <c r="A101" t="inlineStr">
        <is>
          <t>KOSZ-SL-0098</t>
        </is>
      </c>
      <c r="B101" t="inlineStr">
        <is>
          <t>SZ-SL-000934</t>
        </is>
      </c>
      <c r="C101" t="inlineStr">
        <is>
          <t>03607</t>
        </is>
      </c>
      <c r="D101" t="n">
        <v>405</v>
      </c>
      <c r="E101" t="n">
        <v>770</v>
      </c>
      <c r="F101" t="inlineStr">
        <is>
          <t>SP-SL-KOSHO-SINGLE</t>
        </is>
      </c>
      <c r="G101" t="inlineStr">
        <is>
          <t>シングルループチェーン</t>
        </is>
      </c>
      <c r="H101" t="b">
        <v>1</v>
      </c>
      <c r="I101" t="inlineStr">
        <is>
          <t>H&gt;=700：取付可</t>
        </is>
      </c>
      <c r="J101" t="inlineStr">
        <is>
          <t>2026価格表確認済み</t>
        </is>
      </c>
      <c r="K101" t="n">
        <v>140</v>
      </c>
      <c r="L101" t="inlineStr">
        <is>
          <t>202604完成品価格表 P138-141/P254</t>
        </is>
      </c>
      <c r="M101" t="inlineStr">
        <is>
          <t>https://drive.google.com/file/d/1YUN-mtWYs48YBUHJk0C3vJXnhjyZFHyf/view</t>
        </is>
      </c>
      <c r="N101" t="inlineStr">
        <is>
          <t>候補表示</t>
        </is>
      </c>
    </row>
    <row r="102">
      <c r="A102" t="inlineStr">
        <is>
          <t>KOSZ-SL-0099</t>
        </is>
      </c>
      <c r="B102" t="inlineStr">
        <is>
          <t>SZ-SL-000934</t>
        </is>
      </c>
      <c r="C102" t="inlineStr">
        <is>
          <t>03607</t>
        </is>
      </c>
      <c r="D102" t="n">
        <v>405</v>
      </c>
      <c r="E102" t="n">
        <v>770</v>
      </c>
      <c r="F102" t="inlineStr">
        <is>
          <t>SP-SL-KOSHO-DOUBLE</t>
        </is>
      </c>
      <c r="G102" t="inlineStr">
        <is>
          <t>ダブルループチェーン</t>
        </is>
      </c>
      <c r="H102" t="b">
        <v>1</v>
      </c>
      <c r="I102" t="inlineStr">
        <is>
          <t>H&gt;=700：取付可</t>
        </is>
      </c>
      <c r="J102" t="inlineStr">
        <is>
          <t>2026価格表確認済み</t>
        </is>
      </c>
      <c r="K102" t="n">
        <v>140</v>
      </c>
      <c r="L102" t="inlineStr">
        <is>
          <t>202604完成品価格表 P138-141/P254</t>
        </is>
      </c>
      <c r="M102" t="inlineStr">
        <is>
          <t>https://drive.google.com/file/d/1YUN-mtWYs48YBUHJk0C3vJXnhjyZFHyf/view</t>
        </is>
      </c>
      <c r="N102" t="inlineStr">
        <is>
          <t>候補表示</t>
        </is>
      </c>
    </row>
    <row r="103">
      <c r="A103" t="inlineStr">
        <is>
          <t>KOSZ-SL-0100</t>
        </is>
      </c>
      <c r="B103" t="inlineStr">
        <is>
          <t>SZ-SL-000934</t>
        </is>
      </c>
      <c r="C103" t="inlineStr">
        <is>
          <t>03607</t>
        </is>
      </c>
      <c r="D103" t="n">
        <v>405</v>
      </c>
      <c r="E103" t="n">
        <v>770</v>
      </c>
      <c r="F103" t="inlineStr">
        <is>
          <t>SP-SL-KOSHO-ELECTRIC</t>
        </is>
      </c>
      <c r="G103" t="inlineStr">
        <is>
          <t>電動ユニット</t>
        </is>
      </c>
      <c r="H103" t="b">
        <v>1</v>
      </c>
      <c r="I103" t="inlineStr">
        <is>
          <t>現行規格サイズ・電動候補</t>
        </is>
      </c>
      <c r="J103" t="inlineStr">
        <is>
          <t>2026価格表確認済み</t>
        </is>
      </c>
      <c r="K103" t="n">
        <v>140</v>
      </c>
      <c r="L103" t="inlineStr">
        <is>
          <t>202604完成品価格表 P138-141/P254</t>
        </is>
      </c>
      <c r="M103" t="inlineStr">
        <is>
          <t>https://drive.google.com/file/d/1YUN-mtWYs48YBUHJk0C3vJXnhjyZFHyf/view</t>
        </is>
      </c>
      <c r="N103" t="inlineStr">
        <is>
          <t>候補表示</t>
        </is>
      </c>
    </row>
    <row r="104">
      <c r="A104" t="inlineStr">
        <is>
          <t>KOSZ-SL-0101</t>
        </is>
      </c>
      <c r="B104" t="inlineStr">
        <is>
          <t>SZ-SL-000935</t>
        </is>
      </c>
      <c r="C104" t="inlineStr">
        <is>
          <t>03609</t>
        </is>
      </c>
      <c r="D104" t="n">
        <v>405</v>
      </c>
      <c r="E104" t="n">
        <v>970</v>
      </c>
      <c r="F104" t="inlineStr">
        <is>
          <t>SP-SL-KOSHO-HANDLE</t>
        </is>
      </c>
      <c r="G104" t="inlineStr">
        <is>
          <t>オペレーターハンドル</t>
        </is>
      </c>
      <c r="H104" t="b">
        <v>1</v>
      </c>
      <c r="I104" t="inlineStr">
        <is>
          <t>H&gt;=700：取付可</t>
        </is>
      </c>
      <c r="J104" t="inlineStr">
        <is>
          <t>2026価格表確認済み</t>
        </is>
      </c>
      <c r="K104" t="n">
        <v>140</v>
      </c>
      <c r="L104" t="inlineStr">
        <is>
          <t>202604完成品価格表 P138-141/P254</t>
        </is>
      </c>
      <c r="M104" t="inlineStr">
        <is>
          <t>https://drive.google.com/file/d/1YUN-mtWYs48YBUHJk0C3vJXnhjyZFHyf/view</t>
        </is>
      </c>
      <c r="N104" t="inlineStr">
        <is>
          <t>候補表示</t>
        </is>
      </c>
    </row>
    <row r="105">
      <c r="A105" t="inlineStr">
        <is>
          <t>KOSZ-SL-0102</t>
        </is>
      </c>
      <c r="B105" t="inlineStr">
        <is>
          <t>SZ-SL-000935</t>
        </is>
      </c>
      <c r="C105" t="inlineStr">
        <is>
          <t>03609</t>
        </is>
      </c>
      <c r="D105" t="n">
        <v>405</v>
      </c>
      <c r="E105" t="n">
        <v>970</v>
      </c>
      <c r="F105" t="inlineStr">
        <is>
          <t>SP-SL-KOSHO-SINGLE</t>
        </is>
      </c>
      <c r="G105" t="inlineStr">
        <is>
          <t>シングルループチェーン</t>
        </is>
      </c>
      <c r="H105" t="b">
        <v>1</v>
      </c>
      <c r="I105" t="inlineStr">
        <is>
          <t>H&gt;=700：取付可</t>
        </is>
      </c>
      <c r="J105" t="inlineStr">
        <is>
          <t>2026価格表確認済み</t>
        </is>
      </c>
      <c r="K105" t="n">
        <v>140</v>
      </c>
      <c r="L105" t="inlineStr">
        <is>
          <t>202604完成品価格表 P138-141/P254</t>
        </is>
      </c>
      <c r="M105" t="inlineStr">
        <is>
          <t>https://drive.google.com/file/d/1YUN-mtWYs48YBUHJk0C3vJXnhjyZFHyf/view</t>
        </is>
      </c>
      <c r="N105" t="inlineStr">
        <is>
          <t>候補表示</t>
        </is>
      </c>
    </row>
    <row r="106">
      <c r="A106" t="inlineStr">
        <is>
          <t>KOSZ-SL-0103</t>
        </is>
      </c>
      <c r="B106" t="inlineStr">
        <is>
          <t>SZ-SL-000935</t>
        </is>
      </c>
      <c r="C106" t="inlineStr">
        <is>
          <t>03609</t>
        </is>
      </c>
      <c r="D106" t="n">
        <v>405</v>
      </c>
      <c r="E106" t="n">
        <v>970</v>
      </c>
      <c r="F106" t="inlineStr">
        <is>
          <t>SP-SL-KOSHO-DOUBLE</t>
        </is>
      </c>
      <c r="G106" t="inlineStr">
        <is>
          <t>ダブルループチェーン</t>
        </is>
      </c>
      <c r="H106" t="b">
        <v>1</v>
      </c>
      <c r="I106" t="inlineStr">
        <is>
          <t>H&gt;=700：取付可</t>
        </is>
      </c>
      <c r="J106" t="inlineStr">
        <is>
          <t>2026価格表確認済み</t>
        </is>
      </c>
      <c r="K106" t="n">
        <v>140</v>
      </c>
      <c r="L106" t="inlineStr">
        <is>
          <t>202604完成品価格表 P138-141/P254</t>
        </is>
      </c>
      <c r="M106" t="inlineStr">
        <is>
          <t>https://drive.google.com/file/d/1YUN-mtWYs48YBUHJk0C3vJXnhjyZFHyf/view</t>
        </is>
      </c>
      <c r="N106" t="inlineStr">
        <is>
          <t>候補表示</t>
        </is>
      </c>
    </row>
    <row r="107">
      <c r="A107" t="inlineStr">
        <is>
          <t>KOSZ-SL-0104</t>
        </is>
      </c>
      <c r="B107" t="inlineStr">
        <is>
          <t>SZ-SL-000935</t>
        </is>
      </c>
      <c r="C107" t="inlineStr">
        <is>
          <t>03609</t>
        </is>
      </c>
      <c r="D107" t="n">
        <v>405</v>
      </c>
      <c r="E107" t="n">
        <v>970</v>
      </c>
      <c r="F107" t="inlineStr">
        <is>
          <t>SP-SL-KOSHO-ELECTRIC</t>
        </is>
      </c>
      <c r="G107" t="inlineStr">
        <is>
          <t>電動ユニット</t>
        </is>
      </c>
      <c r="H107" t="b">
        <v>1</v>
      </c>
      <c r="I107" t="inlineStr">
        <is>
          <t>現行規格サイズ・電動候補</t>
        </is>
      </c>
      <c r="J107" t="inlineStr">
        <is>
          <t>2026価格表確認済み</t>
        </is>
      </c>
      <c r="K107" t="n">
        <v>140</v>
      </c>
      <c r="L107" t="inlineStr">
        <is>
          <t>202604完成品価格表 P138-141/P254</t>
        </is>
      </c>
      <c r="M107" t="inlineStr">
        <is>
          <t>https://drive.google.com/file/d/1YUN-mtWYs48YBUHJk0C3vJXnhjyZFHyf/view</t>
        </is>
      </c>
      <c r="N107" t="inlineStr">
        <is>
          <t>候補表示</t>
        </is>
      </c>
    </row>
    <row r="108">
      <c r="A108" t="inlineStr">
        <is>
          <t>KOSZ-SL-0105</t>
        </is>
      </c>
      <c r="B108" t="inlineStr">
        <is>
          <t>SZ-SL-000936</t>
        </is>
      </c>
      <c r="C108" t="inlineStr">
        <is>
          <t>03611</t>
        </is>
      </c>
      <c r="D108" t="n">
        <v>405</v>
      </c>
      <c r="E108" t="n">
        <v>1170</v>
      </c>
      <c r="F108" t="inlineStr">
        <is>
          <t>SP-SL-KOSHO-HANDLE</t>
        </is>
      </c>
      <c r="G108" t="inlineStr">
        <is>
          <t>オペレーターハンドル</t>
        </is>
      </c>
      <c r="H108" t="b">
        <v>1</v>
      </c>
      <c r="I108" t="inlineStr">
        <is>
          <t>H&gt;=700：取付可</t>
        </is>
      </c>
      <c r="J108" t="inlineStr">
        <is>
          <t>2026価格表確認済み</t>
        </is>
      </c>
      <c r="K108" t="n">
        <v>140</v>
      </c>
      <c r="L108" t="inlineStr">
        <is>
          <t>202604完成品価格表 P138-141/P254</t>
        </is>
      </c>
      <c r="M108" t="inlineStr">
        <is>
          <t>https://drive.google.com/file/d/1YUN-mtWYs48YBUHJk0C3vJXnhjyZFHyf/view</t>
        </is>
      </c>
      <c r="N108" t="inlineStr">
        <is>
          <t>候補表示</t>
        </is>
      </c>
    </row>
    <row r="109">
      <c r="A109" t="inlineStr">
        <is>
          <t>KOSZ-SL-0106</t>
        </is>
      </c>
      <c r="B109" t="inlineStr">
        <is>
          <t>SZ-SL-000936</t>
        </is>
      </c>
      <c r="C109" t="inlineStr">
        <is>
          <t>03611</t>
        </is>
      </c>
      <c r="D109" t="n">
        <v>405</v>
      </c>
      <c r="E109" t="n">
        <v>1170</v>
      </c>
      <c r="F109" t="inlineStr">
        <is>
          <t>SP-SL-KOSHO-SINGLE</t>
        </is>
      </c>
      <c r="G109" t="inlineStr">
        <is>
          <t>シングルループチェーン</t>
        </is>
      </c>
      <c r="H109" t="b">
        <v>1</v>
      </c>
      <c r="I109" t="inlineStr">
        <is>
          <t>H&gt;=700：取付可</t>
        </is>
      </c>
      <c r="J109" t="inlineStr">
        <is>
          <t>2026価格表確認済み</t>
        </is>
      </c>
      <c r="K109" t="n">
        <v>140</v>
      </c>
      <c r="L109" t="inlineStr">
        <is>
          <t>202604完成品価格表 P138-141/P254</t>
        </is>
      </c>
      <c r="M109" t="inlineStr">
        <is>
          <t>https://drive.google.com/file/d/1YUN-mtWYs48YBUHJk0C3vJXnhjyZFHyf/view</t>
        </is>
      </c>
      <c r="N109" t="inlineStr">
        <is>
          <t>候補表示</t>
        </is>
      </c>
    </row>
    <row r="110">
      <c r="A110" t="inlineStr">
        <is>
          <t>KOSZ-SL-0107</t>
        </is>
      </c>
      <c r="B110" t="inlineStr">
        <is>
          <t>SZ-SL-000936</t>
        </is>
      </c>
      <c r="C110" t="inlineStr">
        <is>
          <t>03611</t>
        </is>
      </c>
      <c r="D110" t="n">
        <v>405</v>
      </c>
      <c r="E110" t="n">
        <v>1170</v>
      </c>
      <c r="F110" t="inlineStr">
        <is>
          <t>SP-SL-KOSHO-DOUBLE</t>
        </is>
      </c>
      <c r="G110" t="inlineStr">
        <is>
          <t>ダブルループチェーン</t>
        </is>
      </c>
      <c r="H110" t="b">
        <v>1</v>
      </c>
      <c r="I110" t="inlineStr">
        <is>
          <t>H&gt;=700：取付可</t>
        </is>
      </c>
      <c r="J110" t="inlineStr">
        <is>
          <t>2026価格表確認済み</t>
        </is>
      </c>
      <c r="K110" t="n">
        <v>140</v>
      </c>
      <c r="L110" t="inlineStr">
        <is>
          <t>202604完成品価格表 P138-141/P254</t>
        </is>
      </c>
      <c r="M110" t="inlineStr">
        <is>
          <t>https://drive.google.com/file/d/1YUN-mtWYs48YBUHJk0C3vJXnhjyZFHyf/view</t>
        </is>
      </c>
      <c r="N110" t="inlineStr">
        <is>
          <t>候補表示</t>
        </is>
      </c>
    </row>
    <row r="111">
      <c r="A111" t="inlineStr">
        <is>
          <t>KOSZ-SL-0108</t>
        </is>
      </c>
      <c r="B111" t="inlineStr">
        <is>
          <t>SZ-SL-000936</t>
        </is>
      </c>
      <c r="C111" t="inlineStr">
        <is>
          <t>03611</t>
        </is>
      </c>
      <c r="D111" t="n">
        <v>405</v>
      </c>
      <c r="E111" t="n">
        <v>1170</v>
      </c>
      <c r="F111" t="inlineStr">
        <is>
          <t>SP-SL-KOSHO-ELECTRIC</t>
        </is>
      </c>
      <c r="G111" t="inlineStr">
        <is>
          <t>電動ユニット</t>
        </is>
      </c>
      <c r="H111" t="b">
        <v>1</v>
      </c>
      <c r="I111" t="inlineStr">
        <is>
          <t>現行規格サイズ・電動候補</t>
        </is>
      </c>
      <c r="J111" t="inlineStr">
        <is>
          <t>2026価格表確認済み</t>
        </is>
      </c>
      <c r="K111" t="n">
        <v>140</v>
      </c>
      <c r="L111" t="inlineStr">
        <is>
          <t>202604完成品価格表 P138-141/P254</t>
        </is>
      </c>
      <c r="M111" t="inlineStr">
        <is>
          <t>https://drive.google.com/file/d/1YUN-mtWYs48YBUHJk0C3vJXnhjyZFHyf/view</t>
        </is>
      </c>
      <c r="N111" t="inlineStr">
        <is>
          <t>候補表示</t>
        </is>
      </c>
    </row>
    <row r="112">
      <c r="A112" t="inlineStr">
        <is>
          <t>KOSZ-SL-0109</t>
        </is>
      </c>
      <c r="B112" t="inlineStr">
        <is>
          <t>SZ-SL-000937</t>
        </is>
      </c>
      <c r="C112" t="inlineStr">
        <is>
          <t>03613</t>
        </is>
      </c>
      <c r="D112" t="n">
        <v>405</v>
      </c>
      <c r="E112" t="n">
        <v>1370</v>
      </c>
      <c r="F112" t="inlineStr">
        <is>
          <t>SP-SL-KOSHO-HANDLE</t>
        </is>
      </c>
      <c r="G112" t="inlineStr">
        <is>
          <t>オペレーターハンドル</t>
        </is>
      </c>
      <c r="H112" t="b">
        <v>1</v>
      </c>
      <c r="I112" t="inlineStr">
        <is>
          <t>H&gt;=700：取付可</t>
        </is>
      </c>
      <c r="J112" t="inlineStr">
        <is>
          <t>2026価格表確認済み</t>
        </is>
      </c>
      <c r="K112" t="n">
        <v>140</v>
      </c>
      <c r="L112" t="inlineStr">
        <is>
          <t>202604完成品価格表 P138-141/P254</t>
        </is>
      </c>
      <c r="M112" t="inlineStr">
        <is>
          <t>https://drive.google.com/file/d/1YUN-mtWYs48YBUHJk0C3vJXnhjyZFHyf/view</t>
        </is>
      </c>
      <c r="N112" t="inlineStr">
        <is>
          <t>候補表示</t>
        </is>
      </c>
    </row>
    <row r="113">
      <c r="A113" t="inlineStr">
        <is>
          <t>KOSZ-SL-0110</t>
        </is>
      </c>
      <c r="B113" t="inlineStr">
        <is>
          <t>SZ-SL-000937</t>
        </is>
      </c>
      <c r="C113" t="inlineStr">
        <is>
          <t>03613</t>
        </is>
      </c>
      <c r="D113" t="n">
        <v>405</v>
      </c>
      <c r="E113" t="n">
        <v>1370</v>
      </c>
      <c r="F113" t="inlineStr">
        <is>
          <t>SP-SL-KOSHO-SINGLE</t>
        </is>
      </c>
      <c r="G113" t="inlineStr">
        <is>
          <t>シングルループチェーン</t>
        </is>
      </c>
      <c r="H113" t="b">
        <v>1</v>
      </c>
      <c r="I113" t="inlineStr">
        <is>
          <t>H&gt;=700：取付可</t>
        </is>
      </c>
      <c r="J113" t="inlineStr">
        <is>
          <t>2026価格表確認済み</t>
        </is>
      </c>
      <c r="K113" t="n">
        <v>140</v>
      </c>
      <c r="L113" t="inlineStr">
        <is>
          <t>202604完成品価格表 P138-141/P254</t>
        </is>
      </c>
      <c r="M113" t="inlineStr">
        <is>
          <t>https://drive.google.com/file/d/1YUN-mtWYs48YBUHJk0C3vJXnhjyZFHyf/view</t>
        </is>
      </c>
      <c r="N113" t="inlineStr">
        <is>
          <t>候補表示</t>
        </is>
      </c>
    </row>
    <row r="114">
      <c r="A114" t="inlineStr">
        <is>
          <t>KOSZ-SL-0111</t>
        </is>
      </c>
      <c r="B114" t="inlineStr">
        <is>
          <t>SZ-SL-000937</t>
        </is>
      </c>
      <c r="C114" t="inlineStr">
        <is>
          <t>03613</t>
        </is>
      </c>
      <c r="D114" t="n">
        <v>405</v>
      </c>
      <c r="E114" t="n">
        <v>1370</v>
      </c>
      <c r="F114" t="inlineStr">
        <is>
          <t>SP-SL-KOSHO-DOUBLE</t>
        </is>
      </c>
      <c r="G114" t="inlineStr">
        <is>
          <t>ダブルループチェーン</t>
        </is>
      </c>
      <c r="H114" t="b">
        <v>1</v>
      </c>
      <c r="I114" t="inlineStr">
        <is>
          <t>H&gt;=700：取付可</t>
        </is>
      </c>
      <c r="J114" t="inlineStr">
        <is>
          <t>2026価格表確認済み</t>
        </is>
      </c>
      <c r="K114" t="n">
        <v>140</v>
      </c>
      <c r="L114" t="inlineStr">
        <is>
          <t>202604完成品価格表 P138-141/P254</t>
        </is>
      </c>
      <c r="M114" t="inlineStr">
        <is>
          <t>https://drive.google.com/file/d/1YUN-mtWYs48YBUHJk0C3vJXnhjyZFHyf/view</t>
        </is>
      </c>
      <c r="N114" t="inlineStr">
        <is>
          <t>候補表示</t>
        </is>
      </c>
    </row>
    <row r="115">
      <c r="A115" t="inlineStr">
        <is>
          <t>KOSZ-SL-0112</t>
        </is>
      </c>
      <c r="B115" t="inlineStr">
        <is>
          <t>SZ-SL-000937</t>
        </is>
      </c>
      <c r="C115" t="inlineStr">
        <is>
          <t>03613</t>
        </is>
      </c>
      <c r="D115" t="n">
        <v>405</v>
      </c>
      <c r="E115" t="n">
        <v>1370</v>
      </c>
      <c r="F115" t="inlineStr">
        <is>
          <t>SP-SL-KOSHO-ELECTRIC</t>
        </is>
      </c>
      <c r="G115" t="inlineStr">
        <is>
          <t>電動ユニット</t>
        </is>
      </c>
      <c r="H115" t="b">
        <v>1</v>
      </c>
      <c r="I115" t="inlineStr">
        <is>
          <t>現行規格サイズ・電動候補</t>
        </is>
      </c>
      <c r="J115" t="inlineStr">
        <is>
          <t>2026価格表確認済み</t>
        </is>
      </c>
      <c r="K115" t="n">
        <v>140</v>
      </c>
      <c r="L115" t="inlineStr">
        <is>
          <t>202604完成品価格表 P138-141/P254</t>
        </is>
      </c>
      <c r="M115" t="inlineStr">
        <is>
          <t>https://drive.google.com/file/d/1YUN-mtWYs48YBUHJk0C3vJXnhjyZFHyf/view</t>
        </is>
      </c>
      <c r="N115" t="inlineStr">
        <is>
          <t>候補表示</t>
        </is>
      </c>
    </row>
    <row r="116">
      <c r="A116" t="inlineStr">
        <is>
          <t>KOSZ-SL-0113</t>
        </is>
      </c>
      <c r="B116" t="inlineStr">
        <is>
          <t>SZ-SL-000938</t>
        </is>
      </c>
      <c r="C116" t="inlineStr">
        <is>
          <t>06007</t>
        </is>
      </c>
      <c r="D116" t="n">
        <v>640</v>
      </c>
      <c r="E116" t="n">
        <v>770</v>
      </c>
      <c r="F116" t="inlineStr">
        <is>
          <t>SP-SL-KOSHO-HANDLE</t>
        </is>
      </c>
      <c r="G116" t="inlineStr">
        <is>
          <t>オペレーターハンドル</t>
        </is>
      </c>
      <c r="H116" t="b">
        <v>1</v>
      </c>
      <c r="I116" t="inlineStr">
        <is>
          <t>H&gt;=700：取付可</t>
        </is>
      </c>
      <c r="J116" t="inlineStr">
        <is>
          <t>2026価格表確認済み</t>
        </is>
      </c>
      <c r="K116" t="n">
        <v>140</v>
      </c>
      <c r="L116" t="inlineStr">
        <is>
          <t>202604完成品価格表 P138-141/P254</t>
        </is>
      </c>
      <c r="M116" t="inlineStr">
        <is>
          <t>https://drive.google.com/file/d/1YUN-mtWYs48YBUHJk0C3vJXnhjyZFHyf/view</t>
        </is>
      </c>
      <c r="N116" t="inlineStr">
        <is>
          <t>候補表示</t>
        </is>
      </c>
    </row>
    <row r="117">
      <c r="A117" t="inlineStr">
        <is>
          <t>KOSZ-SL-0114</t>
        </is>
      </c>
      <c r="B117" t="inlineStr">
        <is>
          <t>SZ-SL-000938</t>
        </is>
      </c>
      <c r="C117" t="inlineStr">
        <is>
          <t>06007</t>
        </is>
      </c>
      <c r="D117" t="n">
        <v>640</v>
      </c>
      <c r="E117" t="n">
        <v>770</v>
      </c>
      <c r="F117" t="inlineStr">
        <is>
          <t>SP-SL-KOSHO-SINGLE</t>
        </is>
      </c>
      <c r="G117" t="inlineStr">
        <is>
          <t>シングルループチェーン</t>
        </is>
      </c>
      <c r="H117" t="b">
        <v>1</v>
      </c>
      <c r="I117" t="inlineStr">
        <is>
          <t>H&gt;=700：取付可</t>
        </is>
      </c>
      <c r="J117" t="inlineStr">
        <is>
          <t>2026価格表確認済み</t>
        </is>
      </c>
      <c r="K117" t="n">
        <v>140</v>
      </c>
      <c r="L117" t="inlineStr">
        <is>
          <t>202604完成品価格表 P138-141/P254</t>
        </is>
      </c>
      <c r="M117" t="inlineStr">
        <is>
          <t>https://drive.google.com/file/d/1YUN-mtWYs48YBUHJk0C3vJXnhjyZFHyf/view</t>
        </is>
      </c>
      <c r="N117" t="inlineStr">
        <is>
          <t>候補表示</t>
        </is>
      </c>
    </row>
    <row r="118">
      <c r="A118" t="inlineStr">
        <is>
          <t>KOSZ-SL-0115</t>
        </is>
      </c>
      <c r="B118" t="inlineStr">
        <is>
          <t>SZ-SL-000938</t>
        </is>
      </c>
      <c r="C118" t="inlineStr">
        <is>
          <t>06007</t>
        </is>
      </c>
      <c r="D118" t="n">
        <v>640</v>
      </c>
      <c r="E118" t="n">
        <v>770</v>
      </c>
      <c r="F118" t="inlineStr">
        <is>
          <t>SP-SL-KOSHO-DOUBLE</t>
        </is>
      </c>
      <c r="G118" t="inlineStr">
        <is>
          <t>ダブルループチェーン</t>
        </is>
      </c>
      <c r="H118" t="b">
        <v>1</v>
      </c>
      <c r="I118" t="inlineStr">
        <is>
          <t>H&gt;=700：取付可</t>
        </is>
      </c>
      <c r="J118" t="inlineStr">
        <is>
          <t>2026価格表確認済み</t>
        </is>
      </c>
      <c r="K118" t="n">
        <v>140</v>
      </c>
      <c r="L118" t="inlineStr">
        <is>
          <t>202604完成品価格表 P138-141/P254</t>
        </is>
      </c>
      <c r="M118" t="inlineStr">
        <is>
          <t>https://drive.google.com/file/d/1YUN-mtWYs48YBUHJk0C3vJXnhjyZFHyf/view</t>
        </is>
      </c>
      <c r="N118" t="inlineStr">
        <is>
          <t>候補表示</t>
        </is>
      </c>
    </row>
    <row r="119">
      <c r="A119" t="inlineStr">
        <is>
          <t>KOSZ-SL-0116</t>
        </is>
      </c>
      <c r="B119" t="inlineStr">
        <is>
          <t>SZ-SL-000938</t>
        </is>
      </c>
      <c r="C119" t="inlineStr">
        <is>
          <t>06007</t>
        </is>
      </c>
      <c r="D119" t="n">
        <v>640</v>
      </c>
      <c r="E119" t="n">
        <v>770</v>
      </c>
      <c r="F119" t="inlineStr">
        <is>
          <t>SP-SL-KOSHO-ELECTRIC</t>
        </is>
      </c>
      <c r="G119" t="inlineStr">
        <is>
          <t>電動ユニット</t>
        </is>
      </c>
      <c r="H119" t="b">
        <v>1</v>
      </c>
      <c r="I119" t="inlineStr">
        <is>
          <t>現行規格サイズ・電動候補</t>
        </is>
      </c>
      <c r="J119" t="inlineStr">
        <is>
          <t>2026価格表確認済み</t>
        </is>
      </c>
      <c r="K119" t="n">
        <v>140</v>
      </c>
      <c r="L119" t="inlineStr">
        <is>
          <t>202604完成品価格表 P138-141/P254</t>
        </is>
      </c>
      <c r="M119" t="inlineStr">
        <is>
          <t>https://drive.google.com/file/d/1YUN-mtWYs48YBUHJk0C3vJXnhjyZFHyf/view</t>
        </is>
      </c>
      <c r="N119" t="inlineStr">
        <is>
          <t>候補表示</t>
        </is>
      </c>
    </row>
    <row r="120">
      <c r="A120" t="inlineStr">
        <is>
          <t>KOSZ-SL-0117</t>
        </is>
      </c>
      <c r="B120" t="inlineStr">
        <is>
          <t>SZ-SL-000939</t>
        </is>
      </c>
      <c r="C120" t="inlineStr">
        <is>
          <t>06009</t>
        </is>
      </c>
      <c r="D120" t="n">
        <v>640</v>
      </c>
      <c r="E120" t="n">
        <v>970</v>
      </c>
      <c r="F120" t="inlineStr">
        <is>
          <t>SP-SL-KOSHO-HANDLE</t>
        </is>
      </c>
      <c r="G120" t="inlineStr">
        <is>
          <t>オペレーターハンドル</t>
        </is>
      </c>
      <c r="H120" t="b">
        <v>1</v>
      </c>
      <c r="I120" t="inlineStr">
        <is>
          <t>H&gt;=700：取付可</t>
        </is>
      </c>
      <c r="J120" t="inlineStr">
        <is>
          <t>2026価格表確認済み</t>
        </is>
      </c>
      <c r="K120" t="n">
        <v>140</v>
      </c>
      <c r="L120" t="inlineStr">
        <is>
          <t>202604完成品価格表 P138-141/P254</t>
        </is>
      </c>
      <c r="M120" t="inlineStr">
        <is>
          <t>https://drive.google.com/file/d/1YUN-mtWYs48YBUHJk0C3vJXnhjyZFHyf/view</t>
        </is>
      </c>
      <c r="N120" t="inlineStr">
        <is>
          <t>候補表示</t>
        </is>
      </c>
    </row>
    <row r="121">
      <c r="A121" t="inlineStr">
        <is>
          <t>KOSZ-SL-0118</t>
        </is>
      </c>
      <c r="B121" t="inlineStr">
        <is>
          <t>SZ-SL-000939</t>
        </is>
      </c>
      <c r="C121" t="inlineStr">
        <is>
          <t>06009</t>
        </is>
      </c>
      <c r="D121" t="n">
        <v>640</v>
      </c>
      <c r="E121" t="n">
        <v>970</v>
      </c>
      <c r="F121" t="inlineStr">
        <is>
          <t>SP-SL-KOSHO-SINGLE</t>
        </is>
      </c>
      <c r="G121" t="inlineStr">
        <is>
          <t>シングルループチェーン</t>
        </is>
      </c>
      <c r="H121" t="b">
        <v>1</v>
      </c>
      <c r="I121" t="inlineStr">
        <is>
          <t>H&gt;=700：取付可</t>
        </is>
      </c>
      <c r="J121" t="inlineStr">
        <is>
          <t>2026価格表確認済み</t>
        </is>
      </c>
      <c r="K121" t="n">
        <v>140</v>
      </c>
      <c r="L121" t="inlineStr">
        <is>
          <t>202604完成品価格表 P138-141/P254</t>
        </is>
      </c>
      <c r="M121" t="inlineStr">
        <is>
          <t>https://drive.google.com/file/d/1YUN-mtWYs48YBUHJk0C3vJXnhjyZFHyf/view</t>
        </is>
      </c>
      <c r="N121" t="inlineStr">
        <is>
          <t>候補表示</t>
        </is>
      </c>
    </row>
    <row r="122">
      <c r="A122" t="inlineStr">
        <is>
          <t>KOSZ-SL-0119</t>
        </is>
      </c>
      <c r="B122" t="inlineStr">
        <is>
          <t>SZ-SL-000939</t>
        </is>
      </c>
      <c r="C122" t="inlineStr">
        <is>
          <t>06009</t>
        </is>
      </c>
      <c r="D122" t="n">
        <v>640</v>
      </c>
      <c r="E122" t="n">
        <v>970</v>
      </c>
      <c r="F122" t="inlineStr">
        <is>
          <t>SP-SL-KOSHO-DOUBLE</t>
        </is>
      </c>
      <c r="G122" t="inlineStr">
        <is>
          <t>ダブルループチェーン</t>
        </is>
      </c>
      <c r="H122" t="b">
        <v>1</v>
      </c>
      <c r="I122" t="inlineStr">
        <is>
          <t>H&gt;=700：取付可</t>
        </is>
      </c>
      <c r="J122" t="inlineStr">
        <is>
          <t>2026価格表確認済み</t>
        </is>
      </c>
      <c r="K122" t="n">
        <v>140</v>
      </c>
      <c r="L122" t="inlineStr">
        <is>
          <t>202604完成品価格表 P138-141/P254</t>
        </is>
      </c>
      <c r="M122" t="inlineStr">
        <is>
          <t>https://drive.google.com/file/d/1YUN-mtWYs48YBUHJk0C3vJXnhjyZFHyf/view</t>
        </is>
      </c>
      <c r="N122" t="inlineStr">
        <is>
          <t>候補表示</t>
        </is>
      </c>
    </row>
    <row r="123">
      <c r="A123" t="inlineStr">
        <is>
          <t>KOSZ-SL-0120</t>
        </is>
      </c>
      <c r="B123" t="inlineStr">
        <is>
          <t>SZ-SL-000939</t>
        </is>
      </c>
      <c r="C123" t="inlineStr">
        <is>
          <t>06009</t>
        </is>
      </c>
      <c r="D123" t="n">
        <v>640</v>
      </c>
      <c r="E123" t="n">
        <v>970</v>
      </c>
      <c r="F123" t="inlineStr">
        <is>
          <t>SP-SL-KOSHO-ELECTRIC</t>
        </is>
      </c>
      <c r="G123" t="inlineStr">
        <is>
          <t>電動ユニット</t>
        </is>
      </c>
      <c r="H123" t="b">
        <v>1</v>
      </c>
      <c r="I123" t="inlineStr">
        <is>
          <t>現行規格サイズ・電動候補</t>
        </is>
      </c>
      <c r="J123" t="inlineStr">
        <is>
          <t>2026価格表確認済み</t>
        </is>
      </c>
      <c r="K123" t="n">
        <v>140</v>
      </c>
      <c r="L123" t="inlineStr">
        <is>
          <t>202604完成品価格表 P138-141/P254</t>
        </is>
      </c>
      <c r="M123" t="inlineStr">
        <is>
          <t>https://drive.google.com/file/d/1YUN-mtWYs48YBUHJk0C3vJXnhjyZFHyf/view</t>
        </is>
      </c>
      <c r="N123" t="inlineStr">
        <is>
          <t>候補表示</t>
        </is>
      </c>
    </row>
    <row r="124">
      <c r="A124" t="inlineStr">
        <is>
          <t>KOSZ-SL-0121</t>
        </is>
      </c>
      <c r="B124" t="inlineStr">
        <is>
          <t>SZ-SL-000940</t>
        </is>
      </c>
      <c r="C124" t="inlineStr">
        <is>
          <t>06011</t>
        </is>
      </c>
      <c r="D124" t="n">
        <v>640</v>
      </c>
      <c r="E124" t="n">
        <v>1170</v>
      </c>
      <c r="F124" t="inlineStr">
        <is>
          <t>SP-SL-KOSHO-HANDLE</t>
        </is>
      </c>
      <c r="G124" t="inlineStr">
        <is>
          <t>オペレーターハンドル</t>
        </is>
      </c>
      <c r="H124" t="b">
        <v>1</v>
      </c>
      <c r="I124" t="inlineStr">
        <is>
          <t>H&gt;=700：取付可</t>
        </is>
      </c>
      <c r="J124" t="inlineStr">
        <is>
          <t>2026価格表確認済み</t>
        </is>
      </c>
      <c r="K124" t="n">
        <v>140</v>
      </c>
      <c r="L124" t="inlineStr">
        <is>
          <t>202604完成品価格表 P138-141/P254</t>
        </is>
      </c>
      <c r="M124" t="inlineStr">
        <is>
          <t>https://drive.google.com/file/d/1YUN-mtWYs48YBUHJk0C3vJXnhjyZFHyf/view</t>
        </is>
      </c>
      <c r="N124" t="inlineStr">
        <is>
          <t>候補表示</t>
        </is>
      </c>
    </row>
    <row r="125">
      <c r="A125" t="inlineStr">
        <is>
          <t>KOSZ-SL-0122</t>
        </is>
      </c>
      <c r="B125" t="inlineStr">
        <is>
          <t>SZ-SL-000940</t>
        </is>
      </c>
      <c r="C125" t="inlineStr">
        <is>
          <t>06011</t>
        </is>
      </c>
      <c r="D125" t="n">
        <v>640</v>
      </c>
      <c r="E125" t="n">
        <v>1170</v>
      </c>
      <c r="F125" t="inlineStr">
        <is>
          <t>SP-SL-KOSHO-SINGLE</t>
        </is>
      </c>
      <c r="G125" t="inlineStr">
        <is>
          <t>シングルループチェーン</t>
        </is>
      </c>
      <c r="H125" t="b">
        <v>1</v>
      </c>
      <c r="I125" t="inlineStr">
        <is>
          <t>H&gt;=700：取付可</t>
        </is>
      </c>
      <c r="J125" t="inlineStr">
        <is>
          <t>2026価格表確認済み</t>
        </is>
      </c>
      <c r="K125" t="n">
        <v>140</v>
      </c>
      <c r="L125" t="inlineStr">
        <is>
          <t>202604完成品価格表 P138-141/P254</t>
        </is>
      </c>
      <c r="M125" t="inlineStr">
        <is>
          <t>https://drive.google.com/file/d/1YUN-mtWYs48YBUHJk0C3vJXnhjyZFHyf/view</t>
        </is>
      </c>
      <c r="N125" t="inlineStr">
        <is>
          <t>候補表示</t>
        </is>
      </c>
    </row>
    <row r="126">
      <c r="A126" t="inlineStr">
        <is>
          <t>KOSZ-SL-0123</t>
        </is>
      </c>
      <c r="B126" t="inlineStr">
        <is>
          <t>SZ-SL-000940</t>
        </is>
      </c>
      <c r="C126" t="inlineStr">
        <is>
          <t>06011</t>
        </is>
      </c>
      <c r="D126" t="n">
        <v>640</v>
      </c>
      <c r="E126" t="n">
        <v>1170</v>
      </c>
      <c r="F126" t="inlineStr">
        <is>
          <t>SP-SL-KOSHO-DOUBLE</t>
        </is>
      </c>
      <c r="G126" t="inlineStr">
        <is>
          <t>ダブルループチェーン</t>
        </is>
      </c>
      <c r="H126" t="b">
        <v>1</v>
      </c>
      <c r="I126" t="inlineStr">
        <is>
          <t>H&gt;=700：取付可</t>
        </is>
      </c>
      <c r="J126" t="inlineStr">
        <is>
          <t>2026価格表確認済み</t>
        </is>
      </c>
      <c r="K126" t="n">
        <v>140</v>
      </c>
      <c r="L126" t="inlineStr">
        <is>
          <t>202604完成品価格表 P138-141/P254</t>
        </is>
      </c>
      <c r="M126" t="inlineStr">
        <is>
          <t>https://drive.google.com/file/d/1YUN-mtWYs48YBUHJk0C3vJXnhjyZFHyf/view</t>
        </is>
      </c>
      <c r="N126" t="inlineStr">
        <is>
          <t>候補表示</t>
        </is>
      </c>
    </row>
    <row r="127">
      <c r="A127" t="inlineStr">
        <is>
          <t>KOSZ-SL-0124</t>
        </is>
      </c>
      <c r="B127" t="inlineStr">
        <is>
          <t>SZ-SL-000940</t>
        </is>
      </c>
      <c r="C127" t="inlineStr">
        <is>
          <t>06011</t>
        </is>
      </c>
      <c r="D127" t="n">
        <v>640</v>
      </c>
      <c r="E127" t="n">
        <v>1170</v>
      </c>
      <c r="F127" t="inlineStr">
        <is>
          <t>SP-SL-KOSHO-ELECTRIC</t>
        </is>
      </c>
      <c r="G127" t="inlineStr">
        <is>
          <t>電動ユニット</t>
        </is>
      </c>
      <c r="H127" t="b">
        <v>1</v>
      </c>
      <c r="I127" t="inlineStr">
        <is>
          <t>現行規格サイズ・電動候補</t>
        </is>
      </c>
      <c r="J127" t="inlineStr">
        <is>
          <t>2026価格表確認済み</t>
        </is>
      </c>
      <c r="K127" t="n">
        <v>140</v>
      </c>
      <c r="L127" t="inlineStr">
        <is>
          <t>202604完成品価格表 P138-141/P254</t>
        </is>
      </c>
      <c r="M127" t="inlineStr">
        <is>
          <t>https://drive.google.com/file/d/1YUN-mtWYs48YBUHJk0C3vJXnhjyZFHyf/view</t>
        </is>
      </c>
      <c r="N127" t="inlineStr">
        <is>
          <t>候補表示</t>
        </is>
      </c>
    </row>
    <row r="128">
      <c r="A128" t="inlineStr">
        <is>
          <t>KOSZ-SL-0125</t>
        </is>
      </c>
      <c r="B128" t="inlineStr">
        <is>
          <t>SZ-SL-000941</t>
        </is>
      </c>
      <c r="C128" t="inlineStr">
        <is>
          <t>06013</t>
        </is>
      </c>
      <c r="D128" t="n">
        <v>640</v>
      </c>
      <c r="E128" t="n">
        <v>1370</v>
      </c>
      <c r="F128" t="inlineStr">
        <is>
          <t>SP-SL-KOSHO-HANDLE</t>
        </is>
      </c>
      <c r="G128" t="inlineStr">
        <is>
          <t>オペレーターハンドル</t>
        </is>
      </c>
      <c r="H128" t="b">
        <v>1</v>
      </c>
      <c r="I128" t="inlineStr">
        <is>
          <t>H&gt;=700：取付可</t>
        </is>
      </c>
      <c r="J128" t="inlineStr">
        <is>
          <t>2026価格表確認済み</t>
        </is>
      </c>
      <c r="K128" t="n">
        <v>140</v>
      </c>
      <c r="L128" t="inlineStr">
        <is>
          <t>202604完成品価格表 P138-141/P254</t>
        </is>
      </c>
      <c r="M128" t="inlineStr">
        <is>
          <t>https://drive.google.com/file/d/1YUN-mtWYs48YBUHJk0C3vJXnhjyZFHyf/view</t>
        </is>
      </c>
      <c r="N128" t="inlineStr">
        <is>
          <t>候補表示</t>
        </is>
      </c>
    </row>
    <row r="129">
      <c r="A129" t="inlineStr">
        <is>
          <t>KOSZ-SL-0126</t>
        </is>
      </c>
      <c r="B129" t="inlineStr">
        <is>
          <t>SZ-SL-000941</t>
        </is>
      </c>
      <c r="C129" t="inlineStr">
        <is>
          <t>06013</t>
        </is>
      </c>
      <c r="D129" t="n">
        <v>640</v>
      </c>
      <c r="E129" t="n">
        <v>1370</v>
      </c>
      <c r="F129" t="inlineStr">
        <is>
          <t>SP-SL-KOSHO-SINGLE</t>
        </is>
      </c>
      <c r="G129" t="inlineStr">
        <is>
          <t>シングルループチェーン</t>
        </is>
      </c>
      <c r="H129" t="b">
        <v>1</v>
      </c>
      <c r="I129" t="inlineStr">
        <is>
          <t>H&gt;=700：取付可</t>
        </is>
      </c>
      <c r="J129" t="inlineStr">
        <is>
          <t>2026価格表確認済み</t>
        </is>
      </c>
      <c r="K129" t="n">
        <v>140</v>
      </c>
      <c r="L129" t="inlineStr">
        <is>
          <t>202604完成品価格表 P138-141/P254</t>
        </is>
      </c>
      <c r="M129" t="inlineStr">
        <is>
          <t>https://drive.google.com/file/d/1YUN-mtWYs48YBUHJk0C3vJXnhjyZFHyf/view</t>
        </is>
      </c>
      <c r="N129" t="inlineStr">
        <is>
          <t>候補表示</t>
        </is>
      </c>
    </row>
    <row r="130">
      <c r="A130" t="inlineStr">
        <is>
          <t>KOSZ-SL-0127</t>
        </is>
      </c>
      <c r="B130" t="inlineStr">
        <is>
          <t>SZ-SL-000941</t>
        </is>
      </c>
      <c r="C130" t="inlineStr">
        <is>
          <t>06013</t>
        </is>
      </c>
      <c r="D130" t="n">
        <v>640</v>
      </c>
      <c r="E130" t="n">
        <v>1370</v>
      </c>
      <c r="F130" t="inlineStr">
        <is>
          <t>SP-SL-KOSHO-DOUBLE</t>
        </is>
      </c>
      <c r="G130" t="inlineStr">
        <is>
          <t>ダブルループチェーン</t>
        </is>
      </c>
      <c r="H130" t="b">
        <v>1</v>
      </c>
      <c r="I130" t="inlineStr">
        <is>
          <t>H&gt;=700：取付可</t>
        </is>
      </c>
      <c r="J130" t="inlineStr">
        <is>
          <t>2026価格表確認済み</t>
        </is>
      </c>
      <c r="K130" t="n">
        <v>140</v>
      </c>
      <c r="L130" t="inlineStr">
        <is>
          <t>202604完成品価格表 P138-141/P254</t>
        </is>
      </c>
      <c r="M130" t="inlineStr">
        <is>
          <t>https://drive.google.com/file/d/1YUN-mtWYs48YBUHJk0C3vJXnhjyZFHyf/view</t>
        </is>
      </c>
      <c r="N130" t="inlineStr">
        <is>
          <t>候補表示</t>
        </is>
      </c>
    </row>
    <row r="131">
      <c r="A131" t="inlineStr">
        <is>
          <t>KOSZ-SL-0128</t>
        </is>
      </c>
      <c r="B131" t="inlineStr">
        <is>
          <t>SZ-SL-000941</t>
        </is>
      </c>
      <c r="C131" t="inlineStr">
        <is>
          <t>06013</t>
        </is>
      </c>
      <c r="D131" t="n">
        <v>640</v>
      </c>
      <c r="E131" t="n">
        <v>1370</v>
      </c>
      <c r="F131" t="inlineStr">
        <is>
          <t>SP-SL-KOSHO-ELECTRIC</t>
        </is>
      </c>
      <c r="G131" t="inlineStr">
        <is>
          <t>電動ユニット</t>
        </is>
      </c>
      <c r="H131" t="b">
        <v>1</v>
      </c>
      <c r="I131" t="inlineStr">
        <is>
          <t>現行規格サイズ・電動候補</t>
        </is>
      </c>
      <c r="J131" t="inlineStr">
        <is>
          <t>2026価格表確認済み</t>
        </is>
      </c>
      <c r="K131" t="n">
        <v>140</v>
      </c>
      <c r="L131" t="inlineStr">
        <is>
          <t>202604完成品価格表 P138-141/P254</t>
        </is>
      </c>
      <c r="M131" t="inlineStr">
        <is>
          <t>https://drive.google.com/file/d/1YUN-mtWYs48YBUHJk0C3vJXnhjyZFHyf/view</t>
        </is>
      </c>
      <c r="N131" t="inlineStr">
        <is>
          <t>候補表示</t>
        </is>
      </c>
    </row>
    <row r="132">
      <c r="A132" t="inlineStr">
        <is>
          <t>KOSZ-SL-0129</t>
        </is>
      </c>
      <c r="B132" t="inlineStr">
        <is>
          <t>SZ-SL-000942</t>
        </is>
      </c>
      <c r="C132" t="inlineStr">
        <is>
          <t>06907</t>
        </is>
      </c>
      <c r="D132" t="n">
        <v>730</v>
      </c>
      <c r="E132" t="n">
        <v>770</v>
      </c>
      <c r="F132" t="inlineStr">
        <is>
          <t>SP-SL-KOSHO-HANDLE</t>
        </is>
      </c>
      <c r="G132" t="inlineStr">
        <is>
          <t>オペレーターハンドル</t>
        </is>
      </c>
      <c r="H132" t="b">
        <v>1</v>
      </c>
      <c r="I132" t="inlineStr">
        <is>
          <t>H&gt;=700：取付可</t>
        </is>
      </c>
      <c r="J132" t="inlineStr">
        <is>
          <t>2026価格表確認済み</t>
        </is>
      </c>
      <c r="K132" t="n">
        <v>140</v>
      </c>
      <c r="L132" t="inlineStr">
        <is>
          <t>202604完成品価格表 P138-141/P254</t>
        </is>
      </c>
      <c r="M132" t="inlineStr">
        <is>
          <t>https://drive.google.com/file/d/1YUN-mtWYs48YBUHJk0C3vJXnhjyZFHyf/view</t>
        </is>
      </c>
      <c r="N132" t="inlineStr">
        <is>
          <t>候補表示</t>
        </is>
      </c>
    </row>
    <row r="133">
      <c r="A133" t="inlineStr">
        <is>
          <t>KOSZ-SL-0130</t>
        </is>
      </c>
      <c r="B133" t="inlineStr">
        <is>
          <t>SZ-SL-000942</t>
        </is>
      </c>
      <c r="C133" t="inlineStr">
        <is>
          <t>06907</t>
        </is>
      </c>
      <c r="D133" t="n">
        <v>730</v>
      </c>
      <c r="E133" t="n">
        <v>770</v>
      </c>
      <c r="F133" t="inlineStr">
        <is>
          <t>SP-SL-KOSHO-SINGLE</t>
        </is>
      </c>
      <c r="G133" t="inlineStr">
        <is>
          <t>シングルループチェーン</t>
        </is>
      </c>
      <c r="H133" t="b">
        <v>1</v>
      </c>
      <c r="I133" t="inlineStr">
        <is>
          <t>H&gt;=700：取付可</t>
        </is>
      </c>
      <c r="J133" t="inlineStr">
        <is>
          <t>2026価格表確認済み</t>
        </is>
      </c>
      <c r="K133" t="n">
        <v>140</v>
      </c>
      <c r="L133" t="inlineStr">
        <is>
          <t>202604完成品価格表 P138-141/P254</t>
        </is>
      </c>
      <c r="M133" t="inlineStr">
        <is>
          <t>https://drive.google.com/file/d/1YUN-mtWYs48YBUHJk0C3vJXnhjyZFHyf/view</t>
        </is>
      </c>
      <c r="N133" t="inlineStr">
        <is>
          <t>候補表示</t>
        </is>
      </c>
    </row>
    <row r="134">
      <c r="A134" t="inlineStr">
        <is>
          <t>KOSZ-SL-0131</t>
        </is>
      </c>
      <c r="B134" t="inlineStr">
        <is>
          <t>SZ-SL-000942</t>
        </is>
      </c>
      <c r="C134" t="inlineStr">
        <is>
          <t>06907</t>
        </is>
      </c>
      <c r="D134" t="n">
        <v>730</v>
      </c>
      <c r="E134" t="n">
        <v>770</v>
      </c>
      <c r="F134" t="inlineStr">
        <is>
          <t>SP-SL-KOSHO-DOUBLE</t>
        </is>
      </c>
      <c r="G134" t="inlineStr">
        <is>
          <t>ダブルループチェーン</t>
        </is>
      </c>
      <c r="H134" t="b">
        <v>1</v>
      </c>
      <c r="I134" t="inlineStr">
        <is>
          <t>H&gt;=700：取付可</t>
        </is>
      </c>
      <c r="J134" t="inlineStr">
        <is>
          <t>2026価格表確認済み</t>
        </is>
      </c>
      <c r="K134" t="n">
        <v>140</v>
      </c>
      <c r="L134" t="inlineStr">
        <is>
          <t>202604完成品価格表 P138-141/P254</t>
        </is>
      </c>
      <c r="M134" t="inlineStr">
        <is>
          <t>https://drive.google.com/file/d/1YUN-mtWYs48YBUHJk0C3vJXnhjyZFHyf/view</t>
        </is>
      </c>
      <c r="N134" t="inlineStr">
        <is>
          <t>候補表示</t>
        </is>
      </c>
    </row>
    <row r="135">
      <c r="A135" t="inlineStr">
        <is>
          <t>KOSZ-SL-0132</t>
        </is>
      </c>
      <c r="B135" t="inlineStr">
        <is>
          <t>SZ-SL-000942</t>
        </is>
      </c>
      <c r="C135" t="inlineStr">
        <is>
          <t>06907</t>
        </is>
      </c>
      <c r="D135" t="n">
        <v>730</v>
      </c>
      <c r="E135" t="n">
        <v>770</v>
      </c>
      <c r="F135" t="inlineStr">
        <is>
          <t>SP-SL-KOSHO-ELECTRIC</t>
        </is>
      </c>
      <c r="G135" t="inlineStr">
        <is>
          <t>電動ユニット</t>
        </is>
      </c>
      <c r="H135" t="b">
        <v>1</v>
      </c>
      <c r="I135" t="inlineStr">
        <is>
          <t>現行規格サイズ・電動候補</t>
        </is>
      </c>
      <c r="J135" t="inlineStr">
        <is>
          <t>2026価格表確認済み</t>
        </is>
      </c>
      <c r="K135" t="n">
        <v>140</v>
      </c>
      <c r="L135" t="inlineStr">
        <is>
          <t>202604完成品価格表 P138-141/P254</t>
        </is>
      </c>
      <c r="M135" t="inlineStr">
        <is>
          <t>https://drive.google.com/file/d/1YUN-mtWYs48YBUHJk0C3vJXnhjyZFHyf/view</t>
        </is>
      </c>
      <c r="N135" t="inlineStr">
        <is>
          <t>候補表示</t>
        </is>
      </c>
    </row>
    <row r="136">
      <c r="A136" t="inlineStr">
        <is>
          <t>KOSZ-SL-0133</t>
        </is>
      </c>
      <c r="B136" t="inlineStr">
        <is>
          <t>SZ-SL-000943</t>
        </is>
      </c>
      <c r="C136" t="inlineStr">
        <is>
          <t>06909</t>
        </is>
      </c>
      <c r="D136" t="n">
        <v>730</v>
      </c>
      <c r="E136" t="n">
        <v>970</v>
      </c>
      <c r="F136" t="inlineStr">
        <is>
          <t>SP-SL-KOSHO-HANDLE</t>
        </is>
      </c>
      <c r="G136" t="inlineStr">
        <is>
          <t>オペレーターハンドル</t>
        </is>
      </c>
      <c r="H136" t="b">
        <v>1</v>
      </c>
      <c r="I136" t="inlineStr">
        <is>
          <t>H&gt;=700：取付可</t>
        </is>
      </c>
      <c r="J136" t="inlineStr">
        <is>
          <t>2026価格表確認済み</t>
        </is>
      </c>
      <c r="K136" t="n">
        <v>140</v>
      </c>
      <c r="L136" t="inlineStr">
        <is>
          <t>202604完成品価格表 P138-141/P254</t>
        </is>
      </c>
      <c r="M136" t="inlineStr">
        <is>
          <t>https://drive.google.com/file/d/1YUN-mtWYs48YBUHJk0C3vJXnhjyZFHyf/view</t>
        </is>
      </c>
      <c r="N136" t="inlineStr">
        <is>
          <t>候補表示</t>
        </is>
      </c>
    </row>
    <row r="137">
      <c r="A137" t="inlineStr">
        <is>
          <t>KOSZ-SL-0134</t>
        </is>
      </c>
      <c r="B137" t="inlineStr">
        <is>
          <t>SZ-SL-000943</t>
        </is>
      </c>
      <c r="C137" t="inlineStr">
        <is>
          <t>06909</t>
        </is>
      </c>
      <c r="D137" t="n">
        <v>730</v>
      </c>
      <c r="E137" t="n">
        <v>970</v>
      </c>
      <c r="F137" t="inlineStr">
        <is>
          <t>SP-SL-KOSHO-SINGLE</t>
        </is>
      </c>
      <c r="G137" t="inlineStr">
        <is>
          <t>シングルループチェーン</t>
        </is>
      </c>
      <c r="H137" t="b">
        <v>1</v>
      </c>
      <c r="I137" t="inlineStr">
        <is>
          <t>H&gt;=700：取付可</t>
        </is>
      </c>
      <c r="J137" t="inlineStr">
        <is>
          <t>2026価格表確認済み</t>
        </is>
      </c>
      <c r="K137" t="n">
        <v>140</v>
      </c>
      <c r="L137" t="inlineStr">
        <is>
          <t>202604完成品価格表 P138-141/P254</t>
        </is>
      </c>
      <c r="M137" t="inlineStr">
        <is>
          <t>https://drive.google.com/file/d/1YUN-mtWYs48YBUHJk0C3vJXnhjyZFHyf/view</t>
        </is>
      </c>
      <c r="N137" t="inlineStr">
        <is>
          <t>候補表示</t>
        </is>
      </c>
    </row>
    <row r="138">
      <c r="A138" t="inlineStr">
        <is>
          <t>KOSZ-SL-0135</t>
        </is>
      </c>
      <c r="B138" t="inlineStr">
        <is>
          <t>SZ-SL-000943</t>
        </is>
      </c>
      <c r="C138" t="inlineStr">
        <is>
          <t>06909</t>
        </is>
      </c>
      <c r="D138" t="n">
        <v>730</v>
      </c>
      <c r="E138" t="n">
        <v>970</v>
      </c>
      <c r="F138" t="inlineStr">
        <is>
          <t>SP-SL-KOSHO-DOUBLE</t>
        </is>
      </c>
      <c r="G138" t="inlineStr">
        <is>
          <t>ダブルループチェーン</t>
        </is>
      </c>
      <c r="H138" t="b">
        <v>1</v>
      </c>
      <c r="I138" t="inlineStr">
        <is>
          <t>H&gt;=700：取付可</t>
        </is>
      </c>
      <c r="J138" t="inlineStr">
        <is>
          <t>2026価格表確認済み</t>
        </is>
      </c>
      <c r="K138" t="n">
        <v>140</v>
      </c>
      <c r="L138" t="inlineStr">
        <is>
          <t>202604完成品価格表 P138-141/P254</t>
        </is>
      </c>
      <c r="M138" t="inlineStr">
        <is>
          <t>https://drive.google.com/file/d/1YUN-mtWYs48YBUHJk0C3vJXnhjyZFHyf/view</t>
        </is>
      </c>
      <c r="N138" t="inlineStr">
        <is>
          <t>候補表示</t>
        </is>
      </c>
    </row>
    <row r="139">
      <c r="A139" t="inlineStr">
        <is>
          <t>KOSZ-SL-0136</t>
        </is>
      </c>
      <c r="B139" t="inlineStr">
        <is>
          <t>SZ-SL-000943</t>
        </is>
      </c>
      <c r="C139" t="inlineStr">
        <is>
          <t>06909</t>
        </is>
      </c>
      <c r="D139" t="n">
        <v>730</v>
      </c>
      <c r="E139" t="n">
        <v>970</v>
      </c>
      <c r="F139" t="inlineStr">
        <is>
          <t>SP-SL-KOSHO-ELECTRIC</t>
        </is>
      </c>
      <c r="G139" t="inlineStr">
        <is>
          <t>電動ユニット</t>
        </is>
      </c>
      <c r="H139" t="b">
        <v>1</v>
      </c>
      <c r="I139" t="inlineStr">
        <is>
          <t>現行規格サイズ・電動候補</t>
        </is>
      </c>
      <c r="J139" t="inlineStr">
        <is>
          <t>2026価格表確認済み</t>
        </is>
      </c>
      <c r="K139" t="n">
        <v>140</v>
      </c>
      <c r="L139" t="inlineStr">
        <is>
          <t>202604完成品価格表 P138-141/P254</t>
        </is>
      </c>
      <c r="M139" t="inlineStr">
        <is>
          <t>https://drive.google.com/file/d/1YUN-mtWYs48YBUHJk0C3vJXnhjyZFHyf/view</t>
        </is>
      </c>
      <c r="N139" t="inlineStr">
        <is>
          <t>候補表示</t>
        </is>
      </c>
    </row>
    <row r="140">
      <c r="A140" t="inlineStr">
        <is>
          <t>KOSZ-SL-0137</t>
        </is>
      </c>
      <c r="B140" t="inlineStr">
        <is>
          <t>SZ-SL-000944</t>
        </is>
      </c>
      <c r="C140" t="inlineStr">
        <is>
          <t>07407</t>
        </is>
      </c>
      <c r="D140" t="n">
        <v>780</v>
      </c>
      <c r="E140" t="n">
        <v>770</v>
      </c>
      <c r="F140" t="inlineStr">
        <is>
          <t>SP-SL-KOSHO-HANDLE</t>
        </is>
      </c>
      <c r="G140" t="inlineStr">
        <is>
          <t>オペレーターハンドル</t>
        </is>
      </c>
      <c r="H140" t="b">
        <v>1</v>
      </c>
      <c r="I140" t="inlineStr">
        <is>
          <t>H&gt;=700：取付可</t>
        </is>
      </c>
      <c r="J140" t="inlineStr">
        <is>
          <t>2026価格表確認済み</t>
        </is>
      </c>
      <c r="K140" t="n">
        <v>140</v>
      </c>
      <c r="L140" t="inlineStr">
        <is>
          <t>202604完成品価格表 P138-141/P254</t>
        </is>
      </c>
      <c r="M140" t="inlineStr">
        <is>
          <t>https://drive.google.com/file/d/1YUN-mtWYs48YBUHJk0C3vJXnhjyZFHyf/view</t>
        </is>
      </c>
      <c r="N140" t="inlineStr">
        <is>
          <t>候補表示</t>
        </is>
      </c>
    </row>
    <row r="141">
      <c r="A141" t="inlineStr">
        <is>
          <t>KOSZ-SL-0138</t>
        </is>
      </c>
      <c r="B141" t="inlineStr">
        <is>
          <t>SZ-SL-000944</t>
        </is>
      </c>
      <c r="C141" t="inlineStr">
        <is>
          <t>07407</t>
        </is>
      </c>
      <c r="D141" t="n">
        <v>780</v>
      </c>
      <c r="E141" t="n">
        <v>770</v>
      </c>
      <c r="F141" t="inlineStr">
        <is>
          <t>SP-SL-KOSHO-SINGLE</t>
        </is>
      </c>
      <c r="G141" t="inlineStr">
        <is>
          <t>シングルループチェーン</t>
        </is>
      </c>
      <c r="H141" t="b">
        <v>1</v>
      </c>
      <c r="I141" t="inlineStr">
        <is>
          <t>H&gt;=700：取付可</t>
        </is>
      </c>
      <c r="J141" t="inlineStr">
        <is>
          <t>2026価格表確認済み</t>
        </is>
      </c>
      <c r="K141" t="n">
        <v>140</v>
      </c>
      <c r="L141" t="inlineStr">
        <is>
          <t>202604完成品価格表 P138-141/P254</t>
        </is>
      </c>
      <c r="M141" t="inlineStr">
        <is>
          <t>https://drive.google.com/file/d/1YUN-mtWYs48YBUHJk0C3vJXnhjyZFHyf/view</t>
        </is>
      </c>
      <c r="N141" t="inlineStr">
        <is>
          <t>候補表示</t>
        </is>
      </c>
    </row>
    <row r="142">
      <c r="A142" t="inlineStr">
        <is>
          <t>KOSZ-SL-0139</t>
        </is>
      </c>
      <c r="B142" t="inlineStr">
        <is>
          <t>SZ-SL-000944</t>
        </is>
      </c>
      <c r="C142" t="inlineStr">
        <is>
          <t>07407</t>
        </is>
      </c>
      <c r="D142" t="n">
        <v>780</v>
      </c>
      <c r="E142" t="n">
        <v>770</v>
      </c>
      <c r="F142" t="inlineStr">
        <is>
          <t>SP-SL-KOSHO-DOUBLE</t>
        </is>
      </c>
      <c r="G142" t="inlineStr">
        <is>
          <t>ダブルループチェーン</t>
        </is>
      </c>
      <c r="H142" t="b">
        <v>1</v>
      </c>
      <c r="I142" t="inlineStr">
        <is>
          <t>H&gt;=700：取付可</t>
        </is>
      </c>
      <c r="J142" t="inlineStr">
        <is>
          <t>2026価格表確認済み</t>
        </is>
      </c>
      <c r="K142" t="n">
        <v>140</v>
      </c>
      <c r="L142" t="inlineStr">
        <is>
          <t>202604完成品価格表 P138-141/P254</t>
        </is>
      </c>
      <c r="M142" t="inlineStr">
        <is>
          <t>https://drive.google.com/file/d/1YUN-mtWYs48YBUHJk0C3vJXnhjyZFHyf/view</t>
        </is>
      </c>
      <c r="N142" t="inlineStr">
        <is>
          <t>候補表示</t>
        </is>
      </c>
    </row>
    <row r="143">
      <c r="A143" t="inlineStr">
        <is>
          <t>KOSZ-SL-0140</t>
        </is>
      </c>
      <c r="B143" t="inlineStr">
        <is>
          <t>SZ-SL-000944</t>
        </is>
      </c>
      <c r="C143" t="inlineStr">
        <is>
          <t>07407</t>
        </is>
      </c>
      <c r="D143" t="n">
        <v>780</v>
      </c>
      <c r="E143" t="n">
        <v>770</v>
      </c>
      <c r="F143" t="inlineStr">
        <is>
          <t>SP-SL-KOSHO-ELECTRIC</t>
        </is>
      </c>
      <c r="G143" t="inlineStr">
        <is>
          <t>電動ユニット</t>
        </is>
      </c>
      <c r="H143" t="b">
        <v>1</v>
      </c>
      <c r="I143" t="inlineStr">
        <is>
          <t>現行規格サイズ・電動候補</t>
        </is>
      </c>
      <c r="J143" t="inlineStr">
        <is>
          <t>2026価格表確認済み</t>
        </is>
      </c>
      <c r="K143" t="n">
        <v>140</v>
      </c>
      <c r="L143" t="inlineStr">
        <is>
          <t>202604完成品価格表 P138-141/P254</t>
        </is>
      </c>
      <c r="M143" t="inlineStr">
        <is>
          <t>https://drive.google.com/file/d/1YUN-mtWYs48YBUHJk0C3vJXnhjyZFHyf/view</t>
        </is>
      </c>
      <c r="N143" t="inlineStr">
        <is>
          <t>候補表示</t>
        </is>
      </c>
    </row>
    <row r="144">
      <c r="A144" t="inlineStr">
        <is>
          <t>KOSZ-SL-0141</t>
        </is>
      </c>
      <c r="B144" t="inlineStr">
        <is>
          <t>SZ-SL-000945</t>
        </is>
      </c>
      <c r="C144" t="inlineStr">
        <is>
          <t>07409</t>
        </is>
      </c>
      <c r="D144" t="n">
        <v>780</v>
      </c>
      <c r="E144" t="n">
        <v>970</v>
      </c>
      <c r="F144" t="inlineStr">
        <is>
          <t>SP-SL-KOSHO-HANDLE</t>
        </is>
      </c>
      <c r="G144" t="inlineStr">
        <is>
          <t>オペレーターハンドル</t>
        </is>
      </c>
      <c r="H144" t="b">
        <v>1</v>
      </c>
      <c r="I144" t="inlineStr">
        <is>
          <t>H&gt;=700：取付可</t>
        </is>
      </c>
      <c r="J144" t="inlineStr">
        <is>
          <t>2026価格表確認済み</t>
        </is>
      </c>
      <c r="K144" t="n">
        <v>140</v>
      </c>
      <c r="L144" t="inlineStr">
        <is>
          <t>202604完成品価格表 P138-141/P254</t>
        </is>
      </c>
      <c r="M144" t="inlineStr">
        <is>
          <t>https://drive.google.com/file/d/1YUN-mtWYs48YBUHJk0C3vJXnhjyZFHyf/view</t>
        </is>
      </c>
      <c r="N144" t="inlineStr">
        <is>
          <t>候補表示</t>
        </is>
      </c>
    </row>
    <row r="145">
      <c r="A145" t="inlineStr">
        <is>
          <t>KOSZ-SL-0142</t>
        </is>
      </c>
      <c r="B145" t="inlineStr">
        <is>
          <t>SZ-SL-000945</t>
        </is>
      </c>
      <c r="C145" t="inlineStr">
        <is>
          <t>07409</t>
        </is>
      </c>
      <c r="D145" t="n">
        <v>780</v>
      </c>
      <c r="E145" t="n">
        <v>970</v>
      </c>
      <c r="F145" t="inlineStr">
        <is>
          <t>SP-SL-KOSHO-SINGLE</t>
        </is>
      </c>
      <c r="G145" t="inlineStr">
        <is>
          <t>シングルループチェーン</t>
        </is>
      </c>
      <c r="H145" t="b">
        <v>1</v>
      </c>
      <c r="I145" t="inlineStr">
        <is>
          <t>H&gt;=700：取付可</t>
        </is>
      </c>
      <c r="J145" t="inlineStr">
        <is>
          <t>2026価格表確認済み</t>
        </is>
      </c>
      <c r="K145" t="n">
        <v>140</v>
      </c>
      <c r="L145" t="inlineStr">
        <is>
          <t>202604完成品価格表 P138-141/P254</t>
        </is>
      </c>
      <c r="M145" t="inlineStr">
        <is>
          <t>https://drive.google.com/file/d/1YUN-mtWYs48YBUHJk0C3vJXnhjyZFHyf/view</t>
        </is>
      </c>
      <c r="N145" t="inlineStr">
        <is>
          <t>候補表示</t>
        </is>
      </c>
    </row>
    <row r="146">
      <c r="A146" t="inlineStr">
        <is>
          <t>KOSZ-SL-0143</t>
        </is>
      </c>
      <c r="B146" t="inlineStr">
        <is>
          <t>SZ-SL-000945</t>
        </is>
      </c>
      <c r="C146" t="inlineStr">
        <is>
          <t>07409</t>
        </is>
      </c>
      <c r="D146" t="n">
        <v>780</v>
      </c>
      <c r="E146" t="n">
        <v>970</v>
      </c>
      <c r="F146" t="inlineStr">
        <is>
          <t>SP-SL-KOSHO-DOUBLE</t>
        </is>
      </c>
      <c r="G146" t="inlineStr">
        <is>
          <t>ダブルループチェーン</t>
        </is>
      </c>
      <c r="H146" t="b">
        <v>1</v>
      </c>
      <c r="I146" t="inlineStr">
        <is>
          <t>H&gt;=700：取付可</t>
        </is>
      </c>
      <c r="J146" t="inlineStr">
        <is>
          <t>2026価格表確認済み</t>
        </is>
      </c>
      <c r="K146" t="n">
        <v>140</v>
      </c>
      <c r="L146" t="inlineStr">
        <is>
          <t>202604完成品価格表 P138-141/P254</t>
        </is>
      </c>
      <c r="M146" t="inlineStr">
        <is>
          <t>https://drive.google.com/file/d/1YUN-mtWYs48YBUHJk0C3vJXnhjyZFHyf/view</t>
        </is>
      </c>
      <c r="N146" t="inlineStr">
        <is>
          <t>候補表示</t>
        </is>
      </c>
    </row>
    <row r="147">
      <c r="A147" t="inlineStr">
        <is>
          <t>KOSZ-SL-0144</t>
        </is>
      </c>
      <c r="B147" t="inlineStr">
        <is>
          <t>SZ-SL-000945</t>
        </is>
      </c>
      <c r="C147" t="inlineStr">
        <is>
          <t>07409</t>
        </is>
      </c>
      <c r="D147" t="n">
        <v>780</v>
      </c>
      <c r="E147" t="n">
        <v>970</v>
      </c>
      <c r="F147" t="inlineStr">
        <is>
          <t>SP-SL-KOSHO-ELECTRIC</t>
        </is>
      </c>
      <c r="G147" t="inlineStr">
        <is>
          <t>電動ユニット</t>
        </is>
      </c>
      <c r="H147" t="b">
        <v>1</v>
      </c>
      <c r="I147" t="inlineStr">
        <is>
          <t>現行規格サイズ・電動候補</t>
        </is>
      </c>
      <c r="J147" t="inlineStr">
        <is>
          <t>2026価格表確認済み</t>
        </is>
      </c>
      <c r="K147" t="n">
        <v>140</v>
      </c>
      <c r="L147" t="inlineStr">
        <is>
          <t>202604完成品価格表 P138-141/P254</t>
        </is>
      </c>
      <c r="M147" t="inlineStr">
        <is>
          <t>https://drive.google.com/file/d/1YUN-mtWYs48YBUHJk0C3vJXnhjyZFHyf/view</t>
        </is>
      </c>
      <c r="N147" t="inlineStr">
        <is>
          <t>候補表示</t>
        </is>
      </c>
    </row>
  </sheetData>
  <mergeCells count="2">
    <mergeCell ref="A2:N2"/>
    <mergeCell ref="A1:N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s="237" t="inlineStr">
        <is>
          <t>網戸形式×ネット種類 設定可否｜サーモスL v0.6</t>
        </is>
      </c>
      <c r="B1" s="41" t="n"/>
      <c r="C1" s="41" t="n"/>
      <c r="D1" s="41" t="n"/>
      <c r="E1" s="41" t="n"/>
      <c r="F1" s="41" t="n"/>
      <c r="G1" s="41" t="n"/>
      <c r="H1" s="41" t="n"/>
      <c r="I1" s="41" t="n"/>
      <c r="J1" s="41" t="n"/>
      <c r="K1" s="41" t="n"/>
      <c r="L1" s="41" t="n"/>
      <c r="M1" s="41" t="n"/>
    </row>
    <row r="2">
      <c r="A2" s="41" t="inlineStr">
        <is>
          <t>引違いタイプ群は標準/きれい/虫イヤ/ペット、ロールタイプ群は標準/きれい/虫イヤ（ペットなし）。</t>
        </is>
      </c>
      <c r="B2" s="41" t="n"/>
      <c r="C2" s="41" t="n"/>
      <c r="D2" s="41" t="n"/>
      <c r="E2" s="41" t="n"/>
      <c r="F2" s="41" t="n"/>
      <c r="G2" s="41" t="n"/>
      <c r="H2" s="41" t="n"/>
      <c r="I2" s="41" t="n"/>
      <c r="J2" s="41" t="n"/>
      <c r="K2" s="41" t="n"/>
      <c r="L2" s="41" t="n"/>
      <c r="M2" s="41" t="n"/>
    </row>
    <row r="3">
      <c r="A3" s="131" t="inlineStr">
        <is>
          <t>netrel_id</t>
        </is>
      </c>
      <c r="B3" s="131" t="inlineStr">
        <is>
          <t>網戸形式</t>
        </is>
      </c>
      <c r="C3" s="131" t="inlineStr">
        <is>
          <t>ネット種類</t>
        </is>
      </c>
      <c r="D3" s="131" t="inlineStr">
        <is>
          <t>タイプ群</t>
        </is>
      </c>
      <c r="E3" s="131" t="inlineStr">
        <is>
          <t>設定可否</t>
        </is>
      </c>
      <c r="F3" s="131" t="inlineStr">
        <is>
          <t>標準/特注</t>
        </is>
      </c>
      <c r="G3" s="131" t="inlineStr">
        <is>
          <t>W条件</t>
        </is>
      </c>
      <c r="H3" s="131" t="inlineStr">
        <is>
          <t>H条件</t>
        </is>
      </c>
      <c r="I3" s="131" t="inlineStr">
        <is>
          <t>登録状態</t>
        </is>
      </c>
      <c r="J3" s="131" t="inlineStr">
        <is>
          <t>アプリ動作</t>
        </is>
      </c>
      <c r="K3" s="131" t="inlineStr">
        <is>
          <t>出典</t>
        </is>
      </c>
      <c r="L3" s="131" t="inlineStr">
        <is>
          <t>一次資料URL</t>
        </is>
      </c>
      <c r="M3" s="131" t="inlineStr">
        <is>
          <t>備考</t>
        </is>
      </c>
    </row>
    <row r="4">
      <c r="A4" t="inlineStr">
        <is>
          <t>NETREL-SL-001</t>
        </is>
      </c>
      <c r="B4" t="inlineStr">
        <is>
          <t>引違い網戸</t>
        </is>
      </c>
      <c r="C4" t="inlineStr">
        <is>
          <t>標準ネット</t>
        </is>
      </c>
      <c r="D4" t="inlineStr">
        <is>
          <t>引違いタイプ</t>
        </is>
      </c>
      <c r="E4" t="inlineStr">
        <is>
          <t>可</t>
        </is>
      </c>
      <c r="F4" t="inlineStr">
        <is>
          <t>標準設定</t>
        </is>
      </c>
      <c r="G4" t="inlineStr">
        <is>
          <t>制限記載なし</t>
        </is>
      </c>
      <c r="H4" t="inlineStr">
        <is>
          <t>H&gt;=1370mmは中桟付</t>
        </is>
      </c>
      <c r="I4" t="inlineStr">
        <is>
          <t>カタログ確認済み</t>
        </is>
      </c>
      <c r="J4" t="inlineStr">
        <is>
          <t>候補表示</t>
        </is>
      </c>
      <c r="K4" t="inlineStr">
        <is>
          <t>商品カタログ P278-281</t>
        </is>
      </c>
      <c r="L4" t="inlineStr">
        <is>
          <t>https://webcatalog.lixil.co.jp/iportal/CatalogDetail.do?catalogID=15191910000&amp;categoryID=1630000&amp;designID=newinter&amp;method=initial_screen&amp;position=18&amp;type=mc&amp;volumeID=LXL13001</t>
        </is>
      </c>
    </row>
    <row r="5">
      <c r="A5" t="inlineStr">
        <is>
          <t>NETREL-SL-002</t>
        </is>
      </c>
      <c r="B5" t="inlineStr">
        <is>
          <t>引違い網戸</t>
        </is>
      </c>
      <c r="C5" t="inlineStr">
        <is>
          <t>きれいネット</t>
        </is>
      </c>
      <c r="D5" t="inlineStr">
        <is>
          <t>引違いタイプ</t>
        </is>
      </c>
      <c r="E5" t="inlineStr">
        <is>
          <t>可</t>
        </is>
      </c>
      <c r="F5" t="inlineStr">
        <is>
          <t>標準設定</t>
        </is>
      </c>
      <c r="G5" t="inlineStr">
        <is>
          <t>制限記載なし</t>
        </is>
      </c>
      <c r="H5" t="inlineStr">
        <is>
          <t>H&gt;=1370mmは中桟付</t>
        </is>
      </c>
      <c r="I5" t="inlineStr">
        <is>
          <t>カタログ確認済み</t>
        </is>
      </c>
      <c r="J5" t="inlineStr">
        <is>
          <t>候補表示</t>
        </is>
      </c>
      <c r="K5" t="inlineStr">
        <is>
          <t>商品カタログ P278-281</t>
        </is>
      </c>
      <c r="L5" t="inlineStr">
        <is>
          <t>https://webcatalog.lixil.co.jp/iportal/CatalogDetail.do?catalogID=15191910000&amp;categoryID=1630000&amp;designID=newinter&amp;method=initial_screen&amp;position=18&amp;type=mc&amp;volumeID=LXL13001</t>
        </is>
      </c>
    </row>
    <row r="6">
      <c r="A6" t="inlineStr">
        <is>
          <t>NETREL-SL-003</t>
        </is>
      </c>
      <c r="B6" t="inlineStr">
        <is>
          <t>引違い網戸</t>
        </is>
      </c>
      <c r="C6" t="inlineStr">
        <is>
          <t>虫イヤネット</t>
        </is>
      </c>
      <c r="D6" t="inlineStr">
        <is>
          <t>引違いタイプ</t>
        </is>
      </c>
      <c r="E6" t="inlineStr">
        <is>
          <t>可</t>
        </is>
      </c>
      <c r="F6" t="inlineStr">
        <is>
          <t>特注対応</t>
        </is>
      </c>
      <c r="G6" t="inlineStr">
        <is>
          <t>制限記載なし</t>
        </is>
      </c>
      <c r="H6" t="inlineStr">
        <is>
          <t>H&gt;=1370mmは中桟付</t>
        </is>
      </c>
      <c r="I6" t="inlineStr">
        <is>
          <t>カタログ確認済み</t>
        </is>
      </c>
      <c r="J6" t="inlineStr">
        <is>
          <t>候補表示</t>
        </is>
      </c>
      <c r="K6" t="inlineStr">
        <is>
          <t>商品カタログ P278-281</t>
        </is>
      </c>
      <c r="L6" t="inlineStr">
        <is>
          <t>https://webcatalog.lixil.co.jp/iportal/CatalogDetail.do?catalogID=15191910000&amp;categoryID=1630000&amp;designID=newinter&amp;method=initial_screen&amp;position=18&amp;type=mc&amp;volumeID=LXL13001</t>
        </is>
      </c>
    </row>
    <row r="7">
      <c r="A7" t="inlineStr">
        <is>
          <t>NETREL-SL-004</t>
        </is>
      </c>
      <c r="B7" t="inlineStr">
        <is>
          <t>引違い網戸</t>
        </is>
      </c>
      <c r="C7" t="inlineStr">
        <is>
          <t>ペットネット</t>
        </is>
      </c>
      <c r="D7" t="inlineStr">
        <is>
          <t>引違いタイプ</t>
        </is>
      </c>
      <c r="E7" t="inlineStr">
        <is>
          <t>可</t>
        </is>
      </c>
      <c r="F7" t="inlineStr">
        <is>
          <t>特注対応</t>
        </is>
      </c>
      <c r="G7" t="inlineStr">
        <is>
          <t>W&lt;=780mm</t>
        </is>
      </c>
      <c r="H7" t="inlineStr">
        <is>
          <t>H&gt;=1370mmは中桟付</t>
        </is>
      </c>
      <c r="I7" t="inlineStr">
        <is>
          <t>カタログ確認済み</t>
        </is>
      </c>
      <c r="J7" t="inlineStr">
        <is>
          <t>候補表示</t>
        </is>
      </c>
      <c r="K7" t="inlineStr">
        <is>
          <t>商品カタログ P278-281</t>
        </is>
      </c>
      <c r="L7" t="inlineStr">
        <is>
          <t>https://webcatalog.lixil.co.jp/iportal/CatalogDetail.do?catalogID=15191910000&amp;categoryID=1630000&amp;designID=newinter&amp;method=initial_screen&amp;position=18&amp;type=mc&amp;volumeID=LXL13001</t>
        </is>
      </c>
      <c r="M7" t="inlineStr">
        <is>
          <t>ペットはW&gt;780mm製作不可</t>
        </is>
      </c>
    </row>
    <row r="8">
      <c r="A8" t="inlineStr">
        <is>
          <t>NETREL-SL-005</t>
        </is>
      </c>
      <c r="B8" t="inlineStr">
        <is>
          <t>上げ下げ式網戸</t>
        </is>
      </c>
      <c r="C8" t="inlineStr">
        <is>
          <t>標準ネット</t>
        </is>
      </c>
      <c r="D8" t="inlineStr">
        <is>
          <t>引違いタイプ</t>
        </is>
      </c>
      <c r="E8" t="inlineStr">
        <is>
          <t>可</t>
        </is>
      </c>
      <c r="F8" t="inlineStr">
        <is>
          <t>標準設定</t>
        </is>
      </c>
      <c r="G8" t="inlineStr">
        <is>
          <t>制限記載なし</t>
        </is>
      </c>
      <c r="H8" t="inlineStr">
        <is>
          <t>形式別規格表</t>
        </is>
      </c>
      <c r="I8" t="inlineStr">
        <is>
          <t>カタログ確認済み</t>
        </is>
      </c>
      <c r="J8" t="inlineStr">
        <is>
          <t>候補表示</t>
        </is>
      </c>
      <c r="K8" t="inlineStr">
        <is>
          <t>商品カタログ P278-281</t>
        </is>
      </c>
      <c r="L8" t="inlineStr">
        <is>
          <t>https://webcatalog.lixil.co.jp/iportal/CatalogDetail.do?catalogID=15191910000&amp;categoryID=1630000&amp;designID=newinter&amp;method=initial_screen&amp;position=18&amp;type=mc&amp;volumeID=LXL13001</t>
        </is>
      </c>
    </row>
    <row r="9">
      <c r="A9" t="inlineStr">
        <is>
          <t>NETREL-SL-006</t>
        </is>
      </c>
      <c r="B9" t="inlineStr">
        <is>
          <t>上げ下げ式網戸</t>
        </is>
      </c>
      <c r="C9" t="inlineStr">
        <is>
          <t>きれいネット</t>
        </is>
      </c>
      <c r="D9" t="inlineStr">
        <is>
          <t>引違いタイプ</t>
        </is>
      </c>
      <c r="E9" t="inlineStr">
        <is>
          <t>可</t>
        </is>
      </c>
      <c r="F9" t="inlineStr">
        <is>
          <t>標準設定</t>
        </is>
      </c>
      <c r="G9" t="inlineStr">
        <is>
          <t>制限記載なし</t>
        </is>
      </c>
      <c r="H9" t="inlineStr">
        <is>
          <t>形式別規格表</t>
        </is>
      </c>
      <c r="I9" t="inlineStr">
        <is>
          <t>カタログ確認済み</t>
        </is>
      </c>
      <c r="J9" t="inlineStr">
        <is>
          <t>候補表示</t>
        </is>
      </c>
      <c r="K9" t="inlineStr">
        <is>
          <t>商品カタログ P278-281</t>
        </is>
      </c>
      <c r="L9" t="inlineStr">
        <is>
          <t>https://webcatalog.lixil.co.jp/iportal/CatalogDetail.do?catalogID=15191910000&amp;categoryID=1630000&amp;designID=newinter&amp;method=initial_screen&amp;position=18&amp;type=mc&amp;volumeID=LXL13001</t>
        </is>
      </c>
    </row>
    <row r="10">
      <c r="A10" t="inlineStr">
        <is>
          <t>NETREL-SL-007</t>
        </is>
      </c>
      <c r="B10" t="inlineStr">
        <is>
          <t>上げ下げ式網戸</t>
        </is>
      </c>
      <c r="C10" t="inlineStr">
        <is>
          <t>虫イヤネット</t>
        </is>
      </c>
      <c r="D10" t="inlineStr">
        <is>
          <t>引違いタイプ</t>
        </is>
      </c>
      <c r="E10" t="inlineStr">
        <is>
          <t>可</t>
        </is>
      </c>
      <c r="F10" t="inlineStr">
        <is>
          <t>特注対応</t>
        </is>
      </c>
      <c r="G10" t="inlineStr">
        <is>
          <t>制限記載なし</t>
        </is>
      </c>
      <c r="H10" t="inlineStr">
        <is>
          <t>形式別規格表</t>
        </is>
      </c>
      <c r="I10" t="inlineStr">
        <is>
          <t>カタログ確認済み</t>
        </is>
      </c>
      <c r="J10" t="inlineStr">
        <is>
          <t>候補表示</t>
        </is>
      </c>
      <c r="K10" t="inlineStr">
        <is>
          <t>商品カタログ P278-281</t>
        </is>
      </c>
      <c r="L10" t="inlineStr">
        <is>
          <t>https://webcatalog.lixil.co.jp/iportal/CatalogDetail.do?catalogID=15191910000&amp;categoryID=1630000&amp;designID=newinter&amp;method=initial_screen&amp;position=18&amp;type=mc&amp;volumeID=LXL13001</t>
        </is>
      </c>
    </row>
    <row r="11">
      <c r="A11" t="inlineStr">
        <is>
          <t>NETREL-SL-008</t>
        </is>
      </c>
      <c r="B11" t="inlineStr">
        <is>
          <t>上げ下げ式網戸</t>
        </is>
      </c>
      <c r="C11" t="inlineStr">
        <is>
          <t>ペットネット</t>
        </is>
      </c>
      <c r="D11" t="inlineStr">
        <is>
          <t>引違いタイプ</t>
        </is>
      </c>
      <c r="E11" t="inlineStr">
        <is>
          <t>可</t>
        </is>
      </c>
      <c r="F11" t="inlineStr">
        <is>
          <t>特注対応</t>
        </is>
      </c>
      <c r="G11" t="inlineStr">
        <is>
          <t>W&lt;=780mm</t>
        </is>
      </c>
      <c r="H11" t="inlineStr">
        <is>
          <t>形式別規格表</t>
        </is>
      </c>
      <c r="I11" t="inlineStr">
        <is>
          <t>カタログ確認済み</t>
        </is>
      </c>
      <c r="J11" t="inlineStr">
        <is>
          <t>候補表示</t>
        </is>
      </c>
      <c r="K11" t="inlineStr">
        <is>
          <t>商品カタログ P278-281</t>
        </is>
      </c>
      <c r="L11" t="inlineStr">
        <is>
          <t>https://webcatalog.lixil.co.jp/iportal/CatalogDetail.do?catalogID=15191910000&amp;categoryID=1630000&amp;designID=newinter&amp;method=initial_screen&amp;position=18&amp;type=mc&amp;volumeID=LXL13001</t>
        </is>
      </c>
      <c r="M11" t="inlineStr">
        <is>
          <t>ペットはW&gt;780mm製作不可</t>
        </is>
      </c>
    </row>
    <row r="12">
      <c r="A12" t="inlineStr">
        <is>
          <t>NETREL-SL-009</t>
        </is>
      </c>
      <c r="B12" t="inlineStr">
        <is>
          <t>固定式網戸（フレーム付）</t>
        </is>
      </c>
      <c r="C12" t="inlineStr">
        <is>
          <t>標準ネット</t>
        </is>
      </c>
      <c r="D12" t="inlineStr">
        <is>
          <t>引違いタイプ</t>
        </is>
      </c>
      <c r="E12" t="inlineStr">
        <is>
          <t>可</t>
        </is>
      </c>
      <c r="F12" t="inlineStr">
        <is>
          <t>標準設定</t>
        </is>
      </c>
      <c r="G12" t="inlineStr">
        <is>
          <t>制限記載なし</t>
        </is>
      </c>
      <c r="H12" t="inlineStr">
        <is>
          <t>形式別規格表</t>
        </is>
      </c>
      <c r="I12" t="inlineStr">
        <is>
          <t>カタログ確認済み</t>
        </is>
      </c>
      <c r="J12" t="inlineStr">
        <is>
          <t>候補表示</t>
        </is>
      </c>
      <c r="K12" t="inlineStr">
        <is>
          <t>商品カタログ P278-281</t>
        </is>
      </c>
      <c r="L12" t="inlineStr">
        <is>
          <t>https://webcatalog.lixil.co.jp/iportal/CatalogDetail.do?catalogID=15191910000&amp;categoryID=1630000&amp;designID=newinter&amp;method=initial_screen&amp;position=18&amp;type=mc&amp;volumeID=LXL13001</t>
        </is>
      </c>
    </row>
    <row r="13">
      <c r="A13" t="inlineStr">
        <is>
          <t>NETREL-SL-010</t>
        </is>
      </c>
      <c r="B13" t="inlineStr">
        <is>
          <t>固定式網戸（フレーム付）</t>
        </is>
      </c>
      <c r="C13" t="inlineStr">
        <is>
          <t>きれいネット</t>
        </is>
      </c>
      <c r="D13" t="inlineStr">
        <is>
          <t>引違いタイプ</t>
        </is>
      </c>
      <c r="E13" t="inlineStr">
        <is>
          <t>可</t>
        </is>
      </c>
      <c r="F13" t="inlineStr">
        <is>
          <t>標準設定</t>
        </is>
      </c>
      <c r="G13" t="inlineStr">
        <is>
          <t>制限記載なし</t>
        </is>
      </c>
      <c r="H13" t="inlineStr">
        <is>
          <t>形式別規格表</t>
        </is>
      </c>
      <c r="I13" t="inlineStr">
        <is>
          <t>カタログ確認済み</t>
        </is>
      </c>
      <c r="J13" t="inlineStr">
        <is>
          <t>候補表示</t>
        </is>
      </c>
      <c r="K13" t="inlineStr">
        <is>
          <t>商品カタログ P278-281</t>
        </is>
      </c>
      <c r="L13" t="inlineStr">
        <is>
          <t>https://webcatalog.lixil.co.jp/iportal/CatalogDetail.do?catalogID=15191910000&amp;categoryID=1630000&amp;designID=newinter&amp;method=initial_screen&amp;position=18&amp;type=mc&amp;volumeID=LXL13001</t>
        </is>
      </c>
    </row>
    <row r="14">
      <c r="A14" t="inlineStr">
        <is>
          <t>NETREL-SL-011</t>
        </is>
      </c>
      <c r="B14" t="inlineStr">
        <is>
          <t>固定式網戸（フレーム付）</t>
        </is>
      </c>
      <c r="C14" t="inlineStr">
        <is>
          <t>虫イヤネット</t>
        </is>
      </c>
      <c r="D14" t="inlineStr">
        <is>
          <t>引違いタイプ</t>
        </is>
      </c>
      <c r="E14" t="inlineStr">
        <is>
          <t>可</t>
        </is>
      </c>
      <c r="F14" t="inlineStr">
        <is>
          <t>特注対応</t>
        </is>
      </c>
      <c r="G14" t="inlineStr">
        <is>
          <t>制限記載なし</t>
        </is>
      </c>
      <c r="H14" t="inlineStr">
        <is>
          <t>形式別規格表</t>
        </is>
      </c>
      <c r="I14" t="inlineStr">
        <is>
          <t>カタログ確認済み</t>
        </is>
      </c>
      <c r="J14" t="inlineStr">
        <is>
          <t>候補表示</t>
        </is>
      </c>
      <c r="K14" t="inlineStr">
        <is>
          <t>商品カタログ P278-281</t>
        </is>
      </c>
      <c r="L14" t="inlineStr">
        <is>
          <t>https://webcatalog.lixil.co.jp/iportal/CatalogDetail.do?catalogID=15191910000&amp;categoryID=1630000&amp;designID=newinter&amp;method=initial_screen&amp;position=18&amp;type=mc&amp;volumeID=LXL13001</t>
        </is>
      </c>
    </row>
    <row r="15">
      <c r="A15" t="inlineStr">
        <is>
          <t>NETREL-SL-012</t>
        </is>
      </c>
      <c r="B15" t="inlineStr">
        <is>
          <t>固定式網戸（フレーム付）</t>
        </is>
      </c>
      <c r="C15" t="inlineStr">
        <is>
          <t>ペットネット</t>
        </is>
      </c>
      <c r="D15" t="inlineStr">
        <is>
          <t>引違いタイプ</t>
        </is>
      </c>
      <c r="E15" t="inlineStr">
        <is>
          <t>可</t>
        </is>
      </c>
      <c r="F15" t="inlineStr">
        <is>
          <t>特注対応</t>
        </is>
      </c>
      <c r="G15" t="inlineStr">
        <is>
          <t>W&lt;=780mm</t>
        </is>
      </c>
      <c r="H15" t="inlineStr">
        <is>
          <t>形式別規格表</t>
        </is>
      </c>
      <c r="I15" t="inlineStr">
        <is>
          <t>カタログ確認済み</t>
        </is>
      </c>
      <c r="J15" t="inlineStr">
        <is>
          <t>候補表示</t>
        </is>
      </c>
      <c r="K15" t="inlineStr">
        <is>
          <t>商品カタログ P278-281</t>
        </is>
      </c>
      <c r="L15" t="inlineStr">
        <is>
          <t>https://webcatalog.lixil.co.jp/iportal/CatalogDetail.do?catalogID=15191910000&amp;categoryID=1630000&amp;designID=newinter&amp;method=initial_screen&amp;position=18&amp;type=mc&amp;volumeID=LXL13001</t>
        </is>
      </c>
      <c r="M15" t="inlineStr">
        <is>
          <t>ペットはW&gt;780mm製作不可</t>
        </is>
      </c>
    </row>
    <row r="16">
      <c r="A16" t="inlineStr">
        <is>
          <t>NETREL-SL-013</t>
        </is>
      </c>
      <c r="B16" t="inlineStr">
        <is>
          <t>固定式網戸（内倒し窓用）</t>
        </is>
      </c>
      <c r="C16" t="inlineStr">
        <is>
          <t>標準ネット</t>
        </is>
      </c>
      <c r="D16" t="inlineStr">
        <is>
          <t>引違いタイプ</t>
        </is>
      </c>
      <c r="E16" t="inlineStr">
        <is>
          <t>可</t>
        </is>
      </c>
      <c r="F16" t="inlineStr">
        <is>
          <t>標準設定</t>
        </is>
      </c>
      <c r="G16" t="inlineStr">
        <is>
          <t>制限記載なし</t>
        </is>
      </c>
      <c r="H16" t="inlineStr">
        <is>
          <t>形式別規格表</t>
        </is>
      </c>
      <c r="I16" t="inlineStr">
        <is>
          <t>カタログ確認済み</t>
        </is>
      </c>
      <c r="J16" t="inlineStr">
        <is>
          <t>候補表示</t>
        </is>
      </c>
      <c r="K16" t="inlineStr">
        <is>
          <t>商品カタログ P278-281</t>
        </is>
      </c>
      <c r="L16" t="inlineStr">
        <is>
          <t>https://webcatalog.lixil.co.jp/iportal/CatalogDetail.do?catalogID=15191910000&amp;categoryID=1630000&amp;designID=newinter&amp;method=initial_screen&amp;position=18&amp;type=mc&amp;volumeID=LXL13001</t>
        </is>
      </c>
    </row>
    <row r="17">
      <c r="A17" t="inlineStr">
        <is>
          <t>NETREL-SL-014</t>
        </is>
      </c>
      <c r="B17" t="inlineStr">
        <is>
          <t>固定式網戸（内倒し窓用）</t>
        </is>
      </c>
      <c r="C17" t="inlineStr">
        <is>
          <t>きれいネット</t>
        </is>
      </c>
      <c r="D17" t="inlineStr">
        <is>
          <t>引違いタイプ</t>
        </is>
      </c>
      <c r="E17" t="inlineStr">
        <is>
          <t>可</t>
        </is>
      </c>
      <c r="F17" t="inlineStr">
        <is>
          <t>標準設定</t>
        </is>
      </c>
      <c r="G17" t="inlineStr">
        <is>
          <t>制限記載なし</t>
        </is>
      </c>
      <c r="H17" t="inlineStr">
        <is>
          <t>形式別規格表</t>
        </is>
      </c>
      <c r="I17" t="inlineStr">
        <is>
          <t>カタログ確認済み</t>
        </is>
      </c>
      <c r="J17" t="inlineStr">
        <is>
          <t>候補表示</t>
        </is>
      </c>
      <c r="K17" t="inlineStr">
        <is>
          <t>商品カタログ P278-281</t>
        </is>
      </c>
      <c r="L17" t="inlineStr">
        <is>
          <t>https://webcatalog.lixil.co.jp/iportal/CatalogDetail.do?catalogID=15191910000&amp;categoryID=1630000&amp;designID=newinter&amp;method=initial_screen&amp;position=18&amp;type=mc&amp;volumeID=LXL13001</t>
        </is>
      </c>
    </row>
    <row r="18">
      <c r="A18" t="inlineStr">
        <is>
          <t>NETREL-SL-015</t>
        </is>
      </c>
      <c r="B18" t="inlineStr">
        <is>
          <t>固定式網戸（内倒し窓用）</t>
        </is>
      </c>
      <c r="C18" t="inlineStr">
        <is>
          <t>虫イヤネット</t>
        </is>
      </c>
      <c r="D18" t="inlineStr">
        <is>
          <t>引違いタイプ</t>
        </is>
      </c>
      <c r="E18" t="inlineStr">
        <is>
          <t>可</t>
        </is>
      </c>
      <c r="F18" t="inlineStr">
        <is>
          <t>特注対応</t>
        </is>
      </c>
      <c r="G18" t="inlineStr">
        <is>
          <t>制限記載なし</t>
        </is>
      </c>
      <c r="H18" t="inlineStr">
        <is>
          <t>形式別規格表</t>
        </is>
      </c>
      <c r="I18" t="inlineStr">
        <is>
          <t>カタログ確認済み</t>
        </is>
      </c>
      <c r="J18" t="inlineStr">
        <is>
          <t>候補表示</t>
        </is>
      </c>
      <c r="K18" t="inlineStr">
        <is>
          <t>商品カタログ P278-281</t>
        </is>
      </c>
      <c r="L18" t="inlineStr">
        <is>
          <t>https://webcatalog.lixil.co.jp/iportal/CatalogDetail.do?catalogID=15191910000&amp;categoryID=1630000&amp;designID=newinter&amp;method=initial_screen&amp;position=18&amp;type=mc&amp;volumeID=LXL13001</t>
        </is>
      </c>
    </row>
    <row r="19">
      <c r="A19" t="inlineStr">
        <is>
          <t>NETREL-SL-016</t>
        </is>
      </c>
      <c r="B19" t="inlineStr">
        <is>
          <t>固定式網戸（内倒し窓用）</t>
        </is>
      </c>
      <c r="C19" t="inlineStr">
        <is>
          <t>ペットネット</t>
        </is>
      </c>
      <c r="D19" t="inlineStr">
        <is>
          <t>引違いタイプ</t>
        </is>
      </c>
      <c r="E19" t="inlineStr">
        <is>
          <t>可</t>
        </is>
      </c>
      <c r="F19" t="inlineStr">
        <is>
          <t>特注対応</t>
        </is>
      </c>
      <c r="G19" t="inlineStr">
        <is>
          <t>W&lt;=780mm</t>
        </is>
      </c>
      <c r="H19" t="inlineStr">
        <is>
          <t>形式別規格表</t>
        </is>
      </c>
      <c r="I19" t="inlineStr">
        <is>
          <t>カタログ確認済み</t>
        </is>
      </c>
      <c r="J19" t="inlineStr">
        <is>
          <t>候補表示</t>
        </is>
      </c>
      <c r="K19" t="inlineStr">
        <is>
          <t>商品カタログ P278-281</t>
        </is>
      </c>
      <c r="L19" t="inlineStr">
        <is>
          <t>https://webcatalog.lixil.co.jp/iportal/CatalogDetail.do?catalogID=15191910000&amp;categoryID=1630000&amp;designID=newinter&amp;method=initial_screen&amp;position=18&amp;type=mc&amp;volumeID=LXL13001</t>
        </is>
      </c>
      <c r="M19" t="inlineStr">
        <is>
          <t>ペットはW&gt;780mm製作不可</t>
        </is>
      </c>
    </row>
    <row r="20">
      <c r="A20" t="inlineStr">
        <is>
          <t>NETREL-SL-017</t>
        </is>
      </c>
      <c r="B20" t="inlineStr">
        <is>
          <t>開き網戸</t>
        </is>
      </c>
      <c r="C20" t="inlineStr">
        <is>
          <t>標準ネット</t>
        </is>
      </c>
      <c r="D20" t="inlineStr">
        <is>
          <t>引違いタイプ</t>
        </is>
      </c>
      <c r="E20" t="inlineStr">
        <is>
          <t>可</t>
        </is>
      </c>
      <c r="F20" t="inlineStr">
        <is>
          <t>標準設定</t>
        </is>
      </c>
      <c r="G20" t="inlineStr">
        <is>
          <t>制限記載なし</t>
        </is>
      </c>
      <c r="H20" t="inlineStr">
        <is>
          <t>H&gt;=1370mmは中桟付</t>
        </is>
      </c>
      <c r="I20" t="inlineStr">
        <is>
          <t>カタログ確認済み</t>
        </is>
      </c>
      <c r="J20" t="inlineStr">
        <is>
          <t>候補表示</t>
        </is>
      </c>
      <c r="K20" t="inlineStr">
        <is>
          <t>商品カタログ P278-281</t>
        </is>
      </c>
      <c r="L20" t="inlineStr">
        <is>
          <t>https://webcatalog.lixil.co.jp/iportal/CatalogDetail.do?catalogID=15191910000&amp;categoryID=1630000&amp;designID=newinter&amp;method=initial_screen&amp;position=18&amp;type=mc&amp;volumeID=LXL13001</t>
        </is>
      </c>
    </row>
    <row r="21">
      <c r="A21" t="inlineStr">
        <is>
          <t>NETREL-SL-018</t>
        </is>
      </c>
      <c r="B21" t="inlineStr">
        <is>
          <t>開き網戸</t>
        </is>
      </c>
      <c r="C21" t="inlineStr">
        <is>
          <t>きれいネット</t>
        </is>
      </c>
      <c r="D21" t="inlineStr">
        <is>
          <t>引違いタイプ</t>
        </is>
      </c>
      <c r="E21" t="inlineStr">
        <is>
          <t>可</t>
        </is>
      </c>
      <c r="F21" t="inlineStr">
        <is>
          <t>標準設定</t>
        </is>
      </c>
      <c r="G21" t="inlineStr">
        <is>
          <t>制限記載なし</t>
        </is>
      </c>
      <c r="H21" t="inlineStr">
        <is>
          <t>H&gt;=1370mmは中桟付</t>
        </is>
      </c>
      <c r="I21" t="inlineStr">
        <is>
          <t>カタログ確認済み</t>
        </is>
      </c>
      <c r="J21" t="inlineStr">
        <is>
          <t>候補表示</t>
        </is>
      </c>
      <c r="K21" t="inlineStr">
        <is>
          <t>商品カタログ P278-281</t>
        </is>
      </c>
      <c r="L21" t="inlineStr">
        <is>
          <t>https://webcatalog.lixil.co.jp/iportal/CatalogDetail.do?catalogID=15191910000&amp;categoryID=1630000&amp;designID=newinter&amp;method=initial_screen&amp;position=18&amp;type=mc&amp;volumeID=LXL13001</t>
        </is>
      </c>
    </row>
    <row r="22">
      <c r="A22" t="inlineStr">
        <is>
          <t>NETREL-SL-019</t>
        </is>
      </c>
      <c r="B22" t="inlineStr">
        <is>
          <t>開き網戸</t>
        </is>
      </c>
      <c r="C22" t="inlineStr">
        <is>
          <t>虫イヤネット</t>
        </is>
      </c>
      <c r="D22" t="inlineStr">
        <is>
          <t>引違いタイプ</t>
        </is>
      </c>
      <c r="E22" t="inlineStr">
        <is>
          <t>可</t>
        </is>
      </c>
      <c r="F22" t="inlineStr">
        <is>
          <t>特注対応</t>
        </is>
      </c>
      <c r="G22" t="inlineStr">
        <is>
          <t>制限記載なし</t>
        </is>
      </c>
      <c r="H22" t="inlineStr">
        <is>
          <t>H&gt;=1370mmは中桟付</t>
        </is>
      </c>
      <c r="I22" t="inlineStr">
        <is>
          <t>カタログ確認済み</t>
        </is>
      </c>
      <c r="J22" t="inlineStr">
        <is>
          <t>候補表示</t>
        </is>
      </c>
      <c r="K22" t="inlineStr">
        <is>
          <t>商品カタログ P278-281</t>
        </is>
      </c>
      <c r="L22" t="inlineStr">
        <is>
          <t>https://webcatalog.lixil.co.jp/iportal/CatalogDetail.do?catalogID=15191910000&amp;categoryID=1630000&amp;designID=newinter&amp;method=initial_screen&amp;position=18&amp;type=mc&amp;volumeID=LXL13001</t>
        </is>
      </c>
    </row>
    <row r="23">
      <c r="A23" t="inlineStr">
        <is>
          <t>NETREL-SL-020</t>
        </is>
      </c>
      <c r="B23" t="inlineStr">
        <is>
          <t>開き網戸</t>
        </is>
      </c>
      <c r="C23" t="inlineStr">
        <is>
          <t>ペットネット</t>
        </is>
      </c>
      <c r="D23" t="inlineStr">
        <is>
          <t>引違いタイプ</t>
        </is>
      </c>
      <c r="E23" t="inlineStr">
        <is>
          <t>可</t>
        </is>
      </c>
      <c r="F23" t="inlineStr">
        <is>
          <t>特注対応</t>
        </is>
      </c>
      <c r="G23" t="inlineStr">
        <is>
          <t>W&lt;=780mm</t>
        </is>
      </c>
      <c r="H23" t="inlineStr">
        <is>
          <t>H&gt;=1370mmは中桟付</t>
        </is>
      </c>
      <c r="I23" t="inlineStr">
        <is>
          <t>カタログ確認済み</t>
        </is>
      </c>
      <c r="J23" t="inlineStr">
        <is>
          <t>候補表示</t>
        </is>
      </c>
      <c r="K23" t="inlineStr">
        <is>
          <t>商品カタログ P278-281</t>
        </is>
      </c>
      <c r="L23" t="inlineStr">
        <is>
          <t>https://webcatalog.lixil.co.jp/iportal/CatalogDetail.do?catalogID=15191910000&amp;categoryID=1630000&amp;designID=newinter&amp;method=initial_screen&amp;position=18&amp;type=mc&amp;volumeID=LXL13001</t>
        </is>
      </c>
      <c r="M23" t="inlineStr">
        <is>
          <t>ペットはW&gt;780mm製作不可</t>
        </is>
      </c>
    </row>
    <row r="24">
      <c r="A24" t="inlineStr">
        <is>
          <t>NETREL-SL-021</t>
        </is>
      </c>
      <c r="B24" t="inlineStr">
        <is>
          <t>網付格子</t>
        </is>
      </c>
      <c r="C24" t="inlineStr">
        <is>
          <t>標準ネット</t>
        </is>
      </c>
      <c r="D24" t="inlineStr">
        <is>
          <t>引違いタイプ</t>
        </is>
      </c>
      <c r="E24" t="inlineStr">
        <is>
          <t>可</t>
        </is>
      </c>
      <c r="F24" t="inlineStr">
        <is>
          <t>標準設定</t>
        </is>
      </c>
      <c r="G24" t="inlineStr">
        <is>
          <t>制限記載なし</t>
        </is>
      </c>
      <c r="H24" t="inlineStr">
        <is>
          <t>形式別規格表</t>
        </is>
      </c>
      <c r="I24" t="inlineStr">
        <is>
          <t>カタログ確認済み</t>
        </is>
      </c>
      <c r="J24" t="inlineStr">
        <is>
          <t>候補表示</t>
        </is>
      </c>
      <c r="K24" t="inlineStr">
        <is>
          <t>商品カタログ P278-281</t>
        </is>
      </c>
      <c r="L24" t="inlineStr">
        <is>
          <t>https://webcatalog.lixil.co.jp/iportal/CatalogDetail.do?catalogID=15191910000&amp;categoryID=1630000&amp;designID=newinter&amp;method=initial_screen&amp;position=18&amp;type=mc&amp;volumeID=LXL13001</t>
        </is>
      </c>
    </row>
    <row r="25">
      <c r="A25" t="inlineStr">
        <is>
          <t>NETREL-SL-022</t>
        </is>
      </c>
      <c r="B25" t="inlineStr">
        <is>
          <t>網付格子</t>
        </is>
      </c>
      <c r="C25" t="inlineStr">
        <is>
          <t>きれいネット</t>
        </is>
      </c>
      <c r="D25" t="inlineStr">
        <is>
          <t>引違いタイプ</t>
        </is>
      </c>
      <c r="E25" t="inlineStr">
        <is>
          <t>可</t>
        </is>
      </c>
      <c r="F25" t="inlineStr">
        <is>
          <t>標準設定</t>
        </is>
      </c>
      <c r="G25" t="inlineStr">
        <is>
          <t>制限記載なし</t>
        </is>
      </c>
      <c r="H25" t="inlineStr">
        <is>
          <t>形式別規格表</t>
        </is>
      </c>
      <c r="I25" t="inlineStr">
        <is>
          <t>カタログ確認済み</t>
        </is>
      </c>
      <c r="J25" t="inlineStr">
        <is>
          <t>候補表示</t>
        </is>
      </c>
      <c r="K25" t="inlineStr">
        <is>
          <t>商品カタログ P278-281</t>
        </is>
      </c>
      <c r="L25" t="inlineStr">
        <is>
          <t>https://webcatalog.lixil.co.jp/iportal/CatalogDetail.do?catalogID=15191910000&amp;categoryID=1630000&amp;designID=newinter&amp;method=initial_screen&amp;position=18&amp;type=mc&amp;volumeID=LXL13001</t>
        </is>
      </c>
    </row>
    <row r="26">
      <c r="A26" t="inlineStr">
        <is>
          <t>NETREL-SL-023</t>
        </is>
      </c>
      <c r="B26" t="inlineStr">
        <is>
          <t>網付格子</t>
        </is>
      </c>
      <c r="C26" t="inlineStr">
        <is>
          <t>虫イヤネット</t>
        </is>
      </c>
      <c r="D26" t="inlineStr">
        <is>
          <t>引違いタイプ</t>
        </is>
      </c>
      <c r="E26" t="inlineStr">
        <is>
          <t>可</t>
        </is>
      </c>
      <c r="F26" t="inlineStr">
        <is>
          <t>特注対応</t>
        </is>
      </c>
      <c r="G26" t="inlineStr">
        <is>
          <t>制限記載なし</t>
        </is>
      </c>
      <c r="H26" t="inlineStr">
        <is>
          <t>形式別規格表</t>
        </is>
      </c>
      <c r="I26" t="inlineStr">
        <is>
          <t>カタログ確認済み</t>
        </is>
      </c>
      <c r="J26" t="inlineStr">
        <is>
          <t>候補表示</t>
        </is>
      </c>
      <c r="K26" t="inlineStr">
        <is>
          <t>商品カタログ P278-281</t>
        </is>
      </c>
      <c r="L26" t="inlineStr">
        <is>
          <t>https://webcatalog.lixil.co.jp/iportal/CatalogDetail.do?catalogID=15191910000&amp;categoryID=1630000&amp;designID=newinter&amp;method=initial_screen&amp;position=18&amp;type=mc&amp;volumeID=LXL13001</t>
        </is>
      </c>
    </row>
    <row r="27">
      <c r="A27" t="inlineStr">
        <is>
          <t>NETREL-SL-024</t>
        </is>
      </c>
      <c r="B27" t="inlineStr">
        <is>
          <t>網付格子</t>
        </is>
      </c>
      <c r="C27" t="inlineStr">
        <is>
          <t>ペットネット</t>
        </is>
      </c>
      <c r="D27" t="inlineStr">
        <is>
          <t>引違いタイプ</t>
        </is>
      </c>
      <c r="E27" t="inlineStr">
        <is>
          <t>可</t>
        </is>
      </c>
      <c r="F27" t="inlineStr">
        <is>
          <t>特注対応</t>
        </is>
      </c>
      <c r="G27" t="inlineStr">
        <is>
          <t>W&lt;=780mm</t>
        </is>
      </c>
      <c r="H27" t="inlineStr">
        <is>
          <t>形式別規格表</t>
        </is>
      </c>
      <c r="I27" t="inlineStr">
        <is>
          <t>カタログ確認済み</t>
        </is>
      </c>
      <c r="J27" t="inlineStr">
        <is>
          <t>候補表示</t>
        </is>
      </c>
      <c r="K27" t="inlineStr">
        <is>
          <t>商品カタログ P278-281</t>
        </is>
      </c>
      <c r="L27" t="inlineStr">
        <is>
          <t>https://webcatalog.lixil.co.jp/iportal/CatalogDetail.do?catalogID=15191910000&amp;categoryID=1630000&amp;designID=newinter&amp;method=initial_screen&amp;position=18&amp;type=mc&amp;volumeID=LXL13001</t>
        </is>
      </c>
      <c r="M27" t="inlineStr">
        <is>
          <t>ペットはW&gt;780mm製作不可</t>
        </is>
      </c>
    </row>
    <row r="28">
      <c r="A28" t="inlineStr">
        <is>
          <t>NETREL-SL-025</t>
        </is>
      </c>
      <c r="B28" t="inlineStr">
        <is>
          <t>横引きロール網戸</t>
        </is>
      </c>
      <c r="C28" t="inlineStr">
        <is>
          <t>標準ネット</t>
        </is>
      </c>
      <c r="D28" t="inlineStr">
        <is>
          <t>ロールタイプ</t>
        </is>
      </c>
      <c r="E28" t="inlineStr">
        <is>
          <t>可</t>
        </is>
      </c>
      <c r="F28" t="inlineStr">
        <is>
          <t>標準設定</t>
        </is>
      </c>
      <c r="G28" t="inlineStr">
        <is>
          <t>制限記載なし</t>
        </is>
      </c>
      <c r="H28" t="inlineStr">
        <is>
          <t>形式別規格表</t>
        </is>
      </c>
      <c r="I28" t="inlineStr">
        <is>
          <t>カタログ確認済み</t>
        </is>
      </c>
      <c r="J28" t="inlineStr">
        <is>
          <t>候補表示</t>
        </is>
      </c>
      <c r="K28" t="inlineStr">
        <is>
          <t>商品カタログ P278-281</t>
        </is>
      </c>
      <c r="L28" t="inlineStr">
        <is>
          <t>https://webcatalog.lixil.co.jp/iportal/CatalogDetail.do?catalogID=15191910000&amp;categoryID=1630000&amp;designID=newinter&amp;method=initial_screen&amp;position=18&amp;type=mc&amp;volumeID=LXL13001</t>
        </is>
      </c>
    </row>
    <row r="29">
      <c r="A29" t="inlineStr">
        <is>
          <t>NETREL-SL-026</t>
        </is>
      </c>
      <c r="B29" t="inlineStr">
        <is>
          <t>横引きロール網戸</t>
        </is>
      </c>
      <c r="C29" t="inlineStr">
        <is>
          <t>きれいネット</t>
        </is>
      </c>
      <c r="D29" t="inlineStr">
        <is>
          <t>ロールタイプ</t>
        </is>
      </c>
      <c r="E29" t="inlineStr">
        <is>
          <t>可</t>
        </is>
      </c>
      <c r="F29" t="inlineStr">
        <is>
          <t>標準設定</t>
        </is>
      </c>
      <c r="G29" t="inlineStr">
        <is>
          <t>制限記載なし</t>
        </is>
      </c>
      <c r="H29" t="inlineStr">
        <is>
          <t>形式別規格表</t>
        </is>
      </c>
      <c r="I29" t="inlineStr">
        <is>
          <t>カタログ確認済み</t>
        </is>
      </c>
      <c r="J29" t="inlineStr">
        <is>
          <t>候補表示</t>
        </is>
      </c>
      <c r="K29" t="inlineStr">
        <is>
          <t>商品カタログ P278-281</t>
        </is>
      </c>
      <c r="L29" t="inlineStr">
        <is>
          <t>https://webcatalog.lixil.co.jp/iportal/CatalogDetail.do?catalogID=15191910000&amp;categoryID=1630000&amp;designID=newinter&amp;method=initial_screen&amp;position=18&amp;type=mc&amp;volumeID=LXL13001</t>
        </is>
      </c>
    </row>
    <row r="30">
      <c r="A30" t="inlineStr">
        <is>
          <t>NETREL-SL-027</t>
        </is>
      </c>
      <c r="B30" t="inlineStr">
        <is>
          <t>横引きロール網戸</t>
        </is>
      </c>
      <c r="C30" t="inlineStr">
        <is>
          <t>虫イヤネット</t>
        </is>
      </c>
      <c r="D30" t="inlineStr">
        <is>
          <t>ロールタイプ</t>
        </is>
      </c>
      <c r="E30" t="inlineStr">
        <is>
          <t>可</t>
        </is>
      </c>
      <c r="F30" t="inlineStr">
        <is>
          <t>特注対応</t>
        </is>
      </c>
      <c r="G30" t="inlineStr">
        <is>
          <t>制限記載なし</t>
        </is>
      </c>
      <c r="H30" t="inlineStr">
        <is>
          <t>形式別規格表</t>
        </is>
      </c>
      <c r="I30" t="inlineStr">
        <is>
          <t>カタログ確認済み</t>
        </is>
      </c>
      <c r="J30" t="inlineStr">
        <is>
          <t>候補表示</t>
        </is>
      </c>
      <c r="K30" t="inlineStr">
        <is>
          <t>商品カタログ P278-281</t>
        </is>
      </c>
      <c r="L30" t="inlineStr">
        <is>
          <t>https://webcatalog.lixil.co.jp/iportal/CatalogDetail.do?catalogID=15191910000&amp;categoryID=1630000&amp;designID=newinter&amp;method=initial_screen&amp;position=18&amp;type=mc&amp;volumeID=LXL13001</t>
        </is>
      </c>
    </row>
    <row r="31">
      <c r="A31" t="inlineStr">
        <is>
          <t>NETREL-SL-028</t>
        </is>
      </c>
      <c r="B31" t="inlineStr">
        <is>
          <t>横引きロール網戸</t>
        </is>
      </c>
      <c r="C31" t="inlineStr">
        <is>
          <t>ペットネット</t>
        </is>
      </c>
      <c r="D31" t="inlineStr">
        <is>
          <t>ロールタイプ</t>
        </is>
      </c>
      <c r="E31" t="inlineStr">
        <is>
          <t>不可</t>
        </is>
      </c>
      <c r="F31" t="inlineStr">
        <is>
          <t>設定なし</t>
        </is>
      </c>
      <c r="G31" t="inlineStr">
        <is>
          <t>制限記載なし</t>
        </is>
      </c>
      <c r="H31" t="inlineStr">
        <is>
          <t>形式別規格表</t>
        </is>
      </c>
      <c r="I31" t="inlineStr">
        <is>
          <t>カタログ確認済み</t>
        </is>
      </c>
      <c r="J31" t="inlineStr">
        <is>
          <t>非表示</t>
        </is>
      </c>
      <c r="K31" t="inlineStr">
        <is>
          <t>商品カタログ P278-281</t>
        </is>
      </c>
      <c r="L31" t="inlineStr">
        <is>
          <t>https://webcatalog.lixil.co.jp/iportal/CatalogDetail.do?catalogID=15191910000&amp;categoryID=1630000&amp;designID=newinter&amp;method=initial_screen&amp;position=18&amp;type=mc&amp;volumeID=LXL13001</t>
        </is>
      </c>
      <c r="M31" t="inlineStr">
        <is>
          <t>ロールタイプにペットネット設定なし</t>
        </is>
      </c>
    </row>
    <row r="32">
      <c r="A32" t="inlineStr">
        <is>
          <t>NETREL-SL-029</t>
        </is>
      </c>
      <c r="B32" t="inlineStr">
        <is>
          <t>上げ下げロール網戸</t>
        </is>
      </c>
      <c r="C32" t="inlineStr">
        <is>
          <t>標準ネット</t>
        </is>
      </c>
      <c r="D32" t="inlineStr">
        <is>
          <t>ロールタイプ</t>
        </is>
      </c>
      <c r="E32" t="inlineStr">
        <is>
          <t>可</t>
        </is>
      </c>
      <c r="F32" t="inlineStr">
        <is>
          <t>標準設定</t>
        </is>
      </c>
      <c r="G32" t="inlineStr">
        <is>
          <t>制限記載なし</t>
        </is>
      </c>
      <c r="H32" t="inlineStr">
        <is>
          <t>形式別規格表</t>
        </is>
      </c>
      <c r="I32" t="inlineStr">
        <is>
          <t>カタログ確認済み</t>
        </is>
      </c>
      <c r="J32" t="inlineStr">
        <is>
          <t>候補表示</t>
        </is>
      </c>
      <c r="K32" t="inlineStr">
        <is>
          <t>商品カタログ P278-281</t>
        </is>
      </c>
      <c r="L32" t="inlineStr">
        <is>
          <t>https://webcatalog.lixil.co.jp/iportal/CatalogDetail.do?catalogID=15191910000&amp;categoryID=1630000&amp;designID=newinter&amp;method=initial_screen&amp;position=18&amp;type=mc&amp;volumeID=LXL13001</t>
        </is>
      </c>
    </row>
    <row r="33">
      <c r="A33" t="inlineStr">
        <is>
          <t>NETREL-SL-030</t>
        </is>
      </c>
      <c r="B33" t="inlineStr">
        <is>
          <t>上げ下げロール網戸</t>
        </is>
      </c>
      <c r="C33" t="inlineStr">
        <is>
          <t>きれいネット</t>
        </is>
      </c>
      <c r="D33" t="inlineStr">
        <is>
          <t>ロールタイプ</t>
        </is>
      </c>
      <c r="E33" t="inlineStr">
        <is>
          <t>可</t>
        </is>
      </c>
      <c r="F33" t="inlineStr">
        <is>
          <t>標準設定</t>
        </is>
      </c>
      <c r="G33" t="inlineStr">
        <is>
          <t>制限記載なし</t>
        </is>
      </c>
      <c r="H33" t="inlineStr">
        <is>
          <t>形式別規格表</t>
        </is>
      </c>
      <c r="I33" t="inlineStr">
        <is>
          <t>カタログ確認済み</t>
        </is>
      </c>
      <c r="J33" t="inlineStr">
        <is>
          <t>候補表示</t>
        </is>
      </c>
      <c r="K33" t="inlineStr">
        <is>
          <t>商品カタログ P278-281</t>
        </is>
      </c>
      <c r="L33" t="inlineStr">
        <is>
          <t>https://webcatalog.lixil.co.jp/iportal/CatalogDetail.do?catalogID=15191910000&amp;categoryID=1630000&amp;designID=newinter&amp;method=initial_screen&amp;position=18&amp;type=mc&amp;volumeID=LXL13001</t>
        </is>
      </c>
    </row>
    <row r="34">
      <c r="A34" t="inlineStr">
        <is>
          <t>NETREL-SL-031</t>
        </is>
      </c>
      <c r="B34" t="inlineStr">
        <is>
          <t>上げ下げロール網戸</t>
        </is>
      </c>
      <c r="C34" t="inlineStr">
        <is>
          <t>虫イヤネット</t>
        </is>
      </c>
      <c r="D34" t="inlineStr">
        <is>
          <t>ロールタイプ</t>
        </is>
      </c>
      <c r="E34" t="inlineStr">
        <is>
          <t>可</t>
        </is>
      </c>
      <c r="F34" t="inlineStr">
        <is>
          <t>特注対応</t>
        </is>
      </c>
      <c r="G34" t="inlineStr">
        <is>
          <t>制限記載なし</t>
        </is>
      </c>
      <c r="H34" t="inlineStr">
        <is>
          <t>形式別規格表</t>
        </is>
      </c>
      <c r="I34" t="inlineStr">
        <is>
          <t>カタログ確認済み</t>
        </is>
      </c>
      <c r="J34" t="inlineStr">
        <is>
          <t>候補表示</t>
        </is>
      </c>
      <c r="K34" t="inlineStr">
        <is>
          <t>商品カタログ P278-281</t>
        </is>
      </c>
      <c r="L34" t="inlineStr">
        <is>
          <t>https://webcatalog.lixil.co.jp/iportal/CatalogDetail.do?catalogID=15191910000&amp;categoryID=1630000&amp;designID=newinter&amp;method=initial_screen&amp;position=18&amp;type=mc&amp;volumeID=LXL13001</t>
        </is>
      </c>
    </row>
    <row r="35">
      <c r="A35" t="inlineStr">
        <is>
          <t>NETREL-SL-032</t>
        </is>
      </c>
      <c r="B35" t="inlineStr">
        <is>
          <t>上げ下げロール網戸</t>
        </is>
      </c>
      <c r="C35" t="inlineStr">
        <is>
          <t>ペットネット</t>
        </is>
      </c>
      <c r="D35" t="inlineStr">
        <is>
          <t>ロールタイプ</t>
        </is>
      </c>
      <c r="E35" t="inlineStr">
        <is>
          <t>不可</t>
        </is>
      </c>
      <c r="F35" t="inlineStr">
        <is>
          <t>設定なし</t>
        </is>
      </c>
      <c r="G35" t="inlineStr">
        <is>
          <t>制限記載なし</t>
        </is>
      </c>
      <c r="H35" t="inlineStr">
        <is>
          <t>形式別規格表</t>
        </is>
      </c>
      <c r="I35" t="inlineStr">
        <is>
          <t>カタログ確認済み</t>
        </is>
      </c>
      <c r="J35" t="inlineStr">
        <is>
          <t>非表示</t>
        </is>
      </c>
      <c r="K35" t="inlineStr">
        <is>
          <t>商品カタログ P278-281</t>
        </is>
      </c>
      <c r="L35" t="inlineStr">
        <is>
          <t>https://webcatalog.lixil.co.jp/iportal/CatalogDetail.do?catalogID=15191910000&amp;categoryID=1630000&amp;designID=newinter&amp;method=initial_screen&amp;position=18&amp;type=mc&amp;volumeID=LXL13001</t>
        </is>
      </c>
      <c r="M35" t="inlineStr">
        <is>
          <t>ロールタイプにペットネット設定なし</t>
        </is>
      </c>
    </row>
    <row r="36">
      <c r="A36" t="inlineStr">
        <is>
          <t>NETREL-SL-033</t>
        </is>
      </c>
      <c r="B36" t="inlineStr">
        <is>
          <t>固定式網戸（フレームレス）</t>
        </is>
      </c>
      <c r="C36" t="inlineStr">
        <is>
          <t>標準ネット</t>
        </is>
      </c>
      <c r="D36" t="inlineStr">
        <is>
          <t>ロールタイプ</t>
        </is>
      </c>
      <c r="E36" t="inlineStr">
        <is>
          <t>可</t>
        </is>
      </c>
      <c r="F36" t="inlineStr">
        <is>
          <t>標準設定</t>
        </is>
      </c>
      <c r="G36" t="inlineStr">
        <is>
          <t>制限記載なし</t>
        </is>
      </c>
      <c r="H36" t="inlineStr">
        <is>
          <t>形式別規格表</t>
        </is>
      </c>
      <c r="I36" t="inlineStr">
        <is>
          <t>カタログ確認済み</t>
        </is>
      </c>
      <c r="J36" t="inlineStr">
        <is>
          <t>候補表示</t>
        </is>
      </c>
      <c r="K36" t="inlineStr">
        <is>
          <t>商品カタログ P278-281</t>
        </is>
      </c>
      <c r="L36" t="inlineStr">
        <is>
          <t>https://webcatalog.lixil.co.jp/iportal/CatalogDetail.do?catalogID=15191910000&amp;categoryID=1630000&amp;designID=newinter&amp;method=initial_screen&amp;position=18&amp;type=mc&amp;volumeID=LXL13001</t>
        </is>
      </c>
    </row>
    <row r="37">
      <c r="A37" t="inlineStr">
        <is>
          <t>NETREL-SL-034</t>
        </is>
      </c>
      <c r="B37" t="inlineStr">
        <is>
          <t>固定式網戸（フレームレス）</t>
        </is>
      </c>
      <c r="C37" t="inlineStr">
        <is>
          <t>きれいネット</t>
        </is>
      </c>
      <c r="D37" t="inlineStr">
        <is>
          <t>ロールタイプ</t>
        </is>
      </c>
      <c r="E37" t="inlineStr">
        <is>
          <t>可</t>
        </is>
      </c>
      <c r="F37" t="inlineStr">
        <is>
          <t>標準設定</t>
        </is>
      </c>
      <c r="G37" t="inlineStr">
        <is>
          <t>制限記載なし</t>
        </is>
      </c>
      <c r="H37" t="inlineStr">
        <is>
          <t>形式別規格表</t>
        </is>
      </c>
      <c r="I37" t="inlineStr">
        <is>
          <t>カタログ確認済み</t>
        </is>
      </c>
      <c r="J37" t="inlineStr">
        <is>
          <t>候補表示</t>
        </is>
      </c>
      <c r="K37" t="inlineStr">
        <is>
          <t>商品カタログ P278-281</t>
        </is>
      </c>
      <c r="L37" t="inlineStr">
        <is>
          <t>https://webcatalog.lixil.co.jp/iportal/CatalogDetail.do?catalogID=15191910000&amp;categoryID=1630000&amp;designID=newinter&amp;method=initial_screen&amp;position=18&amp;type=mc&amp;volumeID=LXL13001</t>
        </is>
      </c>
    </row>
    <row r="38">
      <c r="A38" t="inlineStr">
        <is>
          <t>NETREL-SL-035</t>
        </is>
      </c>
      <c r="B38" t="inlineStr">
        <is>
          <t>固定式網戸（フレームレス）</t>
        </is>
      </c>
      <c r="C38" t="inlineStr">
        <is>
          <t>虫イヤネット</t>
        </is>
      </c>
      <c r="D38" t="inlineStr">
        <is>
          <t>ロールタイプ</t>
        </is>
      </c>
      <c r="E38" t="inlineStr">
        <is>
          <t>可</t>
        </is>
      </c>
      <c r="F38" t="inlineStr">
        <is>
          <t>特注対応</t>
        </is>
      </c>
      <c r="G38" t="inlineStr">
        <is>
          <t>制限記載なし</t>
        </is>
      </c>
      <c r="H38" t="inlineStr">
        <is>
          <t>形式別規格表</t>
        </is>
      </c>
      <c r="I38" t="inlineStr">
        <is>
          <t>カタログ確認済み</t>
        </is>
      </c>
      <c r="J38" t="inlineStr">
        <is>
          <t>候補表示</t>
        </is>
      </c>
      <c r="K38" t="inlineStr">
        <is>
          <t>商品カタログ P278-281</t>
        </is>
      </c>
      <c r="L38" t="inlineStr">
        <is>
          <t>https://webcatalog.lixil.co.jp/iportal/CatalogDetail.do?catalogID=15191910000&amp;categoryID=1630000&amp;designID=newinter&amp;method=initial_screen&amp;position=18&amp;type=mc&amp;volumeID=LXL13001</t>
        </is>
      </c>
    </row>
    <row r="39">
      <c r="A39" t="inlineStr">
        <is>
          <t>NETREL-SL-036</t>
        </is>
      </c>
      <c r="B39" t="inlineStr">
        <is>
          <t>固定式網戸（フレームレス）</t>
        </is>
      </c>
      <c r="C39" t="inlineStr">
        <is>
          <t>ペットネット</t>
        </is>
      </c>
      <c r="D39" t="inlineStr">
        <is>
          <t>ロールタイプ</t>
        </is>
      </c>
      <c r="E39" t="inlineStr">
        <is>
          <t>不可</t>
        </is>
      </c>
      <c r="F39" t="inlineStr">
        <is>
          <t>設定なし</t>
        </is>
      </c>
      <c r="G39" t="inlineStr">
        <is>
          <t>制限記載なし</t>
        </is>
      </c>
      <c r="H39" t="inlineStr">
        <is>
          <t>形式別規格表</t>
        </is>
      </c>
      <c r="I39" t="inlineStr">
        <is>
          <t>カタログ確認済み</t>
        </is>
      </c>
      <c r="J39" t="inlineStr">
        <is>
          <t>非表示</t>
        </is>
      </c>
      <c r="K39" t="inlineStr">
        <is>
          <t>商品カタログ P278-281</t>
        </is>
      </c>
      <c r="L39" t="inlineStr">
        <is>
          <t>https://webcatalog.lixil.co.jp/iportal/CatalogDetail.do?catalogID=15191910000&amp;categoryID=1630000&amp;designID=newinter&amp;method=initial_screen&amp;position=18&amp;type=mc&amp;volumeID=LXL13001</t>
        </is>
      </c>
      <c r="M39" t="inlineStr">
        <is>
          <t>ロールタイプにペットネット設定なし</t>
        </is>
      </c>
    </row>
    <row r="40">
      <c r="A40" t="inlineStr">
        <is>
          <t>NETREL-SL-037</t>
        </is>
      </c>
      <c r="B40" t="inlineStr">
        <is>
          <t>固定式網戸（タグ付フレームレス）</t>
        </is>
      </c>
      <c r="C40" t="inlineStr">
        <is>
          <t>標準ネット</t>
        </is>
      </c>
      <c r="D40" t="inlineStr">
        <is>
          <t>ロールタイプ</t>
        </is>
      </c>
      <c r="E40" t="inlineStr">
        <is>
          <t>可</t>
        </is>
      </c>
      <c r="F40" t="inlineStr">
        <is>
          <t>標準設定</t>
        </is>
      </c>
      <c r="G40" t="inlineStr">
        <is>
          <t>制限記載なし</t>
        </is>
      </c>
      <c r="H40" t="inlineStr">
        <is>
          <t>形式別規格表</t>
        </is>
      </c>
      <c r="I40" t="inlineStr">
        <is>
          <t>カタログ確認済み</t>
        </is>
      </c>
      <c r="J40" t="inlineStr">
        <is>
          <t>候補表示</t>
        </is>
      </c>
      <c r="K40" t="inlineStr">
        <is>
          <t>商品カタログ P278-281</t>
        </is>
      </c>
      <c r="L40" t="inlineStr">
        <is>
          <t>https://webcatalog.lixil.co.jp/iportal/CatalogDetail.do?catalogID=15191910000&amp;categoryID=1630000&amp;designID=newinter&amp;method=initial_screen&amp;position=18&amp;type=mc&amp;volumeID=LXL13001</t>
        </is>
      </c>
    </row>
    <row r="41">
      <c r="A41" t="inlineStr">
        <is>
          <t>NETREL-SL-038</t>
        </is>
      </c>
      <c r="B41" t="inlineStr">
        <is>
          <t>固定式網戸（タグ付フレームレス）</t>
        </is>
      </c>
      <c r="C41" t="inlineStr">
        <is>
          <t>きれいネット</t>
        </is>
      </c>
      <c r="D41" t="inlineStr">
        <is>
          <t>ロールタイプ</t>
        </is>
      </c>
      <c r="E41" t="inlineStr">
        <is>
          <t>可</t>
        </is>
      </c>
      <c r="F41" t="inlineStr">
        <is>
          <t>標準設定</t>
        </is>
      </c>
      <c r="G41" t="inlineStr">
        <is>
          <t>制限記載なし</t>
        </is>
      </c>
      <c r="H41" t="inlineStr">
        <is>
          <t>形式別規格表</t>
        </is>
      </c>
      <c r="I41" t="inlineStr">
        <is>
          <t>カタログ確認済み</t>
        </is>
      </c>
      <c r="J41" t="inlineStr">
        <is>
          <t>候補表示</t>
        </is>
      </c>
      <c r="K41" t="inlineStr">
        <is>
          <t>商品カタログ P278-281</t>
        </is>
      </c>
      <c r="L41" t="inlineStr">
        <is>
          <t>https://webcatalog.lixil.co.jp/iportal/CatalogDetail.do?catalogID=15191910000&amp;categoryID=1630000&amp;designID=newinter&amp;method=initial_screen&amp;position=18&amp;type=mc&amp;volumeID=LXL13001</t>
        </is>
      </c>
    </row>
    <row r="42">
      <c r="A42" t="inlineStr">
        <is>
          <t>NETREL-SL-039</t>
        </is>
      </c>
      <c r="B42" t="inlineStr">
        <is>
          <t>固定式網戸（タグ付フレームレス）</t>
        </is>
      </c>
      <c r="C42" t="inlineStr">
        <is>
          <t>虫イヤネット</t>
        </is>
      </c>
      <c r="D42" t="inlineStr">
        <is>
          <t>ロールタイプ</t>
        </is>
      </c>
      <c r="E42" t="inlineStr">
        <is>
          <t>可</t>
        </is>
      </c>
      <c r="F42" t="inlineStr">
        <is>
          <t>特注対応</t>
        </is>
      </c>
      <c r="G42" t="inlineStr">
        <is>
          <t>制限記載なし</t>
        </is>
      </c>
      <c r="H42" t="inlineStr">
        <is>
          <t>形式別規格表</t>
        </is>
      </c>
      <c r="I42" t="inlineStr">
        <is>
          <t>カタログ確認済み</t>
        </is>
      </c>
      <c r="J42" t="inlineStr">
        <is>
          <t>候補表示</t>
        </is>
      </c>
      <c r="K42" t="inlineStr">
        <is>
          <t>商品カタログ P278-281</t>
        </is>
      </c>
      <c r="L42" t="inlineStr">
        <is>
          <t>https://webcatalog.lixil.co.jp/iportal/CatalogDetail.do?catalogID=15191910000&amp;categoryID=1630000&amp;designID=newinter&amp;method=initial_screen&amp;position=18&amp;type=mc&amp;volumeID=LXL13001</t>
        </is>
      </c>
    </row>
    <row r="43">
      <c r="A43" t="inlineStr">
        <is>
          <t>NETREL-SL-040</t>
        </is>
      </c>
      <c r="B43" t="inlineStr">
        <is>
          <t>固定式網戸（タグ付フレームレス）</t>
        </is>
      </c>
      <c r="C43" t="inlineStr">
        <is>
          <t>ペットネット</t>
        </is>
      </c>
      <c r="D43" t="inlineStr">
        <is>
          <t>ロールタイプ</t>
        </is>
      </c>
      <c r="E43" t="inlineStr">
        <is>
          <t>不可</t>
        </is>
      </c>
      <c r="F43" t="inlineStr">
        <is>
          <t>設定なし</t>
        </is>
      </c>
      <c r="G43" t="inlineStr">
        <is>
          <t>制限記載なし</t>
        </is>
      </c>
      <c r="H43" t="inlineStr">
        <is>
          <t>形式別規格表</t>
        </is>
      </c>
      <c r="I43" t="inlineStr">
        <is>
          <t>カタログ確認済み</t>
        </is>
      </c>
      <c r="J43" t="inlineStr">
        <is>
          <t>非表示</t>
        </is>
      </c>
      <c r="K43" t="inlineStr">
        <is>
          <t>商品カタログ P278-281</t>
        </is>
      </c>
      <c r="L43" t="inlineStr">
        <is>
          <t>https://webcatalog.lixil.co.jp/iportal/CatalogDetail.do?catalogID=15191910000&amp;categoryID=1630000&amp;designID=newinter&amp;method=initial_screen&amp;position=18&amp;type=mc&amp;volumeID=LXL13001</t>
        </is>
      </c>
      <c r="M43" t="inlineStr">
        <is>
          <t>ロールタイプにペットネット設定なし</t>
        </is>
      </c>
    </row>
    <row r="44">
      <c r="A44" t="inlineStr">
        <is>
          <t>NETREL-SL-041</t>
        </is>
      </c>
      <c r="B44" t="inlineStr">
        <is>
          <t>しまえるんですJ</t>
        </is>
      </c>
      <c r="C44" t="inlineStr">
        <is>
          <t>専用ネット</t>
        </is>
      </c>
      <c r="D44" t="inlineStr">
        <is>
          <t>専用</t>
        </is>
      </c>
      <c r="E44" t="inlineStr">
        <is>
          <t>可</t>
        </is>
      </c>
      <c r="F44" t="inlineStr">
        <is>
          <t>専用品</t>
        </is>
      </c>
      <c r="G44" t="inlineStr">
        <is>
          <t>P287規格</t>
        </is>
      </c>
      <c r="H44" t="inlineStr">
        <is>
          <t>P287規格</t>
        </is>
      </c>
      <c r="I44" t="inlineStr">
        <is>
          <t>2026価格表確認済み</t>
        </is>
      </c>
      <c r="J44" t="inlineStr">
        <is>
          <t>形式選択時に固定</t>
        </is>
      </c>
      <c r="K44" t="inlineStr">
        <is>
          <t>202604完成品価格表 P287</t>
        </is>
      </c>
      <c r="L44" t="inlineStr">
        <is>
          <t>https://drive.google.com/file/d/1YUN-mtWYs48YBUHJk0C3vJXnhjyZFHyf/view</t>
        </is>
      </c>
      <c r="M44" t="inlineStr">
        <is>
          <t>機能性ネット4種の選択対象外</t>
        </is>
      </c>
    </row>
  </sheetData>
  <mergeCells count="2">
    <mergeCell ref="A2:M2"/>
    <mergeCell ref="A1:M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E894"/>
  <sheetViews>
    <sheetView workbookViewId="0">
      <selection activeCell="A1" sqref="A1"/>
    </sheetView>
  </sheetViews>
  <sheetFormatPr baseColWidth="8" defaultRowHeight="15"/>
  <sheetData>
    <row r="1">
      <c r="A1" s="238" t="inlineStr">
        <is>
          <t>上げ下げ窓FS 障子重量・バランサー判定｜サーモスL v0.6</t>
        </is>
      </c>
      <c r="B1" s="41" t="n"/>
      <c r="C1" s="41" t="n"/>
      <c r="D1" s="41" t="n"/>
      <c r="E1" s="41" t="n"/>
      <c r="F1" s="41" t="n"/>
      <c r="G1" s="41" t="n"/>
      <c r="H1" s="41" t="n"/>
      <c r="I1" s="41" t="n"/>
      <c r="J1" s="41" t="n"/>
      <c r="K1" s="41" t="n"/>
      <c r="L1" s="41" t="n"/>
      <c r="M1" s="41" t="n"/>
      <c r="N1" s="41" t="n"/>
      <c r="O1" s="41" t="n"/>
      <c r="P1" s="41" t="n"/>
      <c r="Q1" s="41" t="n"/>
      <c r="R1" s="41" t="n"/>
      <c r="S1" s="41" t="n"/>
      <c r="T1" s="41" t="n"/>
      <c r="U1" s="41" t="n"/>
    </row>
    <row r="2">
      <c r="A2" s="239" t="inlineStr">
        <is>
          <t>現行有効99 size_id × 基本ガラス9構成 = 891判定。障子重量1.4～13kg、H区分別バランサーを数式判定。</t>
        </is>
      </c>
      <c r="B2" s="41" t="n"/>
      <c r="C2" s="41" t="n"/>
      <c r="D2" s="41" t="n"/>
      <c r="E2" s="41" t="n"/>
      <c r="F2" s="41" t="n"/>
      <c r="G2" s="41" t="n"/>
      <c r="H2" s="41" t="n"/>
      <c r="I2" s="41" t="n"/>
      <c r="J2" s="41" t="n"/>
      <c r="K2" s="41" t="n"/>
      <c r="L2" s="41" t="n"/>
      <c r="M2" s="41" t="n"/>
      <c r="N2" s="41" t="n"/>
      <c r="O2" s="41" t="n"/>
      <c r="P2" s="41" t="n"/>
      <c r="Q2" s="41" t="n"/>
      <c r="R2" s="41" t="n"/>
      <c r="S2" s="41" t="n"/>
      <c r="T2" s="41" t="n"/>
      <c r="U2" s="41" t="n"/>
    </row>
    <row r="3">
      <c r="A3" s="139" t="inlineStr">
        <is>
          <t>weight_id</t>
        </is>
      </c>
      <c r="B3" s="139" t="inlineStr">
        <is>
          <t>size_id</t>
        </is>
      </c>
      <c r="C3" s="139" t="inlineStr">
        <is>
          <t>窓種ID</t>
        </is>
      </c>
      <c r="D3" s="139" t="inlineStr">
        <is>
          <t>固有仕様ID</t>
        </is>
      </c>
      <c r="E3" s="139" t="inlineStr">
        <is>
          <t>呼称</t>
        </is>
      </c>
      <c r="F3" s="139" t="inlineStr">
        <is>
          <t>W(m)</t>
        </is>
      </c>
      <c r="G3" s="139" t="inlineStr">
        <is>
          <t>H(m)</t>
        </is>
      </c>
      <c r="H3" s="139" t="inlineStr">
        <is>
          <t>glass_id</t>
        </is>
      </c>
      <c r="I3" s="139" t="inlineStr">
        <is>
          <t>ガラス総厚(mm)</t>
        </is>
      </c>
      <c r="J3" s="139" t="inlineStr">
        <is>
          <t>係数HW</t>
        </is>
      </c>
      <c r="K3" s="139" t="inlineStr">
        <is>
          <t>係数H</t>
        </is>
      </c>
      <c r="L3" s="139" t="inlineStr">
        <is>
          <t>係数W</t>
        </is>
      </c>
      <c r="M3" s="139" t="inlineStr">
        <is>
          <t>定数</t>
        </is>
      </c>
      <c r="N3" s="139" t="inlineStr">
        <is>
          <t>計算障子重量(kg)</t>
        </is>
      </c>
      <c r="O3" s="139" t="inlineStr">
        <is>
          <t>重量範囲OK</t>
        </is>
      </c>
      <c r="P3" s="139" t="inlineStr">
        <is>
          <t>バランサーコード</t>
        </is>
      </c>
      <c r="Q3" s="139" t="inlineStr">
        <is>
          <t>バランサーOK</t>
        </is>
      </c>
      <c r="R3" s="139" t="inlineStr">
        <is>
          <t>清掃アーム</t>
        </is>
      </c>
      <c r="S3" s="139" t="inlineStr">
        <is>
          <t>判定</t>
        </is>
      </c>
      <c r="T3" s="139" t="inlineStr">
        <is>
          <t>出典</t>
        </is>
      </c>
      <c r="U3" s="139" t="inlineStr">
        <is>
          <t>一次資料URL</t>
        </is>
      </c>
      <c r="W3" s="139" t="inlineStr">
        <is>
          <t>ガラス総厚</t>
        </is>
      </c>
      <c r="X3" s="139" t="inlineStr">
        <is>
          <t>構成例</t>
        </is>
      </c>
      <c r="Y3" s="139" t="inlineStr">
        <is>
          <t>係数HW</t>
        </is>
      </c>
      <c r="Z3" s="139" t="inlineStr">
        <is>
          <t>係数H</t>
        </is>
      </c>
      <c r="AA3" s="139" t="inlineStr">
        <is>
          <t>係数W</t>
        </is>
      </c>
      <c r="AB3" s="139" t="inlineStr">
        <is>
          <t>定数</t>
        </is>
      </c>
      <c r="AC3" s="139" t="inlineStr">
        <is>
          <t>重量下限</t>
        </is>
      </c>
      <c r="AD3" s="139" t="inlineStr">
        <is>
          <t>重量上限</t>
        </is>
      </c>
      <c r="AE3" s="139" t="inlineStr">
        <is>
          <t>出典</t>
        </is>
      </c>
    </row>
    <row r="4">
      <c r="A4" t="inlineStr">
        <is>
          <t>WG-SL-00001</t>
        </is>
      </c>
      <c r="B4" t="inlineStr">
        <is>
          <t>SZ-SL-000946</t>
        </is>
      </c>
      <c r="C4" t="inlineStr">
        <is>
          <t>WT-SL-AGE-SAGE-FS</t>
        </is>
      </c>
      <c r="E4" t="inlineStr">
        <is>
          <t>02607</t>
        </is>
      </c>
      <c r="F4" t="n">
        <v>0.3</v>
      </c>
      <c r="G4" t="n">
        <v>0.77</v>
      </c>
      <c r="H4" t="inlineStr">
        <is>
          <t>GL-SL-001</t>
        </is>
      </c>
      <c r="I4" t="n">
        <v>6</v>
      </c>
      <c r="J4" t="n">
        <v>7.8</v>
      </c>
      <c r="K4" t="n">
        <v>-0.355</v>
      </c>
      <c r="L4" t="n">
        <v>-0.664</v>
      </c>
      <c r="M4" t="n">
        <v>0.335</v>
      </c>
      <c r="N4">
        <f>ROUND(J4*F4*G4+K4*G4+L4*F4+M4,3)</f>
        <v/>
      </c>
      <c r="O4">
        <f>AND(N4&gt;=1.4,N4&lt;=13)</f>
        <v/>
      </c>
      <c r="P4">
        <f>IF(OR(N4&lt;1.4,N4&gt;13),"",IF(G4*1000&lt;=1170,IF(N4&lt;1.8,"1014",IF(N4&lt;2.9,"1018",IF(N4&lt;3.8,"1029",IF(N4&lt;5,"1038",IF(N4&lt;7,"1050",IF(N4&lt;9,"1070",IF(N4&lt;11,"1090","1110"))))))),IF(G4*1000&lt;=1570,IF(N4&lt;1.8,"",IF(N4&lt;2.9,"2018",IF(N4&lt;3.8,"2029",IF(N4&lt;5,"2038",IF(N4&lt;7,"2050",IF(N4&lt;9,"2070",IF(N4&lt;11,"2090","2110"))))))),IF(G4*1000&lt;=1700,IF(N4&lt;1.8,"",IF(N4&lt;2.9,"3018",IF(N4&lt;3.8,"3029",IF(N4&lt;5,"3038",IF(N4&lt;7,"3050",IF(N4&lt;9,"3070",IF(N4&lt;11,"3090","3110"))))))),""))))</f>
        <v/>
      </c>
      <c r="Q4">
        <f>AND(O4=TRUE,P4&lt;&gt;"")</f>
        <v/>
      </c>
      <c r="R4">
        <f>IF(G4*1000&lt;750,"なし","あり")</f>
        <v/>
      </c>
      <c r="S4">
        <f>IF(AND(O4=TRUE,Q4=TRUE),"設定可","BLOCK")</f>
        <v/>
      </c>
      <c r="T4" t="inlineStr">
        <is>
          <t>商品カタログ P194</t>
        </is>
      </c>
      <c r="U4" t="inlineStr">
        <is>
          <t>https://webcatalog.lixil.co.jp/iportal/CatalogDetail.do?catalogID=15191910000&amp;categoryID=1630000&amp;designID=newinter&amp;method=initial_screen&amp;position=18&amp;type=mc&amp;volumeID=LXL13001</t>
        </is>
      </c>
      <c r="W4" t="n">
        <v>6</v>
      </c>
      <c r="X4" t="inlineStr">
        <is>
          <t>3-A-3</t>
        </is>
      </c>
      <c r="Y4" t="n">
        <v>7.8</v>
      </c>
      <c r="Z4" t="n">
        <v>-0.355</v>
      </c>
      <c r="AA4" t="n">
        <v>-0.664</v>
      </c>
      <c r="AB4" t="n">
        <v>0.335</v>
      </c>
      <c r="AC4" t="n">
        <v>1.4</v>
      </c>
      <c r="AD4" t="n">
        <v>13</v>
      </c>
      <c r="AE4" t="inlineStr">
        <is>
          <t>商品カタログ P194</t>
        </is>
      </c>
    </row>
    <row r="5">
      <c r="A5" t="inlineStr">
        <is>
          <t>WG-SL-00002</t>
        </is>
      </c>
      <c r="B5" t="inlineStr">
        <is>
          <t>SZ-SL-000946</t>
        </is>
      </c>
      <c r="C5" t="inlineStr">
        <is>
          <t>WT-SL-AGE-SAGE-FS</t>
        </is>
      </c>
      <c r="E5" t="inlineStr">
        <is>
          <t>02607</t>
        </is>
      </c>
      <c r="F5" t="n">
        <v>0.3</v>
      </c>
      <c r="G5" t="n">
        <v>0.77</v>
      </c>
      <c r="H5" t="inlineStr">
        <is>
          <t>GL-SL-002</t>
        </is>
      </c>
      <c r="I5" t="n">
        <v>7</v>
      </c>
      <c r="J5" t="n">
        <v>9.1</v>
      </c>
      <c r="K5" t="n">
        <v>-0.48</v>
      </c>
      <c r="L5" t="n">
        <v>-0.998</v>
      </c>
      <c r="M5" t="n">
        <v>0.367</v>
      </c>
      <c r="N5">
        <f>ROUND(J5*F5*G5+K5*G5+L5*F5+M5,3)</f>
        <v/>
      </c>
      <c r="O5">
        <f>AND(N5&gt;=1.4,N5&lt;=13)</f>
        <v/>
      </c>
      <c r="P5">
        <f>IF(OR(N5&lt;1.4,N5&gt;13),"",IF(G5*1000&lt;=1170,IF(N5&lt;1.8,"1014",IF(N5&lt;2.9,"1018",IF(N5&lt;3.8,"1029",IF(N5&lt;5,"1038",IF(N5&lt;7,"1050",IF(N5&lt;9,"1070",IF(N5&lt;11,"1090","1110"))))))),IF(G5*1000&lt;=1570,IF(N5&lt;1.8,"",IF(N5&lt;2.9,"2018",IF(N5&lt;3.8,"2029",IF(N5&lt;5,"2038",IF(N5&lt;7,"2050",IF(N5&lt;9,"2070",IF(N5&lt;11,"2090","2110"))))))),IF(G5*1000&lt;=1700,IF(N5&lt;1.8,"",IF(N5&lt;2.9,"3018",IF(N5&lt;3.8,"3029",IF(N5&lt;5,"3038",IF(N5&lt;7,"3050",IF(N5&lt;9,"3070",IF(N5&lt;11,"3090","3110"))))))),""))))</f>
        <v/>
      </c>
      <c r="Q5">
        <f>AND(O5=TRUE,P5&lt;&gt;"")</f>
        <v/>
      </c>
      <c r="R5">
        <f>IF(G5*1000&lt;750,"なし","あり")</f>
        <v/>
      </c>
      <c r="S5">
        <f>IF(AND(O5=TRUE,Q5=TRUE),"設定可","BLOCK")</f>
        <v/>
      </c>
      <c r="T5" t="inlineStr">
        <is>
          <t>商品カタログ P194</t>
        </is>
      </c>
      <c r="U5" t="inlineStr">
        <is>
          <t>https://webcatalog.lixil.co.jp/iportal/CatalogDetail.do?catalogID=15191910000&amp;categoryID=1630000&amp;designID=newinter&amp;method=initial_screen&amp;position=18&amp;type=mc&amp;volumeID=LXL13001</t>
        </is>
      </c>
      <c r="W5" t="n">
        <v>7</v>
      </c>
      <c r="X5" t="inlineStr">
        <is>
          <t>3-A-4</t>
        </is>
      </c>
      <c r="Y5" t="n">
        <v>9.1</v>
      </c>
      <c r="Z5" t="n">
        <v>-0.48</v>
      </c>
      <c r="AA5" t="n">
        <v>-0.998</v>
      </c>
      <c r="AB5" t="n">
        <v>0.367</v>
      </c>
      <c r="AC5" t="n">
        <v>1.4</v>
      </c>
      <c r="AD5" t="n">
        <v>13</v>
      </c>
      <c r="AE5" t="inlineStr">
        <is>
          <t>P194</t>
        </is>
      </c>
    </row>
    <row r="6">
      <c r="A6" t="inlineStr">
        <is>
          <t>WG-SL-00003</t>
        </is>
      </c>
      <c r="B6" t="inlineStr">
        <is>
          <t>SZ-SL-000946</t>
        </is>
      </c>
      <c r="C6" t="inlineStr">
        <is>
          <t>WT-SL-AGE-SAGE-FS</t>
        </is>
      </c>
      <c r="E6" t="inlineStr">
        <is>
          <t>02607</t>
        </is>
      </c>
      <c r="F6" t="n">
        <v>0.3</v>
      </c>
      <c r="G6" t="n">
        <v>0.77</v>
      </c>
      <c r="H6" t="inlineStr">
        <is>
          <t>GL-SL-003</t>
        </is>
      </c>
      <c r="I6" t="n">
        <v>8</v>
      </c>
      <c r="J6" t="n">
        <v>10.4</v>
      </c>
      <c r="K6" t="n">
        <v>-0.605</v>
      </c>
      <c r="L6" t="n">
        <v>-1.332</v>
      </c>
      <c r="M6" t="n">
        <v>0.399</v>
      </c>
      <c r="N6">
        <f>ROUND(J6*F6*G6+K6*G6+L6*F6+M6,3)</f>
        <v/>
      </c>
      <c r="O6">
        <f>AND(N6&gt;=1.4,N6&lt;=13)</f>
        <v/>
      </c>
      <c r="P6">
        <f>IF(OR(N6&lt;1.4,N6&gt;13),"",IF(G6*1000&lt;=1170,IF(N6&lt;1.8,"1014",IF(N6&lt;2.9,"1018",IF(N6&lt;3.8,"1029",IF(N6&lt;5,"1038",IF(N6&lt;7,"1050",IF(N6&lt;9,"1070",IF(N6&lt;11,"1090","1110"))))))),IF(G6*1000&lt;=1570,IF(N6&lt;1.8,"",IF(N6&lt;2.9,"2018",IF(N6&lt;3.8,"2029",IF(N6&lt;5,"2038",IF(N6&lt;7,"2050",IF(N6&lt;9,"2070",IF(N6&lt;11,"2090","2110"))))))),IF(G6*1000&lt;=1700,IF(N6&lt;1.8,"",IF(N6&lt;2.9,"3018",IF(N6&lt;3.8,"3029",IF(N6&lt;5,"3038",IF(N6&lt;7,"3050",IF(N6&lt;9,"3070",IF(N6&lt;11,"3090","3110"))))))),""))))</f>
        <v/>
      </c>
      <c r="Q6">
        <f>AND(O6=TRUE,P6&lt;&gt;"")</f>
        <v/>
      </c>
      <c r="R6">
        <f>IF(G6*1000&lt;750,"なし","あり")</f>
        <v/>
      </c>
      <c r="S6">
        <f>IF(AND(O6=TRUE,Q6=TRUE),"設定可","BLOCK")</f>
        <v/>
      </c>
      <c r="T6" t="inlineStr">
        <is>
          <t>商品カタログ P194</t>
        </is>
      </c>
      <c r="U6" t="inlineStr">
        <is>
          <t>https://webcatalog.lixil.co.jp/iportal/CatalogDetail.do?catalogID=15191910000&amp;categoryID=1630000&amp;designID=newinter&amp;method=initial_screen&amp;position=18&amp;type=mc&amp;volumeID=LXL13001</t>
        </is>
      </c>
      <c r="W6" t="n">
        <v>8</v>
      </c>
      <c r="X6" t="inlineStr">
        <is>
          <t>3-A-5</t>
        </is>
      </c>
      <c r="Y6" t="n">
        <v>10.4</v>
      </c>
      <c r="Z6" t="n">
        <v>-0.605</v>
      </c>
      <c r="AA6" t="n">
        <v>-1.332</v>
      </c>
      <c r="AB6" t="n">
        <v>0.399</v>
      </c>
      <c r="AC6" t="n">
        <v>1.4</v>
      </c>
      <c r="AD6" t="n">
        <v>13</v>
      </c>
      <c r="AE6" t="inlineStr">
        <is>
          <t>P194</t>
        </is>
      </c>
    </row>
    <row r="7">
      <c r="A7" t="inlineStr">
        <is>
          <t>WG-SL-00004</t>
        </is>
      </c>
      <c r="B7" t="inlineStr">
        <is>
          <t>SZ-SL-000946</t>
        </is>
      </c>
      <c r="C7" t="inlineStr">
        <is>
          <t>WT-SL-AGE-SAGE-FS</t>
        </is>
      </c>
      <c r="E7" t="inlineStr">
        <is>
          <t>02607</t>
        </is>
      </c>
      <c r="F7" t="n">
        <v>0.3</v>
      </c>
      <c r="G7" t="n">
        <v>0.77</v>
      </c>
      <c r="H7" t="inlineStr">
        <is>
          <t>GL-SL-004</t>
        </is>
      </c>
      <c r="I7" t="n">
        <v>6</v>
      </c>
      <c r="J7" t="n">
        <v>7.8</v>
      </c>
      <c r="K7" t="n">
        <v>-0.355</v>
      </c>
      <c r="L7" t="n">
        <v>-0.664</v>
      </c>
      <c r="M7" t="n">
        <v>0.335</v>
      </c>
      <c r="N7">
        <f>ROUND(J7*F7*G7+K7*G7+L7*F7+M7,3)</f>
        <v/>
      </c>
      <c r="O7">
        <f>AND(N7&gt;=1.4,N7&lt;=13)</f>
        <v/>
      </c>
      <c r="P7">
        <f>IF(OR(N7&lt;1.4,N7&gt;13),"",IF(G7*1000&lt;=1170,IF(N7&lt;1.8,"1014",IF(N7&lt;2.9,"1018",IF(N7&lt;3.8,"1029",IF(N7&lt;5,"1038",IF(N7&lt;7,"1050",IF(N7&lt;9,"1070",IF(N7&lt;11,"1090","1110"))))))),IF(G7*1000&lt;=1570,IF(N7&lt;1.8,"",IF(N7&lt;2.9,"2018",IF(N7&lt;3.8,"2029",IF(N7&lt;5,"2038",IF(N7&lt;7,"2050",IF(N7&lt;9,"2070",IF(N7&lt;11,"2090","2110"))))))),IF(G7*1000&lt;=1700,IF(N7&lt;1.8,"",IF(N7&lt;2.9,"3018",IF(N7&lt;3.8,"3029",IF(N7&lt;5,"3038",IF(N7&lt;7,"3050",IF(N7&lt;9,"3070",IF(N7&lt;11,"3090","3110"))))))),""))))</f>
        <v/>
      </c>
      <c r="Q7">
        <f>AND(O7=TRUE,P7&lt;&gt;"")</f>
        <v/>
      </c>
      <c r="R7">
        <f>IF(G7*1000&lt;750,"なし","あり")</f>
        <v/>
      </c>
      <c r="S7">
        <f>IF(AND(O7=TRUE,Q7=TRUE),"設定可","BLOCK")</f>
        <v/>
      </c>
      <c r="T7" t="inlineStr">
        <is>
          <t>商品カタログ P194</t>
        </is>
      </c>
      <c r="U7" t="inlineStr">
        <is>
          <t>https://webcatalog.lixil.co.jp/iportal/CatalogDetail.do?catalogID=15191910000&amp;categoryID=1630000&amp;designID=newinter&amp;method=initial_screen&amp;position=18&amp;type=mc&amp;volumeID=LXL13001</t>
        </is>
      </c>
      <c r="W7" t="n">
        <v>9</v>
      </c>
      <c r="X7" t="inlineStr">
        <is>
          <t>4-A-5</t>
        </is>
      </c>
      <c r="Y7" t="n">
        <v>11.7</v>
      </c>
      <c r="Z7" t="n">
        <v>-0.73</v>
      </c>
      <c r="AA7" t="n">
        <v>-1.666</v>
      </c>
      <c r="AB7" t="n">
        <v>0.431</v>
      </c>
      <c r="AC7" t="n">
        <v>1.4</v>
      </c>
      <c r="AD7" t="n">
        <v>13</v>
      </c>
      <c r="AE7" t="inlineStr">
        <is>
          <t>P194</t>
        </is>
      </c>
    </row>
    <row r="8">
      <c r="A8" t="inlineStr">
        <is>
          <t>WG-SL-00005</t>
        </is>
      </c>
      <c r="B8" t="inlineStr">
        <is>
          <t>SZ-SL-000946</t>
        </is>
      </c>
      <c r="C8" t="inlineStr">
        <is>
          <t>WT-SL-AGE-SAGE-FS</t>
        </is>
      </c>
      <c r="E8" t="inlineStr">
        <is>
          <t>02607</t>
        </is>
      </c>
      <c r="F8" t="n">
        <v>0.3</v>
      </c>
      <c r="G8" t="n">
        <v>0.77</v>
      </c>
      <c r="H8" t="inlineStr">
        <is>
          <t>GL-SL-005</t>
        </is>
      </c>
      <c r="I8" t="n">
        <v>7</v>
      </c>
      <c r="J8" t="n">
        <v>9.1</v>
      </c>
      <c r="K8" t="n">
        <v>-0.48</v>
      </c>
      <c r="L8" t="n">
        <v>-0.998</v>
      </c>
      <c r="M8" t="n">
        <v>0.367</v>
      </c>
      <c r="N8">
        <f>ROUND(J8*F8*G8+K8*G8+L8*F8+M8,3)</f>
        <v/>
      </c>
      <c r="O8">
        <f>AND(N8&gt;=1.4,N8&lt;=13)</f>
        <v/>
      </c>
      <c r="P8">
        <f>IF(OR(N8&lt;1.4,N8&gt;13),"",IF(G8*1000&lt;=1170,IF(N8&lt;1.8,"1014",IF(N8&lt;2.9,"1018",IF(N8&lt;3.8,"1029",IF(N8&lt;5,"1038",IF(N8&lt;7,"1050",IF(N8&lt;9,"1070",IF(N8&lt;11,"1090","1110"))))))),IF(G8*1000&lt;=1570,IF(N8&lt;1.8,"",IF(N8&lt;2.9,"2018",IF(N8&lt;3.8,"2029",IF(N8&lt;5,"2038",IF(N8&lt;7,"2050",IF(N8&lt;9,"2070",IF(N8&lt;11,"2090","2110"))))))),IF(G8*1000&lt;=1700,IF(N8&lt;1.8,"",IF(N8&lt;2.9,"3018",IF(N8&lt;3.8,"3029",IF(N8&lt;5,"3038",IF(N8&lt;7,"3050",IF(N8&lt;9,"3070",IF(N8&lt;11,"3090","3110"))))))),""))))</f>
        <v/>
      </c>
      <c r="Q8">
        <f>AND(O8=TRUE,P8&lt;&gt;"")</f>
        <v/>
      </c>
      <c r="R8">
        <f>IF(G8*1000&lt;750,"なし","あり")</f>
        <v/>
      </c>
      <c r="S8">
        <f>IF(AND(O8=TRUE,Q8=TRUE),"設定可","BLOCK")</f>
        <v/>
      </c>
      <c r="T8" t="inlineStr">
        <is>
          <t>商品カタログ P194</t>
        </is>
      </c>
      <c r="U8" t="inlineStr">
        <is>
          <t>https://webcatalog.lixil.co.jp/iportal/CatalogDetail.do?catalogID=15191910000&amp;categoryID=1630000&amp;designID=newinter&amp;method=initial_screen&amp;position=18&amp;type=mc&amp;volumeID=LXL13001</t>
        </is>
      </c>
      <c r="W8" t="n">
        <v>9.800000000000001</v>
      </c>
      <c r="X8" t="inlineStr">
        <is>
          <t>3-A-6.8</t>
        </is>
      </c>
      <c r="Y8" t="n">
        <v>12.74</v>
      </c>
      <c r="Z8" t="n">
        <v>-0.83</v>
      </c>
      <c r="AA8" t="n">
        <v>-1.933</v>
      </c>
      <c r="AB8" t="n">
        <v>0.457</v>
      </c>
      <c r="AC8" t="n">
        <v>1.4</v>
      </c>
      <c r="AD8" t="n">
        <v>13</v>
      </c>
      <c r="AE8" t="inlineStr">
        <is>
          <t>P194</t>
        </is>
      </c>
    </row>
    <row r="9">
      <c r="A9" t="inlineStr">
        <is>
          <t>WG-SL-00006</t>
        </is>
      </c>
      <c r="B9" t="inlineStr">
        <is>
          <t>SZ-SL-000946</t>
        </is>
      </c>
      <c r="C9" t="inlineStr">
        <is>
          <t>WT-SL-AGE-SAGE-FS</t>
        </is>
      </c>
      <c r="E9" t="inlineStr">
        <is>
          <t>02607</t>
        </is>
      </c>
      <c r="F9" t="n">
        <v>0.3</v>
      </c>
      <c r="G9" t="n">
        <v>0.77</v>
      </c>
      <c r="H9" t="inlineStr">
        <is>
          <t>GL-SL-006</t>
        </is>
      </c>
      <c r="I9" t="n">
        <v>8</v>
      </c>
      <c r="J9" t="n">
        <v>10.4</v>
      </c>
      <c r="K9" t="n">
        <v>-0.605</v>
      </c>
      <c r="L9" t="n">
        <v>-1.332</v>
      </c>
      <c r="M9" t="n">
        <v>0.399</v>
      </c>
      <c r="N9">
        <f>ROUND(J9*F9*G9+K9*G9+L9*F9+M9,3)</f>
        <v/>
      </c>
      <c r="O9">
        <f>AND(N9&gt;=1.4,N9&lt;=13)</f>
        <v/>
      </c>
      <c r="P9">
        <f>IF(OR(N9&lt;1.4,N9&gt;13),"",IF(G9*1000&lt;=1170,IF(N9&lt;1.8,"1014",IF(N9&lt;2.9,"1018",IF(N9&lt;3.8,"1029",IF(N9&lt;5,"1038",IF(N9&lt;7,"1050",IF(N9&lt;9,"1070",IF(N9&lt;11,"1090","1110"))))))),IF(G9*1000&lt;=1570,IF(N9&lt;1.8,"",IF(N9&lt;2.9,"2018",IF(N9&lt;3.8,"2029",IF(N9&lt;5,"2038",IF(N9&lt;7,"2050",IF(N9&lt;9,"2070",IF(N9&lt;11,"2090","2110"))))))),IF(G9*1000&lt;=1700,IF(N9&lt;1.8,"",IF(N9&lt;2.9,"3018",IF(N9&lt;3.8,"3029",IF(N9&lt;5,"3038",IF(N9&lt;7,"3050",IF(N9&lt;9,"3070",IF(N9&lt;11,"3090","3110"))))))),""))))</f>
        <v/>
      </c>
      <c r="Q9">
        <f>AND(O9=TRUE,P9&lt;&gt;"")</f>
        <v/>
      </c>
      <c r="R9">
        <f>IF(G9*1000&lt;750,"なし","あり")</f>
        <v/>
      </c>
      <c r="S9">
        <f>IF(AND(O9=TRUE,Q9=TRUE),"設定可","BLOCK")</f>
        <v/>
      </c>
      <c r="T9" t="inlineStr">
        <is>
          <t>商品カタログ P194</t>
        </is>
      </c>
      <c r="U9" t="inlineStr">
        <is>
          <t>https://webcatalog.lixil.co.jp/iportal/CatalogDetail.do?catalogID=15191910000&amp;categoryID=1630000&amp;designID=newinter&amp;method=initial_screen&amp;position=18&amp;type=mc&amp;volumeID=LXL13001</t>
        </is>
      </c>
      <c r="W9" t="n">
        <v>11</v>
      </c>
      <c r="X9" t="inlineStr">
        <is>
          <t>5-A-6</t>
        </is>
      </c>
      <c r="Y9" t="n">
        <v>14.3</v>
      </c>
      <c r="Z9" t="n">
        <v>-0.98</v>
      </c>
      <c r="AA9" t="n">
        <v>-2.334</v>
      </c>
      <c r="AB9" t="n">
        <v>0.495</v>
      </c>
      <c r="AC9" t="n">
        <v>1.4</v>
      </c>
      <c r="AD9" t="n">
        <v>13</v>
      </c>
      <c r="AE9" t="inlineStr">
        <is>
          <t>P194</t>
        </is>
      </c>
    </row>
    <row r="10">
      <c r="A10" t="inlineStr">
        <is>
          <t>WG-SL-00007</t>
        </is>
      </c>
      <c r="B10" t="inlineStr">
        <is>
          <t>SZ-SL-000946</t>
        </is>
      </c>
      <c r="C10" t="inlineStr">
        <is>
          <t>WT-SL-AGE-SAGE-FS</t>
        </is>
      </c>
      <c r="E10" t="inlineStr">
        <is>
          <t>02607</t>
        </is>
      </c>
      <c r="F10" t="n">
        <v>0.3</v>
      </c>
      <c r="G10" t="n">
        <v>0.77</v>
      </c>
      <c r="H10" t="inlineStr">
        <is>
          <t>GL-SL-007</t>
        </is>
      </c>
      <c r="I10" t="n">
        <v>6</v>
      </c>
      <c r="J10" t="n">
        <v>7.8</v>
      </c>
      <c r="K10" t="n">
        <v>-0.355</v>
      </c>
      <c r="L10" t="n">
        <v>-0.664</v>
      </c>
      <c r="M10" t="n">
        <v>0.335</v>
      </c>
      <c r="N10">
        <f>ROUND(J10*F10*G10+K10*G10+L10*F10+M10,3)</f>
        <v/>
      </c>
      <c r="O10">
        <f>AND(N10&gt;=1.4,N10&lt;=13)</f>
        <v/>
      </c>
      <c r="P10">
        <f>IF(OR(N10&lt;1.4,N10&gt;13),"",IF(G10*1000&lt;=1170,IF(N10&lt;1.8,"1014",IF(N10&lt;2.9,"1018",IF(N10&lt;3.8,"1029",IF(N10&lt;5,"1038",IF(N10&lt;7,"1050",IF(N10&lt;9,"1070",IF(N10&lt;11,"1090","1110"))))))),IF(G10*1000&lt;=1570,IF(N10&lt;1.8,"",IF(N10&lt;2.9,"2018",IF(N10&lt;3.8,"2029",IF(N10&lt;5,"2038",IF(N10&lt;7,"2050",IF(N10&lt;9,"2070",IF(N10&lt;11,"2090","2110"))))))),IF(G10*1000&lt;=1700,IF(N10&lt;1.8,"",IF(N10&lt;2.9,"3018",IF(N10&lt;3.8,"3029",IF(N10&lt;5,"3038",IF(N10&lt;7,"3050",IF(N10&lt;9,"3070",IF(N10&lt;11,"3090","3110"))))))),""))))</f>
        <v/>
      </c>
      <c r="Q10">
        <f>AND(O10=TRUE,P10&lt;&gt;"")</f>
        <v/>
      </c>
      <c r="R10">
        <f>IF(G10*1000&lt;750,"なし","あり")</f>
        <v/>
      </c>
      <c r="S10">
        <f>IF(AND(O10=TRUE,Q10=TRUE),"設定可","BLOCK")</f>
        <v/>
      </c>
      <c r="T10" t="inlineStr">
        <is>
          <t>商品カタログ P194</t>
        </is>
      </c>
      <c r="U10" t="inlineStr">
        <is>
          <t>https://webcatalog.lixil.co.jp/iportal/CatalogDetail.do?catalogID=15191910000&amp;categoryID=1630000&amp;designID=newinter&amp;method=initial_screen&amp;position=18&amp;type=mc&amp;volumeID=LXL13001</t>
        </is>
      </c>
      <c r="W10" t="n">
        <v>12</v>
      </c>
      <c r="X10" t="inlineStr">
        <is>
          <t>6-A-6</t>
        </is>
      </c>
      <c r="Y10" t="n">
        <v>15.6</v>
      </c>
      <c r="Z10" t="n">
        <v>-1.105</v>
      </c>
      <c r="AA10" t="n">
        <v>-2.668</v>
      </c>
      <c r="AB10" t="n">
        <v>0.527</v>
      </c>
      <c r="AC10" t="n">
        <v>1.4</v>
      </c>
      <c r="AD10" t="n">
        <v>13</v>
      </c>
      <c r="AE10" t="inlineStr">
        <is>
          <t>P194</t>
        </is>
      </c>
    </row>
    <row r="11">
      <c r="A11" t="inlineStr">
        <is>
          <t>WG-SL-00008</t>
        </is>
      </c>
      <c r="B11" t="inlineStr">
        <is>
          <t>SZ-SL-000946</t>
        </is>
      </c>
      <c r="C11" t="inlineStr">
        <is>
          <t>WT-SL-AGE-SAGE-FS</t>
        </is>
      </c>
      <c r="E11" t="inlineStr">
        <is>
          <t>02607</t>
        </is>
      </c>
      <c r="F11" t="n">
        <v>0.3</v>
      </c>
      <c r="G11" t="n">
        <v>0.77</v>
      </c>
      <c r="H11" t="inlineStr">
        <is>
          <t>GL-SL-008</t>
        </is>
      </c>
      <c r="I11" t="n">
        <v>7</v>
      </c>
      <c r="J11" t="n">
        <v>9.1</v>
      </c>
      <c r="K11" t="n">
        <v>-0.48</v>
      </c>
      <c r="L11" t="n">
        <v>-0.998</v>
      </c>
      <c r="M11" t="n">
        <v>0.367</v>
      </c>
      <c r="N11">
        <f>ROUND(J11*F11*G11+K11*G11+L11*F11+M11,3)</f>
        <v/>
      </c>
      <c r="O11">
        <f>AND(N11&gt;=1.4,N11&lt;=13)</f>
        <v/>
      </c>
      <c r="P11">
        <f>IF(OR(N11&lt;1.4,N11&gt;13),"",IF(G11*1000&lt;=1170,IF(N11&lt;1.8,"1014",IF(N11&lt;2.9,"1018",IF(N11&lt;3.8,"1029",IF(N11&lt;5,"1038",IF(N11&lt;7,"1050",IF(N11&lt;9,"1070",IF(N11&lt;11,"1090","1110"))))))),IF(G11*1000&lt;=1570,IF(N11&lt;1.8,"",IF(N11&lt;2.9,"2018",IF(N11&lt;3.8,"2029",IF(N11&lt;5,"2038",IF(N11&lt;7,"2050",IF(N11&lt;9,"2070",IF(N11&lt;11,"2090","2110"))))))),IF(G11*1000&lt;=1700,IF(N11&lt;1.8,"",IF(N11&lt;2.9,"3018",IF(N11&lt;3.8,"3029",IF(N11&lt;5,"3038",IF(N11&lt;7,"3050",IF(N11&lt;9,"3070",IF(N11&lt;11,"3090","3110"))))))),""))))</f>
        <v/>
      </c>
      <c r="Q11">
        <f>AND(O11=TRUE,P11&lt;&gt;"")</f>
        <v/>
      </c>
      <c r="R11">
        <f>IF(G11*1000&lt;750,"なし","あり")</f>
        <v/>
      </c>
      <c r="S11">
        <f>IF(AND(O11=TRUE,Q11=TRUE),"設定可","BLOCK")</f>
        <v/>
      </c>
      <c r="T11" t="inlineStr">
        <is>
          <t>商品カタログ P194</t>
        </is>
      </c>
      <c r="U11" t="inlineStr">
        <is>
          <t>https://webcatalog.lixil.co.jp/iportal/CatalogDetail.do?catalogID=15191910000&amp;categoryID=1630000&amp;designID=newinter&amp;method=initial_screen&amp;position=18&amp;type=mc&amp;volumeID=LXL13001</t>
        </is>
      </c>
      <c r="W11" t="n">
        <v>12.8</v>
      </c>
      <c r="X11" t="inlineStr">
        <is>
          <t>6-A-6.8</t>
        </is>
      </c>
      <c r="Y11" t="n">
        <v>16.64</v>
      </c>
      <c r="Z11" t="n">
        <v>-1.205</v>
      </c>
      <c r="AA11" t="n">
        <v>-2.935</v>
      </c>
      <c r="AB11" t="n">
        <v>0.553</v>
      </c>
      <c r="AC11" t="n">
        <v>1.4</v>
      </c>
      <c r="AD11" t="n">
        <v>13</v>
      </c>
      <c r="AE11" t="inlineStr">
        <is>
          <t>P194</t>
        </is>
      </c>
    </row>
    <row r="12">
      <c r="A12" t="inlineStr">
        <is>
          <t>WG-SL-00009</t>
        </is>
      </c>
      <c r="B12" t="inlineStr">
        <is>
          <t>SZ-SL-000946</t>
        </is>
      </c>
      <c r="C12" t="inlineStr">
        <is>
          <t>WT-SL-AGE-SAGE-FS</t>
        </is>
      </c>
      <c r="E12" t="inlineStr">
        <is>
          <t>02607</t>
        </is>
      </c>
      <c r="F12" t="n">
        <v>0.3</v>
      </c>
      <c r="G12" t="n">
        <v>0.77</v>
      </c>
      <c r="H12" t="inlineStr">
        <is>
          <t>GL-SL-009</t>
        </is>
      </c>
      <c r="I12" t="n">
        <v>8</v>
      </c>
      <c r="J12" t="n">
        <v>10.4</v>
      </c>
      <c r="K12" t="n">
        <v>-0.605</v>
      </c>
      <c r="L12" t="n">
        <v>-1.332</v>
      </c>
      <c r="M12" t="n">
        <v>0.399</v>
      </c>
      <c r="N12">
        <f>ROUND(J12*F12*G12+K12*G12+L12*F12+M12,3)</f>
        <v/>
      </c>
      <c r="O12">
        <f>AND(N12&gt;=1.4,N12&lt;=13)</f>
        <v/>
      </c>
      <c r="P12">
        <f>IF(OR(N12&lt;1.4,N12&gt;13),"",IF(G12*1000&lt;=1170,IF(N12&lt;1.8,"1014",IF(N12&lt;2.9,"1018",IF(N12&lt;3.8,"1029",IF(N12&lt;5,"1038",IF(N12&lt;7,"1050",IF(N12&lt;9,"1070",IF(N12&lt;11,"1090","1110"))))))),IF(G12*1000&lt;=1570,IF(N12&lt;1.8,"",IF(N12&lt;2.9,"2018",IF(N12&lt;3.8,"2029",IF(N12&lt;5,"2038",IF(N12&lt;7,"2050",IF(N12&lt;9,"2070",IF(N12&lt;11,"2090","2110"))))))),IF(G12*1000&lt;=1700,IF(N12&lt;1.8,"",IF(N12&lt;2.9,"3018",IF(N12&lt;3.8,"3029",IF(N12&lt;5,"3038",IF(N12&lt;7,"3050",IF(N12&lt;9,"3070",IF(N12&lt;11,"3090","3110"))))))),""))))</f>
        <v/>
      </c>
      <c r="Q12">
        <f>AND(O12=TRUE,P12&lt;&gt;"")</f>
        <v/>
      </c>
      <c r="R12">
        <f>IF(G12*1000&lt;750,"なし","あり")</f>
        <v/>
      </c>
      <c r="S12">
        <f>IF(AND(O12=TRUE,Q12=TRUE),"設定可","BLOCK")</f>
        <v/>
      </c>
      <c r="T12" t="inlineStr">
        <is>
          <t>商品カタログ P194</t>
        </is>
      </c>
      <c r="U12" t="inlineStr">
        <is>
          <t>https://webcatalog.lixil.co.jp/iportal/CatalogDetail.do?catalogID=15191910000&amp;categoryID=1630000&amp;designID=newinter&amp;method=initial_screen&amp;position=18&amp;type=mc&amp;volumeID=LXL13001</t>
        </is>
      </c>
    </row>
    <row r="13">
      <c r="A13" t="inlineStr">
        <is>
          <t>WG-SL-00010</t>
        </is>
      </c>
      <c r="B13" t="inlineStr">
        <is>
          <t>SZ-SL-000947</t>
        </is>
      </c>
      <c r="C13" t="inlineStr">
        <is>
          <t>WT-SL-AGE-SAGE-FS</t>
        </is>
      </c>
      <c r="E13" t="inlineStr">
        <is>
          <t>02609</t>
        </is>
      </c>
      <c r="F13" t="n">
        <v>0.3</v>
      </c>
      <c r="G13" t="n">
        <v>0.97</v>
      </c>
      <c r="H13" t="inlineStr">
        <is>
          <t>GL-SL-001</t>
        </is>
      </c>
      <c r="I13" t="n">
        <v>6</v>
      </c>
      <c r="J13" t="n">
        <v>7.8</v>
      </c>
      <c r="K13" t="n">
        <v>-0.355</v>
      </c>
      <c r="L13" t="n">
        <v>-0.664</v>
      </c>
      <c r="M13" t="n">
        <v>0.335</v>
      </c>
      <c r="N13">
        <f>ROUND(J13*F13*G13+K13*G13+L13*F13+M13,3)</f>
        <v/>
      </c>
      <c r="O13">
        <f>AND(N13&gt;=1.4,N13&lt;=13)</f>
        <v/>
      </c>
      <c r="P13">
        <f>IF(OR(N13&lt;1.4,N13&gt;13),"",IF(G13*1000&lt;=1170,IF(N13&lt;1.8,"1014",IF(N13&lt;2.9,"1018",IF(N13&lt;3.8,"1029",IF(N13&lt;5,"1038",IF(N13&lt;7,"1050",IF(N13&lt;9,"1070",IF(N13&lt;11,"1090","1110"))))))),IF(G13*1000&lt;=1570,IF(N13&lt;1.8,"",IF(N13&lt;2.9,"2018",IF(N13&lt;3.8,"2029",IF(N13&lt;5,"2038",IF(N13&lt;7,"2050",IF(N13&lt;9,"2070",IF(N13&lt;11,"2090","2110"))))))),IF(G13*1000&lt;=1700,IF(N13&lt;1.8,"",IF(N13&lt;2.9,"3018",IF(N13&lt;3.8,"3029",IF(N13&lt;5,"3038",IF(N13&lt;7,"3050",IF(N13&lt;9,"3070",IF(N13&lt;11,"3090","3110"))))))),""))))</f>
        <v/>
      </c>
      <c r="Q13">
        <f>AND(O13=TRUE,P13&lt;&gt;"")</f>
        <v/>
      </c>
      <c r="R13">
        <f>IF(G13*1000&lt;750,"なし","あり")</f>
        <v/>
      </c>
      <c r="S13">
        <f>IF(AND(O13=TRUE,Q13=TRUE),"設定可","BLOCK")</f>
        <v/>
      </c>
      <c r="T13" t="inlineStr">
        <is>
          <t>商品カタログ P194</t>
        </is>
      </c>
      <c r="U13" t="inlineStr">
        <is>
          <t>https://webcatalog.lixil.co.jp/iportal/CatalogDetail.do?catalogID=15191910000&amp;categoryID=1630000&amp;designID=newinter&amp;method=initial_screen&amp;position=18&amp;type=mc&amp;volumeID=LXL13001</t>
        </is>
      </c>
    </row>
    <row r="14">
      <c r="A14" t="inlineStr">
        <is>
          <t>WG-SL-00011</t>
        </is>
      </c>
      <c r="B14" t="inlineStr">
        <is>
          <t>SZ-SL-000947</t>
        </is>
      </c>
      <c r="C14" t="inlineStr">
        <is>
          <t>WT-SL-AGE-SAGE-FS</t>
        </is>
      </c>
      <c r="E14" t="inlineStr">
        <is>
          <t>02609</t>
        </is>
      </c>
      <c r="F14" t="n">
        <v>0.3</v>
      </c>
      <c r="G14" t="n">
        <v>0.97</v>
      </c>
      <c r="H14" t="inlineStr">
        <is>
          <t>GL-SL-002</t>
        </is>
      </c>
      <c r="I14" t="n">
        <v>7</v>
      </c>
      <c r="J14" t="n">
        <v>9.1</v>
      </c>
      <c r="K14" t="n">
        <v>-0.48</v>
      </c>
      <c r="L14" t="n">
        <v>-0.998</v>
      </c>
      <c r="M14" t="n">
        <v>0.367</v>
      </c>
      <c r="N14">
        <f>ROUND(J14*F14*G14+K14*G14+L14*F14+M14,3)</f>
        <v/>
      </c>
      <c r="O14">
        <f>AND(N14&gt;=1.4,N14&lt;=13)</f>
        <v/>
      </c>
      <c r="P14">
        <f>IF(OR(N14&lt;1.4,N14&gt;13),"",IF(G14*1000&lt;=1170,IF(N14&lt;1.8,"1014",IF(N14&lt;2.9,"1018",IF(N14&lt;3.8,"1029",IF(N14&lt;5,"1038",IF(N14&lt;7,"1050",IF(N14&lt;9,"1070",IF(N14&lt;11,"1090","1110"))))))),IF(G14*1000&lt;=1570,IF(N14&lt;1.8,"",IF(N14&lt;2.9,"2018",IF(N14&lt;3.8,"2029",IF(N14&lt;5,"2038",IF(N14&lt;7,"2050",IF(N14&lt;9,"2070",IF(N14&lt;11,"2090","2110"))))))),IF(G14*1000&lt;=1700,IF(N14&lt;1.8,"",IF(N14&lt;2.9,"3018",IF(N14&lt;3.8,"3029",IF(N14&lt;5,"3038",IF(N14&lt;7,"3050",IF(N14&lt;9,"3070",IF(N14&lt;11,"3090","3110"))))))),""))))</f>
        <v/>
      </c>
      <c r="Q14">
        <f>AND(O14=TRUE,P14&lt;&gt;"")</f>
        <v/>
      </c>
      <c r="R14">
        <f>IF(G14*1000&lt;750,"なし","あり")</f>
        <v/>
      </c>
      <c r="S14">
        <f>IF(AND(O14=TRUE,Q14=TRUE),"設定可","BLOCK")</f>
        <v/>
      </c>
      <c r="T14" t="inlineStr">
        <is>
          <t>商品カタログ P194</t>
        </is>
      </c>
      <c r="U14" t="inlineStr">
        <is>
          <t>https://webcatalog.lixil.co.jp/iportal/CatalogDetail.do?catalogID=15191910000&amp;categoryID=1630000&amp;designID=newinter&amp;method=initial_screen&amp;position=18&amp;type=mc&amp;volumeID=LXL13001</t>
        </is>
      </c>
    </row>
    <row r="15">
      <c r="A15" t="inlineStr">
        <is>
          <t>WG-SL-00012</t>
        </is>
      </c>
      <c r="B15" t="inlineStr">
        <is>
          <t>SZ-SL-000947</t>
        </is>
      </c>
      <c r="C15" t="inlineStr">
        <is>
          <t>WT-SL-AGE-SAGE-FS</t>
        </is>
      </c>
      <c r="E15" t="inlineStr">
        <is>
          <t>02609</t>
        </is>
      </c>
      <c r="F15" t="n">
        <v>0.3</v>
      </c>
      <c r="G15" t="n">
        <v>0.97</v>
      </c>
      <c r="H15" t="inlineStr">
        <is>
          <t>GL-SL-003</t>
        </is>
      </c>
      <c r="I15" t="n">
        <v>8</v>
      </c>
      <c r="J15" t="n">
        <v>10.4</v>
      </c>
      <c r="K15" t="n">
        <v>-0.605</v>
      </c>
      <c r="L15" t="n">
        <v>-1.332</v>
      </c>
      <c r="M15" t="n">
        <v>0.399</v>
      </c>
      <c r="N15">
        <f>ROUND(J15*F15*G15+K15*G15+L15*F15+M15,3)</f>
        <v/>
      </c>
      <c r="O15">
        <f>AND(N15&gt;=1.4,N15&lt;=13)</f>
        <v/>
      </c>
      <c r="P15">
        <f>IF(OR(N15&lt;1.4,N15&gt;13),"",IF(G15*1000&lt;=1170,IF(N15&lt;1.8,"1014",IF(N15&lt;2.9,"1018",IF(N15&lt;3.8,"1029",IF(N15&lt;5,"1038",IF(N15&lt;7,"1050",IF(N15&lt;9,"1070",IF(N15&lt;11,"1090","1110"))))))),IF(G15*1000&lt;=1570,IF(N15&lt;1.8,"",IF(N15&lt;2.9,"2018",IF(N15&lt;3.8,"2029",IF(N15&lt;5,"2038",IF(N15&lt;7,"2050",IF(N15&lt;9,"2070",IF(N15&lt;11,"2090","2110"))))))),IF(G15*1000&lt;=1700,IF(N15&lt;1.8,"",IF(N15&lt;2.9,"3018",IF(N15&lt;3.8,"3029",IF(N15&lt;5,"3038",IF(N15&lt;7,"3050",IF(N15&lt;9,"3070",IF(N15&lt;11,"3090","3110"))))))),""))))</f>
        <v/>
      </c>
      <c r="Q15">
        <f>AND(O15=TRUE,P15&lt;&gt;"")</f>
        <v/>
      </c>
      <c r="R15">
        <f>IF(G15*1000&lt;750,"なし","あり")</f>
        <v/>
      </c>
      <c r="S15">
        <f>IF(AND(O15=TRUE,Q15=TRUE),"設定可","BLOCK")</f>
        <v/>
      </c>
      <c r="T15" t="inlineStr">
        <is>
          <t>商品カタログ P194</t>
        </is>
      </c>
      <c r="U15" t="inlineStr">
        <is>
          <t>https://webcatalog.lixil.co.jp/iportal/CatalogDetail.do?catalogID=15191910000&amp;categoryID=1630000&amp;designID=newinter&amp;method=initial_screen&amp;position=18&amp;type=mc&amp;volumeID=LXL13001</t>
        </is>
      </c>
    </row>
    <row r="16">
      <c r="A16" t="inlineStr">
        <is>
          <t>WG-SL-00013</t>
        </is>
      </c>
      <c r="B16" t="inlineStr">
        <is>
          <t>SZ-SL-000947</t>
        </is>
      </c>
      <c r="C16" t="inlineStr">
        <is>
          <t>WT-SL-AGE-SAGE-FS</t>
        </is>
      </c>
      <c r="E16" t="inlineStr">
        <is>
          <t>02609</t>
        </is>
      </c>
      <c r="F16" t="n">
        <v>0.3</v>
      </c>
      <c r="G16" t="n">
        <v>0.97</v>
      </c>
      <c r="H16" t="inlineStr">
        <is>
          <t>GL-SL-004</t>
        </is>
      </c>
      <c r="I16" t="n">
        <v>6</v>
      </c>
      <c r="J16" t="n">
        <v>7.8</v>
      </c>
      <c r="K16" t="n">
        <v>-0.355</v>
      </c>
      <c r="L16" t="n">
        <v>-0.664</v>
      </c>
      <c r="M16" t="n">
        <v>0.335</v>
      </c>
      <c r="N16">
        <f>ROUND(J16*F16*G16+K16*G16+L16*F16+M16,3)</f>
        <v/>
      </c>
      <c r="O16">
        <f>AND(N16&gt;=1.4,N16&lt;=13)</f>
        <v/>
      </c>
      <c r="P16">
        <f>IF(OR(N16&lt;1.4,N16&gt;13),"",IF(G16*1000&lt;=1170,IF(N16&lt;1.8,"1014",IF(N16&lt;2.9,"1018",IF(N16&lt;3.8,"1029",IF(N16&lt;5,"1038",IF(N16&lt;7,"1050",IF(N16&lt;9,"1070",IF(N16&lt;11,"1090","1110"))))))),IF(G16*1000&lt;=1570,IF(N16&lt;1.8,"",IF(N16&lt;2.9,"2018",IF(N16&lt;3.8,"2029",IF(N16&lt;5,"2038",IF(N16&lt;7,"2050",IF(N16&lt;9,"2070",IF(N16&lt;11,"2090","2110"))))))),IF(G16*1000&lt;=1700,IF(N16&lt;1.8,"",IF(N16&lt;2.9,"3018",IF(N16&lt;3.8,"3029",IF(N16&lt;5,"3038",IF(N16&lt;7,"3050",IF(N16&lt;9,"3070",IF(N16&lt;11,"3090","3110"))))))),""))))</f>
        <v/>
      </c>
      <c r="Q16">
        <f>AND(O16=TRUE,P16&lt;&gt;"")</f>
        <v/>
      </c>
      <c r="R16">
        <f>IF(G16*1000&lt;750,"なし","あり")</f>
        <v/>
      </c>
      <c r="S16">
        <f>IF(AND(O16=TRUE,Q16=TRUE),"設定可","BLOCK")</f>
        <v/>
      </c>
      <c r="T16" t="inlineStr">
        <is>
          <t>商品カタログ P194</t>
        </is>
      </c>
      <c r="U16" t="inlineStr">
        <is>
          <t>https://webcatalog.lixil.co.jp/iportal/CatalogDetail.do?catalogID=15191910000&amp;categoryID=1630000&amp;designID=newinter&amp;method=initial_screen&amp;position=18&amp;type=mc&amp;volumeID=LXL13001</t>
        </is>
      </c>
    </row>
    <row r="17">
      <c r="A17" t="inlineStr">
        <is>
          <t>WG-SL-00014</t>
        </is>
      </c>
      <c r="B17" t="inlineStr">
        <is>
          <t>SZ-SL-000947</t>
        </is>
      </c>
      <c r="C17" t="inlineStr">
        <is>
          <t>WT-SL-AGE-SAGE-FS</t>
        </is>
      </c>
      <c r="E17" t="inlineStr">
        <is>
          <t>02609</t>
        </is>
      </c>
      <c r="F17" t="n">
        <v>0.3</v>
      </c>
      <c r="G17" t="n">
        <v>0.97</v>
      </c>
      <c r="H17" t="inlineStr">
        <is>
          <t>GL-SL-005</t>
        </is>
      </c>
      <c r="I17" t="n">
        <v>7</v>
      </c>
      <c r="J17" t="n">
        <v>9.1</v>
      </c>
      <c r="K17" t="n">
        <v>-0.48</v>
      </c>
      <c r="L17" t="n">
        <v>-0.998</v>
      </c>
      <c r="M17" t="n">
        <v>0.367</v>
      </c>
      <c r="N17">
        <f>ROUND(J17*F17*G17+K17*G17+L17*F17+M17,3)</f>
        <v/>
      </c>
      <c r="O17">
        <f>AND(N17&gt;=1.4,N17&lt;=13)</f>
        <v/>
      </c>
      <c r="P17">
        <f>IF(OR(N17&lt;1.4,N17&gt;13),"",IF(G17*1000&lt;=1170,IF(N17&lt;1.8,"1014",IF(N17&lt;2.9,"1018",IF(N17&lt;3.8,"1029",IF(N17&lt;5,"1038",IF(N17&lt;7,"1050",IF(N17&lt;9,"1070",IF(N17&lt;11,"1090","1110"))))))),IF(G17*1000&lt;=1570,IF(N17&lt;1.8,"",IF(N17&lt;2.9,"2018",IF(N17&lt;3.8,"2029",IF(N17&lt;5,"2038",IF(N17&lt;7,"2050",IF(N17&lt;9,"2070",IF(N17&lt;11,"2090","2110"))))))),IF(G17*1000&lt;=1700,IF(N17&lt;1.8,"",IF(N17&lt;2.9,"3018",IF(N17&lt;3.8,"3029",IF(N17&lt;5,"3038",IF(N17&lt;7,"3050",IF(N17&lt;9,"3070",IF(N17&lt;11,"3090","3110"))))))),""))))</f>
        <v/>
      </c>
      <c r="Q17">
        <f>AND(O17=TRUE,P17&lt;&gt;"")</f>
        <v/>
      </c>
      <c r="R17">
        <f>IF(G17*1000&lt;750,"なし","あり")</f>
        <v/>
      </c>
      <c r="S17">
        <f>IF(AND(O17=TRUE,Q17=TRUE),"設定可","BLOCK")</f>
        <v/>
      </c>
      <c r="T17" t="inlineStr">
        <is>
          <t>商品カタログ P194</t>
        </is>
      </c>
      <c r="U17" t="inlineStr">
        <is>
          <t>https://webcatalog.lixil.co.jp/iportal/CatalogDetail.do?catalogID=15191910000&amp;categoryID=1630000&amp;designID=newinter&amp;method=initial_screen&amp;position=18&amp;type=mc&amp;volumeID=LXL13001</t>
        </is>
      </c>
    </row>
    <row r="18">
      <c r="A18" t="inlineStr">
        <is>
          <t>WG-SL-00015</t>
        </is>
      </c>
      <c r="B18" t="inlineStr">
        <is>
          <t>SZ-SL-000947</t>
        </is>
      </c>
      <c r="C18" t="inlineStr">
        <is>
          <t>WT-SL-AGE-SAGE-FS</t>
        </is>
      </c>
      <c r="E18" t="inlineStr">
        <is>
          <t>02609</t>
        </is>
      </c>
      <c r="F18" t="n">
        <v>0.3</v>
      </c>
      <c r="G18" t="n">
        <v>0.97</v>
      </c>
      <c r="H18" t="inlineStr">
        <is>
          <t>GL-SL-006</t>
        </is>
      </c>
      <c r="I18" t="n">
        <v>8</v>
      </c>
      <c r="J18" t="n">
        <v>10.4</v>
      </c>
      <c r="K18" t="n">
        <v>-0.605</v>
      </c>
      <c r="L18" t="n">
        <v>-1.332</v>
      </c>
      <c r="M18" t="n">
        <v>0.399</v>
      </c>
      <c r="N18">
        <f>ROUND(J18*F18*G18+K18*G18+L18*F18+M18,3)</f>
        <v/>
      </c>
      <c r="O18">
        <f>AND(N18&gt;=1.4,N18&lt;=13)</f>
        <v/>
      </c>
      <c r="P18">
        <f>IF(OR(N18&lt;1.4,N18&gt;13),"",IF(G18*1000&lt;=1170,IF(N18&lt;1.8,"1014",IF(N18&lt;2.9,"1018",IF(N18&lt;3.8,"1029",IF(N18&lt;5,"1038",IF(N18&lt;7,"1050",IF(N18&lt;9,"1070",IF(N18&lt;11,"1090","1110"))))))),IF(G18*1000&lt;=1570,IF(N18&lt;1.8,"",IF(N18&lt;2.9,"2018",IF(N18&lt;3.8,"2029",IF(N18&lt;5,"2038",IF(N18&lt;7,"2050",IF(N18&lt;9,"2070",IF(N18&lt;11,"2090","2110"))))))),IF(G18*1000&lt;=1700,IF(N18&lt;1.8,"",IF(N18&lt;2.9,"3018",IF(N18&lt;3.8,"3029",IF(N18&lt;5,"3038",IF(N18&lt;7,"3050",IF(N18&lt;9,"3070",IF(N18&lt;11,"3090","3110"))))))),""))))</f>
        <v/>
      </c>
      <c r="Q18">
        <f>AND(O18=TRUE,P18&lt;&gt;"")</f>
        <v/>
      </c>
      <c r="R18">
        <f>IF(G18*1000&lt;750,"なし","あり")</f>
        <v/>
      </c>
      <c r="S18">
        <f>IF(AND(O18=TRUE,Q18=TRUE),"設定可","BLOCK")</f>
        <v/>
      </c>
      <c r="T18" t="inlineStr">
        <is>
          <t>商品カタログ P194</t>
        </is>
      </c>
      <c r="U18" t="inlineStr">
        <is>
          <t>https://webcatalog.lixil.co.jp/iportal/CatalogDetail.do?catalogID=15191910000&amp;categoryID=1630000&amp;designID=newinter&amp;method=initial_screen&amp;position=18&amp;type=mc&amp;volumeID=LXL13001</t>
        </is>
      </c>
    </row>
    <row r="19">
      <c r="A19" t="inlineStr">
        <is>
          <t>WG-SL-00016</t>
        </is>
      </c>
      <c r="B19" t="inlineStr">
        <is>
          <t>SZ-SL-000947</t>
        </is>
      </c>
      <c r="C19" t="inlineStr">
        <is>
          <t>WT-SL-AGE-SAGE-FS</t>
        </is>
      </c>
      <c r="E19" t="inlineStr">
        <is>
          <t>02609</t>
        </is>
      </c>
      <c r="F19" t="n">
        <v>0.3</v>
      </c>
      <c r="G19" t="n">
        <v>0.97</v>
      </c>
      <c r="H19" t="inlineStr">
        <is>
          <t>GL-SL-007</t>
        </is>
      </c>
      <c r="I19" t="n">
        <v>6</v>
      </c>
      <c r="J19" t="n">
        <v>7.8</v>
      </c>
      <c r="K19" t="n">
        <v>-0.355</v>
      </c>
      <c r="L19" t="n">
        <v>-0.664</v>
      </c>
      <c r="M19" t="n">
        <v>0.335</v>
      </c>
      <c r="N19">
        <f>ROUND(J19*F19*G19+K19*G19+L19*F19+M19,3)</f>
        <v/>
      </c>
      <c r="O19">
        <f>AND(N19&gt;=1.4,N19&lt;=13)</f>
        <v/>
      </c>
      <c r="P19">
        <f>IF(OR(N19&lt;1.4,N19&gt;13),"",IF(G19*1000&lt;=1170,IF(N19&lt;1.8,"1014",IF(N19&lt;2.9,"1018",IF(N19&lt;3.8,"1029",IF(N19&lt;5,"1038",IF(N19&lt;7,"1050",IF(N19&lt;9,"1070",IF(N19&lt;11,"1090","1110"))))))),IF(G19*1000&lt;=1570,IF(N19&lt;1.8,"",IF(N19&lt;2.9,"2018",IF(N19&lt;3.8,"2029",IF(N19&lt;5,"2038",IF(N19&lt;7,"2050",IF(N19&lt;9,"2070",IF(N19&lt;11,"2090","2110"))))))),IF(G19*1000&lt;=1700,IF(N19&lt;1.8,"",IF(N19&lt;2.9,"3018",IF(N19&lt;3.8,"3029",IF(N19&lt;5,"3038",IF(N19&lt;7,"3050",IF(N19&lt;9,"3070",IF(N19&lt;11,"3090","3110"))))))),""))))</f>
        <v/>
      </c>
      <c r="Q19">
        <f>AND(O19=TRUE,P19&lt;&gt;"")</f>
        <v/>
      </c>
      <c r="R19">
        <f>IF(G19*1000&lt;750,"なし","あり")</f>
        <v/>
      </c>
      <c r="S19">
        <f>IF(AND(O19=TRUE,Q19=TRUE),"設定可","BLOCK")</f>
        <v/>
      </c>
      <c r="T19" t="inlineStr">
        <is>
          <t>商品カタログ P194</t>
        </is>
      </c>
      <c r="U19" t="inlineStr">
        <is>
          <t>https://webcatalog.lixil.co.jp/iportal/CatalogDetail.do?catalogID=15191910000&amp;categoryID=1630000&amp;designID=newinter&amp;method=initial_screen&amp;position=18&amp;type=mc&amp;volumeID=LXL13001</t>
        </is>
      </c>
    </row>
    <row r="20">
      <c r="A20" t="inlineStr">
        <is>
          <t>WG-SL-00017</t>
        </is>
      </c>
      <c r="B20" t="inlineStr">
        <is>
          <t>SZ-SL-000947</t>
        </is>
      </c>
      <c r="C20" t="inlineStr">
        <is>
          <t>WT-SL-AGE-SAGE-FS</t>
        </is>
      </c>
      <c r="E20" t="inlineStr">
        <is>
          <t>02609</t>
        </is>
      </c>
      <c r="F20" t="n">
        <v>0.3</v>
      </c>
      <c r="G20" t="n">
        <v>0.97</v>
      </c>
      <c r="H20" t="inlineStr">
        <is>
          <t>GL-SL-008</t>
        </is>
      </c>
      <c r="I20" t="n">
        <v>7</v>
      </c>
      <c r="J20" t="n">
        <v>9.1</v>
      </c>
      <c r="K20" t="n">
        <v>-0.48</v>
      </c>
      <c r="L20" t="n">
        <v>-0.998</v>
      </c>
      <c r="M20" t="n">
        <v>0.367</v>
      </c>
      <c r="N20">
        <f>ROUND(J20*F20*G20+K20*G20+L20*F20+M20,3)</f>
        <v/>
      </c>
      <c r="O20">
        <f>AND(N20&gt;=1.4,N20&lt;=13)</f>
        <v/>
      </c>
      <c r="P20">
        <f>IF(OR(N20&lt;1.4,N20&gt;13),"",IF(G20*1000&lt;=1170,IF(N20&lt;1.8,"1014",IF(N20&lt;2.9,"1018",IF(N20&lt;3.8,"1029",IF(N20&lt;5,"1038",IF(N20&lt;7,"1050",IF(N20&lt;9,"1070",IF(N20&lt;11,"1090","1110"))))))),IF(G20*1000&lt;=1570,IF(N20&lt;1.8,"",IF(N20&lt;2.9,"2018",IF(N20&lt;3.8,"2029",IF(N20&lt;5,"2038",IF(N20&lt;7,"2050",IF(N20&lt;9,"2070",IF(N20&lt;11,"2090","2110"))))))),IF(G20*1000&lt;=1700,IF(N20&lt;1.8,"",IF(N20&lt;2.9,"3018",IF(N20&lt;3.8,"3029",IF(N20&lt;5,"3038",IF(N20&lt;7,"3050",IF(N20&lt;9,"3070",IF(N20&lt;11,"3090","3110"))))))),""))))</f>
        <v/>
      </c>
      <c r="Q20">
        <f>AND(O20=TRUE,P20&lt;&gt;"")</f>
        <v/>
      </c>
      <c r="R20">
        <f>IF(G20*1000&lt;750,"なし","あり")</f>
        <v/>
      </c>
      <c r="S20">
        <f>IF(AND(O20=TRUE,Q20=TRUE),"設定可","BLOCK")</f>
        <v/>
      </c>
      <c r="T20" t="inlineStr">
        <is>
          <t>商品カタログ P194</t>
        </is>
      </c>
      <c r="U20" t="inlineStr">
        <is>
          <t>https://webcatalog.lixil.co.jp/iportal/CatalogDetail.do?catalogID=15191910000&amp;categoryID=1630000&amp;designID=newinter&amp;method=initial_screen&amp;position=18&amp;type=mc&amp;volumeID=LXL13001</t>
        </is>
      </c>
    </row>
    <row r="21">
      <c r="A21" t="inlineStr">
        <is>
          <t>WG-SL-00018</t>
        </is>
      </c>
      <c r="B21" t="inlineStr">
        <is>
          <t>SZ-SL-000947</t>
        </is>
      </c>
      <c r="C21" t="inlineStr">
        <is>
          <t>WT-SL-AGE-SAGE-FS</t>
        </is>
      </c>
      <c r="E21" t="inlineStr">
        <is>
          <t>02609</t>
        </is>
      </c>
      <c r="F21" t="n">
        <v>0.3</v>
      </c>
      <c r="G21" t="n">
        <v>0.97</v>
      </c>
      <c r="H21" t="inlineStr">
        <is>
          <t>GL-SL-009</t>
        </is>
      </c>
      <c r="I21" t="n">
        <v>8</v>
      </c>
      <c r="J21" t="n">
        <v>10.4</v>
      </c>
      <c r="K21" t="n">
        <v>-0.605</v>
      </c>
      <c r="L21" t="n">
        <v>-1.332</v>
      </c>
      <c r="M21" t="n">
        <v>0.399</v>
      </c>
      <c r="N21">
        <f>ROUND(J21*F21*G21+K21*G21+L21*F21+M21,3)</f>
        <v/>
      </c>
      <c r="O21">
        <f>AND(N21&gt;=1.4,N21&lt;=13)</f>
        <v/>
      </c>
      <c r="P21">
        <f>IF(OR(N21&lt;1.4,N21&gt;13),"",IF(G21*1000&lt;=1170,IF(N21&lt;1.8,"1014",IF(N21&lt;2.9,"1018",IF(N21&lt;3.8,"1029",IF(N21&lt;5,"1038",IF(N21&lt;7,"1050",IF(N21&lt;9,"1070",IF(N21&lt;11,"1090","1110"))))))),IF(G21*1000&lt;=1570,IF(N21&lt;1.8,"",IF(N21&lt;2.9,"2018",IF(N21&lt;3.8,"2029",IF(N21&lt;5,"2038",IF(N21&lt;7,"2050",IF(N21&lt;9,"2070",IF(N21&lt;11,"2090","2110"))))))),IF(G21*1000&lt;=1700,IF(N21&lt;1.8,"",IF(N21&lt;2.9,"3018",IF(N21&lt;3.8,"3029",IF(N21&lt;5,"3038",IF(N21&lt;7,"3050",IF(N21&lt;9,"3070",IF(N21&lt;11,"3090","3110"))))))),""))))</f>
        <v/>
      </c>
      <c r="Q21">
        <f>AND(O21=TRUE,P21&lt;&gt;"")</f>
        <v/>
      </c>
      <c r="R21">
        <f>IF(G21*1000&lt;750,"なし","あり")</f>
        <v/>
      </c>
      <c r="S21">
        <f>IF(AND(O21=TRUE,Q21=TRUE),"設定可","BLOCK")</f>
        <v/>
      </c>
      <c r="T21" t="inlineStr">
        <is>
          <t>商品カタログ P194</t>
        </is>
      </c>
      <c r="U21" t="inlineStr">
        <is>
          <t>https://webcatalog.lixil.co.jp/iportal/CatalogDetail.do?catalogID=15191910000&amp;categoryID=1630000&amp;designID=newinter&amp;method=initial_screen&amp;position=18&amp;type=mc&amp;volumeID=LXL13001</t>
        </is>
      </c>
    </row>
    <row r="22">
      <c r="A22" t="inlineStr">
        <is>
          <t>WG-SL-00019</t>
        </is>
      </c>
      <c r="B22" t="inlineStr">
        <is>
          <t>SZ-SL-000948</t>
        </is>
      </c>
      <c r="C22" t="inlineStr">
        <is>
          <t>WT-SL-AGE-SAGE-FS</t>
        </is>
      </c>
      <c r="E22" t="inlineStr">
        <is>
          <t>02611</t>
        </is>
      </c>
      <c r="F22" t="n">
        <v>0.3</v>
      </c>
      <c r="G22" t="n">
        <v>1.17</v>
      </c>
      <c r="H22" t="inlineStr">
        <is>
          <t>GL-SL-001</t>
        </is>
      </c>
      <c r="I22" t="n">
        <v>6</v>
      </c>
      <c r="J22" t="n">
        <v>7.8</v>
      </c>
      <c r="K22" t="n">
        <v>-0.355</v>
      </c>
      <c r="L22" t="n">
        <v>-0.664</v>
      </c>
      <c r="M22" t="n">
        <v>0.335</v>
      </c>
      <c r="N22">
        <f>ROUND(J22*F22*G22+K22*G22+L22*F22+M22,3)</f>
        <v/>
      </c>
      <c r="O22">
        <f>AND(N22&gt;=1.4,N22&lt;=13)</f>
        <v/>
      </c>
      <c r="P22">
        <f>IF(OR(N22&lt;1.4,N22&gt;13),"",IF(G22*1000&lt;=1170,IF(N22&lt;1.8,"1014",IF(N22&lt;2.9,"1018",IF(N22&lt;3.8,"1029",IF(N22&lt;5,"1038",IF(N22&lt;7,"1050",IF(N22&lt;9,"1070",IF(N22&lt;11,"1090","1110"))))))),IF(G22*1000&lt;=1570,IF(N22&lt;1.8,"",IF(N22&lt;2.9,"2018",IF(N22&lt;3.8,"2029",IF(N22&lt;5,"2038",IF(N22&lt;7,"2050",IF(N22&lt;9,"2070",IF(N22&lt;11,"2090","2110"))))))),IF(G22*1000&lt;=1700,IF(N22&lt;1.8,"",IF(N22&lt;2.9,"3018",IF(N22&lt;3.8,"3029",IF(N22&lt;5,"3038",IF(N22&lt;7,"3050",IF(N22&lt;9,"3070",IF(N22&lt;11,"3090","3110"))))))),""))))</f>
        <v/>
      </c>
      <c r="Q22">
        <f>AND(O22=TRUE,P22&lt;&gt;"")</f>
        <v/>
      </c>
      <c r="R22">
        <f>IF(G22*1000&lt;750,"なし","あり")</f>
        <v/>
      </c>
      <c r="S22">
        <f>IF(AND(O22=TRUE,Q22=TRUE),"設定可","BLOCK")</f>
        <v/>
      </c>
      <c r="T22" t="inlineStr">
        <is>
          <t>商品カタログ P194</t>
        </is>
      </c>
      <c r="U22" t="inlineStr">
        <is>
          <t>https://webcatalog.lixil.co.jp/iportal/CatalogDetail.do?catalogID=15191910000&amp;categoryID=1630000&amp;designID=newinter&amp;method=initial_screen&amp;position=18&amp;type=mc&amp;volumeID=LXL13001</t>
        </is>
      </c>
    </row>
    <row r="23">
      <c r="A23" t="inlineStr">
        <is>
          <t>WG-SL-00020</t>
        </is>
      </c>
      <c r="B23" t="inlineStr">
        <is>
          <t>SZ-SL-000948</t>
        </is>
      </c>
      <c r="C23" t="inlineStr">
        <is>
          <t>WT-SL-AGE-SAGE-FS</t>
        </is>
      </c>
      <c r="E23" t="inlineStr">
        <is>
          <t>02611</t>
        </is>
      </c>
      <c r="F23" t="n">
        <v>0.3</v>
      </c>
      <c r="G23" t="n">
        <v>1.17</v>
      </c>
      <c r="H23" t="inlineStr">
        <is>
          <t>GL-SL-002</t>
        </is>
      </c>
      <c r="I23" t="n">
        <v>7</v>
      </c>
      <c r="J23" t="n">
        <v>9.1</v>
      </c>
      <c r="K23" t="n">
        <v>-0.48</v>
      </c>
      <c r="L23" t="n">
        <v>-0.998</v>
      </c>
      <c r="M23" t="n">
        <v>0.367</v>
      </c>
      <c r="N23">
        <f>ROUND(J23*F23*G23+K23*G23+L23*F23+M23,3)</f>
        <v/>
      </c>
      <c r="O23">
        <f>AND(N23&gt;=1.4,N23&lt;=13)</f>
        <v/>
      </c>
      <c r="P23">
        <f>IF(OR(N23&lt;1.4,N23&gt;13),"",IF(G23*1000&lt;=1170,IF(N23&lt;1.8,"1014",IF(N23&lt;2.9,"1018",IF(N23&lt;3.8,"1029",IF(N23&lt;5,"1038",IF(N23&lt;7,"1050",IF(N23&lt;9,"1070",IF(N23&lt;11,"1090","1110"))))))),IF(G23*1000&lt;=1570,IF(N23&lt;1.8,"",IF(N23&lt;2.9,"2018",IF(N23&lt;3.8,"2029",IF(N23&lt;5,"2038",IF(N23&lt;7,"2050",IF(N23&lt;9,"2070",IF(N23&lt;11,"2090","2110"))))))),IF(G23*1000&lt;=1700,IF(N23&lt;1.8,"",IF(N23&lt;2.9,"3018",IF(N23&lt;3.8,"3029",IF(N23&lt;5,"3038",IF(N23&lt;7,"3050",IF(N23&lt;9,"3070",IF(N23&lt;11,"3090","3110"))))))),""))))</f>
        <v/>
      </c>
      <c r="Q23">
        <f>AND(O23=TRUE,P23&lt;&gt;"")</f>
        <v/>
      </c>
      <c r="R23">
        <f>IF(G23*1000&lt;750,"なし","あり")</f>
        <v/>
      </c>
      <c r="S23">
        <f>IF(AND(O23=TRUE,Q23=TRUE),"設定可","BLOCK")</f>
        <v/>
      </c>
      <c r="T23" t="inlineStr">
        <is>
          <t>商品カタログ P194</t>
        </is>
      </c>
      <c r="U23" t="inlineStr">
        <is>
          <t>https://webcatalog.lixil.co.jp/iportal/CatalogDetail.do?catalogID=15191910000&amp;categoryID=1630000&amp;designID=newinter&amp;method=initial_screen&amp;position=18&amp;type=mc&amp;volumeID=LXL13001</t>
        </is>
      </c>
    </row>
    <row r="24">
      <c r="A24" t="inlineStr">
        <is>
          <t>WG-SL-00021</t>
        </is>
      </c>
      <c r="B24" t="inlineStr">
        <is>
          <t>SZ-SL-000948</t>
        </is>
      </c>
      <c r="C24" t="inlineStr">
        <is>
          <t>WT-SL-AGE-SAGE-FS</t>
        </is>
      </c>
      <c r="E24" t="inlineStr">
        <is>
          <t>02611</t>
        </is>
      </c>
      <c r="F24" t="n">
        <v>0.3</v>
      </c>
      <c r="G24" t="n">
        <v>1.17</v>
      </c>
      <c r="H24" t="inlineStr">
        <is>
          <t>GL-SL-003</t>
        </is>
      </c>
      <c r="I24" t="n">
        <v>8</v>
      </c>
      <c r="J24" t="n">
        <v>10.4</v>
      </c>
      <c r="K24" t="n">
        <v>-0.605</v>
      </c>
      <c r="L24" t="n">
        <v>-1.332</v>
      </c>
      <c r="M24" t="n">
        <v>0.399</v>
      </c>
      <c r="N24">
        <f>ROUND(J24*F24*G24+K24*G24+L24*F24+M24,3)</f>
        <v/>
      </c>
      <c r="O24">
        <f>AND(N24&gt;=1.4,N24&lt;=13)</f>
        <v/>
      </c>
      <c r="P24">
        <f>IF(OR(N24&lt;1.4,N24&gt;13),"",IF(G24*1000&lt;=1170,IF(N24&lt;1.8,"1014",IF(N24&lt;2.9,"1018",IF(N24&lt;3.8,"1029",IF(N24&lt;5,"1038",IF(N24&lt;7,"1050",IF(N24&lt;9,"1070",IF(N24&lt;11,"1090","1110"))))))),IF(G24*1000&lt;=1570,IF(N24&lt;1.8,"",IF(N24&lt;2.9,"2018",IF(N24&lt;3.8,"2029",IF(N24&lt;5,"2038",IF(N24&lt;7,"2050",IF(N24&lt;9,"2070",IF(N24&lt;11,"2090","2110"))))))),IF(G24*1000&lt;=1700,IF(N24&lt;1.8,"",IF(N24&lt;2.9,"3018",IF(N24&lt;3.8,"3029",IF(N24&lt;5,"3038",IF(N24&lt;7,"3050",IF(N24&lt;9,"3070",IF(N24&lt;11,"3090","3110"))))))),""))))</f>
        <v/>
      </c>
      <c r="Q24">
        <f>AND(O24=TRUE,P24&lt;&gt;"")</f>
        <v/>
      </c>
      <c r="R24">
        <f>IF(G24*1000&lt;750,"なし","あり")</f>
        <v/>
      </c>
      <c r="S24">
        <f>IF(AND(O24=TRUE,Q24=TRUE),"設定可","BLOCK")</f>
        <v/>
      </c>
      <c r="T24" t="inlineStr">
        <is>
          <t>商品カタログ P194</t>
        </is>
      </c>
      <c r="U24" t="inlineStr">
        <is>
          <t>https://webcatalog.lixil.co.jp/iportal/CatalogDetail.do?catalogID=15191910000&amp;categoryID=1630000&amp;designID=newinter&amp;method=initial_screen&amp;position=18&amp;type=mc&amp;volumeID=LXL13001</t>
        </is>
      </c>
    </row>
    <row r="25">
      <c r="A25" t="inlineStr">
        <is>
          <t>WG-SL-00022</t>
        </is>
      </c>
      <c r="B25" t="inlineStr">
        <is>
          <t>SZ-SL-000948</t>
        </is>
      </c>
      <c r="C25" t="inlineStr">
        <is>
          <t>WT-SL-AGE-SAGE-FS</t>
        </is>
      </c>
      <c r="E25" t="inlineStr">
        <is>
          <t>02611</t>
        </is>
      </c>
      <c r="F25" t="n">
        <v>0.3</v>
      </c>
      <c r="G25" t="n">
        <v>1.17</v>
      </c>
      <c r="H25" t="inlineStr">
        <is>
          <t>GL-SL-004</t>
        </is>
      </c>
      <c r="I25" t="n">
        <v>6</v>
      </c>
      <c r="J25" t="n">
        <v>7.8</v>
      </c>
      <c r="K25" t="n">
        <v>-0.355</v>
      </c>
      <c r="L25" t="n">
        <v>-0.664</v>
      </c>
      <c r="M25" t="n">
        <v>0.335</v>
      </c>
      <c r="N25">
        <f>ROUND(J25*F25*G25+K25*G25+L25*F25+M25,3)</f>
        <v/>
      </c>
      <c r="O25">
        <f>AND(N25&gt;=1.4,N25&lt;=13)</f>
        <v/>
      </c>
      <c r="P25">
        <f>IF(OR(N25&lt;1.4,N25&gt;13),"",IF(G25*1000&lt;=1170,IF(N25&lt;1.8,"1014",IF(N25&lt;2.9,"1018",IF(N25&lt;3.8,"1029",IF(N25&lt;5,"1038",IF(N25&lt;7,"1050",IF(N25&lt;9,"1070",IF(N25&lt;11,"1090","1110"))))))),IF(G25*1000&lt;=1570,IF(N25&lt;1.8,"",IF(N25&lt;2.9,"2018",IF(N25&lt;3.8,"2029",IF(N25&lt;5,"2038",IF(N25&lt;7,"2050",IF(N25&lt;9,"2070",IF(N25&lt;11,"2090","2110"))))))),IF(G25*1000&lt;=1700,IF(N25&lt;1.8,"",IF(N25&lt;2.9,"3018",IF(N25&lt;3.8,"3029",IF(N25&lt;5,"3038",IF(N25&lt;7,"3050",IF(N25&lt;9,"3070",IF(N25&lt;11,"3090","3110"))))))),""))))</f>
        <v/>
      </c>
      <c r="Q25">
        <f>AND(O25=TRUE,P25&lt;&gt;"")</f>
        <v/>
      </c>
      <c r="R25">
        <f>IF(G25*1000&lt;750,"なし","あり")</f>
        <v/>
      </c>
      <c r="S25">
        <f>IF(AND(O25=TRUE,Q25=TRUE),"設定可","BLOCK")</f>
        <v/>
      </c>
      <c r="T25" t="inlineStr">
        <is>
          <t>商品カタログ P194</t>
        </is>
      </c>
      <c r="U25" t="inlineStr">
        <is>
          <t>https://webcatalog.lixil.co.jp/iportal/CatalogDetail.do?catalogID=15191910000&amp;categoryID=1630000&amp;designID=newinter&amp;method=initial_screen&amp;position=18&amp;type=mc&amp;volumeID=LXL13001</t>
        </is>
      </c>
    </row>
    <row r="26">
      <c r="A26" t="inlineStr">
        <is>
          <t>WG-SL-00023</t>
        </is>
      </c>
      <c r="B26" t="inlineStr">
        <is>
          <t>SZ-SL-000948</t>
        </is>
      </c>
      <c r="C26" t="inlineStr">
        <is>
          <t>WT-SL-AGE-SAGE-FS</t>
        </is>
      </c>
      <c r="E26" t="inlineStr">
        <is>
          <t>02611</t>
        </is>
      </c>
      <c r="F26" t="n">
        <v>0.3</v>
      </c>
      <c r="G26" t="n">
        <v>1.17</v>
      </c>
      <c r="H26" t="inlineStr">
        <is>
          <t>GL-SL-005</t>
        </is>
      </c>
      <c r="I26" t="n">
        <v>7</v>
      </c>
      <c r="J26" t="n">
        <v>9.1</v>
      </c>
      <c r="K26" t="n">
        <v>-0.48</v>
      </c>
      <c r="L26" t="n">
        <v>-0.998</v>
      </c>
      <c r="M26" t="n">
        <v>0.367</v>
      </c>
      <c r="N26">
        <f>ROUND(J26*F26*G26+K26*G26+L26*F26+M26,3)</f>
        <v/>
      </c>
      <c r="O26">
        <f>AND(N26&gt;=1.4,N26&lt;=13)</f>
        <v/>
      </c>
      <c r="P26">
        <f>IF(OR(N26&lt;1.4,N26&gt;13),"",IF(G26*1000&lt;=1170,IF(N26&lt;1.8,"1014",IF(N26&lt;2.9,"1018",IF(N26&lt;3.8,"1029",IF(N26&lt;5,"1038",IF(N26&lt;7,"1050",IF(N26&lt;9,"1070",IF(N26&lt;11,"1090","1110"))))))),IF(G26*1000&lt;=1570,IF(N26&lt;1.8,"",IF(N26&lt;2.9,"2018",IF(N26&lt;3.8,"2029",IF(N26&lt;5,"2038",IF(N26&lt;7,"2050",IF(N26&lt;9,"2070",IF(N26&lt;11,"2090","2110"))))))),IF(G26*1000&lt;=1700,IF(N26&lt;1.8,"",IF(N26&lt;2.9,"3018",IF(N26&lt;3.8,"3029",IF(N26&lt;5,"3038",IF(N26&lt;7,"3050",IF(N26&lt;9,"3070",IF(N26&lt;11,"3090","3110"))))))),""))))</f>
        <v/>
      </c>
      <c r="Q26">
        <f>AND(O26=TRUE,P26&lt;&gt;"")</f>
        <v/>
      </c>
      <c r="R26">
        <f>IF(G26*1000&lt;750,"なし","あり")</f>
        <v/>
      </c>
      <c r="S26">
        <f>IF(AND(O26=TRUE,Q26=TRUE),"設定可","BLOCK")</f>
        <v/>
      </c>
      <c r="T26" t="inlineStr">
        <is>
          <t>商品カタログ P194</t>
        </is>
      </c>
      <c r="U26" t="inlineStr">
        <is>
          <t>https://webcatalog.lixil.co.jp/iportal/CatalogDetail.do?catalogID=15191910000&amp;categoryID=1630000&amp;designID=newinter&amp;method=initial_screen&amp;position=18&amp;type=mc&amp;volumeID=LXL13001</t>
        </is>
      </c>
    </row>
    <row r="27">
      <c r="A27" t="inlineStr">
        <is>
          <t>WG-SL-00024</t>
        </is>
      </c>
      <c r="B27" t="inlineStr">
        <is>
          <t>SZ-SL-000948</t>
        </is>
      </c>
      <c r="C27" t="inlineStr">
        <is>
          <t>WT-SL-AGE-SAGE-FS</t>
        </is>
      </c>
      <c r="E27" t="inlineStr">
        <is>
          <t>02611</t>
        </is>
      </c>
      <c r="F27" t="n">
        <v>0.3</v>
      </c>
      <c r="G27" t="n">
        <v>1.17</v>
      </c>
      <c r="H27" t="inlineStr">
        <is>
          <t>GL-SL-006</t>
        </is>
      </c>
      <c r="I27" t="n">
        <v>8</v>
      </c>
      <c r="J27" t="n">
        <v>10.4</v>
      </c>
      <c r="K27" t="n">
        <v>-0.605</v>
      </c>
      <c r="L27" t="n">
        <v>-1.332</v>
      </c>
      <c r="M27" t="n">
        <v>0.399</v>
      </c>
      <c r="N27">
        <f>ROUND(J27*F27*G27+K27*G27+L27*F27+M27,3)</f>
        <v/>
      </c>
      <c r="O27">
        <f>AND(N27&gt;=1.4,N27&lt;=13)</f>
        <v/>
      </c>
      <c r="P27">
        <f>IF(OR(N27&lt;1.4,N27&gt;13),"",IF(G27*1000&lt;=1170,IF(N27&lt;1.8,"1014",IF(N27&lt;2.9,"1018",IF(N27&lt;3.8,"1029",IF(N27&lt;5,"1038",IF(N27&lt;7,"1050",IF(N27&lt;9,"1070",IF(N27&lt;11,"1090","1110"))))))),IF(G27*1000&lt;=1570,IF(N27&lt;1.8,"",IF(N27&lt;2.9,"2018",IF(N27&lt;3.8,"2029",IF(N27&lt;5,"2038",IF(N27&lt;7,"2050",IF(N27&lt;9,"2070",IF(N27&lt;11,"2090","2110"))))))),IF(G27*1000&lt;=1700,IF(N27&lt;1.8,"",IF(N27&lt;2.9,"3018",IF(N27&lt;3.8,"3029",IF(N27&lt;5,"3038",IF(N27&lt;7,"3050",IF(N27&lt;9,"3070",IF(N27&lt;11,"3090","3110"))))))),""))))</f>
        <v/>
      </c>
      <c r="Q27">
        <f>AND(O27=TRUE,P27&lt;&gt;"")</f>
        <v/>
      </c>
      <c r="R27">
        <f>IF(G27*1000&lt;750,"なし","あり")</f>
        <v/>
      </c>
      <c r="S27">
        <f>IF(AND(O27=TRUE,Q27=TRUE),"設定可","BLOCK")</f>
        <v/>
      </c>
      <c r="T27" t="inlineStr">
        <is>
          <t>商品カタログ P194</t>
        </is>
      </c>
      <c r="U27" t="inlineStr">
        <is>
          <t>https://webcatalog.lixil.co.jp/iportal/CatalogDetail.do?catalogID=15191910000&amp;categoryID=1630000&amp;designID=newinter&amp;method=initial_screen&amp;position=18&amp;type=mc&amp;volumeID=LXL13001</t>
        </is>
      </c>
    </row>
    <row r="28">
      <c r="A28" t="inlineStr">
        <is>
          <t>WG-SL-00025</t>
        </is>
      </c>
      <c r="B28" t="inlineStr">
        <is>
          <t>SZ-SL-000948</t>
        </is>
      </c>
      <c r="C28" t="inlineStr">
        <is>
          <t>WT-SL-AGE-SAGE-FS</t>
        </is>
      </c>
      <c r="E28" t="inlineStr">
        <is>
          <t>02611</t>
        </is>
      </c>
      <c r="F28" t="n">
        <v>0.3</v>
      </c>
      <c r="G28" t="n">
        <v>1.17</v>
      </c>
      <c r="H28" t="inlineStr">
        <is>
          <t>GL-SL-007</t>
        </is>
      </c>
      <c r="I28" t="n">
        <v>6</v>
      </c>
      <c r="J28" t="n">
        <v>7.8</v>
      </c>
      <c r="K28" t="n">
        <v>-0.355</v>
      </c>
      <c r="L28" t="n">
        <v>-0.664</v>
      </c>
      <c r="M28" t="n">
        <v>0.335</v>
      </c>
      <c r="N28">
        <f>ROUND(J28*F28*G28+K28*G28+L28*F28+M28,3)</f>
        <v/>
      </c>
      <c r="O28">
        <f>AND(N28&gt;=1.4,N28&lt;=13)</f>
        <v/>
      </c>
      <c r="P28">
        <f>IF(OR(N28&lt;1.4,N28&gt;13),"",IF(G28*1000&lt;=1170,IF(N28&lt;1.8,"1014",IF(N28&lt;2.9,"1018",IF(N28&lt;3.8,"1029",IF(N28&lt;5,"1038",IF(N28&lt;7,"1050",IF(N28&lt;9,"1070",IF(N28&lt;11,"1090","1110"))))))),IF(G28*1000&lt;=1570,IF(N28&lt;1.8,"",IF(N28&lt;2.9,"2018",IF(N28&lt;3.8,"2029",IF(N28&lt;5,"2038",IF(N28&lt;7,"2050",IF(N28&lt;9,"2070",IF(N28&lt;11,"2090","2110"))))))),IF(G28*1000&lt;=1700,IF(N28&lt;1.8,"",IF(N28&lt;2.9,"3018",IF(N28&lt;3.8,"3029",IF(N28&lt;5,"3038",IF(N28&lt;7,"3050",IF(N28&lt;9,"3070",IF(N28&lt;11,"3090","3110"))))))),""))))</f>
        <v/>
      </c>
      <c r="Q28">
        <f>AND(O28=TRUE,P28&lt;&gt;"")</f>
        <v/>
      </c>
      <c r="R28">
        <f>IF(G28*1000&lt;750,"なし","あり")</f>
        <v/>
      </c>
      <c r="S28">
        <f>IF(AND(O28=TRUE,Q28=TRUE),"設定可","BLOCK")</f>
        <v/>
      </c>
      <c r="T28" t="inlineStr">
        <is>
          <t>商品カタログ P194</t>
        </is>
      </c>
      <c r="U28" t="inlineStr">
        <is>
          <t>https://webcatalog.lixil.co.jp/iportal/CatalogDetail.do?catalogID=15191910000&amp;categoryID=1630000&amp;designID=newinter&amp;method=initial_screen&amp;position=18&amp;type=mc&amp;volumeID=LXL13001</t>
        </is>
      </c>
    </row>
    <row r="29">
      <c r="A29" t="inlineStr">
        <is>
          <t>WG-SL-00026</t>
        </is>
      </c>
      <c r="B29" t="inlineStr">
        <is>
          <t>SZ-SL-000948</t>
        </is>
      </c>
      <c r="C29" t="inlineStr">
        <is>
          <t>WT-SL-AGE-SAGE-FS</t>
        </is>
      </c>
      <c r="E29" t="inlineStr">
        <is>
          <t>02611</t>
        </is>
      </c>
      <c r="F29" t="n">
        <v>0.3</v>
      </c>
      <c r="G29" t="n">
        <v>1.17</v>
      </c>
      <c r="H29" t="inlineStr">
        <is>
          <t>GL-SL-008</t>
        </is>
      </c>
      <c r="I29" t="n">
        <v>7</v>
      </c>
      <c r="J29" t="n">
        <v>9.1</v>
      </c>
      <c r="K29" t="n">
        <v>-0.48</v>
      </c>
      <c r="L29" t="n">
        <v>-0.998</v>
      </c>
      <c r="M29" t="n">
        <v>0.367</v>
      </c>
      <c r="N29">
        <f>ROUND(J29*F29*G29+K29*G29+L29*F29+M29,3)</f>
        <v/>
      </c>
      <c r="O29">
        <f>AND(N29&gt;=1.4,N29&lt;=13)</f>
        <v/>
      </c>
      <c r="P29">
        <f>IF(OR(N29&lt;1.4,N29&gt;13),"",IF(G29*1000&lt;=1170,IF(N29&lt;1.8,"1014",IF(N29&lt;2.9,"1018",IF(N29&lt;3.8,"1029",IF(N29&lt;5,"1038",IF(N29&lt;7,"1050",IF(N29&lt;9,"1070",IF(N29&lt;11,"1090","1110"))))))),IF(G29*1000&lt;=1570,IF(N29&lt;1.8,"",IF(N29&lt;2.9,"2018",IF(N29&lt;3.8,"2029",IF(N29&lt;5,"2038",IF(N29&lt;7,"2050",IF(N29&lt;9,"2070",IF(N29&lt;11,"2090","2110"))))))),IF(G29*1000&lt;=1700,IF(N29&lt;1.8,"",IF(N29&lt;2.9,"3018",IF(N29&lt;3.8,"3029",IF(N29&lt;5,"3038",IF(N29&lt;7,"3050",IF(N29&lt;9,"3070",IF(N29&lt;11,"3090","3110"))))))),""))))</f>
        <v/>
      </c>
      <c r="Q29">
        <f>AND(O29=TRUE,P29&lt;&gt;"")</f>
        <v/>
      </c>
      <c r="R29">
        <f>IF(G29*1000&lt;750,"なし","あり")</f>
        <v/>
      </c>
      <c r="S29">
        <f>IF(AND(O29=TRUE,Q29=TRUE),"設定可","BLOCK")</f>
        <v/>
      </c>
      <c r="T29" t="inlineStr">
        <is>
          <t>商品カタログ P194</t>
        </is>
      </c>
      <c r="U29" t="inlineStr">
        <is>
          <t>https://webcatalog.lixil.co.jp/iportal/CatalogDetail.do?catalogID=15191910000&amp;categoryID=1630000&amp;designID=newinter&amp;method=initial_screen&amp;position=18&amp;type=mc&amp;volumeID=LXL13001</t>
        </is>
      </c>
    </row>
    <row r="30">
      <c r="A30" t="inlineStr">
        <is>
          <t>WG-SL-00027</t>
        </is>
      </c>
      <c r="B30" t="inlineStr">
        <is>
          <t>SZ-SL-000948</t>
        </is>
      </c>
      <c r="C30" t="inlineStr">
        <is>
          <t>WT-SL-AGE-SAGE-FS</t>
        </is>
      </c>
      <c r="E30" t="inlineStr">
        <is>
          <t>02611</t>
        </is>
      </c>
      <c r="F30" t="n">
        <v>0.3</v>
      </c>
      <c r="G30" t="n">
        <v>1.17</v>
      </c>
      <c r="H30" t="inlineStr">
        <is>
          <t>GL-SL-009</t>
        </is>
      </c>
      <c r="I30" t="n">
        <v>8</v>
      </c>
      <c r="J30" t="n">
        <v>10.4</v>
      </c>
      <c r="K30" t="n">
        <v>-0.605</v>
      </c>
      <c r="L30" t="n">
        <v>-1.332</v>
      </c>
      <c r="M30" t="n">
        <v>0.399</v>
      </c>
      <c r="N30">
        <f>ROUND(J30*F30*G30+K30*G30+L30*F30+M30,3)</f>
        <v/>
      </c>
      <c r="O30">
        <f>AND(N30&gt;=1.4,N30&lt;=13)</f>
        <v/>
      </c>
      <c r="P30">
        <f>IF(OR(N30&lt;1.4,N30&gt;13),"",IF(G30*1000&lt;=1170,IF(N30&lt;1.8,"1014",IF(N30&lt;2.9,"1018",IF(N30&lt;3.8,"1029",IF(N30&lt;5,"1038",IF(N30&lt;7,"1050",IF(N30&lt;9,"1070",IF(N30&lt;11,"1090","1110"))))))),IF(G30*1000&lt;=1570,IF(N30&lt;1.8,"",IF(N30&lt;2.9,"2018",IF(N30&lt;3.8,"2029",IF(N30&lt;5,"2038",IF(N30&lt;7,"2050",IF(N30&lt;9,"2070",IF(N30&lt;11,"2090","2110"))))))),IF(G30*1000&lt;=1700,IF(N30&lt;1.8,"",IF(N30&lt;2.9,"3018",IF(N30&lt;3.8,"3029",IF(N30&lt;5,"3038",IF(N30&lt;7,"3050",IF(N30&lt;9,"3070",IF(N30&lt;11,"3090","3110"))))))),""))))</f>
        <v/>
      </c>
      <c r="Q30">
        <f>AND(O30=TRUE,P30&lt;&gt;"")</f>
        <v/>
      </c>
      <c r="R30">
        <f>IF(G30*1000&lt;750,"なし","あり")</f>
        <v/>
      </c>
      <c r="S30">
        <f>IF(AND(O30=TRUE,Q30=TRUE),"設定可","BLOCK")</f>
        <v/>
      </c>
      <c r="T30" t="inlineStr">
        <is>
          <t>商品カタログ P194</t>
        </is>
      </c>
      <c r="U30" t="inlineStr">
        <is>
          <t>https://webcatalog.lixil.co.jp/iportal/CatalogDetail.do?catalogID=15191910000&amp;categoryID=1630000&amp;designID=newinter&amp;method=initial_screen&amp;position=18&amp;type=mc&amp;volumeID=LXL13001</t>
        </is>
      </c>
    </row>
    <row r="31">
      <c r="A31" t="inlineStr">
        <is>
          <t>WG-SL-00028</t>
        </is>
      </c>
      <c r="B31" t="inlineStr">
        <is>
          <t>SZ-SL-000949</t>
        </is>
      </c>
      <c r="C31" t="inlineStr">
        <is>
          <t>WT-SL-AGE-SAGE-FS</t>
        </is>
      </c>
      <c r="E31" t="inlineStr">
        <is>
          <t>02613</t>
        </is>
      </c>
      <c r="F31" t="n">
        <v>0.3</v>
      </c>
      <c r="G31" t="n">
        <v>1.37</v>
      </c>
      <c r="H31" t="inlineStr">
        <is>
          <t>GL-SL-001</t>
        </is>
      </c>
      <c r="I31" t="n">
        <v>6</v>
      </c>
      <c r="J31" t="n">
        <v>7.8</v>
      </c>
      <c r="K31" t="n">
        <v>-0.355</v>
      </c>
      <c r="L31" t="n">
        <v>-0.664</v>
      </c>
      <c r="M31" t="n">
        <v>0.335</v>
      </c>
      <c r="N31">
        <f>ROUND(J31*F31*G31+K31*G31+L31*F31+M31,3)</f>
        <v/>
      </c>
      <c r="O31">
        <f>AND(N31&gt;=1.4,N31&lt;=13)</f>
        <v/>
      </c>
      <c r="P31">
        <f>IF(OR(N31&lt;1.4,N31&gt;13),"",IF(G31*1000&lt;=1170,IF(N31&lt;1.8,"1014",IF(N31&lt;2.9,"1018",IF(N31&lt;3.8,"1029",IF(N31&lt;5,"1038",IF(N31&lt;7,"1050",IF(N31&lt;9,"1070",IF(N31&lt;11,"1090","1110"))))))),IF(G31*1000&lt;=1570,IF(N31&lt;1.8,"",IF(N31&lt;2.9,"2018",IF(N31&lt;3.8,"2029",IF(N31&lt;5,"2038",IF(N31&lt;7,"2050",IF(N31&lt;9,"2070",IF(N31&lt;11,"2090","2110"))))))),IF(G31*1000&lt;=1700,IF(N31&lt;1.8,"",IF(N31&lt;2.9,"3018",IF(N31&lt;3.8,"3029",IF(N31&lt;5,"3038",IF(N31&lt;7,"3050",IF(N31&lt;9,"3070",IF(N31&lt;11,"3090","3110"))))))),""))))</f>
        <v/>
      </c>
      <c r="Q31">
        <f>AND(O31=TRUE,P31&lt;&gt;"")</f>
        <v/>
      </c>
      <c r="R31">
        <f>IF(G31*1000&lt;750,"なし","あり")</f>
        <v/>
      </c>
      <c r="S31">
        <f>IF(AND(O31=TRUE,Q31=TRUE),"設定可","BLOCK")</f>
        <v/>
      </c>
      <c r="T31" t="inlineStr">
        <is>
          <t>商品カタログ P194</t>
        </is>
      </c>
      <c r="U31" t="inlineStr">
        <is>
          <t>https://webcatalog.lixil.co.jp/iportal/CatalogDetail.do?catalogID=15191910000&amp;categoryID=1630000&amp;designID=newinter&amp;method=initial_screen&amp;position=18&amp;type=mc&amp;volumeID=LXL13001</t>
        </is>
      </c>
    </row>
    <row r="32">
      <c r="A32" t="inlineStr">
        <is>
          <t>WG-SL-00029</t>
        </is>
      </c>
      <c r="B32" t="inlineStr">
        <is>
          <t>SZ-SL-000949</t>
        </is>
      </c>
      <c r="C32" t="inlineStr">
        <is>
          <t>WT-SL-AGE-SAGE-FS</t>
        </is>
      </c>
      <c r="E32" t="inlineStr">
        <is>
          <t>02613</t>
        </is>
      </c>
      <c r="F32" t="n">
        <v>0.3</v>
      </c>
      <c r="G32" t="n">
        <v>1.37</v>
      </c>
      <c r="H32" t="inlineStr">
        <is>
          <t>GL-SL-002</t>
        </is>
      </c>
      <c r="I32" t="n">
        <v>7</v>
      </c>
      <c r="J32" t="n">
        <v>9.1</v>
      </c>
      <c r="K32" t="n">
        <v>-0.48</v>
      </c>
      <c r="L32" t="n">
        <v>-0.998</v>
      </c>
      <c r="M32" t="n">
        <v>0.367</v>
      </c>
      <c r="N32">
        <f>ROUND(J32*F32*G32+K32*G32+L32*F32+M32,3)</f>
        <v/>
      </c>
      <c r="O32">
        <f>AND(N32&gt;=1.4,N32&lt;=13)</f>
        <v/>
      </c>
      <c r="P32">
        <f>IF(OR(N32&lt;1.4,N32&gt;13),"",IF(G32*1000&lt;=1170,IF(N32&lt;1.8,"1014",IF(N32&lt;2.9,"1018",IF(N32&lt;3.8,"1029",IF(N32&lt;5,"1038",IF(N32&lt;7,"1050",IF(N32&lt;9,"1070",IF(N32&lt;11,"1090","1110"))))))),IF(G32*1000&lt;=1570,IF(N32&lt;1.8,"",IF(N32&lt;2.9,"2018",IF(N32&lt;3.8,"2029",IF(N32&lt;5,"2038",IF(N32&lt;7,"2050",IF(N32&lt;9,"2070",IF(N32&lt;11,"2090","2110"))))))),IF(G32*1000&lt;=1700,IF(N32&lt;1.8,"",IF(N32&lt;2.9,"3018",IF(N32&lt;3.8,"3029",IF(N32&lt;5,"3038",IF(N32&lt;7,"3050",IF(N32&lt;9,"3070",IF(N32&lt;11,"3090","3110"))))))),""))))</f>
        <v/>
      </c>
      <c r="Q32">
        <f>AND(O32=TRUE,P32&lt;&gt;"")</f>
        <v/>
      </c>
      <c r="R32">
        <f>IF(G32*1000&lt;750,"なし","あり")</f>
        <v/>
      </c>
      <c r="S32">
        <f>IF(AND(O32=TRUE,Q32=TRUE),"設定可","BLOCK")</f>
        <v/>
      </c>
      <c r="T32" t="inlineStr">
        <is>
          <t>商品カタログ P194</t>
        </is>
      </c>
      <c r="U32" t="inlineStr">
        <is>
          <t>https://webcatalog.lixil.co.jp/iportal/CatalogDetail.do?catalogID=15191910000&amp;categoryID=1630000&amp;designID=newinter&amp;method=initial_screen&amp;position=18&amp;type=mc&amp;volumeID=LXL13001</t>
        </is>
      </c>
    </row>
    <row r="33">
      <c r="A33" t="inlineStr">
        <is>
          <t>WG-SL-00030</t>
        </is>
      </c>
      <c r="B33" t="inlineStr">
        <is>
          <t>SZ-SL-000949</t>
        </is>
      </c>
      <c r="C33" t="inlineStr">
        <is>
          <t>WT-SL-AGE-SAGE-FS</t>
        </is>
      </c>
      <c r="E33" t="inlineStr">
        <is>
          <t>02613</t>
        </is>
      </c>
      <c r="F33" t="n">
        <v>0.3</v>
      </c>
      <c r="G33" t="n">
        <v>1.37</v>
      </c>
      <c r="H33" t="inlineStr">
        <is>
          <t>GL-SL-003</t>
        </is>
      </c>
      <c r="I33" t="n">
        <v>8</v>
      </c>
      <c r="J33" t="n">
        <v>10.4</v>
      </c>
      <c r="K33" t="n">
        <v>-0.605</v>
      </c>
      <c r="L33" t="n">
        <v>-1.332</v>
      </c>
      <c r="M33" t="n">
        <v>0.399</v>
      </c>
      <c r="N33">
        <f>ROUND(J33*F33*G33+K33*G33+L33*F33+M33,3)</f>
        <v/>
      </c>
      <c r="O33">
        <f>AND(N33&gt;=1.4,N33&lt;=13)</f>
        <v/>
      </c>
      <c r="P33">
        <f>IF(OR(N33&lt;1.4,N33&gt;13),"",IF(G33*1000&lt;=1170,IF(N33&lt;1.8,"1014",IF(N33&lt;2.9,"1018",IF(N33&lt;3.8,"1029",IF(N33&lt;5,"1038",IF(N33&lt;7,"1050",IF(N33&lt;9,"1070",IF(N33&lt;11,"1090","1110"))))))),IF(G33*1000&lt;=1570,IF(N33&lt;1.8,"",IF(N33&lt;2.9,"2018",IF(N33&lt;3.8,"2029",IF(N33&lt;5,"2038",IF(N33&lt;7,"2050",IF(N33&lt;9,"2070",IF(N33&lt;11,"2090","2110"))))))),IF(G33*1000&lt;=1700,IF(N33&lt;1.8,"",IF(N33&lt;2.9,"3018",IF(N33&lt;3.8,"3029",IF(N33&lt;5,"3038",IF(N33&lt;7,"3050",IF(N33&lt;9,"3070",IF(N33&lt;11,"3090","3110"))))))),""))))</f>
        <v/>
      </c>
      <c r="Q33">
        <f>AND(O33=TRUE,P33&lt;&gt;"")</f>
        <v/>
      </c>
      <c r="R33">
        <f>IF(G33*1000&lt;750,"なし","あり")</f>
        <v/>
      </c>
      <c r="S33">
        <f>IF(AND(O33=TRUE,Q33=TRUE),"設定可","BLOCK")</f>
        <v/>
      </c>
      <c r="T33" t="inlineStr">
        <is>
          <t>商品カタログ P194</t>
        </is>
      </c>
      <c r="U33" t="inlineStr">
        <is>
          <t>https://webcatalog.lixil.co.jp/iportal/CatalogDetail.do?catalogID=15191910000&amp;categoryID=1630000&amp;designID=newinter&amp;method=initial_screen&amp;position=18&amp;type=mc&amp;volumeID=LXL13001</t>
        </is>
      </c>
    </row>
    <row r="34">
      <c r="A34" t="inlineStr">
        <is>
          <t>WG-SL-00031</t>
        </is>
      </c>
      <c r="B34" t="inlineStr">
        <is>
          <t>SZ-SL-000949</t>
        </is>
      </c>
      <c r="C34" t="inlineStr">
        <is>
          <t>WT-SL-AGE-SAGE-FS</t>
        </is>
      </c>
      <c r="E34" t="inlineStr">
        <is>
          <t>02613</t>
        </is>
      </c>
      <c r="F34" t="n">
        <v>0.3</v>
      </c>
      <c r="G34" t="n">
        <v>1.37</v>
      </c>
      <c r="H34" t="inlineStr">
        <is>
          <t>GL-SL-004</t>
        </is>
      </c>
      <c r="I34" t="n">
        <v>6</v>
      </c>
      <c r="J34" t="n">
        <v>7.8</v>
      </c>
      <c r="K34" t="n">
        <v>-0.355</v>
      </c>
      <c r="L34" t="n">
        <v>-0.664</v>
      </c>
      <c r="M34" t="n">
        <v>0.335</v>
      </c>
      <c r="N34">
        <f>ROUND(J34*F34*G34+K34*G34+L34*F34+M34,3)</f>
        <v/>
      </c>
      <c r="O34">
        <f>AND(N34&gt;=1.4,N34&lt;=13)</f>
        <v/>
      </c>
      <c r="P34">
        <f>IF(OR(N34&lt;1.4,N34&gt;13),"",IF(G34*1000&lt;=1170,IF(N34&lt;1.8,"1014",IF(N34&lt;2.9,"1018",IF(N34&lt;3.8,"1029",IF(N34&lt;5,"1038",IF(N34&lt;7,"1050",IF(N34&lt;9,"1070",IF(N34&lt;11,"1090","1110"))))))),IF(G34*1000&lt;=1570,IF(N34&lt;1.8,"",IF(N34&lt;2.9,"2018",IF(N34&lt;3.8,"2029",IF(N34&lt;5,"2038",IF(N34&lt;7,"2050",IF(N34&lt;9,"2070",IF(N34&lt;11,"2090","2110"))))))),IF(G34*1000&lt;=1700,IF(N34&lt;1.8,"",IF(N34&lt;2.9,"3018",IF(N34&lt;3.8,"3029",IF(N34&lt;5,"3038",IF(N34&lt;7,"3050",IF(N34&lt;9,"3070",IF(N34&lt;11,"3090","3110"))))))),""))))</f>
        <v/>
      </c>
      <c r="Q34">
        <f>AND(O34=TRUE,P34&lt;&gt;"")</f>
        <v/>
      </c>
      <c r="R34">
        <f>IF(G34*1000&lt;750,"なし","あり")</f>
        <v/>
      </c>
      <c r="S34">
        <f>IF(AND(O34=TRUE,Q34=TRUE),"設定可","BLOCK")</f>
        <v/>
      </c>
      <c r="T34" t="inlineStr">
        <is>
          <t>商品カタログ P194</t>
        </is>
      </c>
      <c r="U34" t="inlineStr">
        <is>
          <t>https://webcatalog.lixil.co.jp/iportal/CatalogDetail.do?catalogID=15191910000&amp;categoryID=1630000&amp;designID=newinter&amp;method=initial_screen&amp;position=18&amp;type=mc&amp;volumeID=LXL13001</t>
        </is>
      </c>
    </row>
    <row r="35">
      <c r="A35" t="inlineStr">
        <is>
          <t>WG-SL-00032</t>
        </is>
      </c>
      <c r="B35" t="inlineStr">
        <is>
          <t>SZ-SL-000949</t>
        </is>
      </c>
      <c r="C35" t="inlineStr">
        <is>
          <t>WT-SL-AGE-SAGE-FS</t>
        </is>
      </c>
      <c r="E35" t="inlineStr">
        <is>
          <t>02613</t>
        </is>
      </c>
      <c r="F35" t="n">
        <v>0.3</v>
      </c>
      <c r="G35" t="n">
        <v>1.37</v>
      </c>
      <c r="H35" t="inlineStr">
        <is>
          <t>GL-SL-005</t>
        </is>
      </c>
      <c r="I35" t="n">
        <v>7</v>
      </c>
      <c r="J35" t="n">
        <v>9.1</v>
      </c>
      <c r="K35" t="n">
        <v>-0.48</v>
      </c>
      <c r="L35" t="n">
        <v>-0.998</v>
      </c>
      <c r="M35" t="n">
        <v>0.367</v>
      </c>
      <c r="N35">
        <f>ROUND(J35*F35*G35+K35*G35+L35*F35+M35,3)</f>
        <v/>
      </c>
      <c r="O35">
        <f>AND(N35&gt;=1.4,N35&lt;=13)</f>
        <v/>
      </c>
      <c r="P35">
        <f>IF(OR(N35&lt;1.4,N35&gt;13),"",IF(G35*1000&lt;=1170,IF(N35&lt;1.8,"1014",IF(N35&lt;2.9,"1018",IF(N35&lt;3.8,"1029",IF(N35&lt;5,"1038",IF(N35&lt;7,"1050",IF(N35&lt;9,"1070",IF(N35&lt;11,"1090","1110"))))))),IF(G35*1000&lt;=1570,IF(N35&lt;1.8,"",IF(N35&lt;2.9,"2018",IF(N35&lt;3.8,"2029",IF(N35&lt;5,"2038",IF(N35&lt;7,"2050",IF(N35&lt;9,"2070",IF(N35&lt;11,"2090","2110"))))))),IF(G35*1000&lt;=1700,IF(N35&lt;1.8,"",IF(N35&lt;2.9,"3018",IF(N35&lt;3.8,"3029",IF(N35&lt;5,"3038",IF(N35&lt;7,"3050",IF(N35&lt;9,"3070",IF(N35&lt;11,"3090","3110"))))))),""))))</f>
        <v/>
      </c>
      <c r="Q35">
        <f>AND(O35=TRUE,P35&lt;&gt;"")</f>
        <v/>
      </c>
      <c r="R35">
        <f>IF(G35*1000&lt;750,"なし","あり")</f>
        <v/>
      </c>
      <c r="S35">
        <f>IF(AND(O35=TRUE,Q35=TRUE),"設定可","BLOCK")</f>
        <v/>
      </c>
      <c r="T35" t="inlineStr">
        <is>
          <t>商品カタログ P194</t>
        </is>
      </c>
      <c r="U35" t="inlineStr">
        <is>
          <t>https://webcatalog.lixil.co.jp/iportal/CatalogDetail.do?catalogID=15191910000&amp;categoryID=1630000&amp;designID=newinter&amp;method=initial_screen&amp;position=18&amp;type=mc&amp;volumeID=LXL13001</t>
        </is>
      </c>
    </row>
    <row r="36">
      <c r="A36" t="inlineStr">
        <is>
          <t>WG-SL-00033</t>
        </is>
      </c>
      <c r="B36" t="inlineStr">
        <is>
          <t>SZ-SL-000949</t>
        </is>
      </c>
      <c r="C36" t="inlineStr">
        <is>
          <t>WT-SL-AGE-SAGE-FS</t>
        </is>
      </c>
      <c r="E36" t="inlineStr">
        <is>
          <t>02613</t>
        </is>
      </c>
      <c r="F36" t="n">
        <v>0.3</v>
      </c>
      <c r="G36" t="n">
        <v>1.37</v>
      </c>
      <c r="H36" t="inlineStr">
        <is>
          <t>GL-SL-006</t>
        </is>
      </c>
      <c r="I36" t="n">
        <v>8</v>
      </c>
      <c r="J36" t="n">
        <v>10.4</v>
      </c>
      <c r="K36" t="n">
        <v>-0.605</v>
      </c>
      <c r="L36" t="n">
        <v>-1.332</v>
      </c>
      <c r="M36" t="n">
        <v>0.399</v>
      </c>
      <c r="N36">
        <f>ROUND(J36*F36*G36+K36*G36+L36*F36+M36,3)</f>
        <v/>
      </c>
      <c r="O36">
        <f>AND(N36&gt;=1.4,N36&lt;=13)</f>
        <v/>
      </c>
      <c r="P36">
        <f>IF(OR(N36&lt;1.4,N36&gt;13),"",IF(G36*1000&lt;=1170,IF(N36&lt;1.8,"1014",IF(N36&lt;2.9,"1018",IF(N36&lt;3.8,"1029",IF(N36&lt;5,"1038",IF(N36&lt;7,"1050",IF(N36&lt;9,"1070",IF(N36&lt;11,"1090","1110"))))))),IF(G36*1000&lt;=1570,IF(N36&lt;1.8,"",IF(N36&lt;2.9,"2018",IF(N36&lt;3.8,"2029",IF(N36&lt;5,"2038",IF(N36&lt;7,"2050",IF(N36&lt;9,"2070",IF(N36&lt;11,"2090","2110"))))))),IF(G36*1000&lt;=1700,IF(N36&lt;1.8,"",IF(N36&lt;2.9,"3018",IF(N36&lt;3.8,"3029",IF(N36&lt;5,"3038",IF(N36&lt;7,"3050",IF(N36&lt;9,"3070",IF(N36&lt;11,"3090","3110"))))))),""))))</f>
        <v/>
      </c>
      <c r="Q36">
        <f>AND(O36=TRUE,P36&lt;&gt;"")</f>
        <v/>
      </c>
      <c r="R36">
        <f>IF(G36*1000&lt;750,"なし","あり")</f>
        <v/>
      </c>
      <c r="S36">
        <f>IF(AND(O36=TRUE,Q36=TRUE),"設定可","BLOCK")</f>
        <v/>
      </c>
      <c r="T36" t="inlineStr">
        <is>
          <t>商品カタログ P194</t>
        </is>
      </c>
      <c r="U36" t="inlineStr">
        <is>
          <t>https://webcatalog.lixil.co.jp/iportal/CatalogDetail.do?catalogID=15191910000&amp;categoryID=1630000&amp;designID=newinter&amp;method=initial_screen&amp;position=18&amp;type=mc&amp;volumeID=LXL13001</t>
        </is>
      </c>
    </row>
    <row r="37">
      <c r="A37" t="inlineStr">
        <is>
          <t>WG-SL-00034</t>
        </is>
      </c>
      <c r="B37" t="inlineStr">
        <is>
          <t>SZ-SL-000949</t>
        </is>
      </c>
      <c r="C37" t="inlineStr">
        <is>
          <t>WT-SL-AGE-SAGE-FS</t>
        </is>
      </c>
      <c r="E37" t="inlineStr">
        <is>
          <t>02613</t>
        </is>
      </c>
      <c r="F37" t="n">
        <v>0.3</v>
      </c>
      <c r="G37" t="n">
        <v>1.37</v>
      </c>
      <c r="H37" t="inlineStr">
        <is>
          <t>GL-SL-007</t>
        </is>
      </c>
      <c r="I37" t="n">
        <v>6</v>
      </c>
      <c r="J37" t="n">
        <v>7.8</v>
      </c>
      <c r="K37" t="n">
        <v>-0.355</v>
      </c>
      <c r="L37" t="n">
        <v>-0.664</v>
      </c>
      <c r="M37" t="n">
        <v>0.335</v>
      </c>
      <c r="N37">
        <f>ROUND(J37*F37*G37+K37*G37+L37*F37+M37,3)</f>
        <v/>
      </c>
      <c r="O37">
        <f>AND(N37&gt;=1.4,N37&lt;=13)</f>
        <v/>
      </c>
      <c r="P37">
        <f>IF(OR(N37&lt;1.4,N37&gt;13),"",IF(G37*1000&lt;=1170,IF(N37&lt;1.8,"1014",IF(N37&lt;2.9,"1018",IF(N37&lt;3.8,"1029",IF(N37&lt;5,"1038",IF(N37&lt;7,"1050",IF(N37&lt;9,"1070",IF(N37&lt;11,"1090","1110"))))))),IF(G37*1000&lt;=1570,IF(N37&lt;1.8,"",IF(N37&lt;2.9,"2018",IF(N37&lt;3.8,"2029",IF(N37&lt;5,"2038",IF(N37&lt;7,"2050",IF(N37&lt;9,"2070",IF(N37&lt;11,"2090","2110"))))))),IF(G37*1000&lt;=1700,IF(N37&lt;1.8,"",IF(N37&lt;2.9,"3018",IF(N37&lt;3.8,"3029",IF(N37&lt;5,"3038",IF(N37&lt;7,"3050",IF(N37&lt;9,"3070",IF(N37&lt;11,"3090","3110"))))))),""))))</f>
        <v/>
      </c>
      <c r="Q37">
        <f>AND(O37=TRUE,P37&lt;&gt;"")</f>
        <v/>
      </c>
      <c r="R37">
        <f>IF(G37*1000&lt;750,"なし","あり")</f>
        <v/>
      </c>
      <c r="S37">
        <f>IF(AND(O37=TRUE,Q37=TRUE),"設定可","BLOCK")</f>
        <v/>
      </c>
      <c r="T37" t="inlineStr">
        <is>
          <t>商品カタログ P194</t>
        </is>
      </c>
      <c r="U37" t="inlineStr">
        <is>
          <t>https://webcatalog.lixil.co.jp/iportal/CatalogDetail.do?catalogID=15191910000&amp;categoryID=1630000&amp;designID=newinter&amp;method=initial_screen&amp;position=18&amp;type=mc&amp;volumeID=LXL13001</t>
        </is>
      </c>
    </row>
    <row r="38">
      <c r="A38" t="inlineStr">
        <is>
          <t>WG-SL-00035</t>
        </is>
      </c>
      <c r="B38" t="inlineStr">
        <is>
          <t>SZ-SL-000949</t>
        </is>
      </c>
      <c r="C38" t="inlineStr">
        <is>
          <t>WT-SL-AGE-SAGE-FS</t>
        </is>
      </c>
      <c r="E38" t="inlineStr">
        <is>
          <t>02613</t>
        </is>
      </c>
      <c r="F38" t="n">
        <v>0.3</v>
      </c>
      <c r="G38" t="n">
        <v>1.37</v>
      </c>
      <c r="H38" t="inlineStr">
        <is>
          <t>GL-SL-008</t>
        </is>
      </c>
      <c r="I38" t="n">
        <v>7</v>
      </c>
      <c r="J38" t="n">
        <v>9.1</v>
      </c>
      <c r="K38" t="n">
        <v>-0.48</v>
      </c>
      <c r="L38" t="n">
        <v>-0.998</v>
      </c>
      <c r="M38" t="n">
        <v>0.367</v>
      </c>
      <c r="N38">
        <f>ROUND(J38*F38*G38+K38*G38+L38*F38+M38,3)</f>
        <v/>
      </c>
      <c r="O38">
        <f>AND(N38&gt;=1.4,N38&lt;=13)</f>
        <v/>
      </c>
      <c r="P38">
        <f>IF(OR(N38&lt;1.4,N38&gt;13),"",IF(G38*1000&lt;=1170,IF(N38&lt;1.8,"1014",IF(N38&lt;2.9,"1018",IF(N38&lt;3.8,"1029",IF(N38&lt;5,"1038",IF(N38&lt;7,"1050",IF(N38&lt;9,"1070",IF(N38&lt;11,"1090","1110"))))))),IF(G38*1000&lt;=1570,IF(N38&lt;1.8,"",IF(N38&lt;2.9,"2018",IF(N38&lt;3.8,"2029",IF(N38&lt;5,"2038",IF(N38&lt;7,"2050",IF(N38&lt;9,"2070",IF(N38&lt;11,"2090","2110"))))))),IF(G38*1000&lt;=1700,IF(N38&lt;1.8,"",IF(N38&lt;2.9,"3018",IF(N38&lt;3.8,"3029",IF(N38&lt;5,"3038",IF(N38&lt;7,"3050",IF(N38&lt;9,"3070",IF(N38&lt;11,"3090","3110"))))))),""))))</f>
        <v/>
      </c>
      <c r="Q38">
        <f>AND(O38=TRUE,P38&lt;&gt;"")</f>
        <v/>
      </c>
      <c r="R38">
        <f>IF(G38*1000&lt;750,"なし","あり")</f>
        <v/>
      </c>
      <c r="S38">
        <f>IF(AND(O38=TRUE,Q38=TRUE),"設定可","BLOCK")</f>
        <v/>
      </c>
      <c r="T38" t="inlineStr">
        <is>
          <t>商品カタログ P194</t>
        </is>
      </c>
      <c r="U38" t="inlineStr">
        <is>
          <t>https://webcatalog.lixil.co.jp/iportal/CatalogDetail.do?catalogID=15191910000&amp;categoryID=1630000&amp;designID=newinter&amp;method=initial_screen&amp;position=18&amp;type=mc&amp;volumeID=LXL13001</t>
        </is>
      </c>
    </row>
    <row r="39">
      <c r="A39" t="inlineStr">
        <is>
          <t>WG-SL-00036</t>
        </is>
      </c>
      <c r="B39" t="inlineStr">
        <is>
          <t>SZ-SL-000949</t>
        </is>
      </c>
      <c r="C39" t="inlineStr">
        <is>
          <t>WT-SL-AGE-SAGE-FS</t>
        </is>
      </c>
      <c r="E39" t="inlineStr">
        <is>
          <t>02613</t>
        </is>
      </c>
      <c r="F39" t="n">
        <v>0.3</v>
      </c>
      <c r="G39" t="n">
        <v>1.37</v>
      </c>
      <c r="H39" t="inlineStr">
        <is>
          <t>GL-SL-009</t>
        </is>
      </c>
      <c r="I39" t="n">
        <v>8</v>
      </c>
      <c r="J39" t="n">
        <v>10.4</v>
      </c>
      <c r="K39" t="n">
        <v>-0.605</v>
      </c>
      <c r="L39" t="n">
        <v>-1.332</v>
      </c>
      <c r="M39" t="n">
        <v>0.399</v>
      </c>
      <c r="N39">
        <f>ROUND(J39*F39*G39+K39*G39+L39*F39+M39,3)</f>
        <v/>
      </c>
      <c r="O39">
        <f>AND(N39&gt;=1.4,N39&lt;=13)</f>
        <v/>
      </c>
      <c r="P39">
        <f>IF(OR(N39&lt;1.4,N39&gt;13),"",IF(G39*1000&lt;=1170,IF(N39&lt;1.8,"1014",IF(N39&lt;2.9,"1018",IF(N39&lt;3.8,"1029",IF(N39&lt;5,"1038",IF(N39&lt;7,"1050",IF(N39&lt;9,"1070",IF(N39&lt;11,"1090","1110"))))))),IF(G39*1000&lt;=1570,IF(N39&lt;1.8,"",IF(N39&lt;2.9,"2018",IF(N39&lt;3.8,"2029",IF(N39&lt;5,"2038",IF(N39&lt;7,"2050",IF(N39&lt;9,"2070",IF(N39&lt;11,"2090","2110"))))))),IF(G39*1000&lt;=1700,IF(N39&lt;1.8,"",IF(N39&lt;2.9,"3018",IF(N39&lt;3.8,"3029",IF(N39&lt;5,"3038",IF(N39&lt;7,"3050",IF(N39&lt;9,"3070",IF(N39&lt;11,"3090","3110"))))))),""))))</f>
        <v/>
      </c>
      <c r="Q39">
        <f>AND(O39=TRUE,P39&lt;&gt;"")</f>
        <v/>
      </c>
      <c r="R39">
        <f>IF(G39*1000&lt;750,"なし","あり")</f>
        <v/>
      </c>
      <c r="S39">
        <f>IF(AND(O39=TRUE,Q39=TRUE),"設定可","BLOCK")</f>
        <v/>
      </c>
      <c r="T39" t="inlineStr">
        <is>
          <t>商品カタログ P194</t>
        </is>
      </c>
      <c r="U39" t="inlineStr">
        <is>
          <t>https://webcatalog.lixil.co.jp/iportal/CatalogDetail.do?catalogID=15191910000&amp;categoryID=1630000&amp;designID=newinter&amp;method=initial_screen&amp;position=18&amp;type=mc&amp;volumeID=LXL13001</t>
        </is>
      </c>
    </row>
    <row r="40">
      <c r="A40" t="inlineStr">
        <is>
          <t>WG-SL-00037</t>
        </is>
      </c>
      <c r="B40" t="inlineStr">
        <is>
          <t>SZ-SL-000950</t>
        </is>
      </c>
      <c r="C40" t="inlineStr">
        <is>
          <t>WT-SL-AGE-SAGE-FS</t>
        </is>
      </c>
      <c r="E40" t="inlineStr">
        <is>
          <t>03607</t>
        </is>
      </c>
      <c r="F40" t="n">
        <v>0.405</v>
      </c>
      <c r="G40" t="n">
        <v>0.77</v>
      </c>
      <c r="H40" t="inlineStr">
        <is>
          <t>GL-SL-001</t>
        </is>
      </c>
      <c r="I40" t="n">
        <v>6</v>
      </c>
      <c r="J40" t="n">
        <v>7.8</v>
      </c>
      <c r="K40" t="n">
        <v>-0.355</v>
      </c>
      <c r="L40" t="n">
        <v>-0.664</v>
      </c>
      <c r="M40" t="n">
        <v>0.335</v>
      </c>
      <c r="N40">
        <f>ROUND(J40*F40*G40+K40*G40+L40*F40+M40,3)</f>
        <v/>
      </c>
      <c r="O40">
        <f>AND(N40&gt;=1.4,N40&lt;=13)</f>
        <v/>
      </c>
      <c r="P40">
        <f>IF(OR(N40&lt;1.4,N40&gt;13),"",IF(G40*1000&lt;=1170,IF(N40&lt;1.8,"1014",IF(N40&lt;2.9,"1018",IF(N40&lt;3.8,"1029",IF(N40&lt;5,"1038",IF(N40&lt;7,"1050",IF(N40&lt;9,"1070",IF(N40&lt;11,"1090","1110"))))))),IF(G40*1000&lt;=1570,IF(N40&lt;1.8,"",IF(N40&lt;2.9,"2018",IF(N40&lt;3.8,"2029",IF(N40&lt;5,"2038",IF(N40&lt;7,"2050",IF(N40&lt;9,"2070",IF(N40&lt;11,"2090","2110"))))))),IF(G40*1000&lt;=1700,IF(N40&lt;1.8,"",IF(N40&lt;2.9,"3018",IF(N40&lt;3.8,"3029",IF(N40&lt;5,"3038",IF(N40&lt;7,"3050",IF(N40&lt;9,"3070",IF(N40&lt;11,"3090","3110"))))))),""))))</f>
        <v/>
      </c>
      <c r="Q40">
        <f>AND(O40=TRUE,P40&lt;&gt;"")</f>
        <v/>
      </c>
      <c r="R40">
        <f>IF(G40*1000&lt;750,"なし","あり")</f>
        <v/>
      </c>
      <c r="S40">
        <f>IF(AND(O40=TRUE,Q40=TRUE),"設定可","BLOCK")</f>
        <v/>
      </c>
      <c r="T40" t="inlineStr">
        <is>
          <t>商品カタログ P194</t>
        </is>
      </c>
      <c r="U40" t="inlineStr">
        <is>
          <t>https://webcatalog.lixil.co.jp/iportal/CatalogDetail.do?catalogID=15191910000&amp;categoryID=1630000&amp;designID=newinter&amp;method=initial_screen&amp;position=18&amp;type=mc&amp;volumeID=LXL13001</t>
        </is>
      </c>
    </row>
    <row r="41">
      <c r="A41" t="inlineStr">
        <is>
          <t>WG-SL-00038</t>
        </is>
      </c>
      <c r="B41" t="inlineStr">
        <is>
          <t>SZ-SL-000950</t>
        </is>
      </c>
      <c r="C41" t="inlineStr">
        <is>
          <t>WT-SL-AGE-SAGE-FS</t>
        </is>
      </c>
      <c r="E41" t="inlineStr">
        <is>
          <t>03607</t>
        </is>
      </c>
      <c r="F41" t="n">
        <v>0.405</v>
      </c>
      <c r="G41" t="n">
        <v>0.77</v>
      </c>
      <c r="H41" t="inlineStr">
        <is>
          <t>GL-SL-002</t>
        </is>
      </c>
      <c r="I41" t="n">
        <v>7</v>
      </c>
      <c r="J41" t="n">
        <v>9.1</v>
      </c>
      <c r="K41" t="n">
        <v>-0.48</v>
      </c>
      <c r="L41" t="n">
        <v>-0.998</v>
      </c>
      <c r="M41" t="n">
        <v>0.367</v>
      </c>
      <c r="N41">
        <f>ROUND(J41*F41*G41+K41*G41+L41*F41+M41,3)</f>
        <v/>
      </c>
      <c r="O41">
        <f>AND(N41&gt;=1.4,N41&lt;=13)</f>
        <v/>
      </c>
      <c r="P41">
        <f>IF(OR(N41&lt;1.4,N41&gt;13),"",IF(G41*1000&lt;=1170,IF(N41&lt;1.8,"1014",IF(N41&lt;2.9,"1018",IF(N41&lt;3.8,"1029",IF(N41&lt;5,"1038",IF(N41&lt;7,"1050",IF(N41&lt;9,"1070",IF(N41&lt;11,"1090","1110"))))))),IF(G41*1000&lt;=1570,IF(N41&lt;1.8,"",IF(N41&lt;2.9,"2018",IF(N41&lt;3.8,"2029",IF(N41&lt;5,"2038",IF(N41&lt;7,"2050",IF(N41&lt;9,"2070",IF(N41&lt;11,"2090","2110"))))))),IF(G41*1000&lt;=1700,IF(N41&lt;1.8,"",IF(N41&lt;2.9,"3018",IF(N41&lt;3.8,"3029",IF(N41&lt;5,"3038",IF(N41&lt;7,"3050",IF(N41&lt;9,"3070",IF(N41&lt;11,"3090","3110"))))))),""))))</f>
        <v/>
      </c>
      <c r="Q41">
        <f>AND(O41=TRUE,P41&lt;&gt;"")</f>
        <v/>
      </c>
      <c r="R41">
        <f>IF(G41*1000&lt;750,"なし","あり")</f>
        <v/>
      </c>
      <c r="S41">
        <f>IF(AND(O41=TRUE,Q41=TRUE),"設定可","BLOCK")</f>
        <v/>
      </c>
      <c r="T41" t="inlineStr">
        <is>
          <t>商品カタログ P194</t>
        </is>
      </c>
      <c r="U41" t="inlineStr">
        <is>
          <t>https://webcatalog.lixil.co.jp/iportal/CatalogDetail.do?catalogID=15191910000&amp;categoryID=1630000&amp;designID=newinter&amp;method=initial_screen&amp;position=18&amp;type=mc&amp;volumeID=LXL13001</t>
        </is>
      </c>
    </row>
    <row r="42">
      <c r="A42" t="inlineStr">
        <is>
          <t>WG-SL-00039</t>
        </is>
      </c>
      <c r="B42" t="inlineStr">
        <is>
          <t>SZ-SL-000950</t>
        </is>
      </c>
      <c r="C42" t="inlineStr">
        <is>
          <t>WT-SL-AGE-SAGE-FS</t>
        </is>
      </c>
      <c r="E42" t="inlineStr">
        <is>
          <t>03607</t>
        </is>
      </c>
      <c r="F42" t="n">
        <v>0.405</v>
      </c>
      <c r="G42" t="n">
        <v>0.77</v>
      </c>
      <c r="H42" t="inlineStr">
        <is>
          <t>GL-SL-003</t>
        </is>
      </c>
      <c r="I42" t="n">
        <v>8</v>
      </c>
      <c r="J42" t="n">
        <v>10.4</v>
      </c>
      <c r="K42" t="n">
        <v>-0.605</v>
      </c>
      <c r="L42" t="n">
        <v>-1.332</v>
      </c>
      <c r="M42" t="n">
        <v>0.399</v>
      </c>
      <c r="N42">
        <f>ROUND(J42*F42*G42+K42*G42+L42*F42+M42,3)</f>
        <v/>
      </c>
      <c r="O42">
        <f>AND(N42&gt;=1.4,N42&lt;=13)</f>
        <v/>
      </c>
      <c r="P42">
        <f>IF(OR(N42&lt;1.4,N42&gt;13),"",IF(G42*1000&lt;=1170,IF(N42&lt;1.8,"1014",IF(N42&lt;2.9,"1018",IF(N42&lt;3.8,"1029",IF(N42&lt;5,"1038",IF(N42&lt;7,"1050",IF(N42&lt;9,"1070",IF(N42&lt;11,"1090","1110"))))))),IF(G42*1000&lt;=1570,IF(N42&lt;1.8,"",IF(N42&lt;2.9,"2018",IF(N42&lt;3.8,"2029",IF(N42&lt;5,"2038",IF(N42&lt;7,"2050",IF(N42&lt;9,"2070",IF(N42&lt;11,"2090","2110"))))))),IF(G42*1000&lt;=1700,IF(N42&lt;1.8,"",IF(N42&lt;2.9,"3018",IF(N42&lt;3.8,"3029",IF(N42&lt;5,"3038",IF(N42&lt;7,"3050",IF(N42&lt;9,"3070",IF(N42&lt;11,"3090","3110"))))))),""))))</f>
        <v/>
      </c>
      <c r="Q42">
        <f>AND(O42=TRUE,P42&lt;&gt;"")</f>
        <v/>
      </c>
      <c r="R42">
        <f>IF(G42*1000&lt;750,"なし","あり")</f>
        <v/>
      </c>
      <c r="S42">
        <f>IF(AND(O42=TRUE,Q42=TRUE),"設定可","BLOCK")</f>
        <v/>
      </c>
      <c r="T42" t="inlineStr">
        <is>
          <t>商品カタログ P194</t>
        </is>
      </c>
      <c r="U42" t="inlineStr">
        <is>
          <t>https://webcatalog.lixil.co.jp/iportal/CatalogDetail.do?catalogID=15191910000&amp;categoryID=1630000&amp;designID=newinter&amp;method=initial_screen&amp;position=18&amp;type=mc&amp;volumeID=LXL13001</t>
        </is>
      </c>
    </row>
    <row r="43">
      <c r="A43" t="inlineStr">
        <is>
          <t>WG-SL-00040</t>
        </is>
      </c>
      <c r="B43" t="inlineStr">
        <is>
          <t>SZ-SL-000950</t>
        </is>
      </c>
      <c r="C43" t="inlineStr">
        <is>
          <t>WT-SL-AGE-SAGE-FS</t>
        </is>
      </c>
      <c r="E43" t="inlineStr">
        <is>
          <t>03607</t>
        </is>
      </c>
      <c r="F43" t="n">
        <v>0.405</v>
      </c>
      <c r="G43" t="n">
        <v>0.77</v>
      </c>
      <c r="H43" t="inlineStr">
        <is>
          <t>GL-SL-004</t>
        </is>
      </c>
      <c r="I43" t="n">
        <v>6</v>
      </c>
      <c r="J43" t="n">
        <v>7.8</v>
      </c>
      <c r="K43" t="n">
        <v>-0.355</v>
      </c>
      <c r="L43" t="n">
        <v>-0.664</v>
      </c>
      <c r="M43" t="n">
        <v>0.335</v>
      </c>
      <c r="N43">
        <f>ROUND(J43*F43*G43+K43*G43+L43*F43+M43,3)</f>
        <v/>
      </c>
      <c r="O43">
        <f>AND(N43&gt;=1.4,N43&lt;=13)</f>
        <v/>
      </c>
      <c r="P43">
        <f>IF(OR(N43&lt;1.4,N43&gt;13),"",IF(G43*1000&lt;=1170,IF(N43&lt;1.8,"1014",IF(N43&lt;2.9,"1018",IF(N43&lt;3.8,"1029",IF(N43&lt;5,"1038",IF(N43&lt;7,"1050",IF(N43&lt;9,"1070",IF(N43&lt;11,"1090","1110"))))))),IF(G43*1000&lt;=1570,IF(N43&lt;1.8,"",IF(N43&lt;2.9,"2018",IF(N43&lt;3.8,"2029",IF(N43&lt;5,"2038",IF(N43&lt;7,"2050",IF(N43&lt;9,"2070",IF(N43&lt;11,"2090","2110"))))))),IF(G43*1000&lt;=1700,IF(N43&lt;1.8,"",IF(N43&lt;2.9,"3018",IF(N43&lt;3.8,"3029",IF(N43&lt;5,"3038",IF(N43&lt;7,"3050",IF(N43&lt;9,"3070",IF(N43&lt;11,"3090","3110"))))))),""))))</f>
        <v/>
      </c>
      <c r="Q43">
        <f>AND(O43=TRUE,P43&lt;&gt;"")</f>
        <v/>
      </c>
      <c r="R43">
        <f>IF(G43*1000&lt;750,"なし","あり")</f>
        <v/>
      </c>
      <c r="S43">
        <f>IF(AND(O43=TRUE,Q43=TRUE),"設定可","BLOCK")</f>
        <v/>
      </c>
      <c r="T43" t="inlineStr">
        <is>
          <t>商品カタログ P194</t>
        </is>
      </c>
      <c r="U43" t="inlineStr">
        <is>
          <t>https://webcatalog.lixil.co.jp/iportal/CatalogDetail.do?catalogID=15191910000&amp;categoryID=1630000&amp;designID=newinter&amp;method=initial_screen&amp;position=18&amp;type=mc&amp;volumeID=LXL13001</t>
        </is>
      </c>
    </row>
    <row r="44">
      <c r="A44" t="inlineStr">
        <is>
          <t>WG-SL-00041</t>
        </is>
      </c>
      <c r="B44" t="inlineStr">
        <is>
          <t>SZ-SL-000950</t>
        </is>
      </c>
      <c r="C44" t="inlineStr">
        <is>
          <t>WT-SL-AGE-SAGE-FS</t>
        </is>
      </c>
      <c r="E44" t="inlineStr">
        <is>
          <t>03607</t>
        </is>
      </c>
      <c r="F44" t="n">
        <v>0.405</v>
      </c>
      <c r="G44" t="n">
        <v>0.77</v>
      </c>
      <c r="H44" t="inlineStr">
        <is>
          <t>GL-SL-005</t>
        </is>
      </c>
      <c r="I44" t="n">
        <v>7</v>
      </c>
      <c r="J44" t="n">
        <v>9.1</v>
      </c>
      <c r="K44" t="n">
        <v>-0.48</v>
      </c>
      <c r="L44" t="n">
        <v>-0.998</v>
      </c>
      <c r="M44" t="n">
        <v>0.367</v>
      </c>
      <c r="N44">
        <f>ROUND(J44*F44*G44+K44*G44+L44*F44+M44,3)</f>
        <v/>
      </c>
      <c r="O44">
        <f>AND(N44&gt;=1.4,N44&lt;=13)</f>
        <v/>
      </c>
      <c r="P44">
        <f>IF(OR(N44&lt;1.4,N44&gt;13),"",IF(G44*1000&lt;=1170,IF(N44&lt;1.8,"1014",IF(N44&lt;2.9,"1018",IF(N44&lt;3.8,"1029",IF(N44&lt;5,"1038",IF(N44&lt;7,"1050",IF(N44&lt;9,"1070",IF(N44&lt;11,"1090","1110"))))))),IF(G44*1000&lt;=1570,IF(N44&lt;1.8,"",IF(N44&lt;2.9,"2018",IF(N44&lt;3.8,"2029",IF(N44&lt;5,"2038",IF(N44&lt;7,"2050",IF(N44&lt;9,"2070",IF(N44&lt;11,"2090","2110"))))))),IF(G44*1000&lt;=1700,IF(N44&lt;1.8,"",IF(N44&lt;2.9,"3018",IF(N44&lt;3.8,"3029",IF(N44&lt;5,"3038",IF(N44&lt;7,"3050",IF(N44&lt;9,"3070",IF(N44&lt;11,"3090","3110"))))))),""))))</f>
        <v/>
      </c>
      <c r="Q44">
        <f>AND(O44=TRUE,P44&lt;&gt;"")</f>
        <v/>
      </c>
      <c r="R44">
        <f>IF(G44*1000&lt;750,"なし","あり")</f>
        <v/>
      </c>
      <c r="S44">
        <f>IF(AND(O44=TRUE,Q44=TRUE),"設定可","BLOCK")</f>
        <v/>
      </c>
      <c r="T44" t="inlineStr">
        <is>
          <t>商品カタログ P194</t>
        </is>
      </c>
      <c r="U44" t="inlineStr">
        <is>
          <t>https://webcatalog.lixil.co.jp/iportal/CatalogDetail.do?catalogID=15191910000&amp;categoryID=1630000&amp;designID=newinter&amp;method=initial_screen&amp;position=18&amp;type=mc&amp;volumeID=LXL13001</t>
        </is>
      </c>
    </row>
    <row r="45">
      <c r="A45" t="inlineStr">
        <is>
          <t>WG-SL-00042</t>
        </is>
      </c>
      <c r="B45" t="inlineStr">
        <is>
          <t>SZ-SL-000950</t>
        </is>
      </c>
      <c r="C45" t="inlineStr">
        <is>
          <t>WT-SL-AGE-SAGE-FS</t>
        </is>
      </c>
      <c r="E45" t="inlineStr">
        <is>
          <t>03607</t>
        </is>
      </c>
      <c r="F45" t="n">
        <v>0.405</v>
      </c>
      <c r="G45" t="n">
        <v>0.77</v>
      </c>
      <c r="H45" t="inlineStr">
        <is>
          <t>GL-SL-006</t>
        </is>
      </c>
      <c r="I45" t="n">
        <v>8</v>
      </c>
      <c r="J45" t="n">
        <v>10.4</v>
      </c>
      <c r="K45" t="n">
        <v>-0.605</v>
      </c>
      <c r="L45" t="n">
        <v>-1.332</v>
      </c>
      <c r="M45" t="n">
        <v>0.399</v>
      </c>
      <c r="N45">
        <f>ROUND(J45*F45*G45+K45*G45+L45*F45+M45,3)</f>
        <v/>
      </c>
      <c r="O45">
        <f>AND(N45&gt;=1.4,N45&lt;=13)</f>
        <v/>
      </c>
      <c r="P45">
        <f>IF(OR(N45&lt;1.4,N45&gt;13),"",IF(G45*1000&lt;=1170,IF(N45&lt;1.8,"1014",IF(N45&lt;2.9,"1018",IF(N45&lt;3.8,"1029",IF(N45&lt;5,"1038",IF(N45&lt;7,"1050",IF(N45&lt;9,"1070",IF(N45&lt;11,"1090","1110"))))))),IF(G45*1000&lt;=1570,IF(N45&lt;1.8,"",IF(N45&lt;2.9,"2018",IF(N45&lt;3.8,"2029",IF(N45&lt;5,"2038",IF(N45&lt;7,"2050",IF(N45&lt;9,"2070",IF(N45&lt;11,"2090","2110"))))))),IF(G45*1000&lt;=1700,IF(N45&lt;1.8,"",IF(N45&lt;2.9,"3018",IF(N45&lt;3.8,"3029",IF(N45&lt;5,"3038",IF(N45&lt;7,"3050",IF(N45&lt;9,"3070",IF(N45&lt;11,"3090","3110"))))))),""))))</f>
        <v/>
      </c>
      <c r="Q45">
        <f>AND(O45=TRUE,P45&lt;&gt;"")</f>
        <v/>
      </c>
      <c r="R45">
        <f>IF(G45*1000&lt;750,"なし","あり")</f>
        <v/>
      </c>
      <c r="S45">
        <f>IF(AND(O45=TRUE,Q45=TRUE),"設定可","BLOCK")</f>
        <v/>
      </c>
      <c r="T45" t="inlineStr">
        <is>
          <t>商品カタログ P194</t>
        </is>
      </c>
      <c r="U45" t="inlineStr">
        <is>
          <t>https://webcatalog.lixil.co.jp/iportal/CatalogDetail.do?catalogID=15191910000&amp;categoryID=1630000&amp;designID=newinter&amp;method=initial_screen&amp;position=18&amp;type=mc&amp;volumeID=LXL13001</t>
        </is>
      </c>
    </row>
    <row r="46">
      <c r="A46" t="inlineStr">
        <is>
          <t>WG-SL-00043</t>
        </is>
      </c>
      <c r="B46" t="inlineStr">
        <is>
          <t>SZ-SL-000950</t>
        </is>
      </c>
      <c r="C46" t="inlineStr">
        <is>
          <t>WT-SL-AGE-SAGE-FS</t>
        </is>
      </c>
      <c r="E46" t="inlineStr">
        <is>
          <t>03607</t>
        </is>
      </c>
      <c r="F46" t="n">
        <v>0.405</v>
      </c>
      <c r="G46" t="n">
        <v>0.77</v>
      </c>
      <c r="H46" t="inlineStr">
        <is>
          <t>GL-SL-007</t>
        </is>
      </c>
      <c r="I46" t="n">
        <v>6</v>
      </c>
      <c r="J46" t="n">
        <v>7.8</v>
      </c>
      <c r="K46" t="n">
        <v>-0.355</v>
      </c>
      <c r="L46" t="n">
        <v>-0.664</v>
      </c>
      <c r="M46" t="n">
        <v>0.335</v>
      </c>
      <c r="N46">
        <f>ROUND(J46*F46*G46+K46*G46+L46*F46+M46,3)</f>
        <v/>
      </c>
      <c r="O46">
        <f>AND(N46&gt;=1.4,N46&lt;=13)</f>
        <v/>
      </c>
      <c r="P46">
        <f>IF(OR(N46&lt;1.4,N46&gt;13),"",IF(G46*1000&lt;=1170,IF(N46&lt;1.8,"1014",IF(N46&lt;2.9,"1018",IF(N46&lt;3.8,"1029",IF(N46&lt;5,"1038",IF(N46&lt;7,"1050",IF(N46&lt;9,"1070",IF(N46&lt;11,"1090","1110"))))))),IF(G46*1000&lt;=1570,IF(N46&lt;1.8,"",IF(N46&lt;2.9,"2018",IF(N46&lt;3.8,"2029",IF(N46&lt;5,"2038",IF(N46&lt;7,"2050",IF(N46&lt;9,"2070",IF(N46&lt;11,"2090","2110"))))))),IF(G46*1000&lt;=1700,IF(N46&lt;1.8,"",IF(N46&lt;2.9,"3018",IF(N46&lt;3.8,"3029",IF(N46&lt;5,"3038",IF(N46&lt;7,"3050",IF(N46&lt;9,"3070",IF(N46&lt;11,"3090","3110"))))))),""))))</f>
        <v/>
      </c>
      <c r="Q46">
        <f>AND(O46=TRUE,P46&lt;&gt;"")</f>
        <v/>
      </c>
      <c r="R46">
        <f>IF(G46*1000&lt;750,"なし","あり")</f>
        <v/>
      </c>
      <c r="S46">
        <f>IF(AND(O46=TRUE,Q46=TRUE),"設定可","BLOCK")</f>
        <v/>
      </c>
      <c r="T46" t="inlineStr">
        <is>
          <t>商品カタログ P194</t>
        </is>
      </c>
      <c r="U46" t="inlineStr">
        <is>
          <t>https://webcatalog.lixil.co.jp/iportal/CatalogDetail.do?catalogID=15191910000&amp;categoryID=1630000&amp;designID=newinter&amp;method=initial_screen&amp;position=18&amp;type=mc&amp;volumeID=LXL13001</t>
        </is>
      </c>
    </row>
    <row r="47">
      <c r="A47" t="inlineStr">
        <is>
          <t>WG-SL-00044</t>
        </is>
      </c>
      <c r="B47" t="inlineStr">
        <is>
          <t>SZ-SL-000950</t>
        </is>
      </c>
      <c r="C47" t="inlineStr">
        <is>
          <t>WT-SL-AGE-SAGE-FS</t>
        </is>
      </c>
      <c r="E47" t="inlineStr">
        <is>
          <t>03607</t>
        </is>
      </c>
      <c r="F47" t="n">
        <v>0.405</v>
      </c>
      <c r="G47" t="n">
        <v>0.77</v>
      </c>
      <c r="H47" t="inlineStr">
        <is>
          <t>GL-SL-008</t>
        </is>
      </c>
      <c r="I47" t="n">
        <v>7</v>
      </c>
      <c r="J47" t="n">
        <v>9.1</v>
      </c>
      <c r="K47" t="n">
        <v>-0.48</v>
      </c>
      <c r="L47" t="n">
        <v>-0.998</v>
      </c>
      <c r="M47" t="n">
        <v>0.367</v>
      </c>
      <c r="N47">
        <f>ROUND(J47*F47*G47+K47*G47+L47*F47+M47,3)</f>
        <v/>
      </c>
      <c r="O47">
        <f>AND(N47&gt;=1.4,N47&lt;=13)</f>
        <v/>
      </c>
      <c r="P47">
        <f>IF(OR(N47&lt;1.4,N47&gt;13),"",IF(G47*1000&lt;=1170,IF(N47&lt;1.8,"1014",IF(N47&lt;2.9,"1018",IF(N47&lt;3.8,"1029",IF(N47&lt;5,"1038",IF(N47&lt;7,"1050",IF(N47&lt;9,"1070",IF(N47&lt;11,"1090","1110"))))))),IF(G47*1000&lt;=1570,IF(N47&lt;1.8,"",IF(N47&lt;2.9,"2018",IF(N47&lt;3.8,"2029",IF(N47&lt;5,"2038",IF(N47&lt;7,"2050",IF(N47&lt;9,"2070",IF(N47&lt;11,"2090","2110"))))))),IF(G47*1000&lt;=1700,IF(N47&lt;1.8,"",IF(N47&lt;2.9,"3018",IF(N47&lt;3.8,"3029",IF(N47&lt;5,"3038",IF(N47&lt;7,"3050",IF(N47&lt;9,"3070",IF(N47&lt;11,"3090","3110"))))))),""))))</f>
        <v/>
      </c>
      <c r="Q47">
        <f>AND(O47=TRUE,P47&lt;&gt;"")</f>
        <v/>
      </c>
      <c r="R47">
        <f>IF(G47*1000&lt;750,"なし","あり")</f>
        <v/>
      </c>
      <c r="S47">
        <f>IF(AND(O47=TRUE,Q47=TRUE),"設定可","BLOCK")</f>
        <v/>
      </c>
      <c r="T47" t="inlineStr">
        <is>
          <t>商品カタログ P194</t>
        </is>
      </c>
      <c r="U47" t="inlineStr">
        <is>
          <t>https://webcatalog.lixil.co.jp/iportal/CatalogDetail.do?catalogID=15191910000&amp;categoryID=1630000&amp;designID=newinter&amp;method=initial_screen&amp;position=18&amp;type=mc&amp;volumeID=LXL13001</t>
        </is>
      </c>
    </row>
    <row r="48">
      <c r="A48" t="inlineStr">
        <is>
          <t>WG-SL-00045</t>
        </is>
      </c>
      <c r="B48" t="inlineStr">
        <is>
          <t>SZ-SL-000950</t>
        </is>
      </c>
      <c r="C48" t="inlineStr">
        <is>
          <t>WT-SL-AGE-SAGE-FS</t>
        </is>
      </c>
      <c r="E48" t="inlineStr">
        <is>
          <t>03607</t>
        </is>
      </c>
      <c r="F48" t="n">
        <v>0.405</v>
      </c>
      <c r="G48" t="n">
        <v>0.77</v>
      </c>
      <c r="H48" t="inlineStr">
        <is>
          <t>GL-SL-009</t>
        </is>
      </c>
      <c r="I48" t="n">
        <v>8</v>
      </c>
      <c r="J48" t="n">
        <v>10.4</v>
      </c>
      <c r="K48" t="n">
        <v>-0.605</v>
      </c>
      <c r="L48" t="n">
        <v>-1.332</v>
      </c>
      <c r="M48" t="n">
        <v>0.399</v>
      </c>
      <c r="N48">
        <f>ROUND(J48*F48*G48+K48*G48+L48*F48+M48,3)</f>
        <v/>
      </c>
      <c r="O48">
        <f>AND(N48&gt;=1.4,N48&lt;=13)</f>
        <v/>
      </c>
      <c r="P48">
        <f>IF(OR(N48&lt;1.4,N48&gt;13),"",IF(G48*1000&lt;=1170,IF(N48&lt;1.8,"1014",IF(N48&lt;2.9,"1018",IF(N48&lt;3.8,"1029",IF(N48&lt;5,"1038",IF(N48&lt;7,"1050",IF(N48&lt;9,"1070",IF(N48&lt;11,"1090","1110"))))))),IF(G48*1000&lt;=1570,IF(N48&lt;1.8,"",IF(N48&lt;2.9,"2018",IF(N48&lt;3.8,"2029",IF(N48&lt;5,"2038",IF(N48&lt;7,"2050",IF(N48&lt;9,"2070",IF(N48&lt;11,"2090","2110"))))))),IF(G48*1000&lt;=1700,IF(N48&lt;1.8,"",IF(N48&lt;2.9,"3018",IF(N48&lt;3.8,"3029",IF(N48&lt;5,"3038",IF(N48&lt;7,"3050",IF(N48&lt;9,"3070",IF(N48&lt;11,"3090","3110"))))))),""))))</f>
        <v/>
      </c>
      <c r="Q48">
        <f>AND(O48=TRUE,P48&lt;&gt;"")</f>
        <v/>
      </c>
      <c r="R48">
        <f>IF(G48*1000&lt;750,"なし","あり")</f>
        <v/>
      </c>
      <c r="S48">
        <f>IF(AND(O48=TRUE,Q48=TRUE),"設定可","BLOCK")</f>
        <v/>
      </c>
      <c r="T48" t="inlineStr">
        <is>
          <t>商品カタログ P194</t>
        </is>
      </c>
      <c r="U48" t="inlineStr">
        <is>
          <t>https://webcatalog.lixil.co.jp/iportal/CatalogDetail.do?catalogID=15191910000&amp;categoryID=1630000&amp;designID=newinter&amp;method=initial_screen&amp;position=18&amp;type=mc&amp;volumeID=LXL13001</t>
        </is>
      </c>
    </row>
    <row r="49">
      <c r="A49" t="inlineStr">
        <is>
          <t>WG-SL-00046</t>
        </is>
      </c>
      <c r="B49" t="inlineStr">
        <is>
          <t>SZ-SL-000951</t>
        </is>
      </c>
      <c r="C49" t="inlineStr">
        <is>
          <t>WT-SL-AGE-SAGE-FS</t>
        </is>
      </c>
      <c r="E49" t="inlineStr">
        <is>
          <t>03609</t>
        </is>
      </c>
      <c r="F49" t="n">
        <v>0.405</v>
      </c>
      <c r="G49" t="n">
        <v>0.97</v>
      </c>
      <c r="H49" t="inlineStr">
        <is>
          <t>GL-SL-001</t>
        </is>
      </c>
      <c r="I49" t="n">
        <v>6</v>
      </c>
      <c r="J49" t="n">
        <v>7.8</v>
      </c>
      <c r="K49" t="n">
        <v>-0.355</v>
      </c>
      <c r="L49" t="n">
        <v>-0.664</v>
      </c>
      <c r="M49" t="n">
        <v>0.335</v>
      </c>
      <c r="N49">
        <f>ROUND(J49*F49*G49+K49*G49+L49*F49+M49,3)</f>
        <v/>
      </c>
      <c r="O49">
        <f>AND(N49&gt;=1.4,N49&lt;=13)</f>
        <v/>
      </c>
      <c r="P49">
        <f>IF(OR(N49&lt;1.4,N49&gt;13),"",IF(G49*1000&lt;=1170,IF(N49&lt;1.8,"1014",IF(N49&lt;2.9,"1018",IF(N49&lt;3.8,"1029",IF(N49&lt;5,"1038",IF(N49&lt;7,"1050",IF(N49&lt;9,"1070",IF(N49&lt;11,"1090","1110"))))))),IF(G49*1000&lt;=1570,IF(N49&lt;1.8,"",IF(N49&lt;2.9,"2018",IF(N49&lt;3.8,"2029",IF(N49&lt;5,"2038",IF(N49&lt;7,"2050",IF(N49&lt;9,"2070",IF(N49&lt;11,"2090","2110"))))))),IF(G49*1000&lt;=1700,IF(N49&lt;1.8,"",IF(N49&lt;2.9,"3018",IF(N49&lt;3.8,"3029",IF(N49&lt;5,"3038",IF(N49&lt;7,"3050",IF(N49&lt;9,"3070",IF(N49&lt;11,"3090","3110"))))))),""))))</f>
        <v/>
      </c>
      <c r="Q49">
        <f>AND(O49=TRUE,P49&lt;&gt;"")</f>
        <v/>
      </c>
      <c r="R49">
        <f>IF(G49*1000&lt;750,"なし","あり")</f>
        <v/>
      </c>
      <c r="S49">
        <f>IF(AND(O49=TRUE,Q49=TRUE),"設定可","BLOCK")</f>
        <v/>
      </c>
      <c r="T49" t="inlineStr">
        <is>
          <t>商品カタログ P194</t>
        </is>
      </c>
      <c r="U49" t="inlineStr">
        <is>
          <t>https://webcatalog.lixil.co.jp/iportal/CatalogDetail.do?catalogID=15191910000&amp;categoryID=1630000&amp;designID=newinter&amp;method=initial_screen&amp;position=18&amp;type=mc&amp;volumeID=LXL13001</t>
        </is>
      </c>
    </row>
    <row r="50">
      <c r="A50" t="inlineStr">
        <is>
          <t>WG-SL-00047</t>
        </is>
      </c>
      <c r="B50" t="inlineStr">
        <is>
          <t>SZ-SL-000951</t>
        </is>
      </c>
      <c r="C50" t="inlineStr">
        <is>
          <t>WT-SL-AGE-SAGE-FS</t>
        </is>
      </c>
      <c r="E50" t="inlineStr">
        <is>
          <t>03609</t>
        </is>
      </c>
      <c r="F50" t="n">
        <v>0.405</v>
      </c>
      <c r="G50" t="n">
        <v>0.97</v>
      </c>
      <c r="H50" t="inlineStr">
        <is>
          <t>GL-SL-002</t>
        </is>
      </c>
      <c r="I50" t="n">
        <v>7</v>
      </c>
      <c r="J50" t="n">
        <v>9.1</v>
      </c>
      <c r="K50" t="n">
        <v>-0.48</v>
      </c>
      <c r="L50" t="n">
        <v>-0.998</v>
      </c>
      <c r="M50" t="n">
        <v>0.367</v>
      </c>
      <c r="N50">
        <f>ROUND(J50*F50*G50+K50*G50+L50*F50+M50,3)</f>
        <v/>
      </c>
      <c r="O50">
        <f>AND(N50&gt;=1.4,N50&lt;=13)</f>
        <v/>
      </c>
      <c r="P50">
        <f>IF(OR(N50&lt;1.4,N50&gt;13),"",IF(G50*1000&lt;=1170,IF(N50&lt;1.8,"1014",IF(N50&lt;2.9,"1018",IF(N50&lt;3.8,"1029",IF(N50&lt;5,"1038",IF(N50&lt;7,"1050",IF(N50&lt;9,"1070",IF(N50&lt;11,"1090","1110"))))))),IF(G50*1000&lt;=1570,IF(N50&lt;1.8,"",IF(N50&lt;2.9,"2018",IF(N50&lt;3.8,"2029",IF(N50&lt;5,"2038",IF(N50&lt;7,"2050",IF(N50&lt;9,"2070",IF(N50&lt;11,"2090","2110"))))))),IF(G50*1000&lt;=1700,IF(N50&lt;1.8,"",IF(N50&lt;2.9,"3018",IF(N50&lt;3.8,"3029",IF(N50&lt;5,"3038",IF(N50&lt;7,"3050",IF(N50&lt;9,"3070",IF(N50&lt;11,"3090","3110"))))))),""))))</f>
        <v/>
      </c>
      <c r="Q50">
        <f>AND(O50=TRUE,P50&lt;&gt;"")</f>
        <v/>
      </c>
      <c r="R50">
        <f>IF(G50*1000&lt;750,"なし","あり")</f>
        <v/>
      </c>
      <c r="S50">
        <f>IF(AND(O50=TRUE,Q50=TRUE),"設定可","BLOCK")</f>
        <v/>
      </c>
      <c r="T50" t="inlineStr">
        <is>
          <t>商品カタログ P194</t>
        </is>
      </c>
      <c r="U50" t="inlineStr">
        <is>
          <t>https://webcatalog.lixil.co.jp/iportal/CatalogDetail.do?catalogID=15191910000&amp;categoryID=1630000&amp;designID=newinter&amp;method=initial_screen&amp;position=18&amp;type=mc&amp;volumeID=LXL13001</t>
        </is>
      </c>
    </row>
    <row r="51">
      <c r="A51" t="inlineStr">
        <is>
          <t>WG-SL-00048</t>
        </is>
      </c>
      <c r="B51" t="inlineStr">
        <is>
          <t>SZ-SL-000951</t>
        </is>
      </c>
      <c r="C51" t="inlineStr">
        <is>
          <t>WT-SL-AGE-SAGE-FS</t>
        </is>
      </c>
      <c r="E51" t="inlineStr">
        <is>
          <t>03609</t>
        </is>
      </c>
      <c r="F51" t="n">
        <v>0.405</v>
      </c>
      <c r="G51" t="n">
        <v>0.97</v>
      </c>
      <c r="H51" t="inlineStr">
        <is>
          <t>GL-SL-003</t>
        </is>
      </c>
      <c r="I51" t="n">
        <v>8</v>
      </c>
      <c r="J51" t="n">
        <v>10.4</v>
      </c>
      <c r="K51" t="n">
        <v>-0.605</v>
      </c>
      <c r="L51" t="n">
        <v>-1.332</v>
      </c>
      <c r="M51" t="n">
        <v>0.399</v>
      </c>
      <c r="N51">
        <f>ROUND(J51*F51*G51+K51*G51+L51*F51+M51,3)</f>
        <v/>
      </c>
      <c r="O51">
        <f>AND(N51&gt;=1.4,N51&lt;=13)</f>
        <v/>
      </c>
      <c r="P51">
        <f>IF(OR(N51&lt;1.4,N51&gt;13),"",IF(G51*1000&lt;=1170,IF(N51&lt;1.8,"1014",IF(N51&lt;2.9,"1018",IF(N51&lt;3.8,"1029",IF(N51&lt;5,"1038",IF(N51&lt;7,"1050",IF(N51&lt;9,"1070",IF(N51&lt;11,"1090","1110"))))))),IF(G51*1000&lt;=1570,IF(N51&lt;1.8,"",IF(N51&lt;2.9,"2018",IF(N51&lt;3.8,"2029",IF(N51&lt;5,"2038",IF(N51&lt;7,"2050",IF(N51&lt;9,"2070",IF(N51&lt;11,"2090","2110"))))))),IF(G51*1000&lt;=1700,IF(N51&lt;1.8,"",IF(N51&lt;2.9,"3018",IF(N51&lt;3.8,"3029",IF(N51&lt;5,"3038",IF(N51&lt;7,"3050",IF(N51&lt;9,"3070",IF(N51&lt;11,"3090","3110"))))))),""))))</f>
        <v/>
      </c>
      <c r="Q51">
        <f>AND(O51=TRUE,P51&lt;&gt;"")</f>
        <v/>
      </c>
      <c r="R51">
        <f>IF(G51*1000&lt;750,"なし","あり")</f>
        <v/>
      </c>
      <c r="S51">
        <f>IF(AND(O51=TRUE,Q51=TRUE),"設定可","BLOCK")</f>
        <v/>
      </c>
      <c r="T51" t="inlineStr">
        <is>
          <t>商品カタログ P194</t>
        </is>
      </c>
      <c r="U51" t="inlineStr">
        <is>
          <t>https://webcatalog.lixil.co.jp/iportal/CatalogDetail.do?catalogID=15191910000&amp;categoryID=1630000&amp;designID=newinter&amp;method=initial_screen&amp;position=18&amp;type=mc&amp;volumeID=LXL13001</t>
        </is>
      </c>
    </row>
    <row r="52">
      <c r="A52" t="inlineStr">
        <is>
          <t>WG-SL-00049</t>
        </is>
      </c>
      <c r="B52" t="inlineStr">
        <is>
          <t>SZ-SL-000951</t>
        </is>
      </c>
      <c r="C52" t="inlineStr">
        <is>
          <t>WT-SL-AGE-SAGE-FS</t>
        </is>
      </c>
      <c r="E52" t="inlineStr">
        <is>
          <t>03609</t>
        </is>
      </c>
      <c r="F52" t="n">
        <v>0.405</v>
      </c>
      <c r="G52" t="n">
        <v>0.97</v>
      </c>
      <c r="H52" t="inlineStr">
        <is>
          <t>GL-SL-004</t>
        </is>
      </c>
      <c r="I52" t="n">
        <v>6</v>
      </c>
      <c r="J52" t="n">
        <v>7.8</v>
      </c>
      <c r="K52" t="n">
        <v>-0.355</v>
      </c>
      <c r="L52" t="n">
        <v>-0.664</v>
      </c>
      <c r="M52" t="n">
        <v>0.335</v>
      </c>
      <c r="N52">
        <f>ROUND(J52*F52*G52+K52*G52+L52*F52+M52,3)</f>
        <v/>
      </c>
      <c r="O52">
        <f>AND(N52&gt;=1.4,N52&lt;=13)</f>
        <v/>
      </c>
      <c r="P52">
        <f>IF(OR(N52&lt;1.4,N52&gt;13),"",IF(G52*1000&lt;=1170,IF(N52&lt;1.8,"1014",IF(N52&lt;2.9,"1018",IF(N52&lt;3.8,"1029",IF(N52&lt;5,"1038",IF(N52&lt;7,"1050",IF(N52&lt;9,"1070",IF(N52&lt;11,"1090","1110"))))))),IF(G52*1000&lt;=1570,IF(N52&lt;1.8,"",IF(N52&lt;2.9,"2018",IF(N52&lt;3.8,"2029",IF(N52&lt;5,"2038",IF(N52&lt;7,"2050",IF(N52&lt;9,"2070",IF(N52&lt;11,"2090","2110"))))))),IF(G52*1000&lt;=1700,IF(N52&lt;1.8,"",IF(N52&lt;2.9,"3018",IF(N52&lt;3.8,"3029",IF(N52&lt;5,"3038",IF(N52&lt;7,"3050",IF(N52&lt;9,"3070",IF(N52&lt;11,"3090","3110"))))))),""))))</f>
        <v/>
      </c>
      <c r="Q52">
        <f>AND(O52=TRUE,P52&lt;&gt;"")</f>
        <v/>
      </c>
      <c r="R52">
        <f>IF(G52*1000&lt;750,"なし","あり")</f>
        <v/>
      </c>
      <c r="S52">
        <f>IF(AND(O52=TRUE,Q52=TRUE),"設定可","BLOCK")</f>
        <v/>
      </c>
      <c r="T52" t="inlineStr">
        <is>
          <t>商品カタログ P194</t>
        </is>
      </c>
      <c r="U52" t="inlineStr">
        <is>
          <t>https://webcatalog.lixil.co.jp/iportal/CatalogDetail.do?catalogID=15191910000&amp;categoryID=1630000&amp;designID=newinter&amp;method=initial_screen&amp;position=18&amp;type=mc&amp;volumeID=LXL13001</t>
        </is>
      </c>
    </row>
    <row r="53">
      <c r="A53" t="inlineStr">
        <is>
          <t>WG-SL-00050</t>
        </is>
      </c>
      <c r="B53" t="inlineStr">
        <is>
          <t>SZ-SL-000951</t>
        </is>
      </c>
      <c r="C53" t="inlineStr">
        <is>
          <t>WT-SL-AGE-SAGE-FS</t>
        </is>
      </c>
      <c r="E53" t="inlineStr">
        <is>
          <t>03609</t>
        </is>
      </c>
      <c r="F53" t="n">
        <v>0.405</v>
      </c>
      <c r="G53" t="n">
        <v>0.97</v>
      </c>
      <c r="H53" t="inlineStr">
        <is>
          <t>GL-SL-005</t>
        </is>
      </c>
      <c r="I53" t="n">
        <v>7</v>
      </c>
      <c r="J53" t="n">
        <v>9.1</v>
      </c>
      <c r="K53" t="n">
        <v>-0.48</v>
      </c>
      <c r="L53" t="n">
        <v>-0.998</v>
      </c>
      <c r="M53" t="n">
        <v>0.367</v>
      </c>
      <c r="N53">
        <f>ROUND(J53*F53*G53+K53*G53+L53*F53+M53,3)</f>
        <v/>
      </c>
      <c r="O53">
        <f>AND(N53&gt;=1.4,N53&lt;=13)</f>
        <v/>
      </c>
      <c r="P53">
        <f>IF(OR(N53&lt;1.4,N53&gt;13),"",IF(G53*1000&lt;=1170,IF(N53&lt;1.8,"1014",IF(N53&lt;2.9,"1018",IF(N53&lt;3.8,"1029",IF(N53&lt;5,"1038",IF(N53&lt;7,"1050",IF(N53&lt;9,"1070",IF(N53&lt;11,"1090","1110"))))))),IF(G53*1000&lt;=1570,IF(N53&lt;1.8,"",IF(N53&lt;2.9,"2018",IF(N53&lt;3.8,"2029",IF(N53&lt;5,"2038",IF(N53&lt;7,"2050",IF(N53&lt;9,"2070",IF(N53&lt;11,"2090","2110"))))))),IF(G53*1000&lt;=1700,IF(N53&lt;1.8,"",IF(N53&lt;2.9,"3018",IF(N53&lt;3.8,"3029",IF(N53&lt;5,"3038",IF(N53&lt;7,"3050",IF(N53&lt;9,"3070",IF(N53&lt;11,"3090","3110"))))))),""))))</f>
        <v/>
      </c>
      <c r="Q53">
        <f>AND(O53=TRUE,P53&lt;&gt;"")</f>
        <v/>
      </c>
      <c r="R53">
        <f>IF(G53*1000&lt;750,"なし","あり")</f>
        <v/>
      </c>
      <c r="S53">
        <f>IF(AND(O53=TRUE,Q53=TRUE),"設定可","BLOCK")</f>
        <v/>
      </c>
      <c r="T53" t="inlineStr">
        <is>
          <t>商品カタログ P194</t>
        </is>
      </c>
      <c r="U53" t="inlineStr">
        <is>
          <t>https://webcatalog.lixil.co.jp/iportal/CatalogDetail.do?catalogID=15191910000&amp;categoryID=1630000&amp;designID=newinter&amp;method=initial_screen&amp;position=18&amp;type=mc&amp;volumeID=LXL13001</t>
        </is>
      </c>
    </row>
    <row r="54">
      <c r="A54" t="inlineStr">
        <is>
          <t>WG-SL-00051</t>
        </is>
      </c>
      <c r="B54" t="inlineStr">
        <is>
          <t>SZ-SL-000951</t>
        </is>
      </c>
      <c r="C54" t="inlineStr">
        <is>
          <t>WT-SL-AGE-SAGE-FS</t>
        </is>
      </c>
      <c r="E54" t="inlineStr">
        <is>
          <t>03609</t>
        </is>
      </c>
      <c r="F54" t="n">
        <v>0.405</v>
      </c>
      <c r="G54" t="n">
        <v>0.97</v>
      </c>
      <c r="H54" t="inlineStr">
        <is>
          <t>GL-SL-006</t>
        </is>
      </c>
      <c r="I54" t="n">
        <v>8</v>
      </c>
      <c r="J54" t="n">
        <v>10.4</v>
      </c>
      <c r="K54" t="n">
        <v>-0.605</v>
      </c>
      <c r="L54" t="n">
        <v>-1.332</v>
      </c>
      <c r="M54" t="n">
        <v>0.399</v>
      </c>
      <c r="N54">
        <f>ROUND(J54*F54*G54+K54*G54+L54*F54+M54,3)</f>
        <v/>
      </c>
      <c r="O54">
        <f>AND(N54&gt;=1.4,N54&lt;=13)</f>
        <v/>
      </c>
      <c r="P54">
        <f>IF(OR(N54&lt;1.4,N54&gt;13),"",IF(G54*1000&lt;=1170,IF(N54&lt;1.8,"1014",IF(N54&lt;2.9,"1018",IF(N54&lt;3.8,"1029",IF(N54&lt;5,"1038",IF(N54&lt;7,"1050",IF(N54&lt;9,"1070",IF(N54&lt;11,"1090","1110"))))))),IF(G54*1000&lt;=1570,IF(N54&lt;1.8,"",IF(N54&lt;2.9,"2018",IF(N54&lt;3.8,"2029",IF(N54&lt;5,"2038",IF(N54&lt;7,"2050",IF(N54&lt;9,"2070",IF(N54&lt;11,"2090","2110"))))))),IF(G54*1000&lt;=1700,IF(N54&lt;1.8,"",IF(N54&lt;2.9,"3018",IF(N54&lt;3.8,"3029",IF(N54&lt;5,"3038",IF(N54&lt;7,"3050",IF(N54&lt;9,"3070",IF(N54&lt;11,"3090","3110"))))))),""))))</f>
        <v/>
      </c>
      <c r="Q54">
        <f>AND(O54=TRUE,P54&lt;&gt;"")</f>
        <v/>
      </c>
      <c r="R54">
        <f>IF(G54*1000&lt;750,"なし","あり")</f>
        <v/>
      </c>
      <c r="S54">
        <f>IF(AND(O54=TRUE,Q54=TRUE),"設定可","BLOCK")</f>
        <v/>
      </c>
      <c r="T54" t="inlineStr">
        <is>
          <t>商品カタログ P194</t>
        </is>
      </c>
      <c r="U54" t="inlineStr">
        <is>
          <t>https://webcatalog.lixil.co.jp/iportal/CatalogDetail.do?catalogID=15191910000&amp;categoryID=1630000&amp;designID=newinter&amp;method=initial_screen&amp;position=18&amp;type=mc&amp;volumeID=LXL13001</t>
        </is>
      </c>
    </row>
    <row r="55">
      <c r="A55" t="inlineStr">
        <is>
          <t>WG-SL-00052</t>
        </is>
      </c>
      <c r="B55" t="inlineStr">
        <is>
          <t>SZ-SL-000951</t>
        </is>
      </c>
      <c r="C55" t="inlineStr">
        <is>
          <t>WT-SL-AGE-SAGE-FS</t>
        </is>
      </c>
      <c r="E55" t="inlineStr">
        <is>
          <t>03609</t>
        </is>
      </c>
      <c r="F55" t="n">
        <v>0.405</v>
      </c>
      <c r="G55" t="n">
        <v>0.97</v>
      </c>
      <c r="H55" t="inlineStr">
        <is>
          <t>GL-SL-007</t>
        </is>
      </c>
      <c r="I55" t="n">
        <v>6</v>
      </c>
      <c r="J55" t="n">
        <v>7.8</v>
      </c>
      <c r="K55" t="n">
        <v>-0.355</v>
      </c>
      <c r="L55" t="n">
        <v>-0.664</v>
      </c>
      <c r="M55" t="n">
        <v>0.335</v>
      </c>
      <c r="N55">
        <f>ROUND(J55*F55*G55+K55*G55+L55*F55+M55,3)</f>
        <v/>
      </c>
      <c r="O55">
        <f>AND(N55&gt;=1.4,N55&lt;=13)</f>
        <v/>
      </c>
      <c r="P55">
        <f>IF(OR(N55&lt;1.4,N55&gt;13),"",IF(G55*1000&lt;=1170,IF(N55&lt;1.8,"1014",IF(N55&lt;2.9,"1018",IF(N55&lt;3.8,"1029",IF(N55&lt;5,"1038",IF(N55&lt;7,"1050",IF(N55&lt;9,"1070",IF(N55&lt;11,"1090","1110"))))))),IF(G55*1000&lt;=1570,IF(N55&lt;1.8,"",IF(N55&lt;2.9,"2018",IF(N55&lt;3.8,"2029",IF(N55&lt;5,"2038",IF(N55&lt;7,"2050",IF(N55&lt;9,"2070",IF(N55&lt;11,"2090","2110"))))))),IF(G55*1000&lt;=1700,IF(N55&lt;1.8,"",IF(N55&lt;2.9,"3018",IF(N55&lt;3.8,"3029",IF(N55&lt;5,"3038",IF(N55&lt;7,"3050",IF(N55&lt;9,"3070",IF(N55&lt;11,"3090","3110"))))))),""))))</f>
        <v/>
      </c>
      <c r="Q55">
        <f>AND(O55=TRUE,P55&lt;&gt;"")</f>
        <v/>
      </c>
      <c r="R55">
        <f>IF(G55*1000&lt;750,"なし","あり")</f>
        <v/>
      </c>
      <c r="S55">
        <f>IF(AND(O55=TRUE,Q55=TRUE),"設定可","BLOCK")</f>
        <v/>
      </c>
      <c r="T55" t="inlineStr">
        <is>
          <t>商品カタログ P194</t>
        </is>
      </c>
      <c r="U55" t="inlineStr">
        <is>
          <t>https://webcatalog.lixil.co.jp/iportal/CatalogDetail.do?catalogID=15191910000&amp;categoryID=1630000&amp;designID=newinter&amp;method=initial_screen&amp;position=18&amp;type=mc&amp;volumeID=LXL13001</t>
        </is>
      </c>
    </row>
    <row r="56">
      <c r="A56" t="inlineStr">
        <is>
          <t>WG-SL-00053</t>
        </is>
      </c>
      <c r="B56" t="inlineStr">
        <is>
          <t>SZ-SL-000951</t>
        </is>
      </c>
      <c r="C56" t="inlineStr">
        <is>
          <t>WT-SL-AGE-SAGE-FS</t>
        </is>
      </c>
      <c r="E56" t="inlineStr">
        <is>
          <t>03609</t>
        </is>
      </c>
      <c r="F56" t="n">
        <v>0.405</v>
      </c>
      <c r="G56" t="n">
        <v>0.97</v>
      </c>
      <c r="H56" t="inlineStr">
        <is>
          <t>GL-SL-008</t>
        </is>
      </c>
      <c r="I56" t="n">
        <v>7</v>
      </c>
      <c r="J56" t="n">
        <v>9.1</v>
      </c>
      <c r="K56" t="n">
        <v>-0.48</v>
      </c>
      <c r="L56" t="n">
        <v>-0.998</v>
      </c>
      <c r="M56" t="n">
        <v>0.367</v>
      </c>
      <c r="N56">
        <f>ROUND(J56*F56*G56+K56*G56+L56*F56+M56,3)</f>
        <v/>
      </c>
      <c r="O56">
        <f>AND(N56&gt;=1.4,N56&lt;=13)</f>
        <v/>
      </c>
      <c r="P56">
        <f>IF(OR(N56&lt;1.4,N56&gt;13),"",IF(G56*1000&lt;=1170,IF(N56&lt;1.8,"1014",IF(N56&lt;2.9,"1018",IF(N56&lt;3.8,"1029",IF(N56&lt;5,"1038",IF(N56&lt;7,"1050",IF(N56&lt;9,"1070",IF(N56&lt;11,"1090","1110"))))))),IF(G56*1000&lt;=1570,IF(N56&lt;1.8,"",IF(N56&lt;2.9,"2018",IF(N56&lt;3.8,"2029",IF(N56&lt;5,"2038",IF(N56&lt;7,"2050",IF(N56&lt;9,"2070",IF(N56&lt;11,"2090","2110"))))))),IF(G56*1000&lt;=1700,IF(N56&lt;1.8,"",IF(N56&lt;2.9,"3018",IF(N56&lt;3.8,"3029",IF(N56&lt;5,"3038",IF(N56&lt;7,"3050",IF(N56&lt;9,"3070",IF(N56&lt;11,"3090","3110"))))))),""))))</f>
        <v/>
      </c>
      <c r="Q56">
        <f>AND(O56=TRUE,P56&lt;&gt;"")</f>
        <v/>
      </c>
      <c r="R56">
        <f>IF(G56*1000&lt;750,"なし","あり")</f>
        <v/>
      </c>
      <c r="S56">
        <f>IF(AND(O56=TRUE,Q56=TRUE),"設定可","BLOCK")</f>
        <v/>
      </c>
      <c r="T56" t="inlineStr">
        <is>
          <t>商品カタログ P194</t>
        </is>
      </c>
      <c r="U56" t="inlineStr">
        <is>
          <t>https://webcatalog.lixil.co.jp/iportal/CatalogDetail.do?catalogID=15191910000&amp;categoryID=1630000&amp;designID=newinter&amp;method=initial_screen&amp;position=18&amp;type=mc&amp;volumeID=LXL13001</t>
        </is>
      </c>
    </row>
    <row r="57">
      <c r="A57" t="inlineStr">
        <is>
          <t>WG-SL-00054</t>
        </is>
      </c>
      <c r="B57" t="inlineStr">
        <is>
          <t>SZ-SL-000951</t>
        </is>
      </c>
      <c r="C57" t="inlineStr">
        <is>
          <t>WT-SL-AGE-SAGE-FS</t>
        </is>
      </c>
      <c r="E57" t="inlineStr">
        <is>
          <t>03609</t>
        </is>
      </c>
      <c r="F57" t="n">
        <v>0.405</v>
      </c>
      <c r="G57" t="n">
        <v>0.97</v>
      </c>
      <c r="H57" t="inlineStr">
        <is>
          <t>GL-SL-009</t>
        </is>
      </c>
      <c r="I57" t="n">
        <v>8</v>
      </c>
      <c r="J57" t="n">
        <v>10.4</v>
      </c>
      <c r="K57" t="n">
        <v>-0.605</v>
      </c>
      <c r="L57" t="n">
        <v>-1.332</v>
      </c>
      <c r="M57" t="n">
        <v>0.399</v>
      </c>
      <c r="N57">
        <f>ROUND(J57*F57*G57+K57*G57+L57*F57+M57,3)</f>
        <v/>
      </c>
      <c r="O57">
        <f>AND(N57&gt;=1.4,N57&lt;=13)</f>
        <v/>
      </c>
      <c r="P57">
        <f>IF(OR(N57&lt;1.4,N57&gt;13),"",IF(G57*1000&lt;=1170,IF(N57&lt;1.8,"1014",IF(N57&lt;2.9,"1018",IF(N57&lt;3.8,"1029",IF(N57&lt;5,"1038",IF(N57&lt;7,"1050",IF(N57&lt;9,"1070",IF(N57&lt;11,"1090","1110"))))))),IF(G57*1000&lt;=1570,IF(N57&lt;1.8,"",IF(N57&lt;2.9,"2018",IF(N57&lt;3.8,"2029",IF(N57&lt;5,"2038",IF(N57&lt;7,"2050",IF(N57&lt;9,"2070",IF(N57&lt;11,"2090","2110"))))))),IF(G57*1000&lt;=1700,IF(N57&lt;1.8,"",IF(N57&lt;2.9,"3018",IF(N57&lt;3.8,"3029",IF(N57&lt;5,"3038",IF(N57&lt;7,"3050",IF(N57&lt;9,"3070",IF(N57&lt;11,"3090","3110"))))))),""))))</f>
        <v/>
      </c>
      <c r="Q57">
        <f>AND(O57=TRUE,P57&lt;&gt;"")</f>
        <v/>
      </c>
      <c r="R57">
        <f>IF(G57*1000&lt;750,"なし","あり")</f>
        <v/>
      </c>
      <c r="S57">
        <f>IF(AND(O57=TRUE,Q57=TRUE),"設定可","BLOCK")</f>
        <v/>
      </c>
      <c r="T57" t="inlineStr">
        <is>
          <t>商品カタログ P194</t>
        </is>
      </c>
      <c r="U57" t="inlineStr">
        <is>
          <t>https://webcatalog.lixil.co.jp/iportal/CatalogDetail.do?catalogID=15191910000&amp;categoryID=1630000&amp;designID=newinter&amp;method=initial_screen&amp;position=18&amp;type=mc&amp;volumeID=LXL13001</t>
        </is>
      </c>
    </row>
    <row r="58">
      <c r="A58" t="inlineStr">
        <is>
          <t>WG-SL-00055</t>
        </is>
      </c>
      <c r="B58" t="inlineStr">
        <is>
          <t>SZ-SL-000952</t>
        </is>
      </c>
      <c r="C58" t="inlineStr">
        <is>
          <t>WT-SL-AGE-SAGE-FS</t>
        </is>
      </c>
      <c r="E58" t="inlineStr">
        <is>
          <t>03611</t>
        </is>
      </c>
      <c r="F58" t="n">
        <v>0.405</v>
      </c>
      <c r="G58" t="n">
        <v>1.17</v>
      </c>
      <c r="H58" t="inlineStr">
        <is>
          <t>GL-SL-001</t>
        </is>
      </c>
      <c r="I58" t="n">
        <v>6</v>
      </c>
      <c r="J58" t="n">
        <v>7.8</v>
      </c>
      <c r="K58" t="n">
        <v>-0.355</v>
      </c>
      <c r="L58" t="n">
        <v>-0.664</v>
      </c>
      <c r="M58" t="n">
        <v>0.335</v>
      </c>
      <c r="N58">
        <f>ROUND(J58*F58*G58+K58*G58+L58*F58+M58,3)</f>
        <v/>
      </c>
      <c r="O58">
        <f>AND(N58&gt;=1.4,N58&lt;=13)</f>
        <v/>
      </c>
      <c r="P58">
        <f>IF(OR(N58&lt;1.4,N58&gt;13),"",IF(G58*1000&lt;=1170,IF(N58&lt;1.8,"1014",IF(N58&lt;2.9,"1018",IF(N58&lt;3.8,"1029",IF(N58&lt;5,"1038",IF(N58&lt;7,"1050",IF(N58&lt;9,"1070",IF(N58&lt;11,"1090","1110"))))))),IF(G58*1000&lt;=1570,IF(N58&lt;1.8,"",IF(N58&lt;2.9,"2018",IF(N58&lt;3.8,"2029",IF(N58&lt;5,"2038",IF(N58&lt;7,"2050",IF(N58&lt;9,"2070",IF(N58&lt;11,"2090","2110"))))))),IF(G58*1000&lt;=1700,IF(N58&lt;1.8,"",IF(N58&lt;2.9,"3018",IF(N58&lt;3.8,"3029",IF(N58&lt;5,"3038",IF(N58&lt;7,"3050",IF(N58&lt;9,"3070",IF(N58&lt;11,"3090","3110"))))))),""))))</f>
        <v/>
      </c>
      <c r="Q58">
        <f>AND(O58=TRUE,P58&lt;&gt;"")</f>
        <v/>
      </c>
      <c r="R58">
        <f>IF(G58*1000&lt;750,"なし","あり")</f>
        <v/>
      </c>
      <c r="S58">
        <f>IF(AND(O58=TRUE,Q58=TRUE),"設定可","BLOCK")</f>
        <v/>
      </c>
      <c r="T58" t="inlineStr">
        <is>
          <t>商品カタログ P194</t>
        </is>
      </c>
      <c r="U58" t="inlineStr">
        <is>
          <t>https://webcatalog.lixil.co.jp/iportal/CatalogDetail.do?catalogID=15191910000&amp;categoryID=1630000&amp;designID=newinter&amp;method=initial_screen&amp;position=18&amp;type=mc&amp;volumeID=LXL13001</t>
        </is>
      </c>
    </row>
    <row r="59">
      <c r="A59" t="inlineStr">
        <is>
          <t>WG-SL-00056</t>
        </is>
      </c>
      <c r="B59" t="inlineStr">
        <is>
          <t>SZ-SL-000952</t>
        </is>
      </c>
      <c r="C59" t="inlineStr">
        <is>
          <t>WT-SL-AGE-SAGE-FS</t>
        </is>
      </c>
      <c r="E59" t="inlineStr">
        <is>
          <t>03611</t>
        </is>
      </c>
      <c r="F59" t="n">
        <v>0.405</v>
      </c>
      <c r="G59" t="n">
        <v>1.17</v>
      </c>
      <c r="H59" t="inlineStr">
        <is>
          <t>GL-SL-002</t>
        </is>
      </c>
      <c r="I59" t="n">
        <v>7</v>
      </c>
      <c r="J59" t="n">
        <v>9.1</v>
      </c>
      <c r="K59" t="n">
        <v>-0.48</v>
      </c>
      <c r="L59" t="n">
        <v>-0.998</v>
      </c>
      <c r="M59" t="n">
        <v>0.367</v>
      </c>
      <c r="N59">
        <f>ROUND(J59*F59*G59+K59*G59+L59*F59+M59,3)</f>
        <v/>
      </c>
      <c r="O59">
        <f>AND(N59&gt;=1.4,N59&lt;=13)</f>
        <v/>
      </c>
      <c r="P59">
        <f>IF(OR(N59&lt;1.4,N59&gt;13),"",IF(G59*1000&lt;=1170,IF(N59&lt;1.8,"1014",IF(N59&lt;2.9,"1018",IF(N59&lt;3.8,"1029",IF(N59&lt;5,"1038",IF(N59&lt;7,"1050",IF(N59&lt;9,"1070",IF(N59&lt;11,"1090","1110"))))))),IF(G59*1000&lt;=1570,IF(N59&lt;1.8,"",IF(N59&lt;2.9,"2018",IF(N59&lt;3.8,"2029",IF(N59&lt;5,"2038",IF(N59&lt;7,"2050",IF(N59&lt;9,"2070",IF(N59&lt;11,"2090","2110"))))))),IF(G59*1000&lt;=1700,IF(N59&lt;1.8,"",IF(N59&lt;2.9,"3018",IF(N59&lt;3.8,"3029",IF(N59&lt;5,"3038",IF(N59&lt;7,"3050",IF(N59&lt;9,"3070",IF(N59&lt;11,"3090","3110"))))))),""))))</f>
        <v/>
      </c>
      <c r="Q59">
        <f>AND(O59=TRUE,P59&lt;&gt;"")</f>
        <v/>
      </c>
      <c r="R59">
        <f>IF(G59*1000&lt;750,"なし","あり")</f>
        <v/>
      </c>
      <c r="S59">
        <f>IF(AND(O59=TRUE,Q59=TRUE),"設定可","BLOCK")</f>
        <v/>
      </c>
      <c r="T59" t="inlineStr">
        <is>
          <t>商品カタログ P194</t>
        </is>
      </c>
      <c r="U59" t="inlineStr">
        <is>
          <t>https://webcatalog.lixil.co.jp/iportal/CatalogDetail.do?catalogID=15191910000&amp;categoryID=1630000&amp;designID=newinter&amp;method=initial_screen&amp;position=18&amp;type=mc&amp;volumeID=LXL13001</t>
        </is>
      </c>
    </row>
    <row r="60">
      <c r="A60" t="inlineStr">
        <is>
          <t>WG-SL-00057</t>
        </is>
      </c>
      <c r="B60" t="inlineStr">
        <is>
          <t>SZ-SL-000952</t>
        </is>
      </c>
      <c r="C60" t="inlineStr">
        <is>
          <t>WT-SL-AGE-SAGE-FS</t>
        </is>
      </c>
      <c r="E60" t="inlineStr">
        <is>
          <t>03611</t>
        </is>
      </c>
      <c r="F60" t="n">
        <v>0.405</v>
      </c>
      <c r="G60" t="n">
        <v>1.17</v>
      </c>
      <c r="H60" t="inlineStr">
        <is>
          <t>GL-SL-003</t>
        </is>
      </c>
      <c r="I60" t="n">
        <v>8</v>
      </c>
      <c r="J60" t="n">
        <v>10.4</v>
      </c>
      <c r="K60" t="n">
        <v>-0.605</v>
      </c>
      <c r="L60" t="n">
        <v>-1.332</v>
      </c>
      <c r="M60" t="n">
        <v>0.399</v>
      </c>
      <c r="N60">
        <f>ROUND(J60*F60*G60+K60*G60+L60*F60+M60,3)</f>
        <v/>
      </c>
      <c r="O60">
        <f>AND(N60&gt;=1.4,N60&lt;=13)</f>
        <v/>
      </c>
      <c r="P60">
        <f>IF(OR(N60&lt;1.4,N60&gt;13),"",IF(G60*1000&lt;=1170,IF(N60&lt;1.8,"1014",IF(N60&lt;2.9,"1018",IF(N60&lt;3.8,"1029",IF(N60&lt;5,"1038",IF(N60&lt;7,"1050",IF(N60&lt;9,"1070",IF(N60&lt;11,"1090","1110"))))))),IF(G60*1000&lt;=1570,IF(N60&lt;1.8,"",IF(N60&lt;2.9,"2018",IF(N60&lt;3.8,"2029",IF(N60&lt;5,"2038",IF(N60&lt;7,"2050",IF(N60&lt;9,"2070",IF(N60&lt;11,"2090","2110"))))))),IF(G60*1000&lt;=1700,IF(N60&lt;1.8,"",IF(N60&lt;2.9,"3018",IF(N60&lt;3.8,"3029",IF(N60&lt;5,"3038",IF(N60&lt;7,"3050",IF(N60&lt;9,"3070",IF(N60&lt;11,"3090","3110"))))))),""))))</f>
        <v/>
      </c>
      <c r="Q60">
        <f>AND(O60=TRUE,P60&lt;&gt;"")</f>
        <v/>
      </c>
      <c r="R60">
        <f>IF(G60*1000&lt;750,"なし","あり")</f>
        <v/>
      </c>
      <c r="S60">
        <f>IF(AND(O60=TRUE,Q60=TRUE),"設定可","BLOCK")</f>
        <v/>
      </c>
      <c r="T60" t="inlineStr">
        <is>
          <t>商品カタログ P194</t>
        </is>
      </c>
      <c r="U60" t="inlineStr">
        <is>
          <t>https://webcatalog.lixil.co.jp/iportal/CatalogDetail.do?catalogID=15191910000&amp;categoryID=1630000&amp;designID=newinter&amp;method=initial_screen&amp;position=18&amp;type=mc&amp;volumeID=LXL13001</t>
        </is>
      </c>
    </row>
    <row r="61">
      <c r="A61" t="inlineStr">
        <is>
          <t>WG-SL-00058</t>
        </is>
      </c>
      <c r="B61" t="inlineStr">
        <is>
          <t>SZ-SL-000952</t>
        </is>
      </c>
      <c r="C61" t="inlineStr">
        <is>
          <t>WT-SL-AGE-SAGE-FS</t>
        </is>
      </c>
      <c r="E61" t="inlineStr">
        <is>
          <t>03611</t>
        </is>
      </c>
      <c r="F61" t="n">
        <v>0.405</v>
      </c>
      <c r="G61" t="n">
        <v>1.17</v>
      </c>
      <c r="H61" t="inlineStr">
        <is>
          <t>GL-SL-004</t>
        </is>
      </c>
      <c r="I61" t="n">
        <v>6</v>
      </c>
      <c r="J61" t="n">
        <v>7.8</v>
      </c>
      <c r="K61" t="n">
        <v>-0.355</v>
      </c>
      <c r="L61" t="n">
        <v>-0.664</v>
      </c>
      <c r="M61" t="n">
        <v>0.335</v>
      </c>
      <c r="N61">
        <f>ROUND(J61*F61*G61+K61*G61+L61*F61+M61,3)</f>
        <v/>
      </c>
      <c r="O61">
        <f>AND(N61&gt;=1.4,N61&lt;=13)</f>
        <v/>
      </c>
      <c r="P61">
        <f>IF(OR(N61&lt;1.4,N61&gt;13),"",IF(G61*1000&lt;=1170,IF(N61&lt;1.8,"1014",IF(N61&lt;2.9,"1018",IF(N61&lt;3.8,"1029",IF(N61&lt;5,"1038",IF(N61&lt;7,"1050",IF(N61&lt;9,"1070",IF(N61&lt;11,"1090","1110"))))))),IF(G61*1000&lt;=1570,IF(N61&lt;1.8,"",IF(N61&lt;2.9,"2018",IF(N61&lt;3.8,"2029",IF(N61&lt;5,"2038",IF(N61&lt;7,"2050",IF(N61&lt;9,"2070",IF(N61&lt;11,"2090","2110"))))))),IF(G61*1000&lt;=1700,IF(N61&lt;1.8,"",IF(N61&lt;2.9,"3018",IF(N61&lt;3.8,"3029",IF(N61&lt;5,"3038",IF(N61&lt;7,"3050",IF(N61&lt;9,"3070",IF(N61&lt;11,"3090","3110"))))))),""))))</f>
        <v/>
      </c>
      <c r="Q61">
        <f>AND(O61=TRUE,P61&lt;&gt;"")</f>
        <v/>
      </c>
      <c r="R61">
        <f>IF(G61*1000&lt;750,"なし","あり")</f>
        <v/>
      </c>
      <c r="S61">
        <f>IF(AND(O61=TRUE,Q61=TRUE),"設定可","BLOCK")</f>
        <v/>
      </c>
      <c r="T61" t="inlineStr">
        <is>
          <t>商品カタログ P194</t>
        </is>
      </c>
      <c r="U61" t="inlineStr">
        <is>
          <t>https://webcatalog.lixil.co.jp/iportal/CatalogDetail.do?catalogID=15191910000&amp;categoryID=1630000&amp;designID=newinter&amp;method=initial_screen&amp;position=18&amp;type=mc&amp;volumeID=LXL13001</t>
        </is>
      </c>
    </row>
    <row r="62">
      <c r="A62" t="inlineStr">
        <is>
          <t>WG-SL-00059</t>
        </is>
      </c>
      <c r="B62" t="inlineStr">
        <is>
          <t>SZ-SL-000952</t>
        </is>
      </c>
      <c r="C62" t="inlineStr">
        <is>
          <t>WT-SL-AGE-SAGE-FS</t>
        </is>
      </c>
      <c r="E62" t="inlineStr">
        <is>
          <t>03611</t>
        </is>
      </c>
      <c r="F62" t="n">
        <v>0.405</v>
      </c>
      <c r="G62" t="n">
        <v>1.17</v>
      </c>
      <c r="H62" t="inlineStr">
        <is>
          <t>GL-SL-005</t>
        </is>
      </c>
      <c r="I62" t="n">
        <v>7</v>
      </c>
      <c r="J62" t="n">
        <v>9.1</v>
      </c>
      <c r="K62" t="n">
        <v>-0.48</v>
      </c>
      <c r="L62" t="n">
        <v>-0.998</v>
      </c>
      <c r="M62" t="n">
        <v>0.367</v>
      </c>
      <c r="N62">
        <f>ROUND(J62*F62*G62+K62*G62+L62*F62+M62,3)</f>
        <v/>
      </c>
      <c r="O62">
        <f>AND(N62&gt;=1.4,N62&lt;=13)</f>
        <v/>
      </c>
      <c r="P62">
        <f>IF(OR(N62&lt;1.4,N62&gt;13),"",IF(G62*1000&lt;=1170,IF(N62&lt;1.8,"1014",IF(N62&lt;2.9,"1018",IF(N62&lt;3.8,"1029",IF(N62&lt;5,"1038",IF(N62&lt;7,"1050",IF(N62&lt;9,"1070",IF(N62&lt;11,"1090","1110"))))))),IF(G62*1000&lt;=1570,IF(N62&lt;1.8,"",IF(N62&lt;2.9,"2018",IF(N62&lt;3.8,"2029",IF(N62&lt;5,"2038",IF(N62&lt;7,"2050",IF(N62&lt;9,"2070",IF(N62&lt;11,"2090","2110"))))))),IF(G62*1000&lt;=1700,IF(N62&lt;1.8,"",IF(N62&lt;2.9,"3018",IF(N62&lt;3.8,"3029",IF(N62&lt;5,"3038",IF(N62&lt;7,"3050",IF(N62&lt;9,"3070",IF(N62&lt;11,"3090","3110"))))))),""))))</f>
        <v/>
      </c>
      <c r="Q62">
        <f>AND(O62=TRUE,P62&lt;&gt;"")</f>
        <v/>
      </c>
      <c r="R62">
        <f>IF(G62*1000&lt;750,"なし","あり")</f>
        <v/>
      </c>
      <c r="S62">
        <f>IF(AND(O62=TRUE,Q62=TRUE),"設定可","BLOCK")</f>
        <v/>
      </c>
      <c r="T62" t="inlineStr">
        <is>
          <t>商品カタログ P194</t>
        </is>
      </c>
      <c r="U62" t="inlineStr">
        <is>
          <t>https://webcatalog.lixil.co.jp/iportal/CatalogDetail.do?catalogID=15191910000&amp;categoryID=1630000&amp;designID=newinter&amp;method=initial_screen&amp;position=18&amp;type=mc&amp;volumeID=LXL13001</t>
        </is>
      </c>
    </row>
    <row r="63">
      <c r="A63" t="inlineStr">
        <is>
          <t>WG-SL-00060</t>
        </is>
      </c>
      <c r="B63" t="inlineStr">
        <is>
          <t>SZ-SL-000952</t>
        </is>
      </c>
      <c r="C63" t="inlineStr">
        <is>
          <t>WT-SL-AGE-SAGE-FS</t>
        </is>
      </c>
      <c r="E63" t="inlineStr">
        <is>
          <t>03611</t>
        </is>
      </c>
      <c r="F63" t="n">
        <v>0.405</v>
      </c>
      <c r="G63" t="n">
        <v>1.17</v>
      </c>
      <c r="H63" t="inlineStr">
        <is>
          <t>GL-SL-006</t>
        </is>
      </c>
      <c r="I63" t="n">
        <v>8</v>
      </c>
      <c r="J63" t="n">
        <v>10.4</v>
      </c>
      <c r="K63" t="n">
        <v>-0.605</v>
      </c>
      <c r="L63" t="n">
        <v>-1.332</v>
      </c>
      <c r="M63" t="n">
        <v>0.399</v>
      </c>
      <c r="N63">
        <f>ROUND(J63*F63*G63+K63*G63+L63*F63+M63,3)</f>
        <v/>
      </c>
      <c r="O63">
        <f>AND(N63&gt;=1.4,N63&lt;=13)</f>
        <v/>
      </c>
      <c r="P63">
        <f>IF(OR(N63&lt;1.4,N63&gt;13),"",IF(G63*1000&lt;=1170,IF(N63&lt;1.8,"1014",IF(N63&lt;2.9,"1018",IF(N63&lt;3.8,"1029",IF(N63&lt;5,"1038",IF(N63&lt;7,"1050",IF(N63&lt;9,"1070",IF(N63&lt;11,"1090","1110"))))))),IF(G63*1000&lt;=1570,IF(N63&lt;1.8,"",IF(N63&lt;2.9,"2018",IF(N63&lt;3.8,"2029",IF(N63&lt;5,"2038",IF(N63&lt;7,"2050",IF(N63&lt;9,"2070",IF(N63&lt;11,"2090","2110"))))))),IF(G63*1000&lt;=1700,IF(N63&lt;1.8,"",IF(N63&lt;2.9,"3018",IF(N63&lt;3.8,"3029",IF(N63&lt;5,"3038",IF(N63&lt;7,"3050",IF(N63&lt;9,"3070",IF(N63&lt;11,"3090","3110"))))))),""))))</f>
        <v/>
      </c>
      <c r="Q63">
        <f>AND(O63=TRUE,P63&lt;&gt;"")</f>
        <v/>
      </c>
      <c r="R63">
        <f>IF(G63*1000&lt;750,"なし","あり")</f>
        <v/>
      </c>
      <c r="S63">
        <f>IF(AND(O63=TRUE,Q63=TRUE),"設定可","BLOCK")</f>
        <v/>
      </c>
      <c r="T63" t="inlineStr">
        <is>
          <t>商品カタログ P194</t>
        </is>
      </c>
      <c r="U63" t="inlineStr">
        <is>
          <t>https://webcatalog.lixil.co.jp/iportal/CatalogDetail.do?catalogID=15191910000&amp;categoryID=1630000&amp;designID=newinter&amp;method=initial_screen&amp;position=18&amp;type=mc&amp;volumeID=LXL13001</t>
        </is>
      </c>
    </row>
    <row r="64">
      <c r="A64" t="inlineStr">
        <is>
          <t>WG-SL-00061</t>
        </is>
      </c>
      <c r="B64" t="inlineStr">
        <is>
          <t>SZ-SL-000952</t>
        </is>
      </c>
      <c r="C64" t="inlineStr">
        <is>
          <t>WT-SL-AGE-SAGE-FS</t>
        </is>
      </c>
      <c r="E64" t="inlineStr">
        <is>
          <t>03611</t>
        </is>
      </c>
      <c r="F64" t="n">
        <v>0.405</v>
      </c>
      <c r="G64" t="n">
        <v>1.17</v>
      </c>
      <c r="H64" t="inlineStr">
        <is>
          <t>GL-SL-007</t>
        </is>
      </c>
      <c r="I64" t="n">
        <v>6</v>
      </c>
      <c r="J64" t="n">
        <v>7.8</v>
      </c>
      <c r="K64" t="n">
        <v>-0.355</v>
      </c>
      <c r="L64" t="n">
        <v>-0.664</v>
      </c>
      <c r="M64" t="n">
        <v>0.335</v>
      </c>
      <c r="N64">
        <f>ROUND(J64*F64*G64+K64*G64+L64*F64+M64,3)</f>
        <v/>
      </c>
      <c r="O64">
        <f>AND(N64&gt;=1.4,N64&lt;=13)</f>
        <v/>
      </c>
      <c r="P64">
        <f>IF(OR(N64&lt;1.4,N64&gt;13),"",IF(G64*1000&lt;=1170,IF(N64&lt;1.8,"1014",IF(N64&lt;2.9,"1018",IF(N64&lt;3.8,"1029",IF(N64&lt;5,"1038",IF(N64&lt;7,"1050",IF(N64&lt;9,"1070",IF(N64&lt;11,"1090","1110"))))))),IF(G64*1000&lt;=1570,IF(N64&lt;1.8,"",IF(N64&lt;2.9,"2018",IF(N64&lt;3.8,"2029",IF(N64&lt;5,"2038",IF(N64&lt;7,"2050",IF(N64&lt;9,"2070",IF(N64&lt;11,"2090","2110"))))))),IF(G64*1000&lt;=1700,IF(N64&lt;1.8,"",IF(N64&lt;2.9,"3018",IF(N64&lt;3.8,"3029",IF(N64&lt;5,"3038",IF(N64&lt;7,"3050",IF(N64&lt;9,"3070",IF(N64&lt;11,"3090","3110"))))))),""))))</f>
        <v/>
      </c>
      <c r="Q64">
        <f>AND(O64=TRUE,P64&lt;&gt;"")</f>
        <v/>
      </c>
      <c r="R64">
        <f>IF(G64*1000&lt;750,"なし","あり")</f>
        <v/>
      </c>
      <c r="S64">
        <f>IF(AND(O64=TRUE,Q64=TRUE),"設定可","BLOCK")</f>
        <v/>
      </c>
      <c r="T64" t="inlineStr">
        <is>
          <t>商品カタログ P194</t>
        </is>
      </c>
      <c r="U64" t="inlineStr">
        <is>
          <t>https://webcatalog.lixil.co.jp/iportal/CatalogDetail.do?catalogID=15191910000&amp;categoryID=1630000&amp;designID=newinter&amp;method=initial_screen&amp;position=18&amp;type=mc&amp;volumeID=LXL13001</t>
        </is>
      </c>
    </row>
    <row r="65">
      <c r="A65" t="inlineStr">
        <is>
          <t>WG-SL-00062</t>
        </is>
      </c>
      <c r="B65" t="inlineStr">
        <is>
          <t>SZ-SL-000952</t>
        </is>
      </c>
      <c r="C65" t="inlineStr">
        <is>
          <t>WT-SL-AGE-SAGE-FS</t>
        </is>
      </c>
      <c r="E65" t="inlineStr">
        <is>
          <t>03611</t>
        </is>
      </c>
      <c r="F65" t="n">
        <v>0.405</v>
      </c>
      <c r="G65" t="n">
        <v>1.17</v>
      </c>
      <c r="H65" t="inlineStr">
        <is>
          <t>GL-SL-008</t>
        </is>
      </c>
      <c r="I65" t="n">
        <v>7</v>
      </c>
      <c r="J65" t="n">
        <v>9.1</v>
      </c>
      <c r="K65" t="n">
        <v>-0.48</v>
      </c>
      <c r="L65" t="n">
        <v>-0.998</v>
      </c>
      <c r="M65" t="n">
        <v>0.367</v>
      </c>
      <c r="N65">
        <f>ROUND(J65*F65*G65+K65*G65+L65*F65+M65,3)</f>
        <v/>
      </c>
      <c r="O65">
        <f>AND(N65&gt;=1.4,N65&lt;=13)</f>
        <v/>
      </c>
      <c r="P65">
        <f>IF(OR(N65&lt;1.4,N65&gt;13),"",IF(G65*1000&lt;=1170,IF(N65&lt;1.8,"1014",IF(N65&lt;2.9,"1018",IF(N65&lt;3.8,"1029",IF(N65&lt;5,"1038",IF(N65&lt;7,"1050",IF(N65&lt;9,"1070",IF(N65&lt;11,"1090","1110"))))))),IF(G65*1000&lt;=1570,IF(N65&lt;1.8,"",IF(N65&lt;2.9,"2018",IF(N65&lt;3.8,"2029",IF(N65&lt;5,"2038",IF(N65&lt;7,"2050",IF(N65&lt;9,"2070",IF(N65&lt;11,"2090","2110"))))))),IF(G65*1000&lt;=1700,IF(N65&lt;1.8,"",IF(N65&lt;2.9,"3018",IF(N65&lt;3.8,"3029",IF(N65&lt;5,"3038",IF(N65&lt;7,"3050",IF(N65&lt;9,"3070",IF(N65&lt;11,"3090","3110"))))))),""))))</f>
        <v/>
      </c>
      <c r="Q65">
        <f>AND(O65=TRUE,P65&lt;&gt;"")</f>
        <v/>
      </c>
      <c r="R65">
        <f>IF(G65*1000&lt;750,"なし","あり")</f>
        <v/>
      </c>
      <c r="S65">
        <f>IF(AND(O65=TRUE,Q65=TRUE),"設定可","BLOCK")</f>
        <v/>
      </c>
      <c r="T65" t="inlineStr">
        <is>
          <t>商品カタログ P194</t>
        </is>
      </c>
      <c r="U65" t="inlineStr">
        <is>
          <t>https://webcatalog.lixil.co.jp/iportal/CatalogDetail.do?catalogID=15191910000&amp;categoryID=1630000&amp;designID=newinter&amp;method=initial_screen&amp;position=18&amp;type=mc&amp;volumeID=LXL13001</t>
        </is>
      </c>
    </row>
    <row r="66">
      <c r="A66" t="inlineStr">
        <is>
          <t>WG-SL-00063</t>
        </is>
      </c>
      <c r="B66" t="inlineStr">
        <is>
          <t>SZ-SL-000952</t>
        </is>
      </c>
      <c r="C66" t="inlineStr">
        <is>
          <t>WT-SL-AGE-SAGE-FS</t>
        </is>
      </c>
      <c r="E66" t="inlineStr">
        <is>
          <t>03611</t>
        </is>
      </c>
      <c r="F66" t="n">
        <v>0.405</v>
      </c>
      <c r="G66" t="n">
        <v>1.17</v>
      </c>
      <c r="H66" t="inlineStr">
        <is>
          <t>GL-SL-009</t>
        </is>
      </c>
      <c r="I66" t="n">
        <v>8</v>
      </c>
      <c r="J66" t="n">
        <v>10.4</v>
      </c>
      <c r="K66" t="n">
        <v>-0.605</v>
      </c>
      <c r="L66" t="n">
        <v>-1.332</v>
      </c>
      <c r="M66" t="n">
        <v>0.399</v>
      </c>
      <c r="N66">
        <f>ROUND(J66*F66*G66+K66*G66+L66*F66+M66,3)</f>
        <v/>
      </c>
      <c r="O66">
        <f>AND(N66&gt;=1.4,N66&lt;=13)</f>
        <v/>
      </c>
      <c r="P66">
        <f>IF(OR(N66&lt;1.4,N66&gt;13),"",IF(G66*1000&lt;=1170,IF(N66&lt;1.8,"1014",IF(N66&lt;2.9,"1018",IF(N66&lt;3.8,"1029",IF(N66&lt;5,"1038",IF(N66&lt;7,"1050",IF(N66&lt;9,"1070",IF(N66&lt;11,"1090","1110"))))))),IF(G66*1000&lt;=1570,IF(N66&lt;1.8,"",IF(N66&lt;2.9,"2018",IF(N66&lt;3.8,"2029",IF(N66&lt;5,"2038",IF(N66&lt;7,"2050",IF(N66&lt;9,"2070",IF(N66&lt;11,"2090","2110"))))))),IF(G66*1000&lt;=1700,IF(N66&lt;1.8,"",IF(N66&lt;2.9,"3018",IF(N66&lt;3.8,"3029",IF(N66&lt;5,"3038",IF(N66&lt;7,"3050",IF(N66&lt;9,"3070",IF(N66&lt;11,"3090","3110"))))))),""))))</f>
        <v/>
      </c>
      <c r="Q66">
        <f>AND(O66=TRUE,P66&lt;&gt;"")</f>
        <v/>
      </c>
      <c r="R66">
        <f>IF(G66*1000&lt;750,"なし","あり")</f>
        <v/>
      </c>
      <c r="S66">
        <f>IF(AND(O66=TRUE,Q66=TRUE),"設定可","BLOCK")</f>
        <v/>
      </c>
      <c r="T66" t="inlineStr">
        <is>
          <t>商品カタログ P194</t>
        </is>
      </c>
      <c r="U66" t="inlineStr">
        <is>
          <t>https://webcatalog.lixil.co.jp/iportal/CatalogDetail.do?catalogID=15191910000&amp;categoryID=1630000&amp;designID=newinter&amp;method=initial_screen&amp;position=18&amp;type=mc&amp;volumeID=LXL13001</t>
        </is>
      </c>
    </row>
    <row r="67">
      <c r="A67" t="inlineStr">
        <is>
          <t>WG-SL-00064</t>
        </is>
      </c>
      <c r="B67" t="inlineStr">
        <is>
          <t>SZ-SL-000953</t>
        </is>
      </c>
      <c r="C67" t="inlineStr">
        <is>
          <t>WT-SL-AGE-SAGE-FS</t>
        </is>
      </c>
      <c r="E67" t="inlineStr">
        <is>
          <t>03613</t>
        </is>
      </c>
      <c r="F67" t="n">
        <v>0.405</v>
      </c>
      <c r="G67" t="n">
        <v>1.37</v>
      </c>
      <c r="H67" t="inlineStr">
        <is>
          <t>GL-SL-001</t>
        </is>
      </c>
      <c r="I67" t="n">
        <v>6</v>
      </c>
      <c r="J67" t="n">
        <v>7.8</v>
      </c>
      <c r="K67" t="n">
        <v>-0.355</v>
      </c>
      <c r="L67" t="n">
        <v>-0.664</v>
      </c>
      <c r="M67" t="n">
        <v>0.335</v>
      </c>
      <c r="N67">
        <f>ROUND(J67*F67*G67+K67*G67+L67*F67+M67,3)</f>
        <v/>
      </c>
      <c r="O67">
        <f>AND(N67&gt;=1.4,N67&lt;=13)</f>
        <v/>
      </c>
      <c r="P67">
        <f>IF(OR(N67&lt;1.4,N67&gt;13),"",IF(G67*1000&lt;=1170,IF(N67&lt;1.8,"1014",IF(N67&lt;2.9,"1018",IF(N67&lt;3.8,"1029",IF(N67&lt;5,"1038",IF(N67&lt;7,"1050",IF(N67&lt;9,"1070",IF(N67&lt;11,"1090","1110"))))))),IF(G67*1000&lt;=1570,IF(N67&lt;1.8,"",IF(N67&lt;2.9,"2018",IF(N67&lt;3.8,"2029",IF(N67&lt;5,"2038",IF(N67&lt;7,"2050",IF(N67&lt;9,"2070",IF(N67&lt;11,"2090","2110"))))))),IF(G67*1000&lt;=1700,IF(N67&lt;1.8,"",IF(N67&lt;2.9,"3018",IF(N67&lt;3.8,"3029",IF(N67&lt;5,"3038",IF(N67&lt;7,"3050",IF(N67&lt;9,"3070",IF(N67&lt;11,"3090","3110"))))))),""))))</f>
        <v/>
      </c>
      <c r="Q67">
        <f>AND(O67=TRUE,P67&lt;&gt;"")</f>
        <v/>
      </c>
      <c r="R67">
        <f>IF(G67*1000&lt;750,"なし","あり")</f>
        <v/>
      </c>
      <c r="S67">
        <f>IF(AND(O67=TRUE,Q67=TRUE),"設定可","BLOCK")</f>
        <v/>
      </c>
      <c r="T67" t="inlineStr">
        <is>
          <t>商品カタログ P194</t>
        </is>
      </c>
      <c r="U67" t="inlineStr">
        <is>
          <t>https://webcatalog.lixil.co.jp/iportal/CatalogDetail.do?catalogID=15191910000&amp;categoryID=1630000&amp;designID=newinter&amp;method=initial_screen&amp;position=18&amp;type=mc&amp;volumeID=LXL13001</t>
        </is>
      </c>
    </row>
    <row r="68">
      <c r="A68" t="inlineStr">
        <is>
          <t>WG-SL-00065</t>
        </is>
      </c>
      <c r="B68" t="inlineStr">
        <is>
          <t>SZ-SL-000953</t>
        </is>
      </c>
      <c r="C68" t="inlineStr">
        <is>
          <t>WT-SL-AGE-SAGE-FS</t>
        </is>
      </c>
      <c r="E68" t="inlineStr">
        <is>
          <t>03613</t>
        </is>
      </c>
      <c r="F68" t="n">
        <v>0.405</v>
      </c>
      <c r="G68" t="n">
        <v>1.37</v>
      </c>
      <c r="H68" t="inlineStr">
        <is>
          <t>GL-SL-002</t>
        </is>
      </c>
      <c r="I68" t="n">
        <v>7</v>
      </c>
      <c r="J68" t="n">
        <v>9.1</v>
      </c>
      <c r="K68" t="n">
        <v>-0.48</v>
      </c>
      <c r="L68" t="n">
        <v>-0.998</v>
      </c>
      <c r="M68" t="n">
        <v>0.367</v>
      </c>
      <c r="N68">
        <f>ROUND(J68*F68*G68+K68*G68+L68*F68+M68,3)</f>
        <v/>
      </c>
      <c r="O68">
        <f>AND(N68&gt;=1.4,N68&lt;=13)</f>
        <v/>
      </c>
      <c r="P68">
        <f>IF(OR(N68&lt;1.4,N68&gt;13),"",IF(G68*1000&lt;=1170,IF(N68&lt;1.8,"1014",IF(N68&lt;2.9,"1018",IF(N68&lt;3.8,"1029",IF(N68&lt;5,"1038",IF(N68&lt;7,"1050",IF(N68&lt;9,"1070",IF(N68&lt;11,"1090","1110"))))))),IF(G68*1000&lt;=1570,IF(N68&lt;1.8,"",IF(N68&lt;2.9,"2018",IF(N68&lt;3.8,"2029",IF(N68&lt;5,"2038",IF(N68&lt;7,"2050",IF(N68&lt;9,"2070",IF(N68&lt;11,"2090","2110"))))))),IF(G68*1000&lt;=1700,IF(N68&lt;1.8,"",IF(N68&lt;2.9,"3018",IF(N68&lt;3.8,"3029",IF(N68&lt;5,"3038",IF(N68&lt;7,"3050",IF(N68&lt;9,"3070",IF(N68&lt;11,"3090","3110"))))))),""))))</f>
        <v/>
      </c>
      <c r="Q68">
        <f>AND(O68=TRUE,P68&lt;&gt;"")</f>
        <v/>
      </c>
      <c r="R68">
        <f>IF(G68*1000&lt;750,"なし","あり")</f>
        <v/>
      </c>
      <c r="S68">
        <f>IF(AND(O68=TRUE,Q68=TRUE),"設定可","BLOCK")</f>
        <v/>
      </c>
      <c r="T68" t="inlineStr">
        <is>
          <t>商品カタログ P194</t>
        </is>
      </c>
      <c r="U68" t="inlineStr">
        <is>
          <t>https://webcatalog.lixil.co.jp/iportal/CatalogDetail.do?catalogID=15191910000&amp;categoryID=1630000&amp;designID=newinter&amp;method=initial_screen&amp;position=18&amp;type=mc&amp;volumeID=LXL13001</t>
        </is>
      </c>
    </row>
    <row r="69">
      <c r="A69" t="inlineStr">
        <is>
          <t>WG-SL-00066</t>
        </is>
      </c>
      <c r="B69" t="inlineStr">
        <is>
          <t>SZ-SL-000953</t>
        </is>
      </c>
      <c r="C69" t="inlineStr">
        <is>
          <t>WT-SL-AGE-SAGE-FS</t>
        </is>
      </c>
      <c r="E69" t="inlineStr">
        <is>
          <t>03613</t>
        </is>
      </c>
      <c r="F69" t="n">
        <v>0.405</v>
      </c>
      <c r="G69" t="n">
        <v>1.37</v>
      </c>
      <c r="H69" t="inlineStr">
        <is>
          <t>GL-SL-003</t>
        </is>
      </c>
      <c r="I69" t="n">
        <v>8</v>
      </c>
      <c r="J69" t="n">
        <v>10.4</v>
      </c>
      <c r="K69" t="n">
        <v>-0.605</v>
      </c>
      <c r="L69" t="n">
        <v>-1.332</v>
      </c>
      <c r="M69" t="n">
        <v>0.399</v>
      </c>
      <c r="N69">
        <f>ROUND(J69*F69*G69+K69*G69+L69*F69+M69,3)</f>
        <v/>
      </c>
      <c r="O69">
        <f>AND(N69&gt;=1.4,N69&lt;=13)</f>
        <v/>
      </c>
      <c r="P69">
        <f>IF(OR(N69&lt;1.4,N69&gt;13),"",IF(G69*1000&lt;=1170,IF(N69&lt;1.8,"1014",IF(N69&lt;2.9,"1018",IF(N69&lt;3.8,"1029",IF(N69&lt;5,"1038",IF(N69&lt;7,"1050",IF(N69&lt;9,"1070",IF(N69&lt;11,"1090","1110"))))))),IF(G69*1000&lt;=1570,IF(N69&lt;1.8,"",IF(N69&lt;2.9,"2018",IF(N69&lt;3.8,"2029",IF(N69&lt;5,"2038",IF(N69&lt;7,"2050",IF(N69&lt;9,"2070",IF(N69&lt;11,"2090","2110"))))))),IF(G69*1000&lt;=1700,IF(N69&lt;1.8,"",IF(N69&lt;2.9,"3018",IF(N69&lt;3.8,"3029",IF(N69&lt;5,"3038",IF(N69&lt;7,"3050",IF(N69&lt;9,"3070",IF(N69&lt;11,"3090","3110"))))))),""))))</f>
        <v/>
      </c>
      <c r="Q69">
        <f>AND(O69=TRUE,P69&lt;&gt;"")</f>
        <v/>
      </c>
      <c r="R69">
        <f>IF(G69*1000&lt;750,"なし","あり")</f>
        <v/>
      </c>
      <c r="S69">
        <f>IF(AND(O69=TRUE,Q69=TRUE),"設定可","BLOCK")</f>
        <v/>
      </c>
      <c r="T69" t="inlineStr">
        <is>
          <t>商品カタログ P194</t>
        </is>
      </c>
      <c r="U69" t="inlineStr">
        <is>
          <t>https://webcatalog.lixil.co.jp/iportal/CatalogDetail.do?catalogID=15191910000&amp;categoryID=1630000&amp;designID=newinter&amp;method=initial_screen&amp;position=18&amp;type=mc&amp;volumeID=LXL13001</t>
        </is>
      </c>
    </row>
    <row r="70">
      <c r="A70" t="inlineStr">
        <is>
          <t>WG-SL-00067</t>
        </is>
      </c>
      <c r="B70" t="inlineStr">
        <is>
          <t>SZ-SL-000953</t>
        </is>
      </c>
      <c r="C70" t="inlineStr">
        <is>
          <t>WT-SL-AGE-SAGE-FS</t>
        </is>
      </c>
      <c r="E70" t="inlineStr">
        <is>
          <t>03613</t>
        </is>
      </c>
      <c r="F70" t="n">
        <v>0.405</v>
      </c>
      <c r="G70" t="n">
        <v>1.37</v>
      </c>
      <c r="H70" t="inlineStr">
        <is>
          <t>GL-SL-004</t>
        </is>
      </c>
      <c r="I70" t="n">
        <v>6</v>
      </c>
      <c r="J70" t="n">
        <v>7.8</v>
      </c>
      <c r="K70" t="n">
        <v>-0.355</v>
      </c>
      <c r="L70" t="n">
        <v>-0.664</v>
      </c>
      <c r="M70" t="n">
        <v>0.335</v>
      </c>
      <c r="N70">
        <f>ROUND(J70*F70*G70+K70*G70+L70*F70+M70,3)</f>
        <v/>
      </c>
      <c r="O70">
        <f>AND(N70&gt;=1.4,N70&lt;=13)</f>
        <v/>
      </c>
      <c r="P70">
        <f>IF(OR(N70&lt;1.4,N70&gt;13),"",IF(G70*1000&lt;=1170,IF(N70&lt;1.8,"1014",IF(N70&lt;2.9,"1018",IF(N70&lt;3.8,"1029",IF(N70&lt;5,"1038",IF(N70&lt;7,"1050",IF(N70&lt;9,"1070",IF(N70&lt;11,"1090","1110"))))))),IF(G70*1000&lt;=1570,IF(N70&lt;1.8,"",IF(N70&lt;2.9,"2018",IF(N70&lt;3.8,"2029",IF(N70&lt;5,"2038",IF(N70&lt;7,"2050",IF(N70&lt;9,"2070",IF(N70&lt;11,"2090","2110"))))))),IF(G70*1000&lt;=1700,IF(N70&lt;1.8,"",IF(N70&lt;2.9,"3018",IF(N70&lt;3.8,"3029",IF(N70&lt;5,"3038",IF(N70&lt;7,"3050",IF(N70&lt;9,"3070",IF(N70&lt;11,"3090","3110"))))))),""))))</f>
        <v/>
      </c>
      <c r="Q70">
        <f>AND(O70=TRUE,P70&lt;&gt;"")</f>
        <v/>
      </c>
      <c r="R70">
        <f>IF(G70*1000&lt;750,"なし","あり")</f>
        <v/>
      </c>
      <c r="S70">
        <f>IF(AND(O70=TRUE,Q70=TRUE),"設定可","BLOCK")</f>
        <v/>
      </c>
      <c r="T70" t="inlineStr">
        <is>
          <t>商品カタログ P194</t>
        </is>
      </c>
      <c r="U70" t="inlineStr">
        <is>
          <t>https://webcatalog.lixil.co.jp/iportal/CatalogDetail.do?catalogID=15191910000&amp;categoryID=1630000&amp;designID=newinter&amp;method=initial_screen&amp;position=18&amp;type=mc&amp;volumeID=LXL13001</t>
        </is>
      </c>
    </row>
    <row r="71">
      <c r="A71" t="inlineStr">
        <is>
          <t>WG-SL-00068</t>
        </is>
      </c>
      <c r="B71" t="inlineStr">
        <is>
          <t>SZ-SL-000953</t>
        </is>
      </c>
      <c r="C71" t="inlineStr">
        <is>
          <t>WT-SL-AGE-SAGE-FS</t>
        </is>
      </c>
      <c r="E71" t="inlineStr">
        <is>
          <t>03613</t>
        </is>
      </c>
      <c r="F71" t="n">
        <v>0.405</v>
      </c>
      <c r="G71" t="n">
        <v>1.37</v>
      </c>
      <c r="H71" t="inlineStr">
        <is>
          <t>GL-SL-005</t>
        </is>
      </c>
      <c r="I71" t="n">
        <v>7</v>
      </c>
      <c r="J71" t="n">
        <v>9.1</v>
      </c>
      <c r="K71" t="n">
        <v>-0.48</v>
      </c>
      <c r="L71" t="n">
        <v>-0.998</v>
      </c>
      <c r="M71" t="n">
        <v>0.367</v>
      </c>
      <c r="N71">
        <f>ROUND(J71*F71*G71+K71*G71+L71*F71+M71,3)</f>
        <v/>
      </c>
      <c r="O71">
        <f>AND(N71&gt;=1.4,N71&lt;=13)</f>
        <v/>
      </c>
      <c r="P71">
        <f>IF(OR(N71&lt;1.4,N71&gt;13),"",IF(G71*1000&lt;=1170,IF(N71&lt;1.8,"1014",IF(N71&lt;2.9,"1018",IF(N71&lt;3.8,"1029",IF(N71&lt;5,"1038",IF(N71&lt;7,"1050",IF(N71&lt;9,"1070",IF(N71&lt;11,"1090","1110"))))))),IF(G71*1000&lt;=1570,IF(N71&lt;1.8,"",IF(N71&lt;2.9,"2018",IF(N71&lt;3.8,"2029",IF(N71&lt;5,"2038",IF(N71&lt;7,"2050",IF(N71&lt;9,"2070",IF(N71&lt;11,"2090","2110"))))))),IF(G71*1000&lt;=1700,IF(N71&lt;1.8,"",IF(N71&lt;2.9,"3018",IF(N71&lt;3.8,"3029",IF(N71&lt;5,"3038",IF(N71&lt;7,"3050",IF(N71&lt;9,"3070",IF(N71&lt;11,"3090","3110"))))))),""))))</f>
        <v/>
      </c>
      <c r="Q71">
        <f>AND(O71=TRUE,P71&lt;&gt;"")</f>
        <v/>
      </c>
      <c r="R71">
        <f>IF(G71*1000&lt;750,"なし","あり")</f>
        <v/>
      </c>
      <c r="S71">
        <f>IF(AND(O71=TRUE,Q71=TRUE),"設定可","BLOCK")</f>
        <v/>
      </c>
      <c r="T71" t="inlineStr">
        <is>
          <t>商品カタログ P194</t>
        </is>
      </c>
      <c r="U71" t="inlineStr">
        <is>
          <t>https://webcatalog.lixil.co.jp/iportal/CatalogDetail.do?catalogID=15191910000&amp;categoryID=1630000&amp;designID=newinter&amp;method=initial_screen&amp;position=18&amp;type=mc&amp;volumeID=LXL13001</t>
        </is>
      </c>
    </row>
    <row r="72">
      <c r="A72" t="inlineStr">
        <is>
          <t>WG-SL-00069</t>
        </is>
      </c>
      <c r="B72" t="inlineStr">
        <is>
          <t>SZ-SL-000953</t>
        </is>
      </c>
      <c r="C72" t="inlineStr">
        <is>
          <t>WT-SL-AGE-SAGE-FS</t>
        </is>
      </c>
      <c r="E72" t="inlineStr">
        <is>
          <t>03613</t>
        </is>
      </c>
      <c r="F72" t="n">
        <v>0.405</v>
      </c>
      <c r="G72" t="n">
        <v>1.37</v>
      </c>
      <c r="H72" t="inlineStr">
        <is>
          <t>GL-SL-006</t>
        </is>
      </c>
      <c r="I72" t="n">
        <v>8</v>
      </c>
      <c r="J72" t="n">
        <v>10.4</v>
      </c>
      <c r="K72" t="n">
        <v>-0.605</v>
      </c>
      <c r="L72" t="n">
        <v>-1.332</v>
      </c>
      <c r="M72" t="n">
        <v>0.399</v>
      </c>
      <c r="N72">
        <f>ROUND(J72*F72*G72+K72*G72+L72*F72+M72,3)</f>
        <v/>
      </c>
      <c r="O72">
        <f>AND(N72&gt;=1.4,N72&lt;=13)</f>
        <v/>
      </c>
      <c r="P72">
        <f>IF(OR(N72&lt;1.4,N72&gt;13),"",IF(G72*1000&lt;=1170,IF(N72&lt;1.8,"1014",IF(N72&lt;2.9,"1018",IF(N72&lt;3.8,"1029",IF(N72&lt;5,"1038",IF(N72&lt;7,"1050",IF(N72&lt;9,"1070",IF(N72&lt;11,"1090","1110"))))))),IF(G72*1000&lt;=1570,IF(N72&lt;1.8,"",IF(N72&lt;2.9,"2018",IF(N72&lt;3.8,"2029",IF(N72&lt;5,"2038",IF(N72&lt;7,"2050",IF(N72&lt;9,"2070",IF(N72&lt;11,"2090","2110"))))))),IF(G72*1000&lt;=1700,IF(N72&lt;1.8,"",IF(N72&lt;2.9,"3018",IF(N72&lt;3.8,"3029",IF(N72&lt;5,"3038",IF(N72&lt;7,"3050",IF(N72&lt;9,"3070",IF(N72&lt;11,"3090","3110"))))))),""))))</f>
        <v/>
      </c>
      <c r="Q72">
        <f>AND(O72=TRUE,P72&lt;&gt;"")</f>
        <v/>
      </c>
      <c r="R72">
        <f>IF(G72*1000&lt;750,"なし","あり")</f>
        <v/>
      </c>
      <c r="S72">
        <f>IF(AND(O72=TRUE,Q72=TRUE),"設定可","BLOCK")</f>
        <v/>
      </c>
      <c r="T72" t="inlineStr">
        <is>
          <t>商品カタログ P194</t>
        </is>
      </c>
      <c r="U72" t="inlineStr">
        <is>
          <t>https://webcatalog.lixil.co.jp/iportal/CatalogDetail.do?catalogID=15191910000&amp;categoryID=1630000&amp;designID=newinter&amp;method=initial_screen&amp;position=18&amp;type=mc&amp;volumeID=LXL13001</t>
        </is>
      </c>
    </row>
    <row r="73">
      <c r="A73" t="inlineStr">
        <is>
          <t>WG-SL-00070</t>
        </is>
      </c>
      <c r="B73" t="inlineStr">
        <is>
          <t>SZ-SL-000953</t>
        </is>
      </c>
      <c r="C73" t="inlineStr">
        <is>
          <t>WT-SL-AGE-SAGE-FS</t>
        </is>
      </c>
      <c r="E73" t="inlineStr">
        <is>
          <t>03613</t>
        </is>
      </c>
      <c r="F73" t="n">
        <v>0.405</v>
      </c>
      <c r="G73" t="n">
        <v>1.37</v>
      </c>
      <c r="H73" t="inlineStr">
        <is>
          <t>GL-SL-007</t>
        </is>
      </c>
      <c r="I73" t="n">
        <v>6</v>
      </c>
      <c r="J73" t="n">
        <v>7.8</v>
      </c>
      <c r="K73" t="n">
        <v>-0.355</v>
      </c>
      <c r="L73" t="n">
        <v>-0.664</v>
      </c>
      <c r="M73" t="n">
        <v>0.335</v>
      </c>
      <c r="N73">
        <f>ROUND(J73*F73*G73+K73*G73+L73*F73+M73,3)</f>
        <v/>
      </c>
      <c r="O73">
        <f>AND(N73&gt;=1.4,N73&lt;=13)</f>
        <v/>
      </c>
      <c r="P73">
        <f>IF(OR(N73&lt;1.4,N73&gt;13),"",IF(G73*1000&lt;=1170,IF(N73&lt;1.8,"1014",IF(N73&lt;2.9,"1018",IF(N73&lt;3.8,"1029",IF(N73&lt;5,"1038",IF(N73&lt;7,"1050",IF(N73&lt;9,"1070",IF(N73&lt;11,"1090","1110"))))))),IF(G73*1000&lt;=1570,IF(N73&lt;1.8,"",IF(N73&lt;2.9,"2018",IF(N73&lt;3.8,"2029",IF(N73&lt;5,"2038",IF(N73&lt;7,"2050",IF(N73&lt;9,"2070",IF(N73&lt;11,"2090","2110"))))))),IF(G73*1000&lt;=1700,IF(N73&lt;1.8,"",IF(N73&lt;2.9,"3018",IF(N73&lt;3.8,"3029",IF(N73&lt;5,"3038",IF(N73&lt;7,"3050",IF(N73&lt;9,"3070",IF(N73&lt;11,"3090","3110"))))))),""))))</f>
        <v/>
      </c>
      <c r="Q73">
        <f>AND(O73=TRUE,P73&lt;&gt;"")</f>
        <v/>
      </c>
      <c r="R73">
        <f>IF(G73*1000&lt;750,"なし","あり")</f>
        <v/>
      </c>
      <c r="S73">
        <f>IF(AND(O73=TRUE,Q73=TRUE),"設定可","BLOCK")</f>
        <v/>
      </c>
      <c r="T73" t="inlineStr">
        <is>
          <t>商品カタログ P194</t>
        </is>
      </c>
      <c r="U73" t="inlineStr">
        <is>
          <t>https://webcatalog.lixil.co.jp/iportal/CatalogDetail.do?catalogID=15191910000&amp;categoryID=1630000&amp;designID=newinter&amp;method=initial_screen&amp;position=18&amp;type=mc&amp;volumeID=LXL13001</t>
        </is>
      </c>
    </row>
    <row r="74">
      <c r="A74" t="inlineStr">
        <is>
          <t>WG-SL-00071</t>
        </is>
      </c>
      <c r="B74" t="inlineStr">
        <is>
          <t>SZ-SL-000953</t>
        </is>
      </c>
      <c r="C74" t="inlineStr">
        <is>
          <t>WT-SL-AGE-SAGE-FS</t>
        </is>
      </c>
      <c r="E74" t="inlineStr">
        <is>
          <t>03613</t>
        </is>
      </c>
      <c r="F74" t="n">
        <v>0.405</v>
      </c>
      <c r="G74" t="n">
        <v>1.37</v>
      </c>
      <c r="H74" t="inlineStr">
        <is>
          <t>GL-SL-008</t>
        </is>
      </c>
      <c r="I74" t="n">
        <v>7</v>
      </c>
      <c r="J74" t="n">
        <v>9.1</v>
      </c>
      <c r="K74" t="n">
        <v>-0.48</v>
      </c>
      <c r="L74" t="n">
        <v>-0.998</v>
      </c>
      <c r="M74" t="n">
        <v>0.367</v>
      </c>
      <c r="N74">
        <f>ROUND(J74*F74*G74+K74*G74+L74*F74+M74,3)</f>
        <v/>
      </c>
      <c r="O74">
        <f>AND(N74&gt;=1.4,N74&lt;=13)</f>
        <v/>
      </c>
      <c r="P74">
        <f>IF(OR(N74&lt;1.4,N74&gt;13),"",IF(G74*1000&lt;=1170,IF(N74&lt;1.8,"1014",IF(N74&lt;2.9,"1018",IF(N74&lt;3.8,"1029",IF(N74&lt;5,"1038",IF(N74&lt;7,"1050",IF(N74&lt;9,"1070",IF(N74&lt;11,"1090","1110"))))))),IF(G74*1000&lt;=1570,IF(N74&lt;1.8,"",IF(N74&lt;2.9,"2018",IF(N74&lt;3.8,"2029",IF(N74&lt;5,"2038",IF(N74&lt;7,"2050",IF(N74&lt;9,"2070",IF(N74&lt;11,"2090","2110"))))))),IF(G74*1000&lt;=1700,IF(N74&lt;1.8,"",IF(N74&lt;2.9,"3018",IF(N74&lt;3.8,"3029",IF(N74&lt;5,"3038",IF(N74&lt;7,"3050",IF(N74&lt;9,"3070",IF(N74&lt;11,"3090","3110"))))))),""))))</f>
        <v/>
      </c>
      <c r="Q74">
        <f>AND(O74=TRUE,P74&lt;&gt;"")</f>
        <v/>
      </c>
      <c r="R74">
        <f>IF(G74*1000&lt;750,"なし","あり")</f>
        <v/>
      </c>
      <c r="S74">
        <f>IF(AND(O74=TRUE,Q74=TRUE),"設定可","BLOCK")</f>
        <v/>
      </c>
      <c r="T74" t="inlineStr">
        <is>
          <t>商品カタログ P194</t>
        </is>
      </c>
      <c r="U74" t="inlineStr">
        <is>
          <t>https://webcatalog.lixil.co.jp/iportal/CatalogDetail.do?catalogID=15191910000&amp;categoryID=1630000&amp;designID=newinter&amp;method=initial_screen&amp;position=18&amp;type=mc&amp;volumeID=LXL13001</t>
        </is>
      </c>
    </row>
    <row r="75">
      <c r="A75" t="inlineStr">
        <is>
          <t>WG-SL-00072</t>
        </is>
      </c>
      <c r="B75" t="inlineStr">
        <is>
          <t>SZ-SL-000953</t>
        </is>
      </c>
      <c r="C75" t="inlineStr">
        <is>
          <t>WT-SL-AGE-SAGE-FS</t>
        </is>
      </c>
      <c r="E75" t="inlineStr">
        <is>
          <t>03613</t>
        </is>
      </c>
      <c r="F75" t="n">
        <v>0.405</v>
      </c>
      <c r="G75" t="n">
        <v>1.37</v>
      </c>
      <c r="H75" t="inlineStr">
        <is>
          <t>GL-SL-009</t>
        </is>
      </c>
      <c r="I75" t="n">
        <v>8</v>
      </c>
      <c r="J75" t="n">
        <v>10.4</v>
      </c>
      <c r="K75" t="n">
        <v>-0.605</v>
      </c>
      <c r="L75" t="n">
        <v>-1.332</v>
      </c>
      <c r="M75" t="n">
        <v>0.399</v>
      </c>
      <c r="N75">
        <f>ROUND(J75*F75*G75+K75*G75+L75*F75+M75,3)</f>
        <v/>
      </c>
      <c r="O75">
        <f>AND(N75&gt;=1.4,N75&lt;=13)</f>
        <v/>
      </c>
      <c r="P75">
        <f>IF(OR(N75&lt;1.4,N75&gt;13),"",IF(G75*1000&lt;=1170,IF(N75&lt;1.8,"1014",IF(N75&lt;2.9,"1018",IF(N75&lt;3.8,"1029",IF(N75&lt;5,"1038",IF(N75&lt;7,"1050",IF(N75&lt;9,"1070",IF(N75&lt;11,"1090","1110"))))))),IF(G75*1000&lt;=1570,IF(N75&lt;1.8,"",IF(N75&lt;2.9,"2018",IF(N75&lt;3.8,"2029",IF(N75&lt;5,"2038",IF(N75&lt;7,"2050",IF(N75&lt;9,"2070",IF(N75&lt;11,"2090","2110"))))))),IF(G75*1000&lt;=1700,IF(N75&lt;1.8,"",IF(N75&lt;2.9,"3018",IF(N75&lt;3.8,"3029",IF(N75&lt;5,"3038",IF(N75&lt;7,"3050",IF(N75&lt;9,"3070",IF(N75&lt;11,"3090","3110"))))))),""))))</f>
        <v/>
      </c>
      <c r="Q75">
        <f>AND(O75=TRUE,P75&lt;&gt;"")</f>
        <v/>
      </c>
      <c r="R75">
        <f>IF(G75*1000&lt;750,"なし","あり")</f>
        <v/>
      </c>
      <c r="S75">
        <f>IF(AND(O75=TRUE,Q75=TRUE),"設定可","BLOCK")</f>
        <v/>
      </c>
      <c r="T75" t="inlineStr">
        <is>
          <t>商品カタログ P194</t>
        </is>
      </c>
      <c r="U75" t="inlineStr">
        <is>
          <t>https://webcatalog.lixil.co.jp/iportal/CatalogDetail.do?catalogID=15191910000&amp;categoryID=1630000&amp;designID=newinter&amp;method=initial_screen&amp;position=18&amp;type=mc&amp;volumeID=LXL13001</t>
        </is>
      </c>
    </row>
    <row r="76">
      <c r="A76" t="inlineStr">
        <is>
          <t>WG-SL-00073</t>
        </is>
      </c>
      <c r="B76" t="inlineStr">
        <is>
          <t>SZ-SL-000954</t>
        </is>
      </c>
      <c r="C76" t="inlineStr">
        <is>
          <t>WT-SL-AGE-SAGE-FS</t>
        </is>
      </c>
      <c r="E76" t="inlineStr">
        <is>
          <t>03615</t>
        </is>
      </c>
      <c r="F76" t="n">
        <v>0.405</v>
      </c>
      <c r="G76" t="n">
        <v>1.57</v>
      </c>
      <c r="H76" t="inlineStr">
        <is>
          <t>GL-SL-001</t>
        </is>
      </c>
      <c r="I76" t="n">
        <v>6</v>
      </c>
      <c r="J76" t="n">
        <v>7.8</v>
      </c>
      <c r="K76" t="n">
        <v>-0.355</v>
      </c>
      <c r="L76" t="n">
        <v>-0.664</v>
      </c>
      <c r="M76" t="n">
        <v>0.335</v>
      </c>
      <c r="N76">
        <f>ROUND(J76*F76*G76+K76*G76+L76*F76+M76,3)</f>
        <v/>
      </c>
      <c r="O76">
        <f>AND(N76&gt;=1.4,N76&lt;=13)</f>
        <v/>
      </c>
      <c r="P76">
        <f>IF(OR(N76&lt;1.4,N76&gt;13),"",IF(G76*1000&lt;=1170,IF(N76&lt;1.8,"1014",IF(N76&lt;2.9,"1018",IF(N76&lt;3.8,"1029",IF(N76&lt;5,"1038",IF(N76&lt;7,"1050",IF(N76&lt;9,"1070",IF(N76&lt;11,"1090","1110"))))))),IF(G76*1000&lt;=1570,IF(N76&lt;1.8,"",IF(N76&lt;2.9,"2018",IF(N76&lt;3.8,"2029",IF(N76&lt;5,"2038",IF(N76&lt;7,"2050",IF(N76&lt;9,"2070",IF(N76&lt;11,"2090","2110"))))))),IF(G76*1000&lt;=1700,IF(N76&lt;1.8,"",IF(N76&lt;2.9,"3018",IF(N76&lt;3.8,"3029",IF(N76&lt;5,"3038",IF(N76&lt;7,"3050",IF(N76&lt;9,"3070",IF(N76&lt;11,"3090","3110"))))))),""))))</f>
        <v/>
      </c>
      <c r="Q76">
        <f>AND(O76=TRUE,P76&lt;&gt;"")</f>
        <v/>
      </c>
      <c r="R76">
        <f>IF(G76*1000&lt;750,"なし","あり")</f>
        <v/>
      </c>
      <c r="S76">
        <f>IF(AND(O76=TRUE,Q76=TRUE),"設定可","BLOCK")</f>
        <v/>
      </c>
      <c r="T76" t="inlineStr">
        <is>
          <t>商品カタログ P194</t>
        </is>
      </c>
      <c r="U76" t="inlineStr">
        <is>
          <t>https://webcatalog.lixil.co.jp/iportal/CatalogDetail.do?catalogID=15191910000&amp;categoryID=1630000&amp;designID=newinter&amp;method=initial_screen&amp;position=18&amp;type=mc&amp;volumeID=LXL13001</t>
        </is>
      </c>
    </row>
    <row r="77">
      <c r="A77" t="inlineStr">
        <is>
          <t>WG-SL-00074</t>
        </is>
      </c>
      <c r="B77" t="inlineStr">
        <is>
          <t>SZ-SL-000954</t>
        </is>
      </c>
      <c r="C77" t="inlineStr">
        <is>
          <t>WT-SL-AGE-SAGE-FS</t>
        </is>
      </c>
      <c r="E77" t="inlineStr">
        <is>
          <t>03615</t>
        </is>
      </c>
      <c r="F77" t="n">
        <v>0.405</v>
      </c>
      <c r="G77" t="n">
        <v>1.57</v>
      </c>
      <c r="H77" t="inlineStr">
        <is>
          <t>GL-SL-002</t>
        </is>
      </c>
      <c r="I77" t="n">
        <v>7</v>
      </c>
      <c r="J77" t="n">
        <v>9.1</v>
      </c>
      <c r="K77" t="n">
        <v>-0.48</v>
      </c>
      <c r="L77" t="n">
        <v>-0.998</v>
      </c>
      <c r="M77" t="n">
        <v>0.367</v>
      </c>
      <c r="N77">
        <f>ROUND(J77*F77*G77+K77*G77+L77*F77+M77,3)</f>
        <v/>
      </c>
      <c r="O77">
        <f>AND(N77&gt;=1.4,N77&lt;=13)</f>
        <v/>
      </c>
      <c r="P77">
        <f>IF(OR(N77&lt;1.4,N77&gt;13),"",IF(G77*1000&lt;=1170,IF(N77&lt;1.8,"1014",IF(N77&lt;2.9,"1018",IF(N77&lt;3.8,"1029",IF(N77&lt;5,"1038",IF(N77&lt;7,"1050",IF(N77&lt;9,"1070",IF(N77&lt;11,"1090","1110"))))))),IF(G77*1000&lt;=1570,IF(N77&lt;1.8,"",IF(N77&lt;2.9,"2018",IF(N77&lt;3.8,"2029",IF(N77&lt;5,"2038",IF(N77&lt;7,"2050",IF(N77&lt;9,"2070",IF(N77&lt;11,"2090","2110"))))))),IF(G77*1000&lt;=1700,IF(N77&lt;1.8,"",IF(N77&lt;2.9,"3018",IF(N77&lt;3.8,"3029",IF(N77&lt;5,"3038",IF(N77&lt;7,"3050",IF(N77&lt;9,"3070",IF(N77&lt;11,"3090","3110"))))))),""))))</f>
        <v/>
      </c>
      <c r="Q77">
        <f>AND(O77=TRUE,P77&lt;&gt;"")</f>
        <v/>
      </c>
      <c r="R77">
        <f>IF(G77*1000&lt;750,"なし","あり")</f>
        <v/>
      </c>
      <c r="S77">
        <f>IF(AND(O77=TRUE,Q77=TRUE),"設定可","BLOCK")</f>
        <v/>
      </c>
      <c r="T77" t="inlineStr">
        <is>
          <t>商品カタログ P194</t>
        </is>
      </c>
      <c r="U77" t="inlineStr">
        <is>
          <t>https://webcatalog.lixil.co.jp/iportal/CatalogDetail.do?catalogID=15191910000&amp;categoryID=1630000&amp;designID=newinter&amp;method=initial_screen&amp;position=18&amp;type=mc&amp;volumeID=LXL13001</t>
        </is>
      </c>
    </row>
    <row r="78">
      <c r="A78" t="inlineStr">
        <is>
          <t>WG-SL-00075</t>
        </is>
      </c>
      <c r="B78" t="inlineStr">
        <is>
          <t>SZ-SL-000954</t>
        </is>
      </c>
      <c r="C78" t="inlineStr">
        <is>
          <t>WT-SL-AGE-SAGE-FS</t>
        </is>
      </c>
      <c r="E78" t="inlineStr">
        <is>
          <t>03615</t>
        </is>
      </c>
      <c r="F78" t="n">
        <v>0.405</v>
      </c>
      <c r="G78" t="n">
        <v>1.57</v>
      </c>
      <c r="H78" t="inlineStr">
        <is>
          <t>GL-SL-003</t>
        </is>
      </c>
      <c r="I78" t="n">
        <v>8</v>
      </c>
      <c r="J78" t="n">
        <v>10.4</v>
      </c>
      <c r="K78" t="n">
        <v>-0.605</v>
      </c>
      <c r="L78" t="n">
        <v>-1.332</v>
      </c>
      <c r="M78" t="n">
        <v>0.399</v>
      </c>
      <c r="N78">
        <f>ROUND(J78*F78*G78+K78*G78+L78*F78+M78,3)</f>
        <v/>
      </c>
      <c r="O78">
        <f>AND(N78&gt;=1.4,N78&lt;=13)</f>
        <v/>
      </c>
      <c r="P78">
        <f>IF(OR(N78&lt;1.4,N78&gt;13),"",IF(G78*1000&lt;=1170,IF(N78&lt;1.8,"1014",IF(N78&lt;2.9,"1018",IF(N78&lt;3.8,"1029",IF(N78&lt;5,"1038",IF(N78&lt;7,"1050",IF(N78&lt;9,"1070",IF(N78&lt;11,"1090","1110"))))))),IF(G78*1000&lt;=1570,IF(N78&lt;1.8,"",IF(N78&lt;2.9,"2018",IF(N78&lt;3.8,"2029",IF(N78&lt;5,"2038",IF(N78&lt;7,"2050",IF(N78&lt;9,"2070",IF(N78&lt;11,"2090","2110"))))))),IF(G78*1000&lt;=1700,IF(N78&lt;1.8,"",IF(N78&lt;2.9,"3018",IF(N78&lt;3.8,"3029",IF(N78&lt;5,"3038",IF(N78&lt;7,"3050",IF(N78&lt;9,"3070",IF(N78&lt;11,"3090","3110"))))))),""))))</f>
        <v/>
      </c>
      <c r="Q78">
        <f>AND(O78=TRUE,P78&lt;&gt;"")</f>
        <v/>
      </c>
      <c r="R78">
        <f>IF(G78*1000&lt;750,"なし","あり")</f>
        <v/>
      </c>
      <c r="S78">
        <f>IF(AND(O78=TRUE,Q78=TRUE),"設定可","BLOCK")</f>
        <v/>
      </c>
      <c r="T78" t="inlineStr">
        <is>
          <t>商品カタログ P194</t>
        </is>
      </c>
      <c r="U78" t="inlineStr">
        <is>
          <t>https://webcatalog.lixil.co.jp/iportal/CatalogDetail.do?catalogID=15191910000&amp;categoryID=1630000&amp;designID=newinter&amp;method=initial_screen&amp;position=18&amp;type=mc&amp;volumeID=LXL13001</t>
        </is>
      </c>
    </row>
    <row r="79">
      <c r="A79" t="inlineStr">
        <is>
          <t>WG-SL-00076</t>
        </is>
      </c>
      <c r="B79" t="inlineStr">
        <is>
          <t>SZ-SL-000954</t>
        </is>
      </c>
      <c r="C79" t="inlineStr">
        <is>
          <t>WT-SL-AGE-SAGE-FS</t>
        </is>
      </c>
      <c r="E79" t="inlineStr">
        <is>
          <t>03615</t>
        </is>
      </c>
      <c r="F79" t="n">
        <v>0.405</v>
      </c>
      <c r="G79" t="n">
        <v>1.57</v>
      </c>
      <c r="H79" t="inlineStr">
        <is>
          <t>GL-SL-004</t>
        </is>
      </c>
      <c r="I79" t="n">
        <v>6</v>
      </c>
      <c r="J79" t="n">
        <v>7.8</v>
      </c>
      <c r="K79" t="n">
        <v>-0.355</v>
      </c>
      <c r="L79" t="n">
        <v>-0.664</v>
      </c>
      <c r="M79" t="n">
        <v>0.335</v>
      </c>
      <c r="N79">
        <f>ROUND(J79*F79*G79+K79*G79+L79*F79+M79,3)</f>
        <v/>
      </c>
      <c r="O79">
        <f>AND(N79&gt;=1.4,N79&lt;=13)</f>
        <v/>
      </c>
      <c r="P79">
        <f>IF(OR(N79&lt;1.4,N79&gt;13),"",IF(G79*1000&lt;=1170,IF(N79&lt;1.8,"1014",IF(N79&lt;2.9,"1018",IF(N79&lt;3.8,"1029",IF(N79&lt;5,"1038",IF(N79&lt;7,"1050",IF(N79&lt;9,"1070",IF(N79&lt;11,"1090","1110"))))))),IF(G79*1000&lt;=1570,IF(N79&lt;1.8,"",IF(N79&lt;2.9,"2018",IF(N79&lt;3.8,"2029",IF(N79&lt;5,"2038",IF(N79&lt;7,"2050",IF(N79&lt;9,"2070",IF(N79&lt;11,"2090","2110"))))))),IF(G79*1000&lt;=1700,IF(N79&lt;1.8,"",IF(N79&lt;2.9,"3018",IF(N79&lt;3.8,"3029",IF(N79&lt;5,"3038",IF(N79&lt;7,"3050",IF(N79&lt;9,"3070",IF(N79&lt;11,"3090","3110"))))))),""))))</f>
        <v/>
      </c>
      <c r="Q79">
        <f>AND(O79=TRUE,P79&lt;&gt;"")</f>
        <v/>
      </c>
      <c r="R79">
        <f>IF(G79*1000&lt;750,"なし","あり")</f>
        <v/>
      </c>
      <c r="S79">
        <f>IF(AND(O79=TRUE,Q79=TRUE),"設定可","BLOCK")</f>
        <v/>
      </c>
      <c r="T79" t="inlineStr">
        <is>
          <t>商品カタログ P194</t>
        </is>
      </c>
      <c r="U79" t="inlineStr">
        <is>
          <t>https://webcatalog.lixil.co.jp/iportal/CatalogDetail.do?catalogID=15191910000&amp;categoryID=1630000&amp;designID=newinter&amp;method=initial_screen&amp;position=18&amp;type=mc&amp;volumeID=LXL13001</t>
        </is>
      </c>
    </row>
    <row r="80">
      <c r="A80" t="inlineStr">
        <is>
          <t>WG-SL-00077</t>
        </is>
      </c>
      <c r="B80" t="inlineStr">
        <is>
          <t>SZ-SL-000954</t>
        </is>
      </c>
      <c r="C80" t="inlineStr">
        <is>
          <t>WT-SL-AGE-SAGE-FS</t>
        </is>
      </c>
      <c r="E80" t="inlineStr">
        <is>
          <t>03615</t>
        </is>
      </c>
      <c r="F80" t="n">
        <v>0.405</v>
      </c>
      <c r="G80" t="n">
        <v>1.57</v>
      </c>
      <c r="H80" t="inlineStr">
        <is>
          <t>GL-SL-005</t>
        </is>
      </c>
      <c r="I80" t="n">
        <v>7</v>
      </c>
      <c r="J80" t="n">
        <v>9.1</v>
      </c>
      <c r="K80" t="n">
        <v>-0.48</v>
      </c>
      <c r="L80" t="n">
        <v>-0.998</v>
      </c>
      <c r="M80" t="n">
        <v>0.367</v>
      </c>
      <c r="N80">
        <f>ROUND(J80*F80*G80+K80*G80+L80*F80+M80,3)</f>
        <v/>
      </c>
      <c r="O80">
        <f>AND(N80&gt;=1.4,N80&lt;=13)</f>
        <v/>
      </c>
      <c r="P80">
        <f>IF(OR(N80&lt;1.4,N80&gt;13),"",IF(G80*1000&lt;=1170,IF(N80&lt;1.8,"1014",IF(N80&lt;2.9,"1018",IF(N80&lt;3.8,"1029",IF(N80&lt;5,"1038",IF(N80&lt;7,"1050",IF(N80&lt;9,"1070",IF(N80&lt;11,"1090","1110"))))))),IF(G80*1000&lt;=1570,IF(N80&lt;1.8,"",IF(N80&lt;2.9,"2018",IF(N80&lt;3.8,"2029",IF(N80&lt;5,"2038",IF(N80&lt;7,"2050",IF(N80&lt;9,"2070",IF(N80&lt;11,"2090","2110"))))))),IF(G80*1000&lt;=1700,IF(N80&lt;1.8,"",IF(N80&lt;2.9,"3018",IF(N80&lt;3.8,"3029",IF(N80&lt;5,"3038",IF(N80&lt;7,"3050",IF(N80&lt;9,"3070",IF(N80&lt;11,"3090","3110"))))))),""))))</f>
        <v/>
      </c>
      <c r="Q80">
        <f>AND(O80=TRUE,P80&lt;&gt;"")</f>
        <v/>
      </c>
      <c r="R80">
        <f>IF(G80*1000&lt;750,"なし","あり")</f>
        <v/>
      </c>
      <c r="S80">
        <f>IF(AND(O80=TRUE,Q80=TRUE),"設定可","BLOCK")</f>
        <v/>
      </c>
      <c r="T80" t="inlineStr">
        <is>
          <t>商品カタログ P194</t>
        </is>
      </c>
      <c r="U80" t="inlineStr">
        <is>
          <t>https://webcatalog.lixil.co.jp/iportal/CatalogDetail.do?catalogID=15191910000&amp;categoryID=1630000&amp;designID=newinter&amp;method=initial_screen&amp;position=18&amp;type=mc&amp;volumeID=LXL13001</t>
        </is>
      </c>
    </row>
    <row r="81">
      <c r="A81" t="inlineStr">
        <is>
          <t>WG-SL-00078</t>
        </is>
      </c>
      <c r="B81" t="inlineStr">
        <is>
          <t>SZ-SL-000954</t>
        </is>
      </c>
      <c r="C81" t="inlineStr">
        <is>
          <t>WT-SL-AGE-SAGE-FS</t>
        </is>
      </c>
      <c r="E81" t="inlineStr">
        <is>
          <t>03615</t>
        </is>
      </c>
      <c r="F81" t="n">
        <v>0.405</v>
      </c>
      <c r="G81" t="n">
        <v>1.57</v>
      </c>
      <c r="H81" t="inlineStr">
        <is>
          <t>GL-SL-006</t>
        </is>
      </c>
      <c r="I81" t="n">
        <v>8</v>
      </c>
      <c r="J81" t="n">
        <v>10.4</v>
      </c>
      <c r="K81" t="n">
        <v>-0.605</v>
      </c>
      <c r="L81" t="n">
        <v>-1.332</v>
      </c>
      <c r="M81" t="n">
        <v>0.399</v>
      </c>
      <c r="N81">
        <f>ROUND(J81*F81*G81+K81*G81+L81*F81+M81,3)</f>
        <v/>
      </c>
      <c r="O81">
        <f>AND(N81&gt;=1.4,N81&lt;=13)</f>
        <v/>
      </c>
      <c r="P81">
        <f>IF(OR(N81&lt;1.4,N81&gt;13),"",IF(G81*1000&lt;=1170,IF(N81&lt;1.8,"1014",IF(N81&lt;2.9,"1018",IF(N81&lt;3.8,"1029",IF(N81&lt;5,"1038",IF(N81&lt;7,"1050",IF(N81&lt;9,"1070",IF(N81&lt;11,"1090","1110"))))))),IF(G81*1000&lt;=1570,IF(N81&lt;1.8,"",IF(N81&lt;2.9,"2018",IF(N81&lt;3.8,"2029",IF(N81&lt;5,"2038",IF(N81&lt;7,"2050",IF(N81&lt;9,"2070",IF(N81&lt;11,"2090","2110"))))))),IF(G81*1000&lt;=1700,IF(N81&lt;1.8,"",IF(N81&lt;2.9,"3018",IF(N81&lt;3.8,"3029",IF(N81&lt;5,"3038",IF(N81&lt;7,"3050",IF(N81&lt;9,"3070",IF(N81&lt;11,"3090","3110"))))))),""))))</f>
        <v/>
      </c>
      <c r="Q81">
        <f>AND(O81=TRUE,P81&lt;&gt;"")</f>
        <v/>
      </c>
      <c r="R81">
        <f>IF(G81*1000&lt;750,"なし","あり")</f>
        <v/>
      </c>
      <c r="S81">
        <f>IF(AND(O81=TRUE,Q81=TRUE),"設定可","BLOCK")</f>
        <v/>
      </c>
      <c r="T81" t="inlineStr">
        <is>
          <t>商品カタログ P194</t>
        </is>
      </c>
      <c r="U81" t="inlineStr">
        <is>
          <t>https://webcatalog.lixil.co.jp/iportal/CatalogDetail.do?catalogID=15191910000&amp;categoryID=1630000&amp;designID=newinter&amp;method=initial_screen&amp;position=18&amp;type=mc&amp;volumeID=LXL13001</t>
        </is>
      </c>
    </row>
    <row r="82">
      <c r="A82" t="inlineStr">
        <is>
          <t>WG-SL-00079</t>
        </is>
      </c>
      <c r="B82" t="inlineStr">
        <is>
          <t>SZ-SL-000954</t>
        </is>
      </c>
      <c r="C82" t="inlineStr">
        <is>
          <t>WT-SL-AGE-SAGE-FS</t>
        </is>
      </c>
      <c r="E82" t="inlineStr">
        <is>
          <t>03615</t>
        </is>
      </c>
      <c r="F82" t="n">
        <v>0.405</v>
      </c>
      <c r="G82" t="n">
        <v>1.57</v>
      </c>
      <c r="H82" t="inlineStr">
        <is>
          <t>GL-SL-007</t>
        </is>
      </c>
      <c r="I82" t="n">
        <v>6</v>
      </c>
      <c r="J82" t="n">
        <v>7.8</v>
      </c>
      <c r="K82" t="n">
        <v>-0.355</v>
      </c>
      <c r="L82" t="n">
        <v>-0.664</v>
      </c>
      <c r="M82" t="n">
        <v>0.335</v>
      </c>
      <c r="N82">
        <f>ROUND(J82*F82*G82+K82*G82+L82*F82+M82,3)</f>
        <v/>
      </c>
      <c r="O82">
        <f>AND(N82&gt;=1.4,N82&lt;=13)</f>
        <v/>
      </c>
      <c r="P82">
        <f>IF(OR(N82&lt;1.4,N82&gt;13),"",IF(G82*1000&lt;=1170,IF(N82&lt;1.8,"1014",IF(N82&lt;2.9,"1018",IF(N82&lt;3.8,"1029",IF(N82&lt;5,"1038",IF(N82&lt;7,"1050",IF(N82&lt;9,"1070",IF(N82&lt;11,"1090","1110"))))))),IF(G82*1000&lt;=1570,IF(N82&lt;1.8,"",IF(N82&lt;2.9,"2018",IF(N82&lt;3.8,"2029",IF(N82&lt;5,"2038",IF(N82&lt;7,"2050",IF(N82&lt;9,"2070",IF(N82&lt;11,"2090","2110"))))))),IF(G82*1000&lt;=1700,IF(N82&lt;1.8,"",IF(N82&lt;2.9,"3018",IF(N82&lt;3.8,"3029",IF(N82&lt;5,"3038",IF(N82&lt;7,"3050",IF(N82&lt;9,"3070",IF(N82&lt;11,"3090","3110"))))))),""))))</f>
        <v/>
      </c>
      <c r="Q82">
        <f>AND(O82=TRUE,P82&lt;&gt;"")</f>
        <v/>
      </c>
      <c r="R82">
        <f>IF(G82*1000&lt;750,"なし","あり")</f>
        <v/>
      </c>
      <c r="S82">
        <f>IF(AND(O82=TRUE,Q82=TRUE),"設定可","BLOCK")</f>
        <v/>
      </c>
      <c r="T82" t="inlineStr">
        <is>
          <t>商品カタログ P194</t>
        </is>
      </c>
      <c r="U82" t="inlineStr">
        <is>
          <t>https://webcatalog.lixil.co.jp/iportal/CatalogDetail.do?catalogID=15191910000&amp;categoryID=1630000&amp;designID=newinter&amp;method=initial_screen&amp;position=18&amp;type=mc&amp;volumeID=LXL13001</t>
        </is>
      </c>
    </row>
    <row r="83">
      <c r="A83" t="inlineStr">
        <is>
          <t>WG-SL-00080</t>
        </is>
      </c>
      <c r="B83" t="inlineStr">
        <is>
          <t>SZ-SL-000954</t>
        </is>
      </c>
      <c r="C83" t="inlineStr">
        <is>
          <t>WT-SL-AGE-SAGE-FS</t>
        </is>
      </c>
      <c r="E83" t="inlineStr">
        <is>
          <t>03615</t>
        </is>
      </c>
      <c r="F83" t="n">
        <v>0.405</v>
      </c>
      <c r="G83" t="n">
        <v>1.57</v>
      </c>
      <c r="H83" t="inlineStr">
        <is>
          <t>GL-SL-008</t>
        </is>
      </c>
      <c r="I83" t="n">
        <v>7</v>
      </c>
      <c r="J83" t="n">
        <v>9.1</v>
      </c>
      <c r="K83" t="n">
        <v>-0.48</v>
      </c>
      <c r="L83" t="n">
        <v>-0.998</v>
      </c>
      <c r="M83" t="n">
        <v>0.367</v>
      </c>
      <c r="N83">
        <f>ROUND(J83*F83*G83+K83*G83+L83*F83+M83,3)</f>
        <v/>
      </c>
      <c r="O83">
        <f>AND(N83&gt;=1.4,N83&lt;=13)</f>
        <v/>
      </c>
      <c r="P83">
        <f>IF(OR(N83&lt;1.4,N83&gt;13),"",IF(G83*1000&lt;=1170,IF(N83&lt;1.8,"1014",IF(N83&lt;2.9,"1018",IF(N83&lt;3.8,"1029",IF(N83&lt;5,"1038",IF(N83&lt;7,"1050",IF(N83&lt;9,"1070",IF(N83&lt;11,"1090","1110"))))))),IF(G83*1000&lt;=1570,IF(N83&lt;1.8,"",IF(N83&lt;2.9,"2018",IF(N83&lt;3.8,"2029",IF(N83&lt;5,"2038",IF(N83&lt;7,"2050",IF(N83&lt;9,"2070",IF(N83&lt;11,"2090","2110"))))))),IF(G83*1000&lt;=1700,IF(N83&lt;1.8,"",IF(N83&lt;2.9,"3018",IF(N83&lt;3.8,"3029",IF(N83&lt;5,"3038",IF(N83&lt;7,"3050",IF(N83&lt;9,"3070",IF(N83&lt;11,"3090","3110"))))))),""))))</f>
        <v/>
      </c>
      <c r="Q83">
        <f>AND(O83=TRUE,P83&lt;&gt;"")</f>
        <v/>
      </c>
      <c r="R83">
        <f>IF(G83*1000&lt;750,"なし","あり")</f>
        <v/>
      </c>
      <c r="S83">
        <f>IF(AND(O83=TRUE,Q83=TRUE),"設定可","BLOCK")</f>
        <v/>
      </c>
      <c r="T83" t="inlineStr">
        <is>
          <t>商品カタログ P194</t>
        </is>
      </c>
      <c r="U83" t="inlineStr">
        <is>
          <t>https://webcatalog.lixil.co.jp/iportal/CatalogDetail.do?catalogID=15191910000&amp;categoryID=1630000&amp;designID=newinter&amp;method=initial_screen&amp;position=18&amp;type=mc&amp;volumeID=LXL13001</t>
        </is>
      </c>
    </row>
    <row r="84">
      <c r="A84" t="inlineStr">
        <is>
          <t>WG-SL-00081</t>
        </is>
      </c>
      <c r="B84" t="inlineStr">
        <is>
          <t>SZ-SL-000954</t>
        </is>
      </c>
      <c r="C84" t="inlineStr">
        <is>
          <t>WT-SL-AGE-SAGE-FS</t>
        </is>
      </c>
      <c r="E84" t="inlineStr">
        <is>
          <t>03615</t>
        </is>
      </c>
      <c r="F84" t="n">
        <v>0.405</v>
      </c>
      <c r="G84" t="n">
        <v>1.57</v>
      </c>
      <c r="H84" t="inlineStr">
        <is>
          <t>GL-SL-009</t>
        </is>
      </c>
      <c r="I84" t="n">
        <v>8</v>
      </c>
      <c r="J84" t="n">
        <v>10.4</v>
      </c>
      <c r="K84" t="n">
        <v>-0.605</v>
      </c>
      <c r="L84" t="n">
        <v>-1.332</v>
      </c>
      <c r="M84" t="n">
        <v>0.399</v>
      </c>
      <c r="N84">
        <f>ROUND(J84*F84*G84+K84*G84+L84*F84+M84,3)</f>
        <v/>
      </c>
      <c r="O84">
        <f>AND(N84&gt;=1.4,N84&lt;=13)</f>
        <v/>
      </c>
      <c r="P84">
        <f>IF(OR(N84&lt;1.4,N84&gt;13),"",IF(G84*1000&lt;=1170,IF(N84&lt;1.8,"1014",IF(N84&lt;2.9,"1018",IF(N84&lt;3.8,"1029",IF(N84&lt;5,"1038",IF(N84&lt;7,"1050",IF(N84&lt;9,"1070",IF(N84&lt;11,"1090","1110"))))))),IF(G84*1000&lt;=1570,IF(N84&lt;1.8,"",IF(N84&lt;2.9,"2018",IF(N84&lt;3.8,"2029",IF(N84&lt;5,"2038",IF(N84&lt;7,"2050",IF(N84&lt;9,"2070",IF(N84&lt;11,"2090","2110"))))))),IF(G84*1000&lt;=1700,IF(N84&lt;1.8,"",IF(N84&lt;2.9,"3018",IF(N84&lt;3.8,"3029",IF(N84&lt;5,"3038",IF(N84&lt;7,"3050",IF(N84&lt;9,"3070",IF(N84&lt;11,"3090","3110"))))))),""))))</f>
        <v/>
      </c>
      <c r="Q84">
        <f>AND(O84=TRUE,P84&lt;&gt;"")</f>
        <v/>
      </c>
      <c r="R84">
        <f>IF(G84*1000&lt;750,"なし","あり")</f>
        <v/>
      </c>
      <c r="S84">
        <f>IF(AND(O84=TRUE,Q84=TRUE),"設定可","BLOCK")</f>
        <v/>
      </c>
      <c r="T84" t="inlineStr">
        <is>
          <t>商品カタログ P194</t>
        </is>
      </c>
      <c r="U84" t="inlineStr">
        <is>
          <t>https://webcatalog.lixil.co.jp/iportal/CatalogDetail.do?catalogID=15191910000&amp;categoryID=1630000&amp;designID=newinter&amp;method=initial_screen&amp;position=18&amp;type=mc&amp;volumeID=LXL13001</t>
        </is>
      </c>
    </row>
    <row r="85">
      <c r="A85" t="inlineStr">
        <is>
          <t>WG-SL-00082</t>
        </is>
      </c>
      <c r="B85" t="inlineStr">
        <is>
          <t>SZ-SL-000955</t>
        </is>
      </c>
      <c r="C85" t="inlineStr">
        <is>
          <t>WT-SL-AGE-SAGE-FS</t>
        </is>
      </c>
      <c r="E85" t="inlineStr">
        <is>
          <t>06007</t>
        </is>
      </c>
      <c r="F85" t="n">
        <v>0.64</v>
      </c>
      <c r="G85" t="n">
        <v>0.77</v>
      </c>
      <c r="H85" t="inlineStr">
        <is>
          <t>GL-SL-001</t>
        </is>
      </c>
      <c r="I85" t="n">
        <v>6</v>
      </c>
      <c r="J85" t="n">
        <v>7.8</v>
      </c>
      <c r="K85" t="n">
        <v>-0.355</v>
      </c>
      <c r="L85" t="n">
        <v>-0.664</v>
      </c>
      <c r="M85" t="n">
        <v>0.335</v>
      </c>
      <c r="N85">
        <f>ROUND(J85*F85*G85+K85*G85+L85*F85+M85,3)</f>
        <v/>
      </c>
      <c r="O85">
        <f>AND(N85&gt;=1.4,N85&lt;=13)</f>
        <v/>
      </c>
      <c r="P85">
        <f>IF(OR(N85&lt;1.4,N85&gt;13),"",IF(G85*1000&lt;=1170,IF(N85&lt;1.8,"1014",IF(N85&lt;2.9,"1018",IF(N85&lt;3.8,"1029",IF(N85&lt;5,"1038",IF(N85&lt;7,"1050",IF(N85&lt;9,"1070",IF(N85&lt;11,"1090","1110"))))))),IF(G85*1000&lt;=1570,IF(N85&lt;1.8,"",IF(N85&lt;2.9,"2018",IF(N85&lt;3.8,"2029",IF(N85&lt;5,"2038",IF(N85&lt;7,"2050",IF(N85&lt;9,"2070",IF(N85&lt;11,"2090","2110"))))))),IF(G85*1000&lt;=1700,IF(N85&lt;1.8,"",IF(N85&lt;2.9,"3018",IF(N85&lt;3.8,"3029",IF(N85&lt;5,"3038",IF(N85&lt;7,"3050",IF(N85&lt;9,"3070",IF(N85&lt;11,"3090","3110"))))))),""))))</f>
        <v/>
      </c>
      <c r="Q85">
        <f>AND(O85=TRUE,P85&lt;&gt;"")</f>
        <v/>
      </c>
      <c r="R85">
        <f>IF(G85*1000&lt;750,"なし","あり")</f>
        <v/>
      </c>
      <c r="S85">
        <f>IF(AND(O85=TRUE,Q85=TRUE),"設定可","BLOCK")</f>
        <v/>
      </c>
      <c r="T85" t="inlineStr">
        <is>
          <t>商品カタログ P194</t>
        </is>
      </c>
      <c r="U85" t="inlineStr">
        <is>
          <t>https://webcatalog.lixil.co.jp/iportal/CatalogDetail.do?catalogID=15191910000&amp;categoryID=1630000&amp;designID=newinter&amp;method=initial_screen&amp;position=18&amp;type=mc&amp;volumeID=LXL13001</t>
        </is>
      </c>
    </row>
    <row r="86">
      <c r="A86" t="inlineStr">
        <is>
          <t>WG-SL-00083</t>
        </is>
      </c>
      <c r="B86" t="inlineStr">
        <is>
          <t>SZ-SL-000955</t>
        </is>
      </c>
      <c r="C86" t="inlineStr">
        <is>
          <t>WT-SL-AGE-SAGE-FS</t>
        </is>
      </c>
      <c r="E86" t="inlineStr">
        <is>
          <t>06007</t>
        </is>
      </c>
      <c r="F86" t="n">
        <v>0.64</v>
      </c>
      <c r="G86" t="n">
        <v>0.77</v>
      </c>
      <c r="H86" t="inlineStr">
        <is>
          <t>GL-SL-002</t>
        </is>
      </c>
      <c r="I86" t="n">
        <v>7</v>
      </c>
      <c r="J86" t="n">
        <v>9.1</v>
      </c>
      <c r="K86" t="n">
        <v>-0.48</v>
      </c>
      <c r="L86" t="n">
        <v>-0.998</v>
      </c>
      <c r="M86" t="n">
        <v>0.367</v>
      </c>
      <c r="N86">
        <f>ROUND(J86*F86*G86+K86*G86+L86*F86+M86,3)</f>
        <v/>
      </c>
      <c r="O86">
        <f>AND(N86&gt;=1.4,N86&lt;=13)</f>
        <v/>
      </c>
      <c r="P86">
        <f>IF(OR(N86&lt;1.4,N86&gt;13),"",IF(G86*1000&lt;=1170,IF(N86&lt;1.8,"1014",IF(N86&lt;2.9,"1018",IF(N86&lt;3.8,"1029",IF(N86&lt;5,"1038",IF(N86&lt;7,"1050",IF(N86&lt;9,"1070",IF(N86&lt;11,"1090","1110"))))))),IF(G86*1000&lt;=1570,IF(N86&lt;1.8,"",IF(N86&lt;2.9,"2018",IF(N86&lt;3.8,"2029",IF(N86&lt;5,"2038",IF(N86&lt;7,"2050",IF(N86&lt;9,"2070",IF(N86&lt;11,"2090","2110"))))))),IF(G86*1000&lt;=1700,IF(N86&lt;1.8,"",IF(N86&lt;2.9,"3018",IF(N86&lt;3.8,"3029",IF(N86&lt;5,"3038",IF(N86&lt;7,"3050",IF(N86&lt;9,"3070",IF(N86&lt;11,"3090","3110"))))))),""))))</f>
        <v/>
      </c>
      <c r="Q86">
        <f>AND(O86=TRUE,P86&lt;&gt;"")</f>
        <v/>
      </c>
      <c r="R86">
        <f>IF(G86*1000&lt;750,"なし","あり")</f>
        <v/>
      </c>
      <c r="S86">
        <f>IF(AND(O86=TRUE,Q86=TRUE),"設定可","BLOCK")</f>
        <v/>
      </c>
      <c r="T86" t="inlineStr">
        <is>
          <t>商品カタログ P194</t>
        </is>
      </c>
      <c r="U86" t="inlineStr">
        <is>
          <t>https://webcatalog.lixil.co.jp/iportal/CatalogDetail.do?catalogID=15191910000&amp;categoryID=1630000&amp;designID=newinter&amp;method=initial_screen&amp;position=18&amp;type=mc&amp;volumeID=LXL13001</t>
        </is>
      </c>
    </row>
    <row r="87">
      <c r="A87" t="inlineStr">
        <is>
          <t>WG-SL-00084</t>
        </is>
      </c>
      <c r="B87" t="inlineStr">
        <is>
          <t>SZ-SL-000955</t>
        </is>
      </c>
      <c r="C87" t="inlineStr">
        <is>
          <t>WT-SL-AGE-SAGE-FS</t>
        </is>
      </c>
      <c r="E87" t="inlineStr">
        <is>
          <t>06007</t>
        </is>
      </c>
      <c r="F87" t="n">
        <v>0.64</v>
      </c>
      <c r="G87" t="n">
        <v>0.77</v>
      </c>
      <c r="H87" t="inlineStr">
        <is>
          <t>GL-SL-003</t>
        </is>
      </c>
      <c r="I87" t="n">
        <v>8</v>
      </c>
      <c r="J87" t="n">
        <v>10.4</v>
      </c>
      <c r="K87" t="n">
        <v>-0.605</v>
      </c>
      <c r="L87" t="n">
        <v>-1.332</v>
      </c>
      <c r="M87" t="n">
        <v>0.399</v>
      </c>
      <c r="N87">
        <f>ROUND(J87*F87*G87+K87*G87+L87*F87+M87,3)</f>
        <v/>
      </c>
      <c r="O87">
        <f>AND(N87&gt;=1.4,N87&lt;=13)</f>
        <v/>
      </c>
      <c r="P87">
        <f>IF(OR(N87&lt;1.4,N87&gt;13),"",IF(G87*1000&lt;=1170,IF(N87&lt;1.8,"1014",IF(N87&lt;2.9,"1018",IF(N87&lt;3.8,"1029",IF(N87&lt;5,"1038",IF(N87&lt;7,"1050",IF(N87&lt;9,"1070",IF(N87&lt;11,"1090","1110"))))))),IF(G87*1000&lt;=1570,IF(N87&lt;1.8,"",IF(N87&lt;2.9,"2018",IF(N87&lt;3.8,"2029",IF(N87&lt;5,"2038",IF(N87&lt;7,"2050",IF(N87&lt;9,"2070",IF(N87&lt;11,"2090","2110"))))))),IF(G87*1000&lt;=1700,IF(N87&lt;1.8,"",IF(N87&lt;2.9,"3018",IF(N87&lt;3.8,"3029",IF(N87&lt;5,"3038",IF(N87&lt;7,"3050",IF(N87&lt;9,"3070",IF(N87&lt;11,"3090","3110"))))))),""))))</f>
        <v/>
      </c>
      <c r="Q87">
        <f>AND(O87=TRUE,P87&lt;&gt;"")</f>
        <v/>
      </c>
      <c r="R87">
        <f>IF(G87*1000&lt;750,"なし","あり")</f>
        <v/>
      </c>
      <c r="S87">
        <f>IF(AND(O87=TRUE,Q87=TRUE),"設定可","BLOCK")</f>
        <v/>
      </c>
      <c r="T87" t="inlineStr">
        <is>
          <t>商品カタログ P194</t>
        </is>
      </c>
      <c r="U87" t="inlineStr">
        <is>
          <t>https://webcatalog.lixil.co.jp/iportal/CatalogDetail.do?catalogID=15191910000&amp;categoryID=1630000&amp;designID=newinter&amp;method=initial_screen&amp;position=18&amp;type=mc&amp;volumeID=LXL13001</t>
        </is>
      </c>
    </row>
    <row r="88">
      <c r="A88" t="inlineStr">
        <is>
          <t>WG-SL-00085</t>
        </is>
      </c>
      <c r="B88" t="inlineStr">
        <is>
          <t>SZ-SL-000955</t>
        </is>
      </c>
      <c r="C88" t="inlineStr">
        <is>
          <t>WT-SL-AGE-SAGE-FS</t>
        </is>
      </c>
      <c r="E88" t="inlineStr">
        <is>
          <t>06007</t>
        </is>
      </c>
      <c r="F88" t="n">
        <v>0.64</v>
      </c>
      <c r="G88" t="n">
        <v>0.77</v>
      </c>
      <c r="H88" t="inlineStr">
        <is>
          <t>GL-SL-004</t>
        </is>
      </c>
      <c r="I88" t="n">
        <v>6</v>
      </c>
      <c r="J88" t="n">
        <v>7.8</v>
      </c>
      <c r="K88" t="n">
        <v>-0.355</v>
      </c>
      <c r="L88" t="n">
        <v>-0.664</v>
      </c>
      <c r="M88" t="n">
        <v>0.335</v>
      </c>
      <c r="N88">
        <f>ROUND(J88*F88*G88+K88*G88+L88*F88+M88,3)</f>
        <v/>
      </c>
      <c r="O88">
        <f>AND(N88&gt;=1.4,N88&lt;=13)</f>
        <v/>
      </c>
      <c r="P88">
        <f>IF(OR(N88&lt;1.4,N88&gt;13),"",IF(G88*1000&lt;=1170,IF(N88&lt;1.8,"1014",IF(N88&lt;2.9,"1018",IF(N88&lt;3.8,"1029",IF(N88&lt;5,"1038",IF(N88&lt;7,"1050",IF(N88&lt;9,"1070",IF(N88&lt;11,"1090","1110"))))))),IF(G88*1000&lt;=1570,IF(N88&lt;1.8,"",IF(N88&lt;2.9,"2018",IF(N88&lt;3.8,"2029",IF(N88&lt;5,"2038",IF(N88&lt;7,"2050",IF(N88&lt;9,"2070",IF(N88&lt;11,"2090","2110"))))))),IF(G88*1000&lt;=1700,IF(N88&lt;1.8,"",IF(N88&lt;2.9,"3018",IF(N88&lt;3.8,"3029",IF(N88&lt;5,"3038",IF(N88&lt;7,"3050",IF(N88&lt;9,"3070",IF(N88&lt;11,"3090","3110"))))))),""))))</f>
        <v/>
      </c>
      <c r="Q88">
        <f>AND(O88=TRUE,P88&lt;&gt;"")</f>
        <v/>
      </c>
      <c r="R88">
        <f>IF(G88*1000&lt;750,"なし","あり")</f>
        <v/>
      </c>
      <c r="S88">
        <f>IF(AND(O88=TRUE,Q88=TRUE),"設定可","BLOCK")</f>
        <v/>
      </c>
      <c r="T88" t="inlineStr">
        <is>
          <t>商品カタログ P194</t>
        </is>
      </c>
      <c r="U88" t="inlineStr">
        <is>
          <t>https://webcatalog.lixil.co.jp/iportal/CatalogDetail.do?catalogID=15191910000&amp;categoryID=1630000&amp;designID=newinter&amp;method=initial_screen&amp;position=18&amp;type=mc&amp;volumeID=LXL13001</t>
        </is>
      </c>
    </row>
    <row r="89">
      <c r="A89" t="inlineStr">
        <is>
          <t>WG-SL-00086</t>
        </is>
      </c>
      <c r="B89" t="inlineStr">
        <is>
          <t>SZ-SL-000955</t>
        </is>
      </c>
      <c r="C89" t="inlineStr">
        <is>
          <t>WT-SL-AGE-SAGE-FS</t>
        </is>
      </c>
      <c r="E89" t="inlineStr">
        <is>
          <t>06007</t>
        </is>
      </c>
      <c r="F89" t="n">
        <v>0.64</v>
      </c>
      <c r="G89" t="n">
        <v>0.77</v>
      </c>
      <c r="H89" t="inlineStr">
        <is>
          <t>GL-SL-005</t>
        </is>
      </c>
      <c r="I89" t="n">
        <v>7</v>
      </c>
      <c r="J89" t="n">
        <v>9.1</v>
      </c>
      <c r="K89" t="n">
        <v>-0.48</v>
      </c>
      <c r="L89" t="n">
        <v>-0.998</v>
      </c>
      <c r="M89" t="n">
        <v>0.367</v>
      </c>
      <c r="N89">
        <f>ROUND(J89*F89*G89+K89*G89+L89*F89+M89,3)</f>
        <v/>
      </c>
      <c r="O89">
        <f>AND(N89&gt;=1.4,N89&lt;=13)</f>
        <v/>
      </c>
      <c r="P89">
        <f>IF(OR(N89&lt;1.4,N89&gt;13),"",IF(G89*1000&lt;=1170,IF(N89&lt;1.8,"1014",IF(N89&lt;2.9,"1018",IF(N89&lt;3.8,"1029",IF(N89&lt;5,"1038",IF(N89&lt;7,"1050",IF(N89&lt;9,"1070",IF(N89&lt;11,"1090","1110"))))))),IF(G89*1000&lt;=1570,IF(N89&lt;1.8,"",IF(N89&lt;2.9,"2018",IF(N89&lt;3.8,"2029",IF(N89&lt;5,"2038",IF(N89&lt;7,"2050",IF(N89&lt;9,"2070",IF(N89&lt;11,"2090","2110"))))))),IF(G89*1000&lt;=1700,IF(N89&lt;1.8,"",IF(N89&lt;2.9,"3018",IF(N89&lt;3.8,"3029",IF(N89&lt;5,"3038",IF(N89&lt;7,"3050",IF(N89&lt;9,"3070",IF(N89&lt;11,"3090","3110"))))))),""))))</f>
        <v/>
      </c>
      <c r="Q89">
        <f>AND(O89=TRUE,P89&lt;&gt;"")</f>
        <v/>
      </c>
      <c r="R89">
        <f>IF(G89*1000&lt;750,"なし","あり")</f>
        <v/>
      </c>
      <c r="S89">
        <f>IF(AND(O89=TRUE,Q89=TRUE),"設定可","BLOCK")</f>
        <v/>
      </c>
      <c r="T89" t="inlineStr">
        <is>
          <t>商品カタログ P194</t>
        </is>
      </c>
      <c r="U89" t="inlineStr">
        <is>
          <t>https://webcatalog.lixil.co.jp/iportal/CatalogDetail.do?catalogID=15191910000&amp;categoryID=1630000&amp;designID=newinter&amp;method=initial_screen&amp;position=18&amp;type=mc&amp;volumeID=LXL13001</t>
        </is>
      </c>
    </row>
    <row r="90">
      <c r="A90" t="inlineStr">
        <is>
          <t>WG-SL-00087</t>
        </is>
      </c>
      <c r="B90" t="inlineStr">
        <is>
          <t>SZ-SL-000955</t>
        </is>
      </c>
      <c r="C90" t="inlineStr">
        <is>
          <t>WT-SL-AGE-SAGE-FS</t>
        </is>
      </c>
      <c r="E90" t="inlineStr">
        <is>
          <t>06007</t>
        </is>
      </c>
      <c r="F90" t="n">
        <v>0.64</v>
      </c>
      <c r="G90" t="n">
        <v>0.77</v>
      </c>
      <c r="H90" t="inlineStr">
        <is>
          <t>GL-SL-006</t>
        </is>
      </c>
      <c r="I90" t="n">
        <v>8</v>
      </c>
      <c r="J90" t="n">
        <v>10.4</v>
      </c>
      <c r="K90" t="n">
        <v>-0.605</v>
      </c>
      <c r="L90" t="n">
        <v>-1.332</v>
      </c>
      <c r="M90" t="n">
        <v>0.399</v>
      </c>
      <c r="N90">
        <f>ROUND(J90*F90*G90+K90*G90+L90*F90+M90,3)</f>
        <v/>
      </c>
      <c r="O90">
        <f>AND(N90&gt;=1.4,N90&lt;=13)</f>
        <v/>
      </c>
      <c r="P90">
        <f>IF(OR(N90&lt;1.4,N90&gt;13),"",IF(G90*1000&lt;=1170,IF(N90&lt;1.8,"1014",IF(N90&lt;2.9,"1018",IF(N90&lt;3.8,"1029",IF(N90&lt;5,"1038",IF(N90&lt;7,"1050",IF(N90&lt;9,"1070",IF(N90&lt;11,"1090","1110"))))))),IF(G90*1000&lt;=1570,IF(N90&lt;1.8,"",IF(N90&lt;2.9,"2018",IF(N90&lt;3.8,"2029",IF(N90&lt;5,"2038",IF(N90&lt;7,"2050",IF(N90&lt;9,"2070",IF(N90&lt;11,"2090","2110"))))))),IF(G90*1000&lt;=1700,IF(N90&lt;1.8,"",IF(N90&lt;2.9,"3018",IF(N90&lt;3.8,"3029",IF(N90&lt;5,"3038",IF(N90&lt;7,"3050",IF(N90&lt;9,"3070",IF(N90&lt;11,"3090","3110"))))))),""))))</f>
        <v/>
      </c>
      <c r="Q90">
        <f>AND(O90=TRUE,P90&lt;&gt;"")</f>
        <v/>
      </c>
      <c r="R90">
        <f>IF(G90*1000&lt;750,"なし","あり")</f>
        <v/>
      </c>
      <c r="S90">
        <f>IF(AND(O90=TRUE,Q90=TRUE),"設定可","BLOCK")</f>
        <v/>
      </c>
      <c r="T90" t="inlineStr">
        <is>
          <t>商品カタログ P194</t>
        </is>
      </c>
      <c r="U90" t="inlineStr">
        <is>
          <t>https://webcatalog.lixil.co.jp/iportal/CatalogDetail.do?catalogID=15191910000&amp;categoryID=1630000&amp;designID=newinter&amp;method=initial_screen&amp;position=18&amp;type=mc&amp;volumeID=LXL13001</t>
        </is>
      </c>
    </row>
    <row r="91">
      <c r="A91" t="inlineStr">
        <is>
          <t>WG-SL-00088</t>
        </is>
      </c>
      <c r="B91" t="inlineStr">
        <is>
          <t>SZ-SL-000955</t>
        </is>
      </c>
      <c r="C91" t="inlineStr">
        <is>
          <t>WT-SL-AGE-SAGE-FS</t>
        </is>
      </c>
      <c r="E91" t="inlineStr">
        <is>
          <t>06007</t>
        </is>
      </c>
      <c r="F91" t="n">
        <v>0.64</v>
      </c>
      <c r="G91" t="n">
        <v>0.77</v>
      </c>
      <c r="H91" t="inlineStr">
        <is>
          <t>GL-SL-007</t>
        </is>
      </c>
      <c r="I91" t="n">
        <v>6</v>
      </c>
      <c r="J91" t="n">
        <v>7.8</v>
      </c>
      <c r="K91" t="n">
        <v>-0.355</v>
      </c>
      <c r="L91" t="n">
        <v>-0.664</v>
      </c>
      <c r="M91" t="n">
        <v>0.335</v>
      </c>
      <c r="N91">
        <f>ROUND(J91*F91*G91+K91*G91+L91*F91+M91,3)</f>
        <v/>
      </c>
      <c r="O91">
        <f>AND(N91&gt;=1.4,N91&lt;=13)</f>
        <v/>
      </c>
      <c r="P91">
        <f>IF(OR(N91&lt;1.4,N91&gt;13),"",IF(G91*1000&lt;=1170,IF(N91&lt;1.8,"1014",IF(N91&lt;2.9,"1018",IF(N91&lt;3.8,"1029",IF(N91&lt;5,"1038",IF(N91&lt;7,"1050",IF(N91&lt;9,"1070",IF(N91&lt;11,"1090","1110"))))))),IF(G91*1000&lt;=1570,IF(N91&lt;1.8,"",IF(N91&lt;2.9,"2018",IF(N91&lt;3.8,"2029",IF(N91&lt;5,"2038",IF(N91&lt;7,"2050",IF(N91&lt;9,"2070",IF(N91&lt;11,"2090","2110"))))))),IF(G91*1000&lt;=1700,IF(N91&lt;1.8,"",IF(N91&lt;2.9,"3018",IF(N91&lt;3.8,"3029",IF(N91&lt;5,"3038",IF(N91&lt;7,"3050",IF(N91&lt;9,"3070",IF(N91&lt;11,"3090","3110"))))))),""))))</f>
        <v/>
      </c>
      <c r="Q91">
        <f>AND(O91=TRUE,P91&lt;&gt;"")</f>
        <v/>
      </c>
      <c r="R91">
        <f>IF(G91*1000&lt;750,"なし","あり")</f>
        <v/>
      </c>
      <c r="S91">
        <f>IF(AND(O91=TRUE,Q91=TRUE),"設定可","BLOCK")</f>
        <v/>
      </c>
      <c r="T91" t="inlineStr">
        <is>
          <t>商品カタログ P194</t>
        </is>
      </c>
      <c r="U91" t="inlineStr">
        <is>
          <t>https://webcatalog.lixil.co.jp/iportal/CatalogDetail.do?catalogID=15191910000&amp;categoryID=1630000&amp;designID=newinter&amp;method=initial_screen&amp;position=18&amp;type=mc&amp;volumeID=LXL13001</t>
        </is>
      </c>
    </row>
    <row r="92">
      <c r="A92" t="inlineStr">
        <is>
          <t>WG-SL-00089</t>
        </is>
      </c>
      <c r="B92" t="inlineStr">
        <is>
          <t>SZ-SL-000955</t>
        </is>
      </c>
      <c r="C92" t="inlineStr">
        <is>
          <t>WT-SL-AGE-SAGE-FS</t>
        </is>
      </c>
      <c r="E92" t="inlineStr">
        <is>
          <t>06007</t>
        </is>
      </c>
      <c r="F92" t="n">
        <v>0.64</v>
      </c>
      <c r="G92" t="n">
        <v>0.77</v>
      </c>
      <c r="H92" t="inlineStr">
        <is>
          <t>GL-SL-008</t>
        </is>
      </c>
      <c r="I92" t="n">
        <v>7</v>
      </c>
      <c r="J92" t="n">
        <v>9.1</v>
      </c>
      <c r="K92" t="n">
        <v>-0.48</v>
      </c>
      <c r="L92" t="n">
        <v>-0.998</v>
      </c>
      <c r="M92" t="n">
        <v>0.367</v>
      </c>
      <c r="N92">
        <f>ROUND(J92*F92*G92+K92*G92+L92*F92+M92,3)</f>
        <v/>
      </c>
      <c r="O92">
        <f>AND(N92&gt;=1.4,N92&lt;=13)</f>
        <v/>
      </c>
      <c r="P92">
        <f>IF(OR(N92&lt;1.4,N92&gt;13),"",IF(G92*1000&lt;=1170,IF(N92&lt;1.8,"1014",IF(N92&lt;2.9,"1018",IF(N92&lt;3.8,"1029",IF(N92&lt;5,"1038",IF(N92&lt;7,"1050",IF(N92&lt;9,"1070",IF(N92&lt;11,"1090","1110"))))))),IF(G92*1000&lt;=1570,IF(N92&lt;1.8,"",IF(N92&lt;2.9,"2018",IF(N92&lt;3.8,"2029",IF(N92&lt;5,"2038",IF(N92&lt;7,"2050",IF(N92&lt;9,"2070",IF(N92&lt;11,"2090","2110"))))))),IF(G92*1000&lt;=1700,IF(N92&lt;1.8,"",IF(N92&lt;2.9,"3018",IF(N92&lt;3.8,"3029",IF(N92&lt;5,"3038",IF(N92&lt;7,"3050",IF(N92&lt;9,"3070",IF(N92&lt;11,"3090","3110"))))))),""))))</f>
        <v/>
      </c>
      <c r="Q92">
        <f>AND(O92=TRUE,P92&lt;&gt;"")</f>
        <v/>
      </c>
      <c r="R92">
        <f>IF(G92*1000&lt;750,"なし","あり")</f>
        <v/>
      </c>
      <c r="S92">
        <f>IF(AND(O92=TRUE,Q92=TRUE),"設定可","BLOCK")</f>
        <v/>
      </c>
      <c r="T92" t="inlineStr">
        <is>
          <t>商品カタログ P194</t>
        </is>
      </c>
      <c r="U92" t="inlineStr">
        <is>
          <t>https://webcatalog.lixil.co.jp/iportal/CatalogDetail.do?catalogID=15191910000&amp;categoryID=1630000&amp;designID=newinter&amp;method=initial_screen&amp;position=18&amp;type=mc&amp;volumeID=LXL13001</t>
        </is>
      </c>
    </row>
    <row r="93">
      <c r="A93" t="inlineStr">
        <is>
          <t>WG-SL-00090</t>
        </is>
      </c>
      <c r="B93" t="inlineStr">
        <is>
          <t>SZ-SL-000955</t>
        </is>
      </c>
      <c r="C93" t="inlineStr">
        <is>
          <t>WT-SL-AGE-SAGE-FS</t>
        </is>
      </c>
      <c r="E93" t="inlineStr">
        <is>
          <t>06007</t>
        </is>
      </c>
      <c r="F93" t="n">
        <v>0.64</v>
      </c>
      <c r="G93" t="n">
        <v>0.77</v>
      </c>
      <c r="H93" t="inlineStr">
        <is>
          <t>GL-SL-009</t>
        </is>
      </c>
      <c r="I93" t="n">
        <v>8</v>
      </c>
      <c r="J93" t="n">
        <v>10.4</v>
      </c>
      <c r="K93" t="n">
        <v>-0.605</v>
      </c>
      <c r="L93" t="n">
        <v>-1.332</v>
      </c>
      <c r="M93" t="n">
        <v>0.399</v>
      </c>
      <c r="N93">
        <f>ROUND(J93*F93*G93+K93*G93+L93*F93+M93,3)</f>
        <v/>
      </c>
      <c r="O93">
        <f>AND(N93&gt;=1.4,N93&lt;=13)</f>
        <v/>
      </c>
      <c r="P93">
        <f>IF(OR(N93&lt;1.4,N93&gt;13),"",IF(G93*1000&lt;=1170,IF(N93&lt;1.8,"1014",IF(N93&lt;2.9,"1018",IF(N93&lt;3.8,"1029",IF(N93&lt;5,"1038",IF(N93&lt;7,"1050",IF(N93&lt;9,"1070",IF(N93&lt;11,"1090","1110"))))))),IF(G93*1000&lt;=1570,IF(N93&lt;1.8,"",IF(N93&lt;2.9,"2018",IF(N93&lt;3.8,"2029",IF(N93&lt;5,"2038",IF(N93&lt;7,"2050",IF(N93&lt;9,"2070",IF(N93&lt;11,"2090","2110"))))))),IF(G93*1000&lt;=1700,IF(N93&lt;1.8,"",IF(N93&lt;2.9,"3018",IF(N93&lt;3.8,"3029",IF(N93&lt;5,"3038",IF(N93&lt;7,"3050",IF(N93&lt;9,"3070",IF(N93&lt;11,"3090","3110"))))))),""))))</f>
        <v/>
      </c>
      <c r="Q93">
        <f>AND(O93=TRUE,P93&lt;&gt;"")</f>
        <v/>
      </c>
      <c r="R93">
        <f>IF(G93*1000&lt;750,"なし","あり")</f>
        <v/>
      </c>
      <c r="S93">
        <f>IF(AND(O93=TRUE,Q93=TRUE),"設定可","BLOCK")</f>
        <v/>
      </c>
      <c r="T93" t="inlineStr">
        <is>
          <t>商品カタログ P194</t>
        </is>
      </c>
      <c r="U93" t="inlineStr">
        <is>
          <t>https://webcatalog.lixil.co.jp/iportal/CatalogDetail.do?catalogID=15191910000&amp;categoryID=1630000&amp;designID=newinter&amp;method=initial_screen&amp;position=18&amp;type=mc&amp;volumeID=LXL13001</t>
        </is>
      </c>
    </row>
    <row r="94">
      <c r="A94" t="inlineStr">
        <is>
          <t>WG-SL-00091</t>
        </is>
      </c>
      <c r="B94" t="inlineStr">
        <is>
          <t>SZ-SL-000956</t>
        </is>
      </c>
      <c r="C94" t="inlineStr">
        <is>
          <t>WT-SL-AGE-SAGE-FS</t>
        </is>
      </c>
      <c r="E94" t="inlineStr">
        <is>
          <t>06009</t>
        </is>
      </c>
      <c r="F94" t="n">
        <v>0.64</v>
      </c>
      <c r="G94" t="n">
        <v>0.97</v>
      </c>
      <c r="H94" t="inlineStr">
        <is>
          <t>GL-SL-001</t>
        </is>
      </c>
      <c r="I94" t="n">
        <v>6</v>
      </c>
      <c r="J94" t="n">
        <v>7.8</v>
      </c>
      <c r="K94" t="n">
        <v>-0.355</v>
      </c>
      <c r="L94" t="n">
        <v>-0.664</v>
      </c>
      <c r="M94" t="n">
        <v>0.335</v>
      </c>
      <c r="N94">
        <f>ROUND(J94*F94*G94+K94*G94+L94*F94+M94,3)</f>
        <v/>
      </c>
      <c r="O94">
        <f>AND(N94&gt;=1.4,N94&lt;=13)</f>
        <v/>
      </c>
      <c r="P94">
        <f>IF(OR(N94&lt;1.4,N94&gt;13),"",IF(G94*1000&lt;=1170,IF(N94&lt;1.8,"1014",IF(N94&lt;2.9,"1018",IF(N94&lt;3.8,"1029",IF(N94&lt;5,"1038",IF(N94&lt;7,"1050",IF(N94&lt;9,"1070",IF(N94&lt;11,"1090","1110"))))))),IF(G94*1000&lt;=1570,IF(N94&lt;1.8,"",IF(N94&lt;2.9,"2018",IF(N94&lt;3.8,"2029",IF(N94&lt;5,"2038",IF(N94&lt;7,"2050",IF(N94&lt;9,"2070",IF(N94&lt;11,"2090","2110"))))))),IF(G94*1000&lt;=1700,IF(N94&lt;1.8,"",IF(N94&lt;2.9,"3018",IF(N94&lt;3.8,"3029",IF(N94&lt;5,"3038",IF(N94&lt;7,"3050",IF(N94&lt;9,"3070",IF(N94&lt;11,"3090","3110"))))))),""))))</f>
        <v/>
      </c>
      <c r="Q94">
        <f>AND(O94=TRUE,P94&lt;&gt;"")</f>
        <v/>
      </c>
      <c r="R94">
        <f>IF(G94*1000&lt;750,"なし","あり")</f>
        <v/>
      </c>
      <c r="S94">
        <f>IF(AND(O94=TRUE,Q94=TRUE),"設定可","BLOCK")</f>
        <v/>
      </c>
      <c r="T94" t="inlineStr">
        <is>
          <t>商品カタログ P194</t>
        </is>
      </c>
      <c r="U94" t="inlineStr">
        <is>
          <t>https://webcatalog.lixil.co.jp/iportal/CatalogDetail.do?catalogID=15191910000&amp;categoryID=1630000&amp;designID=newinter&amp;method=initial_screen&amp;position=18&amp;type=mc&amp;volumeID=LXL13001</t>
        </is>
      </c>
    </row>
    <row r="95">
      <c r="A95" t="inlineStr">
        <is>
          <t>WG-SL-00092</t>
        </is>
      </c>
      <c r="B95" t="inlineStr">
        <is>
          <t>SZ-SL-000956</t>
        </is>
      </c>
      <c r="C95" t="inlineStr">
        <is>
          <t>WT-SL-AGE-SAGE-FS</t>
        </is>
      </c>
      <c r="E95" t="inlineStr">
        <is>
          <t>06009</t>
        </is>
      </c>
      <c r="F95" t="n">
        <v>0.64</v>
      </c>
      <c r="G95" t="n">
        <v>0.97</v>
      </c>
      <c r="H95" t="inlineStr">
        <is>
          <t>GL-SL-002</t>
        </is>
      </c>
      <c r="I95" t="n">
        <v>7</v>
      </c>
      <c r="J95" t="n">
        <v>9.1</v>
      </c>
      <c r="K95" t="n">
        <v>-0.48</v>
      </c>
      <c r="L95" t="n">
        <v>-0.998</v>
      </c>
      <c r="M95" t="n">
        <v>0.367</v>
      </c>
      <c r="N95">
        <f>ROUND(J95*F95*G95+K95*G95+L95*F95+M95,3)</f>
        <v/>
      </c>
      <c r="O95">
        <f>AND(N95&gt;=1.4,N95&lt;=13)</f>
        <v/>
      </c>
      <c r="P95">
        <f>IF(OR(N95&lt;1.4,N95&gt;13),"",IF(G95*1000&lt;=1170,IF(N95&lt;1.8,"1014",IF(N95&lt;2.9,"1018",IF(N95&lt;3.8,"1029",IF(N95&lt;5,"1038",IF(N95&lt;7,"1050",IF(N95&lt;9,"1070",IF(N95&lt;11,"1090","1110"))))))),IF(G95*1000&lt;=1570,IF(N95&lt;1.8,"",IF(N95&lt;2.9,"2018",IF(N95&lt;3.8,"2029",IF(N95&lt;5,"2038",IF(N95&lt;7,"2050",IF(N95&lt;9,"2070",IF(N95&lt;11,"2090","2110"))))))),IF(G95*1000&lt;=1700,IF(N95&lt;1.8,"",IF(N95&lt;2.9,"3018",IF(N95&lt;3.8,"3029",IF(N95&lt;5,"3038",IF(N95&lt;7,"3050",IF(N95&lt;9,"3070",IF(N95&lt;11,"3090","3110"))))))),""))))</f>
        <v/>
      </c>
      <c r="Q95">
        <f>AND(O95=TRUE,P95&lt;&gt;"")</f>
        <v/>
      </c>
      <c r="R95">
        <f>IF(G95*1000&lt;750,"なし","あり")</f>
        <v/>
      </c>
      <c r="S95">
        <f>IF(AND(O95=TRUE,Q95=TRUE),"設定可","BLOCK")</f>
        <v/>
      </c>
      <c r="T95" t="inlineStr">
        <is>
          <t>商品カタログ P194</t>
        </is>
      </c>
      <c r="U95" t="inlineStr">
        <is>
          <t>https://webcatalog.lixil.co.jp/iportal/CatalogDetail.do?catalogID=15191910000&amp;categoryID=1630000&amp;designID=newinter&amp;method=initial_screen&amp;position=18&amp;type=mc&amp;volumeID=LXL13001</t>
        </is>
      </c>
    </row>
    <row r="96">
      <c r="A96" t="inlineStr">
        <is>
          <t>WG-SL-00093</t>
        </is>
      </c>
      <c r="B96" t="inlineStr">
        <is>
          <t>SZ-SL-000956</t>
        </is>
      </c>
      <c r="C96" t="inlineStr">
        <is>
          <t>WT-SL-AGE-SAGE-FS</t>
        </is>
      </c>
      <c r="E96" t="inlineStr">
        <is>
          <t>06009</t>
        </is>
      </c>
      <c r="F96" t="n">
        <v>0.64</v>
      </c>
      <c r="G96" t="n">
        <v>0.97</v>
      </c>
      <c r="H96" t="inlineStr">
        <is>
          <t>GL-SL-003</t>
        </is>
      </c>
      <c r="I96" t="n">
        <v>8</v>
      </c>
      <c r="J96" t="n">
        <v>10.4</v>
      </c>
      <c r="K96" t="n">
        <v>-0.605</v>
      </c>
      <c r="L96" t="n">
        <v>-1.332</v>
      </c>
      <c r="M96" t="n">
        <v>0.399</v>
      </c>
      <c r="N96">
        <f>ROUND(J96*F96*G96+K96*G96+L96*F96+M96,3)</f>
        <v/>
      </c>
      <c r="O96">
        <f>AND(N96&gt;=1.4,N96&lt;=13)</f>
        <v/>
      </c>
      <c r="P96">
        <f>IF(OR(N96&lt;1.4,N96&gt;13),"",IF(G96*1000&lt;=1170,IF(N96&lt;1.8,"1014",IF(N96&lt;2.9,"1018",IF(N96&lt;3.8,"1029",IF(N96&lt;5,"1038",IF(N96&lt;7,"1050",IF(N96&lt;9,"1070",IF(N96&lt;11,"1090","1110"))))))),IF(G96*1000&lt;=1570,IF(N96&lt;1.8,"",IF(N96&lt;2.9,"2018",IF(N96&lt;3.8,"2029",IF(N96&lt;5,"2038",IF(N96&lt;7,"2050",IF(N96&lt;9,"2070",IF(N96&lt;11,"2090","2110"))))))),IF(G96*1000&lt;=1700,IF(N96&lt;1.8,"",IF(N96&lt;2.9,"3018",IF(N96&lt;3.8,"3029",IF(N96&lt;5,"3038",IF(N96&lt;7,"3050",IF(N96&lt;9,"3070",IF(N96&lt;11,"3090","3110"))))))),""))))</f>
        <v/>
      </c>
      <c r="Q96">
        <f>AND(O96=TRUE,P96&lt;&gt;"")</f>
        <v/>
      </c>
      <c r="R96">
        <f>IF(G96*1000&lt;750,"なし","あり")</f>
        <v/>
      </c>
      <c r="S96">
        <f>IF(AND(O96=TRUE,Q96=TRUE),"設定可","BLOCK")</f>
        <v/>
      </c>
      <c r="T96" t="inlineStr">
        <is>
          <t>商品カタログ P194</t>
        </is>
      </c>
      <c r="U96" t="inlineStr">
        <is>
          <t>https://webcatalog.lixil.co.jp/iportal/CatalogDetail.do?catalogID=15191910000&amp;categoryID=1630000&amp;designID=newinter&amp;method=initial_screen&amp;position=18&amp;type=mc&amp;volumeID=LXL13001</t>
        </is>
      </c>
    </row>
    <row r="97">
      <c r="A97" t="inlineStr">
        <is>
          <t>WG-SL-00094</t>
        </is>
      </c>
      <c r="B97" t="inlineStr">
        <is>
          <t>SZ-SL-000956</t>
        </is>
      </c>
      <c r="C97" t="inlineStr">
        <is>
          <t>WT-SL-AGE-SAGE-FS</t>
        </is>
      </c>
      <c r="E97" t="inlineStr">
        <is>
          <t>06009</t>
        </is>
      </c>
      <c r="F97" t="n">
        <v>0.64</v>
      </c>
      <c r="G97" t="n">
        <v>0.97</v>
      </c>
      <c r="H97" t="inlineStr">
        <is>
          <t>GL-SL-004</t>
        </is>
      </c>
      <c r="I97" t="n">
        <v>6</v>
      </c>
      <c r="J97" t="n">
        <v>7.8</v>
      </c>
      <c r="K97" t="n">
        <v>-0.355</v>
      </c>
      <c r="L97" t="n">
        <v>-0.664</v>
      </c>
      <c r="M97" t="n">
        <v>0.335</v>
      </c>
      <c r="N97">
        <f>ROUND(J97*F97*G97+K97*G97+L97*F97+M97,3)</f>
        <v/>
      </c>
      <c r="O97">
        <f>AND(N97&gt;=1.4,N97&lt;=13)</f>
        <v/>
      </c>
      <c r="P97">
        <f>IF(OR(N97&lt;1.4,N97&gt;13),"",IF(G97*1000&lt;=1170,IF(N97&lt;1.8,"1014",IF(N97&lt;2.9,"1018",IF(N97&lt;3.8,"1029",IF(N97&lt;5,"1038",IF(N97&lt;7,"1050",IF(N97&lt;9,"1070",IF(N97&lt;11,"1090","1110"))))))),IF(G97*1000&lt;=1570,IF(N97&lt;1.8,"",IF(N97&lt;2.9,"2018",IF(N97&lt;3.8,"2029",IF(N97&lt;5,"2038",IF(N97&lt;7,"2050",IF(N97&lt;9,"2070",IF(N97&lt;11,"2090","2110"))))))),IF(G97*1000&lt;=1700,IF(N97&lt;1.8,"",IF(N97&lt;2.9,"3018",IF(N97&lt;3.8,"3029",IF(N97&lt;5,"3038",IF(N97&lt;7,"3050",IF(N97&lt;9,"3070",IF(N97&lt;11,"3090","3110"))))))),""))))</f>
        <v/>
      </c>
      <c r="Q97">
        <f>AND(O97=TRUE,P97&lt;&gt;"")</f>
        <v/>
      </c>
      <c r="R97">
        <f>IF(G97*1000&lt;750,"なし","あり")</f>
        <v/>
      </c>
      <c r="S97">
        <f>IF(AND(O97=TRUE,Q97=TRUE),"設定可","BLOCK")</f>
        <v/>
      </c>
      <c r="T97" t="inlineStr">
        <is>
          <t>商品カタログ P194</t>
        </is>
      </c>
      <c r="U97" t="inlineStr">
        <is>
          <t>https://webcatalog.lixil.co.jp/iportal/CatalogDetail.do?catalogID=15191910000&amp;categoryID=1630000&amp;designID=newinter&amp;method=initial_screen&amp;position=18&amp;type=mc&amp;volumeID=LXL13001</t>
        </is>
      </c>
    </row>
    <row r="98">
      <c r="A98" t="inlineStr">
        <is>
          <t>WG-SL-00095</t>
        </is>
      </c>
      <c r="B98" t="inlineStr">
        <is>
          <t>SZ-SL-000956</t>
        </is>
      </c>
      <c r="C98" t="inlineStr">
        <is>
          <t>WT-SL-AGE-SAGE-FS</t>
        </is>
      </c>
      <c r="E98" t="inlineStr">
        <is>
          <t>06009</t>
        </is>
      </c>
      <c r="F98" t="n">
        <v>0.64</v>
      </c>
      <c r="G98" t="n">
        <v>0.97</v>
      </c>
      <c r="H98" t="inlineStr">
        <is>
          <t>GL-SL-005</t>
        </is>
      </c>
      <c r="I98" t="n">
        <v>7</v>
      </c>
      <c r="J98" t="n">
        <v>9.1</v>
      </c>
      <c r="K98" t="n">
        <v>-0.48</v>
      </c>
      <c r="L98" t="n">
        <v>-0.998</v>
      </c>
      <c r="M98" t="n">
        <v>0.367</v>
      </c>
      <c r="N98">
        <f>ROUND(J98*F98*G98+K98*G98+L98*F98+M98,3)</f>
        <v/>
      </c>
      <c r="O98">
        <f>AND(N98&gt;=1.4,N98&lt;=13)</f>
        <v/>
      </c>
      <c r="P98">
        <f>IF(OR(N98&lt;1.4,N98&gt;13),"",IF(G98*1000&lt;=1170,IF(N98&lt;1.8,"1014",IF(N98&lt;2.9,"1018",IF(N98&lt;3.8,"1029",IF(N98&lt;5,"1038",IF(N98&lt;7,"1050",IF(N98&lt;9,"1070",IF(N98&lt;11,"1090","1110"))))))),IF(G98*1000&lt;=1570,IF(N98&lt;1.8,"",IF(N98&lt;2.9,"2018",IF(N98&lt;3.8,"2029",IF(N98&lt;5,"2038",IF(N98&lt;7,"2050",IF(N98&lt;9,"2070",IF(N98&lt;11,"2090","2110"))))))),IF(G98*1000&lt;=1700,IF(N98&lt;1.8,"",IF(N98&lt;2.9,"3018",IF(N98&lt;3.8,"3029",IF(N98&lt;5,"3038",IF(N98&lt;7,"3050",IF(N98&lt;9,"3070",IF(N98&lt;11,"3090","3110"))))))),""))))</f>
        <v/>
      </c>
      <c r="Q98">
        <f>AND(O98=TRUE,P98&lt;&gt;"")</f>
        <v/>
      </c>
      <c r="R98">
        <f>IF(G98*1000&lt;750,"なし","あり")</f>
        <v/>
      </c>
      <c r="S98">
        <f>IF(AND(O98=TRUE,Q98=TRUE),"設定可","BLOCK")</f>
        <v/>
      </c>
      <c r="T98" t="inlineStr">
        <is>
          <t>商品カタログ P194</t>
        </is>
      </c>
      <c r="U98" t="inlineStr">
        <is>
          <t>https://webcatalog.lixil.co.jp/iportal/CatalogDetail.do?catalogID=15191910000&amp;categoryID=1630000&amp;designID=newinter&amp;method=initial_screen&amp;position=18&amp;type=mc&amp;volumeID=LXL13001</t>
        </is>
      </c>
    </row>
    <row r="99">
      <c r="A99" t="inlineStr">
        <is>
          <t>WG-SL-00096</t>
        </is>
      </c>
      <c r="B99" t="inlineStr">
        <is>
          <t>SZ-SL-000956</t>
        </is>
      </c>
      <c r="C99" t="inlineStr">
        <is>
          <t>WT-SL-AGE-SAGE-FS</t>
        </is>
      </c>
      <c r="E99" t="inlineStr">
        <is>
          <t>06009</t>
        </is>
      </c>
      <c r="F99" t="n">
        <v>0.64</v>
      </c>
      <c r="G99" t="n">
        <v>0.97</v>
      </c>
      <c r="H99" t="inlineStr">
        <is>
          <t>GL-SL-006</t>
        </is>
      </c>
      <c r="I99" t="n">
        <v>8</v>
      </c>
      <c r="J99" t="n">
        <v>10.4</v>
      </c>
      <c r="K99" t="n">
        <v>-0.605</v>
      </c>
      <c r="L99" t="n">
        <v>-1.332</v>
      </c>
      <c r="M99" t="n">
        <v>0.399</v>
      </c>
      <c r="N99">
        <f>ROUND(J99*F99*G99+K99*G99+L99*F99+M99,3)</f>
        <v/>
      </c>
      <c r="O99">
        <f>AND(N99&gt;=1.4,N99&lt;=13)</f>
        <v/>
      </c>
      <c r="P99">
        <f>IF(OR(N99&lt;1.4,N99&gt;13),"",IF(G99*1000&lt;=1170,IF(N99&lt;1.8,"1014",IF(N99&lt;2.9,"1018",IF(N99&lt;3.8,"1029",IF(N99&lt;5,"1038",IF(N99&lt;7,"1050",IF(N99&lt;9,"1070",IF(N99&lt;11,"1090","1110"))))))),IF(G99*1000&lt;=1570,IF(N99&lt;1.8,"",IF(N99&lt;2.9,"2018",IF(N99&lt;3.8,"2029",IF(N99&lt;5,"2038",IF(N99&lt;7,"2050",IF(N99&lt;9,"2070",IF(N99&lt;11,"2090","2110"))))))),IF(G99*1000&lt;=1700,IF(N99&lt;1.8,"",IF(N99&lt;2.9,"3018",IF(N99&lt;3.8,"3029",IF(N99&lt;5,"3038",IF(N99&lt;7,"3050",IF(N99&lt;9,"3070",IF(N99&lt;11,"3090","3110"))))))),""))))</f>
        <v/>
      </c>
      <c r="Q99">
        <f>AND(O99=TRUE,P99&lt;&gt;"")</f>
        <v/>
      </c>
      <c r="R99">
        <f>IF(G99*1000&lt;750,"なし","あり")</f>
        <v/>
      </c>
      <c r="S99">
        <f>IF(AND(O99=TRUE,Q99=TRUE),"設定可","BLOCK")</f>
        <v/>
      </c>
      <c r="T99" t="inlineStr">
        <is>
          <t>商品カタログ P194</t>
        </is>
      </c>
      <c r="U99" t="inlineStr">
        <is>
          <t>https://webcatalog.lixil.co.jp/iportal/CatalogDetail.do?catalogID=15191910000&amp;categoryID=1630000&amp;designID=newinter&amp;method=initial_screen&amp;position=18&amp;type=mc&amp;volumeID=LXL13001</t>
        </is>
      </c>
    </row>
    <row r="100">
      <c r="A100" t="inlineStr">
        <is>
          <t>WG-SL-00097</t>
        </is>
      </c>
      <c r="B100" t="inlineStr">
        <is>
          <t>SZ-SL-000956</t>
        </is>
      </c>
      <c r="C100" t="inlineStr">
        <is>
          <t>WT-SL-AGE-SAGE-FS</t>
        </is>
      </c>
      <c r="E100" t="inlineStr">
        <is>
          <t>06009</t>
        </is>
      </c>
      <c r="F100" t="n">
        <v>0.64</v>
      </c>
      <c r="G100" t="n">
        <v>0.97</v>
      </c>
      <c r="H100" t="inlineStr">
        <is>
          <t>GL-SL-007</t>
        </is>
      </c>
      <c r="I100" t="n">
        <v>6</v>
      </c>
      <c r="J100" t="n">
        <v>7.8</v>
      </c>
      <c r="K100" t="n">
        <v>-0.355</v>
      </c>
      <c r="L100" t="n">
        <v>-0.664</v>
      </c>
      <c r="M100" t="n">
        <v>0.335</v>
      </c>
      <c r="N100">
        <f>ROUND(J100*F100*G100+K100*G100+L100*F100+M100,3)</f>
        <v/>
      </c>
      <c r="O100">
        <f>AND(N100&gt;=1.4,N100&lt;=13)</f>
        <v/>
      </c>
      <c r="P100">
        <f>IF(OR(N100&lt;1.4,N100&gt;13),"",IF(G100*1000&lt;=1170,IF(N100&lt;1.8,"1014",IF(N100&lt;2.9,"1018",IF(N100&lt;3.8,"1029",IF(N100&lt;5,"1038",IF(N100&lt;7,"1050",IF(N100&lt;9,"1070",IF(N100&lt;11,"1090","1110"))))))),IF(G100*1000&lt;=1570,IF(N100&lt;1.8,"",IF(N100&lt;2.9,"2018",IF(N100&lt;3.8,"2029",IF(N100&lt;5,"2038",IF(N100&lt;7,"2050",IF(N100&lt;9,"2070",IF(N100&lt;11,"2090","2110"))))))),IF(G100*1000&lt;=1700,IF(N100&lt;1.8,"",IF(N100&lt;2.9,"3018",IF(N100&lt;3.8,"3029",IF(N100&lt;5,"3038",IF(N100&lt;7,"3050",IF(N100&lt;9,"3070",IF(N100&lt;11,"3090","3110"))))))),""))))</f>
        <v/>
      </c>
      <c r="Q100">
        <f>AND(O100=TRUE,P100&lt;&gt;"")</f>
        <v/>
      </c>
      <c r="R100">
        <f>IF(G100*1000&lt;750,"なし","あり")</f>
        <v/>
      </c>
      <c r="S100">
        <f>IF(AND(O100=TRUE,Q100=TRUE),"設定可","BLOCK")</f>
        <v/>
      </c>
      <c r="T100" t="inlineStr">
        <is>
          <t>商品カタログ P194</t>
        </is>
      </c>
      <c r="U100" t="inlineStr">
        <is>
          <t>https://webcatalog.lixil.co.jp/iportal/CatalogDetail.do?catalogID=15191910000&amp;categoryID=1630000&amp;designID=newinter&amp;method=initial_screen&amp;position=18&amp;type=mc&amp;volumeID=LXL13001</t>
        </is>
      </c>
    </row>
    <row r="101">
      <c r="A101" t="inlineStr">
        <is>
          <t>WG-SL-00098</t>
        </is>
      </c>
      <c r="B101" t="inlineStr">
        <is>
          <t>SZ-SL-000956</t>
        </is>
      </c>
      <c r="C101" t="inlineStr">
        <is>
          <t>WT-SL-AGE-SAGE-FS</t>
        </is>
      </c>
      <c r="E101" t="inlineStr">
        <is>
          <t>06009</t>
        </is>
      </c>
      <c r="F101" t="n">
        <v>0.64</v>
      </c>
      <c r="G101" t="n">
        <v>0.97</v>
      </c>
      <c r="H101" t="inlineStr">
        <is>
          <t>GL-SL-008</t>
        </is>
      </c>
      <c r="I101" t="n">
        <v>7</v>
      </c>
      <c r="J101" t="n">
        <v>9.1</v>
      </c>
      <c r="K101" t="n">
        <v>-0.48</v>
      </c>
      <c r="L101" t="n">
        <v>-0.998</v>
      </c>
      <c r="M101" t="n">
        <v>0.367</v>
      </c>
      <c r="N101">
        <f>ROUND(J101*F101*G101+K101*G101+L101*F101+M101,3)</f>
        <v/>
      </c>
      <c r="O101">
        <f>AND(N101&gt;=1.4,N101&lt;=13)</f>
        <v/>
      </c>
      <c r="P101">
        <f>IF(OR(N101&lt;1.4,N101&gt;13),"",IF(G101*1000&lt;=1170,IF(N101&lt;1.8,"1014",IF(N101&lt;2.9,"1018",IF(N101&lt;3.8,"1029",IF(N101&lt;5,"1038",IF(N101&lt;7,"1050",IF(N101&lt;9,"1070",IF(N101&lt;11,"1090","1110"))))))),IF(G101*1000&lt;=1570,IF(N101&lt;1.8,"",IF(N101&lt;2.9,"2018",IF(N101&lt;3.8,"2029",IF(N101&lt;5,"2038",IF(N101&lt;7,"2050",IF(N101&lt;9,"2070",IF(N101&lt;11,"2090","2110"))))))),IF(G101*1000&lt;=1700,IF(N101&lt;1.8,"",IF(N101&lt;2.9,"3018",IF(N101&lt;3.8,"3029",IF(N101&lt;5,"3038",IF(N101&lt;7,"3050",IF(N101&lt;9,"3070",IF(N101&lt;11,"3090","3110"))))))),""))))</f>
        <v/>
      </c>
      <c r="Q101">
        <f>AND(O101=TRUE,P101&lt;&gt;"")</f>
        <v/>
      </c>
      <c r="R101">
        <f>IF(G101*1000&lt;750,"なし","あり")</f>
        <v/>
      </c>
      <c r="S101">
        <f>IF(AND(O101=TRUE,Q101=TRUE),"設定可","BLOCK")</f>
        <v/>
      </c>
      <c r="T101" t="inlineStr">
        <is>
          <t>商品カタログ P194</t>
        </is>
      </c>
      <c r="U101" t="inlineStr">
        <is>
          <t>https://webcatalog.lixil.co.jp/iportal/CatalogDetail.do?catalogID=15191910000&amp;categoryID=1630000&amp;designID=newinter&amp;method=initial_screen&amp;position=18&amp;type=mc&amp;volumeID=LXL13001</t>
        </is>
      </c>
    </row>
    <row r="102">
      <c r="A102" t="inlineStr">
        <is>
          <t>WG-SL-00099</t>
        </is>
      </c>
      <c r="B102" t="inlineStr">
        <is>
          <t>SZ-SL-000956</t>
        </is>
      </c>
      <c r="C102" t="inlineStr">
        <is>
          <t>WT-SL-AGE-SAGE-FS</t>
        </is>
      </c>
      <c r="E102" t="inlineStr">
        <is>
          <t>06009</t>
        </is>
      </c>
      <c r="F102" t="n">
        <v>0.64</v>
      </c>
      <c r="G102" t="n">
        <v>0.97</v>
      </c>
      <c r="H102" t="inlineStr">
        <is>
          <t>GL-SL-009</t>
        </is>
      </c>
      <c r="I102" t="n">
        <v>8</v>
      </c>
      <c r="J102" t="n">
        <v>10.4</v>
      </c>
      <c r="K102" t="n">
        <v>-0.605</v>
      </c>
      <c r="L102" t="n">
        <v>-1.332</v>
      </c>
      <c r="M102" t="n">
        <v>0.399</v>
      </c>
      <c r="N102">
        <f>ROUND(J102*F102*G102+K102*G102+L102*F102+M102,3)</f>
        <v/>
      </c>
      <c r="O102">
        <f>AND(N102&gt;=1.4,N102&lt;=13)</f>
        <v/>
      </c>
      <c r="P102">
        <f>IF(OR(N102&lt;1.4,N102&gt;13),"",IF(G102*1000&lt;=1170,IF(N102&lt;1.8,"1014",IF(N102&lt;2.9,"1018",IF(N102&lt;3.8,"1029",IF(N102&lt;5,"1038",IF(N102&lt;7,"1050",IF(N102&lt;9,"1070",IF(N102&lt;11,"1090","1110"))))))),IF(G102*1000&lt;=1570,IF(N102&lt;1.8,"",IF(N102&lt;2.9,"2018",IF(N102&lt;3.8,"2029",IF(N102&lt;5,"2038",IF(N102&lt;7,"2050",IF(N102&lt;9,"2070",IF(N102&lt;11,"2090","2110"))))))),IF(G102*1000&lt;=1700,IF(N102&lt;1.8,"",IF(N102&lt;2.9,"3018",IF(N102&lt;3.8,"3029",IF(N102&lt;5,"3038",IF(N102&lt;7,"3050",IF(N102&lt;9,"3070",IF(N102&lt;11,"3090","3110"))))))),""))))</f>
        <v/>
      </c>
      <c r="Q102">
        <f>AND(O102=TRUE,P102&lt;&gt;"")</f>
        <v/>
      </c>
      <c r="R102">
        <f>IF(G102*1000&lt;750,"なし","あり")</f>
        <v/>
      </c>
      <c r="S102">
        <f>IF(AND(O102=TRUE,Q102=TRUE),"設定可","BLOCK")</f>
        <v/>
      </c>
      <c r="T102" t="inlineStr">
        <is>
          <t>商品カタログ P194</t>
        </is>
      </c>
      <c r="U102" t="inlineStr">
        <is>
          <t>https://webcatalog.lixil.co.jp/iportal/CatalogDetail.do?catalogID=15191910000&amp;categoryID=1630000&amp;designID=newinter&amp;method=initial_screen&amp;position=18&amp;type=mc&amp;volumeID=LXL13001</t>
        </is>
      </c>
    </row>
    <row r="103">
      <c r="A103" t="inlineStr">
        <is>
          <t>WG-SL-00100</t>
        </is>
      </c>
      <c r="B103" t="inlineStr">
        <is>
          <t>SZ-SL-000957</t>
        </is>
      </c>
      <c r="C103" t="inlineStr">
        <is>
          <t>WT-SL-AGE-SAGE-FS</t>
        </is>
      </c>
      <c r="E103" t="inlineStr">
        <is>
          <t>06011</t>
        </is>
      </c>
      <c r="F103" t="n">
        <v>0.64</v>
      </c>
      <c r="G103" t="n">
        <v>1.17</v>
      </c>
      <c r="H103" t="inlineStr">
        <is>
          <t>GL-SL-001</t>
        </is>
      </c>
      <c r="I103" t="n">
        <v>6</v>
      </c>
      <c r="J103" t="n">
        <v>7.8</v>
      </c>
      <c r="K103" t="n">
        <v>-0.355</v>
      </c>
      <c r="L103" t="n">
        <v>-0.664</v>
      </c>
      <c r="M103" t="n">
        <v>0.335</v>
      </c>
      <c r="N103">
        <f>ROUND(J103*F103*G103+K103*G103+L103*F103+M103,3)</f>
        <v/>
      </c>
      <c r="O103">
        <f>AND(N103&gt;=1.4,N103&lt;=13)</f>
        <v/>
      </c>
      <c r="P103">
        <f>IF(OR(N103&lt;1.4,N103&gt;13),"",IF(G103*1000&lt;=1170,IF(N103&lt;1.8,"1014",IF(N103&lt;2.9,"1018",IF(N103&lt;3.8,"1029",IF(N103&lt;5,"1038",IF(N103&lt;7,"1050",IF(N103&lt;9,"1070",IF(N103&lt;11,"1090","1110"))))))),IF(G103*1000&lt;=1570,IF(N103&lt;1.8,"",IF(N103&lt;2.9,"2018",IF(N103&lt;3.8,"2029",IF(N103&lt;5,"2038",IF(N103&lt;7,"2050",IF(N103&lt;9,"2070",IF(N103&lt;11,"2090","2110"))))))),IF(G103*1000&lt;=1700,IF(N103&lt;1.8,"",IF(N103&lt;2.9,"3018",IF(N103&lt;3.8,"3029",IF(N103&lt;5,"3038",IF(N103&lt;7,"3050",IF(N103&lt;9,"3070",IF(N103&lt;11,"3090","3110"))))))),""))))</f>
        <v/>
      </c>
      <c r="Q103">
        <f>AND(O103=TRUE,P103&lt;&gt;"")</f>
        <v/>
      </c>
      <c r="R103">
        <f>IF(G103*1000&lt;750,"なし","あり")</f>
        <v/>
      </c>
      <c r="S103">
        <f>IF(AND(O103=TRUE,Q103=TRUE),"設定可","BLOCK")</f>
        <v/>
      </c>
      <c r="T103" t="inlineStr">
        <is>
          <t>商品カタログ P194</t>
        </is>
      </c>
      <c r="U103" t="inlineStr">
        <is>
          <t>https://webcatalog.lixil.co.jp/iportal/CatalogDetail.do?catalogID=15191910000&amp;categoryID=1630000&amp;designID=newinter&amp;method=initial_screen&amp;position=18&amp;type=mc&amp;volumeID=LXL13001</t>
        </is>
      </c>
    </row>
    <row r="104">
      <c r="A104" t="inlineStr">
        <is>
          <t>WG-SL-00101</t>
        </is>
      </c>
      <c r="B104" t="inlineStr">
        <is>
          <t>SZ-SL-000957</t>
        </is>
      </c>
      <c r="C104" t="inlineStr">
        <is>
          <t>WT-SL-AGE-SAGE-FS</t>
        </is>
      </c>
      <c r="E104" t="inlineStr">
        <is>
          <t>06011</t>
        </is>
      </c>
      <c r="F104" t="n">
        <v>0.64</v>
      </c>
      <c r="G104" t="n">
        <v>1.17</v>
      </c>
      <c r="H104" t="inlineStr">
        <is>
          <t>GL-SL-002</t>
        </is>
      </c>
      <c r="I104" t="n">
        <v>7</v>
      </c>
      <c r="J104" t="n">
        <v>9.1</v>
      </c>
      <c r="K104" t="n">
        <v>-0.48</v>
      </c>
      <c r="L104" t="n">
        <v>-0.998</v>
      </c>
      <c r="M104" t="n">
        <v>0.367</v>
      </c>
      <c r="N104">
        <f>ROUND(J104*F104*G104+K104*G104+L104*F104+M104,3)</f>
        <v/>
      </c>
      <c r="O104">
        <f>AND(N104&gt;=1.4,N104&lt;=13)</f>
        <v/>
      </c>
      <c r="P104">
        <f>IF(OR(N104&lt;1.4,N104&gt;13),"",IF(G104*1000&lt;=1170,IF(N104&lt;1.8,"1014",IF(N104&lt;2.9,"1018",IF(N104&lt;3.8,"1029",IF(N104&lt;5,"1038",IF(N104&lt;7,"1050",IF(N104&lt;9,"1070",IF(N104&lt;11,"1090","1110"))))))),IF(G104*1000&lt;=1570,IF(N104&lt;1.8,"",IF(N104&lt;2.9,"2018",IF(N104&lt;3.8,"2029",IF(N104&lt;5,"2038",IF(N104&lt;7,"2050",IF(N104&lt;9,"2070",IF(N104&lt;11,"2090","2110"))))))),IF(G104*1000&lt;=1700,IF(N104&lt;1.8,"",IF(N104&lt;2.9,"3018",IF(N104&lt;3.8,"3029",IF(N104&lt;5,"3038",IF(N104&lt;7,"3050",IF(N104&lt;9,"3070",IF(N104&lt;11,"3090","3110"))))))),""))))</f>
        <v/>
      </c>
      <c r="Q104">
        <f>AND(O104=TRUE,P104&lt;&gt;"")</f>
        <v/>
      </c>
      <c r="R104">
        <f>IF(G104*1000&lt;750,"なし","あり")</f>
        <v/>
      </c>
      <c r="S104">
        <f>IF(AND(O104=TRUE,Q104=TRUE),"設定可","BLOCK")</f>
        <v/>
      </c>
      <c r="T104" t="inlineStr">
        <is>
          <t>商品カタログ P194</t>
        </is>
      </c>
      <c r="U104" t="inlineStr">
        <is>
          <t>https://webcatalog.lixil.co.jp/iportal/CatalogDetail.do?catalogID=15191910000&amp;categoryID=1630000&amp;designID=newinter&amp;method=initial_screen&amp;position=18&amp;type=mc&amp;volumeID=LXL13001</t>
        </is>
      </c>
    </row>
    <row r="105">
      <c r="A105" t="inlineStr">
        <is>
          <t>WG-SL-00102</t>
        </is>
      </c>
      <c r="B105" t="inlineStr">
        <is>
          <t>SZ-SL-000957</t>
        </is>
      </c>
      <c r="C105" t="inlineStr">
        <is>
          <t>WT-SL-AGE-SAGE-FS</t>
        </is>
      </c>
      <c r="E105" t="inlineStr">
        <is>
          <t>06011</t>
        </is>
      </c>
      <c r="F105" t="n">
        <v>0.64</v>
      </c>
      <c r="G105" t="n">
        <v>1.17</v>
      </c>
      <c r="H105" t="inlineStr">
        <is>
          <t>GL-SL-003</t>
        </is>
      </c>
      <c r="I105" t="n">
        <v>8</v>
      </c>
      <c r="J105" t="n">
        <v>10.4</v>
      </c>
      <c r="K105" t="n">
        <v>-0.605</v>
      </c>
      <c r="L105" t="n">
        <v>-1.332</v>
      </c>
      <c r="M105" t="n">
        <v>0.399</v>
      </c>
      <c r="N105">
        <f>ROUND(J105*F105*G105+K105*G105+L105*F105+M105,3)</f>
        <v/>
      </c>
      <c r="O105">
        <f>AND(N105&gt;=1.4,N105&lt;=13)</f>
        <v/>
      </c>
      <c r="P105">
        <f>IF(OR(N105&lt;1.4,N105&gt;13),"",IF(G105*1000&lt;=1170,IF(N105&lt;1.8,"1014",IF(N105&lt;2.9,"1018",IF(N105&lt;3.8,"1029",IF(N105&lt;5,"1038",IF(N105&lt;7,"1050",IF(N105&lt;9,"1070",IF(N105&lt;11,"1090","1110"))))))),IF(G105*1000&lt;=1570,IF(N105&lt;1.8,"",IF(N105&lt;2.9,"2018",IF(N105&lt;3.8,"2029",IF(N105&lt;5,"2038",IF(N105&lt;7,"2050",IF(N105&lt;9,"2070",IF(N105&lt;11,"2090","2110"))))))),IF(G105*1000&lt;=1700,IF(N105&lt;1.8,"",IF(N105&lt;2.9,"3018",IF(N105&lt;3.8,"3029",IF(N105&lt;5,"3038",IF(N105&lt;7,"3050",IF(N105&lt;9,"3070",IF(N105&lt;11,"3090","3110"))))))),""))))</f>
        <v/>
      </c>
      <c r="Q105">
        <f>AND(O105=TRUE,P105&lt;&gt;"")</f>
        <v/>
      </c>
      <c r="R105">
        <f>IF(G105*1000&lt;750,"なし","あり")</f>
        <v/>
      </c>
      <c r="S105">
        <f>IF(AND(O105=TRUE,Q105=TRUE),"設定可","BLOCK")</f>
        <v/>
      </c>
      <c r="T105" t="inlineStr">
        <is>
          <t>商品カタログ P194</t>
        </is>
      </c>
      <c r="U105" t="inlineStr">
        <is>
          <t>https://webcatalog.lixil.co.jp/iportal/CatalogDetail.do?catalogID=15191910000&amp;categoryID=1630000&amp;designID=newinter&amp;method=initial_screen&amp;position=18&amp;type=mc&amp;volumeID=LXL13001</t>
        </is>
      </c>
    </row>
    <row r="106">
      <c r="A106" t="inlineStr">
        <is>
          <t>WG-SL-00103</t>
        </is>
      </c>
      <c r="B106" t="inlineStr">
        <is>
          <t>SZ-SL-000957</t>
        </is>
      </c>
      <c r="C106" t="inlineStr">
        <is>
          <t>WT-SL-AGE-SAGE-FS</t>
        </is>
      </c>
      <c r="E106" t="inlineStr">
        <is>
          <t>06011</t>
        </is>
      </c>
      <c r="F106" t="n">
        <v>0.64</v>
      </c>
      <c r="G106" t="n">
        <v>1.17</v>
      </c>
      <c r="H106" t="inlineStr">
        <is>
          <t>GL-SL-004</t>
        </is>
      </c>
      <c r="I106" t="n">
        <v>6</v>
      </c>
      <c r="J106" t="n">
        <v>7.8</v>
      </c>
      <c r="K106" t="n">
        <v>-0.355</v>
      </c>
      <c r="L106" t="n">
        <v>-0.664</v>
      </c>
      <c r="M106" t="n">
        <v>0.335</v>
      </c>
      <c r="N106">
        <f>ROUND(J106*F106*G106+K106*G106+L106*F106+M106,3)</f>
        <v/>
      </c>
      <c r="O106">
        <f>AND(N106&gt;=1.4,N106&lt;=13)</f>
        <v/>
      </c>
      <c r="P106">
        <f>IF(OR(N106&lt;1.4,N106&gt;13),"",IF(G106*1000&lt;=1170,IF(N106&lt;1.8,"1014",IF(N106&lt;2.9,"1018",IF(N106&lt;3.8,"1029",IF(N106&lt;5,"1038",IF(N106&lt;7,"1050",IF(N106&lt;9,"1070",IF(N106&lt;11,"1090","1110"))))))),IF(G106*1000&lt;=1570,IF(N106&lt;1.8,"",IF(N106&lt;2.9,"2018",IF(N106&lt;3.8,"2029",IF(N106&lt;5,"2038",IF(N106&lt;7,"2050",IF(N106&lt;9,"2070",IF(N106&lt;11,"2090","2110"))))))),IF(G106*1000&lt;=1700,IF(N106&lt;1.8,"",IF(N106&lt;2.9,"3018",IF(N106&lt;3.8,"3029",IF(N106&lt;5,"3038",IF(N106&lt;7,"3050",IF(N106&lt;9,"3070",IF(N106&lt;11,"3090","3110"))))))),""))))</f>
        <v/>
      </c>
      <c r="Q106">
        <f>AND(O106=TRUE,P106&lt;&gt;"")</f>
        <v/>
      </c>
      <c r="R106">
        <f>IF(G106*1000&lt;750,"なし","あり")</f>
        <v/>
      </c>
      <c r="S106">
        <f>IF(AND(O106=TRUE,Q106=TRUE),"設定可","BLOCK")</f>
        <v/>
      </c>
      <c r="T106" t="inlineStr">
        <is>
          <t>商品カタログ P194</t>
        </is>
      </c>
      <c r="U106" t="inlineStr">
        <is>
          <t>https://webcatalog.lixil.co.jp/iportal/CatalogDetail.do?catalogID=15191910000&amp;categoryID=1630000&amp;designID=newinter&amp;method=initial_screen&amp;position=18&amp;type=mc&amp;volumeID=LXL13001</t>
        </is>
      </c>
    </row>
    <row r="107">
      <c r="A107" t="inlineStr">
        <is>
          <t>WG-SL-00104</t>
        </is>
      </c>
      <c r="B107" t="inlineStr">
        <is>
          <t>SZ-SL-000957</t>
        </is>
      </c>
      <c r="C107" t="inlineStr">
        <is>
          <t>WT-SL-AGE-SAGE-FS</t>
        </is>
      </c>
      <c r="E107" t="inlineStr">
        <is>
          <t>06011</t>
        </is>
      </c>
      <c r="F107" t="n">
        <v>0.64</v>
      </c>
      <c r="G107" t="n">
        <v>1.17</v>
      </c>
      <c r="H107" t="inlineStr">
        <is>
          <t>GL-SL-005</t>
        </is>
      </c>
      <c r="I107" t="n">
        <v>7</v>
      </c>
      <c r="J107" t="n">
        <v>9.1</v>
      </c>
      <c r="K107" t="n">
        <v>-0.48</v>
      </c>
      <c r="L107" t="n">
        <v>-0.998</v>
      </c>
      <c r="M107" t="n">
        <v>0.367</v>
      </c>
      <c r="N107">
        <f>ROUND(J107*F107*G107+K107*G107+L107*F107+M107,3)</f>
        <v/>
      </c>
      <c r="O107">
        <f>AND(N107&gt;=1.4,N107&lt;=13)</f>
        <v/>
      </c>
      <c r="P107">
        <f>IF(OR(N107&lt;1.4,N107&gt;13),"",IF(G107*1000&lt;=1170,IF(N107&lt;1.8,"1014",IF(N107&lt;2.9,"1018",IF(N107&lt;3.8,"1029",IF(N107&lt;5,"1038",IF(N107&lt;7,"1050",IF(N107&lt;9,"1070",IF(N107&lt;11,"1090","1110"))))))),IF(G107*1000&lt;=1570,IF(N107&lt;1.8,"",IF(N107&lt;2.9,"2018",IF(N107&lt;3.8,"2029",IF(N107&lt;5,"2038",IF(N107&lt;7,"2050",IF(N107&lt;9,"2070",IF(N107&lt;11,"2090","2110"))))))),IF(G107*1000&lt;=1700,IF(N107&lt;1.8,"",IF(N107&lt;2.9,"3018",IF(N107&lt;3.8,"3029",IF(N107&lt;5,"3038",IF(N107&lt;7,"3050",IF(N107&lt;9,"3070",IF(N107&lt;11,"3090","3110"))))))),""))))</f>
        <v/>
      </c>
      <c r="Q107">
        <f>AND(O107=TRUE,P107&lt;&gt;"")</f>
        <v/>
      </c>
      <c r="R107">
        <f>IF(G107*1000&lt;750,"なし","あり")</f>
        <v/>
      </c>
      <c r="S107">
        <f>IF(AND(O107=TRUE,Q107=TRUE),"設定可","BLOCK")</f>
        <v/>
      </c>
      <c r="T107" t="inlineStr">
        <is>
          <t>商品カタログ P194</t>
        </is>
      </c>
      <c r="U107" t="inlineStr">
        <is>
          <t>https://webcatalog.lixil.co.jp/iportal/CatalogDetail.do?catalogID=15191910000&amp;categoryID=1630000&amp;designID=newinter&amp;method=initial_screen&amp;position=18&amp;type=mc&amp;volumeID=LXL13001</t>
        </is>
      </c>
    </row>
    <row r="108">
      <c r="A108" t="inlineStr">
        <is>
          <t>WG-SL-00105</t>
        </is>
      </c>
      <c r="B108" t="inlineStr">
        <is>
          <t>SZ-SL-000957</t>
        </is>
      </c>
      <c r="C108" t="inlineStr">
        <is>
          <t>WT-SL-AGE-SAGE-FS</t>
        </is>
      </c>
      <c r="E108" t="inlineStr">
        <is>
          <t>06011</t>
        </is>
      </c>
      <c r="F108" t="n">
        <v>0.64</v>
      </c>
      <c r="G108" t="n">
        <v>1.17</v>
      </c>
      <c r="H108" t="inlineStr">
        <is>
          <t>GL-SL-006</t>
        </is>
      </c>
      <c r="I108" t="n">
        <v>8</v>
      </c>
      <c r="J108" t="n">
        <v>10.4</v>
      </c>
      <c r="K108" t="n">
        <v>-0.605</v>
      </c>
      <c r="L108" t="n">
        <v>-1.332</v>
      </c>
      <c r="M108" t="n">
        <v>0.399</v>
      </c>
      <c r="N108">
        <f>ROUND(J108*F108*G108+K108*G108+L108*F108+M108,3)</f>
        <v/>
      </c>
      <c r="O108">
        <f>AND(N108&gt;=1.4,N108&lt;=13)</f>
        <v/>
      </c>
      <c r="P108">
        <f>IF(OR(N108&lt;1.4,N108&gt;13),"",IF(G108*1000&lt;=1170,IF(N108&lt;1.8,"1014",IF(N108&lt;2.9,"1018",IF(N108&lt;3.8,"1029",IF(N108&lt;5,"1038",IF(N108&lt;7,"1050",IF(N108&lt;9,"1070",IF(N108&lt;11,"1090","1110"))))))),IF(G108*1000&lt;=1570,IF(N108&lt;1.8,"",IF(N108&lt;2.9,"2018",IF(N108&lt;3.8,"2029",IF(N108&lt;5,"2038",IF(N108&lt;7,"2050",IF(N108&lt;9,"2070",IF(N108&lt;11,"2090","2110"))))))),IF(G108*1000&lt;=1700,IF(N108&lt;1.8,"",IF(N108&lt;2.9,"3018",IF(N108&lt;3.8,"3029",IF(N108&lt;5,"3038",IF(N108&lt;7,"3050",IF(N108&lt;9,"3070",IF(N108&lt;11,"3090","3110"))))))),""))))</f>
        <v/>
      </c>
      <c r="Q108">
        <f>AND(O108=TRUE,P108&lt;&gt;"")</f>
        <v/>
      </c>
      <c r="R108">
        <f>IF(G108*1000&lt;750,"なし","あり")</f>
        <v/>
      </c>
      <c r="S108">
        <f>IF(AND(O108=TRUE,Q108=TRUE),"設定可","BLOCK")</f>
        <v/>
      </c>
      <c r="T108" t="inlineStr">
        <is>
          <t>商品カタログ P194</t>
        </is>
      </c>
      <c r="U108" t="inlineStr">
        <is>
          <t>https://webcatalog.lixil.co.jp/iportal/CatalogDetail.do?catalogID=15191910000&amp;categoryID=1630000&amp;designID=newinter&amp;method=initial_screen&amp;position=18&amp;type=mc&amp;volumeID=LXL13001</t>
        </is>
      </c>
    </row>
    <row r="109">
      <c r="A109" t="inlineStr">
        <is>
          <t>WG-SL-00106</t>
        </is>
      </c>
      <c r="B109" t="inlineStr">
        <is>
          <t>SZ-SL-000957</t>
        </is>
      </c>
      <c r="C109" t="inlineStr">
        <is>
          <t>WT-SL-AGE-SAGE-FS</t>
        </is>
      </c>
      <c r="E109" t="inlineStr">
        <is>
          <t>06011</t>
        </is>
      </c>
      <c r="F109" t="n">
        <v>0.64</v>
      </c>
      <c r="G109" t="n">
        <v>1.17</v>
      </c>
      <c r="H109" t="inlineStr">
        <is>
          <t>GL-SL-007</t>
        </is>
      </c>
      <c r="I109" t="n">
        <v>6</v>
      </c>
      <c r="J109" t="n">
        <v>7.8</v>
      </c>
      <c r="K109" t="n">
        <v>-0.355</v>
      </c>
      <c r="L109" t="n">
        <v>-0.664</v>
      </c>
      <c r="M109" t="n">
        <v>0.335</v>
      </c>
      <c r="N109">
        <f>ROUND(J109*F109*G109+K109*G109+L109*F109+M109,3)</f>
        <v/>
      </c>
      <c r="O109">
        <f>AND(N109&gt;=1.4,N109&lt;=13)</f>
        <v/>
      </c>
      <c r="P109">
        <f>IF(OR(N109&lt;1.4,N109&gt;13),"",IF(G109*1000&lt;=1170,IF(N109&lt;1.8,"1014",IF(N109&lt;2.9,"1018",IF(N109&lt;3.8,"1029",IF(N109&lt;5,"1038",IF(N109&lt;7,"1050",IF(N109&lt;9,"1070",IF(N109&lt;11,"1090","1110"))))))),IF(G109*1000&lt;=1570,IF(N109&lt;1.8,"",IF(N109&lt;2.9,"2018",IF(N109&lt;3.8,"2029",IF(N109&lt;5,"2038",IF(N109&lt;7,"2050",IF(N109&lt;9,"2070",IF(N109&lt;11,"2090","2110"))))))),IF(G109*1000&lt;=1700,IF(N109&lt;1.8,"",IF(N109&lt;2.9,"3018",IF(N109&lt;3.8,"3029",IF(N109&lt;5,"3038",IF(N109&lt;7,"3050",IF(N109&lt;9,"3070",IF(N109&lt;11,"3090","3110"))))))),""))))</f>
        <v/>
      </c>
      <c r="Q109">
        <f>AND(O109=TRUE,P109&lt;&gt;"")</f>
        <v/>
      </c>
      <c r="R109">
        <f>IF(G109*1000&lt;750,"なし","あり")</f>
        <v/>
      </c>
      <c r="S109">
        <f>IF(AND(O109=TRUE,Q109=TRUE),"設定可","BLOCK")</f>
        <v/>
      </c>
      <c r="T109" t="inlineStr">
        <is>
          <t>商品カタログ P194</t>
        </is>
      </c>
      <c r="U109" t="inlineStr">
        <is>
          <t>https://webcatalog.lixil.co.jp/iportal/CatalogDetail.do?catalogID=15191910000&amp;categoryID=1630000&amp;designID=newinter&amp;method=initial_screen&amp;position=18&amp;type=mc&amp;volumeID=LXL13001</t>
        </is>
      </c>
    </row>
    <row r="110">
      <c r="A110" t="inlineStr">
        <is>
          <t>WG-SL-00107</t>
        </is>
      </c>
      <c r="B110" t="inlineStr">
        <is>
          <t>SZ-SL-000957</t>
        </is>
      </c>
      <c r="C110" t="inlineStr">
        <is>
          <t>WT-SL-AGE-SAGE-FS</t>
        </is>
      </c>
      <c r="E110" t="inlineStr">
        <is>
          <t>06011</t>
        </is>
      </c>
      <c r="F110" t="n">
        <v>0.64</v>
      </c>
      <c r="G110" t="n">
        <v>1.17</v>
      </c>
      <c r="H110" t="inlineStr">
        <is>
          <t>GL-SL-008</t>
        </is>
      </c>
      <c r="I110" t="n">
        <v>7</v>
      </c>
      <c r="J110" t="n">
        <v>9.1</v>
      </c>
      <c r="K110" t="n">
        <v>-0.48</v>
      </c>
      <c r="L110" t="n">
        <v>-0.998</v>
      </c>
      <c r="M110" t="n">
        <v>0.367</v>
      </c>
      <c r="N110">
        <f>ROUND(J110*F110*G110+K110*G110+L110*F110+M110,3)</f>
        <v/>
      </c>
      <c r="O110">
        <f>AND(N110&gt;=1.4,N110&lt;=13)</f>
        <v/>
      </c>
      <c r="P110">
        <f>IF(OR(N110&lt;1.4,N110&gt;13),"",IF(G110*1000&lt;=1170,IF(N110&lt;1.8,"1014",IF(N110&lt;2.9,"1018",IF(N110&lt;3.8,"1029",IF(N110&lt;5,"1038",IF(N110&lt;7,"1050",IF(N110&lt;9,"1070",IF(N110&lt;11,"1090","1110"))))))),IF(G110*1000&lt;=1570,IF(N110&lt;1.8,"",IF(N110&lt;2.9,"2018",IF(N110&lt;3.8,"2029",IF(N110&lt;5,"2038",IF(N110&lt;7,"2050",IF(N110&lt;9,"2070",IF(N110&lt;11,"2090","2110"))))))),IF(G110*1000&lt;=1700,IF(N110&lt;1.8,"",IF(N110&lt;2.9,"3018",IF(N110&lt;3.8,"3029",IF(N110&lt;5,"3038",IF(N110&lt;7,"3050",IF(N110&lt;9,"3070",IF(N110&lt;11,"3090","3110"))))))),""))))</f>
        <v/>
      </c>
      <c r="Q110">
        <f>AND(O110=TRUE,P110&lt;&gt;"")</f>
        <v/>
      </c>
      <c r="R110">
        <f>IF(G110*1000&lt;750,"なし","あり")</f>
        <v/>
      </c>
      <c r="S110">
        <f>IF(AND(O110=TRUE,Q110=TRUE),"設定可","BLOCK")</f>
        <v/>
      </c>
      <c r="T110" t="inlineStr">
        <is>
          <t>商品カタログ P194</t>
        </is>
      </c>
      <c r="U110" t="inlineStr">
        <is>
          <t>https://webcatalog.lixil.co.jp/iportal/CatalogDetail.do?catalogID=15191910000&amp;categoryID=1630000&amp;designID=newinter&amp;method=initial_screen&amp;position=18&amp;type=mc&amp;volumeID=LXL13001</t>
        </is>
      </c>
    </row>
    <row r="111">
      <c r="A111" t="inlineStr">
        <is>
          <t>WG-SL-00108</t>
        </is>
      </c>
      <c r="B111" t="inlineStr">
        <is>
          <t>SZ-SL-000957</t>
        </is>
      </c>
      <c r="C111" t="inlineStr">
        <is>
          <t>WT-SL-AGE-SAGE-FS</t>
        </is>
      </c>
      <c r="E111" t="inlineStr">
        <is>
          <t>06011</t>
        </is>
      </c>
      <c r="F111" t="n">
        <v>0.64</v>
      </c>
      <c r="G111" t="n">
        <v>1.17</v>
      </c>
      <c r="H111" t="inlineStr">
        <is>
          <t>GL-SL-009</t>
        </is>
      </c>
      <c r="I111" t="n">
        <v>8</v>
      </c>
      <c r="J111" t="n">
        <v>10.4</v>
      </c>
      <c r="K111" t="n">
        <v>-0.605</v>
      </c>
      <c r="L111" t="n">
        <v>-1.332</v>
      </c>
      <c r="M111" t="n">
        <v>0.399</v>
      </c>
      <c r="N111">
        <f>ROUND(J111*F111*G111+K111*G111+L111*F111+M111,3)</f>
        <v/>
      </c>
      <c r="O111">
        <f>AND(N111&gt;=1.4,N111&lt;=13)</f>
        <v/>
      </c>
      <c r="P111">
        <f>IF(OR(N111&lt;1.4,N111&gt;13),"",IF(G111*1000&lt;=1170,IF(N111&lt;1.8,"1014",IF(N111&lt;2.9,"1018",IF(N111&lt;3.8,"1029",IF(N111&lt;5,"1038",IF(N111&lt;7,"1050",IF(N111&lt;9,"1070",IF(N111&lt;11,"1090","1110"))))))),IF(G111*1000&lt;=1570,IF(N111&lt;1.8,"",IF(N111&lt;2.9,"2018",IF(N111&lt;3.8,"2029",IF(N111&lt;5,"2038",IF(N111&lt;7,"2050",IF(N111&lt;9,"2070",IF(N111&lt;11,"2090","2110"))))))),IF(G111*1000&lt;=1700,IF(N111&lt;1.8,"",IF(N111&lt;2.9,"3018",IF(N111&lt;3.8,"3029",IF(N111&lt;5,"3038",IF(N111&lt;7,"3050",IF(N111&lt;9,"3070",IF(N111&lt;11,"3090","3110"))))))),""))))</f>
        <v/>
      </c>
      <c r="Q111">
        <f>AND(O111=TRUE,P111&lt;&gt;"")</f>
        <v/>
      </c>
      <c r="R111">
        <f>IF(G111*1000&lt;750,"なし","あり")</f>
        <v/>
      </c>
      <c r="S111">
        <f>IF(AND(O111=TRUE,Q111=TRUE),"設定可","BLOCK")</f>
        <v/>
      </c>
      <c r="T111" t="inlineStr">
        <is>
          <t>商品カタログ P194</t>
        </is>
      </c>
      <c r="U111" t="inlineStr">
        <is>
          <t>https://webcatalog.lixil.co.jp/iportal/CatalogDetail.do?catalogID=15191910000&amp;categoryID=1630000&amp;designID=newinter&amp;method=initial_screen&amp;position=18&amp;type=mc&amp;volumeID=LXL13001</t>
        </is>
      </c>
    </row>
    <row r="112">
      <c r="A112" t="inlineStr">
        <is>
          <t>WG-SL-00109</t>
        </is>
      </c>
      <c r="B112" t="inlineStr">
        <is>
          <t>SZ-SL-000958</t>
        </is>
      </c>
      <c r="C112" t="inlineStr">
        <is>
          <t>WT-SL-AGE-SAGE-FS</t>
        </is>
      </c>
      <c r="E112" t="inlineStr">
        <is>
          <t>06013</t>
        </is>
      </c>
      <c r="F112" t="n">
        <v>0.64</v>
      </c>
      <c r="G112" t="n">
        <v>1.37</v>
      </c>
      <c r="H112" t="inlineStr">
        <is>
          <t>GL-SL-001</t>
        </is>
      </c>
      <c r="I112" t="n">
        <v>6</v>
      </c>
      <c r="J112" t="n">
        <v>7.8</v>
      </c>
      <c r="K112" t="n">
        <v>-0.355</v>
      </c>
      <c r="L112" t="n">
        <v>-0.664</v>
      </c>
      <c r="M112" t="n">
        <v>0.335</v>
      </c>
      <c r="N112">
        <f>ROUND(J112*F112*G112+K112*G112+L112*F112+M112,3)</f>
        <v/>
      </c>
      <c r="O112">
        <f>AND(N112&gt;=1.4,N112&lt;=13)</f>
        <v/>
      </c>
      <c r="P112">
        <f>IF(OR(N112&lt;1.4,N112&gt;13),"",IF(G112*1000&lt;=1170,IF(N112&lt;1.8,"1014",IF(N112&lt;2.9,"1018",IF(N112&lt;3.8,"1029",IF(N112&lt;5,"1038",IF(N112&lt;7,"1050",IF(N112&lt;9,"1070",IF(N112&lt;11,"1090","1110"))))))),IF(G112*1000&lt;=1570,IF(N112&lt;1.8,"",IF(N112&lt;2.9,"2018",IF(N112&lt;3.8,"2029",IF(N112&lt;5,"2038",IF(N112&lt;7,"2050",IF(N112&lt;9,"2070",IF(N112&lt;11,"2090","2110"))))))),IF(G112*1000&lt;=1700,IF(N112&lt;1.8,"",IF(N112&lt;2.9,"3018",IF(N112&lt;3.8,"3029",IF(N112&lt;5,"3038",IF(N112&lt;7,"3050",IF(N112&lt;9,"3070",IF(N112&lt;11,"3090","3110"))))))),""))))</f>
        <v/>
      </c>
      <c r="Q112">
        <f>AND(O112=TRUE,P112&lt;&gt;"")</f>
        <v/>
      </c>
      <c r="R112">
        <f>IF(G112*1000&lt;750,"なし","あり")</f>
        <v/>
      </c>
      <c r="S112">
        <f>IF(AND(O112=TRUE,Q112=TRUE),"設定可","BLOCK")</f>
        <v/>
      </c>
      <c r="T112" t="inlineStr">
        <is>
          <t>商品カタログ P194</t>
        </is>
      </c>
      <c r="U112" t="inlineStr">
        <is>
          <t>https://webcatalog.lixil.co.jp/iportal/CatalogDetail.do?catalogID=15191910000&amp;categoryID=1630000&amp;designID=newinter&amp;method=initial_screen&amp;position=18&amp;type=mc&amp;volumeID=LXL13001</t>
        </is>
      </c>
    </row>
    <row r="113">
      <c r="A113" t="inlineStr">
        <is>
          <t>WG-SL-00110</t>
        </is>
      </c>
      <c r="B113" t="inlineStr">
        <is>
          <t>SZ-SL-000958</t>
        </is>
      </c>
      <c r="C113" t="inlineStr">
        <is>
          <t>WT-SL-AGE-SAGE-FS</t>
        </is>
      </c>
      <c r="E113" t="inlineStr">
        <is>
          <t>06013</t>
        </is>
      </c>
      <c r="F113" t="n">
        <v>0.64</v>
      </c>
      <c r="G113" t="n">
        <v>1.37</v>
      </c>
      <c r="H113" t="inlineStr">
        <is>
          <t>GL-SL-002</t>
        </is>
      </c>
      <c r="I113" t="n">
        <v>7</v>
      </c>
      <c r="J113" t="n">
        <v>9.1</v>
      </c>
      <c r="K113" t="n">
        <v>-0.48</v>
      </c>
      <c r="L113" t="n">
        <v>-0.998</v>
      </c>
      <c r="M113" t="n">
        <v>0.367</v>
      </c>
      <c r="N113">
        <f>ROUND(J113*F113*G113+K113*G113+L113*F113+M113,3)</f>
        <v/>
      </c>
      <c r="O113">
        <f>AND(N113&gt;=1.4,N113&lt;=13)</f>
        <v/>
      </c>
      <c r="P113">
        <f>IF(OR(N113&lt;1.4,N113&gt;13),"",IF(G113*1000&lt;=1170,IF(N113&lt;1.8,"1014",IF(N113&lt;2.9,"1018",IF(N113&lt;3.8,"1029",IF(N113&lt;5,"1038",IF(N113&lt;7,"1050",IF(N113&lt;9,"1070",IF(N113&lt;11,"1090","1110"))))))),IF(G113*1000&lt;=1570,IF(N113&lt;1.8,"",IF(N113&lt;2.9,"2018",IF(N113&lt;3.8,"2029",IF(N113&lt;5,"2038",IF(N113&lt;7,"2050",IF(N113&lt;9,"2070",IF(N113&lt;11,"2090","2110"))))))),IF(G113*1000&lt;=1700,IF(N113&lt;1.8,"",IF(N113&lt;2.9,"3018",IF(N113&lt;3.8,"3029",IF(N113&lt;5,"3038",IF(N113&lt;7,"3050",IF(N113&lt;9,"3070",IF(N113&lt;11,"3090","3110"))))))),""))))</f>
        <v/>
      </c>
      <c r="Q113">
        <f>AND(O113=TRUE,P113&lt;&gt;"")</f>
        <v/>
      </c>
      <c r="R113">
        <f>IF(G113*1000&lt;750,"なし","あり")</f>
        <v/>
      </c>
      <c r="S113">
        <f>IF(AND(O113=TRUE,Q113=TRUE),"設定可","BLOCK")</f>
        <v/>
      </c>
      <c r="T113" t="inlineStr">
        <is>
          <t>商品カタログ P194</t>
        </is>
      </c>
      <c r="U113" t="inlineStr">
        <is>
          <t>https://webcatalog.lixil.co.jp/iportal/CatalogDetail.do?catalogID=15191910000&amp;categoryID=1630000&amp;designID=newinter&amp;method=initial_screen&amp;position=18&amp;type=mc&amp;volumeID=LXL13001</t>
        </is>
      </c>
    </row>
    <row r="114">
      <c r="A114" t="inlineStr">
        <is>
          <t>WG-SL-00111</t>
        </is>
      </c>
      <c r="B114" t="inlineStr">
        <is>
          <t>SZ-SL-000958</t>
        </is>
      </c>
      <c r="C114" t="inlineStr">
        <is>
          <t>WT-SL-AGE-SAGE-FS</t>
        </is>
      </c>
      <c r="E114" t="inlineStr">
        <is>
          <t>06013</t>
        </is>
      </c>
      <c r="F114" t="n">
        <v>0.64</v>
      </c>
      <c r="G114" t="n">
        <v>1.37</v>
      </c>
      <c r="H114" t="inlineStr">
        <is>
          <t>GL-SL-003</t>
        </is>
      </c>
      <c r="I114" t="n">
        <v>8</v>
      </c>
      <c r="J114" t="n">
        <v>10.4</v>
      </c>
      <c r="K114" t="n">
        <v>-0.605</v>
      </c>
      <c r="L114" t="n">
        <v>-1.332</v>
      </c>
      <c r="M114" t="n">
        <v>0.399</v>
      </c>
      <c r="N114">
        <f>ROUND(J114*F114*G114+K114*G114+L114*F114+M114,3)</f>
        <v/>
      </c>
      <c r="O114">
        <f>AND(N114&gt;=1.4,N114&lt;=13)</f>
        <v/>
      </c>
      <c r="P114">
        <f>IF(OR(N114&lt;1.4,N114&gt;13),"",IF(G114*1000&lt;=1170,IF(N114&lt;1.8,"1014",IF(N114&lt;2.9,"1018",IF(N114&lt;3.8,"1029",IF(N114&lt;5,"1038",IF(N114&lt;7,"1050",IF(N114&lt;9,"1070",IF(N114&lt;11,"1090","1110"))))))),IF(G114*1000&lt;=1570,IF(N114&lt;1.8,"",IF(N114&lt;2.9,"2018",IF(N114&lt;3.8,"2029",IF(N114&lt;5,"2038",IF(N114&lt;7,"2050",IF(N114&lt;9,"2070",IF(N114&lt;11,"2090","2110"))))))),IF(G114*1000&lt;=1700,IF(N114&lt;1.8,"",IF(N114&lt;2.9,"3018",IF(N114&lt;3.8,"3029",IF(N114&lt;5,"3038",IF(N114&lt;7,"3050",IF(N114&lt;9,"3070",IF(N114&lt;11,"3090","3110"))))))),""))))</f>
        <v/>
      </c>
      <c r="Q114">
        <f>AND(O114=TRUE,P114&lt;&gt;"")</f>
        <v/>
      </c>
      <c r="R114">
        <f>IF(G114*1000&lt;750,"なし","あり")</f>
        <v/>
      </c>
      <c r="S114">
        <f>IF(AND(O114=TRUE,Q114=TRUE),"設定可","BLOCK")</f>
        <v/>
      </c>
      <c r="T114" t="inlineStr">
        <is>
          <t>商品カタログ P194</t>
        </is>
      </c>
      <c r="U114" t="inlineStr">
        <is>
          <t>https://webcatalog.lixil.co.jp/iportal/CatalogDetail.do?catalogID=15191910000&amp;categoryID=1630000&amp;designID=newinter&amp;method=initial_screen&amp;position=18&amp;type=mc&amp;volumeID=LXL13001</t>
        </is>
      </c>
    </row>
    <row r="115">
      <c r="A115" t="inlineStr">
        <is>
          <t>WG-SL-00112</t>
        </is>
      </c>
      <c r="B115" t="inlineStr">
        <is>
          <t>SZ-SL-000958</t>
        </is>
      </c>
      <c r="C115" t="inlineStr">
        <is>
          <t>WT-SL-AGE-SAGE-FS</t>
        </is>
      </c>
      <c r="E115" t="inlineStr">
        <is>
          <t>06013</t>
        </is>
      </c>
      <c r="F115" t="n">
        <v>0.64</v>
      </c>
      <c r="G115" t="n">
        <v>1.37</v>
      </c>
      <c r="H115" t="inlineStr">
        <is>
          <t>GL-SL-004</t>
        </is>
      </c>
      <c r="I115" t="n">
        <v>6</v>
      </c>
      <c r="J115" t="n">
        <v>7.8</v>
      </c>
      <c r="K115" t="n">
        <v>-0.355</v>
      </c>
      <c r="L115" t="n">
        <v>-0.664</v>
      </c>
      <c r="M115" t="n">
        <v>0.335</v>
      </c>
      <c r="N115">
        <f>ROUND(J115*F115*G115+K115*G115+L115*F115+M115,3)</f>
        <v/>
      </c>
      <c r="O115">
        <f>AND(N115&gt;=1.4,N115&lt;=13)</f>
        <v/>
      </c>
      <c r="P115">
        <f>IF(OR(N115&lt;1.4,N115&gt;13),"",IF(G115*1000&lt;=1170,IF(N115&lt;1.8,"1014",IF(N115&lt;2.9,"1018",IF(N115&lt;3.8,"1029",IF(N115&lt;5,"1038",IF(N115&lt;7,"1050",IF(N115&lt;9,"1070",IF(N115&lt;11,"1090","1110"))))))),IF(G115*1000&lt;=1570,IF(N115&lt;1.8,"",IF(N115&lt;2.9,"2018",IF(N115&lt;3.8,"2029",IF(N115&lt;5,"2038",IF(N115&lt;7,"2050",IF(N115&lt;9,"2070",IF(N115&lt;11,"2090","2110"))))))),IF(G115*1000&lt;=1700,IF(N115&lt;1.8,"",IF(N115&lt;2.9,"3018",IF(N115&lt;3.8,"3029",IF(N115&lt;5,"3038",IF(N115&lt;7,"3050",IF(N115&lt;9,"3070",IF(N115&lt;11,"3090","3110"))))))),""))))</f>
        <v/>
      </c>
      <c r="Q115">
        <f>AND(O115=TRUE,P115&lt;&gt;"")</f>
        <v/>
      </c>
      <c r="R115">
        <f>IF(G115*1000&lt;750,"なし","あり")</f>
        <v/>
      </c>
      <c r="S115">
        <f>IF(AND(O115=TRUE,Q115=TRUE),"設定可","BLOCK")</f>
        <v/>
      </c>
      <c r="T115" t="inlineStr">
        <is>
          <t>商品カタログ P194</t>
        </is>
      </c>
      <c r="U115" t="inlineStr">
        <is>
          <t>https://webcatalog.lixil.co.jp/iportal/CatalogDetail.do?catalogID=15191910000&amp;categoryID=1630000&amp;designID=newinter&amp;method=initial_screen&amp;position=18&amp;type=mc&amp;volumeID=LXL13001</t>
        </is>
      </c>
    </row>
    <row r="116">
      <c r="A116" t="inlineStr">
        <is>
          <t>WG-SL-00113</t>
        </is>
      </c>
      <c r="B116" t="inlineStr">
        <is>
          <t>SZ-SL-000958</t>
        </is>
      </c>
      <c r="C116" t="inlineStr">
        <is>
          <t>WT-SL-AGE-SAGE-FS</t>
        </is>
      </c>
      <c r="E116" t="inlineStr">
        <is>
          <t>06013</t>
        </is>
      </c>
      <c r="F116" t="n">
        <v>0.64</v>
      </c>
      <c r="G116" t="n">
        <v>1.37</v>
      </c>
      <c r="H116" t="inlineStr">
        <is>
          <t>GL-SL-005</t>
        </is>
      </c>
      <c r="I116" t="n">
        <v>7</v>
      </c>
      <c r="J116" t="n">
        <v>9.1</v>
      </c>
      <c r="K116" t="n">
        <v>-0.48</v>
      </c>
      <c r="L116" t="n">
        <v>-0.998</v>
      </c>
      <c r="M116" t="n">
        <v>0.367</v>
      </c>
      <c r="N116">
        <f>ROUND(J116*F116*G116+K116*G116+L116*F116+M116,3)</f>
        <v/>
      </c>
      <c r="O116">
        <f>AND(N116&gt;=1.4,N116&lt;=13)</f>
        <v/>
      </c>
      <c r="P116">
        <f>IF(OR(N116&lt;1.4,N116&gt;13),"",IF(G116*1000&lt;=1170,IF(N116&lt;1.8,"1014",IF(N116&lt;2.9,"1018",IF(N116&lt;3.8,"1029",IF(N116&lt;5,"1038",IF(N116&lt;7,"1050",IF(N116&lt;9,"1070",IF(N116&lt;11,"1090","1110"))))))),IF(G116*1000&lt;=1570,IF(N116&lt;1.8,"",IF(N116&lt;2.9,"2018",IF(N116&lt;3.8,"2029",IF(N116&lt;5,"2038",IF(N116&lt;7,"2050",IF(N116&lt;9,"2070",IF(N116&lt;11,"2090","2110"))))))),IF(G116*1000&lt;=1700,IF(N116&lt;1.8,"",IF(N116&lt;2.9,"3018",IF(N116&lt;3.8,"3029",IF(N116&lt;5,"3038",IF(N116&lt;7,"3050",IF(N116&lt;9,"3070",IF(N116&lt;11,"3090","3110"))))))),""))))</f>
        <v/>
      </c>
      <c r="Q116">
        <f>AND(O116=TRUE,P116&lt;&gt;"")</f>
        <v/>
      </c>
      <c r="R116">
        <f>IF(G116*1000&lt;750,"なし","あり")</f>
        <v/>
      </c>
      <c r="S116">
        <f>IF(AND(O116=TRUE,Q116=TRUE),"設定可","BLOCK")</f>
        <v/>
      </c>
      <c r="T116" t="inlineStr">
        <is>
          <t>商品カタログ P194</t>
        </is>
      </c>
      <c r="U116" t="inlineStr">
        <is>
          <t>https://webcatalog.lixil.co.jp/iportal/CatalogDetail.do?catalogID=15191910000&amp;categoryID=1630000&amp;designID=newinter&amp;method=initial_screen&amp;position=18&amp;type=mc&amp;volumeID=LXL13001</t>
        </is>
      </c>
    </row>
    <row r="117">
      <c r="A117" t="inlineStr">
        <is>
          <t>WG-SL-00114</t>
        </is>
      </c>
      <c r="B117" t="inlineStr">
        <is>
          <t>SZ-SL-000958</t>
        </is>
      </c>
      <c r="C117" t="inlineStr">
        <is>
          <t>WT-SL-AGE-SAGE-FS</t>
        </is>
      </c>
      <c r="E117" t="inlineStr">
        <is>
          <t>06013</t>
        </is>
      </c>
      <c r="F117" t="n">
        <v>0.64</v>
      </c>
      <c r="G117" t="n">
        <v>1.37</v>
      </c>
      <c r="H117" t="inlineStr">
        <is>
          <t>GL-SL-006</t>
        </is>
      </c>
      <c r="I117" t="n">
        <v>8</v>
      </c>
      <c r="J117" t="n">
        <v>10.4</v>
      </c>
      <c r="K117" t="n">
        <v>-0.605</v>
      </c>
      <c r="L117" t="n">
        <v>-1.332</v>
      </c>
      <c r="M117" t="n">
        <v>0.399</v>
      </c>
      <c r="N117">
        <f>ROUND(J117*F117*G117+K117*G117+L117*F117+M117,3)</f>
        <v/>
      </c>
      <c r="O117">
        <f>AND(N117&gt;=1.4,N117&lt;=13)</f>
        <v/>
      </c>
      <c r="P117">
        <f>IF(OR(N117&lt;1.4,N117&gt;13),"",IF(G117*1000&lt;=1170,IF(N117&lt;1.8,"1014",IF(N117&lt;2.9,"1018",IF(N117&lt;3.8,"1029",IF(N117&lt;5,"1038",IF(N117&lt;7,"1050",IF(N117&lt;9,"1070",IF(N117&lt;11,"1090","1110"))))))),IF(G117*1000&lt;=1570,IF(N117&lt;1.8,"",IF(N117&lt;2.9,"2018",IF(N117&lt;3.8,"2029",IF(N117&lt;5,"2038",IF(N117&lt;7,"2050",IF(N117&lt;9,"2070",IF(N117&lt;11,"2090","2110"))))))),IF(G117*1000&lt;=1700,IF(N117&lt;1.8,"",IF(N117&lt;2.9,"3018",IF(N117&lt;3.8,"3029",IF(N117&lt;5,"3038",IF(N117&lt;7,"3050",IF(N117&lt;9,"3070",IF(N117&lt;11,"3090","3110"))))))),""))))</f>
        <v/>
      </c>
      <c r="Q117">
        <f>AND(O117=TRUE,P117&lt;&gt;"")</f>
        <v/>
      </c>
      <c r="R117">
        <f>IF(G117*1000&lt;750,"なし","あり")</f>
        <v/>
      </c>
      <c r="S117">
        <f>IF(AND(O117=TRUE,Q117=TRUE),"設定可","BLOCK")</f>
        <v/>
      </c>
      <c r="T117" t="inlineStr">
        <is>
          <t>商品カタログ P194</t>
        </is>
      </c>
      <c r="U117" t="inlineStr">
        <is>
          <t>https://webcatalog.lixil.co.jp/iportal/CatalogDetail.do?catalogID=15191910000&amp;categoryID=1630000&amp;designID=newinter&amp;method=initial_screen&amp;position=18&amp;type=mc&amp;volumeID=LXL13001</t>
        </is>
      </c>
    </row>
    <row r="118">
      <c r="A118" t="inlineStr">
        <is>
          <t>WG-SL-00115</t>
        </is>
      </c>
      <c r="B118" t="inlineStr">
        <is>
          <t>SZ-SL-000958</t>
        </is>
      </c>
      <c r="C118" t="inlineStr">
        <is>
          <t>WT-SL-AGE-SAGE-FS</t>
        </is>
      </c>
      <c r="E118" t="inlineStr">
        <is>
          <t>06013</t>
        </is>
      </c>
      <c r="F118" t="n">
        <v>0.64</v>
      </c>
      <c r="G118" t="n">
        <v>1.37</v>
      </c>
      <c r="H118" t="inlineStr">
        <is>
          <t>GL-SL-007</t>
        </is>
      </c>
      <c r="I118" t="n">
        <v>6</v>
      </c>
      <c r="J118" t="n">
        <v>7.8</v>
      </c>
      <c r="K118" t="n">
        <v>-0.355</v>
      </c>
      <c r="L118" t="n">
        <v>-0.664</v>
      </c>
      <c r="M118" t="n">
        <v>0.335</v>
      </c>
      <c r="N118">
        <f>ROUND(J118*F118*G118+K118*G118+L118*F118+M118,3)</f>
        <v/>
      </c>
      <c r="O118">
        <f>AND(N118&gt;=1.4,N118&lt;=13)</f>
        <v/>
      </c>
      <c r="P118">
        <f>IF(OR(N118&lt;1.4,N118&gt;13),"",IF(G118*1000&lt;=1170,IF(N118&lt;1.8,"1014",IF(N118&lt;2.9,"1018",IF(N118&lt;3.8,"1029",IF(N118&lt;5,"1038",IF(N118&lt;7,"1050",IF(N118&lt;9,"1070",IF(N118&lt;11,"1090","1110"))))))),IF(G118*1000&lt;=1570,IF(N118&lt;1.8,"",IF(N118&lt;2.9,"2018",IF(N118&lt;3.8,"2029",IF(N118&lt;5,"2038",IF(N118&lt;7,"2050",IF(N118&lt;9,"2070",IF(N118&lt;11,"2090","2110"))))))),IF(G118*1000&lt;=1700,IF(N118&lt;1.8,"",IF(N118&lt;2.9,"3018",IF(N118&lt;3.8,"3029",IF(N118&lt;5,"3038",IF(N118&lt;7,"3050",IF(N118&lt;9,"3070",IF(N118&lt;11,"3090","3110"))))))),""))))</f>
        <v/>
      </c>
      <c r="Q118">
        <f>AND(O118=TRUE,P118&lt;&gt;"")</f>
        <v/>
      </c>
      <c r="R118">
        <f>IF(G118*1000&lt;750,"なし","あり")</f>
        <v/>
      </c>
      <c r="S118">
        <f>IF(AND(O118=TRUE,Q118=TRUE),"設定可","BLOCK")</f>
        <v/>
      </c>
      <c r="T118" t="inlineStr">
        <is>
          <t>商品カタログ P194</t>
        </is>
      </c>
      <c r="U118" t="inlineStr">
        <is>
          <t>https://webcatalog.lixil.co.jp/iportal/CatalogDetail.do?catalogID=15191910000&amp;categoryID=1630000&amp;designID=newinter&amp;method=initial_screen&amp;position=18&amp;type=mc&amp;volumeID=LXL13001</t>
        </is>
      </c>
    </row>
    <row r="119">
      <c r="A119" t="inlineStr">
        <is>
          <t>WG-SL-00116</t>
        </is>
      </c>
      <c r="B119" t="inlineStr">
        <is>
          <t>SZ-SL-000958</t>
        </is>
      </c>
      <c r="C119" t="inlineStr">
        <is>
          <t>WT-SL-AGE-SAGE-FS</t>
        </is>
      </c>
      <c r="E119" t="inlineStr">
        <is>
          <t>06013</t>
        </is>
      </c>
      <c r="F119" t="n">
        <v>0.64</v>
      </c>
      <c r="G119" t="n">
        <v>1.37</v>
      </c>
      <c r="H119" t="inlineStr">
        <is>
          <t>GL-SL-008</t>
        </is>
      </c>
      <c r="I119" t="n">
        <v>7</v>
      </c>
      <c r="J119" t="n">
        <v>9.1</v>
      </c>
      <c r="K119" t="n">
        <v>-0.48</v>
      </c>
      <c r="L119" t="n">
        <v>-0.998</v>
      </c>
      <c r="M119" t="n">
        <v>0.367</v>
      </c>
      <c r="N119">
        <f>ROUND(J119*F119*G119+K119*G119+L119*F119+M119,3)</f>
        <v/>
      </c>
      <c r="O119">
        <f>AND(N119&gt;=1.4,N119&lt;=13)</f>
        <v/>
      </c>
      <c r="P119">
        <f>IF(OR(N119&lt;1.4,N119&gt;13),"",IF(G119*1000&lt;=1170,IF(N119&lt;1.8,"1014",IF(N119&lt;2.9,"1018",IF(N119&lt;3.8,"1029",IF(N119&lt;5,"1038",IF(N119&lt;7,"1050",IF(N119&lt;9,"1070",IF(N119&lt;11,"1090","1110"))))))),IF(G119*1000&lt;=1570,IF(N119&lt;1.8,"",IF(N119&lt;2.9,"2018",IF(N119&lt;3.8,"2029",IF(N119&lt;5,"2038",IF(N119&lt;7,"2050",IF(N119&lt;9,"2070",IF(N119&lt;11,"2090","2110"))))))),IF(G119*1000&lt;=1700,IF(N119&lt;1.8,"",IF(N119&lt;2.9,"3018",IF(N119&lt;3.8,"3029",IF(N119&lt;5,"3038",IF(N119&lt;7,"3050",IF(N119&lt;9,"3070",IF(N119&lt;11,"3090","3110"))))))),""))))</f>
        <v/>
      </c>
      <c r="Q119">
        <f>AND(O119=TRUE,P119&lt;&gt;"")</f>
        <v/>
      </c>
      <c r="R119">
        <f>IF(G119*1000&lt;750,"なし","あり")</f>
        <v/>
      </c>
      <c r="S119">
        <f>IF(AND(O119=TRUE,Q119=TRUE),"設定可","BLOCK")</f>
        <v/>
      </c>
      <c r="T119" t="inlineStr">
        <is>
          <t>商品カタログ P194</t>
        </is>
      </c>
      <c r="U119" t="inlineStr">
        <is>
          <t>https://webcatalog.lixil.co.jp/iportal/CatalogDetail.do?catalogID=15191910000&amp;categoryID=1630000&amp;designID=newinter&amp;method=initial_screen&amp;position=18&amp;type=mc&amp;volumeID=LXL13001</t>
        </is>
      </c>
    </row>
    <row r="120">
      <c r="A120" t="inlineStr">
        <is>
          <t>WG-SL-00117</t>
        </is>
      </c>
      <c r="B120" t="inlineStr">
        <is>
          <t>SZ-SL-000958</t>
        </is>
      </c>
      <c r="C120" t="inlineStr">
        <is>
          <t>WT-SL-AGE-SAGE-FS</t>
        </is>
      </c>
      <c r="E120" t="inlineStr">
        <is>
          <t>06013</t>
        </is>
      </c>
      <c r="F120" t="n">
        <v>0.64</v>
      </c>
      <c r="G120" t="n">
        <v>1.37</v>
      </c>
      <c r="H120" t="inlineStr">
        <is>
          <t>GL-SL-009</t>
        </is>
      </c>
      <c r="I120" t="n">
        <v>8</v>
      </c>
      <c r="J120" t="n">
        <v>10.4</v>
      </c>
      <c r="K120" t="n">
        <v>-0.605</v>
      </c>
      <c r="L120" t="n">
        <v>-1.332</v>
      </c>
      <c r="M120" t="n">
        <v>0.399</v>
      </c>
      <c r="N120">
        <f>ROUND(J120*F120*G120+K120*G120+L120*F120+M120,3)</f>
        <v/>
      </c>
      <c r="O120">
        <f>AND(N120&gt;=1.4,N120&lt;=13)</f>
        <v/>
      </c>
      <c r="P120">
        <f>IF(OR(N120&lt;1.4,N120&gt;13),"",IF(G120*1000&lt;=1170,IF(N120&lt;1.8,"1014",IF(N120&lt;2.9,"1018",IF(N120&lt;3.8,"1029",IF(N120&lt;5,"1038",IF(N120&lt;7,"1050",IF(N120&lt;9,"1070",IF(N120&lt;11,"1090","1110"))))))),IF(G120*1000&lt;=1570,IF(N120&lt;1.8,"",IF(N120&lt;2.9,"2018",IF(N120&lt;3.8,"2029",IF(N120&lt;5,"2038",IF(N120&lt;7,"2050",IF(N120&lt;9,"2070",IF(N120&lt;11,"2090","2110"))))))),IF(G120*1000&lt;=1700,IF(N120&lt;1.8,"",IF(N120&lt;2.9,"3018",IF(N120&lt;3.8,"3029",IF(N120&lt;5,"3038",IF(N120&lt;7,"3050",IF(N120&lt;9,"3070",IF(N120&lt;11,"3090","3110"))))))),""))))</f>
        <v/>
      </c>
      <c r="Q120">
        <f>AND(O120=TRUE,P120&lt;&gt;"")</f>
        <v/>
      </c>
      <c r="R120">
        <f>IF(G120*1000&lt;750,"なし","あり")</f>
        <v/>
      </c>
      <c r="S120">
        <f>IF(AND(O120=TRUE,Q120=TRUE),"設定可","BLOCK")</f>
        <v/>
      </c>
      <c r="T120" t="inlineStr">
        <is>
          <t>商品カタログ P194</t>
        </is>
      </c>
      <c r="U120" t="inlineStr">
        <is>
          <t>https://webcatalog.lixil.co.jp/iportal/CatalogDetail.do?catalogID=15191910000&amp;categoryID=1630000&amp;designID=newinter&amp;method=initial_screen&amp;position=18&amp;type=mc&amp;volumeID=LXL13001</t>
        </is>
      </c>
    </row>
    <row r="121">
      <c r="A121" t="inlineStr">
        <is>
          <t>WG-SL-00118</t>
        </is>
      </c>
      <c r="B121" t="inlineStr">
        <is>
          <t>SZ-SL-000959</t>
        </is>
      </c>
      <c r="C121" t="inlineStr">
        <is>
          <t>WT-SL-AGE-SAGE-FS</t>
        </is>
      </c>
      <c r="E121" t="inlineStr">
        <is>
          <t>06015</t>
        </is>
      </c>
      <c r="F121" t="n">
        <v>0.64</v>
      </c>
      <c r="G121" t="n">
        <v>1.57</v>
      </c>
      <c r="H121" t="inlineStr">
        <is>
          <t>GL-SL-001</t>
        </is>
      </c>
      <c r="I121" t="n">
        <v>6</v>
      </c>
      <c r="J121" t="n">
        <v>7.8</v>
      </c>
      <c r="K121" t="n">
        <v>-0.355</v>
      </c>
      <c r="L121" t="n">
        <v>-0.664</v>
      </c>
      <c r="M121" t="n">
        <v>0.335</v>
      </c>
      <c r="N121">
        <f>ROUND(J121*F121*G121+K121*G121+L121*F121+M121,3)</f>
        <v/>
      </c>
      <c r="O121">
        <f>AND(N121&gt;=1.4,N121&lt;=13)</f>
        <v/>
      </c>
      <c r="P121">
        <f>IF(OR(N121&lt;1.4,N121&gt;13),"",IF(G121*1000&lt;=1170,IF(N121&lt;1.8,"1014",IF(N121&lt;2.9,"1018",IF(N121&lt;3.8,"1029",IF(N121&lt;5,"1038",IF(N121&lt;7,"1050",IF(N121&lt;9,"1070",IF(N121&lt;11,"1090","1110"))))))),IF(G121*1000&lt;=1570,IF(N121&lt;1.8,"",IF(N121&lt;2.9,"2018",IF(N121&lt;3.8,"2029",IF(N121&lt;5,"2038",IF(N121&lt;7,"2050",IF(N121&lt;9,"2070",IF(N121&lt;11,"2090","2110"))))))),IF(G121*1000&lt;=1700,IF(N121&lt;1.8,"",IF(N121&lt;2.9,"3018",IF(N121&lt;3.8,"3029",IF(N121&lt;5,"3038",IF(N121&lt;7,"3050",IF(N121&lt;9,"3070",IF(N121&lt;11,"3090","3110"))))))),""))))</f>
        <v/>
      </c>
      <c r="Q121">
        <f>AND(O121=TRUE,P121&lt;&gt;"")</f>
        <v/>
      </c>
      <c r="R121">
        <f>IF(G121*1000&lt;750,"なし","あり")</f>
        <v/>
      </c>
      <c r="S121">
        <f>IF(AND(O121=TRUE,Q121=TRUE),"設定可","BLOCK")</f>
        <v/>
      </c>
      <c r="T121" t="inlineStr">
        <is>
          <t>商品カタログ P194</t>
        </is>
      </c>
      <c r="U121" t="inlineStr">
        <is>
          <t>https://webcatalog.lixil.co.jp/iportal/CatalogDetail.do?catalogID=15191910000&amp;categoryID=1630000&amp;designID=newinter&amp;method=initial_screen&amp;position=18&amp;type=mc&amp;volumeID=LXL13001</t>
        </is>
      </c>
    </row>
    <row r="122">
      <c r="A122" t="inlineStr">
        <is>
          <t>WG-SL-00119</t>
        </is>
      </c>
      <c r="B122" t="inlineStr">
        <is>
          <t>SZ-SL-000959</t>
        </is>
      </c>
      <c r="C122" t="inlineStr">
        <is>
          <t>WT-SL-AGE-SAGE-FS</t>
        </is>
      </c>
      <c r="E122" t="inlineStr">
        <is>
          <t>06015</t>
        </is>
      </c>
      <c r="F122" t="n">
        <v>0.64</v>
      </c>
      <c r="G122" t="n">
        <v>1.57</v>
      </c>
      <c r="H122" t="inlineStr">
        <is>
          <t>GL-SL-002</t>
        </is>
      </c>
      <c r="I122" t="n">
        <v>7</v>
      </c>
      <c r="J122" t="n">
        <v>9.1</v>
      </c>
      <c r="K122" t="n">
        <v>-0.48</v>
      </c>
      <c r="L122" t="n">
        <v>-0.998</v>
      </c>
      <c r="M122" t="n">
        <v>0.367</v>
      </c>
      <c r="N122">
        <f>ROUND(J122*F122*G122+K122*G122+L122*F122+M122,3)</f>
        <v/>
      </c>
      <c r="O122">
        <f>AND(N122&gt;=1.4,N122&lt;=13)</f>
        <v/>
      </c>
      <c r="P122">
        <f>IF(OR(N122&lt;1.4,N122&gt;13),"",IF(G122*1000&lt;=1170,IF(N122&lt;1.8,"1014",IF(N122&lt;2.9,"1018",IF(N122&lt;3.8,"1029",IF(N122&lt;5,"1038",IF(N122&lt;7,"1050",IF(N122&lt;9,"1070",IF(N122&lt;11,"1090","1110"))))))),IF(G122*1000&lt;=1570,IF(N122&lt;1.8,"",IF(N122&lt;2.9,"2018",IF(N122&lt;3.8,"2029",IF(N122&lt;5,"2038",IF(N122&lt;7,"2050",IF(N122&lt;9,"2070",IF(N122&lt;11,"2090","2110"))))))),IF(G122*1000&lt;=1700,IF(N122&lt;1.8,"",IF(N122&lt;2.9,"3018",IF(N122&lt;3.8,"3029",IF(N122&lt;5,"3038",IF(N122&lt;7,"3050",IF(N122&lt;9,"3070",IF(N122&lt;11,"3090","3110"))))))),""))))</f>
        <v/>
      </c>
      <c r="Q122">
        <f>AND(O122=TRUE,P122&lt;&gt;"")</f>
        <v/>
      </c>
      <c r="R122">
        <f>IF(G122*1000&lt;750,"なし","あり")</f>
        <v/>
      </c>
      <c r="S122">
        <f>IF(AND(O122=TRUE,Q122=TRUE),"設定可","BLOCK")</f>
        <v/>
      </c>
      <c r="T122" t="inlineStr">
        <is>
          <t>商品カタログ P194</t>
        </is>
      </c>
      <c r="U122" t="inlineStr">
        <is>
          <t>https://webcatalog.lixil.co.jp/iportal/CatalogDetail.do?catalogID=15191910000&amp;categoryID=1630000&amp;designID=newinter&amp;method=initial_screen&amp;position=18&amp;type=mc&amp;volumeID=LXL13001</t>
        </is>
      </c>
    </row>
    <row r="123">
      <c r="A123" t="inlineStr">
        <is>
          <t>WG-SL-00120</t>
        </is>
      </c>
      <c r="B123" t="inlineStr">
        <is>
          <t>SZ-SL-000959</t>
        </is>
      </c>
      <c r="C123" t="inlineStr">
        <is>
          <t>WT-SL-AGE-SAGE-FS</t>
        </is>
      </c>
      <c r="E123" t="inlineStr">
        <is>
          <t>06015</t>
        </is>
      </c>
      <c r="F123" t="n">
        <v>0.64</v>
      </c>
      <c r="G123" t="n">
        <v>1.57</v>
      </c>
      <c r="H123" t="inlineStr">
        <is>
          <t>GL-SL-003</t>
        </is>
      </c>
      <c r="I123" t="n">
        <v>8</v>
      </c>
      <c r="J123" t="n">
        <v>10.4</v>
      </c>
      <c r="K123" t="n">
        <v>-0.605</v>
      </c>
      <c r="L123" t="n">
        <v>-1.332</v>
      </c>
      <c r="M123" t="n">
        <v>0.399</v>
      </c>
      <c r="N123">
        <f>ROUND(J123*F123*G123+K123*G123+L123*F123+M123,3)</f>
        <v/>
      </c>
      <c r="O123">
        <f>AND(N123&gt;=1.4,N123&lt;=13)</f>
        <v/>
      </c>
      <c r="P123">
        <f>IF(OR(N123&lt;1.4,N123&gt;13),"",IF(G123*1000&lt;=1170,IF(N123&lt;1.8,"1014",IF(N123&lt;2.9,"1018",IF(N123&lt;3.8,"1029",IF(N123&lt;5,"1038",IF(N123&lt;7,"1050",IF(N123&lt;9,"1070",IF(N123&lt;11,"1090","1110"))))))),IF(G123*1000&lt;=1570,IF(N123&lt;1.8,"",IF(N123&lt;2.9,"2018",IF(N123&lt;3.8,"2029",IF(N123&lt;5,"2038",IF(N123&lt;7,"2050",IF(N123&lt;9,"2070",IF(N123&lt;11,"2090","2110"))))))),IF(G123*1000&lt;=1700,IF(N123&lt;1.8,"",IF(N123&lt;2.9,"3018",IF(N123&lt;3.8,"3029",IF(N123&lt;5,"3038",IF(N123&lt;7,"3050",IF(N123&lt;9,"3070",IF(N123&lt;11,"3090","3110"))))))),""))))</f>
        <v/>
      </c>
      <c r="Q123">
        <f>AND(O123=TRUE,P123&lt;&gt;"")</f>
        <v/>
      </c>
      <c r="R123">
        <f>IF(G123*1000&lt;750,"なし","あり")</f>
        <v/>
      </c>
      <c r="S123">
        <f>IF(AND(O123=TRUE,Q123=TRUE),"設定可","BLOCK")</f>
        <v/>
      </c>
      <c r="T123" t="inlineStr">
        <is>
          <t>商品カタログ P194</t>
        </is>
      </c>
      <c r="U123" t="inlineStr">
        <is>
          <t>https://webcatalog.lixil.co.jp/iportal/CatalogDetail.do?catalogID=15191910000&amp;categoryID=1630000&amp;designID=newinter&amp;method=initial_screen&amp;position=18&amp;type=mc&amp;volumeID=LXL13001</t>
        </is>
      </c>
    </row>
    <row r="124">
      <c r="A124" t="inlineStr">
        <is>
          <t>WG-SL-00121</t>
        </is>
      </c>
      <c r="B124" t="inlineStr">
        <is>
          <t>SZ-SL-000959</t>
        </is>
      </c>
      <c r="C124" t="inlineStr">
        <is>
          <t>WT-SL-AGE-SAGE-FS</t>
        </is>
      </c>
      <c r="E124" t="inlineStr">
        <is>
          <t>06015</t>
        </is>
      </c>
      <c r="F124" t="n">
        <v>0.64</v>
      </c>
      <c r="G124" t="n">
        <v>1.57</v>
      </c>
      <c r="H124" t="inlineStr">
        <is>
          <t>GL-SL-004</t>
        </is>
      </c>
      <c r="I124" t="n">
        <v>6</v>
      </c>
      <c r="J124" t="n">
        <v>7.8</v>
      </c>
      <c r="K124" t="n">
        <v>-0.355</v>
      </c>
      <c r="L124" t="n">
        <v>-0.664</v>
      </c>
      <c r="M124" t="n">
        <v>0.335</v>
      </c>
      <c r="N124">
        <f>ROUND(J124*F124*G124+K124*G124+L124*F124+M124,3)</f>
        <v/>
      </c>
      <c r="O124">
        <f>AND(N124&gt;=1.4,N124&lt;=13)</f>
        <v/>
      </c>
      <c r="P124">
        <f>IF(OR(N124&lt;1.4,N124&gt;13),"",IF(G124*1000&lt;=1170,IF(N124&lt;1.8,"1014",IF(N124&lt;2.9,"1018",IF(N124&lt;3.8,"1029",IF(N124&lt;5,"1038",IF(N124&lt;7,"1050",IF(N124&lt;9,"1070",IF(N124&lt;11,"1090","1110"))))))),IF(G124*1000&lt;=1570,IF(N124&lt;1.8,"",IF(N124&lt;2.9,"2018",IF(N124&lt;3.8,"2029",IF(N124&lt;5,"2038",IF(N124&lt;7,"2050",IF(N124&lt;9,"2070",IF(N124&lt;11,"2090","2110"))))))),IF(G124*1000&lt;=1700,IF(N124&lt;1.8,"",IF(N124&lt;2.9,"3018",IF(N124&lt;3.8,"3029",IF(N124&lt;5,"3038",IF(N124&lt;7,"3050",IF(N124&lt;9,"3070",IF(N124&lt;11,"3090","3110"))))))),""))))</f>
        <v/>
      </c>
      <c r="Q124">
        <f>AND(O124=TRUE,P124&lt;&gt;"")</f>
        <v/>
      </c>
      <c r="R124">
        <f>IF(G124*1000&lt;750,"なし","あり")</f>
        <v/>
      </c>
      <c r="S124">
        <f>IF(AND(O124=TRUE,Q124=TRUE),"設定可","BLOCK")</f>
        <v/>
      </c>
      <c r="T124" t="inlineStr">
        <is>
          <t>商品カタログ P194</t>
        </is>
      </c>
      <c r="U124" t="inlineStr">
        <is>
          <t>https://webcatalog.lixil.co.jp/iportal/CatalogDetail.do?catalogID=15191910000&amp;categoryID=1630000&amp;designID=newinter&amp;method=initial_screen&amp;position=18&amp;type=mc&amp;volumeID=LXL13001</t>
        </is>
      </c>
    </row>
    <row r="125">
      <c r="A125" t="inlineStr">
        <is>
          <t>WG-SL-00122</t>
        </is>
      </c>
      <c r="B125" t="inlineStr">
        <is>
          <t>SZ-SL-000959</t>
        </is>
      </c>
      <c r="C125" t="inlineStr">
        <is>
          <t>WT-SL-AGE-SAGE-FS</t>
        </is>
      </c>
      <c r="E125" t="inlineStr">
        <is>
          <t>06015</t>
        </is>
      </c>
      <c r="F125" t="n">
        <v>0.64</v>
      </c>
      <c r="G125" t="n">
        <v>1.57</v>
      </c>
      <c r="H125" t="inlineStr">
        <is>
          <t>GL-SL-005</t>
        </is>
      </c>
      <c r="I125" t="n">
        <v>7</v>
      </c>
      <c r="J125" t="n">
        <v>9.1</v>
      </c>
      <c r="K125" t="n">
        <v>-0.48</v>
      </c>
      <c r="L125" t="n">
        <v>-0.998</v>
      </c>
      <c r="M125" t="n">
        <v>0.367</v>
      </c>
      <c r="N125">
        <f>ROUND(J125*F125*G125+K125*G125+L125*F125+M125,3)</f>
        <v/>
      </c>
      <c r="O125">
        <f>AND(N125&gt;=1.4,N125&lt;=13)</f>
        <v/>
      </c>
      <c r="P125">
        <f>IF(OR(N125&lt;1.4,N125&gt;13),"",IF(G125*1000&lt;=1170,IF(N125&lt;1.8,"1014",IF(N125&lt;2.9,"1018",IF(N125&lt;3.8,"1029",IF(N125&lt;5,"1038",IF(N125&lt;7,"1050",IF(N125&lt;9,"1070",IF(N125&lt;11,"1090","1110"))))))),IF(G125*1000&lt;=1570,IF(N125&lt;1.8,"",IF(N125&lt;2.9,"2018",IF(N125&lt;3.8,"2029",IF(N125&lt;5,"2038",IF(N125&lt;7,"2050",IF(N125&lt;9,"2070",IF(N125&lt;11,"2090","2110"))))))),IF(G125*1000&lt;=1700,IF(N125&lt;1.8,"",IF(N125&lt;2.9,"3018",IF(N125&lt;3.8,"3029",IF(N125&lt;5,"3038",IF(N125&lt;7,"3050",IF(N125&lt;9,"3070",IF(N125&lt;11,"3090","3110"))))))),""))))</f>
        <v/>
      </c>
      <c r="Q125">
        <f>AND(O125=TRUE,P125&lt;&gt;"")</f>
        <v/>
      </c>
      <c r="R125">
        <f>IF(G125*1000&lt;750,"なし","あり")</f>
        <v/>
      </c>
      <c r="S125">
        <f>IF(AND(O125=TRUE,Q125=TRUE),"設定可","BLOCK")</f>
        <v/>
      </c>
      <c r="T125" t="inlineStr">
        <is>
          <t>商品カタログ P194</t>
        </is>
      </c>
      <c r="U125" t="inlineStr">
        <is>
          <t>https://webcatalog.lixil.co.jp/iportal/CatalogDetail.do?catalogID=15191910000&amp;categoryID=1630000&amp;designID=newinter&amp;method=initial_screen&amp;position=18&amp;type=mc&amp;volumeID=LXL13001</t>
        </is>
      </c>
    </row>
    <row r="126">
      <c r="A126" t="inlineStr">
        <is>
          <t>WG-SL-00123</t>
        </is>
      </c>
      <c r="B126" t="inlineStr">
        <is>
          <t>SZ-SL-000959</t>
        </is>
      </c>
      <c r="C126" t="inlineStr">
        <is>
          <t>WT-SL-AGE-SAGE-FS</t>
        </is>
      </c>
      <c r="E126" t="inlineStr">
        <is>
          <t>06015</t>
        </is>
      </c>
      <c r="F126" t="n">
        <v>0.64</v>
      </c>
      <c r="G126" t="n">
        <v>1.57</v>
      </c>
      <c r="H126" t="inlineStr">
        <is>
          <t>GL-SL-006</t>
        </is>
      </c>
      <c r="I126" t="n">
        <v>8</v>
      </c>
      <c r="J126" t="n">
        <v>10.4</v>
      </c>
      <c r="K126" t="n">
        <v>-0.605</v>
      </c>
      <c r="L126" t="n">
        <v>-1.332</v>
      </c>
      <c r="M126" t="n">
        <v>0.399</v>
      </c>
      <c r="N126">
        <f>ROUND(J126*F126*G126+K126*G126+L126*F126+M126,3)</f>
        <v/>
      </c>
      <c r="O126">
        <f>AND(N126&gt;=1.4,N126&lt;=13)</f>
        <v/>
      </c>
      <c r="P126">
        <f>IF(OR(N126&lt;1.4,N126&gt;13),"",IF(G126*1000&lt;=1170,IF(N126&lt;1.8,"1014",IF(N126&lt;2.9,"1018",IF(N126&lt;3.8,"1029",IF(N126&lt;5,"1038",IF(N126&lt;7,"1050",IF(N126&lt;9,"1070",IF(N126&lt;11,"1090","1110"))))))),IF(G126*1000&lt;=1570,IF(N126&lt;1.8,"",IF(N126&lt;2.9,"2018",IF(N126&lt;3.8,"2029",IF(N126&lt;5,"2038",IF(N126&lt;7,"2050",IF(N126&lt;9,"2070",IF(N126&lt;11,"2090","2110"))))))),IF(G126*1000&lt;=1700,IF(N126&lt;1.8,"",IF(N126&lt;2.9,"3018",IF(N126&lt;3.8,"3029",IF(N126&lt;5,"3038",IF(N126&lt;7,"3050",IF(N126&lt;9,"3070",IF(N126&lt;11,"3090","3110"))))))),""))))</f>
        <v/>
      </c>
      <c r="Q126">
        <f>AND(O126=TRUE,P126&lt;&gt;"")</f>
        <v/>
      </c>
      <c r="R126">
        <f>IF(G126*1000&lt;750,"なし","あり")</f>
        <v/>
      </c>
      <c r="S126">
        <f>IF(AND(O126=TRUE,Q126=TRUE),"設定可","BLOCK")</f>
        <v/>
      </c>
      <c r="T126" t="inlineStr">
        <is>
          <t>商品カタログ P194</t>
        </is>
      </c>
      <c r="U126" t="inlineStr">
        <is>
          <t>https://webcatalog.lixil.co.jp/iportal/CatalogDetail.do?catalogID=15191910000&amp;categoryID=1630000&amp;designID=newinter&amp;method=initial_screen&amp;position=18&amp;type=mc&amp;volumeID=LXL13001</t>
        </is>
      </c>
    </row>
    <row r="127">
      <c r="A127" t="inlineStr">
        <is>
          <t>WG-SL-00124</t>
        </is>
      </c>
      <c r="B127" t="inlineStr">
        <is>
          <t>SZ-SL-000959</t>
        </is>
      </c>
      <c r="C127" t="inlineStr">
        <is>
          <t>WT-SL-AGE-SAGE-FS</t>
        </is>
      </c>
      <c r="E127" t="inlineStr">
        <is>
          <t>06015</t>
        </is>
      </c>
      <c r="F127" t="n">
        <v>0.64</v>
      </c>
      <c r="G127" t="n">
        <v>1.57</v>
      </c>
      <c r="H127" t="inlineStr">
        <is>
          <t>GL-SL-007</t>
        </is>
      </c>
      <c r="I127" t="n">
        <v>6</v>
      </c>
      <c r="J127" t="n">
        <v>7.8</v>
      </c>
      <c r="K127" t="n">
        <v>-0.355</v>
      </c>
      <c r="L127" t="n">
        <v>-0.664</v>
      </c>
      <c r="M127" t="n">
        <v>0.335</v>
      </c>
      <c r="N127">
        <f>ROUND(J127*F127*G127+K127*G127+L127*F127+M127,3)</f>
        <v/>
      </c>
      <c r="O127">
        <f>AND(N127&gt;=1.4,N127&lt;=13)</f>
        <v/>
      </c>
      <c r="P127">
        <f>IF(OR(N127&lt;1.4,N127&gt;13),"",IF(G127*1000&lt;=1170,IF(N127&lt;1.8,"1014",IF(N127&lt;2.9,"1018",IF(N127&lt;3.8,"1029",IF(N127&lt;5,"1038",IF(N127&lt;7,"1050",IF(N127&lt;9,"1070",IF(N127&lt;11,"1090","1110"))))))),IF(G127*1000&lt;=1570,IF(N127&lt;1.8,"",IF(N127&lt;2.9,"2018",IF(N127&lt;3.8,"2029",IF(N127&lt;5,"2038",IF(N127&lt;7,"2050",IF(N127&lt;9,"2070",IF(N127&lt;11,"2090","2110"))))))),IF(G127*1000&lt;=1700,IF(N127&lt;1.8,"",IF(N127&lt;2.9,"3018",IF(N127&lt;3.8,"3029",IF(N127&lt;5,"3038",IF(N127&lt;7,"3050",IF(N127&lt;9,"3070",IF(N127&lt;11,"3090","3110"))))))),""))))</f>
        <v/>
      </c>
      <c r="Q127">
        <f>AND(O127=TRUE,P127&lt;&gt;"")</f>
        <v/>
      </c>
      <c r="R127">
        <f>IF(G127*1000&lt;750,"なし","あり")</f>
        <v/>
      </c>
      <c r="S127">
        <f>IF(AND(O127=TRUE,Q127=TRUE),"設定可","BLOCK")</f>
        <v/>
      </c>
      <c r="T127" t="inlineStr">
        <is>
          <t>商品カタログ P194</t>
        </is>
      </c>
      <c r="U127" t="inlineStr">
        <is>
          <t>https://webcatalog.lixil.co.jp/iportal/CatalogDetail.do?catalogID=15191910000&amp;categoryID=1630000&amp;designID=newinter&amp;method=initial_screen&amp;position=18&amp;type=mc&amp;volumeID=LXL13001</t>
        </is>
      </c>
    </row>
    <row r="128">
      <c r="A128" t="inlineStr">
        <is>
          <t>WG-SL-00125</t>
        </is>
      </c>
      <c r="B128" t="inlineStr">
        <is>
          <t>SZ-SL-000959</t>
        </is>
      </c>
      <c r="C128" t="inlineStr">
        <is>
          <t>WT-SL-AGE-SAGE-FS</t>
        </is>
      </c>
      <c r="E128" t="inlineStr">
        <is>
          <t>06015</t>
        </is>
      </c>
      <c r="F128" t="n">
        <v>0.64</v>
      </c>
      <c r="G128" t="n">
        <v>1.57</v>
      </c>
      <c r="H128" t="inlineStr">
        <is>
          <t>GL-SL-008</t>
        </is>
      </c>
      <c r="I128" t="n">
        <v>7</v>
      </c>
      <c r="J128" t="n">
        <v>9.1</v>
      </c>
      <c r="K128" t="n">
        <v>-0.48</v>
      </c>
      <c r="L128" t="n">
        <v>-0.998</v>
      </c>
      <c r="M128" t="n">
        <v>0.367</v>
      </c>
      <c r="N128">
        <f>ROUND(J128*F128*G128+K128*G128+L128*F128+M128,3)</f>
        <v/>
      </c>
      <c r="O128">
        <f>AND(N128&gt;=1.4,N128&lt;=13)</f>
        <v/>
      </c>
      <c r="P128">
        <f>IF(OR(N128&lt;1.4,N128&gt;13),"",IF(G128*1000&lt;=1170,IF(N128&lt;1.8,"1014",IF(N128&lt;2.9,"1018",IF(N128&lt;3.8,"1029",IF(N128&lt;5,"1038",IF(N128&lt;7,"1050",IF(N128&lt;9,"1070",IF(N128&lt;11,"1090","1110"))))))),IF(G128*1000&lt;=1570,IF(N128&lt;1.8,"",IF(N128&lt;2.9,"2018",IF(N128&lt;3.8,"2029",IF(N128&lt;5,"2038",IF(N128&lt;7,"2050",IF(N128&lt;9,"2070",IF(N128&lt;11,"2090","2110"))))))),IF(G128*1000&lt;=1700,IF(N128&lt;1.8,"",IF(N128&lt;2.9,"3018",IF(N128&lt;3.8,"3029",IF(N128&lt;5,"3038",IF(N128&lt;7,"3050",IF(N128&lt;9,"3070",IF(N128&lt;11,"3090","3110"))))))),""))))</f>
        <v/>
      </c>
      <c r="Q128">
        <f>AND(O128=TRUE,P128&lt;&gt;"")</f>
        <v/>
      </c>
      <c r="R128">
        <f>IF(G128*1000&lt;750,"なし","あり")</f>
        <v/>
      </c>
      <c r="S128">
        <f>IF(AND(O128=TRUE,Q128=TRUE),"設定可","BLOCK")</f>
        <v/>
      </c>
      <c r="T128" t="inlineStr">
        <is>
          <t>商品カタログ P194</t>
        </is>
      </c>
      <c r="U128" t="inlineStr">
        <is>
          <t>https://webcatalog.lixil.co.jp/iportal/CatalogDetail.do?catalogID=15191910000&amp;categoryID=1630000&amp;designID=newinter&amp;method=initial_screen&amp;position=18&amp;type=mc&amp;volumeID=LXL13001</t>
        </is>
      </c>
    </row>
    <row r="129">
      <c r="A129" t="inlineStr">
        <is>
          <t>WG-SL-00126</t>
        </is>
      </c>
      <c r="B129" t="inlineStr">
        <is>
          <t>SZ-SL-000959</t>
        </is>
      </c>
      <c r="C129" t="inlineStr">
        <is>
          <t>WT-SL-AGE-SAGE-FS</t>
        </is>
      </c>
      <c r="E129" t="inlineStr">
        <is>
          <t>06015</t>
        </is>
      </c>
      <c r="F129" t="n">
        <v>0.64</v>
      </c>
      <c r="G129" t="n">
        <v>1.57</v>
      </c>
      <c r="H129" t="inlineStr">
        <is>
          <t>GL-SL-009</t>
        </is>
      </c>
      <c r="I129" t="n">
        <v>8</v>
      </c>
      <c r="J129" t="n">
        <v>10.4</v>
      </c>
      <c r="K129" t="n">
        <v>-0.605</v>
      </c>
      <c r="L129" t="n">
        <v>-1.332</v>
      </c>
      <c r="M129" t="n">
        <v>0.399</v>
      </c>
      <c r="N129">
        <f>ROUND(J129*F129*G129+K129*G129+L129*F129+M129,3)</f>
        <v/>
      </c>
      <c r="O129">
        <f>AND(N129&gt;=1.4,N129&lt;=13)</f>
        <v/>
      </c>
      <c r="P129">
        <f>IF(OR(N129&lt;1.4,N129&gt;13),"",IF(G129*1000&lt;=1170,IF(N129&lt;1.8,"1014",IF(N129&lt;2.9,"1018",IF(N129&lt;3.8,"1029",IF(N129&lt;5,"1038",IF(N129&lt;7,"1050",IF(N129&lt;9,"1070",IF(N129&lt;11,"1090","1110"))))))),IF(G129*1000&lt;=1570,IF(N129&lt;1.8,"",IF(N129&lt;2.9,"2018",IF(N129&lt;3.8,"2029",IF(N129&lt;5,"2038",IF(N129&lt;7,"2050",IF(N129&lt;9,"2070",IF(N129&lt;11,"2090","2110"))))))),IF(G129*1000&lt;=1700,IF(N129&lt;1.8,"",IF(N129&lt;2.9,"3018",IF(N129&lt;3.8,"3029",IF(N129&lt;5,"3038",IF(N129&lt;7,"3050",IF(N129&lt;9,"3070",IF(N129&lt;11,"3090","3110"))))))),""))))</f>
        <v/>
      </c>
      <c r="Q129">
        <f>AND(O129=TRUE,P129&lt;&gt;"")</f>
        <v/>
      </c>
      <c r="R129">
        <f>IF(G129*1000&lt;750,"なし","あり")</f>
        <v/>
      </c>
      <c r="S129">
        <f>IF(AND(O129=TRUE,Q129=TRUE),"設定可","BLOCK")</f>
        <v/>
      </c>
      <c r="T129" t="inlineStr">
        <is>
          <t>商品カタログ P194</t>
        </is>
      </c>
      <c r="U129" t="inlineStr">
        <is>
          <t>https://webcatalog.lixil.co.jp/iportal/CatalogDetail.do?catalogID=15191910000&amp;categoryID=1630000&amp;designID=newinter&amp;method=initial_screen&amp;position=18&amp;type=mc&amp;volumeID=LXL13001</t>
        </is>
      </c>
    </row>
    <row r="130">
      <c r="A130" t="inlineStr">
        <is>
          <t>WG-SL-00127</t>
        </is>
      </c>
      <c r="B130" t="inlineStr">
        <is>
          <t>SZ-SL-000960</t>
        </is>
      </c>
      <c r="C130" t="inlineStr">
        <is>
          <t>WT-SL-AGE-SAGE-FS</t>
        </is>
      </c>
      <c r="E130" t="inlineStr">
        <is>
          <t>06907</t>
        </is>
      </c>
      <c r="F130" t="n">
        <v>0.73</v>
      </c>
      <c r="G130" t="n">
        <v>0.77</v>
      </c>
      <c r="H130" t="inlineStr">
        <is>
          <t>GL-SL-001</t>
        </is>
      </c>
      <c r="I130" t="n">
        <v>6</v>
      </c>
      <c r="J130" t="n">
        <v>7.8</v>
      </c>
      <c r="K130" t="n">
        <v>-0.355</v>
      </c>
      <c r="L130" t="n">
        <v>-0.664</v>
      </c>
      <c r="M130" t="n">
        <v>0.335</v>
      </c>
      <c r="N130">
        <f>ROUND(J130*F130*G130+K130*G130+L130*F130+M130,3)</f>
        <v/>
      </c>
      <c r="O130">
        <f>AND(N130&gt;=1.4,N130&lt;=13)</f>
        <v/>
      </c>
      <c r="P130">
        <f>IF(OR(N130&lt;1.4,N130&gt;13),"",IF(G130*1000&lt;=1170,IF(N130&lt;1.8,"1014",IF(N130&lt;2.9,"1018",IF(N130&lt;3.8,"1029",IF(N130&lt;5,"1038",IF(N130&lt;7,"1050",IF(N130&lt;9,"1070",IF(N130&lt;11,"1090","1110"))))))),IF(G130*1000&lt;=1570,IF(N130&lt;1.8,"",IF(N130&lt;2.9,"2018",IF(N130&lt;3.8,"2029",IF(N130&lt;5,"2038",IF(N130&lt;7,"2050",IF(N130&lt;9,"2070",IF(N130&lt;11,"2090","2110"))))))),IF(G130*1000&lt;=1700,IF(N130&lt;1.8,"",IF(N130&lt;2.9,"3018",IF(N130&lt;3.8,"3029",IF(N130&lt;5,"3038",IF(N130&lt;7,"3050",IF(N130&lt;9,"3070",IF(N130&lt;11,"3090","3110"))))))),""))))</f>
        <v/>
      </c>
      <c r="Q130">
        <f>AND(O130=TRUE,P130&lt;&gt;"")</f>
        <v/>
      </c>
      <c r="R130">
        <f>IF(G130*1000&lt;750,"なし","あり")</f>
        <v/>
      </c>
      <c r="S130">
        <f>IF(AND(O130=TRUE,Q130=TRUE),"設定可","BLOCK")</f>
        <v/>
      </c>
      <c r="T130" t="inlineStr">
        <is>
          <t>商品カタログ P194</t>
        </is>
      </c>
      <c r="U130" t="inlineStr">
        <is>
          <t>https://webcatalog.lixil.co.jp/iportal/CatalogDetail.do?catalogID=15191910000&amp;categoryID=1630000&amp;designID=newinter&amp;method=initial_screen&amp;position=18&amp;type=mc&amp;volumeID=LXL13001</t>
        </is>
      </c>
    </row>
    <row r="131">
      <c r="A131" t="inlineStr">
        <is>
          <t>WG-SL-00128</t>
        </is>
      </c>
      <c r="B131" t="inlineStr">
        <is>
          <t>SZ-SL-000960</t>
        </is>
      </c>
      <c r="C131" t="inlineStr">
        <is>
          <t>WT-SL-AGE-SAGE-FS</t>
        </is>
      </c>
      <c r="E131" t="inlineStr">
        <is>
          <t>06907</t>
        </is>
      </c>
      <c r="F131" t="n">
        <v>0.73</v>
      </c>
      <c r="G131" t="n">
        <v>0.77</v>
      </c>
      <c r="H131" t="inlineStr">
        <is>
          <t>GL-SL-002</t>
        </is>
      </c>
      <c r="I131" t="n">
        <v>7</v>
      </c>
      <c r="J131" t="n">
        <v>9.1</v>
      </c>
      <c r="K131" t="n">
        <v>-0.48</v>
      </c>
      <c r="L131" t="n">
        <v>-0.998</v>
      </c>
      <c r="M131" t="n">
        <v>0.367</v>
      </c>
      <c r="N131">
        <f>ROUND(J131*F131*G131+K131*G131+L131*F131+M131,3)</f>
        <v/>
      </c>
      <c r="O131">
        <f>AND(N131&gt;=1.4,N131&lt;=13)</f>
        <v/>
      </c>
      <c r="P131">
        <f>IF(OR(N131&lt;1.4,N131&gt;13),"",IF(G131*1000&lt;=1170,IF(N131&lt;1.8,"1014",IF(N131&lt;2.9,"1018",IF(N131&lt;3.8,"1029",IF(N131&lt;5,"1038",IF(N131&lt;7,"1050",IF(N131&lt;9,"1070",IF(N131&lt;11,"1090","1110"))))))),IF(G131*1000&lt;=1570,IF(N131&lt;1.8,"",IF(N131&lt;2.9,"2018",IF(N131&lt;3.8,"2029",IF(N131&lt;5,"2038",IF(N131&lt;7,"2050",IF(N131&lt;9,"2070",IF(N131&lt;11,"2090","2110"))))))),IF(G131*1000&lt;=1700,IF(N131&lt;1.8,"",IF(N131&lt;2.9,"3018",IF(N131&lt;3.8,"3029",IF(N131&lt;5,"3038",IF(N131&lt;7,"3050",IF(N131&lt;9,"3070",IF(N131&lt;11,"3090","3110"))))))),""))))</f>
        <v/>
      </c>
      <c r="Q131">
        <f>AND(O131=TRUE,P131&lt;&gt;"")</f>
        <v/>
      </c>
      <c r="R131">
        <f>IF(G131*1000&lt;750,"なし","あり")</f>
        <v/>
      </c>
      <c r="S131">
        <f>IF(AND(O131=TRUE,Q131=TRUE),"設定可","BLOCK")</f>
        <v/>
      </c>
      <c r="T131" t="inlineStr">
        <is>
          <t>商品カタログ P194</t>
        </is>
      </c>
      <c r="U131" t="inlineStr">
        <is>
          <t>https://webcatalog.lixil.co.jp/iportal/CatalogDetail.do?catalogID=15191910000&amp;categoryID=1630000&amp;designID=newinter&amp;method=initial_screen&amp;position=18&amp;type=mc&amp;volumeID=LXL13001</t>
        </is>
      </c>
    </row>
    <row r="132">
      <c r="A132" t="inlineStr">
        <is>
          <t>WG-SL-00129</t>
        </is>
      </c>
      <c r="B132" t="inlineStr">
        <is>
          <t>SZ-SL-000960</t>
        </is>
      </c>
      <c r="C132" t="inlineStr">
        <is>
          <t>WT-SL-AGE-SAGE-FS</t>
        </is>
      </c>
      <c r="E132" t="inlineStr">
        <is>
          <t>06907</t>
        </is>
      </c>
      <c r="F132" t="n">
        <v>0.73</v>
      </c>
      <c r="G132" t="n">
        <v>0.77</v>
      </c>
      <c r="H132" t="inlineStr">
        <is>
          <t>GL-SL-003</t>
        </is>
      </c>
      <c r="I132" t="n">
        <v>8</v>
      </c>
      <c r="J132" t="n">
        <v>10.4</v>
      </c>
      <c r="K132" t="n">
        <v>-0.605</v>
      </c>
      <c r="L132" t="n">
        <v>-1.332</v>
      </c>
      <c r="M132" t="n">
        <v>0.399</v>
      </c>
      <c r="N132">
        <f>ROUND(J132*F132*G132+K132*G132+L132*F132+M132,3)</f>
        <v/>
      </c>
      <c r="O132">
        <f>AND(N132&gt;=1.4,N132&lt;=13)</f>
        <v/>
      </c>
      <c r="P132">
        <f>IF(OR(N132&lt;1.4,N132&gt;13),"",IF(G132*1000&lt;=1170,IF(N132&lt;1.8,"1014",IF(N132&lt;2.9,"1018",IF(N132&lt;3.8,"1029",IF(N132&lt;5,"1038",IF(N132&lt;7,"1050",IF(N132&lt;9,"1070",IF(N132&lt;11,"1090","1110"))))))),IF(G132*1000&lt;=1570,IF(N132&lt;1.8,"",IF(N132&lt;2.9,"2018",IF(N132&lt;3.8,"2029",IF(N132&lt;5,"2038",IF(N132&lt;7,"2050",IF(N132&lt;9,"2070",IF(N132&lt;11,"2090","2110"))))))),IF(G132*1000&lt;=1700,IF(N132&lt;1.8,"",IF(N132&lt;2.9,"3018",IF(N132&lt;3.8,"3029",IF(N132&lt;5,"3038",IF(N132&lt;7,"3050",IF(N132&lt;9,"3070",IF(N132&lt;11,"3090","3110"))))))),""))))</f>
        <v/>
      </c>
      <c r="Q132">
        <f>AND(O132=TRUE,P132&lt;&gt;"")</f>
        <v/>
      </c>
      <c r="R132">
        <f>IF(G132*1000&lt;750,"なし","あり")</f>
        <v/>
      </c>
      <c r="S132">
        <f>IF(AND(O132=TRUE,Q132=TRUE),"設定可","BLOCK")</f>
        <v/>
      </c>
      <c r="T132" t="inlineStr">
        <is>
          <t>商品カタログ P194</t>
        </is>
      </c>
      <c r="U132" t="inlineStr">
        <is>
          <t>https://webcatalog.lixil.co.jp/iportal/CatalogDetail.do?catalogID=15191910000&amp;categoryID=1630000&amp;designID=newinter&amp;method=initial_screen&amp;position=18&amp;type=mc&amp;volumeID=LXL13001</t>
        </is>
      </c>
    </row>
    <row r="133">
      <c r="A133" t="inlineStr">
        <is>
          <t>WG-SL-00130</t>
        </is>
      </c>
      <c r="B133" t="inlineStr">
        <is>
          <t>SZ-SL-000960</t>
        </is>
      </c>
      <c r="C133" t="inlineStr">
        <is>
          <t>WT-SL-AGE-SAGE-FS</t>
        </is>
      </c>
      <c r="E133" t="inlineStr">
        <is>
          <t>06907</t>
        </is>
      </c>
      <c r="F133" t="n">
        <v>0.73</v>
      </c>
      <c r="G133" t="n">
        <v>0.77</v>
      </c>
      <c r="H133" t="inlineStr">
        <is>
          <t>GL-SL-004</t>
        </is>
      </c>
      <c r="I133" t="n">
        <v>6</v>
      </c>
      <c r="J133" t="n">
        <v>7.8</v>
      </c>
      <c r="K133" t="n">
        <v>-0.355</v>
      </c>
      <c r="L133" t="n">
        <v>-0.664</v>
      </c>
      <c r="M133" t="n">
        <v>0.335</v>
      </c>
      <c r="N133">
        <f>ROUND(J133*F133*G133+K133*G133+L133*F133+M133,3)</f>
        <v/>
      </c>
      <c r="O133">
        <f>AND(N133&gt;=1.4,N133&lt;=13)</f>
        <v/>
      </c>
      <c r="P133">
        <f>IF(OR(N133&lt;1.4,N133&gt;13),"",IF(G133*1000&lt;=1170,IF(N133&lt;1.8,"1014",IF(N133&lt;2.9,"1018",IF(N133&lt;3.8,"1029",IF(N133&lt;5,"1038",IF(N133&lt;7,"1050",IF(N133&lt;9,"1070",IF(N133&lt;11,"1090","1110"))))))),IF(G133*1000&lt;=1570,IF(N133&lt;1.8,"",IF(N133&lt;2.9,"2018",IF(N133&lt;3.8,"2029",IF(N133&lt;5,"2038",IF(N133&lt;7,"2050",IF(N133&lt;9,"2070",IF(N133&lt;11,"2090","2110"))))))),IF(G133*1000&lt;=1700,IF(N133&lt;1.8,"",IF(N133&lt;2.9,"3018",IF(N133&lt;3.8,"3029",IF(N133&lt;5,"3038",IF(N133&lt;7,"3050",IF(N133&lt;9,"3070",IF(N133&lt;11,"3090","3110"))))))),""))))</f>
        <v/>
      </c>
      <c r="Q133">
        <f>AND(O133=TRUE,P133&lt;&gt;"")</f>
        <v/>
      </c>
      <c r="R133">
        <f>IF(G133*1000&lt;750,"なし","あり")</f>
        <v/>
      </c>
      <c r="S133">
        <f>IF(AND(O133=TRUE,Q133=TRUE),"設定可","BLOCK")</f>
        <v/>
      </c>
      <c r="T133" t="inlineStr">
        <is>
          <t>商品カタログ P194</t>
        </is>
      </c>
      <c r="U133" t="inlineStr">
        <is>
          <t>https://webcatalog.lixil.co.jp/iportal/CatalogDetail.do?catalogID=15191910000&amp;categoryID=1630000&amp;designID=newinter&amp;method=initial_screen&amp;position=18&amp;type=mc&amp;volumeID=LXL13001</t>
        </is>
      </c>
    </row>
    <row r="134">
      <c r="A134" t="inlineStr">
        <is>
          <t>WG-SL-00131</t>
        </is>
      </c>
      <c r="B134" t="inlineStr">
        <is>
          <t>SZ-SL-000960</t>
        </is>
      </c>
      <c r="C134" t="inlineStr">
        <is>
          <t>WT-SL-AGE-SAGE-FS</t>
        </is>
      </c>
      <c r="E134" t="inlineStr">
        <is>
          <t>06907</t>
        </is>
      </c>
      <c r="F134" t="n">
        <v>0.73</v>
      </c>
      <c r="G134" t="n">
        <v>0.77</v>
      </c>
      <c r="H134" t="inlineStr">
        <is>
          <t>GL-SL-005</t>
        </is>
      </c>
      <c r="I134" t="n">
        <v>7</v>
      </c>
      <c r="J134" t="n">
        <v>9.1</v>
      </c>
      <c r="K134" t="n">
        <v>-0.48</v>
      </c>
      <c r="L134" t="n">
        <v>-0.998</v>
      </c>
      <c r="M134" t="n">
        <v>0.367</v>
      </c>
      <c r="N134">
        <f>ROUND(J134*F134*G134+K134*G134+L134*F134+M134,3)</f>
        <v/>
      </c>
      <c r="O134">
        <f>AND(N134&gt;=1.4,N134&lt;=13)</f>
        <v/>
      </c>
      <c r="P134">
        <f>IF(OR(N134&lt;1.4,N134&gt;13),"",IF(G134*1000&lt;=1170,IF(N134&lt;1.8,"1014",IF(N134&lt;2.9,"1018",IF(N134&lt;3.8,"1029",IF(N134&lt;5,"1038",IF(N134&lt;7,"1050",IF(N134&lt;9,"1070",IF(N134&lt;11,"1090","1110"))))))),IF(G134*1000&lt;=1570,IF(N134&lt;1.8,"",IF(N134&lt;2.9,"2018",IF(N134&lt;3.8,"2029",IF(N134&lt;5,"2038",IF(N134&lt;7,"2050",IF(N134&lt;9,"2070",IF(N134&lt;11,"2090","2110"))))))),IF(G134*1000&lt;=1700,IF(N134&lt;1.8,"",IF(N134&lt;2.9,"3018",IF(N134&lt;3.8,"3029",IF(N134&lt;5,"3038",IF(N134&lt;7,"3050",IF(N134&lt;9,"3070",IF(N134&lt;11,"3090","3110"))))))),""))))</f>
        <v/>
      </c>
      <c r="Q134">
        <f>AND(O134=TRUE,P134&lt;&gt;"")</f>
        <v/>
      </c>
      <c r="R134">
        <f>IF(G134*1000&lt;750,"なし","あり")</f>
        <v/>
      </c>
      <c r="S134">
        <f>IF(AND(O134=TRUE,Q134=TRUE),"設定可","BLOCK")</f>
        <v/>
      </c>
      <c r="T134" t="inlineStr">
        <is>
          <t>商品カタログ P194</t>
        </is>
      </c>
      <c r="U134" t="inlineStr">
        <is>
          <t>https://webcatalog.lixil.co.jp/iportal/CatalogDetail.do?catalogID=15191910000&amp;categoryID=1630000&amp;designID=newinter&amp;method=initial_screen&amp;position=18&amp;type=mc&amp;volumeID=LXL13001</t>
        </is>
      </c>
    </row>
    <row r="135">
      <c r="A135" t="inlineStr">
        <is>
          <t>WG-SL-00132</t>
        </is>
      </c>
      <c r="B135" t="inlineStr">
        <is>
          <t>SZ-SL-000960</t>
        </is>
      </c>
      <c r="C135" t="inlineStr">
        <is>
          <t>WT-SL-AGE-SAGE-FS</t>
        </is>
      </c>
      <c r="E135" t="inlineStr">
        <is>
          <t>06907</t>
        </is>
      </c>
      <c r="F135" t="n">
        <v>0.73</v>
      </c>
      <c r="G135" t="n">
        <v>0.77</v>
      </c>
      <c r="H135" t="inlineStr">
        <is>
          <t>GL-SL-006</t>
        </is>
      </c>
      <c r="I135" t="n">
        <v>8</v>
      </c>
      <c r="J135" t="n">
        <v>10.4</v>
      </c>
      <c r="K135" t="n">
        <v>-0.605</v>
      </c>
      <c r="L135" t="n">
        <v>-1.332</v>
      </c>
      <c r="M135" t="n">
        <v>0.399</v>
      </c>
      <c r="N135">
        <f>ROUND(J135*F135*G135+K135*G135+L135*F135+M135,3)</f>
        <v/>
      </c>
      <c r="O135">
        <f>AND(N135&gt;=1.4,N135&lt;=13)</f>
        <v/>
      </c>
      <c r="P135">
        <f>IF(OR(N135&lt;1.4,N135&gt;13),"",IF(G135*1000&lt;=1170,IF(N135&lt;1.8,"1014",IF(N135&lt;2.9,"1018",IF(N135&lt;3.8,"1029",IF(N135&lt;5,"1038",IF(N135&lt;7,"1050",IF(N135&lt;9,"1070",IF(N135&lt;11,"1090","1110"))))))),IF(G135*1000&lt;=1570,IF(N135&lt;1.8,"",IF(N135&lt;2.9,"2018",IF(N135&lt;3.8,"2029",IF(N135&lt;5,"2038",IF(N135&lt;7,"2050",IF(N135&lt;9,"2070",IF(N135&lt;11,"2090","2110"))))))),IF(G135*1000&lt;=1700,IF(N135&lt;1.8,"",IF(N135&lt;2.9,"3018",IF(N135&lt;3.8,"3029",IF(N135&lt;5,"3038",IF(N135&lt;7,"3050",IF(N135&lt;9,"3070",IF(N135&lt;11,"3090","3110"))))))),""))))</f>
        <v/>
      </c>
      <c r="Q135">
        <f>AND(O135=TRUE,P135&lt;&gt;"")</f>
        <v/>
      </c>
      <c r="R135">
        <f>IF(G135*1000&lt;750,"なし","あり")</f>
        <v/>
      </c>
      <c r="S135">
        <f>IF(AND(O135=TRUE,Q135=TRUE),"設定可","BLOCK")</f>
        <v/>
      </c>
      <c r="T135" t="inlineStr">
        <is>
          <t>商品カタログ P194</t>
        </is>
      </c>
      <c r="U135" t="inlineStr">
        <is>
          <t>https://webcatalog.lixil.co.jp/iportal/CatalogDetail.do?catalogID=15191910000&amp;categoryID=1630000&amp;designID=newinter&amp;method=initial_screen&amp;position=18&amp;type=mc&amp;volumeID=LXL13001</t>
        </is>
      </c>
    </row>
    <row r="136">
      <c r="A136" t="inlineStr">
        <is>
          <t>WG-SL-00133</t>
        </is>
      </c>
      <c r="B136" t="inlineStr">
        <is>
          <t>SZ-SL-000960</t>
        </is>
      </c>
      <c r="C136" t="inlineStr">
        <is>
          <t>WT-SL-AGE-SAGE-FS</t>
        </is>
      </c>
      <c r="E136" t="inlineStr">
        <is>
          <t>06907</t>
        </is>
      </c>
      <c r="F136" t="n">
        <v>0.73</v>
      </c>
      <c r="G136" t="n">
        <v>0.77</v>
      </c>
      <c r="H136" t="inlineStr">
        <is>
          <t>GL-SL-007</t>
        </is>
      </c>
      <c r="I136" t="n">
        <v>6</v>
      </c>
      <c r="J136" t="n">
        <v>7.8</v>
      </c>
      <c r="K136" t="n">
        <v>-0.355</v>
      </c>
      <c r="L136" t="n">
        <v>-0.664</v>
      </c>
      <c r="M136" t="n">
        <v>0.335</v>
      </c>
      <c r="N136">
        <f>ROUND(J136*F136*G136+K136*G136+L136*F136+M136,3)</f>
        <v/>
      </c>
      <c r="O136">
        <f>AND(N136&gt;=1.4,N136&lt;=13)</f>
        <v/>
      </c>
      <c r="P136">
        <f>IF(OR(N136&lt;1.4,N136&gt;13),"",IF(G136*1000&lt;=1170,IF(N136&lt;1.8,"1014",IF(N136&lt;2.9,"1018",IF(N136&lt;3.8,"1029",IF(N136&lt;5,"1038",IF(N136&lt;7,"1050",IF(N136&lt;9,"1070",IF(N136&lt;11,"1090","1110"))))))),IF(G136*1000&lt;=1570,IF(N136&lt;1.8,"",IF(N136&lt;2.9,"2018",IF(N136&lt;3.8,"2029",IF(N136&lt;5,"2038",IF(N136&lt;7,"2050",IF(N136&lt;9,"2070",IF(N136&lt;11,"2090","2110"))))))),IF(G136*1000&lt;=1700,IF(N136&lt;1.8,"",IF(N136&lt;2.9,"3018",IF(N136&lt;3.8,"3029",IF(N136&lt;5,"3038",IF(N136&lt;7,"3050",IF(N136&lt;9,"3070",IF(N136&lt;11,"3090","3110"))))))),""))))</f>
        <v/>
      </c>
      <c r="Q136">
        <f>AND(O136=TRUE,P136&lt;&gt;"")</f>
        <v/>
      </c>
      <c r="R136">
        <f>IF(G136*1000&lt;750,"なし","あり")</f>
        <v/>
      </c>
      <c r="S136">
        <f>IF(AND(O136=TRUE,Q136=TRUE),"設定可","BLOCK")</f>
        <v/>
      </c>
      <c r="T136" t="inlineStr">
        <is>
          <t>商品カタログ P194</t>
        </is>
      </c>
      <c r="U136" t="inlineStr">
        <is>
          <t>https://webcatalog.lixil.co.jp/iportal/CatalogDetail.do?catalogID=15191910000&amp;categoryID=1630000&amp;designID=newinter&amp;method=initial_screen&amp;position=18&amp;type=mc&amp;volumeID=LXL13001</t>
        </is>
      </c>
    </row>
    <row r="137">
      <c r="A137" t="inlineStr">
        <is>
          <t>WG-SL-00134</t>
        </is>
      </c>
      <c r="B137" t="inlineStr">
        <is>
          <t>SZ-SL-000960</t>
        </is>
      </c>
      <c r="C137" t="inlineStr">
        <is>
          <t>WT-SL-AGE-SAGE-FS</t>
        </is>
      </c>
      <c r="E137" t="inlineStr">
        <is>
          <t>06907</t>
        </is>
      </c>
      <c r="F137" t="n">
        <v>0.73</v>
      </c>
      <c r="G137" t="n">
        <v>0.77</v>
      </c>
      <c r="H137" t="inlineStr">
        <is>
          <t>GL-SL-008</t>
        </is>
      </c>
      <c r="I137" t="n">
        <v>7</v>
      </c>
      <c r="J137" t="n">
        <v>9.1</v>
      </c>
      <c r="K137" t="n">
        <v>-0.48</v>
      </c>
      <c r="L137" t="n">
        <v>-0.998</v>
      </c>
      <c r="M137" t="n">
        <v>0.367</v>
      </c>
      <c r="N137">
        <f>ROUND(J137*F137*G137+K137*G137+L137*F137+M137,3)</f>
        <v/>
      </c>
      <c r="O137">
        <f>AND(N137&gt;=1.4,N137&lt;=13)</f>
        <v/>
      </c>
      <c r="P137">
        <f>IF(OR(N137&lt;1.4,N137&gt;13),"",IF(G137*1000&lt;=1170,IF(N137&lt;1.8,"1014",IF(N137&lt;2.9,"1018",IF(N137&lt;3.8,"1029",IF(N137&lt;5,"1038",IF(N137&lt;7,"1050",IF(N137&lt;9,"1070",IF(N137&lt;11,"1090","1110"))))))),IF(G137*1000&lt;=1570,IF(N137&lt;1.8,"",IF(N137&lt;2.9,"2018",IF(N137&lt;3.8,"2029",IF(N137&lt;5,"2038",IF(N137&lt;7,"2050",IF(N137&lt;9,"2070",IF(N137&lt;11,"2090","2110"))))))),IF(G137*1000&lt;=1700,IF(N137&lt;1.8,"",IF(N137&lt;2.9,"3018",IF(N137&lt;3.8,"3029",IF(N137&lt;5,"3038",IF(N137&lt;7,"3050",IF(N137&lt;9,"3070",IF(N137&lt;11,"3090","3110"))))))),""))))</f>
        <v/>
      </c>
      <c r="Q137">
        <f>AND(O137=TRUE,P137&lt;&gt;"")</f>
        <v/>
      </c>
      <c r="R137">
        <f>IF(G137*1000&lt;750,"なし","あり")</f>
        <v/>
      </c>
      <c r="S137">
        <f>IF(AND(O137=TRUE,Q137=TRUE),"設定可","BLOCK")</f>
        <v/>
      </c>
      <c r="T137" t="inlineStr">
        <is>
          <t>商品カタログ P194</t>
        </is>
      </c>
      <c r="U137" t="inlineStr">
        <is>
          <t>https://webcatalog.lixil.co.jp/iportal/CatalogDetail.do?catalogID=15191910000&amp;categoryID=1630000&amp;designID=newinter&amp;method=initial_screen&amp;position=18&amp;type=mc&amp;volumeID=LXL13001</t>
        </is>
      </c>
    </row>
    <row r="138">
      <c r="A138" t="inlineStr">
        <is>
          <t>WG-SL-00135</t>
        </is>
      </c>
      <c r="B138" t="inlineStr">
        <is>
          <t>SZ-SL-000960</t>
        </is>
      </c>
      <c r="C138" t="inlineStr">
        <is>
          <t>WT-SL-AGE-SAGE-FS</t>
        </is>
      </c>
      <c r="E138" t="inlineStr">
        <is>
          <t>06907</t>
        </is>
      </c>
      <c r="F138" t="n">
        <v>0.73</v>
      </c>
      <c r="G138" t="n">
        <v>0.77</v>
      </c>
      <c r="H138" t="inlineStr">
        <is>
          <t>GL-SL-009</t>
        </is>
      </c>
      <c r="I138" t="n">
        <v>8</v>
      </c>
      <c r="J138" t="n">
        <v>10.4</v>
      </c>
      <c r="K138" t="n">
        <v>-0.605</v>
      </c>
      <c r="L138" t="n">
        <v>-1.332</v>
      </c>
      <c r="M138" t="n">
        <v>0.399</v>
      </c>
      <c r="N138">
        <f>ROUND(J138*F138*G138+K138*G138+L138*F138+M138,3)</f>
        <v/>
      </c>
      <c r="O138">
        <f>AND(N138&gt;=1.4,N138&lt;=13)</f>
        <v/>
      </c>
      <c r="P138">
        <f>IF(OR(N138&lt;1.4,N138&gt;13),"",IF(G138*1000&lt;=1170,IF(N138&lt;1.8,"1014",IF(N138&lt;2.9,"1018",IF(N138&lt;3.8,"1029",IF(N138&lt;5,"1038",IF(N138&lt;7,"1050",IF(N138&lt;9,"1070",IF(N138&lt;11,"1090","1110"))))))),IF(G138*1000&lt;=1570,IF(N138&lt;1.8,"",IF(N138&lt;2.9,"2018",IF(N138&lt;3.8,"2029",IF(N138&lt;5,"2038",IF(N138&lt;7,"2050",IF(N138&lt;9,"2070",IF(N138&lt;11,"2090","2110"))))))),IF(G138*1000&lt;=1700,IF(N138&lt;1.8,"",IF(N138&lt;2.9,"3018",IF(N138&lt;3.8,"3029",IF(N138&lt;5,"3038",IF(N138&lt;7,"3050",IF(N138&lt;9,"3070",IF(N138&lt;11,"3090","3110"))))))),""))))</f>
        <v/>
      </c>
      <c r="Q138">
        <f>AND(O138=TRUE,P138&lt;&gt;"")</f>
        <v/>
      </c>
      <c r="R138">
        <f>IF(G138*1000&lt;750,"なし","あり")</f>
        <v/>
      </c>
      <c r="S138">
        <f>IF(AND(O138=TRUE,Q138=TRUE),"設定可","BLOCK")</f>
        <v/>
      </c>
      <c r="T138" t="inlineStr">
        <is>
          <t>商品カタログ P194</t>
        </is>
      </c>
      <c r="U138" t="inlineStr">
        <is>
          <t>https://webcatalog.lixil.co.jp/iportal/CatalogDetail.do?catalogID=15191910000&amp;categoryID=1630000&amp;designID=newinter&amp;method=initial_screen&amp;position=18&amp;type=mc&amp;volumeID=LXL13001</t>
        </is>
      </c>
    </row>
    <row r="139">
      <c r="A139" t="inlineStr">
        <is>
          <t>WG-SL-00136</t>
        </is>
      </c>
      <c r="B139" t="inlineStr">
        <is>
          <t>SZ-SL-000961</t>
        </is>
      </c>
      <c r="C139" t="inlineStr">
        <is>
          <t>WT-SL-AGE-SAGE-FS</t>
        </is>
      </c>
      <c r="E139" t="inlineStr">
        <is>
          <t>06909</t>
        </is>
      </c>
      <c r="F139" t="n">
        <v>0.73</v>
      </c>
      <c r="G139" t="n">
        <v>0.97</v>
      </c>
      <c r="H139" t="inlineStr">
        <is>
          <t>GL-SL-001</t>
        </is>
      </c>
      <c r="I139" t="n">
        <v>6</v>
      </c>
      <c r="J139" t="n">
        <v>7.8</v>
      </c>
      <c r="K139" t="n">
        <v>-0.355</v>
      </c>
      <c r="L139" t="n">
        <v>-0.664</v>
      </c>
      <c r="M139" t="n">
        <v>0.335</v>
      </c>
      <c r="N139">
        <f>ROUND(J139*F139*G139+K139*G139+L139*F139+M139,3)</f>
        <v/>
      </c>
      <c r="O139">
        <f>AND(N139&gt;=1.4,N139&lt;=13)</f>
        <v/>
      </c>
      <c r="P139">
        <f>IF(OR(N139&lt;1.4,N139&gt;13),"",IF(G139*1000&lt;=1170,IF(N139&lt;1.8,"1014",IF(N139&lt;2.9,"1018",IF(N139&lt;3.8,"1029",IF(N139&lt;5,"1038",IF(N139&lt;7,"1050",IF(N139&lt;9,"1070",IF(N139&lt;11,"1090","1110"))))))),IF(G139*1000&lt;=1570,IF(N139&lt;1.8,"",IF(N139&lt;2.9,"2018",IF(N139&lt;3.8,"2029",IF(N139&lt;5,"2038",IF(N139&lt;7,"2050",IF(N139&lt;9,"2070",IF(N139&lt;11,"2090","2110"))))))),IF(G139*1000&lt;=1700,IF(N139&lt;1.8,"",IF(N139&lt;2.9,"3018",IF(N139&lt;3.8,"3029",IF(N139&lt;5,"3038",IF(N139&lt;7,"3050",IF(N139&lt;9,"3070",IF(N139&lt;11,"3090","3110"))))))),""))))</f>
        <v/>
      </c>
      <c r="Q139">
        <f>AND(O139=TRUE,P139&lt;&gt;"")</f>
        <v/>
      </c>
      <c r="R139">
        <f>IF(G139*1000&lt;750,"なし","あり")</f>
        <v/>
      </c>
      <c r="S139">
        <f>IF(AND(O139=TRUE,Q139=TRUE),"設定可","BLOCK")</f>
        <v/>
      </c>
      <c r="T139" t="inlineStr">
        <is>
          <t>商品カタログ P194</t>
        </is>
      </c>
      <c r="U139" t="inlineStr">
        <is>
          <t>https://webcatalog.lixil.co.jp/iportal/CatalogDetail.do?catalogID=15191910000&amp;categoryID=1630000&amp;designID=newinter&amp;method=initial_screen&amp;position=18&amp;type=mc&amp;volumeID=LXL13001</t>
        </is>
      </c>
    </row>
    <row r="140">
      <c r="A140" t="inlineStr">
        <is>
          <t>WG-SL-00137</t>
        </is>
      </c>
      <c r="B140" t="inlineStr">
        <is>
          <t>SZ-SL-000961</t>
        </is>
      </c>
      <c r="C140" t="inlineStr">
        <is>
          <t>WT-SL-AGE-SAGE-FS</t>
        </is>
      </c>
      <c r="E140" t="inlineStr">
        <is>
          <t>06909</t>
        </is>
      </c>
      <c r="F140" t="n">
        <v>0.73</v>
      </c>
      <c r="G140" t="n">
        <v>0.97</v>
      </c>
      <c r="H140" t="inlineStr">
        <is>
          <t>GL-SL-002</t>
        </is>
      </c>
      <c r="I140" t="n">
        <v>7</v>
      </c>
      <c r="J140" t="n">
        <v>9.1</v>
      </c>
      <c r="K140" t="n">
        <v>-0.48</v>
      </c>
      <c r="L140" t="n">
        <v>-0.998</v>
      </c>
      <c r="M140" t="n">
        <v>0.367</v>
      </c>
      <c r="N140">
        <f>ROUND(J140*F140*G140+K140*G140+L140*F140+M140,3)</f>
        <v/>
      </c>
      <c r="O140">
        <f>AND(N140&gt;=1.4,N140&lt;=13)</f>
        <v/>
      </c>
      <c r="P140">
        <f>IF(OR(N140&lt;1.4,N140&gt;13),"",IF(G140*1000&lt;=1170,IF(N140&lt;1.8,"1014",IF(N140&lt;2.9,"1018",IF(N140&lt;3.8,"1029",IF(N140&lt;5,"1038",IF(N140&lt;7,"1050",IF(N140&lt;9,"1070",IF(N140&lt;11,"1090","1110"))))))),IF(G140*1000&lt;=1570,IF(N140&lt;1.8,"",IF(N140&lt;2.9,"2018",IF(N140&lt;3.8,"2029",IF(N140&lt;5,"2038",IF(N140&lt;7,"2050",IF(N140&lt;9,"2070",IF(N140&lt;11,"2090","2110"))))))),IF(G140*1000&lt;=1700,IF(N140&lt;1.8,"",IF(N140&lt;2.9,"3018",IF(N140&lt;3.8,"3029",IF(N140&lt;5,"3038",IF(N140&lt;7,"3050",IF(N140&lt;9,"3070",IF(N140&lt;11,"3090","3110"))))))),""))))</f>
        <v/>
      </c>
      <c r="Q140">
        <f>AND(O140=TRUE,P140&lt;&gt;"")</f>
        <v/>
      </c>
      <c r="R140">
        <f>IF(G140*1000&lt;750,"なし","あり")</f>
        <v/>
      </c>
      <c r="S140">
        <f>IF(AND(O140=TRUE,Q140=TRUE),"設定可","BLOCK")</f>
        <v/>
      </c>
      <c r="T140" t="inlineStr">
        <is>
          <t>商品カタログ P194</t>
        </is>
      </c>
      <c r="U140" t="inlineStr">
        <is>
          <t>https://webcatalog.lixil.co.jp/iportal/CatalogDetail.do?catalogID=15191910000&amp;categoryID=1630000&amp;designID=newinter&amp;method=initial_screen&amp;position=18&amp;type=mc&amp;volumeID=LXL13001</t>
        </is>
      </c>
    </row>
    <row r="141">
      <c r="A141" t="inlineStr">
        <is>
          <t>WG-SL-00138</t>
        </is>
      </c>
      <c r="B141" t="inlineStr">
        <is>
          <t>SZ-SL-000961</t>
        </is>
      </c>
      <c r="C141" t="inlineStr">
        <is>
          <t>WT-SL-AGE-SAGE-FS</t>
        </is>
      </c>
      <c r="E141" t="inlineStr">
        <is>
          <t>06909</t>
        </is>
      </c>
      <c r="F141" t="n">
        <v>0.73</v>
      </c>
      <c r="G141" t="n">
        <v>0.97</v>
      </c>
      <c r="H141" t="inlineStr">
        <is>
          <t>GL-SL-003</t>
        </is>
      </c>
      <c r="I141" t="n">
        <v>8</v>
      </c>
      <c r="J141" t="n">
        <v>10.4</v>
      </c>
      <c r="K141" t="n">
        <v>-0.605</v>
      </c>
      <c r="L141" t="n">
        <v>-1.332</v>
      </c>
      <c r="M141" t="n">
        <v>0.399</v>
      </c>
      <c r="N141">
        <f>ROUND(J141*F141*G141+K141*G141+L141*F141+M141,3)</f>
        <v/>
      </c>
      <c r="O141">
        <f>AND(N141&gt;=1.4,N141&lt;=13)</f>
        <v/>
      </c>
      <c r="P141">
        <f>IF(OR(N141&lt;1.4,N141&gt;13),"",IF(G141*1000&lt;=1170,IF(N141&lt;1.8,"1014",IF(N141&lt;2.9,"1018",IF(N141&lt;3.8,"1029",IF(N141&lt;5,"1038",IF(N141&lt;7,"1050",IF(N141&lt;9,"1070",IF(N141&lt;11,"1090","1110"))))))),IF(G141*1000&lt;=1570,IF(N141&lt;1.8,"",IF(N141&lt;2.9,"2018",IF(N141&lt;3.8,"2029",IF(N141&lt;5,"2038",IF(N141&lt;7,"2050",IF(N141&lt;9,"2070",IF(N141&lt;11,"2090","2110"))))))),IF(G141*1000&lt;=1700,IF(N141&lt;1.8,"",IF(N141&lt;2.9,"3018",IF(N141&lt;3.8,"3029",IF(N141&lt;5,"3038",IF(N141&lt;7,"3050",IF(N141&lt;9,"3070",IF(N141&lt;11,"3090","3110"))))))),""))))</f>
        <v/>
      </c>
      <c r="Q141">
        <f>AND(O141=TRUE,P141&lt;&gt;"")</f>
        <v/>
      </c>
      <c r="R141">
        <f>IF(G141*1000&lt;750,"なし","あり")</f>
        <v/>
      </c>
      <c r="S141">
        <f>IF(AND(O141=TRUE,Q141=TRUE),"設定可","BLOCK")</f>
        <v/>
      </c>
      <c r="T141" t="inlineStr">
        <is>
          <t>商品カタログ P194</t>
        </is>
      </c>
      <c r="U141" t="inlineStr">
        <is>
          <t>https://webcatalog.lixil.co.jp/iportal/CatalogDetail.do?catalogID=15191910000&amp;categoryID=1630000&amp;designID=newinter&amp;method=initial_screen&amp;position=18&amp;type=mc&amp;volumeID=LXL13001</t>
        </is>
      </c>
    </row>
    <row r="142">
      <c r="A142" t="inlineStr">
        <is>
          <t>WG-SL-00139</t>
        </is>
      </c>
      <c r="B142" t="inlineStr">
        <is>
          <t>SZ-SL-000961</t>
        </is>
      </c>
      <c r="C142" t="inlineStr">
        <is>
          <t>WT-SL-AGE-SAGE-FS</t>
        </is>
      </c>
      <c r="E142" t="inlineStr">
        <is>
          <t>06909</t>
        </is>
      </c>
      <c r="F142" t="n">
        <v>0.73</v>
      </c>
      <c r="G142" t="n">
        <v>0.97</v>
      </c>
      <c r="H142" t="inlineStr">
        <is>
          <t>GL-SL-004</t>
        </is>
      </c>
      <c r="I142" t="n">
        <v>6</v>
      </c>
      <c r="J142" t="n">
        <v>7.8</v>
      </c>
      <c r="K142" t="n">
        <v>-0.355</v>
      </c>
      <c r="L142" t="n">
        <v>-0.664</v>
      </c>
      <c r="M142" t="n">
        <v>0.335</v>
      </c>
      <c r="N142">
        <f>ROUND(J142*F142*G142+K142*G142+L142*F142+M142,3)</f>
        <v/>
      </c>
      <c r="O142">
        <f>AND(N142&gt;=1.4,N142&lt;=13)</f>
        <v/>
      </c>
      <c r="P142">
        <f>IF(OR(N142&lt;1.4,N142&gt;13),"",IF(G142*1000&lt;=1170,IF(N142&lt;1.8,"1014",IF(N142&lt;2.9,"1018",IF(N142&lt;3.8,"1029",IF(N142&lt;5,"1038",IF(N142&lt;7,"1050",IF(N142&lt;9,"1070",IF(N142&lt;11,"1090","1110"))))))),IF(G142*1000&lt;=1570,IF(N142&lt;1.8,"",IF(N142&lt;2.9,"2018",IF(N142&lt;3.8,"2029",IF(N142&lt;5,"2038",IF(N142&lt;7,"2050",IF(N142&lt;9,"2070",IF(N142&lt;11,"2090","2110"))))))),IF(G142*1000&lt;=1700,IF(N142&lt;1.8,"",IF(N142&lt;2.9,"3018",IF(N142&lt;3.8,"3029",IF(N142&lt;5,"3038",IF(N142&lt;7,"3050",IF(N142&lt;9,"3070",IF(N142&lt;11,"3090","3110"))))))),""))))</f>
        <v/>
      </c>
      <c r="Q142">
        <f>AND(O142=TRUE,P142&lt;&gt;"")</f>
        <v/>
      </c>
      <c r="R142">
        <f>IF(G142*1000&lt;750,"なし","あり")</f>
        <v/>
      </c>
      <c r="S142">
        <f>IF(AND(O142=TRUE,Q142=TRUE),"設定可","BLOCK")</f>
        <v/>
      </c>
      <c r="T142" t="inlineStr">
        <is>
          <t>商品カタログ P194</t>
        </is>
      </c>
      <c r="U142" t="inlineStr">
        <is>
          <t>https://webcatalog.lixil.co.jp/iportal/CatalogDetail.do?catalogID=15191910000&amp;categoryID=1630000&amp;designID=newinter&amp;method=initial_screen&amp;position=18&amp;type=mc&amp;volumeID=LXL13001</t>
        </is>
      </c>
    </row>
    <row r="143">
      <c r="A143" t="inlineStr">
        <is>
          <t>WG-SL-00140</t>
        </is>
      </c>
      <c r="B143" t="inlineStr">
        <is>
          <t>SZ-SL-000961</t>
        </is>
      </c>
      <c r="C143" t="inlineStr">
        <is>
          <t>WT-SL-AGE-SAGE-FS</t>
        </is>
      </c>
      <c r="E143" t="inlineStr">
        <is>
          <t>06909</t>
        </is>
      </c>
      <c r="F143" t="n">
        <v>0.73</v>
      </c>
      <c r="G143" t="n">
        <v>0.97</v>
      </c>
      <c r="H143" t="inlineStr">
        <is>
          <t>GL-SL-005</t>
        </is>
      </c>
      <c r="I143" t="n">
        <v>7</v>
      </c>
      <c r="J143" t="n">
        <v>9.1</v>
      </c>
      <c r="K143" t="n">
        <v>-0.48</v>
      </c>
      <c r="L143" t="n">
        <v>-0.998</v>
      </c>
      <c r="M143" t="n">
        <v>0.367</v>
      </c>
      <c r="N143">
        <f>ROUND(J143*F143*G143+K143*G143+L143*F143+M143,3)</f>
        <v/>
      </c>
      <c r="O143">
        <f>AND(N143&gt;=1.4,N143&lt;=13)</f>
        <v/>
      </c>
      <c r="P143">
        <f>IF(OR(N143&lt;1.4,N143&gt;13),"",IF(G143*1000&lt;=1170,IF(N143&lt;1.8,"1014",IF(N143&lt;2.9,"1018",IF(N143&lt;3.8,"1029",IF(N143&lt;5,"1038",IF(N143&lt;7,"1050",IF(N143&lt;9,"1070",IF(N143&lt;11,"1090","1110"))))))),IF(G143*1000&lt;=1570,IF(N143&lt;1.8,"",IF(N143&lt;2.9,"2018",IF(N143&lt;3.8,"2029",IF(N143&lt;5,"2038",IF(N143&lt;7,"2050",IF(N143&lt;9,"2070",IF(N143&lt;11,"2090","2110"))))))),IF(G143*1000&lt;=1700,IF(N143&lt;1.8,"",IF(N143&lt;2.9,"3018",IF(N143&lt;3.8,"3029",IF(N143&lt;5,"3038",IF(N143&lt;7,"3050",IF(N143&lt;9,"3070",IF(N143&lt;11,"3090","3110"))))))),""))))</f>
        <v/>
      </c>
      <c r="Q143">
        <f>AND(O143=TRUE,P143&lt;&gt;"")</f>
        <v/>
      </c>
      <c r="R143">
        <f>IF(G143*1000&lt;750,"なし","あり")</f>
        <v/>
      </c>
      <c r="S143">
        <f>IF(AND(O143=TRUE,Q143=TRUE),"設定可","BLOCK")</f>
        <v/>
      </c>
      <c r="T143" t="inlineStr">
        <is>
          <t>商品カタログ P194</t>
        </is>
      </c>
      <c r="U143" t="inlineStr">
        <is>
          <t>https://webcatalog.lixil.co.jp/iportal/CatalogDetail.do?catalogID=15191910000&amp;categoryID=1630000&amp;designID=newinter&amp;method=initial_screen&amp;position=18&amp;type=mc&amp;volumeID=LXL13001</t>
        </is>
      </c>
    </row>
    <row r="144">
      <c r="A144" t="inlineStr">
        <is>
          <t>WG-SL-00141</t>
        </is>
      </c>
      <c r="B144" t="inlineStr">
        <is>
          <t>SZ-SL-000961</t>
        </is>
      </c>
      <c r="C144" t="inlineStr">
        <is>
          <t>WT-SL-AGE-SAGE-FS</t>
        </is>
      </c>
      <c r="E144" t="inlineStr">
        <is>
          <t>06909</t>
        </is>
      </c>
      <c r="F144" t="n">
        <v>0.73</v>
      </c>
      <c r="G144" t="n">
        <v>0.97</v>
      </c>
      <c r="H144" t="inlineStr">
        <is>
          <t>GL-SL-006</t>
        </is>
      </c>
      <c r="I144" t="n">
        <v>8</v>
      </c>
      <c r="J144" t="n">
        <v>10.4</v>
      </c>
      <c r="K144" t="n">
        <v>-0.605</v>
      </c>
      <c r="L144" t="n">
        <v>-1.332</v>
      </c>
      <c r="M144" t="n">
        <v>0.399</v>
      </c>
      <c r="N144">
        <f>ROUND(J144*F144*G144+K144*G144+L144*F144+M144,3)</f>
        <v/>
      </c>
      <c r="O144">
        <f>AND(N144&gt;=1.4,N144&lt;=13)</f>
        <v/>
      </c>
      <c r="P144">
        <f>IF(OR(N144&lt;1.4,N144&gt;13),"",IF(G144*1000&lt;=1170,IF(N144&lt;1.8,"1014",IF(N144&lt;2.9,"1018",IF(N144&lt;3.8,"1029",IF(N144&lt;5,"1038",IF(N144&lt;7,"1050",IF(N144&lt;9,"1070",IF(N144&lt;11,"1090","1110"))))))),IF(G144*1000&lt;=1570,IF(N144&lt;1.8,"",IF(N144&lt;2.9,"2018",IF(N144&lt;3.8,"2029",IF(N144&lt;5,"2038",IF(N144&lt;7,"2050",IF(N144&lt;9,"2070",IF(N144&lt;11,"2090","2110"))))))),IF(G144*1000&lt;=1700,IF(N144&lt;1.8,"",IF(N144&lt;2.9,"3018",IF(N144&lt;3.8,"3029",IF(N144&lt;5,"3038",IF(N144&lt;7,"3050",IF(N144&lt;9,"3070",IF(N144&lt;11,"3090","3110"))))))),""))))</f>
        <v/>
      </c>
      <c r="Q144">
        <f>AND(O144=TRUE,P144&lt;&gt;"")</f>
        <v/>
      </c>
      <c r="R144">
        <f>IF(G144*1000&lt;750,"なし","あり")</f>
        <v/>
      </c>
      <c r="S144">
        <f>IF(AND(O144=TRUE,Q144=TRUE),"設定可","BLOCK")</f>
        <v/>
      </c>
      <c r="T144" t="inlineStr">
        <is>
          <t>商品カタログ P194</t>
        </is>
      </c>
      <c r="U144" t="inlineStr">
        <is>
          <t>https://webcatalog.lixil.co.jp/iportal/CatalogDetail.do?catalogID=15191910000&amp;categoryID=1630000&amp;designID=newinter&amp;method=initial_screen&amp;position=18&amp;type=mc&amp;volumeID=LXL13001</t>
        </is>
      </c>
    </row>
    <row r="145">
      <c r="A145" t="inlineStr">
        <is>
          <t>WG-SL-00142</t>
        </is>
      </c>
      <c r="B145" t="inlineStr">
        <is>
          <t>SZ-SL-000961</t>
        </is>
      </c>
      <c r="C145" t="inlineStr">
        <is>
          <t>WT-SL-AGE-SAGE-FS</t>
        </is>
      </c>
      <c r="E145" t="inlineStr">
        <is>
          <t>06909</t>
        </is>
      </c>
      <c r="F145" t="n">
        <v>0.73</v>
      </c>
      <c r="G145" t="n">
        <v>0.97</v>
      </c>
      <c r="H145" t="inlineStr">
        <is>
          <t>GL-SL-007</t>
        </is>
      </c>
      <c r="I145" t="n">
        <v>6</v>
      </c>
      <c r="J145" t="n">
        <v>7.8</v>
      </c>
      <c r="K145" t="n">
        <v>-0.355</v>
      </c>
      <c r="L145" t="n">
        <v>-0.664</v>
      </c>
      <c r="M145" t="n">
        <v>0.335</v>
      </c>
      <c r="N145">
        <f>ROUND(J145*F145*G145+K145*G145+L145*F145+M145,3)</f>
        <v/>
      </c>
      <c r="O145">
        <f>AND(N145&gt;=1.4,N145&lt;=13)</f>
        <v/>
      </c>
      <c r="P145">
        <f>IF(OR(N145&lt;1.4,N145&gt;13),"",IF(G145*1000&lt;=1170,IF(N145&lt;1.8,"1014",IF(N145&lt;2.9,"1018",IF(N145&lt;3.8,"1029",IF(N145&lt;5,"1038",IF(N145&lt;7,"1050",IF(N145&lt;9,"1070",IF(N145&lt;11,"1090","1110"))))))),IF(G145*1000&lt;=1570,IF(N145&lt;1.8,"",IF(N145&lt;2.9,"2018",IF(N145&lt;3.8,"2029",IF(N145&lt;5,"2038",IF(N145&lt;7,"2050",IF(N145&lt;9,"2070",IF(N145&lt;11,"2090","2110"))))))),IF(G145*1000&lt;=1700,IF(N145&lt;1.8,"",IF(N145&lt;2.9,"3018",IF(N145&lt;3.8,"3029",IF(N145&lt;5,"3038",IF(N145&lt;7,"3050",IF(N145&lt;9,"3070",IF(N145&lt;11,"3090","3110"))))))),""))))</f>
        <v/>
      </c>
      <c r="Q145">
        <f>AND(O145=TRUE,P145&lt;&gt;"")</f>
        <v/>
      </c>
      <c r="R145">
        <f>IF(G145*1000&lt;750,"なし","あり")</f>
        <v/>
      </c>
      <c r="S145">
        <f>IF(AND(O145=TRUE,Q145=TRUE),"設定可","BLOCK")</f>
        <v/>
      </c>
      <c r="T145" t="inlineStr">
        <is>
          <t>商品カタログ P194</t>
        </is>
      </c>
      <c r="U145" t="inlineStr">
        <is>
          <t>https://webcatalog.lixil.co.jp/iportal/CatalogDetail.do?catalogID=15191910000&amp;categoryID=1630000&amp;designID=newinter&amp;method=initial_screen&amp;position=18&amp;type=mc&amp;volumeID=LXL13001</t>
        </is>
      </c>
    </row>
    <row r="146">
      <c r="A146" t="inlineStr">
        <is>
          <t>WG-SL-00143</t>
        </is>
      </c>
      <c r="B146" t="inlineStr">
        <is>
          <t>SZ-SL-000961</t>
        </is>
      </c>
      <c r="C146" t="inlineStr">
        <is>
          <t>WT-SL-AGE-SAGE-FS</t>
        </is>
      </c>
      <c r="E146" t="inlineStr">
        <is>
          <t>06909</t>
        </is>
      </c>
      <c r="F146" t="n">
        <v>0.73</v>
      </c>
      <c r="G146" t="n">
        <v>0.97</v>
      </c>
      <c r="H146" t="inlineStr">
        <is>
          <t>GL-SL-008</t>
        </is>
      </c>
      <c r="I146" t="n">
        <v>7</v>
      </c>
      <c r="J146" t="n">
        <v>9.1</v>
      </c>
      <c r="K146" t="n">
        <v>-0.48</v>
      </c>
      <c r="L146" t="n">
        <v>-0.998</v>
      </c>
      <c r="M146" t="n">
        <v>0.367</v>
      </c>
      <c r="N146">
        <f>ROUND(J146*F146*G146+K146*G146+L146*F146+M146,3)</f>
        <v/>
      </c>
      <c r="O146">
        <f>AND(N146&gt;=1.4,N146&lt;=13)</f>
        <v/>
      </c>
      <c r="P146">
        <f>IF(OR(N146&lt;1.4,N146&gt;13),"",IF(G146*1000&lt;=1170,IF(N146&lt;1.8,"1014",IF(N146&lt;2.9,"1018",IF(N146&lt;3.8,"1029",IF(N146&lt;5,"1038",IF(N146&lt;7,"1050",IF(N146&lt;9,"1070",IF(N146&lt;11,"1090","1110"))))))),IF(G146*1000&lt;=1570,IF(N146&lt;1.8,"",IF(N146&lt;2.9,"2018",IF(N146&lt;3.8,"2029",IF(N146&lt;5,"2038",IF(N146&lt;7,"2050",IF(N146&lt;9,"2070",IF(N146&lt;11,"2090","2110"))))))),IF(G146*1000&lt;=1700,IF(N146&lt;1.8,"",IF(N146&lt;2.9,"3018",IF(N146&lt;3.8,"3029",IF(N146&lt;5,"3038",IF(N146&lt;7,"3050",IF(N146&lt;9,"3070",IF(N146&lt;11,"3090","3110"))))))),""))))</f>
        <v/>
      </c>
      <c r="Q146">
        <f>AND(O146=TRUE,P146&lt;&gt;"")</f>
        <v/>
      </c>
      <c r="R146">
        <f>IF(G146*1000&lt;750,"なし","あり")</f>
        <v/>
      </c>
      <c r="S146">
        <f>IF(AND(O146=TRUE,Q146=TRUE),"設定可","BLOCK")</f>
        <v/>
      </c>
      <c r="T146" t="inlineStr">
        <is>
          <t>商品カタログ P194</t>
        </is>
      </c>
      <c r="U146" t="inlineStr">
        <is>
          <t>https://webcatalog.lixil.co.jp/iportal/CatalogDetail.do?catalogID=15191910000&amp;categoryID=1630000&amp;designID=newinter&amp;method=initial_screen&amp;position=18&amp;type=mc&amp;volumeID=LXL13001</t>
        </is>
      </c>
    </row>
    <row r="147">
      <c r="A147" t="inlineStr">
        <is>
          <t>WG-SL-00144</t>
        </is>
      </c>
      <c r="B147" t="inlineStr">
        <is>
          <t>SZ-SL-000961</t>
        </is>
      </c>
      <c r="C147" t="inlineStr">
        <is>
          <t>WT-SL-AGE-SAGE-FS</t>
        </is>
      </c>
      <c r="E147" t="inlineStr">
        <is>
          <t>06909</t>
        </is>
      </c>
      <c r="F147" t="n">
        <v>0.73</v>
      </c>
      <c r="G147" t="n">
        <v>0.97</v>
      </c>
      <c r="H147" t="inlineStr">
        <is>
          <t>GL-SL-009</t>
        </is>
      </c>
      <c r="I147" t="n">
        <v>8</v>
      </c>
      <c r="J147" t="n">
        <v>10.4</v>
      </c>
      <c r="K147" t="n">
        <v>-0.605</v>
      </c>
      <c r="L147" t="n">
        <v>-1.332</v>
      </c>
      <c r="M147" t="n">
        <v>0.399</v>
      </c>
      <c r="N147">
        <f>ROUND(J147*F147*G147+K147*G147+L147*F147+M147,3)</f>
        <v/>
      </c>
      <c r="O147">
        <f>AND(N147&gt;=1.4,N147&lt;=13)</f>
        <v/>
      </c>
      <c r="P147">
        <f>IF(OR(N147&lt;1.4,N147&gt;13),"",IF(G147*1000&lt;=1170,IF(N147&lt;1.8,"1014",IF(N147&lt;2.9,"1018",IF(N147&lt;3.8,"1029",IF(N147&lt;5,"1038",IF(N147&lt;7,"1050",IF(N147&lt;9,"1070",IF(N147&lt;11,"1090","1110"))))))),IF(G147*1000&lt;=1570,IF(N147&lt;1.8,"",IF(N147&lt;2.9,"2018",IF(N147&lt;3.8,"2029",IF(N147&lt;5,"2038",IF(N147&lt;7,"2050",IF(N147&lt;9,"2070",IF(N147&lt;11,"2090","2110"))))))),IF(G147*1000&lt;=1700,IF(N147&lt;1.8,"",IF(N147&lt;2.9,"3018",IF(N147&lt;3.8,"3029",IF(N147&lt;5,"3038",IF(N147&lt;7,"3050",IF(N147&lt;9,"3070",IF(N147&lt;11,"3090","3110"))))))),""))))</f>
        <v/>
      </c>
      <c r="Q147">
        <f>AND(O147=TRUE,P147&lt;&gt;"")</f>
        <v/>
      </c>
      <c r="R147">
        <f>IF(G147*1000&lt;750,"なし","あり")</f>
        <v/>
      </c>
      <c r="S147">
        <f>IF(AND(O147=TRUE,Q147=TRUE),"設定可","BLOCK")</f>
        <v/>
      </c>
      <c r="T147" t="inlineStr">
        <is>
          <t>商品カタログ P194</t>
        </is>
      </c>
      <c r="U147" t="inlineStr">
        <is>
          <t>https://webcatalog.lixil.co.jp/iportal/CatalogDetail.do?catalogID=15191910000&amp;categoryID=1630000&amp;designID=newinter&amp;method=initial_screen&amp;position=18&amp;type=mc&amp;volumeID=LXL13001</t>
        </is>
      </c>
    </row>
    <row r="148">
      <c r="A148" t="inlineStr">
        <is>
          <t>WG-SL-00145</t>
        </is>
      </c>
      <c r="B148" t="inlineStr">
        <is>
          <t>SZ-SL-000962</t>
        </is>
      </c>
      <c r="C148" t="inlineStr">
        <is>
          <t>WT-SL-AGE-SAGE-FS</t>
        </is>
      </c>
      <c r="E148" t="inlineStr">
        <is>
          <t>06911</t>
        </is>
      </c>
      <c r="F148" t="n">
        <v>0.73</v>
      </c>
      <c r="G148" t="n">
        <v>1.17</v>
      </c>
      <c r="H148" t="inlineStr">
        <is>
          <t>GL-SL-001</t>
        </is>
      </c>
      <c r="I148" t="n">
        <v>6</v>
      </c>
      <c r="J148" t="n">
        <v>7.8</v>
      </c>
      <c r="K148" t="n">
        <v>-0.355</v>
      </c>
      <c r="L148" t="n">
        <v>-0.664</v>
      </c>
      <c r="M148" t="n">
        <v>0.335</v>
      </c>
      <c r="N148">
        <f>ROUND(J148*F148*G148+K148*G148+L148*F148+M148,3)</f>
        <v/>
      </c>
      <c r="O148">
        <f>AND(N148&gt;=1.4,N148&lt;=13)</f>
        <v/>
      </c>
      <c r="P148">
        <f>IF(OR(N148&lt;1.4,N148&gt;13),"",IF(G148*1000&lt;=1170,IF(N148&lt;1.8,"1014",IF(N148&lt;2.9,"1018",IF(N148&lt;3.8,"1029",IF(N148&lt;5,"1038",IF(N148&lt;7,"1050",IF(N148&lt;9,"1070",IF(N148&lt;11,"1090","1110"))))))),IF(G148*1000&lt;=1570,IF(N148&lt;1.8,"",IF(N148&lt;2.9,"2018",IF(N148&lt;3.8,"2029",IF(N148&lt;5,"2038",IF(N148&lt;7,"2050",IF(N148&lt;9,"2070",IF(N148&lt;11,"2090","2110"))))))),IF(G148*1000&lt;=1700,IF(N148&lt;1.8,"",IF(N148&lt;2.9,"3018",IF(N148&lt;3.8,"3029",IF(N148&lt;5,"3038",IF(N148&lt;7,"3050",IF(N148&lt;9,"3070",IF(N148&lt;11,"3090","3110"))))))),""))))</f>
        <v/>
      </c>
      <c r="Q148">
        <f>AND(O148=TRUE,P148&lt;&gt;"")</f>
        <v/>
      </c>
      <c r="R148">
        <f>IF(G148*1000&lt;750,"なし","あり")</f>
        <v/>
      </c>
      <c r="S148">
        <f>IF(AND(O148=TRUE,Q148=TRUE),"設定可","BLOCK")</f>
        <v/>
      </c>
      <c r="T148" t="inlineStr">
        <is>
          <t>商品カタログ P194</t>
        </is>
      </c>
      <c r="U148" t="inlineStr">
        <is>
          <t>https://webcatalog.lixil.co.jp/iportal/CatalogDetail.do?catalogID=15191910000&amp;categoryID=1630000&amp;designID=newinter&amp;method=initial_screen&amp;position=18&amp;type=mc&amp;volumeID=LXL13001</t>
        </is>
      </c>
    </row>
    <row r="149">
      <c r="A149" t="inlineStr">
        <is>
          <t>WG-SL-00146</t>
        </is>
      </c>
      <c r="B149" t="inlineStr">
        <is>
          <t>SZ-SL-000962</t>
        </is>
      </c>
      <c r="C149" t="inlineStr">
        <is>
          <t>WT-SL-AGE-SAGE-FS</t>
        </is>
      </c>
      <c r="E149" t="inlineStr">
        <is>
          <t>06911</t>
        </is>
      </c>
      <c r="F149" t="n">
        <v>0.73</v>
      </c>
      <c r="G149" t="n">
        <v>1.17</v>
      </c>
      <c r="H149" t="inlineStr">
        <is>
          <t>GL-SL-002</t>
        </is>
      </c>
      <c r="I149" t="n">
        <v>7</v>
      </c>
      <c r="J149" t="n">
        <v>9.1</v>
      </c>
      <c r="K149" t="n">
        <v>-0.48</v>
      </c>
      <c r="L149" t="n">
        <v>-0.998</v>
      </c>
      <c r="M149" t="n">
        <v>0.367</v>
      </c>
      <c r="N149">
        <f>ROUND(J149*F149*G149+K149*G149+L149*F149+M149,3)</f>
        <v/>
      </c>
      <c r="O149">
        <f>AND(N149&gt;=1.4,N149&lt;=13)</f>
        <v/>
      </c>
      <c r="P149">
        <f>IF(OR(N149&lt;1.4,N149&gt;13),"",IF(G149*1000&lt;=1170,IF(N149&lt;1.8,"1014",IF(N149&lt;2.9,"1018",IF(N149&lt;3.8,"1029",IF(N149&lt;5,"1038",IF(N149&lt;7,"1050",IF(N149&lt;9,"1070",IF(N149&lt;11,"1090","1110"))))))),IF(G149*1000&lt;=1570,IF(N149&lt;1.8,"",IF(N149&lt;2.9,"2018",IF(N149&lt;3.8,"2029",IF(N149&lt;5,"2038",IF(N149&lt;7,"2050",IF(N149&lt;9,"2070",IF(N149&lt;11,"2090","2110"))))))),IF(G149*1000&lt;=1700,IF(N149&lt;1.8,"",IF(N149&lt;2.9,"3018",IF(N149&lt;3.8,"3029",IF(N149&lt;5,"3038",IF(N149&lt;7,"3050",IF(N149&lt;9,"3070",IF(N149&lt;11,"3090","3110"))))))),""))))</f>
        <v/>
      </c>
      <c r="Q149">
        <f>AND(O149=TRUE,P149&lt;&gt;"")</f>
        <v/>
      </c>
      <c r="R149">
        <f>IF(G149*1000&lt;750,"なし","あり")</f>
        <v/>
      </c>
      <c r="S149">
        <f>IF(AND(O149=TRUE,Q149=TRUE),"設定可","BLOCK")</f>
        <v/>
      </c>
      <c r="T149" t="inlineStr">
        <is>
          <t>商品カタログ P194</t>
        </is>
      </c>
      <c r="U149" t="inlineStr">
        <is>
          <t>https://webcatalog.lixil.co.jp/iportal/CatalogDetail.do?catalogID=15191910000&amp;categoryID=1630000&amp;designID=newinter&amp;method=initial_screen&amp;position=18&amp;type=mc&amp;volumeID=LXL13001</t>
        </is>
      </c>
    </row>
    <row r="150">
      <c r="A150" t="inlineStr">
        <is>
          <t>WG-SL-00147</t>
        </is>
      </c>
      <c r="B150" t="inlineStr">
        <is>
          <t>SZ-SL-000962</t>
        </is>
      </c>
      <c r="C150" t="inlineStr">
        <is>
          <t>WT-SL-AGE-SAGE-FS</t>
        </is>
      </c>
      <c r="E150" t="inlineStr">
        <is>
          <t>06911</t>
        </is>
      </c>
      <c r="F150" t="n">
        <v>0.73</v>
      </c>
      <c r="G150" t="n">
        <v>1.17</v>
      </c>
      <c r="H150" t="inlineStr">
        <is>
          <t>GL-SL-003</t>
        </is>
      </c>
      <c r="I150" t="n">
        <v>8</v>
      </c>
      <c r="J150" t="n">
        <v>10.4</v>
      </c>
      <c r="K150" t="n">
        <v>-0.605</v>
      </c>
      <c r="L150" t="n">
        <v>-1.332</v>
      </c>
      <c r="M150" t="n">
        <v>0.399</v>
      </c>
      <c r="N150">
        <f>ROUND(J150*F150*G150+K150*G150+L150*F150+M150,3)</f>
        <v/>
      </c>
      <c r="O150">
        <f>AND(N150&gt;=1.4,N150&lt;=13)</f>
        <v/>
      </c>
      <c r="P150">
        <f>IF(OR(N150&lt;1.4,N150&gt;13),"",IF(G150*1000&lt;=1170,IF(N150&lt;1.8,"1014",IF(N150&lt;2.9,"1018",IF(N150&lt;3.8,"1029",IF(N150&lt;5,"1038",IF(N150&lt;7,"1050",IF(N150&lt;9,"1070",IF(N150&lt;11,"1090","1110"))))))),IF(G150*1000&lt;=1570,IF(N150&lt;1.8,"",IF(N150&lt;2.9,"2018",IF(N150&lt;3.8,"2029",IF(N150&lt;5,"2038",IF(N150&lt;7,"2050",IF(N150&lt;9,"2070",IF(N150&lt;11,"2090","2110"))))))),IF(G150*1000&lt;=1700,IF(N150&lt;1.8,"",IF(N150&lt;2.9,"3018",IF(N150&lt;3.8,"3029",IF(N150&lt;5,"3038",IF(N150&lt;7,"3050",IF(N150&lt;9,"3070",IF(N150&lt;11,"3090","3110"))))))),""))))</f>
        <v/>
      </c>
      <c r="Q150">
        <f>AND(O150=TRUE,P150&lt;&gt;"")</f>
        <v/>
      </c>
      <c r="R150">
        <f>IF(G150*1000&lt;750,"なし","あり")</f>
        <v/>
      </c>
      <c r="S150">
        <f>IF(AND(O150=TRUE,Q150=TRUE),"設定可","BLOCK")</f>
        <v/>
      </c>
      <c r="T150" t="inlineStr">
        <is>
          <t>商品カタログ P194</t>
        </is>
      </c>
      <c r="U150" t="inlineStr">
        <is>
          <t>https://webcatalog.lixil.co.jp/iportal/CatalogDetail.do?catalogID=15191910000&amp;categoryID=1630000&amp;designID=newinter&amp;method=initial_screen&amp;position=18&amp;type=mc&amp;volumeID=LXL13001</t>
        </is>
      </c>
    </row>
    <row r="151">
      <c r="A151" t="inlineStr">
        <is>
          <t>WG-SL-00148</t>
        </is>
      </c>
      <c r="B151" t="inlineStr">
        <is>
          <t>SZ-SL-000962</t>
        </is>
      </c>
      <c r="C151" t="inlineStr">
        <is>
          <t>WT-SL-AGE-SAGE-FS</t>
        </is>
      </c>
      <c r="E151" t="inlineStr">
        <is>
          <t>06911</t>
        </is>
      </c>
      <c r="F151" t="n">
        <v>0.73</v>
      </c>
      <c r="G151" t="n">
        <v>1.17</v>
      </c>
      <c r="H151" t="inlineStr">
        <is>
          <t>GL-SL-004</t>
        </is>
      </c>
      <c r="I151" t="n">
        <v>6</v>
      </c>
      <c r="J151" t="n">
        <v>7.8</v>
      </c>
      <c r="K151" t="n">
        <v>-0.355</v>
      </c>
      <c r="L151" t="n">
        <v>-0.664</v>
      </c>
      <c r="M151" t="n">
        <v>0.335</v>
      </c>
      <c r="N151">
        <f>ROUND(J151*F151*G151+K151*G151+L151*F151+M151,3)</f>
        <v/>
      </c>
      <c r="O151">
        <f>AND(N151&gt;=1.4,N151&lt;=13)</f>
        <v/>
      </c>
      <c r="P151">
        <f>IF(OR(N151&lt;1.4,N151&gt;13),"",IF(G151*1000&lt;=1170,IF(N151&lt;1.8,"1014",IF(N151&lt;2.9,"1018",IF(N151&lt;3.8,"1029",IF(N151&lt;5,"1038",IF(N151&lt;7,"1050",IF(N151&lt;9,"1070",IF(N151&lt;11,"1090","1110"))))))),IF(G151*1000&lt;=1570,IF(N151&lt;1.8,"",IF(N151&lt;2.9,"2018",IF(N151&lt;3.8,"2029",IF(N151&lt;5,"2038",IF(N151&lt;7,"2050",IF(N151&lt;9,"2070",IF(N151&lt;11,"2090","2110"))))))),IF(G151*1000&lt;=1700,IF(N151&lt;1.8,"",IF(N151&lt;2.9,"3018",IF(N151&lt;3.8,"3029",IF(N151&lt;5,"3038",IF(N151&lt;7,"3050",IF(N151&lt;9,"3070",IF(N151&lt;11,"3090","3110"))))))),""))))</f>
        <v/>
      </c>
      <c r="Q151">
        <f>AND(O151=TRUE,P151&lt;&gt;"")</f>
        <v/>
      </c>
      <c r="R151">
        <f>IF(G151*1000&lt;750,"なし","あり")</f>
        <v/>
      </c>
      <c r="S151">
        <f>IF(AND(O151=TRUE,Q151=TRUE),"設定可","BLOCK")</f>
        <v/>
      </c>
      <c r="T151" t="inlineStr">
        <is>
          <t>商品カタログ P194</t>
        </is>
      </c>
      <c r="U151" t="inlineStr">
        <is>
          <t>https://webcatalog.lixil.co.jp/iportal/CatalogDetail.do?catalogID=15191910000&amp;categoryID=1630000&amp;designID=newinter&amp;method=initial_screen&amp;position=18&amp;type=mc&amp;volumeID=LXL13001</t>
        </is>
      </c>
    </row>
    <row r="152">
      <c r="A152" t="inlineStr">
        <is>
          <t>WG-SL-00149</t>
        </is>
      </c>
      <c r="B152" t="inlineStr">
        <is>
          <t>SZ-SL-000962</t>
        </is>
      </c>
      <c r="C152" t="inlineStr">
        <is>
          <t>WT-SL-AGE-SAGE-FS</t>
        </is>
      </c>
      <c r="E152" t="inlineStr">
        <is>
          <t>06911</t>
        </is>
      </c>
      <c r="F152" t="n">
        <v>0.73</v>
      </c>
      <c r="G152" t="n">
        <v>1.17</v>
      </c>
      <c r="H152" t="inlineStr">
        <is>
          <t>GL-SL-005</t>
        </is>
      </c>
      <c r="I152" t="n">
        <v>7</v>
      </c>
      <c r="J152" t="n">
        <v>9.1</v>
      </c>
      <c r="K152" t="n">
        <v>-0.48</v>
      </c>
      <c r="L152" t="n">
        <v>-0.998</v>
      </c>
      <c r="M152" t="n">
        <v>0.367</v>
      </c>
      <c r="N152">
        <f>ROUND(J152*F152*G152+K152*G152+L152*F152+M152,3)</f>
        <v/>
      </c>
      <c r="O152">
        <f>AND(N152&gt;=1.4,N152&lt;=13)</f>
        <v/>
      </c>
      <c r="P152">
        <f>IF(OR(N152&lt;1.4,N152&gt;13),"",IF(G152*1000&lt;=1170,IF(N152&lt;1.8,"1014",IF(N152&lt;2.9,"1018",IF(N152&lt;3.8,"1029",IF(N152&lt;5,"1038",IF(N152&lt;7,"1050",IF(N152&lt;9,"1070",IF(N152&lt;11,"1090","1110"))))))),IF(G152*1000&lt;=1570,IF(N152&lt;1.8,"",IF(N152&lt;2.9,"2018",IF(N152&lt;3.8,"2029",IF(N152&lt;5,"2038",IF(N152&lt;7,"2050",IF(N152&lt;9,"2070",IF(N152&lt;11,"2090","2110"))))))),IF(G152*1000&lt;=1700,IF(N152&lt;1.8,"",IF(N152&lt;2.9,"3018",IF(N152&lt;3.8,"3029",IF(N152&lt;5,"3038",IF(N152&lt;7,"3050",IF(N152&lt;9,"3070",IF(N152&lt;11,"3090","3110"))))))),""))))</f>
        <v/>
      </c>
      <c r="Q152">
        <f>AND(O152=TRUE,P152&lt;&gt;"")</f>
        <v/>
      </c>
      <c r="R152">
        <f>IF(G152*1000&lt;750,"なし","あり")</f>
        <v/>
      </c>
      <c r="S152">
        <f>IF(AND(O152=TRUE,Q152=TRUE),"設定可","BLOCK")</f>
        <v/>
      </c>
      <c r="T152" t="inlineStr">
        <is>
          <t>商品カタログ P194</t>
        </is>
      </c>
      <c r="U152" t="inlineStr">
        <is>
          <t>https://webcatalog.lixil.co.jp/iportal/CatalogDetail.do?catalogID=15191910000&amp;categoryID=1630000&amp;designID=newinter&amp;method=initial_screen&amp;position=18&amp;type=mc&amp;volumeID=LXL13001</t>
        </is>
      </c>
    </row>
    <row r="153">
      <c r="A153" t="inlineStr">
        <is>
          <t>WG-SL-00150</t>
        </is>
      </c>
      <c r="B153" t="inlineStr">
        <is>
          <t>SZ-SL-000962</t>
        </is>
      </c>
      <c r="C153" t="inlineStr">
        <is>
          <t>WT-SL-AGE-SAGE-FS</t>
        </is>
      </c>
      <c r="E153" t="inlineStr">
        <is>
          <t>06911</t>
        </is>
      </c>
      <c r="F153" t="n">
        <v>0.73</v>
      </c>
      <c r="G153" t="n">
        <v>1.17</v>
      </c>
      <c r="H153" t="inlineStr">
        <is>
          <t>GL-SL-006</t>
        </is>
      </c>
      <c r="I153" t="n">
        <v>8</v>
      </c>
      <c r="J153" t="n">
        <v>10.4</v>
      </c>
      <c r="K153" t="n">
        <v>-0.605</v>
      </c>
      <c r="L153" t="n">
        <v>-1.332</v>
      </c>
      <c r="M153" t="n">
        <v>0.399</v>
      </c>
      <c r="N153">
        <f>ROUND(J153*F153*G153+K153*G153+L153*F153+M153,3)</f>
        <v/>
      </c>
      <c r="O153">
        <f>AND(N153&gt;=1.4,N153&lt;=13)</f>
        <v/>
      </c>
      <c r="P153">
        <f>IF(OR(N153&lt;1.4,N153&gt;13),"",IF(G153*1000&lt;=1170,IF(N153&lt;1.8,"1014",IF(N153&lt;2.9,"1018",IF(N153&lt;3.8,"1029",IF(N153&lt;5,"1038",IF(N153&lt;7,"1050",IF(N153&lt;9,"1070",IF(N153&lt;11,"1090","1110"))))))),IF(G153*1000&lt;=1570,IF(N153&lt;1.8,"",IF(N153&lt;2.9,"2018",IF(N153&lt;3.8,"2029",IF(N153&lt;5,"2038",IF(N153&lt;7,"2050",IF(N153&lt;9,"2070",IF(N153&lt;11,"2090","2110"))))))),IF(G153*1000&lt;=1700,IF(N153&lt;1.8,"",IF(N153&lt;2.9,"3018",IF(N153&lt;3.8,"3029",IF(N153&lt;5,"3038",IF(N153&lt;7,"3050",IF(N153&lt;9,"3070",IF(N153&lt;11,"3090","3110"))))))),""))))</f>
        <v/>
      </c>
      <c r="Q153">
        <f>AND(O153=TRUE,P153&lt;&gt;"")</f>
        <v/>
      </c>
      <c r="R153">
        <f>IF(G153*1000&lt;750,"なし","あり")</f>
        <v/>
      </c>
      <c r="S153">
        <f>IF(AND(O153=TRUE,Q153=TRUE),"設定可","BLOCK")</f>
        <v/>
      </c>
      <c r="T153" t="inlineStr">
        <is>
          <t>商品カタログ P194</t>
        </is>
      </c>
      <c r="U153" t="inlineStr">
        <is>
          <t>https://webcatalog.lixil.co.jp/iportal/CatalogDetail.do?catalogID=15191910000&amp;categoryID=1630000&amp;designID=newinter&amp;method=initial_screen&amp;position=18&amp;type=mc&amp;volumeID=LXL13001</t>
        </is>
      </c>
    </row>
    <row r="154">
      <c r="A154" t="inlineStr">
        <is>
          <t>WG-SL-00151</t>
        </is>
      </c>
      <c r="B154" t="inlineStr">
        <is>
          <t>SZ-SL-000962</t>
        </is>
      </c>
      <c r="C154" t="inlineStr">
        <is>
          <t>WT-SL-AGE-SAGE-FS</t>
        </is>
      </c>
      <c r="E154" t="inlineStr">
        <is>
          <t>06911</t>
        </is>
      </c>
      <c r="F154" t="n">
        <v>0.73</v>
      </c>
      <c r="G154" t="n">
        <v>1.17</v>
      </c>
      <c r="H154" t="inlineStr">
        <is>
          <t>GL-SL-007</t>
        </is>
      </c>
      <c r="I154" t="n">
        <v>6</v>
      </c>
      <c r="J154" t="n">
        <v>7.8</v>
      </c>
      <c r="K154" t="n">
        <v>-0.355</v>
      </c>
      <c r="L154" t="n">
        <v>-0.664</v>
      </c>
      <c r="M154" t="n">
        <v>0.335</v>
      </c>
      <c r="N154">
        <f>ROUND(J154*F154*G154+K154*G154+L154*F154+M154,3)</f>
        <v/>
      </c>
      <c r="O154">
        <f>AND(N154&gt;=1.4,N154&lt;=13)</f>
        <v/>
      </c>
      <c r="P154">
        <f>IF(OR(N154&lt;1.4,N154&gt;13),"",IF(G154*1000&lt;=1170,IF(N154&lt;1.8,"1014",IF(N154&lt;2.9,"1018",IF(N154&lt;3.8,"1029",IF(N154&lt;5,"1038",IF(N154&lt;7,"1050",IF(N154&lt;9,"1070",IF(N154&lt;11,"1090","1110"))))))),IF(G154*1000&lt;=1570,IF(N154&lt;1.8,"",IF(N154&lt;2.9,"2018",IF(N154&lt;3.8,"2029",IF(N154&lt;5,"2038",IF(N154&lt;7,"2050",IF(N154&lt;9,"2070",IF(N154&lt;11,"2090","2110"))))))),IF(G154*1000&lt;=1700,IF(N154&lt;1.8,"",IF(N154&lt;2.9,"3018",IF(N154&lt;3.8,"3029",IF(N154&lt;5,"3038",IF(N154&lt;7,"3050",IF(N154&lt;9,"3070",IF(N154&lt;11,"3090","3110"))))))),""))))</f>
        <v/>
      </c>
      <c r="Q154">
        <f>AND(O154=TRUE,P154&lt;&gt;"")</f>
        <v/>
      </c>
      <c r="R154">
        <f>IF(G154*1000&lt;750,"なし","あり")</f>
        <v/>
      </c>
      <c r="S154">
        <f>IF(AND(O154=TRUE,Q154=TRUE),"設定可","BLOCK")</f>
        <v/>
      </c>
      <c r="T154" t="inlineStr">
        <is>
          <t>商品カタログ P194</t>
        </is>
      </c>
      <c r="U154" t="inlineStr">
        <is>
          <t>https://webcatalog.lixil.co.jp/iportal/CatalogDetail.do?catalogID=15191910000&amp;categoryID=1630000&amp;designID=newinter&amp;method=initial_screen&amp;position=18&amp;type=mc&amp;volumeID=LXL13001</t>
        </is>
      </c>
    </row>
    <row r="155">
      <c r="A155" t="inlineStr">
        <is>
          <t>WG-SL-00152</t>
        </is>
      </c>
      <c r="B155" t="inlineStr">
        <is>
          <t>SZ-SL-000962</t>
        </is>
      </c>
      <c r="C155" t="inlineStr">
        <is>
          <t>WT-SL-AGE-SAGE-FS</t>
        </is>
      </c>
      <c r="E155" t="inlineStr">
        <is>
          <t>06911</t>
        </is>
      </c>
      <c r="F155" t="n">
        <v>0.73</v>
      </c>
      <c r="G155" t="n">
        <v>1.17</v>
      </c>
      <c r="H155" t="inlineStr">
        <is>
          <t>GL-SL-008</t>
        </is>
      </c>
      <c r="I155" t="n">
        <v>7</v>
      </c>
      <c r="J155" t="n">
        <v>9.1</v>
      </c>
      <c r="K155" t="n">
        <v>-0.48</v>
      </c>
      <c r="L155" t="n">
        <v>-0.998</v>
      </c>
      <c r="M155" t="n">
        <v>0.367</v>
      </c>
      <c r="N155">
        <f>ROUND(J155*F155*G155+K155*G155+L155*F155+M155,3)</f>
        <v/>
      </c>
      <c r="O155">
        <f>AND(N155&gt;=1.4,N155&lt;=13)</f>
        <v/>
      </c>
      <c r="P155">
        <f>IF(OR(N155&lt;1.4,N155&gt;13),"",IF(G155*1000&lt;=1170,IF(N155&lt;1.8,"1014",IF(N155&lt;2.9,"1018",IF(N155&lt;3.8,"1029",IF(N155&lt;5,"1038",IF(N155&lt;7,"1050",IF(N155&lt;9,"1070",IF(N155&lt;11,"1090","1110"))))))),IF(G155*1000&lt;=1570,IF(N155&lt;1.8,"",IF(N155&lt;2.9,"2018",IF(N155&lt;3.8,"2029",IF(N155&lt;5,"2038",IF(N155&lt;7,"2050",IF(N155&lt;9,"2070",IF(N155&lt;11,"2090","2110"))))))),IF(G155*1000&lt;=1700,IF(N155&lt;1.8,"",IF(N155&lt;2.9,"3018",IF(N155&lt;3.8,"3029",IF(N155&lt;5,"3038",IF(N155&lt;7,"3050",IF(N155&lt;9,"3070",IF(N155&lt;11,"3090","3110"))))))),""))))</f>
        <v/>
      </c>
      <c r="Q155">
        <f>AND(O155=TRUE,P155&lt;&gt;"")</f>
        <v/>
      </c>
      <c r="R155">
        <f>IF(G155*1000&lt;750,"なし","あり")</f>
        <v/>
      </c>
      <c r="S155">
        <f>IF(AND(O155=TRUE,Q155=TRUE),"設定可","BLOCK")</f>
        <v/>
      </c>
      <c r="T155" t="inlineStr">
        <is>
          <t>商品カタログ P194</t>
        </is>
      </c>
      <c r="U155" t="inlineStr">
        <is>
          <t>https://webcatalog.lixil.co.jp/iportal/CatalogDetail.do?catalogID=15191910000&amp;categoryID=1630000&amp;designID=newinter&amp;method=initial_screen&amp;position=18&amp;type=mc&amp;volumeID=LXL13001</t>
        </is>
      </c>
    </row>
    <row r="156">
      <c r="A156" t="inlineStr">
        <is>
          <t>WG-SL-00153</t>
        </is>
      </c>
      <c r="B156" t="inlineStr">
        <is>
          <t>SZ-SL-000962</t>
        </is>
      </c>
      <c r="C156" t="inlineStr">
        <is>
          <t>WT-SL-AGE-SAGE-FS</t>
        </is>
      </c>
      <c r="E156" t="inlineStr">
        <is>
          <t>06911</t>
        </is>
      </c>
      <c r="F156" t="n">
        <v>0.73</v>
      </c>
      <c r="G156" t="n">
        <v>1.17</v>
      </c>
      <c r="H156" t="inlineStr">
        <is>
          <t>GL-SL-009</t>
        </is>
      </c>
      <c r="I156" t="n">
        <v>8</v>
      </c>
      <c r="J156" t="n">
        <v>10.4</v>
      </c>
      <c r="K156" t="n">
        <v>-0.605</v>
      </c>
      <c r="L156" t="n">
        <v>-1.332</v>
      </c>
      <c r="M156" t="n">
        <v>0.399</v>
      </c>
      <c r="N156">
        <f>ROUND(J156*F156*G156+K156*G156+L156*F156+M156,3)</f>
        <v/>
      </c>
      <c r="O156">
        <f>AND(N156&gt;=1.4,N156&lt;=13)</f>
        <v/>
      </c>
      <c r="P156">
        <f>IF(OR(N156&lt;1.4,N156&gt;13),"",IF(G156*1000&lt;=1170,IF(N156&lt;1.8,"1014",IF(N156&lt;2.9,"1018",IF(N156&lt;3.8,"1029",IF(N156&lt;5,"1038",IF(N156&lt;7,"1050",IF(N156&lt;9,"1070",IF(N156&lt;11,"1090","1110"))))))),IF(G156*1000&lt;=1570,IF(N156&lt;1.8,"",IF(N156&lt;2.9,"2018",IF(N156&lt;3.8,"2029",IF(N156&lt;5,"2038",IF(N156&lt;7,"2050",IF(N156&lt;9,"2070",IF(N156&lt;11,"2090","2110"))))))),IF(G156*1000&lt;=1700,IF(N156&lt;1.8,"",IF(N156&lt;2.9,"3018",IF(N156&lt;3.8,"3029",IF(N156&lt;5,"3038",IF(N156&lt;7,"3050",IF(N156&lt;9,"3070",IF(N156&lt;11,"3090","3110"))))))),""))))</f>
        <v/>
      </c>
      <c r="Q156">
        <f>AND(O156=TRUE,P156&lt;&gt;"")</f>
        <v/>
      </c>
      <c r="R156">
        <f>IF(G156*1000&lt;750,"なし","あり")</f>
        <v/>
      </c>
      <c r="S156">
        <f>IF(AND(O156=TRUE,Q156=TRUE),"設定可","BLOCK")</f>
        <v/>
      </c>
      <c r="T156" t="inlineStr">
        <is>
          <t>商品カタログ P194</t>
        </is>
      </c>
      <c r="U156" t="inlineStr">
        <is>
          <t>https://webcatalog.lixil.co.jp/iportal/CatalogDetail.do?catalogID=15191910000&amp;categoryID=1630000&amp;designID=newinter&amp;method=initial_screen&amp;position=18&amp;type=mc&amp;volumeID=LXL13001</t>
        </is>
      </c>
    </row>
    <row r="157">
      <c r="A157" t="inlineStr">
        <is>
          <t>WG-SL-00154</t>
        </is>
      </c>
      <c r="B157" t="inlineStr">
        <is>
          <t>SZ-SL-000963</t>
        </is>
      </c>
      <c r="C157" t="inlineStr">
        <is>
          <t>WT-SL-AGE-SAGE-FS</t>
        </is>
      </c>
      <c r="E157" t="inlineStr">
        <is>
          <t>06913</t>
        </is>
      </c>
      <c r="F157" t="n">
        <v>0.73</v>
      </c>
      <c r="G157" t="n">
        <v>1.37</v>
      </c>
      <c r="H157" t="inlineStr">
        <is>
          <t>GL-SL-001</t>
        </is>
      </c>
      <c r="I157" t="n">
        <v>6</v>
      </c>
      <c r="J157" t="n">
        <v>7.8</v>
      </c>
      <c r="K157" t="n">
        <v>-0.355</v>
      </c>
      <c r="L157" t="n">
        <v>-0.664</v>
      </c>
      <c r="M157" t="n">
        <v>0.335</v>
      </c>
      <c r="N157">
        <f>ROUND(J157*F157*G157+K157*G157+L157*F157+M157,3)</f>
        <v/>
      </c>
      <c r="O157">
        <f>AND(N157&gt;=1.4,N157&lt;=13)</f>
        <v/>
      </c>
      <c r="P157">
        <f>IF(OR(N157&lt;1.4,N157&gt;13),"",IF(G157*1000&lt;=1170,IF(N157&lt;1.8,"1014",IF(N157&lt;2.9,"1018",IF(N157&lt;3.8,"1029",IF(N157&lt;5,"1038",IF(N157&lt;7,"1050",IF(N157&lt;9,"1070",IF(N157&lt;11,"1090","1110"))))))),IF(G157*1000&lt;=1570,IF(N157&lt;1.8,"",IF(N157&lt;2.9,"2018",IF(N157&lt;3.8,"2029",IF(N157&lt;5,"2038",IF(N157&lt;7,"2050",IF(N157&lt;9,"2070",IF(N157&lt;11,"2090","2110"))))))),IF(G157*1000&lt;=1700,IF(N157&lt;1.8,"",IF(N157&lt;2.9,"3018",IF(N157&lt;3.8,"3029",IF(N157&lt;5,"3038",IF(N157&lt;7,"3050",IF(N157&lt;9,"3070",IF(N157&lt;11,"3090","3110"))))))),""))))</f>
        <v/>
      </c>
      <c r="Q157">
        <f>AND(O157=TRUE,P157&lt;&gt;"")</f>
        <v/>
      </c>
      <c r="R157">
        <f>IF(G157*1000&lt;750,"なし","あり")</f>
        <v/>
      </c>
      <c r="S157">
        <f>IF(AND(O157=TRUE,Q157=TRUE),"設定可","BLOCK")</f>
        <v/>
      </c>
      <c r="T157" t="inlineStr">
        <is>
          <t>商品カタログ P194</t>
        </is>
      </c>
      <c r="U157" t="inlineStr">
        <is>
          <t>https://webcatalog.lixil.co.jp/iportal/CatalogDetail.do?catalogID=15191910000&amp;categoryID=1630000&amp;designID=newinter&amp;method=initial_screen&amp;position=18&amp;type=mc&amp;volumeID=LXL13001</t>
        </is>
      </c>
    </row>
    <row r="158">
      <c r="A158" t="inlineStr">
        <is>
          <t>WG-SL-00155</t>
        </is>
      </c>
      <c r="B158" t="inlineStr">
        <is>
          <t>SZ-SL-000963</t>
        </is>
      </c>
      <c r="C158" t="inlineStr">
        <is>
          <t>WT-SL-AGE-SAGE-FS</t>
        </is>
      </c>
      <c r="E158" t="inlineStr">
        <is>
          <t>06913</t>
        </is>
      </c>
      <c r="F158" t="n">
        <v>0.73</v>
      </c>
      <c r="G158" t="n">
        <v>1.37</v>
      </c>
      <c r="H158" t="inlineStr">
        <is>
          <t>GL-SL-002</t>
        </is>
      </c>
      <c r="I158" t="n">
        <v>7</v>
      </c>
      <c r="J158" t="n">
        <v>9.1</v>
      </c>
      <c r="K158" t="n">
        <v>-0.48</v>
      </c>
      <c r="L158" t="n">
        <v>-0.998</v>
      </c>
      <c r="M158" t="n">
        <v>0.367</v>
      </c>
      <c r="N158">
        <f>ROUND(J158*F158*G158+K158*G158+L158*F158+M158,3)</f>
        <v/>
      </c>
      <c r="O158">
        <f>AND(N158&gt;=1.4,N158&lt;=13)</f>
        <v/>
      </c>
      <c r="P158">
        <f>IF(OR(N158&lt;1.4,N158&gt;13),"",IF(G158*1000&lt;=1170,IF(N158&lt;1.8,"1014",IF(N158&lt;2.9,"1018",IF(N158&lt;3.8,"1029",IF(N158&lt;5,"1038",IF(N158&lt;7,"1050",IF(N158&lt;9,"1070",IF(N158&lt;11,"1090","1110"))))))),IF(G158*1000&lt;=1570,IF(N158&lt;1.8,"",IF(N158&lt;2.9,"2018",IF(N158&lt;3.8,"2029",IF(N158&lt;5,"2038",IF(N158&lt;7,"2050",IF(N158&lt;9,"2070",IF(N158&lt;11,"2090","2110"))))))),IF(G158*1000&lt;=1700,IF(N158&lt;1.8,"",IF(N158&lt;2.9,"3018",IF(N158&lt;3.8,"3029",IF(N158&lt;5,"3038",IF(N158&lt;7,"3050",IF(N158&lt;9,"3070",IF(N158&lt;11,"3090","3110"))))))),""))))</f>
        <v/>
      </c>
      <c r="Q158">
        <f>AND(O158=TRUE,P158&lt;&gt;"")</f>
        <v/>
      </c>
      <c r="R158">
        <f>IF(G158*1000&lt;750,"なし","あり")</f>
        <v/>
      </c>
      <c r="S158">
        <f>IF(AND(O158=TRUE,Q158=TRUE),"設定可","BLOCK")</f>
        <v/>
      </c>
      <c r="T158" t="inlineStr">
        <is>
          <t>商品カタログ P194</t>
        </is>
      </c>
      <c r="U158" t="inlineStr">
        <is>
          <t>https://webcatalog.lixil.co.jp/iportal/CatalogDetail.do?catalogID=15191910000&amp;categoryID=1630000&amp;designID=newinter&amp;method=initial_screen&amp;position=18&amp;type=mc&amp;volumeID=LXL13001</t>
        </is>
      </c>
    </row>
    <row r="159">
      <c r="A159" t="inlineStr">
        <is>
          <t>WG-SL-00156</t>
        </is>
      </c>
      <c r="B159" t="inlineStr">
        <is>
          <t>SZ-SL-000963</t>
        </is>
      </c>
      <c r="C159" t="inlineStr">
        <is>
          <t>WT-SL-AGE-SAGE-FS</t>
        </is>
      </c>
      <c r="E159" t="inlineStr">
        <is>
          <t>06913</t>
        </is>
      </c>
      <c r="F159" t="n">
        <v>0.73</v>
      </c>
      <c r="G159" t="n">
        <v>1.37</v>
      </c>
      <c r="H159" t="inlineStr">
        <is>
          <t>GL-SL-003</t>
        </is>
      </c>
      <c r="I159" t="n">
        <v>8</v>
      </c>
      <c r="J159" t="n">
        <v>10.4</v>
      </c>
      <c r="K159" t="n">
        <v>-0.605</v>
      </c>
      <c r="L159" t="n">
        <v>-1.332</v>
      </c>
      <c r="M159" t="n">
        <v>0.399</v>
      </c>
      <c r="N159">
        <f>ROUND(J159*F159*G159+K159*G159+L159*F159+M159,3)</f>
        <v/>
      </c>
      <c r="O159">
        <f>AND(N159&gt;=1.4,N159&lt;=13)</f>
        <v/>
      </c>
      <c r="P159">
        <f>IF(OR(N159&lt;1.4,N159&gt;13),"",IF(G159*1000&lt;=1170,IF(N159&lt;1.8,"1014",IF(N159&lt;2.9,"1018",IF(N159&lt;3.8,"1029",IF(N159&lt;5,"1038",IF(N159&lt;7,"1050",IF(N159&lt;9,"1070",IF(N159&lt;11,"1090","1110"))))))),IF(G159*1000&lt;=1570,IF(N159&lt;1.8,"",IF(N159&lt;2.9,"2018",IF(N159&lt;3.8,"2029",IF(N159&lt;5,"2038",IF(N159&lt;7,"2050",IF(N159&lt;9,"2070",IF(N159&lt;11,"2090","2110"))))))),IF(G159*1000&lt;=1700,IF(N159&lt;1.8,"",IF(N159&lt;2.9,"3018",IF(N159&lt;3.8,"3029",IF(N159&lt;5,"3038",IF(N159&lt;7,"3050",IF(N159&lt;9,"3070",IF(N159&lt;11,"3090","3110"))))))),""))))</f>
        <v/>
      </c>
      <c r="Q159">
        <f>AND(O159=TRUE,P159&lt;&gt;"")</f>
        <v/>
      </c>
      <c r="R159">
        <f>IF(G159*1000&lt;750,"なし","あり")</f>
        <v/>
      </c>
      <c r="S159">
        <f>IF(AND(O159=TRUE,Q159=TRUE),"設定可","BLOCK")</f>
        <v/>
      </c>
      <c r="T159" t="inlineStr">
        <is>
          <t>商品カタログ P194</t>
        </is>
      </c>
      <c r="U159" t="inlineStr">
        <is>
          <t>https://webcatalog.lixil.co.jp/iportal/CatalogDetail.do?catalogID=15191910000&amp;categoryID=1630000&amp;designID=newinter&amp;method=initial_screen&amp;position=18&amp;type=mc&amp;volumeID=LXL13001</t>
        </is>
      </c>
    </row>
    <row r="160">
      <c r="A160" t="inlineStr">
        <is>
          <t>WG-SL-00157</t>
        </is>
      </c>
      <c r="B160" t="inlineStr">
        <is>
          <t>SZ-SL-000963</t>
        </is>
      </c>
      <c r="C160" t="inlineStr">
        <is>
          <t>WT-SL-AGE-SAGE-FS</t>
        </is>
      </c>
      <c r="E160" t="inlineStr">
        <is>
          <t>06913</t>
        </is>
      </c>
      <c r="F160" t="n">
        <v>0.73</v>
      </c>
      <c r="G160" t="n">
        <v>1.37</v>
      </c>
      <c r="H160" t="inlineStr">
        <is>
          <t>GL-SL-004</t>
        </is>
      </c>
      <c r="I160" t="n">
        <v>6</v>
      </c>
      <c r="J160" t="n">
        <v>7.8</v>
      </c>
      <c r="K160" t="n">
        <v>-0.355</v>
      </c>
      <c r="L160" t="n">
        <v>-0.664</v>
      </c>
      <c r="M160" t="n">
        <v>0.335</v>
      </c>
      <c r="N160">
        <f>ROUND(J160*F160*G160+K160*G160+L160*F160+M160,3)</f>
        <v/>
      </c>
      <c r="O160">
        <f>AND(N160&gt;=1.4,N160&lt;=13)</f>
        <v/>
      </c>
      <c r="P160">
        <f>IF(OR(N160&lt;1.4,N160&gt;13),"",IF(G160*1000&lt;=1170,IF(N160&lt;1.8,"1014",IF(N160&lt;2.9,"1018",IF(N160&lt;3.8,"1029",IF(N160&lt;5,"1038",IF(N160&lt;7,"1050",IF(N160&lt;9,"1070",IF(N160&lt;11,"1090","1110"))))))),IF(G160*1000&lt;=1570,IF(N160&lt;1.8,"",IF(N160&lt;2.9,"2018",IF(N160&lt;3.8,"2029",IF(N160&lt;5,"2038",IF(N160&lt;7,"2050",IF(N160&lt;9,"2070",IF(N160&lt;11,"2090","2110"))))))),IF(G160*1000&lt;=1700,IF(N160&lt;1.8,"",IF(N160&lt;2.9,"3018",IF(N160&lt;3.8,"3029",IF(N160&lt;5,"3038",IF(N160&lt;7,"3050",IF(N160&lt;9,"3070",IF(N160&lt;11,"3090","3110"))))))),""))))</f>
        <v/>
      </c>
      <c r="Q160">
        <f>AND(O160=TRUE,P160&lt;&gt;"")</f>
        <v/>
      </c>
      <c r="R160">
        <f>IF(G160*1000&lt;750,"なし","あり")</f>
        <v/>
      </c>
      <c r="S160">
        <f>IF(AND(O160=TRUE,Q160=TRUE),"設定可","BLOCK")</f>
        <v/>
      </c>
      <c r="T160" t="inlineStr">
        <is>
          <t>商品カタログ P194</t>
        </is>
      </c>
      <c r="U160" t="inlineStr">
        <is>
          <t>https://webcatalog.lixil.co.jp/iportal/CatalogDetail.do?catalogID=15191910000&amp;categoryID=1630000&amp;designID=newinter&amp;method=initial_screen&amp;position=18&amp;type=mc&amp;volumeID=LXL13001</t>
        </is>
      </c>
    </row>
    <row r="161">
      <c r="A161" t="inlineStr">
        <is>
          <t>WG-SL-00158</t>
        </is>
      </c>
      <c r="B161" t="inlineStr">
        <is>
          <t>SZ-SL-000963</t>
        </is>
      </c>
      <c r="C161" t="inlineStr">
        <is>
          <t>WT-SL-AGE-SAGE-FS</t>
        </is>
      </c>
      <c r="E161" t="inlineStr">
        <is>
          <t>06913</t>
        </is>
      </c>
      <c r="F161" t="n">
        <v>0.73</v>
      </c>
      <c r="G161" t="n">
        <v>1.37</v>
      </c>
      <c r="H161" t="inlineStr">
        <is>
          <t>GL-SL-005</t>
        </is>
      </c>
      <c r="I161" t="n">
        <v>7</v>
      </c>
      <c r="J161" t="n">
        <v>9.1</v>
      </c>
      <c r="K161" t="n">
        <v>-0.48</v>
      </c>
      <c r="L161" t="n">
        <v>-0.998</v>
      </c>
      <c r="M161" t="n">
        <v>0.367</v>
      </c>
      <c r="N161">
        <f>ROUND(J161*F161*G161+K161*G161+L161*F161+M161,3)</f>
        <v/>
      </c>
      <c r="O161">
        <f>AND(N161&gt;=1.4,N161&lt;=13)</f>
        <v/>
      </c>
      <c r="P161">
        <f>IF(OR(N161&lt;1.4,N161&gt;13),"",IF(G161*1000&lt;=1170,IF(N161&lt;1.8,"1014",IF(N161&lt;2.9,"1018",IF(N161&lt;3.8,"1029",IF(N161&lt;5,"1038",IF(N161&lt;7,"1050",IF(N161&lt;9,"1070",IF(N161&lt;11,"1090","1110"))))))),IF(G161*1000&lt;=1570,IF(N161&lt;1.8,"",IF(N161&lt;2.9,"2018",IF(N161&lt;3.8,"2029",IF(N161&lt;5,"2038",IF(N161&lt;7,"2050",IF(N161&lt;9,"2070",IF(N161&lt;11,"2090","2110"))))))),IF(G161*1000&lt;=1700,IF(N161&lt;1.8,"",IF(N161&lt;2.9,"3018",IF(N161&lt;3.8,"3029",IF(N161&lt;5,"3038",IF(N161&lt;7,"3050",IF(N161&lt;9,"3070",IF(N161&lt;11,"3090","3110"))))))),""))))</f>
        <v/>
      </c>
      <c r="Q161">
        <f>AND(O161=TRUE,P161&lt;&gt;"")</f>
        <v/>
      </c>
      <c r="R161">
        <f>IF(G161*1000&lt;750,"なし","あり")</f>
        <v/>
      </c>
      <c r="S161">
        <f>IF(AND(O161=TRUE,Q161=TRUE),"設定可","BLOCK")</f>
        <v/>
      </c>
      <c r="T161" t="inlineStr">
        <is>
          <t>商品カタログ P194</t>
        </is>
      </c>
      <c r="U161" t="inlineStr">
        <is>
          <t>https://webcatalog.lixil.co.jp/iportal/CatalogDetail.do?catalogID=15191910000&amp;categoryID=1630000&amp;designID=newinter&amp;method=initial_screen&amp;position=18&amp;type=mc&amp;volumeID=LXL13001</t>
        </is>
      </c>
    </row>
    <row r="162">
      <c r="A162" t="inlineStr">
        <is>
          <t>WG-SL-00159</t>
        </is>
      </c>
      <c r="B162" t="inlineStr">
        <is>
          <t>SZ-SL-000963</t>
        </is>
      </c>
      <c r="C162" t="inlineStr">
        <is>
          <t>WT-SL-AGE-SAGE-FS</t>
        </is>
      </c>
      <c r="E162" t="inlineStr">
        <is>
          <t>06913</t>
        </is>
      </c>
      <c r="F162" t="n">
        <v>0.73</v>
      </c>
      <c r="G162" t="n">
        <v>1.37</v>
      </c>
      <c r="H162" t="inlineStr">
        <is>
          <t>GL-SL-006</t>
        </is>
      </c>
      <c r="I162" t="n">
        <v>8</v>
      </c>
      <c r="J162" t="n">
        <v>10.4</v>
      </c>
      <c r="K162" t="n">
        <v>-0.605</v>
      </c>
      <c r="L162" t="n">
        <v>-1.332</v>
      </c>
      <c r="M162" t="n">
        <v>0.399</v>
      </c>
      <c r="N162">
        <f>ROUND(J162*F162*G162+K162*G162+L162*F162+M162,3)</f>
        <v/>
      </c>
      <c r="O162">
        <f>AND(N162&gt;=1.4,N162&lt;=13)</f>
        <v/>
      </c>
      <c r="P162">
        <f>IF(OR(N162&lt;1.4,N162&gt;13),"",IF(G162*1000&lt;=1170,IF(N162&lt;1.8,"1014",IF(N162&lt;2.9,"1018",IF(N162&lt;3.8,"1029",IF(N162&lt;5,"1038",IF(N162&lt;7,"1050",IF(N162&lt;9,"1070",IF(N162&lt;11,"1090","1110"))))))),IF(G162*1000&lt;=1570,IF(N162&lt;1.8,"",IF(N162&lt;2.9,"2018",IF(N162&lt;3.8,"2029",IF(N162&lt;5,"2038",IF(N162&lt;7,"2050",IF(N162&lt;9,"2070",IF(N162&lt;11,"2090","2110"))))))),IF(G162*1000&lt;=1700,IF(N162&lt;1.8,"",IF(N162&lt;2.9,"3018",IF(N162&lt;3.8,"3029",IF(N162&lt;5,"3038",IF(N162&lt;7,"3050",IF(N162&lt;9,"3070",IF(N162&lt;11,"3090","3110"))))))),""))))</f>
        <v/>
      </c>
      <c r="Q162">
        <f>AND(O162=TRUE,P162&lt;&gt;"")</f>
        <v/>
      </c>
      <c r="R162">
        <f>IF(G162*1000&lt;750,"なし","あり")</f>
        <v/>
      </c>
      <c r="S162">
        <f>IF(AND(O162=TRUE,Q162=TRUE),"設定可","BLOCK")</f>
        <v/>
      </c>
      <c r="T162" t="inlineStr">
        <is>
          <t>商品カタログ P194</t>
        </is>
      </c>
      <c r="U162" t="inlineStr">
        <is>
          <t>https://webcatalog.lixil.co.jp/iportal/CatalogDetail.do?catalogID=15191910000&amp;categoryID=1630000&amp;designID=newinter&amp;method=initial_screen&amp;position=18&amp;type=mc&amp;volumeID=LXL13001</t>
        </is>
      </c>
    </row>
    <row r="163">
      <c r="A163" t="inlineStr">
        <is>
          <t>WG-SL-00160</t>
        </is>
      </c>
      <c r="B163" t="inlineStr">
        <is>
          <t>SZ-SL-000963</t>
        </is>
      </c>
      <c r="C163" t="inlineStr">
        <is>
          <t>WT-SL-AGE-SAGE-FS</t>
        </is>
      </c>
      <c r="E163" t="inlineStr">
        <is>
          <t>06913</t>
        </is>
      </c>
      <c r="F163" t="n">
        <v>0.73</v>
      </c>
      <c r="G163" t="n">
        <v>1.37</v>
      </c>
      <c r="H163" t="inlineStr">
        <is>
          <t>GL-SL-007</t>
        </is>
      </c>
      <c r="I163" t="n">
        <v>6</v>
      </c>
      <c r="J163" t="n">
        <v>7.8</v>
      </c>
      <c r="K163" t="n">
        <v>-0.355</v>
      </c>
      <c r="L163" t="n">
        <v>-0.664</v>
      </c>
      <c r="M163" t="n">
        <v>0.335</v>
      </c>
      <c r="N163">
        <f>ROUND(J163*F163*G163+K163*G163+L163*F163+M163,3)</f>
        <v/>
      </c>
      <c r="O163">
        <f>AND(N163&gt;=1.4,N163&lt;=13)</f>
        <v/>
      </c>
      <c r="P163">
        <f>IF(OR(N163&lt;1.4,N163&gt;13),"",IF(G163*1000&lt;=1170,IF(N163&lt;1.8,"1014",IF(N163&lt;2.9,"1018",IF(N163&lt;3.8,"1029",IF(N163&lt;5,"1038",IF(N163&lt;7,"1050",IF(N163&lt;9,"1070",IF(N163&lt;11,"1090","1110"))))))),IF(G163*1000&lt;=1570,IF(N163&lt;1.8,"",IF(N163&lt;2.9,"2018",IF(N163&lt;3.8,"2029",IF(N163&lt;5,"2038",IF(N163&lt;7,"2050",IF(N163&lt;9,"2070",IF(N163&lt;11,"2090","2110"))))))),IF(G163*1000&lt;=1700,IF(N163&lt;1.8,"",IF(N163&lt;2.9,"3018",IF(N163&lt;3.8,"3029",IF(N163&lt;5,"3038",IF(N163&lt;7,"3050",IF(N163&lt;9,"3070",IF(N163&lt;11,"3090","3110"))))))),""))))</f>
        <v/>
      </c>
      <c r="Q163">
        <f>AND(O163=TRUE,P163&lt;&gt;"")</f>
        <v/>
      </c>
      <c r="R163">
        <f>IF(G163*1000&lt;750,"なし","あり")</f>
        <v/>
      </c>
      <c r="S163">
        <f>IF(AND(O163=TRUE,Q163=TRUE),"設定可","BLOCK")</f>
        <v/>
      </c>
      <c r="T163" t="inlineStr">
        <is>
          <t>商品カタログ P194</t>
        </is>
      </c>
      <c r="U163" t="inlineStr">
        <is>
          <t>https://webcatalog.lixil.co.jp/iportal/CatalogDetail.do?catalogID=15191910000&amp;categoryID=1630000&amp;designID=newinter&amp;method=initial_screen&amp;position=18&amp;type=mc&amp;volumeID=LXL13001</t>
        </is>
      </c>
    </row>
    <row r="164">
      <c r="A164" t="inlineStr">
        <is>
          <t>WG-SL-00161</t>
        </is>
      </c>
      <c r="B164" t="inlineStr">
        <is>
          <t>SZ-SL-000963</t>
        </is>
      </c>
      <c r="C164" t="inlineStr">
        <is>
          <t>WT-SL-AGE-SAGE-FS</t>
        </is>
      </c>
      <c r="E164" t="inlineStr">
        <is>
          <t>06913</t>
        </is>
      </c>
      <c r="F164" t="n">
        <v>0.73</v>
      </c>
      <c r="G164" t="n">
        <v>1.37</v>
      </c>
      <c r="H164" t="inlineStr">
        <is>
          <t>GL-SL-008</t>
        </is>
      </c>
      <c r="I164" t="n">
        <v>7</v>
      </c>
      <c r="J164" t="n">
        <v>9.1</v>
      </c>
      <c r="K164" t="n">
        <v>-0.48</v>
      </c>
      <c r="L164" t="n">
        <v>-0.998</v>
      </c>
      <c r="M164" t="n">
        <v>0.367</v>
      </c>
      <c r="N164">
        <f>ROUND(J164*F164*G164+K164*G164+L164*F164+M164,3)</f>
        <v/>
      </c>
      <c r="O164">
        <f>AND(N164&gt;=1.4,N164&lt;=13)</f>
        <v/>
      </c>
      <c r="P164">
        <f>IF(OR(N164&lt;1.4,N164&gt;13),"",IF(G164*1000&lt;=1170,IF(N164&lt;1.8,"1014",IF(N164&lt;2.9,"1018",IF(N164&lt;3.8,"1029",IF(N164&lt;5,"1038",IF(N164&lt;7,"1050",IF(N164&lt;9,"1070",IF(N164&lt;11,"1090","1110"))))))),IF(G164*1000&lt;=1570,IF(N164&lt;1.8,"",IF(N164&lt;2.9,"2018",IF(N164&lt;3.8,"2029",IF(N164&lt;5,"2038",IF(N164&lt;7,"2050",IF(N164&lt;9,"2070",IF(N164&lt;11,"2090","2110"))))))),IF(G164*1000&lt;=1700,IF(N164&lt;1.8,"",IF(N164&lt;2.9,"3018",IF(N164&lt;3.8,"3029",IF(N164&lt;5,"3038",IF(N164&lt;7,"3050",IF(N164&lt;9,"3070",IF(N164&lt;11,"3090","3110"))))))),""))))</f>
        <v/>
      </c>
      <c r="Q164">
        <f>AND(O164=TRUE,P164&lt;&gt;"")</f>
        <v/>
      </c>
      <c r="R164">
        <f>IF(G164*1000&lt;750,"なし","あり")</f>
        <v/>
      </c>
      <c r="S164">
        <f>IF(AND(O164=TRUE,Q164=TRUE),"設定可","BLOCK")</f>
        <v/>
      </c>
      <c r="T164" t="inlineStr">
        <is>
          <t>商品カタログ P194</t>
        </is>
      </c>
      <c r="U164" t="inlineStr">
        <is>
          <t>https://webcatalog.lixil.co.jp/iportal/CatalogDetail.do?catalogID=15191910000&amp;categoryID=1630000&amp;designID=newinter&amp;method=initial_screen&amp;position=18&amp;type=mc&amp;volumeID=LXL13001</t>
        </is>
      </c>
    </row>
    <row r="165">
      <c r="A165" t="inlineStr">
        <is>
          <t>WG-SL-00162</t>
        </is>
      </c>
      <c r="B165" t="inlineStr">
        <is>
          <t>SZ-SL-000963</t>
        </is>
      </c>
      <c r="C165" t="inlineStr">
        <is>
          <t>WT-SL-AGE-SAGE-FS</t>
        </is>
      </c>
      <c r="E165" t="inlineStr">
        <is>
          <t>06913</t>
        </is>
      </c>
      <c r="F165" t="n">
        <v>0.73</v>
      </c>
      <c r="G165" t="n">
        <v>1.37</v>
      </c>
      <c r="H165" t="inlineStr">
        <is>
          <t>GL-SL-009</t>
        </is>
      </c>
      <c r="I165" t="n">
        <v>8</v>
      </c>
      <c r="J165" t="n">
        <v>10.4</v>
      </c>
      <c r="K165" t="n">
        <v>-0.605</v>
      </c>
      <c r="L165" t="n">
        <v>-1.332</v>
      </c>
      <c r="M165" t="n">
        <v>0.399</v>
      </c>
      <c r="N165">
        <f>ROUND(J165*F165*G165+K165*G165+L165*F165+M165,3)</f>
        <v/>
      </c>
      <c r="O165">
        <f>AND(N165&gt;=1.4,N165&lt;=13)</f>
        <v/>
      </c>
      <c r="P165">
        <f>IF(OR(N165&lt;1.4,N165&gt;13),"",IF(G165*1000&lt;=1170,IF(N165&lt;1.8,"1014",IF(N165&lt;2.9,"1018",IF(N165&lt;3.8,"1029",IF(N165&lt;5,"1038",IF(N165&lt;7,"1050",IF(N165&lt;9,"1070",IF(N165&lt;11,"1090","1110"))))))),IF(G165*1000&lt;=1570,IF(N165&lt;1.8,"",IF(N165&lt;2.9,"2018",IF(N165&lt;3.8,"2029",IF(N165&lt;5,"2038",IF(N165&lt;7,"2050",IF(N165&lt;9,"2070",IF(N165&lt;11,"2090","2110"))))))),IF(G165*1000&lt;=1700,IF(N165&lt;1.8,"",IF(N165&lt;2.9,"3018",IF(N165&lt;3.8,"3029",IF(N165&lt;5,"3038",IF(N165&lt;7,"3050",IF(N165&lt;9,"3070",IF(N165&lt;11,"3090","3110"))))))),""))))</f>
        <v/>
      </c>
      <c r="Q165">
        <f>AND(O165=TRUE,P165&lt;&gt;"")</f>
        <v/>
      </c>
      <c r="R165">
        <f>IF(G165*1000&lt;750,"なし","あり")</f>
        <v/>
      </c>
      <c r="S165">
        <f>IF(AND(O165=TRUE,Q165=TRUE),"設定可","BLOCK")</f>
        <v/>
      </c>
      <c r="T165" t="inlineStr">
        <is>
          <t>商品カタログ P194</t>
        </is>
      </c>
      <c r="U165" t="inlineStr">
        <is>
          <t>https://webcatalog.lixil.co.jp/iportal/CatalogDetail.do?catalogID=15191910000&amp;categoryID=1630000&amp;designID=newinter&amp;method=initial_screen&amp;position=18&amp;type=mc&amp;volumeID=LXL13001</t>
        </is>
      </c>
    </row>
    <row r="166">
      <c r="A166" t="inlineStr">
        <is>
          <t>WG-SL-00163</t>
        </is>
      </c>
      <c r="B166" t="inlineStr">
        <is>
          <t>SZ-SL-000964</t>
        </is>
      </c>
      <c r="C166" t="inlineStr">
        <is>
          <t>WT-SL-AGE-SAGE-FS</t>
        </is>
      </c>
      <c r="E166" t="inlineStr">
        <is>
          <t>06915</t>
        </is>
      </c>
      <c r="F166" t="n">
        <v>0.73</v>
      </c>
      <c r="G166" t="n">
        <v>1.57</v>
      </c>
      <c r="H166" t="inlineStr">
        <is>
          <t>GL-SL-001</t>
        </is>
      </c>
      <c r="I166" t="n">
        <v>6</v>
      </c>
      <c r="J166" t="n">
        <v>7.8</v>
      </c>
      <c r="K166" t="n">
        <v>-0.355</v>
      </c>
      <c r="L166" t="n">
        <v>-0.664</v>
      </c>
      <c r="M166" t="n">
        <v>0.335</v>
      </c>
      <c r="N166">
        <f>ROUND(J166*F166*G166+K166*G166+L166*F166+M166,3)</f>
        <v/>
      </c>
      <c r="O166">
        <f>AND(N166&gt;=1.4,N166&lt;=13)</f>
        <v/>
      </c>
      <c r="P166">
        <f>IF(OR(N166&lt;1.4,N166&gt;13),"",IF(G166*1000&lt;=1170,IF(N166&lt;1.8,"1014",IF(N166&lt;2.9,"1018",IF(N166&lt;3.8,"1029",IF(N166&lt;5,"1038",IF(N166&lt;7,"1050",IF(N166&lt;9,"1070",IF(N166&lt;11,"1090","1110"))))))),IF(G166*1000&lt;=1570,IF(N166&lt;1.8,"",IF(N166&lt;2.9,"2018",IF(N166&lt;3.8,"2029",IF(N166&lt;5,"2038",IF(N166&lt;7,"2050",IF(N166&lt;9,"2070",IF(N166&lt;11,"2090","2110"))))))),IF(G166*1000&lt;=1700,IF(N166&lt;1.8,"",IF(N166&lt;2.9,"3018",IF(N166&lt;3.8,"3029",IF(N166&lt;5,"3038",IF(N166&lt;7,"3050",IF(N166&lt;9,"3070",IF(N166&lt;11,"3090","3110"))))))),""))))</f>
        <v/>
      </c>
      <c r="Q166">
        <f>AND(O166=TRUE,P166&lt;&gt;"")</f>
        <v/>
      </c>
      <c r="R166">
        <f>IF(G166*1000&lt;750,"なし","あり")</f>
        <v/>
      </c>
      <c r="S166">
        <f>IF(AND(O166=TRUE,Q166=TRUE),"設定可","BLOCK")</f>
        <v/>
      </c>
      <c r="T166" t="inlineStr">
        <is>
          <t>商品カタログ P194</t>
        </is>
      </c>
      <c r="U166" t="inlineStr">
        <is>
          <t>https://webcatalog.lixil.co.jp/iportal/CatalogDetail.do?catalogID=15191910000&amp;categoryID=1630000&amp;designID=newinter&amp;method=initial_screen&amp;position=18&amp;type=mc&amp;volumeID=LXL13001</t>
        </is>
      </c>
    </row>
    <row r="167">
      <c r="A167" t="inlineStr">
        <is>
          <t>WG-SL-00164</t>
        </is>
      </c>
      <c r="B167" t="inlineStr">
        <is>
          <t>SZ-SL-000964</t>
        </is>
      </c>
      <c r="C167" t="inlineStr">
        <is>
          <t>WT-SL-AGE-SAGE-FS</t>
        </is>
      </c>
      <c r="E167" t="inlineStr">
        <is>
          <t>06915</t>
        </is>
      </c>
      <c r="F167" t="n">
        <v>0.73</v>
      </c>
      <c r="G167" t="n">
        <v>1.57</v>
      </c>
      <c r="H167" t="inlineStr">
        <is>
          <t>GL-SL-002</t>
        </is>
      </c>
      <c r="I167" t="n">
        <v>7</v>
      </c>
      <c r="J167" t="n">
        <v>9.1</v>
      </c>
      <c r="K167" t="n">
        <v>-0.48</v>
      </c>
      <c r="L167" t="n">
        <v>-0.998</v>
      </c>
      <c r="M167" t="n">
        <v>0.367</v>
      </c>
      <c r="N167">
        <f>ROUND(J167*F167*G167+K167*G167+L167*F167+M167,3)</f>
        <v/>
      </c>
      <c r="O167">
        <f>AND(N167&gt;=1.4,N167&lt;=13)</f>
        <v/>
      </c>
      <c r="P167">
        <f>IF(OR(N167&lt;1.4,N167&gt;13),"",IF(G167*1000&lt;=1170,IF(N167&lt;1.8,"1014",IF(N167&lt;2.9,"1018",IF(N167&lt;3.8,"1029",IF(N167&lt;5,"1038",IF(N167&lt;7,"1050",IF(N167&lt;9,"1070",IF(N167&lt;11,"1090","1110"))))))),IF(G167*1000&lt;=1570,IF(N167&lt;1.8,"",IF(N167&lt;2.9,"2018",IF(N167&lt;3.8,"2029",IF(N167&lt;5,"2038",IF(N167&lt;7,"2050",IF(N167&lt;9,"2070",IF(N167&lt;11,"2090","2110"))))))),IF(G167*1000&lt;=1700,IF(N167&lt;1.8,"",IF(N167&lt;2.9,"3018",IF(N167&lt;3.8,"3029",IF(N167&lt;5,"3038",IF(N167&lt;7,"3050",IF(N167&lt;9,"3070",IF(N167&lt;11,"3090","3110"))))))),""))))</f>
        <v/>
      </c>
      <c r="Q167">
        <f>AND(O167=TRUE,P167&lt;&gt;"")</f>
        <v/>
      </c>
      <c r="R167">
        <f>IF(G167*1000&lt;750,"なし","あり")</f>
        <v/>
      </c>
      <c r="S167">
        <f>IF(AND(O167=TRUE,Q167=TRUE),"設定可","BLOCK")</f>
        <v/>
      </c>
      <c r="T167" t="inlineStr">
        <is>
          <t>商品カタログ P194</t>
        </is>
      </c>
      <c r="U167" t="inlineStr">
        <is>
          <t>https://webcatalog.lixil.co.jp/iportal/CatalogDetail.do?catalogID=15191910000&amp;categoryID=1630000&amp;designID=newinter&amp;method=initial_screen&amp;position=18&amp;type=mc&amp;volumeID=LXL13001</t>
        </is>
      </c>
    </row>
    <row r="168">
      <c r="A168" t="inlineStr">
        <is>
          <t>WG-SL-00165</t>
        </is>
      </c>
      <c r="B168" t="inlineStr">
        <is>
          <t>SZ-SL-000964</t>
        </is>
      </c>
      <c r="C168" t="inlineStr">
        <is>
          <t>WT-SL-AGE-SAGE-FS</t>
        </is>
      </c>
      <c r="E168" t="inlineStr">
        <is>
          <t>06915</t>
        </is>
      </c>
      <c r="F168" t="n">
        <v>0.73</v>
      </c>
      <c r="G168" t="n">
        <v>1.57</v>
      </c>
      <c r="H168" t="inlineStr">
        <is>
          <t>GL-SL-003</t>
        </is>
      </c>
      <c r="I168" t="n">
        <v>8</v>
      </c>
      <c r="J168" t="n">
        <v>10.4</v>
      </c>
      <c r="K168" t="n">
        <v>-0.605</v>
      </c>
      <c r="L168" t="n">
        <v>-1.332</v>
      </c>
      <c r="M168" t="n">
        <v>0.399</v>
      </c>
      <c r="N168">
        <f>ROUND(J168*F168*G168+K168*G168+L168*F168+M168,3)</f>
        <v/>
      </c>
      <c r="O168">
        <f>AND(N168&gt;=1.4,N168&lt;=13)</f>
        <v/>
      </c>
      <c r="P168">
        <f>IF(OR(N168&lt;1.4,N168&gt;13),"",IF(G168*1000&lt;=1170,IF(N168&lt;1.8,"1014",IF(N168&lt;2.9,"1018",IF(N168&lt;3.8,"1029",IF(N168&lt;5,"1038",IF(N168&lt;7,"1050",IF(N168&lt;9,"1070",IF(N168&lt;11,"1090","1110"))))))),IF(G168*1000&lt;=1570,IF(N168&lt;1.8,"",IF(N168&lt;2.9,"2018",IF(N168&lt;3.8,"2029",IF(N168&lt;5,"2038",IF(N168&lt;7,"2050",IF(N168&lt;9,"2070",IF(N168&lt;11,"2090","2110"))))))),IF(G168*1000&lt;=1700,IF(N168&lt;1.8,"",IF(N168&lt;2.9,"3018",IF(N168&lt;3.8,"3029",IF(N168&lt;5,"3038",IF(N168&lt;7,"3050",IF(N168&lt;9,"3070",IF(N168&lt;11,"3090","3110"))))))),""))))</f>
        <v/>
      </c>
      <c r="Q168">
        <f>AND(O168=TRUE,P168&lt;&gt;"")</f>
        <v/>
      </c>
      <c r="R168">
        <f>IF(G168*1000&lt;750,"なし","あり")</f>
        <v/>
      </c>
      <c r="S168">
        <f>IF(AND(O168=TRUE,Q168=TRUE),"設定可","BLOCK")</f>
        <v/>
      </c>
      <c r="T168" t="inlineStr">
        <is>
          <t>商品カタログ P194</t>
        </is>
      </c>
      <c r="U168" t="inlineStr">
        <is>
          <t>https://webcatalog.lixil.co.jp/iportal/CatalogDetail.do?catalogID=15191910000&amp;categoryID=1630000&amp;designID=newinter&amp;method=initial_screen&amp;position=18&amp;type=mc&amp;volumeID=LXL13001</t>
        </is>
      </c>
    </row>
    <row r="169">
      <c r="A169" t="inlineStr">
        <is>
          <t>WG-SL-00166</t>
        </is>
      </c>
      <c r="B169" t="inlineStr">
        <is>
          <t>SZ-SL-000964</t>
        </is>
      </c>
      <c r="C169" t="inlineStr">
        <is>
          <t>WT-SL-AGE-SAGE-FS</t>
        </is>
      </c>
      <c r="E169" t="inlineStr">
        <is>
          <t>06915</t>
        </is>
      </c>
      <c r="F169" t="n">
        <v>0.73</v>
      </c>
      <c r="G169" t="n">
        <v>1.57</v>
      </c>
      <c r="H169" t="inlineStr">
        <is>
          <t>GL-SL-004</t>
        </is>
      </c>
      <c r="I169" t="n">
        <v>6</v>
      </c>
      <c r="J169" t="n">
        <v>7.8</v>
      </c>
      <c r="K169" t="n">
        <v>-0.355</v>
      </c>
      <c r="L169" t="n">
        <v>-0.664</v>
      </c>
      <c r="M169" t="n">
        <v>0.335</v>
      </c>
      <c r="N169">
        <f>ROUND(J169*F169*G169+K169*G169+L169*F169+M169,3)</f>
        <v/>
      </c>
      <c r="O169">
        <f>AND(N169&gt;=1.4,N169&lt;=13)</f>
        <v/>
      </c>
      <c r="P169">
        <f>IF(OR(N169&lt;1.4,N169&gt;13),"",IF(G169*1000&lt;=1170,IF(N169&lt;1.8,"1014",IF(N169&lt;2.9,"1018",IF(N169&lt;3.8,"1029",IF(N169&lt;5,"1038",IF(N169&lt;7,"1050",IF(N169&lt;9,"1070",IF(N169&lt;11,"1090","1110"))))))),IF(G169*1000&lt;=1570,IF(N169&lt;1.8,"",IF(N169&lt;2.9,"2018",IF(N169&lt;3.8,"2029",IF(N169&lt;5,"2038",IF(N169&lt;7,"2050",IF(N169&lt;9,"2070",IF(N169&lt;11,"2090","2110"))))))),IF(G169*1000&lt;=1700,IF(N169&lt;1.8,"",IF(N169&lt;2.9,"3018",IF(N169&lt;3.8,"3029",IF(N169&lt;5,"3038",IF(N169&lt;7,"3050",IF(N169&lt;9,"3070",IF(N169&lt;11,"3090","3110"))))))),""))))</f>
        <v/>
      </c>
      <c r="Q169">
        <f>AND(O169=TRUE,P169&lt;&gt;"")</f>
        <v/>
      </c>
      <c r="R169">
        <f>IF(G169*1000&lt;750,"なし","あり")</f>
        <v/>
      </c>
      <c r="S169">
        <f>IF(AND(O169=TRUE,Q169=TRUE),"設定可","BLOCK")</f>
        <v/>
      </c>
      <c r="T169" t="inlineStr">
        <is>
          <t>商品カタログ P194</t>
        </is>
      </c>
      <c r="U169" t="inlineStr">
        <is>
          <t>https://webcatalog.lixil.co.jp/iportal/CatalogDetail.do?catalogID=15191910000&amp;categoryID=1630000&amp;designID=newinter&amp;method=initial_screen&amp;position=18&amp;type=mc&amp;volumeID=LXL13001</t>
        </is>
      </c>
    </row>
    <row r="170">
      <c r="A170" t="inlineStr">
        <is>
          <t>WG-SL-00167</t>
        </is>
      </c>
      <c r="B170" t="inlineStr">
        <is>
          <t>SZ-SL-000964</t>
        </is>
      </c>
      <c r="C170" t="inlineStr">
        <is>
          <t>WT-SL-AGE-SAGE-FS</t>
        </is>
      </c>
      <c r="E170" t="inlineStr">
        <is>
          <t>06915</t>
        </is>
      </c>
      <c r="F170" t="n">
        <v>0.73</v>
      </c>
      <c r="G170" t="n">
        <v>1.57</v>
      </c>
      <c r="H170" t="inlineStr">
        <is>
          <t>GL-SL-005</t>
        </is>
      </c>
      <c r="I170" t="n">
        <v>7</v>
      </c>
      <c r="J170" t="n">
        <v>9.1</v>
      </c>
      <c r="K170" t="n">
        <v>-0.48</v>
      </c>
      <c r="L170" t="n">
        <v>-0.998</v>
      </c>
      <c r="M170" t="n">
        <v>0.367</v>
      </c>
      <c r="N170">
        <f>ROUND(J170*F170*G170+K170*G170+L170*F170+M170,3)</f>
        <v/>
      </c>
      <c r="O170">
        <f>AND(N170&gt;=1.4,N170&lt;=13)</f>
        <v/>
      </c>
      <c r="P170">
        <f>IF(OR(N170&lt;1.4,N170&gt;13),"",IF(G170*1000&lt;=1170,IF(N170&lt;1.8,"1014",IF(N170&lt;2.9,"1018",IF(N170&lt;3.8,"1029",IF(N170&lt;5,"1038",IF(N170&lt;7,"1050",IF(N170&lt;9,"1070",IF(N170&lt;11,"1090","1110"))))))),IF(G170*1000&lt;=1570,IF(N170&lt;1.8,"",IF(N170&lt;2.9,"2018",IF(N170&lt;3.8,"2029",IF(N170&lt;5,"2038",IF(N170&lt;7,"2050",IF(N170&lt;9,"2070",IF(N170&lt;11,"2090","2110"))))))),IF(G170*1000&lt;=1700,IF(N170&lt;1.8,"",IF(N170&lt;2.9,"3018",IF(N170&lt;3.8,"3029",IF(N170&lt;5,"3038",IF(N170&lt;7,"3050",IF(N170&lt;9,"3070",IF(N170&lt;11,"3090","3110"))))))),""))))</f>
        <v/>
      </c>
      <c r="Q170">
        <f>AND(O170=TRUE,P170&lt;&gt;"")</f>
        <v/>
      </c>
      <c r="R170">
        <f>IF(G170*1000&lt;750,"なし","あり")</f>
        <v/>
      </c>
      <c r="S170">
        <f>IF(AND(O170=TRUE,Q170=TRUE),"設定可","BLOCK")</f>
        <v/>
      </c>
      <c r="T170" t="inlineStr">
        <is>
          <t>商品カタログ P194</t>
        </is>
      </c>
      <c r="U170" t="inlineStr">
        <is>
          <t>https://webcatalog.lixil.co.jp/iportal/CatalogDetail.do?catalogID=15191910000&amp;categoryID=1630000&amp;designID=newinter&amp;method=initial_screen&amp;position=18&amp;type=mc&amp;volumeID=LXL13001</t>
        </is>
      </c>
    </row>
    <row r="171">
      <c r="A171" t="inlineStr">
        <is>
          <t>WG-SL-00168</t>
        </is>
      </c>
      <c r="B171" t="inlineStr">
        <is>
          <t>SZ-SL-000964</t>
        </is>
      </c>
      <c r="C171" t="inlineStr">
        <is>
          <t>WT-SL-AGE-SAGE-FS</t>
        </is>
      </c>
      <c r="E171" t="inlineStr">
        <is>
          <t>06915</t>
        </is>
      </c>
      <c r="F171" t="n">
        <v>0.73</v>
      </c>
      <c r="G171" t="n">
        <v>1.57</v>
      </c>
      <c r="H171" t="inlineStr">
        <is>
          <t>GL-SL-006</t>
        </is>
      </c>
      <c r="I171" t="n">
        <v>8</v>
      </c>
      <c r="J171" t="n">
        <v>10.4</v>
      </c>
      <c r="K171" t="n">
        <v>-0.605</v>
      </c>
      <c r="L171" t="n">
        <v>-1.332</v>
      </c>
      <c r="M171" t="n">
        <v>0.399</v>
      </c>
      <c r="N171">
        <f>ROUND(J171*F171*G171+K171*G171+L171*F171+M171,3)</f>
        <v/>
      </c>
      <c r="O171">
        <f>AND(N171&gt;=1.4,N171&lt;=13)</f>
        <v/>
      </c>
      <c r="P171">
        <f>IF(OR(N171&lt;1.4,N171&gt;13),"",IF(G171*1000&lt;=1170,IF(N171&lt;1.8,"1014",IF(N171&lt;2.9,"1018",IF(N171&lt;3.8,"1029",IF(N171&lt;5,"1038",IF(N171&lt;7,"1050",IF(N171&lt;9,"1070",IF(N171&lt;11,"1090","1110"))))))),IF(G171*1000&lt;=1570,IF(N171&lt;1.8,"",IF(N171&lt;2.9,"2018",IF(N171&lt;3.8,"2029",IF(N171&lt;5,"2038",IF(N171&lt;7,"2050",IF(N171&lt;9,"2070",IF(N171&lt;11,"2090","2110"))))))),IF(G171*1000&lt;=1700,IF(N171&lt;1.8,"",IF(N171&lt;2.9,"3018",IF(N171&lt;3.8,"3029",IF(N171&lt;5,"3038",IF(N171&lt;7,"3050",IF(N171&lt;9,"3070",IF(N171&lt;11,"3090","3110"))))))),""))))</f>
        <v/>
      </c>
      <c r="Q171">
        <f>AND(O171=TRUE,P171&lt;&gt;"")</f>
        <v/>
      </c>
      <c r="R171">
        <f>IF(G171*1000&lt;750,"なし","あり")</f>
        <v/>
      </c>
      <c r="S171">
        <f>IF(AND(O171=TRUE,Q171=TRUE),"設定可","BLOCK")</f>
        <v/>
      </c>
      <c r="T171" t="inlineStr">
        <is>
          <t>商品カタログ P194</t>
        </is>
      </c>
      <c r="U171" t="inlineStr">
        <is>
          <t>https://webcatalog.lixil.co.jp/iportal/CatalogDetail.do?catalogID=15191910000&amp;categoryID=1630000&amp;designID=newinter&amp;method=initial_screen&amp;position=18&amp;type=mc&amp;volumeID=LXL13001</t>
        </is>
      </c>
    </row>
    <row r="172">
      <c r="A172" t="inlineStr">
        <is>
          <t>WG-SL-00169</t>
        </is>
      </c>
      <c r="B172" t="inlineStr">
        <is>
          <t>SZ-SL-000964</t>
        </is>
      </c>
      <c r="C172" t="inlineStr">
        <is>
          <t>WT-SL-AGE-SAGE-FS</t>
        </is>
      </c>
      <c r="E172" t="inlineStr">
        <is>
          <t>06915</t>
        </is>
      </c>
      <c r="F172" t="n">
        <v>0.73</v>
      </c>
      <c r="G172" t="n">
        <v>1.57</v>
      </c>
      <c r="H172" t="inlineStr">
        <is>
          <t>GL-SL-007</t>
        </is>
      </c>
      <c r="I172" t="n">
        <v>6</v>
      </c>
      <c r="J172" t="n">
        <v>7.8</v>
      </c>
      <c r="K172" t="n">
        <v>-0.355</v>
      </c>
      <c r="L172" t="n">
        <v>-0.664</v>
      </c>
      <c r="M172" t="n">
        <v>0.335</v>
      </c>
      <c r="N172">
        <f>ROUND(J172*F172*G172+K172*G172+L172*F172+M172,3)</f>
        <v/>
      </c>
      <c r="O172">
        <f>AND(N172&gt;=1.4,N172&lt;=13)</f>
        <v/>
      </c>
      <c r="P172">
        <f>IF(OR(N172&lt;1.4,N172&gt;13),"",IF(G172*1000&lt;=1170,IF(N172&lt;1.8,"1014",IF(N172&lt;2.9,"1018",IF(N172&lt;3.8,"1029",IF(N172&lt;5,"1038",IF(N172&lt;7,"1050",IF(N172&lt;9,"1070",IF(N172&lt;11,"1090","1110"))))))),IF(G172*1000&lt;=1570,IF(N172&lt;1.8,"",IF(N172&lt;2.9,"2018",IF(N172&lt;3.8,"2029",IF(N172&lt;5,"2038",IF(N172&lt;7,"2050",IF(N172&lt;9,"2070",IF(N172&lt;11,"2090","2110"))))))),IF(G172*1000&lt;=1700,IF(N172&lt;1.8,"",IF(N172&lt;2.9,"3018",IF(N172&lt;3.8,"3029",IF(N172&lt;5,"3038",IF(N172&lt;7,"3050",IF(N172&lt;9,"3070",IF(N172&lt;11,"3090","3110"))))))),""))))</f>
        <v/>
      </c>
      <c r="Q172">
        <f>AND(O172=TRUE,P172&lt;&gt;"")</f>
        <v/>
      </c>
      <c r="R172">
        <f>IF(G172*1000&lt;750,"なし","あり")</f>
        <v/>
      </c>
      <c r="S172">
        <f>IF(AND(O172=TRUE,Q172=TRUE),"設定可","BLOCK")</f>
        <v/>
      </c>
      <c r="T172" t="inlineStr">
        <is>
          <t>商品カタログ P194</t>
        </is>
      </c>
      <c r="U172" t="inlineStr">
        <is>
          <t>https://webcatalog.lixil.co.jp/iportal/CatalogDetail.do?catalogID=15191910000&amp;categoryID=1630000&amp;designID=newinter&amp;method=initial_screen&amp;position=18&amp;type=mc&amp;volumeID=LXL13001</t>
        </is>
      </c>
    </row>
    <row r="173">
      <c r="A173" t="inlineStr">
        <is>
          <t>WG-SL-00170</t>
        </is>
      </c>
      <c r="B173" t="inlineStr">
        <is>
          <t>SZ-SL-000964</t>
        </is>
      </c>
      <c r="C173" t="inlineStr">
        <is>
          <t>WT-SL-AGE-SAGE-FS</t>
        </is>
      </c>
      <c r="E173" t="inlineStr">
        <is>
          <t>06915</t>
        </is>
      </c>
      <c r="F173" t="n">
        <v>0.73</v>
      </c>
      <c r="G173" t="n">
        <v>1.57</v>
      </c>
      <c r="H173" t="inlineStr">
        <is>
          <t>GL-SL-008</t>
        </is>
      </c>
      <c r="I173" t="n">
        <v>7</v>
      </c>
      <c r="J173" t="n">
        <v>9.1</v>
      </c>
      <c r="K173" t="n">
        <v>-0.48</v>
      </c>
      <c r="L173" t="n">
        <v>-0.998</v>
      </c>
      <c r="M173" t="n">
        <v>0.367</v>
      </c>
      <c r="N173">
        <f>ROUND(J173*F173*G173+K173*G173+L173*F173+M173,3)</f>
        <v/>
      </c>
      <c r="O173">
        <f>AND(N173&gt;=1.4,N173&lt;=13)</f>
        <v/>
      </c>
      <c r="P173">
        <f>IF(OR(N173&lt;1.4,N173&gt;13),"",IF(G173*1000&lt;=1170,IF(N173&lt;1.8,"1014",IF(N173&lt;2.9,"1018",IF(N173&lt;3.8,"1029",IF(N173&lt;5,"1038",IF(N173&lt;7,"1050",IF(N173&lt;9,"1070",IF(N173&lt;11,"1090","1110"))))))),IF(G173*1000&lt;=1570,IF(N173&lt;1.8,"",IF(N173&lt;2.9,"2018",IF(N173&lt;3.8,"2029",IF(N173&lt;5,"2038",IF(N173&lt;7,"2050",IF(N173&lt;9,"2070",IF(N173&lt;11,"2090","2110"))))))),IF(G173*1000&lt;=1700,IF(N173&lt;1.8,"",IF(N173&lt;2.9,"3018",IF(N173&lt;3.8,"3029",IF(N173&lt;5,"3038",IF(N173&lt;7,"3050",IF(N173&lt;9,"3070",IF(N173&lt;11,"3090","3110"))))))),""))))</f>
        <v/>
      </c>
      <c r="Q173">
        <f>AND(O173=TRUE,P173&lt;&gt;"")</f>
        <v/>
      </c>
      <c r="R173">
        <f>IF(G173*1000&lt;750,"なし","あり")</f>
        <v/>
      </c>
      <c r="S173">
        <f>IF(AND(O173=TRUE,Q173=TRUE),"設定可","BLOCK")</f>
        <v/>
      </c>
      <c r="T173" t="inlineStr">
        <is>
          <t>商品カタログ P194</t>
        </is>
      </c>
      <c r="U173" t="inlineStr">
        <is>
          <t>https://webcatalog.lixil.co.jp/iportal/CatalogDetail.do?catalogID=15191910000&amp;categoryID=1630000&amp;designID=newinter&amp;method=initial_screen&amp;position=18&amp;type=mc&amp;volumeID=LXL13001</t>
        </is>
      </c>
    </row>
    <row r="174">
      <c r="A174" t="inlineStr">
        <is>
          <t>WG-SL-00171</t>
        </is>
      </c>
      <c r="B174" t="inlineStr">
        <is>
          <t>SZ-SL-000964</t>
        </is>
      </c>
      <c r="C174" t="inlineStr">
        <is>
          <t>WT-SL-AGE-SAGE-FS</t>
        </is>
      </c>
      <c r="E174" t="inlineStr">
        <is>
          <t>06915</t>
        </is>
      </c>
      <c r="F174" t="n">
        <v>0.73</v>
      </c>
      <c r="G174" t="n">
        <v>1.57</v>
      </c>
      <c r="H174" t="inlineStr">
        <is>
          <t>GL-SL-009</t>
        </is>
      </c>
      <c r="I174" t="n">
        <v>8</v>
      </c>
      <c r="J174" t="n">
        <v>10.4</v>
      </c>
      <c r="K174" t="n">
        <v>-0.605</v>
      </c>
      <c r="L174" t="n">
        <v>-1.332</v>
      </c>
      <c r="M174" t="n">
        <v>0.399</v>
      </c>
      <c r="N174">
        <f>ROUND(J174*F174*G174+K174*G174+L174*F174+M174,3)</f>
        <v/>
      </c>
      <c r="O174">
        <f>AND(N174&gt;=1.4,N174&lt;=13)</f>
        <v/>
      </c>
      <c r="P174">
        <f>IF(OR(N174&lt;1.4,N174&gt;13),"",IF(G174*1000&lt;=1170,IF(N174&lt;1.8,"1014",IF(N174&lt;2.9,"1018",IF(N174&lt;3.8,"1029",IF(N174&lt;5,"1038",IF(N174&lt;7,"1050",IF(N174&lt;9,"1070",IF(N174&lt;11,"1090","1110"))))))),IF(G174*1000&lt;=1570,IF(N174&lt;1.8,"",IF(N174&lt;2.9,"2018",IF(N174&lt;3.8,"2029",IF(N174&lt;5,"2038",IF(N174&lt;7,"2050",IF(N174&lt;9,"2070",IF(N174&lt;11,"2090","2110"))))))),IF(G174*1000&lt;=1700,IF(N174&lt;1.8,"",IF(N174&lt;2.9,"3018",IF(N174&lt;3.8,"3029",IF(N174&lt;5,"3038",IF(N174&lt;7,"3050",IF(N174&lt;9,"3070",IF(N174&lt;11,"3090","3110"))))))),""))))</f>
        <v/>
      </c>
      <c r="Q174">
        <f>AND(O174=TRUE,P174&lt;&gt;"")</f>
        <v/>
      </c>
      <c r="R174">
        <f>IF(G174*1000&lt;750,"なし","あり")</f>
        <v/>
      </c>
      <c r="S174">
        <f>IF(AND(O174=TRUE,Q174=TRUE),"設定可","BLOCK")</f>
        <v/>
      </c>
      <c r="T174" t="inlineStr">
        <is>
          <t>商品カタログ P194</t>
        </is>
      </c>
      <c r="U174" t="inlineStr">
        <is>
          <t>https://webcatalog.lixil.co.jp/iportal/CatalogDetail.do?catalogID=15191910000&amp;categoryID=1630000&amp;designID=newinter&amp;method=initial_screen&amp;position=18&amp;type=mc&amp;volumeID=LXL13001</t>
        </is>
      </c>
    </row>
    <row r="175">
      <c r="A175" t="inlineStr">
        <is>
          <t>WG-SL-00172</t>
        </is>
      </c>
      <c r="B175" t="inlineStr">
        <is>
          <t>SZ-SL-000965</t>
        </is>
      </c>
      <c r="C175" t="inlineStr">
        <is>
          <t>WT-SL-MENKOSHI-AGE-FS</t>
        </is>
      </c>
      <c r="D175" t="inlineStr">
        <is>
          <t>SP-SL-AGE-GRILLE-DIA</t>
        </is>
      </c>
      <c r="E175" t="inlineStr">
        <is>
          <t>02607</t>
        </is>
      </c>
      <c r="F175" t="n">
        <v>0.3</v>
      </c>
      <c r="G175" t="n">
        <v>0.77</v>
      </c>
      <c r="H175" t="inlineStr">
        <is>
          <t>GL-SL-001</t>
        </is>
      </c>
      <c r="I175" t="n">
        <v>6</v>
      </c>
      <c r="J175" t="n">
        <v>7.8</v>
      </c>
      <c r="K175" t="n">
        <v>-0.355</v>
      </c>
      <c r="L175" t="n">
        <v>-0.664</v>
      </c>
      <c r="M175" t="n">
        <v>0.335</v>
      </c>
      <c r="N175">
        <f>ROUND(J175*F175*G175+K175*G175+L175*F175+M175,3)</f>
        <v/>
      </c>
      <c r="O175">
        <f>AND(N175&gt;=1.4,N175&lt;=13)</f>
        <v/>
      </c>
      <c r="P175">
        <f>IF(OR(N175&lt;1.4,N175&gt;13),"",IF(G175*1000&lt;=1170,IF(N175&lt;1.8,"1014",IF(N175&lt;2.9,"1018",IF(N175&lt;3.8,"1029",IF(N175&lt;5,"1038",IF(N175&lt;7,"1050",IF(N175&lt;9,"1070",IF(N175&lt;11,"1090","1110"))))))),IF(G175*1000&lt;=1570,IF(N175&lt;1.8,"",IF(N175&lt;2.9,"2018",IF(N175&lt;3.8,"2029",IF(N175&lt;5,"2038",IF(N175&lt;7,"2050",IF(N175&lt;9,"2070",IF(N175&lt;11,"2090","2110"))))))),IF(G175*1000&lt;=1700,IF(N175&lt;1.8,"",IF(N175&lt;2.9,"3018",IF(N175&lt;3.8,"3029",IF(N175&lt;5,"3038",IF(N175&lt;7,"3050",IF(N175&lt;9,"3070",IF(N175&lt;11,"3090","3110"))))))),""))))</f>
        <v/>
      </c>
      <c r="Q175">
        <f>AND(O175=TRUE,P175&lt;&gt;"")</f>
        <v/>
      </c>
      <c r="R175">
        <f>IF(G175*1000&lt;750,"なし","あり")</f>
        <v/>
      </c>
      <c r="S175">
        <f>IF(AND(O175=TRUE,Q175=TRUE),"設定可","BLOCK")</f>
        <v/>
      </c>
      <c r="T175" t="inlineStr">
        <is>
          <t>商品カタログ P194</t>
        </is>
      </c>
      <c r="U175" t="inlineStr">
        <is>
          <t>https://webcatalog.lixil.co.jp/iportal/CatalogDetail.do?catalogID=15191910000&amp;categoryID=1630000&amp;designID=newinter&amp;method=initial_screen&amp;position=18&amp;type=mc&amp;volumeID=LXL13001</t>
        </is>
      </c>
    </row>
    <row r="176">
      <c r="A176" t="inlineStr">
        <is>
          <t>WG-SL-00173</t>
        </is>
      </c>
      <c r="B176" t="inlineStr">
        <is>
          <t>SZ-SL-000965</t>
        </is>
      </c>
      <c r="C176" t="inlineStr">
        <is>
          <t>WT-SL-MENKOSHI-AGE-FS</t>
        </is>
      </c>
      <c r="D176" t="inlineStr">
        <is>
          <t>SP-SL-AGE-GRILLE-DIA</t>
        </is>
      </c>
      <c r="E176" t="inlineStr">
        <is>
          <t>02607</t>
        </is>
      </c>
      <c r="F176" t="n">
        <v>0.3</v>
      </c>
      <c r="G176" t="n">
        <v>0.77</v>
      </c>
      <c r="H176" t="inlineStr">
        <is>
          <t>GL-SL-002</t>
        </is>
      </c>
      <c r="I176" t="n">
        <v>7</v>
      </c>
      <c r="J176" t="n">
        <v>9.1</v>
      </c>
      <c r="K176" t="n">
        <v>-0.48</v>
      </c>
      <c r="L176" t="n">
        <v>-0.998</v>
      </c>
      <c r="M176" t="n">
        <v>0.367</v>
      </c>
      <c r="N176">
        <f>ROUND(J176*F176*G176+K176*G176+L176*F176+M176,3)</f>
        <v/>
      </c>
      <c r="O176">
        <f>AND(N176&gt;=1.4,N176&lt;=13)</f>
        <v/>
      </c>
      <c r="P176">
        <f>IF(OR(N176&lt;1.4,N176&gt;13),"",IF(G176*1000&lt;=1170,IF(N176&lt;1.8,"1014",IF(N176&lt;2.9,"1018",IF(N176&lt;3.8,"1029",IF(N176&lt;5,"1038",IF(N176&lt;7,"1050",IF(N176&lt;9,"1070",IF(N176&lt;11,"1090","1110"))))))),IF(G176*1000&lt;=1570,IF(N176&lt;1.8,"",IF(N176&lt;2.9,"2018",IF(N176&lt;3.8,"2029",IF(N176&lt;5,"2038",IF(N176&lt;7,"2050",IF(N176&lt;9,"2070",IF(N176&lt;11,"2090","2110"))))))),IF(G176*1000&lt;=1700,IF(N176&lt;1.8,"",IF(N176&lt;2.9,"3018",IF(N176&lt;3.8,"3029",IF(N176&lt;5,"3038",IF(N176&lt;7,"3050",IF(N176&lt;9,"3070",IF(N176&lt;11,"3090","3110"))))))),""))))</f>
        <v/>
      </c>
      <c r="Q176">
        <f>AND(O176=TRUE,P176&lt;&gt;"")</f>
        <v/>
      </c>
      <c r="R176">
        <f>IF(G176*1000&lt;750,"なし","あり")</f>
        <v/>
      </c>
      <c r="S176">
        <f>IF(AND(O176=TRUE,Q176=TRUE),"設定可","BLOCK")</f>
        <v/>
      </c>
      <c r="T176" t="inlineStr">
        <is>
          <t>商品カタログ P194</t>
        </is>
      </c>
      <c r="U176" t="inlineStr">
        <is>
          <t>https://webcatalog.lixil.co.jp/iportal/CatalogDetail.do?catalogID=15191910000&amp;categoryID=1630000&amp;designID=newinter&amp;method=initial_screen&amp;position=18&amp;type=mc&amp;volumeID=LXL13001</t>
        </is>
      </c>
    </row>
    <row r="177">
      <c r="A177" t="inlineStr">
        <is>
          <t>WG-SL-00174</t>
        </is>
      </c>
      <c r="B177" t="inlineStr">
        <is>
          <t>SZ-SL-000965</t>
        </is>
      </c>
      <c r="C177" t="inlineStr">
        <is>
          <t>WT-SL-MENKOSHI-AGE-FS</t>
        </is>
      </c>
      <c r="D177" t="inlineStr">
        <is>
          <t>SP-SL-AGE-GRILLE-DIA</t>
        </is>
      </c>
      <c r="E177" t="inlineStr">
        <is>
          <t>02607</t>
        </is>
      </c>
      <c r="F177" t="n">
        <v>0.3</v>
      </c>
      <c r="G177" t="n">
        <v>0.77</v>
      </c>
      <c r="H177" t="inlineStr">
        <is>
          <t>GL-SL-003</t>
        </is>
      </c>
      <c r="I177" t="n">
        <v>8</v>
      </c>
      <c r="J177" t="n">
        <v>10.4</v>
      </c>
      <c r="K177" t="n">
        <v>-0.605</v>
      </c>
      <c r="L177" t="n">
        <v>-1.332</v>
      </c>
      <c r="M177" t="n">
        <v>0.399</v>
      </c>
      <c r="N177">
        <f>ROUND(J177*F177*G177+K177*G177+L177*F177+M177,3)</f>
        <v/>
      </c>
      <c r="O177">
        <f>AND(N177&gt;=1.4,N177&lt;=13)</f>
        <v/>
      </c>
      <c r="P177">
        <f>IF(OR(N177&lt;1.4,N177&gt;13),"",IF(G177*1000&lt;=1170,IF(N177&lt;1.8,"1014",IF(N177&lt;2.9,"1018",IF(N177&lt;3.8,"1029",IF(N177&lt;5,"1038",IF(N177&lt;7,"1050",IF(N177&lt;9,"1070",IF(N177&lt;11,"1090","1110"))))))),IF(G177*1000&lt;=1570,IF(N177&lt;1.8,"",IF(N177&lt;2.9,"2018",IF(N177&lt;3.8,"2029",IF(N177&lt;5,"2038",IF(N177&lt;7,"2050",IF(N177&lt;9,"2070",IF(N177&lt;11,"2090","2110"))))))),IF(G177*1000&lt;=1700,IF(N177&lt;1.8,"",IF(N177&lt;2.9,"3018",IF(N177&lt;3.8,"3029",IF(N177&lt;5,"3038",IF(N177&lt;7,"3050",IF(N177&lt;9,"3070",IF(N177&lt;11,"3090","3110"))))))),""))))</f>
        <v/>
      </c>
      <c r="Q177">
        <f>AND(O177=TRUE,P177&lt;&gt;"")</f>
        <v/>
      </c>
      <c r="R177">
        <f>IF(G177*1000&lt;750,"なし","あり")</f>
        <v/>
      </c>
      <c r="S177">
        <f>IF(AND(O177=TRUE,Q177=TRUE),"設定可","BLOCK")</f>
        <v/>
      </c>
      <c r="T177" t="inlineStr">
        <is>
          <t>商品カタログ P194</t>
        </is>
      </c>
      <c r="U177" t="inlineStr">
        <is>
          <t>https://webcatalog.lixil.co.jp/iportal/CatalogDetail.do?catalogID=15191910000&amp;categoryID=1630000&amp;designID=newinter&amp;method=initial_screen&amp;position=18&amp;type=mc&amp;volumeID=LXL13001</t>
        </is>
      </c>
    </row>
    <row r="178">
      <c r="A178" t="inlineStr">
        <is>
          <t>WG-SL-00175</t>
        </is>
      </c>
      <c r="B178" t="inlineStr">
        <is>
          <t>SZ-SL-000965</t>
        </is>
      </c>
      <c r="C178" t="inlineStr">
        <is>
          <t>WT-SL-MENKOSHI-AGE-FS</t>
        </is>
      </c>
      <c r="D178" t="inlineStr">
        <is>
          <t>SP-SL-AGE-GRILLE-DIA</t>
        </is>
      </c>
      <c r="E178" t="inlineStr">
        <is>
          <t>02607</t>
        </is>
      </c>
      <c r="F178" t="n">
        <v>0.3</v>
      </c>
      <c r="G178" t="n">
        <v>0.77</v>
      </c>
      <c r="H178" t="inlineStr">
        <is>
          <t>GL-SL-004</t>
        </is>
      </c>
      <c r="I178" t="n">
        <v>6</v>
      </c>
      <c r="J178" t="n">
        <v>7.8</v>
      </c>
      <c r="K178" t="n">
        <v>-0.355</v>
      </c>
      <c r="L178" t="n">
        <v>-0.664</v>
      </c>
      <c r="M178" t="n">
        <v>0.335</v>
      </c>
      <c r="N178">
        <f>ROUND(J178*F178*G178+K178*G178+L178*F178+M178,3)</f>
        <v/>
      </c>
      <c r="O178">
        <f>AND(N178&gt;=1.4,N178&lt;=13)</f>
        <v/>
      </c>
      <c r="P178">
        <f>IF(OR(N178&lt;1.4,N178&gt;13),"",IF(G178*1000&lt;=1170,IF(N178&lt;1.8,"1014",IF(N178&lt;2.9,"1018",IF(N178&lt;3.8,"1029",IF(N178&lt;5,"1038",IF(N178&lt;7,"1050",IF(N178&lt;9,"1070",IF(N178&lt;11,"1090","1110"))))))),IF(G178*1000&lt;=1570,IF(N178&lt;1.8,"",IF(N178&lt;2.9,"2018",IF(N178&lt;3.8,"2029",IF(N178&lt;5,"2038",IF(N178&lt;7,"2050",IF(N178&lt;9,"2070",IF(N178&lt;11,"2090","2110"))))))),IF(G178*1000&lt;=1700,IF(N178&lt;1.8,"",IF(N178&lt;2.9,"3018",IF(N178&lt;3.8,"3029",IF(N178&lt;5,"3038",IF(N178&lt;7,"3050",IF(N178&lt;9,"3070",IF(N178&lt;11,"3090","3110"))))))),""))))</f>
        <v/>
      </c>
      <c r="Q178">
        <f>AND(O178=TRUE,P178&lt;&gt;"")</f>
        <v/>
      </c>
      <c r="R178">
        <f>IF(G178*1000&lt;750,"なし","あり")</f>
        <v/>
      </c>
      <c r="S178">
        <f>IF(AND(O178=TRUE,Q178=TRUE),"設定可","BLOCK")</f>
        <v/>
      </c>
      <c r="T178" t="inlineStr">
        <is>
          <t>商品カタログ P194</t>
        </is>
      </c>
      <c r="U178" t="inlineStr">
        <is>
          <t>https://webcatalog.lixil.co.jp/iportal/CatalogDetail.do?catalogID=15191910000&amp;categoryID=1630000&amp;designID=newinter&amp;method=initial_screen&amp;position=18&amp;type=mc&amp;volumeID=LXL13001</t>
        </is>
      </c>
    </row>
    <row r="179">
      <c r="A179" t="inlineStr">
        <is>
          <t>WG-SL-00176</t>
        </is>
      </c>
      <c r="B179" t="inlineStr">
        <is>
          <t>SZ-SL-000965</t>
        </is>
      </c>
      <c r="C179" t="inlineStr">
        <is>
          <t>WT-SL-MENKOSHI-AGE-FS</t>
        </is>
      </c>
      <c r="D179" t="inlineStr">
        <is>
          <t>SP-SL-AGE-GRILLE-DIA</t>
        </is>
      </c>
      <c r="E179" t="inlineStr">
        <is>
          <t>02607</t>
        </is>
      </c>
      <c r="F179" t="n">
        <v>0.3</v>
      </c>
      <c r="G179" t="n">
        <v>0.77</v>
      </c>
      <c r="H179" t="inlineStr">
        <is>
          <t>GL-SL-005</t>
        </is>
      </c>
      <c r="I179" t="n">
        <v>7</v>
      </c>
      <c r="J179" t="n">
        <v>9.1</v>
      </c>
      <c r="K179" t="n">
        <v>-0.48</v>
      </c>
      <c r="L179" t="n">
        <v>-0.998</v>
      </c>
      <c r="M179" t="n">
        <v>0.367</v>
      </c>
      <c r="N179">
        <f>ROUND(J179*F179*G179+K179*G179+L179*F179+M179,3)</f>
        <v/>
      </c>
      <c r="O179">
        <f>AND(N179&gt;=1.4,N179&lt;=13)</f>
        <v/>
      </c>
      <c r="P179">
        <f>IF(OR(N179&lt;1.4,N179&gt;13),"",IF(G179*1000&lt;=1170,IF(N179&lt;1.8,"1014",IF(N179&lt;2.9,"1018",IF(N179&lt;3.8,"1029",IF(N179&lt;5,"1038",IF(N179&lt;7,"1050",IF(N179&lt;9,"1070",IF(N179&lt;11,"1090","1110"))))))),IF(G179*1000&lt;=1570,IF(N179&lt;1.8,"",IF(N179&lt;2.9,"2018",IF(N179&lt;3.8,"2029",IF(N179&lt;5,"2038",IF(N179&lt;7,"2050",IF(N179&lt;9,"2070",IF(N179&lt;11,"2090","2110"))))))),IF(G179*1000&lt;=1700,IF(N179&lt;1.8,"",IF(N179&lt;2.9,"3018",IF(N179&lt;3.8,"3029",IF(N179&lt;5,"3038",IF(N179&lt;7,"3050",IF(N179&lt;9,"3070",IF(N179&lt;11,"3090","3110"))))))),""))))</f>
        <v/>
      </c>
      <c r="Q179">
        <f>AND(O179=TRUE,P179&lt;&gt;"")</f>
        <v/>
      </c>
      <c r="R179">
        <f>IF(G179*1000&lt;750,"なし","あり")</f>
        <v/>
      </c>
      <c r="S179">
        <f>IF(AND(O179=TRUE,Q179=TRUE),"設定可","BLOCK")</f>
        <v/>
      </c>
      <c r="T179" t="inlineStr">
        <is>
          <t>商品カタログ P194</t>
        </is>
      </c>
      <c r="U179" t="inlineStr">
        <is>
          <t>https://webcatalog.lixil.co.jp/iportal/CatalogDetail.do?catalogID=15191910000&amp;categoryID=1630000&amp;designID=newinter&amp;method=initial_screen&amp;position=18&amp;type=mc&amp;volumeID=LXL13001</t>
        </is>
      </c>
    </row>
    <row r="180">
      <c r="A180" t="inlineStr">
        <is>
          <t>WG-SL-00177</t>
        </is>
      </c>
      <c r="B180" t="inlineStr">
        <is>
          <t>SZ-SL-000965</t>
        </is>
      </c>
      <c r="C180" t="inlineStr">
        <is>
          <t>WT-SL-MENKOSHI-AGE-FS</t>
        </is>
      </c>
      <c r="D180" t="inlineStr">
        <is>
          <t>SP-SL-AGE-GRILLE-DIA</t>
        </is>
      </c>
      <c r="E180" t="inlineStr">
        <is>
          <t>02607</t>
        </is>
      </c>
      <c r="F180" t="n">
        <v>0.3</v>
      </c>
      <c r="G180" t="n">
        <v>0.77</v>
      </c>
      <c r="H180" t="inlineStr">
        <is>
          <t>GL-SL-006</t>
        </is>
      </c>
      <c r="I180" t="n">
        <v>8</v>
      </c>
      <c r="J180" t="n">
        <v>10.4</v>
      </c>
      <c r="K180" t="n">
        <v>-0.605</v>
      </c>
      <c r="L180" t="n">
        <v>-1.332</v>
      </c>
      <c r="M180" t="n">
        <v>0.399</v>
      </c>
      <c r="N180">
        <f>ROUND(J180*F180*G180+K180*G180+L180*F180+M180,3)</f>
        <v/>
      </c>
      <c r="O180">
        <f>AND(N180&gt;=1.4,N180&lt;=13)</f>
        <v/>
      </c>
      <c r="P180">
        <f>IF(OR(N180&lt;1.4,N180&gt;13),"",IF(G180*1000&lt;=1170,IF(N180&lt;1.8,"1014",IF(N180&lt;2.9,"1018",IF(N180&lt;3.8,"1029",IF(N180&lt;5,"1038",IF(N180&lt;7,"1050",IF(N180&lt;9,"1070",IF(N180&lt;11,"1090","1110"))))))),IF(G180*1000&lt;=1570,IF(N180&lt;1.8,"",IF(N180&lt;2.9,"2018",IF(N180&lt;3.8,"2029",IF(N180&lt;5,"2038",IF(N180&lt;7,"2050",IF(N180&lt;9,"2070",IF(N180&lt;11,"2090","2110"))))))),IF(G180*1000&lt;=1700,IF(N180&lt;1.8,"",IF(N180&lt;2.9,"3018",IF(N180&lt;3.8,"3029",IF(N180&lt;5,"3038",IF(N180&lt;7,"3050",IF(N180&lt;9,"3070",IF(N180&lt;11,"3090","3110"))))))),""))))</f>
        <v/>
      </c>
      <c r="Q180">
        <f>AND(O180=TRUE,P180&lt;&gt;"")</f>
        <v/>
      </c>
      <c r="R180">
        <f>IF(G180*1000&lt;750,"なし","あり")</f>
        <v/>
      </c>
      <c r="S180">
        <f>IF(AND(O180=TRUE,Q180=TRUE),"設定可","BLOCK")</f>
        <v/>
      </c>
      <c r="T180" t="inlineStr">
        <is>
          <t>商品カタログ P194</t>
        </is>
      </c>
      <c r="U180" t="inlineStr">
        <is>
          <t>https://webcatalog.lixil.co.jp/iportal/CatalogDetail.do?catalogID=15191910000&amp;categoryID=1630000&amp;designID=newinter&amp;method=initial_screen&amp;position=18&amp;type=mc&amp;volumeID=LXL13001</t>
        </is>
      </c>
    </row>
    <row r="181">
      <c r="A181" t="inlineStr">
        <is>
          <t>WG-SL-00178</t>
        </is>
      </c>
      <c r="B181" t="inlineStr">
        <is>
          <t>SZ-SL-000965</t>
        </is>
      </c>
      <c r="C181" t="inlineStr">
        <is>
          <t>WT-SL-MENKOSHI-AGE-FS</t>
        </is>
      </c>
      <c r="D181" t="inlineStr">
        <is>
          <t>SP-SL-AGE-GRILLE-DIA</t>
        </is>
      </c>
      <c r="E181" t="inlineStr">
        <is>
          <t>02607</t>
        </is>
      </c>
      <c r="F181" t="n">
        <v>0.3</v>
      </c>
      <c r="G181" t="n">
        <v>0.77</v>
      </c>
      <c r="H181" t="inlineStr">
        <is>
          <t>GL-SL-007</t>
        </is>
      </c>
      <c r="I181" t="n">
        <v>6</v>
      </c>
      <c r="J181" t="n">
        <v>7.8</v>
      </c>
      <c r="K181" t="n">
        <v>-0.355</v>
      </c>
      <c r="L181" t="n">
        <v>-0.664</v>
      </c>
      <c r="M181" t="n">
        <v>0.335</v>
      </c>
      <c r="N181">
        <f>ROUND(J181*F181*G181+K181*G181+L181*F181+M181,3)</f>
        <v/>
      </c>
      <c r="O181">
        <f>AND(N181&gt;=1.4,N181&lt;=13)</f>
        <v/>
      </c>
      <c r="P181">
        <f>IF(OR(N181&lt;1.4,N181&gt;13),"",IF(G181*1000&lt;=1170,IF(N181&lt;1.8,"1014",IF(N181&lt;2.9,"1018",IF(N181&lt;3.8,"1029",IF(N181&lt;5,"1038",IF(N181&lt;7,"1050",IF(N181&lt;9,"1070",IF(N181&lt;11,"1090","1110"))))))),IF(G181*1000&lt;=1570,IF(N181&lt;1.8,"",IF(N181&lt;2.9,"2018",IF(N181&lt;3.8,"2029",IF(N181&lt;5,"2038",IF(N181&lt;7,"2050",IF(N181&lt;9,"2070",IF(N181&lt;11,"2090","2110"))))))),IF(G181*1000&lt;=1700,IF(N181&lt;1.8,"",IF(N181&lt;2.9,"3018",IF(N181&lt;3.8,"3029",IF(N181&lt;5,"3038",IF(N181&lt;7,"3050",IF(N181&lt;9,"3070",IF(N181&lt;11,"3090","3110"))))))),""))))</f>
        <v/>
      </c>
      <c r="Q181">
        <f>AND(O181=TRUE,P181&lt;&gt;"")</f>
        <v/>
      </c>
      <c r="R181">
        <f>IF(G181*1000&lt;750,"なし","あり")</f>
        <v/>
      </c>
      <c r="S181">
        <f>IF(AND(O181=TRUE,Q181=TRUE),"設定可","BLOCK")</f>
        <v/>
      </c>
      <c r="T181" t="inlineStr">
        <is>
          <t>商品カタログ P194</t>
        </is>
      </c>
      <c r="U181" t="inlineStr">
        <is>
          <t>https://webcatalog.lixil.co.jp/iportal/CatalogDetail.do?catalogID=15191910000&amp;categoryID=1630000&amp;designID=newinter&amp;method=initial_screen&amp;position=18&amp;type=mc&amp;volumeID=LXL13001</t>
        </is>
      </c>
    </row>
    <row r="182">
      <c r="A182" t="inlineStr">
        <is>
          <t>WG-SL-00179</t>
        </is>
      </c>
      <c r="B182" t="inlineStr">
        <is>
          <t>SZ-SL-000965</t>
        </is>
      </c>
      <c r="C182" t="inlineStr">
        <is>
          <t>WT-SL-MENKOSHI-AGE-FS</t>
        </is>
      </c>
      <c r="D182" t="inlineStr">
        <is>
          <t>SP-SL-AGE-GRILLE-DIA</t>
        </is>
      </c>
      <c r="E182" t="inlineStr">
        <is>
          <t>02607</t>
        </is>
      </c>
      <c r="F182" t="n">
        <v>0.3</v>
      </c>
      <c r="G182" t="n">
        <v>0.77</v>
      </c>
      <c r="H182" t="inlineStr">
        <is>
          <t>GL-SL-008</t>
        </is>
      </c>
      <c r="I182" t="n">
        <v>7</v>
      </c>
      <c r="J182" t="n">
        <v>9.1</v>
      </c>
      <c r="K182" t="n">
        <v>-0.48</v>
      </c>
      <c r="L182" t="n">
        <v>-0.998</v>
      </c>
      <c r="M182" t="n">
        <v>0.367</v>
      </c>
      <c r="N182">
        <f>ROUND(J182*F182*G182+K182*G182+L182*F182+M182,3)</f>
        <v/>
      </c>
      <c r="O182">
        <f>AND(N182&gt;=1.4,N182&lt;=13)</f>
        <v/>
      </c>
      <c r="P182">
        <f>IF(OR(N182&lt;1.4,N182&gt;13),"",IF(G182*1000&lt;=1170,IF(N182&lt;1.8,"1014",IF(N182&lt;2.9,"1018",IF(N182&lt;3.8,"1029",IF(N182&lt;5,"1038",IF(N182&lt;7,"1050",IF(N182&lt;9,"1070",IF(N182&lt;11,"1090","1110"))))))),IF(G182*1000&lt;=1570,IF(N182&lt;1.8,"",IF(N182&lt;2.9,"2018",IF(N182&lt;3.8,"2029",IF(N182&lt;5,"2038",IF(N182&lt;7,"2050",IF(N182&lt;9,"2070",IF(N182&lt;11,"2090","2110"))))))),IF(G182*1000&lt;=1700,IF(N182&lt;1.8,"",IF(N182&lt;2.9,"3018",IF(N182&lt;3.8,"3029",IF(N182&lt;5,"3038",IF(N182&lt;7,"3050",IF(N182&lt;9,"3070",IF(N182&lt;11,"3090","3110"))))))),""))))</f>
        <v/>
      </c>
      <c r="Q182">
        <f>AND(O182=TRUE,P182&lt;&gt;"")</f>
        <v/>
      </c>
      <c r="R182">
        <f>IF(G182*1000&lt;750,"なし","あり")</f>
        <v/>
      </c>
      <c r="S182">
        <f>IF(AND(O182=TRUE,Q182=TRUE),"設定可","BLOCK")</f>
        <v/>
      </c>
      <c r="T182" t="inlineStr">
        <is>
          <t>商品カタログ P194</t>
        </is>
      </c>
      <c r="U182" t="inlineStr">
        <is>
          <t>https://webcatalog.lixil.co.jp/iportal/CatalogDetail.do?catalogID=15191910000&amp;categoryID=1630000&amp;designID=newinter&amp;method=initial_screen&amp;position=18&amp;type=mc&amp;volumeID=LXL13001</t>
        </is>
      </c>
    </row>
    <row r="183">
      <c r="A183" t="inlineStr">
        <is>
          <t>WG-SL-00180</t>
        </is>
      </c>
      <c r="B183" t="inlineStr">
        <is>
          <t>SZ-SL-000965</t>
        </is>
      </c>
      <c r="C183" t="inlineStr">
        <is>
          <t>WT-SL-MENKOSHI-AGE-FS</t>
        </is>
      </c>
      <c r="D183" t="inlineStr">
        <is>
          <t>SP-SL-AGE-GRILLE-DIA</t>
        </is>
      </c>
      <c r="E183" t="inlineStr">
        <is>
          <t>02607</t>
        </is>
      </c>
      <c r="F183" t="n">
        <v>0.3</v>
      </c>
      <c r="G183" t="n">
        <v>0.77</v>
      </c>
      <c r="H183" t="inlineStr">
        <is>
          <t>GL-SL-009</t>
        </is>
      </c>
      <c r="I183" t="n">
        <v>8</v>
      </c>
      <c r="J183" t="n">
        <v>10.4</v>
      </c>
      <c r="K183" t="n">
        <v>-0.605</v>
      </c>
      <c r="L183" t="n">
        <v>-1.332</v>
      </c>
      <c r="M183" t="n">
        <v>0.399</v>
      </c>
      <c r="N183">
        <f>ROUND(J183*F183*G183+K183*G183+L183*F183+M183,3)</f>
        <v/>
      </c>
      <c r="O183">
        <f>AND(N183&gt;=1.4,N183&lt;=13)</f>
        <v/>
      </c>
      <c r="P183">
        <f>IF(OR(N183&lt;1.4,N183&gt;13),"",IF(G183*1000&lt;=1170,IF(N183&lt;1.8,"1014",IF(N183&lt;2.9,"1018",IF(N183&lt;3.8,"1029",IF(N183&lt;5,"1038",IF(N183&lt;7,"1050",IF(N183&lt;9,"1070",IF(N183&lt;11,"1090","1110"))))))),IF(G183*1000&lt;=1570,IF(N183&lt;1.8,"",IF(N183&lt;2.9,"2018",IF(N183&lt;3.8,"2029",IF(N183&lt;5,"2038",IF(N183&lt;7,"2050",IF(N183&lt;9,"2070",IF(N183&lt;11,"2090","2110"))))))),IF(G183*1000&lt;=1700,IF(N183&lt;1.8,"",IF(N183&lt;2.9,"3018",IF(N183&lt;3.8,"3029",IF(N183&lt;5,"3038",IF(N183&lt;7,"3050",IF(N183&lt;9,"3070",IF(N183&lt;11,"3090","3110"))))))),""))))</f>
        <v/>
      </c>
      <c r="Q183">
        <f>AND(O183=TRUE,P183&lt;&gt;"")</f>
        <v/>
      </c>
      <c r="R183">
        <f>IF(G183*1000&lt;750,"なし","あり")</f>
        <v/>
      </c>
      <c r="S183">
        <f>IF(AND(O183=TRUE,Q183=TRUE),"設定可","BLOCK")</f>
        <v/>
      </c>
      <c r="T183" t="inlineStr">
        <is>
          <t>商品カタログ P194</t>
        </is>
      </c>
      <c r="U183" t="inlineStr">
        <is>
          <t>https://webcatalog.lixil.co.jp/iportal/CatalogDetail.do?catalogID=15191910000&amp;categoryID=1630000&amp;designID=newinter&amp;method=initial_screen&amp;position=18&amp;type=mc&amp;volumeID=LXL13001</t>
        </is>
      </c>
    </row>
    <row r="184">
      <c r="A184" t="inlineStr">
        <is>
          <t>WG-SL-00181</t>
        </is>
      </c>
      <c r="B184" t="inlineStr">
        <is>
          <t>SZ-SL-000966</t>
        </is>
      </c>
      <c r="C184" t="inlineStr">
        <is>
          <t>WT-SL-MENKOSHI-AGE-FS</t>
        </is>
      </c>
      <c r="D184" t="inlineStr">
        <is>
          <t>SP-SL-AGE-GRILLE-DIA</t>
        </is>
      </c>
      <c r="E184" t="inlineStr">
        <is>
          <t>03607</t>
        </is>
      </c>
      <c r="F184" t="n">
        <v>0.405</v>
      </c>
      <c r="G184" t="n">
        <v>0.77</v>
      </c>
      <c r="H184" t="inlineStr">
        <is>
          <t>GL-SL-001</t>
        </is>
      </c>
      <c r="I184" t="n">
        <v>6</v>
      </c>
      <c r="J184" t="n">
        <v>7.8</v>
      </c>
      <c r="K184" t="n">
        <v>-0.355</v>
      </c>
      <c r="L184" t="n">
        <v>-0.664</v>
      </c>
      <c r="M184" t="n">
        <v>0.335</v>
      </c>
      <c r="N184">
        <f>ROUND(J184*F184*G184+K184*G184+L184*F184+M184,3)</f>
        <v/>
      </c>
      <c r="O184">
        <f>AND(N184&gt;=1.4,N184&lt;=13)</f>
        <v/>
      </c>
      <c r="P184">
        <f>IF(OR(N184&lt;1.4,N184&gt;13),"",IF(G184*1000&lt;=1170,IF(N184&lt;1.8,"1014",IF(N184&lt;2.9,"1018",IF(N184&lt;3.8,"1029",IF(N184&lt;5,"1038",IF(N184&lt;7,"1050",IF(N184&lt;9,"1070",IF(N184&lt;11,"1090","1110"))))))),IF(G184*1000&lt;=1570,IF(N184&lt;1.8,"",IF(N184&lt;2.9,"2018",IF(N184&lt;3.8,"2029",IF(N184&lt;5,"2038",IF(N184&lt;7,"2050",IF(N184&lt;9,"2070",IF(N184&lt;11,"2090","2110"))))))),IF(G184*1000&lt;=1700,IF(N184&lt;1.8,"",IF(N184&lt;2.9,"3018",IF(N184&lt;3.8,"3029",IF(N184&lt;5,"3038",IF(N184&lt;7,"3050",IF(N184&lt;9,"3070",IF(N184&lt;11,"3090","3110"))))))),""))))</f>
        <v/>
      </c>
      <c r="Q184">
        <f>AND(O184=TRUE,P184&lt;&gt;"")</f>
        <v/>
      </c>
      <c r="R184">
        <f>IF(G184*1000&lt;750,"なし","あり")</f>
        <v/>
      </c>
      <c r="S184">
        <f>IF(AND(O184=TRUE,Q184=TRUE),"設定可","BLOCK")</f>
        <v/>
      </c>
      <c r="T184" t="inlineStr">
        <is>
          <t>商品カタログ P194</t>
        </is>
      </c>
      <c r="U184" t="inlineStr">
        <is>
          <t>https://webcatalog.lixil.co.jp/iportal/CatalogDetail.do?catalogID=15191910000&amp;categoryID=1630000&amp;designID=newinter&amp;method=initial_screen&amp;position=18&amp;type=mc&amp;volumeID=LXL13001</t>
        </is>
      </c>
    </row>
    <row r="185">
      <c r="A185" t="inlineStr">
        <is>
          <t>WG-SL-00182</t>
        </is>
      </c>
      <c r="B185" t="inlineStr">
        <is>
          <t>SZ-SL-000966</t>
        </is>
      </c>
      <c r="C185" t="inlineStr">
        <is>
          <t>WT-SL-MENKOSHI-AGE-FS</t>
        </is>
      </c>
      <c r="D185" t="inlineStr">
        <is>
          <t>SP-SL-AGE-GRILLE-DIA</t>
        </is>
      </c>
      <c r="E185" t="inlineStr">
        <is>
          <t>03607</t>
        </is>
      </c>
      <c r="F185" t="n">
        <v>0.405</v>
      </c>
      <c r="G185" t="n">
        <v>0.77</v>
      </c>
      <c r="H185" t="inlineStr">
        <is>
          <t>GL-SL-002</t>
        </is>
      </c>
      <c r="I185" t="n">
        <v>7</v>
      </c>
      <c r="J185" t="n">
        <v>9.1</v>
      </c>
      <c r="K185" t="n">
        <v>-0.48</v>
      </c>
      <c r="L185" t="n">
        <v>-0.998</v>
      </c>
      <c r="M185" t="n">
        <v>0.367</v>
      </c>
      <c r="N185">
        <f>ROUND(J185*F185*G185+K185*G185+L185*F185+M185,3)</f>
        <v/>
      </c>
      <c r="O185">
        <f>AND(N185&gt;=1.4,N185&lt;=13)</f>
        <v/>
      </c>
      <c r="P185">
        <f>IF(OR(N185&lt;1.4,N185&gt;13),"",IF(G185*1000&lt;=1170,IF(N185&lt;1.8,"1014",IF(N185&lt;2.9,"1018",IF(N185&lt;3.8,"1029",IF(N185&lt;5,"1038",IF(N185&lt;7,"1050",IF(N185&lt;9,"1070",IF(N185&lt;11,"1090","1110"))))))),IF(G185*1000&lt;=1570,IF(N185&lt;1.8,"",IF(N185&lt;2.9,"2018",IF(N185&lt;3.8,"2029",IF(N185&lt;5,"2038",IF(N185&lt;7,"2050",IF(N185&lt;9,"2070",IF(N185&lt;11,"2090","2110"))))))),IF(G185*1000&lt;=1700,IF(N185&lt;1.8,"",IF(N185&lt;2.9,"3018",IF(N185&lt;3.8,"3029",IF(N185&lt;5,"3038",IF(N185&lt;7,"3050",IF(N185&lt;9,"3070",IF(N185&lt;11,"3090","3110"))))))),""))))</f>
        <v/>
      </c>
      <c r="Q185">
        <f>AND(O185=TRUE,P185&lt;&gt;"")</f>
        <v/>
      </c>
      <c r="R185">
        <f>IF(G185*1000&lt;750,"なし","あり")</f>
        <v/>
      </c>
      <c r="S185">
        <f>IF(AND(O185=TRUE,Q185=TRUE),"設定可","BLOCK")</f>
        <v/>
      </c>
      <c r="T185" t="inlineStr">
        <is>
          <t>商品カタログ P194</t>
        </is>
      </c>
      <c r="U185" t="inlineStr">
        <is>
          <t>https://webcatalog.lixil.co.jp/iportal/CatalogDetail.do?catalogID=15191910000&amp;categoryID=1630000&amp;designID=newinter&amp;method=initial_screen&amp;position=18&amp;type=mc&amp;volumeID=LXL13001</t>
        </is>
      </c>
    </row>
    <row r="186">
      <c r="A186" t="inlineStr">
        <is>
          <t>WG-SL-00183</t>
        </is>
      </c>
      <c r="B186" t="inlineStr">
        <is>
          <t>SZ-SL-000966</t>
        </is>
      </c>
      <c r="C186" t="inlineStr">
        <is>
          <t>WT-SL-MENKOSHI-AGE-FS</t>
        </is>
      </c>
      <c r="D186" t="inlineStr">
        <is>
          <t>SP-SL-AGE-GRILLE-DIA</t>
        </is>
      </c>
      <c r="E186" t="inlineStr">
        <is>
          <t>03607</t>
        </is>
      </c>
      <c r="F186" t="n">
        <v>0.405</v>
      </c>
      <c r="G186" t="n">
        <v>0.77</v>
      </c>
      <c r="H186" t="inlineStr">
        <is>
          <t>GL-SL-003</t>
        </is>
      </c>
      <c r="I186" t="n">
        <v>8</v>
      </c>
      <c r="J186" t="n">
        <v>10.4</v>
      </c>
      <c r="K186" t="n">
        <v>-0.605</v>
      </c>
      <c r="L186" t="n">
        <v>-1.332</v>
      </c>
      <c r="M186" t="n">
        <v>0.399</v>
      </c>
      <c r="N186">
        <f>ROUND(J186*F186*G186+K186*G186+L186*F186+M186,3)</f>
        <v/>
      </c>
      <c r="O186">
        <f>AND(N186&gt;=1.4,N186&lt;=13)</f>
        <v/>
      </c>
      <c r="P186">
        <f>IF(OR(N186&lt;1.4,N186&gt;13),"",IF(G186*1000&lt;=1170,IF(N186&lt;1.8,"1014",IF(N186&lt;2.9,"1018",IF(N186&lt;3.8,"1029",IF(N186&lt;5,"1038",IF(N186&lt;7,"1050",IF(N186&lt;9,"1070",IF(N186&lt;11,"1090","1110"))))))),IF(G186*1000&lt;=1570,IF(N186&lt;1.8,"",IF(N186&lt;2.9,"2018",IF(N186&lt;3.8,"2029",IF(N186&lt;5,"2038",IF(N186&lt;7,"2050",IF(N186&lt;9,"2070",IF(N186&lt;11,"2090","2110"))))))),IF(G186*1000&lt;=1700,IF(N186&lt;1.8,"",IF(N186&lt;2.9,"3018",IF(N186&lt;3.8,"3029",IF(N186&lt;5,"3038",IF(N186&lt;7,"3050",IF(N186&lt;9,"3070",IF(N186&lt;11,"3090","3110"))))))),""))))</f>
        <v/>
      </c>
      <c r="Q186">
        <f>AND(O186=TRUE,P186&lt;&gt;"")</f>
        <v/>
      </c>
      <c r="R186">
        <f>IF(G186*1000&lt;750,"なし","あり")</f>
        <v/>
      </c>
      <c r="S186">
        <f>IF(AND(O186=TRUE,Q186=TRUE),"設定可","BLOCK")</f>
        <v/>
      </c>
      <c r="T186" t="inlineStr">
        <is>
          <t>商品カタログ P194</t>
        </is>
      </c>
      <c r="U186" t="inlineStr">
        <is>
          <t>https://webcatalog.lixil.co.jp/iportal/CatalogDetail.do?catalogID=15191910000&amp;categoryID=1630000&amp;designID=newinter&amp;method=initial_screen&amp;position=18&amp;type=mc&amp;volumeID=LXL13001</t>
        </is>
      </c>
    </row>
    <row r="187">
      <c r="A187" t="inlineStr">
        <is>
          <t>WG-SL-00184</t>
        </is>
      </c>
      <c r="B187" t="inlineStr">
        <is>
          <t>SZ-SL-000966</t>
        </is>
      </c>
      <c r="C187" t="inlineStr">
        <is>
          <t>WT-SL-MENKOSHI-AGE-FS</t>
        </is>
      </c>
      <c r="D187" t="inlineStr">
        <is>
          <t>SP-SL-AGE-GRILLE-DIA</t>
        </is>
      </c>
      <c r="E187" t="inlineStr">
        <is>
          <t>03607</t>
        </is>
      </c>
      <c r="F187" t="n">
        <v>0.405</v>
      </c>
      <c r="G187" t="n">
        <v>0.77</v>
      </c>
      <c r="H187" t="inlineStr">
        <is>
          <t>GL-SL-004</t>
        </is>
      </c>
      <c r="I187" t="n">
        <v>6</v>
      </c>
      <c r="J187" t="n">
        <v>7.8</v>
      </c>
      <c r="K187" t="n">
        <v>-0.355</v>
      </c>
      <c r="L187" t="n">
        <v>-0.664</v>
      </c>
      <c r="M187" t="n">
        <v>0.335</v>
      </c>
      <c r="N187">
        <f>ROUND(J187*F187*G187+K187*G187+L187*F187+M187,3)</f>
        <v/>
      </c>
      <c r="O187">
        <f>AND(N187&gt;=1.4,N187&lt;=13)</f>
        <v/>
      </c>
      <c r="P187">
        <f>IF(OR(N187&lt;1.4,N187&gt;13),"",IF(G187*1000&lt;=1170,IF(N187&lt;1.8,"1014",IF(N187&lt;2.9,"1018",IF(N187&lt;3.8,"1029",IF(N187&lt;5,"1038",IF(N187&lt;7,"1050",IF(N187&lt;9,"1070",IF(N187&lt;11,"1090","1110"))))))),IF(G187*1000&lt;=1570,IF(N187&lt;1.8,"",IF(N187&lt;2.9,"2018",IF(N187&lt;3.8,"2029",IF(N187&lt;5,"2038",IF(N187&lt;7,"2050",IF(N187&lt;9,"2070",IF(N187&lt;11,"2090","2110"))))))),IF(G187*1000&lt;=1700,IF(N187&lt;1.8,"",IF(N187&lt;2.9,"3018",IF(N187&lt;3.8,"3029",IF(N187&lt;5,"3038",IF(N187&lt;7,"3050",IF(N187&lt;9,"3070",IF(N187&lt;11,"3090","3110"))))))),""))))</f>
        <v/>
      </c>
      <c r="Q187">
        <f>AND(O187=TRUE,P187&lt;&gt;"")</f>
        <v/>
      </c>
      <c r="R187">
        <f>IF(G187*1000&lt;750,"なし","あり")</f>
        <v/>
      </c>
      <c r="S187">
        <f>IF(AND(O187=TRUE,Q187=TRUE),"設定可","BLOCK")</f>
        <v/>
      </c>
      <c r="T187" t="inlineStr">
        <is>
          <t>商品カタログ P194</t>
        </is>
      </c>
      <c r="U187" t="inlineStr">
        <is>
          <t>https://webcatalog.lixil.co.jp/iportal/CatalogDetail.do?catalogID=15191910000&amp;categoryID=1630000&amp;designID=newinter&amp;method=initial_screen&amp;position=18&amp;type=mc&amp;volumeID=LXL13001</t>
        </is>
      </c>
    </row>
    <row r="188">
      <c r="A188" t="inlineStr">
        <is>
          <t>WG-SL-00185</t>
        </is>
      </c>
      <c r="B188" t="inlineStr">
        <is>
          <t>SZ-SL-000966</t>
        </is>
      </c>
      <c r="C188" t="inlineStr">
        <is>
          <t>WT-SL-MENKOSHI-AGE-FS</t>
        </is>
      </c>
      <c r="D188" t="inlineStr">
        <is>
          <t>SP-SL-AGE-GRILLE-DIA</t>
        </is>
      </c>
      <c r="E188" t="inlineStr">
        <is>
          <t>03607</t>
        </is>
      </c>
      <c r="F188" t="n">
        <v>0.405</v>
      </c>
      <c r="G188" t="n">
        <v>0.77</v>
      </c>
      <c r="H188" t="inlineStr">
        <is>
          <t>GL-SL-005</t>
        </is>
      </c>
      <c r="I188" t="n">
        <v>7</v>
      </c>
      <c r="J188" t="n">
        <v>9.1</v>
      </c>
      <c r="K188" t="n">
        <v>-0.48</v>
      </c>
      <c r="L188" t="n">
        <v>-0.998</v>
      </c>
      <c r="M188" t="n">
        <v>0.367</v>
      </c>
      <c r="N188">
        <f>ROUND(J188*F188*G188+K188*G188+L188*F188+M188,3)</f>
        <v/>
      </c>
      <c r="O188">
        <f>AND(N188&gt;=1.4,N188&lt;=13)</f>
        <v/>
      </c>
      <c r="P188">
        <f>IF(OR(N188&lt;1.4,N188&gt;13),"",IF(G188*1000&lt;=1170,IF(N188&lt;1.8,"1014",IF(N188&lt;2.9,"1018",IF(N188&lt;3.8,"1029",IF(N188&lt;5,"1038",IF(N188&lt;7,"1050",IF(N188&lt;9,"1070",IF(N188&lt;11,"1090","1110"))))))),IF(G188*1000&lt;=1570,IF(N188&lt;1.8,"",IF(N188&lt;2.9,"2018",IF(N188&lt;3.8,"2029",IF(N188&lt;5,"2038",IF(N188&lt;7,"2050",IF(N188&lt;9,"2070",IF(N188&lt;11,"2090","2110"))))))),IF(G188*1000&lt;=1700,IF(N188&lt;1.8,"",IF(N188&lt;2.9,"3018",IF(N188&lt;3.8,"3029",IF(N188&lt;5,"3038",IF(N188&lt;7,"3050",IF(N188&lt;9,"3070",IF(N188&lt;11,"3090","3110"))))))),""))))</f>
        <v/>
      </c>
      <c r="Q188">
        <f>AND(O188=TRUE,P188&lt;&gt;"")</f>
        <v/>
      </c>
      <c r="R188">
        <f>IF(G188*1000&lt;750,"なし","あり")</f>
        <v/>
      </c>
      <c r="S188">
        <f>IF(AND(O188=TRUE,Q188=TRUE),"設定可","BLOCK")</f>
        <v/>
      </c>
      <c r="T188" t="inlineStr">
        <is>
          <t>商品カタログ P194</t>
        </is>
      </c>
      <c r="U188" t="inlineStr">
        <is>
          <t>https://webcatalog.lixil.co.jp/iportal/CatalogDetail.do?catalogID=15191910000&amp;categoryID=1630000&amp;designID=newinter&amp;method=initial_screen&amp;position=18&amp;type=mc&amp;volumeID=LXL13001</t>
        </is>
      </c>
    </row>
    <row r="189">
      <c r="A189" t="inlineStr">
        <is>
          <t>WG-SL-00186</t>
        </is>
      </c>
      <c r="B189" t="inlineStr">
        <is>
          <t>SZ-SL-000966</t>
        </is>
      </c>
      <c r="C189" t="inlineStr">
        <is>
          <t>WT-SL-MENKOSHI-AGE-FS</t>
        </is>
      </c>
      <c r="D189" t="inlineStr">
        <is>
          <t>SP-SL-AGE-GRILLE-DIA</t>
        </is>
      </c>
      <c r="E189" t="inlineStr">
        <is>
          <t>03607</t>
        </is>
      </c>
      <c r="F189" t="n">
        <v>0.405</v>
      </c>
      <c r="G189" t="n">
        <v>0.77</v>
      </c>
      <c r="H189" t="inlineStr">
        <is>
          <t>GL-SL-006</t>
        </is>
      </c>
      <c r="I189" t="n">
        <v>8</v>
      </c>
      <c r="J189" t="n">
        <v>10.4</v>
      </c>
      <c r="K189" t="n">
        <v>-0.605</v>
      </c>
      <c r="L189" t="n">
        <v>-1.332</v>
      </c>
      <c r="M189" t="n">
        <v>0.399</v>
      </c>
      <c r="N189">
        <f>ROUND(J189*F189*G189+K189*G189+L189*F189+M189,3)</f>
        <v/>
      </c>
      <c r="O189">
        <f>AND(N189&gt;=1.4,N189&lt;=13)</f>
        <v/>
      </c>
      <c r="P189">
        <f>IF(OR(N189&lt;1.4,N189&gt;13),"",IF(G189*1000&lt;=1170,IF(N189&lt;1.8,"1014",IF(N189&lt;2.9,"1018",IF(N189&lt;3.8,"1029",IF(N189&lt;5,"1038",IF(N189&lt;7,"1050",IF(N189&lt;9,"1070",IF(N189&lt;11,"1090","1110"))))))),IF(G189*1000&lt;=1570,IF(N189&lt;1.8,"",IF(N189&lt;2.9,"2018",IF(N189&lt;3.8,"2029",IF(N189&lt;5,"2038",IF(N189&lt;7,"2050",IF(N189&lt;9,"2070",IF(N189&lt;11,"2090","2110"))))))),IF(G189*1000&lt;=1700,IF(N189&lt;1.8,"",IF(N189&lt;2.9,"3018",IF(N189&lt;3.8,"3029",IF(N189&lt;5,"3038",IF(N189&lt;7,"3050",IF(N189&lt;9,"3070",IF(N189&lt;11,"3090","3110"))))))),""))))</f>
        <v/>
      </c>
      <c r="Q189">
        <f>AND(O189=TRUE,P189&lt;&gt;"")</f>
        <v/>
      </c>
      <c r="R189">
        <f>IF(G189*1000&lt;750,"なし","あり")</f>
        <v/>
      </c>
      <c r="S189">
        <f>IF(AND(O189=TRUE,Q189=TRUE),"設定可","BLOCK")</f>
        <v/>
      </c>
      <c r="T189" t="inlineStr">
        <is>
          <t>商品カタログ P194</t>
        </is>
      </c>
      <c r="U189" t="inlineStr">
        <is>
          <t>https://webcatalog.lixil.co.jp/iportal/CatalogDetail.do?catalogID=15191910000&amp;categoryID=1630000&amp;designID=newinter&amp;method=initial_screen&amp;position=18&amp;type=mc&amp;volumeID=LXL13001</t>
        </is>
      </c>
    </row>
    <row r="190">
      <c r="A190" t="inlineStr">
        <is>
          <t>WG-SL-00187</t>
        </is>
      </c>
      <c r="B190" t="inlineStr">
        <is>
          <t>SZ-SL-000966</t>
        </is>
      </c>
      <c r="C190" t="inlineStr">
        <is>
          <t>WT-SL-MENKOSHI-AGE-FS</t>
        </is>
      </c>
      <c r="D190" t="inlineStr">
        <is>
          <t>SP-SL-AGE-GRILLE-DIA</t>
        </is>
      </c>
      <c r="E190" t="inlineStr">
        <is>
          <t>03607</t>
        </is>
      </c>
      <c r="F190" t="n">
        <v>0.405</v>
      </c>
      <c r="G190" t="n">
        <v>0.77</v>
      </c>
      <c r="H190" t="inlineStr">
        <is>
          <t>GL-SL-007</t>
        </is>
      </c>
      <c r="I190" t="n">
        <v>6</v>
      </c>
      <c r="J190" t="n">
        <v>7.8</v>
      </c>
      <c r="K190" t="n">
        <v>-0.355</v>
      </c>
      <c r="L190" t="n">
        <v>-0.664</v>
      </c>
      <c r="M190" t="n">
        <v>0.335</v>
      </c>
      <c r="N190">
        <f>ROUND(J190*F190*G190+K190*G190+L190*F190+M190,3)</f>
        <v/>
      </c>
      <c r="O190">
        <f>AND(N190&gt;=1.4,N190&lt;=13)</f>
        <v/>
      </c>
      <c r="P190">
        <f>IF(OR(N190&lt;1.4,N190&gt;13),"",IF(G190*1000&lt;=1170,IF(N190&lt;1.8,"1014",IF(N190&lt;2.9,"1018",IF(N190&lt;3.8,"1029",IF(N190&lt;5,"1038",IF(N190&lt;7,"1050",IF(N190&lt;9,"1070",IF(N190&lt;11,"1090","1110"))))))),IF(G190*1000&lt;=1570,IF(N190&lt;1.8,"",IF(N190&lt;2.9,"2018",IF(N190&lt;3.8,"2029",IF(N190&lt;5,"2038",IF(N190&lt;7,"2050",IF(N190&lt;9,"2070",IF(N190&lt;11,"2090","2110"))))))),IF(G190*1000&lt;=1700,IF(N190&lt;1.8,"",IF(N190&lt;2.9,"3018",IF(N190&lt;3.8,"3029",IF(N190&lt;5,"3038",IF(N190&lt;7,"3050",IF(N190&lt;9,"3070",IF(N190&lt;11,"3090","3110"))))))),""))))</f>
        <v/>
      </c>
      <c r="Q190">
        <f>AND(O190=TRUE,P190&lt;&gt;"")</f>
        <v/>
      </c>
      <c r="R190">
        <f>IF(G190*1000&lt;750,"なし","あり")</f>
        <v/>
      </c>
      <c r="S190">
        <f>IF(AND(O190=TRUE,Q190=TRUE),"設定可","BLOCK")</f>
        <v/>
      </c>
      <c r="T190" t="inlineStr">
        <is>
          <t>商品カタログ P194</t>
        </is>
      </c>
      <c r="U190" t="inlineStr">
        <is>
          <t>https://webcatalog.lixil.co.jp/iportal/CatalogDetail.do?catalogID=15191910000&amp;categoryID=1630000&amp;designID=newinter&amp;method=initial_screen&amp;position=18&amp;type=mc&amp;volumeID=LXL13001</t>
        </is>
      </c>
    </row>
    <row r="191">
      <c r="A191" t="inlineStr">
        <is>
          <t>WG-SL-00188</t>
        </is>
      </c>
      <c r="B191" t="inlineStr">
        <is>
          <t>SZ-SL-000966</t>
        </is>
      </c>
      <c r="C191" t="inlineStr">
        <is>
          <t>WT-SL-MENKOSHI-AGE-FS</t>
        </is>
      </c>
      <c r="D191" t="inlineStr">
        <is>
          <t>SP-SL-AGE-GRILLE-DIA</t>
        </is>
      </c>
      <c r="E191" t="inlineStr">
        <is>
          <t>03607</t>
        </is>
      </c>
      <c r="F191" t="n">
        <v>0.405</v>
      </c>
      <c r="G191" t="n">
        <v>0.77</v>
      </c>
      <c r="H191" t="inlineStr">
        <is>
          <t>GL-SL-008</t>
        </is>
      </c>
      <c r="I191" t="n">
        <v>7</v>
      </c>
      <c r="J191" t="n">
        <v>9.1</v>
      </c>
      <c r="K191" t="n">
        <v>-0.48</v>
      </c>
      <c r="L191" t="n">
        <v>-0.998</v>
      </c>
      <c r="M191" t="n">
        <v>0.367</v>
      </c>
      <c r="N191">
        <f>ROUND(J191*F191*G191+K191*G191+L191*F191+M191,3)</f>
        <v/>
      </c>
      <c r="O191">
        <f>AND(N191&gt;=1.4,N191&lt;=13)</f>
        <v/>
      </c>
      <c r="P191">
        <f>IF(OR(N191&lt;1.4,N191&gt;13),"",IF(G191*1000&lt;=1170,IF(N191&lt;1.8,"1014",IF(N191&lt;2.9,"1018",IF(N191&lt;3.8,"1029",IF(N191&lt;5,"1038",IF(N191&lt;7,"1050",IF(N191&lt;9,"1070",IF(N191&lt;11,"1090","1110"))))))),IF(G191*1000&lt;=1570,IF(N191&lt;1.8,"",IF(N191&lt;2.9,"2018",IF(N191&lt;3.8,"2029",IF(N191&lt;5,"2038",IF(N191&lt;7,"2050",IF(N191&lt;9,"2070",IF(N191&lt;11,"2090","2110"))))))),IF(G191*1000&lt;=1700,IF(N191&lt;1.8,"",IF(N191&lt;2.9,"3018",IF(N191&lt;3.8,"3029",IF(N191&lt;5,"3038",IF(N191&lt;7,"3050",IF(N191&lt;9,"3070",IF(N191&lt;11,"3090","3110"))))))),""))))</f>
        <v/>
      </c>
      <c r="Q191">
        <f>AND(O191=TRUE,P191&lt;&gt;"")</f>
        <v/>
      </c>
      <c r="R191">
        <f>IF(G191*1000&lt;750,"なし","あり")</f>
        <v/>
      </c>
      <c r="S191">
        <f>IF(AND(O191=TRUE,Q191=TRUE),"設定可","BLOCK")</f>
        <v/>
      </c>
      <c r="T191" t="inlineStr">
        <is>
          <t>商品カタログ P194</t>
        </is>
      </c>
      <c r="U191" t="inlineStr">
        <is>
          <t>https://webcatalog.lixil.co.jp/iportal/CatalogDetail.do?catalogID=15191910000&amp;categoryID=1630000&amp;designID=newinter&amp;method=initial_screen&amp;position=18&amp;type=mc&amp;volumeID=LXL13001</t>
        </is>
      </c>
    </row>
    <row r="192">
      <c r="A192" t="inlineStr">
        <is>
          <t>WG-SL-00189</t>
        </is>
      </c>
      <c r="B192" t="inlineStr">
        <is>
          <t>SZ-SL-000966</t>
        </is>
      </c>
      <c r="C192" t="inlineStr">
        <is>
          <t>WT-SL-MENKOSHI-AGE-FS</t>
        </is>
      </c>
      <c r="D192" t="inlineStr">
        <is>
          <t>SP-SL-AGE-GRILLE-DIA</t>
        </is>
      </c>
      <c r="E192" t="inlineStr">
        <is>
          <t>03607</t>
        </is>
      </c>
      <c r="F192" t="n">
        <v>0.405</v>
      </c>
      <c r="G192" t="n">
        <v>0.77</v>
      </c>
      <c r="H192" t="inlineStr">
        <is>
          <t>GL-SL-009</t>
        </is>
      </c>
      <c r="I192" t="n">
        <v>8</v>
      </c>
      <c r="J192" t="n">
        <v>10.4</v>
      </c>
      <c r="K192" t="n">
        <v>-0.605</v>
      </c>
      <c r="L192" t="n">
        <v>-1.332</v>
      </c>
      <c r="M192" t="n">
        <v>0.399</v>
      </c>
      <c r="N192">
        <f>ROUND(J192*F192*G192+K192*G192+L192*F192+M192,3)</f>
        <v/>
      </c>
      <c r="O192">
        <f>AND(N192&gt;=1.4,N192&lt;=13)</f>
        <v/>
      </c>
      <c r="P192">
        <f>IF(OR(N192&lt;1.4,N192&gt;13),"",IF(G192*1000&lt;=1170,IF(N192&lt;1.8,"1014",IF(N192&lt;2.9,"1018",IF(N192&lt;3.8,"1029",IF(N192&lt;5,"1038",IF(N192&lt;7,"1050",IF(N192&lt;9,"1070",IF(N192&lt;11,"1090","1110"))))))),IF(G192*1000&lt;=1570,IF(N192&lt;1.8,"",IF(N192&lt;2.9,"2018",IF(N192&lt;3.8,"2029",IF(N192&lt;5,"2038",IF(N192&lt;7,"2050",IF(N192&lt;9,"2070",IF(N192&lt;11,"2090","2110"))))))),IF(G192*1000&lt;=1700,IF(N192&lt;1.8,"",IF(N192&lt;2.9,"3018",IF(N192&lt;3.8,"3029",IF(N192&lt;5,"3038",IF(N192&lt;7,"3050",IF(N192&lt;9,"3070",IF(N192&lt;11,"3090","3110"))))))),""))))</f>
        <v/>
      </c>
      <c r="Q192">
        <f>AND(O192=TRUE,P192&lt;&gt;"")</f>
        <v/>
      </c>
      <c r="R192">
        <f>IF(G192*1000&lt;750,"なし","あり")</f>
        <v/>
      </c>
      <c r="S192">
        <f>IF(AND(O192=TRUE,Q192=TRUE),"設定可","BLOCK")</f>
        <v/>
      </c>
      <c r="T192" t="inlineStr">
        <is>
          <t>商品カタログ P194</t>
        </is>
      </c>
      <c r="U192" t="inlineStr">
        <is>
          <t>https://webcatalog.lixil.co.jp/iportal/CatalogDetail.do?catalogID=15191910000&amp;categoryID=1630000&amp;designID=newinter&amp;method=initial_screen&amp;position=18&amp;type=mc&amp;volumeID=LXL13001</t>
        </is>
      </c>
    </row>
    <row r="193">
      <c r="A193" t="inlineStr">
        <is>
          <t>WG-SL-00190</t>
        </is>
      </c>
      <c r="B193" t="inlineStr">
        <is>
          <t>SZ-SL-000967</t>
        </is>
      </c>
      <c r="C193" t="inlineStr">
        <is>
          <t>WT-SL-MENKOSHI-AGE-FS</t>
        </is>
      </c>
      <c r="D193" t="inlineStr">
        <is>
          <t>SP-SL-AGE-GRILLE-DIA</t>
        </is>
      </c>
      <c r="E193" t="inlineStr">
        <is>
          <t>06007</t>
        </is>
      </c>
      <c r="F193" t="n">
        <v>0.64</v>
      </c>
      <c r="G193" t="n">
        <v>0.77</v>
      </c>
      <c r="H193" t="inlineStr">
        <is>
          <t>GL-SL-001</t>
        </is>
      </c>
      <c r="I193" t="n">
        <v>6</v>
      </c>
      <c r="J193" t="n">
        <v>7.8</v>
      </c>
      <c r="K193" t="n">
        <v>-0.355</v>
      </c>
      <c r="L193" t="n">
        <v>-0.664</v>
      </c>
      <c r="M193" t="n">
        <v>0.335</v>
      </c>
      <c r="N193">
        <f>ROUND(J193*F193*G193+K193*G193+L193*F193+M193,3)</f>
        <v/>
      </c>
      <c r="O193">
        <f>AND(N193&gt;=1.4,N193&lt;=13)</f>
        <v/>
      </c>
      <c r="P193">
        <f>IF(OR(N193&lt;1.4,N193&gt;13),"",IF(G193*1000&lt;=1170,IF(N193&lt;1.8,"1014",IF(N193&lt;2.9,"1018",IF(N193&lt;3.8,"1029",IF(N193&lt;5,"1038",IF(N193&lt;7,"1050",IF(N193&lt;9,"1070",IF(N193&lt;11,"1090","1110"))))))),IF(G193*1000&lt;=1570,IF(N193&lt;1.8,"",IF(N193&lt;2.9,"2018",IF(N193&lt;3.8,"2029",IF(N193&lt;5,"2038",IF(N193&lt;7,"2050",IF(N193&lt;9,"2070",IF(N193&lt;11,"2090","2110"))))))),IF(G193*1000&lt;=1700,IF(N193&lt;1.8,"",IF(N193&lt;2.9,"3018",IF(N193&lt;3.8,"3029",IF(N193&lt;5,"3038",IF(N193&lt;7,"3050",IF(N193&lt;9,"3070",IF(N193&lt;11,"3090","3110"))))))),""))))</f>
        <v/>
      </c>
      <c r="Q193">
        <f>AND(O193=TRUE,P193&lt;&gt;"")</f>
        <v/>
      </c>
      <c r="R193">
        <f>IF(G193*1000&lt;750,"なし","あり")</f>
        <v/>
      </c>
      <c r="S193">
        <f>IF(AND(O193=TRUE,Q193=TRUE),"設定可","BLOCK")</f>
        <v/>
      </c>
      <c r="T193" t="inlineStr">
        <is>
          <t>商品カタログ P194</t>
        </is>
      </c>
      <c r="U193" t="inlineStr">
        <is>
          <t>https://webcatalog.lixil.co.jp/iportal/CatalogDetail.do?catalogID=15191910000&amp;categoryID=1630000&amp;designID=newinter&amp;method=initial_screen&amp;position=18&amp;type=mc&amp;volumeID=LXL13001</t>
        </is>
      </c>
    </row>
    <row r="194">
      <c r="A194" t="inlineStr">
        <is>
          <t>WG-SL-00191</t>
        </is>
      </c>
      <c r="B194" t="inlineStr">
        <is>
          <t>SZ-SL-000967</t>
        </is>
      </c>
      <c r="C194" t="inlineStr">
        <is>
          <t>WT-SL-MENKOSHI-AGE-FS</t>
        </is>
      </c>
      <c r="D194" t="inlineStr">
        <is>
          <t>SP-SL-AGE-GRILLE-DIA</t>
        </is>
      </c>
      <c r="E194" t="inlineStr">
        <is>
          <t>06007</t>
        </is>
      </c>
      <c r="F194" t="n">
        <v>0.64</v>
      </c>
      <c r="G194" t="n">
        <v>0.77</v>
      </c>
      <c r="H194" t="inlineStr">
        <is>
          <t>GL-SL-002</t>
        </is>
      </c>
      <c r="I194" t="n">
        <v>7</v>
      </c>
      <c r="J194" t="n">
        <v>9.1</v>
      </c>
      <c r="K194" t="n">
        <v>-0.48</v>
      </c>
      <c r="L194" t="n">
        <v>-0.998</v>
      </c>
      <c r="M194" t="n">
        <v>0.367</v>
      </c>
      <c r="N194">
        <f>ROUND(J194*F194*G194+K194*G194+L194*F194+M194,3)</f>
        <v/>
      </c>
      <c r="O194">
        <f>AND(N194&gt;=1.4,N194&lt;=13)</f>
        <v/>
      </c>
      <c r="P194">
        <f>IF(OR(N194&lt;1.4,N194&gt;13),"",IF(G194*1000&lt;=1170,IF(N194&lt;1.8,"1014",IF(N194&lt;2.9,"1018",IF(N194&lt;3.8,"1029",IF(N194&lt;5,"1038",IF(N194&lt;7,"1050",IF(N194&lt;9,"1070",IF(N194&lt;11,"1090","1110"))))))),IF(G194*1000&lt;=1570,IF(N194&lt;1.8,"",IF(N194&lt;2.9,"2018",IF(N194&lt;3.8,"2029",IF(N194&lt;5,"2038",IF(N194&lt;7,"2050",IF(N194&lt;9,"2070",IF(N194&lt;11,"2090","2110"))))))),IF(G194*1000&lt;=1700,IF(N194&lt;1.8,"",IF(N194&lt;2.9,"3018",IF(N194&lt;3.8,"3029",IF(N194&lt;5,"3038",IF(N194&lt;7,"3050",IF(N194&lt;9,"3070",IF(N194&lt;11,"3090","3110"))))))),""))))</f>
        <v/>
      </c>
      <c r="Q194">
        <f>AND(O194=TRUE,P194&lt;&gt;"")</f>
        <v/>
      </c>
      <c r="R194">
        <f>IF(G194*1000&lt;750,"なし","あり")</f>
        <v/>
      </c>
      <c r="S194">
        <f>IF(AND(O194=TRUE,Q194=TRUE),"設定可","BLOCK")</f>
        <v/>
      </c>
      <c r="T194" t="inlineStr">
        <is>
          <t>商品カタログ P194</t>
        </is>
      </c>
      <c r="U194" t="inlineStr">
        <is>
          <t>https://webcatalog.lixil.co.jp/iportal/CatalogDetail.do?catalogID=15191910000&amp;categoryID=1630000&amp;designID=newinter&amp;method=initial_screen&amp;position=18&amp;type=mc&amp;volumeID=LXL13001</t>
        </is>
      </c>
    </row>
    <row r="195">
      <c r="A195" t="inlineStr">
        <is>
          <t>WG-SL-00192</t>
        </is>
      </c>
      <c r="B195" t="inlineStr">
        <is>
          <t>SZ-SL-000967</t>
        </is>
      </c>
      <c r="C195" t="inlineStr">
        <is>
          <t>WT-SL-MENKOSHI-AGE-FS</t>
        </is>
      </c>
      <c r="D195" t="inlineStr">
        <is>
          <t>SP-SL-AGE-GRILLE-DIA</t>
        </is>
      </c>
      <c r="E195" t="inlineStr">
        <is>
          <t>06007</t>
        </is>
      </c>
      <c r="F195" t="n">
        <v>0.64</v>
      </c>
      <c r="G195" t="n">
        <v>0.77</v>
      </c>
      <c r="H195" t="inlineStr">
        <is>
          <t>GL-SL-003</t>
        </is>
      </c>
      <c r="I195" t="n">
        <v>8</v>
      </c>
      <c r="J195" t="n">
        <v>10.4</v>
      </c>
      <c r="K195" t="n">
        <v>-0.605</v>
      </c>
      <c r="L195" t="n">
        <v>-1.332</v>
      </c>
      <c r="M195" t="n">
        <v>0.399</v>
      </c>
      <c r="N195">
        <f>ROUND(J195*F195*G195+K195*G195+L195*F195+M195,3)</f>
        <v/>
      </c>
      <c r="O195">
        <f>AND(N195&gt;=1.4,N195&lt;=13)</f>
        <v/>
      </c>
      <c r="P195">
        <f>IF(OR(N195&lt;1.4,N195&gt;13),"",IF(G195*1000&lt;=1170,IF(N195&lt;1.8,"1014",IF(N195&lt;2.9,"1018",IF(N195&lt;3.8,"1029",IF(N195&lt;5,"1038",IF(N195&lt;7,"1050",IF(N195&lt;9,"1070",IF(N195&lt;11,"1090","1110"))))))),IF(G195*1000&lt;=1570,IF(N195&lt;1.8,"",IF(N195&lt;2.9,"2018",IF(N195&lt;3.8,"2029",IF(N195&lt;5,"2038",IF(N195&lt;7,"2050",IF(N195&lt;9,"2070",IF(N195&lt;11,"2090","2110"))))))),IF(G195*1000&lt;=1700,IF(N195&lt;1.8,"",IF(N195&lt;2.9,"3018",IF(N195&lt;3.8,"3029",IF(N195&lt;5,"3038",IF(N195&lt;7,"3050",IF(N195&lt;9,"3070",IF(N195&lt;11,"3090","3110"))))))),""))))</f>
        <v/>
      </c>
      <c r="Q195">
        <f>AND(O195=TRUE,P195&lt;&gt;"")</f>
        <v/>
      </c>
      <c r="R195">
        <f>IF(G195*1000&lt;750,"なし","あり")</f>
        <v/>
      </c>
      <c r="S195">
        <f>IF(AND(O195=TRUE,Q195=TRUE),"設定可","BLOCK")</f>
        <v/>
      </c>
      <c r="T195" t="inlineStr">
        <is>
          <t>商品カタログ P194</t>
        </is>
      </c>
      <c r="U195" t="inlineStr">
        <is>
          <t>https://webcatalog.lixil.co.jp/iportal/CatalogDetail.do?catalogID=15191910000&amp;categoryID=1630000&amp;designID=newinter&amp;method=initial_screen&amp;position=18&amp;type=mc&amp;volumeID=LXL13001</t>
        </is>
      </c>
    </row>
    <row r="196">
      <c r="A196" t="inlineStr">
        <is>
          <t>WG-SL-00193</t>
        </is>
      </c>
      <c r="B196" t="inlineStr">
        <is>
          <t>SZ-SL-000967</t>
        </is>
      </c>
      <c r="C196" t="inlineStr">
        <is>
          <t>WT-SL-MENKOSHI-AGE-FS</t>
        </is>
      </c>
      <c r="D196" t="inlineStr">
        <is>
          <t>SP-SL-AGE-GRILLE-DIA</t>
        </is>
      </c>
      <c r="E196" t="inlineStr">
        <is>
          <t>06007</t>
        </is>
      </c>
      <c r="F196" t="n">
        <v>0.64</v>
      </c>
      <c r="G196" t="n">
        <v>0.77</v>
      </c>
      <c r="H196" t="inlineStr">
        <is>
          <t>GL-SL-004</t>
        </is>
      </c>
      <c r="I196" t="n">
        <v>6</v>
      </c>
      <c r="J196" t="n">
        <v>7.8</v>
      </c>
      <c r="K196" t="n">
        <v>-0.355</v>
      </c>
      <c r="L196" t="n">
        <v>-0.664</v>
      </c>
      <c r="M196" t="n">
        <v>0.335</v>
      </c>
      <c r="N196">
        <f>ROUND(J196*F196*G196+K196*G196+L196*F196+M196,3)</f>
        <v/>
      </c>
      <c r="O196">
        <f>AND(N196&gt;=1.4,N196&lt;=13)</f>
        <v/>
      </c>
      <c r="P196">
        <f>IF(OR(N196&lt;1.4,N196&gt;13),"",IF(G196*1000&lt;=1170,IF(N196&lt;1.8,"1014",IF(N196&lt;2.9,"1018",IF(N196&lt;3.8,"1029",IF(N196&lt;5,"1038",IF(N196&lt;7,"1050",IF(N196&lt;9,"1070",IF(N196&lt;11,"1090","1110"))))))),IF(G196*1000&lt;=1570,IF(N196&lt;1.8,"",IF(N196&lt;2.9,"2018",IF(N196&lt;3.8,"2029",IF(N196&lt;5,"2038",IF(N196&lt;7,"2050",IF(N196&lt;9,"2070",IF(N196&lt;11,"2090","2110"))))))),IF(G196*1000&lt;=1700,IF(N196&lt;1.8,"",IF(N196&lt;2.9,"3018",IF(N196&lt;3.8,"3029",IF(N196&lt;5,"3038",IF(N196&lt;7,"3050",IF(N196&lt;9,"3070",IF(N196&lt;11,"3090","3110"))))))),""))))</f>
        <v/>
      </c>
      <c r="Q196">
        <f>AND(O196=TRUE,P196&lt;&gt;"")</f>
        <v/>
      </c>
      <c r="R196">
        <f>IF(G196*1000&lt;750,"なし","あり")</f>
        <v/>
      </c>
      <c r="S196">
        <f>IF(AND(O196=TRUE,Q196=TRUE),"設定可","BLOCK")</f>
        <v/>
      </c>
      <c r="T196" t="inlineStr">
        <is>
          <t>商品カタログ P194</t>
        </is>
      </c>
      <c r="U196" t="inlineStr">
        <is>
          <t>https://webcatalog.lixil.co.jp/iportal/CatalogDetail.do?catalogID=15191910000&amp;categoryID=1630000&amp;designID=newinter&amp;method=initial_screen&amp;position=18&amp;type=mc&amp;volumeID=LXL13001</t>
        </is>
      </c>
    </row>
    <row r="197">
      <c r="A197" t="inlineStr">
        <is>
          <t>WG-SL-00194</t>
        </is>
      </c>
      <c r="B197" t="inlineStr">
        <is>
          <t>SZ-SL-000967</t>
        </is>
      </c>
      <c r="C197" t="inlineStr">
        <is>
          <t>WT-SL-MENKOSHI-AGE-FS</t>
        </is>
      </c>
      <c r="D197" t="inlineStr">
        <is>
          <t>SP-SL-AGE-GRILLE-DIA</t>
        </is>
      </c>
      <c r="E197" t="inlineStr">
        <is>
          <t>06007</t>
        </is>
      </c>
      <c r="F197" t="n">
        <v>0.64</v>
      </c>
      <c r="G197" t="n">
        <v>0.77</v>
      </c>
      <c r="H197" t="inlineStr">
        <is>
          <t>GL-SL-005</t>
        </is>
      </c>
      <c r="I197" t="n">
        <v>7</v>
      </c>
      <c r="J197" t="n">
        <v>9.1</v>
      </c>
      <c r="K197" t="n">
        <v>-0.48</v>
      </c>
      <c r="L197" t="n">
        <v>-0.998</v>
      </c>
      <c r="M197" t="n">
        <v>0.367</v>
      </c>
      <c r="N197">
        <f>ROUND(J197*F197*G197+K197*G197+L197*F197+M197,3)</f>
        <v/>
      </c>
      <c r="O197">
        <f>AND(N197&gt;=1.4,N197&lt;=13)</f>
        <v/>
      </c>
      <c r="P197">
        <f>IF(OR(N197&lt;1.4,N197&gt;13),"",IF(G197*1000&lt;=1170,IF(N197&lt;1.8,"1014",IF(N197&lt;2.9,"1018",IF(N197&lt;3.8,"1029",IF(N197&lt;5,"1038",IF(N197&lt;7,"1050",IF(N197&lt;9,"1070",IF(N197&lt;11,"1090","1110"))))))),IF(G197*1000&lt;=1570,IF(N197&lt;1.8,"",IF(N197&lt;2.9,"2018",IF(N197&lt;3.8,"2029",IF(N197&lt;5,"2038",IF(N197&lt;7,"2050",IF(N197&lt;9,"2070",IF(N197&lt;11,"2090","2110"))))))),IF(G197*1000&lt;=1700,IF(N197&lt;1.8,"",IF(N197&lt;2.9,"3018",IF(N197&lt;3.8,"3029",IF(N197&lt;5,"3038",IF(N197&lt;7,"3050",IF(N197&lt;9,"3070",IF(N197&lt;11,"3090","3110"))))))),""))))</f>
        <v/>
      </c>
      <c r="Q197">
        <f>AND(O197=TRUE,P197&lt;&gt;"")</f>
        <v/>
      </c>
      <c r="R197">
        <f>IF(G197*1000&lt;750,"なし","あり")</f>
        <v/>
      </c>
      <c r="S197">
        <f>IF(AND(O197=TRUE,Q197=TRUE),"設定可","BLOCK")</f>
        <v/>
      </c>
      <c r="T197" t="inlineStr">
        <is>
          <t>商品カタログ P194</t>
        </is>
      </c>
      <c r="U197" t="inlineStr">
        <is>
          <t>https://webcatalog.lixil.co.jp/iportal/CatalogDetail.do?catalogID=15191910000&amp;categoryID=1630000&amp;designID=newinter&amp;method=initial_screen&amp;position=18&amp;type=mc&amp;volumeID=LXL13001</t>
        </is>
      </c>
    </row>
    <row r="198">
      <c r="A198" t="inlineStr">
        <is>
          <t>WG-SL-00195</t>
        </is>
      </c>
      <c r="B198" t="inlineStr">
        <is>
          <t>SZ-SL-000967</t>
        </is>
      </c>
      <c r="C198" t="inlineStr">
        <is>
          <t>WT-SL-MENKOSHI-AGE-FS</t>
        </is>
      </c>
      <c r="D198" t="inlineStr">
        <is>
          <t>SP-SL-AGE-GRILLE-DIA</t>
        </is>
      </c>
      <c r="E198" t="inlineStr">
        <is>
          <t>06007</t>
        </is>
      </c>
      <c r="F198" t="n">
        <v>0.64</v>
      </c>
      <c r="G198" t="n">
        <v>0.77</v>
      </c>
      <c r="H198" t="inlineStr">
        <is>
          <t>GL-SL-006</t>
        </is>
      </c>
      <c r="I198" t="n">
        <v>8</v>
      </c>
      <c r="J198" t="n">
        <v>10.4</v>
      </c>
      <c r="K198" t="n">
        <v>-0.605</v>
      </c>
      <c r="L198" t="n">
        <v>-1.332</v>
      </c>
      <c r="M198" t="n">
        <v>0.399</v>
      </c>
      <c r="N198">
        <f>ROUND(J198*F198*G198+K198*G198+L198*F198+M198,3)</f>
        <v/>
      </c>
      <c r="O198">
        <f>AND(N198&gt;=1.4,N198&lt;=13)</f>
        <v/>
      </c>
      <c r="P198">
        <f>IF(OR(N198&lt;1.4,N198&gt;13),"",IF(G198*1000&lt;=1170,IF(N198&lt;1.8,"1014",IF(N198&lt;2.9,"1018",IF(N198&lt;3.8,"1029",IF(N198&lt;5,"1038",IF(N198&lt;7,"1050",IF(N198&lt;9,"1070",IF(N198&lt;11,"1090","1110"))))))),IF(G198*1000&lt;=1570,IF(N198&lt;1.8,"",IF(N198&lt;2.9,"2018",IF(N198&lt;3.8,"2029",IF(N198&lt;5,"2038",IF(N198&lt;7,"2050",IF(N198&lt;9,"2070",IF(N198&lt;11,"2090","2110"))))))),IF(G198*1000&lt;=1700,IF(N198&lt;1.8,"",IF(N198&lt;2.9,"3018",IF(N198&lt;3.8,"3029",IF(N198&lt;5,"3038",IF(N198&lt;7,"3050",IF(N198&lt;9,"3070",IF(N198&lt;11,"3090","3110"))))))),""))))</f>
        <v/>
      </c>
      <c r="Q198">
        <f>AND(O198=TRUE,P198&lt;&gt;"")</f>
        <v/>
      </c>
      <c r="R198">
        <f>IF(G198*1000&lt;750,"なし","あり")</f>
        <v/>
      </c>
      <c r="S198">
        <f>IF(AND(O198=TRUE,Q198=TRUE),"設定可","BLOCK")</f>
        <v/>
      </c>
      <c r="T198" t="inlineStr">
        <is>
          <t>商品カタログ P194</t>
        </is>
      </c>
      <c r="U198" t="inlineStr">
        <is>
          <t>https://webcatalog.lixil.co.jp/iportal/CatalogDetail.do?catalogID=15191910000&amp;categoryID=1630000&amp;designID=newinter&amp;method=initial_screen&amp;position=18&amp;type=mc&amp;volumeID=LXL13001</t>
        </is>
      </c>
    </row>
    <row r="199">
      <c r="A199" t="inlineStr">
        <is>
          <t>WG-SL-00196</t>
        </is>
      </c>
      <c r="B199" t="inlineStr">
        <is>
          <t>SZ-SL-000967</t>
        </is>
      </c>
      <c r="C199" t="inlineStr">
        <is>
          <t>WT-SL-MENKOSHI-AGE-FS</t>
        </is>
      </c>
      <c r="D199" t="inlineStr">
        <is>
          <t>SP-SL-AGE-GRILLE-DIA</t>
        </is>
      </c>
      <c r="E199" t="inlineStr">
        <is>
          <t>06007</t>
        </is>
      </c>
      <c r="F199" t="n">
        <v>0.64</v>
      </c>
      <c r="G199" t="n">
        <v>0.77</v>
      </c>
      <c r="H199" t="inlineStr">
        <is>
          <t>GL-SL-007</t>
        </is>
      </c>
      <c r="I199" t="n">
        <v>6</v>
      </c>
      <c r="J199" t="n">
        <v>7.8</v>
      </c>
      <c r="K199" t="n">
        <v>-0.355</v>
      </c>
      <c r="L199" t="n">
        <v>-0.664</v>
      </c>
      <c r="M199" t="n">
        <v>0.335</v>
      </c>
      <c r="N199">
        <f>ROUND(J199*F199*G199+K199*G199+L199*F199+M199,3)</f>
        <v/>
      </c>
      <c r="O199">
        <f>AND(N199&gt;=1.4,N199&lt;=13)</f>
        <v/>
      </c>
      <c r="P199">
        <f>IF(OR(N199&lt;1.4,N199&gt;13),"",IF(G199*1000&lt;=1170,IF(N199&lt;1.8,"1014",IF(N199&lt;2.9,"1018",IF(N199&lt;3.8,"1029",IF(N199&lt;5,"1038",IF(N199&lt;7,"1050",IF(N199&lt;9,"1070",IF(N199&lt;11,"1090","1110"))))))),IF(G199*1000&lt;=1570,IF(N199&lt;1.8,"",IF(N199&lt;2.9,"2018",IF(N199&lt;3.8,"2029",IF(N199&lt;5,"2038",IF(N199&lt;7,"2050",IF(N199&lt;9,"2070",IF(N199&lt;11,"2090","2110"))))))),IF(G199*1000&lt;=1700,IF(N199&lt;1.8,"",IF(N199&lt;2.9,"3018",IF(N199&lt;3.8,"3029",IF(N199&lt;5,"3038",IF(N199&lt;7,"3050",IF(N199&lt;9,"3070",IF(N199&lt;11,"3090","3110"))))))),""))))</f>
        <v/>
      </c>
      <c r="Q199">
        <f>AND(O199=TRUE,P199&lt;&gt;"")</f>
        <v/>
      </c>
      <c r="R199">
        <f>IF(G199*1000&lt;750,"なし","あり")</f>
        <v/>
      </c>
      <c r="S199">
        <f>IF(AND(O199=TRUE,Q199=TRUE),"設定可","BLOCK")</f>
        <v/>
      </c>
      <c r="T199" t="inlineStr">
        <is>
          <t>商品カタログ P194</t>
        </is>
      </c>
      <c r="U199" t="inlineStr">
        <is>
          <t>https://webcatalog.lixil.co.jp/iportal/CatalogDetail.do?catalogID=15191910000&amp;categoryID=1630000&amp;designID=newinter&amp;method=initial_screen&amp;position=18&amp;type=mc&amp;volumeID=LXL13001</t>
        </is>
      </c>
    </row>
    <row r="200">
      <c r="A200" t="inlineStr">
        <is>
          <t>WG-SL-00197</t>
        </is>
      </c>
      <c r="B200" t="inlineStr">
        <is>
          <t>SZ-SL-000967</t>
        </is>
      </c>
      <c r="C200" t="inlineStr">
        <is>
          <t>WT-SL-MENKOSHI-AGE-FS</t>
        </is>
      </c>
      <c r="D200" t="inlineStr">
        <is>
          <t>SP-SL-AGE-GRILLE-DIA</t>
        </is>
      </c>
      <c r="E200" t="inlineStr">
        <is>
          <t>06007</t>
        </is>
      </c>
      <c r="F200" t="n">
        <v>0.64</v>
      </c>
      <c r="G200" t="n">
        <v>0.77</v>
      </c>
      <c r="H200" t="inlineStr">
        <is>
          <t>GL-SL-008</t>
        </is>
      </c>
      <c r="I200" t="n">
        <v>7</v>
      </c>
      <c r="J200" t="n">
        <v>9.1</v>
      </c>
      <c r="K200" t="n">
        <v>-0.48</v>
      </c>
      <c r="L200" t="n">
        <v>-0.998</v>
      </c>
      <c r="M200" t="n">
        <v>0.367</v>
      </c>
      <c r="N200">
        <f>ROUND(J200*F200*G200+K200*G200+L200*F200+M200,3)</f>
        <v/>
      </c>
      <c r="O200">
        <f>AND(N200&gt;=1.4,N200&lt;=13)</f>
        <v/>
      </c>
      <c r="P200">
        <f>IF(OR(N200&lt;1.4,N200&gt;13),"",IF(G200*1000&lt;=1170,IF(N200&lt;1.8,"1014",IF(N200&lt;2.9,"1018",IF(N200&lt;3.8,"1029",IF(N200&lt;5,"1038",IF(N200&lt;7,"1050",IF(N200&lt;9,"1070",IF(N200&lt;11,"1090","1110"))))))),IF(G200*1000&lt;=1570,IF(N200&lt;1.8,"",IF(N200&lt;2.9,"2018",IF(N200&lt;3.8,"2029",IF(N200&lt;5,"2038",IF(N200&lt;7,"2050",IF(N200&lt;9,"2070",IF(N200&lt;11,"2090","2110"))))))),IF(G200*1000&lt;=1700,IF(N200&lt;1.8,"",IF(N200&lt;2.9,"3018",IF(N200&lt;3.8,"3029",IF(N200&lt;5,"3038",IF(N200&lt;7,"3050",IF(N200&lt;9,"3070",IF(N200&lt;11,"3090","3110"))))))),""))))</f>
        <v/>
      </c>
      <c r="Q200">
        <f>AND(O200=TRUE,P200&lt;&gt;"")</f>
        <v/>
      </c>
      <c r="R200">
        <f>IF(G200*1000&lt;750,"なし","あり")</f>
        <v/>
      </c>
      <c r="S200">
        <f>IF(AND(O200=TRUE,Q200=TRUE),"設定可","BLOCK")</f>
        <v/>
      </c>
      <c r="T200" t="inlineStr">
        <is>
          <t>商品カタログ P194</t>
        </is>
      </c>
      <c r="U200" t="inlineStr">
        <is>
          <t>https://webcatalog.lixil.co.jp/iportal/CatalogDetail.do?catalogID=15191910000&amp;categoryID=1630000&amp;designID=newinter&amp;method=initial_screen&amp;position=18&amp;type=mc&amp;volumeID=LXL13001</t>
        </is>
      </c>
    </row>
    <row r="201">
      <c r="A201" t="inlineStr">
        <is>
          <t>WG-SL-00198</t>
        </is>
      </c>
      <c r="B201" t="inlineStr">
        <is>
          <t>SZ-SL-000967</t>
        </is>
      </c>
      <c r="C201" t="inlineStr">
        <is>
          <t>WT-SL-MENKOSHI-AGE-FS</t>
        </is>
      </c>
      <c r="D201" t="inlineStr">
        <is>
          <t>SP-SL-AGE-GRILLE-DIA</t>
        </is>
      </c>
      <c r="E201" t="inlineStr">
        <is>
          <t>06007</t>
        </is>
      </c>
      <c r="F201" t="n">
        <v>0.64</v>
      </c>
      <c r="G201" t="n">
        <v>0.77</v>
      </c>
      <c r="H201" t="inlineStr">
        <is>
          <t>GL-SL-009</t>
        </is>
      </c>
      <c r="I201" t="n">
        <v>8</v>
      </c>
      <c r="J201" t="n">
        <v>10.4</v>
      </c>
      <c r="K201" t="n">
        <v>-0.605</v>
      </c>
      <c r="L201" t="n">
        <v>-1.332</v>
      </c>
      <c r="M201" t="n">
        <v>0.399</v>
      </c>
      <c r="N201">
        <f>ROUND(J201*F201*G201+K201*G201+L201*F201+M201,3)</f>
        <v/>
      </c>
      <c r="O201">
        <f>AND(N201&gt;=1.4,N201&lt;=13)</f>
        <v/>
      </c>
      <c r="P201">
        <f>IF(OR(N201&lt;1.4,N201&gt;13),"",IF(G201*1000&lt;=1170,IF(N201&lt;1.8,"1014",IF(N201&lt;2.9,"1018",IF(N201&lt;3.8,"1029",IF(N201&lt;5,"1038",IF(N201&lt;7,"1050",IF(N201&lt;9,"1070",IF(N201&lt;11,"1090","1110"))))))),IF(G201*1000&lt;=1570,IF(N201&lt;1.8,"",IF(N201&lt;2.9,"2018",IF(N201&lt;3.8,"2029",IF(N201&lt;5,"2038",IF(N201&lt;7,"2050",IF(N201&lt;9,"2070",IF(N201&lt;11,"2090","2110"))))))),IF(G201*1000&lt;=1700,IF(N201&lt;1.8,"",IF(N201&lt;2.9,"3018",IF(N201&lt;3.8,"3029",IF(N201&lt;5,"3038",IF(N201&lt;7,"3050",IF(N201&lt;9,"3070",IF(N201&lt;11,"3090","3110"))))))),""))))</f>
        <v/>
      </c>
      <c r="Q201">
        <f>AND(O201=TRUE,P201&lt;&gt;"")</f>
        <v/>
      </c>
      <c r="R201">
        <f>IF(G201*1000&lt;750,"なし","あり")</f>
        <v/>
      </c>
      <c r="S201">
        <f>IF(AND(O201=TRUE,Q201=TRUE),"設定可","BLOCK")</f>
        <v/>
      </c>
      <c r="T201" t="inlineStr">
        <is>
          <t>商品カタログ P194</t>
        </is>
      </c>
      <c r="U201" t="inlineStr">
        <is>
          <t>https://webcatalog.lixil.co.jp/iportal/CatalogDetail.do?catalogID=15191910000&amp;categoryID=1630000&amp;designID=newinter&amp;method=initial_screen&amp;position=18&amp;type=mc&amp;volumeID=LXL13001</t>
        </is>
      </c>
    </row>
    <row r="202">
      <c r="A202" t="inlineStr">
        <is>
          <t>WG-SL-00199</t>
        </is>
      </c>
      <c r="B202" t="inlineStr">
        <is>
          <t>SZ-SL-000968</t>
        </is>
      </c>
      <c r="C202" t="inlineStr">
        <is>
          <t>WT-SL-MENKOSHI-AGE-FS</t>
        </is>
      </c>
      <c r="D202" t="inlineStr">
        <is>
          <t>SP-SL-AGE-GRILLE-DIA</t>
        </is>
      </c>
      <c r="E202" t="inlineStr">
        <is>
          <t>06907</t>
        </is>
      </c>
      <c r="F202" t="n">
        <v>0.73</v>
      </c>
      <c r="G202" t="n">
        <v>0.77</v>
      </c>
      <c r="H202" t="inlineStr">
        <is>
          <t>GL-SL-001</t>
        </is>
      </c>
      <c r="I202" t="n">
        <v>6</v>
      </c>
      <c r="J202" t="n">
        <v>7.8</v>
      </c>
      <c r="K202" t="n">
        <v>-0.355</v>
      </c>
      <c r="L202" t="n">
        <v>-0.664</v>
      </c>
      <c r="M202" t="n">
        <v>0.335</v>
      </c>
      <c r="N202">
        <f>ROUND(J202*F202*G202+K202*G202+L202*F202+M202,3)</f>
        <v/>
      </c>
      <c r="O202">
        <f>AND(N202&gt;=1.4,N202&lt;=13)</f>
        <v/>
      </c>
      <c r="P202">
        <f>IF(OR(N202&lt;1.4,N202&gt;13),"",IF(G202*1000&lt;=1170,IF(N202&lt;1.8,"1014",IF(N202&lt;2.9,"1018",IF(N202&lt;3.8,"1029",IF(N202&lt;5,"1038",IF(N202&lt;7,"1050",IF(N202&lt;9,"1070",IF(N202&lt;11,"1090","1110"))))))),IF(G202*1000&lt;=1570,IF(N202&lt;1.8,"",IF(N202&lt;2.9,"2018",IF(N202&lt;3.8,"2029",IF(N202&lt;5,"2038",IF(N202&lt;7,"2050",IF(N202&lt;9,"2070",IF(N202&lt;11,"2090","2110"))))))),IF(G202*1000&lt;=1700,IF(N202&lt;1.8,"",IF(N202&lt;2.9,"3018",IF(N202&lt;3.8,"3029",IF(N202&lt;5,"3038",IF(N202&lt;7,"3050",IF(N202&lt;9,"3070",IF(N202&lt;11,"3090","3110"))))))),""))))</f>
        <v/>
      </c>
      <c r="Q202">
        <f>AND(O202=TRUE,P202&lt;&gt;"")</f>
        <v/>
      </c>
      <c r="R202">
        <f>IF(G202*1000&lt;750,"なし","あり")</f>
        <v/>
      </c>
      <c r="S202">
        <f>IF(AND(O202=TRUE,Q202=TRUE),"設定可","BLOCK")</f>
        <v/>
      </c>
      <c r="T202" t="inlineStr">
        <is>
          <t>商品カタログ P194</t>
        </is>
      </c>
      <c r="U202" t="inlineStr">
        <is>
          <t>https://webcatalog.lixil.co.jp/iportal/CatalogDetail.do?catalogID=15191910000&amp;categoryID=1630000&amp;designID=newinter&amp;method=initial_screen&amp;position=18&amp;type=mc&amp;volumeID=LXL13001</t>
        </is>
      </c>
    </row>
    <row r="203">
      <c r="A203" t="inlineStr">
        <is>
          <t>WG-SL-00200</t>
        </is>
      </c>
      <c r="B203" t="inlineStr">
        <is>
          <t>SZ-SL-000968</t>
        </is>
      </c>
      <c r="C203" t="inlineStr">
        <is>
          <t>WT-SL-MENKOSHI-AGE-FS</t>
        </is>
      </c>
      <c r="D203" t="inlineStr">
        <is>
          <t>SP-SL-AGE-GRILLE-DIA</t>
        </is>
      </c>
      <c r="E203" t="inlineStr">
        <is>
          <t>06907</t>
        </is>
      </c>
      <c r="F203" t="n">
        <v>0.73</v>
      </c>
      <c r="G203" t="n">
        <v>0.77</v>
      </c>
      <c r="H203" t="inlineStr">
        <is>
          <t>GL-SL-002</t>
        </is>
      </c>
      <c r="I203" t="n">
        <v>7</v>
      </c>
      <c r="J203" t="n">
        <v>9.1</v>
      </c>
      <c r="K203" t="n">
        <v>-0.48</v>
      </c>
      <c r="L203" t="n">
        <v>-0.998</v>
      </c>
      <c r="M203" t="n">
        <v>0.367</v>
      </c>
      <c r="N203">
        <f>ROUND(J203*F203*G203+K203*G203+L203*F203+M203,3)</f>
        <v/>
      </c>
      <c r="O203">
        <f>AND(N203&gt;=1.4,N203&lt;=13)</f>
        <v/>
      </c>
      <c r="P203">
        <f>IF(OR(N203&lt;1.4,N203&gt;13),"",IF(G203*1000&lt;=1170,IF(N203&lt;1.8,"1014",IF(N203&lt;2.9,"1018",IF(N203&lt;3.8,"1029",IF(N203&lt;5,"1038",IF(N203&lt;7,"1050",IF(N203&lt;9,"1070",IF(N203&lt;11,"1090","1110"))))))),IF(G203*1000&lt;=1570,IF(N203&lt;1.8,"",IF(N203&lt;2.9,"2018",IF(N203&lt;3.8,"2029",IF(N203&lt;5,"2038",IF(N203&lt;7,"2050",IF(N203&lt;9,"2070",IF(N203&lt;11,"2090","2110"))))))),IF(G203*1000&lt;=1700,IF(N203&lt;1.8,"",IF(N203&lt;2.9,"3018",IF(N203&lt;3.8,"3029",IF(N203&lt;5,"3038",IF(N203&lt;7,"3050",IF(N203&lt;9,"3070",IF(N203&lt;11,"3090","3110"))))))),""))))</f>
        <v/>
      </c>
      <c r="Q203">
        <f>AND(O203=TRUE,P203&lt;&gt;"")</f>
        <v/>
      </c>
      <c r="R203">
        <f>IF(G203*1000&lt;750,"なし","あり")</f>
        <v/>
      </c>
      <c r="S203">
        <f>IF(AND(O203=TRUE,Q203=TRUE),"設定可","BLOCK")</f>
        <v/>
      </c>
      <c r="T203" t="inlineStr">
        <is>
          <t>商品カタログ P194</t>
        </is>
      </c>
      <c r="U203" t="inlineStr">
        <is>
          <t>https://webcatalog.lixil.co.jp/iportal/CatalogDetail.do?catalogID=15191910000&amp;categoryID=1630000&amp;designID=newinter&amp;method=initial_screen&amp;position=18&amp;type=mc&amp;volumeID=LXL13001</t>
        </is>
      </c>
    </row>
    <row r="204">
      <c r="A204" t="inlineStr">
        <is>
          <t>WG-SL-00201</t>
        </is>
      </c>
      <c r="B204" t="inlineStr">
        <is>
          <t>SZ-SL-000968</t>
        </is>
      </c>
      <c r="C204" t="inlineStr">
        <is>
          <t>WT-SL-MENKOSHI-AGE-FS</t>
        </is>
      </c>
      <c r="D204" t="inlineStr">
        <is>
          <t>SP-SL-AGE-GRILLE-DIA</t>
        </is>
      </c>
      <c r="E204" t="inlineStr">
        <is>
          <t>06907</t>
        </is>
      </c>
      <c r="F204" t="n">
        <v>0.73</v>
      </c>
      <c r="G204" t="n">
        <v>0.77</v>
      </c>
      <c r="H204" t="inlineStr">
        <is>
          <t>GL-SL-003</t>
        </is>
      </c>
      <c r="I204" t="n">
        <v>8</v>
      </c>
      <c r="J204" t="n">
        <v>10.4</v>
      </c>
      <c r="K204" t="n">
        <v>-0.605</v>
      </c>
      <c r="L204" t="n">
        <v>-1.332</v>
      </c>
      <c r="M204" t="n">
        <v>0.399</v>
      </c>
      <c r="N204">
        <f>ROUND(J204*F204*G204+K204*G204+L204*F204+M204,3)</f>
        <v/>
      </c>
      <c r="O204">
        <f>AND(N204&gt;=1.4,N204&lt;=13)</f>
        <v/>
      </c>
      <c r="P204">
        <f>IF(OR(N204&lt;1.4,N204&gt;13),"",IF(G204*1000&lt;=1170,IF(N204&lt;1.8,"1014",IF(N204&lt;2.9,"1018",IF(N204&lt;3.8,"1029",IF(N204&lt;5,"1038",IF(N204&lt;7,"1050",IF(N204&lt;9,"1070",IF(N204&lt;11,"1090","1110"))))))),IF(G204*1000&lt;=1570,IF(N204&lt;1.8,"",IF(N204&lt;2.9,"2018",IF(N204&lt;3.8,"2029",IF(N204&lt;5,"2038",IF(N204&lt;7,"2050",IF(N204&lt;9,"2070",IF(N204&lt;11,"2090","2110"))))))),IF(G204*1000&lt;=1700,IF(N204&lt;1.8,"",IF(N204&lt;2.9,"3018",IF(N204&lt;3.8,"3029",IF(N204&lt;5,"3038",IF(N204&lt;7,"3050",IF(N204&lt;9,"3070",IF(N204&lt;11,"3090","3110"))))))),""))))</f>
        <v/>
      </c>
      <c r="Q204">
        <f>AND(O204=TRUE,P204&lt;&gt;"")</f>
        <v/>
      </c>
      <c r="R204">
        <f>IF(G204*1000&lt;750,"なし","あり")</f>
        <v/>
      </c>
      <c r="S204">
        <f>IF(AND(O204=TRUE,Q204=TRUE),"設定可","BLOCK")</f>
        <v/>
      </c>
      <c r="T204" t="inlineStr">
        <is>
          <t>商品カタログ P194</t>
        </is>
      </c>
      <c r="U204" t="inlineStr">
        <is>
          <t>https://webcatalog.lixil.co.jp/iportal/CatalogDetail.do?catalogID=15191910000&amp;categoryID=1630000&amp;designID=newinter&amp;method=initial_screen&amp;position=18&amp;type=mc&amp;volumeID=LXL13001</t>
        </is>
      </c>
    </row>
    <row r="205">
      <c r="A205" t="inlineStr">
        <is>
          <t>WG-SL-00202</t>
        </is>
      </c>
      <c r="B205" t="inlineStr">
        <is>
          <t>SZ-SL-000968</t>
        </is>
      </c>
      <c r="C205" t="inlineStr">
        <is>
          <t>WT-SL-MENKOSHI-AGE-FS</t>
        </is>
      </c>
      <c r="D205" t="inlineStr">
        <is>
          <t>SP-SL-AGE-GRILLE-DIA</t>
        </is>
      </c>
      <c r="E205" t="inlineStr">
        <is>
          <t>06907</t>
        </is>
      </c>
      <c r="F205" t="n">
        <v>0.73</v>
      </c>
      <c r="G205" t="n">
        <v>0.77</v>
      </c>
      <c r="H205" t="inlineStr">
        <is>
          <t>GL-SL-004</t>
        </is>
      </c>
      <c r="I205" t="n">
        <v>6</v>
      </c>
      <c r="J205" t="n">
        <v>7.8</v>
      </c>
      <c r="K205" t="n">
        <v>-0.355</v>
      </c>
      <c r="L205" t="n">
        <v>-0.664</v>
      </c>
      <c r="M205" t="n">
        <v>0.335</v>
      </c>
      <c r="N205">
        <f>ROUND(J205*F205*G205+K205*G205+L205*F205+M205,3)</f>
        <v/>
      </c>
      <c r="O205">
        <f>AND(N205&gt;=1.4,N205&lt;=13)</f>
        <v/>
      </c>
      <c r="P205">
        <f>IF(OR(N205&lt;1.4,N205&gt;13),"",IF(G205*1000&lt;=1170,IF(N205&lt;1.8,"1014",IF(N205&lt;2.9,"1018",IF(N205&lt;3.8,"1029",IF(N205&lt;5,"1038",IF(N205&lt;7,"1050",IF(N205&lt;9,"1070",IF(N205&lt;11,"1090","1110"))))))),IF(G205*1000&lt;=1570,IF(N205&lt;1.8,"",IF(N205&lt;2.9,"2018",IF(N205&lt;3.8,"2029",IF(N205&lt;5,"2038",IF(N205&lt;7,"2050",IF(N205&lt;9,"2070",IF(N205&lt;11,"2090","2110"))))))),IF(G205*1000&lt;=1700,IF(N205&lt;1.8,"",IF(N205&lt;2.9,"3018",IF(N205&lt;3.8,"3029",IF(N205&lt;5,"3038",IF(N205&lt;7,"3050",IF(N205&lt;9,"3070",IF(N205&lt;11,"3090","3110"))))))),""))))</f>
        <v/>
      </c>
      <c r="Q205">
        <f>AND(O205=TRUE,P205&lt;&gt;"")</f>
        <v/>
      </c>
      <c r="R205">
        <f>IF(G205*1000&lt;750,"なし","あり")</f>
        <v/>
      </c>
      <c r="S205">
        <f>IF(AND(O205=TRUE,Q205=TRUE),"設定可","BLOCK")</f>
        <v/>
      </c>
      <c r="T205" t="inlineStr">
        <is>
          <t>商品カタログ P194</t>
        </is>
      </c>
      <c r="U205" t="inlineStr">
        <is>
          <t>https://webcatalog.lixil.co.jp/iportal/CatalogDetail.do?catalogID=15191910000&amp;categoryID=1630000&amp;designID=newinter&amp;method=initial_screen&amp;position=18&amp;type=mc&amp;volumeID=LXL13001</t>
        </is>
      </c>
    </row>
    <row r="206">
      <c r="A206" t="inlineStr">
        <is>
          <t>WG-SL-00203</t>
        </is>
      </c>
      <c r="B206" t="inlineStr">
        <is>
          <t>SZ-SL-000968</t>
        </is>
      </c>
      <c r="C206" t="inlineStr">
        <is>
          <t>WT-SL-MENKOSHI-AGE-FS</t>
        </is>
      </c>
      <c r="D206" t="inlineStr">
        <is>
          <t>SP-SL-AGE-GRILLE-DIA</t>
        </is>
      </c>
      <c r="E206" t="inlineStr">
        <is>
          <t>06907</t>
        </is>
      </c>
      <c r="F206" t="n">
        <v>0.73</v>
      </c>
      <c r="G206" t="n">
        <v>0.77</v>
      </c>
      <c r="H206" t="inlineStr">
        <is>
          <t>GL-SL-005</t>
        </is>
      </c>
      <c r="I206" t="n">
        <v>7</v>
      </c>
      <c r="J206" t="n">
        <v>9.1</v>
      </c>
      <c r="K206" t="n">
        <v>-0.48</v>
      </c>
      <c r="L206" t="n">
        <v>-0.998</v>
      </c>
      <c r="M206" t="n">
        <v>0.367</v>
      </c>
      <c r="N206">
        <f>ROUND(J206*F206*G206+K206*G206+L206*F206+M206,3)</f>
        <v/>
      </c>
      <c r="O206">
        <f>AND(N206&gt;=1.4,N206&lt;=13)</f>
        <v/>
      </c>
      <c r="P206">
        <f>IF(OR(N206&lt;1.4,N206&gt;13),"",IF(G206*1000&lt;=1170,IF(N206&lt;1.8,"1014",IF(N206&lt;2.9,"1018",IF(N206&lt;3.8,"1029",IF(N206&lt;5,"1038",IF(N206&lt;7,"1050",IF(N206&lt;9,"1070",IF(N206&lt;11,"1090","1110"))))))),IF(G206*1000&lt;=1570,IF(N206&lt;1.8,"",IF(N206&lt;2.9,"2018",IF(N206&lt;3.8,"2029",IF(N206&lt;5,"2038",IF(N206&lt;7,"2050",IF(N206&lt;9,"2070",IF(N206&lt;11,"2090","2110"))))))),IF(G206*1000&lt;=1700,IF(N206&lt;1.8,"",IF(N206&lt;2.9,"3018",IF(N206&lt;3.8,"3029",IF(N206&lt;5,"3038",IF(N206&lt;7,"3050",IF(N206&lt;9,"3070",IF(N206&lt;11,"3090","3110"))))))),""))))</f>
        <v/>
      </c>
      <c r="Q206">
        <f>AND(O206=TRUE,P206&lt;&gt;"")</f>
        <v/>
      </c>
      <c r="R206">
        <f>IF(G206*1000&lt;750,"なし","あり")</f>
        <v/>
      </c>
      <c r="S206">
        <f>IF(AND(O206=TRUE,Q206=TRUE),"設定可","BLOCK")</f>
        <v/>
      </c>
      <c r="T206" t="inlineStr">
        <is>
          <t>商品カタログ P194</t>
        </is>
      </c>
      <c r="U206" t="inlineStr">
        <is>
          <t>https://webcatalog.lixil.co.jp/iportal/CatalogDetail.do?catalogID=15191910000&amp;categoryID=1630000&amp;designID=newinter&amp;method=initial_screen&amp;position=18&amp;type=mc&amp;volumeID=LXL13001</t>
        </is>
      </c>
    </row>
    <row r="207">
      <c r="A207" t="inlineStr">
        <is>
          <t>WG-SL-00204</t>
        </is>
      </c>
      <c r="B207" t="inlineStr">
        <is>
          <t>SZ-SL-000968</t>
        </is>
      </c>
      <c r="C207" t="inlineStr">
        <is>
          <t>WT-SL-MENKOSHI-AGE-FS</t>
        </is>
      </c>
      <c r="D207" t="inlineStr">
        <is>
          <t>SP-SL-AGE-GRILLE-DIA</t>
        </is>
      </c>
      <c r="E207" t="inlineStr">
        <is>
          <t>06907</t>
        </is>
      </c>
      <c r="F207" t="n">
        <v>0.73</v>
      </c>
      <c r="G207" t="n">
        <v>0.77</v>
      </c>
      <c r="H207" t="inlineStr">
        <is>
          <t>GL-SL-006</t>
        </is>
      </c>
      <c r="I207" t="n">
        <v>8</v>
      </c>
      <c r="J207" t="n">
        <v>10.4</v>
      </c>
      <c r="K207" t="n">
        <v>-0.605</v>
      </c>
      <c r="L207" t="n">
        <v>-1.332</v>
      </c>
      <c r="M207" t="n">
        <v>0.399</v>
      </c>
      <c r="N207">
        <f>ROUND(J207*F207*G207+K207*G207+L207*F207+M207,3)</f>
        <v/>
      </c>
      <c r="O207">
        <f>AND(N207&gt;=1.4,N207&lt;=13)</f>
        <v/>
      </c>
      <c r="P207">
        <f>IF(OR(N207&lt;1.4,N207&gt;13),"",IF(G207*1000&lt;=1170,IF(N207&lt;1.8,"1014",IF(N207&lt;2.9,"1018",IF(N207&lt;3.8,"1029",IF(N207&lt;5,"1038",IF(N207&lt;7,"1050",IF(N207&lt;9,"1070",IF(N207&lt;11,"1090","1110"))))))),IF(G207*1000&lt;=1570,IF(N207&lt;1.8,"",IF(N207&lt;2.9,"2018",IF(N207&lt;3.8,"2029",IF(N207&lt;5,"2038",IF(N207&lt;7,"2050",IF(N207&lt;9,"2070",IF(N207&lt;11,"2090","2110"))))))),IF(G207*1000&lt;=1700,IF(N207&lt;1.8,"",IF(N207&lt;2.9,"3018",IF(N207&lt;3.8,"3029",IF(N207&lt;5,"3038",IF(N207&lt;7,"3050",IF(N207&lt;9,"3070",IF(N207&lt;11,"3090","3110"))))))),""))))</f>
        <v/>
      </c>
      <c r="Q207">
        <f>AND(O207=TRUE,P207&lt;&gt;"")</f>
        <v/>
      </c>
      <c r="R207">
        <f>IF(G207*1000&lt;750,"なし","あり")</f>
        <v/>
      </c>
      <c r="S207">
        <f>IF(AND(O207=TRUE,Q207=TRUE),"設定可","BLOCK")</f>
        <v/>
      </c>
      <c r="T207" t="inlineStr">
        <is>
          <t>商品カタログ P194</t>
        </is>
      </c>
      <c r="U207" t="inlineStr">
        <is>
          <t>https://webcatalog.lixil.co.jp/iportal/CatalogDetail.do?catalogID=15191910000&amp;categoryID=1630000&amp;designID=newinter&amp;method=initial_screen&amp;position=18&amp;type=mc&amp;volumeID=LXL13001</t>
        </is>
      </c>
    </row>
    <row r="208">
      <c r="A208" t="inlineStr">
        <is>
          <t>WG-SL-00205</t>
        </is>
      </c>
      <c r="B208" t="inlineStr">
        <is>
          <t>SZ-SL-000968</t>
        </is>
      </c>
      <c r="C208" t="inlineStr">
        <is>
          <t>WT-SL-MENKOSHI-AGE-FS</t>
        </is>
      </c>
      <c r="D208" t="inlineStr">
        <is>
          <t>SP-SL-AGE-GRILLE-DIA</t>
        </is>
      </c>
      <c r="E208" t="inlineStr">
        <is>
          <t>06907</t>
        </is>
      </c>
      <c r="F208" t="n">
        <v>0.73</v>
      </c>
      <c r="G208" t="n">
        <v>0.77</v>
      </c>
      <c r="H208" t="inlineStr">
        <is>
          <t>GL-SL-007</t>
        </is>
      </c>
      <c r="I208" t="n">
        <v>6</v>
      </c>
      <c r="J208" t="n">
        <v>7.8</v>
      </c>
      <c r="K208" t="n">
        <v>-0.355</v>
      </c>
      <c r="L208" t="n">
        <v>-0.664</v>
      </c>
      <c r="M208" t="n">
        <v>0.335</v>
      </c>
      <c r="N208">
        <f>ROUND(J208*F208*G208+K208*G208+L208*F208+M208,3)</f>
        <v/>
      </c>
      <c r="O208">
        <f>AND(N208&gt;=1.4,N208&lt;=13)</f>
        <v/>
      </c>
      <c r="P208">
        <f>IF(OR(N208&lt;1.4,N208&gt;13),"",IF(G208*1000&lt;=1170,IF(N208&lt;1.8,"1014",IF(N208&lt;2.9,"1018",IF(N208&lt;3.8,"1029",IF(N208&lt;5,"1038",IF(N208&lt;7,"1050",IF(N208&lt;9,"1070",IF(N208&lt;11,"1090","1110"))))))),IF(G208*1000&lt;=1570,IF(N208&lt;1.8,"",IF(N208&lt;2.9,"2018",IF(N208&lt;3.8,"2029",IF(N208&lt;5,"2038",IF(N208&lt;7,"2050",IF(N208&lt;9,"2070",IF(N208&lt;11,"2090","2110"))))))),IF(G208*1000&lt;=1700,IF(N208&lt;1.8,"",IF(N208&lt;2.9,"3018",IF(N208&lt;3.8,"3029",IF(N208&lt;5,"3038",IF(N208&lt;7,"3050",IF(N208&lt;9,"3070",IF(N208&lt;11,"3090","3110"))))))),""))))</f>
        <v/>
      </c>
      <c r="Q208">
        <f>AND(O208=TRUE,P208&lt;&gt;"")</f>
        <v/>
      </c>
      <c r="R208">
        <f>IF(G208*1000&lt;750,"なし","あり")</f>
        <v/>
      </c>
      <c r="S208">
        <f>IF(AND(O208=TRUE,Q208=TRUE),"設定可","BLOCK")</f>
        <v/>
      </c>
      <c r="T208" t="inlineStr">
        <is>
          <t>商品カタログ P194</t>
        </is>
      </c>
      <c r="U208" t="inlineStr">
        <is>
          <t>https://webcatalog.lixil.co.jp/iportal/CatalogDetail.do?catalogID=15191910000&amp;categoryID=1630000&amp;designID=newinter&amp;method=initial_screen&amp;position=18&amp;type=mc&amp;volumeID=LXL13001</t>
        </is>
      </c>
    </row>
    <row r="209">
      <c r="A209" t="inlineStr">
        <is>
          <t>WG-SL-00206</t>
        </is>
      </c>
      <c r="B209" t="inlineStr">
        <is>
          <t>SZ-SL-000968</t>
        </is>
      </c>
      <c r="C209" t="inlineStr">
        <is>
          <t>WT-SL-MENKOSHI-AGE-FS</t>
        </is>
      </c>
      <c r="D209" t="inlineStr">
        <is>
          <t>SP-SL-AGE-GRILLE-DIA</t>
        </is>
      </c>
      <c r="E209" t="inlineStr">
        <is>
          <t>06907</t>
        </is>
      </c>
      <c r="F209" t="n">
        <v>0.73</v>
      </c>
      <c r="G209" t="n">
        <v>0.77</v>
      </c>
      <c r="H209" t="inlineStr">
        <is>
          <t>GL-SL-008</t>
        </is>
      </c>
      <c r="I209" t="n">
        <v>7</v>
      </c>
      <c r="J209" t="n">
        <v>9.1</v>
      </c>
      <c r="K209" t="n">
        <v>-0.48</v>
      </c>
      <c r="L209" t="n">
        <v>-0.998</v>
      </c>
      <c r="M209" t="n">
        <v>0.367</v>
      </c>
      <c r="N209">
        <f>ROUND(J209*F209*G209+K209*G209+L209*F209+M209,3)</f>
        <v/>
      </c>
      <c r="O209">
        <f>AND(N209&gt;=1.4,N209&lt;=13)</f>
        <v/>
      </c>
      <c r="P209">
        <f>IF(OR(N209&lt;1.4,N209&gt;13),"",IF(G209*1000&lt;=1170,IF(N209&lt;1.8,"1014",IF(N209&lt;2.9,"1018",IF(N209&lt;3.8,"1029",IF(N209&lt;5,"1038",IF(N209&lt;7,"1050",IF(N209&lt;9,"1070",IF(N209&lt;11,"1090","1110"))))))),IF(G209*1000&lt;=1570,IF(N209&lt;1.8,"",IF(N209&lt;2.9,"2018",IF(N209&lt;3.8,"2029",IF(N209&lt;5,"2038",IF(N209&lt;7,"2050",IF(N209&lt;9,"2070",IF(N209&lt;11,"2090","2110"))))))),IF(G209*1000&lt;=1700,IF(N209&lt;1.8,"",IF(N209&lt;2.9,"3018",IF(N209&lt;3.8,"3029",IF(N209&lt;5,"3038",IF(N209&lt;7,"3050",IF(N209&lt;9,"3070",IF(N209&lt;11,"3090","3110"))))))),""))))</f>
        <v/>
      </c>
      <c r="Q209">
        <f>AND(O209=TRUE,P209&lt;&gt;"")</f>
        <v/>
      </c>
      <c r="R209">
        <f>IF(G209*1000&lt;750,"なし","あり")</f>
        <v/>
      </c>
      <c r="S209">
        <f>IF(AND(O209=TRUE,Q209=TRUE),"設定可","BLOCK")</f>
        <v/>
      </c>
      <c r="T209" t="inlineStr">
        <is>
          <t>商品カタログ P194</t>
        </is>
      </c>
      <c r="U209" t="inlineStr">
        <is>
          <t>https://webcatalog.lixil.co.jp/iportal/CatalogDetail.do?catalogID=15191910000&amp;categoryID=1630000&amp;designID=newinter&amp;method=initial_screen&amp;position=18&amp;type=mc&amp;volumeID=LXL13001</t>
        </is>
      </c>
    </row>
    <row r="210">
      <c r="A210" t="inlineStr">
        <is>
          <t>WG-SL-00207</t>
        </is>
      </c>
      <c r="B210" t="inlineStr">
        <is>
          <t>SZ-SL-000968</t>
        </is>
      </c>
      <c r="C210" t="inlineStr">
        <is>
          <t>WT-SL-MENKOSHI-AGE-FS</t>
        </is>
      </c>
      <c r="D210" t="inlineStr">
        <is>
          <t>SP-SL-AGE-GRILLE-DIA</t>
        </is>
      </c>
      <c r="E210" t="inlineStr">
        <is>
          <t>06907</t>
        </is>
      </c>
      <c r="F210" t="n">
        <v>0.73</v>
      </c>
      <c r="G210" t="n">
        <v>0.77</v>
      </c>
      <c r="H210" t="inlineStr">
        <is>
          <t>GL-SL-009</t>
        </is>
      </c>
      <c r="I210" t="n">
        <v>8</v>
      </c>
      <c r="J210" t="n">
        <v>10.4</v>
      </c>
      <c r="K210" t="n">
        <v>-0.605</v>
      </c>
      <c r="L210" t="n">
        <v>-1.332</v>
      </c>
      <c r="M210" t="n">
        <v>0.399</v>
      </c>
      <c r="N210">
        <f>ROUND(J210*F210*G210+K210*G210+L210*F210+M210,3)</f>
        <v/>
      </c>
      <c r="O210">
        <f>AND(N210&gt;=1.4,N210&lt;=13)</f>
        <v/>
      </c>
      <c r="P210">
        <f>IF(OR(N210&lt;1.4,N210&gt;13),"",IF(G210*1000&lt;=1170,IF(N210&lt;1.8,"1014",IF(N210&lt;2.9,"1018",IF(N210&lt;3.8,"1029",IF(N210&lt;5,"1038",IF(N210&lt;7,"1050",IF(N210&lt;9,"1070",IF(N210&lt;11,"1090","1110"))))))),IF(G210*1000&lt;=1570,IF(N210&lt;1.8,"",IF(N210&lt;2.9,"2018",IF(N210&lt;3.8,"2029",IF(N210&lt;5,"2038",IF(N210&lt;7,"2050",IF(N210&lt;9,"2070",IF(N210&lt;11,"2090","2110"))))))),IF(G210*1000&lt;=1700,IF(N210&lt;1.8,"",IF(N210&lt;2.9,"3018",IF(N210&lt;3.8,"3029",IF(N210&lt;5,"3038",IF(N210&lt;7,"3050",IF(N210&lt;9,"3070",IF(N210&lt;11,"3090","3110"))))))),""))))</f>
        <v/>
      </c>
      <c r="Q210">
        <f>AND(O210=TRUE,P210&lt;&gt;"")</f>
        <v/>
      </c>
      <c r="R210">
        <f>IF(G210*1000&lt;750,"なし","あり")</f>
        <v/>
      </c>
      <c r="S210">
        <f>IF(AND(O210=TRUE,Q210=TRUE),"設定可","BLOCK")</f>
        <v/>
      </c>
      <c r="T210" t="inlineStr">
        <is>
          <t>商品カタログ P194</t>
        </is>
      </c>
      <c r="U210" t="inlineStr">
        <is>
          <t>https://webcatalog.lixil.co.jp/iportal/CatalogDetail.do?catalogID=15191910000&amp;categoryID=1630000&amp;designID=newinter&amp;method=initial_screen&amp;position=18&amp;type=mc&amp;volumeID=LXL13001</t>
        </is>
      </c>
    </row>
    <row r="211">
      <c r="A211" t="inlineStr">
        <is>
          <t>WG-SL-00208</t>
        </is>
      </c>
      <c r="B211" t="inlineStr">
        <is>
          <t>SZ-SL-000969</t>
        </is>
      </c>
      <c r="C211" t="inlineStr">
        <is>
          <t>WT-SL-MENKOSHI-AGE-FS</t>
        </is>
      </c>
      <c r="D211" t="inlineStr">
        <is>
          <t>SP-SL-AGE-GRILLE-DIA</t>
        </is>
      </c>
      <c r="E211" t="inlineStr">
        <is>
          <t>07407</t>
        </is>
      </c>
      <c r="F211" t="n">
        <v>0.78</v>
      </c>
      <c r="G211" t="n">
        <v>0.77</v>
      </c>
      <c r="H211" t="inlineStr">
        <is>
          <t>GL-SL-001</t>
        </is>
      </c>
      <c r="I211" t="n">
        <v>6</v>
      </c>
      <c r="J211" t="n">
        <v>7.8</v>
      </c>
      <c r="K211" t="n">
        <v>-0.355</v>
      </c>
      <c r="L211" t="n">
        <v>-0.664</v>
      </c>
      <c r="M211" t="n">
        <v>0.335</v>
      </c>
      <c r="N211">
        <f>ROUND(J211*F211*G211+K211*G211+L211*F211+M211,3)</f>
        <v/>
      </c>
      <c r="O211">
        <f>AND(N211&gt;=1.4,N211&lt;=13)</f>
        <v/>
      </c>
      <c r="P211">
        <f>IF(OR(N211&lt;1.4,N211&gt;13),"",IF(G211*1000&lt;=1170,IF(N211&lt;1.8,"1014",IF(N211&lt;2.9,"1018",IF(N211&lt;3.8,"1029",IF(N211&lt;5,"1038",IF(N211&lt;7,"1050",IF(N211&lt;9,"1070",IF(N211&lt;11,"1090","1110"))))))),IF(G211*1000&lt;=1570,IF(N211&lt;1.8,"",IF(N211&lt;2.9,"2018",IF(N211&lt;3.8,"2029",IF(N211&lt;5,"2038",IF(N211&lt;7,"2050",IF(N211&lt;9,"2070",IF(N211&lt;11,"2090","2110"))))))),IF(G211*1000&lt;=1700,IF(N211&lt;1.8,"",IF(N211&lt;2.9,"3018",IF(N211&lt;3.8,"3029",IF(N211&lt;5,"3038",IF(N211&lt;7,"3050",IF(N211&lt;9,"3070",IF(N211&lt;11,"3090","3110"))))))),""))))</f>
        <v/>
      </c>
      <c r="Q211">
        <f>AND(O211=TRUE,P211&lt;&gt;"")</f>
        <v/>
      </c>
      <c r="R211">
        <f>IF(G211*1000&lt;750,"なし","あり")</f>
        <v/>
      </c>
      <c r="S211">
        <f>IF(AND(O211=TRUE,Q211=TRUE),"設定可","BLOCK")</f>
        <v/>
      </c>
      <c r="T211" t="inlineStr">
        <is>
          <t>商品カタログ P194</t>
        </is>
      </c>
      <c r="U211" t="inlineStr">
        <is>
          <t>https://webcatalog.lixil.co.jp/iportal/CatalogDetail.do?catalogID=15191910000&amp;categoryID=1630000&amp;designID=newinter&amp;method=initial_screen&amp;position=18&amp;type=mc&amp;volumeID=LXL13001</t>
        </is>
      </c>
    </row>
    <row r="212">
      <c r="A212" t="inlineStr">
        <is>
          <t>WG-SL-00209</t>
        </is>
      </c>
      <c r="B212" t="inlineStr">
        <is>
          <t>SZ-SL-000969</t>
        </is>
      </c>
      <c r="C212" t="inlineStr">
        <is>
          <t>WT-SL-MENKOSHI-AGE-FS</t>
        </is>
      </c>
      <c r="D212" t="inlineStr">
        <is>
          <t>SP-SL-AGE-GRILLE-DIA</t>
        </is>
      </c>
      <c r="E212" t="inlineStr">
        <is>
          <t>07407</t>
        </is>
      </c>
      <c r="F212" t="n">
        <v>0.78</v>
      </c>
      <c r="G212" t="n">
        <v>0.77</v>
      </c>
      <c r="H212" t="inlineStr">
        <is>
          <t>GL-SL-002</t>
        </is>
      </c>
      <c r="I212" t="n">
        <v>7</v>
      </c>
      <c r="J212" t="n">
        <v>9.1</v>
      </c>
      <c r="K212" t="n">
        <v>-0.48</v>
      </c>
      <c r="L212" t="n">
        <v>-0.998</v>
      </c>
      <c r="M212" t="n">
        <v>0.367</v>
      </c>
      <c r="N212">
        <f>ROUND(J212*F212*G212+K212*G212+L212*F212+M212,3)</f>
        <v/>
      </c>
      <c r="O212">
        <f>AND(N212&gt;=1.4,N212&lt;=13)</f>
        <v/>
      </c>
      <c r="P212">
        <f>IF(OR(N212&lt;1.4,N212&gt;13),"",IF(G212*1000&lt;=1170,IF(N212&lt;1.8,"1014",IF(N212&lt;2.9,"1018",IF(N212&lt;3.8,"1029",IF(N212&lt;5,"1038",IF(N212&lt;7,"1050",IF(N212&lt;9,"1070",IF(N212&lt;11,"1090","1110"))))))),IF(G212*1000&lt;=1570,IF(N212&lt;1.8,"",IF(N212&lt;2.9,"2018",IF(N212&lt;3.8,"2029",IF(N212&lt;5,"2038",IF(N212&lt;7,"2050",IF(N212&lt;9,"2070",IF(N212&lt;11,"2090","2110"))))))),IF(G212*1000&lt;=1700,IF(N212&lt;1.8,"",IF(N212&lt;2.9,"3018",IF(N212&lt;3.8,"3029",IF(N212&lt;5,"3038",IF(N212&lt;7,"3050",IF(N212&lt;9,"3070",IF(N212&lt;11,"3090","3110"))))))),""))))</f>
        <v/>
      </c>
      <c r="Q212">
        <f>AND(O212=TRUE,P212&lt;&gt;"")</f>
        <v/>
      </c>
      <c r="R212">
        <f>IF(G212*1000&lt;750,"なし","あり")</f>
        <v/>
      </c>
      <c r="S212">
        <f>IF(AND(O212=TRUE,Q212=TRUE),"設定可","BLOCK")</f>
        <v/>
      </c>
      <c r="T212" t="inlineStr">
        <is>
          <t>商品カタログ P194</t>
        </is>
      </c>
      <c r="U212" t="inlineStr">
        <is>
          <t>https://webcatalog.lixil.co.jp/iportal/CatalogDetail.do?catalogID=15191910000&amp;categoryID=1630000&amp;designID=newinter&amp;method=initial_screen&amp;position=18&amp;type=mc&amp;volumeID=LXL13001</t>
        </is>
      </c>
    </row>
    <row r="213">
      <c r="A213" t="inlineStr">
        <is>
          <t>WG-SL-00210</t>
        </is>
      </c>
      <c r="B213" t="inlineStr">
        <is>
          <t>SZ-SL-000969</t>
        </is>
      </c>
      <c r="C213" t="inlineStr">
        <is>
          <t>WT-SL-MENKOSHI-AGE-FS</t>
        </is>
      </c>
      <c r="D213" t="inlineStr">
        <is>
          <t>SP-SL-AGE-GRILLE-DIA</t>
        </is>
      </c>
      <c r="E213" t="inlineStr">
        <is>
          <t>07407</t>
        </is>
      </c>
      <c r="F213" t="n">
        <v>0.78</v>
      </c>
      <c r="G213" t="n">
        <v>0.77</v>
      </c>
      <c r="H213" t="inlineStr">
        <is>
          <t>GL-SL-003</t>
        </is>
      </c>
      <c r="I213" t="n">
        <v>8</v>
      </c>
      <c r="J213" t="n">
        <v>10.4</v>
      </c>
      <c r="K213" t="n">
        <v>-0.605</v>
      </c>
      <c r="L213" t="n">
        <v>-1.332</v>
      </c>
      <c r="M213" t="n">
        <v>0.399</v>
      </c>
      <c r="N213">
        <f>ROUND(J213*F213*G213+K213*G213+L213*F213+M213,3)</f>
        <v/>
      </c>
      <c r="O213">
        <f>AND(N213&gt;=1.4,N213&lt;=13)</f>
        <v/>
      </c>
      <c r="P213">
        <f>IF(OR(N213&lt;1.4,N213&gt;13),"",IF(G213*1000&lt;=1170,IF(N213&lt;1.8,"1014",IF(N213&lt;2.9,"1018",IF(N213&lt;3.8,"1029",IF(N213&lt;5,"1038",IF(N213&lt;7,"1050",IF(N213&lt;9,"1070",IF(N213&lt;11,"1090","1110"))))))),IF(G213*1000&lt;=1570,IF(N213&lt;1.8,"",IF(N213&lt;2.9,"2018",IF(N213&lt;3.8,"2029",IF(N213&lt;5,"2038",IF(N213&lt;7,"2050",IF(N213&lt;9,"2070",IF(N213&lt;11,"2090","2110"))))))),IF(G213*1000&lt;=1700,IF(N213&lt;1.8,"",IF(N213&lt;2.9,"3018",IF(N213&lt;3.8,"3029",IF(N213&lt;5,"3038",IF(N213&lt;7,"3050",IF(N213&lt;9,"3070",IF(N213&lt;11,"3090","3110"))))))),""))))</f>
        <v/>
      </c>
      <c r="Q213">
        <f>AND(O213=TRUE,P213&lt;&gt;"")</f>
        <v/>
      </c>
      <c r="R213">
        <f>IF(G213*1000&lt;750,"なし","あり")</f>
        <v/>
      </c>
      <c r="S213">
        <f>IF(AND(O213=TRUE,Q213=TRUE),"設定可","BLOCK")</f>
        <v/>
      </c>
      <c r="T213" t="inlineStr">
        <is>
          <t>商品カタログ P194</t>
        </is>
      </c>
      <c r="U213" t="inlineStr">
        <is>
          <t>https://webcatalog.lixil.co.jp/iportal/CatalogDetail.do?catalogID=15191910000&amp;categoryID=1630000&amp;designID=newinter&amp;method=initial_screen&amp;position=18&amp;type=mc&amp;volumeID=LXL13001</t>
        </is>
      </c>
    </row>
    <row r="214">
      <c r="A214" t="inlineStr">
        <is>
          <t>WG-SL-00211</t>
        </is>
      </c>
      <c r="B214" t="inlineStr">
        <is>
          <t>SZ-SL-000969</t>
        </is>
      </c>
      <c r="C214" t="inlineStr">
        <is>
          <t>WT-SL-MENKOSHI-AGE-FS</t>
        </is>
      </c>
      <c r="D214" t="inlineStr">
        <is>
          <t>SP-SL-AGE-GRILLE-DIA</t>
        </is>
      </c>
      <c r="E214" t="inlineStr">
        <is>
          <t>07407</t>
        </is>
      </c>
      <c r="F214" t="n">
        <v>0.78</v>
      </c>
      <c r="G214" t="n">
        <v>0.77</v>
      </c>
      <c r="H214" t="inlineStr">
        <is>
          <t>GL-SL-004</t>
        </is>
      </c>
      <c r="I214" t="n">
        <v>6</v>
      </c>
      <c r="J214" t="n">
        <v>7.8</v>
      </c>
      <c r="K214" t="n">
        <v>-0.355</v>
      </c>
      <c r="L214" t="n">
        <v>-0.664</v>
      </c>
      <c r="M214" t="n">
        <v>0.335</v>
      </c>
      <c r="N214">
        <f>ROUND(J214*F214*G214+K214*G214+L214*F214+M214,3)</f>
        <v/>
      </c>
      <c r="O214">
        <f>AND(N214&gt;=1.4,N214&lt;=13)</f>
        <v/>
      </c>
      <c r="P214">
        <f>IF(OR(N214&lt;1.4,N214&gt;13),"",IF(G214*1000&lt;=1170,IF(N214&lt;1.8,"1014",IF(N214&lt;2.9,"1018",IF(N214&lt;3.8,"1029",IF(N214&lt;5,"1038",IF(N214&lt;7,"1050",IF(N214&lt;9,"1070",IF(N214&lt;11,"1090","1110"))))))),IF(G214*1000&lt;=1570,IF(N214&lt;1.8,"",IF(N214&lt;2.9,"2018",IF(N214&lt;3.8,"2029",IF(N214&lt;5,"2038",IF(N214&lt;7,"2050",IF(N214&lt;9,"2070",IF(N214&lt;11,"2090","2110"))))))),IF(G214*1000&lt;=1700,IF(N214&lt;1.8,"",IF(N214&lt;2.9,"3018",IF(N214&lt;3.8,"3029",IF(N214&lt;5,"3038",IF(N214&lt;7,"3050",IF(N214&lt;9,"3070",IF(N214&lt;11,"3090","3110"))))))),""))))</f>
        <v/>
      </c>
      <c r="Q214">
        <f>AND(O214=TRUE,P214&lt;&gt;"")</f>
        <v/>
      </c>
      <c r="R214">
        <f>IF(G214*1000&lt;750,"なし","あり")</f>
        <v/>
      </c>
      <c r="S214">
        <f>IF(AND(O214=TRUE,Q214=TRUE),"設定可","BLOCK")</f>
        <v/>
      </c>
      <c r="T214" t="inlineStr">
        <is>
          <t>商品カタログ P194</t>
        </is>
      </c>
      <c r="U214" t="inlineStr">
        <is>
          <t>https://webcatalog.lixil.co.jp/iportal/CatalogDetail.do?catalogID=15191910000&amp;categoryID=1630000&amp;designID=newinter&amp;method=initial_screen&amp;position=18&amp;type=mc&amp;volumeID=LXL13001</t>
        </is>
      </c>
    </row>
    <row r="215">
      <c r="A215" t="inlineStr">
        <is>
          <t>WG-SL-00212</t>
        </is>
      </c>
      <c r="B215" t="inlineStr">
        <is>
          <t>SZ-SL-000969</t>
        </is>
      </c>
      <c r="C215" t="inlineStr">
        <is>
          <t>WT-SL-MENKOSHI-AGE-FS</t>
        </is>
      </c>
      <c r="D215" t="inlineStr">
        <is>
          <t>SP-SL-AGE-GRILLE-DIA</t>
        </is>
      </c>
      <c r="E215" t="inlineStr">
        <is>
          <t>07407</t>
        </is>
      </c>
      <c r="F215" t="n">
        <v>0.78</v>
      </c>
      <c r="G215" t="n">
        <v>0.77</v>
      </c>
      <c r="H215" t="inlineStr">
        <is>
          <t>GL-SL-005</t>
        </is>
      </c>
      <c r="I215" t="n">
        <v>7</v>
      </c>
      <c r="J215" t="n">
        <v>9.1</v>
      </c>
      <c r="K215" t="n">
        <v>-0.48</v>
      </c>
      <c r="L215" t="n">
        <v>-0.998</v>
      </c>
      <c r="M215" t="n">
        <v>0.367</v>
      </c>
      <c r="N215">
        <f>ROUND(J215*F215*G215+K215*G215+L215*F215+M215,3)</f>
        <v/>
      </c>
      <c r="O215">
        <f>AND(N215&gt;=1.4,N215&lt;=13)</f>
        <v/>
      </c>
      <c r="P215">
        <f>IF(OR(N215&lt;1.4,N215&gt;13),"",IF(G215*1000&lt;=1170,IF(N215&lt;1.8,"1014",IF(N215&lt;2.9,"1018",IF(N215&lt;3.8,"1029",IF(N215&lt;5,"1038",IF(N215&lt;7,"1050",IF(N215&lt;9,"1070",IF(N215&lt;11,"1090","1110"))))))),IF(G215*1000&lt;=1570,IF(N215&lt;1.8,"",IF(N215&lt;2.9,"2018",IF(N215&lt;3.8,"2029",IF(N215&lt;5,"2038",IF(N215&lt;7,"2050",IF(N215&lt;9,"2070",IF(N215&lt;11,"2090","2110"))))))),IF(G215*1000&lt;=1700,IF(N215&lt;1.8,"",IF(N215&lt;2.9,"3018",IF(N215&lt;3.8,"3029",IF(N215&lt;5,"3038",IF(N215&lt;7,"3050",IF(N215&lt;9,"3070",IF(N215&lt;11,"3090","3110"))))))),""))))</f>
        <v/>
      </c>
      <c r="Q215">
        <f>AND(O215=TRUE,P215&lt;&gt;"")</f>
        <v/>
      </c>
      <c r="R215">
        <f>IF(G215*1000&lt;750,"なし","あり")</f>
        <v/>
      </c>
      <c r="S215">
        <f>IF(AND(O215=TRUE,Q215=TRUE),"設定可","BLOCK")</f>
        <v/>
      </c>
      <c r="T215" t="inlineStr">
        <is>
          <t>商品カタログ P194</t>
        </is>
      </c>
      <c r="U215" t="inlineStr">
        <is>
          <t>https://webcatalog.lixil.co.jp/iportal/CatalogDetail.do?catalogID=15191910000&amp;categoryID=1630000&amp;designID=newinter&amp;method=initial_screen&amp;position=18&amp;type=mc&amp;volumeID=LXL13001</t>
        </is>
      </c>
    </row>
    <row r="216">
      <c r="A216" t="inlineStr">
        <is>
          <t>WG-SL-00213</t>
        </is>
      </c>
      <c r="B216" t="inlineStr">
        <is>
          <t>SZ-SL-000969</t>
        </is>
      </c>
      <c r="C216" t="inlineStr">
        <is>
          <t>WT-SL-MENKOSHI-AGE-FS</t>
        </is>
      </c>
      <c r="D216" t="inlineStr">
        <is>
          <t>SP-SL-AGE-GRILLE-DIA</t>
        </is>
      </c>
      <c r="E216" t="inlineStr">
        <is>
          <t>07407</t>
        </is>
      </c>
      <c r="F216" t="n">
        <v>0.78</v>
      </c>
      <c r="G216" t="n">
        <v>0.77</v>
      </c>
      <c r="H216" t="inlineStr">
        <is>
          <t>GL-SL-006</t>
        </is>
      </c>
      <c r="I216" t="n">
        <v>8</v>
      </c>
      <c r="J216" t="n">
        <v>10.4</v>
      </c>
      <c r="K216" t="n">
        <v>-0.605</v>
      </c>
      <c r="L216" t="n">
        <v>-1.332</v>
      </c>
      <c r="M216" t="n">
        <v>0.399</v>
      </c>
      <c r="N216">
        <f>ROUND(J216*F216*G216+K216*G216+L216*F216+M216,3)</f>
        <v/>
      </c>
      <c r="O216">
        <f>AND(N216&gt;=1.4,N216&lt;=13)</f>
        <v/>
      </c>
      <c r="P216">
        <f>IF(OR(N216&lt;1.4,N216&gt;13),"",IF(G216*1000&lt;=1170,IF(N216&lt;1.8,"1014",IF(N216&lt;2.9,"1018",IF(N216&lt;3.8,"1029",IF(N216&lt;5,"1038",IF(N216&lt;7,"1050",IF(N216&lt;9,"1070",IF(N216&lt;11,"1090","1110"))))))),IF(G216*1000&lt;=1570,IF(N216&lt;1.8,"",IF(N216&lt;2.9,"2018",IF(N216&lt;3.8,"2029",IF(N216&lt;5,"2038",IF(N216&lt;7,"2050",IF(N216&lt;9,"2070",IF(N216&lt;11,"2090","2110"))))))),IF(G216*1000&lt;=1700,IF(N216&lt;1.8,"",IF(N216&lt;2.9,"3018",IF(N216&lt;3.8,"3029",IF(N216&lt;5,"3038",IF(N216&lt;7,"3050",IF(N216&lt;9,"3070",IF(N216&lt;11,"3090","3110"))))))),""))))</f>
        <v/>
      </c>
      <c r="Q216">
        <f>AND(O216=TRUE,P216&lt;&gt;"")</f>
        <v/>
      </c>
      <c r="R216">
        <f>IF(G216*1000&lt;750,"なし","あり")</f>
        <v/>
      </c>
      <c r="S216">
        <f>IF(AND(O216=TRUE,Q216=TRUE),"設定可","BLOCK")</f>
        <v/>
      </c>
      <c r="T216" t="inlineStr">
        <is>
          <t>商品カタログ P194</t>
        </is>
      </c>
      <c r="U216" t="inlineStr">
        <is>
          <t>https://webcatalog.lixil.co.jp/iportal/CatalogDetail.do?catalogID=15191910000&amp;categoryID=1630000&amp;designID=newinter&amp;method=initial_screen&amp;position=18&amp;type=mc&amp;volumeID=LXL13001</t>
        </is>
      </c>
    </row>
    <row r="217">
      <c r="A217" t="inlineStr">
        <is>
          <t>WG-SL-00214</t>
        </is>
      </c>
      <c r="B217" t="inlineStr">
        <is>
          <t>SZ-SL-000969</t>
        </is>
      </c>
      <c r="C217" t="inlineStr">
        <is>
          <t>WT-SL-MENKOSHI-AGE-FS</t>
        </is>
      </c>
      <c r="D217" t="inlineStr">
        <is>
          <t>SP-SL-AGE-GRILLE-DIA</t>
        </is>
      </c>
      <c r="E217" t="inlineStr">
        <is>
          <t>07407</t>
        </is>
      </c>
      <c r="F217" t="n">
        <v>0.78</v>
      </c>
      <c r="G217" t="n">
        <v>0.77</v>
      </c>
      <c r="H217" t="inlineStr">
        <is>
          <t>GL-SL-007</t>
        </is>
      </c>
      <c r="I217" t="n">
        <v>6</v>
      </c>
      <c r="J217" t="n">
        <v>7.8</v>
      </c>
      <c r="K217" t="n">
        <v>-0.355</v>
      </c>
      <c r="L217" t="n">
        <v>-0.664</v>
      </c>
      <c r="M217" t="n">
        <v>0.335</v>
      </c>
      <c r="N217">
        <f>ROUND(J217*F217*G217+K217*G217+L217*F217+M217,3)</f>
        <v/>
      </c>
      <c r="O217">
        <f>AND(N217&gt;=1.4,N217&lt;=13)</f>
        <v/>
      </c>
      <c r="P217">
        <f>IF(OR(N217&lt;1.4,N217&gt;13),"",IF(G217*1000&lt;=1170,IF(N217&lt;1.8,"1014",IF(N217&lt;2.9,"1018",IF(N217&lt;3.8,"1029",IF(N217&lt;5,"1038",IF(N217&lt;7,"1050",IF(N217&lt;9,"1070",IF(N217&lt;11,"1090","1110"))))))),IF(G217*1000&lt;=1570,IF(N217&lt;1.8,"",IF(N217&lt;2.9,"2018",IF(N217&lt;3.8,"2029",IF(N217&lt;5,"2038",IF(N217&lt;7,"2050",IF(N217&lt;9,"2070",IF(N217&lt;11,"2090","2110"))))))),IF(G217*1000&lt;=1700,IF(N217&lt;1.8,"",IF(N217&lt;2.9,"3018",IF(N217&lt;3.8,"3029",IF(N217&lt;5,"3038",IF(N217&lt;7,"3050",IF(N217&lt;9,"3070",IF(N217&lt;11,"3090","3110"))))))),""))))</f>
        <v/>
      </c>
      <c r="Q217">
        <f>AND(O217=TRUE,P217&lt;&gt;"")</f>
        <v/>
      </c>
      <c r="R217">
        <f>IF(G217*1000&lt;750,"なし","あり")</f>
        <v/>
      </c>
      <c r="S217">
        <f>IF(AND(O217=TRUE,Q217=TRUE),"設定可","BLOCK")</f>
        <v/>
      </c>
      <c r="T217" t="inlineStr">
        <is>
          <t>商品カタログ P194</t>
        </is>
      </c>
      <c r="U217" t="inlineStr">
        <is>
          <t>https://webcatalog.lixil.co.jp/iportal/CatalogDetail.do?catalogID=15191910000&amp;categoryID=1630000&amp;designID=newinter&amp;method=initial_screen&amp;position=18&amp;type=mc&amp;volumeID=LXL13001</t>
        </is>
      </c>
    </row>
    <row r="218">
      <c r="A218" t="inlineStr">
        <is>
          <t>WG-SL-00215</t>
        </is>
      </c>
      <c r="B218" t="inlineStr">
        <is>
          <t>SZ-SL-000969</t>
        </is>
      </c>
      <c r="C218" t="inlineStr">
        <is>
          <t>WT-SL-MENKOSHI-AGE-FS</t>
        </is>
      </c>
      <c r="D218" t="inlineStr">
        <is>
          <t>SP-SL-AGE-GRILLE-DIA</t>
        </is>
      </c>
      <c r="E218" t="inlineStr">
        <is>
          <t>07407</t>
        </is>
      </c>
      <c r="F218" t="n">
        <v>0.78</v>
      </c>
      <c r="G218" t="n">
        <v>0.77</v>
      </c>
      <c r="H218" t="inlineStr">
        <is>
          <t>GL-SL-008</t>
        </is>
      </c>
      <c r="I218" t="n">
        <v>7</v>
      </c>
      <c r="J218" t="n">
        <v>9.1</v>
      </c>
      <c r="K218" t="n">
        <v>-0.48</v>
      </c>
      <c r="L218" t="n">
        <v>-0.998</v>
      </c>
      <c r="M218" t="n">
        <v>0.367</v>
      </c>
      <c r="N218">
        <f>ROUND(J218*F218*G218+K218*G218+L218*F218+M218,3)</f>
        <v/>
      </c>
      <c r="O218">
        <f>AND(N218&gt;=1.4,N218&lt;=13)</f>
        <v/>
      </c>
      <c r="P218">
        <f>IF(OR(N218&lt;1.4,N218&gt;13),"",IF(G218*1000&lt;=1170,IF(N218&lt;1.8,"1014",IF(N218&lt;2.9,"1018",IF(N218&lt;3.8,"1029",IF(N218&lt;5,"1038",IF(N218&lt;7,"1050",IF(N218&lt;9,"1070",IF(N218&lt;11,"1090","1110"))))))),IF(G218*1000&lt;=1570,IF(N218&lt;1.8,"",IF(N218&lt;2.9,"2018",IF(N218&lt;3.8,"2029",IF(N218&lt;5,"2038",IF(N218&lt;7,"2050",IF(N218&lt;9,"2070",IF(N218&lt;11,"2090","2110"))))))),IF(G218*1000&lt;=1700,IF(N218&lt;1.8,"",IF(N218&lt;2.9,"3018",IF(N218&lt;3.8,"3029",IF(N218&lt;5,"3038",IF(N218&lt;7,"3050",IF(N218&lt;9,"3070",IF(N218&lt;11,"3090","3110"))))))),""))))</f>
        <v/>
      </c>
      <c r="Q218">
        <f>AND(O218=TRUE,P218&lt;&gt;"")</f>
        <v/>
      </c>
      <c r="R218">
        <f>IF(G218*1000&lt;750,"なし","あり")</f>
        <v/>
      </c>
      <c r="S218">
        <f>IF(AND(O218=TRUE,Q218=TRUE),"設定可","BLOCK")</f>
        <v/>
      </c>
      <c r="T218" t="inlineStr">
        <is>
          <t>商品カタログ P194</t>
        </is>
      </c>
      <c r="U218" t="inlineStr">
        <is>
          <t>https://webcatalog.lixil.co.jp/iportal/CatalogDetail.do?catalogID=15191910000&amp;categoryID=1630000&amp;designID=newinter&amp;method=initial_screen&amp;position=18&amp;type=mc&amp;volumeID=LXL13001</t>
        </is>
      </c>
    </row>
    <row r="219">
      <c r="A219" t="inlineStr">
        <is>
          <t>WG-SL-00216</t>
        </is>
      </c>
      <c r="B219" t="inlineStr">
        <is>
          <t>SZ-SL-000969</t>
        </is>
      </c>
      <c r="C219" t="inlineStr">
        <is>
          <t>WT-SL-MENKOSHI-AGE-FS</t>
        </is>
      </c>
      <c r="D219" t="inlineStr">
        <is>
          <t>SP-SL-AGE-GRILLE-DIA</t>
        </is>
      </c>
      <c r="E219" t="inlineStr">
        <is>
          <t>07407</t>
        </is>
      </c>
      <c r="F219" t="n">
        <v>0.78</v>
      </c>
      <c r="G219" t="n">
        <v>0.77</v>
      </c>
      <c r="H219" t="inlineStr">
        <is>
          <t>GL-SL-009</t>
        </is>
      </c>
      <c r="I219" t="n">
        <v>8</v>
      </c>
      <c r="J219" t="n">
        <v>10.4</v>
      </c>
      <c r="K219" t="n">
        <v>-0.605</v>
      </c>
      <c r="L219" t="n">
        <v>-1.332</v>
      </c>
      <c r="M219" t="n">
        <v>0.399</v>
      </c>
      <c r="N219">
        <f>ROUND(J219*F219*G219+K219*G219+L219*F219+M219,3)</f>
        <v/>
      </c>
      <c r="O219">
        <f>AND(N219&gt;=1.4,N219&lt;=13)</f>
        <v/>
      </c>
      <c r="P219">
        <f>IF(OR(N219&lt;1.4,N219&gt;13),"",IF(G219*1000&lt;=1170,IF(N219&lt;1.8,"1014",IF(N219&lt;2.9,"1018",IF(N219&lt;3.8,"1029",IF(N219&lt;5,"1038",IF(N219&lt;7,"1050",IF(N219&lt;9,"1070",IF(N219&lt;11,"1090","1110"))))))),IF(G219*1000&lt;=1570,IF(N219&lt;1.8,"",IF(N219&lt;2.9,"2018",IF(N219&lt;3.8,"2029",IF(N219&lt;5,"2038",IF(N219&lt;7,"2050",IF(N219&lt;9,"2070",IF(N219&lt;11,"2090","2110"))))))),IF(G219*1000&lt;=1700,IF(N219&lt;1.8,"",IF(N219&lt;2.9,"3018",IF(N219&lt;3.8,"3029",IF(N219&lt;5,"3038",IF(N219&lt;7,"3050",IF(N219&lt;9,"3070",IF(N219&lt;11,"3090","3110"))))))),""))))</f>
        <v/>
      </c>
      <c r="Q219">
        <f>AND(O219=TRUE,P219&lt;&gt;"")</f>
        <v/>
      </c>
      <c r="R219">
        <f>IF(G219*1000&lt;750,"なし","あり")</f>
        <v/>
      </c>
      <c r="S219">
        <f>IF(AND(O219=TRUE,Q219=TRUE),"設定可","BLOCK")</f>
        <v/>
      </c>
      <c r="T219" t="inlineStr">
        <is>
          <t>商品カタログ P194</t>
        </is>
      </c>
      <c r="U219" t="inlineStr">
        <is>
          <t>https://webcatalog.lixil.co.jp/iportal/CatalogDetail.do?catalogID=15191910000&amp;categoryID=1630000&amp;designID=newinter&amp;method=initial_screen&amp;position=18&amp;type=mc&amp;volumeID=LXL13001</t>
        </is>
      </c>
    </row>
    <row r="220">
      <c r="A220" t="inlineStr">
        <is>
          <t>WG-SL-00217</t>
        </is>
      </c>
      <c r="B220" t="inlineStr">
        <is>
          <t>SZ-SL-000970</t>
        </is>
      </c>
      <c r="C220" t="inlineStr">
        <is>
          <t>WT-SL-MENKOSHI-AGE-FS</t>
        </is>
      </c>
      <c r="D220" t="inlineStr">
        <is>
          <t>SP-SL-AGE-GRILLE-H</t>
        </is>
      </c>
      <c r="E220" t="inlineStr">
        <is>
          <t>02607</t>
        </is>
      </c>
      <c r="F220" t="n">
        <v>0.3</v>
      </c>
      <c r="G220" t="n">
        <v>0.77</v>
      </c>
      <c r="H220" t="inlineStr">
        <is>
          <t>GL-SL-001</t>
        </is>
      </c>
      <c r="I220" t="n">
        <v>6</v>
      </c>
      <c r="J220" t="n">
        <v>7.8</v>
      </c>
      <c r="K220" t="n">
        <v>-0.355</v>
      </c>
      <c r="L220" t="n">
        <v>-0.664</v>
      </c>
      <c r="M220" t="n">
        <v>0.335</v>
      </c>
      <c r="N220">
        <f>ROUND(J220*F220*G220+K220*G220+L220*F220+M220,3)</f>
        <v/>
      </c>
      <c r="O220">
        <f>AND(N220&gt;=1.4,N220&lt;=13)</f>
        <v/>
      </c>
      <c r="P220">
        <f>IF(OR(N220&lt;1.4,N220&gt;13),"",IF(G220*1000&lt;=1170,IF(N220&lt;1.8,"1014",IF(N220&lt;2.9,"1018",IF(N220&lt;3.8,"1029",IF(N220&lt;5,"1038",IF(N220&lt;7,"1050",IF(N220&lt;9,"1070",IF(N220&lt;11,"1090","1110"))))))),IF(G220*1000&lt;=1570,IF(N220&lt;1.8,"",IF(N220&lt;2.9,"2018",IF(N220&lt;3.8,"2029",IF(N220&lt;5,"2038",IF(N220&lt;7,"2050",IF(N220&lt;9,"2070",IF(N220&lt;11,"2090","2110"))))))),IF(G220*1000&lt;=1700,IF(N220&lt;1.8,"",IF(N220&lt;2.9,"3018",IF(N220&lt;3.8,"3029",IF(N220&lt;5,"3038",IF(N220&lt;7,"3050",IF(N220&lt;9,"3070",IF(N220&lt;11,"3090","3110"))))))),""))))</f>
        <v/>
      </c>
      <c r="Q220">
        <f>AND(O220=TRUE,P220&lt;&gt;"")</f>
        <v/>
      </c>
      <c r="R220">
        <f>IF(G220*1000&lt;750,"なし","あり")</f>
        <v/>
      </c>
      <c r="S220">
        <f>IF(AND(O220=TRUE,Q220=TRUE),"設定可","BLOCK")</f>
        <v/>
      </c>
      <c r="T220" t="inlineStr">
        <is>
          <t>商品カタログ P194</t>
        </is>
      </c>
      <c r="U220" t="inlineStr">
        <is>
          <t>https://webcatalog.lixil.co.jp/iportal/CatalogDetail.do?catalogID=15191910000&amp;categoryID=1630000&amp;designID=newinter&amp;method=initial_screen&amp;position=18&amp;type=mc&amp;volumeID=LXL13001</t>
        </is>
      </c>
    </row>
    <row r="221">
      <c r="A221" t="inlineStr">
        <is>
          <t>WG-SL-00218</t>
        </is>
      </c>
      <c r="B221" t="inlineStr">
        <is>
          <t>SZ-SL-000970</t>
        </is>
      </c>
      <c r="C221" t="inlineStr">
        <is>
          <t>WT-SL-MENKOSHI-AGE-FS</t>
        </is>
      </c>
      <c r="D221" t="inlineStr">
        <is>
          <t>SP-SL-AGE-GRILLE-H</t>
        </is>
      </c>
      <c r="E221" t="inlineStr">
        <is>
          <t>02607</t>
        </is>
      </c>
      <c r="F221" t="n">
        <v>0.3</v>
      </c>
      <c r="G221" t="n">
        <v>0.77</v>
      </c>
      <c r="H221" t="inlineStr">
        <is>
          <t>GL-SL-002</t>
        </is>
      </c>
      <c r="I221" t="n">
        <v>7</v>
      </c>
      <c r="J221" t="n">
        <v>9.1</v>
      </c>
      <c r="K221" t="n">
        <v>-0.48</v>
      </c>
      <c r="L221" t="n">
        <v>-0.998</v>
      </c>
      <c r="M221" t="n">
        <v>0.367</v>
      </c>
      <c r="N221">
        <f>ROUND(J221*F221*G221+K221*G221+L221*F221+M221,3)</f>
        <v/>
      </c>
      <c r="O221">
        <f>AND(N221&gt;=1.4,N221&lt;=13)</f>
        <v/>
      </c>
      <c r="P221">
        <f>IF(OR(N221&lt;1.4,N221&gt;13),"",IF(G221*1000&lt;=1170,IF(N221&lt;1.8,"1014",IF(N221&lt;2.9,"1018",IF(N221&lt;3.8,"1029",IF(N221&lt;5,"1038",IF(N221&lt;7,"1050",IF(N221&lt;9,"1070",IF(N221&lt;11,"1090","1110"))))))),IF(G221*1000&lt;=1570,IF(N221&lt;1.8,"",IF(N221&lt;2.9,"2018",IF(N221&lt;3.8,"2029",IF(N221&lt;5,"2038",IF(N221&lt;7,"2050",IF(N221&lt;9,"2070",IF(N221&lt;11,"2090","2110"))))))),IF(G221*1000&lt;=1700,IF(N221&lt;1.8,"",IF(N221&lt;2.9,"3018",IF(N221&lt;3.8,"3029",IF(N221&lt;5,"3038",IF(N221&lt;7,"3050",IF(N221&lt;9,"3070",IF(N221&lt;11,"3090","3110"))))))),""))))</f>
        <v/>
      </c>
      <c r="Q221">
        <f>AND(O221=TRUE,P221&lt;&gt;"")</f>
        <v/>
      </c>
      <c r="R221">
        <f>IF(G221*1000&lt;750,"なし","あり")</f>
        <v/>
      </c>
      <c r="S221">
        <f>IF(AND(O221=TRUE,Q221=TRUE),"設定可","BLOCK")</f>
        <v/>
      </c>
      <c r="T221" t="inlineStr">
        <is>
          <t>商品カタログ P194</t>
        </is>
      </c>
      <c r="U221" t="inlineStr">
        <is>
          <t>https://webcatalog.lixil.co.jp/iportal/CatalogDetail.do?catalogID=15191910000&amp;categoryID=1630000&amp;designID=newinter&amp;method=initial_screen&amp;position=18&amp;type=mc&amp;volumeID=LXL13001</t>
        </is>
      </c>
    </row>
    <row r="222">
      <c r="A222" t="inlineStr">
        <is>
          <t>WG-SL-00219</t>
        </is>
      </c>
      <c r="B222" t="inlineStr">
        <is>
          <t>SZ-SL-000970</t>
        </is>
      </c>
      <c r="C222" t="inlineStr">
        <is>
          <t>WT-SL-MENKOSHI-AGE-FS</t>
        </is>
      </c>
      <c r="D222" t="inlineStr">
        <is>
          <t>SP-SL-AGE-GRILLE-H</t>
        </is>
      </c>
      <c r="E222" t="inlineStr">
        <is>
          <t>02607</t>
        </is>
      </c>
      <c r="F222" t="n">
        <v>0.3</v>
      </c>
      <c r="G222" t="n">
        <v>0.77</v>
      </c>
      <c r="H222" t="inlineStr">
        <is>
          <t>GL-SL-003</t>
        </is>
      </c>
      <c r="I222" t="n">
        <v>8</v>
      </c>
      <c r="J222" t="n">
        <v>10.4</v>
      </c>
      <c r="K222" t="n">
        <v>-0.605</v>
      </c>
      <c r="L222" t="n">
        <v>-1.332</v>
      </c>
      <c r="M222" t="n">
        <v>0.399</v>
      </c>
      <c r="N222">
        <f>ROUND(J222*F222*G222+K222*G222+L222*F222+M222,3)</f>
        <v/>
      </c>
      <c r="O222">
        <f>AND(N222&gt;=1.4,N222&lt;=13)</f>
        <v/>
      </c>
      <c r="P222">
        <f>IF(OR(N222&lt;1.4,N222&gt;13),"",IF(G222*1000&lt;=1170,IF(N222&lt;1.8,"1014",IF(N222&lt;2.9,"1018",IF(N222&lt;3.8,"1029",IF(N222&lt;5,"1038",IF(N222&lt;7,"1050",IF(N222&lt;9,"1070",IF(N222&lt;11,"1090","1110"))))))),IF(G222*1000&lt;=1570,IF(N222&lt;1.8,"",IF(N222&lt;2.9,"2018",IF(N222&lt;3.8,"2029",IF(N222&lt;5,"2038",IF(N222&lt;7,"2050",IF(N222&lt;9,"2070",IF(N222&lt;11,"2090","2110"))))))),IF(G222*1000&lt;=1700,IF(N222&lt;1.8,"",IF(N222&lt;2.9,"3018",IF(N222&lt;3.8,"3029",IF(N222&lt;5,"3038",IF(N222&lt;7,"3050",IF(N222&lt;9,"3070",IF(N222&lt;11,"3090","3110"))))))),""))))</f>
        <v/>
      </c>
      <c r="Q222">
        <f>AND(O222=TRUE,P222&lt;&gt;"")</f>
        <v/>
      </c>
      <c r="R222">
        <f>IF(G222*1000&lt;750,"なし","あり")</f>
        <v/>
      </c>
      <c r="S222">
        <f>IF(AND(O222=TRUE,Q222=TRUE),"設定可","BLOCK")</f>
        <v/>
      </c>
      <c r="T222" t="inlineStr">
        <is>
          <t>商品カタログ P194</t>
        </is>
      </c>
      <c r="U222" t="inlineStr">
        <is>
          <t>https://webcatalog.lixil.co.jp/iportal/CatalogDetail.do?catalogID=15191910000&amp;categoryID=1630000&amp;designID=newinter&amp;method=initial_screen&amp;position=18&amp;type=mc&amp;volumeID=LXL13001</t>
        </is>
      </c>
    </row>
    <row r="223">
      <c r="A223" t="inlineStr">
        <is>
          <t>WG-SL-00220</t>
        </is>
      </c>
      <c r="B223" t="inlineStr">
        <is>
          <t>SZ-SL-000970</t>
        </is>
      </c>
      <c r="C223" t="inlineStr">
        <is>
          <t>WT-SL-MENKOSHI-AGE-FS</t>
        </is>
      </c>
      <c r="D223" t="inlineStr">
        <is>
          <t>SP-SL-AGE-GRILLE-H</t>
        </is>
      </c>
      <c r="E223" t="inlineStr">
        <is>
          <t>02607</t>
        </is>
      </c>
      <c r="F223" t="n">
        <v>0.3</v>
      </c>
      <c r="G223" t="n">
        <v>0.77</v>
      </c>
      <c r="H223" t="inlineStr">
        <is>
          <t>GL-SL-004</t>
        </is>
      </c>
      <c r="I223" t="n">
        <v>6</v>
      </c>
      <c r="J223" t="n">
        <v>7.8</v>
      </c>
      <c r="K223" t="n">
        <v>-0.355</v>
      </c>
      <c r="L223" t="n">
        <v>-0.664</v>
      </c>
      <c r="M223" t="n">
        <v>0.335</v>
      </c>
      <c r="N223">
        <f>ROUND(J223*F223*G223+K223*G223+L223*F223+M223,3)</f>
        <v/>
      </c>
      <c r="O223">
        <f>AND(N223&gt;=1.4,N223&lt;=13)</f>
        <v/>
      </c>
      <c r="P223">
        <f>IF(OR(N223&lt;1.4,N223&gt;13),"",IF(G223*1000&lt;=1170,IF(N223&lt;1.8,"1014",IF(N223&lt;2.9,"1018",IF(N223&lt;3.8,"1029",IF(N223&lt;5,"1038",IF(N223&lt;7,"1050",IF(N223&lt;9,"1070",IF(N223&lt;11,"1090","1110"))))))),IF(G223*1000&lt;=1570,IF(N223&lt;1.8,"",IF(N223&lt;2.9,"2018",IF(N223&lt;3.8,"2029",IF(N223&lt;5,"2038",IF(N223&lt;7,"2050",IF(N223&lt;9,"2070",IF(N223&lt;11,"2090","2110"))))))),IF(G223*1000&lt;=1700,IF(N223&lt;1.8,"",IF(N223&lt;2.9,"3018",IF(N223&lt;3.8,"3029",IF(N223&lt;5,"3038",IF(N223&lt;7,"3050",IF(N223&lt;9,"3070",IF(N223&lt;11,"3090","3110"))))))),""))))</f>
        <v/>
      </c>
      <c r="Q223">
        <f>AND(O223=TRUE,P223&lt;&gt;"")</f>
        <v/>
      </c>
      <c r="R223">
        <f>IF(G223*1000&lt;750,"なし","あり")</f>
        <v/>
      </c>
      <c r="S223">
        <f>IF(AND(O223=TRUE,Q223=TRUE),"設定可","BLOCK")</f>
        <v/>
      </c>
      <c r="T223" t="inlineStr">
        <is>
          <t>商品カタログ P194</t>
        </is>
      </c>
      <c r="U223" t="inlineStr">
        <is>
          <t>https://webcatalog.lixil.co.jp/iportal/CatalogDetail.do?catalogID=15191910000&amp;categoryID=1630000&amp;designID=newinter&amp;method=initial_screen&amp;position=18&amp;type=mc&amp;volumeID=LXL13001</t>
        </is>
      </c>
    </row>
    <row r="224">
      <c r="A224" t="inlineStr">
        <is>
          <t>WG-SL-00221</t>
        </is>
      </c>
      <c r="B224" t="inlineStr">
        <is>
          <t>SZ-SL-000970</t>
        </is>
      </c>
      <c r="C224" t="inlineStr">
        <is>
          <t>WT-SL-MENKOSHI-AGE-FS</t>
        </is>
      </c>
      <c r="D224" t="inlineStr">
        <is>
          <t>SP-SL-AGE-GRILLE-H</t>
        </is>
      </c>
      <c r="E224" t="inlineStr">
        <is>
          <t>02607</t>
        </is>
      </c>
      <c r="F224" t="n">
        <v>0.3</v>
      </c>
      <c r="G224" t="n">
        <v>0.77</v>
      </c>
      <c r="H224" t="inlineStr">
        <is>
          <t>GL-SL-005</t>
        </is>
      </c>
      <c r="I224" t="n">
        <v>7</v>
      </c>
      <c r="J224" t="n">
        <v>9.1</v>
      </c>
      <c r="K224" t="n">
        <v>-0.48</v>
      </c>
      <c r="L224" t="n">
        <v>-0.998</v>
      </c>
      <c r="M224" t="n">
        <v>0.367</v>
      </c>
      <c r="N224">
        <f>ROUND(J224*F224*G224+K224*G224+L224*F224+M224,3)</f>
        <v/>
      </c>
      <c r="O224">
        <f>AND(N224&gt;=1.4,N224&lt;=13)</f>
        <v/>
      </c>
      <c r="P224">
        <f>IF(OR(N224&lt;1.4,N224&gt;13),"",IF(G224*1000&lt;=1170,IF(N224&lt;1.8,"1014",IF(N224&lt;2.9,"1018",IF(N224&lt;3.8,"1029",IF(N224&lt;5,"1038",IF(N224&lt;7,"1050",IF(N224&lt;9,"1070",IF(N224&lt;11,"1090","1110"))))))),IF(G224*1000&lt;=1570,IF(N224&lt;1.8,"",IF(N224&lt;2.9,"2018",IF(N224&lt;3.8,"2029",IF(N224&lt;5,"2038",IF(N224&lt;7,"2050",IF(N224&lt;9,"2070",IF(N224&lt;11,"2090","2110"))))))),IF(G224*1000&lt;=1700,IF(N224&lt;1.8,"",IF(N224&lt;2.9,"3018",IF(N224&lt;3.8,"3029",IF(N224&lt;5,"3038",IF(N224&lt;7,"3050",IF(N224&lt;9,"3070",IF(N224&lt;11,"3090","3110"))))))),""))))</f>
        <v/>
      </c>
      <c r="Q224">
        <f>AND(O224=TRUE,P224&lt;&gt;"")</f>
        <v/>
      </c>
      <c r="R224">
        <f>IF(G224*1000&lt;750,"なし","あり")</f>
        <v/>
      </c>
      <c r="S224">
        <f>IF(AND(O224=TRUE,Q224=TRUE),"設定可","BLOCK")</f>
        <v/>
      </c>
      <c r="T224" t="inlineStr">
        <is>
          <t>商品カタログ P194</t>
        </is>
      </c>
      <c r="U224" t="inlineStr">
        <is>
          <t>https://webcatalog.lixil.co.jp/iportal/CatalogDetail.do?catalogID=15191910000&amp;categoryID=1630000&amp;designID=newinter&amp;method=initial_screen&amp;position=18&amp;type=mc&amp;volumeID=LXL13001</t>
        </is>
      </c>
    </row>
    <row r="225">
      <c r="A225" t="inlineStr">
        <is>
          <t>WG-SL-00222</t>
        </is>
      </c>
      <c r="B225" t="inlineStr">
        <is>
          <t>SZ-SL-000970</t>
        </is>
      </c>
      <c r="C225" t="inlineStr">
        <is>
          <t>WT-SL-MENKOSHI-AGE-FS</t>
        </is>
      </c>
      <c r="D225" t="inlineStr">
        <is>
          <t>SP-SL-AGE-GRILLE-H</t>
        </is>
      </c>
      <c r="E225" t="inlineStr">
        <is>
          <t>02607</t>
        </is>
      </c>
      <c r="F225" t="n">
        <v>0.3</v>
      </c>
      <c r="G225" t="n">
        <v>0.77</v>
      </c>
      <c r="H225" t="inlineStr">
        <is>
          <t>GL-SL-006</t>
        </is>
      </c>
      <c r="I225" t="n">
        <v>8</v>
      </c>
      <c r="J225" t="n">
        <v>10.4</v>
      </c>
      <c r="K225" t="n">
        <v>-0.605</v>
      </c>
      <c r="L225" t="n">
        <v>-1.332</v>
      </c>
      <c r="M225" t="n">
        <v>0.399</v>
      </c>
      <c r="N225">
        <f>ROUND(J225*F225*G225+K225*G225+L225*F225+M225,3)</f>
        <v/>
      </c>
      <c r="O225">
        <f>AND(N225&gt;=1.4,N225&lt;=13)</f>
        <v/>
      </c>
      <c r="P225">
        <f>IF(OR(N225&lt;1.4,N225&gt;13),"",IF(G225*1000&lt;=1170,IF(N225&lt;1.8,"1014",IF(N225&lt;2.9,"1018",IF(N225&lt;3.8,"1029",IF(N225&lt;5,"1038",IF(N225&lt;7,"1050",IF(N225&lt;9,"1070",IF(N225&lt;11,"1090","1110"))))))),IF(G225*1000&lt;=1570,IF(N225&lt;1.8,"",IF(N225&lt;2.9,"2018",IF(N225&lt;3.8,"2029",IF(N225&lt;5,"2038",IF(N225&lt;7,"2050",IF(N225&lt;9,"2070",IF(N225&lt;11,"2090","2110"))))))),IF(G225*1000&lt;=1700,IF(N225&lt;1.8,"",IF(N225&lt;2.9,"3018",IF(N225&lt;3.8,"3029",IF(N225&lt;5,"3038",IF(N225&lt;7,"3050",IF(N225&lt;9,"3070",IF(N225&lt;11,"3090","3110"))))))),""))))</f>
        <v/>
      </c>
      <c r="Q225">
        <f>AND(O225=TRUE,P225&lt;&gt;"")</f>
        <v/>
      </c>
      <c r="R225">
        <f>IF(G225*1000&lt;750,"なし","あり")</f>
        <v/>
      </c>
      <c r="S225">
        <f>IF(AND(O225=TRUE,Q225=TRUE),"設定可","BLOCK")</f>
        <v/>
      </c>
      <c r="T225" t="inlineStr">
        <is>
          <t>商品カタログ P194</t>
        </is>
      </c>
      <c r="U225" t="inlineStr">
        <is>
          <t>https://webcatalog.lixil.co.jp/iportal/CatalogDetail.do?catalogID=15191910000&amp;categoryID=1630000&amp;designID=newinter&amp;method=initial_screen&amp;position=18&amp;type=mc&amp;volumeID=LXL13001</t>
        </is>
      </c>
    </row>
    <row r="226">
      <c r="A226" t="inlineStr">
        <is>
          <t>WG-SL-00223</t>
        </is>
      </c>
      <c r="B226" t="inlineStr">
        <is>
          <t>SZ-SL-000970</t>
        </is>
      </c>
      <c r="C226" t="inlineStr">
        <is>
          <t>WT-SL-MENKOSHI-AGE-FS</t>
        </is>
      </c>
      <c r="D226" t="inlineStr">
        <is>
          <t>SP-SL-AGE-GRILLE-H</t>
        </is>
      </c>
      <c r="E226" t="inlineStr">
        <is>
          <t>02607</t>
        </is>
      </c>
      <c r="F226" t="n">
        <v>0.3</v>
      </c>
      <c r="G226" t="n">
        <v>0.77</v>
      </c>
      <c r="H226" t="inlineStr">
        <is>
          <t>GL-SL-007</t>
        </is>
      </c>
      <c r="I226" t="n">
        <v>6</v>
      </c>
      <c r="J226" t="n">
        <v>7.8</v>
      </c>
      <c r="K226" t="n">
        <v>-0.355</v>
      </c>
      <c r="L226" t="n">
        <v>-0.664</v>
      </c>
      <c r="M226" t="n">
        <v>0.335</v>
      </c>
      <c r="N226">
        <f>ROUND(J226*F226*G226+K226*G226+L226*F226+M226,3)</f>
        <v/>
      </c>
      <c r="O226">
        <f>AND(N226&gt;=1.4,N226&lt;=13)</f>
        <v/>
      </c>
      <c r="P226">
        <f>IF(OR(N226&lt;1.4,N226&gt;13),"",IF(G226*1000&lt;=1170,IF(N226&lt;1.8,"1014",IF(N226&lt;2.9,"1018",IF(N226&lt;3.8,"1029",IF(N226&lt;5,"1038",IF(N226&lt;7,"1050",IF(N226&lt;9,"1070",IF(N226&lt;11,"1090","1110"))))))),IF(G226*1000&lt;=1570,IF(N226&lt;1.8,"",IF(N226&lt;2.9,"2018",IF(N226&lt;3.8,"2029",IF(N226&lt;5,"2038",IF(N226&lt;7,"2050",IF(N226&lt;9,"2070",IF(N226&lt;11,"2090","2110"))))))),IF(G226*1000&lt;=1700,IF(N226&lt;1.8,"",IF(N226&lt;2.9,"3018",IF(N226&lt;3.8,"3029",IF(N226&lt;5,"3038",IF(N226&lt;7,"3050",IF(N226&lt;9,"3070",IF(N226&lt;11,"3090","3110"))))))),""))))</f>
        <v/>
      </c>
      <c r="Q226">
        <f>AND(O226=TRUE,P226&lt;&gt;"")</f>
        <v/>
      </c>
      <c r="R226">
        <f>IF(G226*1000&lt;750,"なし","あり")</f>
        <v/>
      </c>
      <c r="S226">
        <f>IF(AND(O226=TRUE,Q226=TRUE),"設定可","BLOCK")</f>
        <v/>
      </c>
      <c r="T226" t="inlineStr">
        <is>
          <t>商品カタログ P194</t>
        </is>
      </c>
      <c r="U226" t="inlineStr">
        <is>
          <t>https://webcatalog.lixil.co.jp/iportal/CatalogDetail.do?catalogID=15191910000&amp;categoryID=1630000&amp;designID=newinter&amp;method=initial_screen&amp;position=18&amp;type=mc&amp;volumeID=LXL13001</t>
        </is>
      </c>
    </row>
    <row r="227">
      <c r="A227" t="inlineStr">
        <is>
          <t>WG-SL-00224</t>
        </is>
      </c>
      <c r="B227" t="inlineStr">
        <is>
          <t>SZ-SL-000970</t>
        </is>
      </c>
      <c r="C227" t="inlineStr">
        <is>
          <t>WT-SL-MENKOSHI-AGE-FS</t>
        </is>
      </c>
      <c r="D227" t="inlineStr">
        <is>
          <t>SP-SL-AGE-GRILLE-H</t>
        </is>
      </c>
      <c r="E227" t="inlineStr">
        <is>
          <t>02607</t>
        </is>
      </c>
      <c r="F227" t="n">
        <v>0.3</v>
      </c>
      <c r="G227" t="n">
        <v>0.77</v>
      </c>
      <c r="H227" t="inlineStr">
        <is>
          <t>GL-SL-008</t>
        </is>
      </c>
      <c r="I227" t="n">
        <v>7</v>
      </c>
      <c r="J227" t="n">
        <v>9.1</v>
      </c>
      <c r="K227" t="n">
        <v>-0.48</v>
      </c>
      <c r="L227" t="n">
        <v>-0.998</v>
      </c>
      <c r="M227" t="n">
        <v>0.367</v>
      </c>
      <c r="N227">
        <f>ROUND(J227*F227*G227+K227*G227+L227*F227+M227,3)</f>
        <v/>
      </c>
      <c r="O227">
        <f>AND(N227&gt;=1.4,N227&lt;=13)</f>
        <v/>
      </c>
      <c r="P227">
        <f>IF(OR(N227&lt;1.4,N227&gt;13),"",IF(G227*1000&lt;=1170,IF(N227&lt;1.8,"1014",IF(N227&lt;2.9,"1018",IF(N227&lt;3.8,"1029",IF(N227&lt;5,"1038",IF(N227&lt;7,"1050",IF(N227&lt;9,"1070",IF(N227&lt;11,"1090","1110"))))))),IF(G227*1000&lt;=1570,IF(N227&lt;1.8,"",IF(N227&lt;2.9,"2018",IF(N227&lt;3.8,"2029",IF(N227&lt;5,"2038",IF(N227&lt;7,"2050",IF(N227&lt;9,"2070",IF(N227&lt;11,"2090","2110"))))))),IF(G227*1000&lt;=1700,IF(N227&lt;1.8,"",IF(N227&lt;2.9,"3018",IF(N227&lt;3.8,"3029",IF(N227&lt;5,"3038",IF(N227&lt;7,"3050",IF(N227&lt;9,"3070",IF(N227&lt;11,"3090","3110"))))))),""))))</f>
        <v/>
      </c>
      <c r="Q227">
        <f>AND(O227=TRUE,P227&lt;&gt;"")</f>
        <v/>
      </c>
      <c r="R227">
        <f>IF(G227*1000&lt;750,"なし","あり")</f>
        <v/>
      </c>
      <c r="S227">
        <f>IF(AND(O227=TRUE,Q227=TRUE),"設定可","BLOCK")</f>
        <v/>
      </c>
      <c r="T227" t="inlineStr">
        <is>
          <t>商品カタログ P194</t>
        </is>
      </c>
      <c r="U227" t="inlineStr">
        <is>
          <t>https://webcatalog.lixil.co.jp/iportal/CatalogDetail.do?catalogID=15191910000&amp;categoryID=1630000&amp;designID=newinter&amp;method=initial_screen&amp;position=18&amp;type=mc&amp;volumeID=LXL13001</t>
        </is>
      </c>
    </row>
    <row r="228">
      <c r="A228" t="inlineStr">
        <is>
          <t>WG-SL-00225</t>
        </is>
      </c>
      <c r="B228" t="inlineStr">
        <is>
          <t>SZ-SL-000970</t>
        </is>
      </c>
      <c r="C228" t="inlineStr">
        <is>
          <t>WT-SL-MENKOSHI-AGE-FS</t>
        </is>
      </c>
      <c r="D228" t="inlineStr">
        <is>
          <t>SP-SL-AGE-GRILLE-H</t>
        </is>
      </c>
      <c r="E228" t="inlineStr">
        <is>
          <t>02607</t>
        </is>
      </c>
      <c r="F228" t="n">
        <v>0.3</v>
      </c>
      <c r="G228" t="n">
        <v>0.77</v>
      </c>
      <c r="H228" t="inlineStr">
        <is>
          <t>GL-SL-009</t>
        </is>
      </c>
      <c r="I228" t="n">
        <v>8</v>
      </c>
      <c r="J228" t="n">
        <v>10.4</v>
      </c>
      <c r="K228" t="n">
        <v>-0.605</v>
      </c>
      <c r="L228" t="n">
        <v>-1.332</v>
      </c>
      <c r="M228" t="n">
        <v>0.399</v>
      </c>
      <c r="N228">
        <f>ROUND(J228*F228*G228+K228*G228+L228*F228+M228,3)</f>
        <v/>
      </c>
      <c r="O228">
        <f>AND(N228&gt;=1.4,N228&lt;=13)</f>
        <v/>
      </c>
      <c r="P228">
        <f>IF(OR(N228&lt;1.4,N228&gt;13),"",IF(G228*1000&lt;=1170,IF(N228&lt;1.8,"1014",IF(N228&lt;2.9,"1018",IF(N228&lt;3.8,"1029",IF(N228&lt;5,"1038",IF(N228&lt;7,"1050",IF(N228&lt;9,"1070",IF(N228&lt;11,"1090","1110"))))))),IF(G228*1000&lt;=1570,IF(N228&lt;1.8,"",IF(N228&lt;2.9,"2018",IF(N228&lt;3.8,"2029",IF(N228&lt;5,"2038",IF(N228&lt;7,"2050",IF(N228&lt;9,"2070",IF(N228&lt;11,"2090","2110"))))))),IF(G228*1000&lt;=1700,IF(N228&lt;1.8,"",IF(N228&lt;2.9,"3018",IF(N228&lt;3.8,"3029",IF(N228&lt;5,"3038",IF(N228&lt;7,"3050",IF(N228&lt;9,"3070",IF(N228&lt;11,"3090","3110"))))))),""))))</f>
        <v/>
      </c>
      <c r="Q228">
        <f>AND(O228=TRUE,P228&lt;&gt;"")</f>
        <v/>
      </c>
      <c r="R228">
        <f>IF(G228*1000&lt;750,"なし","あり")</f>
        <v/>
      </c>
      <c r="S228">
        <f>IF(AND(O228=TRUE,Q228=TRUE),"設定可","BLOCK")</f>
        <v/>
      </c>
      <c r="T228" t="inlineStr">
        <is>
          <t>商品カタログ P194</t>
        </is>
      </c>
      <c r="U228" t="inlineStr">
        <is>
          <t>https://webcatalog.lixil.co.jp/iportal/CatalogDetail.do?catalogID=15191910000&amp;categoryID=1630000&amp;designID=newinter&amp;method=initial_screen&amp;position=18&amp;type=mc&amp;volumeID=LXL13001</t>
        </is>
      </c>
    </row>
    <row r="229">
      <c r="A229" t="inlineStr">
        <is>
          <t>WG-SL-00226</t>
        </is>
      </c>
      <c r="B229" t="inlineStr">
        <is>
          <t>SZ-SL-000971</t>
        </is>
      </c>
      <c r="C229" t="inlineStr">
        <is>
          <t>WT-SL-MENKOSHI-AGE-FS</t>
        </is>
      </c>
      <c r="D229" t="inlineStr">
        <is>
          <t>SP-SL-AGE-GRILLE-H</t>
        </is>
      </c>
      <c r="E229" t="inlineStr">
        <is>
          <t>03607</t>
        </is>
      </c>
      <c r="F229" t="n">
        <v>0.405</v>
      </c>
      <c r="G229" t="n">
        <v>0.77</v>
      </c>
      <c r="H229" t="inlineStr">
        <is>
          <t>GL-SL-001</t>
        </is>
      </c>
      <c r="I229" t="n">
        <v>6</v>
      </c>
      <c r="J229" t="n">
        <v>7.8</v>
      </c>
      <c r="K229" t="n">
        <v>-0.355</v>
      </c>
      <c r="L229" t="n">
        <v>-0.664</v>
      </c>
      <c r="M229" t="n">
        <v>0.335</v>
      </c>
      <c r="N229">
        <f>ROUND(J229*F229*G229+K229*G229+L229*F229+M229,3)</f>
        <v/>
      </c>
      <c r="O229">
        <f>AND(N229&gt;=1.4,N229&lt;=13)</f>
        <v/>
      </c>
      <c r="P229">
        <f>IF(OR(N229&lt;1.4,N229&gt;13),"",IF(G229*1000&lt;=1170,IF(N229&lt;1.8,"1014",IF(N229&lt;2.9,"1018",IF(N229&lt;3.8,"1029",IF(N229&lt;5,"1038",IF(N229&lt;7,"1050",IF(N229&lt;9,"1070",IF(N229&lt;11,"1090","1110"))))))),IF(G229*1000&lt;=1570,IF(N229&lt;1.8,"",IF(N229&lt;2.9,"2018",IF(N229&lt;3.8,"2029",IF(N229&lt;5,"2038",IF(N229&lt;7,"2050",IF(N229&lt;9,"2070",IF(N229&lt;11,"2090","2110"))))))),IF(G229*1000&lt;=1700,IF(N229&lt;1.8,"",IF(N229&lt;2.9,"3018",IF(N229&lt;3.8,"3029",IF(N229&lt;5,"3038",IF(N229&lt;7,"3050",IF(N229&lt;9,"3070",IF(N229&lt;11,"3090","3110"))))))),""))))</f>
        <v/>
      </c>
      <c r="Q229">
        <f>AND(O229=TRUE,P229&lt;&gt;"")</f>
        <v/>
      </c>
      <c r="R229">
        <f>IF(G229*1000&lt;750,"なし","あり")</f>
        <v/>
      </c>
      <c r="S229">
        <f>IF(AND(O229=TRUE,Q229=TRUE),"設定可","BLOCK")</f>
        <v/>
      </c>
      <c r="T229" t="inlineStr">
        <is>
          <t>商品カタログ P194</t>
        </is>
      </c>
      <c r="U229" t="inlineStr">
        <is>
          <t>https://webcatalog.lixil.co.jp/iportal/CatalogDetail.do?catalogID=15191910000&amp;categoryID=1630000&amp;designID=newinter&amp;method=initial_screen&amp;position=18&amp;type=mc&amp;volumeID=LXL13001</t>
        </is>
      </c>
    </row>
    <row r="230">
      <c r="A230" t="inlineStr">
        <is>
          <t>WG-SL-00227</t>
        </is>
      </c>
      <c r="B230" t="inlineStr">
        <is>
          <t>SZ-SL-000971</t>
        </is>
      </c>
      <c r="C230" t="inlineStr">
        <is>
          <t>WT-SL-MENKOSHI-AGE-FS</t>
        </is>
      </c>
      <c r="D230" t="inlineStr">
        <is>
          <t>SP-SL-AGE-GRILLE-H</t>
        </is>
      </c>
      <c r="E230" t="inlineStr">
        <is>
          <t>03607</t>
        </is>
      </c>
      <c r="F230" t="n">
        <v>0.405</v>
      </c>
      <c r="G230" t="n">
        <v>0.77</v>
      </c>
      <c r="H230" t="inlineStr">
        <is>
          <t>GL-SL-002</t>
        </is>
      </c>
      <c r="I230" t="n">
        <v>7</v>
      </c>
      <c r="J230" t="n">
        <v>9.1</v>
      </c>
      <c r="K230" t="n">
        <v>-0.48</v>
      </c>
      <c r="L230" t="n">
        <v>-0.998</v>
      </c>
      <c r="M230" t="n">
        <v>0.367</v>
      </c>
      <c r="N230">
        <f>ROUND(J230*F230*G230+K230*G230+L230*F230+M230,3)</f>
        <v/>
      </c>
      <c r="O230">
        <f>AND(N230&gt;=1.4,N230&lt;=13)</f>
        <v/>
      </c>
      <c r="P230">
        <f>IF(OR(N230&lt;1.4,N230&gt;13),"",IF(G230*1000&lt;=1170,IF(N230&lt;1.8,"1014",IF(N230&lt;2.9,"1018",IF(N230&lt;3.8,"1029",IF(N230&lt;5,"1038",IF(N230&lt;7,"1050",IF(N230&lt;9,"1070",IF(N230&lt;11,"1090","1110"))))))),IF(G230*1000&lt;=1570,IF(N230&lt;1.8,"",IF(N230&lt;2.9,"2018",IF(N230&lt;3.8,"2029",IF(N230&lt;5,"2038",IF(N230&lt;7,"2050",IF(N230&lt;9,"2070",IF(N230&lt;11,"2090","2110"))))))),IF(G230*1000&lt;=1700,IF(N230&lt;1.8,"",IF(N230&lt;2.9,"3018",IF(N230&lt;3.8,"3029",IF(N230&lt;5,"3038",IF(N230&lt;7,"3050",IF(N230&lt;9,"3070",IF(N230&lt;11,"3090","3110"))))))),""))))</f>
        <v/>
      </c>
      <c r="Q230">
        <f>AND(O230=TRUE,P230&lt;&gt;"")</f>
        <v/>
      </c>
      <c r="R230">
        <f>IF(G230*1000&lt;750,"なし","あり")</f>
        <v/>
      </c>
      <c r="S230">
        <f>IF(AND(O230=TRUE,Q230=TRUE),"設定可","BLOCK")</f>
        <v/>
      </c>
      <c r="T230" t="inlineStr">
        <is>
          <t>商品カタログ P194</t>
        </is>
      </c>
      <c r="U230" t="inlineStr">
        <is>
          <t>https://webcatalog.lixil.co.jp/iportal/CatalogDetail.do?catalogID=15191910000&amp;categoryID=1630000&amp;designID=newinter&amp;method=initial_screen&amp;position=18&amp;type=mc&amp;volumeID=LXL13001</t>
        </is>
      </c>
    </row>
    <row r="231">
      <c r="A231" t="inlineStr">
        <is>
          <t>WG-SL-00228</t>
        </is>
      </c>
      <c r="B231" t="inlineStr">
        <is>
          <t>SZ-SL-000971</t>
        </is>
      </c>
      <c r="C231" t="inlineStr">
        <is>
          <t>WT-SL-MENKOSHI-AGE-FS</t>
        </is>
      </c>
      <c r="D231" t="inlineStr">
        <is>
          <t>SP-SL-AGE-GRILLE-H</t>
        </is>
      </c>
      <c r="E231" t="inlineStr">
        <is>
          <t>03607</t>
        </is>
      </c>
      <c r="F231" t="n">
        <v>0.405</v>
      </c>
      <c r="G231" t="n">
        <v>0.77</v>
      </c>
      <c r="H231" t="inlineStr">
        <is>
          <t>GL-SL-003</t>
        </is>
      </c>
      <c r="I231" t="n">
        <v>8</v>
      </c>
      <c r="J231" t="n">
        <v>10.4</v>
      </c>
      <c r="K231" t="n">
        <v>-0.605</v>
      </c>
      <c r="L231" t="n">
        <v>-1.332</v>
      </c>
      <c r="M231" t="n">
        <v>0.399</v>
      </c>
      <c r="N231">
        <f>ROUND(J231*F231*G231+K231*G231+L231*F231+M231,3)</f>
        <v/>
      </c>
      <c r="O231">
        <f>AND(N231&gt;=1.4,N231&lt;=13)</f>
        <v/>
      </c>
      <c r="P231">
        <f>IF(OR(N231&lt;1.4,N231&gt;13),"",IF(G231*1000&lt;=1170,IF(N231&lt;1.8,"1014",IF(N231&lt;2.9,"1018",IF(N231&lt;3.8,"1029",IF(N231&lt;5,"1038",IF(N231&lt;7,"1050",IF(N231&lt;9,"1070",IF(N231&lt;11,"1090","1110"))))))),IF(G231*1000&lt;=1570,IF(N231&lt;1.8,"",IF(N231&lt;2.9,"2018",IF(N231&lt;3.8,"2029",IF(N231&lt;5,"2038",IF(N231&lt;7,"2050",IF(N231&lt;9,"2070",IF(N231&lt;11,"2090","2110"))))))),IF(G231*1000&lt;=1700,IF(N231&lt;1.8,"",IF(N231&lt;2.9,"3018",IF(N231&lt;3.8,"3029",IF(N231&lt;5,"3038",IF(N231&lt;7,"3050",IF(N231&lt;9,"3070",IF(N231&lt;11,"3090","3110"))))))),""))))</f>
        <v/>
      </c>
      <c r="Q231">
        <f>AND(O231=TRUE,P231&lt;&gt;"")</f>
        <v/>
      </c>
      <c r="R231">
        <f>IF(G231*1000&lt;750,"なし","あり")</f>
        <v/>
      </c>
      <c r="S231">
        <f>IF(AND(O231=TRUE,Q231=TRUE),"設定可","BLOCK")</f>
        <v/>
      </c>
      <c r="T231" t="inlineStr">
        <is>
          <t>商品カタログ P194</t>
        </is>
      </c>
      <c r="U231" t="inlineStr">
        <is>
          <t>https://webcatalog.lixil.co.jp/iportal/CatalogDetail.do?catalogID=15191910000&amp;categoryID=1630000&amp;designID=newinter&amp;method=initial_screen&amp;position=18&amp;type=mc&amp;volumeID=LXL13001</t>
        </is>
      </c>
    </row>
    <row r="232">
      <c r="A232" t="inlineStr">
        <is>
          <t>WG-SL-00229</t>
        </is>
      </c>
      <c r="B232" t="inlineStr">
        <is>
          <t>SZ-SL-000971</t>
        </is>
      </c>
      <c r="C232" t="inlineStr">
        <is>
          <t>WT-SL-MENKOSHI-AGE-FS</t>
        </is>
      </c>
      <c r="D232" t="inlineStr">
        <is>
          <t>SP-SL-AGE-GRILLE-H</t>
        </is>
      </c>
      <c r="E232" t="inlineStr">
        <is>
          <t>03607</t>
        </is>
      </c>
      <c r="F232" t="n">
        <v>0.405</v>
      </c>
      <c r="G232" t="n">
        <v>0.77</v>
      </c>
      <c r="H232" t="inlineStr">
        <is>
          <t>GL-SL-004</t>
        </is>
      </c>
      <c r="I232" t="n">
        <v>6</v>
      </c>
      <c r="J232" t="n">
        <v>7.8</v>
      </c>
      <c r="K232" t="n">
        <v>-0.355</v>
      </c>
      <c r="L232" t="n">
        <v>-0.664</v>
      </c>
      <c r="M232" t="n">
        <v>0.335</v>
      </c>
      <c r="N232">
        <f>ROUND(J232*F232*G232+K232*G232+L232*F232+M232,3)</f>
        <v/>
      </c>
      <c r="O232">
        <f>AND(N232&gt;=1.4,N232&lt;=13)</f>
        <v/>
      </c>
      <c r="P232">
        <f>IF(OR(N232&lt;1.4,N232&gt;13),"",IF(G232*1000&lt;=1170,IF(N232&lt;1.8,"1014",IF(N232&lt;2.9,"1018",IF(N232&lt;3.8,"1029",IF(N232&lt;5,"1038",IF(N232&lt;7,"1050",IF(N232&lt;9,"1070",IF(N232&lt;11,"1090","1110"))))))),IF(G232*1000&lt;=1570,IF(N232&lt;1.8,"",IF(N232&lt;2.9,"2018",IF(N232&lt;3.8,"2029",IF(N232&lt;5,"2038",IF(N232&lt;7,"2050",IF(N232&lt;9,"2070",IF(N232&lt;11,"2090","2110"))))))),IF(G232*1000&lt;=1700,IF(N232&lt;1.8,"",IF(N232&lt;2.9,"3018",IF(N232&lt;3.8,"3029",IF(N232&lt;5,"3038",IF(N232&lt;7,"3050",IF(N232&lt;9,"3070",IF(N232&lt;11,"3090","3110"))))))),""))))</f>
        <v/>
      </c>
      <c r="Q232">
        <f>AND(O232=TRUE,P232&lt;&gt;"")</f>
        <v/>
      </c>
      <c r="R232">
        <f>IF(G232*1000&lt;750,"なし","あり")</f>
        <v/>
      </c>
      <c r="S232">
        <f>IF(AND(O232=TRUE,Q232=TRUE),"設定可","BLOCK")</f>
        <v/>
      </c>
      <c r="T232" t="inlineStr">
        <is>
          <t>商品カタログ P194</t>
        </is>
      </c>
      <c r="U232" t="inlineStr">
        <is>
          <t>https://webcatalog.lixil.co.jp/iportal/CatalogDetail.do?catalogID=15191910000&amp;categoryID=1630000&amp;designID=newinter&amp;method=initial_screen&amp;position=18&amp;type=mc&amp;volumeID=LXL13001</t>
        </is>
      </c>
    </row>
    <row r="233">
      <c r="A233" t="inlineStr">
        <is>
          <t>WG-SL-00230</t>
        </is>
      </c>
      <c r="B233" t="inlineStr">
        <is>
          <t>SZ-SL-000971</t>
        </is>
      </c>
      <c r="C233" t="inlineStr">
        <is>
          <t>WT-SL-MENKOSHI-AGE-FS</t>
        </is>
      </c>
      <c r="D233" t="inlineStr">
        <is>
          <t>SP-SL-AGE-GRILLE-H</t>
        </is>
      </c>
      <c r="E233" t="inlineStr">
        <is>
          <t>03607</t>
        </is>
      </c>
      <c r="F233" t="n">
        <v>0.405</v>
      </c>
      <c r="G233" t="n">
        <v>0.77</v>
      </c>
      <c r="H233" t="inlineStr">
        <is>
          <t>GL-SL-005</t>
        </is>
      </c>
      <c r="I233" t="n">
        <v>7</v>
      </c>
      <c r="J233" t="n">
        <v>9.1</v>
      </c>
      <c r="K233" t="n">
        <v>-0.48</v>
      </c>
      <c r="L233" t="n">
        <v>-0.998</v>
      </c>
      <c r="M233" t="n">
        <v>0.367</v>
      </c>
      <c r="N233">
        <f>ROUND(J233*F233*G233+K233*G233+L233*F233+M233,3)</f>
        <v/>
      </c>
      <c r="O233">
        <f>AND(N233&gt;=1.4,N233&lt;=13)</f>
        <v/>
      </c>
      <c r="P233">
        <f>IF(OR(N233&lt;1.4,N233&gt;13),"",IF(G233*1000&lt;=1170,IF(N233&lt;1.8,"1014",IF(N233&lt;2.9,"1018",IF(N233&lt;3.8,"1029",IF(N233&lt;5,"1038",IF(N233&lt;7,"1050",IF(N233&lt;9,"1070",IF(N233&lt;11,"1090","1110"))))))),IF(G233*1000&lt;=1570,IF(N233&lt;1.8,"",IF(N233&lt;2.9,"2018",IF(N233&lt;3.8,"2029",IF(N233&lt;5,"2038",IF(N233&lt;7,"2050",IF(N233&lt;9,"2070",IF(N233&lt;11,"2090","2110"))))))),IF(G233*1000&lt;=1700,IF(N233&lt;1.8,"",IF(N233&lt;2.9,"3018",IF(N233&lt;3.8,"3029",IF(N233&lt;5,"3038",IF(N233&lt;7,"3050",IF(N233&lt;9,"3070",IF(N233&lt;11,"3090","3110"))))))),""))))</f>
        <v/>
      </c>
      <c r="Q233">
        <f>AND(O233=TRUE,P233&lt;&gt;"")</f>
        <v/>
      </c>
      <c r="R233">
        <f>IF(G233*1000&lt;750,"なし","あり")</f>
        <v/>
      </c>
      <c r="S233">
        <f>IF(AND(O233=TRUE,Q233=TRUE),"設定可","BLOCK")</f>
        <v/>
      </c>
      <c r="T233" t="inlineStr">
        <is>
          <t>商品カタログ P194</t>
        </is>
      </c>
      <c r="U233" t="inlineStr">
        <is>
          <t>https://webcatalog.lixil.co.jp/iportal/CatalogDetail.do?catalogID=15191910000&amp;categoryID=1630000&amp;designID=newinter&amp;method=initial_screen&amp;position=18&amp;type=mc&amp;volumeID=LXL13001</t>
        </is>
      </c>
    </row>
    <row r="234">
      <c r="A234" t="inlineStr">
        <is>
          <t>WG-SL-00231</t>
        </is>
      </c>
      <c r="B234" t="inlineStr">
        <is>
          <t>SZ-SL-000971</t>
        </is>
      </c>
      <c r="C234" t="inlineStr">
        <is>
          <t>WT-SL-MENKOSHI-AGE-FS</t>
        </is>
      </c>
      <c r="D234" t="inlineStr">
        <is>
          <t>SP-SL-AGE-GRILLE-H</t>
        </is>
      </c>
      <c r="E234" t="inlineStr">
        <is>
          <t>03607</t>
        </is>
      </c>
      <c r="F234" t="n">
        <v>0.405</v>
      </c>
      <c r="G234" t="n">
        <v>0.77</v>
      </c>
      <c r="H234" t="inlineStr">
        <is>
          <t>GL-SL-006</t>
        </is>
      </c>
      <c r="I234" t="n">
        <v>8</v>
      </c>
      <c r="J234" t="n">
        <v>10.4</v>
      </c>
      <c r="K234" t="n">
        <v>-0.605</v>
      </c>
      <c r="L234" t="n">
        <v>-1.332</v>
      </c>
      <c r="M234" t="n">
        <v>0.399</v>
      </c>
      <c r="N234">
        <f>ROUND(J234*F234*G234+K234*G234+L234*F234+M234,3)</f>
        <v/>
      </c>
      <c r="O234">
        <f>AND(N234&gt;=1.4,N234&lt;=13)</f>
        <v/>
      </c>
      <c r="P234">
        <f>IF(OR(N234&lt;1.4,N234&gt;13),"",IF(G234*1000&lt;=1170,IF(N234&lt;1.8,"1014",IF(N234&lt;2.9,"1018",IF(N234&lt;3.8,"1029",IF(N234&lt;5,"1038",IF(N234&lt;7,"1050",IF(N234&lt;9,"1070",IF(N234&lt;11,"1090","1110"))))))),IF(G234*1000&lt;=1570,IF(N234&lt;1.8,"",IF(N234&lt;2.9,"2018",IF(N234&lt;3.8,"2029",IF(N234&lt;5,"2038",IF(N234&lt;7,"2050",IF(N234&lt;9,"2070",IF(N234&lt;11,"2090","2110"))))))),IF(G234*1000&lt;=1700,IF(N234&lt;1.8,"",IF(N234&lt;2.9,"3018",IF(N234&lt;3.8,"3029",IF(N234&lt;5,"3038",IF(N234&lt;7,"3050",IF(N234&lt;9,"3070",IF(N234&lt;11,"3090","3110"))))))),""))))</f>
        <v/>
      </c>
      <c r="Q234">
        <f>AND(O234=TRUE,P234&lt;&gt;"")</f>
        <v/>
      </c>
      <c r="R234">
        <f>IF(G234*1000&lt;750,"なし","あり")</f>
        <v/>
      </c>
      <c r="S234">
        <f>IF(AND(O234=TRUE,Q234=TRUE),"設定可","BLOCK")</f>
        <v/>
      </c>
      <c r="T234" t="inlineStr">
        <is>
          <t>商品カタログ P194</t>
        </is>
      </c>
      <c r="U234" t="inlineStr">
        <is>
          <t>https://webcatalog.lixil.co.jp/iportal/CatalogDetail.do?catalogID=15191910000&amp;categoryID=1630000&amp;designID=newinter&amp;method=initial_screen&amp;position=18&amp;type=mc&amp;volumeID=LXL13001</t>
        </is>
      </c>
    </row>
    <row r="235">
      <c r="A235" t="inlineStr">
        <is>
          <t>WG-SL-00232</t>
        </is>
      </c>
      <c r="B235" t="inlineStr">
        <is>
          <t>SZ-SL-000971</t>
        </is>
      </c>
      <c r="C235" t="inlineStr">
        <is>
          <t>WT-SL-MENKOSHI-AGE-FS</t>
        </is>
      </c>
      <c r="D235" t="inlineStr">
        <is>
          <t>SP-SL-AGE-GRILLE-H</t>
        </is>
      </c>
      <c r="E235" t="inlineStr">
        <is>
          <t>03607</t>
        </is>
      </c>
      <c r="F235" t="n">
        <v>0.405</v>
      </c>
      <c r="G235" t="n">
        <v>0.77</v>
      </c>
      <c r="H235" t="inlineStr">
        <is>
          <t>GL-SL-007</t>
        </is>
      </c>
      <c r="I235" t="n">
        <v>6</v>
      </c>
      <c r="J235" t="n">
        <v>7.8</v>
      </c>
      <c r="K235" t="n">
        <v>-0.355</v>
      </c>
      <c r="L235" t="n">
        <v>-0.664</v>
      </c>
      <c r="M235" t="n">
        <v>0.335</v>
      </c>
      <c r="N235">
        <f>ROUND(J235*F235*G235+K235*G235+L235*F235+M235,3)</f>
        <v/>
      </c>
      <c r="O235">
        <f>AND(N235&gt;=1.4,N235&lt;=13)</f>
        <v/>
      </c>
      <c r="P235">
        <f>IF(OR(N235&lt;1.4,N235&gt;13),"",IF(G235*1000&lt;=1170,IF(N235&lt;1.8,"1014",IF(N235&lt;2.9,"1018",IF(N235&lt;3.8,"1029",IF(N235&lt;5,"1038",IF(N235&lt;7,"1050",IF(N235&lt;9,"1070",IF(N235&lt;11,"1090","1110"))))))),IF(G235*1000&lt;=1570,IF(N235&lt;1.8,"",IF(N235&lt;2.9,"2018",IF(N235&lt;3.8,"2029",IF(N235&lt;5,"2038",IF(N235&lt;7,"2050",IF(N235&lt;9,"2070",IF(N235&lt;11,"2090","2110"))))))),IF(G235*1000&lt;=1700,IF(N235&lt;1.8,"",IF(N235&lt;2.9,"3018",IF(N235&lt;3.8,"3029",IF(N235&lt;5,"3038",IF(N235&lt;7,"3050",IF(N235&lt;9,"3070",IF(N235&lt;11,"3090","3110"))))))),""))))</f>
        <v/>
      </c>
      <c r="Q235">
        <f>AND(O235=TRUE,P235&lt;&gt;"")</f>
        <v/>
      </c>
      <c r="R235">
        <f>IF(G235*1000&lt;750,"なし","あり")</f>
        <v/>
      </c>
      <c r="S235">
        <f>IF(AND(O235=TRUE,Q235=TRUE),"設定可","BLOCK")</f>
        <v/>
      </c>
      <c r="T235" t="inlineStr">
        <is>
          <t>商品カタログ P194</t>
        </is>
      </c>
      <c r="U235" t="inlineStr">
        <is>
          <t>https://webcatalog.lixil.co.jp/iportal/CatalogDetail.do?catalogID=15191910000&amp;categoryID=1630000&amp;designID=newinter&amp;method=initial_screen&amp;position=18&amp;type=mc&amp;volumeID=LXL13001</t>
        </is>
      </c>
    </row>
    <row r="236">
      <c r="A236" t="inlineStr">
        <is>
          <t>WG-SL-00233</t>
        </is>
      </c>
      <c r="B236" t="inlineStr">
        <is>
          <t>SZ-SL-000971</t>
        </is>
      </c>
      <c r="C236" t="inlineStr">
        <is>
          <t>WT-SL-MENKOSHI-AGE-FS</t>
        </is>
      </c>
      <c r="D236" t="inlineStr">
        <is>
          <t>SP-SL-AGE-GRILLE-H</t>
        </is>
      </c>
      <c r="E236" t="inlineStr">
        <is>
          <t>03607</t>
        </is>
      </c>
      <c r="F236" t="n">
        <v>0.405</v>
      </c>
      <c r="G236" t="n">
        <v>0.77</v>
      </c>
      <c r="H236" t="inlineStr">
        <is>
          <t>GL-SL-008</t>
        </is>
      </c>
      <c r="I236" t="n">
        <v>7</v>
      </c>
      <c r="J236" t="n">
        <v>9.1</v>
      </c>
      <c r="K236" t="n">
        <v>-0.48</v>
      </c>
      <c r="L236" t="n">
        <v>-0.998</v>
      </c>
      <c r="M236" t="n">
        <v>0.367</v>
      </c>
      <c r="N236">
        <f>ROUND(J236*F236*G236+K236*G236+L236*F236+M236,3)</f>
        <v/>
      </c>
      <c r="O236">
        <f>AND(N236&gt;=1.4,N236&lt;=13)</f>
        <v/>
      </c>
      <c r="P236">
        <f>IF(OR(N236&lt;1.4,N236&gt;13),"",IF(G236*1000&lt;=1170,IF(N236&lt;1.8,"1014",IF(N236&lt;2.9,"1018",IF(N236&lt;3.8,"1029",IF(N236&lt;5,"1038",IF(N236&lt;7,"1050",IF(N236&lt;9,"1070",IF(N236&lt;11,"1090","1110"))))))),IF(G236*1000&lt;=1570,IF(N236&lt;1.8,"",IF(N236&lt;2.9,"2018",IF(N236&lt;3.8,"2029",IF(N236&lt;5,"2038",IF(N236&lt;7,"2050",IF(N236&lt;9,"2070",IF(N236&lt;11,"2090","2110"))))))),IF(G236*1000&lt;=1700,IF(N236&lt;1.8,"",IF(N236&lt;2.9,"3018",IF(N236&lt;3.8,"3029",IF(N236&lt;5,"3038",IF(N236&lt;7,"3050",IF(N236&lt;9,"3070",IF(N236&lt;11,"3090","3110"))))))),""))))</f>
        <v/>
      </c>
      <c r="Q236">
        <f>AND(O236=TRUE,P236&lt;&gt;"")</f>
        <v/>
      </c>
      <c r="R236">
        <f>IF(G236*1000&lt;750,"なし","あり")</f>
        <v/>
      </c>
      <c r="S236">
        <f>IF(AND(O236=TRUE,Q236=TRUE),"設定可","BLOCK")</f>
        <v/>
      </c>
      <c r="T236" t="inlineStr">
        <is>
          <t>商品カタログ P194</t>
        </is>
      </c>
      <c r="U236" t="inlineStr">
        <is>
          <t>https://webcatalog.lixil.co.jp/iportal/CatalogDetail.do?catalogID=15191910000&amp;categoryID=1630000&amp;designID=newinter&amp;method=initial_screen&amp;position=18&amp;type=mc&amp;volumeID=LXL13001</t>
        </is>
      </c>
    </row>
    <row r="237">
      <c r="A237" t="inlineStr">
        <is>
          <t>WG-SL-00234</t>
        </is>
      </c>
      <c r="B237" t="inlineStr">
        <is>
          <t>SZ-SL-000971</t>
        </is>
      </c>
      <c r="C237" t="inlineStr">
        <is>
          <t>WT-SL-MENKOSHI-AGE-FS</t>
        </is>
      </c>
      <c r="D237" t="inlineStr">
        <is>
          <t>SP-SL-AGE-GRILLE-H</t>
        </is>
      </c>
      <c r="E237" t="inlineStr">
        <is>
          <t>03607</t>
        </is>
      </c>
      <c r="F237" t="n">
        <v>0.405</v>
      </c>
      <c r="G237" t="n">
        <v>0.77</v>
      </c>
      <c r="H237" t="inlineStr">
        <is>
          <t>GL-SL-009</t>
        </is>
      </c>
      <c r="I237" t="n">
        <v>8</v>
      </c>
      <c r="J237" t="n">
        <v>10.4</v>
      </c>
      <c r="K237" t="n">
        <v>-0.605</v>
      </c>
      <c r="L237" t="n">
        <v>-1.332</v>
      </c>
      <c r="M237" t="n">
        <v>0.399</v>
      </c>
      <c r="N237">
        <f>ROUND(J237*F237*G237+K237*G237+L237*F237+M237,3)</f>
        <v/>
      </c>
      <c r="O237">
        <f>AND(N237&gt;=1.4,N237&lt;=13)</f>
        <v/>
      </c>
      <c r="P237">
        <f>IF(OR(N237&lt;1.4,N237&gt;13),"",IF(G237*1000&lt;=1170,IF(N237&lt;1.8,"1014",IF(N237&lt;2.9,"1018",IF(N237&lt;3.8,"1029",IF(N237&lt;5,"1038",IF(N237&lt;7,"1050",IF(N237&lt;9,"1070",IF(N237&lt;11,"1090","1110"))))))),IF(G237*1000&lt;=1570,IF(N237&lt;1.8,"",IF(N237&lt;2.9,"2018",IF(N237&lt;3.8,"2029",IF(N237&lt;5,"2038",IF(N237&lt;7,"2050",IF(N237&lt;9,"2070",IF(N237&lt;11,"2090","2110"))))))),IF(G237*1000&lt;=1700,IF(N237&lt;1.8,"",IF(N237&lt;2.9,"3018",IF(N237&lt;3.8,"3029",IF(N237&lt;5,"3038",IF(N237&lt;7,"3050",IF(N237&lt;9,"3070",IF(N237&lt;11,"3090","3110"))))))),""))))</f>
        <v/>
      </c>
      <c r="Q237">
        <f>AND(O237=TRUE,P237&lt;&gt;"")</f>
        <v/>
      </c>
      <c r="R237">
        <f>IF(G237*1000&lt;750,"なし","あり")</f>
        <v/>
      </c>
      <c r="S237">
        <f>IF(AND(O237=TRUE,Q237=TRUE),"設定可","BLOCK")</f>
        <v/>
      </c>
      <c r="T237" t="inlineStr">
        <is>
          <t>商品カタログ P194</t>
        </is>
      </c>
      <c r="U237" t="inlineStr">
        <is>
          <t>https://webcatalog.lixil.co.jp/iportal/CatalogDetail.do?catalogID=15191910000&amp;categoryID=1630000&amp;designID=newinter&amp;method=initial_screen&amp;position=18&amp;type=mc&amp;volumeID=LXL13001</t>
        </is>
      </c>
    </row>
    <row r="238">
      <c r="A238" t="inlineStr">
        <is>
          <t>WG-SL-00235</t>
        </is>
      </c>
      <c r="B238" t="inlineStr">
        <is>
          <t>SZ-SL-000972</t>
        </is>
      </c>
      <c r="C238" t="inlineStr">
        <is>
          <t>WT-SL-MENKOSHI-AGE-FS</t>
        </is>
      </c>
      <c r="D238" t="inlineStr">
        <is>
          <t>SP-SL-AGE-GRILLE-H</t>
        </is>
      </c>
      <c r="E238" t="inlineStr">
        <is>
          <t>06007</t>
        </is>
      </c>
      <c r="F238" t="n">
        <v>0.64</v>
      </c>
      <c r="G238" t="n">
        <v>0.77</v>
      </c>
      <c r="H238" t="inlineStr">
        <is>
          <t>GL-SL-001</t>
        </is>
      </c>
      <c r="I238" t="n">
        <v>6</v>
      </c>
      <c r="J238" t="n">
        <v>7.8</v>
      </c>
      <c r="K238" t="n">
        <v>-0.355</v>
      </c>
      <c r="L238" t="n">
        <v>-0.664</v>
      </c>
      <c r="M238" t="n">
        <v>0.335</v>
      </c>
      <c r="N238">
        <f>ROUND(J238*F238*G238+K238*G238+L238*F238+M238,3)</f>
        <v/>
      </c>
      <c r="O238">
        <f>AND(N238&gt;=1.4,N238&lt;=13)</f>
        <v/>
      </c>
      <c r="P238">
        <f>IF(OR(N238&lt;1.4,N238&gt;13),"",IF(G238*1000&lt;=1170,IF(N238&lt;1.8,"1014",IF(N238&lt;2.9,"1018",IF(N238&lt;3.8,"1029",IF(N238&lt;5,"1038",IF(N238&lt;7,"1050",IF(N238&lt;9,"1070",IF(N238&lt;11,"1090","1110"))))))),IF(G238*1000&lt;=1570,IF(N238&lt;1.8,"",IF(N238&lt;2.9,"2018",IF(N238&lt;3.8,"2029",IF(N238&lt;5,"2038",IF(N238&lt;7,"2050",IF(N238&lt;9,"2070",IF(N238&lt;11,"2090","2110"))))))),IF(G238*1000&lt;=1700,IF(N238&lt;1.8,"",IF(N238&lt;2.9,"3018",IF(N238&lt;3.8,"3029",IF(N238&lt;5,"3038",IF(N238&lt;7,"3050",IF(N238&lt;9,"3070",IF(N238&lt;11,"3090","3110"))))))),""))))</f>
        <v/>
      </c>
      <c r="Q238">
        <f>AND(O238=TRUE,P238&lt;&gt;"")</f>
        <v/>
      </c>
      <c r="R238">
        <f>IF(G238*1000&lt;750,"なし","あり")</f>
        <v/>
      </c>
      <c r="S238">
        <f>IF(AND(O238=TRUE,Q238=TRUE),"設定可","BLOCK")</f>
        <v/>
      </c>
      <c r="T238" t="inlineStr">
        <is>
          <t>商品カタログ P194</t>
        </is>
      </c>
      <c r="U238" t="inlineStr">
        <is>
          <t>https://webcatalog.lixil.co.jp/iportal/CatalogDetail.do?catalogID=15191910000&amp;categoryID=1630000&amp;designID=newinter&amp;method=initial_screen&amp;position=18&amp;type=mc&amp;volumeID=LXL13001</t>
        </is>
      </c>
    </row>
    <row r="239">
      <c r="A239" t="inlineStr">
        <is>
          <t>WG-SL-00236</t>
        </is>
      </c>
      <c r="B239" t="inlineStr">
        <is>
          <t>SZ-SL-000972</t>
        </is>
      </c>
      <c r="C239" t="inlineStr">
        <is>
          <t>WT-SL-MENKOSHI-AGE-FS</t>
        </is>
      </c>
      <c r="D239" t="inlineStr">
        <is>
          <t>SP-SL-AGE-GRILLE-H</t>
        </is>
      </c>
      <c r="E239" t="inlineStr">
        <is>
          <t>06007</t>
        </is>
      </c>
      <c r="F239" t="n">
        <v>0.64</v>
      </c>
      <c r="G239" t="n">
        <v>0.77</v>
      </c>
      <c r="H239" t="inlineStr">
        <is>
          <t>GL-SL-002</t>
        </is>
      </c>
      <c r="I239" t="n">
        <v>7</v>
      </c>
      <c r="J239" t="n">
        <v>9.1</v>
      </c>
      <c r="K239" t="n">
        <v>-0.48</v>
      </c>
      <c r="L239" t="n">
        <v>-0.998</v>
      </c>
      <c r="M239" t="n">
        <v>0.367</v>
      </c>
      <c r="N239">
        <f>ROUND(J239*F239*G239+K239*G239+L239*F239+M239,3)</f>
        <v/>
      </c>
      <c r="O239">
        <f>AND(N239&gt;=1.4,N239&lt;=13)</f>
        <v/>
      </c>
      <c r="P239">
        <f>IF(OR(N239&lt;1.4,N239&gt;13),"",IF(G239*1000&lt;=1170,IF(N239&lt;1.8,"1014",IF(N239&lt;2.9,"1018",IF(N239&lt;3.8,"1029",IF(N239&lt;5,"1038",IF(N239&lt;7,"1050",IF(N239&lt;9,"1070",IF(N239&lt;11,"1090","1110"))))))),IF(G239*1000&lt;=1570,IF(N239&lt;1.8,"",IF(N239&lt;2.9,"2018",IF(N239&lt;3.8,"2029",IF(N239&lt;5,"2038",IF(N239&lt;7,"2050",IF(N239&lt;9,"2070",IF(N239&lt;11,"2090","2110"))))))),IF(G239*1000&lt;=1700,IF(N239&lt;1.8,"",IF(N239&lt;2.9,"3018",IF(N239&lt;3.8,"3029",IF(N239&lt;5,"3038",IF(N239&lt;7,"3050",IF(N239&lt;9,"3070",IF(N239&lt;11,"3090","3110"))))))),""))))</f>
        <v/>
      </c>
      <c r="Q239">
        <f>AND(O239=TRUE,P239&lt;&gt;"")</f>
        <v/>
      </c>
      <c r="R239">
        <f>IF(G239*1000&lt;750,"なし","あり")</f>
        <v/>
      </c>
      <c r="S239">
        <f>IF(AND(O239=TRUE,Q239=TRUE),"設定可","BLOCK")</f>
        <v/>
      </c>
      <c r="T239" t="inlineStr">
        <is>
          <t>商品カタログ P194</t>
        </is>
      </c>
      <c r="U239" t="inlineStr">
        <is>
          <t>https://webcatalog.lixil.co.jp/iportal/CatalogDetail.do?catalogID=15191910000&amp;categoryID=1630000&amp;designID=newinter&amp;method=initial_screen&amp;position=18&amp;type=mc&amp;volumeID=LXL13001</t>
        </is>
      </c>
    </row>
    <row r="240">
      <c r="A240" t="inlineStr">
        <is>
          <t>WG-SL-00237</t>
        </is>
      </c>
      <c r="B240" t="inlineStr">
        <is>
          <t>SZ-SL-000972</t>
        </is>
      </c>
      <c r="C240" t="inlineStr">
        <is>
          <t>WT-SL-MENKOSHI-AGE-FS</t>
        </is>
      </c>
      <c r="D240" t="inlineStr">
        <is>
          <t>SP-SL-AGE-GRILLE-H</t>
        </is>
      </c>
      <c r="E240" t="inlineStr">
        <is>
          <t>06007</t>
        </is>
      </c>
      <c r="F240" t="n">
        <v>0.64</v>
      </c>
      <c r="G240" t="n">
        <v>0.77</v>
      </c>
      <c r="H240" t="inlineStr">
        <is>
          <t>GL-SL-003</t>
        </is>
      </c>
      <c r="I240" t="n">
        <v>8</v>
      </c>
      <c r="J240" t="n">
        <v>10.4</v>
      </c>
      <c r="K240" t="n">
        <v>-0.605</v>
      </c>
      <c r="L240" t="n">
        <v>-1.332</v>
      </c>
      <c r="M240" t="n">
        <v>0.399</v>
      </c>
      <c r="N240">
        <f>ROUND(J240*F240*G240+K240*G240+L240*F240+M240,3)</f>
        <v/>
      </c>
      <c r="O240">
        <f>AND(N240&gt;=1.4,N240&lt;=13)</f>
        <v/>
      </c>
      <c r="P240">
        <f>IF(OR(N240&lt;1.4,N240&gt;13),"",IF(G240*1000&lt;=1170,IF(N240&lt;1.8,"1014",IF(N240&lt;2.9,"1018",IF(N240&lt;3.8,"1029",IF(N240&lt;5,"1038",IF(N240&lt;7,"1050",IF(N240&lt;9,"1070",IF(N240&lt;11,"1090","1110"))))))),IF(G240*1000&lt;=1570,IF(N240&lt;1.8,"",IF(N240&lt;2.9,"2018",IF(N240&lt;3.8,"2029",IF(N240&lt;5,"2038",IF(N240&lt;7,"2050",IF(N240&lt;9,"2070",IF(N240&lt;11,"2090","2110"))))))),IF(G240*1000&lt;=1700,IF(N240&lt;1.8,"",IF(N240&lt;2.9,"3018",IF(N240&lt;3.8,"3029",IF(N240&lt;5,"3038",IF(N240&lt;7,"3050",IF(N240&lt;9,"3070",IF(N240&lt;11,"3090","3110"))))))),""))))</f>
        <v/>
      </c>
      <c r="Q240">
        <f>AND(O240=TRUE,P240&lt;&gt;"")</f>
        <v/>
      </c>
      <c r="R240">
        <f>IF(G240*1000&lt;750,"なし","あり")</f>
        <v/>
      </c>
      <c r="S240">
        <f>IF(AND(O240=TRUE,Q240=TRUE),"設定可","BLOCK")</f>
        <v/>
      </c>
      <c r="T240" t="inlineStr">
        <is>
          <t>商品カタログ P194</t>
        </is>
      </c>
      <c r="U240" t="inlineStr">
        <is>
          <t>https://webcatalog.lixil.co.jp/iportal/CatalogDetail.do?catalogID=15191910000&amp;categoryID=1630000&amp;designID=newinter&amp;method=initial_screen&amp;position=18&amp;type=mc&amp;volumeID=LXL13001</t>
        </is>
      </c>
    </row>
    <row r="241">
      <c r="A241" t="inlineStr">
        <is>
          <t>WG-SL-00238</t>
        </is>
      </c>
      <c r="B241" t="inlineStr">
        <is>
          <t>SZ-SL-000972</t>
        </is>
      </c>
      <c r="C241" t="inlineStr">
        <is>
          <t>WT-SL-MENKOSHI-AGE-FS</t>
        </is>
      </c>
      <c r="D241" t="inlineStr">
        <is>
          <t>SP-SL-AGE-GRILLE-H</t>
        </is>
      </c>
      <c r="E241" t="inlineStr">
        <is>
          <t>06007</t>
        </is>
      </c>
      <c r="F241" t="n">
        <v>0.64</v>
      </c>
      <c r="G241" t="n">
        <v>0.77</v>
      </c>
      <c r="H241" t="inlineStr">
        <is>
          <t>GL-SL-004</t>
        </is>
      </c>
      <c r="I241" t="n">
        <v>6</v>
      </c>
      <c r="J241" t="n">
        <v>7.8</v>
      </c>
      <c r="K241" t="n">
        <v>-0.355</v>
      </c>
      <c r="L241" t="n">
        <v>-0.664</v>
      </c>
      <c r="M241" t="n">
        <v>0.335</v>
      </c>
      <c r="N241">
        <f>ROUND(J241*F241*G241+K241*G241+L241*F241+M241,3)</f>
        <v/>
      </c>
      <c r="O241">
        <f>AND(N241&gt;=1.4,N241&lt;=13)</f>
        <v/>
      </c>
      <c r="P241">
        <f>IF(OR(N241&lt;1.4,N241&gt;13),"",IF(G241*1000&lt;=1170,IF(N241&lt;1.8,"1014",IF(N241&lt;2.9,"1018",IF(N241&lt;3.8,"1029",IF(N241&lt;5,"1038",IF(N241&lt;7,"1050",IF(N241&lt;9,"1070",IF(N241&lt;11,"1090","1110"))))))),IF(G241*1000&lt;=1570,IF(N241&lt;1.8,"",IF(N241&lt;2.9,"2018",IF(N241&lt;3.8,"2029",IF(N241&lt;5,"2038",IF(N241&lt;7,"2050",IF(N241&lt;9,"2070",IF(N241&lt;11,"2090","2110"))))))),IF(G241*1000&lt;=1700,IF(N241&lt;1.8,"",IF(N241&lt;2.9,"3018",IF(N241&lt;3.8,"3029",IF(N241&lt;5,"3038",IF(N241&lt;7,"3050",IF(N241&lt;9,"3070",IF(N241&lt;11,"3090","3110"))))))),""))))</f>
        <v/>
      </c>
      <c r="Q241">
        <f>AND(O241=TRUE,P241&lt;&gt;"")</f>
        <v/>
      </c>
      <c r="R241">
        <f>IF(G241*1000&lt;750,"なし","あり")</f>
        <v/>
      </c>
      <c r="S241">
        <f>IF(AND(O241=TRUE,Q241=TRUE),"設定可","BLOCK")</f>
        <v/>
      </c>
      <c r="T241" t="inlineStr">
        <is>
          <t>商品カタログ P194</t>
        </is>
      </c>
      <c r="U241" t="inlineStr">
        <is>
          <t>https://webcatalog.lixil.co.jp/iportal/CatalogDetail.do?catalogID=15191910000&amp;categoryID=1630000&amp;designID=newinter&amp;method=initial_screen&amp;position=18&amp;type=mc&amp;volumeID=LXL13001</t>
        </is>
      </c>
    </row>
    <row r="242">
      <c r="A242" t="inlineStr">
        <is>
          <t>WG-SL-00239</t>
        </is>
      </c>
      <c r="B242" t="inlineStr">
        <is>
          <t>SZ-SL-000972</t>
        </is>
      </c>
      <c r="C242" t="inlineStr">
        <is>
          <t>WT-SL-MENKOSHI-AGE-FS</t>
        </is>
      </c>
      <c r="D242" t="inlineStr">
        <is>
          <t>SP-SL-AGE-GRILLE-H</t>
        </is>
      </c>
      <c r="E242" t="inlineStr">
        <is>
          <t>06007</t>
        </is>
      </c>
      <c r="F242" t="n">
        <v>0.64</v>
      </c>
      <c r="G242" t="n">
        <v>0.77</v>
      </c>
      <c r="H242" t="inlineStr">
        <is>
          <t>GL-SL-005</t>
        </is>
      </c>
      <c r="I242" t="n">
        <v>7</v>
      </c>
      <c r="J242" t="n">
        <v>9.1</v>
      </c>
      <c r="K242" t="n">
        <v>-0.48</v>
      </c>
      <c r="L242" t="n">
        <v>-0.998</v>
      </c>
      <c r="M242" t="n">
        <v>0.367</v>
      </c>
      <c r="N242">
        <f>ROUND(J242*F242*G242+K242*G242+L242*F242+M242,3)</f>
        <v/>
      </c>
      <c r="O242">
        <f>AND(N242&gt;=1.4,N242&lt;=13)</f>
        <v/>
      </c>
      <c r="P242">
        <f>IF(OR(N242&lt;1.4,N242&gt;13),"",IF(G242*1000&lt;=1170,IF(N242&lt;1.8,"1014",IF(N242&lt;2.9,"1018",IF(N242&lt;3.8,"1029",IF(N242&lt;5,"1038",IF(N242&lt;7,"1050",IF(N242&lt;9,"1070",IF(N242&lt;11,"1090","1110"))))))),IF(G242*1000&lt;=1570,IF(N242&lt;1.8,"",IF(N242&lt;2.9,"2018",IF(N242&lt;3.8,"2029",IF(N242&lt;5,"2038",IF(N242&lt;7,"2050",IF(N242&lt;9,"2070",IF(N242&lt;11,"2090","2110"))))))),IF(G242*1000&lt;=1700,IF(N242&lt;1.8,"",IF(N242&lt;2.9,"3018",IF(N242&lt;3.8,"3029",IF(N242&lt;5,"3038",IF(N242&lt;7,"3050",IF(N242&lt;9,"3070",IF(N242&lt;11,"3090","3110"))))))),""))))</f>
        <v/>
      </c>
      <c r="Q242">
        <f>AND(O242=TRUE,P242&lt;&gt;"")</f>
        <v/>
      </c>
      <c r="R242">
        <f>IF(G242*1000&lt;750,"なし","あり")</f>
        <v/>
      </c>
      <c r="S242">
        <f>IF(AND(O242=TRUE,Q242=TRUE),"設定可","BLOCK")</f>
        <v/>
      </c>
      <c r="T242" t="inlineStr">
        <is>
          <t>商品カタログ P194</t>
        </is>
      </c>
      <c r="U242" t="inlineStr">
        <is>
          <t>https://webcatalog.lixil.co.jp/iportal/CatalogDetail.do?catalogID=15191910000&amp;categoryID=1630000&amp;designID=newinter&amp;method=initial_screen&amp;position=18&amp;type=mc&amp;volumeID=LXL13001</t>
        </is>
      </c>
    </row>
    <row r="243">
      <c r="A243" t="inlineStr">
        <is>
          <t>WG-SL-00240</t>
        </is>
      </c>
      <c r="B243" t="inlineStr">
        <is>
          <t>SZ-SL-000972</t>
        </is>
      </c>
      <c r="C243" t="inlineStr">
        <is>
          <t>WT-SL-MENKOSHI-AGE-FS</t>
        </is>
      </c>
      <c r="D243" t="inlineStr">
        <is>
          <t>SP-SL-AGE-GRILLE-H</t>
        </is>
      </c>
      <c r="E243" t="inlineStr">
        <is>
          <t>06007</t>
        </is>
      </c>
      <c r="F243" t="n">
        <v>0.64</v>
      </c>
      <c r="G243" t="n">
        <v>0.77</v>
      </c>
      <c r="H243" t="inlineStr">
        <is>
          <t>GL-SL-006</t>
        </is>
      </c>
      <c r="I243" t="n">
        <v>8</v>
      </c>
      <c r="J243" t="n">
        <v>10.4</v>
      </c>
      <c r="K243" t="n">
        <v>-0.605</v>
      </c>
      <c r="L243" t="n">
        <v>-1.332</v>
      </c>
      <c r="M243" t="n">
        <v>0.399</v>
      </c>
      <c r="N243">
        <f>ROUND(J243*F243*G243+K243*G243+L243*F243+M243,3)</f>
        <v/>
      </c>
      <c r="O243">
        <f>AND(N243&gt;=1.4,N243&lt;=13)</f>
        <v/>
      </c>
      <c r="P243">
        <f>IF(OR(N243&lt;1.4,N243&gt;13),"",IF(G243*1000&lt;=1170,IF(N243&lt;1.8,"1014",IF(N243&lt;2.9,"1018",IF(N243&lt;3.8,"1029",IF(N243&lt;5,"1038",IF(N243&lt;7,"1050",IF(N243&lt;9,"1070",IF(N243&lt;11,"1090","1110"))))))),IF(G243*1000&lt;=1570,IF(N243&lt;1.8,"",IF(N243&lt;2.9,"2018",IF(N243&lt;3.8,"2029",IF(N243&lt;5,"2038",IF(N243&lt;7,"2050",IF(N243&lt;9,"2070",IF(N243&lt;11,"2090","2110"))))))),IF(G243*1000&lt;=1700,IF(N243&lt;1.8,"",IF(N243&lt;2.9,"3018",IF(N243&lt;3.8,"3029",IF(N243&lt;5,"3038",IF(N243&lt;7,"3050",IF(N243&lt;9,"3070",IF(N243&lt;11,"3090","3110"))))))),""))))</f>
        <v/>
      </c>
      <c r="Q243">
        <f>AND(O243=TRUE,P243&lt;&gt;"")</f>
        <v/>
      </c>
      <c r="R243">
        <f>IF(G243*1000&lt;750,"なし","あり")</f>
        <v/>
      </c>
      <c r="S243">
        <f>IF(AND(O243=TRUE,Q243=TRUE),"設定可","BLOCK")</f>
        <v/>
      </c>
      <c r="T243" t="inlineStr">
        <is>
          <t>商品カタログ P194</t>
        </is>
      </c>
      <c r="U243" t="inlineStr">
        <is>
          <t>https://webcatalog.lixil.co.jp/iportal/CatalogDetail.do?catalogID=15191910000&amp;categoryID=1630000&amp;designID=newinter&amp;method=initial_screen&amp;position=18&amp;type=mc&amp;volumeID=LXL13001</t>
        </is>
      </c>
    </row>
    <row r="244">
      <c r="A244" t="inlineStr">
        <is>
          <t>WG-SL-00241</t>
        </is>
      </c>
      <c r="B244" t="inlineStr">
        <is>
          <t>SZ-SL-000972</t>
        </is>
      </c>
      <c r="C244" t="inlineStr">
        <is>
          <t>WT-SL-MENKOSHI-AGE-FS</t>
        </is>
      </c>
      <c r="D244" t="inlineStr">
        <is>
          <t>SP-SL-AGE-GRILLE-H</t>
        </is>
      </c>
      <c r="E244" t="inlineStr">
        <is>
          <t>06007</t>
        </is>
      </c>
      <c r="F244" t="n">
        <v>0.64</v>
      </c>
      <c r="G244" t="n">
        <v>0.77</v>
      </c>
      <c r="H244" t="inlineStr">
        <is>
          <t>GL-SL-007</t>
        </is>
      </c>
      <c r="I244" t="n">
        <v>6</v>
      </c>
      <c r="J244" t="n">
        <v>7.8</v>
      </c>
      <c r="K244" t="n">
        <v>-0.355</v>
      </c>
      <c r="L244" t="n">
        <v>-0.664</v>
      </c>
      <c r="M244" t="n">
        <v>0.335</v>
      </c>
      <c r="N244">
        <f>ROUND(J244*F244*G244+K244*G244+L244*F244+M244,3)</f>
        <v/>
      </c>
      <c r="O244">
        <f>AND(N244&gt;=1.4,N244&lt;=13)</f>
        <v/>
      </c>
      <c r="P244">
        <f>IF(OR(N244&lt;1.4,N244&gt;13),"",IF(G244*1000&lt;=1170,IF(N244&lt;1.8,"1014",IF(N244&lt;2.9,"1018",IF(N244&lt;3.8,"1029",IF(N244&lt;5,"1038",IF(N244&lt;7,"1050",IF(N244&lt;9,"1070",IF(N244&lt;11,"1090","1110"))))))),IF(G244*1000&lt;=1570,IF(N244&lt;1.8,"",IF(N244&lt;2.9,"2018",IF(N244&lt;3.8,"2029",IF(N244&lt;5,"2038",IF(N244&lt;7,"2050",IF(N244&lt;9,"2070",IF(N244&lt;11,"2090","2110"))))))),IF(G244*1000&lt;=1700,IF(N244&lt;1.8,"",IF(N244&lt;2.9,"3018",IF(N244&lt;3.8,"3029",IF(N244&lt;5,"3038",IF(N244&lt;7,"3050",IF(N244&lt;9,"3070",IF(N244&lt;11,"3090","3110"))))))),""))))</f>
        <v/>
      </c>
      <c r="Q244">
        <f>AND(O244=TRUE,P244&lt;&gt;"")</f>
        <v/>
      </c>
      <c r="R244">
        <f>IF(G244*1000&lt;750,"なし","あり")</f>
        <v/>
      </c>
      <c r="S244">
        <f>IF(AND(O244=TRUE,Q244=TRUE),"設定可","BLOCK")</f>
        <v/>
      </c>
      <c r="T244" t="inlineStr">
        <is>
          <t>商品カタログ P194</t>
        </is>
      </c>
      <c r="U244" t="inlineStr">
        <is>
          <t>https://webcatalog.lixil.co.jp/iportal/CatalogDetail.do?catalogID=15191910000&amp;categoryID=1630000&amp;designID=newinter&amp;method=initial_screen&amp;position=18&amp;type=mc&amp;volumeID=LXL13001</t>
        </is>
      </c>
    </row>
    <row r="245">
      <c r="A245" t="inlineStr">
        <is>
          <t>WG-SL-00242</t>
        </is>
      </c>
      <c r="B245" t="inlineStr">
        <is>
          <t>SZ-SL-000972</t>
        </is>
      </c>
      <c r="C245" t="inlineStr">
        <is>
          <t>WT-SL-MENKOSHI-AGE-FS</t>
        </is>
      </c>
      <c r="D245" t="inlineStr">
        <is>
          <t>SP-SL-AGE-GRILLE-H</t>
        </is>
      </c>
      <c r="E245" t="inlineStr">
        <is>
          <t>06007</t>
        </is>
      </c>
      <c r="F245" t="n">
        <v>0.64</v>
      </c>
      <c r="G245" t="n">
        <v>0.77</v>
      </c>
      <c r="H245" t="inlineStr">
        <is>
          <t>GL-SL-008</t>
        </is>
      </c>
      <c r="I245" t="n">
        <v>7</v>
      </c>
      <c r="J245" t="n">
        <v>9.1</v>
      </c>
      <c r="K245" t="n">
        <v>-0.48</v>
      </c>
      <c r="L245" t="n">
        <v>-0.998</v>
      </c>
      <c r="M245" t="n">
        <v>0.367</v>
      </c>
      <c r="N245">
        <f>ROUND(J245*F245*G245+K245*G245+L245*F245+M245,3)</f>
        <v/>
      </c>
      <c r="O245">
        <f>AND(N245&gt;=1.4,N245&lt;=13)</f>
        <v/>
      </c>
      <c r="P245">
        <f>IF(OR(N245&lt;1.4,N245&gt;13),"",IF(G245*1000&lt;=1170,IF(N245&lt;1.8,"1014",IF(N245&lt;2.9,"1018",IF(N245&lt;3.8,"1029",IF(N245&lt;5,"1038",IF(N245&lt;7,"1050",IF(N245&lt;9,"1070",IF(N245&lt;11,"1090","1110"))))))),IF(G245*1000&lt;=1570,IF(N245&lt;1.8,"",IF(N245&lt;2.9,"2018",IF(N245&lt;3.8,"2029",IF(N245&lt;5,"2038",IF(N245&lt;7,"2050",IF(N245&lt;9,"2070",IF(N245&lt;11,"2090","2110"))))))),IF(G245*1000&lt;=1700,IF(N245&lt;1.8,"",IF(N245&lt;2.9,"3018",IF(N245&lt;3.8,"3029",IF(N245&lt;5,"3038",IF(N245&lt;7,"3050",IF(N245&lt;9,"3070",IF(N245&lt;11,"3090","3110"))))))),""))))</f>
        <v/>
      </c>
      <c r="Q245">
        <f>AND(O245=TRUE,P245&lt;&gt;"")</f>
        <v/>
      </c>
      <c r="R245">
        <f>IF(G245*1000&lt;750,"なし","あり")</f>
        <v/>
      </c>
      <c r="S245">
        <f>IF(AND(O245=TRUE,Q245=TRUE),"設定可","BLOCK")</f>
        <v/>
      </c>
      <c r="T245" t="inlineStr">
        <is>
          <t>商品カタログ P194</t>
        </is>
      </c>
      <c r="U245" t="inlineStr">
        <is>
          <t>https://webcatalog.lixil.co.jp/iportal/CatalogDetail.do?catalogID=15191910000&amp;categoryID=1630000&amp;designID=newinter&amp;method=initial_screen&amp;position=18&amp;type=mc&amp;volumeID=LXL13001</t>
        </is>
      </c>
    </row>
    <row r="246">
      <c r="A246" t="inlineStr">
        <is>
          <t>WG-SL-00243</t>
        </is>
      </c>
      <c r="B246" t="inlineStr">
        <is>
          <t>SZ-SL-000972</t>
        </is>
      </c>
      <c r="C246" t="inlineStr">
        <is>
          <t>WT-SL-MENKOSHI-AGE-FS</t>
        </is>
      </c>
      <c r="D246" t="inlineStr">
        <is>
          <t>SP-SL-AGE-GRILLE-H</t>
        </is>
      </c>
      <c r="E246" t="inlineStr">
        <is>
          <t>06007</t>
        </is>
      </c>
      <c r="F246" t="n">
        <v>0.64</v>
      </c>
      <c r="G246" t="n">
        <v>0.77</v>
      </c>
      <c r="H246" t="inlineStr">
        <is>
          <t>GL-SL-009</t>
        </is>
      </c>
      <c r="I246" t="n">
        <v>8</v>
      </c>
      <c r="J246" t="n">
        <v>10.4</v>
      </c>
      <c r="K246" t="n">
        <v>-0.605</v>
      </c>
      <c r="L246" t="n">
        <v>-1.332</v>
      </c>
      <c r="M246" t="n">
        <v>0.399</v>
      </c>
      <c r="N246">
        <f>ROUND(J246*F246*G246+K246*G246+L246*F246+M246,3)</f>
        <v/>
      </c>
      <c r="O246">
        <f>AND(N246&gt;=1.4,N246&lt;=13)</f>
        <v/>
      </c>
      <c r="P246">
        <f>IF(OR(N246&lt;1.4,N246&gt;13),"",IF(G246*1000&lt;=1170,IF(N246&lt;1.8,"1014",IF(N246&lt;2.9,"1018",IF(N246&lt;3.8,"1029",IF(N246&lt;5,"1038",IF(N246&lt;7,"1050",IF(N246&lt;9,"1070",IF(N246&lt;11,"1090","1110"))))))),IF(G246*1000&lt;=1570,IF(N246&lt;1.8,"",IF(N246&lt;2.9,"2018",IF(N246&lt;3.8,"2029",IF(N246&lt;5,"2038",IF(N246&lt;7,"2050",IF(N246&lt;9,"2070",IF(N246&lt;11,"2090","2110"))))))),IF(G246*1000&lt;=1700,IF(N246&lt;1.8,"",IF(N246&lt;2.9,"3018",IF(N246&lt;3.8,"3029",IF(N246&lt;5,"3038",IF(N246&lt;7,"3050",IF(N246&lt;9,"3070",IF(N246&lt;11,"3090","3110"))))))),""))))</f>
        <v/>
      </c>
      <c r="Q246">
        <f>AND(O246=TRUE,P246&lt;&gt;"")</f>
        <v/>
      </c>
      <c r="R246">
        <f>IF(G246*1000&lt;750,"なし","あり")</f>
        <v/>
      </c>
      <c r="S246">
        <f>IF(AND(O246=TRUE,Q246=TRUE),"設定可","BLOCK")</f>
        <v/>
      </c>
      <c r="T246" t="inlineStr">
        <is>
          <t>商品カタログ P194</t>
        </is>
      </c>
      <c r="U246" t="inlineStr">
        <is>
          <t>https://webcatalog.lixil.co.jp/iportal/CatalogDetail.do?catalogID=15191910000&amp;categoryID=1630000&amp;designID=newinter&amp;method=initial_screen&amp;position=18&amp;type=mc&amp;volumeID=LXL13001</t>
        </is>
      </c>
    </row>
    <row r="247">
      <c r="A247" t="inlineStr">
        <is>
          <t>WG-SL-00244</t>
        </is>
      </c>
      <c r="B247" t="inlineStr">
        <is>
          <t>SZ-SL-000973</t>
        </is>
      </c>
      <c r="C247" t="inlineStr">
        <is>
          <t>WT-SL-MENKOSHI-AGE-FS</t>
        </is>
      </c>
      <c r="D247" t="inlineStr">
        <is>
          <t>SP-SL-AGE-GRILLE-H</t>
        </is>
      </c>
      <c r="E247" t="inlineStr">
        <is>
          <t>06907</t>
        </is>
      </c>
      <c r="F247" t="n">
        <v>0.73</v>
      </c>
      <c r="G247" t="n">
        <v>0.77</v>
      </c>
      <c r="H247" t="inlineStr">
        <is>
          <t>GL-SL-001</t>
        </is>
      </c>
      <c r="I247" t="n">
        <v>6</v>
      </c>
      <c r="J247" t="n">
        <v>7.8</v>
      </c>
      <c r="K247" t="n">
        <v>-0.355</v>
      </c>
      <c r="L247" t="n">
        <v>-0.664</v>
      </c>
      <c r="M247" t="n">
        <v>0.335</v>
      </c>
      <c r="N247">
        <f>ROUND(J247*F247*G247+K247*G247+L247*F247+M247,3)</f>
        <v/>
      </c>
      <c r="O247">
        <f>AND(N247&gt;=1.4,N247&lt;=13)</f>
        <v/>
      </c>
      <c r="P247">
        <f>IF(OR(N247&lt;1.4,N247&gt;13),"",IF(G247*1000&lt;=1170,IF(N247&lt;1.8,"1014",IF(N247&lt;2.9,"1018",IF(N247&lt;3.8,"1029",IF(N247&lt;5,"1038",IF(N247&lt;7,"1050",IF(N247&lt;9,"1070",IF(N247&lt;11,"1090","1110"))))))),IF(G247*1000&lt;=1570,IF(N247&lt;1.8,"",IF(N247&lt;2.9,"2018",IF(N247&lt;3.8,"2029",IF(N247&lt;5,"2038",IF(N247&lt;7,"2050",IF(N247&lt;9,"2070",IF(N247&lt;11,"2090","2110"))))))),IF(G247*1000&lt;=1700,IF(N247&lt;1.8,"",IF(N247&lt;2.9,"3018",IF(N247&lt;3.8,"3029",IF(N247&lt;5,"3038",IF(N247&lt;7,"3050",IF(N247&lt;9,"3070",IF(N247&lt;11,"3090","3110"))))))),""))))</f>
        <v/>
      </c>
      <c r="Q247">
        <f>AND(O247=TRUE,P247&lt;&gt;"")</f>
        <v/>
      </c>
      <c r="R247">
        <f>IF(G247*1000&lt;750,"なし","あり")</f>
        <v/>
      </c>
      <c r="S247">
        <f>IF(AND(O247=TRUE,Q247=TRUE),"設定可","BLOCK")</f>
        <v/>
      </c>
      <c r="T247" t="inlineStr">
        <is>
          <t>商品カタログ P194</t>
        </is>
      </c>
      <c r="U247" t="inlineStr">
        <is>
          <t>https://webcatalog.lixil.co.jp/iportal/CatalogDetail.do?catalogID=15191910000&amp;categoryID=1630000&amp;designID=newinter&amp;method=initial_screen&amp;position=18&amp;type=mc&amp;volumeID=LXL13001</t>
        </is>
      </c>
    </row>
    <row r="248">
      <c r="A248" t="inlineStr">
        <is>
          <t>WG-SL-00245</t>
        </is>
      </c>
      <c r="B248" t="inlineStr">
        <is>
          <t>SZ-SL-000973</t>
        </is>
      </c>
      <c r="C248" t="inlineStr">
        <is>
          <t>WT-SL-MENKOSHI-AGE-FS</t>
        </is>
      </c>
      <c r="D248" t="inlineStr">
        <is>
          <t>SP-SL-AGE-GRILLE-H</t>
        </is>
      </c>
      <c r="E248" t="inlineStr">
        <is>
          <t>06907</t>
        </is>
      </c>
      <c r="F248" t="n">
        <v>0.73</v>
      </c>
      <c r="G248" t="n">
        <v>0.77</v>
      </c>
      <c r="H248" t="inlineStr">
        <is>
          <t>GL-SL-002</t>
        </is>
      </c>
      <c r="I248" t="n">
        <v>7</v>
      </c>
      <c r="J248" t="n">
        <v>9.1</v>
      </c>
      <c r="K248" t="n">
        <v>-0.48</v>
      </c>
      <c r="L248" t="n">
        <v>-0.998</v>
      </c>
      <c r="M248" t="n">
        <v>0.367</v>
      </c>
      <c r="N248">
        <f>ROUND(J248*F248*G248+K248*G248+L248*F248+M248,3)</f>
        <v/>
      </c>
      <c r="O248">
        <f>AND(N248&gt;=1.4,N248&lt;=13)</f>
        <v/>
      </c>
      <c r="P248">
        <f>IF(OR(N248&lt;1.4,N248&gt;13),"",IF(G248*1000&lt;=1170,IF(N248&lt;1.8,"1014",IF(N248&lt;2.9,"1018",IF(N248&lt;3.8,"1029",IF(N248&lt;5,"1038",IF(N248&lt;7,"1050",IF(N248&lt;9,"1070",IF(N248&lt;11,"1090","1110"))))))),IF(G248*1000&lt;=1570,IF(N248&lt;1.8,"",IF(N248&lt;2.9,"2018",IF(N248&lt;3.8,"2029",IF(N248&lt;5,"2038",IF(N248&lt;7,"2050",IF(N248&lt;9,"2070",IF(N248&lt;11,"2090","2110"))))))),IF(G248*1000&lt;=1700,IF(N248&lt;1.8,"",IF(N248&lt;2.9,"3018",IF(N248&lt;3.8,"3029",IF(N248&lt;5,"3038",IF(N248&lt;7,"3050",IF(N248&lt;9,"3070",IF(N248&lt;11,"3090","3110"))))))),""))))</f>
        <v/>
      </c>
      <c r="Q248">
        <f>AND(O248=TRUE,P248&lt;&gt;"")</f>
        <v/>
      </c>
      <c r="R248">
        <f>IF(G248*1000&lt;750,"なし","あり")</f>
        <v/>
      </c>
      <c r="S248">
        <f>IF(AND(O248=TRUE,Q248=TRUE),"設定可","BLOCK")</f>
        <v/>
      </c>
      <c r="T248" t="inlineStr">
        <is>
          <t>商品カタログ P194</t>
        </is>
      </c>
      <c r="U248" t="inlineStr">
        <is>
          <t>https://webcatalog.lixil.co.jp/iportal/CatalogDetail.do?catalogID=15191910000&amp;categoryID=1630000&amp;designID=newinter&amp;method=initial_screen&amp;position=18&amp;type=mc&amp;volumeID=LXL13001</t>
        </is>
      </c>
    </row>
    <row r="249">
      <c r="A249" t="inlineStr">
        <is>
          <t>WG-SL-00246</t>
        </is>
      </c>
      <c r="B249" t="inlineStr">
        <is>
          <t>SZ-SL-000973</t>
        </is>
      </c>
      <c r="C249" t="inlineStr">
        <is>
          <t>WT-SL-MENKOSHI-AGE-FS</t>
        </is>
      </c>
      <c r="D249" t="inlineStr">
        <is>
          <t>SP-SL-AGE-GRILLE-H</t>
        </is>
      </c>
      <c r="E249" t="inlineStr">
        <is>
          <t>06907</t>
        </is>
      </c>
      <c r="F249" t="n">
        <v>0.73</v>
      </c>
      <c r="G249" t="n">
        <v>0.77</v>
      </c>
      <c r="H249" t="inlineStr">
        <is>
          <t>GL-SL-003</t>
        </is>
      </c>
      <c r="I249" t="n">
        <v>8</v>
      </c>
      <c r="J249" t="n">
        <v>10.4</v>
      </c>
      <c r="K249" t="n">
        <v>-0.605</v>
      </c>
      <c r="L249" t="n">
        <v>-1.332</v>
      </c>
      <c r="M249" t="n">
        <v>0.399</v>
      </c>
      <c r="N249">
        <f>ROUND(J249*F249*G249+K249*G249+L249*F249+M249,3)</f>
        <v/>
      </c>
      <c r="O249">
        <f>AND(N249&gt;=1.4,N249&lt;=13)</f>
        <v/>
      </c>
      <c r="P249">
        <f>IF(OR(N249&lt;1.4,N249&gt;13),"",IF(G249*1000&lt;=1170,IF(N249&lt;1.8,"1014",IF(N249&lt;2.9,"1018",IF(N249&lt;3.8,"1029",IF(N249&lt;5,"1038",IF(N249&lt;7,"1050",IF(N249&lt;9,"1070",IF(N249&lt;11,"1090","1110"))))))),IF(G249*1000&lt;=1570,IF(N249&lt;1.8,"",IF(N249&lt;2.9,"2018",IF(N249&lt;3.8,"2029",IF(N249&lt;5,"2038",IF(N249&lt;7,"2050",IF(N249&lt;9,"2070",IF(N249&lt;11,"2090","2110"))))))),IF(G249*1000&lt;=1700,IF(N249&lt;1.8,"",IF(N249&lt;2.9,"3018",IF(N249&lt;3.8,"3029",IF(N249&lt;5,"3038",IF(N249&lt;7,"3050",IF(N249&lt;9,"3070",IF(N249&lt;11,"3090","3110"))))))),""))))</f>
        <v/>
      </c>
      <c r="Q249">
        <f>AND(O249=TRUE,P249&lt;&gt;"")</f>
        <v/>
      </c>
      <c r="R249">
        <f>IF(G249*1000&lt;750,"なし","あり")</f>
        <v/>
      </c>
      <c r="S249">
        <f>IF(AND(O249=TRUE,Q249=TRUE),"設定可","BLOCK")</f>
        <v/>
      </c>
      <c r="T249" t="inlineStr">
        <is>
          <t>商品カタログ P194</t>
        </is>
      </c>
      <c r="U249" t="inlineStr">
        <is>
          <t>https://webcatalog.lixil.co.jp/iportal/CatalogDetail.do?catalogID=15191910000&amp;categoryID=1630000&amp;designID=newinter&amp;method=initial_screen&amp;position=18&amp;type=mc&amp;volumeID=LXL13001</t>
        </is>
      </c>
    </row>
    <row r="250">
      <c r="A250" t="inlineStr">
        <is>
          <t>WG-SL-00247</t>
        </is>
      </c>
      <c r="B250" t="inlineStr">
        <is>
          <t>SZ-SL-000973</t>
        </is>
      </c>
      <c r="C250" t="inlineStr">
        <is>
          <t>WT-SL-MENKOSHI-AGE-FS</t>
        </is>
      </c>
      <c r="D250" t="inlineStr">
        <is>
          <t>SP-SL-AGE-GRILLE-H</t>
        </is>
      </c>
      <c r="E250" t="inlineStr">
        <is>
          <t>06907</t>
        </is>
      </c>
      <c r="F250" t="n">
        <v>0.73</v>
      </c>
      <c r="G250" t="n">
        <v>0.77</v>
      </c>
      <c r="H250" t="inlineStr">
        <is>
          <t>GL-SL-004</t>
        </is>
      </c>
      <c r="I250" t="n">
        <v>6</v>
      </c>
      <c r="J250" t="n">
        <v>7.8</v>
      </c>
      <c r="K250" t="n">
        <v>-0.355</v>
      </c>
      <c r="L250" t="n">
        <v>-0.664</v>
      </c>
      <c r="M250" t="n">
        <v>0.335</v>
      </c>
      <c r="N250">
        <f>ROUND(J250*F250*G250+K250*G250+L250*F250+M250,3)</f>
        <v/>
      </c>
      <c r="O250">
        <f>AND(N250&gt;=1.4,N250&lt;=13)</f>
        <v/>
      </c>
      <c r="P250">
        <f>IF(OR(N250&lt;1.4,N250&gt;13),"",IF(G250*1000&lt;=1170,IF(N250&lt;1.8,"1014",IF(N250&lt;2.9,"1018",IF(N250&lt;3.8,"1029",IF(N250&lt;5,"1038",IF(N250&lt;7,"1050",IF(N250&lt;9,"1070",IF(N250&lt;11,"1090","1110"))))))),IF(G250*1000&lt;=1570,IF(N250&lt;1.8,"",IF(N250&lt;2.9,"2018",IF(N250&lt;3.8,"2029",IF(N250&lt;5,"2038",IF(N250&lt;7,"2050",IF(N250&lt;9,"2070",IF(N250&lt;11,"2090","2110"))))))),IF(G250*1000&lt;=1700,IF(N250&lt;1.8,"",IF(N250&lt;2.9,"3018",IF(N250&lt;3.8,"3029",IF(N250&lt;5,"3038",IF(N250&lt;7,"3050",IF(N250&lt;9,"3070",IF(N250&lt;11,"3090","3110"))))))),""))))</f>
        <v/>
      </c>
      <c r="Q250">
        <f>AND(O250=TRUE,P250&lt;&gt;"")</f>
        <v/>
      </c>
      <c r="R250">
        <f>IF(G250*1000&lt;750,"なし","あり")</f>
        <v/>
      </c>
      <c r="S250">
        <f>IF(AND(O250=TRUE,Q250=TRUE),"設定可","BLOCK")</f>
        <v/>
      </c>
      <c r="T250" t="inlineStr">
        <is>
          <t>商品カタログ P194</t>
        </is>
      </c>
      <c r="U250" t="inlineStr">
        <is>
          <t>https://webcatalog.lixil.co.jp/iportal/CatalogDetail.do?catalogID=15191910000&amp;categoryID=1630000&amp;designID=newinter&amp;method=initial_screen&amp;position=18&amp;type=mc&amp;volumeID=LXL13001</t>
        </is>
      </c>
    </row>
    <row r="251">
      <c r="A251" t="inlineStr">
        <is>
          <t>WG-SL-00248</t>
        </is>
      </c>
      <c r="B251" t="inlineStr">
        <is>
          <t>SZ-SL-000973</t>
        </is>
      </c>
      <c r="C251" t="inlineStr">
        <is>
          <t>WT-SL-MENKOSHI-AGE-FS</t>
        </is>
      </c>
      <c r="D251" t="inlineStr">
        <is>
          <t>SP-SL-AGE-GRILLE-H</t>
        </is>
      </c>
      <c r="E251" t="inlineStr">
        <is>
          <t>06907</t>
        </is>
      </c>
      <c r="F251" t="n">
        <v>0.73</v>
      </c>
      <c r="G251" t="n">
        <v>0.77</v>
      </c>
      <c r="H251" t="inlineStr">
        <is>
          <t>GL-SL-005</t>
        </is>
      </c>
      <c r="I251" t="n">
        <v>7</v>
      </c>
      <c r="J251" t="n">
        <v>9.1</v>
      </c>
      <c r="K251" t="n">
        <v>-0.48</v>
      </c>
      <c r="L251" t="n">
        <v>-0.998</v>
      </c>
      <c r="M251" t="n">
        <v>0.367</v>
      </c>
      <c r="N251">
        <f>ROUND(J251*F251*G251+K251*G251+L251*F251+M251,3)</f>
        <v/>
      </c>
      <c r="O251">
        <f>AND(N251&gt;=1.4,N251&lt;=13)</f>
        <v/>
      </c>
      <c r="P251">
        <f>IF(OR(N251&lt;1.4,N251&gt;13),"",IF(G251*1000&lt;=1170,IF(N251&lt;1.8,"1014",IF(N251&lt;2.9,"1018",IF(N251&lt;3.8,"1029",IF(N251&lt;5,"1038",IF(N251&lt;7,"1050",IF(N251&lt;9,"1070",IF(N251&lt;11,"1090","1110"))))))),IF(G251*1000&lt;=1570,IF(N251&lt;1.8,"",IF(N251&lt;2.9,"2018",IF(N251&lt;3.8,"2029",IF(N251&lt;5,"2038",IF(N251&lt;7,"2050",IF(N251&lt;9,"2070",IF(N251&lt;11,"2090","2110"))))))),IF(G251*1000&lt;=1700,IF(N251&lt;1.8,"",IF(N251&lt;2.9,"3018",IF(N251&lt;3.8,"3029",IF(N251&lt;5,"3038",IF(N251&lt;7,"3050",IF(N251&lt;9,"3070",IF(N251&lt;11,"3090","3110"))))))),""))))</f>
        <v/>
      </c>
      <c r="Q251">
        <f>AND(O251=TRUE,P251&lt;&gt;"")</f>
        <v/>
      </c>
      <c r="R251">
        <f>IF(G251*1000&lt;750,"なし","あり")</f>
        <v/>
      </c>
      <c r="S251">
        <f>IF(AND(O251=TRUE,Q251=TRUE),"設定可","BLOCK")</f>
        <v/>
      </c>
      <c r="T251" t="inlineStr">
        <is>
          <t>商品カタログ P194</t>
        </is>
      </c>
      <c r="U251" t="inlineStr">
        <is>
          <t>https://webcatalog.lixil.co.jp/iportal/CatalogDetail.do?catalogID=15191910000&amp;categoryID=1630000&amp;designID=newinter&amp;method=initial_screen&amp;position=18&amp;type=mc&amp;volumeID=LXL13001</t>
        </is>
      </c>
    </row>
    <row r="252">
      <c r="A252" t="inlineStr">
        <is>
          <t>WG-SL-00249</t>
        </is>
      </c>
      <c r="B252" t="inlineStr">
        <is>
          <t>SZ-SL-000973</t>
        </is>
      </c>
      <c r="C252" t="inlineStr">
        <is>
          <t>WT-SL-MENKOSHI-AGE-FS</t>
        </is>
      </c>
      <c r="D252" t="inlineStr">
        <is>
          <t>SP-SL-AGE-GRILLE-H</t>
        </is>
      </c>
      <c r="E252" t="inlineStr">
        <is>
          <t>06907</t>
        </is>
      </c>
      <c r="F252" t="n">
        <v>0.73</v>
      </c>
      <c r="G252" t="n">
        <v>0.77</v>
      </c>
      <c r="H252" t="inlineStr">
        <is>
          <t>GL-SL-006</t>
        </is>
      </c>
      <c r="I252" t="n">
        <v>8</v>
      </c>
      <c r="J252" t="n">
        <v>10.4</v>
      </c>
      <c r="K252" t="n">
        <v>-0.605</v>
      </c>
      <c r="L252" t="n">
        <v>-1.332</v>
      </c>
      <c r="M252" t="n">
        <v>0.399</v>
      </c>
      <c r="N252">
        <f>ROUND(J252*F252*G252+K252*G252+L252*F252+M252,3)</f>
        <v/>
      </c>
      <c r="O252">
        <f>AND(N252&gt;=1.4,N252&lt;=13)</f>
        <v/>
      </c>
      <c r="P252">
        <f>IF(OR(N252&lt;1.4,N252&gt;13),"",IF(G252*1000&lt;=1170,IF(N252&lt;1.8,"1014",IF(N252&lt;2.9,"1018",IF(N252&lt;3.8,"1029",IF(N252&lt;5,"1038",IF(N252&lt;7,"1050",IF(N252&lt;9,"1070",IF(N252&lt;11,"1090","1110"))))))),IF(G252*1000&lt;=1570,IF(N252&lt;1.8,"",IF(N252&lt;2.9,"2018",IF(N252&lt;3.8,"2029",IF(N252&lt;5,"2038",IF(N252&lt;7,"2050",IF(N252&lt;9,"2070",IF(N252&lt;11,"2090","2110"))))))),IF(G252*1000&lt;=1700,IF(N252&lt;1.8,"",IF(N252&lt;2.9,"3018",IF(N252&lt;3.8,"3029",IF(N252&lt;5,"3038",IF(N252&lt;7,"3050",IF(N252&lt;9,"3070",IF(N252&lt;11,"3090","3110"))))))),""))))</f>
        <v/>
      </c>
      <c r="Q252">
        <f>AND(O252=TRUE,P252&lt;&gt;"")</f>
        <v/>
      </c>
      <c r="R252">
        <f>IF(G252*1000&lt;750,"なし","あり")</f>
        <v/>
      </c>
      <c r="S252">
        <f>IF(AND(O252=TRUE,Q252=TRUE),"設定可","BLOCK")</f>
        <v/>
      </c>
      <c r="T252" t="inlineStr">
        <is>
          <t>商品カタログ P194</t>
        </is>
      </c>
      <c r="U252" t="inlineStr">
        <is>
          <t>https://webcatalog.lixil.co.jp/iportal/CatalogDetail.do?catalogID=15191910000&amp;categoryID=1630000&amp;designID=newinter&amp;method=initial_screen&amp;position=18&amp;type=mc&amp;volumeID=LXL13001</t>
        </is>
      </c>
    </row>
    <row r="253">
      <c r="A253" t="inlineStr">
        <is>
          <t>WG-SL-00250</t>
        </is>
      </c>
      <c r="B253" t="inlineStr">
        <is>
          <t>SZ-SL-000973</t>
        </is>
      </c>
      <c r="C253" t="inlineStr">
        <is>
          <t>WT-SL-MENKOSHI-AGE-FS</t>
        </is>
      </c>
      <c r="D253" t="inlineStr">
        <is>
          <t>SP-SL-AGE-GRILLE-H</t>
        </is>
      </c>
      <c r="E253" t="inlineStr">
        <is>
          <t>06907</t>
        </is>
      </c>
      <c r="F253" t="n">
        <v>0.73</v>
      </c>
      <c r="G253" t="n">
        <v>0.77</v>
      </c>
      <c r="H253" t="inlineStr">
        <is>
          <t>GL-SL-007</t>
        </is>
      </c>
      <c r="I253" t="n">
        <v>6</v>
      </c>
      <c r="J253" t="n">
        <v>7.8</v>
      </c>
      <c r="K253" t="n">
        <v>-0.355</v>
      </c>
      <c r="L253" t="n">
        <v>-0.664</v>
      </c>
      <c r="M253" t="n">
        <v>0.335</v>
      </c>
      <c r="N253">
        <f>ROUND(J253*F253*G253+K253*G253+L253*F253+M253,3)</f>
        <v/>
      </c>
      <c r="O253">
        <f>AND(N253&gt;=1.4,N253&lt;=13)</f>
        <v/>
      </c>
      <c r="P253">
        <f>IF(OR(N253&lt;1.4,N253&gt;13),"",IF(G253*1000&lt;=1170,IF(N253&lt;1.8,"1014",IF(N253&lt;2.9,"1018",IF(N253&lt;3.8,"1029",IF(N253&lt;5,"1038",IF(N253&lt;7,"1050",IF(N253&lt;9,"1070",IF(N253&lt;11,"1090","1110"))))))),IF(G253*1000&lt;=1570,IF(N253&lt;1.8,"",IF(N253&lt;2.9,"2018",IF(N253&lt;3.8,"2029",IF(N253&lt;5,"2038",IF(N253&lt;7,"2050",IF(N253&lt;9,"2070",IF(N253&lt;11,"2090","2110"))))))),IF(G253*1000&lt;=1700,IF(N253&lt;1.8,"",IF(N253&lt;2.9,"3018",IF(N253&lt;3.8,"3029",IF(N253&lt;5,"3038",IF(N253&lt;7,"3050",IF(N253&lt;9,"3070",IF(N253&lt;11,"3090","3110"))))))),""))))</f>
        <v/>
      </c>
      <c r="Q253">
        <f>AND(O253=TRUE,P253&lt;&gt;"")</f>
        <v/>
      </c>
      <c r="R253">
        <f>IF(G253*1000&lt;750,"なし","あり")</f>
        <v/>
      </c>
      <c r="S253">
        <f>IF(AND(O253=TRUE,Q253=TRUE),"設定可","BLOCK")</f>
        <v/>
      </c>
      <c r="T253" t="inlineStr">
        <is>
          <t>商品カタログ P194</t>
        </is>
      </c>
      <c r="U253" t="inlineStr">
        <is>
          <t>https://webcatalog.lixil.co.jp/iportal/CatalogDetail.do?catalogID=15191910000&amp;categoryID=1630000&amp;designID=newinter&amp;method=initial_screen&amp;position=18&amp;type=mc&amp;volumeID=LXL13001</t>
        </is>
      </c>
    </row>
    <row r="254">
      <c r="A254" t="inlineStr">
        <is>
          <t>WG-SL-00251</t>
        </is>
      </c>
      <c r="B254" t="inlineStr">
        <is>
          <t>SZ-SL-000973</t>
        </is>
      </c>
      <c r="C254" t="inlineStr">
        <is>
          <t>WT-SL-MENKOSHI-AGE-FS</t>
        </is>
      </c>
      <c r="D254" t="inlineStr">
        <is>
          <t>SP-SL-AGE-GRILLE-H</t>
        </is>
      </c>
      <c r="E254" t="inlineStr">
        <is>
          <t>06907</t>
        </is>
      </c>
      <c r="F254" t="n">
        <v>0.73</v>
      </c>
      <c r="G254" t="n">
        <v>0.77</v>
      </c>
      <c r="H254" t="inlineStr">
        <is>
          <t>GL-SL-008</t>
        </is>
      </c>
      <c r="I254" t="n">
        <v>7</v>
      </c>
      <c r="J254" t="n">
        <v>9.1</v>
      </c>
      <c r="K254" t="n">
        <v>-0.48</v>
      </c>
      <c r="L254" t="n">
        <v>-0.998</v>
      </c>
      <c r="M254" t="n">
        <v>0.367</v>
      </c>
      <c r="N254">
        <f>ROUND(J254*F254*G254+K254*G254+L254*F254+M254,3)</f>
        <v/>
      </c>
      <c r="O254">
        <f>AND(N254&gt;=1.4,N254&lt;=13)</f>
        <v/>
      </c>
      <c r="P254">
        <f>IF(OR(N254&lt;1.4,N254&gt;13),"",IF(G254*1000&lt;=1170,IF(N254&lt;1.8,"1014",IF(N254&lt;2.9,"1018",IF(N254&lt;3.8,"1029",IF(N254&lt;5,"1038",IF(N254&lt;7,"1050",IF(N254&lt;9,"1070",IF(N254&lt;11,"1090","1110"))))))),IF(G254*1000&lt;=1570,IF(N254&lt;1.8,"",IF(N254&lt;2.9,"2018",IF(N254&lt;3.8,"2029",IF(N254&lt;5,"2038",IF(N254&lt;7,"2050",IF(N254&lt;9,"2070",IF(N254&lt;11,"2090","2110"))))))),IF(G254*1000&lt;=1700,IF(N254&lt;1.8,"",IF(N254&lt;2.9,"3018",IF(N254&lt;3.8,"3029",IF(N254&lt;5,"3038",IF(N254&lt;7,"3050",IF(N254&lt;9,"3070",IF(N254&lt;11,"3090","3110"))))))),""))))</f>
        <v/>
      </c>
      <c r="Q254">
        <f>AND(O254=TRUE,P254&lt;&gt;"")</f>
        <v/>
      </c>
      <c r="R254">
        <f>IF(G254*1000&lt;750,"なし","あり")</f>
        <v/>
      </c>
      <c r="S254">
        <f>IF(AND(O254=TRUE,Q254=TRUE),"設定可","BLOCK")</f>
        <v/>
      </c>
      <c r="T254" t="inlineStr">
        <is>
          <t>商品カタログ P194</t>
        </is>
      </c>
      <c r="U254" t="inlineStr">
        <is>
          <t>https://webcatalog.lixil.co.jp/iportal/CatalogDetail.do?catalogID=15191910000&amp;categoryID=1630000&amp;designID=newinter&amp;method=initial_screen&amp;position=18&amp;type=mc&amp;volumeID=LXL13001</t>
        </is>
      </c>
    </row>
    <row r="255">
      <c r="A255" t="inlineStr">
        <is>
          <t>WG-SL-00252</t>
        </is>
      </c>
      <c r="B255" t="inlineStr">
        <is>
          <t>SZ-SL-000973</t>
        </is>
      </c>
      <c r="C255" t="inlineStr">
        <is>
          <t>WT-SL-MENKOSHI-AGE-FS</t>
        </is>
      </c>
      <c r="D255" t="inlineStr">
        <is>
          <t>SP-SL-AGE-GRILLE-H</t>
        </is>
      </c>
      <c r="E255" t="inlineStr">
        <is>
          <t>06907</t>
        </is>
      </c>
      <c r="F255" t="n">
        <v>0.73</v>
      </c>
      <c r="G255" t="n">
        <v>0.77</v>
      </c>
      <c r="H255" t="inlineStr">
        <is>
          <t>GL-SL-009</t>
        </is>
      </c>
      <c r="I255" t="n">
        <v>8</v>
      </c>
      <c r="J255" t="n">
        <v>10.4</v>
      </c>
      <c r="K255" t="n">
        <v>-0.605</v>
      </c>
      <c r="L255" t="n">
        <v>-1.332</v>
      </c>
      <c r="M255" t="n">
        <v>0.399</v>
      </c>
      <c r="N255">
        <f>ROUND(J255*F255*G255+K255*G255+L255*F255+M255,3)</f>
        <v/>
      </c>
      <c r="O255">
        <f>AND(N255&gt;=1.4,N255&lt;=13)</f>
        <v/>
      </c>
      <c r="P255">
        <f>IF(OR(N255&lt;1.4,N255&gt;13),"",IF(G255*1000&lt;=1170,IF(N255&lt;1.8,"1014",IF(N255&lt;2.9,"1018",IF(N255&lt;3.8,"1029",IF(N255&lt;5,"1038",IF(N255&lt;7,"1050",IF(N255&lt;9,"1070",IF(N255&lt;11,"1090","1110"))))))),IF(G255*1000&lt;=1570,IF(N255&lt;1.8,"",IF(N255&lt;2.9,"2018",IF(N255&lt;3.8,"2029",IF(N255&lt;5,"2038",IF(N255&lt;7,"2050",IF(N255&lt;9,"2070",IF(N255&lt;11,"2090","2110"))))))),IF(G255*1000&lt;=1700,IF(N255&lt;1.8,"",IF(N255&lt;2.9,"3018",IF(N255&lt;3.8,"3029",IF(N255&lt;5,"3038",IF(N255&lt;7,"3050",IF(N255&lt;9,"3070",IF(N255&lt;11,"3090","3110"))))))),""))))</f>
        <v/>
      </c>
      <c r="Q255">
        <f>AND(O255=TRUE,P255&lt;&gt;"")</f>
        <v/>
      </c>
      <c r="R255">
        <f>IF(G255*1000&lt;750,"なし","あり")</f>
        <v/>
      </c>
      <c r="S255">
        <f>IF(AND(O255=TRUE,Q255=TRUE),"設定可","BLOCK")</f>
        <v/>
      </c>
      <c r="T255" t="inlineStr">
        <is>
          <t>商品カタログ P194</t>
        </is>
      </c>
      <c r="U255" t="inlineStr">
        <is>
          <t>https://webcatalog.lixil.co.jp/iportal/CatalogDetail.do?catalogID=15191910000&amp;categoryID=1630000&amp;designID=newinter&amp;method=initial_screen&amp;position=18&amp;type=mc&amp;volumeID=LXL13001</t>
        </is>
      </c>
    </row>
    <row r="256">
      <c r="A256" t="inlineStr">
        <is>
          <t>WG-SL-00253</t>
        </is>
      </c>
      <c r="B256" t="inlineStr">
        <is>
          <t>SZ-SL-000974</t>
        </is>
      </c>
      <c r="C256" t="inlineStr">
        <is>
          <t>WT-SL-MENKOSHI-AGE-FS</t>
        </is>
      </c>
      <c r="D256" t="inlineStr">
        <is>
          <t>SP-SL-AGE-GRILLE-H</t>
        </is>
      </c>
      <c r="E256" t="inlineStr">
        <is>
          <t>07407</t>
        </is>
      </c>
      <c r="F256" t="n">
        <v>0.78</v>
      </c>
      <c r="G256" t="n">
        <v>0.77</v>
      </c>
      <c r="H256" t="inlineStr">
        <is>
          <t>GL-SL-001</t>
        </is>
      </c>
      <c r="I256" t="n">
        <v>6</v>
      </c>
      <c r="J256" t="n">
        <v>7.8</v>
      </c>
      <c r="K256" t="n">
        <v>-0.355</v>
      </c>
      <c r="L256" t="n">
        <v>-0.664</v>
      </c>
      <c r="M256" t="n">
        <v>0.335</v>
      </c>
      <c r="N256">
        <f>ROUND(J256*F256*G256+K256*G256+L256*F256+M256,3)</f>
        <v/>
      </c>
      <c r="O256">
        <f>AND(N256&gt;=1.4,N256&lt;=13)</f>
        <v/>
      </c>
      <c r="P256">
        <f>IF(OR(N256&lt;1.4,N256&gt;13),"",IF(G256*1000&lt;=1170,IF(N256&lt;1.8,"1014",IF(N256&lt;2.9,"1018",IF(N256&lt;3.8,"1029",IF(N256&lt;5,"1038",IF(N256&lt;7,"1050",IF(N256&lt;9,"1070",IF(N256&lt;11,"1090","1110"))))))),IF(G256*1000&lt;=1570,IF(N256&lt;1.8,"",IF(N256&lt;2.9,"2018",IF(N256&lt;3.8,"2029",IF(N256&lt;5,"2038",IF(N256&lt;7,"2050",IF(N256&lt;9,"2070",IF(N256&lt;11,"2090","2110"))))))),IF(G256*1000&lt;=1700,IF(N256&lt;1.8,"",IF(N256&lt;2.9,"3018",IF(N256&lt;3.8,"3029",IF(N256&lt;5,"3038",IF(N256&lt;7,"3050",IF(N256&lt;9,"3070",IF(N256&lt;11,"3090","3110"))))))),""))))</f>
        <v/>
      </c>
      <c r="Q256">
        <f>AND(O256=TRUE,P256&lt;&gt;"")</f>
        <v/>
      </c>
      <c r="R256">
        <f>IF(G256*1000&lt;750,"なし","あり")</f>
        <v/>
      </c>
      <c r="S256">
        <f>IF(AND(O256=TRUE,Q256=TRUE),"設定可","BLOCK")</f>
        <v/>
      </c>
      <c r="T256" t="inlineStr">
        <is>
          <t>商品カタログ P194</t>
        </is>
      </c>
      <c r="U256" t="inlineStr">
        <is>
          <t>https://webcatalog.lixil.co.jp/iportal/CatalogDetail.do?catalogID=15191910000&amp;categoryID=1630000&amp;designID=newinter&amp;method=initial_screen&amp;position=18&amp;type=mc&amp;volumeID=LXL13001</t>
        </is>
      </c>
    </row>
    <row r="257">
      <c r="A257" t="inlineStr">
        <is>
          <t>WG-SL-00254</t>
        </is>
      </c>
      <c r="B257" t="inlineStr">
        <is>
          <t>SZ-SL-000974</t>
        </is>
      </c>
      <c r="C257" t="inlineStr">
        <is>
          <t>WT-SL-MENKOSHI-AGE-FS</t>
        </is>
      </c>
      <c r="D257" t="inlineStr">
        <is>
          <t>SP-SL-AGE-GRILLE-H</t>
        </is>
      </c>
      <c r="E257" t="inlineStr">
        <is>
          <t>07407</t>
        </is>
      </c>
      <c r="F257" t="n">
        <v>0.78</v>
      </c>
      <c r="G257" t="n">
        <v>0.77</v>
      </c>
      <c r="H257" t="inlineStr">
        <is>
          <t>GL-SL-002</t>
        </is>
      </c>
      <c r="I257" t="n">
        <v>7</v>
      </c>
      <c r="J257" t="n">
        <v>9.1</v>
      </c>
      <c r="K257" t="n">
        <v>-0.48</v>
      </c>
      <c r="L257" t="n">
        <v>-0.998</v>
      </c>
      <c r="M257" t="n">
        <v>0.367</v>
      </c>
      <c r="N257">
        <f>ROUND(J257*F257*G257+K257*G257+L257*F257+M257,3)</f>
        <v/>
      </c>
      <c r="O257">
        <f>AND(N257&gt;=1.4,N257&lt;=13)</f>
        <v/>
      </c>
      <c r="P257">
        <f>IF(OR(N257&lt;1.4,N257&gt;13),"",IF(G257*1000&lt;=1170,IF(N257&lt;1.8,"1014",IF(N257&lt;2.9,"1018",IF(N257&lt;3.8,"1029",IF(N257&lt;5,"1038",IF(N257&lt;7,"1050",IF(N257&lt;9,"1070",IF(N257&lt;11,"1090","1110"))))))),IF(G257*1000&lt;=1570,IF(N257&lt;1.8,"",IF(N257&lt;2.9,"2018",IF(N257&lt;3.8,"2029",IF(N257&lt;5,"2038",IF(N257&lt;7,"2050",IF(N257&lt;9,"2070",IF(N257&lt;11,"2090","2110"))))))),IF(G257*1000&lt;=1700,IF(N257&lt;1.8,"",IF(N257&lt;2.9,"3018",IF(N257&lt;3.8,"3029",IF(N257&lt;5,"3038",IF(N257&lt;7,"3050",IF(N257&lt;9,"3070",IF(N257&lt;11,"3090","3110"))))))),""))))</f>
        <v/>
      </c>
      <c r="Q257">
        <f>AND(O257=TRUE,P257&lt;&gt;"")</f>
        <v/>
      </c>
      <c r="R257">
        <f>IF(G257*1000&lt;750,"なし","あり")</f>
        <v/>
      </c>
      <c r="S257">
        <f>IF(AND(O257=TRUE,Q257=TRUE),"設定可","BLOCK")</f>
        <v/>
      </c>
      <c r="T257" t="inlineStr">
        <is>
          <t>商品カタログ P194</t>
        </is>
      </c>
      <c r="U257" t="inlineStr">
        <is>
          <t>https://webcatalog.lixil.co.jp/iportal/CatalogDetail.do?catalogID=15191910000&amp;categoryID=1630000&amp;designID=newinter&amp;method=initial_screen&amp;position=18&amp;type=mc&amp;volumeID=LXL13001</t>
        </is>
      </c>
    </row>
    <row r="258">
      <c r="A258" t="inlineStr">
        <is>
          <t>WG-SL-00255</t>
        </is>
      </c>
      <c r="B258" t="inlineStr">
        <is>
          <t>SZ-SL-000974</t>
        </is>
      </c>
      <c r="C258" t="inlineStr">
        <is>
          <t>WT-SL-MENKOSHI-AGE-FS</t>
        </is>
      </c>
      <c r="D258" t="inlineStr">
        <is>
          <t>SP-SL-AGE-GRILLE-H</t>
        </is>
      </c>
      <c r="E258" t="inlineStr">
        <is>
          <t>07407</t>
        </is>
      </c>
      <c r="F258" t="n">
        <v>0.78</v>
      </c>
      <c r="G258" t="n">
        <v>0.77</v>
      </c>
      <c r="H258" t="inlineStr">
        <is>
          <t>GL-SL-003</t>
        </is>
      </c>
      <c r="I258" t="n">
        <v>8</v>
      </c>
      <c r="J258" t="n">
        <v>10.4</v>
      </c>
      <c r="K258" t="n">
        <v>-0.605</v>
      </c>
      <c r="L258" t="n">
        <v>-1.332</v>
      </c>
      <c r="M258" t="n">
        <v>0.399</v>
      </c>
      <c r="N258">
        <f>ROUND(J258*F258*G258+K258*G258+L258*F258+M258,3)</f>
        <v/>
      </c>
      <c r="O258">
        <f>AND(N258&gt;=1.4,N258&lt;=13)</f>
        <v/>
      </c>
      <c r="P258">
        <f>IF(OR(N258&lt;1.4,N258&gt;13),"",IF(G258*1000&lt;=1170,IF(N258&lt;1.8,"1014",IF(N258&lt;2.9,"1018",IF(N258&lt;3.8,"1029",IF(N258&lt;5,"1038",IF(N258&lt;7,"1050",IF(N258&lt;9,"1070",IF(N258&lt;11,"1090","1110"))))))),IF(G258*1000&lt;=1570,IF(N258&lt;1.8,"",IF(N258&lt;2.9,"2018",IF(N258&lt;3.8,"2029",IF(N258&lt;5,"2038",IF(N258&lt;7,"2050",IF(N258&lt;9,"2070",IF(N258&lt;11,"2090","2110"))))))),IF(G258*1000&lt;=1700,IF(N258&lt;1.8,"",IF(N258&lt;2.9,"3018",IF(N258&lt;3.8,"3029",IF(N258&lt;5,"3038",IF(N258&lt;7,"3050",IF(N258&lt;9,"3070",IF(N258&lt;11,"3090","3110"))))))),""))))</f>
        <v/>
      </c>
      <c r="Q258">
        <f>AND(O258=TRUE,P258&lt;&gt;"")</f>
        <v/>
      </c>
      <c r="R258">
        <f>IF(G258*1000&lt;750,"なし","あり")</f>
        <v/>
      </c>
      <c r="S258">
        <f>IF(AND(O258=TRUE,Q258=TRUE),"設定可","BLOCK")</f>
        <v/>
      </c>
      <c r="T258" t="inlineStr">
        <is>
          <t>商品カタログ P194</t>
        </is>
      </c>
      <c r="U258" t="inlineStr">
        <is>
          <t>https://webcatalog.lixil.co.jp/iportal/CatalogDetail.do?catalogID=15191910000&amp;categoryID=1630000&amp;designID=newinter&amp;method=initial_screen&amp;position=18&amp;type=mc&amp;volumeID=LXL13001</t>
        </is>
      </c>
    </row>
    <row r="259">
      <c r="A259" t="inlineStr">
        <is>
          <t>WG-SL-00256</t>
        </is>
      </c>
      <c r="B259" t="inlineStr">
        <is>
          <t>SZ-SL-000974</t>
        </is>
      </c>
      <c r="C259" t="inlineStr">
        <is>
          <t>WT-SL-MENKOSHI-AGE-FS</t>
        </is>
      </c>
      <c r="D259" t="inlineStr">
        <is>
          <t>SP-SL-AGE-GRILLE-H</t>
        </is>
      </c>
      <c r="E259" t="inlineStr">
        <is>
          <t>07407</t>
        </is>
      </c>
      <c r="F259" t="n">
        <v>0.78</v>
      </c>
      <c r="G259" t="n">
        <v>0.77</v>
      </c>
      <c r="H259" t="inlineStr">
        <is>
          <t>GL-SL-004</t>
        </is>
      </c>
      <c r="I259" t="n">
        <v>6</v>
      </c>
      <c r="J259" t="n">
        <v>7.8</v>
      </c>
      <c r="K259" t="n">
        <v>-0.355</v>
      </c>
      <c r="L259" t="n">
        <v>-0.664</v>
      </c>
      <c r="M259" t="n">
        <v>0.335</v>
      </c>
      <c r="N259">
        <f>ROUND(J259*F259*G259+K259*G259+L259*F259+M259,3)</f>
        <v/>
      </c>
      <c r="O259">
        <f>AND(N259&gt;=1.4,N259&lt;=13)</f>
        <v/>
      </c>
      <c r="P259">
        <f>IF(OR(N259&lt;1.4,N259&gt;13),"",IF(G259*1000&lt;=1170,IF(N259&lt;1.8,"1014",IF(N259&lt;2.9,"1018",IF(N259&lt;3.8,"1029",IF(N259&lt;5,"1038",IF(N259&lt;7,"1050",IF(N259&lt;9,"1070",IF(N259&lt;11,"1090","1110"))))))),IF(G259*1000&lt;=1570,IF(N259&lt;1.8,"",IF(N259&lt;2.9,"2018",IF(N259&lt;3.8,"2029",IF(N259&lt;5,"2038",IF(N259&lt;7,"2050",IF(N259&lt;9,"2070",IF(N259&lt;11,"2090","2110"))))))),IF(G259*1000&lt;=1700,IF(N259&lt;1.8,"",IF(N259&lt;2.9,"3018",IF(N259&lt;3.8,"3029",IF(N259&lt;5,"3038",IF(N259&lt;7,"3050",IF(N259&lt;9,"3070",IF(N259&lt;11,"3090","3110"))))))),""))))</f>
        <v/>
      </c>
      <c r="Q259">
        <f>AND(O259=TRUE,P259&lt;&gt;"")</f>
        <v/>
      </c>
      <c r="R259">
        <f>IF(G259*1000&lt;750,"なし","あり")</f>
        <v/>
      </c>
      <c r="S259">
        <f>IF(AND(O259=TRUE,Q259=TRUE),"設定可","BLOCK")</f>
        <v/>
      </c>
      <c r="T259" t="inlineStr">
        <is>
          <t>商品カタログ P194</t>
        </is>
      </c>
      <c r="U259" t="inlineStr">
        <is>
          <t>https://webcatalog.lixil.co.jp/iportal/CatalogDetail.do?catalogID=15191910000&amp;categoryID=1630000&amp;designID=newinter&amp;method=initial_screen&amp;position=18&amp;type=mc&amp;volumeID=LXL13001</t>
        </is>
      </c>
    </row>
    <row r="260">
      <c r="A260" t="inlineStr">
        <is>
          <t>WG-SL-00257</t>
        </is>
      </c>
      <c r="B260" t="inlineStr">
        <is>
          <t>SZ-SL-000974</t>
        </is>
      </c>
      <c r="C260" t="inlineStr">
        <is>
          <t>WT-SL-MENKOSHI-AGE-FS</t>
        </is>
      </c>
      <c r="D260" t="inlineStr">
        <is>
          <t>SP-SL-AGE-GRILLE-H</t>
        </is>
      </c>
      <c r="E260" t="inlineStr">
        <is>
          <t>07407</t>
        </is>
      </c>
      <c r="F260" t="n">
        <v>0.78</v>
      </c>
      <c r="G260" t="n">
        <v>0.77</v>
      </c>
      <c r="H260" t="inlineStr">
        <is>
          <t>GL-SL-005</t>
        </is>
      </c>
      <c r="I260" t="n">
        <v>7</v>
      </c>
      <c r="J260" t="n">
        <v>9.1</v>
      </c>
      <c r="K260" t="n">
        <v>-0.48</v>
      </c>
      <c r="L260" t="n">
        <v>-0.998</v>
      </c>
      <c r="M260" t="n">
        <v>0.367</v>
      </c>
      <c r="N260">
        <f>ROUND(J260*F260*G260+K260*G260+L260*F260+M260,3)</f>
        <v/>
      </c>
      <c r="O260">
        <f>AND(N260&gt;=1.4,N260&lt;=13)</f>
        <v/>
      </c>
      <c r="P260">
        <f>IF(OR(N260&lt;1.4,N260&gt;13),"",IF(G260*1000&lt;=1170,IF(N260&lt;1.8,"1014",IF(N260&lt;2.9,"1018",IF(N260&lt;3.8,"1029",IF(N260&lt;5,"1038",IF(N260&lt;7,"1050",IF(N260&lt;9,"1070",IF(N260&lt;11,"1090","1110"))))))),IF(G260*1000&lt;=1570,IF(N260&lt;1.8,"",IF(N260&lt;2.9,"2018",IF(N260&lt;3.8,"2029",IF(N260&lt;5,"2038",IF(N260&lt;7,"2050",IF(N260&lt;9,"2070",IF(N260&lt;11,"2090","2110"))))))),IF(G260*1000&lt;=1700,IF(N260&lt;1.8,"",IF(N260&lt;2.9,"3018",IF(N260&lt;3.8,"3029",IF(N260&lt;5,"3038",IF(N260&lt;7,"3050",IF(N260&lt;9,"3070",IF(N260&lt;11,"3090","3110"))))))),""))))</f>
        <v/>
      </c>
      <c r="Q260">
        <f>AND(O260=TRUE,P260&lt;&gt;"")</f>
        <v/>
      </c>
      <c r="R260">
        <f>IF(G260*1000&lt;750,"なし","あり")</f>
        <v/>
      </c>
      <c r="S260">
        <f>IF(AND(O260=TRUE,Q260=TRUE),"設定可","BLOCK")</f>
        <v/>
      </c>
      <c r="T260" t="inlineStr">
        <is>
          <t>商品カタログ P194</t>
        </is>
      </c>
      <c r="U260" t="inlineStr">
        <is>
          <t>https://webcatalog.lixil.co.jp/iportal/CatalogDetail.do?catalogID=15191910000&amp;categoryID=1630000&amp;designID=newinter&amp;method=initial_screen&amp;position=18&amp;type=mc&amp;volumeID=LXL13001</t>
        </is>
      </c>
    </row>
    <row r="261">
      <c r="A261" t="inlineStr">
        <is>
          <t>WG-SL-00258</t>
        </is>
      </c>
      <c r="B261" t="inlineStr">
        <is>
          <t>SZ-SL-000974</t>
        </is>
      </c>
      <c r="C261" t="inlineStr">
        <is>
          <t>WT-SL-MENKOSHI-AGE-FS</t>
        </is>
      </c>
      <c r="D261" t="inlineStr">
        <is>
          <t>SP-SL-AGE-GRILLE-H</t>
        </is>
      </c>
      <c r="E261" t="inlineStr">
        <is>
          <t>07407</t>
        </is>
      </c>
      <c r="F261" t="n">
        <v>0.78</v>
      </c>
      <c r="G261" t="n">
        <v>0.77</v>
      </c>
      <c r="H261" t="inlineStr">
        <is>
          <t>GL-SL-006</t>
        </is>
      </c>
      <c r="I261" t="n">
        <v>8</v>
      </c>
      <c r="J261" t="n">
        <v>10.4</v>
      </c>
      <c r="K261" t="n">
        <v>-0.605</v>
      </c>
      <c r="L261" t="n">
        <v>-1.332</v>
      </c>
      <c r="M261" t="n">
        <v>0.399</v>
      </c>
      <c r="N261">
        <f>ROUND(J261*F261*G261+K261*G261+L261*F261+M261,3)</f>
        <v/>
      </c>
      <c r="O261">
        <f>AND(N261&gt;=1.4,N261&lt;=13)</f>
        <v/>
      </c>
      <c r="P261">
        <f>IF(OR(N261&lt;1.4,N261&gt;13),"",IF(G261*1000&lt;=1170,IF(N261&lt;1.8,"1014",IF(N261&lt;2.9,"1018",IF(N261&lt;3.8,"1029",IF(N261&lt;5,"1038",IF(N261&lt;7,"1050",IF(N261&lt;9,"1070",IF(N261&lt;11,"1090","1110"))))))),IF(G261*1000&lt;=1570,IF(N261&lt;1.8,"",IF(N261&lt;2.9,"2018",IF(N261&lt;3.8,"2029",IF(N261&lt;5,"2038",IF(N261&lt;7,"2050",IF(N261&lt;9,"2070",IF(N261&lt;11,"2090","2110"))))))),IF(G261*1000&lt;=1700,IF(N261&lt;1.8,"",IF(N261&lt;2.9,"3018",IF(N261&lt;3.8,"3029",IF(N261&lt;5,"3038",IF(N261&lt;7,"3050",IF(N261&lt;9,"3070",IF(N261&lt;11,"3090","3110"))))))),""))))</f>
        <v/>
      </c>
      <c r="Q261">
        <f>AND(O261=TRUE,P261&lt;&gt;"")</f>
        <v/>
      </c>
      <c r="R261">
        <f>IF(G261*1000&lt;750,"なし","あり")</f>
        <v/>
      </c>
      <c r="S261">
        <f>IF(AND(O261=TRUE,Q261=TRUE),"設定可","BLOCK")</f>
        <v/>
      </c>
      <c r="T261" t="inlineStr">
        <is>
          <t>商品カタログ P194</t>
        </is>
      </c>
      <c r="U261" t="inlineStr">
        <is>
          <t>https://webcatalog.lixil.co.jp/iportal/CatalogDetail.do?catalogID=15191910000&amp;categoryID=1630000&amp;designID=newinter&amp;method=initial_screen&amp;position=18&amp;type=mc&amp;volumeID=LXL13001</t>
        </is>
      </c>
    </row>
    <row r="262">
      <c r="A262" t="inlineStr">
        <is>
          <t>WG-SL-00259</t>
        </is>
      </c>
      <c r="B262" t="inlineStr">
        <is>
          <t>SZ-SL-000974</t>
        </is>
      </c>
      <c r="C262" t="inlineStr">
        <is>
          <t>WT-SL-MENKOSHI-AGE-FS</t>
        </is>
      </c>
      <c r="D262" t="inlineStr">
        <is>
          <t>SP-SL-AGE-GRILLE-H</t>
        </is>
      </c>
      <c r="E262" t="inlineStr">
        <is>
          <t>07407</t>
        </is>
      </c>
      <c r="F262" t="n">
        <v>0.78</v>
      </c>
      <c r="G262" t="n">
        <v>0.77</v>
      </c>
      <c r="H262" t="inlineStr">
        <is>
          <t>GL-SL-007</t>
        </is>
      </c>
      <c r="I262" t="n">
        <v>6</v>
      </c>
      <c r="J262" t="n">
        <v>7.8</v>
      </c>
      <c r="K262" t="n">
        <v>-0.355</v>
      </c>
      <c r="L262" t="n">
        <v>-0.664</v>
      </c>
      <c r="M262" t="n">
        <v>0.335</v>
      </c>
      <c r="N262">
        <f>ROUND(J262*F262*G262+K262*G262+L262*F262+M262,3)</f>
        <v/>
      </c>
      <c r="O262">
        <f>AND(N262&gt;=1.4,N262&lt;=13)</f>
        <v/>
      </c>
      <c r="P262">
        <f>IF(OR(N262&lt;1.4,N262&gt;13),"",IF(G262*1000&lt;=1170,IF(N262&lt;1.8,"1014",IF(N262&lt;2.9,"1018",IF(N262&lt;3.8,"1029",IF(N262&lt;5,"1038",IF(N262&lt;7,"1050",IF(N262&lt;9,"1070",IF(N262&lt;11,"1090","1110"))))))),IF(G262*1000&lt;=1570,IF(N262&lt;1.8,"",IF(N262&lt;2.9,"2018",IF(N262&lt;3.8,"2029",IF(N262&lt;5,"2038",IF(N262&lt;7,"2050",IF(N262&lt;9,"2070",IF(N262&lt;11,"2090","2110"))))))),IF(G262*1000&lt;=1700,IF(N262&lt;1.8,"",IF(N262&lt;2.9,"3018",IF(N262&lt;3.8,"3029",IF(N262&lt;5,"3038",IF(N262&lt;7,"3050",IF(N262&lt;9,"3070",IF(N262&lt;11,"3090","3110"))))))),""))))</f>
        <v/>
      </c>
      <c r="Q262">
        <f>AND(O262=TRUE,P262&lt;&gt;"")</f>
        <v/>
      </c>
      <c r="R262">
        <f>IF(G262*1000&lt;750,"なし","あり")</f>
        <v/>
      </c>
      <c r="S262">
        <f>IF(AND(O262=TRUE,Q262=TRUE),"設定可","BLOCK")</f>
        <v/>
      </c>
      <c r="T262" t="inlineStr">
        <is>
          <t>商品カタログ P194</t>
        </is>
      </c>
      <c r="U262" t="inlineStr">
        <is>
          <t>https://webcatalog.lixil.co.jp/iportal/CatalogDetail.do?catalogID=15191910000&amp;categoryID=1630000&amp;designID=newinter&amp;method=initial_screen&amp;position=18&amp;type=mc&amp;volumeID=LXL13001</t>
        </is>
      </c>
    </row>
    <row r="263">
      <c r="A263" t="inlineStr">
        <is>
          <t>WG-SL-00260</t>
        </is>
      </c>
      <c r="B263" t="inlineStr">
        <is>
          <t>SZ-SL-000974</t>
        </is>
      </c>
      <c r="C263" t="inlineStr">
        <is>
          <t>WT-SL-MENKOSHI-AGE-FS</t>
        </is>
      </c>
      <c r="D263" t="inlineStr">
        <is>
          <t>SP-SL-AGE-GRILLE-H</t>
        </is>
      </c>
      <c r="E263" t="inlineStr">
        <is>
          <t>07407</t>
        </is>
      </c>
      <c r="F263" t="n">
        <v>0.78</v>
      </c>
      <c r="G263" t="n">
        <v>0.77</v>
      </c>
      <c r="H263" t="inlineStr">
        <is>
          <t>GL-SL-008</t>
        </is>
      </c>
      <c r="I263" t="n">
        <v>7</v>
      </c>
      <c r="J263" t="n">
        <v>9.1</v>
      </c>
      <c r="K263" t="n">
        <v>-0.48</v>
      </c>
      <c r="L263" t="n">
        <v>-0.998</v>
      </c>
      <c r="M263" t="n">
        <v>0.367</v>
      </c>
      <c r="N263">
        <f>ROUND(J263*F263*G263+K263*G263+L263*F263+M263,3)</f>
        <v/>
      </c>
      <c r="O263">
        <f>AND(N263&gt;=1.4,N263&lt;=13)</f>
        <v/>
      </c>
      <c r="P263">
        <f>IF(OR(N263&lt;1.4,N263&gt;13),"",IF(G263*1000&lt;=1170,IF(N263&lt;1.8,"1014",IF(N263&lt;2.9,"1018",IF(N263&lt;3.8,"1029",IF(N263&lt;5,"1038",IF(N263&lt;7,"1050",IF(N263&lt;9,"1070",IF(N263&lt;11,"1090","1110"))))))),IF(G263*1000&lt;=1570,IF(N263&lt;1.8,"",IF(N263&lt;2.9,"2018",IF(N263&lt;3.8,"2029",IF(N263&lt;5,"2038",IF(N263&lt;7,"2050",IF(N263&lt;9,"2070",IF(N263&lt;11,"2090","2110"))))))),IF(G263*1000&lt;=1700,IF(N263&lt;1.8,"",IF(N263&lt;2.9,"3018",IF(N263&lt;3.8,"3029",IF(N263&lt;5,"3038",IF(N263&lt;7,"3050",IF(N263&lt;9,"3070",IF(N263&lt;11,"3090","3110"))))))),""))))</f>
        <v/>
      </c>
      <c r="Q263">
        <f>AND(O263=TRUE,P263&lt;&gt;"")</f>
        <v/>
      </c>
      <c r="R263">
        <f>IF(G263*1000&lt;750,"なし","あり")</f>
        <v/>
      </c>
      <c r="S263">
        <f>IF(AND(O263=TRUE,Q263=TRUE),"設定可","BLOCK")</f>
        <v/>
      </c>
      <c r="T263" t="inlineStr">
        <is>
          <t>商品カタログ P194</t>
        </is>
      </c>
      <c r="U263" t="inlineStr">
        <is>
          <t>https://webcatalog.lixil.co.jp/iportal/CatalogDetail.do?catalogID=15191910000&amp;categoryID=1630000&amp;designID=newinter&amp;method=initial_screen&amp;position=18&amp;type=mc&amp;volumeID=LXL13001</t>
        </is>
      </c>
    </row>
    <row r="264">
      <c r="A264" t="inlineStr">
        <is>
          <t>WG-SL-00261</t>
        </is>
      </c>
      <c r="B264" t="inlineStr">
        <is>
          <t>SZ-SL-000974</t>
        </is>
      </c>
      <c r="C264" t="inlineStr">
        <is>
          <t>WT-SL-MENKOSHI-AGE-FS</t>
        </is>
      </c>
      <c r="D264" t="inlineStr">
        <is>
          <t>SP-SL-AGE-GRILLE-H</t>
        </is>
      </c>
      <c r="E264" t="inlineStr">
        <is>
          <t>07407</t>
        </is>
      </c>
      <c r="F264" t="n">
        <v>0.78</v>
      </c>
      <c r="G264" t="n">
        <v>0.77</v>
      </c>
      <c r="H264" t="inlineStr">
        <is>
          <t>GL-SL-009</t>
        </is>
      </c>
      <c r="I264" t="n">
        <v>8</v>
      </c>
      <c r="J264" t="n">
        <v>10.4</v>
      </c>
      <c r="K264" t="n">
        <v>-0.605</v>
      </c>
      <c r="L264" t="n">
        <v>-1.332</v>
      </c>
      <c r="M264" t="n">
        <v>0.399</v>
      </c>
      <c r="N264">
        <f>ROUND(J264*F264*G264+K264*G264+L264*F264+M264,3)</f>
        <v/>
      </c>
      <c r="O264">
        <f>AND(N264&gt;=1.4,N264&lt;=13)</f>
        <v/>
      </c>
      <c r="P264">
        <f>IF(OR(N264&lt;1.4,N264&gt;13),"",IF(G264*1000&lt;=1170,IF(N264&lt;1.8,"1014",IF(N264&lt;2.9,"1018",IF(N264&lt;3.8,"1029",IF(N264&lt;5,"1038",IF(N264&lt;7,"1050",IF(N264&lt;9,"1070",IF(N264&lt;11,"1090","1110"))))))),IF(G264*1000&lt;=1570,IF(N264&lt;1.8,"",IF(N264&lt;2.9,"2018",IF(N264&lt;3.8,"2029",IF(N264&lt;5,"2038",IF(N264&lt;7,"2050",IF(N264&lt;9,"2070",IF(N264&lt;11,"2090","2110"))))))),IF(G264*1000&lt;=1700,IF(N264&lt;1.8,"",IF(N264&lt;2.9,"3018",IF(N264&lt;3.8,"3029",IF(N264&lt;5,"3038",IF(N264&lt;7,"3050",IF(N264&lt;9,"3070",IF(N264&lt;11,"3090","3110"))))))),""))))</f>
        <v/>
      </c>
      <c r="Q264">
        <f>AND(O264=TRUE,P264&lt;&gt;"")</f>
        <v/>
      </c>
      <c r="R264">
        <f>IF(G264*1000&lt;750,"なし","あり")</f>
        <v/>
      </c>
      <c r="S264">
        <f>IF(AND(O264=TRUE,Q264=TRUE),"設定可","BLOCK")</f>
        <v/>
      </c>
      <c r="T264" t="inlineStr">
        <is>
          <t>商品カタログ P194</t>
        </is>
      </c>
      <c r="U264" t="inlineStr">
        <is>
          <t>https://webcatalog.lixil.co.jp/iportal/CatalogDetail.do?catalogID=15191910000&amp;categoryID=1630000&amp;designID=newinter&amp;method=initial_screen&amp;position=18&amp;type=mc&amp;volumeID=LXL13001</t>
        </is>
      </c>
    </row>
    <row r="265">
      <c r="A265" t="inlineStr">
        <is>
          <t>WG-SL-00262</t>
        </is>
      </c>
      <c r="B265" t="inlineStr">
        <is>
          <t>SZ-SL-000975</t>
        </is>
      </c>
      <c r="C265" t="inlineStr">
        <is>
          <t>WT-SL-MENKOSHI-AGE-FS</t>
        </is>
      </c>
      <c r="D265" t="inlineStr">
        <is>
          <t>SP-SL-AGE-GRILLE-IGETA</t>
        </is>
      </c>
      <c r="E265" t="inlineStr">
        <is>
          <t>02607</t>
        </is>
      </c>
      <c r="F265" t="n">
        <v>0.3</v>
      </c>
      <c r="G265" t="n">
        <v>0.77</v>
      </c>
      <c r="H265" t="inlineStr">
        <is>
          <t>GL-SL-001</t>
        </is>
      </c>
      <c r="I265" t="n">
        <v>6</v>
      </c>
      <c r="J265" t="n">
        <v>7.8</v>
      </c>
      <c r="K265" t="n">
        <v>-0.355</v>
      </c>
      <c r="L265" t="n">
        <v>-0.664</v>
      </c>
      <c r="M265" t="n">
        <v>0.335</v>
      </c>
      <c r="N265">
        <f>ROUND(J265*F265*G265+K265*G265+L265*F265+M265,3)</f>
        <v/>
      </c>
      <c r="O265">
        <f>AND(N265&gt;=1.4,N265&lt;=13)</f>
        <v/>
      </c>
      <c r="P265">
        <f>IF(OR(N265&lt;1.4,N265&gt;13),"",IF(G265*1000&lt;=1170,IF(N265&lt;1.8,"1014",IF(N265&lt;2.9,"1018",IF(N265&lt;3.8,"1029",IF(N265&lt;5,"1038",IF(N265&lt;7,"1050",IF(N265&lt;9,"1070",IF(N265&lt;11,"1090","1110"))))))),IF(G265*1000&lt;=1570,IF(N265&lt;1.8,"",IF(N265&lt;2.9,"2018",IF(N265&lt;3.8,"2029",IF(N265&lt;5,"2038",IF(N265&lt;7,"2050",IF(N265&lt;9,"2070",IF(N265&lt;11,"2090","2110"))))))),IF(G265*1000&lt;=1700,IF(N265&lt;1.8,"",IF(N265&lt;2.9,"3018",IF(N265&lt;3.8,"3029",IF(N265&lt;5,"3038",IF(N265&lt;7,"3050",IF(N265&lt;9,"3070",IF(N265&lt;11,"3090","3110"))))))),""))))</f>
        <v/>
      </c>
      <c r="Q265">
        <f>AND(O265=TRUE,P265&lt;&gt;"")</f>
        <v/>
      </c>
      <c r="R265">
        <f>IF(G265*1000&lt;750,"なし","あり")</f>
        <v/>
      </c>
      <c r="S265">
        <f>IF(AND(O265=TRUE,Q265=TRUE),"設定可","BLOCK")</f>
        <v/>
      </c>
      <c r="T265" t="inlineStr">
        <is>
          <t>商品カタログ P194</t>
        </is>
      </c>
      <c r="U265" t="inlineStr">
        <is>
          <t>https://webcatalog.lixil.co.jp/iportal/CatalogDetail.do?catalogID=15191910000&amp;categoryID=1630000&amp;designID=newinter&amp;method=initial_screen&amp;position=18&amp;type=mc&amp;volumeID=LXL13001</t>
        </is>
      </c>
    </row>
    <row r="266">
      <c r="A266" t="inlineStr">
        <is>
          <t>WG-SL-00263</t>
        </is>
      </c>
      <c r="B266" t="inlineStr">
        <is>
          <t>SZ-SL-000975</t>
        </is>
      </c>
      <c r="C266" t="inlineStr">
        <is>
          <t>WT-SL-MENKOSHI-AGE-FS</t>
        </is>
      </c>
      <c r="D266" t="inlineStr">
        <is>
          <t>SP-SL-AGE-GRILLE-IGETA</t>
        </is>
      </c>
      <c r="E266" t="inlineStr">
        <is>
          <t>02607</t>
        </is>
      </c>
      <c r="F266" t="n">
        <v>0.3</v>
      </c>
      <c r="G266" t="n">
        <v>0.77</v>
      </c>
      <c r="H266" t="inlineStr">
        <is>
          <t>GL-SL-002</t>
        </is>
      </c>
      <c r="I266" t="n">
        <v>7</v>
      </c>
      <c r="J266" t="n">
        <v>9.1</v>
      </c>
      <c r="K266" t="n">
        <v>-0.48</v>
      </c>
      <c r="L266" t="n">
        <v>-0.998</v>
      </c>
      <c r="M266" t="n">
        <v>0.367</v>
      </c>
      <c r="N266">
        <f>ROUND(J266*F266*G266+K266*G266+L266*F266+M266,3)</f>
        <v/>
      </c>
      <c r="O266">
        <f>AND(N266&gt;=1.4,N266&lt;=13)</f>
        <v/>
      </c>
      <c r="P266">
        <f>IF(OR(N266&lt;1.4,N266&gt;13),"",IF(G266*1000&lt;=1170,IF(N266&lt;1.8,"1014",IF(N266&lt;2.9,"1018",IF(N266&lt;3.8,"1029",IF(N266&lt;5,"1038",IF(N266&lt;7,"1050",IF(N266&lt;9,"1070",IF(N266&lt;11,"1090","1110"))))))),IF(G266*1000&lt;=1570,IF(N266&lt;1.8,"",IF(N266&lt;2.9,"2018",IF(N266&lt;3.8,"2029",IF(N266&lt;5,"2038",IF(N266&lt;7,"2050",IF(N266&lt;9,"2070",IF(N266&lt;11,"2090","2110"))))))),IF(G266*1000&lt;=1700,IF(N266&lt;1.8,"",IF(N266&lt;2.9,"3018",IF(N266&lt;3.8,"3029",IF(N266&lt;5,"3038",IF(N266&lt;7,"3050",IF(N266&lt;9,"3070",IF(N266&lt;11,"3090","3110"))))))),""))))</f>
        <v/>
      </c>
      <c r="Q266">
        <f>AND(O266=TRUE,P266&lt;&gt;"")</f>
        <v/>
      </c>
      <c r="R266">
        <f>IF(G266*1000&lt;750,"なし","あり")</f>
        <v/>
      </c>
      <c r="S266">
        <f>IF(AND(O266=TRUE,Q266=TRUE),"設定可","BLOCK")</f>
        <v/>
      </c>
      <c r="T266" t="inlineStr">
        <is>
          <t>商品カタログ P194</t>
        </is>
      </c>
      <c r="U266" t="inlineStr">
        <is>
          <t>https://webcatalog.lixil.co.jp/iportal/CatalogDetail.do?catalogID=15191910000&amp;categoryID=1630000&amp;designID=newinter&amp;method=initial_screen&amp;position=18&amp;type=mc&amp;volumeID=LXL13001</t>
        </is>
      </c>
    </row>
    <row r="267">
      <c r="A267" t="inlineStr">
        <is>
          <t>WG-SL-00264</t>
        </is>
      </c>
      <c r="B267" t="inlineStr">
        <is>
          <t>SZ-SL-000975</t>
        </is>
      </c>
      <c r="C267" t="inlineStr">
        <is>
          <t>WT-SL-MENKOSHI-AGE-FS</t>
        </is>
      </c>
      <c r="D267" t="inlineStr">
        <is>
          <t>SP-SL-AGE-GRILLE-IGETA</t>
        </is>
      </c>
      <c r="E267" t="inlineStr">
        <is>
          <t>02607</t>
        </is>
      </c>
      <c r="F267" t="n">
        <v>0.3</v>
      </c>
      <c r="G267" t="n">
        <v>0.77</v>
      </c>
      <c r="H267" t="inlineStr">
        <is>
          <t>GL-SL-003</t>
        </is>
      </c>
      <c r="I267" t="n">
        <v>8</v>
      </c>
      <c r="J267" t="n">
        <v>10.4</v>
      </c>
      <c r="K267" t="n">
        <v>-0.605</v>
      </c>
      <c r="L267" t="n">
        <v>-1.332</v>
      </c>
      <c r="M267" t="n">
        <v>0.399</v>
      </c>
      <c r="N267">
        <f>ROUND(J267*F267*G267+K267*G267+L267*F267+M267,3)</f>
        <v/>
      </c>
      <c r="O267">
        <f>AND(N267&gt;=1.4,N267&lt;=13)</f>
        <v/>
      </c>
      <c r="P267">
        <f>IF(OR(N267&lt;1.4,N267&gt;13),"",IF(G267*1000&lt;=1170,IF(N267&lt;1.8,"1014",IF(N267&lt;2.9,"1018",IF(N267&lt;3.8,"1029",IF(N267&lt;5,"1038",IF(N267&lt;7,"1050",IF(N267&lt;9,"1070",IF(N267&lt;11,"1090","1110"))))))),IF(G267*1000&lt;=1570,IF(N267&lt;1.8,"",IF(N267&lt;2.9,"2018",IF(N267&lt;3.8,"2029",IF(N267&lt;5,"2038",IF(N267&lt;7,"2050",IF(N267&lt;9,"2070",IF(N267&lt;11,"2090","2110"))))))),IF(G267*1000&lt;=1700,IF(N267&lt;1.8,"",IF(N267&lt;2.9,"3018",IF(N267&lt;3.8,"3029",IF(N267&lt;5,"3038",IF(N267&lt;7,"3050",IF(N267&lt;9,"3070",IF(N267&lt;11,"3090","3110"))))))),""))))</f>
        <v/>
      </c>
      <c r="Q267">
        <f>AND(O267=TRUE,P267&lt;&gt;"")</f>
        <v/>
      </c>
      <c r="R267">
        <f>IF(G267*1000&lt;750,"なし","あり")</f>
        <v/>
      </c>
      <c r="S267">
        <f>IF(AND(O267=TRUE,Q267=TRUE),"設定可","BLOCK")</f>
        <v/>
      </c>
      <c r="T267" t="inlineStr">
        <is>
          <t>商品カタログ P194</t>
        </is>
      </c>
      <c r="U267" t="inlineStr">
        <is>
          <t>https://webcatalog.lixil.co.jp/iportal/CatalogDetail.do?catalogID=15191910000&amp;categoryID=1630000&amp;designID=newinter&amp;method=initial_screen&amp;position=18&amp;type=mc&amp;volumeID=LXL13001</t>
        </is>
      </c>
    </row>
    <row r="268">
      <c r="A268" t="inlineStr">
        <is>
          <t>WG-SL-00265</t>
        </is>
      </c>
      <c r="B268" t="inlineStr">
        <is>
          <t>SZ-SL-000975</t>
        </is>
      </c>
      <c r="C268" t="inlineStr">
        <is>
          <t>WT-SL-MENKOSHI-AGE-FS</t>
        </is>
      </c>
      <c r="D268" t="inlineStr">
        <is>
          <t>SP-SL-AGE-GRILLE-IGETA</t>
        </is>
      </c>
      <c r="E268" t="inlineStr">
        <is>
          <t>02607</t>
        </is>
      </c>
      <c r="F268" t="n">
        <v>0.3</v>
      </c>
      <c r="G268" t="n">
        <v>0.77</v>
      </c>
      <c r="H268" t="inlineStr">
        <is>
          <t>GL-SL-004</t>
        </is>
      </c>
      <c r="I268" t="n">
        <v>6</v>
      </c>
      <c r="J268" t="n">
        <v>7.8</v>
      </c>
      <c r="K268" t="n">
        <v>-0.355</v>
      </c>
      <c r="L268" t="n">
        <v>-0.664</v>
      </c>
      <c r="M268" t="n">
        <v>0.335</v>
      </c>
      <c r="N268">
        <f>ROUND(J268*F268*G268+K268*G268+L268*F268+M268,3)</f>
        <v/>
      </c>
      <c r="O268">
        <f>AND(N268&gt;=1.4,N268&lt;=13)</f>
        <v/>
      </c>
      <c r="P268">
        <f>IF(OR(N268&lt;1.4,N268&gt;13),"",IF(G268*1000&lt;=1170,IF(N268&lt;1.8,"1014",IF(N268&lt;2.9,"1018",IF(N268&lt;3.8,"1029",IF(N268&lt;5,"1038",IF(N268&lt;7,"1050",IF(N268&lt;9,"1070",IF(N268&lt;11,"1090","1110"))))))),IF(G268*1000&lt;=1570,IF(N268&lt;1.8,"",IF(N268&lt;2.9,"2018",IF(N268&lt;3.8,"2029",IF(N268&lt;5,"2038",IF(N268&lt;7,"2050",IF(N268&lt;9,"2070",IF(N268&lt;11,"2090","2110"))))))),IF(G268*1000&lt;=1700,IF(N268&lt;1.8,"",IF(N268&lt;2.9,"3018",IF(N268&lt;3.8,"3029",IF(N268&lt;5,"3038",IF(N268&lt;7,"3050",IF(N268&lt;9,"3070",IF(N268&lt;11,"3090","3110"))))))),""))))</f>
        <v/>
      </c>
      <c r="Q268">
        <f>AND(O268=TRUE,P268&lt;&gt;"")</f>
        <v/>
      </c>
      <c r="R268">
        <f>IF(G268*1000&lt;750,"なし","あり")</f>
        <v/>
      </c>
      <c r="S268">
        <f>IF(AND(O268=TRUE,Q268=TRUE),"設定可","BLOCK")</f>
        <v/>
      </c>
      <c r="T268" t="inlineStr">
        <is>
          <t>商品カタログ P194</t>
        </is>
      </c>
      <c r="U268" t="inlineStr">
        <is>
          <t>https://webcatalog.lixil.co.jp/iportal/CatalogDetail.do?catalogID=15191910000&amp;categoryID=1630000&amp;designID=newinter&amp;method=initial_screen&amp;position=18&amp;type=mc&amp;volumeID=LXL13001</t>
        </is>
      </c>
    </row>
    <row r="269">
      <c r="A269" t="inlineStr">
        <is>
          <t>WG-SL-00266</t>
        </is>
      </c>
      <c r="B269" t="inlineStr">
        <is>
          <t>SZ-SL-000975</t>
        </is>
      </c>
      <c r="C269" t="inlineStr">
        <is>
          <t>WT-SL-MENKOSHI-AGE-FS</t>
        </is>
      </c>
      <c r="D269" t="inlineStr">
        <is>
          <t>SP-SL-AGE-GRILLE-IGETA</t>
        </is>
      </c>
      <c r="E269" t="inlineStr">
        <is>
          <t>02607</t>
        </is>
      </c>
      <c r="F269" t="n">
        <v>0.3</v>
      </c>
      <c r="G269" t="n">
        <v>0.77</v>
      </c>
      <c r="H269" t="inlineStr">
        <is>
          <t>GL-SL-005</t>
        </is>
      </c>
      <c r="I269" t="n">
        <v>7</v>
      </c>
      <c r="J269" t="n">
        <v>9.1</v>
      </c>
      <c r="K269" t="n">
        <v>-0.48</v>
      </c>
      <c r="L269" t="n">
        <v>-0.998</v>
      </c>
      <c r="M269" t="n">
        <v>0.367</v>
      </c>
      <c r="N269">
        <f>ROUND(J269*F269*G269+K269*G269+L269*F269+M269,3)</f>
        <v/>
      </c>
      <c r="O269">
        <f>AND(N269&gt;=1.4,N269&lt;=13)</f>
        <v/>
      </c>
      <c r="P269">
        <f>IF(OR(N269&lt;1.4,N269&gt;13),"",IF(G269*1000&lt;=1170,IF(N269&lt;1.8,"1014",IF(N269&lt;2.9,"1018",IF(N269&lt;3.8,"1029",IF(N269&lt;5,"1038",IF(N269&lt;7,"1050",IF(N269&lt;9,"1070",IF(N269&lt;11,"1090","1110"))))))),IF(G269*1000&lt;=1570,IF(N269&lt;1.8,"",IF(N269&lt;2.9,"2018",IF(N269&lt;3.8,"2029",IF(N269&lt;5,"2038",IF(N269&lt;7,"2050",IF(N269&lt;9,"2070",IF(N269&lt;11,"2090","2110"))))))),IF(G269*1000&lt;=1700,IF(N269&lt;1.8,"",IF(N269&lt;2.9,"3018",IF(N269&lt;3.8,"3029",IF(N269&lt;5,"3038",IF(N269&lt;7,"3050",IF(N269&lt;9,"3070",IF(N269&lt;11,"3090","3110"))))))),""))))</f>
        <v/>
      </c>
      <c r="Q269">
        <f>AND(O269=TRUE,P269&lt;&gt;"")</f>
        <v/>
      </c>
      <c r="R269">
        <f>IF(G269*1000&lt;750,"なし","あり")</f>
        <v/>
      </c>
      <c r="S269">
        <f>IF(AND(O269=TRUE,Q269=TRUE),"設定可","BLOCK")</f>
        <v/>
      </c>
      <c r="T269" t="inlineStr">
        <is>
          <t>商品カタログ P194</t>
        </is>
      </c>
      <c r="U269" t="inlineStr">
        <is>
          <t>https://webcatalog.lixil.co.jp/iportal/CatalogDetail.do?catalogID=15191910000&amp;categoryID=1630000&amp;designID=newinter&amp;method=initial_screen&amp;position=18&amp;type=mc&amp;volumeID=LXL13001</t>
        </is>
      </c>
    </row>
    <row r="270">
      <c r="A270" t="inlineStr">
        <is>
          <t>WG-SL-00267</t>
        </is>
      </c>
      <c r="B270" t="inlineStr">
        <is>
          <t>SZ-SL-000975</t>
        </is>
      </c>
      <c r="C270" t="inlineStr">
        <is>
          <t>WT-SL-MENKOSHI-AGE-FS</t>
        </is>
      </c>
      <c r="D270" t="inlineStr">
        <is>
          <t>SP-SL-AGE-GRILLE-IGETA</t>
        </is>
      </c>
      <c r="E270" t="inlineStr">
        <is>
          <t>02607</t>
        </is>
      </c>
      <c r="F270" t="n">
        <v>0.3</v>
      </c>
      <c r="G270" t="n">
        <v>0.77</v>
      </c>
      <c r="H270" t="inlineStr">
        <is>
          <t>GL-SL-006</t>
        </is>
      </c>
      <c r="I270" t="n">
        <v>8</v>
      </c>
      <c r="J270" t="n">
        <v>10.4</v>
      </c>
      <c r="K270" t="n">
        <v>-0.605</v>
      </c>
      <c r="L270" t="n">
        <v>-1.332</v>
      </c>
      <c r="M270" t="n">
        <v>0.399</v>
      </c>
      <c r="N270">
        <f>ROUND(J270*F270*G270+K270*G270+L270*F270+M270,3)</f>
        <v/>
      </c>
      <c r="O270">
        <f>AND(N270&gt;=1.4,N270&lt;=13)</f>
        <v/>
      </c>
      <c r="P270">
        <f>IF(OR(N270&lt;1.4,N270&gt;13),"",IF(G270*1000&lt;=1170,IF(N270&lt;1.8,"1014",IF(N270&lt;2.9,"1018",IF(N270&lt;3.8,"1029",IF(N270&lt;5,"1038",IF(N270&lt;7,"1050",IF(N270&lt;9,"1070",IF(N270&lt;11,"1090","1110"))))))),IF(G270*1000&lt;=1570,IF(N270&lt;1.8,"",IF(N270&lt;2.9,"2018",IF(N270&lt;3.8,"2029",IF(N270&lt;5,"2038",IF(N270&lt;7,"2050",IF(N270&lt;9,"2070",IF(N270&lt;11,"2090","2110"))))))),IF(G270*1000&lt;=1700,IF(N270&lt;1.8,"",IF(N270&lt;2.9,"3018",IF(N270&lt;3.8,"3029",IF(N270&lt;5,"3038",IF(N270&lt;7,"3050",IF(N270&lt;9,"3070",IF(N270&lt;11,"3090","3110"))))))),""))))</f>
        <v/>
      </c>
      <c r="Q270">
        <f>AND(O270=TRUE,P270&lt;&gt;"")</f>
        <v/>
      </c>
      <c r="R270">
        <f>IF(G270*1000&lt;750,"なし","あり")</f>
        <v/>
      </c>
      <c r="S270">
        <f>IF(AND(O270=TRUE,Q270=TRUE),"設定可","BLOCK")</f>
        <v/>
      </c>
      <c r="T270" t="inlineStr">
        <is>
          <t>商品カタログ P194</t>
        </is>
      </c>
      <c r="U270" t="inlineStr">
        <is>
          <t>https://webcatalog.lixil.co.jp/iportal/CatalogDetail.do?catalogID=15191910000&amp;categoryID=1630000&amp;designID=newinter&amp;method=initial_screen&amp;position=18&amp;type=mc&amp;volumeID=LXL13001</t>
        </is>
      </c>
    </row>
    <row r="271">
      <c r="A271" t="inlineStr">
        <is>
          <t>WG-SL-00268</t>
        </is>
      </c>
      <c r="B271" t="inlineStr">
        <is>
          <t>SZ-SL-000975</t>
        </is>
      </c>
      <c r="C271" t="inlineStr">
        <is>
          <t>WT-SL-MENKOSHI-AGE-FS</t>
        </is>
      </c>
      <c r="D271" t="inlineStr">
        <is>
          <t>SP-SL-AGE-GRILLE-IGETA</t>
        </is>
      </c>
      <c r="E271" t="inlineStr">
        <is>
          <t>02607</t>
        </is>
      </c>
      <c r="F271" t="n">
        <v>0.3</v>
      </c>
      <c r="G271" t="n">
        <v>0.77</v>
      </c>
      <c r="H271" t="inlineStr">
        <is>
          <t>GL-SL-007</t>
        </is>
      </c>
      <c r="I271" t="n">
        <v>6</v>
      </c>
      <c r="J271" t="n">
        <v>7.8</v>
      </c>
      <c r="K271" t="n">
        <v>-0.355</v>
      </c>
      <c r="L271" t="n">
        <v>-0.664</v>
      </c>
      <c r="M271" t="n">
        <v>0.335</v>
      </c>
      <c r="N271">
        <f>ROUND(J271*F271*G271+K271*G271+L271*F271+M271,3)</f>
        <v/>
      </c>
      <c r="O271">
        <f>AND(N271&gt;=1.4,N271&lt;=13)</f>
        <v/>
      </c>
      <c r="P271">
        <f>IF(OR(N271&lt;1.4,N271&gt;13),"",IF(G271*1000&lt;=1170,IF(N271&lt;1.8,"1014",IF(N271&lt;2.9,"1018",IF(N271&lt;3.8,"1029",IF(N271&lt;5,"1038",IF(N271&lt;7,"1050",IF(N271&lt;9,"1070",IF(N271&lt;11,"1090","1110"))))))),IF(G271*1000&lt;=1570,IF(N271&lt;1.8,"",IF(N271&lt;2.9,"2018",IF(N271&lt;3.8,"2029",IF(N271&lt;5,"2038",IF(N271&lt;7,"2050",IF(N271&lt;9,"2070",IF(N271&lt;11,"2090","2110"))))))),IF(G271*1000&lt;=1700,IF(N271&lt;1.8,"",IF(N271&lt;2.9,"3018",IF(N271&lt;3.8,"3029",IF(N271&lt;5,"3038",IF(N271&lt;7,"3050",IF(N271&lt;9,"3070",IF(N271&lt;11,"3090","3110"))))))),""))))</f>
        <v/>
      </c>
      <c r="Q271">
        <f>AND(O271=TRUE,P271&lt;&gt;"")</f>
        <v/>
      </c>
      <c r="R271">
        <f>IF(G271*1000&lt;750,"なし","あり")</f>
        <v/>
      </c>
      <c r="S271">
        <f>IF(AND(O271=TRUE,Q271=TRUE),"設定可","BLOCK")</f>
        <v/>
      </c>
      <c r="T271" t="inlineStr">
        <is>
          <t>商品カタログ P194</t>
        </is>
      </c>
      <c r="U271" t="inlineStr">
        <is>
          <t>https://webcatalog.lixil.co.jp/iportal/CatalogDetail.do?catalogID=15191910000&amp;categoryID=1630000&amp;designID=newinter&amp;method=initial_screen&amp;position=18&amp;type=mc&amp;volumeID=LXL13001</t>
        </is>
      </c>
    </row>
    <row r="272">
      <c r="A272" t="inlineStr">
        <is>
          <t>WG-SL-00269</t>
        </is>
      </c>
      <c r="B272" t="inlineStr">
        <is>
          <t>SZ-SL-000975</t>
        </is>
      </c>
      <c r="C272" t="inlineStr">
        <is>
          <t>WT-SL-MENKOSHI-AGE-FS</t>
        </is>
      </c>
      <c r="D272" t="inlineStr">
        <is>
          <t>SP-SL-AGE-GRILLE-IGETA</t>
        </is>
      </c>
      <c r="E272" t="inlineStr">
        <is>
          <t>02607</t>
        </is>
      </c>
      <c r="F272" t="n">
        <v>0.3</v>
      </c>
      <c r="G272" t="n">
        <v>0.77</v>
      </c>
      <c r="H272" t="inlineStr">
        <is>
          <t>GL-SL-008</t>
        </is>
      </c>
      <c r="I272" t="n">
        <v>7</v>
      </c>
      <c r="J272" t="n">
        <v>9.1</v>
      </c>
      <c r="K272" t="n">
        <v>-0.48</v>
      </c>
      <c r="L272" t="n">
        <v>-0.998</v>
      </c>
      <c r="M272" t="n">
        <v>0.367</v>
      </c>
      <c r="N272">
        <f>ROUND(J272*F272*G272+K272*G272+L272*F272+M272,3)</f>
        <v/>
      </c>
      <c r="O272">
        <f>AND(N272&gt;=1.4,N272&lt;=13)</f>
        <v/>
      </c>
      <c r="P272">
        <f>IF(OR(N272&lt;1.4,N272&gt;13),"",IF(G272*1000&lt;=1170,IF(N272&lt;1.8,"1014",IF(N272&lt;2.9,"1018",IF(N272&lt;3.8,"1029",IF(N272&lt;5,"1038",IF(N272&lt;7,"1050",IF(N272&lt;9,"1070",IF(N272&lt;11,"1090","1110"))))))),IF(G272*1000&lt;=1570,IF(N272&lt;1.8,"",IF(N272&lt;2.9,"2018",IF(N272&lt;3.8,"2029",IF(N272&lt;5,"2038",IF(N272&lt;7,"2050",IF(N272&lt;9,"2070",IF(N272&lt;11,"2090","2110"))))))),IF(G272*1000&lt;=1700,IF(N272&lt;1.8,"",IF(N272&lt;2.9,"3018",IF(N272&lt;3.8,"3029",IF(N272&lt;5,"3038",IF(N272&lt;7,"3050",IF(N272&lt;9,"3070",IF(N272&lt;11,"3090","3110"))))))),""))))</f>
        <v/>
      </c>
      <c r="Q272">
        <f>AND(O272=TRUE,P272&lt;&gt;"")</f>
        <v/>
      </c>
      <c r="R272">
        <f>IF(G272*1000&lt;750,"なし","あり")</f>
        <v/>
      </c>
      <c r="S272">
        <f>IF(AND(O272=TRUE,Q272=TRUE),"設定可","BLOCK")</f>
        <v/>
      </c>
      <c r="T272" t="inlineStr">
        <is>
          <t>商品カタログ P194</t>
        </is>
      </c>
      <c r="U272" t="inlineStr">
        <is>
          <t>https://webcatalog.lixil.co.jp/iportal/CatalogDetail.do?catalogID=15191910000&amp;categoryID=1630000&amp;designID=newinter&amp;method=initial_screen&amp;position=18&amp;type=mc&amp;volumeID=LXL13001</t>
        </is>
      </c>
    </row>
    <row r="273">
      <c r="A273" t="inlineStr">
        <is>
          <t>WG-SL-00270</t>
        </is>
      </c>
      <c r="B273" t="inlineStr">
        <is>
          <t>SZ-SL-000975</t>
        </is>
      </c>
      <c r="C273" t="inlineStr">
        <is>
          <t>WT-SL-MENKOSHI-AGE-FS</t>
        </is>
      </c>
      <c r="D273" t="inlineStr">
        <is>
          <t>SP-SL-AGE-GRILLE-IGETA</t>
        </is>
      </c>
      <c r="E273" t="inlineStr">
        <is>
          <t>02607</t>
        </is>
      </c>
      <c r="F273" t="n">
        <v>0.3</v>
      </c>
      <c r="G273" t="n">
        <v>0.77</v>
      </c>
      <c r="H273" t="inlineStr">
        <is>
          <t>GL-SL-009</t>
        </is>
      </c>
      <c r="I273" t="n">
        <v>8</v>
      </c>
      <c r="J273" t="n">
        <v>10.4</v>
      </c>
      <c r="K273" t="n">
        <v>-0.605</v>
      </c>
      <c r="L273" t="n">
        <v>-1.332</v>
      </c>
      <c r="M273" t="n">
        <v>0.399</v>
      </c>
      <c r="N273">
        <f>ROUND(J273*F273*G273+K273*G273+L273*F273+M273,3)</f>
        <v/>
      </c>
      <c r="O273">
        <f>AND(N273&gt;=1.4,N273&lt;=13)</f>
        <v/>
      </c>
      <c r="P273">
        <f>IF(OR(N273&lt;1.4,N273&gt;13),"",IF(G273*1000&lt;=1170,IF(N273&lt;1.8,"1014",IF(N273&lt;2.9,"1018",IF(N273&lt;3.8,"1029",IF(N273&lt;5,"1038",IF(N273&lt;7,"1050",IF(N273&lt;9,"1070",IF(N273&lt;11,"1090","1110"))))))),IF(G273*1000&lt;=1570,IF(N273&lt;1.8,"",IF(N273&lt;2.9,"2018",IF(N273&lt;3.8,"2029",IF(N273&lt;5,"2038",IF(N273&lt;7,"2050",IF(N273&lt;9,"2070",IF(N273&lt;11,"2090","2110"))))))),IF(G273*1000&lt;=1700,IF(N273&lt;1.8,"",IF(N273&lt;2.9,"3018",IF(N273&lt;3.8,"3029",IF(N273&lt;5,"3038",IF(N273&lt;7,"3050",IF(N273&lt;9,"3070",IF(N273&lt;11,"3090","3110"))))))),""))))</f>
        <v/>
      </c>
      <c r="Q273">
        <f>AND(O273=TRUE,P273&lt;&gt;"")</f>
        <v/>
      </c>
      <c r="R273">
        <f>IF(G273*1000&lt;750,"なし","あり")</f>
        <v/>
      </c>
      <c r="S273">
        <f>IF(AND(O273=TRUE,Q273=TRUE),"設定可","BLOCK")</f>
        <v/>
      </c>
      <c r="T273" t="inlineStr">
        <is>
          <t>商品カタログ P194</t>
        </is>
      </c>
      <c r="U273" t="inlineStr">
        <is>
          <t>https://webcatalog.lixil.co.jp/iportal/CatalogDetail.do?catalogID=15191910000&amp;categoryID=1630000&amp;designID=newinter&amp;method=initial_screen&amp;position=18&amp;type=mc&amp;volumeID=LXL13001</t>
        </is>
      </c>
    </row>
    <row r="274">
      <c r="A274" t="inlineStr">
        <is>
          <t>WG-SL-00271</t>
        </is>
      </c>
      <c r="B274" t="inlineStr">
        <is>
          <t>SZ-SL-000976</t>
        </is>
      </c>
      <c r="C274" t="inlineStr">
        <is>
          <t>WT-SL-MENKOSHI-AGE-FS</t>
        </is>
      </c>
      <c r="D274" t="inlineStr">
        <is>
          <t>SP-SL-AGE-GRILLE-IGETA</t>
        </is>
      </c>
      <c r="E274" t="inlineStr">
        <is>
          <t>03607</t>
        </is>
      </c>
      <c r="F274" t="n">
        <v>0.405</v>
      </c>
      <c r="G274" t="n">
        <v>0.77</v>
      </c>
      <c r="H274" t="inlineStr">
        <is>
          <t>GL-SL-001</t>
        </is>
      </c>
      <c r="I274" t="n">
        <v>6</v>
      </c>
      <c r="J274" t="n">
        <v>7.8</v>
      </c>
      <c r="K274" t="n">
        <v>-0.355</v>
      </c>
      <c r="L274" t="n">
        <v>-0.664</v>
      </c>
      <c r="M274" t="n">
        <v>0.335</v>
      </c>
      <c r="N274">
        <f>ROUND(J274*F274*G274+K274*G274+L274*F274+M274,3)</f>
        <v/>
      </c>
      <c r="O274">
        <f>AND(N274&gt;=1.4,N274&lt;=13)</f>
        <v/>
      </c>
      <c r="P274">
        <f>IF(OR(N274&lt;1.4,N274&gt;13),"",IF(G274*1000&lt;=1170,IF(N274&lt;1.8,"1014",IF(N274&lt;2.9,"1018",IF(N274&lt;3.8,"1029",IF(N274&lt;5,"1038",IF(N274&lt;7,"1050",IF(N274&lt;9,"1070",IF(N274&lt;11,"1090","1110"))))))),IF(G274*1000&lt;=1570,IF(N274&lt;1.8,"",IF(N274&lt;2.9,"2018",IF(N274&lt;3.8,"2029",IF(N274&lt;5,"2038",IF(N274&lt;7,"2050",IF(N274&lt;9,"2070",IF(N274&lt;11,"2090","2110"))))))),IF(G274*1000&lt;=1700,IF(N274&lt;1.8,"",IF(N274&lt;2.9,"3018",IF(N274&lt;3.8,"3029",IF(N274&lt;5,"3038",IF(N274&lt;7,"3050",IF(N274&lt;9,"3070",IF(N274&lt;11,"3090","3110"))))))),""))))</f>
        <v/>
      </c>
      <c r="Q274">
        <f>AND(O274=TRUE,P274&lt;&gt;"")</f>
        <v/>
      </c>
      <c r="R274">
        <f>IF(G274*1000&lt;750,"なし","あり")</f>
        <v/>
      </c>
      <c r="S274">
        <f>IF(AND(O274=TRUE,Q274=TRUE),"設定可","BLOCK")</f>
        <v/>
      </c>
      <c r="T274" t="inlineStr">
        <is>
          <t>商品カタログ P194</t>
        </is>
      </c>
      <c r="U274" t="inlineStr">
        <is>
          <t>https://webcatalog.lixil.co.jp/iportal/CatalogDetail.do?catalogID=15191910000&amp;categoryID=1630000&amp;designID=newinter&amp;method=initial_screen&amp;position=18&amp;type=mc&amp;volumeID=LXL13001</t>
        </is>
      </c>
    </row>
    <row r="275">
      <c r="A275" t="inlineStr">
        <is>
          <t>WG-SL-00272</t>
        </is>
      </c>
      <c r="B275" t="inlineStr">
        <is>
          <t>SZ-SL-000976</t>
        </is>
      </c>
      <c r="C275" t="inlineStr">
        <is>
          <t>WT-SL-MENKOSHI-AGE-FS</t>
        </is>
      </c>
      <c r="D275" t="inlineStr">
        <is>
          <t>SP-SL-AGE-GRILLE-IGETA</t>
        </is>
      </c>
      <c r="E275" t="inlineStr">
        <is>
          <t>03607</t>
        </is>
      </c>
      <c r="F275" t="n">
        <v>0.405</v>
      </c>
      <c r="G275" t="n">
        <v>0.77</v>
      </c>
      <c r="H275" t="inlineStr">
        <is>
          <t>GL-SL-002</t>
        </is>
      </c>
      <c r="I275" t="n">
        <v>7</v>
      </c>
      <c r="J275" t="n">
        <v>9.1</v>
      </c>
      <c r="K275" t="n">
        <v>-0.48</v>
      </c>
      <c r="L275" t="n">
        <v>-0.998</v>
      </c>
      <c r="M275" t="n">
        <v>0.367</v>
      </c>
      <c r="N275">
        <f>ROUND(J275*F275*G275+K275*G275+L275*F275+M275,3)</f>
        <v/>
      </c>
      <c r="O275">
        <f>AND(N275&gt;=1.4,N275&lt;=13)</f>
        <v/>
      </c>
      <c r="P275">
        <f>IF(OR(N275&lt;1.4,N275&gt;13),"",IF(G275*1000&lt;=1170,IF(N275&lt;1.8,"1014",IF(N275&lt;2.9,"1018",IF(N275&lt;3.8,"1029",IF(N275&lt;5,"1038",IF(N275&lt;7,"1050",IF(N275&lt;9,"1070",IF(N275&lt;11,"1090","1110"))))))),IF(G275*1000&lt;=1570,IF(N275&lt;1.8,"",IF(N275&lt;2.9,"2018",IF(N275&lt;3.8,"2029",IF(N275&lt;5,"2038",IF(N275&lt;7,"2050",IF(N275&lt;9,"2070",IF(N275&lt;11,"2090","2110"))))))),IF(G275*1000&lt;=1700,IF(N275&lt;1.8,"",IF(N275&lt;2.9,"3018",IF(N275&lt;3.8,"3029",IF(N275&lt;5,"3038",IF(N275&lt;7,"3050",IF(N275&lt;9,"3070",IF(N275&lt;11,"3090","3110"))))))),""))))</f>
        <v/>
      </c>
      <c r="Q275">
        <f>AND(O275=TRUE,P275&lt;&gt;"")</f>
        <v/>
      </c>
      <c r="R275">
        <f>IF(G275*1000&lt;750,"なし","あり")</f>
        <v/>
      </c>
      <c r="S275">
        <f>IF(AND(O275=TRUE,Q275=TRUE),"設定可","BLOCK")</f>
        <v/>
      </c>
      <c r="T275" t="inlineStr">
        <is>
          <t>商品カタログ P194</t>
        </is>
      </c>
      <c r="U275" t="inlineStr">
        <is>
          <t>https://webcatalog.lixil.co.jp/iportal/CatalogDetail.do?catalogID=15191910000&amp;categoryID=1630000&amp;designID=newinter&amp;method=initial_screen&amp;position=18&amp;type=mc&amp;volumeID=LXL13001</t>
        </is>
      </c>
    </row>
    <row r="276">
      <c r="A276" t="inlineStr">
        <is>
          <t>WG-SL-00273</t>
        </is>
      </c>
      <c r="B276" t="inlineStr">
        <is>
          <t>SZ-SL-000976</t>
        </is>
      </c>
      <c r="C276" t="inlineStr">
        <is>
          <t>WT-SL-MENKOSHI-AGE-FS</t>
        </is>
      </c>
      <c r="D276" t="inlineStr">
        <is>
          <t>SP-SL-AGE-GRILLE-IGETA</t>
        </is>
      </c>
      <c r="E276" t="inlineStr">
        <is>
          <t>03607</t>
        </is>
      </c>
      <c r="F276" t="n">
        <v>0.405</v>
      </c>
      <c r="G276" t="n">
        <v>0.77</v>
      </c>
      <c r="H276" t="inlineStr">
        <is>
          <t>GL-SL-003</t>
        </is>
      </c>
      <c r="I276" t="n">
        <v>8</v>
      </c>
      <c r="J276" t="n">
        <v>10.4</v>
      </c>
      <c r="K276" t="n">
        <v>-0.605</v>
      </c>
      <c r="L276" t="n">
        <v>-1.332</v>
      </c>
      <c r="M276" t="n">
        <v>0.399</v>
      </c>
      <c r="N276">
        <f>ROUND(J276*F276*G276+K276*G276+L276*F276+M276,3)</f>
        <v/>
      </c>
      <c r="O276">
        <f>AND(N276&gt;=1.4,N276&lt;=13)</f>
        <v/>
      </c>
      <c r="P276">
        <f>IF(OR(N276&lt;1.4,N276&gt;13),"",IF(G276*1000&lt;=1170,IF(N276&lt;1.8,"1014",IF(N276&lt;2.9,"1018",IF(N276&lt;3.8,"1029",IF(N276&lt;5,"1038",IF(N276&lt;7,"1050",IF(N276&lt;9,"1070",IF(N276&lt;11,"1090","1110"))))))),IF(G276*1000&lt;=1570,IF(N276&lt;1.8,"",IF(N276&lt;2.9,"2018",IF(N276&lt;3.8,"2029",IF(N276&lt;5,"2038",IF(N276&lt;7,"2050",IF(N276&lt;9,"2070",IF(N276&lt;11,"2090","2110"))))))),IF(G276*1000&lt;=1700,IF(N276&lt;1.8,"",IF(N276&lt;2.9,"3018",IF(N276&lt;3.8,"3029",IF(N276&lt;5,"3038",IF(N276&lt;7,"3050",IF(N276&lt;9,"3070",IF(N276&lt;11,"3090","3110"))))))),""))))</f>
        <v/>
      </c>
      <c r="Q276">
        <f>AND(O276=TRUE,P276&lt;&gt;"")</f>
        <v/>
      </c>
      <c r="R276">
        <f>IF(G276*1000&lt;750,"なし","あり")</f>
        <v/>
      </c>
      <c r="S276">
        <f>IF(AND(O276=TRUE,Q276=TRUE),"設定可","BLOCK")</f>
        <v/>
      </c>
      <c r="T276" t="inlineStr">
        <is>
          <t>商品カタログ P194</t>
        </is>
      </c>
      <c r="U276" t="inlineStr">
        <is>
          <t>https://webcatalog.lixil.co.jp/iportal/CatalogDetail.do?catalogID=15191910000&amp;categoryID=1630000&amp;designID=newinter&amp;method=initial_screen&amp;position=18&amp;type=mc&amp;volumeID=LXL13001</t>
        </is>
      </c>
    </row>
    <row r="277">
      <c r="A277" t="inlineStr">
        <is>
          <t>WG-SL-00274</t>
        </is>
      </c>
      <c r="B277" t="inlineStr">
        <is>
          <t>SZ-SL-000976</t>
        </is>
      </c>
      <c r="C277" t="inlineStr">
        <is>
          <t>WT-SL-MENKOSHI-AGE-FS</t>
        </is>
      </c>
      <c r="D277" t="inlineStr">
        <is>
          <t>SP-SL-AGE-GRILLE-IGETA</t>
        </is>
      </c>
      <c r="E277" t="inlineStr">
        <is>
          <t>03607</t>
        </is>
      </c>
      <c r="F277" t="n">
        <v>0.405</v>
      </c>
      <c r="G277" t="n">
        <v>0.77</v>
      </c>
      <c r="H277" t="inlineStr">
        <is>
          <t>GL-SL-004</t>
        </is>
      </c>
      <c r="I277" t="n">
        <v>6</v>
      </c>
      <c r="J277" t="n">
        <v>7.8</v>
      </c>
      <c r="K277" t="n">
        <v>-0.355</v>
      </c>
      <c r="L277" t="n">
        <v>-0.664</v>
      </c>
      <c r="M277" t="n">
        <v>0.335</v>
      </c>
      <c r="N277">
        <f>ROUND(J277*F277*G277+K277*G277+L277*F277+M277,3)</f>
        <v/>
      </c>
      <c r="O277">
        <f>AND(N277&gt;=1.4,N277&lt;=13)</f>
        <v/>
      </c>
      <c r="P277">
        <f>IF(OR(N277&lt;1.4,N277&gt;13),"",IF(G277*1000&lt;=1170,IF(N277&lt;1.8,"1014",IF(N277&lt;2.9,"1018",IF(N277&lt;3.8,"1029",IF(N277&lt;5,"1038",IF(N277&lt;7,"1050",IF(N277&lt;9,"1070",IF(N277&lt;11,"1090","1110"))))))),IF(G277*1000&lt;=1570,IF(N277&lt;1.8,"",IF(N277&lt;2.9,"2018",IF(N277&lt;3.8,"2029",IF(N277&lt;5,"2038",IF(N277&lt;7,"2050",IF(N277&lt;9,"2070",IF(N277&lt;11,"2090","2110"))))))),IF(G277*1000&lt;=1700,IF(N277&lt;1.8,"",IF(N277&lt;2.9,"3018",IF(N277&lt;3.8,"3029",IF(N277&lt;5,"3038",IF(N277&lt;7,"3050",IF(N277&lt;9,"3070",IF(N277&lt;11,"3090","3110"))))))),""))))</f>
        <v/>
      </c>
      <c r="Q277">
        <f>AND(O277=TRUE,P277&lt;&gt;"")</f>
        <v/>
      </c>
      <c r="R277">
        <f>IF(G277*1000&lt;750,"なし","あり")</f>
        <v/>
      </c>
      <c r="S277">
        <f>IF(AND(O277=TRUE,Q277=TRUE),"設定可","BLOCK")</f>
        <v/>
      </c>
      <c r="T277" t="inlineStr">
        <is>
          <t>商品カタログ P194</t>
        </is>
      </c>
      <c r="U277" t="inlineStr">
        <is>
          <t>https://webcatalog.lixil.co.jp/iportal/CatalogDetail.do?catalogID=15191910000&amp;categoryID=1630000&amp;designID=newinter&amp;method=initial_screen&amp;position=18&amp;type=mc&amp;volumeID=LXL13001</t>
        </is>
      </c>
    </row>
    <row r="278">
      <c r="A278" t="inlineStr">
        <is>
          <t>WG-SL-00275</t>
        </is>
      </c>
      <c r="B278" t="inlineStr">
        <is>
          <t>SZ-SL-000976</t>
        </is>
      </c>
      <c r="C278" t="inlineStr">
        <is>
          <t>WT-SL-MENKOSHI-AGE-FS</t>
        </is>
      </c>
      <c r="D278" t="inlineStr">
        <is>
          <t>SP-SL-AGE-GRILLE-IGETA</t>
        </is>
      </c>
      <c r="E278" t="inlineStr">
        <is>
          <t>03607</t>
        </is>
      </c>
      <c r="F278" t="n">
        <v>0.405</v>
      </c>
      <c r="G278" t="n">
        <v>0.77</v>
      </c>
      <c r="H278" t="inlineStr">
        <is>
          <t>GL-SL-005</t>
        </is>
      </c>
      <c r="I278" t="n">
        <v>7</v>
      </c>
      <c r="J278" t="n">
        <v>9.1</v>
      </c>
      <c r="K278" t="n">
        <v>-0.48</v>
      </c>
      <c r="L278" t="n">
        <v>-0.998</v>
      </c>
      <c r="M278" t="n">
        <v>0.367</v>
      </c>
      <c r="N278">
        <f>ROUND(J278*F278*G278+K278*G278+L278*F278+M278,3)</f>
        <v/>
      </c>
      <c r="O278">
        <f>AND(N278&gt;=1.4,N278&lt;=13)</f>
        <v/>
      </c>
      <c r="P278">
        <f>IF(OR(N278&lt;1.4,N278&gt;13),"",IF(G278*1000&lt;=1170,IF(N278&lt;1.8,"1014",IF(N278&lt;2.9,"1018",IF(N278&lt;3.8,"1029",IF(N278&lt;5,"1038",IF(N278&lt;7,"1050",IF(N278&lt;9,"1070",IF(N278&lt;11,"1090","1110"))))))),IF(G278*1000&lt;=1570,IF(N278&lt;1.8,"",IF(N278&lt;2.9,"2018",IF(N278&lt;3.8,"2029",IF(N278&lt;5,"2038",IF(N278&lt;7,"2050",IF(N278&lt;9,"2070",IF(N278&lt;11,"2090","2110"))))))),IF(G278*1000&lt;=1700,IF(N278&lt;1.8,"",IF(N278&lt;2.9,"3018",IF(N278&lt;3.8,"3029",IF(N278&lt;5,"3038",IF(N278&lt;7,"3050",IF(N278&lt;9,"3070",IF(N278&lt;11,"3090","3110"))))))),""))))</f>
        <v/>
      </c>
      <c r="Q278">
        <f>AND(O278=TRUE,P278&lt;&gt;"")</f>
        <v/>
      </c>
      <c r="R278">
        <f>IF(G278*1000&lt;750,"なし","あり")</f>
        <v/>
      </c>
      <c r="S278">
        <f>IF(AND(O278=TRUE,Q278=TRUE),"設定可","BLOCK")</f>
        <v/>
      </c>
      <c r="T278" t="inlineStr">
        <is>
          <t>商品カタログ P194</t>
        </is>
      </c>
      <c r="U278" t="inlineStr">
        <is>
          <t>https://webcatalog.lixil.co.jp/iportal/CatalogDetail.do?catalogID=15191910000&amp;categoryID=1630000&amp;designID=newinter&amp;method=initial_screen&amp;position=18&amp;type=mc&amp;volumeID=LXL13001</t>
        </is>
      </c>
    </row>
    <row r="279">
      <c r="A279" t="inlineStr">
        <is>
          <t>WG-SL-00276</t>
        </is>
      </c>
      <c r="B279" t="inlineStr">
        <is>
          <t>SZ-SL-000976</t>
        </is>
      </c>
      <c r="C279" t="inlineStr">
        <is>
          <t>WT-SL-MENKOSHI-AGE-FS</t>
        </is>
      </c>
      <c r="D279" t="inlineStr">
        <is>
          <t>SP-SL-AGE-GRILLE-IGETA</t>
        </is>
      </c>
      <c r="E279" t="inlineStr">
        <is>
          <t>03607</t>
        </is>
      </c>
      <c r="F279" t="n">
        <v>0.405</v>
      </c>
      <c r="G279" t="n">
        <v>0.77</v>
      </c>
      <c r="H279" t="inlineStr">
        <is>
          <t>GL-SL-006</t>
        </is>
      </c>
      <c r="I279" t="n">
        <v>8</v>
      </c>
      <c r="J279" t="n">
        <v>10.4</v>
      </c>
      <c r="K279" t="n">
        <v>-0.605</v>
      </c>
      <c r="L279" t="n">
        <v>-1.332</v>
      </c>
      <c r="M279" t="n">
        <v>0.399</v>
      </c>
      <c r="N279">
        <f>ROUND(J279*F279*G279+K279*G279+L279*F279+M279,3)</f>
        <v/>
      </c>
      <c r="O279">
        <f>AND(N279&gt;=1.4,N279&lt;=13)</f>
        <v/>
      </c>
      <c r="P279">
        <f>IF(OR(N279&lt;1.4,N279&gt;13),"",IF(G279*1000&lt;=1170,IF(N279&lt;1.8,"1014",IF(N279&lt;2.9,"1018",IF(N279&lt;3.8,"1029",IF(N279&lt;5,"1038",IF(N279&lt;7,"1050",IF(N279&lt;9,"1070",IF(N279&lt;11,"1090","1110"))))))),IF(G279*1000&lt;=1570,IF(N279&lt;1.8,"",IF(N279&lt;2.9,"2018",IF(N279&lt;3.8,"2029",IF(N279&lt;5,"2038",IF(N279&lt;7,"2050",IF(N279&lt;9,"2070",IF(N279&lt;11,"2090","2110"))))))),IF(G279*1000&lt;=1700,IF(N279&lt;1.8,"",IF(N279&lt;2.9,"3018",IF(N279&lt;3.8,"3029",IF(N279&lt;5,"3038",IF(N279&lt;7,"3050",IF(N279&lt;9,"3070",IF(N279&lt;11,"3090","3110"))))))),""))))</f>
        <v/>
      </c>
      <c r="Q279">
        <f>AND(O279=TRUE,P279&lt;&gt;"")</f>
        <v/>
      </c>
      <c r="R279">
        <f>IF(G279*1000&lt;750,"なし","あり")</f>
        <v/>
      </c>
      <c r="S279">
        <f>IF(AND(O279=TRUE,Q279=TRUE),"設定可","BLOCK")</f>
        <v/>
      </c>
      <c r="T279" t="inlineStr">
        <is>
          <t>商品カタログ P194</t>
        </is>
      </c>
      <c r="U279" t="inlineStr">
        <is>
          <t>https://webcatalog.lixil.co.jp/iportal/CatalogDetail.do?catalogID=15191910000&amp;categoryID=1630000&amp;designID=newinter&amp;method=initial_screen&amp;position=18&amp;type=mc&amp;volumeID=LXL13001</t>
        </is>
      </c>
    </row>
    <row r="280">
      <c r="A280" t="inlineStr">
        <is>
          <t>WG-SL-00277</t>
        </is>
      </c>
      <c r="B280" t="inlineStr">
        <is>
          <t>SZ-SL-000976</t>
        </is>
      </c>
      <c r="C280" t="inlineStr">
        <is>
          <t>WT-SL-MENKOSHI-AGE-FS</t>
        </is>
      </c>
      <c r="D280" t="inlineStr">
        <is>
          <t>SP-SL-AGE-GRILLE-IGETA</t>
        </is>
      </c>
      <c r="E280" t="inlineStr">
        <is>
          <t>03607</t>
        </is>
      </c>
      <c r="F280" t="n">
        <v>0.405</v>
      </c>
      <c r="G280" t="n">
        <v>0.77</v>
      </c>
      <c r="H280" t="inlineStr">
        <is>
          <t>GL-SL-007</t>
        </is>
      </c>
      <c r="I280" t="n">
        <v>6</v>
      </c>
      <c r="J280" t="n">
        <v>7.8</v>
      </c>
      <c r="K280" t="n">
        <v>-0.355</v>
      </c>
      <c r="L280" t="n">
        <v>-0.664</v>
      </c>
      <c r="M280" t="n">
        <v>0.335</v>
      </c>
      <c r="N280">
        <f>ROUND(J280*F280*G280+K280*G280+L280*F280+M280,3)</f>
        <v/>
      </c>
      <c r="O280">
        <f>AND(N280&gt;=1.4,N280&lt;=13)</f>
        <v/>
      </c>
      <c r="P280">
        <f>IF(OR(N280&lt;1.4,N280&gt;13),"",IF(G280*1000&lt;=1170,IF(N280&lt;1.8,"1014",IF(N280&lt;2.9,"1018",IF(N280&lt;3.8,"1029",IF(N280&lt;5,"1038",IF(N280&lt;7,"1050",IF(N280&lt;9,"1070",IF(N280&lt;11,"1090","1110"))))))),IF(G280*1000&lt;=1570,IF(N280&lt;1.8,"",IF(N280&lt;2.9,"2018",IF(N280&lt;3.8,"2029",IF(N280&lt;5,"2038",IF(N280&lt;7,"2050",IF(N280&lt;9,"2070",IF(N280&lt;11,"2090","2110"))))))),IF(G280*1000&lt;=1700,IF(N280&lt;1.8,"",IF(N280&lt;2.9,"3018",IF(N280&lt;3.8,"3029",IF(N280&lt;5,"3038",IF(N280&lt;7,"3050",IF(N280&lt;9,"3070",IF(N280&lt;11,"3090","3110"))))))),""))))</f>
        <v/>
      </c>
      <c r="Q280">
        <f>AND(O280=TRUE,P280&lt;&gt;"")</f>
        <v/>
      </c>
      <c r="R280">
        <f>IF(G280*1000&lt;750,"なし","あり")</f>
        <v/>
      </c>
      <c r="S280">
        <f>IF(AND(O280=TRUE,Q280=TRUE),"設定可","BLOCK")</f>
        <v/>
      </c>
      <c r="T280" t="inlineStr">
        <is>
          <t>商品カタログ P194</t>
        </is>
      </c>
      <c r="U280" t="inlineStr">
        <is>
          <t>https://webcatalog.lixil.co.jp/iportal/CatalogDetail.do?catalogID=15191910000&amp;categoryID=1630000&amp;designID=newinter&amp;method=initial_screen&amp;position=18&amp;type=mc&amp;volumeID=LXL13001</t>
        </is>
      </c>
    </row>
    <row r="281">
      <c r="A281" t="inlineStr">
        <is>
          <t>WG-SL-00278</t>
        </is>
      </c>
      <c r="B281" t="inlineStr">
        <is>
          <t>SZ-SL-000976</t>
        </is>
      </c>
      <c r="C281" t="inlineStr">
        <is>
          <t>WT-SL-MENKOSHI-AGE-FS</t>
        </is>
      </c>
      <c r="D281" t="inlineStr">
        <is>
          <t>SP-SL-AGE-GRILLE-IGETA</t>
        </is>
      </c>
      <c r="E281" t="inlineStr">
        <is>
          <t>03607</t>
        </is>
      </c>
      <c r="F281" t="n">
        <v>0.405</v>
      </c>
      <c r="G281" t="n">
        <v>0.77</v>
      </c>
      <c r="H281" t="inlineStr">
        <is>
          <t>GL-SL-008</t>
        </is>
      </c>
      <c r="I281" t="n">
        <v>7</v>
      </c>
      <c r="J281" t="n">
        <v>9.1</v>
      </c>
      <c r="K281" t="n">
        <v>-0.48</v>
      </c>
      <c r="L281" t="n">
        <v>-0.998</v>
      </c>
      <c r="M281" t="n">
        <v>0.367</v>
      </c>
      <c r="N281">
        <f>ROUND(J281*F281*G281+K281*G281+L281*F281+M281,3)</f>
        <v/>
      </c>
      <c r="O281">
        <f>AND(N281&gt;=1.4,N281&lt;=13)</f>
        <v/>
      </c>
      <c r="P281">
        <f>IF(OR(N281&lt;1.4,N281&gt;13),"",IF(G281*1000&lt;=1170,IF(N281&lt;1.8,"1014",IF(N281&lt;2.9,"1018",IF(N281&lt;3.8,"1029",IF(N281&lt;5,"1038",IF(N281&lt;7,"1050",IF(N281&lt;9,"1070",IF(N281&lt;11,"1090","1110"))))))),IF(G281*1000&lt;=1570,IF(N281&lt;1.8,"",IF(N281&lt;2.9,"2018",IF(N281&lt;3.8,"2029",IF(N281&lt;5,"2038",IF(N281&lt;7,"2050",IF(N281&lt;9,"2070",IF(N281&lt;11,"2090","2110"))))))),IF(G281*1000&lt;=1700,IF(N281&lt;1.8,"",IF(N281&lt;2.9,"3018",IF(N281&lt;3.8,"3029",IF(N281&lt;5,"3038",IF(N281&lt;7,"3050",IF(N281&lt;9,"3070",IF(N281&lt;11,"3090","3110"))))))),""))))</f>
        <v/>
      </c>
      <c r="Q281">
        <f>AND(O281=TRUE,P281&lt;&gt;"")</f>
        <v/>
      </c>
      <c r="R281">
        <f>IF(G281*1000&lt;750,"なし","あり")</f>
        <v/>
      </c>
      <c r="S281">
        <f>IF(AND(O281=TRUE,Q281=TRUE),"設定可","BLOCK")</f>
        <v/>
      </c>
      <c r="T281" t="inlineStr">
        <is>
          <t>商品カタログ P194</t>
        </is>
      </c>
      <c r="U281" t="inlineStr">
        <is>
          <t>https://webcatalog.lixil.co.jp/iportal/CatalogDetail.do?catalogID=15191910000&amp;categoryID=1630000&amp;designID=newinter&amp;method=initial_screen&amp;position=18&amp;type=mc&amp;volumeID=LXL13001</t>
        </is>
      </c>
    </row>
    <row r="282">
      <c r="A282" t="inlineStr">
        <is>
          <t>WG-SL-00279</t>
        </is>
      </c>
      <c r="B282" t="inlineStr">
        <is>
          <t>SZ-SL-000976</t>
        </is>
      </c>
      <c r="C282" t="inlineStr">
        <is>
          <t>WT-SL-MENKOSHI-AGE-FS</t>
        </is>
      </c>
      <c r="D282" t="inlineStr">
        <is>
          <t>SP-SL-AGE-GRILLE-IGETA</t>
        </is>
      </c>
      <c r="E282" t="inlineStr">
        <is>
          <t>03607</t>
        </is>
      </c>
      <c r="F282" t="n">
        <v>0.405</v>
      </c>
      <c r="G282" t="n">
        <v>0.77</v>
      </c>
      <c r="H282" t="inlineStr">
        <is>
          <t>GL-SL-009</t>
        </is>
      </c>
      <c r="I282" t="n">
        <v>8</v>
      </c>
      <c r="J282" t="n">
        <v>10.4</v>
      </c>
      <c r="K282" t="n">
        <v>-0.605</v>
      </c>
      <c r="L282" t="n">
        <v>-1.332</v>
      </c>
      <c r="M282" t="n">
        <v>0.399</v>
      </c>
      <c r="N282">
        <f>ROUND(J282*F282*G282+K282*G282+L282*F282+M282,3)</f>
        <v/>
      </c>
      <c r="O282">
        <f>AND(N282&gt;=1.4,N282&lt;=13)</f>
        <v/>
      </c>
      <c r="P282">
        <f>IF(OR(N282&lt;1.4,N282&gt;13),"",IF(G282*1000&lt;=1170,IF(N282&lt;1.8,"1014",IF(N282&lt;2.9,"1018",IF(N282&lt;3.8,"1029",IF(N282&lt;5,"1038",IF(N282&lt;7,"1050",IF(N282&lt;9,"1070",IF(N282&lt;11,"1090","1110"))))))),IF(G282*1000&lt;=1570,IF(N282&lt;1.8,"",IF(N282&lt;2.9,"2018",IF(N282&lt;3.8,"2029",IF(N282&lt;5,"2038",IF(N282&lt;7,"2050",IF(N282&lt;9,"2070",IF(N282&lt;11,"2090","2110"))))))),IF(G282*1000&lt;=1700,IF(N282&lt;1.8,"",IF(N282&lt;2.9,"3018",IF(N282&lt;3.8,"3029",IF(N282&lt;5,"3038",IF(N282&lt;7,"3050",IF(N282&lt;9,"3070",IF(N282&lt;11,"3090","3110"))))))),""))))</f>
        <v/>
      </c>
      <c r="Q282">
        <f>AND(O282=TRUE,P282&lt;&gt;"")</f>
        <v/>
      </c>
      <c r="R282">
        <f>IF(G282*1000&lt;750,"なし","あり")</f>
        <v/>
      </c>
      <c r="S282">
        <f>IF(AND(O282=TRUE,Q282=TRUE),"設定可","BLOCK")</f>
        <v/>
      </c>
      <c r="T282" t="inlineStr">
        <is>
          <t>商品カタログ P194</t>
        </is>
      </c>
      <c r="U282" t="inlineStr">
        <is>
          <t>https://webcatalog.lixil.co.jp/iportal/CatalogDetail.do?catalogID=15191910000&amp;categoryID=1630000&amp;designID=newinter&amp;method=initial_screen&amp;position=18&amp;type=mc&amp;volumeID=LXL13001</t>
        </is>
      </c>
    </row>
    <row r="283">
      <c r="A283" t="inlineStr">
        <is>
          <t>WG-SL-00280</t>
        </is>
      </c>
      <c r="B283" t="inlineStr">
        <is>
          <t>SZ-SL-000977</t>
        </is>
      </c>
      <c r="C283" t="inlineStr">
        <is>
          <t>WT-SL-MENKOSHI-AGE-FS</t>
        </is>
      </c>
      <c r="D283" t="inlineStr">
        <is>
          <t>SP-SL-AGE-GRILLE-IGETA</t>
        </is>
      </c>
      <c r="E283" t="inlineStr">
        <is>
          <t>06007</t>
        </is>
      </c>
      <c r="F283" t="n">
        <v>0.64</v>
      </c>
      <c r="G283" t="n">
        <v>0.77</v>
      </c>
      <c r="H283" t="inlineStr">
        <is>
          <t>GL-SL-001</t>
        </is>
      </c>
      <c r="I283" t="n">
        <v>6</v>
      </c>
      <c r="J283" t="n">
        <v>7.8</v>
      </c>
      <c r="K283" t="n">
        <v>-0.355</v>
      </c>
      <c r="L283" t="n">
        <v>-0.664</v>
      </c>
      <c r="M283" t="n">
        <v>0.335</v>
      </c>
      <c r="N283">
        <f>ROUND(J283*F283*G283+K283*G283+L283*F283+M283,3)</f>
        <v/>
      </c>
      <c r="O283">
        <f>AND(N283&gt;=1.4,N283&lt;=13)</f>
        <v/>
      </c>
      <c r="P283">
        <f>IF(OR(N283&lt;1.4,N283&gt;13),"",IF(G283*1000&lt;=1170,IF(N283&lt;1.8,"1014",IF(N283&lt;2.9,"1018",IF(N283&lt;3.8,"1029",IF(N283&lt;5,"1038",IF(N283&lt;7,"1050",IF(N283&lt;9,"1070",IF(N283&lt;11,"1090","1110"))))))),IF(G283*1000&lt;=1570,IF(N283&lt;1.8,"",IF(N283&lt;2.9,"2018",IF(N283&lt;3.8,"2029",IF(N283&lt;5,"2038",IF(N283&lt;7,"2050",IF(N283&lt;9,"2070",IF(N283&lt;11,"2090","2110"))))))),IF(G283*1000&lt;=1700,IF(N283&lt;1.8,"",IF(N283&lt;2.9,"3018",IF(N283&lt;3.8,"3029",IF(N283&lt;5,"3038",IF(N283&lt;7,"3050",IF(N283&lt;9,"3070",IF(N283&lt;11,"3090","3110"))))))),""))))</f>
        <v/>
      </c>
      <c r="Q283">
        <f>AND(O283=TRUE,P283&lt;&gt;"")</f>
        <v/>
      </c>
      <c r="R283">
        <f>IF(G283*1000&lt;750,"なし","あり")</f>
        <v/>
      </c>
      <c r="S283">
        <f>IF(AND(O283=TRUE,Q283=TRUE),"設定可","BLOCK")</f>
        <v/>
      </c>
      <c r="T283" t="inlineStr">
        <is>
          <t>商品カタログ P194</t>
        </is>
      </c>
      <c r="U283" t="inlineStr">
        <is>
          <t>https://webcatalog.lixil.co.jp/iportal/CatalogDetail.do?catalogID=15191910000&amp;categoryID=1630000&amp;designID=newinter&amp;method=initial_screen&amp;position=18&amp;type=mc&amp;volumeID=LXL13001</t>
        </is>
      </c>
    </row>
    <row r="284">
      <c r="A284" t="inlineStr">
        <is>
          <t>WG-SL-00281</t>
        </is>
      </c>
      <c r="B284" t="inlineStr">
        <is>
          <t>SZ-SL-000977</t>
        </is>
      </c>
      <c r="C284" t="inlineStr">
        <is>
          <t>WT-SL-MENKOSHI-AGE-FS</t>
        </is>
      </c>
      <c r="D284" t="inlineStr">
        <is>
          <t>SP-SL-AGE-GRILLE-IGETA</t>
        </is>
      </c>
      <c r="E284" t="inlineStr">
        <is>
          <t>06007</t>
        </is>
      </c>
      <c r="F284" t="n">
        <v>0.64</v>
      </c>
      <c r="G284" t="n">
        <v>0.77</v>
      </c>
      <c r="H284" t="inlineStr">
        <is>
          <t>GL-SL-002</t>
        </is>
      </c>
      <c r="I284" t="n">
        <v>7</v>
      </c>
      <c r="J284" t="n">
        <v>9.1</v>
      </c>
      <c r="K284" t="n">
        <v>-0.48</v>
      </c>
      <c r="L284" t="n">
        <v>-0.998</v>
      </c>
      <c r="M284" t="n">
        <v>0.367</v>
      </c>
      <c r="N284">
        <f>ROUND(J284*F284*G284+K284*G284+L284*F284+M284,3)</f>
        <v/>
      </c>
      <c r="O284">
        <f>AND(N284&gt;=1.4,N284&lt;=13)</f>
        <v/>
      </c>
      <c r="P284">
        <f>IF(OR(N284&lt;1.4,N284&gt;13),"",IF(G284*1000&lt;=1170,IF(N284&lt;1.8,"1014",IF(N284&lt;2.9,"1018",IF(N284&lt;3.8,"1029",IF(N284&lt;5,"1038",IF(N284&lt;7,"1050",IF(N284&lt;9,"1070",IF(N284&lt;11,"1090","1110"))))))),IF(G284*1000&lt;=1570,IF(N284&lt;1.8,"",IF(N284&lt;2.9,"2018",IF(N284&lt;3.8,"2029",IF(N284&lt;5,"2038",IF(N284&lt;7,"2050",IF(N284&lt;9,"2070",IF(N284&lt;11,"2090","2110"))))))),IF(G284*1000&lt;=1700,IF(N284&lt;1.8,"",IF(N284&lt;2.9,"3018",IF(N284&lt;3.8,"3029",IF(N284&lt;5,"3038",IF(N284&lt;7,"3050",IF(N284&lt;9,"3070",IF(N284&lt;11,"3090","3110"))))))),""))))</f>
        <v/>
      </c>
      <c r="Q284">
        <f>AND(O284=TRUE,P284&lt;&gt;"")</f>
        <v/>
      </c>
      <c r="R284">
        <f>IF(G284*1000&lt;750,"なし","あり")</f>
        <v/>
      </c>
      <c r="S284">
        <f>IF(AND(O284=TRUE,Q284=TRUE),"設定可","BLOCK")</f>
        <v/>
      </c>
      <c r="T284" t="inlineStr">
        <is>
          <t>商品カタログ P194</t>
        </is>
      </c>
      <c r="U284" t="inlineStr">
        <is>
          <t>https://webcatalog.lixil.co.jp/iportal/CatalogDetail.do?catalogID=15191910000&amp;categoryID=1630000&amp;designID=newinter&amp;method=initial_screen&amp;position=18&amp;type=mc&amp;volumeID=LXL13001</t>
        </is>
      </c>
    </row>
    <row r="285">
      <c r="A285" t="inlineStr">
        <is>
          <t>WG-SL-00282</t>
        </is>
      </c>
      <c r="B285" t="inlineStr">
        <is>
          <t>SZ-SL-000977</t>
        </is>
      </c>
      <c r="C285" t="inlineStr">
        <is>
          <t>WT-SL-MENKOSHI-AGE-FS</t>
        </is>
      </c>
      <c r="D285" t="inlineStr">
        <is>
          <t>SP-SL-AGE-GRILLE-IGETA</t>
        </is>
      </c>
      <c r="E285" t="inlineStr">
        <is>
          <t>06007</t>
        </is>
      </c>
      <c r="F285" t="n">
        <v>0.64</v>
      </c>
      <c r="G285" t="n">
        <v>0.77</v>
      </c>
      <c r="H285" t="inlineStr">
        <is>
          <t>GL-SL-003</t>
        </is>
      </c>
      <c r="I285" t="n">
        <v>8</v>
      </c>
      <c r="J285" t="n">
        <v>10.4</v>
      </c>
      <c r="K285" t="n">
        <v>-0.605</v>
      </c>
      <c r="L285" t="n">
        <v>-1.332</v>
      </c>
      <c r="M285" t="n">
        <v>0.399</v>
      </c>
      <c r="N285">
        <f>ROUND(J285*F285*G285+K285*G285+L285*F285+M285,3)</f>
        <v/>
      </c>
      <c r="O285">
        <f>AND(N285&gt;=1.4,N285&lt;=13)</f>
        <v/>
      </c>
      <c r="P285">
        <f>IF(OR(N285&lt;1.4,N285&gt;13),"",IF(G285*1000&lt;=1170,IF(N285&lt;1.8,"1014",IF(N285&lt;2.9,"1018",IF(N285&lt;3.8,"1029",IF(N285&lt;5,"1038",IF(N285&lt;7,"1050",IF(N285&lt;9,"1070",IF(N285&lt;11,"1090","1110"))))))),IF(G285*1000&lt;=1570,IF(N285&lt;1.8,"",IF(N285&lt;2.9,"2018",IF(N285&lt;3.8,"2029",IF(N285&lt;5,"2038",IF(N285&lt;7,"2050",IF(N285&lt;9,"2070",IF(N285&lt;11,"2090","2110"))))))),IF(G285*1000&lt;=1700,IF(N285&lt;1.8,"",IF(N285&lt;2.9,"3018",IF(N285&lt;3.8,"3029",IF(N285&lt;5,"3038",IF(N285&lt;7,"3050",IF(N285&lt;9,"3070",IF(N285&lt;11,"3090","3110"))))))),""))))</f>
        <v/>
      </c>
      <c r="Q285">
        <f>AND(O285=TRUE,P285&lt;&gt;"")</f>
        <v/>
      </c>
      <c r="R285">
        <f>IF(G285*1000&lt;750,"なし","あり")</f>
        <v/>
      </c>
      <c r="S285">
        <f>IF(AND(O285=TRUE,Q285=TRUE),"設定可","BLOCK")</f>
        <v/>
      </c>
      <c r="T285" t="inlineStr">
        <is>
          <t>商品カタログ P194</t>
        </is>
      </c>
      <c r="U285" t="inlineStr">
        <is>
          <t>https://webcatalog.lixil.co.jp/iportal/CatalogDetail.do?catalogID=15191910000&amp;categoryID=1630000&amp;designID=newinter&amp;method=initial_screen&amp;position=18&amp;type=mc&amp;volumeID=LXL13001</t>
        </is>
      </c>
    </row>
    <row r="286">
      <c r="A286" t="inlineStr">
        <is>
          <t>WG-SL-00283</t>
        </is>
      </c>
      <c r="B286" t="inlineStr">
        <is>
          <t>SZ-SL-000977</t>
        </is>
      </c>
      <c r="C286" t="inlineStr">
        <is>
          <t>WT-SL-MENKOSHI-AGE-FS</t>
        </is>
      </c>
      <c r="D286" t="inlineStr">
        <is>
          <t>SP-SL-AGE-GRILLE-IGETA</t>
        </is>
      </c>
      <c r="E286" t="inlineStr">
        <is>
          <t>06007</t>
        </is>
      </c>
      <c r="F286" t="n">
        <v>0.64</v>
      </c>
      <c r="G286" t="n">
        <v>0.77</v>
      </c>
      <c r="H286" t="inlineStr">
        <is>
          <t>GL-SL-004</t>
        </is>
      </c>
      <c r="I286" t="n">
        <v>6</v>
      </c>
      <c r="J286" t="n">
        <v>7.8</v>
      </c>
      <c r="K286" t="n">
        <v>-0.355</v>
      </c>
      <c r="L286" t="n">
        <v>-0.664</v>
      </c>
      <c r="M286" t="n">
        <v>0.335</v>
      </c>
      <c r="N286">
        <f>ROUND(J286*F286*G286+K286*G286+L286*F286+M286,3)</f>
        <v/>
      </c>
      <c r="O286">
        <f>AND(N286&gt;=1.4,N286&lt;=13)</f>
        <v/>
      </c>
      <c r="P286">
        <f>IF(OR(N286&lt;1.4,N286&gt;13),"",IF(G286*1000&lt;=1170,IF(N286&lt;1.8,"1014",IF(N286&lt;2.9,"1018",IF(N286&lt;3.8,"1029",IF(N286&lt;5,"1038",IF(N286&lt;7,"1050",IF(N286&lt;9,"1070",IF(N286&lt;11,"1090","1110"))))))),IF(G286*1000&lt;=1570,IF(N286&lt;1.8,"",IF(N286&lt;2.9,"2018",IF(N286&lt;3.8,"2029",IF(N286&lt;5,"2038",IF(N286&lt;7,"2050",IF(N286&lt;9,"2070",IF(N286&lt;11,"2090","2110"))))))),IF(G286*1000&lt;=1700,IF(N286&lt;1.8,"",IF(N286&lt;2.9,"3018",IF(N286&lt;3.8,"3029",IF(N286&lt;5,"3038",IF(N286&lt;7,"3050",IF(N286&lt;9,"3070",IF(N286&lt;11,"3090","3110"))))))),""))))</f>
        <v/>
      </c>
      <c r="Q286">
        <f>AND(O286=TRUE,P286&lt;&gt;"")</f>
        <v/>
      </c>
      <c r="R286">
        <f>IF(G286*1000&lt;750,"なし","あり")</f>
        <v/>
      </c>
      <c r="S286">
        <f>IF(AND(O286=TRUE,Q286=TRUE),"設定可","BLOCK")</f>
        <v/>
      </c>
      <c r="T286" t="inlineStr">
        <is>
          <t>商品カタログ P194</t>
        </is>
      </c>
      <c r="U286" t="inlineStr">
        <is>
          <t>https://webcatalog.lixil.co.jp/iportal/CatalogDetail.do?catalogID=15191910000&amp;categoryID=1630000&amp;designID=newinter&amp;method=initial_screen&amp;position=18&amp;type=mc&amp;volumeID=LXL13001</t>
        </is>
      </c>
    </row>
    <row r="287">
      <c r="A287" t="inlineStr">
        <is>
          <t>WG-SL-00284</t>
        </is>
      </c>
      <c r="B287" t="inlineStr">
        <is>
          <t>SZ-SL-000977</t>
        </is>
      </c>
      <c r="C287" t="inlineStr">
        <is>
          <t>WT-SL-MENKOSHI-AGE-FS</t>
        </is>
      </c>
      <c r="D287" t="inlineStr">
        <is>
          <t>SP-SL-AGE-GRILLE-IGETA</t>
        </is>
      </c>
      <c r="E287" t="inlineStr">
        <is>
          <t>06007</t>
        </is>
      </c>
      <c r="F287" t="n">
        <v>0.64</v>
      </c>
      <c r="G287" t="n">
        <v>0.77</v>
      </c>
      <c r="H287" t="inlineStr">
        <is>
          <t>GL-SL-005</t>
        </is>
      </c>
      <c r="I287" t="n">
        <v>7</v>
      </c>
      <c r="J287" t="n">
        <v>9.1</v>
      </c>
      <c r="K287" t="n">
        <v>-0.48</v>
      </c>
      <c r="L287" t="n">
        <v>-0.998</v>
      </c>
      <c r="M287" t="n">
        <v>0.367</v>
      </c>
      <c r="N287">
        <f>ROUND(J287*F287*G287+K287*G287+L287*F287+M287,3)</f>
        <v/>
      </c>
      <c r="O287">
        <f>AND(N287&gt;=1.4,N287&lt;=13)</f>
        <v/>
      </c>
      <c r="P287">
        <f>IF(OR(N287&lt;1.4,N287&gt;13),"",IF(G287*1000&lt;=1170,IF(N287&lt;1.8,"1014",IF(N287&lt;2.9,"1018",IF(N287&lt;3.8,"1029",IF(N287&lt;5,"1038",IF(N287&lt;7,"1050",IF(N287&lt;9,"1070",IF(N287&lt;11,"1090","1110"))))))),IF(G287*1000&lt;=1570,IF(N287&lt;1.8,"",IF(N287&lt;2.9,"2018",IF(N287&lt;3.8,"2029",IF(N287&lt;5,"2038",IF(N287&lt;7,"2050",IF(N287&lt;9,"2070",IF(N287&lt;11,"2090","2110"))))))),IF(G287*1000&lt;=1700,IF(N287&lt;1.8,"",IF(N287&lt;2.9,"3018",IF(N287&lt;3.8,"3029",IF(N287&lt;5,"3038",IF(N287&lt;7,"3050",IF(N287&lt;9,"3070",IF(N287&lt;11,"3090","3110"))))))),""))))</f>
        <v/>
      </c>
      <c r="Q287">
        <f>AND(O287=TRUE,P287&lt;&gt;"")</f>
        <v/>
      </c>
      <c r="R287">
        <f>IF(G287*1000&lt;750,"なし","あり")</f>
        <v/>
      </c>
      <c r="S287">
        <f>IF(AND(O287=TRUE,Q287=TRUE),"設定可","BLOCK")</f>
        <v/>
      </c>
      <c r="T287" t="inlineStr">
        <is>
          <t>商品カタログ P194</t>
        </is>
      </c>
      <c r="U287" t="inlineStr">
        <is>
          <t>https://webcatalog.lixil.co.jp/iportal/CatalogDetail.do?catalogID=15191910000&amp;categoryID=1630000&amp;designID=newinter&amp;method=initial_screen&amp;position=18&amp;type=mc&amp;volumeID=LXL13001</t>
        </is>
      </c>
    </row>
    <row r="288">
      <c r="A288" t="inlineStr">
        <is>
          <t>WG-SL-00285</t>
        </is>
      </c>
      <c r="B288" t="inlineStr">
        <is>
          <t>SZ-SL-000977</t>
        </is>
      </c>
      <c r="C288" t="inlineStr">
        <is>
          <t>WT-SL-MENKOSHI-AGE-FS</t>
        </is>
      </c>
      <c r="D288" t="inlineStr">
        <is>
          <t>SP-SL-AGE-GRILLE-IGETA</t>
        </is>
      </c>
      <c r="E288" t="inlineStr">
        <is>
          <t>06007</t>
        </is>
      </c>
      <c r="F288" t="n">
        <v>0.64</v>
      </c>
      <c r="G288" t="n">
        <v>0.77</v>
      </c>
      <c r="H288" t="inlineStr">
        <is>
          <t>GL-SL-006</t>
        </is>
      </c>
      <c r="I288" t="n">
        <v>8</v>
      </c>
      <c r="J288" t="n">
        <v>10.4</v>
      </c>
      <c r="K288" t="n">
        <v>-0.605</v>
      </c>
      <c r="L288" t="n">
        <v>-1.332</v>
      </c>
      <c r="M288" t="n">
        <v>0.399</v>
      </c>
      <c r="N288">
        <f>ROUND(J288*F288*G288+K288*G288+L288*F288+M288,3)</f>
        <v/>
      </c>
      <c r="O288">
        <f>AND(N288&gt;=1.4,N288&lt;=13)</f>
        <v/>
      </c>
      <c r="P288">
        <f>IF(OR(N288&lt;1.4,N288&gt;13),"",IF(G288*1000&lt;=1170,IF(N288&lt;1.8,"1014",IF(N288&lt;2.9,"1018",IF(N288&lt;3.8,"1029",IF(N288&lt;5,"1038",IF(N288&lt;7,"1050",IF(N288&lt;9,"1070",IF(N288&lt;11,"1090","1110"))))))),IF(G288*1000&lt;=1570,IF(N288&lt;1.8,"",IF(N288&lt;2.9,"2018",IF(N288&lt;3.8,"2029",IF(N288&lt;5,"2038",IF(N288&lt;7,"2050",IF(N288&lt;9,"2070",IF(N288&lt;11,"2090","2110"))))))),IF(G288*1000&lt;=1700,IF(N288&lt;1.8,"",IF(N288&lt;2.9,"3018",IF(N288&lt;3.8,"3029",IF(N288&lt;5,"3038",IF(N288&lt;7,"3050",IF(N288&lt;9,"3070",IF(N288&lt;11,"3090","3110"))))))),""))))</f>
        <v/>
      </c>
      <c r="Q288">
        <f>AND(O288=TRUE,P288&lt;&gt;"")</f>
        <v/>
      </c>
      <c r="R288">
        <f>IF(G288*1000&lt;750,"なし","あり")</f>
        <v/>
      </c>
      <c r="S288">
        <f>IF(AND(O288=TRUE,Q288=TRUE),"設定可","BLOCK")</f>
        <v/>
      </c>
      <c r="T288" t="inlineStr">
        <is>
          <t>商品カタログ P194</t>
        </is>
      </c>
      <c r="U288" t="inlineStr">
        <is>
          <t>https://webcatalog.lixil.co.jp/iportal/CatalogDetail.do?catalogID=15191910000&amp;categoryID=1630000&amp;designID=newinter&amp;method=initial_screen&amp;position=18&amp;type=mc&amp;volumeID=LXL13001</t>
        </is>
      </c>
    </row>
    <row r="289">
      <c r="A289" t="inlineStr">
        <is>
          <t>WG-SL-00286</t>
        </is>
      </c>
      <c r="B289" t="inlineStr">
        <is>
          <t>SZ-SL-000977</t>
        </is>
      </c>
      <c r="C289" t="inlineStr">
        <is>
          <t>WT-SL-MENKOSHI-AGE-FS</t>
        </is>
      </c>
      <c r="D289" t="inlineStr">
        <is>
          <t>SP-SL-AGE-GRILLE-IGETA</t>
        </is>
      </c>
      <c r="E289" t="inlineStr">
        <is>
          <t>06007</t>
        </is>
      </c>
      <c r="F289" t="n">
        <v>0.64</v>
      </c>
      <c r="G289" t="n">
        <v>0.77</v>
      </c>
      <c r="H289" t="inlineStr">
        <is>
          <t>GL-SL-007</t>
        </is>
      </c>
      <c r="I289" t="n">
        <v>6</v>
      </c>
      <c r="J289" t="n">
        <v>7.8</v>
      </c>
      <c r="K289" t="n">
        <v>-0.355</v>
      </c>
      <c r="L289" t="n">
        <v>-0.664</v>
      </c>
      <c r="M289" t="n">
        <v>0.335</v>
      </c>
      <c r="N289">
        <f>ROUND(J289*F289*G289+K289*G289+L289*F289+M289,3)</f>
        <v/>
      </c>
      <c r="O289">
        <f>AND(N289&gt;=1.4,N289&lt;=13)</f>
        <v/>
      </c>
      <c r="P289">
        <f>IF(OR(N289&lt;1.4,N289&gt;13),"",IF(G289*1000&lt;=1170,IF(N289&lt;1.8,"1014",IF(N289&lt;2.9,"1018",IF(N289&lt;3.8,"1029",IF(N289&lt;5,"1038",IF(N289&lt;7,"1050",IF(N289&lt;9,"1070",IF(N289&lt;11,"1090","1110"))))))),IF(G289*1000&lt;=1570,IF(N289&lt;1.8,"",IF(N289&lt;2.9,"2018",IF(N289&lt;3.8,"2029",IF(N289&lt;5,"2038",IF(N289&lt;7,"2050",IF(N289&lt;9,"2070",IF(N289&lt;11,"2090","2110"))))))),IF(G289*1000&lt;=1700,IF(N289&lt;1.8,"",IF(N289&lt;2.9,"3018",IF(N289&lt;3.8,"3029",IF(N289&lt;5,"3038",IF(N289&lt;7,"3050",IF(N289&lt;9,"3070",IF(N289&lt;11,"3090","3110"))))))),""))))</f>
        <v/>
      </c>
      <c r="Q289">
        <f>AND(O289=TRUE,P289&lt;&gt;"")</f>
        <v/>
      </c>
      <c r="R289">
        <f>IF(G289*1000&lt;750,"なし","あり")</f>
        <v/>
      </c>
      <c r="S289">
        <f>IF(AND(O289=TRUE,Q289=TRUE),"設定可","BLOCK")</f>
        <v/>
      </c>
      <c r="T289" t="inlineStr">
        <is>
          <t>商品カタログ P194</t>
        </is>
      </c>
      <c r="U289" t="inlineStr">
        <is>
          <t>https://webcatalog.lixil.co.jp/iportal/CatalogDetail.do?catalogID=15191910000&amp;categoryID=1630000&amp;designID=newinter&amp;method=initial_screen&amp;position=18&amp;type=mc&amp;volumeID=LXL13001</t>
        </is>
      </c>
    </row>
    <row r="290">
      <c r="A290" t="inlineStr">
        <is>
          <t>WG-SL-00287</t>
        </is>
      </c>
      <c r="B290" t="inlineStr">
        <is>
          <t>SZ-SL-000977</t>
        </is>
      </c>
      <c r="C290" t="inlineStr">
        <is>
          <t>WT-SL-MENKOSHI-AGE-FS</t>
        </is>
      </c>
      <c r="D290" t="inlineStr">
        <is>
          <t>SP-SL-AGE-GRILLE-IGETA</t>
        </is>
      </c>
      <c r="E290" t="inlineStr">
        <is>
          <t>06007</t>
        </is>
      </c>
      <c r="F290" t="n">
        <v>0.64</v>
      </c>
      <c r="G290" t="n">
        <v>0.77</v>
      </c>
      <c r="H290" t="inlineStr">
        <is>
          <t>GL-SL-008</t>
        </is>
      </c>
      <c r="I290" t="n">
        <v>7</v>
      </c>
      <c r="J290" t="n">
        <v>9.1</v>
      </c>
      <c r="K290" t="n">
        <v>-0.48</v>
      </c>
      <c r="L290" t="n">
        <v>-0.998</v>
      </c>
      <c r="M290" t="n">
        <v>0.367</v>
      </c>
      <c r="N290">
        <f>ROUND(J290*F290*G290+K290*G290+L290*F290+M290,3)</f>
        <v/>
      </c>
      <c r="O290">
        <f>AND(N290&gt;=1.4,N290&lt;=13)</f>
        <v/>
      </c>
      <c r="P290">
        <f>IF(OR(N290&lt;1.4,N290&gt;13),"",IF(G290*1000&lt;=1170,IF(N290&lt;1.8,"1014",IF(N290&lt;2.9,"1018",IF(N290&lt;3.8,"1029",IF(N290&lt;5,"1038",IF(N290&lt;7,"1050",IF(N290&lt;9,"1070",IF(N290&lt;11,"1090","1110"))))))),IF(G290*1000&lt;=1570,IF(N290&lt;1.8,"",IF(N290&lt;2.9,"2018",IF(N290&lt;3.8,"2029",IF(N290&lt;5,"2038",IF(N290&lt;7,"2050",IF(N290&lt;9,"2070",IF(N290&lt;11,"2090","2110"))))))),IF(G290*1000&lt;=1700,IF(N290&lt;1.8,"",IF(N290&lt;2.9,"3018",IF(N290&lt;3.8,"3029",IF(N290&lt;5,"3038",IF(N290&lt;7,"3050",IF(N290&lt;9,"3070",IF(N290&lt;11,"3090","3110"))))))),""))))</f>
        <v/>
      </c>
      <c r="Q290">
        <f>AND(O290=TRUE,P290&lt;&gt;"")</f>
        <v/>
      </c>
      <c r="R290">
        <f>IF(G290*1000&lt;750,"なし","あり")</f>
        <v/>
      </c>
      <c r="S290">
        <f>IF(AND(O290=TRUE,Q290=TRUE),"設定可","BLOCK")</f>
        <v/>
      </c>
      <c r="T290" t="inlineStr">
        <is>
          <t>商品カタログ P194</t>
        </is>
      </c>
      <c r="U290" t="inlineStr">
        <is>
          <t>https://webcatalog.lixil.co.jp/iportal/CatalogDetail.do?catalogID=15191910000&amp;categoryID=1630000&amp;designID=newinter&amp;method=initial_screen&amp;position=18&amp;type=mc&amp;volumeID=LXL13001</t>
        </is>
      </c>
    </row>
    <row r="291">
      <c r="A291" t="inlineStr">
        <is>
          <t>WG-SL-00288</t>
        </is>
      </c>
      <c r="B291" t="inlineStr">
        <is>
          <t>SZ-SL-000977</t>
        </is>
      </c>
      <c r="C291" t="inlineStr">
        <is>
          <t>WT-SL-MENKOSHI-AGE-FS</t>
        </is>
      </c>
      <c r="D291" t="inlineStr">
        <is>
          <t>SP-SL-AGE-GRILLE-IGETA</t>
        </is>
      </c>
      <c r="E291" t="inlineStr">
        <is>
          <t>06007</t>
        </is>
      </c>
      <c r="F291" t="n">
        <v>0.64</v>
      </c>
      <c r="G291" t="n">
        <v>0.77</v>
      </c>
      <c r="H291" t="inlineStr">
        <is>
          <t>GL-SL-009</t>
        </is>
      </c>
      <c r="I291" t="n">
        <v>8</v>
      </c>
      <c r="J291" t="n">
        <v>10.4</v>
      </c>
      <c r="K291" t="n">
        <v>-0.605</v>
      </c>
      <c r="L291" t="n">
        <v>-1.332</v>
      </c>
      <c r="M291" t="n">
        <v>0.399</v>
      </c>
      <c r="N291">
        <f>ROUND(J291*F291*G291+K291*G291+L291*F291+M291,3)</f>
        <v/>
      </c>
      <c r="O291">
        <f>AND(N291&gt;=1.4,N291&lt;=13)</f>
        <v/>
      </c>
      <c r="P291">
        <f>IF(OR(N291&lt;1.4,N291&gt;13),"",IF(G291*1000&lt;=1170,IF(N291&lt;1.8,"1014",IF(N291&lt;2.9,"1018",IF(N291&lt;3.8,"1029",IF(N291&lt;5,"1038",IF(N291&lt;7,"1050",IF(N291&lt;9,"1070",IF(N291&lt;11,"1090","1110"))))))),IF(G291*1000&lt;=1570,IF(N291&lt;1.8,"",IF(N291&lt;2.9,"2018",IF(N291&lt;3.8,"2029",IF(N291&lt;5,"2038",IF(N291&lt;7,"2050",IF(N291&lt;9,"2070",IF(N291&lt;11,"2090","2110"))))))),IF(G291*1000&lt;=1700,IF(N291&lt;1.8,"",IF(N291&lt;2.9,"3018",IF(N291&lt;3.8,"3029",IF(N291&lt;5,"3038",IF(N291&lt;7,"3050",IF(N291&lt;9,"3070",IF(N291&lt;11,"3090","3110"))))))),""))))</f>
        <v/>
      </c>
      <c r="Q291">
        <f>AND(O291=TRUE,P291&lt;&gt;"")</f>
        <v/>
      </c>
      <c r="R291">
        <f>IF(G291*1000&lt;750,"なし","あり")</f>
        <v/>
      </c>
      <c r="S291">
        <f>IF(AND(O291=TRUE,Q291=TRUE),"設定可","BLOCK")</f>
        <v/>
      </c>
      <c r="T291" t="inlineStr">
        <is>
          <t>商品カタログ P194</t>
        </is>
      </c>
      <c r="U291" t="inlineStr">
        <is>
          <t>https://webcatalog.lixil.co.jp/iportal/CatalogDetail.do?catalogID=15191910000&amp;categoryID=1630000&amp;designID=newinter&amp;method=initial_screen&amp;position=18&amp;type=mc&amp;volumeID=LXL13001</t>
        </is>
      </c>
    </row>
    <row r="292">
      <c r="A292" t="inlineStr">
        <is>
          <t>WG-SL-00289</t>
        </is>
      </c>
      <c r="B292" t="inlineStr">
        <is>
          <t>SZ-SL-000978</t>
        </is>
      </c>
      <c r="C292" t="inlineStr">
        <is>
          <t>WT-SL-MENKOSHI-AGE-FS</t>
        </is>
      </c>
      <c r="D292" t="inlineStr">
        <is>
          <t>SP-SL-AGE-GRILLE-IGETA</t>
        </is>
      </c>
      <c r="E292" t="inlineStr">
        <is>
          <t>06907</t>
        </is>
      </c>
      <c r="F292" t="n">
        <v>0.73</v>
      </c>
      <c r="G292" t="n">
        <v>0.77</v>
      </c>
      <c r="H292" t="inlineStr">
        <is>
          <t>GL-SL-001</t>
        </is>
      </c>
      <c r="I292" t="n">
        <v>6</v>
      </c>
      <c r="J292" t="n">
        <v>7.8</v>
      </c>
      <c r="K292" t="n">
        <v>-0.355</v>
      </c>
      <c r="L292" t="n">
        <v>-0.664</v>
      </c>
      <c r="M292" t="n">
        <v>0.335</v>
      </c>
      <c r="N292">
        <f>ROUND(J292*F292*G292+K292*G292+L292*F292+M292,3)</f>
        <v/>
      </c>
      <c r="O292">
        <f>AND(N292&gt;=1.4,N292&lt;=13)</f>
        <v/>
      </c>
      <c r="P292">
        <f>IF(OR(N292&lt;1.4,N292&gt;13),"",IF(G292*1000&lt;=1170,IF(N292&lt;1.8,"1014",IF(N292&lt;2.9,"1018",IF(N292&lt;3.8,"1029",IF(N292&lt;5,"1038",IF(N292&lt;7,"1050",IF(N292&lt;9,"1070",IF(N292&lt;11,"1090","1110"))))))),IF(G292*1000&lt;=1570,IF(N292&lt;1.8,"",IF(N292&lt;2.9,"2018",IF(N292&lt;3.8,"2029",IF(N292&lt;5,"2038",IF(N292&lt;7,"2050",IF(N292&lt;9,"2070",IF(N292&lt;11,"2090","2110"))))))),IF(G292*1000&lt;=1700,IF(N292&lt;1.8,"",IF(N292&lt;2.9,"3018",IF(N292&lt;3.8,"3029",IF(N292&lt;5,"3038",IF(N292&lt;7,"3050",IF(N292&lt;9,"3070",IF(N292&lt;11,"3090","3110"))))))),""))))</f>
        <v/>
      </c>
      <c r="Q292">
        <f>AND(O292=TRUE,P292&lt;&gt;"")</f>
        <v/>
      </c>
      <c r="R292">
        <f>IF(G292*1000&lt;750,"なし","あり")</f>
        <v/>
      </c>
      <c r="S292">
        <f>IF(AND(O292=TRUE,Q292=TRUE),"設定可","BLOCK")</f>
        <v/>
      </c>
      <c r="T292" t="inlineStr">
        <is>
          <t>商品カタログ P194</t>
        </is>
      </c>
      <c r="U292" t="inlineStr">
        <is>
          <t>https://webcatalog.lixil.co.jp/iportal/CatalogDetail.do?catalogID=15191910000&amp;categoryID=1630000&amp;designID=newinter&amp;method=initial_screen&amp;position=18&amp;type=mc&amp;volumeID=LXL13001</t>
        </is>
      </c>
    </row>
    <row r="293">
      <c r="A293" t="inlineStr">
        <is>
          <t>WG-SL-00290</t>
        </is>
      </c>
      <c r="B293" t="inlineStr">
        <is>
          <t>SZ-SL-000978</t>
        </is>
      </c>
      <c r="C293" t="inlineStr">
        <is>
          <t>WT-SL-MENKOSHI-AGE-FS</t>
        </is>
      </c>
      <c r="D293" t="inlineStr">
        <is>
          <t>SP-SL-AGE-GRILLE-IGETA</t>
        </is>
      </c>
      <c r="E293" t="inlineStr">
        <is>
          <t>06907</t>
        </is>
      </c>
      <c r="F293" t="n">
        <v>0.73</v>
      </c>
      <c r="G293" t="n">
        <v>0.77</v>
      </c>
      <c r="H293" t="inlineStr">
        <is>
          <t>GL-SL-002</t>
        </is>
      </c>
      <c r="I293" t="n">
        <v>7</v>
      </c>
      <c r="J293" t="n">
        <v>9.1</v>
      </c>
      <c r="K293" t="n">
        <v>-0.48</v>
      </c>
      <c r="L293" t="n">
        <v>-0.998</v>
      </c>
      <c r="M293" t="n">
        <v>0.367</v>
      </c>
      <c r="N293">
        <f>ROUND(J293*F293*G293+K293*G293+L293*F293+M293,3)</f>
        <v/>
      </c>
      <c r="O293">
        <f>AND(N293&gt;=1.4,N293&lt;=13)</f>
        <v/>
      </c>
      <c r="P293">
        <f>IF(OR(N293&lt;1.4,N293&gt;13),"",IF(G293*1000&lt;=1170,IF(N293&lt;1.8,"1014",IF(N293&lt;2.9,"1018",IF(N293&lt;3.8,"1029",IF(N293&lt;5,"1038",IF(N293&lt;7,"1050",IF(N293&lt;9,"1070",IF(N293&lt;11,"1090","1110"))))))),IF(G293*1000&lt;=1570,IF(N293&lt;1.8,"",IF(N293&lt;2.9,"2018",IF(N293&lt;3.8,"2029",IF(N293&lt;5,"2038",IF(N293&lt;7,"2050",IF(N293&lt;9,"2070",IF(N293&lt;11,"2090","2110"))))))),IF(G293*1000&lt;=1700,IF(N293&lt;1.8,"",IF(N293&lt;2.9,"3018",IF(N293&lt;3.8,"3029",IF(N293&lt;5,"3038",IF(N293&lt;7,"3050",IF(N293&lt;9,"3070",IF(N293&lt;11,"3090","3110"))))))),""))))</f>
        <v/>
      </c>
      <c r="Q293">
        <f>AND(O293=TRUE,P293&lt;&gt;"")</f>
        <v/>
      </c>
      <c r="R293">
        <f>IF(G293*1000&lt;750,"なし","あり")</f>
        <v/>
      </c>
      <c r="S293">
        <f>IF(AND(O293=TRUE,Q293=TRUE),"設定可","BLOCK")</f>
        <v/>
      </c>
      <c r="T293" t="inlineStr">
        <is>
          <t>商品カタログ P194</t>
        </is>
      </c>
      <c r="U293" t="inlineStr">
        <is>
          <t>https://webcatalog.lixil.co.jp/iportal/CatalogDetail.do?catalogID=15191910000&amp;categoryID=1630000&amp;designID=newinter&amp;method=initial_screen&amp;position=18&amp;type=mc&amp;volumeID=LXL13001</t>
        </is>
      </c>
    </row>
    <row r="294">
      <c r="A294" t="inlineStr">
        <is>
          <t>WG-SL-00291</t>
        </is>
      </c>
      <c r="B294" t="inlineStr">
        <is>
          <t>SZ-SL-000978</t>
        </is>
      </c>
      <c r="C294" t="inlineStr">
        <is>
          <t>WT-SL-MENKOSHI-AGE-FS</t>
        </is>
      </c>
      <c r="D294" t="inlineStr">
        <is>
          <t>SP-SL-AGE-GRILLE-IGETA</t>
        </is>
      </c>
      <c r="E294" t="inlineStr">
        <is>
          <t>06907</t>
        </is>
      </c>
      <c r="F294" t="n">
        <v>0.73</v>
      </c>
      <c r="G294" t="n">
        <v>0.77</v>
      </c>
      <c r="H294" t="inlineStr">
        <is>
          <t>GL-SL-003</t>
        </is>
      </c>
      <c r="I294" t="n">
        <v>8</v>
      </c>
      <c r="J294" t="n">
        <v>10.4</v>
      </c>
      <c r="K294" t="n">
        <v>-0.605</v>
      </c>
      <c r="L294" t="n">
        <v>-1.332</v>
      </c>
      <c r="M294" t="n">
        <v>0.399</v>
      </c>
      <c r="N294">
        <f>ROUND(J294*F294*G294+K294*G294+L294*F294+M294,3)</f>
        <v/>
      </c>
      <c r="O294">
        <f>AND(N294&gt;=1.4,N294&lt;=13)</f>
        <v/>
      </c>
      <c r="P294">
        <f>IF(OR(N294&lt;1.4,N294&gt;13),"",IF(G294*1000&lt;=1170,IF(N294&lt;1.8,"1014",IF(N294&lt;2.9,"1018",IF(N294&lt;3.8,"1029",IF(N294&lt;5,"1038",IF(N294&lt;7,"1050",IF(N294&lt;9,"1070",IF(N294&lt;11,"1090","1110"))))))),IF(G294*1000&lt;=1570,IF(N294&lt;1.8,"",IF(N294&lt;2.9,"2018",IF(N294&lt;3.8,"2029",IF(N294&lt;5,"2038",IF(N294&lt;7,"2050",IF(N294&lt;9,"2070",IF(N294&lt;11,"2090","2110"))))))),IF(G294*1000&lt;=1700,IF(N294&lt;1.8,"",IF(N294&lt;2.9,"3018",IF(N294&lt;3.8,"3029",IF(N294&lt;5,"3038",IF(N294&lt;7,"3050",IF(N294&lt;9,"3070",IF(N294&lt;11,"3090","3110"))))))),""))))</f>
        <v/>
      </c>
      <c r="Q294">
        <f>AND(O294=TRUE,P294&lt;&gt;"")</f>
        <v/>
      </c>
      <c r="R294">
        <f>IF(G294*1000&lt;750,"なし","あり")</f>
        <v/>
      </c>
      <c r="S294">
        <f>IF(AND(O294=TRUE,Q294=TRUE),"設定可","BLOCK")</f>
        <v/>
      </c>
      <c r="T294" t="inlineStr">
        <is>
          <t>商品カタログ P194</t>
        </is>
      </c>
      <c r="U294" t="inlineStr">
        <is>
          <t>https://webcatalog.lixil.co.jp/iportal/CatalogDetail.do?catalogID=15191910000&amp;categoryID=1630000&amp;designID=newinter&amp;method=initial_screen&amp;position=18&amp;type=mc&amp;volumeID=LXL13001</t>
        </is>
      </c>
    </row>
    <row r="295">
      <c r="A295" t="inlineStr">
        <is>
          <t>WG-SL-00292</t>
        </is>
      </c>
      <c r="B295" t="inlineStr">
        <is>
          <t>SZ-SL-000978</t>
        </is>
      </c>
      <c r="C295" t="inlineStr">
        <is>
          <t>WT-SL-MENKOSHI-AGE-FS</t>
        </is>
      </c>
      <c r="D295" t="inlineStr">
        <is>
          <t>SP-SL-AGE-GRILLE-IGETA</t>
        </is>
      </c>
      <c r="E295" t="inlineStr">
        <is>
          <t>06907</t>
        </is>
      </c>
      <c r="F295" t="n">
        <v>0.73</v>
      </c>
      <c r="G295" t="n">
        <v>0.77</v>
      </c>
      <c r="H295" t="inlineStr">
        <is>
          <t>GL-SL-004</t>
        </is>
      </c>
      <c r="I295" t="n">
        <v>6</v>
      </c>
      <c r="J295" t="n">
        <v>7.8</v>
      </c>
      <c r="K295" t="n">
        <v>-0.355</v>
      </c>
      <c r="L295" t="n">
        <v>-0.664</v>
      </c>
      <c r="M295" t="n">
        <v>0.335</v>
      </c>
      <c r="N295">
        <f>ROUND(J295*F295*G295+K295*G295+L295*F295+M295,3)</f>
        <v/>
      </c>
      <c r="O295">
        <f>AND(N295&gt;=1.4,N295&lt;=13)</f>
        <v/>
      </c>
      <c r="P295">
        <f>IF(OR(N295&lt;1.4,N295&gt;13),"",IF(G295*1000&lt;=1170,IF(N295&lt;1.8,"1014",IF(N295&lt;2.9,"1018",IF(N295&lt;3.8,"1029",IF(N295&lt;5,"1038",IF(N295&lt;7,"1050",IF(N295&lt;9,"1070",IF(N295&lt;11,"1090","1110"))))))),IF(G295*1000&lt;=1570,IF(N295&lt;1.8,"",IF(N295&lt;2.9,"2018",IF(N295&lt;3.8,"2029",IF(N295&lt;5,"2038",IF(N295&lt;7,"2050",IF(N295&lt;9,"2070",IF(N295&lt;11,"2090","2110"))))))),IF(G295*1000&lt;=1700,IF(N295&lt;1.8,"",IF(N295&lt;2.9,"3018",IF(N295&lt;3.8,"3029",IF(N295&lt;5,"3038",IF(N295&lt;7,"3050",IF(N295&lt;9,"3070",IF(N295&lt;11,"3090","3110"))))))),""))))</f>
        <v/>
      </c>
      <c r="Q295">
        <f>AND(O295=TRUE,P295&lt;&gt;"")</f>
        <v/>
      </c>
      <c r="R295">
        <f>IF(G295*1000&lt;750,"なし","あり")</f>
        <v/>
      </c>
      <c r="S295">
        <f>IF(AND(O295=TRUE,Q295=TRUE),"設定可","BLOCK")</f>
        <v/>
      </c>
      <c r="T295" t="inlineStr">
        <is>
          <t>商品カタログ P194</t>
        </is>
      </c>
      <c r="U295" t="inlineStr">
        <is>
          <t>https://webcatalog.lixil.co.jp/iportal/CatalogDetail.do?catalogID=15191910000&amp;categoryID=1630000&amp;designID=newinter&amp;method=initial_screen&amp;position=18&amp;type=mc&amp;volumeID=LXL13001</t>
        </is>
      </c>
    </row>
    <row r="296">
      <c r="A296" t="inlineStr">
        <is>
          <t>WG-SL-00293</t>
        </is>
      </c>
      <c r="B296" t="inlineStr">
        <is>
          <t>SZ-SL-000978</t>
        </is>
      </c>
      <c r="C296" t="inlineStr">
        <is>
          <t>WT-SL-MENKOSHI-AGE-FS</t>
        </is>
      </c>
      <c r="D296" t="inlineStr">
        <is>
          <t>SP-SL-AGE-GRILLE-IGETA</t>
        </is>
      </c>
      <c r="E296" t="inlineStr">
        <is>
          <t>06907</t>
        </is>
      </c>
      <c r="F296" t="n">
        <v>0.73</v>
      </c>
      <c r="G296" t="n">
        <v>0.77</v>
      </c>
      <c r="H296" t="inlineStr">
        <is>
          <t>GL-SL-005</t>
        </is>
      </c>
      <c r="I296" t="n">
        <v>7</v>
      </c>
      <c r="J296" t="n">
        <v>9.1</v>
      </c>
      <c r="K296" t="n">
        <v>-0.48</v>
      </c>
      <c r="L296" t="n">
        <v>-0.998</v>
      </c>
      <c r="M296" t="n">
        <v>0.367</v>
      </c>
      <c r="N296">
        <f>ROUND(J296*F296*G296+K296*G296+L296*F296+M296,3)</f>
        <v/>
      </c>
      <c r="O296">
        <f>AND(N296&gt;=1.4,N296&lt;=13)</f>
        <v/>
      </c>
      <c r="P296">
        <f>IF(OR(N296&lt;1.4,N296&gt;13),"",IF(G296*1000&lt;=1170,IF(N296&lt;1.8,"1014",IF(N296&lt;2.9,"1018",IF(N296&lt;3.8,"1029",IF(N296&lt;5,"1038",IF(N296&lt;7,"1050",IF(N296&lt;9,"1070",IF(N296&lt;11,"1090","1110"))))))),IF(G296*1000&lt;=1570,IF(N296&lt;1.8,"",IF(N296&lt;2.9,"2018",IF(N296&lt;3.8,"2029",IF(N296&lt;5,"2038",IF(N296&lt;7,"2050",IF(N296&lt;9,"2070",IF(N296&lt;11,"2090","2110"))))))),IF(G296*1000&lt;=1700,IF(N296&lt;1.8,"",IF(N296&lt;2.9,"3018",IF(N296&lt;3.8,"3029",IF(N296&lt;5,"3038",IF(N296&lt;7,"3050",IF(N296&lt;9,"3070",IF(N296&lt;11,"3090","3110"))))))),""))))</f>
        <v/>
      </c>
      <c r="Q296">
        <f>AND(O296=TRUE,P296&lt;&gt;"")</f>
        <v/>
      </c>
      <c r="R296">
        <f>IF(G296*1000&lt;750,"なし","あり")</f>
        <v/>
      </c>
      <c r="S296">
        <f>IF(AND(O296=TRUE,Q296=TRUE),"設定可","BLOCK")</f>
        <v/>
      </c>
      <c r="T296" t="inlineStr">
        <is>
          <t>商品カタログ P194</t>
        </is>
      </c>
      <c r="U296" t="inlineStr">
        <is>
          <t>https://webcatalog.lixil.co.jp/iportal/CatalogDetail.do?catalogID=15191910000&amp;categoryID=1630000&amp;designID=newinter&amp;method=initial_screen&amp;position=18&amp;type=mc&amp;volumeID=LXL13001</t>
        </is>
      </c>
    </row>
    <row r="297">
      <c r="A297" t="inlineStr">
        <is>
          <t>WG-SL-00294</t>
        </is>
      </c>
      <c r="B297" t="inlineStr">
        <is>
          <t>SZ-SL-000978</t>
        </is>
      </c>
      <c r="C297" t="inlineStr">
        <is>
          <t>WT-SL-MENKOSHI-AGE-FS</t>
        </is>
      </c>
      <c r="D297" t="inlineStr">
        <is>
          <t>SP-SL-AGE-GRILLE-IGETA</t>
        </is>
      </c>
      <c r="E297" t="inlineStr">
        <is>
          <t>06907</t>
        </is>
      </c>
      <c r="F297" t="n">
        <v>0.73</v>
      </c>
      <c r="G297" t="n">
        <v>0.77</v>
      </c>
      <c r="H297" t="inlineStr">
        <is>
          <t>GL-SL-006</t>
        </is>
      </c>
      <c r="I297" t="n">
        <v>8</v>
      </c>
      <c r="J297" t="n">
        <v>10.4</v>
      </c>
      <c r="K297" t="n">
        <v>-0.605</v>
      </c>
      <c r="L297" t="n">
        <v>-1.332</v>
      </c>
      <c r="M297" t="n">
        <v>0.399</v>
      </c>
      <c r="N297">
        <f>ROUND(J297*F297*G297+K297*G297+L297*F297+M297,3)</f>
        <v/>
      </c>
      <c r="O297">
        <f>AND(N297&gt;=1.4,N297&lt;=13)</f>
        <v/>
      </c>
      <c r="P297">
        <f>IF(OR(N297&lt;1.4,N297&gt;13),"",IF(G297*1000&lt;=1170,IF(N297&lt;1.8,"1014",IF(N297&lt;2.9,"1018",IF(N297&lt;3.8,"1029",IF(N297&lt;5,"1038",IF(N297&lt;7,"1050",IF(N297&lt;9,"1070",IF(N297&lt;11,"1090","1110"))))))),IF(G297*1000&lt;=1570,IF(N297&lt;1.8,"",IF(N297&lt;2.9,"2018",IF(N297&lt;3.8,"2029",IF(N297&lt;5,"2038",IF(N297&lt;7,"2050",IF(N297&lt;9,"2070",IF(N297&lt;11,"2090","2110"))))))),IF(G297*1000&lt;=1700,IF(N297&lt;1.8,"",IF(N297&lt;2.9,"3018",IF(N297&lt;3.8,"3029",IF(N297&lt;5,"3038",IF(N297&lt;7,"3050",IF(N297&lt;9,"3070",IF(N297&lt;11,"3090","3110"))))))),""))))</f>
        <v/>
      </c>
      <c r="Q297">
        <f>AND(O297=TRUE,P297&lt;&gt;"")</f>
        <v/>
      </c>
      <c r="R297">
        <f>IF(G297*1000&lt;750,"なし","あり")</f>
        <v/>
      </c>
      <c r="S297">
        <f>IF(AND(O297=TRUE,Q297=TRUE),"設定可","BLOCK")</f>
        <v/>
      </c>
      <c r="T297" t="inlineStr">
        <is>
          <t>商品カタログ P194</t>
        </is>
      </c>
      <c r="U297" t="inlineStr">
        <is>
          <t>https://webcatalog.lixil.co.jp/iportal/CatalogDetail.do?catalogID=15191910000&amp;categoryID=1630000&amp;designID=newinter&amp;method=initial_screen&amp;position=18&amp;type=mc&amp;volumeID=LXL13001</t>
        </is>
      </c>
    </row>
    <row r="298">
      <c r="A298" t="inlineStr">
        <is>
          <t>WG-SL-00295</t>
        </is>
      </c>
      <c r="B298" t="inlineStr">
        <is>
          <t>SZ-SL-000978</t>
        </is>
      </c>
      <c r="C298" t="inlineStr">
        <is>
          <t>WT-SL-MENKOSHI-AGE-FS</t>
        </is>
      </c>
      <c r="D298" t="inlineStr">
        <is>
          <t>SP-SL-AGE-GRILLE-IGETA</t>
        </is>
      </c>
      <c r="E298" t="inlineStr">
        <is>
          <t>06907</t>
        </is>
      </c>
      <c r="F298" t="n">
        <v>0.73</v>
      </c>
      <c r="G298" t="n">
        <v>0.77</v>
      </c>
      <c r="H298" t="inlineStr">
        <is>
          <t>GL-SL-007</t>
        </is>
      </c>
      <c r="I298" t="n">
        <v>6</v>
      </c>
      <c r="J298" t="n">
        <v>7.8</v>
      </c>
      <c r="K298" t="n">
        <v>-0.355</v>
      </c>
      <c r="L298" t="n">
        <v>-0.664</v>
      </c>
      <c r="M298" t="n">
        <v>0.335</v>
      </c>
      <c r="N298">
        <f>ROUND(J298*F298*G298+K298*G298+L298*F298+M298,3)</f>
        <v/>
      </c>
      <c r="O298">
        <f>AND(N298&gt;=1.4,N298&lt;=13)</f>
        <v/>
      </c>
      <c r="P298">
        <f>IF(OR(N298&lt;1.4,N298&gt;13),"",IF(G298*1000&lt;=1170,IF(N298&lt;1.8,"1014",IF(N298&lt;2.9,"1018",IF(N298&lt;3.8,"1029",IF(N298&lt;5,"1038",IF(N298&lt;7,"1050",IF(N298&lt;9,"1070",IF(N298&lt;11,"1090","1110"))))))),IF(G298*1000&lt;=1570,IF(N298&lt;1.8,"",IF(N298&lt;2.9,"2018",IF(N298&lt;3.8,"2029",IF(N298&lt;5,"2038",IF(N298&lt;7,"2050",IF(N298&lt;9,"2070",IF(N298&lt;11,"2090","2110"))))))),IF(G298*1000&lt;=1700,IF(N298&lt;1.8,"",IF(N298&lt;2.9,"3018",IF(N298&lt;3.8,"3029",IF(N298&lt;5,"3038",IF(N298&lt;7,"3050",IF(N298&lt;9,"3070",IF(N298&lt;11,"3090","3110"))))))),""))))</f>
        <v/>
      </c>
      <c r="Q298">
        <f>AND(O298=TRUE,P298&lt;&gt;"")</f>
        <v/>
      </c>
      <c r="R298">
        <f>IF(G298*1000&lt;750,"なし","あり")</f>
        <v/>
      </c>
      <c r="S298">
        <f>IF(AND(O298=TRUE,Q298=TRUE),"設定可","BLOCK")</f>
        <v/>
      </c>
      <c r="T298" t="inlineStr">
        <is>
          <t>商品カタログ P194</t>
        </is>
      </c>
      <c r="U298" t="inlineStr">
        <is>
          <t>https://webcatalog.lixil.co.jp/iportal/CatalogDetail.do?catalogID=15191910000&amp;categoryID=1630000&amp;designID=newinter&amp;method=initial_screen&amp;position=18&amp;type=mc&amp;volumeID=LXL13001</t>
        </is>
      </c>
    </row>
    <row r="299">
      <c r="A299" t="inlineStr">
        <is>
          <t>WG-SL-00296</t>
        </is>
      </c>
      <c r="B299" t="inlineStr">
        <is>
          <t>SZ-SL-000978</t>
        </is>
      </c>
      <c r="C299" t="inlineStr">
        <is>
          <t>WT-SL-MENKOSHI-AGE-FS</t>
        </is>
      </c>
      <c r="D299" t="inlineStr">
        <is>
          <t>SP-SL-AGE-GRILLE-IGETA</t>
        </is>
      </c>
      <c r="E299" t="inlineStr">
        <is>
          <t>06907</t>
        </is>
      </c>
      <c r="F299" t="n">
        <v>0.73</v>
      </c>
      <c r="G299" t="n">
        <v>0.77</v>
      </c>
      <c r="H299" t="inlineStr">
        <is>
          <t>GL-SL-008</t>
        </is>
      </c>
      <c r="I299" t="n">
        <v>7</v>
      </c>
      <c r="J299" t="n">
        <v>9.1</v>
      </c>
      <c r="K299" t="n">
        <v>-0.48</v>
      </c>
      <c r="L299" t="n">
        <v>-0.998</v>
      </c>
      <c r="M299" t="n">
        <v>0.367</v>
      </c>
      <c r="N299">
        <f>ROUND(J299*F299*G299+K299*G299+L299*F299+M299,3)</f>
        <v/>
      </c>
      <c r="O299">
        <f>AND(N299&gt;=1.4,N299&lt;=13)</f>
        <v/>
      </c>
      <c r="P299">
        <f>IF(OR(N299&lt;1.4,N299&gt;13),"",IF(G299*1000&lt;=1170,IF(N299&lt;1.8,"1014",IF(N299&lt;2.9,"1018",IF(N299&lt;3.8,"1029",IF(N299&lt;5,"1038",IF(N299&lt;7,"1050",IF(N299&lt;9,"1070",IF(N299&lt;11,"1090","1110"))))))),IF(G299*1000&lt;=1570,IF(N299&lt;1.8,"",IF(N299&lt;2.9,"2018",IF(N299&lt;3.8,"2029",IF(N299&lt;5,"2038",IF(N299&lt;7,"2050",IF(N299&lt;9,"2070",IF(N299&lt;11,"2090","2110"))))))),IF(G299*1000&lt;=1700,IF(N299&lt;1.8,"",IF(N299&lt;2.9,"3018",IF(N299&lt;3.8,"3029",IF(N299&lt;5,"3038",IF(N299&lt;7,"3050",IF(N299&lt;9,"3070",IF(N299&lt;11,"3090","3110"))))))),""))))</f>
        <v/>
      </c>
      <c r="Q299">
        <f>AND(O299=TRUE,P299&lt;&gt;"")</f>
        <v/>
      </c>
      <c r="R299">
        <f>IF(G299*1000&lt;750,"なし","あり")</f>
        <v/>
      </c>
      <c r="S299">
        <f>IF(AND(O299=TRUE,Q299=TRUE),"設定可","BLOCK")</f>
        <v/>
      </c>
      <c r="T299" t="inlineStr">
        <is>
          <t>商品カタログ P194</t>
        </is>
      </c>
      <c r="U299" t="inlineStr">
        <is>
          <t>https://webcatalog.lixil.co.jp/iportal/CatalogDetail.do?catalogID=15191910000&amp;categoryID=1630000&amp;designID=newinter&amp;method=initial_screen&amp;position=18&amp;type=mc&amp;volumeID=LXL13001</t>
        </is>
      </c>
    </row>
    <row r="300">
      <c r="A300" t="inlineStr">
        <is>
          <t>WG-SL-00297</t>
        </is>
      </c>
      <c r="B300" t="inlineStr">
        <is>
          <t>SZ-SL-000978</t>
        </is>
      </c>
      <c r="C300" t="inlineStr">
        <is>
          <t>WT-SL-MENKOSHI-AGE-FS</t>
        </is>
      </c>
      <c r="D300" t="inlineStr">
        <is>
          <t>SP-SL-AGE-GRILLE-IGETA</t>
        </is>
      </c>
      <c r="E300" t="inlineStr">
        <is>
          <t>06907</t>
        </is>
      </c>
      <c r="F300" t="n">
        <v>0.73</v>
      </c>
      <c r="G300" t="n">
        <v>0.77</v>
      </c>
      <c r="H300" t="inlineStr">
        <is>
          <t>GL-SL-009</t>
        </is>
      </c>
      <c r="I300" t="n">
        <v>8</v>
      </c>
      <c r="J300" t="n">
        <v>10.4</v>
      </c>
      <c r="K300" t="n">
        <v>-0.605</v>
      </c>
      <c r="L300" t="n">
        <v>-1.332</v>
      </c>
      <c r="M300" t="n">
        <v>0.399</v>
      </c>
      <c r="N300">
        <f>ROUND(J300*F300*G300+K300*G300+L300*F300+M300,3)</f>
        <v/>
      </c>
      <c r="O300">
        <f>AND(N300&gt;=1.4,N300&lt;=13)</f>
        <v/>
      </c>
      <c r="P300">
        <f>IF(OR(N300&lt;1.4,N300&gt;13),"",IF(G300*1000&lt;=1170,IF(N300&lt;1.8,"1014",IF(N300&lt;2.9,"1018",IF(N300&lt;3.8,"1029",IF(N300&lt;5,"1038",IF(N300&lt;7,"1050",IF(N300&lt;9,"1070",IF(N300&lt;11,"1090","1110"))))))),IF(G300*1000&lt;=1570,IF(N300&lt;1.8,"",IF(N300&lt;2.9,"2018",IF(N300&lt;3.8,"2029",IF(N300&lt;5,"2038",IF(N300&lt;7,"2050",IF(N300&lt;9,"2070",IF(N300&lt;11,"2090","2110"))))))),IF(G300*1000&lt;=1700,IF(N300&lt;1.8,"",IF(N300&lt;2.9,"3018",IF(N300&lt;3.8,"3029",IF(N300&lt;5,"3038",IF(N300&lt;7,"3050",IF(N300&lt;9,"3070",IF(N300&lt;11,"3090","3110"))))))),""))))</f>
        <v/>
      </c>
      <c r="Q300">
        <f>AND(O300=TRUE,P300&lt;&gt;"")</f>
        <v/>
      </c>
      <c r="R300">
        <f>IF(G300*1000&lt;750,"なし","あり")</f>
        <v/>
      </c>
      <c r="S300">
        <f>IF(AND(O300=TRUE,Q300=TRUE),"設定可","BLOCK")</f>
        <v/>
      </c>
      <c r="T300" t="inlineStr">
        <is>
          <t>商品カタログ P194</t>
        </is>
      </c>
      <c r="U300" t="inlineStr">
        <is>
          <t>https://webcatalog.lixil.co.jp/iportal/CatalogDetail.do?catalogID=15191910000&amp;categoryID=1630000&amp;designID=newinter&amp;method=initial_screen&amp;position=18&amp;type=mc&amp;volumeID=LXL13001</t>
        </is>
      </c>
    </row>
    <row r="301">
      <c r="A301" t="inlineStr">
        <is>
          <t>WG-SL-00298</t>
        </is>
      </c>
      <c r="B301" t="inlineStr">
        <is>
          <t>SZ-SL-000979</t>
        </is>
      </c>
      <c r="C301" t="inlineStr">
        <is>
          <t>WT-SL-MENKOSHI-AGE-FS</t>
        </is>
      </c>
      <c r="D301" t="inlineStr">
        <is>
          <t>SP-SL-AGE-GRILLE-IGETA</t>
        </is>
      </c>
      <c r="E301" t="inlineStr">
        <is>
          <t>07407</t>
        </is>
      </c>
      <c r="F301" t="n">
        <v>0.78</v>
      </c>
      <c r="G301" t="n">
        <v>0.77</v>
      </c>
      <c r="H301" t="inlineStr">
        <is>
          <t>GL-SL-001</t>
        </is>
      </c>
      <c r="I301" t="n">
        <v>6</v>
      </c>
      <c r="J301" t="n">
        <v>7.8</v>
      </c>
      <c r="K301" t="n">
        <v>-0.355</v>
      </c>
      <c r="L301" t="n">
        <v>-0.664</v>
      </c>
      <c r="M301" t="n">
        <v>0.335</v>
      </c>
      <c r="N301">
        <f>ROUND(J301*F301*G301+K301*G301+L301*F301+M301,3)</f>
        <v/>
      </c>
      <c r="O301">
        <f>AND(N301&gt;=1.4,N301&lt;=13)</f>
        <v/>
      </c>
      <c r="P301">
        <f>IF(OR(N301&lt;1.4,N301&gt;13),"",IF(G301*1000&lt;=1170,IF(N301&lt;1.8,"1014",IF(N301&lt;2.9,"1018",IF(N301&lt;3.8,"1029",IF(N301&lt;5,"1038",IF(N301&lt;7,"1050",IF(N301&lt;9,"1070",IF(N301&lt;11,"1090","1110"))))))),IF(G301*1000&lt;=1570,IF(N301&lt;1.8,"",IF(N301&lt;2.9,"2018",IF(N301&lt;3.8,"2029",IF(N301&lt;5,"2038",IF(N301&lt;7,"2050",IF(N301&lt;9,"2070",IF(N301&lt;11,"2090","2110"))))))),IF(G301*1000&lt;=1700,IF(N301&lt;1.8,"",IF(N301&lt;2.9,"3018",IF(N301&lt;3.8,"3029",IF(N301&lt;5,"3038",IF(N301&lt;7,"3050",IF(N301&lt;9,"3070",IF(N301&lt;11,"3090","3110"))))))),""))))</f>
        <v/>
      </c>
      <c r="Q301">
        <f>AND(O301=TRUE,P301&lt;&gt;"")</f>
        <v/>
      </c>
      <c r="R301">
        <f>IF(G301*1000&lt;750,"なし","あり")</f>
        <v/>
      </c>
      <c r="S301">
        <f>IF(AND(O301=TRUE,Q301=TRUE),"設定可","BLOCK")</f>
        <v/>
      </c>
      <c r="T301" t="inlineStr">
        <is>
          <t>商品カタログ P194</t>
        </is>
      </c>
      <c r="U301" t="inlineStr">
        <is>
          <t>https://webcatalog.lixil.co.jp/iportal/CatalogDetail.do?catalogID=15191910000&amp;categoryID=1630000&amp;designID=newinter&amp;method=initial_screen&amp;position=18&amp;type=mc&amp;volumeID=LXL13001</t>
        </is>
      </c>
    </row>
    <row r="302">
      <c r="A302" t="inlineStr">
        <is>
          <t>WG-SL-00299</t>
        </is>
      </c>
      <c r="B302" t="inlineStr">
        <is>
          <t>SZ-SL-000979</t>
        </is>
      </c>
      <c r="C302" t="inlineStr">
        <is>
          <t>WT-SL-MENKOSHI-AGE-FS</t>
        </is>
      </c>
      <c r="D302" t="inlineStr">
        <is>
          <t>SP-SL-AGE-GRILLE-IGETA</t>
        </is>
      </c>
      <c r="E302" t="inlineStr">
        <is>
          <t>07407</t>
        </is>
      </c>
      <c r="F302" t="n">
        <v>0.78</v>
      </c>
      <c r="G302" t="n">
        <v>0.77</v>
      </c>
      <c r="H302" t="inlineStr">
        <is>
          <t>GL-SL-002</t>
        </is>
      </c>
      <c r="I302" t="n">
        <v>7</v>
      </c>
      <c r="J302" t="n">
        <v>9.1</v>
      </c>
      <c r="K302" t="n">
        <v>-0.48</v>
      </c>
      <c r="L302" t="n">
        <v>-0.998</v>
      </c>
      <c r="M302" t="n">
        <v>0.367</v>
      </c>
      <c r="N302">
        <f>ROUND(J302*F302*G302+K302*G302+L302*F302+M302,3)</f>
        <v/>
      </c>
      <c r="O302">
        <f>AND(N302&gt;=1.4,N302&lt;=13)</f>
        <v/>
      </c>
      <c r="P302">
        <f>IF(OR(N302&lt;1.4,N302&gt;13),"",IF(G302*1000&lt;=1170,IF(N302&lt;1.8,"1014",IF(N302&lt;2.9,"1018",IF(N302&lt;3.8,"1029",IF(N302&lt;5,"1038",IF(N302&lt;7,"1050",IF(N302&lt;9,"1070",IF(N302&lt;11,"1090","1110"))))))),IF(G302*1000&lt;=1570,IF(N302&lt;1.8,"",IF(N302&lt;2.9,"2018",IF(N302&lt;3.8,"2029",IF(N302&lt;5,"2038",IF(N302&lt;7,"2050",IF(N302&lt;9,"2070",IF(N302&lt;11,"2090","2110"))))))),IF(G302*1000&lt;=1700,IF(N302&lt;1.8,"",IF(N302&lt;2.9,"3018",IF(N302&lt;3.8,"3029",IF(N302&lt;5,"3038",IF(N302&lt;7,"3050",IF(N302&lt;9,"3070",IF(N302&lt;11,"3090","3110"))))))),""))))</f>
        <v/>
      </c>
      <c r="Q302">
        <f>AND(O302=TRUE,P302&lt;&gt;"")</f>
        <v/>
      </c>
      <c r="R302">
        <f>IF(G302*1000&lt;750,"なし","あり")</f>
        <v/>
      </c>
      <c r="S302">
        <f>IF(AND(O302=TRUE,Q302=TRUE),"設定可","BLOCK")</f>
        <v/>
      </c>
      <c r="T302" t="inlineStr">
        <is>
          <t>商品カタログ P194</t>
        </is>
      </c>
      <c r="U302" t="inlineStr">
        <is>
          <t>https://webcatalog.lixil.co.jp/iportal/CatalogDetail.do?catalogID=15191910000&amp;categoryID=1630000&amp;designID=newinter&amp;method=initial_screen&amp;position=18&amp;type=mc&amp;volumeID=LXL13001</t>
        </is>
      </c>
    </row>
    <row r="303">
      <c r="A303" t="inlineStr">
        <is>
          <t>WG-SL-00300</t>
        </is>
      </c>
      <c r="B303" t="inlineStr">
        <is>
          <t>SZ-SL-000979</t>
        </is>
      </c>
      <c r="C303" t="inlineStr">
        <is>
          <t>WT-SL-MENKOSHI-AGE-FS</t>
        </is>
      </c>
      <c r="D303" t="inlineStr">
        <is>
          <t>SP-SL-AGE-GRILLE-IGETA</t>
        </is>
      </c>
      <c r="E303" t="inlineStr">
        <is>
          <t>07407</t>
        </is>
      </c>
      <c r="F303" t="n">
        <v>0.78</v>
      </c>
      <c r="G303" t="n">
        <v>0.77</v>
      </c>
      <c r="H303" t="inlineStr">
        <is>
          <t>GL-SL-003</t>
        </is>
      </c>
      <c r="I303" t="n">
        <v>8</v>
      </c>
      <c r="J303" t="n">
        <v>10.4</v>
      </c>
      <c r="K303" t="n">
        <v>-0.605</v>
      </c>
      <c r="L303" t="n">
        <v>-1.332</v>
      </c>
      <c r="M303" t="n">
        <v>0.399</v>
      </c>
      <c r="N303">
        <f>ROUND(J303*F303*G303+K303*G303+L303*F303+M303,3)</f>
        <v/>
      </c>
      <c r="O303">
        <f>AND(N303&gt;=1.4,N303&lt;=13)</f>
        <v/>
      </c>
      <c r="P303">
        <f>IF(OR(N303&lt;1.4,N303&gt;13),"",IF(G303*1000&lt;=1170,IF(N303&lt;1.8,"1014",IF(N303&lt;2.9,"1018",IF(N303&lt;3.8,"1029",IF(N303&lt;5,"1038",IF(N303&lt;7,"1050",IF(N303&lt;9,"1070",IF(N303&lt;11,"1090","1110"))))))),IF(G303*1000&lt;=1570,IF(N303&lt;1.8,"",IF(N303&lt;2.9,"2018",IF(N303&lt;3.8,"2029",IF(N303&lt;5,"2038",IF(N303&lt;7,"2050",IF(N303&lt;9,"2070",IF(N303&lt;11,"2090","2110"))))))),IF(G303*1000&lt;=1700,IF(N303&lt;1.8,"",IF(N303&lt;2.9,"3018",IF(N303&lt;3.8,"3029",IF(N303&lt;5,"3038",IF(N303&lt;7,"3050",IF(N303&lt;9,"3070",IF(N303&lt;11,"3090","3110"))))))),""))))</f>
        <v/>
      </c>
      <c r="Q303">
        <f>AND(O303=TRUE,P303&lt;&gt;"")</f>
        <v/>
      </c>
      <c r="R303">
        <f>IF(G303*1000&lt;750,"なし","あり")</f>
        <v/>
      </c>
      <c r="S303">
        <f>IF(AND(O303=TRUE,Q303=TRUE),"設定可","BLOCK")</f>
        <v/>
      </c>
      <c r="T303" t="inlineStr">
        <is>
          <t>商品カタログ P194</t>
        </is>
      </c>
      <c r="U303" t="inlineStr">
        <is>
          <t>https://webcatalog.lixil.co.jp/iportal/CatalogDetail.do?catalogID=15191910000&amp;categoryID=1630000&amp;designID=newinter&amp;method=initial_screen&amp;position=18&amp;type=mc&amp;volumeID=LXL13001</t>
        </is>
      </c>
    </row>
    <row r="304">
      <c r="A304" t="inlineStr">
        <is>
          <t>WG-SL-00301</t>
        </is>
      </c>
      <c r="B304" t="inlineStr">
        <is>
          <t>SZ-SL-000979</t>
        </is>
      </c>
      <c r="C304" t="inlineStr">
        <is>
          <t>WT-SL-MENKOSHI-AGE-FS</t>
        </is>
      </c>
      <c r="D304" t="inlineStr">
        <is>
          <t>SP-SL-AGE-GRILLE-IGETA</t>
        </is>
      </c>
      <c r="E304" t="inlineStr">
        <is>
          <t>07407</t>
        </is>
      </c>
      <c r="F304" t="n">
        <v>0.78</v>
      </c>
      <c r="G304" t="n">
        <v>0.77</v>
      </c>
      <c r="H304" t="inlineStr">
        <is>
          <t>GL-SL-004</t>
        </is>
      </c>
      <c r="I304" t="n">
        <v>6</v>
      </c>
      <c r="J304" t="n">
        <v>7.8</v>
      </c>
      <c r="K304" t="n">
        <v>-0.355</v>
      </c>
      <c r="L304" t="n">
        <v>-0.664</v>
      </c>
      <c r="M304" t="n">
        <v>0.335</v>
      </c>
      <c r="N304">
        <f>ROUND(J304*F304*G304+K304*G304+L304*F304+M304,3)</f>
        <v/>
      </c>
      <c r="O304">
        <f>AND(N304&gt;=1.4,N304&lt;=13)</f>
        <v/>
      </c>
      <c r="P304">
        <f>IF(OR(N304&lt;1.4,N304&gt;13),"",IF(G304*1000&lt;=1170,IF(N304&lt;1.8,"1014",IF(N304&lt;2.9,"1018",IF(N304&lt;3.8,"1029",IF(N304&lt;5,"1038",IF(N304&lt;7,"1050",IF(N304&lt;9,"1070",IF(N304&lt;11,"1090","1110"))))))),IF(G304*1000&lt;=1570,IF(N304&lt;1.8,"",IF(N304&lt;2.9,"2018",IF(N304&lt;3.8,"2029",IF(N304&lt;5,"2038",IF(N304&lt;7,"2050",IF(N304&lt;9,"2070",IF(N304&lt;11,"2090","2110"))))))),IF(G304*1000&lt;=1700,IF(N304&lt;1.8,"",IF(N304&lt;2.9,"3018",IF(N304&lt;3.8,"3029",IF(N304&lt;5,"3038",IF(N304&lt;7,"3050",IF(N304&lt;9,"3070",IF(N304&lt;11,"3090","3110"))))))),""))))</f>
        <v/>
      </c>
      <c r="Q304">
        <f>AND(O304=TRUE,P304&lt;&gt;"")</f>
        <v/>
      </c>
      <c r="R304">
        <f>IF(G304*1000&lt;750,"なし","あり")</f>
        <v/>
      </c>
      <c r="S304">
        <f>IF(AND(O304=TRUE,Q304=TRUE),"設定可","BLOCK")</f>
        <v/>
      </c>
      <c r="T304" t="inlineStr">
        <is>
          <t>商品カタログ P194</t>
        </is>
      </c>
      <c r="U304" t="inlineStr">
        <is>
          <t>https://webcatalog.lixil.co.jp/iportal/CatalogDetail.do?catalogID=15191910000&amp;categoryID=1630000&amp;designID=newinter&amp;method=initial_screen&amp;position=18&amp;type=mc&amp;volumeID=LXL13001</t>
        </is>
      </c>
    </row>
    <row r="305">
      <c r="A305" t="inlineStr">
        <is>
          <t>WG-SL-00302</t>
        </is>
      </c>
      <c r="B305" t="inlineStr">
        <is>
          <t>SZ-SL-000979</t>
        </is>
      </c>
      <c r="C305" t="inlineStr">
        <is>
          <t>WT-SL-MENKOSHI-AGE-FS</t>
        </is>
      </c>
      <c r="D305" t="inlineStr">
        <is>
          <t>SP-SL-AGE-GRILLE-IGETA</t>
        </is>
      </c>
      <c r="E305" t="inlineStr">
        <is>
          <t>07407</t>
        </is>
      </c>
      <c r="F305" t="n">
        <v>0.78</v>
      </c>
      <c r="G305" t="n">
        <v>0.77</v>
      </c>
      <c r="H305" t="inlineStr">
        <is>
          <t>GL-SL-005</t>
        </is>
      </c>
      <c r="I305" t="n">
        <v>7</v>
      </c>
      <c r="J305" t="n">
        <v>9.1</v>
      </c>
      <c r="K305" t="n">
        <v>-0.48</v>
      </c>
      <c r="L305" t="n">
        <v>-0.998</v>
      </c>
      <c r="M305" t="n">
        <v>0.367</v>
      </c>
      <c r="N305">
        <f>ROUND(J305*F305*G305+K305*G305+L305*F305+M305,3)</f>
        <v/>
      </c>
      <c r="O305">
        <f>AND(N305&gt;=1.4,N305&lt;=13)</f>
        <v/>
      </c>
      <c r="P305">
        <f>IF(OR(N305&lt;1.4,N305&gt;13),"",IF(G305*1000&lt;=1170,IF(N305&lt;1.8,"1014",IF(N305&lt;2.9,"1018",IF(N305&lt;3.8,"1029",IF(N305&lt;5,"1038",IF(N305&lt;7,"1050",IF(N305&lt;9,"1070",IF(N305&lt;11,"1090","1110"))))))),IF(G305*1000&lt;=1570,IF(N305&lt;1.8,"",IF(N305&lt;2.9,"2018",IF(N305&lt;3.8,"2029",IF(N305&lt;5,"2038",IF(N305&lt;7,"2050",IF(N305&lt;9,"2070",IF(N305&lt;11,"2090","2110"))))))),IF(G305*1000&lt;=1700,IF(N305&lt;1.8,"",IF(N305&lt;2.9,"3018",IF(N305&lt;3.8,"3029",IF(N305&lt;5,"3038",IF(N305&lt;7,"3050",IF(N305&lt;9,"3070",IF(N305&lt;11,"3090","3110"))))))),""))))</f>
        <v/>
      </c>
      <c r="Q305">
        <f>AND(O305=TRUE,P305&lt;&gt;"")</f>
        <v/>
      </c>
      <c r="R305">
        <f>IF(G305*1000&lt;750,"なし","あり")</f>
        <v/>
      </c>
      <c r="S305">
        <f>IF(AND(O305=TRUE,Q305=TRUE),"設定可","BLOCK")</f>
        <v/>
      </c>
      <c r="T305" t="inlineStr">
        <is>
          <t>商品カタログ P194</t>
        </is>
      </c>
      <c r="U305" t="inlineStr">
        <is>
          <t>https://webcatalog.lixil.co.jp/iportal/CatalogDetail.do?catalogID=15191910000&amp;categoryID=1630000&amp;designID=newinter&amp;method=initial_screen&amp;position=18&amp;type=mc&amp;volumeID=LXL13001</t>
        </is>
      </c>
    </row>
    <row r="306">
      <c r="A306" t="inlineStr">
        <is>
          <t>WG-SL-00303</t>
        </is>
      </c>
      <c r="B306" t="inlineStr">
        <is>
          <t>SZ-SL-000979</t>
        </is>
      </c>
      <c r="C306" t="inlineStr">
        <is>
          <t>WT-SL-MENKOSHI-AGE-FS</t>
        </is>
      </c>
      <c r="D306" t="inlineStr">
        <is>
          <t>SP-SL-AGE-GRILLE-IGETA</t>
        </is>
      </c>
      <c r="E306" t="inlineStr">
        <is>
          <t>07407</t>
        </is>
      </c>
      <c r="F306" t="n">
        <v>0.78</v>
      </c>
      <c r="G306" t="n">
        <v>0.77</v>
      </c>
      <c r="H306" t="inlineStr">
        <is>
          <t>GL-SL-006</t>
        </is>
      </c>
      <c r="I306" t="n">
        <v>8</v>
      </c>
      <c r="J306" t="n">
        <v>10.4</v>
      </c>
      <c r="K306" t="n">
        <v>-0.605</v>
      </c>
      <c r="L306" t="n">
        <v>-1.332</v>
      </c>
      <c r="M306" t="n">
        <v>0.399</v>
      </c>
      <c r="N306">
        <f>ROUND(J306*F306*G306+K306*G306+L306*F306+M306,3)</f>
        <v/>
      </c>
      <c r="O306">
        <f>AND(N306&gt;=1.4,N306&lt;=13)</f>
        <v/>
      </c>
      <c r="P306">
        <f>IF(OR(N306&lt;1.4,N306&gt;13),"",IF(G306*1000&lt;=1170,IF(N306&lt;1.8,"1014",IF(N306&lt;2.9,"1018",IF(N306&lt;3.8,"1029",IF(N306&lt;5,"1038",IF(N306&lt;7,"1050",IF(N306&lt;9,"1070",IF(N306&lt;11,"1090","1110"))))))),IF(G306*1000&lt;=1570,IF(N306&lt;1.8,"",IF(N306&lt;2.9,"2018",IF(N306&lt;3.8,"2029",IF(N306&lt;5,"2038",IF(N306&lt;7,"2050",IF(N306&lt;9,"2070",IF(N306&lt;11,"2090","2110"))))))),IF(G306*1000&lt;=1700,IF(N306&lt;1.8,"",IF(N306&lt;2.9,"3018",IF(N306&lt;3.8,"3029",IF(N306&lt;5,"3038",IF(N306&lt;7,"3050",IF(N306&lt;9,"3070",IF(N306&lt;11,"3090","3110"))))))),""))))</f>
        <v/>
      </c>
      <c r="Q306">
        <f>AND(O306=TRUE,P306&lt;&gt;"")</f>
        <v/>
      </c>
      <c r="R306">
        <f>IF(G306*1000&lt;750,"なし","あり")</f>
        <v/>
      </c>
      <c r="S306">
        <f>IF(AND(O306=TRUE,Q306=TRUE),"設定可","BLOCK")</f>
        <v/>
      </c>
      <c r="T306" t="inlineStr">
        <is>
          <t>商品カタログ P194</t>
        </is>
      </c>
      <c r="U306" t="inlineStr">
        <is>
          <t>https://webcatalog.lixil.co.jp/iportal/CatalogDetail.do?catalogID=15191910000&amp;categoryID=1630000&amp;designID=newinter&amp;method=initial_screen&amp;position=18&amp;type=mc&amp;volumeID=LXL13001</t>
        </is>
      </c>
    </row>
    <row r="307">
      <c r="A307" t="inlineStr">
        <is>
          <t>WG-SL-00304</t>
        </is>
      </c>
      <c r="B307" t="inlineStr">
        <is>
          <t>SZ-SL-000979</t>
        </is>
      </c>
      <c r="C307" t="inlineStr">
        <is>
          <t>WT-SL-MENKOSHI-AGE-FS</t>
        </is>
      </c>
      <c r="D307" t="inlineStr">
        <is>
          <t>SP-SL-AGE-GRILLE-IGETA</t>
        </is>
      </c>
      <c r="E307" t="inlineStr">
        <is>
          <t>07407</t>
        </is>
      </c>
      <c r="F307" t="n">
        <v>0.78</v>
      </c>
      <c r="G307" t="n">
        <v>0.77</v>
      </c>
      <c r="H307" t="inlineStr">
        <is>
          <t>GL-SL-007</t>
        </is>
      </c>
      <c r="I307" t="n">
        <v>6</v>
      </c>
      <c r="J307" t="n">
        <v>7.8</v>
      </c>
      <c r="K307" t="n">
        <v>-0.355</v>
      </c>
      <c r="L307" t="n">
        <v>-0.664</v>
      </c>
      <c r="M307" t="n">
        <v>0.335</v>
      </c>
      <c r="N307">
        <f>ROUND(J307*F307*G307+K307*G307+L307*F307+M307,3)</f>
        <v/>
      </c>
      <c r="O307">
        <f>AND(N307&gt;=1.4,N307&lt;=13)</f>
        <v/>
      </c>
      <c r="P307">
        <f>IF(OR(N307&lt;1.4,N307&gt;13),"",IF(G307*1000&lt;=1170,IF(N307&lt;1.8,"1014",IF(N307&lt;2.9,"1018",IF(N307&lt;3.8,"1029",IF(N307&lt;5,"1038",IF(N307&lt;7,"1050",IF(N307&lt;9,"1070",IF(N307&lt;11,"1090","1110"))))))),IF(G307*1000&lt;=1570,IF(N307&lt;1.8,"",IF(N307&lt;2.9,"2018",IF(N307&lt;3.8,"2029",IF(N307&lt;5,"2038",IF(N307&lt;7,"2050",IF(N307&lt;9,"2070",IF(N307&lt;11,"2090","2110"))))))),IF(G307*1000&lt;=1700,IF(N307&lt;1.8,"",IF(N307&lt;2.9,"3018",IF(N307&lt;3.8,"3029",IF(N307&lt;5,"3038",IF(N307&lt;7,"3050",IF(N307&lt;9,"3070",IF(N307&lt;11,"3090","3110"))))))),""))))</f>
        <v/>
      </c>
      <c r="Q307">
        <f>AND(O307=TRUE,P307&lt;&gt;"")</f>
        <v/>
      </c>
      <c r="R307">
        <f>IF(G307*1000&lt;750,"なし","あり")</f>
        <v/>
      </c>
      <c r="S307">
        <f>IF(AND(O307=TRUE,Q307=TRUE),"設定可","BLOCK")</f>
        <v/>
      </c>
      <c r="T307" t="inlineStr">
        <is>
          <t>商品カタログ P194</t>
        </is>
      </c>
      <c r="U307" t="inlineStr">
        <is>
          <t>https://webcatalog.lixil.co.jp/iportal/CatalogDetail.do?catalogID=15191910000&amp;categoryID=1630000&amp;designID=newinter&amp;method=initial_screen&amp;position=18&amp;type=mc&amp;volumeID=LXL13001</t>
        </is>
      </c>
    </row>
    <row r="308">
      <c r="A308" t="inlineStr">
        <is>
          <t>WG-SL-00305</t>
        </is>
      </c>
      <c r="B308" t="inlineStr">
        <is>
          <t>SZ-SL-000979</t>
        </is>
      </c>
      <c r="C308" t="inlineStr">
        <is>
          <t>WT-SL-MENKOSHI-AGE-FS</t>
        </is>
      </c>
      <c r="D308" t="inlineStr">
        <is>
          <t>SP-SL-AGE-GRILLE-IGETA</t>
        </is>
      </c>
      <c r="E308" t="inlineStr">
        <is>
          <t>07407</t>
        </is>
      </c>
      <c r="F308" t="n">
        <v>0.78</v>
      </c>
      <c r="G308" t="n">
        <v>0.77</v>
      </c>
      <c r="H308" t="inlineStr">
        <is>
          <t>GL-SL-008</t>
        </is>
      </c>
      <c r="I308" t="n">
        <v>7</v>
      </c>
      <c r="J308" t="n">
        <v>9.1</v>
      </c>
      <c r="K308" t="n">
        <v>-0.48</v>
      </c>
      <c r="L308" t="n">
        <v>-0.998</v>
      </c>
      <c r="M308" t="n">
        <v>0.367</v>
      </c>
      <c r="N308">
        <f>ROUND(J308*F308*G308+K308*G308+L308*F308+M308,3)</f>
        <v/>
      </c>
      <c r="O308">
        <f>AND(N308&gt;=1.4,N308&lt;=13)</f>
        <v/>
      </c>
      <c r="P308">
        <f>IF(OR(N308&lt;1.4,N308&gt;13),"",IF(G308*1000&lt;=1170,IF(N308&lt;1.8,"1014",IF(N308&lt;2.9,"1018",IF(N308&lt;3.8,"1029",IF(N308&lt;5,"1038",IF(N308&lt;7,"1050",IF(N308&lt;9,"1070",IF(N308&lt;11,"1090","1110"))))))),IF(G308*1000&lt;=1570,IF(N308&lt;1.8,"",IF(N308&lt;2.9,"2018",IF(N308&lt;3.8,"2029",IF(N308&lt;5,"2038",IF(N308&lt;7,"2050",IF(N308&lt;9,"2070",IF(N308&lt;11,"2090","2110"))))))),IF(G308*1000&lt;=1700,IF(N308&lt;1.8,"",IF(N308&lt;2.9,"3018",IF(N308&lt;3.8,"3029",IF(N308&lt;5,"3038",IF(N308&lt;7,"3050",IF(N308&lt;9,"3070",IF(N308&lt;11,"3090","3110"))))))),""))))</f>
        <v/>
      </c>
      <c r="Q308">
        <f>AND(O308=TRUE,P308&lt;&gt;"")</f>
        <v/>
      </c>
      <c r="R308">
        <f>IF(G308*1000&lt;750,"なし","あり")</f>
        <v/>
      </c>
      <c r="S308">
        <f>IF(AND(O308=TRUE,Q308=TRUE),"設定可","BLOCK")</f>
        <v/>
      </c>
      <c r="T308" t="inlineStr">
        <is>
          <t>商品カタログ P194</t>
        </is>
      </c>
      <c r="U308" t="inlineStr">
        <is>
          <t>https://webcatalog.lixil.co.jp/iportal/CatalogDetail.do?catalogID=15191910000&amp;categoryID=1630000&amp;designID=newinter&amp;method=initial_screen&amp;position=18&amp;type=mc&amp;volumeID=LXL13001</t>
        </is>
      </c>
    </row>
    <row r="309">
      <c r="A309" t="inlineStr">
        <is>
          <t>WG-SL-00306</t>
        </is>
      </c>
      <c r="B309" t="inlineStr">
        <is>
          <t>SZ-SL-000979</t>
        </is>
      </c>
      <c r="C309" t="inlineStr">
        <is>
          <t>WT-SL-MENKOSHI-AGE-FS</t>
        </is>
      </c>
      <c r="D309" t="inlineStr">
        <is>
          <t>SP-SL-AGE-GRILLE-IGETA</t>
        </is>
      </c>
      <c r="E309" t="inlineStr">
        <is>
          <t>07407</t>
        </is>
      </c>
      <c r="F309" t="n">
        <v>0.78</v>
      </c>
      <c r="G309" t="n">
        <v>0.77</v>
      </c>
      <c r="H309" t="inlineStr">
        <is>
          <t>GL-SL-009</t>
        </is>
      </c>
      <c r="I309" t="n">
        <v>8</v>
      </c>
      <c r="J309" t="n">
        <v>10.4</v>
      </c>
      <c r="K309" t="n">
        <v>-0.605</v>
      </c>
      <c r="L309" t="n">
        <v>-1.332</v>
      </c>
      <c r="M309" t="n">
        <v>0.399</v>
      </c>
      <c r="N309">
        <f>ROUND(J309*F309*G309+K309*G309+L309*F309+M309,3)</f>
        <v/>
      </c>
      <c r="O309">
        <f>AND(N309&gt;=1.4,N309&lt;=13)</f>
        <v/>
      </c>
      <c r="P309">
        <f>IF(OR(N309&lt;1.4,N309&gt;13),"",IF(G309*1000&lt;=1170,IF(N309&lt;1.8,"1014",IF(N309&lt;2.9,"1018",IF(N309&lt;3.8,"1029",IF(N309&lt;5,"1038",IF(N309&lt;7,"1050",IF(N309&lt;9,"1070",IF(N309&lt;11,"1090","1110"))))))),IF(G309*1000&lt;=1570,IF(N309&lt;1.8,"",IF(N309&lt;2.9,"2018",IF(N309&lt;3.8,"2029",IF(N309&lt;5,"2038",IF(N309&lt;7,"2050",IF(N309&lt;9,"2070",IF(N309&lt;11,"2090","2110"))))))),IF(G309*1000&lt;=1700,IF(N309&lt;1.8,"",IF(N309&lt;2.9,"3018",IF(N309&lt;3.8,"3029",IF(N309&lt;5,"3038",IF(N309&lt;7,"3050",IF(N309&lt;9,"3070",IF(N309&lt;11,"3090","3110"))))))),""))))</f>
        <v/>
      </c>
      <c r="Q309">
        <f>AND(O309=TRUE,P309&lt;&gt;"")</f>
        <v/>
      </c>
      <c r="R309">
        <f>IF(G309*1000&lt;750,"なし","あり")</f>
        <v/>
      </c>
      <c r="S309">
        <f>IF(AND(O309=TRUE,Q309=TRUE),"設定可","BLOCK")</f>
        <v/>
      </c>
      <c r="T309" t="inlineStr">
        <is>
          <t>商品カタログ P194</t>
        </is>
      </c>
      <c r="U309" t="inlineStr">
        <is>
          <t>https://webcatalog.lixil.co.jp/iportal/CatalogDetail.do?catalogID=15191910000&amp;categoryID=1630000&amp;designID=newinter&amp;method=initial_screen&amp;position=18&amp;type=mc&amp;volumeID=LXL13001</t>
        </is>
      </c>
    </row>
    <row r="310">
      <c r="A310" t="inlineStr">
        <is>
          <t>WG-SL-00307</t>
        </is>
      </c>
      <c r="B310" t="inlineStr">
        <is>
          <t>SZ-SL-000980</t>
        </is>
      </c>
      <c r="C310" t="inlineStr">
        <is>
          <t>WT-SL-MENKOSHI-AGE-FS</t>
        </is>
      </c>
      <c r="D310" t="inlineStr">
        <is>
          <t>SP-SL-AGE-GRILLE-V</t>
        </is>
      </c>
      <c r="E310" t="inlineStr">
        <is>
          <t>02607</t>
        </is>
      </c>
      <c r="F310" t="n">
        <v>0.3</v>
      </c>
      <c r="G310" t="n">
        <v>0.77</v>
      </c>
      <c r="H310" t="inlineStr">
        <is>
          <t>GL-SL-001</t>
        </is>
      </c>
      <c r="I310" t="n">
        <v>6</v>
      </c>
      <c r="J310" t="n">
        <v>7.8</v>
      </c>
      <c r="K310" t="n">
        <v>-0.355</v>
      </c>
      <c r="L310" t="n">
        <v>-0.664</v>
      </c>
      <c r="M310" t="n">
        <v>0.335</v>
      </c>
      <c r="N310">
        <f>ROUND(J310*F310*G310+K310*G310+L310*F310+M310,3)</f>
        <v/>
      </c>
      <c r="O310">
        <f>AND(N310&gt;=1.4,N310&lt;=13)</f>
        <v/>
      </c>
      <c r="P310">
        <f>IF(OR(N310&lt;1.4,N310&gt;13),"",IF(G310*1000&lt;=1170,IF(N310&lt;1.8,"1014",IF(N310&lt;2.9,"1018",IF(N310&lt;3.8,"1029",IF(N310&lt;5,"1038",IF(N310&lt;7,"1050",IF(N310&lt;9,"1070",IF(N310&lt;11,"1090","1110"))))))),IF(G310*1000&lt;=1570,IF(N310&lt;1.8,"",IF(N310&lt;2.9,"2018",IF(N310&lt;3.8,"2029",IF(N310&lt;5,"2038",IF(N310&lt;7,"2050",IF(N310&lt;9,"2070",IF(N310&lt;11,"2090","2110"))))))),IF(G310*1000&lt;=1700,IF(N310&lt;1.8,"",IF(N310&lt;2.9,"3018",IF(N310&lt;3.8,"3029",IF(N310&lt;5,"3038",IF(N310&lt;7,"3050",IF(N310&lt;9,"3070",IF(N310&lt;11,"3090","3110"))))))),""))))</f>
        <v/>
      </c>
      <c r="Q310">
        <f>AND(O310=TRUE,P310&lt;&gt;"")</f>
        <v/>
      </c>
      <c r="R310">
        <f>IF(G310*1000&lt;750,"なし","あり")</f>
        <v/>
      </c>
      <c r="S310">
        <f>IF(AND(O310=TRUE,Q310=TRUE),"設定可","BLOCK")</f>
        <v/>
      </c>
      <c r="T310" t="inlineStr">
        <is>
          <t>商品カタログ P194</t>
        </is>
      </c>
      <c r="U310" t="inlineStr">
        <is>
          <t>https://webcatalog.lixil.co.jp/iportal/CatalogDetail.do?catalogID=15191910000&amp;categoryID=1630000&amp;designID=newinter&amp;method=initial_screen&amp;position=18&amp;type=mc&amp;volumeID=LXL13001</t>
        </is>
      </c>
    </row>
    <row r="311">
      <c r="A311" t="inlineStr">
        <is>
          <t>WG-SL-00308</t>
        </is>
      </c>
      <c r="B311" t="inlineStr">
        <is>
          <t>SZ-SL-000980</t>
        </is>
      </c>
      <c r="C311" t="inlineStr">
        <is>
          <t>WT-SL-MENKOSHI-AGE-FS</t>
        </is>
      </c>
      <c r="D311" t="inlineStr">
        <is>
          <t>SP-SL-AGE-GRILLE-V</t>
        </is>
      </c>
      <c r="E311" t="inlineStr">
        <is>
          <t>02607</t>
        </is>
      </c>
      <c r="F311" t="n">
        <v>0.3</v>
      </c>
      <c r="G311" t="n">
        <v>0.77</v>
      </c>
      <c r="H311" t="inlineStr">
        <is>
          <t>GL-SL-002</t>
        </is>
      </c>
      <c r="I311" t="n">
        <v>7</v>
      </c>
      <c r="J311" t="n">
        <v>9.1</v>
      </c>
      <c r="K311" t="n">
        <v>-0.48</v>
      </c>
      <c r="L311" t="n">
        <v>-0.998</v>
      </c>
      <c r="M311" t="n">
        <v>0.367</v>
      </c>
      <c r="N311">
        <f>ROUND(J311*F311*G311+K311*G311+L311*F311+M311,3)</f>
        <v/>
      </c>
      <c r="O311">
        <f>AND(N311&gt;=1.4,N311&lt;=13)</f>
        <v/>
      </c>
      <c r="P311">
        <f>IF(OR(N311&lt;1.4,N311&gt;13),"",IF(G311*1000&lt;=1170,IF(N311&lt;1.8,"1014",IF(N311&lt;2.9,"1018",IF(N311&lt;3.8,"1029",IF(N311&lt;5,"1038",IF(N311&lt;7,"1050",IF(N311&lt;9,"1070",IF(N311&lt;11,"1090","1110"))))))),IF(G311*1000&lt;=1570,IF(N311&lt;1.8,"",IF(N311&lt;2.9,"2018",IF(N311&lt;3.8,"2029",IF(N311&lt;5,"2038",IF(N311&lt;7,"2050",IF(N311&lt;9,"2070",IF(N311&lt;11,"2090","2110"))))))),IF(G311*1000&lt;=1700,IF(N311&lt;1.8,"",IF(N311&lt;2.9,"3018",IF(N311&lt;3.8,"3029",IF(N311&lt;5,"3038",IF(N311&lt;7,"3050",IF(N311&lt;9,"3070",IF(N311&lt;11,"3090","3110"))))))),""))))</f>
        <v/>
      </c>
      <c r="Q311">
        <f>AND(O311=TRUE,P311&lt;&gt;"")</f>
        <v/>
      </c>
      <c r="R311">
        <f>IF(G311*1000&lt;750,"なし","あり")</f>
        <v/>
      </c>
      <c r="S311">
        <f>IF(AND(O311=TRUE,Q311=TRUE),"設定可","BLOCK")</f>
        <v/>
      </c>
      <c r="T311" t="inlineStr">
        <is>
          <t>商品カタログ P194</t>
        </is>
      </c>
      <c r="U311" t="inlineStr">
        <is>
          <t>https://webcatalog.lixil.co.jp/iportal/CatalogDetail.do?catalogID=15191910000&amp;categoryID=1630000&amp;designID=newinter&amp;method=initial_screen&amp;position=18&amp;type=mc&amp;volumeID=LXL13001</t>
        </is>
      </c>
    </row>
    <row r="312">
      <c r="A312" t="inlineStr">
        <is>
          <t>WG-SL-00309</t>
        </is>
      </c>
      <c r="B312" t="inlineStr">
        <is>
          <t>SZ-SL-000980</t>
        </is>
      </c>
      <c r="C312" t="inlineStr">
        <is>
          <t>WT-SL-MENKOSHI-AGE-FS</t>
        </is>
      </c>
      <c r="D312" t="inlineStr">
        <is>
          <t>SP-SL-AGE-GRILLE-V</t>
        </is>
      </c>
      <c r="E312" t="inlineStr">
        <is>
          <t>02607</t>
        </is>
      </c>
      <c r="F312" t="n">
        <v>0.3</v>
      </c>
      <c r="G312" t="n">
        <v>0.77</v>
      </c>
      <c r="H312" t="inlineStr">
        <is>
          <t>GL-SL-003</t>
        </is>
      </c>
      <c r="I312" t="n">
        <v>8</v>
      </c>
      <c r="J312" t="n">
        <v>10.4</v>
      </c>
      <c r="K312" t="n">
        <v>-0.605</v>
      </c>
      <c r="L312" t="n">
        <v>-1.332</v>
      </c>
      <c r="M312" t="n">
        <v>0.399</v>
      </c>
      <c r="N312">
        <f>ROUND(J312*F312*G312+K312*G312+L312*F312+M312,3)</f>
        <v/>
      </c>
      <c r="O312">
        <f>AND(N312&gt;=1.4,N312&lt;=13)</f>
        <v/>
      </c>
      <c r="P312">
        <f>IF(OR(N312&lt;1.4,N312&gt;13),"",IF(G312*1000&lt;=1170,IF(N312&lt;1.8,"1014",IF(N312&lt;2.9,"1018",IF(N312&lt;3.8,"1029",IF(N312&lt;5,"1038",IF(N312&lt;7,"1050",IF(N312&lt;9,"1070",IF(N312&lt;11,"1090","1110"))))))),IF(G312*1000&lt;=1570,IF(N312&lt;1.8,"",IF(N312&lt;2.9,"2018",IF(N312&lt;3.8,"2029",IF(N312&lt;5,"2038",IF(N312&lt;7,"2050",IF(N312&lt;9,"2070",IF(N312&lt;11,"2090","2110"))))))),IF(G312*1000&lt;=1700,IF(N312&lt;1.8,"",IF(N312&lt;2.9,"3018",IF(N312&lt;3.8,"3029",IF(N312&lt;5,"3038",IF(N312&lt;7,"3050",IF(N312&lt;9,"3070",IF(N312&lt;11,"3090","3110"))))))),""))))</f>
        <v/>
      </c>
      <c r="Q312">
        <f>AND(O312=TRUE,P312&lt;&gt;"")</f>
        <v/>
      </c>
      <c r="R312">
        <f>IF(G312*1000&lt;750,"なし","あり")</f>
        <v/>
      </c>
      <c r="S312">
        <f>IF(AND(O312=TRUE,Q312=TRUE),"設定可","BLOCK")</f>
        <v/>
      </c>
      <c r="T312" t="inlineStr">
        <is>
          <t>商品カタログ P194</t>
        </is>
      </c>
      <c r="U312" t="inlineStr">
        <is>
          <t>https://webcatalog.lixil.co.jp/iportal/CatalogDetail.do?catalogID=15191910000&amp;categoryID=1630000&amp;designID=newinter&amp;method=initial_screen&amp;position=18&amp;type=mc&amp;volumeID=LXL13001</t>
        </is>
      </c>
    </row>
    <row r="313">
      <c r="A313" t="inlineStr">
        <is>
          <t>WG-SL-00310</t>
        </is>
      </c>
      <c r="B313" t="inlineStr">
        <is>
          <t>SZ-SL-000980</t>
        </is>
      </c>
      <c r="C313" t="inlineStr">
        <is>
          <t>WT-SL-MENKOSHI-AGE-FS</t>
        </is>
      </c>
      <c r="D313" t="inlineStr">
        <is>
          <t>SP-SL-AGE-GRILLE-V</t>
        </is>
      </c>
      <c r="E313" t="inlineStr">
        <is>
          <t>02607</t>
        </is>
      </c>
      <c r="F313" t="n">
        <v>0.3</v>
      </c>
      <c r="G313" t="n">
        <v>0.77</v>
      </c>
      <c r="H313" t="inlineStr">
        <is>
          <t>GL-SL-004</t>
        </is>
      </c>
      <c r="I313" t="n">
        <v>6</v>
      </c>
      <c r="J313" t="n">
        <v>7.8</v>
      </c>
      <c r="K313" t="n">
        <v>-0.355</v>
      </c>
      <c r="L313" t="n">
        <v>-0.664</v>
      </c>
      <c r="M313" t="n">
        <v>0.335</v>
      </c>
      <c r="N313">
        <f>ROUND(J313*F313*G313+K313*G313+L313*F313+M313,3)</f>
        <v/>
      </c>
      <c r="O313">
        <f>AND(N313&gt;=1.4,N313&lt;=13)</f>
        <v/>
      </c>
      <c r="P313">
        <f>IF(OR(N313&lt;1.4,N313&gt;13),"",IF(G313*1000&lt;=1170,IF(N313&lt;1.8,"1014",IF(N313&lt;2.9,"1018",IF(N313&lt;3.8,"1029",IF(N313&lt;5,"1038",IF(N313&lt;7,"1050",IF(N313&lt;9,"1070",IF(N313&lt;11,"1090","1110"))))))),IF(G313*1000&lt;=1570,IF(N313&lt;1.8,"",IF(N313&lt;2.9,"2018",IF(N313&lt;3.8,"2029",IF(N313&lt;5,"2038",IF(N313&lt;7,"2050",IF(N313&lt;9,"2070",IF(N313&lt;11,"2090","2110"))))))),IF(G313*1000&lt;=1700,IF(N313&lt;1.8,"",IF(N313&lt;2.9,"3018",IF(N313&lt;3.8,"3029",IF(N313&lt;5,"3038",IF(N313&lt;7,"3050",IF(N313&lt;9,"3070",IF(N313&lt;11,"3090","3110"))))))),""))))</f>
        <v/>
      </c>
      <c r="Q313">
        <f>AND(O313=TRUE,P313&lt;&gt;"")</f>
        <v/>
      </c>
      <c r="R313">
        <f>IF(G313*1000&lt;750,"なし","あり")</f>
        <v/>
      </c>
      <c r="S313">
        <f>IF(AND(O313=TRUE,Q313=TRUE),"設定可","BLOCK")</f>
        <v/>
      </c>
      <c r="T313" t="inlineStr">
        <is>
          <t>商品カタログ P194</t>
        </is>
      </c>
      <c r="U313" t="inlineStr">
        <is>
          <t>https://webcatalog.lixil.co.jp/iportal/CatalogDetail.do?catalogID=15191910000&amp;categoryID=1630000&amp;designID=newinter&amp;method=initial_screen&amp;position=18&amp;type=mc&amp;volumeID=LXL13001</t>
        </is>
      </c>
    </row>
    <row r="314">
      <c r="A314" t="inlineStr">
        <is>
          <t>WG-SL-00311</t>
        </is>
      </c>
      <c r="B314" t="inlineStr">
        <is>
          <t>SZ-SL-000980</t>
        </is>
      </c>
      <c r="C314" t="inlineStr">
        <is>
          <t>WT-SL-MENKOSHI-AGE-FS</t>
        </is>
      </c>
      <c r="D314" t="inlineStr">
        <is>
          <t>SP-SL-AGE-GRILLE-V</t>
        </is>
      </c>
      <c r="E314" t="inlineStr">
        <is>
          <t>02607</t>
        </is>
      </c>
      <c r="F314" t="n">
        <v>0.3</v>
      </c>
      <c r="G314" t="n">
        <v>0.77</v>
      </c>
      <c r="H314" t="inlineStr">
        <is>
          <t>GL-SL-005</t>
        </is>
      </c>
      <c r="I314" t="n">
        <v>7</v>
      </c>
      <c r="J314" t="n">
        <v>9.1</v>
      </c>
      <c r="K314" t="n">
        <v>-0.48</v>
      </c>
      <c r="L314" t="n">
        <v>-0.998</v>
      </c>
      <c r="M314" t="n">
        <v>0.367</v>
      </c>
      <c r="N314">
        <f>ROUND(J314*F314*G314+K314*G314+L314*F314+M314,3)</f>
        <v/>
      </c>
      <c r="O314">
        <f>AND(N314&gt;=1.4,N314&lt;=13)</f>
        <v/>
      </c>
      <c r="P314">
        <f>IF(OR(N314&lt;1.4,N314&gt;13),"",IF(G314*1000&lt;=1170,IF(N314&lt;1.8,"1014",IF(N314&lt;2.9,"1018",IF(N314&lt;3.8,"1029",IF(N314&lt;5,"1038",IF(N314&lt;7,"1050",IF(N314&lt;9,"1070",IF(N314&lt;11,"1090","1110"))))))),IF(G314*1000&lt;=1570,IF(N314&lt;1.8,"",IF(N314&lt;2.9,"2018",IF(N314&lt;3.8,"2029",IF(N314&lt;5,"2038",IF(N314&lt;7,"2050",IF(N314&lt;9,"2070",IF(N314&lt;11,"2090","2110"))))))),IF(G314*1000&lt;=1700,IF(N314&lt;1.8,"",IF(N314&lt;2.9,"3018",IF(N314&lt;3.8,"3029",IF(N314&lt;5,"3038",IF(N314&lt;7,"3050",IF(N314&lt;9,"3070",IF(N314&lt;11,"3090","3110"))))))),""))))</f>
        <v/>
      </c>
      <c r="Q314">
        <f>AND(O314=TRUE,P314&lt;&gt;"")</f>
        <v/>
      </c>
      <c r="R314">
        <f>IF(G314*1000&lt;750,"なし","あり")</f>
        <v/>
      </c>
      <c r="S314">
        <f>IF(AND(O314=TRUE,Q314=TRUE),"設定可","BLOCK")</f>
        <v/>
      </c>
      <c r="T314" t="inlineStr">
        <is>
          <t>商品カタログ P194</t>
        </is>
      </c>
      <c r="U314" t="inlineStr">
        <is>
          <t>https://webcatalog.lixil.co.jp/iportal/CatalogDetail.do?catalogID=15191910000&amp;categoryID=1630000&amp;designID=newinter&amp;method=initial_screen&amp;position=18&amp;type=mc&amp;volumeID=LXL13001</t>
        </is>
      </c>
    </row>
    <row r="315">
      <c r="A315" t="inlineStr">
        <is>
          <t>WG-SL-00312</t>
        </is>
      </c>
      <c r="B315" t="inlineStr">
        <is>
          <t>SZ-SL-000980</t>
        </is>
      </c>
      <c r="C315" t="inlineStr">
        <is>
          <t>WT-SL-MENKOSHI-AGE-FS</t>
        </is>
      </c>
      <c r="D315" t="inlineStr">
        <is>
          <t>SP-SL-AGE-GRILLE-V</t>
        </is>
      </c>
      <c r="E315" t="inlineStr">
        <is>
          <t>02607</t>
        </is>
      </c>
      <c r="F315" t="n">
        <v>0.3</v>
      </c>
      <c r="G315" t="n">
        <v>0.77</v>
      </c>
      <c r="H315" t="inlineStr">
        <is>
          <t>GL-SL-006</t>
        </is>
      </c>
      <c r="I315" t="n">
        <v>8</v>
      </c>
      <c r="J315" t="n">
        <v>10.4</v>
      </c>
      <c r="K315" t="n">
        <v>-0.605</v>
      </c>
      <c r="L315" t="n">
        <v>-1.332</v>
      </c>
      <c r="M315" t="n">
        <v>0.399</v>
      </c>
      <c r="N315">
        <f>ROUND(J315*F315*G315+K315*G315+L315*F315+M315,3)</f>
        <v/>
      </c>
      <c r="O315">
        <f>AND(N315&gt;=1.4,N315&lt;=13)</f>
        <v/>
      </c>
      <c r="P315">
        <f>IF(OR(N315&lt;1.4,N315&gt;13),"",IF(G315*1000&lt;=1170,IF(N315&lt;1.8,"1014",IF(N315&lt;2.9,"1018",IF(N315&lt;3.8,"1029",IF(N315&lt;5,"1038",IF(N315&lt;7,"1050",IF(N315&lt;9,"1070",IF(N315&lt;11,"1090","1110"))))))),IF(G315*1000&lt;=1570,IF(N315&lt;1.8,"",IF(N315&lt;2.9,"2018",IF(N315&lt;3.8,"2029",IF(N315&lt;5,"2038",IF(N315&lt;7,"2050",IF(N315&lt;9,"2070",IF(N315&lt;11,"2090","2110"))))))),IF(G315*1000&lt;=1700,IF(N315&lt;1.8,"",IF(N315&lt;2.9,"3018",IF(N315&lt;3.8,"3029",IF(N315&lt;5,"3038",IF(N315&lt;7,"3050",IF(N315&lt;9,"3070",IF(N315&lt;11,"3090","3110"))))))),""))))</f>
        <v/>
      </c>
      <c r="Q315">
        <f>AND(O315=TRUE,P315&lt;&gt;"")</f>
        <v/>
      </c>
      <c r="R315">
        <f>IF(G315*1000&lt;750,"なし","あり")</f>
        <v/>
      </c>
      <c r="S315">
        <f>IF(AND(O315=TRUE,Q315=TRUE),"設定可","BLOCK")</f>
        <v/>
      </c>
      <c r="T315" t="inlineStr">
        <is>
          <t>商品カタログ P194</t>
        </is>
      </c>
      <c r="U315" t="inlineStr">
        <is>
          <t>https://webcatalog.lixil.co.jp/iportal/CatalogDetail.do?catalogID=15191910000&amp;categoryID=1630000&amp;designID=newinter&amp;method=initial_screen&amp;position=18&amp;type=mc&amp;volumeID=LXL13001</t>
        </is>
      </c>
    </row>
    <row r="316">
      <c r="A316" t="inlineStr">
        <is>
          <t>WG-SL-00313</t>
        </is>
      </c>
      <c r="B316" t="inlineStr">
        <is>
          <t>SZ-SL-000980</t>
        </is>
      </c>
      <c r="C316" t="inlineStr">
        <is>
          <t>WT-SL-MENKOSHI-AGE-FS</t>
        </is>
      </c>
      <c r="D316" t="inlineStr">
        <is>
          <t>SP-SL-AGE-GRILLE-V</t>
        </is>
      </c>
      <c r="E316" t="inlineStr">
        <is>
          <t>02607</t>
        </is>
      </c>
      <c r="F316" t="n">
        <v>0.3</v>
      </c>
      <c r="G316" t="n">
        <v>0.77</v>
      </c>
      <c r="H316" t="inlineStr">
        <is>
          <t>GL-SL-007</t>
        </is>
      </c>
      <c r="I316" t="n">
        <v>6</v>
      </c>
      <c r="J316" t="n">
        <v>7.8</v>
      </c>
      <c r="K316" t="n">
        <v>-0.355</v>
      </c>
      <c r="L316" t="n">
        <v>-0.664</v>
      </c>
      <c r="M316" t="n">
        <v>0.335</v>
      </c>
      <c r="N316">
        <f>ROUND(J316*F316*G316+K316*G316+L316*F316+M316,3)</f>
        <v/>
      </c>
      <c r="O316">
        <f>AND(N316&gt;=1.4,N316&lt;=13)</f>
        <v/>
      </c>
      <c r="P316">
        <f>IF(OR(N316&lt;1.4,N316&gt;13),"",IF(G316*1000&lt;=1170,IF(N316&lt;1.8,"1014",IF(N316&lt;2.9,"1018",IF(N316&lt;3.8,"1029",IF(N316&lt;5,"1038",IF(N316&lt;7,"1050",IF(N316&lt;9,"1070",IF(N316&lt;11,"1090","1110"))))))),IF(G316*1000&lt;=1570,IF(N316&lt;1.8,"",IF(N316&lt;2.9,"2018",IF(N316&lt;3.8,"2029",IF(N316&lt;5,"2038",IF(N316&lt;7,"2050",IF(N316&lt;9,"2070",IF(N316&lt;11,"2090","2110"))))))),IF(G316*1000&lt;=1700,IF(N316&lt;1.8,"",IF(N316&lt;2.9,"3018",IF(N316&lt;3.8,"3029",IF(N316&lt;5,"3038",IF(N316&lt;7,"3050",IF(N316&lt;9,"3070",IF(N316&lt;11,"3090","3110"))))))),""))))</f>
        <v/>
      </c>
      <c r="Q316">
        <f>AND(O316=TRUE,P316&lt;&gt;"")</f>
        <v/>
      </c>
      <c r="R316">
        <f>IF(G316*1000&lt;750,"なし","あり")</f>
        <v/>
      </c>
      <c r="S316">
        <f>IF(AND(O316=TRUE,Q316=TRUE),"設定可","BLOCK")</f>
        <v/>
      </c>
      <c r="T316" t="inlineStr">
        <is>
          <t>商品カタログ P194</t>
        </is>
      </c>
      <c r="U316" t="inlineStr">
        <is>
          <t>https://webcatalog.lixil.co.jp/iportal/CatalogDetail.do?catalogID=15191910000&amp;categoryID=1630000&amp;designID=newinter&amp;method=initial_screen&amp;position=18&amp;type=mc&amp;volumeID=LXL13001</t>
        </is>
      </c>
    </row>
    <row r="317">
      <c r="A317" t="inlineStr">
        <is>
          <t>WG-SL-00314</t>
        </is>
      </c>
      <c r="B317" t="inlineStr">
        <is>
          <t>SZ-SL-000980</t>
        </is>
      </c>
      <c r="C317" t="inlineStr">
        <is>
          <t>WT-SL-MENKOSHI-AGE-FS</t>
        </is>
      </c>
      <c r="D317" t="inlineStr">
        <is>
          <t>SP-SL-AGE-GRILLE-V</t>
        </is>
      </c>
      <c r="E317" t="inlineStr">
        <is>
          <t>02607</t>
        </is>
      </c>
      <c r="F317" t="n">
        <v>0.3</v>
      </c>
      <c r="G317" t="n">
        <v>0.77</v>
      </c>
      <c r="H317" t="inlineStr">
        <is>
          <t>GL-SL-008</t>
        </is>
      </c>
      <c r="I317" t="n">
        <v>7</v>
      </c>
      <c r="J317" t="n">
        <v>9.1</v>
      </c>
      <c r="K317" t="n">
        <v>-0.48</v>
      </c>
      <c r="L317" t="n">
        <v>-0.998</v>
      </c>
      <c r="M317" t="n">
        <v>0.367</v>
      </c>
      <c r="N317">
        <f>ROUND(J317*F317*G317+K317*G317+L317*F317+M317,3)</f>
        <v/>
      </c>
      <c r="O317">
        <f>AND(N317&gt;=1.4,N317&lt;=13)</f>
        <v/>
      </c>
      <c r="P317">
        <f>IF(OR(N317&lt;1.4,N317&gt;13),"",IF(G317*1000&lt;=1170,IF(N317&lt;1.8,"1014",IF(N317&lt;2.9,"1018",IF(N317&lt;3.8,"1029",IF(N317&lt;5,"1038",IF(N317&lt;7,"1050",IF(N317&lt;9,"1070",IF(N317&lt;11,"1090","1110"))))))),IF(G317*1000&lt;=1570,IF(N317&lt;1.8,"",IF(N317&lt;2.9,"2018",IF(N317&lt;3.8,"2029",IF(N317&lt;5,"2038",IF(N317&lt;7,"2050",IF(N317&lt;9,"2070",IF(N317&lt;11,"2090","2110"))))))),IF(G317*1000&lt;=1700,IF(N317&lt;1.8,"",IF(N317&lt;2.9,"3018",IF(N317&lt;3.8,"3029",IF(N317&lt;5,"3038",IF(N317&lt;7,"3050",IF(N317&lt;9,"3070",IF(N317&lt;11,"3090","3110"))))))),""))))</f>
        <v/>
      </c>
      <c r="Q317">
        <f>AND(O317=TRUE,P317&lt;&gt;"")</f>
        <v/>
      </c>
      <c r="R317">
        <f>IF(G317*1000&lt;750,"なし","あり")</f>
        <v/>
      </c>
      <c r="S317">
        <f>IF(AND(O317=TRUE,Q317=TRUE),"設定可","BLOCK")</f>
        <v/>
      </c>
      <c r="T317" t="inlineStr">
        <is>
          <t>商品カタログ P194</t>
        </is>
      </c>
      <c r="U317" t="inlineStr">
        <is>
          <t>https://webcatalog.lixil.co.jp/iportal/CatalogDetail.do?catalogID=15191910000&amp;categoryID=1630000&amp;designID=newinter&amp;method=initial_screen&amp;position=18&amp;type=mc&amp;volumeID=LXL13001</t>
        </is>
      </c>
    </row>
    <row r="318">
      <c r="A318" t="inlineStr">
        <is>
          <t>WG-SL-00315</t>
        </is>
      </c>
      <c r="B318" t="inlineStr">
        <is>
          <t>SZ-SL-000980</t>
        </is>
      </c>
      <c r="C318" t="inlineStr">
        <is>
          <t>WT-SL-MENKOSHI-AGE-FS</t>
        </is>
      </c>
      <c r="D318" t="inlineStr">
        <is>
          <t>SP-SL-AGE-GRILLE-V</t>
        </is>
      </c>
      <c r="E318" t="inlineStr">
        <is>
          <t>02607</t>
        </is>
      </c>
      <c r="F318" t="n">
        <v>0.3</v>
      </c>
      <c r="G318" t="n">
        <v>0.77</v>
      </c>
      <c r="H318" t="inlineStr">
        <is>
          <t>GL-SL-009</t>
        </is>
      </c>
      <c r="I318" t="n">
        <v>8</v>
      </c>
      <c r="J318" t="n">
        <v>10.4</v>
      </c>
      <c r="K318" t="n">
        <v>-0.605</v>
      </c>
      <c r="L318" t="n">
        <v>-1.332</v>
      </c>
      <c r="M318" t="n">
        <v>0.399</v>
      </c>
      <c r="N318">
        <f>ROUND(J318*F318*G318+K318*G318+L318*F318+M318,3)</f>
        <v/>
      </c>
      <c r="O318">
        <f>AND(N318&gt;=1.4,N318&lt;=13)</f>
        <v/>
      </c>
      <c r="P318">
        <f>IF(OR(N318&lt;1.4,N318&gt;13),"",IF(G318*1000&lt;=1170,IF(N318&lt;1.8,"1014",IF(N318&lt;2.9,"1018",IF(N318&lt;3.8,"1029",IF(N318&lt;5,"1038",IF(N318&lt;7,"1050",IF(N318&lt;9,"1070",IF(N318&lt;11,"1090","1110"))))))),IF(G318*1000&lt;=1570,IF(N318&lt;1.8,"",IF(N318&lt;2.9,"2018",IF(N318&lt;3.8,"2029",IF(N318&lt;5,"2038",IF(N318&lt;7,"2050",IF(N318&lt;9,"2070",IF(N318&lt;11,"2090","2110"))))))),IF(G318*1000&lt;=1700,IF(N318&lt;1.8,"",IF(N318&lt;2.9,"3018",IF(N318&lt;3.8,"3029",IF(N318&lt;5,"3038",IF(N318&lt;7,"3050",IF(N318&lt;9,"3070",IF(N318&lt;11,"3090","3110"))))))),""))))</f>
        <v/>
      </c>
      <c r="Q318">
        <f>AND(O318=TRUE,P318&lt;&gt;"")</f>
        <v/>
      </c>
      <c r="R318">
        <f>IF(G318*1000&lt;750,"なし","あり")</f>
        <v/>
      </c>
      <c r="S318">
        <f>IF(AND(O318=TRUE,Q318=TRUE),"設定可","BLOCK")</f>
        <v/>
      </c>
      <c r="T318" t="inlineStr">
        <is>
          <t>商品カタログ P194</t>
        </is>
      </c>
      <c r="U318" t="inlineStr">
        <is>
          <t>https://webcatalog.lixil.co.jp/iportal/CatalogDetail.do?catalogID=15191910000&amp;categoryID=1630000&amp;designID=newinter&amp;method=initial_screen&amp;position=18&amp;type=mc&amp;volumeID=LXL13001</t>
        </is>
      </c>
    </row>
    <row r="319">
      <c r="A319" t="inlineStr">
        <is>
          <t>WG-SL-00316</t>
        </is>
      </c>
      <c r="B319" t="inlineStr">
        <is>
          <t>SZ-SL-000981</t>
        </is>
      </c>
      <c r="C319" t="inlineStr">
        <is>
          <t>WT-SL-MENKOSHI-AGE-FS</t>
        </is>
      </c>
      <c r="D319" t="inlineStr">
        <is>
          <t>SP-SL-AGE-GRILLE-V</t>
        </is>
      </c>
      <c r="E319" t="inlineStr">
        <is>
          <t>03607</t>
        </is>
      </c>
      <c r="F319" t="n">
        <v>0.405</v>
      </c>
      <c r="G319" t="n">
        <v>0.77</v>
      </c>
      <c r="H319" t="inlineStr">
        <is>
          <t>GL-SL-001</t>
        </is>
      </c>
      <c r="I319" t="n">
        <v>6</v>
      </c>
      <c r="J319" t="n">
        <v>7.8</v>
      </c>
      <c r="K319" t="n">
        <v>-0.355</v>
      </c>
      <c r="L319" t="n">
        <v>-0.664</v>
      </c>
      <c r="M319" t="n">
        <v>0.335</v>
      </c>
      <c r="N319">
        <f>ROUND(J319*F319*G319+K319*G319+L319*F319+M319,3)</f>
        <v/>
      </c>
      <c r="O319">
        <f>AND(N319&gt;=1.4,N319&lt;=13)</f>
        <v/>
      </c>
      <c r="P319">
        <f>IF(OR(N319&lt;1.4,N319&gt;13),"",IF(G319*1000&lt;=1170,IF(N319&lt;1.8,"1014",IF(N319&lt;2.9,"1018",IF(N319&lt;3.8,"1029",IF(N319&lt;5,"1038",IF(N319&lt;7,"1050",IF(N319&lt;9,"1070",IF(N319&lt;11,"1090","1110"))))))),IF(G319*1000&lt;=1570,IF(N319&lt;1.8,"",IF(N319&lt;2.9,"2018",IF(N319&lt;3.8,"2029",IF(N319&lt;5,"2038",IF(N319&lt;7,"2050",IF(N319&lt;9,"2070",IF(N319&lt;11,"2090","2110"))))))),IF(G319*1000&lt;=1700,IF(N319&lt;1.8,"",IF(N319&lt;2.9,"3018",IF(N319&lt;3.8,"3029",IF(N319&lt;5,"3038",IF(N319&lt;7,"3050",IF(N319&lt;9,"3070",IF(N319&lt;11,"3090","3110"))))))),""))))</f>
        <v/>
      </c>
      <c r="Q319">
        <f>AND(O319=TRUE,P319&lt;&gt;"")</f>
        <v/>
      </c>
      <c r="R319">
        <f>IF(G319*1000&lt;750,"なし","あり")</f>
        <v/>
      </c>
      <c r="S319">
        <f>IF(AND(O319=TRUE,Q319=TRUE),"設定可","BLOCK")</f>
        <v/>
      </c>
      <c r="T319" t="inlineStr">
        <is>
          <t>商品カタログ P194</t>
        </is>
      </c>
      <c r="U319" t="inlineStr">
        <is>
          <t>https://webcatalog.lixil.co.jp/iportal/CatalogDetail.do?catalogID=15191910000&amp;categoryID=1630000&amp;designID=newinter&amp;method=initial_screen&amp;position=18&amp;type=mc&amp;volumeID=LXL13001</t>
        </is>
      </c>
    </row>
    <row r="320">
      <c r="A320" t="inlineStr">
        <is>
          <t>WG-SL-00317</t>
        </is>
      </c>
      <c r="B320" t="inlineStr">
        <is>
          <t>SZ-SL-000981</t>
        </is>
      </c>
      <c r="C320" t="inlineStr">
        <is>
          <t>WT-SL-MENKOSHI-AGE-FS</t>
        </is>
      </c>
      <c r="D320" t="inlineStr">
        <is>
          <t>SP-SL-AGE-GRILLE-V</t>
        </is>
      </c>
      <c r="E320" t="inlineStr">
        <is>
          <t>03607</t>
        </is>
      </c>
      <c r="F320" t="n">
        <v>0.405</v>
      </c>
      <c r="G320" t="n">
        <v>0.77</v>
      </c>
      <c r="H320" t="inlineStr">
        <is>
          <t>GL-SL-002</t>
        </is>
      </c>
      <c r="I320" t="n">
        <v>7</v>
      </c>
      <c r="J320" t="n">
        <v>9.1</v>
      </c>
      <c r="K320" t="n">
        <v>-0.48</v>
      </c>
      <c r="L320" t="n">
        <v>-0.998</v>
      </c>
      <c r="M320" t="n">
        <v>0.367</v>
      </c>
      <c r="N320">
        <f>ROUND(J320*F320*G320+K320*G320+L320*F320+M320,3)</f>
        <v/>
      </c>
      <c r="O320">
        <f>AND(N320&gt;=1.4,N320&lt;=13)</f>
        <v/>
      </c>
      <c r="P320">
        <f>IF(OR(N320&lt;1.4,N320&gt;13),"",IF(G320*1000&lt;=1170,IF(N320&lt;1.8,"1014",IF(N320&lt;2.9,"1018",IF(N320&lt;3.8,"1029",IF(N320&lt;5,"1038",IF(N320&lt;7,"1050",IF(N320&lt;9,"1070",IF(N320&lt;11,"1090","1110"))))))),IF(G320*1000&lt;=1570,IF(N320&lt;1.8,"",IF(N320&lt;2.9,"2018",IF(N320&lt;3.8,"2029",IF(N320&lt;5,"2038",IF(N320&lt;7,"2050",IF(N320&lt;9,"2070",IF(N320&lt;11,"2090","2110"))))))),IF(G320*1000&lt;=1700,IF(N320&lt;1.8,"",IF(N320&lt;2.9,"3018",IF(N320&lt;3.8,"3029",IF(N320&lt;5,"3038",IF(N320&lt;7,"3050",IF(N320&lt;9,"3070",IF(N320&lt;11,"3090","3110"))))))),""))))</f>
        <v/>
      </c>
      <c r="Q320">
        <f>AND(O320=TRUE,P320&lt;&gt;"")</f>
        <v/>
      </c>
      <c r="R320">
        <f>IF(G320*1000&lt;750,"なし","あり")</f>
        <v/>
      </c>
      <c r="S320">
        <f>IF(AND(O320=TRUE,Q320=TRUE),"設定可","BLOCK")</f>
        <v/>
      </c>
      <c r="T320" t="inlineStr">
        <is>
          <t>商品カタログ P194</t>
        </is>
      </c>
      <c r="U320" t="inlineStr">
        <is>
          <t>https://webcatalog.lixil.co.jp/iportal/CatalogDetail.do?catalogID=15191910000&amp;categoryID=1630000&amp;designID=newinter&amp;method=initial_screen&amp;position=18&amp;type=mc&amp;volumeID=LXL13001</t>
        </is>
      </c>
    </row>
    <row r="321">
      <c r="A321" t="inlineStr">
        <is>
          <t>WG-SL-00318</t>
        </is>
      </c>
      <c r="B321" t="inlineStr">
        <is>
          <t>SZ-SL-000981</t>
        </is>
      </c>
      <c r="C321" t="inlineStr">
        <is>
          <t>WT-SL-MENKOSHI-AGE-FS</t>
        </is>
      </c>
      <c r="D321" t="inlineStr">
        <is>
          <t>SP-SL-AGE-GRILLE-V</t>
        </is>
      </c>
      <c r="E321" t="inlineStr">
        <is>
          <t>03607</t>
        </is>
      </c>
      <c r="F321" t="n">
        <v>0.405</v>
      </c>
      <c r="G321" t="n">
        <v>0.77</v>
      </c>
      <c r="H321" t="inlineStr">
        <is>
          <t>GL-SL-003</t>
        </is>
      </c>
      <c r="I321" t="n">
        <v>8</v>
      </c>
      <c r="J321" t="n">
        <v>10.4</v>
      </c>
      <c r="K321" t="n">
        <v>-0.605</v>
      </c>
      <c r="L321" t="n">
        <v>-1.332</v>
      </c>
      <c r="M321" t="n">
        <v>0.399</v>
      </c>
      <c r="N321">
        <f>ROUND(J321*F321*G321+K321*G321+L321*F321+M321,3)</f>
        <v/>
      </c>
      <c r="O321">
        <f>AND(N321&gt;=1.4,N321&lt;=13)</f>
        <v/>
      </c>
      <c r="P321">
        <f>IF(OR(N321&lt;1.4,N321&gt;13),"",IF(G321*1000&lt;=1170,IF(N321&lt;1.8,"1014",IF(N321&lt;2.9,"1018",IF(N321&lt;3.8,"1029",IF(N321&lt;5,"1038",IF(N321&lt;7,"1050",IF(N321&lt;9,"1070",IF(N321&lt;11,"1090","1110"))))))),IF(G321*1000&lt;=1570,IF(N321&lt;1.8,"",IF(N321&lt;2.9,"2018",IF(N321&lt;3.8,"2029",IF(N321&lt;5,"2038",IF(N321&lt;7,"2050",IF(N321&lt;9,"2070",IF(N321&lt;11,"2090","2110"))))))),IF(G321*1000&lt;=1700,IF(N321&lt;1.8,"",IF(N321&lt;2.9,"3018",IF(N321&lt;3.8,"3029",IF(N321&lt;5,"3038",IF(N321&lt;7,"3050",IF(N321&lt;9,"3070",IF(N321&lt;11,"3090","3110"))))))),""))))</f>
        <v/>
      </c>
      <c r="Q321">
        <f>AND(O321=TRUE,P321&lt;&gt;"")</f>
        <v/>
      </c>
      <c r="R321">
        <f>IF(G321*1000&lt;750,"なし","あり")</f>
        <v/>
      </c>
      <c r="S321">
        <f>IF(AND(O321=TRUE,Q321=TRUE),"設定可","BLOCK")</f>
        <v/>
      </c>
      <c r="T321" t="inlineStr">
        <is>
          <t>商品カタログ P194</t>
        </is>
      </c>
      <c r="U321" t="inlineStr">
        <is>
          <t>https://webcatalog.lixil.co.jp/iportal/CatalogDetail.do?catalogID=15191910000&amp;categoryID=1630000&amp;designID=newinter&amp;method=initial_screen&amp;position=18&amp;type=mc&amp;volumeID=LXL13001</t>
        </is>
      </c>
    </row>
    <row r="322">
      <c r="A322" t="inlineStr">
        <is>
          <t>WG-SL-00319</t>
        </is>
      </c>
      <c r="B322" t="inlineStr">
        <is>
          <t>SZ-SL-000981</t>
        </is>
      </c>
      <c r="C322" t="inlineStr">
        <is>
          <t>WT-SL-MENKOSHI-AGE-FS</t>
        </is>
      </c>
      <c r="D322" t="inlineStr">
        <is>
          <t>SP-SL-AGE-GRILLE-V</t>
        </is>
      </c>
      <c r="E322" t="inlineStr">
        <is>
          <t>03607</t>
        </is>
      </c>
      <c r="F322" t="n">
        <v>0.405</v>
      </c>
      <c r="G322" t="n">
        <v>0.77</v>
      </c>
      <c r="H322" t="inlineStr">
        <is>
          <t>GL-SL-004</t>
        </is>
      </c>
      <c r="I322" t="n">
        <v>6</v>
      </c>
      <c r="J322" t="n">
        <v>7.8</v>
      </c>
      <c r="K322" t="n">
        <v>-0.355</v>
      </c>
      <c r="L322" t="n">
        <v>-0.664</v>
      </c>
      <c r="M322" t="n">
        <v>0.335</v>
      </c>
      <c r="N322">
        <f>ROUND(J322*F322*G322+K322*G322+L322*F322+M322,3)</f>
        <v/>
      </c>
      <c r="O322">
        <f>AND(N322&gt;=1.4,N322&lt;=13)</f>
        <v/>
      </c>
      <c r="P322">
        <f>IF(OR(N322&lt;1.4,N322&gt;13),"",IF(G322*1000&lt;=1170,IF(N322&lt;1.8,"1014",IF(N322&lt;2.9,"1018",IF(N322&lt;3.8,"1029",IF(N322&lt;5,"1038",IF(N322&lt;7,"1050",IF(N322&lt;9,"1070",IF(N322&lt;11,"1090","1110"))))))),IF(G322*1000&lt;=1570,IF(N322&lt;1.8,"",IF(N322&lt;2.9,"2018",IF(N322&lt;3.8,"2029",IF(N322&lt;5,"2038",IF(N322&lt;7,"2050",IF(N322&lt;9,"2070",IF(N322&lt;11,"2090","2110"))))))),IF(G322*1000&lt;=1700,IF(N322&lt;1.8,"",IF(N322&lt;2.9,"3018",IF(N322&lt;3.8,"3029",IF(N322&lt;5,"3038",IF(N322&lt;7,"3050",IF(N322&lt;9,"3070",IF(N322&lt;11,"3090","3110"))))))),""))))</f>
        <v/>
      </c>
      <c r="Q322">
        <f>AND(O322=TRUE,P322&lt;&gt;"")</f>
        <v/>
      </c>
      <c r="R322">
        <f>IF(G322*1000&lt;750,"なし","あり")</f>
        <v/>
      </c>
      <c r="S322">
        <f>IF(AND(O322=TRUE,Q322=TRUE),"設定可","BLOCK")</f>
        <v/>
      </c>
      <c r="T322" t="inlineStr">
        <is>
          <t>商品カタログ P194</t>
        </is>
      </c>
      <c r="U322" t="inlineStr">
        <is>
          <t>https://webcatalog.lixil.co.jp/iportal/CatalogDetail.do?catalogID=15191910000&amp;categoryID=1630000&amp;designID=newinter&amp;method=initial_screen&amp;position=18&amp;type=mc&amp;volumeID=LXL13001</t>
        </is>
      </c>
    </row>
    <row r="323">
      <c r="A323" t="inlineStr">
        <is>
          <t>WG-SL-00320</t>
        </is>
      </c>
      <c r="B323" t="inlineStr">
        <is>
          <t>SZ-SL-000981</t>
        </is>
      </c>
      <c r="C323" t="inlineStr">
        <is>
          <t>WT-SL-MENKOSHI-AGE-FS</t>
        </is>
      </c>
      <c r="D323" t="inlineStr">
        <is>
          <t>SP-SL-AGE-GRILLE-V</t>
        </is>
      </c>
      <c r="E323" t="inlineStr">
        <is>
          <t>03607</t>
        </is>
      </c>
      <c r="F323" t="n">
        <v>0.405</v>
      </c>
      <c r="G323" t="n">
        <v>0.77</v>
      </c>
      <c r="H323" t="inlineStr">
        <is>
          <t>GL-SL-005</t>
        </is>
      </c>
      <c r="I323" t="n">
        <v>7</v>
      </c>
      <c r="J323" t="n">
        <v>9.1</v>
      </c>
      <c r="K323" t="n">
        <v>-0.48</v>
      </c>
      <c r="L323" t="n">
        <v>-0.998</v>
      </c>
      <c r="M323" t="n">
        <v>0.367</v>
      </c>
      <c r="N323">
        <f>ROUND(J323*F323*G323+K323*G323+L323*F323+M323,3)</f>
        <v/>
      </c>
      <c r="O323">
        <f>AND(N323&gt;=1.4,N323&lt;=13)</f>
        <v/>
      </c>
      <c r="P323">
        <f>IF(OR(N323&lt;1.4,N323&gt;13),"",IF(G323*1000&lt;=1170,IF(N323&lt;1.8,"1014",IF(N323&lt;2.9,"1018",IF(N323&lt;3.8,"1029",IF(N323&lt;5,"1038",IF(N323&lt;7,"1050",IF(N323&lt;9,"1070",IF(N323&lt;11,"1090","1110"))))))),IF(G323*1000&lt;=1570,IF(N323&lt;1.8,"",IF(N323&lt;2.9,"2018",IF(N323&lt;3.8,"2029",IF(N323&lt;5,"2038",IF(N323&lt;7,"2050",IF(N323&lt;9,"2070",IF(N323&lt;11,"2090","2110"))))))),IF(G323*1000&lt;=1700,IF(N323&lt;1.8,"",IF(N323&lt;2.9,"3018",IF(N323&lt;3.8,"3029",IF(N323&lt;5,"3038",IF(N323&lt;7,"3050",IF(N323&lt;9,"3070",IF(N323&lt;11,"3090","3110"))))))),""))))</f>
        <v/>
      </c>
      <c r="Q323">
        <f>AND(O323=TRUE,P323&lt;&gt;"")</f>
        <v/>
      </c>
      <c r="R323">
        <f>IF(G323*1000&lt;750,"なし","あり")</f>
        <v/>
      </c>
      <c r="S323">
        <f>IF(AND(O323=TRUE,Q323=TRUE),"設定可","BLOCK")</f>
        <v/>
      </c>
      <c r="T323" t="inlineStr">
        <is>
          <t>商品カタログ P194</t>
        </is>
      </c>
      <c r="U323" t="inlineStr">
        <is>
          <t>https://webcatalog.lixil.co.jp/iportal/CatalogDetail.do?catalogID=15191910000&amp;categoryID=1630000&amp;designID=newinter&amp;method=initial_screen&amp;position=18&amp;type=mc&amp;volumeID=LXL13001</t>
        </is>
      </c>
    </row>
    <row r="324">
      <c r="A324" t="inlineStr">
        <is>
          <t>WG-SL-00321</t>
        </is>
      </c>
      <c r="B324" t="inlineStr">
        <is>
          <t>SZ-SL-000981</t>
        </is>
      </c>
      <c r="C324" t="inlineStr">
        <is>
          <t>WT-SL-MENKOSHI-AGE-FS</t>
        </is>
      </c>
      <c r="D324" t="inlineStr">
        <is>
          <t>SP-SL-AGE-GRILLE-V</t>
        </is>
      </c>
      <c r="E324" t="inlineStr">
        <is>
          <t>03607</t>
        </is>
      </c>
      <c r="F324" t="n">
        <v>0.405</v>
      </c>
      <c r="G324" t="n">
        <v>0.77</v>
      </c>
      <c r="H324" t="inlineStr">
        <is>
          <t>GL-SL-006</t>
        </is>
      </c>
      <c r="I324" t="n">
        <v>8</v>
      </c>
      <c r="J324" t="n">
        <v>10.4</v>
      </c>
      <c r="K324" t="n">
        <v>-0.605</v>
      </c>
      <c r="L324" t="n">
        <v>-1.332</v>
      </c>
      <c r="M324" t="n">
        <v>0.399</v>
      </c>
      <c r="N324">
        <f>ROUND(J324*F324*G324+K324*G324+L324*F324+M324,3)</f>
        <v/>
      </c>
      <c r="O324">
        <f>AND(N324&gt;=1.4,N324&lt;=13)</f>
        <v/>
      </c>
      <c r="P324">
        <f>IF(OR(N324&lt;1.4,N324&gt;13),"",IF(G324*1000&lt;=1170,IF(N324&lt;1.8,"1014",IF(N324&lt;2.9,"1018",IF(N324&lt;3.8,"1029",IF(N324&lt;5,"1038",IF(N324&lt;7,"1050",IF(N324&lt;9,"1070",IF(N324&lt;11,"1090","1110"))))))),IF(G324*1000&lt;=1570,IF(N324&lt;1.8,"",IF(N324&lt;2.9,"2018",IF(N324&lt;3.8,"2029",IF(N324&lt;5,"2038",IF(N324&lt;7,"2050",IF(N324&lt;9,"2070",IF(N324&lt;11,"2090","2110"))))))),IF(G324*1000&lt;=1700,IF(N324&lt;1.8,"",IF(N324&lt;2.9,"3018",IF(N324&lt;3.8,"3029",IF(N324&lt;5,"3038",IF(N324&lt;7,"3050",IF(N324&lt;9,"3070",IF(N324&lt;11,"3090","3110"))))))),""))))</f>
        <v/>
      </c>
      <c r="Q324">
        <f>AND(O324=TRUE,P324&lt;&gt;"")</f>
        <v/>
      </c>
      <c r="R324">
        <f>IF(G324*1000&lt;750,"なし","あり")</f>
        <v/>
      </c>
      <c r="S324">
        <f>IF(AND(O324=TRUE,Q324=TRUE),"設定可","BLOCK")</f>
        <v/>
      </c>
      <c r="T324" t="inlineStr">
        <is>
          <t>商品カタログ P194</t>
        </is>
      </c>
      <c r="U324" t="inlineStr">
        <is>
          <t>https://webcatalog.lixil.co.jp/iportal/CatalogDetail.do?catalogID=15191910000&amp;categoryID=1630000&amp;designID=newinter&amp;method=initial_screen&amp;position=18&amp;type=mc&amp;volumeID=LXL13001</t>
        </is>
      </c>
    </row>
    <row r="325">
      <c r="A325" t="inlineStr">
        <is>
          <t>WG-SL-00322</t>
        </is>
      </c>
      <c r="B325" t="inlineStr">
        <is>
          <t>SZ-SL-000981</t>
        </is>
      </c>
      <c r="C325" t="inlineStr">
        <is>
          <t>WT-SL-MENKOSHI-AGE-FS</t>
        </is>
      </c>
      <c r="D325" t="inlineStr">
        <is>
          <t>SP-SL-AGE-GRILLE-V</t>
        </is>
      </c>
      <c r="E325" t="inlineStr">
        <is>
          <t>03607</t>
        </is>
      </c>
      <c r="F325" t="n">
        <v>0.405</v>
      </c>
      <c r="G325" t="n">
        <v>0.77</v>
      </c>
      <c r="H325" t="inlineStr">
        <is>
          <t>GL-SL-007</t>
        </is>
      </c>
      <c r="I325" t="n">
        <v>6</v>
      </c>
      <c r="J325" t="n">
        <v>7.8</v>
      </c>
      <c r="K325" t="n">
        <v>-0.355</v>
      </c>
      <c r="L325" t="n">
        <v>-0.664</v>
      </c>
      <c r="M325" t="n">
        <v>0.335</v>
      </c>
      <c r="N325">
        <f>ROUND(J325*F325*G325+K325*G325+L325*F325+M325,3)</f>
        <v/>
      </c>
      <c r="O325">
        <f>AND(N325&gt;=1.4,N325&lt;=13)</f>
        <v/>
      </c>
      <c r="P325">
        <f>IF(OR(N325&lt;1.4,N325&gt;13),"",IF(G325*1000&lt;=1170,IF(N325&lt;1.8,"1014",IF(N325&lt;2.9,"1018",IF(N325&lt;3.8,"1029",IF(N325&lt;5,"1038",IF(N325&lt;7,"1050",IF(N325&lt;9,"1070",IF(N325&lt;11,"1090","1110"))))))),IF(G325*1000&lt;=1570,IF(N325&lt;1.8,"",IF(N325&lt;2.9,"2018",IF(N325&lt;3.8,"2029",IF(N325&lt;5,"2038",IF(N325&lt;7,"2050",IF(N325&lt;9,"2070",IF(N325&lt;11,"2090","2110"))))))),IF(G325*1000&lt;=1700,IF(N325&lt;1.8,"",IF(N325&lt;2.9,"3018",IF(N325&lt;3.8,"3029",IF(N325&lt;5,"3038",IF(N325&lt;7,"3050",IF(N325&lt;9,"3070",IF(N325&lt;11,"3090","3110"))))))),""))))</f>
        <v/>
      </c>
      <c r="Q325">
        <f>AND(O325=TRUE,P325&lt;&gt;"")</f>
        <v/>
      </c>
      <c r="R325">
        <f>IF(G325*1000&lt;750,"なし","あり")</f>
        <v/>
      </c>
      <c r="S325">
        <f>IF(AND(O325=TRUE,Q325=TRUE),"設定可","BLOCK")</f>
        <v/>
      </c>
      <c r="T325" t="inlineStr">
        <is>
          <t>商品カタログ P194</t>
        </is>
      </c>
      <c r="U325" t="inlineStr">
        <is>
          <t>https://webcatalog.lixil.co.jp/iportal/CatalogDetail.do?catalogID=15191910000&amp;categoryID=1630000&amp;designID=newinter&amp;method=initial_screen&amp;position=18&amp;type=mc&amp;volumeID=LXL13001</t>
        </is>
      </c>
    </row>
    <row r="326">
      <c r="A326" t="inlineStr">
        <is>
          <t>WG-SL-00323</t>
        </is>
      </c>
      <c r="B326" t="inlineStr">
        <is>
          <t>SZ-SL-000981</t>
        </is>
      </c>
      <c r="C326" t="inlineStr">
        <is>
          <t>WT-SL-MENKOSHI-AGE-FS</t>
        </is>
      </c>
      <c r="D326" t="inlineStr">
        <is>
          <t>SP-SL-AGE-GRILLE-V</t>
        </is>
      </c>
      <c r="E326" t="inlineStr">
        <is>
          <t>03607</t>
        </is>
      </c>
      <c r="F326" t="n">
        <v>0.405</v>
      </c>
      <c r="G326" t="n">
        <v>0.77</v>
      </c>
      <c r="H326" t="inlineStr">
        <is>
          <t>GL-SL-008</t>
        </is>
      </c>
      <c r="I326" t="n">
        <v>7</v>
      </c>
      <c r="J326" t="n">
        <v>9.1</v>
      </c>
      <c r="K326" t="n">
        <v>-0.48</v>
      </c>
      <c r="L326" t="n">
        <v>-0.998</v>
      </c>
      <c r="M326" t="n">
        <v>0.367</v>
      </c>
      <c r="N326">
        <f>ROUND(J326*F326*G326+K326*G326+L326*F326+M326,3)</f>
        <v/>
      </c>
      <c r="O326">
        <f>AND(N326&gt;=1.4,N326&lt;=13)</f>
        <v/>
      </c>
      <c r="P326">
        <f>IF(OR(N326&lt;1.4,N326&gt;13),"",IF(G326*1000&lt;=1170,IF(N326&lt;1.8,"1014",IF(N326&lt;2.9,"1018",IF(N326&lt;3.8,"1029",IF(N326&lt;5,"1038",IF(N326&lt;7,"1050",IF(N326&lt;9,"1070",IF(N326&lt;11,"1090","1110"))))))),IF(G326*1000&lt;=1570,IF(N326&lt;1.8,"",IF(N326&lt;2.9,"2018",IF(N326&lt;3.8,"2029",IF(N326&lt;5,"2038",IF(N326&lt;7,"2050",IF(N326&lt;9,"2070",IF(N326&lt;11,"2090","2110"))))))),IF(G326*1000&lt;=1700,IF(N326&lt;1.8,"",IF(N326&lt;2.9,"3018",IF(N326&lt;3.8,"3029",IF(N326&lt;5,"3038",IF(N326&lt;7,"3050",IF(N326&lt;9,"3070",IF(N326&lt;11,"3090","3110"))))))),""))))</f>
        <v/>
      </c>
      <c r="Q326">
        <f>AND(O326=TRUE,P326&lt;&gt;"")</f>
        <v/>
      </c>
      <c r="R326">
        <f>IF(G326*1000&lt;750,"なし","あり")</f>
        <v/>
      </c>
      <c r="S326">
        <f>IF(AND(O326=TRUE,Q326=TRUE),"設定可","BLOCK")</f>
        <v/>
      </c>
      <c r="T326" t="inlineStr">
        <is>
          <t>商品カタログ P194</t>
        </is>
      </c>
      <c r="U326" t="inlineStr">
        <is>
          <t>https://webcatalog.lixil.co.jp/iportal/CatalogDetail.do?catalogID=15191910000&amp;categoryID=1630000&amp;designID=newinter&amp;method=initial_screen&amp;position=18&amp;type=mc&amp;volumeID=LXL13001</t>
        </is>
      </c>
    </row>
    <row r="327">
      <c r="A327" t="inlineStr">
        <is>
          <t>WG-SL-00324</t>
        </is>
      </c>
      <c r="B327" t="inlineStr">
        <is>
          <t>SZ-SL-000981</t>
        </is>
      </c>
      <c r="C327" t="inlineStr">
        <is>
          <t>WT-SL-MENKOSHI-AGE-FS</t>
        </is>
      </c>
      <c r="D327" t="inlineStr">
        <is>
          <t>SP-SL-AGE-GRILLE-V</t>
        </is>
      </c>
      <c r="E327" t="inlineStr">
        <is>
          <t>03607</t>
        </is>
      </c>
      <c r="F327" t="n">
        <v>0.405</v>
      </c>
      <c r="G327" t="n">
        <v>0.77</v>
      </c>
      <c r="H327" t="inlineStr">
        <is>
          <t>GL-SL-009</t>
        </is>
      </c>
      <c r="I327" t="n">
        <v>8</v>
      </c>
      <c r="J327" t="n">
        <v>10.4</v>
      </c>
      <c r="K327" t="n">
        <v>-0.605</v>
      </c>
      <c r="L327" t="n">
        <v>-1.332</v>
      </c>
      <c r="M327" t="n">
        <v>0.399</v>
      </c>
      <c r="N327">
        <f>ROUND(J327*F327*G327+K327*G327+L327*F327+M327,3)</f>
        <v/>
      </c>
      <c r="O327">
        <f>AND(N327&gt;=1.4,N327&lt;=13)</f>
        <v/>
      </c>
      <c r="P327">
        <f>IF(OR(N327&lt;1.4,N327&gt;13),"",IF(G327*1000&lt;=1170,IF(N327&lt;1.8,"1014",IF(N327&lt;2.9,"1018",IF(N327&lt;3.8,"1029",IF(N327&lt;5,"1038",IF(N327&lt;7,"1050",IF(N327&lt;9,"1070",IF(N327&lt;11,"1090","1110"))))))),IF(G327*1000&lt;=1570,IF(N327&lt;1.8,"",IF(N327&lt;2.9,"2018",IF(N327&lt;3.8,"2029",IF(N327&lt;5,"2038",IF(N327&lt;7,"2050",IF(N327&lt;9,"2070",IF(N327&lt;11,"2090","2110"))))))),IF(G327*1000&lt;=1700,IF(N327&lt;1.8,"",IF(N327&lt;2.9,"3018",IF(N327&lt;3.8,"3029",IF(N327&lt;5,"3038",IF(N327&lt;7,"3050",IF(N327&lt;9,"3070",IF(N327&lt;11,"3090","3110"))))))),""))))</f>
        <v/>
      </c>
      <c r="Q327">
        <f>AND(O327=TRUE,P327&lt;&gt;"")</f>
        <v/>
      </c>
      <c r="R327">
        <f>IF(G327*1000&lt;750,"なし","あり")</f>
        <v/>
      </c>
      <c r="S327">
        <f>IF(AND(O327=TRUE,Q327=TRUE),"設定可","BLOCK")</f>
        <v/>
      </c>
      <c r="T327" t="inlineStr">
        <is>
          <t>商品カタログ P194</t>
        </is>
      </c>
      <c r="U327" t="inlineStr">
        <is>
          <t>https://webcatalog.lixil.co.jp/iportal/CatalogDetail.do?catalogID=15191910000&amp;categoryID=1630000&amp;designID=newinter&amp;method=initial_screen&amp;position=18&amp;type=mc&amp;volumeID=LXL13001</t>
        </is>
      </c>
    </row>
    <row r="328">
      <c r="A328" t="inlineStr">
        <is>
          <t>WG-SL-00325</t>
        </is>
      </c>
      <c r="B328" t="inlineStr">
        <is>
          <t>SZ-SL-000982</t>
        </is>
      </c>
      <c r="C328" t="inlineStr">
        <is>
          <t>WT-SL-MENKOSHI-AGE-FS</t>
        </is>
      </c>
      <c r="D328" t="inlineStr">
        <is>
          <t>SP-SL-AGE-GRILLE-V</t>
        </is>
      </c>
      <c r="E328" t="inlineStr">
        <is>
          <t>06007</t>
        </is>
      </c>
      <c r="F328" t="n">
        <v>0.64</v>
      </c>
      <c r="G328" t="n">
        <v>0.77</v>
      </c>
      <c r="H328" t="inlineStr">
        <is>
          <t>GL-SL-001</t>
        </is>
      </c>
      <c r="I328" t="n">
        <v>6</v>
      </c>
      <c r="J328" t="n">
        <v>7.8</v>
      </c>
      <c r="K328" t="n">
        <v>-0.355</v>
      </c>
      <c r="L328" t="n">
        <v>-0.664</v>
      </c>
      <c r="M328" t="n">
        <v>0.335</v>
      </c>
      <c r="N328">
        <f>ROUND(J328*F328*G328+K328*G328+L328*F328+M328,3)</f>
        <v/>
      </c>
      <c r="O328">
        <f>AND(N328&gt;=1.4,N328&lt;=13)</f>
        <v/>
      </c>
      <c r="P328">
        <f>IF(OR(N328&lt;1.4,N328&gt;13),"",IF(G328*1000&lt;=1170,IF(N328&lt;1.8,"1014",IF(N328&lt;2.9,"1018",IF(N328&lt;3.8,"1029",IF(N328&lt;5,"1038",IF(N328&lt;7,"1050",IF(N328&lt;9,"1070",IF(N328&lt;11,"1090","1110"))))))),IF(G328*1000&lt;=1570,IF(N328&lt;1.8,"",IF(N328&lt;2.9,"2018",IF(N328&lt;3.8,"2029",IF(N328&lt;5,"2038",IF(N328&lt;7,"2050",IF(N328&lt;9,"2070",IF(N328&lt;11,"2090","2110"))))))),IF(G328*1000&lt;=1700,IF(N328&lt;1.8,"",IF(N328&lt;2.9,"3018",IF(N328&lt;3.8,"3029",IF(N328&lt;5,"3038",IF(N328&lt;7,"3050",IF(N328&lt;9,"3070",IF(N328&lt;11,"3090","3110"))))))),""))))</f>
        <v/>
      </c>
      <c r="Q328">
        <f>AND(O328=TRUE,P328&lt;&gt;"")</f>
        <v/>
      </c>
      <c r="R328">
        <f>IF(G328*1000&lt;750,"なし","あり")</f>
        <v/>
      </c>
      <c r="S328">
        <f>IF(AND(O328=TRUE,Q328=TRUE),"設定可","BLOCK")</f>
        <v/>
      </c>
      <c r="T328" t="inlineStr">
        <is>
          <t>商品カタログ P194</t>
        </is>
      </c>
      <c r="U328" t="inlineStr">
        <is>
          <t>https://webcatalog.lixil.co.jp/iportal/CatalogDetail.do?catalogID=15191910000&amp;categoryID=1630000&amp;designID=newinter&amp;method=initial_screen&amp;position=18&amp;type=mc&amp;volumeID=LXL13001</t>
        </is>
      </c>
    </row>
    <row r="329">
      <c r="A329" t="inlineStr">
        <is>
          <t>WG-SL-00326</t>
        </is>
      </c>
      <c r="B329" t="inlineStr">
        <is>
          <t>SZ-SL-000982</t>
        </is>
      </c>
      <c r="C329" t="inlineStr">
        <is>
          <t>WT-SL-MENKOSHI-AGE-FS</t>
        </is>
      </c>
      <c r="D329" t="inlineStr">
        <is>
          <t>SP-SL-AGE-GRILLE-V</t>
        </is>
      </c>
      <c r="E329" t="inlineStr">
        <is>
          <t>06007</t>
        </is>
      </c>
      <c r="F329" t="n">
        <v>0.64</v>
      </c>
      <c r="G329" t="n">
        <v>0.77</v>
      </c>
      <c r="H329" t="inlineStr">
        <is>
          <t>GL-SL-002</t>
        </is>
      </c>
      <c r="I329" t="n">
        <v>7</v>
      </c>
      <c r="J329" t="n">
        <v>9.1</v>
      </c>
      <c r="K329" t="n">
        <v>-0.48</v>
      </c>
      <c r="L329" t="n">
        <v>-0.998</v>
      </c>
      <c r="M329" t="n">
        <v>0.367</v>
      </c>
      <c r="N329">
        <f>ROUND(J329*F329*G329+K329*G329+L329*F329+M329,3)</f>
        <v/>
      </c>
      <c r="O329">
        <f>AND(N329&gt;=1.4,N329&lt;=13)</f>
        <v/>
      </c>
      <c r="P329">
        <f>IF(OR(N329&lt;1.4,N329&gt;13),"",IF(G329*1000&lt;=1170,IF(N329&lt;1.8,"1014",IF(N329&lt;2.9,"1018",IF(N329&lt;3.8,"1029",IF(N329&lt;5,"1038",IF(N329&lt;7,"1050",IF(N329&lt;9,"1070",IF(N329&lt;11,"1090","1110"))))))),IF(G329*1000&lt;=1570,IF(N329&lt;1.8,"",IF(N329&lt;2.9,"2018",IF(N329&lt;3.8,"2029",IF(N329&lt;5,"2038",IF(N329&lt;7,"2050",IF(N329&lt;9,"2070",IF(N329&lt;11,"2090","2110"))))))),IF(G329*1000&lt;=1700,IF(N329&lt;1.8,"",IF(N329&lt;2.9,"3018",IF(N329&lt;3.8,"3029",IF(N329&lt;5,"3038",IF(N329&lt;7,"3050",IF(N329&lt;9,"3070",IF(N329&lt;11,"3090","3110"))))))),""))))</f>
        <v/>
      </c>
      <c r="Q329">
        <f>AND(O329=TRUE,P329&lt;&gt;"")</f>
        <v/>
      </c>
      <c r="R329">
        <f>IF(G329*1000&lt;750,"なし","あり")</f>
        <v/>
      </c>
      <c r="S329">
        <f>IF(AND(O329=TRUE,Q329=TRUE),"設定可","BLOCK")</f>
        <v/>
      </c>
      <c r="T329" t="inlineStr">
        <is>
          <t>商品カタログ P194</t>
        </is>
      </c>
      <c r="U329" t="inlineStr">
        <is>
          <t>https://webcatalog.lixil.co.jp/iportal/CatalogDetail.do?catalogID=15191910000&amp;categoryID=1630000&amp;designID=newinter&amp;method=initial_screen&amp;position=18&amp;type=mc&amp;volumeID=LXL13001</t>
        </is>
      </c>
    </row>
    <row r="330">
      <c r="A330" t="inlineStr">
        <is>
          <t>WG-SL-00327</t>
        </is>
      </c>
      <c r="B330" t="inlineStr">
        <is>
          <t>SZ-SL-000982</t>
        </is>
      </c>
      <c r="C330" t="inlineStr">
        <is>
          <t>WT-SL-MENKOSHI-AGE-FS</t>
        </is>
      </c>
      <c r="D330" t="inlineStr">
        <is>
          <t>SP-SL-AGE-GRILLE-V</t>
        </is>
      </c>
      <c r="E330" t="inlineStr">
        <is>
          <t>06007</t>
        </is>
      </c>
      <c r="F330" t="n">
        <v>0.64</v>
      </c>
      <c r="G330" t="n">
        <v>0.77</v>
      </c>
      <c r="H330" t="inlineStr">
        <is>
          <t>GL-SL-003</t>
        </is>
      </c>
      <c r="I330" t="n">
        <v>8</v>
      </c>
      <c r="J330" t="n">
        <v>10.4</v>
      </c>
      <c r="K330" t="n">
        <v>-0.605</v>
      </c>
      <c r="L330" t="n">
        <v>-1.332</v>
      </c>
      <c r="M330" t="n">
        <v>0.399</v>
      </c>
      <c r="N330">
        <f>ROUND(J330*F330*G330+K330*G330+L330*F330+M330,3)</f>
        <v/>
      </c>
      <c r="O330">
        <f>AND(N330&gt;=1.4,N330&lt;=13)</f>
        <v/>
      </c>
      <c r="P330">
        <f>IF(OR(N330&lt;1.4,N330&gt;13),"",IF(G330*1000&lt;=1170,IF(N330&lt;1.8,"1014",IF(N330&lt;2.9,"1018",IF(N330&lt;3.8,"1029",IF(N330&lt;5,"1038",IF(N330&lt;7,"1050",IF(N330&lt;9,"1070",IF(N330&lt;11,"1090","1110"))))))),IF(G330*1000&lt;=1570,IF(N330&lt;1.8,"",IF(N330&lt;2.9,"2018",IF(N330&lt;3.8,"2029",IF(N330&lt;5,"2038",IF(N330&lt;7,"2050",IF(N330&lt;9,"2070",IF(N330&lt;11,"2090","2110"))))))),IF(G330*1000&lt;=1700,IF(N330&lt;1.8,"",IF(N330&lt;2.9,"3018",IF(N330&lt;3.8,"3029",IF(N330&lt;5,"3038",IF(N330&lt;7,"3050",IF(N330&lt;9,"3070",IF(N330&lt;11,"3090","3110"))))))),""))))</f>
        <v/>
      </c>
      <c r="Q330">
        <f>AND(O330=TRUE,P330&lt;&gt;"")</f>
        <v/>
      </c>
      <c r="R330">
        <f>IF(G330*1000&lt;750,"なし","あり")</f>
        <v/>
      </c>
      <c r="S330">
        <f>IF(AND(O330=TRUE,Q330=TRUE),"設定可","BLOCK")</f>
        <v/>
      </c>
      <c r="T330" t="inlineStr">
        <is>
          <t>商品カタログ P194</t>
        </is>
      </c>
      <c r="U330" t="inlineStr">
        <is>
          <t>https://webcatalog.lixil.co.jp/iportal/CatalogDetail.do?catalogID=15191910000&amp;categoryID=1630000&amp;designID=newinter&amp;method=initial_screen&amp;position=18&amp;type=mc&amp;volumeID=LXL13001</t>
        </is>
      </c>
    </row>
    <row r="331">
      <c r="A331" t="inlineStr">
        <is>
          <t>WG-SL-00328</t>
        </is>
      </c>
      <c r="B331" t="inlineStr">
        <is>
          <t>SZ-SL-000982</t>
        </is>
      </c>
      <c r="C331" t="inlineStr">
        <is>
          <t>WT-SL-MENKOSHI-AGE-FS</t>
        </is>
      </c>
      <c r="D331" t="inlineStr">
        <is>
          <t>SP-SL-AGE-GRILLE-V</t>
        </is>
      </c>
      <c r="E331" t="inlineStr">
        <is>
          <t>06007</t>
        </is>
      </c>
      <c r="F331" t="n">
        <v>0.64</v>
      </c>
      <c r="G331" t="n">
        <v>0.77</v>
      </c>
      <c r="H331" t="inlineStr">
        <is>
          <t>GL-SL-004</t>
        </is>
      </c>
      <c r="I331" t="n">
        <v>6</v>
      </c>
      <c r="J331" t="n">
        <v>7.8</v>
      </c>
      <c r="K331" t="n">
        <v>-0.355</v>
      </c>
      <c r="L331" t="n">
        <v>-0.664</v>
      </c>
      <c r="M331" t="n">
        <v>0.335</v>
      </c>
      <c r="N331">
        <f>ROUND(J331*F331*G331+K331*G331+L331*F331+M331,3)</f>
        <v/>
      </c>
      <c r="O331">
        <f>AND(N331&gt;=1.4,N331&lt;=13)</f>
        <v/>
      </c>
      <c r="P331">
        <f>IF(OR(N331&lt;1.4,N331&gt;13),"",IF(G331*1000&lt;=1170,IF(N331&lt;1.8,"1014",IF(N331&lt;2.9,"1018",IF(N331&lt;3.8,"1029",IF(N331&lt;5,"1038",IF(N331&lt;7,"1050",IF(N331&lt;9,"1070",IF(N331&lt;11,"1090","1110"))))))),IF(G331*1000&lt;=1570,IF(N331&lt;1.8,"",IF(N331&lt;2.9,"2018",IF(N331&lt;3.8,"2029",IF(N331&lt;5,"2038",IF(N331&lt;7,"2050",IF(N331&lt;9,"2070",IF(N331&lt;11,"2090","2110"))))))),IF(G331*1000&lt;=1700,IF(N331&lt;1.8,"",IF(N331&lt;2.9,"3018",IF(N331&lt;3.8,"3029",IF(N331&lt;5,"3038",IF(N331&lt;7,"3050",IF(N331&lt;9,"3070",IF(N331&lt;11,"3090","3110"))))))),""))))</f>
        <v/>
      </c>
      <c r="Q331">
        <f>AND(O331=TRUE,P331&lt;&gt;"")</f>
        <v/>
      </c>
      <c r="R331">
        <f>IF(G331*1000&lt;750,"なし","あり")</f>
        <v/>
      </c>
      <c r="S331">
        <f>IF(AND(O331=TRUE,Q331=TRUE),"設定可","BLOCK")</f>
        <v/>
      </c>
      <c r="T331" t="inlineStr">
        <is>
          <t>商品カタログ P194</t>
        </is>
      </c>
      <c r="U331" t="inlineStr">
        <is>
          <t>https://webcatalog.lixil.co.jp/iportal/CatalogDetail.do?catalogID=15191910000&amp;categoryID=1630000&amp;designID=newinter&amp;method=initial_screen&amp;position=18&amp;type=mc&amp;volumeID=LXL13001</t>
        </is>
      </c>
    </row>
    <row r="332">
      <c r="A332" t="inlineStr">
        <is>
          <t>WG-SL-00329</t>
        </is>
      </c>
      <c r="B332" t="inlineStr">
        <is>
          <t>SZ-SL-000982</t>
        </is>
      </c>
      <c r="C332" t="inlineStr">
        <is>
          <t>WT-SL-MENKOSHI-AGE-FS</t>
        </is>
      </c>
      <c r="D332" t="inlineStr">
        <is>
          <t>SP-SL-AGE-GRILLE-V</t>
        </is>
      </c>
      <c r="E332" t="inlineStr">
        <is>
          <t>06007</t>
        </is>
      </c>
      <c r="F332" t="n">
        <v>0.64</v>
      </c>
      <c r="G332" t="n">
        <v>0.77</v>
      </c>
      <c r="H332" t="inlineStr">
        <is>
          <t>GL-SL-005</t>
        </is>
      </c>
      <c r="I332" t="n">
        <v>7</v>
      </c>
      <c r="J332" t="n">
        <v>9.1</v>
      </c>
      <c r="K332" t="n">
        <v>-0.48</v>
      </c>
      <c r="L332" t="n">
        <v>-0.998</v>
      </c>
      <c r="M332" t="n">
        <v>0.367</v>
      </c>
      <c r="N332">
        <f>ROUND(J332*F332*G332+K332*G332+L332*F332+M332,3)</f>
        <v/>
      </c>
      <c r="O332">
        <f>AND(N332&gt;=1.4,N332&lt;=13)</f>
        <v/>
      </c>
      <c r="P332">
        <f>IF(OR(N332&lt;1.4,N332&gt;13),"",IF(G332*1000&lt;=1170,IF(N332&lt;1.8,"1014",IF(N332&lt;2.9,"1018",IF(N332&lt;3.8,"1029",IF(N332&lt;5,"1038",IF(N332&lt;7,"1050",IF(N332&lt;9,"1070",IF(N332&lt;11,"1090","1110"))))))),IF(G332*1000&lt;=1570,IF(N332&lt;1.8,"",IF(N332&lt;2.9,"2018",IF(N332&lt;3.8,"2029",IF(N332&lt;5,"2038",IF(N332&lt;7,"2050",IF(N332&lt;9,"2070",IF(N332&lt;11,"2090","2110"))))))),IF(G332*1000&lt;=1700,IF(N332&lt;1.8,"",IF(N332&lt;2.9,"3018",IF(N332&lt;3.8,"3029",IF(N332&lt;5,"3038",IF(N332&lt;7,"3050",IF(N332&lt;9,"3070",IF(N332&lt;11,"3090","3110"))))))),""))))</f>
        <v/>
      </c>
      <c r="Q332">
        <f>AND(O332=TRUE,P332&lt;&gt;"")</f>
        <v/>
      </c>
      <c r="R332">
        <f>IF(G332*1000&lt;750,"なし","あり")</f>
        <v/>
      </c>
      <c r="S332">
        <f>IF(AND(O332=TRUE,Q332=TRUE),"設定可","BLOCK")</f>
        <v/>
      </c>
      <c r="T332" t="inlineStr">
        <is>
          <t>商品カタログ P194</t>
        </is>
      </c>
      <c r="U332" t="inlineStr">
        <is>
          <t>https://webcatalog.lixil.co.jp/iportal/CatalogDetail.do?catalogID=15191910000&amp;categoryID=1630000&amp;designID=newinter&amp;method=initial_screen&amp;position=18&amp;type=mc&amp;volumeID=LXL13001</t>
        </is>
      </c>
    </row>
    <row r="333">
      <c r="A333" t="inlineStr">
        <is>
          <t>WG-SL-00330</t>
        </is>
      </c>
      <c r="B333" t="inlineStr">
        <is>
          <t>SZ-SL-000982</t>
        </is>
      </c>
      <c r="C333" t="inlineStr">
        <is>
          <t>WT-SL-MENKOSHI-AGE-FS</t>
        </is>
      </c>
      <c r="D333" t="inlineStr">
        <is>
          <t>SP-SL-AGE-GRILLE-V</t>
        </is>
      </c>
      <c r="E333" t="inlineStr">
        <is>
          <t>06007</t>
        </is>
      </c>
      <c r="F333" t="n">
        <v>0.64</v>
      </c>
      <c r="G333" t="n">
        <v>0.77</v>
      </c>
      <c r="H333" t="inlineStr">
        <is>
          <t>GL-SL-006</t>
        </is>
      </c>
      <c r="I333" t="n">
        <v>8</v>
      </c>
      <c r="J333" t="n">
        <v>10.4</v>
      </c>
      <c r="K333" t="n">
        <v>-0.605</v>
      </c>
      <c r="L333" t="n">
        <v>-1.332</v>
      </c>
      <c r="M333" t="n">
        <v>0.399</v>
      </c>
      <c r="N333">
        <f>ROUND(J333*F333*G333+K333*G333+L333*F333+M333,3)</f>
        <v/>
      </c>
      <c r="O333">
        <f>AND(N333&gt;=1.4,N333&lt;=13)</f>
        <v/>
      </c>
      <c r="P333">
        <f>IF(OR(N333&lt;1.4,N333&gt;13),"",IF(G333*1000&lt;=1170,IF(N333&lt;1.8,"1014",IF(N333&lt;2.9,"1018",IF(N333&lt;3.8,"1029",IF(N333&lt;5,"1038",IF(N333&lt;7,"1050",IF(N333&lt;9,"1070",IF(N333&lt;11,"1090","1110"))))))),IF(G333*1000&lt;=1570,IF(N333&lt;1.8,"",IF(N333&lt;2.9,"2018",IF(N333&lt;3.8,"2029",IF(N333&lt;5,"2038",IF(N333&lt;7,"2050",IF(N333&lt;9,"2070",IF(N333&lt;11,"2090","2110"))))))),IF(G333*1000&lt;=1700,IF(N333&lt;1.8,"",IF(N333&lt;2.9,"3018",IF(N333&lt;3.8,"3029",IF(N333&lt;5,"3038",IF(N333&lt;7,"3050",IF(N333&lt;9,"3070",IF(N333&lt;11,"3090","3110"))))))),""))))</f>
        <v/>
      </c>
      <c r="Q333">
        <f>AND(O333=TRUE,P333&lt;&gt;"")</f>
        <v/>
      </c>
      <c r="R333">
        <f>IF(G333*1000&lt;750,"なし","あり")</f>
        <v/>
      </c>
      <c r="S333">
        <f>IF(AND(O333=TRUE,Q333=TRUE),"設定可","BLOCK")</f>
        <v/>
      </c>
      <c r="T333" t="inlineStr">
        <is>
          <t>商品カタログ P194</t>
        </is>
      </c>
      <c r="U333" t="inlineStr">
        <is>
          <t>https://webcatalog.lixil.co.jp/iportal/CatalogDetail.do?catalogID=15191910000&amp;categoryID=1630000&amp;designID=newinter&amp;method=initial_screen&amp;position=18&amp;type=mc&amp;volumeID=LXL13001</t>
        </is>
      </c>
    </row>
    <row r="334">
      <c r="A334" t="inlineStr">
        <is>
          <t>WG-SL-00331</t>
        </is>
      </c>
      <c r="B334" t="inlineStr">
        <is>
          <t>SZ-SL-000982</t>
        </is>
      </c>
      <c r="C334" t="inlineStr">
        <is>
          <t>WT-SL-MENKOSHI-AGE-FS</t>
        </is>
      </c>
      <c r="D334" t="inlineStr">
        <is>
          <t>SP-SL-AGE-GRILLE-V</t>
        </is>
      </c>
      <c r="E334" t="inlineStr">
        <is>
          <t>06007</t>
        </is>
      </c>
      <c r="F334" t="n">
        <v>0.64</v>
      </c>
      <c r="G334" t="n">
        <v>0.77</v>
      </c>
      <c r="H334" t="inlineStr">
        <is>
          <t>GL-SL-007</t>
        </is>
      </c>
      <c r="I334" t="n">
        <v>6</v>
      </c>
      <c r="J334" t="n">
        <v>7.8</v>
      </c>
      <c r="K334" t="n">
        <v>-0.355</v>
      </c>
      <c r="L334" t="n">
        <v>-0.664</v>
      </c>
      <c r="M334" t="n">
        <v>0.335</v>
      </c>
      <c r="N334">
        <f>ROUND(J334*F334*G334+K334*G334+L334*F334+M334,3)</f>
        <v/>
      </c>
      <c r="O334">
        <f>AND(N334&gt;=1.4,N334&lt;=13)</f>
        <v/>
      </c>
      <c r="P334">
        <f>IF(OR(N334&lt;1.4,N334&gt;13),"",IF(G334*1000&lt;=1170,IF(N334&lt;1.8,"1014",IF(N334&lt;2.9,"1018",IF(N334&lt;3.8,"1029",IF(N334&lt;5,"1038",IF(N334&lt;7,"1050",IF(N334&lt;9,"1070",IF(N334&lt;11,"1090","1110"))))))),IF(G334*1000&lt;=1570,IF(N334&lt;1.8,"",IF(N334&lt;2.9,"2018",IF(N334&lt;3.8,"2029",IF(N334&lt;5,"2038",IF(N334&lt;7,"2050",IF(N334&lt;9,"2070",IF(N334&lt;11,"2090","2110"))))))),IF(G334*1000&lt;=1700,IF(N334&lt;1.8,"",IF(N334&lt;2.9,"3018",IF(N334&lt;3.8,"3029",IF(N334&lt;5,"3038",IF(N334&lt;7,"3050",IF(N334&lt;9,"3070",IF(N334&lt;11,"3090","3110"))))))),""))))</f>
        <v/>
      </c>
      <c r="Q334">
        <f>AND(O334=TRUE,P334&lt;&gt;"")</f>
        <v/>
      </c>
      <c r="R334">
        <f>IF(G334*1000&lt;750,"なし","あり")</f>
        <v/>
      </c>
      <c r="S334">
        <f>IF(AND(O334=TRUE,Q334=TRUE),"設定可","BLOCK")</f>
        <v/>
      </c>
      <c r="T334" t="inlineStr">
        <is>
          <t>商品カタログ P194</t>
        </is>
      </c>
      <c r="U334" t="inlineStr">
        <is>
          <t>https://webcatalog.lixil.co.jp/iportal/CatalogDetail.do?catalogID=15191910000&amp;categoryID=1630000&amp;designID=newinter&amp;method=initial_screen&amp;position=18&amp;type=mc&amp;volumeID=LXL13001</t>
        </is>
      </c>
    </row>
    <row r="335">
      <c r="A335" t="inlineStr">
        <is>
          <t>WG-SL-00332</t>
        </is>
      </c>
      <c r="B335" t="inlineStr">
        <is>
          <t>SZ-SL-000982</t>
        </is>
      </c>
      <c r="C335" t="inlineStr">
        <is>
          <t>WT-SL-MENKOSHI-AGE-FS</t>
        </is>
      </c>
      <c r="D335" t="inlineStr">
        <is>
          <t>SP-SL-AGE-GRILLE-V</t>
        </is>
      </c>
      <c r="E335" t="inlineStr">
        <is>
          <t>06007</t>
        </is>
      </c>
      <c r="F335" t="n">
        <v>0.64</v>
      </c>
      <c r="G335" t="n">
        <v>0.77</v>
      </c>
      <c r="H335" t="inlineStr">
        <is>
          <t>GL-SL-008</t>
        </is>
      </c>
      <c r="I335" t="n">
        <v>7</v>
      </c>
      <c r="J335" t="n">
        <v>9.1</v>
      </c>
      <c r="K335" t="n">
        <v>-0.48</v>
      </c>
      <c r="L335" t="n">
        <v>-0.998</v>
      </c>
      <c r="M335" t="n">
        <v>0.367</v>
      </c>
      <c r="N335">
        <f>ROUND(J335*F335*G335+K335*G335+L335*F335+M335,3)</f>
        <v/>
      </c>
      <c r="O335">
        <f>AND(N335&gt;=1.4,N335&lt;=13)</f>
        <v/>
      </c>
      <c r="P335">
        <f>IF(OR(N335&lt;1.4,N335&gt;13),"",IF(G335*1000&lt;=1170,IF(N335&lt;1.8,"1014",IF(N335&lt;2.9,"1018",IF(N335&lt;3.8,"1029",IF(N335&lt;5,"1038",IF(N335&lt;7,"1050",IF(N335&lt;9,"1070",IF(N335&lt;11,"1090","1110"))))))),IF(G335*1000&lt;=1570,IF(N335&lt;1.8,"",IF(N335&lt;2.9,"2018",IF(N335&lt;3.8,"2029",IF(N335&lt;5,"2038",IF(N335&lt;7,"2050",IF(N335&lt;9,"2070",IF(N335&lt;11,"2090","2110"))))))),IF(G335*1000&lt;=1700,IF(N335&lt;1.8,"",IF(N335&lt;2.9,"3018",IF(N335&lt;3.8,"3029",IF(N335&lt;5,"3038",IF(N335&lt;7,"3050",IF(N335&lt;9,"3070",IF(N335&lt;11,"3090","3110"))))))),""))))</f>
        <v/>
      </c>
      <c r="Q335">
        <f>AND(O335=TRUE,P335&lt;&gt;"")</f>
        <v/>
      </c>
      <c r="R335">
        <f>IF(G335*1000&lt;750,"なし","あり")</f>
        <v/>
      </c>
      <c r="S335">
        <f>IF(AND(O335=TRUE,Q335=TRUE),"設定可","BLOCK")</f>
        <v/>
      </c>
      <c r="T335" t="inlineStr">
        <is>
          <t>商品カタログ P194</t>
        </is>
      </c>
      <c r="U335" t="inlineStr">
        <is>
          <t>https://webcatalog.lixil.co.jp/iportal/CatalogDetail.do?catalogID=15191910000&amp;categoryID=1630000&amp;designID=newinter&amp;method=initial_screen&amp;position=18&amp;type=mc&amp;volumeID=LXL13001</t>
        </is>
      </c>
    </row>
    <row r="336">
      <c r="A336" t="inlineStr">
        <is>
          <t>WG-SL-00333</t>
        </is>
      </c>
      <c r="B336" t="inlineStr">
        <is>
          <t>SZ-SL-000982</t>
        </is>
      </c>
      <c r="C336" t="inlineStr">
        <is>
          <t>WT-SL-MENKOSHI-AGE-FS</t>
        </is>
      </c>
      <c r="D336" t="inlineStr">
        <is>
          <t>SP-SL-AGE-GRILLE-V</t>
        </is>
      </c>
      <c r="E336" t="inlineStr">
        <is>
          <t>06007</t>
        </is>
      </c>
      <c r="F336" t="n">
        <v>0.64</v>
      </c>
      <c r="G336" t="n">
        <v>0.77</v>
      </c>
      <c r="H336" t="inlineStr">
        <is>
          <t>GL-SL-009</t>
        </is>
      </c>
      <c r="I336" t="n">
        <v>8</v>
      </c>
      <c r="J336" t="n">
        <v>10.4</v>
      </c>
      <c r="K336" t="n">
        <v>-0.605</v>
      </c>
      <c r="L336" t="n">
        <v>-1.332</v>
      </c>
      <c r="M336" t="n">
        <v>0.399</v>
      </c>
      <c r="N336">
        <f>ROUND(J336*F336*G336+K336*G336+L336*F336+M336,3)</f>
        <v/>
      </c>
      <c r="O336">
        <f>AND(N336&gt;=1.4,N336&lt;=13)</f>
        <v/>
      </c>
      <c r="P336">
        <f>IF(OR(N336&lt;1.4,N336&gt;13),"",IF(G336*1000&lt;=1170,IF(N336&lt;1.8,"1014",IF(N336&lt;2.9,"1018",IF(N336&lt;3.8,"1029",IF(N336&lt;5,"1038",IF(N336&lt;7,"1050",IF(N336&lt;9,"1070",IF(N336&lt;11,"1090","1110"))))))),IF(G336*1000&lt;=1570,IF(N336&lt;1.8,"",IF(N336&lt;2.9,"2018",IF(N336&lt;3.8,"2029",IF(N336&lt;5,"2038",IF(N336&lt;7,"2050",IF(N336&lt;9,"2070",IF(N336&lt;11,"2090","2110"))))))),IF(G336*1000&lt;=1700,IF(N336&lt;1.8,"",IF(N336&lt;2.9,"3018",IF(N336&lt;3.8,"3029",IF(N336&lt;5,"3038",IF(N336&lt;7,"3050",IF(N336&lt;9,"3070",IF(N336&lt;11,"3090","3110"))))))),""))))</f>
        <v/>
      </c>
      <c r="Q336">
        <f>AND(O336=TRUE,P336&lt;&gt;"")</f>
        <v/>
      </c>
      <c r="R336">
        <f>IF(G336*1000&lt;750,"なし","あり")</f>
        <v/>
      </c>
      <c r="S336">
        <f>IF(AND(O336=TRUE,Q336=TRUE),"設定可","BLOCK")</f>
        <v/>
      </c>
      <c r="T336" t="inlineStr">
        <is>
          <t>商品カタログ P194</t>
        </is>
      </c>
      <c r="U336" t="inlineStr">
        <is>
          <t>https://webcatalog.lixil.co.jp/iportal/CatalogDetail.do?catalogID=15191910000&amp;categoryID=1630000&amp;designID=newinter&amp;method=initial_screen&amp;position=18&amp;type=mc&amp;volumeID=LXL13001</t>
        </is>
      </c>
    </row>
    <row r="337">
      <c r="A337" t="inlineStr">
        <is>
          <t>WG-SL-00334</t>
        </is>
      </c>
      <c r="B337" t="inlineStr">
        <is>
          <t>SZ-SL-000983</t>
        </is>
      </c>
      <c r="C337" t="inlineStr">
        <is>
          <t>WT-SL-MENKOSHI-AGE-FS</t>
        </is>
      </c>
      <c r="D337" t="inlineStr">
        <is>
          <t>SP-SL-AGE-GRILLE-V</t>
        </is>
      </c>
      <c r="E337" t="inlineStr">
        <is>
          <t>06907</t>
        </is>
      </c>
      <c r="F337" t="n">
        <v>0.73</v>
      </c>
      <c r="G337" t="n">
        <v>0.77</v>
      </c>
      <c r="H337" t="inlineStr">
        <is>
          <t>GL-SL-001</t>
        </is>
      </c>
      <c r="I337" t="n">
        <v>6</v>
      </c>
      <c r="J337" t="n">
        <v>7.8</v>
      </c>
      <c r="K337" t="n">
        <v>-0.355</v>
      </c>
      <c r="L337" t="n">
        <v>-0.664</v>
      </c>
      <c r="M337" t="n">
        <v>0.335</v>
      </c>
      <c r="N337">
        <f>ROUND(J337*F337*G337+K337*G337+L337*F337+M337,3)</f>
        <v/>
      </c>
      <c r="O337">
        <f>AND(N337&gt;=1.4,N337&lt;=13)</f>
        <v/>
      </c>
      <c r="P337">
        <f>IF(OR(N337&lt;1.4,N337&gt;13),"",IF(G337*1000&lt;=1170,IF(N337&lt;1.8,"1014",IF(N337&lt;2.9,"1018",IF(N337&lt;3.8,"1029",IF(N337&lt;5,"1038",IF(N337&lt;7,"1050",IF(N337&lt;9,"1070",IF(N337&lt;11,"1090","1110"))))))),IF(G337*1000&lt;=1570,IF(N337&lt;1.8,"",IF(N337&lt;2.9,"2018",IF(N337&lt;3.8,"2029",IF(N337&lt;5,"2038",IF(N337&lt;7,"2050",IF(N337&lt;9,"2070",IF(N337&lt;11,"2090","2110"))))))),IF(G337*1000&lt;=1700,IF(N337&lt;1.8,"",IF(N337&lt;2.9,"3018",IF(N337&lt;3.8,"3029",IF(N337&lt;5,"3038",IF(N337&lt;7,"3050",IF(N337&lt;9,"3070",IF(N337&lt;11,"3090","3110"))))))),""))))</f>
        <v/>
      </c>
      <c r="Q337">
        <f>AND(O337=TRUE,P337&lt;&gt;"")</f>
        <v/>
      </c>
      <c r="R337">
        <f>IF(G337*1000&lt;750,"なし","あり")</f>
        <v/>
      </c>
      <c r="S337">
        <f>IF(AND(O337=TRUE,Q337=TRUE),"設定可","BLOCK")</f>
        <v/>
      </c>
      <c r="T337" t="inlineStr">
        <is>
          <t>商品カタログ P194</t>
        </is>
      </c>
      <c r="U337" t="inlineStr">
        <is>
          <t>https://webcatalog.lixil.co.jp/iportal/CatalogDetail.do?catalogID=15191910000&amp;categoryID=1630000&amp;designID=newinter&amp;method=initial_screen&amp;position=18&amp;type=mc&amp;volumeID=LXL13001</t>
        </is>
      </c>
    </row>
    <row r="338">
      <c r="A338" t="inlineStr">
        <is>
          <t>WG-SL-00335</t>
        </is>
      </c>
      <c r="B338" t="inlineStr">
        <is>
          <t>SZ-SL-000983</t>
        </is>
      </c>
      <c r="C338" t="inlineStr">
        <is>
          <t>WT-SL-MENKOSHI-AGE-FS</t>
        </is>
      </c>
      <c r="D338" t="inlineStr">
        <is>
          <t>SP-SL-AGE-GRILLE-V</t>
        </is>
      </c>
      <c r="E338" t="inlineStr">
        <is>
          <t>06907</t>
        </is>
      </c>
      <c r="F338" t="n">
        <v>0.73</v>
      </c>
      <c r="G338" t="n">
        <v>0.77</v>
      </c>
      <c r="H338" t="inlineStr">
        <is>
          <t>GL-SL-002</t>
        </is>
      </c>
      <c r="I338" t="n">
        <v>7</v>
      </c>
      <c r="J338" t="n">
        <v>9.1</v>
      </c>
      <c r="K338" t="n">
        <v>-0.48</v>
      </c>
      <c r="L338" t="n">
        <v>-0.998</v>
      </c>
      <c r="M338" t="n">
        <v>0.367</v>
      </c>
      <c r="N338">
        <f>ROUND(J338*F338*G338+K338*G338+L338*F338+M338,3)</f>
        <v/>
      </c>
      <c r="O338">
        <f>AND(N338&gt;=1.4,N338&lt;=13)</f>
        <v/>
      </c>
      <c r="P338">
        <f>IF(OR(N338&lt;1.4,N338&gt;13),"",IF(G338*1000&lt;=1170,IF(N338&lt;1.8,"1014",IF(N338&lt;2.9,"1018",IF(N338&lt;3.8,"1029",IF(N338&lt;5,"1038",IF(N338&lt;7,"1050",IF(N338&lt;9,"1070",IF(N338&lt;11,"1090","1110"))))))),IF(G338*1000&lt;=1570,IF(N338&lt;1.8,"",IF(N338&lt;2.9,"2018",IF(N338&lt;3.8,"2029",IF(N338&lt;5,"2038",IF(N338&lt;7,"2050",IF(N338&lt;9,"2070",IF(N338&lt;11,"2090","2110"))))))),IF(G338*1000&lt;=1700,IF(N338&lt;1.8,"",IF(N338&lt;2.9,"3018",IF(N338&lt;3.8,"3029",IF(N338&lt;5,"3038",IF(N338&lt;7,"3050",IF(N338&lt;9,"3070",IF(N338&lt;11,"3090","3110"))))))),""))))</f>
        <v/>
      </c>
      <c r="Q338">
        <f>AND(O338=TRUE,P338&lt;&gt;"")</f>
        <v/>
      </c>
      <c r="R338">
        <f>IF(G338*1000&lt;750,"なし","あり")</f>
        <v/>
      </c>
      <c r="S338">
        <f>IF(AND(O338=TRUE,Q338=TRUE),"設定可","BLOCK")</f>
        <v/>
      </c>
      <c r="T338" t="inlineStr">
        <is>
          <t>商品カタログ P194</t>
        </is>
      </c>
      <c r="U338" t="inlineStr">
        <is>
          <t>https://webcatalog.lixil.co.jp/iportal/CatalogDetail.do?catalogID=15191910000&amp;categoryID=1630000&amp;designID=newinter&amp;method=initial_screen&amp;position=18&amp;type=mc&amp;volumeID=LXL13001</t>
        </is>
      </c>
    </row>
    <row r="339">
      <c r="A339" t="inlineStr">
        <is>
          <t>WG-SL-00336</t>
        </is>
      </c>
      <c r="B339" t="inlineStr">
        <is>
          <t>SZ-SL-000983</t>
        </is>
      </c>
      <c r="C339" t="inlineStr">
        <is>
          <t>WT-SL-MENKOSHI-AGE-FS</t>
        </is>
      </c>
      <c r="D339" t="inlineStr">
        <is>
          <t>SP-SL-AGE-GRILLE-V</t>
        </is>
      </c>
      <c r="E339" t="inlineStr">
        <is>
          <t>06907</t>
        </is>
      </c>
      <c r="F339" t="n">
        <v>0.73</v>
      </c>
      <c r="G339" t="n">
        <v>0.77</v>
      </c>
      <c r="H339" t="inlineStr">
        <is>
          <t>GL-SL-003</t>
        </is>
      </c>
      <c r="I339" t="n">
        <v>8</v>
      </c>
      <c r="J339" t="n">
        <v>10.4</v>
      </c>
      <c r="K339" t="n">
        <v>-0.605</v>
      </c>
      <c r="L339" t="n">
        <v>-1.332</v>
      </c>
      <c r="M339" t="n">
        <v>0.399</v>
      </c>
      <c r="N339">
        <f>ROUND(J339*F339*G339+K339*G339+L339*F339+M339,3)</f>
        <v/>
      </c>
      <c r="O339">
        <f>AND(N339&gt;=1.4,N339&lt;=13)</f>
        <v/>
      </c>
      <c r="P339">
        <f>IF(OR(N339&lt;1.4,N339&gt;13),"",IF(G339*1000&lt;=1170,IF(N339&lt;1.8,"1014",IF(N339&lt;2.9,"1018",IF(N339&lt;3.8,"1029",IF(N339&lt;5,"1038",IF(N339&lt;7,"1050",IF(N339&lt;9,"1070",IF(N339&lt;11,"1090","1110"))))))),IF(G339*1000&lt;=1570,IF(N339&lt;1.8,"",IF(N339&lt;2.9,"2018",IF(N339&lt;3.8,"2029",IF(N339&lt;5,"2038",IF(N339&lt;7,"2050",IF(N339&lt;9,"2070",IF(N339&lt;11,"2090","2110"))))))),IF(G339*1000&lt;=1700,IF(N339&lt;1.8,"",IF(N339&lt;2.9,"3018",IF(N339&lt;3.8,"3029",IF(N339&lt;5,"3038",IF(N339&lt;7,"3050",IF(N339&lt;9,"3070",IF(N339&lt;11,"3090","3110"))))))),""))))</f>
        <v/>
      </c>
      <c r="Q339">
        <f>AND(O339=TRUE,P339&lt;&gt;"")</f>
        <v/>
      </c>
      <c r="R339">
        <f>IF(G339*1000&lt;750,"なし","あり")</f>
        <v/>
      </c>
      <c r="S339">
        <f>IF(AND(O339=TRUE,Q339=TRUE),"設定可","BLOCK")</f>
        <v/>
      </c>
      <c r="T339" t="inlineStr">
        <is>
          <t>商品カタログ P194</t>
        </is>
      </c>
      <c r="U339" t="inlineStr">
        <is>
          <t>https://webcatalog.lixil.co.jp/iportal/CatalogDetail.do?catalogID=15191910000&amp;categoryID=1630000&amp;designID=newinter&amp;method=initial_screen&amp;position=18&amp;type=mc&amp;volumeID=LXL13001</t>
        </is>
      </c>
    </row>
    <row r="340">
      <c r="A340" t="inlineStr">
        <is>
          <t>WG-SL-00337</t>
        </is>
      </c>
      <c r="B340" t="inlineStr">
        <is>
          <t>SZ-SL-000983</t>
        </is>
      </c>
      <c r="C340" t="inlineStr">
        <is>
          <t>WT-SL-MENKOSHI-AGE-FS</t>
        </is>
      </c>
      <c r="D340" t="inlineStr">
        <is>
          <t>SP-SL-AGE-GRILLE-V</t>
        </is>
      </c>
      <c r="E340" t="inlineStr">
        <is>
          <t>06907</t>
        </is>
      </c>
      <c r="F340" t="n">
        <v>0.73</v>
      </c>
      <c r="G340" t="n">
        <v>0.77</v>
      </c>
      <c r="H340" t="inlineStr">
        <is>
          <t>GL-SL-004</t>
        </is>
      </c>
      <c r="I340" t="n">
        <v>6</v>
      </c>
      <c r="J340" t="n">
        <v>7.8</v>
      </c>
      <c r="K340" t="n">
        <v>-0.355</v>
      </c>
      <c r="L340" t="n">
        <v>-0.664</v>
      </c>
      <c r="M340" t="n">
        <v>0.335</v>
      </c>
      <c r="N340">
        <f>ROUND(J340*F340*G340+K340*G340+L340*F340+M340,3)</f>
        <v/>
      </c>
      <c r="O340">
        <f>AND(N340&gt;=1.4,N340&lt;=13)</f>
        <v/>
      </c>
      <c r="P340">
        <f>IF(OR(N340&lt;1.4,N340&gt;13),"",IF(G340*1000&lt;=1170,IF(N340&lt;1.8,"1014",IF(N340&lt;2.9,"1018",IF(N340&lt;3.8,"1029",IF(N340&lt;5,"1038",IF(N340&lt;7,"1050",IF(N340&lt;9,"1070",IF(N340&lt;11,"1090","1110"))))))),IF(G340*1000&lt;=1570,IF(N340&lt;1.8,"",IF(N340&lt;2.9,"2018",IF(N340&lt;3.8,"2029",IF(N340&lt;5,"2038",IF(N340&lt;7,"2050",IF(N340&lt;9,"2070",IF(N340&lt;11,"2090","2110"))))))),IF(G340*1000&lt;=1700,IF(N340&lt;1.8,"",IF(N340&lt;2.9,"3018",IF(N340&lt;3.8,"3029",IF(N340&lt;5,"3038",IF(N340&lt;7,"3050",IF(N340&lt;9,"3070",IF(N340&lt;11,"3090","3110"))))))),""))))</f>
        <v/>
      </c>
      <c r="Q340">
        <f>AND(O340=TRUE,P340&lt;&gt;"")</f>
        <v/>
      </c>
      <c r="R340">
        <f>IF(G340*1000&lt;750,"なし","あり")</f>
        <v/>
      </c>
      <c r="S340">
        <f>IF(AND(O340=TRUE,Q340=TRUE),"設定可","BLOCK")</f>
        <v/>
      </c>
      <c r="T340" t="inlineStr">
        <is>
          <t>商品カタログ P194</t>
        </is>
      </c>
      <c r="U340" t="inlineStr">
        <is>
          <t>https://webcatalog.lixil.co.jp/iportal/CatalogDetail.do?catalogID=15191910000&amp;categoryID=1630000&amp;designID=newinter&amp;method=initial_screen&amp;position=18&amp;type=mc&amp;volumeID=LXL13001</t>
        </is>
      </c>
    </row>
    <row r="341">
      <c r="A341" t="inlineStr">
        <is>
          <t>WG-SL-00338</t>
        </is>
      </c>
      <c r="B341" t="inlineStr">
        <is>
          <t>SZ-SL-000983</t>
        </is>
      </c>
      <c r="C341" t="inlineStr">
        <is>
          <t>WT-SL-MENKOSHI-AGE-FS</t>
        </is>
      </c>
      <c r="D341" t="inlineStr">
        <is>
          <t>SP-SL-AGE-GRILLE-V</t>
        </is>
      </c>
      <c r="E341" t="inlineStr">
        <is>
          <t>06907</t>
        </is>
      </c>
      <c r="F341" t="n">
        <v>0.73</v>
      </c>
      <c r="G341" t="n">
        <v>0.77</v>
      </c>
      <c r="H341" t="inlineStr">
        <is>
          <t>GL-SL-005</t>
        </is>
      </c>
      <c r="I341" t="n">
        <v>7</v>
      </c>
      <c r="J341" t="n">
        <v>9.1</v>
      </c>
      <c r="K341" t="n">
        <v>-0.48</v>
      </c>
      <c r="L341" t="n">
        <v>-0.998</v>
      </c>
      <c r="M341" t="n">
        <v>0.367</v>
      </c>
      <c r="N341">
        <f>ROUND(J341*F341*G341+K341*G341+L341*F341+M341,3)</f>
        <v/>
      </c>
      <c r="O341">
        <f>AND(N341&gt;=1.4,N341&lt;=13)</f>
        <v/>
      </c>
      <c r="P341">
        <f>IF(OR(N341&lt;1.4,N341&gt;13),"",IF(G341*1000&lt;=1170,IF(N341&lt;1.8,"1014",IF(N341&lt;2.9,"1018",IF(N341&lt;3.8,"1029",IF(N341&lt;5,"1038",IF(N341&lt;7,"1050",IF(N341&lt;9,"1070",IF(N341&lt;11,"1090","1110"))))))),IF(G341*1000&lt;=1570,IF(N341&lt;1.8,"",IF(N341&lt;2.9,"2018",IF(N341&lt;3.8,"2029",IF(N341&lt;5,"2038",IF(N341&lt;7,"2050",IF(N341&lt;9,"2070",IF(N341&lt;11,"2090","2110"))))))),IF(G341*1000&lt;=1700,IF(N341&lt;1.8,"",IF(N341&lt;2.9,"3018",IF(N341&lt;3.8,"3029",IF(N341&lt;5,"3038",IF(N341&lt;7,"3050",IF(N341&lt;9,"3070",IF(N341&lt;11,"3090","3110"))))))),""))))</f>
        <v/>
      </c>
      <c r="Q341">
        <f>AND(O341=TRUE,P341&lt;&gt;"")</f>
        <v/>
      </c>
      <c r="R341">
        <f>IF(G341*1000&lt;750,"なし","あり")</f>
        <v/>
      </c>
      <c r="S341">
        <f>IF(AND(O341=TRUE,Q341=TRUE),"設定可","BLOCK")</f>
        <v/>
      </c>
      <c r="T341" t="inlineStr">
        <is>
          <t>商品カタログ P194</t>
        </is>
      </c>
      <c r="U341" t="inlineStr">
        <is>
          <t>https://webcatalog.lixil.co.jp/iportal/CatalogDetail.do?catalogID=15191910000&amp;categoryID=1630000&amp;designID=newinter&amp;method=initial_screen&amp;position=18&amp;type=mc&amp;volumeID=LXL13001</t>
        </is>
      </c>
    </row>
    <row r="342">
      <c r="A342" t="inlineStr">
        <is>
          <t>WG-SL-00339</t>
        </is>
      </c>
      <c r="B342" t="inlineStr">
        <is>
          <t>SZ-SL-000983</t>
        </is>
      </c>
      <c r="C342" t="inlineStr">
        <is>
          <t>WT-SL-MENKOSHI-AGE-FS</t>
        </is>
      </c>
      <c r="D342" t="inlineStr">
        <is>
          <t>SP-SL-AGE-GRILLE-V</t>
        </is>
      </c>
      <c r="E342" t="inlineStr">
        <is>
          <t>06907</t>
        </is>
      </c>
      <c r="F342" t="n">
        <v>0.73</v>
      </c>
      <c r="G342" t="n">
        <v>0.77</v>
      </c>
      <c r="H342" t="inlineStr">
        <is>
          <t>GL-SL-006</t>
        </is>
      </c>
      <c r="I342" t="n">
        <v>8</v>
      </c>
      <c r="J342" t="n">
        <v>10.4</v>
      </c>
      <c r="K342" t="n">
        <v>-0.605</v>
      </c>
      <c r="L342" t="n">
        <v>-1.332</v>
      </c>
      <c r="M342" t="n">
        <v>0.399</v>
      </c>
      <c r="N342">
        <f>ROUND(J342*F342*G342+K342*G342+L342*F342+M342,3)</f>
        <v/>
      </c>
      <c r="O342">
        <f>AND(N342&gt;=1.4,N342&lt;=13)</f>
        <v/>
      </c>
      <c r="P342">
        <f>IF(OR(N342&lt;1.4,N342&gt;13),"",IF(G342*1000&lt;=1170,IF(N342&lt;1.8,"1014",IF(N342&lt;2.9,"1018",IF(N342&lt;3.8,"1029",IF(N342&lt;5,"1038",IF(N342&lt;7,"1050",IF(N342&lt;9,"1070",IF(N342&lt;11,"1090","1110"))))))),IF(G342*1000&lt;=1570,IF(N342&lt;1.8,"",IF(N342&lt;2.9,"2018",IF(N342&lt;3.8,"2029",IF(N342&lt;5,"2038",IF(N342&lt;7,"2050",IF(N342&lt;9,"2070",IF(N342&lt;11,"2090","2110"))))))),IF(G342*1000&lt;=1700,IF(N342&lt;1.8,"",IF(N342&lt;2.9,"3018",IF(N342&lt;3.8,"3029",IF(N342&lt;5,"3038",IF(N342&lt;7,"3050",IF(N342&lt;9,"3070",IF(N342&lt;11,"3090","3110"))))))),""))))</f>
        <v/>
      </c>
      <c r="Q342">
        <f>AND(O342=TRUE,P342&lt;&gt;"")</f>
        <v/>
      </c>
      <c r="R342">
        <f>IF(G342*1000&lt;750,"なし","あり")</f>
        <v/>
      </c>
      <c r="S342">
        <f>IF(AND(O342=TRUE,Q342=TRUE),"設定可","BLOCK")</f>
        <v/>
      </c>
      <c r="T342" t="inlineStr">
        <is>
          <t>商品カタログ P194</t>
        </is>
      </c>
      <c r="U342" t="inlineStr">
        <is>
          <t>https://webcatalog.lixil.co.jp/iportal/CatalogDetail.do?catalogID=15191910000&amp;categoryID=1630000&amp;designID=newinter&amp;method=initial_screen&amp;position=18&amp;type=mc&amp;volumeID=LXL13001</t>
        </is>
      </c>
    </row>
    <row r="343">
      <c r="A343" t="inlineStr">
        <is>
          <t>WG-SL-00340</t>
        </is>
      </c>
      <c r="B343" t="inlineStr">
        <is>
          <t>SZ-SL-000983</t>
        </is>
      </c>
      <c r="C343" t="inlineStr">
        <is>
          <t>WT-SL-MENKOSHI-AGE-FS</t>
        </is>
      </c>
      <c r="D343" t="inlineStr">
        <is>
          <t>SP-SL-AGE-GRILLE-V</t>
        </is>
      </c>
      <c r="E343" t="inlineStr">
        <is>
          <t>06907</t>
        </is>
      </c>
      <c r="F343" t="n">
        <v>0.73</v>
      </c>
      <c r="G343" t="n">
        <v>0.77</v>
      </c>
      <c r="H343" t="inlineStr">
        <is>
          <t>GL-SL-007</t>
        </is>
      </c>
      <c r="I343" t="n">
        <v>6</v>
      </c>
      <c r="J343" t="n">
        <v>7.8</v>
      </c>
      <c r="K343" t="n">
        <v>-0.355</v>
      </c>
      <c r="L343" t="n">
        <v>-0.664</v>
      </c>
      <c r="M343" t="n">
        <v>0.335</v>
      </c>
      <c r="N343">
        <f>ROUND(J343*F343*G343+K343*G343+L343*F343+M343,3)</f>
        <v/>
      </c>
      <c r="O343">
        <f>AND(N343&gt;=1.4,N343&lt;=13)</f>
        <v/>
      </c>
      <c r="P343">
        <f>IF(OR(N343&lt;1.4,N343&gt;13),"",IF(G343*1000&lt;=1170,IF(N343&lt;1.8,"1014",IF(N343&lt;2.9,"1018",IF(N343&lt;3.8,"1029",IF(N343&lt;5,"1038",IF(N343&lt;7,"1050",IF(N343&lt;9,"1070",IF(N343&lt;11,"1090","1110"))))))),IF(G343*1000&lt;=1570,IF(N343&lt;1.8,"",IF(N343&lt;2.9,"2018",IF(N343&lt;3.8,"2029",IF(N343&lt;5,"2038",IF(N343&lt;7,"2050",IF(N343&lt;9,"2070",IF(N343&lt;11,"2090","2110"))))))),IF(G343*1000&lt;=1700,IF(N343&lt;1.8,"",IF(N343&lt;2.9,"3018",IF(N343&lt;3.8,"3029",IF(N343&lt;5,"3038",IF(N343&lt;7,"3050",IF(N343&lt;9,"3070",IF(N343&lt;11,"3090","3110"))))))),""))))</f>
        <v/>
      </c>
      <c r="Q343">
        <f>AND(O343=TRUE,P343&lt;&gt;"")</f>
        <v/>
      </c>
      <c r="R343">
        <f>IF(G343*1000&lt;750,"なし","あり")</f>
        <v/>
      </c>
      <c r="S343">
        <f>IF(AND(O343=TRUE,Q343=TRUE),"設定可","BLOCK")</f>
        <v/>
      </c>
      <c r="T343" t="inlineStr">
        <is>
          <t>商品カタログ P194</t>
        </is>
      </c>
      <c r="U343" t="inlineStr">
        <is>
          <t>https://webcatalog.lixil.co.jp/iportal/CatalogDetail.do?catalogID=15191910000&amp;categoryID=1630000&amp;designID=newinter&amp;method=initial_screen&amp;position=18&amp;type=mc&amp;volumeID=LXL13001</t>
        </is>
      </c>
    </row>
    <row r="344">
      <c r="A344" t="inlineStr">
        <is>
          <t>WG-SL-00341</t>
        </is>
      </c>
      <c r="B344" t="inlineStr">
        <is>
          <t>SZ-SL-000983</t>
        </is>
      </c>
      <c r="C344" t="inlineStr">
        <is>
          <t>WT-SL-MENKOSHI-AGE-FS</t>
        </is>
      </c>
      <c r="D344" t="inlineStr">
        <is>
          <t>SP-SL-AGE-GRILLE-V</t>
        </is>
      </c>
      <c r="E344" t="inlineStr">
        <is>
          <t>06907</t>
        </is>
      </c>
      <c r="F344" t="n">
        <v>0.73</v>
      </c>
      <c r="G344" t="n">
        <v>0.77</v>
      </c>
      <c r="H344" t="inlineStr">
        <is>
          <t>GL-SL-008</t>
        </is>
      </c>
      <c r="I344" t="n">
        <v>7</v>
      </c>
      <c r="J344" t="n">
        <v>9.1</v>
      </c>
      <c r="K344" t="n">
        <v>-0.48</v>
      </c>
      <c r="L344" t="n">
        <v>-0.998</v>
      </c>
      <c r="M344" t="n">
        <v>0.367</v>
      </c>
      <c r="N344">
        <f>ROUND(J344*F344*G344+K344*G344+L344*F344+M344,3)</f>
        <v/>
      </c>
      <c r="O344">
        <f>AND(N344&gt;=1.4,N344&lt;=13)</f>
        <v/>
      </c>
      <c r="P344">
        <f>IF(OR(N344&lt;1.4,N344&gt;13),"",IF(G344*1000&lt;=1170,IF(N344&lt;1.8,"1014",IF(N344&lt;2.9,"1018",IF(N344&lt;3.8,"1029",IF(N344&lt;5,"1038",IF(N344&lt;7,"1050",IF(N344&lt;9,"1070",IF(N344&lt;11,"1090","1110"))))))),IF(G344*1000&lt;=1570,IF(N344&lt;1.8,"",IF(N344&lt;2.9,"2018",IF(N344&lt;3.8,"2029",IF(N344&lt;5,"2038",IF(N344&lt;7,"2050",IF(N344&lt;9,"2070",IF(N344&lt;11,"2090","2110"))))))),IF(G344*1000&lt;=1700,IF(N344&lt;1.8,"",IF(N344&lt;2.9,"3018",IF(N344&lt;3.8,"3029",IF(N344&lt;5,"3038",IF(N344&lt;7,"3050",IF(N344&lt;9,"3070",IF(N344&lt;11,"3090","3110"))))))),""))))</f>
        <v/>
      </c>
      <c r="Q344">
        <f>AND(O344=TRUE,P344&lt;&gt;"")</f>
        <v/>
      </c>
      <c r="R344">
        <f>IF(G344*1000&lt;750,"なし","あり")</f>
        <v/>
      </c>
      <c r="S344">
        <f>IF(AND(O344=TRUE,Q344=TRUE),"設定可","BLOCK")</f>
        <v/>
      </c>
      <c r="T344" t="inlineStr">
        <is>
          <t>商品カタログ P194</t>
        </is>
      </c>
      <c r="U344" t="inlineStr">
        <is>
          <t>https://webcatalog.lixil.co.jp/iportal/CatalogDetail.do?catalogID=15191910000&amp;categoryID=1630000&amp;designID=newinter&amp;method=initial_screen&amp;position=18&amp;type=mc&amp;volumeID=LXL13001</t>
        </is>
      </c>
    </row>
    <row r="345">
      <c r="A345" t="inlineStr">
        <is>
          <t>WG-SL-00342</t>
        </is>
      </c>
      <c r="B345" t="inlineStr">
        <is>
          <t>SZ-SL-000983</t>
        </is>
      </c>
      <c r="C345" t="inlineStr">
        <is>
          <t>WT-SL-MENKOSHI-AGE-FS</t>
        </is>
      </c>
      <c r="D345" t="inlineStr">
        <is>
          <t>SP-SL-AGE-GRILLE-V</t>
        </is>
      </c>
      <c r="E345" t="inlineStr">
        <is>
          <t>06907</t>
        </is>
      </c>
      <c r="F345" t="n">
        <v>0.73</v>
      </c>
      <c r="G345" t="n">
        <v>0.77</v>
      </c>
      <c r="H345" t="inlineStr">
        <is>
          <t>GL-SL-009</t>
        </is>
      </c>
      <c r="I345" t="n">
        <v>8</v>
      </c>
      <c r="J345" t="n">
        <v>10.4</v>
      </c>
      <c r="K345" t="n">
        <v>-0.605</v>
      </c>
      <c r="L345" t="n">
        <v>-1.332</v>
      </c>
      <c r="M345" t="n">
        <v>0.399</v>
      </c>
      <c r="N345">
        <f>ROUND(J345*F345*G345+K345*G345+L345*F345+M345,3)</f>
        <v/>
      </c>
      <c r="O345">
        <f>AND(N345&gt;=1.4,N345&lt;=13)</f>
        <v/>
      </c>
      <c r="P345">
        <f>IF(OR(N345&lt;1.4,N345&gt;13),"",IF(G345*1000&lt;=1170,IF(N345&lt;1.8,"1014",IF(N345&lt;2.9,"1018",IF(N345&lt;3.8,"1029",IF(N345&lt;5,"1038",IF(N345&lt;7,"1050",IF(N345&lt;9,"1070",IF(N345&lt;11,"1090","1110"))))))),IF(G345*1000&lt;=1570,IF(N345&lt;1.8,"",IF(N345&lt;2.9,"2018",IF(N345&lt;3.8,"2029",IF(N345&lt;5,"2038",IF(N345&lt;7,"2050",IF(N345&lt;9,"2070",IF(N345&lt;11,"2090","2110"))))))),IF(G345*1000&lt;=1700,IF(N345&lt;1.8,"",IF(N345&lt;2.9,"3018",IF(N345&lt;3.8,"3029",IF(N345&lt;5,"3038",IF(N345&lt;7,"3050",IF(N345&lt;9,"3070",IF(N345&lt;11,"3090","3110"))))))),""))))</f>
        <v/>
      </c>
      <c r="Q345">
        <f>AND(O345=TRUE,P345&lt;&gt;"")</f>
        <v/>
      </c>
      <c r="R345">
        <f>IF(G345*1000&lt;750,"なし","あり")</f>
        <v/>
      </c>
      <c r="S345">
        <f>IF(AND(O345=TRUE,Q345=TRUE),"設定可","BLOCK")</f>
        <v/>
      </c>
      <c r="T345" t="inlineStr">
        <is>
          <t>商品カタログ P194</t>
        </is>
      </c>
      <c r="U345" t="inlineStr">
        <is>
          <t>https://webcatalog.lixil.co.jp/iportal/CatalogDetail.do?catalogID=15191910000&amp;categoryID=1630000&amp;designID=newinter&amp;method=initial_screen&amp;position=18&amp;type=mc&amp;volumeID=LXL13001</t>
        </is>
      </c>
    </row>
    <row r="346">
      <c r="A346" t="inlineStr">
        <is>
          <t>WG-SL-00343</t>
        </is>
      </c>
      <c r="B346" t="inlineStr">
        <is>
          <t>SZ-SL-000984</t>
        </is>
      </c>
      <c r="C346" t="inlineStr">
        <is>
          <t>WT-SL-MENKOSHI-AGE-FS</t>
        </is>
      </c>
      <c r="D346" t="inlineStr">
        <is>
          <t>SP-SL-AGE-GRILLE-V</t>
        </is>
      </c>
      <c r="E346" t="inlineStr">
        <is>
          <t>07407</t>
        </is>
      </c>
      <c r="F346" t="n">
        <v>0.78</v>
      </c>
      <c r="G346" t="n">
        <v>0.77</v>
      </c>
      <c r="H346" t="inlineStr">
        <is>
          <t>GL-SL-001</t>
        </is>
      </c>
      <c r="I346" t="n">
        <v>6</v>
      </c>
      <c r="J346" t="n">
        <v>7.8</v>
      </c>
      <c r="K346" t="n">
        <v>-0.355</v>
      </c>
      <c r="L346" t="n">
        <v>-0.664</v>
      </c>
      <c r="M346" t="n">
        <v>0.335</v>
      </c>
      <c r="N346">
        <f>ROUND(J346*F346*G346+K346*G346+L346*F346+M346,3)</f>
        <v/>
      </c>
      <c r="O346">
        <f>AND(N346&gt;=1.4,N346&lt;=13)</f>
        <v/>
      </c>
      <c r="P346">
        <f>IF(OR(N346&lt;1.4,N346&gt;13),"",IF(G346*1000&lt;=1170,IF(N346&lt;1.8,"1014",IF(N346&lt;2.9,"1018",IF(N346&lt;3.8,"1029",IF(N346&lt;5,"1038",IF(N346&lt;7,"1050",IF(N346&lt;9,"1070",IF(N346&lt;11,"1090","1110"))))))),IF(G346*1000&lt;=1570,IF(N346&lt;1.8,"",IF(N346&lt;2.9,"2018",IF(N346&lt;3.8,"2029",IF(N346&lt;5,"2038",IF(N346&lt;7,"2050",IF(N346&lt;9,"2070",IF(N346&lt;11,"2090","2110"))))))),IF(G346*1000&lt;=1700,IF(N346&lt;1.8,"",IF(N346&lt;2.9,"3018",IF(N346&lt;3.8,"3029",IF(N346&lt;5,"3038",IF(N346&lt;7,"3050",IF(N346&lt;9,"3070",IF(N346&lt;11,"3090","3110"))))))),""))))</f>
        <v/>
      </c>
      <c r="Q346">
        <f>AND(O346=TRUE,P346&lt;&gt;"")</f>
        <v/>
      </c>
      <c r="R346">
        <f>IF(G346*1000&lt;750,"なし","あり")</f>
        <v/>
      </c>
      <c r="S346">
        <f>IF(AND(O346=TRUE,Q346=TRUE),"設定可","BLOCK")</f>
        <v/>
      </c>
      <c r="T346" t="inlineStr">
        <is>
          <t>商品カタログ P194</t>
        </is>
      </c>
      <c r="U346" t="inlineStr">
        <is>
          <t>https://webcatalog.lixil.co.jp/iportal/CatalogDetail.do?catalogID=15191910000&amp;categoryID=1630000&amp;designID=newinter&amp;method=initial_screen&amp;position=18&amp;type=mc&amp;volumeID=LXL13001</t>
        </is>
      </c>
    </row>
    <row r="347">
      <c r="A347" t="inlineStr">
        <is>
          <t>WG-SL-00344</t>
        </is>
      </c>
      <c r="B347" t="inlineStr">
        <is>
          <t>SZ-SL-000984</t>
        </is>
      </c>
      <c r="C347" t="inlineStr">
        <is>
          <t>WT-SL-MENKOSHI-AGE-FS</t>
        </is>
      </c>
      <c r="D347" t="inlineStr">
        <is>
          <t>SP-SL-AGE-GRILLE-V</t>
        </is>
      </c>
      <c r="E347" t="inlineStr">
        <is>
          <t>07407</t>
        </is>
      </c>
      <c r="F347" t="n">
        <v>0.78</v>
      </c>
      <c r="G347" t="n">
        <v>0.77</v>
      </c>
      <c r="H347" t="inlineStr">
        <is>
          <t>GL-SL-002</t>
        </is>
      </c>
      <c r="I347" t="n">
        <v>7</v>
      </c>
      <c r="J347" t="n">
        <v>9.1</v>
      </c>
      <c r="K347" t="n">
        <v>-0.48</v>
      </c>
      <c r="L347" t="n">
        <v>-0.998</v>
      </c>
      <c r="M347" t="n">
        <v>0.367</v>
      </c>
      <c r="N347">
        <f>ROUND(J347*F347*G347+K347*G347+L347*F347+M347,3)</f>
        <v/>
      </c>
      <c r="O347">
        <f>AND(N347&gt;=1.4,N347&lt;=13)</f>
        <v/>
      </c>
      <c r="P347">
        <f>IF(OR(N347&lt;1.4,N347&gt;13),"",IF(G347*1000&lt;=1170,IF(N347&lt;1.8,"1014",IF(N347&lt;2.9,"1018",IF(N347&lt;3.8,"1029",IF(N347&lt;5,"1038",IF(N347&lt;7,"1050",IF(N347&lt;9,"1070",IF(N347&lt;11,"1090","1110"))))))),IF(G347*1000&lt;=1570,IF(N347&lt;1.8,"",IF(N347&lt;2.9,"2018",IF(N347&lt;3.8,"2029",IF(N347&lt;5,"2038",IF(N347&lt;7,"2050",IF(N347&lt;9,"2070",IF(N347&lt;11,"2090","2110"))))))),IF(G347*1000&lt;=1700,IF(N347&lt;1.8,"",IF(N347&lt;2.9,"3018",IF(N347&lt;3.8,"3029",IF(N347&lt;5,"3038",IF(N347&lt;7,"3050",IF(N347&lt;9,"3070",IF(N347&lt;11,"3090","3110"))))))),""))))</f>
        <v/>
      </c>
      <c r="Q347">
        <f>AND(O347=TRUE,P347&lt;&gt;"")</f>
        <v/>
      </c>
      <c r="R347">
        <f>IF(G347*1000&lt;750,"なし","あり")</f>
        <v/>
      </c>
      <c r="S347">
        <f>IF(AND(O347=TRUE,Q347=TRUE),"設定可","BLOCK")</f>
        <v/>
      </c>
      <c r="T347" t="inlineStr">
        <is>
          <t>商品カタログ P194</t>
        </is>
      </c>
      <c r="U347" t="inlineStr">
        <is>
          <t>https://webcatalog.lixil.co.jp/iportal/CatalogDetail.do?catalogID=15191910000&amp;categoryID=1630000&amp;designID=newinter&amp;method=initial_screen&amp;position=18&amp;type=mc&amp;volumeID=LXL13001</t>
        </is>
      </c>
    </row>
    <row r="348">
      <c r="A348" t="inlineStr">
        <is>
          <t>WG-SL-00345</t>
        </is>
      </c>
      <c r="B348" t="inlineStr">
        <is>
          <t>SZ-SL-000984</t>
        </is>
      </c>
      <c r="C348" t="inlineStr">
        <is>
          <t>WT-SL-MENKOSHI-AGE-FS</t>
        </is>
      </c>
      <c r="D348" t="inlineStr">
        <is>
          <t>SP-SL-AGE-GRILLE-V</t>
        </is>
      </c>
      <c r="E348" t="inlineStr">
        <is>
          <t>07407</t>
        </is>
      </c>
      <c r="F348" t="n">
        <v>0.78</v>
      </c>
      <c r="G348" t="n">
        <v>0.77</v>
      </c>
      <c r="H348" t="inlineStr">
        <is>
          <t>GL-SL-003</t>
        </is>
      </c>
      <c r="I348" t="n">
        <v>8</v>
      </c>
      <c r="J348" t="n">
        <v>10.4</v>
      </c>
      <c r="K348" t="n">
        <v>-0.605</v>
      </c>
      <c r="L348" t="n">
        <v>-1.332</v>
      </c>
      <c r="M348" t="n">
        <v>0.399</v>
      </c>
      <c r="N348">
        <f>ROUND(J348*F348*G348+K348*G348+L348*F348+M348,3)</f>
        <v/>
      </c>
      <c r="O348">
        <f>AND(N348&gt;=1.4,N348&lt;=13)</f>
        <v/>
      </c>
      <c r="P348">
        <f>IF(OR(N348&lt;1.4,N348&gt;13),"",IF(G348*1000&lt;=1170,IF(N348&lt;1.8,"1014",IF(N348&lt;2.9,"1018",IF(N348&lt;3.8,"1029",IF(N348&lt;5,"1038",IF(N348&lt;7,"1050",IF(N348&lt;9,"1070",IF(N348&lt;11,"1090","1110"))))))),IF(G348*1000&lt;=1570,IF(N348&lt;1.8,"",IF(N348&lt;2.9,"2018",IF(N348&lt;3.8,"2029",IF(N348&lt;5,"2038",IF(N348&lt;7,"2050",IF(N348&lt;9,"2070",IF(N348&lt;11,"2090","2110"))))))),IF(G348*1000&lt;=1700,IF(N348&lt;1.8,"",IF(N348&lt;2.9,"3018",IF(N348&lt;3.8,"3029",IF(N348&lt;5,"3038",IF(N348&lt;7,"3050",IF(N348&lt;9,"3070",IF(N348&lt;11,"3090","3110"))))))),""))))</f>
        <v/>
      </c>
      <c r="Q348">
        <f>AND(O348=TRUE,P348&lt;&gt;"")</f>
        <v/>
      </c>
      <c r="R348">
        <f>IF(G348*1000&lt;750,"なし","あり")</f>
        <v/>
      </c>
      <c r="S348">
        <f>IF(AND(O348=TRUE,Q348=TRUE),"設定可","BLOCK")</f>
        <v/>
      </c>
      <c r="T348" t="inlineStr">
        <is>
          <t>商品カタログ P194</t>
        </is>
      </c>
      <c r="U348" t="inlineStr">
        <is>
          <t>https://webcatalog.lixil.co.jp/iportal/CatalogDetail.do?catalogID=15191910000&amp;categoryID=1630000&amp;designID=newinter&amp;method=initial_screen&amp;position=18&amp;type=mc&amp;volumeID=LXL13001</t>
        </is>
      </c>
    </row>
    <row r="349">
      <c r="A349" t="inlineStr">
        <is>
          <t>WG-SL-00346</t>
        </is>
      </c>
      <c r="B349" t="inlineStr">
        <is>
          <t>SZ-SL-000984</t>
        </is>
      </c>
      <c r="C349" t="inlineStr">
        <is>
          <t>WT-SL-MENKOSHI-AGE-FS</t>
        </is>
      </c>
      <c r="D349" t="inlineStr">
        <is>
          <t>SP-SL-AGE-GRILLE-V</t>
        </is>
      </c>
      <c r="E349" t="inlineStr">
        <is>
          <t>07407</t>
        </is>
      </c>
      <c r="F349" t="n">
        <v>0.78</v>
      </c>
      <c r="G349" t="n">
        <v>0.77</v>
      </c>
      <c r="H349" t="inlineStr">
        <is>
          <t>GL-SL-004</t>
        </is>
      </c>
      <c r="I349" t="n">
        <v>6</v>
      </c>
      <c r="J349" t="n">
        <v>7.8</v>
      </c>
      <c r="K349" t="n">
        <v>-0.355</v>
      </c>
      <c r="L349" t="n">
        <v>-0.664</v>
      </c>
      <c r="M349" t="n">
        <v>0.335</v>
      </c>
      <c r="N349">
        <f>ROUND(J349*F349*G349+K349*G349+L349*F349+M349,3)</f>
        <v/>
      </c>
      <c r="O349">
        <f>AND(N349&gt;=1.4,N349&lt;=13)</f>
        <v/>
      </c>
      <c r="P349">
        <f>IF(OR(N349&lt;1.4,N349&gt;13),"",IF(G349*1000&lt;=1170,IF(N349&lt;1.8,"1014",IF(N349&lt;2.9,"1018",IF(N349&lt;3.8,"1029",IF(N349&lt;5,"1038",IF(N349&lt;7,"1050",IF(N349&lt;9,"1070",IF(N349&lt;11,"1090","1110"))))))),IF(G349*1000&lt;=1570,IF(N349&lt;1.8,"",IF(N349&lt;2.9,"2018",IF(N349&lt;3.8,"2029",IF(N349&lt;5,"2038",IF(N349&lt;7,"2050",IF(N349&lt;9,"2070",IF(N349&lt;11,"2090","2110"))))))),IF(G349*1000&lt;=1700,IF(N349&lt;1.8,"",IF(N349&lt;2.9,"3018",IF(N349&lt;3.8,"3029",IF(N349&lt;5,"3038",IF(N349&lt;7,"3050",IF(N349&lt;9,"3070",IF(N349&lt;11,"3090","3110"))))))),""))))</f>
        <v/>
      </c>
      <c r="Q349">
        <f>AND(O349=TRUE,P349&lt;&gt;"")</f>
        <v/>
      </c>
      <c r="R349">
        <f>IF(G349*1000&lt;750,"なし","あり")</f>
        <v/>
      </c>
      <c r="S349">
        <f>IF(AND(O349=TRUE,Q349=TRUE),"設定可","BLOCK")</f>
        <v/>
      </c>
      <c r="T349" t="inlineStr">
        <is>
          <t>商品カタログ P194</t>
        </is>
      </c>
      <c r="U349" t="inlineStr">
        <is>
          <t>https://webcatalog.lixil.co.jp/iportal/CatalogDetail.do?catalogID=15191910000&amp;categoryID=1630000&amp;designID=newinter&amp;method=initial_screen&amp;position=18&amp;type=mc&amp;volumeID=LXL13001</t>
        </is>
      </c>
    </row>
    <row r="350">
      <c r="A350" t="inlineStr">
        <is>
          <t>WG-SL-00347</t>
        </is>
      </c>
      <c r="B350" t="inlineStr">
        <is>
          <t>SZ-SL-000984</t>
        </is>
      </c>
      <c r="C350" t="inlineStr">
        <is>
          <t>WT-SL-MENKOSHI-AGE-FS</t>
        </is>
      </c>
      <c r="D350" t="inlineStr">
        <is>
          <t>SP-SL-AGE-GRILLE-V</t>
        </is>
      </c>
      <c r="E350" t="inlineStr">
        <is>
          <t>07407</t>
        </is>
      </c>
      <c r="F350" t="n">
        <v>0.78</v>
      </c>
      <c r="G350" t="n">
        <v>0.77</v>
      </c>
      <c r="H350" t="inlineStr">
        <is>
          <t>GL-SL-005</t>
        </is>
      </c>
      <c r="I350" t="n">
        <v>7</v>
      </c>
      <c r="J350" t="n">
        <v>9.1</v>
      </c>
      <c r="K350" t="n">
        <v>-0.48</v>
      </c>
      <c r="L350" t="n">
        <v>-0.998</v>
      </c>
      <c r="M350" t="n">
        <v>0.367</v>
      </c>
      <c r="N350">
        <f>ROUND(J350*F350*G350+K350*G350+L350*F350+M350,3)</f>
        <v/>
      </c>
      <c r="O350">
        <f>AND(N350&gt;=1.4,N350&lt;=13)</f>
        <v/>
      </c>
      <c r="P350">
        <f>IF(OR(N350&lt;1.4,N350&gt;13),"",IF(G350*1000&lt;=1170,IF(N350&lt;1.8,"1014",IF(N350&lt;2.9,"1018",IF(N350&lt;3.8,"1029",IF(N350&lt;5,"1038",IF(N350&lt;7,"1050",IF(N350&lt;9,"1070",IF(N350&lt;11,"1090","1110"))))))),IF(G350*1000&lt;=1570,IF(N350&lt;1.8,"",IF(N350&lt;2.9,"2018",IF(N350&lt;3.8,"2029",IF(N350&lt;5,"2038",IF(N350&lt;7,"2050",IF(N350&lt;9,"2070",IF(N350&lt;11,"2090","2110"))))))),IF(G350*1000&lt;=1700,IF(N350&lt;1.8,"",IF(N350&lt;2.9,"3018",IF(N350&lt;3.8,"3029",IF(N350&lt;5,"3038",IF(N350&lt;7,"3050",IF(N350&lt;9,"3070",IF(N350&lt;11,"3090","3110"))))))),""))))</f>
        <v/>
      </c>
      <c r="Q350">
        <f>AND(O350=TRUE,P350&lt;&gt;"")</f>
        <v/>
      </c>
      <c r="R350">
        <f>IF(G350*1000&lt;750,"なし","あり")</f>
        <v/>
      </c>
      <c r="S350">
        <f>IF(AND(O350=TRUE,Q350=TRUE),"設定可","BLOCK")</f>
        <v/>
      </c>
      <c r="T350" t="inlineStr">
        <is>
          <t>商品カタログ P194</t>
        </is>
      </c>
      <c r="U350" t="inlineStr">
        <is>
          <t>https://webcatalog.lixil.co.jp/iportal/CatalogDetail.do?catalogID=15191910000&amp;categoryID=1630000&amp;designID=newinter&amp;method=initial_screen&amp;position=18&amp;type=mc&amp;volumeID=LXL13001</t>
        </is>
      </c>
    </row>
    <row r="351">
      <c r="A351" t="inlineStr">
        <is>
          <t>WG-SL-00348</t>
        </is>
      </c>
      <c r="B351" t="inlineStr">
        <is>
          <t>SZ-SL-000984</t>
        </is>
      </c>
      <c r="C351" t="inlineStr">
        <is>
          <t>WT-SL-MENKOSHI-AGE-FS</t>
        </is>
      </c>
      <c r="D351" t="inlineStr">
        <is>
          <t>SP-SL-AGE-GRILLE-V</t>
        </is>
      </c>
      <c r="E351" t="inlineStr">
        <is>
          <t>07407</t>
        </is>
      </c>
      <c r="F351" t="n">
        <v>0.78</v>
      </c>
      <c r="G351" t="n">
        <v>0.77</v>
      </c>
      <c r="H351" t="inlineStr">
        <is>
          <t>GL-SL-006</t>
        </is>
      </c>
      <c r="I351" t="n">
        <v>8</v>
      </c>
      <c r="J351" t="n">
        <v>10.4</v>
      </c>
      <c r="K351" t="n">
        <v>-0.605</v>
      </c>
      <c r="L351" t="n">
        <v>-1.332</v>
      </c>
      <c r="M351" t="n">
        <v>0.399</v>
      </c>
      <c r="N351">
        <f>ROUND(J351*F351*G351+K351*G351+L351*F351+M351,3)</f>
        <v/>
      </c>
      <c r="O351">
        <f>AND(N351&gt;=1.4,N351&lt;=13)</f>
        <v/>
      </c>
      <c r="P351">
        <f>IF(OR(N351&lt;1.4,N351&gt;13),"",IF(G351*1000&lt;=1170,IF(N351&lt;1.8,"1014",IF(N351&lt;2.9,"1018",IF(N351&lt;3.8,"1029",IF(N351&lt;5,"1038",IF(N351&lt;7,"1050",IF(N351&lt;9,"1070",IF(N351&lt;11,"1090","1110"))))))),IF(G351*1000&lt;=1570,IF(N351&lt;1.8,"",IF(N351&lt;2.9,"2018",IF(N351&lt;3.8,"2029",IF(N351&lt;5,"2038",IF(N351&lt;7,"2050",IF(N351&lt;9,"2070",IF(N351&lt;11,"2090","2110"))))))),IF(G351*1000&lt;=1700,IF(N351&lt;1.8,"",IF(N351&lt;2.9,"3018",IF(N351&lt;3.8,"3029",IF(N351&lt;5,"3038",IF(N351&lt;7,"3050",IF(N351&lt;9,"3070",IF(N351&lt;11,"3090","3110"))))))),""))))</f>
        <v/>
      </c>
      <c r="Q351">
        <f>AND(O351=TRUE,P351&lt;&gt;"")</f>
        <v/>
      </c>
      <c r="R351">
        <f>IF(G351*1000&lt;750,"なし","あり")</f>
        <v/>
      </c>
      <c r="S351">
        <f>IF(AND(O351=TRUE,Q351=TRUE),"設定可","BLOCK")</f>
        <v/>
      </c>
      <c r="T351" t="inlineStr">
        <is>
          <t>商品カタログ P194</t>
        </is>
      </c>
      <c r="U351" t="inlineStr">
        <is>
          <t>https://webcatalog.lixil.co.jp/iportal/CatalogDetail.do?catalogID=15191910000&amp;categoryID=1630000&amp;designID=newinter&amp;method=initial_screen&amp;position=18&amp;type=mc&amp;volumeID=LXL13001</t>
        </is>
      </c>
    </row>
    <row r="352">
      <c r="A352" t="inlineStr">
        <is>
          <t>WG-SL-00349</t>
        </is>
      </c>
      <c r="B352" t="inlineStr">
        <is>
          <t>SZ-SL-000984</t>
        </is>
      </c>
      <c r="C352" t="inlineStr">
        <is>
          <t>WT-SL-MENKOSHI-AGE-FS</t>
        </is>
      </c>
      <c r="D352" t="inlineStr">
        <is>
          <t>SP-SL-AGE-GRILLE-V</t>
        </is>
      </c>
      <c r="E352" t="inlineStr">
        <is>
          <t>07407</t>
        </is>
      </c>
      <c r="F352" t="n">
        <v>0.78</v>
      </c>
      <c r="G352" t="n">
        <v>0.77</v>
      </c>
      <c r="H352" t="inlineStr">
        <is>
          <t>GL-SL-007</t>
        </is>
      </c>
      <c r="I352" t="n">
        <v>6</v>
      </c>
      <c r="J352" t="n">
        <v>7.8</v>
      </c>
      <c r="K352" t="n">
        <v>-0.355</v>
      </c>
      <c r="L352" t="n">
        <v>-0.664</v>
      </c>
      <c r="M352" t="n">
        <v>0.335</v>
      </c>
      <c r="N352">
        <f>ROUND(J352*F352*G352+K352*G352+L352*F352+M352,3)</f>
        <v/>
      </c>
      <c r="O352">
        <f>AND(N352&gt;=1.4,N352&lt;=13)</f>
        <v/>
      </c>
      <c r="P352">
        <f>IF(OR(N352&lt;1.4,N352&gt;13),"",IF(G352*1000&lt;=1170,IF(N352&lt;1.8,"1014",IF(N352&lt;2.9,"1018",IF(N352&lt;3.8,"1029",IF(N352&lt;5,"1038",IF(N352&lt;7,"1050",IF(N352&lt;9,"1070",IF(N352&lt;11,"1090","1110"))))))),IF(G352*1000&lt;=1570,IF(N352&lt;1.8,"",IF(N352&lt;2.9,"2018",IF(N352&lt;3.8,"2029",IF(N352&lt;5,"2038",IF(N352&lt;7,"2050",IF(N352&lt;9,"2070",IF(N352&lt;11,"2090","2110"))))))),IF(G352*1000&lt;=1700,IF(N352&lt;1.8,"",IF(N352&lt;2.9,"3018",IF(N352&lt;3.8,"3029",IF(N352&lt;5,"3038",IF(N352&lt;7,"3050",IF(N352&lt;9,"3070",IF(N352&lt;11,"3090","3110"))))))),""))))</f>
        <v/>
      </c>
      <c r="Q352">
        <f>AND(O352=TRUE,P352&lt;&gt;"")</f>
        <v/>
      </c>
      <c r="R352">
        <f>IF(G352*1000&lt;750,"なし","あり")</f>
        <v/>
      </c>
      <c r="S352">
        <f>IF(AND(O352=TRUE,Q352=TRUE),"設定可","BLOCK")</f>
        <v/>
      </c>
      <c r="T352" t="inlineStr">
        <is>
          <t>商品カタログ P194</t>
        </is>
      </c>
      <c r="U352" t="inlineStr">
        <is>
          <t>https://webcatalog.lixil.co.jp/iportal/CatalogDetail.do?catalogID=15191910000&amp;categoryID=1630000&amp;designID=newinter&amp;method=initial_screen&amp;position=18&amp;type=mc&amp;volumeID=LXL13001</t>
        </is>
      </c>
    </row>
    <row r="353">
      <c r="A353" t="inlineStr">
        <is>
          <t>WG-SL-00350</t>
        </is>
      </c>
      <c r="B353" t="inlineStr">
        <is>
          <t>SZ-SL-000984</t>
        </is>
      </c>
      <c r="C353" t="inlineStr">
        <is>
          <t>WT-SL-MENKOSHI-AGE-FS</t>
        </is>
      </c>
      <c r="D353" t="inlineStr">
        <is>
          <t>SP-SL-AGE-GRILLE-V</t>
        </is>
      </c>
      <c r="E353" t="inlineStr">
        <is>
          <t>07407</t>
        </is>
      </c>
      <c r="F353" t="n">
        <v>0.78</v>
      </c>
      <c r="G353" t="n">
        <v>0.77</v>
      </c>
      <c r="H353" t="inlineStr">
        <is>
          <t>GL-SL-008</t>
        </is>
      </c>
      <c r="I353" t="n">
        <v>7</v>
      </c>
      <c r="J353" t="n">
        <v>9.1</v>
      </c>
      <c r="K353" t="n">
        <v>-0.48</v>
      </c>
      <c r="L353" t="n">
        <v>-0.998</v>
      </c>
      <c r="M353" t="n">
        <v>0.367</v>
      </c>
      <c r="N353">
        <f>ROUND(J353*F353*G353+K353*G353+L353*F353+M353,3)</f>
        <v/>
      </c>
      <c r="O353">
        <f>AND(N353&gt;=1.4,N353&lt;=13)</f>
        <v/>
      </c>
      <c r="P353">
        <f>IF(OR(N353&lt;1.4,N353&gt;13),"",IF(G353*1000&lt;=1170,IF(N353&lt;1.8,"1014",IF(N353&lt;2.9,"1018",IF(N353&lt;3.8,"1029",IF(N353&lt;5,"1038",IF(N353&lt;7,"1050",IF(N353&lt;9,"1070",IF(N353&lt;11,"1090","1110"))))))),IF(G353*1000&lt;=1570,IF(N353&lt;1.8,"",IF(N353&lt;2.9,"2018",IF(N353&lt;3.8,"2029",IF(N353&lt;5,"2038",IF(N353&lt;7,"2050",IF(N353&lt;9,"2070",IF(N353&lt;11,"2090","2110"))))))),IF(G353*1000&lt;=1700,IF(N353&lt;1.8,"",IF(N353&lt;2.9,"3018",IF(N353&lt;3.8,"3029",IF(N353&lt;5,"3038",IF(N353&lt;7,"3050",IF(N353&lt;9,"3070",IF(N353&lt;11,"3090","3110"))))))),""))))</f>
        <v/>
      </c>
      <c r="Q353">
        <f>AND(O353=TRUE,P353&lt;&gt;"")</f>
        <v/>
      </c>
      <c r="R353">
        <f>IF(G353*1000&lt;750,"なし","あり")</f>
        <v/>
      </c>
      <c r="S353">
        <f>IF(AND(O353=TRUE,Q353=TRUE),"設定可","BLOCK")</f>
        <v/>
      </c>
      <c r="T353" t="inlineStr">
        <is>
          <t>商品カタログ P194</t>
        </is>
      </c>
      <c r="U353" t="inlineStr">
        <is>
          <t>https://webcatalog.lixil.co.jp/iportal/CatalogDetail.do?catalogID=15191910000&amp;categoryID=1630000&amp;designID=newinter&amp;method=initial_screen&amp;position=18&amp;type=mc&amp;volumeID=LXL13001</t>
        </is>
      </c>
    </row>
    <row r="354">
      <c r="A354" t="inlineStr">
        <is>
          <t>WG-SL-00351</t>
        </is>
      </c>
      <c r="B354" t="inlineStr">
        <is>
          <t>SZ-SL-000984</t>
        </is>
      </c>
      <c r="C354" t="inlineStr">
        <is>
          <t>WT-SL-MENKOSHI-AGE-FS</t>
        </is>
      </c>
      <c r="D354" t="inlineStr">
        <is>
          <t>SP-SL-AGE-GRILLE-V</t>
        </is>
      </c>
      <c r="E354" t="inlineStr">
        <is>
          <t>07407</t>
        </is>
      </c>
      <c r="F354" t="n">
        <v>0.78</v>
      </c>
      <c r="G354" t="n">
        <v>0.77</v>
      </c>
      <c r="H354" t="inlineStr">
        <is>
          <t>GL-SL-009</t>
        </is>
      </c>
      <c r="I354" t="n">
        <v>8</v>
      </c>
      <c r="J354" t="n">
        <v>10.4</v>
      </c>
      <c r="K354" t="n">
        <v>-0.605</v>
      </c>
      <c r="L354" t="n">
        <v>-1.332</v>
      </c>
      <c r="M354" t="n">
        <v>0.399</v>
      </c>
      <c r="N354">
        <f>ROUND(J354*F354*G354+K354*G354+L354*F354+M354,3)</f>
        <v/>
      </c>
      <c r="O354">
        <f>AND(N354&gt;=1.4,N354&lt;=13)</f>
        <v/>
      </c>
      <c r="P354">
        <f>IF(OR(N354&lt;1.4,N354&gt;13),"",IF(G354*1000&lt;=1170,IF(N354&lt;1.8,"1014",IF(N354&lt;2.9,"1018",IF(N354&lt;3.8,"1029",IF(N354&lt;5,"1038",IF(N354&lt;7,"1050",IF(N354&lt;9,"1070",IF(N354&lt;11,"1090","1110"))))))),IF(G354*1000&lt;=1570,IF(N354&lt;1.8,"",IF(N354&lt;2.9,"2018",IF(N354&lt;3.8,"2029",IF(N354&lt;5,"2038",IF(N354&lt;7,"2050",IF(N354&lt;9,"2070",IF(N354&lt;11,"2090","2110"))))))),IF(G354*1000&lt;=1700,IF(N354&lt;1.8,"",IF(N354&lt;2.9,"3018",IF(N354&lt;3.8,"3029",IF(N354&lt;5,"3038",IF(N354&lt;7,"3050",IF(N354&lt;9,"3070",IF(N354&lt;11,"3090","3110"))))))),""))))</f>
        <v/>
      </c>
      <c r="Q354">
        <f>AND(O354=TRUE,P354&lt;&gt;"")</f>
        <v/>
      </c>
      <c r="R354">
        <f>IF(G354*1000&lt;750,"なし","あり")</f>
        <v/>
      </c>
      <c r="S354">
        <f>IF(AND(O354=TRUE,Q354=TRUE),"設定可","BLOCK")</f>
        <v/>
      </c>
      <c r="T354" t="inlineStr">
        <is>
          <t>商品カタログ P194</t>
        </is>
      </c>
      <c r="U354" t="inlineStr">
        <is>
          <t>https://webcatalog.lixil.co.jp/iportal/CatalogDetail.do?catalogID=15191910000&amp;categoryID=1630000&amp;designID=newinter&amp;method=initial_screen&amp;position=18&amp;type=mc&amp;volumeID=LXL13001</t>
        </is>
      </c>
    </row>
    <row r="355">
      <c r="A355" t="inlineStr">
        <is>
          <t>WG-SL-00352</t>
        </is>
      </c>
      <c r="B355" t="inlineStr">
        <is>
          <t>SZ-SL-000985</t>
        </is>
      </c>
      <c r="C355" t="inlineStr">
        <is>
          <t>WT-SL-MENKOSHI-AGE-FS</t>
        </is>
      </c>
      <c r="D355" t="inlineStr">
        <is>
          <t>SP-SL-AGE-GRILLE-DIA</t>
        </is>
      </c>
      <c r="E355" t="inlineStr">
        <is>
          <t>02609</t>
        </is>
      </c>
      <c r="F355" t="n">
        <v>0.3</v>
      </c>
      <c r="G355" t="n">
        <v>0.97</v>
      </c>
      <c r="H355" t="inlineStr">
        <is>
          <t>GL-SL-001</t>
        </is>
      </c>
      <c r="I355" t="n">
        <v>6</v>
      </c>
      <c r="J355" t="n">
        <v>7.8</v>
      </c>
      <c r="K355" t="n">
        <v>-0.355</v>
      </c>
      <c r="L355" t="n">
        <v>-0.664</v>
      </c>
      <c r="M355" t="n">
        <v>0.335</v>
      </c>
      <c r="N355">
        <f>ROUND(J355*F355*G355+K355*G355+L355*F355+M355,3)</f>
        <v/>
      </c>
      <c r="O355">
        <f>AND(N355&gt;=1.4,N355&lt;=13)</f>
        <v/>
      </c>
      <c r="P355">
        <f>IF(OR(N355&lt;1.4,N355&gt;13),"",IF(G355*1000&lt;=1170,IF(N355&lt;1.8,"1014",IF(N355&lt;2.9,"1018",IF(N355&lt;3.8,"1029",IF(N355&lt;5,"1038",IF(N355&lt;7,"1050",IF(N355&lt;9,"1070",IF(N355&lt;11,"1090","1110"))))))),IF(G355*1000&lt;=1570,IF(N355&lt;1.8,"",IF(N355&lt;2.9,"2018",IF(N355&lt;3.8,"2029",IF(N355&lt;5,"2038",IF(N355&lt;7,"2050",IF(N355&lt;9,"2070",IF(N355&lt;11,"2090","2110"))))))),IF(G355*1000&lt;=1700,IF(N355&lt;1.8,"",IF(N355&lt;2.9,"3018",IF(N355&lt;3.8,"3029",IF(N355&lt;5,"3038",IF(N355&lt;7,"3050",IF(N355&lt;9,"3070",IF(N355&lt;11,"3090","3110"))))))),""))))</f>
        <v/>
      </c>
      <c r="Q355">
        <f>AND(O355=TRUE,P355&lt;&gt;"")</f>
        <v/>
      </c>
      <c r="R355">
        <f>IF(G355*1000&lt;750,"なし","あり")</f>
        <v/>
      </c>
      <c r="S355">
        <f>IF(AND(O355=TRUE,Q355=TRUE),"設定可","BLOCK")</f>
        <v/>
      </c>
      <c r="T355" t="inlineStr">
        <is>
          <t>商品カタログ P194</t>
        </is>
      </c>
      <c r="U355" t="inlineStr">
        <is>
          <t>https://webcatalog.lixil.co.jp/iportal/CatalogDetail.do?catalogID=15191910000&amp;categoryID=1630000&amp;designID=newinter&amp;method=initial_screen&amp;position=18&amp;type=mc&amp;volumeID=LXL13001</t>
        </is>
      </c>
    </row>
    <row r="356">
      <c r="A356" t="inlineStr">
        <is>
          <t>WG-SL-00353</t>
        </is>
      </c>
      <c r="B356" t="inlineStr">
        <is>
          <t>SZ-SL-000985</t>
        </is>
      </c>
      <c r="C356" t="inlineStr">
        <is>
          <t>WT-SL-MENKOSHI-AGE-FS</t>
        </is>
      </c>
      <c r="D356" t="inlineStr">
        <is>
          <t>SP-SL-AGE-GRILLE-DIA</t>
        </is>
      </c>
      <c r="E356" t="inlineStr">
        <is>
          <t>02609</t>
        </is>
      </c>
      <c r="F356" t="n">
        <v>0.3</v>
      </c>
      <c r="G356" t="n">
        <v>0.97</v>
      </c>
      <c r="H356" t="inlineStr">
        <is>
          <t>GL-SL-002</t>
        </is>
      </c>
      <c r="I356" t="n">
        <v>7</v>
      </c>
      <c r="J356" t="n">
        <v>9.1</v>
      </c>
      <c r="K356" t="n">
        <v>-0.48</v>
      </c>
      <c r="L356" t="n">
        <v>-0.998</v>
      </c>
      <c r="M356" t="n">
        <v>0.367</v>
      </c>
      <c r="N356">
        <f>ROUND(J356*F356*G356+K356*G356+L356*F356+M356,3)</f>
        <v/>
      </c>
      <c r="O356">
        <f>AND(N356&gt;=1.4,N356&lt;=13)</f>
        <v/>
      </c>
      <c r="P356">
        <f>IF(OR(N356&lt;1.4,N356&gt;13),"",IF(G356*1000&lt;=1170,IF(N356&lt;1.8,"1014",IF(N356&lt;2.9,"1018",IF(N356&lt;3.8,"1029",IF(N356&lt;5,"1038",IF(N356&lt;7,"1050",IF(N356&lt;9,"1070",IF(N356&lt;11,"1090","1110"))))))),IF(G356*1000&lt;=1570,IF(N356&lt;1.8,"",IF(N356&lt;2.9,"2018",IF(N356&lt;3.8,"2029",IF(N356&lt;5,"2038",IF(N356&lt;7,"2050",IF(N356&lt;9,"2070",IF(N356&lt;11,"2090","2110"))))))),IF(G356*1000&lt;=1700,IF(N356&lt;1.8,"",IF(N356&lt;2.9,"3018",IF(N356&lt;3.8,"3029",IF(N356&lt;5,"3038",IF(N356&lt;7,"3050",IF(N356&lt;9,"3070",IF(N356&lt;11,"3090","3110"))))))),""))))</f>
        <v/>
      </c>
      <c r="Q356">
        <f>AND(O356=TRUE,P356&lt;&gt;"")</f>
        <v/>
      </c>
      <c r="R356">
        <f>IF(G356*1000&lt;750,"なし","あり")</f>
        <v/>
      </c>
      <c r="S356">
        <f>IF(AND(O356=TRUE,Q356=TRUE),"設定可","BLOCK")</f>
        <v/>
      </c>
      <c r="T356" t="inlineStr">
        <is>
          <t>商品カタログ P194</t>
        </is>
      </c>
      <c r="U356" t="inlineStr">
        <is>
          <t>https://webcatalog.lixil.co.jp/iportal/CatalogDetail.do?catalogID=15191910000&amp;categoryID=1630000&amp;designID=newinter&amp;method=initial_screen&amp;position=18&amp;type=mc&amp;volumeID=LXL13001</t>
        </is>
      </c>
    </row>
    <row r="357">
      <c r="A357" t="inlineStr">
        <is>
          <t>WG-SL-00354</t>
        </is>
      </c>
      <c r="B357" t="inlineStr">
        <is>
          <t>SZ-SL-000985</t>
        </is>
      </c>
      <c r="C357" t="inlineStr">
        <is>
          <t>WT-SL-MENKOSHI-AGE-FS</t>
        </is>
      </c>
      <c r="D357" t="inlineStr">
        <is>
          <t>SP-SL-AGE-GRILLE-DIA</t>
        </is>
      </c>
      <c r="E357" t="inlineStr">
        <is>
          <t>02609</t>
        </is>
      </c>
      <c r="F357" t="n">
        <v>0.3</v>
      </c>
      <c r="G357" t="n">
        <v>0.97</v>
      </c>
      <c r="H357" t="inlineStr">
        <is>
          <t>GL-SL-003</t>
        </is>
      </c>
      <c r="I357" t="n">
        <v>8</v>
      </c>
      <c r="J357" t="n">
        <v>10.4</v>
      </c>
      <c r="K357" t="n">
        <v>-0.605</v>
      </c>
      <c r="L357" t="n">
        <v>-1.332</v>
      </c>
      <c r="M357" t="n">
        <v>0.399</v>
      </c>
      <c r="N357">
        <f>ROUND(J357*F357*G357+K357*G357+L357*F357+M357,3)</f>
        <v/>
      </c>
      <c r="O357">
        <f>AND(N357&gt;=1.4,N357&lt;=13)</f>
        <v/>
      </c>
      <c r="P357">
        <f>IF(OR(N357&lt;1.4,N357&gt;13),"",IF(G357*1000&lt;=1170,IF(N357&lt;1.8,"1014",IF(N357&lt;2.9,"1018",IF(N357&lt;3.8,"1029",IF(N357&lt;5,"1038",IF(N357&lt;7,"1050",IF(N357&lt;9,"1070",IF(N357&lt;11,"1090","1110"))))))),IF(G357*1000&lt;=1570,IF(N357&lt;1.8,"",IF(N357&lt;2.9,"2018",IF(N357&lt;3.8,"2029",IF(N357&lt;5,"2038",IF(N357&lt;7,"2050",IF(N357&lt;9,"2070",IF(N357&lt;11,"2090","2110"))))))),IF(G357*1000&lt;=1700,IF(N357&lt;1.8,"",IF(N357&lt;2.9,"3018",IF(N357&lt;3.8,"3029",IF(N357&lt;5,"3038",IF(N357&lt;7,"3050",IF(N357&lt;9,"3070",IF(N357&lt;11,"3090","3110"))))))),""))))</f>
        <v/>
      </c>
      <c r="Q357">
        <f>AND(O357=TRUE,P357&lt;&gt;"")</f>
        <v/>
      </c>
      <c r="R357">
        <f>IF(G357*1000&lt;750,"なし","あり")</f>
        <v/>
      </c>
      <c r="S357">
        <f>IF(AND(O357=TRUE,Q357=TRUE),"設定可","BLOCK")</f>
        <v/>
      </c>
      <c r="T357" t="inlineStr">
        <is>
          <t>商品カタログ P194</t>
        </is>
      </c>
      <c r="U357" t="inlineStr">
        <is>
          <t>https://webcatalog.lixil.co.jp/iportal/CatalogDetail.do?catalogID=15191910000&amp;categoryID=1630000&amp;designID=newinter&amp;method=initial_screen&amp;position=18&amp;type=mc&amp;volumeID=LXL13001</t>
        </is>
      </c>
    </row>
    <row r="358">
      <c r="A358" t="inlineStr">
        <is>
          <t>WG-SL-00355</t>
        </is>
      </c>
      <c r="B358" t="inlineStr">
        <is>
          <t>SZ-SL-000985</t>
        </is>
      </c>
      <c r="C358" t="inlineStr">
        <is>
          <t>WT-SL-MENKOSHI-AGE-FS</t>
        </is>
      </c>
      <c r="D358" t="inlineStr">
        <is>
          <t>SP-SL-AGE-GRILLE-DIA</t>
        </is>
      </c>
      <c r="E358" t="inlineStr">
        <is>
          <t>02609</t>
        </is>
      </c>
      <c r="F358" t="n">
        <v>0.3</v>
      </c>
      <c r="G358" t="n">
        <v>0.97</v>
      </c>
      <c r="H358" t="inlineStr">
        <is>
          <t>GL-SL-004</t>
        </is>
      </c>
      <c r="I358" t="n">
        <v>6</v>
      </c>
      <c r="J358" t="n">
        <v>7.8</v>
      </c>
      <c r="K358" t="n">
        <v>-0.355</v>
      </c>
      <c r="L358" t="n">
        <v>-0.664</v>
      </c>
      <c r="M358" t="n">
        <v>0.335</v>
      </c>
      <c r="N358">
        <f>ROUND(J358*F358*G358+K358*G358+L358*F358+M358,3)</f>
        <v/>
      </c>
      <c r="O358">
        <f>AND(N358&gt;=1.4,N358&lt;=13)</f>
        <v/>
      </c>
      <c r="P358">
        <f>IF(OR(N358&lt;1.4,N358&gt;13),"",IF(G358*1000&lt;=1170,IF(N358&lt;1.8,"1014",IF(N358&lt;2.9,"1018",IF(N358&lt;3.8,"1029",IF(N358&lt;5,"1038",IF(N358&lt;7,"1050",IF(N358&lt;9,"1070",IF(N358&lt;11,"1090","1110"))))))),IF(G358*1000&lt;=1570,IF(N358&lt;1.8,"",IF(N358&lt;2.9,"2018",IF(N358&lt;3.8,"2029",IF(N358&lt;5,"2038",IF(N358&lt;7,"2050",IF(N358&lt;9,"2070",IF(N358&lt;11,"2090","2110"))))))),IF(G358*1000&lt;=1700,IF(N358&lt;1.8,"",IF(N358&lt;2.9,"3018",IF(N358&lt;3.8,"3029",IF(N358&lt;5,"3038",IF(N358&lt;7,"3050",IF(N358&lt;9,"3070",IF(N358&lt;11,"3090","3110"))))))),""))))</f>
        <v/>
      </c>
      <c r="Q358">
        <f>AND(O358=TRUE,P358&lt;&gt;"")</f>
        <v/>
      </c>
      <c r="R358">
        <f>IF(G358*1000&lt;750,"なし","あり")</f>
        <v/>
      </c>
      <c r="S358">
        <f>IF(AND(O358=TRUE,Q358=TRUE),"設定可","BLOCK")</f>
        <v/>
      </c>
      <c r="T358" t="inlineStr">
        <is>
          <t>商品カタログ P194</t>
        </is>
      </c>
      <c r="U358" t="inlineStr">
        <is>
          <t>https://webcatalog.lixil.co.jp/iportal/CatalogDetail.do?catalogID=15191910000&amp;categoryID=1630000&amp;designID=newinter&amp;method=initial_screen&amp;position=18&amp;type=mc&amp;volumeID=LXL13001</t>
        </is>
      </c>
    </row>
    <row r="359">
      <c r="A359" t="inlineStr">
        <is>
          <t>WG-SL-00356</t>
        </is>
      </c>
      <c r="B359" t="inlineStr">
        <is>
          <t>SZ-SL-000985</t>
        </is>
      </c>
      <c r="C359" t="inlineStr">
        <is>
          <t>WT-SL-MENKOSHI-AGE-FS</t>
        </is>
      </c>
      <c r="D359" t="inlineStr">
        <is>
          <t>SP-SL-AGE-GRILLE-DIA</t>
        </is>
      </c>
      <c r="E359" t="inlineStr">
        <is>
          <t>02609</t>
        </is>
      </c>
      <c r="F359" t="n">
        <v>0.3</v>
      </c>
      <c r="G359" t="n">
        <v>0.97</v>
      </c>
      <c r="H359" t="inlineStr">
        <is>
          <t>GL-SL-005</t>
        </is>
      </c>
      <c r="I359" t="n">
        <v>7</v>
      </c>
      <c r="J359" t="n">
        <v>9.1</v>
      </c>
      <c r="K359" t="n">
        <v>-0.48</v>
      </c>
      <c r="L359" t="n">
        <v>-0.998</v>
      </c>
      <c r="M359" t="n">
        <v>0.367</v>
      </c>
      <c r="N359">
        <f>ROUND(J359*F359*G359+K359*G359+L359*F359+M359,3)</f>
        <v/>
      </c>
      <c r="O359">
        <f>AND(N359&gt;=1.4,N359&lt;=13)</f>
        <v/>
      </c>
      <c r="P359">
        <f>IF(OR(N359&lt;1.4,N359&gt;13),"",IF(G359*1000&lt;=1170,IF(N359&lt;1.8,"1014",IF(N359&lt;2.9,"1018",IF(N359&lt;3.8,"1029",IF(N359&lt;5,"1038",IF(N359&lt;7,"1050",IF(N359&lt;9,"1070",IF(N359&lt;11,"1090","1110"))))))),IF(G359*1000&lt;=1570,IF(N359&lt;1.8,"",IF(N359&lt;2.9,"2018",IF(N359&lt;3.8,"2029",IF(N359&lt;5,"2038",IF(N359&lt;7,"2050",IF(N359&lt;9,"2070",IF(N359&lt;11,"2090","2110"))))))),IF(G359*1000&lt;=1700,IF(N359&lt;1.8,"",IF(N359&lt;2.9,"3018",IF(N359&lt;3.8,"3029",IF(N359&lt;5,"3038",IF(N359&lt;7,"3050",IF(N359&lt;9,"3070",IF(N359&lt;11,"3090","3110"))))))),""))))</f>
        <v/>
      </c>
      <c r="Q359">
        <f>AND(O359=TRUE,P359&lt;&gt;"")</f>
        <v/>
      </c>
      <c r="R359">
        <f>IF(G359*1000&lt;750,"なし","あり")</f>
        <v/>
      </c>
      <c r="S359">
        <f>IF(AND(O359=TRUE,Q359=TRUE),"設定可","BLOCK")</f>
        <v/>
      </c>
      <c r="T359" t="inlineStr">
        <is>
          <t>商品カタログ P194</t>
        </is>
      </c>
      <c r="U359" t="inlineStr">
        <is>
          <t>https://webcatalog.lixil.co.jp/iportal/CatalogDetail.do?catalogID=15191910000&amp;categoryID=1630000&amp;designID=newinter&amp;method=initial_screen&amp;position=18&amp;type=mc&amp;volumeID=LXL13001</t>
        </is>
      </c>
    </row>
    <row r="360">
      <c r="A360" t="inlineStr">
        <is>
          <t>WG-SL-00357</t>
        </is>
      </c>
      <c r="B360" t="inlineStr">
        <is>
          <t>SZ-SL-000985</t>
        </is>
      </c>
      <c r="C360" t="inlineStr">
        <is>
          <t>WT-SL-MENKOSHI-AGE-FS</t>
        </is>
      </c>
      <c r="D360" t="inlineStr">
        <is>
          <t>SP-SL-AGE-GRILLE-DIA</t>
        </is>
      </c>
      <c r="E360" t="inlineStr">
        <is>
          <t>02609</t>
        </is>
      </c>
      <c r="F360" t="n">
        <v>0.3</v>
      </c>
      <c r="G360" t="n">
        <v>0.97</v>
      </c>
      <c r="H360" t="inlineStr">
        <is>
          <t>GL-SL-006</t>
        </is>
      </c>
      <c r="I360" t="n">
        <v>8</v>
      </c>
      <c r="J360" t="n">
        <v>10.4</v>
      </c>
      <c r="K360" t="n">
        <v>-0.605</v>
      </c>
      <c r="L360" t="n">
        <v>-1.332</v>
      </c>
      <c r="M360" t="n">
        <v>0.399</v>
      </c>
      <c r="N360">
        <f>ROUND(J360*F360*G360+K360*G360+L360*F360+M360,3)</f>
        <v/>
      </c>
      <c r="O360">
        <f>AND(N360&gt;=1.4,N360&lt;=13)</f>
        <v/>
      </c>
      <c r="P360">
        <f>IF(OR(N360&lt;1.4,N360&gt;13),"",IF(G360*1000&lt;=1170,IF(N360&lt;1.8,"1014",IF(N360&lt;2.9,"1018",IF(N360&lt;3.8,"1029",IF(N360&lt;5,"1038",IF(N360&lt;7,"1050",IF(N360&lt;9,"1070",IF(N360&lt;11,"1090","1110"))))))),IF(G360*1000&lt;=1570,IF(N360&lt;1.8,"",IF(N360&lt;2.9,"2018",IF(N360&lt;3.8,"2029",IF(N360&lt;5,"2038",IF(N360&lt;7,"2050",IF(N360&lt;9,"2070",IF(N360&lt;11,"2090","2110"))))))),IF(G360*1000&lt;=1700,IF(N360&lt;1.8,"",IF(N360&lt;2.9,"3018",IF(N360&lt;3.8,"3029",IF(N360&lt;5,"3038",IF(N360&lt;7,"3050",IF(N360&lt;9,"3070",IF(N360&lt;11,"3090","3110"))))))),""))))</f>
        <v/>
      </c>
      <c r="Q360">
        <f>AND(O360=TRUE,P360&lt;&gt;"")</f>
        <v/>
      </c>
      <c r="R360">
        <f>IF(G360*1000&lt;750,"なし","あり")</f>
        <v/>
      </c>
      <c r="S360">
        <f>IF(AND(O360=TRUE,Q360=TRUE),"設定可","BLOCK")</f>
        <v/>
      </c>
      <c r="T360" t="inlineStr">
        <is>
          <t>商品カタログ P194</t>
        </is>
      </c>
      <c r="U360" t="inlineStr">
        <is>
          <t>https://webcatalog.lixil.co.jp/iportal/CatalogDetail.do?catalogID=15191910000&amp;categoryID=1630000&amp;designID=newinter&amp;method=initial_screen&amp;position=18&amp;type=mc&amp;volumeID=LXL13001</t>
        </is>
      </c>
    </row>
    <row r="361">
      <c r="A361" t="inlineStr">
        <is>
          <t>WG-SL-00358</t>
        </is>
      </c>
      <c r="B361" t="inlineStr">
        <is>
          <t>SZ-SL-000985</t>
        </is>
      </c>
      <c r="C361" t="inlineStr">
        <is>
          <t>WT-SL-MENKOSHI-AGE-FS</t>
        </is>
      </c>
      <c r="D361" t="inlineStr">
        <is>
          <t>SP-SL-AGE-GRILLE-DIA</t>
        </is>
      </c>
      <c r="E361" t="inlineStr">
        <is>
          <t>02609</t>
        </is>
      </c>
      <c r="F361" t="n">
        <v>0.3</v>
      </c>
      <c r="G361" t="n">
        <v>0.97</v>
      </c>
      <c r="H361" t="inlineStr">
        <is>
          <t>GL-SL-007</t>
        </is>
      </c>
      <c r="I361" t="n">
        <v>6</v>
      </c>
      <c r="J361" t="n">
        <v>7.8</v>
      </c>
      <c r="K361" t="n">
        <v>-0.355</v>
      </c>
      <c r="L361" t="n">
        <v>-0.664</v>
      </c>
      <c r="M361" t="n">
        <v>0.335</v>
      </c>
      <c r="N361">
        <f>ROUND(J361*F361*G361+K361*G361+L361*F361+M361,3)</f>
        <v/>
      </c>
      <c r="O361">
        <f>AND(N361&gt;=1.4,N361&lt;=13)</f>
        <v/>
      </c>
      <c r="P361">
        <f>IF(OR(N361&lt;1.4,N361&gt;13),"",IF(G361*1000&lt;=1170,IF(N361&lt;1.8,"1014",IF(N361&lt;2.9,"1018",IF(N361&lt;3.8,"1029",IF(N361&lt;5,"1038",IF(N361&lt;7,"1050",IF(N361&lt;9,"1070",IF(N361&lt;11,"1090","1110"))))))),IF(G361*1000&lt;=1570,IF(N361&lt;1.8,"",IF(N361&lt;2.9,"2018",IF(N361&lt;3.8,"2029",IF(N361&lt;5,"2038",IF(N361&lt;7,"2050",IF(N361&lt;9,"2070",IF(N361&lt;11,"2090","2110"))))))),IF(G361*1000&lt;=1700,IF(N361&lt;1.8,"",IF(N361&lt;2.9,"3018",IF(N361&lt;3.8,"3029",IF(N361&lt;5,"3038",IF(N361&lt;7,"3050",IF(N361&lt;9,"3070",IF(N361&lt;11,"3090","3110"))))))),""))))</f>
        <v/>
      </c>
      <c r="Q361">
        <f>AND(O361=TRUE,P361&lt;&gt;"")</f>
        <v/>
      </c>
      <c r="R361">
        <f>IF(G361*1000&lt;750,"なし","あり")</f>
        <v/>
      </c>
      <c r="S361">
        <f>IF(AND(O361=TRUE,Q361=TRUE),"設定可","BLOCK")</f>
        <v/>
      </c>
      <c r="T361" t="inlineStr">
        <is>
          <t>商品カタログ P194</t>
        </is>
      </c>
      <c r="U361" t="inlineStr">
        <is>
          <t>https://webcatalog.lixil.co.jp/iportal/CatalogDetail.do?catalogID=15191910000&amp;categoryID=1630000&amp;designID=newinter&amp;method=initial_screen&amp;position=18&amp;type=mc&amp;volumeID=LXL13001</t>
        </is>
      </c>
    </row>
    <row r="362">
      <c r="A362" t="inlineStr">
        <is>
          <t>WG-SL-00359</t>
        </is>
      </c>
      <c r="B362" t="inlineStr">
        <is>
          <t>SZ-SL-000985</t>
        </is>
      </c>
      <c r="C362" t="inlineStr">
        <is>
          <t>WT-SL-MENKOSHI-AGE-FS</t>
        </is>
      </c>
      <c r="D362" t="inlineStr">
        <is>
          <t>SP-SL-AGE-GRILLE-DIA</t>
        </is>
      </c>
      <c r="E362" t="inlineStr">
        <is>
          <t>02609</t>
        </is>
      </c>
      <c r="F362" t="n">
        <v>0.3</v>
      </c>
      <c r="G362" t="n">
        <v>0.97</v>
      </c>
      <c r="H362" t="inlineStr">
        <is>
          <t>GL-SL-008</t>
        </is>
      </c>
      <c r="I362" t="n">
        <v>7</v>
      </c>
      <c r="J362" t="n">
        <v>9.1</v>
      </c>
      <c r="K362" t="n">
        <v>-0.48</v>
      </c>
      <c r="L362" t="n">
        <v>-0.998</v>
      </c>
      <c r="M362" t="n">
        <v>0.367</v>
      </c>
      <c r="N362">
        <f>ROUND(J362*F362*G362+K362*G362+L362*F362+M362,3)</f>
        <v/>
      </c>
      <c r="O362">
        <f>AND(N362&gt;=1.4,N362&lt;=13)</f>
        <v/>
      </c>
      <c r="P362">
        <f>IF(OR(N362&lt;1.4,N362&gt;13),"",IF(G362*1000&lt;=1170,IF(N362&lt;1.8,"1014",IF(N362&lt;2.9,"1018",IF(N362&lt;3.8,"1029",IF(N362&lt;5,"1038",IF(N362&lt;7,"1050",IF(N362&lt;9,"1070",IF(N362&lt;11,"1090","1110"))))))),IF(G362*1000&lt;=1570,IF(N362&lt;1.8,"",IF(N362&lt;2.9,"2018",IF(N362&lt;3.8,"2029",IF(N362&lt;5,"2038",IF(N362&lt;7,"2050",IF(N362&lt;9,"2070",IF(N362&lt;11,"2090","2110"))))))),IF(G362*1000&lt;=1700,IF(N362&lt;1.8,"",IF(N362&lt;2.9,"3018",IF(N362&lt;3.8,"3029",IF(N362&lt;5,"3038",IF(N362&lt;7,"3050",IF(N362&lt;9,"3070",IF(N362&lt;11,"3090","3110"))))))),""))))</f>
        <v/>
      </c>
      <c r="Q362">
        <f>AND(O362=TRUE,P362&lt;&gt;"")</f>
        <v/>
      </c>
      <c r="R362">
        <f>IF(G362*1000&lt;750,"なし","あり")</f>
        <v/>
      </c>
      <c r="S362">
        <f>IF(AND(O362=TRUE,Q362=TRUE),"設定可","BLOCK")</f>
        <v/>
      </c>
      <c r="T362" t="inlineStr">
        <is>
          <t>商品カタログ P194</t>
        </is>
      </c>
      <c r="U362" t="inlineStr">
        <is>
          <t>https://webcatalog.lixil.co.jp/iportal/CatalogDetail.do?catalogID=15191910000&amp;categoryID=1630000&amp;designID=newinter&amp;method=initial_screen&amp;position=18&amp;type=mc&amp;volumeID=LXL13001</t>
        </is>
      </c>
    </row>
    <row r="363">
      <c r="A363" t="inlineStr">
        <is>
          <t>WG-SL-00360</t>
        </is>
      </c>
      <c r="B363" t="inlineStr">
        <is>
          <t>SZ-SL-000985</t>
        </is>
      </c>
      <c r="C363" t="inlineStr">
        <is>
          <t>WT-SL-MENKOSHI-AGE-FS</t>
        </is>
      </c>
      <c r="D363" t="inlineStr">
        <is>
          <t>SP-SL-AGE-GRILLE-DIA</t>
        </is>
      </c>
      <c r="E363" t="inlineStr">
        <is>
          <t>02609</t>
        </is>
      </c>
      <c r="F363" t="n">
        <v>0.3</v>
      </c>
      <c r="G363" t="n">
        <v>0.97</v>
      </c>
      <c r="H363" t="inlineStr">
        <is>
          <t>GL-SL-009</t>
        </is>
      </c>
      <c r="I363" t="n">
        <v>8</v>
      </c>
      <c r="J363" t="n">
        <v>10.4</v>
      </c>
      <c r="K363" t="n">
        <v>-0.605</v>
      </c>
      <c r="L363" t="n">
        <v>-1.332</v>
      </c>
      <c r="M363" t="n">
        <v>0.399</v>
      </c>
      <c r="N363">
        <f>ROUND(J363*F363*G363+K363*G363+L363*F363+M363,3)</f>
        <v/>
      </c>
      <c r="O363">
        <f>AND(N363&gt;=1.4,N363&lt;=13)</f>
        <v/>
      </c>
      <c r="P363">
        <f>IF(OR(N363&lt;1.4,N363&gt;13),"",IF(G363*1000&lt;=1170,IF(N363&lt;1.8,"1014",IF(N363&lt;2.9,"1018",IF(N363&lt;3.8,"1029",IF(N363&lt;5,"1038",IF(N363&lt;7,"1050",IF(N363&lt;9,"1070",IF(N363&lt;11,"1090","1110"))))))),IF(G363*1000&lt;=1570,IF(N363&lt;1.8,"",IF(N363&lt;2.9,"2018",IF(N363&lt;3.8,"2029",IF(N363&lt;5,"2038",IF(N363&lt;7,"2050",IF(N363&lt;9,"2070",IF(N363&lt;11,"2090","2110"))))))),IF(G363*1000&lt;=1700,IF(N363&lt;1.8,"",IF(N363&lt;2.9,"3018",IF(N363&lt;3.8,"3029",IF(N363&lt;5,"3038",IF(N363&lt;7,"3050",IF(N363&lt;9,"3070",IF(N363&lt;11,"3090","3110"))))))),""))))</f>
        <v/>
      </c>
      <c r="Q363">
        <f>AND(O363=TRUE,P363&lt;&gt;"")</f>
        <v/>
      </c>
      <c r="R363">
        <f>IF(G363*1000&lt;750,"なし","あり")</f>
        <v/>
      </c>
      <c r="S363">
        <f>IF(AND(O363=TRUE,Q363=TRUE),"設定可","BLOCK")</f>
        <v/>
      </c>
      <c r="T363" t="inlineStr">
        <is>
          <t>商品カタログ P194</t>
        </is>
      </c>
      <c r="U363" t="inlineStr">
        <is>
          <t>https://webcatalog.lixil.co.jp/iportal/CatalogDetail.do?catalogID=15191910000&amp;categoryID=1630000&amp;designID=newinter&amp;method=initial_screen&amp;position=18&amp;type=mc&amp;volumeID=LXL13001</t>
        </is>
      </c>
    </row>
    <row r="364">
      <c r="A364" t="inlineStr">
        <is>
          <t>WG-SL-00361</t>
        </is>
      </c>
      <c r="B364" t="inlineStr">
        <is>
          <t>SZ-SL-000986</t>
        </is>
      </c>
      <c r="C364" t="inlineStr">
        <is>
          <t>WT-SL-MENKOSHI-AGE-FS</t>
        </is>
      </c>
      <c r="D364" t="inlineStr">
        <is>
          <t>SP-SL-AGE-GRILLE-DIA</t>
        </is>
      </c>
      <c r="E364" t="inlineStr">
        <is>
          <t>03609</t>
        </is>
      </c>
      <c r="F364" t="n">
        <v>0.405</v>
      </c>
      <c r="G364" t="n">
        <v>0.97</v>
      </c>
      <c r="H364" t="inlineStr">
        <is>
          <t>GL-SL-001</t>
        </is>
      </c>
      <c r="I364" t="n">
        <v>6</v>
      </c>
      <c r="J364" t="n">
        <v>7.8</v>
      </c>
      <c r="K364" t="n">
        <v>-0.355</v>
      </c>
      <c r="L364" t="n">
        <v>-0.664</v>
      </c>
      <c r="M364" t="n">
        <v>0.335</v>
      </c>
      <c r="N364">
        <f>ROUND(J364*F364*G364+K364*G364+L364*F364+M364,3)</f>
        <v/>
      </c>
      <c r="O364">
        <f>AND(N364&gt;=1.4,N364&lt;=13)</f>
        <v/>
      </c>
      <c r="P364">
        <f>IF(OR(N364&lt;1.4,N364&gt;13),"",IF(G364*1000&lt;=1170,IF(N364&lt;1.8,"1014",IF(N364&lt;2.9,"1018",IF(N364&lt;3.8,"1029",IF(N364&lt;5,"1038",IF(N364&lt;7,"1050",IF(N364&lt;9,"1070",IF(N364&lt;11,"1090","1110"))))))),IF(G364*1000&lt;=1570,IF(N364&lt;1.8,"",IF(N364&lt;2.9,"2018",IF(N364&lt;3.8,"2029",IF(N364&lt;5,"2038",IF(N364&lt;7,"2050",IF(N364&lt;9,"2070",IF(N364&lt;11,"2090","2110"))))))),IF(G364*1000&lt;=1700,IF(N364&lt;1.8,"",IF(N364&lt;2.9,"3018",IF(N364&lt;3.8,"3029",IF(N364&lt;5,"3038",IF(N364&lt;7,"3050",IF(N364&lt;9,"3070",IF(N364&lt;11,"3090","3110"))))))),""))))</f>
        <v/>
      </c>
      <c r="Q364">
        <f>AND(O364=TRUE,P364&lt;&gt;"")</f>
        <v/>
      </c>
      <c r="R364">
        <f>IF(G364*1000&lt;750,"なし","あり")</f>
        <v/>
      </c>
      <c r="S364">
        <f>IF(AND(O364=TRUE,Q364=TRUE),"設定可","BLOCK")</f>
        <v/>
      </c>
      <c r="T364" t="inlineStr">
        <is>
          <t>商品カタログ P194</t>
        </is>
      </c>
      <c r="U364" t="inlineStr">
        <is>
          <t>https://webcatalog.lixil.co.jp/iportal/CatalogDetail.do?catalogID=15191910000&amp;categoryID=1630000&amp;designID=newinter&amp;method=initial_screen&amp;position=18&amp;type=mc&amp;volumeID=LXL13001</t>
        </is>
      </c>
    </row>
    <row r="365">
      <c r="A365" t="inlineStr">
        <is>
          <t>WG-SL-00362</t>
        </is>
      </c>
      <c r="B365" t="inlineStr">
        <is>
          <t>SZ-SL-000986</t>
        </is>
      </c>
      <c r="C365" t="inlineStr">
        <is>
          <t>WT-SL-MENKOSHI-AGE-FS</t>
        </is>
      </c>
      <c r="D365" t="inlineStr">
        <is>
          <t>SP-SL-AGE-GRILLE-DIA</t>
        </is>
      </c>
      <c r="E365" t="inlineStr">
        <is>
          <t>03609</t>
        </is>
      </c>
      <c r="F365" t="n">
        <v>0.405</v>
      </c>
      <c r="G365" t="n">
        <v>0.97</v>
      </c>
      <c r="H365" t="inlineStr">
        <is>
          <t>GL-SL-002</t>
        </is>
      </c>
      <c r="I365" t="n">
        <v>7</v>
      </c>
      <c r="J365" t="n">
        <v>9.1</v>
      </c>
      <c r="K365" t="n">
        <v>-0.48</v>
      </c>
      <c r="L365" t="n">
        <v>-0.998</v>
      </c>
      <c r="M365" t="n">
        <v>0.367</v>
      </c>
      <c r="N365">
        <f>ROUND(J365*F365*G365+K365*G365+L365*F365+M365,3)</f>
        <v/>
      </c>
      <c r="O365">
        <f>AND(N365&gt;=1.4,N365&lt;=13)</f>
        <v/>
      </c>
      <c r="P365">
        <f>IF(OR(N365&lt;1.4,N365&gt;13),"",IF(G365*1000&lt;=1170,IF(N365&lt;1.8,"1014",IF(N365&lt;2.9,"1018",IF(N365&lt;3.8,"1029",IF(N365&lt;5,"1038",IF(N365&lt;7,"1050",IF(N365&lt;9,"1070",IF(N365&lt;11,"1090","1110"))))))),IF(G365*1000&lt;=1570,IF(N365&lt;1.8,"",IF(N365&lt;2.9,"2018",IF(N365&lt;3.8,"2029",IF(N365&lt;5,"2038",IF(N365&lt;7,"2050",IF(N365&lt;9,"2070",IF(N365&lt;11,"2090","2110"))))))),IF(G365*1000&lt;=1700,IF(N365&lt;1.8,"",IF(N365&lt;2.9,"3018",IF(N365&lt;3.8,"3029",IF(N365&lt;5,"3038",IF(N365&lt;7,"3050",IF(N365&lt;9,"3070",IF(N365&lt;11,"3090","3110"))))))),""))))</f>
        <v/>
      </c>
      <c r="Q365">
        <f>AND(O365=TRUE,P365&lt;&gt;"")</f>
        <v/>
      </c>
      <c r="R365">
        <f>IF(G365*1000&lt;750,"なし","あり")</f>
        <v/>
      </c>
      <c r="S365">
        <f>IF(AND(O365=TRUE,Q365=TRUE),"設定可","BLOCK")</f>
        <v/>
      </c>
      <c r="T365" t="inlineStr">
        <is>
          <t>商品カタログ P194</t>
        </is>
      </c>
      <c r="U365" t="inlineStr">
        <is>
          <t>https://webcatalog.lixil.co.jp/iportal/CatalogDetail.do?catalogID=15191910000&amp;categoryID=1630000&amp;designID=newinter&amp;method=initial_screen&amp;position=18&amp;type=mc&amp;volumeID=LXL13001</t>
        </is>
      </c>
    </row>
    <row r="366">
      <c r="A366" t="inlineStr">
        <is>
          <t>WG-SL-00363</t>
        </is>
      </c>
      <c r="B366" t="inlineStr">
        <is>
          <t>SZ-SL-000986</t>
        </is>
      </c>
      <c r="C366" t="inlineStr">
        <is>
          <t>WT-SL-MENKOSHI-AGE-FS</t>
        </is>
      </c>
      <c r="D366" t="inlineStr">
        <is>
          <t>SP-SL-AGE-GRILLE-DIA</t>
        </is>
      </c>
      <c r="E366" t="inlineStr">
        <is>
          <t>03609</t>
        </is>
      </c>
      <c r="F366" t="n">
        <v>0.405</v>
      </c>
      <c r="G366" t="n">
        <v>0.97</v>
      </c>
      <c r="H366" t="inlineStr">
        <is>
          <t>GL-SL-003</t>
        </is>
      </c>
      <c r="I366" t="n">
        <v>8</v>
      </c>
      <c r="J366" t="n">
        <v>10.4</v>
      </c>
      <c r="K366" t="n">
        <v>-0.605</v>
      </c>
      <c r="L366" t="n">
        <v>-1.332</v>
      </c>
      <c r="M366" t="n">
        <v>0.399</v>
      </c>
      <c r="N366">
        <f>ROUND(J366*F366*G366+K366*G366+L366*F366+M366,3)</f>
        <v/>
      </c>
      <c r="O366">
        <f>AND(N366&gt;=1.4,N366&lt;=13)</f>
        <v/>
      </c>
      <c r="P366">
        <f>IF(OR(N366&lt;1.4,N366&gt;13),"",IF(G366*1000&lt;=1170,IF(N366&lt;1.8,"1014",IF(N366&lt;2.9,"1018",IF(N366&lt;3.8,"1029",IF(N366&lt;5,"1038",IF(N366&lt;7,"1050",IF(N366&lt;9,"1070",IF(N366&lt;11,"1090","1110"))))))),IF(G366*1000&lt;=1570,IF(N366&lt;1.8,"",IF(N366&lt;2.9,"2018",IF(N366&lt;3.8,"2029",IF(N366&lt;5,"2038",IF(N366&lt;7,"2050",IF(N366&lt;9,"2070",IF(N366&lt;11,"2090","2110"))))))),IF(G366*1000&lt;=1700,IF(N366&lt;1.8,"",IF(N366&lt;2.9,"3018",IF(N366&lt;3.8,"3029",IF(N366&lt;5,"3038",IF(N366&lt;7,"3050",IF(N366&lt;9,"3070",IF(N366&lt;11,"3090","3110"))))))),""))))</f>
        <v/>
      </c>
      <c r="Q366">
        <f>AND(O366=TRUE,P366&lt;&gt;"")</f>
        <v/>
      </c>
      <c r="R366">
        <f>IF(G366*1000&lt;750,"なし","あり")</f>
        <v/>
      </c>
      <c r="S366">
        <f>IF(AND(O366=TRUE,Q366=TRUE),"設定可","BLOCK")</f>
        <v/>
      </c>
      <c r="T366" t="inlineStr">
        <is>
          <t>商品カタログ P194</t>
        </is>
      </c>
      <c r="U366" t="inlineStr">
        <is>
          <t>https://webcatalog.lixil.co.jp/iportal/CatalogDetail.do?catalogID=15191910000&amp;categoryID=1630000&amp;designID=newinter&amp;method=initial_screen&amp;position=18&amp;type=mc&amp;volumeID=LXL13001</t>
        </is>
      </c>
    </row>
    <row r="367">
      <c r="A367" t="inlineStr">
        <is>
          <t>WG-SL-00364</t>
        </is>
      </c>
      <c r="B367" t="inlineStr">
        <is>
          <t>SZ-SL-000986</t>
        </is>
      </c>
      <c r="C367" t="inlineStr">
        <is>
          <t>WT-SL-MENKOSHI-AGE-FS</t>
        </is>
      </c>
      <c r="D367" t="inlineStr">
        <is>
          <t>SP-SL-AGE-GRILLE-DIA</t>
        </is>
      </c>
      <c r="E367" t="inlineStr">
        <is>
          <t>03609</t>
        </is>
      </c>
      <c r="F367" t="n">
        <v>0.405</v>
      </c>
      <c r="G367" t="n">
        <v>0.97</v>
      </c>
      <c r="H367" t="inlineStr">
        <is>
          <t>GL-SL-004</t>
        </is>
      </c>
      <c r="I367" t="n">
        <v>6</v>
      </c>
      <c r="J367" t="n">
        <v>7.8</v>
      </c>
      <c r="K367" t="n">
        <v>-0.355</v>
      </c>
      <c r="L367" t="n">
        <v>-0.664</v>
      </c>
      <c r="M367" t="n">
        <v>0.335</v>
      </c>
      <c r="N367">
        <f>ROUND(J367*F367*G367+K367*G367+L367*F367+M367,3)</f>
        <v/>
      </c>
      <c r="O367">
        <f>AND(N367&gt;=1.4,N367&lt;=13)</f>
        <v/>
      </c>
      <c r="P367">
        <f>IF(OR(N367&lt;1.4,N367&gt;13),"",IF(G367*1000&lt;=1170,IF(N367&lt;1.8,"1014",IF(N367&lt;2.9,"1018",IF(N367&lt;3.8,"1029",IF(N367&lt;5,"1038",IF(N367&lt;7,"1050",IF(N367&lt;9,"1070",IF(N367&lt;11,"1090","1110"))))))),IF(G367*1000&lt;=1570,IF(N367&lt;1.8,"",IF(N367&lt;2.9,"2018",IF(N367&lt;3.8,"2029",IF(N367&lt;5,"2038",IF(N367&lt;7,"2050",IF(N367&lt;9,"2070",IF(N367&lt;11,"2090","2110"))))))),IF(G367*1000&lt;=1700,IF(N367&lt;1.8,"",IF(N367&lt;2.9,"3018",IF(N367&lt;3.8,"3029",IF(N367&lt;5,"3038",IF(N367&lt;7,"3050",IF(N367&lt;9,"3070",IF(N367&lt;11,"3090","3110"))))))),""))))</f>
        <v/>
      </c>
      <c r="Q367">
        <f>AND(O367=TRUE,P367&lt;&gt;"")</f>
        <v/>
      </c>
      <c r="R367">
        <f>IF(G367*1000&lt;750,"なし","あり")</f>
        <v/>
      </c>
      <c r="S367">
        <f>IF(AND(O367=TRUE,Q367=TRUE),"設定可","BLOCK")</f>
        <v/>
      </c>
      <c r="T367" t="inlineStr">
        <is>
          <t>商品カタログ P194</t>
        </is>
      </c>
      <c r="U367" t="inlineStr">
        <is>
          <t>https://webcatalog.lixil.co.jp/iportal/CatalogDetail.do?catalogID=15191910000&amp;categoryID=1630000&amp;designID=newinter&amp;method=initial_screen&amp;position=18&amp;type=mc&amp;volumeID=LXL13001</t>
        </is>
      </c>
    </row>
    <row r="368">
      <c r="A368" t="inlineStr">
        <is>
          <t>WG-SL-00365</t>
        </is>
      </c>
      <c r="B368" t="inlineStr">
        <is>
          <t>SZ-SL-000986</t>
        </is>
      </c>
      <c r="C368" t="inlineStr">
        <is>
          <t>WT-SL-MENKOSHI-AGE-FS</t>
        </is>
      </c>
      <c r="D368" t="inlineStr">
        <is>
          <t>SP-SL-AGE-GRILLE-DIA</t>
        </is>
      </c>
      <c r="E368" t="inlineStr">
        <is>
          <t>03609</t>
        </is>
      </c>
      <c r="F368" t="n">
        <v>0.405</v>
      </c>
      <c r="G368" t="n">
        <v>0.97</v>
      </c>
      <c r="H368" t="inlineStr">
        <is>
          <t>GL-SL-005</t>
        </is>
      </c>
      <c r="I368" t="n">
        <v>7</v>
      </c>
      <c r="J368" t="n">
        <v>9.1</v>
      </c>
      <c r="K368" t="n">
        <v>-0.48</v>
      </c>
      <c r="L368" t="n">
        <v>-0.998</v>
      </c>
      <c r="M368" t="n">
        <v>0.367</v>
      </c>
      <c r="N368">
        <f>ROUND(J368*F368*G368+K368*G368+L368*F368+M368,3)</f>
        <v/>
      </c>
      <c r="O368">
        <f>AND(N368&gt;=1.4,N368&lt;=13)</f>
        <v/>
      </c>
      <c r="P368">
        <f>IF(OR(N368&lt;1.4,N368&gt;13),"",IF(G368*1000&lt;=1170,IF(N368&lt;1.8,"1014",IF(N368&lt;2.9,"1018",IF(N368&lt;3.8,"1029",IF(N368&lt;5,"1038",IF(N368&lt;7,"1050",IF(N368&lt;9,"1070",IF(N368&lt;11,"1090","1110"))))))),IF(G368*1000&lt;=1570,IF(N368&lt;1.8,"",IF(N368&lt;2.9,"2018",IF(N368&lt;3.8,"2029",IF(N368&lt;5,"2038",IF(N368&lt;7,"2050",IF(N368&lt;9,"2070",IF(N368&lt;11,"2090","2110"))))))),IF(G368*1000&lt;=1700,IF(N368&lt;1.8,"",IF(N368&lt;2.9,"3018",IF(N368&lt;3.8,"3029",IF(N368&lt;5,"3038",IF(N368&lt;7,"3050",IF(N368&lt;9,"3070",IF(N368&lt;11,"3090","3110"))))))),""))))</f>
        <v/>
      </c>
      <c r="Q368">
        <f>AND(O368=TRUE,P368&lt;&gt;"")</f>
        <v/>
      </c>
      <c r="R368">
        <f>IF(G368*1000&lt;750,"なし","あり")</f>
        <v/>
      </c>
      <c r="S368">
        <f>IF(AND(O368=TRUE,Q368=TRUE),"設定可","BLOCK")</f>
        <v/>
      </c>
      <c r="T368" t="inlineStr">
        <is>
          <t>商品カタログ P194</t>
        </is>
      </c>
      <c r="U368" t="inlineStr">
        <is>
          <t>https://webcatalog.lixil.co.jp/iportal/CatalogDetail.do?catalogID=15191910000&amp;categoryID=1630000&amp;designID=newinter&amp;method=initial_screen&amp;position=18&amp;type=mc&amp;volumeID=LXL13001</t>
        </is>
      </c>
    </row>
    <row r="369">
      <c r="A369" t="inlineStr">
        <is>
          <t>WG-SL-00366</t>
        </is>
      </c>
      <c r="B369" t="inlineStr">
        <is>
          <t>SZ-SL-000986</t>
        </is>
      </c>
      <c r="C369" t="inlineStr">
        <is>
          <t>WT-SL-MENKOSHI-AGE-FS</t>
        </is>
      </c>
      <c r="D369" t="inlineStr">
        <is>
          <t>SP-SL-AGE-GRILLE-DIA</t>
        </is>
      </c>
      <c r="E369" t="inlineStr">
        <is>
          <t>03609</t>
        </is>
      </c>
      <c r="F369" t="n">
        <v>0.405</v>
      </c>
      <c r="G369" t="n">
        <v>0.97</v>
      </c>
      <c r="H369" t="inlineStr">
        <is>
          <t>GL-SL-006</t>
        </is>
      </c>
      <c r="I369" t="n">
        <v>8</v>
      </c>
      <c r="J369" t="n">
        <v>10.4</v>
      </c>
      <c r="K369" t="n">
        <v>-0.605</v>
      </c>
      <c r="L369" t="n">
        <v>-1.332</v>
      </c>
      <c r="M369" t="n">
        <v>0.399</v>
      </c>
      <c r="N369">
        <f>ROUND(J369*F369*G369+K369*G369+L369*F369+M369,3)</f>
        <v/>
      </c>
      <c r="O369">
        <f>AND(N369&gt;=1.4,N369&lt;=13)</f>
        <v/>
      </c>
      <c r="P369">
        <f>IF(OR(N369&lt;1.4,N369&gt;13),"",IF(G369*1000&lt;=1170,IF(N369&lt;1.8,"1014",IF(N369&lt;2.9,"1018",IF(N369&lt;3.8,"1029",IF(N369&lt;5,"1038",IF(N369&lt;7,"1050",IF(N369&lt;9,"1070",IF(N369&lt;11,"1090","1110"))))))),IF(G369*1000&lt;=1570,IF(N369&lt;1.8,"",IF(N369&lt;2.9,"2018",IF(N369&lt;3.8,"2029",IF(N369&lt;5,"2038",IF(N369&lt;7,"2050",IF(N369&lt;9,"2070",IF(N369&lt;11,"2090","2110"))))))),IF(G369*1000&lt;=1700,IF(N369&lt;1.8,"",IF(N369&lt;2.9,"3018",IF(N369&lt;3.8,"3029",IF(N369&lt;5,"3038",IF(N369&lt;7,"3050",IF(N369&lt;9,"3070",IF(N369&lt;11,"3090","3110"))))))),""))))</f>
        <v/>
      </c>
      <c r="Q369">
        <f>AND(O369=TRUE,P369&lt;&gt;"")</f>
        <v/>
      </c>
      <c r="R369">
        <f>IF(G369*1000&lt;750,"なし","あり")</f>
        <v/>
      </c>
      <c r="S369">
        <f>IF(AND(O369=TRUE,Q369=TRUE),"設定可","BLOCK")</f>
        <v/>
      </c>
      <c r="T369" t="inlineStr">
        <is>
          <t>商品カタログ P194</t>
        </is>
      </c>
      <c r="U369" t="inlineStr">
        <is>
          <t>https://webcatalog.lixil.co.jp/iportal/CatalogDetail.do?catalogID=15191910000&amp;categoryID=1630000&amp;designID=newinter&amp;method=initial_screen&amp;position=18&amp;type=mc&amp;volumeID=LXL13001</t>
        </is>
      </c>
    </row>
    <row r="370">
      <c r="A370" t="inlineStr">
        <is>
          <t>WG-SL-00367</t>
        </is>
      </c>
      <c r="B370" t="inlineStr">
        <is>
          <t>SZ-SL-000986</t>
        </is>
      </c>
      <c r="C370" t="inlineStr">
        <is>
          <t>WT-SL-MENKOSHI-AGE-FS</t>
        </is>
      </c>
      <c r="D370" t="inlineStr">
        <is>
          <t>SP-SL-AGE-GRILLE-DIA</t>
        </is>
      </c>
      <c r="E370" t="inlineStr">
        <is>
          <t>03609</t>
        </is>
      </c>
      <c r="F370" t="n">
        <v>0.405</v>
      </c>
      <c r="G370" t="n">
        <v>0.97</v>
      </c>
      <c r="H370" t="inlineStr">
        <is>
          <t>GL-SL-007</t>
        </is>
      </c>
      <c r="I370" t="n">
        <v>6</v>
      </c>
      <c r="J370" t="n">
        <v>7.8</v>
      </c>
      <c r="K370" t="n">
        <v>-0.355</v>
      </c>
      <c r="L370" t="n">
        <v>-0.664</v>
      </c>
      <c r="M370" t="n">
        <v>0.335</v>
      </c>
      <c r="N370">
        <f>ROUND(J370*F370*G370+K370*G370+L370*F370+M370,3)</f>
        <v/>
      </c>
      <c r="O370">
        <f>AND(N370&gt;=1.4,N370&lt;=13)</f>
        <v/>
      </c>
      <c r="P370">
        <f>IF(OR(N370&lt;1.4,N370&gt;13),"",IF(G370*1000&lt;=1170,IF(N370&lt;1.8,"1014",IF(N370&lt;2.9,"1018",IF(N370&lt;3.8,"1029",IF(N370&lt;5,"1038",IF(N370&lt;7,"1050",IF(N370&lt;9,"1070",IF(N370&lt;11,"1090","1110"))))))),IF(G370*1000&lt;=1570,IF(N370&lt;1.8,"",IF(N370&lt;2.9,"2018",IF(N370&lt;3.8,"2029",IF(N370&lt;5,"2038",IF(N370&lt;7,"2050",IF(N370&lt;9,"2070",IF(N370&lt;11,"2090","2110"))))))),IF(G370*1000&lt;=1700,IF(N370&lt;1.8,"",IF(N370&lt;2.9,"3018",IF(N370&lt;3.8,"3029",IF(N370&lt;5,"3038",IF(N370&lt;7,"3050",IF(N370&lt;9,"3070",IF(N370&lt;11,"3090","3110"))))))),""))))</f>
        <v/>
      </c>
      <c r="Q370">
        <f>AND(O370=TRUE,P370&lt;&gt;"")</f>
        <v/>
      </c>
      <c r="R370">
        <f>IF(G370*1000&lt;750,"なし","あり")</f>
        <v/>
      </c>
      <c r="S370">
        <f>IF(AND(O370=TRUE,Q370=TRUE),"設定可","BLOCK")</f>
        <v/>
      </c>
      <c r="T370" t="inlineStr">
        <is>
          <t>商品カタログ P194</t>
        </is>
      </c>
      <c r="U370" t="inlineStr">
        <is>
          <t>https://webcatalog.lixil.co.jp/iportal/CatalogDetail.do?catalogID=15191910000&amp;categoryID=1630000&amp;designID=newinter&amp;method=initial_screen&amp;position=18&amp;type=mc&amp;volumeID=LXL13001</t>
        </is>
      </c>
    </row>
    <row r="371">
      <c r="A371" t="inlineStr">
        <is>
          <t>WG-SL-00368</t>
        </is>
      </c>
      <c r="B371" t="inlineStr">
        <is>
          <t>SZ-SL-000986</t>
        </is>
      </c>
      <c r="C371" t="inlineStr">
        <is>
          <t>WT-SL-MENKOSHI-AGE-FS</t>
        </is>
      </c>
      <c r="D371" t="inlineStr">
        <is>
          <t>SP-SL-AGE-GRILLE-DIA</t>
        </is>
      </c>
      <c r="E371" t="inlineStr">
        <is>
          <t>03609</t>
        </is>
      </c>
      <c r="F371" t="n">
        <v>0.405</v>
      </c>
      <c r="G371" t="n">
        <v>0.97</v>
      </c>
      <c r="H371" t="inlineStr">
        <is>
          <t>GL-SL-008</t>
        </is>
      </c>
      <c r="I371" t="n">
        <v>7</v>
      </c>
      <c r="J371" t="n">
        <v>9.1</v>
      </c>
      <c r="K371" t="n">
        <v>-0.48</v>
      </c>
      <c r="L371" t="n">
        <v>-0.998</v>
      </c>
      <c r="M371" t="n">
        <v>0.367</v>
      </c>
      <c r="N371">
        <f>ROUND(J371*F371*G371+K371*G371+L371*F371+M371,3)</f>
        <v/>
      </c>
      <c r="O371">
        <f>AND(N371&gt;=1.4,N371&lt;=13)</f>
        <v/>
      </c>
      <c r="P371">
        <f>IF(OR(N371&lt;1.4,N371&gt;13),"",IF(G371*1000&lt;=1170,IF(N371&lt;1.8,"1014",IF(N371&lt;2.9,"1018",IF(N371&lt;3.8,"1029",IF(N371&lt;5,"1038",IF(N371&lt;7,"1050",IF(N371&lt;9,"1070",IF(N371&lt;11,"1090","1110"))))))),IF(G371*1000&lt;=1570,IF(N371&lt;1.8,"",IF(N371&lt;2.9,"2018",IF(N371&lt;3.8,"2029",IF(N371&lt;5,"2038",IF(N371&lt;7,"2050",IF(N371&lt;9,"2070",IF(N371&lt;11,"2090","2110"))))))),IF(G371*1000&lt;=1700,IF(N371&lt;1.8,"",IF(N371&lt;2.9,"3018",IF(N371&lt;3.8,"3029",IF(N371&lt;5,"3038",IF(N371&lt;7,"3050",IF(N371&lt;9,"3070",IF(N371&lt;11,"3090","3110"))))))),""))))</f>
        <v/>
      </c>
      <c r="Q371">
        <f>AND(O371=TRUE,P371&lt;&gt;"")</f>
        <v/>
      </c>
      <c r="R371">
        <f>IF(G371*1000&lt;750,"なし","あり")</f>
        <v/>
      </c>
      <c r="S371">
        <f>IF(AND(O371=TRUE,Q371=TRUE),"設定可","BLOCK")</f>
        <v/>
      </c>
      <c r="T371" t="inlineStr">
        <is>
          <t>商品カタログ P194</t>
        </is>
      </c>
      <c r="U371" t="inlineStr">
        <is>
          <t>https://webcatalog.lixil.co.jp/iportal/CatalogDetail.do?catalogID=15191910000&amp;categoryID=1630000&amp;designID=newinter&amp;method=initial_screen&amp;position=18&amp;type=mc&amp;volumeID=LXL13001</t>
        </is>
      </c>
    </row>
    <row r="372">
      <c r="A372" t="inlineStr">
        <is>
          <t>WG-SL-00369</t>
        </is>
      </c>
      <c r="B372" t="inlineStr">
        <is>
          <t>SZ-SL-000986</t>
        </is>
      </c>
      <c r="C372" t="inlineStr">
        <is>
          <t>WT-SL-MENKOSHI-AGE-FS</t>
        </is>
      </c>
      <c r="D372" t="inlineStr">
        <is>
          <t>SP-SL-AGE-GRILLE-DIA</t>
        </is>
      </c>
      <c r="E372" t="inlineStr">
        <is>
          <t>03609</t>
        </is>
      </c>
      <c r="F372" t="n">
        <v>0.405</v>
      </c>
      <c r="G372" t="n">
        <v>0.97</v>
      </c>
      <c r="H372" t="inlineStr">
        <is>
          <t>GL-SL-009</t>
        </is>
      </c>
      <c r="I372" t="n">
        <v>8</v>
      </c>
      <c r="J372" t="n">
        <v>10.4</v>
      </c>
      <c r="K372" t="n">
        <v>-0.605</v>
      </c>
      <c r="L372" t="n">
        <v>-1.332</v>
      </c>
      <c r="M372" t="n">
        <v>0.399</v>
      </c>
      <c r="N372">
        <f>ROUND(J372*F372*G372+K372*G372+L372*F372+M372,3)</f>
        <v/>
      </c>
      <c r="O372">
        <f>AND(N372&gt;=1.4,N372&lt;=13)</f>
        <v/>
      </c>
      <c r="P372">
        <f>IF(OR(N372&lt;1.4,N372&gt;13),"",IF(G372*1000&lt;=1170,IF(N372&lt;1.8,"1014",IF(N372&lt;2.9,"1018",IF(N372&lt;3.8,"1029",IF(N372&lt;5,"1038",IF(N372&lt;7,"1050",IF(N372&lt;9,"1070",IF(N372&lt;11,"1090","1110"))))))),IF(G372*1000&lt;=1570,IF(N372&lt;1.8,"",IF(N372&lt;2.9,"2018",IF(N372&lt;3.8,"2029",IF(N372&lt;5,"2038",IF(N372&lt;7,"2050",IF(N372&lt;9,"2070",IF(N372&lt;11,"2090","2110"))))))),IF(G372*1000&lt;=1700,IF(N372&lt;1.8,"",IF(N372&lt;2.9,"3018",IF(N372&lt;3.8,"3029",IF(N372&lt;5,"3038",IF(N372&lt;7,"3050",IF(N372&lt;9,"3070",IF(N372&lt;11,"3090","3110"))))))),""))))</f>
        <v/>
      </c>
      <c r="Q372">
        <f>AND(O372=TRUE,P372&lt;&gt;"")</f>
        <v/>
      </c>
      <c r="R372">
        <f>IF(G372*1000&lt;750,"なし","あり")</f>
        <v/>
      </c>
      <c r="S372">
        <f>IF(AND(O372=TRUE,Q372=TRUE),"設定可","BLOCK")</f>
        <v/>
      </c>
      <c r="T372" t="inlineStr">
        <is>
          <t>商品カタログ P194</t>
        </is>
      </c>
      <c r="U372" t="inlineStr">
        <is>
          <t>https://webcatalog.lixil.co.jp/iportal/CatalogDetail.do?catalogID=15191910000&amp;categoryID=1630000&amp;designID=newinter&amp;method=initial_screen&amp;position=18&amp;type=mc&amp;volumeID=LXL13001</t>
        </is>
      </c>
    </row>
    <row r="373">
      <c r="A373" t="inlineStr">
        <is>
          <t>WG-SL-00370</t>
        </is>
      </c>
      <c r="B373" t="inlineStr">
        <is>
          <t>SZ-SL-000987</t>
        </is>
      </c>
      <c r="C373" t="inlineStr">
        <is>
          <t>WT-SL-MENKOSHI-AGE-FS</t>
        </is>
      </c>
      <c r="D373" t="inlineStr">
        <is>
          <t>SP-SL-AGE-GRILLE-DIA</t>
        </is>
      </c>
      <c r="E373" t="inlineStr">
        <is>
          <t>06009</t>
        </is>
      </c>
      <c r="F373" t="n">
        <v>0.64</v>
      </c>
      <c r="G373" t="n">
        <v>0.97</v>
      </c>
      <c r="H373" t="inlineStr">
        <is>
          <t>GL-SL-001</t>
        </is>
      </c>
      <c r="I373" t="n">
        <v>6</v>
      </c>
      <c r="J373" t="n">
        <v>7.8</v>
      </c>
      <c r="K373" t="n">
        <v>-0.355</v>
      </c>
      <c r="L373" t="n">
        <v>-0.664</v>
      </c>
      <c r="M373" t="n">
        <v>0.335</v>
      </c>
      <c r="N373">
        <f>ROUND(J373*F373*G373+K373*G373+L373*F373+M373,3)</f>
        <v/>
      </c>
      <c r="O373">
        <f>AND(N373&gt;=1.4,N373&lt;=13)</f>
        <v/>
      </c>
      <c r="P373">
        <f>IF(OR(N373&lt;1.4,N373&gt;13),"",IF(G373*1000&lt;=1170,IF(N373&lt;1.8,"1014",IF(N373&lt;2.9,"1018",IF(N373&lt;3.8,"1029",IF(N373&lt;5,"1038",IF(N373&lt;7,"1050",IF(N373&lt;9,"1070",IF(N373&lt;11,"1090","1110"))))))),IF(G373*1000&lt;=1570,IF(N373&lt;1.8,"",IF(N373&lt;2.9,"2018",IF(N373&lt;3.8,"2029",IF(N373&lt;5,"2038",IF(N373&lt;7,"2050",IF(N373&lt;9,"2070",IF(N373&lt;11,"2090","2110"))))))),IF(G373*1000&lt;=1700,IF(N373&lt;1.8,"",IF(N373&lt;2.9,"3018",IF(N373&lt;3.8,"3029",IF(N373&lt;5,"3038",IF(N373&lt;7,"3050",IF(N373&lt;9,"3070",IF(N373&lt;11,"3090","3110"))))))),""))))</f>
        <v/>
      </c>
      <c r="Q373">
        <f>AND(O373=TRUE,P373&lt;&gt;"")</f>
        <v/>
      </c>
      <c r="R373">
        <f>IF(G373*1000&lt;750,"なし","あり")</f>
        <v/>
      </c>
      <c r="S373">
        <f>IF(AND(O373=TRUE,Q373=TRUE),"設定可","BLOCK")</f>
        <v/>
      </c>
      <c r="T373" t="inlineStr">
        <is>
          <t>商品カタログ P194</t>
        </is>
      </c>
      <c r="U373" t="inlineStr">
        <is>
          <t>https://webcatalog.lixil.co.jp/iportal/CatalogDetail.do?catalogID=15191910000&amp;categoryID=1630000&amp;designID=newinter&amp;method=initial_screen&amp;position=18&amp;type=mc&amp;volumeID=LXL13001</t>
        </is>
      </c>
    </row>
    <row r="374">
      <c r="A374" t="inlineStr">
        <is>
          <t>WG-SL-00371</t>
        </is>
      </c>
      <c r="B374" t="inlineStr">
        <is>
          <t>SZ-SL-000987</t>
        </is>
      </c>
      <c r="C374" t="inlineStr">
        <is>
          <t>WT-SL-MENKOSHI-AGE-FS</t>
        </is>
      </c>
      <c r="D374" t="inlineStr">
        <is>
          <t>SP-SL-AGE-GRILLE-DIA</t>
        </is>
      </c>
      <c r="E374" t="inlineStr">
        <is>
          <t>06009</t>
        </is>
      </c>
      <c r="F374" t="n">
        <v>0.64</v>
      </c>
      <c r="G374" t="n">
        <v>0.97</v>
      </c>
      <c r="H374" t="inlineStr">
        <is>
          <t>GL-SL-002</t>
        </is>
      </c>
      <c r="I374" t="n">
        <v>7</v>
      </c>
      <c r="J374" t="n">
        <v>9.1</v>
      </c>
      <c r="K374" t="n">
        <v>-0.48</v>
      </c>
      <c r="L374" t="n">
        <v>-0.998</v>
      </c>
      <c r="M374" t="n">
        <v>0.367</v>
      </c>
      <c r="N374">
        <f>ROUND(J374*F374*G374+K374*G374+L374*F374+M374,3)</f>
        <v/>
      </c>
      <c r="O374">
        <f>AND(N374&gt;=1.4,N374&lt;=13)</f>
        <v/>
      </c>
      <c r="P374">
        <f>IF(OR(N374&lt;1.4,N374&gt;13),"",IF(G374*1000&lt;=1170,IF(N374&lt;1.8,"1014",IF(N374&lt;2.9,"1018",IF(N374&lt;3.8,"1029",IF(N374&lt;5,"1038",IF(N374&lt;7,"1050",IF(N374&lt;9,"1070",IF(N374&lt;11,"1090","1110"))))))),IF(G374*1000&lt;=1570,IF(N374&lt;1.8,"",IF(N374&lt;2.9,"2018",IF(N374&lt;3.8,"2029",IF(N374&lt;5,"2038",IF(N374&lt;7,"2050",IF(N374&lt;9,"2070",IF(N374&lt;11,"2090","2110"))))))),IF(G374*1000&lt;=1700,IF(N374&lt;1.8,"",IF(N374&lt;2.9,"3018",IF(N374&lt;3.8,"3029",IF(N374&lt;5,"3038",IF(N374&lt;7,"3050",IF(N374&lt;9,"3070",IF(N374&lt;11,"3090","3110"))))))),""))))</f>
        <v/>
      </c>
      <c r="Q374">
        <f>AND(O374=TRUE,P374&lt;&gt;"")</f>
        <v/>
      </c>
      <c r="R374">
        <f>IF(G374*1000&lt;750,"なし","あり")</f>
        <v/>
      </c>
      <c r="S374">
        <f>IF(AND(O374=TRUE,Q374=TRUE),"設定可","BLOCK")</f>
        <v/>
      </c>
      <c r="T374" t="inlineStr">
        <is>
          <t>商品カタログ P194</t>
        </is>
      </c>
      <c r="U374" t="inlineStr">
        <is>
          <t>https://webcatalog.lixil.co.jp/iportal/CatalogDetail.do?catalogID=15191910000&amp;categoryID=1630000&amp;designID=newinter&amp;method=initial_screen&amp;position=18&amp;type=mc&amp;volumeID=LXL13001</t>
        </is>
      </c>
    </row>
    <row r="375">
      <c r="A375" t="inlineStr">
        <is>
          <t>WG-SL-00372</t>
        </is>
      </c>
      <c r="B375" t="inlineStr">
        <is>
          <t>SZ-SL-000987</t>
        </is>
      </c>
      <c r="C375" t="inlineStr">
        <is>
          <t>WT-SL-MENKOSHI-AGE-FS</t>
        </is>
      </c>
      <c r="D375" t="inlineStr">
        <is>
          <t>SP-SL-AGE-GRILLE-DIA</t>
        </is>
      </c>
      <c r="E375" t="inlineStr">
        <is>
          <t>06009</t>
        </is>
      </c>
      <c r="F375" t="n">
        <v>0.64</v>
      </c>
      <c r="G375" t="n">
        <v>0.97</v>
      </c>
      <c r="H375" t="inlineStr">
        <is>
          <t>GL-SL-003</t>
        </is>
      </c>
      <c r="I375" t="n">
        <v>8</v>
      </c>
      <c r="J375" t="n">
        <v>10.4</v>
      </c>
      <c r="K375" t="n">
        <v>-0.605</v>
      </c>
      <c r="L375" t="n">
        <v>-1.332</v>
      </c>
      <c r="M375" t="n">
        <v>0.399</v>
      </c>
      <c r="N375">
        <f>ROUND(J375*F375*G375+K375*G375+L375*F375+M375,3)</f>
        <v/>
      </c>
      <c r="O375">
        <f>AND(N375&gt;=1.4,N375&lt;=13)</f>
        <v/>
      </c>
      <c r="P375">
        <f>IF(OR(N375&lt;1.4,N375&gt;13),"",IF(G375*1000&lt;=1170,IF(N375&lt;1.8,"1014",IF(N375&lt;2.9,"1018",IF(N375&lt;3.8,"1029",IF(N375&lt;5,"1038",IF(N375&lt;7,"1050",IF(N375&lt;9,"1070",IF(N375&lt;11,"1090","1110"))))))),IF(G375*1000&lt;=1570,IF(N375&lt;1.8,"",IF(N375&lt;2.9,"2018",IF(N375&lt;3.8,"2029",IF(N375&lt;5,"2038",IF(N375&lt;7,"2050",IF(N375&lt;9,"2070",IF(N375&lt;11,"2090","2110"))))))),IF(G375*1000&lt;=1700,IF(N375&lt;1.8,"",IF(N375&lt;2.9,"3018",IF(N375&lt;3.8,"3029",IF(N375&lt;5,"3038",IF(N375&lt;7,"3050",IF(N375&lt;9,"3070",IF(N375&lt;11,"3090","3110"))))))),""))))</f>
        <v/>
      </c>
      <c r="Q375">
        <f>AND(O375=TRUE,P375&lt;&gt;"")</f>
        <v/>
      </c>
      <c r="R375">
        <f>IF(G375*1000&lt;750,"なし","あり")</f>
        <v/>
      </c>
      <c r="S375">
        <f>IF(AND(O375=TRUE,Q375=TRUE),"設定可","BLOCK")</f>
        <v/>
      </c>
      <c r="T375" t="inlineStr">
        <is>
          <t>商品カタログ P194</t>
        </is>
      </c>
      <c r="U375" t="inlineStr">
        <is>
          <t>https://webcatalog.lixil.co.jp/iportal/CatalogDetail.do?catalogID=15191910000&amp;categoryID=1630000&amp;designID=newinter&amp;method=initial_screen&amp;position=18&amp;type=mc&amp;volumeID=LXL13001</t>
        </is>
      </c>
    </row>
    <row r="376">
      <c r="A376" t="inlineStr">
        <is>
          <t>WG-SL-00373</t>
        </is>
      </c>
      <c r="B376" t="inlineStr">
        <is>
          <t>SZ-SL-000987</t>
        </is>
      </c>
      <c r="C376" t="inlineStr">
        <is>
          <t>WT-SL-MENKOSHI-AGE-FS</t>
        </is>
      </c>
      <c r="D376" t="inlineStr">
        <is>
          <t>SP-SL-AGE-GRILLE-DIA</t>
        </is>
      </c>
      <c r="E376" t="inlineStr">
        <is>
          <t>06009</t>
        </is>
      </c>
      <c r="F376" t="n">
        <v>0.64</v>
      </c>
      <c r="G376" t="n">
        <v>0.97</v>
      </c>
      <c r="H376" t="inlineStr">
        <is>
          <t>GL-SL-004</t>
        </is>
      </c>
      <c r="I376" t="n">
        <v>6</v>
      </c>
      <c r="J376" t="n">
        <v>7.8</v>
      </c>
      <c r="K376" t="n">
        <v>-0.355</v>
      </c>
      <c r="L376" t="n">
        <v>-0.664</v>
      </c>
      <c r="M376" t="n">
        <v>0.335</v>
      </c>
      <c r="N376">
        <f>ROUND(J376*F376*G376+K376*G376+L376*F376+M376,3)</f>
        <v/>
      </c>
      <c r="O376">
        <f>AND(N376&gt;=1.4,N376&lt;=13)</f>
        <v/>
      </c>
      <c r="P376">
        <f>IF(OR(N376&lt;1.4,N376&gt;13),"",IF(G376*1000&lt;=1170,IF(N376&lt;1.8,"1014",IF(N376&lt;2.9,"1018",IF(N376&lt;3.8,"1029",IF(N376&lt;5,"1038",IF(N376&lt;7,"1050",IF(N376&lt;9,"1070",IF(N376&lt;11,"1090","1110"))))))),IF(G376*1000&lt;=1570,IF(N376&lt;1.8,"",IF(N376&lt;2.9,"2018",IF(N376&lt;3.8,"2029",IF(N376&lt;5,"2038",IF(N376&lt;7,"2050",IF(N376&lt;9,"2070",IF(N376&lt;11,"2090","2110"))))))),IF(G376*1000&lt;=1700,IF(N376&lt;1.8,"",IF(N376&lt;2.9,"3018",IF(N376&lt;3.8,"3029",IF(N376&lt;5,"3038",IF(N376&lt;7,"3050",IF(N376&lt;9,"3070",IF(N376&lt;11,"3090","3110"))))))),""))))</f>
        <v/>
      </c>
      <c r="Q376">
        <f>AND(O376=TRUE,P376&lt;&gt;"")</f>
        <v/>
      </c>
      <c r="R376">
        <f>IF(G376*1000&lt;750,"なし","あり")</f>
        <v/>
      </c>
      <c r="S376">
        <f>IF(AND(O376=TRUE,Q376=TRUE),"設定可","BLOCK")</f>
        <v/>
      </c>
      <c r="T376" t="inlineStr">
        <is>
          <t>商品カタログ P194</t>
        </is>
      </c>
      <c r="U376" t="inlineStr">
        <is>
          <t>https://webcatalog.lixil.co.jp/iportal/CatalogDetail.do?catalogID=15191910000&amp;categoryID=1630000&amp;designID=newinter&amp;method=initial_screen&amp;position=18&amp;type=mc&amp;volumeID=LXL13001</t>
        </is>
      </c>
    </row>
    <row r="377">
      <c r="A377" t="inlineStr">
        <is>
          <t>WG-SL-00374</t>
        </is>
      </c>
      <c r="B377" t="inlineStr">
        <is>
          <t>SZ-SL-000987</t>
        </is>
      </c>
      <c r="C377" t="inlineStr">
        <is>
          <t>WT-SL-MENKOSHI-AGE-FS</t>
        </is>
      </c>
      <c r="D377" t="inlineStr">
        <is>
          <t>SP-SL-AGE-GRILLE-DIA</t>
        </is>
      </c>
      <c r="E377" t="inlineStr">
        <is>
          <t>06009</t>
        </is>
      </c>
      <c r="F377" t="n">
        <v>0.64</v>
      </c>
      <c r="G377" t="n">
        <v>0.97</v>
      </c>
      <c r="H377" t="inlineStr">
        <is>
          <t>GL-SL-005</t>
        </is>
      </c>
      <c r="I377" t="n">
        <v>7</v>
      </c>
      <c r="J377" t="n">
        <v>9.1</v>
      </c>
      <c r="K377" t="n">
        <v>-0.48</v>
      </c>
      <c r="L377" t="n">
        <v>-0.998</v>
      </c>
      <c r="M377" t="n">
        <v>0.367</v>
      </c>
      <c r="N377">
        <f>ROUND(J377*F377*G377+K377*G377+L377*F377+M377,3)</f>
        <v/>
      </c>
      <c r="O377">
        <f>AND(N377&gt;=1.4,N377&lt;=13)</f>
        <v/>
      </c>
      <c r="P377">
        <f>IF(OR(N377&lt;1.4,N377&gt;13),"",IF(G377*1000&lt;=1170,IF(N377&lt;1.8,"1014",IF(N377&lt;2.9,"1018",IF(N377&lt;3.8,"1029",IF(N377&lt;5,"1038",IF(N377&lt;7,"1050",IF(N377&lt;9,"1070",IF(N377&lt;11,"1090","1110"))))))),IF(G377*1000&lt;=1570,IF(N377&lt;1.8,"",IF(N377&lt;2.9,"2018",IF(N377&lt;3.8,"2029",IF(N377&lt;5,"2038",IF(N377&lt;7,"2050",IF(N377&lt;9,"2070",IF(N377&lt;11,"2090","2110"))))))),IF(G377*1000&lt;=1700,IF(N377&lt;1.8,"",IF(N377&lt;2.9,"3018",IF(N377&lt;3.8,"3029",IF(N377&lt;5,"3038",IF(N377&lt;7,"3050",IF(N377&lt;9,"3070",IF(N377&lt;11,"3090","3110"))))))),""))))</f>
        <v/>
      </c>
      <c r="Q377">
        <f>AND(O377=TRUE,P377&lt;&gt;"")</f>
        <v/>
      </c>
      <c r="R377">
        <f>IF(G377*1000&lt;750,"なし","あり")</f>
        <v/>
      </c>
      <c r="S377">
        <f>IF(AND(O377=TRUE,Q377=TRUE),"設定可","BLOCK")</f>
        <v/>
      </c>
      <c r="T377" t="inlineStr">
        <is>
          <t>商品カタログ P194</t>
        </is>
      </c>
      <c r="U377" t="inlineStr">
        <is>
          <t>https://webcatalog.lixil.co.jp/iportal/CatalogDetail.do?catalogID=15191910000&amp;categoryID=1630000&amp;designID=newinter&amp;method=initial_screen&amp;position=18&amp;type=mc&amp;volumeID=LXL13001</t>
        </is>
      </c>
    </row>
    <row r="378">
      <c r="A378" t="inlineStr">
        <is>
          <t>WG-SL-00375</t>
        </is>
      </c>
      <c r="B378" t="inlineStr">
        <is>
          <t>SZ-SL-000987</t>
        </is>
      </c>
      <c r="C378" t="inlineStr">
        <is>
          <t>WT-SL-MENKOSHI-AGE-FS</t>
        </is>
      </c>
      <c r="D378" t="inlineStr">
        <is>
          <t>SP-SL-AGE-GRILLE-DIA</t>
        </is>
      </c>
      <c r="E378" t="inlineStr">
        <is>
          <t>06009</t>
        </is>
      </c>
      <c r="F378" t="n">
        <v>0.64</v>
      </c>
      <c r="G378" t="n">
        <v>0.97</v>
      </c>
      <c r="H378" t="inlineStr">
        <is>
          <t>GL-SL-006</t>
        </is>
      </c>
      <c r="I378" t="n">
        <v>8</v>
      </c>
      <c r="J378" t="n">
        <v>10.4</v>
      </c>
      <c r="K378" t="n">
        <v>-0.605</v>
      </c>
      <c r="L378" t="n">
        <v>-1.332</v>
      </c>
      <c r="M378" t="n">
        <v>0.399</v>
      </c>
      <c r="N378">
        <f>ROUND(J378*F378*G378+K378*G378+L378*F378+M378,3)</f>
        <v/>
      </c>
      <c r="O378">
        <f>AND(N378&gt;=1.4,N378&lt;=13)</f>
        <v/>
      </c>
      <c r="P378">
        <f>IF(OR(N378&lt;1.4,N378&gt;13),"",IF(G378*1000&lt;=1170,IF(N378&lt;1.8,"1014",IF(N378&lt;2.9,"1018",IF(N378&lt;3.8,"1029",IF(N378&lt;5,"1038",IF(N378&lt;7,"1050",IF(N378&lt;9,"1070",IF(N378&lt;11,"1090","1110"))))))),IF(G378*1000&lt;=1570,IF(N378&lt;1.8,"",IF(N378&lt;2.9,"2018",IF(N378&lt;3.8,"2029",IF(N378&lt;5,"2038",IF(N378&lt;7,"2050",IF(N378&lt;9,"2070",IF(N378&lt;11,"2090","2110"))))))),IF(G378*1000&lt;=1700,IF(N378&lt;1.8,"",IF(N378&lt;2.9,"3018",IF(N378&lt;3.8,"3029",IF(N378&lt;5,"3038",IF(N378&lt;7,"3050",IF(N378&lt;9,"3070",IF(N378&lt;11,"3090","3110"))))))),""))))</f>
        <v/>
      </c>
      <c r="Q378">
        <f>AND(O378=TRUE,P378&lt;&gt;"")</f>
        <v/>
      </c>
      <c r="R378">
        <f>IF(G378*1000&lt;750,"なし","あり")</f>
        <v/>
      </c>
      <c r="S378">
        <f>IF(AND(O378=TRUE,Q378=TRUE),"設定可","BLOCK")</f>
        <v/>
      </c>
      <c r="T378" t="inlineStr">
        <is>
          <t>商品カタログ P194</t>
        </is>
      </c>
      <c r="U378" t="inlineStr">
        <is>
          <t>https://webcatalog.lixil.co.jp/iportal/CatalogDetail.do?catalogID=15191910000&amp;categoryID=1630000&amp;designID=newinter&amp;method=initial_screen&amp;position=18&amp;type=mc&amp;volumeID=LXL13001</t>
        </is>
      </c>
    </row>
    <row r="379">
      <c r="A379" t="inlineStr">
        <is>
          <t>WG-SL-00376</t>
        </is>
      </c>
      <c r="B379" t="inlineStr">
        <is>
          <t>SZ-SL-000987</t>
        </is>
      </c>
      <c r="C379" t="inlineStr">
        <is>
          <t>WT-SL-MENKOSHI-AGE-FS</t>
        </is>
      </c>
      <c r="D379" t="inlineStr">
        <is>
          <t>SP-SL-AGE-GRILLE-DIA</t>
        </is>
      </c>
      <c r="E379" t="inlineStr">
        <is>
          <t>06009</t>
        </is>
      </c>
      <c r="F379" t="n">
        <v>0.64</v>
      </c>
      <c r="G379" t="n">
        <v>0.97</v>
      </c>
      <c r="H379" t="inlineStr">
        <is>
          <t>GL-SL-007</t>
        </is>
      </c>
      <c r="I379" t="n">
        <v>6</v>
      </c>
      <c r="J379" t="n">
        <v>7.8</v>
      </c>
      <c r="K379" t="n">
        <v>-0.355</v>
      </c>
      <c r="L379" t="n">
        <v>-0.664</v>
      </c>
      <c r="M379" t="n">
        <v>0.335</v>
      </c>
      <c r="N379">
        <f>ROUND(J379*F379*G379+K379*G379+L379*F379+M379,3)</f>
        <v/>
      </c>
      <c r="O379">
        <f>AND(N379&gt;=1.4,N379&lt;=13)</f>
        <v/>
      </c>
      <c r="P379">
        <f>IF(OR(N379&lt;1.4,N379&gt;13),"",IF(G379*1000&lt;=1170,IF(N379&lt;1.8,"1014",IF(N379&lt;2.9,"1018",IF(N379&lt;3.8,"1029",IF(N379&lt;5,"1038",IF(N379&lt;7,"1050",IF(N379&lt;9,"1070",IF(N379&lt;11,"1090","1110"))))))),IF(G379*1000&lt;=1570,IF(N379&lt;1.8,"",IF(N379&lt;2.9,"2018",IF(N379&lt;3.8,"2029",IF(N379&lt;5,"2038",IF(N379&lt;7,"2050",IF(N379&lt;9,"2070",IF(N379&lt;11,"2090","2110"))))))),IF(G379*1000&lt;=1700,IF(N379&lt;1.8,"",IF(N379&lt;2.9,"3018",IF(N379&lt;3.8,"3029",IF(N379&lt;5,"3038",IF(N379&lt;7,"3050",IF(N379&lt;9,"3070",IF(N379&lt;11,"3090","3110"))))))),""))))</f>
        <v/>
      </c>
      <c r="Q379">
        <f>AND(O379=TRUE,P379&lt;&gt;"")</f>
        <v/>
      </c>
      <c r="R379">
        <f>IF(G379*1000&lt;750,"なし","あり")</f>
        <v/>
      </c>
      <c r="S379">
        <f>IF(AND(O379=TRUE,Q379=TRUE),"設定可","BLOCK")</f>
        <v/>
      </c>
      <c r="T379" t="inlineStr">
        <is>
          <t>商品カタログ P194</t>
        </is>
      </c>
      <c r="U379" t="inlineStr">
        <is>
          <t>https://webcatalog.lixil.co.jp/iportal/CatalogDetail.do?catalogID=15191910000&amp;categoryID=1630000&amp;designID=newinter&amp;method=initial_screen&amp;position=18&amp;type=mc&amp;volumeID=LXL13001</t>
        </is>
      </c>
    </row>
    <row r="380">
      <c r="A380" t="inlineStr">
        <is>
          <t>WG-SL-00377</t>
        </is>
      </c>
      <c r="B380" t="inlineStr">
        <is>
          <t>SZ-SL-000987</t>
        </is>
      </c>
      <c r="C380" t="inlineStr">
        <is>
          <t>WT-SL-MENKOSHI-AGE-FS</t>
        </is>
      </c>
      <c r="D380" t="inlineStr">
        <is>
          <t>SP-SL-AGE-GRILLE-DIA</t>
        </is>
      </c>
      <c r="E380" t="inlineStr">
        <is>
          <t>06009</t>
        </is>
      </c>
      <c r="F380" t="n">
        <v>0.64</v>
      </c>
      <c r="G380" t="n">
        <v>0.97</v>
      </c>
      <c r="H380" t="inlineStr">
        <is>
          <t>GL-SL-008</t>
        </is>
      </c>
      <c r="I380" t="n">
        <v>7</v>
      </c>
      <c r="J380" t="n">
        <v>9.1</v>
      </c>
      <c r="K380" t="n">
        <v>-0.48</v>
      </c>
      <c r="L380" t="n">
        <v>-0.998</v>
      </c>
      <c r="M380" t="n">
        <v>0.367</v>
      </c>
      <c r="N380">
        <f>ROUND(J380*F380*G380+K380*G380+L380*F380+M380,3)</f>
        <v/>
      </c>
      <c r="O380">
        <f>AND(N380&gt;=1.4,N380&lt;=13)</f>
        <v/>
      </c>
      <c r="P380">
        <f>IF(OR(N380&lt;1.4,N380&gt;13),"",IF(G380*1000&lt;=1170,IF(N380&lt;1.8,"1014",IF(N380&lt;2.9,"1018",IF(N380&lt;3.8,"1029",IF(N380&lt;5,"1038",IF(N380&lt;7,"1050",IF(N380&lt;9,"1070",IF(N380&lt;11,"1090","1110"))))))),IF(G380*1000&lt;=1570,IF(N380&lt;1.8,"",IF(N380&lt;2.9,"2018",IF(N380&lt;3.8,"2029",IF(N380&lt;5,"2038",IF(N380&lt;7,"2050",IF(N380&lt;9,"2070",IF(N380&lt;11,"2090","2110"))))))),IF(G380*1000&lt;=1700,IF(N380&lt;1.8,"",IF(N380&lt;2.9,"3018",IF(N380&lt;3.8,"3029",IF(N380&lt;5,"3038",IF(N380&lt;7,"3050",IF(N380&lt;9,"3070",IF(N380&lt;11,"3090","3110"))))))),""))))</f>
        <v/>
      </c>
      <c r="Q380">
        <f>AND(O380=TRUE,P380&lt;&gt;"")</f>
        <v/>
      </c>
      <c r="R380">
        <f>IF(G380*1000&lt;750,"なし","あり")</f>
        <v/>
      </c>
      <c r="S380">
        <f>IF(AND(O380=TRUE,Q380=TRUE),"設定可","BLOCK")</f>
        <v/>
      </c>
      <c r="T380" t="inlineStr">
        <is>
          <t>商品カタログ P194</t>
        </is>
      </c>
      <c r="U380" t="inlineStr">
        <is>
          <t>https://webcatalog.lixil.co.jp/iportal/CatalogDetail.do?catalogID=15191910000&amp;categoryID=1630000&amp;designID=newinter&amp;method=initial_screen&amp;position=18&amp;type=mc&amp;volumeID=LXL13001</t>
        </is>
      </c>
    </row>
    <row r="381">
      <c r="A381" t="inlineStr">
        <is>
          <t>WG-SL-00378</t>
        </is>
      </c>
      <c r="B381" t="inlineStr">
        <is>
          <t>SZ-SL-000987</t>
        </is>
      </c>
      <c r="C381" t="inlineStr">
        <is>
          <t>WT-SL-MENKOSHI-AGE-FS</t>
        </is>
      </c>
      <c r="D381" t="inlineStr">
        <is>
          <t>SP-SL-AGE-GRILLE-DIA</t>
        </is>
      </c>
      <c r="E381" t="inlineStr">
        <is>
          <t>06009</t>
        </is>
      </c>
      <c r="F381" t="n">
        <v>0.64</v>
      </c>
      <c r="G381" t="n">
        <v>0.97</v>
      </c>
      <c r="H381" t="inlineStr">
        <is>
          <t>GL-SL-009</t>
        </is>
      </c>
      <c r="I381" t="n">
        <v>8</v>
      </c>
      <c r="J381" t="n">
        <v>10.4</v>
      </c>
      <c r="K381" t="n">
        <v>-0.605</v>
      </c>
      <c r="L381" t="n">
        <v>-1.332</v>
      </c>
      <c r="M381" t="n">
        <v>0.399</v>
      </c>
      <c r="N381">
        <f>ROUND(J381*F381*G381+K381*G381+L381*F381+M381,3)</f>
        <v/>
      </c>
      <c r="O381">
        <f>AND(N381&gt;=1.4,N381&lt;=13)</f>
        <v/>
      </c>
      <c r="P381">
        <f>IF(OR(N381&lt;1.4,N381&gt;13),"",IF(G381*1000&lt;=1170,IF(N381&lt;1.8,"1014",IF(N381&lt;2.9,"1018",IF(N381&lt;3.8,"1029",IF(N381&lt;5,"1038",IF(N381&lt;7,"1050",IF(N381&lt;9,"1070",IF(N381&lt;11,"1090","1110"))))))),IF(G381*1000&lt;=1570,IF(N381&lt;1.8,"",IF(N381&lt;2.9,"2018",IF(N381&lt;3.8,"2029",IF(N381&lt;5,"2038",IF(N381&lt;7,"2050",IF(N381&lt;9,"2070",IF(N381&lt;11,"2090","2110"))))))),IF(G381*1000&lt;=1700,IF(N381&lt;1.8,"",IF(N381&lt;2.9,"3018",IF(N381&lt;3.8,"3029",IF(N381&lt;5,"3038",IF(N381&lt;7,"3050",IF(N381&lt;9,"3070",IF(N381&lt;11,"3090","3110"))))))),""))))</f>
        <v/>
      </c>
      <c r="Q381">
        <f>AND(O381=TRUE,P381&lt;&gt;"")</f>
        <v/>
      </c>
      <c r="R381">
        <f>IF(G381*1000&lt;750,"なし","あり")</f>
        <v/>
      </c>
      <c r="S381">
        <f>IF(AND(O381=TRUE,Q381=TRUE),"設定可","BLOCK")</f>
        <v/>
      </c>
      <c r="T381" t="inlineStr">
        <is>
          <t>商品カタログ P194</t>
        </is>
      </c>
      <c r="U381" t="inlineStr">
        <is>
          <t>https://webcatalog.lixil.co.jp/iportal/CatalogDetail.do?catalogID=15191910000&amp;categoryID=1630000&amp;designID=newinter&amp;method=initial_screen&amp;position=18&amp;type=mc&amp;volumeID=LXL13001</t>
        </is>
      </c>
    </row>
    <row r="382">
      <c r="A382" t="inlineStr">
        <is>
          <t>WG-SL-00379</t>
        </is>
      </c>
      <c r="B382" t="inlineStr">
        <is>
          <t>SZ-SL-000988</t>
        </is>
      </c>
      <c r="C382" t="inlineStr">
        <is>
          <t>WT-SL-MENKOSHI-AGE-FS</t>
        </is>
      </c>
      <c r="D382" t="inlineStr">
        <is>
          <t>SP-SL-AGE-GRILLE-DIA</t>
        </is>
      </c>
      <c r="E382" t="inlineStr">
        <is>
          <t>06909</t>
        </is>
      </c>
      <c r="F382" t="n">
        <v>0.73</v>
      </c>
      <c r="G382" t="n">
        <v>0.97</v>
      </c>
      <c r="H382" t="inlineStr">
        <is>
          <t>GL-SL-001</t>
        </is>
      </c>
      <c r="I382" t="n">
        <v>6</v>
      </c>
      <c r="J382" t="n">
        <v>7.8</v>
      </c>
      <c r="K382" t="n">
        <v>-0.355</v>
      </c>
      <c r="L382" t="n">
        <v>-0.664</v>
      </c>
      <c r="M382" t="n">
        <v>0.335</v>
      </c>
      <c r="N382">
        <f>ROUND(J382*F382*G382+K382*G382+L382*F382+M382,3)</f>
        <v/>
      </c>
      <c r="O382">
        <f>AND(N382&gt;=1.4,N382&lt;=13)</f>
        <v/>
      </c>
      <c r="P382">
        <f>IF(OR(N382&lt;1.4,N382&gt;13),"",IF(G382*1000&lt;=1170,IF(N382&lt;1.8,"1014",IF(N382&lt;2.9,"1018",IF(N382&lt;3.8,"1029",IF(N382&lt;5,"1038",IF(N382&lt;7,"1050",IF(N382&lt;9,"1070",IF(N382&lt;11,"1090","1110"))))))),IF(G382*1000&lt;=1570,IF(N382&lt;1.8,"",IF(N382&lt;2.9,"2018",IF(N382&lt;3.8,"2029",IF(N382&lt;5,"2038",IF(N382&lt;7,"2050",IF(N382&lt;9,"2070",IF(N382&lt;11,"2090","2110"))))))),IF(G382*1000&lt;=1700,IF(N382&lt;1.8,"",IF(N382&lt;2.9,"3018",IF(N382&lt;3.8,"3029",IF(N382&lt;5,"3038",IF(N382&lt;7,"3050",IF(N382&lt;9,"3070",IF(N382&lt;11,"3090","3110"))))))),""))))</f>
        <v/>
      </c>
      <c r="Q382">
        <f>AND(O382=TRUE,P382&lt;&gt;"")</f>
        <v/>
      </c>
      <c r="R382">
        <f>IF(G382*1000&lt;750,"なし","あり")</f>
        <v/>
      </c>
      <c r="S382">
        <f>IF(AND(O382=TRUE,Q382=TRUE),"設定可","BLOCK")</f>
        <v/>
      </c>
      <c r="T382" t="inlineStr">
        <is>
          <t>商品カタログ P194</t>
        </is>
      </c>
      <c r="U382" t="inlineStr">
        <is>
          <t>https://webcatalog.lixil.co.jp/iportal/CatalogDetail.do?catalogID=15191910000&amp;categoryID=1630000&amp;designID=newinter&amp;method=initial_screen&amp;position=18&amp;type=mc&amp;volumeID=LXL13001</t>
        </is>
      </c>
    </row>
    <row r="383">
      <c r="A383" t="inlineStr">
        <is>
          <t>WG-SL-00380</t>
        </is>
      </c>
      <c r="B383" t="inlineStr">
        <is>
          <t>SZ-SL-000988</t>
        </is>
      </c>
      <c r="C383" t="inlineStr">
        <is>
          <t>WT-SL-MENKOSHI-AGE-FS</t>
        </is>
      </c>
      <c r="D383" t="inlineStr">
        <is>
          <t>SP-SL-AGE-GRILLE-DIA</t>
        </is>
      </c>
      <c r="E383" t="inlineStr">
        <is>
          <t>06909</t>
        </is>
      </c>
      <c r="F383" t="n">
        <v>0.73</v>
      </c>
      <c r="G383" t="n">
        <v>0.97</v>
      </c>
      <c r="H383" t="inlineStr">
        <is>
          <t>GL-SL-002</t>
        </is>
      </c>
      <c r="I383" t="n">
        <v>7</v>
      </c>
      <c r="J383" t="n">
        <v>9.1</v>
      </c>
      <c r="K383" t="n">
        <v>-0.48</v>
      </c>
      <c r="L383" t="n">
        <v>-0.998</v>
      </c>
      <c r="M383" t="n">
        <v>0.367</v>
      </c>
      <c r="N383">
        <f>ROUND(J383*F383*G383+K383*G383+L383*F383+M383,3)</f>
        <v/>
      </c>
      <c r="O383">
        <f>AND(N383&gt;=1.4,N383&lt;=13)</f>
        <v/>
      </c>
      <c r="P383">
        <f>IF(OR(N383&lt;1.4,N383&gt;13),"",IF(G383*1000&lt;=1170,IF(N383&lt;1.8,"1014",IF(N383&lt;2.9,"1018",IF(N383&lt;3.8,"1029",IF(N383&lt;5,"1038",IF(N383&lt;7,"1050",IF(N383&lt;9,"1070",IF(N383&lt;11,"1090","1110"))))))),IF(G383*1000&lt;=1570,IF(N383&lt;1.8,"",IF(N383&lt;2.9,"2018",IF(N383&lt;3.8,"2029",IF(N383&lt;5,"2038",IF(N383&lt;7,"2050",IF(N383&lt;9,"2070",IF(N383&lt;11,"2090","2110"))))))),IF(G383*1000&lt;=1700,IF(N383&lt;1.8,"",IF(N383&lt;2.9,"3018",IF(N383&lt;3.8,"3029",IF(N383&lt;5,"3038",IF(N383&lt;7,"3050",IF(N383&lt;9,"3070",IF(N383&lt;11,"3090","3110"))))))),""))))</f>
        <v/>
      </c>
      <c r="Q383">
        <f>AND(O383=TRUE,P383&lt;&gt;"")</f>
        <v/>
      </c>
      <c r="R383">
        <f>IF(G383*1000&lt;750,"なし","あり")</f>
        <v/>
      </c>
      <c r="S383">
        <f>IF(AND(O383=TRUE,Q383=TRUE),"設定可","BLOCK")</f>
        <v/>
      </c>
      <c r="T383" t="inlineStr">
        <is>
          <t>商品カタログ P194</t>
        </is>
      </c>
      <c r="U383" t="inlineStr">
        <is>
          <t>https://webcatalog.lixil.co.jp/iportal/CatalogDetail.do?catalogID=15191910000&amp;categoryID=1630000&amp;designID=newinter&amp;method=initial_screen&amp;position=18&amp;type=mc&amp;volumeID=LXL13001</t>
        </is>
      </c>
    </row>
    <row r="384">
      <c r="A384" t="inlineStr">
        <is>
          <t>WG-SL-00381</t>
        </is>
      </c>
      <c r="B384" t="inlineStr">
        <is>
          <t>SZ-SL-000988</t>
        </is>
      </c>
      <c r="C384" t="inlineStr">
        <is>
          <t>WT-SL-MENKOSHI-AGE-FS</t>
        </is>
      </c>
      <c r="D384" t="inlineStr">
        <is>
          <t>SP-SL-AGE-GRILLE-DIA</t>
        </is>
      </c>
      <c r="E384" t="inlineStr">
        <is>
          <t>06909</t>
        </is>
      </c>
      <c r="F384" t="n">
        <v>0.73</v>
      </c>
      <c r="G384" t="n">
        <v>0.97</v>
      </c>
      <c r="H384" t="inlineStr">
        <is>
          <t>GL-SL-003</t>
        </is>
      </c>
      <c r="I384" t="n">
        <v>8</v>
      </c>
      <c r="J384" t="n">
        <v>10.4</v>
      </c>
      <c r="K384" t="n">
        <v>-0.605</v>
      </c>
      <c r="L384" t="n">
        <v>-1.332</v>
      </c>
      <c r="M384" t="n">
        <v>0.399</v>
      </c>
      <c r="N384">
        <f>ROUND(J384*F384*G384+K384*G384+L384*F384+M384,3)</f>
        <v/>
      </c>
      <c r="O384">
        <f>AND(N384&gt;=1.4,N384&lt;=13)</f>
        <v/>
      </c>
      <c r="P384">
        <f>IF(OR(N384&lt;1.4,N384&gt;13),"",IF(G384*1000&lt;=1170,IF(N384&lt;1.8,"1014",IF(N384&lt;2.9,"1018",IF(N384&lt;3.8,"1029",IF(N384&lt;5,"1038",IF(N384&lt;7,"1050",IF(N384&lt;9,"1070",IF(N384&lt;11,"1090","1110"))))))),IF(G384*1000&lt;=1570,IF(N384&lt;1.8,"",IF(N384&lt;2.9,"2018",IF(N384&lt;3.8,"2029",IF(N384&lt;5,"2038",IF(N384&lt;7,"2050",IF(N384&lt;9,"2070",IF(N384&lt;11,"2090","2110"))))))),IF(G384*1000&lt;=1700,IF(N384&lt;1.8,"",IF(N384&lt;2.9,"3018",IF(N384&lt;3.8,"3029",IF(N384&lt;5,"3038",IF(N384&lt;7,"3050",IF(N384&lt;9,"3070",IF(N384&lt;11,"3090","3110"))))))),""))))</f>
        <v/>
      </c>
      <c r="Q384">
        <f>AND(O384=TRUE,P384&lt;&gt;"")</f>
        <v/>
      </c>
      <c r="R384">
        <f>IF(G384*1000&lt;750,"なし","あり")</f>
        <v/>
      </c>
      <c r="S384">
        <f>IF(AND(O384=TRUE,Q384=TRUE),"設定可","BLOCK")</f>
        <v/>
      </c>
      <c r="T384" t="inlineStr">
        <is>
          <t>商品カタログ P194</t>
        </is>
      </c>
      <c r="U384" t="inlineStr">
        <is>
          <t>https://webcatalog.lixil.co.jp/iportal/CatalogDetail.do?catalogID=15191910000&amp;categoryID=1630000&amp;designID=newinter&amp;method=initial_screen&amp;position=18&amp;type=mc&amp;volumeID=LXL13001</t>
        </is>
      </c>
    </row>
    <row r="385">
      <c r="A385" t="inlineStr">
        <is>
          <t>WG-SL-00382</t>
        </is>
      </c>
      <c r="B385" t="inlineStr">
        <is>
          <t>SZ-SL-000988</t>
        </is>
      </c>
      <c r="C385" t="inlineStr">
        <is>
          <t>WT-SL-MENKOSHI-AGE-FS</t>
        </is>
      </c>
      <c r="D385" t="inlineStr">
        <is>
          <t>SP-SL-AGE-GRILLE-DIA</t>
        </is>
      </c>
      <c r="E385" t="inlineStr">
        <is>
          <t>06909</t>
        </is>
      </c>
      <c r="F385" t="n">
        <v>0.73</v>
      </c>
      <c r="G385" t="n">
        <v>0.97</v>
      </c>
      <c r="H385" t="inlineStr">
        <is>
          <t>GL-SL-004</t>
        </is>
      </c>
      <c r="I385" t="n">
        <v>6</v>
      </c>
      <c r="J385" t="n">
        <v>7.8</v>
      </c>
      <c r="K385" t="n">
        <v>-0.355</v>
      </c>
      <c r="L385" t="n">
        <v>-0.664</v>
      </c>
      <c r="M385" t="n">
        <v>0.335</v>
      </c>
      <c r="N385">
        <f>ROUND(J385*F385*G385+K385*G385+L385*F385+M385,3)</f>
        <v/>
      </c>
      <c r="O385">
        <f>AND(N385&gt;=1.4,N385&lt;=13)</f>
        <v/>
      </c>
      <c r="P385">
        <f>IF(OR(N385&lt;1.4,N385&gt;13),"",IF(G385*1000&lt;=1170,IF(N385&lt;1.8,"1014",IF(N385&lt;2.9,"1018",IF(N385&lt;3.8,"1029",IF(N385&lt;5,"1038",IF(N385&lt;7,"1050",IF(N385&lt;9,"1070",IF(N385&lt;11,"1090","1110"))))))),IF(G385*1000&lt;=1570,IF(N385&lt;1.8,"",IF(N385&lt;2.9,"2018",IF(N385&lt;3.8,"2029",IF(N385&lt;5,"2038",IF(N385&lt;7,"2050",IF(N385&lt;9,"2070",IF(N385&lt;11,"2090","2110"))))))),IF(G385*1000&lt;=1700,IF(N385&lt;1.8,"",IF(N385&lt;2.9,"3018",IF(N385&lt;3.8,"3029",IF(N385&lt;5,"3038",IF(N385&lt;7,"3050",IF(N385&lt;9,"3070",IF(N385&lt;11,"3090","3110"))))))),""))))</f>
        <v/>
      </c>
      <c r="Q385">
        <f>AND(O385=TRUE,P385&lt;&gt;"")</f>
        <v/>
      </c>
      <c r="R385">
        <f>IF(G385*1000&lt;750,"なし","あり")</f>
        <v/>
      </c>
      <c r="S385">
        <f>IF(AND(O385=TRUE,Q385=TRUE),"設定可","BLOCK")</f>
        <v/>
      </c>
      <c r="T385" t="inlineStr">
        <is>
          <t>商品カタログ P194</t>
        </is>
      </c>
      <c r="U385" t="inlineStr">
        <is>
          <t>https://webcatalog.lixil.co.jp/iportal/CatalogDetail.do?catalogID=15191910000&amp;categoryID=1630000&amp;designID=newinter&amp;method=initial_screen&amp;position=18&amp;type=mc&amp;volumeID=LXL13001</t>
        </is>
      </c>
    </row>
    <row r="386">
      <c r="A386" t="inlineStr">
        <is>
          <t>WG-SL-00383</t>
        </is>
      </c>
      <c r="B386" t="inlineStr">
        <is>
          <t>SZ-SL-000988</t>
        </is>
      </c>
      <c r="C386" t="inlineStr">
        <is>
          <t>WT-SL-MENKOSHI-AGE-FS</t>
        </is>
      </c>
      <c r="D386" t="inlineStr">
        <is>
          <t>SP-SL-AGE-GRILLE-DIA</t>
        </is>
      </c>
      <c r="E386" t="inlineStr">
        <is>
          <t>06909</t>
        </is>
      </c>
      <c r="F386" t="n">
        <v>0.73</v>
      </c>
      <c r="G386" t="n">
        <v>0.97</v>
      </c>
      <c r="H386" t="inlineStr">
        <is>
          <t>GL-SL-005</t>
        </is>
      </c>
      <c r="I386" t="n">
        <v>7</v>
      </c>
      <c r="J386" t="n">
        <v>9.1</v>
      </c>
      <c r="K386" t="n">
        <v>-0.48</v>
      </c>
      <c r="L386" t="n">
        <v>-0.998</v>
      </c>
      <c r="M386" t="n">
        <v>0.367</v>
      </c>
      <c r="N386">
        <f>ROUND(J386*F386*G386+K386*G386+L386*F386+M386,3)</f>
        <v/>
      </c>
      <c r="O386">
        <f>AND(N386&gt;=1.4,N386&lt;=13)</f>
        <v/>
      </c>
      <c r="P386">
        <f>IF(OR(N386&lt;1.4,N386&gt;13),"",IF(G386*1000&lt;=1170,IF(N386&lt;1.8,"1014",IF(N386&lt;2.9,"1018",IF(N386&lt;3.8,"1029",IF(N386&lt;5,"1038",IF(N386&lt;7,"1050",IF(N386&lt;9,"1070",IF(N386&lt;11,"1090","1110"))))))),IF(G386*1000&lt;=1570,IF(N386&lt;1.8,"",IF(N386&lt;2.9,"2018",IF(N386&lt;3.8,"2029",IF(N386&lt;5,"2038",IF(N386&lt;7,"2050",IF(N386&lt;9,"2070",IF(N386&lt;11,"2090","2110"))))))),IF(G386*1000&lt;=1700,IF(N386&lt;1.8,"",IF(N386&lt;2.9,"3018",IF(N386&lt;3.8,"3029",IF(N386&lt;5,"3038",IF(N386&lt;7,"3050",IF(N386&lt;9,"3070",IF(N386&lt;11,"3090","3110"))))))),""))))</f>
        <v/>
      </c>
      <c r="Q386">
        <f>AND(O386=TRUE,P386&lt;&gt;"")</f>
        <v/>
      </c>
      <c r="R386">
        <f>IF(G386*1000&lt;750,"なし","あり")</f>
        <v/>
      </c>
      <c r="S386">
        <f>IF(AND(O386=TRUE,Q386=TRUE),"設定可","BLOCK")</f>
        <v/>
      </c>
      <c r="T386" t="inlineStr">
        <is>
          <t>商品カタログ P194</t>
        </is>
      </c>
      <c r="U386" t="inlineStr">
        <is>
          <t>https://webcatalog.lixil.co.jp/iportal/CatalogDetail.do?catalogID=15191910000&amp;categoryID=1630000&amp;designID=newinter&amp;method=initial_screen&amp;position=18&amp;type=mc&amp;volumeID=LXL13001</t>
        </is>
      </c>
    </row>
    <row r="387">
      <c r="A387" t="inlineStr">
        <is>
          <t>WG-SL-00384</t>
        </is>
      </c>
      <c r="B387" t="inlineStr">
        <is>
          <t>SZ-SL-000988</t>
        </is>
      </c>
      <c r="C387" t="inlineStr">
        <is>
          <t>WT-SL-MENKOSHI-AGE-FS</t>
        </is>
      </c>
      <c r="D387" t="inlineStr">
        <is>
          <t>SP-SL-AGE-GRILLE-DIA</t>
        </is>
      </c>
      <c r="E387" t="inlineStr">
        <is>
          <t>06909</t>
        </is>
      </c>
      <c r="F387" t="n">
        <v>0.73</v>
      </c>
      <c r="G387" t="n">
        <v>0.97</v>
      </c>
      <c r="H387" t="inlineStr">
        <is>
          <t>GL-SL-006</t>
        </is>
      </c>
      <c r="I387" t="n">
        <v>8</v>
      </c>
      <c r="J387" t="n">
        <v>10.4</v>
      </c>
      <c r="K387" t="n">
        <v>-0.605</v>
      </c>
      <c r="L387" t="n">
        <v>-1.332</v>
      </c>
      <c r="M387" t="n">
        <v>0.399</v>
      </c>
      <c r="N387">
        <f>ROUND(J387*F387*G387+K387*G387+L387*F387+M387,3)</f>
        <v/>
      </c>
      <c r="O387">
        <f>AND(N387&gt;=1.4,N387&lt;=13)</f>
        <v/>
      </c>
      <c r="P387">
        <f>IF(OR(N387&lt;1.4,N387&gt;13),"",IF(G387*1000&lt;=1170,IF(N387&lt;1.8,"1014",IF(N387&lt;2.9,"1018",IF(N387&lt;3.8,"1029",IF(N387&lt;5,"1038",IF(N387&lt;7,"1050",IF(N387&lt;9,"1070",IF(N387&lt;11,"1090","1110"))))))),IF(G387*1000&lt;=1570,IF(N387&lt;1.8,"",IF(N387&lt;2.9,"2018",IF(N387&lt;3.8,"2029",IF(N387&lt;5,"2038",IF(N387&lt;7,"2050",IF(N387&lt;9,"2070",IF(N387&lt;11,"2090","2110"))))))),IF(G387*1000&lt;=1700,IF(N387&lt;1.8,"",IF(N387&lt;2.9,"3018",IF(N387&lt;3.8,"3029",IF(N387&lt;5,"3038",IF(N387&lt;7,"3050",IF(N387&lt;9,"3070",IF(N387&lt;11,"3090","3110"))))))),""))))</f>
        <v/>
      </c>
      <c r="Q387">
        <f>AND(O387=TRUE,P387&lt;&gt;"")</f>
        <v/>
      </c>
      <c r="R387">
        <f>IF(G387*1000&lt;750,"なし","あり")</f>
        <v/>
      </c>
      <c r="S387">
        <f>IF(AND(O387=TRUE,Q387=TRUE),"設定可","BLOCK")</f>
        <v/>
      </c>
      <c r="T387" t="inlineStr">
        <is>
          <t>商品カタログ P194</t>
        </is>
      </c>
      <c r="U387" t="inlineStr">
        <is>
          <t>https://webcatalog.lixil.co.jp/iportal/CatalogDetail.do?catalogID=15191910000&amp;categoryID=1630000&amp;designID=newinter&amp;method=initial_screen&amp;position=18&amp;type=mc&amp;volumeID=LXL13001</t>
        </is>
      </c>
    </row>
    <row r="388">
      <c r="A388" t="inlineStr">
        <is>
          <t>WG-SL-00385</t>
        </is>
      </c>
      <c r="B388" t="inlineStr">
        <is>
          <t>SZ-SL-000988</t>
        </is>
      </c>
      <c r="C388" t="inlineStr">
        <is>
          <t>WT-SL-MENKOSHI-AGE-FS</t>
        </is>
      </c>
      <c r="D388" t="inlineStr">
        <is>
          <t>SP-SL-AGE-GRILLE-DIA</t>
        </is>
      </c>
      <c r="E388" t="inlineStr">
        <is>
          <t>06909</t>
        </is>
      </c>
      <c r="F388" t="n">
        <v>0.73</v>
      </c>
      <c r="G388" t="n">
        <v>0.97</v>
      </c>
      <c r="H388" t="inlineStr">
        <is>
          <t>GL-SL-007</t>
        </is>
      </c>
      <c r="I388" t="n">
        <v>6</v>
      </c>
      <c r="J388" t="n">
        <v>7.8</v>
      </c>
      <c r="K388" t="n">
        <v>-0.355</v>
      </c>
      <c r="L388" t="n">
        <v>-0.664</v>
      </c>
      <c r="M388" t="n">
        <v>0.335</v>
      </c>
      <c r="N388">
        <f>ROUND(J388*F388*G388+K388*G388+L388*F388+M388,3)</f>
        <v/>
      </c>
      <c r="O388">
        <f>AND(N388&gt;=1.4,N388&lt;=13)</f>
        <v/>
      </c>
      <c r="P388">
        <f>IF(OR(N388&lt;1.4,N388&gt;13),"",IF(G388*1000&lt;=1170,IF(N388&lt;1.8,"1014",IF(N388&lt;2.9,"1018",IF(N388&lt;3.8,"1029",IF(N388&lt;5,"1038",IF(N388&lt;7,"1050",IF(N388&lt;9,"1070",IF(N388&lt;11,"1090","1110"))))))),IF(G388*1000&lt;=1570,IF(N388&lt;1.8,"",IF(N388&lt;2.9,"2018",IF(N388&lt;3.8,"2029",IF(N388&lt;5,"2038",IF(N388&lt;7,"2050",IF(N388&lt;9,"2070",IF(N388&lt;11,"2090","2110"))))))),IF(G388*1000&lt;=1700,IF(N388&lt;1.8,"",IF(N388&lt;2.9,"3018",IF(N388&lt;3.8,"3029",IF(N388&lt;5,"3038",IF(N388&lt;7,"3050",IF(N388&lt;9,"3070",IF(N388&lt;11,"3090","3110"))))))),""))))</f>
        <v/>
      </c>
      <c r="Q388">
        <f>AND(O388=TRUE,P388&lt;&gt;"")</f>
        <v/>
      </c>
      <c r="R388">
        <f>IF(G388*1000&lt;750,"なし","あり")</f>
        <v/>
      </c>
      <c r="S388">
        <f>IF(AND(O388=TRUE,Q388=TRUE),"設定可","BLOCK")</f>
        <v/>
      </c>
      <c r="T388" t="inlineStr">
        <is>
          <t>商品カタログ P194</t>
        </is>
      </c>
      <c r="U388" t="inlineStr">
        <is>
          <t>https://webcatalog.lixil.co.jp/iportal/CatalogDetail.do?catalogID=15191910000&amp;categoryID=1630000&amp;designID=newinter&amp;method=initial_screen&amp;position=18&amp;type=mc&amp;volumeID=LXL13001</t>
        </is>
      </c>
    </row>
    <row r="389">
      <c r="A389" t="inlineStr">
        <is>
          <t>WG-SL-00386</t>
        </is>
      </c>
      <c r="B389" t="inlineStr">
        <is>
          <t>SZ-SL-000988</t>
        </is>
      </c>
      <c r="C389" t="inlineStr">
        <is>
          <t>WT-SL-MENKOSHI-AGE-FS</t>
        </is>
      </c>
      <c r="D389" t="inlineStr">
        <is>
          <t>SP-SL-AGE-GRILLE-DIA</t>
        </is>
      </c>
      <c r="E389" t="inlineStr">
        <is>
          <t>06909</t>
        </is>
      </c>
      <c r="F389" t="n">
        <v>0.73</v>
      </c>
      <c r="G389" t="n">
        <v>0.97</v>
      </c>
      <c r="H389" t="inlineStr">
        <is>
          <t>GL-SL-008</t>
        </is>
      </c>
      <c r="I389" t="n">
        <v>7</v>
      </c>
      <c r="J389" t="n">
        <v>9.1</v>
      </c>
      <c r="K389" t="n">
        <v>-0.48</v>
      </c>
      <c r="L389" t="n">
        <v>-0.998</v>
      </c>
      <c r="M389" t="n">
        <v>0.367</v>
      </c>
      <c r="N389">
        <f>ROUND(J389*F389*G389+K389*G389+L389*F389+M389,3)</f>
        <v/>
      </c>
      <c r="O389">
        <f>AND(N389&gt;=1.4,N389&lt;=13)</f>
        <v/>
      </c>
      <c r="P389">
        <f>IF(OR(N389&lt;1.4,N389&gt;13),"",IF(G389*1000&lt;=1170,IF(N389&lt;1.8,"1014",IF(N389&lt;2.9,"1018",IF(N389&lt;3.8,"1029",IF(N389&lt;5,"1038",IF(N389&lt;7,"1050",IF(N389&lt;9,"1070",IF(N389&lt;11,"1090","1110"))))))),IF(G389*1000&lt;=1570,IF(N389&lt;1.8,"",IF(N389&lt;2.9,"2018",IF(N389&lt;3.8,"2029",IF(N389&lt;5,"2038",IF(N389&lt;7,"2050",IF(N389&lt;9,"2070",IF(N389&lt;11,"2090","2110"))))))),IF(G389*1000&lt;=1700,IF(N389&lt;1.8,"",IF(N389&lt;2.9,"3018",IF(N389&lt;3.8,"3029",IF(N389&lt;5,"3038",IF(N389&lt;7,"3050",IF(N389&lt;9,"3070",IF(N389&lt;11,"3090","3110"))))))),""))))</f>
        <v/>
      </c>
      <c r="Q389">
        <f>AND(O389=TRUE,P389&lt;&gt;"")</f>
        <v/>
      </c>
      <c r="R389">
        <f>IF(G389*1000&lt;750,"なし","あり")</f>
        <v/>
      </c>
      <c r="S389">
        <f>IF(AND(O389=TRUE,Q389=TRUE),"設定可","BLOCK")</f>
        <v/>
      </c>
      <c r="T389" t="inlineStr">
        <is>
          <t>商品カタログ P194</t>
        </is>
      </c>
      <c r="U389" t="inlineStr">
        <is>
          <t>https://webcatalog.lixil.co.jp/iportal/CatalogDetail.do?catalogID=15191910000&amp;categoryID=1630000&amp;designID=newinter&amp;method=initial_screen&amp;position=18&amp;type=mc&amp;volumeID=LXL13001</t>
        </is>
      </c>
    </row>
    <row r="390">
      <c r="A390" t="inlineStr">
        <is>
          <t>WG-SL-00387</t>
        </is>
      </c>
      <c r="B390" t="inlineStr">
        <is>
          <t>SZ-SL-000988</t>
        </is>
      </c>
      <c r="C390" t="inlineStr">
        <is>
          <t>WT-SL-MENKOSHI-AGE-FS</t>
        </is>
      </c>
      <c r="D390" t="inlineStr">
        <is>
          <t>SP-SL-AGE-GRILLE-DIA</t>
        </is>
      </c>
      <c r="E390" t="inlineStr">
        <is>
          <t>06909</t>
        </is>
      </c>
      <c r="F390" t="n">
        <v>0.73</v>
      </c>
      <c r="G390" t="n">
        <v>0.97</v>
      </c>
      <c r="H390" t="inlineStr">
        <is>
          <t>GL-SL-009</t>
        </is>
      </c>
      <c r="I390" t="n">
        <v>8</v>
      </c>
      <c r="J390" t="n">
        <v>10.4</v>
      </c>
      <c r="K390" t="n">
        <v>-0.605</v>
      </c>
      <c r="L390" t="n">
        <v>-1.332</v>
      </c>
      <c r="M390" t="n">
        <v>0.399</v>
      </c>
      <c r="N390">
        <f>ROUND(J390*F390*G390+K390*G390+L390*F390+M390,3)</f>
        <v/>
      </c>
      <c r="O390">
        <f>AND(N390&gt;=1.4,N390&lt;=13)</f>
        <v/>
      </c>
      <c r="P390">
        <f>IF(OR(N390&lt;1.4,N390&gt;13),"",IF(G390*1000&lt;=1170,IF(N390&lt;1.8,"1014",IF(N390&lt;2.9,"1018",IF(N390&lt;3.8,"1029",IF(N390&lt;5,"1038",IF(N390&lt;7,"1050",IF(N390&lt;9,"1070",IF(N390&lt;11,"1090","1110"))))))),IF(G390*1000&lt;=1570,IF(N390&lt;1.8,"",IF(N390&lt;2.9,"2018",IF(N390&lt;3.8,"2029",IF(N390&lt;5,"2038",IF(N390&lt;7,"2050",IF(N390&lt;9,"2070",IF(N390&lt;11,"2090","2110"))))))),IF(G390*1000&lt;=1700,IF(N390&lt;1.8,"",IF(N390&lt;2.9,"3018",IF(N390&lt;3.8,"3029",IF(N390&lt;5,"3038",IF(N390&lt;7,"3050",IF(N390&lt;9,"3070",IF(N390&lt;11,"3090","3110"))))))),""))))</f>
        <v/>
      </c>
      <c r="Q390">
        <f>AND(O390=TRUE,P390&lt;&gt;"")</f>
        <v/>
      </c>
      <c r="R390">
        <f>IF(G390*1000&lt;750,"なし","あり")</f>
        <v/>
      </c>
      <c r="S390">
        <f>IF(AND(O390=TRUE,Q390=TRUE),"設定可","BLOCK")</f>
        <v/>
      </c>
      <c r="T390" t="inlineStr">
        <is>
          <t>商品カタログ P194</t>
        </is>
      </c>
      <c r="U390" t="inlineStr">
        <is>
          <t>https://webcatalog.lixil.co.jp/iportal/CatalogDetail.do?catalogID=15191910000&amp;categoryID=1630000&amp;designID=newinter&amp;method=initial_screen&amp;position=18&amp;type=mc&amp;volumeID=LXL13001</t>
        </is>
      </c>
    </row>
    <row r="391">
      <c r="A391" t="inlineStr">
        <is>
          <t>WG-SL-00388</t>
        </is>
      </c>
      <c r="B391" t="inlineStr">
        <is>
          <t>SZ-SL-000989</t>
        </is>
      </c>
      <c r="C391" t="inlineStr">
        <is>
          <t>WT-SL-MENKOSHI-AGE-FS</t>
        </is>
      </c>
      <c r="D391" t="inlineStr">
        <is>
          <t>SP-SL-AGE-GRILLE-DIA</t>
        </is>
      </c>
      <c r="E391" t="inlineStr">
        <is>
          <t>07409</t>
        </is>
      </c>
      <c r="F391" t="n">
        <v>0.78</v>
      </c>
      <c r="G391" t="n">
        <v>0.97</v>
      </c>
      <c r="H391" t="inlineStr">
        <is>
          <t>GL-SL-001</t>
        </is>
      </c>
      <c r="I391" t="n">
        <v>6</v>
      </c>
      <c r="J391" t="n">
        <v>7.8</v>
      </c>
      <c r="K391" t="n">
        <v>-0.355</v>
      </c>
      <c r="L391" t="n">
        <v>-0.664</v>
      </c>
      <c r="M391" t="n">
        <v>0.335</v>
      </c>
      <c r="N391">
        <f>ROUND(J391*F391*G391+K391*G391+L391*F391+M391,3)</f>
        <v/>
      </c>
      <c r="O391">
        <f>AND(N391&gt;=1.4,N391&lt;=13)</f>
        <v/>
      </c>
      <c r="P391">
        <f>IF(OR(N391&lt;1.4,N391&gt;13),"",IF(G391*1000&lt;=1170,IF(N391&lt;1.8,"1014",IF(N391&lt;2.9,"1018",IF(N391&lt;3.8,"1029",IF(N391&lt;5,"1038",IF(N391&lt;7,"1050",IF(N391&lt;9,"1070",IF(N391&lt;11,"1090","1110"))))))),IF(G391*1000&lt;=1570,IF(N391&lt;1.8,"",IF(N391&lt;2.9,"2018",IF(N391&lt;3.8,"2029",IF(N391&lt;5,"2038",IF(N391&lt;7,"2050",IF(N391&lt;9,"2070",IF(N391&lt;11,"2090","2110"))))))),IF(G391*1000&lt;=1700,IF(N391&lt;1.8,"",IF(N391&lt;2.9,"3018",IF(N391&lt;3.8,"3029",IF(N391&lt;5,"3038",IF(N391&lt;7,"3050",IF(N391&lt;9,"3070",IF(N391&lt;11,"3090","3110"))))))),""))))</f>
        <v/>
      </c>
      <c r="Q391">
        <f>AND(O391=TRUE,P391&lt;&gt;"")</f>
        <v/>
      </c>
      <c r="R391">
        <f>IF(G391*1000&lt;750,"なし","あり")</f>
        <v/>
      </c>
      <c r="S391">
        <f>IF(AND(O391=TRUE,Q391=TRUE),"設定可","BLOCK")</f>
        <v/>
      </c>
      <c r="T391" t="inlineStr">
        <is>
          <t>商品カタログ P194</t>
        </is>
      </c>
      <c r="U391" t="inlineStr">
        <is>
          <t>https://webcatalog.lixil.co.jp/iportal/CatalogDetail.do?catalogID=15191910000&amp;categoryID=1630000&amp;designID=newinter&amp;method=initial_screen&amp;position=18&amp;type=mc&amp;volumeID=LXL13001</t>
        </is>
      </c>
    </row>
    <row r="392">
      <c r="A392" t="inlineStr">
        <is>
          <t>WG-SL-00389</t>
        </is>
      </c>
      <c r="B392" t="inlineStr">
        <is>
          <t>SZ-SL-000989</t>
        </is>
      </c>
      <c r="C392" t="inlineStr">
        <is>
          <t>WT-SL-MENKOSHI-AGE-FS</t>
        </is>
      </c>
      <c r="D392" t="inlineStr">
        <is>
          <t>SP-SL-AGE-GRILLE-DIA</t>
        </is>
      </c>
      <c r="E392" t="inlineStr">
        <is>
          <t>07409</t>
        </is>
      </c>
      <c r="F392" t="n">
        <v>0.78</v>
      </c>
      <c r="G392" t="n">
        <v>0.97</v>
      </c>
      <c r="H392" t="inlineStr">
        <is>
          <t>GL-SL-002</t>
        </is>
      </c>
      <c r="I392" t="n">
        <v>7</v>
      </c>
      <c r="J392" t="n">
        <v>9.1</v>
      </c>
      <c r="K392" t="n">
        <v>-0.48</v>
      </c>
      <c r="L392" t="n">
        <v>-0.998</v>
      </c>
      <c r="M392" t="n">
        <v>0.367</v>
      </c>
      <c r="N392">
        <f>ROUND(J392*F392*G392+K392*G392+L392*F392+M392,3)</f>
        <v/>
      </c>
      <c r="O392">
        <f>AND(N392&gt;=1.4,N392&lt;=13)</f>
        <v/>
      </c>
      <c r="P392">
        <f>IF(OR(N392&lt;1.4,N392&gt;13),"",IF(G392*1000&lt;=1170,IF(N392&lt;1.8,"1014",IF(N392&lt;2.9,"1018",IF(N392&lt;3.8,"1029",IF(N392&lt;5,"1038",IF(N392&lt;7,"1050",IF(N392&lt;9,"1070",IF(N392&lt;11,"1090","1110"))))))),IF(G392*1000&lt;=1570,IF(N392&lt;1.8,"",IF(N392&lt;2.9,"2018",IF(N392&lt;3.8,"2029",IF(N392&lt;5,"2038",IF(N392&lt;7,"2050",IF(N392&lt;9,"2070",IF(N392&lt;11,"2090","2110"))))))),IF(G392*1000&lt;=1700,IF(N392&lt;1.8,"",IF(N392&lt;2.9,"3018",IF(N392&lt;3.8,"3029",IF(N392&lt;5,"3038",IF(N392&lt;7,"3050",IF(N392&lt;9,"3070",IF(N392&lt;11,"3090","3110"))))))),""))))</f>
        <v/>
      </c>
      <c r="Q392">
        <f>AND(O392=TRUE,P392&lt;&gt;"")</f>
        <v/>
      </c>
      <c r="R392">
        <f>IF(G392*1000&lt;750,"なし","あり")</f>
        <v/>
      </c>
      <c r="S392">
        <f>IF(AND(O392=TRUE,Q392=TRUE),"設定可","BLOCK")</f>
        <v/>
      </c>
      <c r="T392" t="inlineStr">
        <is>
          <t>商品カタログ P194</t>
        </is>
      </c>
      <c r="U392" t="inlineStr">
        <is>
          <t>https://webcatalog.lixil.co.jp/iportal/CatalogDetail.do?catalogID=15191910000&amp;categoryID=1630000&amp;designID=newinter&amp;method=initial_screen&amp;position=18&amp;type=mc&amp;volumeID=LXL13001</t>
        </is>
      </c>
    </row>
    <row r="393">
      <c r="A393" t="inlineStr">
        <is>
          <t>WG-SL-00390</t>
        </is>
      </c>
      <c r="B393" t="inlineStr">
        <is>
          <t>SZ-SL-000989</t>
        </is>
      </c>
      <c r="C393" t="inlineStr">
        <is>
          <t>WT-SL-MENKOSHI-AGE-FS</t>
        </is>
      </c>
      <c r="D393" t="inlineStr">
        <is>
          <t>SP-SL-AGE-GRILLE-DIA</t>
        </is>
      </c>
      <c r="E393" t="inlineStr">
        <is>
          <t>07409</t>
        </is>
      </c>
      <c r="F393" t="n">
        <v>0.78</v>
      </c>
      <c r="G393" t="n">
        <v>0.97</v>
      </c>
      <c r="H393" t="inlineStr">
        <is>
          <t>GL-SL-003</t>
        </is>
      </c>
      <c r="I393" t="n">
        <v>8</v>
      </c>
      <c r="J393" t="n">
        <v>10.4</v>
      </c>
      <c r="K393" t="n">
        <v>-0.605</v>
      </c>
      <c r="L393" t="n">
        <v>-1.332</v>
      </c>
      <c r="M393" t="n">
        <v>0.399</v>
      </c>
      <c r="N393">
        <f>ROUND(J393*F393*G393+K393*G393+L393*F393+M393,3)</f>
        <v/>
      </c>
      <c r="O393">
        <f>AND(N393&gt;=1.4,N393&lt;=13)</f>
        <v/>
      </c>
      <c r="P393">
        <f>IF(OR(N393&lt;1.4,N393&gt;13),"",IF(G393*1000&lt;=1170,IF(N393&lt;1.8,"1014",IF(N393&lt;2.9,"1018",IF(N393&lt;3.8,"1029",IF(N393&lt;5,"1038",IF(N393&lt;7,"1050",IF(N393&lt;9,"1070",IF(N393&lt;11,"1090","1110"))))))),IF(G393*1000&lt;=1570,IF(N393&lt;1.8,"",IF(N393&lt;2.9,"2018",IF(N393&lt;3.8,"2029",IF(N393&lt;5,"2038",IF(N393&lt;7,"2050",IF(N393&lt;9,"2070",IF(N393&lt;11,"2090","2110"))))))),IF(G393*1000&lt;=1700,IF(N393&lt;1.8,"",IF(N393&lt;2.9,"3018",IF(N393&lt;3.8,"3029",IF(N393&lt;5,"3038",IF(N393&lt;7,"3050",IF(N393&lt;9,"3070",IF(N393&lt;11,"3090","3110"))))))),""))))</f>
        <v/>
      </c>
      <c r="Q393">
        <f>AND(O393=TRUE,P393&lt;&gt;"")</f>
        <v/>
      </c>
      <c r="R393">
        <f>IF(G393*1000&lt;750,"なし","あり")</f>
        <v/>
      </c>
      <c r="S393">
        <f>IF(AND(O393=TRUE,Q393=TRUE),"設定可","BLOCK")</f>
        <v/>
      </c>
      <c r="T393" t="inlineStr">
        <is>
          <t>商品カタログ P194</t>
        </is>
      </c>
      <c r="U393" t="inlineStr">
        <is>
          <t>https://webcatalog.lixil.co.jp/iportal/CatalogDetail.do?catalogID=15191910000&amp;categoryID=1630000&amp;designID=newinter&amp;method=initial_screen&amp;position=18&amp;type=mc&amp;volumeID=LXL13001</t>
        </is>
      </c>
    </row>
    <row r="394">
      <c r="A394" t="inlineStr">
        <is>
          <t>WG-SL-00391</t>
        </is>
      </c>
      <c r="B394" t="inlineStr">
        <is>
          <t>SZ-SL-000989</t>
        </is>
      </c>
      <c r="C394" t="inlineStr">
        <is>
          <t>WT-SL-MENKOSHI-AGE-FS</t>
        </is>
      </c>
      <c r="D394" t="inlineStr">
        <is>
          <t>SP-SL-AGE-GRILLE-DIA</t>
        </is>
      </c>
      <c r="E394" t="inlineStr">
        <is>
          <t>07409</t>
        </is>
      </c>
      <c r="F394" t="n">
        <v>0.78</v>
      </c>
      <c r="G394" t="n">
        <v>0.97</v>
      </c>
      <c r="H394" t="inlineStr">
        <is>
          <t>GL-SL-004</t>
        </is>
      </c>
      <c r="I394" t="n">
        <v>6</v>
      </c>
      <c r="J394" t="n">
        <v>7.8</v>
      </c>
      <c r="K394" t="n">
        <v>-0.355</v>
      </c>
      <c r="L394" t="n">
        <v>-0.664</v>
      </c>
      <c r="M394" t="n">
        <v>0.335</v>
      </c>
      <c r="N394">
        <f>ROUND(J394*F394*G394+K394*G394+L394*F394+M394,3)</f>
        <v/>
      </c>
      <c r="O394">
        <f>AND(N394&gt;=1.4,N394&lt;=13)</f>
        <v/>
      </c>
      <c r="P394">
        <f>IF(OR(N394&lt;1.4,N394&gt;13),"",IF(G394*1000&lt;=1170,IF(N394&lt;1.8,"1014",IF(N394&lt;2.9,"1018",IF(N394&lt;3.8,"1029",IF(N394&lt;5,"1038",IF(N394&lt;7,"1050",IF(N394&lt;9,"1070",IF(N394&lt;11,"1090","1110"))))))),IF(G394*1000&lt;=1570,IF(N394&lt;1.8,"",IF(N394&lt;2.9,"2018",IF(N394&lt;3.8,"2029",IF(N394&lt;5,"2038",IF(N394&lt;7,"2050",IF(N394&lt;9,"2070",IF(N394&lt;11,"2090","2110"))))))),IF(G394*1000&lt;=1700,IF(N394&lt;1.8,"",IF(N394&lt;2.9,"3018",IF(N394&lt;3.8,"3029",IF(N394&lt;5,"3038",IF(N394&lt;7,"3050",IF(N394&lt;9,"3070",IF(N394&lt;11,"3090","3110"))))))),""))))</f>
        <v/>
      </c>
      <c r="Q394">
        <f>AND(O394=TRUE,P394&lt;&gt;"")</f>
        <v/>
      </c>
      <c r="R394">
        <f>IF(G394*1000&lt;750,"なし","あり")</f>
        <v/>
      </c>
      <c r="S394">
        <f>IF(AND(O394=TRUE,Q394=TRUE),"設定可","BLOCK")</f>
        <v/>
      </c>
      <c r="T394" t="inlineStr">
        <is>
          <t>商品カタログ P194</t>
        </is>
      </c>
      <c r="U394" t="inlineStr">
        <is>
          <t>https://webcatalog.lixil.co.jp/iportal/CatalogDetail.do?catalogID=15191910000&amp;categoryID=1630000&amp;designID=newinter&amp;method=initial_screen&amp;position=18&amp;type=mc&amp;volumeID=LXL13001</t>
        </is>
      </c>
    </row>
    <row r="395">
      <c r="A395" t="inlineStr">
        <is>
          <t>WG-SL-00392</t>
        </is>
      </c>
      <c r="B395" t="inlineStr">
        <is>
          <t>SZ-SL-000989</t>
        </is>
      </c>
      <c r="C395" t="inlineStr">
        <is>
          <t>WT-SL-MENKOSHI-AGE-FS</t>
        </is>
      </c>
      <c r="D395" t="inlineStr">
        <is>
          <t>SP-SL-AGE-GRILLE-DIA</t>
        </is>
      </c>
      <c r="E395" t="inlineStr">
        <is>
          <t>07409</t>
        </is>
      </c>
      <c r="F395" t="n">
        <v>0.78</v>
      </c>
      <c r="G395" t="n">
        <v>0.97</v>
      </c>
      <c r="H395" t="inlineStr">
        <is>
          <t>GL-SL-005</t>
        </is>
      </c>
      <c r="I395" t="n">
        <v>7</v>
      </c>
      <c r="J395" t="n">
        <v>9.1</v>
      </c>
      <c r="K395" t="n">
        <v>-0.48</v>
      </c>
      <c r="L395" t="n">
        <v>-0.998</v>
      </c>
      <c r="M395" t="n">
        <v>0.367</v>
      </c>
      <c r="N395">
        <f>ROUND(J395*F395*G395+K395*G395+L395*F395+M395,3)</f>
        <v/>
      </c>
      <c r="O395">
        <f>AND(N395&gt;=1.4,N395&lt;=13)</f>
        <v/>
      </c>
      <c r="P395">
        <f>IF(OR(N395&lt;1.4,N395&gt;13),"",IF(G395*1000&lt;=1170,IF(N395&lt;1.8,"1014",IF(N395&lt;2.9,"1018",IF(N395&lt;3.8,"1029",IF(N395&lt;5,"1038",IF(N395&lt;7,"1050",IF(N395&lt;9,"1070",IF(N395&lt;11,"1090","1110"))))))),IF(G395*1000&lt;=1570,IF(N395&lt;1.8,"",IF(N395&lt;2.9,"2018",IF(N395&lt;3.8,"2029",IF(N395&lt;5,"2038",IF(N395&lt;7,"2050",IF(N395&lt;9,"2070",IF(N395&lt;11,"2090","2110"))))))),IF(G395*1000&lt;=1700,IF(N395&lt;1.8,"",IF(N395&lt;2.9,"3018",IF(N395&lt;3.8,"3029",IF(N395&lt;5,"3038",IF(N395&lt;7,"3050",IF(N395&lt;9,"3070",IF(N395&lt;11,"3090","3110"))))))),""))))</f>
        <v/>
      </c>
      <c r="Q395">
        <f>AND(O395=TRUE,P395&lt;&gt;"")</f>
        <v/>
      </c>
      <c r="R395">
        <f>IF(G395*1000&lt;750,"なし","あり")</f>
        <v/>
      </c>
      <c r="S395">
        <f>IF(AND(O395=TRUE,Q395=TRUE),"設定可","BLOCK")</f>
        <v/>
      </c>
      <c r="T395" t="inlineStr">
        <is>
          <t>商品カタログ P194</t>
        </is>
      </c>
      <c r="U395" t="inlineStr">
        <is>
          <t>https://webcatalog.lixil.co.jp/iportal/CatalogDetail.do?catalogID=15191910000&amp;categoryID=1630000&amp;designID=newinter&amp;method=initial_screen&amp;position=18&amp;type=mc&amp;volumeID=LXL13001</t>
        </is>
      </c>
    </row>
    <row r="396">
      <c r="A396" t="inlineStr">
        <is>
          <t>WG-SL-00393</t>
        </is>
      </c>
      <c r="B396" t="inlineStr">
        <is>
          <t>SZ-SL-000989</t>
        </is>
      </c>
      <c r="C396" t="inlineStr">
        <is>
          <t>WT-SL-MENKOSHI-AGE-FS</t>
        </is>
      </c>
      <c r="D396" t="inlineStr">
        <is>
          <t>SP-SL-AGE-GRILLE-DIA</t>
        </is>
      </c>
      <c r="E396" t="inlineStr">
        <is>
          <t>07409</t>
        </is>
      </c>
      <c r="F396" t="n">
        <v>0.78</v>
      </c>
      <c r="G396" t="n">
        <v>0.97</v>
      </c>
      <c r="H396" t="inlineStr">
        <is>
          <t>GL-SL-006</t>
        </is>
      </c>
      <c r="I396" t="n">
        <v>8</v>
      </c>
      <c r="J396" t="n">
        <v>10.4</v>
      </c>
      <c r="K396" t="n">
        <v>-0.605</v>
      </c>
      <c r="L396" t="n">
        <v>-1.332</v>
      </c>
      <c r="M396" t="n">
        <v>0.399</v>
      </c>
      <c r="N396">
        <f>ROUND(J396*F396*G396+K396*G396+L396*F396+M396,3)</f>
        <v/>
      </c>
      <c r="O396">
        <f>AND(N396&gt;=1.4,N396&lt;=13)</f>
        <v/>
      </c>
      <c r="P396">
        <f>IF(OR(N396&lt;1.4,N396&gt;13),"",IF(G396*1000&lt;=1170,IF(N396&lt;1.8,"1014",IF(N396&lt;2.9,"1018",IF(N396&lt;3.8,"1029",IF(N396&lt;5,"1038",IF(N396&lt;7,"1050",IF(N396&lt;9,"1070",IF(N396&lt;11,"1090","1110"))))))),IF(G396*1000&lt;=1570,IF(N396&lt;1.8,"",IF(N396&lt;2.9,"2018",IF(N396&lt;3.8,"2029",IF(N396&lt;5,"2038",IF(N396&lt;7,"2050",IF(N396&lt;9,"2070",IF(N396&lt;11,"2090","2110"))))))),IF(G396*1000&lt;=1700,IF(N396&lt;1.8,"",IF(N396&lt;2.9,"3018",IF(N396&lt;3.8,"3029",IF(N396&lt;5,"3038",IF(N396&lt;7,"3050",IF(N396&lt;9,"3070",IF(N396&lt;11,"3090","3110"))))))),""))))</f>
        <v/>
      </c>
      <c r="Q396">
        <f>AND(O396=TRUE,P396&lt;&gt;"")</f>
        <v/>
      </c>
      <c r="R396">
        <f>IF(G396*1000&lt;750,"なし","あり")</f>
        <v/>
      </c>
      <c r="S396">
        <f>IF(AND(O396=TRUE,Q396=TRUE),"設定可","BLOCK")</f>
        <v/>
      </c>
      <c r="T396" t="inlineStr">
        <is>
          <t>商品カタログ P194</t>
        </is>
      </c>
      <c r="U396" t="inlineStr">
        <is>
          <t>https://webcatalog.lixil.co.jp/iportal/CatalogDetail.do?catalogID=15191910000&amp;categoryID=1630000&amp;designID=newinter&amp;method=initial_screen&amp;position=18&amp;type=mc&amp;volumeID=LXL13001</t>
        </is>
      </c>
    </row>
    <row r="397">
      <c r="A397" t="inlineStr">
        <is>
          <t>WG-SL-00394</t>
        </is>
      </c>
      <c r="B397" t="inlineStr">
        <is>
          <t>SZ-SL-000989</t>
        </is>
      </c>
      <c r="C397" t="inlineStr">
        <is>
          <t>WT-SL-MENKOSHI-AGE-FS</t>
        </is>
      </c>
      <c r="D397" t="inlineStr">
        <is>
          <t>SP-SL-AGE-GRILLE-DIA</t>
        </is>
      </c>
      <c r="E397" t="inlineStr">
        <is>
          <t>07409</t>
        </is>
      </c>
      <c r="F397" t="n">
        <v>0.78</v>
      </c>
      <c r="G397" t="n">
        <v>0.97</v>
      </c>
      <c r="H397" t="inlineStr">
        <is>
          <t>GL-SL-007</t>
        </is>
      </c>
      <c r="I397" t="n">
        <v>6</v>
      </c>
      <c r="J397" t="n">
        <v>7.8</v>
      </c>
      <c r="K397" t="n">
        <v>-0.355</v>
      </c>
      <c r="L397" t="n">
        <v>-0.664</v>
      </c>
      <c r="M397" t="n">
        <v>0.335</v>
      </c>
      <c r="N397">
        <f>ROUND(J397*F397*G397+K397*G397+L397*F397+M397,3)</f>
        <v/>
      </c>
      <c r="O397">
        <f>AND(N397&gt;=1.4,N397&lt;=13)</f>
        <v/>
      </c>
      <c r="P397">
        <f>IF(OR(N397&lt;1.4,N397&gt;13),"",IF(G397*1000&lt;=1170,IF(N397&lt;1.8,"1014",IF(N397&lt;2.9,"1018",IF(N397&lt;3.8,"1029",IF(N397&lt;5,"1038",IF(N397&lt;7,"1050",IF(N397&lt;9,"1070",IF(N397&lt;11,"1090","1110"))))))),IF(G397*1000&lt;=1570,IF(N397&lt;1.8,"",IF(N397&lt;2.9,"2018",IF(N397&lt;3.8,"2029",IF(N397&lt;5,"2038",IF(N397&lt;7,"2050",IF(N397&lt;9,"2070",IF(N397&lt;11,"2090","2110"))))))),IF(G397*1000&lt;=1700,IF(N397&lt;1.8,"",IF(N397&lt;2.9,"3018",IF(N397&lt;3.8,"3029",IF(N397&lt;5,"3038",IF(N397&lt;7,"3050",IF(N397&lt;9,"3070",IF(N397&lt;11,"3090","3110"))))))),""))))</f>
        <v/>
      </c>
      <c r="Q397">
        <f>AND(O397=TRUE,P397&lt;&gt;"")</f>
        <v/>
      </c>
      <c r="R397">
        <f>IF(G397*1000&lt;750,"なし","あり")</f>
        <v/>
      </c>
      <c r="S397">
        <f>IF(AND(O397=TRUE,Q397=TRUE),"設定可","BLOCK")</f>
        <v/>
      </c>
      <c r="T397" t="inlineStr">
        <is>
          <t>商品カタログ P194</t>
        </is>
      </c>
      <c r="U397" t="inlineStr">
        <is>
          <t>https://webcatalog.lixil.co.jp/iportal/CatalogDetail.do?catalogID=15191910000&amp;categoryID=1630000&amp;designID=newinter&amp;method=initial_screen&amp;position=18&amp;type=mc&amp;volumeID=LXL13001</t>
        </is>
      </c>
    </row>
    <row r="398">
      <c r="A398" t="inlineStr">
        <is>
          <t>WG-SL-00395</t>
        </is>
      </c>
      <c r="B398" t="inlineStr">
        <is>
          <t>SZ-SL-000989</t>
        </is>
      </c>
      <c r="C398" t="inlineStr">
        <is>
          <t>WT-SL-MENKOSHI-AGE-FS</t>
        </is>
      </c>
      <c r="D398" t="inlineStr">
        <is>
          <t>SP-SL-AGE-GRILLE-DIA</t>
        </is>
      </c>
      <c r="E398" t="inlineStr">
        <is>
          <t>07409</t>
        </is>
      </c>
      <c r="F398" t="n">
        <v>0.78</v>
      </c>
      <c r="G398" t="n">
        <v>0.97</v>
      </c>
      <c r="H398" t="inlineStr">
        <is>
          <t>GL-SL-008</t>
        </is>
      </c>
      <c r="I398" t="n">
        <v>7</v>
      </c>
      <c r="J398" t="n">
        <v>9.1</v>
      </c>
      <c r="K398" t="n">
        <v>-0.48</v>
      </c>
      <c r="L398" t="n">
        <v>-0.998</v>
      </c>
      <c r="M398" t="n">
        <v>0.367</v>
      </c>
      <c r="N398">
        <f>ROUND(J398*F398*G398+K398*G398+L398*F398+M398,3)</f>
        <v/>
      </c>
      <c r="O398">
        <f>AND(N398&gt;=1.4,N398&lt;=13)</f>
        <v/>
      </c>
      <c r="P398">
        <f>IF(OR(N398&lt;1.4,N398&gt;13),"",IF(G398*1000&lt;=1170,IF(N398&lt;1.8,"1014",IF(N398&lt;2.9,"1018",IF(N398&lt;3.8,"1029",IF(N398&lt;5,"1038",IF(N398&lt;7,"1050",IF(N398&lt;9,"1070",IF(N398&lt;11,"1090","1110"))))))),IF(G398*1000&lt;=1570,IF(N398&lt;1.8,"",IF(N398&lt;2.9,"2018",IF(N398&lt;3.8,"2029",IF(N398&lt;5,"2038",IF(N398&lt;7,"2050",IF(N398&lt;9,"2070",IF(N398&lt;11,"2090","2110"))))))),IF(G398*1000&lt;=1700,IF(N398&lt;1.8,"",IF(N398&lt;2.9,"3018",IF(N398&lt;3.8,"3029",IF(N398&lt;5,"3038",IF(N398&lt;7,"3050",IF(N398&lt;9,"3070",IF(N398&lt;11,"3090","3110"))))))),""))))</f>
        <v/>
      </c>
      <c r="Q398">
        <f>AND(O398=TRUE,P398&lt;&gt;"")</f>
        <v/>
      </c>
      <c r="R398">
        <f>IF(G398*1000&lt;750,"なし","あり")</f>
        <v/>
      </c>
      <c r="S398">
        <f>IF(AND(O398=TRUE,Q398=TRUE),"設定可","BLOCK")</f>
        <v/>
      </c>
      <c r="T398" t="inlineStr">
        <is>
          <t>商品カタログ P194</t>
        </is>
      </c>
      <c r="U398" t="inlineStr">
        <is>
          <t>https://webcatalog.lixil.co.jp/iportal/CatalogDetail.do?catalogID=15191910000&amp;categoryID=1630000&amp;designID=newinter&amp;method=initial_screen&amp;position=18&amp;type=mc&amp;volumeID=LXL13001</t>
        </is>
      </c>
    </row>
    <row r="399">
      <c r="A399" t="inlineStr">
        <is>
          <t>WG-SL-00396</t>
        </is>
      </c>
      <c r="B399" t="inlineStr">
        <is>
          <t>SZ-SL-000989</t>
        </is>
      </c>
      <c r="C399" t="inlineStr">
        <is>
          <t>WT-SL-MENKOSHI-AGE-FS</t>
        </is>
      </c>
      <c r="D399" t="inlineStr">
        <is>
          <t>SP-SL-AGE-GRILLE-DIA</t>
        </is>
      </c>
      <c r="E399" t="inlineStr">
        <is>
          <t>07409</t>
        </is>
      </c>
      <c r="F399" t="n">
        <v>0.78</v>
      </c>
      <c r="G399" t="n">
        <v>0.97</v>
      </c>
      <c r="H399" t="inlineStr">
        <is>
          <t>GL-SL-009</t>
        </is>
      </c>
      <c r="I399" t="n">
        <v>8</v>
      </c>
      <c r="J399" t="n">
        <v>10.4</v>
      </c>
      <c r="K399" t="n">
        <v>-0.605</v>
      </c>
      <c r="L399" t="n">
        <v>-1.332</v>
      </c>
      <c r="M399" t="n">
        <v>0.399</v>
      </c>
      <c r="N399">
        <f>ROUND(J399*F399*G399+K399*G399+L399*F399+M399,3)</f>
        <v/>
      </c>
      <c r="O399">
        <f>AND(N399&gt;=1.4,N399&lt;=13)</f>
        <v/>
      </c>
      <c r="P399">
        <f>IF(OR(N399&lt;1.4,N399&gt;13),"",IF(G399*1000&lt;=1170,IF(N399&lt;1.8,"1014",IF(N399&lt;2.9,"1018",IF(N399&lt;3.8,"1029",IF(N399&lt;5,"1038",IF(N399&lt;7,"1050",IF(N399&lt;9,"1070",IF(N399&lt;11,"1090","1110"))))))),IF(G399*1000&lt;=1570,IF(N399&lt;1.8,"",IF(N399&lt;2.9,"2018",IF(N399&lt;3.8,"2029",IF(N399&lt;5,"2038",IF(N399&lt;7,"2050",IF(N399&lt;9,"2070",IF(N399&lt;11,"2090","2110"))))))),IF(G399*1000&lt;=1700,IF(N399&lt;1.8,"",IF(N399&lt;2.9,"3018",IF(N399&lt;3.8,"3029",IF(N399&lt;5,"3038",IF(N399&lt;7,"3050",IF(N399&lt;9,"3070",IF(N399&lt;11,"3090","3110"))))))),""))))</f>
        <v/>
      </c>
      <c r="Q399">
        <f>AND(O399=TRUE,P399&lt;&gt;"")</f>
        <v/>
      </c>
      <c r="R399">
        <f>IF(G399*1000&lt;750,"なし","あり")</f>
        <v/>
      </c>
      <c r="S399">
        <f>IF(AND(O399=TRUE,Q399=TRUE),"設定可","BLOCK")</f>
        <v/>
      </c>
      <c r="T399" t="inlineStr">
        <is>
          <t>商品カタログ P194</t>
        </is>
      </c>
      <c r="U399" t="inlineStr">
        <is>
          <t>https://webcatalog.lixil.co.jp/iportal/CatalogDetail.do?catalogID=15191910000&amp;categoryID=1630000&amp;designID=newinter&amp;method=initial_screen&amp;position=18&amp;type=mc&amp;volumeID=LXL13001</t>
        </is>
      </c>
    </row>
    <row r="400">
      <c r="A400" t="inlineStr">
        <is>
          <t>WG-SL-00397</t>
        </is>
      </c>
      <c r="B400" t="inlineStr">
        <is>
          <t>SZ-SL-000990</t>
        </is>
      </c>
      <c r="C400" t="inlineStr">
        <is>
          <t>WT-SL-MENKOSHI-AGE-FS</t>
        </is>
      </c>
      <c r="D400" t="inlineStr">
        <is>
          <t>SP-SL-AGE-GRILLE-H</t>
        </is>
      </c>
      <c r="E400" t="inlineStr">
        <is>
          <t>02609</t>
        </is>
      </c>
      <c r="F400" t="n">
        <v>0.3</v>
      </c>
      <c r="G400" t="n">
        <v>0.97</v>
      </c>
      <c r="H400" t="inlineStr">
        <is>
          <t>GL-SL-001</t>
        </is>
      </c>
      <c r="I400" t="n">
        <v>6</v>
      </c>
      <c r="J400" t="n">
        <v>7.8</v>
      </c>
      <c r="K400" t="n">
        <v>-0.355</v>
      </c>
      <c r="L400" t="n">
        <v>-0.664</v>
      </c>
      <c r="M400" t="n">
        <v>0.335</v>
      </c>
      <c r="N400">
        <f>ROUND(J400*F400*G400+K400*G400+L400*F400+M400,3)</f>
        <v/>
      </c>
      <c r="O400">
        <f>AND(N400&gt;=1.4,N400&lt;=13)</f>
        <v/>
      </c>
      <c r="P400">
        <f>IF(OR(N400&lt;1.4,N400&gt;13),"",IF(G400*1000&lt;=1170,IF(N400&lt;1.8,"1014",IF(N400&lt;2.9,"1018",IF(N400&lt;3.8,"1029",IF(N400&lt;5,"1038",IF(N400&lt;7,"1050",IF(N400&lt;9,"1070",IF(N400&lt;11,"1090","1110"))))))),IF(G400*1000&lt;=1570,IF(N400&lt;1.8,"",IF(N400&lt;2.9,"2018",IF(N400&lt;3.8,"2029",IF(N400&lt;5,"2038",IF(N400&lt;7,"2050",IF(N400&lt;9,"2070",IF(N400&lt;11,"2090","2110"))))))),IF(G400*1000&lt;=1700,IF(N400&lt;1.8,"",IF(N400&lt;2.9,"3018",IF(N400&lt;3.8,"3029",IF(N400&lt;5,"3038",IF(N400&lt;7,"3050",IF(N400&lt;9,"3070",IF(N400&lt;11,"3090","3110"))))))),""))))</f>
        <v/>
      </c>
      <c r="Q400">
        <f>AND(O400=TRUE,P400&lt;&gt;"")</f>
        <v/>
      </c>
      <c r="R400">
        <f>IF(G400*1000&lt;750,"なし","あり")</f>
        <v/>
      </c>
      <c r="S400">
        <f>IF(AND(O400=TRUE,Q400=TRUE),"設定可","BLOCK")</f>
        <v/>
      </c>
      <c r="T400" t="inlineStr">
        <is>
          <t>商品カタログ P194</t>
        </is>
      </c>
      <c r="U400" t="inlineStr">
        <is>
          <t>https://webcatalog.lixil.co.jp/iportal/CatalogDetail.do?catalogID=15191910000&amp;categoryID=1630000&amp;designID=newinter&amp;method=initial_screen&amp;position=18&amp;type=mc&amp;volumeID=LXL13001</t>
        </is>
      </c>
    </row>
    <row r="401">
      <c r="A401" t="inlineStr">
        <is>
          <t>WG-SL-00398</t>
        </is>
      </c>
      <c r="B401" t="inlineStr">
        <is>
          <t>SZ-SL-000990</t>
        </is>
      </c>
      <c r="C401" t="inlineStr">
        <is>
          <t>WT-SL-MENKOSHI-AGE-FS</t>
        </is>
      </c>
      <c r="D401" t="inlineStr">
        <is>
          <t>SP-SL-AGE-GRILLE-H</t>
        </is>
      </c>
      <c r="E401" t="inlineStr">
        <is>
          <t>02609</t>
        </is>
      </c>
      <c r="F401" t="n">
        <v>0.3</v>
      </c>
      <c r="G401" t="n">
        <v>0.97</v>
      </c>
      <c r="H401" t="inlineStr">
        <is>
          <t>GL-SL-002</t>
        </is>
      </c>
      <c r="I401" t="n">
        <v>7</v>
      </c>
      <c r="J401" t="n">
        <v>9.1</v>
      </c>
      <c r="K401" t="n">
        <v>-0.48</v>
      </c>
      <c r="L401" t="n">
        <v>-0.998</v>
      </c>
      <c r="M401" t="n">
        <v>0.367</v>
      </c>
      <c r="N401">
        <f>ROUND(J401*F401*G401+K401*G401+L401*F401+M401,3)</f>
        <v/>
      </c>
      <c r="O401">
        <f>AND(N401&gt;=1.4,N401&lt;=13)</f>
        <v/>
      </c>
      <c r="P401">
        <f>IF(OR(N401&lt;1.4,N401&gt;13),"",IF(G401*1000&lt;=1170,IF(N401&lt;1.8,"1014",IF(N401&lt;2.9,"1018",IF(N401&lt;3.8,"1029",IF(N401&lt;5,"1038",IF(N401&lt;7,"1050",IF(N401&lt;9,"1070",IF(N401&lt;11,"1090","1110"))))))),IF(G401*1000&lt;=1570,IF(N401&lt;1.8,"",IF(N401&lt;2.9,"2018",IF(N401&lt;3.8,"2029",IF(N401&lt;5,"2038",IF(N401&lt;7,"2050",IF(N401&lt;9,"2070",IF(N401&lt;11,"2090","2110"))))))),IF(G401*1000&lt;=1700,IF(N401&lt;1.8,"",IF(N401&lt;2.9,"3018",IF(N401&lt;3.8,"3029",IF(N401&lt;5,"3038",IF(N401&lt;7,"3050",IF(N401&lt;9,"3070",IF(N401&lt;11,"3090","3110"))))))),""))))</f>
        <v/>
      </c>
      <c r="Q401">
        <f>AND(O401=TRUE,P401&lt;&gt;"")</f>
        <v/>
      </c>
      <c r="R401">
        <f>IF(G401*1000&lt;750,"なし","あり")</f>
        <v/>
      </c>
      <c r="S401">
        <f>IF(AND(O401=TRUE,Q401=TRUE),"設定可","BLOCK")</f>
        <v/>
      </c>
      <c r="T401" t="inlineStr">
        <is>
          <t>商品カタログ P194</t>
        </is>
      </c>
      <c r="U401" t="inlineStr">
        <is>
          <t>https://webcatalog.lixil.co.jp/iportal/CatalogDetail.do?catalogID=15191910000&amp;categoryID=1630000&amp;designID=newinter&amp;method=initial_screen&amp;position=18&amp;type=mc&amp;volumeID=LXL13001</t>
        </is>
      </c>
    </row>
    <row r="402">
      <c r="A402" t="inlineStr">
        <is>
          <t>WG-SL-00399</t>
        </is>
      </c>
      <c r="B402" t="inlineStr">
        <is>
          <t>SZ-SL-000990</t>
        </is>
      </c>
      <c r="C402" t="inlineStr">
        <is>
          <t>WT-SL-MENKOSHI-AGE-FS</t>
        </is>
      </c>
      <c r="D402" t="inlineStr">
        <is>
          <t>SP-SL-AGE-GRILLE-H</t>
        </is>
      </c>
      <c r="E402" t="inlineStr">
        <is>
          <t>02609</t>
        </is>
      </c>
      <c r="F402" t="n">
        <v>0.3</v>
      </c>
      <c r="G402" t="n">
        <v>0.97</v>
      </c>
      <c r="H402" t="inlineStr">
        <is>
          <t>GL-SL-003</t>
        </is>
      </c>
      <c r="I402" t="n">
        <v>8</v>
      </c>
      <c r="J402" t="n">
        <v>10.4</v>
      </c>
      <c r="K402" t="n">
        <v>-0.605</v>
      </c>
      <c r="L402" t="n">
        <v>-1.332</v>
      </c>
      <c r="M402" t="n">
        <v>0.399</v>
      </c>
      <c r="N402">
        <f>ROUND(J402*F402*G402+K402*G402+L402*F402+M402,3)</f>
        <v/>
      </c>
      <c r="O402">
        <f>AND(N402&gt;=1.4,N402&lt;=13)</f>
        <v/>
      </c>
      <c r="P402">
        <f>IF(OR(N402&lt;1.4,N402&gt;13),"",IF(G402*1000&lt;=1170,IF(N402&lt;1.8,"1014",IF(N402&lt;2.9,"1018",IF(N402&lt;3.8,"1029",IF(N402&lt;5,"1038",IF(N402&lt;7,"1050",IF(N402&lt;9,"1070",IF(N402&lt;11,"1090","1110"))))))),IF(G402*1000&lt;=1570,IF(N402&lt;1.8,"",IF(N402&lt;2.9,"2018",IF(N402&lt;3.8,"2029",IF(N402&lt;5,"2038",IF(N402&lt;7,"2050",IF(N402&lt;9,"2070",IF(N402&lt;11,"2090","2110"))))))),IF(G402*1000&lt;=1700,IF(N402&lt;1.8,"",IF(N402&lt;2.9,"3018",IF(N402&lt;3.8,"3029",IF(N402&lt;5,"3038",IF(N402&lt;7,"3050",IF(N402&lt;9,"3070",IF(N402&lt;11,"3090","3110"))))))),""))))</f>
        <v/>
      </c>
      <c r="Q402">
        <f>AND(O402=TRUE,P402&lt;&gt;"")</f>
        <v/>
      </c>
      <c r="R402">
        <f>IF(G402*1000&lt;750,"なし","あり")</f>
        <v/>
      </c>
      <c r="S402">
        <f>IF(AND(O402=TRUE,Q402=TRUE),"設定可","BLOCK")</f>
        <v/>
      </c>
      <c r="T402" t="inlineStr">
        <is>
          <t>商品カタログ P194</t>
        </is>
      </c>
      <c r="U402" t="inlineStr">
        <is>
          <t>https://webcatalog.lixil.co.jp/iportal/CatalogDetail.do?catalogID=15191910000&amp;categoryID=1630000&amp;designID=newinter&amp;method=initial_screen&amp;position=18&amp;type=mc&amp;volumeID=LXL13001</t>
        </is>
      </c>
    </row>
    <row r="403">
      <c r="A403" t="inlineStr">
        <is>
          <t>WG-SL-00400</t>
        </is>
      </c>
      <c r="B403" t="inlineStr">
        <is>
          <t>SZ-SL-000990</t>
        </is>
      </c>
      <c r="C403" t="inlineStr">
        <is>
          <t>WT-SL-MENKOSHI-AGE-FS</t>
        </is>
      </c>
      <c r="D403" t="inlineStr">
        <is>
          <t>SP-SL-AGE-GRILLE-H</t>
        </is>
      </c>
      <c r="E403" t="inlineStr">
        <is>
          <t>02609</t>
        </is>
      </c>
      <c r="F403" t="n">
        <v>0.3</v>
      </c>
      <c r="G403" t="n">
        <v>0.97</v>
      </c>
      <c r="H403" t="inlineStr">
        <is>
          <t>GL-SL-004</t>
        </is>
      </c>
      <c r="I403" t="n">
        <v>6</v>
      </c>
      <c r="J403" t="n">
        <v>7.8</v>
      </c>
      <c r="K403" t="n">
        <v>-0.355</v>
      </c>
      <c r="L403" t="n">
        <v>-0.664</v>
      </c>
      <c r="M403" t="n">
        <v>0.335</v>
      </c>
      <c r="N403">
        <f>ROUND(J403*F403*G403+K403*G403+L403*F403+M403,3)</f>
        <v/>
      </c>
      <c r="O403">
        <f>AND(N403&gt;=1.4,N403&lt;=13)</f>
        <v/>
      </c>
      <c r="P403">
        <f>IF(OR(N403&lt;1.4,N403&gt;13),"",IF(G403*1000&lt;=1170,IF(N403&lt;1.8,"1014",IF(N403&lt;2.9,"1018",IF(N403&lt;3.8,"1029",IF(N403&lt;5,"1038",IF(N403&lt;7,"1050",IF(N403&lt;9,"1070",IF(N403&lt;11,"1090","1110"))))))),IF(G403*1000&lt;=1570,IF(N403&lt;1.8,"",IF(N403&lt;2.9,"2018",IF(N403&lt;3.8,"2029",IF(N403&lt;5,"2038",IF(N403&lt;7,"2050",IF(N403&lt;9,"2070",IF(N403&lt;11,"2090","2110"))))))),IF(G403*1000&lt;=1700,IF(N403&lt;1.8,"",IF(N403&lt;2.9,"3018",IF(N403&lt;3.8,"3029",IF(N403&lt;5,"3038",IF(N403&lt;7,"3050",IF(N403&lt;9,"3070",IF(N403&lt;11,"3090","3110"))))))),""))))</f>
        <v/>
      </c>
      <c r="Q403">
        <f>AND(O403=TRUE,P403&lt;&gt;"")</f>
        <v/>
      </c>
      <c r="R403">
        <f>IF(G403*1000&lt;750,"なし","あり")</f>
        <v/>
      </c>
      <c r="S403">
        <f>IF(AND(O403=TRUE,Q403=TRUE),"設定可","BLOCK")</f>
        <v/>
      </c>
      <c r="T403" t="inlineStr">
        <is>
          <t>商品カタログ P194</t>
        </is>
      </c>
      <c r="U403" t="inlineStr">
        <is>
          <t>https://webcatalog.lixil.co.jp/iportal/CatalogDetail.do?catalogID=15191910000&amp;categoryID=1630000&amp;designID=newinter&amp;method=initial_screen&amp;position=18&amp;type=mc&amp;volumeID=LXL13001</t>
        </is>
      </c>
    </row>
    <row r="404">
      <c r="A404" t="inlineStr">
        <is>
          <t>WG-SL-00401</t>
        </is>
      </c>
      <c r="B404" t="inlineStr">
        <is>
          <t>SZ-SL-000990</t>
        </is>
      </c>
      <c r="C404" t="inlineStr">
        <is>
          <t>WT-SL-MENKOSHI-AGE-FS</t>
        </is>
      </c>
      <c r="D404" t="inlineStr">
        <is>
          <t>SP-SL-AGE-GRILLE-H</t>
        </is>
      </c>
      <c r="E404" t="inlineStr">
        <is>
          <t>02609</t>
        </is>
      </c>
      <c r="F404" t="n">
        <v>0.3</v>
      </c>
      <c r="G404" t="n">
        <v>0.97</v>
      </c>
      <c r="H404" t="inlineStr">
        <is>
          <t>GL-SL-005</t>
        </is>
      </c>
      <c r="I404" t="n">
        <v>7</v>
      </c>
      <c r="J404" t="n">
        <v>9.1</v>
      </c>
      <c r="K404" t="n">
        <v>-0.48</v>
      </c>
      <c r="L404" t="n">
        <v>-0.998</v>
      </c>
      <c r="M404" t="n">
        <v>0.367</v>
      </c>
      <c r="N404">
        <f>ROUND(J404*F404*G404+K404*G404+L404*F404+M404,3)</f>
        <v/>
      </c>
      <c r="O404">
        <f>AND(N404&gt;=1.4,N404&lt;=13)</f>
        <v/>
      </c>
      <c r="P404">
        <f>IF(OR(N404&lt;1.4,N404&gt;13),"",IF(G404*1000&lt;=1170,IF(N404&lt;1.8,"1014",IF(N404&lt;2.9,"1018",IF(N404&lt;3.8,"1029",IF(N404&lt;5,"1038",IF(N404&lt;7,"1050",IF(N404&lt;9,"1070",IF(N404&lt;11,"1090","1110"))))))),IF(G404*1000&lt;=1570,IF(N404&lt;1.8,"",IF(N404&lt;2.9,"2018",IF(N404&lt;3.8,"2029",IF(N404&lt;5,"2038",IF(N404&lt;7,"2050",IF(N404&lt;9,"2070",IF(N404&lt;11,"2090","2110"))))))),IF(G404*1000&lt;=1700,IF(N404&lt;1.8,"",IF(N404&lt;2.9,"3018",IF(N404&lt;3.8,"3029",IF(N404&lt;5,"3038",IF(N404&lt;7,"3050",IF(N404&lt;9,"3070",IF(N404&lt;11,"3090","3110"))))))),""))))</f>
        <v/>
      </c>
      <c r="Q404">
        <f>AND(O404=TRUE,P404&lt;&gt;"")</f>
        <v/>
      </c>
      <c r="R404">
        <f>IF(G404*1000&lt;750,"なし","あり")</f>
        <v/>
      </c>
      <c r="S404">
        <f>IF(AND(O404=TRUE,Q404=TRUE),"設定可","BLOCK")</f>
        <v/>
      </c>
      <c r="T404" t="inlineStr">
        <is>
          <t>商品カタログ P194</t>
        </is>
      </c>
      <c r="U404" t="inlineStr">
        <is>
          <t>https://webcatalog.lixil.co.jp/iportal/CatalogDetail.do?catalogID=15191910000&amp;categoryID=1630000&amp;designID=newinter&amp;method=initial_screen&amp;position=18&amp;type=mc&amp;volumeID=LXL13001</t>
        </is>
      </c>
    </row>
    <row r="405">
      <c r="A405" t="inlineStr">
        <is>
          <t>WG-SL-00402</t>
        </is>
      </c>
      <c r="B405" t="inlineStr">
        <is>
          <t>SZ-SL-000990</t>
        </is>
      </c>
      <c r="C405" t="inlineStr">
        <is>
          <t>WT-SL-MENKOSHI-AGE-FS</t>
        </is>
      </c>
      <c r="D405" t="inlineStr">
        <is>
          <t>SP-SL-AGE-GRILLE-H</t>
        </is>
      </c>
      <c r="E405" t="inlineStr">
        <is>
          <t>02609</t>
        </is>
      </c>
      <c r="F405" t="n">
        <v>0.3</v>
      </c>
      <c r="G405" t="n">
        <v>0.97</v>
      </c>
      <c r="H405" t="inlineStr">
        <is>
          <t>GL-SL-006</t>
        </is>
      </c>
      <c r="I405" t="n">
        <v>8</v>
      </c>
      <c r="J405" t="n">
        <v>10.4</v>
      </c>
      <c r="K405" t="n">
        <v>-0.605</v>
      </c>
      <c r="L405" t="n">
        <v>-1.332</v>
      </c>
      <c r="M405" t="n">
        <v>0.399</v>
      </c>
      <c r="N405">
        <f>ROUND(J405*F405*G405+K405*G405+L405*F405+M405,3)</f>
        <v/>
      </c>
      <c r="O405">
        <f>AND(N405&gt;=1.4,N405&lt;=13)</f>
        <v/>
      </c>
      <c r="P405">
        <f>IF(OR(N405&lt;1.4,N405&gt;13),"",IF(G405*1000&lt;=1170,IF(N405&lt;1.8,"1014",IF(N405&lt;2.9,"1018",IF(N405&lt;3.8,"1029",IF(N405&lt;5,"1038",IF(N405&lt;7,"1050",IF(N405&lt;9,"1070",IF(N405&lt;11,"1090","1110"))))))),IF(G405*1000&lt;=1570,IF(N405&lt;1.8,"",IF(N405&lt;2.9,"2018",IF(N405&lt;3.8,"2029",IF(N405&lt;5,"2038",IF(N405&lt;7,"2050",IF(N405&lt;9,"2070",IF(N405&lt;11,"2090","2110"))))))),IF(G405*1000&lt;=1700,IF(N405&lt;1.8,"",IF(N405&lt;2.9,"3018",IF(N405&lt;3.8,"3029",IF(N405&lt;5,"3038",IF(N405&lt;7,"3050",IF(N405&lt;9,"3070",IF(N405&lt;11,"3090","3110"))))))),""))))</f>
        <v/>
      </c>
      <c r="Q405">
        <f>AND(O405=TRUE,P405&lt;&gt;"")</f>
        <v/>
      </c>
      <c r="R405">
        <f>IF(G405*1000&lt;750,"なし","あり")</f>
        <v/>
      </c>
      <c r="S405">
        <f>IF(AND(O405=TRUE,Q405=TRUE),"設定可","BLOCK")</f>
        <v/>
      </c>
      <c r="T405" t="inlineStr">
        <is>
          <t>商品カタログ P194</t>
        </is>
      </c>
      <c r="U405" t="inlineStr">
        <is>
          <t>https://webcatalog.lixil.co.jp/iportal/CatalogDetail.do?catalogID=15191910000&amp;categoryID=1630000&amp;designID=newinter&amp;method=initial_screen&amp;position=18&amp;type=mc&amp;volumeID=LXL13001</t>
        </is>
      </c>
    </row>
    <row r="406">
      <c r="A406" t="inlineStr">
        <is>
          <t>WG-SL-00403</t>
        </is>
      </c>
      <c r="B406" t="inlineStr">
        <is>
          <t>SZ-SL-000990</t>
        </is>
      </c>
      <c r="C406" t="inlineStr">
        <is>
          <t>WT-SL-MENKOSHI-AGE-FS</t>
        </is>
      </c>
      <c r="D406" t="inlineStr">
        <is>
          <t>SP-SL-AGE-GRILLE-H</t>
        </is>
      </c>
      <c r="E406" t="inlineStr">
        <is>
          <t>02609</t>
        </is>
      </c>
      <c r="F406" t="n">
        <v>0.3</v>
      </c>
      <c r="G406" t="n">
        <v>0.97</v>
      </c>
      <c r="H406" t="inlineStr">
        <is>
          <t>GL-SL-007</t>
        </is>
      </c>
      <c r="I406" t="n">
        <v>6</v>
      </c>
      <c r="J406" t="n">
        <v>7.8</v>
      </c>
      <c r="K406" t="n">
        <v>-0.355</v>
      </c>
      <c r="L406" t="n">
        <v>-0.664</v>
      </c>
      <c r="M406" t="n">
        <v>0.335</v>
      </c>
      <c r="N406">
        <f>ROUND(J406*F406*G406+K406*G406+L406*F406+M406,3)</f>
        <v/>
      </c>
      <c r="O406">
        <f>AND(N406&gt;=1.4,N406&lt;=13)</f>
        <v/>
      </c>
      <c r="P406">
        <f>IF(OR(N406&lt;1.4,N406&gt;13),"",IF(G406*1000&lt;=1170,IF(N406&lt;1.8,"1014",IF(N406&lt;2.9,"1018",IF(N406&lt;3.8,"1029",IF(N406&lt;5,"1038",IF(N406&lt;7,"1050",IF(N406&lt;9,"1070",IF(N406&lt;11,"1090","1110"))))))),IF(G406*1000&lt;=1570,IF(N406&lt;1.8,"",IF(N406&lt;2.9,"2018",IF(N406&lt;3.8,"2029",IF(N406&lt;5,"2038",IF(N406&lt;7,"2050",IF(N406&lt;9,"2070",IF(N406&lt;11,"2090","2110"))))))),IF(G406*1000&lt;=1700,IF(N406&lt;1.8,"",IF(N406&lt;2.9,"3018",IF(N406&lt;3.8,"3029",IF(N406&lt;5,"3038",IF(N406&lt;7,"3050",IF(N406&lt;9,"3070",IF(N406&lt;11,"3090","3110"))))))),""))))</f>
        <v/>
      </c>
      <c r="Q406">
        <f>AND(O406=TRUE,P406&lt;&gt;"")</f>
        <v/>
      </c>
      <c r="R406">
        <f>IF(G406*1000&lt;750,"なし","あり")</f>
        <v/>
      </c>
      <c r="S406">
        <f>IF(AND(O406=TRUE,Q406=TRUE),"設定可","BLOCK")</f>
        <v/>
      </c>
      <c r="T406" t="inlineStr">
        <is>
          <t>商品カタログ P194</t>
        </is>
      </c>
      <c r="U406" t="inlineStr">
        <is>
          <t>https://webcatalog.lixil.co.jp/iportal/CatalogDetail.do?catalogID=15191910000&amp;categoryID=1630000&amp;designID=newinter&amp;method=initial_screen&amp;position=18&amp;type=mc&amp;volumeID=LXL13001</t>
        </is>
      </c>
    </row>
    <row r="407">
      <c r="A407" t="inlineStr">
        <is>
          <t>WG-SL-00404</t>
        </is>
      </c>
      <c r="B407" t="inlineStr">
        <is>
          <t>SZ-SL-000990</t>
        </is>
      </c>
      <c r="C407" t="inlineStr">
        <is>
          <t>WT-SL-MENKOSHI-AGE-FS</t>
        </is>
      </c>
      <c r="D407" t="inlineStr">
        <is>
          <t>SP-SL-AGE-GRILLE-H</t>
        </is>
      </c>
      <c r="E407" t="inlineStr">
        <is>
          <t>02609</t>
        </is>
      </c>
      <c r="F407" t="n">
        <v>0.3</v>
      </c>
      <c r="G407" t="n">
        <v>0.97</v>
      </c>
      <c r="H407" t="inlineStr">
        <is>
          <t>GL-SL-008</t>
        </is>
      </c>
      <c r="I407" t="n">
        <v>7</v>
      </c>
      <c r="J407" t="n">
        <v>9.1</v>
      </c>
      <c r="K407" t="n">
        <v>-0.48</v>
      </c>
      <c r="L407" t="n">
        <v>-0.998</v>
      </c>
      <c r="M407" t="n">
        <v>0.367</v>
      </c>
      <c r="N407">
        <f>ROUND(J407*F407*G407+K407*G407+L407*F407+M407,3)</f>
        <v/>
      </c>
      <c r="O407">
        <f>AND(N407&gt;=1.4,N407&lt;=13)</f>
        <v/>
      </c>
      <c r="P407">
        <f>IF(OR(N407&lt;1.4,N407&gt;13),"",IF(G407*1000&lt;=1170,IF(N407&lt;1.8,"1014",IF(N407&lt;2.9,"1018",IF(N407&lt;3.8,"1029",IF(N407&lt;5,"1038",IF(N407&lt;7,"1050",IF(N407&lt;9,"1070",IF(N407&lt;11,"1090","1110"))))))),IF(G407*1000&lt;=1570,IF(N407&lt;1.8,"",IF(N407&lt;2.9,"2018",IF(N407&lt;3.8,"2029",IF(N407&lt;5,"2038",IF(N407&lt;7,"2050",IF(N407&lt;9,"2070",IF(N407&lt;11,"2090","2110"))))))),IF(G407*1000&lt;=1700,IF(N407&lt;1.8,"",IF(N407&lt;2.9,"3018",IF(N407&lt;3.8,"3029",IF(N407&lt;5,"3038",IF(N407&lt;7,"3050",IF(N407&lt;9,"3070",IF(N407&lt;11,"3090","3110"))))))),""))))</f>
        <v/>
      </c>
      <c r="Q407">
        <f>AND(O407=TRUE,P407&lt;&gt;"")</f>
        <v/>
      </c>
      <c r="R407">
        <f>IF(G407*1000&lt;750,"なし","あり")</f>
        <v/>
      </c>
      <c r="S407">
        <f>IF(AND(O407=TRUE,Q407=TRUE),"設定可","BLOCK")</f>
        <v/>
      </c>
      <c r="T407" t="inlineStr">
        <is>
          <t>商品カタログ P194</t>
        </is>
      </c>
      <c r="U407" t="inlineStr">
        <is>
          <t>https://webcatalog.lixil.co.jp/iportal/CatalogDetail.do?catalogID=15191910000&amp;categoryID=1630000&amp;designID=newinter&amp;method=initial_screen&amp;position=18&amp;type=mc&amp;volumeID=LXL13001</t>
        </is>
      </c>
    </row>
    <row r="408">
      <c r="A408" t="inlineStr">
        <is>
          <t>WG-SL-00405</t>
        </is>
      </c>
      <c r="B408" t="inlineStr">
        <is>
          <t>SZ-SL-000990</t>
        </is>
      </c>
      <c r="C408" t="inlineStr">
        <is>
          <t>WT-SL-MENKOSHI-AGE-FS</t>
        </is>
      </c>
      <c r="D408" t="inlineStr">
        <is>
          <t>SP-SL-AGE-GRILLE-H</t>
        </is>
      </c>
      <c r="E408" t="inlineStr">
        <is>
          <t>02609</t>
        </is>
      </c>
      <c r="F408" t="n">
        <v>0.3</v>
      </c>
      <c r="G408" t="n">
        <v>0.97</v>
      </c>
      <c r="H408" t="inlineStr">
        <is>
          <t>GL-SL-009</t>
        </is>
      </c>
      <c r="I408" t="n">
        <v>8</v>
      </c>
      <c r="J408" t="n">
        <v>10.4</v>
      </c>
      <c r="K408" t="n">
        <v>-0.605</v>
      </c>
      <c r="L408" t="n">
        <v>-1.332</v>
      </c>
      <c r="M408" t="n">
        <v>0.399</v>
      </c>
      <c r="N408">
        <f>ROUND(J408*F408*G408+K408*G408+L408*F408+M408,3)</f>
        <v/>
      </c>
      <c r="O408">
        <f>AND(N408&gt;=1.4,N408&lt;=13)</f>
        <v/>
      </c>
      <c r="P408">
        <f>IF(OR(N408&lt;1.4,N408&gt;13),"",IF(G408*1000&lt;=1170,IF(N408&lt;1.8,"1014",IF(N408&lt;2.9,"1018",IF(N408&lt;3.8,"1029",IF(N408&lt;5,"1038",IF(N408&lt;7,"1050",IF(N408&lt;9,"1070",IF(N408&lt;11,"1090","1110"))))))),IF(G408*1000&lt;=1570,IF(N408&lt;1.8,"",IF(N408&lt;2.9,"2018",IF(N408&lt;3.8,"2029",IF(N408&lt;5,"2038",IF(N408&lt;7,"2050",IF(N408&lt;9,"2070",IF(N408&lt;11,"2090","2110"))))))),IF(G408*1000&lt;=1700,IF(N408&lt;1.8,"",IF(N408&lt;2.9,"3018",IF(N408&lt;3.8,"3029",IF(N408&lt;5,"3038",IF(N408&lt;7,"3050",IF(N408&lt;9,"3070",IF(N408&lt;11,"3090","3110"))))))),""))))</f>
        <v/>
      </c>
      <c r="Q408">
        <f>AND(O408=TRUE,P408&lt;&gt;"")</f>
        <v/>
      </c>
      <c r="R408">
        <f>IF(G408*1000&lt;750,"なし","あり")</f>
        <v/>
      </c>
      <c r="S408">
        <f>IF(AND(O408=TRUE,Q408=TRUE),"設定可","BLOCK")</f>
        <v/>
      </c>
      <c r="T408" t="inlineStr">
        <is>
          <t>商品カタログ P194</t>
        </is>
      </c>
      <c r="U408" t="inlineStr">
        <is>
          <t>https://webcatalog.lixil.co.jp/iportal/CatalogDetail.do?catalogID=15191910000&amp;categoryID=1630000&amp;designID=newinter&amp;method=initial_screen&amp;position=18&amp;type=mc&amp;volumeID=LXL13001</t>
        </is>
      </c>
    </row>
    <row r="409">
      <c r="A409" t="inlineStr">
        <is>
          <t>WG-SL-00406</t>
        </is>
      </c>
      <c r="B409" t="inlineStr">
        <is>
          <t>SZ-SL-000991</t>
        </is>
      </c>
      <c r="C409" t="inlineStr">
        <is>
          <t>WT-SL-MENKOSHI-AGE-FS</t>
        </is>
      </c>
      <c r="D409" t="inlineStr">
        <is>
          <t>SP-SL-AGE-GRILLE-H</t>
        </is>
      </c>
      <c r="E409" t="inlineStr">
        <is>
          <t>03609</t>
        </is>
      </c>
      <c r="F409" t="n">
        <v>0.405</v>
      </c>
      <c r="G409" t="n">
        <v>0.97</v>
      </c>
      <c r="H409" t="inlineStr">
        <is>
          <t>GL-SL-001</t>
        </is>
      </c>
      <c r="I409" t="n">
        <v>6</v>
      </c>
      <c r="J409" t="n">
        <v>7.8</v>
      </c>
      <c r="K409" t="n">
        <v>-0.355</v>
      </c>
      <c r="L409" t="n">
        <v>-0.664</v>
      </c>
      <c r="M409" t="n">
        <v>0.335</v>
      </c>
      <c r="N409">
        <f>ROUND(J409*F409*G409+K409*G409+L409*F409+M409,3)</f>
        <v/>
      </c>
      <c r="O409">
        <f>AND(N409&gt;=1.4,N409&lt;=13)</f>
        <v/>
      </c>
      <c r="P409">
        <f>IF(OR(N409&lt;1.4,N409&gt;13),"",IF(G409*1000&lt;=1170,IF(N409&lt;1.8,"1014",IF(N409&lt;2.9,"1018",IF(N409&lt;3.8,"1029",IF(N409&lt;5,"1038",IF(N409&lt;7,"1050",IF(N409&lt;9,"1070",IF(N409&lt;11,"1090","1110"))))))),IF(G409*1000&lt;=1570,IF(N409&lt;1.8,"",IF(N409&lt;2.9,"2018",IF(N409&lt;3.8,"2029",IF(N409&lt;5,"2038",IF(N409&lt;7,"2050",IF(N409&lt;9,"2070",IF(N409&lt;11,"2090","2110"))))))),IF(G409*1000&lt;=1700,IF(N409&lt;1.8,"",IF(N409&lt;2.9,"3018",IF(N409&lt;3.8,"3029",IF(N409&lt;5,"3038",IF(N409&lt;7,"3050",IF(N409&lt;9,"3070",IF(N409&lt;11,"3090","3110"))))))),""))))</f>
        <v/>
      </c>
      <c r="Q409">
        <f>AND(O409=TRUE,P409&lt;&gt;"")</f>
        <v/>
      </c>
      <c r="R409">
        <f>IF(G409*1000&lt;750,"なし","あり")</f>
        <v/>
      </c>
      <c r="S409">
        <f>IF(AND(O409=TRUE,Q409=TRUE),"設定可","BLOCK")</f>
        <v/>
      </c>
      <c r="T409" t="inlineStr">
        <is>
          <t>商品カタログ P194</t>
        </is>
      </c>
      <c r="U409" t="inlineStr">
        <is>
          <t>https://webcatalog.lixil.co.jp/iportal/CatalogDetail.do?catalogID=15191910000&amp;categoryID=1630000&amp;designID=newinter&amp;method=initial_screen&amp;position=18&amp;type=mc&amp;volumeID=LXL13001</t>
        </is>
      </c>
    </row>
    <row r="410">
      <c r="A410" t="inlineStr">
        <is>
          <t>WG-SL-00407</t>
        </is>
      </c>
      <c r="B410" t="inlineStr">
        <is>
          <t>SZ-SL-000991</t>
        </is>
      </c>
      <c r="C410" t="inlineStr">
        <is>
          <t>WT-SL-MENKOSHI-AGE-FS</t>
        </is>
      </c>
      <c r="D410" t="inlineStr">
        <is>
          <t>SP-SL-AGE-GRILLE-H</t>
        </is>
      </c>
      <c r="E410" t="inlineStr">
        <is>
          <t>03609</t>
        </is>
      </c>
      <c r="F410" t="n">
        <v>0.405</v>
      </c>
      <c r="G410" t="n">
        <v>0.97</v>
      </c>
      <c r="H410" t="inlineStr">
        <is>
          <t>GL-SL-002</t>
        </is>
      </c>
      <c r="I410" t="n">
        <v>7</v>
      </c>
      <c r="J410" t="n">
        <v>9.1</v>
      </c>
      <c r="K410" t="n">
        <v>-0.48</v>
      </c>
      <c r="L410" t="n">
        <v>-0.998</v>
      </c>
      <c r="M410" t="n">
        <v>0.367</v>
      </c>
      <c r="N410">
        <f>ROUND(J410*F410*G410+K410*G410+L410*F410+M410,3)</f>
        <v/>
      </c>
      <c r="O410">
        <f>AND(N410&gt;=1.4,N410&lt;=13)</f>
        <v/>
      </c>
      <c r="P410">
        <f>IF(OR(N410&lt;1.4,N410&gt;13),"",IF(G410*1000&lt;=1170,IF(N410&lt;1.8,"1014",IF(N410&lt;2.9,"1018",IF(N410&lt;3.8,"1029",IF(N410&lt;5,"1038",IF(N410&lt;7,"1050",IF(N410&lt;9,"1070",IF(N410&lt;11,"1090","1110"))))))),IF(G410*1000&lt;=1570,IF(N410&lt;1.8,"",IF(N410&lt;2.9,"2018",IF(N410&lt;3.8,"2029",IF(N410&lt;5,"2038",IF(N410&lt;7,"2050",IF(N410&lt;9,"2070",IF(N410&lt;11,"2090","2110"))))))),IF(G410*1000&lt;=1700,IF(N410&lt;1.8,"",IF(N410&lt;2.9,"3018",IF(N410&lt;3.8,"3029",IF(N410&lt;5,"3038",IF(N410&lt;7,"3050",IF(N410&lt;9,"3070",IF(N410&lt;11,"3090","3110"))))))),""))))</f>
        <v/>
      </c>
      <c r="Q410">
        <f>AND(O410=TRUE,P410&lt;&gt;"")</f>
        <v/>
      </c>
      <c r="R410">
        <f>IF(G410*1000&lt;750,"なし","あり")</f>
        <v/>
      </c>
      <c r="S410">
        <f>IF(AND(O410=TRUE,Q410=TRUE),"設定可","BLOCK")</f>
        <v/>
      </c>
      <c r="T410" t="inlineStr">
        <is>
          <t>商品カタログ P194</t>
        </is>
      </c>
      <c r="U410" t="inlineStr">
        <is>
          <t>https://webcatalog.lixil.co.jp/iportal/CatalogDetail.do?catalogID=15191910000&amp;categoryID=1630000&amp;designID=newinter&amp;method=initial_screen&amp;position=18&amp;type=mc&amp;volumeID=LXL13001</t>
        </is>
      </c>
    </row>
    <row r="411">
      <c r="A411" t="inlineStr">
        <is>
          <t>WG-SL-00408</t>
        </is>
      </c>
      <c r="B411" t="inlineStr">
        <is>
          <t>SZ-SL-000991</t>
        </is>
      </c>
      <c r="C411" t="inlineStr">
        <is>
          <t>WT-SL-MENKOSHI-AGE-FS</t>
        </is>
      </c>
      <c r="D411" t="inlineStr">
        <is>
          <t>SP-SL-AGE-GRILLE-H</t>
        </is>
      </c>
      <c r="E411" t="inlineStr">
        <is>
          <t>03609</t>
        </is>
      </c>
      <c r="F411" t="n">
        <v>0.405</v>
      </c>
      <c r="G411" t="n">
        <v>0.97</v>
      </c>
      <c r="H411" t="inlineStr">
        <is>
          <t>GL-SL-003</t>
        </is>
      </c>
      <c r="I411" t="n">
        <v>8</v>
      </c>
      <c r="J411" t="n">
        <v>10.4</v>
      </c>
      <c r="K411" t="n">
        <v>-0.605</v>
      </c>
      <c r="L411" t="n">
        <v>-1.332</v>
      </c>
      <c r="M411" t="n">
        <v>0.399</v>
      </c>
      <c r="N411">
        <f>ROUND(J411*F411*G411+K411*G411+L411*F411+M411,3)</f>
        <v/>
      </c>
      <c r="O411">
        <f>AND(N411&gt;=1.4,N411&lt;=13)</f>
        <v/>
      </c>
      <c r="P411">
        <f>IF(OR(N411&lt;1.4,N411&gt;13),"",IF(G411*1000&lt;=1170,IF(N411&lt;1.8,"1014",IF(N411&lt;2.9,"1018",IF(N411&lt;3.8,"1029",IF(N411&lt;5,"1038",IF(N411&lt;7,"1050",IF(N411&lt;9,"1070",IF(N411&lt;11,"1090","1110"))))))),IF(G411*1000&lt;=1570,IF(N411&lt;1.8,"",IF(N411&lt;2.9,"2018",IF(N411&lt;3.8,"2029",IF(N411&lt;5,"2038",IF(N411&lt;7,"2050",IF(N411&lt;9,"2070",IF(N411&lt;11,"2090","2110"))))))),IF(G411*1000&lt;=1700,IF(N411&lt;1.8,"",IF(N411&lt;2.9,"3018",IF(N411&lt;3.8,"3029",IF(N411&lt;5,"3038",IF(N411&lt;7,"3050",IF(N411&lt;9,"3070",IF(N411&lt;11,"3090","3110"))))))),""))))</f>
        <v/>
      </c>
      <c r="Q411">
        <f>AND(O411=TRUE,P411&lt;&gt;"")</f>
        <v/>
      </c>
      <c r="R411">
        <f>IF(G411*1000&lt;750,"なし","あり")</f>
        <v/>
      </c>
      <c r="S411">
        <f>IF(AND(O411=TRUE,Q411=TRUE),"設定可","BLOCK")</f>
        <v/>
      </c>
      <c r="T411" t="inlineStr">
        <is>
          <t>商品カタログ P194</t>
        </is>
      </c>
      <c r="U411" t="inlineStr">
        <is>
          <t>https://webcatalog.lixil.co.jp/iportal/CatalogDetail.do?catalogID=15191910000&amp;categoryID=1630000&amp;designID=newinter&amp;method=initial_screen&amp;position=18&amp;type=mc&amp;volumeID=LXL13001</t>
        </is>
      </c>
    </row>
    <row r="412">
      <c r="A412" t="inlineStr">
        <is>
          <t>WG-SL-00409</t>
        </is>
      </c>
      <c r="B412" t="inlineStr">
        <is>
          <t>SZ-SL-000991</t>
        </is>
      </c>
      <c r="C412" t="inlineStr">
        <is>
          <t>WT-SL-MENKOSHI-AGE-FS</t>
        </is>
      </c>
      <c r="D412" t="inlineStr">
        <is>
          <t>SP-SL-AGE-GRILLE-H</t>
        </is>
      </c>
      <c r="E412" t="inlineStr">
        <is>
          <t>03609</t>
        </is>
      </c>
      <c r="F412" t="n">
        <v>0.405</v>
      </c>
      <c r="G412" t="n">
        <v>0.97</v>
      </c>
      <c r="H412" t="inlineStr">
        <is>
          <t>GL-SL-004</t>
        </is>
      </c>
      <c r="I412" t="n">
        <v>6</v>
      </c>
      <c r="J412" t="n">
        <v>7.8</v>
      </c>
      <c r="K412" t="n">
        <v>-0.355</v>
      </c>
      <c r="L412" t="n">
        <v>-0.664</v>
      </c>
      <c r="M412" t="n">
        <v>0.335</v>
      </c>
      <c r="N412">
        <f>ROUND(J412*F412*G412+K412*G412+L412*F412+M412,3)</f>
        <v/>
      </c>
      <c r="O412">
        <f>AND(N412&gt;=1.4,N412&lt;=13)</f>
        <v/>
      </c>
      <c r="P412">
        <f>IF(OR(N412&lt;1.4,N412&gt;13),"",IF(G412*1000&lt;=1170,IF(N412&lt;1.8,"1014",IF(N412&lt;2.9,"1018",IF(N412&lt;3.8,"1029",IF(N412&lt;5,"1038",IF(N412&lt;7,"1050",IF(N412&lt;9,"1070",IF(N412&lt;11,"1090","1110"))))))),IF(G412*1000&lt;=1570,IF(N412&lt;1.8,"",IF(N412&lt;2.9,"2018",IF(N412&lt;3.8,"2029",IF(N412&lt;5,"2038",IF(N412&lt;7,"2050",IF(N412&lt;9,"2070",IF(N412&lt;11,"2090","2110"))))))),IF(G412*1000&lt;=1700,IF(N412&lt;1.8,"",IF(N412&lt;2.9,"3018",IF(N412&lt;3.8,"3029",IF(N412&lt;5,"3038",IF(N412&lt;7,"3050",IF(N412&lt;9,"3070",IF(N412&lt;11,"3090","3110"))))))),""))))</f>
        <v/>
      </c>
      <c r="Q412">
        <f>AND(O412=TRUE,P412&lt;&gt;"")</f>
        <v/>
      </c>
      <c r="R412">
        <f>IF(G412*1000&lt;750,"なし","あり")</f>
        <v/>
      </c>
      <c r="S412">
        <f>IF(AND(O412=TRUE,Q412=TRUE),"設定可","BLOCK")</f>
        <v/>
      </c>
      <c r="T412" t="inlineStr">
        <is>
          <t>商品カタログ P194</t>
        </is>
      </c>
      <c r="U412" t="inlineStr">
        <is>
          <t>https://webcatalog.lixil.co.jp/iportal/CatalogDetail.do?catalogID=15191910000&amp;categoryID=1630000&amp;designID=newinter&amp;method=initial_screen&amp;position=18&amp;type=mc&amp;volumeID=LXL13001</t>
        </is>
      </c>
    </row>
    <row r="413">
      <c r="A413" t="inlineStr">
        <is>
          <t>WG-SL-00410</t>
        </is>
      </c>
      <c r="B413" t="inlineStr">
        <is>
          <t>SZ-SL-000991</t>
        </is>
      </c>
      <c r="C413" t="inlineStr">
        <is>
          <t>WT-SL-MENKOSHI-AGE-FS</t>
        </is>
      </c>
      <c r="D413" t="inlineStr">
        <is>
          <t>SP-SL-AGE-GRILLE-H</t>
        </is>
      </c>
      <c r="E413" t="inlineStr">
        <is>
          <t>03609</t>
        </is>
      </c>
      <c r="F413" t="n">
        <v>0.405</v>
      </c>
      <c r="G413" t="n">
        <v>0.97</v>
      </c>
      <c r="H413" t="inlineStr">
        <is>
          <t>GL-SL-005</t>
        </is>
      </c>
      <c r="I413" t="n">
        <v>7</v>
      </c>
      <c r="J413" t="n">
        <v>9.1</v>
      </c>
      <c r="K413" t="n">
        <v>-0.48</v>
      </c>
      <c r="L413" t="n">
        <v>-0.998</v>
      </c>
      <c r="M413" t="n">
        <v>0.367</v>
      </c>
      <c r="N413">
        <f>ROUND(J413*F413*G413+K413*G413+L413*F413+M413,3)</f>
        <v/>
      </c>
      <c r="O413">
        <f>AND(N413&gt;=1.4,N413&lt;=13)</f>
        <v/>
      </c>
      <c r="P413">
        <f>IF(OR(N413&lt;1.4,N413&gt;13),"",IF(G413*1000&lt;=1170,IF(N413&lt;1.8,"1014",IF(N413&lt;2.9,"1018",IF(N413&lt;3.8,"1029",IF(N413&lt;5,"1038",IF(N413&lt;7,"1050",IF(N413&lt;9,"1070",IF(N413&lt;11,"1090","1110"))))))),IF(G413*1000&lt;=1570,IF(N413&lt;1.8,"",IF(N413&lt;2.9,"2018",IF(N413&lt;3.8,"2029",IF(N413&lt;5,"2038",IF(N413&lt;7,"2050",IF(N413&lt;9,"2070",IF(N413&lt;11,"2090","2110"))))))),IF(G413*1000&lt;=1700,IF(N413&lt;1.8,"",IF(N413&lt;2.9,"3018",IF(N413&lt;3.8,"3029",IF(N413&lt;5,"3038",IF(N413&lt;7,"3050",IF(N413&lt;9,"3070",IF(N413&lt;11,"3090","3110"))))))),""))))</f>
        <v/>
      </c>
      <c r="Q413">
        <f>AND(O413=TRUE,P413&lt;&gt;"")</f>
        <v/>
      </c>
      <c r="R413">
        <f>IF(G413*1000&lt;750,"なし","あり")</f>
        <v/>
      </c>
      <c r="S413">
        <f>IF(AND(O413=TRUE,Q413=TRUE),"設定可","BLOCK")</f>
        <v/>
      </c>
      <c r="T413" t="inlineStr">
        <is>
          <t>商品カタログ P194</t>
        </is>
      </c>
      <c r="U413" t="inlineStr">
        <is>
          <t>https://webcatalog.lixil.co.jp/iportal/CatalogDetail.do?catalogID=15191910000&amp;categoryID=1630000&amp;designID=newinter&amp;method=initial_screen&amp;position=18&amp;type=mc&amp;volumeID=LXL13001</t>
        </is>
      </c>
    </row>
    <row r="414">
      <c r="A414" t="inlineStr">
        <is>
          <t>WG-SL-00411</t>
        </is>
      </c>
      <c r="B414" t="inlineStr">
        <is>
          <t>SZ-SL-000991</t>
        </is>
      </c>
      <c r="C414" t="inlineStr">
        <is>
          <t>WT-SL-MENKOSHI-AGE-FS</t>
        </is>
      </c>
      <c r="D414" t="inlineStr">
        <is>
          <t>SP-SL-AGE-GRILLE-H</t>
        </is>
      </c>
      <c r="E414" t="inlineStr">
        <is>
          <t>03609</t>
        </is>
      </c>
      <c r="F414" t="n">
        <v>0.405</v>
      </c>
      <c r="G414" t="n">
        <v>0.97</v>
      </c>
      <c r="H414" t="inlineStr">
        <is>
          <t>GL-SL-006</t>
        </is>
      </c>
      <c r="I414" t="n">
        <v>8</v>
      </c>
      <c r="J414" t="n">
        <v>10.4</v>
      </c>
      <c r="K414" t="n">
        <v>-0.605</v>
      </c>
      <c r="L414" t="n">
        <v>-1.332</v>
      </c>
      <c r="M414" t="n">
        <v>0.399</v>
      </c>
      <c r="N414">
        <f>ROUND(J414*F414*G414+K414*G414+L414*F414+M414,3)</f>
        <v/>
      </c>
      <c r="O414">
        <f>AND(N414&gt;=1.4,N414&lt;=13)</f>
        <v/>
      </c>
      <c r="P414">
        <f>IF(OR(N414&lt;1.4,N414&gt;13),"",IF(G414*1000&lt;=1170,IF(N414&lt;1.8,"1014",IF(N414&lt;2.9,"1018",IF(N414&lt;3.8,"1029",IF(N414&lt;5,"1038",IF(N414&lt;7,"1050",IF(N414&lt;9,"1070",IF(N414&lt;11,"1090","1110"))))))),IF(G414*1000&lt;=1570,IF(N414&lt;1.8,"",IF(N414&lt;2.9,"2018",IF(N414&lt;3.8,"2029",IF(N414&lt;5,"2038",IF(N414&lt;7,"2050",IF(N414&lt;9,"2070",IF(N414&lt;11,"2090","2110"))))))),IF(G414*1000&lt;=1700,IF(N414&lt;1.8,"",IF(N414&lt;2.9,"3018",IF(N414&lt;3.8,"3029",IF(N414&lt;5,"3038",IF(N414&lt;7,"3050",IF(N414&lt;9,"3070",IF(N414&lt;11,"3090","3110"))))))),""))))</f>
        <v/>
      </c>
      <c r="Q414">
        <f>AND(O414=TRUE,P414&lt;&gt;"")</f>
        <v/>
      </c>
      <c r="R414">
        <f>IF(G414*1000&lt;750,"なし","あり")</f>
        <v/>
      </c>
      <c r="S414">
        <f>IF(AND(O414=TRUE,Q414=TRUE),"設定可","BLOCK")</f>
        <v/>
      </c>
      <c r="T414" t="inlineStr">
        <is>
          <t>商品カタログ P194</t>
        </is>
      </c>
      <c r="U414" t="inlineStr">
        <is>
          <t>https://webcatalog.lixil.co.jp/iportal/CatalogDetail.do?catalogID=15191910000&amp;categoryID=1630000&amp;designID=newinter&amp;method=initial_screen&amp;position=18&amp;type=mc&amp;volumeID=LXL13001</t>
        </is>
      </c>
    </row>
    <row r="415">
      <c r="A415" t="inlineStr">
        <is>
          <t>WG-SL-00412</t>
        </is>
      </c>
      <c r="B415" t="inlineStr">
        <is>
          <t>SZ-SL-000991</t>
        </is>
      </c>
      <c r="C415" t="inlineStr">
        <is>
          <t>WT-SL-MENKOSHI-AGE-FS</t>
        </is>
      </c>
      <c r="D415" t="inlineStr">
        <is>
          <t>SP-SL-AGE-GRILLE-H</t>
        </is>
      </c>
      <c r="E415" t="inlineStr">
        <is>
          <t>03609</t>
        </is>
      </c>
      <c r="F415" t="n">
        <v>0.405</v>
      </c>
      <c r="G415" t="n">
        <v>0.97</v>
      </c>
      <c r="H415" t="inlineStr">
        <is>
          <t>GL-SL-007</t>
        </is>
      </c>
      <c r="I415" t="n">
        <v>6</v>
      </c>
      <c r="J415" t="n">
        <v>7.8</v>
      </c>
      <c r="K415" t="n">
        <v>-0.355</v>
      </c>
      <c r="L415" t="n">
        <v>-0.664</v>
      </c>
      <c r="M415" t="n">
        <v>0.335</v>
      </c>
      <c r="N415">
        <f>ROUND(J415*F415*G415+K415*G415+L415*F415+M415,3)</f>
        <v/>
      </c>
      <c r="O415">
        <f>AND(N415&gt;=1.4,N415&lt;=13)</f>
        <v/>
      </c>
      <c r="P415">
        <f>IF(OR(N415&lt;1.4,N415&gt;13),"",IF(G415*1000&lt;=1170,IF(N415&lt;1.8,"1014",IF(N415&lt;2.9,"1018",IF(N415&lt;3.8,"1029",IF(N415&lt;5,"1038",IF(N415&lt;7,"1050",IF(N415&lt;9,"1070",IF(N415&lt;11,"1090","1110"))))))),IF(G415*1000&lt;=1570,IF(N415&lt;1.8,"",IF(N415&lt;2.9,"2018",IF(N415&lt;3.8,"2029",IF(N415&lt;5,"2038",IF(N415&lt;7,"2050",IF(N415&lt;9,"2070",IF(N415&lt;11,"2090","2110"))))))),IF(G415*1000&lt;=1700,IF(N415&lt;1.8,"",IF(N415&lt;2.9,"3018",IF(N415&lt;3.8,"3029",IF(N415&lt;5,"3038",IF(N415&lt;7,"3050",IF(N415&lt;9,"3070",IF(N415&lt;11,"3090","3110"))))))),""))))</f>
        <v/>
      </c>
      <c r="Q415">
        <f>AND(O415=TRUE,P415&lt;&gt;"")</f>
        <v/>
      </c>
      <c r="R415">
        <f>IF(G415*1000&lt;750,"なし","あり")</f>
        <v/>
      </c>
      <c r="S415">
        <f>IF(AND(O415=TRUE,Q415=TRUE),"設定可","BLOCK")</f>
        <v/>
      </c>
      <c r="T415" t="inlineStr">
        <is>
          <t>商品カタログ P194</t>
        </is>
      </c>
      <c r="U415" t="inlineStr">
        <is>
          <t>https://webcatalog.lixil.co.jp/iportal/CatalogDetail.do?catalogID=15191910000&amp;categoryID=1630000&amp;designID=newinter&amp;method=initial_screen&amp;position=18&amp;type=mc&amp;volumeID=LXL13001</t>
        </is>
      </c>
    </row>
    <row r="416">
      <c r="A416" t="inlineStr">
        <is>
          <t>WG-SL-00413</t>
        </is>
      </c>
      <c r="B416" t="inlineStr">
        <is>
          <t>SZ-SL-000991</t>
        </is>
      </c>
      <c r="C416" t="inlineStr">
        <is>
          <t>WT-SL-MENKOSHI-AGE-FS</t>
        </is>
      </c>
      <c r="D416" t="inlineStr">
        <is>
          <t>SP-SL-AGE-GRILLE-H</t>
        </is>
      </c>
      <c r="E416" t="inlineStr">
        <is>
          <t>03609</t>
        </is>
      </c>
      <c r="F416" t="n">
        <v>0.405</v>
      </c>
      <c r="G416" t="n">
        <v>0.97</v>
      </c>
      <c r="H416" t="inlineStr">
        <is>
          <t>GL-SL-008</t>
        </is>
      </c>
      <c r="I416" t="n">
        <v>7</v>
      </c>
      <c r="J416" t="n">
        <v>9.1</v>
      </c>
      <c r="K416" t="n">
        <v>-0.48</v>
      </c>
      <c r="L416" t="n">
        <v>-0.998</v>
      </c>
      <c r="M416" t="n">
        <v>0.367</v>
      </c>
      <c r="N416">
        <f>ROUND(J416*F416*G416+K416*G416+L416*F416+M416,3)</f>
        <v/>
      </c>
      <c r="O416">
        <f>AND(N416&gt;=1.4,N416&lt;=13)</f>
        <v/>
      </c>
      <c r="P416">
        <f>IF(OR(N416&lt;1.4,N416&gt;13),"",IF(G416*1000&lt;=1170,IF(N416&lt;1.8,"1014",IF(N416&lt;2.9,"1018",IF(N416&lt;3.8,"1029",IF(N416&lt;5,"1038",IF(N416&lt;7,"1050",IF(N416&lt;9,"1070",IF(N416&lt;11,"1090","1110"))))))),IF(G416*1000&lt;=1570,IF(N416&lt;1.8,"",IF(N416&lt;2.9,"2018",IF(N416&lt;3.8,"2029",IF(N416&lt;5,"2038",IF(N416&lt;7,"2050",IF(N416&lt;9,"2070",IF(N416&lt;11,"2090","2110"))))))),IF(G416*1000&lt;=1700,IF(N416&lt;1.8,"",IF(N416&lt;2.9,"3018",IF(N416&lt;3.8,"3029",IF(N416&lt;5,"3038",IF(N416&lt;7,"3050",IF(N416&lt;9,"3070",IF(N416&lt;11,"3090","3110"))))))),""))))</f>
        <v/>
      </c>
      <c r="Q416">
        <f>AND(O416=TRUE,P416&lt;&gt;"")</f>
        <v/>
      </c>
      <c r="R416">
        <f>IF(G416*1000&lt;750,"なし","あり")</f>
        <v/>
      </c>
      <c r="S416">
        <f>IF(AND(O416=TRUE,Q416=TRUE),"設定可","BLOCK")</f>
        <v/>
      </c>
      <c r="T416" t="inlineStr">
        <is>
          <t>商品カタログ P194</t>
        </is>
      </c>
      <c r="U416" t="inlineStr">
        <is>
          <t>https://webcatalog.lixil.co.jp/iportal/CatalogDetail.do?catalogID=15191910000&amp;categoryID=1630000&amp;designID=newinter&amp;method=initial_screen&amp;position=18&amp;type=mc&amp;volumeID=LXL13001</t>
        </is>
      </c>
    </row>
    <row r="417">
      <c r="A417" t="inlineStr">
        <is>
          <t>WG-SL-00414</t>
        </is>
      </c>
      <c r="B417" t="inlineStr">
        <is>
          <t>SZ-SL-000991</t>
        </is>
      </c>
      <c r="C417" t="inlineStr">
        <is>
          <t>WT-SL-MENKOSHI-AGE-FS</t>
        </is>
      </c>
      <c r="D417" t="inlineStr">
        <is>
          <t>SP-SL-AGE-GRILLE-H</t>
        </is>
      </c>
      <c r="E417" t="inlineStr">
        <is>
          <t>03609</t>
        </is>
      </c>
      <c r="F417" t="n">
        <v>0.405</v>
      </c>
      <c r="G417" t="n">
        <v>0.97</v>
      </c>
      <c r="H417" t="inlineStr">
        <is>
          <t>GL-SL-009</t>
        </is>
      </c>
      <c r="I417" t="n">
        <v>8</v>
      </c>
      <c r="J417" t="n">
        <v>10.4</v>
      </c>
      <c r="K417" t="n">
        <v>-0.605</v>
      </c>
      <c r="L417" t="n">
        <v>-1.332</v>
      </c>
      <c r="M417" t="n">
        <v>0.399</v>
      </c>
      <c r="N417">
        <f>ROUND(J417*F417*G417+K417*G417+L417*F417+M417,3)</f>
        <v/>
      </c>
      <c r="O417">
        <f>AND(N417&gt;=1.4,N417&lt;=13)</f>
        <v/>
      </c>
      <c r="P417">
        <f>IF(OR(N417&lt;1.4,N417&gt;13),"",IF(G417*1000&lt;=1170,IF(N417&lt;1.8,"1014",IF(N417&lt;2.9,"1018",IF(N417&lt;3.8,"1029",IF(N417&lt;5,"1038",IF(N417&lt;7,"1050",IF(N417&lt;9,"1070",IF(N417&lt;11,"1090","1110"))))))),IF(G417*1000&lt;=1570,IF(N417&lt;1.8,"",IF(N417&lt;2.9,"2018",IF(N417&lt;3.8,"2029",IF(N417&lt;5,"2038",IF(N417&lt;7,"2050",IF(N417&lt;9,"2070",IF(N417&lt;11,"2090","2110"))))))),IF(G417*1000&lt;=1700,IF(N417&lt;1.8,"",IF(N417&lt;2.9,"3018",IF(N417&lt;3.8,"3029",IF(N417&lt;5,"3038",IF(N417&lt;7,"3050",IF(N417&lt;9,"3070",IF(N417&lt;11,"3090","3110"))))))),""))))</f>
        <v/>
      </c>
      <c r="Q417">
        <f>AND(O417=TRUE,P417&lt;&gt;"")</f>
        <v/>
      </c>
      <c r="R417">
        <f>IF(G417*1000&lt;750,"なし","あり")</f>
        <v/>
      </c>
      <c r="S417">
        <f>IF(AND(O417=TRUE,Q417=TRUE),"設定可","BLOCK")</f>
        <v/>
      </c>
      <c r="T417" t="inlineStr">
        <is>
          <t>商品カタログ P194</t>
        </is>
      </c>
      <c r="U417" t="inlineStr">
        <is>
          <t>https://webcatalog.lixil.co.jp/iportal/CatalogDetail.do?catalogID=15191910000&amp;categoryID=1630000&amp;designID=newinter&amp;method=initial_screen&amp;position=18&amp;type=mc&amp;volumeID=LXL13001</t>
        </is>
      </c>
    </row>
    <row r="418">
      <c r="A418" t="inlineStr">
        <is>
          <t>WG-SL-00415</t>
        </is>
      </c>
      <c r="B418" t="inlineStr">
        <is>
          <t>SZ-SL-000992</t>
        </is>
      </c>
      <c r="C418" t="inlineStr">
        <is>
          <t>WT-SL-MENKOSHI-AGE-FS</t>
        </is>
      </c>
      <c r="D418" t="inlineStr">
        <is>
          <t>SP-SL-AGE-GRILLE-H</t>
        </is>
      </c>
      <c r="E418" t="inlineStr">
        <is>
          <t>06009</t>
        </is>
      </c>
      <c r="F418" t="n">
        <v>0.64</v>
      </c>
      <c r="G418" t="n">
        <v>0.97</v>
      </c>
      <c r="H418" t="inlineStr">
        <is>
          <t>GL-SL-001</t>
        </is>
      </c>
      <c r="I418" t="n">
        <v>6</v>
      </c>
      <c r="J418" t="n">
        <v>7.8</v>
      </c>
      <c r="K418" t="n">
        <v>-0.355</v>
      </c>
      <c r="L418" t="n">
        <v>-0.664</v>
      </c>
      <c r="M418" t="n">
        <v>0.335</v>
      </c>
      <c r="N418">
        <f>ROUND(J418*F418*G418+K418*G418+L418*F418+M418,3)</f>
        <v/>
      </c>
      <c r="O418">
        <f>AND(N418&gt;=1.4,N418&lt;=13)</f>
        <v/>
      </c>
      <c r="P418">
        <f>IF(OR(N418&lt;1.4,N418&gt;13),"",IF(G418*1000&lt;=1170,IF(N418&lt;1.8,"1014",IF(N418&lt;2.9,"1018",IF(N418&lt;3.8,"1029",IF(N418&lt;5,"1038",IF(N418&lt;7,"1050",IF(N418&lt;9,"1070",IF(N418&lt;11,"1090","1110"))))))),IF(G418*1000&lt;=1570,IF(N418&lt;1.8,"",IF(N418&lt;2.9,"2018",IF(N418&lt;3.8,"2029",IF(N418&lt;5,"2038",IF(N418&lt;7,"2050",IF(N418&lt;9,"2070",IF(N418&lt;11,"2090","2110"))))))),IF(G418*1000&lt;=1700,IF(N418&lt;1.8,"",IF(N418&lt;2.9,"3018",IF(N418&lt;3.8,"3029",IF(N418&lt;5,"3038",IF(N418&lt;7,"3050",IF(N418&lt;9,"3070",IF(N418&lt;11,"3090","3110"))))))),""))))</f>
        <v/>
      </c>
      <c r="Q418">
        <f>AND(O418=TRUE,P418&lt;&gt;"")</f>
        <v/>
      </c>
      <c r="R418">
        <f>IF(G418*1000&lt;750,"なし","あり")</f>
        <v/>
      </c>
      <c r="S418">
        <f>IF(AND(O418=TRUE,Q418=TRUE),"設定可","BLOCK")</f>
        <v/>
      </c>
      <c r="T418" t="inlineStr">
        <is>
          <t>商品カタログ P194</t>
        </is>
      </c>
      <c r="U418" t="inlineStr">
        <is>
          <t>https://webcatalog.lixil.co.jp/iportal/CatalogDetail.do?catalogID=15191910000&amp;categoryID=1630000&amp;designID=newinter&amp;method=initial_screen&amp;position=18&amp;type=mc&amp;volumeID=LXL13001</t>
        </is>
      </c>
    </row>
    <row r="419">
      <c r="A419" t="inlineStr">
        <is>
          <t>WG-SL-00416</t>
        </is>
      </c>
      <c r="B419" t="inlineStr">
        <is>
          <t>SZ-SL-000992</t>
        </is>
      </c>
      <c r="C419" t="inlineStr">
        <is>
          <t>WT-SL-MENKOSHI-AGE-FS</t>
        </is>
      </c>
      <c r="D419" t="inlineStr">
        <is>
          <t>SP-SL-AGE-GRILLE-H</t>
        </is>
      </c>
      <c r="E419" t="inlineStr">
        <is>
          <t>06009</t>
        </is>
      </c>
      <c r="F419" t="n">
        <v>0.64</v>
      </c>
      <c r="G419" t="n">
        <v>0.97</v>
      </c>
      <c r="H419" t="inlineStr">
        <is>
          <t>GL-SL-002</t>
        </is>
      </c>
      <c r="I419" t="n">
        <v>7</v>
      </c>
      <c r="J419" t="n">
        <v>9.1</v>
      </c>
      <c r="K419" t="n">
        <v>-0.48</v>
      </c>
      <c r="L419" t="n">
        <v>-0.998</v>
      </c>
      <c r="M419" t="n">
        <v>0.367</v>
      </c>
      <c r="N419">
        <f>ROUND(J419*F419*G419+K419*G419+L419*F419+M419,3)</f>
        <v/>
      </c>
      <c r="O419">
        <f>AND(N419&gt;=1.4,N419&lt;=13)</f>
        <v/>
      </c>
      <c r="P419">
        <f>IF(OR(N419&lt;1.4,N419&gt;13),"",IF(G419*1000&lt;=1170,IF(N419&lt;1.8,"1014",IF(N419&lt;2.9,"1018",IF(N419&lt;3.8,"1029",IF(N419&lt;5,"1038",IF(N419&lt;7,"1050",IF(N419&lt;9,"1070",IF(N419&lt;11,"1090","1110"))))))),IF(G419*1000&lt;=1570,IF(N419&lt;1.8,"",IF(N419&lt;2.9,"2018",IF(N419&lt;3.8,"2029",IF(N419&lt;5,"2038",IF(N419&lt;7,"2050",IF(N419&lt;9,"2070",IF(N419&lt;11,"2090","2110"))))))),IF(G419*1000&lt;=1700,IF(N419&lt;1.8,"",IF(N419&lt;2.9,"3018",IF(N419&lt;3.8,"3029",IF(N419&lt;5,"3038",IF(N419&lt;7,"3050",IF(N419&lt;9,"3070",IF(N419&lt;11,"3090","3110"))))))),""))))</f>
        <v/>
      </c>
      <c r="Q419">
        <f>AND(O419=TRUE,P419&lt;&gt;"")</f>
        <v/>
      </c>
      <c r="R419">
        <f>IF(G419*1000&lt;750,"なし","あり")</f>
        <v/>
      </c>
      <c r="S419">
        <f>IF(AND(O419=TRUE,Q419=TRUE),"設定可","BLOCK")</f>
        <v/>
      </c>
      <c r="T419" t="inlineStr">
        <is>
          <t>商品カタログ P194</t>
        </is>
      </c>
      <c r="U419" t="inlineStr">
        <is>
          <t>https://webcatalog.lixil.co.jp/iportal/CatalogDetail.do?catalogID=15191910000&amp;categoryID=1630000&amp;designID=newinter&amp;method=initial_screen&amp;position=18&amp;type=mc&amp;volumeID=LXL13001</t>
        </is>
      </c>
    </row>
    <row r="420">
      <c r="A420" t="inlineStr">
        <is>
          <t>WG-SL-00417</t>
        </is>
      </c>
      <c r="B420" t="inlineStr">
        <is>
          <t>SZ-SL-000992</t>
        </is>
      </c>
      <c r="C420" t="inlineStr">
        <is>
          <t>WT-SL-MENKOSHI-AGE-FS</t>
        </is>
      </c>
      <c r="D420" t="inlineStr">
        <is>
          <t>SP-SL-AGE-GRILLE-H</t>
        </is>
      </c>
      <c r="E420" t="inlineStr">
        <is>
          <t>06009</t>
        </is>
      </c>
      <c r="F420" t="n">
        <v>0.64</v>
      </c>
      <c r="G420" t="n">
        <v>0.97</v>
      </c>
      <c r="H420" t="inlineStr">
        <is>
          <t>GL-SL-003</t>
        </is>
      </c>
      <c r="I420" t="n">
        <v>8</v>
      </c>
      <c r="J420" t="n">
        <v>10.4</v>
      </c>
      <c r="K420" t="n">
        <v>-0.605</v>
      </c>
      <c r="L420" t="n">
        <v>-1.332</v>
      </c>
      <c r="M420" t="n">
        <v>0.399</v>
      </c>
      <c r="N420">
        <f>ROUND(J420*F420*G420+K420*G420+L420*F420+M420,3)</f>
        <v/>
      </c>
      <c r="O420">
        <f>AND(N420&gt;=1.4,N420&lt;=13)</f>
        <v/>
      </c>
      <c r="P420">
        <f>IF(OR(N420&lt;1.4,N420&gt;13),"",IF(G420*1000&lt;=1170,IF(N420&lt;1.8,"1014",IF(N420&lt;2.9,"1018",IF(N420&lt;3.8,"1029",IF(N420&lt;5,"1038",IF(N420&lt;7,"1050",IF(N420&lt;9,"1070",IF(N420&lt;11,"1090","1110"))))))),IF(G420*1000&lt;=1570,IF(N420&lt;1.8,"",IF(N420&lt;2.9,"2018",IF(N420&lt;3.8,"2029",IF(N420&lt;5,"2038",IF(N420&lt;7,"2050",IF(N420&lt;9,"2070",IF(N420&lt;11,"2090","2110"))))))),IF(G420*1000&lt;=1700,IF(N420&lt;1.8,"",IF(N420&lt;2.9,"3018",IF(N420&lt;3.8,"3029",IF(N420&lt;5,"3038",IF(N420&lt;7,"3050",IF(N420&lt;9,"3070",IF(N420&lt;11,"3090","3110"))))))),""))))</f>
        <v/>
      </c>
      <c r="Q420">
        <f>AND(O420=TRUE,P420&lt;&gt;"")</f>
        <v/>
      </c>
      <c r="R420">
        <f>IF(G420*1000&lt;750,"なし","あり")</f>
        <v/>
      </c>
      <c r="S420">
        <f>IF(AND(O420=TRUE,Q420=TRUE),"設定可","BLOCK")</f>
        <v/>
      </c>
      <c r="T420" t="inlineStr">
        <is>
          <t>商品カタログ P194</t>
        </is>
      </c>
      <c r="U420" t="inlineStr">
        <is>
          <t>https://webcatalog.lixil.co.jp/iportal/CatalogDetail.do?catalogID=15191910000&amp;categoryID=1630000&amp;designID=newinter&amp;method=initial_screen&amp;position=18&amp;type=mc&amp;volumeID=LXL13001</t>
        </is>
      </c>
    </row>
    <row r="421">
      <c r="A421" t="inlineStr">
        <is>
          <t>WG-SL-00418</t>
        </is>
      </c>
      <c r="B421" t="inlineStr">
        <is>
          <t>SZ-SL-000992</t>
        </is>
      </c>
      <c r="C421" t="inlineStr">
        <is>
          <t>WT-SL-MENKOSHI-AGE-FS</t>
        </is>
      </c>
      <c r="D421" t="inlineStr">
        <is>
          <t>SP-SL-AGE-GRILLE-H</t>
        </is>
      </c>
      <c r="E421" t="inlineStr">
        <is>
          <t>06009</t>
        </is>
      </c>
      <c r="F421" t="n">
        <v>0.64</v>
      </c>
      <c r="G421" t="n">
        <v>0.97</v>
      </c>
      <c r="H421" t="inlineStr">
        <is>
          <t>GL-SL-004</t>
        </is>
      </c>
      <c r="I421" t="n">
        <v>6</v>
      </c>
      <c r="J421" t="n">
        <v>7.8</v>
      </c>
      <c r="K421" t="n">
        <v>-0.355</v>
      </c>
      <c r="L421" t="n">
        <v>-0.664</v>
      </c>
      <c r="M421" t="n">
        <v>0.335</v>
      </c>
      <c r="N421">
        <f>ROUND(J421*F421*G421+K421*G421+L421*F421+M421,3)</f>
        <v/>
      </c>
      <c r="O421">
        <f>AND(N421&gt;=1.4,N421&lt;=13)</f>
        <v/>
      </c>
      <c r="P421">
        <f>IF(OR(N421&lt;1.4,N421&gt;13),"",IF(G421*1000&lt;=1170,IF(N421&lt;1.8,"1014",IF(N421&lt;2.9,"1018",IF(N421&lt;3.8,"1029",IF(N421&lt;5,"1038",IF(N421&lt;7,"1050",IF(N421&lt;9,"1070",IF(N421&lt;11,"1090","1110"))))))),IF(G421*1000&lt;=1570,IF(N421&lt;1.8,"",IF(N421&lt;2.9,"2018",IF(N421&lt;3.8,"2029",IF(N421&lt;5,"2038",IF(N421&lt;7,"2050",IF(N421&lt;9,"2070",IF(N421&lt;11,"2090","2110"))))))),IF(G421*1000&lt;=1700,IF(N421&lt;1.8,"",IF(N421&lt;2.9,"3018",IF(N421&lt;3.8,"3029",IF(N421&lt;5,"3038",IF(N421&lt;7,"3050",IF(N421&lt;9,"3070",IF(N421&lt;11,"3090","3110"))))))),""))))</f>
        <v/>
      </c>
      <c r="Q421">
        <f>AND(O421=TRUE,P421&lt;&gt;"")</f>
        <v/>
      </c>
      <c r="R421">
        <f>IF(G421*1000&lt;750,"なし","あり")</f>
        <v/>
      </c>
      <c r="S421">
        <f>IF(AND(O421=TRUE,Q421=TRUE),"設定可","BLOCK")</f>
        <v/>
      </c>
      <c r="T421" t="inlineStr">
        <is>
          <t>商品カタログ P194</t>
        </is>
      </c>
      <c r="U421" t="inlineStr">
        <is>
          <t>https://webcatalog.lixil.co.jp/iportal/CatalogDetail.do?catalogID=15191910000&amp;categoryID=1630000&amp;designID=newinter&amp;method=initial_screen&amp;position=18&amp;type=mc&amp;volumeID=LXL13001</t>
        </is>
      </c>
    </row>
    <row r="422">
      <c r="A422" t="inlineStr">
        <is>
          <t>WG-SL-00419</t>
        </is>
      </c>
      <c r="B422" t="inlineStr">
        <is>
          <t>SZ-SL-000992</t>
        </is>
      </c>
      <c r="C422" t="inlineStr">
        <is>
          <t>WT-SL-MENKOSHI-AGE-FS</t>
        </is>
      </c>
      <c r="D422" t="inlineStr">
        <is>
          <t>SP-SL-AGE-GRILLE-H</t>
        </is>
      </c>
      <c r="E422" t="inlineStr">
        <is>
          <t>06009</t>
        </is>
      </c>
      <c r="F422" t="n">
        <v>0.64</v>
      </c>
      <c r="G422" t="n">
        <v>0.97</v>
      </c>
      <c r="H422" t="inlineStr">
        <is>
          <t>GL-SL-005</t>
        </is>
      </c>
      <c r="I422" t="n">
        <v>7</v>
      </c>
      <c r="J422" t="n">
        <v>9.1</v>
      </c>
      <c r="K422" t="n">
        <v>-0.48</v>
      </c>
      <c r="L422" t="n">
        <v>-0.998</v>
      </c>
      <c r="M422" t="n">
        <v>0.367</v>
      </c>
      <c r="N422">
        <f>ROUND(J422*F422*G422+K422*G422+L422*F422+M422,3)</f>
        <v/>
      </c>
      <c r="O422">
        <f>AND(N422&gt;=1.4,N422&lt;=13)</f>
        <v/>
      </c>
      <c r="P422">
        <f>IF(OR(N422&lt;1.4,N422&gt;13),"",IF(G422*1000&lt;=1170,IF(N422&lt;1.8,"1014",IF(N422&lt;2.9,"1018",IF(N422&lt;3.8,"1029",IF(N422&lt;5,"1038",IF(N422&lt;7,"1050",IF(N422&lt;9,"1070",IF(N422&lt;11,"1090","1110"))))))),IF(G422*1000&lt;=1570,IF(N422&lt;1.8,"",IF(N422&lt;2.9,"2018",IF(N422&lt;3.8,"2029",IF(N422&lt;5,"2038",IF(N422&lt;7,"2050",IF(N422&lt;9,"2070",IF(N422&lt;11,"2090","2110"))))))),IF(G422*1000&lt;=1700,IF(N422&lt;1.8,"",IF(N422&lt;2.9,"3018",IF(N422&lt;3.8,"3029",IF(N422&lt;5,"3038",IF(N422&lt;7,"3050",IF(N422&lt;9,"3070",IF(N422&lt;11,"3090","3110"))))))),""))))</f>
        <v/>
      </c>
      <c r="Q422">
        <f>AND(O422=TRUE,P422&lt;&gt;"")</f>
        <v/>
      </c>
      <c r="R422">
        <f>IF(G422*1000&lt;750,"なし","あり")</f>
        <v/>
      </c>
      <c r="S422">
        <f>IF(AND(O422=TRUE,Q422=TRUE),"設定可","BLOCK")</f>
        <v/>
      </c>
      <c r="T422" t="inlineStr">
        <is>
          <t>商品カタログ P194</t>
        </is>
      </c>
      <c r="U422" t="inlineStr">
        <is>
          <t>https://webcatalog.lixil.co.jp/iportal/CatalogDetail.do?catalogID=15191910000&amp;categoryID=1630000&amp;designID=newinter&amp;method=initial_screen&amp;position=18&amp;type=mc&amp;volumeID=LXL13001</t>
        </is>
      </c>
    </row>
    <row r="423">
      <c r="A423" t="inlineStr">
        <is>
          <t>WG-SL-00420</t>
        </is>
      </c>
      <c r="B423" t="inlineStr">
        <is>
          <t>SZ-SL-000992</t>
        </is>
      </c>
      <c r="C423" t="inlineStr">
        <is>
          <t>WT-SL-MENKOSHI-AGE-FS</t>
        </is>
      </c>
      <c r="D423" t="inlineStr">
        <is>
          <t>SP-SL-AGE-GRILLE-H</t>
        </is>
      </c>
      <c r="E423" t="inlineStr">
        <is>
          <t>06009</t>
        </is>
      </c>
      <c r="F423" t="n">
        <v>0.64</v>
      </c>
      <c r="G423" t="n">
        <v>0.97</v>
      </c>
      <c r="H423" t="inlineStr">
        <is>
          <t>GL-SL-006</t>
        </is>
      </c>
      <c r="I423" t="n">
        <v>8</v>
      </c>
      <c r="J423" t="n">
        <v>10.4</v>
      </c>
      <c r="K423" t="n">
        <v>-0.605</v>
      </c>
      <c r="L423" t="n">
        <v>-1.332</v>
      </c>
      <c r="M423" t="n">
        <v>0.399</v>
      </c>
      <c r="N423">
        <f>ROUND(J423*F423*G423+K423*G423+L423*F423+M423,3)</f>
        <v/>
      </c>
      <c r="O423">
        <f>AND(N423&gt;=1.4,N423&lt;=13)</f>
        <v/>
      </c>
      <c r="P423">
        <f>IF(OR(N423&lt;1.4,N423&gt;13),"",IF(G423*1000&lt;=1170,IF(N423&lt;1.8,"1014",IF(N423&lt;2.9,"1018",IF(N423&lt;3.8,"1029",IF(N423&lt;5,"1038",IF(N423&lt;7,"1050",IF(N423&lt;9,"1070",IF(N423&lt;11,"1090","1110"))))))),IF(G423*1000&lt;=1570,IF(N423&lt;1.8,"",IF(N423&lt;2.9,"2018",IF(N423&lt;3.8,"2029",IF(N423&lt;5,"2038",IF(N423&lt;7,"2050",IF(N423&lt;9,"2070",IF(N423&lt;11,"2090","2110"))))))),IF(G423*1000&lt;=1700,IF(N423&lt;1.8,"",IF(N423&lt;2.9,"3018",IF(N423&lt;3.8,"3029",IF(N423&lt;5,"3038",IF(N423&lt;7,"3050",IF(N423&lt;9,"3070",IF(N423&lt;11,"3090","3110"))))))),""))))</f>
        <v/>
      </c>
      <c r="Q423">
        <f>AND(O423=TRUE,P423&lt;&gt;"")</f>
        <v/>
      </c>
      <c r="R423">
        <f>IF(G423*1000&lt;750,"なし","あり")</f>
        <v/>
      </c>
      <c r="S423">
        <f>IF(AND(O423=TRUE,Q423=TRUE),"設定可","BLOCK")</f>
        <v/>
      </c>
      <c r="T423" t="inlineStr">
        <is>
          <t>商品カタログ P194</t>
        </is>
      </c>
      <c r="U423" t="inlineStr">
        <is>
          <t>https://webcatalog.lixil.co.jp/iportal/CatalogDetail.do?catalogID=15191910000&amp;categoryID=1630000&amp;designID=newinter&amp;method=initial_screen&amp;position=18&amp;type=mc&amp;volumeID=LXL13001</t>
        </is>
      </c>
    </row>
    <row r="424">
      <c r="A424" t="inlineStr">
        <is>
          <t>WG-SL-00421</t>
        </is>
      </c>
      <c r="B424" t="inlineStr">
        <is>
          <t>SZ-SL-000992</t>
        </is>
      </c>
      <c r="C424" t="inlineStr">
        <is>
          <t>WT-SL-MENKOSHI-AGE-FS</t>
        </is>
      </c>
      <c r="D424" t="inlineStr">
        <is>
          <t>SP-SL-AGE-GRILLE-H</t>
        </is>
      </c>
      <c r="E424" t="inlineStr">
        <is>
          <t>06009</t>
        </is>
      </c>
      <c r="F424" t="n">
        <v>0.64</v>
      </c>
      <c r="G424" t="n">
        <v>0.97</v>
      </c>
      <c r="H424" t="inlineStr">
        <is>
          <t>GL-SL-007</t>
        </is>
      </c>
      <c r="I424" t="n">
        <v>6</v>
      </c>
      <c r="J424" t="n">
        <v>7.8</v>
      </c>
      <c r="K424" t="n">
        <v>-0.355</v>
      </c>
      <c r="L424" t="n">
        <v>-0.664</v>
      </c>
      <c r="M424" t="n">
        <v>0.335</v>
      </c>
      <c r="N424">
        <f>ROUND(J424*F424*G424+K424*G424+L424*F424+M424,3)</f>
        <v/>
      </c>
      <c r="O424">
        <f>AND(N424&gt;=1.4,N424&lt;=13)</f>
        <v/>
      </c>
      <c r="P424">
        <f>IF(OR(N424&lt;1.4,N424&gt;13),"",IF(G424*1000&lt;=1170,IF(N424&lt;1.8,"1014",IF(N424&lt;2.9,"1018",IF(N424&lt;3.8,"1029",IF(N424&lt;5,"1038",IF(N424&lt;7,"1050",IF(N424&lt;9,"1070",IF(N424&lt;11,"1090","1110"))))))),IF(G424*1000&lt;=1570,IF(N424&lt;1.8,"",IF(N424&lt;2.9,"2018",IF(N424&lt;3.8,"2029",IF(N424&lt;5,"2038",IF(N424&lt;7,"2050",IF(N424&lt;9,"2070",IF(N424&lt;11,"2090","2110"))))))),IF(G424*1000&lt;=1700,IF(N424&lt;1.8,"",IF(N424&lt;2.9,"3018",IF(N424&lt;3.8,"3029",IF(N424&lt;5,"3038",IF(N424&lt;7,"3050",IF(N424&lt;9,"3070",IF(N424&lt;11,"3090","3110"))))))),""))))</f>
        <v/>
      </c>
      <c r="Q424">
        <f>AND(O424=TRUE,P424&lt;&gt;"")</f>
        <v/>
      </c>
      <c r="R424">
        <f>IF(G424*1000&lt;750,"なし","あり")</f>
        <v/>
      </c>
      <c r="S424">
        <f>IF(AND(O424=TRUE,Q424=TRUE),"設定可","BLOCK")</f>
        <v/>
      </c>
      <c r="T424" t="inlineStr">
        <is>
          <t>商品カタログ P194</t>
        </is>
      </c>
      <c r="U424" t="inlineStr">
        <is>
          <t>https://webcatalog.lixil.co.jp/iportal/CatalogDetail.do?catalogID=15191910000&amp;categoryID=1630000&amp;designID=newinter&amp;method=initial_screen&amp;position=18&amp;type=mc&amp;volumeID=LXL13001</t>
        </is>
      </c>
    </row>
    <row r="425">
      <c r="A425" t="inlineStr">
        <is>
          <t>WG-SL-00422</t>
        </is>
      </c>
      <c r="B425" t="inlineStr">
        <is>
          <t>SZ-SL-000992</t>
        </is>
      </c>
      <c r="C425" t="inlineStr">
        <is>
          <t>WT-SL-MENKOSHI-AGE-FS</t>
        </is>
      </c>
      <c r="D425" t="inlineStr">
        <is>
          <t>SP-SL-AGE-GRILLE-H</t>
        </is>
      </c>
      <c r="E425" t="inlineStr">
        <is>
          <t>06009</t>
        </is>
      </c>
      <c r="F425" t="n">
        <v>0.64</v>
      </c>
      <c r="G425" t="n">
        <v>0.97</v>
      </c>
      <c r="H425" t="inlineStr">
        <is>
          <t>GL-SL-008</t>
        </is>
      </c>
      <c r="I425" t="n">
        <v>7</v>
      </c>
      <c r="J425" t="n">
        <v>9.1</v>
      </c>
      <c r="K425" t="n">
        <v>-0.48</v>
      </c>
      <c r="L425" t="n">
        <v>-0.998</v>
      </c>
      <c r="M425" t="n">
        <v>0.367</v>
      </c>
      <c r="N425">
        <f>ROUND(J425*F425*G425+K425*G425+L425*F425+M425,3)</f>
        <v/>
      </c>
      <c r="O425">
        <f>AND(N425&gt;=1.4,N425&lt;=13)</f>
        <v/>
      </c>
      <c r="P425">
        <f>IF(OR(N425&lt;1.4,N425&gt;13),"",IF(G425*1000&lt;=1170,IF(N425&lt;1.8,"1014",IF(N425&lt;2.9,"1018",IF(N425&lt;3.8,"1029",IF(N425&lt;5,"1038",IF(N425&lt;7,"1050",IF(N425&lt;9,"1070",IF(N425&lt;11,"1090","1110"))))))),IF(G425*1000&lt;=1570,IF(N425&lt;1.8,"",IF(N425&lt;2.9,"2018",IF(N425&lt;3.8,"2029",IF(N425&lt;5,"2038",IF(N425&lt;7,"2050",IF(N425&lt;9,"2070",IF(N425&lt;11,"2090","2110"))))))),IF(G425*1000&lt;=1700,IF(N425&lt;1.8,"",IF(N425&lt;2.9,"3018",IF(N425&lt;3.8,"3029",IF(N425&lt;5,"3038",IF(N425&lt;7,"3050",IF(N425&lt;9,"3070",IF(N425&lt;11,"3090","3110"))))))),""))))</f>
        <v/>
      </c>
      <c r="Q425">
        <f>AND(O425=TRUE,P425&lt;&gt;"")</f>
        <v/>
      </c>
      <c r="R425">
        <f>IF(G425*1000&lt;750,"なし","あり")</f>
        <v/>
      </c>
      <c r="S425">
        <f>IF(AND(O425=TRUE,Q425=TRUE),"設定可","BLOCK")</f>
        <v/>
      </c>
      <c r="T425" t="inlineStr">
        <is>
          <t>商品カタログ P194</t>
        </is>
      </c>
      <c r="U425" t="inlineStr">
        <is>
          <t>https://webcatalog.lixil.co.jp/iportal/CatalogDetail.do?catalogID=15191910000&amp;categoryID=1630000&amp;designID=newinter&amp;method=initial_screen&amp;position=18&amp;type=mc&amp;volumeID=LXL13001</t>
        </is>
      </c>
    </row>
    <row r="426">
      <c r="A426" t="inlineStr">
        <is>
          <t>WG-SL-00423</t>
        </is>
      </c>
      <c r="B426" t="inlineStr">
        <is>
          <t>SZ-SL-000992</t>
        </is>
      </c>
      <c r="C426" t="inlineStr">
        <is>
          <t>WT-SL-MENKOSHI-AGE-FS</t>
        </is>
      </c>
      <c r="D426" t="inlineStr">
        <is>
          <t>SP-SL-AGE-GRILLE-H</t>
        </is>
      </c>
      <c r="E426" t="inlineStr">
        <is>
          <t>06009</t>
        </is>
      </c>
      <c r="F426" t="n">
        <v>0.64</v>
      </c>
      <c r="G426" t="n">
        <v>0.97</v>
      </c>
      <c r="H426" t="inlineStr">
        <is>
          <t>GL-SL-009</t>
        </is>
      </c>
      <c r="I426" t="n">
        <v>8</v>
      </c>
      <c r="J426" t="n">
        <v>10.4</v>
      </c>
      <c r="K426" t="n">
        <v>-0.605</v>
      </c>
      <c r="L426" t="n">
        <v>-1.332</v>
      </c>
      <c r="M426" t="n">
        <v>0.399</v>
      </c>
      <c r="N426">
        <f>ROUND(J426*F426*G426+K426*G426+L426*F426+M426,3)</f>
        <v/>
      </c>
      <c r="O426">
        <f>AND(N426&gt;=1.4,N426&lt;=13)</f>
        <v/>
      </c>
      <c r="P426">
        <f>IF(OR(N426&lt;1.4,N426&gt;13),"",IF(G426*1000&lt;=1170,IF(N426&lt;1.8,"1014",IF(N426&lt;2.9,"1018",IF(N426&lt;3.8,"1029",IF(N426&lt;5,"1038",IF(N426&lt;7,"1050",IF(N426&lt;9,"1070",IF(N426&lt;11,"1090","1110"))))))),IF(G426*1000&lt;=1570,IF(N426&lt;1.8,"",IF(N426&lt;2.9,"2018",IF(N426&lt;3.8,"2029",IF(N426&lt;5,"2038",IF(N426&lt;7,"2050",IF(N426&lt;9,"2070",IF(N426&lt;11,"2090","2110"))))))),IF(G426*1000&lt;=1700,IF(N426&lt;1.8,"",IF(N426&lt;2.9,"3018",IF(N426&lt;3.8,"3029",IF(N426&lt;5,"3038",IF(N426&lt;7,"3050",IF(N426&lt;9,"3070",IF(N426&lt;11,"3090","3110"))))))),""))))</f>
        <v/>
      </c>
      <c r="Q426">
        <f>AND(O426=TRUE,P426&lt;&gt;"")</f>
        <v/>
      </c>
      <c r="R426">
        <f>IF(G426*1000&lt;750,"なし","あり")</f>
        <v/>
      </c>
      <c r="S426">
        <f>IF(AND(O426=TRUE,Q426=TRUE),"設定可","BLOCK")</f>
        <v/>
      </c>
      <c r="T426" t="inlineStr">
        <is>
          <t>商品カタログ P194</t>
        </is>
      </c>
      <c r="U426" t="inlineStr">
        <is>
          <t>https://webcatalog.lixil.co.jp/iportal/CatalogDetail.do?catalogID=15191910000&amp;categoryID=1630000&amp;designID=newinter&amp;method=initial_screen&amp;position=18&amp;type=mc&amp;volumeID=LXL13001</t>
        </is>
      </c>
    </row>
    <row r="427">
      <c r="A427" t="inlineStr">
        <is>
          <t>WG-SL-00424</t>
        </is>
      </c>
      <c r="B427" t="inlineStr">
        <is>
          <t>SZ-SL-000993</t>
        </is>
      </c>
      <c r="C427" t="inlineStr">
        <is>
          <t>WT-SL-MENKOSHI-AGE-FS</t>
        </is>
      </c>
      <c r="D427" t="inlineStr">
        <is>
          <t>SP-SL-AGE-GRILLE-H</t>
        </is>
      </c>
      <c r="E427" t="inlineStr">
        <is>
          <t>06909</t>
        </is>
      </c>
      <c r="F427" t="n">
        <v>0.73</v>
      </c>
      <c r="G427" t="n">
        <v>0.97</v>
      </c>
      <c r="H427" t="inlineStr">
        <is>
          <t>GL-SL-001</t>
        </is>
      </c>
      <c r="I427" t="n">
        <v>6</v>
      </c>
      <c r="J427" t="n">
        <v>7.8</v>
      </c>
      <c r="K427" t="n">
        <v>-0.355</v>
      </c>
      <c r="L427" t="n">
        <v>-0.664</v>
      </c>
      <c r="M427" t="n">
        <v>0.335</v>
      </c>
      <c r="N427">
        <f>ROUND(J427*F427*G427+K427*G427+L427*F427+M427,3)</f>
        <v/>
      </c>
      <c r="O427">
        <f>AND(N427&gt;=1.4,N427&lt;=13)</f>
        <v/>
      </c>
      <c r="P427">
        <f>IF(OR(N427&lt;1.4,N427&gt;13),"",IF(G427*1000&lt;=1170,IF(N427&lt;1.8,"1014",IF(N427&lt;2.9,"1018",IF(N427&lt;3.8,"1029",IF(N427&lt;5,"1038",IF(N427&lt;7,"1050",IF(N427&lt;9,"1070",IF(N427&lt;11,"1090","1110"))))))),IF(G427*1000&lt;=1570,IF(N427&lt;1.8,"",IF(N427&lt;2.9,"2018",IF(N427&lt;3.8,"2029",IF(N427&lt;5,"2038",IF(N427&lt;7,"2050",IF(N427&lt;9,"2070",IF(N427&lt;11,"2090","2110"))))))),IF(G427*1000&lt;=1700,IF(N427&lt;1.8,"",IF(N427&lt;2.9,"3018",IF(N427&lt;3.8,"3029",IF(N427&lt;5,"3038",IF(N427&lt;7,"3050",IF(N427&lt;9,"3070",IF(N427&lt;11,"3090","3110"))))))),""))))</f>
        <v/>
      </c>
      <c r="Q427">
        <f>AND(O427=TRUE,P427&lt;&gt;"")</f>
        <v/>
      </c>
      <c r="R427">
        <f>IF(G427*1000&lt;750,"なし","あり")</f>
        <v/>
      </c>
      <c r="S427">
        <f>IF(AND(O427=TRUE,Q427=TRUE),"設定可","BLOCK")</f>
        <v/>
      </c>
      <c r="T427" t="inlineStr">
        <is>
          <t>商品カタログ P194</t>
        </is>
      </c>
      <c r="U427" t="inlineStr">
        <is>
          <t>https://webcatalog.lixil.co.jp/iportal/CatalogDetail.do?catalogID=15191910000&amp;categoryID=1630000&amp;designID=newinter&amp;method=initial_screen&amp;position=18&amp;type=mc&amp;volumeID=LXL13001</t>
        </is>
      </c>
    </row>
    <row r="428">
      <c r="A428" t="inlineStr">
        <is>
          <t>WG-SL-00425</t>
        </is>
      </c>
      <c r="B428" t="inlineStr">
        <is>
          <t>SZ-SL-000993</t>
        </is>
      </c>
      <c r="C428" t="inlineStr">
        <is>
          <t>WT-SL-MENKOSHI-AGE-FS</t>
        </is>
      </c>
      <c r="D428" t="inlineStr">
        <is>
          <t>SP-SL-AGE-GRILLE-H</t>
        </is>
      </c>
      <c r="E428" t="inlineStr">
        <is>
          <t>06909</t>
        </is>
      </c>
      <c r="F428" t="n">
        <v>0.73</v>
      </c>
      <c r="G428" t="n">
        <v>0.97</v>
      </c>
      <c r="H428" t="inlineStr">
        <is>
          <t>GL-SL-002</t>
        </is>
      </c>
      <c r="I428" t="n">
        <v>7</v>
      </c>
      <c r="J428" t="n">
        <v>9.1</v>
      </c>
      <c r="K428" t="n">
        <v>-0.48</v>
      </c>
      <c r="L428" t="n">
        <v>-0.998</v>
      </c>
      <c r="M428" t="n">
        <v>0.367</v>
      </c>
      <c r="N428">
        <f>ROUND(J428*F428*G428+K428*G428+L428*F428+M428,3)</f>
        <v/>
      </c>
      <c r="O428">
        <f>AND(N428&gt;=1.4,N428&lt;=13)</f>
        <v/>
      </c>
      <c r="P428">
        <f>IF(OR(N428&lt;1.4,N428&gt;13),"",IF(G428*1000&lt;=1170,IF(N428&lt;1.8,"1014",IF(N428&lt;2.9,"1018",IF(N428&lt;3.8,"1029",IF(N428&lt;5,"1038",IF(N428&lt;7,"1050",IF(N428&lt;9,"1070",IF(N428&lt;11,"1090","1110"))))))),IF(G428*1000&lt;=1570,IF(N428&lt;1.8,"",IF(N428&lt;2.9,"2018",IF(N428&lt;3.8,"2029",IF(N428&lt;5,"2038",IF(N428&lt;7,"2050",IF(N428&lt;9,"2070",IF(N428&lt;11,"2090","2110"))))))),IF(G428*1000&lt;=1700,IF(N428&lt;1.8,"",IF(N428&lt;2.9,"3018",IF(N428&lt;3.8,"3029",IF(N428&lt;5,"3038",IF(N428&lt;7,"3050",IF(N428&lt;9,"3070",IF(N428&lt;11,"3090","3110"))))))),""))))</f>
        <v/>
      </c>
      <c r="Q428">
        <f>AND(O428=TRUE,P428&lt;&gt;"")</f>
        <v/>
      </c>
      <c r="R428">
        <f>IF(G428*1000&lt;750,"なし","あり")</f>
        <v/>
      </c>
      <c r="S428">
        <f>IF(AND(O428=TRUE,Q428=TRUE),"設定可","BLOCK")</f>
        <v/>
      </c>
      <c r="T428" t="inlineStr">
        <is>
          <t>商品カタログ P194</t>
        </is>
      </c>
      <c r="U428" t="inlineStr">
        <is>
          <t>https://webcatalog.lixil.co.jp/iportal/CatalogDetail.do?catalogID=15191910000&amp;categoryID=1630000&amp;designID=newinter&amp;method=initial_screen&amp;position=18&amp;type=mc&amp;volumeID=LXL13001</t>
        </is>
      </c>
    </row>
    <row r="429">
      <c r="A429" t="inlineStr">
        <is>
          <t>WG-SL-00426</t>
        </is>
      </c>
      <c r="B429" t="inlineStr">
        <is>
          <t>SZ-SL-000993</t>
        </is>
      </c>
      <c r="C429" t="inlineStr">
        <is>
          <t>WT-SL-MENKOSHI-AGE-FS</t>
        </is>
      </c>
      <c r="D429" t="inlineStr">
        <is>
          <t>SP-SL-AGE-GRILLE-H</t>
        </is>
      </c>
      <c r="E429" t="inlineStr">
        <is>
          <t>06909</t>
        </is>
      </c>
      <c r="F429" t="n">
        <v>0.73</v>
      </c>
      <c r="G429" t="n">
        <v>0.97</v>
      </c>
      <c r="H429" t="inlineStr">
        <is>
          <t>GL-SL-003</t>
        </is>
      </c>
      <c r="I429" t="n">
        <v>8</v>
      </c>
      <c r="J429" t="n">
        <v>10.4</v>
      </c>
      <c r="K429" t="n">
        <v>-0.605</v>
      </c>
      <c r="L429" t="n">
        <v>-1.332</v>
      </c>
      <c r="M429" t="n">
        <v>0.399</v>
      </c>
      <c r="N429">
        <f>ROUND(J429*F429*G429+K429*G429+L429*F429+M429,3)</f>
        <v/>
      </c>
      <c r="O429">
        <f>AND(N429&gt;=1.4,N429&lt;=13)</f>
        <v/>
      </c>
      <c r="P429">
        <f>IF(OR(N429&lt;1.4,N429&gt;13),"",IF(G429*1000&lt;=1170,IF(N429&lt;1.8,"1014",IF(N429&lt;2.9,"1018",IF(N429&lt;3.8,"1029",IF(N429&lt;5,"1038",IF(N429&lt;7,"1050",IF(N429&lt;9,"1070",IF(N429&lt;11,"1090","1110"))))))),IF(G429*1000&lt;=1570,IF(N429&lt;1.8,"",IF(N429&lt;2.9,"2018",IF(N429&lt;3.8,"2029",IF(N429&lt;5,"2038",IF(N429&lt;7,"2050",IF(N429&lt;9,"2070",IF(N429&lt;11,"2090","2110"))))))),IF(G429*1000&lt;=1700,IF(N429&lt;1.8,"",IF(N429&lt;2.9,"3018",IF(N429&lt;3.8,"3029",IF(N429&lt;5,"3038",IF(N429&lt;7,"3050",IF(N429&lt;9,"3070",IF(N429&lt;11,"3090","3110"))))))),""))))</f>
        <v/>
      </c>
      <c r="Q429">
        <f>AND(O429=TRUE,P429&lt;&gt;"")</f>
        <v/>
      </c>
      <c r="R429">
        <f>IF(G429*1000&lt;750,"なし","あり")</f>
        <v/>
      </c>
      <c r="S429">
        <f>IF(AND(O429=TRUE,Q429=TRUE),"設定可","BLOCK")</f>
        <v/>
      </c>
      <c r="T429" t="inlineStr">
        <is>
          <t>商品カタログ P194</t>
        </is>
      </c>
      <c r="U429" t="inlineStr">
        <is>
          <t>https://webcatalog.lixil.co.jp/iportal/CatalogDetail.do?catalogID=15191910000&amp;categoryID=1630000&amp;designID=newinter&amp;method=initial_screen&amp;position=18&amp;type=mc&amp;volumeID=LXL13001</t>
        </is>
      </c>
    </row>
    <row r="430">
      <c r="A430" t="inlineStr">
        <is>
          <t>WG-SL-00427</t>
        </is>
      </c>
      <c r="B430" t="inlineStr">
        <is>
          <t>SZ-SL-000993</t>
        </is>
      </c>
      <c r="C430" t="inlineStr">
        <is>
          <t>WT-SL-MENKOSHI-AGE-FS</t>
        </is>
      </c>
      <c r="D430" t="inlineStr">
        <is>
          <t>SP-SL-AGE-GRILLE-H</t>
        </is>
      </c>
      <c r="E430" t="inlineStr">
        <is>
          <t>06909</t>
        </is>
      </c>
      <c r="F430" t="n">
        <v>0.73</v>
      </c>
      <c r="G430" t="n">
        <v>0.97</v>
      </c>
      <c r="H430" t="inlineStr">
        <is>
          <t>GL-SL-004</t>
        </is>
      </c>
      <c r="I430" t="n">
        <v>6</v>
      </c>
      <c r="J430" t="n">
        <v>7.8</v>
      </c>
      <c r="K430" t="n">
        <v>-0.355</v>
      </c>
      <c r="L430" t="n">
        <v>-0.664</v>
      </c>
      <c r="M430" t="n">
        <v>0.335</v>
      </c>
      <c r="N430">
        <f>ROUND(J430*F430*G430+K430*G430+L430*F430+M430,3)</f>
        <v/>
      </c>
      <c r="O430">
        <f>AND(N430&gt;=1.4,N430&lt;=13)</f>
        <v/>
      </c>
      <c r="P430">
        <f>IF(OR(N430&lt;1.4,N430&gt;13),"",IF(G430*1000&lt;=1170,IF(N430&lt;1.8,"1014",IF(N430&lt;2.9,"1018",IF(N430&lt;3.8,"1029",IF(N430&lt;5,"1038",IF(N430&lt;7,"1050",IF(N430&lt;9,"1070",IF(N430&lt;11,"1090","1110"))))))),IF(G430*1000&lt;=1570,IF(N430&lt;1.8,"",IF(N430&lt;2.9,"2018",IF(N430&lt;3.8,"2029",IF(N430&lt;5,"2038",IF(N430&lt;7,"2050",IF(N430&lt;9,"2070",IF(N430&lt;11,"2090","2110"))))))),IF(G430*1000&lt;=1700,IF(N430&lt;1.8,"",IF(N430&lt;2.9,"3018",IF(N430&lt;3.8,"3029",IF(N430&lt;5,"3038",IF(N430&lt;7,"3050",IF(N430&lt;9,"3070",IF(N430&lt;11,"3090","3110"))))))),""))))</f>
        <v/>
      </c>
      <c r="Q430">
        <f>AND(O430=TRUE,P430&lt;&gt;"")</f>
        <v/>
      </c>
      <c r="R430">
        <f>IF(G430*1000&lt;750,"なし","あり")</f>
        <v/>
      </c>
      <c r="S430">
        <f>IF(AND(O430=TRUE,Q430=TRUE),"設定可","BLOCK")</f>
        <v/>
      </c>
      <c r="T430" t="inlineStr">
        <is>
          <t>商品カタログ P194</t>
        </is>
      </c>
      <c r="U430" t="inlineStr">
        <is>
          <t>https://webcatalog.lixil.co.jp/iportal/CatalogDetail.do?catalogID=15191910000&amp;categoryID=1630000&amp;designID=newinter&amp;method=initial_screen&amp;position=18&amp;type=mc&amp;volumeID=LXL13001</t>
        </is>
      </c>
    </row>
    <row r="431">
      <c r="A431" t="inlineStr">
        <is>
          <t>WG-SL-00428</t>
        </is>
      </c>
      <c r="B431" t="inlineStr">
        <is>
          <t>SZ-SL-000993</t>
        </is>
      </c>
      <c r="C431" t="inlineStr">
        <is>
          <t>WT-SL-MENKOSHI-AGE-FS</t>
        </is>
      </c>
      <c r="D431" t="inlineStr">
        <is>
          <t>SP-SL-AGE-GRILLE-H</t>
        </is>
      </c>
      <c r="E431" t="inlineStr">
        <is>
          <t>06909</t>
        </is>
      </c>
      <c r="F431" t="n">
        <v>0.73</v>
      </c>
      <c r="G431" t="n">
        <v>0.97</v>
      </c>
      <c r="H431" t="inlineStr">
        <is>
          <t>GL-SL-005</t>
        </is>
      </c>
      <c r="I431" t="n">
        <v>7</v>
      </c>
      <c r="J431" t="n">
        <v>9.1</v>
      </c>
      <c r="K431" t="n">
        <v>-0.48</v>
      </c>
      <c r="L431" t="n">
        <v>-0.998</v>
      </c>
      <c r="M431" t="n">
        <v>0.367</v>
      </c>
      <c r="N431">
        <f>ROUND(J431*F431*G431+K431*G431+L431*F431+M431,3)</f>
        <v/>
      </c>
      <c r="O431">
        <f>AND(N431&gt;=1.4,N431&lt;=13)</f>
        <v/>
      </c>
      <c r="P431">
        <f>IF(OR(N431&lt;1.4,N431&gt;13),"",IF(G431*1000&lt;=1170,IF(N431&lt;1.8,"1014",IF(N431&lt;2.9,"1018",IF(N431&lt;3.8,"1029",IF(N431&lt;5,"1038",IF(N431&lt;7,"1050",IF(N431&lt;9,"1070",IF(N431&lt;11,"1090","1110"))))))),IF(G431*1000&lt;=1570,IF(N431&lt;1.8,"",IF(N431&lt;2.9,"2018",IF(N431&lt;3.8,"2029",IF(N431&lt;5,"2038",IF(N431&lt;7,"2050",IF(N431&lt;9,"2070",IF(N431&lt;11,"2090","2110"))))))),IF(G431*1000&lt;=1700,IF(N431&lt;1.8,"",IF(N431&lt;2.9,"3018",IF(N431&lt;3.8,"3029",IF(N431&lt;5,"3038",IF(N431&lt;7,"3050",IF(N431&lt;9,"3070",IF(N431&lt;11,"3090","3110"))))))),""))))</f>
        <v/>
      </c>
      <c r="Q431">
        <f>AND(O431=TRUE,P431&lt;&gt;"")</f>
        <v/>
      </c>
      <c r="R431">
        <f>IF(G431*1000&lt;750,"なし","あり")</f>
        <v/>
      </c>
      <c r="S431">
        <f>IF(AND(O431=TRUE,Q431=TRUE),"設定可","BLOCK")</f>
        <v/>
      </c>
      <c r="T431" t="inlineStr">
        <is>
          <t>商品カタログ P194</t>
        </is>
      </c>
      <c r="U431" t="inlineStr">
        <is>
          <t>https://webcatalog.lixil.co.jp/iportal/CatalogDetail.do?catalogID=15191910000&amp;categoryID=1630000&amp;designID=newinter&amp;method=initial_screen&amp;position=18&amp;type=mc&amp;volumeID=LXL13001</t>
        </is>
      </c>
    </row>
    <row r="432">
      <c r="A432" t="inlineStr">
        <is>
          <t>WG-SL-00429</t>
        </is>
      </c>
      <c r="B432" t="inlineStr">
        <is>
          <t>SZ-SL-000993</t>
        </is>
      </c>
      <c r="C432" t="inlineStr">
        <is>
          <t>WT-SL-MENKOSHI-AGE-FS</t>
        </is>
      </c>
      <c r="D432" t="inlineStr">
        <is>
          <t>SP-SL-AGE-GRILLE-H</t>
        </is>
      </c>
      <c r="E432" t="inlineStr">
        <is>
          <t>06909</t>
        </is>
      </c>
      <c r="F432" t="n">
        <v>0.73</v>
      </c>
      <c r="G432" t="n">
        <v>0.97</v>
      </c>
      <c r="H432" t="inlineStr">
        <is>
          <t>GL-SL-006</t>
        </is>
      </c>
      <c r="I432" t="n">
        <v>8</v>
      </c>
      <c r="J432" t="n">
        <v>10.4</v>
      </c>
      <c r="K432" t="n">
        <v>-0.605</v>
      </c>
      <c r="L432" t="n">
        <v>-1.332</v>
      </c>
      <c r="M432" t="n">
        <v>0.399</v>
      </c>
      <c r="N432">
        <f>ROUND(J432*F432*G432+K432*G432+L432*F432+M432,3)</f>
        <v/>
      </c>
      <c r="O432">
        <f>AND(N432&gt;=1.4,N432&lt;=13)</f>
        <v/>
      </c>
      <c r="P432">
        <f>IF(OR(N432&lt;1.4,N432&gt;13),"",IF(G432*1000&lt;=1170,IF(N432&lt;1.8,"1014",IF(N432&lt;2.9,"1018",IF(N432&lt;3.8,"1029",IF(N432&lt;5,"1038",IF(N432&lt;7,"1050",IF(N432&lt;9,"1070",IF(N432&lt;11,"1090","1110"))))))),IF(G432*1000&lt;=1570,IF(N432&lt;1.8,"",IF(N432&lt;2.9,"2018",IF(N432&lt;3.8,"2029",IF(N432&lt;5,"2038",IF(N432&lt;7,"2050",IF(N432&lt;9,"2070",IF(N432&lt;11,"2090","2110"))))))),IF(G432*1000&lt;=1700,IF(N432&lt;1.8,"",IF(N432&lt;2.9,"3018",IF(N432&lt;3.8,"3029",IF(N432&lt;5,"3038",IF(N432&lt;7,"3050",IF(N432&lt;9,"3070",IF(N432&lt;11,"3090","3110"))))))),""))))</f>
        <v/>
      </c>
      <c r="Q432">
        <f>AND(O432=TRUE,P432&lt;&gt;"")</f>
        <v/>
      </c>
      <c r="R432">
        <f>IF(G432*1000&lt;750,"なし","あり")</f>
        <v/>
      </c>
      <c r="S432">
        <f>IF(AND(O432=TRUE,Q432=TRUE),"設定可","BLOCK")</f>
        <v/>
      </c>
      <c r="T432" t="inlineStr">
        <is>
          <t>商品カタログ P194</t>
        </is>
      </c>
      <c r="U432" t="inlineStr">
        <is>
          <t>https://webcatalog.lixil.co.jp/iportal/CatalogDetail.do?catalogID=15191910000&amp;categoryID=1630000&amp;designID=newinter&amp;method=initial_screen&amp;position=18&amp;type=mc&amp;volumeID=LXL13001</t>
        </is>
      </c>
    </row>
    <row r="433">
      <c r="A433" t="inlineStr">
        <is>
          <t>WG-SL-00430</t>
        </is>
      </c>
      <c r="B433" t="inlineStr">
        <is>
          <t>SZ-SL-000993</t>
        </is>
      </c>
      <c r="C433" t="inlineStr">
        <is>
          <t>WT-SL-MENKOSHI-AGE-FS</t>
        </is>
      </c>
      <c r="D433" t="inlineStr">
        <is>
          <t>SP-SL-AGE-GRILLE-H</t>
        </is>
      </c>
      <c r="E433" t="inlineStr">
        <is>
          <t>06909</t>
        </is>
      </c>
      <c r="F433" t="n">
        <v>0.73</v>
      </c>
      <c r="G433" t="n">
        <v>0.97</v>
      </c>
      <c r="H433" t="inlineStr">
        <is>
          <t>GL-SL-007</t>
        </is>
      </c>
      <c r="I433" t="n">
        <v>6</v>
      </c>
      <c r="J433" t="n">
        <v>7.8</v>
      </c>
      <c r="K433" t="n">
        <v>-0.355</v>
      </c>
      <c r="L433" t="n">
        <v>-0.664</v>
      </c>
      <c r="M433" t="n">
        <v>0.335</v>
      </c>
      <c r="N433">
        <f>ROUND(J433*F433*G433+K433*G433+L433*F433+M433,3)</f>
        <v/>
      </c>
      <c r="O433">
        <f>AND(N433&gt;=1.4,N433&lt;=13)</f>
        <v/>
      </c>
      <c r="P433">
        <f>IF(OR(N433&lt;1.4,N433&gt;13),"",IF(G433*1000&lt;=1170,IF(N433&lt;1.8,"1014",IF(N433&lt;2.9,"1018",IF(N433&lt;3.8,"1029",IF(N433&lt;5,"1038",IF(N433&lt;7,"1050",IF(N433&lt;9,"1070",IF(N433&lt;11,"1090","1110"))))))),IF(G433*1000&lt;=1570,IF(N433&lt;1.8,"",IF(N433&lt;2.9,"2018",IF(N433&lt;3.8,"2029",IF(N433&lt;5,"2038",IF(N433&lt;7,"2050",IF(N433&lt;9,"2070",IF(N433&lt;11,"2090","2110"))))))),IF(G433*1000&lt;=1700,IF(N433&lt;1.8,"",IF(N433&lt;2.9,"3018",IF(N433&lt;3.8,"3029",IF(N433&lt;5,"3038",IF(N433&lt;7,"3050",IF(N433&lt;9,"3070",IF(N433&lt;11,"3090","3110"))))))),""))))</f>
        <v/>
      </c>
      <c r="Q433">
        <f>AND(O433=TRUE,P433&lt;&gt;"")</f>
        <v/>
      </c>
      <c r="R433">
        <f>IF(G433*1000&lt;750,"なし","あり")</f>
        <v/>
      </c>
      <c r="S433">
        <f>IF(AND(O433=TRUE,Q433=TRUE),"設定可","BLOCK")</f>
        <v/>
      </c>
      <c r="T433" t="inlineStr">
        <is>
          <t>商品カタログ P194</t>
        </is>
      </c>
      <c r="U433" t="inlineStr">
        <is>
          <t>https://webcatalog.lixil.co.jp/iportal/CatalogDetail.do?catalogID=15191910000&amp;categoryID=1630000&amp;designID=newinter&amp;method=initial_screen&amp;position=18&amp;type=mc&amp;volumeID=LXL13001</t>
        </is>
      </c>
    </row>
    <row r="434">
      <c r="A434" t="inlineStr">
        <is>
          <t>WG-SL-00431</t>
        </is>
      </c>
      <c r="B434" t="inlineStr">
        <is>
          <t>SZ-SL-000993</t>
        </is>
      </c>
      <c r="C434" t="inlineStr">
        <is>
          <t>WT-SL-MENKOSHI-AGE-FS</t>
        </is>
      </c>
      <c r="D434" t="inlineStr">
        <is>
          <t>SP-SL-AGE-GRILLE-H</t>
        </is>
      </c>
      <c r="E434" t="inlineStr">
        <is>
          <t>06909</t>
        </is>
      </c>
      <c r="F434" t="n">
        <v>0.73</v>
      </c>
      <c r="G434" t="n">
        <v>0.97</v>
      </c>
      <c r="H434" t="inlineStr">
        <is>
          <t>GL-SL-008</t>
        </is>
      </c>
      <c r="I434" t="n">
        <v>7</v>
      </c>
      <c r="J434" t="n">
        <v>9.1</v>
      </c>
      <c r="K434" t="n">
        <v>-0.48</v>
      </c>
      <c r="L434" t="n">
        <v>-0.998</v>
      </c>
      <c r="M434" t="n">
        <v>0.367</v>
      </c>
      <c r="N434">
        <f>ROUND(J434*F434*G434+K434*G434+L434*F434+M434,3)</f>
        <v/>
      </c>
      <c r="O434">
        <f>AND(N434&gt;=1.4,N434&lt;=13)</f>
        <v/>
      </c>
      <c r="P434">
        <f>IF(OR(N434&lt;1.4,N434&gt;13),"",IF(G434*1000&lt;=1170,IF(N434&lt;1.8,"1014",IF(N434&lt;2.9,"1018",IF(N434&lt;3.8,"1029",IF(N434&lt;5,"1038",IF(N434&lt;7,"1050",IF(N434&lt;9,"1070",IF(N434&lt;11,"1090","1110"))))))),IF(G434*1000&lt;=1570,IF(N434&lt;1.8,"",IF(N434&lt;2.9,"2018",IF(N434&lt;3.8,"2029",IF(N434&lt;5,"2038",IF(N434&lt;7,"2050",IF(N434&lt;9,"2070",IF(N434&lt;11,"2090","2110"))))))),IF(G434*1000&lt;=1700,IF(N434&lt;1.8,"",IF(N434&lt;2.9,"3018",IF(N434&lt;3.8,"3029",IF(N434&lt;5,"3038",IF(N434&lt;7,"3050",IF(N434&lt;9,"3070",IF(N434&lt;11,"3090","3110"))))))),""))))</f>
        <v/>
      </c>
      <c r="Q434">
        <f>AND(O434=TRUE,P434&lt;&gt;"")</f>
        <v/>
      </c>
      <c r="R434">
        <f>IF(G434*1000&lt;750,"なし","あり")</f>
        <v/>
      </c>
      <c r="S434">
        <f>IF(AND(O434=TRUE,Q434=TRUE),"設定可","BLOCK")</f>
        <v/>
      </c>
      <c r="T434" t="inlineStr">
        <is>
          <t>商品カタログ P194</t>
        </is>
      </c>
      <c r="U434" t="inlineStr">
        <is>
          <t>https://webcatalog.lixil.co.jp/iportal/CatalogDetail.do?catalogID=15191910000&amp;categoryID=1630000&amp;designID=newinter&amp;method=initial_screen&amp;position=18&amp;type=mc&amp;volumeID=LXL13001</t>
        </is>
      </c>
    </row>
    <row r="435">
      <c r="A435" t="inlineStr">
        <is>
          <t>WG-SL-00432</t>
        </is>
      </c>
      <c r="B435" t="inlineStr">
        <is>
          <t>SZ-SL-000993</t>
        </is>
      </c>
      <c r="C435" t="inlineStr">
        <is>
          <t>WT-SL-MENKOSHI-AGE-FS</t>
        </is>
      </c>
      <c r="D435" t="inlineStr">
        <is>
          <t>SP-SL-AGE-GRILLE-H</t>
        </is>
      </c>
      <c r="E435" t="inlineStr">
        <is>
          <t>06909</t>
        </is>
      </c>
      <c r="F435" t="n">
        <v>0.73</v>
      </c>
      <c r="G435" t="n">
        <v>0.97</v>
      </c>
      <c r="H435" t="inlineStr">
        <is>
          <t>GL-SL-009</t>
        </is>
      </c>
      <c r="I435" t="n">
        <v>8</v>
      </c>
      <c r="J435" t="n">
        <v>10.4</v>
      </c>
      <c r="K435" t="n">
        <v>-0.605</v>
      </c>
      <c r="L435" t="n">
        <v>-1.332</v>
      </c>
      <c r="M435" t="n">
        <v>0.399</v>
      </c>
      <c r="N435">
        <f>ROUND(J435*F435*G435+K435*G435+L435*F435+M435,3)</f>
        <v/>
      </c>
      <c r="O435">
        <f>AND(N435&gt;=1.4,N435&lt;=13)</f>
        <v/>
      </c>
      <c r="P435">
        <f>IF(OR(N435&lt;1.4,N435&gt;13),"",IF(G435*1000&lt;=1170,IF(N435&lt;1.8,"1014",IF(N435&lt;2.9,"1018",IF(N435&lt;3.8,"1029",IF(N435&lt;5,"1038",IF(N435&lt;7,"1050",IF(N435&lt;9,"1070",IF(N435&lt;11,"1090","1110"))))))),IF(G435*1000&lt;=1570,IF(N435&lt;1.8,"",IF(N435&lt;2.9,"2018",IF(N435&lt;3.8,"2029",IF(N435&lt;5,"2038",IF(N435&lt;7,"2050",IF(N435&lt;9,"2070",IF(N435&lt;11,"2090","2110"))))))),IF(G435*1000&lt;=1700,IF(N435&lt;1.8,"",IF(N435&lt;2.9,"3018",IF(N435&lt;3.8,"3029",IF(N435&lt;5,"3038",IF(N435&lt;7,"3050",IF(N435&lt;9,"3070",IF(N435&lt;11,"3090","3110"))))))),""))))</f>
        <v/>
      </c>
      <c r="Q435">
        <f>AND(O435=TRUE,P435&lt;&gt;"")</f>
        <v/>
      </c>
      <c r="R435">
        <f>IF(G435*1000&lt;750,"なし","あり")</f>
        <v/>
      </c>
      <c r="S435">
        <f>IF(AND(O435=TRUE,Q435=TRUE),"設定可","BLOCK")</f>
        <v/>
      </c>
      <c r="T435" t="inlineStr">
        <is>
          <t>商品カタログ P194</t>
        </is>
      </c>
      <c r="U435" t="inlineStr">
        <is>
          <t>https://webcatalog.lixil.co.jp/iportal/CatalogDetail.do?catalogID=15191910000&amp;categoryID=1630000&amp;designID=newinter&amp;method=initial_screen&amp;position=18&amp;type=mc&amp;volumeID=LXL13001</t>
        </is>
      </c>
    </row>
    <row r="436">
      <c r="A436" t="inlineStr">
        <is>
          <t>WG-SL-00433</t>
        </is>
      </c>
      <c r="B436" t="inlineStr">
        <is>
          <t>SZ-SL-000994</t>
        </is>
      </c>
      <c r="C436" t="inlineStr">
        <is>
          <t>WT-SL-MENKOSHI-AGE-FS</t>
        </is>
      </c>
      <c r="D436" t="inlineStr">
        <is>
          <t>SP-SL-AGE-GRILLE-H</t>
        </is>
      </c>
      <c r="E436" t="inlineStr">
        <is>
          <t>07409</t>
        </is>
      </c>
      <c r="F436" t="n">
        <v>0.78</v>
      </c>
      <c r="G436" t="n">
        <v>0.97</v>
      </c>
      <c r="H436" t="inlineStr">
        <is>
          <t>GL-SL-001</t>
        </is>
      </c>
      <c r="I436" t="n">
        <v>6</v>
      </c>
      <c r="J436" t="n">
        <v>7.8</v>
      </c>
      <c r="K436" t="n">
        <v>-0.355</v>
      </c>
      <c r="L436" t="n">
        <v>-0.664</v>
      </c>
      <c r="M436" t="n">
        <v>0.335</v>
      </c>
      <c r="N436">
        <f>ROUND(J436*F436*G436+K436*G436+L436*F436+M436,3)</f>
        <v/>
      </c>
      <c r="O436">
        <f>AND(N436&gt;=1.4,N436&lt;=13)</f>
        <v/>
      </c>
      <c r="P436">
        <f>IF(OR(N436&lt;1.4,N436&gt;13),"",IF(G436*1000&lt;=1170,IF(N436&lt;1.8,"1014",IF(N436&lt;2.9,"1018",IF(N436&lt;3.8,"1029",IF(N436&lt;5,"1038",IF(N436&lt;7,"1050",IF(N436&lt;9,"1070",IF(N436&lt;11,"1090","1110"))))))),IF(G436*1000&lt;=1570,IF(N436&lt;1.8,"",IF(N436&lt;2.9,"2018",IF(N436&lt;3.8,"2029",IF(N436&lt;5,"2038",IF(N436&lt;7,"2050",IF(N436&lt;9,"2070",IF(N436&lt;11,"2090","2110"))))))),IF(G436*1000&lt;=1700,IF(N436&lt;1.8,"",IF(N436&lt;2.9,"3018",IF(N436&lt;3.8,"3029",IF(N436&lt;5,"3038",IF(N436&lt;7,"3050",IF(N436&lt;9,"3070",IF(N436&lt;11,"3090","3110"))))))),""))))</f>
        <v/>
      </c>
      <c r="Q436">
        <f>AND(O436=TRUE,P436&lt;&gt;"")</f>
        <v/>
      </c>
      <c r="R436">
        <f>IF(G436*1000&lt;750,"なし","あり")</f>
        <v/>
      </c>
      <c r="S436">
        <f>IF(AND(O436=TRUE,Q436=TRUE),"設定可","BLOCK")</f>
        <v/>
      </c>
      <c r="T436" t="inlineStr">
        <is>
          <t>商品カタログ P194</t>
        </is>
      </c>
      <c r="U436" t="inlineStr">
        <is>
          <t>https://webcatalog.lixil.co.jp/iportal/CatalogDetail.do?catalogID=15191910000&amp;categoryID=1630000&amp;designID=newinter&amp;method=initial_screen&amp;position=18&amp;type=mc&amp;volumeID=LXL13001</t>
        </is>
      </c>
    </row>
    <row r="437">
      <c r="A437" t="inlineStr">
        <is>
          <t>WG-SL-00434</t>
        </is>
      </c>
      <c r="B437" t="inlineStr">
        <is>
          <t>SZ-SL-000994</t>
        </is>
      </c>
      <c r="C437" t="inlineStr">
        <is>
          <t>WT-SL-MENKOSHI-AGE-FS</t>
        </is>
      </c>
      <c r="D437" t="inlineStr">
        <is>
          <t>SP-SL-AGE-GRILLE-H</t>
        </is>
      </c>
      <c r="E437" t="inlineStr">
        <is>
          <t>07409</t>
        </is>
      </c>
      <c r="F437" t="n">
        <v>0.78</v>
      </c>
      <c r="G437" t="n">
        <v>0.97</v>
      </c>
      <c r="H437" t="inlineStr">
        <is>
          <t>GL-SL-002</t>
        </is>
      </c>
      <c r="I437" t="n">
        <v>7</v>
      </c>
      <c r="J437" t="n">
        <v>9.1</v>
      </c>
      <c r="K437" t="n">
        <v>-0.48</v>
      </c>
      <c r="L437" t="n">
        <v>-0.998</v>
      </c>
      <c r="M437" t="n">
        <v>0.367</v>
      </c>
      <c r="N437">
        <f>ROUND(J437*F437*G437+K437*G437+L437*F437+M437,3)</f>
        <v/>
      </c>
      <c r="O437">
        <f>AND(N437&gt;=1.4,N437&lt;=13)</f>
        <v/>
      </c>
      <c r="P437">
        <f>IF(OR(N437&lt;1.4,N437&gt;13),"",IF(G437*1000&lt;=1170,IF(N437&lt;1.8,"1014",IF(N437&lt;2.9,"1018",IF(N437&lt;3.8,"1029",IF(N437&lt;5,"1038",IF(N437&lt;7,"1050",IF(N437&lt;9,"1070",IF(N437&lt;11,"1090","1110"))))))),IF(G437*1000&lt;=1570,IF(N437&lt;1.8,"",IF(N437&lt;2.9,"2018",IF(N437&lt;3.8,"2029",IF(N437&lt;5,"2038",IF(N437&lt;7,"2050",IF(N437&lt;9,"2070",IF(N437&lt;11,"2090","2110"))))))),IF(G437*1000&lt;=1700,IF(N437&lt;1.8,"",IF(N437&lt;2.9,"3018",IF(N437&lt;3.8,"3029",IF(N437&lt;5,"3038",IF(N437&lt;7,"3050",IF(N437&lt;9,"3070",IF(N437&lt;11,"3090","3110"))))))),""))))</f>
        <v/>
      </c>
      <c r="Q437">
        <f>AND(O437=TRUE,P437&lt;&gt;"")</f>
        <v/>
      </c>
      <c r="R437">
        <f>IF(G437*1000&lt;750,"なし","あり")</f>
        <v/>
      </c>
      <c r="S437">
        <f>IF(AND(O437=TRUE,Q437=TRUE),"設定可","BLOCK")</f>
        <v/>
      </c>
      <c r="T437" t="inlineStr">
        <is>
          <t>商品カタログ P194</t>
        </is>
      </c>
      <c r="U437" t="inlineStr">
        <is>
          <t>https://webcatalog.lixil.co.jp/iportal/CatalogDetail.do?catalogID=15191910000&amp;categoryID=1630000&amp;designID=newinter&amp;method=initial_screen&amp;position=18&amp;type=mc&amp;volumeID=LXL13001</t>
        </is>
      </c>
    </row>
    <row r="438">
      <c r="A438" t="inlineStr">
        <is>
          <t>WG-SL-00435</t>
        </is>
      </c>
      <c r="B438" t="inlineStr">
        <is>
          <t>SZ-SL-000994</t>
        </is>
      </c>
      <c r="C438" t="inlineStr">
        <is>
          <t>WT-SL-MENKOSHI-AGE-FS</t>
        </is>
      </c>
      <c r="D438" t="inlineStr">
        <is>
          <t>SP-SL-AGE-GRILLE-H</t>
        </is>
      </c>
      <c r="E438" t="inlineStr">
        <is>
          <t>07409</t>
        </is>
      </c>
      <c r="F438" t="n">
        <v>0.78</v>
      </c>
      <c r="G438" t="n">
        <v>0.97</v>
      </c>
      <c r="H438" t="inlineStr">
        <is>
          <t>GL-SL-003</t>
        </is>
      </c>
      <c r="I438" t="n">
        <v>8</v>
      </c>
      <c r="J438" t="n">
        <v>10.4</v>
      </c>
      <c r="K438" t="n">
        <v>-0.605</v>
      </c>
      <c r="L438" t="n">
        <v>-1.332</v>
      </c>
      <c r="M438" t="n">
        <v>0.399</v>
      </c>
      <c r="N438">
        <f>ROUND(J438*F438*G438+K438*G438+L438*F438+M438,3)</f>
        <v/>
      </c>
      <c r="O438">
        <f>AND(N438&gt;=1.4,N438&lt;=13)</f>
        <v/>
      </c>
      <c r="P438">
        <f>IF(OR(N438&lt;1.4,N438&gt;13),"",IF(G438*1000&lt;=1170,IF(N438&lt;1.8,"1014",IF(N438&lt;2.9,"1018",IF(N438&lt;3.8,"1029",IF(N438&lt;5,"1038",IF(N438&lt;7,"1050",IF(N438&lt;9,"1070",IF(N438&lt;11,"1090","1110"))))))),IF(G438*1000&lt;=1570,IF(N438&lt;1.8,"",IF(N438&lt;2.9,"2018",IF(N438&lt;3.8,"2029",IF(N438&lt;5,"2038",IF(N438&lt;7,"2050",IF(N438&lt;9,"2070",IF(N438&lt;11,"2090","2110"))))))),IF(G438*1000&lt;=1700,IF(N438&lt;1.8,"",IF(N438&lt;2.9,"3018",IF(N438&lt;3.8,"3029",IF(N438&lt;5,"3038",IF(N438&lt;7,"3050",IF(N438&lt;9,"3070",IF(N438&lt;11,"3090","3110"))))))),""))))</f>
        <v/>
      </c>
      <c r="Q438">
        <f>AND(O438=TRUE,P438&lt;&gt;"")</f>
        <v/>
      </c>
      <c r="R438">
        <f>IF(G438*1000&lt;750,"なし","あり")</f>
        <v/>
      </c>
      <c r="S438">
        <f>IF(AND(O438=TRUE,Q438=TRUE),"設定可","BLOCK")</f>
        <v/>
      </c>
      <c r="T438" t="inlineStr">
        <is>
          <t>商品カタログ P194</t>
        </is>
      </c>
      <c r="U438" t="inlineStr">
        <is>
          <t>https://webcatalog.lixil.co.jp/iportal/CatalogDetail.do?catalogID=15191910000&amp;categoryID=1630000&amp;designID=newinter&amp;method=initial_screen&amp;position=18&amp;type=mc&amp;volumeID=LXL13001</t>
        </is>
      </c>
    </row>
    <row r="439">
      <c r="A439" t="inlineStr">
        <is>
          <t>WG-SL-00436</t>
        </is>
      </c>
      <c r="B439" t="inlineStr">
        <is>
          <t>SZ-SL-000994</t>
        </is>
      </c>
      <c r="C439" t="inlineStr">
        <is>
          <t>WT-SL-MENKOSHI-AGE-FS</t>
        </is>
      </c>
      <c r="D439" t="inlineStr">
        <is>
          <t>SP-SL-AGE-GRILLE-H</t>
        </is>
      </c>
      <c r="E439" t="inlineStr">
        <is>
          <t>07409</t>
        </is>
      </c>
      <c r="F439" t="n">
        <v>0.78</v>
      </c>
      <c r="G439" t="n">
        <v>0.97</v>
      </c>
      <c r="H439" t="inlineStr">
        <is>
          <t>GL-SL-004</t>
        </is>
      </c>
      <c r="I439" t="n">
        <v>6</v>
      </c>
      <c r="J439" t="n">
        <v>7.8</v>
      </c>
      <c r="K439" t="n">
        <v>-0.355</v>
      </c>
      <c r="L439" t="n">
        <v>-0.664</v>
      </c>
      <c r="M439" t="n">
        <v>0.335</v>
      </c>
      <c r="N439">
        <f>ROUND(J439*F439*G439+K439*G439+L439*F439+M439,3)</f>
        <v/>
      </c>
      <c r="O439">
        <f>AND(N439&gt;=1.4,N439&lt;=13)</f>
        <v/>
      </c>
      <c r="P439">
        <f>IF(OR(N439&lt;1.4,N439&gt;13),"",IF(G439*1000&lt;=1170,IF(N439&lt;1.8,"1014",IF(N439&lt;2.9,"1018",IF(N439&lt;3.8,"1029",IF(N439&lt;5,"1038",IF(N439&lt;7,"1050",IF(N439&lt;9,"1070",IF(N439&lt;11,"1090","1110"))))))),IF(G439*1000&lt;=1570,IF(N439&lt;1.8,"",IF(N439&lt;2.9,"2018",IF(N439&lt;3.8,"2029",IF(N439&lt;5,"2038",IF(N439&lt;7,"2050",IF(N439&lt;9,"2070",IF(N439&lt;11,"2090","2110"))))))),IF(G439*1000&lt;=1700,IF(N439&lt;1.8,"",IF(N439&lt;2.9,"3018",IF(N439&lt;3.8,"3029",IF(N439&lt;5,"3038",IF(N439&lt;7,"3050",IF(N439&lt;9,"3070",IF(N439&lt;11,"3090","3110"))))))),""))))</f>
        <v/>
      </c>
      <c r="Q439">
        <f>AND(O439=TRUE,P439&lt;&gt;"")</f>
        <v/>
      </c>
      <c r="R439">
        <f>IF(G439*1000&lt;750,"なし","あり")</f>
        <v/>
      </c>
      <c r="S439">
        <f>IF(AND(O439=TRUE,Q439=TRUE),"設定可","BLOCK")</f>
        <v/>
      </c>
      <c r="T439" t="inlineStr">
        <is>
          <t>商品カタログ P194</t>
        </is>
      </c>
      <c r="U439" t="inlineStr">
        <is>
          <t>https://webcatalog.lixil.co.jp/iportal/CatalogDetail.do?catalogID=15191910000&amp;categoryID=1630000&amp;designID=newinter&amp;method=initial_screen&amp;position=18&amp;type=mc&amp;volumeID=LXL13001</t>
        </is>
      </c>
    </row>
    <row r="440">
      <c r="A440" t="inlineStr">
        <is>
          <t>WG-SL-00437</t>
        </is>
      </c>
      <c r="B440" t="inlineStr">
        <is>
          <t>SZ-SL-000994</t>
        </is>
      </c>
      <c r="C440" t="inlineStr">
        <is>
          <t>WT-SL-MENKOSHI-AGE-FS</t>
        </is>
      </c>
      <c r="D440" t="inlineStr">
        <is>
          <t>SP-SL-AGE-GRILLE-H</t>
        </is>
      </c>
      <c r="E440" t="inlineStr">
        <is>
          <t>07409</t>
        </is>
      </c>
      <c r="F440" t="n">
        <v>0.78</v>
      </c>
      <c r="G440" t="n">
        <v>0.97</v>
      </c>
      <c r="H440" t="inlineStr">
        <is>
          <t>GL-SL-005</t>
        </is>
      </c>
      <c r="I440" t="n">
        <v>7</v>
      </c>
      <c r="J440" t="n">
        <v>9.1</v>
      </c>
      <c r="K440" t="n">
        <v>-0.48</v>
      </c>
      <c r="L440" t="n">
        <v>-0.998</v>
      </c>
      <c r="M440" t="n">
        <v>0.367</v>
      </c>
      <c r="N440">
        <f>ROUND(J440*F440*G440+K440*G440+L440*F440+M440,3)</f>
        <v/>
      </c>
      <c r="O440">
        <f>AND(N440&gt;=1.4,N440&lt;=13)</f>
        <v/>
      </c>
      <c r="P440">
        <f>IF(OR(N440&lt;1.4,N440&gt;13),"",IF(G440*1000&lt;=1170,IF(N440&lt;1.8,"1014",IF(N440&lt;2.9,"1018",IF(N440&lt;3.8,"1029",IF(N440&lt;5,"1038",IF(N440&lt;7,"1050",IF(N440&lt;9,"1070",IF(N440&lt;11,"1090","1110"))))))),IF(G440*1000&lt;=1570,IF(N440&lt;1.8,"",IF(N440&lt;2.9,"2018",IF(N440&lt;3.8,"2029",IF(N440&lt;5,"2038",IF(N440&lt;7,"2050",IF(N440&lt;9,"2070",IF(N440&lt;11,"2090","2110"))))))),IF(G440*1000&lt;=1700,IF(N440&lt;1.8,"",IF(N440&lt;2.9,"3018",IF(N440&lt;3.8,"3029",IF(N440&lt;5,"3038",IF(N440&lt;7,"3050",IF(N440&lt;9,"3070",IF(N440&lt;11,"3090","3110"))))))),""))))</f>
        <v/>
      </c>
      <c r="Q440">
        <f>AND(O440=TRUE,P440&lt;&gt;"")</f>
        <v/>
      </c>
      <c r="R440">
        <f>IF(G440*1000&lt;750,"なし","あり")</f>
        <v/>
      </c>
      <c r="S440">
        <f>IF(AND(O440=TRUE,Q440=TRUE),"設定可","BLOCK")</f>
        <v/>
      </c>
      <c r="T440" t="inlineStr">
        <is>
          <t>商品カタログ P194</t>
        </is>
      </c>
      <c r="U440" t="inlineStr">
        <is>
          <t>https://webcatalog.lixil.co.jp/iportal/CatalogDetail.do?catalogID=15191910000&amp;categoryID=1630000&amp;designID=newinter&amp;method=initial_screen&amp;position=18&amp;type=mc&amp;volumeID=LXL13001</t>
        </is>
      </c>
    </row>
    <row r="441">
      <c r="A441" t="inlineStr">
        <is>
          <t>WG-SL-00438</t>
        </is>
      </c>
      <c r="B441" t="inlineStr">
        <is>
          <t>SZ-SL-000994</t>
        </is>
      </c>
      <c r="C441" t="inlineStr">
        <is>
          <t>WT-SL-MENKOSHI-AGE-FS</t>
        </is>
      </c>
      <c r="D441" t="inlineStr">
        <is>
          <t>SP-SL-AGE-GRILLE-H</t>
        </is>
      </c>
      <c r="E441" t="inlineStr">
        <is>
          <t>07409</t>
        </is>
      </c>
      <c r="F441" t="n">
        <v>0.78</v>
      </c>
      <c r="G441" t="n">
        <v>0.97</v>
      </c>
      <c r="H441" t="inlineStr">
        <is>
          <t>GL-SL-006</t>
        </is>
      </c>
      <c r="I441" t="n">
        <v>8</v>
      </c>
      <c r="J441" t="n">
        <v>10.4</v>
      </c>
      <c r="K441" t="n">
        <v>-0.605</v>
      </c>
      <c r="L441" t="n">
        <v>-1.332</v>
      </c>
      <c r="M441" t="n">
        <v>0.399</v>
      </c>
      <c r="N441">
        <f>ROUND(J441*F441*G441+K441*G441+L441*F441+M441,3)</f>
        <v/>
      </c>
      <c r="O441">
        <f>AND(N441&gt;=1.4,N441&lt;=13)</f>
        <v/>
      </c>
      <c r="P441">
        <f>IF(OR(N441&lt;1.4,N441&gt;13),"",IF(G441*1000&lt;=1170,IF(N441&lt;1.8,"1014",IF(N441&lt;2.9,"1018",IF(N441&lt;3.8,"1029",IF(N441&lt;5,"1038",IF(N441&lt;7,"1050",IF(N441&lt;9,"1070",IF(N441&lt;11,"1090","1110"))))))),IF(G441*1000&lt;=1570,IF(N441&lt;1.8,"",IF(N441&lt;2.9,"2018",IF(N441&lt;3.8,"2029",IF(N441&lt;5,"2038",IF(N441&lt;7,"2050",IF(N441&lt;9,"2070",IF(N441&lt;11,"2090","2110"))))))),IF(G441*1000&lt;=1700,IF(N441&lt;1.8,"",IF(N441&lt;2.9,"3018",IF(N441&lt;3.8,"3029",IF(N441&lt;5,"3038",IF(N441&lt;7,"3050",IF(N441&lt;9,"3070",IF(N441&lt;11,"3090","3110"))))))),""))))</f>
        <v/>
      </c>
      <c r="Q441">
        <f>AND(O441=TRUE,P441&lt;&gt;"")</f>
        <v/>
      </c>
      <c r="R441">
        <f>IF(G441*1000&lt;750,"なし","あり")</f>
        <v/>
      </c>
      <c r="S441">
        <f>IF(AND(O441=TRUE,Q441=TRUE),"設定可","BLOCK")</f>
        <v/>
      </c>
      <c r="T441" t="inlineStr">
        <is>
          <t>商品カタログ P194</t>
        </is>
      </c>
      <c r="U441" t="inlineStr">
        <is>
          <t>https://webcatalog.lixil.co.jp/iportal/CatalogDetail.do?catalogID=15191910000&amp;categoryID=1630000&amp;designID=newinter&amp;method=initial_screen&amp;position=18&amp;type=mc&amp;volumeID=LXL13001</t>
        </is>
      </c>
    </row>
    <row r="442">
      <c r="A442" t="inlineStr">
        <is>
          <t>WG-SL-00439</t>
        </is>
      </c>
      <c r="B442" t="inlineStr">
        <is>
          <t>SZ-SL-000994</t>
        </is>
      </c>
      <c r="C442" t="inlineStr">
        <is>
          <t>WT-SL-MENKOSHI-AGE-FS</t>
        </is>
      </c>
      <c r="D442" t="inlineStr">
        <is>
          <t>SP-SL-AGE-GRILLE-H</t>
        </is>
      </c>
      <c r="E442" t="inlineStr">
        <is>
          <t>07409</t>
        </is>
      </c>
      <c r="F442" t="n">
        <v>0.78</v>
      </c>
      <c r="G442" t="n">
        <v>0.97</v>
      </c>
      <c r="H442" t="inlineStr">
        <is>
          <t>GL-SL-007</t>
        </is>
      </c>
      <c r="I442" t="n">
        <v>6</v>
      </c>
      <c r="J442" t="n">
        <v>7.8</v>
      </c>
      <c r="K442" t="n">
        <v>-0.355</v>
      </c>
      <c r="L442" t="n">
        <v>-0.664</v>
      </c>
      <c r="M442" t="n">
        <v>0.335</v>
      </c>
      <c r="N442">
        <f>ROUND(J442*F442*G442+K442*G442+L442*F442+M442,3)</f>
        <v/>
      </c>
      <c r="O442">
        <f>AND(N442&gt;=1.4,N442&lt;=13)</f>
        <v/>
      </c>
      <c r="P442">
        <f>IF(OR(N442&lt;1.4,N442&gt;13),"",IF(G442*1000&lt;=1170,IF(N442&lt;1.8,"1014",IF(N442&lt;2.9,"1018",IF(N442&lt;3.8,"1029",IF(N442&lt;5,"1038",IF(N442&lt;7,"1050",IF(N442&lt;9,"1070",IF(N442&lt;11,"1090","1110"))))))),IF(G442*1000&lt;=1570,IF(N442&lt;1.8,"",IF(N442&lt;2.9,"2018",IF(N442&lt;3.8,"2029",IF(N442&lt;5,"2038",IF(N442&lt;7,"2050",IF(N442&lt;9,"2070",IF(N442&lt;11,"2090","2110"))))))),IF(G442*1000&lt;=1700,IF(N442&lt;1.8,"",IF(N442&lt;2.9,"3018",IF(N442&lt;3.8,"3029",IF(N442&lt;5,"3038",IF(N442&lt;7,"3050",IF(N442&lt;9,"3070",IF(N442&lt;11,"3090","3110"))))))),""))))</f>
        <v/>
      </c>
      <c r="Q442">
        <f>AND(O442=TRUE,P442&lt;&gt;"")</f>
        <v/>
      </c>
      <c r="R442">
        <f>IF(G442*1000&lt;750,"なし","あり")</f>
        <v/>
      </c>
      <c r="S442">
        <f>IF(AND(O442=TRUE,Q442=TRUE),"設定可","BLOCK")</f>
        <v/>
      </c>
      <c r="T442" t="inlineStr">
        <is>
          <t>商品カタログ P194</t>
        </is>
      </c>
      <c r="U442" t="inlineStr">
        <is>
          <t>https://webcatalog.lixil.co.jp/iportal/CatalogDetail.do?catalogID=15191910000&amp;categoryID=1630000&amp;designID=newinter&amp;method=initial_screen&amp;position=18&amp;type=mc&amp;volumeID=LXL13001</t>
        </is>
      </c>
    </row>
    <row r="443">
      <c r="A443" t="inlineStr">
        <is>
          <t>WG-SL-00440</t>
        </is>
      </c>
      <c r="B443" t="inlineStr">
        <is>
          <t>SZ-SL-000994</t>
        </is>
      </c>
      <c r="C443" t="inlineStr">
        <is>
          <t>WT-SL-MENKOSHI-AGE-FS</t>
        </is>
      </c>
      <c r="D443" t="inlineStr">
        <is>
          <t>SP-SL-AGE-GRILLE-H</t>
        </is>
      </c>
      <c r="E443" t="inlineStr">
        <is>
          <t>07409</t>
        </is>
      </c>
      <c r="F443" t="n">
        <v>0.78</v>
      </c>
      <c r="G443" t="n">
        <v>0.97</v>
      </c>
      <c r="H443" t="inlineStr">
        <is>
          <t>GL-SL-008</t>
        </is>
      </c>
      <c r="I443" t="n">
        <v>7</v>
      </c>
      <c r="J443" t="n">
        <v>9.1</v>
      </c>
      <c r="K443" t="n">
        <v>-0.48</v>
      </c>
      <c r="L443" t="n">
        <v>-0.998</v>
      </c>
      <c r="M443" t="n">
        <v>0.367</v>
      </c>
      <c r="N443">
        <f>ROUND(J443*F443*G443+K443*G443+L443*F443+M443,3)</f>
        <v/>
      </c>
      <c r="O443">
        <f>AND(N443&gt;=1.4,N443&lt;=13)</f>
        <v/>
      </c>
      <c r="P443">
        <f>IF(OR(N443&lt;1.4,N443&gt;13),"",IF(G443*1000&lt;=1170,IF(N443&lt;1.8,"1014",IF(N443&lt;2.9,"1018",IF(N443&lt;3.8,"1029",IF(N443&lt;5,"1038",IF(N443&lt;7,"1050",IF(N443&lt;9,"1070",IF(N443&lt;11,"1090","1110"))))))),IF(G443*1000&lt;=1570,IF(N443&lt;1.8,"",IF(N443&lt;2.9,"2018",IF(N443&lt;3.8,"2029",IF(N443&lt;5,"2038",IF(N443&lt;7,"2050",IF(N443&lt;9,"2070",IF(N443&lt;11,"2090","2110"))))))),IF(G443*1000&lt;=1700,IF(N443&lt;1.8,"",IF(N443&lt;2.9,"3018",IF(N443&lt;3.8,"3029",IF(N443&lt;5,"3038",IF(N443&lt;7,"3050",IF(N443&lt;9,"3070",IF(N443&lt;11,"3090","3110"))))))),""))))</f>
        <v/>
      </c>
      <c r="Q443">
        <f>AND(O443=TRUE,P443&lt;&gt;"")</f>
        <v/>
      </c>
      <c r="R443">
        <f>IF(G443*1000&lt;750,"なし","あり")</f>
        <v/>
      </c>
      <c r="S443">
        <f>IF(AND(O443=TRUE,Q443=TRUE),"設定可","BLOCK")</f>
        <v/>
      </c>
      <c r="T443" t="inlineStr">
        <is>
          <t>商品カタログ P194</t>
        </is>
      </c>
      <c r="U443" t="inlineStr">
        <is>
          <t>https://webcatalog.lixil.co.jp/iportal/CatalogDetail.do?catalogID=15191910000&amp;categoryID=1630000&amp;designID=newinter&amp;method=initial_screen&amp;position=18&amp;type=mc&amp;volumeID=LXL13001</t>
        </is>
      </c>
    </row>
    <row r="444">
      <c r="A444" t="inlineStr">
        <is>
          <t>WG-SL-00441</t>
        </is>
      </c>
      <c r="B444" t="inlineStr">
        <is>
          <t>SZ-SL-000994</t>
        </is>
      </c>
      <c r="C444" t="inlineStr">
        <is>
          <t>WT-SL-MENKOSHI-AGE-FS</t>
        </is>
      </c>
      <c r="D444" t="inlineStr">
        <is>
          <t>SP-SL-AGE-GRILLE-H</t>
        </is>
      </c>
      <c r="E444" t="inlineStr">
        <is>
          <t>07409</t>
        </is>
      </c>
      <c r="F444" t="n">
        <v>0.78</v>
      </c>
      <c r="G444" t="n">
        <v>0.97</v>
      </c>
      <c r="H444" t="inlineStr">
        <is>
          <t>GL-SL-009</t>
        </is>
      </c>
      <c r="I444" t="n">
        <v>8</v>
      </c>
      <c r="J444" t="n">
        <v>10.4</v>
      </c>
      <c r="K444" t="n">
        <v>-0.605</v>
      </c>
      <c r="L444" t="n">
        <v>-1.332</v>
      </c>
      <c r="M444" t="n">
        <v>0.399</v>
      </c>
      <c r="N444">
        <f>ROUND(J444*F444*G444+K444*G444+L444*F444+M444,3)</f>
        <v/>
      </c>
      <c r="O444">
        <f>AND(N444&gt;=1.4,N444&lt;=13)</f>
        <v/>
      </c>
      <c r="P444">
        <f>IF(OR(N444&lt;1.4,N444&gt;13),"",IF(G444*1000&lt;=1170,IF(N444&lt;1.8,"1014",IF(N444&lt;2.9,"1018",IF(N444&lt;3.8,"1029",IF(N444&lt;5,"1038",IF(N444&lt;7,"1050",IF(N444&lt;9,"1070",IF(N444&lt;11,"1090","1110"))))))),IF(G444*1000&lt;=1570,IF(N444&lt;1.8,"",IF(N444&lt;2.9,"2018",IF(N444&lt;3.8,"2029",IF(N444&lt;5,"2038",IF(N444&lt;7,"2050",IF(N444&lt;9,"2070",IF(N444&lt;11,"2090","2110"))))))),IF(G444*1000&lt;=1700,IF(N444&lt;1.8,"",IF(N444&lt;2.9,"3018",IF(N444&lt;3.8,"3029",IF(N444&lt;5,"3038",IF(N444&lt;7,"3050",IF(N444&lt;9,"3070",IF(N444&lt;11,"3090","3110"))))))),""))))</f>
        <v/>
      </c>
      <c r="Q444">
        <f>AND(O444=TRUE,P444&lt;&gt;"")</f>
        <v/>
      </c>
      <c r="R444">
        <f>IF(G444*1000&lt;750,"なし","あり")</f>
        <v/>
      </c>
      <c r="S444">
        <f>IF(AND(O444=TRUE,Q444=TRUE),"設定可","BLOCK")</f>
        <v/>
      </c>
      <c r="T444" t="inlineStr">
        <is>
          <t>商品カタログ P194</t>
        </is>
      </c>
      <c r="U444" t="inlineStr">
        <is>
          <t>https://webcatalog.lixil.co.jp/iportal/CatalogDetail.do?catalogID=15191910000&amp;categoryID=1630000&amp;designID=newinter&amp;method=initial_screen&amp;position=18&amp;type=mc&amp;volumeID=LXL13001</t>
        </is>
      </c>
    </row>
    <row r="445">
      <c r="A445" t="inlineStr">
        <is>
          <t>WG-SL-00442</t>
        </is>
      </c>
      <c r="B445" t="inlineStr">
        <is>
          <t>SZ-SL-000995</t>
        </is>
      </c>
      <c r="C445" t="inlineStr">
        <is>
          <t>WT-SL-MENKOSHI-AGE-FS</t>
        </is>
      </c>
      <c r="D445" t="inlineStr">
        <is>
          <t>SP-SL-AGE-GRILLE-IGETA</t>
        </is>
      </c>
      <c r="E445" t="inlineStr">
        <is>
          <t>02609</t>
        </is>
      </c>
      <c r="F445" t="n">
        <v>0.3</v>
      </c>
      <c r="G445" t="n">
        <v>0.97</v>
      </c>
      <c r="H445" t="inlineStr">
        <is>
          <t>GL-SL-001</t>
        </is>
      </c>
      <c r="I445" t="n">
        <v>6</v>
      </c>
      <c r="J445" t="n">
        <v>7.8</v>
      </c>
      <c r="K445" t="n">
        <v>-0.355</v>
      </c>
      <c r="L445" t="n">
        <v>-0.664</v>
      </c>
      <c r="M445" t="n">
        <v>0.335</v>
      </c>
      <c r="N445">
        <f>ROUND(J445*F445*G445+K445*G445+L445*F445+M445,3)</f>
        <v/>
      </c>
      <c r="O445">
        <f>AND(N445&gt;=1.4,N445&lt;=13)</f>
        <v/>
      </c>
      <c r="P445">
        <f>IF(OR(N445&lt;1.4,N445&gt;13),"",IF(G445*1000&lt;=1170,IF(N445&lt;1.8,"1014",IF(N445&lt;2.9,"1018",IF(N445&lt;3.8,"1029",IF(N445&lt;5,"1038",IF(N445&lt;7,"1050",IF(N445&lt;9,"1070",IF(N445&lt;11,"1090","1110"))))))),IF(G445*1000&lt;=1570,IF(N445&lt;1.8,"",IF(N445&lt;2.9,"2018",IF(N445&lt;3.8,"2029",IF(N445&lt;5,"2038",IF(N445&lt;7,"2050",IF(N445&lt;9,"2070",IF(N445&lt;11,"2090","2110"))))))),IF(G445*1000&lt;=1700,IF(N445&lt;1.8,"",IF(N445&lt;2.9,"3018",IF(N445&lt;3.8,"3029",IF(N445&lt;5,"3038",IF(N445&lt;7,"3050",IF(N445&lt;9,"3070",IF(N445&lt;11,"3090","3110"))))))),""))))</f>
        <v/>
      </c>
      <c r="Q445">
        <f>AND(O445=TRUE,P445&lt;&gt;"")</f>
        <v/>
      </c>
      <c r="R445">
        <f>IF(G445*1000&lt;750,"なし","あり")</f>
        <v/>
      </c>
      <c r="S445">
        <f>IF(AND(O445=TRUE,Q445=TRUE),"設定可","BLOCK")</f>
        <v/>
      </c>
      <c r="T445" t="inlineStr">
        <is>
          <t>商品カタログ P194</t>
        </is>
      </c>
      <c r="U445" t="inlineStr">
        <is>
          <t>https://webcatalog.lixil.co.jp/iportal/CatalogDetail.do?catalogID=15191910000&amp;categoryID=1630000&amp;designID=newinter&amp;method=initial_screen&amp;position=18&amp;type=mc&amp;volumeID=LXL13001</t>
        </is>
      </c>
    </row>
    <row r="446">
      <c r="A446" t="inlineStr">
        <is>
          <t>WG-SL-00443</t>
        </is>
      </c>
      <c r="B446" t="inlineStr">
        <is>
          <t>SZ-SL-000995</t>
        </is>
      </c>
      <c r="C446" t="inlineStr">
        <is>
          <t>WT-SL-MENKOSHI-AGE-FS</t>
        </is>
      </c>
      <c r="D446" t="inlineStr">
        <is>
          <t>SP-SL-AGE-GRILLE-IGETA</t>
        </is>
      </c>
      <c r="E446" t="inlineStr">
        <is>
          <t>02609</t>
        </is>
      </c>
      <c r="F446" t="n">
        <v>0.3</v>
      </c>
      <c r="G446" t="n">
        <v>0.97</v>
      </c>
      <c r="H446" t="inlineStr">
        <is>
          <t>GL-SL-002</t>
        </is>
      </c>
      <c r="I446" t="n">
        <v>7</v>
      </c>
      <c r="J446" t="n">
        <v>9.1</v>
      </c>
      <c r="K446" t="n">
        <v>-0.48</v>
      </c>
      <c r="L446" t="n">
        <v>-0.998</v>
      </c>
      <c r="M446" t="n">
        <v>0.367</v>
      </c>
      <c r="N446">
        <f>ROUND(J446*F446*G446+K446*G446+L446*F446+M446,3)</f>
        <v/>
      </c>
      <c r="O446">
        <f>AND(N446&gt;=1.4,N446&lt;=13)</f>
        <v/>
      </c>
      <c r="P446">
        <f>IF(OR(N446&lt;1.4,N446&gt;13),"",IF(G446*1000&lt;=1170,IF(N446&lt;1.8,"1014",IF(N446&lt;2.9,"1018",IF(N446&lt;3.8,"1029",IF(N446&lt;5,"1038",IF(N446&lt;7,"1050",IF(N446&lt;9,"1070",IF(N446&lt;11,"1090","1110"))))))),IF(G446*1000&lt;=1570,IF(N446&lt;1.8,"",IF(N446&lt;2.9,"2018",IF(N446&lt;3.8,"2029",IF(N446&lt;5,"2038",IF(N446&lt;7,"2050",IF(N446&lt;9,"2070",IF(N446&lt;11,"2090","2110"))))))),IF(G446*1000&lt;=1700,IF(N446&lt;1.8,"",IF(N446&lt;2.9,"3018",IF(N446&lt;3.8,"3029",IF(N446&lt;5,"3038",IF(N446&lt;7,"3050",IF(N446&lt;9,"3070",IF(N446&lt;11,"3090","3110"))))))),""))))</f>
        <v/>
      </c>
      <c r="Q446">
        <f>AND(O446=TRUE,P446&lt;&gt;"")</f>
        <v/>
      </c>
      <c r="R446">
        <f>IF(G446*1000&lt;750,"なし","あり")</f>
        <v/>
      </c>
      <c r="S446">
        <f>IF(AND(O446=TRUE,Q446=TRUE),"設定可","BLOCK")</f>
        <v/>
      </c>
      <c r="T446" t="inlineStr">
        <is>
          <t>商品カタログ P194</t>
        </is>
      </c>
      <c r="U446" t="inlineStr">
        <is>
          <t>https://webcatalog.lixil.co.jp/iportal/CatalogDetail.do?catalogID=15191910000&amp;categoryID=1630000&amp;designID=newinter&amp;method=initial_screen&amp;position=18&amp;type=mc&amp;volumeID=LXL13001</t>
        </is>
      </c>
    </row>
    <row r="447">
      <c r="A447" t="inlineStr">
        <is>
          <t>WG-SL-00444</t>
        </is>
      </c>
      <c r="B447" t="inlineStr">
        <is>
          <t>SZ-SL-000995</t>
        </is>
      </c>
      <c r="C447" t="inlineStr">
        <is>
          <t>WT-SL-MENKOSHI-AGE-FS</t>
        </is>
      </c>
      <c r="D447" t="inlineStr">
        <is>
          <t>SP-SL-AGE-GRILLE-IGETA</t>
        </is>
      </c>
      <c r="E447" t="inlineStr">
        <is>
          <t>02609</t>
        </is>
      </c>
      <c r="F447" t="n">
        <v>0.3</v>
      </c>
      <c r="G447" t="n">
        <v>0.97</v>
      </c>
      <c r="H447" t="inlineStr">
        <is>
          <t>GL-SL-003</t>
        </is>
      </c>
      <c r="I447" t="n">
        <v>8</v>
      </c>
      <c r="J447" t="n">
        <v>10.4</v>
      </c>
      <c r="K447" t="n">
        <v>-0.605</v>
      </c>
      <c r="L447" t="n">
        <v>-1.332</v>
      </c>
      <c r="M447" t="n">
        <v>0.399</v>
      </c>
      <c r="N447">
        <f>ROUND(J447*F447*G447+K447*G447+L447*F447+M447,3)</f>
        <v/>
      </c>
      <c r="O447">
        <f>AND(N447&gt;=1.4,N447&lt;=13)</f>
        <v/>
      </c>
      <c r="P447">
        <f>IF(OR(N447&lt;1.4,N447&gt;13),"",IF(G447*1000&lt;=1170,IF(N447&lt;1.8,"1014",IF(N447&lt;2.9,"1018",IF(N447&lt;3.8,"1029",IF(N447&lt;5,"1038",IF(N447&lt;7,"1050",IF(N447&lt;9,"1070",IF(N447&lt;11,"1090","1110"))))))),IF(G447*1000&lt;=1570,IF(N447&lt;1.8,"",IF(N447&lt;2.9,"2018",IF(N447&lt;3.8,"2029",IF(N447&lt;5,"2038",IF(N447&lt;7,"2050",IF(N447&lt;9,"2070",IF(N447&lt;11,"2090","2110"))))))),IF(G447*1000&lt;=1700,IF(N447&lt;1.8,"",IF(N447&lt;2.9,"3018",IF(N447&lt;3.8,"3029",IF(N447&lt;5,"3038",IF(N447&lt;7,"3050",IF(N447&lt;9,"3070",IF(N447&lt;11,"3090","3110"))))))),""))))</f>
        <v/>
      </c>
      <c r="Q447">
        <f>AND(O447=TRUE,P447&lt;&gt;"")</f>
        <v/>
      </c>
      <c r="R447">
        <f>IF(G447*1000&lt;750,"なし","あり")</f>
        <v/>
      </c>
      <c r="S447">
        <f>IF(AND(O447=TRUE,Q447=TRUE),"設定可","BLOCK")</f>
        <v/>
      </c>
      <c r="T447" t="inlineStr">
        <is>
          <t>商品カタログ P194</t>
        </is>
      </c>
      <c r="U447" t="inlineStr">
        <is>
          <t>https://webcatalog.lixil.co.jp/iportal/CatalogDetail.do?catalogID=15191910000&amp;categoryID=1630000&amp;designID=newinter&amp;method=initial_screen&amp;position=18&amp;type=mc&amp;volumeID=LXL13001</t>
        </is>
      </c>
    </row>
    <row r="448">
      <c r="A448" t="inlineStr">
        <is>
          <t>WG-SL-00445</t>
        </is>
      </c>
      <c r="B448" t="inlineStr">
        <is>
          <t>SZ-SL-000995</t>
        </is>
      </c>
      <c r="C448" t="inlineStr">
        <is>
          <t>WT-SL-MENKOSHI-AGE-FS</t>
        </is>
      </c>
      <c r="D448" t="inlineStr">
        <is>
          <t>SP-SL-AGE-GRILLE-IGETA</t>
        </is>
      </c>
      <c r="E448" t="inlineStr">
        <is>
          <t>02609</t>
        </is>
      </c>
      <c r="F448" t="n">
        <v>0.3</v>
      </c>
      <c r="G448" t="n">
        <v>0.97</v>
      </c>
      <c r="H448" t="inlineStr">
        <is>
          <t>GL-SL-004</t>
        </is>
      </c>
      <c r="I448" t="n">
        <v>6</v>
      </c>
      <c r="J448" t="n">
        <v>7.8</v>
      </c>
      <c r="K448" t="n">
        <v>-0.355</v>
      </c>
      <c r="L448" t="n">
        <v>-0.664</v>
      </c>
      <c r="M448" t="n">
        <v>0.335</v>
      </c>
      <c r="N448">
        <f>ROUND(J448*F448*G448+K448*G448+L448*F448+M448,3)</f>
        <v/>
      </c>
      <c r="O448">
        <f>AND(N448&gt;=1.4,N448&lt;=13)</f>
        <v/>
      </c>
      <c r="P448">
        <f>IF(OR(N448&lt;1.4,N448&gt;13),"",IF(G448*1000&lt;=1170,IF(N448&lt;1.8,"1014",IF(N448&lt;2.9,"1018",IF(N448&lt;3.8,"1029",IF(N448&lt;5,"1038",IF(N448&lt;7,"1050",IF(N448&lt;9,"1070",IF(N448&lt;11,"1090","1110"))))))),IF(G448*1000&lt;=1570,IF(N448&lt;1.8,"",IF(N448&lt;2.9,"2018",IF(N448&lt;3.8,"2029",IF(N448&lt;5,"2038",IF(N448&lt;7,"2050",IF(N448&lt;9,"2070",IF(N448&lt;11,"2090","2110"))))))),IF(G448*1000&lt;=1700,IF(N448&lt;1.8,"",IF(N448&lt;2.9,"3018",IF(N448&lt;3.8,"3029",IF(N448&lt;5,"3038",IF(N448&lt;7,"3050",IF(N448&lt;9,"3070",IF(N448&lt;11,"3090","3110"))))))),""))))</f>
        <v/>
      </c>
      <c r="Q448">
        <f>AND(O448=TRUE,P448&lt;&gt;"")</f>
        <v/>
      </c>
      <c r="R448">
        <f>IF(G448*1000&lt;750,"なし","あり")</f>
        <v/>
      </c>
      <c r="S448">
        <f>IF(AND(O448=TRUE,Q448=TRUE),"設定可","BLOCK")</f>
        <v/>
      </c>
      <c r="T448" t="inlineStr">
        <is>
          <t>商品カタログ P194</t>
        </is>
      </c>
      <c r="U448" t="inlineStr">
        <is>
          <t>https://webcatalog.lixil.co.jp/iportal/CatalogDetail.do?catalogID=15191910000&amp;categoryID=1630000&amp;designID=newinter&amp;method=initial_screen&amp;position=18&amp;type=mc&amp;volumeID=LXL13001</t>
        </is>
      </c>
    </row>
    <row r="449">
      <c r="A449" t="inlineStr">
        <is>
          <t>WG-SL-00446</t>
        </is>
      </c>
      <c r="B449" t="inlineStr">
        <is>
          <t>SZ-SL-000995</t>
        </is>
      </c>
      <c r="C449" t="inlineStr">
        <is>
          <t>WT-SL-MENKOSHI-AGE-FS</t>
        </is>
      </c>
      <c r="D449" t="inlineStr">
        <is>
          <t>SP-SL-AGE-GRILLE-IGETA</t>
        </is>
      </c>
      <c r="E449" t="inlineStr">
        <is>
          <t>02609</t>
        </is>
      </c>
      <c r="F449" t="n">
        <v>0.3</v>
      </c>
      <c r="G449" t="n">
        <v>0.97</v>
      </c>
      <c r="H449" t="inlineStr">
        <is>
          <t>GL-SL-005</t>
        </is>
      </c>
      <c r="I449" t="n">
        <v>7</v>
      </c>
      <c r="J449" t="n">
        <v>9.1</v>
      </c>
      <c r="K449" t="n">
        <v>-0.48</v>
      </c>
      <c r="L449" t="n">
        <v>-0.998</v>
      </c>
      <c r="M449" t="n">
        <v>0.367</v>
      </c>
      <c r="N449">
        <f>ROUND(J449*F449*G449+K449*G449+L449*F449+M449,3)</f>
        <v/>
      </c>
      <c r="O449">
        <f>AND(N449&gt;=1.4,N449&lt;=13)</f>
        <v/>
      </c>
      <c r="P449">
        <f>IF(OR(N449&lt;1.4,N449&gt;13),"",IF(G449*1000&lt;=1170,IF(N449&lt;1.8,"1014",IF(N449&lt;2.9,"1018",IF(N449&lt;3.8,"1029",IF(N449&lt;5,"1038",IF(N449&lt;7,"1050",IF(N449&lt;9,"1070",IF(N449&lt;11,"1090","1110"))))))),IF(G449*1000&lt;=1570,IF(N449&lt;1.8,"",IF(N449&lt;2.9,"2018",IF(N449&lt;3.8,"2029",IF(N449&lt;5,"2038",IF(N449&lt;7,"2050",IF(N449&lt;9,"2070",IF(N449&lt;11,"2090","2110"))))))),IF(G449*1000&lt;=1700,IF(N449&lt;1.8,"",IF(N449&lt;2.9,"3018",IF(N449&lt;3.8,"3029",IF(N449&lt;5,"3038",IF(N449&lt;7,"3050",IF(N449&lt;9,"3070",IF(N449&lt;11,"3090","3110"))))))),""))))</f>
        <v/>
      </c>
      <c r="Q449">
        <f>AND(O449=TRUE,P449&lt;&gt;"")</f>
        <v/>
      </c>
      <c r="R449">
        <f>IF(G449*1000&lt;750,"なし","あり")</f>
        <v/>
      </c>
      <c r="S449">
        <f>IF(AND(O449=TRUE,Q449=TRUE),"設定可","BLOCK")</f>
        <v/>
      </c>
      <c r="T449" t="inlineStr">
        <is>
          <t>商品カタログ P194</t>
        </is>
      </c>
      <c r="U449" t="inlineStr">
        <is>
          <t>https://webcatalog.lixil.co.jp/iportal/CatalogDetail.do?catalogID=15191910000&amp;categoryID=1630000&amp;designID=newinter&amp;method=initial_screen&amp;position=18&amp;type=mc&amp;volumeID=LXL13001</t>
        </is>
      </c>
    </row>
    <row r="450">
      <c r="A450" t="inlineStr">
        <is>
          <t>WG-SL-00447</t>
        </is>
      </c>
      <c r="B450" t="inlineStr">
        <is>
          <t>SZ-SL-000995</t>
        </is>
      </c>
      <c r="C450" t="inlineStr">
        <is>
          <t>WT-SL-MENKOSHI-AGE-FS</t>
        </is>
      </c>
      <c r="D450" t="inlineStr">
        <is>
          <t>SP-SL-AGE-GRILLE-IGETA</t>
        </is>
      </c>
      <c r="E450" t="inlineStr">
        <is>
          <t>02609</t>
        </is>
      </c>
      <c r="F450" t="n">
        <v>0.3</v>
      </c>
      <c r="G450" t="n">
        <v>0.97</v>
      </c>
      <c r="H450" t="inlineStr">
        <is>
          <t>GL-SL-006</t>
        </is>
      </c>
      <c r="I450" t="n">
        <v>8</v>
      </c>
      <c r="J450" t="n">
        <v>10.4</v>
      </c>
      <c r="K450" t="n">
        <v>-0.605</v>
      </c>
      <c r="L450" t="n">
        <v>-1.332</v>
      </c>
      <c r="M450" t="n">
        <v>0.399</v>
      </c>
      <c r="N450">
        <f>ROUND(J450*F450*G450+K450*G450+L450*F450+M450,3)</f>
        <v/>
      </c>
      <c r="O450">
        <f>AND(N450&gt;=1.4,N450&lt;=13)</f>
        <v/>
      </c>
      <c r="P450">
        <f>IF(OR(N450&lt;1.4,N450&gt;13),"",IF(G450*1000&lt;=1170,IF(N450&lt;1.8,"1014",IF(N450&lt;2.9,"1018",IF(N450&lt;3.8,"1029",IF(N450&lt;5,"1038",IF(N450&lt;7,"1050",IF(N450&lt;9,"1070",IF(N450&lt;11,"1090","1110"))))))),IF(G450*1000&lt;=1570,IF(N450&lt;1.8,"",IF(N450&lt;2.9,"2018",IF(N450&lt;3.8,"2029",IF(N450&lt;5,"2038",IF(N450&lt;7,"2050",IF(N450&lt;9,"2070",IF(N450&lt;11,"2090","2110"))))))),IF(G450*1000&lt;=1700,IF(N450&lt;1.8,"",IF(N450&lt;2.9,"3018",IF(N450&lt;3.8,"3029",IF(N450&lt;5,"3038",IF(N450&lt;7,"3050",IF(N450&lt;9,"3070",IF(N450&lt;11,"3090","3110"))))))),""))))</f>
        <v/>
      </c>
      <c r="Q450">
        <f>AND(O450=TRUE,P450&lt;&gt;"")</f>
        <v/>
      </c>
      <c r="R450">
        <f>IF(G450*1000&lt;750,"なし","あり")</f>
        <v/>
      </c>
      <c r="S450">
        <f>IF(AND(O450=TRUE,Q450=TRUE),"設定可","BLOCK")</f>
        <v/>
      </c>
      <c r="T450" t="inlineStr">
        <is>
          <t>商品カタログ P194</t>
        </is>
      </c>
      <c r="U450" t="inlineStr">
        <is>
          <t>https://webcatalog.lixil.co.jp/iportal/CatalogDetail.do?catalogID=15191910000&amp;categoryID=1630000&amp;designID=newinter&amp;method=initial_screen&amp;position=18&amp;type=mc&amp;volumeID=LXL13001</t>
        </is>
      </c>
    </row>
    <row r="451">
      <c r="A451" t="inlineStr">
        <is>
          <t>WG-SL-00448</t>
        </is>
      </c>
      <c r="B451" t="inlineStr">
        <is>
          <t>SZ-SL-000995</t>
        </is>
      </c>
      <c r="C451" t="inlineStr">
        <is>
          <t>WT-SL-MENKOSHI-AGE-FS</t>
        </is>
      </c>
      <c r="D451" t="inlineStr">
        <is>
          <t>SP-SL-AGE-GRILLE-IGETA</t>
        </is>
      </c>
      <c r="E451" t="inlineStr">
        <is>
          <t>02609</t>
        </is>
      </c>
      <c r="F451" t="n">
        <v>0.3</v>
      </c>
      <c r="G451" t="n">
        <v>0.97</v>
      </c>
      <c r="H451" t="inlineStr">
        <is>
          <t>GL-SL-007</t>
        </is>
      </c>
      <c r="I451" t="n">
        <v>6</v>
      </c>
      <c r="J451" t="n">
        <v>7.8</v>
      </c>
      <c r="K451" t="n">
        <v>-0.355</v>
      </c>
      <c r="L451" t="n">
        <v>-0.664</v>
      </c>
      <c r="M451" t="n">
        <v>0.335</v>
      </c>
      <c r="N451">
        <f>ROUND(J451*F451*G451+K451*G451+L451*F451+M451,3)</f>
        <v/>
      </c>
      <c r="O451">
        <f>AND(N451&gt;=1.4,N451&lt;=13)</f>
        <v/>
      </c>
      <c r="P451">
        <f>IF(OR(N451&lt;1.4,N451&gt;13),"",IF(G451*1000&lt;=1170,IF(N451&lt;1.8,"1014",IF(N451&lt;2.9,"1018",IF(N451&lt;3.8,"1029",IF(N451&lt;5,"1038",IF(N451&lt;7,"1050",IF(N451&lt;9,"1070",IF(N451&lt;11,"1090","1110"))))))),IF(G451*1000&lt;=1570,IF(N451&lt;1.8,"",IF(N451&lt;2.9,"2018",IF(N451&lt;3.8,"2029",IF(N451&lt;5,"2038",IF(N451&lt;7,"2050",IF(N451&lt;9,"2070",IF(N451&lt;11,"2090","2110"))))))),IF(G451*1000&lt;=1700,IF(N451&lt;1.8,"",IF(N451&lt;2.9,"3018",IF(N451&lt;3.8,"3029",IF(N451&lt;5,"3038",IF(N451&lt;7,"3050",IF(N451&lt;9,"3070",IF(N451&lt;11,"3090","3110"))))))),""))))</f>
        <v/>
      </c>
      <c r="Q451">
        <f>AND(O451=TRUE,P451&lt;&gt;"")</f>
        <v/>
      </c>
      <c r="R451">
        <f>IF(G451*1000&lt;750,"なし","あり")</f>
        <v/>
      </c>
      <c r="S451">
        <f>IF(AND(O451=TRUE,Q451=TRUE),"設定可","BLOCK")</f>
        <v/>
      </c>
      <c r="T451" t="inlineStr">
        <is>
          <t>商品カタログ P194</t>
        </is>
      </c>
      <c r="U451" t="inlineStr">
        <is>
          <t>https://webcatalog.lixil.co.jp/iportal/CatalogDetail.do?catalogID=15191910000&amp;categoryID=1630000&amp;designID=newinter&amp;method=initial_screen&amp;position=18&amp;type=mc&amp;volumeID=LXL13001</t>
        </is>
      </c>
    </row>
    <row r="452">
      <c r="A452" t="inlineStr">
        <is>
          <t>WG-SL-00449</t>
        </is>
      </c>
      <c r="B452" t="inlineStr">
        <is>
          <t>SZ-SL-000995</t>
        </is>
      </c>
      <c r="C452" t="inlineStr">
        <is>
          <t>WT-SL-MENKOSHI-AGE-FS</t>
        </is>
      </c>
      <c r="D452" t="inlineStr">
        <is>
          <t>SP-SL-AGE-GRILLE-IGETA</t>
        </is>
      </c>
      <c r="E452" t="inlineStr">
        <is>
          <t>02609</t>
        </is>
      </c>
      <c r="F452" t="n">
        <v>0.3</v>
      </c>
      <c r="G452" t="n">
        <v>0.97</v>
      </c>
      <c r="H452" t="inlineStr">
        <is>
          <t>GL-SL-008</t>
        </is>
      </c>
      <c r="I452" t="n">
        <v>7</v>
      </c>
      <c r="J452" t="n">
        <v>9.1</v>
      </c>
      <c r="K452" t="n">
        <v>-0.48</v>
      </c>
      <c r="L452" t="n">
        <v>-0.998</v>
      </c>
      <c r="M452" t="n">
        <v>0.367</v>
      </c>
      <c r="N452">
        <f>ROUND(J452*F452*G452+K452*G452+L452*F452+M452,3)</f>
        <v/>
      </c>
      <c r="O452">
        <f>AND(N452&gt;=1.4,N452&lt;=13)</f>
        <v/>
      </c>
      <c r="P452">
        <f>IF(OR(N452&lt;1.4,N452&gt;13),"",IF(G452*1000&lt;=1170,IF(N452&lt;1.8,"1014",IF(N452&lt;2.9,"1018",IF(N452&lt;3.8,"1029",IF(N452&lt;5,"1038",IF(N452&lt;7,"1050",IF(N452&lt;9,"1070",IF(N452&lt;11,"1090","1110"))))))),IF(G452*1000&lt;=1570,IF(N452&lt;1.8,"",IF(N452&lt;2.9,"2018",IF(N452&lt;3.8,"2029",IF(N452&lt;5,"2038",IF(N452&lt;7,"2050",IF(N452&lt;9,"2070",IF(N452&lt;11,"2090","2110"))))))),IF(G452*1000&lt;=1700,IF(N452&lt;1.8,"",IF(N452&lt;2.9,"3018",IF(N452&lt;3.8,"3029",IF(N452&lt;5,"3038",IF(N452&lt;7,"3050",IF(N452&lt;9,"3070",IF(N452&lt;11,"3090","3110"))))))),""))))</f>
        <v/>
      </c>
      <c r="Q452">
        <f>AND(O452=TRUE,P452&lt;&gt;"")</f>
        <v/>
      </c>
      <c r="R452">
        <f>IF(G452*1000&lt;750,"なし","あり")</f>
        <v/>
      </c>
      <c r="S452">
        <f>IF(AND(O452=TRUE,Q452=TRUE),"設定可","BLOCK")</f>
        <v/>
      </c>
      <c r="T452" t="inlineStr">
        <is>
          <t>商品カタログ P194</t>
        </is>
      </c>
      <c r="U452" t="inlineStr">
        <is>
          <t>https://webcatalog.lixil.co.jp/iportal/CatalogDetail.do?catalogID=15191910000&amp;categoryID=1630000&amp;designID=newinter&amp;method=initial_screen&amp;position=18&amp;type=mc&amp;volumeID=LXL13001</t>
        </is>
      </c>
    </row>
    <row r="453">
      <c r="A453" t="inlineStr">
        <is>
          <t>WG-SL-00450</t>
        </is>
      </c>
      <c r="B453" t="inlineStr">
        <is>
          <t>SZ-SL-000995</t>
        </is>
      </c>
      <c r="C453" t="inlineStr">
        <is>
          <t>WT-SL-MENKOSHI-AGE-FS</t>
        </is>
      </c>
      <c r="D453" t="inlineStr">
        <is>
          <t>SP-SL-AGE-GRILLE-IGETA</t>
        </is>
      </c>
      <c r="E453" t="inlineStr">
        <is>
          <t>02609</t>
        </is>
      </c>
      <c r="F453" t="n">
        <v>0.3</v>
      </c>
      <c r="G453" t="n">
        <v>0.97</v>
      </c>
      <c r="H453" t="inlineStr">
        <is>
          <t>GL-SL-009</t>
        </is>
      </c>
      <c r="I453" t="n">
        <v>8</v>
      </c>
      <c r="J453" t="n">
        <v>10.4</v>
      </c>
      <c r="K453" t="n">
        <v>-0.605</v>
      </c>
      <c r="L453" t="n">
        <v>-1.332</v>
      </c>
      <c r="M453" t="n">
        <v>0.399</v>
      </c>
      <c r="N453">
        <f>ROUND(J453*F453*G453+K453*G453+L453*F453+M453,3)</f>
        <v/>
      </c>
      <c r="O453">
        <f>AND(N453&gt;=1.4,N453&lt;=13)</f>
        <v/>
      </c>
      <c r="P453">
        <f>IF(OR(N453&lt;1.4,N453&gt;13),"",IF(G453*1000&lt;=1170,IF(N453&lt;1.8,"1014",IF(N453&lt;2.9,"1018",IF(N453&lt;3.8,"1029",IF(N453&lt;5,"1038",IF(N453&lt;7,"1050",IF(N453&lt;9,"1070",IF(N453&lt;11,"1090","1110"))))))),IF(G453*1000&lt;=1570,IF(N453&lt;1.8,"",IF(N453&lt;2.9,"2018",IF(N453&lt;3.8,"2029",IF(N453&lt;5,"2038",IF(N453&lt;7,"2050",IF(N453&lt;9,"2070",IF(N453&lt;11,"2090","2110"))))))),IF(G453*1000&lt;=1700,IF(N453&lt;1.8,"",IF(N453&lt;2.9,"3018",IF(N453&lt;3.8,"3029",IF(N453&lt;5,"3038",IF(N453&lt;7,"3050",IF(N453&lt;9,"3070",IF(N453&lt;11,"3090","3110"))))))),""))))</f>
        <v/>
      </c>
      <c r="Q453">
        <f>AND(O453=TRUE,P453&lt;&gt;"")</f>
        <v/>
      </c>
      <c r="R453">
        <f>IF(G453*1000&lt;750,"なし","あり")</f>
        <v/>
      </c>
      <c r="S453">
        <f>IF(AND(O453=TRUE,Q453=TRUE),"設定可","BLOCK")</f>
        <v/>
      </c>
      <c r="T453" t="inlineStr">
        <is>
          <t>商品カタログ P194</t>
        </is>
      </c>
      <c r="U453" t="inlineStr">
        <is>
          <t>https://webcatalog.lixil.co.jp/iportal/CatalogDetail.do?catalogID=15191910000&amp;categoryID=1630000&amp;designID=newinter&amp;method=initial_screen&amp;position=18&amp;type=mc&amp;volumeID=LXL13001</t>
        </is>
      </c>
    </row>
    <row r="454">
      <c r="A454" t="inlineStr">
        <is>
          <t>WG-SL-00451</t>
        </is>
      </c>
      <c r="B454" t="inlineStr">
        <is>
          <t>SZ-SL-000996</t>
        </is>
      </c>
      <c r="C454" t="inlineStr">
        <is>
          <t>WT-SL-MENKOSHI-AGE-FS</t>
        </is>
      </c>
      <c r="D454" t="inlineStr">
        <is>
          <t>SP-SL-AGE-GRILLE-IGETA</t>
        </is>
      </c>
      <c r="E454" t="inlineStr">
        <is>
          <t>03609</t>
        </is>
      </c>
      <c r="F454" t="n">
        <v>0.405</v>
      </c>
      <c r="G454" t="n">
        <v>0.97</v>
      </c>
      <c r="H454" t="inlineStr">
        <is>
          <t>GL-SL-001</t>
        </is>
      </c>
      <c r="I454" t="n">
        <v>6</v>
      </c>
      <c r="J454" t="n">
        <v>7.8</v>
      </c>
      <c r="K454" t="n">
        <v>-0.355</v>
      </c>
      <c r="L454" t="n">
        <v>-0.664</v>
      </c>
      <c r="M454" t="n">
        <v>0.335</v>
      </c>
      <c r="N454">
        <f>ROUND(J454*F454*G454+K454*G454+L454*F454+M454,3)</f>
        <v/>
      </c>
      <c r="O454">
        <f>AND(N454&gt;=1.4,N454&lt;=13)</f>
        <v/>
      </c>
      <c r="P454">
        <f>IF(OR(N454&lt;1.4,N454&gt;13),"",IF(G454*1000&lt;=1170,IF(N454&lt;1.8,"1014",IF(N454&lt;2.9,"1018",IF(N454&lt;3.8,"1029",IF(N454&lt;5,"1038",IF(N454&lt;7,"1050",IF(N454&lt;9,"1070",IF(N454&lt;11,"1090","1110"))))))),IF(G454*1000&lt;=1570,IF(N454&lt;1.8,"",IF(N454&lt;2.9,"2018",IF(N454&lt;3.8,"2029",IF(N454&lt;5,"2038",IF(N454&lt;7,"2050",IF(N454&lt;9,"2070",IF(N454&lt;11,"2090","2110"))))))),IF(G454*1000&lt;=1700,IF(N454&lt;1.8,"",IF(N454&lt;2.9,"3018",IF(N454&lt;3.8,"3029",IF(N454&lt;5,"3038",IF(N454&lt;7,"3050",IF(N454&lt;9,"3070",IF(N454&lt;11,"3090","3110"))))))),""))))</f>
        <v/>
      </c>
      <c r="Q454">
        <f>AND(O454=TRUE,P454&lt;&gt;"")</f>
        <v/>
      </c>
      <c r="R454">
        <f>IF(G454*1000&lt;750,"なし","あり")</f>
        <v/>
      </c>
      <c r="S454">
        <f>IF(AND(O454=TRUE,Q454=TRUE),"設定可","BLOCK")</f>
        <v/>
      </c>
      <c r="T454" t="inlineStr">
        <is>
          <t>商品カタログ P194</t>
        </is>
      </c>
      <c r="U454" t="inlineStr">
        <is>
          <t>https://webcatalog.lixil.co.jp/iportal/CatalogDetail.do?catalogID=15191910000&amp;categoryID=1630000&amp;designID=newinter&amp;method=initial_screen&amp;position=18&amp;type=mc&amp;volumeID=LXL13001</t>
        </is>
      </c>
    </row>
    <row r="455">
      <c r="A455" t="inlineStr">
        <is>
          <t>WG-SL-00452</t>
        </is>
      </c>
      <c r="B455" t="inlineStr">
        <is>
          <t>SZ-SL-000996</t>
        </is>
      </c>
      <c r="C455" t="inlineStr">
        <is>
          <t>WT-SL-MENKOSHI-AGE-FS</t>
        </is>
      </c>
      <c r="D455" t="inlineStr">
        <is>
          <t>SP-SL-AGE-GRILLE-IGETA</t>
        </is>
      </c>
      <c r="E455" t="inlineStr">
        <is>
          <t>03609</t>
        </is>
      </c>
      <c r="F455" t="n">
        <v>0.405</v>
      </c>
      <c r="G455" t="n">
        <v>0.97</v>
      </c>
      <c r="H455" t="inlineStr">
        <is>
          <t>GL-SL-002</t>
        </is>
      </c>
      <c r="I455" t="n">
        <v>7</v>
      </c>
      <c r="J455" t="n">
        <v>9.1</v>
      </c>
      <c r="K455" t="n">
        <v>-0.48</v>
      </c>
      <c r="L455" t="n">
        <v>-0.998</v>
      </c>
      <c r="M455" t="n">
        <v>0.367</v>
      </c>
      <c r="N455">
        <f>ROUND(J455*F455*G455+K455*G455+L455*F455+M455,3)</f>
        <v/>
      </c>
      <c r="O455">
        <f>AND(N455&gt;=1.4,N455&lt;=13)</f>
        <v/>
      </c>
      <c r="P455">
        <f>IF(OR(N455&lt;1.4,N455&gt;13),"",IF(G455*1000&lt;=1170,IF(N455&lt;1.8,"1014",IF(N455&lt;2.9,"1018",IF(N455&lt;3.8,"1029",IF(N455&lt;5,"1038",IF(N455&lt;7,"1050",IF(N455&lt;9,"1070",IF(N455&lt;11,"1090","1110"))))))),IF(G455*1000&lt;=1570,IF(N455&lt;1.8,"",IF(N455&lt;2.9,"2018",IF(N455&lt;3.8,"2029",IF(N455&lt;5,"2038",IF(N455&lt;7,"2050",IF(N455&lt;9,"2070",IF(N455&lt;11,"2090","2110"))))))),IF(G455*1000&lt;=1700,IF(N455&lt;1.8,"",IF(N455&lt;2.9,"3018",IF(N455&lt;3.8,"3029",IF(N455&lt;5,"3038",IF(N455&lt;7,"3050",IF(N455&lt;9,"3070",IF(N455&lt;11,"3090","3110"))))))),""))))</f>
        <v/>
      </c>
      <c r="Q455">
        <f>AND(O455=TRUE,P455&lt;&gt;"")</f>
        <v/>
      </c>
      <c r="R455">
        <f>IF(G455*1000&lt;750,"なし","あり")</f>
        <v/>
      </c>
      <c r="S455">
        <f>IF(AND(O455=TRUE,Q455=TRUE),"設定可","BLOCK")</f>
        <v/>
      </c>
      <c r="T455" t="inlineStr">
        <is>
          <t>商品カタログ P194</t>
        </is>
      </c>
      <c r="U455" t="inlineStr">
        <is>
          <t>https://webcatalog.lixil.co.jp/iportal/CatalogDetail.do?catalogID=15191910000&amp;categoryID=1630000&amp;designID=newinter&amp;method=initial_screen&amp;position=18&amp;type=mc&amp;volumeID=LXL13001</t>
        </is>
      </c>
    </row>
    <row r="456">
      <c r="A456" t="inlineStr">
        <is>
          <t>WG-SL-00453</t>
        </is>
      </c>
      <c r="B456" t="inlineStr">
        <is>
          <t>SZ-SL-000996</t>
        </is>
      </c>
      <c r="C456" t="inlineStr">
        <is>
          <t>WT-SL-MENKOSHI-AGE-FS</t>
        </is>
      </c>
      <c r="D456" t="inlineStr">
        <is>
          <t>SP-SL-AGE-GRILLE-IGETA</t>
        </is>
      </c>
      <c r="E456" t="inlineStr">
        <is>
          <t>03609</t>
        </is>
      </c>
      <c r="F456" t="n">
        <v>0.405</v>
      </c>
      <c r="G456" t="n">
        <v>0.97</v>
      </c>
      <c r="H456" t="inlineStr">
        <is>
          <t>GL-SL-003</t>
        </is>
      </c>
      <c r="I456" t="n">
        <v>8</v>
      </c>
      <c r="J456" t="n">
        <v>10.4</v>
      </c>
      <c r="K456" t="n">
        <v>-0.605</v>
      </c>
      <c r="L456" t="n">
        <v>-1.332</v>
      </c>
      <c r="M456" t="n">
        <v>0.399</v>
      </c>
      <c r="N456">
        <f>ROUND(J456*F456*G456+K456*G456+L456*F456+M456,3)</f>
        <v/>
      </c>
      <c r="O456">
        <f>AND(N456&gt;=1.4,N456&lt;=13)</f>
        <v/>
      </c>
      <c r="P456">
        <f>IF(OR(N456&lt;1.4,N456&gt;13),"",IF(G456*1000&lt;=1170,IF(N456&lt;1.8,"1014",IF(N456&lt;2.9,"1018",IF(N456&lt;3.8,"1029",IF(N456&lt;5,"1038",IF(N456&lt;7,"1050",IF(N456&lt;9,"1070",IF(N456&lt;11,"1090","1110"))))))),IF(G456*1000&lt;=1570,IF(N456&lt;1.8,"",IF(N456&lt;2.9,"2018",IF(N456&lt;3.8,"2029",IF(N456&lt;5,"2038",IF(N456&lt;7,"2050",IF(N456&lt;9,"2070",IF(N456&lt;11,"2090","2110"))))))),IF(G456*1000&lt;=1700,IF(N456&lt;1.8,"",IF(N456&lt;2.9,"3018",IF(N456&lt;3.8,"3029",IF(N456&lt;5,"3038",IF(N456&lt;7,"3050",IF(N456&lt;9,"3070",IF(N456&lt;11,"3090","3110"))))))),""))))</f>
        <v/>
      </c>
      <c r="Q456">
        <f>AND(O456=TRUE,P456&lt;&gt;"")</f>
        <v/>
      </c>
      <c r="R456">
        <f>IF(G456*1000&lt;750,"なし","あり")</f>
        <v/>
      </c>
      <c r="S456">
        <f>IF(AND(O456=TRUE,Q456=TRUE),"設定可","BLOCK")</f>
        <v/>
      </c>
      <c r="T456" t="inlineStr">
        <is>
          <t>商品カタログ P194</t>
        </is>
      </c>
      <c r="U456" t="inlineStr">
        <is>
          <t>https://webcatalog.lixil.co.jp/iportal/CatalogDetail.do?catalogID=15191910000&amp;categoryID=1630000&amp;designID=newinter&amp;method=initial_screen&amp;position=18&amp;type=mc&amp;volumeID=LXL13001</t>
        </is>
      </c>
    </row>
    <row r="457">
      <c r="A457" t="inlineStr">
        <is>
          <t>WG-SL-00454</t>
        </is>
      </c>
      <c r="B457" t="inlineStr">
        <is>
          <t>SZ-SL-000996</t>
        </is>
      </c>
      <c r="C457" t="inlineStr">
        <is>
          <t>WT-SL-MENKOSHI-AGE-FS</t>
        </is>
      </c>
      <c r="D457" t="inlineStr">
        <is>
          <t>SP-SL-AGE-GRILLE-IGETA</t>
        </is>
      </c>
      <c r="E457" t="inlineStr">
        <is>
          <t>03609</t>
        </is>
      </c>
      <c r="F457" t="n">
        <v>0.405</v>
      </c>
      <c r="G457" t="n">
        <v>0.97</v>
      </c>
      <c r="H457" t="inlineStr">
        <is>
          <t>GL-SL-004</t>
        </is>
      </c>
      <c r="I457" t="n">
        <v>6</v>
      </c>
      <c r="J457" t="n">
        <v>7.8</v>
      </c>
      <c r="K457" t="n">
        <v>-0.355</v>
      </c>
      <c r="L457" t="n">
        <v>-0.664</v>
      </c>
      <c r="M457" t="n">
        <v>0.335</v>
      </c>
      <c r="N457">
        <f>ROUND(J457*F457*G457+K457*G457+L457*F457+M457,3)</f>
        <v/>
      </c>
      <c r="O457">
        <f>AND(N457&gt;=1.4,N457&lt;=13)</f>
        <v/>
      </c>
      <c r="P457">
        <f>IF(OR(N457&lt;1.4,N457&gt;13),"",IF(G457*1000&lt;=1170,IF(N457&lt;1.8,"1014",IF(N457&lt;2.9,"1018",IF(N457&lt;3.8,"1029",IF(N457&lt;5,"1038",IF(N457&lt;7,"1050",IF(N457&lt;9,"1070",IF(N457&lt;11,"1090","1110"))))))),IF(G457*1000&lt;=1570,IF(N457&lt;1.8,"",IF(N457&lt;2.9,"2018",IF(N457&lt;3.8,"2029",IF(N457&lt;5,"2038",IF(N457&lt;7,"2050",IF(N457&lt;9,"2070",IF(N457&lt;11,"2090","2110"))))))),IF(G457*1000&lt;=1700,IF(N457&lt;1.8,"",IF(N457&lt;2.9,"3018",IF(N457&lt;3.8,"3029",IF(N457&lt;5,"3038",IF(N457&lt;7,"3050",IF(N457&lt;9,"3070",IF(N457&lt;11,"3090","3110"))))))),""))))</f>
        <v/>
      </c>
      <c r="Q457">
        <f>AND(O457=TRUE,P457&lt;&gt;"")</f>
        <v/>
      </c>
      <c r="R457">
        <f>IF(G457*1000&lt;750,"なし","あり")</f>
        <v/>
      </c>
      <c r="S457">
        <f>IF(AND(O457=TRUE,Q457=TRUE),"設定可","BLOCK")</f>
        <v/>
      </c>
      <c r="T457" t="inlineStr">
        <is>
          <t>商品カタログ P194</t>
        </is>
      </c>
      <c r="U457" t="inlineStr">
        <is>
          <t>https://webcatalog.lixil.co.jp/iportal/CatalogDetail.do?catalogID=15191910000&amp;categoryID=1630000&amp;designID=newinter&amp;method=initial_screen&amp;position=18&amp;type=mc&amp;volumeID=LXL13001</t>
        </is>
      </c>
    </row>
    <row r="458">
      <c r="A458" t="inlineStr">
        <is>
          <t>WG-SL-00455</t>
        </is>
      </c>
      <c r="B458" t="inlineStr">
        <is>
          <t>SZ-SL-000996</t>
        </is>
      </c>
      <c r="C458" t="inlineStr">
        <is>
          <t>WT-SL-MENKOSHI-AGE-FS</t>
        </is>
      </c>
      <c r="D458" t="inlineStr">
        <is>
          <t>SP-SL-AGE-GRILLE-IGETA</t>
        </is>
      </c>
      <c r="E458" t="inlineStr">
        <is>
          <t>03609</t>
        </is>
      </c>
      <c r="F458" t="n">
        <v>0.405</v>
      </c>
      <c r="G458" t="n">
        <v>0.97</v>
      </c>
      <c r="H458" t="inlineStr">
        <is>
          <t>GL-SL-005</t>
        </is>
      </c>
      <c r="I458" t="n">
        <v>7</v>
      </c>
      <c r="J458" t="n">
        <v>9.1</v>
      </c>
      <c r="K458" t="n">
        <v>-0.48</v>
      </c>
      <c r="L458" t="n">
        <v>-0.998</v>
      </c>
      <c r="M458" t="n">
        <v>0.367</v>
      </c>
      <c r="N458">
        <f>ROUND(J458*F458*G458+K458*G458+L458*F458+M458,3)</f>
        <v/>
      </c>
      <c r="O458">
        <f>AND(N458&gt;=1.4,N458&lt;=13)</f>
        <v/>
      </c>
      <c r="P458">
        <f>IF(OR(N458&lt;1.4,N458&gt;13),"",IF(G458*1000&lt;=1170,IF(N458&lt;1.8,"1014",IF(N458&lt;2.9,"1018",IF(N458&lt;3.8,"1029",IF(N458&lt;5,"1038",IF(N458&lt;7,"1050",IF(N458&lt;9,"1070",IF(N458&lt;11,"1090","1110"))))))),IF(G458*1000&lt;=1570,IF(N458&lt;1.8,"",IF(N458&lt;2.9,"2018",IF(N458&lt;3.8,"2029",IF(N458&lt;5,"2038",IF(N458&lt;7,"2050",IF(N458&lt;9,"2070",IF(N458&lt;11,"2090","2110"))))))),IF(G458*1000&lt;=1700,IF(N458&lt;1.8,"",IF(N458&lt;2.9,"3018",IF(N458&lt;3.8,"3029",IF(N458&lt;5,"3038",IF(N458&lt;7,"3050",IF(N458&lt;9,"3070",IF(N458&lt;11,"3090","3110"))))))),""))))</f>
        <v/>
      </c>
      <c r="Q458">
        <f>AND(O458=TRUE,P458&lt;&gt;"")</f>
        <v/>
      </c>
      <c r="R458">
        <f>IF(G458*1000&lt;750,"なし","あり")</f>
        <v/>
      </c>
      <c r="S458">
        <f>IF(AND(O458=TRUE,Q458=TRUE),"設定可","BLOCK")</f>
        <v/>
      </c>
      <c r="T458" t="inlineStr">
        <is>
          <t>商品カタログ P194</t>
        </is>
      </c>
      <c r="U458" t="inlineStr">
        <is>
          <t>https://webcatalog.lixil.co.jp/iportal/CatalogDetail.do?catalogID=15191910000&amp;categoryID=1630000&amp;designID=newinter&amp;method=initial_screen&amp;position=18&amp;type=mc&amp;volumeID=LXL13001</t>
        </is>
      </c>
    </row>
    <row r="459">
      <c r="A459" t="inlineStr">
        <is>
          <t>WG-SL-00456</t>
        </is>
      </c>
      <c r="B459" t="inlineStr">
        <is>
          <t>SZ-SL-000996</t>
        </is>
      </c>
      <c r="C459" t="inlineStr">
        <is>
          <t>WT-SL-MENKOSHI-AGE-FS</t>
        </is>
      </c>
      <c r="D459" t="inlineStr">
        <is>
          <t>SP-SL-AGE-GRILLE-IGETA</t>
        </is>
      </c>
      <c r="E459" t="inlineStr">
        <is>
          <t>03609</t>
        </is>
      </c>
      <c r="F459" t="n">
        <v>0.405</v>
      </c>
      <c r="G459" t="n">
        <v>0.97</v>
      </c>
      <c r="H459" t="inlineStr">
        <is>
          <t>GL-SL-006</t>
        </is>
      </c>
      <c r="I459" t="n">
        <v>8</v>
      </c>
      <c r="J459" t="n">
        <v>10.4</v>
      </c>
      <c r="K459" t="n">
        <v>-0.605</v>
      </c>
      <c r="L459" t="n">
        <v>-1.332</v>
      </c>
      <c r="M459" t="n">
        <v>0.399</v>
      </c>
      <c r="N459">
        <f>ROUND(J459*F459*G459+K459*G459+L459*F459+M459,3)</f>
        <v/>
      </c>
      <c r="O459">
        <f>AND(N459&gt;=1.4,N459&lt;=13)</f>
        <v/>
      </c>
      <c r="P459">
        <f>IF(OR(N459&lt;1.4,N459&gt;13),"",IF(G459*1000&lt;=1170,IF(N459&lt;1.8,"1014",IF(N459&lt;2.9,"1018",IF(N459&lt;3.8,"1029",IF(N459&lt;5,"1038",IF(N459&lt;7,"1050",IF(N459&lt;9,"1070",IF(N459&lt;11,"1090","1110"))))))),IF(G459*1000&lt;=1570,IF(N459&lt;1.8,"",IF(N459&lt;2.9,"2018",IF(N459&lt;3.8,"2029",IF(N459&lt;5,"2038",IF(N459&lt;7,"2050",IF(N459&lt;9,"2070",IF(N459&lt;11,"2090","2110"))))))),IF(G459*1000&lt;=1700,IF(N459&lt;1.8,"",IF(N459&lt;2.9,"3018",IF(N459&lt;3.8,"3029",IF(N459&lt;5,"3038",IF(N459&lt;7,"3050",IF(N459&lt;9,"3070",IF(N459&lt;11,"3090","3110"))))))),""))))</f>
        <v/>
      </c>
      <c r="Q459">
        <f>AND(O459=TRUE,P459&lt;&gt;"")</f>
        <v/>
      </c>
      <c r="R459">
        <f>IF(G459*1000&lt;750,"なし","あり")</f>
        <v/>
      </c>
      <c r="S459">
        <f>IF(AND(O459=TRUE,Q459=TRUE),"設定可","BLOCK")</f>
        <v/>
      </c>
      <c r="T459" t="inlineStr">
        <is>
          <t>商品カタログ P194</t>
        </is>
      </c>
      <c r="U459" t="inlineStr">
        <is>
          <t>https://webcatalog.lixil.co.jp/iportal/CatalogDetail.do?catalogID=15191910000&amp;categoryID=1630000&amp;designID=newinter&amp;method=initial_screen&amp;position=18&amp;type=mc&amp;volumeID=LXL13001</t>
        </is>
      </c>
    </row>
    <row r="460">
      <c r="A460" t="inlineStr">
        <is>
          <t>WG-SL-00457</t>
        </is>
      </c>
      <c r="B460" t="inlineStr">
        <is>
          <t>SZ-SL-000996</t>
        </is>
      </c>
      <c r="C460" t="inlineStr">
        <is>
          <t>WT-SL-MENKOSHI-AGE-FS</t>
        </is>
      </c>
      <c r="D460" t="inlineStr">
        <is>
          <t>SP-SL-AGE-GRILLE-IGETA</t>
        </is>
      </c>
      <c r="E460" t="inlineStr">
        <is>
          <t>03609</t>
        </is>
      </c>
      <c r="F460" t="n">
        <v>0.405</v>
      </c>
      <c r="G460" t="n">
        <v>0.97</v>
      </c>
      <c r="H460" t="inlineStr">
        <is>
          <t>GL-SL-007</t>
        </is>
      </c>
      <c r="I460" t="n">
        <v>6</v>
      </c>
      <c r="J460" t="n">
        <v>7.8</v>
      </c>
      <c r="K460" t="n">
        <v>-0.355</v>
      </c>
      <c r="L460" t="n">
        <v>-0.664</v>
      </c>
      <c r="M460" t="n">
        <v>0.335</v>
      </c>
      <c r="N460">
        <f>ROUND(J460*F460*G460+K460*G460+L460*F460+M460,3)</f>
        <v/>
      </c>
      <c r="O460">
        <f>AND(N460&gt;=1.4,N460&lt;=13)</f>
        <v/>
      </c>
      <c r="P460">
        <f>IF(OR(N460&lt;1.4,N460&gt;13),"",IF(G460*1000&lt;=1170,IF(N460&lt;1.8,"1014",IF(N460&lt;2.9,"1018",IF(N460&lt;3.8,"1029",IF(N460&lt;5,"1038",IF(N460&lt;7,"1050",IF(N460&lt;9,"1070",IF(N460&lt;11,"1090","1110"))))))),IF(G460*1000&lt;=1570,IF(N460&lt;1.8,"",IF(N460&lt;2.9,"2018",IF(N460&lt;3.8,"2029",IF(N460&lt;5,"2038",IF(N460&lt;7,"2050",IF(N460&lt;9,"2070",IF(N460&lt;11,"2090","2110"))))))),IF(G460*1000&lt;=1700,IF(N460&lt;1.8,"",IF(N460&lt;2.9,"3018",IF(N460&lt;3.8,"3029",IF(N460&lt;5,"3038",IF(N460&lt;7,"3050",IF(N460&lt;9,"3070",IF(N460&lt;11,"3090","3110"))))))),""))))</f>
        <v/>
      </c>
      <c r="Q460">
        <f>AND(O460=TRUE,P460&lt;&gt;"")</f>
        <v/>
      </c>
      <c r="R460">
        <f>IF(G460*1000&lt;750,"なし","あり")</f>
        <v/>
      </c>
      <c r="S460">
        <f>IF(AND(O460=TRUE,Q460=TRUE),"設定可","BLOCK")</f>
        <v/>
      </c>
      <c r="T460" t="inlineStr">
        <is>
          <t>商品カタログ P194</t>
        </is>
      </c>
      <c r="U460" t="inlineStr">
        <is>
          <t>https://webcatalog.lixil.co.jp/iportal/CatalogDetail.do?catalogID=15191910000&amp;categoryID=1630000&amp;designID=newinter&amp;method=initial_screen&amp;position=18&amp;type=mc&amp;volumeID=LXL13001</t>
        </is>
      </c>
    </row>
    <row r="461">
      <c r="A461" t="inlineStr">
        <is>
          <t>WG-SL-00458</t>
        </is>
      </c>
      <c r="B461" t="inlineStr">
        <is>
          <t>SZ-SL-000996</t>
        </is>
      </c>
      <c r="C461" t="inlineStr">
        <is>
          <t>WT-SL-MENKOSHI-AGE-FS</t>
        </is>
      </c>
      <c r="D461" t="inlineStr">
        <is>
          <t>SP-SL-AGE-GRILLE-IGETA</t>
        </is>
      </c>
      <c r="E461" t="inlineStr">
        <is>
          <t>03609</t>
        </is>
      </c>
      <c r="F461" t="n">
        <v>0.405</v>
      </c>
      <c r="G461" t="n">
        <v>0.97</v>
      </c>
      <c r="H461" t="inlineStr">
        <is>
          <t>GL-SL-008</t>
        </is>
      </c>
      <c r="I461" t="n">
        <v>7</v>
      </c>
      <c r="J461" t="n">
        <v>9.1</v>
      </c>
      <c r="K461" t="n">
        <v>-0.48</v>
      </c>
      <c r="L461" t="n">
        <v>-0.998</v>
      </c>
      <c r="M461" t="n">
        <v>0.367</v>
      </c>
      <c r="N461">
        <f>ROUND(J461*F461*G461+K461*G461+L461*F461+M461,3)</f>
        <v/>
      </c>
      <c r="O461">
        <f>AND(N461&gt;=1.4,N461&lt;=13)</f>
        <v/>
      </c>
      <c r="P461">
        <f>IF(OR(N461&lt;1.4,N461&gt;13),"",IF(G461*1000&lt;=1170,IF(N461&lt;1.8,"1014",IF(N461&lt;2.9,"1018",IF(N461&lt;3.8,"1029",IF(N461&lt;5,"1038",IF(N461&lt;7,"1050",IF(N461&lt;9,"1070",IF(N461&lt;11,"1090","1110"))))))),IF(G461*1000&lt;=1570,IF(N461&lt;1.8,"",IF(N461&lt;2.9,"2018",IF(N461&lt;3.8,"2029",IF(N461&lt;5,"2038",IF(N461&lt;7,"2050",IF(N461&lt;9,"2070",IF(N461&lt;11,"2090","2110"))))))),IF(G461*1000&lt;=1700,IF(N461&lt;1.8,"",IF(N461&lt;2.9,"3018",IF(N461&lt;3.8,"3029",IF(N461&lt;5,"3038",IF(N461&lt;7,"3050",IF(N461&lt;9,"3070",IF(N461&lt;11,"3090","3110"))))))),""))))</f>
        <v/>
      </c>
      <c r="Q461">
        <f>AND(O461=TRUE,P461&lt;&gt;"")</f>
        <v/>
      </c>
      <c r="R461">
        <f>IF(G461*1000&lt;750,"なし","あり")</f>
        <v/>
      </c>
      <c r="S461">
        <f>IF(AND(O461=TRUE,Q461=TRUE),"設定可","BLOCK")</f>
        <v/>
      </c>
      <c r="T461" t="inlineStr">
        <is>
          <t>商品カタログ P194</t>
        </is>
      </c>
      <c r="U461" t="inlineStr">
        <is>
          <t>https://webcatalog.lixil.co.jp/iportal/CatalogDetail.do?catalogID=15191910000&amp;categoryID=1630000&amp;designID=newinter&amp;method=initial_screen&amp;position=18&amp;type=mc&amp;volumeID=LXL13001</t>
        </is>
      </c>
    </row>
    <row r="462">
      <c r="A462" t="inlineStr">
        <is>
          <t>WG-SL-00459</t>
        </is>
      </c>
      <c r="B462" t="inlineStr">
        <is>
          <t>SZ-SL-000996</t>
        </is>
      </c>
      <c r="C462" t="inlineStr">
        <is>
          <t>WT-SL-MENKOSHI-AGE-FS</t>
        </is>
      </c>
      <c r="D462" t="inlineStr">
        <is>
          <t>SP-SL-AGE-GRILLE-IGETA</t>
        </is>
      </c>
      <c r="E462" t="inlineStr">
        <is>
          <t>03609</t>
        </is>
      </c>
      <c r="F462" t="n">
        <v>0.405</v>
      </c>
      <c r="G462" t="n">
        <v>0.97</v>
      </c>
      <c r="H462" t="inlineStr">
        <is>
          <t>GL-SL-009</t>
        </is>
      </c>
      <c r="I462" t="n">
        <v>8</v>
      </c>
      <c r="J462" t="n">
        <v>10.4</v>
      </c>
      <c r="K462" t="n">
        <v>-0.605</v>
      </c>
      <c r="L462" t="n">
        <v>-1.332</v>
      </c>
      <c r="M462" t="n">
        <v>0.399</v>
      </c>
      <c r="N462">
        <f>ROUND(J462*F462*G462+K462*G462+L462*F462+M462,3)</f>
        <v/>
      </c>
      <c r="O462">
        <f>AND(N462&gt;=1.4,N462&lt;=13)</f>
        <v/>
      </c>
      <c r="P462">
        <f>IF(OR(N462&lt;1.4,N462&gt;13),"",IF(G462*1000&lt;=1170,IF(N462&lt;1.8,"1014",IF(N462&lt;2.9,"1018",IF(N462&lt;3.8,"1029",IF(N462&lt;5,"1038",IF(N462&lt;7,"1050",IF(N462&lt;9,"1070",IF(N462&lt;11,"1090","1110"))))))),IF(G462*1000&lt;=1570,IF(N462&lt;1.8,"",IF(N462&lt;2.9,"2018",IF(N462&lt;3.8,"2029",IF(N462&lt;5,"2038",IF(N462&lt;7,"2050",IF(N462&lt;9,"2070",IF(N462&lt;11,"2090","2110"))))))),IF(G462*1000&lt;=1700,IF(N462&lt;1.8,"",IF(N462&lt;2.9,"3018",IF(N462&lt;3.8,"3029",IF(N462&lt;5,"3038",IF(N462&lt;7,"3050",IF(N462&lt;9,"3070",IF(N462&lt;11,"3090","3110"))))))),""))))</f>
        <v/>
      </c>
      <c r="Q462">
        <f>AND(O462=TRUE,P462&lt;&gt;"")</f>
        <v/>
      </c>
      <c r="R462">
        <f>IF(G462*1000&lt;750,"なし","あり")</f>
        <v/>
      </c>
      <c r="S462">
        <f>IF(AND(O462=TRUE,Q462=TRUE),"設定可","BLOCK")</f>
        <v/>
      </c>
      <c r="T462" t="inlineStr">
        <is>
          <t>商品カタログ P194</t>
        </is>
      </c>
      <c r="U462" t="inlineStr">
        <is>
          <t>https://webcatalog.lixil.co.jp/iportal/CatalogDetail.do?catalogID=15191910000&amp;categoryID=1630000&amp;designID=newinter&amp;method=initial_screen&amp;position=18&amp;type=mc&amp;volumeID=LXL13001</t>
        </is>
      </c>
    </row>
    <row r="463">
      <c r="A463" t="inlineStr">
        <is>
          <t>WG-SL-00460</t>
        </is>
      </c>
      <c r="B463" t="inlineStr">
        <is>
          <t>SZ-SL-000997</t>
        </is>
      </c>
      <c r="C463" t="inlineStr">
        <is>
          <t>WT-SL-MENKOSHI-AGE-FS</t>
        </is>
      </c>
      <c r="D463" t="inlineStr">
        <is>
          <t>SP-SL-AGE-GRILLE-IGETA</t>
        </is>
      </c>
      <c r="E463" t="inlineStr">
        <is>
          <t>06009</t>
        </is>
      </c>
      <c r="F463" t="n">
        <v>0.64</v>
      </c>
      <c r="G463" t="n">
        <v>0.97</v>
      </c>
      <c r="H463" t="inlineStr">
        <is>
          <t>GL-SL-001</t>
        </is>
      </c>
      <c r="I463" t="n">
        <v>6</v>
      </c>
      <c r="J463" t="n">
        <v>7.8</v>
      </c>
      <c r="K463" t="n">
        <v>-0.355</v>
      </c>
      <c r="L463" t="n">
        <v>-0.664</v>
      </c>
      <c r="M463" t="n">
        <v>0.335</v>
      </c>
      <c r="N463">
        <f>ROUND(J463*F463*G463+K463*G463+L463*F463+M463,3)</f>
        <v/>
      </c>
      <c r="O463">
        <f>AND(N463&gt;=1.4,N463&lt;=13)</f>
        <v/>
      </c>
      <c r="P463">
        <f>IF(OR(N463&lt;1.4,N463&gt;13),"",IF(G463*1000&lt;=1170,IF(N463&lt;1.8,"1014",IF(N463&lt;2.9,"1018",IF(N463&lt;3.8,"1029",IF(N463&lt;5,"1038",IF(N463&lt;7,"1050",IF(N463&lt;9,"1070",IF(N463&lt;11,"1090","1110"))))))),IF(G463*1000&lt;=1570,IF(N463&lt;1.8,"",IF(N463&lt;2.9,"2018",IF(N463&lt;3.8,"2029",IF(N463&lt;5,"2038",IF(N463&lt;7,"2050",IF(N463&lt;9,"2070",IF(N463&lt;11,"2090","2110"))))))),IF(G463*1000&lt;=1700,IF(N463&lt;1.8,"",IF(N463&lt;2.9,"3018",IF(N463&lt;3.8,"3029",IF(N463&lt;5,"3038",IF(N463&lt;7,"3050",IF(N463&lt;9,"3070",IF(N463&lt;11,"3090","3110"))))))),""))))</f>
        <v/>
      </c>
      <c r="Q463">
        <f>AND(O463=TRUE,P463&lt;&gt;"")</f>
        <v/>
      </c>
      <c r="R463">
        <f>IF(G463*1000&lt;750,"なし","あり")</f>
        <v/>
      </c>
      <c r="S463">
        <f>IF(AND(O463=TRUE,Q463=TRUE),"設定可","BLOCK")</f>
        <v/>
      </c>
      <c r="T463" t="inlineStr">
        <is>
          <t>商品カタログ P194</t>
        </is>
      </c>
      <c r="U463" t="inlineStr">
        <is>
          <t>https://webcatalog.lixil.co.jp/iportal/CatalogDetail.do?catalogID=15191910000&amp;categoryID=1630000&amp;designID=newinter&amp;method=initial_screen&amp;position=18&amp;type=mc&amp;volumeID=LXL13001</t>
        </is>
      </c>
    </row>
    <row r="464">
      <c r="A464" t="inlineStr">
        <is>
          <t>WG-SL-00461</t>
        </is>
      </c>
      <c r="B464" t="inlineStr">
        <is>
          <t>SZ-SL-000997</t>
        </is>
      </c>
      <c r="C464" t="inlineStr">
        <is>
          <t>WT-SL-MENKOSHI-AGE-FS</t>
        </is>
      </c>
      <c r="D464" t="inlineStr">
        <is>
          <t>SP-SL-AGE-GRILLE-IGETA</t>
        </is>
      </c>
      <c r="E464" t="inlineStr">
        <is>
          <t>06009</t>
        </is>
      </c>
      <c r="F464" t="n">
        <v>0.64</v>
      </c>
      <c r="G464" t="n">
        <v>0.97</v>
      </c>
      <c r="H464" t="inlineStr">
        <is>
          <t>GL-SL-002</t>
        </is>
      </c>
      <c r="I464" t="n">
        <v>7</v>
      </c>
      <c r="J464" t="n">
        <v>9.1</v>
      </c>
      <c r="K464" t="n">
        <v>-0.48</v>
      </c>
      <c r="L464" t="n">
        <v>-0.998</v>
      </c>
      <c r="M464" t="n">
        <v>0.367</v>
      </c>
      <c r="N464">
        <f>ROUND(J464*F464*G464+K464*G464+L464*F464+M464,3)</f>
        <v/>
      </c>
      <c r="O464">
        <f>AND(N464&gt;=1.4,N464&lt;=13)</f>
        <v/>
      </c>
      <c r="P464">
        <f>IF(OR(N464&lt;1.4,N464&gt;13),"",IF(G464*1000&lt;=1170,IF(N464&lt;1.8,"1014",IF(N464&lt;2.9,"1018",IF(N464&lt;3.8,"1029",IF(N464&lt;5,"1038",IF(N464&lt;7,"1050",IF(N464&lt;9,"1070",IF(N464&lt;11,"1090","1110"))))))),IF(G464*1000&lt;=1570,IF(N464&lt;1.8,"",IF(N464&lt;2.9,"2018",IF(N464&lt;3.8,"2029",IF(N464&lt;5,"2038",IF(N464&lt;7,"2050",IF(N464&lt;9,"2070",IF(N464&lt;11,"2090","2110"))))))),IF(G464*1000&lt;=1700,IF(N464&lt;1.8,"",IF(N464&lt;2.9,"3018",IF(N464&lt;3.8,"3029",IF(N464&lt;5,"3038",IF(N464&lt;7,"3050",IF(N464&lt;9,"3070",IF(N464&lt;11,"3090","3110"))))))),""))))</f>
        <v/>
      </c>
      <c r="Q464">
        <f>AND(O464=TRUE,P464&lt;&gt;"")</f>
        <v/>
      </c>
      <c r="R464">
        <f>IF(G464*1000&lt;750,"なし","あり")</f>
        <v/>
      </c>
      <c r="S464">
        <f>IF(AND(O464=TRUE,Q464=TRUE),"設定可","BLOCK")</f>
        <v/>
      </c>
      <c r="T464" t="inlineStr">
        <is>
          <t>商品カタログ P194</t>
        </is>
      </c>
      <c r="U464" t="inlineStr">
        <is>
          <t>https://webcatalog.lixil.co.jp/iportal/CatalogDetail.do?catalogID=15191910000&amp;categoryID=1630000&amp;designID=newinter&amp;method=initial_screen&amp;position=18&amp;type=mc&amp;volumeID=LXL13001</t>
        </is>
      </c>
    </row>
    <row r="465">
      <c r="A465" t="inlineStr">
        <is>
          <t>WG-SL-00462</t>
        </is>
      </c>
      <c r="B465" t="inlineStr">
        <is>
          <t>SZ-SL-000997</t>
        </is>
      </c>
      <c r="C465" t="inlineStr">
        <is>
          <t>WT-SL-MENKOSHI-AGE-FS</t>
        </is>
      </c>
      <c r="D465" t="inlineStr">
        <is>
          <t>SP-SL-AGE-GRILLE-IGETA</t>
        </is>
      </c>
      <c r="E465" t="inlineStr">
        <is>
          <t>06009</t>
        </is>
      </c>
      <c r="F465" t="n">
        <v>0.64</v>
      </c>
      <c r="G465" t="n">
        <v>0.97</v>
      </c>
      <c r="H465" t="inlineStr">
        <is>
          <t>GL-SL-003</t>
        </is>
      </c>
      <c r="I465" t="n">
        <v>8</v>
      </c>
      <c r="J465" t="n">
        <v>10.4</v>
      </c>
      <c r="K465" t="n">
        <v>-0.605</v>
      </c>
      <c r="L465" t="n">
        <v>-1.332</v>
      </c>
      <c r="M465" t="n">
        <v>0.399</v>
      </c>
      <c r="N465">
        <f>ROUND(J465*F465*G465+K465*G465+L465*F465+M465,3)</f>
        <v/>
      </c>
      <c r="O465">
        <f>AND(N465&gt;=1.4,N465&lt;=13)</f>
        <v/>
      </c>
      <c r="P465">
        <f>IF(OR(N465&lt;1.4,N465&gt;13),"",IF(G465*1000&lt;=1170,IF(N465&lt;1.8,"1014",IF(N465&lt;2.9,"1018",IF(N465&lt;3.8,"1029",IF(N465&lt;5,"1038",IF(N465&lt;7,"1050",IF(N465&lt;9,"1070",IF(N465&lt;11,"1090","1110"))))))),IF(G465*1000&lt;=1570,IF(N465&lt;1.8,"",IF(N465&lt;2.9,"2018",IF(N465&lt;3.8,"2029",IF(N465&lt;5,"2038",IF(N465&lt;7,"2050",IF(N465&lt;9,"2070",IF(N465&lt;11,"2090","2110"))))))),IF(G465*1000&lt;=1700,IF(N465&lt;1.8,"",IF(N465&lt;2.9,"3018",IF(N465&lt;3.8,"3029",IF(N465&lt;5,"3038",IF(N465&lt;7,"3050",IF(N465&lt;9,"3070",IF(N465&lt;11,"3090","3110"))))))),""))))</f>
        <v/>
      </c>
      <c r="Q465">
        <f>AND(O465=TRUE,P465&lt;&gt;"")</f>
        <v/>
      </c>
      <c r="R465">
        <f>IF(G465*1000&lt;750,"なし","あり")</f>
        <v/>
      </c>
      <c r="S465">
        <f>IF(AND(O465=TRUE,Q465=TRUE),"設定可","BLOCK")</f>
        <v/>
      </c>
      <c r="T465" t="inlineStr">
        <is>
          <t>商品カタログ P194</t>
        </is>
      </c>
      <c r="U465" t="inlineStr">
        <is>
          <t>https://webcatalog.lixil.co.jp/iportal/CatalogDetail.do?catalogID=15191910000&amp;categoryID=1630000&amp;designID=newinter&amp;method=initial_screen&amp;position=18&amp;type=mc&amp;volumeID=LXL13001</t>
        </is>
      </c>
    </row>
    <row r="466">
      <c r="A466" t="inlineStr">
        <is>
          <t>WG-SL-00463</t>
        </is>
      </c>
      <c r="B466" t="inlineStr">
        <is>
          <t>SZ-SL-000997</t>
        </is>
      </c>
      <c r="C466" t="inlineStr">
        <is>
          <t>WT-SL-MENKOSHI-AGE-FS</t>
        </is>
      </c>
      <c r="D466" t="inlineStr">
        <is>
          <t>SP-SL-AGE-GRILLE-IGETA</t>
        </is>
      </c>
      <c r="E466" t="inlineStr">
        <is>
          <t>06009</t>
        </is>
      </c>
      <c r="F466" t="n">
        <v>0.64</v>
      </c>
      <c r="G466" t="n">
        <v>0.97</v>
      </c>
      <c r="H466" t="inlineStr">
        <is>
          <t>GL-SL-004</t>
        </is>
      </c>
      <c r="I466" t="n">
        <v>6</v>
      </c>
      <c r="J466" t="n">
        <v>7.8</v>
      </c>
      <c r="K466" t="n">
        <v>-0.355</v>
      </c>
      <c r="L466" t="n">
        <v>-0.664</v>
      </c>
      <c r="M466" t="n">
        <v>0.335</v>
      </c>
      <c r="N466">
        <f>ROUND(J466*F466*G466+K466*G466+L466*F466+M466,3)</f>
        <v/>
      </c>
      <c r="O466">
        <f>AND(N466&gt;=1.4,N466&lt;=13)</f>
        <v/>
      </c>
      <c r="P466">
        <f>IF(OR(N466&lt;1.4,N466&gt;13),"",IF(G466*1000&lt;=1170,IF(N466&lt;1.8,"1014",IF(N466&lt;2.9,"1018",IF(N466&lt;3.8,"1029",IF(N466&lt;5,"1038",IF(N466&lt;7,"1050",IF(N466&lt;9,"1070",IF(N466&lt;11,"1090","1110"))))))),IF(G466*1000&lt;=1570,IF(N466&lt;1.8,"",IF(N466&lt;2.9,"2018",IF(N466&lt;3.8,"2029",IF(N466&lt;5,"2038",IF(N466&lt;7,"2050",IF(N466&lt;9,"2070",IF(N466&lt;11,"2090","2110"))))))),IF(G466*1000&lt;=1700,IF(N466&lt;1.8,"",IF(N466&lt;2.9,"3018",IF(N466&lt;3.8,"3029",IF(N466&lt;5,"3038",IF(N466&lt;7,"3050",IF(N466&lt;9,"3070",IF(N466&lt;11,"3090","3110"))))))),""))))</f>
        <v/>
      </c>
      <c r="Q466">
        <f>AND(O466=TRUE,P466&lt;&gt;"")</f>
        <v/>
      </c>
      <c r="R466">
        <f>IF(G466*1000&lt;750,"なし","あり")</f>
        <v/>
      </c>
      <c r="S466">
        <f>IF(AND(O466=TRUE,Q466=TRUE),"設定可","BLOCK")</f>
        <v/>
      </c>
      <c r="T466" t="inlineStr">
        <is>
          <t>商品カタログ P194</t>
        </is>
      </c>
      <c r="U466" t="inlineStr">
        <is>
          <t>https://webcatalog.lixil.co.jp/iportal/CatalogDetail.do?catalogID=15191910000&amp;categoryID=1630000&amp;designID=newinter&amp;method=initial_screen&amp;position=18&amp;type=mc&amp;volumeID=LXL13001</t>
        </is>
      </c>
    </row>
    <row r="467">
      <c r="A467" t="inlineStr">
        <is>
          <t>WG-SL-00464</t>
        </is>
      </c>
      <c r="B467" t="inlineStr">
        <is>
          <t>SZ-SL-000997</t>
        </is>
      </c>
      <c r="C467" t="inlineStr">
        <is>
          <t>WT-SL-MENKOSHI-AGE-FS</t>
        </is>
      </c>
      <c r="D467" t="inlineStr">
        <is>
          <t>SP-SL-AGE-GRILLE-IGETA</t>
        </is>
      </c>
      <c r="E467" t="inlineStr">
        <is>
          <t>06009</t>
        </is>
      </c>
      <c r="F467" t="n">
        <v>0.64</v>
      </c>
      <c r="G467" t="n">
        <v>0.97</v>
      </c>
      <c r="H467" t="inlineStr">
        <is>
          <t>GL-SL-005</t>
        </is>
      </c>
      <c r="I467" t="n">
        <v>7</v>
      </c>
      <c r="J467" t="n">
        <v>9.1</v>
      </c>
      <c r="K467" t="n">
        <v>-0.48</v>
      </c>
      <c r="L467" t="n">
        <v>-0.998</v>
      </c>
      <c r="M467" t="n">
        <v>0.367</v>
      </c>
      <c r="N467">
        <f>ROUND(J467*F467*G467+K467*G467+L467*F467+M467,3)</f>
        <v/>
      </c>
      <c r="O467">
        <f>AND(N467&gt;=1.4,N467&lt;=13)</f>
        <v/>
      </c>
      <c r="P467">
        <f>IF(OR(N467&lt;1.4,N467&gt;13),"",IF(G467*1000&lt;=1170,IF(N467&lt;1.8,"1014",IF(N467&lt;2.9,"1018",IF(N467&lt;3.8,"1029",IF(N467&lt;5,"1038",IF(N467&lt;7,"1050",IF(N467&lt;9,"1070",IF(N467&lt;11,"1090","1110"))))))),IF(G467*1000&lt;=1570,IF(N467&lt;1.8,"",IF(N467&lt;2.9,"2018",IF(N467&lt;3.8,"2029",IF(N467&lt;5,"2038",IF(N467&lt;7,"2050",IF(N467&lt;9,"2070",IF(N467&lt;11,"2090","2110"))))))),IF(G467*1000&lt;=1700,IF(N467&lt;1.8,"",IF(N467&lt;2.9,"3018",IF(N467&lt;3.8,"3029",IF(N467&lt;5,"3038",IF(N467&lt;7,"3050",IF(N467&lt;9,"3070",IF(N467&lt;11,"3090","3110"))))))),""))))</f>
        <v/>
      </c>
      <c r="Q467">
        <f>AND(O467=TRUE,P467&lt;&gt;"")</f>
        <v/>
      </c>
      <c r="R467">
        <f>IF(G467*1000&lt;750,"なし","あり")</f>
        <v/>
      </c>
      <c r="S467">
        <f>IF(AND(O467=TRUE,Q467=TRUE),"設定可","BLOCK")</f>
        <v/>
      </c>
      <c r="T467" t="inlineStr">
        <is>
          <t>商品カタログ P194</t>
        </is>
      </c>
      <c r="U467" t="inlineStr">
        <is>
          <t>https://webcatalog.lixil.co.jp/iportal/CatalogDetail.do?catalogID=15191910000&amp;categoryID=1630000&amp;designID=newinter&amp;method=initial_screen&amp;position=18&amp;type=mc&amp;volumeID=LXL13001</t>
        </is>
      </c>
    </row>
    <row r="468">
      <c r="A468" t="inlineStr">
        <is>
          <t>WG-SL-00465</t>
        </is>
      </c>
      <c r="B468" t="inlineStr">
        <is>
          <t>SZ-SL-000997</t>
        </is>
      </c>
      <c r="C468" t="inlineStr">
        <is>
          <t>WT-SL-MENKOSHI-AGE-FS</t>
        </is>
      </c>
      <c r="D468" t="inlineStr">
        <is>
          <t>SP-SL-AGE-GRILLE-IGETA</t>
        </is>
      </c>
      <c r="E468" t="inlineStr">
        <is>
          <t>06009</t>
        </is>
      </c>
      <c r="F468" t="n">
        <v>0.64</v>
      </c>
      <c r="G468" t="n">
        <v>0.97</v>
      </c>
      <c r="H468" t="inlineStr">
        <is>
          <t>GL-SL-006</t>
        </is>
      </c>
      <c r="I468" t="n">
        <v>8</v>
      </c>
      <c r="J468" t="n">
        <v>10.4</v>
      </c>
      <c r="K468" t="n">
        <v>-0.605</v>
      </c>
      <c r="L468" t="n">
        <v>-1.332</v>
      </c>
      <c r="M468" t="n">
        <v>0.399</v>
      </c>
      <c r="N468">
        <f>ROUND(J468*F468*G468+K468*G468+L468*F468+M468,3)</f>
        <v/>
      </c>
      <c r="O468">
        <f>AND(N468&gt;=1.4,N468&lt;=13)</f>
        <v/>
      </c>
      <c r="P468">
        <f>IF(OR(N468&lt;1.4,N468&gt;13),"",IF(G468*1000&lt;=1170,IF(N468&lt;1.8,"1014",IF(N468&lt;2.9,"1018",IF(N468&lt;3.8,"1029",IF(N468&lt;5,"1038",IF(N468&lt;7,"1050",IF(N468&lt;9,"1070",IF(N468&lt;11,"1090","1110"))))))),IF(G468*1000&lt;=1570,IF(N468&lt;1.8,"",IF(N468&lt;2.9,"2018",IF(N468&lt;3.8,"2029",IF(N468&lt;5,"2038",IF(N468&lt;7,"2050",IF(N468&lt;9,"2070",IF(N468&lt;11,"2090","2110"))))))),IF(G468*1000&lt;=1700,IF(N468&lt;1.8,"",IF(N468&lt;2.9,"3018",IF(N468&lt;3.8,"3029",IF(N468&lt;5,"3038",IF(N468&lt;7,"3050",IF(N468&lt;9,"3070",IF(N468&lt;11,"3090","3110"))))))),""))))</f>
        <v/>
      </c>
      <c r="Q468">
        <f>AND(O468=TRUE,P468&lt;&gt;"")</f>
        <v/>
      </c>
      <c r="R468">
        <f>IF(G468*1000&lt;750,"なし","あり")</f>
        <v/>
      </c>
      <c r="S468">
        <f>IF(AND(O468=TRUE,Q468=TRUE),"設定可","BLOCK")</f>
        <v/>
      </c>
      <c r="T468" t="inlineStr">
        <is>
          <t>商品カタログ P194</t>
        </is>
      </c>
      <c r="U468" t="inlineStr">
        <is>
          <t>https://webcatalog.lixil.co.jp/iportal/CatalogDetail.do?catalogID=15191910000&amp;categoryID=1630000&amp;designID=newinter&amp;method=initial_screen&amp;position=18&amp;type=mc&amp;volumeID=LXL13001</t>
        </is>
      </c>
    </row>
    <row r="469">
      <c r="A469" t="inlineStr">
        <is>
          <t>WG-SL-00466</t>
        </is>
      </c>
      <c r="B469" t="inlineStr">
        <is>
          <t>SZ-SL-000997</t>
        </is>
      </c>
      <c r="C469" t="inlineStr">
        <is>
          <t>WT-SL-MENKOSHI-AGE-FS</t>
        </is>
      </c>
      <c r="D469" t="inlineStr">
        <is>
          <t>SP-SL-AGE-GRILLE-IGETA</t>
        </is>
      </c>
      <c r="E469" t="inlineStr">
        <is>
          <t>06009</t>
        </is>
      </c>
      <c r="F469" t="n">
        <v>0.64</v>
      </c>
      <c r="G469" t="n">
        <v>0.97</v>
      </c>
      <c r="H469" t="inlineStr">
        <is>
          <t>GL-SL-007</t>
        </is>
      </c>
      <c r="I469" t="n">
        <v>6</v>
      </c>
      <c r="J469" t="n">
        <v>7.8</v>
      </c>
      <c r="K469" t="n">
        <v>-0.355</v>
      </c>
      <c r="L469" t="n">
        <v>-0.664</v>
      </c>
      <c r="M469" t="n">
        <v>0.335</v>
      </c>
      <c r="N469">
        <f>ROUND(J469*F469*G469+K469*G469+L469*F469+M469,3)</f>
        <v/>
      </c>
      <c r="O469">
        <f>AND(N469&gt;=1.4,N469&lt;=13)</f>
        <v/>
      </c>
      <c r="P469">
        <f>IF(OR(N469&lt;1.4,N469&gt;13),"",IF(G469*1000&lt;=1170,IF(N469&lt;1.8,"1014",IF(N469&lt;2.9,"1018",IF(N469&lt;3.8,"1029",IF(N469&lt;5,"1038",IF(N469&lt;7,"1050",IF(N469&lt;9,"1070",IF(N469&lt;11,"1090","1110"))))))),IF(G469*1000&lt;=1570,IF(N469&lt;1.8,"",IF(N469&lt;2.9,"2018",IF(N469&lt;3.8,"2029",IF(N469&lt;5,"2038",IF(N469&lt;7,"2050",IF(N469&lt;9,"2070",IF(N469&lt;11,"2090","2110"))))))),IF(G469*1000&lt;=1700,IF(N469&lt;1.8,"",IF(N469&lt;2.9,"3018",IF(N469&lt;3.8,"3029",IF(N469&lt;5,"3038",IF(N469&lt;7,"3050",IF(N469&lt;9,"3070",IF(N469&lt;11,"3090","3110"))))))),""))))</f>
        <v/>
      </c>
      <c r="Q469">
        <f>AND(O469=TRUE,P469&lt;&gt;"")</f>
        <v/>
      </c>
      <c r="R469">
        <f>IF(G469*1000&lt;750,"なし","あり")</f>
        <v/>
      </c>
      <c r="S469">
        <f>IF(AND(O469=TRUE,Q469=TRUE),"設定可","BLOCK")</f>
        <v/>
      </c>
      <c r="T469" t="inlineStr">
        <is>
          <t>商品カタログ P194</t>
        </is>
      </c>
      <c r="U469" t="inlineStr">
        <is>
          <t>https://webcatalog.lixil.co.jp/iportal/CatalogDetail.do?catalogID=15191910000&amp;categoryID=1630000&amp;designID=newinter&amp;method=initial_screen&amp;position=18&amp;type=mc&amp;volumeID=LXL13001</t>
        </is>
      </c>
    </row>
    <row r="470">
      <c r="A470" t="inlineStr">
        <is>
          <t>WG-SL-00467</t>
        </is>
      </c>
      <c r="B470" t="inlineStr">
        <is>
          <t>SZ-SL-000997</t>
        </is>
      </c>
      <c r="C470" t="inlineStr">
        <is>
          <t>WT-SL-MENKOSHI-AGE-FS</t>
        </is>
      </c>
      <c r="D470" t="inlineStr">
        <is>
          <t>SP-SL-AGE-GRILLE-IGETA</t>
        </is>
      </c>
      <c r="E470" t="inlineStr">
        <is>
          <t>06009</t>
        </is>
      </c>
      <c r="F470" t="n">
        <v>0.64</v>
      </c>
      <c r="G470" t="n">
        <v>0.97</v>
      </c>
      <c r="H470" t="inlineStr">
        <is>
          <t>GL-SL-008</t>
        </is>
      </c>
      <c r="I470" t="n">
        <v>7</v>
      </c>
      <c r="J470" t="n">
        <v>9.1</v>
      </c>
      <c r="K470" t="n">
        <v>-0.48</v>
      </c>
      <c r="L470" t="n">
        <v>-0.998</v>
      </c>
      <c r="M470" t="n">
        <v>0.367</v>
      </c>
      <c r="N470">
        <f>ROUND(J470*F470*G470+K470*G470+L470*F470+M470,3)</f>
        <v/>
      </c>
      <c r="O470">
        <f>AND(N470&gt;=1.4,N470&lt;=13)</f>
        <v/>
      </c>
      <c r="P470">
        <f>IF(OR(N470&lt;1.4,N470&gt;13),"",IF(G470*1000&lt;=1170,IF(N470&lt;1.8,"1014",IF(N470&lt;2.9,"1018",IF(N470&lt;3.8,"1029",IF(N470&lt;5,"1038",IF(N470&lt;7,"1050",IF(N470&lt;9,"1070",IF(N470&lt;11,"1090","1110"))))))),IF(G470*1000&lt;=1570,IF(N470&lt;1.8,"",IF(N470&lt;2.9,"2018",IF(N470&lt;3.8,"2029",IF(N470&lt;5,"2038",IF(N470&lt;7,"2050",IF(N470&lt;9,"2070",IF(N470&lt;11,"2090","2110"))))))),IF(G470*1000&lt;=1700,IF(N470&lt;1.8,"",IF(N470&lt;2.9,"3018",IF(N470&lt;3.8,"3029",IF(N470&lt;5,"3038",IF(N470&lt;7,"3050",IF(N470&lt;9,"3070",IF(N470&lt;11,"3090","3110"))))))),""))))</f>
        <v/>
      </c>
      <c r="Q470">
        <f>AND(O470=TRUE,P470&lt;&gt;"")</f>
        <v/>
      </c>
      <c r="R470">
        <f>IF(G470*1000&lt;750,"なし","あり")</f>
        <v/>
      </c>
      <c r="S470">
        <f>IF(AND(O470=TRUE,Q470=TRUE),"設定可","BLOCK")</f>
        <v/>
      </c>
      <c r="T470" t="inlineStr">
        <is>
          <t>商品カタログ P194</t>
        </is>
      </c>
      <c r="U470" t="inlineStr">
        <is>
          <t>https://webcatalog.lixil.co.jp/iportal/CatalogDetail.do?catalogID=15191910000&amp;categoryID=1630000&amp;designID=newinter&amp;method=initial_screen&amp;position=18&amp;type=mc&amp;volumeID=LXL13001</t>
        </is>
      </c>
    </row>
    <row r="471">
      <c r="A471" t="inlineStr">
        <is>
          <t>WG-SL-00468</t>
        </is>
      </c>
      <c r="B471" t="inlineStr">
        <is>
          <t>SZ-SL-000997</t>
        </is>
      </c>
      <c r="C471" t="inlineStr">
        <is>
          <t>WT-SL-MENKOSHI-AGE-FS</t>
        </is>
      </c>
      <c r="D471" t="inlineStr">
        <is>
          <t>SP-SL-AGE-GRILLE-IGETA</t>
        </is>
      </c>
      <c r="E471" t="inlineStr">
        <is>
          <t>06009</t>
        </is>
      </c>
      <c r="F471" t="n">
        <v>0.64</v>
      </c>
      <c r="G471" t="n">
        <v>0.97</v>
      </c>
      <c r="H471" t="inlineStr">
        <is>
          <t>GL-SL-009</t>
        </is>
      </c>
      <c r="I471" t="n">
        <v>8</v>
      </c>
      <c r="J471" t="n">
        <v>10.4</v>
      </c>
      <c r="K471" t="n">
        <v>-0.605</v>
      </c>
      <c r="L471" t="n">
        <v>-1.332</v>
      </c>
      <c r="M471" t="n">
        <v>0.399</v>
      </c>
      <c r="N471">
        <f>ROUND(J471*F471*G471+K471*G471+L471*F471+M471,3)</f>
        <v/>
      </c>
      <c r="O471">
        <f>AND(N471&gt;=1.4,N471&lt;=13)</f>
        <v/>
      </c>
      <c r="P471">
        <f>IF(OR(N471&lt;1.4,N471&gt;13),"",IF(G471*1000&lt;=1170,IF(N471&lt;1.8,"1014",IF(N471&lt;2.9,"1018",IF(N471&lt;3.8,"1029",IF(N471&lt;5,"1038",IF(N471&lt;7,"1050",IF(N471&lt;9,"1070",IF(N471&lt;11,"1090","1110"))))))),IF(G471*1000&lt;=1570,IF(N471&lt;1.8,"",IF(N471&lt;2.9,"2018",IF(N471&lt;3.8,"2029",IF(N471&lt;5,"2038",IF(N471&lt;7,"2050",IF(N471&lt;9,"2070",IF(N471&lt;11,"2090","2110"))))))),IF(G471*1000&lt;=1700,IF(N471&lt;1.8,"",IF(N471&lt;2.9,"3018",IF(N471&lt;3.8,"3029",IF(N471&lt;5,"3038",IF(N471&lt;7,"3050",IF(N471&lt;9,"3070",IF(N471&lt;11,"3090","3110"))))))),""))))</f>
        <v/>
      </c>
      <c r="Q471">
        <f>AND(O471=TRUE,P471&lt;&gt;"")</f>
        <v/>
      </c>
      <c r="R471">
        <f>IF(G471*1000&lt;750,"なし","あり")</f>
        <v/>
      </c>
      <c r="S471">
        <f>IF(AND(O471=TRUE,Q471=TRUE),"設定可","BLOCK")</f>
        <v/>
      </c>
      <c r="T471" t="inlineStr">
        <is>
          <t>商品カタログ P194</t>
        </is>
      </c>
      <c r="U471" t="inlineStr">
        <is>
          <t>https://webcatalog.lixil.co.jp/iportal/CatalogDetail.do?catalogID=15191910000&amp;categoryID=1630000&amp;designID=newinter&amp;method=initial_screen&amp;position=18&amp;type=mc&amp;volumeID=LXL13001</t>
        </is>
      </c>
    </row>
    <row r="472">
      <c r="A472" t="inlineStr">
        <is>
          <t>WG-SL-00469</t>
        </is>
      </c>
      <c r="B472" t="inlineStr">
        <is>
          <t>SZ-SL-000998</t>
        </is>
      </c>
      <c r="C472" t="inlineStr">
        <is>
          <t>WT-SL-MENKOSHI-AGE-FS</t>
        </is>
      </c>
      <c r="D472" t="inlineStr">
        <is>
          <t>SP-SL-AGE-GRILLE-IGETA</t>
        </is>
      </c>
      <c r="E472" t="inlineStr">
        <is>
          <t>06909</t>
        </is>
      </c>
      <c r="F472" t="n">
        <v>0.73</v>
      </c>
      <c r="G472" t="n">
        <v>0.97</v>
      </c>
      <c r="H472" t="inlineStr">
        <is>
          <t>GL-SL-001</t>
        </is>
      </c>
      <c r="I472" t="n">
        <v>6</v>
      </c>
      <c r="J472" t="n">
        <v>7.8</v>
      </c>
      <c r="K472" t="n">
        <v>-0.355</v>
      </c>
      <c r="L472" t="n">
        <v>-0.664</v>
      </c>
      <c r="M472" t="n">
        <v>0.335</v>
      </c>
      <c r="N472">
        <f>ROUND(J472*F472*G472+K472*G472+L472*F472+M472,3)</f>
        <v/>
      </c>
      <c r="O472">
        <f>AND(N472&gt;=1.4,N472&lt;=13)</f>
        <v/>
      </c>
      <c r="P472">
        <f>IF(OR(N472&lt;1.4,N472&gt;13),"",IF(G472*1000&lt;=1170,IF(N472&lt;1.8,"1014",IF(N472&lt;2.9,"1018",IF(N472&lt;3.8,"1029",IF(N472&lt;5,"1038",IF(N472&lt;7,"1050",IF(N472&lt;9,"1070",IF(N472&lt;11,"1090","1110"))))))),IF(G472*1000&lt;=1570,IF(N472&lt;1.8,"",IF(N472&lt;2.9,"2018",IF(N472&lt;3.8,"2029",IF(N472&lt;5,"2038",IF(N472&lt;7,"2050",IF(N472&lt;9,"2070",IF(N472&lt;11,"2090","2110"))))))),IF(G472*1000&lt;=1700,IF(N472&lt;1.8,"",IF(N472&lt;2.9,"3018",IF(N472&lt;3.8,"3029",IF(N472&lt;5,"3038",IF(N472&lt;7,"3050",IF(N472&lt;9,"3070",IF(N472&lt;11,"3090","3110"))))))),""))))</f>
        <v/>
      </c>
      <c r="Q472">
        <f>AND(O472=TRUE,P472&lt;&gt;"")</f>
        <v/>
      </c>
      <c r="R472">
        <f>IF(G472*1000&lt;750,"なし","あり")</f>
        <v/>
      </c>
      <c r="S472">
        <f>IF(AND(O472=TRUE,Q472=TRUE),"設定可","BLOCK")</f>
        <v/>
      </c>
      <c r="T472" t="inlineStr">
        <is>
          <t>商品カタログ P194</t>
        </is>
      </c>
      <c r="U472" t="inlineStr">
        <is>
          <t>https://webcatalog.lixil.co.jp/iportal/CatalogDetail.do?catalogID=15191910000&amp;categoryID=1630000&amp;designID=newinter&amp;method=initial_screen&amp;position=18&amp;type=mc&amp;volumeID=LXL13001</t>
        </is>
      </c>
    </row>
    <row r="473">
      <c r="A473" t="inlineStr">
        <is>
          <t>WG-SL-00470</t>
        </is>
      </c>
      <c r="B473" t="inlineStr">
        <is>
          <t>SZ-SL-000998</t>
        </is>
      </c>
      <c r="C473" t="inlineStr">
        <is>
          <t>WT-SL-MENKOSHI-AGE-FS</t>
        </is>
      </c>
      <c r="D473" t="inlineStr">
        <is>
          <t>SP-SL-AGE-GRILLE-IGETA</t>
        </is>
      </c>
      <c r="E473" t="inlineStr">
        <is>
          <t>06909</t>
        </is>
      </c>
      <c r="F473" t="n">
        <v>0.73</v>
      </c>
      <c r="G473" t="n">
        <v>0.97</v>
      </c>
      <c r="H473" t="inlineStr">
        <is>
          <t>GL-SL-002</t>
        </is>
      </c>
      <c r="I473" t="n">
        <v>7</v>
      </c>
      <c r="J473" t="n">
        <v>9.1</v>
      </c>
      <c r="K473" t="n">
        <v>-0.48</v>
      </c>
      <c r="L473" t="n">
        <v>-0.998</v>
      </c>
      <c r="M473" t="n">
        <v>0.367</v>
      </c>
      <c r="N473">
        <f>ROUND(J473*F473*G473+K473*G473+L473*F473+M473,3)</f>
        <v/>
      </c>
      <c r="O473">
        <f>AND(N473&gt;=1.4,N473&lt;=13)</f>
        <v/>
      </c>
      <c r="P473">
        <f>IF(OR(N473&lt;1.4,N473&gt;13),"",IF(G473*1000&lt;=1170,IF(N473&lt;1.8,"1014",IF(N473&lt;2.9,"1018",IF(N473&lt;3.8,"1029",IF(N473&lt;5,"1038",IF(N473&lt;7,"1050",IF(N473&lt;9,"1070",IF(N473&lt;11,"1090","1110"))))))),IF(G473*1000&lt;=1570,IF(N473&lt;1.8,"",IF(N473&lt;2.9,"2018",IF(N473&lt;3.8,"2029",IF(N473&lt;5,"2038",IF(N473&lt;7,"2050",IF(N473&lt;9,"2070",IF(N473&lt;11,"2090","2110"))))))),IF(G473*1000&lt;=1700,IF(N473&lt;1.8,"",IF(N473&lt;2.9,"3018",IF(N473&lt;3.8,"3029",IF(N473&lt;5,"3038",IF(N473&lt;7,"3050",IF(N473&lt;9,"3070",IF(N473&lt;11,"3090","3110"))))))),""))))</f>
        <v/>
      </c>
      <c r="Q473">
        <f>AND(O473=TRUE,P473&lt;&gt;"")</f>
        <v/>
      </c>
      <c r="R473">
        <f>IF(G473*1000&lt;750,"なし","あり")</f>
        <v/>
      </c>
      <c r="S473">
        <f>IF(AND(O473=TRUE,Q473=TRUE),"設定可","BLOCK")</f>
        <v/>
      </c>
      <c r="T473" t="inlineStr">
        <is>
          <t>商品カタログ P194</t>
        </is>
      </c>
      <c r="U473" t="inlineStr">
        <is>
          <t>https://webcatalog.lixil.co.jp/iportal/CatalogDetail.do?catalogID=15191910000&amp;categoryID=1630000&amp;designID=newinter&amp;method=initial_screen&amp;position=18&amp;type=mc&amp;volumeID=LXL13001</t>
        </is>
      </c>
    </row>
    <row r="474">
      <c r="A474" t="inlineStr">
        <is>
          <t>WG-SL-00471</t>
        </is>
      </c>
      <c r="B474" t="inlineStr">
        <is>
          <t>SZ-SL-000998</t>
        </is>
      </c>
      <c r="C474" t="inlineStr">
        <is>
          <t>WT-SL-MENKOSHI-AGE-FS</t>
        </is>
      </c>
      <c r="D474" t="inlineStr">
        <is>
          <t>SP-SL-AGE-GRILLE-IGETA</t>
        </is>
      </c>
      <c r="E474" t="inlineStr">
        <is>
          <t>06909</t>
        </is>
      </c>
      <c r="F474" t="n">
        <v>0.73</v>
      </c>
      <c r="G474" t="n">
        <v>0.97</v>
      </c>
      <c r="H474" t="inlineStr">
        <is>
          <t>GL-SL-003</t>
        </is>
      </c>
      <c r="I474" t="n">
        <v>8</v>
      </c>
      <c r="J474" t="n">
        <v>10.4</v>
      </c>
      <c r="K474" t="n">
        <v>-0.605</v>
      </c>
      <c r="L474" t="n">
        <v>-1.332</v>
      </c>
      <c r="M474" t="n">
        <v>0.399</v>
      </c>
      <c r="N474">
        <f>ROUND(J474*F474*G474+K474*G474+L474*F474+M474,3)</f>
        <v/>
      </c>
      <c r="O474">
        <f>AND(N474&gt;=1.4,N474&lt;=13)</f>
        <v/>
      </c>
      <c r="P474">
        <f>IF(OR(N474&lt;1.4,N474&gt;13),"",IF(G474*1000&lt;=1170,IF(N474&lt;1.8,"1014",IF(N474&lt;2.9,"1018",IF(N474&lt;3.8,"1029",IF(N474&lt;5,"1038",IF(N474&lt;7,"1050",IF(N474&lt;9,"1070",IF(N474&lt;11,"1090","1110"))))))),IF(G474*1000&lt;=1570,IF(N474&lt;1.8,"",IF(N474&lt;2.9,"2018",IF(N474&lt;3.8,"2029",IF(N474&lt;5,"2038",IF(N474&lt;7,"2050",IF(N474&lt;9,"2070",IF(N474&lt;11,"2090","2110"))))))),IF(G474*1000&lt;=1700,IF(N474&lt;1.8,"",IF(N474&lt;2.9,"3018",IF(N474&lt;3.8,"3029",IF(N474&lt;5,"3038",IF(N474&lt;7,"3050",IF(N474&lt;9,"3070",IF(N474&lt;11,"3090","3110"))))))),""))))</f>
        <v/>
      </c>
      <c r="Q474">
        <f>AND(O474=TRUE,P474&lt;&gt;"")</f>
        <v/>
      </c>
      <c r="R474">
        <f>IF(G474*1000&lt;750,"なし","あり")</f>
        <v/>
      </c>
      <c r="S474">
        <f>IF(AND(O474=TRUE,Q474=TRUE),"設定可","BLOCK")</f>
        <v/>
      </c>
      <c r="T474" t="inlineStr">
        <is>
          <t>商品カタログ P194</t>
        </is>
      </c>
      <c r="U474" t="inlineStr">
        <is>
          <t>https://webcatalog.lixil.co.jp/iportal/CatalogDetail.do?catalogID=15191910000&amp;categoryID=1630000&amp;designID=newinter&amp;method=initial_screen&amp;position=18&amp;type=mc&amp;volumeID=LXL13001</t>
        </is>
      </c>
    </row>
    <row r="475">
      <c r="A475" t="inlineStr">
        <is>
          <t>WG-SL-00472</t>
        </is>
      </c>
      <c r="B475" t="inlineStr">
        <is>
          <t>SZ-SL-000998</t>
        </is>
      </c>
      <c r="C475" t="inlineStr">
        <is>
          <t>WT-SL-MENKOSHI-AGE-FS</t>
        </is>
      </c>
      <c r="D475" t="inlineStr">
        <is>
          <t>SP-SL-AGE-GRILLE-IGETA</t>
        </is>
      </c>
      <c r="E475" t="inlineStr">
        <is>
          <t>06909</t>
        </is>
      </c>
      <c r="F475" t="n">
        <v>0.73</v>
      </c>
      <c r="G475" t="n">
        <v>0.97</v>
      </c>
      <c r="H475" t="inlineStr">
        <is>
          <t>GL-SL-004</t>
        </is>
      </c>
      <c r="I475" t="n">
        <v>6</v>
      </c>
      <c r="J475" t="n">
        <v>7.8</v>
      </c>
      <c r="K475" t="n">
        <v>-0.355</v>
      </c>
      <c r="L475" t="n">
        <v>-0.664</v>
      </c>
      <c r="M475" t="n">
        <v>0.335</v>
      </c>
      <c r="N475">
        <f>ROUND(J475*F475*G475+K475*G475+L475*F475+M475,3)</f>
        <v/>
      </c>
      <c r="O475">
        <f>AND(N475&gt;=1.4,N475&lt;=13)</f>
        <v/>
      </c>
      <c r="P475">
        <f>IF(OR(N475&lt;1.4,N475&gt;13),"",IF(G475*1000&lt;=1170,IF(N475&lt;1.8,"1014",IF(N475&lt;2.9,"1018",IF(N475&lt;3.8,"1029",IF(N475&lt;5,"1038",IF(N475&lt;7,"1050",IF(N475&lt;9,"1070",IF(N475&lt;11,"1090","1110"))))))),IF(G475*1000&lt;=1570,IF(N475&lt;1.8,"",IF(N475&lt;2.9,"2018",IF(N475&lt;3.8,"2029",IF(N475&lt;5,"2038",IF(N475&lt;7,"2050",IF(N475&lt;9,"2070",IF(N475&lt;11,"2090","2110"))))))),IF(G475*1000&lt;=1700,IF(N475&lt;1.8,"",IF(N475&lt;2.9,"3018",IF(N475&lt;3.8,"3029",IF(N475&lt;5,"3038",IF(N475&lt;7,"3050",IF(N475&lt;9,"3070",IF(N475&lt;11,"3090","3110"))))))),""))))</f>
        <v/>
      </c>
      <c r="Q475">
        <f>AND(O475=TRUE,P475&lt;&gt;"")</f>
        <v/>
      </c>
      <c r="R475">
        <f>IF(G475*1000&lt;750,"なし","あり")</f>
        <v/>
      </c>
      <c r="S475">
        <f>IF(AND(O475=TRUE,Q475=TRUE),"設定可","BLOCK")</f>
        <v/>
      </c>
      <c r="T475" t="inlineStr">
        <is>
          <t>商品カタログ P194</t>
        </is>
      </c>
      <c r="U475" t="inlineStr">
        <is>
          <t>https://webcatalog.lixil.co.jp/iportal/CatalogDetail.do?catalogID=15191910000&amp;categoryID=1630000&amp;designID=newinter&amp;method=initial_screen&amp;position=18&amp;type=mc&amp;volumeID=LXL13001</t>
        </is>
      </c>
    </row>
    <row r="476">
      <c r="A476" t="inlineStr">
        <is>
          <t>WG-SL-00473</t>
        </is>
      </c>
      <c r="B476" t="inlineStr">
        <is>
          <t>SZ-SL-000998</t>
        </is>
      </c>
      <c r="C476" t="inlineStr">
        <is>
          <t>WT-SL-MENKOSHI-AGE-FS</t>
        </is>
      </c>
      <c r="D476" t="inlineStr">
        <is>
          <t>SP-SL-AGE-GRILLE-IGETA</t>
        </is>
      </c>
      <c r="E476" t="inlineStr">
        <is>
          <t>06909</t>
        </is>
      </c>
      <c r="F476" t="n">
        <v>0.73</v>
      </c>
      <c r="G476" t="n">
        <v>0.97</v>
      </c>
      <c r="H476" t="inlineStr">
        <is>
          <t>GL-SL-005</t>
        </is>
      </c>
      <c r="I476" t="n">
        <v>7</v>
      </c>
      <c r="J476" t="n">
        <v>9.1</v>
      </c>
      <c r="K476" t="n">
        <v>-0.48</v>
      </c>
      <c r="L476" t="n">
        <v>-0.998</v>
      </c>
      <c r="M476" t="n">
        <v>0.367</v>
      </c>
      <c r="N476">
        <f>ROUND(J476*F476*G476+K476*G476+L476*F476+M476,3)</f>
        <v/>
      </c>
      <c r="O476">
        <f>AND(N476&gt;=1.4,N476&lt;=13)</f>
        <v/>
      </c>
      <c r="P476">
        <f>IF(OR(N476&lt;1.4,N476&gt;13),"",IF(G476*1000&lt;=1170,IF(N476&lt;1.8,"1014",IF(N476&lt;2.9,"1018",IF(N476&lt;3.8,"1029",IF(N476&lt;5,"1038",IF(N476&lt;7,"1050",IF(N476&lt;9,"1070",IF(N476&lt;11,"1090","1110"))))))),IF(G476*1000&lt;=1570,IF(N476&lt;1.8,"",IF(N476&lt;2.9,"2018",IF(N476&lt;3.8,"2029",IF(N476&lt;5,"2038",IF(N476&lt;7,"2050",IF(N476&lt;9,"2070",IF(N476&lt;11,"2090","2110"))))))),IF(G476*1000&lt;=1700,IF(N476&lt;1.8,"",IF(N476&lt;2.9,"3018",IF(N476&lt;3.8,"3029",IF(N476&lt;5,"3038",IF(N476&lt;7,"3050",IF(N476&lt;9,"3070",IF(N476&lt;11,"3090","3110"))))))),""))))</f>
        <v/>
      </c>
      <c r="Q476">
        <f>AND(O476=TRUE,P476&lt;&gt;"")</f>
        <v/>
      </c>
      <c r="R476">
        <f>IF(G476*1000&lt;750,"なし","あり")</f>
        <v/>
      </c>
      <c r="S476">
        <f>IF(AND(O476=TRUE,Q476=TRUE),"設定可","BLOCK")</f>
        <v/>
      </c>
      <c r="T476" t="inlineStr">
        <is>
          <t>商品カタログ P194</t>
        </is>
      </c>
      <c r="U476" t="inlineStr">
        <is>
          <t>https://webcatalog.lixil.co.jp/iportal/CatalogDetail.do?catalogID=15191910000&amp;categoryID=1630000&amp;designID=newinter&amp;method=initial_screen&amp;position=18&amp;type=mc&amp;volumeID=LXL13001</t>
        </is>
      </c>
    </row>
    <row r="477">
      <c r="A477" t="inlineStr">
        <is>
          <t>WG-SL-00474</t>
        </is>
      </c>
      <c r="B477" t="inlineStr">
        <is>
          <t>SZ-SL-000998</t>
        </is>
      </c>
      <c r="C477" t="inlineStr">
        <is>
          <t>WT-SL-MENKOSHI-AGE-FS</t>
        </is>
      </c>
      <c r="D477" t="inlineStr">
        <is>
          <t>SP-SL-AGE-GRILLE-IGETA</t>
        </is>
      </c>
      <c r="E477" t="inlineStr">
        <is>
          <t>06909</t>
        </is>
      </c>
      <c r="F477" t="n">
        <v>0.73</v>
      </c>
      <c r="G477" t="n">
        <v>0.97</v>
      </c>
      <c r="H477" t="inlineStr">
        <is>
          <t>GL-SL-006</t>
        </is>
      </c>
      <c r="I477" t="n">
        <v>8</v>
      </c>
      <c r="J477" t="n">
        <v>10.4</v>
      </c>
      <c r="K477" t="n">
        <v>-0.605</v>
      </c>
      <c r="L477" t="n">
        <v>-1.332</v>
      </c>
      <c r="M477" t="n">
        <v>0.399</v>
      </c>
      <c r="N477">
        <f>ROUND(J477*F477*G477+K477*G477+L477*F477+M477,3)</f>
        <v/>
      </c>
      <c r="O477">
        <f>AND(N477&gt;=1.4,N477&lt;=13)</f>
        <v/>
      </c>
      <c r="P477">
        <f>IF(OR(N477&lt;1.4,N477&gt;13),"",IF(G477*1000&lt;=1170,IF(N477&lt;1.8,"1014",IF(N477&lt;2.9,"1018",IF(N477&lt;3.8,"1029",IF(N477&lt;5,"1038",IF(N477&lt;7,"1050",IF(N477&lt;9,"1070",IF(N477&lt;11,"1090","1110"))))))),IF(G477*1000&lt;=1570,IF(N477&lt;1.8,"",IF(N477&lt;2.9,"2018",IF(N477&lt;3.8,"2029",IF(N477&lt;5,"2038",IF(N477&lt;7,"2050",IF(N477&lt;9,"2070",IF(N477&lt;11,"2090","2110"))))))),IF(G477*1000&lt;=1700,IF(N477&lt;1.8,"",IF(N477&lt;2.9,"3018",IF(N477&lt;3.8,"3029",IF(N477&lt;5,"3038",IF(N477&lt;7,"3050",IF(N477&lt;9,"3070",IF(N477&lt;11,"3090","3110"))))))),""))))</f>
        <v/>
      </c>
      <c r="Q477">
        <f>AND(O477=TRUE,P477&lt;&gt;"")</f>
        <v/>
      </c>
      <c r="R477">
        <f>IF(G477*1000&lt;750,"なし","あり")</f>
        <v/>
      </c>
      <c r="S477">
        <f>IF(AND(O477=TRUE,Q477=TRUE),"設定可","BLOCK")</f>
        <v/>
      </c>
      <c r="T477" t="inlineStr">
        <is>
          <t>商品カタログ P194</t>
        </is>
      </c>
      <c r="U477" t="inlineStr">
        <is>
          <t>https://webcatalog.lixil.co.jp/iportal/CatalogDetail.do?catalogID=15191910000&amp;categoryID=1630000&amp;designID=newinter&amp;method=initial_screen&amp;position=18&amp;type=mc&amp;volumeID=LXL13001</t>
        </is>
      </c>
    </row>
    <row r="478">
      <c r="A478" t="inlineStr">
        <is>
          <t>WG-SL-00475</t>
        </is>
      </c>
      <c r="B478" t="inlineStr">
        <is>
          <t>SZ-SL-000998</t>
        </is>
      </c>
      <c r="C478" t="inlineStr">
        <is>
          <t>WT-SL-MENKOSHI-AGE-FS</t>
        </is>
      </c>
      <c r="D478" t="inlineStr">
        <is>
          <t>SP-SL-AGE-GRILLE-IGETA</t>
        </is>
      </c>
      <c r="E478" t="inlineStr">
        <is>
          <t>06909</t>
        </is>
      </c>
      <c r="F478" t="n">
        <v>0.73</v>
      </c>
      <c r="G478" t="n">
        <v>0.97</v>
      </c>
      <c r="H478" t="inlineStr">
        <is>
          <t>GL-SL-007</t>
        </is>
      </c>
      <c r="I478" t="n">
        <v>6</v>
      </c>
      <c r="J478" t="n">
        <v>7.8</v>
      </c>
      <c r="K478" t="n">
        <v>-0.355</v>
      </c>
      <c r="L478" t="n">
        <v>-0.664</v>
      </c>
      <c r="M478" t="n">
        <v>0.335</v>
      </c>
      <c r="N478">
        <f>ROUND(J478*F478*G478+K478*G478+L478*F478+M478,3)</f>
        <v/>
      </c>
      <c r="O478">
        <f>AND(N478&gt;=1.4,N478&lt;=13)</f>
        <v/>
      </c>
      <c r="P478">
        <f>IF(OR(N478&lt;1.4,N478&gt;13),"",IF(G478*1000&lt;=1170,IF(N478&lt;1.8,"1014",IF(N478&lt;2.9,"1018",IF(N478&lt;3.8,"1029",IF(N478&lt;5,"1038",IF(N478&lt;7,"1050",IF(N478&lt;9,"1070",IF(N478&lt;11,"1090","1110"))))))),IF(G478*1000&lt;=1570,IF(N478&lt;1.8,"",IF(N478&lt;2.9,"2018",IF(N478&lt;3.8,"2029",IF(N478&lt;5,"2038",IF(N478&lt;7,"2050",IF(N478&lt;9,"2070",IF(N478&lt;11,"2090","2110"))))))),IF(G478*1000&lt;=1700,IF(N478&lt;1.8,"",IF(N478&lt;2.9,"3018",IF(N478&lt;3.8,"3029",IF(N478&lt;5,"3038",IF(N478&lt;7,"3050",IF(N478&lt;9,"3070",IF(N478&lt;11,"3090","3110"))))))),""))))</f>
        <v/>
      </c>
      <c r="Q478">
        <f>AND(O478=TRUE,P478&lt;&gt;"")</f>
        <v/>
      </c>
      <c r="R478">
        <f>IF(G478*1000&lt;750,"なし","あり")</f>
        <v/>
      </c>
      <c r="S478">
        <f>IF(AND(O478=TRUE,Q478=TRUE),"設定可","BLOCK")</f>
        <v/>
      </c>
      <c r="T478" t="inlineStr">
        <is>
          <t>商品カタログ P194</t>
        </is>
      </c>
      <c r="U478" t="inlineStr">
        <is>
          <t>https://webcatalog.lixil.co.jp/iportal/CatalogDetail.do?catalogID=15191910000&amp;categoryID=1630000&amp;designID=newinter&amp;method=initial_screen&amp;position=18&amp;type=mc&amp;volumeID=LXL13001</t>
        </is>
      </c>
    </row>
    <row r="479">
      <c r="A479" t="inlineStr">
        <is>
          <t>WG-SL-00476</t>
        </is>
      </c>
      <c r="B479" t="inlineStr">
        <is>
          <t>SZ-SL-000998</t>
        </is>
      </c>
      <c r="C479" t="inlineStr">
        <is>
          <t>WT-SL-MENKOSHI-AGE-FS</t>
        </is>
      </c>
      <c r="D479" t="inlineStr">
        <is>
          <t>SP-SL-AGE-GRILLE-IGETA</t>
        </is>
      </c>
      <c r="E479" t="inlineStr">
        <is>
          <t>06909</t>
        </is>
      </c>
      <c r="F479" t="n">
        <v>0.73</v>
      </c>
      <c r="G479" t="n">
        <v>0.97</v>
      </c>
      <c r="H479" t="inlineStr">
        <is>
          <t>GL-SL-008</t>
        </is>
      </c>
      <c r="I479" t="n">
        <v>7</v>
      </c>
      <c r="J479" t="n">
        <v>9.1</v>
      </c>
      <c r="K479" t="n">
        <v>-0.48</v>
      </c>
      <c r="L479" t="n">
        <v>-0.998</v>
      </c>
      <c r="M479" t="n">
        <v>0.367</v>
      </c>
      <c r="N479">
        <f>ROUND(J479*F479*G479+K479*G479+L479*F479+M479,3)</f>
        <v/>
      </c>
      <c r="O479">
        <f>AND(N479&gt;=1.4,N479&lt;=13)</f>
        <v/>
      </c>
      <c r="P479">
        <f>IF(OR(N479&lt;1.4,N479&gt;13),"",IF(G479*1000&lt;=1170,IF(N479&lt;1.8,"1014",IF(N479&lt;2.9,"1018",IF(N479&lt;3.8,"1029",IF(N479&lt;5,"1038",IF(N479&lt;7,"1050",IF(N479&lt;9,"1070",IF(N479&lt;11,"1090","1110"))))))),IF(G479*1000&lt;=1570,IF(N479&lt;1.8,"",IF(N479&lt;2.9,"2018",IF(N479&lt;3.8,"2029",IF(N479&lt;5,"2038",IF(N479&lt;7,"2050",IF(N479&lt;9,"2070",IF(N479&lt;11,"2090","2110"))))))),IF(G479*1000&lt;=1700,IF(N479&lt;1.8,"",IF(N479&lt;2.9,"3018",IF(N479&lt;3.8,"3029",IF(N479&lt;5,"3038",IF(N479&lt;7,"3050",IF(N479&lt;9,"3070",IF(N479&lt;11,"3090","3110"))))))),""))))</f>
        <v/>
      </c>
      <c r="Q479">
        <f>AND(O479=TRUE,P479&lt;&gt;"")</f>
        <v/>
      </c>
      <c r="R479">
        <f>IF(G479*1000&lt;750,"なし","あり")</f>
        <v/>
      </c>
      <c r="S479">
        <f>IF(AND(O479=TRUE,Q479=TRUE),"設定可","BLOCK")</f>
        <v/>
      </c>
      <c r="T479" t="inlineStr">
        <is>
          <t>商品カタログ P194</t>
        </is>
      </c>
      <c r="U479" t="inlineStr">
        <is>
          <t>https://webcatalog.lixil.co.jp/iportal/CatalogDetail.do?catalogID=15191910000&amp;categoryID=1630000&amp;designID=newinter&amp;method=initial_screen&amp;position=18&amp;type=mc&amp;volumeID=LXL13001</t>
        </is>
      </c>
    </row>
    <row r="480">
      <c r="A480" t="inlineStr">
        <is>
          <t>WG-SL-00477</t>
        </is>
      </c>
      <c r="B480" t="inlineStr">
        <is>
          <t>SZ-SL-000998</t>
        </is>
      </c>
      <c r="C480" t="inlineStr">
        <is>
          <t>WT-SL-MENKOSHI-AGE-FS</t>
        </is>
      </c>
      <c r="D480" t="inlineStr">
        <is>
          <t>SP-SL-AGE-GRILLE-IGETA</t>
        </is>
      </c>
      <c r="E480" t="inlineStr">
        <is>
          <t>06909</t>
        </is>
      </c>
      <c r="F480" t="n">
        <v>0.73</v>
      </c>
      <c r="G480" t="n">
        <v>0.97</v>
      </c>
      <c r="H480" t="inlineStr">
        <is>
          <t>GL-SL-009</t>
        </is>
      </c>
      <c r="I480" t="n">
        <v>8</v>
      </c>
      <c r="J480" t="n">
        <v>10.4</v>
      </c>
      <c r="K480" t="n">
        <v>-0.605</v>
      </c>
      <c r="L480" t="n">
        <v>-1.332</v>
      </c>
      <c r="M480" t="n">
        <v>0.399</v>
      </c>
      <c r="N480">
        <f>ROUND(J480*F480*G480+K480*G480+L480*F480+M480,3)</f>
        <v/>
      </c>
      <c r="O480">
        <f>AND(N480&gt;=1.4,N480&lt;=13)</f>
        <v/>
      </c>
      <c r="P480">
        <f>IF(OR(N480&lt;1.4,N480&gt;13),"",IF(G480*1000&lt;=1170,IF(N480&lt;1.8,"1014",IF(N480&lt;2.9,"1018",IF(N480&lt;3.8,"1029",IF(N480&lt;5,"1038",IF(N480&lt;7,"1050",IF(N480&lt;9,"1070",IF(N480&lt;11,"1090","1110"))))))),IF(G480*1000&lt;=1570,IF(N480&lt;1.8,"",IF(N480&lt;2.9,"2018",IF(N480&lt;3.8,"2029",IF(N480&lt;5,"2038",IF(N480&lt;7,"2050",IF(N480&lt;9,"2070",IF(N480&lt;11,"2090","2110"))))))),IF(G480*1000&lt;=1700,IF(N480&lt;1.8,"",IF(N480&lt;2.9,"3018",IF(N480&lt;3.8,"3029",IF(N480&lt;5,"3038",IF(N480&lt;7,"3050",IF(N480&lt;9,"3070",IF(N480&lt;11,"3090","3110"))))))),""))))</f>
        <v/>
      </c>
      <c r="Q480">
        <f>AND(O480=TRUE,P480&lt;&gt;"")</f>
        <v/>
      </c>
      <c r="R480">
        <f>IF(G480*1000&lt;750,"なし","あり")</f>
        <v/>
      </c>
      <c r="S480">
        <f>IF(AND(O480=TRUE,Q480=TRUE),"設定可","BLOCK")</f>
        <v/>
      </c>
      <c r="T480" t="inlineStr">
        <is>
          <t>商品カタログ P194</t>
        </is>
      </c>
      <c r="U480" t="inlineStr">
        <is>
          <t>https://webcatalog.lixil.co.jp/iportal/CatalogDetail.do?catalogID=15191910000&amp;categoryID=1630000&amp;designID=newinter&amp;method=initial_screen&amp;position=18&amp;type=mc&amp;volumeID=LXL13001</t>
        </is>
      </c>
    </row>
    <row r="481">
      <c r="A481" t="inlineStr">
        <is>
          <t>WG-SL-00478</t>
        </is>
      </c>
      <c r="B481" t="inlineStr">
        <is>
          <t>SZ-SL-000999</t>
        </is>
      </c>
      <c r="C481" t="inlineStr">
        <is>
          <t>WT-SL-MENKOSHI-AGE-FS</t>
        </is>
      </c>
      <c r="D481" t="inlineStr">
        <is>
          <t>SP-SL-AGE-GRILLE-IGETA</t>
        </is>
      </c>
      <c r="E481" t="inlineStr">
        <is>
          <t>07409</t>
        </is>
      </c>
      <c r="F481" t="n">
        <v>0.78</v>
      </c>
      <c r="G481" t="n">
        <v>0.97</v>
      </c>
      <c r="H481" t="inlineStr">
        <is>
          <t>GL-SL-001</t>
        </is>
      </c>
      <c r="I481" t="n">
        <v>6</v>
      </c>
      <c r="J481" t="n">
        <v>7.8</v>
      </c>
      <c r="K481" t="n">
        <v>-0.355</v>
      </c>
      <c r="L481" t="n">
        <v>-0.664</v>
      </c>
      <c r="M481" t="n">
        <v>0.335</v>
      </c>
      <c r="N481">
        <f>ROUND(J481*F481*G481+K481*G481+L481*F481+M481,3)</f>
        <v/>
      </c>
      <c r="O481">
        <f>AND(N481&gt;=1.4,N481&lt;=13)</f>
        <v/>
      </c>
      <c r="P481">
        <f>IF(OR(N481&lt;1.4,N481&gt;13),"",IF(G481*1000&lt;=1170,IF(N481&lt;1.8,"1014",IF(N481&lt;2.9,"1018",IF(N481&lt;3.8,"1029",IF(N481&lt;5,"1038",IF(N481&lt;7,"1050",IF(N481&lt;9,"1070",IF(N481&lt;11,"1090","1110"))))))),IF(G481*1000&lt;=1570,IF(N481&lt;1.8,"",IF(N481&lt;2.9,"2018",IF(N481&lt;3.8,"2029",IF(N481&lt;5,"2038",IF(N481&lt;7,"2050",IF(N481&lt;9,"2070",IF(N481&lt;11,"2090","2110"))))))),IF(G481*1000&lt;=1700,IF(N481&lt;1.8,"",IF(N481&lt;2.9,"3018",IF(N481&lt;3.8,"3029",IF(N481&lt;5,"3038",IF(N481&lt;7,"3050",IF(N481&lt;9,"3070",IF(N481&lt;11,"3090","3110"))))))),""))))</f>
        <v/>
      </c>
      <c r="Q481">
        <f>AND(O481=TRUE,P481&lt;&gt;"")</f>
        <v/>
      </c>
      <c r="R481">
        <f>IF(G481*1000&lt;750,"なし","あり")</f>
        <v/>
      </c>
      <c r="S481">
        <f>IF(AND(O481=TRUE,Q481=TRUE),"設定可","BLOCK")</f>
        <v/>
      </c>
      <c r="T481" t="inlineStr">
        <is>
          <t>商品カタログ P194</t>
        </is>
      </c>
      <c r="U481" t="inlineStr">
        <is>
          <t>https://webcatalog.lixil.co.jp/iportal/CatalogDetail.do?catalogID=15191910000&amp;categoryID=1630000&amp;designID=newinter&amp;method=initial_screen&amp;position=18&amp;type=mc&amp;volumeID=LXL13001</t>
        </is>
      </c>
    </row>
    <row r="482">
      <c r="A482" t="inlineStr">
        <is>
          <t>WG-SL-00479</t>
        </is>
      </c>
      <c r="B482" t="inlineStr">
        <is>
          <t>SZ-SL-000999</t>
        </is>
      </c>
      <c r="C482" t="inlineStr">
        <is>
          <t>WT-SL-MENKOSHI-AGE-FS</t>
        </is>
      </c>
      <c r="D482" t="inlineStr">
        <is>
          <t>SP-SL-AGE-GRILLE-IGETA</t>
        </is>
      </c>
      <c r="E482" t="inlineStr">
        <is>
          <t>07409</t>
        </is>
      </c>
      <c r="F482" t="n">
        <v>0.78</v>
      </c>
      <c r="G482" t="n">
        <v>0.97</v>
      </c>
      <c r="H482" t="inlineStr">
        <is>
          <t>GL-SL-002</t>
        </is>
      </c>
      <c r="I482" t="n">
        <v>7</v>
      </c>
      <c r="J482" t="n">
        <v>9.1</v>
      </c>
      <c r="K482" t="n">
        <v>-0.48</v>
      </c>
      <c r="L482" t="n">
        <v>-0.998</v>
      </c>
      <c r="M482" t="n">
        <v>0.367</v>
      </c>
      <c r="N482">
        <f>ROUND(J482*F482*G482+K482*G482+L482*F482+M482,3)</f>
        <v/>
      </c>
      <c r="O482">
        <f>AND(N482&gt;=1.4,N482&lt;=13)</f>
        <v/>
      </c>
      <c r="P482">
        <f>IF(OR(N482&lt;1.4,N482&gt;13),"",IF(G482*1000&lt;=1170,IF(N482&lt;1.8,"1014",IF(N482&lt;2.9,"1018",IF(N482&lt;3.8,"1029",IF(N482&lt;5,"1038",IF(N482&lt;7,"1050",IF(N482&lt;9,"1070",IF(N482&lt;11,"1090","1110"))))))),IF(G482*1000&lt;=1570,IF(N482&lt;1.8,"",IF(N482&lt;2.9,"2018",IF(N482&lt;3.8,"2029",IF(N482&lt;5,"2038",IF(N482&lt;7,"2050",IF(N482&lt;9,"2070",IF(N482&lt;11,"2090","2110"))))))),IF(G482*1000&lt;=1700,IF(N482&lt;1.8,"",IF(N482&lt;2.9,"3018",IF(N482&lt;3.8,"3029",IF(N482&lt;5,"3038",IF(N482&lt;7,"3050",IF(N482&lt;9,"3070",IF(N482&lt;11,"3090","3110"))))))),""))))</f>
        <v/>
      </c>
      <c r="Q482">
        <f>AND(O482=TRUE,P482&lt;&gt;"")</f>
        <v/>
      </c>
      <c r="R482">
        <f>IF(G482*1000&lt;750,"なし","あり")</f>
        <v/>
      </c>
      <c r="S482">
        <f>IF(AND(O482=TRUE,Q482=TRUE),"設定可","BLOCK")</f>
        <v/>
      </c>
      <c r="T482" t="inlineStr">
        <is>
          <t>商品カタログ P194</t>
        </is>
      </c>
      <c r="U482" t="inlineStr">
        <is>
          <t>https://webcatalog.lixil.co.jp/iportal/CatalogDetail.do?catalogID=15191910000&amp;categoryID=1630000&amp;designID=newinter&amp;method=initial_screen&amp;position=18&amp;type=mc&amp;volumeID=LXL13001</t>
        </is>
      </c>
    </row>
    <row r="483">
      <c r="A483" t="inlineStr">
        <is>
          <t>WG-SL-00480</t>
        </is>
      </c>
      <c r="B483" t="inlineStr">
        <is>
          <t>SZ-SL-000999</t>
        </is>
      </c>
      <c r="C483" t="inlineStr">
        <is>
          <t>WT-SL-MENKOSHI-AGE-FS</t>
        </is>
      </c>
      <c r="D483" t="inlineStr">
        <is>
          <t>SP-SL-AGE-GRILLE-IGETA</t>
        </is>
      </c>
      <c r="E483" t="inlineStr">
        <is>
          <t>07409</t>
        </is>
      </c>
      <c r="F483" t="n">
        <v>0.78</v>
      </c>
      <c r="G483" t="n">
        <v>0.97</v>
      </c>
      <c r="H483" t="inlineStr">
        <is>
          <t>GL-SL-003</t>
        </is>
      </c>
      <c r="I483" t="n">
        <v>8</v>
      </c>
      <c r="J483" t="n">
        <v>10.4</v>
      </c>
      <c r="K483" t="n">
        <v>-0.605</v>
      </c>
      <c r="L483" t="n">
        <v>-1.332</v>
      </c>
      <c r="M483" t="n">
        <v>0.399</v>
      </c>
      <c r="N483">
        <f>ROUND(J483*F483*G483+K483*G483+L483*F483+M483,3)</f>
        <v/>
      </c>
      <c r="O483">
        <f>AND(N483&gt;=1.4,N483&lt;=13)</f>
        <v/>
      </c>
      <c r="P483">
        <f>IF(OR(N483&lt;1.4,N483&gt;13),"",IF(G483*1000&lt;=1170,IF(N483&lt;1.8,"1014",IF(N483&lt;2.9,"1018",IF(N483&lt;3.8,"1029",IF(N483&lt;5,"1038",IF(N483&lt;7,"1050",IF(N483&lt;9,"1070",IF(N483&lt;11,"1090","1110"))))))),IF(G483*1000&lt;=1570,IF(N483&lt;1.8,"",IF(N483&lt;2.9,"2018",IF(N483&lt;3.8,"2029",IF(N483&lt;5,"2038",IF(N483&lt;7,"2050",IF(N483&lt;9,"2070",IF(N483&lt;11,"2090","2110"))))))),IF(G483*1000&lt;=1700,IF(N483&lt;1.8,"",IF(N483&lt;2.9,"3018",IF(N483&lt;3.8,"3029",IF(N483&lt;5,"3038",IF(N483&lt;7,"3050",IF(N483&lt;9,"3070",IF(N483&lt;11,"3090","3110"))))))),""))))</f>
        <v/>
      </c>
      <c r="Q483">
        <f>AND(O483=TRUE,P483&lt;&gt;"")</f>
        <v/>
      </c>
      <c r="R483">
        <f>IF(G483*1000&lt;750,"なし","あり")</f>
        <v/>
      </c>
      <c r="S483">
        <f>IF(AND(O483=TRUE,Q483=TRUE),"設定可","BLOCK")</f>
        <v/>
      </c>
      <c r="T483" t="inlineStr">
        <is>
          <t>商品カタログ P194</t>
        </is>
      </c>
      <c r="U483" t="inlineStr">
        <is>
          <t>https://webcatalog.lixil.co.jp/iportal/CatalogDetail.do?catalogID=15191910000&amp;categoryID=1630000&amp;designID=newinter&amp;method=initial_screen&amp;position=18&amp;type=mc&amp;volumeID=LXL13001</t>
        </is>
      </c>
    </row>
    <row r="484">
      <c r="A484" t="inlineStr">
        <is>
          <t>WG-SL-00481</t>
        </is>
      </c>
      <c r="B484" t="inlineStr">
        <is>
          <t>SZ-SL-000999</t>
        </is>
      </c>
      <c r="C484" t="inlineStr">
        <is>
          <t>WT-SL-MENKOSHI-AGE-FS</t>
        </is>
      </c>
      <c r="D484" t="inlineStr">
        <is>
          <t>SP-SL-AGE-GRILLE-IGETA</t>
        </is>
      </c>
      <c r="E484" t="inlineStr">
        <is>
          <t>07409</t>
        </is>
      </c>
      <c r="F484" t="n">
        <v>0.78</v>
      </c>
      <c r="G484" t="n">
        <v>0.97</v>
      </c>
      <c r="H484" t="inlineStr">
        <is>
          <t>GL-SL-004</t>
        </is>
      </c>
      <c r="I484" t="n">
        <v>6</v>
      </c>
      <c r="J484" t="n">
        <v>7.8</v>
      </c>
      <c r="K484" t="n">
        <v>-0.355</v>
      </c>
      <c r="L484" t="n">
        <v>-0.664</v>
      </c>
      <c r="M484" t="n">
        <v>0.335</v>
      </c>
      <c r="N484">
        <f>ROUND(J484*F484*G484+K484*G484+L484*F484+M484,3)</f>
        <v/>
      </c>
      <c r="O484">
        <f>AND(N484&gt;=1.4,N484&lt;=13)</f>
        <v/>
      </c>
      <c r="P484">
        <f>IF(OR(N484&lt;1.4,N484&gt;13),"",IF(G484*1000&lt;=1170,IF(N484&lt;1.8,"1014",IF(N484&lt;2.9,"1018",IF(N484&lt;3.8,"1029",IF(N484&lt;5,"1038",IF(N484&lt;7,"1050",IF(N484&lt;9,"1070",IF(N484&lt;11,"1090","1110"))))))),IF(G484*1000&lt;=1570,IF(N484&lt;1.8,"",IF(N484&lt;2.9,"2018",IF(N484&lt;3.8,"2029",IF(N484&lt;5,"2038",IF(N484&lt;7,"2050",IF(N484&lt;9,"2070",IF(N484&lt;11,"2090","2110"))))))),IF(G484*1000&lt;=1700,IF(N484&lt;1.8,"",IF(N484&lt;2.9,"3018",IF(N484&lt;3.8,"3029",IF(N484&lt;5,"3038",IF(N484&lt;7,"3050",IF(N484&lt;9,"3070",IF(N484&lt;11,"3090","3110"))))))),""))))</f>
        <v/>
      </c>
      <c r="Q484">
        <f>AND(O484=TRUE,P484&lt;&gt;"")</f>
        <v/>
      </c>
      <c r="R484">
        <f>IF(G484*1000&lt;750,"なし","あり")</f>
        <v/>
      </c>
      <c r="S484">
        <f>IF(AND(O484=TRUE,Q484=TRUE),"設定可","BLOCK")</f>
        <v/>
      </c>
      <c r="T484" t="inlineStr">
        <is>
          <t>商品カタログ P194</t>
        </is>
      </c>
      <c r="U484" t="inlineStr">
        <is>
          <t>https://webcatalog.lixil.co.jp/iportal/CatalogDetail.do?catalogID=15191910000&amp;categoryID=1630000&amp;designID=newinter&amp;method=initial_screen&amp;position=18&amp;type=mc&amp;volumeID=LXL13001</t>
        </is>
      </c>
    </row>
    <row r="485">
      <c r="A485" t="inlineStr">
        <is>
          <t>WG-SL-00482</t>
        </is>
      </c>
      <c r="B485" t="inlineStr">
        <is>
          <t>SZ-SL-000999</t>
        </is>
      </c>
      <c r="C485" t="inlineStr">
        <is>
          <t>WT-SL-MENKOSHI-AGE-FS</t>
        </is>
      </c>
      <c r="D485" t="inlineStr">
        <is>
          <t>SP-SL-AGE-GRILLE-IGETA</t>
        </is>
      </c>
      <c r="E485" t="inlineStr">
        <is>
          <t>07409</t>
        </is>
      </c>
      <c r="F485" t="n">
        <v>0.78</v>
      </c>
      <c r="G485" t="n">
        <v>0.97</v>
      </c>
      <c r="H485" t="inlineStr">
        <is>
          <t>GL-SL-005</t>
        </is>
      </c>
      <c r="I485" t="n">
        <v>7</v>
      </c>
      <c r="J485" t="n">
        <v>9.1</v>
      </c>
      <c r="K485" t="n">
        <v>-0.48</v>
      </c>
      <c r="L485" t="n">
        <v>-0.998</v>
      </c>
      <c r="M485" t="n">
        <v>0.367</v>
      </c>
      <c r="N485">
        <f>ROUND(J485*F485*G485+K485*G485+L485*F485+M485,3)</f>
        <v/>
      </c>
      <c r="O485">
        <f>AND(N485&gt;=1.4,N485&lt;=13)</f>
        <v/>
      </c>
      <c r="P485">
        <f>IF(OR(N485&lt;1.4,N485&gt;13),"",IF(G485*1000&lt;=1170,IF(N485&lt;1.8,"1014",IF(N485&lt;2.9,"1018",IF(N485&lt;3.8,"1029",IF(N485&lt;5,"1038",IF(N485&lt;7,"1050",IF(N485&lt;9,"1070",IF(N485&lt;11,"1090","1110"))))))),IF(G485*1000&lt;=1570,IF(N485&lt;1.8,"",IF(N485&lt;2.9,"2018",IF(N485&lt;3.8,"2029",IF(N485&lt;5,"2038",IF(N485&lt;7,"2050",IF(N485&lt;9,"2070",IF(N485&lt;11,"2090","2110"))))))),IF(G485*1000&lt;=1700,IF(N485&lt;1.8,"",IF(N485&lt;2.9,"3018",IF(N485&lt;3.8,"3029",IF(N485&lt;5,"3038",IF(N485&lt;7,"3050",IF(N485&lt;9,"3070",IF(N485&lt;11,"3090","3110"))))))),""))))</f>
        <v/>
      </c>
      <c r="Q485">
        <f>AND(O485=TRUE,P485&lt;&gt;"")</f>
        <v/>
      </c>
      <c r="R485">
        <f>IF(G485*1000&lt;750,"なし","あり")</f>
        <v/>
      </c>
      <c r="S485">
        <f>IF(AND(O485=TRUE,Q485=TRUE),"設定可","BLOCK")</f>
        <v/>
      </c>
      <c r="T485" t="inlineStr">
        <is>
          <t>商品カタログ P194</t>
        </is>
      </c>
      <c r="U485" t="inlineStr">
        <is>
          <t>https://webcatalog.lixil.co.jp/iportal/CatalogDetail.do?catalogID=15191910000&amp;categoryID=1630000&amp;designID=newinter&amp;method=initial_screen&amp;position=18&amp;type=mc&amp;volumeID=LXL13001</t>
        </is>
      </c>
    </row>
    <row r="486">
      <c r="A486" t="inlineStr">
        <is>
          <t>WG-SL-00483</t>
        </is>
      </c>
      <c r="B486" t="inlineStr">
        <is>
          <t>SZ-SL-000999</t>
        </is>
      </c>
      <c r="C486" t="inlineStr">
        <is>
          <t>WT-SL-MENKOSHI-AGE-FS</t>
        </is>
      </c>
      <c r="D486" t="inlineStr">
        <is>
          <t>SP-SL-AGE-GRILLE-IGETA</t>
        </is>
      </c>
      <c r="E486" t="inlineStr">
        <is>
          <t>07409</t>
        </is>
      </c>
      <c r="F486" t="n">
        <v>0.78</v>
      </c>
      <c r="G486" t="n">
        <v>0.97</v>
      </c>
      <c r="H486" t="inlineStr">
        <is>
          <t>GL-SL-006</t>
        </is>
      </c>
      <c r="I486" t="n">
        <v>8</v>
      </c>
      <c r="J486" t="n">
        <v>10.4</v>
      </c>
      <c r="K486" t="n">
        <v>-0.605</v>
      </c>
      <c r="L486" t="n">
        <v>-1.332</v>
      </c>
      <c r="M486" t="n">
        <v>0.399</v>
      </c>
      <c r="N486">
        <f>ROUND(J486*F486*G486+K486*G486+L486*F486+M486,3)</f>
        <v/>
      </c>
      <c r="O486">
        <f>AND(N486&gt;=1.4,N486&lt;=13)</f>
        <v/>
      </c>
      <c r="P486">
        <f>IF(OR(N486&lt;1.4,N486&gt;13),"",IF(G486*1000&lt;=1170,IF(N486&lt;1.8,"1014",IF(N486&lt;2.9,"1018",IF(N486&lt;3.8,"1029",IF(N486&lt;5,"1038",IF(N486&lt;7,"1050",IF(N486&lt;9,"1070",IF(N486&lt;11,"1090","1110"))))))),IF(G486*1000&lt;=1570,IF(N486&lt;1.8,"",IF(N486&lt;2.9,"2018",IF(N486&lt;3.8,"2029",IF(N486&lt;5,"2038",IF(N486&lt;7,"2050",IF(N486&lt;9,"2070",IF(N486&lt;11,"2090","2110"))))))),IF(G486*1000&lt;=1700,IF(N486&lt;1.8,"",IF(N486&lt;2.9,"3018",IF(N486&lt;3.8,"3029",IF(N486&lt;5,"3038",IF(N486&lt;7,"3050",IF(N486&lt;9,"3070",IF(N486&lt;11,"3090","3110"))))))),""))))</f>
        <v/>
      </c>
      <c r="Q486">
        <f>AND(O486=TRUE,P486&lt;&gt;"")</f>
        <v/>
      </c>
      <c r="R486">
        <f>IF(G486*1000&lt;750,"なし","あり")</f>
        <v/>
      </c>
      <c r="S486">
        <f>IF(AND(O486=TRUE,Q486=TRUE),"設定可","BLOCK")</f>
        <v/>
      </c>
      <c r="T486" t="inlineStr">
        <is>
          <t>商品カタログ P194</t>
        </is>
      </c>
      <c r="U486" t="inlineStr">
        <is>
          <t>https://webcatalog.lixil.co.jp/iportal/CatalogDetail.do?catalogID=15191910000&amp;categoryID=1630000&amp;designID=newinter&amp;method=initial_screen&amp;position=18&amp;type=mc&amp;volumeID=LXL13001</t>
        </is>
      </c>
    </row>
    <row r="487">
      <c r="A487" t="inlineStr">
        <is>
          <t>WG-SL-00484</t>
        </is>
      </c>
      <c r="B487" t="inlineStr">
        <is>
          <t>SZ-SL-000999</t>
        </is>
      </c>
      <c r="C487" t="inlineStr">
        <is>
          <t>WT-SL-MENKOSHI-AGE-FS</t>
        </is>
      </c>
      <c r="D487" t="inlineStr">
        <is>
          <t>SP-SL-AGE-GRILLE-IGETA</t>
        </is>
      </c>
      <c r="E487" t="inlineStr">
        <is>
          <t>07409</t>
        </is>
      </c>
      <c r="F487" t="n">
        <v>0.78</v>
      </c>
      <c r="G487" t="n">
        <v>0.97</v>
      </c>
      <c r="H487" t="inlineStr">
        <is>
          <t>GL-SL-007</t>
        </is>
      </c>
      <c r="I487" t="n">
        <v>6</v>
      </c>
      <c r="J487" t="n">
        <v>7.8</v>
      </c>
      <c r="K487" t="n">
        <v>-0.355</v>
      </c>
      <c r="L487" t="n">
        <v>-0.664</v>
      </c>
      <c r="M487" t="n">
        <v>0.335</v>
      </c>
      <c r="N487">
        <f>ROUND(J487*F487*G487+K487*G487+L487*F487+M487,3)</f>
        <v/>
      </c>
      <c r="O487">
        <f>AND(N487&gt;=1.4,N487&lt;=13)</f>
        <v/>
      </c>
      <c r="P487">
        <f>IF(OR(N487&lt;1.4,N487&gt;13),"",IF(G487*1000&lt;=1170,IF(N487&lt;1.8,"1014",IF(N487&lt;2.9,"1018",IF(N487&lt;3.8,"1029",IF(N487&lt;5,"1038",IF(N487&lt;7,"1050",IF(N487&lt;9,"1070",IF(N487&lt;11,"1090","1110"))))))),IF(G487*1000&lt;=1570,IF(N487&lt;1.8,"",IF(N487&lt;2.9,"2018",IF(N487&lt;3.8,"2029",IF(N487&lt;5,"2038",IF(N487&lt;7,"2050",IF(N487&lt;9,"2070",IF(N487&lt;11,"2090","2110"))))))),IF(G487*1000&lt;=1700,IF(N487&lt;1.8,"",IF(N487&lt;2.9,"3018",IF(N487&lt;3.8,"3029",IF(N487&lt;5,"3038",IF(N487&lt;7,"3050",IF(N487&lt;9,"3070",IF(N487&lt;11,"3090","3110"))))))),""))))</f>
        <v/>
      </c>
      <c r="Q487">
        <f>AND(O487=TRUE,P487&lt;&gt;"")</f>
        <v/>
      </c>
      <c r="R487">
        <f>IF(G487*1000&lt;750,"なし","あり")</f>
        <v/>
      </c>
      <c r="S487">
        <f>IF(AND(O487=TRUE,Q487=TRUE),"設定可","BLOCK")</f>
        <v/>
      </c>
      <c r="T487" t="inlineStr">
        <is>
          <t>商品カタログ P194</t>
        </is>
      </c>
      <c r="U487" t="inlineStr">
        <is>
          <t>https://webcatalog.lixil.co.jp/iportal/CatalogDetail.do?catalogID=15191910000&amp;categoryID=1630000&amp;designID=newinter&amp;method=initial_screen&amp;position=18&amp;type=mc&amp;volumeID=LXL13001</t>
        </is>
      </c>
    </row>
    <row r="488">
      <c r="A488" t="inlineStr">
        <is>
          <t>WG-SL-00485</t>
        </is>
      </c>
      <c r="B488" t="inlineStr">
        <is>
          <t>SZ-SL-000999</t>
        </is>
      </c>
      <c r="C488" t="inlineStr">
        <is>
          <t>WT-SL-MENKOSHI-AGE-FS</t>
        </is>
      </c>
      <c r="D488" t="inlineStr">
        <is>
          <t>SP-SL-AGE-GRILLE-IGETA</t>
        </is>
      </c>
      <c r="E488" t="inlineStr">
        <is>
          <t>07409</t>
        </is>
      </c>
      <c r="F488" t="n">
        <v>0.78</v>
      </c>
      <c r="G488" t="n">
        <v>0.97</v>
      </c>
      <c r="H488" t="inlineStr">
        <is>
          <t>GL-SL-008</t>
        </is>
      </c>
      <c r="I488" t="n">
        <v>7</v>
      </c>
      <c r="J488" t="n">
        <v>9.1</v>
      </c>
      <c r="K488" t="n">
        <v>-0.48</v>
      </c>
      <c r="L488" t="n">
        <v>-0.998</v>
      </c>
      <c r="M488" t="n">
        <v>0.367</v>
      </c>
      <c r="N488">
        <f>ROUND(J488*F488*G488+K488*G488+L488*F488+M488,3)</f>
        <v/>
      </c>
      <c r="O488">
        <f>AND(N488&gt;=1.4,N488&lt;=13)</f>
        <v/>
      </c>
      <c r="P488">
        <f>IF(OR(N488&lt;1.4,N488&gt;13),"",IF(G488*1000&lt;=1170,IF(N488&lt;1.8,"1014",IF(N488&lt;2.9,"1018",IF(N488&lt;3.8,"1029",IF(N488&lt;5,"1038",IF(N488&lt;7,"1050",IF(N488&lt;9,"1070",IF(N488&lt;11,"1090","1110"))))))),IF(G488*1000&lt;=1570,IF(N488&lt;1.8,"",IF(N488&lt;2.9,"2018",IF(N488&lt;3.8,"2029",IF(N488&lt;5,"2038",IF(N488&lt;7,"2050",IF(N488&lt;9,"2070",IF(N488&lt;11,"2090","2110"))))))),IF(G488*1000&lt;=1700,IF(N488&lt;1.8,"",IF(N488&lt;2.9,"3018",IF(N488&lt;3.8,"3029",IF(N488&lt;5,"3038",IF(N488&lt;7,"3050",IF(N488&lt;9,"3070",IF(N488&lt;11,"3090","3110"))))))),""))))</f>
        <v/>
      </c>
      <c r="Q488">
        <f>AND(O488=TRUE,P488&lt;&gt;"")</f>
        <v/>
      </c>
      <c r="R488">
        <f>IF(G488*1000&lt;750,"なし","あり")</f>
        <v/>
      </c>
      <c r="S488">
        <f>IF(AND(O488=TRUE,Q488=TRUE),"設定可","BLOCK")</f>
        <v/>
      </c>
      <c r="T488" t="inlineStr">
        <is>
          <t>商品カタログ P194</t>
        </is>
      </c>
      <c r="U488" t="inlineStr">
        <is>
          <t>https://webcatalog.lixil.co.jp/iportal/CatalogDetail.do?catalogID=15191910000&amp;categoryID=1630000&amp;designID=newinter&amp;method=initial_screen&amp;position=18&amp;type=mc&amp;volumeID=LXL13001</t>
        </is>
      </c>
    </row>
    <row r="489">
      <c r="A489" t="inlineStr">
        <is>
          <t>WG-SL-00486</t>
        </is>
      </c>
      <c r="B489" t="inlineStr">
        <is>
          <t>SZ-SL-000999</t>
        </is>
      </c>
      <c r="C489" t="inlineStr">
        <is>
          <t>WT-SL-MENKOSHI-AGE-FS</t>
        </is>
      </c>
      <c r="D489" t="inlineStr">
        <is>
          <t>SP-SL-AGE-GRILLE-IGETA</t>
        </is>
      </c>
      <c r="E489" t="inlineStr">
        <is>
          <t>07409</t>
        </is>
      </c>
      <c r="F489" t="n">
        <v>0.78</v>
      </c>
      <c r="G489" t="n">
        <v>0.97</v>
      </c>
      <c r="H489" t="inlineStr">
        <is>
          <t>GL-SL-009</t>
        </is>
      </c>
      <c r="I489" t="n">
        <v>8</v>
      </c>
      <c r="J489" t="n">
        <v>10.4</v>
      </c>
      <c r="K489" t="n">
        <v>-0.605</v>
      </c>
      <c r="L489" t="n">
        <v>-1.332</v>
      </c>
      <c r="M489" t="n">
        <v>0.399</v>
      </c>
      <c r="N489">
        <f>ROUND(J489*F489*G489+K489*G489+L489*F489+M489,3)</f>
        <v/>
      </c>
      <c r="O489">
        <f>AND(N489&gt;=1.4,N489&lt;=13)</f>
        <v/>
      </c>
      <c r="P489">
        <f>IF(OR(N489&lt;1.4,N489&gt;13),"",IF(G489*1000&lt;=1170,IF(N489&lt;1.8,"1014",IF(N489&lt;2.9,"1018",IF(N489&lt;3.8,"1029",IF(N489&lt;5,"1038",IF(N489&lt;7,"1050",IF(N489&lt;9,"1070",IF(N489&lt;11,"1090","1110"))))))),IF(G489*1000&lt;=1570,IF(N489&lt;1.8,"",IF(N489&lt;2.9,"2018",IF(N489&lt;3.8,"2029",IF(N489&lt;5,"2038",IF(N489&lt;7,"2050",IF(N489&lt;9,"2070",IF(N489&lt;11,"2090","2110"))))))),IF(G489*1000&lt;=1700,IF(N489&lt;1.8,"",IF(N489&lt;2.9,"3018",IF(N489&lt;3.8,"3029",IF(N489&lt;5,"3038",IF(N489&lt;7,"3050",IF(N489&lt;9,"3070",IF(N489&lt;11,"3090","3110"))))))),""))))</f>
        <v/>
      </c>
      <c r="Q489">
        <f>AND(O489=TRUE,P489&lt;&gt;"")</f>
        <v/>
      </c>
      <c r="R489">
        <f>IF(G489*1000&lt;750,"なし","あり")</f>
        <v/>
      </c>
      <c r="S489">
        <f>IF(AND(O489=TRUE,Q489=TRUE),"設定可","BLOCK")</f>
        <v/>
      </c>
      <c r="T489" t="inlineStr">
        <is>
          <t>商品カタログ P194</t>
        </is>
      </c>
      <c r="U489" t="inlineStr">
        <is>
          <t>https://webcatalog.lixil.co.jp/iportal/CatalogDetail.do?catalogID=15191910000&amp;categoryID=1630000&amp;designID=newinter&amp;method=initial_screen&amp;position=18&amp;type=mc&amp;volumeID=LXL13001</t>
        </is>
      </c>
    </row>
    <row r="490">
      <c r="A490" t="inlineStr">
        <is>
          <t>WG-SL-00487</t>
        </is>
      </c>
      <c r="B490" t="inlineStr">
        <is>
          <t>SZ-SL-001000</t>
        </is>
      </c>
      <c r="C490" t="inlineStr">
        <is>
          <t>WT-SL-MENKOSHI-AGE-FS</t>
        </is>
      </c>
      <c r="D490" t="inlineStr">
        <is>
          <t>SP-SL-AGE-GRILLE-V</t>
        </is>
      </c>
      <c r="E490" t="inlineStr">
        <is>
          <t>02609</t>
        </is>
      </c>
      <c r="F490" t="n">
        <v>0.3</v>
      </c>
      <c r="G490" t="n">
        <v>0.97</v>
      </c>
      <c r="H490" t="inlineStr">
        <is>
          <t>GL-SL-001</t>
        </is>
      </c>
      <c r="I490" t="n">
        <v>6</v>
      </c>
      <c r="J490" t="n">
        <v>7.8</v>
      </c>
      <c r="K490" t="n">
        <v>-0.355</v>
      </c>
      <c r="L490" t="n">
        <v>-0.664</v>
      </c>
      <c r="M490" t="n">
        <v>0.335</v>
      </c>
      <c r="N490">
        <f>ROUND(J490*F490*G490+K490*G490+L490*F490+M490,3)</f>
        <v/>
      </c>
      <c r="O490">
        <f>AND(N490&gt;=1.4,N490&lt;=13)</f>
        <v/>
      </c>
      <c r="P490">
        <f>IF(OR(N490&lt;1.4,N490&gt;13),"",IF(G490*1000&lt;=1170,IF(N490&lt;1.8,"1014",IF(N490&lt;2.9,"1018",IF(N490&lt;3.8,"1029",IF(N490&lt;5,"1038",IF(N490&lt;7,"1050",IF(N490&lt;9,"1070",IF(N490&lt;11,"1090","1110"))))))),IF(G490*1000&lt;=1570,IF(N490&lt;1.8,"",IF(N490&lt;2.9,"2018",IF(N490&lt;3.8,"2029",IF(N490&lt;5,"2038",IF(N490&lt;7,"2050",IF(N490&lt;9,"2070",IF(N490&lt;11,"2090","2110"))))))),IF(G490*1000&lt;=1700,IF(N490&lt;1.8,"",IF(N490&lt;2.9,"3018",IF(N490&lt;3.8,"3029",IF(N490&lt;5,"3038",IF(N490&lt;7,"3050",IF(N490&lt;9,"3070",IF(N490&lt;11,"3090","3110"))))))),""))))</f>
        <v/>
      </c>
      <c r="Q490">
        <f>AND(O490=TRUE,P490&lt;&gt;"")</f>
        <v/>
      </c>
      <c r="R490">
        <f>IF(G490*1000&lt;750,"なし","あり")</f>
        <v/>
      </c>
      <c r="S490">
        <f>IF(AND(O490=TRUE,Q490=TRUE),"設定可","BLOCK")</f>
        <v/>
      </c>
      <c r="T490" t="inlineStr">
        <is>
          <t>商品カタログ P194</t>
        </is>
      </c>
      <c r="U490" t="inlineStr">
        <is>
          <t>https://webcatalog.lixil.co.jp/iportal/CatalogDetail.do?catalogID=15191910000&amp;categoryID=1630000&amp;designID=newinter&amp;method=initial_screen&amp;position=18&amp;type=mc&amp;volumeID=LXL13001</t>
        </is>
      </c>
    </row>
    <row r="491">
      <c r="A491" t="inlineStr">
        <is>
          <t>WG-SL-00488</t>
        </is>
      </c>
      <c r="B491" t="inlineStr">
        <is>
          <t>SZ-SL-001000</t>
        </is>
      </c>
      <c r="C491" t="inlineStr">
        <is>
          <t>WT-SL-MENKOSHI-AGE-FS</t>
        </is>
      </c>
      <c r="D491" t="inlineStr">
        <is>
          <t>SP-SL-AGE-GRILLE-V</t>
        </is>
      </c>
      <c r="E491" t="inlineStr">
        <is>
          <t>02609</t>
        </is>
      </c>
      <c r="F491" t="n">
        <v>0.3</v>
      </c>
      <c r="G491" t="n">
        <v>0.97</v>
      </c>
      <c r="H491" t="inlineStr">
        <is>
          <t>GL-SL-002</t>
        </is>
      </c>
      <c r="I491" t="n">
        <v>7</v>
      </c>
      <c r="J491" t="n">
        <v>9.1</v>
      </c>
      <c r="K491" t="n">
        <v>-0.48</v>
      </c>
      <c r="L491" t="n">
        <v>-0.998</v>
      </c>
      <c r="M491" t="n">
        <v>0.367</v>
      </c>
      <c r="N491">
        <f>ROUND(J491*F491*G491+K491*G491+L491*F491+M491,3)</f>
        <v/>
      </c>
      <c r="O491">
        <f>AND(N491&gt;=1.4,N491&lt;=13)</f>
        <v/>
      </c>
      <c r="P491">
        <f>IF(OR(N491&lt;1.4,N491&gt;13),"",IF(G491*1000&lt;=1170,IF(N491&lt;1.8,"1014",IF(N491&lt;2.9,"1018",IF(N491&lt;3.8,"1029",IF(N491&lt;5,"1038",IF(N491&lt;7,"1050",IF(N491&lt;9,"1070",IF(N491&lt;11,"1090","1110"))))))),IF(G491*1000&lt;=1570,IF(N491&lt;1.8,"",IF(N491&lt;2.9,"2018",IF(N491&lt;3.8,"2029",IF(N491&lt;5,"2038",IF(N491&lt;7,"2050",IF(N491&lt;9,"2070",IF(N491&lt;11,"2090","2110"))))))),IF(G491*1000&lt;=1700,IF(N491&lt;1.8,"",IF(N491&lt;2.9,"3018",IF(N491&lt;3.8,"3029",IF(N491&lt;5,"3038",IF(N491&lt;7,"3050",IF(N491&lt;9,"3070",IF(N491&lt;11,"3090","3110"))))))),""))))</f>
        <v/>
      </c>
      <c r="Q491">
        <f>AND(O491=TRUE,P491&lt;&gt;"")</f>
        <v/>
      </c>
      <c r="R491">
        <f>IF(G491*1000&lt;750,"なし","あり")</f>
        <v/>
      </c>
      <c r="S491">
        <f>IF(AND(O491=TRUE,Q491=TRUE),"設定可","BLOCK")</f>
        <v/>
      </c>
      <c r="T491" t="inlineStr">
        <is>
          <t>商品カタログ P194</t>
        </is>
      </c>
      <c r="U491" t="inlineStr">
        <is>
          <t>https://webcatalog.lixil.co.jp/iportal/CatalogDetail.do?catalogID=15191910000&amp;categoryID=1630000&amp;designID=newinter&amp;method=initial_screen&amp;position=18&amp;type=mc&amp;volumeID=LXL13001</t>
        </is>
      </c>
    </row>
    <row r="492">
      <c r="A492" t="inlineStr">
        <is>
          <t>WG-SL-00489</t>
        </is>
      </c>
      <c r="B492" t="inlineStr">
        <is>
          <t>SZ-SL-001000</t>
        </is>
      </c>
      <c r="C492" t="inlineStr">
        <is>
          <t>WT-SL-MENKOSHI-AGE-FS</t>
        </is>
      </c>
      <c r="D492" t="inlineStr">
        <is>
          <t>SP-SL-AGE-GRILLE-V</t>
        </is>
      </c>
      <c r="E492" t="inlineStr">
        <is>
          <t>02609</t>
        </is>
      </c>
      <c r="F492" t="n">
        <v>0.3</v>
      </c>
      <c r="G492" t="n">
        <v>0.97</v>
      </c>
      <c r="H492" t="inlineStr">
        <is>
          <t>GL-SL-003</t>
        </is>
      </c>
      <c r="I492" t="n">
        <v>8</v>
      </c>
      <c r="J492" t="n">
        <v>10.4</v>
      </c>
      <c r="K492" t="n">
        <v>-0.605</v>
      </c>
      <c r="L492" t="n">
        <v>-1.332</v>
      </c>
      <c r="M492" t="n">
        <v>0.399</v>
      </c>
      <c r="N492">
        <f>ROUND(J492*F492*G492+K492*G492+L492*F492+M492,3)</f>
        <v/>
      </c>
      <c r="O492">
        <f>AND(N492&gt;=1.4,N492&lt;=13)</f>
        <v/>
      </c>
      <c r="P492">
        <f>IF(OR(N492&lt;1.4,N492&gt;13),"",IF(G492*1000&lt;=1170,IF(N492&lt;1.8,"1014",IF(N492&lt;2.9,"1018",IF(N492&lt;3.8,"1029",IF(N492&lt;5,"1038",IF(N492&lt;7,"1050",IF(N492&lt;9,"1070",IF(N492&lt;11,"1090","1110"))))))),IF(G492*1000&lt;=1570,IF(N492&lt;1.8,"",IF(N492&lt;2.9,"2018",IF(N492&lt;3.8,"2029",IF(N492&lt;5,"2038",IF(N492&lt;7,"2050",IF(N492&lt;9,"2070",IF(N492&lt;11,"2090","2110"))))))),IF(G492*1000&lt;=1700,IF(N492&lt;1.8,"",IF(N492&lt;2.9,"3018",IF(N492&lt;3.8,"3029",IF(N492&lt;5,"3038",IF(N492&lt;7,"3050",IF(N492&lt;9,"3070",IF(N492&lt;11,"3090","3110"))))))),""))))</f>
        <v/>
      </c>
      <c r="Q492">
        <f>AND(O492=TRUE,P492&lt;&gt;"")</f>
        <v/>
      </c>
      <c r="R492">
        <f>IF(G492*1000&lt;750,"なし","あり")</f>
        <v/>
      </c>
      <c r="S492">
        <f>IF(AND(O492=TRUE,Q492=TRUE),"設定可","BLOCK")</f>
        <v/>
      </c>
      <c r="T492" t="inlineStr">
        <is>
          <t>商品カタログ P194</t>
        </is>
      </c>
      <c r="U492" t="inlineStr">
        <is>
          <t>https://webcatalog.lixil.co.jp/iportal/CatalogDetail.do?catalogID=15191910000&amp;categoryID=1630000&amp;designID=newinter&amp;method=initial_screen&amp;position=18&amp;type=mc&amp;volumeID=LXL13001</t>
        </is>
      </c>
    </row>
    <row r="493">
      <c r="A493" t="inlineStr">
        <is>
          <t>WG-SL-00490</t>
        </is>
      </c>
      <c r="B493" t="inlineStr">
        <is>
          <t>SZ-SL-001000</t>
        </is>
      </c>
      <c r="C493" t="inlineStr">
        <is>
          <t>WT-SL-MENKOSHI-AGE-FS</t>
        </is>
      </c>
      <c r="D493" t="inlineStr">
        <is>
          <t>SP-SL-AGE-GRILLE-V</t>
        </is>
      </c>
      <c r="E493" t="inlineStr">
        <is>
          <t>02609</t>
        </is>
      </c>
      <c r="F493" t="n">
        <v>0.3</v>
      </c>
      <c r="G493" t="n">
        <v>0.97</v>
      </c>
      <c r="H493" t="inlineStr">
        <is>
          <t>GL-SL-004</t>
        </is>
      </c>
      <c r="I493" t="n">
        <v>6</v>
      </c>
      <c r="J493" t="n">
        <v>7.8</v>
      </c>
      <c r="K493" t="n">
        <v>-0.355</v>
      </c>
      <c r="L493" t="n">
        <v>-0.664</v>
      </c>
      <c r="M493" t="n">
        <v>0.335</v>
      </c>
      <c r="N493">
        <f>ROUND(J493*F493*G493+K493*G493+L493*F493+M493,3)</f>
        <v/>
      </c>
      <c r="O493">
        <f>AND(N493&gt;=1.4,N493&lt;=13)</f>
        <v/>
      </c>
      <c r="P493">
        <f>IF(OR(N493&lt;1.4,N493&gt;13),"",IF(G493*1000&lt;=1170,IF(N493&lt;1.8,"1014",IF(N493&lt;2.9,"1018",IF(N493&lt;3.8,"1029",IF(N493&lt;5,"1038",IF(N493&lt;7,"1050",IF(N493&lt;9,"1070",IF(N493&lt;11,"1090","1110"))))))),IF(G493*1000&lt;=1570,IF(N493&lt;1.8,"",IF(N493&lt;2.9,"2018",IF(N493&lt;3.8,"2029",IF(N493&lt;5,"2038",IF(N493&lt;7,"2050",IF(N493&lt;9,"2070",IF(N493&lt;11,"2090","2110"))))))),IF(G493*1000&lt;=1700,IF(N493&lt;1.8,"",IF(N493&lt;2.9,"3018",IF(N493&lt;3.8,"3029",IF(N493&lt;5,"3038",IF(N493&lt;7,"3050",IF(N493&lt;9,"3070",IF(N493&lt;11,"3090","3110"))))))),""))))</f>
        <v/>
      </c>
      <c r="Q493">
        <f>AND(O493=TRUE,P493&lt;&gt;"")</f>
        <v/>
      </c>
      <c r="R493">
        <f>IF(G493*1000&lt;750,"なし","あり")</f>
        <v/>
      </c>
      <c r="S493">
        <f>IF(AND(O493=TRUE,Q493=TRUE),"設定可","BLOCK")</f>
        <v/>
      </c>
      <c r="T493" t="inlineStr">
        <is>
          <t>商品カタログ P194</t>
        </is>
      </c>
      <c r="U493" t="inlineStr">
        <is>
          <t>https://webcatalog.lixil.co.jp/iportal/CatalogDetail.do?catalogID=15191910000&amp;categoryID=1630000&amp;designID=newinter&amp;method=initial_screen&amp;position=18&amp;type=mc&amp;volumeID=LXL13001</t>
        </is>
      </c>
    </row>
    <row r="494">
      <c r="A494" t="inlineStr">
        <is>
          <t>WG-SL-00491</t>
        </is>
      </c>
      <c r="B494" t="inlineStr">
        <is>
          <t>SZ-SL-001000</t>
        </is>
      </c>
      <c r="C494" t="inlineStr">
        <is>
          <t>WT-SL-MENKOSHI-AGE-FS</t>
        </is>
      </c>
      <c r="D494" t="inlineStr">
        <is>
          <t>SP-SL-AGE-GRILLE-V</t>
        </is>
      </c>
      <c r="E494" t="inlineStr">
        <is>
          <t>02609</t>
        </is>
      </c>
      <c r="F494" t="n">
        <v>0.3</v>
      </c>
      <c r="G494" t="n">
        <v>0.97</v>
      </c>
      <c r="H494" t="inlineStr">
        <is>
          <t>GL-SL-005</t>
        </is>
      </c>
      <c r="I494" t="n">
        <v>7</v>
      </c>
      <c r="J494" t="n">
        <v>9.1</v>
      </c>
      <c r="K494" t="n">
        <v>-0.48</v>
      </c>
      <c r="L494" t="n">
        <v>-0.998</v>
      </c>
      <c r="M494" t="n">
        <v>0.367</v>
      </c>
      <c r="N494">
        <f>ROUND(J494*F494*G494+K494*G494+L494*F494+M494,3)</f>
        <v/>
      </c>
      <c r="O494">
        <f>AND(N494&gt;=1.4,N494&lt;=13)</f>
        <v/>
      </c>
      <c r="P494">
        <f>IF(OR(N494&lt;1.4,N494&gt;13),"",IF(G494*1000&lt;=1170,IF(N494&lt;1.8,"1014",IF(N494&lt;2.9,"1018",IF(N494&lt;3.8,"1029",IF(N494&lt;5,"1038",IF(N494&lt;7,"1050",IF(N494&lt;9,"1070",IF(N494&lt;11,"1090","1110"))))))),IF(G494*1000&lt;=1570,IF(N494&lt;1.8,"",IF(N494&lt;2.9,"2018",IF(N494&lt;3.8,"2029",IF(N494&lt;5,"2038",IF(N494&lt;7,"2050",IF(N494&lt;9,"2070",IF(N494&lt;11,"2090","2110"))))))),IF(G494*1000&lt;=1700,IF(N494&lt;1.8,"",IF(N494&lt;2.9,"3018",IF(N494&lt;3.8,"3029",IF(N494&lt;5,"3038",IF(N494&lt;7,"3050",IF(N494&lt;9,"3070",IF(N494&lt;11,"3090","3110"))))))),""))))</f>
        <v/>
      </c>
      <c r="Q494">
        <f>AND(O494=TRUE,P494&lt;&gt;"")</f>
        <v/>
      </c>
      <c r="R494">
        <f>IF(G494*1000&lt;750,"なし","あり")</f>
        <v/>
      </c>
      <c r="S494">
        <f>IF(AND(O494=TRUE,Q494=TRUE),"設定可","BLOCK")</f>
        <v/>
      </c>
      <c r="T494" t="inlineStr">
        <is>
          <t>商品カタログ P194</t>
        </is>
      </c>
      <c r="U494" t="inlineStr">
        <is>
          <t>https://webcatalog.lixil.co.jp/iportal/CatalogDetail.do?catalogID=15191910000&amp;categoryID=1630000&amp;designID=newinter&amp;method=initial_screen&amp;position=18&amp;type=mc&amp;volumeID=LXL13001</t>
        </is>
      </c>
    </row>
    <row r="495">
      <c r="A495" t="inlineStr">
        <is>
          <t>WG-SL-00492</t>
        </is>
      </c>
      <c r="B495" t="inlineStr">
        <is>
          <t>SZ-SL-001000</t>
        </is>
      </c>
      <c r="C495" t="inlineStr">
        <is>
          <t>WT-SL-MENKOSHI-AGE-FS</t>
        </is>
      </c>
      <c r="D495" t="inlineStr">
        <is>
          <t>SP-SL-AGE-GRILLE-V</t>
        </is>
      </c>
      <c r="E495" t="inlineStr">
        <is>
          <t>02609</t>
        </is>
      </c>
      <c r="F495" t="n">
        <v>0.3</v>
      </c>
      <c r="G495" t="n">
        <v>0.97</v>
      </c>
      <c r="H495" t="inlineStr">
        <is>
          <t>GL-SL-006</t>
        </is>
      </c>
      <c r="I495" t="n">
        <v>8</v>
      </c>
      <c r="J495" t="n">
        <v>10.4</v>
      </c>
      <c r="K495" t="n">
        <v>-0.605</v>
      </c>
      <c r="L495" t="n">
        <v>-1.332</v>
      </c>
      <c r="M495" t="n">
        <v>0.399</v>
      </c>
      <c r="N495">
        <f>ROUND(J495*F495*G495+K495*G495+L495*F495+M495,3)</f>
        <v/>
      </c>
      <c r="O495">
        <f>AND(N495&gt;=1.4,N495&lt;=13)</f>
        <v/>
      </c>
      <c r="P495">
        <f>IF(OR(N495&lt;1.4,N495&gt;13),"",IF(G495*1000&lt;=1170,IF(N495&lt;1.8,"1014",IF(N495&lt;2.9,"1018",IF(N495&lt;3.8,"1029",IF(N495&lt;5,"1038",IF(N495&lt;7,"1050",IF(N495&lt;9,"1070",IF(N495&lt;11,"1090","1110"))))))),IF(G495*1000&lt;=1570,IF(N495&lt;1.8,"",IF(N495&lt;2.9,"2018",IF(N495&lt;3.8,"2029",IF(N495&lt;5,"2038",IF(N495&lt;7,"2050",IF(N495&lt;9,"2070",IF(N495&lt;11,"2090","2110"))))))),IF(G495*1000&lt;=1700,IF(N495&lt;1.8,"",IF(N495&lt;2.9,"3018",IF(N495&lt;3.8,"3029",IF(N495&lt;5,"3038",IF(N495&lt;7,"3050",IF(N495&lt;9,"3070",IF(N495&lt;11,"3090","3110"))))))),""))))</f>
        <v/>
      </c>
      <c r="Q495">
        <f>AND(O495=TRUE,P495&lt;&gt;"")</f>
        <v/>
      </c>
      <c r="R495">
        <f>IF(G495*1000&lt;750,"なし","あり")</f>
        <v/>
      </c>
      <c r="S495">
        <f>IF(AND(O495=TRUE,Q495=TRUE),"設定可","BLOCK")</f>
        <v/>
      </c>
      <c r="T495" t="inlineStr">
        <is>
          <t>商品カタログ P194</t>
        </is>
      </c>
      <c r="U495" t="inlineStr">
        <is>
          <t>https://webcatalog.lixil.co.jp/iportal/CatalogDetail.do?catalogID=15191910000&amp;categoryID=1630000&amp;designID=newinter&amp;method=initial_screen&amp;position=18&amp;type=mc&amp;volumeID=LXL13001</t>
        </is>
      </c>
    </row>
    <row r="496">
      <c r="A496" t="inlineStr">
        <is>
          <t>WG-SL-00493</t>
        </is>
      </c>
      <c r="B496" t="inlineStr">
        <is>
          <t>SZ-SL-001000</t>
        </is>
      </c>
      <c r="C496" t="inlineStr">
        <is>
          <t>WT-SL-MENKOSHI-AGE-FS</t>
        </is>
      </c>
      <c r="D496" t="inlineStr">
        <is>
          <t>SP-SL-AGE-GRILLE-V</t>
        </is>
      </c>
      <c r="E496" t="inlineStr">
        <is>
          <t>02609</t>
        </is>
      </c>
      <c r="F496" t="n">
        <v>0.3</v>
      </c>
      <c r="G496" t="n">
        <v>0.97</v>
      </c>
      <c r="H496" t="inlineStr">
        <is>
          <t>GL-SL-007</t>
        </is>
      </c>
      <c r="I496" t="n">
        <v>6</v>
      </c>
      <c r="J496" t="n">
        <v>7.8</v>
      </c>
      <c r="K496" t="n">
        <v>-0.355</v>
      </c>
      <c r="L496" t="n">
        <v>-0.664</v>
      </c>
      <c r="M496" t="n">
        <v>0.335</v>
      </c>
      <c r="N496">
        <f>ROUND(J496*F496*G496+K496*G496+L496*F496+M496,3)</f>
        <v/>
      </c>
      <c r="O496">
        <f>AND(N496&gt;=1.4,N496&lt;=13)</f>
        <v/>
      </c>
      <c r="P496">
        <f>IF(OR(N496&lt;1.4,N496&gt;13),"",IF(G496*1000&lt;=1170,IF(N496&lt;1.8,"1014",IF(N496&lt;2.9,"1018",IF(N496&lt;3.8,"1029",IF(N496&lt;5,"1038",IF(N496&lt;7,"1050",IF(N496&lt;9,"1070",IF(N496&lt;11,"1090","1110"))))))),IF(G496*1000&lt;=1570,IF(N496&lt;1.8,"",IF(N496&lt;2.9,"2018",IF(N496&lt;3.8,"2029",IF(N496&lt;5,"2038",IF(N496&lt;7,"2050",IF(N496&lt;9,"2070",IF(N496&lt;11,"2090","2110"))))))),IF(G496*1000&lt;=1700,IF(N496&lt;1.8,"",IF(N496&lt;2.9,"3018",IF(N496&lt;3.8,"3029",IF(N496&lt;5,"3038",IF(N496&lt;7,"3050",IF(N496&lt;9,"3070",IF(N496&lt;11,"3090","3110"))))))),""))))</f>
        <v/>
      </c>
      <c r="Q496">
        <f>AND(O496=TRUE,P496&lt;&gt;"")</f>
        <v/>
      </c>
      <c r="R496">
        <f>IF(G496*1000&lt;750,"なし","あり")</f>
        <v/>
      </c>
      <c r="S496">
        <f>IF(AND(O496=TRUE,Q496=TRUE),"設定可","BLOCK")</f>
        <v/>
      </c>
      <c r="T496" t="inlineStr">
        <is>
          <t>商品カタログ P194</t>
        </is>
      </c>
      <c r="U496" t="inlineStr">
        <is>
          <t>https://webcatalog.lixil.co.jp/iportal/CatalogDetail.do?catalogID=15191910000&amp;categoryID=1630000&amp;designID=newinter&amp;method=initial_screen&amp;position=18&amp;type=mc&amp;volumeID=LXL13001</t>
        </is>
      </c>
    </row>
    <row r="497">
      <c r="A497" t="inlineStr">
        <is>
          <t>WG-SL-00494</t>
        </is>
      </c>
      <c r="B497" t="inlineStr">
        <is>
          <t>SZ-SL-001000</t>
        </is>
      </c>
      <c r="C497" t="inlineStr">
        <is>
          <t>WT-SL-MENKOSHI-AGE-FS</t>
        </is>
      </c>
      <c r="D497" t="inlineStr">
        <is>
          <t>SP-SL-AGE-GRILLE-V</t>
        </is>
      </c>
      <c r="E497" t="inlineStr">
        <is>
          <t>02609</t>
        </is>
      </c>
      <c r="F497" t="n">
        <v>0.3</v>
      </c>
      <c r="G497" t="n">
        <v>0.97</v>
      </c>
      <c r="H497" t="inlineStr">
        <is>
          <t>GL-SL-008</t>
        </is>
      </c>
      <c r="I497" t="n">
        <v>7</v>
      </c>
      <c r="J497" t="n">
        <v>9.1</v>
      </c>
      <c r="K497" t="n">
        <v>-0.48</v>
      </c>
      <c r="L497" t="n">
        <v>-0.998</v>
      </c>
      <c r="M497" t="n">
        <v>0.367</v>
      </c>
      <c r="N497">
        <f>ROUND(J497*F497*G497+K497*G497+L497*F497+M497,3)</f>
        <v/>
      </c>
      <c r="O497">
        <f>AND(N497&gt;=1.4,N497&lt;=13)</f>
        <v/>
      </c>
      <c r="P497">
        <f>IF(OR(N497&lt;1.4,N497&gt;13),"",IF(G497*1000&lt;=1170,IF(N497&lt;1.8,"1014",IF(N497&lt;2.9,"1018",IF(N497&lt;3.8,"1029",IF(N497&lt;5,"1038",IF(N497&lt;7,"1050",IF(N497&lt;9,"1070",IF(N497&lt;11,"1090","1110"))))))),IF(G497*1000&lt;=1570,IF(N497&lt;1.8,"",IF(N497&lt;2.9,"2018",IF(N497&lt;3.8,"2029",IF(N497&lt;5,"2038",IF(N497&lt;7,"2050",IF(N497&lt;9,"2070",IF(N497&lt;11,"2090","2110"))))))),IF(G497*1000&lt;=1700,IF(N497&lt;1.8,"",IF(N497&lt;2.9,"3018",IF(N497&lt;3.8,"3029",IF(N497&lt;5,"3038",IF(N497&lt;7,"3050",IF(N497&lt;9,"3070",IF(N497&lt;11,"3090","3110"))))))),""))))</f>
        <v/>
      </c>
      <c r="Q497">
        <f>AND(O497=TRUE,P497&lt;&gt;"")</f>
        <v/>
      </c>
      <c r="R497">
        <f>IF(G497*1000&lt;750,"なし","あり")</f>
        <v/>
      </c>
      <c r="S497">
        <f>IF(AND(O497=TRUE,Q497=TRUE),"設定可","BLOCK")</f>
        <v/>
      </c>
      <c r="T497" t="inlineStr">
        <is>
          <t>商品カタログ P194</t>
        </is>
      </c>
      <c r="U497" t="inlineStr">
        <is>
          <t>https://webcatalog.lixil.co.jp/iportal/CatalogDetail.do?catalogID=15191910000&amp;categoryID=1630000&amp;designID=newinter&amp;method=initial_screen&amp;position=18&amp;type=mc&amp;volumeID=LXL13001</t>
        </is>
      </c>
    </row>
    <row r="498">
      <c r="A498" t="inlineStr">
        <is>
          <t>WG-SL-00495</t>
        </is>
      </c>
      <c r="B498" t="inlineStr">
        <is>
          <t>SZ-SL-001000</t>
        </is>
      </c>
      <c r="C498" t="inlineStr">
        <is>
          <t>WT-SL-MENKOSHI-AGE-FS</t>
        </is>
      </c>
      <c r="D498" t="inlineStr">
        <is>
          <t>SP-SL-AGE-GRILLE-V</t>
        </is>
      </c>
      <c r="E498" t="inlineStr">
        <is>
          <t>02609</t>
        </is>
      </c>
      <c r="F498" t="n">
        <v>0.3</v>
      </c>
      <c r="G498" t="n">
        <v>0.97</v>
      </c>
      <c r="H498" t="inlineStr">
        <is>
          <t>GL-SL-009</t>
        </is>
      </c>
      <c r="I498" t="n">
        <v>8</v>
      </c>
      <c r="J498" t="n">
        <v>10.4</v>
      </c>
      <c r="K498" t="n">
        <v>-0.605</v>
      </c>
      <c r="L498" t="n">
        <v>-1.332</v>
      </c>
      <c r="M498" t="n">
        <v>0.399</v>
      </c>
      <c r="N498">
        <f>ROUND(J498*F498*G498+K498*G498+L498*F498+M498,3)</f>
        <v/>
      </c>
      <c r="O498">
        <f>AND(N498&gt;=1.4,N498&lt;=13)</f>
        <v/>
      </c>
      <c r="P498">
        <f>IF(OR(N498&lt;1.4,N498&gt;13),"",IF(G498*1000&lt;=1170,IF(N498&lt;1.8,"1014",IF(N498&lt;2.9,"1018",IF(N498&lt;3.8,"1029",IF(N498&lt;5,"1038",IF(N498&lt;7,"1050",IF(N498&lt;9,"1070",IF(N498&lt;11,"1090","1110"))))))),IF(G498*1000&lt;=1570,IF(N498&lt;1.8,"",IF(N498&lt;2.9,"2018",IF(N498&lt;3.8,"2029",IF(N498&lt;5,"2038",IF(N498&lt;7,"2050",IF(N498&lt;9,"2070",IF(N498&lt;11,"2090","2110"))))))),IF(G498*1000&lt;=1700,IF(N498&lt;1.8,"",IF(N498&lt;2.9,"3018",IF(N498&lt;3.8,"3029",IF(N498&lt;5,"3038",IF(N498&lt;7,"3050",IF(N498&lt;9,"3070",IF(N498&lt;11,"3090","3110"))))))),""))))</f>
        <v/>
      </c>
      <c r="Q498">
        <f>AND(O498=TRUE,P498&lt;&gt;"")</f>
        <v/>
      </c>
      <c r="R498">
        <f>IF(G498*1000&lt;750,"なし","あり")</f>
        <v/>
      </c>
      <c r="S498">
        <f>IF(AND(O498=TRUE,Q498=TRUE),"設定可","BLOCK")</f>
        <v/>
      </c>
      <c r="T498" t="inlineStr">
        <is>
          <t>商品カタログ P194</t>
        </is>
      </c>
      <c r="U498" t="inlineStr">
        <is>
          <t>https://webcatalog.lixil.co.jp/iportal/CatalogDetail.do?catalogID=15191910000&amp;categoryID=1630000&amp;designID=newinter&amp;method=initial_screen&amp;position=18&amp;type=mc&amp;volumeID=LXL13001</t>
        </is>
      </c>
    </row>
    <row r="499">
      <c r="A499" t="inlineStr">
        <is>
          <t>WG-SL-00496</t>
        </is>
      </c>
      <c r="B499" t="inlineStr">
        <is>
          <t>SZ-SL-001001</t>
        </is>
      </c>
      <c r="C499" t="inlineStr">
        <is>
          <t>WT-SL-MENKOSHI-AGE-FS</t>
        </is>
      </c>
      <c r="D499" t="inlineStr">
        <is>
          <t>SP-SL-AGE-GRILLE-V</t>
        </is>
      </c>
      <c r="E499" t="inlineStr">
        <is>
          <t>03609</t>
        </is>
      </c>
      <c r="F499" t="n">
        <v>0.405</v>
      </c>
      <c r="G499" t="n">
        <v>0.97</v>
      </c>
      <c r="H499" t="inlineStr">
        <is>
          <t>GL-SL-001</t>
        </is>
      </c>
      <c r="I499" t="n">
        <v>6</v>
      </c>
      <c r="J499" t="n">
        <v>7.8</v>
      </c>
      <c r="K499" t="n">
        <v>-0.355</v>
      </c>
      <c r="L499" t="n">
        <v>-0.664</v>
      </c>
      <c r="M499" t="n">
        <v>0.335</v>
      </c>
      <c r="N499">
        <f>ROUND(J499*F499*G499+K499*G499+L499*F499+M499,3)</f>
        <v/>
      </c>
      <c r="O499">
        <f>AND(N499&gt;=1.4,N499&lt;=13)</f>
        <v/>
      </c>
      <c r="P499">
        <f>IF(OR(N499&lt;1.4,N499&gt;13),"",IF(G499*1000&lt;=1170,IF(N499&lt;1.8,"1014",IF(N499&lt;2.9,"1018",IF(N499&lt;3.8,"1029",IF(N499&lt;5,"1038",IF(N499&lt;7,"1050",IF(N499&lt;9,"1070",IF(N499&lt;11,"1090","1110"))))))),IF(G499*1000&lt;=1570,IF(N499&lt;1.8,"",IF(N499&lt;2.9,"2018",IF(N499&lt;3.8,"2029",IF(N499&lt;5,"2038",IF(N499&lt;7,"2050",IF(N499&lt;9,"2070",IF(N499&lt;11,"2090","2110"))))))),IF(G499*1000&lt;=1700,IF(N499&lt;1.8,"",IF(N499&lt;2.9,"3018",IF(N499&lt;3.8,"3029",IF(N499&lt;5,"3038",IF(N499&lt;7,"3050",IF(N499&lt;9,"3070",IF(N499&lt;11,"3090","3110"))))))),""))))</f>
        <v/>
      </c>
      <c r="Q499">
        <f>AND(O499=TRUE,P499&lt;&gt;"")</f>
        <v/>
      </c>
      <c r="R499">
        <f>IF(G499*1000&lt;750,"なし","あり")</f>
        <v/>
      </c>
      <c r="S499">
        <f>IF(AND(O499=TRUE,Q499=TRUE),"設定可","BLOCK")</f>
        <v/>
      </c>
      <c r="T499" t="inlineStr">
        <is>
          <t>商品カタログ P194</t>
        </is>
      </c>
      <c r="U499" t="inlineStr">
        <is>
          <t>https://webcatalog.lixil.co.jp/iportal/CatalogDetail.do?catalogID=15191910000&amp;categoryID=1630000&amp;designID=newinter&amp;method=initial_screen&amp;position=18&amp;type=mc&amp;volumeID=LXL13001</t>
        </is>
      </c>
    </row>
    <row r="500">
      <c r="A500" t="inlineStr">
        <is>
          <t>WG-SL-00497</t>
        </is>
      </c>
      <c r="B500" t="inlineStr">
        <is>
          <t>SZ-SL-001001</t>
        </is>
      </c>
      <c r="C500" t="inlineStr">
        <is>
          <t>WT-SL-MENKOSHI-AGE-FS</t>
        </is>
      </c>
      <c r="D500" t="inlineStr">
        <is>
          <t>SP-SL-AGE-GRILLE-V</t>
        </is>
      </c>
      <c r="E500" t="inlineStr">
        <is>
          <t>03609</t>
        </is>
      </c>
      <c r="F500" t="n">
        <v>0.405</v>
      </c>
      <c r="G500" t="n">
        <v>0.97</v>
      </c>
      <c r="H500" t="inlineStr">
        <is>
          <t>GL-SL-002</t>
        </is>
      </c>
      <c r="I500" t="n">
        <v>7</v>
      </c>
      <c r="J500" t="n">
        <v>9.1</v>
      </c>
      <c r="K500" t="n">
        <v>-0.48</v>
      </c>
      <c r="L500" t="n">
        <v>-0.998</v>
      </c>
      <c r="M500" t="n">
        <v>0.367</v>
      </c>
      <c r="N500">
        <f>ROUND(J500*F500*G500+K500*G500+L500*F500+M500,3)</f>
        <v/>
      </c>
      <c r="O500">
        <f>AND(N500&gt;=1.4,N500&lt;=13)</f>
        <v/>
      </c>
      <c r="P500">
        <f>IF(OR(N500&lt;1.4,N500&gt;13),"",IF(G500*1000&lt;=1170,IF(N500&lt;1.8,"1014",IF(N500&lt;2.9,"1018",IF(N500&lt;3.8,"1029",IF(N500&lt;5,"1038",IF(N500&lt;7,"1050",IF(N500&lt;9,"1070",IF(N500&lt;11,"1090","1110"))))))),IF(G500*1000&lt;=1570,IF(N500&lt;1.8,"",IF(N500&lt;2.9,"2018",IF(N500&lt;3.8,"2029",IF(N500&lt;5,"2038",IF(N500&lt;7,"2050",IF(N500&lt;9,"2070",IF(N500&lt;11,"2090","2110"))))))),IF(G500*1000&lt;=1700,IF(N500&lt;1.8,"",IF(N500&lt;2.9,"3018",IF(N500&lt;3.8,"3029",IF(N500&lt;5,"3038",IF(N500&lt;7,"3050",IF(N500&lt;9,"3070",IF(N500&lt;11,"3090","3110"))))))),""))))</f>
        <v/>
      </c>
      <c r="Q500">
        <f>AND(O500=TRUE,P500&lt;&gt;"")</f>
        <v/>
      </c>
      <c r="R500">
        <f>IF(G500*1000&lt;750,"なし","あり")</f>
        <v/>
      </c>
      <c r="S500">
        <f>IF(AND(O500=TRUE,Q500=TRUE),"設定可","BLOCK")</f>
        <v/>
      </c>
      <c r="T500" t="inlineStr">
        <is>
          <t>商品カタログ P194</t>
        </is>
      </c>
      <c r="U500" t="inlineStr">
        <is>
          <t>https://webcatalog.lixil.co.jp/iportal/CatalogDetail.do?catalogID=15191910000&amp;categoryID=1630000&amp;designID=newinter&amp;method=initial_screen&amp;position=18&amp;type=mc&amp;volumeID=LXL13001</t>
        </is>
      </c>
    </row>
    <row r="501">
      <c r="A501" t="inlineStr">
        <is>
          <t>WG-SL-00498</t>
        </is>
      </c>
      <c r="B501" t="inlineStr">
        <is>
          <t>SZ-SL-001001</t>
        </is>
      </c>
      <c r="C501" t="inlineStr">
        <is>
          <t>WT-SL-MENKOSHI-AGE-FS</t>
        </is>
      </c>
      <c r="D501" t="inlineStr">
        <is>
          <t>SP-SL-AGE-GRILLE-V</t>
        </is>
      </c>
      <c r="E501" t="inlineStr">
        <is>
          <t>03609</t>
        </is>
      </c>
      <c r="F501" t="n">
        <v>0.405</v>
      </c>
      <c r="G501" t="n">
        <v>0.97</v>
      </c>
      <c r="H501" t="inlineStr">
        <is>
          <t>GL-SL-003</t>
        </is>
      </c>
      <c r="I501" t="n">
        <v>8</v>
      </c>
      <c r="J501" t="n">
        <v>10.4</v>
      </c>
      <c r="K501" t="n">
        <v>-0.605</v>
      </c>
      <c r="L501" t="n">
        <v>-1.332</v>
      </c>
      <c r="M501" t="n">
        <v>0.399</v>
      </c>
      <c r="N501">
        <f>ROUND(J501*F501*G501+K501*G501+L501*F501+M501,3)</f>
        <v/>
      </c>
      <c r="O501">
        <f>AND(N501&gt;=1.4,N501&lt;=13)</f>
        <v/>
      </c>
      <c r="P501">
        <f>IF(OR(N501&lt;1.4,N501&gt;13),"",IF(G501*1000&lt;=1170,IF(N501&lt;1.8,"1014",IF(N501&lt;2.9,"1018",IF(N501&lt;3.8,"1029",IF(N501&lt;5,"1038",IF(N501&lt;7,"1050",IF(N501&lt;9,"1070",IF(N501&lt;11,"1090","1110"))))))),IF(G501*1000&lt;=1570,IF(N501&lt;1.8,"",IF(N501&lt;2.9,"2018",IF(N501&lt;3.8,"2029",IF(N501&lt;5,"2038",IF(N501&lt;7,"2050",IF(N501&lt;9,"2070",IF(N501&lt;11,"2090","2110"))))))),IF(G501*1000&lt;=1700,IF(N501&lt;1.8,"",IF(N501&lt;2.9,"3018",IF(N501&lt;3.8,"3029",IF(N501&lt;5,"3038",IF(N501&lt;7,"3050",IF(N501&lt;9,"3070",IF(N501&lt;11,"3090","3110"))))))),""))))</f>
        <v/>
      </c>
      <c r="Q501">
        <f>AND(O501=TRUE,P501&lt;&gt;"")</f>
        <v/>
      </c>
      <c r="R501">
        <f>IF(G501*1000&lt;750,"なし","あり")</f>
        <v/>
      </c>
      <c r="S501">
        <f>IF(AND(O501=TRUE,Q501=TRUE),"設定可","BLOCK")</f>
        <v/>
      </c>
      <c r="T501" t="inlineStr">
        <is>
          <t>商品カタログ P194</t>
        </is>
      </c>
      <c r="U501" t="inlineStr">
        <is>
          <t>https://webcatalog.lixil.co.jp/iportal/CatalogDetail.do?catalogID=15191910000&amp;categoryID=1630000&amp;designID=newinter&amp;method=initial_screen&amp;position=18&amp;type=mc&amp;volumeID=LXL13001</t>
        </is>
      </c>
    </row>
    <row r="502">
      <c r="A502" t="inlineStr">
        <is>
          <t>WG-SL-00499</t>
        </is>
      </c>
      <c r="B502" t="inlineStr">
        <is>
          <t>SZ-SL-001001</t>
        </is>
      </c>
      <c r="C502" t="inlineStr">
        <is>
          <t>WT-SL-MENKOSHI-AGE-FS</t>
        </is>
      </c>
      <c r="D502" t="inlineStr">
        <is>
          <t>SP-SL-AGE-GRILLE-V</t>
        </is>
      </c>
      <c r="E502" t="inlineStr">
        <is>
          <t>03609</t>
        </is>
      </c>
      <c r="F502" t="n">
        <v>0.405</v>
      </c>
      <c r="G502" t="n">
        <v>0.97</v>
      </c>
      <c r="H502" t="inlineStr">
        <is>
          <t>GL-SL-004</t>
        </is>
      </c>
      <c r="I502" t="n">
        <v>6</v>
      </c>
      <c r="J502" t="n">
        <v>7.8</v>
      </c>
      <c r="K502" t="n">
        <v>-0.355</v>
      </c>
      <c r="L502" t="n">
        <v>-0.664</v>
      </c>
      <c r="M502" t="n">
        <v>0.335</v>
      </c>
      <c r="N502">
        <f>ROUND(J502*F502*G502+K502*G502+L502*F502+M502,3)</f>
        <v/>
      </c>
      <c r="O502">
        <f>AND(N502&gt;=1.4,N502&lt;=13)</f>
        <v/>
      </c>
      <c r="P502">
        <f>IF(OR(N502&lt;1.4,N502&gt;13),"",IF(G502*1000&lt;=1170,IF(N502&lt;1.8,"1014",IF(N502&lt;2.9,"1018",IF(N502&lt;3.8,"1029",IF(N502&lt;5,"1038",IF(N502&lt;7,"1050",IF(N502&lt;9,"1070",IF(N502&lt;11,"1090","1110"))))))),IF(G502*1000&lt;=1570,IF(N502&lt;1.8,"",IF(N502&lt;2.9,"2018",IF(N502&lt;3.8,"2029",IF(N502&lt;5,"2038",IF(N502&lt;7,"2050",IF(N502&lt;9,"2070",IF(N502&lt;11,"2090","2110"))))))),IF(G502*1000&lt;=1700,IF(N502&lt;1.8,"",IF(N502&lt;2.9,"3018",IF(N502&lt;3.8,"3029",IF(N502&lt;5,"3038",IF(N502&lt;7,"3050",IF(N502&lt;9,"3070",IF(N502&lt;11,"3090","3110"))))))),""))))</f>
        <v/>
      </c>
      <c r="Q502">
        <f>AND(O502=TRUE,P502&lt;&gt;"")</f>
        <v/>
      </c>
      <c r="R502">
        <f>IF(G502*1000&lt;750,"なし","あり")</f>
        <v/>
      </c>
      <c r="S502">
        <f>IF(AND(O502=TRUE,Q502=TRUE),"設定可","BLOCK")</f>
        <v/>
      </c>
      <c r="T502" t="inlineStr">
        <is>
          <t>商品カタログ P194</t>
        </is>
      </c>
      <c r="U502" t="inlineStr">
        <is>
          <t>https://webcatalog.lixil.co.jp/iportal/CatalogDetail.do?catalogID=15191910000&amp;categoryID=1630000&amp;designID=newinter&amp;method=initial_screen&amp;position=18&amp;type=mc&amp;volumeID=LXL13001</t>
        </is>
      </c>
    </row>
    <row r="503">
      <c r="A503" t="inlineStr">
        <is>
          <t>WG-SL-00500</t>
        </is>
      </c>
      <c r="B503" t="inlineStr">
        <is>
          <t>SZ-SL-001001</t>
        </is>
      </c>
      <c r="C503" t="inlineStr">
        <is>
          <t>WT-SL-MENKOSHI-AGE-FS</t>
        </is>
      </c>
      <c r="D503" t="inlineStr">
        <is>
          <t>SP-SL-AGE-GRILLE-V</t>
        </is>
      </c>
      <c r="E503" t="inlineStr">
        <is>
          <t>03609</t>
        </is>
      </c>
      <c r="F503" t="n">
        <v>0.405</v>
      </c>
      <c r="G503" t="n">
        <v>0.97</v>
      </c>
      <c r="H503" t="inlineStr">
        <is>
          <t>GL-SL-005</t>
        </is>
      </c>
      <c r="I503" t="n">
        <v>7</v>
      </c>
      <c r="J503" t="n">
        <v>9.1</v>
      </c>
      <c r="K503" t="n">
        <v>-0.48</v>
      </c>
      <c r="L503" t="n">
        <v>-0.998</v>
      </c>
      <c r="M503" t="n">
        <v>0.367</v>
      </c>
      <c r="N503">
        <f>ROUND(J503*F503*G503+K503*G503+L503*F503+M503,3)</f>
        <v/>
      </c>
      <c r="O503">
        <f>AND(N503&gt;=1.4,N503&lt;=13)</f>
        <v/>
      </c>
      <c r="P503">
        <f>IF(OR(N503&lt;1.4,N503&gt;13),"",IF(G503*1000&lt;=1170,IF(N503&lt;1.8,"1014",IF(N503&lt;2.9,"1018",IF(N503&lt;3.8,"1029",IF(N503&lt;5,"1038",IF(N503&lt;7,"1050",IF(N503&lt;9,"1070",IF(N503&lt;11,"1090","1110"))))))),IF(G503*1000&lt;=1570,IF(N503&lt;1.8,"",IF(N503&lt;2.9,"2018",IF(N503&lt;3.8,"2029",IF(N503&lt;5,"2038",IF(N503&lt;7,"2050",IF(N503&lt;9,"2070",IF(N503&lt;11,"2090","2110"))))))),IF(G503*1000&lt;=1700,IF(N503&lt;1.8,"",IF(N503&lt;2.9,"3018",IF(N503&lt;3.8,"3029",IF(N503&lt;5,"3038",IF(N503&lt;7,"3050",IF(N503&lt;9,"3070",IF(N503&lt;11,"3090","3110"))))))),""))))</f>
        <v/>
      </c>
      <c r="Q503">
        <f>AND(O503=TRUE,P503&lt;&gt;"")</f>
        <v/>
      </c>
      <c r="R503">
        <f>IF(G503*1000&lt;750,"なし","あり")</f>
        <v/>
      </c>
      <c r="S503">
        <f>IF(AND(O503=TRUE,Q503=TRUE),"設定可","BLOCK")</f>
        <v/>
      </c>
      <c r="T503" t="inlineStr">
        <is>
          <t>商品カタログ P194</t>
        </is>
      </c>
      <c r="U503" t="inlineStr">
        <is>
          <t>https://webcatalog.lixil.co.jp/iportal/CatalogDetail.do?catalogID=15191910000&amp;categoryID=1630000&amp;designID=newinter&amp;method=initial_screen&amp;position=18&amp;type=mc&amp;volumeID=LXL13001</t>
        </is>
      </c>
    </row>
    <row r="504">
      <c r="A504" t="inlineStr">
        <is>
          <t>WG-SL-00501</t>
        </is>
      </c>
      <c r="B504" t="inlineStr">
        <is>
          <t>SZ-SL-001001</t>
        </is>
      </c>
      <c r="C504" t="inlineStr">
        <is>
          <t>WT-SL-MENKOSHI-AGE-FS</t>
        </is>
      </c>
      <c r="D504" t="inlineStr">
        <is>
          <t>SP-SL-AGE-GRILLE-V</t>
        </is>
      </c>
      <c r="E504" t="inlineStr">
        <is>
          <t>03609</t>
        </is>
      </c>
      <c r="F504" t="n">
        <v>0.405</v>
      </c>
      <c r="G504" t="n">
        <v>0.97</v>
      </c>
      <c r="H504" t="inlineStr">
        <is>
          <t>GL-SL-006</t>
        </is>
      </c>
      <c r="I504" t="n">
        <v>8</v>
      </c>
      <c r="J504" t="n">
        <v>10.4</v>
      </c>
      <c r="K504" t="n">
        <v>-0.605</v>
      </c>
      <c r="L504" t="n">
        <v>-1.332</v>
      </c>
      <c r="M504" t="n">
        <v>0.399</v>
      </c>
      <c r="N504">
        <f>ROUND(J504*F504*G504+K504*G504+L504*F504+M504,3)</f>
        <v/>
      </c>
      <c r="O504">
        <f>AND(N504&gt;=1.4,N504&lt;=13)</f>
        <v/>
      </c>
      <c r="P504">
        <f>IF(OR(N504&lt;1.4,N504&gt;13),"",IF(G504*1000&lt;=1170,IF(N504&lt;1.8,"1014",IF(N504&lt;2.9,"1018",IF(N504&lt;3.8,"1029",IF(N504&lt;5,"1038",IF(N504&lt;7,"1050",IF(N504&lt;9,"1070",IF(N504&lt;11,"1090","1110"))))))),IF(G504*1000&lt;=1570,IF(N504&lt;1.8,"",IF(N504&lt;2.9,"2018",IF(N504&lt;3.8,"2029",IF(N504&lt;5,"2038",IF(N504&lt;7,"2050",IF(N504&lt;9,"2070",IF(N504&lt;11,"2090","2110"))))))),IF(G504*1000&lt;=1700,IF(N504&lt;1.8,"",IF(N504&lt;2.9,"3018",IF(N504&lt;3.8,"3029",IF(N504&lt;5,"3038",IF(N504&lt;7,"3050",IF(N504&lt;9,"3070",IF(N504&lt;11,"3090","3110"))))))),""))))</f>
        <v/>
      </c>
      <c r="Q504">
        <f>AND(O504=TRUE,P504&lt;&gt;"")</f>
        <v/>
      </c>
      <c r="R504">
        <f>IF(G504*1000&lt;750,"なし","あり")</f>
        <v/>
      </c>
      <c r="S504">
        <f>IF(AND(O504=TRUE,Q504=TRUE),"設定可","BLOCK")</f>
        <v/>
      </c>
      <c r="T504" t="inlineStr">
        <is>
          <t>商品カタログ P194</t>
        </is>
      </c>
      <c r="U504" t="inlineStr">
        <is>
          <t>https://webcatalog.lixil.co.jp/iportal/CatalogDetail.do?catalogID=15191910000&amp;categoryID=1630000&amp;designID=newinter&amp;method=initial_screen&amp;position=18&amp;type=mc&amp;volumeID=LXL13001</t>
        </is>
      </c>
    </row>
    <row r="505">
      <c r="A505" t="inlineStr">
        <is>
          <t>WG-SL-00502</t>
        </is>
      </c>
      <c r="B505" t="inlineStr">
        <is>
          <t>SZ-SL-001001</t>
        </is>
      </c>
      <c r="C505" t="inlineStr">
        <is>
          <t>WT-SL-MENKOSHI-AGE-FS</t>
        </is>
      </c>
      <c r="D505" t="inlineStr">
        <is>
          <t>SP-SL-AGE-GRILLE-V</t>
        </is>
      </c>
      <c r="E505" t="inlineStr">
        <is>
          <t>03609</t>
        </is>
      </c>
      <c r="F505" t="n">
        <v>0.405</v>
      </c>
      <c r="G505" t="n">
        <v>0.97</v>
      </c>
      <c r="H505" t="inlineStr">
        <is>
          <t>GL-SL-007</t>
        </is>
      </c>
      <c r="I505" t="n">
        <v>6</v>
      </c>
      <c r="J505" t="n">
        <v>7.8</v>
      </c>
      <c r="K505" t="n">
        <v>-0.355</v>
      </c>
      <c r="L505" t="n">
        <v>-0.664</v>
      </c>
      <c r="M505" t="n">
        <v>0.335</v>
      </c>
      <c r="N505">
        <f>ROUND(J505*F505*G505+K505*G505+L505*F505+M505,3)</f>
        <v/>
      </c>
      <c r="O505">
        <f>AND(N505&gt;=1.4,N505&lt;=13)</f>
        <v/>
      </c>
      <c r="P505">
        <f>IF(OR(N505&lt;1.4,N505&gt;13),"",IF(G505*1000&lt;=1170,IF(N505&lt;1.8,"1014",IF(N505&lt;2.9,"1018",IF(N505&lt;3.8,"1029",IF(N505&lt;5,"1038",IF(N505&lt;7,"1050",IF(N505&lt;9,"1070",IF(N505&lt;11,"1090","1110"))))))),IF(G505*1000&lt;=1570,IF(N505&lt;1.8,"",IF(N505&lt;2.9,"2018",IF(N505&lt;3.8,"2029",IF(N505&lt;5,"2038",IF(N505&lt;7,"2050",IF(N505&lt;9,"2070",IF(N505&lt;11,"2090","2110"))))))),IF(G505*1000&lt;=1700,IF(N505&lt;1.8,"",IF(N505&lt;2.9,"3018",IF(N505&lt;3.8,"3029",IF(N505&lt;5,"3038",IF(N505&lt;7,"3050",IF(N505&lt;9,"3070",IF(N505&lt;11,"3090","3110"))))))),""))))</f>
        <v/>
      </c>
      <c r="Q505">
        <f>AND(O505=TRUE,P505&lt;&gt;"")</f>
        <v/>
      </c>
      <c r="R505">
        <f>IF(G505*1000&lt;750,"なし","あり")</f>
        <v/>
      </c>
      <c r="S505">
        <f>IF(AND(O505=TRUE,Q505=TRUE),"設定可","BLOCK")</f>
        <v/>
      </c>
      <c r="T505" t="inlineStr">
        <is>
          <t>商品カタログ P194</t>
        </is>
      </c>
      <c r="U505" t="inlineStr">
        <is>
          <t>https://webcatalog.lixil.co.jp/iportal/CatalogDetail.do?catalogID=15191910000&amp;categoryID=1630000&amp;designID=newinter&amp;method=initial_screen&amp;position=18&amp;type=mc&amp;volumeID=LXL13001</t>
        </is>
      </c>
    </row>
    <row r="506">
      <c r="A506" t="inlineStr">
        <is>
          <t>WG-SL-00503</t>
        </is>
      </c>
      <c r="B506" t="inlineStr">
        <is>
          <t>SZ-SL-001001</t>
        </is>
      </c>
      <c r="C506" t="inlineStr">
        <is>
          <t>WT-SL-MENKOSHI-AGE-FS</t>
        </is>
      </c>
      <c r="D506" t="inlineStr">
        <is>
          <t>SP-SL-AGE-GRILLE-V</t>
        </is>
      </c>
      <c r="E506" t="inlineStr">
        <is>
          <t>03609</t>
        </is>
      </c>
      <c r="F506" t="n">
        <v>0.405</v>
      </c>
      <c r="G506" t="n">
        <v>0.97</v>
      </c>
      <c r="H506" t="inlineStr">
        <is>
          <t>GL-SL-008</t>
        </is>
      </c>
      <c r="I506" t="n">
        <v>7</v>
      </c>
      <c r="J506" t="n">
        <v>9.1</v>
      </c>
      <c r="K506" t="n">
        <v>-0.48</v>
      </c>
      <c r="L506" t="n">
        <v>-0.998</v>
      </c>
      <c r="M506" t="n">
        <v>0.367</v>
      </c>
      <c r="N506">
        <f>ROUND(J506*F506*G506+K506*G506+L506*F506+M506,3)</f>
        <v/>
      </c>
      <c r="O506">
        <f>AND(N506&gt;=1.4,N506&lt;=13)</f>
        <v/>
      </c>
      <c r="P506">
        <f>IF(OR(N506&lt;1.4,N506&gt;13),"",IF(G506*1000&lt;=1170,IF(N506&lt;1.8,"1014",IF(N506&lt;2.9,"1018",IF(N506&lt;3.8,"1029",IF(N506&lt;5,"1038",IF(N506&lt;7,"1050",IF(N506&lt;9,"1070",IF(N506&lt;11,"1090","1110"))))))),IF(G506*1000&lt;=1570,IF(N506&lt;1.8,"",IF(N506&lt;2.9,"2018",IF(N506&lt;3.8,"2029",IF(N506&lt;5,"2038",IF(N506&lt;7,"2050",IF(N506&lt;9,"2070",IF(N506&lt;11,"2090","2110"))))))),IF(G506*1000&lt;=1700,IF(N506&lt;1.8,"",IF(N506&lt;2.9,"3018",IF(N506&lt;3.8,"3029",IF(N506&lt;5,"3038",IF(N506&lt;7,"3050",IF(N506&lt;9,"3070",IF(N506&lt;11,"3090","3110"))))))),""))))</f>
        <v/>
      </c>
      <c r="Q506">
        <f>AND(O506=TRUE,P506&lt;&gt;"")</f>
        <v/>
      </c>
      <c r="R506">
        <f>IF(G506*1000&lt;750,"なし","あり")</f>
        <v/>
      </c>
      <c r="S506">
        <f>IF(AND(O506=TRUE,Q506=TRUE),"設定可","BLOCK")</f>
        <v/>
      </c>
      <c r="T506" t="inlineStr">
        <is>
          <t>商品カタログ P194</t>
        </is>
      </c>
      <c r="U506" t="inlineStr">
        <is>
          <t>https://webcatalog.lixil.co.jp/iportal/CatalogDetail.do?catalogID=15191910000&amp;categoryID=1630000&amp;designID=newinter&amp;method=initial_screen&amp;position=18&amp;type=mc&amp;volumeID=LXL13001</t>
        </is>
      </c>
    </row>
    <row r="507">
      <c r="A507" t="inlineStr">
        <is>
          <t>WG-SL-00504</t>
        </is>
      </c>
      <c r="B507" t="inlineStr">
        <is>
          <t>SZ-SL-001001</t>
        </is>
      </c>
      <c r="C507" t="inlineStr">
        <is>
          <t>WT-SL-MENKOSHI-AGE-FS</t>
        </is>
      </c>
      <c r="D507" t="inlineStr">
        <is>
          <t>SP-SL-AGE-GRILLE-V</t>
        </is>
      </c>
      <c r="E507" t="inlineStr">
        <is>
          <t>03609</t>
        </is>
      </c>
      <c r="F507" t="n">
        <v>0.405</v>
      </c>
      <c r="G507" t="n">
        <v>0.97</v>
      </c>
      <c r="H507" t="inlineStr">
        <is>
          <t>GL-SL-009</t>
        </is>
      </c>
      <c r="I507" t="n">
        <v>8</v>
      </c>
      <c r="J507" t="n">
        <v>10.4</v>
      </c>
      <c r="K507" t="n">
        <v>-0.605</v>
      </c>
      <c r="L507" t="n">
        <v>-1.332</v>
      </c>
      <c r="M507" t="n">
        <v>0.399</v>
      </c>
      <c r="N507">
        <f>ROUND(J507*F507*G507+K507*G507+L507*F507+M507,3)</f>
        <v/>
      </c>
      <c r="O507">
        <f>AND(N507&gt;=1.4,N507&lt;=13)</f>
        <v/>
      </c>
      <c r="P507">
        <f>IF(OR(N507&lt;1.4,N507&gt;13),"",IF(G507*1000&lt;=1170,IF(N507&lt;1.8,"1014",IF(N507&lt;2.9,"1018",IF(N507&lt;3.8,"1029",IF(N507&lt;5,"1038",IF(N507&lt;7,"1050",IF(N507&lt;9,"1070",IF(N507&lt;11,"1090","1110"))))))),IF(G507*1000&lt;=1570,IF(N507&lt;1.8,"",IF(N507&lt;2.9,"2018",IF(N507&lt;3.8,"2029",IF(N507&lt;5,"2038",IF(N507&lt;7,"2050",IF(N507&lt;9,"2070",IF(N507&lt;11,"2090","2110"))))))),IF(G507*1000&lt;=1700,IF(N507&lt;1.8,"",IF(N507&lt;2.9,"3018",IF(N507&lt;3.8,"3029",IF(N507&lt;5,"3038",IF(N507&lt;7,"3050",IF(N507&lt;9,"3070",IF(N507&lt;11,"3090","3110"))))))),""))))</f>
        <v/>
      </c>
      <c r="Q507">
        <f>AND(O507=TRUE,P507&lt;&gt;"")</f>
        <v/>
      </c>
      <c r="R507">
        <f>IF(G507*1000&lt;750,"なし","あり")</f>
        <v/>
      </c>
      <c r="S507">
        <f>IF(AND(O507=TRUE,Q507=TRUE),"設定可","BLOCK")</f>
        <v/>
      </c>
      <c r="T507" t="inlineStr">
        <is>
          <t>商品カタログ P194</t>
        </is>
      </c>
      <c r="U507" t="inlineStr">
        <is>
          <t>https://webcatalog.lixil.co.jp/iportal/CatalogDetail.do?catalogID=15191910000&amp;categoryID=1630000&amp;designID=newinter&amp;method=initial_screen&amp;position=18&amp;type=mc&amp;volumeID=LXL13001</t>
        </is>
      </c>
    </row>
    <row r="508">
      <c r="A508" t="inlineStr">
        <is>
          <t>WG-SL-00505</t>
        </is>
      </c>
      <c r="B508" t="inlineStr">
        <is>
          <t>SZ-SL-001002</t>
        </is>
      </c>
      <c r="C508" t="inlineStr">
        <is>
          <t>WT-SL-MENKOSHI-AGE-FS</t>
        </is>
      </c>
      <c r="D508" t="inlineStr">
        <is>
          <t>SP-SL-AGE-GRILLE-V</t>
        </is>
      </c>
      <c r="E508" t="inlineStr">
        <is>
          <t>06009</t>
        </is>
      </c>
      <c r="F508" t="n">
        <v>0.64</v>
      </c>
      <c r="G508" t="n">
        <v>0.97</v>
      </c>
      <c r="H508" t="inlineStr">
        <is>
          <t>GL-SL-001</t>
        </is>
      </c>
      <c r="I508" t="n">
        <v>6</v>
      </c>
      <c r="J508" t="n">
        <v>7.8</v>
      </c>
      <c r="K508" t="n">
        <v>-0.355</v>
      </c>
      <c r="L508" t="n">
        <v>-0.664</v>
      </c>
      <c r="M508" t="n">
        <v>0.335</v>
      </c>
      <c r="N508">
        <f>ROUND(J508*F508*G508+K508*G508+L508*F508+M508,3)</f>
        <v/>
      </c>
      <c r="O508">
        <f>AND(N508&gt;=1.4,N508&lt;=13)</f>
        <v/>
      </c>
      <c r="P508">
        <f>IF(OR(N508&lt;1.4,N508&gt;13),"",IF(G508*1000&lt;=1170,IF(N508&lt;1.8,"1014",IF(N508&lt;2.9,"1018",IF(N508&lt;3.8,"1029",IF(N508&lt;5,"1038",IF(N508&lt;7,"1050",IF(N508&lt;9,"1070",IF(N508&lt;11,"1090","1110"))))))),IF(G508*1000&lt;=1570,IF(N508&lt;1.8,"",IF(N508&lt;2.9,"2018",IF(N508&lt;3.8,"2029",IF(N508&lt;5,"2038",IF(N508&lt;7,"2050",IF(N508&lt;9,"2070",IF(N508&lt;11,"2090","2110"))))))),IF(G508*1000&lt;=1700,IF(N508&lt;1.8,"",IF(N508&lt;2.9,"3018",IF(N508&lt;3.8,"3029",IF(N508&lt;5,"3038",IF(N508&lt;7,"3050",IF(N508&lt;9,"3070",IF(N508&lt;11,"3090","3110"))))))),""))))</f>
        <v/>
      </c>
      <c r="Q508">
        <f>AND(O508=TRUE,P508&lt;&gt;"")</f>
        <v/>
      </c>
      <c r="R508">
        <f>IF(G508*1000&lt;750,"なし","あり")</f>
        <v/>
      </c>
      <c r="S508">
        <f>IF(AND(O508=TRUE,Q508=TRUE),"設定可","BLOCK")</f>
        <v/>
      </c>
      <c r="T508" t="inlineStr">
        <is>
          <t>商品カタログ P194</t>
        </is>
      </c>
      <c r="U508" t="inlineStr">
        <is>
          <t>https://webcatalog.lixil.co.jp/iportal/CatalogDetail.do?catalogID=15191910000&amp;categoryID=1630000&amp;designID=newinter&amp;method=initial_screen&amp;position=18&amp;type=mc&amp;volumeID=LXL13001</t>
        </is>
      </c>
    </row>
    <row r="509">
      <c r="A509" t="inlineStr">
        <is>
          <t>WG-SL-00506</t>
        </is>
      </c>
      <c r="B509" t="inlineStr">
        <is>
          <t>SZ-SL-001002</t>
        </is>
      </c>
      <c r="C509" t="inlineStr">
        <is>
          <t>WT-SL-MENKOSHI-AGE-FS</t>
        </is>
      </c>
      <c r="D509" t="inlineStr">
        <is>
          <t>SP-SL-AGE-GRILLE-V</t>
        </is>
      </c>
      <c r="E509" t="inlineStr">
        <is>
          <t>06009</t>
        </is>
      </c>
      <c r="F509" t="n">
        <v>0.64</v>
      </c>
      <c r="G509" t="n">
        <v>0.97</v>
      </c>
      <c r="H509" t="inlineStr">
        <is>
          <t>GL-SL-002</t>
        </is>
      </c>
      <c r="I509" t="n">
        <v>7</v>
      </c>
      <c r="J509" t="n">
        <v>9.1</v>
      </c>
      <c r="K509" t="n">
        <v>-0.48</v>
      </c>
      <c r="L509" t="n">
        <v>-0.998</v>
      </c>
      <c r="M509" t="n">
        <v>0.367</v>
      </c>
      <c r="N509">
        <f>ROUND(J509*F509*G509+K509*G509+L509*F509+M509,3)</f>
        <v/>
      </c>
      <c r="O509">
        <f>AND(N509&gt;=1.4,N509&lt;=13)</f>
        <v/>
      </c>
      <c r="P509">
        <f>IF(OR(N509&lt;1.4,N509&gt;13),"",IF(G509*1000&lt;=1170,IF(N509&lt;1.8,"1014",IF(N509&lt;2.9,"1018",IF(N509&lt;3.8,"1029",IF(N509&lt;5,"1038",IF(N509&lt;7,"1050",IF(N509&lt;9,"1070",IF(N509&lt;11,"1090","1110"))))))),IF(G509*1000&lt;=1570,IF(N509&lt;1.8,"",IF(N509&lt;2.9,"2018",IF(N509&lt;3.8,"2029",IF(N509&lt;5,"2038",IF(N509&lt;7,"2050",IF(N509&lt;9,"2070",IF(N509&lt;11,"2090","2110"))))))),IF(G509*1000&lt;=1700,IF(N509&lt;1.8,"",IF(N509&lt;2.9,"3018",IF(N509&lt;3.8,"3029",IF(N509&lt;5,"3038",IF(N509&lt;7,"3050",IF(N509&lt;9,"3070",IF(N509&lt;11,"3090","3110"))))))),""))))</f>
        <v/>
      </c>
      <c r="Q509">
        <f>AND(O509=TRUE,P509&lt;&gt;"")</f>
        <v/>
      </c>
      <c r="R509">
        <f>IF(G509*1000&lt;750,"なし","あり")</f>
        <v/>
      </c>
      <c r="S509">
        <f>IF(AND(O509=TRUE,Q509=TRUE),"設定可","BLOCK")</f>
        <v/>
      </c>
      <c r="T509" t="inlineStr">
        <is>
          <t>商品カタログ P194</t>
        </is>
      </c>
      <c r="U509" t="inlineStr">
        <is>
          <t>https://webcatalog.lixil.co.jp/iportal/CatalogDetail.do?catalogID=15191910000&amp;categoryID=1630000&amp;designID=newinter&amp;method=initial_screen&amp;position=18&amp;type=mc&amp;volumeID=LXL13001</t>
        </is>
      </c>
    </row>
    <row r="510">
      <c r="A510" t="inlineStr">
        <is>
          <t>WG-SL-00507</t>
        </is>
      </c>
      <c r="B510" t="inlineStr">
        <is>
          <t>SZ-SL-001002</t>
        </is>
      </c>
      <c r="C510" t="inlineStr">
        <is>
          <t>WT-SL-MENKOSHI-AGE-FS</t>
        </is>
      </c>
      <c r="D510" t="inlineStr">
        <is>
          <t>SP-SL-AGE-GRILLE-V</t>
        </is>
      </c>
      <c r="E510" t="inlineStr">
        <is>
          <t>06009</t>
        </is>
      </c>
      <c r="F510" t="n">
        <v>0.64</v>
      </c>
      <c r="G510" t="n">
        <v>0.97</v>
      </c>
      <c r="H510" t="inlineStr">
        <is>
          <t>GL-SL-003</t>
        </is>
      </c>
      <c r="I510" t="n">
        <v>8</v>
      </c>
      <c r="J510" t="n">
        <v>10.4</v>
      </c>
      <c r="K510" t="n">
        <v>-0.605</v>
      </c>
      <c r="L510" t="n">
        <v>-1.332</v>
      </c>
      <c r="M510" t="n">
        <v>0.399</v>
      </c>
      <c r="N510">
        <f>ROUND(J510*F510*G510+K510*G510+L510*F510+M510,3)</f>
        <v/>
      </c>
      <c r="O510">
        <f>AND(N510&gt;=1.4,N510&lt;=13)</f>
        <v/>
      </c>
      <c r="P510">
        <f>IF(OR(N510&lt;1.4,N510&gt;13),"",IF(G510*1000&lt;=1170,IF(N510&lt;1.8,"1014",IF(N510&lt;2.9,"1018",IF(N510&lt;3.8,"1029",IF(N510&lt;5,"1038",IF(N510&lt;7,"1050",IF(N510&lt;9,"1070",IF(N510&lt;11,"1090","1110"))))))),IF(G510*1000&lt;=1570,IF(N510&lt;1.8,"",IF(N510&lt;2.9,"2018",IF(N510&lt;3.8,"2029",IF(N510&lt;5,"2038",IF(N510&lt;7,"2050",IF(N510&lt;9,"2070",IF(N510&lt;11,"2090","2110"))))))),IF(G510*1000&lt;=1700,IF(N510&lt;1.8,"",IF(N510&lt;2.9,"3018",IF(N510&lt;3.8,"3029",IF(N510&lt;5,"3038",IF(N510&lt;7,"3050",IF(N510&lt;9,"3070",IF(N510&lt;11,"3090","3110"))))))),""))))</f>
        <v/>
      </c>
      <c r="Q510">
        <f>AND(O510=TRUE,P510&lt;&gt;"")</f>
        <v/>
      </c>
      <c r="R510">
        <f>IF(G510*1000&lt;750,"なし","あり")</f>
        <v/>
      </c>
      <c r="S510">
        <f>IF(AND(O510=TRUE,Q510=TRUE),"設定可","BLOCK")</f>
        <v/>
      </c>
      <c r="T510" t="inlineStr">
        <is>
          <t>商品カタログ P194</t>
        </is>
      </c>
      <c r="U510" t="inlineStr">
        <is>
          <t>https://webcatalog.lixil.co.jp/iportal/CatalogDetail.do?catalogID=15191910000&amp;categoryID=1630000&amp;designID=newinter&amp;method=initial_screen&amp;position=18&amp;type=mc&amp;volumeID=LXL13001</t>
        </is>
      </c>
    </row>
    <row r="511">
      <c r="A511" t="inlineStr">
        <is>
          <t>WG-SL-00508</t>
        </is>
      </c>
      <c r="B511" t="inlineStr">
        <is>
          <t>SZ-SL-001002</t>
        </is>
      </c>
      <c r="C511" t="inlineStr">
        <is>
          <t>WT-SL-MENKOSHI-AGE-FS</t>
        </is>
      </c>
      <c r="D511" t="inlineStr">
        <is>
          <t>SP-SL-AGE-GRILLE-V</t>
        </is>
      </c>
      <c r="E511" t="inlineStr">
        <is>
          <t>06009</t>
        </is>
      </c>
      <c r="F511" t="n">
        <v>0.64</v>
      </c>
      <c r="G511" t="n">
        <v>0.97</v>
      </c>
      <c r="H511" t="inlineStr">
        <is>
          <t>GL-SL-004</t>
        </is>
      </c>
      <c r="I511" t="n">
        <v>6</v>
      </c>
      <c r="J511" t="n">
        <v>7.8</v>
      </c>
      <c r="K511" t="n">
        <v>-0.355</v>
      </c>
      <c r="L511" t="n">
        <v>-0.664</v>
      </c>
      <c r="M511" t="n">
        <v>0.335</v>
      </c>
      <c r="N511">
        <f>ROUND(J511*F511*G511+K511*G511+L511*F511+M511,3)</f>
        <v/>
      </c>
      <c r="O511">
        <f>AND(N511&gt;=1.4,N511&lt;=13)</f>
        <v/>
      </c>
      <c r="P511">
        <f>IF(OR(N511&lt;1.4,N511&gt;13),"",IF(G511*1000&lt;=1170,IF(N511&lt;1.8,"1014",IF(N511&lt;2.9,"1018",IF(N511&lt;3.8,"1029",IF(N511&lt;5,"1038",IF(N511&lt;7,"1050",IF(N511&lt;9,"1070",IF(N511&lt;11,"1090","1110"))))))),IF(G511*1000&lt;=1570,IF(N511&lt;1.8,"",IF(N511&lt;2.9,"2018",IF(N511&lt;3.8,"2029",IF(N511&lt;5,"2038",IF(N511&lt;7,"2050",IF(N511&lt;9,"2070",IF(N511&lt;11,"2090","2110"))))))),IF(G511*1000&lt;=1700,IF(N511&lt;1.8,"",IF(N511&lt;2.9,"3018",IF(N511&lt;3.8,"3029",IF(N511&lt;5,"3038",IF(N511&lt;7,"3050",IF(N511&lt;9,"3070",IF(N511&lt;11,"3090","3110"))))))),""))))</f>
        <v/>
      </c>
      <c r="Q511">
        <f>AND(O511=TRUE,P511&lt;&gt;"")</f>
        <v/>
      </c>
      <c r="R511">
        <f>IF(G511*1000&lt;750,"なし","あり")</f>
        <v/>
      </c>
      <c r="S511">
        <f>IF(AND(O511=TRUE,Q511=TRUE),"設定可","BLOCK")</f>
        <v/>
      </c>
      <c r="T511" t="inlineStr">
        <is>
          <t>商品カタログ P194</t>
        </is>
      </c>
      <c r="U511" t="inlineStr">
        <is>
          <t>https://webcatalog.lixil.co.jp/iportal/CatalogDetail.do?catalogID=15191910000&amp;categoryID=1630000&amp;designID=newinter&amp;method=initial_screen&amp;position=18&amp;type=mc&amp;volumeID=LXL13001</t>
        </is>
      </c>
    </row>
    <row r="512">
      <c r="A512" t="inlineStr">
        <is>
          <t>WG-SL-00509</t>
        </is>
      </c>
      <c r="B512" t="inlineStr">
        <is>
          <t>SZ-SL-001002</t>
        </is>
      </c>
      <c r="C512" t="inlineStr">
        <is>
          <t>WT-SL-MENKOSHI-AGE-FS</t>
        </is>
      </c>
      <c r="D512" t="inlineStr">
        <is>
          <t>SP-SL-AGE-GRILLE-V</t>
        </is>
      </c>
      <c r="E512" t="inlineStr">
        <is>
          <t>06009</t>
        </is>
      </c>
      <c r="F512" t="n">
        <v>0.64</v>
      </c>
      <c r="G512" t="n">
        <v>0.97</v>
      </c>
      <c r="H512" t="inlineStr">
        <is>
          <t>GL-SL-005</t>
        </is>
      </c>
      <c r="I512" t="n">
        <v>7</v>
      </c>
      <c r="J512" t="n">
        <v>9.1</v>
      </c>
      <c r="K512" t="n">
        <v>-0.48</v>
      </c>
      <c r="L512" t="n">
        <v>-0.998</v>
      </c>
      <c r="M512" t="n">
        <v>0.367</v>
      </c>
      <c r="N512">
        <f>ROUND(J512*F512*G512+K512*G512+L512*F512+M512,3)</f>
        <v/>
      </c>
      <c r="O512">
        <f>AND(N512&gt;=1.4,N512&lt;=13)</f>
        <v/>
      </c>
      <c r="P512">
        <f>IF(OR(N512&lt;1.4,N512&gt;13),"",IF(G512*1000&lt;=1170,IF(N512&lt;1.8,"1014",IF(N512&lt;2.9,"1018",IF(N512&lt;3.8,"1029",IF(N512&lt;5,"1038",IF(N512&lt;7,"1050",IF(N512&lt;9,"1070",IF(N512&lt;11,"1090","1110"))))))),IF(G512*1000&lt;=1570,IF(N512&lt;1.8,"",IF(N512&lt;2.9,"2018",IF(N512&lt;3.8,"2029",IF(N512&lt;5,"2038",IF(N512&lt;7,"2050",IF(N512&lt;9,"2070",IF(N512&lt;11,"2090","2110"))))))),IF(G512*1000&lt;=1700,IF(N512&lt;1.8,"",IF(N512&lt;2.9,"3018",IF(N512&lt;3.8,"3029",IF(N512&lt;5,"3038",IF(N512&lt;7,"3050",IF(N512&lt;9,"3070",IF(N512&lt;11,"3090","3110"))))))),""))))</f>
        <v/>
      </c>
      <c r="Q512">
        <f>AND(O512=TRUE,P512&lt;&gt;"")</f>
        <v/>
      </c>
      <c r="R512">
        <f>IF(G512*1000&lt;750,"なし","あり")</f>
        <v/>
      </c>
      <c r="S512">
        <f>IF(AND(O512=TRUE,Q512=TRUE),"設定可","BLOCK")</f>
        <v/>
      </c>
      <c r="T512" t="inlineStr">
        <is>
          <t>商品カタログ P194</t>
        </is>
      </c>
      <c r="U512" t="inlineStr">
        <is>
          <t>https://webcatalog.lixil.co.jp/iportal/CatalogDetail.do?catalogID=15191910000&amp;categoryID=1630000&amp;designID=newinter&amp;method=initial_screen&amp;position=18&amp;type=mc&amp;volumeID=LXL13001</t>
        </is>
      </c>
    </row>
    <row r="513">
      <c r="A513" t="inlineStr">
        <is>
          <t>WG-SL-00510</t>
        </is>
      </c>
      <c r="B513" t="inlineStr">
        <is>
          <t>SZ-SL-001002</t>
        </is>
      </c>
      <c r="C513" t="inlineStr">
        <is>
          <t>WT-SL-MENKOSHI-AGE-FS</t>
        </is>
      </c>
      <c r="D513" t="inlineStr">
        <is>
          <t>SP-SL-AGE-GRILLE-V</t>
        </is>
      </c>
      <c r="E513" t="inlineStr">
        <is>
          <t>06009</t>
        </is>
      </c>
      <c r="F513" t="n">
        <v>0.64</v>
      </c>
      <c r="G513" t="n">
        <v>0.97</v>
      </c>
      <c r="H513" t="inlineStr">
        <is>
          <t>GL-SL-006</t>
        </is>
      </c>
      <c r="I513" t="n">
        <v>8</v>
      </c>
      <c r="J513" t="n">
        <v>10.4</v>
      </c>
      <c r="K513" t="n">
        <v>-0.605</v>
      </c>
      <c r="L513" t="n">
        <v>-1.332</v>
      </c>
      <c r="M513" t="n">
        <v>0.399</v>
      </c>
      <c r="N513">
        <f>ROUND(J513*F513*G513+K513*G513+L513*F513+M513,3)</f>
        <v/>
      </c>
      <c r="O513">
        <f>AND(N513&gt;=1.4,N513&lt;=13)</f>
        <v/>
      </c>
      <c r="P513">
        <f>IF(OR(N513&lt;1.4,N513&gt;13),"",IF(G513*1000&lt;=1170,IF(N513&lt;1.8,"1014",IF(N513&lt;2.9,"1018",IF(N513&lt;3.8,"1029",IF(N513&lt;5,"1038",IF(N513&lt;7,"1050",IF(N513&lt;9,"1070",IF(N513&lt;11,"1090","1110"))))))),IF(G513*1000&lt;=1570,IF(N513&lt;1.8,"",IF(N513&lt;2.9,"2018",IF(N513&lt;3.8,"2029",IF(N513&lt;5,"2038",IF(N513&lt;7,"2050",IF(N513&lt;9,"2070",IF(N513&lt;11,"2090","2110"))))))),IF(G513*1000&lt;=1700,IF(N513&lt;1.8,"",IF(N513&lt;2.9,"3018",IF(N513&lt;3.8,"3029",IF(N513&lt;5,"3038",IF(N513&lt;7,"3050",IF(N513&lt;9,"3070",IF(N513&lt;11,"3090","3110"))))))),""))))</f>
        <v/>
      </c>
      <c r="Q513">
        <f>AND(O513=TRUE,P513&lt;&gt;"")</f>
        <v/>
      </c>
      <c r="R513">
        <f>IF(G513*1000&lt;750,"なし","あり")</f>
        <v/>
      </c>
      <c r="S513">
        <f>IF(AND(O513=TRUE,Q513=TRUE),"設定可","BLOCK")</f>
        <v/>
      </c>
      <c r="T513" t="inlineStr">
        <is>
          <t>商品カタログ P194</t>
        </is>
      </c>
      <c r="U513" t="inlineStr">
        <is>
          <t>https://webcatalog.lixil.co.jp/iportal/CatalogDetail.do?catalogID=15191910000&amp;categoryID=1630000&amp;designID=newinter&amp;method=initial_screen&amp;position=18&amp;type=mc&amp;volumeID=LXL13001</t>
        </is>
      </c>
    </row>
    <row r="514">
      <c r="A514" t="inlineStr">
        <is>
          <t>WG-SL-00511</t>
        </is>
      </c>
      <c r="B514" t="inlineStr">
        <is>
          <t>SZ-SL-001002</t>
        </is>
      </c>
      <c r="C514" t="inlineStr">
        <is>
          <t>WT-SL-MENKOSHI-AGE-FS</t>
        </is>
      </c>
      <c r="D514" t="inlineStr">
        <is>
          <t>SP-SL-AGE-GRILLE-V</t>
        </is>
      </c>
      <c r="E514" t="inlineStr">
        <is>
          <t>06009</t>
        </is>
      </c>
      <c r="F514" t="n">
        <v>0.64</v>
      </c>
      <c r="G514" t="n">
        <v>0.97</v>
      </c>
      <c r="H514" t="inlineStr">
        <is>
          <t>GL-SL-007</t>
        </is>
      </c>
      <c r="I514" t="n">
        <v>6</v>
      </c>
      <c r="J514" t="n">
        <v>7.8</v>
      </c>
      <c r="K514" t="n">
        <v>-0.355</v>
      </c>
      <c r="L514" t="n">
        <v>-0.664</v>
      </c>
      <c r="M514" t="n">
        <v>0.335</v>
      </c>
      <c r="N514">
        <f>ROUND(J514*F514*G514+K514*G514+L514*F514+M514,3)</f>
        <v/>
      </c>
      <c r="O514">
        <f>AND(N514&gt;=1.4,N514&lt;=13)</f>
        <v/>
      </c>
      <c r="P514">
        <f>IF(OR(N514&lt;1.4,N514&gt;13),"",IF(G514*1000&lt;=1170,IF(N514&lt;1.8,"1014",IF(N514&lt;2.9,"1018",IF(N514&lt;3.8,"1029",IF(N514&lt;5,"1038",IF(N514&lt;7,"1050",IF(N514&lt;9,"1070",IF(N514&lt;11,"1090","1110"))))))),IF(G514*1000&lt;=1570,IF(N514&lt;1.8,"",IF(N514&lt;2.9,"2018",IF(N514&lt;3.8,"2029",IF(N514&lt;5,"2038",IF(N514&lt;7,"2050",IF(N514&lt;9,"2070",IF(N514&lt;11,"2090","2110"))))))),IF(G514*1000&lt;=1700,IF(N514&lt;1.8,"",IF(N514&lt;2.9,"3018",IF(N514&lt;3.8,"3029",IF(N514&lt;5,"3038",IF(N514&lt;7,"3050",IF(N514&lt;9,"3070",IF(N514&lt;11,"3090","3110"))))))),""))))</f>
        <v/>
      </c>
      <c r="Q514">
        <f>AND(O514=TRUE,P514&lt;&gt;"")</f>
        <v/>
      </c>
      <c r="R514">
        <f>IF(G514*1000&lt;750,"なし","あり")</f>
        <v/>
      </c>
      <c r="S514">
        <f>IF(AND(O514=TRUE,Q514=TRUE),"設定可","BLOCK")</f>
        <v/>
      </c>
      <c r="T514" t="inlineStr">
        <is>
          <t>商品カタログ P194</t>
        </is>
      </c>
      <c r="U514" t="inlineStr">
        <is>
          <t>https://webcatalog.lixil.co.jp/iportal/CatalogDetail.do?catalogID=15191910000&amp;categoryID=1630000&amp;designID=newinter&amp;method=initial_screen&amp;position=18&amp;type=mc&amp;volumeID=LXL13001</t>
        </is>
      </c>
    </row>
    <row r="515">
      <c r="A515" t="inlineStr">
        <is>
          <t>WG-SL-00512</t>
        </is>
      </c>
      <c r="B515" t="inlineStr">
        <is>
          <t>SZ-SL-001002</t>
        </is>
      </c>
      <c r="C515" t="inlineStr">
        <is>
          <t>WT-SL-MENKOSHI-AGE-FS</t>
        </is>
      </c>
      <c r="D515" t="inlineStr">
        <is>
          <t>SP-SL-AGE-GRILLE-V</t>
        </is>
      </c>
      <c r="E515" t="inlineStr">
        <is>
          <t>06009</t>
        </is>
      </c>
      <c r="F515" t="n">
        <v>0.64</v>
      </c>
      <c r="G515" t="n">
        <v>0.97</v>
      </c>
      <c r="H515" t="inlineStr">
        <is>
          <t>GL-SL-008</t>
        </is>
      </c>
      <c r="I515" t="n">
        <v>7</v>
      </c>
      <c r="J515" t="n">
        <v>9.1</v>
      </c>
      <c r="K515" t="n">
        <v>-0.48</v>
      </c>
      <c r="L515" t="n">
        <v>-0.998</v>
      </c>
      <c r="M515" t="n">
        <v>0.367</v>
      </c>
      <c r="N515">
        <f>ROUND(J515*F515*G515+K515*G515+L515*F515+M515,3)</f>
        <v/>
      </c>
      <c r="O515">
        <f>AND(N515&gt;=1.4,N515&lt;=13)</f>
        <v/>
      </c>
      <c r="P515">
        <f>IF(OR(N515&lt;1.4,N515&gt;13),"",IF(G515*1000&lt;=1170,IF(N515&lt;1.8,"1014",IF(N515&lt;2.9,"1018",IF(N515&lt;3.8,"1029",IF(N515&lt;5,"1038",IF(N515&lt;7,"1050",IF(N515&lt;9,"1070",IF(N515&lt;11,"1090","1110"))))))),IF(G515*1000&lt;=1570,IF(N515&lt;1.8,"",IF(N515&lt;2.9,"2018",IF(N515&lt;3.8,"2029",IF(N515&lt;5,"2038",IF(N515&lt;7,"2050",IF(N515&lt;9,"2070",IF(N515&lt;11,"2090","2110"))))))),IF(G515*1000&lt;=1700,IF(N515&lt;1.8,"",IF(N515&lt;2.9,"3018",IF(N515&lt;3.8,"3029",IF(N515&lt;5,"3038",IF(N515&lt;7,"3050",IF(N515&lt;9,"3070",IF(N515&lt;11,"3090","3110"))))))),""))))</f>
        <v/>
      </c>
      <c r="Q515">
        <f>AND(O515=TRUE,P515&lt;&gt;"")</f>
        <v/>
      </c>
      <c r="R515">
        <f>IF(G515*1000&lt;750,"なし","あり")</f>
        <v/>
      </c>
      <c r="S515">
        <f>IF(AND(O515=TRUE,Q515=TRUE),"設定可","BLOCK")</f>
        <v/>
      </c>
      <c r="T515" t="inlineStr">
        <is>
          <t>商品カタログ P194</t>
        </is>
      </c>
      <c r="U515" t="inlineStr">
        <is>
          <t>https://webcatalog.lixil.co.jp/iportal/CatalogDetail.do?catalogID=15191910000&amp;categoryID=1630000&amp;designID=newinter&amp;method=initial_screen&amp;position=18&amp;type=mc&amp;volumeID=LXL13001</t>
        </is>
      </c>
    </row>
    <row r="516">
      <c r="A516" t="inlineStr">
        <is>
          <t>WG-SL-00513</t>
        </is>
      </c>
      <c r="B516" t="inlineStr">
        <is>
          <t>SZ-SL-001002</t>
        </is>
      </c>
      <c r="C516" t="inlineStr">
        <is>
          <t>WT-SL-MENKOSHI-AGE-FS</t>
        </is>
      </c>
      <c r="D516" t="inlineStr">
        <is>
          <t>SP-SL-AGE-GRILLE-V</t>
        </is>
      </c>
      <c r="E516" t="inlineStr">
        <is>
          <t>06009</t>
        </is>
      </c>
      <c r="F516" t="n">
        <v>0.64</v>
      </c>
      <c r="G516" t="n">
        <v>0.97</v>
      </c>
      <c r="H516" t="inlineStr">
        <is>
          <t>GL-SL-009</t>
        </is>
      </c>
      <c r="I516" t="n">
        <v>8</v>
      </c>
      <c r="J516" t="n">
        <v>10.4</v>
      </c>
      <c r="K516" t="n">
        <v>-0.605</v>
      </c>
      <c r="L516" t="n">
        <v>-1.332</v>
      </c>
      <c r="M516" t="n">
        <v>0.399</v>
      </c>
      <c r="N516">
        <f>ROUND(J516*F516*G516+K516*G516+L516*F516+M516,3)</f>
        <v/>
      </c>
      <c r="O516">
        <f>AND(N516&gt;=1.4,N516&lt;=13)</f>
        <v/>
      </c>
      <c r="P516">
        <f>IF(OR(N516&lt;1.4,N516&gt;13),"",IF(G516*1000&lt;=1170,IF(N516&lt;1.8,"1014",IF(N516&lt;2.9,"1018",IF(N516&lt;3.8,"1029",IF(N516&lt;5,"1038",IF(N516&lt;7,"1050",IF(N516&lt;9,"1070",IF(N516&lt;11,"1090","1110"))))))),IF(G516*1000&lt;=1570,IF(N516&lt;1.8,"",IF(N516&lt;2.9,"2018",IF(N516&lt;3.8,"2029",IF(N516&lt;5,"2038",IF(N516&lt;7,"2050",IF(N516&lt;9,"2070",IF(N516&lt;11,"2090","2110"))))))),IF(G516*1000&lt;=1700,IF(N516&lt;1.8,"",IF(N516&lt;2.9,"3018",IF(N516&lt;3.8,"3029",IF(N516&lt;5,"3038",IF(N516&lt;7,"3050",IF(N516&lt;9,"3070",IF(N516&lt;11,"3090","3110"))))))),""))))</f>
        <v/>
      </c>
      <c r="Q516">
        <f>AND(O516=TRUE,P516&lt;&gt;"")</f>
        <v/>
      </c>
      <c r="R516">
        <f>IF(G516*1000&lt;750,"なし","あり")</f>
        <v/>
      </c>
      <c r="S516">
        <f>IF(AND(O516=TRUE,Q516=TRUE),"設定可","BLOCK")</f>
        <v/>
      </c>
      <c r="T516" t="inlineStr">
        <is>
          <t>商品カタログ P194</t>
        </is>
      </c>
      <c r="U516" t="inlineStr">
        <is>
          <t>https://webcatalog.lixil.co.jp/iportal/CatalogDetail.do?catalogID=15191910000&amp;categoryID=1630000&amp;designID=newinter&amp;method=initial_screen&amp;position=18&amp;type=mc&amp;volumeID=LXL13001</t>
        </is>
      </c>
    </row>
    <row r="517">
      <c r="A517" t="inlineStr">
        <is>
          <t>WG-SL-00514</t>
        </is>
      </c>
      <c r="B517" t="inlineStr">
        <is>
          <t>SZ-SL-001003</t>
        </is>
      </c>
      <c r="C517" t="inlineStr">
        <is>
          <t>WT-SL-MENKOSHI-AGE-FS</t>
        </is>
      </c>
      <c r="D517" t="inlineStr">
        <is>
          <t>SP-SL-AGE-GRILLE-V</t>
        </is>
      </c>
      <c r="E517" t="inlineStr">
        <is>
          <t>06909</t>
        </is>
      </c>
      <c r="F517" t="n">
        <v>0.73</v>
      </c>
      <c r="G517" t="n">
        <v>0.97</v>
      </c>
      <c r="H517" t="inlineStr">
        <is>
          <t>GL-SL-001</t>
        </is>
      </c>
      <c r="I517" t="n">
        <v>6</v>
      </c>
      <c r="J517" t="n">
        <v>7.8</v>
      </c>
      <c r="K517" t="n">
        <v>-0.355</v>
      </c>
      <c r="L517" t="n">
        <v>-0.664</v>
      </c>
      <c r="M517" t="n">
        <v>0.335</v>
      </c>
      <c r="N517">
        <f>ROUND(J517*F517*G517+K517*G517+L517*F517+M517,3)</f>
        <v/>
      </c>
      <c r="O517">
        <f>AND(N517&gt;=1.4,N517&lt;=13)</f>
        <v/>
      </c>
      <c r="P517">
        <f>IF(OR(N517&lt;1.4,N517&gt;13),"",IF(G517*1000&lt;=1170,IF(N517&lt;1.8,"1014",IF(N517&lt;2.9,"1018",IF(N517&lt;3.8,"1029",IF(N517&lt;5,"1038",IF(N517&lt;7,"1050",IF(N517&lt;9,"1070",IF(N517&lt;11,"1090","1110"))))))),IF(G517*1000&lt;=1570,IF(N517&lt;1.8,"",IF(N517&lt;2.9,"2018",IF(N517&lt;3.8,"2029",IF(N517&lt;5,"2038",IF(N517&lt;7,"2050",IF(N517&lt;9,"2070",IF(N517&lt;11,"2090","2110"))))))),IF(G517*1000&lt;=1700,IF(N517&lt;1.8,"",IF(N517&lt;2.9,"3018",IF(N517&lt;3.8,"3029",IF(N517&lt;5,"3038",IF(N517&lt;7,"3050",IF(N517&lt;9,"3070",IF(N517&lt;11,"3090","3110"))))))),""))))</f>
        <v/>
      </c>
      <c r="Q517">
        <f>AND(O517=TRUE,P517&lt;&gt;"")</f>
        <v/>
      </c>
      <c r="R517">
        <f>IF(G517*1000&lt;750,"なし","あり")</f>
        <v/>
      </c>
      <c r="S517">
        <f>IF(AND(O517=TRUE,Q517=TRUE),"設定可","BLOCK")</f>
        <v/>
      </c>
      <c r="T517" t="inlineStr">
        <is>
          <t>商品カタログ P194</t>
        </is>
      </c>
      <c r="U517" t="inlineStr">
        <is>
          <t>https://webcatalog.lixil.co.jp/iportal/CatalogDetail.do?catalogID=15191910000&amp;categoryID=1630000&amp;designID=newinter&amp;method=initial_screen&amp;position=18&amp;type=mc&amp;volumeID=LXL13001</t>
        </is>
      </c>
    </row>
    <row r="518">
      <c r="A518" t="inlineStr">
        <is>
          <t>WG-SL-00515</t>
        </is>
      </c>
      <c r="B518" t="inlineStr">
        <is>
          <t>SZ-SL-001003</t>
        </is>
      </c>
      <c r="C518" t="inlineStr">
        <is>
          <t>WT-SL-MENKOSHI-AGE-FS</t>
        </is>
      </c>
      <c r="D518" t="inlineStr">
        <is>
          <t>SP-SL-AGE-GRILLE-V</t>
        </is>
      </c>
      <c r="E518" t="inlineStr">
        <is>
          <t>06909</t>
        </is>
      </c>
      <c r="F518" t="n">
        <v>0.73</v>
      </c>
      <c r="G518" t="n">
        <v>0.97</v>
      </c>
      <c r="H518" t="inlineStr">
        <is>
          <t>GL-SL-002</t>
        </is>
      </c>
      <c r="I518" t="n">
        <v>7</v>
      </c>
      <c r="J518" t="n">
        <v>9.1</v>
      </c>
      <c r="K518" t="n">
        <v>-0.48</v>
      </c>
      <c r="L518" t="n">
        <v>-0.998</v>
      </c>
      <c r="M518" t="n">
        <v>0.367</v>
      </c>
      <c r="N518">
        <f>ROUND(J518*F518*G518+K518*G518+L518*F518+M518,3)</f>
        <v/>
      </c>
      <c r="O518">
        <f>AND(N518&gt;=1.4,N518&lt;=13)</f>
        <v/>
      </c>
      <c r="P518">
        <f>IF(OR(N518&lt;1.4,N518&gt;13),"",IF(G518*1000&lt;=1170,IF(N518&lt;1.8,"1014",IF(N518&lt;2.9,"1018",IF(N518&lt;3.8,"1029",IF(N518&lt;5,"1038",IF(N518&lt;7,"1050",IF(N518&lt;9,"1070",IF(N518&lt;11,"1090","1110"))))))),IF(G518*1000&lt;=1570,IF(N518&lt;1.8,"",IF(N518&lt;2.9,"2018",IF(N518&lt;3.8,"2029",IF(N518&lt;5,"2038",IF(N518&lt;7,"2050",IF(N518&lt;9,"2070",IF(N518&lt;11,"2090","2110"))))))),IF(G518*1000&lt;=1700,IF(N518&lt;1.8,"",IF(N518&lt;2.9,"3018",IF(N518&lt;3.8,"3029",IF(N518&lt;5,"3038",IF(N518&lt;7,"3050",IF(N518&lt;9,"3070",IF(N518&lt;11,"3090","3110"))))))),""))))</f>
        <v/>
      </c>
      <c r="Q518">
        <f>AND(O518=TRUE,P518&lt;&gt;"")</f>
        <v/>
      </c>
      <c r="R518">
        <f>IF(G518*1000&lt;750,"なし","あり")</f>
        <v/>
      </c>
      <c r="S518">
        <f>IF(AND(O518=TRUE,Q518=TRUE),"設定可","BLOCK")</f>
        <v/>
      </c>
      <c r="T518" t="inlineStr">
        <is>
          <t>商品カタログ P194</t>
        </is>
      </c>
      <c r="U518" t="inlineStr">
        <is>
          <t>https://webcatalog.lixil.co.jp/iportal/CatalogDetail.do?catalogID=15191910000&amp;categoryID=1630000&amp;designID=newinter&amp;method=initial_screen&amp;position=18&amp;type=mc&amp;volumeID=LXL13001</t>
        </is>
      </c>
    </row>
    <row r="519">
      <c r="A519" t="inlineStr">
        <is>
          <t>WG-SL-00516</t>
        </is>
      </c>
      <c r="B519" t="inlineStr">
        <is>
          <t>SZ-SL-001003</t>
        </is>
      </c>
      <c r="C519" t="inlineStr">
        <is>
          <t>WT-SL-MENKOSHI-AGE-FS</t>
        </is>
      </c>
      <c r="D519" t="inlineStr">
        <is>
          <t>SP-SL-AGE-GRILLE-V</t>
        </is>
      </c>
      <c r="E519" t="inlineStr">
        <is>
          <t>06909</t>
        </is>
      </c>
      <c r="F519" t="n">
        <v>0.73</v>
      </c>
      <c r="G519" t="n">
        <v>0.97</v>
      </c>
      <c r="H519" t="inlineStr">
        <is>
          <t>GL-SL-003</t>
        </is>
      </c>
      <c r="I519" t="n">
        <v>8</v>
      </c>
      <c r="J519" t="n">
        <v>10.4</v>
      </c>
      <c r="K519" t="n">
        <v>-0.605</v>
      </c>
      <c r="L519" t="n">
        <v>-1.332</v>
      </c>
      <c r="M519" t="n">
        <v>0.399</v>
      </c>
      <c r="N519">
        <f>ROUND(J519*F519*G519+K519*G519+L519*F519+M519,3)</f>
        <v/>
      </c>
      <c r="O519">
        <f>AND(N519&gt;=1.4,N519&lt;=13)</f>
        <v/>
      </c>
      <c r="P519">
        <f>IF(OR(N519&lt;1.4,N519&gt;13),"",IF(G519*1000&lt;=1170,IF(N519&lt;1.8,"1014",IF(N519&lt;2.9,"1018",IF(N519&lt;3.8,"1029",IF(N519&lt;5,"1038",IF(N519&lt;7,"1050",IF(N519&lt;9,"1070",IF(N519&lt;11,"1090","1110"))))))),IF(G519*1000&lt;=1570,IF(N519&lt;1.8,"",IF(N519&lt;2.9,"2018",IF(N519&lt;3.8,"2029",IF(N519&lt;5,"2038",IF(N519&lt;7,"2050",IF(N519&lt;9,"2070",IF(N519&lt;11,"2090","2110"))))))),IF(G519*1000&lt;=1700,IF(N519&lt;1.8,"",IF(N519&lt;2.9,"3018",IF(N519&lt;3.8,"3029",IF(N519&lt;5,"3038",IF(N519&lt;7,"3050",IF(N519&lt;9,"3070",IF(N519&lt;11,"3090","3110"))))))),""))))</f>
        <v/>
      </c>
      <c r="Q519">
        <f>AND(O519=TRUE,P519&lt;&gt;"")</f>
        <v/>
      </c>
      <c r="R519">
        <f>IF(G519*1000&lt;750,"なし","あり")</f>
        <v/>
      </c>
      <c r="S519">
        <f>IF(AND(O519=TRUE,Q519=TRUE),"設定可","BLOCK")</f>
        <v/>
      </c>
      <c r="T519" t="inlineStr">
        <is>
          <t>商品カタログ P194</t>
        </is>
      </c>
      <c r="U519" t="inlineStr">
        <is>
          <t>https://webcatalog.lixil.co.jp/iportal/CatalogDetail.do?catalogID=15191910000&amp;categoryID=1630000&amp;designID=newinter&amp;method=initial_screen&amp;position=18&amp;type=mc&amp;volumeID=LXL13001</t>
        </is>
      </c>
    </row>
    <row r="520">
      <c r="A520" t="inlineStr">
        <is>
          <t>WG-SL-00517</t>
        </is>
      </c>
      <c r="B520" t="inlineStr">
        <is>
          <t>SZ-SL-001003</t>
        </is>
      </c>
      <c r="C520" t="inlineStr">
        <is>
          <t>WT-SL-MENKOSHI-AGE-FS</t>
        </is>
      </c>
      <c r="D520" t="inlineStr">
        <is>
          <t>SP-SL-AGE-GRILLE-V</t>
        </is>
      </c>
      <c r="E520" t="inlineStr">
        <is>
          <t>06909</t>
        </is>
      </c>
      <c r="F520" t="n">
        <v>0.73</v>
      </c>
      <c r="G520" t="n">
        <v>0.97</v>
      </c>
      <c r="H520" t="inlineStr">
        <is>
          <t>GL-SL-004</t>
        </is>
      </c>
      <c r="I520" t="n">
        <v>6</v>
      </c>
      <c r="J520" t="n">
        <v>7.8</v>
      </c>
      <c r="K520" t="n">
        <v>-0.355</v>
      </c>
      <c r="L520" t="n">
        <v>-0.664</v>
      </c>
      <c r="M520" t="n">
        <v>0.335</v>
      </c>
      <c r="N520">
        <f>ROUND(J520*F520*G520+K520*G520+L520*F520+M520,3)</f>
        <v/>
      </c>
      <c r="O520">
        <f>AND(N520&gt;=1.4,N520&lt;=13)</f>
        <v/>
      </c>
      <c r="P520">
        <f>IF(OR(N520&lt;1.4,N520&gt;13),"",IF(G520*1000&lt;=1170,IF(N520&lt;1.8,"1014",IF(N520&lt;2.9,"1018",IF(N520&lt;3.8,"1029",IF(N520&lt;5,"1038",IF(N520&lt;7,"1050",IF(N520&lt;9,"1070",IF(N520&lt;11,"1090","1110"))))))),IF(G520*1000&lt;=1570,IF(N520&lt;1.8,"",IF(N520&lt;2.9,"2018",IF(N520&lt;3.8,"2029",IF(N520&lt;5,"2038",IF(N520&lt;7,"2050",IF(N520&lt;9,"2070",IF(N520&lt;11,"2090","2110"))))))),IF(G520*1000&lt;=1700,IF(N520&lt;1.8,"",IF(N520&lt;2.9,"3018",IF(N520&lt;3.8,"3029",IF(N520&lt;5,"3038",IF(N520&lt;7,"3050",IF(N520&lt;9,"3070",IF(N520&lt;11,"3090","3110"))))))),""))))</f>
        <v/>
      </c>
      <c r="Q520">
        <f>AND(O520=TRUE,P520&lt;&gt;"")</f>
        <v/>
      </c>
      <c r="R520">
        <f>IF(G520*1000&lt;750,"なし","あり")</f>
        <v/>
      </c>
      <c r="S520">
        <f>IF(AND(O520=TRUE,Q520=TRUE),"設定可","BLOCK")</f>
        <v/>
      </c>
      <c r="T520" t="inlineStr">
        <is>
          <t>商品カタログ P194</t>
        </is>
      </c>
      <c r="U520" t="inlineStr">
        <is>
          <t>https://webcatalog.lixil.co.jp/iportal/CatalogDetail.do?catalogID=15191910000&amp;categoryID=1630000&amp;designID=newinter&amp;method=initial_screen&amp;position=18&amp;type=mc&amp;volumeID=LXL13001</t>
        </is>
      </c>
    </row>
    <row r="521">
      <c r="A521" t="inlineStr">
        <is>
          <t>WG-SL-00518</t>
        </is>
      </c>
      <c r="B521" t="inlineStr">
        <is>
          <t>SZ-SL-001003</t>
        </is>
      </c>
      <c r="C521" t="inlineStr">
        <is>
          <t>WT-SL-MENKOSHI-AGE-FS</t>
        </is>
      </c>
      <c r="D521" t="inlineStr">
        <is>
          <t>SP-SL-AGE-GRILLE-V</t>
        </is>
      </c>
      <c r="E521" t="inlineStr">
        <is>
          <t>06909</t>
        </is>
      </c>
      <c r="F521" t="n">
        <v>0.73</v>
      </c>
      <c r="G521" t="n">
        <v>0.97</v>
      </c>
      <c r="H521" t="inlineStr">
        <is>
          <t>GL-SL-005</t>
        </is>
      </c>
      <c r="I521" t="n">
        <v>7</v>
      </c>
      <c r="J521" t="n">
        <v>9.1</v>
      </c>
      <c r="K521" t="n">
        <v>-0.48</v>
      </c>
      <c r="L521" t="n">
        <v>-0.998</v>
      </c>
      <c r="M521" t="n">
        <v>0.367</v>
      </c>
      <c r="N521">
        <f>ROUND(J521*F521*G521+K521*G521+L521*F521+M521,3)</f>
        <v/>
      </c>
      <c r="O521">
        <f>AND(N521&gt;=1.4,N521&lt;=13)</f>
        <v/>
      </c>
      <c r="P521">
        <f>IF(OR(N521&lt;1.4,N521&gt;13),"",IF(G521*1000&lt;=1170,IF(N521&lt;1.8,"1014",IF(N521&lt;2.9,"1018",IF(N521&lt;3.8,"1029",IF(N521&lt;5,"1038",IF(N521&lt;7,"1050",IF(N521&lt;9,"1070",IF(N521&lt;11,"1090","1110"))))))),IF(G521*1000&lt;=1570,IF(N521&lt;1.8,"",IF(N521&lt;2.9,"2018",IF(N521&lt;3.8,"2029",IF(N521&lt;5,"2038",IF(N521&lt;7,"2050",IF(N521&lt;9,"2070",IF(N521&lt;11,"2090","2110"))))))),IF(G521*1000&lt;=1700,IF(N521&lt;1.8,"",IF(N521&lt;2.9,"3018",IF(N521&lt;3.8,"3029",IF(N521&lt;5,"3038",IF(N521&lt;7,"3050",IF(N521&lt;9,"3070",IF(N521&lt;11,"3090","3110"))))))),""))))</f>
        <v/>
      </c>
      <c r="Q521">
        <f>AND(O521=TRUE,P521&lt;&gt;"")</f>
        <v/>
      </c>
      <c r="R521">
        <f>IF(G521*1000&lt;750,"なし","あり")</f>
        <v/>
      </c>
      <c r="S521">
        <f>IF(AND(O521=TRUE,Q521=TRUE),"設定可","BLOCK")</f>
        <v/>
      </c>
      <c r="T521" t="inlineStr">
        <is>
          <t>商品カタログ P194</t>
        </is>
      </c>
      <c r="U521" t="inlineStr">
        <is>
          <t>https://webcatalog.lixil.co.jp/iportal/CatalogDetail.do?catalogID=15191910000&amp;categoryID=1630000&amp;designID=newinter&amp;method=initial_screen&amp;position=18&amp;type=mc&amp;volumeID=LXL13001</t>
        </is>
      </c>
    </row>
    <row r="522">
      <c r="A522" t="inlineStr">
        <is>
          <t>WG-SL-00519</t>
        </is>
      </c>
      <c r="B522" t="inlineStr">
        <is>
          <t>SZ-SL-001003</t>
        </is>
      </c>
      <c r="C522" t="inlineStr">
        <is>
          <t>WT-SL-MENKOSHI-AGE-FS</t>
        </is>
      </c>
      <c r="D522" t="inlineStr">
        <is>
          <t>SP-SL-AGE-GRILLE-V</t>
        </is>
      </c>
      <c r="E522" t="inlineStr">
        <is>
          <t>06909</t>
        </is>
      </c>
      <c r="F522" t="n">
        <v>0.73</v>
      </c>
      <c r="G522" t="n">
        <v>0.97</v>
      </c>
      <c r="H522" t="inlineStr">
        <is>
          <t>GL-SL-006</t>
        </is>
      </c>
      <c r="I522" t="n">
        <v>8</v>
      </c>
      <c r="J522" t="n">
        <v>10.4</v>
      </c>
      <c r="K522" t="n">
        <v>-0.605</v>
      </c>
      <c r="L522" t="n">
        <v>-1.332</v>
      </c>
      <c r="M522" t="n">
        <v>0.399</v>
      </c>
      <c r="N522">
        <f>ROUND(J522*F522*G522+K522*G522+L522*F522+M522,3)</f>
        <v/>
      </c>
      <c r="O522">
        <f>AND(N522&gt;=1.4,N522&lt;=13)</f>
        <v/>
      </c>
      <c r="P522">
        <f>IF(OR(N522&lt;1.4,N522&gt;13),"",IF(G522*1000&lt;=1170,IF(N522&lt;1.8,"1014",IF(N522&lt;2.9,"1018",IF(N522&lt;3.8,"1029",IF(N522&lt;5,"1038",IF(N522&lt;7,"1050",IF(N522&lt;9,"1070",IF(N522&lt;11,"1090","1110"))))))),IF(G522*1000&lt;=1570,IF(N522&lt;1.8,"",IF(N522&lt;2.9,"2018",IF(N522&lt;3.8,"2029",IF(N522&lt;5,"2038",IF(N522&lt;7,"2050",IF(N522&lt;9,"2070",IF(N522&lt;11,"2090","2110"))))))),IF(G522*1000&lt;=1700,IF(N522&lt;1.8,"",IF(N522&lt;2.9,"3018",IF(N522&lt;3.8,"3029",IF(N522&lt;5,"3038",IF(N522&lt;7,"3050",IF(N522&lt;9,"3070",IF(N522&lt;11,"3090","3110"))))))),""))))</f>
        <v/>
      </c>
      <c r="Q522">
        <f>AND(O522=TRUE,P522&lt;&gt;"")</f>
        <v/>
      </c>
      <c r="R522">
        <f>IF(G522*1000&lt;750,"なし","あり")</f>
        <v/>
      </c>
      <c r="S522">
        <f>IF(AND(O522=TRUE,Q522=TRUE),"設定可","BLOCK")</f>
        <v/>
      </c>
      <c r="T522" t="inlineStr">
        <is>
          <t>商品カタログ P194</t>
        </is>
      </c>
      <c r="U522" t="inlineStr">
        <is>
          <t>https://webcatalog.lixil.co.jp/iportal/CatalogDetail.do?catalogID=15191910000&amp;categoryID=1630000&amp;designID=newinter&amp;method=initial_screen&amp;position=18&amp;type=mc&amp;volumeID=LXL13001</t>
        </is>
      </c>
    </row>
    <row r="523">
      <c r="A523" t="inlineStr">
        <is>
          <t>WG-SL-00520</t>
        </is>
      </c>
      <c r="B523" t="inlineStr">
        <is>
          <t>SZ-SL-001003</t>
        </is>
      </c>
      <c r="C523" t="inlineStr">
        <is>
          <t>WT-SL-MENKOSHI-AGE-FS</t>
        </is>
      </c>
      <c r="D523" t="inlineStr">
        <is>
          <t>SP-SL-AGE-GRILLE-V</t>
        </is>
      </c>
      <c r="E523" t="inlineStr">
        <is>
          <t>06909</t>
        </is>
      </c>
      <c r="F523" t="n">
        <v>0.73</v>
      </c>
      <c r="G523" t="n">
        <v>0.97</v>
      </c>
      <c r="H523" t="inlineStr">
        <is>
          <t>GL-SL-007</t>
        </is>
      </c>
      <c r="I523" t="n">
        <v>6</v>
      </c>
      <c r="J523" t="n">
        <v>7.8</v>
      </c>
      <c r="K523" t="n">
        <v>-0.355</v>
      </c>
      <c r="L523" t="n">
        <v>-0.664</v>
      </c>
      <c r="M523" t="n">
        <v>0.335</v>
      </c>
      <c r="N523">
        <f>ROUND(J523*F523*G523+K523*G523+L523*F523+M523,3)</f>
        <v/>
      </c>
      <c r="O523">
        <f>AND(N523&gt;=1.4,N523&lt;=13)</f>
        <v/>
      </c>
      <c r="P523">
        <f>IF(OR(N523&lt;1.4,N523&gt;13),"",IF(G523*1000&lt;=1170,IF(N523&lt;1.8,"1014",IF(N523&lt;2.9,"1018",IF(N523&lt;3.8,"1029",IF(N523&lt;5,"1038",IF(N523&lt;7,"1050",IF(N523&lt;9,"1070",IF(N523&lt;11,"1090","1110"))))))),IF(G523*1000&lt;=1570,IF(N523&lt;1.8,"",IF(N523&lt;2.9,"2018",IF(N523&lt;3.8,"2029",IF(N523&lt;5,"2038",IF(N523&lt;7,"2050",IF(N523&lt;9,"2070",IF(N523&lt;11,"2090","2110"))))))),IF(G523*1000&lt;=1700,IF(N523&lt;1.8,"",IF(N523&lt;2.9,"3018",IF(N523&lt;3.8,"3029",IF(N523&lt;5,"3038",IF(N523&lt;7,"3050",IF(N523&lt;9,"3070",IF(N523&lt;11,"3090","3110"))))))),""))))</f>
        <v/>
      </c>
      <c r="Q523">
        <f>AND(O523=TRUE,P523&lt;&gt;"")</f>
        <v/>
      </c>
      <c r="R523">
        <f>IF(G523*1000&lt;750,"なし","あり")</f>
        <v/>
      </c>
      <c r="S523">
        <f>IF(AND(O523=TRUE,Q523=TRUE),"設定可","BLOCK")</f>
        <v/>
      </c>
      <c r="T523" t="inlineStr">
        <is>
          <t>商品カタログ P194</t>
        </is>
      </c>
      <c r="U523" t="inlineStr">
        <is>
          <t>https://webcatalog.lixil.co.jp/iportal/CatalogDetail.do?catalogID=15191910000&amp;categoryID=1630000&amp;designID=newinter&amp;method=initial_screen&amp;position=18&amp;type=mc&amp;volumeID=LXL13001</t>
        </is>
      </c>
    </row>
    <row r="524">
      <c r="A524" t="inlineStr">
        <is>
          <t>WG-SL-00521</t>
        </is>
      </c>
      <c r="B524" t="inlineStr">
        <is>
          <t>SZ-SL-001003</t>
        </is>
      </c>
      <c r="C524" t="inlineStr">
        <is>
          <t>WT-SL-MENKOSHI-AGE-FS</t>
        </is>
      </c>
      <c r="D524" t="inlineStr">
        <is>
          <t>SP-SL-AGE-GRILLE-V</t>
        </is>
      </c>
      <c r="E524" t="inlineStr">
        <is>
          <t>06909</t>
        </is>
      </c>
      <c r="F524" t="n">
        <v>0.73</v>
      </c>
      <c r="G524" t="n">
        <v>0.97</v>
      </c>
      <c r="H524" t="inlineStr">
        <is>
          <t>GL-SL-008</t>
        </is>
      </c>
      <c r="I524" t="n">
        <v>7</v>
      </c>
      <c r="J524" t="n">
        <v>9.1</v>
      </c>
      <c r="K524" t="n">
        <v>-0.48</v>
      </c>
      <c r="L524" t="n">
        <v>-0.998</v>
      </c>
      <c r="M524" t="n">
        <v>0.367</v>
      </c>
      <c r="N524">
        <f>ROUND(J524*F524*G524+K524*G524+L524*F524+M524,3)</f>
        <v/>
      </c>
      <c r="O524">
        <f>AND(N524&gt;=1.4,N524&lt;=13)</f>
        <v/>
      </c>
      <c r="P524">
        <f>IF(OR(N524&lt;1.4,N524&gt;13),"",IF(G524*1000&lt;=1170,IF(N524&lt;1.8,"1014",IF(N524&lt;2.9,"1018",IF(N524&lt;3.8,"1029",IF(N524&lt;5,"1038",IF(N524&lt;7,"1050",IF(N524&lt;9,"1070",IF(N524&lt;11,"1090","1110"))))))),IF(G524*1000&lt;=1570,IF(N524&lt;1.8,"",IF(N524&lt;2.9,"2018",IF(N524&lt;3.8,"2029",IF(N524&lt;5,"2038",IF(N524&lt;7,"2050",IF(N524&lt;9,"2070",IF(N524&lt;11,"2090","2110"))))))),IF(G524*1000&lt;=1700,IF(N524&lt;1.8,"",IF(N524&lt;2.9,"3018",IF(N524&lt;3.8,"3029",IF(N524&lt;5,"3038",IF(N524&lt;7,"3050",IF(N524&lt;9,"3070",IF(N524&lt;11,"3090","3110"))))))),""))))</f>
        <v/>
      </c>
      <c r="Q524">
        <f>AND(O524=TRUE,P524&lt;&gt;"")</f>
        <v/>
      </c>
      <c r="R524">
        <f>IF(G524*1000&lt;750,"なし","あり")</f>
        <v/>
      </c>
      <c r="S524">
        <f>IF(AND(O524=TRUE,Q524=TRUE),"設定可","BLOCK")</f>
        <v/>
      </c>
      <c r="T524" t="inlineStr">
        <is>
          <t>商品カタログ P194</t>
        </is>
      </c>
      <c r="U524" t="inlineStr">
        <is>
          <t>https://webcatalog.lixil.co.jp/iportal/CatalogDetail.do?catalogID=15191910000&amp;categoryID=1630000&amp;designID=newinter&amp;method=initial_screen&amp;position=18&amp;type=mc&amp;volumeID=LXL13001</t>
        </is>
      </c>
    </row>
    <row r="525">
      <c r="A525" t="inlineStr">
        <is>
          <t>WG-SL-00522</t>
        </is>
      </c>
      <c r="B525" t="inlineStr">
        <is>
          <t>SZ-SL-001003</t>
        </is>
      </c>
      <c r="C525" t="inlineStr">
        <is>
          <t>WT-SL-MENKOSHI-AGE-FS</t>
        </is>
      </c>
      <c r="D525" t="inlineStr">
        <is>
          <t>SP-SL-AGE-GRILLE-V</t>
        </is>
      </c>
      <c r="E525" t="inlineStr">
        <is>
          <t>06909</t>
        </is>
      </c>
      <c r="F525" t="n">
        <v>0.73</v>
      </c>
      <c r="G525" t="n">
        <v>0.97</v>
      </c>
      <c r="H525" t="inlineStr">
        <is>
          <t>GL-SL-009</t>
        </is>
      </c>
      <c r="I525" t="n">
        <v>8</v>
      </c>
      <c r="J525" t="n">
        <v>10.4</v>
      </c>
      <c r="K525" t="n">
        <v>-0.605</v>
      </c>
      <c r="L525" t="n">
        <v>-1.332</v>
      </c>
      <c r="M525" t="n">
        <v>0.399</v>
      </c>
      <c r="N525">
        <f>ROUND(J525*F525*G525+K525*G525+L525*F525+M525,3)</f>
        <v/>
      </c>
      <c r="O525">
        <f>AND(N525&gt;=1.4,N525&lt;=13)</f>
        <v/>
      </c>
      <c r="P525">
        <f>IF(OR(N525&lt;1.4,N525&gt;13),"",IF(G525*1000&lt;=1170,IF(N525&lt;1.8,"1014",IF(N525&lt;2.9,"1018",IF(N525&lt;3.8,"1029",IF(N525&lt;5,"1038",IF(N525&lt;7,"1050",IF(N525&lt;9,"1070",IF(N525&lt;11,"1090","1110"))))))),IF(G525*1000&lt;=1570,IF(N525&lt;1.8,"",IF(N525&lt;2.9,"2018",IF(N525&lt;3.8,"2029",IF(N525&lt;5,"2038",IF(N525&lt;7,"2050",IF(N525&lt;9,"2070",IF(N525&lt;11,"2090","2110"))))))),IF(G525*1000&lt;=1700,IF(N525&lt;1.8,"",IF(N525&lt;2.9,"3018",IF(N525&lt;3.8,"3029",IF(N525&lt;5,"3038",IF(N525&lt;7,"3050",IF(N525&lt;9,"3070",IF(N525&lt;11,"3090","3110"))))))),""))))</f>
        <v/>
      </c>
      <c r="Q525">
        <f>AND(O525=TRUE,P525&lt;&gt;"")</f>
        <v/>
      </c>
      <c r="R525">
        <f>IF(G525*1000&lt;750,"なし","あり")</f>
        <v/>
      </c>
      <c r="S525">
        <f>IF(AND(O525=TRUE,Q525=TRUE),"設定可","BLOCK")</f>
        <v/>
      </c>
      <c r="T525" t="inlineStr">
        <is>
          <t>商品カタログ P194</t>
        </is>
      </c>
      <c r="U525" t="inlineStr">
        <is>
          <t>https://webcatalog.lixil.co.jp/iportal/CatalogDetail.do?catalogID=15191910000&amp;categoryID=1630000&amp;designID=newinter&amp;method=initial_screen&amp;position=18&amp;type=mc&amp;volumeID=LXL13001</t>
        </is>
      </c>
    </row>
    <row r="526">
      <c r="A526" t="inlineStr">
        <is>
          <t>WG-SL-00523</t>
        </is>
      </c>
      <c r="B526" t="inlineStr">
        <is>
          <t>SZ-SL-001004</t>
        </is>
      </c>
      <c r="C526" t="inlineStr">
        <is>
          <t>WT-SL-MENKOSHI-AGE-FS</t>
        </is>
      </c>
      <c r="D526" t="inlineStr">
        <is>
          <t>SP-SL-AGE-GRILLE-V</t>
        </is>
      </c>
      <c r="E526" t="inlineStr">
        <is>
          <t>07409</t>
        </is>
      </c>
      <c r="F526" t="n">
        <v>0.78</v>
      </c>
      <c r="G526" t="n">
        <v>0.97</v>
      </c>
      <c r="H526" t="inlineStr">
        <is>
          <t>GL-SL-001</t>
        </is>
      </c>
      <c r="I526" t="n">
        <v>6</v>
      </c>
      <c r="J526" t="n">
        <v>7.8</v>
      </c>
      <c r="K526" t="n">
        <v>-0.355</v>
      </c>
      <c r="L526" t="n">
        <v>-0.664</v>
      </c>
      <c r="M526" t="n">
        <v>0.335</v>
      </c>
      <c r="N526">
        <f>ROUND(J526*F526*G526+K526*G526+L526*F526+M526,3)</f>
        <v/>
      </c>
      <c r="O526">
        <f>AND(N526&gt;=1.4,N526&lt;=13)</f>
        <v/>
      </c>
      <c r="P526">
        <f>IF(OR(N526&lt;1.4,N526&gt;13),"",IF(G526*1000&lt;=1170,IF(N526&lt;1.8,"1014",IF(N526&lt;2.9,"1018",IF(N526&lt;3.8,"1029",IF(N526&lt;5,"1038",IF(N526&lt;7,"1050",IF(N526&lt;9,"1070",IF(N526&lt;11,"1090","1110"))))))),IF(G526*1000&lt;=1570,IF(N526&lt;1.8,"",IF(N526&lt;2.9,"2018",IF(N526&lt;3.8,"2029",IF(N526&lt;5,"2038",IF(N526&lt;7,"2050",IF(N526&lt;9,"2070",IF(N526&lt;11,"2090","2110"))))))),IF(G526*1000&lt;=1700,IF(N526&lt;1.8,"",IF(N526&lt;2.9,"3018",IF(N526&lt;3.8,"3029",IF(N526&lt;5,"3038",IF(N526&lt;7,"3050",IF(N526&lt;9,"3070",IF(N526&lt;11,"3090","3110"))))))),""))))</f>
        <v/>
      </c>
      <c r="Q526">
        <f>AND(O526=TRUE,P526&lt;&gt;"")</f>
        <v/>
      </c>
      <c r="R526">
        <f>IF(G526*1000&lt;750,"なし","あり")</f>
        <v/>
      </c>
      <c r="S526">
        <f>IF(AND(O526=TRUE,Q526=TRUE),"設定可","BLOCK")</f>
        <v/>
      </c>
      <c r="T526" t="inlineStr">
        <is>
          <t>商品カタログ P194</t>
        </is>
      </c>
      <c r="U526" t="inlineStr">
        <is>
          <t>https://webcatalog.lixil.co.jp/iportal/CatalogDetail.do?catalogID=15191910000&amp;categoryID=1630000&amp;designID=newinter&amp;method=initial_screen&amp;position=18&amp;type=mc&amp;volumeID=LXL13001</t>
        </is>
      </c>
    </row>
    <row r="527">
      <c r="A527" t="inlineStr">
        <is>
          <t>WG-SL-00524</t>
        </is>
      </c>
      <c r="B527" t="inlineStr">
        <is>
          <t>SZ-SL-001004</t>
        </is>
      </c>
      <c r="C527" t="inlineStr">
        <is>
          <t>WT-SL-MENKOSHI-AGE-FS</t>
        </is>
      </c>
      <c r="D527" t="inlineStr">
        <is>
          <t>SP-SL-AGE-GRILLE-V</t>
        </is>
      </c>
      <c r="E527" t="inlineStr">
        <is>
          <t>07409</t>
        </is>
      </c>
      <c r="F527" t="n">
        <v>0.78</v>
      </c>
      <c r="G527" t="n">
        <v>0.97</v>
      </c>
      <c r="H527" t="inlineStr">
        <is>
          <t>GL-SL-002</t>
        </is>
      </c>
      <c r="I527" t="n">
        <v>7</v>
      </c>
      <c r="J527" t="n">
        <v>9.1</v>
      </c>
      <c r="K527" t="n">
        <v>-0.48</v>
      </c>
      <c r="L527" t="n">
        <v>-0.998</v>
      </c>
      <c r="M527" t="n">
        <v>0.367</v>
      </c>
      <c r="N527">
        <f>ROUND(J527*F527*G527+K527*G527+L527*F527+M527,3)</f>
        <v/>
      </c>
      <c r="O527">
        <f>AND(N527&gt;=1.4,N527&lt;=13)</f>
        <v/>
      </c>
      <c r="P527">
        <f>IF(OR(N527&lt;1.4,N527&gt;13),"",IF(G527*1000&lt;=1170,IF(N527&lt;1.8,"1014",IF(N527&lt;2.9,"1018",IF(N527&lt;3.8,"1029",IF(N527&lt;5,"1038",IF(N527&lt;7,"1050",IF(N527&lt;9,"1070",IF(N527&lt;11,"1090","1110"))))))),IF(G527*1000&lt;=1570,IF(N527&lt;1.8,"",IF(N527&lt;2.9,"2018",IF(N527&lt;3.8,"2029",IF(N527&lt;5,"2038",IF(N527&lt;7,"2050",IF(N527&lt;9,"2070",IF(N527&lt;11,"2090","2110"))))))),IF(G527*1000&lt;=1700,IF(N527&lt;1.8,"",IF(N527&lt;2.9,"3018",IF(N527&lt;3.8,"3029",IF(N527&lt;5,"3038",IF(N527&lt;7,"3050",IF(N527&lt;9,"3070",IF(N527&lt;11,"3090","3110"))))))),""))))</f>
        <v/>
      </c>
      <c r="Q527">
        <f>AND(O527=TRUE,P527&lt;&gt;"")</f>
        <v/>
      </c>
      <c r="R527">
        <f>IF(G527*1000&lt;750,"なし","あり")</f>
        <v/>
      </c>
      <c r="S527">
        <f>IF(AND(O527=TRUE,Q527=TRUE),"設定可","BLOCK")</f>
        <v/>
      </c>
      <c r="T527" t="inlineStr">
        <is>
          <t>商品カタログ P194</t>
        </is>
      </c>
      <c r="U527" t="inlineStr">
        <is>
          <t>https://webcatalog.lixil.co.jp/iportal/CatalogDetail.do?catalogID=15191910000&amp;categoryID=1630000&amp;designID=newinter&amp;method=initial_screen&amp;position=18&amp;type=mc&amp;volumeID=LXL13001</t>
        </is>
      </c>
    </row>
    <row r="528">
      <c r="A528" t="inlineStr">
        <is>
          <t>WG-SL-00525</t>
        </is>
      </c>
      <c r="B528" t="inlineStr">
        <is>
          <t>SZ-SL-001004</t>
        </is>
      </c>
      <c r="C528" t="inlineStr">
        <is>
          <t>WT-SL-MENKOSHI-AGE-FS</t>
        </is>
      </c>
      <c r="D528" t="inlineStr">
        <is>
          <t>SP-SL-AGE-GRILLE-V</t>
        </is>
      </c>
      <c r="E528" t="inlineStr">
        <is>
          <t>07409</t>
        </is>
      </c>
      <c r="F528" t="n">
        <v>0.78</v>
      </c>
      <c r="G528" t="n">
        <v>0.97</v>
      </c>
      <c r="H528" t="inlineStr">
        <is>
          <t>GL-SL-003</t>
        </is>
      </c>
      <c r="I528" t="n">
        <v>8</v>
      </c>
      <c r="J528" t="n">
        <v>10.4</v>
      </c>
      <c r="K528" t="n">
        <v>-0.605</v>
      </c>
      <c r="L528" t="n">
        <v>-1.332</v>
      </c>
      <c r="M528" t="n">
        <v>0.399</v>
      </c>
      <c r="N528">
        <f>ROUND(J528*F528*G528+K528*G528+L528*F528+M528,3)</f>
        <v/>
      </c>
      <c r="O528">
        <f>AND(N528&gt;=1.4,N528&lt;=13)</f>
        <v/>
      </c>
      <c r="P528">
        <f>IF(OR(N528&lt;1.4,N528&gt;13),"",IF(G528*1000&lt;=1170,IF(N528&lt;1.8,"1014",IF(N528&lt;2.9,"1018",IF(N528&lt;3.8,"1029",IF(N528&lt;5,"1038",IF(N528&lt;7,"1050",IF(N528&lt;9,"1070",IF(N528&lt;11,"1090","1110"))))))),IF(G528*1000&lt;=1570,IF(N528&lt;1.8,"",IF(N528&lt;2.9,"2018",IF(N528&lt;3.8,"2029",IF(N528&lt;5,"2038",IF(N528&lt;7,"2050",IF(N528&lt;9,"2070",IF(N528&lt;11,"2090","2110"))))))),IF(G528*1000&lt;=1700,IF(N528&lt;1.8,"",IF(N528&lt;2.9,"3018",IF(N528&lt;3.8,"3029",IF(N528&lt;5,"3038",IF(N528&lt;7,"3050",IF(N528&lt;9,"3070",IF(N528&lt;11,"3090","3110"))))))),""))))</f>
        <v/>
      </c>
      <c r="Q528">
        <f>AND(O528=TRUE,P528&lt;&gt;"")</f>
        <v/>
      </c>
      <c r="R528">
        <f>IF(G528*1000&lt;750,"なし","あり")</f>
        <v/>
      </c>
      <c r="S528">
        <f>IF(AND(O528=TRUE,Q528=TRUE),"設定可","BLOCK")</f>
        <v/>
      </c>
      <c r="T528" t="inlineStr">
        <is>
          <t>商品カタログ P194</t>
        </is>
      </c>
      <c r="U528" t="inlineStr">
        <is>
          <t>https://webcatalog.lixil.co.jp/iportal/CatalogDetail.do?catalogID=15191910000&amp;categoryID=1630000&amp;designID=newinter&amp;method=initial_screen&amp;position=18&amp;type=mc&amp;volumeID=LXL13001</t>
        </is>
      </c>
    </row>
    <row r="529">
      <c r="A529" t="inlineStr">
        <is>
          <t>WG-SL-00526</t>
        </is>
      </c>
      <c r="B529" t="inlineStr">
        <is>
          <t>SZ-SL-001004</t>
        </is>
      </c>
      <c r="C529" t="inlineStr">
        <is>
          <t>WT-SL-MENKOSHI-AGE-FS</t>
        </is>
      </c>
      <c r="D529" t="inlineStr">
        <is>
          <t>SP-SL-AGE-GRILLE-V</t>
        </is>
      </c>
      <c r="E529" t="inlineStr">
        <is>
          <t>07409</t>
        </is>
      </c>
      <c r="F529" t="n">
        <v>0.78</v>
      </c>
      <c r="G529" t="n">
        <v>0.97</v>
      </c>
      <c r="H529" t="inlineStr">
        <is>
          <t>GL-SL-004</t>
        </is>
      </c>
      <c r="I529" t="n">
        <v>6</v>
      </c>
      <c r="J529" t="n">
        <v>7.8</v>
      </c>
      <c r="K529" t="n">
        <v>-0.355</v>
      </c>
      <c r="L529" t="n">
        <v>-0.664</v>
      </c>
      <c r="M529" t="n">
        <v>0.335</v>
      </c>
      <c r="N529">
        <f>ROUND(J529*F529*G529+K529*G529+L529*F529+M529,3)</f>
        <v/>
      </c>
      <c r="O529">
        <f>AND(N529&gt;=1.4,N529&lt;=13)</f>
        <v/>
      </c>
      <c r="P529">
        <f>IF(OR(N529&lt;1.4,N529&gt;13),"",IF(G529*1000&lt;=1170,IF(N529&lt;1.8,"1014",IF(N529&lt;2.9,"1018",IF(N529&lt;3.8,"1029",IF(N529&lt;5,"1038",IF(N529&lt;7,"1050",IF(N529&lt;9,"1070",IF(N529&lt;11,"1090","1110"))))))),IF(G529*1000&lt;=1570,IF(N529&lt;1.8,"",IF(N529&lt;2.9,"2018",IF(N529&lt;3.8,"2029",IF(N529&lt;5,"2038",IF(N529&lt;7,"2050",IF(N529&lt;9,"2070",IF(N529&lt;11,"2090","2110"))))))),IF(G529*1000&lt;=1700,IF(N529&lt;1.8,"",IF(N529&lt;2.9,"3018",IF(N529&lt;3.8,"3029",IF(N529&lt;5,"3038",IF(N529&lt;7,"3050",IF(N529&lt;9,"3070",IF(N529&lt;11,"3090","3110"))))))),""))))</f>
        <v/>
      </c>
      <c r="Q529">
        <f>AND(O529=TRUE,P529&lt;&gt;"")</f>
        <v/>
      </c>
      <c r="R529">
        <f>IF(G529*1000&lt;750,"なし","あり")</f>
        <v/>
      </c>
      <c r="S529">
        <f>IF(AND(O529=TRUE,Q529=TRUE),"設定可","BLOCK")</f>
        <v/>
      </c>
      <c r="T529" t="inlineStr">
        <is>
          <t>商品カタログ P194</t>
        </is>
      </c>
      <c r="U529" t="inlineStr">
        <is>
          <t>https://webcatalog.lixil.co.jp/iportal/CatalogDetail.do?catalogID=15191910000&amp;categoryID=1630000&amp;designID=newinter&amp;method=initial_screen&amp;position=18&amp;type=mc&amp;volumeID=LXL13001</t>
        </is>
      </c>
    </row>
    <row r="530">
      <c r="A530" t="inlineStr">
        <is>
          <t>WG-SL-00527</t>
        </is>
      </c>
      <c r="B530" t="inlineStr">
        <is>
          <t>SZ-SL-001004</t>
        </is>
      </c>
      <c r="C530" t="inlineStr">
        <is>
          <t>WT-SL-MENKOSHI-AGE-FS</t>
        </is>
      </c>
      <c r="D530" t="inlineStr">
        <is>
          <t>SP-SL-AGE-GRILLE-V</t>
        </is>
      </c>
      <c r="E530" t="inlineStr">
        <is>
          <t>07409</t>
        </is>
      </c>
      <c r="F530" t="n">
        <v>0.78</v>
      </c>
      <c r="G530" t="n">
        <v>0.97</v>
      </c>
      <c r="H530" t="inlineStr">
        <is>
          <t>GL-SL-005</t>
        </is>
      </c>
      <c r="I530" t="n">
        <v>7</v>
      </c>
      <c r="J530" t="n">
        <v>9.1</v>
      </c>
      <c r="K530" t="n">
        <v>-0.48</v>
      </c>
      <c r="L530" t="n">
        <v>-0.998</v>
      </c>
      <c r="M530" t="n">
        <v>0.367</v>
      </c>
      <c r="N530">
        <f>ROUND(J530*F530*G530+K530*G530+L530*F530+M530,3)</f>
        <v/>
      </c>
      <c r="O530">
        <f>AND(N530&gt;=1.4,N530&lt;=13)</f>
        <v/>
      </c>
      <c r="P530">
        <f>IF(OR(N530&lt;1.4,N530&gt;13),"",IF(G530*1000&lt;=1170,IF(N530&lt;1.8,"1014",IF(N530&lt;2.9,"1018",IF(N530&lt;3.8,"1029",IF(N530&lt;5,"1038",IF(N530&lt;7,"1050",IF(N530&lt;9,"1070",IF(N530&lt;11,"1090","1110"))))))),IF(G530*1000&lt;=1570,IF(N530&lt;1.8,"",IF(N530&lt;2.9,"2018",IF(N530&lt;3.8,"2029",IF(N530&lt;5,"2038",IF(N530&lt;7,"2050",IF(N530&lt;9,"2070",IF(N530&lt;11,"2090","2110"))))))),IF(G530*1000&lt;=1700,IF(N530&lt;1.8,"",IF(N530&lt;2.9,"3018",IF(N530&lt;3.8,"3029",IF(N530&lt;5,"3038",IF(N530&lt;7,"3050",IF(N530&lt;9,"3070",IF(N530&lt;11,"3090","3110"))))))),""))))</f>
        <v/>
      </c>
      <c r="Q530">
        <f>AND(O530=TRUE,P530&lt;&gt;"")</f>
        <v/>
      </c>
      <c r="R530">
        <f>IF(G530*1000&lt;750,"なし","あり")</f>
        <v/>
      </c>
      <c r="S530">
        <f>IF(AND(O530=TRUE,Q530=TRUE),"設定可","BLOCK")</f>
        <v/>
      </c>
      <c r="T530" t="inlineStr">
        <is>
          <t>商品カタログ P194</t>
        </is>
      </c>
      <c r="U530" t="inlineStr">
        <is>
          <t>https://webcatalog.lixil.co.jp/iportal/CatalogDetail.do?catalogID=15191910000&amp;categoryID=1630000&amp;designID=newinter&amp;method=initial_screen&amp;position=18&amp;type=mc&amp;volumeID=LXL13001</t>
        </is>
      </c>
    </row>
    <row r="531">
      <c r="A531" t="inlineStr">
        <is>
          <t>WG-SL-00528</t>
        </is>
      </c>
      <c r="B531" t="inlineStr">
        <is>
          <t>SZ-SL-001004</t>
        </is>
      </c>
      <c r="C531" t="inlineStr">
        <is>
          <t>WT-SL-MENKOSHI-AGE-FS</t>
        </is>
      </c>
      <c r="D531" t="inlineStr">
        <is>
          <t>SP-SL-AGE-GRILLE-V</t>
        </is>
      </c>
      <c r="E531" t="inlineStr">
        <is>
          <t>07409</t>
        </is>
      </c>
      <c r="F531" t="n">
        <v>0.78</v>
      </c>
      <c r="G531" t="n">
        <v>0.97</v>
      </c>
      <c r="H531" t="inlineStr">
        <is>
          <t>GL-SL-006</t>
        </is>
      </c>
      <c r="I531" t="n">
        <v>8</v>
      </c>
      <c r="J531" t="n">
        <v>10.4</v>
      </c>
      <c r="K531" t="n">
        <v>-0.605</v>
      </c>
      <c r="L531" t="n">
        <v>-1.332</v>
      </c>
      <c r="M531" t="n">
        <v>0.399</v>
      </c>
      <c r="N531">
        <f>ROUND(J531*F531*G531+K531*G531+L531*F531+M531,3)</f>
        <v/>
      </c>
      <c r="O531">
        <f>AND(N531&gt;=1.4,N531&lt;=13)</f>
        <v/>
      </c>
      <c r="P531">
        <f>IF(OR(N531&lt;1.4,N531&gt;13),"",IF(G531*1000&lt;=1170,IF(N531&lt;1.8,"1014",IF(N531&lt;2.9,"1018",IF(N531&lt;3.8,"1029",IF(N531&lt;5,"1038",IF(N531&lt;7,"1050",IF(N531&lt;9,"1070",IF(N531&lt;11,"1090","1110"))))))),IF(G531*1000&lt;=1570,IF(N531&lt;1.8,"",IF(N531&lt;2.9,"2018",IF(N531&lt;3.8,"2029",IF(N531&lt;5,"2038",IF(N531&lt;7,"2050",IF(N531&lt;9,"2070",IF(N531&lt;11,"2090","2110"))))))),IF(G531*1000&lt;=1700,IF(N531&lt;1.8,"",IF(N531&lt;2.9,"3018",IF(N531&lt;3.8,"3029",IF(N531&lt;5,"3038",IF(N531&lt;7,"3050",IF(N531&lt;9,"3070",IF(N531&lt;11,"3090","3110"))))))),""))))</f>
        <v/>
      </c>
      <c r="Q531">
        <f>AND(O531=TRUE,P531&lt;&gt;"")</f>
        <v/>
      </c>
      <c r="R531">
        <f>IF(G531*1000&lt;750,"なし","あり")</f>
        <v/>
      </c>
      <c r="S531">
        <f>IF(AND(O531=TRUE,Q531=TRUE),"設定可","BLOCK")</f>
        <v/>
      </c>
      <c r="T531" t="inlineStr">
        <is>
          <t>商品カタログ P194</t>
        </is>
      </c>
      <c r="U531" t="inlineStr">
        <is>
          <t>https://webcatalog.lixil.co.jp/iportal/CatalogDetail.do?catalogID=15191910000&amp;categoryID=1630000&amp;designID=newinter&amp;method=initial_screen&amp;position=18&amp;type=mc&amp;volumeID=LXL13001</t>
        </is>
      </c>
    </row>
    <row r="532">
      <c r="A532" t="inlineStr">
        <is>
          <t>WG-SL-00529</t>
        </is>
      </c>
      <c r="B532" t="inlineStr">
        <is>
          <t>SZ-SL-001004</t>
        </is>
      </c>
      <c r="C532" t="inlineStr">
        <is>
          <t>WT-SL-MENKOSHI-AGE-FS</t>
        </is>
      </c>
      <c r="D532" t="inlineStr">
        <is>
          <t>SP-SL-AGE-GRILLE-V</t>
        </is>
      </c>
      <c r="E532" t="inlineStr">
        <is>
          <t>07409</t>
        </is>
      </c>
      <c r="F532" t="n">
        <v>0.78</v>
      </c>
      <c r="G532" t="n">
        <v>0.97</v>
      </c>
      <c r="H532" t="inlineStr">
        <is>
          <t>GL-SL-007</t>
        </is>
      </c>
      <c r="I532" t="n">
        <v>6</v>
      </c>
      <c r="J532" t="n">
        <v>7.8</v>
      </c>
      <c r="K532" t="n">
        <v>-0.355</v>
      </c>
      <c r="L532" t="n">
        <v>-0.664</v>
      </c>
      <c r="M532" t="n">
        <v>0.335</v>
      </c>
      <c r="N532">
        <f>ROUND(J532*F532*G532+K532*G532+L532*F532+M532,3)</f>
        <v/>
      </c>
      <c r="O532">
        <f>AND(N532&gt;=1.4,N532&lt;=13)</f>
        <v/>
      </c>
      <c r="P532">
        <f>IF(OR(N532&lt;1.4,N532&gt;13),"",IF(G532*1000&lt;=1170,IF(N532&lt;1.8,"1014",IF(N532&lt;2.9,"1018",IF(N532&lt;3.8,"1029",IF(N532&lt;5,"1038",IF(N532&lt;7,"1050",IF(N532&lt;9,"1070",IF(N532&lt;11,"1090","1110"))))))),IF(G532*1000&lt;=1570,IF(N532&lt;1.8,"",IF(N532&lt;2.9,"2018",IF(N532&lt;3.8,"2029",IF(N532&lt;5,"2038",IF(N532&lt;7,"2050",IF(N532&lt;9,"2070",IF(N532&lt;11,"2090","2110"))))))),IF(G532*1000&lt;=1700,IF(N532&lt;1.8,"",IF(N532&lt;2.9,"3018",IF(N532&lt;3.8,"3029",IF(N532&lt;5,"3038",IF(N532&lt;7,"3050",IF(N532&lt;9,"3070",IF(N532&lt;11,"3090","3110"))))))),""))))</f>
        <v/>
      </c>
      <c r="Q532">
        <f>AND(O532=TRUE,P532&lt;&gt;"")</f>
        <v/>
      </c>
      <c r="R532">
        <f>IF(G532*1000&lt;750,"なし","あり")</f>
        <v/>
      </c>
      <c r="S532">
        <f>IF(AND(O532=TRUE,Q532=TRUE),"設定可","BLOCK")</f>
        <v/>
      </c>
      <c r="T532" t="inlineStr">
        <is>
          <t>商品カタログ P194</t>
        </is>
      </c>
      <c r="U532" t="inlineStr">
        <is>
          <t>https://webcatalog.lixil.co.jp/iportal/CatalogDetail.do?catalogID=15191910000&amp;categoryID=1630000&amp;designID=newinter&amp;method=initial_screen&amp;position=18&amp;type=mc&amp;volumeID=LXL13001</t>
        </is>
      </c>
    </row>
    <row r="533">
      <c r="A533" t="inlineStr">
        <is>
          <t>WG-SL-00530</t>
        </is>
      </c>
      <c r="B533" t="inlineStr">
        <is>
          <t>SZ-SL-001004</t>
        </is>
      </c>
      <c r="C533" t="inlineStr">
        <is>
          <t>WT-SL-MENKOSHI-AGE-FS</t>
        </is>
      </c>
      <c r="D533" t="inlineStr">
        <is>
          <t>SP-SL-AGE-GRILLE-V</t>
        </is>
      </c>
      <c r="E533" t="inlineStr">
        <is>
          <t>07409</t>
        </is>
      </c>
      <c r="F533" t="n">
        <v>0.78</v>
      </c>
      <c r="G533" t="n">
        <v>0.97</v>
      </c>
      <c r="H533" t="inlineStr">
        <is>
          <t>GL-SL-008</t>
        </is>
      </c>
      <c r="I533" t="n">
        <v>7</v>
      </c>
      <c r="J533" t="n">
        <v>9.1</v>
      </c>
      <c r="K533" t="n">
        <v>-0.48</v>
      </c>
      <c r="L533" t="n">
        <v>-0.998</v>
      </c>
      <c r="M533" t="n">
        <v>0.367</v>
      </c>
      <c r="N533">
        <f>ROUND(J533*F533*G533+K533*G533+L533*F533+M533,3)</f>
        <v/>
      </c>
      <c r="O533">
        <f>AND(N533&gt;=1.4,N533&lt;=13)</f>
        <v/>
      </c>
      <c r="P533">
        <f>IF(OR(N533&lt;1.4,N533&gt;13),"",IF(G533*1000&lt;=1170,IF(N533&lt;1.8,"1014",IF(N533&lt;2.9,"1018",IF(N533&lt;3.8,"1029",IF(N533&lt;5,"1038",IF(N533&lt;7,"1050",IF(N533&lt;9,"1070",IF(N533&lt;11,"1090","1110"))))))),IF(G533*1000&lt;=1570,IF(N533&lt;1.8,"",IF(N533&lt;2.9,"2018",IF(N533&lt;3.8,"2029",IF(N533&lt;5,"2038",IF(N533&lt;7,"2050",IF(N533&lt;9,"2070",IF(N533&lt;11,"2090","2110"))))))),IF(G533*1000&lt;=1700,IF(N533&lt;1.8,"",IF(N533&lt;2.9,"3018",IF(N533&lt;3.8,"3029",IF(N533&lt;5,"3038",IF(N533&lt;7,"3050",IF(N533&lt;9,"3070",IF(N533&lt;11,"3090","3110"))))))),""))))</f>
        <v/>
      </c>
      <c r="Q533">
        <f>AND(O533=TRUE,P533&lt;&gt;"")</f>
        <v/>
      </c>
      <c r="R533">
        <f>IF(G533*1000&lt;750,"なし","あり")</f>
        <v/>
      </c>
      <c r="S533">
        <f>IF(AND(O533=TRUE,Q533=TRUE),"設定可","BLOCK")</f>
        <v/>
      </c>
      <c r="T533" t="inlineStr">
        <is>
          <t>商品カタログ P194</t>
        </is>
      </c>
      <c r="U533" t="inlineStr">
        <is>
          <t>https://webcatalog.lixil.co.jp/iportal/CatalogDetail.do?catalogID=15191910000&amp;categoryID=1630000&amp;designID=newinter&amp;method=initial_screen&amp;position=18&amp;type=mc&amp;volumeID=LXL13001</t>
        </is>
      </c>
    </row>
    <row r="534">
      <c r="A534" t="inlineStr">
        <is>
          <t>WG-SL-00531</t>
        </is>
      </c>
      <c r="B534" t="inlineStr">
        <is>
          <t>SZ-SL-001004</t>
        </is>
      </c>
      <c r="C534" t="inlineStr">
        <is>
          <t>WT-SL-MENKOSHI-AGE-FS</t>
        </is>
      </c>
      <c r="D534" t="inlineStr">
        <is>
          <t>SP-SL-AGE-GRILLE-V</t>
        </is>
      </c>
      <c r="E534" t="inlineStr">
        <is>
          <t>07409</t>
        </is>
      </c>
      <c r="F534" t="n">
        <v>0.78</v>
      </c>
      <c r="G534" t="n">
        <v>0.97</v>
      </c>
      <c r="H534" t="inlineStr">
        <is>
          <t>GL-SL-009</t>
        </is>
      </c>
      <c r="I534" t="n">
        <v>8</v>
      </c>
      <c r="J534" t="n">
        <v>10.4</v>
      </c>
      <c r="K534" t="n">
        <v>-0.605</v>
      </c>
      <c r="L534" t="n">
        <v>-1.332</v>
      </c>
      <c r="M534" t="n">
        <v>0.399</v>
      </c>
      <c r="N534">
        <f>ROUND(J534*F534*G534+K534*G534+L534*F534+M534,3)</f>
        <v/>
      </c>
      <c r="O534">
        <f>AND(N534&gt;=1.4,N534&lt;=13)</f>
        <v/>
      </c>
      <c r="P534">
        <f>IF(OR(N534&lt;1.4,N534&gt;13),"",IF(G534*1000&lt;=1170,IF(N534&lt;1.8,"1014",IF(N534&lt;2.9,"1018",IF(N534&lt;3.8,"1029",IF(N534&lt;5,"1038",IF(N534&lt;7,"1050",IF(N534&lt;9,"1070",IF(N534&lt;11,"1090","1110"))))))),IF(G534*1000&lt;=1570,IF(N534&lt;1.8,"",IF(N534&lt;2.9,"2018",IF(N534&lt;3.8,"2029",IF(N534&lt;5,"2038",IF(N534&lt;7,"2050",IF(N534&lt;9,"2070",IF(N534&lt;11,"2090","2110"))))))),IF(G534*1000&lt;=1700,IF(N534&lt;1.8,"",IF(N534&lt;2.9,"3018",IF(N534&lt;3.8,"3029",IF(N534&lt;5,"3038",IF(N534&lt;7,"3050",IF(N534&lt;9,"3070",IF(N534&lt;11,"3090","3110"))))))),""))))</f>
        <v/>
      </c>
      <c r="Q534">
        <f>AND(O534=TRUE,P534&lt;&gt;"")</f>
        <v/>
      </c>
      <c r="R534">
        <f>IF(G534*1000&lt;750,"なし","あり")</f>
        <v/>
      </c>
      <c r="S534">
        <f>IF(AND(O534=TRUE,Q534=TRUE),"設定可","BLOCK")</f>
        <v/>
      </c>
      <c r="T534" t="inlineStr">
        <is>
          <t>商品カタログ P194</t>
        </is>
      </c>
      <c r="U534" t="inlineStr">
        <is>
          <t>https://webcatalog.lixil.co.jp/iportal/CatalogDetail.do?catalogID=15191910000&amp;categoryID=1630000&amp;designID=newinter&amp;method=initial_screen&amp;position=18&amp;type=mc&amp;volumeID=LXL13001</t>
        </is>
      </c>
    </row>
    <row r="535">
      <c r="A535" t="inlineStr">
        <is>
          <t>WG-SL-00532</t>
        </is>
      </c>
      <c r="B535" t="inlineStr">
        <is>
          <t>SZ-SL-001005</t>
        </is>
      </c>
      <c r="C535" t="inlineStr">
        <is>
          <t>WT-SL-MENKOSHI-AGE-FS</t>
        </is>
      </c>
      <c r="D535" t="inlineStr">
        <is>
          <t>SP-SL-AGE-GRILLE-DIA</t>
        </is>
      </c>
      <c r="E535" t="inlineStr">
        <is>
          <t>02611</t>
        </is>
      </c>
      <c r="F535" t="n">
        <v>0.3</v>
      </c>
      <c r="G535" t="n">
        <v>1.17</v>
      </c>
      <c r="H535" t="inlineStr">
        <is>
          <t>GL-SL-001</t>
        </is>
      </c>
      <c r="I535" t="n">
        <v>6</v>
      </c>
      <c r="J535" t="n">
        <v>7.8</v>
      </c>
      <c r="K535" t="n">
        <v>-0.355</v>
      </c>
      <c r="L535" t="n">
        <v>-0.664</v>
      </c>
      <c r="M535" t="n">
        <v>0.335</v>
      </c>
      <c r="N535">
        <f>ROUND(J535*F535*G535+K535*G535+L535*F535+M535,3)</f>
        <v/>
      </c>
      <c r="O535">
        <f>AND(N535&gt;=1.4,N535&lt;=13)</f>
        <v/>
      </c>
      <c r="P535">
        <f>IF(OR(N535&lt;1.4,N535&gt;13),"",IF(G535*1000&lt;=1170,IF(N535&lt;1.8,"1014",IF(N535&lt;2.9,"1018",IF(N535&lt;3.8,"1029",IF(N535&lt;5,"1038",IF(N535&lt;7,"1050",IF(N535&lt;9,"1070",IF(N535&lt;11,"1090","1110"))))))),IF(G535*1000&lt;=1570,IF(N535&lt;1.8,"",IF(N535&lt;2.9,"2018",IF(N535&lt;3.8,"2029",IF(N535&lt;5,"2038",IF(N535&lt;7,"2050",IF(N535&lt;9,"2070",IF(N535&lt;11,"2090","2110"))))))),IF(G535*1000&lt;=1700,IF(N535&lt;1.8,"",IF(N535&lt;2.9,"3018",IF(N535&lt;3.8,"3029",IF(N535&lt;5,"3038",IF(N535&lt;7,"3050",IF(N535&lt;9,"3070",IF(N535&lt;11,"3090","3110"))))))),""))))</f>
        <v/>
      </c>
      <c r="Q535">
        <f>AND(O535=TRUE,P535&lt;&gt;"")</f>
        <v/>
      </c>
      <c r="R535">
        <f>IF(G535*1000&lt;750,"なし","あり")</f>
        <v/>
      </c>
      <c r="S535">
        <f>IF(AND(O535=TRUE,Q535=TRUE),"設定可","BLOCK")</f>
        <v/>
      </c>
      <c r="T535" t="inlineStr">
        <is>
          <t>商品カタログ P194</t>
        </is>
      </c>
      <c r="U535" t="inlineStr">
        <is>
          <t>https://webcatalog.lixil.co.jp/iportal/CatalogDetail.do?catalogID=15191910000&amp;categoryID=1630000&amp;designID=newinter&amp;method=initial_screen&amp;position=18&amp;type=mc&amp;volumeID=LXL13001</t>
        </is>
      </c>
    </row>
    <row r="536">
      <c r="A536" t="inlineStr">
        <is>
          <t>WG-SL-00533</t>
        </is>
      </c>
      <c r="B536" t="inlineStr">
        <is>
          <t>SZ-SL-001005</t>
        </is>
      </c>
      <c r="C536" t="inlineStr">
        <is>
          <t>WT-SL-MENKOSHI-AGE-FS</t>
        </is>
      </c>
      <c r="D536" t="inlineStr">
        <is>
          <t>SP-SL-AGE-GRILLE-DIA</t>
        </is>
      </c>
      <c r="E536" t="inlineStr">
        <is>
          <t>02611</t>
        </is>
      </c>
      <c r="F536" t="n">
        <v>0.3</v>
      </c>
      <c r="G536" t="n">
        <v>1.17</v>
      </c>
      <c r="H536" t="inlineStr">
        <is>
          <t>GL-SL-002</t>
        </is>
      </c>
      <c r="I536" t="n">
        <v>7</v>
      </c>
      <c r="J536" t="n">
        <v>9.1</v>
      </c>
      <c r="K536" t="n">
        <v>-0.48</v>
      </c>
      <c r="L536" t="n">
        <v>-0.998</v>
      </c>
      <c r="M536" t="n">
        <v>0.367</v>
      </c>
      <c r="N536">
        <f>ROUND(J536*F536*G536+K536*G536+L536*F536+M536,3)</f>
        <v/>
      </c>
      <c r="O536">
        <f>AND(N536&gt;=1.4,N536&lt;=13)</f>
        <v/>
      </c>
      <c r="P536">
        <f>IF(OR(N536&lt;1.4,N536&gt;13),"",IF(G536*1000&lt;=1170,IF(N536&lt;1.8,"1014",IF(N536&lt;2.9,"1018",IF(N536&lt;3.8,"1029",IF(N536&lt;5,"1038",IF(N536&lt;7,"1050",IF(N536&lt;9,"1070",IF(N536&lt;11,"1090","1110"))))))),IF(G536*1000&lt;=1570,IF(N536&lt;1.8,"",IF(N536&lt;2.9,"2018",IF(N536&lt;3.8,"2029",IF(N536&lt;5,"2038",IF(N536&lt;7,"2050",IF(N536&lt;9,"2070",IF(N536&lt;11,"2090","2110"))))))),IF(G536*1000&lt;=1700,IF(N536&lt;1.8,"",IF(N536&lt;2.9,"3018",IF(N536&lt;3.8,"3029",IF(N536&lt;5,"3038",IF(N536&lt;7,"3050",IF(N536&lt;9,"3070",IF(N536&lt;11,"3090","3110"))))))),""))))</f>
        <v/>
      </c>
      <c r="Q536">
        <f>AND(O536=TRUE,P536&lt;&gt;"")</f>
        <v/>
      </c>
      <c r="R536">
        <f>IF(G536*1000&lt;750,"なし","あり")</f>
        <v/>
      </c>
      <c r="S536">
        <f>IF(AND(O536=TRUE,Q536=TRUE),"設定可","BLOCK")</f>
        <v/>
      </c>
      <c r="T536" t="inlineStr">
        <is>
          <t>商品カタログ P194</t>
        </is>
      </c>
      <c r="U536" t="inlineStr">
        <is>
          <t>https://webcatalog.lixil.co.jp/iportal/CatalogDetail.do?catalogID=15191910000&amp;categoryID=1630000&amp;designID=newinter&amp;method=initial_screen&amp;position=18&amp;type=mc&amp;volumeID=LXL13001</t>
        </is>
      </c>
    </row>
    <row r="537">
      <c r="A537" t="inlineStr">
        <is>
          <t>WG-SL-00534</t>
        </is>
      </c>
      <c r="B537" t="inlineStr">
        <is>
          <t>SZ-SL-001005</t>
        </is>
      </c>
      <c r="C537" t="inlineStr">
        <is>
          <t>WT-SL-MENKOSHI-AGE-FS</t>
        </is>
      </c>
      <c r="D537" t="inlineStr">
        <is>
          <t>SP-SL-AGE-GRILLE-DIA</t>
        </is>
      </c>
      <c r="E537" t="inlineStr">
        <is>
          <t>02611</t>
        </is>
      </c>
      <c r="F537" t="n">
        <v>0.3</v>
      </c>
      <c r="G537" t="n">
        <v>1.17</v>
      </c>
      <c r="H537" t="inlineStr">
        <is>
          <t>GL-SL-003</t>
        </is>
      </c>
      <c r="I537" t="n">
        <v>8</v>
      </c>
      <c r="J537" t="n">
        <v>10.4</v>
      </c>
      <c r="K537" t="n">
        <v>-0.605</v>
      </c>
      <c r="L537" t="n">
        <v>-1.332</v>
      </c>
      <c r="M537" t="n">
        <v>0.399</v>
      </c>
      <c r="N537">
        <f>ROUND(J537*F537*G537+K537*G537+L537*F537+M537,3)</f>
        <v/>
      </c>
      <c r="O537">
        <f>AND(N537&gt;=1.4,N537&lt;=13)</f>
        <v/>
      </c>
      <c r="P537">
        <f>IF(OR(N537&lt;1.4,N537&gt;13),"",IF(G537*1000&lt;=1170,IF(N537&lt;1.8,"1014",IF(N537&lt;2.9,"1018",IF(N537&lt;3.8,"1029",IF(N537&lt;5,"1038",IF(N537&lt;7,"1050",IF(N537&lt;9,"1070",IF(N537&lt;11,"1090","1110"))))))),IF(G537*1000&lt;=1570,IF(N537&lt;1.8,"",IF(N537&lt;2.9,"2018",IF(N537&lt;3.8,"2029",IF(N537&lt;5,"2038",IF(N537&lt;7,"2050",IF(N537&lt;9,"2070",IF(N537&lt;11,"2090","2110"))))))),IF(G537*1000&lt;=1700,IF(N537&lt;1.8,"",IF(N537&lt;2.9,"3018",IF(N537&lt;3.8,"3029",IF(N537&lt;5,"3038",IF(N537&lt;7,"3050",IF(N537&lt;9,"3070",IF(N537&lt;11,"3090","3110"))))))),""))))</f>
        <v/>
      </c>
      <c r="Q537">
        <f>AND(O537=TRUE,P537&lt;&gt;"")</f>
        <v/>
      </c>
      <c r="R537">
        <f>IF(G537*1000&lt;750,"なし","あり")</f>
        <v/>
      </c>
      <c r="S537">
        <f>IF(AND(O537=TRUE,Q537=TRUE),"設定可","BLOCK")</f>
        <v/>
      </c>
      <c r="T537" t="inlineStr">
        <is>
          <t>商品カタログ P194</t>
        </is>
      </c>
      <c r="U537" t="inlineStr">
        <is>
          <t>https://webcatalog.lixil.co.jp/iportal/CatalogDetail.do?catalogID=15191910000&amp;categoryID=1630000&amp;designID=newinter&amp;method=initial_screen&amp;position=18&amp;type=mc&amp;volumeID=LXL13001</t>
        </is>
      </c>
    </row>
    <row r="538">
      <c r="A538" t="inlineStr">
        <is>
          <t>WG-SL-00535</t>
        </is>
      </c>
      <c r="B538" t="inlineStr">
        <is>
          <t>SZ-SL-001005</t>
        </is>
      </c>
      <c r="C538" t="inlineStr">
        <is>
          <t>WT-SL-MENKOSHI-AGE-FS</t>
        </is>
      </c>
      <c r="D538" t="inlineStr">
        <is>
          <t>SP-SL-AGE-GRILLE-DIA</t>
        </is>
      </c>
      <c r="E538" t="inlineStr">
        <is>
          <t>02611</t>
        </is>
      </c>
      <c r="F538" t="n">
        <v>0.3</v>
      </c>
      <c r="G538" t="n">
        <v>1.17</v>
      </c>
      <c r="H538" t="inlineStr">
        <is>
          <t>GL-SL-004</t>
        </is>
      </c>
      <c r="I538" t="n">
        <v>6</v>
      </c>
      <c r="J538" t="n">
        <v>7.8</v>
      </c>
      <c r="K538" t="n">
        <v>-0.355</v>
      </c>
      <c r="L538" t="n">
        <v>-0.664</v>
      </c>
      <c r="M538" t="n">
        <v>0.335</v>
      </c>
      <c r="N538">
        <f>ROUND(J538*F538*G538+K538*G538+L538*F538+M538,3)</f>
        <v/>
      </c>
      <c r="O538">
        <f>AND(N538&gt;=1.4,N538&lt;=13)</f>
        <v/>
      </c>
      <c r="P538">
        <f>IF(OR(N538&lt;1.4,N538&gt;13),"",IF(G538*1000&lt;=1170,IF(N538&lt;1.8,"1014",IF(N538&lt;2.9,"1018",IF(N538&lt;3.8,"1029",IF(N538&lt;5,"1038",IF(N538&lt;7,"1050",IF(N538&lt;9,"1070",IF(N538&lt;11,"1090","1110"))))))),IF(G538*1000&lt;=1570,IF(N538&lt;1.8,"",IF(N538&lt;2.9,"2018",IF(N538&lt;3.8,"2029",IF(N538&lt;5,"2038",IF(N538&lt;7,"2050",IF(N538&lt;9,"2070",IF(N538&lt;11,"2090","2110"))))))),IF(G538*1000&lt;=1700,IF(N538&lt;1.8,"",IF(N538&lt;2.9,"3018",IF(N538&lt;3.8,"3029",IF(N538&lt;5,"3038",IF(N538&lt;7,"3050",IF(N538&lt;9,"3070",IF(N538&lt;11,"3090","3110"))))))),""))))</f>
        <v/>
      </c>
      <c r="Q538">
        <f>AND(O538=TRUE,P538&lt;&gt;"")</f>
        <v/>
      </c>
      <c r="R538">
        <f>IF(G538*1000&lt;750,"なし","あり")</f>
        <v/>
      </c>
      <c r="S538">
        <f>IF(AND(O538=TRUE,Q538=TRUE),"設定可","BLOCK")</f>
        <v/>
      </c>
      <c r="T538" t="inlineStr">
        <is>
          <t>商品カタログ P194</t>
        </is>
      </c>
      <c r="U538" t="inlineStr">
        <is>
          <t>https://webcatalog.lixil.co.jp/iportal/CatalogDetail.do?catalogID=15191910000&amp;categoryID=1630000&amp;designID=newinter&amp;method=initial_screen&amp;position=18&amp;type=mc&amp;volumeID=LXL13001</t>
        </is>
      </c>
    </row>
    <row r="539">
      <c r="A539" t="inlineStr">
        <is>
          <t>WG-SL-00536</t>
        </is>
      </c>
      <c r="B539" t="inlineStr">
        <is>
          <t>SZ-SL-001005</t>
        </is>
      </c>
      <c r="C539" t="inlineStr">
        <is>
          <t>WT-SL-MENKOSHI-AGE-FS</t>
        </is>
      </c>
      <c r="D539" t="inlineStr">
        <is>
          <t>SP-SL-AGE-GRILLE-DIA</t>
        </is>
      </c>
      <c r="E539" t="inlineStr">
        <is>
          <t>02611</t>
        </is>
      </c>
      <c r="F539" t="n">
        <v>0.3</v>
      </c>
      <c r="G539" t="n">
        <v>1.17</v>
      </c>
      <c r="H539" t="inlineStr">
        <is>
          <t>GL-SL-005</t>
        </is>
      </c>
      <c r="I539" t="n">
        <v>7</v>
      </c>
      <c r="J539" t="n">
        <v>9.1</v>
      </c>
      <c r="K539" t="n">
        <v>-0.48</v>
      </c>
      <c r="L539" t="n">
        <v>-0.998</v>
      </c>
      <c r="M539" t="n">
        <v>0.367</v>
      </c>
      <c r="N539">
        <f>ROUND(J539*F539*G539+K539*G539+L539*F539+M539,3)</f>
        <v/>
      </c>
      <c r="O539">
        <f>AND(N539&gt;=1.4,N539&lt;=13)</f>
        <v/>
      </c>
      <c r="P539">
        <f>IF(OR(N539&lt;1.4,N539&gt;13),"",IF(G539*1000&lt;=1170,IF(N539&lt;1.8,"1014",IF(N539&lt;2.9,"1018",IF(N539&lt;3.8,"1029",IF(N539&lt;5,"1038",IF(N539&lt;7,"1050",IF(N539&lt;9,"1070",IF(N539&lt;11,"1090","1110"))))))),IF(G539*1000&lt;=1570,IF(N539&lt;1.8,"",IF(N539&lt;2.9,"2018",IF(N539&lt;3.8,"2029",IF(N539&lt;5,"2038",IF(N539&lt;7,"2050",IF(N539&lt;9,"2070",IF(N539&lt;11,"2090","2110"))))))),IF(G539*1000&lt;=1700,IF(N539&lt;1.8,"",IF(N539&lt;2.9,"3018",IF(N539&lt;3.8,"3029",IF(N539&lt;5,"3038",IF(N539&lt;7,"3050",IF(N539&lt;9,"3070",IF(N539&lt;11,"3090","3110"))))))),""))))</f>
        <v/>
      </c>
      <c r="Q539">
        <f>AND(O539=TRUE,P539&lt;&gt;"")</f>
        <v/>
      </c>
      <c r="R539">
        <f>IF(G539*1000&lt;750,"なし","あり")</f>
        <v/>
      </c>
      <c r="S539">
        <f>IF(AND(O539=TRUE,Q539=TRUE),"設定可","BLOCK")</f>
        <v/>
      </c>
      <c r="T539" t="inlineStr">
        <is>
          <t>商品カタログ P194</t>
        </is>
      </c>
      <c r="U539" t="inlineStr">
        <is>
          <t>https://webcatalog.lixil.co.jp/iportal/CatalogDetail.do?catalogID=15191910000&amp;categoryID=1630000&amp;designID=newinter&amp;method=initial_screen&amp;position=18&amp;type=mc&amp;volumeID=LXL13001</t>
        </is>
      </c>
    </row>
    <row r="540">
      <c r="A540" t="inlineStr">
        <is>
          <t>WG-SL-00537</t>
        </is>
      </c>
      <c r="B540" t="inlineStr">
        <is>
          <t>SZ-SL-001005</t>
        </is>
      </c>
      <c r="C540" t="inlineStr">
        <is>
          <t>WT-SL-MENKOSHI-AGE-FS</t>
        </is>
      </c>
      <c r="D540" t="inlineStr">
        <is>
          <t>SP-SL-AGE-GRILLE-DIA</t>
        </is>
      </c>
      <c r="E540" t="inlineStr">
        <is>
          <t>02611</t>
        </is>
      </c>
      <c r="F540" t="n">
        <v>0.3</v>
      </c>
      <c r="G540" t="n">
        <v>1.17</v>
      </c>
      <c r="H540" t="inlineStr">
        <is>
          <t>GL-SL-006</t>
        </is>
      </c>
      <c r="I540" t="n">
        <v>8</v>
      </c>
      <c r="J540" t="n">
        <v>10.4</v>
      </c>
      <c r="K540" t="n">
        <v>-0.605</v>
      </c>
      <c r="L540" t="n">
        <v>-1.332</v>
      </c>
      <c r="M540" t="n">
        <v>0.399</v>
      </c>
      <c r="N540">
        <f>ROUND(J540*F540*G540+K540*G540+L540*F540+M540,3)</f>
        <v/>
      </c>
      <c r="O540">
        <f>AND(N540&gt;=1.4,N540&lt;=13)</f>
        <v/>
      </c>
      <c r="P540">
        <f>IF(OR(N540&lt;1.4,N540&gt;13),"",IF(G540*1000&lt;=1170,IF(N540&lt;1.8,"1014",IF(N540&lt;2.9,"1018",IF(N540&lt;3.8,"1029",IF(N540&lt;5,"1038",IF(N540&lt;7,"1050",IF(N540&lt;9,"1070",IF(N540&lt;11,"1090","1110"))))))),IF(G540*1000&lt;=1570,IF(N540&lt;1.8,"",IF(N540&lt;2.9,"2018",IF(N540&lt;3.8,"2029",IF(N540&lt;5,"2038",IF(N540&lt;7,"2050",IF(N540&lt;9,"2070",IF(N540&lt;11,"2090","2110"))))))),IF(G540*1000&lt;=1700,IF(N540&lt;1.8,"",IF(N540&lt;2.9,"3018",IF(N540&lt;3.8,"3029",IF(N540&lt;5,"3038",IF(N540&lt;7,"3050",IF(N540&lt;9,"3070",IF(N540&lt;11,"3090","3110"))))))),""))))</f>
        <v/>
      </c>
      <c r="Q540">
        <f>AND(O540=TRUE,P540&lt;&gt;"")</f>
        <v/>
      </c>
      <c r="R540">
        <f>IF(G540*1000&lt;750,"なし","あり")</f>
        <v/>
      </c>
      <c r="S540">
        <f>IF(AND(O540=TRUE,Q540=TRUE),"設定可","BLOCK")</f>
        <v/>
      </c>
      <c r="T540" t="inlineStr">
        <is>
          <t>商品カタログ P194</t>
        </is>
      </c>
      <c r="U540" t="inlineStr">
        <is>
          <t>https://webcatalog.lixil.co.jp/iportal/CatalogDetail.do?catalogID=15191910000&amp;categoryID=1630000&amp;designID=newinter&amp;method=initial_screen&amp;position=18&amp;type=mc&amp;volumeID=LXL13001</t>
        </is>
      </c>
    </row>
    <row r="541">
      <c r="A541" t="inlineStr">
        <is>
          <t>WG-SL-00538</t>
        </is>
      </c>
      <c r="B541" t="inlineStr">
        <is>
          <t>SZ-SL-001005</t>
        </is>
      </c>
      <c r="C541" t="inlineStr">
        <is>
          <t>WT-SL-MENKOSHI-AGE-FS</t>
        </is>
      </c>
      <c r="D541" t="inlineStr">
        <is>
          <t>SP-SL-AGE-GRILLE-DIA</t>
        </is>
      </c>
      <c r="E541" t="inlineStr">
        <is>
          <t>02611</t>
        </is>
      </c>
      <c r="F541" t="n">
        <v>0.3</v>
      </c>
      <c r="G541" t="n">
        <v>1.17</v>
      </c>
      <c r="H541" t="inlineStr">
        <is>
          <t>GL-SL-007</t>
        </is>
      </c>
      <c r="I541" t="n">
        <v>6</v>
      </c>
      <c r="J541" t="n">
        <v>7.8</v>
      </c>
      <c r="K541" t="n">
        <v>-0.355</v>
      </c>
      <c r="L541" t="n">
        <v>-0.664</v>
      </c>
      <c r="M541" t="n">
        <v>0.335</v>
      </c>
      <c r="N541">
        <f>ROUND(J541*F541*G541+K541*G541+L541*F541+M541,3)</f>
        <v/>
      </c>
      <c r="O541">
        <f>AND(N541&gt;=1.4,N541&lt;=13)</f>
        <v/>
      </c>
      <c r="P541">
        <f>IF(OR(N541&lt;1.4,N541&gt;13),"",IF(G541*1000&lt;=1170,IF(N541&lt;1.8,"1014",IF(N541&lt;2.9,"1018",IF(N541&lt;3.8,"1029",IF(N541&lt;5,"1038",IF(N541&lt;7,"1050",IF(N541&lt;9,"1070",IF(N541&lt;11,"1090","1110"))))))),IF(G541*1000&lt;=1570,IF(N541&lt;1.8,"",IF(N541&lt;2.9,"2018",IF(N541&lt;3.8,"2029",IF(N541&lt;5,"2038",IF(N541&lt;7,"2050",IF(N541&lt;9,"2070",IF(N541&lt;11,"2090","2110"))))))),IF(G541*1000&lt;=1700,IF(N541&lt;1.8,"",IF(N541&lt;2.9,"3018",IF(N541&lt;3.8,"3029",IF(N541&lt;5,"3038",IF(N541&lt;7,"3050",IF(N541&lt;9,"3070",IF(N541&lt;11,"3090","3110"))))))),""))))</f>
        <v/>
      </c>
      <c r="Q541">
        <f>AND(O541=TRUE,P541&lt;&gt;"")</f>
        <v/>
      </c>
      <c r="R541">
        <f>IF(G541*1000&lt;750,"なし","あり")</f>
        <v/>
      </c>
      <c r="S541">
        <f>IF(AND(O541=TRUE,Q541=TRUE),"設定可","BLOCK")</f>
        <v/>
      </c>
      <c r="T541" t="inlineStr">
        <is>
          <t>商品カタログ P194</t>
        </is>
      </c>
      <c r="U541" t="inlineStr">
        <is>
          <t>https://webcatalog.lixil.co.jp/iportal/CatalogDetail.do?catalogID=15191910000&amp;categoryID=1630000&amp;designID=newinter&amp;method=initial_screen&amp;position=18&amp;type=mc&amp;volumeID=LXL13001</t>
        </is>
      </c>
    </row>
    <row r="542">
      <c r="A542" t="inlineStr">
        <is>
          <t>WG-SL-00539</t>
        </is>
      </c>
      <c r="B542" t="inlineStr">
        <is>
          <t>SZ-SL-001005</t>
        </is>
      </c>
      <c r="C542" t="inlineStr">
        <is>
          <t>WT-SL-MENKOSHI-AGE-FS</t>
        </is>
      </c>
      <c r="D542" t="inlineStr">
        <is>
          <t>SP-SL-AGE-GRILLE-DIA</t>
        </is>
      </c>
      <c r="E542" t="inlineStr">
        <is>
          <t>02611</t>
        </is>
      </c>
      <c r="F542" t="n">
        <v>0.3</v>
      </c>
      <c r="G542" t="n">
        <v>1.17</v>
      </c>
      <c r="H542" t="inlineStr">
        <is>
          <t>GL-SL-008</t>
        </is>
      </c>
      <c r="I542" t="n">
        <v>7</v>
      </c>
      <c r="J542" t="n">
        <v>9.1</v>
      </c>
      <c r="K542" t="n">
        <v>-0.48</v>
      </c>
      <c r="L542" t="n">
        <v>-0.998</v>
      </c>
      <c r="M542" t="n">
        <v>0.367</v>
      </c>
      <c r="N542">
        <f>ROUND(J542*F542*G542+K542*G542+L542*F542+M542,3)</f>
        <v/>
      </c>
      <c r="O542">
        <f>AND(N542&gt;=1.4,N542&lt;=13)</f>
        <v/>
      </c>
      <c r="P542">
        <f>IF(OR(N542&lt;1.4,N542&gt;13),"",IF(G542*1000&lt;=1170,IF(N542&lt;1.8,"1014",IF(N542&lt;2.9,"1018",IF(N542&lt;3.8,"1029",IF(N542&lt;5,"1038",IF(N542&lt;7,"1050",IF(N542&lt;9,"1070",IF(N542&lt;11,"1090","1110"))))))),IF(G542*1000&lt;=1570,IF(N542&lt;1.8,"",IF(N542&lt;2.9,"2018",IF(N542&lt;3.8,"2029",IF(N542&lt;5,"2038",IF(N542&lt;7,"2050",IF(N542&lt;9,"2070",IF(N542&lt;11,"2090","2110"))))))),IF(G542*1000&lt;=1700,IF(N542&lt;1.8,"",IF(N542&lt;2.9,"3018",IF(N542&lt;3.8,"3029",IF(N542&lt;5,"3038",IF(N542&lt;7,"3050",IF(N542&lt;9,"3070",IF(N542&lt;11,"3090","3110"))))))),""))))</f>
        <v/>
      </c>
      <c r="Q542">
        <f>AND(O542=TRUE,P542&lt;&gt;"")</f>
        <v/>
      </c>
      <c r="R542">
        <f>IF(G542*1000&lt;750,"なし","あり")</f>
        <v/>
      </c>
      <c r="S542">
        <f>IF(AND(O542=TRUE,Q542=TRUE),"設定可","BLOCK")</f>
        <v/>
      </c>
      <c r="T542" t="inlineStr">
        <is>
          <t>商品カタログ P194</t>
        </is>
      </c>
      <c r="U542" t="inlineStr">
        <is>
          <t>https://webcatalog.lixil.co.jp/iportal/CatalogDetail.do?catalogID=15191910000&amp;categoryID=1630000&amp;designID=newinter&amp;method=initial_screen&amp;position=18&amp;type=mc&amp;volumeID=LXL13001</t>
        </is>
      </c>
    </row>
    <row r="543">
      <c r="A543" t="inlineStr">
        <is>
          <t>WG-SL-00540</t>
        </is>
      </c>
      <c r="B543" t="inlineStr">
        <is>
          <t>SZ-SL-001005</t>
        </is>
      </c>
      <c r="C543" t="inlineStr">
        <is>
          <t>WT-SL-MENKOSHI-AGE-FS</t>
        </is>
      </c>
      <c r="D543" t="inlineStr">
        <is>
          <t>SP-SL-AGE-GRILLE-DIA</t>
        </is>
      </c>
      <c r="E543" t="inlineStr">
        <is>
          <t>02611</t>
        </is>
      </c>
      <c r="F543" t="n">
        <v>0.3</v>
      </c>
      <c r="G543" t="n">
        <v>1.17</v>
      </c>
      <c r="H543" t="inlineStr">
        <is>
          <t>GL-SL-009</t>
        </is>
      </c>
      <c r="I543" t="n">
        <v>8</v>
      </c>
      <c r="J543" t="n">
        <v>10.4</v>
      </c>
      <c r="K543" t="n">
        <v>-0.605</v>
      </c>
      <c r="L543" t="n">
        <v>-1.332</v>
      </c>
      <c r="M543" t="n">
        <v>0.399</v>
      </c>
      <c r="N543">
        <f>ROUND(J543*F543*G543+K543*G543+L543*F543+M543,3)</f>
        <v/>
      </c>
      <c r="O543">
        <f>AND(N543&gt;=1.4,N543&lt;=13)</f>
        <v/>
      </c>
      <c r="P543">
        <f>IF(OR(N543&lt;1.4,N543&gt;13),"",IF(G543*1000&lt;=1170,IF(N543&lt;1.8,"1014",IF(N543&lt;2.9,"1018",IF(N543&lt;3.8,"1029",IF(N543&lt;5,"1038",IF(N543&lt;7,"1050",IF(N543&lt;9,"1070",IF(N543&lt;11,"1090","1110"))))))),IF(G543*1000&lt;=1570,IF(N543&lt;1.8,"",IF(N543&lt;2.9,"2018",IF(N543&lt;3.8,"2029",IF(N543&lt;5,"2038",IF(N543&lt;7,"2050",IF(N543&lt;9,"2070",IF(N543&lt;11,"2090","2110"))))))),IF(G543*1000&lt;=1700,IF(N543&lt;1.8,"",IF(N543&lt;2.9,"3018",IF(N543&lt;3.8,"3029",IF(N543&lt;5,"3038",IF(N543&lt;7,"3050",IF(N543&lt;9,"3070",IF(N543&lt;11,"3090","3110"))))))),""))))</f>
        <v/>
      </c>
      <c r="Q543">
        <f>AND(O543=TRUE,P543&lt;&gt;"")</f>
        <v/>
      </c>
      <c r="R543">
        <f>IF(G543*1000&lt;750,"なし","あり")</f>
        <v/>
      </c>
      <c r="S543">
        <f>IF(AND(O543=TRUE,Q543=TRUE),"設定可","BLOCK")</f>
        <v/>
      </c>
      <c r="T543" t="inlineStr">
        <is>
          <t>商品カタログ P194</t>
        </is>
      </c>
      <c r="U543" t="inlineStr">
        <is>
          <t>https://webcatalog.lixil.co.jp/iportal/CatalogDetail.do?catalogID=15191910000&amp;categoryID=1630000&amp;designID=newinter&amp;method=initial_screen&amp;position=18&amp;type=mc&amp;volumeID=LXL13001</t>
        </is>
      </c>
    </row>
    <row r="544">
      <c r="A544" t="inlineStr">
        <is>
          <t>WG-SL-00541</t>
        </is>
      </c>
      <c r="B544" t="inlineStr">
        <is>
          <t>SZ-SL-001006</t>
        </is>
      </c>
      <c r="C544" t="inlineStr">
        <is>
          <t>WT-SL-MENKOSHI-AGE-FS</t>
        </is>
      </c>
      <c r="D544" t="inlineStr">
        <is>
          <t>SP-SL-AGE-GRILLE-DIA</t>
        </is>
      </c>
      <c r="E544" t="inlineStr">
        <is>
          <t>03611</t>
        </is>
      </c>
      <c r="F544" t="n">
        <v>0.405</v>
      </c>
      <c r="G544" t="n">
        <v>1.17</v>
      </c>
      <c r="H544" t="inlineStr">
        <is>
          <t>GL-SL-001</t>
        </is>
      </c>
      <c r="I544" t="n">
        <v>6</v>
      </c>
      <c r="J544" t="n">
        <v>7.8</v>
      </c>
      <c r="K544" t="n">
        <v>-0.355</v>
      </c>
      <c r="L544" t="n">
        <v>-0.664</v>
      </c>
      <c r="M544" t="n">
        <v>0.335</v>
      </c>
      <c r="N544">
        <f>ROUND(J544*F544*G544+K544*G544+L544*F544+M544,3)</f>
        <v/>
      </c>
      <c r="O544">
        <f>AND(N544&gt;=1.4,N544&lt;=13)</f>
        <v/>
      </c>
      <c r="P544">
        <f>IF(OR(N544&lt;1.4,N544&gt;13),"",IF(G544*1000&lt;=1170,IF(N544&lt;1.8,"1014",IF(N544&lt;2.9,"1018",IF(N544&lt;3.8,"1029",IF(N544&lt;5,"1038",IF(N544&lt;7,"1050",IF(N544&lt;9,"1070",IF(N544&lt;11,"1090","1110"))))))),IF(G544*1000&lt;=1570,IF(N544&lt;1.8,"",IF(N544&lt;2.9,"2018",IF(N544&lt;3.8,"2029",IF(N544&lt;5,"2038",IF(N544&lt;7,"2050",IF(N544&lt;9,"2070",IF(N544&lt;11,"2090","2110"))))))),IF(G544*1000&lt;=1700,IF(N544&lt;1.8,"",IF(N544&lt;2.9,"3018",IF(N544&lt;3.8,"3029",IF(N544&lt;5,"3038",IF(N544&lt;7,"3050",IF(N544&lt;9,"3070",IF(N544&lt;11,"3090","3110"))))))),""))))</f>
        <v/>
      </c>
      <c r="Q544">
        <f>AND(O544=TRUE,P544&lt;&gt;"")</f>
        <v/>
      </c>
      <c r="R544">
        <f>IF(G544*1000&lt;750,"なし","あり")</f>
        <v/>
      </c>
      <c r="S544">
        <f>IF(AND(O544=TRUE,Q544=TRUE),"設定可","BLOCK")</f>
        <v/>
      </c>
      <c r="T544" t="inlineStr">
        <is>
          <t>商品カタログ P194</t>
        </is>
      </c>
      <c r="U544" t="inlineStr">
        <is>
          <t>https://webcatalog.lixil.co.jp/iportal/CatalogDetail.do?catalogID=15191910000&amp;categoryID=1630000&amp;designID=newinter&amp;method=initial_screen&amp;position=18&amp;type=mc&amp;volumeID=LXL13001</t>
        </is>
      </c>
    </row>
    <row r="545">
      <c r="A545" t="inlineStr">
        <is>
          <t>WG-SL-00542</t>
        </is>
      </c>
      <c r="B545" t="inlineStr">
        <is>
          <t>SZ-SL-001006</t>
        </is>
      </c>
      <c r="C545" t="inlineStr">
        <is>
          <t>WT-SL-MENKOSHI-AGE-FS</t>
        </is>
      </c>
      <c r="D545" t="inlineStr">
        <is>
          <t>SP-SL-AGE-GRILLE-DIA</t>
        </is>
      </c>
      <c r="E545" t="inlineStr">
        <is>
          <t>03611</t>
        </is>
      </c>
      <c r="F545" t="n">
        <v>0.405</v>
      </c>
      <c r="G545" t="n">
        <v>1.17</v>
      </c>
      <c r="H545" t="inlineStr">
        <is>
          <t>GL-SL-002</t>
        </is>
      </c>
      <c r="I545" t="n">
        <v>7</v>
      </c>
      <c r="J545" t="n">
        <v>9.1</v>
      </c>
      <c r="K545" t="n">
        <v>-0.48</v>
      </c>
      <c r="L545" t="n">
        <v>-0.998</v>
      </c>
      <c r="M545" t="n">
        <v>0.367</v>
      </c>
      <c r="N545">
        <f>ROUND(J545*F545*G545+K545*G545+L545*F545+M545,3)</f>
        <v/>
      </c>
      <c r="O545">
        <f>AND(N545&gt;=1.4,N545&lt;=13)</f>
        <v/>
      </c>
      <c r="P545">
        <f>IF(OR(N545&lt;1.4,N545&gt;13),"",IF(G545*1000&lt;=1170,IF(N545&lt;1.8,"1014",IF(N545&lt;2.9,"1018",IF(N545&lt;3.8,"1029",IF(N545&lt;5,"1038",IF(N545&lt;7,"1050",IF(N545&lt;9,"1070",IF(N545&lt;11,"1090","1110"))))))),IF(G545*1000&lt;=1570,IF(N545&lt;1.8,"",IF(N545&lt;2.9,"2018",IF(N545&lt;3.8,"2029",IF(N545&lt;5,"2038",IF(N545&lt;7,"2050",IF(N545&lt;9,"2070",IF(N545&lt;11,"2090","2110"))))))),IF(G545*1000&lt;=1700,IF(N545&lt;1.8,"",IF(N545&lt;2.9,"3018",IF(N545&lt;3.8,"3029",IF(N545&lt;5,"3038",IF(N545&lt;7,"3050",IF(N545&lt;9,"3070",IF(N545&lt;11,"3090","3110"))))))),""))))</f>
        <v/>
      </c>
      <c r="Q545">
        <f>AND(O545=TRUE,P545&lt;&gt;"")</f>
        <v/>
      </c>
      <c r="R545">
        <f>IF(G545*1000&lt;750,"なし","あり")</f>
        <v/>
      </c>
      <c r="S545">
        <f>IF(AND(O545=TRUE,Q545=TRUE),"設定可","BLOCK")</f>
        <v/>
      </c>
      <c r="T545" t="inlineStr">
        <is>
          <t>商品カタログ P194</t>
        </is>
      </c>
      <c r="U545" t="inlineStr">
        <is>
          <t>https://webcatalog.lixil.co.jp/iportal/CatalogDetail.do?catalogID=15191910000&amp;categoryID=1630000&amp;designID=newinter&amp;method=initial_screen&amp;position=18&amp;type=mc&amp;volumeID=LXL13001</t>
        </is>
      </c>
    </row>
    <row r="546">
      <c r="A546" t="inlineStr">
        <is>
          <t>WG-SL-00543</t>
        </is>
      </c>
      <c r="B546" t="inlineStr">
        <is>
          <t>SZ-SL-001006</t>
        </is>
      </c>
      <c r="C546" t="inlineStr">
        <is>
          <t>WT-SL-MENKOSHI-AGE-FS</t>
        </is>
      </c>
      <c r="D546" t="inlineStr">
        <is>
          <t>SP-SL-AGE-GRILLE-DIA</t>
        </is>
      </c>
      <c r="E546" t="inlineStr">
        <is>
          <t>03611</t>
        </is>
      </c>
      <c r="F546" t="n">
        <v>0.405</v>
      </c>
      <c r="G546" t="n">
        <v>1.17</v>
      </c>
      <c r="H546" t="inlineStr">
        <is>
          <t>GL-SL-003</t>
        </is>
      </c>
      <c r="I546" t="n">
        <v>8</v>
      </c>
      <c r="J546" t="n">
        <v>10.4</v>
      </c>
      <c r="K546" t="n">
        <v>-0.605</v>
      </c>
      <c r="L546" t="n">
        <v>-1.332</v>
      </c>
      <c r="M546" t="n">
        <v>0.399</v>
      </c>
      <c r="N546">
        <f>ROUND(J546*F546*G546+K546*G546+L546*F546+M546,3)</f>
        <v/>
      </c>
      <c r="O546">
        <f>AND(N546&gt;=1.4,N546&lt;=13)</f>
        <v/>
      </c>
      <c r="P546">
        <f>IF(OR(N546&lt;1.4,N546&gt;13),"",IF(G546*1000&lt;=1170,IF(N546&lt;1.8,"1014",IF(N546&lt;2.9,"1018",IF(N546&lt;3.8,"1029",IF(N546&lt;5,"1038",IF(N546&lt;7,"1050",IF(N546&lt;9,"1070",IF(N546&lt;11,"1090","1110"))))))),IF(G546*1000&lt;=1570,IF(N546&lt;1.8,"",IF(N546&lt;2.9,"2018",IF(N546&lt;3.8,"2029",IF(N546&lt;5,"2038",IF(N546&lt;7,"2050",IF(N546&lt;9,"2070",IF(N546&lt;11,"2090","2110"))))))),IF(G546*1000&lt;=1700,IF(N546&lt;1.8,"",IF(N546&lt;2.9,"3018",IF(N546&lt;3.8,"3029",IF(N546&lt;5,"3038",IF(N546&lt;7,"3050",IF(N546&lt;9,"3070",IF(N546&lt;11,"3090","3110"))))))),""))))</f>
        <v/>
      </c>
      <c r="Q546">
        <f>AND(O546=TRUE,P546&lt;&gt;"")</f>
        <v/>
      </c>
      <c r="R546">
        <f>IF(G546*1000&lt;750,"なし","あり")</f>
        <v/>
      </c>
      <c r="S546">
        <f>IF(AND(O546=TRUE,Q546=TRUE),"設定可","BLOCK")</f>
        <v/>
      </c>
      <c r="T546" t="inlineStr">
        <is>
          <t>商品カタログ P194</t>
        </is>
      </c>
      <c r="U546" t="inlineStr">
        <is>
          <t>https://webcatalog.lixil.co.jp/iportal/CatalogDetail.do?catalogID=15191910000&amp;categoryID=1630000&amp;designID=newinter&amp;method=initial_screen&amp;position=18&amp;type=mc&amp;volumeID=LXL13001</t>
        </is>
      </c>
    </row>
    <row r="547">
      <c r="A547" t="inlineStr">
        <is>
          <t>WG-SL-00544</t>
        </is>
      </c>
      <c r="B547" t="inlineStr">
        <is>
          <t>SZ-SL-001006</t>
        </is>
      </c>
      <c r="C547" t="inlineStr">
        <is>
          <t>WT-SL-MENKOSHI-AGE-FS</t>
        </is>
      </c>
      <c r="D547" t="inlineStr">
        <is>
          <t>SP-SL-AGE-GRILLE-DIA</t>
        </is>
      </c>
      <c r="E547" t="inlineStr">
        <is>
          <t>03611</t>
        </is>
      </c>
      <c r="F547" t="n">
        <v>0.405</v>
      </c>
      <c r="G547" t="n">
        <v>1.17</v>
      </c>
      <c r="H547" t="inlineStr">
        <is>
          <t>GL-SL-004</t>
        </is>
      </c>
      <c r="I547" t="n">
        <v>6</v>
      </c>
      <c r="J547" t="n">
        <v>7.8</v>
      </c>
      <c r="K547" t="n">
        <v>-0.355</v>
      </c>
      <c r="L547" t="n">
        <v>-0.664</v>
      </c>
      <c r="M547" t="n">
        <v>0.335</v>
      </c>
      <c r="N547">
        <f>ROUND(J547*F547*G547+K547*G547+L547*F547+M547,3)</f>
        <v/>
      </c>
      <c r="O547">
        <f>AND(N547&gt;=1.4,N547&lt;=13)</f>
        <v/>
      </c>
      <c r="P547">
        <f>IF(OR(N547&lt;1.4,N547&gt;13),"",IF(G547*1000&lt;=1170,IF(N547&lt;1.8,"1014",IF(N547&lt;2.9,"1018",IF(N547&lt;3.8,"1029",IF(N547&lt;5,"1038",IF(N547&lt;7,"1050",IF(N547&lt;9,"1070",IF(N547&lt;11,"1090","1110"))))))),IF(G547*1000&lt;=1570,IF(N547&lt;1.8,"",IF(N547&lt;2.9,"2018",IF(N547&lt;3.8,"2029",IF(N547&lt;5,"2038",IF(N547&lt;7,"2050",IF(N547&lt;9,"2070",IF(N547&lt;11,"2090","2110"))))))),IF(G547*1000&lt;=1700,IF(N547&lt;1.8,"",IF(N547&lt;2.9,"3018",IF(N547&lt;3.8,"3029",IF(N547&lt;5,"3038",IF(N547&lt;7,"3050",IF(N547&lt;9,"3070",IF(N547&lt;11,"3090","3110"))))))),""))))</f>
        <v/>
      </c>
      <c r="Q547">
        <f>AND(O547=TRUE,P547&lt;&gt;"")</f>
        <v/>
      </c>
      <c r="R547">
        <f>IF(G547*1000&lt;750,"なし","あり")</f>
        <v/>
      </c>
      <c r="S547">
        <f>IF(AND(O547=TRUE,Q547=TRUE),"設定可","BLOCK")</f>
        <v/>
      </c>
      <c r="T547" t="inlineStr">
        <is>
          <t>商品カタログ P194</t>
        </is>
      </c>
      <c r="U547" t="inlineStr">
        <is>
          <t>https://webcatalog.lixil.co.jp/iportal/CatalogDetail.do?catalogID=15191910000&amp;categoryID=1630000&amp;designID=newinter&amp;method=initial_screen&amp;position=18&amp;type=mc&amp;volumeID=LXL13001</t>
        </is>
      </c>
    </row>
    <row r="548">
      <c r="A548" t="inlineStr">
        <is>
          <t>WG-SL-00545</t>
        </is>
      </c>
      <c r="B548" t="inlineStr">
        <is>
          <t>SZ-SL-001006</t>
        </is>
      </c>
      <c r="C548" t="inlineStr">
        <is>
          <t>WT-SL-MENKOSHI-AGE-FS</t>
        </is>
      </c>
      <c r="D548" t="inlineStr">
        <is>
          <t>SP-SL-AGE-GRILLE-DIA</t>
        </is>
      </c>
      <c r="E548" t="inlineStr">
        <is>
          <t>03611</t>
        </is>
      </c>
      <c r="F548" t="n">
        <v>0.405</v>
      </c>
      <c r="G548" t="n">
        <v>1.17</v>
      </c>
      <c r="H548" t="inlineStr">
        <is>
          <t>GL-SL-005</t>
        </is>
      </c>
      <c r="I548" t="n">
        <v>7</v>
      </c>
      <c r="J548" t="n">
        <v>9.1</v>
      </c>
      <c r="K548" t="n">
        <v>-0.48</v>
      </c>
      <c r="L548" t="n">
        <v>-0.998</v>
      </c>
      <c r="M548" t="n">
        <v>0.367</v>
      </c>
      <c r="N548">
        <f>ROUND(J548*F548*G548+K548*G548+L548*F548+M548,3)</f>
        <v/>
      </c>
      <c r="O548">
        <f>AND(N548&gt;=1.4,N548&lt;=13)</f>
        <v/>
      </c>
      <c r="P548">
        <f>IF(OR(N548&lt;1.4,N548&gt;13),"",IF(G548*1000&lt;=1170,IF(N548&lt;1.8,"1014",IF(N548&lt;2.9,"1018",IF(N548&lt;3.8,"1029",IF(N548&lt;5,"1038",IF(N548&lt;7,"1050",IF(N548&lt;9,"1070",IF(N548&lt;11,"1090","1110"))))))),IF(G548*1000&lt;=1570,IF(N548&lt;1.8,"",IF(N548&lt;2.9,"2018",IF(N548&lt;3.8,"2029",IF(N548&lt;5,"2038",IF(N548&lt;7,"2050",IF(N548&lt;9,"2070",IF(N548&lt;11,"2090","2110"))))))),IF(G548*1000&lt;=1700,IF(N548&lt;1.8,"",IF(N548&lt;2.9,"3018",IF(N548&lt;3.8,"3029",IF(N548&lt;5,"3038",IF(N548&lt;7,"3050",IF(N548&lt;9,"3070",IF(N548&lt;11,"3090","3110"))))))),""))))</f>
        <v/>
      </c>
      <c r="Q548">
        <f>AND(O548=TRUE,P548&lt;&gt;"")</f>
        <v/>
      </c>
      <c r="R548">
        <f>IF(G548*1000&lt;750,"なし","あり")</f>
        <v/>
      </c>
      <c r="S548">
        <f>IF(AND(O548=TRUE,Q548=TRUE),"設定可","BLOCK")</f>
        <v/>
      </c>
      <c r="T548" t="inlineStr">
        <is>
          <t>商品カタログ P194</t>
        </is>
      </c>
      <c r="U548" t="inlineStr">
        <is>
          <t>https://webcatalog.lixil.co.jp/iportal/CatalogDetail.do?catalogID=15191910000&amp;categoryID=1630000&amp;designID=newinter&amp;method=initial_screen&amp;position=18&amp;type=mc&amp;volumeID=LXL13001</t>
        </is>
      </c>
    </row>
    <row r="549">
      <c r="A549" t="inlineStr">
        <is>
          <t>WG-SL-00546</t>
        </is>
      </c>
      <c r="B549" t="inlineStr">
        <is>
          <t>SZ-SL-001006</t>
        </is>
      </c>
      <c r="C549" t="inlineStr">
        <is>
          <t>WT-SL-MENKOSHI-AGE-FS</t>
        </is>
      </c>
      <c r="D549" t="inlineStr">
        <is>
          <t>SP-SL-AGE-GRILLE-DIA</t>
        </is>
      </c>
      <c r="E549" t="inlineStr">
        <is>
          <t>03611</t>
        </is>
      </c>
      <c r="F549" t="n">
        <v>0.405</v>
      </c>
      <c r="G549" t="n">
        <v>1.17</v>
      </c>
      <c r="H549" t="inlineStr">
        <is>
          <t>GL-SL-006</t>
        </is>
      </c>
      <c r="I549" t="n">
        <v>8</v>
      </c>
      <c r="J549" t="n">
        <v>10.4</v>
      </c>
      <c r="K549" t="n">
        <v>-0.605</v>
      </c>
      <c r="L549" t="n">
        <v>-1.332</v>
      </c>
      <c r="M549" t="n">
        <v>0.399</v>
      </c>
      <c r="N549">
        <f>ROUND(J549*F549*G549+K549*G549+L549*F549+M549,3)</f>
        <v/>
      </c>
      <c r="O549">
        <f>AND(N549&gt;=1.4,N549&lt;=13)</f>
        <v/>
      </c>
      <c r="P549">
        <f>IF(OR(N549&lt;1.4,N549&gt;13),"",IF(G549*1000&lt;=1170,IF(N549&lt;1.8,"1014",IF(N549&lt;2.9,"1018",IF(N549&lt;3.8,"1029",IF(N549&lt;5,"1038",IF(N549&lt;7,"1050",IF(N549&lt;9,"1070",IF(N549&lt;11,"1090","1110"))))))),IF(G549*1000&lt;=1570,IF(N549&lt;1.8,"",IF(N549&lt;2.9,"2018",IF(N549&lt;3.8,"2029",IF(N549&lt;5,"2038",IF(N549&lt;7,"2050",IF(N549&lt;9,"2070",IF(N549&lt;11,"2090","2110"))))))),IF(G549*1000&lt;=1700,IF(N549&lt;1.8,"",IF(N549&lt;2.9,"3018",IF(N549&lt;3.8,"3029",IF(N549&lt;5,"3038",IF(N549&lt;7,"3050",IF(N549&lt;9,"3070",IF(N549&lt;11,"3090","3110"))))))),""))))</f>
        <v/>
      </c>
      <c r="Q549">
        <f>AND(O549=TRUE,P549&lt;&gt;"")</f>
        <v/>
      </c>
      <c r="R549">
        <f>IF(G549*1000&lt;750,"なし","あり")</f>
        <v/>
      </c>
      <c r="S549">
        <f>IF(AND(O549=TRUE,Q549=TRUE),"設定可","BLOCK")</f>
        <v/>
      </c>
      <c r="T549" t="inlineStr">
        <is>
          <t>商品カタログ P194</t>
        </is>
      </c>
      <c r="U549" t="inlineStr">
        <is>
          <t>https://webcatalog.lixil.co.jp/iportal/CatalogDetail.do?catalogID=15191910000&amp;categoryID=1630000&amp;designID=newinter&amp;method=initial_screen&amp;position=18&amp;type=mc&amp;volumeID=LXL13001</t>
        </is>
      </c>
    </row>
    <row r="550">
      <c r="A550" t="inlineStr">
        <is>
          <t>WG-SL-00547</t>
        </is>
      </c>
      <c r="B550" t="inlineStr">
        <is>
          <t>SZ-SL-001006</t>
        </is>
      </c>
      <c r="C550" t="inlineStr">
        <is>
          <t>WT-SL-MENKOSHI-AGE-FS</t>
        </is>
      </c>
      <c r="D550" t="inlineStr">
        <is>
          <t>SP-SL-AGE-GRILLE-DIA</t>
        </is>
      </c>
      <c r="E550" t="inlineStr">
        <is>
          <t>03611</t>
        </is>
      </c>
      <c r="F550" t="n">
        <v>0.405</v>
      </c>
      <c r="G550" t="n">
        <v>1.17</v>
      </c>
      <c r="H550" t="inlineStr">
        <is>
          <t>GL-SL-007</t>
        </is>
      </c>
      <c r="I550" t="n">
        <v>6</v>
      </c>
      <c r="J550" t="n">
        <v>7.8</v>
      </c>
      <c r="K550" t="n">
        <v>-0.355</v>
      </c>
      <c r="L550" t="n">
        <v>-0.664</v>
      </c>
      <c r="M550" t="n">
        <v>0.335</v>
      </c>
      <c r="N550">
        <f>ROUND(J550*F550*G550+K550*G550+L550*F550+M550,3)</f>
        <v/>
      </c>
      <c r="O550">
        <f>AND(N550&gt;=1.4,N550&lt;=13)</f>
        <v/>
      </c>
      <c r="P550">
        <f>IF(OR(N550&lt;1.4,N550&gt;13),"",IF(G550*1000&lt;=1170,IF(N550&lt;1.8,"1014",IF(N550&lt;2.9,"1018",IF(N550&lt;3.8,"1029",IF(N550&lt;5,"1038",IF(N550&lt;7,"1050",IF(N550&lt;9,"1070",IF(N550&lt;11,"1090","1110"))))))),IF(G550*1000&lt;=1570,IF(N550&lt;1.8,"",IF(N550&lt;2.9,"2018",IF(N550&lt;3.8,"2029",IF(N550&lt;5,"2038",IF(N550&lt;7,"2050",IF(N550&lt;9,"2070",IF(N550&lt;11,"2090","2110"))))))),IF(G550*1000&lt;=1700,IF(N550&lt;1.8,"",IF(N550&lt;2.9,"3018",IF(N550&lt;3.8,"3029",IF(N550&lt;5,"3038",IF(N550&lt;7,"3050",IF(N550&lt;9,"3070",IF(N550&lt;11,"3090","3110"))))))),""))))</f>
        <v/>
      </c>
      <c r="Q550">
        <f>AND(O550=TRUE,P550&lt;&gt;"")</f>
        <v/>
      </c>
      <c r="R550">
        <f>IF(G550*1000&lt;750,"なし","あり")</f>
        <v/>
      </c>
      <c r="S550">
        <f>IF(AND(O550=TRUE,Q550=TRUE),"設定可","BLOCK")</f>
        <v/>
      </c>
      <c r="T550" t="inlineStr">
        <is>
          <t>商品カタログ P194</t>
        </is>
      </c>
      <c r="U550" t="inlineStr">
        <is>
          <t>https://webcatalog.lixil.co.jp/iportal/CatalogDetail.do?catalogID=15191910000&amp;categoryID=1630000&amp;designID=newinter&amp;method=initial_screen&amp;position=18&amp;type=mc&amp;volumeID=LXL13001</t>
        </is>
      </c>
    </row>
    <row r="551">
      <c r="A551" t="inlineStr">
        <is>
          <t>WG-SL-00548</t>
        </is>
      </c>
      <c r="B551" t="inlineStr">
        <is>
          <t>SZ-SL-001006</t>
        </is>
      </c>
      <c r="C551" t="inlineStr">
        <is>
          <t>WT-SL-MENKOSHI-AGE-FS</t>
        </is>
      </c>
      <c r="D551" t="inlineStr">
        <is>
          <t>SP-SL-AGE-GRILLE-DIA</t>
        </is>
      </c>
      <c r="E551" t="inlineStr">
        <is>
          <t>03611</t>
        </is>
      </c>
      <c r="F551" t="n">
        <v>0.405</v>
      </c>
      <c r="G551" t="n">
        <v>1.17</v>
      </c>
      <c r="H551" t="inlineStr">
        <is>
          <t>GL-SL-008</t>
        </is>
      </c>
      <c r="I551" t="n">
        <v>7</v>
      </c>
      <c r="J551" t="n">
        <v>9.1</v>
      </c>
      <c r="K551" t="n">
        <v>-0.48</v>
      </c>
      <c r="L551" t="n">
        <v>-0.998</v>
      </c>
      <c r="M551" t="n">
        <v>0.367</v>
      </c>
      <c r="N551">
        <f>ROUND(J551*F551*G551+K551*G551+L551*F551+M551,3)</f>
        <v/>
      </c>
      <c r="O551">
        <f>AND(N551&gt;=1.4,N551&lt;=13)</f>
        <v/>
      </c>
      <c r="P551">
        <f>IF(OR(N551&lt;1.4,N551&gt;13),"",IF(G551*1000&lt;=1170,IF(N551&lt;1.8,"1014",IF(N551&lt;2.9,"1018",IF(N551&lt;3.8,"1029",IF(N551&lt;5,"1038",IF(N551&lt;7,"1050",IF(N551&lt;9,"1070",IF(N551&lt;11,"1090","1110"))))))),IF(G551*1000&lt;=1570,IF(N551&lt;1.8,"",IF(N551&lt;2.9,"2018",IF(N551&lt;3.8,"2029",IF(N551&lt;5,"2038",IF(N551&lt;7,"2050",IF(N551&lt;9,"2070",IF(N551&lt;11,"2090","2110"))))))),IF(G551*1000&lt;=1700,IF(N551&lt;1.8,"",IF(N551&lt;2.9,"3018",IF(N551&lt;3.8,"3029",IF(N551&lt;5,"3038",IF(N551&lt;7,"3050",IF(N551&lt;9,"3070",IF(N551&lt;11,"3090","3110"))))))),""))))</f>
        <v/>
      </c>
      <c r="Q551">
        <f>AND(O551=TRUE,P551&lt;&gt;"")</f>
        <v/>
      </c>
      <c r="R551">
        <f>IF(G551*1000&lt;750,"なし","あり")</f>
        <v/>
      </c>
      <c r="S551">
        <f>IF(AND(O551=TRUE,Q551=TRUE),"設定可","BLOCK")</f>
        <v/>
      </c>
      <c r="T551" t="inlineStr">
        <is>
          <t>商品カタログ P194</t>
        </is>
      </c>
      <c r="U551" t="inlineStr">
        <is>
          <t>https://webcatalog.lixil.co.jp/iportal/CatalogDetail.do?catalogID=15191910000&amp;categoryID=1630000&amp;designID=newinter&amp;method=initial_screen&amp;position=18&amp;type=mc&amp;volumeID=LXL13001</t>
        </is>
      </c>
    </row>
    <row r="552">
      <c r="A552" t="inlineStr">
        <is>
          <t>WG-SL-00549</t>
        </is>
      </c>
      <c r="B552" t="inlineStr">
        <is>
          <t>SZ-SL-001006</t>
        </is>
      </c>
      <c r="C552" t="inlineStr">
        <is>
          <t>WT-SL-MENKOSHI-AGE-FS</t>
        </is>
      </c>
      <c r="D552" t="inlineStr">
        <is>
          <t>SP-SL-AGE-GRILLE-DIA</t>
        </is>
      </c>
      <c r="E552" t="inlineStr">
        <is>
          <t>03611</t>
        </is>
      </c>
      <c r="F552" t="n">
        <v>0.405</v>
      </c>
      <c r="G552" t="n">
        <v>1.17</v>
      </c>
      <c r="H552" t="inlineStr">
        <is>
          <t>GL-SL-009</t>
        </is>
      </c>
      <c r="I552" t="n">
        <v>8</v>
      </c>
      <c r="J552" t="n">
        <v>10.4</v>
      </c>
      <c r="K552" t="n">
        <v>-0.605</v>
      </c>
      <c r="L552" t="n">
        <v>-1.332</v>
      </c>
      <c r="M552" t="n">
        <v>0.399</v>
      </c>
      <c r="N552">
        <f>ROUND(J552*F552*G552+K552*G552+L552*F552+M552,3)</f>
        <v/>
      </c>
      <c r="O552">
        <f>AND(N552&gt;=1.4,N552&lt;=13)</f>
        <v/>
      </c>
      <c r="P552">
        <f>IF(OR(N552&lt;1.4,N552&gt;13),"",IF(G552*1000&lt;=1170,IF(N552&lt;1.8,"1014",IF(N552&lt;2.9,"1018",IF(N552&lt;3.8,"1029",IF(N552&lt;5,"1038",IF(N552&lt;7,"1050",IF(N552&lt;9,"1070",IF(N552&lt;11,"1090","1110"))))))),IF(G552*1000&lt;=1570,IF(N552&lt;1.8,"",IF(N552&lt;2.9,"2018",IF(N552&lt;3.8,"2029",IF(N552&lt;5,"2038",IF(N552&lt;7,"2050",IF(N552&lt;9,"2070",IF(N552&lt;11,"2090","2110"))))))),IF(G552*1000&lt;=1700,IF(N552&lt;1.8,"",IF(N552&lt;2.9,"3018",IF(N552&lt;3.8,"3029",IF(N552&lt;5,"3038",IF(N552&lt;7,"3050",IF(N552&lt;9,"3070",IF(N552&lt;11,"3090","3110"))))))),""))))</f>
        <v/>
      </c>
      <c r="Q552">
        <f>AND(O552=TRUE,P552&lt;&gt;"")</f>
        <v/>
      </c>
      <c r="R552">
        <f>IF(G552*1000&lt;750,"なし","あり")</f>
        <v/>
      </c>
      <c r="S552">
        <f>IF(AND(O552=TRUE,Q552=TRUE),"設定可","BLOCK")</f>
        <v/>
      </c>
      <c r="T552" t="inlineStr">
        <is>
          <t>商品カタログ P194</t>
        </is>
      </c>
      <c r="U552" t="inlineStr">
        <is>
          <t>https://webcatalog.lixil.co.jp/iportal/CatalogDetail.do?catalogID=15191910000&amp;categoryID=1630000&amp;designID=newinter&amp;method=initial_screen&amp;position=18&amp;type=mc&amp;volumeID=LXL13001</t>
        </is>
      </c>
    </row>
    <row r="553">
      <c r="A553" t="inlineStr">
        <is>
          <t>WG-SL-00550</t>
        </is>
      </c>
      <c r="B553" t="inlineStr">
        <is>
          <t>SZ-SL-001007</t>
        </is>
      </c>
      <c r="C553" t="inlineStr">
        <is>
          <t>WT-SL-MENKOSHI-AGE-FS</t>
        </is>
      </c>
      <c r="D553" t="inlineStr">
        <is>
          <t>SP-SL-AGE-GRILLE-DIA</t>
        </is>
      </c>
      <c r="E553" t="inlineStr">
        <is>
          <t>06011</t>
        </is>
      </c>
      <c r="F553" t="n">
        <v>0.64</v>
      </c>
      <c r="G553" t="n">
        <v>1.17</v>
      </c>
      <c r="H553" t="inlineStr">
        <is>
          <t>GL-SL-001</t>
        </is>
      </c>
      <c r="I553" t="n">
        <v>6</v>
      </c>
      <c r="J553" t="n">
        <v>7.8</v>
      </c>
      <c r="K553" t="n">
        <v>-0.355</v>
      </c>
      <c r="L553" t="n">
        <v>-0.664</v>
      </c>
      <c r="M553" t="n">
        <v>0.335</v>
      </c>
      <c r="N553">
        <f>ROUND(J553*F553*G553+K553*G553+L553*F553+M553,3)</f>
        <v/>
      </c>
      <c r="O553">
        <f>AND(N553&gt;=1.4,N553&lt;=13)</f>
        <v/>
      </c>
      <c r="P553">
        <f>IF(OR(N553&lt;1.4,N553&gt;13),"",IF(G553*1000&lt;=1170,IF(N553&lt;1.8,"1014",IF(N553&lt;2.9,"1018",IF(N553&lt;3.8,"1029",IF(N553&lt;5,"1038",IF(N553&lt;7,"1050",IF(N553&lt;9,"1070",IF(N553&lt;11,"1090","1110"))))))),IF(G553*1000&lt;=1570,IF(N553&lt;1.8,"",IF(N553&lt;2.9,"2018",IF(N553&lt;3.8,"2029",IF(N553&lt;5,"2038",IF(N553&lt;7,"2050",IF(N553&lt;9,"2070",IF(N553&lt;11,"2090","2110"))))))),IF(G553*1000&lt;=1700,IF(N553&lt;1.8,"",IF(N553&lt;2.9,"3018",IF(N553&lt;3.8,"3029",IF(N553&lt;5,"3038",IF(N553&lt;7,"3050",IF(N553&lt;9,"3070",IF(N553&lt;11,"3090","3110"))))))),""))))</f>
        <v/>
      </c>
      <c r="Q553">
        <f>AND(O553=TRUE,P553&lt;&gt;"")</f>
        <v/>
      </c>
      <c r="R553">
        <f>IF(G553*1000&lt;750,"なし","あり")</f>
        <v/>
      </c>
      <c r="S553">
        <f>IF(AND(O553=TRUE,Q553=TRUE),"設定可","BLOCK")</f>
        <v/>
      </c>
      <c r="T553" t="inlineStr">
        <is>
          <t>商品カタログ P194</t>
        </is>
      </c>
      <c r="U553" t="inlineStr">
        <is>
          <t>https://webcatalog.lixil.co.jp/iportal/CatalogDetail.do?catalogID=15191910000&amp;categoryID=1630000&amp;designID=newinter&amp;method=initial_screen&amp;position=18&amp;type=mc&amp;volumeID=LXL13001</t>
        </is>
      </c>
    </row>
    <row r="554">
      <c r="A554" t="inlineStr">
        <is>
          <t>WG-SL-00551</t>
        </is>
      </c>
      <c r="B554" t="inlineStr">
        <is>
          <t>SZ-SL-001007</t>
        </is>
      </c>
      <c r="C554" t="inlineStr">
        <is>
          <t>WT-SL-MENKOSHI-AGE-FS</t>
        </is>
      </c>
      <c r="D554" t="inlineStr">
        <is>
          <t>SP-SL-AGE-GRILLE-DIA</t>
        </is>
      </c>
      <c r="E554" t="inlineStr">
        <is>
          <t>06011</t>
        </is>
      </c>
      <c r="F554" t="n">
        <v>0.64</v>
      </c>
      <c r="G554" t="n">
        <v>1.17</v>
      </c>
      <c r="H554" t="inlineStr">
        <is>
          <t>GL-SL-002</t>
        </is>
      </c>
      <c r="I554" t="n">
        <v>7</v>
      </c>
      <c r="J554" t="n">
        <v>9.1</v>
      </c>
      <c r="K554" t="n">
        <v>-0.48</v>
      </c>
      <c r="L554" t="n">
        <v>-0.998</v>
      </c>
      <c r="M554" t="n">
        <v>0.367</v>
      </c>
      <c r="N554">
        <f>ROUND(J554*F554*G554+K554*G554+L554*F554+M554,3)</f>
        <v/>
      </c>
      <c r="O554">
        <f>AND(N554&gt;=1.4,N554&lt;=13)</f>
        <v/>
      </c>
      <c r="P554">
        <f>IF(OR(N554&lt;1.4,N554&gt;13),"",IF(G554*1000&lt;=1170,IF(N554&lt;1.8,"1014",IF(N554&lt;2.9,"1018",IF(N554&lt;3.8,"1029",IF(N554&lt;5,"1038",IF(N554&lt;7,"1050",IF(N554&lt;9,"1070",IF(N554&lt;11,"1090","1110"))))))),IF(G554*1000&lt;=1570,IF(N554&lt;1.8,"",IF(N554&lt;2.9,"2018",IF(N554&lt;3.8,"2029",IF(N554&lt;5,"2038",IF(N554&lt;7,"2050",IF(N554&lt;9,"2070",IF(N554&lt;11,"2090","2110"))))))),IF(G554*1000&lt;=1700,IF(N554&lt;1.8,"",IF(N554&lt;2.9,"3018",IF(N554&lt;3.8,"3029",IF(N554&lt;5,"3038",IF(N554&lt;7,"3050",IF(N554&lt;9,"3070",IF(N554&lt;11,"3090","3110"))))))),""))))</f>
        <v/>
      </c>
      <c r="Q554">
        <f>AND(O554=TRUE,P554&lt;&gt;"")</f>
        <v/>
      </c>
      <c r="R554">
        <f>IF(G554*1000&lt;750,"なし","あり")</f>
        <v/>
      </c>
      <c r="S554">
        <f>IF(AND(O554=TRUE,Q554=TRUE),"設定可","BLOCK")</f>
        <v/>
      </c>
      <c r="T554" t="inlineStr">
        <is>
          <t>商品カタログ P194</t>
        </is>
      </c>
      <c r="U554" t="inlineStr">
        <is>
          <t>https://webcatalog.lixil.co.jp/iportal/CatalogDetail.do?catalogID=15191910000&amp;categoryID=1630000&amp;designID=newinter&amp;method=initial_screen&amp;position=18&amp;type=mc&amp;volumeID=LXL13001</t>
        </is>
      </c>
    </row>
    <row r="555">
      <c r="A555" t="inlineStr">
        <is>
          <t>WG-SL-00552</t>
        </is>
      </c>
      <c r="B555" t="inlineStr">
        <is>
          <t>SZ-SL-001007</t>
        </is>
      </c>
      <c r="C555" t="inlineStr">
        <is>
          <t>WT-SL-MENKOSHI-AGE-FS</t>
        </is>
      </c>
      <c r="D555" t="inlineStr">
        <is>
          <t>SP-SL-AGE-GRILLE-DIA</t>
        </is>
      </c>
      <c r="E555" t="inlineStr">
        <is>
          <t>06011</t>
        </is>
      </c>
      <c r="F555" t="n">
        <v>0.64</v>
      </c>
      <c r="G555" t="n">
        <v>1.17</v>
      </c>
      <c r="H555" t="inlineStr">
        <is>
          <t>GL-SL-003</t>
        </is>
      </c>
      <c r="I555" t="n">
        <v>8</v>
      </c>
      <c r="J555" t="n">
        <v>10.4</v>
      </c>
      <c r="K555" t="n">
        <v>-0.605</v>
      </c>
      <c r="L555" t="n">
        <v>-1.332</v>
      </c>
      <c r="M555" t="n">
        <v>0.399</v>
      </c>
      <c r="N555">
        <f>ROUND(J555*F555*G555+K555*G555+L555*F555+M555,3)</f>
        <v/>
      </c>
      <c r="O555">
        <f>AND(N555&gt;=1.4,N555&lt;=13)</f>
        <v/>
      </c>
      <c r="P555">
        <f>IF(OR(N555&lt;1.4,N555&gt;13),"",IF(G555*1000&lt;=1170,IF(N555&lt;1.8,"1014",IF(N555&lt;2.9,"1018",IF(N555&lt;3.8,"1029",IF(N555&lt;5,"1038",IF(N555&lt;7,"1050",IF(N555&lt;9,"1070",IF(N555&lt;11,"1090","1110"))))))),IF(G555*1000&lt;=1570,IF(N555&lt;1.8,"",IF(N555&lt;2.9,"2018",IF(N555&lt;3.8,"2029",IF(N555&lt;5,"2038",IF(N555&lt;7,"2050",IF(N555&lt;9,"2070",IF(N555&lt;11,"2090","2110"))))))),IF(G555*1000&lt;=1700,IF(N555&lt;1.8,"",IF(N555&lt;2.9,"3018",IF(N555&lt;3.8,"3029",IF(N555&lt;5,"3038",IF(N555&lt;7,"3050",IF(N555&lt;9,"3070",IF(N555&lt;11,"3090","3110"))))))),""))))</f>
        <v/>
      </c>
      <c r="Q555">
        <f>AND(O555=TRUE,P555&lt;&gt;"")</f>
        <v/>
      </c>
      <c r="R555">
        <f>IF(G555*1000&lt;750,"なし","あり")</f>
        <v/>
      </c>
      <c r="S555">
        <f>IF(AND(O555=TRUE,Q555=TRUE),"設定可","BLOCK")</f>
        <v/>
      </c>
      <c r="T555" t="inlineStr">
        <is>
          <t>商品カタログ P194</t>
        </is>
      </c>
      <c r="U555" t="inlineStr">
        <is>
          <t>https://webcatalog.lixil.co.jp/iportal/CatalogDetail.do?catalogID=15191910000&amp;categoryID=1630000&amp;designID=newinter&amp;method=initial_screen&amp;position=18&amp;type=mc&amp;volumeID=LXL13001</t>
        </is>
      </c>
    </row>
    <row r="556">
      <c r="A556" t="inlineStr">
        <is>
          <t>WG-SL-00553</t>
        </is>
      </c>
      <c r="B556" t="inlineStr">
        <is>
          <t>SZ-SL-001007</t>
        </is>
      </c>
      <c r="C556" t="inlineStr">
        <is>
          <t>WT-SL-MENKOSHI-AGE-FS</t>
        </is>
      </c>
      <c r="D556" t="inlineStr">
        <is>
          <t>SP-SL-AGE-GRILLE-DIA</t>
        </is>
      </c>
      <c r="E556" t="inlineStr">
        <is>
          <t>06011</t>
        </is>
      </c>
      <c r="F556" t="n">
        <v>0.64</v>
      </c>
      <c r="G556" t="n">
        <v>1.17</v>
      </c>
      <c r="H556" t="inlineStr">
        <is>
          <t>GL-SL-004</t>
        </is>
      </c>
      <c r="I556" t="n">
        <v>6</v>
      </c>
      <c r="J556" t="n">
        <v>7.8</v>
      </c>
      <c r="K556" t="n">
        <v>-0.355</v>
      </c>
      <c r="L556" t="n">
        <v>-0.664</v>
      </c>
      <c r="M556" t="n">
        <v>0.335</v>
      </c>
      <c r="N556">
        <f>ROUND(J556*F556*G556+K556*G556+L556*F556+M556,3)</f>
        <v/>
      </c>
      <c r="O556">
        <f>AND(N556&gt;=1.4,N556&lt;=13)</f>
        <v/>
      </c>
      <c r="P556">
        <f>IF(OR(N556&lt;1.4,N556&gt;13),"",IF(G556*1000&lt;=1170,IF(N556&lt;1.8,"1014",IF(N556&lt;2.9,"1018",IF(N556&lt;3.8,"1029",IF(N556&lt;5,"1038",IF(N556&lt;7,"1050",IF(N556&lt;9,"1070",IF(N556&lt;11,"1090","1110"))))))),IF(G556*1000&lt;=1570,IF(N556&lt;1.8,"",IF(N556&lt;2.9,"2018",IF(N556&lt;3.8,"2029",IF(N556&lt;5,"2038",IF(N556&lt;7,"2050",IF(N556&lt;9,"2070",IF(N556&lt;11,"2090","2110"))))))),IF(G556*1000&lt;=1700,IF(N556&lt;1.8,"",IF(N556&lt;2.9,"3018",IF(N556&lt;3.8,"3029",IF(N556&lt;5,"3038",IF(N556&lt;7,"3050",IF(N556&lt;9,"3070",IF(N556&lt;11,"3090","3110"))))))),""))))</f>
        <v/>
      </c>
      <c r="Q556">
        <f>AND(O556=TRUE,P556&lt;&gt;"")</f>
        <v/>
      </c>
      <c r="R556">
        <f>IF(G556*1000&lt;750,"なし","あり")</f>
        <v/>
      </c>
      <c r="S556">
        <f>IF(AND(O556=TRUE,Q556=TRUE),"設定可","BLOCK")</f>
        <v/>
      </c>
      <c r="T556" t="inlineStr">
        <is>
          <t>商品カタログ P194</t>
        </is>
      </c>
      <c r="U556" t="inlineStr">
        <is>
          <t>https://webcatalog.lixil.co.jp/iportal/CatalogDetail.do?catalogID=15191910000&amp;categoryID=1630000&amp;designID=newinter&amp;method=initial_screen&amp;position=18&amp;type=mc&amp;volumeID=LXL13001</t>
        </is>
      </c>
    </row>
    <row r="557">
      <c r="A557" t="inlineStr">
        <is>
          <t>WG-SL-00554</t>
        </is>
      </c>
      <c r="B557" t="inlineStr">
        <is>
          <t>SZ-SL-001007</t>
        </is>
      </c>
      <c r="C557" t="inlineStr">
        <is>
          <t>WT-SL-MENKOSHI-AGE-FS</t>
        </is>
      </c>
      <c r="D557" t="inlineStr">
        <is>
          <t>SP-SL-AGE-GRILLE-DIA</t>
        </is>
      </c>
      <c r="E557" t="inlineStr">
        <is>
          <t>06011</t>
        </is>
      </c>
      <c r="F557" t="n">
        <v>0.64</v>
      </c>
      <c r="G557" t="n">
        <v>1.17</v>
      </c>
      <c r="H557" t="inlineStr">
        <is>
          <t>GL-SL-005</t>
        </is>
      </c>
      <c r="I557" t="n">
        <v>7</v>
      </c>
      <c r="J557" t="n">
        <v>9.1</v>
      </c>
      <c r="K557" t="n">
        <v>-0.48</v>
      </c>
      <c r="L557" t="n">
        <v>-0.998</v>
      </c>
      <c r="M557" t="n">
        <v>0.367</v>
      </c>
      <c r="N557">
        <f>ROUND(J557*F557*G557+K557*G557+L557*F557+M557,3)</f>
        <v/>
      </c>
      <c r="O557">
        <f>AND(N557&gt;=1.4,N557&lt;=13)</f>
        <v/>
      </c>
      <c r="P557">
        <f>IF(OR(N557&lt;1.4,N557&gt;13),"",IF(G557*1000&lt;=1170,IF(N557&lt;1.8,"1014",IF(N557&lt;2.9,"1018",IF(N557&lt;3.8,"1029",IF(N557&lt;5,"1038",IF(N557&lt;7,"1050",IF(N557&lt;9,"1070",IF(N557&lt;11,"1090","1110"))))))),IF(G557*1000&lt;=1570,IF(N557&lt;1.8,"",IF(N557&lt;2.9,"2018",IF(N557&lt;3.8,"2029",IF(N557&lt;5,"2038",IF(N557&lt;7,"2050",IF(N557&lt;9,"2070",IF(N557&lt;11,"2090","2110"))))))),IF(G557*1000&lt;=1700,IF(N557&lt;1.8,"",IF(N557&lt;2.9,"3018",IF(N557&lt;3.8,"3029",IF(N557&lt;5,"3038",IF(N557&lt;7,"3050",IF(N557&lt;9,"3070",IF(N557&lt;11,"3090","3110"))))))),""))))</f>
        <v/>
      </c>
      <c r="Q557">
        <f>AND(O557=TRUE,P557&lt;&gt;"")</f>
        <v/>
      </c>
      <c r="R557">
        <f>IF(G557*1000&lt;750,"なし","あり")</f>
        <v/>
      </c>
      <c r="S557">
        <f>IF(AND(O557=TRUE,Q557=TRUE),"設定可","BLOCK")</f>
        <v/>
      </c>
      <c r="T557" t="inlineStr">
        <is>
          <t>商品カタログ P194</t>
        </is>
      </c>
      <c r="U557" t="inlineStr">
        <is>
          <t>https://webcatalog.lixil.co.jp/iportal/CatalogDetail.do?catalogID=15191910000&amp;categoryID=1630000&amp;designID=newinter&amp;method=initial_screen&amp;position=18&amp;type=mc&amp;volumeID=LXL13001</t>
        </is>
      </c>
    </row>
    <row r="558">
      <c r="A558" t="inlineStr">
        <is>
          <t>WG-SL-00555</t>
        </is>
      </c>
      <c r="B558" t="inlineStr">
        <is>
          <t>SZ-SL-001007</t>
        </is>
      </c>
      <c r="C558" t="inlineStr">
        <is>
          <t>WT-SL-MENKOSHI-AGE-FS</t>
        </is>
      </c>
      <c r="D558" t="inlineStr">
        <is>
          <t>SP-SL-AGE-GRILLE-DIA</t>
        </is>
      </c>
      <c r="E558" t="inlineStr">
        <is>
          <t>06011</t>
        </is>
      </c>
      <c r="F558" t="n">
        <v>0.64</v>
      </c>
      <c r="G558" t="n">
        <v>1.17</v>
      </c>
      <c r="H558" t="inlineStr">
        <is>
          <t>GL-SL-006</t>
        </is>
      </c>
      <c r="I558" t="n">
        <v>8</v>
      </c>
      <c r="J558" t="n">
        <v>10.4</v>
      </c>
      <c r="K558" t="n">
        <v>-0.605</v>
      </c>
      <c r="L558" t="n">
        <v>-1.332</v>
      </c>
      <c r="M558" t="n">
        <v>0.399</v>
      </c>
      <c r="N558">
        <f>ROUND(J558*F558*G558+K558*G558+L558*F558+M558,3)</f>
        <v/>
      </c>
      <c r="O558">
        <f>AND(N558&gt;=1.4,N558&lt;=13)</f>
        <v/>
      </c>
      <c r="P558">
        <f>IF(OR(N558&lt;1.4,N558&gt;13),"",IF(G558*1000&lt;=1170,IF(N558&lt;1.8,"1014",IF(N558&lt;2.9,"1018",IF(N558&lt;3.8,"1029",IF(N558&lt;5,"1038",IF(N558&lt;7,"1050",IF(N558&lt;9,"1070",IF(N558&lt;11,"1090","1110"))))))),IF(G558*1000&lt;=1570,IF(N558&lt;1.8,"",IF(N558&lt;2.9,"2018",IF(N558&lt;3.8,"2029",IF(N558&lt;5,"2038",IF(N558&lt;7,"2050",IF(N558&lt;9,"2070",IF(N558&lt;11,"2090","2110"))))))),IF(G558*1000&lt;=1700,IF(N558&lt;1.8,"",IF(N558&lt;2.9,"3018",IF(N558&lt;3.8,"3029",IF(N558&lt;5,"3038",IF(N558&lt;7,"3050",IF(N558&lt;9,"3070",IF(N558&lt;11,"3090","3110"))))))),""))))</f>
        <v/>
      </c>
      <c r="Q558">
        <f>AND(O558=TRUE,P558&lt;&gt;"")</f>
        <v/>
      </c>
      <c r="R558">
        <f>IF(G558*1000&lt;750,"なし","あり")</f>
        <v/>
      </c>
      <c r="S558">
        <f>IF(AND(O558=TRUE,Q558=TRUE),"設定可","BLOCK")</f>
        <v/>
      </c>
      <c r="T558" t="inlineStr">
        <is>
          <t>商品カタログ P194</t>
        </is>
      </c>
      <c r="U558" t="inlineStr">
        <is>
          <t>https://webcatalog.lixil.co.jp/iportal/CatalogDetail.do?catalogID=15191910000&amp;categoryID=1630000&amp;designID=newinter&amp;method=initial_screen&amp;position=18&amp;type=mc&amp;volumeID=LXL13001</t>
        </is>
      </c>
    </row>
    <row r="559">
      <c r="A559" t="inlineStr">
        <is>
          <t>WG-SL-00556</t>
        </is>
      </c>
      <c r="B559" t="inlineStr">
        <is>
          <t>SZ-SL-001007</t>
        </is>
      </c>
      <c r="C559" t="inlineStr">
        <is>
          <t>WT-SL-MENKOSHI-AGE-FS</t>
        </is>
      </c>
      <c r="D559" t="inlineStr">
        <is>
          <t>SP-SL-AGE-GRILLE-DIA</t>
        </is>
      </c>
      <c r="E559" t="inlineStr">
        <is>
          <t>06011</t>
        </is>
      </c>
      <c r="F559" t="n">
        <v>0.64</v>
      </c>
      <c r="G559" t="n">
        <v>1.17</v>
      </c>
      <c r="H559" t="inlineStr">
        <is>
          <t>GL-SL-007</t>
        </is>
      </c>
      <c r="I559" t="n">
        <v>6</v>
      </c>
      <c r="J559" t="n">
        <v>7.8</v>
      </c>
      <c r="K559" t="n">
        <v>-0.355</v>
      </c>
      <c r="L559" t="n">
        <v>-0.664</v>
      </c>
      <c r="M559" t="n">
        <v>0.335</v>
      </c>
      <c r="N559">
        <f>ROUND(J559*F559*G559+K559*G559+L559*F559+M559,3)</f>
        <v/>
      </c>
      <c r="O559">
        <f>AND(N559&gt;=1.4,N559&lt;=13)</f>
        <v/>
      </c>
      <c r="P559">
        <f>IF(OR(N559&lt;1.4,N559&gt;13),"",IF(G559*1000&lt;=1170,IF(N559&lt;1.8,"1014",IF(N559&lt;2.9,"1018",IF(N559&lt;3.8,"1029",IF(N559&lt;5,"1038",IF(N559&lt;7,"1050",IF(N559&lt;9,"1070",IF(N559&lt;11,"1090","1110"))))))),IF(G559*1000&lt;=1570,IF(N559&lt;1.8,"",IF(N559&lt;2.9,"2018",IF(N559&lt;3.8,"2029",IF(N559&lt;5,"2038",IF(N559&lt;7,"2050",IF(N559&lt;9,"2070",IF(N559&lt;11,"2090","2110"))))))),IF(G559*1000&lt;=1700,IF(N559&lt;1.8,"",IF(N559&lt;2.9,"3018",IF(N559&lt;3.8,"3029",IF(N559&lt;5,"3038",IF(N559&lt;7,"3050",IF(N559&lt;9,"3070",IF(N559&lt;11,"3090","3110"))))))),""))))</f>
        <v/>
      </c>
      <c r="Q559">
        <f>AND(O559=TRUE,P559&lt;&gt;"")</f>
        <v/>
      </c>
      <c r="R559">
        <f>IF(G559*1000&lt;750,"なし","あり")</f>
        <v/>
      </c>
      <c r="S559">
        <f>IF(AND(O559=TRUE,Q559=TRUE),"設定可","BLOCK")</f>
        <v/>
      </c>
      <c r="T559" t="inlineStr">
        <is>
          <t>商品カタログ P194</t>
        </is>
      </c>
      <c r="U559" t="inlineStr">
        <is>
          <t>https://webcatalog.lixil.co.jp/iportal/CatalogDetail.do?catalogID=15191910000&amp;categoryID=1630000&amp;designID=newinter&amp;method=initial_screen&amp;position=18&amp;type=mc&amp;volumeID=LXL13001</t>
        </is>
      </c>
    </row>
    <row r="560">
      <c r="A560" t="inlineStr">
        <is>
          <t>WG-SL-00557</t>
        </is>
      </c>
      <c r="B560" t="inlineStr">
        <is>
          <t>SZ-SL-001007</t>
        </is>
      </c>
      <c r="C560" t="inlineStr">
        <is>
          <t>WT-SL-MENKOSHI-AGE-FS</t>
        </is>
      </c>
      <c r="D560" t="inlineStr">
        <is>
          <t>SP-SL-AGE-GRILLE-DIA</t>
        </is>
      </c>
      <c r="E560" t="inlineStr">
        <is>
          <t>06011</t>
        </is>
      </c>
      <c r="F560" t="n">
        <v>0.64</v>
      </c>
      <c r="G560" t="n">
        <v>1.17</v>
      </c>
      <c r="H560" t="inlineStr">
        <is>
          <t>GL-SL-008</t>
        </is>
      </c>
      <c r="I560" t="n">
        <v>7</v>
      </c>
      <c r="J560" t="n">
        <v>9.1</v>
      </c>
      <c r="K560" t="n">
        <v>-0.48</v>
      </c>
      <c r="L560" t="n">
        <v>-0.998</v>
      </c>
      <c r="M560" t="n">
        <v>0.367</v>
      </c>
      <c r="N560">
        <f>ROUND(J560*F560*G560+K560*G560+L560*F560+M560,3)</f>
        <v/>
      </c>
      <c r="O560">
        <f>AND(N560&gt;=1.4,N560&lt;=13)</f>
        <v/>
      </c>
      <c r="P560">
        <f>IF(OR(N560&lt;1.4,N560&gt;13),"",IF(G560*1000&lt;=1170,IF(N560&lt;1.8,"1014",IF(N560&lt;2.9,"1018",IF(N560&lt;3.8,"1029",IF(N560&lt;5,"1038",IF(N560&lt;7,"1050",IF(N560&lt;9,"1070",IF(N560&lt;11,"1090","1110"))))))),IF(G560*1000&lt;=1570,IF(N560&lt;1.8,"",IF(N560&lt;2.9,"2018",IF(N560&lt;3.8,"2029",IF(N560&lt;5,"2038",IF(N560&lt;7,"2050",IF(N560&lt;9,"2070",IF(N560&lt;11,"2090","2110"))))))),IF(G560*1000&lt;=1700,IF(N560&lt;1.8,"",IF(N560&lt;2.9,"3018",IF(N560&lt;3.8,"3029",IF(N560&lt;5,"3038",IF(N560&lt;7,"3050",IF(N560&lt;9,"3070",IF(N560&lt;11,"3090","3110"))))))),""))))</f>
        <v/>
      </c>
      <c r="Q560">
        <f>AND(O560=TRUE,P560&lt;&gt;"")</f>
        <v/>
      </c>
      <c r="R560">
        <f>IF(G560*1000&lt;750,"なし","あり")</f>
        <v/>
      </c>
      <c r="S560">
        <f>IF(AND(O560=TRUE,Q560=TRUE),"設定可","BLOCK")</f>
        <v/>
      </c>
      <c r="T560" t="inlineStr">
        <is>
          <t>商品カタログ P194</t>
        </is>
      </c>
      <c r="U560" t="inlineStr">
        <is>
          <t>https://webcatalog.lixil.co.jp/iportal/CatalogDetail.do?catalogID=15191910000&amp;categoryID=1630000&amp;designID=newinter&amp;method=initial_screen&amp;position=18&amp;type=mc&amp;volumeID=LXL13001</t>
        </is>
      </c>
    </row>
    <row r="561">
      <c r="A561" t="inlineStr">
        <is>
          <t>WG-SL-00558</t>
        </is>
      </c>
      <c r="B561" t="inlineStr">
        <is>
          <t>SZ-SL-001007</t>
        </is>
      </c>
      <c r="C561" t="inlineStr">
        <is>
          <t>WT-SL-MENKOSHI-AGE-FS</t>
        </is>
      </c>
      <c r="D561" t="inlineStr">
        <is>
          <t>SP-SL-AGE-GRILLE-DIA</t>
        </is>
      </c>
      <c r="E561" t="inlineStr">
        <is>
          <t>06011</t>
        </is>
      </c>
      <c r="F561" t="n">
        <v>0.64</v>
      </c>
      <c r="G561" t="n">
        <v>1.17</v>
      </c>
      <c r="H561" t="inlineStr">
        <is>
          <t>GL-SL-009</t>
        </is>
      </c>
      <c r="I561" t="n">
        <v>8</v>
      </c>
      <c r="J561" t="n">
        <v>10.4</v>
      </c>
      <c r="K561" t="n">
        <v>-0.605</v>
      </c>
      <c r="L561" t="n">
        <v>-1.332</v>
      </c>
      <c r="M561" t="n">
        <v>0.399</v>
      </c>
      <c r="N561">
        <f>ROUND(J561*F561*G561+K561*G561+L561*F561+M561,3)</f>
        <v/>
      </c>
      <c r="O561">
        <f>AND(N561&gt;=1.4,N561&lt;=13)</f>
        <v/>
      </c>
      <c r="P561">
        <f>IF(OR(N561&lt;1.4,N561&gt;13),"",IF(G561*1000&lt;=1170,IF(N561&lt;1.8,"1014",IF(N561&lt;2.9,"1018",IF(N561&lt;3.8,"1029",IF(N561&lt;5,"1038",IF(N561&lt;7,"1050",IF(N561&lt;9,"1070",IF(N561&lt;11,"1090","1110"))))))),IF(G561*1000&lt;=1570,IF(N561&lt;1.8,"",IF(N561&lt;2.9,"2018",IF(N561&lt;3.8,"2029",IF(N561&lt;5,"2038",IF(N561&lt;7,"2050",IF(N561&lt;9,"2070",IF(N561&lt;11,"2090","2110"))))))),IF(G561*1000&lt;=1700,IF(N561&lt;1.8,"",IF(N561&lt;2.9,"3018",IF(N561&lt;3.8,"3029",IF(N561&lt;5,"3038",IF(N561&lt;7,"3050",IF(N561&lt;9,"3070",IF(N561&lt;11,"3090","3110"))))))),""))))</f>
        <v/>
      </c>
      <c r="Q561">
        <f>AND(O561=TRUE,P561&lt;&gt;"")</f>
        <v/>
      </c>
      <c r="R561">
        <f>IF(G561*1000&lt;750,"なし","あり")</f>
        <v/>
      </c>
      <c r="S561">
        <f>IF(AND(O561=TRUE,Q561=TRUE),"設定可","BLOCK")</f>
        <v/>
      </c>
      <c r="T561" t="inlineStr">
        <is>
          <t>商品カタログ P194</t>
        </is>
      </c>
      <c r="U561" t="inlineStr">
        <is>
          <t>https://webcatalog.lixil.co.jp/iportal/CatalogDetail.do?catalogID=15191910000&amp;categoryID=1630000&amp;designID=newinter&amp;method=initial_screen&amp;position=18&amp;type=mc&amp;volumeID=LXL13001</t>
        </is>
      </c>
    </row>
    <row r="562">
      <c r="A562" t="inlineStr">
        <is>
          <t>WG-SL-00559</t>
        </is>
      </c>
      <c r="B562" t="inlineStr">
        <is>
          <t>SZ-SL-001008</t>
        </is>
      </c>
      <c r="C562" t="inlineStr">
        <is>
          <t>WT-SL-MENKOSHI-AGE-FS</t>
        </is>
      </c>
      <c r="D562" t="inlineStr">
        <is>
          <t>SP-SL-AGE-GRILLE-DIA</t>
        </is>
      </c>
      <c r="E562" t="inlineStr">
        <is>
          <t>06911</t>
        </is>
      </c>
      <c r="F562" t="n">
        <v>0.73</v>
      </c>
      <c r="G562" t="n">
        <v>1.17</v>
      </c>
      <c r="H562" t="inlineStr">
        <is>
          <t>GL-SL-001</t>
        </is>
      </c>
      <c r="I562" t="n">
        <v>6</v>
      </c>
      <c r="J562" t="n">
        <v>7.8</v>
      </c>
      <c r="K562" t="n">
        <v>-0.355</v>
      </c>
      <c r="L562" t="n">
        <v>-0.664</v>
      </c>
      <c r="M562" t="n">
        <v>0.335</v>
      </c>
      <c r="N562">
        <f>ROUND(J562*F562*G562+K562*G562+L562*F562+M562,3)</f>
        <v/>
      </c>
      <c r="O562">
        <f>AND(N562&gt;=1.4,N562&lt;=13)</f>
        <v/>
      </c>
      <c r="P562">
        <f>IF(OR(N562&lt;1.4,N562&gt;13),"",IF(G562*1000&lt;=1170,IF(N562&lt;1.8,"1014",IF(N562&lt;2.9,"1018",IF(N562&lt;3.8,"1029",IF(N562&lt;5,"1038",IF(N562&lt;7,"1050",IF(N562&lt;9,"1070",IF(N562&lt;11,"1090","1110"))))))),IF(G562*1000&lt;=1570,IF(N562&lt;1.8,"",IF(N562&lt;2.9,"2018",IF(N562&lt;3.8,"2029",IF(N562&lt;5,"2038",IF(N562&lt;7,"2050",IF(N562&lt;9,"2070",IF(N562&lt;11,"2090","2110"))))))),IF(G562*1000&lt;=1700,IF(N562&lt;1.8,"",IF(N562&lt;2.9,"3018",IF(N562&lt;3.8,"3029",IF(N562&lt;5,"3038",IF(N562&lt;7,"3050",IF(N562&lt;9,"3070",IF(N562&lt;11,"3090","3110"))))))),""))))</f>
        <v/>
      </c>
      <c r="Q562">
        <f>AND(O562=TRUE,P562&lt;&gt;"")</f>
        <v/>
      </c>
      <c r="R562">
        <f>IF(G562*1000&lt;750,"なし","あり")</f>
        <v/>
      </c>
      <c r="S562">
        <f>IF(AND(O562=TRUE,Q562=TRUE),"設定可","BLOCK")</f>
        <v/>
      </c>
      <c r="T562" t="inlineStr">
        <is>
          <t>商品カタログ P194</t>
        </is>
      </c>
      <c r="U562" t="inlineStr">
        <is>
          <t>https://webcatalog.lixil.co.jp/iportal/CatalogDetail.do?catalogID=15191910000&amp;categoryID=1630000&amp;designID=newinter&amp;method=initial_screen&amp;position=18&amp;type=mc&amp;volumeID=LXL13001</t>
        </is>
      </c>
    </row>
    <row r="563">
      <c r="A563" t="inlineStr">
        <is>
          <t>WG-SL-00560</t>
        </is>
      </c>
      <c r="B563" t="inlineStr">
        <is>
          <t>SZ-SL-001008</t>
        </is>
      </c>
      <c r="C563" t="inlineStr">
        <is>
          <t>WT-SL-MENKOSHI-AGE-FS</t>
        </is>
      </c>
      <c r="D563" t="inlineStr">
        <is>
          <t>SP-SL-AGE-GRILLE-DIA</t>
        </is>
      </c>
      <c r="E563" t="inlineStr">
        <is>
          <t>06911</t>
        </is>
      </c>
      <c r="F563" t="n">
        <v>0.73</v>
      </c>
      <c r="G563" t="n">
        <v>1.17</v>
      </c>
      <c r="H563" t="inlineStr">
        <is>
          <t>GL-SL-002</t>
        </is>
      </c>
      <c r="I563" t="n">
        <v>7</v>
      </c>
      <c r="J563" t="n">
        <v>9.1</v>
      </c>
      <c r="K563" t="n">
        <v>-0.48</v>
      </c>
      <c r="L563" t="n">
        <v>-0.998</v>
      </c>
      <c r="M563" t="n">
        <v>0.367</v>
      </c>
      <c r="N563">
        <f>ROUND(J563*F563*G563+K563*G563+L563*F563+M563,3)</f>
        <v/>
      </c>
      <c r="O563">
        <f>AND(N563&gt;=1.4,N563&lt;=13)</f>
        <v/>
      </c>
      <c r="P563">
        <f>IF(OR(N563&lt;1.4,N563&gt;13),"",IF(G563*1000&lt;=1170,IF(N563&lt;1.8,"1014",IF(N563&lt;2.9,"1018",IF(N563&lt;3.8,"1029",IF(N563&lt;5,"1038",IF(N563&lt;7,"1050",IF(N563&lt;9,"1070",IF(N563&lt;11,"1090","1110"))))))),IF(G563*1000&lt;=1570,IF(N563&lt;1.8,"",IF(N563&lt;2.9,"2018",IF(N563&lt;3.8,"2029",IF(N563&lt;5,"2038",IF(N563&lt;7,"2050",IF(N563&lt;9,"2070",IF(N563&lt;11,"2090","2110"))))))),IF(G563*1000&lt;=1700,IF(N563&lt;1.8,"",IF(N563&lt;2.9,"3018",IF(N563&lt;3.8,"3029",IF(N563&lt;5,"3038",IF(N563&lt;7,"3050",IF(N563&lt;9,"3070",IF(N563&lt;11,"3090","3110"))))))),""))))</f>
        <v/>
      </c>
      <c r="Q563">
        <f>AND(O563=TRUE,P563&lt;&gt;"")</f>
        <v/>
      </c>
      <c r="R563">
        <f>IF(G563*1000&lt;750,"なし","あり")</f>
        <v/>
      </c>
      <c r="S563">
        <f>IF(AND(O563=TRUE,Q563=TRUE),"設定可","BLOCK")</f>
        <v/>
      </c>
      <c r="T563" t="inlineStr">
        <is>
          <t>商品カタログ P194</t>
        </is>
      </c>
      <c r="U563" t="inlineStr">
        <is>
          <t>https://webcatalog.lixil.co.jp/iportal/CatalogDetail.do?catalogID=15191910000&amp;categoryID=1630000&amp;designID=newinter&amp;method=initial_screen&amp;position=18&amp;type=mc&amp;volumeID=LXL13001</t>
        </is>
      </c>
    </row>
    <row r="564">
      <c r="A564" t="inlineStr">
        <is>
          <t>WG-SL-00561</t>
        </is>
      </c>
      <c r="B564" t="inlineStr">
        <is>
          <t>SZ-SL-001008</t>
        </is>
      </c>
      <c r="C564" t="inlineStr">
        <is>
          <t>WT-SL-MENKOSHI-AGE-FS</t>
        </is>
      </c>
      <c r="D564" t="inlineStr">
        <is>
          <t>SP-SL-AGE-GRILLE-DIA</t>
        </is>
      </c>
      <c r="E564" t="inlineStr">
        <is>
          <t>06911</t>
        </is>
      </c>
      <c r="F564" t="n">
        <v>0.73</v>
      </c>
      <c r="G564" t="n">
        <v>1.17</v>
      </c>
      <c r="H564" t="inlineStr">
        <is>
          <t>GL-SL-003</t>
        </is>
      </c>
      <c r="I564" t="n">
        <v>8</v>
      </c>
      <c r="J564" t="n">
        <v>10.4</v>
      </c>
      <c r="K564" t="n">
        <v>-0.605</v>
      </c>
      <c r="L564" t="n">
        <v>-1.332</v>
      </c>
      <c r="M564" t="n">
        <v>0.399</v>
      </c>
      <c r="N564">
        <f>ROUND(J564*F564*G564+K564*G564+L564*F564+M564,3)</f>
        <v/>
      </c>
      <c r="O564">
        <f>AND(N564&gt;=1.4,N564&lt;=13)</f>
        <v/>
      </c>
      <c r="P564">
        <f>IF(OR(N564&lt;1.4,N564&gt;13),"",IF(G564*1000&lt;=1170,IF(N564&lt;1.8,"1014",IF(N564&lt;2.9,"1018",IF(N564&lt;3.8,"1029",IF(N564&lt;5,"1038",IF(N564&lt;7,"1050",IF(N564&lt;9,"1070",IF(N564&lt;11,"1090","1110"))))))),IF(G564*1000&lt;=1570,IF(N564&lt;1.8,"",IF(N564&lt;2.9,"2018",IF(N564&lt;3.8,"2029",IF(N564&lt;5,"2038",IF(N564&lt;7,"2050",IF(N564&lt;9,"2070",IF(N564&lt;11,"2090","2110"))))))),IF(G564*1000&lt;=1700,IF(N564&lt;1.8,"",IF(N564&lt;2.9,"3018",IF(N564&lt;3.8,"3029",IF(N564&lt;5,"3038",IF(N564&lt;7,"3050",IF(N564&lt;9,"3070",IF(N564&lt;11,"3090","3110"))))))),""))))</f>
        <v/>
      </c>
      <c r="Q564">
        <f>AND(O564=TRUE,P564&lt;&gt;"")</f>
        <v/>
      </c>
      <c r="R564">
        <f>IF(G564*1000&lt;750,"なし","あり")</f>
        <v/>
      </c>
      <c r="S564">
        <f>IF(AND(O564=TRUE,Q564=TRUE),"設定可","BLOCK")</f>
        <v/>
      </c>
      <c r="T564" t="inlineStr">
        <is>
          <t>商品カタログ P194</t>
        </is>
      </c>
      <c r="U564" t="inlineStr">
        <is>
          <t>https://webcatalog.lixil.co.jp/iportal/CatalogDetail.do?catalogID=15191910000&amp;categoryID=1630000&amp;designID=newinter&amp;method=initial_screen&amp;position=18&amp;type=mc&amp;volumeID=LXL13001</t>
        </is>
      </c>
    </row>
    <row r="565">
      <c r="A565" t="inlineStr">
        <is>
          <t>WG-SL-00562</t>
        </is>
      </c>
      <c r="B565" t="inlineStr">
        <is>
          <t>SZ-SL-001008</t>
        </is>
      </c>
      <c r="C565" t="inlineStr">
        <is>
          <t>WT-SL-MENKOSHI-AGE-FS</t>
        </is>
      </c>
      <c r="D565" t="inlineStr">
        <is>
          <t>SP-SL-AGE-GRILLE-DIA</t>
        </is>
      </c>
      <c r="E565" t="inlineStr">
        <is>
          <t>06911</t>
        </is>
      </c>
      <c r="F565" t="n">
        <v>0.73</v>
      </c>
      <c r="G565" t="n">
        <v>1.17</v>
      </c>
      <c r="H565" t="inlineStr">
        <is>
          <t>GL-SL-004</t>
        </is>
      </c>
      <c r="I565" t="n">
        <v>6</v>
      </c>
      <c r="J565" t="n">
        <v>7.8</v>
      </c>
      <c r="K565" t="n">
        <v>-0.355</v>
      </c>
      <c r="L565" t="n">
        <v>-0.664</v>
      </c>
      <c r="M565" t="n">
        <v>0.335</v>
      </c>
      <c r="N565">
        <f>ROUND(J565*F565*G565+K565*G565+L565*F565+M565,3)</f>
        <v/>
      </c>
      <c r="O565">
        <f>AND(N565&gt;=1.4,N565&lt;=13)</f>
        <v/>
      </c>
      <c r="P565">
        <f>IF(OR(N565&lt;1.4,N565&gt;13),"",IF(G565*1000&lt;=1170,IF(N565&lt;1.8,"1014",IF(N565&lt;2.9,"1018",IF(N565&lt;3.8,"1029",IF(N565&lt;5,"1038",IF(N565&lt;7,"1050",IF(N565&lt;9,"1070",IF(N565&lt;11,"1090","1110"))))))),IF(G565*1000&lt;=1570,IF(N565&lt;1.8,"",IF(N565&lt;2.9,"2018",IF(N565&lt;3.8,"2029",IF(N565&lt;5,"2038",IF(N565&lt;7,"2050",IF(N565&lt;9,"2070",IF(N565&lt;11,"2090","2110"))))))),IF(G565*1000&lt;=1700,IF(N565&lt;1.8,"",IF(N565&lt;2.9,"3018",IF(N565&lt;3.8,"3029",IF(N565&lt;5,"3038",IF(N565&lt;7,"3050",IF(N565&lt;9,"3070",IF(N565&lt;11,"3090","3110"))))))),""))))</f>
        <v/>
      </c>
      <c r="Q565">
        <f>AND(O565=TRUE,P565&lt;&gt;"")</f>
        <v/>
      </c>
      <c r="R565">
        <f>IF(G565*1000&lt;750,"なし","あり")</f>
        <v/>
      </c>
      <c r="S565">
        <f>IF(AND(O565=TRUE,Q565=TRUE),"設定可","BLOCK")</f>
        <v/>
      </c>
      <c r="T565" t="inlineStr">
        <is>
          <t>商品カタログ P194</t>
        </is>
      </c>
      <c r="U565" t="inlineStr">
        <is>
          <t>https://webcatalog.lixil.co.jp/iportal/CatalogDetail.do?catalogID=15191910000&amp;categoryID=1630000&amp;designID=newinter&amp;method=initial_screen&amp;position=18&amp;type=mc&amp;volumeID=LXL13001</t>
        </is>
      </c>
    </row>
    <row r="566">
      <c r="A566" t="inlineStr">
        <is>
          <t>WG-SL-00563</t>
        </is>
      </c>
      <c r="B566" t="inlineStr">
        <is>
          <t>SZ-SL-001008</t>
        </is>
      </c>
      <c r="C566" t="inlineStr">
        <is>
          <t>WT-SL-MENKOSHI-AGE-FS</t>
        </is>
      </c>
      <c r="D566" t="inlineStr">
        <is>
          <t>SP-SL-AGE-GRILLE-DIA</t>
        </is>
      </c>
      <c r="E566" t="inlineStr">
        <is>
          <t>06911</t>
        </is>
      </c>
      <c r="F566" t="n">
        <v>0.73</v>
      </c>
      <c r="G566" t="n">
        <v>1.17</v>
      </c>
      <c r="H566" t="inlineStr">
        <is>
          <t>GL-SL-005</t>
        </is>
      </c>
      <c r="I566" t="n">
        <v>7</v>
      </c>
      <c r="J566" t="n">
        <v>9.1</v>
      </c>
      <c r="K566" t="n">
        <v>-0.48</v>
      </c>
      <c r="L566" t="n">
        <v>-0.998</v>
      </c>
      <c r="M566" t="n">
        <v>0.367</v>
      </c>
      <c r="N566">
        <f>ROUND(J566*F566*G566+K566*G566+L566*F566+M566,3)</f>
        <v/>
      </c>
      <c r="O566">
        <f>AND(N566&gt;=1.4,N566&lt;=13)</f>
        <v/>
      </c>
      <c r="P566">
        <f>IF(OR(N566&lt;1.4,N566&gt;13),"",IF(G566*1000&lt;=1170,IF(N566&lt;1.8,"1014",IF(N566&lt;2.9,"1018",IF(N566&lt;3.8,"1029",IF(N566&lt;5,"1038",IF(N566&lt;7,"1050",IF(N566&lt;9,"1070",IF(N566&lt;11,"1090","1110"))))))),IF(G566*1000&lt;=1570,IF(N566&lt;1.8,"",IF(N566&lt;2.9,"2018",IF(N566&lt;3.8,"2029",IF(N566&lt;5,"2038",IF(N566&lt;7,"2050",IF(N566&lt;9,"2070",IF(N566&lt;11,"2090","2110"))))))),IF(G566*1000&lt;=1700,IF(N566&lt;1.8,"",IF(N566&lt;2.9,"3018",IF(N566&lt;3.8,"3029",IF(N566&lt;5,"3038",IF(N566&lt;7,"3050",IF(N566&lt;9,"3070",IF(N566&lt;11,"3090","3110"))))))),""))))</f>
        <v/>
      </c>
      <c r="Q566">
        <f>AND(O566=TRUE,P566&lt;&gt;"")</f>
        <v/>
      </c>
      <c r="R566">
        <f>IF(G566*1000&lt;750,"なし","あり")</f>
        <v/>
      </c>
      <c r="S566">
        <f>IF(AND(O566=TRUE,Q566=TRUE),"設定可","BLOCK")</f>
        <v/>
      </c>
      <c r="T566" t="inlineStr">
        <is>
          <t>商品カタログ P194</t>
        </is>
      </c>
      <c r="U566" t="inlineStr">
        <is>
          <t>https://webcatalog.lixil.co.jp/iportal/CatalogDetail.do?catalogID=15191910000&amp;categoryID=1630000&amp;designID=newinter&amp;method=initial_screen&amp;position=18&amp;type=mc&amp;volumeID=LXL13001</t>
        </is>
      </c>
    </row>
    <row r="567">
      <c r="A567" t="inlineStr">
        <is>
          <t>WG-SL-00564</t>
        </is>
      </c>
      <c r="B567" t="inlineStr">
        <is>
          <t>SZ-SL-001008</t>
        </is>
      </c>
      <c r="C567" t="inlineStr">
        <is>
          <t>WT-SL-MENKOSHI-AGE-FS</t>
        </is>
      </c>
      <c r="D567" t="inlineStr">
        <is>
          <t>SP-SL-AGE-GRILLE-DIA</t>
        </is>
      </c>
      <c r="E567" t="inlineStr">
        <is>
          <t>06911</t>
        </is>
      </c>
      <c r="F567" t="n">
        <v>0.73</v>
      </c>
      <c r="G567" t="n">
        <v>1.17</v>
      </c>
      <c r="H567" t="inlineStr">
        <is>
          <t>GL-SL-006</t>
        </is>
      </c>
      <c r="I567" t="n">
        <v>8</v>
      </c>
      <c r="J567" t="n">
        <v>10.4</v>
      </c>
      <c r="K567" t="n">
        <v>-0.605</v>
      </c>
      <c r="L567" t="n">
        <v>-1.332</v>
      </c>
      <c r="M567" t="n">
        <v>0.399</v>
      </c>
      <c r="N567">
        <f>ROUND(J567*F567*G567+K567*G567+L567*F567+M567,3)</f>
        <v/>
      </c>
      <c r="O567">
        <f>AND(N567&gt;=1.4,N567&lt;=13)</f>
        <v/>
      </c>
      <c r="P567">
        <f>IF(OR(N567&lt;1.4,N567&gt;13),"",IF(G567*1000&lt;=1170,IF(N567&lt;1.8,"1014",IF(N567&lt;2.9,"1018",IF(N567&lt;3.8,"1029",IF(N567&lt;5,"1038",IF(N567&lt;7,"1050",IF(N567&lt;9,"1070",IF(N567&lt;11,"1090","1110"))))))),IF(G567*1000&lt;=1570,IF(N567&lt;1.8,"",IF(N567&lt;2.9,"2018",IF(N567&lt;3.8,"2029",IF(N567&lt;5,"2038",IF(N567&lt;7,"2050",IF(N567&lt;9,"2070",IF(N567&lt;11,"2090","2110"))))))),IF(G567*1000&lt;=1700,IF(N567&lt;1.8,"",IF(N567&lt;2.9,"3018",IF(N567&lt;3.8,"3029",IF(N567&lt;5,"3038",IF(N567&lt;7,"3050",IF(N567&lt;9,"3070",IF(N567&lt;11,"3090","3110"))))))),""))))</f>
        <v/>
      </c>
      <c r="Q567">
        <f>AND(O567=TRUE,P567&lt;&gt;"")</f>
        <v/>
      </c>
      <c r="R567">
        <f>IF(G567*1000&lt;750,"なし","あり")</f>
        <v/>
      </c>
      <c r="S567">
        <f>IF(AND(O567=TRUE,Q567=TRUE),"設定可","BLOCK")</f>
        <v/>
      </c>
      <c r="T567" t="inlineStr">
        <is>
          <t>商品カタログ P194</t>
        </is>
      </c>
      <c r="U567" t="inlineStr">
        <is>
          <t>https://webcatalog.lixil.co.jp/iportal/CatalogDetail.do?catalogID=15191910000&amp;categoryID=1630000&amp;designID=newinter&amp;method=initial_screen&amp;position=18&amp;type=mc&amp;volumeID=LXL13001</t>
        </is>
      </c>
    </row>
    <row r="568">
      <c r="A568" t="inlineStr">
        <is>
          <t>WG-SL-00565</t>
        </is>
      </c>
      <c r="B568" t="inlineStr">
        <is>
          <t>SZ-SL-001008</t>
        </is>
      </c>
      <c r="C568" t="inlineStr">
        <is>
          <t>WT-SL-MENKOSHI-AGE-FS</t>
        </is>
      </c>
      <c r="D568" t="inlineStr">
        <is>
          <t>SP-SL-AGE-GRILLE-DIA</t>
        </is>
      </c>
      <c r="E568" t="inlineStr">
        <is>
          <t>06911</t>
        </is>
      </c>
      <c r="F568" t="n">
        <v>0.73</v>
      </c>
      <c r="G568" t="n">
        <v>1.17</v>
      </c>
      <c r="H568" t="inlineStr">
        <is>
          <t>GL-SL-007</t>
        </is>
      </c>
      <c r="I568" t="n">
        <v>6</v>
      </c>
      <c r="J568" t="n">
        <v>7.8</v>
      </c>
      <c r="K568" t="n">
        <v>-0.355</v>
      </c>
      <c r="L568" t="n">
        <v>-0.664</v>
      </c>
      <c r="M568" t="n">
        <v>0.335</v>
      </c>
      <c r="N568">
        <f>ROUND(J568*F568*G568+K568*G568+L568*F568+M568,3)</f>
        <v/>
      </c>
      <c r="O568">
        <f>AND(N568&gt;=1.4,N568&lt;=13)</f>
        <v/>
      </c>
      <c r="P568">
        <f>IF(OR(N568&lt;1.4,N568&gt;13),"",IF(G568*1000&lt;=1170,IF(N568&lt;1.8,"1014",IF(N568&lt;2.9,"1018",IF(N568&lt;3.8,"1029",IF(N568&lt;5,"1038",IF(N568&lt;7,"1050",IF(N568&lt;9,"1070",IF(N568&lt;11,"1090","1110"))))))),IF(G568*1000&lt;=1570,IF(N568&lt;1.8,"",IF(N568&lt;2.9,"2018",IF(N568&lt;3.8,"2029",IF(N568&lt;5,"2038",IF(N568&lt;7,"2050",IF(N568&lt;9,"2070",IF(N568&lt;11,"2090","2110"))))))),IF(G568*1000&lt;=1700,IF(N568&lt;1.8,"",IF(N568&lt;2.9,"3018",IF(N568&lt;3.8,"3029",IF(N568&lt;5,"3038",IF(N568&lt;7,"3050",IF(N568&lt;9,"3070",IF(N568&lt;11,"3090","3110"))))))),""))))</f>
        <v/>
      </c>
      <c r="Q568">
        <f>AND(O568=TRUE,P568&lt;&gt;"")</f>
        <v/>
      </c>
      <c r="R568">
        <f>IF(G568*1000&lt;750,"なし","あり")</f>
        <v/>
      </c>
      <c r="S568">
        <f>IF(AND(O568=TRUE,Q568=TRUE),"設定可","BLOCK")</f>
        <v/>
      </c>
      <c r="T568" t="inlineStr">
        <is>
          <t>商品カタログ P194</t>
        </is>
      </c>
      <c r="U568" t="inlineStr">
        <is>
          <t>https://webcatalog.lixil.co.jp/iportal/CatalogDetail.do?catalogID=15191910000&amp;categoryID=1630000&amp;designID=newinter&amp;method=initial_screen&amp;position=18&amp;type=mc&amp;volumeID=LXL13001</t>
        </is>
      </c>
    </row>
    <row r="569">
      <c r="A569" t="inlineStr">
        <is>
          <t>WG-SL-00566</t>
        </is>
      </c>
      <c r="B569" t="inlineStr">
        <is>
          <t>SZ-SL-001008</t>
        </is>
      </c>
      <c r="C569" t="inlineStr">
        <is>
          <t>WT-SL-MENKOSHI-AGE-FS</t>
        </is>
      </c>
      <c r="D569" t="inlineStr">
        <is>
          <t>SP-SL-AGE-GRILLE-DIA</t>
        </is>
      </c>
      <c r="E569" t="inlineStr">
        <is>
          <t>06911</t>
        </is>
      </c>
      <c r="F569" t="n">
        <v>0.73</v>
      </c>
      <c r="G569" t="n">
        <v>1.17</v>
      </c>
      <c r="H569" t="inlineStr">
        <is>
          <t>GL-SL-008</t>
        </is>
      </c>
      <c r="I569" t="n">
        <v>7</v>
      </c>
      <c r="J569" t="n">
        <v>9.1</v>
      </c>
      <c r="K569" t="n">
        <v>-0.48</v>
      </c>
      <c r="L569" t="n">
        <v>-0.998</v>
      </c>
      <c r="M569" t="n">
        <v>0.367</v>
      </c>
      <c r="N569">
        <f>ROUND(J569*F569*G569+K569*G569+L569*F569+M569,3)</f>
        <v/>
      </c>
      <c r="O569">
        <f>AND(N569&gt;=1.4,N569&lt;=13)</f>
        <v/>
      </c>
      <c r="P569">
        <f>IF(OR(N569&lt;1.4,N569&gt;13),"",IF(G569*1000&lt;=1170,IF(N569&lt;1.8,"1014",IF(N569&lt;2.9,"1018",IF(N569&lt;3.8,"1029",IF(N569&lt;5,"1038",IF(N569&lt;7,"1050",IF(N569&lt;9,"1070",IF(N569&lt;11,"1090","1110"))))))),IF(G569*1000&lt;=1570,IF(N569&lt;1.8,"",IF(N569&lt;2.9,"2018",IF(N569&lt;3.8,"2029",IF(N569&lt;5,"2038",IF(N569&lt;7,"2050",IF(N569&lt;9,"2070",IF(N569&lt;11,"2090","2110"))))))),IF(G569*1000&lt;=1700,IF(N569&lt;1.8,"",IF(N569&lt;2.9,"3018",IF(N569&lt;3.8,"3029",IF(N569&lt;5,"3038",IF(N569&lt;7,"3050",IF(N569&lt;9,"3070",IF(N569&lt;11,"3090","3110"))))))),""))))</f>
        <v/>
      </c>
      <c r="Q569">
        <f>AND(O569=TRUE,P569&lt;&gt;"")</f>
        <v/>
      </c>
      <c r="R569">
        <f>IF(G569*1000&lt;750,"なし","あり")</f>
        <v/>
      </c>
      <c r="S569">
        <f>IF(AND(O569=TRUE,Q569=TRUE),"設定可","BLOCK")</f>
        <v/>
      </c>
      <c r="T569" t="inlineStr">
        <is>
          <t>商品カタログ P194</t>
        </is>
      </c>
      <c r="U569" t="inlineStr">
        <is>
          <t>https://webcatalog.lixil.co.jp/iportal/CatalogDetail.do?catalogID=15191910000&amp;categoryID=1630000&amp;designID=newinter&amp;method=initial_screen&amp;position=18&amp;type=mc&amp;volumeID=LXL13001</t>
        </is>
      </c>
    </row>
    <row r="570">
      <c r="A570" t="inlineStr">
        <is>
          <t>WG-SL-00567</t>
        </is>
      </c>
      <c r="B570" t="inlineStr">
        <is>
          <t>SZ-SL-001008</t>
        </is>
      </c>
      <c r="C570" t="inlineStr">
        <is>
          <t>WT-SL-MENKOSHI-AGE-FS</t>
        </is>
      </c>
      <c r="D570" t="inlineStr">
        <is>
          <t>SP-SL-AGE-GRILLE-DIA</t>
        </is>
      </c>
      <c r="E570" t="inlineStr">
        <is>
          <t>06911</t>
        </is>
      </c>
      <c r="F570" t="n">
        <v>0.73</v>
      </c>
      <c r="G570" t="n">
        <v>1.17</v>
      </c>
      <c r="H570" t="inlineStr">
        <is>
          <t>GL-SL-009</t>
        </is>
      </c>
      <c r="I570" t="n">
        <v>8</v>
      </c>
      <c r="J570" t="n">
        <v>10.4</v>
      </c>
      <c r="K570" t="n">
        <v>-0.605</v>
      </c>
      <c r="L570" t="n">
        <v>-1.332</v>
      </c>
      <c r="M570" t="n">
        <v>0.399</v>
      </c>
      <c r="N570">
        <f>ROUND(J570*F570*G570+K570*G570+L570*F570+M570,3)</f>
        <v/>
      </c>
      <c r="O570">
        <f>AND(N570&gt;=1.4,N570&lt;=13)</f>
        <v/>
      </c>
      <c r="P570">
        <f>IF(OR(N570&lt;1.4,N570&gt;13),"",IF(G570*1000&lt;=1170,IF(N570&lt;1.8,"1014",IF(N570&lt;2.9,"1018",IF(N570&lt;3.8,"1029",IF(N570&lt;5,"1038",IF(N570&lt;7,"1050",IF(N570&lt;9,"1070",IF(N570&lt;11,"1090","1110"))))))),IF(G570*1000&lt;=1570,IF(N570&lt;1.8,"",IF(N570&lt;2.9,"2018",IF(N570&lt;3.8,"2029",IF(N570&lt;5,"2038",IF(N570&lt;7,"2050",IF(N570&lt;9,"2070",IF(N570&lt;11,"2090","2110"))))))),IF(G570*1000&lt;=1700,IF(N570&lt;1.8,"",IF(N570&lt;2.9,"3018",IF(N570&lt;3.8,"3029",IF(N570&lt;5,"3038",IF(N570&lt;7,"3050",IF(N570&lt;9,"3070",IF(N570&lt;11,"3090","3110"))))))),""))))</f>
        <v/>
      </c>
      <c r="Q570">
        <f>AND(O570=TRUE,P570&lt;&gt;"")</f>
        <v/>
      </c>
      <c r="R570">
        <f>IF(G570*1000&lt;750,"なし","あり")</f>
        <v/>
      </c>
      <c r="S570">
        <f>IF(AND(O570=TRUE,Q570=TRUE),"設定可","BLOCK")</f>
        <v/>
      </c>
      <c r="T570" t="inlineStr">
        <is>
          <t>商品カタログ P194</t>
        </is>
      </c>
      <c r="U570" t="inlineStr">
        <is>
          <t>https://webcatalog.lixil.co.jp/iportal/CatalogDetail.do?catalogID=15191910000&amp;categoryID=1630000&amp;designID=newinter&amp;method=initial_screen&amp;position=18&amp;type=mc&amp;volumeID=LXL13001</t>
        </is>
      </c>
    </row>
    <row r="571">
      <c r="A571" t="inlineStr">
        <is>
          <t>WG-SL-00568</t>
        </is>
      </c>
      <c r="B571" t="inlineStr">
        <is>
          <t>SZ-SL-001009</t>
        </is>
      </c>
      <c r="C571" t="inlineStr">
        <is>
          <t>WT-SL-MENKOSHI-AGE-FS</t>
        </is>
      </c>
      <c r="D571" t="inlineStr">
        <is>
          <t>SP-SL-AGE-GRILLE-DIA</t>
        </is>
      </c>
      <c r="E571" t="inlineStr">
        <is>
          <t>07411</t>
        </is>
      </c>
      <c r="F571" t="n">
        <v>0.78</v>
      </c>
      <c r="G571" t="n">
        <v>1.17</v>
      </c>
      <c r="H571" t="inlineStr">
        <is>
          <t>GL-SL-001</t>
        </is>
      </c>
      <c r="I571" t="n">
        <v>6</v>
      </c>
      <c r="J571" t="n">
        <v>7.8</v>
      </c>
      <c r="K571" t="n">
        <v>-0.355</v>
      </c>
      <c r="L571" t="n">
        <v>-0.664</v>
      </c>
      <c r="M571" t="n">
        <v>0.335</v>
      </c>
      <c r="N571">
        <f>ROUND(J571*F571*G571+K571*G571+L571*F571+M571,3)</f>
        <v/>
      </c>
      <c r="O571">
        <f>AND(N571&gt;=1.4,N571&lt;=13)</f>
        <v/>
      </c>
      <c r="P571">
        <f>IF(OR(N571&lt;1.4,N571&gt;13),"",IF(G571*1000&lt;=1170,IF(N571&lt;1.8,"1014",IF(N571&lt;2.9,"1018",IF(N571&lt;3.8,"1029",IF(N571&lt;5,"1038",IF(N571&lt;7,"1050",IF(N571&lt;9,"1070",IF(N571&lt;11,"1090","1110"))))))),IF(G571*1000&lt;=1570,IF(N571&lt;1.8,"",IF(N571&lt;2.9,"2018",IF(N571&lt;3.8,"2029",IF(N571&lt;5,"2038",IF(N571&lt;7,"2050",IF(N571&lt;9,"2070",IF(N571&lt;11,"2090","2110"))))))),IF(G571*1000&lt;=1700,IF(N571&lt;1.8,"",IF(N571&lt;2.9,"3018",IF(N571&lt;3.8,"3029",IF(N571&lt;5,"3038",IF(N571&lt;7,"3050",IF(N571&lt;9,"3070",IF(N571&lt;11,"3090","3110"))))))),""))))</f>
        <v/>
      </c>
      <c r="Q571">
        <f>AND(O571=TRUE,P571&lt;&gt;"")</f>
        <v/>
      </c>
      <c r="R571">
        <f>IF(G571*1000&lt;750,"なし","あり")</f>
        <v/>
      </c>
      <c r="S571">
        <f>IF(AND(O571=TRUE,Q571=TRUE),"設定可","BLOCK")</f>
        <v/>
      </c>
      <c r="T571" t="inlineStr">
        <is>
          <t>商品カタログ P194</t>
        </is>
      </c>
      <c r="U571" t="inlineStr">
        <is>
          <t>https://webcatalog.lixil.co.jp/iportal/CatalogDetail.do?catalogID=15191910000&amp;categoryID=1630000&amp;designID=newinter&amp;method=initial_screen&amp;position=18&amp;type=mc&amp;volumeID=LXL13001</t>
        </is>
      </c>
    </row>
    <row r="572">
      <c r="A572" t="inlineStr">
        <is>
          <t>WG-SL-00569</t>
        </is>
      </c>
      <c r="B572" t="inlineStr">
        <is>
          <t>SZ-SL-001009</t>
        </is>
      </c>
      <c r="C572" t="inlineStr">
        <is>
          <t>WT-SL-MENKOSHI-AGE-FS</t>
        </is>
      </c>
      <c r="D572" t="inlineStr">
        <is>
          <t>SP-SL-AGE-GRILLE-DIA</t>
        </is>
      </c>
      <c r="E572" t="inlineStr">
        <is>
          <t>07411</t>
        </is>
      </c>
      <c r="F572" t="n">
        <v>0.78</v>
      </c>
      <c r="G572" t="n">
        <v>1.17</v>
      </c>
      <c r="H572" t="inlineStr">
        <is>
          <t>GL-SL-002</t>
        </is>
      </c>
      <c r="I572" t="n">
        <v>7</v>
      </c>
      <c r="J572" t="n">
        <v>9.1</v>
      </c>
      <c r="K572" t="n">
        <v>-0.48</v>
      </c>
      <c r="L572" t="n">
        <v>-0.998</v>
      </c>
      <c r="M572" t="n">
        <v>0.367</v>
      </c>
      <c r="N572">
        <f>ROUND(J572*F572*G572+K572*G572+L572*F572+M572,3)</f>
        <v/>
      </c>
      <c r="O572">
        <f>AND(N572&gt;=1.4,N572&lt;=13)</f>
        <v/>
      </c>
      <c r="P572">
        <f>IF(OR(N572&lt;1.4,N572&gt;13),"",IF(G572*1000&lt;=1170,IF(N572&lt;1.8,"1014",IF(N572&lt;2.9,"1018",IF(N572&lt;3.8,"1029",IF(N572&lt;5,"1038",IF(N572&lt;7,"1050",IF(N572&lt;9,"1070",IF(N572&lt;11,"1090","1110"))))))),IF(G572*1000&lt;=1570,IF(N572&lt;1.8,"",IF(N572&lt;2.9,"2018",IF(N572&lt;3.8,"2029",IF(N572&lt;5,"2038",IF(N572&lt;7,"2050",IF(N572&lt;9,"2070",IF(N572&lt;11,"2090","2110"))))))),IF(G572*1000&lt;=1700,IF(N572&lt;1.8,"",IF(N572&lt;2.9,"3018",IF(N572&lt;3.8,"3029",IF(N572&lt;5,"3038",IF(N572&lt;7,"3050",IF(N572&lt;9,"3070",IF(N572&lt;11,"3090","3110"))))))),""))))</f>
        <v/>
      </c>
      <c r="Q572">
        <f>AND(O572=TRUE,P572&lt;&gt;"")</f>
        <v/>
      </c>
      <c r="R572">
        <f>IF(G572*1000&lt;750,"なし","あり")</f>
        <v/>
      </c>
      <c r="S572">
        <f>IF(AND(O572=TRUE,Q572=TRUE),"設定可","BLOCK")</f>
        <v/>
      </c>
      <c r="T572" t="inlineStr">
        <is>
          <t>商品カタログ P194</t>
        </is>
      </c>
      <c r="U572" t="inlineStr">
        <is>
          <t>https://webcatalog.lixil.co.jp/iportal/CatalogDetail.do?catalogID=15191910000&amp;categoryID=1630000&amp;designID=newinter&amp;method=initial_screen&amp;position=18&amp;type=mc&amp;volumeID=LXL13001</t>
        </is>
      </c>
    </row>
    <row r="573">
      <c r="A573" t="inlineStr">
        <is>
          <t>WG-SL-00570</t>
        </is>
      </c>
      <c r="B573" t="inlineStr">
        <is>
          <t>SZ-SL-001009</t>
        </is>
      </c>
      <c r="C573" t="inlineStr">
        <is>
          <t>WT-SL-MENKOSHI-AGE-FS</t>
        </is>
      </c>
      <c r="D573" t="inlineStr">
        <is>
          <t>SP-SL-AGE-GRILLE-DIA</t>
        </is>
      </c>
      <c r="E573" t="inlineStr">
        <is>
          <t>07411</t>
        </is>
      </c>
      <c r="F573" t="n">
        <v>0.78</v>
      </c>
      <c r="G573" t="n">
        <v>1.17</v>
      </c>
      <c r="H573" t="inlineStr">
        <is>
          <t>GL-SL-003</t>
        </is>
      </c>
      <c r="I573" t="n">
        <v>8</v>
      </c>
      <c r="J573" t="n">
        <v>10.4</v>
      </c>
      <c r="K573" t="n">
        <v>-0.605</v>
      </c>
      <c r="L573" t="n">
        <v>-1.332</v>
      </c>
      <c r="M573" t="n">
        <v>0.399</v>
      </c>
      <c r="N573">
        <f>ROUND(J573*F573*G573+K573*G573+L573*F573+M573,3)</f>
        <v/>
      </c>
      <c r="O573">
        <f>AND(N573&gt;=1.4,N573&lt;=13)</f>
        <v/>
      </c>
      <c r="P573">
        <f>IF(OR(N573&lt;1.4,N573&gt;13),"",IF(G573*1000&lt;=1170,IF(N573&lt;1.8,"1014",IF(N573&lt;2.9,"1018",IF(N573&lt;3.8,"1029",IF(N573&lt;5,"1038",IF(N573&lt;7,"1050",IF(N573&lt;9,"1070",IF(N573&lt;11,"1090","1110"))))))),IF(G573*1000&lt;=1570,IF(N573&lt;1.8,"",IF(N573&lt;2.9,"2018",IF(N573&lt;3.8,"2029",IF(N573&lt;5,"2038",IF(N573&lt;7,"2050",IF(N573&lt;9,"2070",IF(N573&lt;11,"2090","2110"))))))),IF(G573*1000&lt;=1700,IF(N573&lt;1.8,"",IF(N573&lt;2.9,"3018",IF(N573&lt;3.8,"3029",IF(N573&lt;5,"3038",IF(N573&lt;7,"3050",IF(N573&lt;9,"3070",IF(N573&lt;11,"3090","3110"))))))),""))))</f>
        <v/>
      </c>
      <c r="Q573">
        <f>AND(O573=TRUE,P573&lt;&gt;"")</f>
        <v/>
      </c>
      <c r="R573">
        <f>IF(G573*1000&lt;750,"なし","あり")</f>
        <v/>
      </c>
      <c r="S573">
        <f>IF(AND(O573=TRUE,Q573=TRUE),"設定可","BLOCK")</f>
        <v/>
      </c>
      <c r="T573" t="inlineStr">
        <is>
          <t>商品カタログ P194</t>
        </is>
      </c>
      <c r="U573" t="inlineStr">
        <is>
          <t>https://webcatalog.lixil.co.jp/iportal/CatalogDetail.do?catalogID=15191910000&amp;categoryID=1630000&amp;designID=newinter&amp;method=initial_screen&amp;position=18&amp;type=mc&amp;volumeID=LXL13001</t>
        </is>
      </c>
    </row>
    <row r="574">
      <c r="A574" t="inlineStr">
        <is>
          <t>WG-SL-00571</t>
        </is>
      </c>
      <c r="B574" t="inlineStr">
        <is>
          <t>SZ-SL-001009</t>
        </is>
      </c>
      <c r="C574" t="inlineStr">
        <is>
          <t>WT-SL-MENKOSHI-AGE-FS</t>
        </is>
      </c>
      <c r="D574" t="inlineStr">
        <is>
          <t>SP-SL-AGE-GRILLE-DIA</t>
        </is>
      </c>
      <c r="E574" t="inlineStr">
        <is>
          <t>07411</t>
        </is>
      </c>
      <c r="F574" t="n">
        <v>0.78</v>
      </c>
      <c r="G574" t="n">
        <v>1.17</v>
      </c>
      <c r="H574" t="inlineStr">
        <is>
          <t>GL-SL-004</t>
        </is>
      </c>
      <c r="I574" t="n">
        <v>6</v>
      </c>
      <c r="J574" t="n">
        <v>7.8</v>
      </c>
      <c r="K574" t="n">
        <v>-0.355</v>
      </c>
      <c r="L574" t="n">
        <v>-0.664</v>
      </c>
      <c r="M574" t="n">
        <v>0.335</v>
      </c>
      <c r="N574">
        <f>ROUND(J574*F574*G574+K574*G574+L574*F574+M574,3)</f>
        <v/>
      </c>
      <c r="O574">
        <f>AND(N574&gt;=1.4,N574&lt;=13)</f>
        <v/>
      </c>
      <c r="P574">
        <f>IF(OR(N574&lt;1.4,N574&gt;13),"",IF(G574*1000&lt;=1170,IF(N574&lt;1.8,"1014",IF(N574&lt;2.9,"1018",IF(N574&lt;3.8,"1029",IF(N574&lt;5,"1038",IF(N574&lt;7,"1050",IF(N574&lt;9,"1070",IF(N574&lt;11,"1090","1110"))))))),IF(G574*1000&lt;=1570,IF(N574&lt;1.8,"",IF(N574&lt;2.9,"2018",IF(N574&lt;3.8,"2029",IF(N574&lt;5,"2038",IF(N574&lt;7,"2050",IF(N574&lt;9,"2070",IF(N574&lt;11,"2090","2110"))))))),IF(G574*1000&lt;=1700,IF(N574&lt;1.8,"",IF(N574&lt;2.9,"3018",IF(N574&lt;3.8,"3029",IF(N574&lt;5,"3038",IF(N574&lt;7,"3050",IF(N574&lt;9,"3070",IF(N574&lt;11,"3090","3110"))))))),""))))</f>
        <v/>
      </c>
      <c r="Q574">
        <f>AND(O574=TRUE,P574&lt;&gt;"")</f>
        <v/>
      </c>
      <c r="R574">
        <f>IF(G574*1000&lt;750,"なし","あり")</f>
        <v/>
      </c>
      <c r="S574">
        <f>IF(AND(O574=TRUE,Q574=TRUE),"設定可","BLOCK")</f>
        <v/>
      </c>
      <c r="T574" t="inlineStr">
        <is>
          <t>商品カタログ P194</t>
        </is>
      </c>
      <c r="U574" t="inlineStr">
        <is>
          <t>https://webcatalog.lixil.co.jp/iportal/CatalogDetail.do?catalogID=15191910000&amp;categoryID=1630000&amp;designID=newinter&amp;method=initial_screen&amp;position=18&amp;type=mc&amp;volumeID=LXL13001</t>
        </is>
      </c>
    </row>
    <row r="575">
      <c r="A575" t="inlineStr">
        <is>
          <t>WG-SL-00572</t>
        </is>
      </c>
      <c r="B575" t="inlineStr">
        <is>
          <t>SZ-SL-001009</t>
        </is>
      </c>
      <c r="C575" t="inlineStr">
        <is>
          <t>WT-SL-MENKOSHI-AGE-FS</t>
        </is>
      </c>
      <c r="D575" t="inlineStr">
        <is>
          <t>SP-SL-AGE-GRILLE-DIA</t>
        </is>
      </c>
      <c r="E575" t="inlineStr">
        <is>
          <t>07411</t>
        </is>
      </c>
      <c r="F575" t="n">
        <v>0.78</v>
      </c>
      <c r="G575" t="n">
        <v>1.17</v>
      </c>
      <c r="H575" t="inlineStr">
        <is>
          <t>GL-SL-005</t>
        </is>
      </c>
      <c r="I575" t="n">
        <v>7</v>
      </c>
      <c r="J575" t="n">
        <v>9.1</v>
      </c>
      <c r="K575" t="n">
        <v>-0.48</v>
      </c>
      <c r="L575" t="n">
        <v>-0.998</v>
      </c>
      <c r="M575" t="n">
        <v>0.367</v>
      </c>
      <c r="N575">
        <f>ROUND(J575*F575*G575+K575*G575+L575*F575+M575,3)</f>
        <v/>
      </c>
      <c r="O575">
        <f>AND(N575&gt;=1.4,N575&lt;=13)</f>
        <v/>
      </c>
      <c r="P575">
        <f>IF(OR(N575&lt;1.4,N575&gt;13),"",IF(G575*1000&lt;=1170,IF(N575&lt;1.8,"1014",IF(N575&lt;2.9,"1018",IF(N575&lt;3.8,"1029",IF(N575&lt;5,"1038",IF(N575&lt;7,"1050",IF(N575&lt;9,"1070",IF(N575&lt;11,"1090","1110"))))))),IF(G575*1000&lt;=1570,IF(N575&lt;1.8,"",IF(N575&lt;2.9,"2018",IF(N575&lt;3.8,"2029",IF(N575&lt;5,"2038",IF(N575&lt;7,"2050",IF(N575&lt;9,"2070",IF(N575&lt;11,"2090","2110"))))))),IF(G575*1000&lt;=1700,IF(N575&lt;1.8,"",IF(N575&lt;2.9,"3018",IF(N575&lt;3.8,"3029",IF(N575&lt;5,"3038",IF(N575&lt;7,"3050",IF(N575&lt;9,"3070",IF(N575&lt;11,"3090","3110"))))))),""))))</f>
        <v/>
      </c>
      <c r="Q575">
        <f>AND(O575=TRUE,P575&lt;&gt;"")</f>
        <v/>
      </c>
      <c r="R575">
        <f>IF(G575*1000&lt;750,"なし","あり")</f>
        <v/>
      </c>
      <c r="S575">
        <f>IF(AND(O575=TRUE,Q575=TRUE),"設定可","BLOCK")</f>
        <v/>
      </c>
      <c r="T575" t="inlineStr">
        <is>
          <t>商品カタログ P194</t>
        </is>
      </c>
      <c r="U575" t="inlineStr">
        <is>
          <t>https://webcatalog.lixil.co.jp/iportal/CatalogDetail.do?catalogID=15191910000&amp;categoryID=1630000&amp;designID=newinter&amp;method=initial_screen&amp;position=18&amp;type=mc&amp;volumeID=LXL13001</t>
        </is>
      </c>
    </row>
    <row r="576">
      <c r="A576" t="inlineStr">
        <is>
          <t>WG-SL-00573</t>
        </is>
      </c>
      <c r="B576" t="inlineStr">
        <is>
          <t>SZ-SL-001009</t>
        </is>
      </c>
      <c r="C576" t="inlineStr">
        <is>
          <t>WT-SL-MENKOSHI-AGE-FS</t>
        </is>
      </c>
      <c r="D576" t="inlineStr">
        <is>
          <t>SP-SL-AGE-GRILLE-DIA</t>
        </is>
      </c>
      <c r="E576" t="inlineStr">
        <is>
          <t>07411</t>
        </is>
      </c>
      <c r="F576" t="n">
        <v>0.78</v>
      </c>
      <c r="G576" t="n">
        <v>1.17</v>
      </c>
      <c r="H576" t="inlineStr">
        <is>
          <t>GL-SL-006</t>
        </is>
      </c>
      <c r="I576" t="n">
        <v>8</v>
      </c>
      <c r="J576" t="n">
        <v>10.4</v>
      </c>
      <c r="K576" t="n">
        <v>-0.605</v>
      </c>
      <c r="L576" t="n">
        <v>-1.332</v>
      </c>
      <c r="M576" t="n">
        <v>0.399</v>
      </c>
      <c r="N576">
        <f>ROUND(J576*F576*G576+K576*G576+L576*F576+M576,3)</f>
        <v/>
      </c>
      <c r="O576">
        <f>AND(N576&gt;=1.4,N576&lt;=13)</f>
        <v/>
      </c>
      <c r="P576">
        <f>IF(OR(N576&lt;1.4,N576&gt;13),"",IF(G576*1000&lt;=1170,IF(N576&lt;1.8,"1014",IF(N576&lt;2.9,"1018",IF(N576&lt;3.8,"1029",IF(N576&lt;5,"1038",IF(N576&lt;7,"1050",IF(N576&lt;9,"1070",IF(N576&lt;11,"1090","1110"))))))),IF(G576*1000&lt;=1570,IF(N576&lt;1.8,"",IF(N576&lt;2.9,"2018",IF(N576&lt;3.8,"2029",IF(N576&lt;5,"2038",IF(N576&lt;7,"2050",IF(N576&lt;9,"2070",IF(N576&lt;11,"2090","2110"))))))),IF(G576*1000&lt;=1700,IF(N576&lt;1.8,"",IF(N576&lt;2.9,"3018",IF(N576&lt;3.8,"3029",IF(N576&lt;5,"3038",IF(N576&lt;7,"3050",IF(N576&lt;9,"3070",IF(N576&lt;11,"3090","3110"))))))),""))))</f>
        <v/>
      </c>
      <c r="Q576">
        <f>AND(O576=TRUE,P576&lt;&gt;"")</f>
        <v/>
      </c>
      <c r="R576">
        <f>IF(G576*1000&lt;750,"なし","あり")</f>
        <v/>
      </c>
      <c r="S576">
        <f>IF(AND(O576=TRUE,Q576=TRUE),"設定可","BLOCK")</f>
        <v/>
      </c>
      <c r="T576" t="inlineStr">
        <is>
          <t>商品カタログ P194</t>
        </is>
      </c>
      <c r="U576" t="inlineStr">
        <is>
          <t>https://webcatalog.lixil.co.jp/iportal/CatalogDetail.do?catalogID=15191910000&amp;categoryID=1630000&amp;designID=newinter&amp;method=initial_screen&amp;position=18&amp;type=mc&amp;volumeID=LXL13001</t>
        </is>
      </c>
    </row>
    <row r="577">
      <c r="A577" t="inlineStr">
        <is>
          <t>WG-SL-00574</t>
        </is>
      </c>
      <c r="B577" t="inlineStr">
        <is>
          <t>SZ-SL-001009</t>
        </is>
      </c>
      <c r="C577" t="inlineStr">
        <is>
          <t>WT-SL-MENKOSHI-AGE-FS</t>
        </is>
      </c>
      <c r="D577" t="inlineStr">
        <is>
          <t>SP-SL-AGE-GRILLE-DIA</t>
        </is>
      </c>
      <c r="E577" t="inlineStr">
        <is>
          <t>07411</t>
        </is>
      </c>
      <c r="F577" t="n">
        <v>0.78</v>
      </c>
      <c r="G577" t="n">
        <v>1.17</v>
      </c>
      <c r="H577" t="inlineStr">
        <is>
          <t>GL-SL-007</t>
        </is>
      </c>
      <c r="I577" t="n">
        <v>6</v>
      </c>
      <c r="J577" t="n">
        <v>7.8</v>
      </c>
      <c r="K577" t="n">
        <v>-0.355</v>
      </c>
      <c r="L577" t="n">
        <v>-0.664</v>
      </c>
      <c r="M577" t="n">
        <v>0.335</v>
      </c>
      <c r="N577">
        <f>ROUND(J577*F577*G577+K577*G577+L577*F577+M577,3)</f>
        <v/>
      </c>
      <c r="O577">
        <f>AND(N577&gt;=1.4,N577&lt;=13)</f>
        <v/>
      </c>
      <c r="P577">
        <f>IF(OR(N577&lt;1.4,N577&gt;13),"",IF(G577*1000&lt;=1170,IF(N577&lt;1.8,"1014",IF(N577&lt;2.9,"1018",IF(N577&lt;3.8,"1029",IF(N577&lt;5,"1038",IF(N577&lt;7,"1050",IF(N577&lt;9,"1070",IF(N577&lt;11,"1090","1110"))))))),IF(G577*1000&lt;=1570,IF(N577&lt;1.8,"",IF(N577&lt;2.9,"2018",IF(N577&lt;3.8,"2029",IF(N577&lt;5,"2038",IF(N577&lt;7,"2050",IF(N577&lt;9,"2070",IF(N577&lt;11,"2090","2110"))))))),IF(G577*1000&lt;=1700,IF(N577&lt;1.8,"",IF(N577&lt;2.9,"3018",IF(N577&lt;3.8,"3029",IF(N577&lt;5,"3038",IF(N577&lt;7,"3050",IF(N577&lt;9,"3070",IF(N577&lt;11,"3090","3110"))))))),""))))</f>
        <v/>
      </c>
      <c r="Q577">
        <f>AND(O577=TRUE,P577&lt;&gt;"")</f>
        <v/>
      </c>
      <c r="R577">
        <f>IF(G577*1000&lt;750,"なし","あり")</f>
        <v/>
      </c>
      <c r="S577">
        <f>IF(AND(O577=TRUE,Q577=TRUE),"設定可","BLOCK")</f>
        <v/>
      </c>
      <c r="T577" t="inlineStr">
        <is>
          <t>商品カタログ P194</t>
        </is>
      </c>
      <c r="U577" t="inlineStr">
        <is>
          <t>https://webcatalog.lixil.co.jp/iportal/CatalogDetail.do?catalogID=15191910000&amp;categoryID=1630000&amp;designID=newinter&amp;method=initial_screen&amp;position=18&amp;type=mc&amp;volumeID=LXL13001</t>
        </is>
      </c>
    </row>
    <row r="578">
      <c r="A578" t="inlineStr">
        <is>
          <t>WG-SL-00575</t>
        </is>
      </c>
      <c r="B578" t="inlineStr">
        <is>
          <t>SZ-SL-001009</t>
        </is>
      </c>
      <c r="C578" t="inlineStr">
        <is>
          <t>WT-SL-MENKOSHI-AGE-FS</t>
        </is>
      </c>
      <c r="D578" t="inlineStr">
        <is>
          <t>SP-SL-AGE-GRILLE-DIA</t>
        </is>
      </c>
      <c r="E578" t="inlineStr">
        <is>
          <t>07411</t>
        </is>
      </c>
      <c r="F578" t="n">
        <v>0.78</v>
      </c>
      <c r="G578" t="n">
        <v>1.17</v>
      </c>
      <c r="H578" t="inlineStr">
        <is>
          <t>GL-SL-008</t>
        </is>
      </c>
      <c r="I578" t="n">
        <v>7</v>
      </c>
      <c r="J578" t="n">
        <v>9.1</v>
      </c>
      <c r="K578" t="n">
        <v>-0.48</v>
      </c>
      <c r="L578" t="n">
        <v>-0.998</v>
      </c>
      <c r="M578" t="n">
        <v>0.367</v>
      </c>
      <c r="N578">
        <f>ROUND(J578*F578*G578+K578*G578+L578*F578+M578,3)</f>
        <v/>
      </c>
      <c r="O578">
        <f>AND(N578&gt;=1.4,N578&lt;=13)</f>
        <v/>
      </c>
      <c r="P578">
        <f>IF(OR(N578&lt;1.4,N578&gt;13),"",IF(G578*1000&lt;=1170,IF(N578&lt;1.8,"1014",IF(N578&lt;2.9,"1018",IF(N578&lt;3.8,"1029",IF(N578&lt;5,"1038",IF(N578&lt;7,"1050",IF(N578&lt;9,"1070",IF(N578&lt;11,"1090","1110"))))))),IF(G578*1000&lt;=1570,IF(N578&lt;1.8,"",IF(N578&lt;2.9,"2018",IF(N578&lt;3.8,"2029",IF(N578&lt;5,"2038",IF(N578&lt;7,"2050",IF(N578&lt;9,"2070",IF(N578&lt;11,"2090","2110"))))))),IF(G578*1000&lt;=1700,IF(N578&lt;1.8,"",IF(N578&lt;2.9,"3018",IF(N578&lt;3.8,"3029",IF(N578&lt;5,"3038",IF(N578&lt;7,"3050",IF(N578&lt;9,"3070",IF(N578&lt;11,"3090","3110"))))))),""))))</f>
        <v/>
      </c>
      <c r="Q578">
        <f>AND(O578=TRUE,P578&lt;&gt;"")</f>
        <v/>
      </c>
      <c r="R578">
        <f>IF(G578*1000&lt;750,"なし","あり")</f>
        <v/>
      </c>
      <c r="S578">
        <f>IF(AND(O578=TRUE,Q578=TRUE),"設定可","BLOCK")</f>
        <v/>
      </c>
      <c r="T578" t="inlineStr">
        <is>
          <t>商品カタログ P194</t>
        </is>
      </c>
      <c r="U578" t="inlineStr">
        <is>
          <t>https://webcatalog.lixil.co.jp/iportal/CatalogDetail.do?catalogID=15191910000&amp;categoryID=1630000&amp;designID=newinter&amp;method=initial_screen&amp;position=18&amp;type=mc&amp;volumeID=LXL13001</t>
        </is>
      </c>
    </row>
    <row r="579">
      <c r="A579" t="inlineStr">
        <is>
          <t>WG-SL-00576</t>
        </is>
      </c>
      <c r="B579" t="inlineStr">
        <is>
          <t>SZ-SL-001009</t>
        </is>
      </c>
      <c r="C579" t="inlineStr">
        <is>
          <t>WT-SL-MENKOSHI-AGE-FS</t>
        </is>
      </c>
      <c r="D579" t="inlineStr">
        <is>
          <t>SP-SL-AGE-GRILLE-DIA</t>
        </is>
      </c>
      <c r="E579" t="inlineStr">
        <is>
          <t>07411</t>
        </is>
      </c>
      <c r="F579" t="n">
        <v>0.78</v>
      </c>
      <c r="G579" t="n">
        <v>1.17</v>
      </c>
      <c r="H579" t="inlineStr">
        <is>
          <t>GL-SL-009</t>
        </is>
      </c>
      <c r="I579" t="n">
        <v>8</v>
      </c>
      <c r="J579" t="n">
        <v>10.4</v>
      </c>
      <c r="K579" t="n">
        <v>-0.605</v>
      </c>
      <c r="L579" t="n">
        <v>-1.332</v>
      </c>
      <c r="M579" t="n">
        <v>0.399</v>
      </c>
      <c r="N579">
        <f>ROUND(J579*F579*G579+K579*G579+L579*F579+M579,3)</f>
        <v/>
      </c>
      <c r="O579">
        <f>AND(N579&gt;=1.4,N579&lt;=13)</f>
        <v/>
      </c>
      <c r="P579">
        <f>IF(OR(N579&lt;1.4,N579&gt;13),"",IF(G579*1000&lt;=1170,IF(N579&lt;1.8,"1014",IF(N579&lt;2.9,"1018",IF(N579&lt;3.8,"1029",IF(N579&lt;5,"1038",IF(N579&lt;7,"1050",IF(N579&lt;9,"1070",IF(N579&lt;11,"1090","1110"))))))),IF(G579*1000&lt;=1570,IF(N579&lt;1.8,"",IF(N579&lt;2.9,"2018",IF(N579&lt;3.8,"2029",IF(N579&lt;5,"2038",IF(N579&lt;7,"2050",IF(N579&lt;9,"2070",IF(N579&lt;11,"2090","2110"))))))),IF(G579*1000&lt;=1700,IF(N579&lt;1.8,"",IF(N579&lt;2.9,"3018",IF(N579&lt;3.8,"3029",IF(N579&lt;5,"3038",IF(N579&lt;7,"3050",IF(N579&lt;9,"3070",IF(N579&lt;11,"3090","3110"))))))),""))))</f>
        <v/>
      </c>
      <c r="Q579">
        <f>AND(O579=TRUE,P579&lt;&gt;"")</f>
        <v/>
      </c>
      <c r="R579">
        <f>IF(G579*1000&lt;750,"なし","あり")</f>
        <v/>
      </c>
      <c r="S579">
        <f>IF(AND(O579=TRUE,Q579=TRUE),"設定可","BLOCK")</f>
        <v/>
      </c>
      <c r="T579" t="inlineStr">
        <is>
          <t>商品カタログ P194</t>
        </is>
      </c>
      <c r="U579" t="inlineStr">
        <is>
          <t>https://webcatalog.lixil.co.jp/iportal/CatalogDetail.do?catalogID=15191910000&amp;categoryID=1630000&amp;designID=newinter&amp;method=initial_screen&amp;position=18&amp;type=mc&amp;volumeID=LXL13001</t>
        </is>
      </c>
    </row>
    <row r="580">
      <c r="A580" t="inlineStr">
        <is>
          <t>WG-SL-00577</t>
        </is>
      </c>
      <c r="B580" t="inlineStr">
        <is>
          <t>SZ-SL-001010</t>
        </is>
      </c>
      <c r="C580" t="inlineStr">
        <is>
          <t>WT-SL-MENKOSHI-AGE-FS</t>
        </is>
      </c>
      <c r="D580" t="inlineStr">
        <is>
          <t>SP-SL-AGE-GRILLE-H</t>
        </is>
      </c>
      <c r="E580" t="inlineStr">
        <is>
          <t>02611</t>
        </is>
      </c>
      <c r="F580" t="n">
        <v>0.3</v>
      </c>
      <c r="G580" t="n">
        <v>1.17</v>
      </c>
      <c r="H580" t="inlineStr">
        <is>
          <t>GL-SL-001</t>
        </is>
      </c>
      <c r="I580" t="n">
        <v>6</v>
      </c>
      <c r="J580" t="n">
        <v>7.8</v>
      </c>
      <c r="K580" t="n">
        <v>-0.355</v>
      </c>
      <c r="L580" t="n">
        <v>-0.664</v>
      </c>
      <c r="M580" t="n">
        <v>0.335</v>
      </c>
      <c r="N580">
        <f>ROUND(J580*F580*G580+K580*G580+L580*F580+M580,3)</f>
        <v/>
      </c>
      <c r="O580">
        <f>AND(N580&gt;=1.4,N580&lt;=13)</f>
        <v/>
      </c>
      <c r="P580">
        <f>IF(OR(N580&lt;1.4,N580&gt;13),"",IF(G580*1000&lt;=1170,IF(N580&lt;1.8,"1014",IF(N580&lt;2.9,"1018",IF(N580&lt;3.8,"1029",IF(N580&lt;5,"1038",IF(N580&lt;7,"1050",IF(N580&lt;9,"1070",IF(N580&lt;11,"1090","1110"))))))),IF(G580*1000&lt;=1570,IF(N580&lt;1.8,"",IF(N580&lt;2.9,"2018",IF(N580&lt;3.8,"2029",IF(N580&lt;5,"2038",IF(N580&lt;7,"2050",IF(N580&lt;9,"2070",IF(N580&lt;11,"2090","2110"))))))),IF(G580*1000&lt;=1700,IF(N580&lt;1.8,"",IF(N580&lt;2.9,"3018",IF(N580&lt;3.8,"3029",IF(N580&lt;5,"3038",IF(N580&lt;7,"3050",IF(N580&lt;9,"3070",IF(N580&lt;11,"3090","3110"))))))),""))))</f>
        <v/>
      </c>
      <c r="Q580">
        <f>AND(O580=TRUE,P580&lt;&gt;"")</f>
        <v/>
      </c>
      <c r="R580">
        <f>IF(G580*1000&lt;750,"なし","あり")</f>
        <v/>
      </c>
      <c r="S580">
        <f>IF(AND(O580=TRUE,Q580=TRUE),"設定可","BLOCK")</f>
        <v/>
      </c>
      <c r="T580" t="inlineStr">
        <is>
          <t>商品カタログ P194</t>
        </is>
      </c>
      <c r="U580" t="inlineStr">
        <is>
          <t>https://webcatalog.lixil.co.jp/iportal/CatalogDetail.do?catalogID=15191910000&amp;categoryID=1630000&amp;designID=newinter&amp;method=initial_screen&amp;position=18&amp;type=mc&amp;volumeID=LXL13001</t>
        </is>
      </c>
    </row>
    <row r="581">
      <c r="A581" t="inlineStr">
        <is>
          <t>WG-SL-00578</t>
        </is>
      </c>
      <c r="B581" t="inlineStr">
        <is>
          <t>SZ-SL-001010</t>
        </is>
      </c>
      <c r="C581" t="inlineStr">
        <is>
          <t>WT-SL-MENKOSHI-AGE-FS</t>
        </is>
      </c>
      <c r="D581" t="inlineStr">
        <is>
          <t>SP-SL-AGE-GRILLE-H</t>
        </is>
      </c>
      <c r="E581" t="inlineStr">
        <is>
          <t>02611</t>
        </is>
      </c>
      <c r="F581" t="n">
        <v>0.3</v>
      </c>
      <c r="G581" t="n">
        <v>1.17</v>
      </c>
      <c r="H581" t="inlineStr">
        <is>
          <t>GL-SL-002</t>
        </is>
      </c>
      <c r="I581" t="n">
        <v>7</v>
      </c>
      <c r="J581" t="n">
        <v>9.1</v>
      </c>
      <c r="K581" t="n">
        <v>-0.48</v>
      </c>
      <c r="L581" t="n">
        <v>-0.998</v>
      </c>
      <c r="M581" t="n">
        <v>0.367</v>
      </c>
      <c r="N581">
        <f>ROUND(J581*F581*G581+K581*G581+L581*F581+M581,3)</f>
        <v/>
      </c>
      <c r="O581">
        <f>AND(N581&gt;=1.4,N581&lt;=13)</f>
        <v/>
      </c>
      <c r="P581">
        <f>IF(OR(N581&lt;1.4,N581&gt;13),"",IF(G581*1000&lt;=1170,IF(N581&lt;1.8,"1014",IF(N581&lt;2.9,"1018",IF(N581&lt;3.8,"1029",IF(N581&lt;5,"1038",IF(N581&lt;7,"1050",IF(N581&lt;9,"1070",IF(N581&lt;11,"1090","1110"))))))),IF(G581*1000&lt;=1570,IF(N581&lt;1.8,"",IF(N581&lt;2.9,"2018",IF(N581&lt;3.8,"2029",IF(N581&lt;5,"2038",IF(N581&lt;7,"2050",IF(N581&lt;9,"2070",IF(N581&lt;11,"2090","2110"))))))),IF(G581*1000&lt;=1700,IF(N581&lt;1.8,"",IF(N581&lt;2.9,"3018",IF(N581&lt;3.8,"3029",IF(N581&lt;5,"3038",IF(N581&lt;7,"3050",IF(N581&lt;9,"3070",IF(N581&lt;11,"3090","3110"))))))),""))))</f>
        <v/>
      </c>
      <c r="Q581">
        <f>AND(O581=TRUE,P581&lt;&gt;"")</f>
        <v/>
      </c>
      <c r="R581">
        <f>IF(G581*1000&lt;750,"なし","あり")</f>
        <v/>
      </c>
      <c r="S581">
        <f>IF(AND(O581=TRUE,Q581=TRUE),"設定可","BLOCK")</f>
        <v/>
      </c>
      <c r="T581" t="inlineStr">
        <is>
          <t>商品カタログ P194</t>
        </is>
      </c>
      <c r="U581" t="inlineStr">
        <is>
          <t>https://webcatalog.lixil.co.jp/iportal/CatalogDetail.do?catalogID=15191910000&amp;categoryID=1630000&amp;designID=newinter&amp;method=initial_screen&amp;position=18&amp;type=mc&amp;volumeID=LXL13001</t>
        </is>
      </c>
    </row>
    <row r="582">
      <c r="A582" t="inlineStr">
        <is>
          <t>WG-SL-00579</t>
        </is>
      </c>
      <c r="B582" t="inlineStr">
        <is>
          <t>SZ-SL-001010</t>
        </is>
      </c>
      <c r="C582" t="inlineStr">
        <is>
          <t>WT-SL-MENKOSHI-AGE-FS</t>
        </is>
      </c>
      <c r="D582" t="inlineStr">
        <is>
          <t>SP-SL-AGE-GRILLE-H</t>
        </is>
      </c>
      <c r="E582" t="inlineStr">
        <is>
          <t>02611</t>
        </is>
      </c>
      <c r="F582" t="n">
        <v>0.3</v>
      </c>
      <c r="G582" t="n">
        <v>1.17</v>
      </c>
      <c r="H582" t="inlineStr">
        <is>
          <t>GL-SL-003</t>
        </is>
      </c>
      <c r="I582" t="n">
        <v>8</v>
      </c>
      <c r="J582" t="n">
        <v>10.4</v>
      </c>
      <c r="K582" t="n">
        <v>-0.605</v>
      </c>
      <c r="L582" t="n">
        <v>-1.332</v>
      </c>
      <c r="M582" t="n">
        <v>0.399</v>
      </c>
      <c r="N582">
        <f>ROUND(J582*F582*G582+K582*G582+L582*F582+M582,3)</f>
        <v/>
      </c>
      <c r="O582">
        <f>AND(N582&gt;=1.4,N582&lt;=13)</f>
        <v/>
      </c>
      <c r="P582">
        <f>IF(OR(N582&lt;1.4,N582&gt;13),"",IF(G582*1000&lt;=1170,IF(N582&lt;1.8,"1014",IF(N582&lt;2.9,"1018",IF(N582&lt;3.8,"1029",IF(N582&lt;5,"1038",IF(N582&lt;7,"1050",IF(N582&lt;9,"1070",IF(N582&lt;11,"1090","1110"))))))),IF(G582*1000&lt;=1570,IF(N582&lt;1.8,"",IF(N582&lt;2.9,"2018",IF(N582&lt;3.8,"2029",IF(N582&lt;5,"2038",IF(N582&lt;7,"2050",IF(N582&lt;9,"2070",IF(N582&lt;11,"2090","2110"))))))),IF(G582*1000&lt;=1700,IF(N582&lt;1.8,"",IF(N582&lt;2.9,"3018",IF(N582&lt;3.8,"3029",IF(N582&lt;5,"3038",IF(N582&lt;7,"3050",IF(N582&lt;9,"3070",IF(N582&lt;11,"3090","3110"))))))),""))))</f>
        <v/>
      </c>
      <c r="Q582">
        <f>AND(O582=TRUE,P582&lt;&gt;"")</f>
        <v/>
      </c>
      <c r="R582">
        <f>IF(G582*1000&lt;750,"なし","あり")</f>
        <v/>
      </c>
      <c r="S582">
        <f>IF(AND(O582=TRUE,Q582=TRUE),"設定可","BLOCK")</f>
        <v/>
      </c>
      <c r="T582" t="inlineStr">
        <is>
          <t>商品カタログ P194</t>
        </is>
      </c>
      <c r="U582" t="inlineStr">
        <is>
          <t>https://webcatalog.lixil.co.jp/iportal/CatalogDetail.do?catalogID=15191910000&amp;categoryID=1630000&amp;designID=newinter&amp;method=initial_screen&amp;position=18&amp;type=mc&amp;volumeID=LXL13001</t>
        </is>
      </c>
    </row>
    <row r="583">
      <c r="A583" t="inlineStr">
        <is>
          <t>WG-SL-00580</t>
        </is>
      </c>
      <c r="B583" t="inlineStr">
        <is>
          <t>SZ-SL-001010</t>
        </is>
      </c>
      <c r="C583" t="inlineStr">
        <is>
          <t>WT-SL-MENKOSHI-AGE-FS</t>
        </is>
      </c>
      <c r="D583" t="inlineStr">
        <is>
          <t>SP-SL-AGE-GRILLE-H</t>
        </is>
      </c>
      <c r="E583" t="inlineStr">
        <is>
          <t>02611</t>
        </is>
      </c>
      <c r="F583" t="n">
        <v>0.3</v>
      </c>
      <c r="G583" t="n">
        <v>1.17</v>
      </c>
      <c r="H583" t="inlineStr">
        <is>
          <t>GL-SL-004</t>
        </is>
      </c>
      <c r="I583" t="n">
        <v>6</v>
      </c>
      <c r="J583" t="n">
        <v>7.8</v>
      </c>
      <c r="K583" t="n">
        <v>-0.355</v>
      </c>
      <c r="L583" t="n">
        <v>-0.664</v>
      </c>
      <c r="M583" t="n">
        <v>0.335</v>
      </c>
      <c r="N583">
        <f>ROUND(J583*F583*G583+K583*G583+L583*F583+M583,3)</f>
        <v/>
      </c>
      <c r="O583">
        <f>AND(N583&gt;=1.4,N583&lt;=13)</f>
        <v/>
      </c>
      <c r="P583">
        <f>IF(OR(N583&lt;1.4,N583&gt;13),"",IF(G583*1000&lt;=1170,IF(N583&lt;1.8,"1014",IF(N583&lt;2.9,"1018",IF(N583&lt;3.8,"1029",IF(N583&lt;5,"1038",IF(N583&lt;7,"1050",IF(N583&lt;9,"1070",IF(N583&lt;11,"1090","1110"))))))),IF(G583*1000&lt;=1570,IF(N583&lt;1.8,"",IF(N583&lt;2.9,"2018",IF(N583&lt;3.8,"2029",IF(N583&lt;5,"2038",IF(N583&lt;7,"2050",IF(N583&lt;9,"2070",IF(N583&lt;11,"2090","2110"))))))),IF(G583*1000&lt;=1700,IF(N583&lt;1.8,"",IF(N583&lt;2.9,"3018",IF(N583&lt;3.8,"3029",IF(N583&lt;5,"3038",IF(N583&lt;7,"3050",IF(N583&lt;9,"3070",IF(N583&lt;11,"3090","3110"))))))),""))))</f>
        <v/>
      </c>
      <c r="Q583">
        <f>AND(O583=TRUE,P583&lt;&gt;"")</f>
        <v/>
      </c>
      <c r="R583">
        <f>IF(G583*1000&lt;750,"なし","あり")</f>
        <v/>
      </c>
      <c r="S583">
        <f>IF(AND(O583=TRUE,Q583=TRUE),"設定可","BLOCK")</f>
        <v/>
      </c>
      <c r="T583" t="inlineStr">
        <is>
          <t>商品カタログ P194</t>
        </is>
      </c>
      <c r="U583" t="inlineStr">
        <is>
          <t>https://webcatalog.lixil.co.jp/iportal/CatalogDetail.do?catalogID=15191910000&amp;categoryID=1630000&amp;designID=newinter&amp;method=initial_screen&amp;position=18&amp;type=mc&amp;volumeID=LXL13001</t>
        </is>
      </c>
    </row>
    <row r="584">
      <c r="A584" t="inlineStr">
        <is>
          <t>WG-SL-00581</t>
        </is>
      </c>
      <c r="B584" t="inlineStr">
        <is>
          <t>SZ-SL-001010</t>
        </is>
      </c>
      <c r="C584" t="inlineStr">
        <is>
          <t>WT-SL-MENKOSHI-AGE-FS</t>
        </is>
      </c>
      <c r="D584" t="inlineStr">
        <is>
          <t>SP-SL-AGE-GRILLE-H</t>
        </is>
      </c>
      <c r="E584" t="inlineStr">
        <is>
          <t>02611</t>
        </is>
      </c>
      <c r="F584" t="n">
        <v>0.3</v>
      </c>
      <c r="G584" t="n">
        <v>1.17</v>
      </c>
      <c r="H584" t="inlineStr">
        <is>
          <t>GL-SL-005</t>
        </is>
      </c>
      <c r="I584" t="n">
        <v>7</v>
      </c>
      <c r="J584" t="n">
        <v>9.1</v>
      </c>
      <c r="K584" t="n">
        <v>-0.48</v>
      </c>
      <c r="L584" t="n">
        <v>-0.998</v>
      </c>
      <c r="M584" t="n">
        <v>0.367</v>
      </c>
      <c r="N584">
        <f>ROUND(J584*F584*G584+K584*G584+L584*F584+M584,3)</f>
        <v/>
      </c>
      <c r="O584">
        <f>AND(N584&gt;=1.4,N584&lt;=13)</f>
        <v/>
      </c>
      <c r="P584">
        <f>IF(OR(N584&lt;1.4,N584&gt;13),"",IF(G584*1000&lt;=1170,IF(N584&lt;1.8,"1014",IF(N584&lt;2.9,"1018",IF(N584&lt;3.8,"1029",IF(N584&lt;5,"1038",IF(N584&lt;7,"1050",IF(N584&lt;9,"1070",IF(N584&lt;11,"1090","1110"))))))),IF(G584*1000&lt;=1570,IF(N584&lt;1.8,"",IF(N584&lt;2.9,"2018",IF(N584&lt;3.8,"2029",IF(N584&lt;5,"2038",IF(N584&lt;7,"2050",IF(N584&lt;9,"2070",IF(N584&lt;11,"2090","2110"))))))),IF(G584*1000&lt;=1700,IF(N584&lt;1.8,"",IF(N584&lt;2.9,"3018",IF(N584&lt;3.8,"3029",IF(N584&lt;5,"3038",IF(N584&lt;7,"3050",IF(N584&lt;9,"3070",IF(N584&lt;11,"3090","3110"))))))),""))))</f>
        <v/>
      </c>
      <c r="Q584">
        <f>AND(O584=TRUE,P584&lt;&gt;"")</f>
        <v/>
      </c>
      <c r="R584">
        <f>IF(G584*1000&lt;750,"なし","あり")</f>
        <v/>
      </c>
      <c r="S584">
        <f>IF(AND(O584=TRUE,Q584=TRUE),"設定可","BLOCK")</f>
        <v/>
      </c>
      <c r="T584" t="inlineStr">
        <is>
          <t>商品カタログ P194</t>
        </is>
      </c>
      <c r="U584" t="inlineStr">
        <is>
          <t>https://webcatalog.lixil.co.jp/iportal/CatalogDetail.do?catalogID=15191910000&amp;categoryID=1630000&amp;designID=newinter&amp;method=initial_screen&amp;position=18&amp;type=mc&amp;volumeID=LXL13001</t>
        </is>
      </c>
    </row>
    <row r="585">
      <c r="A585" t="inlineStr">
        <is>
          <t>WG-SL-00582</t>
        </is>
      </c>
      <c r="B585" t="inlineStr">
        <is>
          <t>SZ-SL-001010</t>
        </is>
      </c>
      <c r="C585" t="inlineStr">
        <is>
          <t>WT-SL-MENKOSHI-AGE-FS</t>
        </is>
      </c>
      <c r="D585" t="inlineStr">
        <is>
          <t>SP-SL-AGE-GRILLE-H</t>
        </is>
      </c>
      <c r="E585" t="inlineStr">
        <is>
          <t>02611</t>
        </is>
      </c>
      <c r="F585" t="n">
        <v>0.3</v>
      </c>
      <c r="G585" t="n">
        <v>1.17</v>
      </c>
      <c r="H585" t="inlineStr">
        <is>
          <t>GL-SL-006</t>
        </is>
      </c>
      <c r="I585" t="n">
        <v>8</v>
      </c>
      <c r="J585" t="n">
        <v>10.4</v>
      </c>
      <c r="K585" t="n">
        <v>-0.605</v>
      </c>
      <c r="L585" t="n">
        <v>-1.332</v>
      </c>
      <c r="M585" t="n">
        <v>0.399</v>
      </c>
      <c r="N585">
        <f>ROUND(J585*F585*G585+K585*G585+L585*F585+M585,3)</f>
        <v/>
      </c>
      <c r="O585">
        <f>AND(N585&gt;=1.4,N585&lt;=13)</f>
        <v/>
      </c>
      <c r="P585">
        <f>IF(OR(N585&lt;1.4,N585&gt;13),"",IF(G585*1000&lt;=1170,IF(N585&lt;1.8,"1014",IF(N585&lt;2.9,"1018",IF(N585&lt;3.8,"1029",IF(N585&lt;5,"1038",IF(N585&lt;7,"1050",IF(N585&lt;9,"1070",IF(N585&lt;11,"1090","1110"))))))),IF(G585*1000&lt;=1570,IF(N585&lt;1.8,"",IF(N585&lt;2.9,"2018",IF(N585&lt;3.8,"2029",IF(N585&lt;5,"2038",IF(N585&lt;7,"2050",IF(N585&lt;9,"2070",IF(N585&lt;11,"2090","2110"))))))),IF(G585*1000&lt;=1700,IF(N585&lt;1.8,"",IF(N585&lt;2.9,"3018",IF(N585&lt;3.8,"3029",IF(N585&lt;5,"3038",IF(N585&lt;7,"3050",IF(N585&lt;9,"3070",IF(N585&lt;11,"3090","3110"))))))),""))))</f>
        <v/>
      </c>
      <c r="Q585">
        <f>AND(O585=TRUE,P585&lt;&gt;"")</f>
        <v/>
      </c>
      <c r="R585">
        <f>IF(G585*1000&lt;750,"なし","あり")</f>
        <v/>
      </c>
      <c r="S585">
        <f>IF(AND(O585=TRUE,Q585=TRUE),"設定可","BLOCK")</f>
        <v/>
      </c>
      <c r="T585" t="inlineStr">
        <is>
          <t>商品カタログ P194</t>
        </is>
      </c>
      <c r="U585" t="inlineStr">
        <is>
          <t>https://webcatalog.lixil.co.jp/iportal/CatalogDetail.do?catalogID=15191910000&amp;categoryID=1630000&amp;designID=newinter&amp;method=initial_screen&amp;position=18&amp;type=mc&amp;volumeID=LXL13001</t>
        </is>
      </c>
    </row>
    <row r="586">
      <c r="A586" t="inlineStr">
        <is>
          <t>WG-SL-00583</t>
        </is>
      </c>
      <c r="B586" t="inlineStr">
        <is>
          <t>SZ-SL-001010</t>
        </is>
      </c>
      <c r="C586" t="inlineStr">
        <is>
          <t>WT-SL-MENKOSHI-AGE-FS</t>
        </is>
      </c>
      <c r="D586" t="inlineStr">
        <is>
          <t>SP-SL-AGE-GRILLE-H</t>
        </is>
      </c>
      <c r="E586" t="inlineStr">
        <is>
          <t>02611</t>
        </is>
      </c>
      <c r="F586" t="n">
        <v>0.3</v>
      </c>
      <c r="G586" t="n">
        <v>1.17</v>
      </c>
      <c r="H586" t="inlineStr">
        <is>
          <t>GL-SL-007</t>
        </is>
      </c>
      <c r="I586" t="n">
        <v>6</v>
      </c>
      <c r="J586" t="n">
        <v>7.8</v>
      </c>
      <c r="K586" t="n">
        <v>-0.355</v>
      </c>
      <c r="L586" t="n">
        <v>-0.664</v>
      </c>
      <c r="M586" t="n">
        <v>0.335</v>
      </c>
      <c r="N586">
        <f>ROUND(J586*F586*G586+K586*G586+L586*F586+M586,3)</f>
        <v/>
      </c>
      <c r="O586">
        <f>AND(N586&gt;=1.4,N586&lt;=13)</f>
        <v/>
      </c>
      <c r="P586">
        <f>IF(OR(N586&lt;1.4,N586&gt;13),"",IF(G586*1000&lt;=1170,IF(N586&lt;1.8,"1014",IF(N586&lt;2.9,"1018",IF(N586&lt;3.8,"1029",IF(N586&lt;5,"1038",IF(N586&lt;7,"1050",IF(N586&lt;9,"1070",IF(N586&lt;11,"1090","1110"))))))),IF(G586*1000&lt;=1570,IF(N586&lt;1.8,"",IF(N586&lt;2.9,"2018",IF(N586&lt;3.8,"2029",IF(N586&lt;5,"2038",IF(N586&lt;7,"2050",IF(N586&lt;9,"2070",IF(N586&lt;11,"2090","2110"))))))),IF(G586*1000&lt;=1700,IF(N586&lt;1.8,"",IF(N586&lt;2.9,"3018",IF(N586&lt;3.8,"3029",IF(N586&lt;5,"3038",IF(N586&lt;7,"3050",IF(N586&lt;9,"3070",IF(N586&lt;11,"3090","3110"))))))),""))))</f>
        <v/>
      </c>
      <c r="Q586">
        <f>AND(O586=TRUE,P586&lt;&gt;"")</f>
        <v/>
      </c>
      <c r="R586">
        <f>IF(G586*1000&lt;750,"なし","あり")</f>
        <v/>
      </c>
      <c r="S586">
        <f>IF(AND(O586=TRUE,Q586=TRUE),"設定可","BLOCK")</f>
        <v/>
      </c>
      <c r="T586" t="inlineStr">
        <is>
          <t>商品カタログ P194</t>
        </is>
      </c>
      <c r="U586" t="inlineStr">
        <is>
          <t>https://webcatalog.lixil.co.jp/iportal/CatalogDetail.do?catalogID=15191910000&amp;categoryID=1630000&amp;designID=newinter&amp;method=initial_screen&amp;position=18&amp;type=mc&amp;volumeID=LXL13001</t>
        </is>
      </c>
    </row>
    <row r="587">
      <c r="A587" t="inlineStr">
        <is>
          <t>WG-SL-00584</t>
        </is>
      </c>
      <c r="B587" t="inlineStr">
        <is>
          <t>SZ-SL-001010</t>
        </is>
      </c>
      <c r="C587" t="inlineStr">
        <is>
          <t>WT-SL-MENKOSHI-AGE-FS</t>
        </is>
      </c>
      <c r="D587" t="inlineStr">
        <is>
          <t>SP-SL-AGE-GRILLE-H</t>
        </is>
      </c>
      <c r="E587" t="inlineStr">
        <is>
          <t>02611</t>
        </is>
      </c>
      <c r="F587" t="n">
        <v>0.3</v>
      </c>
      <c r="G587" t="n">
        <v>1.17</v>
      </c>
      <c r="H587" t="inlineStr">
        <is>
          <t>GL-SL-008</t>
        </is>
      </c>
      <c r="I587" t="n">
        <v>7</v>
      </c>
      <c r="J587" t="n">
        <v>9.1</v>
      </c>
      <c r="K587" t="n">
        <v>-0.48</v>
      </c>
      <c r="L587" t="n">
        <v>-0.998</v>
      </c>
      <c r="M587" t="n">
        <v>0.367</v>
      </c>
      <c r="N587">
        <f>ROUND(J587*F587*G587+K587*G587+L587*F587+M587,3)</f>
        <v/>
      </c>
      <c r="O587">
        <f>AND(N587&gt;=1.4,N587&lt;=13)</f>
        <v/>
      </c>
      <c r="P587">
        <f>IF(OR(N587&lt;1.4,N587&gt;13),"",IF(G587*1000&lt;=1170,IF(N587&lt;1.8,"1014",IF(N587&lt;2.9,"1018",IF(N587&lt;3.8,"1029",IF(N587&lt;5,"1038",IF(N587&lt;7,"1050",IF(N587&lt;9,"1070",IF(N587&lt;11,"1090","1110"))))))),IF(G587*1000&lt;=1570,IF(N587&lt;1.8,"",IF(N587&lt;2.9,"2018",IF(N587&lt;3.8,"2029",IF(N587&lt;5,"2038",IF(N587&lt;7,"2050",IF(N587&lt;9,"2070",IF(N587&lt;11,"2090","2110"))))))),IF(G587*1000&lt;=1700,IF(N587&lt;1.8,"",IF(N587&lt;2.9,"3018",IF(N587&lt;3.8,"3029",IF(N587&lt;5,"3038",IF(N587&lt;7,"3050",IF(N587&lt;9,"3070",IF(N587&lt;11,"3090","3110"))))))),""))))</f>
        <v/>
      </c>
      <c r="Q587">
        <f>AND(O587=TRUE,P587&lt;&gt;"")</f>
        <v/>
      </c>
      <c r="R587">
        <f>IF(G587*1000&lt;750,"なし","あり")</f>
        <v/>
      </c>
      <c r="S587">
        <f>IF(AND(O587=TRUE,Q587=TRUE),"設定可","BLOCK")</f>
        <v/>
      </c>
      <c r="T587" t="inlineStr">
        <is>
          <t>商品カタログ P194</t>
        </is>
      </c>
      <c r="U587" t="inlineStr">
        <is>
          <t>https://webcatalog.lixil.co.jp/iportal/CatalogDetail.do?catalogID=15191910000&amp;categoryID=1630000&amp;designID=newinter&amp;method=initial_screen&amp;position=18&amp;type=mc&amp;volumeID=LXL13001</t>
        </is>
      </c>
    </row>
    <row r="588">
      <c r="A588" t="inlineStr">
        <is>
          <t>WG-SL-00585</t>
        </is>
      </c>
      <c r="B588" t="inlineStr">
        <is>
          <t>SZ-SL-001010</t>
        </is>
      </c>
      <c r="C588" t="inlineStr">
        <is>
          <t>WT-SL-MENKOSHI-AGE-FS</t>
        </is>
      </c>
      <c r="D588" t="inlineStr">
        <is>
          <t>SP-SL-AGE-GRILLE-H</t>
        </is>
      </c>
      <c r="E588" t="inlineStr">
        <is>
          <t>02611</t>
        </is>
      </c>
      <c r="F588" t="n">
        <v>0.3</v>
      </c>
      <c r="G588" t="n">
        <v>1.17</v>
      </c>
      <c r="H588" t="inlineStr">
        <is>
          <t>GL-SL-009</t>
        </is>
      </c>
      <c r="I588" t="n">
        <v>8</v>
      </c>
      <c r="J588" t="n">
        <v>10.4</v>
      </c>
      <c r="K588" t="n">
        <v>-0.605</v>
      </c>
      <c r="L588" t="n">
        <v>-1.332</v>
      </c>
      <c r="M588" t="n">
        <v>0.399</v>
      </c>
      <c r="N588">
        <f>ROUND(J588*F588*G588+K588*G588+L588*F588+M588,3)</f>
        <v/>
      </c>
      <c r="O588">
        <f>AND(N588&gt;=1.4,N588&lt;=13)</f>
        <v/>
      </c>
      <c r="P588">
        <f>IF(OR(N588&lt;1.4,N588&gt;13),"",IF(G588*1000&lt;=1170,IF(N588&lt;1.8,"1014",IF(N588&lt;2.9,"1018",IF(N588&lt;3.8,"1029",IF(N588&lt;5,"1038",IF(N588&lt;7,"1050",IF(N588&lt;9,"1070",IF(N588&lt;11,"1090","1110"))))))),IF(G588*1000&lt;=1570,IF(N588&lt;1.8,"",IF(N588&lt;2.9,"2018",IF(N588&lt;3.8,"2029",IF(N588&lt;5,"2038",IF(N588&lt;7,"2050",IF(N588&lt;9,"2070",IF(N588&lt;11,"2090","2110"))))))),IF(G588*1000&lt;=1700,IF(N588&lt;1.8,"",IF(N588&lt;2.9,"3018",IF(N588&lt;3.8,"3029",IF(N588&lt;5,"3038",IF(N588&lt;7,"3050",IF(N588&lt;9,"3070",IF(N588&lt;11,"3090","3110"))))))),""))))</f>
        <v/>
      </c>
      <c r="Q588">
        <f>AND(O588=TRUE,P588&lt;&gt;"")</f>
        <v/>
      </c>
      <c r="R588">
        <f>IF(G588*1000&lt;750,"なし","あり")</f>
        <v/>
      </c>
      <c r="S588">
        <f>IF(AND(O588=TRUE,Q588=TRUE),"設定可","BLOCK")</f>
        <v/>
      </c>
      <c r="T588" t="inlineStr">
        <is>
          <t>商品カタログ P194</t>
        </is>
      </c>
      <c r="U588" t="inlineStr">
        <is>
          <t>https://webcatalog.lixil.co.jp/iportal/CatalogDetail.do?catalogID=15191910000&amp;categoryID=1630000&amp;designID=newinter&amp;method=initial_screen&amp;position=18&amp;type=mc&amp;volumeID=LXL13001</t>
        </is>
      </c>
    </row>
    <row r="589">
      <c r="A589" t="inlineStr">
        <is>
          <t>WG-SL-00586</t>
        </is>
      </c>
      <c r="B589" t="inlineStr">
        <is>
          <t>SZ-SL-001011</t>
        </is>
      </c>
      <c r="C589" t="inlineStr">
        <is>
          <t>WT-SL-MENKOSHI-AGE-FS</t>
        </is>
      </c>
      <c r="D589" t="inlineStr">
        <is>
          <t>SP-SL-AGE-GRILLE-H</t>
        </is>
      </c>
      <c r="E589" t="inlineStr">
        <is>
          <t>03611</t>
        </is>
      </c>
      <c r="F589" t="n">
        <v>0.405</v>
      </c>
      <c r="G589" t="n">
        <v>1.17</v>
      </c>
      <c r="H589" t="inlineStr">
        <is>
          <t>GL-SL-001</t>
        </is>
      </c>
      <c r="I589" t="n">
        <v>6</v>
      </c>
      <c r="J589" t="n">
        <v>7.8</v>
      </c>
      <c r="K589" t="n">
        <v>-0.355</v>
      </c>
      <c r="L589" t="n">
        <v>-0.664</v>
      </c>
      <c r="M589" t="n">
        <v>0.335</v>
      </c>
      <c r="N589">
        <f>ROUND(J589*F589*G589+K589*G589+L589*F589+M589,3)</f>
        <v/>
      </c>
      <c r="O589">
        <f>AND(N589&gt;=1.4,N589&lt;=13)</f>
        <v/>
      </c>
      <c r="P589">
        <f>IF(OR(N589&lt;1.4,N589&gt;13),"",IF(G589*1000&lt;=1170,IF(N589&lt;1.8,"1014",IF(N589&lt;2.9,"1018",IF(N589&lt;3.8,"1029",IF(N589&lt;5,"1038",IF(N589&lt;7,"1050",IF(N589&lt;9,"1070",IF(N589&lt;11,"1090","1110"))))))),IF(G589*1000&lt;=1570,IF(N589&lt;1.8,"",IF(N589&lt;2.9,"2018",IF(N589&lt;3.8,"2029",IF(N589&lt;5,"2038",IF(N589&lt;7,"2050",IF(N589&lt;9,"2070",IF(N589&lt;11,"2090","2110"))))))),IF(G589*1000&lt;=1700,IF(N589&lt;1.8,"",IF(N589&lt;2.9,"3018",IF(N589&lt;3.8,"3029",IF(N589&lt;5,"3038",IF(N589&lt;7,"3050",IF(N589&lt;9,"3070",IF(N589&lt;11,"3090","3110"))))))),""))))</f>
        <v/>
      </c>
      <c r="Q589">
        <f>AND(O589=TRUE,P589&lt;&gt;"")</f>
        <v/>
      </c>
      <c r="R589">
        <f>IF(G589*1000&lt;750,"なし","あり")</f>
        <v/>
      </c>
      <c r="S589">
        <f>IF(AND(O589=TRUE,Q589=TRUE),"設定可","BLOCK")</f>
        <v/>
      </c>
      <c r="T589" t="inlineStr">
        <is>
          <t>商品カタログ P194</t>
        </is>
      </c>
      <c r="U589" t="inlineStr">
        <is>
          <t>https://webcatalog.lixil.co.jp/iportal/CatalogDetail.do?catalogID=15191910000&amp;categoryID=1630000&amp;designID=newinter&amp;method=initial_screen&amp;position=18&amp;type=mc&amp;volumeID=LXL13001</t>
        </is>
      </c>
    </row>
    <row r="590">
      <c r="A590" t="inlineStr">
        <is>
          <t>WG-SL-00587</t>
        </is>
      </c>
      <c r="B590" t="inlineStr">
        <is>
          <t>SZ-SL-001011</t>
        </is>
      </c>
      <c r="C590" t="inlineStr">
        <is>
          <t>WT-SL-MENKOSHI-AGE-FS</t>
        </is>
      </c>
      <c r="D590" t="inlineStr">
        <is>
          <t>SP-SL-AGE-GRILLE-H</t>
        </is>
      </c>
      <c r="E590" t="inlineStr">
        <is>
          <t>03611</t>
        </is>
      </c>
      <c r="F590" t="n">
        <v>0.405</v>
      </c>
      <c r="G590" t="n">
        <v>1.17</v>
      </c>
      <c r="H590" t="inlineStr">
        <is>
          <t>GL-SL-002</t>
        </is>
      </c>
      <c r="I590" t="n">
        <v>7</v>
      </c>
      <c r="J590" t="n">
        <v>9.1</v>
      </c>
      <c r="K590" t="n">
        <v>-0.48</v>
      </c>
      <c r="L590" t="n">
        <v>-0.998</v>
      </c>
      <c r="M590" t="n">
        <v>0.367</v>
      </c>
      <c r="N590">
        <f>ROUND(J590*F590*G590+K590*G590+L590*F590+M590,3)</f>
        <v/>
      </c>
      <c r="O590">
        <f>AND(N590&gt;=1.4,N590&lt;=13)</f>
        <v/>
      </c>
      <c r="P590">
        <f>IF(OR(N590&lt;1.4,N590&gt;13),"",IF(G590*1000&lt;=1170,IF(N590&lt;1.8,"1014",IF(N590&lt;2.9,"1018",IF(N590&lt;3.8,"1029",IF(N590&lt;5,"1038",IF(N590&lt;7,"1050",IF(N590&lt;9,"1070",IF(N590&lt;11,"1090","1110"))))))),IF(G590*1000&lt;=1570,IF(N590&lt;1.8,"",IF(N590&lt;2.9,"2018",IF(N590&lt;3.8,"2029",IF(N590&lt;5,"2038",IF(N590&lt;7,"2050",IF(N590&lt;9,"2070",IF(N590&lt;11,"2090","2110"))))))),IF(G590*1000&lt;=1700,IF(N590&lt;1.8,"",IF(N590&lt;2.9,"3018",IF(N590&lt;3.8,"3029",IF(N590&lt;5,"3038",IF(N590&lt;7,"3050",IF(N590&lt;9,"3070",IF(N590&lt;11,"3090","3110"))))))),""))))</f>
        <v/>
      </c>
      <c r="Q590">
        <f>AND(O590=TRUE,P590&lt;&gt;"")</f>
        <v/>
      </c>
      <c r="R590">
        <f>IF(G590*1000&lt;750,"なし","あり")</f>
        <v/>
      </c>
      <c r="S590">
        <f>IF(AND(O590=TRUE,Q590=TRUE),"設定可","BLOCK")</f>
        <v/>
      </c>
      <c r="T590" t="inlineStr">
        <is>
          <t>商品カタログ P194</t>
        </is>
      </c>
      <c r="U590" t="inlineStr">
        <is>
          <t>https://webcatalog.lixil.co.jp/iportal/CatalogDetail.do?catalogID=15191910000&amp;categoryID=1630000&amp;designID=newinter&amp;method=initial_screen&amp;position=18&amp;type=mc&amp;volumeID=LXL13001</t>
        </is>
      </c>
    </row>
    <row r="591">
      <c r="A591" t="inlineStr">
        <is>
          <t>WG-SL-00588</t>
        </is>
      </c>
      <c r="B591" t="inlineStr">
        <is>
          <t>SZ-SL-001011</t>
        </is>
      </c>
      <c r="C591" t="inlineStr">
        <is>
          <t>WT-SL-MENKOSHI-AGE-FS</t>
        </is>
      </c>
      <c r="D591" t="inlineStr">
        <is>
          <t>SP-SL-AGE-GRILLE-H</t>
        </is>
      </c>
      <c r="E591" t="inlineStr">
        <is>
          <t>03611</t>
        </is>
      </c>
      <c r="F591" t="n">
        <v>0.405</v>
      </c>
      <c r="G591" t="n">
        <v>1.17</v>
      </c>
      <c r="H591" t="inlineStr">
        <is>
          <t>GL-SL-003</t>
        </is>
      </c>
      <c r="I591" t="n">
        <v>8</v>
      </c>
      <c r="J591" t="n">
        <v>10.4</v>
      </c>
      <c r="K591" t="n">
        <v>-0.605</v>
      </c>
      <c r="L591" t="n">
        <v>-1.332</v>
      </c>
      <c r="M591" t="n">
        <v>0.399</v>
      </c>
      <c r="N591">
        <f>ROUND(J591*F591*G591+K591*G591+L591*F591+M591,3)</f>
        <v/>
      </c>
      <c r="O591">
        <f>AND(N591&gt;=1.4,N591&lt;=13)</f>
        <v/>
      </c>
      <c r="P591">
        <f>IF(OR(N591&lt;1.4,N591&gt;13),"",IF(G591*1000&lt;=1170,IF(N591&lt;1.8,"1014",IF(N591&lt;2.9,"1018",IF(N591&lt;3.8,"1029",IF(N591&lt;5,"1038",IF(N591&lt;7,"1050",IF(N591&lt;9,"1070",IF(N591&lt;11,"1090","1110"))))))),IF(G591*1000&lt;=1570,IF(N591&lt;1.8,"",IF(N591&lt;2.9,"2018",IF(N591&lt;3.8,"2029",IF(N591&lt;5,"2038",IF(N591&lt;7,"2050",IF(N591&lt;9,"2070",IF(N591&lt;11,"2090","2110"))))))),IF(G591*1000&lt;=1700,IF(N591&lt;1.8,"",IF(N591&lt;2.9,"3018",IF(N591&lt;3.8,"3029",IF(N591&lt;5,"3038",IF(N591&lt;7,"3050",IF(N591&lt;9,"3070",IF(N591&lt;11,"3090","3110"))))))),""))))</f>
        <v/>
      </c>
      <c r="Q591">
        <f>AND(O591=TRUE,P591&lt;&gt;"")</f>
        <v/>
      </c>
      <c r="R591">
        <f>IF(G591*1000&lt;750,"なし","あり")</f>
        <v/>
      </c>
      <c r="S591">
        <f>IF(AND(O591=TRUE,Q591=TRUE),"設定可","BLOCK")</f>
        <v/>
      </c>
      <c r="T591" t="inlineStr">
        <is>
          <t>商品カタログ P194</t>
        </is>
      </c>
      <c r="U591" t="inlineStr">
        <is>
          <t>https://webcatalog.lixil.co.jp/iportal/CatalogDetail.do?catalogID=15191910000&amp;categoryID=1630000&amp;designID=newinter&amp;method=initial_screen&amp;position=18&amp;type=mc&amp;volumeID=LXL13001</t>
        </is>
      </c>
    </row>
    <row r="592">
      <c r="A592" t="inlineStr">
        <is>
          <t>WG-SL-00589</t>
        </is>
      </c>
      <c r="B592" t="inlineStr">
        <is>
          <t>SZ-SL-001011</t>
        </is>
      </c>
      <c r="C592" t="inlineStr">
        <is>
          <t>WT-SL-MENKOSHI-AGE-FS</t>
        </is>
      </c>
      <c r="D592" t="inlineStr">
        <is>
          <t>SP-SL-AGE-GRILLE-H</t>
        </is>
      </c>
      <c r="E592" t="inlineStr">
        <is>
          <t>03611</t>
        </is>
      </c>
      <c r="F592" t="n">
        <v>0.405</v>
      </c>
      <c r="G592" t="n">
        <v>1.17</v>
      </c>
      <c r="H592" t="inlineStr">
        <is>
          <t>GL-SL-004</t>
        </is>
      </c>
      <c r="I592" t="n">
        <v>6</v>
      </c>
      <c r="J592" t="n">
        <v>7.8</v>
      </c>
      <c r="K592" t="n">
        <v>-0.355</v>
      </c>
      <c r="L592" t="n">
        <v>-0.664</v>
      </c>
      <c r="M592" t="n">
        <v>0.335</v>
      </c>
      <c r="N592">
        <f>ROUND(J592*F592*G592+K592*G592+L592*F592+M592,3)</f>
        <v/>
      </c>
      <c r="O592">
        <f>AND(N592&gt;=1.4,N592&lt;=13)</f>
        <v/>
      </c>
      <c r="P592">
        <f>IF(OR(N592&lt;1.4,N592&gt;13),"",IF(G592*1000&lt;=1170,IF(N592&lt;1.8,"1014",IF(N592&lt;2.9,"1018",IF(N592&lt;3.8,"1029",IF(N592&lt;5,"1038",IF(N592&lt;7,"1050",IF(N592&lt;9,"1070",IF(N592&lt;11,"1090","1110"))))))),IF(G592*1000&lt;=1570,IF(N592&lt;1.8,"",IF(N592&lt;2.9,"2018",IF(N592&lt;3.8,"2029",IF(N592&lt;5,"2038",IF(N592&lt;7,"2050",IF(N592&lt;9,"2070",IF(N592&lt;11,"2090","2110"))))))),IF(G592*1000&lt;=1700,IF(N592&lt;1.8,"",IF(N592&lt;2.9,"3018",IF(N592&lt;3.8,"3029",IF(N592&lt;5,"3038",IF(N592&lt;7,"3050",IF(N592&lt;9,"3070",IF(N592&lt;11,"3090","3110"))))))),""))))</f>
        <v/>
      </c>
      <c r="Q592">
        <f>AND(O592=TRUE,P592&lt;&gt;"")</f>
        <v/>
      </c>
      <c r="R592">
        <f>IF(G592*1000&lt;750,"なし","あり")</f>
        <v/>
      </c>
      <c r="S592">
        <f>IF(AND(O592=TRUE,Q592=TRUE),"設定可","BLOCK")</f>
        <v/>
      </c>
      <c r="T592" t="inlineStr">
        <is>
          <t>商品カタログ P194</t>
        </is>
      </c>
      <c r="U592" t="inlineStr">
        <is>
          <t>https://webcatalog.lixil.co.jp/iportal/CatalogDetail.do?catalogID=15191910000&amp;categoryID=1630000&amp;designID=newinter&amp;method=initial_screen&amp;position=18&amp;type=mc&amp;volumeID=LXL13001</t>
        </is>
      </c>
    </row>
    <row r="593">
      <c r="A593" t="inlineStr">
        <is>
          <t>WG-SL-00590</t>
        </is>
      </c>
      <c r="B593" t="inlineStr">
        <is>
          <t>SZ-SL-001011</t>
        </is>
      </c>
      <c r="C593" t="inlineStr">
        <is>
          <t>WT-SL-MENKOSHI-AGE-FS</t>
        </is>
      </c>
      <c r="D593" t="inlineStr">
        <is>
          <t>SP-SL-AGE-GRILLE-H</t>
        </is>
      </c>
      <c r="E593" t="inlineStr">
        <is>
          <t>03611</t>
        </is>
      </c>
      <c r="F593" t="n">
        <v>0.405</v>
      </c>
      <c r="G593" t="n">
        <v>1.17</v>
      </c>
      <c r="H593" t="inlineStr">
        <is>
          <t>GL-SL-005</t>
        </is>
      </c>
      <c r="I593" t="n">
        <v>7</v>
      </c>
      <c r="J593" t="n">
        <v>9.1</v>
      </c>
      <c r="K593" t="n">
        <v>-0.48</v>
      </c>
      <c r="L593" t="n">
        <v>-0.998</v>
      </c>
      <c r="M593" t="n">
        <v>0.367</v>
      </c>
      <c r="N593">
        <f>ROUND(J593*F593*G593+K593*G593+L593*F593+M593,3)</f>
        <v/>
      </c>
      <c r="O593">
        <f>AND(N593&gt;=1.4,N593&lt;=13)</f>
        <v/>
      </c>
      <c r="P593">
        <f>IF(OR(N593&lt;1.4,N593&gt;13),"",IF(G593*1000&lt;=1170,IF(N593&lt;1.8,"1014",IF(N593&lt;2.9,"1018",IF(N593&lt;3.8,"1029",IF(N593&lt;5,"1038",IF(N593&lt;7,"1050",IF(N593&lt;9,"1070",IF(N593&lt;11,"1090","1110"))))))),IF(G593*1000&lt;=1570,IF(N593&lt;1.8,"",IF(N593&lt;2.9,"2018",IF(N593&lt;3.8,"2029",IF(N593&lt;5,"2038",IF(N593&lt;7,"2050",IF(N593&lt;9,"2070",IF(N593&lt;11,"2090","2110"))))))),IF(G593*1000&lt;=1700,IF(N593&lt;1.8,"",IF(N593&lt;2.9,"3018",IF(N593&lt;3.8,"3029",IF(N593&lt;5,"3038",IF(N593&lt;7,"3050",IF(N593&lt;9,"3070",IF(N593&lt;11,"3090","3110"))))))),""))))</f>
        <v/>
      </c>
      <c r="Q593">
        <f>AND(O593=TRUE,P593&lt;&gt;"")</f>
        <v/>
      </c>
      <c r="R593">
        <f>IF(G593*1000&lt;750,"なし","あり")</f>
        <v/>
      </c>
      <c r="S593">
        <f>IF(AND(O593=TRUE,Q593=TRUE),"設定可","BLOCK")</f>
        <v/>
      </c>
      <c r="T593" t="inlineStr">
        <is>
          <t>商品カタログ P194</t>
        </is>
      </c>
      <c r="U593" t="inlineStr">
        <is>
          <t>https://webcatalog.lixil.co.jp/iportal/CatalogDetail.do?catalogID=15191910000&amp;categoryID=1630000&amp;designID=newinter&amp;method=initial_screen&amp;position=18&amp;type=mc&amp;volumeID=LXL13001</t>
        </is>
      </c>
    </row>
    <row r="594">
      <c r="A594" t="inlineStr">
        <is>
          <t>WG-SL-00591</t>
        </is>
      </c>
      <c r="B594" t="inlineStr">
        <is>
          <t>SZ-SL-001011</t>
        </is>
      </c>
      <c r="C594" t="inlineStr">
        <is>
          <t>WT-SL-MENKOSHI-AGE-FS</t>
        </is>
      </c>
      <c r="D594" t="inlineStr">
        <is>
          <t>SP-SL-AGE-GRILLE-H</t>
        </is>
      </c>
      <c r="E594" t="inlineStr">
        <is>
          <t>03611</t>
        </is>
      </c>
      <c r="F594" t="n">
        <v>0.405</v>
      </c>
      <c r="G594" t="n">
        <v>1.17</v>
      </c>
      <c r="H594" t="inlineStr">
        <is>
          <t>GL-SL-006</t>
        </is>
      </c>
      <c r="I594" t="n">
        <v>8</v>
      </c>
      <c r="J594" t="n">
        <v>10.4</v>
      </c>
      <c r="K594" t="n">
        <v>-0.605</v>
      </c>
      <c r="L594" t="n">
        <v>-1.332</v>
      </c>
      <c r="M594" t="n">
        <v>0.399</v>
      </c>
      <c r="N594">
        <f>ROUND(J594*F594*G594+K594*G594+L594*F594+M594,3)</f>
        <v/>
      </c>
      <c r="O594">
        <f>AND(N594&gt;=1.4,N594&lt;=13)</f>
        <v/>
      </c>
      <c r="P594">
        <f>IF(OR(N594&lt;1.4,N594&gt;13),"",IF(G594*1000&lt;=1170,IF(N594&lt;1.8,"1014",IF(N594&lt;2.9,"1018",IF(N594&lt;3.8,"1029",IF(N594&lt;5,"1038",IF(N594&lt;7,"1050",IF(N594&lt;9,"1070",IF(N594&lt;11,"1090","1110"))))))),IF(G594*1000&lt;=1570,IF(N594&lt;1.8,"",IF(N594&lt;2.9,"2018",IF(N594&lt;3.8,"2029",IF(N594&lt;5,"2038",IF(N594&lt;7,"2050",IF(N594&lt;9,"2070",IF(N594&lt;11,"2090","2110"))))))),IF(G594*1000&lt;=1700,IF(N594&lt;1.8,"",IF(N594&lt;2.9,"3018",IF(N594&lt;3.8,"3029",IF(N594&lt;5,"3038",IF(N594&lt;7,"3050",IF(N594&lt;9,"3070",IF(N594&lt;11,"3090","3110"))))))),""))))</f>
        <v/>
      </c>
      <c r="Q594">
        <f>AND(O594=TRUE,P594&lt;&gt;"")</f>
        <v/>
      </c>
      <c r="R594">
        <f>IF(G594*1000&lt;750,"なし","あり")</f>
        <v/>
      </c>
      <c r="S594">
        <f>IF(AND(O594=TRUE,Q594=TRUE),"設定可","BLOCK")</f>
        <v/>
      </c>
      <c r="T594" t="inlineStr">
        <is>
          <t>商品カタログ P194</t>
        </is>
      </c>
      <c r="U594" t="inlineStr">
        <is>
          <t>https://webcatalog.lixil.co.jp/iportal/CatalogDetail.do?catalogID=15191910000&amp;categoryID=1630000&amp;designID=newinter&amp;method=initial_screen&amp;position=18&amp;type=mc&amp;volumeID=LXL13001</t>
        </is>
      </c>
    </row>
    <row r="595">
      <c r="A595" t="inlineStr">
        <is>
          <t>WG-SL-00592</t>
        </is>
      </c>
      <c r="B595" t="inlineStr">
        <is>
          <t>SZ-SL-001011</t>
        </is>
      </c>
      <c r="C595" t="inlineStr">
        <is>
          <t>WT-SL-MENKOSHI-AGE-FS</t>
        </is>
      </c>
      <c r="D595" t="inlineStr">
        <is>
          <t>SP-SL-AGE-GRILLE-H</t>
        </is>
      </c>
      <c r="E595" t="inlineStr">
        <is>
          <t>03611</t>
        </is>
      </c>
      <c r="F595" t="n">
        <v>0.405</v>
      </c>
      <c r="G595" t="n">
        <v>1.17</v>
      </c>
      <c r="H595" t="inlineStr">
        <is>
          <t>GL-SL-007</t>
        </is>
      </c>
      <c r="I595" t="n">
        <v>6</v>
      </c>
      <c r="J595" t="n">
        <v>7.8</v>
      </c>
      <c r="K595" t="n">
        <v>-0.355</v>
      </c>
      <c r="L595" t="n">
        <v>-0.664</v>
      </c>
      <c r="M595" t="n">
        <v>0.335</v>
      </c>
      <c r="N595">
        <f>ROUND(J595*F595*G595+K595*G595+L595*F595+M595,3)</f>
        <v/>
      </c>
      <c r="O595">
        <f>AND(N595&gt;=1.4,N595&lt;=13)</f>
        <v/>
      </c>
      <c r="P595">
        <f>IF(OR(N595&lt;1.4,N595&gt;13),"",IF(G595*1000&lt;=1170,IF(N595&lt;1.8,"1014",IF(N595&lt;2.9,"1018",IF(N595&lt;3.8,"1029",IF(N595&lt;5,"1038",IF(N595&lt;7,"1050",IF(N595&lt;9,"1070",IF(N595&lt;11,"1090","1110"))))))),IF(G595*1000&lt;=1570,IF(N595&lt;1.8,"",IF(N595&lt;2.9,"2018",IF(N595&lt;3.8,"2029",IF(N595&lt;5,"2038",IF(N595&lt;7,"2050",IF(N595&lt;9,"2070",IF(N595&lt;11,"2090","2110"))))))),IF(G595*1000&lt;=1700,IF(N595&lt;1.8,"",IF(N595&lt;2.9,"3018",IF(N595&lt;3.8,"3029",IF(N595&lt;5,"3038",IF(N595&lt;7,"3050",IF(N595&lt;9,"3070",IF(N595&lt;11,"3090","3110"))))))),""))))</f>
        <v/>
      </c>
      <c r="Q595">
        <f>AND(O595=TRUE,P595&lt;&gt;"")</f>
        <v/>
      </c>
      <c r="R595">
        <f>IF(G595*1000&lt;750,"なし","あり")</f>
        <v/>
      </c>
      <c r="S595">
        <f>IF(AND(O595=TRUE,Q595=TRUE),"設定可","BLOCK")</f>
        <v/>
      </c>
      <c r="T595" t="inlineStr">
        <is>
          <t>商品カタログ P194</t>
        </is>
      </c>
      <c r="U595" t="inlineStr">
        <is>
          <t>https://webcatalog.lixil.co.jp/iportal/CatalogDetail.do?catalogID=15191910000&amp;categoryID=1630000&amp;designID=newinter&amp;method=initial_screen&amp;position=18&amp;type=mc&amp;volumeID=LXL13001</t>
        </is>
      </c>
    </row>
    <row r="596">
      <c r="A596" t="inlineStr">
        <is>
          <t>WG-SL-00593</t>
        </is>
      </c>
      <c r="B596" t="inlineStr">
        <is>
          <t>SZ-SL-001011</t>
        </is>
      </c>
      <c r="C596" t="inlineStr">
        <is>
          <t>WT-SL-MENKOSHI-AGE-FS</t>
        </is>
      </c>
      <c r="D596" t="inlineStr">
        <is>
          <t>SP-SL-AGE-GRILLE-H</t>
        </is>
      </c>
      <c r="E596" t="inlineStr">
        <is>
          <t>03611</t>
        </is>
      </c>
      <c r="F596" t="n">
        <v>0.405</v>
      </c>
      <c r="G596" t="n">
        <v>1.17</v>
      </c>
      <c r="H596" t="inlineStr">
        <is>
          <t>GL-SL-008</t>
        </is>
      </c>
      <c r="I596" t="n">
        <v>7</v>
      </c>
      <c r="J596" t="n">
        <v>9.1</v>
      </c>
      <c r="K596" t="n">
        <v>-0.48</v>
      </c>
      <c r="L596" t="n">
        <v>-0.998</v>
      </c>
      <c r="M596" t="n">
        <v>0.367</v>
      </c>
      <c r="N596">
        <f>ROUND(J596*F596*G596+K596*G596+L596*F596+M596,3)</f>
        <v/>
      </c>
      <c r="O596">
        <f>AND(N596&gt;=1.4,N596&lt;=13)</f>
        <v/>
      </c>
      <c r="P596">
        <f>IF(OR(N596&lt;1.4,N596&gt;13),"",IF(G596*1000&lt;=1170,IF(N596&lt;1.8,"1014",IF(N596&lt;2.9,"1018",IF(N596&lt;3.8,"1029",IF(N596&lt;5,"1038",IF(N596&lt;7,"1050",IF(N596&lt;9,"1070",IF(N596&lt;11,"1090","1110"))))))),IF(G596*1000&lt;=1570,IF(N596&lt;1.8,"",IF(N596&lt;2.9,"2018",IF(N596&lt;3.8,"2029",IF(N596&lt;5,"2038",IF(N596&lt;7,"2050",IF(N596&lt;9,"2070",IF(N596&lt;11,"2090","2110"))))))),IF(G596*1000&lt;=1700,IF(N596&lt;1.8,"",IF(N596&lt;2.9,"3018",IF(N596&lt;3.8,"3029",IF(N596&lt;5,"3038",IF(N596&lt;7,"3050",IF(N596&lt;9,"3070",IF(N596&lt;11,"3090","3110"))))))),""))))</f>
        <v/>
      </c>
      <c r="Q596">
        <f>AND(O596=TRUE,P596&lt;&gt;"")</f>
        <v/>
      </c>
      <c r="R596">
        <f>IF(G596*1000&lt;750,"なし","あり")</f>
        <v/>
      </c>
      <c r="S596">
        <f>IF(AND(O596=TRUE,Q596=TRUE),"設定可","BLOCK")</f>
        <v/>
      </c>
      <c r="T596" t="inlineStr">
        <is>
          <t>商品カタログ P194</t>
        </is>
      </c>
      <c r="U596" t="inlineStr">
        <is>
          <t>https://webcatalog.lixil.co.jp/iportal/CatalogDetail.do?catalogID=15191910000&amp;categoryID=1630000&amp;designID=newinter&amp;method=initial_screen&amp;position=18&amp;type=mc&amp;volumeID=LXL13001</t>
        </is>
      </c>
    </row>
    <row r="597">
      <c r="A597" t="inlineStr">
        <is>
          <t>WG-SL-00594</t>
        </is>
      </c>
      <c r="B597" t="inlineStr">
        <is>
          <t>SZ-SL-001011</t>
        </is>
      </c>
      <c r="C597" t="inlineStr">
        <is>
          <t>WT-SL-MENKOSHI-AGE-FS</t>
        </is>
      </c>
      <c r="D597" t="inlineStr">
        <is>
          <t>SP-SL-AGE-GRILLE-H</t>
        </is>
      </c>
      <c r="E597" t="inlineStr">
        <is>
          <t>03611</t>
        </is>
      </c>
      <c r="F597" t="n">
        <v>0.405</v>
      </c>
      <c r="G597" t="n">
        <v>1.17</v>
      </c>
      <c r="H597" t="inlineStr">
        <is>
          <t>GL-SL-009</t>
        </is>
      </c>
      <c r="I597" t="n">
        <v>8</v>
      </c>
      <c r="J597" t="n">
        <v>10.4</v>
      </c>
      <c r="K597" t="n">
        <v>-0.605</v>
      </c>
      <c r="L597" t="n">
        <v>-1.332</v>
      </c>
      <c r="M597" t="n">
        <v>0.399</v>
      </c>
      <c r="N597">
        <f>ROUND(J597*F597*G597+K597*G597+L597*F597+M597,3)</f>
        <v/>
      </c>
      <c r="O597">
        <f>AND(N597&gt;=1.4,N597&lt;=13)</f>
        <v/>
      </c>
      <c r="P597">
        <f>IF(OR(N597&lt;1.4,N597&gt;13),"",IF(G597*1000&lt;=1170,IF(N597&lt;1.8,"1014",IF(N597&lt;2.9,"1018",IF(N597&lt;3.8,"1029",IF(N597&lt;5,"1038",IF(N597&lt;7,"1050",IF(N597&lt;9,"1070",IF(N597&lt;11,"1090","1110"))))))),IF(G597*1000&lt;=1570,IF(N597&lt;1.8,"",IF(N597&lt;2.9,"2018",IF(N597&lt;3.8,"2029",IF(N597&lt;5,"2038",IF(N597&lt;7,"2050",IF(N597&lt;9,"2070",IF(N597&lt;11,"2090","2110"))))))),IF(G597*1000&lt;=1700,IF(N597&lt;1.8,"",IF(N597&lt;2.9,"3018",IF(N597&lt;3.8,"3029",IF(N597&lt;5,"3038",IF(N597&lt;7,"3050",IF(N597&lt;9,"3070",IF(N597&lt;11,"3090","3110"))))))),""))))</f>
        <v/>
      </c>
      <c r="Q597">
        <f>AND(O597=TRUE,P597&lt;&gt;"")</f>
        <v/>
      </c>
      <c r="R597">
        <f>IF(G597*1000&lt;750,"なし","あり")</f>
        <v/>
      </c>
      <c r="S597">
        <f>IF(AND(O597=TRUE,Q597=TRUE),"設定可","BLOCK")</f>
        <v/>
      </c>
      <c r="T597" t="inlineStr">
        <is>
          <t>商品カタログ P194</t>
        </is>
      </c>
      <c r="U597" t="inlineStr">
        <is>
          <t>https://webcatalog.lixil.co.jp/iportal/CatalogDetail.do?catalogID=15191910000&amp;categoryID=1630000&amp;designID=newinter&amp;method=initial_screen&amp;position=18&amp;type=mc&amp;volumeID=LXL13001</t>
        </is>
      </c>
    </row>
    <row r="598">
      <c r="A598" t="inlineStr">
        <is>
          <t>WG-SL-00595</t>
        </is>
      </c>
      <c r="B598" t="inlineStr">
        <is>
          <t>SZ-SL-001012</t>
        </is>
      </c>
      <c r="C598" t="inlineStr">
        <is>
          <t>WT-SL-MENKOSHI-AGE-FS</t>
        </is>
      </c>
      <c r="D598" t="inlineStr">
        <is>
          <t>SP-SL-AGE-GRILLE-H</t>
        </is>
      </c>
      <c r="E598" t="inlineStr">
        <is>
          <t>06011</t>
        </is>
      </c>
      <c r="F598" t="n">
        <v>0.64</v>
      </c>
      <c r="G598" t="n">
        <v>1.17</v>
      </c>
      <c r="H598" t="inlineStr">
        <is>
          <t>GL-SL-001</t>
        </is>
      </c>
      <c r="I598" t="n">
        <v>6</v>
      </c>
      <c r="J598" t="n">
        <v>7.8</v>
      </c>
      <c r="K598" t="n">
        <v>-0.355</v>
      </c>
      <c r="L598" t="n">
        <v>-0.664</v>
      </c>
      <c r="M598" t="n">
        <v>0.335</v>
      </c>
      <c r="N598">
        <f>ROUND(J598*F598*G598+K598*G598+L598*F598+M598,3)</f>
        <v/>
      </c>
      <c r="O598">
        <f>AND(N598&gt;=1.4,N598&lt;=13)</f>
        <v/>
      </c>
      <c r="P598">
        <f>IF(OR(N598&lt;1.4,N598&gt;13),"",IF(G598*1000&lt;=1170,IF(N598&lt;1.8,"1014",IF(N598&lt;2.9,"1018",IF(N598&lt;3.8,"1029",IF(N598&lt;5,"1038",IF(N598&lt;7,"1050",IF(N598&lt;9,"1070",IF(N598&lt;11,"1090","1110"))))))),IF(G598*1000&lt;=1570,IF(N598&lt;1.8,"",IF(N598&lt;2.9,"2018",IF(N598&lt;3.8,"2029",IF(N598&lt;5,"2038",IF(N598&lt;7,"2050",IF(N598&lt;9,"2070",IF(N598&lt;11,"2090","2110"))))))),IF(G598*1000&lt;=1700,IF(N598&lt;1.8,"",IF(N598&lt;2.9,"3018",IF(N598&lt;3.8,"3029",IF(N598&lt;5,"3038",IF(N598&lt;7,"3050",IF(N598&lt;9,"3070",IF(N598&lt;11,"3090","3110"))))))),""))))</f>
        <v/>
      </c>
      <c r="Q598">
        <f>AND(O598=TRUE,P598&lt;&gt;"")</f>
        <v/>
      </c>
      <c r="R598">
        <f>IF(G598*1000&lt;750,"なし","あり")</f>
        <v/>
      </c>
      <c r="S598">
        <f>IF(AND(O598=TRUE,Q598=TRUE),"設定可","BLOCK")</f>
        <v/>
      </c>
      <c r="T598" t="inlineStr">
        <is>
          <t>商品カタログ P194</t>
        </is>
      </c>
      <c r="U598" t="inlineStr">
        <is>
          <t>https://webcatalog.lixil.co.jp/iportal/CatalogDetail.do?catalogID=15191910000&amp;categoryID=1630000&amp;designID=newinter&amp;method=initial_screen&amp;position=18&amp;type=mc&amp;volumeID=LXL13001</t>
        </is>
      </c>
    </row>
    <row r="599">
      <c r="A599" t="inlineStr">
        <is>
          <t>WG-SL-00596</t>
        </is>
      </c>
      <c r="B599" t="inlineStr">
        <is>
          <t>SZ-SL-001012</t>
        </is>
      </c>
      <c r="C599" t="inlineStr">
        <is>
          <t>WT-SL-MENKOSHI-AGE-FS</t>
        </is>
      </c>
      <c r="D599" t="inlineStr">
        <is>
          <t>SP-SL-AGE-GRILLE-H</t>
        </is>
      </c>
      <c r="E599" t="inlineStr">
        <is>
          <t>06011</t>
        </is>
      </c>
      <c r="F599" t="n">
        <v>0.64</v>
      </c>
      <c r="G599" t="n">
        <v>1.17</v>
      </c>
      <c r="H599" t="inlineStr">
        <is>
          <t>GL-SL-002</t>
        </is>
      </c>
      <c r="I599" t="n">
        <v>7</v>
      </c>
      <c r="J599" t="n">
        <v>9.1</v>
      </c>
      <c r="K599" t="n">
        <v>-0.48</v>
      </c>
      <c r="L599" t="n">
        <v>-0.998</v>
      </c>
      <c r="M599" t="n">
        <v>0.367</v>
      </c>
      <c r="N599">
        <f>ROUND(J599*F599*G599+K599*G599+L599*F599+M599,3)</f>
        <v/>
      </c>
      <c r="O599">
        <f>AND(N599&gt;=1.4,N599&lt;=13)</f>
        <v/>
      </c>
      <c r="P599">
        <f>IF(OR(N599&lt;1.4,N599&gt;13),"",IF(G599*1000&lt;=1170,IF(N599&lt;1.8,"1014",IF(N599&lt;2.9,"1018",IF(N599&lt;3.8,"1029",IF(N599&lt;5,"1038",IF(N599&lt;7,"1050",IF(N599&lt;9,"1070",IF(N599&lt;11,"1090","1110"))))))),IF(G599*1000&lt;=1570,IF(N599&lt;1.8,"",IF(N599&lt;2.9,"2018",IF(N599&lt;3.8,"2029",IF(N599&lt;5,"2038",IF(N599&lt;7,"2050",IF(N599&lt;9,"2070",IF(N599&lt;11,"2090","2110"))))))),IF(G599*1000&lt;=1700,IF(N599&lt;1.8,"",IF(N599&lt;2.9,"3018",IF(N599&lt;3.8,"3029",IF(N599&lt;5,"3038",IF(N599&lt;7,"3050",IF(N599&lt;9,"3070",IF(N599&lt;11,"3090","3110"))))))),""))))</f>
        <v/>
      </c>
      <c r="Q599">
        <f>AND(O599=TRUE,P599&lt;&gt;"")</f>
        <v/>
      </c>
      <c r="R599">
        <f>IF(G599*1000&lt;750,"なし","あり")</f>
        <v/>
      </c>
      <c r="S599">
        <f>IF(AND(O599=TRUE,Q599=TRUE),"設定可","BLOCK")</f>
        <v/>
      </c>
      <c r="T599" t="inlineStr">
        <is>
          <t>商品カタログ P194</t>
        </is>
      </c>
      <c r="U599" t="inlineStr">
        <is>
          <t>https://webcatalog.lixil.co.jp/iportal/CatalogDetail.do?catalogID=15191910000&amp;categoryID=1630000&amp;designID=newinter&amp;method=initial_screen&amp;position=18&amp;type=mc&amp;volumeID=LXL13001</t>
        </is>
      </c>
    </row>
    <row r="600">
      <c r="A600" t="inlineStr">
        <is>
          <t>WG-SL-00597</t>
        </is>
      </c>
      <c r="B600" t="inlineStr">
        <is>
          <t>SZ-SL-001012</t>
        </is>
      </c>
      <c r="C600" t="inlineStr">
        <is>
          <t>WT-SL-MENKOSHI-AGE-FS</t>
        </is>
      </c>
      <c r="D600" t="inlineStr">
        <is>
          <t>SP-SL-AGE-GRILLE-H</t>
        </is>
      </c>
      <c r="E600" t="inlineStr">
        <is>
          <t>06011</t>
        </is>
      </c>
      <c r="F600" t="n">
        <v>0.64</v>
      </c>
      <c r="G600" t="n">
        <v>1.17</v>
      </c>
      <c r="H600" t="inlineStr">
        <is>
          <t>GL-SL-003</t>
        </is>
      </c>
      <c r="I600" t="n">
        <v>8</v>
      </c>
      <c r="J600" t="n">
        <v>10.4</v>
      </c>
      <c r="K600" t="n">
        <v>-0.605</v>
      </c>
      <c r="L600" t="n">
        <v>-1.332</v>
      </c>
      <c r="M600" t="n">
        <v>0.399</v>
      </c>
      <c r="N600">
        <f>ROUND(J600*F600*G600+K600*G600+L600*F600+M600,3)</f>
        <v/>
      </c>
      <c r="O600">
        <f>AND(N600&gt;=1.4,N600&lt;=13)</f>
        <v/>
      </c>
      <c r="P600">
        <f>IF(OR(N600&lt;1.4,N600&gt;13),"",IF(G600*1000&lt;=1170,IF(N600&lt;1.8,"1014",IF(N600&lt;2.9,"1018",IF(N600&lt;3.8,"1029",IF(N600&lt;5,"1038",IF(N600&lt;7,"1050",IF(N600&lt;9,"1070",IF(N600&lt;11,"1090","1110"))))))),IF(G600*1000&lt;=1570,IF(N600&lt;1.8,"",IF(N600&lt;2.9,"2018",IF(N600&lt;3.8,"2029",IF(N600&lt;5,"2038",IF(N600&lt;7,"2050",IF(N600&lt;9,"2070",IF(N600&lt;11,"2090","2110"))))))),IF(G600*1000&lt;=1700,IF(N600&lt;1.8,"",IF(N600&lt;2.9,"3018",IF(N600&lt;3.8,"3029",IF(N600&lt;5,"3038",IF(N600&lt;7,"3050",IF(N600&lt;9,"3070",IF(N600&lt;11,"3090","3110"))))))),""))))</f>
        <v/>
      </c>
      <c r="Q600">
        <f>AND(O600=TRUE,P600&lt;&gt;"")</f>
        <v/>
      </c>
      <c r="R600">
        <f>IF(G600*1000&lt;750,"なし","あり")</f>
        <v/>
      </c>
      <c r="S600">
        <f>IF(AND(O600=TRUE,Q600=TRUE),"設定可","BLOCK")</f>
        <v/>
      </c>
      <c r="T600" t="inlineStr">
        <is>
          <t>商品カタログ P194</t>
        </is>
      </c>
      <c r="U600" t="inlineStr">
        <is>
          <t>https://webcatalog.lixil.co.jp/iportal/CatalogDetail.do?catalogID=15191910000&amp;categoryID=1630000&amp;designID=newinter&amp;method=initial_screen&amp;position=18&amp;type=mc&amp;volumeID=LXL13001</t>
        </is>
      </c>
    </row>
    <row r="601">
      <c r="A601" t="inlineStr">
        <is>
          <t>WG-SL-00598</t>
        </is>
      </c>
      <c r="B601" t="inlineStr">
        <is>
          <t>SZ-SL-001012</t>
        </is>
      </c>
      <c r="C601" t="inlineStr">
        <is>
          <t>WT-SL-MENKOSHI-AGE-FS</t>
        </is>
      </c>
      <c r="D601" t="inlineStr">
        <is>
          <t>SP-SL-AGE-GRILLE-H</t>
        </is>
      </c>
      <c r="E601" t="inlineStr">
        <is>
          <t>06011</t>
        </is>
      </c>
      <c r="F601" t="n">
        <v>0.64</v>
      </c>
      <c r="G601" t="n">
        <v>1.17</v>
      </c>
      <c r="H601" t="inlineStr">
        <is>
          <t>GL-SL-004</t>
        </is>
      </c>
      <c r="I601" t="n">
        <v>6</v>
      </c>
      <c r="J601" t="n">
        <v>7.8</v>
      </c>
      <c r="K601" t="n">
        <v>-0.355</v>
      </c>
      <c r="L601" t="n">
        <v>-0.664</v>
      </c>
      <c r="M601" t="n">
        <v>0.335</v>
      </c>
      <c r="N601">
        <f>ROUND(J601*F601*G601+K601*G601+L601*F601+M601,3)</f>
        <v/>
      </c>
      <c r="O601">
        <f>AND(N601&gt;=1.4,N601&lt;=13)</f>
        <v/>
      </c>
      <c r="P601">
        <f>IF(OR(N601&lt;1.4,N601&gt;13),"",IF(G601*1000&lt;=1170,IF(N601&lt;1.8,"1014",IF(N601&lt;2.9,"1018",IF(N601&lt;3.8,"1029",IF(N601&lt;5,"1038",IF(N601&lt;7,"1050",IF(N601&lt;9,"1070",IF(N601&lt;11,"1090","1110"))))))),IF(G601*1000&lt;=1570,IF(N601&lt;1.8,"",IF(N601&lt;2.9,"2018",IF(N601&lt;3.8,"2029",IF(N601&lt;5,"2038",IF(N601&lt;7,"2050",IF(N601&lt;9,"2070",IF(N601&lt;11,"2090","2110"))))))),IF(G601*1000&lt;=1700,IF(N601&lt;1.8,"",IF(N601&lt;2.9,"3018",IF(N601&lt;3.8,"3029",IF(N601&lt;5,"3038",IF(N601&lt;7,"3050",IF(N601&lt;9,"3070",IF(N601&lt;11,"3090","3110"))))))),""))))</f>
        <v/>
      </c>
      <c r="Q601">
        <f>AND(O601=TRUE,P601&lt;&gt;"")</f>
        <v/>
      </c>
      <c r="R601">
        <f>IF(G601*1000&lt;750,"なし","あり")</f>
        <v/>
      </c>
      <c r="S601">
        <f>IF(AND(O601=TRUE,Q601=TRUE),"設定可","BLOCK")</f>
        <v/>
      </c>
      <c r="T601" t="inlineStr">
        <is>
          <t>商品カタログ P194</t>
        </is>
      </c>
      <c r="U601" t="inlineStr">
        <is>
          <t>https://webcatalog.lixil.co.jp/iportal/CatalogDetail.do?catalogID=15191910000&amp;categoryID=1630000&amp;designID=newinter&amp;method=initial_screen&amp;position=18&amp;type=mc&amp;volumeID=LXL13001</t>
        </is>
      </c>
    </row>
    <row r="602">
      <c r="A602" t="inlineStr">
        <is>
          <t>WG-SL-00599</t>
        </is>
      </c>
      <c r="B602" t="inlineStr">
        <is>
          <t>SZ-SL-001012</t>
        </is>
      </c>
      <c r="C602" t="inlineStr">
        <is>
          <t>WT-SL-MENKOSHI-AGE-FS</t>
        </is>
      </c>
      <c r="D602" t="inlineStr">
        <is>
          <t>SP-SL-AGE-GRILLE-H</t>
        </is>
      </c>
      <c r="E602" t="inlineStr">
        <is>
          <t>06011</t>
        </is>
      </c>
      <c r="F602" t="n">
        <v>0.64</v>
      </c>
      <c r="G602" t="n">
        <v>1.17</v>
      </c>
      <c r="H602" t="inlineStr">
        <is>
          <t>GL-SL-005</t>
        </is>
      </c>
      <c r="I602" t="n">
        <v>7</v>
      </c>
      <c r="J602" t="n">
        <v>9.1</v>
      </c>
      <c r="K602" t="n">
        <v>-0.48</v>
      </c>
      <c r="L602" t="n">
        <v>-0.998</v>
      </c>
      <c r="M602" t="n">
        <v>0.367</v>
      </c>
      <c r="N602">
        <f>ROUND(J602*F602*G602+K602*G602+L602*F602+M602,3)</f>
        <v/>
      </c>
      <c r="O602">
        <f>AND(N602&gt;=1.4,N602&lt;=13)</f>
        <v/>
      </c>
      <c r="P602">
        <f>IF(OR(N602&lt;1.4,N602&gt;13),"",IF(G602*1000&lt;=1170,IF(N602&lt;1.8,"1014",IF(N602&lt;2.9,"1018",IF(N602&lt;3.8,"1029",IF(N602&lt;5,"1038",IF(N602&lt;7,"1050",IF(N602&lt;9,"1070",IF(N602&lt;11,"1090","1110"))))))),IF(G602*1000&lt;=1570,IF(N602&lt;1.8,"",IF(N602&lt;2.9,"2018",IF(N602&lt;3.8,"2029",IF(N602&lt;5,"2038",IF(N602&lt;7,"2050",IF(N602&lt;9,"2070",IF(N602&lt;11,"2090","2110"))))))),IF(G602*1000&lt;=1700,IF(N602&lt;1.8,"",IF(N602&lt;2.9,"3018",IF(N602&lt;3.8,"3029",IF(N602&lt;5,"3038",IF(N602&lt;7,"3050",IF(N602&lt;9,"3070",IF(N602&lt;11,"3090","3110"))))))),""))))</f>
        <v/>
      </c>
      <c r="Q602">
        <f>AND(O602=TRUE,P602&lt;&gt;"")</f>
        <v/>
      </c>
      <c r="R602">
        <f>IF(G602*1000&lt;750,"なし","あり")</f>
        <v/>
      </c>
      <c r="S602">
        <f>IF(AND(O602=TRUE,Q602=TRUE),"設定可","BLOCK")</f>
        <v/>
      </c>
      <c r="T602" t="inlineStr">
        <is>
          <t>商品カタログ P194</t>
        </is>
      </c>
      <c r="U602" t="inlineStr">
        <is>
          <t>https://webcatalog.lixil.co.jp/iportal/CatalogDetail.do?catalogID=15191910000&amp;categoryID=1630000&amp;designID=newinter&amp;method=initial_screen&amp;position=18&amp;type=mc&amp;volumeID=LXL13001</t>
        </is>
      </c>
    </row>
    <row r="603">
      <c r="A603" t="inlineStr">
        <is>
          <t>WG-SL-00600</t>
        </is>
      </c>
      <c r="B603" t="inlineStr">
        <is>
          <t>SZ-SL-001012</t>
        </is>
      </c>
      <c r="C603" t="inlineStr">
        <is>
          <t>WT-SL-MENKOSHI-AGE-FS</t>
        </is>
      </c>
      <c r="D603" t="inlineStr">
        <is>
          <t>SP-SL-AGE-GRILLE-H</t>
        </is>
      </c>
      <c r="E603" t="inlineStr">
        <is>
          <t>06011</t>
        </is>
      </c>
      <c r="F603" t="n">
        <v>0.64</v>
      </c>
      <c r="G603" t="n">
        <v>1.17</v>
      </c>
      <c r="H603" t="inlineStr">
        <is>
          <t>GL-SL-006</t>
        </is>
      </c>
      <c r="I603" t="n">
        <v>8</v>
      </c>
      <c r="J603" t="n">
        <v>10.4</v>
      </c>
      <c r="K603" t="n">
        <v>-0.605</v>
      </c>
      <c r="L603" t="n">
        <v>-1.332</v>
      </c>
      <c r="M603" t="n">
        <v>0.399</v>
      </c>
      <c r="N603">
        <f>ROUND(J603*F603*G603+K603*G603+L603*F603+M603,3)</f>
        <v/>
      </c>
      <c r="O603">
        <f>AND(N603&gt;=1.4,N603&lt;=13)</f>
        <v/>
      </c>
      <c r="P603">
        <f>IF(OR(N603&lt;1.4,N603&gt;13),"",IF(G603*1000&lt;=1170,IF(N603&lt;1.8,"1014",IF(N603&lt;2.9,"1018",IF(N603&lt;3.8,"1029",IF(N603&lt;5,"1038",IF(N603&lt;7,"1050",IF(N603&lt;9,"1070",IF(N603&lt;11,"1090","1110"))))))),IF(G603*1000&lt;=1570,IF(N603&lt;1.8,"",IF(N603&lt;2.9,"2018",IF(N603&lt;3.8,"2029",IF(N603&lt;5,"2038",IF(N603&lt;7,"2050",IF(N603&lt;9,"2070",IF(N603&lt;11,"2090","2110"))))))),IF(G603*1000&lt;=1700,IF(N603&lt;1.8,"",IF(N603&lt;2.9,"3018",IF(N603&lt;3.8,"3029",IF(N603&lt;5,"3038",IF(N603&lt;7,"3050",IF(N603&lt;9,"3070",IF(N603&lt;11,"3090","3110"))))))),""))))</f>
        <v/>
      </c>
      <c r="Q603">
        <f>AND(O603=TRUE,P603&lt;&gt;"")</f>
        <v/>
      </c>
      <c r="R603">
        <f>IF(G603*1000&lt;750,"なし","あり")</f>
        <v/>
      </c>
      <c r="S603">
        <f>IF(AND(O603=TRUE,Q603=TRUE),"設定可","BLOCK")</f>
        <v/>
      </c>
      <c r="T603" t="inlineStr">
        <is>
          <t>商品カタログ P194</t>
        </is>
      </c>
      <c r="U603" t="inlineStr">
        <is>
          <t>https://webcatalog.lixil.co.jp/iportal/CatalogDetail.do?catalogID=15191910000&amp;categoryID=1630000&amp;designID=newinter&amp;method=initial_screen&amp;position=18&amp;type=mc&amp;volumeID=LXL13001</t>
        </is>
      </c>
    </row>
    <row r="604">
      <c r="A604" t="inlineStr">
        <is>
          <t>WG-SL-00601</t>
        </is>
      </c>
      <c r="B604" t="inlineStr">
        <is>
          <t>SZ-SL-001012</t>
        </is>
      </c>
      <c r="C604" t="inlineStr">
        <is>
          <t>WT-SL-MENKOSHI-AGE-FS</t>
        </is>
      </c>
      <c r="D604" t="inlineStr">
        <is>
          <t>SP-SL-AGE-GRILLE-H</t>
        </is>
      </c>
      <c r="E604" t="inlineStr">
        <is>
          <t>06011</t>
        </is>
      </c>
      <c r="F604" t="n">
        <v>0.64</v>
      </c>
      <c r="G604" t="n">
        <v>1.17</v>
      </c>
      <c r="H604" t="inlineStr">
        <is>
          <t>GL-SL-007</t>
        </is>
      </c>
      <c r="I604" t="n">
        <v>6</v>
      </c>
      <c r="J604" t="n">
        <v>7.8</v>
      </c>
      <c r="K604" t="n">
        <v>-0.355</v>
      </c>
      <c r="L604" t="n">
        <v>-0.664</v>
      </c>
      <c r="M604" t="n">
        <v>0.335</v>
      </c>
      <c r="N604">
        <f>ROUND(J604*F604*G604+K604*G604+L604*F604+M604,3)</f>
        <v/>
      </c>
      <c r="O604">
        <f>AND(N604&gt;=1.4,N604&lt;=13)</f>
        <v/>
      </c>
      <c r="P604">
        <f>IF(OR(N604&lt;1.4,N604&gt;13),"",IF(G604*1000&lt;=1170,IF(N604&lt;1.8,"1014",IF(N604&lt;2.9,"1018",IF(N604&lt;3.8,"1029",IF(N604&lt;5,"1038",IF(N604&lt;7,"1050",IF(N604&lt;9,"1070",IF(N604&lt;11,"1090","1110"))))))),IF(G604*1000&lt;=1570,IF(N604&lt;1.8,"",IF(N604&lt;2.9,"2018",IF(N604&lt;3.8,"2029",IF(N604&lt;5,"2038",IF(N604&lt;7,"2050",IF(N604&lt;9,"2070",IF(N604&lt;11,"2090","2110"))))))),IF(G604*1000&lt;=1700,IF(N604&lt;1.8,"",IF(N604&lt;2.9,"3018",IF(N604&lt;3.8,"3029",IF(N604&lt;5,"3038",IF(N604&lt;7,"3050",IF(N604&lt;9,"3070",IF(N604&lt;11,"3090","3110"))))))),""))))</f>
        <v/>
      </c>
      <c r="Q604">
        <f>AND(O604=TRUE,P604&lt;&gt;"")</f>
        <v/>
      </c>
      <c r="R604">
        <f>IF(G604*1000&lt;750,"なし","あり")</f>
        <v/>
      </c>
      <c r="S604">
        <f>IF(AND(O604=TRUE,Q604=TRUE),"設定可","BLOCK")</f>
        <v/>
      </c>
      <c r="T604" t="inlineStr">
        <is>
          <t>商品カタログ P194</t>
        </is>
      </c>
      <c r="U604" t="inlineStr">
        <is>
          <t>https://webcatalog.lixil.co.jp/iportal/CatalogDetail.do?catalogID=15191910000&amp;categoryID=1630000&amp;designID=newinter&amp;method=initial_screen&amp;position=18&amp;type=mc&amp;volumeID=LXL13001</t>
        </is>
      </c>
    </row>
    <row r="605">
      <c r="A605" t="inlineStr">
        <is>
          <t>WG-SL-00602</t>
        </is>
      </c>
      <c r="B605" t="inlineStr">
        <is>
          <t>SZ-SL-001012</t>
        </is>
      </c>
      <c r="C605" t="inlineStr">
        <is>
          <t>WT-SL-MENKOSHI-AGE-FS</t>
        </is>
      </c>
      <c r="D605" t="inlineStr">
        <is>
          <t>SP-SL-AGE-GRILLE-H</t>
        </is>
      </c>
      <c r="E605" t="inlineStr">
        <is>
          <t>06011</t>
        </is>
      </c>
      <c r="F605" t="n">
        <v>0.64</v>
      </c>
      <c r="G605" t="n">
        <v>1.17</v>
      </c>
      <c r="H605" t="inlineStr">
        <is>
          <t>GL-SL-008</t>
        </is>
      </c>
      <c r="I605" t="n">
        <v>7</v>
      </c>
      <c r="J605" t="n">
        <v>9.1</v>
      </c>
      <c r="K605" t="n">
        <v>-0.48</v>
      </c>
      <c r="L605" t="n">
        <v>-0.998</v>
      </c>
      <c r="M605" t="n">
        <v>0.367</v>
      </c>
      <c r="N605">
        <f>ROUND(J605*F605*G605+K605*G605+L605*F605+M605,3)</f>
        <v/>
      </c>
      <c r="O605">
        <f>AND(N605&gt;=1.4,N605&lt;=13)</f>
        <v/>
      </c>
      <c r="P605">
        <f>IF(OR(N605&lt;1.4,N605&gt;13),"",IF(G605*1000&lt;=1170,IF(N605&lt;1.8,"1014",IF(N605&lt;2.9,"1018",IF(N605&lt;3.8,"1029",IF(N605&lt;5,"1038",IF(N605&lt;7,"1050",IF(N605&lt;9,"1070",IF(N605&lt;11,"1090","1110"))))))),IF(G605*1000&lt;=1570,IF(N605&lt;1.8,"",IF(N605&lt;2.9,"2018",IF(N605&lt;3.8,"2029",IF(N605&lt;5,"2038",IF(N605&lt;7,"2050",IF(N605&lt;9,"2070",IF(N605&lt;11,"2090","2110"))))))),IF(G605*1000&lt;=1700,IF(N605&lt;1.8,"",IF(N605&lt;2.9,"3018",IF(N605&lt;3.8,"3029",IF(N605&lt;5,"3038",IF(N605&lt;7,"3050",IF(N605&lt;9,"3070",IF(N605&lt;11,"3090","3110"))))))),""))))</f>
        <v/>
      </c>
      <c r="Q605">
        <f>AND(O605=TRUE,P605&lt;&gt;"")</f>
        <v/>
      </c>
      <c r="R605">
        <f>IF(G605*1000&lt;750,"なし","あり")</f>
        <v/>
      </c>
      <c r="S605">
        <f>IF(AND(O605=TRUE,Q605=TRUE),"設定可","BLOCK")</f>
        <v/>
      </c>
      <c r="T605" t="inlineStr">
        <is>
          <t>商品カタログ P194</t>
        </is>
      </c>
      <c r="U605" t="inlineStr">
        <is>
          <t>https://webcatalog.lixil.co.jp/iportal/CatalogDetail.do?catalogID=15191910000&amp;categoryID=1630000&amp;designID=newinter&amp;method=initial_screen&amp;position=18&amp;type=mc&amp;volumeID=LXL13001</t>
        </is>
      </c>
    </row>
    <row r="606">
      <c r="A606" t="inlineStr">
        <is>
          <t>WG-SL-00603</t>
        </is>
      </c>
      <c r="B606" t="inlineStr">
        <is>
          <t>SZ-SL-001012</t>
        </is>
      </c>
      <c r="C606" t="inlineStr">
        <is>
          <t>WT-SL-MENKOSHI-AGE-FS</t>
        </is>
      </c>
      <c r="D606" t="inlineStr">
        <is>
          <t>SP-SL-AGE-GRILLE-H</t>
        </is>
      </c>
      <c r="E606" t="inlineStr">
        <is>
          <t>06011</t>
        </is>
      </c>
      <c r="F606" t="n">
        <v>0.64</v>
      </c>
      <c r="G606" t="n">
        <v>1.17</v>
      </c>
      <c r="H606" t="inlineStr">
        <is>
          <t>GL-SL-009</t>
        </is>
      </c>
      <c r="I606" t="n">
        <v>8</v>
      </c>
      <c r="J606" t="n">
        <v>10.4</v>
      </c>
      <c r="K606" t="n">
        <v>-0.605</v>
      </c>
      <c r="L606" t="n">
        <v>-1.332</v>
      </c>
      <c r="M606" t="n">
        <v>0.399</v>
      </c>
      <c r="N606">
        <f>ROUND(J606*F606*G606+K606*G606+L606*F606+M606,3)</f>
        <v/>
      </c>
      <c r="O606">
        <f>AND(N606&gt;=1.4,N606&lt;=13)</f>
        <v/>
      </c>
      <c r="P606">
        <f>IF(OR(N606&lt;1.4,N606&gt;13),"",IF(G606*1000&lt;=1170,IF(N606&lt;1.8,"1014",IF(N606&lt;2.9,"1018",IF(N606&lt;3.8,"1029",IF(N606&lt;5,"1038",IF(N606&lt;7,"1050",IF(N606&lt;9,"1070",IF(N606&lt;11,"1090","1110"))))))),IF(G606*1000&lt;=1570,IF(N606&lt;1.8,"",IF(N606&lt;2.9,"2018",IF(N606&lt;3.8,"2029",IF(N606&lt;5,"2038",IF(N606&lt;7,"2050",IF(N606&lt;9,"2070",IF(N606&lt;11,"2090","2110"))))))),IF(G606*1000&lt;=1700,IF(N606&lt;1.8,"",IF(N606&lt;2.9,"3018",IF(N606&lt;3.8,"3029",IF(N606&lt;5,"3038",IF(N606&lt;7,"3050",IF(N606&lt;9,"3070",IF(N606&lt;11,"3090","3110"))))))),""))))</f>
        <v/>
      </c>
      <c r="Q606">
        <f>AND(O606=TRUE,P606&lt;&gt;"")</f>
        <v/>
      </c>
      <c r="R606">
        <f>IF(G606*1000&lt;750,"なし","あり")</f>
        <v/>
      </c>
      <c r="S606">
        <f>IF(AND(O606=TRUE,Q606=TRUE),"設定可","BLOCK")</f>
        <v/>
      </c>
      <c r="T606" t="inlineStr">
        <is>
          <t>商品カタログ P194</t>
        </is>
      </c>
      <c r="U606" t="inlineStr">
        <is>
          <t>https://webcatalog.lixil.co.jp/iportal/CatalogDetail.do?catalogID=15191910000&amp;categoryID=1630000&amp;designID=newinter&amp;method=initial_screen&amp;position=18&amp;type=mc&amp;volumeID=LXL13001</t>
        </is>
      </c>
    </row>
    <row r="607">
      <c r="A607" t="inlineStr">
        <is>
          <t>WG-SL-00604</t>
        </is>
      </c>
      <c r="B607" t="inlineStr">
        <is>
          <t>SZ-SL-001013</t>
        </is>
      </c>
      <c r="C607" t="inlineStr">
        <is>
          <t>WT-SL-MENKOSHI-AGE-FS</t>
        </is>
      </c>
      <c r="D607" t="inlineStr">
        <is>
          <t>SP-SL-AGE-GRILLE-H</t>
        </is>
      </c>
      <c r="E607" t="inlineStr">
        <is>
          <t>06911</t>
        </is>
      </c>
      <c r="F607" t="n">
        <v>0.73</v>
      </c>
      <c r="G607" t="n">
        <v>1.17</v>
      </c>
      <c r="H607" t="inlineStr">
        <is>
          <t>GL-SL-001</t>
        </is>
      </c>
      <c r="I607" t="n">
        <v>6</v>
      </c>
      <c r="J607" t="n">
        <v>7.8</v>
      </c>
      <c r="K607" t="n">
        <v>-0.355</v>
      </c>
      <c r="L607" t="n">
        <v>-0.664</v>
      </c>
      <c r="M607" t="n">
        <v>0.335</v>
      </c>
      <c r="N607">
        <f>ROUND(J607*F607*G607+K607*G607+L607*F607+M607,3)</f>
        <v/>
      </c>
      <c r="O607">
        <f>AND(N607&gt;=1.4,N607&lt;=13)</f>
        <v/>
      </c>
      <c r="P607">
        <f>IF(OR(N607&lt;1.4,N607&gt;13),"",IF(G607*1000&lt;=1170,IF(N607&lt;1.8,"1014",IF(N607&lt;2.9,"1018",IF(N607&lt;3.8,"1029",IF(N607&lt;5,"1038",IF(N607&lt;7,"1050",IF(N607&lt;9,"1070",IF(N607&lt;11,"1090","1110"))))))),IF(G607*1000&lt;=1570,IF(N607&lt;1.8,"",IF(N607&lt;2.9,"2018",IF(N607&lt;3.8,"2029",IF(N607&lt;5,"2038",IF(N607&lt;7,"2050",IF(N607&lt;9,"2070",IF(N607&lt;11,"2090","2110"))))))),IF(G607*1000&lt;=1700,IF(N607&lt;1.8,"",IF(N607&lt;2.9,"3018",IF(N607&lt;3.8,"3029",IF(N607&lt;5,"3038",IF(N607&lt;7,"3050",IF(N607&lt;9,"3070",IF(N607&lt;11,"3090","3110"))))))),""))))</f>
        <v/>
      </c>
      <c r="Q607">
        <f>AND(O607=TRUE,P607&lt;&gt;"")</f>
        <v/>
      </c>
      <c r="R607">
        <f>IF(G607*1000&lt;750,"なし","あり")</f>
        <v/>
      </c>
      <c r="S607">
        <f>IF(AND(O607=TRUE,Q607=TRUE),"設定可","BLOCK")</f>
        <v/>
      </c>
      <c r="T607" t="inlineStr">
        <is>
          <t>商品カタログ P194</t>
        </is>
      </c>
      <c r="U607" t="inlineStr">
        <is>
          <t>https://webcatalog.lixil.co.jp/iportal/CatalogDetail.do?catalogID=15191910000&amp;categoryID=1630000&amp;designID=newinter&amp;method=initial_screen&amp;position=18&amp;type=mc&amp;volumeID=LXL13001</t>
        </is>
      </c>
    </row>
    <row r="608">
      <c r="A608" t="inlineStr">
        <is>
          <t>WG-SL-00605</t>
        </is>
      </c>
      <c r="B608" t="inlineStr">
        <is>
          <t>SZ-SL-001013</t>
        </is>
      </c>
      <c r="C608" t="inlineStr">
        <is>
          <t>WT-SL-MENKOSHI-AGE-FS</t>
        </is>
      </c>
      <c r="D608" t="inlineStr">
        <is>
          <t>SP-SL-AGE-GRILLE-H</t>
        </is>
      </c>
      <c r="E608" t="inlineStr">
        <is>
          <t>06911</t>
        </is>
      </c>
      <c r="F608" t="n">
        <v>0.73</v>
      </c>
      <c r="G608" t="n">
        <v>1.17</v>
      </c>
      <c r="H608" t="inlineStr">
        <is>
          <t>GL-SL-002</t>
        </is>
      </c>
      <c r="I608" t="n">
        <v>7</v>
      </c>
      <c r="J608" t="n">
        <v>9.1</v>
      </c>
      <c r="K608" t="n">
        <v>-0.48</v>
      </c>
      <c r="L608" t="n">
        <v>-0.998</v>
      </c>
      <c r="M608" t="n">
        <v>0.367</v>
      </c>
      <c r="N608">
        <f>ROUND(J608*F608*G608+K608*G608+L608*F608+M608,3)</f>
        <v/>
      </c>
      <c r="O608">
        <f>AND(N608&gt;=1.4,N608&lt;=13)</f>
        <v/>
      </c>
      <c r="P608">
        <f>IF(OR(N608&lt;1.4,N608&gt;13),"",IF(G608*1000&lt;=1170,IF(N608&lt;1.8,"1014",IF(N608&lt;2.9,"1018",IF(N608&lt;3.8,"1029",IF(N608&lt;5,"1038",IF(N608&lt;7,"1050",IF(N608&lt;9,"1070",IF(N608&lt;11,"1090","1110"))))))),IF(G608*1000&lt;=1570,IF(N608&lt;1.8,"",IF(N608&lt;2.9,"2018",IF(N608&lt;3.8,"2029",IF(N608&lt;5,"2038",IF(N608&lt;7,"2050",IF(N608&lt;9,"2070",IF(N608&lt;11,"2090","2110"))))))),IF(G608*1000&lt;=1700,IF(N608&lt;1.8,"",IF(N608&lt;2.9,"3018",IF(N608&lt;3.8,"3029",IF(N608&lt;5,"3038",IF(N608&lt;7,"3050",IF(N608&lt;9,"3070",IF(N608&lt;11,"3090","3110"))))))),""))))</f>
        <v/>
      </c>
      <c r="Q608">
        <f>AND(O608=TRUE,P608&lt;&gt;"")</f>
        <v/>
      </c>
      <c r="R608">
        <f>IF(G608*1000&lt;750,"なし","あり")</f>
        <v/>
      </c>
      <c r="S608">
        <f>IF(AND(O608=TRUE,Q608=TRUE),"設定可","BLOCK")</f>
        <v/>
      </c>
      <c r="T608" t="inlineStr">
        <is>
          <t>商品カタログ P194</t>
        </is>
      </c>
      <c r="U608" t="inlineStr">
        <is>
          <t>https://webcatalog.lixil.co.jp/iportal/CatalogDetail.do?catalogID=15191910000&amp;categoryID=1630000&amp;designID=newinter&amp;method=initial_screen&amp;position=18&amp;type=mc&amp;volumeID=LXL13001</t>
        </is>
      </c>
    </row>
    <row r="609">
      <c r="A609" t="inlineStr">
        <is>
          <t>WG-SL-00606</t>
        </is>
      </c>
      <c r="B609" t="inlineStr">
        <is>
          <t>SZ-SL-001013</t>
        </is>
      </c>
      <c r="C609" t="inlineStr">
        <is>
          <t>WT-SL-MENKOSHI-AGE-FS</t>
        </is>
      </c>
      <c r="D609" t="inlineStr">
        <is>
          <t>SP-SL-AGE-GRILLE-H</t>
        </is>
      </c>
      <c r="E609" t="inlineStr">
        <is>
          <t>06911</t>
        </is>
      </c>
      <c r="F609" t="n">
        <v>0.73</v>
      </c>
      <c r="G609" t="n">
        <v>1.17</v>
      </c>
      <c r="H609" t="inlineStr">
        <is>
          <t>GL-SL-003</t>
        </is>
      </c>
      <c r="I609" t="n">
        <v>8</v>
      </c>
      <c r="J609" t="n">
        <v>10.4</v>
      </c>
      <c r="K609" t="n">
        <v>-0.605</v>
      </c>
      <c r="L609" t="n">
        <v>-1.332</v>
      </c>
      <c r="M609" t="n">
        <v>0.399</v>
      </c>
      <c r="N609">
        <f>ROUND(J609*F609*G609+K609*G609+L609*F609+M609,3)</f>
        <v/>
      </c>
      <c r="O609">
        <f>AND(N609&gt;=1.4,N609&lt;=13)</f>
        <v/>
      </c>
      <c r="P609">
        <f>IF(OR(N609&lt;1.4,N609&gt;13),"",IF(G609*1000&lt;=1170,IF(N609&lt;1.8,"1014",IF(N609&lt;2.9,"1018",IF(N609&lt;3.8,"1029",IF(N609&lt;5,"1038",IF(N609&lt;7,"1050",IF(N609&lt;9,"1070",IF(N609&lt;11,"1090","1110"))))))),IF(G609*1000&lt;=1570,IF(N609&lt;1.8,"",IF(N609&lt;2.9,"2018",IF(N609&lt;3.8,"2029",IF(N609&lt;5,"2038",IF(N609&lt;7,"2050",IF(N609&lt;9,"2070",IF(N609&lt;11,"2090","2110"))))))),IF(G609*1000&lt;=1700,IF(N609&lt;1.8,"",IF(N609&lt;2.9,"3018",IF(N609&lt;3.8,"3029",IF(N609&lt;5,"3038",IF(N609&lt;7,"3050",IF(N609&lt;9,"3070",IF(N609&lt;11,"3090","3110"))))))),""))))</f>
        <v/>
      </c>
      <c r="Q609">
        <f>AND(O609=TRUE,P609&lt;&gt;"")</f>
        <v/>
      </c>
      <c r="R609">
        <f>IF(G609*1000&lt;750,"なし","あり")</f>
        <v/>
      </c>
      <c r="S609">
        <f>IF(AND(O609=TRUE,Q609=TRUE),"設定可","BLOCK")</f>
        <v/>
      </c>
      <c r="T609" t="inlineStr">
        <is>
          <t>商品カタログ P194</t>
        </is>
      </c>
      <c r="U609" t="inlineStr">
        <is>
          <t>https://webcatalog.lixil.co.jp/iportal/CatalogDetail.do?catalogID=15191910000&amp;categoryID=1630000&amp;designID=newinter&amp;method=initial_screen&amp;position=18&amp;type=mc&amp;volumeID=LXL13001</t>
        </is>
      </c>
    </row>
    <row r="610">
      <c r="A610" t="inlineStr">
        <is>
          <t>WG-SL-00607</t>
        </is>
      </c>
      <c r="B610" t="inlineStr">
        <is>
          <t>SZ-SL-001013</t>
        </is>
      </c>
      <c r="C610" t="inlineStr">
        <is>
          <t>WT-SL-MENKOSHI-AGE-FS</t>
        </is>
      </c>
      <c r="D610" t="inlineStr">
        <is>
          <t>SP-SL-AGE-GRILLE-H</t>
        </is>
      </c>
      <c r="E610" t="inlineStr">
        <is>
          <t>06911</t>
        </is>
      </c>
      <c r="F610" t="n">
        <v>0.73</v>
      </c>
      <c r="G610" t="n">
        <v>1.17</v>
      </c>
      <c r="H610" t="inlineStr">
        <is>
          <t>GL-SL-004</t>
        </is>
      </c>
      <c r="I610" t="n">
        <v>6</v>
      </c>
      <c r="J610" t="n">
        <v>7.8</v>
      </c>
      <c r="K610" t="n">
        <v>-0.355</v>
      </c>
      <c r="L610" t="n">
        <v>-0.664</v>
      </c>
      <c r="M610" t="n">
        <v>0.335</v>
      </c>
      <c r="N610">
        <f>ROUND(J610*F610*G610+K610*G610+L610*F610+M610,3)</f>
        <v/>
      </c>
      <c r="O610">
        <f>AND(N610&gt;=1.4,N610&lt;=13)</f>
        <v/>
      </c>
      <c r="P610">
        <f>IF(OR(N610&lt;1.4,N610&gt;13),"",IF(G610*1000&lt;=1170,IF(N610&lt;1.8,"1014",IF(N610&lt;2.9,"1018",IF(N610&lt;3.8,"1029",IF(N610&lt;5,"1038",IF(N610&lt;7,"1050",IF(N610&lt;9,"1070",IF(N610&lt;11,"1090","1110"))))))),IF(G610*1000&lt;=1570,IF(N610&lt;1.8,"",IF(N610&lt;2.9,"2018",IF(N610&lt;3.8,"2029",IF(N610&lt;5,"2038",IF(N610&lt;7,"2050",IF(N610&lt;9,"2070",IF(N610&lt;11,"2090","2110"))))))),IF(G610*1000&lt;=1700,IF(N610&lt;1.8,"",IF(N610&lt;2.9,"3018",IF(N610&lt;3.8,"3029",IF(N610&lt;5,"3038",IF(N610&lt;7,"3050",IF(N610&lt;9,"3070",IF(N610&lt;11,"3090","3110"))))))),""))))</f>
        <v/>
      </c>
      <c r="Q610">
        <f>AND(O610=TRUE,P610&lt;&gt;"")</f>
        <v/>
      </c>
      <c r="R610">
        <f>IF(G610*1000&lt;750,"なし","あり")</f>
        <v/>
      </c>
      <c r="S610">
        <f>IF(AND(O610=TRUE,Q610=TRUE),"設定可","BLOCK")</f>
        <v/>
      </c>
      <c r="T610" t="inlineStr">
        <is>
          <t>商品カタログ P194</t>
        </is>
      </c>
      <c r="U610" t="inlineStr">
        <is>
          <t>https://webcatalog.lixil.co.jp/iportal/CatalogDetail.do?catalogID=15191910000&amp;categoryID=1630000&amp;designID=newinter&amp;method=initial_screen&amp;position=18&amp;type=mc&amp;volumeID=LXL13001</t>
        </is>
      </c>
    </row>
    <row r="611">
      <c r="A611" t="inlineStr">
        <is>
          <t>WG-SL-00608</t>
        </is>
      </c>
      <c r="B611" t="inlineStr">
        <is>
          <t>SZ-SL-001013</t>
        </is>
      </c>
      <c r="C611" t="inlineStr">
        <is>
          <t>WT-SL-MENKOSHI-AGE-FS</t>
        </is>
      </c>
      <c r="D611" t="inlineStr">
        <is>
          <t>SP-SL-AGE-GRILLE-H</t>
        </is>
      </c>
      <c r="E611" t="inlineStr">
        <is>
          <t>06911</t>
        </is>
      </c>
      <c r="F611" t="n">
        <v>0.73</v>
      </c>
      <c r="G611" t="n">
        <v>1.17</v>
      </c>
      <c r="H611" t="inlineStr">
        <is>
          <t>GL-SL-005</t>
        </is>
      </c>
      <c r="I611" t="n">
        <v>7</v>
      </c>
      <c r="J611" t="n">
        <v>9.1</v>
      </c>
      <c r="K611" t="n">
        <v>-0.48</v>
      </c>
      <c r="L611" t="n">
        <v>-0.998</v>
      </c>
      <c r="M611" t="n">
        <v>0.367</v>
      </c>
      <c r="N611">
        <f>ROUND(J611*F611*G611+K611*G611+L611*F611+M611,3)</f>
        <v/>
      </c>
      <c r="O611">
        <f>AND(N611&gt;=1.4,N611&lt;=13)</f>
        <v/>
      </c>
      <c r="P611">
        <f>IF(OR(N611&lt;1.4,N611&gt;13),"",IF(G611*1000&lt;=1170,IF(N611&lt;1.8,"1014",IF(N611&lt;2.9,"1018",IF(N611&lt;3.8,"1029",IF(N611&lt;5,"1038",IF(N611&lt;7,"1050",IF(N611&lt;9,"1070",IF(N611&lt;11,"1090","1110"))))))),IF(G611*1000&lt;=1570,IF(N611&lt;1.8,"",IF(N611&lt;2.9,"2018",IF(N611&lt;3.8,"2029",IF(N611&lt;5,"2038",IF(N611&lt;7,"2050",IF(N611&lt;9,"2070",IF(N611&lt;11,"2090","2110"))))))),IF(G611*1000&lt;=1700,IF(N611&lt;1.8,"",IF(N611&lt;2.9,"3018",IF(N611&lt;3.8,"3029",IF(N611&lt;5,"3038",IF(N611&lt;7,"3050",IF(N611&lt;9,"3070",IF(N611&lt;11,"3090","3110"))))))),""))))</f>
        <v/>
      </c>
      <c r="Q611">
        <f>AND(O611=TRUE,P611&lt;&gt;"")</f>
        <v/>
      </c>
      <c r="R611">
        <f>IF(G611*1000&lt;750,"なし","あり")</f>
        <v/>
      </c>
      <c r="S611">
        <f>IF(AND(O611=TRUE,Q611=TRUE),"設定可","BLOCK")</f>
        <v/>
      </c>
      <c r="T611" t="inlineStr">
        <is>
          <t>商品カタログ P194</t>
        </is>
      </c>
      <c r="U611" t="inlineStr">
        <is>
          <t>https://webcatalog.lixil.co.jp/iportal/CatalogDetail.do?catalogID=15191910000&amp;categoryID=1630000&amp;designID=newinter&amp;method=initial_screen&amp;position=18&amp;type=mc&amp;volumeID=LXL13001</t>
        </is>
      </c>
    </row>
    <row r="612">
      <c r="A612" t="inlineStr">
        <is>
          <t>WG-SL-00609</t>
        </is>
      </c>
      <c r="B612" t="inlineStr">
        <is>
          <t>SZ-SL-001013</t>
        </is>
      </c>
      <c r="C612" t="inlineStr">
        <is>
          <t>WT-SL-MENKOSHI-AGE-FS</t>
        </is>
      </c>
      <c r="D612" t="inlineStr">
        <is>
          <t>SP-SL-AGE-GRILLE-H</t>
        </is>
      </c>
      <c r="E612" t="inlineStr">
        <is>
          <t>06911</t>
        </is>
      </c>
      <c r="F612" t="n">
        <v>0.73</v>
      </c>
      <c r="G612" t="n">
        <v>1.17</v>
      </c>
      <c r="H612" t="inlineStr">
        <is>
          <t>GL-SL-006</t>
        </is>
      </c>
      <c r="I612" t="n">
        <v>8</v>
      </c>
      <c r="J612" t="n">
        <v>10.4</v>
      </c>
      <c r="K612" t="n">
        <v>-0.605</v>
      </c>
      <c r="L612" t="n">
        <v>-1.332</v>
      </c>
      <c r="M612" t="n">
        <v>0.399</v>
      </c>
      <c r="N612">
        <f>ROUND(J612*F612*G612+K612*G612+L612*F612+M612,3)</f>
        <v/>
      </c>
      <c r="O612">
        <f>AND(N612&gt;=1.4,N612&lt;=13)</f>
        <v/>
      </c>
      <c r="P612">
        <f>IF(OR(N612&lt;1.4,N612&gt;13),"",IF(G612*1000&lt;=1170,IF(N612&lt;1.8,"1014",IF(N612&lt;2.9,"1018",IF(N612&lt;3.8,"1029",IF(N612&lt;5,"1038",IF(N612&lt;7,"1050",IF(N612&lt;9,"1070",IF(N612&lt;11,"1090","1110"))))))),IF(G612*1000&lt;=1570,IF(N612&lt;1.8,"",IF(N612&lt;2.9,"2018",IF(N612&lt;3.8,"2029",IF(N612&lt;5,"2038",IF(N612&lt;7,"2050",IF(N612&lt;9,"2070",IF(N612&lt;11,"2090","2110"))))))),IF(G612*1000&lt;=1700,IF(N612&lt;1.8,"",IF(N612&lt;2.9,"3018",IF(N612&lt;3.8,"3029",IF(N612&lt;5,"3038",IF(N612&lt;7,"3050",IF(N612&lt;9,"3070",IF(N612&lt;11,"3090","3110"))))))),""))))</f>
        <v/>
      </c>
      <c r="Q612">
        <f>AND(O612=TRUE,P612&lt;&gt;"")</f>
        <v/>
      </c>
      <c r="R612">
        <f>IF(G612*1000&lt;750,"なし","あり")</f>
        <v/>
      </c>
      <c r="S612">
        <f>IF(AND(O612=TRUE,Q612=TRUE),"設定可","BLOCK")</f>
        <v/>
      </c>
      <c r="T612" t="inlineStr">
        <is>
          <t>商品カタログ P194</t>
        </is>
      </c>
      <c r="U612" t="inlineStr">
        <is>
          <t>https://webcatalog.lixil.co.jp/iportal/CatalogDetail.do?catalogID=15191910000&amp;categoryID=1630000&amp;designID=newinter&amp;method=initial_screen&amp;position=18&amp;type=mc&amp;volumeID=LXL13001</t>
        </is>
      </c>
    </row>
    <row r="613">
      <c r="A613" t="inlineStr">
        <is>
          <t>WG-SL-00610</t>
        </is>
      </c>
      <c r="B613" t="inlineStr">
        <is>
          <t>SZ-SL-001013</t>
        </is>
      </c>
      <c r="C613" t="inlineStr">
        <is>
          <t>WT-SL-MENKOSHI-AGE-FS</t>
        </is>
      </c>
      <c r="D613" t="inlineStr">
        <is>
          <t>SP-SL-AGE-GRILLE-H</t>
        </is>
      </c>
      <c r="E613" t="inlineStr">
        <is>
          <t>06911</t>
        </is>
      </c>
      <c r="F613" t="n">
        <v>0.73</v>
      </c>
      <c r="G613" t="n">
        <v>1.17</v>
      </c>
      <c r="H613" t="inlineStr">
        <is>
          <t>GL-SL-007</t>
        </is>
      </c>
      <c r="I613" t="n">
        <v>6</v>
      </c>
      <c r="J613" t="n">
        <v>7.8</v>
      </c>
      <c r="K613" t="n">
        <v>-0.355</v>
      </c>
      <c r="L613" t="n">
        <v>-0.664</v>
      </c>
      <c r="M613" t="n">
        <v>0.335</v>
      </c>
      <c r="N613">
        <f>ROUND(J613*F613*G613+K613*G613+L613*F613+M613,3)</f>
        <v/>
      </c>
      <c r="O613">
        <f>AND(N613&gt;=1.4,N613&lt;=13)</f>
        <v/>
      </c>
      <c r="P613">
        <f>IF(OR(N613&lt;1.4,N613&gt;13),"",IF(G613*1000&lt;=1170,IF(N613&lt;1.8,"1014",IF(N613&lt;2.9,"1018",IF(N613&lt;3.8,"1029",IF(N613&lt;5,"1038",IF(N613&lt;7,"1050",IF(N613&lt;9,"1070",IF(N613&lt;11,"1090","1110"))))))),IF(G613*1000&lt;=1570,IF(N613&lt;1.8,"",IF(N613&lt;2.9,"2018",IF(N613&lt;3.8,"2029",IF(N613&lt;5,"2038",IF(N613&lt;7,"2050",IF(N613&lt;9,"2070",IF(N613&lt;11,"2090","2110"))))))),IF(G613*1000&lt;=1700,IF(N613&lt;1.8,"",IF(N613&lt;2.9,"3018",IF(N613&lt;3.8,"3029",IF(N613&lt;5,"3038",IF(N613&lt;7,"3050",IF(N613&lt;9,"3070",IF(N613&lt;11,"3090","3110"))))))),""))))</f>
        <v/>
      </c>
      <c r="Q613">
        <f>AND(O613=TRUE,P613&lt;&gt;"")</f>
        <v/>
      </c>
      <c r="R613">
        <f>IF(G613*1000&lt;750,"なし","あり")</f>
        <v/>
      </c>
      <c r="S613">
        <f>IF(AND(O613=TRUE,Q613=TRUE),"設定可","BLOCK")</f>
        <v/>
      </c>
      <c r="T613" t="inlineStr">
        <is>
          <t>商品カタログ P194</t>
        </is>
      </c>
      <c r="U613" t="inlineStr">
        <is>
          <t>https://webcatalog.lixil.co.jp/iportal/CatalogDetail.do?catalogID=15191910000&amp;categoryID=1630000&amp;designID=newinter&amp;method=initial_screen&amp;position=18&amp;type=mc&amp;volumeID=LXL13001</t>
        </is>
      </c>
    </row>
    <row r="614">
      <c r="A614" t="inlineStr">
        <is>
          <t>WG-SL-00611</t>
        </is>
      </c>
      <c r="B614" t="inlineStr">
        <is>
          <t>SZ-SL-001013</t>
        </is>
      </c>
      <c r="C614" t="inlineStr">
        <is>
          <t>WT-SL-MENKOSHI-AGE-FS</t>
        </is>
      </c>
      <c r="D614" t="inlineStr">
        <is>
          <t>SP-SL-AGE-GRILLE-H</t>
        </is>
      </c>
      <c r="E614" t="inlineStr">
        <is>
          <t>06911</t>
        </is>
      </c>
      <c r="F614" t="n">
        <v>0.73</v>
      </c>
      <c r="G614" t="n">
        <v>1.17</v>
      </c>
      <c r="H614" t="inlineStr">
        <is>
          <t>GL-SL-008</t>
        </is>
      </c>
      <c r="I614" t="n">
        <v>7</v>
      </c>
      <c r="J614" t="n">
        <v>9.1</v>
      </c>
      <c r="K614" t="n">
        <v>-0.48</v>
      </c>
      <c r="L614" t="n">
        <v>-0.998</v>
      </c>
      <c r="M614" t="n">
        <v>0.367</v>
      </c>
      <c r="N614">
        <f>ROUND(J614*F614*G614+K614*G614+L614*F614+M614,3)</f>
        <v/>
      </c>
      <c r="O614">
        <f>AND(N614&gt;=1.4,N614&lt;=13)</f>
        <v/>
      </c>
      <c r="P614">
        <f>IF(OR(N614&lt;1.4,N614&gt;13),"",IF(G614*1000&lt;=1170,IF(N614&lt;1.8,"1014",IF(N614&lt;2.9,"1018",IF(N614&lt;3.8,"1029",IF(N614&lt;5,"1038",IF(N614&lt;7,"1050",IF(N614&lt;9,"1070",IF(N614&lt;11,"1090","1110"))))))),IF(G614*1000&lt;=1570,IF(N614&lt;1.8,"",IF(N614&lt;2.9,"2018",IF(N614&lt;3.8,"2029",IF(N614&lt;5,"2038",IF(N614&lt;7,"2050",IF(N614&lt;9,"2070",IF(N614&lt;11,"2090","2110"))))))),IF(G614*1000&lt;=1700,IF(N614&lt;1.8,"",IF(N614&lt;2.9,"3018",IF(N614&lt;3.8,"3029",IF(N614&lt;5,"3038",IF(N614&lt;7,"3050",IF(N614&lt;9,"3070",IF(N614&lt;11,"3090","3110"))))))),""))))</f>
        <v/>
      </c>
      <c r="Q614">
        <f>AND(O614=TRUE,P614&lt;&gt;"")</f>
        <v/>
      </c>
      <c r="R614">
        <f>IF(G614*1000&lt;750,"なし","あり")</f>
        <v/>
      </c>
      <c r="S614">
        <f>IF(AND(O614=TRUE,Q614=TRUE),"設定可","BLOCK")</f>
        <v/>
      </c>
      <c r="T614" t="inlineStr">
        <is>
          <t>商品カタログ P194</t>
        </is>
      </c>
      <c r="U614" t="inlineStr">
        <is>
          <t>https://webcatalog.lixil.co.jp/iportal/CatalogDetail.do?catalogID=15191910000&amp;categoryID=1630000&amp;designID=newinter&amp;method=initial_screen&amp;position=18&amp;type=mc&amp;volumeID=LXL13001</t>
        </is>
      </c>
    </row>
    <row r="615">
      <c r="A615" t="inlineStr">
        <is>
          <t>WG-SL-00612</t>
        </is>
      </c>
      <c r="B615" t="inlineStr">
        <is>
          <t>SZ-SL-001013</t>
        </is>
      </c>
      <c r="C615" t="inlineStr">
        <is>
          <t>WT-SL-MENKOSHI-AGE-FS</t>
        </is>
      </c>
      <c r="D615" t="inlineStr">
        <is>
          <t>SP-SL-AGE-GRILLE-H</t>
        </is>
      </c>
      <c r="E615" t="inlineStr">
        <is>
          <t>06911</t>
        </is>
      </c>
      <c r="F615" t="n">
        <v>0.73</v>
      </c>
      <c r="G615" t="n">
        <v>1.17</v>
      </c>
      <c r="H615" t="inlineStr">
        <is>
          <t>GL-SL-009</t>
        </is>
      </c>
      <c r="I615" t="n">
        <v>8</v>
      </c>
      <c r="J615" t="n">
        <v>10.4</v>
      </c>
      <c r="K615" t="n">
        <v>-0.605</v>
      </c>
      <c r="L615" t="n">
        <v>-1.332</v>
      </c>
      <c r="M615" t="n">
        <v>0.399</v>
      </c>
      <c r="N615">
        <f>ROUND(J615*F615*G615+K615*G615+L615*F615+M615,3)</f>
        <v/>
      </c>
      <c r="O615">
        <f>AND(N615&gt;=1.4,N615&lt;=13)</f>
        <v/>
      </c>
      <c r="P615">
        <f>IF(OR(N615&lt;1.4,N615&gt;13),"",IF(G615*1000&lt;=1170,IF(N615&lt;1.8,"1014",IF(N615&lt;2.9,"1018",IF(N615&lt;3.8,"1029",IF(N615&lt;5,"1038",IF(N615&lt;7,"1050",IF(N615&lt;9,"1070",IF(N615&lt;11,"1090","1110"))))))),IF(G615*1000&lt;=1570,IF(N615&lt;1.8,"",IF(N615&lt;2.9,"2018",IF(N615&lt;3.8,"2029",IF(N615&lt;5,"2038",IF(N615&lt;7,"2050",IF(N615&lt;9,"2070",IF(N615&lt;11,"2090","2110"))))))),IF(G615*1000&lt;=1700,IF(N615&lt;1.8,"",IF(N615&lt;2.9,"3018",IF(N615&lt;3.8,"3029",IF(N615&lt;5,"3038",IF(N615&lt;7,"3050",IF(N615&lt;9,"3070",IF(N615&lt;11,"3090","3110"))))))),""))))</f>
        <v/>
      </c>
      <c r="Q615">
        <f>AND(O615=TRUE,P615&lt;&gt;"")</f>
        <v/>
      </c>
      <c r="R615">
        <f>IF(G615*1000&lt;750,"なし","あり")</f>
        <v/>
      </c>
      <c r="S615">
        <f>IF(AND(O615=TRUE,Q615=TRUE),"設定可","BLOCK")</f>
        <v/>
      </c>
      <c r="T615" t="inlineStr">
        <is>
          <t>商品カタログ P194</t>
        </is>
      </c>
      <c r="U615" t="inlineStr">
        <is>
          <t>https://webcatalog.lixil.co.jp/iportal/CatalogDetail.do?catalogID=15191910000&amp;categoryID=1630000&amp;designID=newinter&amp;method=initial_screen&amp;position=18&amp;type=mc&amp;volumeID=LXL13001</t>
        </is>
      </c>
    </row>
    <row r="616">
      <c r="A616" t="inlineStr">
        <is>
          <t>WG-SL-00613</t>
        </is>
      </c>
      <c r="B616" t="inlineStr">
        <is>
          <t>SZ-SL-001014</t>
        </is>
      </c>
      <c r="C616" t="inlineStr">
        <is>
          <t>WT-SL-MENKOSHI-AGE-FS</t>
        </is>
      </c>
      <c r="D616" t="inlineStr">
        <is>
          <t>SP-SL-AGE-GRILLE-H</t>
        </is>
      </c>
      <c r="E616" t="inlineStr">
        <is>
          <t>07411</t>
        </is>
      </c>
      <c r="F616" t="n">
        <v>0.78</v>
      </c>
      <c r="G616" t="n">
        <v>1.17</v>
      </c>
      <c r="H616" t="inlineStr">
        <is>
          <t>GL-SL-001</t>
        </is>
      </c>
      <c r="I616" t="n">
        <v>6</v>
      </c>
      <c r="J616" t="n">
        <v>7.8</v>
      </c>
      <c r="K616" t="n">
        <v>-0.355</v>
      </c>
      <c r="L616" t="n">
        <v>-0.664</v>
      </c>
      <c r="M616" t="n">
        <v>0.335</v>
      </c>
      <c r="N616">
        <f>ROUND(J616*F616*G616+K616*G616+L616*F616+M616,3)</f>
        <v/>
      </c>
      <c r="O616">
        <f>AND(N616&gt;=1.4,N616&lt;=13)</f>
        <v/>
      </c>
      <c r="P616">
        <f>IF(OR(N616&lt;1.4,N616&gt;13),"",IF(G616*1000&lt;=1170,IF(N616&lt;1.8,"1014",IF(N616&lt;2.9,"1018",IF(N616&lt;3.8,"1029",IF(N616&lt;5,"1038",IF(N616&lt;7,"1050",IF(N616&lt;9,"1070",IF(N616&lt;11,"1090","1110"))))))),IF(G616*1000&lt;=1570,IF(N616&lt;1.8,"",IF(N616&lt;2.9,"2018",IF(N616&lt;3.8,"2029",IF(N616&lt;5,"2038",IF(N616&lt;7,"2050",IF(N616&lt;9,"2070",IF(N616&lt;11,"2090","2110"))))))),IF(G616*1000&lt;=1700,IF(N616&lt;1.8,"",IF(N616&lt;2.9,"3018",IF(N616&lt;3.8,"3029",IF(N616&lt;5,"3038",IF(N616&lt;7,"3050",IF(N616&lt;9,"3070",IF(N616&lt;11,"3090","3110"))))))),""))))</f>
        <v/>
      </c>
      <c r="Q616">
        <f>AND(O616=TRUE,P616&lt;&gt;"")</f>
        <v/>
      </c>
      <c r="R616">
        <f>IF(G616*1000&lt;750,"なし","あり")</f>
        <v/>
      </c>
      <c r="S616">
        <f>IF(AND(O616=TRUE,Q616=TRUE),"設定可","BLOCK")</f>
        <v/>
      </c>
      <c r="T616" t="inlineStr">
        <is>
          <t>商品カタログ P194</t>
        </is>
      </c>
      <c r="U616" t="inlineStr">
        <is>
          <t>https://webcatalog.lixil.co.jp/iportal/CatalogDetail.do?catalogID=15191910000&amp;categoryID=1630000&amp;designID=newinter&amp;method=initial_screen&amp;position=18&amp;type=mc&amp;volumeID=LXL13001</t>
        </is>
      </c>
    </row>
    <row r="617">
      <c r="A617" t="inlineStr">
        <is>
          <t>WG-SL-00614</t>
        </is>
      </c>
      <c r="B617" t="inlineStr">
        <is>
          <t>SZ-SL-001014</t>
        </is>
      </c>
      <c r="C617" t="inlineStr">
        <is>
          <t>WT-SL-MENKOSHI-AGE-FS</t>
        </is>
      </c>
      <c r="D617" t="inlineStr">
        <is>
          <t>SP-SL-AGE-GRILLE-H</t>
        </is>
      </c>
      <c r="E617" t="inlineStr">
        <is>
          <t>07411</t>
        </is>
      </c>
      <c r="F617" t="n">
        <v>0.78</v>
      </c>
      <c r="G617" t="n">
        <v>1.17</v>
      </c>
      <c r="H617" t="inlineStr">
        <is>
          <t>GL-SL-002</t>
        </is>
      </c>
      <c r="I617" t="n">
        <v>7</v>
      </c>
      <c r="J617" t="n">
        <v>9.1</v>
      </c>
      <c r="K617" t="n">
        <v>-0.48</v>
      </c>
      <c r="L617" t="n">
        <v>-0.998</v>
      </c>
      <c r="M617" t="n">
        <v>0.367</v>
      </c>
      <c r="N617">
        <f>ROUND(J617*F617*G617+K617*G617+L617*F617+M617,3)</f>
        <v/>
      </c>
      <c r="O617">
        <f>AND(N617&gt;=1.4,N617&lt;=13)</f>
        <v/>
      </c>
      <c r="P617">
        <f>IF(OR(N617&lt;1.4,N617&gt;13),"",IF(G617*1000&lt;=1170,IF(N617&lt;1.8,"1014",IF(N617&lt;2.9,"1018",IF(N617&lt;3.8,"1029",IF(N617&lt;5,"1038",IF(N617&lt;7,"1050",IF(N617&lt;9,"1070",IF(N617&lt;11,"1090","1110"))))))),IF(G617*1000&lt;=1570,IF(N617&lt;1.8,"",IF(N617&lt;2.9,"2018",IF(N617&lt;3.8,"2029",IF(N617&lt;5,"2038",IF(N617&lt;7,"2050",IF(N617&lt;9,"2070",IF(N617&lt;11,"2090","2110"))))))),IF(G617*1000&lt;=1700,IF(N617&lt;1.8,"",IF(N617&lt;2.9,"3018",IF(N617&lt;3.8,"3029",IF(N617&lt;5,"3038",IF(N617&lt;7,"3050",IF(N617&lt;9,"3070",IF(N617&lt;11,"3090","3110"))))))),""))))</f>
        <v/>
      </c>
      <c r="Q617">
        <f>AND(O617=TRUE,P617&lt;&gt;"")</f>
        <v/>
      </c>
      <c r="R617">
        <f>IF(G617*1000&lt;750,"なし","あり")</f>
        <v/>
      </c>
      <c r="S617">
        <f>IF(AND(O617=TRUE,Q617=TRUE),"設定可","BLOCK")</f>
        <v/>
      </c>
      <c r="T617" t="inlineStr">
        <is>
          <t>商品カタログ P194</t>
        </is>
      </c>
      <c r="U617" t="inlineStr">
        <is>
          <t>https://webcatalog.lixil.co.jp/iportal/CatalogDetail.do?catalogID=15191910000&amp;categoryID=1630000&amp;designID=newinter&amp;method=initial_screen&amp;position=18&amp;type=mc&amp;volumeID=LXL13001</t>
        </is>
      </c>
    </row>
    <row r="618">
      <c r="A618" t="inlineStr">
        <is>
          <t>WG-SL-00615</t>
        </is>
      </c>
      <c r="B618" t="inlineStr">
        <is>
          <t>SZ-SL-001014</t>
        </is>
      </c>
      <c r="C618" t="inlineStr">
        <is>
          <t>WT-SL-MENKOSHI-AGE-FS</t>
        </is>
      </c>
      <c r="D618" t="inlineStr">
        <is>
          <t>SP-SL-AGE-GRILLE-H</t>
        </is>
      </c>
      <c r="E618" t="inlineStr">
        <is>
          <t>07411</t>
        </is>
      </c>
      <c r="F618" t="n">
        <v>0.78</v>
      </c>
      <c r="G618" t="n">
        <v>1.17</v>
      </c>
      <c r="H618" t="inlineStr">
        <is>
          <t>GL-SL-003</t>
        </is>
      </c>
      <c r="I618" t="n">
        <v>8</v>
      </c>
      <c r="J618" t="n">
        <v>10.4</v>
      </c>
      <c r="K618" t="n">
        <v>-0.605</v>
      </c>
      <c r="L618" t="n">
        <v>-1.332</v>
      </c>
      <c r="M618" t="n">
        <v>0.399</v>
      </c>
      <c r="N618">
        <f>ROUND(J618*F618*G618+K618*G618+L618*F618+M618,3)</f>
        <v/>
      </c>
      <c r="O618">
        <f>AND(N618&gt;=1.4,N618&lt;=13)</f>
        <v/>
      </c>
      <c r="P618">
        <f>IF(OR(N618&lt;1.4,N618&gt;13),"",IF(G618*1000&lt;=1170,IF(N618&lt;1.8,"1014",IF(N618&lt;2.9,"1018",IF(N618&lt;3.8,"1029",IF(N618&lt;5,"1038",IF(N618&lt;7,"1050",IF(N618&lt;9,"1070",IF(N618&lt;11,"1090","1110"))))))),IF(G618*1000&lt;=1570,IF(N618&lt;1.8,"",IF(N618&lt;2.9,"2018",IF(N618&lt;3.8,"2029",IF(N618&lt;5,"2038",IF(N618&lt;7,"2050",IF(N618&lt;9,"2070",IF(N618&lt;11,"2090","2110"))))))),IF(G618*1000&lt;=1700,IF(N618&lt;1.8,"",IF(N618&lt;2.9,"3018",IF(N618&lt;3.8,"3029",IF(N618&lt;5,"3038",IF(N618&lt;7,"3050",IF(N618&lt;9,"3070",IF(N618&lt;11,"3090","3110"))))))),""))))</f>
        <v/>
      </c>
      <c r="Q618">
        <f>AND(O618=TRUE,P618&lt;&gt;"")</f>
        <v/>
      </c>
      <c r="R618">
        <f>IF(G618*1000&lt;750,"なし","あり")</f>
        <v/>
      </c>
      <c r="S618">
        <f>IF(AND(O618=TRUE,Q618=TRUE),"設定可","BLOCK")</f>
        <v/>
      </c>
      <c r="T618" t="inlineStr">
        <is>
          <t>商品カタログ P194</t>
        </is>
      </c>
      <c r="U618" t="inlineStr">
        <is>
          <t>https://webcatalog.lixil.co.jp/iportal/CatalogDetail.do?catalogID=15191910000&amp;categoryID=1630000&amp;designID=newinter&amp;method=initial_screen&amp;position=18&amp;type=mc&amp;volumeID=LXL13001</t>
        </is>
      </c>
    </row>
    <row r="619">
      <c r="A619" t="inlineStr">
        <is>
          <t>WG-SL-00616</t>
        </is>
      </c>
      <c r="B619" t="inlineStr">
        <is>
          <t>SZ-SL-001014</t>
        </is>
      </c>
      <c r="C619" t="inlineStr">
        <is>
          <t>WT-SL-MENKOSHI-AGE-FS</t>
        </is>
      </c>
      <c r="D619" t="inlineStr">
        <is>
          <t>SP-SL-AGE-GRILLE-H</t>
        </is>
      </c>
      <c r="E619" t="inlineStr">
        <is>
          <t>07411</t>
        </is>
      </c>
      <c r="F619" t="n">
        <v>0.78</v>
      </c>
      <c r="G619" t="n">
        <v>1.17</v>
      </c>
      <c r="H619" t="inlineStr">
        <is>
          <t>GL-SL-004</t>
        </is>
      </c>
      <c r="I619" t="n">
        <v>6</v>
      </c>
      <c r="J619" t="n">
        <v>7.8</v>
      </c>
      <c r="K619" t="n">
        <v>-0.355</v>
      </c>
      <c r="L619" t="n">
        <v>-0.664</v>
      </c>
      <c r="M619" t="n">
        <v>0.335</v>
      </c>
      <c r="N619">
        <f>ROUND(J619*F619*G619+K619*G619+L619*F619+M619,3)</f>
        <v/>
      </c>
      <c r="O619">
        <f>AND(N619&gt;=1.4,N619&lt;=13)</f>
        <v/>
      </c>
      <c r="P619">
        <f>IF(OR(N619&lt;1.4,N619&gt;13),"",IF(G619*1000&lt;=1170,IF(N619&lt;1.8,"1014",IF(N619&lt;2.9,"1018",IF(N619&lt;3.8,"1029",IF(N619&lt;5,"1038",IF(N619&lt;7,"1050",IF(N619&lt;9,"1070",IF(N619&lt;11,"1090","1110"))))))),IF(G619*1000&lt;=1570,IF(N619&lt;1.8,"",IF(N619&lt;2.9,"2018",IF(N619&lt;3.8,"2029",IF(N619&lt;5,"2038",IF(N619&lt;7,"2050",IF(N619&lt;9,"2070",IF(N619&lt;11,"2090","2110"))))))),IF(G619*1000&lt;=1700,IF(N619&lt;1.8,"",IF(N619&lt;2.9,"3018",IF(N619&lt;3.8,"3029",IF(N619&lt;5,"3038",IF(N619&lt;7,"3050",IF(N619&lt;9,"3070",IF(N619&lt;11,"3090","3110"))))))),""))))</f>
        <v/>
      </c>
      <c r="Q619">
        <f>AND(O619=TRUE,P619&lt;&gt;"")</f>
        <v/>
      </c>
      <c r="R619">
        <f>IF(G619*1000&lt;750,"なし","あり")</f>
        <v/>
      </c>
      <c r="S619">
        <f>IF(AND(O619=TRUE,Q619=TRUE),"設定可","BLOCK")</f>
        <v/>
      </c>
      <c r="T619" t="inlineStr">
        <is>
          <t>商品カタログ P194</t>
        </is>
      </c>
      <c r="U619" t="inlineStr">
        <is>
          <t>https://webcatalog.lixil.co.jp/iportal/CatalogDetail.do?catalogID=15191910000&amp;categoryID=1630000&amp;designID=newinter&amp;method=initial_screen&amp;position=18&amp;type=mc&amp;volumeID=LXL13001</t>
        </is>
      </c>
    </row>
    <row r="620">
      <c r="A620" t="inlineStr">
        <is>
          <t>WG-SL-00617</t>
        </is>
      </c>
      <c r="B620" t="inlineStr">
        <is>
          <t>SZ-SL-001014</t>
        </is>
      </c>
      <c r="C620" t="inlineStr">
        <is>
          <t>WT-SL-MENKOSHI-AGE-FS</t>
        </is>
      </c>
      <c r="D620" t="inlineStr">
        <is>
          <t>SP-SL-AGE-GRILLE-H</t>
        </is>
      </c>
      <c r="E620" t="inlineStr">
        <is>
          <t>07411</t>
        </is>
      </c>
      <c r="F620" t="n">
        <v>0.78</v>
      </c>
      <c r="G620" t="n">
        <v>1.17</v>
      </c>
      <c r="H620" t="inlineStr">
        <is>
          <t>GL-SL-005</t>
        </is>
      </c>
      <c r="I620" t="n">
        <v>7</v>
      </c>
      <c r="J620" t="n">
        <v>9.1</v>
      </c>
      <c r="K620" t="n">
        <v>-0.48</v>
      </c>
      <c r="L620" t="n">
        <v>-0.998</v>
      </c>
      <c r="M620" t="n">
        <v>0.367</v>
      </c>
      <c r="N620">
        <f>ROUND(J620*F620*G620+K620*G620+L620*F620+M620,3)</f>
        <v/>
      </c>
      <c r="O620">
        <f>AND(N620&gt;=1.4,N620&lt;=13)</f>
        <v/>
      </c>
      <c r="P620">
        <f>IF(OR(N620&lt;1.4,N620&gt;13),"",IF(G620*1000&lt;=1170,IF(N620&lt;1.8,"1014",IF(N620&lt;2.9,"1018",IF(N620&lt;3.8,"1029",IF(N620&lt;5,"1038",IF(N620&lt;7,"1050",IF(N620&lt;9,"1070",IF(N620&lt;11,"1090","1110"))))))),IF(G620*1000&lt;=1570,IF(N620&lt;1.8,"",IF(N620&lt;2.9,"2018",IF(N620&lt;3.8,"2029",IF(N620&lt;5,"2038",IF(N620&lt;7,"2050",IF(N620&lt;9,"2070",IF(N620&lt;11,"2090","2110"))))))),IF(G620*1000&lt;=1700,IF(N620&lt;1.8,"",IF(N620&lt;2.9,"3018",IF(N620&lt;3.8,"3029",IF(N620&lt;5,"3038",IF(N620&lt;7,"3050",IF(N620&lt;9,"3070",IF(N620&lt;11,"3090","3110"))))))),""))))</f>
        <v/>
      </c>
      <c r="Q620">
        <f>AND(O620=TRUE,P620&lt;&gt;"")</f>
        <v/>
      </c>
      <c r="R620">
        <f>IF(G620*1000&lt;750,"なし","あり")</f>
        <v/>
      </c>
      <c r="S620">
        <f>IF(AND(O620=TRUE,Q620=TRUE),"設定可","BLOCK")</f>
        <v/>
      </c>
      <c r="T620" t="inlineStr">
        <is>
          <t>商品カタログ P194</t>
        </is>
      </c>
      <c r="U620" t="inlineStr">
        <is>
          <t>https://webcatalog.lixil.co.jp/iportal/CatalogDetail.do?catalogID=15191910000&amp;categoryID=1630000&amp;designID=newinter&amp;method=initial_screen&amp;position=18&amp;type=mc&amp;volumeID=LXL13001</t>
        </is>
      </c>
    </row>
    <row r="621">
      <c r="A621" t="inlineStr">
        <is>
          <t>WG-SL-00618</t>
        </is>
      </c>
      <c r="B621" t="inlineStr">
        <is>
          <t>SZ-SL-001014</t>
        </is>
      </c>
      <c r="C621" t="inlineStr">
        <is>
          <t>WT-SL-MENKOSHI-AGE-FS</t>
        </is>
      </c>
      <c r="D621" t="inlineStr">
        <is>
          <t>SP-SL-AGE-GRILLE-H</t>
        </is>
      </c>
      <c r="E621" t="inlineStr">
        <is>
          <t>07411</t>
        </is>
      </c>
      <c r="F621" t="n">
        <v>0.78</v>
      </c>
      <c r="G621" t="n">
        <v>1.17</v>
      </c>
      <c r="H621" t="inlineStr">
        <is>
          <t>GL-SL-006</t>
        </is>
      </c>
      <c r="I621" t="n">
        <v>8</v>
      </c>
      <c r="J621" t="n">
        <v>10.4</v>
      </c>
      <c r="K621" t="n">
        <v>-0.605</v>
      </c>
      <c r="L621" t="n">
        <v>-1.332</v>
      </c>
      <c r="M621" t="n">
        <v>0.399</v>
      </c>
      <c r="N621">
        <f>ROUND(J621*F621*G621+K621*G621+L621*F621+M621,3)</f>
        <v/>
      </c>
      <c r="O621">
        <f>AND(N621&gt;=1.4,N621&lt;=13)</f>
        <v/>
      </c>
      <c r="P621">
        <f>IF(OR(N621&lt;1.4,N621&gt;13),"",IF(G621*1000&lt;=1170,IF(N621&lt;1.8,"1014",IF(N621&lt;2.9,"1018",IF(N621&lt;3.8,"1029",IF(N621&lt;5,"1038",IF(N621&lt;7,"1050",IF(N621&lt;9,"1070",IF(N621&lt;11,"1090","1110"))))))),IF(G621*1000&lt;=1570,IF(N621&lt;1.8,"",IF(N621&lt;2.9,"2018",IF(N621&lt;3.8,"2029",IF(N621&lt;5,"2038",IF(N621&lt;7,"2050",IF(N621&lt;9,"2070",IF(N621&lt;11,"2090","2110"))))))),IF(G621*1000&lt;=1700,IF(N621&lt;1.8,"",IF(N621&lt;2.9,"3018",IF(N621&lt;3.8,"3029",IF(N621&lt;5,"3038",IF(N621&lt;7,"3050",IF(N621&lt;9,"3070",IF(N621&lt;11,"3090","3110"))))))),""))))</f>
        <v/>
      </c>
      <c r="Q621">
        <f>AND(O621=TRUE,P621&lt;&gt;"")</f>
        <v/>
      </c>
      <c r="R621">
        <f>IF(G621*1000&lt;750,"なし","あり")</f>
        <v/>
      </c>
      <c r="S621">
        <f>IF(AND(O621=TRUE,Q621=TRUE),"設定可","BLOCK")</f>
        <v/>
      </c>
      <c r="T621" t="inlineStr">
        <is>
          <t>商品カタログ P194</t>
        </is>
      </c>
      <c r="U621" t="inlineStr">
        <is>
          <t>https://webcatalog.lixil.co.jp/iportal/CatalogDetail.do?catalogID=15191910000&amp;categoryID=1630000&amp;designID=newinter&amp;method=initial_screen&amp;position=18&amp;type=mc&amp;volumeID=LXL13001</t>
        </is>
      </c>
    </row>
    <row r="622">
      <c r="A622" t="inlineStr">
        <is>
          <t>WG-SL-00619</t>
        </is>
      </c>
      <c r="B622" t="inlineStr">
        <is>
          <t>SZ-SL-001014</t>
        </is>
      </c>
      <c r="C622" t="inlineStr">
        <is>
          <t>WT-SL-MENKOSHI-AGE-FS</t>
        </is>
      </c>
      <c r="D622" t="inlineStr">
        <is>
          <t>SP-SL-AGE-GRILLE-H</t>
        </is>
      </c>
      <c r="E622" t="inlineStr">
        <is>
          <t>07411</t>
        </is>
      </c>
      <c r="F622" t="n">
        <v>0.78</v>
      </c>
      <c r="G622" t="n">
        <v>1.17</v>
      </c>
      <c r="H622" t="inlineStr">
        <is>
          <t>GL-SL-007</t>
        </is>
      </c>
      <c r="I622" t="n">
        <v>6</v>
      </c>
      <c r="J622" t="n">
        <v>7.8</v>
      </c>
      <c r="K622" t="n">
        <v>-0.355</v>
      </c>
      <c r="L622" t="n">
        <v>-0.664</v>
      </c>
      <c r="M622" t="n">
        <v>0.335</v>
      </c>
      <c r="N622">
        <f>ROUND(J622*F622*G622+K622*G622+L622*F622+M622,3)</f>
        <v/>
      </c>
      <c r="O622">
        <f>AND(N622&gt;=1.4,N622&lt;=13)</f>
        <v/>
      </c>
      <c r="P622">
        <f>IF(OR(N622&lt;1.4,N622&gt;13),"",IF(G622*1000&lt;=1170,IF(N622&lt;1.8,"1014",IF(N622&lt;2.9,"1018",IF(N622&lt;3.8,"1029",IF(N622&lt;5,"1038",IF(N622&lt;7,"1050",IF(N622&lt;9,"1070",IF(N622&lt;11,"1090","1110"))))))),IF(G622*1000&lt;=1570,IF(N622&lt;1.8,"",IF(N622&lt;2.9,"2018",IF(N622&lt;3.8,"2029",IF(N622&lt;5,"2038",IF(N622&lt;7,"2050",IF(N622&lt;9,"2070",IF(N622&lt;11,"2090","2110"))))))),IF(G622*1000&lt;=1700,IF(N622&lt;1.8,"",IF(N622&lt;2.9,"3018",IF(N622&lt;3.8,"3029",IF(N622&lt;5,"3038",IF(N622&lt;7,"3050",IF(N622&lt;9,"3070",IF(N622&lt;11,"3090","3110"))))))),""))))</f>
        <v/>
      </c>
      <c r="Q622">
        <f>AND(O622=TRUE,P622&lt;&gt;"")</f>
        <v/>
      </c>
      <c r="R622">
        <f>IF(G622*1000&lt;750,"なし","あり")</f>
        <v/>
      </c>
      <c r="S622">
        <f>IF(AND(O622=TRUE,Q622=TRUE),"設定可","BLOCK")</f>
        <v/>
      </c>
      <c r="T622" t="inlineStr">
        <is>
          <t>商品カタログ P194</t>
        </is>
      </c>
      <c r="U622" t="inlineStr">
        <is>
          <t>https://webcatalog.lixil.co.jp/iportal/CatalogDetail.do?catalogID=15191910000&amp;categoryID=1630000&amp;designID=newinter&amp;method=initial_screen&amp;position=18&amp;type=mc&amp;volumeID=LXL13001</t>
        </is>
      </c>
    </row>
    <row r="623">
      <c r="A623" t="inlineStr">
        <is>
          <t>WG-SL-00620</t>
        </is>
      </c>
      <c r="B623" t="inlineStr">
        <is>
          <t>SZ-SL-001014</t>
        </is>
      </c>
      <c r="C623" t="inlineStr">
        <is>
          <t>WT-SL-MENKOSHI-AGE-FS</t>
        </is>
      </c>
      <c r="D623" t="inlineStr">
        <is>
          <t>SP-SL-AGE-GRILLE-H</t>
        </is>
      </c>
      <c r="E623" t="inlineStr">
        <is>
          <t>07411</t>
        </is>
      </c>
      <c r="F623" t="n">
        <v>0.78</v>
      </c>
      <c r="G623" t="n">
        <v>1.17</v>
      </c>
      <c r="H623" t="inlineStr">
        <is>
          <t>GL-SL-008</t>
        </is>
      </c>
      <c r="I623" t="n">
        <v>7</v>
      </c>
      <c r="J623" t="n">
        <v>9.1</v>
      </c>
      <c r="K623" t="n">
        <v>-0.48</v>
      </c>
      <c r="L623" t="n">
        <v>-0.998</v>
      </c>
      <c r="M623" t="n">
        <v>0.367</v>
      </c>
      <c r="N623">
        <f>ROUND(J623*F623*G623+K623*G623+L623*F623+M623,3)</f>
        <v/>
      </c>
      <c r="O623">
        <f>AND(N623&gt;=1.4,N623&lt;=13)</f>
        <v/>
      </c>
      <c r="P623">
        <f>IF(OR(N623&lt;1.4,N623&gt;13),"",IF(G623*1000&lt;=1170,IF(N623&lt;1.8,"1014",IF(N623&lt;2.9,"1018",IF(N623&lt;3.8,"1029",IF(N623&lt;5,"1038",IF(N623&lt;7,"1050",IF(N623&lt;9,"1070",IF(N623&lt;11,"1090","1110"))))))),IF(G623*1000&lt;=1570,IF(N623&lt;1.8,"",IF(N623&lt;2.9,"2018",IF(N623&lt;3.8,"2029",IF(N623&lt;5,"2038",IF(N623&lt;7,"2050",IF(N623&lt;9,"2070",IF(N623&lt;11,"2090","2110"))))))),IF(G623*1000&lt;=1700,IF(N623&lt;1.8,"",IF(N623&lt;2.9,"3018",IF(N623&lt;3.8,"3029",IF(N623&lt;5,"3038",IF(N623&lt;7,"3050",IF(N623&lt;9,"3070",IF(N623&lt;11,"3090","3110"))))))),""))))</f>
        <v/>
      </c>
      <c r="Q623">
        <f>AND(O623=TRUE,P623&lt;&gt;"")</f>
        <v/>
      </c>
      <c r="R623">
        <f>IF(G623*1000&lt;750,"なし","あり")</f>
        <v/>
      </c>
      <c r="S623">
        <f>IF(AND(O623=TRUE,Q623=TRUE),"設定可","BLOCK")</f>
        <v/>
      </c>
      <c r="T623" t="inlineStr">
        <is>
          <t>商品カタログ P194</t>
        </is>
      </c>
      <c r="U623" t="inlineStr">
        <is>
          <t>https://webcatalog.lixil.co.jp/iportal/CatalogDetail.do?catalogID=15191910000&amp;categoryID=1630000&amp;designID=newinter&amp;method=initial_screen&amp;position=18&amp;type=mc&amp;volumeID=LXL13001</t>
        </is>
      </c>
    </row>
    <row r="624">
      <c r="A624" t="inlineStr">
        <is>
          <t>WG-SL-00621</t>
        </is>
      </c>
      <c r="B624" t="inlineStr">
        <is>
          <t>SZ-SL-001014</t>
        </is>
      </c>
      <c r="C624" t="inlineStr">
        <is>
          <t>WT-SL-MENKOSHI-AGE-FS</t>
        </is>
      </c>
      <c r="D624" t="inlineStr">
        <is>
          <t>SP-SL-AGE-GRILLE-H</t>
        </is>
      </c>
      <c r="E624" t="inlineStr">
        <is>
          <t>07411</t>
        </is>
      </c>
      <c r="F624" t="n">
        <v>0.78</v>
      </c>
      <c r="G624" t="n">
        <v>1.17</v>
      </c>
      <c r="H624" t="inlineStr">
        <is>
          <t>GL-SL-009</t>
        </is>
      </c>
      <c r="I624" t="n">
        <v>8</v>
      </c>
      <c r="J624" t="n">
        <v>10.4</v>
      </c>
      <c r="K624" t="n">
        <v>-0.605</v>
      </c>
      <c r="L624" t="n">
        <v>-1.332</v>
      </c>
      <c r="M624" t="n">
        <v>0.399</v>
      </c>
      <c r="N624">
        <f>ROUND(J624*F624*G624+K624*G624+L624*F624+M624,3)</f>
        <v/>
      </c>
      <c r="O624">
        <f>AND(N624&gt;=1.4,N624&lt;=13)</f>
        <v/>
      </c>
      <c r="P624">
        <f>IF(OR(N624&lt;1.4,N624&gt;13),"",IF(G624*1000&lt;=1170,IF(N624&lt;1.8,"1014",IF(N624&lt;2.9,"1018",IF(N624&lt;3.8,"1029",IF(N624&lt;5,"1038",IF(N624&lt;7,"1050",IF(N624&lt;9,"1070",IF(N624&lt;11,"1090","1110"))))))),IF(G624*1000&lt;=1570,IF(N624&lt;1.8,"",IF(N624&lt;2.9,"2018",IF(N624&lt;3.8,"2029",IF(N624&lt;5,"2038",IF(N624&lt;7,"2050",IF(N624&lt;9,"2070",IF(N624&lt;11,"2090","2110"))))))),IF(G624*1000&lt;=1700,IF(N624&lt;1.8,"",IF(N624&lt;2.9,"3018",IF(N624&lt;3.8,"3029",IF(N624&lt;5,"3038",IF(N624&lt;7,"3050",IF(N624&lt;9,"3070",IF(N624&lt;11,"3090","3110"))))))),""))))</f>
        <v/>
      </c>
      <c r="Q624">
        <f>AND(O624=TRUE,P624&lt;&gt;"")</f>
        <v/>
      </c>
      <c r="R624">
        <f>IF(G624*1000&lt;750,"なし","あり")</f>
        <v/>
      </c>
      <c r="S624">
        <f>IF(AND(O624=TRUE,Q624=TRUE),"設定可","BLOCK")</f>
        <v/>
      </c>
      <c r="T624" t="inlineStr">
        <is>
          <t>商品カタログ P194</t>
        </is>
      </c>
      <c r="U624" t="inlineStr">
        <is>
          <t>https://webcatalog.lixil.co.jp/iportal/CatalogDetail.do?catalogID=15191910000&amp;categoryID=1630000&amp;designID=newinter&amp;method=initial_screen&amp;position=18&amp;type=mc&amp;volumeID=LXL13001</t>
        </is>
      </c>
    </row>
    <row r="625">
      <c r="A625" t="inlineStr">
        <is>
          <t>WG-SL-00622</t>
        </is>
      </c>
      <c r="B625" t="inlineStr">
        <is>
          <t>SZ-SL-001015</t>
        </is>
      </c>
      <c r="C625" t="inlineStr">
        <is>
          <t>WT-SL-MENKOSHI-AGE-FS</t>
        </is>
      </c>
      <c r="D625" t="inlineStr">
        <is>
          <t>SP-SL-AGE-GRILLE-IGETA</t>
        </is>
      </c>
      <c r="E625" t="inlineStr">
        <is>
          <t>02611</t>
        </is>
      </c>
      <c r="F625" t="n">
        <v>0.3</v>
      </c>
      <c r="G625" t="n">
        <v>1.17</v>
      </c>
      <c r="H625" t="inlineStr">
        <is>
          <t>GL-SL-001</t>
        </is>
      </c>
      <c r="I625" t="n">
        <v>6</v>
      </c>
      <c r="J625" t="n">
        <v>7.8</v>
      </c>
      <c r="K625" t="n">
        <v>-0.355</v>
      </c>
      <c r="L625" t="n">
        <v>-0.664</v>
      </c>
      <c r="M625" t="n">
        <v>0.335</v>
      </c>
      <c r="N625">
        <f>ROUND(J625*F625*G625+K625*G625+L625*F625+M625,3)</f>
        <v/>
      </c>
      <c r="O625">
        <f>AND(N625&gt;=1.4,N625&lt;=13)</f>
        <v/>
      </c>
      <c r="P625">
        <f>IF(OR(N625&lt;1.4,N625&gt;13),"",IF(G625*1000&lt;=1170,IF(N625&lt;1.8,"1014",IF(N625&lt;2.9,"1018",IF(N625&lt;3.8,"1029",IF(N625&lt;5,"1038",IF(N625&lt;7,"1050",IF(N625&lt;9,"1070",IF(N625&lt;11,"1090","1110"))))))),IF(G625*1000&lt;=1570,IF(N625&lt;1.8,"",IF(N625&lt;2.9,"2018",IF(N625&lt;3.8,"2029",IF(N625&lt;5,"2038",IF(N625&lt;7,"2050",IF(N625&lt;9,"2070",IF(N625&lt;11,"2090","2110"))))))),IF(G625*1000&lt;=1700,IF(N625&lt;1.8,"",IF(N625&lt;2.9,"3018",IF(N625&lt;3.8,"3029",IF(N625&lt;5,"3038",IF(N625&lt;7,"3050",IF(N625&lt;9,"3070",IF(N625&lt;11,"3090","3110"))))))),""))))</f>
        <v/>
      </c>
      <c r="Q625">
        <f>AND(O625=TRUE,P625&lt;&gt;"")</f>
        <v/>
      </c>
      <c r="R625">
        <f>IF(G625*1000&lt;750,"なし","あり")</f>
        <v/>
      </c>
      <c r="S625">
        <f>IF(AND(O625=TRUE,Q625=TRUE),"設定可","BLOCK")</f>
        <v/>
      </c>
      <c r="T625" t="inlineStr">
        <is>
          <t>商品カタログ P194</t>
        </is>
      </c>
      <c r="U625" t="inlineStr">
        <is>
          <t>https://webcatalog.lixil.co.jp/iportal/CatalogDetail.do?catalogID=15191910000&amp;categoryID=1630000&amp;designID=newinter&amp;method=initial_screen&amp;position=18&amp;type=mc&amp;volumeID=LXL13001</t>
        </is>
      </c>
    </row>
    <row r="626">
      <c r="A626" t="inlineStr">
        <is>
          <t>WG-SL-00623</t>
        </is>
      </c>
      <c r="B626" t="inlineStr">
        <is>
          <t>SZ-SL-001015</t>
        </is>
      </c>
      <c r="C626" t="inlineStr">
        <is>
          <t>WT-SL-MENKOSHI-AGE-FS</t>
        </is>
      </c>
      <c r="D626" t="inlineStr">
        <is>
          <t>SP-SL-AGE-GRILLE-IGETA</t>
        </is>
      </c>
      <c r="E626" t="inlineStr">
        <is>
          <t>02611</t>
        </is>
      </c>
      <c r="F626" t="n">
        <v>0.3</v>
      </c>
      <c r="G626" t="n">
        <v>1.17</v>
      </c>
      <c r="H626" t="inlineStr">
        <is>
          <t>GL-SL-002</t>
        </is>
      </c>
      <c r="I626" t="n">
        <v>7</v>
      </c>
      <c r="J626" t="n">
        <v>9.1</v>
      </c>
      <c r="K626" t="n">
        <v>-0.48</v>
      </c>
      <c r="L626" t="n">
        <v>-0.998</v>
      </c>
      <c r="M626" t="n">
        <v>0.367</v>
      </c>
      <c r="N626">
        <f>ROUND(J626*F626*G626+K626*G626+L626*F626+M626,3)</f>
        <v/>
      </c>
      <c r="O626">
        <f>AND(N626&gt;=1.4,N626&lt;=13)</f>
        <v/>
      </c>
      <c r="P626">
        <f>IF(OR(N626&lt;1.4,N626&gt;13),"",IF(G626*1000&lt;=1170,IF(N626&lt;1.8,"1014",IF(N626&lt;2.9,"1018",IF(N626&lt;3.8,"1029",IF(N626&lt;5,"1038",IF(N626&lt;7,"1050",IF(N626&lt;9,"1070",IF(N626&lt;11,"1090","1110"))))))),IF(G626*1000&lt;=1570,IF(N626&lt;1.8,"",IF(N626&lt;2.9,"2018",IF(N626&lt;3.8,"2029",IF(N626&lt;5,"2038",IF(N626&lt;7,"2050",IF(N626&lt;9,"2070",IF(N626&lt;11,"2090","2110"))))))),IF(G626*1000&lt;=1700,IF(N626&lt;1.8,"",IF(N626&lt;2.9,"3018",IF(N626&lt;3.8,"3029",IF(N626&lt;5,"3038",IF(N626&lt;7,"3050",IF(N626&lt;9,"3070",IF(N626&lt;11,"3090","3110"))))))),""))))</f>
        <v/>
      </c>
      <c r="Q626">
        <f>AND(O626=TRUE,P626&lt;&gt;"")</f>
        <v/>
      </c>
      <c r="R626">
        <f>IF(G626*1000&lt;750,"なし","あり")</f>
        <v/>
      </c>
      <c r="S626">
        <f>IF(AND(O626=TRUE,Q626=TRUE),"設定可","BLOCK")</f>
        <v/>
      </c>
      <c r="T626" t="inlineStr">
        <is>
          <t>商品カタログ P194</t>
        </is>
      </c>
      <c r="U626" t="inlineStr">
        <is>
          <t>https://webcatalog.lixil.co.jp/iportal/CatalogDetail.do?catalogID=15191910000&amp;categoryID=1630000&amp;designID=newinter&amp;method=initial_screen&amp;position=18&amp;type=mc&amp;volumeID=LXL13001</t>
        </is>
      </c>
    </row>
    <row r="627">
      <c r="A627" t="inlineStr">
        <is>
          <t>WG-SL-00624</t>
        </is>
      </c>
      <c r="B627" t="inlineStr">
        <is>
          <t>SZ-SL-001015</t>
        </is>
      </c>
      <c r="C627" t="inlineStr">
        <is>
          <t>WT-SL-MENKOSHI-AGE-FS</t>
        </is>
      </c>
      <c r="D627" t="inlineStr">
        <is>
          <t>SP-SL-AGE-GRILLE-IGETA</t>
        </is>
      </c>
      <c r="E627" t="inlineStr">
        <is>
          <t>02611</t>
        </is>
      </c>
      <c r="F627" t="n">
        <v>0.3</v>
      </c>
      <c r="G627" t="n">
        <v>1.17</v>
      </c>
      <c r="H627" t="inlineStr">
        <is>
          <t>GL-SL-003</t>
        </is>
      </c>
      <c r="I627" t="n">
        <v>8</v>
      </c>
      <c r="J627" t="n">
        <v>10.4</v>
      </c>
      <c r="K627" t="n">
        <v>-0.605</v>
      </c>
      <c r="L627" t="n">
        <v>-1.332</v>
      </c>
      <c r="M627" t="n">
        <v>0.399</v>
      </c>
      <c r="N627">
        <f>ROUND(J627*F627*G627+K627*G627+L627*F627+M627,3)</f>
        <v/>
      </c>
      <c r="O627">
        <f>AND(N627&gt;=1.4,N627&lt;=13)</f>
        <v/>
      </c>
      <c r="P627">
        <f>IF(OR(N627&lt;1.4,N627&gt;13),"",IF(G627*1000&lt;=1170,IF(N627&lt;1.8,"1014",IF(N627&lt;2.9,"1018",IF(N627&lt;3.8,"1029",IF(N627&lt;5,"1038",IF(N627&lt;7,"1050",IF(N627&lt;9,"1070",IF(N627&lt;11,"1090","1110"))))))),IF(G627*1000&lt;=1570,IF(N627&lt;1.8,"",IF(N627&lt;2.9,"2018",IF(N627&lt;3.8,"2029",IF(N627&lt;5,"2038",IF(N627&lt;7,"2050",IF(N627&lt;9,"2070",IF(N627&lt;11,"2090","2110"))))))),IF(G627*1000&lt;=1700,IF(N627&lt;1.8,"",IF(N627&lt;2.9,"3018",IF(N627&lt;3.8,"3029",IF(N627&lt;5,"3038",IF(N627&lt;7,"3050",IF(N627&lt;9,"3070",IF(N627&lt;11,"3090","3110"))))))),""))))</f>
        <v/>
      </c>
      <c r="Q627">
        <f>AND(O627=TRUE,P627&lt;&gt;"")</f>
        <v/>
      </c>
      <c r="R627">
        <f>IF(G627*1000&lt;750,"なし","あり")</f>
        <v/>
      </c>
      <c r="S627">
        <f>IF(AND(O627=TRUE,Q627=TRUE),"設定可","BLOCK")</f>
        <v/>
      </c>
      <c r="T627" t="inlineStr">
        <is>
          <t>商品カタログ P194</t>
        </is>
      </c>
      <c r="U627" t="inlineStr">
        <is>
          <t>https://webcatalog.lixil.co.jp/iportal/CatalogDetail.do?catalogID=15191910000&amp;categoryID=1630000&amp;designID=newinter&amp;method=initial_screen&amp;position=18&amp;type=mc&amp;volumeID=LXL13001</t>
        </is>
      </c>
    </row>
    <row r="628">
      <c r="A628" t="inlineStr">
        <is>
          <t>WG-SL-00625</t>
        </is>
      </c>
      <c r="B628" t="inlineStr">
        <is>
          <t>SZ-SL-001015</t>
        </is>
      </c>
      <c r="C628" t="inlineStr">
        <is>
          <t>WT-SL-MENKOSHI-AGE-FS</t>
        </is>
      </c>
      <c r="D628" t="inlineStr">
        <is>
          <t>SP-SL-AGE-GRILLE-IGETA</t>
        </is>
      </c>
      <c r="E628" t="inlineStr">
        <is>
          <t>02611</t>
        </is>
      </c>
      <c r="F628" t="n">
        <v>0.3</v>
      </c>
      <c r="G628" t="n">
        <v>1.17</v>
      </c>
      <c r="H628" t="inlineStr">
        <is>
          <t>GL-SL-004</t>
        </is>
      </c>
      <c r="I628" t="n">
        <v>6</v>
      </c>
      <c r="J628" t="n">
        <v>7.8</v>
      </c>
      <c r="K628" t="n">
        <v>-0.355</v>
      </c>
      <c r="L628" t="n">
        <v>-0.664</v>
      </c>
      <c r="M628" t="n">
        <v>0.335</v>
      </c>
      <c r="N628">
        <f>ROUND(J628*F628*G628+K628*G628+L628*F628+M628,3)</f>
        <v/>
      </c>
      <c r="O628">
        <f>AND(N628&gt;=1.4,N628&lt;=13)</f>
        <v/>
      </c>
      <c r="P628">
        <f>IF(OR(N628&lt;1.4,N628&gt;13),"",IF(G628*1000&lt;=1170,IF(N628&lt;1.8,"1014",IF(N628&lt;2.9,"1018",IF(N628&lt;3.8,"1029",IF(N628&lt;5,"1038",IF(N628&lt;7,"1050",IF(N628&lt;9,"1070",IF(N628&lt;11,"1090","1110"))))))),IF(G628*1000&lt;=1570,IF(N628&lt;1.8,"",IF(N628&lt;2.9,"2018",IF(N628&lt;3.8,"2029",IF(N628&lt;5,"2038",IF(N628&lt;7,"2050",IF(N628&lt;9,"2070",IF(N628&lt;11,"2090","2110"))))))),IF(G628*1000&lt;=1700,IF(N628&lt;1.8,"",IF(N628&lt;2.9,"3018",IF(N628&lt;3.8,"3029",IF(N628&lt;5,"3038",IF(N628&lt;7,"3050",IF(N628&lt;9,"3070",IF(N628&lt;11,"3090","3110"))))))),""))))</f>
        <v/>
      </c>
      <c r="Q628">
        <f>AND(O628=TRUE,P628&lt;&gt;"")</f>
        <v/>
      </c>
      <c r="R628">
        <f>IF(G628*1000&lt;750,"なし","あり")</f>
        <v/>
      </c>
      <c r="S628">
        <f>IF(AND(O628=TRUE,Q628=TRUE),"設定可","BLOCK")</f>
        <v/>
      </c>
      <c r="T628" t="inlineStr">
        <is>
          <t>商品カタログ P194</t>
        </is>
      </c>
      <c r="U628" t="inlineStr">
        <is>
          <t>https://webcatalog.lixil.co.jp/iportal/CatalogDetail.do?catalogID=15191910000&amp;categoryID=1630000&amp;designID=newinter&amp;method=initial_screen&amp;position=18&amp;type=mc&amp;volumeID=LXL13001</t>
        </is>
      </c>
    </row>
    <row r="629">
      <c r="A629" t="inlineStr">
        <is>
          <t>WG-SL-00626</t>
        </is>
      </c>
      <c r="B629" t="inlineStr">
        <is>
          <t>SZ-SL-001015</t>
        </is>
      </c>
      <c r="C629" t="inlineStr">
        <is>
          <t>WT-SL-MENKOSHI-AGE-FS</t>
        </is>
      </c>
      <c r="D629" t="inlineStr">
        <is>
          <t>SP-SL-AGE-GRILLE-IGETA</t>
        </is>
      </c>
      <c r="E629" t="inlineStr">
        <is>
          <t>02611</t>
        </is>
      </c>
      <c r="F629" t="n">
        <v>0.3</v>
      </c>
      <c r="G629" t="n">
        <v>1.17</v>
      </c>
      <c r="H629" t="inlineStr">
        <is>
          <t>GL-SL-005</t>
        </is>
      </c>
      <c r="I629" t="n">
        <v>7</v>
      </c>
      <c r="J629" t="n">
        <v>9.1</v>
      </c>
      <c r="K629" t="n">
        <v>-0.48</v>
      </c>
      <c r="L629" t="n">
        <v>-0.998</v>
      </c>
      <c r="M629" t="n">
        <v>0.367</v>
      </c>
      <c r="N629">
        <f>ROUND(J629*F629*G629+K629*G629+L629*F629+M629,3)</f>
        <v/>
      </c>
      <c r="O629">
        <f>AND(N629&gt;=1.4,N629&lt;=13)</f>
        <v/>
      </c>
      <c r="P629">
        <f>IF(OR(N629&lt;1.4,N629&gt;13),"",IF(G629*1000&lt;=1170,IF(N629&lt;1.8,"1014",IF(N629&lt;2.9,"1018",IF(N629&lt;3.8,"1029",IF(N629&lt;5,"1038",IF(N629&lt;7,"1050",IF(N629&lt;9,"1070",IF(N629&lt;11,"1090","1110"))))))),IF(G629*1000&lt;=1570,IF(N629&lt;1.8,"",IF(N629&lt;2.9,"2018",IF(N629&lt;3.8,"2029",IF(N629&lt;5,"2038",IF(N629&lt;7,"2050",IF(N629&lt;9,"2070",IF(N629&lt;11,"2090","2110"))))))),IF(G629*1000&lt;=1700,IF(N629&lt;1.8,"",IF(N629&lt;2.9,"3018",IF(N629&lt;3.8,"3029",IF(N629&lt;5,"3038",IF(N629&lt;7,"3050",IF(N629&lt;9,"3070",IF(N629&lt;11,"3090","3110"))))))),""))))</f>
        <v/>
      </c>
      <c r="Q629">
        <f>AND(O629=TRUE,P629&lt;&gt;"")</f>
        <v/>
      </c>
      <c r="R629">
        <f>IF(G629*1000&lt;750,"なし","あり")</f>
        <v/>
      </c>
      <c r="S629">
        <f>IF(AND(O629=TRUE,Q629=TRUE),"設定可","BLOCK")</f>
        <v/>
      </c>
      <c r="T629" t="inlineStr">
        <is>
          <t>商品カタログ P194</t>
        </is>
      </c>
      <c r="U629" t="inlineStr">
        <is>
          <t>https://webcatalog.lixil.co.jp/iportal/CatalogDetail.do?catalogID=15191910000&amp;categoryID=1630000&amp;designID=newinter&amp;method=initial_screen&amp;position=18&amp;type=mc&amp;volumeID=LXL13001</t>
        </is>
      </c>
    </row>
    <row r="630">
      <c r="A630" t="inlineStr">
        <is>
          <t>WG-SL-00627</t>
        </is>
      </c>
      <c r="B630" t="inlineStr">
        <is>
          <t>SZ-SL-001015</t>
        </is>
      </c>
      <c r="C630" t="inlineStr">
        <is>
          <t>WT-SL-MENKOSHI-AGE-FS</t>
        </is>
      </c>
      <c r="D630" t="inlineStr">
        <is>
          <t>SP-SL-AGE-GRILLE-IGETA</t>
        </is>
      </c>
      <c r="E630" t="inlineStr">
        <is>
          <t>02611</t>
        </is>
      </c>
      <c r="F630" t="n">
        <v>0.3</v>
      </c>
      <c r="G630" t="n">
        <v>1.17</v>
      </c>
      <c r="H630" t="inlineStr">
        <is>
          <t>GL-SL-006</t>
        </is>
      </c>
      <c r="I630" t="n">
        <v>8</v>
      </c>
      <c r="J630" t="n">
        <v>10.4</v>
      </c>
      <c r="K630" t="n">
        <v>-0.605</v>
      </c>
      <c r="L630" t="n">
        <v>-1.332</v>
      </c>
      <c r="M630" t="n">
        <v>0.399</v>
      </c>
      <c r="N630">
        <f>ROUND(J630*F630*G630+K630*G630+L630*F630+M630,3)</f>
        <v/>
      </c>
      <c r="O630">
        <f>AND(N630&gt;=1.4,N630&lt;=13)</f>
        <v/>
      </c>
      <c r="P630">
        <f>IF(OR(N630&lt;1.4,N630&gt;13),"",IF(G630*1000&lt;=1170,IF(N630&lt;1.8,"1014",IF(N630&lt;2.9,"1018",IF(N630&lt;3.8,"1029",IF(N630&lt;5,"1038",IF(N630&lt;7,"1050",IF(N630&lt;9,"1070",IF(N630&lt;11,"1090","1110"))))))),IF(G630*1000&lt;=1570,IF(N630&lt;1.8,"",IF(N630&lt;2.9,"2018",IF(N630&lt;3.8,"2029",IF(N630&lt;5,"2038",IF(N630&lt;7,"2050",IF(N630&lt;9,"2070",IF(N630&lt;11,"2090","2110"))))))),IF(G630*1000&lt;=1700,IF(N630&lt;1.8,"",IF(N630&lt;2.9,"3018",IF(N630&lt;3.8,"3029",IF(N630&lt;5,"3038",IF(N630&lt;7,"3050",IF(N630&lt;9,"3070",IF(N630&lt;11,"3090","3110"))))))),""))))</f>
        <v/>
      </c>
      <c r="Q630">
        <f>AND(O630=TRUE,P630&lt;&gt;"")</f>
        <v/>
      </c>
      <c r="R630">
        <f>IF(G630*1000&lt;750,"なし","あり")</f>
        <v/>
      </c>
      <c r="S630">
        <f>IF(AND(O630=TRUE,Q630=TRUE),"設定可","BLOCK")</f>
        <v/>
      </c>
      <c r="T630" t="inlineStr">
        <is>
          <t>商品カタログ P194</t>
        </is>
      </c>
      <c r="U630" t="inlineStr">
        <is>
          <t>https://webcatalog.lixil.co.jp/iportal/CatalogDetail.do?catalogID=15191910000&amp;categoryID=1630000&amp;designID=newinter&amp;method=initial_screen&amp;position=18&amp;type=mc&amp;volumeID=LXL13001</t>
        </is>
      </c>
    </row>
    <row r="631">
      <c r="A631" t="inlineStr">
        <is>
          <t>WG-SL-00628</t>
        </is>
      </c>
      <c r="B631" t="inlineStr">
        <is>
          <t>SZ-SL-001015</t>
        </is>
      </c>
      <c r="C631" t="inlineStr">
        <is>
          <t>WT-SL-MENKOSHI-AGE-FS</t>
        </is>
      </c>
      <c r="D631" t="inlineStr">
        <is>
          <t>SP-SL-AGE-GRILLE-IGETA</t>
        </is>
      </c>
      <c r="E631" t="inlineStr">
        <is>
          <t>02611</t>
        </is>
      </c>
      <c r="F631" t="n">
        <v>0.3</v>
      </c>
      <c r="G631" t="n">
        <v>1.17</v>
      </c>
      <c r="H631" t="inlineStr">
        <is>
          <t>GL-SL-007</t>
        </is>
      </c>
      <c r="I631" t="n">
        <v>6</v>
      </c>
      <c r="J631" t="n">
        <v>7.8</v>
      </c>
      <c r="K631" t="n">
        <v>-0.355</v>
      </c>
      <c r="L631" t="n">
        <v>-0.664</v>
      </c>
      <c r="M631" t="n">
        <v>0.335</v>
      </c>
      <c r="N631">
        <f>ROUND(J631*F631*G631+K631*G631+L631*F631+M631,3)</f>
        <v/>
      </c>
      <c r="O631">
        <f>AND(N631&gt;=1.4,N631&lt;=13)</f>
        <v/>
      </c>
      <c r="P631">
        <f>IF(OR(N631&lt;1.4,N631&gt;13),"",IF(G631*1000&lt;=1170,IF(N631&lt;1.8,"1014",IF(N631&lt;2.9,"1018",IF(N631&lt;3.8,"1029",IF(N631&lt;5,"1038",IF(N631&lt;7,"1050",IF(N631&lt;9,"1070",IF(N631&lt;11,"1090","1110"))))))),IF(G631*1000&lt;=1570,IF(N631&lt;1.8,"",IF(N631&lt;2.9,"2018",IF(N631&lt;3.8,"2029",IF(N631&lt;5,"2038",IF(N631&lt;7,"2050",IF(N631&lt;9,"2070",IF(N631&lt;11,"2090","2110"))))))),IF(G631*1000&lt;=1700,IF(N631&lt;1.8,"",IF(N631&lt;2.9,"3018",IF(N631&lt;3.8,"3029",IF(N631&lt;5,"3038",IF(N631&lt;7,"3050",IF(N631&lt;9,"3070",IF(N631&lt;11,"3090","3110"))))))),""))))</f>
        <v/>
      </c>
      <c r="Q631">
        <f>AND(O631=TRUE,P631&lt;&gt;"")</f>
        <v/>
      </c>
      <c r="R631">
        <f>IF(G631*1000&lt;750,"なし","あり")</f>
        <v/>
      </c>
      <c r="S631">
        <f>IF(AND(O631=TRUE,Q631=TRUE),"設定可","BLOCK")</f>
        <v/>
      </c>
      <c r="T631" t="inlineStr">
        <is>
          <t>商品カタログ P194</t>
        </is>
      </c>
      <c r="U631" t="inlineStr">
        <is>
          <t>https://webcatalog.lixil.co.jp/iportal/CatalogDetail.do?catalogID=15191910000&amp;categoryID=1630000&amp;designID=newinter&amp;method=initial_screen&amp;position=18&amp;type=mc&amp;volumeID=LXL13001</t>
        </is>
      </c>
    </row>
    <row r="632">
      <c r="A632" t="inlineStr">
        <is>
          <t>WG-SL-00629</t>
        </is>
      </c>
      <c r="B632" t="inlineStr">
        <is>
          <t>SZ-SL-001015</t>
        </is>
      </c>
      <c r="C632" t="inlineStr">
        <is>
          <t>WT-SL-MENKOSHI-AGE-FS</t>
        </is>
      </c>
      <c r="D632" t="inlineStr">
        <is>
          <t>SP-SL-AGE-GRILLE-IGETA</t>
        </is>
      </c>
      <c r="E632" t="inlineStr">
        <is>
          <t>02611</t>
        </is>
      </c>
      <c r="F632" t="n">
        <v>0.3</v>
      </c>
      <c r="G632" t="n">
        <v>1.17</v>
      </c>
      <c r="H632" t="inlineStr">
        <is>
          <t>GL-SL-008</t>
        </is>
      </c>
      <c r="I632" t="n">
        <v>7</v>
      </c>
      <c r="J632" t="n">
        <v>9.1</v>
      </c>
      <c r="K632" t="n">
        <v>-0.48</v>
      </c>
      <c r="L632" t="n">
        <v>-0.998</v>
      </c>
      <c r="M632" t="n">
        <v>0.367</v>
      </c>
      <c r="N632">
        <f>ROUND(J632*F632*G632+K632*G632+L632*F632+M632,3)</f>
        <v/>
      </c>
      <c r="O632">
        <f>AND(N632&gt;=1.4,N632&lt;=13)</f>
        <v/>
      </c>
      <c r="P632">
        <f>IF(OR(N632&lt;1.4,N632&gt;13),"",IF(G632*1000&lt;=1170,IF(N632&lt;1.8,"1014",IF(N632&lt;2.9,"1018",IF(N632&lt;3.8,"1029",IF(N632&lt;5,"1038",IF(N632&lt;7,"1050",IF(N632&lt;9,"1070",IF(N632&lt;11,"1090","1110"))))))),IF(G632*1000&lt;=1570,IF(N632&lt;1.8,"",IF(N632&lt;2.9,"2018",IF(N632&lt;3.8,"2029",IF(N632&lt;5,"2038",IF(N632&lt;7,"2050",IF(N632&lt;9,"2070",IF(N632&lt;11,"2090","2110"))))))),IF(G632*1000&lt;=1700,IF(N632&lt;1.8,"",IF(N632&lt;2.9,"3018",IF(N632&lt;3.8,"3029",IF(N632&lt;5,"3038",IF(N632&lt;7,"3050",IF(N632&lt;9,"3070",IF(N632&lt;11,"3090","3110"))))))),""))))</f>
        <v/>
      </c>
      <c r="Q632">
        <f>AND(O632=TRUE,P632&lt;&gt;"")</f>
        <v/>
      </c>
      <c r="R632">
        <f>IF(G632*1000&lt;750,"なし","あり")</f>
        <v/>
      </c>
      <c r="S632">
        <f>IF(AND(O632=TRUE,Q632=TRUE),"設定可","BLOCK")</f>
        <v/>
      </c>
      <c r="T632" t="inlineStr">
        <is>
          <t>商品カタログ P194</t>
        </is>
      </c>
      <c r="U632" t="inlineStr">
        <is>
          <t>https://webcatalog.lixil.co.jp/iportal/CatalogDetail.do?catalogID=15191910000&amp;categoryID=1630000&amp;designID=newinter&amp;method=initial_screen&amp;position=18&amp;type=mc&amp;volumeID=LXL13001</t>
        </is>
      </c>
    </row>
    <row r="633">
      <c r="A633" t="inlineStr">
        <is>
          <t>WG-SL-00630</t>
        </is>
      </c>
      <c r="B633" t="inlineStr">
        <is>
          <t>SZ-SL-001015</t>
        </is>
      </c>
      <c r="C633" t="inlineStr">
        <is>
          <t>WT-SL-MENKOSHI-AGE-FS</t>
        </is>
      </c>
      <c r="D633" t="inlineStr">
        <is>
          <t>SP-SL-AGE-GRILLE-IGETA</t>
        </is>
      </c>
      <c r="E633" t="inlineStr">
        <is>
          <t>02611</t>
        </is>
      </c>
      <c r="F633" t="n">
        <v>0.3</v>
      </c>
      <c r="G633" t="n">
        <v>1.17</v>
      </c>
      <c r="H633" t="inlineStr">
        <is>
          <t>GL-SL-009</t>
        </is>
      </c>
      <c r="I633" t="n">
        <v>8</v>
      </c>
      <c r="J633" t="n">
        <v>10.4</v>
      </c>
      <c r="K633" t="n">
        <v>-0.605</v>
      </c>
      <c r="L633" t="n">
        <v>-1.332</v>
      </c>
      <c r="M633" t="n">
        <v>0.399</v>
      </c>
      <c r="N633">
        <f>ROUND(J633*F633*G633+K633*G633+L633*F633+M633,3)</f>
        <v/>
      </c>
      <c r="O633">
        <f>AND(N633&gt;=1.4,N633&lt;=13)</f>
        <v/>
      </c>
      <c r="P633">
        <f>IF(OR(N633&lt;1.4,N633&gt;13),"",IF(G633*1000&lt;=1170,IF(N633&lt;1.8,"1014",IF(N633&lt;2.9,"1018",IF(N633&lt;3.8,"1029",IF(N633&lt;5,"1038",IF(N633&lt;7,"1050",IF(N633&lt;9,"1070",IF(N633&lt;11,"1090","1110"))))))),IF(G633*1000&lt;=1570,IF(N633&lt;1.8,"",IF(N633&lt;2.9,"2018",IF(N633&lt;3.8,"2029",IF(N633&lt;5,"2038",IF(N633&lt;7,"2050",IF(N633&lt;9,"2070",IF(N633&lt;11,"2090","2110"))))))),IF(G633*1000&lt;=1700,IF(N633&lt;1.8,"",IF(N633&lt;2.9,"3018",IF(N633&lt;3.8,"3029",IF(N633&lt;5,"3038",IF(N633&lt;7,"3050",IF(N633&lt;9,"3070",IF(N633&lt;11,"3090","3110"))))))),""))))</f>
        <v/>
      </c>
      <c r="Q633">
        <f>AND(O633=TRUE,P633&lt;&gt;"")</f>
        <v/>
      </c>
      <c r="R633">
        <f>IF(G633*1000&lt;750,"なし","あり")</f>
        <v/>
      </c>
      <c r="S633">
        <f>IF(AND(O633=TRUE,Q633=TRUE),"設定可","BLOCK")</f>
        <v/>
      </c>
      <c r="T633" t="inlineStr">
        <is>
          <t>商品カタログ P194</t>
        </is>
      </c>
      <c r="U633" t="inlineStr">
        <is>
          <t>https://webcatalog.lixil.co.jp/iportal/CatalogDetail.do?catalogID=15191910000&amp;categoryID=1630000&amp;designID=newinter&amp;method=initial_screen&amp;position=18&amp;type=mc&amp;volumeID=LXL13001</t>
        </is>
      </c>
    </row>
    <row r="634">
      <c r="A634" t="inlineStr">
        <is>
          <t>WG-SL-00631</t>
        </is>
      </c>
      <c r="B634" t="inlineStr">
        <is>
          <t>SZ-SL-001016</t>
        </is>
      </c>
      <c r="C634" t="inlineStr">
        <is>
          <t>WT-SL-MENKOSHI-AGE-FS</t>
        </is>
      </c>
      <c r="D634" t="inlineStr">
        <is>
          <t>SP-SL-AGE-GRILLE-IGETA</t>
        </is>
      </c>
      <c r="E634" t="inlineStr">
        <is>
          <t>03611</t>
        </is>
      </c>
      <c r="F634" t="n">
        <v>0.405</v>
      </c>
      <c r="G634" t="n">
        <v>1.17</v>
      </c>
      <c r="H634" t="inlineStr">
        <is>
          <t>GL-SL-001</t>
        </is>
      </c>
      <c r="I634" t="n">
        <v>6</v>
      </c>
      <c r="J634" t="n">
        <v>7.8</v>
      </c>
      <c r="K634" t="n">
        <v>-0.355</v>
      </c>
      <c r="L634" t="n">
        <v>-0.664</v>
      </c>
      <c r="M634" t="n">
        <v>0.335</v>
      </c>
      <c r="N634">
        <f>ROUND(J634*F634*G634+K634*G634+L634*F634+M634,3)</f>
        <v/>
      </c>
      <c r="O634">
        <f>AND(N634&gt;=1.4,N634&lt;=13)</f>
        <v/>
      </c>
      <c r="P634">
        <f>IF(OR(N634&lt;1.4,N634&gt;13),"",IF(G634*1000&lt;=1170,IF(N634&lt;1.8,"1014",IF(N634&lt;2.9,"1018",IF(N634&lt;3.8,"1029",IF(N634&lt;5,"1038",IF(N634&lt;7,"1050",IF(N634&lt;9,"1070",IF(N634&lt;11,"1090","1110"))))))),IF(G634*1000&lt;=1570,IF(N634&lt;1.8,"",IF(N634&lt;2.9,"2018",IF(N634&lt;3.8,"2029",IF(N634&lt;5,"2038",IF(N634&lt;7,"2050",IF(N634&lt;9,"2070",IF(N634&lt;11,"2090","2110"))))))),IF(G634*1000&lt;=1700,IF(N634&lt;1.8,"",IF(N634&lt;2.9,"3018",IF(N634&lt;3.8,"3029",IF(N634&lt;5,"3038",IF(N634&lt;7,"3050",IF(N634&lt;9,"3070",IF(N634&lt;11,"3090","3110"))))))),""))))</f>
        <v/>
      </c>
      <c r="Q634">
        <f>AND(O634=TRUE,P634&lt;&gt;"")</f>
        <v/>
      </c>
      <c r="R634">
        <f>IF(G634*1000&lt;750,"なし","あり")</f>
        <v/>
      </c>
      <c r="S634">
        <f>IF(AND(O634=TRUE,Q634=TRUE),"設定可","BLOCK")</f>
        <v/>
      </c>
      <c r="T634" t="inlineStr">
        <is>
          <t>商品カタログ P194</t>
        </is>
      </c>
      <c r="U634" t="inlineStr">
        <is>
          <t>https://webcatalog.lixil.co.jp/iportal/CatalogDetail.do?catalogID=15191910000&amp;categoryID=1630000&amp;designID=newinter&amp;method=initial_screen&amp;position=18&amp;type=mc&amp;volumeID=LXL13001</t>
        </is>
      </c>
    </row>
    <row r="635">
      <c r="A635" t="inlineStr">
        <is>
          <t>WG-SL-00632</t>
        </is>
      </c>
      <c r="B635" t="inlineStr">
        <is>
          <t>SZ-SL-001016</t>
        </is>
      </c>
      <c r="C635" t="inlineStr">
        <is>
          <t>WT-SL-MENKOSHI-AGE-FS</t>
        </is>
      </c>
      <c r="D635" t="inlineStr">
        <is>
          <t>SP-SL-AGE-GRILLE-IGETA</t>
        </is>
      </c>
      <c r="E635" t="inlineStr">
        <is>
          <t>03611</t>
        </is>
      </c>
      <c r="F635" t="n">
        <v>0.405</v>
      </c>
      <c r="G635" t="n">
        <v>1.17</v>
      </c>
      <c r="H635" t="inlineStr">
        <is>
          <t>GL-SL-002</t>
        </is>
      </c>
      <c r="I635" t="n">
        <v>7</v>
      </c>
      <c r="J635" t="n">
        <v>9.1</v>
      </c>
      <c r="K635" t="n">
        <v>-0.48</v>
      </c>
      <c r="L635" t="n">
        <v>-0.998</v>
      </c>
      <c r="M635" t="n">
        <v>0.367</v>
      </c>
      <c r="N635">
        <f>ROUND(J635*F635*G635+K635*G635+L635*F635+M635,3)</f>
        <v/>
      </c>
      <c r="O635">
        <f>AND(N635&gt;=1.4,N635&lt;=13)</f>
        <v/>
      </c>
      <c r="P635">
        <f>IF(OR(N635&lt;1.4,N635&gt;13),"",IF(G635*1000&lt;=1170,IF(N635&lt;1.8,"1014",IF(N635&lt;2.9,"1018",IF(N635&lt;3.8,"1029",IF(N635&lt;5,"1038",IF(N635&lt;7,"1050",IF(N635&lt;9,"1070",IF(N635&lt;11,"1090","1110"))))))),IF(G635*1000&lt;=1570,IF(N635&lt;1.8,"",IF(N635&lt;2.9,"2018",IF(N635&lt;3.8,"2029",IF(N635&lt;5,"2038",IF(N635&lt;7,"2050",IF(N635&lt;9,"2070",IF(N635&lt;11,"2090","2110"))))))),IF(G635*1000&lt;=1700,IF(N635&lt;1.8,"",IF(N635&lt;2.9,"3018",IF(N635&lt;3.8,"3029",IF(N635&lt;5,"3038",IF(N635&lt;7,"3050",IF(N635&lt;9,"3070",IF(N635&lt;11,"3090","3110"))))))),""))))</f>
        <v/>
      </c>
      <c r="Q635">
        <f>AND(O635=TRUE,P635&lt;&gt;"")</f>
        <v/>
      </c>
      <c r="R635">
        <f>IF(G635*1000&lt;750,"なし","あり")</f>
        <v/>
      </c>
      <c r="S635">
        <f>IF(AND(O635=TRUE,Q635=TRUE),"設定可","BLOCK")</f>
        <v/>
      </c>
      <c r="T635" t="inlineStr">
        <is>
          <t>商品カタログ P194</t>
        </is>
      </c>
      <c r="U635" t="inlineStr">
        <is>
          <t>https://webcatalog.lixil.co.jp/iportal/CatalogDetail.do?catalogID=15191910000&amp;categoryID=1630000&amp;designID=newinter&amp;method=initial_screen&amp;position=18&amp;type=mc&amp;volumeID=LXL13001</t>
        </is>
      </c>
    </row>
    <row r="636">
      <c r="A636" t="inlineStr">
        <is>
          <t>WG-SL-00633</t>
        </is>
      </c>
      <c r="B636" t="inlineStr">
        <is>
          <t>SZ-SL-001016</t>
        </is>
      </c>
      <c r="C636" t="inlineStr">
        <is>
          <t>WT-SL-MENKOSHI-AGE-FS</t>
        </is>
      </c>
      <c r="D636" t="inlineStr">
        <is>
          <t>SP-SL-AGE-GRILLE-IGETA</t>
        </is>
      </c>
      <c r="E636" t="inlineStr">
        <is>
          <t>03611</t>
        </is>
      </c>
      <c r="F636" t="n">
        <v>0.405</v>
      </c>
      <c r="G636" t="n">
        <v>1.17</v>
      </c>
      <c r="H636" t="inlineStr">
        <is>
          <t>GL-SL-003</t>
        </is>
      </c>
      <c r="I636" t="n">
        <v>8</v>
      </c>
      <c r="J636" t="n">
        <v>10.4</v>
      </c>
      <c r="K636" t="n">
        <v>-0.605</v>
      </c>
      <c r="L636" t="n">
        <v>-1.332</v>
      </c>
      <c r="M636" t="n">
        <v>0.399</v>
      </c>
      <c r="N636">
        <f>ROUND(J636*F636*G636+K636*G636+L636*F636+M636,3)</f>
        <v/>
      </c>
      <c r="O636">
        <f>AND(N636&gt;=1.4,N636&lt;=13)</f>
        <v/>
      </c>
      <c r="P636">
        <f>IF(OR(N636&lt;1.4,N636&gt;13),"",IF(G636*1000&lt;=1170,IF(N636&lt;1.8,"1014",IF(N636&lt;2.9,"1018",IF(N636&lt;3.8,"1029",IF(N636&lt;5,"1038",IF(N636&lt;7,"1050",IF(N636&lt;9,"1070",IF(N636&lt;11,"1090","1110"))))))),IF(G636*1000&lt;=1570,IF(N636&lt;1.8,"",IF(N636&lt;2.9,"2018",IF(N636&lt;3.8,"2029",IF(N636&lt;5,"2038",IF(N636&lt;7,"2050",IF(N636&lt;9,"2070",IF(N636&lt;11,"2090","2110"))))))),IF(G636*1000&lt;=1700,IF(N636&lt;1.8,"",IF(N636&lt;2.9,"3018",IF(N636&lt;3.8,"3029",IF(N636&lt;5,"3038",IF(N636&lt;7,"3050",IF(N636&lt;9,"3070",IF(N636&lt;11,"3090","3110"))))))),""))))</f>
        <v/>
      </c>
      <c r="Q636">
        <f>AND(O636=TRUE,P636&lt;&gt;"")</f>
        <v/>
      </c>
      <c r="R636">
        <f>IF(G636*1000&lt;750,"なし","あり")</f>
        <v/>
      </c>
      <c r="S636">
        <f>IF(AND(O636=TRUE,Q636=TRUE),"設定可","BLOCK")</f>
        <v/>
      </c>
      <c r="T636" t="inlineStr">
        <is>
          <t>商品カタログ P194</t>
        </is>
      </c>
      <c r="U636" t="inlineStr">
        <is>
          <t>https://webcatalog.lixil.co.jp/iportal/CatalogDetail.do?catalogID=15191910000&amp;categoryID=1630000&amp;designID=newinter&amp;method=initial_screen&amp;position=18&amp;type=mc&amp;volumeID=LXL13001</t>
        </is>
      </c>
    </row>
    <row r="637">
      <c r="A637" t="inlineStr">
        <is>
          <t>WG-SL-00634</t>
        </is>
      </c>
      <c r="B637" t="inlineStr">
        <is>
          <t>SZ-SL-001016</t>
        </is>
      </c>
      <c r="C637" t="inlineStr">
        <is>
          <t>WT-SL-MENKOSHI-AGE-FS</t>
        </is>
      </c>
      <c r="D637" t="inlineStr">
        <is>
          <t>SP-SL-AGE-GRILLE-IGETA</t>
        </is>
      </c>
      <c r="E637" t="inlineStr">
        <is>
          <t>03611</t>
        </is>
      </c>
      <c r="F637" t="n">
        <v>0.405</v>
      </c>
      <c r="G637" t="n">
        <v>1.17</v>
      </c>
      <c r="H637" t="inlineStr">
        <is>
          <t>GL-SL-004</t>
        </is>
      </c>
      <c r="I637" t="n">
        <v>6</v>
      </c>
      <c r="J637" t="n">
        <v>7.8</v>
      </c>
      <c r="K637" t="n">
        <v>-0.355</v>
      </c>
      <c r="L637" t="n">
        <v>-0.664</v>
      </c>
      <c r="M637" t="n">
        <v>0.335</v>
      </c>
      <c r="N637">
        <f>ROUND(J637*F637*G637+K637*G637+L637*F637+M637,3)</f>
        <v/>
      </c>
      <c r="O637">
        <f>AND(N637&gt;=1.4,N637&lt;=13)</f>
        <v/>
      </c>
      <c r="P637">
        <f>IF(OR(N637&lt;1.4,N637&gt;13),"",IF(G637*1000&lt;=1170,IF(N637&lt;1.8,"1014",IF(N637&lt;2.9,"1018",IF(N637&lt;3.8,"1029",IF(N637&lt;5,"1038",IF(N637&lt;7,"1050",IF(N637&lt;9,"1070",IF(N637&lt;11,"1090","1110"))))))),IF(G637*1000&lt;=1570,IF(N637&lt;1.8,"",IF(N637&lt;2.9,"2018",IF(N637&lt;3.8,"2029",IF(N637&lt;5,"2038",IF(N637&lt;7,"2050",IF(N637&lt;9,"2070",IF(N637&lt;11,"2090","2110"))))))),IF(G637*1000&lt;=1700,IF(N637&lt;1.8,"",IF(N637&lt;2.9,"3018",IF(N637&lt;3.8,"3029",IF(N637&lt;5,"3038",IF(N637&lt;7,"3050",IF(N637&lt;9,"3070",IF(N637&lt;11,"3090","3110"))))))),""))))</f>
        <v/>
      </c>
      <c r="Q637">
        <f>AND(O637=TRUE,P637&lt;&gt;"")</f>
        <v/>
      </c>
      <c r="R637">
        <f>IF(G637*1000&lt;750,"なし","あり")</f>
        <v/>
      </c>
      <c r="S637">
        <f>IF(AND(O637=TRUE,Q637=TRUE),"設定可","BLOCK")</f>
        <v/>
      </c>
      <c r="T637" t="inlineStr">
        <is>
          <t>商品カタログ P194</t>
        </is>
      </c>
      <c r="U637" t="inlineStr">
        <is>
          <t>https://webcatalog.lixil.co.jp/iportal/CatalogDetail.do?catalogID=15191910000&amp;categoryID=1630000&amp;designID=newinter&amp;method=initial_screen&amp;position=18&amp;type=mc&amp;volumeID=LXL13001</t>
        </is>
      </c>
    </row>
    <row r="638">
      <c r="A638" t="inlineStr">
        <is>
          <t>WG-SL-00635</t>
        </is>
      </c>
      <c r="B638" t="inlineStr">
        <is>
          <t>SZ-SL-001016</t>
        </is>
      </c>
      <c r="C638" t="inlineStr">
        <is>
          <t>WT-SL-MENKOSHI-AGE-FS</t>
        </is>
      </c>
      <c r="D638" t="inlineStr">
        <is>
          <t>SP-SL-AGE-GRILLE-IGETA</t>
        </is>
      </c>
      <c r="E638" t="inlineStr">
        <is>
          <t>03611</t>
        </is>
      </c>
      <c r="F638" t="n">
        <v>0.405</v>
      </c>
      <c r="G638" t="n">
        <v>1.17</v>
      </c>
      <c r="H638" t="inlineStr">
        <is>
          <t>GL-SL-005</t>
        </is>
      </c>
      <c r="I638" t="n">
        <v>7</v>
      </c>
      <c r="J638" t="n">
        <v>9.1</v>
      </c>
      <c r="K638" t="n">
        <v>-0.48</v>
      </c>
      <c r="L638" t="n">
        <v>-0.998</v>
      </c>
      <c r="M638" t="n">
        <v>0.367</v>
      </c>
      <c r="N638">
        <f>ROUND(J638*F638*G638+K638*G638+L638*F638+M638,3)</f>
        <v/>
      </c>
      <c r="O638">
        <f>AND(N638&gt;=1.4,N638&lt;=13)</f>
        <v/>
      </c>
      <c r="P638">
        <f>IF(OR(N638&lt;1.4,N638&gt;13),"",IF(G638*1000&lt;=1170,IF(N638&lt;1.8,"1014",IF(N638&lt;2.9,"1018",IF(N638&lt;3.8,"1029",IF(N638&lt;5,"1038",IF(N638&lt;7,"1050",IF(N638&lt;9,"1070",IF(N638&lt;11,"1090","1110"))))))),IF(G638*1000&lt;=1570,IF(N638&lt;1.8,"",IF(N638&lt;2.9,"2018",IF(N638&lt;3.8,"2029",IF(N638&lt;5,"2038",IF(N638&lt;7,"2050",IF(N638&lt;9,"2070",IF(N638&lt;11,"2090","2110"))))))),IF(G638*1000&lt;=1700,IF(N638&lt;1.8,"",IF(N638&lt;2.9,"3018",IF(N638&lt;3.8,"3029",IF(N638&lt;5,"3038",IF(N638&lt;7,"3050",IF(N638&lt;9,"3070",IF(N638&lt;11,"3090","3110"))))))),""))))</f>
        <v/>
      </c>
      <c r="Q638">
        <f>AND(O638=TRUE,P638&lt;&gt;"")</f>
        <v/>
      </c>
      <c r="R638">
        <f>IF(G638*1000&lt;750,"なし","あり")</f>
        <v/>
      </c>
      <c r="S638">
        <f>IF(AND(O638=TRUE,Q638=TRUE),"設定可","BLOCK")</f>
        <v/>
      </c>
      <c r="T638" t="inlineStr">
        <is>
          <t>商品カタログ P194</t>
        </is>
      </c>
      <c r="U638" t="inlineStr">
        <is>
          <t>https://webcatalog.lixil.co.jp/iportal/CatalogDetail.do?catalogID=15191910000&amp;categoryID=1630000&amp;designID=newinter&amp;method=initial_screen&amp;position=18&amp;type=mc&amp;volumeID=LXL13001</t>
        </is>
      </c>
    </row>
    <row r="639">
      <c r="A639" t="inlineStr">
        <is>
          <t>WG-SL-00636</t>
        </is>
      </c>
      <c r="B639" t="inlineStr">
        <is>
          <t>SZ-SL-001016</t>
        </is>
      </c>
      <c r="C639" t="inlineStr">
        <is>
          <t>WT-SL-MENKOSHI-AGE-FS</t>
        </is>
      </c>
      <c r="D639" t="inlineStr">
        <is>
          <t>SP-SL-AGE-GRILLE-IGETA</t>
        </is>
      </c>
      <c r="E639" t="inlineStr">
        <is>
          <t>03611</t>
        </is>
      </c>
      <c r="F639" t="n">
        <v>0.405</v>
      </c>
      <c r="G639" t="n">
        <v>1.17</v>
      </c>
      <c r="H639" t="inlineStr">
        <is>
          <t>GL-SL-006</t>
        </is>
      </c>
      <c r="I639" t="n">
        <v>8</v>
      </c>
      <c r="J639" t="n">
        <v>10.4</v>
      </c>
      <c r="K639" t="n">
        <v>-0.605</v>
      </c>
      <c r="L639" t="n">
        <v>-1.332</v>
      </c>
      <c r="M639" t="n">
        <v>0.399</v>
      </c>
      <c r="N639">
        <f>ROUND(J639*F639*G639+K639*G639+L639*F639+M639,3)</f>
        <v/>
      </c>
      <c r="O639">
        <f>AND(N639&gt;=1.4,N639&lt;=13)</f>
        <v/>
      </c>
      <c r="P639">
        <f>IF(OR(N639&lt;1.4,N639&gt;13),"",IF(G639*1000&lt;=1170,IF(N639&lt;1.8,"1014",IF(N639&lt;2.9,"1018",IF(N639&lt;3.8,"1029",IF(N639&lt;5,"1038",IF(N639&lt;7,"1050",IF(N639&lt;9,"1070",IF(N639&lt;11,"1090","1110"))))))),IF(G639*1000&lt;=1570,IF(N639&lt;1.8,"",IF(N639&lt;2.9,"2018",IF(N639&lt;3.8,"2029",IF(N639&lt;5,"2038",IF(N639&lt;7,"2050",IF(N639&lt;9,"2070",IF(N639&lt;11,"2090","2110"))))))),IF(G639*1000&lt;=1700,IF(N639&lt;1.8,"",IF(N639&lt;2.9,"3018",IF(N639&lt;3.8,"3029",IF(N639&lt;5,"3038",IF(N639&lt;7,"3050",IF(N639&lt;9,"3070",IF(N639&lt;11,"3090","3110"))))))),""))))</f>
        <v/>
      </c>
      <c r="Q639">
        <f>AND(O639=TRUE,P639&lt;&gt;"")</f>
        <v/>
      </c>
      <c r="R639">
        <f>IF(G639*1000&lt;750,"なし","あり")</f>
        <v/>
      </c>
      <c r="S639">
        <f>IF(AND(O639=TRUE,Q639=TRUE),"設定可","BLOCK")</f>
        <v/>
      </c>
      <c r="T639" t="inlineStr">
        <is>
          <t>商品カタログ P194</t>
        </is>
      </c>
      <c r="U639" t="inlineStr">
        <is>
          <t>https://webcatalog.lixil.co.jp/iportal/CatalogDetail.do?catalogID=15191910000&amp;categoryID=1630000&amp;designID=newinter&amp;method=initial_screen&amp;position=18&amp;type=mc&amp;volumeID=LXL13001</t>
        </is>
      </c>
    </row>
    <row r="640">
      <c r="A640" t="inlineStr">
        <is>
          <t>WG-SL-00637</t>
        </is>
      </c>
      <c r="B640" t="inlineStr">
        <is>
          <t>SZ-SL-001016</t>
        </is>
      </c>
      <c r="C640" t="inlineStr">
        <is>
          <t>WT-SL-MENKOSHI-AGE-FS</t>
        </is>
      </c>
      <c r="D640" t="inlineStr">
        <is>
          <t>SP-SL-AGE-GRILLE-IGETA</t>
        </is>
      </c>
      <c r="E640" t="inlineStr">
        <is>
          <t>03611</t>
        </is>
      </c>
      <c r="F640" t="n">
        <v>0.405</v>
      </c>
      <c r="G640" t="n">
        <v>1.17</v>
      </c>
      <c r="H640" t="inlineStr">
        <is>
          <t>GL-SL-007</t>
        </is>
      </c>
      <c r="I640" t="n">
        <v>6</v>
      </c>
      <c r="J640" t="n">
        <v>7.8</v>
      </c>
      <c r="K640" t="n">
        <v>-0.355</v>
      </c>
      <c r="L640" t="n">
        <v>-0.664</v>
      </c>
      <c r="M640" t="n">
        <v>0.335</v>
      </c>
      <c r="N640">
        <f>ROUND(J640*F640*G640+K640*G640+L640*F640+M640,3)</f>
        <v/>
      </c>
      <c r="O640">
        <f>AND(N640&gt;=1.4,N640&lt;=13)</f>
        <v/>
      </c>
      <c r="P640">
        <f>IF(OR(N640&lt;1.4,N640&gt;13),"",IF(G640*1000&lt;=1170,IF(N640&lt;1.8,"1014",IF(N640&lt;2.9,"1018",IF(N640&lt;3.8,"1029",IF(N640&lt;5,"1038",IF(N640&lt;7,"1050",IF(N640&lt;9,"1070",IF(N640&lt;11,"1090","1110"))))))),IF(G640*1000&lt;=1570,IF(N640&lt;1.8,"",IF(N640&lt;2.9,"2018",IF(N640&lt;3.8,"2029",IF(N640&lt;5,"2038",IF(N640&lt;7,"2050",IF(N640&lt;9,"2070",IF(N640&lt;11,"2090","2110"))))))),IF(G640*1000&lt;=1700,IF(N640&lt;1.8,"",IF(N640&lt;2.9,"3018",IF(N640&lt;3.8,"3029",IF(N640&lt;5,"3038",IF(N640&lt;7,"3050",IF(N640&lt;9,"3070",IF(N640&lt;11,"3090","3110"))))))),""))))</f>
        <v/>
      </c>
      <c r="Q640">
        <f>AND(O640=TRUE,P640&lt;&gt;"")</f>
        <v/>
      </c>
      <c r="R640">
        <f>IF(G640*1000&lt;750,"なし","あり")</f>
        <v/>
      </c>
      <c r="S640">
        <f>IF(AND(O640=TRUE,Q640=TRUE),"設定可","BLOCK")</f>
        <v/>
      </c>
      <c r="T640" t="inlineStr">
        <is>
          <t>商品カタログ P194</t>
        </is>
      </c>
      <c r="U640" t="inlineStr">
        <is>
          <t>https://webcatalog.lixil.co.jp/iportal/CatalogDetail.do?catalogID=15191910000&amp;categoryID=1630000&amp;designID=newinter&amp;method=initial_screen&amp;position=18&amp;type=mc&amp;volumeID=LXL13001</t>
        </is>
      </c>
    </row>
    <row r="641">
      <c r="A641" t="inlineStr">
        <is>
          <t>WG-SL-00638</t>
        </is>
      </c>
      <c r="B641" t="inlineStr">
        <is>
          <t>SZ-SL-001016</t>
        </is>
      </c>
      <c r="C641" t="inlineStr">
        <is>
          <t>WT-SL-MENKOSHI-AGE-FS</t>
        </is>
      </c>
      <c r="D641" t="inlineStr">
        <is>
          <t>SP-SL-AGE-GRILLE-IGETA</t>
        </is>
      </c>
      <c r="E641" t="inlineStr">
        <is>
          <t>03611</t>
        </is>
      </c>
      <c r="F641" t="n">
        <v>0.405</v>
      </c>
      <c r="G641" t="n">
        <v>1.17</v>
      </c>
      <c r="H641" t="inlineStr">
        <is>
          <t>GL-SL-008</t>
        </is>
      </c>
      <c r="I641" t="n">
        <v>7</v>
      </c>
      <c r="J641" t="n">
        <v>9.1</v>
      </c>
      <c r="K641" t="n">
        <v>-0.48</v>
      </c>
      <c r="L641" t="n">
        <v>-0.998</v>
      </c>
      <c r="M641" t="n">
        <v>0.367</v>
      </c>
      <c r="N641">
        <f>ROUND(J641*F641*G641+K641*G641+L641*F641+M641,3)</f>
        <v/>
      </c>
      <c r="O641">
        <f>AND(N641&gt;=1.4,N641&lt;=13)</f>
        <v/>
      </c>
      <c r="P641">
        <f>IF(OR(N641&lt;1.4,N641&gt;13),"",IF(G641*1000&lt;=1170,IF(N641&lt;1.8,"1014",IF(N641&lt;2.9,"1018",IF(N641&lt;3.8,"1029",IF(N641&lt;5,"1038",IF(N641&lt;7,"1050",IF(N641&lt;9,"1070",IF(N641&lt;11,"1090","1110"))))))),IF(G641*1000&lt;=1570,IF(N641&lt;1.8,"",IF(N641&lt;2.9,"2018",IF(N641&lt;3.8,"2029",IF(N641&lt;5,"2038",IF(N641&lt;7,"2050",IF(N641&lt;9,"2070",IF(N641&lt;11,"2090","2110"))))))),IF(G641*1000&lt;=1700,IF(N641&lt;1.8,"",IF(N641&lt;2.9,"3018",IF(N641&lt;3.8,"3029",IF(N641&lt;5,"3038",IF(N641&lt;7,"3050",IF(N641&lt;9,"3070",IF(N641&lt;11,"3090","3110"))))))),""))))</f>
        <v/>
      </c>
      <c r="Q641">
        <f>AND(O641=TRUE,P641&lt;&gt;"")</f>
        <v/>
      </c>
      <c r="R641">
        <f>IF(G641*1000&lt;750,"なし","あり")</f>
        <v/>
      </c>
      <c r="S641">
        <f>IF(AND(O641=TRUE,Q641=TRUE),"設定可","BLOCK")</f>
        <v/>
      </c>
      <c r="T641" t="inlineStr">
        <is>
          <t>商品カタログ P194</t>
        </is>
      </c>
      <c r="U641" t="inlineStr">
        <is>
          <t>https://webcatalog.lixil.co.jp/iportal/CatalogDetail.do?catalogID=15191910000&amp;categoryID=1630000&amp;designID=newinter&amp;method=initial_screen&amp;position=18&amp;type=mc&amp;volumeID=LXL13001</t>
        </is>
      </c>
    </row>
    <row r="642">
      <c r="A642" t="inlineStr">
        <is>
          <t>WG-SL-00639</t>
        </is>
      </c>
      <c r="B642" t="inlineStr">
        <is>
          <t>SZ-SL-001016</t>
        </is>
      </c>
      <c r="C642" t="inlineStr">
        <is>
          <t>WT-SL-MENKOSHI-AGE-FS</t>
        </is>
      </c>
      <c r="D642" t="inlineStr">
        <is>
          <t>SP-SL-AGE-GRILLE-IGETA</t>
        </is>
      </c>
      <c r="E642" t="inlineStr">
        <is>
          <t>03611</t>
        </is>
      </c>
      <c r="F642" t="n">
        <v>0.405</v>
      </c>
      <c r="G642" t="n">
        <v>1.17</v>
      </c>
      <c r="H642" t="inlineStr">
        <is>
          <t>GL-SL-009</t>
        </is>
      </c>
      <c r="I642" t="n">
        <v>8</v>
      </c>
      <c r="J642" t="n">
        <v>10.4</v>
      </c>
      <c r="K642" t="n">
        <v>-0.605</v>
      </c>
      <c r="L642" t="n">
        <v>-1.332</v>
      </c>
      <c r="M642" t="n">
        <v>0.399</v>
      </c>
      <c r="N642">
        <f>ROUND(J642*F642*G642+K642*G642+L642*F642+M642,3)</f>
        <v/>
      </c>
      <c r="O642">
        <f>AND(N642&gt;=1.4,N642&lt;=13)</f>
        <v/>
      </c>
      <c r="P642">
        <f>IF(OR(N642&lt;1.4,N642&gt;13),"",IF(G642*1000&lt;=1170,IF(N642&lt;1.8,"1014",IF(N642&lt;2.9,"1018",IF(N642&lt;3.8,"1029",IF(N642&lt;5,"1038",IF(N642&lt;7,"1050",IF(N642&lt;9,"1070",IF(N642&lt;11,"1090","1110"))))))),IF(G642*1000&lt;=1570,IF(N642&lt;1.8,"",IF(N642&lt;2.9,"2018",IF(N642&lt;3.8,"2029",IF(N642&lt;5,"2038",IF(N642&lt;7,"2050",IF(N642&lt;9,"2070",IF(N642&lt;11,"2090","2110"))))))),IF(G642*1000&lt;=1700,IF(N642&lt;1.8,"",IF(N642&lt;2.9,"3018",IF(N642&lt;3.8,"3029",IF(N642&lt;5,"3038",IF(N642&lt;7,"3050",IF(N642&lt;9,"3070",IF(N642&lt;11,"3090","3110"))))))),""))))</f>
        <v/>
      </c>
      <c r="Q642">
        <f>AND(O642=TRUE,P642&lt;&gt;"")</f>
        <v/>
      </c>
      <c r="R642">
        <f>IF(G642*1000&lt;750,"なし","あり")</f>
        <v/>
      </c>
      <c r="S642">
        <f>IF(AND(O642=TRUE,Q642=TRUE),"設定可","BLOCK")</f>
        <v/>
      </c>
      <c r="T642" t="inlineStr">
        <is>
          <t>商品カタログ P194</t>
        </is>
      </c>
      <c r="U642" t="inlineStr">
        <is>
          <t>https://webcatalog.lixil.co.jp/iportal/CatalogDetail.do?catalogID=15191910000&amp;categoryID=1630000&amp;designID=newinter&amp;method=initial_screen&amp;position=18&amp;type=mc&amp;volumeID=LXL13001</t>
        </is>
      </c>
    </row>
    <row r="643">
      <c r="A643" t="inlineStr">
        <is>
          <t>WG-SL-00640</t>
        </is>
      </c>
      <c r="B643" t="inlineStr">
        <is>
          <t>SZ-SL-001017</t>
        </is>
      </c>
      <c r="C643" t="inlineStr">
        <is>
          <t>WT-SL-MENKOSHI-AGE-FS</t>
        </is>
      </c>
      <c r="D643" t="inlineStr">
        <is>
          <t>SP-SL-AGE-GRILLE-IGETA</t>
        </is>
      </c>
      <c r="E643" t="inlineStr">
        <is>
          <t>06011</t>
        </is>
      </c>
      <c r="F643" t="n">
        <v>0.64</v>
      </c>
      <c r="G643" t="n">
        <v>1.17</v>
      </c>
      <c r="H643" t="inlineStr">
        <is>
          <t>GL-SL-001</t>
        </is>
      </c>
      <c r="I643" t="n">
        <v>6</v>
      </c>
      <c r="J643" t="n">
        <v>7.8</v>
      </c>
      <c r="K643" t="n">
        <v>-0.355</v>
      </c>
      <c r="L643" t="n">
        <v>-0.664</v>
      </c>
      <c r="M643" t="n">
        <v>0.335</v>
      </c>
      <c r="N643">
        <f>ROUND(J643*F643*G643+K643*G643+L643*F643+M643,3)</f>
        <v/>
      </c>
      <c r="O643">
        <f>AND(N643&gt;=1.4,N643&lt;=13)</f>
        <v/>
      </c>
      <c r="P643">
        <f>IF(OR(N643&lt;1.4,N643&gt;13),"",IF(G643*1000&lt;=1170,IF(N643&lt;1.8,"1014",IF(N643&lt;2.9,"1018",IF(N643&lt;3.8,"1029",IF(N643&lt;5,"1038",IF(N643&lt;7,"1050",IF(N643&lt;9,"1070",IF(N643&lt;11,"1090","1110"))))))),IF(G643*1000&lt;=1570,IF(N643&lt;1.8,"",IF(N643&lt;2.9,"2018",IF(N643&lt;3.8,"2029",IF(N643&lt;5,"2038",IF(N643&lt;7,"2050",IF(N643&lt;9,"2070",IF(N643&lt;11,"2090","2110"))))))),IF(G643*1000&lt;=1700,IF(N643&lt;1.8,"",IF(N643&lt;2.9,"3018",IF(N643&lt;3.8,"3029",IF(N643&lt;5,"3038",IF(N643&lt;7,"3050",IF(N643&lt;9,"3070",IF(N643&lt;11,"3090","3110"))))))),""))))</f>
        <v/>
      </c>
      <c r="Q643">
        <f>AND(O643=TRUE,P643&lt;&gt;"")</f>
        <v/>
      </c>
      <c r="R643">
        <f>IF(G643*1000&lt;750,"なし","あり")</f>
        <v/>
      </c>
      <c r="S643">
        <f>IF(AND(O643=TRUE,Q643=TRUE),"設定可","BLOCK")</f>
        <v/>
      </c>
      <c r="T643" t="inlineStr">
        <is>
          <t>商品カタログ P194</t>
        </is>
      </c>
      <c r="U643" t="inlineStr">
        <is>
          <t>https://webcatalog.lixil.co.jp/iportal/CatalogDetail.do?catalogID=15191910000&amp;categoryID=1630000&amp;designID=newinter&amp;method=initial_screen&amp;position=18&amp;type=mc&amp;volumeID=LXL13001</t>
        </is>
      </c>
    </row>
    <row r="644">
      <c r="A644" t="inlineStr">
        <is>
          <t>WG-SL-00641</t>
        </is>
      </c>
      <c r="B644" t="inlineStr">
        <is>
          <t>SZ-SL-001017</t>
        </is>
      </c>
      <c r="C644" t="inlineStr">
        <is>
          <t>WT-SL-MENKOSHI-AGE-FS</t>
        </is>
      </c>
      <c r="D644" t="inlineStr">
        <is>
          <t>SP-SL-AGE-GRILLE-IGETA</t>
        </is>
      </c>
      <c r="E644" t="inlineStr">
        <is>
          <t>06011</t>
        </is>
      </c>
      <c r="F644" t="n">
        <v>0.64</v>
      </c>
      <c r="G644" t="n">
        <v>1.17</v>
      </c>
      <c r="H644" t="inlineStr">
        <is>
          <t>GL-SL-002</t>
        </is>
      </c>
      <c r="I644" t="n">
        <v>7</v>
      </c>
      <c r="J644" t="n">
        <v>9.1</v>
      </c>
      <c r="K644" t="n">
        <v>-0.48</v>
      </c>
      <c r="L644" t="n">
        <v>-0.998</v>
      </c>
      <c r="M644" t="n">
        <v>0.367</v>
      </c>
      <c r="N644">
        <f>ROUND(J644*F644*G644+K644*G644+L644*F644+M644,3)</f>
        <v/>
      </c>
      <c r="O644">
        <f>AND(N644&gt;=1.4,N644&lt;=13)</f>
        <v/>
      </c>
      <c r="P644">
        <f>IF(OR(N644&lt;1.4,N644&gt;13),"",IF(G644*1000&lt;=1170,IF(N644&lt;1.8,"1014",IF(N644&lt;2.9,"1018",IF(N644&lt;3.8,"1029",IF(N644&lt;5,"1038",IF(N644&lt;7,"1050",IF(N644&lt;9,"1070",IF(N644&lt;11,"1090","1110"))))))),IF(G644*1000&lt;=1570,IF(N644&lt;1.8,"",IF(N644&lt;2.9,"2018",IF(N644&lt;3.8,"2029",IF(N644&lt;5,"2038",IF(N644&lt;7,"2050",IF(N644&lt;9,"2070",IF(N644&lt;11,"2090","2110"))))))),IF(G644*1000&lt;=1700,IF(N644&lt;1.8,"",IF(N644&lt;2.9,"3018",IF(N644&lt;3.8,"3029",IF(N644&lt;5,"3038",IF(N644&lt;7,"3050",IF(N644&lt;9,"3070",IF(N644&lt;11,"3090","3110"))))))),""))))</f>
        <v/>
      </c>
      <c r="Q644">
        <f>AND(O644=TRUE,P644&lt;&gt;"")</f>
        <v/>
      </c>
      <c r="R644">
        <f>IF(G644*1000&lt;750,"なし","あり")</f>
        <v/>
      </c>
      <c r="S644">
        <f>IF(AND(O644=TRUE,Q644=TRUE),"設定可","BLOCK")</f>
        <v/>
      </c>
      <c r="T644" t="inlineStr">
        <is>
          <t>商品カタログ P194</t>
        </is>
      </c>
      <c r="U644" t="inlineStr">
        <is>
          <t>https://webcatalog.lixil.co.jp/iportal/CatalogDetail.do?catalogID=15191910000&amp;categoryID=1630000&amp;designID=newinter&amp;method=initial_screen&amp;position=18&amp;type=mc&amp;volumeID=LXL13001</t>
        </is>
      </c>
    </row>
    <row r="645">
      <c r="A645" t="inlineStr">
        <is>
          <t>WG-SL-00642</t>
        </is>
      </c>
      <c r="B645" t="inlineStr">
        <is>
          <t>SZ-SL-001017</t>
        </is>
      </c>
      <c r="C645" t="inlineStr">
        <is>
          <t>WT-SL-MENKOSHI-AGE-FS</t>
        </is>
      </c>
      <c r="D645" t="inlineStr">
        <is>
          <t>SP-SL-AGE-GRILLE-IGETA</t>
        </is>
      </c>
      <c r="E645" t="inlineStr">
        <is>
          <t>06011</t>
        </is>
      </c>
      <c r="F645" t="n">
        <v>0.64</v>
      </c>
      <c r="G645" t="n">
        <v>1.17</v>
      </c>
      <c r="H645" t="inlineStr">
        <is>
          <t>GL-SL-003</t>
        </is>
      </c>
      <c r="I645" t="n">
        <v>8</v>
      </c>
      <c r="J645" t="n">
        <v>10.4</v>
      </c>
      <c r="K645" t="n">
        <v>-0.605</v>
      </c>
      <c r="L645" t="n">
        <v>-1.332</v>
      </c>
      <c r="M645" t="n">
        <v>0.399</v>
      </c>
      <c r="N645">
        <f>ROUND(J645*F645*G645+K645*G645+L645*F645+M645,3)</f>
        <v/>
      </c>
      <c r="O645">
        <f>AND(N645&gt;=1.4,N645&lt;=13)</f>
        <v/>
      </c>
      <c r="P645">
        <f>IF(OR(N645&lt;1.4,N645&gt;13),"",IF(G645*1000&lt;=1170,IF(N645&lt;1.8,"1014",IF(N645&lt;2.9,"1018",IF(N645&lt;3.8,"1029",IF(N645&lt;5,"1038",IF(N645&lt;7,"1050",IF(N645&lt;9,"1070",IF(N645&lt;11,"1090","1110"))))))),IF(G645*1000&lt;=1570,IF(N645&lt;1.8,"",IF(N645&lt;2.9,"2018",IF(N645&lt;3.8,"2029",IF(N645&lt;5,"2038",IF(N645&lt;7,"2050",IF(N645&lt;9,"2070",IF(N645&lt;11,"2090","2110"))))))),IF(G645*1000&lt;=1700,IF(N645&lt;1.8,"",IF(N645&lt;2.9,"3018",IF(N645&lt;3.8,"3029",IF(N645&lt;5,"3038",IF(N645&lt;7,"3050",IF(N645&lt;9,"3070",IF(N645&lt;11,"3090","3110"))))))),""))))</f>
        <v/>
      </c>
      <c r="Q645">
        <f>AND(O645=TRUE,P645&lt;&gt;"")</f>
        <v/>
      </c>
      <c r="R645">
        <f>IF(G645*1000&lt;750,"なし","あり")</f>
        <v/>
      </c>
      <c r="S645">
        <f>IF(AND(O645=TRUE,Q645=TRUE),"設定可","BLOCK")</f>
        <v/>
      </c>
      <c r="T645" t="inlineStr">
        <is>
          <t>商品カタログ P194</t>
        </is>
      </c>
      <c r="U645" t="inlineStr">
        <is>
          <t>https://webcatalog.lixil.co.jp/iportal/CatalogDetail.do?catalogID=15191910000&amp;categoryID=1630000&amp;designID=newinter&amp;method=initial_screen&amp;position=18&amp;type=mc&amp;volumeID=LXL13001</t>
        </is>
      </c>
    </row>
    <row r="646">
      <c r="A646" t="inlineStr">
        <is>
          <t>WG-SL-00643</t>
        </is>
      </c>
      <c r="B646" t="inlineStr">
        <is>
          <t>SZ-SL-001017</t>
        </is>
      </c>
      <c r="C646" t="inlineStr">
        <is>
          <t>WT-SL-MENKOSHI-AGE-FS</t>
        </is>
      </c>
      <c r="D646" t="inlineStr">
        <is>
          <t>SP-SL-AGE-GRILLE-IGETA</t>
        </is>
      </c>
      <c r="E646" t="inlineStr">
        <is>
          <t>06011</t>
        </is>
      </c>
      <c r="F646" t="n">
        <v>0.64</v>
      </c>
      <c r="G646" t="n">
        <v>1.17</v>
      </c>
      <c r="H646" t="inlineStr">
        <is>
          <t>GL-SL-004</t>
        </is>
      </c>
      <c r="I646" t="n">
        <v>6</v>
      </c>
      <c r="J646" t="n">
        <v>7.8</v>
      </c>
      <c r="K646" t="n">
        <v>-0.355</v>
      </c>
      <c r="L646" t="n">
        <v>-0.664</v>
      </c>
      <c r="M646" t="n">
        <v>0.335</v>
      </c>
      <c r="N646">
        <f>ROUND(J646*F646*G646+K646*G646+L646*F646+M646,3)</f>
        <v/>
      </c>
      <c r="O646">
        <f>AND(N646&gt;=1.4,N646&lt;=13)</f>
        <v/>
      </c>
      <c r="P646">
        <f>IF(OR(N646&lt;1.4,N646&gt;13),"",IF(G646*1000&lt;=1170,IF(N646&lt;1.8,"1014",IF(N646&lt;2.9,"1018",IF(N646&lt;3.8,"1029",IF(N646&lt;5,"1038",IF(N646&lt;7,"1050",IF(N646&lt;9,"1070",IF(N646&lt;11,"1090","1110"))))))),IF(G646*1000&lt;=1570,IF(N646&lt;1.8,"",IF(N646&lt;2.9,"2018",IF(N646&lt;3.8,"2029",IF(N646&lt;5,"2038",IF(N646&lt;7,"2050",IF(N646&lt;9,"2070",IF(N646&lt;11,"2090","2110"))))))),IF(G646*1000&lt;=1700,IF(N646&lt;1.8,"",IF(N646&lt;2.9,"3018",IF(N646&lt;3.8,"3029",IF(N646&lt;5,"3038",IF(N646&lt;7,"3050",IF(N646&lt;9,"3070",IF(N646&lt;11,"3090","3110"))))))),""))))</f>
        <v/>
      </c>
      <c r="Q646">
        <f>AND(O646=TRUE,P646&lt;&gt;"")</f>
        <v/>
      </c>
      <c r="R646">
        <f>IF(G646*1000&lt;750,"なし","あり")</f>
        <v/>
      </c>
      <c r="S646">
        <f>IF(AND(O646=TRUE,Q646=TRUE),"設定可","BLOCK")</f>
        <v/>
      </c>
      <c r="T646" t="inlineStr">
        <is>
          <t>商品カタログ P194</t>
        </is>
      </c>
      <c r="U646" t="inlineStr">
        <is>
          <t>https://webcatalog.lixil.co.jp/iportal/CatalogDetail.do?catalogID=15191910000&amp;categoryID=1630000&amp;designID=newinter&amp;method=initial_screen&amp;position=18&amp;type=mc&amp;volumeID=LXL13001</t>
        </is>
      </c>
    </row>
    <row r="647">
      <c r="A647" t="inlineStr">
        <is>
          <t>WG-SL-00644</t>
        </is>
      </c>
      <c r="B647" t="inlineStr">
        <is>
          <t>SZ-SL-001017</t>
        </is>
      </c>
      <c r="C647" t="inlineStr">
        <is>
          <t>WT-SL-MENKOSHI-AGE-FS</t>
        </is>
      </c>
      <c r="D647" t="inlineStr">
        <is>
          <t>SP-SL-AGE-GRILLE-IGETA</t>
        </is>
      </c>
      <c r="E647" t="inlineStr">
        <is>
          <t>06011</t>
        </is>
      </c>
      <c r="F647" t="n">
        <v>0.64</v>
      </c>
      <c r="G647" t="n">
        <v>1.17</v>
      </c>
      <c r="H647" t="inlineStr">
        <is>
          <t>GL-SL-005</t>
        </is>
      </c>
      <c r="I647" t="n">
        <v>7</v>
      </c>
      <c r="J647" t="n">
        <v>9.1</v>
      </c>
      <c r="K647" t="n">
        <v>-0.48</v>
      </c>
      <c r="L647" t="n">
        <v>-0.998</v>
      </c>
      <c r="M647" t="n">
        <v>0.367</v>
      </c>
      <c r="N647">
        <f>ROUND(J647*F647*G647+K647*G647+L647*F647+M647,3)</f>
        <v/>
      </c>
      <c r="O647">
        <f>AND(N647&gt;=1.4,N647&lt;=13)</f>
        <v/>
      </c>
      <c r="P647">
        <f>IF(OR(N647&lt;1.4,N647&gt;13),"",IF(G647*1000&lt;=1170,IF(N647&lt;1.8,"1014",IF(N647&lt;2.9,"1018",IF(N647&lt;3.8,"1029",IF(N647&lt;5,"1038",IF(N647&lt;7,"1050",IF(N647&lt;9,"1070",IF(N647&lt;11,"1090","1110"))))))),IF(G647*1000&lt;=1570,IF(N647&lt;1.8,"",IF(N647&lt;2.9,"2018",IF(N647&lt;3.8,"2029",IF(N647&lt;5,"2038",IF(N647&lt;7,"2050",IF(N647&lt;9,"2070",IF(N647&lt;11,"2090","2110"))))))),IF(G647*1000&lt;=1700,IF(N647&lt;1.8,"",IF(N647&lt;2.9,"3018",IF(N647&lt;3.8,"3029",IF(N647&lt;5,"3038",IF(N647&lt;7,"3050",IF(N647&lt;9,"3070",IF(N647&lt;11,"3090","3110"))))))),""))))</f>
        <v/>
      </c>
      <c r="Q647">
        <f>AND(O647=TRUE,P647&lt;&gt;"")</f>
        <v/>
      </c>
      <c r="R647">
        <f>IF(G647*1000&lt;750,"なし","あり")</f>
        <v/>
      </c>
      <c r="S647">
        <f>IF(AND(O647=TRUE,Q647=TRUE),"設定可","BLOCK")</f>
        <v/>
      </c>
      <c r="T647" t="inlineStr">
        <is>
          <t>商品カタログ P194</t>
        </is>
      </c>
      <c r="U647" t="inlineStr">
        <is>
          <t>https://webcatalog.lixil.co.jp/iportal/CatalogDetail.do?catalogID=15191910000&amp;categoryID=1630000&amp;designID=newinter&amp;method=initial_screen&amp;position=18&amp;type=mc&amp;volumeID=LXL13001</t>
        </is>
      </c>
    </row>
    <row r="648">
      <c r="A648" t="inlineStr">
        <is>
          <t>WG-SL-00645</t>
        </is>
      </c>
      <c r="B648" t="inlineStr">
        <is>
          <t>SZ-SL-001017</t>
        </is>
      </c>
      <c r="C648" t="inlineStr">
        <is>
          <t>WT-SL-MENKOSHI-AGE-FS</t>
        </is>
      </c>
      <c r="D648" t="inlineStr">
        <is>
          <t>SP-SL-AGE-GRILLE-IGETA</t>
        </is>
      </c>
      <c r="E648" t="inlineStr">
        <is>
          <t>06011</t>
        </is>
      </c>
      <c r="F648" t="n">
        <v>0.64</v>
      </c>
      <c r="G648" t="n">
        <v>1.17</v>
      </c>
      <c r="H648" t="inlineStr">
        <is>
          <t>GL-SL-006</t>
        </is>
      </c>
      <c r="I648" t="n">
        <v>8</v>
      </c>
      <c r="J648" t="n">
        <v>10.4</v>
      </c>
      <c r="K648" t="n">
        <v>-0.605</v>
      </c>
      <c r="L648" t="n">
        <v>-1.332</v>
      </c>
      <c r="M648" t="n">
        <v>0.399</v>
      </c>
      <c r="N648">
        <f>ROUND(J648*F648*G648+K648*G648+L648*F648+M648,3)</f>
        <v/>
      </c>
      <c r="O648">
        <f>AND(N648&gt;=1.4,N648&lt;=13)</f>
        <v/>
      </c>
      <c r="P648">
        <f>IF(OR(N648&lt;1.4,N648&gt;13),"",IF(G648*1000&lt;=1170,IF(N648&lt;1.8,"1014",IF(N648&lt;2.9,"1018",IF(N648&lt;3.8,"1029",IF(N648&lt;5,"1038",IF(N648&lt;7,"1050",IF(N648&lt;9,"1070",IF(N648&lt;11,"1090","1110"))))))),IF(G648*1000&lt;=1570,IF(N648&lt;1.8,"",IF(N648&lt;2.9,"2018",IF(N648&lt;3.8,"2029",IF(N648&lt;5,"2038",IF(N648&lt;7,"2050",IF(N648&lt;9,"2070",IF(N648&lt;11,"2090","2110"))))))),IF(G648*1000&lt;=1700,IF(N648&lt;1.8,"",IF(N648&lt;2.9,"3018",IF(N648&lt;3.8,"3029",IF(N648&lt;5,"3038",IF(N648&lt;7,"3050",IF(N648&lt;9,"3070",IF(N648&lt;11,"3090","3110"))))))),""))))</f>
        <v/>
      </c>
      <c r="Q648">
        <f>AND(O648=TRUE,P648&lt;&gt;"")</f>
        <v/>
      </c>
      <c r="R648">
        <f>IF(G648*1000&lt;750,"なし","あり")</f>
        <v/>
      </c>
      <c r="S648">
        <f>IF(AND(O648=TRUE,Q648=TRUE),"設定可","BLOCK")</f>
        <v/>
      </c>
      <c r="T648" t="inlineStr">
        <is>
          <t>商品カタログ P194</t>
        </is>
      </c>
      <c r="U648" t="inlineStr">
        <is>
          <t>https://webcatalog.lixil.co.jp/iportal/CatalogDetail.do?catalogID=15191910000&amp;categoryID=1630000&amp;designID=newinter&amp;method=initial_screen&amp;position=18&amp;type=mc&amp;volumeID=LXL13001</t>
        </is>
      </c>
    </row>
    <row r="649">
      <c r="A649" t="inlineStr">
        <is>
          <t>WG-SL-00646</t>
        </is>
      </c>
      <c r="B649" t="inlineStr">
        <is>
          <t>SZ-SL-001017</t>
        </is>
      </c>
      <c r="C649" t="inlineStr">
        <is>
          <t>WT-SL-MENKOSHI-AGE-FS</t>
        </is>
      </c>
      <c r="D649" t="inlineStr">
        <is>
          <t>SP-SL-AGE-GRILLE-IGETA</t>
        </is>
      </c>
      <c r="E649" t="inlineStr">
        <is>
          <t>06011</t>
        </is>
      </c>
      <c r="F649" t="n">
        <v>0.64</v>
      </c>
      <c r="G649" t="n">
        <v>1.17</v>
      </c>
      <c r="H649" t="inlineStr">
        <is>
          <t>GL-SL-007</t>
        </is>
      </c>
      <c r="I649" t="n">
        <v>6</v>
      </c>
      <c r="J649" t="n">
        <v>7.8</v>
      </c>
      <c r="K649" t="n">
        <v>-0.355</v>
      </c>
      <c r="L649" t="n">
        <v>-0.664</v>
      </c>
      <c r="M649" t="n">
        <v>0.335</v>
      </c>
      <c r="N649">
        <f>ROUND(J649*F649*G649+K649*G649+L649*F649+M649,3)</f>
        <v/>
      </c>
      <c r="O649">
        <f>AND(N649&gt;=1.4,N649&lt;=13)</f>
        <v/>
      </c>
      <c r="P649">
        <f>IF(OR(N649&lt;1.4,N649&gt;13),"",IF(G649*1000&lt;=1170,IF(N649&lt;1.8,"1014",IF(N649&lt;2.9,"1018",IF(N649&lt;3.8,"1029",IF(N649&lt;5,"1038",IF(N649&lt;7,"1050",IF(N649&lt;9,"1070",IF(N649&lt;11,"1090","1110"))))))),IF(G649*1000&lt;=1570,IF(N649&lt;1.8,"",IF(N649&lt;2.9,"2018",IF(N649&lt;3.8,"2029",IF(N649&lt;5,"2038",IF(N649&lt;7,"2050",IF(N649&lt;9,"2070",IF(N649&lt;11,"2090","2110"))))))),IF(G649*1000&lt;=1700,IF(N649&lt;1.8,"",IF(N649&lt;2.9,"3018",IF(N649&lt;3.8,"3029",IF(N649&lt;5,"3038",IF(N649&lt;7,"3050",IF(N649&lt;9,"3070",IF(N649&lt;11,"3090","3110"))))))),""))))</f>
        <v/>
      </c>
      <c r="Q649">
        <f>AND(O649=TRUE,P649&lt;&gt;"")</f>
        <v/>
      </c>
      <c r="R649">
        <f>IF(G649*1000&lt;750,"なし","あり")</f>
        <v/>
      </c>
      <c r="S649">
        <f>IF(AND(O649=TRUE,Q649=TRUE),"設定可","BLOCK")</f>
        <v/>
      </c>
      <c r="T649" t="inlineStr">
        <is>
          <t>商品カタログ P194</t>
        </is>
      </c>
      <c r="U649" t="inlineStr">
        <is>
          <t>https://webcatalog.lixil.co.jp/iportal/CatalogDetail.do?catalogID=15191910000&amp;categoryID=1630000&amp;designID=newinter&amp;method=initial_screen&amp;position=18&amp;type=mc&amp;volumeID=LXL13001</t>
        </is>
      </c>
    </row>
    <row r="650">
      <c r="A650" t="inlineStr">
        <is>
          <t>WG-SL-00647</t>
        </is>
      </c>
      <c r="B650" t="inlineStr">
        <is>
          <t>SZ-SL-001017</t>
        </is>
      </c>
      <c r="C650" t="inlineStr">
        <is>
          <t>WT-SL-MENKOSHI-AGE-FS</t>
        </is>
      </c>
      <c r="D650" t="inlineStr">
        <is>
          <t>SP-SL-AGE-GRILLE-IGETA</t>
        </is>
      </c>
      <c r="E650" t="inlineStr">
        <is>
          <t>06011</t>
        </is>
      </c>
      <c r="F650" t="n">
        <v>0.64</v>
      </c>
      <c r="G650" t="n">
        <v>1.17</v>
      </c>
      <c r="H650" t="inlineStr">
        <is>
          <t>GL-SL-008</t>
        </is>
      </c>
      <c r="I650" t="n">
        <v>7</v>
      </c>
      <c r="J650" t="n">
        <v>9.1</v>
      </c>
      <c r="K650" t="n">
        <v>-0.48</v>
      </c>
      <c r="L650" t="n">
        <v>-0.998</v>
      </c>
      <c r="M650" t="n">
        <v>0.367</v>
      </c>
      <c r="N650">
        <f>ROUND(J650*F650*G650+K650*G650+L650*F650+M650,3)</f>
        <v/>
      </c>
      <c r="O650">
        <f>AND(N650&gt;=1.4,N650&lt;=13)</f>
        <v/>
      </c>
      <c r="P650">
        <f>IF(OR(N650&lt;1.4,N650&gt;13),"",IF(G650*1000&lt;=1170,IF(N650&lt;1.8,"1014",IF(N650&lt;2.9,"1018",IF(N650&lt;3.8,"1029",IF(N650&lt;5,"1038",IF(N650&lt;7,"1050",IF(N650&lt;9,"1070",IF(N650&lt;11,"1090","1110"))))))),IF(G650*1000&lt;=1570,IF(N650&lt;1.8,"",IF(N650&lt;2.9,"2018",IF(N650&lt;3.8,"2029",IF(N650&lt;5,"2038",IF(N650&lt;7,"2050",IF(N650&lt;9,"2070",IF(N650&lt;11,"2090","2110"))))))),IF(G650*1000&lt;=1700,IF(N650&lt;1.8,"",IF(N650&lt;2.9,"3018",IF(N650&lt;3.8,"3029",IF(N650&lt;5,"3038",IF(N650&lt;7,"3050",IF(N650&lt;9,"3070",IF(N650&lt;11,"3090","3110"))))))),""))))</f>
        <v/>
      </c>
      <c r="Q650">
        <f>AND(O650=TRUE,P650&lt;&gt;"")</f>
        <v/>
      </c>
      <c r="R650">
        <f>IF(G650*1000&lt;750,"なし","あり")</f>
        <v/>
      </c>
      <c r="S650">
        <f>IF(AND(O650=TRUE,Q650=TRUE),"設定可","BLOCK")</f>
        <v/>
      </c>
      <c r="T650" t="inlineStr">
        <is>
          <t>商品カタログ P194</t>
        </is>
      </c>
      <c r="U650" t="inlineStr">
        <is>
          <t>https://webcatalog.lixil.co.jp/iportal/CatalogDetail.do?catalogID=15191910000&amp;categoryID=1630000&amp;designID=newinter&amp;method=initial_screen&amp;position=18&amp;type=mc&amp;volumeID=LXL13001</t>
        </is>
      </c>
    </row>
    <row r="651">
      <c r="A651" t="inlineStr">
        <is>
          <t>WG-SL-00648</t>
        </is>
      </c>
      <c r="B651" t="inlineStr">
        <is>
          <t>SZ-SL-001017</t>
        </is>
      </c>
      <c r="C651" t="inlineStr">
        <is>
          <t>WT-SL-MENKOSHI-AGE-FS</t>
        </is>
      </c>
      <c r="D651" t="inlineStr">
        <is>
          <t>SP-SL-AGE-GRILLE-IGETA</t>
        </is>
      </c>
      <c r="E651" t="inlineStr">
        <is>
          <t>06011</t>
        </is>
      </c>
      <c r="F651" t="n">
        <v>0.64</v>
      </c>
      <c r="G651" t="n">
        <v>1.17</v>
      </c>
      <c r="H651" t="inlineStr">
        <is>
          <t>GL-SL-009</t>
        </is>
      </c>
      <c r="I651" t="n">
        <v>8</v>
      </c>
      <c r="J651" t="n">
        <v>10.4</v>
      </c>
      <c r="K651" t="n">
        <v>-0.605</v>
      </c>
      <c r="L651" t="n">
        <v>-1.332</v>
      </c>
      <c r="M651" t="n">
        <v>0.399</v>
      </c>
      <c r="N651">
        <f>ROUND(J651*F651*G651+K651*G651+L651*F651+M651,3)</f>
        <v/>
      </c>
      <c r="O651">
        <f>AND(N651&gt;=1.4,N651&lt;=13)</f>
        <v/>
      </c>
      <c r="P651">
        <f>IF(OR(N651&lt;1.4,N651&gt;13),"",IF(G651*1000&lt;=1170,IF(N651&lt;1.8,"1014",IF(N651&lt;2.9,"1018",IF(N651&lt;3.8,"1029",IF(N651&lt;5,"1038",IF(N651&lt;7,"1050",IF(N651&lt;9,"1070",IF(N651&lt;11,"1090","1110"))))))),IF(G651*1000&lt;=1570,IF(N651&lt;1.8,"",IF(N651&lt;2.9,"2018",IF(N651&lt;3.8,"2029",IF(N651&lt;5,"2038",IF(N651&lt;7,"2050",IF(N651&lt;9,"2070",IF(N651&lt;11,"2090","2110"))))))),IF(G651*1000&lt;=1700,IF(N651&lt;1.8,"",IF(N651&lt;2.9,"3018",IF(N651&lt;3.8,"3029",IF(N651&lt;5,"3038",IF(N651&lt;7,"3050",IF(N651&lt;9,"3070",IF(N651&lt;11,"3090","3110"))))))),""))))</f>
        <v/>
      </c>
      <c r="Q651">
        <f>AND(O651=TRUE,P651&lt;&gt;"")</f>
        <v/>
      </c>
      <c r="R651">
        <f>IF(G651*1000&lt;750,"なし","あり")</f>
        <v/>
      </c>
      <c r="S651">
        <f>IF(AND(O651=TRUE,Q651=TRUE),"設定可","BLOCK")</f>
        <v/>
      </c>
      <c r="T651" t="inlineStr">
        <is>
          <t>商品カタログ P194</t>
        </is>
      </c>
      <c r="U651" t="inlineStr">
        <is>
          <t>https://webcatalog.lixil.co.jp/iportal/CatalogDetail.do?catalogID=15191910000&amp;categoryID=1630000&amp;designID=newinter&amp;method=initial_screen&amp;position=18&amp;type=mc&amp;volumeID=LXL13001</t>
        </is>
      </c>
    </row>
    <row r="652">
      <c r="A652" t="inlineStr">
        <is>
          <t>WG-SL-00649</t>
        </is>
      </c>
      <c r="B652" t="inlineStr">
        <is>
          <t>SZ-SL-001018</t>
        </is>
      </c>
      <c r="C652" t="inlineStr">
        <is>
          <t>WT-SL-MENKOSHI-AGE-FS</t>
        </is>
      </c>
      <c r="D652" t="inlineStr">
        <is>
          <t>SP-SL-AGE-GRILLE-IGETA</t>
        </is>
      </c>
      <c r="E652" t="inlineStr">
        <is>
          <t>06911</t>
        </is>
      </c>
      <c r="F652" t="n">
        <v>0.73</v>
      </c>
      <c r="G652" t="n">
        <v>1.17</v>
      </c>
      <c r="H652" t="inlineStr">
        <is>
          <t>GL-SL-001</t>
        </is>
      </c>
      <c r="I652" t="n">
        <v>6</v>
      </c>
      <c r="J652" t="n">
        <v>7.8</v>
      </c>
      <c r="K652" t="n">
        <v>-0.355</v>
      </c>
      <c r="L652" t="n">
        <v>-0.664</v>
      </c>
      <c r="M652" t="n">
        <v>0.335</v>
      </c>
      <c r="N652">
        <f>ROUND(J652*F652*G652+K652*G652+L652*F652+M652,3)</f>
        <v/>
      </c>
      <c r="O652">
        <f>AND(N652&gt;=1.4,N652&lt;=13)</f>
        <v/>
      </c>
      <c r="P652">
        <f>IF(OR(N652&lt;1.4,N652&gt;13),"",IF(G652*1000&lt;=1170,IF(N652&lt;1.8,"1014",IF(N652&lt;2.9,"1018",IF(N652&lt;3.8,"1029",IF(N652&lt;5,"1038",IF(N652&lt;7,"1050",IF(N652&lt;9,"1070",IF(N652&lt;11,"1090","1110"))))))),IF(G652*1000&lt;=1570,IF(N652&lt;1.8,"",IF(N652&lt;2.9,"2018",IF(N652&lt;3.8,"2029",IF(N652&lt;5,"2038",IF(N652&lt;7,"2050",IF(N652&lt;9,"2070",IF(N652&lt;11,"2090","2110"))))))),IF(G652*1000&lt;=1700,IF(N652&lt;1.8,"",IF(N652&lt;2.9,"3018",IF(N652&lt;3.8,"3029",IF(N652&lt;5,"3038",IF(N652&lt;7,"3050",IF(N652&lt;9,"3070",IF(N652&lt;11,"3090","3110"))))))),""))))</f>
        <v/>
      </c>
      <c r="Q652">
        <f>AND(O652=TRUE,P652&lt;&gt;"")</f>
        <v/>
      </c>
      <c r="R652">
        <f>IF(G652*1000&lt;750,"なし","あり")</f>
        <v/>
      </c>
      <c r="S652">
        <f>IF(AND(O652=TRUE,Q652=TRUE),"設定可","BLOCK")</f>
        <v/>
      </c>
      <c r="T652" t="inlineStr">
        <is>
          <t>商品カタログ P194</t>
        </is>
      </c>
      <c r="U652" t="inlineStr">
        <is>
          <t>https://webcatalog.lixil.co.jp/iportal/CatalogDetail.do?catalogID=15191910000&amp;categoryID=1630000&amp;designID=newinter&amp;method=initial_screen&amp;position=18&amp;type=mc&amp;volumeID=LXL13001</t>
        </is>
      </c>
    </row>
    <row r="653">
      <c r="A653" t="inlineStr">
        <is>
          <t>WG-SL-00650</t>
        </is>
      </c>
      <c r="B653" t="inlineStr">
        <is>
          <t>SZ-SL-001018</t>
        </is>
      </c>
      <c r="C653" t="inlineStr">
        <is>
          <t>WT-SL-MENKOSHI-AGE-FS</t>
        </is>
      </c>
      <c r="D653" t="inlineStr">
        <is>
          <t>SP-SL-AGE-GRILLE-IGETA</t>
        </is>
      </c>
      <c r="E653" t="inlineStr">
        <is>
          <t>06911</t>
        </is>
      </c>
      <c r="F653" t="n">
        <v>0.73</v>
      </c>
      <c r="G653" t="n">
        <v>1.17</v>
      </c>
      <c r="H653" t="inlineStr">
        <is>
          <t>GL-SL-002</t>
        </is>
      </c>
      <c r="I653" t="n">
        <v>7</v>
      </c>
      <c r="J653" t="n">
        <v>9.1</v>
      </c>
      <c r="K653" t="n">
        <v>-0.48</v>
      </c>
      <c r="L653" t="n">
        <v>-0.998</v>
      </c>
      <c r="M653" t="n">
        <v>0.367</v>
      </c>
      <c r="N653">
        <f>ROUND(J653*F653*G653+K653*G653+L653*F653+M653,3)</f>
        <v/>
      </c>
      <c r="O653">
        <f>AND(N653&gt;=1.4,N653&lt;=13)</f>
        <v/>
      </c>
      <c r="P653">
        <f>IF(OR(N653&lt;1.4,N653&gt;13),"",IF(G653*1000&lt;=1170,IF(N653&lt;1.8,"1014",IF(N653&lt;2.9,"1018",IF(N653&lt;3.8,"1029",IF(N653&lt;5,"1038",IF(N653&lt;7,"1050",IF(N653&lt;9,"1070",IF(N653&lt;11,"1090","1110"))))))),IF(G653*1000&lt;=1570,IF(N653&lt;1.8,"",IF(N653&lt;2.9,"2018",IF(N653&lt;3.8,"2029",IF(N653&lt;5,"2038",IF(N653&lt;7,"2050",IF(N653&lt;9,"2070",IF(N653&lt;11,"2090","2110"))))))),IF(G653*1000&lt;=1700,IF(N653&lt;1.8,"",IF(N653&lt;2.9,"3018",IF(N653&lt;3.8,"3029",IF(N653&lt;5,"3038",IF(N653&lt;7,"3050",IF(N653&lt;9,"3070",IF(N653&lt;11,"3090","3110"))))))),""))))</f>
        <v/>
      </c>
      <c r="Q653">
        <f>AND(O653=TRUE,P653&lt;&gt;"")</f>
        <v/>
      </c>
      <c r="R653">
        <f>IF(G653*1000&lt;750,"なし","あり")</f>
        <v/>
      </c>
      <c r="S653">
        <f>IF(AND(O653=TRUE,Q653=TRUE),"設定可","BLOCK")</f>
        <v/>
      </c>
      <c r="T653" t="inlineStr">
        <is>
          <t>商品カタログ P194</t>
        </is>
      </c>
      <c r="U653" t="inlineStr">
        <is>
          <t>https://webcatalog.lixil.co.jp/iportal/CatalogDetail.do?catalogID=15191910000&amp;categoryID=1630000&amp;designID=newinter&amp;method=initial_screen&amp;position=18&amp;type=mc&amp;volumeID=LXL13001</t>
        </is>
      </c>
    </row>
    <row r="654">
      <c r="A654" t="inlineStr">
        <is>
          <t>WG-SL-00651</t>
        </is>
      </c>
      <c r="B654" t="inlineStr">
        <is>
          <t>SZ-SL-001018</t>
        </is>
      </c>
      <c r="C654" t="inlineStr">
        <is>
          <t>WT-SL-MENKOSHI-AGE-FS</t>
        </is>
      </c>
      <c r="D654" t="inlineStr">
        <is>
          <t>SP-SL-AGE-GRILLE-IGETA</t>
        </is>
      </c>
      <c r="E654" t="inlineStr">
        <is>
          <t>06911</t>
        </is>
      </c>
      <c r="F654" t="n">
        <v>0.73</v>
      </c>
      <c r="G654" t="n">
        <v>1.17</v>
      </c>
      <c r="H654" t="inlineStr">
        <is>
          <t>GL-SL-003</t>
        </is>
      </c>
      <c r="I654" t="n">
        <v>8</v>
      </c>
      <c r="J654" t="n">
        <v>10.4</v>
      </c>
      <c r="K654" t="n">
        <v>-0.605</v>
      </c>
      <c r="L654" t="n">
        <v>-1.332</v>
      </c>
      <c r="M654" t="n">
        <v>0.399</v>
      </c>
      <c r="N654">
        <f>ROUND(J654*F654*G654+K654*G654+L654*F654+M654,3)</f>
        <v/>
      </c>
      <c r="O654">
        <f>AND(N654&gt;=1.4,N654&lt;=13)</f>
        <v/>
      </c>
      <c r="P654">
        <f>IF(OR(N654&lt;1.4,N654&gt;13),"",IF(G654*1000&lt;=1170,IF(N654&lt;1.8,"1014",IF(N654&lt;2.9,"1018",IF(N654&lt;3.8,"1029",IF(N654&lt;5,"1038",IF(N654&lt;7,"1050",IF(N654&lt;9,"1070",IF(N654&lt;11,"1090","1110"))))))),IF(G654*1000&lt;=1570,IF(N654&lt;1.8,"",IF(N654&lt;2.9,"2018",IF(N654&lt;3.8,"2029",IF(N654&lt;5,"2038",IF(N654&lt;7,"2050",IF(N654&lt;9,"2070",IF(N654&lt;11,"2090","2110"))))))),IF(G654*1000&lt;=1700,IF(N654&lt;1.8,"",IF(N654&lt;2.9,"3018",IF(N654&lt;3.8,"3029",IF(N654&lt;5,"3038",IF(N654&lt;7,"3050",IF(N654&lt;9,"3070",IF(N654&lt;11,"3090","3110"))))))),""))))</f>
        <v/>
      </c>
      <c r="Q654">
        <f>AND(O654=TRUE,P654&lt;&gt;"")</f>
        <v/>
      </c>
      <c r="R654">
        <f>IF(G654*1000&lt;750,"なし","あり")</f>
        <v/>
      </c>
      <c r="S654">
        <f>IF(AND(O654=TRUE,Q654=TRUE),"設定可","BLOCK")</f>
        <v/>
      </c>
      <c r="T654" t="inlineStr">
        <is>
          <t>商品カタログ P194</t>
        </is>
      </c>
      <c r="U654" t="inlineStr">
        <is>
          <t>https://webcatalog.lixil.co.jp/iportal/CatalogDetail.do?catalogID=15191910000&amp;categoryID=1630000&amp;designID=newinter&amp;method=initial_screen&amp;position=18&amp;type=mc&amp;volumeID=LXL13001</t>
        </is>
      </c>
    </row>
    <row r="655">
      <c r="A655" t="inlineStr">
        <is>
          <t>WG-SL-00652</t>
        </is>
      </c>
      <c r="B655" t="inlineStr">
        <is>
          <t>SZ-SL-001018</t>
        </is>
      </c>
      <c r="C655" t="inlineStr">
        <is>
          <t>WT-SL-MENKOSHI-AGE-FS</t>
        </is>
      </c>
      <c r="D655" t="inlineStr">
        <is>
          <t>SP-SL-AGE-GRILLE-IGETA</t>
        </is>
      </c>
      <c r="E655" t="inlineStr">
        <is>
          <t>06911</t>
        </is>
      </c>
      <c r="F655" t="n">
        <v>0.73</v>
      </c>
      <c r="G655" t="n">
        <v>1.17</v>
      </c>
      <c r="H655" t="inlineStr">
        <is>
          <t>GL-SL-004</t>
        </is>
      </c>
      <c r="I655" t="n">
        <v>6</v>
      </c>
      <c r="J655" t="n">
        <v>7.8</v>
      </c>
      <c r="K655" t="n">
        <v>-0.355</v>
      </c>
      <c r="L655" t="n">
        <v>-0.664</v>
      </c>
      <c r="M655" t="n">
        <v>0.335</v>
      </c>
      <c r="N655">
        <f>ROUND(J655*F655*G655+K655*G655+L655*F655+M655,3)</f>
        <v/>
      </c>
      <c r="O655">
        <f>AND(N655&gt;=1.4,N655&lt;=13)</f>
        <v/>
      </c>
      <c r="P655">
        <f>IF(OR(N655&lt;1.4,N655&gt;13),"",IF(G655*1000&lt;=1170,IF(N655&lt;1.8,"1014",IF(N655&lt;2.9,"1018",IF(N655&lt;3.8,"1029",IF(N655&lt;5,"1038",IF(N655&lt;7,"1050",IF(N655&lt;9,"1070",IF(N655&lt;11,"1090","1110"))))))),IF(G655*1000&lt;=1570,IF(N655&lt;1.8,"",IF(N655&lt;2.9,"2018",IF(N655&lt;3.8,"2029",IF(N655&lt;5,"2038",IF(N655&lt;7,"2050",IF(N655&lt;9,"2070",IF(N655&lt;11,"2090","2110"))))))),IF(G655*1000&lt;=1700,IF(N655&lt;1.8,"",IF(N655&lt;2.9,"3018",IF(N655&lt;3.8,"3029",IF(N655&lt;5,"3038",IF(N655&lt;7,"3050",IF(N655&lt;9,"3070",IF(N655&lt;11,"3090","3110"))))))),""))))</f>
        <v/>
      </c>
      <c r="Q655">
        <f>AND(O655=TRUE,P655&lt;&gt;"")</f>
        <v/>
      </c>
      <c r="R655">
        <f>IF(G655*1000&lt;750,"なし","あり")</f>
        <v/>
      </c>
      <c r="S655">
        <f>IF(AND(O655=TRUE,Q655=TRUE),"設定可","BLOCK")</f>
        <v/>
      </c>
      <c r="T655" t="inlineStr">
        <is>
          <t>商品カタログ P194</t>
        </is>
      </c>
      <c r="U655" t="inlineStr">
        <is>
          <t>https://webcatalog.lixil.co.jp/iportal/CatalogDetail.do?catalogID=15191910000&amp;categoryID=1630000&amp;designID=newinter&amp;method=initial_screen&amp;position=18&amp;type=mc&amp;volumeID=LXL13001</t>
        </is>
      </c>
    </row>
    <row r="656">
      <c r="A656" t="inlineStr">
        <is>
          <t>WG-SL-00653</t>
        </is>
      </c>
      <c r="B656" t="inlineStr">
        <is>
          <t>SZ-SL-001018</t>
        </is>
      </c>
      <c r="C656" t="inlineStr">
        <is>
          <t>WT-SL-MENKOSHI-AGE-FS</t>
        </is>
      </c>
      <c r="D656" t="inlineStr">
        <is>
          <t>SP-SL-AGE-GRILLE-IGETA</t>
        </is>
      </c>
      <c r="E656" t="inlineStr">
        <is>
          <t>06911</t>
        </is>
      </c>
      <c r="F656" t="n">
        <v>0.73</v>
      </c>
      <c r="G656" t="n">
        <v>1.17</v>
      </c>
      <c r="H656" t="inlineStr">
        <is>
          <t>GL-SL-005</t>
        </is>
      </c>
      <c r="I656" t="n">
        <v>7</v>
      </c>
      <c r="J656" t="n">
        <v>9.1</v>
      </c>
      <c r="K656" t="n">
        <v>-0.48</v>
      </c>
      <c r="L656" t="n">
        <v>-0.998</v>
      </c>
      <c r="M656" t="n">
        <v>0.367</v>
      </c>
      <c r="N656">
        <f>ROUND(J656*F656*G656+K656*G656+L656*F656+M656,3)</f>
        <v/>
      </c>
      <c r="O656">
        <f>AND(N656&gt;=1.4,N656&lt;=13)</f>
        <v/>
      </c>
      <c r="P656">
        <f>IF(OR(N656&lt;1.4,N656&gt;13),"",IF(G656*1000&lt;=1170,IF(N656&lt;1.8,"1014",IF(N656&lt;2.9,"1018",IF(N656&lt;3.8,"1029",IF(N656&lt;5,"1038",IF(N656&lt;7,"1050",IF(N656&lt;9,"1070",IF(N656&lt;11,"1090","1110"))))))),IF(G656*1000&lt;=1570,IF(N656&lt;1.8,"",IF(N656&lt;2.9,"2018",IF(N656&lt;3.8,"2029",IF(N656&lt;5,"2038",IF(N656&lt;7,"2050",IF(N656&lt;9,"2070",IF(N656&lt;11,"2090","2110"))))))),IF(G656*1000&lt;=1700,IF(N656&lt;1.8,"",IF(N656&lt;2.9,"3018",IF(N656&lt;3.8,"3029",IF(N656&lt;5,"3038",IF(N656&lt;7,"3050",IF(N656&lt;9,"3070",IF(N656&lt;11,"3090","3110"))))))),""))))</f>
        <v/>
      </c>
      <c r="Q656">
        <f>AND(O656=TRUE,P656&lt;&gt;"")</f>
        <v/>
      </c>
      <c r="R656">
        <f>IF(G656*1000&lt;750,"なし","あり")</f>
        <v/>
      </c>
      <c r="S656">
        <f>IF(AND(O656=TRUE,Q656=TRUE),"設定可","BLOCK")</f>
        <v/>
      </c>
      <c r="T656" t="inlineStr">
        <is>
          <t>商品カタログ P194</t>
        </is>
      </c>
      <c r="U656" t="inlineStr">
        <is>
          <t>https://webcatalog.lixil.co.jp/iportal/CatalogDetail.do?catalogID=15191910000&amp;categoryID=1630000&amp;designID=newinter&amp;method=initial_screen&amp;position=18&amp;type=mc&amp;volumeID=LXL13001</t>
        </is>
      </c>
    </row>
    <row r="657">
      <c r="A657" t="inlineStr">
        <is>
          <t>WG-SL-00654</t>
        </is>
      </c>
      <c r="B657" t="inlineStr">
        <is>
          <t>SZ-SL-001018</t>
        </is>
      </c>
      <c r="C657" t="inlineStr">
        <is>
          <t>WT-SL-MENKOSHI-AGE-FS</t>
        </is>
      </c>
      <c r="D657" t="inlineStr">
        <is>
          <t>SP-SL-AGE-GRILLE-IGETA</t>
        </is>
      </c>
      <c r="E657" t="inlineStr">
        <is>
          <t>06911</t>
        </is>
      </c>
      <c r="F657" t="n">
        <v>0.73</v>
      </c>
      <c r="G657" t="n">
        <v>1.17</v>
      </c>
      <c r="H657" t="inlineStr">
        <is>
          <t>GL-SL-006</t>
        </is>
      </c>
      <c r="I657" t="n">
        <v>8</v>
      </c>
      <c r="J657" t="n">
        <v>10.4</v>
      </c>
      <c r="K657" t="n">
        <v>-0.605</v>
      </c>
      <c r="L657" t="n">
        <v>-1.332</v>
      </c>
      <c r="M657" t="n">
        <v>0.399</v>
      </c>
      <c r="N657">
        <f>ROUND(J657*F657*G657+K657*G657+L657*F657+M657,3)</f>
        <v/>
      </c>
      <c r="O657">
        <f>AND(N657&gt;=1.4,N657&lt;=13)</f>
        <v/>
      </c>
      <c r="P657">
        <f>IF(OR(N657&lt;1.4,N657&gt;13),"",IF(G657*1000&lt;=1170,IF(N657&lt;1.8,"1014",IF(N657&lt;2.9,"1018",IF(N657&lt;3.8,"1029",IF(N657&lt;5,"1038",IF(N657&lt;7,"1050",IF(N657&lt;9,"1070",IF(N657&lt;11,"1090","1110"))))))),IF(G657*1000&lt;=1570,IF(N657&lt;1.8,"",IF(N657&lt;2.9,"2018",IF(N657&lt;3.8,"2029",IF(N657&lt;5,"2038",IF(N657&lt;7,"2050",IF(N657&lt;9,"2070",IF(N657&lt;11,"2090","2110"))))))),IF(G657*1000&lt;=1700,IF(N657&lt;1.8,"",IF(N657&lt;2.9,"3018",IF(N657&lt;3.8,"3029",IF(N657&lt;5,"3038",IF(N657&lt;7,"3050",IF(N657&lt;9,"3070",IF(N657&lt;11,"3090","3110"))))))),""))))</f>
        <v/>
      </c>
      <c r="Q657">
        <f>AND(O657=TRUE,P657&lt;&gt;"")</f>
        <v/>
      </c>
      <c r="R657">
        <f>IF(G657*1000&lt;750,"なし","あり")</f>
        <v/>
      </c>
      <c r="S657">
        <f>IF(AND(O657=TRUE,Q657=TRUE),"設定可","BLOCK")</f>
        <v/>
      </c>
      <c r="T657" t="inlineStr">
        <is>
          <t>商品カタログ P194</t>
        </is>
      </c>
      <c r="U657" t="inlineStr">
        <is>
          <t>https://webcatalog.lixil.co.jp/iportal/CatalogDetail.do?catalogID=15191910000&amp;categoryID=1630000&amp;designID=newinter&amp;method=initial_screen&amp;position=18&amp;type=mc&amp;volumeID=LXL13001</t>
        </is>
      </c>
    </row>
    <row r="658">
      <c r="A658" t="inlineStr">
        <is>
          <t>WG-SL-00655</t>
        </is>
      </c>
      <c r="B658" t="inlineStr">
        <is>
          <t>SZ-SL-001018</t>
        </is>
      </c>
      <c r="C658" t="inlineStr">
        <is>
          <t>WT-SL-MENKOSHI-AGE-FS</t>
        </is>
      </c>
      <c r="D658" t="inlineStr">
        <is>
          <t>SP-SL-AGE-GRILLE-IGETA</t>
        </is>
      </c>
      <c r="E658" t="inlineStr">
        <is>
          <t>06911</t>
        </is>
      </c>
      <c r="F658" t="n">
        <v>0.73</v>
      </c>
      <c r="G658" t="n">
        <v>1.17</v>
      </c>
      <c r="H658" t="inlineStr">
        <is>
          <t>GL-SL-007</t>
        </is>
      </c>
      <c r="I658" t="n">
        <v>6</v>
      </c>
      <c r="J658" t="n">
        <v>7.8</v>
      </c>
      <c r="K658" t="n">
        <v>-0.355</v>
      </c>
      <c r="L658" t="n">
        <v>-0.664</v>
      </c>
      <c r="M658" t="n">
        <v>0.335</v>
      </c>
      <c r="N658">
        <f>ROUND(J658*F658*G658+K658*G658+L658*F658+M658,3)</f>
        <v/>
      </c>
      <c r="O658">
        <f>AND(N658&gt;=1.4,N658&lt;=13)</f>
        <v/>
      </c>
      <c r="P658">
        <f>IF(OR(N658&lt;1.4,N658&gt;13),"",IF(G658*1000&lt;=1170,IF(N658&lt;1.8,"1014",IF(N658&lt;2.9,"1018",IF(N658&lt;3.8,"1029",IF(N658&lt;5,"1038",IF(N658&lt;7,"1050",IF(N658&lt;9,"1070",IF(N658&lt;11,"1090","1110"))))))),IF(G658*1000&lt;=1570,IF(N658&lt;1.8,"",IF(N658&lt;2.9,"2018",IF(N658&lt;3.8,"2029",IF(N658&lt;5,"2038",IF(N658&lt;7,"2050",IF(N658&lt;9,"2070",IF(N658&lt;11,"2090","2110"))))))),IF(G658*1000&lt;=1700,IF(N658&lt;1.8,"",IF(N658&lt;2.9,"3018",IF(N658&lt;3.8,"3029",IF(N658&lt;5,"3038",IF(N658&lt;7,"3050",IF(N658&lt;9,"3070",IF(N658&lt;11,"3090","3110"))))))),""))))</f>
        <v/>
      </c>
      <c r="Q658">
        <f>AND(O658=TRUE,P658&lt;&gt;"")</f>
        <v/>
      </c>
      <c r="R658">
        <f>IF(G658*1000&lt;750,"なし","あり")</f>
        <v/>
      </c>
      <c r="S658">
        <f>IF(AND(O658=TRUE,Q658=TRUE),"設定可","BLOCK")</f>
        <v/>
      </c>
      <c r="T658" t="inlineStr">
        <is>
          <t>商品カタログ P194</t>
        </is>
      </c>
      <c r="U658" t="inlineStr">
        <is>
          <t>https://webcatalog.lixil.co.jp/iportal/CatalogDetail.do?catalogID=15191910000&amp;categoryID=1630000&amp;designID=newinter&amp;method=initial_screen&amp;position=18&amp;type=mc&amp;volumeID=LXL13001</t>
        </is>
      </c>
    </row>
    <row r="659">
      <c r="A659" t="inlineStr">
        <is>
          <t>WG-SL-00656</t>
        </is>
      </c>
      <c r="B659" t="inlineStr">
        <is>
          <t>SZ-SL-001018</t>
        </is>
      </c>
      <c r="C659" t="inlineStr">
        <is>
          <t>WT-SL-MENKOSHI-AGE-FS</t>
        </is>
      </c>
      <c r="D659" t="inlineStr">
        <is>
          <t>SP-SL-AGE-GRILLE-IGETA</t>
        </is>
      </c>
      <c r="E659" t="inlineStr">
        <is>
          <t>06911</t>
        </is>
      </c>
      <c r="F659" t="n">
        <v>0.73</v>
      </c>
      <c r="G659" t="n">
        <v>1.17</v>
      </c>
      <c r="H659" t="inlineStr">
        <is>
          <t>GL-SL-008</t>
        </is>
      </c>
      <c r="I659" t="n">
        <v>7</v>
      </c>
      <c r="J659" t="n">
        <v>9.1</v>
      </c>
      <c r="K659" t="n">
        <v>-0.48</v>
      </c>
      <c r="L659" t="n">
        <v>-0.998</v>
      </c>
      <c r="M659" t="n">
        <v>0.367</v>
      </c>
      <c r="N659">
        <f>ROUND(J659*F659*G659+K659*G659+L659*F659+M659,3)</f>
        <v/>
      </c>
      <c r="O659">
        <f>AND(N659&gt;=1.4,N659&lt;=13)</f>
        <v/>
      </c>
      <c r="P659">
        <f>IF(OR(N659&lt;1.4,N659&gt;13),"",IF(G659*1000&lt;=1170,IF(N659&lt;1.8,"1014",IF(N659&lt;2.9,"1018",IF(N659&lt;3.8,"1029",IF(N659&lt;5,"1038",IF(N659&lt;7,"1050",IF(N659&lt;9,"1070",IF(N659&lt;11,"1090","1110"))))))),IF(G659*1000&lt;=1570,IF(N659&lt;1.8,"",IF(N659&lt;2.9,"2018",IF(N659&lt;3.8,"2029",IF(N659&lt;5,"2038",IF(N659&lt;7,"2050",IF(N659&lt;9,"2070",IF(N659&lt;11,"2090","2110"))))))),IF(G659*1000&lt;=1700,IF(N659&lt;1.8,"",IF(N659&lt;2.9,"3018",IF(N659&lt;3.8,"3029",IF(N659&lt;5,"3038",IF(N659&lt;7,"3050",IF(N659&lt;9,"3070",IF(N659&lt;11,"3090","3110"))))))),""))))</f>
        <v/>
      </c>
      <c r="Q659">
        <f>AND(O659=TRUE,P659&lt;&gt;"")</f>
        <v/>
      </c>
      <c r="R659">
        <f>IF(G659*1000&lt;750,"なし","あり")</f>
        <v/>
      </c>
      <c r="S659">
        <f>IF(AND(O659=TRUE,Q659=TRUE),"設定可","BLOCK")</f>
        <v/>
      </c>
      <c r="T659" t="inlineStr">
        <is>
          <t>商品カタログ P194</t>
        </is>
      </c>
      <c r="U659" t="inlineStr">
        <is>
          <t>https://webcatalog.lixil.co.jp/iportal/CatalogDetail.do?catalogID=15191910000&amp;categoryID=1630000&amp;designID=newinter&amp;method=initial_screen&amp;position=18&amp;type=mc&amp;volumeID=LXL13001</t>
        </is>
      </c>
    </row>
    <row r="660">
      <c r="A660" t="inlineStr">
        <is>
          <t>WG-SL-00657</t>
        </is>
      </c>
      <c r="B660" t="inlineStr">
        <is>
          <t>SZ-SL-001018</t>
        </is>
      </c>
      <c r="C660" t="inlineStr">
        <is>
          <t>WT-SL-MENKOSHI-AGE-FS</t>
        </is>
      </c>
      <c r="D660" t="inlineStr">
        <is>
          <t>SP-SL-AGE-GRILLE-IGETA</t>
        </is>
      </c>
      <c r="E660" t="inlineStr">
        <is>
          <t>06911</t>
        </is>
      </c>
      <c r="F660" t="n">
        <v>0.73</v>
      </c>
      <c r="G660" t="n">
        <v>1.17</v>
      </c>
      <c r="H660" t="inlineStr">
        <is>
          <t>GL-SL-009</t>
        </is>
      </c>
      <c r="I660" t="n">
        <v>8</v>
      </c>
      <c r="J660" t="n">
        <v>10.4</v>
      </c>
      <c r="K660" t="n">
        <v>-0.605</v>
      </c>
      <c r="L660" t="n">
        <v>-1.332</v>
      </c>
      <c r="M660" t="n">
        <v>0.399</v>
      </c>
      <c r="N660">
        <f>ROUND(J660*F660*G660+K660*G660+L660*F660+M660,3)</f>
        <v/>
      </c>
      <c r="O660">
        <f>AND(N660&gt;=1.4,N660&lt;=13)</f>
        <v/>
      </c>
      <c r="P660">
        <f>IF(OR(N660&lt;1.4,N660&gt;13),"",IF(G660*1000&lt;=1170,IF(N660&lt;1.8,"1014",IF(N660&lt;2.9,"1018",IF(N660&lt;3.8,"1029",IF(N660&lt;5,"1038",IF(N660&lt;7,"1050",IF(N660&lt;9,"1070",IF(N660&lt;11,"1090","1110"))))))),IF(G660*1000&lt;=1570,IF(N660&lt;1.8,"",IF(N660&lt;2.9,"2018",IF(N660&lt;3.8,"2029",IF(N660&lt;5,"2038",IF(N660&lt;7,"2050",IF(N660&lt;9,"2070",IF(N660&lt;11,"2090","2110"))))))),IF(G660*1000&lt;=1700,IF(N660&lt;1.8,"",IF(N660&lt;2.9,"3018",IF(N660&lt;3.8,"3029",IF(N660&lt;5,"3038",IF(N660&lt;7,"3050",IF(N660&lt;9,"3070",IF(N660&lt;11,"3090","3110"))))))),""))))</f>
        <v/>
      </c>
      <c r="Q660">
        <f>AND(O660=TRUE,P660&lt;&gt;"")</f>
        <v/>
      </c>
      <c r="R660">
        <f>IF(G660*1000&lt;750,"なし","あり")</f>
        <v/>
      </c>
      <c r="S660">
        <f>IF(AND(O660=TRUE,Q660=TRUE),"設定可","BLOCK")</f>
        <v/>
      </c>
      <c r="T660" t="inlineStr">
        <is>
          <t>商品カタログ P194</t>
        </is>
      </c>
      <c r="U660" t="inlineStr">
        <is>
          <t>https://webcatalog.lixil.co.jp/iportal/CatalogDetail.do?catalogID=15191910000&amp;categoryID=1630000&amp;designID=newinter&amp;method=initial_screen&amp;position=18&amp;type=mc&amp;volumeID=LXL13001</t>
        </is>
      </c>
    </row>
    <row r="661">
      <c r="A661" t="inlineStr">
        <is>
          <t>WG-SL-00658</t>
        </is>
      </c>
      <c r="B661" t="inlineStr">
        <is>
          <t>SZ-SL-001019</t>
        </is>
      </c>
      <c r="C661" t="inlineStr">
        <is>
          <t>WT-SL-MENKOSHI-AGE-FS</t>
        </is>
      </c>
      <c r="D661" t="inlineStr">
        <is>
          <t>SP-SL-AGE-GRILLE-IGETA</t>
        </is>
      </c>
      <c r="E661" t="inlineStr">
        <is>
          <t>07411</t>
        </is>
      </c>
      <c r="F661" t="n">
        <v>0.78</v>
      </c>
      <c r="G661" t="n">
        <v>1.17</v>
      </c>
      <c r="H661" t="inlineStr">
        <is>
          <t>GL-SL-001</t>
        </is>
      </c>
      <c r="I661" t="n">
        <v>6</v>
      </c>
      <c r="J661" t="n">
        <v>7.8</v>
      </c>
      <c r="K661" t="n">
        <v>-0.355</v>
      </c>
      <c r="L661" t="n">
        <v>-0.664</v>
      </c>
      <c r="M661" t="n">
        <v>0.335</v>
      </c>
      <c r="N661">
        <f>ROUND(J661*F661*G661+K661*G661+L661*F661+M661,3)</f>
        <v/>
      </c>
      <c r="O661">
        <f>AND(N661&gt;=1.4,N661&lt;=13)</f>
        <v/>
      </c>
      <c r="P661">
        <f>IF(OR(N661&lt;1.4,N661&gt;13),"",IF(G661*1000&lt;=1170,IF(N661&lt;1.8,"1014",IF(N661&lt;2.9,"1018",IF(N661&lt;3.8,"1029",IF(N661&lt;5,"1038",IF(N661&lt;7,"1050",IF(N661&lt;9,"1070",IF(N661&lt;11,"1090","1110"))))))),IF(G661*1000&lt;=1570,IF(N661&lt;1.8,"",IF(N661&lt;2.9,"2018",IF(N661&lt;3.8,"2029",IF(N661&lt;5,"2038",IF(N661&lt;7,"2050",IF(N661&lt;9,"2070",IF(N661&lt;11,"2090","2110"))))))),IF(G661*1000&lt;=1700,IF(N661&lt;1.8,"",IF(N661&lt;2.9,"3018",IF(N661&lt;3.8,"3029",IF(N661&lt;5,"3038",IF(N661&lt;7,"3050",IF(N661&lt;9,"3070",IF(N661&lt;11,"3090","3110"))))))),""))))</f>
        <v/>
      </c>
      <c r="Q661">
        <f>AND(O661=TRUE,P661&lt;&gt;"")</f>
        <v/>
      </c>
      <c r="R661">
        <f>IF(G661*1000&lt;750,"なし","あり")</f>
        <v/>
      </c>
      <c r="S661">
        <f>IF(AND(O661=TRUE,Q661=TRUE),"設定可","BLOCK")</f>
        <v/>
      </c>
      <c r="T661" t="inlineStr">
        <is>
          <t>商品カタログ P194</t>
        </is>
      </c>
      <c r="U661" t="inlineStr">
        <is>
          <t>https://webcatalog.lixil.co.jp/iportal/CatalogDetail.do?catalogID=15191910000&amp;categoryID=1630000&amp;designID=newinter&amp;method=initial_screen&amp;position=18&amp;type=mc&amp;volumeID=LXL13001</t>
        </is>
      </c>
    </row>
    <row r="662">
      <c r="A662" t="inlineStr">
        <is>
          <t>WG-SL-00659</t>
        </is>
      </c>
      <c r="B662" t="inlineStr">
        <is>
          <t>SZ-SL-001019</t>
        </is>
      </c>
      <c r="C662" t="inlineStr">
        <is>
          <t>WT-SL-MENKOSHI-AGE-FS</t>
        </is>
      </c>
      <c r="D662" t="inlineStr">
        <is>
          <t>SP-SL-AGE-GRILLE-IGETA</t>
        </is>
      </c>
      <c r="E662" t="inlineStr">
        <is>
          <t>07411</t>
        </is>
      </c>
      <c r="F662" t="n">
        <v>0.78</v>
      </c>
      <c r="G662" t="n">
        <v>1.17</v>
      </c>
      <c r="H662" t="inlineStr">
        <is>
          <t>GL-SL-002</t>
        </is>
      </c>
      <c r="I662" t="n">
        <v>7</v>
      </c>
      <c r="J662" t="n">
        <v>9.1</v>
      </c>
      <c r="K662" t="n">
        <v>-0.48</v>
      </c>
      <c r="L662" t="n">
        <v>-0.998</v>
      </c>
      <c r="M662" t="n">
        <v>0.367</v>
      </c>
      <c r="N662">
        <f>ROUND(J662*F662*G662+K662*G662+L662*F662+M662,3)</f>
        <v/>
      </c>
      <c r="O662">
        <f>AND(N662&gt;=1.4,N662&lt;=13)</f>
        <v/>
      </c>
      <c r="P662">
        <f>IF(OR(N662&lt;1.4,N662&gt;13),"",IF(G662*1000&lt;=1170,IF(N662&lt;1.8,"1014",IF(N662&lt;2.9,"1018",IF(N662&lt;3.8,"1029",IF(N662&lt;5,"1038",IF(N662&lt;7,"1050",IF(N662&lt;9,"1070",IF(N662&lt;11,"1090","1110"))))))),IF(G662*1000&lt;=1570,IF(N662&lt;1.8,"",IF(N662&lt;2.9,"2018",IF(N662&lt;3.8,"2029",IF(N662&lt;5,"2038",IF(N662&lt;7,"2050",IF(N662&lt;9,"2070",IF(N662&lt;11,"2090","2110"))))))),IF(G662*1000&lt;=1700,IF(N662&lt;1.8,"",IF(N662&lt;2.9,"3018",IF(N662&lt;3.8,"3029",IF(N662&lt;5,"3038",IF(N662&lt;7,"3050",IF(N662&lt;9,"3070",IF(N662&lt;11,"3090","3110"))))))),""))))</f>
        <v/>
      </c>
      <c r="Q662">
        <f>AND(O662=TRUE,P662&lt;&gt;"")</f>
        <v/>
      </c>
      <c r="R662">
        <f>IF(G662*1000&lt;750,"なし","あり")</f>
        <v/>
      </c>
      <c r="S662">
        <f>IF(AND(O662=TRUE,Q662=TRUE),"設定可","BLOCK")</f>
        <v/>
      </c>
      <c r="T662" t="inlineStr">
        <is>
          <t>商品カタログ P194</t>
        </is>
      </c>
      <c r="U662" t="inlineStr">
        <is>
          <t>https://webcatalog.lixil.co.jp/iportal/CatalogDetail.do?catalogID=15191910000&amp;categoryID=1630000&amp;designID=newinter&amp;method=initial_screen&amp;position=18&amp;type=mc&amp;volumeID=LXL13001</t>
        </is>
      </c>
    </row>
    <row r="663">
      <c r="A663" t="inlineStr">
        <is>
          <t>WG-SL-00660</t>
        </is>
      </c>
      <c r="B663" t="inlineStr">
        <is>
          <t>SZ-SL-001019</t>
        </is>
      </c>
      <c r="C663" t="inlineStr">
        <is>
          <t>WT-SL-MENKOSHI-AGE-FS</t>
        </is>
      </c>
      <c r="D663" t="inlineStr">
        <is>
          <t>SP-SL-AGE-GRILLE-IGETA</t>
        </is>
      </c>
      <c r="E663" t="inlineStr">
        <is>
          <t>07411</t>
        </is>
      </c>
      <c r="F663" t="n">
        <v>0.78</v>
      </c>
      <c r="G663" t="n">
        <v>1.17</v>
      </c>
      <c r="H663" t="inlineStr">
        <is>
          <t>GL-SL-003</t>
        </is>
      </c>
      <c r="I663" t="n">
        <v>8</v>
      </c>
      <c r="J663" t="n">
        <v>10.4</v>
      </c>
      <c r="K663" t="n">
        <v>-0.605</v>
      </c>
      <c r="L663" t="n">
        <v>-1.332</v>
      </c>
      <c r="M663" t="n">
        <v>0.399</v>
      </c>
      <c r="N663">
        <f>ROUND(J663*F663*G663+K663*G663+L663*F663+M663,3)</f>
        <v/>
      </c>
      <c r="O663">
        <f>AND(N663&gt;=1.4,N663&lt;=13)</f>
        <v/>
      </c>
      <c r="P663">
        <f>IF(OR(N663&lt;1.4,N663&gt;13),"",IF(G663*1000&lt;=1170,IF(N663&lt;1.8,"1014",IF(N663&lt;2.9,"1018",IF(N663&lt;3.8,"1029",IF(N663&lt;5,"1038",IF(N663&lt;7,"1050",IF(N663&lt;9,"1070",IF(N663&lt;11,"1090","1110"))))))),IF(G663*1000&lt;=1570,IF(N663&lt;1.8,"",IF(N663&lt;2.9,"2018",IF(N663&lt;3.8,"2029",IF(N663&lt;5,"2038",IF(N663&lt;7,"2050",IF(N663&lt;9,"2070",IF(N663&lt;11,"2090","2110"))))))),IF(G663*1000&lt;=1700,IF(N663&lt;1.8,"",IF(N663&lt;2.9,"3018",IF(N663&lt;3.8,"3029",IF(N663&lt;5,"3038",IF(N663&lt;7,"3050",IF(N663&lt;9,"3070",IF(N663&lt;11,"3090","3110"))))))),""))))</f>
        <v/>
      </c>
      <c r="Q663">
        <f>AND(O663=TRUE,P663&lt;&gt;"")</f>
        <v/>
      </c>
      <c r="R663">
        <f>IF(G663*1000&lt;750,"なし","あり")</f>
        <v/>
      </c>
      <c r="S663">
        <f>IF(AND(O663=TRUE,Q663=TRUE),"設定可","BLOCK")</f>
        <v/>
      </c>
      <c r="T663" t="inlineStr">
        <is>
          <t>商品カタログ P194</t>
        </is>
      </c>
      <c r="U663" t="inlineStr">
        <is>
          <t>https://webcatalog.lixil.co.jp/iportal/CatalogDetail.do?catalogID=15191910000&amp;categoryID=1630000&amp;designID=newinter&amp;method=initial_screen&amp;position=18&amp;type=mc&amp;volumeID=LXL13001</t>
        </is>
      </c>
    </row>
    <row r="664">
      <c r="A664" t="inlineStr">
        <is>
          <t>WG-SL-00661</t>
        </is>
      </c>
      <c r="B664" t="inlineStr">
        <is>
          <t>SZ-SL-001019</t>
        </is>
      </c>
      <c r="C664" t="inlineStr">
        <is>
          <t>WT-SL-MENKOSHI-AGE-FS</t>
        </is>
      </c>
      <c r="D664" t="inlineStr">
        <is>
          <t>SP-SL-AGE-GRILLE-IGETA</t>
        </is>
      </c>
      <c r="E664" t="inlineStr">
        <is>
          <t>07411</t>
        </is>
      </c>
      <c r="F664" t="n">
        <v>0.78</v>
      </c>
      <c r="G664" t="n">
        <v>1.17</v>
      </c>
      <c r="H664" t="inlineStr">
        <is>
          <t>GL-SL-004</t>
        </is>
      </c>
      <c r="I664" t="n">
        <v>6</v>
      </c>
      <c r="J664" t="n">
        <v>7.8</v>
      </c>
      <c r="K664" t="n">
        <v>-0.355</v>
      </c>
      <c r="L664" t="n">
        <v>-0.664</v>
      </c>
      <c r="M664" t="n">
        <v>0.335</v>
      </c>
      <c r="N664">
        <f>ROUND(J664*F664*G664+K664*G664+L664*F664+M664,3)</f>
        <v/>
      </c>
      <c r="O664">
        <f>AND(N664&gt;=1.4,N664&lt;=13)</f>
        <v/>
      </c>
      <c r="P664">
        <f>IF(OR(N664&lt;1.4,N664&gt;13),"",IF(G664*1000&lt;=1170,IF(N664&lt;1.8,"1014",IF(N664&lt;2.9,"1018",IF(N664&lt;3.8,"1029",IF(N664&lt;5,"1038",IF(N664&lt;7,"1050",IF(N664&lt;9,"1070",IF(N664&lt;11,"1090","1110"))))))),IF(G664*1000&lt;=1570,IF(N664&lt;1.8,"",IF(N664&lt;2.9,"2018",IF(N664&lt;3.8,"2029",IF(N664&lt;5,"2038",IF(N664&lt;7,"2050",IF(N664&lt;9,"2070",IF(N664&lt;11,"2090","2110"))))))),IF(G664*1000&lt;=1700,IF(N664&lt;1.8,"",IF(N664&lt;2.9,"3018",IF(N664&lt;3.8,"3029",IF(N664&lt;5,"3038",IF(N664&lt;7,"3050",IF(N664&lt;9,"3070",IF(N664&lt;11,"3090","3110"))))))),""))))</f>
        <v/>
      </c>
      <c r="Q664">
        <f>AND(O664=TRUE,P664&lt;&gt;"")</f>
        <v/>
      </c>
      <c r="R664">
        <f>IF(G664*1000&lt;750,"なし","あり")</f>
        <v/>
      </c>
      <c r="S664">
        <f>IF(AND(O664=TRUE,Q664=TRUE),"設定可","BLOCK")</f>
        <v/>
      </c>
      <c r="T664" t="inlineStr">
        <is>
          <t>商品カタログ P194</t>
        </is>
      </c>
      <c r="U664" t="inlineStr">
        <is>
          <t>https://webcatalog.lixil.co.jp/iportal/CatalogDetail.do?catalogID=15191910000&amp;categoryID=1630000&amp;designID=newinter&amp;method=initial_screen&amp;position=18&amp;type=mc&amp;volumeID=LXL13001</t>
        </is>
      </c>
    </row>
    <row r="665">
      <c r="A665" t="inlineStr">
        <is>
          <t>WG-SL-00662</t>
        </is>
      </c>
      <c r="B665" t="inlineStr">
        <is>
          <t>SZ-SL-001019</t>
        </is>
      </c>
      <c r="C665" t="inlineStr">
        <is>
          <t>WT-SL-MENKOSHI-AGE-FS</t>
        </is>
      </c>
      <c r="D665" t="inlineStr">
        <is>
          <t>SP-SL-AGE-GRILLE-IGETA</t>
        </is>
      </c>
      <c r="E665" t="inlineStr">
        <is>
          <t>07411</t>
        </is>
      </c>
      <c r="F665" t="n">
        <v>0.78</v>
      </c>
      <c r="G665" t="n">
        <v>1.17</v>
      </c>
      <c r="H665" t="inlineStr">
        <is>
          <t>GL-SL-005</t>
        </is>
      </c>
      <c r="I665" t="n">
        <v>7</v>
      </c>
      <c r="J665" t="n">
        <v>9.1</v>
      </c>
      <c r="K665" t="n">
        <v>-0.48</v>
      </c>
      <c r="L665" t="n">
        <v>-0.998</v>
      </c>
      <c r="M665" t="n">
        <v>0.367</v>
      </c>
      <c r="N665">
        <f>ROUND(J665*F665*G665+K665*G665+L665*F665+M665,3)</f>
        <v/>
      </c>
      <c r="O665">
        <f>AND(N665&gt;=1.4,N665&lt;=13)</f>
        <v/>
      </c>
      <c r="P665">
        <f>IF(OR(N665&lt;1.4,N665&gt;13),"",IF(G665*1000&lt;=1170,IF(N665&lt;1.8,"1014",IF(N665&lt;2.9,"1018",IF(N665&lt;3.8,"1029",IF(N665&lt;5,"1038",IF(N665&lt;7,"1050",IF(N665&lt;9,"1070",IF(N665&lt;11,"1090","1110"))))))),IF(G665*1000&lt;=1570,IF(N665&lt;1.8,"",IF(N665&lt;2.9,"2018",IF(N665&lt;3.8,"2029",IF(N665&lt;5,"2038",IF(N665&lt;7,"2050",IF(N665&lt;9,"2070",IF(N665&lt;11,"2090","2110"))))))),IF(G665*1000&lt;=1700,IF(N665&lt;1.8,"",IF(N665&lt;2.9,"3018",IF(N665&lt;3.8,"3029",IF(N665&lt;5,"3038",IF(N665&lt;7,"3050",IF(N665&lt;9,"3070",IF(N665&lt;11,"3090","3110"))))))),""))))</f>
        <v/>
      </c>
      <c r="Q665">
        <f>AND(O665=TRUE,P665&lt;&gt;"")</f>
        <v/>
      </c>
      <c r="R665">
        <f>IF(G665*1000&lt;750,"なし","あり")</f>
        <v/>
      </c>
      <c r="S665">
        <f>IF(AND(O665=TRUE,Q665=TRUE),"設定可","BLOCK")</f>
        <v/>
      </c>
      <c r="T665" t="inlineStr">
        <is>
          <t>商品カタログ P194</t>
        </is>
      </c>
      <c r="U665" t="inlineStr">
        <is>
          <t>https://webcatalog.lixil.co.jp/iportal/CatalogDetail.do?catalogID=15191910000&amp;categoryID=1630000&amp;designID=newinter&amp;method=initial_screen&amp;position=18&amp;type=mc&amp;volumeID=LXL13001</t>
        </is>
      </c>
    </row>
    <row r="666">
      <c r="A666" t="inlineStr">
        <is>
          <t>WG-SL-00663</t>
        </is>
      </c>
      <c r="B666" t="inlineStr">
        <is>
          <t>SZ-SL-001019</t>
        </is>
      </c>
      <c r="C666" t="inlineStr">
        <is>
          <t>WT-SL-MENKOSHI-AGE-FS</t>
        </is>
      </c>
      <c r="D666" t="inlineStr">
        <is>
          <t>SP-SL-AGE-GRILLE-IGETA</t>
        </is>
      </c>
      <c r="E666" t="inlineStr">
        <is>
          <t>07411</t>
        </is>
      </c>
      <c r="F666" t="n">
        <v>0.78</v>
      </c>
      <c r="G666" t="n">
        <v>1.17</v>
      </c>
      <c r="H666" t="inlineStr">
        <is>
          <t>GL-SL-006</t>
        </is>
      </c>
      <c r="I666" t="n">
        <v>8</v>
      </c>
      <c r="J666" t="n">
        <v>10.4</v>
      </c>
      <c r="K666" t="n">
        <v>-0.605</v>
      </c>
      <c r="L666" t="n">
        <v>-1.332</v>
      </c>
      <c r="M666" t="n">
        <v>0.399</v>
      </c>
      <c r="N666">
        <f>ROUND(J666*F666*G666+K666*G666+L666*F666+M666,3)</f>
        <v/>
      </c>
      <c r="O666">
        <f>AND(N666&gt;=1.4,N666&lt;=13)</f>
        <v/>
      </c>
      <c r="P666">
        <f>IF(OR(N666&lt;1.4,N666&gt;13),"",IF(G666*1000&lt;=1170,IF(N666&lt;1.8,"1014",IF(N666&lt;2.9,"1018",IF(N666&lt;3.8,"1029",IF(N666&lt;5,"1038",IF(N666&lt;7,"1050",IF(N666&lt;9,"1070",IF(N666&lt;11,"1090","1110"))))))),IF(G666*1000&lt;=1570,IF(N666&lt;1.8,"",IF(N666&lt;2.9,"2018",IF(N666&lt;3.8,"2029",IF(N666&lt;5,"2038",IF(N666&lt;7,"2050",IF(N666&lt;9,"2070",IF(N666&lt;11,"2090","2110"))))))),IF(G666*1000&lt;=1700,IF(N666&lt;1.8,"",IF(N666&lt;2.9,"3018",IF(N666&lt;3.8,"3029",IF(N666&lt;5,"3038",IF(N666&lt;7,"3050",IF(N666&lt;9,"3070",IF(N666&lt;11,"3090","3110"))))))),""))))</f>
        <v/>
      </c>
      <c r="Q666">
        <f>AND(O666=TRUE,P666&lt;&gt;"")</f>
        <v/>
      </c>
      <c r="R666">
        <f>IF(G666*1000&lt;750,"なし","あり")</f>
        <v/>
      </c>
      <c r="S666">
        <f>IF(AND(O666=TRUE,Q666=TRUE),"設定可","BLOCK")</f>
        <v/>
      </c>
      <c r="T666" t="inlineStr">
        <is>
          <t>商品カタログ P194</t>
        </is>
      </c>
      <c r="U666" t="inlineStr">
        <is>
          <t>https://webcatalog.lixil.co.jp/iportal/CatalogDetail.do?catalogID=15191910000&amp;categoryID=1630000&amp;designID=newinter&amp;method=initial_screen&amp;position=18&amp;type=mc&amp;volumeID=LXL13001</t>
        </is>
      </c>
    </row>
    <row r="667">
      <c r="A667" t="inlineStr">
        <is>
          <t>WG-SL-00664</t>
        </is>
      </c>
      <c r="B667" t="inlineStr">
        <is>
          <t>SZ-SL-001019</t>
        </is>
      </c>
      <c r="C667" t="inlineStr">
        <is>
          <t>WT-SL-MENKOSHI-AGE-FS</t>
        </is>
      </c>
      <c r="D667" t="inlineStr">
        <is>
          <t>SP-SL-AGE-GRILLE-IGETA</t>
        </is>
      </c>
      <c r="E667" t="inlineStr">
        <is>
          <t>07411</t>
        </is>
      </c>
      <c r="F667" t="n">
        <v>0.78</v>
      </c>
      <c r="G667" t="n">
        <v>1.17</v>
      </c>
      <c r="H667" t="inlineStr">
        <is>
          <t>GL-SL-007</t>
        </is>
      </c>
      <c r="I667" t="n">
        <v>6</v>
      </c>
      <c r="J667" t="n">
        <v>7.8</v>
      </c>
      <c r="K667" t="n">
        <v>-0.355</v>
      </c>
      <c r="L667" t="n">
        <v>-0.664</v>
      </c>
      <c r="M667" t="n">
        <v>0.335</v>
      </c>
      <c r="N667">
        <f>ROUND(J667*F667*G667+K667*G667+L667*F667+M667,3)</f>
        <v/>
      </c>
      <c r="O667">
        <f>AND(N667&gt;=1.4,N667&lt;=13)</f>
        <v/>
      </c>
      <c r="P667">
        <f>IF(OR(N667&lt;1.4,N667&gt;13),"",IF(G667*1000&lt;=1170,IF(N667&lt;1.8,"1014",IF(N667&lt;2.9,"1018",IF(N667&lt;3.8,"1029",IF(N667&lt;5,"1038",IF(N667&lt;7,"1050",IF(N667&lt;9,"1070",IF(N667&lt;11,"1090","1110"))))))),IF(G667*1000&lt;=1570,IF(N667&lt;1.8,"",IF(N667&lt;2.9,"2018",IF(N667&lt;3.8,"2029",IF(N667&lt;5,"2038",IF(N667&lt;7,"2050",IF(N667&lt;9,"2070",IF(N667&lt;11,"2090","2110"))))))),IF(G667*1000&lt;=1700,IF(N667&lt;1.8,"",IF(N667&lt;2.9,"3018",IF(N667&lt;3.8,"3029",IF(N667&lt;5,"3038",IF(N667&lt;7,"3050",IF(N667&lt;9,"3070",IF(N667&lt;11,"3090","3110"))))))),""))))</f>
        <v/>
      </c>
      <c r="Q667">
        <f>AND(O667=TRUE,P667&lt;&gt;"")</f>
        <v/>
      </c>
      <c r="R667">
        <f>IF(G667*1000&lt;750,"なし","あり")</f>
        <v/>
      </c>
      <c r="S667">
        <f>IF(AND(O667=TRUE,Q667=TRUE),"設定可","BLOCK")</f>
        <v/>
      </c>
      <c r="T667" t="inlineStr">
        <is>
          <t>商品カタログ P194</t>
        </is>
      </c>
      <c r="U667" t="inlineStr">
        <is>
          <t>https://webcatalog.lixil.co.jp/iportal/CatalogDetail.do?catalogID=15191910000&amp;categoryID=1630000&amp;designID=newinter&amp;method=initial_screen&amp;position=18&amp;type=mc&amp;volumeID=LXL13001</t>
        </is>
      </c>
    </row>
    <row r="668">
      <c r="A668" t="inlineStr">
        <is>
          <t>WG-SL-00665</t>
        </is>
      </c>
      <c r="B668" t="inlineStr">
        <is>
          <t>SZ-SL-001019</t>
        </is>
      </c>
      <c r="C668" t="inlineStr">
        <is>
          <t>WT-SL-MENKOSHI-AGE-FS</t>
        </is>
      </c>
      <c r="D668" t="inlineStr">
        <is>
          <t>SP-SL-AGE-GRILLE-IGETA</t>
        </is>
      </c>
      <c r="E668" t="inlineStr">
        <is>
          <t>07411</t>
        </is>
      </c>
      <c r="F668" t="n">
        <v>0.78</v>
      </c>
      <c r="G668" t="n">
        <v>1.17</v>
      </c>
      <c r="H668" t="inlineStr">
        <is>
          <t>GL-SL-008</t>
        </is>
      </c>
      <c r="I668" t="n">
        <v>7</v>
      </c>
      <c r="J668" t="n">
        <v>9.1</v>
      </c>
      <c r="K668" t="n">
        <v>-0.48</v>
      </c>
      <c r="L668" t="n">
        <v>-0.998</v>
      </c>
      <c r="M668" t="n">
        <v>0.367</v>
      </c>
      <c r="N668">
        <f>ROUND(J668*F668*G668+K668*G668+L668*F668+M668,3)</f>
        <v/>
      </c>
      <c r="O668">
        <f>AND(N668&gt;=1.4,N668&lt;=13)</f>
        <v/>
      </c>
      <c r="P668">
        <f>IF(OR(N668&lt;1.4,N668&gt;13),"",IF(G668*1000&lt;=1170,IF(N668&lt;1.8,"1014",IF(N668&lt;2.9,"1018",IF(N668&lt;3.8,"1029",IF(N668&lt;5,"1038",IF(N668&lt;7,"1050",IF(N668&lt;9,"1070",IF(N668&lt;11,"1090","1110"))))))),IF(G668*1000&lt;=1570,IF(N668&lt;1.8,"",IF(N668&lt;2.9,"2018",IF(N668&lt;3.8,"2029",IF(N668&lt;5,"2038",IF(N668&lt;7,"2050",IF(N668&lt;9,"2070",IF(N668&lt;11,"2090","2110"))))))),IF(G668*1000&lt;=1700,IF(N668&lt;1.8,"",IF(N668&lt;2.9,"3018",IF(N668&lt;3.8,"3029",IF(N668&lt;5,"3038",IF(N668&lt;7,"3050",IF(N668&lt;9,"3070",IF(N668&lt;11,"3090","3110"))))))),""))))</f>
        <v/>
      </c>
      <c r="Q668">
        <f>AND(O668=TRUE,P668&lt;&gt;"")</f>
        <v/>
      </c>
      <c r="R668">
        <f>IF(G668*1000&lt;750,"なし","あり")</f>
        <v/>
      </c>
      <c r="S668">
        <f>IF(AND(O668=TRUE,Q668=TRUE),"設定可","BLOCK")</f>
        <v/>
      </c>
      <c r="T668" t="inlineStr">
        <is>
          <t>商品カタログ P194</t>
        </is>
      </c>
      <c r="U668" t="inlineStr">
        <is>
          <t>https://webcatalog.lixil.co.jp/iportal/CatalogDetail.do?catalogID=15191910000&amp;categoryID=1630000&amp;designID=newinter&amp;method=initial_screen&amp;position=18&amp;type=mc&amp;volumeID=LXL13001</t>
        </is>
      </c>
    </row>
    <row r="669">
      <c r="A669" t="inlineStr">
        <is>
          <t>WG-SL-00666</t>
        </is>
      </c>
      <c r="B669" t="inlineStr">
        <is>
          <t>SZ-SL-001019</t>
        </is>
      </c>
      <c r="C669" t="inlineStr">
        <is>
          <t>WT-SL-MENKOSHI-AGE-FS</t>
        </is>
      </c>
      <c r="D669" t="inlineStr">
        <is>
          <t>SP-SL-AGE-GRILLE-IGETA</t>
        </is>
      </c>
      <c r="E669" t="inlineStr">
        <is>
          <t>07411</t>
        </is>
      </c>
      <c r="F669" t="n">
        <v>0.78</v>
      </c>
      <c r="G669" t="n">
        <v>1.17</v>
      </c>
      <c r="H669" t="inlineStr">
        <is>
          <t>GL-SL-009</t>
        </is>
      </c>
      <c r="I669" t="n">
        <v>8</v>
      </c>
      <c r="J669" t="n">
        <v>10.4</v>
      </c>
      <c r="K669" t="n">
        <v>-0.605</v>
      </c>
      <c r="L669" t="n">
        <v>-1.332</v>
      </c>
      <c r="M669" t="n">
        <v>0.399</v>
      </c>
      <c r="N669">
        <f>ROUND(J669*F669*G669+K669*G669+L669*F669+M669,3)</f>
        <v/>
      </c>
      <c r="O669">
        <f>AND(N669&gt;=1.4,N669&lt;=13)</f>
        <v/>
      </c>
      <c r="P669">
        <f>IF(OR(N669&lt;1.4,N669&gt;13),"",IF(G669*1000&lt;=1170,IF(N669&lt;1.8,"1014",IF(N669&lt;2.9,"1018",IF(N669&lt;3.8,"1029",IF(N669&lt;5,"1038",IF(N669&lt;7,"1050",IF(N669&lt;9,"1070",IF(N669&lt;11,"1090","1110"))))))),IF(G669*1000&lt;=1570,IF(N669&lt;1.8,"",IF(N669&lt;2.9,"2018",IF(N669&lt;3.8,"2029",IF(N669&lt;5,"2038",IF(N669&lt;7,"2050",IF(N669&lt;9,"2070",IF(N669&lt;11,"2090","2110"))))))),IF(G669*1000&lt;=1700,IF(N669&lt;1.8,"",IF(N669&lt;2.9,"3018",IF(N669&lt;3.8,"3029",IF(N669&lt;5,"3038",IF(N669&lt;7,"3050",IF(N669&lt;9,"3070",IF(N669&lt;11,"3090","3110"))))))),""))))</f>
        <v/>
      </c>
      <c r="Q669">
        <f>AND(O669=TRUE,P669&lt;&gt;"")</f>
        <v/>
      </c>
      <c r="R669">
        <f>IF(G669*1000&lt;750,"なし","あり")</f>
        <v/>
      </c>
      <c r="S669">
        <f>IF(AND(O669=TRUE,Q669=TRUE),"設定可","BLOCK")</f>
        <v/>
      </c>
      <c r="T669" t="inlineStr">
        <is>
          <t>商品カタログ P194</t>
        </is>
      </c>
      <c r="U669" t="inlineStr">
        <is>
          <t>https://webcatalog.lixil.co.jp/iportal/CatalogDetail.do?catalogID=15191910000&amp;categoryID=1630000&amp;designID=newinter&amp;method=initial_screen&amp;position=18&amp;type=mc&amp;volumeID=LXL13001</t>
        </is>
      </c>
    </row>
    <row r="670">
      <c r="A670" t="inlineStr">
        <is>
          <t>WG-SL-00667</t>
        </is>
      </c>
      <c r="B670" t="inlineStr">
        <is>
          <t>SZ-SL-001020</t>
        </is>
      </c>
      <c r="C670" t="inlineStr">
        <is>
          <t>WT-SL-MENKOSHI-AGE-FS</t>
        </is>
      </c>
      <c r="D670" t="inlineStr">
        <is>
          <t>SP-SL-AGE-GRILLE-V</t>
        </is>
      </c>
      <c r="E670" t="inlineStr">
        <is>
          <t>02611</t>
        </is>
      </c>
      <c r="F670" t="n">
        <v>0.3</v>
      </c>
      <c r="G670" t="n">
        <v>1.17</v>
      </c>
      <c r="H670" t="inlineStr">
        <is>
          <t>GL-SL-001</t>
        </is>
      </c>
      <c r="I670" t="n">
        <v>6</v>
      </c>
      <c r="J670" t="n">
        <v>7.8</v>
      </c>
      <c r="K670" t="n">
        <v>-0.355</v>
      </c>
      <c r="L670" t="n">
        <v>-0.664</v>
      </c>
      <c r="M670" t="n">
        <v>0.335</v>
      </c>
      <c r="N670">
        <f>ROUND(J670*F670*G670+K670*G670+L670*F670+M670,3)</f>
        <v/>
      </c>
      <c r="O670">
        <f>AND(N670&gt;=1.4,N670&lt;=13)</f>
        <v/>
      </c>
      <c r="P670">
        <f>IF(OR(N670&lt;1.4,N670&gt;13),"",IF(G670*1000&lt;=1170,IF(N670&lt;1.8,"1014",IF(N670&lt;2.9,"1018",IF(N670&lt;3.8,"1029",IF(N670&lt;5,"1038",IF(N670&lt;7,"1050",IF(N670&lt;9,"1070",IF(N670&lt;11,"1090","1110"))))))),IF(G670*1000&lt;=1570,IF(N670&lt;1.8,"",IF(N670&lt;2.9,"2018",IF(N670&lt;3.8,"2029",IF(N670&lt;5,"2038",IF(N670&lt;7,"2050",IF(N670&lt;9,"2070",IF(N670&lt;11,"2090","2110"))))))),IF(G670*1000&lt;=1700,IF(N670&lt;1.8,"",IF(N670&lt;2.9,"3018",IF(N670&lt;3.8,"3029",IF(N670&lt;5,"3038",IF(N670&lt;7,"3050",IF(N670&lt;9,"3070",IF(N670&lt;11,"3090","3110"))))))),""))))</f>
        <v/>
      </c>
      <c r="Q670">
        <f>AND(O670=TRUE,P670&lt;&gt;"")</f>
        <v/>
      </c>
      <c r="R670">
        <f>IF(G670*1000&lt;750,"なし","あり")</f>
        <v/>
      </c>
      <c r="S670">
        <f>IF(AND(O670=TRUE,Q670=TRUE),"設定可","BLOCK")</f>
        <v/>
      </c>
      <c r="T670" t="inlineStr">
        <is>
          <t>商品カタログ P194</t>
        </is>
      </c>
      <c r="U670" t="inlineStr">
        <is>
          <t>https://webcatalog.lixil.co.jp/iportal/CatalogDetail.do?catalogID=15191910000&amp;categoryID=1630000&amp;designID=newinter&amp;method=initial_screen&amp;position=18&amp;type=mc&amp;volumeID=LXL13001</t>
        </is>
      </c>
    </row>
    <row r="671">
      <c r="A671" t="inlineStr">
        <is>
          <t>WG-SL-00668</t>
        </is>
      </c>
      <c r="B671" t="inlineStr">
        <is>
          <t>SZ-SL-001020</t>
        </is>
      </c>
      <c r="C671" t="inlineStr">
        <is>
          <t>WT-SL-MENKOSHI-AGE-FS</t>
        </is>
      </c>
      <c r="D671" t="inlineStr">
        <is>
          <t>SP-SL-AGE-GRILLE-V</t>
        </is>
      </c>
      <c r="E671" t="inlineStr">
        <is>
          <t>02611</t>
        </is>
      </c>
      <c r="F671" t="n">
        <v>0.3</v>
      </c>
      <c r="G671" t="n">
        <v>1.17</v>
      </c>
      <c r="H671" t="inlineStr">
        <is>
          <t>GL-SL-002</t>
        </is>
      </c>
      <c r="I671" t="n">
        <v>7</v>
      </c>
      <c r="J671" t="n">
        <v>9.1</v>
      </c>
      <c r="K671" t="n">
        <v>-0.48</v>
      </c>
      <c r="L671" t="n">
        <v>-0.998</v>
      </c>
      <c r="M671" t="n">
        <v>0.367</v>
      </c>
      <c r="N671">
        <f>ROUND(J671*F671*G671+K671*G671+L671*F671+M671,3)</f>
        <v/>
      </c>
      <c r="O671">
        <f>AND(N671&gt;=1.4,N671&lt;=13)</f>
        <v/>
      </c>
      <c r="P671">
        <f>IF(OR(N671&lt;1.4,N671&gt;13),"",IF(G671*1000&lt;=1170,IF(N671&lt;1.8,"1014",IF(N671&lt;2.9,"1018",IF(N671&lt;3.8,"1029",IF(N671&lt;5,"1038",IF(N671&lt;7,"1050",IF(N671&lt;9,"1070",IF(N671&lt;11,"1090","1110"))))))),IF(G671*1000&lt;=1570,IF(N671&lt;1.8,"",IF(N671&lt;2.9,"2018",IF(N671&lt;3.8,"2029",IF(N671&lt;5,"2038",IF(N671&lt;7,"2050",IF(N671&lt;9,"2070",IF(N671&lt;11,"2090","2110"))))))),IF(G671*1000&lt;=1700,IF(N671&lt;1.8,"",IF(N671&lt;2.9,"3018",IF(N671&lt;3.8,"3029",IF(N671&lt;5,"3038",IF(N671&lt;7,"3050",IF(N671&lt;9,"3070",IF(N671&lt;11,"3090","3110"))))))),""))))</f>
        <v/>
      </c>
      <c r="Q671">
        <f>AND(O671=TRUE,P671&lt;&gt;"")</f>
        <v/>
      </c>
      <c r="R671">
        <f>IF(G671*1000&lt;750,"なし","あり")</f>
        <v/>
      </c>
      <c r="S671">
        <f>IF(AND(O671=TRUE,Q671=TRUE),"設定可","BLOCK")</f>
        <v/>
      </c>
      <c r="T671" t="inlineStr">
        <is>
          <t>商品カタログ P194</t>
        </is>
      </c>
      <c r="U671" t="inlineStr">
        <is>
          <t>https://webcatalog.lixil.co.jp/iportal/CatalogDetail.do?catalogID=15191910000&amp;categoryID=1630000&amp;designID=newinter&amp;method=initial_screen&amp;position=18&amp;type=mc&amp;volumeID=LXL13001</t>
        </is>
      </c>
    </row>
    <row r="672">
      <c r="A672" t="inlineStr">
        <is>
          <t>WG-SL-00669</t>
        </is>
      </c>
      <c r="B672" t="inlineStr">
        <is>
          <t>SZ-SL-001020</t>
        </is>
      </c>
      <c r="C672" t="inlineStr">
        <is>
          <t>WT-SL-MENKOSHI-AGE-FS</t>
        </is>
      </c>
      <c r="D672" t="inlineStr">
        <is>
          <t>SP-SL-AGE-GRILLE-V</t>
        </is>
      </c>
      <c r="E672" t="inlineStr">
        <is>
          <t>02611</t>
        </is>
      </c>
      <c r="F672" t="n">
        <v>0.3</v>
      </c>
      <c r="G672" t="n">
        <v>1.17</v>
      </c>
      <c r="H672" t="inlineStr">
        <is>
          <t>GL-SL-003</t>
        </is>
      </c>
      <c r="I672" t="n">
        <v>8</v>
      </c>
      <c r="J672" t="n">
        <v>10.4</v>
      </c>
      <c r="K672" t="n">
        <v>-0.605</v>
      </c>
      <c r="L672" t="n">
        <v>-1.332</v>
      </c>
      <c r="M672" t="n">
        <v>0.399</v>
      </c>
      <c r="N672">
        <f>ROUND(J672*F672*G672+K672*G672+L672*F672+M672,3)</f>
        <v/>
      </c>
      <c r="O672">
        <f>AND(N672&gt;=1.4,N672&lt;=13)</f>
        <v/>
      </c>
      <c r="P672">
        <f>IF(OR(N672&lt;1.4,N672&gt;13),"",IF(G672*1000&lt;=1170,IF(N672&lt;1.8,"1014",IF(N672&lt;2.9,"1018",IF(N672&lt;3.8,"1029",IF(N672&lt;5,"1038",IF(N672&lt;7,"1050",IF(N672&lt;9,"1070",IF(N672&lt;11,"1090","1110"))))))),IF(G672*1000&lt;=1570,IF(N672&lt;1.8,"",IF(N672&lt;2.9,"2018",IF(N672&lt;3.8,"2029",IF(N672&lt;5,"2038",IF(N672&lt;7,"2050",IF(N672&lt;9,"2070",IF(N672&lt;11,"2090","2110"))))))),IF(G672*1000&lt;=1700,IF(N672&lt;1.8,"",IF(N672&lt;2.9,"3018",IF(N672&lt;3.8,"3029",IF(N672&lt;5,"3038",IF(N672&lt;7,"3050",IF(N672&lt;9,"3070",IF(N672&lt;11,"3090","3110"))))))),""))))</f>
        <v/>
      </c>
      <c r="Q672">
        <f>AND(O672=TRUE,P672&lt;&gt;"")</f>
        <v/>
      </c>
      <c r="R672">
        <f>IF(G672*1000&lt;750,"なし","あり")</f>
        <v/>
      </c>
      <c r="S672">
        <f>IF(AND(O672=TRUE,Q672=TRUE),"設定可","BLOCK")</f>
        <v/>
      </c>
      <c r="T672" t="inlineStr">
        <is>
          <t>商品カタログ P194</t>
        </is>
      </c>
      <c r="U672" t="inlineStr">
        <is>
          <t>https://webcatalog.lixil.co.jp/iportal/CatalogDetail.do?catalogID=15191910000&amp;categoryID=1630000&amp;designID=newinter&amp;method=initial_screen&amp;position=18&amp;type=mc&amp;volumeID=LXL13001</t>
        </is>
      </c>
    </row>
    <row r="673">
      <c r="A673" t="inlineStr">
        <is>
          <t>WG-SL-00670</t>
        </is>
      </c>
      <c r="B673" t="inlineStr">
        <is>
          <t>SZ-SL-001020</t>
        </is>
      </c>
      <c r="C673" t="inlineStr">
        <is>
          <t>WT-SL-MENKOSHI-AGE-FS</t>
        </is>
      </c>
      <c r="D673" t="inlineStr">
        <is>
          <t>SP-SL-AGE-GRILLE-V</t>
        </is>
      </c>
      <c r="E673" t="inlineStr">
        <is>
          <t>02611</t>
        </is>
      </c>
      <c r="F673" t="n">
        <v>0.3</v>
      </c>
      <c r="G673" t="n">
        <v>1.17</v>
      </c>
      <c r="H673" t="inlineStr">
        <is>
          <t>GL-SL-004</t>
        </is>
      </c>
      <c r="I673" t="n">
        <v>6</v>
      </c>
      <c r="J673" t="n">
        <v>7.8</v>
      </c>
      <c r="K673" t="n">
        <v>-0.355</v>
      </c>
      <c r="L673" t="n">
        <v>-0.664</v>
      </c>
      <c r="M673" t="n">
        <v>0.335</v>
      </c>
      <c r="N673">
        <f>ROUND(J673*F673*G673+K673*G673+L673*F673+M673,3)</f>
        <v/>
      </c>
      <c r="O673">
        <f>AND(N673&gt;=1.4,N673&lt;=13)</f>
        <v/>
      </c>
      <c r="P673">
        <f>IF(OR(N673&lt;1.4,N673&gt;13),"",IF(G673*1000&lt;=1170,IF(N673&lt;1.8,"1014",IF(N673&lt;2.9,"1018",IF(N673&lt;3.8,"1029",IF(N673&lt;5,"1038",IF(N673&lt;7,"1050",IF(N673&lt;9,"1070",IF(N673&lt;11,"1090","1110"))))))),IF(G673*1000&lt;=1570,IF(N673&lt;1.8,"",IF(N673&lt;2.9,"2018",IF(N673&lt;3.8,"2029",IF(N673&lt;5,"2038",IF(N673&lt;7,"2050",IF(N673&lt;9,"2070",IF(N673&lt;11,"2090","2110"))))))),IF(G673*1000&lt;=1700,IF(N673&lt;1.8,"",IF(N673&lt;2.9,"3018",IF(N673&lt;3.8,"3029",IF(N673&lt;5,"3038",IF(N673&lt;7,"3050",IF(N673&lt;9,"3070",IF(N673&lt;11,"3090","3110"))))))),""))))</f>
        <v/>
      </c>
      <c r="Q673">
        <f>AND(O673=TRUE,P673&lt;&gt;"")</f>
        <v/>
      </c>
      <c r="R673">
        <f>IF(G673*1000&lt;750,"なし","あり")</f>
        <v/>
      </c>
      <c r="S673">
        <f>IF(AND(O673=TRUE,Q673=TRUE),"設定可","BLOCK")</f>
        <v/>
      </c>
      <c r="T673" t="inlineStr">
        <is>
          <t>商品カタログ P194</t>
        </is>
      </c>
      <c r="U673" t="inlineStr">
        <is>
          <t>https://webcatalog.lixil.co.jp/iportal/CatalogDetail.do?catalogID=15191910000&amp;categoryID=1630000&amp;designID=newinter&amp;method=initial_screen&amp;position=18&amp;type=mc&amp;volumeID=LXL13001</t>
        </is>
      </c>
    </row>
    <row r="674">
      <c r="A674" t="inlineStr">
        <is>
          <t>WG-SL-00671</t>
        </is>
      </c>
      <c r="B674" t="inlineStr">
        <is>
          <t>SZ-SL-001020</t>
        </is>
      </c>
      <c r="C674" t="inlineStr">
        <is>
          <t>WT-SL-MENKOSHI-AGE-FS</t>
        </is>
      </c>
      <c r="D674" t="inlineStr">
        <is>
          <t>SP-SL-AGE-GRILLE-V</t>
        </is>
      </c>
      <c r="E674" t="inlineStr">
        <is>
          <t>02611</t>
        </is>
      </c>
      <c r="F674" t="n">
        <v>0.3</v>
      </c>
      <c r="G674" t="n">
        <v>1.17</v>
      </c>
      <c r="H674" t="inlineStr">
        <is>
          <t>GL-SL-005</t>
        </is>
      </c>
      <c r="I674" t="n">
        <v>7</v>
      </c>
      <c r="J674" t="n">
        <v>9.1</v>
      </c>
      <c r="K674" t="n">
        <v>-0.48</v>
      </c>
      <c r="L674" t="n">
        <v>-0.998</v>
      </c>
      <c r="M674" t="n">
        <v>0.367</v>
      </c>
      <c r="N674">
        <f>ROUND(J674*F674*G674+K674*G674+L674*F674+M674,3)</f>
        <v/>
      </c>
      <c r="O674">
        <f>AND(N674&gt;=1.4,N674&lt;=13)</f>
        <v/>
      </c>
      <c r="P674">
        <f>IF(OR(N674&lt;1.4,N674&gt;13),"",IF(G674*1000&lt;=1170,IF(N674&lt;1.8,"1014",IF(N674&lt;2.9,"1018",IF(N674&lt;3.8,"1029",IF(N674&lt;5,"1038",IF(N674&lt;7,"1050",IF(N674&lt;9,"1070",IF(N674&lt;11,"1090","1110"))))))),IF(G674*1000&lt;=1570,IF(N674&lt;1.8,"",IF(N674&lt;2.9,"2018",IF(N674&lt;3.8,"2029",IF(N674&lt;5,"2038",IF(N674&lt;7,"2050",IF(N674&lt;9,"2070",IF(N674&lt;11,"2090","2110"))))))),IF(G674*1000&lt;=1700,IF(N674&lt;1.8,"",IF(N674&lt;2.9,"3018",IF(N674&lt;3.8,"3029",IF(N674&lt;5,"3038",IF(N674&lt;7,"3050",IF(N674&lt;9,"3070",IF(N674&lt;11,"3090","3110"))))))),""))))</f>
        <v/>
      </c>
      <c r="Q674">
        <f>AND(O674=TRUE,P674&lt;&gt;"")</f>
        <v/>
      </c>
      <c r="R674">
        <f>IF(G674*1000&lt;750,"なし","あり")</f>
        <v/>
      </c>
      <c r="S674">
        <f>IF(AND(O674=TRUE,Q674=TRUE),"設定可","BLOCK")</f>
        <v/>
      </c>
      <c r="T674" t="inlineStr">
        <is>
          <t>商品カタログ P194</t>
        </is>
      </c>
      <c r="U674" t="inlineStr">
        <is>
          <t>https://webcatalog.lixil.co.jp/iportal/CatalogDetail.do?catalogID=15191910000&amp;categoryID=1630000&amp;designID=newinter&amp;method=initial_screen&amp;position=18&amp;type=mc&amp;volumeID=LXL13001</t>
        </is>
      </c>
    </row>
    <row r="675">
      <c r="A675" t="inlineStr">
        <is>
          <t>WG-SL-00672</t>
        </is>
      </c>
      <c r="B675" t="inlineStr">
        <is>
          <t>SZ-SL-001020</t>
        </is>
      </c>
      <c r="C675" t="inlineStr">
        <is>
          <t>WT-SL-MENKOSHI-AGE-FS</t>
        </is>
      </c>
      <c r="D675" t="inlineStr">
        <is>
          <t>SP-SL-AGE-GRILLE-V</t>
        </is>
      </c>
      <c r="E675" t="inlineStr">
        <is>
          <t>02611</t>
        </is>
      </c>
      <c r="F675" t="n">
        <v>0.3</v>
      </c>
      <c r="G675" t="n">
        <v>1.17</v>
      </c>
      <c r="H675" t="inlineStr">
        <is>
          <t>GL-SL-006</t>
        </is>
      </c>
      <c r="I675" t="n">
        <v>8</v>
      </c>
      <c r="J675" t="n">
        <v>10.4</v>
      </c>
      <c r="K675" t="n">
        <v>-0.605</v>
      </c>
      <c r="L675" t="n">
        <v>-1.332</v>
      </c>
      <c r="M675" t="n">
        <v>0.399</v>
      </c>
      <c r="N675">
        <f>ROUND(J675*F675*G675+K675*G675+L675*F675+M675,3)</f>
        <v/>
      </c>
      <c r="O675">
        <f>AND(N675&gt;=1.4,N675&lt;=13)</f>
        <v/>
      </c>
      <c r="P675">
        <f>IF(OR(N675&lt;1.4,N675&gt;13),"",IF(G675*1000&lt;=1170,IF(N675&lt;1.8,"1014",IF(N675&lt;2.9,"1018",IF(N675&lt;3.8,"1029",IF(N675&lt;5,"1038",IF(N675&lt;7,"1050",IF(N675&lt;9,"1070",IF(N675&lt;11,"1090","1110"))))))),IF(G675*1000&lt;=1570,IF(N675&lt;1.8,"",IF(N675&lt;2.9,"2018",IF(N675&lt;3.8,"2029",IF(N675&lt;5,"2038",IF(N675&lt;7,"2050",IF(N675&lt;9,"2070",IF(N675&lt;11,"2090","2110"))))))),IF(G675*1000&lt;=1700,IF(N675&lt;1.8,"",IF(N675&lt;2.9,"3018",IF(N675&lt;3.8,"3029",IF(N675&lt;5,"3038",IF(N675&lt;7,"3050",IF(N675&lt;9,"3070",IF(N675&lt;11,"3090","3110"))))))),""))))</f>
        <v/>
      </c>
      <c r="Q675">
        <f>AND(O675=TRUE,P675&lt;&gt;"")</f>
        <v/>
      </c>
      <c r="R675">
        <f>IF(G675*1000&lt;750,"なし","あり")</f>
        <v/>
      </c>
      <c r="S675">
        <f>IF(AND(O675=TRUE,Q675=TRUE),"設定可","BLOCK")</f>
        <v/>
      </c>
      <c r="T675" t="inlineStr">
        <is>
          <t>商品カタログ P194</t>
        </is>
      </c>
      <c r="U675" t="inlineStr">
        <is>
          <t>https://webcatalog.lixil.co.jp/iportal/CatalogDetail.do?catalogID=15191910000&amp;categoryID=1630000&amp;designID=newinter&amp;method=initial_screen&amp;position=18&amp;type=mc&amp;volumeID=LXL13001</t>
        </is>
      </c>
    </row>
    <row r="676">
      <c r="A676" t="inlineStr">
        <is>
          <t>WG-SL-00673</t>
        </is>
      </c>
      <c r="B676" t="inlineStr">
        <is>
          <t>SZ-SL-001020</t>
        </is>
      </c>
      <c r="C676" t="inlineStr">
        <is>
          <t>WT-SL-MENKOSHI-AGE-FS</t>
        </is>
      </c>
      <c r="D676" t="inlineStr">
        <is>
          <t>SP-SL-AGE-GRILLE-V</t>
        </is>
      </c>
      <c r="E676" t="inlineStr">
        <is>
          <t>02611</t>
        </is>
      </c>
      <c r="F676" t="n">
        <v>0.3</v>
      </c>
      <c r="G676" t="n">
        <v>1.17</v>
      </c>
      <c r="H676" t="inlineStr">
        <is>
          <t>GL-SL-007</t>
        </is>
      </c>
      <c r="I676" t="n">
        <v>6</v>
      </c>
      <c r="J676" t="n">
        <v>7.8</v>
      </c>
      <c r="K676" t="n">
        <v>-0.355</v>
      </c>
      <c r="L676" t="n">
        <v>-0.664</v>
      </c>
      <c r="M676" t="n">
        <v>0.335</v>
      </c>
      <c r="N676">
        <f>ROUND(J676*F676*G676+K676*G676+L676*F676+M676,3)</f>
        <v/>
      </c>
      <c r="O676">
        <f>AND(N676&gt;=1.4,N676&lt;=13)</f>
        <v/>
      </c>
      <c r="P676">
        <f>IF(OR(N676&lt;1.4,N676&gt;13),"",IF(G676*1000&lt;=1170,IF(N676&lt;1.8,"1014",IF(N676&lt;2.9,"1018",IF(N676&lt;3.8,"1029",IF(N676&lt;5,"1038",IF(N676&lt;7,"1050",IF(N676&lt;9,"1070",IF(N676&lt;11,"1090","1110"))))))),IF(G676*1000&lt;=1570,IF(N676&lt;1.8,"",IF(N676&lt;2.9,"2018",IF(N676&lt;3.8,"2029",IF(N676&lt;5,"2038",IF(N676&lt;7,"2050",IF(N676&lt;9,"2070",IF(N676&lt;11,"2090","2110"))))))),IF(G676*1000&lt;=1700,IF(N676&lt;1.8,"",IF(N676&lt;2.9,"3018",IF(N676&lt;3.8,"3029",IF(N676&lt;5,"3038",IF(N676&lt;7,"3050",IF(N676&lt;9,"3070",IF(N676&lt;11,"3090","3110"))))))),""))))</f>
        <v/>
      </c>
      <c r="Q676">
        <f>AND(O676=TRUE,P676&lt;&gt;"")</f>
        <v/>
      </c>
      <c r="R676">
        <f>IF(G676*1000&lt;750,"なし","あり")</f>
        <v/>
      </c>
      <c r="S676">
        <f>IF(AND(O676=TRUE,Q676=TRUE),"設定可","BLOCK")</f>
        <v/>
      </c>
      <c r="T676" t="inlineStr">
        <is>
          <t>商品カタログ P194</t>
        </is>
      </c>
      <c r="U676" t="inlineStr">
        <is>
          <t>https://webcatalog.lixil.co.jp/iportal/CatalogDetail.do?catalogID=15191910000&amp;categoryID=1630000&amp;designID=newinter&amp;method=initial_screen&amp;position=18&amp;type=mc&amp;volumeID=LXL13001</t>
        </is>
      </c>
    </row>
    <row r="677">
      <c r="A677" t="inlineStr">
        <is>
          <t>WG-SL-00674</t>
        </is>
      </c>
      <c r="B677" t="inlineStr">
        <is>
          <t>SZ-SL-001020</t>
        </is>
      </c>
      <c r="C677" t="inlineStr">
        <is>
          <t>WT-SL-MENKOSHI-AGE-FS</t>
        </is>
      </c>
      <c r="D677" t="inlineStr">
        <is>
          <t>SP-SL-AGE-GRILLE-V</t>
        </is>
      </c>
      <c r="E677" t="inlineStr">
        <is>
          <t>02611</t>
        </is>
      </c>
      <c r="F677" t="n">
        <v>0.3</v>
      </c>
      <c r="G677" t="n">
        <v>1.17</v>
      </c>
      <c r="H677" t="inlineStr">
        <is>
          <t>GL-SL-008</t>
        </is>
      </c>
      <c r="I677" t="n">
        <v>7</v>
      </c>
      <c r="J677" t="n">
        <v>9.1</v>
      </c>
      <c r="K677" t="n">
        <v>-0.48</v>
      </c>
      <c r="L677" t="n">
        <v>-0.998</v>
      </c>
      <c r="M677" t="n">
        <v>0.367</v>
      </c>
      <c r="N677">
        <f>ROUND(J677*F677*G677+K677*G677+L677*F677+M677,3)</f>
        <v/>
      </c>
      <c r="O677">
        <f>AND(N677&gt;=1.4,N677&lt;=13)</f>
        <v/>
      </c>
      <c r="P677">
        <f>IF(OR(N677&lt;1.4,N677&gt;13),"",IF(G677*1000&lt;=1170,IF(N677&lt;1.8,"1014",IF(N677&lt;2.9,"1018",IF(N677&lt;3.8,"1029",IF(N677&lt;5,"1038",IF(N677&lt;7,"1050",IF(N677&lt;9,"1070",IF(N677&lt;11,"1090","1110"))))))),IF(G677*1000&lt;=1570,IF(N677&lt;1.8,"",IF(N677&lt;2.9,"2018",IF(N677&lt;3.8,"2029",IF(N677&lt;5,"2038",IF(N677&lt;7,"2050",IF(N677&lt;9,"2070",IF(N677&lt;11,"2090","2110"))))))),IF(G677*1000&lt;=1700,IF(N677&lt;1.8,"",IF(N677&lt;2.9,"3018",IF(N677&lt;3.8,"3029",IF(N677&lt;5,"3038",IF(N677&lt;7,"3050",IF(N677&lt;9,"3070",IF(N677&lt;11,"3090","3110"))))))),""))))</f>
        <v/>
      </c>
      <c r="Q677">
        <f>AND(O677=TRUE,P677&lt;&gt;"")</f>
        <v/>
      </c>
      <c r="R677">
        <f>IF(G677*1000&lt;750,"なし","あり")</f>
        <v/>
      </c>
      <c r="S677">
        <f>IF(AND(O677=TRUE,Q677=TRUE),"設定可","BLOCK")</f>
        <v/>
      </c>
      <c r="T677" t="inlineStr">
        <is>
          <t>商品カタログ P194</t>
        </is>
      </c>
      <c r="U677" t="inlineStr">
        <is>
          <t>https://webcatalog.lixil.co.jp/iportal/CatalogDetail.do?catalogID=15191910000&amp;categoryID=1630000&amp;designID=newinter&amp;method=initial_screen&amp;position=18&amp;type=mc&amp;volumeID=LXL13001</t>
        </is>
      </c>
    </row>
    <row r="678">
      <c r="A678" t="inlineStr">
        <is>
          <t>WG-SL-00675</t>
        </is>
      </c>
      <c r="B678" t="inlineStr">
        <is>
          <t>SZ-SL-001020</t>
        </is>
      </c>
      <c r="C678" t="inlineStr">
        <is>
          <t>WT-SL-MENKOSHI-AGE-FS</t>
        </is>
      </c>
      <c r="D678" t="inlineStr">
        <is>
          <t>SP-SL-AGE-GRILLE-V</t>
        </is>
      </c>
      <c r="E678" t="inlineStr">
        <is>
          <t>02611</t>
        </is>
      </c>
      <c r="F678" t="n">
        <v>0.3</v>
      </c>
      <c r="G678" t="n">
        <v>1.17</v>
      </c>
      <c r="H678" t="inlineStr">
        <is>
          <t>GL-SL-009</t>
        </is>
      </c>
      <c r="I678" t="n">
        <v>8</v>
      </c>
      <c r="J678" t="n">
        <v>10.4</v>
      </c>
      <c r="K678" t="n">
        <v>-0.605</v>
      </c>
      <c r="L678" t="n">
        <v>-1.332</v>
      </c>
      <c r="M678" t="n">
        <v>0.399</v>
      </c>
      <c r="N678">
        <f>ROUND(J678*F678*G678+K678*G678+L678*F678+M678,3)</f>
        <v/>
      </c>
      <c r="O678">
        <f>AND(N678&gt;=1.4,N678&lt;=13)</f>
        <v/>
      </c>
      <c r="P678">
        <f>IF(OR(N678&lt;1.4,N678&gt;13),"",IF(G678*1000&lt;=1170,IF(N678&lt;1.8,"1014",IF(N678&lt;2.9,"1018",IF(N678&lt;3.8,"1029",IF(N678&lt;5,"1038",IF(N678&lt;7,"1050",IF(N678&lt;9,"1070",IF(N678&lt;11,"1090","1110"))))))),IF(G678*1000&lt;=1570,IF(N678&lt;1.8,"",IF(N678&lt;2.9,"2018",IF(N678&lt;3.8,"2029",IF(N678&lt;5,"2038",IF(N678&lt;7,"2050",IF(N678&lt;9,"2070",IF(N678&lt;11,"2090","2110"))))))),IF(G678*1000&lt;=1700,IF(N678&lt;1.8,"",IF(N678&lt;2.9,"3018",IF(N678&lt;3.8,"3029",IF(N678&lt;5,"3038",IF(N678&lt;7,"3050",IF(N678&lt;9,"3070",IF(N678&lt;11,"3090","3110"))))))),""))))</f>
        <v/>
      </c>
      <c r="Q678">
        <f>AND(O678=TRUE,P678&lt;&gt;"")</f>
        <v/>
      </c>
      <c r="R678">
        <f>IF(G678*1000&lt;750,"なし","あり")</f>
        <v/>
      </c>
      <c r="S678">
        <f>IF(AND(O678=TRUE,Q678=TRUE),"設定可","BLOCK")</f>
        <v/>
      </c>
      <c r="T678" t="inlineStr">
        <is>
          <t>商品カタログ P194</t>
        </is>
      </c>
      <c r="U678" t="inlineStr">
        <is>
          <t>https://webcatalog.lixil.co.jp/iportal/CatalogDetail.do?catalogID=15191910000&amp;categoryID=1630000&amp;designID=newinter&amp;method=initial_screen&amp;position=18&amp;type=mc&amp;volumeID=LXL13001</t>
        </is>
      </c>
    </row>
    <row r="679">
      <c r="A679" t="inlineStr">
        <is>
          <t>WG-SL-00676</t>
        </is>
      </c>
      <c r="B679" t="inlineStr">
        <is>
          <t>SZ-SL-001021</t>
        </is>
      </c>
      <c r="C679" t="inlineStr">
        <is>
          <t>WT-SL-MENKOSHI-AGE-FS</t>
        </is>
      </c>
      <c r="D679" t="inlineStr">
        <is>
          <t>SP-SL-AGE-GRILLE-V</t>
        </is>
      </c>
      <c r="E679" t="inlineStr">
        <is>
          <t>03611</t>
        </is>
      </c>
      <c r="F679" t="n">
        <v>0.405</v>
      </c>
      <c r="G679" t="n">
        <v>1.17</v>
      </c>
      <c r="H679" t="inlineStr">
        <is>
          <t>GL-SL-001</t>
        </is>
      </c>
      <c r="I679" t="n">
        <v>6</v>
      </c>
      <c r="J679" t="n">
        <v>7.8</v>
      </c>
      <c r="K679" t="n">
        <v>-0.355</v>
      </c>
      <c r="L679" t="n">
        <v>-0.664</v>
      </c>
      <c r="M679" t="n">
        <v>0.335</v>
      </c>
      <c r="N679">
        <f>ROUND(J679*F679*G679+K679*G679+L679*F679+M679,3)</f>
        <v/>
      </c>
      <c r="O679">
        <f>AND(N679&gt;=1.4,N679&lt;=13)</f>
        <v/>
      </c>
      <c r="P679">
        <f>IF(OR(N679&lt;1.4,N679&gt;13),"",IF(G679*1000&lt;=1170,IF(N679&lt;1.8,"1014",IF(N679&lt;2.9,"1018",IF(N679&lt;3.8,"1029",IF(N679&lt;5,"1038",IF(N679&lt;7,"1050",IF(N679&lt;9,"1070",IF(N679&lt;11,"1090","1110"))))))),IF(G679*1000&lt;=1570,IF(N679&lt;1.8,"",IF(N679&lt;2.9,"2018",IF(N679&lt;3.8,"2029",IF(N679&lt;5,"2038",IF(N679&lt;7,"2050",IF(N679&lt;9,"2070",IF(N679&lt;11,"2090","2110"))))))),IF(G679*1000&lt;=1700,IF(N679&lt;1.8,"",IF(N679&lt;2.9,"3018",IF(N679&lt;3.8,"3029",IF(N679&lt;5,"3038",IF(N679&lt;7,"3050",IF(N679&lt;9,"3070",IF(N679&lt;11,"3090","3110"))))))),""))))</f>
        <v/>
      </c>
      <c r="Q679">
        <f>AND(O679=TRUE,P679&lt;&gt;"")</f>
        <v/>
      </c>
      <c r="R679">
        <f>IF(G679*1000&lt;750,"なし","あり")</f>
        <v/>
      </c>
      <c r="S679">
        <f>IF(AND(O679=TRUE,Q679=TRUE),"設定可","BLOCK")</f>
        <v/>
      </c>
      <c r="T679" t="inlineStr">
        <is>
          <t>商品カタログ P194</t>
        </is>
      </c>
      <c r="U679" t="inlineStr">
        <is>
          <t>https://webcatalog.lixil.co.jp/iportal/CatalogDetail.do?catalogID=15191910000&amp;categoryID=1630000&amp;designID=newinter&amp;method=initial_screen&amp;position=18&amp;type=mc&amp;volumeID=LXL13001</t>
        </is>
      </c>
    </row>
    <row r="680">
      <c r="A680" t="inlineStr">
        <is>
          <t>WG-SL-00677</t>
        </is>
      </c>
      <c r="B680" t="inlineStr">
        <is>
          <t>SZ-SL-001021</t>
        </is>
      </c>
      <c r="C680" t="inlineStr">
        <is>
          <t>WT-SL-MENKOSHI-AGE-FS</t>
        </is>
      </c>
      <c r="D680" t="inlineStr">
        <is>
          <t>SP-SL-AGE-GRILLE-V</t>
        </is>
      </c>
      <c r="E680" t="inlineStr">
        <is>
          <t>03611</t>
        </is>
      </c>
      <c r="F680" t="n">
        <v>0.405</v>
      </c>
      <c r="G680" t="n">
        <v>1.17</v>
      </c>
      <c r="H680" t="inlineStr">
        <is>
          <t>GL-SL-002</t>
        </is>
      </c>
      <c r="I680" t="n">
        <v>7</v>
      </c>
      <c r="J680" t="n">
        <v>9.1</v>
      </c>
      <c r="K680" t="n">
        <v>-0.48</v>
      </c>
      <c r="L680" t="n">
        <v>-0.998</v>
      </c>
      <c r="M680" t="n">
        <v>0.367</v>
      </c>
      <c r="N680">
        <f>ROUND(J680*F680*G680+K680*G680+L680*F680+M680,3)</f>
        <v/>
      </c>
      <c r="O680">
        <f>AND(N680&gt;=1.4,N680&lt;=13)</f>
        <v/>
      </c>
      <c r="P680">
        <f>IF(OR(N680&lt;1.4,N680&gt;13),"",IF(G680*1000&lt;=1170,IF(N680&lt;1.8,"1014",IF(N680&lt;2.9,"1018",IF(N680&lt;3.8,"1029",IF(N680&lt;5,"1038",IF(N680&lt;7,"1050",IF(N680&lt;9,"1070",IF(N680&lt;11,"1090","1110"))))))),IF(G680*1000&lt;=1570,IF(N680&lt;1.8,"",IF(N680&lt;2.9,"2018",IF(N680&lt;3.8,"2029",IF(N680&lt;5,"2038",IF(N680&lt;7,"2050",IF(N680&lt;9,"2070",IF(N680&lt;11,"2090","2110"))))))),IF(G680*1000&lt;=1700,IF(N680&lt;1.8,"",IF(N680&lt;2.9,"3018",IF(N680&lt;3.8,"3029",IF(N680&lt;5,"3038",IF(N680&lt;7,"3050",IF(N680&lt;9,"3070",IF(N680&lt;11,"3090","3110"))))))),""))))</f>
        <v/>
      </c>
      <c r="Q680">
        <f>AND(O680=TRUE,P680&lt;&gt;"")</f>
        <v/>
      </c>
      <c r="R680">
        <f>IF(G680*1000&lt;750,"なし","あり")</f>
        <v/>
      </c>
      <c r="S680">
        <f>IF(AND(O680=TRUE,Q680=TRUE),"設定可","BLOCK")</f>
        <v/>
      </c>
      <c r="T680" t="inlineStr">
        <is>
          <t>商品カタログ P194</t>
        </is>
      </c>
      <c r="U680" t="inlineStr">
        <is>
          <t>https://webcatalog.lixil.co.jp/iportal/CatalogDetail.do?catalogID=15191910000&amp;categoryID=1630000&amp;designID=newinter&amp;method=initial_screen&amp;position=18&amp;type=mc&amp;volumeID=LXL13001</t>
        </is>
      </c>
    </row>
    <row r="681">
      <c r="A681" t="inlineStr">
        <is>
          <t>WG-SL-00678</t>
        </is>
      </c>
      <c r="B681" t="inlineStr">
        <is>
          <t>SZ-SL-001021</t>
        </is>
      </c>
      <c r="C681" t="inlineStr">
        <is>
          <t>WT-SL-MENKOSHI-AGE-FS</t>
        </is>
      </c>
      <c r="D681" t="inlineStr">
        <is>
          <t>SP-SL-AGE-GRILLE-V</t>
        </is>
      </c>
      <c r="E681" t="inlineStr">
        <is>
          <t>03611</t>
        </is>
      </c>
      <c r="F681" t="n">
        <v>0.405</v>
      </c>
      <c r="G681" t="n">
        <v>1.17</v>
      </c>
      <c r="H681" t="inlineStr">
        <is>
          <t>GL-SL-003</t>
        </is>
      </c>
      <c r="I681" t="n">
        <v>8</v>
      </c>
      <c r="J681" t="n">
        <v>10.4</v>
      </c>
      <c r="K681" t="n">
        <v>-0.605</v>
      </c>
      <c r="L681" t="n">
        <v>-1.332</v>
      </c>
      <c r="M681" t="n">
        <v>0.399</v>
      </c>
      <c r="N681">
        <f>ROUND(J681*F681*G681+K681*G681+L681*F681+M681,3)</f>
        <v/>
      </c>
      <c r="O681">
        <f>AND(N681&gt;=1.4,N681&lt;=13)</f>
        <v/>
      </c>
      <c r="P681">
        <f>IF(OR(N681&lt;1.4,N681&gt;13),"",IF(G681*1000&lt;=1170,IF(N681&lt;1.8,"1014",IF(N681&lt;2.9,"1018",IF(N681&lt;3.8,"1029",IF(N681&lt;5,"1038",IF(N681&lt;7,"1050",IF(N681&lt;9,"1070",IF(N681&lt;11,"1090","1110"))))))),IF(G681*1000&lt;=1570,IF(N681&lt;1.8,"",IF(N681&lt;2.9,"2018",IF(N681&lt;3.8,"2029",IF(N681&lt;5,"2038",IF(N681&lt;7,"2050",IF(N681&lt;9,"2070",IF(N681&lt;11,"2090","2110"))))))),IF(G681*1000&lt;=1700,IF(N681&lt;1.8,"",IF(N681&lt;2.9,"3018",IF(N681&lt;3.8,"3029",IF(N681&lt;5,"3038",IF(N681&lt;7,"3050",IF(N681&lt;9,"3070",IF(N681&lt;11,"3090","3110"))))))),""))))</f>
        <v/>
      </c>
      <c r="Q681">
        <f>AND(O681=TRUE,P681&lt;&gt;"")</f>
        <v/>
      </c>
      <c r="R681">
        <f>IF(G681*1000&lt;750,"なし","あり")</f>
        <v/>
      </c>
      <c r="S681">
        <f>IF(AND(O681=TRUE,Q681=TRUE),"設定可","BLOCK")</f>
        <v/>
      </c>
      <c r="T681" t="inlineStr">
        <is>
          <t>商品カタログ P194</t>
        </is>
      </c>
      <c r="U681" t="inlineStr">
        <is>
          <t>https://webcatalog.lixil.co.jp/iportal/CatalogDetail.do?catalogID=15191910000&amp;categoryID=1630000&amp;designID=newinter&amp;method=initial_screen&amp;position=18&amp;type=mc&amp;volumeID=LXL13001</t>
        </is>
      </c>
    </row>
    <row r="682">
      <c r="A682" t="inlineStr">
        <is>
          <t>WG-SL-00679</t>
        </is>
      </c>
      <c r="B682" t="inlineStr">
        <is>
          <t>SZ-SL-001021</t>
        </is>
      </c>
      <c r="C682" t="inlineStr">
        <is>
          <t>WT-SL-MENKOSHI-AGE-FS</t>
        </is>
      </c>
      <c r="D682" t="inlineStr">
        <is>
          <t>SP-SL-AGE-GRILLE-V</t>
        </is>
      </c>
      <c r="E682" t="inlineStr">
        <is>
          <t>03611</t>
        </is>
      </c>
      <c r="F682" t="n">
        <v>0.405</v>
      </c>
      <c r="G682" t="n">
        <v>1.17</v>
      </c>
      <c r="H682" t="inlineStr">
        <is>
          <t>GL-SL-004</t>
        </is>
      </c>
      <c r="I682" t="n">
        <v>6</v>
      </c>
      <c r="J682" t="n">
        <v>7.8</v>
      </c>
      <c r="K682" t="n">
        <v>-0.355</v>
      </c>
      <c r="L682" t="n">
        <v>-0.664</v>
      </c>
      <c r="M682" t="n">
        <v>0.335</v>
      </c>
      <c r="N682">
        <f>ROUND(J682*F682*G682+K682*G682+L682*F682+M682,3)</f>
        <v/>
      </c>
      <c r="O682">
        <f>AND(N682&gt;=1.4,N682&lt;=13)</f>
        <v/>
      </c>
      <c r="P682">
        <f>IF(OR(N682&lt;1.4,N682&gt;13),"",IF(G682*1000&lt;=1170,IF(N682&lt;1.8,"1014",IF(N682&lt;2.9,"1018",IF(N682&lt;3.8,"1029",IF(N682&lt;5,"1038",IF(N682&lt;7,"1050",IF(N682&lt;9,"1070",IF(N682&lt;11,"1090","1110"))))))),IF(G682*1000&lt;=1570,IF(N682&lt;1.8,"",IF(N682&lt;2.9,"2018",IF(N682&lt;3.8,"2029",IF(N682&lt;5,"2038",IF(N682&lt;7,"2050",IF(N682&lt;9,"2070",IF(N682&lt;11,"2090","2110"))))))),IF(G682*1000&lt;=1700,IF(N682&lt;1.8,"",IF(N682&lt;2.9,"3018",IF(N682&lt;3.8,"3029",IF(N682&lt;5,"3038",IF(N682&lt;7,"3050",IF(N682&lt;9,"3070",IF(N682&lt;11,"3090","3110"))))))),""))))</f>
        <v/>
      </c>
      <c r="Q682">
        <f>AND(O682=TRUE,P682&lt;&gt;"")</f>
        <v/>
      </c>
      <c r="R682">
        <f>IF(G682*1000&lt;750,"なし","あり")</f>
        <v/>
      </c>
      <c r="S682">
        <f>IF(AND(O682=TRUE,Q682=TRUE),"設定可","BLOCK")</f>
        <v/>
      </c>
      <c r="T682" t="inlineStr">
        <is>
          <t>商品カタログ P194</t>
        </is>
      </c>
      <c r="U682" t="inlineStr">
        <is>
          <t>https://webcatalog.lixil.co.jp/iportal/CatalogDetail.do?catalogID=15191910000&amp;categoryID=1630000&amp;designID=newinter&amp;method=initial_screen&amp;position=18&amp;type=mc&amp;volumeID=LXL13001</t>
        </is>
      </c>
    </row>
    <row r="683">
      <c r="A683" t="inlineStr">
        <is>
          <t>WG-SL-00680</t>
        </is>
      </c>
      <c r="B683" t="inlineStr">
        <is>
          <t>SZ-SL-001021</t>
        </is>
      </c>
      <c r="C683" t="inlineStr">
        <is>
          <t>WT-SL-MENKOSHI-AGE-FS</t>
        </is>
      </c>
      <c r="D683" t="inlineStr">
        <is>
          <t>SP-SL-AGE-GRILLE-V</t>
        </is>
      </c>
      <c r="E683" t="inlineStr">
        <is>
          <t>03611</t>
        </is>
      </c>
      <c r="F683" t="n">
        <v>0.405</v>
      </c>
      <c r="G683" t="n">
        <v>1.17</v>
      </c>
      <c r="H683" t="inlineStr">
        <is>
          <t>GL-SL-005</t>
        </is>
      </c>
      <c r="I683" t="n">
        <v>7</v>
      </c>
      <c r="J683" t="n">
        <v>9.1</v>
      </c>
      <c r="K683" t="n">
        <v>-0.48</v>
      </c>
      <c r="L683" t="n">
        <v>-0.998</v>
      </c>
      <c r="M683" t="n">
        <v>0.367</v>
      </c>
      <c r="N683">
        <f>ROUND(J683*F683*G683+K683*G683+L683*F683+M683,3)</f>
        <v/>
      </c>
      <c r="O683">
        <f>AND(N683&gt;=1.4,N683&lt;=13)</f>
        <v/>
      </c>
      <c r="P683">
        <f>IF(OR(N683&lt;1.4,N683&gt;13),"",IF(G683*1000&lt;=1170,IF(N683&lt;1.8,"1014",IF(N683&lt;2.9,"1018",IF(N683&lt;3.8,"1029",IF(N683&lt;5,"1038",IF(N683&lt;7,"1050",IF(N683&lt;9,"1070",IF(N683&lt;11,"1090","1110"))))))),IF(G683*1000&lt;=1570,IF(N683&lt;1.8,"",IF(N683&lt;2.9,"2018",IF(N683&lt;3.8,"2029",IF(N683&lt;5,"2038",IF(N683&lt;7,"2050",IF(N683&lt;9,"2070",IF(N683&lt;11,"2090","2110"))))))),IF(G683*1000&lt;=1700,IF(N683&lt;1.8,"",IF(N683&lt;2.9,"3018",IF(N683&lt;3.8,"3029",IF(N683&lt;5,"3038",IF(N683&lt;7,"3050",IF(N683&lt;9,"3070",IF(N683&lt;11,"3090","3110"))))))),""))))</f>
        <v/>
      </c>
      <c r="Q683">
        <f>AND(O683=TRUE,P683&lt;&gt;"")</f>
        <v/>
      </c>
      <c r="R683">
        <f>IF(G683*1000&lt;750,"なし","あり")</f>
        <v/>
      </c>
      <c r="S683">
        <f>IF(AND(O683=TRUE,Q683=TRUE),"設定可","BLOCK")</f>
        <v/>
      </c>
      <c r="T683" t="inlineStr">
        <is>
          <t>商品カタログ P194</t>
        </is>
      </c>
      <c r="U683" t="inlineStr">
        <is>
          <t>https://webcatalog.lixil.co.jp/iportal/CatalogDetail.do?catalogID=15191910000&amp;categoryID=1630000&amp;designID=newinter&amp;method=initial_screen&amp;position=18&amp;type=mc&amp;volumeID=LXL13001</t>
        </is>
      </c>
    </row>
    <row r="684">
      <c r="A684" t="inlineStr">
        <is>
          <t>WG-SL-00681</t>
        </is>
      </c>
      <c r="B684" t="inlineStr">
        <is>
          <t>SZ-SL-001021</t>
        </is>
      </c>
      <c r="C684" t="inlineStr">
        <is>
          <t>WT-SL-MENKOSHI-AGE-FS</t>
        </is>
      </c>
      <c r="D684" t="inlineStr">
        <is>
          <t>SP-SL-AGE-GRILLE-V</t>
        </is>
      </c>
      <c r="E684" t="inlineStr">
        <is>
          <t>03611</t>
        </is>
      </c>
      <c r="F684" t="n">
        <v>0.405</v>
      </c>
      <c r="G684" t="n">
        <v>1.17</v>
      </c>
      <c r="H684" t="inlineStr">
        <is>
          <t>GL-SL-006</t>
        </is>
      </c>
      <c r="I684" t="n">
        <v>8</v>
      </c>
      <c r="J684" t="n">
        <v>10.4</v>
      </c>
      <c r="K684" t="n">
        <v>-0.605</v>
      </c>
      <c r="L684" t="n">
        <v>-1.332</v>
      </c>
      <c r="M684" t="n">
        <v>0.399</v>
      </c>
      <c r="N684">
        <f>ROUND(J684*F684*G684+K684*G684+L684*F684+M684,3)</f>
        <v/>
      </c>
      <c r="O684">
        <f>AND(N684&gt;=1.4,N684&lt;=13)</f>
        <v/>
      </c>
      <c r="P684">
        <f>IF(OR(N684&lt;1.4,N684&gt;13),"",IF(G684*1000&lt;=1170,IF(N684&lt;1.8,"1014",IF(N684&lt;2.9,"1018",IF(N684&lt;3.8,"1029",IF(N684&lt;5,"1038",IF(N684&lt;7,"1050",IF(N684&lt;9,"1070",IF(N684&lt;11,"1090","1110"))))))),IF(G684*1000&lt;=1570,IF(N684&lt;1.8,"",IF(N684&lt;2.9,"2018",IF(N684&lt;3.8,"2029",IF(N684&lt;5,"2038",IF(N684&lt;7,"2050",IF(N684&lt;9,"2070",IF(N684&lt;11,"2090","2110"))))))),IF(G684*1000&lt;=1700,IF(N684&lt;1.8,"",IF(N684&lt;2.9,"3018",IF(N684&lt;3.8,"3029",IF(N684&lt;5,"3038",IF(N684&lt;7,"3050",IF(N684&lt;9,"3070",IF(N684&lt;11,"3090","3110"))))))),""))))</f>
        <v/>
      </c>
      <c r="Q684">
        <f>AND(O684=TRUE,P684&lt;&gt;"")</f>
        <v/>
      </c>
      <c r="R684">
        <f>IF(G684*1000&lt;750,"なし","あり")</f>
        <v/>
      </c>
      <c r="S684">
        <f>IF(AND(O684=TRUE,Q684=TRUE),"設定可","BLOCK")</f>
        <v/>
      </c>
      <c r="T684" t="inlineStr">
        <is>
          <t>商品カタログ P194</t>
        </is>
      </c>
      <c r="U684" t="inlineStr">
        <is>
          <t>https://webcatalog.lixil.co.jp/iportal/CatalogDetail.do?catalogID=15191910000&amp;categoryID=1630000&amp;designID=newinter&amp;method=initial_screen&amp;position=18&amp;type=mc&amp;volumeID=LXL13001</t>
        </is>
      </c>
    </row>
    <row r="685">
      <c r="A685" t="inlineStr">
        <is>
          <t>WG-SL-00682</t>
        </is>
      </c>
      <c r="B685" t="inlineStr">
        <is>
          <t>SZ-SL-001021</t>
        </is>
      </c>
      <c r="C685" t="inlineStr">
        <is>
          <t>WT-SL-MENKOSHI-AGE-FS</t>
        </is>
      </c>
      <c r="D685" t="inlineStr">
        <is>
          <t>SP-SL-AGE-GRILLE-V</t>
        </is>
      </c>
      <c r="E685" t="inlineStr">
        <is>
          <t>03611</t>
        </is>
      </c>
      <c r="F685" t="n">
        <v>0.405</v>
      </c>
      <c r="G685" t="n">
        <v>1.17</v>
      </c>
      <c r="H685" t="inlineStr">
        <is>
          <t>GL-SL-007</t>
        </is>
      </c>
      <c r="I685" t="n">
        <v>6</v>
      </c>
      <c r="J685" t="n">
        <v>7.8</v>
      </c>
      <c r="K685" t="n">
        <v>-0.355</v>
      </c>
      <c r="L685" t="n">
        <v>-0.664</v>
      </c>
      <c r="M685" t="n">
        <v>0.335</v>
      </c>
      <c r="N685">
        <f>ROUND(J685*F685*G685+K685*G685+L685*F685+M685,3)</f>
        <v/>
      </c>
      <c r="O685">
        <f>AND(N685&gt;=1.4,N685&lt;=13)</f>
        <v/>
      </c>
      <c r="P685">
        <f>IF(OR(N685&lt;1.4,N685&gt;13),"",IF(G685*1000&lt;=1170,IF(N685&lt;1.8,"1014",IF(N685&lt;2.9,"1018",IF(N685&lt;3.8,"1029",IF(N685&lt;5,"1038",IF(N685&lt;7,"1050",IF(N685&lt;9,"1070",IF(N685&lt;11,"1090","1110"))))))),IF(G685*1000&lt;=1570,IF(N685&lt;1.8,"",IF(N685&lt;2.9,"2018",IF(N685&lt;3.8,"2029",IF(N685&lt;5,"2038",IF(N685&lt;7,"2050",IF(N685&lt;9,"2070",IF(N685&lt;11,"2090","2110"))))))),IF(G685*1000&lt;=1700,IF(N685&lt;1.8,"",IF(N685&lt;2.9,"3018",IF(N685&lt;3.8,"3029",IF(N685&lt;5,"3038",IF(N685&lt;7,"3050",IF(N685&lt;9,"3070",IF(N685&lt;11,"3090","3110"))))))),""))))</f>
        <v/>
      </c>
      <c r="Q685">
        <f>AND(O685=TRUE,P685&lt;&gt;"")</f>
        <v/>
      </c>
      <c r="R685">
        <f>IF(G685*1000&lt;750,"なし","あり")</f>
        <v/>
      </c>
      <c r="S685">
        <f>IF(AND(O685=TRUE,Q685=TRUE),"設定可","BLOCK")</f>
        <v/>
      </c>
      <c r="T685" t="inlineStr">
        <is>
          <t>商品カタログ P194</t>
        </is>
      </c>
      <c r="U685" t="inlineStr">
        <is>
          <t>https://webcatalog.lixil.co.jp/iportal/CatalogDetail.do?catalogID=15191910000&amp;categoryID=1630000&amp;designID=newinter&amp;method=initial_screen&amp;position=18&amp;type=mc&amp;volumeID=LXL13001</t>
        </is>
      </c>
    </row>
    <row r="686">
      <c r="A686" t="inlineStr">
        <is>
          <t>WG-SL-00683</t>
        </is>
      </c>
      <c r="B686" t="inlineStr">
        <is>
          <t>SZ-SL-001021</t>
        </is>
      </c>
      <c r="C686" t="inlineStr">
        <is>
          <t>WT-SL-MENKOSHI-AGE-FS</t>
        </is>
      </c>
      <c r="D686" t="inlineStr">
        <is>
          <t>SP-SL-AGE-GRILLE-V</t>
        </is>
      </c>
      <c r="E686" t="inlineStr">
        <is>
          <t>03611</t>
        </is>
      </c>
      <c r="F686" t="n">
        <v>0.405</v>
      </c>
      <c r="G686" t="n">
        <v>1.17</v>
      </c>
      <c r="H686" t="inlineStr">
        <is>
          <t>GL-SL-008</t>
        </is>
      </c>
      <c r="I686" t="n">
        <v>7</v>
      </c>
      <c r="J686" t="n">
        <v>9.1</v>
      </c>
      <c r="K686" t="n">
        <v>-0.48</v>
      </c>
      <c r="L686" t="n">
        <v>-0.998</v>
      </c>
      <c r="M686" t="n">
        <v>0.367</v>
      </c>
      <c r="N686">
        <f>ROUND(J686*F686*G686+K686*G686+L686*F686+M686,3)</f>
        <v/>
      </c>
      <c r="O686">
        <f>AND(N686&gt;=1.4,N686&lt;=13)</f>
        <v/>
      </c>
      <c r="P686">
        <f>IF(OR(N686&lt;1.4,N686&gt;13),"",IF(G686*1000&lt;=1170,IF(N686&lt;1.8,"1014",IF(N686&lt;2.9,"1018",IF(N686&lt;3.8,"1029",IF(N686&lt;5,"1038",IF(N686&lt;7,"1050",IF(N686&lt;9,"1070",IF(N686&lt;11,"1090","1110"))))))),IF(G686*1000&lt;=1570,IF(N686&lt;1.8,"",IF(N686&lt;2.9,"2018",IF(N686&lt;3.8,"2029",IF(N686&lt;5,"2038",IF(N686&lt;7,"2050",IF(N686&lt;9,"2070",IF(N686&lt;11,"2090","2110"))))))),IF(G686*1000&lt;=1700,IF(N686&lt;1.8,"",IF(N686&lt;2.9,"3018",IF(N686&lt;3.8,"3029",IF(N686&lt;5,"3038",IF(N686&lt;7,"3050",IF(N686&lt;9,"3070",IF(N686&lt;11,"3090","3110"))))))),""))))</f>
        <v/>
      </c>
      <c r="Q686">
        <f>AND(O686=TRUE,P686&lt;&gt;"")</f>
        <v/>
      </c>
      <c r="R686">
        <f>IF(G686*1000&lt;750,"なし","あり")</f>
        <v/>
      </c>
      <c r="S686">
        <f>IF(AND(O686=TRUE,Q686=TRUE),"設定可","BLOCK")</f>
        <v/>
      </c>
      <c r="T686" t="inlineStr">
        <is>
          <t>商品カタログ P194</t>
        </is>
      </c>
      <c r="U686" t="inlineStr">
        <is>
          <t>https://webcatalog.lixil.co.jp/iportal/CatalogDetail.do?catalogID=15191910000&amp;categoryID=1630000&amp;designID=newinter&amp;method=initial_screen&amp;position=18&amp;type=mc&amp;volumeID=LXL13001</t>
        </is>
      </c>
    </row>
    <row r="687">
      <c r="A687" t="inlineStr">
        <is>
          <t>WG-SL-00684</t>
        </is>
      </c>
      <c r="B687" t="inlineStr">
        <is>
          <t>SZ-SL-001021</t>
        </is>
      </c>
      <c r="C687" t="inlineStr">
        <is>
          <t>WT-SL-MENKOSHI-AGE-FS</t>
        </is>
      </c>
      <c r="D687" t="inlineStr">
        <is>
          <t>SP-SL-AGE-GRILLE-V</t>
        </is>
      </c>
      <c r="E687" t="inlineStr">
        <is>
          <t>03611</t>
        </is>
      </c>
      <c r="F687" t="n">
        <v>0.405</v>
      </c>
      <c r="G687" t="n">
        <v>1.17</v>
      </c>
      <c r="H687" t="inlineStr">
        <is>
          <t>GL-SL-009</t>
        </is>
      </c>
      <c r="I687" t="n">
        <v>8</v>
      </c>
      <c r="J687" t="n">
        <v>10.4</v>
      </c>
      <c r="K687" t="n">
        <v>-0.605</v>
      </c>
      <c r="L687" t="n">
        <v>-1.332</v>
      </c>
      <c r="M687" t="n">
        <v>0.399</v>
      </c>
      <c r="N687">
        <f>ROUND(J687*F687*G687+K687*G687+L687*F687+M687,3)</f>
        <v/>
      </c>
      <c r="O687">
        <f>AND(N687&gt;=1.4,N687&lt;=13)</f>
        <v/>
      </c>
      <c r="P687">
        <f>IF(OR(N687&lt;1.4,N687&gt;13),"",IF(G687*1000&lt;=1170,IF(N687&lt;1.8,"1014",IF(N687&lt;2.9,"1018",IF(N687&lt;3.8,"1029",IF(N687&lt;5,"1038",IF(N687&lt;7,"1050",IF(N687&lt;9,"1070",IF(N687&lt;11,"1090","1110"))))))),IF(G687*1000&lt;=1570,IF(N687&lt;1.8,"",IF(N687&lt;2.9,"2018",IF(N687&lt;3.8,"2029",IF(N687&lt;5,"2038",IF(N687&lt;7,"2050",IF(N687&lt;9,"2070",IF(N687&lt;11,"2090","2110"))))))),IF(G687*1000&lt;=1700,IF(N687&lt;1.8,"",IF(N687&lt;2.9,"3018",IF(N687&lt;3.8,"3029",IF(N687&lt;5,"3038",IF(N687&lt;7,"3050",IF(N687&lt;9,"3070",IF(N687&lt;11,"3090","3110"))))))),""))))</f>
        <v/>
      </c>
      <c r="Q687">
        <f>AND(O687=TRUE,P687&lt;&gt;"")</f>
        <v/>
      </c>
      <c r="R687">
        <f>IF(G687*1000&lt;750,"なし","あり")</f>
        <v/>
      </c>
      <c r="S687">
        <f>IF(AND(O687=TRUE,Q687=TRUE),"設定可","BLOCK")</f>
        <v/>
      </c>
      <c r="T687" t="inlineStr">
        <is>
          <t>商品カタログ P194</t>
        </is>
      </c>
      <c r="U687" t="inlineStr">
        <is>
          <t>https://webcatalog.lixil.co.jp/iportal/CatalogDetail.do?catalogID=15191910000&amp;categoryID=1630000&amp;designID=newinter&amp;method=initial_screen&amp;position=18&amp;type=mc&amp;volumeID=LXL13001</t>
        </is>
      </c>
    </row>
    <row r="688">
      <c r="A688" t="inlineStr">
        <is>
          <t>WG-SL-00685</t>
        </is>
      </c>
      <c r="B688" t="inlineStr">
        <is>
          <t>SZ-SL-001022</t>
        </is>
      </c>
      <c r="C688" t="inlineStr">
        <is>
          <t>WT-SL-MENKOSHI-AGE-FS</t>
        </is>
      </c>
      <c r="D688" t="inlineStr">
        <is>
          <t>SP-SL-AGE-GRILLE-V</t>
        </is>
      </c>
      <c r="E688" t="inlineStr">
        <is>
          <t>06011</t>
        </is>
      </c>
      <c r="F688" t="n">
        <v>0.64</v>
      </c>
      <c r="G688" t="n">
        <v>1.17</v>
      </c>
      <c r="H688" t="inlineStr">
        <is>
          <t>GL-SL-001</t>
        </is>
      </c>
      <c r="I688" t="n">
        <v>6</v>
      </c>
      <c r="J688" t="n">
        <v>7.8</v>
      </c>
      <c r="K688" t="n">
        <v>-0.355</v>
      </c>
      <c r="L688" t="n">
        <v>-0.664</v>
      </c>
      <c r="M688" t="n">
        <v>0.335</v>
      </c>
      <c r="N688">
        <f>ROUND(J688*F688*G688+K688*G688+L688*F688+M688,3)</f>
        <v/>
      </c>
      <c r="O688">
        <f>AND(N688&gt;=1.4,N688&lt;=13)</f>
        <v/>
      </c>
      <c r="P688">
        <f>IF(OR(N688&lt;1.4,N688&gt;13),"",IF(G688*1000&lt;=1170,IF(N688&lt;1.8,"1014",IF(N688&lt;2.9,"1018",IF(N688&lt;3.8,"1029",IF(N688&lt;5,"1038",IF(N688&lt;7,"1050",IF(N688&lt;9,"1070",IF(N688&lt;11,"1090","1110"))))))),IF(G688*1000&lt;=1570,IF(N688&lt;1.8,"",IF(N688&lt;2.9,"2018",IF(N688&lt;3.8,"2029",IF(N688&lt;5,"2038",IF(N688&lt;7,"2050",IF(N688&lt;9,"2070",IF(N688&lt;11,"2090","2110"))))))),IF(G688*1000&lt;=1700,IF(N688&lt;1.8,"",IF(N688&lt;2.9,"3018",IF(N688&lt;3.8,"3029",IF(N688&lt;5,"3038",IF(N688&lt;7,"3050",IF(N688&lt;9,"3070",IF(N688&lt;11,"3090","3110"))))))),""))))</f>
        <v/>
      </c>
      <c r="Q688">
        <f>AND(O688=TRUE,P688&lt;&gt;"")</f>
        <v/>
      </c>
      <c r="R688">
        <f>IF(G688*1000&lt;750,"なし","あり")</f>
        <v/>
      </c>
      <c r="S688">
        <f>IF(AND(O688=TRUE,Q688=TRUE),"設定可","BLOCK")</f>
        <v/>
      </c>
      <c r="T688" t="inlineStr">
        <is>
          <t>商品カタログ P194</t>
        </is>
      </c>
      <c r="U688" t="inlineStr">
        <is>
          <t>https://webcatalog.lixil.co.jp/iportal/CatalogDetail.do?catalogID=15191910000&amp;categoryID=1630000&amp;designID=newinter&amp;method=initial_screen&amp;position=18&amp;type=mc&amp;volumeID=LXL13001</t>
        </is>
      </c>
    </row>
    <row r="689">
      <c r="A689" t="inlineStr">
        <is>
          <t>WG-SL-00686</t>
        </is>
      </c>
      <c r="B689" t="inlineStr">
        <is>
          <t>SZ-SL-001022</t>
        </is>
      </c>
      <c r="C689" t="inlineStr">
        <is>
          <t>WT-SL-MENKOSHI-AGE-FS</t>
        </is>
      </c>
      <c r="D689" t="inlineStr">
        <is>
          <t>SP-SL-AGE-GRILLE-V</t>
        </is>
      </c>
      <c r="E689" t="inlineStr">
        <is>
          <t>06011</t>
        </is>
      </c>
      <c r="F689" t="n">
        <v>0.64</v>
      </c>
      <c r="G689" t="n">
        <v>1.17</v>
      </c>
      <c r="H689" t="inlineStr">
        <is>
          <t>GL-SL-002</t>
        </is>
      </c>
      <c r="I689" t="n">
        <v>7</v>
      </c>
      <c r="J689" t="n">
        <v>9.1</v>
      </c>
      <c r="K689" t="n">
        <v>-0.48</v>
      </c>
      <c r="L689" t="n">
        <v>-0.998</v>
      </c>
      <c r="M689" t="n">
        <v>0.367</v>
      </c>
      <c r="N689">
        <f>ROUND(J689*F689*G689+K689*G689+L689*F689+M689,3)</f>
        <v/>
      </c>
      <c r="O689">
        <f>AND(N689&gt;=1.4,N689&lt;=13)</f>
        <v/>
      </c>
      <c r="P689">
        <f>IF(OR(N689&lt;1.4,N689&gt;13),"",IF(G689*1000&lt;=1170,IF(N689&lt;1.8,"1014",IF(N689&lt;2.9,"1018",IF(N689&lt;3.8,"1029",IF(N689&lt;5,"1038",IF(N689&lt;7,"1050",IF(N689&lt;9,"1070",IF(N689&lt;11,"1090","1110"))))))),IF(G689*1000&lt;=1570,IF(N689&lt;1.8,"",IF(N689&lt;2.9,"2018",IF(N689&lt;3.8,"2029",IF(N689&lt;5,"2038",IF(N689&lt;7,"2050",IF(N689&lt;9,"2070",IF(N689&lt;11,"2090","2110"))))))),IF(G689*1000&lt;=1700,IF(N689&lt;1.8,"",IF(N689&lt;2.9,"3018",IF(N689&lt;3.8,"3029",IF(N689&lt;5,"3038",IF(N689&lt;7,"3050",IF(N689&lt;9,"3070",IF(N689&lt;11,"3090","3110"))))))),""))))</f>
        <v/>
      </c>
      <c r="Q689">
        <f>AND(O689=TRUE,P689&lt;&gt;"")</f>
        <v/>
      </c>
      <c r="R689">
        <f>IF(G689*1000&lt;750,"なし","あり")</f>
        <v/>
      </c>
      <c r="S689">
        <f>IF(AND(O689=TRUE,Q689=TRUE),"設定可","BLOCK")</f>
        <v/>
      </c>
      <c r="T689" t="inlineStr">
        <is>
          <t>商品カタログ P194</t>
        </is>
      </c>
      <c r="U689" t="inlineStr">
        <is>
          <t>https://webcatalog.lixil.co.jp/iportal/CatalogDetail.do?catalogID=15191910000&amp;categoryID=1630000&amp;designID=newinter&amp;method=initial_screen&amp;position=18&amp;type=mc&amp;volumeID=LXL13001</t>
        </is>
      </c>
    </row>
    <row r="690">
      <c r="A690" t="inlineStr">
        <is>
          <t>WG-SL-00687</t>
        </is>
      </c>
      <c r="B690" t="inlineStr">
        <is>
          <t>SZ-SL-001022</t>
        </is>
      </c>
      <c r="C690" t="inlineStr">
        <is>
          <t>WT-SL-MENKOSHI-AGE-FS</t>
        </is>
      </c>
      <c r="D690" t="inlineStr">
        <is>
          <t>SP-SL-AGE-GRILLE-V</t>
        </is>
      </c>
      <c r="E690" t="inlineStr">
        <is>
          <t>06011</t>
        </is>
      </c>
      <c r="F690" t="n">
        <v>0.64</v>
      </c>
      <c r="G690" t="n">
        <v>1.17</v>
      </c>
      <c r="H690" t="inlineStr">
        <is>
          <t>GL-SL-003</t>
        </is>
      </c>
      <c r="I690" t="n">
        <v>8</v>
      </c>
      <c r="J690" t="n">
        <v>10.4</v>
      </c>
      <c r="K690" t="n">
        <v>-0.605</v>
      </c>
      <c r="L690" t="n">
        <v>-1.332</v>
      </c>
      <c r="M690" t="n">
        <v>0.399</v>
      </c>
      <c r="N690">
        <f>ROUND(J690*F690*G690+K690*G690+L690*F690+M690,3)</f>
        <v/>
      </c>
      <c r="O690">
        <f>AND(N690&gt;=1.4,N690&lt;=13)</f>
        <v/>
      </c>
      <c r="P690">
        <f>IF(OR(N690&lt;1.4,N690&gt;13),"",IF(G690*1000&lt;=1170,IF(N690&lt;1.8,"1014",IF(N690&lt;2.9,"1018",IF(N690&lt;3.8,"1029",IF(N690&lt;5,"1038",IF(N690&lt;7,"1050",IF(N690&lt;9,"1070",IF(N690&lt;11,"1090","1110"))))))),IF(G690*1000&lt;=1570,IF(N690&lt;1.8,"",IF(N690&lt;2.9,"2018",IF(N690&lt;3.8,"2029",IF(N690&lt;5,"2038",IF(N690&lt;7,"2050",IF(N690&lt;9,"2070",IF(N690&lt;11,"2090","2110"))))))),IF(G690*1000&lt;=1700,IF(N690&lt;1.8,"",IF(N690&lt;2.9,"3018",IF(N690&lt;3.8,"3029",IF(N690&lt;5,"3038",IF(N690&lt;7,"3050",IF(N690&lt;9,"3070",IF(N690&lt;11,"3090","3110"))))))),""))))</f>
        <v/>
      </c>
      <c r="Q690">
        <f>AND(O690=TRUE,P690&lt;&gt;"")</f>
        <v/>
      </c>
      <c r="R690">
        <f>IF(G690*1000&lt;750,"なし","あり")</f>
        <v/>
      </c>
      <c r="S690">
        <f>IF(AND(O690=TRUE,Q690=TRUE),"設定可","BLOCK")</f>
        <v/>
      </c>
      <c r="T690" t="inlineStr">
        <is>
          <t>商品カタログ P194</t>
        </is>
      </c>
      <c r="U690" t="inlineStr">
        <is>
          <t>https://webcatalog.lixil.co.jp/iportal/CatalogDetail.do?catalogID=15191910000&amp;categoryID=1630000&amp;designID=newinter&amp;method=initial_screen&amp;position=18&amp;type=mc&amp;volumeID=LXL13001</t>
        </is>
      </c>
    </row>
    <row r="691">
      <c r="A691" t="inlineStr">
        <is>
          <t>WG-SL-00688</t>
        </is>
      </c>
      <c r="B691" t="inlineStr">
        <is>
          <t>SZ-SL-001022</t>
        </is>
      </c>
      <c r="C691" t="inlineStr">
        <is>
          <t>WT-SL-MENKOSHI-AGE-FS</t>
        </is>
      </c>
      <c r="D691" t="inlineStr">
        <is>
          <t>SP-SL-AGE-GRILLE-V</t>
        </is>
      </c>
      <c r="E691" t="inlineStr">
        <is>
          <t>06011</t>
        </is>
      </c>
      <c r="F691" t="n">
        <v>0.64</v>
      </c>
      <c r="G691" t="n">
        <v>1.17</v>
      </c>
      <c r="H691" t="inlineStr">
        <is>
          <t>GL-SL-004</t>
        </is>
      </c>
      <c r="I691" t="n">
        <v>6</v>
      </c>
      <c r="J691" t="n">
        <v>7.8</v>
      </c>
      <c r="K691" t="n">
        <v>-0.355</v>
      </c>
      <c r="L691" t="n">
        <v>-0.664</v>
      </c>
      <c r="M691" t="n">
        <v>0.335</v>
      </c>
      <c r="N691">
        <f>ROUND(J691*F691*G691+K691*G691+L691*F691+M691,3)</f>
        <v/>
      </c>
      <c r="O691">
        <f>AND(N691&gt;=1.4,N691&lt;=13)</f>
        <v/>
      </c>
      <c r="P691">
        <f>IF(OR(N691&lt;1.4,N691&gt;13),"",IF(G691*1000&lt;=1170,IF(N691&lt;1.8,"1014",IF(N691&lt;2.9,"1018",IF(N691&lt;3.8,"1029",IF(N691&lt;5,"1038",IF(N691&lt;7,"1050",IF(N691&lt;9,"1070",IF(N691&lt;11,"1090","1110"))))))),IF(G691*1000&lt;=1570,IF(N691&lt;1.8,"",IF(N691&lt;2.9,"2018",IF(N691&lt;3.8,"2029",IF(N691&lt;5,"2038",IF(N691&lt;7,"2050",IF(N691&lt;9,"2070",IF(N691&lt;11,"2090","2110"))))))),IF(G691*1000&lt;=1700,IF(N691&lt;1.8,"",IF(N691&lt;2.9,"3018",IF(N691&lt;3.8,"3029",IF(N691&lt;5,"3038",IF(N691&lt;7,"3050",IF(N691&lt;9,"3070",IF(N691&lt;11,"3090","3110"))))))),""))))</f>
        <v/>
      </c>
      <c r="Q691">
        <f>AND(O691=TRUE,P691&lt;&gt;"")</f>
        <v/>
      </c>
      <c r="R691">
        <f>IF(G691*1000&lt;750,"なし","あり")</f>
        <v/>
      </c>
      <c r="S691">
        <f>IF(AND(O691=TRUE,Q691=TRUE),"設定可","BLOCK")</f>
        <v/>
      </c>
      <c r="T691" t="inlineStr">
        <is>
          <t>商品カタログ P194</t>
        </is>
      </c>
      <c r="U691" t="inlineStr">
        <is>
          <t>https://webcatalog.lixil.co.jp/iportal/CatalogDetail.do?catalogID=15191910000&amp;categoryID=1630000&amp;designID=newinter&amp;method=initial_screen&amp;position=18&amp;type=mc&amp;volumeID=LXL13001</t>
        </is>
      </c>
    </row>
    <row r="692">
      <c r="A692" t="inlineStr">
        <is>
          <t>WG-SL-00689</t>
        </is>
      </c>
      <c r="B692" t="inlineStr">
        <is>
          <t>SZ-SL-001022</t>
        </is>
      </c>
      <c r="C692" t="inlineStr">
        <is>
          <t>WT-SL-MENKOSHI-AGE-FS</t>
        </is>
      </c>
      <c r="D692" t="inlineStr">
        <is>
          <t>SP-SL-AGE-GRILLE-V</t>
        </is>
      </c>
      <c r="E692" t="inlineStr">
        <is>
          <t>06011</t>
        </is>
      </c>
      <c r="F692" t="n">
        <v>0.64</v>
      </c>
      <c r="G692" t="n">
        <v>1.17</v>
      </c>
      <c r="H692" t="inlineStr">
        <is>
          <t>GL-SL-005</t>
        </is>
      </c>
      <c r="I692" t="n">
        <v>7</v>
      </c>
      <c r="J692" t="n">
        <v>9.1</v>
      </c>
      <c r="K692" t="n">
        <v>-0.48</v>
      </c>
      <c r="L692" t="n">
        <v>-0.998</v>
      </c>
      <c r="M692" t="n">
        <v>0.367</v>
      </c>
      <c r="N692">
        <f>ROUND(J692*F692*G692+K692*G692+L692*F692+M692,3)</f>
        <v/>
      </c>
      <c r="O692">
        <f>AND(N692&gt;=1.4,N692&lt;=13)</f>
        <v/>
      </c>
      <c r="P692">
        <f>IF(OR(N692&lt;1.4,N692&gt;13),"",IF(G692*1000&lt;=1170,IF(N692&lt;1.8,"1014",IF(N692&lt;2.9,"1018",IF(N692&lt;3.8,"1029",IF(N692&lt;5,"1038",IF(N692&lt;7,"1050",IF(N692&lt;9,"1070",IF(N692&lt;11,"1090","1110"))))))),IF(G692*1000&lt;=1570,IF(N692&lt;1.8,"",IF(N692&lt;2.9,"2018",IF(N692&lt;3.8,"2029",IF(N692&lt;5,"2038",IF(N692&lt;7,"2050",IF(N692&lt;9,"2070",IF(N692&lt;11,"2090","2110"))))))),IF(G692*1000&lt;=1700,IF(N692&lt;1.8,"",IF(N692&lt;2.9,"3018",IF(N692&lt;3.8,"3029",IF(N692&lt;5,"3038",IF(N692&lt;7,"3050",IF(N692&lt;9,"3070",IF(N692&lt;11,"3090","3110"))))))),""))))</f>
        <v/>
      </c>
      <c r="Q692">
        <f>AND(O692=TRUE,P692&lt;&gt;"")</f>
        <v/>
      </c>
      <c r="R692">
        <f>IF(G692*1000&lt;750,"なし","あり")</f>
        <v/>
      </c>
      <c r="S692">
        <f>IF(AND(O692=TRUE,Q692=TRUE),"設定可","BLOCK")</f>
        <v/>
      </c>
      <c r="T692" t="inlineStr">
        <is>
          <t>商品カタログ P194</t>
        </is>
      </c>
      <c r="U692" t="inlineStr">
        <is>
          <t>https://webcatalog.lixil.co.jp/iportal/CatalogDetail.do?catalogID=15191910000&amp;categoryID=1630000&amp;designID=newinter&amp;method=initial_screen&amp;position=18&amp;type=mc&amp;volumeID=LXL13001</t>
        </is>
      </c>
    </row>
    <row r="693">
      <c r="A693" t="inlineStr">
        <is>
          <t>WG-SL-00690</t>
        </is>
      </c>
      <c r="B693" t="inlineStr">
        <is>
          <t>SZ-SL-001022</t>
        </is>
      </c>
      <c r="C693" t="inlineStr">
        <is>
          <t>WT-SL-MENKOSHI-AGE-FS</t>
        </is>
      </c>
      <c r="D693" t="inlineStr">
        <is>
          <t>SP-SL-AGE-GRILLE-V</t>
        </is>
      </c>
      <c r="E693" t="inlineStr">
        <is>
          <t>06011</t>
        </is>
      </c>
      <c r="F693" t="n">
        <v>0.64</v>
      </c>
      <c r="G693" t="n">
        <v>1.17</v>
      </c>
      <c r="H693" t="inlineStr">
        <is>
          <t>GL-SL-006</t>
        </is>
      </c>
      <c r="I693" t="n">
        <v>8</v>
      </c>
      <c r="J693" t="n">
        <v>10.4</v>
      </c>
      <c r="K693" t="n">
        <v>-0.605</v>
      </c>
      <c r="L693" t="n">
        <v>-1.332</v>
      </c>
      <c r="M693" t="n">
        <v>0.399</v>
      </c>
      <c r="N693">
        <f>ROUND(J693*F693*G693+K693*G693+L693*F693+M693,3)</f>
        <v/>
      </c>
      <c r="O693">
        <f>AND(N693&gt;=1.4,N693&lt;=13)</f>
        <v/>
      </c>
      <c r="P693">
        <f>IF(OR(N693&lt;1.4,N693&gt;13),"",IF(G693*1000&lt;=1170,IF(N693&lt;1.8,"1014",IF(N693&lt;2.9,"1018",IF(N693&lt;3.8,"1029",IF(N693&lt;5,"1038",IF(N693&lt;7,"1050",IF(N693&lt;9,"1070",IF(N693&lt;11,"1090","1110"))))))),IF(G693*1000&lt;=1570,IF(N693&lt;1.8,"",IF(N693&lt;2.9,"2018",IF(N693&lt;3.8,"2029",IF(N693&lt;5,"2038",IF(N693&lt;7,"2050",IF(N693&lt;9,"2070",IF(N693&lt;11,"2090","2110"))))))),IF(G693*1000&lt;=1700,IF(N693&lt;1.8,"",IF(N693&lt;2.9,"3018",IF(N693&lt;3.8,"3029",IF(N693&lt;5,"3038",IF(N693&lt;7,"3050",IF(N693&lt;9,"3070",IF(N693&lt;11,"3090","3110"))))))),""))))</f>
        <v/>
      </c>
      <c r="Q693">
        <f>AND(O693=TRUE,P693&lt;&gt;"")</f>
        <v/>
      </c>
      <c r="R693">
        <f>IF(G693*1000&lt;750,"なし","あり")</f>
        <v/>
      </c>
      <c r="S693">
        <f>IF(AND(O693=TRUE,Q693=TRUE),"設定可","BLOCK")</f>
        <v/>
      </c>
      <c r="T693" t="inlineStr">
        <is>
          <t>商品カタログ P194</t>
        </is>
      </c>
      <c r="U693" t="inlineStr">
        <is>
          <t>https://webcatalog.lixil.co.jp/iportal/CatalogDetail.do?catalogID=15191910000&amp;categoryID=1630000&amp;designID=newinter&amp;method=initial_screen&amp;position=18&amp;type=mc&amp;volumeID=LXL13001</t>
        </is>
      </c>
    </row>
    <row r="694">
      <c r="A694" t="inlineStr">
        <is>
          <t>WG-SL-00691</t>
        </is>
      </c>
      <c r="B694" t="inlineStr">
        <is>
          <t>SZ-SL-001022</t>
        </is>
      </c>
      <c r="C694" t="inlineStr">
        <is>
          <t>WT-SL-MENKOSHI-AGE-FS</t>
        </is>
      </c>
      <c r="D694" t="inlineStr">
        <is>
          <t>SP-SL-AGE-GRILLE-V</t>
        </is>
      </c>
      <c r="E694" t="inlineStr">
        <is>
          <t>06011</t>
        </is>
      </c>
      <c r="F694" t="n">
        <v>0.64</v>
      </c>
      <c r="G694" t="n">
        <v>1.17</v>
      </c>
      <c r="H694" t="inlineStr">
        <is>
          <t>GL-SL-007</t>
        </is>
      </c>
      <c r="I694" t="n">
        <v>6</v>
      </c>
      <c r="J694" t="n">
        <v>7.8</v>
      </c>
      <c r="K694" t="n">
        <v>-0.355</v>
      </c>
      <c r="L694" t="n">
        <v>-0.664</v>
      </c>
      <c r="M694" t="n">
        <v>0.335</v>
      </c>
      <c r="N694">
        <f>ROUND(J694*F694*G694+K694*G694+L694*F694+M694,3)</f>
        <v/>
      </c>
      <c r="O694">
        <f>AND(N694&gt;=1.4,N694&lt;=13)</f>
        <v/>
      </c>
      <c r="P694">
        <f>IF(OR(N694&lt;1.4,N694&gt;13),"",IF(G694*1000&lt;=1170,IF(N694&lt;1.8,"1014",IF(N694&lt;2.9,"1018",IF(N694&lt;3.8,"1029",IF(N694&lt;5,"1038",IF(N694&lt;7,"1050",IF(N694&lt;9,"1070",IF(N694&lt;11,"1090","1110"))))))),IF(G694*1000&lt;=1570,IF(N694&lt;1.8,"",IF(N694&lt;2.9,"2018",IF(N694&lt;3.8,"2029",IF(N694&lt;5,"2038",IF(N694&lt;7,"2050",IF(N694&lt;9,"2070",IF(N694&lt;11,"2090","2110"))))))),IF(G694*1000&lt;=1700,IF(N694&lt;1.8,"",IF(N694&lt;2.9,"3018",IF(N694&lt;3.8,"3029",IF(N694&lt;5,"3038",IF(N694&lt;7,"3050",IF(N694&lt;9,"3070",IF(N694&lt;11,"3090","3110"))))))),""))))</f>
        <v/>
      </c>
      <c r="Q694">
        <f>AND(O694=TRUE,P694&lt;&gt;"")</f>
        <v/>
      </c>
      <c r="R694">
        <f>IF(G694*1000&lt;750,"なし","あり")</f>
        <v/>
      </c>
      <c r="S694">
        <f>IF(AND(O694=TRUE,Q694=TRUE),"設定可","BLOCK")</f>
        <v/>
      </c>
      <c r="T694" t="inlineStr">
        <is>
          <t>商品カタログ P194</t>
        </is>
      </c>
      <c r="U694" t="inlineStr">
        <is>
          <t>https://webcatalog.lixil.co.jp/iportal/CatalogDetail.do?catalogID=15191910000&amp;categoryID=1630000&amp;designID=newinter&amp;method=initial_screen&amp;position=18&amp;type=mc&amp;volumeID=LXL13001</t>
        </is>
      </c>
    </row>
    <row r="695">
      <c r="A695" t="inlineStr">
        <is>
          <t>WG-SL-00692</t>
        </is>
      </c>
      <c r="B695" t="inlineStr">
        <is>
          <t>SZ-SL-001022</t>
        </is>
      </c>
      <c r="C695" t="inlineStr">
        <is>
          <t>WT-SL-MENKOSHI-AGE-FS</t>
        </is>
      </c>
      <c r="D695" t="inlineStr">
        <is>
          <t>SP-SL-AGE-GRILLE-V</t>
        </is>
      </c>
      <c r="E695" t="inlineStr">
        <is>
          <t>06011</t>
        </is>
      </c>
      <c r="F695" t="n">
        <v>0.64</v>
      </c>
      <c r="G695" t="n">
        <v>1.17</v>
      </c>
      <c r="H695" t="inlineStr">
        <is>
          <t>GL-SL-008</t>
        </is>
      </c>
      <c r="I695" t="n">
        <v>7</v>
      </c>
      <c r="J695" t="n">
        <v>9.1</v>
      </c>
      <c r="K695" t="n">
        <v>-0.48</v>
      </c>
      <c r="L695" t="n">
        <v>-0.998</v>
      </c>
      <c r="M695" t="n">
        <v>0.367</v>
      </c>
      <c r="N695">
        <f>ROUND(J695*F695*G695+K695*G695+L695*F695+M695,3)</f>
        <v/>
      </c>
      <c r="O695">
        <f>AND(N695&gt;=1.4,N695&lt;=13)</f>
        <v/>
      </c>
      <c r="P695">
        <f>IF(OR(N695&lt;1.4,N695&gt;13),"",IF(G695*1000&lt;=1170,IF(N695&lt;1.8,"1014",IF(N695&lt;2.9,"1018",IF(N695&lt;3.8,"1029",IF(N695&lt;5,"1038",IF(N695&lt;7,"1050",IF(N695&lt;9,"1070",IF(N695&lt;11,"1090","1110"))))))),IF(G695*1000&lt;=1570,IF(N695&lt;1.8,"",IF(N695&lt;2.9,"2018",IF(N695&lt;3.8,"2029",IF(N695&lt;5,"2038",IF(N695&lt;7,"2050",IF(N695&lt;9,"2070",IF(N695&lt;11,"2090","2110"))))))),IF(G695*1000&lt;=1700,IF(N695&lt;1.8,"",IF(N695&lt;2.9,"3018",IF(N695&lt;3.8,"3029",IF(N695&lt;5,"3038",IF(N695&lt;7,"3050",IF(N695&lt;9,"3070",IF(N695&lt;11,"3090","3110"))))))),""))))</f>
        <v/>
      </c>
      <c r="Q695">
        <f>AND(O695=TRUE,P695&lt;&gt;"")</f>
        <v/>
      </c>
      <c r="R695">
        <f>IF(G695*1000&lt;750,"なし","あり")</f>
        <v/>
      </c>
      <c r="S695">
        <f>IF(AND(O695=TRUE,Q695=TRUE),"設定可","BLOCK")</f>
        <v/>
      </c>
      <c r="T695" t="inlineStr">
        <is>
          <t>商品カタログ P194</t>
        </is>
      </c>
      <c r="U695" t="inlineStr">
        <is>
          <t>https://webcatalog.lixil.co.jp/iportal/CatalogDetail.do?catalogID=15191910000&amp;categoryID=1630000&amp;designID=newinter&amp;method=initial_screen&amp;position=18&amp;type=mc&amp;volumeID=LXL13001</t>
        </is>
      </c>
    </row>
    <row r="696">
      <c r="A696" t="inlineStr">
        <is>
          <t>WG-SL-00693</t>
        </is>
      </c>
      <c r="B696" t="inlineStr">
        <is>
          <t>SZ-SL-001022</t>
        </is>
      </c>
      <c r="C696" t="inlineStr">
        <is>
          <t>WT-SL-MENKOSHI-AGE-FS</t>
        </is>
      </c>
      <c r="D696" t="inlineStr">
        <is>
          <t>SP-SL-AGE-GRILLE-V</t>
        </is>
      </c>
      <c r="E696" t="inlineStr">
        <is>
          <t>06011</t>
        </is>
      </c>
      <c r="F696" t="n">
        <v>0.64</v>
      </c>
      <c r="G696" t="n">
        <v>1.17</v>
      </c>
      <c r="H696" t="inlineStr">
        <is>
          <t>GL-SL-009</t>
        </is>
      </c>
      <c r="I696" t="n">
        <v>8</v>
      </c>
      <c r="J696" t="n">
        <v>10.4</v>
      </c>
      <c r="K696" t="n">
        <v>-0.605</v>
      </c>
      <c r="L696" t="n">
        <v>-1.332</v>
      </c>
      <c r="M696" t="n">
        <v>0.399</v>
      </c>
      <c r="N696">
        <f>ROUND(J696*F696*G696+K696*G696+L696*F696+M696,3)</f>
        <v/>
      </c>
      <c r="O696">
        <f>AND(N696&gt;=1.4,N696&lt;=13)</f>
        <v/>
      </c>
      <c r="P696">
        <f>IF(OR(N696&lt;1.4,N696&gt;13),"",IF(G696*1000&lt;=1170,IF(N696&lt;1.8,"1014",IF(N696&lt;2.9,"1018",IF(N696&lt;3.8,"1029",IF(N696&lt;5,"1038",IF(N696&lt;7,"1050",IF(N696&lt;9,"1070",IF(N696&lt;11,"1090","1110"))))))),IF(G696*1000&lt;=1570,IF(N696&lt;1.8,"",IF(N696&lt;2.9,"2018",IF(N696&lt;3.8,"2029",IF(N696&lt;5,"2038",IF(N696&lt;7,"2050",IF(N696&lt;9,"2070",IF(N696&lt;11,"2090","2110"))))))),IF(G696*1000&lt;=1700,IF(N696&lt;1.8,"",IF(N696&lt;2.9,"3018",IF(N696&lt;3.8,"3029",IF(N696&lt;5,"3038",IF(N696&lt;7,"3050",IF(N696&lt;9,"3070",IF(N696&lt;11,"3090","3110"))))))),""))))</f>
        <v/>
      </c>
      <c r="Q696">
        <f>AND(O696=TRUE,P696&lt;&gt;"")</f>
        <v/>
      </c>
      <c r="R696">
        <f>IF(G696*1000&lt;750,"なし","あり")</f>
        <v/>
      </c>
      <c r="S696">
        <f>IF(AND(O696=TRUE,Q696=TRUE),"設定可","BLOCK")</f>
        <v/>
      </c>
      <c r="T696" t="inlineStr">
        <is>
          <t>商品カタログ P194</t>
        </is>
      </c>
      <c r="U696" t="inlineStr">
        <is>
          <t>https://webcatalog.lixil.co.jp/iportal/CatalogDetail.do?catalogID=15191910000&amp;categoryID=1630000&amp;designID=newinter&amp;method=initial_screen&amp;position=18&amp;type=mc&amp;volumeID=LXL13001</t>
        </is>
      </c>
    </row>
    <row r="697">
      <c r="A697" t="inlineStr">
        <is>
          <t>WG-SL-00694</t>
        </is>
      </c>
      <c r="B697" t="inlineStr">
        <is>
          <t>SZ-SL-001023</t>
        </is>
      </c>
      <c r="C697" t="inlineStr">
        <is>
          <t>WT-SL-MENKOSHI-AGE-FS</t>
        </is>
      </c>
      <c r="D697" t="inlineStr">
        <is>
          <t>SP-SL-AGE-GRILLE-V</t>
        </is>
      </c>
      <c r="E697" t="inlineStr">
        <is>
          <t>06911</t>
        </is>
      </c>
      <c r="F697" t="n">
        <v>0.73</v>
      </c>
      <c r="G697" t="n">
        <v>1.17</v>
      </c>
      <c r="H697" t="inlineStr">
        <is>
          <t>GL-SL-001</t>
        </is>
      </c>
      <c r="I697" t="n">
        <v>6</v>
      </c>
      <c r="J697" t="n">
        <v>7.8</v>
      </c>
      <c r="K697" t="n">
        <v>-0.355</v>
      </c>
      <c r="L697" t="n">
        <v>-0.664</v>
      </c>
      <c r="M697" t="n">
        <v>0.335</v>
      </c>
      <c r="N697">
        <f>ROUND(J697*F697*G697+K697*G697+L697*F697+M697,3)</f>
        <v/>
      </c>
      <c r="O697">
        <f>AND(N697&gt;=1.4,N697&lt;=13)</f>
        <v/>
      </c>
      <c r="P697">
        <f>IF(OR(N697&lt;1.4,N697&gt;13),"",IF(G697*1000&lt;=1170,IF(N697&lt;1.8,"1014",IF(N697&lt;2.9,"1018",IF(N697&lt;3.8,"1029",IF(N697&lt;5,"1038",IF(N697&lt;7,"1050",IF(N697&lt;9,"1070",IF(N697&lt;11,"1090","1110"))))))),IF(G697*1000&lt;=1570,IF(N697&lt;1.8,"",IF(N697&lt;2.9,"2018",IF(N697&lt;3.8,"2029",IF(N697&lt;5,"2038",IF(N697&lt;7,"2050",IF(N697&lt;9,"2070",IF(N697&lt;11,"2090","2110"))))))),IF(G697*1000&lt;=1700,IF(N697&lt;1.8,"",IF(N697&lt;2.9,"3018",IF(N697&lt;3.8,"3029",IF(N697&lt;5,"3038",IF(N697&lt;7,"3050",IF(N697&lt;9,"3070",IF(N697&lt;11,"3090","3110"))))))),""))))</f>
        <v/>
      </c>
      <c r="Q697">
        <f>AND(O697=TRUE,P697&lt;&gt;"")</f>
        <v/>
      </c>
      <c r="R697">
        <f>IF(G697*1000&lt;750,"なし","あり")</f>
        <v/>
      </c>
      <c r="S697">
        <f>IF(AND(O697=TRUE,Q697=TRUE),"設定可","BLOCK")</f>
        <v/>
      </c>
      <c r="T697" t="inlineStr">
        <is>
          <t>商品カタログ P194</t>
        </is>
      </c>
      <c r="U697" t="inlineStr">
        <is>
          <t>https://webcatalog.lixil.co.jp/iportal/CatalogDetail.do?catalogID=15191910000&amp;categoryID=1630000&amp;designID=newinter&amp;method=initial_screen&amp;position=18&amp;type=mc&amp;volumeID=LXL13001</t>
        </is>
      </c>
    </row>
    <row r="698">
      <c r="A698" t="inlineStr">
        <is>
          <t>WG-SL-00695</t>
        </is>
      </c>
      <c r="B698" t="inlineStr">
        <is>
          <t>SZ-SL-001023</t>
        </is>
      </c>
      <c r="C698" t="inlineStr">
        <is>
          <t>WT-SL-MENKOSHI-AGE-FS</t>
        </is>
      </c>
      <c r="D698" t="inlineStr">
        <is>
          <t>SP-SL-AGE-GRILLE-V</t>
        </is>
      </c>
      <c r="E698" t="inlineStr">
        <is>
          <t>06911</t>
        </is>
      </c>
      <c r="F698" t="n">
        <v>0.73</v>
      </c>
      <c r="G698" t="n">
        <v>1.17</v>
      </c>
      <c r="H698" t="inlineStr">
        <is>
          <t>GL-SL-002</t>
        </is>
      </c>
      <c r="I698" t="n">
        <v>7</v>
      </c>
      <c r="J698" t="n">
        <v>9.1</v>
      </c>
      <c r="K698" t="n">
        <v>-0.48</v>
      </c>
      <c r="L698" t="n">
        <v>-0.998</v>
      </c>
      <c r="M698" t="n">
        <v>0.367</v>
      </c>
      <c r="N698">
        <f>ROUND(J698*F698*G698+K698*G698+L698*F698+M698,3)</f>
        <v/>
      </c>
      <c r="O698">
        <f>AND(N698&gt;=1.4,N698&lt;=13)</f>
        <v/>
      </c>
      <c r="P698">
        <f>IF(OR(N698&lt;1.4,N698&gt;13),"",IF(G698*1000&lt;=1170,IF(N698&lt;1.8,"1014",IF(N698&lt;2.9,"1018",IF(N698&lt;3.8,"1029",IF(N698&lt;5,"1038",IF(N698&lt;7,"1050",IF(N698&lt;9,"1070",IF(N698&lt;11,"1090","1110"))))))),IF(G698*1000&lt;=1570,IF(N698&lt;1.8,"",IF(N698&lt;2.9,"2018",IF(N698&lt;3.8,"2029",IF(N698&lt;5,"2038",IF(N698&lt;7,"2050",IF(N698&lt;9,"2070",IF(N698&lt;11,"2090","2110"))))))),IF(G698*1000&lt;=1700,IF(N698&lt;1.8,"",IF(N698&lt;2.9,"3018",IF(N698&lt;3.8,"3029",IF(N698&lt;5,"3038",IF(N698&lt;7,"3050",IF(N698&lt;9,"3070",IF(N698&lt;11,"3090","3110"))))))),""))))</f>
        <v/>
      </c>
      <c r="Q698">
        <f>AND(O698=TRUE,P698&lt;&gt;"")</f>
        <v/>
      </c>
      <c r="R698">
        <f>IF(G698*1000&lt;750,"なし","あり")</f>
        <v/>
      </c>
      <c r="S698">
        <f>IF(AND(O698=TRUE,Q698=TRUE),"設定可","BLOCK")</f>
        <v/>
      </c>
      <c r="T698" t="inlineStr">
        <is>
          <t>商品カタログ P194</t>
        </is>
      </c>
      <c r="U698" t="inlineStr">
        <is>
          <t>https://webcatalog.lixil.co.jp/iportal/CatalogDetail.do?catalogID=15191910000&amp;categoryID=1630000&amp;designID=newinter&amp;method=initial_screen&amp;position=18&amp;type=mc&amp;volumeID=LXL13001</t>
        </is>
      </c>
    </row>
    <row r="699">
      <c r="A699" t="inlineStr">
        <is>
          <t>WG-SL-00696</t>
        </is>
      </c>
      <c r="B699" t="inlineStr">
        <is>
          <t>SZ-SL-001023</t>
        </is>
      </c>
      <c r="C699" t="inlineStr">
        <is>
          <t>WT-SL-MENKOSHI-AGE-FS</t>
        </is>
      </c>
      <c r="D699" t="inlineStr">
        <is>
          <t>SP-SL-AGE-GRILLE-V</t>
        </is>
      </c>
      <c r="E699" t="inlineStr">
        <is>
          <t>06911</t>
        </is>
      </c>
      <c r="F699" t="n">
        <v>0.73</v>
      </c>
      <c r="G699" t="n">
        <v>1.17</v>
      </c>
      <c r="H699" t="inlineStr">
        <is>
          <t>GL-SL-003</t>
        </is>
      </c>
      <c r="I699" t="n">
        <v>8</v>
      </c>
      <c r="J699" t="n">
        <v>10.4</v>
      </c>
      <c r="K699" t="n">
        <v>-0.605</v>
      </c>
      <c r="L699" t="n">
        <v>-1.332</v>
      </c>
      <c r="M699" t="n">
        <v>0.399</v>
      </c>
      <c r="N699">
        <f>ROUND(J699*F699*G699+K699*G699+L699*F699+M699,3)</f>
        <v/>
      </c>
      <c r="O699">
        <f>AND(N699&gt;=1.4,N699&lt;=13)</f>
        <v/>
      </c>
      <c r="P699">
        <f>IF(OR(N699&lt;1.4,N699&gt;13),"",IF(G699*1000&lt;=1170,IF(N699&lt;1.8,"1014",IF(N699&lt;2.9,"1018",IF(N699&lt;3.8,"1029",IF(N699&lt;5,"1038",IF(N699&lt;7,"1050",IF(N699&lt;9,"1070",IF(N699&lt;11,"1090","1110"))))))),IF(G699*1000&lt;=1570,IF(N699&lt;1.8,"",IF(N699&lt;2.9,"2018",IF(N699&lt;3.8,"2029",IF(N699&lt;5,"2038",IF(N699&lt;7,"2050",IF(N699&lt;9,"2070",IF(N699&lt;11,"2090","2110"))))))),IF(G699*1000&lt;=1700,IF(N699&lt;1.8,"",IF(N699&lt;2.9,"3018",IF(N699&lt;3.8,"3029",IF(N699&lt;5,"3038",IF(N699&lt;7,"3050",IF(N699&lt;9,"3070",IF(N699&lt;11,"3090","3110"))))))),""))))</f>
        <v/>
      </c>
      <c r="Q699">
        <f>AND(O699=TRUE,P699&lt;&gt;"")</f>
        <v/>
      </c>
      <c r="R699">
        <f>IF(G699*1000&lt;750,"なし","あり")</f>
        <v/>
      </c>
      <c r="S699">
        <f>IF(AND(O699=TRUE,Q699=TRUE),"設定可","BLOCK")</f>
        <v/>
      </c>
      <c r="T699" t="inlineStr">
        <is>
          <t>商品カタログ P194</t>
        </is>
      </c>
      <c r="U699" t="inlineStr">
        <is>
          <t>https://webcatalog.lixil.co.jp/iportal/CatalogDetail.do?catalogID=15191910000&amp;categoryID=1630000&amp;designID=newinter&amp;method=initial_screen&amp;position=18&amp;type=mc&amp;volumeID=LXL13001</t>
        </is>
      </c>
    </row>
    <row r="700">
      <c r="A700" t="inlineStr">
        <is>
          <t>WG-SL-00697</t>
        </is>
      </c>
      <c r="B700" t="inlineStr">
        <is>
          <t>SZ-SL-001023</t>
        </is>
      </c>
      <c r="C700" t="inlineStr">
        <is>
          <t>WT-SL-MENKOSHI-AGE-FS</t>
        </is>
      </c>
      <c r="D700" t="inlineStr">
        <is>
          <t>SP-SL-AGE-GRILLE-V</t>
        </is>
      </c>
      <c r="E700" t="inlineStr">
        <is>
          <t>06911</t>
        </is>
      </c>
      <c r="F700" t="n">
        <v>0.73</v>
      </c>
      <c r="G700" t="n">
        <v>1.17</v>
      </c>
      <c r="H700" t="inlineStr">
        <is>
          <t>GL-SL-004</t>
        </is>
      </c>
      <c r="I700" t="n">
        <v>6</v>
      </c>
      <c r="J700" t="n">
        <v>7.8</v>
      </c>
      <c r="K700" t="n">
        <v>-0.355</v>
      </c>
      <c r="L700" t="n">
        <v>-0.664</v>
      </c>
      <c r="M700" t="n">
        <v>0.335</v>
      </c>
      <c r="N700">
        <f>ROUND(J700*F700*G700+K700*G700+L700*F700+M700,3)</f>
        <v/>
      </c>
      <c r="O700">
        <f>AND(N700&gt;=1.4,N700&lt;=13)</f>
        <v/>
      </c>
      <c r="P700">
        <f>IF(OR(N700&lt;1.4,N700&gt;13),"",IF(G700*1000&lt;=1170,IF(N700&lt;1.8,"1014",IF(N700&lt;2.9,"1018",IF(N700&lt;3.8,"1029",IF(N700&lt;5,"1038",IF(N700&lt;7,"1050",IF(N700&lt;9,"1070",IF(N700&lt;11,"1090","1110"))))))),IF(G700*1000&lt;=1570,IF(N700&lt;1.8,"",IF(N700&lt;2.9,"2018",IF(N700&lt;3.8,"2029",IF(N700&lt;5,"2038",IF(N700&lt;7,"2050",IF(N700&lt;9,"2070",IF(N700&lt;11,"2090","2110"))))))),IF(G700*1000&lt;=1700,IF(N700&lt;1.8,"",IF(N700&lt;2.9,"3018",IF(N700&lt;3.8,"3029",IF(N700&lt;5,"3038",IF(N700&lt;7,"3050",IF(N700&lt;9,"3070",IF(N700&lt;11,"3090","3110"))))))),""))))</f>
        <v/>
      </c>
      <c r="Q700">
        <f>AND(O700=TRUE,P700&lt;&gt;"")</f>
        <v/>
      </c>
      <c r="R700">
        <f>IF(G700*1000&lt;750,"なし","あり")</f>
        <v/>
      </c>
      <c r="S700">
        <f>IF(AND(O700=TRUE,Q700=TRUE),"設定可","BLOCK")</f>
        <v/>
      </c>
      <c r="T700" t="inlineStr">
        <is>
          <t>商品カタログ P194</t>
        </is>
      </c>
      <c r="U700" t="inlineStr">
        <is>
          <t>https://webcatalog.lixil.co.jp/iportal/CatalogDetail.do?catalogID=15191910000&amp;categoryID=1630000&amp;designID=newinter&amp;method=initial_screen&amp;position=18&amp;type=mc&amp;volumeID=LXL13001</t>
        </is>
      </c>
    </row>
    <row r="701">
      <c r="A701" t="inlineStr">
        <is>
          <t>WG-SL-00698</t>
        </is>
      </c>
      <c r="B701" t="inlineStr">
        <is>
          <t>SZ-SL-001023</t>
        </is>
      </c>
      <c r="C701" t="inlineStr">
        <is>
          <t>WT-SL-MENKOSHI-AGE-FS</t>
        </is>
      </c>
      <c r="D701" t="inlineStr">
        <is>
          <t>SP-SL-AGE-GRILLE-V</t>
        </is>
      </c>
      <c r="E701" t="inlineStr">
        <is>
          <t>06911</t>
        </is>
      </c>
      <c r="F701" t="n">
        <v>0.73</v>
      </c>
      <c r="G701" t="n">
        <v>1.17</v>
      </c>
      <c r="H701" t="inlineStr">
        <is>
          <t>GL-SL-005</t>
        </is>
      </c>
      <c r="I701" t="n">
        <v>7</v>
      </c>
      <c r="J701" t="n">
        <v>9.1</v>
      </c>
      <c r="K701" t="n">
        <v>-0.48</v>
      </c>
      <c r="L701" t="n">
        <v>-0.998</v>
      </c>
      <c r="M701" t="n">
        <v>0.367</v>
      </c>
      <c r="N701">
        <f>ROUND(J701*F701*G701+K701*G701+L701*F701+M701,3)</f>
        <v/>
      </c>
      <c r="O701">
        <f>AND(N701&gt;=1.4,N701&lt;=13)</f>
        <v/>
      </c>
      <c r="P701">
        <f>IF(OR(N701&lt;1.4,N701&gt;13),"",IF(G701*1000&lt;=1170,IF(N701&lt;1.8,"1014",IF(N701&lt;2.9,"1018",IF(N701&lt;3.8,"1029",IF(N701&lt;5,"1038",IF(N701&lt;7,"1050",IF(N701&lt;9,"1070",IF(N701&lt;11,"1090","1110"))))))),IF(G701*1000&lt;=1570,IF(N701&lt;1.8,"",IF(N701&lt;2.9,"2018",IF(N701&lt;3.8,"2029",IF(N701&lt;5,"2038",IF(N701&lt;7,"2050",IF(N701&lt;9,"2070",IF(N701&lt;11,"2090","2110"))))))),IF(G701*1000&lt;=1700,IF(N701&lt;1.8,"",IF(N701&lt;2.9,"3018",IF(N701&lt;3.8,"3029",IF(N701&lt;5,"3038",IF(N701&lt;7,"3050",IF(N701&lt;9,"3070",IF(N701&lt;11,"3090","3110"))))))),""))))</f>
        <v/>
      </c>
      <c r="Q701">
        <f>AND(O701=TRUE,P701&lt;&gt;"")</f>
        <v/>
      </c>
      <c r="R701">
        <f>IF(G701*1000&lt;750,"なし","あり")</f>
        <v/>
      </c>
      <c r="S701">
        <f>IF(AND(O701=TRUE,Q701=TRUE),"設定可","BLOCK")</f>
        <v/>
      </c>
      <c r="T701" t="inlineStr">
        <is>
          <t>商品カタログ P194</t>
        </is>
      </c>
      <c r="U701" t="inlineStr">
        <is>
          <t>https://webcatalog.lixil.co.jp/iportal/CatalogDetail.do?catalogID=15191910000&amp;categoryID=1630000&amp;designID=newinter&amp;method=initial_screen&amp;position=18&amp;type=mc&amp;volumeID=LXL13001</t>
        </is>
      </c>
    </row>
    <row r="702">
      <c r="A702" t="inlineStr">
        <is>
          <t>WG-SL-00699</t>
        </is>
      </c>
      <c r="B702" t="inlineStr">
        <is>
          <t>SZ-SL-001023</t>
        </is>
      </c>
      <c r="C702" t="inlineStr">
        <is>
          <t>WT-SL-MENKOSHI-AGE-FS</t>
        </is>
      </c>
      <c r="D702" t="inlineStr">
        <is>
          <t>SP-SL-AGE-GRILLE-V</t>
        </is>
      </c>
      <c r="E702" t="inlineStr">
        <is>
          <t>06911</t>
        </is>
      </c>
      <c r="F702" t="n">
        <v>0.73</v>
      </c>
      <c r="G702" t="n">
        <v>1.17</v>
      </c>
      <c r="H702" t="inlineStr">
        <is>
          <t>GL-SL-006</t>
        </is>
      </c>
      <c r="I702" t="n">
        <v>8</v>
      </c>
      <c r="J702" t="n">
        <v>10.4</v>
      </c>
      <c r="K702" t="n">
        <v>-0.605</v>
      </c>
      <c r="L702" t="n">
        <v>-1.332</v>
      </c>
      <c r="M702" t="n">
        <v>0.399</v>
      </c>
      <c r="N702">
        <f>ROUND(J702*F702*G702+K702*G702+L702*F702+M702,3)</f>
        <v/>
      </c>
      <c r="O702">
        <f>AND(N702&gt;=1.4,N702&lt;=13)</f>
        <v/>
      </c>
      <c r="P702">
        <f>IF(OR(N702&lt;1.4,N702&gt;13),"",IF(G702*1000&lt;=1170,IF(N702&lt;1.8,"1014",IF(N702&lt;2.9,"1018",IF(N702&lt;3.8,"1029",IF(N702&lt;5,"1038",IF(N702&lt;7,"1050",IF(N702&lt;9,"1070",IF(N702&lt;11,"1090","1110"))))))),IF(G702*1000&lt;=1570,IF(N702&lt;1.8,"",IF(N702&lt;2.9,"2018",IF(N702&lt;3.8,"2029",IF(N702&lt;5,"2038",IF(N702&lt;7,"2050",IF(N702&lt;9,"2070",IF(N702&lt;11,"2090","2110"))))))),IF(G702*1000&lt;=1700,IF(N702&lt;1.8,"",IF(N702&lt;2.9,"3018",IF(N702&lt;3.8,"3029",IF(N702&lt;5,"3038",IF(N702&lt;7,"3050",IF(N702&lt;9,"3070",IF(N702&lt;11,"3090","3110"))))))),""))))</f>
        <v/>
      </c>
      <c r="Q702">
        <f>AND(O702=TRUE,P702&lt;&gt;"")</f>
        <v/>
      </c>
      <c r="R702">
        <f>IF(G702*1000&lt;750,"なし","あり")</f>
        <v/>
      </c>
      <c r="S702">
        <f>IF(AND(O702=TRUE,Q702=TRUE),"設定可","BLOCK")</f>
        <v/>
      </c>
      <c r="T702" t="inlineStr">
        <is>
          <t>商品カタログ P194</t>
        </is>
      </c>
      <c r="U702" t="inlineStr">
        <is>
          <t>https://webcatalog.lixil.co.jp/iportal/CatalogDetail.do?catalogID=15191910000&amp;categoryID=1630000&amp;designID=newinter&amp;method=initial_screen&amp;position=18&amp;type=mc&amp;volumeID=LXL13001</t>
        </is>
      </c>
    </row>
    <row r="703">
      <c r="A703" t="inlineStr">
        <is>
          <t>WG-SL-00700</t>
        </is>
      </c>
      <c r="B703" t="inlineStr">
        <is>
          <t>SZ-SL-001023</t>
        </is>
      </c>
      <c r="C703" t="inlineStr">
        <is>
          <t>WT-SL-MENKOSHI-AGE-FS</t>
        </is>
      </c>
      <c r="D703" t="inlineStr">
        <is>
          <t>SP-SL-AGE-GRILLE-V</t>
        </is>
      </c>
      <c r="E703" t="inlineStr">
        <is>
          <t>06911</t>
        </is>
      </c>
      <c r="F703" t="n">
        <v>0.73</v>
      </c>
      <c r="G703" t="n">
        <v>1.17</v>
      </c>
      <c r="H703" t="inlineStr">
        <is>
          <t>GL-SL-007</t>
        </is>
      </c>
      <c r="I703" t="n">
        <v>6</v>
      </c>
      <c r="J703" t="n">
        <v>7.8</v>
      </c>
      <c r="K703" t="n">
        <v>-0.355</v>
      </c>
      <c r="L703" t="n">
        <v>-0.664</v>
      </c>
      <c r="M703" t="n">
        <v>0.335</v>
      </c>
      <c r="N703">
        <f>ROUND(J703*F703*G703+K703*G703+L703*F703+M703,3)</f>
        <v/>
      </c>
      <c r="O703">
        <f>AND(N703&gt;=1.4,N703&lt;=13)</f>
        <v/>
      </c>
      <c r="P703">
        <f>IF(OR(N703&lt;1.4,N703&gt;13),"",IF(G703*1000&lt;=1170,IF(N703&lt;1.8,"1014",IF(N703&lt;2.9,"1018",IF(N703&lt;3.8,"1029",IF(N703&lt;5,"1038",IF(N703&lt;7,"1050",IF(N703&lt;9,"1070",IF(N703&lt;11,"1090","1110"))))))),IF(G703*1000&lt;=1570,IF(N703&lt;1.8,"",IF(N703&lt;2.9,"2018",IF(N703&lt;3.8,"2029",IF(N703&lt;5,"2038",IF(N703&lt;7,"2050",IF(N703&lt;9,"2070",IF(N703&lt;11,"2090","2110"))))))),IF(G703*1000&lt;=1700,IF(N703&lt;1.8,"",IF(N703&lt;2.9,"3018",IF(N703&lt;3.8,"3029",IF(N703&lt;5,"3038",IF(N703&lt;7,"3050",IF(N703&lt;9,"3070",IF(N703&lt;11,"3090","3110"))))))),""))))</f>
        <v/>
      </c>
      <c r="Q703">
        <f>AND(O703=TRUE,P703&lt;&gt;"")</f>
        <v/>
      </c>
      <c r="R703">
        <f>IF(G703*1000&lt;750,"なし","あり")</f>
        <v/>
      </c>
      <c r="S703">
        <f>IF(AND(O703=TRUE,Q703=TRUE),"設定可","BLOCK")</f>
        <v/>
      </c>
      <c r="T703" t="inlineStr">
        <is>
          <t>商品カタログ P194</t>
        </is>
      </c>
      <c r="U703" t="inlineStr">
        <is>
          <t>https://webcatalog.lixil.co.jp/iportal/CatalogDetail.do?catalogID=15191910000&amp;categoryID=1630000&amp;designID=newinter&amp;method=initial_screen&amp;position=18&amp;type=mc&amp;volumeID=LXL13001</t>
        </is>
      </c>
    </row>
    <row r="704">
      <c r="A704" t="inlineStr">
        <is>
          <t>WG-SL-00701</t>
        </is>
      </c>
      <c r="B704" t="inlineStr">
        <is>
          <t>SZ-SL-001023</t>
        </is>
      </c>
      <c r="C704" t="inlineStr">
        <is>
          <t>WT-SL-MENKOSHI-AGE-FS</t>
        </is>
      </c>
      <c r="D704" t="inlineStr">
        <is>
          <t>SP-SL-AGE-GRILLE-V</t>
        </is>
      </c>
      <c r="E704" t="inlineStr">
        <is>
          <t>06911</t>
        </is>
      </c>
      <c r="F704" t="n">
        <v>0.73</v>
      </c>
      <c r="G704" t="n">
        <v>1.17</v>
      </c>
      <c r="H704" t="inlineStr">
        <is>
          <t>GL-SL-008</t>
        </is>
      </c>
      <c r="I704" t="n">
        <v>7</v>
      </c>
      <c r="J704" t="n">
        <v>9.1</v>
      </c>
      <c r="K704" t="n">
        <v>-0.48</v>
      </c>
      <c r="L704" t="n">
        <v>-0.998</v>
      </c>
      <c r="M704" t="n">
        <v>0.367</v>
      </c>
      <c r="N704">
        <f>ROUND(J704*F704*G704+K704*G704+L704*F704+M704,3)</f>
        <v/>
      </c>
      <c r="O704">
        <f>AND(N704&gt;=1.4,N704&lt;=13)</f>
        <v/>
      </c>
      <c r="P704">
        <f>IF(OR(N704&lt;1.4,N704&gt;13),"",IF(G704*1000&lt;=1170,IF(N704&lt;1.8,"1014",IF(N704&lt;2.9,"1018",IF(N704&lt;3.8,"1029",IF(N704&lt;5,"1038",IF(N704&lt;7,"1050",IF(N704&lt;9,"1070",IF(N704&lt;11,"1090","1110"))))))),IF(G704*1000&lt;=1570,IF(N704&lt;1.8,"",IF(N704&lt;2.9,"2018",IF(N704&lt;3.8,"2029",IF(N704&lt;5,"2038",IF(N704&lt;7,"2050",IF(N704&lt;9,"2070",IF(N704&lt;11,"2090","2110"))))))),IF(G704*1000&lt;=1700,IF(N704&lt;1.8,"",IF(N704&lt;2.9,"3018",IF(N704&lt;3.8,"3029",IF(N704&lt;5,"3038",IF(N704&lt;7,"3050",IF(N704&lt;9,"3070",IF(N704&lt;11,"3090","3110"))))))),""))))</f>
        <v/>
      </c>
      <c r="Q704">
        <f>AND(O704=TRUE,P704&lt;&gt;"")</f>
        <v/>
      </c>
      <c r="R704">
        <f>IF(G704*1000&lt;750,"なし","あり")</f>
        <v/>
      </c>
      <c r="S704">
        <f>IF(AND(O704=TRUE,Q704=TRUE),"設定可","BLOCK")</f>
        <v/>
      </c>
      <c r="T704" t="inlineStr">
        <is>
          <t>商品カタログ P194</t>
        </is>
      </c>
      <c r="U704" t="inlineStr">
        <is>
          <t>https://webcatalog.lixil.co.jp/iportal/CatalogDetail.do?catalogID=15191910000&amp;categoryID=1630000&amp;designID=newinter&amp;method=initial_screen&amp;position=18&amp;type=mc&amp;volumeID=LXL13001</t>
        </is>
      </c>
    </row>
    <row r="705">
      <c r="A705" t="inlineStr">
        <is>
          <t>WG-SL-00702</t>
        </is>
      </c>
      <c r="B705" t="inlineStr">
        <is>
          <t>SZ-SL-001023</t>
        </is>
      </c>
      <c r="C705" t="inlineStr">
        <is>
          <t>WT-SL-MENKOSHI-AGE-FS</t>
        </is>
      </c>
      <c r="D705" t="inlineStr">
        <is>
          <t>SP-SL-AGE-GRILLE-V</t>
        </is>
      </c>
      <c r="E705" t="inlineStr">
        <is>
          <t>06911</t>
        </is>
      </c>
      <c r="F705" t="n">
        <v>0.73</v>
      </c>
      <c r="G705" t="n">
        <v>1.17</v>
      </c>
      <c r="H705" t="inlineStr">
        <is>
          <t>GL-SL-009</t>
        </is>
      </c>
      <c r="I705" t="n">
        <v>8</v>
      </c>
      <c r="J705" t="n">
        <v>10.4</v>
      </c>
      <c r="K705" t="n">
        <v>-0.605</v>
      </c>
      <c r="L705" t="n">
        <v>-1.332</v>
      </c>
      <c r="M705" t="n">
        <v>0.399</v>
      </c>
      <c r="N705">
        <f>ROUND(J705*F705*G705+K705*G705+L705*F705+M705,3)</f>
        <v/>
      </c>
      <c r="O705">
        <f>AND(N705&gt;=1.4,N705&lt;=13)</f>
        <v/>
      </c>
      <c r="P705">
        <f>IF(OR(N705&lt;1.4,N705&gt;13),"",IF(G705*1000&lt;=1170,IF(N705&lt;1.8,"1014",IF(N705&lt;2.9,"1018",IF(N705&lt;3.8,"1029",IF(N705&lt;5,"1038",IF(N705&lt;7,"1050",IF(N705&lt;9,"1070",IF(N705&lt;11,"1090","1110"))))))),IF(G705*1000&lt;=1570,IF(N705&lt;1.8,"",IF(N705&lt;2.9,"2018",IF(N705&lt;3.8,"2029",IF(N705&lt;5,"2038",IF(N705&lt;7,"2050",IF(N705&lt;9,"2070",IF(N705&lt;11,"2090","2110"))))))),IF(G705*1000&lt;=1700,IF(N705&lt;1.8,"",IF(N705&lt;2.9,"3018",IF(N705&lt;3.8,"3029",IF(N705&lt;5,"3038",IF(N705&lt;7,"3050",IF(N705&lt;9,"3070",IF(N705&lt;11,"3090","3110"))))))),""))))</f>
        <v/>
      </c>
      <c r="Q705">
        <f>AND(O705=TRUE,P705&lt;&gt;"")</f>
        <v/>
      </c>
      <c r="R705">
        <f>IF(G705*1000&lt;750,"なし","あり")</f>
        <v/>
      </c>
      <c r="S705">
        <f>IF(AND(O705=TRUE,Q705=TRUE),"設定可","BLOCK")</f>
        <v/>
      </c>
      <c r="T705" t="inlineStr">
        <is>
          <t>商品カタログ P194</t>
        </is>
      </c>
      <c r="U705" t="inlineStr">
        <is>
          <t>https://webcatalog.lixil.co.jp/iportal/CatalogDetail.do?catalogID=15191910000&amp;categoryID=1630000&amp;designID=newinter&amp;method=initial_screen&amp;position=18&amp;type=mc&amp;volumeID=LXL13001</t>
        </is>
      </c>
    </row>
    <row r="706">
      <c r="A706" t="inlineStr">
        <is>
          <t>WG-SL-00703</t>
        </is>
      </c>
      <c r="B706" t="inlineStr">
        <is>
          <t>SZ-SL-001024</t>
        </is>
      </c>
      <c r="C706" t="inlineStr">
        <is>
          <t>WT-SL-MENKOSHI-AGE-FS</t>
        </is>
      </c>
      <c r="D706" t="inlineStr">
        <is>
          <t>SP-SL-AGE-GRILLE-V</t>
        </is>
      </c>
      <c r="E706" t="inlineStr">
        <is>
          <t>07411</t>
        </is>
      </c>
      <c r="F706" t="n">
        <v>0.78</v>
      </c>
      <c r="G706" t="n">
        <v>1.17</v>
      </c>
      <c r="H706" t="inlineStr">
        <is>
          <t>GL-SL-001</t>
        </is>
      </c>
      <c r="I706" t="n">
        <v>6</v>
      </c>
      <c r="J706" t="n">
        <v>7.8</v>
      </c>
      <c r="K706" t="n">
        <v>-0.355</v>
      </c>
      <c r="L706" t="n">
        <v>-0.664</v>
      </c>
      <c r="M706" t="n">
        <v>0.335</v>
      </c>
      <c r="N706">
        <f>ROUND(J706*F706*G706+K706*G706+L706*F706+M706,3)</f>
        <v/>
      </c>
      <c r="O706">
        <f>AND(N706&gt;=1.4,N706&lt;=13)</f>
        <v/>
      </c>
      <c r="P706">
        <f>IF(OR(N706&lt;1.4,N706&gt;13),"",IF(G706*1000&lt;=1170,IF(N706&lt;1.8,"1014",IF(N706&lt;2.9,"1018",IF(N706&lt;3.8,"1029",IF(N706&lt;5,"1038",IF(N706&lt;7,"1050",IF(N706&lt;9,"1070",IF(N706&lt;11,"1090","1110"))))))),IF(G706*1000&lt;=1570,IF(N706&lt;1.8,"",IF(N706&lt;2.9,"2018",IF(N706&lt;3.8,"2029",IF(N706&lt;5,"2038",IF(N706&lt;7,"2050",IF(N706&lt;9,"2070",IF(N706&lt;11,"2090","2110"))))))),IF(G706*1000&lt;=1700,IF(N706&lt;1.8,"",IF(N706&lt;2.9,"3018",IF(N706&lt;3.8,"3029",IF(N706&lt;5,"3038",IF(N706&lt;7,"3050",IF(N706&lt;9,"3070",IF(N706&lt;11,"3090","3110"))))))),""))))</f>
        <v/>
      </c>
      <c r="Q706">
        <f>AND(O706=TRUE,P706&lt;&gt;"")</f>
        <v/>
      </c>
      <c r="R706">
        <f>IF(G706*1000&lt;750,"なし","あり")</f>
        <v/>
      </c>
      <c r="S706">
        <f>IF(AND(O706=TRUE,Q706=TRUE),"設定可","BLOCK")</f>
        <v/>
      </c>
      <c r="T706" t="inlineStr">
        <is>
          <t>商品カタログ P194</t>
        </is>
      </c>
      <c r="U706" t="inlineStr">
        <is>
          <t>https://webcatalog.lixil.co.jp/iportal/CatalogDetail.do?catalogID=15191910000&amp;categoryID=1630000&amp;designID=newinter&amp;method=initial_screen&amp;position=18&amp;type=mc&amp;volumeID=LXL13001</t>
        </is>
      </c>
    </row>
    <row r="707">
      <c r="A707" t="inlineStr">
        <is>
          <t>WG-SL-00704</t>
        </is>
      </c>
      <c r="B707" t="inlineStr">
        <is>
          <t>SZ-SL-001024</t>
        </is>
      </c>
      <c r="C707" t="inlineStr">
        <is>
          <t>WT-SL-MENKOSHI-AGE-FS</t>
        </is>
      </c>
      <c r="D707" t="inlineStr">
        <is>
          <t>SP-SL-AGE-GRILLE-V</t>
        </is>
      </c>
      <c r="E707" t="inlineStr">
        <is>
          <t>07411</t>
        </is>
      </c>
      <c r="F707" t="n">
        <v>0.78</v>
      </c>
      <c r="G707" t="n">
        <v>1.17</v>
      </c>
      <c r="H707" t="inlineStr">
        <is>
          <t>GL-SL-002</t>
        </is>
      </c>
      <c r="I707" t="n">
        <v>7</v>
      </c>
      <c r="J707" t="n">
        <v>9.1</v>
      </c>
      <c r="K707" t="n">
        <v>-0.48</v>
      </c>
      <c r="L707" t="n">
        <v>-0.998</v>
      </c>
      <c r="M707" t="n">
        <v>0.367</v>
      </c>
      <c r="N707">
        <f>ROUND(J707*F707*G707+K707*G707+L707*F707+M707,3)</f>
        <v/>
      </c>
      <c r="O707">
        <f>AND(N707&gt;=1.4,N707&lt;=13)</f>
        <v/>
      </c>
      <c r="P707">
        <f>IF(OR(N707&lt;1.4,N707&gt;13),"",IF(G707*1000&lt;=1170,IF(N707&lt;1.8,"1014",IF(N707&lt;2.9,"1018",IF(N707&lt;3.8,"1029",IF(N707&lt;5,"1038",IF(N707&lt;7,"1050",IF(N707&lt;9,"1070",IF(N707&lt;11,"1090","1110"))))))),IF(G707*1000&lt;=1570,IF(N707&lt;1.8,"",IF(N707&lt;2.9,"2018",IF(N707&lt;3.8,"2029",IF(N707&lt;5,"2038",IF(N707&lt;7,"2050",IF(N707&lt;9,"2070",IF(N707&lt;11,"2090","2110"))))))),IF(G707*1000&lt;=1700,IF(N707&lt;1.8,"",IF(N707&lt;2.9,"3018",IF(N707&lt;3.8,"3029",IF(N707&lt;5,"3038",IF(N707&lt;7,"3050",IF(N707&lt;9,"3070",IF(N707&lt;11,"3090","3110"))))))),""))))</f>
        <v/>
      </c>
      <c r="Q707">
        <f>AND(O707=TRUE,P707&lt;&gt;"")</f>
        <v/>
      </c>
      <c r="R707">
        <f>IF(G707*1000&lt;750,"なし","あり")</f>
        <v/>
      </c>
      <c r="S707">
        <f>IF(AND(O707=TRUE,Q707=TRUE),"設定可","BLOCK")</f>
        <v/>
      </c>
      <c r="T707" t="inlineStr">
        <is>
          <t>商品カタログ P194</t>
        </is>
      </c>
      <c r="U707" t="inlineStr">
        <is>
          <t>https://webcatalog.lixil.co.jp/iportal/CatalogDetail.do?catalogID=15191910000&amp;categoryID=1630000&amp;designID=newinter&amp;method=initial_screen&amp;position=18&amp;type=mc&amp;volumeID=LXL13001</t>
        </is>
      </c>
    </row>
    <row r="708">
      <c r="A708" t="inlineStr">
        <is>
          <t>WG-SL-00705</t>
        </is>
      </c>
      <c r="B708" t="inlineStr">
        <is>
          <t>SZ-SL-001024</t>
        </is>
      </c>
      <c r="C708" t="inlineStr">
        <is>
          <t>WT-SL-MENKOSHI-AGE-FS</t>
        </is>
      </c>
      <c r="D708" t="inlineStr">
        <is>
          <t>SP-SL-AGE-GRILLE-V</t>
        </is>
      </c>
      <c r="E708" t="inlineStr">
        <is>
          <t>07411</t>
        </is>
      </c>
      <c r="F708" t="n">
        <v>0.78</v>
      </c>
      <c r="G708" t="n">
        <v>1.17</v>
      </c>
      <c r="H708" t="inlineStr">
        <is>
          <t>GL-SL-003</t>
        </is>
      </c>
      <c r="I708" t="n">
        <v>8</v>
      </c>
      <c r="J708" t="n">
        <v>10.4</v>
      </c>
      <c r="K708" t="n">
        <v>-0.605</v>
      </c>
      <c r="L708" t="n">
        <v>-1.332</v>
      </c>
      <c r="M708" t="n">
        <v>0.399</v>
      </c>
      <c r="N708">
        <f>ROUND(J708*F708*G708+K708*G708+L708*F708+M708,3)</f>
        <v/>
      </c>
      <c r="O708">
        <f>AND(N708&gt;=1.4,N708&lt;=13)</f>
        <v/>
      </c>
      <c r="P708">
        <f>IF(OR(N708&lt;1.4,N708&gt;13),"",IF(G708*1000&lt;=1170,IF(N708&lt;1.8,"1014",IF(N708&lt;2.9,"1018",IF(N708&lt;3.8,"1029",IF(N708&lt;5,"1038",IF(N708&lt;7,"1050",IF(N708&lt;9,"1070",IF(N708&lt;11,"1090","1110"))))))),IF(G708*1000&lt;=1570,IF(N708&lt;1.8,"",IF(N708&lt;2.9,"2018",IF(N708&lt;3.8,"2029",IF(N708&lt;5,"2038",IF(N708&lt;7,"2050",IF(N708&lt;9,"2070",IF(N708&lt;11,"2090","2110"))))))),IF(G708*1000&lt;=1700,IF(N708&lt;1.8,"",IF(N708&lt;2.9,"3018",IF(N708&lt;3.8,"3029",IF(N708&lt;5,"3038",IF(N708&lt;7,"3050",IF(N708&lt;9,"3070",IF(N708&lt;11,"3090","3110"))))))),""))))</f>
        <v/>
      </c>
      <c r="Q708">
        <f>AND(O708=TRUE,P708&lt;&gt;"")</f>
        <v/>
      </c>
      <c r="R708">
        <f>IF(G708*1000&lt;750,"なし","あり")</f>
        <v/>
      </c>
      <c r="S708">
        <f>IF(AND(O708=TRUE,Q708=TRUE),"設定可","BLOCK")</f>
        <v/>
      </c>
      <c r="T708" t="inlineStr">
        <is>
          <t>商品カタログ P194</t>
        </is>
      </c>
      <c r="U708" t="inlineStr">
        <is>
          <t>https://webcatalog.lixil.co.jp/iportal/CatalogDetail.do?catalogID=15191910000&amp;categoryID=1630000&amp;designID=newinter&amp;method=initial_screen&amp;position=18&amp;type=mc&amp;volumeID=LXL13001</t>
        </is>
      </c>
    </row>
    <row r="709">
      <c r="A709" t="inlineStr">
        <is>
          <t>WG-SL-00706</t>
        </is>
      </c>
      <c r="B709" t="inlineStr">
        <is>
          <t>SZ-SL-001024</t>
        </is>
      </c>
      <c r="C709" t="inlineStr">
        <is>
          <t>WT-SL-MENKOSHI-AGE-FS</t>
        </is>
      </c>
      <c r="D709" t="inlineStr">
        <is>
          <t>SP-SL-AGE-GRILLE-V</t>
        </is>
      </c>
      <c r="E709" t="inlineStr">
        <is>
          <t>07411</t>
        </is>
      </c>
      <c r="F709" t="n">
        <v>0.78</v>
      </c>
      <c r="G709" t="n">
        <v>1.17</v>
      </c>
      <c r="H709" t="inlineStr">
        <is>
          <t>GL-SL-004</t>
        </is>
      </c>
      <c r="I709" t="n">
        <v>6</v>
      </c>
      <c r="J709" t="n">
        <v>7.8</v>
      </c>
      <c r="K709" t="n">
        <v>-0.355</v>
      </c>
      <c r="L709" t="n">
        <v>-0.664</v>
      </c>
      <c r="M709" t="n">
        <v>0.335</v>
      </c>
      <c r="N709">
        <f>ROUND(J709*F709*G709+K709*G709+L709*F709+M709,3)</f>
        <v/>
      </c>
      <c r="O709">
        <f>AND(N709&gt;=1.4,N709&lt;=13)</f>
        <v/>
      </c>
      <c r="P709">
        <f>IF(OR(N709&lt;1.4,N709&gt;13),"",IF(G709*1000&lt;=1170,IF(N709&lt;1.8,"1014",IF(N709&lt;2.9,"1018",IF(N709&lt;3.8,"1029",IF(N709&lt;5,"1038",IF(N709&lt;7,"1050",IF(N709&lt;9,"1070",IF(N709&lt;11,"1090","1110"))))))),IF(G709*1000&lt;=1570,IF(N709&lt;1.8,"",IF(N709&lt;2.9,"2018",IF(N709&lt;3.8,"2029",IF(N709&lt;5,"2038",IF(N709&lt;7,"2050",IF(N709&lt;9,"2070",IF(N709&lt;11,"2090","2110"))))))),IF(G709*1000&lt;=1700,IF(N709&lt;1.8,"",IF(N709&lt;2.9,"3018",IF(N709&lt;3.8,"3029",IF(N709&lt;5,"3038",IF(N709&lt;7,"3050",IF(N709&lt;9,"3070",IF(N709&lt;11,"3090","3110"))))))),""))))</f>
        <v/>
      </c>
      <c r="Q709">
        <f>AND(O709=TRUE,P709&lt;&gt;"")</f>
        <v/>
      </c>
      <c r="R709">
        <f>IF(G709*1000&lt;750,"なし","あり")</f>
        <v/>
      </c>
      <c r="S709">
        <f>IF(AND(O709=TRUE,Q709=TRUE),"設定可","BLOCK")</f>
        <v/>
      </c>
      <c r="T709" t="inlineStr">
        <is>
          <t>商品カタログ P194</t>
        </is>
      </c>
      <c r="U709" t="inlineStr">
        <is>
          <t>https://webcatalog.lixil.co.jp/iportal/CatalogDetail.do?catalogID=15191910000&amp;categoryID=1630000&amp;designID=newinter&amp;method=initial_screen&amp;position=18&amp;type=mc&amp;volumeID=LXL13001</t>
        </is>
      </c>
    </row>
    <row r="710">
      <c r="A710" t="inlineStr">
        <is>
          <t>WG-SL-00707</t>
        </is>
      </c>
      <c r="B710" t="inlineStr">
        <is>
          <t>SZ-SL-001024</t>
        </is>
      </c>
      <c r="C710" t="inlineStr">
        <is>
          <t>WT-SL-MENKOSHI-AGE-FS</t>
        </is>
      </c>
      <c r="D710" t="inlineStr">
        <is>
          <t>SP-SL-AGE-GRILLE-V</t>
        </is>
      </c>
      <c r="E710" t="inlineStr">
        <is>
          <t>07411</t>
        </is>
      </c>
      <c r="F710" t="n">
        <v>0.78</v>
      </c>
      <c r="G710" t="n">
        <v>1.17</v>
      </c>
      <c r="H710" t="inlineStr">
        <is>
          <t>GL-SL-005</t>
        </is>
      </c>
      <c r="I710" t="n">
        <v>7</v>
      </c>
      <c r="J710" t="n">
        <v>9.1</v>
      </c>
      <c r="K710" t="n">
        <v>-0.48</v>
      </c>
      <c r="L710" t="n">
        <v>-0.998</v>
      </c>
      <c r="M710" t="n">
        <v>0.367</v>
      </c>
      <c r="N710">
        <f>ROUND(J710*F710*G710+K710*G710+L710*F710+M710,3)</f>
        <v/>
      </c>
      <c r="O710">
        <f>AND(N710&gt;=1.4,N710&lt;=13)</f>
        <v/>
      </c>
      <c r="P710">
        <f>IF(OR(N710&lt;1.4,N710&gt;13),"",IF(G710*1000&lt;=1170,IF(N710&lt;1.8,"1014",IF(N710&lt;2.9,"1018",IF(N710&lt;3.8,"1029",IF(N710&lt;5,"1038",IF(N710&lt;7,"1050",IF(N710&lt;9,"1070",IF(N710&lt;11,"1090","1110"))))))),IF(G710*1000&lt;=1570,IF(N710&lt;1.8,"",IF(N710&lt;2.9,"2018",IF(N710&lt;3.8,"2029",IF(N710&lt;5,"2038",IF(N710&lt;7,"2050",IF(N710&lt;9,"2070",IF(N710&lt;11,"2090","2110"))))))),IF(G710*1000&lt;=1700,IF(N710&lt;1.8,"",IF(N710&lt;2.9,"3018",IF(N710&lt;3.8,"3029",IF(N710&lt;5,"3038",IF(N710&lt;7,"3050",IF(N710&lt;9,"3070",IF(N710&lt;11,"3090","3110"))))))),""))))</f>
        <v/>
      </c>
      <c r="Q710">
        <f>AND(O710=TRUE,P710&lt;&gt;"")</f>
        <v/>
      </c>
      <c r="R710">
        <f>IF(G710*1000&lt;750,"なし","あり")</f>
        <v/>
      </c>
      <c r="S710">
        <f>IF(AND(O710=TRUE,Q710=TRUE),"設定可","BLOCK")</f>
        <v/>
      </c>
      <c r="T710" t="inlineStr">
        <is>
          <t>商品カタログ P194</t>
        </is>
      </c>
      <c r="U710" t="inlineStr">
        <is>
          <t>https://webcatalog.lixil.co.jp/iportal/CatalogDetail.do?catalogID=15191910000&amp;categoryID=1630000&amp;designID=newinter&amp;method=initial_screen&amp;position=18&amp;type=mc&amp;volumeID=LXL13001</t>
        </is>
      </c>
    </row>
    <row r="711">
      <c r="A711" t="inlineStr">
        <is>
          <t>WG-SL-00708</t>
        </is>
      </c>
      <c r="B711" t="inlineStr">
        <is>
          <t>SZ-SL-001024</t>
        </is>
      </c>
      <c r="C711" t="inlineStr">
        <is>
          <t>WT-SL-MENKOSHI-AGE-FS</t>
        </is>
      </c>
      <c r="D711" t="inlineStr">
        <is>
          <t>SP-SL-AGE-GRILLE-V</t>
        </is>
      </c>
      <c r="E711" t="inlineStr">
        <is>
          <t>07411</t>
        </is>
      </c>
      <c r="F711" t="n">
        <v>0.78</v>
      </c>
      <c r="G711" t="n">
        <v>1.17</v>
      </c>
      <c r="H711" t="inlineStr">
        <is>
          <t>GL-SL-006</t>
        </is>
      </c>
      <c r="I711" t="n">
        <v>8</v>
      </c>
      <c r="J711" t="n">
        <v>10.4</v>
      </c>
      <c r="K711" t="n">
        <v>-0.605</v>
      </c>
      <c r="L711" t="n">
        <v>-1.332</v>
      </c>
      <c r="M711" t="n">
        <v>0.399</v>
      </c>
      <c r="N711">
        <f>ROUND(J711*F711*G711+K711*G711+L711*F711+M711,3)</f>
        <v/>
      </c>
      <c r="O711">
        <f>AND(N711&gt;=1.4,N711&lt;=13)</f>
        <v/>
      </c>
      <c r="P711">
        <f>IF(OR(N711&lt;1.4,N711&gt;13),"",IF(G711*1000&lt;=1170,IF(N711&lt;1.8,"1014",IF(N711&lt;2.9,"1018",IF(N711&lt;3.8,"1029",IF(N711&lt;5,"1038",IF(N711&lt;7,"1050",IF(N711&lt;9,"1070",IF(N711&lt;11,"1090","1110"))))))),IF(G711*1000&lt;=1570,IF(N711&lt;1.8,"",IF(N711&lt;2.9,"2018",IF(N711&lt;3.8,"2029",IF(N711&lt;5,"2038",IF(N711&lt;7,"2050",IF(N711&lt;9,"2070",IF(N711&lt;11,"2090","2110"))))))),IF(G711*1000&lt;=1700,IF(N711&lt;1.8,"",IF(N711&lt;2.9,"3018",IF(N711&lt;3.8,"3029",IF(N711&lt;5,"3038",IF(N711&lt;7,"3050",IF(N711&lt;9,"3070",IF(N711&lt;11,"3090","3110"))))))),""))))</f>
        <v/>
      </c>
      <c r="Q711">
        <f>AND(O711=TRUE,P711&lt;&gt;"")</f>
        <v/>
      </c>
      <c r="R711">
        <f>IF(G711*1000&lt;750,"なし","あり")</f>
        <v/>
      </c>
      <c r="S711">
        <f>IF(AND(O711=TRUE,Q711=TRUE),"設定可","BLOCK")</f>
        <v/>
      </c>
      <c r="T711" t="inlineStr">
        <is>
          <t>商品カタログ P194</t>
        </is>
      </c>
      <c r="U711" t="inlineStr">
        <is>
          <t>https://webcatalog.lixil.co.jp/iportal/CatalogDetail.do?catalogID=15191910000&amp;categoryID=1630000&amp;designID=newinter&amp;method=initial_screen&amp;position=18&amp;type=mc&amp;volumeID=LXL13001</t>
        </is>
      </c>
    </row>
    <row r="712">
      <c r="A712" t="inlineStr">
        <is>
          <t>WG-SL-00709</t>
        </is>
      </c>
      <c r="B712" t="inlineStr">
        <is>
          <t>SZ-SL-001024</t>
        </is>
      </c>
      <c r="C712" t="inlineStr">
        <is>
          <t>WT-SL-MENKOSHI-AGE-FS</t>
        </is>
      </c>
      <c r="D712" t="inlineStr">
        <is>
          <t>SP-SL-AGE-GRILLE-V</t>
        </is>
      </c>
      <c r="E712" t="inlineStr">
        <is>
          <t>07411</t>
        </is>
      </c>
      <c r="F712" t="n">
        <v>0.78</v>
      </c>
      <c r="G712" t="n">
        <v>1.17</v>
      </c>
      <c r="H712" t="inlineStr">
        <is>
          <t>GL-SL-007</t>
        </is>
      </c>
      <c r="I712" t="n">
        <v>6</v>
      </c>
      <c r="J712" t="n">
        <v>7.8</v>
      </c>
      <c r="K712" t="n">
        <v>-0.355</v>
      </c>
      <c r="L712" t="n">
        <v>-0.664</v>
      </c>
      <c r="M712" t="n">
        <v>0.335</v>
      </c>
      <c r="N712">
        <f>ROUND(J712*F712*G712+K712*G712+L712*F712+M712,3)</f>
        <v/>
      </c>
      <c r="O712">
        <f>AND(N712&gt;=1.4,N712&lt;=13)</f>
        <v/>
      </c>
      <c r="P712">
        <f>IF(OR(N712&lt;1.4,N712&gt;13),"",IF(G712*1000&lt;=1170,IF(N712&lt;1.8,"1014",IF(N712&lt;2.9,"1018",IF(N712&lt;3.8,"1029",IF(N712&lt;5,"1038",IF(N712&lt;7,"1050",IF(N712&lt;9,"1070",IF(N712&lt;11,"1090","1110"))))))),IF(G712*1000&lt;=1570,IF(N712&lt;1.8,"",IF(N712&lt;2.9,"2018",IF(N712&lt;3.8,"2029",IF(N712&lt;5,"2038",IF(N712&lt;7,"2050",IF(N712&lt;9,"2070",IF(N712&lt;11,"2090","2110"))))))),IF(G712*1000&lt;=1700,IF(N712&lt;1.8,"",IF(N712&lt;2.9,"3018",IF(N712&lt;3.8,"3029",IF(N712&lt;5,"3038",IF(N712&lt;7,"3050",IF(N712&lt;9,"3070",IF(N712&lt;11,"3090","3110"))))))),""))))</f>
        <v/>
      </c>
      <c r="Q712">
        <f>AND(O712=TRUE,P712&lt;&gt;"")</f>
        <v/>
      </c>
      <c r="R712">
        <f>IF(G712*1000&lt;750,"なし","あり")</f>
        <v/>
      </c>
      <c r="S712">
        <f>IF(AND(O712=TRUE,Q712=TRUE),"設定可","BLOCK")</f>
        <v/>
      </c>
      <c r="T712" t="inlineStr">
        <is>
          <t>商品カタログ P194</t>
        </is>
      </c>
      <c r="U712" t="inlineStr">
        <is>
          <t>https://webcatalog.lixil.co.jp/iportal/CatalogDetail.do?catalogID=15191910000&amp;categoryID=1630000&amp;designID=newinter&amp;method=initial_screen&amp;position=18&amp;type=mc&amp;volumeID=LXL13001</t>
        </is>
      </c>
    </row>
    <row r="713">
      <c r="A713" t="inlineStr">
        <is>
          <t>WG-SL-00710</t>
        </is>
      </c>
      <c r="B713" t="inlineStr">
        <is>
          <t>SZ-SL-001024</t>
        </is>
      </c>
      <c r="C713" t="inlineStr">
        <is>
          <t>WT-SL-MENKOSHI-AGE-FS</t>
        </is>
      </c>
      <c r="D713" t="inlineStr">
        <is>
          <t>SP-SL-AGE-GRILLE-V</t>
        </is>
      </c>
      <c r="E713" t="inlineStr">
        <is>
          <t>07411</t>
        </is>
      </c>
      <c r="F713" t="n">
        <v>0.78</v>
      </c>
      <c r="G713" t="n">
        <v>1.17</v>
      </c>
      <c r="H713" t="inlineStr">
        <is>
          <t>GL-SL-008</t>
        </is>
      </c>
      <c r="I713" t="n">
        <v>7</v>
      </c>
      <c r="J713" t="n">
        <v>9.1</v>
      </c>
      <c r="K713" t="n">
        <v>-0.48</v>
      </c>
      <c r="L713" t="n">
        <v>-0.998</v>
      </c>
      <c r="M713" t="n">
        <v>0.367</v>
      </c>
      <c r="N713">
        <f>ROUND(J713*F713*G713+K713*G713+L713*F713+M713,3)</f>
        <v/>
      </c>
      <c r="O713">
        <f>AND(N713&gt;=1.4,N713&lt;=13)</f>
        <v/>
      </c>
      <c r="P713">
        <f>IF(OR(N713&lt;1.4,N713&gt;13),"",IF(G713*1000&lt;=1170,IF(N713&lt;1.8,"1014",IF(N713&lt;2.9,"1018",IF(N713&lt;3.8,"1029",IF(N713&lt;5,"1038",IF(N713&lt;7,"1050",IF(N713&lt;9,"1070",IF(N713&lt;11,"1090","1110"))))))),IF(G713*1000&lt;=1570,IF(N713&lt;1.8,"",IF(N713&lt;2.9,"2018",IF(N713&lt;3.8,"2029",IF(N713&lt;5,"2038",IF(N713&lt;7,"2050",IF(N713&lt;9,"2070",IF(N713&lt;11,"2090","2110"))))))),IF(G713*1000&lt;=1700,IF(N713&lt;1.8,"",IF(N713&lt;2.9,"3018",IF(N713&lt;3.8,"3029",IF(N713&lt;5,"3038",IF(N713&lt;7,"3050",IF(N713&lt;9,"3070",IF(N713&lt;11,"3090","3110"))))))),""))))</f>
        <v/>
      </c>
      <c r="Q713">
        <f>AND(O713=TRUE,P713&lt;&gt;"")</f>
        <v/>
      </c>
      <c r="R713">
        <f>IF(G713*1000&lt;750,"なし","あり")</f>
        <v/>
      </c>
      <c r="S713">
        <f>IF(AND(O713=TRUE,Q713=TRUE),"設定可","BLOCK")</f>
        <v/>
      </c>
      <c r="T713" t="inlineStr">
        <is>
          <t>商品カタログ P194</t>
        </is>
      </c>
      <c r="U713" t="inlineStr">
        <is>
          <t>https://webcatalog.lixil.co.jp/iportal/CatalogDetail.do?catalogID=15191910000&amp;categoryID=1630000&amp;designID=newinter&amp;method=initial_screen&amp;position=18&amp;type=mc&amp;volumeID=LXL13001</t>
        </is>
      </c>
    </row>
    <row r="714">
      <c r="A714" t="inlineStr">
        <is>
          <t>WG-SL-00711</t>
        </is>
      </c>
      <c r="B714" t="inlineStr">
        <is>
          <t>SZ-SL-001024</t>
        </is>
      </c>
      <c r="C714" t="inlineStr">
        <is>
          <t>WT-SL-MENKOSHI-AGE-FS</t>
        </is>
      </c>
      <c r="D714" t="inlineStr">
        <is>
          <t>SP-SL-AGE-GRILLE-V</t>
        </is>
      </c>
      <c r="E714" t="inlineStr">
        <is>
          <t>07411</t>
        </is>
      </c>
      <c r="F714" t="n">
        <v>0.78</v>
      </c>
      <c r="G714" t="n">
        <v>1.17</v>
      </c>
      <c r="H714" t="inlineStr">
        <is>
          <t>GL-SL-009</t>
        </is>
      </c>
      <c r="I714" t="n">
        <v>8</v>
      </c>
      <c r="J714" t="n">
        <v>10.4</v>
      </c>
      <c r="K714" t="n">
        <v>-0.605</v>
      </c>
      <c r="L714" t="n">
        <v>-1.332</v>
      </c>
      <c r="M714" t="n">
        <v>0.399</v>
      </c>
      <c r="N714">
        <f>ROUND(J714*F714*G714+K714*G714+L714*F714+M714,3)</f>
        <v/>
      </c>
      <c r="O714">
        <f>AND(N714&gt;=1.4,N714&lt;=13)</f>
        <v/>
      </c>
      <c r="P714">
        <f>IF(OR(N714&lt;1.4,N714&gt;13),"",IF(G714*1000&lt;=1170,IF(N714&lt;1.8,"1014",IF(N714&lt;2.9,"1018",IF(N714&lt;3.8,"1029",IF(N714&lt;5,"1038",IF(N714&lt;7,"1050",IF(N714&lt;9,"1070",IF(N714&lt;11,"1090","1110"))))))),IF(G714*1000&lt;=1570,IF(N714&lt;1.8,"",IF(N714&lt;2.9,"2018",IF(N714&lt;3.8,"2029",IF(N714&lt;5,"2038",IF(N714&lt;7,"2050",IF(N714&lt;9,"2070",IF(N714&lt;11,"2090","2110"))))))),IF(G714*1000&lt;=1700,IF(N714&lt;1.8,"",IF(N714&lt;2.9,"3018",IF(N714&lt;3.8,"3029",IF(N714&lt;5,"3038",IF(N714&lt;7,"3050",IF(N714&lt;9,"3070",IF(N714&lt;11,"3090","3110"))))))),""))))</f>
        <v/>
      </c>
      <c r="Q714">
        <f>AND(O714=TRUE,P714&lt;&gt;"")</f>
        <v/>
      </c>
      <c r="R714">
        <f>IF(G714*1000&lt;750,"なし","あり")</f>
        <v/>
      </c>
      <c r="S714">
        <f>IF(AND(O714=TRUE,Q714=TRUE),"設定可","BLOCK")</f>
        <v/>
      </c>
      <c r="T714" t="inlineStr">
        <is>
          <t>商品カタログ P194</t>
        </is>
      </c>
      <c r="U714" t="inlineStr">
        <is>
          <t>https://webcatalog.lixil.co.jp/iportal/CatalogDetail.do?catalogID=15191910000&amp;categoryID=1630000&amp;designID=newinter&amp;method=initial_screen&amp;position=18&amp;type=mc&amp;volumeID=LXL13001</t>
        </is>
      </c>
    </row>
    <row r="715">
      <c r="A715" t="inlineStr">
        <is>
          <t>WG-SL-00712</t>
        </is>
      </c>
      <c r="B715" t="inlineStr">
        <is>
          <t>SZ-SL-001025</t>
        </is>
      </c>
      <c r="C715" t="inlineStr">
        <is>
          <t>WT-SL-MENKOSHI-AGE-FS</t>
        </is>
      </c>
      <c r="D715" t="inlineStr">
        <is>
          <t>SP-SL-AGE-GRILLE-DIA</t>
        </is>
      </c>
      <c r="E715" t="inlineStr">
        <is>
          <t>02613</t>
        </is>
      </c>
      <c r="F715" t="n">
        <v>0.3</v>
      </c>
      <c r="G715" t="n">
        <v>1.37</v>
      </c>
      <c r="H715" t="inlineStr">
        <is>
          <t>GL-SL-001</t>
        </is>
      </c>
      <c r="I715" t="n">
        <v>6</v>
      </c>
      <c r="J715" t="n">
        <v>7.8</v>
      </c>
      <c r="K715" t="n">
        <v>-0.355</v>
      </c>
      <c r="L715" t="n">
        <v>-0.664</v>
      </c>
      <c r="M715" t="n">
        <v>0.335</v>
      </c>
      <c r="N715">
        <f>ROUND(J715*F715*G715+K715*G715+L715*F715+M715,3)</f>
        <v/>
      </c>
      <c r="O715">
        <f>AND(N715&gt;=1.4,N715&lt;=13)</f>
        <v/>
      </c>
      <c r="P715">
        <f>IF(OR(N715&lt;1.4,N715&gt;13),"",IF(G715*1000&lt;=1170,IF(N715&lt;1.8,"1014",IF(N715&lt;2.9,"1018",IF(N715&lt;3.8,"1029",IF(N715&lt;5,"1038",IF(N715&lt;7,"1050",IF(N715&lt;9,"1070",IF(N715&lt;11,"1090","1110"))))))),IF(G715*1000&lt;=1570,IF(N715&lt;1.8,"",IF(N715&lt;2.9,"2018",IF(N715&lt;3.8,"2029",IF(N715&lt;5,"2038",IF(N715&lt;7,"2050",IF(N715&lt;9,"2070",IF(N715&lt;11,"2090","2110"))))))),IF(G715*1000&lt;=1700,IF(N715&lt;1.8,"",IF(N715&lt;2.9,"3018",IF(N715&lt;3.8,"3029",IF(N715&lt;5,"3038",IF(N715&lt;7,"3050",IF(N715&lt;9,"3070",IF(N715&lt;11,"3090","3110"))))))),""))))</f>
        <v/>
      </c>
      <c r="Q715">
        <f>AND(O715=TRUE,P715&lt;&gt;"")</f>
        <v/>
      </c>
      <c r="R715">
        <f>IF(G715*1000&lt;750,"なし","あり")</f>
        <v/>
      </c>
      <c r="S715">
        <f>IF(AND(O715=TRUE,Q715=TRUE),"設定可","BLOCK")</f>
        <v/>
      </c>
      <c r="T715" t="inlineStr">
        <is>
          <t>商品カタログ P194</t>
        </is>
      </c>
      <c r="U715" t="inlineStr">
        <is>
          <t>https://webcatalog.lixil.co.jp/iportal/CatalogDetail.do?catalogID=15191910000&amp;categoryID=1630000&amp;designID=newinter&amp;method=initial_screen&amp;position=18&amp;type=mc&amp;volumeID=LXL13001</t>
        </is>
      </c>
    </row>
    <row r="716">
      <c r="A716" t="inlineStr">
        <is>
          <t>WG-SL-00713</t>
        </is>
      </c>
      <c r="B716" t="inlineStr">
        <is>
          <t>SZ-SL-001025</t>
        </is>
      </c>
      <c r="C716" t="inlineStr">
        <is>
          <t>WT-SL-MENKOSHI-AGE-FS</t>
        </is>
      </c>
      <c r="D716" t="inlineStr">
        <is>
          <t>SP-SL-AGE-GRILLE-DIA</t>
        </is>
      </c>
      <c r="E716" t="inlineStr">
        <is>
          <t>02613</t>
        </is>
      </c>
      <c r="F716" t="n">
        <v>0.3</v>
      </c>
      <c r="G716" t="n">
        <v>1.37</v>
      </c>
      <c r="H716" t="inlineStr">
        <is>
          <t>GL-SL-002</t>
        </is>
      </c>
      <c r="I716" t="n">
        <v>7</v>
      </c>
      <c r="J716" t="n">
        <v>9.1</v>
      </c>
      <c r="K716" t="n">
        <v>-0.48</v>
      </c>
      <c r="L716" t="n">
        <v>-0.998</v>
      </c>
      <c r="M716" t="n">
        <v>0.367</v>
      </c>
      <c r="N716">
        <f>ROUND(J716*F716*G716+K716*G716+L716*F716+M716,3)</f>
        <v/>
      </c>
      <c r="O716">
        <f>AND(N716&gt;=1.4,N716&lt;=13)</f>
        <v/>
      </c>
      <c r="P716">
        <f>IF(OR(N716&lt;1.4,N716&gt;13),"",IF(G716*1000&lt;=1170,IF(N716&lt;1.8,"1014",IF(N716&lt;2.9,"1018",IF(N716&lt;3.8,"1029",IF(N716&lt;5,"1038",IF(N716&lt;7,"1050",IF(N716&lt;9,"1070",IF(N716&lt;11,"1090","1110"))))))),IF(G716*1000&lt;=1570,IF(N716&lt;1.8,"",IF(N716&lt;2.9,"2018",IF(N716&lt;3.8,"2029",IF(N716&lt;5,"2038",IF(N716&lt;7,"2050",IF(N716&lt;9,"2070",IF(N716&lt;11,"2090","2110"))))))),IF(G716*1000&lt;=1700,IF(N716&lt;1.8,"",IF(N716&lt;2.9,"3018",IF(N716&lt;3.8,"3029",IF(N716&lt;5,"3038",IF(N716&lt;7,"3050",IF(N716&lt;9,"3070",IF(N716&lt;11,"3090","3110"))))))),""))))</f>
        <v/>
      </c>
      <c r="Q716">
        <f>AND(O716=TRUE,P716&lt;&gt;"")</f>
        <v/>
      </c>
      <c r="R716">
        <f>IF(G716*1000&lt;750,"なし","あり")</f>
        <v/>
      </c>
      <c r="S716">
        <f>IF(AND(O716=TRUE,Q716=TRUE),"設定可","BLOCK")</f>
        <v/>
      </c>
      <c r="T716" t="inlineStr">
        <is>
          <t>商品カタログ P194</t>
        </is>
      </c>
      <c r="U716" t="inlineStr">
        <is>
          <t>https://webcatalog.lixil.co.jp/iportal/CatalogDetail.do?catalogID=15191910000&amp;categoryID=1630000&amp;designID=newinter&amp;method=initial_screen&amp;position=18&amp;type=mc&amp;volumeID=LXL13001</t>
        </is>
      </c>
    </row>
    <row r="717">
      <c r="A717" t="inlineStr">
        <is>
          <t>WG-SL-00714</t>
        </is>
      </c>
      <c r="B717" t="inlineStr">
        <is>
          <t>SZ-SL-001025</t>
        </is>
      </c>
      <c r="C717" t="inlineStr">
        <is>
          <t>WT-SL-MENKOSHI-AGE-FS</t>
        </is>
      </c>
      <c r="D717" t="inlineStr">
        <is>
          <t>SP-SL-AGE-GRILLE-DIA</t>
        </is>
      </c>
      <c r="E717" t="inlineStr">
        <is>
          <t>02613</t>
        </is>
      </c>
      <c r="F717" t="n">
        <v>0.3</v>
      </c>
      <c r="G717" t="n">
        <v>1.37</v>
      </c>
      <c r="H717" t="inlineStr">
        <is>
          <t>GL-SL-003</t>
        </is>
      </c>
      <c r="I717" t="n">
        <v>8</v>
      </c>
      <c r="J717" t="n">
        <v>10.4</v>
      </c>
      <c r="K717" t="n">
        <v>-0.605</v>
      </c>
      <c r="L717" t="n">
        <v>-1.332</v>
      </c>
      <c r="M717" t="n">
        <v>0.399</v>
      </c>
      <c r="N717">
        <f>ROUND(J717*F717*G717+K717*G717+L717*F717+M717,3)</f>
        <v/>
      </c>
      <c r="O717">
        <f>AND(N717&gt;=1.4,N717&lt;=13)</f>
        <v/>
      </c>
      <c r="P717">
        <f>IF(OR(N717&lt;1.4,N717&gt;13),"",IF(G717*1000&lt;=1170,IF(N717&lt;1.8,"1014",IF(N717&lt;2.9,"1018",IF(N717&lt;3.8,"1029",IF(N717&lt;5,"1038",IF(N717&lt;7,"1050",IF(N717&lt;9,"1070",IF(N717&lt;11,"1090","1110"))))))),IF(G717*1000&lt;=1570,IF(N717&lt;1.8,"",IF(N717&lt;2.9,"2018",IF(N717&lt;3.8,"2029",IF(N717&lt;5,"2038",IF(N717&lt;7,"2050",IF(N717&lt;9,"2070",IF(N717&lt;11,"2090","2110"))))))),IF(G717*1000&lt;=1700,IF(N717&lt;1.8,"",IF(N717&lt;2.9,"3018",IF(N717&lt;3.8,"3029",IF(N717&lt;5,"3038",IF(N717&lt;7,"3050",IF(N717&lt;9,"3070",IF(N717&lt;11,"3090","3110"))))))),""))))</f>
        <v/>
      </c>
      <c r="Q717">
        <f>AND(O717=TRUE,P717&lt;&gt;"")</f>
        <v/>
      </c>
      <c r="R717">
        <f>IF(G717*1000&lt;750,"なし","あり")</f>
        <v/>
      </c>
      <c r="S717">
        <f>IF(AND(O717=TRUE,Q717=TRUE),"設定可","BLOCK")</f>
        <v/>
      </c>
      <c r="T717" t="inlineStr">
        <is>
          <t>商品カタログ P194</t>
        </is>
      </c>
      <c r="U717" t="inlineStr">
        <is>
          <t>https://webcatalog.lixil.co.jp/iportal/CatalogDetail.do?catalogID=15191910000&amp;categoryID=1630000&amp;designID=newinter&amp;method=initial_screen&amp;position=18&amp;type=mc&amp;volumeID=LXL13001</t>
        </is>
      </c>
    </row>
    <row r="718">
      <c r="A718" t="inlineStr">
        <is>
          <t>WG-SL-00715</t>
        </is>
      </c>
      <c r="B718" t="inlineStr">
        <is>
          <t>SZ-SL-001025</t>
        </is>
      </c>
      <c r="C718" t="inlineStr">
        <is>
          <t>WT-SL-MENKOSHI-AGE-FS</t>
        </is>
      </c>
      <c r="D718" t="inlineStr">
        <is>
          <t>SP-SL-AGE-GRILLE-DIA</t>
        </is>
      </c>
      <c r="E718" t="inlineStr">
        <is>
          <t>02613</t>
        </is>
      </c>
      <c r="F718" t="n">
        <v>0.3</v>
      </c>
      <c r="G718" t="n">
        <v>1.37</v>
      </c>
      <c r="H718" t="inlineStr">
        <is>
          <t>GL-SL-004</t>
        </is>
      </c>
      <c r="I718" t="n">
        <v>6</v>
      </c>
      <c r="J718" t="n">
        <v>7.8</v>
      </c>
      <c r="K718" t="n">
        <v>-0.355</v>
      </c>
      <c r="L718" t="n">
        <v>-0.664</v>
      </c>
      <c r="M718" t="n">
        <v>0.335</v>
      </c>
      <c r="N718">
        <f>ROUND(J718*F718*G718+K718*G718+L718*F718+M718,3)</f>
        <v/>
      </c>
      <c r="O718">
        <f>AND(N718&gt;=1.4,N718&lt;=13)</f>
        <v/>
      </c>
      <c r="P718">
        <f>IF(OR(N718&lt;1.4,N718&gt;13),"",IF(G718*1000&lt;=1170,IF(N718&lt;1.8,"1014",IF(N718&lt;2.9,"1018",IF(N718&lt;3.8,"1029",IF(N718&lt;5,"1038",IF(N718&lt;7,"1050",IF(N718&lt;9,"1070",IF(N718&lt;11,"1090","1110"))))))),IF(G718*1000&lt;=1570,IF(N718&lt;1.8,"",IF(N718&lt;2.9,"2018",IF(N718&lt;3.8,"2029",IF(N718&lt;5,"2038",IF(N718&lt;7,"2050",IF(N718&lt;9,"2070",IF(N718&lt;11,"2090","2110"))))))),IF(G718*1000&lt;=1700,IF(N718&lt;1.8,"",IF(N718&lt;2.9,"3018",IF(N718&lt;3.8,"3029",IF(N718&lt;5,"3038",IF(N718&lt;7,"3050",IF(N718&lt;9,"3070",IF(N718&lt;11,"3090","3110"))))))),""))))</f>
        <v/>
      </c>
      <c r="Q718">
        <f>AND(O718=TRUE,P718&lt;&gt;"")</f>
        <v/>
      </c>
      <c r="R718">
        <f>IF(G718*1000&lt;750,"なし","あり")</f>
        <v/>
      </c>
      <c r="S718">
        <f>IF(AND(O718=TRUE,Q718=TRUE),"設定可","BLOCK")</f>
        <v/>
      </c>
      <c r="T718" t="inlineStr">
        <is>
          <t>商品カタログ P194</t>
        </is>
      </c>
      <c r="U718" t="inlineStr">
        <is>
          <t>https://webcatalog.lixil.co.jp/iportal/CatalogDetail.do?catalogID=15191910000&amp;categoryID=1630000&amp;designID=newinter&amp;method=initial_screen&amp;position=18&amp;type=mc&amp;volumeID=LXL13001</t>
        </is>
      </c>
    </row>
    <row r="719">
      <c r="A719" t="inlineStr">
        <is>
          <t>WG-SL-00716</t>
        </is>
      </c>
      <c r="B719" t="inlineStr">
        <is>
          <t>SZ-SL-001025</t>
        </is>
      </c>
      <c r="C719" t="inlineStr">
        <is>
          <t>WT-SL-MENKOSHI-AGE-FS</t>
        </is>
      </c>
      <c r="D719" t="inlineStr">
        <is>
          <t>SP-SL-AGE-GRILLE-DIA</t>
        </is>
      </c>
      <c r="E719" t="inlineStr">
        <is>
          <t>02613</t>
        </is>
      </c>
      <c r="F719" t="n">
        <v>0.3</v>
      </c>
      <c r="G719" t="n">
        <v>1.37</v>
      </c>
      <c r="H719" t="inlineStr">
        <is>
          <t>GL-SL-005</t>
        </is>
      </c>
      <c r="I719" t="n">
        <v>7</v>
      </c>
      <c r="J719" t="n">
        <v>9.1</v>
      </c>
      <c r="K719" t="n">
        <v>-0.48</v>
      </c>
      <c r="L719" t="n">
        <v>-0.998</v>
      </c>
      <c r="M719" t="n">
        <v>0.367</v>
      </c>
      <c r="N719">
        <f>ROUND(J719*F719*G719+K719*G719+L719*F719+M719,3)</f>
        <v/>
      </c>
      <c r="O719">
        <f>AND(N719&gt;=1.4,N719&lt;=13)</f>
        <v/>
      </c>
      <c r="P719">
        <f>IF(OR(N719&lt;1.4,N719&gt;13),"",IF(G719*1000&lt;=1170,IF(N719&lt;1.8,"1014",IF(N719&lt;2.9,"1018",IF(N719&lt;3.8,"1029",IF(N719&lt;5,"1038",IF(N719&lt;7,"1050",IF(N719&lt;9,"1070",IF(N719&lt;11,"1090","1110"))))))),IF(G719*1000&lt;=1570,IF(N719&lt;1.8,"",IF(N719&lt;2.9,"2018",IF(N719&lt;3.8,"2029",IF(N719&lt;5,"2038",IF(N719&lt;7,"2050",IF(N719&lt;9,"2070",IF(N719&lt;11,"2090","2110"))))))),IF(G719*1000&lt;=1700,IF(N719&lt;1.8,"",IF(N719&lt;2.9,"3018",IF(N719&lt;3.8,"3029",IF(N719&lt;5,"3038",IF(N719&lt;7,"3050",IF(N719&lt;9,"3070",IF(N719&lt;11,"3090","3110"))))))),""))))</f>
        <v/>
      </c>
      <c r="Q719">
        <f>AND(O719=TRUE,P719&lt;&gt;"")</f>
        <v/>
      </c>
      <c r="R719">
        <f>IF(G719*1000&lt;750,"なし","あり")</f>
        <v/>
      </c>
      <c r="S719">
        <f>IF(AND(O719=TRUE,Q719=TRUE),"設定可","BLOCK")</f>
        <v/>
      </c>
      <c r="T719" t="inlineStr">
        <is>
          <t>商品カタログ P194</t>
        </is>
      </c>
      <c r="U719" t="inlineStr">
        <is>
          <t>https://webcatalog.lixil.co.jp/iportal/CatalogDetail.do?catalogID=15191910000&amp;categoryID=1630000&amp;designID=newinter&amp;method=initial_screen&amp;position=18&amp;type=mc&amp;volumeID=LXL13001</t>
        </is>
      </c>
    </row>
    <row r="720">
      <c r="A720" t="inlineStr">
        <is>
          <t>WG-SL-00717</t>
        </is>
      </c>
      <c r="B720" t="inlineStr">
        <is>
          <t>SZ-SL-001025</t>
        </is>
      </c>
      <c r="C720" t="inlineStr">
        <is>
          <t>WT-SL-MENKOSHI-AGE-FS</t>
        </is>
      </c>
      <c r="D720" t="inlineStr">
        <is>
          <t>SP-SL-AGE-GRILLE-DIA</t>
        </is>
      </c>
      <c r="E720" t="inlineStr">
        <is>
          <t>02613</t>
        </is>
      </c>
      <c r="F720" t="n">
        <v>0.3</v>
      </c>
      <c r="G720" t="n">
        <v>1.37</v>
      </c>
      <c r="H720" t="inlineStr">
        <is>
          <t>GL-SL-006</t>
        </is>
      </c>
      <c r="I720" t="n">
        <v>8</v>
      </c>
      <c r="J720" t="n">
        <v>10.4</v>
      </c>
      <c r="K720" t="n">
        <v>-0.605</v>
      </c>
      <c r="L720" t="n">
        <v>-1.332</v>
      </c>
      <c r="M720" t="n">
        <v>0.399</v>
      </c>
      <c r="N720">
        <f>ROUND(J720*F720*G720+K720*G720+L720*F720+M720,3)</f>
        <v/>
      </c>
      <c r="O720">
        <f>AND(N720&gt;=1.4,N720&lt;=13)</f>
        <v/>
      </c>
      <c r="P720">
        <f>IF(OR(N720&lt;1.4,N720&gt;13),"",IF(G720*1000&lt;=1170,IF(N720&lt;1.8,"1014",IF(N720&lt;2.9,"1018",IF(N720&lt;3.8,"1029",IF(N720&lt;5,"1038",IF(N720&lt;7,"1050",IF(N720&lt;9,"1070",IF(N720&lt;11,"1090","1110"))))))),IF(G720*1000&lt;=1570,IF(N720&lt;1.8,"",IF(N720&lt;2.9,"2018",IF(N720&lt;3.8,"2029",IF(N720&lt;5,"2038",IF(N720&lt;7,"2050",IF(N720&lt;9,"2070",IF(N720&lt;11,"2090","2110"))))))),IF(G720*1000&lt;=1700,IF(N720&lt;1.8,"",IF(N720&lt;2.9,"3018",IF(N720&lt;3.8,"3029",IF(N720&lt;5,"3038",IF(N720&lt;7,"3050",IF(N720&lt;9,"3070",IF(N720&lt;11,"3090","3110"))))))),""))))</f>
        <v/>
      </c>
      <c r="Q720">
        <f>AND(O720=TRUE,P720&lt;&gt;"")</f>
        <v/>
      </c>
      <c r="R720">
        <f>IF(G720*1000&lt;750,"なし","あり")</f>
        <v/>
      </c>
      <c r="S720">
        <f>IF(AND(O720=TRUE,Q720=TRUE),"設定可","BLOCK")</f>
        <v/>
      </c>
      <c r="T720" t="inlineStr">
        <is>
          <t>商品カタログ P194</t>
        </is>
      </c>
      <c r="U720" t="inlineStr">
        <is>
          <t>https://webcatalog.lixil.co.jp/iportal/CatalogDetail.do?catalogID=15191910000&amp;categoryID=1630000&amp;designID=newinter&amp;method=initial_screen&amp;position=18&amp;type=mc&amp;volumeID=LXL13001</t>
        </is>
      </c>
    </row>
    <row r="721">
      <c r="A721" t="inlineStr">
        <is>
          <t>WG-SL-00718</t>
        </is>
      </c>
      <c r="B721" t="inlineStr">
        <is>
          <t>SZ-SL-001025</t>
        </is>
      </c>
      <c r="C721" t="inlineStr">
        <is>
          <t>WT-SL-MENKOSHI-AGE-FS</t>
        </is>
      </c>
      <c r="D721" t="inlineStr">
        <is>
          <t>SP-SL-AGE-GRILLE-DIA</t>
        </is>
      </c>
      <c r="E721" t="inlineStr">
        <is>
          <t>02613</t>
        </is>
      </c>
      <c r="F721" t="n">
        <v>0.3</v>
      </c>
      <c r="G721" t="n">
        <v>1.37</v>
      </c>
      <c r="H721" t="inlineStr">
        <is>
          <t>GL-SL-007</t>
        </is>
      </c>
      <c r="I721" t="n">
        <v>6</v>
      </c>
      <c r="J721" t="n">
        <v>7.8</v>
      </c>
      <c r="K721" t="n">
        <v>-0.355</v>
      </c>
      <c r="L721" t="n">
        <v>-0.664</v>
      </c>
      <c r="M721" t="n">
        <v>0.335</v>
      </c>
      <c r="N721">
        <f>ROUND(J721*F721*G721+K721*G721+L721*F721+M721,3)</f>
        <v/>
      </c>
      <c r="O721">
        <f>AND(N721&gt;=1.4,N721&lt;=13)</f>
        <v/>
      </c>
      <c r="P721">
        <f>IF(OR(N721&lt;1.4,N721&gt;13),"",IF(G721*1000&lt;=1170,IF(N721&lt;1.8,"1014",IF(N721&lt;2.9,"1018",IF(N721&lt;3.8,"1029",IF(N721&lt;5,"1038",IF(N721&lt;7,"1050",IF(N721&lt;9,"1070",IF(N721&lt;11,"1090","1110"))))))),IF(G721*1000&lt;=1570,IF(N721&lt;1.8,"",IF(N721&lt;2.9,"2018",IF(N721&lt;3.8,"2029",IF(N721&lt;5,"2038",IF(N721&lt;7,"2050",IF(N721&lt;9,"2070",IF(N721&lt;11,"2090","2110"))))))),IF(G721*1000&lt;=1700,IF(N721&lt;1.8,"",IF(N721&lt;2.9,"3018",IF(N721&lt;3.8,"3029",IF(N721&lt;5,"3038",IF(N721&lt;7,"3050",IF(N721&lt;9,"3070",IF(N721&lt;11,"3090","3110"))))))),""))))</f>
        <v/>
      </c>
      <c r="Q721">
        <f>AND(O721=TRUE,P721&lt;&gt;"")</f>
        <v/>
      </c>
      <c r="R721">
        <f>IF(G721*1000&lt;750,"なし","あり")</f>
        <v/>
      </c>
      <c r="S721">
        <f>IF(AND(O721=TRUE,Q721=TRUE),"設定可","BLOCK")</f>
        <v/>
      </c>
      <c r="T721" t="inlineStr">
        <is>
          <t>商品カタログ P194</t>
        </is>
      </c>
      <c r="U721" t="inlineStr">
        <is>
          <t>https://webcatalog.lixil.co.jp/iportal/CatalogDetail.do?catalogID=15191910000&amp;categoryID=1630000&amp;designID=newinter&amp;method=initial_screen&amp;position=18&amp;type=mc&amp;volumeID=LXL13001</t>
        </is>
      </c>
    </row>
    <row r="722">
      <c r="A722" t="inlineStr">
        <is>
          <t>WG-SL-00719</t>
        </is>
      </c>
      <c r="B722" t="inlineStr">
        <is>
          <t>SZ-SL-001025</t>
        </is>
      </c>
      <c r="C722" t="inlineStr">
        <is>
          <t>WT-SL-MENKOSHI-AGE-FS</t>
        </is>
      </c>
      <c r="D722" t="inlineStr">
        <is>
          <t>SP-SL-AGE-GRILLE-DIA</t>
        </is>
      </c>
      <c r="E722" t="inlineStr">
        <is>
          <t>02613</t>
        </is>
      </c>
      <c r="F722" t="n">
        <v>0.3</v>
      </c>
      <c r="G722" t="n">
        <v>1.37</v>
      </c>
      <c r="H722" t="inlineStr">
        <is>
          <t>GL-SL-008</t>
        </is>
      </c>
      <c r="I722" t="n">
        <v>7</v>
      </c>
      <c r="J722" t="n">
        <v>9.1</v>
      </c>
      <c r="K722" t="n">
        <v>-0.48</v>
      </c>
      <c r="L722" t="n">
        <v>-0.998</v>
      </c>
      <c r="M722" t="n">
        <v>0.367</v>
      </c>
      <c r="N722">
        <f>ROUND(J722*F722*G722+K722*G722+L722*F722+M722,3)</f>
        <v/>
      </c>
      <c r="O722">
        <f>AND(N722&gt;=1.4,N722&lt;=13)</f>
        <v/>
      </c>
      <c r="P722">
        <f>IF(OR(N722&lt;1.4,N722&gt;13),"",IF(G722*1000&lt;=1170,IF(N722&lt;1.8,"1014",IF(N722&lt;2.9,"1018",IF(N722&lt;3.8,"1029",IF(N722&lt;5,"1038",IF(N722&lt;7,"1050",IF(N722&lt;9,"1070",IF(N722&lt;11,"1090","1110"))))))),IF(G722*1000&lt;=1570,IF(N722&lt;1.8,"",IF(N722&lt;2.9,"2018",IF(N722&lt;3.8,"2029",IF(N722&lt;5,"2038",IF(N722&lt;7,"2050",IF(N722&lt;9,"2070",IF(N722&lt;11,"2090","2110"))))))),IF(G722*1000&lt;=1700,IF(N722&lt;1.8,"",IF(N722&lt;2.9,"3018",IF(N722&lt;3.8,"3029",IF(N722&lt;5,"3038",IF(N722&lt;7,"3050",IF(N722&lt;9,"3070",IF(N722&lt;11,"3090","3110"))))))),""))))</f>
        <v/>
      </c>
      <c r="Q722">
        <f>AND(O722=TRUE,P722&lt;&gt;"")</f>
        <v/>
      </c>
      <c r="R722">
        <f>IF(G722*1000&lt;750,"なし","あり")</f>
        <v/>
      </c>
      <c r="S722">
        <f>IF(AND(O722=TRUE,Q722=TRUE),"設定可","BLOCK")</f>
        <v/>
      </c>
      <c r="T722" t="inlineStr">
        <is>
          <t>商品カタログ P194</t>
        </is>
      </c>
      <c r="U722" t="inlineStr">
        <is>
          <t>https://webcatalog.lixil.co.jp/iportal/CatalogDetail.do?catalogID=15191910000&amp;categoryID=1630000&amp;designID=newinter&amp;method=initial_screen&amp;position=18&amp;type=mc&amp;volumeID=LXL13001</t>
        </is>
      </c>
    </row>
    <row r="723">
      <c r="A723" t="inlineStr">
        <is>
          <t>WG-SL-00720</t>
        </is>
      </c>
      <c r="B723" t="inlineStr">
        <is>
          <t>SZ-SL-001025</t>
        </is>
      </c>
      <c r="C723" t="inlineStr">
        <is>
          <t>WT-SL-MENKOSHI-AGE-FS</t>
        </is>
      </c>
      <c r="D723" t="inlineStr">
        <is>
          <t>SP-SL-AGE-GRILLE-DIA</t>
        </is>
      </c>
      <c r="E723" t="inlineStr">
        <is>
          <t>02613</t>
        </is>
      </c>
      <c r="F723" t="n">
        <v>0.3</v>
      </c>
      <c r="G723" t="n">
        <v>1.37</v>
      </c>
      <c r="H723" t="inlineStr">
        <is>
          <t>GL-SL-009</t>
        </is>
      </c>
      <c r="I723" t="n">
        <v>8</v>
      </c>
      <c r="J723" t="n">
        <v>10.4</v>
      </c>
      <c r="K723" t="n">
        <v>-0.605</v>
      </c>
      <c r="L723" t="n">
        <v>-1.332</v>
      </c>
      <c r="M723" t="n">
        <v>0.399</v>
      </c>
      <c r="N723">
        <f>ROUND(J723*F723*G723+K723*G723+L723*F723+M723,3)</f>
        <v/>
      </c>
      <c r="O723">
        <f>AND(N723&gt;=1.4,N723&lt;=13)</f>
        <v/>
      </c>
      <c r="P723">
        <f>IF(OR(N723&lt;1.4,N723&gt;13),"",IF(G723*1000&lt;=1170,IF(N723&lt;1.8,"1014",IF(N723&lt;2.9,"1018",IF(N723&lt;3.8,"1029",IF(N723&lt;5,"1038",IF(N723&lt;7,"1050",IF(N723&lt;9,"1070",IF(N723&lt;11,"1090","1110"))))))),IF(G723*1000&lt;=1570,IF(N723&lt;1.8,"",IF(N723&lt;2.9,"2018",IF(N723&lt;3.8,"2029",IF(N723&lt;5,"2038",IF(N723&lt;7,"2050",IF(N723&lt;9,"2070",IF(N723&lt;11,"2090","2110"))))))),IF(G723*1000&lt;=1700,IF(N723&lt;1.8,"",IF(N723&lt;2.9,"3018",IF(N723&lt;3.8,"3029",IF(N723&lt;5,"3038",IF(N723&lt;7,"3050",IF(N723&lt;9,"3070",IF(N723&lt;11,"3090","3110"))))))),""))))</f>
        <v/>
      </c>
      <c r="Q723">
        <f>AND(O723=TRUE,P723&lt;&gt;"")</f>
        <v/>
      </c>
      <c r="R723">
        <f>IF(G723*1000&lt;750,"なし","あり")</f>
        <v/>
      </c>
      <c r="S723">
        <f>IF(AND(O723=TRUE,Q723=TRUE),"設定可","BLOCK")</f>
        <v/>
      </c>
      <c r="T723" t="inlineStr">
        <is>
          <t>商品カタログ P194</t>
        </is>
      </c>
      <c r="U723" t="inlineStr">
        <is>
          <t>https://webcatalog.lixil.co.jp/iportal/CatalogDetail.do?catalogID=15191910000&amp;categoryID=1630000&amp;designID=newinter&amp;method=initial_screen&amp;position=18&amp;type=mc&amp;volumeID=LXL13001</t>
        </is>
      </c>
    </row>
    <row r="724">
      <c r="A724" t="inlineStr">
        <is>
          <t>WG-SL-00721</t>
        </is>
      </c>
      <c r="B724" t="inlineStr">
        <is>
          <t>SZ-SL-001026</t>
        </is>
      </c>
      <c r="C724" t="inlineStr">
        <is>
          <t>WT-SL-MENKOSHI-AGE-FS</t>
        </is>
      </c>
      <c r="D724" t="inlineStr">
        <is>
          <t>SP-SL-AGE-GRILLE-DIA</t>
        </is>
      </c>
      <c r="E724" t="inlineStr">
        <is>
          <t>03613</t>
        </is>
      </c>
      <c r="F724" t="n">
        <v>0.405</v>
      </c>
      <c r="G724" t="n">
        <v>1.37</v>
      </c>
      <c r="H724" t="inlineStr">
        <is>
          <t>GL-SL-001</t>
        </is>
      </c>
      <c r="I724" t="n">
        <v>6</v>
      </c>
      <c r="J724" t="n">
        <v>7.8</v>
      </c>
      <c r="K724" t="n">
        <v>-0.355</v>
      </c>
      <c r="L724" t="n">
        <v>-0.664</v>
      </c>
      <c r="M724" t="n">
        <v>0.335</v>
      </c>
      <c r="N724">
        <f>ROUND(J724*F724*G724+K724*G724+L724*F724+M724,3)</f>
        <v/>
      </c>
      <c r="O724">
        <f>AND(N724&gt;=1.4,N724&lt;=13)</f>
        <v/>
      </c>
      <c r="P724">
        <f>IF(OR(N724&lt;1.4,N724&gt;13),"",IF(G724*1000&lt;=1170,IF(N724&lt;1.8,"1014",IF(N724&lt;2.9,"1018",IF(N724&lt;3.8,"1029",IF(N724&lt;5,"1038",IF(N724&lt;7,"1050",IF(N724&lt;9,"1070",IF(N724&lt;11,"1090","1110"))))))),IF(G724*1000&lt;=1570,IF(N724&lt;1.8,"",IF(N724&lt;2.9,"2018",IF(N724&lt;3.8,"2029",IF(N724&lt;5,"2038",IF(N724&lt;7,"2050",IF(N724&lt;9,"2070",IF(N724&lt;11,"2090","2110"))))))),IF(G724*1000&lt;=1700,IF(N724&lt;1.8,"",IF(N724&lt;2.9,"3018",IF(N724&lt;3.8,"3029",IF(N724&lt;5,"3038",IF(N724&lt;7,"3050",IF(N724&lt;9,"3070",IF(N724&lt;11,"3090","3110"))))))),""))))</f>
        <v/>
      </c>
      <c r="Q724">
        <f>AND(O724=TRUE,P724&lt;&gt;"")</f>
        <v/>
      </c>
      <c r="R724">
        <f>IF(G724*1000&lt;750,"なし","あり")</f>
        <v/>
      </c>
      <c r="S724">
        <f>IF(AND(O724=TRUE,Q724=TRUE),"設定可","BLOCK")</f>
        <v/>
      </c>
      <c r="T724" t="inlineStr">
        <is>
          <t>商品カタログ P194</t>
        </is>
      </c>
      <c r="U724" t="inlineStr">
        <is>
          <t>https://webcatalog.lixil.co.jp/iportal/CatalogDetail.do?catalogID=15191910000&amp;categoryID=1630000&amp;designID=newinter&amp;method=initial_screen&amp;position=18&amp;type=mc&amp;volumeID=LXL13001</t>
        </is>
      </c>
    </row>
    <row r="725">
      <c r="A725" t="inlineStr">
        <is>
          <t>WG-SL-00722</t>
        </is>
      </c>
      <c r="B725" t="inlineStr">
        <is>
          <t>SZ-SL-001026</t>
        </is>
      </c>
      <c r="C725" t="inlineStr">
        <is>
          <t>WT-SL-MENKOSHI-AGE-FS</t>
        </is>
      </c>
      <c r="D725" t="inlineStr">
        <is>
          <t>SP-SL-AGE-GRILLE-DIA</t>
        </is>
      </c>
      <c r="E725" t="inlineStr">
        <is>
          <t>03613</t>
        </is>
      </c>
      <c r="F725" t="n">
        <v>0.405</v>
      </c>
      <c r="G725" t="n">
        <v>1.37</v>
      </c>
      <c r="H725" t="inlineStr">
        <is>
          <t>GL-SL-002</t>
        </is>
      </c>
      <c r="I725" t="n">
        <v>7</v>
      </c>
      <c r="J725" t="n">
        <v>9.1</v>
      </c>
      <c r="K725" t="n">
        <v>-0.48</v>
      </c>
      <c r="L725" t="n">
        <v>-0.998</v>
      </c>
      <c r="M725" t="n">
        <v>0.367</v>
      </c>
      <c r="N725">
        <f>ROUND(J725*F725*G725+K725*G725+L725*F725+M725,3)</f>
        <v/>
      </c>
      <c r="O725">
        <f>AND(N725&gt;=1.4,N725&lt;=13)</f>
        <v/>
      </c>
      <c r="P725">
        <f>IF(OR(N725&lt;1.4,N725&gt;13),"",IF(G725*1000&lt;=1170,IF(N725&lt;1.8,"1014",IF(N725&lt;2.9,"1018",IF(N725&lt;3.8,"1029",IF(N725&lt;5,"1038",IF(N725&lt;7,"1050",IF(N725&lt;9,"1070",IF(N725&lt;11,"1090","1110"))))))),IF(G725*1000&lt;=1570,IF(N725&lt;1.8,"",IF(N725&lt;2.9,"2018",IF(N725&lt;3.8,"2029",IF(N725&lt;5,"2038",IF(N725&lt;7,"2050",IF(N725&lt;9,"2070",IF(N725&lt;11,"2090","2110"))))))),IF(G725*1000&lt;=1700,IF(N725&lt;1.8,"",IF(N725&lt;2.9,"3018",IF(N725&lt;3.8,"3029",IF(N725&lt;5,"3038",IF(N725&lt;7,"3050",IF(N725&lt;9,"3070",IF(N725&lt;11,"3090","3110"))))))),""))))</f>
        <v/>
      </c>
      <c r="Q725">
        <f>AND(O725=TRUE,P725&lt;&gt;"")</f>
        <v/>
      </c>
      <c r="R725">
        <f>IF(G725*1000&lt;750,"なし","あり")</f>
        <v/>
      </c>
      <c r="S725">
        <f>IF(AND(O725=TRUE,Q725=TRUE),"設定可","BLOCK")</f>
        <v/>
      </c>
      <c r="T725" t="inlineStr">
        <is>
          <t>商品カタログ P194</t>
        </is>
      </c>
      <c r="U725" t="inlineStr">
        <is>
          <t>https://webcatalog.lixil.co.jp/iportal/CatalogDetail.do?catalogID=15191910000&amp;categoryID=1630000&amp;designID=newinter&amp;method=initial_screen&amp;position=18&amp;type=mc&amp;volumeID=LXL13001</t>
        </is>
      </c>
    </row>
    <row r="726">
      <c r="A726" t="inlineStr">
        <is>
          <t>WG-SL-00723</t>
        </is>
      </c>
      <c r="B726" t="inlineStr">
        <is>
          <t>SZ-SL-001026</t>
        </is>
      </c>
      <c r="C726" t="inlineStr">
        <is>
          <t>WT-SL-MENKOSHI-AGE-FS</t>
        </is>
      </c>
      <c r="D726" t="inlineStr">
        <is>
          <t>SP-SL-AGE-GRILLE-DIA</t>
        </is>
      </c>
      <c r="E726" t="inlineStr">
        <is>
          <t>03613</t>
        </is>
      </c>
      <c r="F726" t="n">
        <v>0.405</v>
      </c>
      <c r="G726" t="n">
        <v>1.37</v>
      </c>
      <c r="H726" t="inlineStr">
        <is>
          <t>GL-SL-003</t>
        </is>
      </c>
      <c r="I726" t="n">
        <v>8</v>
      </c>
      <c r="J726" t="n">
        <v>10.4</v>
      </c>
      <c r="K726" t="n">
        <v>-0.605</v>
      </c>
      <c r="L726" t="n">
        <v>-1.332</v>
      </c>
      <c r="M726" t="n">
        <v>0.399</v>
      </c>
      <c r="N726">
        <f>ROUND(J726*F726*G726+K726*G726+L726*F726+M726,3)</f>
        <v/>
      </c>
      <c r="O726">
        <f>AND(N726&gt;=1.4,N726&lt;=13)</f>
        <v/>
      </c>
      <c r="P726">
        <f>IF(OR(N726&lt;1.4,N726&gt;13),"",IF(G726*1000&lt;=1170,IF(N726&lt;1.8,"1014",IF(N726&lt;2.9,"1018",IF(N726&lt;3.8,"1029",IF(N726&lt;5,"1038",IF(N726&lt;7,"1050",IF(N726&lt;9,"1070",IF(N726&lt;11,"1090","1110"))))))),IF(G726*1000&lt;=1570,IF(N726&lt;1.8,"",IF(N726&lt;2.9,"2018",IF(N726&lt;3.8,"2029",IF(N726&lt;5,"2038",IF(N726&lt;7,"2050",IF(N726&lt;9,"2070",IF(N726&lt;11,"2090","2110"))))))),IF(G726*1000&lt;=1700,IF(N726&lt;1.8,"",IF(N726&lt;2.9,"3018",IF(N726&lt;3.8,"3029",IF(N726&lt;5,"3038",IF(N726&lt;7,"3050",IF(N726&lt;9,"3070",IF(N726&lt;11,"3090","3110"))))))),""))))</f>
        <v/>
      </c>
      <c r="Q726">
        <f>AND(O726=TRUE,P726&lt;&gt;"")</f>
        <v/>
      </c>
      <c r="R726">
        <f>IF(G726*1000&lt;750,"なし","あり")</f>
        <v/>
      </c>
      <c r="S726">
        <f>IF(AND(O726=TRUE,Q726=TRUE),"設定可","BLOCK")</f>
        <v/>
      </c>
      <c r="T726" t="inlineStr">
        <is>
          <t>商品カタログ P194</t>
        </is>
      </c>
      <c r="U726" t="inlineStr">
        <is>
          <t>https://webcatalog.lixil.co.jp/iportal/CatalogDetail.do?catalogID=15191910000&amp;categoryID=1630000&amp;designID=newinter&amp;method=initial_screen&amp;position=18&amp;type=mc&amp;volumeID=LXL13001</t>
        </is>
      </c>
    </row>
    <row r="727">
      <c r="A727" t="inlineStr">
        <is>
          <t>WG-SL-00724</t>
        </is>
      </c>
      <c r="B727" t="inlineStr">
        <is>
          <t>SZ-SL-001026</t>
        </is>
      </c>
      <c r="C727" t="inlineStr">
        <is>
          <t>WT-SL-MENKOSHI-AGE-FS</t>
        </is>
      </c>
      <c r="D727" t="inlineStr">
        <is>
          <t>SP-SL-AGE-GRILLE-DIA</t>
        </is>
      </c>
      <c r="E727" t="inlineStr">
        <is>
          <t>03613</t>
        </is>
      </c>
      <c r="F727" t="n">
        <v>0.405</v>
      </c>
      <c r="G727" t="n">
        <v>1.37</v>
      </c>
      <c r="H727" t="inlineStr">
        <is>
          <t>GL-SL-004</t>
        </is>
      </c>
      <c r="I727" t="n">
        <v>6</v>
      </c>
      <c r="J727" t="n">
        <v>7.8</v>
      </c>
      <c r="K727" t="n">
        <v>-0.355</v>
      </c>
      <c r="L727" t="n">
        <v>-0.664</v>
      </c>
      <c r="M727" t="n">
        <v>0.335</v>
      </c>
      <c r="N727">
        <f>ROUND(J727*F727*G727+K727*G727+L727*F727+M727,3)</f>
        <v/>
      </c>
      <c r="O727">
        <f>AND(N727&gt;=1.4,N727&lt;=13)</f>
        <v/>
      </c>
      <c r="P727">
        <f>IF(OR(N727&lt;1.4,N727&gt;13),"",IF(G727*1000&lt;=1170,IF(N727&lt;1.8,"1014",IF(N727&lt;2.9,"1018",IF(N727&lt;3.8,"1029",IF(N727&lt;5,"1038",IF(N727&lt;7,"1050",IF(N727&lt;9,"1070",IF(N727&lt;11,"1090","1110"))))))),IF(G727*1000&lt;=1570,IF(N727&lt;1.8,"",IF(N727&lt;2.9,"2018",IF(N727&lt;3.8,"2029",IF(N727&lt;5,"2038",IF(N727&lt;7,"2050",IF(N727&lt;9,"2070",IF(N727&lt;11,"2090","2110"))))))),IF(G727*1000&lt;=1700,IF(N727&lt;1.8,"",IF(N727&lt;2.9,"3018",IF(N727&lt;3.8,"3029",IF(N727&lt;5,"3038",IF(N727&lt;7,"3050",IF(N727&lt;9,"3070",IF(N727&lt;11,"3090","3110"))))))),""))))</f>
        <v/>
      </c>
      <c r="Q727">
        <f>AND(O727=TRUE,P727&lt;&gt;"")</f>
        <v/>
      </c>
      <c r="R727">
        <f>IF(G727*1000&lt;750,"なし","あり")</f>
        <v/>
      </c>
      <c r="S727">
        <f>IF(AND(O727=TRUE,Q727=TRUE),"設定可","BLOCK")</f>
        <v/>
      </c>
      <c r="T727" t="inlineStr">
        <is>
          <t>商品カタログ P194</t>
        </is>
      </c>
      <c r="U727" t="inlineStr">
        <is>
          <t>https://webcatalog.lixil.co.jp/iportal/CatalogDetail.do?catalogID=15191910000&amp;categoryID=1630000&amp;designID=newinter&amp;method=initial_screen&amp;position=18&amp;type=mc&amp;volumeID=LXL13001</t>
        </is>
      </c>
    </row>
    <row r="728">
      <c r="A728" t="inlineStr">
        <is>
          <t>WG-SL-00725</t>
        </is>
      </c>
      <c r="B728" t="inlineStr">
        <is>
          <t>SZ-SL-001026</t>
        </is>
      </c>
      <c r="C728" t="inlineStr">
        <is>
          <t>WT-SL-MENKOSHI-AGE-FS</t>
        </is>
      </c>
      <c r="D728" t="inlineStr">
        <is>
          <t>SP-SL-AGE-GRILLE-DIA</t>
        </is>
      </c>
      <c r="E728" t="inlineStr">
        <is>
          <t>03613</t>
        </is>
      </c>
      <c r="F728" t="n">
        <v>0.405</v>
      </c>
      <c r="G728" t="n">
        <v>1.37</v>
      </c>
      <c r="H728" t="inlineStr">
        <is>
          <t>GL-SL-005</t>
        </is>
      </c>
      <c r="I728" t="n">
        <v>7</v>
      </c>
      <c r="J728" t="n">
        <v>9.1</v>
      </c>
      <c r="K728" t="n">
        <v>-0.48</v>
      </c>
      <c r="L728" t="n">
        <v>-0.998</v>
      </c>
      <c r="M728" t="n">
        <v>0.367</v>
      </c>
      <c r="N728">
        <f>ROUND(J728*F728*G728+K728*G728+L728*F728+M728,3)</f>
        <v/>
      </c>
      <c r="O728">
        <f>AND(N728&gt;=1.4,N728&lt;=13)</f>
        <v/>
      </c>
      <c r="P728">
        <f>IF(OR(N728&lt;1.4,N728&gt;13),"",IF(G728*1000&lt;=1170,IF(N728&lt;1.8,"1014",IF(N728&lt;2.9,"1018",IF(N728&lt;3.8,"1029",IF(N728&lt;5,"1038",IF(N728&lt;7,"1050",IF(N728&lt;9,"1070",IF(N728&lt;11,"1090","1110"))))))),IF(G728*1000&lt;=1570,IF(N728&lt;1.8,"",IF(N728&lt;2.9,"2018",IF(N728&lt;3.8,"2029",IF(N728&lt;5,"2038",IF(N728&lt;7,"2050",IF(N728&lt;9,"2070",IF(N728&lt;11,"2090","2110"))))))),IF(G728*1000&lt;=1700,IF(N728&lt;1.8,"",IF(N728&lt;2.9,"3018",IF(N728&lt;3.8,"3029",IF(N728&lt;5,"3038",IF(N728&lt;7,"3050",IF(N728&lt;9,"3070",IF(N728&lt;11,"3090","3110"))))))),""))))</f>
        <v/>
      </c>
      <c r="Q728">
        <f>AND(O728=TRUE,P728&lt;&gt;"")</f>
        <v/>
      </c>
      <c r="R728">
        <f>IF(G728*1000&lt;750,"なし","あり")</f>
        <v/>
      </c>
      <c r="S728">
        <f>IF(AND(O728=TRUE,Q728=TRUE),"設定可","BLOCK")</f>
        <v/>
      </c>
      <c r="T728" t="inlineStr">
        <is>
          <t>商品カタログ P194</t>
        </is>
      </c>
      <c r="U728" t="inlineStr">
        <is>
          <t>https://webcatalog.lixil.co.jp/iportal/CatalogDetail.do?catalogID=15191910000&amp;categoryID=1630000&amp;designID=newinter&amp;method=initial_screen&amp;position=18&amp;type=mc&amp;volumeID=LXL13001</t>
        </is>
      </c>
    </row>
    <row r="729">
      <c r="A729" t="inlineStr">
        <is>
          <t>WG-SL-00726</t>
        </is>
      </c>
      <c r="B729" t="inlineStr">
        <is>
          <t>SZ-SL-001026</t>
        </is>
      </c>
      <c r="C729" t="inlineStr">
        <is>
          <t>WT-SL-MENKOSHI-AGE-FS</t>
        </is>
      </c>
      <c r="D729" t="inlineStr">
        <is>
          <t>SP-SL-AGE-GRILLE-DIA</t>
        </is>
      </c>
      <c r="E729" t="inlineStr">
        <is>
          <t>03613</t>
        </is>
      </c>
      <c r="F729" t="n">
        <v>0.405</v>
      </c>
      <c r="G729" t="n">
        <v>1.37</v>
      </c>
      <c r="H729" t="inlineStr">
        <is>
          <t>GL-SL-006</t>
        </is>
      </c>
      <c r="I729" t="n">
        <v>8</v>
      </c>
      <c r="J729" t="n">
        <v>10.4</v>
      </c>
      <c r="K729" t="n">
        <v>-0.605</v>
      </c>
      <c r="L729" t="n">
        <v>-1.332</v>
      </c>
      <c r="M729" t="n">
        <v>0.399</v>
      </c>
      <c r="N729">
        <f>ROUND(J729*F729*G729+K729*G729+L729*F729+M729,3)</f>
        <v/>
      </c>
      <c r="O729">
        <f>AND(N729&gt;=1.4,N729&lt;=13)</f>
        <v/>
      </c>
      <c r="P729">
        <f>IF(OR(N729&lt;1.4,N729&gt;13),"",IF(G729*1000&lt;=1170,IF(N729&lt;1.8,"1014",IF(N729&lt;2.9,"1018",IF(N729&lt;3.8,"1029",IF(N729&lt;5,"1038",IF(N729&lt;7,"1050",IF(N729&lt;9,"1070",IF(N729&lt;11,"1090","1110"))))))),IF(G729*1000&lt;=1570,IF(N729&lt;1.8,"",IF(N729&lt;2.9,"2018",IF(N729&lt;3.8,"2029",IF(N729&lt;5,"2038",IF(N729&lt;7,"2050",IF(N729&lt;9,"2070",IF(N729&lt;11,"2090","2110"))))))),IF(G729*1000&lt;=1700,IF(N729&lt;1.8,"",IF(N729&lt;2.9,"3018",IF(N729&lt;3.8,"3029",IF(N729&lt;5,"3038",IF(N729&lt;7,"3050",IF(N729&lt;9,"3070",IF(N729&lt;11,"3090","3110"))))))),""))))</f>
        <v/>
      </c>
      <c r="Q729">
        <f>AND(O729=TRUE,P729&lt;&gt;"")</f>
        <v/>
      </c>
      <c r="R729">
        <f>IF(G729*1000&lt;750,"なし","あり")</f>
        <v/>
      </c>
      <c r="S729">
        <f>IF(AND(O729=TRUE,Q729=TRUE),"設定可","BLOCK")</f>
        <v/>
      </c>
      <c r="T729" t="inlineStr">
        <is>
          <t>商品カタログ P194</t>
        </is>
      </c>
      <c r="U729" t="inlineStr">
        <is>
          <t>https://webcatalog.lixil.co.jp/iportal/CatalogDetail.do?catalogID=15191910000&amp;categoryID=1630000&amp;designID=newinter&amp;method=initial_screen&amp;position=18&amp;type=mc&amp;volumeID=LXL13001</t>
        </is>
      </c>
    </row>
    <row r="730">
      <c r="A730" t="inlineStr">
        <is>
          <t>WG-SL-00727</t>
        </is>
      </c>
      <c r="B730" t="inlineStr">
        <is>
          <t>SZ-SL-001026</t>
        </is>
      </c>
      <c r="C730" t="inlineStr">
        <is>
          <t>WT-SL-MENKOSHI-AGE-FS</t>
        </is>
      </c>
      <c r="D730" t="inlineStr">
        <is>
          <t>SP-SL-AGE-GRILLE-DIA</t>
        </is>
      </c>
      <c r="E730" t="inlineStr">
        <is>
          <t>03613</t>
        </is>
      </c>
      <c r="F730" t="n">
        <v>0.405</v>
      </c>
      <c r="G730" t="n">
        <v>1.37</v>
      </c>
      <c r="H730" t="inlineStr">
        <is>
          <t>GL-SL-007</t>
        </is>
      </c>
      <c r="I730" t="n">
        <v>6</v>
      </c>
      <c r="J730" t="n">
        <v>7.8</v>
      </c>
      <c r="K730" t="n">
        <v>-0.355</v>
      </c>
      <c r="L730" t="n">
        <v>-0.664</v>
      </c>
      <c r="M730" t="n">
        <v>0.335</v>
      </c>
      <c r="N730">
        <f>ROUND(J730*F730*G730+K730*G730+L730*F730+M730,3)</f>
        <v/>
      </c>
      <c r="O730">
        <f>AND(N730&gt;=1.4,N730&lt;=13)</f>
        <v/>
      </c>
      <c r="P730">
        <f>IF(OR(N730&lt;1.4,N730&gt;13),"",IF(G730*1000&lt;=1170,IF(N730&lt;1.8,"1014",IF(N730&lt;2.9,"1018",IF(N730&lt;3.8,"1029",IF(N730&lt;5,"1038",IF(N730&lt;7,"1050",IF(N730&lt;9,"1070",IF(N730&lt;11,"1090","1110"))))))),IF(G730*1000&lt;=1570,IF(N730&lt;1.8,"",IF(N730&lt;2.9,"2018",IF(N730&lt;3.8,"2029",IF(N730&lt;5,"2038",IF(N730&lt;7,"2050",IF(N730&lt;9,"2070",IF(N730&lt;11,"2090","2110"))))))),IF(G730*1000&lt;=1700,IF(N730&lt;1.8,"",IF(N730&lt;2.9,"3018",IF(N730&lt;3.8,"3029",IF(N730&lt;5,"3038",IF(N730&lt;7,"3050",IF(N730&lt;9,"3070",IF(N730&lt;11,"3090","3110"))))))),""))))</f>
        <v/>
      </c>
      <c r="Q730">
        <f>AND(O730=TRUE,P730&lt;&gt;"")</f>
        <v/>
      </c>
      <c r="R730">
        <f>IF(G730*1000&lt;750,"なし","あり")</f>
        <v/>
      </c>
      <c r="S730">
        <f>IF(AND(O730=TRUE,Q730=TRUE),"設定可","BLOCK")</f>
        <v/>
      </c>
      <c r="T730" t="inlineStr">
        <is>
          <t>商品カタログ P194</t>
        </is>
      </c>
      <c r="U730" t="inlineStr">
        <is>
          <t>https://webcatalog.lixil.co.jp/iportal/CatalogDetail.do?catalogID=15191910000&amp;categoryID=1630000&amp;designID=newinter&amp;method=initial_screen&amp;position=18&amp;type=mc&amp;volumeID=LXL13001</t>
        </is>
      </c>
    </row>
    <row r="731">
      <c r="A731" t="inlineStr">
        <is>
          <t>WG-SL-00728</t>
        </is>
      </c>
      <c r="B731" t="inlineStr">
        <is>
          <t>SZ-SL-001026</t>
        </is>
      </c>
      <c r="C731" t="inlineStr">
        <is>
          <t>WT-SL-MENKOSHI-AGE-FS</t>
        </is>
      </c>
      <c r="D731" t="inlineStr">
        <is>
          <t>SP-SL-AGE-GRILLE-DIA</t>
        </is>
      </c>
      <c r="E731" t="inlineStr">
        <is>
          <t>03613</t>
        </is>
      </c>
      <c r="F731" t="n">
        <v>0.405</v>
      </c>
      <c r="G731" t="n">
        <v>1.37</v>
      </c>
      <c r="H731" t="inlineStr">
        <is>
          <t>GL-SL-008</t>
        </is>
      </c>
      <c r="I731" t="n">
        <v>7</v>
      </c>
      <c r="J731" t="n">
        <v>9.1</v>
      </c>
      <c r="K731" t="n">
        <v>-0.48</v>
      </c>
      <c r="L731" t="n">
        <v>-0.998</v>
      </c>
      <c r="M731" t="n">
        <v>0.367</v>
      </c>
      <c r="N731">
        <f>ROUND(J731*F731*G731+K731*G731+L731*F731+M731,3)</f>
        <v/>
      </c>
      <c r="O731">
        <f>AND(N731&gt;=1.4,N731&lt;=13)</f>
        <v/>
      </c>
      <c r="P731">
        <f>IF(OR(N731&lt;1.4,N731&gt;13),"",IF(G731*1000&lt;=1170,IF(N731&lt;1.8,"1014",IF(N731&lt;2.9,"1018",IF(N731&lt;3.8,"1029",IF(N731&lt;5,"1038",IF(N731&lt;7,"1050",IF(N731&lt;9,"1070",IF(N731&lt;11,"1090","1110"))))))),IF(G731*1000&lt;=1570,IF(N731&lt;1.8,"",IF(N731&lt;2.9,"2018",IF(N731&lt;3.8,"2029",IF(N731&lt;5,"2038",IF(N731&lt;7,"2050",IF(N731&lt;9,"2070",IF(N731&lt;11,"2090","2110"))))))),IF(G731*1000&lt;=1700,IF(N731&lt;1.8,"",IF(N731&lt;2.9,"3018",IF(N731&lt;3.8,"3029",IF(N731&lt;5,"3038",IF(N731&lt;7,"3050",IF(N731&lt;9,"3070",IF(N731&lt;11,"3090","3110"))))))),""))))</f>
        <v/>
      </c>
      <c r="Q731">
        <f>AND(O731=TRUE,P731&lt;&gt;"")</f>
        <v/>
      </c>
      <c r="R731">
        <f>IF(G731*1000&lt;750,"なし","あり")</f>
        <v/>
      </c>
      <c r="S731">
        <f>IF(AND(O731=TRUE,Q731=TRUE),"設定可","BLOCK")</f>
        <v/>
      </c>
      <c r="T731" t="inlineStr">
        <is>
          <t>商品カタログ P194</t>
        </is>
      </c>
      <c r="U731" t="inlineStr">
        <is>
          <t>https://webcatalog.lixil.co.jp/iportal/CatalogDetail.do?catalogID=15191910000&amp;categoryID=1630000&amp;designID=newinter&amp;method=initial_screen&amp;position=18&amp;type=mc&amp;volumeID=LXL13001</t>
        </is>
      </c>
    </row>
    <row r="732">
      <c r="A732" t="inlineStr">
        <is>
          <t>WG-SL-00729</t>
        </is>
      </c>
      <c r="B732" t="inlineStr">
        <is>
          <t>SZ-SL-001026</t>
        </is>
      </c>
      <c r="C732" t="inlineStr">
        <is>
          <t>WT-SL-MENKOSHI-AGE-FS</t>
        </is>
      </c>
      <c r="D732" t="inlineStr">
        <is>
          <t>SP-SL-AGE-GRILLE-DIA</t>
        </is>
      </c>
      <c r="E732" t="inlineStr">
        <is>
          <t>03613</t>
        </is>
      </c>
      <c r="F732" t="n">
        <v>0.405</v>
      </c>
      <c r="G732" t="n">
        <v>1.37</v>
      </c>
      <c r="H732" t="inlineStr">
        <is>
          <t>GL-SL-009</t>
        </is>
      </c>
      <c r="I732" t="n">
        <v>8</v>
      </c>
      <c r="J732" t="n">
        <v>10.4</v>
      </c>
      <c r="K732" t="n">
        <v>-0.605</v>
      </c>
      <c r="L732" t="n">
        <v>-1.332</v>
      </c>
      <c r="M732" t="n">
        <v>0.399</v>
      </c>
      <c r="N732">
        <f>ROUND(J732*F732*G732+K732*G732+L732*F732+M732,3)</f>
        <v/>
      </c>
      <c r="O732">
        <f>AND(N732&gt;=1.4,N732&lt;=13)</f>
        <v/>
      </c>
      <c r="P732">
        <f>IF(OR(N732&lt;1.4,N732&gt;13),"",IF(G732*1000&lt;=1170,IF(N732&lt;1.8,"1014",IF(N732&lt;2.9,"1018",IF(N732&lt;3.8,"1029",IF(N732&lt;5,"1038",IF(N732&lt;7,"1050",IF(N732&lt;9,"1070",IF(N732&lt;11,"1090","1110"))))))),IF(G732*1000&lt;=1570,IF(N732&lt;1.8,"",IF(N732&lt;2.9,"2018",IF(N732&lt;3.8,"2029",IF(N732&lt;5,"2038",IF(N732&lt;7,"2050",IF(N732&lt;9,"2070",IF(N732&lt;11,"2090","2110"))))))),IF(G732*1000&lt;=1700,IF(N732&lt;1.8,"",IF(N732&lt;2.9,"3018",IF(N732&lt;3.8,"3029",IF(N732&lt;5,"3038",IF(N732&lt;7,"3050",IF(N732&lt;9,"3070",IF(N732&lt;11,"3090","3110"))))))),""))))</f>
        <v/>
      </c>
      <c r="Q732">
        <f>AND(O732=TRUE,P732&lt;&gt;"")</f>
        <v/>
      </c>
      <c r="R732">
        <f>IF(G732*1000&lt;750,"なし","あり")</f>
        <v/>
      </c>
      <c r="S732">
        <f>IF(AND(O732=TRUE,Q732=TRUE),"設定可","BLOCK")</f>
        <v/>
      </c>
      <c r="T732" t="inlineStr">
        <is>
          <t>商品カタログ P194</t>
        </is>
      </c>
      <c r="U732" t="inlineStr">
        <is>
          <t>https://webcatalog.lixil.co.jp/iportal/CatalogDetail.do?catalogID=15191910000&amp;categoryID=1630000&amp;designID=newinter&amp;method=initial_screen&amp;position=18&amp;type=mc&amp;volumeID=LXL13001</t>
        </is>
      </c>
    </row>
    <row r="733">
      <c r="A733" t="inlineStr">
        <is>
          <t>WG-SL-00730</t>
        </is>
      </c>
      <c r="B733" t="inlineStr">
        <is>
          <t>SZ-SL-001027</t>
        </is>
      </c>
      <c r="C733" t="inlineStr">
        <is>
          <t>WT-SL-MENKOSHI-AGE-FS</t>
        </is>
      </c>
      <c r="D733" t="inlineStr">
        <is>
          <t>SP-SL-AGE-GRILLE-DIA</t>
        </is>
      </c>
      <c r="E733" t="inlineStr">
        <is>
          <t>06013</t>
        </is>
      </c>
      <c r="F733" t="n">
        <v>0.64</v>
      </c>
      <c r="G733" t="n">
        <v>1.37</v>
      </c>
      <c r="H733" t="inlineStr">
        <is>
          <t>GL-SL-001</t>
        </is>
      </c>
      <c r="I733" t="n">
        <v>6</v>
      </c>
      <c r="J733" t="n">
        <v>7.8</v>
      </c>
      <c r="K733" t="n">
        <v>-0.355</v>
      </c>
      <c r="L733" t="n">
        <v>-0.664</v>
      </c>
      <c r="M733" t="n">
        <v>0.335</v>
      </c>
      <c r="N733">
        <f>ROUND(J733*F733*G733+K733*G733+L733*F733+M733,3)</f>
        <v/>
      </c>
      <c r="O733">
        <f>AND(N733&gt;=1.4,N733&lt;=13)</f>
        <v/>
      </c>
      <c r="P733">
        <f>IF(OR(N733&lt;1.4,N733&gt;13),"",IF(G733*1000&lt;=1170,IF(N733&lt;1.8,"1014",IF(N733&lt;2.9,"1018",IF(N733&lt;3.8,"1029",IF(N733&lt;5,"1038",IF(N733&lt;7,"1050",IF(N733&lt;9,"1070",IF(N733&lt;11,"1090","1110"))))))),IF(G733*1000&lt;=1570,IF(N733&lt;1.8,"",IF(N733&lt;2.9,"2018",IF(N733&lt;3.8,"2029",IF(N733&lt;5,"2038",IF(N733&lt;7,"2050",IF(N733&lt;9,"2070",IF(N733&lt;11,"2090","2110"))))))),IF(G733*1000&lt;=1700,IF(N733&lt;1.8,"",IF(N733&lt;2.9,"3018",IF(N733&lt;3.8,"3029",IF(N733&lt;5,"3038",IF(N733&lt;7,"3050",IF(N733&lt;9,"3070",IF(N733&lt;11,"3090","3110"))))))),""))))</f>
        <v/>
      </c>
      <c r="Q733">
        <f>AND(O733=TRUE,P733&lt;&gt;"")</f>
        <v/>
      </c>
      <c r="R733">
        <f>IF(G733*1000&lt;750,"なし","あり")</f>
        <v/>
      </c>
      <c r="S733">
        <f>IF(AND(O733=TRUE,Q733=TRUE),"設定可","BLOCK")</f>
        <v/>
      </c>
      <c r="T733" t="inlineStr">
        <is>
          <t>商品カタログ P194</t>
        </is>
      </c>
      <c r="U733" t="inlineStr">
        <is>
          <t>https://webcatalog.lixil.co.jp/iportal/CatalogDetail.do?catalogID=15191910000&amp;categoryID=1630000&amp;designID=newinter&amp;method=initial_screen&amp;position=18&amp;type=mc&amp;volumeID=LXL13001</t>
        </is>
      </c>
    </row>
    <row r="734">
      <c r="A734" t="inlineStr">
        <is>
          <t>WG-SL-00731</t>
        </is>
      </c>
      <c r="B734" t="inlineStr">
        <is>
          <t>SZ-SL-001027</t>
        </is>
      </c>
      <c r="C734" t="inlineStr">
        <is>
          <t>WT-SL-MENKOSHI-AGE-FS</t>
        </is>
      </c>
      <c r="D734" t="inlineStr">
        <is>
          <t>SP-SL-AGE-GRILLE-DIA</t>
        </is>
      </c>
      <c r="E734" t="inlineStr">
        <is>
          <t>06013</t>
        </is>
      </c>
      <c r="F734" t="n">
        <v>0.64</v>
      </c>
      <c r="G734" t="n">
        <v>1.37</v>
      </c>
      <c r="H734" t="inlineStr">
        <is>
          <t>GL-SL-002</t>
        </is>
      </c>
      <c r="I734" t="n">
        <v>7</v>
      </c>
      <c r="J734" t="n">
        <v>9.1</v>
      </c>
      <c r="K734" t="n">
        <v>-0.48</v>
      </c>
      <c r="L734" t="n">
        <v>-0.998</v>
      </c>
      <c r="M734" t="n">
        <v>0.367</v>
      </c>
      <c r="N734">
        <f>ROUND(J734*F734*G734+K734*G734+L734*F734+M734,3)</f>
        <v/>
      </c>
      <c r="O734">
        <f>AND(N734&gt;=1.4,N734&lt;=13)</f>
        <v/>
      </c>
      <c r="P734">
        <f>IF(OR(N734&lt;1.4,N734&gt;13),"",IF(G734*1000&lt;=1170,IF(N734&lt;1.8,"1014",IF(N734&lt;2.9,"1018",IF(N734&lt;3.8,"1029",IF(N734&lt;5,"1038",IF(N734&lt;7,"1050",IF(N734&lt;9,"1070",IF(N734&lt;11,"1090","1110"))))))),IF(G734*1000&lt;=1570,IF(N734&lt;1.8,"",IF(N734&lt;2.9,"2018",IF(N734&lt;3.8,"2029",IF(N734&lt;5,"2038",IF(N734&lt;7,"2050",IF(N734&lt;9,"2070",IF(N734&lt;11,"2090","2110"))))))),IF(G734*1000&lt;=1700,IF(N734&lt;1.8,"",IF(N734&lt;2.9,"3018",IF(N734&lt;3.8,"3029",IF(N734&lt;5,"3038",IF(N734&lt;7,"3050",IF(N734&lt;9,"3070",IF(N734&lt;11,"3090","3110"))))))),""))))</f>
        <v/>
      </c>
      <c r="Q734">
        <f>AND(O734=TRUE,P734&lt;&gt;"")</f>
        <v/>
      </c>
      <c r="R734">
        <f>IF(G734*1000&lt;750,"なし","あり")</f>
        <v/>
      </c>
      <c r="S734">
        <f>IF(AND(O734=TRUE,Q734=TRUE),"設定可","BLOCK")</f>
        <v/>
      </c>
      <c r="T734" t="inlineStr">
        <is>
          <t>商品カタログ P194</t>
        </is>
      </c>
      <c r="U734" t="inlineStr">
        <is>
          <t>https://webcatalog.lixil.co.jp/iportal/CatalogDetail.do?catalogID=15191910000&amp;categoryID=1630000&amp;designID=newinter&amp;method=initial_screen&amp;position=18&amp;type=mc&amp;volumeID=LXL13001</t>
        </is>
      </c>
    </row>
    <row r="735">
      <c r="A735" t="inlineStr">
        <is>
          <t>WG-SL-00732</t>
        </is>
      </c>
      <c r="B735" t="inlineStr">
        <is>
          <t>SZ-SL-001027</t>
        </is>
      </c>
      <c r="C735" t="inlineStr">
        <is>
          <t>WT-SL-MENKOSHI-AGE-FS</t>
        </is>
      </c>
      <c r="D735" t="inlineStr">
        <is>
          <t>SP-SL-AGE-GRILLE-DIA</t>
        </is>
      </c>
      <c r="E735" t="inlineStr">
        <is>
          <t>06013</t>
        </is>
      </c>
      <c r="F735" t="n">
        <v>0.64</v>
      </c>
      <c r="G735" t="n">
        <v>1.37</v>
      </c>
      <c r="H735" t="inlineStr">
        <is>
          <t>GL-SL-003</t>
        </is>
      </c>
      <c r="I735" t="n">
        <v>8</v>
      </c>
      <c r="J735" t="n">
        <v>10.4</v>
      </c>
      <c r="K735" t="n">
        <v>-0.605</v>
      </c>
      <c r="L735" t="n">
        <v>-1.332</v>
      </c>
      <c r="M735" t="n">
        <v>0.399</v>
      </c>
      <c r="N735">
        <f>ROUND(J735*F735*G735+K735*G735+L735*F735+M735,3)</f>
        <v/>
      </c>
      <c r="O735">
        <f>AND(N735&gt;=1.4,N735&lt;=13)</f>
        <v/>
      </c>
      <c r="P735">
        <f>IF(OR(N735&lt;1.4,N735&gt;13),"",IF(G735*1000&lt;=1170,IF(N735&lt;1.8,"1014",IF(N735&lt;2.9,"1018",IF(N735&lt;3.8,"1029",IF(N735&lt;5,"1038",IF(N735&lt;7,"1050",IF(N735&lt;9,"1070",IF(N735&lt;11,"1090","1110"))))))),IF(G735*1000&lt;=1570,IF(N735&lt;1.8,"",IF(N735&lt;2.9,"2018",IF(N735&lt;3.8,"2029",IF(N735&lt;5,"2038",IF(N735&lt;7,"2050",IF(N735&lt;9,"2070",IF(N735&lt;11,"2090","2110"))))))),IF(G735*1000&lt;=1700,IF(N735&lt;1.8,"",IF(N735&lt;2.9,"3018",IF(N735&lt;3.8,"3029",IF(N735&lt;5,"3038",IF(N735&lt;7,"3050",IF(N735&lt;9,"3070",IF(N735&lt;11,"3090","3110"))))))),""))))</f>
        <v/>
      </c>
      <c r="Q735">
        <f>AND(O735=TRUE,P735&lt;&gt;"")</f>
        <v/>
      </c>
      <c r="R735">
        <f>IF(G735*1000&lt;750,"なし","あり")</f>
        <v/>
      </c>
      <c r="S735">
        <f>IF(AND(O735=TRUE,Q735=TRUE),"設定可","BLOCK")</f>
        <v/>
      </c>
      <c r="T735" t="inlineStr">
        <is>
          <t>商品カタログ P194</t>
        </is>
      </c>
      <c r="U735" t="inlineStr">
        <is>
          <t>https://webcatalog.lixil.co.jp/iportal/CatalogDetail.do?catalogID=15191910000&amp;categoryID=1630000&amp;designID=newinter&amp;method=initial_screen&amp;position=18&amp;type=mc&amp;volumeID=LXL13001</t>
        </is>
      </c>
    </row>
    <row r="736">
      <c r="A736" t="inlineStr">
        <is>
          <t>WG-SL-00733</t>
        </is>
      </c>
      <c r="B736" t="inlineStr">
        <is>
          <t>SZ-SL-001027</t>
        </is>
      </c>
      <c r="C736" t="inlineStr">
        <is>
          <t>WT-SL-MENKOSHI-AGE-FS</t>
        </is>
      </c>
      <c r="D736" t="inlineStr">
        <is>
          <t>SP-SL-AGE-GRILLE-DIA</t>
        </is>
      </c>
      <c r="E736" t="inlineStr">
        <is>
          <t>06013</t>
        </is>
      </c>
      <c r="F736" t="n">
        <v>0.64</v>
      </c>
      <c r="G736" t="n">
        <v>1.37</v>
      </c>
      <c r="H736" t="inlineStr">
        <is>
          <t>GL-SL-004</t>
        </is>
      </c>
      <c r="I736" t="n">
        <v>6</v>
      </c>
      <c r="J736" t="n">
        <v>7.8</v>
      </c>
      <c r="K736" t="n">
        <v>-0.355</v>
      </c>
      <c r="L736" t="n">
        <v>-0.664</v>
      </c>
      <c r="M736" t="n">
        <v>0.335</v>
      </c>
      <c r="N736">
        <f>ROUND(J736*F736*G736+K736*G736+L736*F736+M736,3)</f>
        <v/>
      </c>
      <c r="O736">
        <f>AND(N736&gt;=1.4,N736&lt;=13)</f>
        <v/>
      </c>
      <c r="P736">
        <f>IF(OR(N736&lt;1.4,N736&gt;13),"",IF(G736*1000&lt;=1170,IF(N736&lt;1.8,"1014",IF(N736&lt;2.9,"1018",IF(N736&lt;3.8,"1029",IF(N736&lt;5,"1038",IF(N736&lt;7,"1050",IF(N736&lt;9,"1070",IF(N736&lt;11,"1090","1110"))))))),IF(G736*1000&lt;=1570,IF(N736&lt;1.8,"",IF(N736&lt;2.9,"2018",IF(N736&lt;3.8,"2029",IF(N736&lt;5,"2038",IF(N736&lt;7,"2050",IF(N736&lt;9,"2070",IF(N736&lt;11,"2090","2110"))))))),IF(G736*1000&lt;=1700,IF(N736&lt;1.8,"",IF(N736&lt;2.9,"3018",IF(N736&lt;3.8,"3029",IF(N736&lt;5,"3038",IF(N736&lt;7,"3050",IF(N736&lt;9,"3070",IF(N736&lt;11,"3090","3110"))))))),""))))</f>
        <v/>
      </c>
      <c r="Q736">
        <f>AND(O736=TRUE,P736&lt;&gt;"")</f>
        <v/>
      </c>
      <c r="R736">
        <f>IF(G736*1000&lt;750,"なし","あり")</f>
        <v/>
      </c>
      <c r="S736">
        <f>IF(AND(O736=TRUE,Q736=TRUE),"設定可","BLOCK")</f>
        <v/>
      </c>
      <c r="T736" t="inlineStr">
        <is>
          <t>商品カタログ P194</t>
        </is>
      </c>
      <c r="U736" t="inlineStr">
        <is>
          <t>https://webcatalog.lixil.co.jp/iportal/CatalogDetail.do?catalogID=15191910000&amp;categoryID=1630000&amp;designID=newinter&amp;method=initial_screen&amp;position=18&amp;type=mc&amp;volumeID=LXL13001</t>
        </is>
      </c>
    </row>
    <row r="737">
      <c r="A737" t="inlineStr">
        <is>
          <t>WG-SL-00734</t>
        </is>
      </c>
      <c r="B737" t="inlineStr">
        <is>
          <t>SZ-SL-001027</t>
        </is>
      </c>
      <c r="C737" t="inlineStr">
        <is>
          <t>WT-SL-MENKOSHI-AGE-FS</t>
        </is>
      </c>
      <c r="D737" t="inlineStr">
        <is>
          <t>SP-SL-AGE-GRILLE-DIA</t>
        </is>
      </c>
      <c r="E737" t="inlineStr">
        <is>
          <t>06013</t>
        </is>
      </c>
      <c r="F737" t="n">
        <v>0.64</v>
      </c>
      <c r="G737" t="n">
        <v>1.37</v>
      </c>
      <c r="H737" t="inlineStr">
        <is>
          <t>GL-SL-005</t>
        </is>
      </c>
      <c r="I737" t="n">
        <v>7</v>
      </c>
      <c r="J737" t="n">
        <v>9.1</v>
      </c>
      <c r="K737" t="n">
        <v>-0.48</v>
      </c>
      <c r="L737" t="n">
        <v>-0.998</v>
      </c>
      <c r="M737" t="n">
        <v>0.367</v>
      </c>
      <c r="N737">
        <f>ROUND(J737*F737*G737+K737*G737+L737*F737+M737,3)</f>
        <v/>
      </c>
      <c r="O737">
        <f>AND(N737&gt;=1.4,N737&lt;=13)</f>
        <v/>
      </c>
      <c r="P737">
        <f>IF(OR(N737&lt;1.4,N737&gt;13),"",IF(G737*1000&lt;=1170,IF(N737&lt;1.8,"1014",IF(N737&lt;2.9,"1018",IF(N737&lt;3.8,"1029",IF(N737&lt;5,"1038",IF(N737&lt;7,"1050",IF(N737&lt;9,"1070",IF(N737&lt;11,"1090","1110"))))))),IF(G737*1000&lt;=1570,IF(N737&lt;1.8,"",IF(N737&lt;2.9,"2018",IF(N737&lt;3.8,"2029",IF(N737&lt;5,"2038",IF(N737&lt;7,"2050",IF(N737&lt;9,"2070",IF(N737&lt;11,"2090","2110"))))))),IF(G737*1000&lt;=1700,IF(N737&lt;1.8,"",IF(N737&lt;2.9,"3018",IF(N737&lt;3.8,"3029",IF(N737&lt;5,"3038",IF(N737&lt;7,"3050",IF(N737&lt;9,"3070",IF(N737&lt;11,"3090","3110"))))))),""))))</f>
        <v/>
      </c>
      <c r="Q737">
        <f>AND(O737=TRUE,P737&lt;&gt;"")</f>
        <v/>
      </c>
      <c r="R737">
        <f>IF(G737*1000&lt;750,"なし","あり")</f>
        <v/>
      </c>
      <c r="S737">
        <f>IF(AND(O737=TRUE,Q737=TRUE),"設定可","BLOCK")</f>
        <v/>
      </c>
      <c r="T737" t="inlineStr">
        <is>
          <t>商品カタログ P194</t>
        </is>
      </c>
      <c r="U737" t="inlineStr">
        <is>
          <t>https://webcatalog.lixil.co.jp/iportal/CatalogDetail.do?catalogID=15191910000&amp;categoryID=1630000&amp;designID=newinter&amp;method=initial_screen&amp;position=18&amp;type=mc&amp;volumeID=LXL13001</t>
        </is>
      </c>
    </row>
    <row r="738">
      <c r="A738" t="inlineStr">
        <is>
          <t>WG-SL-00735</t>
        </is>
      </c>
      <c r="B738" t="inlineStr">
        <is>
          <t>SZ-SL-001027</t>
        </is>
      </c>
      <c r="C738" t="inlineStr">
        <is>
          <t>WT-SL-MENKOSHI-AGE-FS</t>
        </is>
      </c>
      <c r="D738" t="inlineStr">
        <is>
          <t>SP-SL-AGE-GRILLE-DIA</t>
        </is>
      </c>
      <c r="E738" t="inlineStr">
        <is>
          <t>06013</t>
        </is>
      </c>
      <c r="F738" t="n">
        <v>0.64</v>
      </c>
      <c r="G738" t="n">
        <v>1.37</v>
      </c>
      <c r="H738" t="inlineStr">
        <is>
          <t>GL-SL-006</t>
        </is>
      </c>
      <c r="I738" t="n">
        <v>8</v>
      </c>
      <c r="J738" t="n">
        <v>10.4</v>
      </c>
      <c r="K738" t="n">
        <v>-0.605</v>
      </c>
      <c r="L738" t="n">
        <v>-1.332</v>
      </c>
      <c r="M738" t="n">
        <v>0.399</v>
      </c>
      <c r="N738">
        <f>ROUND(J738*F738*G738+K738*G738+L738*F738+M738,3)</f>
        <v/>
      </c>
      <c r="O738">
        <f>AND(N738&gt;=1.4,N738&lt;=13)</f>
        <v/>
      </c>
      <c r="P738">
        <f>IF(OR(N738&lt;1.4,N738&gt;13),"",IF(G738*1000&lt;=1170,IF(N738&lt;1.8,"1014",IF(N738&lt;2.9,"1018",IF(N738&lt;3.8,"1029",IF(N738&lt;5,"1038",IF(N738&lt;7,"1050",IF(N738&lt;9,"1070",IF(N738&lt;11,"1090","1110"))))))),IF(G738*1000&lt;=1570,IF(N738&lt;1.8,"",IF(N738&lt;2.9,"2018",IF(N738&lt;3.8,"2029",IF(N738&lt;5,"2038",IF(N738&lt;7,"2050",IF(N738&lt;9,"2070",IF(N738&lt;11,"2090","2110"))))))),IF(G738*1000&lt;=1700,IF(N738&lt;1.8,"",IF(N738&lt;2.9,"3018",IF(N738&lt;3.8,"3029",IF(N738&lt;5,"3038",IF(N738&lt;7,"3050",IF(N738&lt;9,"3070",IF(N738&lt;11,"3090","3110"))))))),""))))</f>
        <v/>
      </c>
      <c r="Q738">
        <f>AND(O738=TRUE,P738&lt;&gt;"")</f>
        <v/>
      </c>
      <c r="R738">
        <f>IF(G738*1000&lt;750,"なし","あり")</f>
        <v/>
      </c>
      <c r="S738">
        <f>IF(AND(O738=TRUE,Q738=TRUE),"設定可","BLOCK")</f>
        <v/>
      </c>
      <c r="T738" t="inlineStr">
        <is>
          <t>商品カタログ P194</t>
        </is>
      </c>
      <c r="U738" t="inlineStr">
        <is>
          <t>https://webcatalog.lixil.co.jp/iportal/CatalogDetail.do?catalogID=15191910000&amp;categoryID=1630000&amp;designID=newinter&amp;method=initial_screen&amp;position=18&amp;type=mc&amp;volumeID=LXL13001</t>
        </is>
      </c>
    </row>
    <row r="739">
      <c r="A739" t="inlineStr">
        <is>
          <t>WG-SL-00736</t>
        </is>
      </c>
      <c r="B739" t="inlineStr">
        <is>
          <t>SZ-SL-001027</t>
        </is>
      </c>
      <c r="C739" t="inlineStr">
        <is>
          <t>WT-SL-MENKOSHI-AGE-FS</t>
        </is>
      </c>
      <c r="D739" t="inlineStr">
        <is>
          <t>SP-SL-AGE-GRILLE-DIA</t>
        </is>
      </c>
      <c r="E739" t="inlineStr">
        <is>
          <t>06013</t>
        </is>
      </c>
      <c r="F739" t="n">
        <v>0.64</v>
      </c>
      <c r="G739" t="n">
        <v>1.37</v>
      </c>
      <c r="H739" t="inlineStr">
        <is>
          <t>GL-SL-007</t>
        </is>
      </c>
      <c r="I739" t="n">
        <v>6</v>
      </c>
      <c r="J739" t="n">
        <v>7.8</v>
      </c>
      <c r="K739" t="n">
        <v>-0.355</v>
      </c>
      <c r="L739" t="n">
        <v>-0.664</v>
      </c>
      <c r="M739" t="n">
        <v>0.335</v>
      </c>
      <c r="N739">
        <f>ROUND(J739*F739*G739+K739*G739+L739*F739+M739,3)</f>
        <v/>
      </c>
      <c r="O739">
        <f>AND(N739&gt;=1.4,N739&lt;=13)</f>
        <v/>
      </c>
      <c r="P739">
        <f>IF(OR(N739&lt;1.4,N739&gt;13),"",IF(G739*1000&lt;=1170,IF(N739&lt;1.8,"1014",IF(N739&lt;2.9,"1018",IF(N739&lt;3.8,"1029",IF(N739&lt;5,"1038",IF(N739&lt;7,"1050",IF(N739&lt;9,"1070",IF(N739&lt;11,"1090","1110"))))))),IF(G739*1000&lt;=1570,IF(N739&lt;1.8,"",IF(N739&lt;2.9,"2018",IF(N739&lt;3.8,"2029",IF(N739&lt;5,"2038",IF(N739&lt;7,"2050",IF(N739&lt;9,"2070",IF(N739&lt;11,"2090","2110"))))))),IF(G739*1000&lt;=1700,IF(N739&lt;1.8,"",IF(N739&lt;2.9,"3018",IF(N739&lt;3.8,"3029",IF(N739&lt;5,"3038",IF(N739&lt;7,"3050",IF(N739&lt;9,"3070",IF(N739&lt;11,"3090","3110"))))))),""))))</f>
        <v/>
      </c>
      <c r="Q739">
        <f>AND(O739=TRUE,P739&lt;&gt;"")</f>
        <v/>
      </c>
      <c r="R739">
        <f>IF(G739*1000&lt;750,"なし","あり")</f>
        <v/>
      </c>
      <c r="S739">
        <f>IF(AND(O739=TRUE,Q739=TRUE),"設定可","BLOCK")</f>
        <v/>
      </c>
      <c r="T739" t="inlineStr">
        <is>
          <t>商品カタログ P194</t>
        </is>
      </c>
      <c r="U739" t="inlineStr">
        <is>
          <t>https://webcatalog.lixil.co.jp/iportal/CatalogDetail.do?catalogID=15191910000&amp;categoryID=1630000&amp;designID=newinter&amp;method=initial_screen&amp;position=18&amp;type=mc&amp;volumeID=LXL13001</t>
        </is>
      </c>
    </row>
    <row r="740">
      <c r="A740" t="inlineStr">
        <is>
          <t>WG-SL-00737</t>
        </is>
      </c>
      <c r="B740" t="inlineStr">
        <is>
          <t>SZ-SL-001027</t>
        </is>
      </c>
      <c r="C740" t="inlineStr">
        <is>
          <t>WT-SL-MENKOSHI-AGE-FS</t>
        </is>
      </c>
      <c r="D740" t="inlineStr">
        <is>
          <t>SP-SL-AGE-GRILLE-DIA</t>
        </is>
      </c>
      <c r="E740" t="inlineStr">
        <is>
          <t>06013</t>
        </is>
      </c>
      <c r="F740" t="n">
        <v>0.64</v>
      </c>
      <c r="G740" t="n">
        <v>1.37</v>
      </c>
      <c r="H740" t="inlineStr">
        <is>
          <t>GL-SL-008</t>
        </is>
      </c>
      <c r="I740" t="n">
        <v>7</v>
      </c>
      <c r="J740" t="n">
        <v>9.1</v>
      </c>
      <c r="K740" t="n">
        <v>-0.48</v>
      </c>
      <c r="L740" t="n">
        <v>-0.998</v>
      </c>
      <c r="M740" t="n">
        <v>0.367</v>
      </c>
      <c r="N740">
        <f>ROUND(J740*F740*G740+K740*G740+L740*F740+M740,3)</f>
        <v/>
      </c>
      <c r="O740">
        <f>AND(N740&gt;=1.4,N740&lt;=13)</f>
        <v/>
      </c>
      <c r="P740">
        <f>IF(OR(N740&lt;1.4,N740&gt;13),"",IF(G740*1000&lt;=1170,IF(N740&lt;1.8,"1014",IF(N740&lt;2.9,"1018",IF(N740&lt;3.8,"1029",IF(N740&lt;5,"1038",IF(N740&lt;7,"1050",IF(N740&lt;9,"1070",IF(N740&lt;11,"1090","1110"))))))),IF(G740*1000&lt;=1570,IF(N740&lt;1.8,"",IF(N740&lt;2.9,"2018",IF(N740&lt;3.8,"2029",IF(N740&lt;5,"2038",IF(N740&lt;7,"2050",IF(N740&lt;9,"2070",IF(N740&lt;11,"2090","2110"))))))),IF(G740*1000&lt;=1700,IF(N740&lt;1.8,"",IF(N740&lt;2.9,"3018",IF(N740&lt;3.8,"3029",IF(N740&lt;5,"3038",IF(N740&lt;7,"3050",IF(N740&lt;9,"3070",IF(N740&lt;11,"3090","3110"))))))),""))))</f>
        <v/>
      </c>
      <c r="Q740">
        <f>AND(O740=TRUE,P740&lt;&gt;"")</f>
        <v/>
      </c>
      <c r="R740">
        <f>IF(G740*1000&lt;750,"なし","あり")</f>
        <v/>
      </c>
      <c r="S740">
        <f>IF(AND(O740=TRUE,Q740=TRUE),"設定可","BLOCK")</f>
        <v/>
      </c>
      <c r="T740" t="inlineStr">
        <is>
          <t>商品カタログ P194</t>
        </is>
      </c>
      <c r="U740" t="inlineStr">
        <is>
          <t>https://webcatalog.lixil.co.jp/iportal/CatalogDetail.do?catalogID=15191910000&amp;categoryID=1630000&amp;designID=newinter&amp;method=initial_screen&amp;position=18&amp;type=mc&amp;volumeID=LXL13001</t>
        </is>
      </c>
    </row>
    <row r="741">
      <c r="A741" t="inlineStr">
        <is>
          <t>WG-SL-00738</t>
        </is>
      </c>
      <c r="B741" t="inlineStr">
        <is>
          <t>SZ-SL-001027</t>
        </is>
      </c>
      <c r="C741" t="inlineStr">
        <is>
          <t>WT-SL-MENKOSHI-AGE-FS</t>
        </is>
      </c>
      <c r="D741" t="inlineStr">
        <is>
          <t>SP-SL-AGE-GRILLE-DIA</t>
        </is>
      </c>
      <c r="E741" t="inlineStr">
        <is>
          <t>06013</t>
        </is>
      </c>
      <c r="F741" t="n">
        <v>0.64</v>
      </c>
      <c r="G741" t="n">
        <v>1.37</v>
      </c>
      <c r="H741" t="inlineStr">
        <is>
          <t>GL-SL-009</t>
        </is>
      </c>
      <c r="I741" t="n">
        <v>8</v>
      </c>
      <c r="J741" t="n">
        <v>10.4</v>
      </c>
      <c r="K741" t="n">
        <v>-0.605</v>
      </c>
      <c r="L741" t="n">
        <v>-1.332</v>
      </c>
      <c r="M741" t="n">
        <v>0.399</v>
      </c>
      <c r="N741">
        <f>ROUND(J741*F741*G741+K741*G741+L741*F741+M741,3)</f>
        <v/>
      </c>
      <c r="O741">
        <f>AND(N741&gt;=1.4,N741&lt;=13)</f>
        <v/>
      </c>
      <c r="P741">
        <f>IF(OR(N741&lt;1.4,N741&gt;13),"",IF(G741*1000&lt;=1170,IF(N741&lt;1.8,"1014",IF(N741&lt;2.9,"1018",IF(N741&lt;3.8,"1029",IF(N741&lt;5,"1038",IF(N741&lt;7,"1050",IF(N741&lt;9,"1070",IF(N741&lt;11,"1090","1110"))))))),IF(G741*1000&lt;=1570,IF(N741&lt;1.8,"",IF(N741&lt;2.9,"2018",IF(N741&lt;3.8,"2029",IF(N741&lt;5,"2038",IF(N741&lt;7,"2050",IF(N741&lt;9,"2070",IF(N741&lt;11,"2090","2110"))))))),IF(G741*1000&lt;=1700,IF(N741&lt;1.8,"",IF(N741&lt;2.9,"3018",IF(N741&lt;3.8,"3029",IF(N741&lt;5,"3038",IF(N741&lt;7,"3050",IF(N741&lt;9,"3070",IF(N741&lt;11,"3090","3110"))))))),""))))</f>
        <v/>
      </c>
      <c r="Q741">
        <f>AND(O741=TRUE,P741&lt;&gt;"")</f>
        <v/>
      </c>
      <c r="R741">
        <f>IF(G741*1000&lt;750,"なし","あり")</f>
        <v/>
      </c>
      <c r="S741">
        <f>IF(AND(O741=TRUE,Q741=TRUE),"設定可","BLOCK")</f>
        <v/>
      </c>
      <c r="T741" t="inlineStr">
        <is>
          <t>商品カタログ P194</t>
        </is>
      </c>
      <c r="U741" t="inlineStr">
        <is>
          <t>https://webcatalog.lixil.co.jp/iportal/CatalogDetail.do?catalogID=15191910000&amp;categoryID=1630000&amp;designID=newinter&amp;method=initial_screen&amp;position=18&amp;type=mc&amp;volumeID=LXL13001</t>
        </is>
      </c>
    </row>
    <row r="742">
      <c r="A742" t="inlineStr">
        <is>
          <t>WG-SL-00739</t>
        </is>
      </c>
      <c r="B742" t="inlineStr">
        <is>
          <t>SZ-SL-001028</t>
        </is>
      </c>
      <c r="C742" t="inlineStr">
        <is>
          <t>WT-SL-MENKOSHI-AGE-FS</t>
        </is>
      </c>
      <c r="D742" t="inlineStr">
        <is>
          <t>SP-SL-AGE-GRILLE-DIA</t>
        </is>
      </c>
      <c r="E742" t="inlineStr">
        <is>
          <t>06913</t>
        </is>
      </c>
      <c r="F742" t="n">
        <v>0.73</v>
      </c>
      <c r="G742" t="n">
        <v>1.37</v>
      </c>
      <c r="H742" t="inlineStr">
        <is>
          <t>GL-SL-001</t>
        </is>
      </c>
      <c r="I742" t="n">
        <v>6</v>
      </c>
      <c r="J742" t="n">
        <v>7.8</v>
      </c>
      <c r="K742" t="n">
        <v>-0.355</v>
      </c>
      <c r="L742" t="n">
        <v>-0.664</v>
      </c>
      <c r="M742" t="n">
        <v>0.335</v>
      </c>
      <c r="N742">
        <f>ROUND(J742*F742*G742+K742*G742+L742*F742+M742,3)</f>
        <v/>
      </c>
      <c r="O742">
        <f>AND(N742&gt;=1.4,N742&lt;=13)</f>
        <v/>
      </c>
      <c r="P742">
        <f>IF(OR(N742&lt;1.4,N742&gt;13),"",IF(G742*1000&lt;=1170,IF(N742&lt;1.8,"1014",IF(N742&lt;2.9,"1018",IF(N742&lt;3.8,"1029",IF(N742&lt;5,"1038",IF(N742&lt;7,"1050",IF(N742&lt;9,"1070",IF(N742&lt;11,"1090","1110"))))))),IF(G742*1000&lt;=1570,IF(N742&lt;1.8,"",IF(N742&lt;2.9,"2018",IF(N742&lt;3.8,"2029",IF(N742&lt;5,"2038",IF(N742&lt;7,"2050",IF(N742&lt;9,"2070",IF(N742&lt;11,"2090","2110"))))))),IF(G742*1000&lt;=1700,IF(N742&lt;1.8,"",IF(N742&lt;2.9,"3018",IF(N742&lt;3.8,"3029",IF(N742&lt;5,"3038",IF(N742&lt;7,"3050",IF(N742&lt;9,"3070",IF(N742&lt;11,"3090","3110"))))))),""))))</f>
        <v/>
      </c>
      <c r="Q742">
        <f>AND(O742=TRUE,P742&lt;&gt;"")</f>
        <v/>
      </c>
      <c r="R742">
        <f>IF(G742*1000&lt;750,"なし","あり")</f>
        <v/>
      </c>
      <c r="S742">
        <f>IF(AND(O742=TRUE,Q742=TRUE),"設定可","BLOCK")</f>
        <v/>
      </c>
      <c r="T742" t="inlineStr">
        <is>
          <t>商品カタログ P194</t>
        </is>
      </c>
      <c r="U742" t="inlineStr">
        <is>
          <t>https://webcatalog.lixil.co.jp/iportal/CatalogDetail.do?catalogID=15191910000&amp;categoryID=1630000&amp;designID=newinter&amp;method=initial_screen&amp;position=18&amp;type=mc&amp;volumeID=LXL13001</t>
        </is>
      </c>
    </row>
    <row r="743">
      <c r="A743" t="inlineStr">
        <is>
          <t>WG-SL-00740</t>
        </is>
      </c>
      <c r="B743" t="inlineStr">
        <is>
          <t>SZ-SL-001028</t>
        </is>
      </c>
      <c r="C743" t="inlineStr">
        <is>
          <t>WT-SL-MENKOSHI-AGE-FS</t>
        </is>
      </c>
      <c r="D743" t="inlineStr">
        <is>
          <t>SP-SL-AGE-GRILLE-DIA</t>
        </is>
      </c>
      <c r="E743" t="inlineStr">
        <is>
          <t>06913</t>
        </is>
      </c>
      <c r="F743" t="n">
        <v>0.73</v>
      </c>
      <c r="G743" t="n">
        <v>1.37</v>
      </c>
      <c r="H743" t="inlineStr">
        <is>
          <t>GL-SL-002</t>
        </is>
      </c>
      <c r="I743" t="n">
        <v>7</v>
      </c>
      <c r="J743" t="n">
        <v>9.1</v>
      </c>
      <c r="K743" t="n">
        <v>-0.48</v>
      </c>
      <c r="L743" t="n">
        <v>-0.998</v>
      </c>
      <c r="M743" t="n">
        <v>0.367</v>
      </c>
      <c r="N743">
        <f>ROUND(J743*F743*G743+K743*G743+L743*F743+M743,3)</f>
        <v/>
      </c>
      <c r="O743">
        <f>AND(N743&gt;=1.4,N743&lt;=13)</f>
        <v/>
      </c>
      <c r="P743">
        <f>IF(OR(N743&lt;1.4,N743&gt;13),"",IF(G743*1000&lt;=1170,IF(N743&lt;1.8,"1014",IF(N743&lt;2.9,"1018",IF(N743&lt;3.8,"1029",IF(N743&lt;5,"1038",IF(N743&lt;7,"1050",IF(N743&lt;9,"1070",IF(N743&lt;11,"1090","1110"))))))),IF(G743*1000&lt;=1570,IF(N743&lt;1.8,"",IF(N743&lt;2.9,"2018",IF(N743&lt;3.8,"2029",IF(N743&lt;5,"2038",IF(N743&lt;7,"2050",IF(N743&lt;9,"2070",IF(N743&lt;11,"2090","2110"))))))),IF(G743*1000&lt;=1700,IF(N743&lt;1.8,"",IF(N743&lt;2.9,"3018",IF(N743&lt;3.8,"3029",IF(N743&lt;5,"3038",IF(N743&lt;7,"3050",IF(N743&lt;9,"3070",IF(N743&lt;11,"3090","3110"))))))),""))))</f>
        <v/>
      </c>
      <c r="Q743">
        <f>AND(O743=TRUE,P743&lt;&gt;"")</f>
        <v/>
      </c>
      <c r="R743">
        <f>IF(G743*1000&lt;750,"なし","あり")</f>
        <v/>
      </c>
      <c r="S743">
        <f>IF(AND(O743=TRUE,Q743=TRUE),"設定可","BLOCK")</f>
        <v/>
      </c>
      <c r="T743" t="inlineStr">
        <is>
          <t>商品カタログ P194</t>
        </is>
      </c>
      <c r="U743" t="inlineStr">
        <is>
          <t>https://webcatalog.lixil.co.jp/iportal/CatalogDetail.do?catalogID=15191910000&amp;categoryID=1630000&amp;designID=newinter&amp;method=initial_screen&amp;position=18&amp;type=mc&amp;volumeID=LXL13001</t>
        </is>
      </c>
    </row>
    <row r="744">
      <c r="A744" t="inlineStr">
        <is>
          <t>WG-SL-00741</t>
        </is>
      </c>
      <c r="B744" t="inlineStr">
        <is>
          <t>SZ-SL-001028</t>
        </is>
      </c>
      <c r="C744" t="inlineStr">
        <is>
          <t>WT-SL-MENKOSHI-AGE-FS</t>
        </is>
      </c>
      <c r="D744" t="inlineStr">
        <is>
          <t>SP-SL-AGE-GRILLE-DIA</t>
        </is>
      </c>
      <c r="E744" t="inlineStr">
        <is>
          <t>06913</t>
        </is>
      </c>
      <c r="F744" t="n">
        <v>0.73</v>
      </c>
      <c r="G744" t="n">
        <v>1.37</v>
      </c>
      <c r="H744" t="inlineStr">
        <is>
          <t>GL-SL-003</t>
        </is>
      </c>
      <c r="I744" t="n">
        <v>8</v>
      </c>
      <c r="J744" t="n">
        <v>10.4</v>
      </c>
      <c r="K744" t="n">
        <v>-0.605</v>
      </c>
      <c r="L744" t="n">
        <v>-1.332</v>
      </c>
      <c r="M744" t="n">
        <v>0.399</v>
      </c>
      <c r="N744">
        <f>ROUND(J744*F744*G744+K744*G744+L744*F744+M744,3)</f>
        <v/>
      </c>
      <c r="O744">
        <f>AND(N744&gt;=1.4,N744&lt;=13)</f>
        <v/>
      </c>
      <c r="P744">
        <f>IF(OR(N744&lt;1.4,N744&gt;13),"",IF(G744*1000&lt;=1170,IF(N744&lt;1.8,"1014",IF(N744&lt;2.9,"1018",IF(N744&lt;3.8,"1029",IF(N744&lt;5,"1038",IF(N744&lt;7,"1050",IF(N744&lt;9,"1070",IF(N744&lt;11,"1090","1110"))))))),IF(G744*1000&lt;=1570,IF(N744&lt;1.8,"",IF(N744&lt;2.9,"2018",IF(N744&lt;3.8,"2029",IF(N744&lt;5,"2038",IF(N744&lt;7,"2050",IF(N744&lt;9,"2070",IF(N744&lt;11,"2090","2110"))))))),IF(G744*1000&lt;=1700,IF(N744&lt;1.8,"",IF(N744&lt;2.9,"3018",IF(N744&lt;3.8,"3029",IF(N744&lt;5,"3038",IF(N744&lt;7,"3050",IF(N744&lt;9,"3070",IF(N744&lt;11,"3090","3110"))))))),""))))</f>
        <v/>
      </c>
      <c r="Q744">
        <f>AND(O744=TRUE,P744&lt;&gt;"")</f>
        <v/>
      </c>
      <c r="R744">
        <f>IF(G744*1000&lt;750,"なし","あり")</f>
        <v/>
      </c>
      <c r="S744">
        <f>IF(AND(O744=TRUE,Q744=TRUE),"設定可","BLOCK")</f>
        <v/>
      </c>
      <c r="T744" t="inlineStr">
        <is>
          <t>商品カタログ P194</t>
        </is>
      </c>
      <c r="U744" t="inlineStr">
        <is>
          <t>https://webcatalog.lixil.co.jp/iportal/CatalogDetail.do?catalogID=15191910000&amp;categoryID=1630000&amp;designID=newinter&amp;method=initial_screen&amp;position=18&amp;type=mc&amp;volumeID=LXL13001</t>
        </is>
      </c>
    </row>
    <row r="745">
      <c r="A745" t="inlineStr">
        <is>
          <t>WG-SL-00742</t>
        </is>
      </c>
      <c r="B745" t="inlineStr">
        <is>
          <t>SZ-SL-001028</t>
        </is>
      </c>
      <c r="C745" t="inlineStr">
        <is>
          <t>WT-SL-MENKOSHI-AGE-FS</t>
        </is>
      </c>
      <c r="D745" t="inlineStr">
        <is>
          <t>SP-SL-AGE-GRILLE-DIA</t>
        </is>
      </c>
      <c r="E745" t="inlineStr">
        <is>
          <t>06913</t>
        </is>
      </c>
      <c r="F745" t="n">
        <v>0.73</v>
      </c>
      <c r="G745" t="n">
        <v>1.37</v>
      </c>
      <c r="H745" t="inlineStr">
        <is>
          <t>GL-SL-004</t>
        </is>
      </c>
      <c r="I745" t="n">
        <v>6</v>
      </c>
      <c r="J745" t="n">
        <v>7.8</v>
      </c>
      <c r="K745" t="n">
        <v>-0.355</v>
      </c>
      <c r="L745" t="n">
        <v>-0.664</v>
      </c>
      <c r="M745" t="n">
        <v>0.335</v>
      </c>
      <c r="N745">
        <f>ROUND(J745*F745*G745+K745*G745+L745*F745+M745,3)</f>
        <v/>
      </c>
      <c r="O745">
        <f>AND(N745&gt;=1.4,N745&lt;=13)</f>
        <v/>
      </c>
      <c r="P745">
        <f>IF(OR(N745&lt;1.4,N745&gt;13),"",IF(G745*1000&lt;=1170,IF(N745&lt;1.8,"1014",IF(N745&lt;2.9,"1018",IF(N745&lt;3.8,"1029",IF(N745&lt;5,"1038",IF(N745&lt;7,"1050",IF(N745&lt;9,"1070",IF(N745&lt;11,"1090","1110"))))))),IF(G745*1000&lt;=1570,IF(N745&lt;1.8,"",IF(N745&lt;2.9,"2018",IF(N745&lt;3.8,"2029",IF(N745&lt;5,"2038",IF(N745&lt;7,"2050",IF(N745&lt;9,"2070",IF(N745&lt;11,"2090","2110"))))))),IF(G745*1000&lt;=1700,IF(N745&lt;1.8,"",IF(N745&lt;2.9,"3018",IF(N745&lt;3.8,"3029",IF(N745&lt;5,"3038",IF(N745&lt;7,"3050",IF(N745&lt;9,"3070",IF(N745&lt;11,"3090","3110"))))))),""))))</f>
        <v/>
      </c>
      <c r="Q745">
        <f>AND(O745=TRUE,P745&lt;&gt;"")</f>
        <v/>
      </c>
      <c r="R745">
        <f>IF(G745*1000&lt;750,"なし","あり")</f>
        <v/>
      </c>
      <c r="S745">
        <f>IF(AND(O745=TRUE,Q745=TRUE),"設定可","BLOCK")</f>
        <v/>
      </c>
      <c r="T745" t="inlineStr">
        <is>
          <t>商品カタログ P194</t>
        </is>
      </c>
      <c r="U745" t="inlineStr">
        <is>
          <t>https://webcatalog.lixil.co.jp/iportal/CatalogDetail.do?catalogID=15191910000&amp;categoryID=1630000&amp;designID=newinter&amp;method=initial_screen&amp;position=18&amp;type=mc&amp;volumeID=LXL13001</t>
        </is>
      </c>
    </row>
    <row r="746">
      <c r="A746" t="inlineStr">
        <is>
          <t>WG-SL-00743</t>
        </is>
      </c>
      <c r="B746" t="inlineStr">
        <is>
          <t>SZ-SL-001028</t>
        </is>
      </c>
      <c r="C746" t="inlineStr">
        <is>
          <t>WT-SL-MENKOSHI-AGE-FS</t>
        </is>
      </c>
      <c r="D746" t="inlineStr">
        <is>
          <t>SP-SL-AGE-GRILLE-DIA</t>
        </is>
      </c>
      <c r="E746" t="inlineStr">
        <is>
          <t>06913</t>
        </is>
      </c>
      <c r="F746" t="n">
        <v>0.73</v>
      </c>
      <c r="G746" t="n">
        <v>1.37</v>
      </c>
      <c r="H746" t="inlineStr">
        <is>
          <t>GL-SL-005</t>
        </is>
      </c>
      <c r="I746" t="n">
        <v>7</v>
      </c>
      <c r="J746" t="n">
        <v>9.1</v>
      </c>
      <c r="K746" t="n">
        <v>-0.48</v>
      </c>
      <c r="L746" t="n">
        <v>-0.998</v>
      </c>
      <c r="M746" t="n">
        <v>0.367</v>
      </c>
      <c r="N746">
        <f>ROUND(J746*F746*G746+K746*G746+L746*F746+M746,3)</f>
        <v/>
      </c>
      <c r="O746">
        <f>AND(N746&gt;=1.4,N746&lt;=13)</f>
        <v/>
      </c>
      <c r="P746">
        <f>IF(OR(N746&lt;1.4,N746&gt;13),"",IF(G746*1000&lt;=1170,IF(N746&lt;1.8,"1014",IF(N746&lt;2.9,"1018",IF(N746&lt;3.8,"1029",IF(N746&lt;5,"1038",IF(N746&lt;7,"1050",IF(N746&lt;9,"1070",IF(N746&lt;11,"1090","1110"))))))),IF(G746*1000&lt;=1570,IF(N746&lt;1.8,"",IF(N746&lt;2.9,"2018",IF(N746&lt;3.8,"2029",IF(N746&lt;5,"2038",IF(N746&lt;7,"2050",IF(N746&lt;9,"2070",IF(N746&lt;11,"2090","2110"))))))),IF(G746*1000&lt;=1700,IF(N746&lt;1.8,"",IF(N746&lt;2.9,"3018",IF(N746&lt;3.8,"3029",IF(N746&lt;5,"3038",IF(N746&lt;7,"3050",IF(N746&lt;9,"3070",IF(N746&lt;11,"3090","3110"))))))),""))))</f>
        <v/>
      </c>
      <c r="Q746">
        <f>AND(O746=TRUE,P746&lt;&gt;"")</f>
        <v/>
      </c>
      <c r="R746">
        <f>IF(G746*1000&lt;750,"なし","あり")</f>
        <v/>
      </c>
      <c r="S746">
        <f>IF(AND(O746=TRUE,Q746=TRUE),"設定可","BLOCK")</f>
        <v/>
      </c>
      <c r="T746" t="inlineStr">
        <is>
          <t>商品カタログ P194</t>
        </is>
      </c>
      <c r="U746" t="inlineStr">
        <is>
          <t>https://webcatalog.lixil.co.jp/iportal/CatalogDetail.do?catalogID=15191910000&amp;categoryID=1630000&amp;designID=newinter&amp;method=initial_screen&amp;position=18&amp;type=mc&amp;volumeID=LXL13001</t>
        </is>
      </c>
    </row>
    <row r="747">
      <c r="A747" t="inlineStr">
        <is>
          <t>WG-SL-00744</t>
        </is>
      </c>
      <c r="B747" t="inlineStr">
        <is>
          <t>SZ-SL-001028</t>
        </is>
      </c>
      <c r="C747" t="inlineStr">
        <is>
          <t>WT-SL-MENKOSHI-AGE-FS</t>
        </is>
      </c>
      <c r="D747" t="inlineStr">
        <is>
          <t>SP-SL-AGE-GRILLE-DIA</t>
        </is>
      </c>
      <c r="E747" t="inlineStr">
        <is>
          <t>06913</t>
        </is>
      </c>
      <c r="F747" t="n">
        <v>0.73</v>
      </c>
      <c r="G747" t="n">
        <v>1.37</v>
      </c>
      <c r="H747" t="inlineStr">
        <is>
          <t>GL-SL-006</t>
        </is>
      </c>
      <c r="I747" t="n">
        <v>8</v>
      </c>
      <c r="J747" t="n">
        <v>10.4</v>
      </c>
      <c r="K747" t="n">
        <v>-0.605</v>
      </c>
      <c r="L747" t="n">
        <v>-1.332</v>
      </c>
      <c r="M747" t="n">
        <v>0.399</v>
      </c>
      <c r="N747">
        <f>ROUND(J747*F747*G747+K747*G747+L747*F747+M747,3)</f>
        <v/>
      </c>
      <c r="O747">
        <f>AND(N747&gt;=1.4,N747&lt;=13)</f>
        <v/>
      </c>
      <c r="P747">
        <f>IF(OR(N747&lt;1.4,N747&gt;13),"",IF(G747*1000&lt;=1170,IF(N747&lt;1.8,"1014",IF(N747&lt;2.9,"1018",IF(N747&lt;3.8,"1029",IF(N747&lt;5,"1038",IF(N747&lt;7,"1050",IF(N747&lt;9,"1070",IF(N747&lt;11,"1090","1110"))))))),IF(G747*1000&lt;=1570,IF(N747&lt;1.8,"",IF(N747&lt;2.9,"2018",IF(N747&lt;3.8,"2029",IF(N747&lt;5,"2038",IF(N747&lt;7,"2050",IF(N747&lt;9,"2070",IF(N747&lt;11,"2090","2110"))))))),IF(G747*1000&lt;=1700,IF(N747&lt;1.8,"",IF(N747&lt;2.9,"3018",IF(N747&lt;3.8,"3029",IF(N747&lt;5,"3038",IF(N747&lt;7,"3050",IF(N747&lt;9,"3070",IF(N747&lt;11,"3090","3110"))))))),""))))</f>
        <v/>
      </c>
      <c r="Q747">
        <f>AND(O747=TRUE,P747&lt;&gt;"")</f>
        <v/>
      </c>
      <c r="R747">
        <f>IF(G747*1000&lt;750,"なし","あり")</f>
        <v/>
      </c>
      <c r="S747">
        <f>IF(AND(O747=TRUE,Q747=TRUE),"設定可","BLOCK")</f>
        <v/>
      </c>
      <c r="T747" t="inlineStr">
        <is>
          <t>商品カタログ P194</t>
        </is>
      </c>
      <c r="U747" t="inlineStr">
        <is>
          <t>https://webcatalog.lixil.co.jp/iportal/CatalogDetail.do?catalogID=15191910000&amp;categoryID=1630000&amp;designID=newinter&amp;method=initial_screen&amp;position=18&amp;type=mc&amp;volumeID=LXL13001</t>
        </is>
      </c>
    </row>
    <row r="748">
      <c r="A748" t="inlineStr">
        <is>
          <t>WG-SL-00745</t>
        </is>
      </c>
      <c r="B748" t="inlineStr">
        <is>
          <t>SZ-SL-001028</t>
        </is>
      </c>
      <c r="C748" t="inlineStr">
        <is>
          <t>WT-SL-MENKOSHI-AGE-FS</t>
        </is>
      </c>
      <c r="D748" t="inlineStr">
        <is>
          <t>SP-SL-AGE-GRILLE-DIA</t>
        </is>
      </c>
      <c r="E748" t="inlineStr">
        <is>
          <t>06913</t>
        </is>
      </c>
      <c r="F748" t="n">
        <v>0.73</v>
      </c>
      <c r="G748" t="n">
        <v>1.37</v>
      </c>
      <c r="H748" t="inlineStr">
        <is>
          <t>GL-SL-007</t>
        </is>
      </c>
      <c r="I748" t="n">
        <v>6</v>
      </c>
      <c r="J748" t="n">
        <v>7.8</v>
      </c>
      <c r="K748" t="n">
        <v>-0.355</v>
      </c>
      <c r="L748" t="n">
        <v>-0.664</v>
      </c>
      <c r="M748" t="n">
        <v>0.335</v>
      </c>
      <c r="N748">
        <f>ROUND(J748*F748*G748+K748*G748+L748*F748+M748,3)</f>
        <v/>
      </c>
      <c r="O748">
        <f>AND(N748&gt;=1.4,N748&lt;=13)</f>
        <v/>
      </c>
      <c r="P748">
        <f>IF(OR(N748&lt;1.4,N748&gt;13),"",IF(G748*1000&lt;=1170,IF(N748&lt;1.8,"1014",IF(N748&lt;2.9,"1018",IF(N748&lt;3.8,"1029",IF(N748&lt;5,"1038",IF(N748&lt;7,"1050",IF(N748&lt;9,"1070",IF(N748&lt;11,"1090","1110"))))))),IF(G748*1000&lt;=1570,IF(N748&lt;1.8,"",IF(N748&lt;2.9,"2018",IF(N748&lt;3.8,"2029",IF(N748&lt;5,"2038",IF(N748&lt;7,"2050",IF(N748&lt;9,"2070",IF(N748&lt;11,"2090","2110"))))))),IF(G748*1000&lt;=1700,IF(N748&lt;1.8,"",IF(N748&lt;2.9,"3018",IF(N748&lt;3.8,"3029",IF(N748&lt;5,"3038",IF(N748&lt;7,"3050",IF(N748&lt;9,"3070",IF(N748&lt;11,"3090","3110"))))))),""))))</f>
        <v/>
      </c>
      <c r="Q748">
        <f>AND(O748=TRUE,P748&lt;&gt;"")</f>
        <v/>
      </c>
      <c r="R748">
        <f>IF(G748*1000&lt;750,"なし","あり")</f>
        <v/>
      </c>
      <c r="S748">
        <f>IF(AND(O748=TRUE,Q748=TRUE),"設定可","BLOCK")</f>
        <v/>
      </c>
      <c r="T748" t="inlineStr">
        <is>
          <t>商品カタログ P194</t>
        </is>
      </c>
      <c r="U748" t="inlineStr">
        <is>
          <t>https://webcatalog.lixil.co.jp/iportal/CatalogDetail.do?catalogID=15191910000&amp;categoryID=1630000&amp;designID=newinter&amp;method=initial_screen&amp;position=18&amp;type=mc&amp;volumeID=LXL13001</t>
        </is>
      </c>
    </row>
    <row r="749">
      <c r="A749" t="inlineStr">
        <is>
          <t>WG-SL-00746</t>
        </is>
      </c>
      <c r="B749" t="inlineStr">
        <is>
          <t>SZ-SL-001028</t>
        </is>
      </c>
      <c r="C749" t="inlineStr">
        <is>
          <t>WT-SL-MENKOSHI-AGE-FS</t>
        </is>
      </c>
      <c r="D749" t="inlineStr">
        <is>
          <t>SP-SL-AGE-GRILLE-DIA</t>
        </is>
      </c>
      <c r="E749" t="inlineStr">
        <is>
          <t>06913</t>
        </is>
      </c>
      <c r="F749" t="n">
        <v>0.73</v>
      </c>
      <c r="G749" t="n">
        <v>1.37</v>
      </c>
      <c r="H749" t="inlineStr">
        <is>
          <t>GL-SL-008</t>
        </is>
      </c>
      <c r="I749" t="n">
        <v>7</v>
      </c>
      <c r="J749" t="n">
        <v>9.1</v>
      </c>
      <c r="K749" t="n">
        <v>-0.48</v>
      </c>
      <c r="L749" t="n">
        <v>-0.998</v>
      </c>
      <c r="M749" t="n">
        <v>0.367</v>
      </c>
      <c r="N749">
        <f>ROUND(J749*F749*G749+K749*G749+L749*F749+M749,3)</f>
        <v/>
      </c>
      <c r="O749">
        <f>AND(N749&gt;=1.4,N749&lt;=13)</f>
        <v/>
      </c>
      <c r="P749">
        <f>IF(OR(N749&lt;1.4,N749&gt;13),"",IF(G749*1000&lt;=1170,IF(N749&lt;1.8,"1014",IF(N749&lt;2.9,"1018",IF(N749&lt;3.8,"1029",IF(N749&lt;5,"1038",IF(N749&lt;7,"1050",IF(N749&lt;9,"1070",IF(N749&lt;11,"1090","1110"))))))),IF(G749*1000&lt;=1570,IF(N749&lt;1.8,"",IF(N749&lt;2.9,"2018",IF(N749&lt;3.8,"2029",IF(N749&lt;5,"2038",IF(N749&lt;7,"2050",IF(N749&lt;9,"2070",IF(N749&lt;11,"2090","2110"))))))),IF(G749*1000&lt;=1700,IF(N749&lt;1.8,"",IF(N749&lt;2.9,"3018",IF(N749&lt;3.8,"3029",IF(N749&lt;5,"3038",IF(N749&lt;7,"3050",IF(N749&lt;9,"3070",IF(N749&lt;11,"3090","3110"))))))),""))))</f>
        <v/>
      </c>
      <c r="Q749">
        <f>AND(O749=TRUE,P749&lt;&gt;"")</f>
        <v/>
      </c>
      <c r="R749">
        <f>IF(G749*1000&lt;750,"なし","あり")</f>
        <v/>
      </c>
      <c r="S749">
        <f>IF(AND(O749=TRUE,Q749=TRUE),"設定可","BLOCK")</f>
        <v/>
      </c>
      <c r="T749" t="inlineStr">
        <is>
          <t>商品カタログ P194</t>
        </is>
      </c>
      <c r="U749" t="inlineStr">
        <is>
          <t>https://webcatalog.lixil.co.jp/iportal/CatalogDetail.do?catalogID=15191910000&amp;categoryID=1630000&amp;designID=newinter&amp;method=initial_screen&amp;position=18&amp;type=mc&amp;volumeID=LXL13001</t>
        </is>
      </c>
    </row>
    <row r="750">
      <c r="A750" t="inlineStr">
        <is>
          <t>WG-SL-00747</t>
        </is>
      </c>
      <c r="B750" t="inlineStr">
        <is>
          <t>SZ-SL-001028</t>
        </is>
      </c>
      <c r="C750" t="inlineStr">
        <is>
          <t>WT-SL-MENKOSHI-AGE-FS</t>
        </is>
      </c>
      <c r="D750" t="inlineStr">
        <is>
          <t>SP-SL-AGE-GRILLE-DIA</t>
        </is>
      </c>
      <c r="E750" t="inlineStr">
        <is>
          <t>06913</t>
        </is>
      </c>
      <c r="F750" t="n">
        <v>0.73</v>
      </c>
      <c r="G750" t="n">
        <v>1.37</v>
      </c>
      <c r="H750" t="inlineStr">
        <is>
          <t>GL-SL-009</t>
        </is>
      </c>
      <c r="I750" t="n">
        <v>8</v>
      </c>
      <c r="J750" t="n">
        <v>10.4</v>
      </c>
      <c r="K750" t="n">
        <v>-0.605</v>
      </c>
      <c r="L750" t="n">
        <v>-1.332</v>
      </c>
      <c r="M750" t="n">
        <v>0.399</v>
      </c>
      <c r="N750">
        <f>ROUND(J750*F750*G750+K750*G750+L750*F750+M750,3)</f>
        <v/>
      </c>
      <c r="O750">
        <f>AND(N750&gt;=1.4,N750&lt;=13)</f>
        <v/>
      </c>
      <c r="P750">
        <f>IF(OR(N750&lt;1.4,N750&gt;13),"",IF(G750*1000&lt;=1170,IF(N750&lt;1.8,"1014",IF(N750&lt;2.9,"1018",IF(N750&lt;3.8,"1029",IF(N750&lt;5,"1038",IF(N750&lt;7,"1050",IF(N750&lt;9,"1070",IF(N750&lt;11,"1090","1110"))))))),IF(G750*1000&lt;=1570,IF(N750&lt;1.8,"",IF(N750&lt;2.9,"2018",IF(N750&lt;3.8,"2029",IF(N750&lt;5,"2038",IF(N750&lt;7,"2050",IF(N750&lt;9,"2070",IF(N750&lt;11,"2090","2110"))))))),IF(G750*1000&lt;=1700,IF(N750&lt;1.8,"",IF(N750&lt;2.9,"3018",IF(N750&lt;3.8,"3029",IF(N750&lt;5,"3038",IF(N750&lt;7,"3050",IF(N750&lt;9,"3070",IF(N750&lt;11,"3090","3110"))))))),""))))</f>
        <v/>
      </c>
      <c r="Q750">
        <f>AND(O750=TRUE,P750&lt;&gt;"")</f>
        <v/>
      </c>
      <c r="R750">
        <f>IF(G750*1000&lt;750,"なし","あり")</f>
        <v/>
      </c>
      <c r="S750">
        <f>IF(AND(O750=TRUE,Q750=TRUE),"設定可","BLOCK")</f>
        <v/>
      </c>
      <c r="T750" t="inlineStr">
        <is>
          <t>商品カタログ P194</t>
        </is>
      </c>
      <c r="U750" t="inlineStr">
        <is>
          <t>https://webcatalog.lixil.co.jp/iportal/CatalogDetail.do?catalogID=15191910000&amp;categoryID=1630000&amp;designID=newinter&amp;method=initial_screen&amp;position=18&amp;type=mc&amp;volumeID=LXL13001</t>
        </is>
      </c>
    </row>
    <row r="751">
      <c r="A751" t="inlineStr">
        <is>
          <t>WG-SL-00748</t>
        </is>
      </c>
      <c r="B751" t="inlineStr">
        <is>
          <t>SZ-SL-001029</t>
        </is>
      </c>
      <c r="C751" t="inlineStr">
        <is>
          <t>WT-SL-MENKOSHI-AGE-FS</t>
        </is>
      </c>
      <c r="D751" t="inlineStr">
        <is>
          <t>SP-SL-AGE-GRILLE-DIA</t>
        </is>
      </c>
      <c r="E751" t="inlineStr">
        <is>
          <t>07413</t>
        </is>
      </c>
      <c r="F751" t="n">
        <v>0.78</v>
      </c>
      <c r="G751" t="n">
        <v>1.37</v>
      </c>
      <c r="H751" t="inlineStr">
        <is>
          <t>GL-SL-001</t>
        </is>
      </c>
      <c r="I751" t="n">
        <v>6</v>
      </c>
      <c r="J751" t="n">
        <v>7.8</v>
      </c>
      <c r="K751" t="n">
        <v>-0.355</v>
      </c>
      <c r="L751" t="n">
        <v>-0.664</v>
      </c>
      <c r="M751" t="n">
        <v>0.335</v>
      </c>
      <c r="N751">
        <f>ROUND(J751*F751*G751+K751*G751+L751*F751+M751,3)</f>
        <v/>
      </c>
      <c r="O751">
        <f>AND(N751&gt;=1.4,N751&lt;=13)</f>
        <v/>
      </c>
      <c r="P751">
        <f>IF(OR(N751&lt;1.4,N751&gt;13),"",IF(G751*1000&lt;=1170,IF(N751&lt;1.8,"1014",IF(N751&lt;2.9,"1018",IF(N751&lt;3.8,"1029",IF(N751&lt;5,"1038",IF(N751&lt;7,"1050",IF(N751&lt;9,"1070",IF(N751&lt;11,"1090","1110"))))))),IF(G751*1000&lt;=1570,IF(N751&lt;1.8,"",IF(N751&lt;2.9,"2018",IF(N751&lt;3.8,"2029",IF(N751&lt;5,"2038",IF(N751&lt;7,"2050",IF(N751&lt;9,"2070",IF(N751&lt;11,"2090","2110"))))))),IF(G751*1000&lt;=1700,IF(N751&lt;1.8,"",IF(N751&lt;2.9,"3018",IF(N751&lt;3.8,"3029",IF(N751&lt;5,"3038",IF(N751&lt;7,"3050",IF(N751&lt;9,"3070",IF(N751&lt;11,"3090","3110"))))))),""))))</f>
        <v/>
      </c>
      <c r="Q751">
        <f>AND(O751=TRUE,P751&lt;&gt;"")</f>
        <v/>
      </c>
      <c r="R751">
        <f>IF(G751*1000&lt;750,"なし","あり")</f>
        <v/>
      </c>
      <c r="S751">
        <f>IF(AND(O751=TRUE,Q751=TRUE),"設定可","BLOCK")</f>
        <v/>
      </c>
      <c r="T751" t="inlineStr">
        <is>
          <t>商品カタログ P194</t>
        </is>
      </c>
      <c r="U751" t="inlineStr">
        <is>
          <t>https://webcatalog.lixil.co.jp/iportal/CatalogDetail.do?catalogID=15191910000&amp;categoryID=1630000&amp;designID=newinter&amp;method=initial_screen&amp;position=18&amp;type=mc&amp;volumeID=LXL13001</t>
        </is>
      </c>
    </row>
    <row r="752">
      <c r="A752" t="inlineStr">
        <is>
          <t>WG-SL-00749</t>
        </is>
      </c>
      <c r="B752" t="inlineStr">
        <is>
          <t>SZ-SL-001029</t>
        </is>
      </c>
      <c r="C752" t="inlineStr">
        <is>
          <t>WT-SL-MENKOSHI-AGE-FS</t>
        </is>
      </c>
      <c r="D752" t="inlineStr">
        <is>
          <t>SP-SL-AGE-GRILLE-DIA</t>
        </is>
      </c>
      <c r="E752" t="inlineStr">
        <is>
          <t>07413</t>
        </is>
      </c>
      <c r="F752" t="n">
        <v>0.78</v>
      </c>
      <c r="G752" t="n">
        <v>1.37</v>
      </c>
      <c r="H752" t="inlineStr">
        <is>
          <t>GL-SL-002</t>
        </is>
      </c>
      <c r="I752" t="n">
        <v>7</v>
      </c>
      <c r="J752" t="n">
        <v>9.1</v>
      </c>
      <c r="K752" t="n">
        <v>-0.48</v>
      </c>
      <c r="L752" t="n">
        <v>-0.998</v>
      </c>
      <c r="M752" t="n">
        <v>0.367</v>
      </c>
      <c r="N752">
        <f>ROUND(J752*F752*G752+K752*G752+L752*F752+M752,3)</f>
        <v/>
      </c>
      <c r="O752">
        <f>AND(N752&gt;=1.4,N752&lt;=13)</f>
        <v/>
      </c>
      <c r="P752">
        <f>IF(OR(N752&lt;1.4,N752&gt;13),"",IF(G752*1000&lt;=1170,IF(N752&lt;1.8,"1014",IF(N752&lt;2.9,"1018",IF(N752&lt;3.8,"1029",IF(N752&lt;5,"1038",IF(N752&lt;7,"1050",IF(N752&lt;9,"1070",IF(N752&lt;11,"1090","1110"))))))),IF(G752*1000&lt;=1570,IF(N752&lt;1.8,"",IF(N752&lt;2.9,"2018",IF(N752&lt;3.8,"2029",IF(N752&lt;5,"2038",IF(N752&lt;7,"2050",IF(N752&lt;9,"2070",IF(N752&lt;11,"2090","2110"))))))),IF(G752*1000&lt;=1700,IF(N752&lt;1.8,"",IF(N752&lt;2.9,"3018",IF(N752&lt;3.8,"3029",IF(N752&lt;5,"3038",IF(N752&lt;7,"3050",IF(N752&lt;9,"3070",IF(N752&lt;11,"3090","3110"))))))),""))))</f>
        <v/>
      </c>
      <c r="Q752">
        <f>AND(O752=TRUE,P752&lt;&gt;"")</f>
        <v/>
      </c>
      <c r="R752">
        <f>IF(G752*1000&lt;750,"なし","あり")</f>
        <v/>
      </c>
      <c r="S752">
        <f>IF(AND(O752=TRUE,Q752=TRUE),"設定可","BLOCK")</f>
        <v/>
      </c>
      <c r="T752" t="inlineStr">
        <is>
          <t>商品カタログ P194</t>
        </is>
      </c>
      <c r="U752" t="inlineStr">
        <is>
          <t>https://webcatalog.lixil.co.jp/iportal/CatalogDetail.do?catalogID=15191910000&amp;categoryID=1630000&amp;designID=newinter&amp;method=initial_screen&amp;position=18&amp;type=mc&amp;volumeID=LXL13001</t>
        </is>
      </c>
    </row>
    <row r="753">
      <c r="A753" t="inlineStr">
        <is>
          <t>WG-SL-00750</t>
        </is>
      </c>
      <c r="B753" t="inlineStr">
        <is>
          <t>SZ-SL-001029</t>
        </is>
      </c>
      <c r="C753" t="inlineStr">
        <is>
          <t>WT-SL-MENKOSHI-AGE-FS</t>
        </is>
      </c>
      <c r="D753" t="inlineStr">
        <is>
          <t>SP-SL-AGE-GRILLE-DIA</t>
        </is>
      </c>
      <c r="E753" t="inlineStr">
        <is>
          <t>07413</t>
        </is>
      </c>
      <c r="F753" t="n">
        <v>0.78</v>
      </c>
      <c r="G753" t="n">
        <v>1.37</v>
      </c>
      <c r="H753" t="inlineStr">
        <is>
          <t>GL-SL-003</t>
        </is>
      </c>
      <c r="I753" t="n">
        <v>8</v>
      </c>
      <c r="J753" t="n">
        <v>10.4</v>
      </c>
      <c r="K753" t="n">
        <v>-0.605</v>
      </c>
      <c r="L753" t="n">
        <v>-1.332</v>
      </c>
      <c r="M753" t="n">
        <v>0.399</v>
      </c>
      <c r="N753">
        <f>ROUND(J753*F753*G753+K753*G753+L753*F753+M753,3)</f>
        <v/>
      </c>
      <c r="O753">
        <f>AND(N753&gt;=1.4,N753&lt;=13)</f>
        <v/>
      </c>
      <c r="P753">
        <f>IF(OR(N753&lt;1.4,N753&gt;13),"",IF(G753*1000&lt;=1170,IF(N753&lt;1.8,"1014",IF(N753&lt;2.9,"1018",IF(N753&lt;3.8,"1029",IF(N753&lt;5,"1038",IF(N753&lt;7,"1050",IF(N753&lt;9,"1070",IF(N753&lt;11,"1090","1110"))))))),IF(G753*1000&lt;=1570,IF(N753&lt;1.8,"",IF(N753&lt;2.9,"2018",IF(N753&lt;3.8,"2029",IF(N753&lt;5,"2038",IF(N753&lt;7,"2050",IF(N753&lt;9,"2070",IF(N753&lt;11,"2090","2110"))))))),IF(G753*1000&lt;=1700,IF(N753&lt;1.8,"",IF(N753&lt;2.9,"3018",IF(N753&lt;3.8,"3029",IF(N753&lt;5,"3038",IF(N753&lt;7,"3050",IF(N753&lt;9,"3070",IF(N753&lt;11,"3090","3110"))))))),""))))</f>
        <v/>
      </c>
      <c r="Q753">
        <f>AND(O753=TRUE,P753&lt;&gt;"")</f>
        <v/>
      </c>
      <c r="R753">
        <f>IF(G753*1000&lt;750,"なし","あり")</f>
        <v/>
      </c>
      <c r="S753">
        <f>IF(AND(O753=TRUE,Q753=TRUE),"設定可","BLOCK")</f>
        <v/>
      </c>
      <c r="T753" t="inlineStr">
        <is>
          <t>商品カタログ P194</t>
        </is>
      </c>
      <c r="U753" t="inlineStr">
        <is>
          <t>https://webcatalog.lixil.co.jp/iportal/CatalogDetail.do?catalogID=15191910000&amp;categoryID=1630000&amp;designID=newinter&amp;method=initial_screen&amp;position=18&amp;type=mc&amp;volumeID=LXL13001</t>
        </is>
      </c>
    </row>
    <row r="754">
      <c r="A754" t="inlineStr">
        <is>
          <t>WG-SL-00751</t>
        </is>
      </c>
      <c r="B754" t="inlineStr">
        <is>
          <t>SZ-SL-001029</t>
        </is>
      </c>
      <c r="C754" t="inlineStr">
        <is>
          <t>WT-SL-MENKOSHI-AGE-FS</t>
        </is>
      </c>
      <c r="D754" t="inlineStr">
        <is>
          <t>SP-SL-AGE-GRILLE-DIA</t>
        </is>
      </c>
      <c r="E754" t="inlineStr">
        <is>
          <t>07413</t>
        </is>
      </c>
      <c r="F754" t="n">
        <v>0.78</v>
      </c>
      <c r="G754" t="n">
        <v>1.37</v>
      </c>
      <c r="H754" t="inlineStr">
        <is>
          <t>GL-SL-004</t>
        </is>
      </c>
      <c r="I754" t="n">
        <v>6</v>
      </c>
      <c r="J754" t="n">
        <v>7.8</v>
      </c>
      <c r="K754" t="n">
        <v>-0.355</v>
      </c>
      <c r="L754" t="n">
        <v>-0.664</v>
      </c>
      <c r="M754" t="n">
        <v>0.335</v>
      </c>
      <c r="N754">
        <f>ROUND(J754*F754*G754+K754*G754+L754*F754+M754,3)</f>
        <v/>
      </c>
      <c r="O754">
        <f>AND(N754&gt;=1.4,N754&lt;=13)</f>
        <v/>
      </c>
      <c r="P754">
        <f>IF(OR(N754&lt;1.4,N754&gt;13),"",IF(G754*1000&lt;=1170,IF(N754&lt;1.8,"1014",IF(N754&lt;2.9,"1018",IF(N754&lt;3.8,"1029",IF(N754&lt;5,"1038",IF(N754&lt;7,"1050",IF(N754&lt;9,"1070",IF(N754&lt;11,"1090","1110"))))))),IF(G754*1000&lt;=1570,IF(N754&lt;1.8,"",IF(N754&lt;2.9,"2018",IF(N754&lt;3.8,"2029",IF(N754&lt;5,"2038",IF(N754&lt;7,"2050",IF(N754&lt;9,"2070",IF(N754&lt;11,"2090","2110"))))))),IF(G754*1000&lt;=1700,IF(N754&lt;1.8,"",IF(N754&lt;2.9,"3018",IF(N754&lt;3.8,"3029",IF(N754&lt;5,"3038",IF(N754&lt;7,"3050",IF(N754&lt;9,"3070",IF(N754&lt;11,"3090","3110"))))))),""))))</f>
        <v/>
      </c>
      <c r="Q754">
        <f>AND(O754=TRUE,P754&lt;&gt;"")</f>
        <v/>
      </c>
      <c r="R754">
        <f>IF(G754*1000&lt;750,"なし","あり")</f>
        <v/>
      </c>
      <c r="S754">
        <f>IF(AND(O754=TRUE,Q754=TRUE),"設定可","BLOCK")</f>
        <v/>
      </c>
      <c r="T754" t="inlineStr">
        <is>
          <t>商品カタログ P194</t>
        </is>
      </c>
      <c r="U754" t="inlineStr">
        <is>
          <t>https://webcatalog.lixil.co.jp/iportal/CatalogDetail.do?catalogID=15191910000&amp;categoryID=1630000&amp;designID=newinter&amp;method=initial_screen&amp;position=18&amp;type=mc&amp;volumeID=LXL13001</t>
        </is>
      </c>
    </row>
    <row r="755">
      <c r="A755" t="inlineStr">
        <is>
          <t>WG-SL-00752</t>
        </is>
      </c>
      <c r="B755" t="inlineStr">
        <is>
          <t>SZ-SL-001029</t>
        </is>
      </c>
      <c r="C755" t="inlineStr">
        <is>
          <t>WT-SL-MENKOSHI-AGE-FS</t>
        </is>
      </c>
      <c r="D755" t="inlineStr">
        <is>
          <t>SP-SL-AGE-GRILLE-DIA</t>
        </is>
      </c>
      <c r="E755" t="inlineStr">
        <is>
          <t>07413</t>
        </is>
      </c>
      <c r="F755" t="n">
        <v>0.78</v>
      </c>
      <c r="G755" t="n">
        <v>1.37</v>
      </c>
      <c r="H755" t="inlineStr">
        <is>
          <t>GL-SL-005</t>
        </is>
      </c>
      <c r="I755" t="n">
        <v>7</v>
      </c>
      <c r="J755" t="n">
        <v>9.1</v>
      </c>
      <c r="K755" t="n">
        <v>-0.48</v>
      </c>
      <c r="L755" t="n">
        <v>-0.998</v>
      </c>
      <c r="M755" t="n">
        <v>0.367</v>
      </c>
      <c r="N755">
        <f>ROUND(J755*F755*G755+K755*G755+L755*F755+M755,3)</f>
        <v/>
      </c>
      <c r="O755">
        <f>AND(N755&gt;=1.4,N755&lt;=13)</f>
        <v/>
      </c>
      <c r="P755">
        <f>IF(OR(N755&lt;1.4,N755&gt;13),"",IF(G755*1000&lt;=1170,IF(N755&lt;1.8,"1014",IF(N755&lt;2.9,"1018",IF(N755&lt;3.8,"1029",IF(N755&lt;5,"1038",IF(N755&lt;7,"1050",IF(N755&lt;9,"1070",IF(N755&lt;11,"1090","1110"))))))),IF(G755*1000&lt;=1570,IF(N755&lt;1.8,"",IF(N755&lt;2.9,"2018",IF(N755&lt;3.8,"2029",IF(N755&lt;5,"2038",IF(N755&lt;7,"2050",IF(N755&lt;9,"2070",IF(N755&lt;11,"2090","2110"))))))),IF(G755*1000&lt;=1700,IF(N755&lt;1.8,"",IF(N755&lt;2.9,"3018",IF(N755&lt;3.8,"3029",IF(N755&lt;5,"3038",IF(N755&lt;7,"3050",IF(N755&lt;9,"3070",IF(N755&lt;11,"3090","3110"))))))),""))))</f>
        <v/>
      </c>
      <c r="Q755">
        <f>AND(O755=TRUE,P755&lt;&gt;"")</f>
        <v/>
      </c>
      <c r="R755">
        <f>IF(G755*1000&lt;750,"なし","あり")</f>
        <v/>
      </c>
      <c r="S755">
        <f>IF(AND(O755=TRUE,Q755=TRUE),"設定可","BLOCK")</f>
        <v/>
      </c>
      <c r="T755" t="inlineStr">
        <is>
          <t>商品カタログ P194</t>
        </is>
      </c>
      <c r="U755" t="inlineStr">
        <is>
          <t>https://webcatalog.lixil.co.jp/iportal/CatalogDetail.do?catalogID=15191910000&amp;categoryID=1630000&amp;designID=newinter&amp;method=initial_screen&amp;position=18&amp;type=mc&amp;volumeID=LXL13001</t>
        </is>
      </c>
    </row>
    <row r="756">
      <c r="A756" t="inlineStr">
        <is>
          <t>WG-SL-00753</t>
        </is>
      </c>
      <c r="B756" t="inlineStr">
        <is>
          <t>SZ-SL-001029</t>
        </is>
      </c>
      <c r="C756" t="inlineStr">
        <is>
          <t>WT-SL-MENKOSHI-AGE-FS</t>
        </is>
      </c>
      <c r="D756" t="inlineStr">
        <is>
          <t>SP-SL-AGE-GRILLE-DIA</t>
        </is>
      </c>
      <c r="E756" t="inlineStr">
        <is>
          <t>07413</t>
        </is>
      </c>
      <c r="F756" t="n">
        <v>0.78</v>
      </c>
      <c r="G756" t="n">
        <v>1.37</v>
      </c>
      <c r="H756" t="inlineStr">
        <is>
          <t>GL-SL-006</t>
        </is>
      </c>
      <c r="I756" t="n">
        <v>8</v>
      </c>
      <c r="J756" t="n">
        <v>10.4</v>
      </c>
      <c r="K756" t="n">
        <v>-0.605</v>
      </c>
      <c r="L756" t="n">
        <v>-1.332</v>
      </c>
      <c r="M756" t="n">
        <v>0.399</v>
      </c>
      <c r="N756">
        <f>ROUND(J756*F756*G756+K756*G756+L756*F756+M756,3)</f>
        <v/>
      </c>
      <c r="O756">
        <f>AND(N756&gt;=1.4,N756&lt;=13)</f>
        <v/>
      </c>
      <c r="P756">
        <f>IF(OR(N756&lt;1.4,N756&gt;13),"",IF(G756*1000&lt;=1170,IF(N756&lt;1.8,"1014",IF(N756&lt;2.9,"1018",IF(N756&lt;3.8,"1029",IF(N756&lt;5,"1038",IF(N756&lt;7,"1050",IF(N756&lt;9,"1070",IF(N756&lt;11,"1090","1110"))))))),IF(G756*1000&lt;=1570,IF(N756&lt;1.8,"",IF(N756&lt;2.9,"2018",IF(N756&lt;3.8,"2029",IF(N756&lt;5,"2038",IF(N756&lt;7,"2050",IF(N756&lt;9,"2070",IF(N756&lt;11,"2090","2110"))))))),IF(G756*1000&lt;=1700,IF(N756&lt;1.8,"",IF(N756&lt;2.9,"3018",IF(N756&lt;3.8,"3029",IF(N756&lt;5,"3038",IF(N756&lt;7,"3050",IF(N756&lt;9,"3070",IF(N756&lt;11,"3090","3110"))))))),""))))</f>
        <v/>
      </c>
      <c r="Q756">
        <f>AND(O756=TRUE,P756&lt;&gt;"")</f>
        <v/>
      </c>
      <c r="R756">
        <f>IF(G756*1000&lt;750,"なし","あり")</f>
        <v/>
      </c>
      <c r="S756">
        <f>IF(AND(O756=TRUE,Q756=TRUE),"設定可","BLOCK")</f>
        <v/>
      </c>
      <c r="T756" t="inlineStr">
        <is>
          <t>商品カタログ P194</t>
        </is>
      </c>
      <c r="U756" t="inlineStr">
        <is>
          <t>https://webcatalog.lixil.co.jp/iportal/CatalogDetail.do?catalogID=15191910000&amp;categoryID=1630000&amp;designID=newinter&amp;method=initial_screen&amp;position=18&amp;type=mc&amp;volumeID=LXL13001</t>
        </is>
      </c>
    </row>
    <row r="757">
      <c r="A757" t="inlineStr">
        <is>
          <t>WG-SL-00754</t>
        </is>
      </c>
      <c r="B757" t="inlineStr">
        <is>
          <t>SZ-SL-001029</t>
        </is>
      </c>
      <c r="C757" t="inlineStr">
        <is>
          <t>WT-SL-MENKOSHI-AGE-FS</t>
        </is>
      </c>
      <c r="D757" t="inlineStr">
        <is>
          <t>SP-SL-AGE-GRILLE-DIA</t>
        </is>
      </c>
      <c r="E757" t="inlineStr">
        <is>
          <t>07413</t>
        </is>
      </c>
      <c r="F757" t="n">
        <v>0.78</v>
      </c>
      <c r="G757" t="n">
        <v>1.37</v>
      </c>
      <c r="H757" t="inlineStr">
        <is>
          <t>GL-SL-007</t>
        </is>
      </c>
      <c r="I757" t="n">
        <v>6</v>
      </c>
      <c r="J757" t="n">
        <v>7.8</v>
      </c>
      <c r="K757" t="n">
        <v>-0.355</v>
      </c>
      <c r="L757" t="n">
        <v>-0.664</v>
      </c>
      <c r="M757" t="n">
        <v>0.335</v>
      </c>
      <c r="N757">
        <f>ROUND(J757*F757*G757+K757*G757+L757*F757+M757,3)</f>
        <v/>
      </c>
      <c r="O757">
        <f>AND(N757&gt;=1.4,N757&lt;=13)</f>
        <v/>
      </c>
      <c r="P757">
        <f>IF(OR(N757&lt;1.4,N757&gt;13),"",IF(G757*1000&lt;=1170,IF(N757&lt;1.8,"1014",IF(N757&lt;2.9,"1018",IF(N757&lt;3.8,"1029",IF(N757&lt;5,"1038",IF(N757&lt;7,"1050",IF(N757&lt;9,"1070",IF(N757&lt;11,"1090","1110"))))))),IF(G757*1000&lt;=1570,IF(N757&lt;1.8,"",IF(N757&lt;2.9,"2018",IF(N757&lt;3.8,"2029",IF(N757&lt;5,"2038",IF(N757&lt;7,"2050",IF(N757&lt;9,"2070",IF(N757&lt;11,"2090","2110"))))))),IF(G757*1000&lt;=1700,IF(N757&lt;1.8,"",IF(N757&lt;2.9,"3018",IF(N757&lt;3.8,"3029",IF(N757&lt;5,"3038",IF(N757&lt;7,"3050",IF(N757&lt;9,"3070",IF(N757&lt;11,"3090","3110"))))))),""))))</f>
        <v/>
      </c>
      <c r="Q757">
        <f>AND(O757=TRUE,P757&lt;&gt;"")</f>
        <v/>
      </c>
      <c r="R757">
        <f>IF(G757*1000&lt;750,"なし","あり")</f>
        <v/>
      </c>
      <c r="S757">
        <f>IF(AND(O757=TRUE,Q757=TRUE),"設定可","BLOCK")</f>
        <v/>
      </c>
      <c r="T757" t="inlineStr">
        <is>
          <t>商品カタログ P194</t>
        </is>
      </c>
      <c r="U757" t="inlineStr">
        <is>
          <t>https://webcatalog.lixil.co.jp/iportal/CatalogDetail.do?catalogID=15191910000&amp;categoryID=1630000&amp;designID=newinter&amp;method=initial_screen&amp;position=18&amp;type=mc&amp;volumeID=LXL13001</t>
        </is>
      </c>
    </row>
    <row r="758">
      <c r="A758" t="inlineStr">
        <is>
          <t>WG-SL-00755</t>
        </is>
      </c>
      <c r="B758" t="inlineStr">
        <is>
          <t>SZ-SL-001029</t>
        </is>
      </c>
      <c r="C758" t="inlineStr">
        <is>
          <t>WT-SL-MENKOSHI-AGE-FS</t>
        </is>
      </c>
      <c r="D758" t="inlineStr">
        <is>
          <t>SP-SL-AGE-GRILLE-DIA</t>
        </is>
      </c>
      <c r="E758" t="inlineStr">
        <is>
          <t>07413</t>
        </is>
      </c>
      <c r="F758" t="n">
        <v>0.78</v>
      </c>
      <c r="G758" t="n">
        <v>1.37</v>
      </c>
      <c r="H758" t="inlineStr">
        <is>
          <t>GL-SL-008</t>
        </is>
      </c>
      <c r="I758" t="n">
        <v>7</v>
      </c>
      <c r="J758" t="n">
        <v>9.1</v>
      </c>
      <c r="K758" t="n">
        <v>-0.48</v>
      </c>
      <c r="L758" t="n">
        <v>-0.998</v>
      </c>
      <c r="M758" t="n">
        <v>0.367</v>
      </c>
      <c r="N758">
        <f>ROUND(J758*F758*G758+K758*G758+L758*F758+M758,3)</f>
        <v/>
      </c>
      <c r="O758">
        <f>AND(N758&gt;=1.4,N758&lt;=13)</f>
        <v/>
      </c>
      <c r="P758">
        <f>IF(OR(N758&lt;1.4,N758&gt;13),"",IF(G758*1000&lt;=1170,IF(N758&lt;1.8,"1014",IF(N758&lt;2.9,"1018",IF(N758&lt;3.8,"1029",IF(N758&lt;5,"1038",IF(N758&lt;7,"1050",IF(N758&lt;9,"1070",IF(N758&lt;11,"1090","1110"))))))),IF(G758*1000&lt;=1570,IF(N758&lt;1.8,"",IF(N758&lt;2.9,"2018",IF(N758&lt;3.8,"2029",IF(N758&lt;5,"2038",IF(N758&lt;7,"2050",IF(N758&lt;9,"2070",IF(N758&lt;11,"2090","2110"))))))),IF(G758*1000&lt;=1700,IF(N758&lt;1.8,"",IF(N758&lt;2.9,"3018",IF(N758&lt;3.8,"3029",IF(N758&lt;5,"3038",IF(N758&lt;7,"3050",IF(N758&lt;9,"3070",IF(N758&lt;11,"3090","3110"))))))),""))))</f>
        <v/>
      </c>
      <c r="Q758">
        <f>AND(O758=TRUE,P758&lt;&gt;"")</f>
        <v/>
      </c>
      <c r="R758">
        <f>IF(G758*1000&lt;750,"なし","あり")</f>
        <v/>
      </c>
      <c r="S758">
        <f>IF(AND(O758=TRUE,Q758=TRUE),"設定可","BLOCK")</f>
        <v/>
      </c>
      <c r="T758" t="inlineStr">
        <is>
          <t>商品カタログ P194</t>
        </is>
      </c>
      <c r="U758" t="inlineStr">
        <is>
          <t>https://webcatalog.lixil.co.jp/iportal/CatalogDetail.do?catalogID=15191910000&amp;categoryID=1630000&amp;designID=newinter&amp;method=initial_screen&amp;position=18&amp;type=mc&amp;volumeID=LXL13001</t>
        </is>
      </c>
    </row>
    <row r="759">
      <c r="A759" t="inlineStr">
        <is>
          <t>WG-SL-00756</t>
        </is>
      </c>
      <c r="B759" t="inlineStr">
        <is>
          <t>SZ-SL-001029</t>
        </is>
      </c>
      <c r="C759" t="inlineStr">
        <is>
          <t>WT-SL-MENKOSHI-AGE-FS</t>
        </is>
      </c>
      <c r="D759" t="inlineStr">
        <is>
          <t>SP-SL-AGE-GRILLE-DIA</t>
        </is>
      </c>
      <c r="E759" t="inlineStr">
        <is>
          <t>07413</t>
        </is>
      </c>
      <c r="F759" t="n">
        <v>0.78</v>
      </c>
      <c r="G759" t="n">
        <v>1.37</v>
      </c>
      <c r="H759" t="inlineStr">
        <is>
          <t>GL-SL-009</t>
        </is>
      </c>
      <c r="I759" t="n">
        <v>8</v>
      </c>
      <c r="J759" t="n">
        <v>10.4</v>
      </c>
      <c r="K759" t="n">
        <v>-0.605</v>
      </c>
      <c r="L759" t="n">
        <v>-1.332</v>
      </c>
      <c r="M759" t="n">
        <v>0.399</v>
      </c>
      <c r="N759">
        <f>ROUND(J759*F759*G759+K759*G759+L759*F759+M759,3)</f>
        <v/>
      </c>
      <c r="O759">
        <f>AND(N759&gt;=1.4,N759&lt;=13)</f>
        <v/>
      </c>
      <c r="P759">
        <f>IF(OR(N759&lt;1.4,N759&gt;13),"",IF(G759*1000&lt;=1170,IF(N759&lt;1.8,"1014",IF(N759&lt;2.9,"1018",IF(N759&lt;3.8,"1029",IF(N759&lt;5,"1038",IF(N759&lt;7,"1050",IF(N759&lt;9,"1070",IF(N759&lt;11,"1090","1110"))))))),IF(G759*1000&lt;=1570,IF(N759&lt;1.8,"",IF(N759&lt;2.9,"2018",IF(N759&lt;3.8,"2029",IF(N759&lt;5,"2038",IF(N759&lt;7,"2050",IF(N759&lt;9,"2070",IF(N759&lt;11,"2090","2110"))))))),IF(G759*1000&lt;=1700,IF(N759&lt;1.8,"",IF(N759&lt;2.9,"3018",IF(N759&lt;3.8,"3029",IF(N759&lt;5,"3038",IF(N759&lt;7,"3050",IF(N759&lt;9,"3070",IF(N759&lt;11,"3090","3110"))))))),""))))</f>
        <v/>
      </c>
      <c r="Q759">
        <f>AND(O759=TRUE,P759&lt;&gt;"")</f>
        <v/>
      </c>
      <c r="R759">
        <f>IF(G759*1000&lt;750,"なし","あり")</f>
        <v/>
      </c>
      <c r="S759">
        <f>IF(AND(O759=TRUE,Q759=TRUE),"設定可","BLOCK")</f>
        <v/>
      </c>
      <c r="T759" t="inlineStr">
        <is>
          <t>商品カタログ P194</t>
        </is>
      </c>
      <c r="U759" t="inlineStr">
        <is>
          <t>https://webcatalog.lixil.co.jp/iportal/CatalogDetail.do?catalogID=15191910000&amp;categoryID=1630000&amp;designID=newinter&amp;method=initial_screen&amp;position=18&amp;type=mc&amp;volumeID=LXL13001</t>
        </is>
      </c>
    </row>
    <row r="760">
      <c r="A760" t="inlineStr">
        <is>
          <t>WG-SL-00757</t>
        </is>
      </c>
      <c r="B760" t="inlineStr">
        <is>
          <t>SZ-SL-001030</t>
        </is>
      </c>
      <c r="C760" t="inlineStr">
        <is>
          <t>WT-SL-MENKOSHI-AGE-FS</t>
        </is>
      </c>
      <c r="D760" t="inlineStr">
        <is>
          <t>SP-SL-AGE-GRILLE-H</t>
        </is>
      </c>
      <c r="E760" t="inlineStr">
        <is>
          <t>02613</t>
        </is>
      </c>
      <c r="F760" t="n">
        <v>0.3</v>
      </c>
      <c r="G760" t="n">
        <v>1.37</v>
      </c>
      <c r="H760" t="inlineStr">
        <is>
          <t>GL-SL-001</t>
        </is>
      </c>
      <c r="I760" t="n">
        <v>6</v>
      </c>
      <c r="J760" t="n">
        <v>7.8</v>
      </c>
      <c r="K760" t="n">
        <v>-0.355</v>
      </c>
      <c r="L760" t="n">
        <v>-0.664</v>
      </c>
      <c r="M760" t="n">
        <v>0.335</v>
      </c>
      <c r="N760">
        <f>ROUND(J760*F760*G760+K760*G760+L760*F760+M760,3)</f>
        <v/>
      </c>
      <c r="O760">
        <f>AND(N760&gt;=1.4,N760&lt;=13)</f>
        <v/>
      </c>
      <c r="P760">
        <f>IF(OR(N760&lt;1.4,N760&gt;13),"",IF(G760*1000&lt;=1170,IF(N760&lt;1.8,"1014",IF(N760&lt;2.9,"1018",IF(N760&lt;3.8,"1029",IF(N760&lt;5,"1038",IF(N760&lt;7,"1050",IF(N760&lt;9,"1070",IF(N760&lt;11,"1090","1110"))))))),IF(G760*1000&lt;=1570,IF(N760&lt;1.8,"",IF(N760&lt;2.9,"2018",IF(N760&lt;3.8,"2029",IF(N760&lt;5,"2038",IF(N760&lt;7,"2050",IF(N760&lt;9,"2070",IF(N760&lt;11,"2090","2110"))))))),IF(G760*1000&lt;=1700,IF(N760&lt;1.8,"",IF(N760&lt;2.9,"3018",IF(N760&lt;3.8,"3029",IF(N760&lt;5,"3038",IF(N760&lt;7,"3050",IF(N760&lt;9,"3070",IF(N760&lt;11,"3090","3110"))))))),""))))</f>
        <v/>
      </c>
      <c r="Q760">
        <f>AND(O760=TRUE,P760&lt;&gt;"")</f>
        <v/>
      </c>
      <c r="R760">
        <f>IF(G760*1000&lt;750,"なし","あり")</f>
        <v/>
      </c>
      <c r="S760">
        <f>IF(AND(O760=TRUE,Q760=TRUE),"設定可","BLOCK")</f>
        <v/>
      </c>
      <c r="T760" t="inlineStr">
        <is>
          <t>商品カタログ P194</t>
        </is>
      </c>
      <c r="U760" t="inlineStr">
        <is>
          <t>https://webcatalog.lixil.co.jp/iportal/CatalogDetail.do?catalogID=15191910000&amp;categoryID=1630000&amp;designID=newinter&amp;method=initial_screen&amp;position=18&amp;type=mc&amp;volumeID=LXL13001</t>
        </is>
      </c>
    </row>
    <row r="761">
      <c r="A761" t="inlineStr">
        <is>
          <t>WG-SL-00758</t>
        </is>
      </c>
      <c r="B761" t="inlineStr">
        <is>
          <t>SZ-SL-001030</t>
        </is>
      </c>
      <c r="C761" t="inlineStr">
        <is>
          <t>WT-SL-MENKOSHI-AGE-FS</t>
        </is>
      </c>
      <c r="D761" t="inlineStr">
        <is>
          <t>SP-SL-AGE-GRILLE-H</t>
        </is>
      </c>
      <c r="E761" t="inlineStr">
        <is>
          <t>02613</t>
        </is>
      </c>
      <c r="F761" t="n">
        <v>0.3</v>
      </c>
      <c r="G761" t="n">
        <v>1.37</v>
      </c>
      <c r="H761" t="inlineStr">
        <is>
          <t>GL-SL-002</t>
        </is>
      </c>
      <c r="I761" t="n">
        <v>7</v>
      </c>
      <c r="J761" t="n">
        <v>9.1</v>
      </c>
      <c r="K761" t="n">
        <v>-0.48</v>
      </c>
      <c r="L761" t="n">
        <v>-0.998</v>
      </c>
      <c r="M761" t="n">
        <v>0.367</v>
      </c>
      <c r="N761">
        <f>ROUND(J761*F761*G761+K761*G761+L761*F761+M761,3)</f>
        <v/>
      </c>
      <c r="O761">
        <f>AND(N761&gt;=1.4,N761&lt;=13)</f>
        <v/>
      </c>
      <c r="P761">
        <f>IF(OR(N761&lt;1.4,N761&gt;13),"",IF(G761*1000&lt;=1170,IF(N761&lt;1.8,"1014",IF(N761&lt;2.9,"1018",IF(N761&lt;3.8,"1029",IF(N761&lt;5,"1038",IF(N761&lt;7,"1050",IF(N761&lt;9,"1070",IF(N761&lt;11,"1090","1110"))))))),IF(G761*1000&lt;=1570,IF(N761&lt;1.8,"",IF(N761&lt;2.9,"2018",IF(N761&lt;3.8,"2029",IF(N761&lt;5,"2038",IF(N761&lt;7,"2050",IF(N761&lt;9,"2070",IF(N761&lt;11,"2090","2110"))))))),IF(G761*1000&lt;=1700,IF(N761&lt;1.8,"",IF(N761&lt;2.9,"3018",IF(N761&lt;3.8,"3029",IF(N761&lt;5,"3038",IF(N761&lt;7,"3050",IF(N761&lt;9,"3070",IF(N761&lt;11,"3090","3110"))))))),""))))</f>
        <v/>
      </c>
      <c r="Q761">
        <f>AND(O761=TRUE,P761&lt;&gt;"")</f>
        <v/>
      </c>
      <c r="R761">
        <f>IF(G761*1000&lt;750,"なし","あり")</f>
        <v/>
      </c>
      <c r="S761">
        <f>IF(AND(O761=TRUE,Q761=TRUE),"設定可","BLOCK")</f>
        <v/>
      </c>
      <c r="T761" t="inlineStr">
        <is>
          <t>商品カタログ P194</t>
        </is>
      </c>
      <c r="U761" t="inlineStr">
        <is>
          <t>https://webcatalog.lixil.co.jp/iportal/CatalogDetail.do?catalogID=15191910000&amp;categoryID=1630000&amp;designID=newinter&amp;method=initial_screen&amp;position=18&amp;type=mc&amp;volumeID=LXL13001</t>
        </is>
      </c>
    </row>
    <row r="762">
      <c r="A762" t="inlineStr">
        <is>
          <t>WG-SL-00759</t>
        </is>
      </c>
      <c r="B762" t="inlineStr">
        <is>
          <t>SZ-SL-001030</t>
        </is>
      </c>
      <c r="C762" t="inlineStr">
        <is>
          <t>WT-SL-MENKOSHI-AGE-FS</t>
        </is>
      </c>
      <c r="D762" t="inlineStr">
        <is>
          <t>SP-SL-AGE-GRILLE-H</t>
        </is>
      </c>
      <c r="E762" t="inlineStr">
        <is>
          <t>02613</t>
        </is>
      </c>
      <c r="F762" t="n">
        <v>0.3</v>
      </c>
      <c r="G762" t="n">
        <v>1.37</v>
      </c>
      <c r="H762" t="inlineStr">
        <is>
          <t>GL-SL-003</t>
        </is>
      </c>
      <c r="I762" t="n">
        <v>8</v>
      </c>
      <c r="J762" t="n">
        <v>10.4</v>
      </c>
      <c r="K762" t="n">
        <v>-0.605</v>
      </c>
      <c r="L762" t="n">
        <v>-1.332</v>
      </c>
      <c r="M762" t="n">
        <v>0.399</v>
      </c>
      <c r="N762">
        <f>ROUND(J762*F762*G762+K762*G762+L762*F762+M762,3)</f>
        <v/>
      </c>
      <c r="O762">
        <f>AND(N762&gt;=1.4,N762&lt;=13)</f>
        <v/>
      </c>
      <c r="P762">
        <f>IF(OR(N762&lt;1.4,N762&gt;13),"",IF(G762*1000&lt;=1170,IF(N762&lt;1.8,"1014",IF(N762&lt;2.9,"1018",IF(N762&lt;3.8,"1029",IF(N762&lt;5,"1038",IF(N762&lt;7,"1050",IF(N762&lt;9,"1070",IF(N762&lt;11,"1090","1110"))))))),IF(G762*1000&lt;=1570,IF(N762&lt;1.8,"",IF(N762&lt;2.9,"2018",IF(N762&lt;3.8,"2029",IF(N762&lt;5,"2038",IF(N762&lt;7,"2050",IF(N762&lt;9,"2070",IF(N762&lt;11,"2090","2110"))))))),IF(G762*1000&lt;=1700,IF(N762&lt;1.8,"",IF(N762&lt;2.9,"3018",IF(N762&lt;3.8,"3029",IF(N762&lt;5,"3038",IF(N762&lt;7,"3050",IF(N762&lt;9,"3070",IF(N762&lt;11,"3090","3110"))))))),""))))</f>
        <v/>
      </c>
      <c r="Q762">
        <f>AND(O762=TRUE,P762&lt;&gt;"")</f>
        <v/>
      </c>
      <c r="R762">
        <f>IF(G762*1000&lt;750,"なし","あり")</f>
        <v/>
      </c>
      <c r="S762">
        <f>IF(AND(O762=TRUE,Q762=TRUE),"設定可","BLOCK")</f>
        <v/>
      </c>
      <c r="T762" t="inlineStr">
        <is>
          <t>商品カタログ P194</t>
        </is>
      </c>
      <c r="U762" t="inlineStr">
        <is>
          <t>https://webcatalog.lixil.co.jp/iportal/CatalogDetail.do?catalogID=15191910000&amp;categoryID=1630000&amp;designID=newinter&amp;method=initial_screen&amp;position=18&amp;type=mc&amp;volumeID=LXL13001</t>
        </is>
      </c>
    </row>
    <row r="763">
      <c r="A763" t="inlineStr">
        <is>
          <t>WG-SL-00760</t>
        </is>
      </c>
      <c r="B763" t="inlineStr">
        <is>
          <t>SZ-SL-001030</t>
        </is>
      </c>
      <c r="C763" t="inlineStr">
        <is>
          <t>WT-SL-MENKOSHI-AGE-FS</t>
        </is>
      </c>
      <c r="D763" t="inlineStr">
        <is>
          <t>SP-SL-AGE-GRILLE-H</t>
        </is>
      </c>
      <c r="E763" t="inlineStr">
        <is>
          <t>02613</t>
        </is>
      </c>
      <c r="F763" t="n">
        <v>0.3</v>
      </c>
      <c r="G763" t="n">
        <v>1.37</v>
      </c>
      <c r="H763" t="inlineStr">
        <is>
          <t>GL-SL-004</t>
        </is>
      </c>
      <c r="I763" t="n">
        <v>6</v>
      </c>
      <c r="J763" t="n">
        <v>7.8</v>
      </c>
      <c r="K763" t="n">
        <v>-0.355</v>
      </c>
      <c r="L763" t="n">
        <v>-0.664</v>
      </c>
      <c r="M763" t="n">
        <v>0.335</v>
      </c>
      <c r="N763">
        <f>ROUND(J763*F763*G763+K763*G763+L763*F763+M763,3)</f>
        <v/>
      </c>
      <c r="O763">
        <f>AND(N763&gt;=1.4,N763&lt;=13)</f>
        <v/>
      </c>
      <c r="P763">
        <f>IF(OR(N763&lt;1.4,N763&gt;13),"",IF(G763*1000&lt;=1170,IF(N763&lt;1.8,"1014",IF(N763&lt;2.9,"1018",IF(N763&lt;3.8,"1029",IF(N763&lt;5,"1038",IF(N763&lt;7,"1050",IF(N763&lt;9,"1070",IF(N763&lt;11,"1090","1110"))))))),IF(G763*1000&lt;=1570,IF(N763&lt;1.8,"",IF(N763&lt;2.9,"2018",IF(N763&lt;3.8,"2029",IF(N763&lt;5,"2038",IF(N763&lt;7,"2050",IF(N763&lt;9,"2070",IF(N763&lt;11,"2090","2110"))))))),IF(G763*1000&lt;=1700,IF(N763&lt;1.8,"",IF(N763&lt;2.9,"3018",IF(N763&lt;3.8,"3029",IF(N763&lt;5,"3038",IF(N763&lt;7,"3050",IF(N763&lt;9,"3070",IF(N763&lt;11,"3090","3110"))))))),""))))</f>
        <v/>
      </c>
      <c r="Q763">
        <f>AND(O763=TRUE,P763&lt;&gt;"")</f>
        <v/>
      </c>
      <c r="R763">
        <f>IF(G763*1000&lt;750,"なし","あり")</f>
        <v/>
      </c>
      <c r="S763">
        <f>IF(AND(O763=TRUE,Q763=TRUE),"設定可","BLOCK")</f>
        <v/>
      </c>
      <c r="T763" t="inlineStr">
        <is>
          <t>商品カタログ P194</t>
        </is>
      </c>
      <c r="U763" t="inlineStr">
        <is>
          <t>https://webcatalog.lixil.co.jp/iportal/CatalogDetail.do?catalogID=15191910000&amp;categoryID=1630000&amp;designID=newinter&amp;method=initial_screen&amp;position=18&amp;type=mc&amp;volumeID=LXL13001</t>
        </is>
      </c>
    </row>
    <row r="764">
      <c r="A764" t="inlineStr">
        <is>
          <t>WG-SL-00761</t>
        </is>
      </c>
      <c r="B764" t="inlineStr">
        <is>
          <t>SZ-SL-001030</t>
        </is>
      </c>
      <c r="C764" t="inlineStr">
        <is>
          <t>WT-SL-MENKOSHI-AGE-FS</t>
        </is>
      </c>
      <c r="D764" t="inlineStr">
        <is>
          <t>SP-SL-AGE-GRILLE-H</t>
        </is>
      </c>
      <c r="E764" t="inlineStr">
        <is>
          <t>02613</t>
        </is>
      </c>
      <c r="F764" t="n">
        <v>0.3</v>
      </c>
      <c r="G764" t="n">
        <v>1.37</v>
      </c>
      <c r="H764" t="inlineStr">
        <is>
          <t>GL-SL-005</t>
        </is>
      </c>
      <c r="I764" t="n">
        <v>7</v>
      </c>
      <c r="J764" t="n">
        <v>9.1</v>
      </c>
      <c r="K764" t="n">
        <v>-0.48</v>
      </c>
      <c r="L764" t="n">
        <v>-0.998</v>
      </c>
      <c r="M764" t="n">
        <v>0.367</v>
      </c>
      <c r="N764">
        <f>ROUND(J764*F764*G764+K764*G764+L764*F764+M764,3)</f>
        <v/>
      </c>
      <c r="O764">
        <f>AND(N764&gt;=1.4,N764&lt;=13)</f>
        <v/>
      </c>
      <c r="P764">
        <f>IF(OR(N764&lt;1.4,N764&gt;13),"",IF(G764*1000&lt;=1170,IF(N764&lt;1.8,"1014",IF(N764&lt;2.9,"1018",IF(N764&lt;3.8,"1029",IF(N764&lt;5,"1038",IF(N764&lt;7,"1050",IF(N764&lt;9,"1070",IF(N764&lt;11,"1090","1110"))))))),IF(G764*1000&lt;=1570,IF(N764&lt;1.8,"",IF(N764&lt;2.9,"2018",IF(N764&lt;3.8,"2029",IF(N764&lt;5,"2038",IF(N764&lt;7,"2050",IF(N764&lt;9,"2070",IF(N764&lt;11,"2090","2110"))))))),IF(G764*1000&lt;=1700,IF(N764&lt;1.8,"",IF(N764&lt;2.9,"3018",IF(N764&lt;3.8,"3029",IF(N764&lt;5,"3038",IF(N764&lt;7,"3050",IF(N764&lt;9,"3070",IF(N764&lt;11,"3090","3110"))))))),""))))</f>
        <v/>
      </c>
      <c r="Q764">
        <f>AND(O764=TRUE,P764&lt;&gt;"")</f>
        <v/>
      </c>
      <c r="R764">
        <f>IF(G764*1000&lt;750,"なし","あり")</f>
        <v/>
      </c>
      <c r="S764">
        <f>IF(AND(O764=TRUE,Q764=TRUE),"設定可","BLOCK")</f>
        <v/>
      </c>
      <c r="T764" t="inlineStr">
        <is>
          <t>商品カタログ P194</t>
        </is>
      </c>
      <c r="U764" t="inlineStr">
        <is>
          <t>https://webcatalog.lixil.co.jp/iportal/CatalogDetail.do?catalogID=15191910000&amp;categoryID=1630000&amp;designID=newinter&amp;method=initial_screen&amp;position=18&amp;type=mc&amp;volumeID=LXL13001</t>
        </is>
      </c>
    </row>
    <row r="765">
      <c r="A765" t="inlineStr">
        <is>
          <t>WG-SL-00762</t>
        </is>
      </c>
      <c r="B765" t="inlineStr">
        <is>
          <t>SZ-SL-001030</t>
        </is>
      </c>
      <c r="C765" t="inlineStr">
        <is>
          <t>WT-SL-MENKOSHI-AGE-FS</t>
        </is>
      </c>
      <c r="D765" t="inlineStr">
        <is>
          <t>SP-SL-AGE-GRILLE-H</t>
        </is>
      </c>
      <c r="E765" t="inlineStr">
        <is>
          <t>02613</t>
        </is>
      </c>
      <c r="F765" t="n">
        <v>0.3</v>
      </c>
      <c r="G765" t="n">
        <v>1.37</v>
      </c>
      <c r="H765" t="inlineStr">
        <is>
          <t>GL-SL-006</t>
        </is>
      </c>
      <c r="I765" t="n">
        <v>8</v>
      </c>
      <c r="J765" t="n">
        <v>10.4</v>
      </c>
      <c r="K765" t="n">
        <v>-0.605</v>
      </c>
      <c r="L765" t="n">
        <v>-1.332</v>
      </c>
      <c r="M765" t="n">
        <v>0.399</v>
      </c>
      <c r="N765">
        <f>ROUND(J765*F765*G765+K765*G765+L765*F765+M765,3)</f>
        <v/>
      </c>
      <c r="O765">
        <f>AND(N765&gt;=1.4,N765&lt;=13)</f>
        <v/>
      </c>
      <c r="P765">
        <f>IF(OR(N765&lt;1.4,N765&gt;13),"",IF(G765*1000&lt;=1170,IF(N765&lt;1.8,"1014",IF(N765&lt;2.9,"1018",IF(N765&lt;3.8,"1029",IF(N765&lt;5,"1038",IF(N765&lt;7,"1050",IF(N765&lt;9,"1070",IF(N765&lt;11,"1090","1110"))))))),IF(G765*1000&lt;=1570,IF(N765&lt;1.8,"",IF(N765&lt;2.9,"2018",IF(N765&lt;3.8,"2029",IF(N765&lt;5,"2038",IF(N765&lt;7,"2050",IF(N765&lt;9,"2070",IF(N765&lt;11,"2090","2110"))))))),IF(G765*1000&lt;=1700,IF(N765&lt;1.8,"",IF(N765&lt;2.9,"3018",IF(N765&lt;3.8,"3029",IF(N765&lt;5,"3038",IF(N765&lt;7,"3050",IF(N765&lt;9,"3070",IF(N765&lt;11,"3090","3110"))))))),""))))</f>
        <v/>
      </c>
      <c r="Q765">
        <f>AND(O765=TRUE,P765&lt;&gt;"")</f>
        <v/>
      </c>
      <c r="R765">
        <f>IF(G765*1000&lt;750,"なし","あり")</f>
        <v/>
      </c>
      <c r="S765">
        <f>IF(AND(O765=TRUE,Q765=TRUE),"設定可","BLOCK")</f>
        <v/>
      </c>
      <c r="T765" t="inlineStr">
        <is>
          <t>商品カタログ P194</t>
        </is>
      </c>
      <c r="U765" t="inlineStr">
        <is>
          <t>https://webcatalog.lixil.co.jp/iportal/CatalogDetail.do?catalogID=15191910000&amp;categoryID=1630000&amp;designID=newinter&amp;method=initial_screen&amp;position=18&amp;type=mc&amp;volumeID=LXL13001</t>
        </is>
      </c>
    </row>
    <row r="766">
      <c r="A766" t="inlineStr">
        <is>
          <t>WG-SL-00763</t>
        </is>
      </c>
      <c r="B766" t="inlineStr">
        <is>
          <t>SZ-SL-001030</t>
        </is>
      </c>
      <c r="C766" t="inlineStr">
        <is>
          <t>WT-SL-MENKOSHI-AGE-FS</t>
        </is>
      </c>
      <c r="D766" t="inlineStr">
        <is>
          <t>SP-SL-AGE-GRILLE-H</t>
        </is>
      </c>
      <c r="E766" t="inlineStr">
        <is>
          <t>02613</t>
        </is>
      </c>
      <c r="F766" t="n">
        <v>0.3</v>
      </c>
      <c r="G766" t="n">
        <v>1.37</v>
      </c>
      <c r="H766" t="inlineStr">
        <is>
          <t>GL-SL-007</t>
        </is>
      </c>
      <c r="I766" t="n">
        <v>6</v>
      </c>
      <c r="J766" t="n">
        <v>7.8</v>
      </c>
      <c r="K766" t="n">
        <v>-0.355</v>
      </c>
      <c r="L766" t="n">
        <v>-0.664</v>
      </c>
      <c r="M766" t="n">
        <v>0.335</v>
      </c>
      <c r="N766">
        <f>ROUND(J766*F766*G766+K766*G766+L766*F766+M766,3)</f>
        <v/>
      </c>
      <c r="O766">
        <f>AND(N766&gt;=1.4,N766&lt;=13)</f>
        <v/>
      </c>
      <c r="P766">
        <f>IF(OR(N766&lt;1.4,N766&gt;13),"",IF(G766*1000&lt;=1170,IF(N766&lt;1.8,"1014",IF(N766&lt;2.9,"1018",IF(N766&lt;3.8,"1029",IF(N766&lt;5,"1038",IF(N766&lt;7,"1050",IF(N766&lt;9,"1070",IF(N766&lt;11,"1090","1110"))))))),IF(G766*1000&lt;=1570,IF(N766&lt;1.8,"",IF(N766&lt;2.9,"2018",IF(N766&lt;3.8,"2029",IF(N766&lt;5,"2038",IF(N766&lt;7,"2050",IF(N766&lt;9,"2070",IF(N766&lt;11,"2090","2110"))))))),IF(G766*1000&lt;=1700,IF(N766&lt;1.8,"",IF(N766&lt;2.9,"3018",IF(N766&lt;3.8,"3029",IF(N766&lt;5,"3038",IF(N766&lt;7,"3050",IF(N766&lt;9,"3070",IF(N766&lt;11,"3090","3110"))))))),""))))</f>
        <v/>
      </c>
      <c r="Q766">
        <f>AND(O766=TRUE,P766&lt;&gt;"")</f>
        <v/>
      </c>
      <c r="R766">
        <f>IF(G766*1000&lt;750,"なし","あり")</f>
        <v/>
      </c>
      <c r="S766">
        <f>IF(AND(O766=TRUE,Q766=TRUE),"設定可","BLOCK")</f>
        <v/>
      </c>
      <c r="T766" t="inlineStr">
        <is>
          <t>商品カタログ P194</t>
        </is>
      </c>
      <c r="U766" t="inlineStr">
        <is>
          <t>https://webcatalog.lixil.co.jp/iportal/CatalogDetail.do?catalogID=15191910000&amp;categoryID=1630000&amp;designID=newinter&amp;method=initial_screen&amp;position=18&amp;type=mc&amp;volumeID=LXL13001</t>
        </is>
      </c>
    </row>
    <row r="767">
      <c r="A767" t="inlineStr">
        <is>
          <t>WG-SL-00764</t>
        </is>
      </c>
      <c r="B767" t="inlineStr">
        <is>
          <t>SZ-SL-001030</t>
        </is>
      </c>
      <c r="C767" t="inlineStr">
        <is>
          <t>WT-SL-MENKOSHI-AGE-FS</t>
        </is>
      </c>
      <c r="D767" t="inlineStr">
        <is>
          <t>SP-SL-AGE-GRILLE-H</t>
        </is>
      </c>
      <c r="E767" t="inlineStr">
        <is>
          <t>02613</t>
        </is>
      </c>
      <c r="F767" t="n">
        <v>0.3</v>
      </c>
      <c r="G767" t="n">
        <v>1.37</v>
      </c>
      <c r="H767" t="inlineStr">
        <is>
          <t>GL-SL-008</t>
        </is>
      </c>
      <c r="I767" t="n">
        <v>7</v>
      </c>
      <c r="J767" t="n">
        <v>9.1</v>
      </c>
      <c r="K767" t="n">
        <v>-0.48</v>
      </c>
      <c r="L767" t="n">
        <v>-0.998</v>
      </c>
      <c r="M767" t="n">
        <v>0.367</v>
      </c>
      <c r="N767">
        <f>ROUND(J767*F767*G767+K767*G767+L767*F767+M767,3)</f>
        <v/>
      </c>
      <c r="O767">
        <f>AND(N767&gt;=1.4,N767&lt;=13)</f>
        <v/>
      </c>
      <c r="P767">
        <f>IF(OR(N767&lt;1.4,N767&gt;13),"",IF(G767*1000&lt;=1170,IF(N767&lt;1.8,"1014",IF(N767&lt;2.9,"1018",IF(N767&lt;3.8,"1029",IF(N767&lt;5,"1038",IF(N767&lt;7,"1050",IF(N767&lt;9,"1070",IF(N767&lt;11,"1090","1110"))))))),IF(G767*1000&lt;=1570,IF(N767&lt;1.8,"",IF(N767&lt;2.9,"2018",IF(N767&lt;3.8,"2029",IF(N767&lt;5,"2038",IF(N767&lt;7,"2050",IF(N767&lt;9,"2070",IF(N767&lt;11,"2090","2110"))))))),IF(G767*1000&lt;=1700,IF(N767&lt;1.8,"",IF(N767&lt;2.9,"3018",IF(N767&lt;3.8,"3029",IF(N767&lt;5,"3038",IF(N767&lt;7,"3050",IF(N767&lt;9,"3070",IF(N767&lt;11,"3090","3110"))))))),""))))</f>
        <v/>
      </c>
      <c r="Q767">
        <f>AND(O767=TRUE,P767&lt;&gt;"")</f>
        <v/>
      </c>
      <c r="R767">
        <f>IF(G767*1000&lt;750,"なし","あり")</f>
        <v/>
      </c>
      <c r="S767">
        <f>IF(AND(O767=TRUE,Q767=TRUE),"設定可","BLOCK")</f>
        <v/>
      </c>
      <c r="T767" t="inlineStr">
        <is>
          <t>商品カタログ P194</t>
        </is>
      </c>
      <c r="U767" t="inlineStr">
        <is>
          <t>https://webcatalog.lixil.co.jp/iportal/CatalogDetail.do?catalogID=15191910000&amp;categoryID=1630000&amp;designID=newinter&amp;method=initial_screen&amp;position=18&amp;type=mc&amp;volumeID=LXL13001</t>
        </is>
      </c>
    </row>
    <row r="768">
      <c r="A768" t="inlineStr">
        <is>
          <t>WG-SL-00765</t>
        </is>
      </c>
      <c r="B768" t="inlineStr">
        <is>
          <t>SZ-SL-001030</t>
        </is>
      </c>
      <c r="C768" t="inlineStr">
        <is>
          <t>WT-SL-MENKOSHI-AGE-FS</t>
        </is>
      </c>
      <c r="D768" t="inlineStr">
        <is>
          <t>SP-SL-AGE-GRILLE-H</t>
        </is>
      </c>
      <c r="E768" t="inlineStr">
        <is>
          <t>02613</t>
        </is>
      </c>
      <c r="F768" t="n">
        <v>0.3</v>
      </c>
      <c r="G768" t="n">
        <v>1.37</v>
      </c>
      <c r="H768" t="inlineStr">
        <is>
          <t>GL-SL-009</t>
        </is>
      </c>
      <c r="I768" t="n">
        <v>8</v>
      </c>
      <c r="J768" t="n">
        <v>10.4</v>
      </c>
      <c r="K768" t="n">
        <v>-0.605</v>
      </c>
      <c r="L768" t="n">
        <v>-1.332</v>
      </c>
      <c r="M768" t="n">
        <v>0.399</v>
      </c>
      <c r="N768">
        <f>ROUND(J768*F768*G768+K768*G768+L768*F768+M768,3)</f>
        <v/>
      </c>
      <c r="O768">
        <f>AND(N768&gt;=1.4,N768&lt;=13)</f>
        <v/>
      </c>
      <c r="P768">
        <f>IF(OR(N768&lt;1.4,N768&gt;13),"",IF(G768*1000&lt;=1170,IF(N768&lt;1.8,"1014",IF(N768&lt;2.9,"1018",IF(N768&lt;3.8,"1029",IF(N768&lt;5,"1038",IF(N768&lt;7,"1050",IF(N768&lt;9,"1070",IF(N768&lt;11,"1090","1110"))))))),IF(G768*1000&lt;=1570,IF(N768&lt;1.8,"",IF(N768&lt;2.9,"2018",IF(N768&lt;3.8,"2029",IF(N768&lt;5,"2038",IF(N768&lt;7,"2050",IF(N768&lt;9,"2070",IF(N768&lt;11,"2090","2110"))))))),IF(G768*1000&lt;=1700,IF(N768&lt;1.8,"",IF(N768&lt;2.9,"3018",IF(N768&lt;3.8,"3029",IF(N768&lt;5,"3038",IF(N768&lt;7,"3050",IF(N768&lt;9,"3070",IF(N768&lt;11,"3090","3110"))))))),""))))</f>
        <v/>
      </c>
      <c r="Q768">
        <f>AND(O768=TRUE,P768&lt;&gt;"")</f>
        <v/>
      </c>
      <c r="R768">
        <f>IF(G768*1000&lt;750,"なし","あり")</f>
        <v/>
      </c>
      <c r="S768">
        <f>IF(AND(O768=TRUE,Q768=TRUE),"設定可","BLOCK")</f>
        <v/>
      </c>
      <c r="T768" t="inlineStr">
        <is>
          <t>商品カタログ P194</t>
        </is>
      </c>
      <c r="U768" t="inlineStr">
        <is>
          <t>https://webcatalog.lixil.co.jp/iportal/CatalogDetail.do?catalogID=15191910000&amp;categoryID=1630000&amp;designID=newinter&amp;method=initial_screen&amp;position=18&amp;type=mc&amp;volumeID=LXL13001</t>
        </is>
      </c>
    </row>
    <row r="769">
      <c r="A769" t="inlineStr">
        <is>
          <t>WG-SL-00766</t>
        </is>
      </c>
      <c r="B769" t="inlineStr">
        <is>
          <t>SZ-SL-001031</t>
        </is>
      </c>
      <c r="C769" t="inlineStr">
        <is>
          <t>WT-SL-MENKOSHI-AGE-FS</t>
        </is>
      </c>
      <c r="D769" t="inlineStr">
        <is>
          <t>SP-SL-AGE-GRILLE-H</t>
        </is>
      </c>
      <c r="E769" t="inlineStr">
        <is>
          <t>03613</t>
        </is>
      </c>
      <c r="F769" t="n">
        <v>0.405</v>
      </c>
      <c r="G769" t="n">
        <v>1.37</v>
      </c>
      <c r="H769" t="inlineStr">
        <is>
          <t>GL-SL-001</t>
        </is>
      </c>
      <c r="I769" t="n">
        <v>6</v>
      </c>
      <c r="J769" t="n">
        <v>7.8</v>
      </c>
      <c r="K769" t="n">
        <v>-0.355</v>
      </c>
      <c r="L769" t="n">
        <v>-0.664</v>
      </c>
      <c r="M769" t="n">
        <v>0.335</v>
      </c>
      <c r="N769">
        <f>ROUND(J769*F769*G769+K769*G769+L769*F769+M769,3)</f>
        <v/>
      </c>
      <c r="O769">
        <f>AND(N769&gt;=1.4,N769&lt;=13)</f>
        <v/>
      </c>
      <c r="P769">
        <f>IF(OR(N769&lt;1.4,N769&gt;13),"",IF(G769*1000&lt;=1170,IF(N769&lt;1.8,"1014",IF(N769&lt;2.9,"1018",IF(N769&lt;3.8,"1029",IF(N769&lt;5,"1038",IF(N769&lt;7,"1050",IF(N769&lt;9,"1070",IF(N769&lt;11,"1090","1110"))))))),IF(G769*1000&lt;=1570,IF(N769&lt;1.8,"",IF(N769&lt;2.9,"2018",IF(N769&lt;3.8,"2029",IF(N769&lt;5,"2038",IF(N769&lt;7,"2050",IF(N769&lt;9,"2070",IF(N769&lt;11,"2090","2110"))))))),IF(G769*1000&lt;=1700,IF(N769&lt;1.8,"",IF(N769&lt;2.9,"3018",IF(N769&lt;3.8,"3029",IF(N769&lt;5,"3038",IF(N769&lt;7,"3050",IF(N769&lt;9,"3070",IF(N769&lt;11,"3090","3110"))))))),""))))</f>
        <v/>
      </c>
      <c r="Q769">
        <f>AND(O769=TRUE,P769&lt;&gt;"")</f>
        <v/>
      </c>
      <c r="R769">
        <f>IF(G769*1000&lt;750,"なし","あり")</f>
        <v/>
      </c>
      <c r="S769">
        <f>IF(AND(O769=TRUE,Q769=TRUE),"設定可","BLOCK")</f>
        <v/>
      </c>
      <c r="T769" t="inlineStr">
        <is>
          <t>商品カタログ P194</t>
        </is>
      </c>
      <c r="U769" t="inlineStr">
        <is>
          <t>https://webcatalog.lixil.co.jp/iportal/CatalogDetail.do?catalogID=15191910000&amp;categoryID=1630000&amp;designID=newinter&amp;method=initial_screen&amp;position=18&amp;type=mc&amp;volumeID=LXL13001</t>
        </is>
      </c>
    </row>
    <row r="770">
      <c r="A770" t="inlineStr">
        <is>
          <t>WG-SL-00767</t>
        </is>
      </c>
      <c r="B770" t="inlineStr">
        <is>
          <t>SZ-SL-001031</t>
        </is>
      </c>
      <c r="C770" t="inlineStr">
        <is>
          <t>WT-SL-MENKOSHI-AGE-FS</t>
        </is>
      </c>
      <c r="D770" t="inlineStr">
        <is>
          <t>SP-SL-AGE-GRILLE-H</t>
        </is>
      </c>
      <c r="E770" t="inlineStr">
        <is>
          <t>03613</t>
        </is>
      </c>
      <c r="F770" t="n">
        <v>0.405</v>
      </c>
      <c r="G770" t="n">
        <v>1.37</v>
      </c>
      <c r="H770" t="inlineStr">
        <is>
          <t>GL-SL-002</t>
        </is>
      </c>
      <c r="I770" t="n">
        <v>7</v>
      </c>
      <c r="J770" t="n">
        <v>9.1</v>
      </c>
      <c r="K770" t="n">
        <v>-0.48</v>
      </c>
      <c r="L770" t="n">
        <v>-0.998</v>
      </c>
      <c r="M770" t="n">
        <v>0.367</v>
      </c>
      <c r="N770">
        <f>ROUND(J770*F770*G770+K770*G770+L770*F770+M770,3)</f>
        <v/>
      </c>
      <c r="O770">
        <f>AND(N770&gt;=1.4,N770&lt;=13)</f>
        <v/>
      </c>
      <c r="P770">
        <f>IF(OR(N770&lt;1.4,N770&gt;13),"",IF(G770*1000&lt;=1170,IF(N770&lt;1.8,"1014",IF(N770&lt;2.9,"1018",IF(N770&lt;3.8,"1029",IF(N770&lt;5,"1038",IF(N770&lt;7,"1050",IF(N770&lt;9,"1070",IF(N770&lt;11,"1090","1110"))))))),IF(G770*1000&lt;=1570,IF(N770&lt;1.8,"",IF(N770&lt;2.9,"2018",IF(N770&lt;3.8,"2029",IF(N770&lt;5,"2038",IF(N770&lt;7,"2050",IF(N770&lt;9,"2070",IF(N770&lt;11,"2090","2110"))))))),IF(G770*1000&lt;=1700,IF(N770&lt;1.8,"",IF(N770&lt;2.9,"3018",IF(N770&lt;3.8,"3029",IF(N770&lt;5,"3038",IF(N770&lt;7,"3050",IF(N770&lt;9,"3070",IF(N770&lt;11,"3090","3110"))))))),""))))</f>
        <v/>
      </c>
      <c r="Q770">
        <f>AND(O770=TRUE,P770&lt;&gt;"")</f>
        <v/>
      </c>
      <c r="R770">
        <f>IF(G770*1000&lt;750,"なし","あり")</f>
        <v/>
      </c>
      <c r="S770">
        <f>IF(AND(O770=TRUE,Q770=TRUE),"設定可","BLOCK")</f>
        <v/>
      </c>
      <c r="T770" t="inlineStr">
        <is>
          <t>商品カタログ P194</t>
        </is>
      </c>
      <c r="U770" t="inlineStr">
        <is>
          <t>https://webcatalog.lixil.co.jp/iportal/CatalogDetail.do?catalogID=15191910000&amp;categoryID=1630000&amp;designID=newinter&amp;method=initial_screen&amp;position=18&amp;type=mc&amp;volumeID=LXL13001</t>
        </is>
      </c>
    </row>
    <row r="771">
      <c r="A771" t="inlineStr">
        <is>
          <t>WG-SL-00768</t>
        </is>
      </c>
      <c r="B771" t="inlineStr">
        <is>
          <t>SZ-SL-001031</t>
        </is>
      </c>
      <c r="C771" t="inlineStr">
        <is>
          <t>WT-SL-MENKOSHI-AGE-FS</t>
        </is>
      </c>
      <c r="D771" t="inlineStr">
        <is>
          <t>SP-SL-AGE-GRILLE-H</t>
        </is>
      </c>
      <c r="E771" t="inlineStr">
        <is>
          <t>03613</t>
        </is>
      </c>
      <c r="F771" t="n">
        <v>0.405</v>
      </c>
      <c r="G771" t="n">
        <v>1.37</v>
      </c>
      <c r="H771" t="inlineStr">
        <is>
          <t>GL-SL-003</t>
        </is>
      </c>
      <c r="I771" t="n">
        <v>8</v>
      </c>
      <c r="J771" t="n">
        <v>10.4</v>
      </c>
      <c r="K771" t="n">
        <v>-0.605</v>
      </c>
      <c r="L771" t="n">
        <v>-1.332</v>
      </c>
      <c r="M771" t="n">
        <v>0.399</v>
      </c>
      <c r="N771">
        <f>ROUND(J771*F771*G771+K771*G771+L771*F771+M771,3)</f>
        <v/>
      </c>
      <c r="O771">
        <f>AND(N771&gt;=1.4,N771&lt;=13)</f>
        <v/>
      </c>
      <c r="P771">
        <f>IF(OR(N771&lt;1.4,N771&gt;13),"",IF(G771*1000&lt;=1170,IF(N771&lt;1.8,"1014",IF(N771&lt;2.9,"1018",IF(N771&lt;3.8,"1029",IF(N771&lt;5,"1038",IF(N771&lt;7,"1050",IF(N771&lt;9,"1070",IF(N771&lt;11,"1090","1110"))))))),IF(G771*1000&lt;=1570,IF(N771&lt;1.8,"",IF(N771&lt;2.9,"2018",IF(N771&lt;3.8,"2029",IF(N771&lt;5,"2038",IF(N771&lt;7,"2050",IF(N771&lt;9,"2070",IF(N771&lt;11,"2090","2110"))))))),IF(G771*1000&lt;=1700,IF(N771&lt;1.8,"",IF(N771&lt;2.9,"3018",IF(N771&lt;3.8,"3029",IF(N771&lt;5,"3038",IF(N771&lt;7,"3050",IF(N771&lt;9,"3070",IF(N771&lt;11,"3090","3110"))))))),""))))</f>
        <v/>
      </c>
      <c r="Q771">
        <f>AND(O771=TRUE,P771&lt;&gt;"")</f>
        <v/>
      </c>
      <c r="R771">
        <f>IF(G771*1000&lt;750,"なし","あり")</f>
        <v/>
      </c>
      <c r="S771">
        <f>IF(AND(O771=TRUE,Q771=TRUE),"設定可","BLOCK")</f>
        <v/>
      </c>
      <c r="T771" t="inlineStr">
        <is>
          <t>商品カタログ P194</t>
        </is>
      </c>
      <c r="U771" t="inlineStr">
        <is>
          <t>https://webcatalog.lixil.co.jp/iportal/CatalogDetail.do?catalogID=15191910000&amp;categoryID=1630000&amp;designID=newinter&amp;method=initial_screen&amp;position=18&amp;type=mc&amp;volumeID=LXL13001</t>
        </is>
      </c>
    </row>
    <row r="772">
      <c r="A772" t="inlineStr">
        <is>
          <t>WG-SL-00769</t>
        </is>
      </c>
      <c r="B772" t="inlineStr">
        <is>
          <t>SZ-SL-001031</t>
        </is>
      </c>
      <c r="C772" t="inlineStr">
        <is>
          <t>WT-SL-MENKOSHI-AGE-FS</t>
        </is>
      </c>
      <c r="D772" t="inlineStr">
        <is>
          <t>SP-SL-AGE-GRILLE-H</t>
        </is>
      </c>
      <c r="E772" t="inlineStr">
        <is>
          <t>03613</t>
        </is>
      </c>
      <c r="F772" t="n">
        <v>0.405</v>
      </c>
      <c r="G772" t="n">
        <v>1.37</v>
      </c>
      <c r="H772" t="inlineStr">
        <is>
          <t>GL-SL-004</t>
        </is>
      </c>
      <c r="I772" t="n">
        <v>6</v>
      </c>
      <c r="J772" t="n">
        <v>7.8</v>
      </c>
      <c r="K772" t="n">
        <v>-0.355</v>
      </c>
      <c r="L772" t="n">
        <v>-0.664</v>
      </c>
      <c r="M772" t="n">
        <v>0.335</v>
      </c>
      <c r="N772">
        <f>ROUND(J772*F772*G772+K772*G772+L772*F772+M772,3)</f>
        <v/>
      </c>
      <c r="O772">
        <f>AND(N772&gt;=1.4,N772&lt;=13)</f>
        <v/>
      </c>
      <c r="P772">
        <f>IF(OR(N772&lt;1.4,N772&gt;13),"",IF(G772*1000&lt;=1170,IF(N772&lt;1.8,"1014",IF(N772&lt;2.9,"1018",IF(N772&lt;3.8,"1029",IF(N772&lt;5,"1038",IF(N772&lt;7,"1050",IF(N772&lt;9,"1070",IF(N772&lt;11,"1090","1110"))))))),IF(G772*1000&lt;=1570,IF(N772&lt;1.8,"",IF(N772&lt;2.9,"2018",IF(N772&lt;3.8,"2029",IF(N772&lt;5,"2038",IF(N772&lt;7,"2050",IF(N772&lt;9,"2070",IF(N772&lt;11,"2090","2110"))))))),IF(G772*1000&lt;=1700,IF(N772&lt;1.8,"",IF(N772&lt;2.9,"3018",IF(N772&lt;3.8,"3029",IF(N772&lt;5,"3038",IF(N772&lt;7,"3050",IF(N772&lt;9,"3070",IF(N772&lt;11,"3090","3110"))))))),""))))</f>
        <v/>
      </c>
      <c r="Q772">
        <f>AND(O772=TRUE,P772&lt;&gt;"")</f>
        <v/>
      </c>
      <c r="R772">
        <f>IF(G772*1000&lt;750,"なし","あり")</f>
        <v/>
      </c>
      <c r="S772">
        <f>IF(AND(O772=TRUE,Q772=TRUE),"設定可","BLOCK")</f>
        <v/>
      </c>
      <c r="T772" t="inlineStr">
        <is>
          <t>商品カタログ P194</t>
        </is>
      </c>
      <c r="U772" t="inlineStr">
        <is>
          <t>https://webcatalog.lixil.co.jp/iportal/CatalogDetail.do?catalogID=15191910000&amp;categoryID=1630000&amp;designID=newinter&amp;method=initial_screen&amp;position=18&amp;type=mc&amp;volumeID=LXL13001</t>
        </is>
      </c>
    </row>
    <row r="773">
      <c r="A773" t="inlineStr">
        <is>
          <t>WG-SL-00770</t>
        </is>
      </c>
      <c r="B773" t="inlineStr">
        <is>
          <t>SZ-SL-001031</t>
        </is>
      </c>
      <c r="C773" t="inlineStr">
        <is>
          <t>WT-SL-MENKOSHI-AGE-FS</t>
        </is>
      </c>
      <c r="D773" t="inlineStr">
        <is>
          <t>SP-SL-AGE-GRILLE-H</t>
        </is>
      </c>
      <c r="E773" t="inlineStr">
        <is>
          <t>03613</t>
        </is>
      </c>
      <c r="F773" t="n">
        <v>0.405</v>
      </c>
      <c r="G773" t="n">
        <v>1.37</v>
      </c>
      <c r="H773" t="inlineStr">
        <is>
          <t>GL-SL-005</t>
        </is>
      </c>
      <c r="I773" t="n">
        <v>7</v>
      </c>
      <c r="J773" t="n">
        <v>9.1</v>
      </c>
      <c r="K773" t="n">
        <v>-0.48</v>
      </c>
      <c r="L773" t="n">
        <v>-0.998</v>
      </c>
      <c r="M773" t="n">
        <v>0.367</v>
      </c>
      <c r="N773">
        <f>ROUND(J773*F773*G773+K773*G773+L773*F773+M773,3)</f>
        <v/>
      </c>
      <c r="O773">
        <f>AND(N773&gt;=1.4,N773&lt;=13)</f>
        <v/>
      </c>
      <c r="P773">
        <f>IF(OR(N773&lt;1.4,N773&gt;13),"",IF(G773*1000&lt;=1170,IF(N773&lt;1.8,"1014",IF(N773&lt;2.9,"1018",IF(N773&lt;3.8,"1029",IF(N773&lt;5,"1038",IF(N773&lt;7,"1050",IF(N773&lt;9,"1070",IF(N773&lt;11,"1090","1110"))))))),IF(G773*1000&lt;=1570,IF(N773&lt;1.8,"",IF(N773&lt;2.9,"2018",IF(N773&lt;3.8,"2029",IF(N773&lt;5,"2038",IF(N773&lt;7,"2050",IF(N773&lt;9,"2070",IF(N773&lt;11,"2090","2110"))))))),IF(G773*1000&lt;=1700,IF(N773&lt;1.8,"",IF(N773&lt;2.9,"3018",IF(N773&lt;3.8,"3029",IF(N773&lt;5,"3038",IF(N773&lt;7,"3050",IF(N773&lt;9,"3070",IF(N773&lt;11,"3090","3110"))))))),""))))</f>
        <v/>
      </c>
      <c r="Q773">
        <f>AND(O773=TRUE,P773&lt;&gt;"")</f>
        <v/>
      </c>
      <c r="R773">
        <f>IF(G773*1000&lt;750,"なし","あり")</f>
        <v/>
      </c>
      <c r="S773">
        <f>IF(AND(O773=TRUE,Q773=TRUE),"設定可","BLOCK")</f>
        <v/>
      </c>
      <c r="T773" t="inlineStr">
        <is>
          <t>商品カタログ P194</t>
        </is>
      </c>
      <c r="U773" t="inlineStr">
        <is>
          <t>https://webcatalog.lixil.co.jp/iportal/CatalogDetail.do?catalogID=15191910000&amp;categoryID=1630000&amp;designID=newinter&amp;method=initial_screen&amp;position=18&amp;type=mc&amp;volumeID=LXL13001</t>
        </is>
      </c>
    </row>
    <row r="774">
      <c r="A774" t="inlineStr">
        <is>
          <t>WG-SL-00771</t>
        </is>
      </c>
      <c r="B774" t="inlineStr">
        <is>
          <t>SZ-SL-001031</t>
        </is>
      </c>
      <c r="C774" t="inlineStr">
        <is>
          <t>WT-SL-MENKOSHI-AGE-FS</t>
        </is>
      </c>
      <c r="D774" t="inlineStr">
        <is>
          <t>SP-SL-AGE-GRILLE-H</t>
        </is>
      </c>
      <c r="E774" t="inlineStr">
        <is>
          <t>03613</t>
        </is>
      </c>
      <c r="F774" t="n">
        <v>0.405</v>
      </c>
      <c r="G774" t="n">
        <v>1.37</v>
      </c>
      <c r="H774" t="inlineStr">
        <is>
          <t>GL-SL-006</t>
        </is>
      </c>
      <c r="I774" t="n">
        <v>8</v>
      </c>
      <c r="J774" t="n">
        <v>10.4</v>
      </c>
      <c r="K774" t="n">
        <v>-0.605</v>
      </c>
      <c r="L774" t="n">
        <v>-1.332</v>
      </c>
      <c r="M774" t="n">
        <v>0.399</v>
      </c>
      <c r="N774">
        <f>ROUND(J774*F774*G774+K774*G774+L774*F774+M774,3)</f>
        <v/>
      </c>
      <c r="O774">
        <f>AND(N774&gt;=1.4,N774&lt;=13)</f>
        <v/>
      </c>
      <c r="P774">
        <f>IF(OR(N774&lt;1.4,N774&gt;13),"",IF(G774*1000&lt;=1170,IF(N774&lt;1.8,"1014",IF(N774&lt;2.9,"1018",IF(N774&lt;3.8,"1029",IF(N774&lt;5,"1038",IF(N774&lt;7,"1050",IF(N774&lt;9,"1070",IF(N774&lt;11,"1090","1110"))))))),IF(G774*1000&lt;=1570,IF(N774&lt;1.8,"",IF(N774&lt;2.9,"2018",IF(N774&lt;3.8,"2029",IF(N774&lt;5,"2038",IF(N774&lt;7,"2050",IF(N774&lt;9,"2070",IF(N774&lt;11,"2090","2110"))))))),IF(G774*1000&lt;=1700,IF(N774&lt;1.8,"",IF(N774&lt;2.9,"3018",IF(N774&lt;3.8,"3029",IF(N774&lt;5,"3038",IF(N774&lt;7,"3050",IF(N774&lt;9,"3070",IF(N774&lt;11,"3090","3110"))))))),""))))</f>
        <v/>
      </c>
      <c r="Q774">
        <f>AND(O774=TRUE,P774&lt;&gt;"")</f>
        <v/>
      </c>
      <c r="R774">
        <f>IF(G774*1000&lt;750,"なし","あり")</f>
        <v/>
      </c>
      <c r="S774">
        <f>IF(AND(O774=TRUE,Q774=TRUE),"設定可","BLOCK")</f>
        <v/>
      </c>
      <c r="T774" t="inlineStr">
        <is>
          <t>商品カタログ P194</t>
        </is>
      </c>
      <c r="U774" t="inlineStr">
        <is>
          <t>https://webcatalog.lixil.co.jp/iportal/CatalogDetail.do?catalogID=15191910000&amp;categoryID=1630000&amp;designID=newinter&amp;method=initial_screen&amp;position=18&amp;type=mc&amp;volumeID=LXL13001</t>
        </is>
      </c>
    </row>
    <row r="775">
      <c r="A775" t="inlineStr">
        <is>
          <t>WG-SL-00772</t>
        </is>
      </c>
      <c r="B775" t="inlineStr">
        <is>
          <t>SZ-SL-001031</t>
        </is>
      </c>
      <c r="C775" t="inlineStr">
        <is>
          <t>WT-SL-MENKOSHI-AGE-FS</t>
        </is>
      </c>
      <c r="D775" t="inlineStr">
        <is>
          <t>SP-SL-AGE-GRILLE-H</t>
        </is>
      </c>
      <c r="E775" t="inlineStr">
        <is>
          <t>03613</t>
        </is>
      </c>
      <c r="F775" t="n">
        <v>0.405</v>
      </c>
      <c r="G775" t="n">
        <v>1.37</v>
      </c>
      <c r="H775" t="inlineStr">
        <is>
          <t>GL-SL-007</t>
        </is>
      </c>
      <c r="I775" t="n">
        <v>6</v>
      </c>
      <c r="J775" t="n">
        <v>7.8</v>
      </c>
      <c r="K775" t="n">
        <v>-0.355</v>
      </c>
      <c r="L775" t="n">
        <v>-0.664</v>
      </c>
      <c r="M775" t="n">
        <v>0.335</v>
      </c>
      <c r="N775">
        <f>ROUND(J775*F775*G775+K775*G775+L775*F775+M775,3)</f>
        <v/>
      </c>
      <c r="O775">
        <f>AND(N775&gt;=1.4,N775&lt;=13)</f>
        <v/>
      </c>
      <c r="P775">
        <f>IF(OR(N775&lt;1.4,N775&gt;13),"",IF(G775*1000&lt;=1170,IF(N775&lt;1.8,"1014",IF(N775&lt;2.9,"1018",IF(N775&lt;3.8,"1029",IF(N775&lt;5,"1038",IF(N775&lt;7,"1050",IF(N775&lt;9,"1070",IF(N775&lt;11,"1090","1110"))))))),IF(G775*1000&lt;=1570,IF(N775&lt;1.8,"",IF(N775&lt;2.9,"2018",IF(N775&lt;3.8,"2029",IF(N775&lt;5,"2038",IF(N775&lt;7,"2050",IF(N775&lt;9,"2070",IF(N775&lt;11,"2090","2110"))))))),IF(G775*1000&lt;=1700,IF(N775&lt;1.8,"",IF(N775&lt;2.9,"3018",IF(N775&lt;3.8,"3029",IF(N775&lt;5,"3038",IF(N775&lt;7,"3050",IF(N775&lt;9,"3070",IF(N775&lt;11,"3090","3110"))))))),""))))</f>
        <v/>
      </c>
      <c r="Q775">
        <f>AND(O775=TRUE,P775&lt;&gt;"")</f>
        <v/>
      </c>
      <c r="R775">
        <f>IF(G775*1000&lt;750,"なし","あり")</f>
        <v/>
      </c>
      <c r="S775">
        <f>IF(AND(O775=TRUE,Q775=TRUE),"設定可","BLOCK")</f>
        <v/>
      </c>
      <c r="T775" t="inlineStr">
        <is>
          <t>商品カタログ P194</t>
        </is>
      </c>
      <c r="U775" t="inlineStr">
        <is>
          <t>https://webcatalog.lixil.co.jp/iportal/CatalogDetail.do?catalogID=15191910000&amp;categoryID=1630000&amp;designID=newinter&amp;method=initial_screen&amp;position=18&amp;type=mc&amp;volumeID=LXL13001</t>
        </is>
      </c>
    </row>
    <row r="776">
      <c r="A776" t="inlineStr">
        <is>
          <t>WG-SL-00773</t>
        </is>
      </c>
      <c r="B776" t="inlineStr">
        <is>
          <t>SZ-SL-001031</t>
        </is>
      </c>
      <c r="C776" t="inlineStr">
        <is>
          <t>WT-SL-MENKOSHI-AGE-FS</t>
        </is>
      </c>
      <c r="D776" t="inlineStr">
        <is>
          <t>SP-SL-AGE-GRILLE-H</t>
        </is>
      </c>
      <c r="E776" t="inlineStr">
        <is>
          <t>03613</t>
        </is>
      </c>
      <c r="F776" t="n">
        <v>0.405</v>
      </c>
      <c r="G776" t="n">
        <v>1.37</v>
      </c>
      <c r="H776" t="inlineStr">
        <is>
          <t>GL-SL-008</t>
        </is>
      </c>
      <c r="I776" t="n">
        <v>7</v>
      </c>
      <c r="J776" t="n">
        <v>9.1</v>
      </c>
      <c r="K776" t="n">
        <v>-0.48</v>
      </c>
      <c r="L776" t="n">
        <v>-0.998</v>
      </c>
      <c r="M776" t="n">
        <v>0.367</v>
      </c>
      <c r="N776">
        <f>ROUND(J776*F776*G776+K776*G776+L776*F776+M776,3)</f>
        <v/>
      </c>
      <c r="O776">
        <f>AND(N776&gt;=1.4,N776&lt;=13)</f>
        <v/>
      </c>
      <c r="P776">
        <f>IF(OR(N776&lt;1.4,N776&gt;13),"",IF(G776*1000&lt;=1170,IF(N776&lt;1.8,"1014",IF(N776&lt;2.9,"1018",IF(N776&lt;3.8,"1029",IF(N776&lt;5,"1038",IF(N776&lt;7,"1050",IF(N776&lt;9,"1070",IF(N776&lt;11,"1090","1110"))))))),IF(G776*1000&lt;=1570,IF(N776&lt;1.8,"",IF(N776&lt;2.9,"2018",IF(N776&lt;3.8,"2029",IF(N776&lt;5,"2038",IF(N776&lt;7,"2050",IF(N776&lt;9,"2070",IF(N776&lt;11,"2090","2110"))))))),IF(G776*1000&lt;=1700,IF(N776&lt;1.8,"",IF(N776&lt;2.9,"3018",IF(N776&lt;3.8,"3029",IF(N776&lt;5,"3038",IF(N776&lt;7,"3050",IF(N776&lt;9,"3070",IF(N776&lt;11,"3090","3110"))))))),""))))</f>
        <v/>
      </c>
      <c r="Q776">
        <f>AND(O776=TRUE,P776&lt;&gt;"")</f>
        <v/>
      </c>
      <c r="R776">
        <f>IF(G776*1000&lt;750,"なし","あり")</f>
        <v/>
      </c>
      <c r="S776">
        <f>IF(AND(O776=TRUE,Q776=TRUE),"設定可","BLOCK")</f>
        <v/>
      </c>
      <c r="T776" t="inlineStr">
        <is>
          <t>商品カタログ P194</t>
        </is>
      </c>
      <c r="U776" t="inlineStr">
        <is>
          <t>https://webcatalog.lixil.co.jp/iportal/CatalogDetail.do?catalogID=15191910000&amp;categoryID=1630000&amp;designID=newinter&amp;method=initial_screen&amp;position=18&amp;type=mc&amp;volumeID=LXL13001</t>
        </is>
      </c>
    </row>
    <row r="777">
      <c r="A777" t="inlineStr">
        <is>
          <t>WG-SL-00774</t>
        </is>
      </c>
      <c r="B777" t="inlineStr">
        <is>
          <t>SZ-SL-001031</t>
        </is>
      </c>
      <c r="C777" t="inlineStr">
        <is>
          <t>WT-SL-MENKOSHI-AGE-FS</t>
        </is>
      </c>
      <c r="D777" t="inlineStr">
        <is>
          <t>SP-SL-AGE-GRILLE-H</t>
        </is>
      </c>
      <c r="E777" t="inlineStr">
        <is>
          <t>03613</t>
        </is>
      </c>
      <c r="F777" t="n">
        <v>0.405</v>
      </c>
      <c r="G777" t="n">
        <v>1.37</v>
      </c>
      <c r="H777" t="inlineStr">
        <is>
          <t>GL-SL-009</t>
        </is>
      </c>
      <c r="I777" t="n">
        <v>8</v>
      </c>
      <c r="J777" t="n">
        <v>10.4</v>
      </c>
      <c r="K777" t="n">
        <v>-0.605</v>
      </c>
      <c r="L777" t="n">
        <v>-1.332</v>
      </c>
      <c r="M777" t="n">
        <v>0.399</v>
      </c>
      <c r="N777">
        <f>ROUND(J777*F777*G777+K777*G777+L777*F777+M777,3)</f>
        <v/>
      </c>
      <c r="O777">
        <f>AND(N777&gt;=1.4,N777&lt;=13)</f>
        <v/>
      </c>
      <c r="P777">
        <f>IF(OR(N777&lt;1.4,N777&gt;13),"",IF(G777*1000&lt;=1170,IF(N777&lt;1.8,"1014",IF(N777&lt;2.9,"1018",IF(N777&lt;3.8,"1029",IF(N777&lt;5,"1038",IF(N777&lt;7,"1050",IF(N777&lt;9,"1070",IF(N777&lt;11,"1090","1110"))))))),IF(G777*1000&lt;=1570,IF(N777&lt;1.8,"",IF(N777&lt;2.9,"2018",IF(N777&lt;3.8,"2029",IF(N777&lt;5,"2038",IF(N777&lt;7,"2050",IF(N777&lt;9,"2070",IF(N777&lt;11,"2090","2110"))))))),IF(G777*1000&lt;=1700,IF(N777&lt;1.8,"",IF(N777&lt;2.9,"3018",IF(N777&lt;3.8,"3029",IF(N777&lt;5,"3038",IF(N777&lt;7,"3050",IF(N777&lt;9,"3070",IF(N777&lt;11,"3090","3110"))))))),""))))</f>
        <v/>
      </c>
      <c r="Q777">
        <f>AND(O777=TRUE,P777&lt;&gt;"")</f>
        <v/>
      </c>
      <c r="R777">
        <f>IF(G777*1000&lt;750,"なし","あり")</f>
        <v/>
      </c>
      <c r="S777">
        <f>IF(AND(O777=TRUE,Q777=TRUE),"設定可","BLOCK")</f>
        <v/>
      </c>
      <c r="T777" t="inlineStr">
        <is>
          <t>商品カタログ P194</t>
        </is>
      </c>
      <c r="U777" t="inlineStr">
        <is>
          <t>https://webcatalog.lixil.co.jp/iportal/CatalogDetail.do?catalogID=15191910000&amp;categoryID=1630000&amp;designID=newinter&amp;method=initial_screen&amp;position=18&amp;type=mc&amp;volumeID=LXL13001</t>
        </is>
      </c>
    </row>
    <row r="778">
      <c r="A778" t="inlineStr">
        <is>
          <t>WG-SL-00775</t>
        </is>
      </c>
      <c r="B778" t="inlineStr">
        <is>
          <t>SZ-SL-001032</t>
        </is>
      </c>
      <c r="C778" t="inlineStr">
        <is>
          <t>WT-SL-MENKOSHI-AGE-FS</t>
        </is>
      </c>
      <c r="D778" t="inlineStr">
        <is>
          <t>SP-SL-AGE-GRILLE-H</t>
        </is>
      </c>
      <c r="E778" t="inlineStr">
        <is>
          <t>06013</t>
        </is>
      </c>
      <c r="F778" t="n">
        <v>0.64</v>
      </c>
      <c r="G778" t="n">
        <v>1.37</v>
      </c>
      <c r="H778" t="inlineStr">
        <is>
          <t>GL-SL-001</t>
        </is>
      </c>
      <c r="I778" t="n">
        <v>6</v>
      </c>
      <c r="J778" t="n">
        <v>7.8</v>
      </c>
      <c r="K778" t="n">
        <v>-0.355</v>
      </c>
      <c r="L778" t="n">
        <v>-0.664</v>
      </c>
      <c r="M778" t="n">
        <v>0.335</v>
      </c>
      <c r="N778">
        <f>ROUND(J778*F778*G778+K778*G778+L778*F778+M778,3)</f>
        <v/>
      </c>
      <c r="O778">
        <f>AND(N778&gt;=1.4,N778&lt;=13)</f>
        <v/>
      </c>
      <c r="P778">
        <f>IF(OR(N778&lt;1.4,N778&gt;13),"",IF(G778*1000&lt;=1170,IF(N778&lt;1.8,"1014",IF(N778&lt;2.9,"1018",IF(N778&lt;3.8,"1029",IF(N778&lt;5,"1038",IF(N778&lt;7,"1050",IF(N778&lt;9,"1070",IF(N778&lt;11,"1090","1110"))))))),IF(G778*1000&lt;=1570,IF(N778&lt;1.8,"",IF(N778&lt;2.9,"2018",IF(N778&lt;3.8,"2029",IF(N778&lt;5,"2038",IF(N778&lt;7,"2050",IF(N778&lt;9,"2070",IF(N778&lt;11,"2090","2110"))))))),IF(G778*1000&lt;=1700,IF(N778&lt;1.8,"",IF(N778&lt;2.9,"3018",IF(N778&lt;3.8,"3029",IF(N778&lt;5,"3038",IF(N778&lt;7,"3050",IF(N778&lt;9,"3070",IF(N778&lt;11,"3090","3110"))))))),""))))</f>
        <v/>
      </c>
      <c r="Q778">
        <f>AND(O778=TRUE,P778&lt;&gt;"")</f>
        <v/>
      </c>
      <c r="R778">
        <f>IF(G778*1000&lt;750,"なし","あり")</f>
        <v/>
      </c>
      <c r="S778">
        <f>IF(AND(O778=TRUE,Q778=TRUE),"設定可","BLOCK")</f>
        <v/>
      </c>
      <c r="T778" t="inlineStr">
        <is>
          <t>商品カタログ P194</t>
        </is>
      </c>
      <c r="U778" t="inlineStr">
        <is>
          <t>https://webcatalog.lixil.co.jp/iportal/CatalogDetail.do?catalogID=15191910000&amp;categoryID=1630000&amp;designID=newinter&amp;method=initial_screen&amp;position=18&amp;type=mc&amp;volumeID=LXL13001</t>
        </is>
      </c>
    </row>
    <row r="779">
      <c r="A779" t="inlineStr">
        <is>
          <t>WG-SL-00776</t>
        </is>
      </c>
      <c r="B779" t="inlineStr">
        <is>
          <t>SZ-SL-001032</t>
        </is>
      </c>
      <c r="C779" t="inlineStr">
        <is>
          <t>WT-SL-MENKOSHI-AGE-FS</t>
        </is>
      </c>
      <c r="D779" t="inlineStr">
        <is>
          <t>SP-SL-AGE-GRILLE-H</t>
        </is>
      </c>
      <c r="E779" t="inlineStr">
        <is>
          <t>06013</t>
        </is>
      </c>
      <c r="F779" t="n">
        <v>0.64</v>
      </c>
      <c r="G779" t="n">
        <v>1.37</v>
      </c>
      <c r="H779" t="inlineStr">
        <is>
          <t>GL-SL-002</t>
        </is>
      </c>
      <c r="I779" t="n">
        <v>7</v>
      </c>
      <c r="J779" t="n">
        <v>9.1</v>
      </c>
      <c r="K779" t="n">
        <v>-0.48</v>
      </c>
      <c r="L779" t="n">
        <v>-0.998</v>
      </c>
      <c r="M779" t="n">
        <v>0.367</v>
      </c>
      <c r="N779">
        <f>ROUND(J779*F779*G779+K779*G779+L779*F779+M779,3)</f>
        <v/>
      </c>
      <c r="O779">
        <f>AND(N779&gt;=1.4,N779&lt;=13)</f>
        <v/>
      </c>
      <c r="P779">
        <f>IF(OR(N779&lt;1.4,N779&gt;13),"",IF(G779*1000&lt;=1170,IF(N779&lt;1.8,"1014",IF(N779&lt;2.9,"1018",IF(N779&lt;3.8,"1029",IF(N779&lt;5,"1038",IF(N779&lt;7,"1050",IF(N779&lt;9,"1070",IF(N779&lt;11,"1090","1110"))))))),IF(G779*1000&lt;=1570,IF(N779&lt;1.8,"",IF(N779&lt;2.9,"2018",IF(N779&lt;3.8,"2029",IF(N779&lt;5,"2038",IF(N779&lt;7,"2050",IF(N779&lt;9,"2070",IF(N779&lt;11,"2090","2110"))))))),IF(G779*1000&lt;=1700,IF(N779&lt;1.8,"",IF(N779&lt;2.9,"3018",IF(N779&lt;3.8,"3029",IF(N779&lt;5,"3038",IF(N779&lt;7,"3050",IF(N779&lt;9,"3070",IF(N779&lt;11,"3090","3110"))))))),""))))</f>
        <v/>
      </c>
      <c r="Q779">
        <f>AND(O779=TRUE,P779&lt;&gt;"")</f>
        <v/>
      </c>
      <c r="R779">
        <f>IF(G779*1000&lt;750,"なし","あり")</f>
        <v/>
      </c>
      <c r="S779">
        <f>IF(AND(O779=TRUE,Q779=TRUE),"設定可","BLOCK")</f>
        <v/>
      </c>
      <c r="T779" t="inlineStr">
        <is>
          <t>商品カタログ P194</t>
        </is>
      </c>
      <c r="U779" t="inlineStr">
        <is>
          <t>https://webcatalog.lixil.co.jp/iportal/CatalogDetail.do?catalogID=15191910000&amp;categoryID=1630000&amp;designID=newinter&amp;method=initial_screen&amp;position=18&amp;type=mc&amp;volumeID=LXL13001</t>
        </is>
      </c>
    </row>
    <row r="780">
      <c r="A780" t="inlineStr">
        <is>
          <t>WG-SL-00777</t>
        </is>
      </c>
      <c r="B780" t="inlineStr">
        <is>
          <t>SZ-SL-001032</t>
        </is>
      </c>
      <c r="C780" t="inlineStr">
        <is>
          <t>WT-SL-MENKOSHI-AGE-FS</t>
        </is>
      </c>
      <c r="D780" t="inlineStr">
        <is>
          <t>SP-SL-AGE-GRILLE-H</t>
        </is>
      </c>
      <c r="E780" t="inlineStr">
        <is>
          <t>06013</t>
        </is>
      </c>
      <c r="F780" t="n">
        <v>0.64</v>
      </c>
      <c r="G780" t="n">
        <v>1.37</v>
      </c>
      <c r="H780" t="inlineStr">
        <is>
          <t>GL-SL-003</t>
        </is>
      </c>
      <c r="I780" t="n">
        <v>8</v>
      </c>
      <c r="J780" t="n">
        <v>10.4</v>
      </c>
      <c r="K780" t="n">
        <v>-0.605</v>
      </c>
      <c r="L780" t="n">
        <v>-1.332</v>
      </c>
      <c r="M780" t="n">
        <v>0.399</v>
      </c>
      <c r="N780">
        <f>ROUND(J780*F780*G780+K780*G780+L780*F780+M780,3)</f>
        <v/>
      </c>
      <c r="O780">
        <f>AND(N780&gt;=1.4,N780&lt;=13)</f>
        <v/>
      </c>
      <c r="P780">
        <f>IF(OR(N780&lt;1.4,N780&gt;13),"",IF(G780*1000&lt;=1170,IF(N780&lt;1.8,"1014",IF(N780&lt;2.9,"1018",IF(N780&lt;3.8,"1029",IF(N780&lt;5,"1038",IF(N780&lt;7,"1050",IF(N780&lt;9,"1070",IF(N780&lt;11,"1090","1110"))))))),IF(G780*1000&lt;=1570,IF(N780&lt;1.8,"",IF(N780&lt;2.9,"2018",IF(N780&lt;3.8,"2029",IF(N780&lt;5,"2038",IF(N780&lt;7,"2050",IF(N780&lt;9,"2070",IF(N780&lt;11,"2090","2110"))))))),IF(G780*1000&lt;=1700,IF(N780&lt;1.8,"",IF(N780&lt;2.9,"3018",IF(N780&lt;3.8,"3029",IF(N780&lt;5,"3038",IF(N780&lt;7,"3050",IF(N780&lt;9,"3070",IF(N780&lt;11,"3090","3110"))))))),""))))</f>
        <v/>
      </c>
      <c r="Q780">
        <f>AND(O780=TRUE,P780&lt;&gt;"")</f>
        <v/>
      </c>
      <c r="R780">
        <f>IF(G780*1000&lt;750,"なし","あり")</f>
        <v/>
      </c>
      <c r="S780">
        <f>IF(AND(O780=TRUE,Q780=TRUE),"設定可","BLOCK")</f>
        <v/>
      </c>
      <c r="T780" t="inlineStr">
        <is>
          <t>商品カタログ P194</t>
        </is>
      </c>
      <c r="U780" t="inlineStr">
        <is>
          <t>https://webcatalog.lixil.co.jp/iportal/CatalogDetail.do?catalogID=15191910000&amp;categoryID=1630000&amp;designID=newinter&amp;method=initial_screen&amp;position=18&amp;type=mc&amp;volumeID=LXL13001</t>
        </is>
      </c>
    </row>
    <row r="781">
      <c r="A781" t="inlineStr">
        <is>
          <t>WG-SL-00778</t>
        </is>
      </c>
      <c r="B781" t="inlineStr">
        <is>
          <t>SZ-SL-001032</t>
        </is>
      </c>
      <c r="C781" t="inlineStr">
        <is>
          <t>WT-SL-MENKOSHI-AGE-FS</t>
        </is>
      </c>
      <c r="D781" t="inlineStr">
        <is>
          <t>SP-SL-AGE-GRILLE-H</t>
        </is>
      </c>
      <c r="E781" t="inlineStr">
        <is>
          <t>06013</t>
        </is>
      </c>
      <c r="F781" t="n">
        <v>0.64</v>
      </c>
      <c r="G781" t="n">
        <v>1.37</v>
      </c>
      <c r="H781" t="inlineStr">
        <is>
          <t>GL-SL-004</t>
        </is>
      </c>
      <c r="I781" t="n">
        <v>6</v>
      </c>
      <c r="J781" t="n">
        <v>7.8</v>
      </c>
      <c r="K781" t="n">
        <v>-0.355</v>
      </c>
      <c r="L781" t="n">
        <v>-0.664</v>
      </c>
      <c r="M781" t="n">
        <v>0.335</v>
      </c>
      <c r="N781">
        <f>ROUND(J781*F781*G781+K781*G781+L781*F781+M781,3)</f>
        <v/>
      </c>
      <c r="O781">
        <f>AND(N781&gt;=1.4,N781&lt;=13)</f>
        <v/>
      </c>
      <c r="P781">
        <f>IF(OR(N781&lt;1.4,N781&gt;13),"",IF(G781*1000&lt;=1170,IF(N781&lt;1.8,"1014",IF(N781&lt;2.9,"1018",IF(N781&lt;3.8,"1029",IF(N781&lt;5,"1038",IF(N781&lt;7,"1050",IF(N781&lt;9,"1070",IF(N781&lt;11,"1090","1110"))))))),IF(G781*1000&lt;=1570,IF(N781&lt;1.8,"",IF(N781&lt;2.9,"2018",IF(N781&lt;3.8,"2029",IF(N781&lt;5,"2038",IF(N781&lt;7,"2050",IF(N781&lt;9,"2070",IF(N781&lt;11,"2090","2110"))))))),IF(G781*1000&lt;=1700,IF(N781&lt;1.8,"",IF(N781&lt;2.9,"3018",IF(N781&lt;3.8,"3029",IF(N781&lt;5,"3038",IF(N781&lt;7,"3050",IF(N781&lt;9,"3070",IF(N781&lt;11,"3090","3110"))))))),""))))</f>
        <v/>
      </c>
      <c r="Q781">
        <f>AND(O781=TRUE,P781&lt;&gt;"")</f>
        <v/>
      </c>
      <c r="R781">
        <f>IF(G781*1000&lt;750,"なし","あり")</f>
        <v/>
      </c>
      <c r="S781">
        <f>IF(AND(O781=TRUE,Q781=TRUE),"設定可","BLOCK")</f>
        <v/>
      </c>
      <c r="T781" t="inlineStr">
        <is>
          <t>商品カタログ P194</t>
        </is>
      </c>
      <c r="U781" t="inlineStr">
        <is>
          <t>https://webcatalog.lixil.co.jp/iportal/CatalogDetail.do?catalogID=15191910000&amp;categoryID=1630000&amp;designID=newinter&amp;method=initial_screen&amp;position=18&amp;type=mc&amp;volumeID=LXL13001</t>
        </is>
      </c>
    </row>
    <row r="782">
      <c r="A782" t="inlineStr">
        <is>
          <t>WG-SL-00779</t>
        </is>
      </c>
      <c r="B782" t="inlineStr">
        <is>
          <t>SZ-SL-001032</t>
        </is>
      </c>
      <c r="C782" t="inlineStr">
        <is>
          <t>WT-SL-MENKOSHI-AGE-FS</t>
        </is>
      </c>
      <c r="D782" t="inlineStr">
        <is>
          <t>SP-SL-AGE-GRILLE-H</t>
        </is>
      </c>
      <c r="E782" t="inlineStr">
        <is>
          <t>06013</t>
        </is>
      </c>
      <c r="F782" t="n">
        <v>0.64</v>
      </c>
      <c r="G782" t="n">
        <v>1.37</v>
      </c>
      <c r="H782" t="inlineStr">
        <is>
          <t>GL-SL-005</t>
        </is>
      </c>
      <c r="I782" t="n">
        <v>7</v>
      </c>
      <c r="J782" t="n">
        <v>9.1</v>
      </c>
      <c r="K782" t="n">
        <v>-0.48</v>
      </c>
      <c r="L782" t="n">
        <v>-0.998</v>
      </c>
      <c r="M782" t="n">
        <v>0.367</v>
      </c>
      <c r="N782">
        <f>ROUND(J782*F782*G782+K782*G782+L782*F782+M782,3)</f>
        <v/>
      </c>
      <c r="O782">
        <f>AND(N782&gt;=1.4,N782&lt;=13)</f>
        <v/>
      </c>
      <c r="P782">
        <f>IF(OR(N782&lt;1.4,N782&gt;13),"",IF(G782*1000&lt;=1170,IF(N782&lt;1.8,"1014",IF(N782&lt;2.9,"1018",IF(N782&lt;3.8,"1029",IF(N782&lt;5,"1038",IF(N782&lt;7,"1050",IF(N782&lt;9,"1070",IF(N782&lt;11,"1090","1110"))))))),IF(G782*1000&lt;=1570,IF(N782&lt;1.8,"",IF(N782&lt;2.9,"2018",IF(N782&lt;3.8,"2029",IF(N782&lt;5,"2038",IF(N782&lt;7,"2050",IF(N782&lt;9,"2070",IF(N782&lt;11,"2090","2110"))))))),IF(G782*1000&lt;=1700,IF(N782&lt;1.8,"",IF(N782&lt;2.9,"3018",IF(N782&lt;3.8,"3029",IF(N782&lt;5,"3038",IF(N782&lt;7,"3050",IF(N782&lt;9,"3070",IF(N782&lt;11,"3090","3110"))))))),""))))</f>
        <v/>
      </c>
      <c r="Q782">
        <f>AND(O782=TRUE,P782&lt;&gt;"")</f>
        <v/>
      </c>
      <c r="R782">
        <f>IF(G782*1000&lt;750,"なし","あり")</f>
        <v/>
      </c>
      <c r="S782">
        <f>IF(AND(O782=TRUE,Q782=TRUE),"設定可","BLOCK")</f>
        <v/>
      </c>
      <c r="T782" t="inlineStr">
        <is>
          <t>商品カタログ P194</t>
        </is>
      </c>
      <c r="U782" t="inlineStr">
        <is>
          <t>https://webcatalog.lixil.co.jp/iportal/CatalogDetail.do?catalogID=15191910000&amp;categoryID=1630000&amp;designID=newinter&amp;method=initial_screen&amp;position=18&amp;type=mc&amp;volumeID=LXL13001</t>
        </is>
      </c>
    </row>
    <row r="783">
      <c r="A783" t="inlineStr">
        <is>
          <t>WG-SL-00780</t>
        </is>
      </c>
      <c r="B783" t="inlineStr">
        <is>
          <t>SZ-SL-001032</t>
        </is>
      </c>
      <c r="C783" t="inlineStr">
        <is>
          <t>WT-SL-MENKOSHI-AGE-FS</t>
        </is>
      </c>
      <c r="D783" t="inlineStr">
        <is>
          <t>SP-SL-AGE-GRILLE-H</t>
        </is>
      </c>
      <c r="E783" t="inlineStr">
        <is>
          <t>06013</t>
        </is>
      </c>
      <c r="F783" t="n">
        <v>0.64</v>
      </c>
      <c r="G783" t="n">
        <v>1.37</v>
      </c>
      <c r="H783" t="inlineStr">
        <is>
          <t>GL-SL-006</t>
        </is>
      </c>
      <c r="I783" t="n">
        <v>8</v>
      </c>
      <c r="J783" t="n">
        <v>10.4</v>
      </c>
      <c r="K783" t="n">
        <v>-0.605</v>
      </c>
      <c r="L783" t="n">
        <v>-1.332</v>
      </c>
      <c r="M783" t="n">
        <v>0.399</v>
      </c>
      <c r="N783">
        <f>ROUND(J783*F783*G783+K783*G783+L783*F783+M783,3)</f>
        <v/>
      </c>
      <c r="O783">
        <f>AND(N783&gt;=1.4,N783&lt;=13)</f>
        <v/>
      </c>
      <c r="P783">
        <f>IF(OR(N783&lt;1.4,N783&gt;13),"",IF(G783*1000&lt;=1170,IF(N783&lt;1.8,"1014",IF(N783&lt;2.9,"1018",IF(N783&lt;3.8,"1029",IF(N783&lt;5,"1038",IF(N783&lt;7,"1050",IF(N783&lt;9,"1070",IF(N783&lt;11,"1090","1110"))))))),IF(G783*1000&lt;=1570,IF(N783&lt;1.8,"",IF(N783&lt;2.9,"2018",IF(N783&lt;3.8,"2029",IF(N783&lt;5,"2038",IF(N783&lt;7,"2050",IF(N783&lt;9,"2070",IF(N783&lt;11,"2090","2110"))))))),IF(G783*1000&lt;=1700,IF(N783&lt;1.8,"",IF(N783&lt;2.9,"3018",IF(N783&lt;3.8,"3029",IF(N783&lt;5,"3038",IF(N783&lt;7,"3050",IF(N783&lt;9,"3070",IF(N783&lt;11,"3090","3110"))))))),""))))</f>
        <v/>
      </c>
      <c r="Q783">
        <f>AND(O783=TRUE,P783&lt;&gt;"")</f>
        <v/>
      </c>
      <c r="R783">
        <f>IF(G783*1000&lt;750,"なし","あり")</f>
        <v/>
      </c>
      <c r="S783">
        <f>IF(AND(O783=TRUE,Q783=TRUE),"設定可","BLOCK")</f>
        <v/>
      </c>
      <c r="T783" t="inlineStr">
        <is>
          <t>商品カタログ P194</t>
        </is>
      </c>
      <c r="U783" t="inlineStr">
        <is>
          <t>https://webcatalog.lixil.co.jp/iportal/CatalogDetail.do?catalogID=15191910000&amp;categoryID=1630000&amp;designID=newinter&amp;method=initial_screen&amp;position=18&amp;type=mc&amp;volumeID=LXL13001</t>
        </is>
      </c>
    </row>
    <row r="784">
      <c r="A784" t="inlineStr">
        <is>
          <t>WG-SL-00781</t>
        </is>
      </c>
      <c r="B784" t="inlineStr">
        <is>
          <t>SZ-SL-001032</t>
        </is>
      </c>
      <c r="C784" t="inlineStr">
        <is>
          <t>WT-SL-MENKOSHI-AGE-FS</t>
        </is>
      </c>
      <c r="D784" t="inlineStr">
        <is>
          <t>SP-SL-AGE-GRILLE-H</t>
        </is>
      </c>
      <c r="E784" t="inlineStr">
        <is>
          <t>06013</t>
        </is>
      </c>
      <c r="F784" t="n">
        <v>0.64</v>
      </c>
      <c r="G784" t="n">
        <v>1.37</v>
      </c>
      <c r="H784" t="inlineStr">
        <is>
          <t>GL-SL-007</t>
        </is>
      </c>
      <c r="I784" t="n">
        <v>6</v>
      </c>
      <c r="J784" t="n">
        <v>7.8</v>
      </c>
      <c r="K784" t="n">
        <v>-0.355</v>
      </c>
      <c r="L784" t="n">
        <v>-0.664</v>
      </c>
      <c r="M784" t="n">
        <v>0.335</v>
      </c>
      <c r="N784">
        <f>ROUND(J784*F784*G784+K784*G784+L784*F784+M784,3)</f>
        <v/>
      </c>
      <c r="O784">
        <f>AND(N784&gt;=1.4,N784&lt;=13)</f>
        <v/>
      </c>
      <c r="P784">
        <f>IF(OR(N784&lt;1.4,N784&gt;13),"",IF(G784*1000&lt;=1170,IF(N784&lt;1.8,"1014",IF(N784&lt;2.9,"1018",IF(N784&lt;3.8,"1029",IF(N784&lt;5,"1038",IF(N784&lt;7,"1050",IF(N784&lt;9,"1070",IF(N784&lt;11,"1090","1110"))))))),IF(G784*1000&lt;=1570,IF(N784&lt;1.8,"",IF(N784&lt;2.9,"2018",IF(N784&lt;3.8,"2029",IF(N784&lt;5,"2038",IF(N784&lt;7,"2050",IF(N784&lt;9,"2070",IF(N784&lt;11,"2090","2110"))))))),IF(G784*1000&lt;=1700,IF(N784&lt;1.8,"",IF(N784&lt;2.9,"3018",IF(N784&lt;3.8,"3029",IF(N784&lt;5,"3038",IF(N784&lt;7,"3050",IF(N784&lt;9,"3070",IF(N784&lt;11,"3090","3110"))))))),""))))</f>
        <v/>
      </c>
      <c r="Q784">
        <f>AND(O784=TRUE,P784&lt;&gt;"")</f>
        <v/>
      </c>
      <c r="R784">
        <f>IF(G784*1000&lt;750,"なし","あり")</f>
        <v/>
      </c>
      <c r="S784">
        <f>IF(AND(O784=TRUE,Q784=TRUE),"設定可","BLOCK")</f>
        <v/>
      </c>
      <c r="T784" t="inlineStr">
        <is>
          <t>商品カタログ P194</t>
        </is>
      </c>
      <c r="U784" t="inlineStr">
        <is>
          <t>https://webcatalog.lixil.co.jp/iportal/CatalogDetail.do?catalogID=15191910000&amp;categoryID=1630000&amp;designID=newinter&amp;method=initial_screen&amp;position=18&amp;type=mc&amp;volumeID=LXL13001</t>
        </is>
      </c>
    </row>
    <row r="785">
      <c r="A785" t="inlineStr">
        <is>
          <t>WG-SL-00782</t>
        </is>
      </c>
      <c r="B785" t="inlineStr">
        <is>
          <t>SZ-SL-001032</t>
        </is>
      </c>
      <c r="C785" t="inlineStr">
        <is>
          <t>WT-SL-MENKOSHI-AGE-FS</t>
        </is>
      </c>
      <c r="D785" t="inlineStr">
        <is>
          <t>SP-SL-AGE-GRILLE-H</t>
        </is>
      </c>
      <c r="E785" t="inlineStr">
        <is>
          <t>06013</t>
        </is>
      </c>
      <c r="F785" t="n">
        <v>0.64</v>
      </c>
      <c r="G785" t="n">
        <v>1.37</v>
      </c>
      <c r="H785" t="inlineStr">
        <is>
          <t>GL-SL-008</t>
        </is>
      </c>
      <c r="I785" t="n">
        <v>7</v>
      </c>
      <c r="J785" t="n">
        <v>9.1</v>
      </c>
      <c r="K785" t="n">
        <v>-0.48</v>
      </c>
      <c r="L785" t="n">
        <v>-0.998</v>
      </c>
      <c r="M785" t="n">
        <v>0.367</v>
      </c>
      <c r="N785">
        <f>ROUND(J785*F785*G785+K785*G785+L785*F785+M785,3)</f>
        <v/>
      </c>
      <c r="O785">
        <f>AND(N785&gt;=1.4,N785&lt;=13)</f>
        <v/>
      </c>
      <c r="P785">
        <f>IF(OR(N785&lt;1.4,N785&gt;13),"",IF(G785*1000&lt;=1170,IF(N785&lt;1.8,"1014",IF(N785&lt;2.9,"1018",IF(N785&lt;3.8,"1029",IF(N785&lt;5,"1038",IF(N785&lt;7,"1050",IF(N785&lt;9,"1070",IF(N785&lt;11,"1090","1110"))))))),IF(G785*1000&lt;=1570,IF(N785&lt;1.8,"",IF(N785&lt;2.9,"2018",IF(N785&lt;3.8,"2029",IF(N785&lt;5,"2038",IF(N785&lt;7,"2050",IF(N785&lt;9,"2070",IF(N785&lt;11,"2090","2110"))))))),IF(G785*1000&lt;=1700,IF(N785&lt;1.8,"",IF(N785&lt;2.9,"3018",IF(N785&lt;3.8,"3029",IF(N785&lt;5,"3038",IF(N785&lt;7,"3050",IF(N785&lt;9,"3070",IF(N785&lt;11,"3090","3110"))))))),""))))</f>
        <v/>
      </c>
      <c r="Q785">
        <f>AND(O785=TRUE,P785&lt;&gt;"")</f>
        <v/>
      </c>
      <c r="R785">
        <f>IF(G785*1000&lt;750,"なし","あり")</f>
        <v/>
      </c>
      <c r="S785">
        <f>IF(AND(O785=TRUE,Q785=TRUE),"設定可","BLOCK")</f>
        <v/>
      </c>
      <c r="T785" t="inlineStr">
        <is>
          <t>商品カタログ P194</t>
        </is>
      </c>
      <c r="U785" t="inlineStr">
        <is>
          <t>https://webcatalog.lixil.co.jp/iportal/CatalogDetail.do?catalogID=15191910000&amp;categoryID=1630000&amp;designID=newinter&amp;method=initial_screen&amp;position=18&amp;type=mc&amp;volumeID=LXL13001</t>
        </is>
      </c>
    </row>
    <row r="786">
      <c r="A786" t="inlineStr">
        <is>
          <t>WG-SL-00783</t>
        </is>
      </c>
      <c r="B786" t="inlineStr">
        <is>
          <t>SZ-SL-001032</t>
        </is>
      </c>
      <c r="C786" t="inlineStr">
        <is>
          <t>WT-SL-MENKOSHI-AGE-FS</t>
        </is>
      </c>
      <c r="D786" t="inlineStr">
        <is>
          <t>SP-SL-AGE-GRILLE-H</t>
        </is>
      </c>
      <c r="E786" t="inlineStr">
        <is>
          <t>06013</t>
        </is>
      </c>
      <c r="F786" t="n">
        <v>0.64</v>
      </c>
      <c r="G786" t="n">
        <v>1.37</v>
      </c>
      <c r="H786" t="inlineStr">
        <is>
          <t>GL-SL-009</t>
        </is>
      </c>
      <c r="I786" t="n">
        <v>8</v>
      </c>
      <c r="J786" t="n">
        <v>10.4</v>
      </c>
      <c r="K786" t="n">
        <v>-0.605</v>
      </c>
      <c r="L786" t="n">
        <v>-1.332</v>
      </c>
      <c r="M786" t="n">
        <v>0.399</v>
      </c>
      <c r="N786">
        <f>ROUND(J786*F786*G786+K786*G786+L786*F786+M786,3)</f>
        <v/>
      </c>
      <c r="O786">
        <f>AND(N786&gt;=1.4,N786&lt;=13)</f>
        <v/>
      </c>
      <c r="P786">
        <f>IF(OR(N786&lt;1.4,N786&gt;13),"",IF(G786*1000&lt;=1170,IF(N786&lt;1.8,"1014",IF(N786&lt;2.9,"1018",IF(N786&lt;3.8,"1029",IF(N786&lt;5,"1038",IF(N786&lt;7,"1050",IF(N786&lt;9,"1070",IF(N786&lt;11,"1090","1110"))))))),IF(G786*1000&lt;=1570,IF(N786&lt;1.8,"",IF(N786&lt;2.9,"2018",IF(N786&lt;3.8,"2029",IF(N786&lt;5,"2038",IF(N786&lt;7,"2050",IF(N786&lt;9,"2070",IF(N786&lt;11,"2090","2110"))))))),IF(G786*1000&lt;=1700,IF(N786&lt;1.8,"",IF(N786&lt;2.9,"3018",IF(N786&lt;3.8,"3029",IF(N786&lt;5,"3038",IF(N786&lt;7,"3050",IF(N786&lt;9,"3070",IF(N786&lt;11,"3090","3110"))))))),""))))</f>
        <v/>
      </c>
      <c r="Q786">
        <f>AND(O786=TRUE,P786&lt;&gt;"")</f>
        <v/>
      </c>
      <c r="R786">
        <f>IF(G786*1000&lt;750,"なし","あり")</f>
        <v/>
      </c>
      <c r="S786">
        <f>IF(AND(O786=TRUE,Q786=TRUE),"設定可","BLOCK")</f>
        <v/>
      </c>
      <c r="T786" t="inlineStr">
        <is>
          <t>商品カタログ P194</t>
        </is>
      </c>
      <c r="U786" t="inlineStr">
        <is>
          <t>https://webcatalog.lixil.co.jp/iportal/CatalogDetail.do?catalogID=15191910000&amp;categoryID=1630000&amp;designID=newinter&amp;method=initial_screen&amp;position=18&amp;type=mc&amp;volumeID=LXL13001</t>
        </is>
      </c>
    </row>
    <row r="787">
      <c r="A787" t="inlineStr">
        <is>
          <t>WG-SL-00784</t>
        </is>
      </c>
      <c r="B787" t="inlineStr">
        <is>
          <t>SZ-SL-001033</t>
        </is>
      </c>
      <c r="C787" t="inlineStr">
        <is>
          <t>WT-SL-MENKOSHI-AGE-FS</t>
        </is>
      </c>
      <c r="D787" t="inlineStr">
        <is>
          <t>SP-SL-AGE-GRILLE-H</t>
        </is>
      </c>
      <c r="E787" t="inlineStr">
        <is>
          <t>06913</t>
        </is>
      </c>
      <c r="F787" t="n">
        <v>0.73</v>
      </c>
      <c r="G787" t="n">
        <v>1.37</v>
      </c>
      <c r="H787" t="inlineStr">
        <is>
          <t>GL-SL-001</t>
        </is>
      </c>
      <c r="I787" t="n">
        <v>6</v>
      </c>
      <c r="J787" t="n">
        <v>7.8</v>
      </c>
      <c r="K787" t="n">
        <v>-0.355</v>
      </c>
      <c r="L787" t="n">
        <v>-0.664</v>
      </c>
      <c r="M787" t="n">
        <v>0.335</v>
      </c>
      <c r="N787">
        <f>ROUND(J787*F787*G787+K787*G787+L787*F787+M787,3)</f>
        <v/>
      </c>
      <c r="O787">
        <f>AND(N787&gt;=1.4,N787&lt;=13)</f>
        <v/>
      </c>
      <c r="P787">
        <f>IF(OR(N787&lt;1.4,N787&gt;13),"",IF(G787*1000&lt;=1170,IF(N787&lt;1.8,"1014",IF(N787&lt;2.9,"1018",IF(N787&lt;3.8,"1029",IF(N787&lt;5,"1038",IF(N787&lt;7,"1050",IF(N787&lt;9,"1070",IF(N787&lt;11,"1090","1110"))))))),IF(G787*1000&lt;=1570,IF(N787&lt;1.8,"",IF(N787&lt;2.9,"2018",IF(N787&lt;3.8,"2029",IF(N787&lt;5,"2038",IF(N787&lt;7,"2050",IF(N787&lt;9,"2070",IF(N787&lt;11,"2090","2110"))))))),IF(G787*1000&lt;=1700,IF(N787&lt;1.8,"",IF(N787&lt;2.9,"3018",IF(N787&lt;3.8,"3029",IF(N787&lt;5,"3038",IF(N787&lt;7,"3050",IF(N787&lt;9,"3070",IF(N787&lt;11,"3090","3110"))))))),""))))</f>
        <v/>
      </c>
      <c r="Q787">
        <f>AND(O787=TRUE,P787&lt;&gt;"")</f>
        <v/>
      </c>
      <c r="R787">
        <f>IF(G787*1000&lt;750,"なし","あり")</f>
        <v/>
      </c>
      <c r="S787">
        <f>IF(AND(O787=TRUE,Q787=TRUE),"設定可","BLOCK")</f>
        <v/>
      </c>
      <c r="T787" t="inlineStr">
        <is>
          <t>商品カタログ P194</t>
        </is>
      </c>
      <c r="U787" t="inlineStr">
        <is>
          <t>https://webcatalog.lixil.co.jp/iportal/CatalogDetail.do?catalogID=15191910000&amp;categoryID=1630000&amp;designID=newinter&amp;method=initial_screen&amp;position=18&amp;type=mc&amp;volumeID=LXL13001</t>
        </is>
      </c>
    </row>
    <row r="788">
      <c r="A788" t="inlineStr">
        <is>
          <t>WG-SL-00785</t>
        </is>
      </c>
      <c r="B788" t="inlineStr">
        <is>
          <t>SZ-SL-001033</t>
        </is>
      </c>
      <c r="C788" t="inlineStr">
        <is>
          <t>WT-SL-MENKOSHI-AGE-FS</t>
        </is>
      </c>
      <c r="D788" t="inlineStr">
        <is>
          <t>SP-SL-AGE-GRILLE-H</t>
        </is>
      </c>
      <c r="E788" t="inlineStr">
        <is>
          <t>06913</t>
        </is>
      </c>
      <c r="F788" t="n">
        <v>0.73</v>
      </c>
      <c r="G788" t="n">
        <v>1.37</v>
      </c>
      <c r="H788" t="inlineStr">
        <is>
          <t>GL-SL-002</t>
        </is>
      </c>
      <c r="I788" t="n">
        <v>7</v>
      </c>
      <c r="J788" t="n">
        <v>9.1</v>
      </c>
      <c r="K788" t="n">
        <v>-0.48</v>
      </c>
      <c r="L788" t="n">
        <v>-0.998</v>
      </c>
      <c r="M788" t="n">
        <v>0.367</v>
      </c>
      <c r="N788">
        <f>ROUND(J788*F788*G788+K788*G788+L788*F788+M788,3)</f>
        <v/>
      </c>
      <c r="O788">
        <f>AND(N788&gt;=1.4,N788&lt;=13)</f>
        <v/>
      </c>
      <c r="P788">
        <f>IF(OR(N788&lt;1.4,N788&gt;13),"",IF(G788*1000&lt;=1170,IF(N788&lt;1.8,"1014",IF(N788&lt;2.9,"1018",IF(N788&lt;3.8,"1029",IF(N788&lt;5,"1038",IF(N788&lt;7,"1050",IF(N788&lt;9,"1070",IF(N788&lt;11,"1090","1110"))))))),IF(G788*1000&lt;=1570,IF(N788&lt;1.8,"",IF(N788&lt;2.9,"2018",IF(N788&lt;3.8,"2029",IF(N788&lt;5,"2038",IF(N788&lt;7,"2050",IF(N788&lt;9,"2070",IF(N788&lt;11,"2090","2110"))))))),IF(G788*1000&lt;=1700,IF(N788&lt;1.8,"",IF(N788&lt;2.9,"3018",IF(N788&lt;3.8,"3029",IF(N788&lt;5,"3038",IF(N788&lt;7,"3050",IF(N788&lt;9,"3070",IF(N788&lt;11,"3090","3110"))))))),""))))</f>
        <v/>
      </c>
      <c r="Q788">
        <f>AND(O788=TRUE,P788&lt;&gt;"")</f>
        <v/>
      </c>
      <c r="R788">
        <f>IF(G788*1000&lt;750,"なし","あり")</f>
        <v/>
      </c>
      <c r="S788">
        <f>IF(AND(O788=TRUE,Q788=TRUE),"設定可","BLOCK")</f>
        <v/>
      </c>
      <c r="T788" t="inlineStr">
        <is>
          <t>商品カタログ P194</t>
        </is>
      </c>
      <c r="U788" t="inlineStr">
        <is>
          <t>https://webcatalog.lixil.co.jp/iportal/CatalogDetail.do?catalogID=15191910000&amp;categoryID=1630000&amp;designID=newinter&amp;method=initial_screen&amp;position=18&amp;type=mc&amp;volumeID=LXL13001</t>
        </is>
      </c>
    </row>
    <row r="789">
      <c r="A789" t="inlineStr">
        <is>
          <t>WG-SL-00786</t>
        </is>
      </c>
      <c r="B789" t="inlineStr">
        <is>
          <t>SZ-SL-001033</t>
        </is>
      </c>
      <c r="C789" t="inlineStr">
        <is>
          <t>WT-SL-MENKOSHI-AGE-FS</t>
        </is>
      </c>
      <c r="D789" t="inlineStr">
        <is>
          <t>SP-SL-AGE-GRILLE-H</t>
        </is>
      </c>
      <c r="E789" t="inlineStr">
        <is>
          <t>06913</t>
        </is>
      </c>
      <c r="F789" t="n">
        <v>0.73</v>
      </c>
      <c r="G789" t="n">
        <v>1.37</v>
      </c>
      <c r="H789" t="inlineStr">
        <is>
          <t>GL-SL-003</t>
        </is>
      </c>
      <c r="I789" t="n">
        <v>8</v>
      </c>
      <c r="J789" t="n">
        <v>10.4</v>
      </c>
      <c r="K789" t="n">
        <v>-0.605</v>
      </c>
      <c r="L789" t="n">
        <v>-1.332</v>
      </c>
      <c r="M789" t="n">
        <v>0.399</v>
      </c>
      <c r="N789">
        <f>ROUND(J789*F789*G789+K789*G789+L789*F789+M789,3)</f>
        <v/>
      </c>
      <c r="O789">
        <f>AND(N789&gt;=1.4,N789&lt;=13)</f>
        <v/>
      </c>
      <c r="P789">
        <f>IF(OR(N789&lt;1.4,N789&gt;13),"",IF(G789*1000&lt;=1170,IF(N789&lt;1.8,"1014",IF(N789&lt;2.9,"1018",IF(N789&lt;3.8,"1029",IF(N789&lt;5,"1038",IF(N789&lt;7,"1050",IF(N789&lt;9,"1070",IF(N789&lt;11,"1090","1110"))))))),IF(G789*1000&lt;=1570,IF(N789&lt;1.8,"",IF(N789&lt;2.9,"2018",IF(N789&lt;3.8,"2029",IF(N789&lt;5,"2038",IF(N789&lt;7,"2050",IF(N789&lt;9,"2070",IF(N789&lt;11,"2090","2110"))))))),IF(G789*1000&lt;=1700,IF(N789&lt;1.8,"",IF(N789&lt;2.9,"3018",IF(N789&lt;3.8,"3029",IF(N789&lt;5,"3038",IF(N789&lt;7,"3050",IF(N789&lt;9,"3070",IF(N789&lt;11,"3090","3110"))))))),""))))</f>
        <v/>
      </c>
      <c r="Q789">
        <f>AND(O789=TRUE,P789&lt;&gt;"")</f>
        <v/>
      </c>
      <c r="R789">
        <f>IF(G789*1000&lt;750,"なし","あり")</f>
        <v/>
      </c>
      <c r="S789">
        <f>IF(AND(O789=TRUE,Q789=TRUE),"設定可","BLOCK")</f>
        <v/>
      </c>
      <c r="T789" t="inlineStr">
        <is>
          <t>商品カタログ P194</t>
        </is>
      </c>
      <c r="U789" t="inlineStr">
        <is>
          <t>https://webcatalog.lixil.co.jp/iportal/CatalogDetail.do?catalogID=15191910000&amp;categoryID=1630000&amp;designID=newinter&amp;method=initial_screen&amp;position=18&amp;type=mc&amp;volumeID=LXL13001</t>
        </is>
      </c>
    </row>
    <row r="790">
      <c r="A790" t="inlineStr">
        <is>
          <t>WG-SL-00787</t>
        </is>
      </c>
      <c r="B790" t="inlineStr">
        <is>
          <t>SZ-SL-001033</t>
        </is>
      </c>
      <c r="C790" t="inlineStr">
        <is>
          <t>WT-SL-MENKOSHI-AGE-FS</t>
        </is>
      </c>
      <c r="D790" t="inlineStr">
        <is>
          <t>SP-SL-AGE-GRILLE-H</t>
        </is>
      </c>
      <c r="E790" t="inlineStr">
        <is>
          <t>06913</t>
        </is>
      </c>
      <c r="F790" t="n">
        <v>0.73</v>
      </c>
      <c r="G790" t="n">
        <v>1.37</v>
      </c>
      <c r="H790" t="inlineStr">
        <is>
          <t>GL-SL-004</t>
        </is>
      </c>
      <c r="I790" t="n">
        <v>6</v>
      </c>
      <c r="J790" t="n">
        <v>7.8</v>
      </c>
      <c r="K790" t="n">
        <v>-0.355</v>
      </c>
      <c r="L790" t="n">
        <v>-0.664</v>
      </c>
      <c r="M790" t="n">
        <v>0.335</v>
      </c>
      <c r="N790">
        <f>ROUND(J790*F790*G790+K790*G790+L790*F790+M790,3)</f>
        <v/>
      </c>
      <c r="O790">
        <f>AND(N790&gt;=1.4,N790&lt;=13)</f>
        <v/>
      </c>
      <c r="P790">
        <f>IF(OR(N790&lt;1.4,N790&gt;13),"",IF(G790*1000&lt;=1170,IF(N790&lt;1.8,"1014",IF(N790&lt;2.9,"1018",IF(N790&lt;3.8,"1029",IF(N790&lt;5,"1038",IF(N790&lt;7,"1050",IF(N790&lt;9,"1070",IF(N790&lt;11,"1090","1110"))))))),IF(G790*1000&lt;=1570,IF(N790&lt;1.8,"",IF(N790&lt;2.9,"2018",IF(N790&lt;3.8,"2029",IF(N790&lt;5,"2038",IF(N790&lt;7,"2050",IF(N790&lt;9,"2070",IF(N790&lt;11,"2090","2110"))))))),IF(G790*1000&lt;=1700,IF(N790&lt;1.8,"",IF(N790&lt;2.9,"3018",IF(N790&lt;3.8,"3029",IF(N790&lt;5,"3038",IF(N790&lt;7,"3050",IF(N790&lt;9,"3070",IF(N790&lt;11,"3090","3110"))))))),""))))</f>
        <v/>
      </c>
      <c r="Q790">
        <f>AND(O790=TRUE,P790&lt;&gt;"")</f>
        <v/>
      </c>
      <c r="R790">
        <f>IF(G790*1000&lt;750,"なし","あり")</f>
        <v/>
      </c>
      <c r="S790">
        <f>IF(AND(O790=TRUE,Q790=TRUE),"設定可","BLOCK")</f>
        <v/>
      </c>
      <c r="T790" t="inlineStr">
        <is>
          <t>商品カタログ P194</t>
        </is>
      </c>
      <c r="U790" t="inlineStr">
        <is>
          <t>https://webcatalog.lixil.co.jp/iportal/CatalogDetail.do?catalogID=15191910000&amp;categoryID=1630000&amp;designID=newinter&amp;method=initial_screen&amp;position=18&amp;type=mc&amp;volumeID=LXL13001</t>
        </is>
      </c>
    </row>
    <row r="791">
      <c r="A791" t="inlineStr">
        <is>
          <t>WG-SL-00788</t>
        </is>
      </c>
      <c r="B791" t="inlineStr">
        <is>
          <t>SZ-SL-001033</t>
        </is>
      </c>
      <c r="C791" t="inlineStr">
        <is>
          <t>WT-SL-MENKOSHI-AGE-FS</t>
        </is>
      </c>
      <c r="D791" t="inlineStr">
        <is>
          <t>SP-SL-AGE-GRILLE-H</t>
        </is>
      </c>
      <c r="E791" t="inlineStr">
        <is>
          <t>06913</t>
        </is>
      </c>
      <c r="F791" t="n">
        <v>0.73</v>
      </c>
      <c r="G791" t="n">
        <v>1.37</v>
      </c>
      <c r="H791" t="inlineStr">
        <is>
          <t>GL-SL-005</t>
        </is>
      </c>
      <c r="I791" t="n">
        <v>7</v>
      </c>
      <c r="J791" t="n">
        <v>9.1</v>
      </c>
      <c r="K791" t="n">
        <v>-0.48</v>
      </c>
      <c r="L791" t="n">
        <v>-0.998</v>
      </c>
      <c r="M791" t="n">
        <v>0.367</v>
      </c>
      <c r="N791">
        <f>ROUND(J791*F791*G791+K791*G791+L791*F791+M791,3)</f>
        <v/>
      </c>
      <c r="O791">
        <f>AND(N791&gt;=1.4,N791&lt;=13)</f>
        <v/>
      </c>
      <c r="P791">
        <f>IF(OR(N791&lt;1.4,N791&gt;13),"",IF(G791*1000&lt;=1170,IF(N791&lt;1.8,"1014",IF(N791&lt;2.9,"1018",IF(N791&lt;3.8,"1029",IF(N791&lt;5,"1038",IF(N791&lt;7,"1050",IF(N791&lt;9,"1070",IF(N791&lt;11,"1090","1110"))))))),IF(G791*1000&lt;=1570,IF(N791&lt;1.8,"",IF(N791&lt;2.9,"2018",IF(N791&lt;3.8,"2029",IF(N791&lt;5,"2038",IF(N791&lt;7,"2050",IF(N791&lt;9,"2070",IF(N791&lt;11,"2090","2110"))))))),IF(G791*1000&lt;=1700,IF(N791&lt;1.8,"",IF(N791&lt;2.9,"3018",IF(N791&lt;3.8,"3029",IF(N791&lt;5,"3038",IF(N791&lt;7,"3050",IF(N791&lt;9,"3070",IF(N791&lt;11,"3090","3110"))))))),""))))</f>
        <v/>
      </c>
      <c r="Q791">
        <f>AND(O791=TRUE,P791&lt;&gt;"")</f>
        <v/>
      </c>
      <c r="R791">
        <f>IF(G791*1000&lt;750,"なし","あり")</f>
        <v/>
      </c>
      <c r="S791">
        <f>IF(AND(O791=TRUE,Q791=TRUE),"設定可","BLOCK")</f>
        <v/>
      </c>
      <c r="T791" t="inlineStr">
        <is>
          <t>商品カタログ P194</t>
        </is>
      </c>
      <c r="U791" t="inlineStr">
        <is>
          <t>https://webcatalog.lixil.co.jp/iportal/CatalogDetail.do?catalogID=15191910000&amp;categoryID=1630000&amp;designID=newinter&amp;method=initial_screen&amp;position=18&amp;type=mc&amp;volumeID=LXL13001</t>
        </is>
      </c>
    </row>
    <row r="792">
      <c r="A792" t="inlineStr">
        <is>
          <t>WG-SL-00789</t>
        </is>
      </c>
      <c r="B792" t="inlineStr">
        <is>
          <t>SZ-SL-001033</t>
        </is>
      </c>
      <c r="C792" t="inlineStr">
        <is>
          <t>WT-SL-MENKOSHI-AGE-FS</t>
        </is>
      </c>
      <c r="D792" t="inlineStr">
        <is>
          <t>SP-SL-AGE-GRILLE-H</t>
        </is>
      </c>
      <c r="E792" t="inlineStr">
        <is>
          <t>06913</t>
        </is>
      </c>
      <c r="F792" t="n">
        <v>0.73</v>
      </c>
      <c r="G792" t="n">
        <v>1.37</v>
      </c>
      <c r="H792" t="inlineStr">
        <is>
          <t>GL-SL-006</t>
        </is>
      </c>
      <c r="I792" t="n">
        <v>8</v>
      </c>
      <c r="J792" t="n">
        <v>10.4</v>
      </c>
      <c r="K792" t="n">
        <v>-0.605</v>
      </c>
      <c r="L792" t="n">
        <v>-1.332</v>
      </c>
      <c r="M792" t="n">
        <v>0.399</v>
      </c>
      <c r="N792">
        <f>ROUND(J792*F792*G792+K792*G792+L792*F792+M792,3)</f>
        <v/>
      </c>
      <c r="O792">
        <f>AND(N792&gt;=1.4,N792&lt;=13)</f>
        <v/>
      </c>
      <c r="P792">
        <f>IF(OR(N792&lt;1.4,N792&gt;13),"",IF(G792*1000&lt;=1170,IF(N792&lt;1.8,"1014",IF(N792&lt;2.9,"1018",IF(N792&lt;3.8,"1029",IF(N792&lt;5,"1038",IF(N792&lt;7,"1050",IF(N792&lt;9,"1070",IF(N792&lt;11,"1090","1110"))))))),IF(G792*1000&lt;=1570,IF(N792&lt;1.8,"",IF(N792&lt;2.9,"2018",IF(N792&lt;3.8,"2029",IF(N792&lt;5,"2038",IF(N792&lt;7,"2050",IF(N792&lt;9,"2070",IF(N792&lt;11,"2090","2110"))))))),IF(G792*1000&lt;=1700,IF(N792&lt;1.8,"",IF(N792&lt;2.9,"3018",IF(N792&lt;3.8,"3029",IF(N792&lt;5,"3038",IF(N792&lt;7,"3050",IF(N792&lt;9,"3070",IF(N792&lt;11,"3090","3110"))))))),""))))</f>
        <v/>
      </c>
      <c r="Q792">
        <f>AND(O792=TRUE,P792&lt;&gt;"")</f>
        <v/>
      </c>
      <c r="R792">
        <f>IF(G792*1000&lt;750,"なし","あり")</f>
        <v/>
      </c>
      <c r="S792">
        <f>IF(AND(O792=TRUE,Q792=TRUE),"設定可","BLOCK")</f>
        <v/>
      </c>
      <c r="T792" t="inlineStr">
        <is>
          <t>商品カタログ P194</t>
        </is>
      </c>
      <c r="U792" t="inlineStr">
        <is>
          <t>https://webcatalog.lixil.co.jp/iportal/CatalogDetail.do?catalogID=15191910000&amp;categoryID=1630000&amp;designID=newinter&amp;method=initial_screen&amp;position=18&amp;type=mc&amp;volumeID=LXL13001</t>
        </is>
      </c>
    </row>
    <row r="793">
      <c r="A793" t="inlineStr">
        <is>
          <t>WG-SL-00790</t>
        </is>
      </c>
      <c r="B793" t="inlineStr">
        <is>
          <t>SZ-SL-001033</t>
        </is>
      </c>
      <c r="C793" t="inlineStr">
        <is>
          <t>WT-SL-MENKOSHI-AGE-FS</t>
        </is>
      </c>
      <c r="D793" t="inlineStr">
        <is>
          <t>SP-SL-AGE-GRILLE-H</t>
        </is>
      </c>
      <c r="E793" t="inlineStr">
        <is>
          <t>06913</t>
        </is>
      </c>
      <c r="F793" t="n">
        <v>0.73</v>
      </c>
      <c r="G793" t="n">
        <v>1.37</v>
      </c>
      <c r="H793" t="inlineStr">
        <is>
          <t>GL-SL-007</t>
        </is>
      </c>
      <c r="I793" t="n">
        <v>6</v>
      </c>
      <c r="J793" t="n">
        <v>7.8</v>
      </c>
      <c r="K793" t="n">
        <v>-0.355</v>
      </c>
      <c r="L793" t="n">
        <v>-0.664</v>
      </c>
      <c r="M793" t="n">
        <v>0.335</v>
      </c>
      <c r="N793">
        <f>ROUND(J793*F793*G793+K793*G793+L793*F793+M793,3)</f>
        <v/>
      </c>
      <c r="O793">
        <f>AND(N793&gt;=1.4,N793&lt;=13)</f>
        <v/>
      </c>
      <c r="P793">
        <f>IF(OR(N793&lt;1.4,N793&gt;13),"",IF(G793*1000&lt;=1170,IF(N793&lt;1.8,"1014",IF(N793&lt;2.9,"1018",IF(N793&lt;3.8,"1029",IF(N793&lt;5,"1038",IF(N793&lt;7,"1050",IF(N793&lt;9,"1070",IF(N793&lt;11,"1090","1110"))))))),IF(G793*1000&lt;=1570,IF(N793&lt;1.8,"",IF(N793&lt;2.9,"2018",IF(N793&lt;3.8,"2029",IF(N793&lt;5,"2038",IF(N793&lt;7,"2050",IF(N793&lt;9,"2070",IF(N793&lt;11,"2090","2110"))))))),IF(G793*1000&lt;=1700,IF(N793&lt;1.8,"",IF(N793&lt;2.9,"3018",IF(N793&lt;3.8,"3029",IF(N793&lt;5,"3038",IF(N793&lt;7,"3050",IF(N793&lt;9,"3070",IF(N793&lt;11,"3090","3110"))))))),""))))</f>
        <v/>
      </c>
      <c r="Q793">
        <f>AND(O793=TRUE,P793&lt;&gt;"")</f>
        <v/>
      </c>
      <c r="R793">
        <f>IF(G793*1000&lt;750,"なし","あり")</f>
        <v/>
      </c>
      <c r="S793">
        <f>IF(AND(O793=TRUE,Q793=TRUE),"設定可","BLOCK")</f>
        <v/>
      </c>
      <c r="T793" t="inlineStr">
        <is>
          <t>商品カタログ P194</t>
        </is>
      </c>
      <c r="U793" t="inlineStr">
        <is>
          <t>https://webcatalog.lixil.co.jp/iportal/CatalogDetail.do?catalogID=15191910000&amp;categoryID=1630000&amp;designID=newinter&amp;method=initial_screen&amp;position=18&amp;type=mc&amp;volumeID=LXL13001</t>
        </is>
      </c>
    </row>
    <row r="794">
      <c r="A794" t="inlineStr">
        <is>
          <t>WG-SL-00791</t>
        </is>
      </c>
      <c r="B794" t="inlineStr">
        <is>
          <t>SZ-SL-001033</t>
        </is>
      </c>
      <c r="C794" t="inlineStr">
        <is>
          <t>WT-SL-MENKOSHI-AGE-FS</t>
        </is>
      </c>
      <c r="D794" t="inlineStr">
        <is>
          <t>SP-SL-AGE-GRILLE-H</t>
        </is>
      </c>
      <c r="E794" t="inlineStr">
        <is>
          <t>06913</t>
        </is>
      </c>
      <c r="F794" t="n">
        <v>0.73</v>
      </c>
      <c r="G794" t="n">
        <v>1.37</v>
      </c>
      <c r="H794" t="inlineStr">
        <is>
          <t>GL-SL-008</t>
        </is>
      </c>
      <c r="I794" t="n">
        <v>7</v>
      </c>
      <c r="J794" t="n">
        <v>9.1</v>
      </c>
      <c r="K794" t="n">
        <v>-0.48</v>
      </c>
      <c r="L794" t="n">
        <v>-0.998</v>
      </c>
      <c r="M794" t="n">
        <v>0.367</v>
      </c>
      <c r="N794">
        <f>ROUND(J794*F794*G794+K794*G794+L794*F794+M794,3)</f>
        <v/>
      </c>
      <c r="O794">
        <f>AND(N794&gt;=1.4,N794&lt;=13)</f>
        <v/>
      </c>
      <c r="P794">
        <f>IF(OR(N794&lt;1.4,N794&gt;13),"",IF(G794*1000&lt;=1170,IF(N794&lt;1.8,"1014",IF(N794&lt;2.9,"1018",IF(N794&lt;3.8,"1029",IF(N794&lt;5,"1038",IF(N794&lt;7,"1050",IF(N794&lt;9,"1070",IF(N794&lt;11,"1090","1110"))))))),IF(G794*1000&lt;=1570,IF(N794&lt;1.8,"",IF(N794&lt;2.9,"2018",IF(N794&lt;3.8,"2029",IF(N794&lt;5,"2038",IF(N794&lt;7,"2050",IF(N794&lt;9,"2070",IF(N794&lt;11,"2090","2110"))))))),IF(G794*1000&lt;=1700,IF(N794&lt;1.8,"",IF(N794&lt;2.9,"3018",IF(N794&lt;3.8,"3029",IF(N794&lt;5,"3038",IF(N794&lt;7,"3050",IF(N794&lt;9,"3070",IF(N794&lt;11,"3090","3110"))))))),""))))</f>
        <v/>
      </c>
      <c r="Q794">
        <f>AND(O794=TRUE,P794&lt;&gt;"")</f>
        <v/>
      </c>
      <c r="R794">
        <f>IF(G794*1000&lt;750,"なし","あり")</f>
        <v/>
      </c>
      <c r="S794">
        <f>IF(AND(O794=TRUE,Q794=TRUE),"設定可","BLOCK")</f>
        <v/>
      </c>
      <c r="T794" t="inlineStr">
        <is>
          <t>商品カタログ P194</t>
        </is>
      </c>
      <c r="U794" t="inlineStr">
        <is>
          <t>https://webcatalog.lixil.co.jp/iportal/CatalogDetail.do?catalogID=15191910000&amp;categoryID=1630000&amp;designID=newinter&amp;method=initial_screen&amp;position=18&amp;type=mc&amp;volumeID=LXL13001</t>
        </is>
      </c>
    </row>
    <row r="795">
      <c r="A795" t="inlineStr">
        <is>
          <t>WG-SL-00792</t>
        </is>
      </c>
      <c r="B795" t="inlineStr">
        <is>
          <t>SZ-SL-001033</t>
        </is>
      </c>
      <c r="C795" t="inlineStr">
        <is>
          <t>WT-SL-MENKOSHI-AGE-FS</t>
        </is>
      </c>
      <c r="D795" t="inlineStr">
        <is>
          <t>SP-SL-AGE-GRILLE-H</t>
        </is>
      </c>
      <c r="E795" t="inlineStr">
        <is>
          <t>06913</t>
        </is>
      </c>
      <c r="F795" t="n">
        <v>0.73</v>
      </c>
      <c r="G795" t="n">
        <v>1.37</v>
      </c>
      <c r="H795" t="inlineStr">
        <is>
          <t>GL-SL-009</t>
        </is>
      </c>
      <c r="I795" t="n">
        <v>8</v>
      </c>
      <c r="J795" t="n">
        <v>10.4</v>
      </c>
      <c r="K795" t="n">
        <v>-0.605</v>
      </c>
      <c r="L795" t="n">
        <v>-1.332</v>
      </c>
      <c r="M795" t="n">
        <v>0.399</v>
      </c>
      <c r="N795">
        <f>ROUND(J795*F795*G795+K795*G795+L795*F795+M795,3)</f>
        <v/>
      </c>
      <c r="O795">
        <f>AND(N795&gt;=1.4,N795&lt;=13)</f>
        <v/>
      </c>
      <c r="P795">
        <f>IF(OR(N795&lt;1.4,N795&gt;13),"",IF(G795*1000&lt;=1170,IF(N795&lt;1.8,"1014",IF(N795&lt;2.9,"1018",IF(N795&lt;3.8,"1029",IF(N795&lt;5,"1038",IF(N795&lt;7,"1050",IF(N795&lt;9,"1070",IF(N795&lt;11,"1090","1110"))))))),IF(G795*1000&lt;=1570,IF(N795&lt;1.8,"",IF(N795&lt;2.9,"2018",IF(N795&lt;3.8,"2029",IF(N795&lt;5,"2038",IF(N795&lt;7,"2050",IF(N795&lt;9,"2070",IF(N795&lt;11,"2090","2110"))))))),IF(G795*1000&lt;=1700,IF(N795&lt;1.8,"",IF(N795&lt;2.9,"3018",IF(N795&lt;3.8,"3029",IF(N795&lt;5,"3038",IF(N795&lt;7,"3050",IF(N795&lt;9,"3070",IF(N795&lt;11,"3090","3110"))))))),""))))</f>
        <v/>
      </c>
      <c r="Q795">
        <f>AND(O795=TRUE,P795&lt;&gt;"")</f>
        <v/>
      </c>
      <c r="R795">
        <f>IF(G795*1000&lt;750,"なし","あり")</f>
        <v/>
      </c>
      <c r="S795">
        <f>IF(AND(O795=TRUE,Q795=TRUE),"設定可","BLOCK")</f>
        <v/>
      </c>
      <c r="T795" t="inlineStr">
        <is>
          <t>商品カタログ P194</t>
        </is>
      </c>
      <c r="U795" t="inlineStr">
        <is>
          <t>https://webcatalog.lixil.co.jp/iportal/CatalogDetail.do?catalogID=15191910000&amp;categoryID=1630000&amp;designID=newinter&amp;method=initial_screen&amp;position=18&amp;type=mc&amp;volumeID=LXL13001</t>
        </is>
      </c>
    </row>
    <row r="796">
      <c r="A796" t="inlineStr">
        <is>
          <t>WG-SL-00793</t>
        </is>
      </c>
      <c r="B796" t="inlineStr">
        <is>
          <t>SZ-SL-001034</t>
        </is>
      </c>
      <c r="C796" t="inlineStr">
        <is>
          <t>WT-SL-MENKOSHI-AGE-FS</t>
        </is>
      </c>
      <c r="D796" t="inlineStr">
        <is>
          <t>SP-SL-AGE-GRILLE-H</t>
        </is>
      </c>
      <c r="E796" t="inlineStr">
        <is>
          <t>07413</t>
        </is>
      </c>
      <c r="F796" t="n">
        <v>0.78</v>
      </c>
      <c r="G796" t="n">
        <v>1.37</v>
      </c>
      <c r="H796" t="inlineStr">
        <is>
          <t>GL-SL-001</t>
        </is>
      </c>
      <c r="I796" t="n">
        <v>6</v>
      </c>
      <c r="J796" t="n">
        <v>7.8</v>
      </c>
      <c r="K796" t="n">
        <v>-0.355</v>
      </c>
      <c r="L796" t="n">
        <v>-0.664</v>
      </c>
      <c r="M796" t="n">
        <v>0.335</v>
      </c>
      <c r="N796">
        <f>ROUND(J796*F796*G796+K796*G796+L796*F796+M796,3)</f>
        <v/>
      </c>
      <c r="O796">
        <f>AND(N796&gt;=1.4,N796&lt;=13)</f>
        <v/>
      </c>
      <c r="P796">
        <f>IF(OR(N796&lt;1.4,N796&gt;13),"",IF(G796*1000&lt;=1170,IF(N796&lt;1.8,"1014",IF(N796&lt;2.9,"1018",IF(N796&lt;3.8,"1029",IF(N796&lt;5,"1038",IF(N796&lt;7,"1050",IF(N796&lt;9,"1070",IF(N796&lt;11,"1090","1110"))))))),IF(G796*1000&lt;=1570,IF(N796&lt;1.8,"",IF(N796&lt;2.9,"2018",IF(N796&lt;3.8,"2029",IF(N796&lt;5,"2038",IF(N796&lt;7,"2050",IF(N796&lt;9,"2070",IF(N796&lt;11,"2090","2110"))))))),IF(G796*1000&lt;=1700,IF(N796&lt;1.8,"",IF(N796&lt;2.9,"3018",IF(N796&lt;3.8,"3029",IF(N796&lt;5,"3038",IF(N796&lt;7,"3050",IF(N796&lt;9,"3070",IF(N796&lt;11,"3090","3110"))))))),""))))</f>
        <v/>
      </c>
      <c r="Q796">
        <f>AND(O796=TRUE,P796&lt;&gt;"")</f>
        <v/>
      </c>
      <c r="R796">
        <f>IF(G796*1000&lt;750,"なし","あり")</f>
        <v/>
      </c>
      <c r="S796">
        <f>IF(AND(O796=TRUE,Q796=TRUE),"設定可","BLOCK")</f>
        <v/>
      </c>
      <c r="T796" t="inlineStr">
        <is>
          <t>商品カタログ P194</t>
        </is>
      </c>
      <c r="U796" t="inlineStr">
        <is>
          <t>https://webcatalog.lixil.co.jp/iportal/CatalogDetail.do?catalogID=15191910000&amp;categoryID=1630000&amp;designID=newinter&amp;method=initial_screen&amp;position=18&amp;type=mc&amp;volumeID=LXL13001</t>
        </is>
      </c>
    </row>
    <row r="797">
      <c r="A797" t="inlineStr">
        <is>
          <t>WG-SL-00794</t>
        </is>
      </c>
      <c r="B797" t="inlineStr">
        <is>
          <t>SZ-SL-001034</t>
        </is>
      </c>
      <c r="C797" t="inlineStr">
        <is>
          <t>WT-SL-MENKOSHI-AGE-FS</t>
        </is>
      </c>
      <c r="D797" t="inlineStr">
        <is>
          <t>SP-SL-AGE-GRILLE-H</t>
        </is>
      </c>
      <c r="E797" t="inlineStr">
        <is>
          <t>07413</t>
        </is>
      </c>
      <c r="F797" t="n">
        <v>0.78</v>
      </c>
      <c r="G797" t="n">
        <v>1.37</v>
      </c>
      <c r="H797" t="inlineStr">
        <is>
          <t>GL-SL-002</t>
        </is>
      </c>
      <c r="I797" t="n">
        <v>7</v>
      </c>
      <c r="J797" t="n">
        <v>9.1</v>
      </c>
      <c r="K797" t="n">
        <v>-0.48</v>
      </c>
      <c r="L797" t="n">
        <v>-0.998</v>
      </c>
      <c r="M797" t="n">
        <v>0.367</v>
      </c>
      <c r="N797">
        <f>ROUND(J797*F797*G797+K797*G797+L797*F797+M797,3)</f>
        <v/>
      </c>
      <c r="O797">
        <f>AND(N797&gt;=1.4,N797&lt;=13)</f>
        <v/>
      </c>
      <c r="P797">
        <f>IF(OR(N797&lt;1.4,N797&gt;13),"",IF(G797*1000&lt;=1170,IF(N797&lt;1.8,"1014",IF(N797&lt;2.9,"1018",IF(N797&lt;3.8,"1029",IF(N797&lt;5,"1038",IF(N797&lt;7,"1050",IF(N797&lt;9,"1070",IF(N797&lt;11,"1090","1110"))))))),IF(G797*1000&lt;=1570,IF(N797&lt;1.8,"",IF(N797&lt;2.9,"2018",IF(N797&lt;3.8,"2029",IF(N797&lt;5,"2038",IF(N797&lt;7,"2050",IF(N797&lt;9,"2070",IF(N797&lt;11,"2090","2110"))))))),IF(G797*1000&lt;=1700,IF(N797&lt;1.8,"",IF(N797&lt;2.9,"3018",IF(N797&lt;3.8,"3029",IF(N797&lt;5,"3038",IF(N797&lt;7,"3050",IF(N797&lt;9,"3070",IF(N797&lt;11,"3090","3110"))))))),""))))</f>
        <v/>
      </c>
      <c r="Q797">
        <f>AND(O797=TRUE,P797&lt;&gt;"")</f>
        <v/>
      </c>
      <c r="R797">
        <f>IF(G797*1000&lt;750,"なし","あり")</f>
        <v/>
      </c>
      <c r="S797">
        <f>IF(AND(O797=TRUE,Q797=TRUE),"設定可","BLOCK")</f>
        <v/>
      </c>
      <c r="T797" t="inlineStr">
        <is>
          <t>商品カタログ P194</t>
        </is>
      </c>
      <c r="U797" t="inlineStr">
        <is>
          <t>https://webcatalog.lixil.co.jp/iportal/CatalogDetail.do?catalogID=15191910000&amp;categoryID=1630000&amp;designID=newinter&amp;method=initial_screen&amp;position=18&amp;type=mc&amp;volumeID=LXL13001</t>
        </is>
      </c>
    </row>
    <row r="798">
      <c r="A798" t="inlineStr">
        <is>
          <t>WG-SL-00795</t>
        </is>
      </c>
      <c r="B798" t="inlineStr">
        <is>
          <t>SZ-SL-001034</t>
        </is>
      </c>
      <c r="C798" t="inlineStr">
        <is>
          <t>WT-SL-MENKOSHI-AGE-FS</t>
        </is>
      </c>
      <c r="D798" t="inlineStr">
        <is>
          <t>SP-SL-AGE-GRILLE-H</t>
        </is>
      </c>
      <c r="E798" t="inlineStr">
        <is>
          <t>07413</t>
        </is>
      </c>
      <c r="F798" t="n">
        <v>0.78</v>
      </c>
      <c r="G798" t="n">
        <v>1.37</v>
      </c>
      <c r="H798" t="inlineStr">
        <is>
          <t>GL-SL-003</t>
        </is>
      </c>
      <c r="I798" t="n">
        <v>8</v>
      </c>
      <c r="J798" t="n">
        <v>10.4</v>
      </c>
      <c r="K798" t="n">
        <v>-0.605</v>
      </c>
      <c r="L798" t="n">
        <v>-1.332</v>
      </c>
      <c r="M798" t="n">
        <v>0.399</v>
      </c>
      <c r="N798">
        <f>ROUND(J798*F798*G798+K798*G798+L798*F798+M798,3)</f>
        <v/>
      </c>
      <c r="O798">
        <f>AND(N798&gt;=1.4,N798&lt;=13)</f>
        <v/>
      </c>
      <c r="P798">
        <f>IF(OR(N798&lt;1.4,N798&gt;13),"",IF(G798*1000&lt;=1170,IF(N798&lt;1.8,"1014",IF(N798&lt;2.9,"1018",IF(N798&lt;3.8,"1029",IF(N798&lt;5,"1038",IF(N798&lt;7,"1050",IF(N798&lt;9,"1070",IF(N798&lt;11,"1090","1110"))))))),IF(G798*1000&lt;=1570,IF(N798&lt;1.8,"",IF(N798&lt;2.9,"2018",IF(N798&lt;3.8,"2029",IF(N798&lt;5,"2038",IF(N798&lt;7,"2050",IF(N798&lt;9,"2070",IF(N798&lt;11,"2090","2110"))))))),IF(G798*1000&lt;=1700,IF(N798&lt;1.8,"",IF(N798&lt;2.9,"3018",IF(N798&lt;3.8,"3029",IF(N798&lt;5,"3038",IF(N798&lt;7,"3050",IF(N798&lt;9,"3070",IF(N798&lt;11,"3090","3110"))))))),""))))</f>
        <v/>
      </c>
      <c r="Q798">
        <f>AND(O798=TRUE,P798&lt;&gt;"")</f>
        <v/>
      </c>
      <c r="R798">
        <f>IF(G798*1000&lt;750,"なし","あり")</f>
        <v/>
      </c>
      <c r="S798">
        <f>IF(AND(O798=TRUE,Q798=TRUE),"設定可","BLOCK")</f>
        <v/>
      </c>
      <c r="T798" t="inlineStr">
        <is>
          <t>商品カタログ P194</t>
        </is>
      </c>
      <c r="U798" t="inlineStr">
        <is>
          <t>https://webcatalog.lixil.co.jp/iportal/CatalogDetail.do?catalogID=15191910000&amp;categoryID=1630000&amp;designID=newinter&amp;method=initial_screen&amp;position=18&amp;type=mc&amp;volumeID=LXL13001</t>
        </is>
      </c>
    </row>
    <row r="799">
      <c r="A799" t="inlineStr">
        <is>
          <t>WG-SL-00796</t>
        </is>
      </c>
      <c r="B799" t="inlineStr">
        <is>
          <t>SZ-SL-001034</t>
        </is>
      </c>
      <c r="C799" t="inlineStr">
        <is>
          <t>WT-SL-MENKOSHI-AGE-FS</t>
        </is>
      </c>
      <c r="D799" t="inlineStr">
        <is>
          <t>SP-SL-AGE-GRILLE-H</t>
        </is>
      </c>
      <c r="E799" t="inlineStr">
        <is>
          <t>07413</t>
        </is>
      </c>
      <c r="F799" t="n">
        <v>0.78</v>
      </c>
      <c r="G799" t="n">
        <v>1.37</v>
      </c>
      <c r="H799" t="inlineStr">
        <is>
          <t>GL-SL-004</t>
        </is>
      </c>
      <c r="I799" t="n">
        <v>6</v>
      </c>
      <c r="J799" t="n">
        <v>7.8</v>
      </c>
      <c r="K799" t="n">
        <v>-0.355</v>
      </c>
      <c r="L799" t="n">
        <v>-0.664</v>
      </c>
      <c r="M799" t="n">
        <v>0.335</v>
      </c>
      <c r="N799">
        <f>ROUND(J799*F799*G799+K799*G799+L799*F799+M799,3)</f>
        <v/>
      </c>
      <c r="O799">
        <f>AND(N799&gt;=1.4,N799&lt;=13)</f>
        <v/>
      </c>
      <c r="P799">
        <f>IF(OR(N799&lt;1.4,N799&gt;13),"",IF(G799*1000&lt;=1170,IF(N799&lt;1.8,"1014",IF(N799&lt;2.9,"1018",IF(N799&lt;3.8,"1029",IF(N799&lt;5,"1038",IF(N799&lt;7,"1050",IF(N799&lt;9,"1070",IF(N799&lt;11,"1090","1110"))))))),IF(G799*1000&lt;=1570,IF(N799&lt;1.8,"",IF(N799&lt;2.9,"2018",IF(N799&lt;3.8,"2029",IF(N799&lt;5,"2038",IF(N799&lt;7,"2050",IF(N799&lt;9,"2070",IF(N799&lt;11,"2090","2110"))))))),IF(G799*1000&lt;=1700,IF(N799&lt;1.8,"",IF(N799&lt;2.9,"3018",IF(N799&lt;3.8,"3029",IF(N799&lt;5,"3038",IF(N799&lt;7,"3050",IF(N799&lt;9,"3070",IF(N799&lt;11,"3090","3110"))))))),""))))</f>
        <v/>
      </c>
      <c r="Q799">
        <f>AND(O799=TRUE,P799&lt;&gt;"")</f>
        <v/>
      </c>
      <c r="R799">
        <f>IF(G799*1000&lt;750,"なし","あり")</f>
        <v/>
      </c>
      <c r="S799">
        <f>IF(AND(O799=TRUE,Q799=TRUE),"設定可","BLOCK")</f>
        <v/>
      </c>
      <c r="T799" t="inlineStr">
        <is>
          <t>商品カタログ P194</t>
        </is>
      </c>
      <c r="U799" t="inlineStr">
        <is>
          <t>https://webcatalog.lixil.co.jp/iportal/CatalogDetail.do?catalogID=15191910000&amp;categoryID=1630000&amp;designID=newinter&amp;method=initial_screen&amp;position=18&amp;type=mc&amp;volumeID=LXL13001</t>
        </is>
      </c>
    </row>
    <row r="800">
      <c r="A800" t="inlineStr">
        <is>
          <t>WG-SL-00797</t>
        </is>
      </c>
      <c r="B800" t="inlineStr">
        <is>
          <t>SZ-SL-001034</t>
        </is>
      </c>
      <c r="C800" t="inlineStr">
        <is>
          <t>WT-SL-MENKOSHI-AGE-FS</t>
        </is>
      </c>
      <c r="D800" t="inlineStr">
        <is>
          <t>SP-SL-AGE-GRILLE-H</t>
        </is>
      </c>
      <c r="E800" t="inlineStr">
        <is>
          <t>07413</t>
        </is>
      </c>
      <c r="F800" t="n">
        <v>0.78</v>
      </c>
      <c r="G800" t="n">
        <v>1.37</v>
      </c>
      <c r="H800" t="inlineStr">
        <is>
          <t>GL-SL-005</t>
        </is>
      </c>
      <c r="I800" t="n">
        <v>7</v>
      </c>
      <c r="J800" t="n">
        <v>9.1</v>
      </c>
      <c r="K800" t="n">
        <v>-0.48</v>
      </c>
      <c r="L800" t="n">
        <v>-0.998</v>
      </c>
      <c r="M800" t="n">
        <v>0.367</v>
      </c>
      <c r="N800">
        <f>ROUND(J800*F800*G800+K800*G800+L800*F800+M800,3)</f>
        <v/>
      </c>
      <c r="O800">
        <f>AND(N800&gt;=1.4,N800&lt;=13)</f>
        <v/>
      </c>
      <c r="P800">
        <f>IF(OR(N800&lt;1.4,N800&gt;13),"",IF(G800*1000&lt;=1170,IF(N800&lt;1.8,"1014",IF(N800&lt;2.9,"1018",IF(N800&lt;3.8,"1029",IF(N800&lt;5,"1038",IF(N800&lt;7,"1050",IF(N800&lt;9,"1070",IF(N800&lt;11,"1090","1110"))))))),IF(G800*1000&lt;=1570,IF(N800&lt;1.8,"",IF(N800&lt;2.9,"2018",IF(N800&lt;3.8,"2029",IF(N800&lt;5,"2038",IF(N800&lt;7,"2050",IF(N800&lt;9,"2070",IF(N800&lt;11,"2090","2110"))))))),IF(G800*1000&lt;=1700,IF(N800&lt;1.8,"",IF(N800&lt;2.9,"3018",IF(N800&lt;3.8,"3029",IF(N800&lt;5,"3038",IF(N800&lt;7,"3050",IF(N800&lt;9,"3070",IF(N800&lt;11,"3090","3110"))))))),""))))</f>
        <v/>
      </c>
      <c r="Q800">
        <f>AND(O800=TRUE,P800&lt;&gt;"")</f>
        <v/>
      </c>
      <c r="R800">
        <f>IF(G800*1000&lt;750,"なし","あり")</f>
        <v/>
      </c>
      <c r="S800">
        <f>IF(AND(O800=TRUE,Q800=TRUE),"設定可","BLOCK")</f>
        <v/>
      </c>
      <c r="T800" t="inlineStr">
        <is>
          <t>商品カタログ P194</t>
        </is>
      </c>
      <c r="U800" t="inlineStr">
        <is>
          <t>https://webcatalog.lixil.co.jp/iportal/CatalogDetail.do?catalogID=15191910000&amp;categoryID=1630000&amp;designID=newinter&amp;method=initial_screen&amp;position=18&amp;type=mc&amp;volumeID=LXL13001</t>
        </is>
      </c>
    </row>
    <row r="801">
      <c r="A801" t="inlineStr">
        <is>
          <t>WG-SL-00798</t>
        </is>
      </c>
      <c r="B801" t="inlineStr">
        <is>
          <t>SZ-SL-001034</t>
        </is>
      </c>
      <c r="C801" t="inlineStr">
        <is>
          <t>WT-SL-MENKOSHI-AGE-FS</t>
        </is>
      </c>
      <c r="D801" t="inlineStr">
        <is>
          <t>SP-SL-AGE-GRILLE-H</t>
        </is>
      </c>
      <c r="E801" t="inlineStr">
        <is>
          <t>07413</t>
        </is>
      </c>
      <c r="F801" t="n">
        <v>0.78</v>
      </c>
      <c r="G801" t="n">
        <v>1.37</v>
      </c>
      <c r="H801" t="inlineStr">
        <is>
          <t>GL-SL-006</t>
        </is>
      </c>
      <c r="I801" t="n">
        <v>8</v>
      </c>
      <c r="J801" t="n">
        <v>10.4</v>
      </c>
      <c r="K801" t="n">
        <v>-0.605</v>
      </c>
      <c r="L801" t="n">
        <v>-1.332</v>
      </c>
      <c r="M801" t="n">
        <v>0.399</v>
      </c>
      <c r="N801">
        <f>ROUND(J801*F801*G801+K801*G801+L801*F801+M801,3)</f>
        <v/>
      </c>
      <c r="O801">
        <f>AND(N801&gt;=1.4,N801&lt;=13)</f>
        <v/>
      </c>
      <c r="P801">
        <f>IF(OR(N801&lt;1.4,N801&gt;13),"",IF(G801*1000&lt;=1170,IF(N801&lt;1.8,"1014",IF(N801&lt;2.9,"1018",IF(N801&lt;3.8,"1029",IF(N801&lt;5,"1038",IF(N801&lt;7,"1050",IF(N801&lt;9,"1070",IF(N801&lt;11,"1090","1110"))))))),IF(G801*1000&lt;=1570,IF(N801&lt;1.8,"",IF(N801&lt;2.9,"2018",IF(N801&lt;3.8,"2029",IF(N801&lt;5,"2038",IF(N801&lt;7,"2050",IF(N801&lt;9,"2070",IF(N801&lt;11,"2090","2110"))))))),IF(G801*1000&lt;=1700,IF(N801&lt;1.8,"",IF(N801&lt;2.9,"3018",IF(N801&lt;3.8,"3029",IF(N801&lt;5,"3038",IF(N801&lt;7,"3050",IF(N801&lt;9,"3070",IF(N801&lt;11,"3090","3110"))))))),""))))</f>
        <v/>
      </c>
      <c r="Q801">
        <f>AND(O801=TRUE,P801&lt;&gt;"")</f>
        <v/>
      </c>
      <c r="R801">
        <f>IF(G801*1000&lt;750,"なし","あり")</f>
        <v/>
      </c>
      <c r="S801">
        <f>IF(AND(O801=TRUE,Q801=TRUE),"設定可","BLOCK")</f>
        <v/>
      </c>
      <c r="T801" t="inlineStr">
        <is>
          <t>商品カタログ P194</t>
        </is>
      </c>
      <c r="U801" t="inlineStr">
        <is>
          <t>https://webcatalog.lixil.co.jp/iportal/CatalogDetail.do?catalogID=15191910000&amp;categoryID=1630000&amp;designID=newinter&amp;method=initial_screen&amp;position=18&amp;type=mc&amp;volumeID=LXL13001</t>
        </is>
      </c>
    </row>
    <row r="802">
      <c r="A802" t="inlineStr">
        <is>
          <t>WG-SL-00799</t>
        </is>
      </c>
      <c r="B802" t="inlineStr">
        <is>
          <t>SZ-SL-001034</t>
        </is>
      </c>
      <c r="C802" t="inlineStr">
        <is>
          <t>WT-SL-MENKOSHI-AGE-FS</t>
        </is>
      </c>
      <c r="D802" t="inlineStr">
        <is>
          <t>SP-SL-AGE-GRILLE-H</t>
        </is>
      </c>
      <c r="E802" t="inlineStr">
        <is>
          <t>07413</t>
        </is>
      </c>
      <c r="F802" t="n">
        <v>0.78</v>
      </c>
      <c r="G802" t="n">
        <v>1.37</v>
      </c>
      <c r="H802" t="inlineStr">
        <is>
          <t>GL-SL-007</t>
        </is>
      </c>
      <c r="I802" t="n">
        <v>6</v>
      </c>
      <c r="J802" t="n">
        <v>7.8</v>
      </c>
      <c r="K802" t="n">
        <v>-0.355</v>
      </c>
      <c r="L802" t="n">
        <v>-0.664</v>
      </c>
      <c r="M802" t="n">
        <v>0.335</v>
      </c>
      <c r="N802">
        <f>ROUND(J802*F802*G802+K802*G802+L802*F802+M802,3)</f>
        <v/>
      </c>
      <c r="O802">
        <f>AND(N802&gt;=1.4,N802&lt;=13)</f>
        <v/>
      </c>
      <c r="P802">
        <f>IF(OR(N802&lt;1.4,N802&gt;13),"",IF(G802*1000&lt;=1170,IF(N802&lt;1.8,"1014",IF(N802&lt;2.9,"1018",IF(N802&lt;3.8,"1029",IF(N802&lt;5,"1038",IF(N802&lt;7,"1050",IF(N802&lt;9,"1070",IF(N802&lt;11,"1090","1110"))))))),IF(G802*1000&lt;=1570,IF(N802&lt;1.8,"",IF(N802&lt;2.9,"2018",IF(N802&lt;3.8,"2029",IF(N802&lt;5,"2038",IF(N802&lt;7,"2050",IF(N802&lt;9,"2070",IF(N802&lt;11,"2090","2110"))))))),IF(G802*1000&lt;=1700,IF(N802&lt;1.8,"",IF(N802&lt;2.9,"3018",IF(N802&lt;3.8,"3029",IF(N802&lt;5,"3038",IF(N802&lt;7,"3050",IF(N802&lt;9,"3070",IF(N802&lt;11,"3090","3110"))))))),""))))</f>
        <v/>
      </c>
      <c r="Q802">
        <f>AND(O802=TRUE,P802&lt;&gt;"")</f>
        <v/>
      </c>
      <c r="R802">
        <f>IF(G802*1000&lt;750,"なし","あり")</f>
        <v/>
      </c>
      <c r="S802">
        <f>IF(AND(O802=TRUE,Q802=TRUE),"設定可","BLOCK")</f>
        <v/>
      </c>
      <c r="T802" t="inlineStr">
        <is>
          <t>商品カタログ P194</t>
        </is>
      </c>
      <c r="U802" t="inlineStr">
        <is>
          <t>https://webcatalog.lixil.co.jp/iportal/CatalogDetail.do?catalogID=15191910000&amp;categoryID=1630000&amp;designID=newinter&amp;method=initial_screen&amp;position=18&amp;type=mc&amp;volumeID=LXL13001</t>
        </is>
      </c>
    </row>
    <row r="803">
      <c r="A803" t="inlineStr">
        <is>
          <t>WG-SL-00800</t>
        </is>
      </c>
      <c r="B803" t="inlineStr">
        <is>
          <t>SZ-SL-001034</t>
        </is>
      </c>
      <c r="C803" t="inlineStr">
        <is>
          <t>WT-SL-MENKOSHI-AGE-FS</t>
        </is>
      </c>
      <c r="D803" t="inlineStr">
        <is>
          <t>SP-SL-AGE-GRILLE-H</t>
        </is>
      </c>
      <c r="E803" t="inlineStr">
        <is>
          <t>07413</t>
        </is>
      </c>
      <c r="F803" t="n">
        <v>0.78</v>
      </c>
      <c r="G803" t="n">
        <v>1.37</v>
      </c>
      <c r="H803" t="inlineStr">
        <is>
          <t>GL-SL-008</t>
        </is>
      </c>
      <c r="I803" t="n">
        <v>7</v>
      </c>
      <c r="J803" t="n">
        <v>9.1</v>
      </c>
      <c r="K803" t="n">
        <v>-0.48</v>
      </c>
      <c r="L803" t="n">
        <v>-0.998</v>
      </c>
      <c r="M803" t="n">
        <v>0.367</v>
      </c>
      <c r="N803">
        <f>ROUND(J803*F803*G803+K803*G803+L803*F803+M803,3)</f>
        <v/>
      </c>
      <c r="O803">
        <f>AND(N803&gt;=1.4,N803&lt;=13)</f>
        <v/>
      </c>
      <c r="P803">
        <f>IF(OR(N803&lt;1.4,N803&gt;13),"",IF(G803*1000&lt;=1170,IF(N803&lt;1.8,"1014",IF(N803&lt;2.9,"1018",IF(N803&lt;3.8,"1029",IF(N803&lt;5,"1038",IF(N803&lt;7,"1050",IF(N803&lt;9,"1070",IF(N803&lt;11,"1090","1110"))))))),IF(G803*1000&lt;=1570,IF(N803&lt;1.8,"",IF(N803&lt;2.9,"2018",IF(N803&lt;3.8,"2029",IF(N803&lt;5,"2038",IF(N803&lt;7,"2050",IF(N803&lt;9,"2070",IF(N803&lt;11,"2090","2110"))))))),IF(G803*1000&lt;=1700,IF(N803&lt;1.8,"",IF(N803&lt;2.9,"3018",IF(N803&lt;3.8,"3029",IF(N803&lt;5,"3038",IF(N803&lt;7,"3050",IF(N803&lt;9,"3070",IF(N803&lt;11,"3090","3110"))))))),""))))</f>
        <v/>
      </c>
      <c r="Q803">
        <f>AND(O803=TRUE,P803&lt;&gt;"")</f>
        <v/>
      </c>
      <c r="R803">
        <f>IF(G803*1000&lt;750,"なし","あり")</f>
        <v/>
      </c>
      <c r="S803">
        <f>IF(AND(O803=TRUE,Q803=TRUE),"設定可","BLOCK")</f>
        <v/>
      </c>
      <c r="T803" t="inlineStr">
        <is>
          <t>商品カタログ P194</t>
        </is>
      </c>
      <c r="U803" t="inlineStr">
        <is>
          <t>https://webcatalog.lixil.co.jp/iportal/CatalogDetail.do?catalogID=15191910000&amp;categoryID=1630000&amp;designID=newinter&amp;method=initial_screen&amp;position=18&amp;type=mc&amp;volumeID=LXL13001</t>
        </is>
      </c>
    </row>
    <row r="804">
      <c r="A804" t="inlineStr">
        <is>
          <t>WG-SL-00801</t>
        </is>
      </c>
      <c r="B804" t="inlineStr">
        <is>
          <t>SZ-SL-001034</t>
        </is>
      </c>
      <c r="C804" t="inlineStr">
        <is>
          <t>WT-SL-MENKOSHI-AGE-FS</t>
        </is>
      </c>
      <c r="D804" t="inlineStr">
        <is>
          <t>SP-SL-AGE-GRILLE-H</t>
        </is>
      </c>
      <c r="E804" t="inlineStr">
        <is>
          <t>07413</t>
        </is>
      </c>
      <c r="F804" t="n">
        <v>0.78</v>
      </c>
      <c r="G804" t="n">
        <v>1.37</v>
      </c>
      <c r="H804" t="inlineStr">
        <is>
          <t>GL-SL-009</t>
        </is>
      </c>
      <c r="I804" t="n">
        <v>8</v>
      </c>
      <c r="J804" t="n">
        <v>10.4</v>
      </c>
      <c r="K804" t="n">
        <v>-0.605</v>
      </c>
      <c r="L804" t="n">
        <v>-1.332</v>
      </c>
      <c r="M804" t="n">
        <v>0.399</v>
      </c>
      <c r="N804">
        <f>ROUND(J804*F804*G804+K804*G804+L804*F804+M804,3)</f>
        <v/>
      </c>
      <c r="O804">
        <f>AND(N804&gt;=1.4,N804&lt;=13)</f>
        <v/>
      </c>
      <c r="P804">
        <f>IF(OR(N804&lt;1.4,N804&gt;13),"",IF(G804*1000&lt;=1170,IF(N804&lt;1.8,"1014",IF(N804&lt;2.9,"1018",IF(N804&lt;3.8,"1029",IF(N804&lt;5,"1038",IF(N804&lt;7,"1050",IF(N804&lt;9,"1070",IF(N804&lt;11,"1090","1110"))))))),IF(G804*1000&lt;=1570,IF(N804&lt;1.8,"",IF(N804&lt;2.9,"2018",IF(N804&lt;3.8,"2029",IF(N804&lt;5,"2038",IF(N804&lt;7,"2050",IF(N804&lt;9,"2070",IF(N804&lt;11,"2090","2110"))))))),IF(G804*1000&lt;=1700,IF(N804&lt;1.8,"",IF(N804&lt;2.9,"3018",IF(N804&lt;3.8,"3029",IF(N804&lt;5,"3038",IF(N804&lt;7,"3050",IF(N804&lt;9,"3070",IF(N804&lt;11,"3090","3110"))))))),""))))</f>
        <v/>
      </c>
      <c r="Q804">
        <f>AND(O804=TRUE,P804&lt;&gt;"")</f>
        <v/>
      </c>
      <c r="R804">
        <f>IF(G804*1000&lt;750,"なし","あり")</f>
        <v/>
      </c>
      <c r="S804">
        <f>IF(AND(O804=TRUE,Q804=TRUE),"設定可","BLOCK")</f>
        <v/>
      </c>
      <c r="T804" t="inlineStr">
        <is>
          <t>商品カタログ P194</t>
        </is>
      </c>
      <c r="U804" t="inlineStr">
        <is>
          <t>https://webcatalog.lixil.co.jp/iportal/CatalogDetail.do?catalogID=15191910000&amp;categoryID=1630000&amp;designID=newinter&amp;method=initial_screen&amp;position=18&amp;type=mc&amp;volumeID=LXL13001</t>
        </is>
      </c>
    </row>
    <row r="805">
      <c r="A805" t="inlineStr">
        <is>
          <t>WG-SL-00802</t>
        </is>
      </c>
      <c r="B805" t="inlineStr">
        <is>
          <t>SZ-SL-001035</t>
        </is>
      </c>
      <c r="C805" t="inlineStr">
        <is>
          <t>WT-SL-MENKOSHI-AGE-FS</t>
        </is>
      </c>
      <c r="D805" t="inlineStr">
        <is>
          <t>SP-SL-AGE-GRILLE-IGETA</t>
        </is>
      </c>
      <c r="E805" t="inlineStr">
        <is>
          <t>02613</t>
        </is>
      </c>
      <c r="F805" t="n">
        <v>0.3</v>
      </c>
      <c r="G805" t="n">
        <v>1.37</v>
      </c>
      <c r="H805" t="inlineStr">
        <is>
          <t>GL-SL-001</t>
        </is>
      </c>
      <c r="I805" t="n">
        <v>6</v>
      </c>
      <c r="J805" t="n">
        <v>7.8</v>
      </c>
      <c r="K805" t="n">
        <v>-0.355</v>
      </c>
      <c r="L805" t="n">
        <v>-0.664</v>
      </c>
      <c r="M805" t="n">
        <v>0.335</v>
      </c>
      <c r="N805">
        <f>ROUND(J805*F805*G805+K805*G805+L805*F805+M805,3)</f>
        <v/>
      </c>
      <c r="O805">
        <f>AND(N805&gt;=1.4,N805&lt;=13)</f>
        <v/>
      </c>
      <c r="P805">
        <f>IF(OR(N805&lt;1.4,N805&gt;13),"",IF(G805*1000&lt;=1170,IF(N805&lt;1.8,"1014",IF(N805&lt;2.9,"1018",IF(N805&lt;3.8,"1029",IF(N805&lt;5,"1038",IF(N805&lt;7,"1050",IF(N805&lt;9,"1070",IF(N805&lt;11,"1090","1110"))))))),IF(G805*1000&lt;=1570,IF(N805&lt;1.8,"",IF(N805&lt;2.9,"2018",IF(N805&lt;3.8,"2029",IF(N805&lt;5,"2038",IF(N805&lt;7,"2050",IF(N805&lt;9,"2070",IF(N805&lt;11,"2090","2110"))))))),IF(G805*1000&lt;=1700,IF(N805&lt;1.8,"",IF(N805&lt;2.9,"3018",IF(N805&lt;3.8,"3029",IF(N805&lt;5,"3038",IF(N805&lt;7,"3050",IF(N805&lt;9,"3070",IF(N805&lt;11,"3090","3110"))))))),""))))</f>
        <v/>
      </c>
      <c r="Q805">
        <f>AND(O805=TRUE,P805&lt;&gt;"")</f>
        <v/>
      </c>
      <c r="R805">
        <f>IF(G805*1000&lt;750,"なし","あり")</f>
        <v/>
      </c>
      <c r="S805">
        <f>IF(AND(O805=TRUE,Q805=TRUE),"設定可","BLOCK")</f>
        <v/>
      </c>
      <c r="T805" t="inlineStr">
        <is>
          <t>商品カタログ P194</t>
        </is>
      </c>
      <c r="U805" t="inlineStr">
        <is>
          <t>https://webcatalog.lixil.co.jp/iportal/CatalogDetail.do?catalogID=15191910000&amp;categoryID=1630000&amp;designID=newinter&amp;method=initial_screen&amp;position=18&amp;type=mc&amp;volumeID=LXL13001</t>
        </is>
      </c>
    </row>
    <row r="806">
      <c r="A806" t="inlineStr">
        <is>
          <t>WG-SL-00803</t>
        </is>
      </c>
      <c r="B806" t="inlineStr">
        <is>
          <t>SZ-SL-001035</t>
        </is>
      </c>
      <c r="C806" t="inlineStr">
        <is>
          <t>WT-SL-MENKOSHI-AGE-FS</t>
        </is>
      </c>
      <c r="D806" t="inlineStr">
        <is>
          <t>SP-SL-AGE-GRILLE-IGETA</t>
        </is>
      </c>
      <c r="E806" t="inlineStr">
        <is>
          <t>02613</t>
        </is>
      </c>
      <c r="F806" t="n">
        <v>0.3</v>
      </c>
      <c r="G806" t="n">
        <v>1.37</v>
      </c>
      <c r="H806" t="inlineStr">
        <is>
          <t>GL-SL-002</t>
        </is>
      </c>
      <c r="I806" t="n">
        <v>7</v>
      </c>
      <c r="J806" t="n">
        <v>9.1</v>
      </c>
      <c r="K806" t="n">
        <v>-0.48</v>
      </c>
      <c r="L806" t="n">
        <v>-0.998</v>
      </c>
      <c r="M806" t="n">
        <v>0.367</v>
      </c>
      <c r="N806">
        <f>ROUND(J806*F806*G806+K806*G806+L806*F806+M806,3)</f>
        <v/>
      </c>
      <c r="O806">
        <f>AND(N806&gt;=1.4,N806&lt;=13)</f>
        <v/>
      </c>
      <c r="P806">
        <f>IF(OR(N806&lt;1.4,N806&gt;13),"",IF(G806*1000&lt;=1170,IF(N806&lt;1.8,"1014",IF(N806&lt;2.9,"1018",IF(N806&lt;3.8,"1029",IF(N806&lt;5,"1038",IF(N806&lt;7,"1050",IF(N806&lt;9,"1070",IF(N806&lt;11,"1090","1110"))))))),IF(G806*1000&lt;=1570,IF(N806&lt;1.8,"",IF(N806&lt;2.9,"2018",IF(N806&lt;3.8,"2029",IF(N806&lt;5,"2038",IF(N806&lt;7,"2050",IF(N806&lt;9,"2070",IF(N806&lt;11,"2090","2110"))))))),IF(G806*1000&lt;=1700,IF(N806&lt;1.8,"",IF(N806&lt;2.9,"3018",IF(N806&lt;3.8,"3029",IF(N806&lt;5,"3038",IF(N806&lt;7,"3050",IF(N806&lt;9,"3070",IF(N806&lt;11,"3090","3110"))))))),""))))</f>
        <v/>
      </c>
      <c r="Q806">
        <f>AND(O806=TRUE,P806&lt;&gt;"")</f>
        <v/>
      </c>
      <c r="R806">
        <f>IF(G806*1000&lt;750,"なし","あり")</f>
        <v/>
      </c>
      <c r="S806">
        <f>IF(AND(O806=TRUE,Q806=TRUE),"設定可","BLOCK")</f>
        <v/>
      </c>
      <c r="T806" t="inlineStr">
        <is>
          <t>商品カタログ P194</t>
        </is>
      </c>
      <c r="U806" t="inlineStr">
        <is>
          <t>https://webcatalog.lixil.co.jp/iportal/CatalogDetail.do?catalogID=15191910000&amp;categoryID=1630000&amp;designID=newinter&amp;method=initial_screen&amp;position=18&amp;type=mc&amp;volumeID=LXL13001</t>
        </is>
      </c>
    </row>
    <row r="807">
      <c r="A807" t="inlineStr">
        <is>
          <t>WG-SL-00804</t>
        </is>
      </c>
      <c r="B807" t="inlineStr">
        <is>
          <t>SZ-SL-001035</t>
        </is>
      </c>
      <c r="C807" t="inlineStr">
        <is>
          <t>WT-SL-MENKOSHI-AGE-FS</t>
        </is>
      </c>
      <c r="D807" t="inlineStr">
        <is>
          <t>SP-SL-AGE-GRILLE-IGETA</t>
        </is>
      </c>
      <c r="E807" t="inlineStr">
        <is>
          <t>02613</t>
        </is>
      </c>
      <c r="F807" t="n">
        <v>0.3</v>
      </c>
      <c r="G807" t="n">
        <v>1.37</v>
      </c>
      <c r="H807" t="inlineStr">
        <is>
          <t>GL-SL-003</t>
        </is>
      </c>
      <c r="I807" t="n">
        <v>8</v>
      </c>
      <c r="J807" t="n">
        <v>10.4</v>
      </c>
      <c r="K807" t="n">
        <v>-0.605</v>
      </c>
      <c r="L807" t="n">
        <v>-1.332</v>
      </c>
      <c r="M807" t="n">
        <v>0.399</v>
      </c>
      <c r="N807">
        <f>ROUND(J807*F807*G807+K807*G807+L807*F807+M807,3)</f>
        <v/>
      </c>
      <c r="O807">
        <f>AND(N807&gt;=1.4,N807&lt;=13)</f>
        <v/>
      </c>
      <c r="P807">
        <f>IF(OR(N807&lt;1.4,N807&gt;13),"",IF(G807*1000&lt;=1170,IF(N807&lt;1.8,"1014",IF(N807&lt;2.9,"1018",IF(N807&lt;3.8,"1029",IF(N807&lt;5,"1038",IF(N807&lt;7,"1050",IF(N807&lt;9,"1070",IF(N807&lt;11,"1090","1110"))))))),IF(G807*1000&lt;=1570,IF(N807&lt;1.8,"",IF(N807&lt;2.9,"2018",IF(N807&lt;3.8,"2029",IF(N807&lt;5,"2038",IF(N807&lt;7,"2050",IF(N807&lt;9,"2070",IF(N807&lt;11,"2090","2110"))))))),IF(G807*1000&lt;=1700,IF(N807&lt;1.8,"",IF(N807&lt;2.9,"3018",IF(N807&lt;3.8,"3029",IF(N807&lt;5,"3038",IF(N807&lt;7,"3050",IF(N807&lt;9,"3070",IF(N807&lt;11,"3090","3110"))))))),""))))</f>
        <v/>
      </c>
      <c r="Q807">
        <f>AND(O807=TRUE,P807&lt;&gt;"")</f>
        <v/>
      </c>
      <c r="R807">
        <f>IF(G807*1000&lt;750,"なし","あり")</f>
        <v/>
      </c>
      <c r="S807">
        <f>IF(AND(O807=TRUE,Q807=TRUE),"設定可","BLOCK")</f>
        <v/>
      </c>
      <c r="T807" t="inlineStr">
        <is>
          <t>商品カタログ P194</t>
        </is>
      </c>
      <c r="U807" t="inlineStr">
        <is>
          <t>https://webcatalog.lixil.co.jp/iportal/CatalogDetail.do?catalogID=15191910000&amp;categoryID=1630000&amp;designID=newinter&amp;method=initial_screen&amp;position=18&amp;type=mc&amp;volumeID=LXL13001</t>
        </is>
      </c>
    </row>
    <row r="808">
      <c r="A808" t="inlineStr">
        <is>
          <t>WG-SL-00805</t>
        </is>
      </c>
      <c r="B808" t="inlineStr">
        <is>
          <t>SZ-SL-001035</t>
        </is>
      </c>
      <c r="C808" t="inlineStr">
        <is>
          <t>WT-SL-MENKOSHI-AGE-FS</t>
        </is>
      </c>
      <c r="D808" t="inlineStr">
        <is>
          <t>SP-SL-AGE-GRILLE-IGETA</t>
        </is>
      </c>
      <c r="E808" t="inlineStr">
        <is>
          <t>02613</t>
        </is>
      </c>
      <c r="F808" t="n">
        <v>0.3</v>
      </c>
      <c r="G808" t="n">
        <v>1.37</v>
      </c>
      <c r="H808" t="inlineStr">
        <is>
          <t>GL-SL-004</t>
        </is>
      </c>
      <c r="I808" t="n">
        <v>6</v>
      </c>
      <c r="J808" t="n">
        <v>7.8</v>
      </c>
      <c r="K808" t="n">
        <v>-0.355</v>
      </c>
      <c r="L808" t="n">
        <v>-0.664</v>
      </c>
      <c r="M808" t="n">
        <v>0.335</v>
      </c>
      <c r="N808">
        <f>ROUND(J808*F808*G808+K808*G808+L808*F808+M808,3)</f>
        <v/>
      </c>
      <c r="O808">
        <f>AND(N808&gt;=1.4,N808&lt;=13)</f>
        <v/>
      </c>
      <c r="P808">
        <f>IF(OR(N808&lt;1.4,N808&gt;13),"",IF(G808*1000&lt;=1170,IF(N808&lt;1.8,"1014",IF(N808&lt;2.9,"1018",IF(N808&lt;3.8,"1029",IF(N808&lt;5,"1038",IF(N808&lt;7,"1050",IF(N808&lt;9,"1070",IF(N808&lt;11,"1090","1110"))))))),IF(G808*1000&lt;=1570,IF(N808&lt;1.8,"",IF(N808&lt;2.9,"2018",IF(N808&lt;3.8,"2029",IF(N808&lt;5,"2038",IF(N808&lt;7,"2050",IF(N808&lt;9,"2070",IF(N808&lt;11,"2090","2110"))))))),IF(G808*1000&lt;=1700,IF(N808&lt;1.8,"",IF(N808&lt;2.9,"3018",IF(N808&lt;3.8,"3029",IF(N808&lt;5,"3038",IF(N808&lt;7,"3050",IF(N808&lt;9,"3070",IF(N808&lt;11,"3090","3110"))))))),""))))</f>
        <v/>
      </c>
      <c r="Q808">
        <f>AND(O808=TRUE,P808&lt;&gt;"")</f>
        <v/>
      </c>
      <c r="R808">
        <f>IF(G808*1000&lt;750,"なし","あり")</f>
        <v/>
      </c>
      <c r="S808">
        <f>IF(AND(O808=TRUE,Q808=TRUE),"設定可","BLOCK")</f>
        <v/>
      </c>
      <c r="T808" t="inlineStr">
        <is>
          <t>商品カタログ P194</t>
        </is>
      </c>
      <c r="U808" t="inlineStr">
        <is>
          <t>https://webcatalog.lixil.co.jp/iportal/CatalogDetail.do?catalogID=15191910000&amp;categoryID=1630000&amp;designID=newinter&amp;method=initial_screen&amp;position=18&amp;type=mc&amp;volumeID=LXL13001</t>
        </is>
      </c>
    </row>
    <row r="809">
      <c r="A809" t="inlineStr">
        <is>
          <t>WG-SL-00806</t>
        </is>
      </c>
      <c r="B809" t="inlineStr">
        <is>
          <t>SZ-SL-001035</t>
        </is>
      </c>
      <c r="C809" t="inlineStr">
        <is>
          <t>WT-SL-MENKOSHI-AGE-FS</t>
        </is>
      </c>
      <c r="D809" t="inlineStr">
        <is>
          <t>SP-SL-AGE-GRILLE-IGETA</t>
        </is>
      </c>
      <c r="E809" t="inlineStr">
        <is>
          <t>02613</t>
        </is>
      </c>
      <c r="F809" t="n">
        <v>0.3</v>
      </c>
      <c r="G809" t="n">
        <v>1.37</v>
      </c>
      <c r="H809" t="inlineStr">
        <is>
          <t>GL-SL-005</t>
        </is>
      </c>
      <c r="I809" t="n">
        <v>7</v>
      </c>
      <c r="J809" t="n">
        <v>9.1</v>
      </c>
      <c r="K809" t="n">
        <v>-0.48</v>
      </c>
      <c r="L809" t="n">
        <v>-0.998</v>
      </c>
      <c r="M809" t="n">
        <v>0.367</v>
      </c>
      <c r="N809">
        <f>ROUND(J809*F809*G809+K809*G809+L809*F809+M809,3)</f>
        <v/>
      </c>
      <c r="O809">
        <f>AND(N809&gt;=1.4,N809&lt;=13)</f>
        <v/>
      </c>
      <c r="P809">
        <f>IF(OR(N809&lt;1.4,N809&gt;13),"",IF(G809*1000&lt;=1170,IF(N809&lt;1.8,"1014",IF(N809&lt;2.9,"1018",IF(N809&lt;3.8,"1029",IF(N809&lt;5,"1038",IF(N809&lt;7,"1050",IF(N809&lt;9,"1070",IF(N809&lt;11,"1090","1110"))))))),IF(G809*1000&lt;=1570,IF(N809&lt;1.8,"",IF(N809&lt;2.9,"2018",IF(N809&lt;3.8,"2029",IF(N809&lt;5,"2038",IF(N809&lt;7,"2050",IF(N809&lt;9,"2070",IF(N809&lt;11,"2090","2110"))))))),IF(G809*1000&lt;=1700,IF(N809&lt;1.8,"",IF(N809&lt;2.9,"3018",IF(N809&lt;3.8,"3029",IF(N809&lt;5,"3038",IF(N809&lt;7,"3050",IF(N809&lt;9,"3070",IF(N809&lt;11,"3090","3110"))))))),""))))</f>
        <v/>
      </c>
      <c r="Q809">
        <f>AND(O809=TRUE,P809&lt;&gt;"")</f>
        <v/>
      </c>
      <c r="R809">
        <f>IF(G809*1000&lt;750,"なし","あり")</f>
        <v/>
      </c>
      <c r="S809">
        <f>IF(AND(O809=TRUE,Q809=TRUE),"設定可","BLOCK")</f>
        <v/>
      </c>
      <c r="T809" t="inlineStr">
        <is>
          <t>商品カタログ P194</t>
        </is>
      </c>
      <c r="U809" t="inlineStr">
        <is>
          <t>https://webcatalog.lixil.co.jp/iportal/CatalogDetail.do?catalogID=15191910000&amp;categoryID=1630000&amp;designID=newinter&amp;method=initial_screen&amp;position=18&amp;type=mc&amp;volumeID=LXL13001</t>
        </is>
      </c>
    </row>
    <row r="810">
      <c r="A810" t="inlineStr">
        <is>
          <t>WG-SL-00807</t>
        </is>
      </c>
      <c r="B810" t="inlineStr">
        <is>
          <t>SZ-SL-001035</t>
        </is>
      </c>
      <c r="C810" t="inlineStr">
        <is>
          <t>WT-SL-MENKOSHI-AGE-FS</t>
        </is>
      </c>
      <c r="D810" t="inlineStr">
        <is>
          <t>SP-SL-AGE-GRILLE-IGETA</t>
        </is>
      </c>
      <c r="E810" t="inlineStr">
        <is>
          <t>02613</t>
        </is>
      </c>
      <c r="F810" t="n">
        <v>0.3</v>
      </c>
      <c r="G810" t="n">
        <v>1.37</v>
      </c>
      <c r="H810" t="inlineStr">
        <is>
          <t>GL-SL-006</t>
        </is>
      </c>
      <c r="I810" t="n">
        <v>8</v>
      </c>
      <c r="J810" t="n">
        <v>10.4</v>
      </c>
      <c r="K810" t="n">
        <v>-0.605</v>
      </c>
      <c r="L810" t="n">
        <v>-1.332</v>
      </c>
      <c r="M810" t="n">
        <v>0.399</v>
      </c>
      <c r="N810">
        <f>ROUND(J810*F810*G810+K810*G810+L810*F810+M810,3)</f>
        <v/>
      </c>
      <c r="O810">
        <f>AND(N810&gt;=1.4,N810&lt;=13)</f>
        <v/>
      </c>
      <c r="P810">
        <f>IF(OR(N810&lt;1.4,N810&gt;13),"",IF(G810*1000&lt;=1170,IF(N810&lt;1.8,"1014",IF(N810&lt;2.9,"1018",IF(N810&lt;3.8,"1029",IF(N810&lt;5,"1038",IF(N810&lt;7,"1050",IF(N810&lt;9,"1070",IF(N810&lt;11,"1090","1110"))))))),IF(G810*1000&lt;=1570,IF(N810&lt;1.8,"",IF(N810&lt;2.9,"2018",IF(N810&lt;3.8,"2029",IF(N810&lt;5,"2038",IF(N810&lt;7,"2050",IF(N810&lt;9,"2070",IF(N810&lt;11,"2090","2110"))))))),IF(G810*1000&lt;=1700,IF(N810&lt;1.8,"",IF(N810&lt;2.9,"3018",IF(N810&lt;3.8,"3029",IF(N810&lt;5,"3038",IF(N810&lt;7,"3050",IF(N810&lt;9,"3070",IF(N810&lt;11,"3090","3110"))))))),""))))</f>
        <v/>
      </c>
      <c r="Q810">
        <f>AND(O810=TRUE,P810&lt;&gt;"")</f>
        <v/>
      </c>
      <c r="R810">
        <f>IF(G810*1000&lt;750,"なし","あり")</f>
        <v/>
      </c>
      <c r="S810">
        <f>IF(AND(O810=TRUE,Q810=TRUE),"設定可","BLOCK")</f>
        <v/>
      </c>
      <c r="T810" t="inlineStr">
        <is>
          <t>商品カタログ P194</t>
        </is>
      </c>
      <c r="U810" t="inlineStr">
        <is>
          <t>https://webcatalog.lixil.co.jp/iportal/CatalogDetail.do?catalogID=15191910000&amp;categoryID=1630000&amp;designID=newinter&amp;method=initial_screen&amp;position=18&amp;type=mc&amp;volumeID=LXL13001</t>
        </is>
      </c>
    </row>
    <row r="811">
      <c r="A811" t="inlineStr">
        <is>
          <t>WG-SL-00808</t>
        </is>
      </c>
      <c r="B811" t="inlineStr">
        <is>
          <t>SZ-SL-001035</t>
        </is>
      </c>
      <c r="C811" t="inlineStr">
        <is>
          <t>WT-SL-MENKOSHI-AGE-FS</t>
        </is>
      </c>
      <c r="D811" t="inlineStr">
        <is>
          <t>SP-SL-AGE-GRILLE-IGETA</t>
        </is>
      </c>
      <c r="E811" t="inlineStr">
        <is>
          <t>02613</t>
        </is>
      </c>
      <c r="F811" t="n">
        <v>0.3</v>
      </c>
      <c r="G811" t="n">
        <v>1.37</v>
      </c>
      <c r="H811" t="inlineStr">
        <is>
          <t>GL-SL-007</t>
        </is>
      </c>
      <c r="I811" t="n">
        <v>6</v>
      </c>
      <c r="J811" t="n">
        <v>7.8</v>
      </c>
      <c r="K811" t="n">
        <v>-0.355</v>
      </c>
      <c r="L811" t="n">
        <v>-0.664</v>
      </c>
      <c r="M811" t="n">
        <v>0.335</v>
      </c>
      <c r="N811">
        <f>ROUND(J811*F811*G811+K811*G811+L811*F811+M811,3)</f>
        <v/>
      </c>
      <c r="O811">
        <f>AND(N811&gt;=1.4,N811&lt;=13)</f>
        <v/>
      </c>
      <c r="P811">
        <f>IF(OR(N811&lt;1.4,N811&gt;13),"",IF(G811*1000&lt;=1170,IF(N811&lt;1.8,"1014",IF(N811&lt;2.9,"1018",IF(N811&lt;3.8,"1029",IF(N811&lt;5,"1038",IF(N811&lt;7,"1050",IF(N811&lt;9,"1070",IF(N811&lt;11,"1090","1110"))))))),IF(G811*1000&lt;=1570,IF(N811&lt;1.8,"",IF(N811&lt;2.9,"2018",IF(N811&lt;3.8,"2029",IF(N811&lt;5,"2038",IF(N811&lt;7,"2050",IF(N811&lt;9,"2070",IF(N811&lt;11,"2090","2110"))))))),IF(G811*1000&lt;=1700,IF(N811&lt;1.8,"",IF(N811&lt;2.9,"3018",IF(N811&lt;3.8,"3029",IF(N811&lt;5,"3038",IF(N811&lt;7,"3050",IF(N811&lt;9,"3070",IF(N811&lt;11,"3090","3110"))))))),""))))</f>
        <v/>
      </c>
      <c r="Q811">
        <f>AND(O811=TRUE,P811&lt;&gt;"")</f>
        <v/>
      </c>
      <c r="R811">
        <f>IF(G811*1000&lt;750,"なし","あり")</f>
        <v/>
      </c>
      <c r="S811">
        <f>IF(AND(O811=TRUE,Q811=TRUE),"設定可","BLOCK")</f>
        <v/>
      </c>
      <c r="T811" t="inlineStr">
        <is>
          <t>商品カタログ P194</t>
        </is>
      </c>
      <c r="U811" t="inlineStr">
        <is>
          <t>https://webcatalog.lixil.co.jp/iportal/CatalogDetail.do?catalogID=15191910000&amp;categoryID=1630000&amp;designID=newinter&amp;method=initial_screen&amp;position=18&amp;type=mc&amp;volumeID=LXL13001</t>
        </is>
      </c>
    </row>
    <row r="812">
      <c r="A812" t="inlineStr">
        <is>
          <t>WG-SL-00809</t>
        </is>
      </c>
      <c r="B812" t="inlineStr">
        <is>
          <t>SZ-SL-001035</t>
        </is>
      </c>
      <c r="C812" t="inlineStr">
        <is>
          <t>WT-SL-MENKOSHI-AGE-FS</t>
        </is>
      </c>
      <c r="D812" t="inlineStr">
        <is>
          <t>SP-SL-AGE-GRILLE-IGETA</t>
        </is>
      </c>
      <c r="E812" t="inlineStr">
        <is>
          <t>02613</t>
        </is>
      </c>
      <c r="F812" t="n">
        <v>0.3</v>
      </c>
      <c r="G812" t="n">
        <v>1.37</v>
      </c>
      <c r="H812" t="inlineStr">
        <is>
          <t>GL-SL-008</t>
        </is>
      </c>
      <c r="I812" t="n">
        <v>7</v>
      </c>
      <c r="J812" t="n">
        <v>9.1</v>
      </c>
      <c r="K812" t="n">
        <v>-0.48</v>
      </c>
      <c r="L812" t="n">
        <v>-0.998</v>
      </c>
      <c r="M812" t="n">
        <v>0.367</v>
      </c>
      <c r="N812">
        <f>ROUND(J812*F812*G812+K812*G812+L812*F812+M812,3)</f>
        <v/>
      </c>
      <c r="O812">
        <f>AND(N812&gt;=1.4,N812&lt;=13)</f>
        <v/>
      </c>
      <c r="P812">
        <f>IF(OR(N812&lt;1.4,N812&gt;13),"",IF(G812*1000&lt;=1170,IF(N812&lt;1.8,"1014",IF(N812&lt;2.9,"1018",IF(N812&lt;3.8,"1029",IF(N812&lt;5,"1038",IF(N812&lt;7,"1050",IF(N812&lt;9,"1070",IF(N812&lt;11,"1090","1110"))))))),IF(G812*1000&lt;=1570,IF(N812&lt;1.8,"",IF(N812&lt;2.9,"2018",IF(N812&lt;3.8,"2029",IF(N812&lt;5,"2038",IF(N812&lt;7,"2050",IF(N812&lt;9,"2070",IF(N812&lt;11,"2090","2110"))))))),IF(G812*1000&lt;=1700,IF(N812&lt;1.8,"",IF(N812&lt;2.9,"3018",IF(N812&lt;3.8,"3029",IF(N812&lt;5,"3038",IF(N812&lt;7,"3050",IF(N812&lt;9,"3070",IF(N812&lt;11,"3090","3110"))))))),""))))</f>
        <v/>
      </c>
      <c r="Q812">
        <f>AND(O812=TRUE,P812&lt;&gt;"")</f>
        <v/>
      </c>
      <c r="R812">
        <f>IF(G812*1000&lt;750,"なし","あり")</f>
        <v/>
      </c>
      <c r="S812">
        <f>IF(AND(O812=TRUE,Q812=TRUE),"設定可","BLOCK")</f>
        <v/>
      </c>
      <c r="T812" t="inlineStr">
        <is>
          <t>商品カタログ P194</t>
        </is>
      </c>
      <c r="U812" t="inlineStr">
        <is>
          <t>https://webcatalog.lixil.co.jp/iportal/CatalogDetail.do?catalogID=15191910000&amp;categoryID=1630000&amp;designID=newinter&amp;method=initial_screen&amp;position=18&amp;type=mc&amp;volumeID=LXL13001</t>
        </is>
      </c>
    </row>
    <row r="813">
      <c r="A813" t="inlineStr">
        <is>
          <t>WG-SL-00810</t>
        </is>
      </c>
      <c r="B813" t="inlineStr">
        <is>
          <t>SZ-SL-001035</t>
        </is>
      </c>
      <c r="C813" t="inlineStr">
        <is>
          <t>WT-SL-MENKOSHI-AGE-FS</t>
        </is>
      </c>
      <c r="D813" t="inlineStr">
        <is>
          <t>SP-SL-AGE-GRILLE-IGETA</t>
        </is>
      </c>
      <c r="E813" t="inlineStr">
        <is>
          <t>02613</t>
        </is>
      </c>
      <c r="F813" t="n">
        <v>0.3</v>
      </c>
      <c r="G813" t="n">
        <v>1.37</v>
      </c>
      <c r="H813" t="inlineStr">
        <is>
          <t>GL-SL-009</t>
        </is>
      </c>
      <c r="I813" t="n">
        <v>8</v>
      </c>
      <c r="J813" t="n">
        <v>10.4</v>
      </c>
      <c r="K813" t="n">
        <v>-0.605</v>
      </c>
      <c r="L813" t="n">
        <v>-1.332</v>
      </c>
      <c r="M813" t="n">
        <v>0.399</v>
      </c>
      <c r="N813">
        <f>ROUND(J813*F813*G813+K813*G813+L813*F813+M813,3)</f>
        <v/>
      </c>
      <c r="O813">
        <f>AND(N813&gt;=1.4,N813&lt;=13)</f>
        <v/>
      </c>
      <c r="P813">
        <f>IF(OR(N813&lt;1.4,N813&gt;13),"",IF(G813*1000&lt;=1170,IF(N813&lt;1.8,"1014",IF(N813&lt;2.9,"1018",IF(N813&lt;3.8,"1029",IF(N813&lt;5,"1038",IF(N813&lt;7,"1050",IF(N813&lt;9,"1070",IF(N813&lt;11,"1090","1110"))))))),IF(G813*1000&lt;=1570,IF(N813&lt;1.8,"",IF(N813&lt;2.9,"2018",IF(N813&lt;3.8,"2029",IF(N813&lt;5,"2038",IF(N813&lt;7,"2050",IF(N813&lt;9,"2070",IF(N813&lt;11,"2090","2110"))))))),IF(G813*1000&lt;=1700,IF(N813&lt;1.8,"",IF(N813&lt;2.9,"3018",IF(N813&lt;3.8,"3029",IF(N813&lt;5,"3038",IF(N813&lt;7,"3050",IF(N813&lt;9,"3070",IF(N813&lt;11,"3090","3110"))))))),""))))</f>
        <v/>
      </c>
      <c r="Q813">
        <f>AND(O813=TRUE,P813&lt;&gt;"")</f>
        <v/>
      </c>
      <c r="R813">
        <f>IF(G813*1000&lt;750,"なし","あり")</f>
        <v/>
      </c>
      <c r="S813">
        <f>IF(AND(O813=TRUE,Q813=TRUE),"設定可","BLOCK")</f>
        <v/>
      </c>
      <c r="T813" t="inlineStr">
        <is>
          <t>商品カタログ P194</t>
        </is>
      </c>
      <c r="U813" t="inlineStr">
        <is>
          <t>https://webcatalog.lixil.co.jp/iportal/CatalogDetail.do?catalogID=15191910000&amp;categoryID=1630000&amp;designID=newinter&amp;method=initial_screen&amp;position=18&amp;type=mc&amp;volumeID=LXL13001</t>
        </is>
      </c>
    </row>
    <row r="814">
      <c r="A814" t="inlineStr">
        <is>
          <t>WG-SL-00811</t>
        </is>
      </c>
      <c r="B814" t="inlineStr">
        <is>
          <t>SZ-SL-001036</t>
        </is>
      </c>
      <c r="C814" t="inlineStr">
        <is>
          <t>WT-SL-MENKOSHI-AGE-FS</t>
        </is>
      </c>
      <c r="D814" t="inlineStr">
        <is>
          <t>SP-SL-AGE-GRILLE-IGETA</t>
        </is>
      </c>
      <c r="E814" t="inlineStr">
        <is>
          <t>03613</t>
        </is>
      </c>
      <c r="F814" t="n">
        <v>0.405</v>
      </c>
      <c r="G814" t="n">
        <v>1.37</v>
      </c>
      <c r="H814" t="inlineStr">
        <is>
          <t>GL-SL-001</t>
        </is>
      </c>
      <c r="I814" t="n">
        <v>6</v>
      </c>
      <c r="J814" t="n">
        <v>7.8</v>
      </c>
      <c r="K814" t="n">
        <v>-0.355</v>
      </c>
      <c r="L814" t="n">
        <v>-0.664</v>
      </c>
      <c r="M814" t="n">
        <v>0.335</v>
      </c>
      <c r="N814">
        <f>ROUND(J814*F814*G814+K814*G814+L814*F814+M814,3)</f>
        <v/>
      </c>
      <c r="O814">
        <f>AND(N814&gt;=1.4,N814&lt;=13)</f>
        <v/>
      </c>
      <c r="P814">
        <f>IF(OR(N814&lt;1.4,N814&gt;13),"",IF(G814*1000&lt;=1170,IF(N814&lt;1.8,"1014",IF(N814&lt;2.9,"1018",IF(N814&lt;3.8,"1029",IF(N814&lt;5,"1038",IF(N814&lt;7,"1050",IF(N814&lt;9,"1070",IF(N814&lt;11,"1090","1110"))))))),IF(G814*1000&lt;=1570,IF(N814&lt;1.8,"",IF(N814&lt;2.9,"2018",IF(N814&lt;3.8,"2029",IF(N814&lt;5,"2038",IF(N814&lt;7,"2050",IF(N814&lt;9,"2070",IF(N814&lt;11,"2090","2110"))))))),IF(G814*1000&lt;=1700,IF(N814&lt;1.8,"",IF(N814&lt;2.9,"3018",IF(N814&lt;3.8,"3029",IF(N814&lt;5,"3038",IF(N814&lt;7,"3050",IF(N814&lt;9,"3070",IF(N814&lt;11,"3090","3110"))))))),""))))</f>
        <v/>
      </c>
      <c r="Q814">
        <f>AND(O814=TRUE,P814&lt;&gt;"")</f>
        <v/>
      </c>
      <c r="R814">
        <f>IF(G814*1000&lt;750,"なし","あり")</f>
        <v/>
      </c>
      <c r="S814">
        <f>IF(AND(O814=TRUE,Q814=TRUE),"設定可","BLOCK")</f>
        <v/>
      </c>
      <c r="T814" t="inlineStr">
        <is>
          <t>商品カタログ P194</t>
        </is>
      </c>
      <c r="U814" t="inlineStr">
        <is>
          <t>https://webcatalog.lixil.co.jp/iportal/CatalogDetail.do?catalogID=15191910000&amp;categoryID=1630000&amp;designID=newinter&amp;method=initial_screen&amp;position=18&amp;type=mc&amp;volumeID=LXL13001</t>
        </is>
      </c>
    </row>
    <row r="815">
      <c r="A815" t="inlineStr">
        <is>
          <t>WG-SL-00812</t>
        </is>
      </c>
      <c r="B815" t="inlineStr">
        <is>
          <t>SZ-SL-001036</t>
        </is>
      </c>
      <c r="C815" t="inlineStr">
        <is>
          <t>WT-SL-MENKOSHI-AGE-FS</t>
        </is>
      </c>
      <c r="D815" t="inlineStr">
        <is>
          <t>SP-SL-AGE-GRILLE-IGETA</t>
        </is>
      </c>
      <c r="E815" t="inlineStr">
        <is>
          <t>03613</t>
        </is>
      </c>
      <c r="F815" t="n">
        <v>0.405</v>
      </c>
      <c r="G815" t="n">
        <v>1.37</v>
      </c>
      <c r="H815" t="inlineStr">
        <is>
          <t>GL-SL-002</t>
        </is>
      </c>
      <c r="I815" t="n">
        <v>7</v>
      </c>
      <c r="J815" t="n">
        <v>9.1</v>
      </c>
      <c r="K815" t="n">
        <v>-0.48</v>
      </c>
      <c r="L815" t="n">
        <v>-0.998</v>
      </c>
      <c r="M815" t="n">
        <v>0.367</v>
      </c>
      <c r="N815">
        <f>ROUND(J815*F815*G815+K815*G815+L815*F815+M815,3)</f>
        <v/>
      </c>
      <c r="O815">
        <f>AND(N815&gt;=1.4,N815&lt;=13)</f>
        <v/>
      </c>
      <c r="P815">
        <f>IF(OR(N815&lt;1.4,N815&gt;13),"",IF(G815*1000&lt;=1170,IF(N815&lt;1.8,"1014",IF(N815&lt;2.9,"1018",IF(N815&lt;3.8,"1029",IF(N815&lt;5,"1038",IF(N815&lt;7,"1050",IF(N815&lt;9,"1070",IF(N815&lt;11,"1090","1110"))))))),IF(G815*1000&lt;=1570,IF(N815&lt;1.8,"",IF(N815&lt;2.9,"2018",IF(N815&lt;3.8,"2029",IF(N815&lt;5,"2038",IF(N815&lt;7,"2050",IF(N815&lt;9,"2070",IF(N815&lt;11,"2090","2110"))))))),IF(G815*1000&lt;=1700,IF(N815&lt;1.8,"",IF(N815&lt;2.9,"3018",IF(N815&lt;3.8,"3029",IF(N815&lt;5,"3038",IF(N815&lt;7,"3050",IF(N815&lt;9,"3070",IF(N815&lt;11,"3090","3110"))))))),""))))</f>
        <v/>
      </c>
      <c r="Q815">
        <f>AND(O815=TRUE,P815&lt;&gt;"")</f>
        <v/>
      </c>
      <c r="R815">
        <f>IF(G815*1000&lt;750,"なし","あり")</f>
        <v/>
      </c>
      <c r="S815">
        <f>IF(AND(O815=TRUE,Q815=TRUE),"設定可","BLOCK")</f>
        <v/>
      </c>
      <c r="T815" t="inlineStr">
        <is>
          <t>商品カタログ P194</t>
        </is>
      </c>
      <c r="U815" t="inlineStr">
        <is>
          <t>https://webcatalog.lixil.co.jp/iportal/CatalogDetail.do?catalogID=15191910000&amp;categoryID=1630000&amp;designID=newinter&amp;method=initial_screen&amp;position=18&amp;type=mc&amp;volumeID=LXL13001</t>
        </is>
      </c>
    </row>
    <row r="816">
      <c r="A816" t="inlineStr">
        <is>
          <t>WG-SL-00813</t>
        </is>
      </c>
      <c r="B816" t="inlineStr">
        <is>
          <t>SZ-SL-001036</t>
        </is>
      </c>
      <c r="C816" t="inlineStr">
        <is>
          <t>WT-SL-MENKOSHI-AGE-FS</t>
        </is>
      </c>
      <c r="D816" t="inlineStr">
        <is>
          <t>SP-SL-AGE-GRILLE-IGETA</t>
        </is>
      </c>
      <c r="E816" t="inlineStr">
        <is>
          <t>03613</t>
        </is>
      </c>
      <c r="F816" t="n">
        <v>0.405</v>
      </c>
      <c r="G816" t="n">
        <v>1.37</v>
      </c>
      <c r="H816" t="inlineStr">
        <is>
          <t>GL-SL-003</t>
        </is>
      </c>
      <c r="I816" t="n">
        <v>8</v>
      </c>
      <c r="J816" t="n">
        <v>10.4</v>
      </c>
      <c r="K816" t="n">
        <v>-0.605</v>
      </c>
      <c r="L816" t="n">
        <v>-1.332</v>
      </c>
      <c r="M816" t="n">
        <v>0.399</v>
      </c>
      <c r="N816">
        <f>ROUND(J816*F816*G816+K816*G816+L816*F816+M816,3)</f>
        <v/>
      </c>
      <c r="O816">
        <f>AND(N816&gt;=1.4,N816&lt;=13)</f>
        <v/>
      </c>
      <c r="P816">
        <f>IF(OR(N816&lt;1.4,N816&gt;13),"",IF(G816*1000&lt;=1170,IF(N816&lt;1.8,"1014",IF(N816&lt;2.9,"1018",IF(N816&lt;3.8,"1029",IF(N816&lt;5,"1038",IF(N816&lt;7,"1050",IF(N816&lt;9,"1070",IF(N816&lt;11,"1090","1110"))))))),IF(G816*1000&lt;=1570,IF(N816&lt;1.8,"",IF(N816&lt;2.9,"2018",IF(N816&lt;3.8,"2029",IF(N816&lt;5,"2038",IF(N816&lt;7,"2050",IF(N816&lt;9,"2070",IF(N816&lt;11,"2090","2110"))))))),IF(G816*1000&lt;=1700,IF(N816&lt;1.8,"",IF(N816&lt;2.9,"3018",IF(N816&lt;3.8,"3029",IF(N816&lt;5,"3038",IF(N816&lt;7,"3050",IF(N816&lt;9,"3070",IF(N816&lt;11,"3090","3110"))))))),""))))</f>
        <v/>
      </c>
      <c r="Q816">
        <f>AND(O816=TRUE,P816&lt;&gt;"")</f>
        <v/>
      </c>
      <c r="R816">
        <f>IF(G816*1000&lt;750,"なし","あり")</f>
        <v/>
      </c>
      <c r="S816">
        <f>IF(AND(O816=TRUE,Q816=TRUE),"設定可","BLOCK")</f>
        <v/>
      </c>
      <c r="T816" t="inlineStr">
        <is>
          <t>商品カタログ P194</t>
        </is>
      </c>
      <c r="U816" t="inlineStr">
        <is>
          <t>https://webcatalog.lixil.co.jp/iportal/CatalogDetail.do?catalogID=15191910000&amp;categoryID=1630000&amp;designID=newinter&amp;method=initial_screen&amp;position=18&amp;type=mc&amp;volumeID=LXL13001</t>
        </is>
      </c>
    </row>
    <row r="817">
      <c r="A817" t="inlineStr">
        <is>
          <t>WG-SL-00814</t>
        </is>
      </c>
      <c r="B817" t="inlineStr">
        <is>
          <t>SZ-SL-001036</t>
        </is>
      </c>
      <c r="C817" t="inlineStr">
        <is>
          <t>WT-SL-MENKOSHI-AGE-FS</t>
        </is>
      </c>
      <c r="D817" t="inlineStr">
        <is>
          <t>SP-SL-AGE-GRILLE-IGETA</t>
        </is>
      </c>
      <c r="E817" t="inlineStr">
        <is>
          <t>03613</t>
        </is>
      </c>
      <c r="F817" t="n">
        <v>0.405</v>
      </c>
      <c r="G817" t="n">
        <v>1.37</v>
      </c>
      <c r="H817" t="inlineStr">
        <is>
          <t>GL-SL-004</t>
        </is>
      </c>
      <c r="I817" t="n">
        <v>6</v>
      </c>
      <c r="J817" t="n">
        <v>7.8</v>
      </c>
      <c r="K817" t="n">
        <v>-0.355</v>
      </c>
      <c r="L817" t="n">
        <v>-0.664</v>
      </c>
      <c r="M817" t="n">
        <v>0.335</v>
      </c>
      <c r="N817">
        <f>ROUND(J817*F817*G817+K817*G817+L817*F817+M817,3)</f>
        <v/>
      </c>
      <c r="O817">
        <f>AND(N817&gt;=1.4,N817&lt;=13)</f>
        <v/>
      </c>
      <c r="P817">
        <f>IF(OR(N817&lt;1.4,N817&gt;13),"",IF(G817*1000&lt;=1170,IF(N817&lt;1.8,"1014",IF(N817&lt;2.9,"1018",IF(N817&lt;3.8,"1029",IF(N817&lt;5,"1038",IF(N817&lt;7,"1050",IF(N817&lt;9,"1070",IF(N817&lt;11,"1090","1110"))))))),IF(G817*1000&lt;=1570,IF(N817&lt;1.8,"",IF(N817&lt;2.9,"2018",IF(N817&lt;3.8,"2029",IF(N817&lt;5,"2038",IF(N817&lt;7,"2050",IF(N817&lt;9,"2070",IF(N817&lt;11,"2090","2110"))))))),IF(G817*1000&lt;=1700,IF(N817&lt;1.8,"",IF(N817&lt;2.9,"3018",IF(N817&lt;3.8,"3029",IF(N817&lt;5,"3038",IF(N817&lt;7,"3050",IF(N817&lt;9,"3070",IF(N817&lt;11,"3090","3110"))))))),""))))</f>
        <v/>
      </c>
      <c r="Q817">
        <f>AND(O817=TRUE,P817&lt;&gt;"")</f>
        <v/>
      </c>
      <c r="R817">
        <f>IF(G817*1000&lt;750,"なし","あり")</f>
        <v/>
      </c>
      <c r="S817">
        <f>IF(AND(O817=TRUE,Q817=TRUE),"設定可","BLOCK")</f>
        <v/>
      </c>
      <c r="T817" t="inlineStr">
        <is>
          <t>商品カタログ P194</t>
        </is>
      </c>
      <c r="U817" t="inlineStr">
        <is>
          <t>https://webcatalog.lixil.co.jp/iportal/CatalogDetail.do?catalogID=15191910000&amp;categoryID=1630000&amp;designID=newinter&amp;method=initial_screen&amp;position=18&amp;type=mc&amp;volumeID=LXL13001</t>
        </is>
      </c>
    </row>
    <row r="818">
      <c r="A818" t="inlineStr">
        <is>
          <t>WG-SL-00815</t>
        </is>
      </c>
      <c r="B818" t="inlineStr">
        <is>
          <t>SZ-SL-001036</t>
        </is>
      </c>
      <c r="C818" t="inlineStr">
        <is>
          <t>WT-SL-MENKOSHI-AGE-FS</t>
        </is>
      </c>
      <c r="D818" t="inlineStr">
        <is>
          <t>SP-SL-AGE-GRILLE-IGETA</t>
        </is>
      </c>
      <c r="E818" t="inlineStr">
        <is>
          <t>03613</t>
        </is>
      </c>
      <c r="F818" t="n">
        <v>0.405</v>
      </c>
      <c r="G818" t="n">
        <v>1.37</v>
      </c>
      <c r="H818" t="inlineStr">
        <is>
          <t>GL-SL-005</t>
        </is>
      </c>
      <c r="I818" t="n">
        <v>7</v>
      </c>
      <c r="J818" t="n">
        <v>9.1</v>
      </c>
      <c r="K818" t="n">
        <v>-0.48</v>
      </c>
      <c r="L818" t="n">
        <v>-0.998</v>
      </c>
      <c r="M818" t="n">
        <v>0.367</v>
      </c>
      <c r="N818">
        <f>ROUND(J818*F818*G818+K818*G818+L818*F818+M818,3)</f>
        <v/>
      </c>
      <c r="O818">
        <f>AND(N818&gt;=1.4,N818&lt;=13)</f>
        <v/>
      </c>
      <c r="P818">
        <f>IF(OR(N818&lt;1.4,N818&gt;13),"",IF(G818*1000&lt;=1170,IF(N818&lt;1.8,"1014",IF(N818&lt;2.9,"1018",IF(N818&lt;3.8,"1029",IF(N818&lt;5,"1038",IF(N818&lt;7,"1050",IF(N818&lt;9,"1070",IF(N818&lt;11,"1090","1110"))))))),IF(G818*1000&lt;=1570,IF(N818&lt;1.8,"",IF(N818&lt;2.9,"2018",IF(N818&lt;3.8,"2029",IF(N818&lt;5,"2038",IF(N818&lt;7,"2050",IF(N818&lt;9,"2070",IF(N818&lt;11,"2090","2110"))))))),IF(G818*1000&lt;=1700,IF(N818&lt;1.8,"",IF(N818&lt;2.9,"3018",IF(N818&lt;3.8,"3029",IF(N818&lt;5,"3038",IF(N818&lt;7,"3050",IF(N818&lt;9,"3070",IF(N818&lt;11,"3090","3110"))))))),""))))</f>
        <v/>
      </c>
      <c r="Q818">
        <f>AND(O818=TRUE,P818&lt;&gt;"")</f>
        <v/>
      </c>
      <c r="R818">
        <f>IF(G818*1000&lt;750,"なし","あり")</f>
        <v/>
      </c>
      <c r="S818">
        <f>IF(AND(O818=TRUE,Q818=TRUE),"設定可","BLOCK")</f>
        <v/>
      </c>
      <c r="T818" t="inlineStr">
        <is>
          <t>商品カタログ P194</t>
        </is>
      </c>
      <c r="U818" t="inlineStr">
        <is>
          <t>https://webcatalog.lixil.co.jp/iportal/CatalogDetail.do?catalogID=15191910000&amp;categoryID=1630000&amp;designID=newinter&amp;method=initial_screen&amp;position=18&amp;type=mc&amp;volumeID=LXL13001</t>
        </is>
      </c>
    </row>
    <row r="819">
      <c r="A819" t="inlineStr">
        <is>
          <t>WG-SL-00816</t>
        </is>
      </c>
      <c r="B819" t="inlineStr">
        <is>
          <t>SZ-SL-001036</t>
        </is>
      </c>
      <c r="C819" t="inlineStr">
        <is>
          <t>WT-SL-MENKOSHI-AGE-FS</t>
        </is>
      </c>
      <c r="D819" t="inlineStr">
        <is>
          <t>SP-SL-AGE-GRILLE-IGETA</t>
        </is>
      </c>
      <c r="E819" t="inlineStr">
        <is>
          <t>03613</t>
        </is>
      </c>
      <c r="F819" t="n">
        <v>0.405</v>
      </c>
      <c r="G819" t="n">
        <v>1.37</v>
      </c>
      <c r="H819" t="inlineStr">
        <is>
          <t>GL-SL-006</t>
        </is>
      </c>
      <c r="I819" t="n">
        <v>8</v>
      </c>
      <c r="J819" t="n">
        <v>10.4</v>
      </c>
      <c r="K819" t="n">
        <v>-0.605</v>
      </c>
      <c r="L819" t="n">
        <v>-1.332</v>
      </c>
      <c r="M819" t="n">
        <v>0.399</v>
      </c>
      <c r="N819">
        <f>ROUND(J819*F819*G819+K819*G819+L819*F819+M819,3)</f>
        <v/>
      </c>
      <c r="O819">
        <f>AND(N819&gt;=1.4,N819&lt;=13)</f>
        <v/>
      </c>
      <c r="P819">
        <f>IF(OR(N819&lt;1.4,N819&gt;13),"",IF(G819*1000&lt;=1170,IF(N819&lt;1.8,"1014",IF(N819&lt;2.9,"1018",IF(N819&lt;3.8,"1029",IF(N819&lt;5,"1038",IF(N819&lt;7,"1050",IF(N819&lt;9,"1070",IF(N819&lt;11,"1090","1110"))))))),IF(G819*1000&lt;=1570,IF(N819&lt;1.8,"",IF(N819&lt;2.9,"2018",IF(N819&lt;3.8,"2029",IF(N819&lt;5,"2038",IF(N819&lt;7,"2050",IF(N819&lt;9,"2070",IF(N819&lt;11,"2090","2110"))))))),IF(G819*1000&lt;=1700,IF(N819&lt;1.8,"",IF(N819&lt;2.9,"3018",IF(N819&lt;3.8,"3029",IF(N819&lt;5,"3038",IF(N819&lt;7,"3050",IF(N819&lt;9,"3070",IF(N819&lt;11,"3090","3110"))))))),""))))</f>
        <v/>
      </c>
      <c r="Q819">
        <f>AND(O819=TRUE,P819&lt;&gt;"")</f>
        <v/>
      </c>
      <c r="R819">
        <f>IF(G819*1000&lt;750,"なし","あり")</f>
        <v/>
      </c>
      <c r="S819">
        <f>IF(AND(O819=TRUE,Q819=TRUE),"設定可","BLOCK")</f>
        <v/>
      </c>
      <c r="T819" t="inlineStr">
        <is>
          <t>商品カタログ P194</t>
        </is>
      </c>
      <c r="U819" t="inlineStr">
        <is>
          <t>https://webcatalog.lixil.co.jp/iportal/CatalogDetail.do?catalogID=15191910000&amp;categoryID=1630000&amp;designID=newinter&amp;method=initial_screen&amp;position=18&amp;type=mc&amp;volumeID=LXL13001</t>
        </is>
      </c>
    </row>
    <row r="820">
      <c r="A820" t="inlineStr">
        <is>
          <t>WG-SL-00817</t>
        </is>
      </c>
      <c r="B820" t="inlineStr">
        <is>
          <t>SZ-SL-001036</t>
        </is>
      </c>
      <c r="C820" t="inlineStr">
        <is>
          <t>WT-SL-MENKOSHI-AGE-FS</t>
        </is>
      </c>
      <c r="D820" t="inlineStr">
        <is>
          <t>SP-SL-AGE-GRILLE-IGETA</t>
        </is>
      </c>
      <c r="E820" t="inlineStr">
        <is>
          <t>03613</t>
        </is>
      </c>
      <c r="F820" t="n">
        <v>0.405</v>
      </c>
      <c r="G820" t="n">
        <v>1.37</v>
      </c>
      <c r="H820" t="inlineStr">
        <is>
          <t>GL-SL-007</t>
        </is>
      </c>
      <c r="I820" t="n">
        <v>6</v>
      </c>
      <c r="J820" t="n">
        <v>7.8</v>
      </c>
      <c r="K820" t="n">
        <v>-0.355</v>
      </c>
      <c r="L820" t="n">
        <v>-0.664</v>
      </c>
      <c r="M820" t="n">
        <v>0.335</v>
      </c>
      <c r="N820">
        <f>ROUND(J820*F820*G820+K820*G820+L820*F820+M820,3)</f>
        <v/>
      </c>
      <c r="O820">
        <f>AND(N820&gt;=1.4,N820&lt;=13)</f>
        <v/>
      </c>
      <c r="P820">
        <f>IF(OR(N820&lt;1.4,N820&gt;13),"",IF(G820*1000&lt;=1170,IF(N820&lt;1.8,"1014",IF(N820&lt;2.9,"1018",IF(N820&lt;3.8,"1029",IF(N820&lt;5,"1038",IF(N820&lt;7,"1050",IF(N820&lt;9,"1070",IF(N820&lt;11,"1090","1110"))))))),IF(G820*1000&lt;=1570,IF(N820&lt;1.8,"",IF(N820&lt;2.9,"2018",IF(N820&lt;3.8,"2029",IF(N820&lt;5,"2038",IF(N820&lt;7,"2050",IF(N820&lt;9,"2070",IF(N820&lt;11,"2090","2110"))))))),IF(G820*1000&lt;=1700,IF(N820&lt;1.8,"",IF(N820&lt;2.9,"3018",IF(N820&lt;3.8,"3029",IF(N820&lt;5,"3038",IF(N820&lt;7,"3050",IF(N820&lt;9,"3070",IF(N820&lt;11,"3090","3110"))))))),""))))</f>
        <v/>
      </c>
      <c r="Q820">
        <f>AND(O820=TRUE,P820&lt;&gt;"")</f>
        <v/>
      </c>
      <c r="R820">
        <f>IF(G820*1000&lt;750,"なし","あり")</f>
        <v/>
      </c>
      <c r="S820">
        <f>IF(AND(O820=TRUE,Q820=TRUE),"設定可","BLOCK")</f>
        <v/>
      </c>
      <c r="T820" t="inlineStr">
        <is>
          <t>商品カタログ P194</t>
        </is>
      </c>
      <c r="U820" t="inlineStr">
        <is>
          <t>https://webcatalog.lixil.co.jp/iportal/CatalogDetail.do?catalogID=15191910000&amp;categoryID=1630000&amp;designID=newinter&amp;method=initial_screen&amp;position=18&amp;type=mc&amp;volumeID=LXL13001</t>
        </is>
      </c>
    </row>
    <row r="821">
      <c r="A821" t="inlineStr">
        <is>
          <t>WG-SL-00818</t>
        </is>
      </c>
      <c r="B821" t="inlineStr">
        <is>
          <t>SZ-SL-001036</t>
        </is>
      </c>
      <c r="C821" t="inlineStr">
        <is>
          <t>WT-SL-MENKOSHI-AGE-FS</t>
        </is>
      </c>
      <c r="D821" t="inlineStr">
        <is>
          <t>SP-SL-AGE-GRILLE-IGETA</t>
        </is>
      </c>
      <c r="E821" t="inlineStr">
        <is>
          <t>03613</t>
        </is>
      </c>
      <c r="F821" t="n">
        <v>0.405</v>
      </c>
      <c r="G821" t="n">
        <v>1.37</v>
      </c>
      <c r="H821" t="inlineStr">
        <is>
          <t>GL-SL-008</t>
        </is>
      </c>
      <c r="I821" t="n">
        <v>7</v>
      </c>
      <c r="J821" t="n">
        <v>9.1</v>
      </c>
      <c r="K821" t="n">
        <v>-0.48</v>
      </c>
      <c r="L821" t="n">
        <v>-0.998</v>
      </c>
      <c r="M821" t="n">
        <v>0.367</v>
      </c>
      <c r="N821">
        <f>ROUND(J821*F821*G821+K821*G821+L821*F821+M821,3)</f>
        <v/>
      </c>
      <c r="O821">
        <f>AND(N821&gt;=1.4,N821&lt;=13)</f>
        <v/>
      </c>
      <c r="P821">
        <f>IF(OR(N821&lt;1.4,N821&gt;13),"",IF(G821*1000&lt;=1170,IF(N821&lt;1.8,"1014",IF(N821&lt;2.9,"1018",IF(N821&lt;3.8,"1029",IF(N821&lt;5,"1038",IF(N821&lt;7,"1050",IF(N821&lt;9,"1070",IF(N821&lt;11,"1090","1110"))))))),IF(G821*1000&lt;=1570,IF(N821&lt;1.8,"",IF(N821&lt;2.9,"2018",IF(N821&lt;3.8,"2029",IF(N821&lt;5,"2038",IF(N821&lt;7,"2050",IF(N821&lt;9,"2070",IF(N821&lt;11,"2090","2110"))))))),IF(G821*1000&lt;=1700,IF(N821&lt;1.8,"",IF(N821&lt;2.9,"3018",IF(N821&lt;3.8,"3029",IF(N821&lt;5,"3038",IF(N821&lt;7,"3050",IF(N821&lt;9,"3070",IF(N821&lt;11,"3090","3110"))))))),""))))</f>
        <v/>
      </c>
      <c r="Q821">
        <f>AND(O821=TRUE,P821&lt;&gt;"")</f>
        <v/>
      </c>
      <c r="R821">
        <f>IF(G821*1000&lt;750,"なし","あり")</f>
        <v/>
      </c>
      <c r="S821">
        <f>IF(AND(O821=TRUE,Q821=TRUE),"設定可","BLOCK")</f>
        <v/>
      </c>
      <c r="T821" t="inlineStr">
        <is>
          <t>商品カタログ P194</t>
        </is>
      </c>
      <c r="U821" t="inlineStr">
        <is>
          <t>https://webcatalog.lixil.co.jp/iportal/CatalogDetail.do?catalogID=15191910000&amp;categoryID=1630000&amp;designID=newinter&amp;method=initial_screen&amp;position=18&amp;type=mc&amp;volumeID=LXL13001</t>
        </is>
      </c>
    </row>
    <row r="822">
      <c r="A822" t="inlineStr">
        <is>
          <t>WG-SL-00819</t>
        </is>
      </c>
      <c r="B822" t="inlineStr">
        <is>
          <t>SZ-SL-001036</t>
        </is>
      </c>
      <c r="C822" t="inlineStr">
        <is>
          <t>WT-SL-MENKOSHI-AGE-FS</t>
        </is>
      </c>
      <c r="D822" t="inlineStr">
        <is>
          <t>SP-SL-AGE-GRILLE-IGETA</t>
        </is>
      </c>
      <c r="E822" t="inlineStr">
        <is>
          <t>03613</t>
        </is>
      </c>
      <c r="F822" t="n">
        <v>0.405</v>
      </c>
      <c r="G822" t="n">
        <v>1.37</v>
      </c>
      <c r="H822" t="inlineStr">
        <is>
          <t>GL-SL-009</t>
        </is>
      </c>
      <c r="I822" t="n">
        <v>8</v>
      </c>
      <c r="J822" t="n">
        <v>10.4</v>
      </c>
      <c r="K822" t="n">
        <v>-0.605</v>
      </c>
      <c r="L822" t="n">
        <v>-1.332</v>
      </c>
      <c r="M822" t="n">
        <v>0.399</v>
      </c>
      <c r="N822">
        <f>ROUND(J822*F822*G822+K822*G822+L822*F822+M822,3)</f>
        <v/>
      </c>
      <c r="O822">
        <f>AND(N822&gt;=1.4,N822&lt;=13)</f>
        <v/>
      </c>
      <c r="P822">
        <f>IF(OR(N822&lt;1.4,N822&gt;13),"",IF(G822*1000&lt;=1170,IF(N822&lt;1.8,"1014",IF(N822&lt;2.9,"1018",IF(N822&lt;3.8,"1029",IF(N822&lt;5,"1038",IF(N822&lt;7,"1050",IF(N822&lt;9,"1070",IF(N822&lt;11,"1090","1110"))))))),IF(G822*1000&lt;=1570,IF(N822&lt;1.8,"",IF(N822&lt;2.9,"2018",IF(N822&lt;3.8,"2029",IF(N822&lt;5,"2038",IF(N822&lt;7,"2050",IF(N822&lt;9,"2070",IF(N822&lt;11,"2090","2110"))))))),IF(G822*1000&lt;=1700,IF(N822&lt;1.8,"",IF(N822&lt;2.9,"3018",IF(N822&lt;3.8,"3029",IF(N822&lt;5,"3038",IF(N822&lt;7,"3050",IF(N822&lt;9,"3070",IF(N822&lt;11,"3090","3110"))))))),""))))</f>
        <v/>
      </c>
      <c r="Q822">
        <f>AND(O822=TRUE,P822&lt;&gt;"")</f>
        <v/>
      </c>
      <c r="R822">
        <f>IF(G822*1000&lt;750,"なし","あり")</f>
        <v/>
      </c>
      <c r="S822">
        <f>IF(AND(O822=TRUE,Q822=TRUE),"設定可","BLOCK")</f>
        <v/>
      </c>
      <c r="T822" t="inlineStr">
        <is>
          <t>商品カタログ P194</t>
        </is>
      </c>
      <c r="U822" t="inlineStr">
        <is>
          <t>https://webcatalog.lixil.co.jp/iportal/CatalogDetail.do?catalogID=15191910000&amp;categoryID=1630000&amp;designID=newinter&amp;method=initial_screen&amp;position=18&amp;type=mc&amp;volumeID=LXL13001</t>
        </is>
      </c>
    </row>
    <row r="823">
      <c r="A823" t="inlineStr">
        <is>
          <t>WG-SL-00820</t>
        </is>
      </c>
      <c r="B823" t="inlineStr">
        <is>
          <t>SZ-SL-001037</t>
        </is>
      </c>
      <c r="C823" t="inlineStr">
        <is>
          <t>WT-SL-MENKOSHI-AGE-FS</t>
        </is>
      </c>
      <c r="D823" t="inlineStr">
        <is>
          <t>SP-SL-AGE-GRILLE-IGETA</t>
        </is>
      </c>
      <c r="E823" t="inlineStr">
        <is>
          <t>06013</t>
        </is>
      </c>
      <c r="F823" t="n">
        <v>0.64</v>
      </c>
      <c r="G823" t="n">
        <v>1.37</v>
      </c>
      <c r="H823" t="inlineStr">
        <is>
          <t>GL-SL-001</t>
        </is>
      </c>
      <c r="I823" t="n">
        <v>6</v>
      </c>
      <c r="J823" t="n">
        <v>7.8</v>
      </c>
      <c r="K823" t="n">
        <v>-0.355</v>
      </c>
      <c r="L823" t="n">
        <v>-0.664</v>
      </c>
      <c r="M823" t="n">
        <v>0.335</v>
      </c>
      <c r="N823">
        <f>ROUND(J823*F823*G823+K823*G823+L823*F823+M823,3)</f>
        <v/>
      </c>
      <c r="O823">
        <f>AND(N823&gt;=1.4,N823&lt;=13)</f>
        <v/>
      </c>
      <c r="P823">
        <f>IF(OR(N823&lt;1.4,N823&gt;13),"",IF(G823*1000&lt;=1170,IF(N823&lt;1.8,"1014",IF(N823&lt;2.9,"1018",IF(N823&lt;3.8,"1029",IF(N823&lt;5,"1038",IF(N823&lt;7,"1050",IF(N823&lt;9,"1070",IF(N823&lt;11,"1090","1110"))))))),IF(G823*1000&lt;=1570,IF(N823&lt;1.8,"",IF(N823&lt;2.9,"2018",IF(N823&lt;3.8,"2029",IF(N823&lt;5,"2038",IF(N823&lt;7,"2050",IF(N823&lt;9,"2070",IF(N823&lt;11,"2090","2110"))))))),IF(G823*1000&lt;=1700,IF(N823&lt;1.8,"",IF(N823&lt;2.9,"3018",IF(N823&lt;3.8,"3029",IF(N823&lt;5,"3038",IF(N823&lt;7,"3050",IF(N823&lt;9,"3070",IF(N823&lt;11,"3090","3110"))))))),""))))</f>
        <v/>
      </c>
      <c r="Q823">
        <f>AND(O823=TRUE,P823&lt;&gt;"")</f>
        <v/>
      </c>
      <c r="R823">
        <f>IF(G823*1000&lt;750,"なし","あり")</f>
        <v/>
      </c>
      <c r="S823">
        <f>IF(AND(O823=TRUE,Q823=TRUE),"設定可","BLOCK")</f>
        <v/>
      </c>
      <c r="T823" t="inlineStr">
        <is>
          <t>商品カタログ P194</t>
        </is>
      </c>
      <c r="U823" t="inlineStr">
        <is>
          <t>https://webcatalog.lixil.co.jp/iportal/CatalogDetail.do?catalogID=15191910000&amp;categoryID=1630000&amp;designID=newinter&amp;method=initial_screen&amp;position=18&amp;type=mc&amp;volumeID=LXL13001</t>
        </is>
      </c>
    </row>
    <row r="824">
      <c r="A824" t="inlineStr">
        <is>
          <t>WG-SL-00821</t>
        </is>
      </c>
      <c r="B824" t="inlineStr">
        <is>
          <t>SZ-SL-001037</t>
        </is>
      </c>
      <c r="C824" t="inlineStr">
        <is>
          <t>WT-SL-MENKOSHI-AGE-FS</t>
        </is>
      </c>
      <c r="D824" t="inlineStr">
        <is>
          <t>SP-SL-AGE-GRILLE-IGETA</t>
        </is>
      </c>
      <c r="E824" t="inlineStr">
        <is>
          <t>06013</t>
        </is>
      </c>
      <c r="F824" t="n">
        <v>0.64</v>
      </c>
      <c r="G824" t="n">
        <v>1.37</v>
      </c>
      <c r="H824" t="inlineStr">
        <is>
          <t>GL-SL-002</t>
        </is>
      </c>
      <c r="I824" t="n">
        <v>7</v>
      </c>
      <c r="J824" t="n">
        <v>9.1</v>
      </c>
      <c r="K824" t="n">
        <v>-0.48</v>
      </c>
      <c r="L824" t="n">
        <v>-0.998</v>
      </c>
      <c r="M824" t="n">
        <v>0.367</v>
      </c>
      <c r="N824">
        <f>ROUND(J824*F824*G824+K824*G824+L824*F824+M824,3)</f>
        <v/>
      </c>
      <c r="O824">
        <f>AND(N824&gt;=1.4,N824&lt;=13)</f>
        <v/>
      </c>
      <c r="P824">
        <f>IF(OR(N824&lt;1.4,N824&gt;13),"",IF(G824*1000&lt;=1170,IF(N824&lt;1.8,"1014",IF(N824&lt;2.9,"1018",IF(N824&lt;3.8,"1029",IF(N824&lt;5,"1038",IF(N824&lt;7,"1050",IF(N824&lt;9,"1070",IF(N824&lt;11,"1090","1110"))))))),IF(G824*1000&lt;=1570,IF(N824&lt;1.8,"",IF(N824&lt;2.9,"2018",IF(N824&lt;3.8,"2029",IF(N824&lt;5,"2038",IF(N824&lt;7,"2050",IF(N824&lt;9,"2070",IF(N824&lt;11,"2090","2110"))))))),IF(G824*1000&lt;=1700,IF(N824&lt;1.8,"",IF(N824&lt;2.9,"3018",IF(N824&lt;3.8,"3029",IF(N824&lt;5,"3038",IF(N824&lt;7,"3050",IF(N824&lt;9,"3070",IF(N824&lt;11,"3090","3110"))))))),""))))</f>
        <v/>
      </c>
      <c r="Q824">
        <f>AND(O824=TRUE,P824&lt;&gt;"")</f>
        <v/>
      </c>
      <c r="R824">
        <f>IF(G824*1000&lt;750,"なし","あり")</f>
        <v/>
      </c>
      <c r="S824">
        <f>IF(AND(O824=TRUE,Q824=TRUE),"設定可","BLOCK")</f>
        <v/>
      </c>
      <c r="T824" t="inlineStr">
        <is>
          <t>商品カタログ P194</t>
        </is>
      </c>
      <c r="U824" t="inlineStr">
        <is>
          <t>https://webcatalog.lixil.co.jp/iportal/CatalogDetail.do?catalogID=15191910000&amp;categoryID=1630000&amp;designID=newinter&amp;method=initial_screen&amp;position=18&amp;type=mc&amp;volumeID=LXL13001</t>
        </is>
      </c>
    </row>
    <row r="825">
      <c r="A825" t="inlineStr">
        <is>
          <t>WG-SL-00822</t>
        </is>
      </c>
      <c r="B825" t="inlineStr">
        <is>
          <t>SZ-SL-001037</t>
        </is>
      </c>
      <c r="C825" t="inlineStr">
        <is>
          <t>WT-SL-MENKOSHI-AGE-FS</t>
        </is>
      </c>
      <c r="D825" t="inlineStr">
        <is>
          <t>SP-SL-AGE-GRILLE-IGETA</t>
        </is>
      </c>
      <c r="E825" t="inlineStr">
        <is>
          <t>06013</t>
        </is>
      </c>
      <c r="F825" t="n">
        <v>0.64</v>
      </c>
      <c r="G825" t="n">
        <v>1.37</v>
      </c>
      <c r="H825" t="inlineStr">
        <is>
          <t>GL-SL-003</t>
        </is>
      </c>
      <c r="I825" t="n">
        <v>8</v>
      </c>
      <c r="J825" t="n">
        <v>10.4</v>
      </c>
      <c r="K825" t="n">
        <v>-0.605</v>
      </c>
      <c r="L825" t="n">
        <v>-1.332</v>
      </c>
      <c r="M825" t="n">
        <v>0.399</v>
      </c>
      <c r="N825">
        <f>ROUND(J825*F825*G825+K825*G825+L825*F825+M825,3)</f>
        <v/>
      </c>
      <c r="O825">
        <f>AND(N825&gt;=1.4,N825&lt;=13)</f>
        <v/>
      </c>
      <c r="P825">
        <f>IF(OR(N825&lt;1.4,N825&gt;13),"",IF(G825*1000&lt;=1170,IF(N825&lt;1.8,"1014",IF(N825&lt;2.9,"1018",IF(N825&lt;3.8,"1029",IF(N825&lt;5,"1038",IF(N825&lt;7,"1050",IF(N825&lt;9,"1070",IF(N825&lt;11,"1090","1110"))))))),IF(G825*1000&lt;=1570,IF(N825&lt;1.8,"",IF(N825&lt;2.9,"2018",IF(N825&lt;3.8,"2029",IF(N825&lt;5,"2038",IF(N825&lt;7,"2050",IF(N825&lt;9,"2070",IF(N825&lt;11,"2090","2110"))))))),IF(G825*1000&lt;=1700,IF(N825&lt;1.8,"",IF(N825&lt;2.9,"3018",IF(N825&lt;3.8,"3029",IF(N825&lt;5,"3038",IF(N825&lt;7,"3050",IF(N825&lt;9,"3070",IF(N825&lt;11,"3090","3110"))))))),""))))</f>
        <v/>
      </c>
      <c r="Q825">
        <f>AND(O825=TRUE,P825&lt;&gt;"")</f>
        <v/>
      </c>
      <c r="R825">
        <f>IF(G825*1000&lt;750,"なし","あり")</f>
        <v/>
      </c>
      <c r="S825">
        <f>IF(AND(O825=TRUE,Q825=TRUE),"設定可","BLOCK")</f>
        <v/>
      </c>
      <c r="T825" t="inlineStr">
        <is>
          <t>商品カタログ P194</t>
        </is>
      </c>
      <c r="U825" t="inlineStr">
        <is>
          <t>https://webcatalog.lixil.co.jp/iportal/CatalogDetail.do?catalogID=15191910000&amp;categoryID=1630000&amp;designID=newinter&amp;method=initial_screen&amp;position=18&amp;type=mc&amp;volumeID=LXL13001</t>
        </is>
      </c>
    </row>
    <row r="826">
      <c r="A826" t="inlineStr">
        <is>
          <t>WG-SL-00823</t>
        </is>
      </c>
      <c r="B826" t="inlineStr">
        <is>
          <t>SZ-SL-001037</t>
        </is>
      </c>
      <c r="C826" t="inlineStr">
        <is>
          <t>WT-SL-MENKOSHI-AGE-FS</t>
        </is>
      </c>
      <c r="D826" t="inlineStr">
        <is>
          <t>SP-SL-AGE-GRILLE-IGETA</t>
        </is>
      </c>
      <c r="E826" t="inlineStr">
        <is>
          <t>06013</t>
        </is>
      </c>
      <c r="F826" t="n">
        <v>0.64</v>
      </c>
      <c r="G826" t="n">
        <v>1.37</v>
      </c>
      <c r="H826" t="inlineStr">
        <is>
          <t>GL-SL-004</t>
        </is>
      </c>
      <c r="I826" t="n">
        <v>6</v>
      </c>
      <c r="J826" t="n">
        <v>7.8</v>
      </c>
      <c r="K826" t="n">
        <v>-0.355</v>
      </c>
      <c r="L826" t="n">
        <v>-0.664</v>
      </c>
      <c r="M826" t="n">
        <v>0.335</v>
      </c>
      <c r="N826">
        <f>ROUND(J826*F826*G826+K826*G826+L826*F826+M826,3)</f>
        <v/>
      </c>
      <c r="O826">
        <f>AND(N826&gt;=1.4,N826&lt;=13)</f>
        <v/>
      </c>
      <c r="P826">
        <f>IF(OR(N826&lt;1.4,N826&gt;13),"",IF(G826*1000&lt;=1170,IF(N826&lt;1.8,"1014",IF(N826&lt;2.9,"1018",IF(N826&lt;3.8,"1029",IF(N826&lt;5,"1038",IF(N826&lt;7,"1050",IF(N826&lt;9,"1070",IF(N826&lt;11,"1090","1110"))))))),IF(G826*1000&lt;=1570,IF(N826&lt;1.8,"",IF(N826&lt;2.9,"2018",IF(N826&lt;3.8,"2029",IF(N826&lt;5,"2038",IF(N826&lt;7,"2050",IF(N826&lt;9,"2070",IF(N826&lt;11,"2090","2110"))))))),IF(G826*1000&lt;=1700,IF(N826&lt;1.8,"",IF(N826&lt;2.9,"3018",IF(N826&lt;3.8,"3029",IF(N826&lt;5,"3038",IF(N826&lt;7,"3050",IF(N826&lt;9,"3070",IF(N826&lt;11,"3090","3110"))))))),""))))</f>
        <v/>
      </c>
      <c r="Q826">
        <f>AND(O826=TRUE,P826&lt;&gt;"")</f>
        <v/>
      </c>
      <c r="R826">
        <f>IF(G826*1000&lt;750,"なし","あり")</f>
        <v/>
      </c>
      <c r="S826">
        <f>IF(AND(O826=TRUE,Q826=TRUE),"設定可","BLOCK")</f>
        <v/>
      </c>
      <c r="T826" t="inlineStr">
        <is>
          <t>商品カタログ P194</t>
        </is>
      </c>
      <c r="U826" t="inlineStr">
        <is>
          <t>https://webcatalog.lixil.co.jp/iportal/CatalogDetail.do?catalogID=15191910000&amp;categoryID=1630000&amp;designID=newinter&amp;method=initial_screen&amp;position=18&amp;type=mc&amp;volumeID=LXL13001</t>
        </is>
      </c>
    </row>
    <row r="827">
      <c r="A827" t="inlineStr">
        <is>
          <t>WG-SL-00824</t>
        </is>
      </c>
      <c r="B827" t="inlineStr">
        <is>
          <t>SZ-SL-001037</t>
        </is>
      </c>
      <c r="C827" t="inlineStr">
        <is>
          <t>WT-SL-MENKOSHI-AGE-FS</t>
        </is>
      </c>
      <c r="D827" t="inlineStr">
        <is>
          <t>SP-SL-AGE-GRILLE-IGETA</t>
        </is>
      </c>
      <c r="E827" t="inlineStr">
        <is>
          <t>06013</t>
        </is>
      </c>
      <c r="F827" t="n">
        <v>0.64</v>
      </c>
      <c r="G827" t="n">
        <v>1.37</v>
      </c>
      <c r="H827" t="inlineStr">
        <is>
          <t>GL-SL-005</t>
        </is>
      </c>
      <c r="I827" t="n">
        <v>7</v>
      </c>
      <c r="J827" t="n">
        <v>9.1</v>
      </c>
      <c r="K827" t="n">
        <v>-0.48</v>
      </c>
      <c r="L827" t="n">
        <v>-0.998</v>
      </c>
      <c r="M827" t="n">
        <v>0.367</v>
      </c>
      <c r="N827">
        <f>ROUND(J827*F827*G827+K827*G827+L827*F827+M827,3)</f>
        <v/>
      </c>
      <c r="O827">
        <f>AND(N827&gt;=1.4,N827&lt;=13)</f>
        <v/>
      </c>
      <c r="P827">
        <f>IF(OR(N827&lt;1.4,N827&gt;13),"",IF(G827*1000&lt;=1170,IF(N827&lt;1.8,"1014",IF(N827&lt;2.9,"1018",IF(N827&lt;3.8,"1029",IF(N827&lt;5,"1038",IF(N827&lt;7,"1050",IF(N827&lt;9,"1070",IF(N827&lt;11,"1090","1110"))))))),IF(G827*1000&lt;=1570,IF(N827&lt;1.8,"",IF(N827&lt;2.9,"2018",IF(N827&lt;3.8,"2029",IF(N827&lt;5,"2038",IF(N827&lt;7,"2050",IF(N827&lt;9,"2070",IF(N827&lt;11,"2090","2110"))))))),IF(G827*1000&lt;=1700,IF(N827&lt;1.8,"",IF(N827&lt;2.9,"3018",IF(N827&lt;3.8,"3029",IF(N827&lt;5,"3038",IF(N827&lt;7,"3050",IF(N827&lt;9,"3070",IF(N827&lt;11,"3090","3110"))))))),""))))</f>
        <v/>
      </c>
      <c r="Q827">
        <f>AND(O827=TRUE,P827&lt;&gt;"")</f>
        <v/>
      </c>
      <c r="R827">
        <f>IF(G827*1000&lt;750,"なし","あり")</f>
        <v/>
      </c>
      <c r="S827">
        <f>IF(AND(O827=TRUE,Q827=TRUE),"設定可","BLOCK")</f>
        <v/>
      </c>
      <c r="T827" t="inlineStr">
        <is>
          <t>商品カタログ P194</t>
        </is>
      </c>
      <c r="U827" t="inlineStr">
        <is>
          <t>https://webcatalog.lixil.co.jp/iportal/CatalogDetail.do?catalogID=15191910000&amp;categoryID=1630000&amp;designID=newinter&amp;method=initial_screen&amp;position=18&amp;type=mc&amp;volumeID=LXL13001</t>
        </is>
      </c>
    </row>
    <row r="828">
      <c r="A828" t="inlineStr">
        <is>
          <t>WG-SL-00825</t>
        </is>
      </c>
      <c r="B828" t="inlineStr">
        <is>
          <t>SZ-SL-001037</t>
        </is>
      </c>
      <c r="C828" t="inlineStr">
        <is>
          <t>WT-SL-MENKOSHI-AGE-FS</t>
        </is>
      </c>
      <c r="D828" t="inlineStr">
        <is>
          <t>SP-SL-AGE-GRILLE-IGETA</t>
        </is>
      </c>
      <c r="E828" t="inlineStr">
        <is>
          <t>06013</t>
        </is>
      </c>
      <c r="F828" t="n">
        <v>0.64</v>
      </c>
      <c r="G828" t="n">
        <v>1.37</v>
      </c>
      <c r="H828" t="inlineStr">
        <is>
          <t>GL-SL-006</t>
        </is>
      </c>
      <c r="I828" t="n">
        <v>8</v>
      </c>
      <c r="J828" t="n">
        <v>10.4</v>
      </c>
      <c r="K828" t="n">
        <v>-0.605</v>
      </c>
      <c r="L828" t="n">
        <v>-1.332</v>
      </c>
      <c r="M828" t="n">
        <v>0.399</v>
      </c>
      <c r="N828">
        <f>ROUND(J828*F828*G828+K828*G828+L828*F828+M828,3)</f>
        <v/>
      </c>
      <c r="O828">
        <f>AND(N828&gt;=1.4,N828&lt;=13)</f>
        <v/>
      </c>
      <c r="P828">
        <f>IF(OR(N828&lt;1.4,N828&gt;13),"",IF(G828*1000&lt;=1170,IF(N828&lt;1.8,"1014",IF(N828&lt;2.9,"1018",IF(N828&lt;3.8,"1029",IF(N828&lt;5,"1038",IF(N828&lt;7,"1050",IF(N828&lt;9,"1070",IF(N828&lt;11,"1090","1110"))))))),IF(G828*1000&lt;=1570,IF(N828&lt;1.8,"",IF(N828&lt;2.9,"2018",IF(N828&lt;3.8,"2029",IF(N828&lt;5,"2038",IF(N828&lt;7,"2050",IF(N828&lt;9,"2070",IF(N828&lt;11,"2090","2110"))))))),IF(G828*1000&lt;=1700,IF(N828&lt;1.8,"",IF(N828&lt;2.9,"3018",IF(N828&lt;3.8,"3029",IF(N828&lt;5,"3038",IF(N828&lt;7,"3050",IF(N828&lt;9,"3070",IF(N828&lt;11,"3090","3110"))))))),""))))</f>
        <v/>
      </c>
      <c r="Q828">
        <f>AND(O828=TRUE,P828&lt;&gt;"")</f>
        <v/>
      </c>
      <c r="R828">
        <f>IF(G828*1000&lt;750,"なし","あり")</f>
        <v/>
      </c>
      <c r="S828">
        <f>IF(AND(O828=TRUE,Q828=TRUE),"設定可","BLOCK")</f>
        <v/>
      </c>
      <c r="T828" t="inlineStr">
        <is>
          <t>商品カタログ P194</t>
        </is>
      </c>
      <c r="U828" t="inlineStr">
        <is>
          <t>https://webcatalog.lixil.co.jp/iportal/CatalogDetail.do?catalogID=15191910000&amp;categoryID=1630000&amp;designID=newinter&amp;method=initial_screen&amp;position=18&amp;type=mc&amp;volumeID=LXL13001</t>
        </is>
      </c>
    </row>
    <row r="829">
      <c r="A829" t="inlineStr">
        <is>
          <t>WG-SL-00826</t>
        </is>
      </c>
      <c r="B829" t="inlineStr">
        <is>
          <t>SZ-SL-001037</t>
        </is>
      </c>
      <c r="C829" t="inlineStr">
        <is>
          <t>WT-SL-MENKOSHI-AGE-FS</t>
        </is>
      </c>
      <c r="D829" t="inlineStr">
        <is>
          <t>SP-SL-AGE-GRILLE-IGETA</t>
        </is>
      </c>
      <c r="E829" t="inlineStr">
        <is>
          <t>06013</t>
        </is>
      </c>
      <c r="F829" t="n">
        <v>0.64</v>
      </c>
      <c r="G829" t="n">
        <v>1.37</v>
      </c>
      <c r="H829" t="inlineStr">
        <is>
          <t>GL-SL-007</t>
        </is>
      </c>
      <c r="I829" t="n">
        <v>6</v>
      </c>
      <c r="J829" t="n">
        <v>7.8</v>
      </c>
      <c r="K829" t="n">
        <v>-0.355</v>
      </c>
      <c r="L829" t="n">
        <v>-0.664</v>
      </c>
      <c r="M829" t="n">
        <v>0.335</v>
      </c>
      <c r="N829">
        <f>ROUND(J829*F829*G829+K829*G829+L829*F829+M829,3)</f>
        <v/>
      </c>
      <c r="O829">
        <f>AND(N829&gt;=1.4,N829&lt;=13)</f>
        <v/>
      </c>
      <c r="P829">
        <f>IF(OR(N829&lt;1.4,N829&gt;13),"",IF(G829*1000&lt;=1170,IF(N829&lt;1.8,"1014",IF(N829&lt;2.9,"1018",IF(N829&lt;3.8,"1029",IF(N829&lt;5,"1038",IF(N829&lt;7,"1050",IF(N829&lt;9,"1070",IF(N829&lt;11,"1090","1110"))))))),IF(G829*1000&lt;=1570,IF(N829&lt;1.8,"",IF(N829&lt;2.9,"2018",IF(N829&lt;3.8,"2029",IF(N829&lt;5,"2038",IF(N829&lt;7,"2050",IF(N829&lt;9,"2070",IF(N829&lt;11,"2090","2110"))))))),IF(G829*1000&lt;=1700,IF(N829&lt;1.8,"",IF(N829&lt;2.9,"3018",IF(N829&lt;3.8,"3029",IF(N829&lt;5,"3038",IF(N829&lt;7,"3050",IF(N829&lt;9,"3070",IF(N829&lt;11,"3090","3110"))))))),""))))</f>
        <v/>
      </c>
      <c r="Q829">
        <f>AND(O829=TRUE,P829&lt;&gt;"")</f>
        <v/>
      </c>
      <c r="R829">
        <f>IF(G829*1000&lt;750,"なし","あり")</f>
        <v/>
      </c>
      <c r="S829">
        <f>IF(AND(O829=TRUE,Q829=TRUE),"設定可","BLOCK")</f>
        <v/>
      </c>
      <c r="T829" t="inlineStr">
        <is>
          <t>商品カタログ P194</t>
        </is>
      </c>
      <c r="U829" t="inlineStr">
        <is>
          <t>https://webcatalog.lixil.co.jp/iportal/CatalogDetail.do?catalogID=15191910000&amp;categoryID=1630000&amp;designID=newinter&amp;method=initial_screen&amp;position=18&amp;type=mc&amp;volumeID=LXL13001</t>
        </is>
      </c>
    </row>
    <row r="830">
      <c r="A830" t="inlineStr">
        <is>
          <t>WG-SL-00827</t>
        </is>
      </c>
      <c r="B830" t="inlineStr">
        <is>
          <t>SZ-SL-001037</t>
        </is>
      </c>
      <c r="C830" t="inlineStr">
        <is>
          <t>WT-SL-MENKOSHI-AGE-FS</t>
        </is>
      </c>
      <c r="D830" t="inlineStr">
        <is>
          <t>SP-SL-AGE-GRILLE-IGETA</t>
        </is>
      </c>
      <c r="E830" t="inlineStr">
        <is>
          <t>06013</t>
        </is>
      </c>
      <c r="F830" t="n">
        <v>0.64</v>
      </c>
      <c r="G830" t="n">
        <v>1.37</v>
      </c>
      <c r="H830" t="inlineStr">
        <is>
          <t>GL-SL-008</t>
        </is>
      </c>
      <c r="I830" t="n">
        <v>7</v>
      </c>
      <c r="J830" t="n">
        <v>9.1</v>
      </c>
      <c r="K830" t="n">
        <v>-0.48</v>
      </c>
      <c r="L830" t="n">
        <v>-0.998</v>
      </c>
      <c r="M830" t="n">
        <v>0.367</v>
      </c>
      <c r="N830">
        <f>ROUND(J830*F830*G830+K830*G830+L830*F830+M830,3)</f>
        <v/>
      </c>
      <c r="O830">
        <f>AND(N830&gt;=1.4,N830&lt;=13)</f>
        <v/>
      </c>
      <c r="P830">
        <f>IF(OR(N830&lt;1.4,N830&gt;13),"",IF(G830*1000&lt;=1170,IF(N830&lt;1.8,"1014",IF(N830&lt;2.9,"1018",IF(N830&lt;3.8,"1029",IF(N830&lt;5,"1038",IF(N830&lt;7,"1050",IF(N830&lt;9,"1070",IF(N830&lt;11,"1090","1110"))))))),IF(G830*1000&lt;=1570,IF(N830&lt;1.8,"",IF(N830&lt;2.9,"2018",IF(N830&lt;3.8,"2029",IF(N830&lt;5,"2038",IF(N830&lt;7,"2050",IF(N830&lt;9,"2070",IF(N830&lt;11,"2090","2110"))))))),IF(G830*1000&lt;=1700,IF(N830&lt;1.8,"",IF(N830&lt;2.9,"3018",IF(N830&lt;3.8,"3029",IF(N830&lt;5,"3038",IF(N830&lt;7,"3050",IF(N830&lt;9,"3070",IF(N830&lt;11,"3090","3110"))))))),""))))</f>
        <v/>
      </c>
      <c r="Q830">
        <f>AND(O830=TRUE,P830&lt;&gt;"")</f>
        <v/>
      </c>
      <c r="R830">
        <f>IF(G830*1000&lt;750,"なし","あり")</f>
        <v/>
      </c>
      <c r="S830">
        <f>IF(AND(O830=TRUE,Q830=TRUE),"設定可","BLOCK")</f>
        <v/>
      </c>
      <c r="T830" t="inlineStr">
        <is>
          <t>商品カタログ P194</t>
        </is>
      </c>
      <c r="U830" t="inlineStr">
        <is>
          <t>https://webcatalog.lixil.co.jp/iportal/CatalogDetail.do?catalogID=15191910000&amp;categoryID=1630000&amp;designID=newinter&amp;method=initial_screen&amp;position=18&amp;type=mc&amp;volumeID=LXL13001</t>
        </is>
      </c>
    </row>
    <row r="831">
      <c r="A831" t="inlineStr">
        <is>
          <t>WG-SL-00828</t>
        </is>
      </c>
      <c r="B831" t="inlineStr">
        <is>
          <t>SZ-SL-001037</t>
        </is>
      </c>
      <c r="C831" t="inlineStr">
        <is>
          <t>WT-SL-MENKOSHI-AGE-FS</t>
        </is>
      </c>
      <c r="D831" t="inlineStr">
        <is>
          <t>SP-SL-AGE-GRILLE-IGETA</t>
        </is>
      </c>
      <c r="E831" t="inlineStr">
        <is>
          <t>06013</t>
        </is>
      </c>
      <c r="F831" t="n">
        <v>0.64</v>
      </c>
      <c r="G831" t="n">
        <v>1.37</v>
      </c>
      <c r="H831" t="inlineStr">
        <is>
          <t>GL-SL-009</t>
        </is>
      </c>
      <c r="I831" t="n">
        <v>8</v>
      </c>
      <c r="J831" t="n">
        <v>10.4</v>
      </c>
      <c r="K831" t="n">
        <v>-0.605</v>
      </c>
      <c r="L831" t="n">
        <v>-1.332</v>
      </c>
      <c r="M831" t="n">
        <v>0.399</v>
      </c>
      <c r="N831">
        <f>ROUND(J831*F831*G831+K831*G831+L831*F831+M831,3)</f>
        <v/>
      </c>
      <c r="O831">
        <f>AND(N831&gt;=1.4,N831&lt;=13)</f>
        <v/>
      </c>
      <c r="P831">
        <f>IF(OR(N831&lt;1.4,N831&gt;13),"",IF(G831*1000&lt;=1170,IF(N831&lt;1.8,"1014",IF(N831&lt;2.9,"1018",IF(N831&lt;3.8,"1029",IF(N831&lt;5,"1038",IF(N831&lt;7,"1050",IF(N831&lt;9,"1070",IF(N831&lt;11,"1090","1110"))))))),IF(G831*1000&lt;=1570,IF(N831&lt;1.8,"",IF(N831&lt;2.9,"2018",IF(N831&lt;3.8,"2029",IF(N831&lt;5,"2038",IF(N831&lt;7,"2050",IF(N831&lt;9,"2070",IF(N831&lt;11,"2090","2110"))))))),IF(G831*1000&lt;=1700,IF(N831&lt;1.8,"",IF(N831&lt;2.9,"3018",IF(N831&lt;3.8,"3029",IF(N831&lt;5,"3038",IF(N831&lt;7,"3050",IF(N831&lt;9,"3070",IF(N831&lt;11,"3090","3110"))))))),""))))</f>
        <v/>
      </c>
      <c r="Q831">
        <f>AND(O831=TRUE,P831&lt;&gt;"")</f>
        <v/>
      </c>
      <c r="R831">
        <f>IF(G831*1000&lt;750,"なし","あり")</f>
        <v/>
      </c>
      <c r="S831">
        <f>IF(AND(O831=TRUE,Q831=TRUE),"設定可","BLOCK")</f>
        <v/>
      </c>
      <c r="T831" t="inlineStr">
        <is>
          <t>商品カタログ P194</t>
        </is>
      </c>
      <c r="U831" t="inlineStr">
        <is>
          <t>https://webcatalog.lixil.co.jp/iportal/CatalogDetail.do?catalogID=15191910000&amp;categoryID=1630000&amp;designID=newinter&amp;method=initial_screen&amp;position=18&amp;type=mc&amp;volumeID=LXL13001</t>
        </is>
      </c>
    </row>
    <row r="832">
      <c r="A832" t="inlineStr">
        <is>
          <t>WG-SL-00829</t>
        </is>
      </c>
      <c r="B832" t="inlineStr">
        <is>
          <t>SZ-SL-001038</t>
        </is>
      </c>
      <c r="C832" t="inlineStr">
        <is>
          <t>WT-SL-MENKOSHI-AGE-FS</t>
        </is>
      </c>
      <c r="D832" t="inlineStr">
        <is>
          <t>SP-SL-AGE-GRILLE-IGETA</t>
        </is>
      </c>
      <c r="E832" t="inlineStr">
        <is>
          <t>06913</t>
        </is>
      </c>
      <c r="F832" t="n">
        <v>0.73</v>
      </c>
      <c r="G832" t="n">
        <v>1.37</v>
      </c>
      <c r="H832" t="inlineStr">
        <is>
          <t>GL-SL-001</t>
        </is>
      </c>
      <c r="I832" t="n">
        <v>6</v>
      </c>
      <c r="J832" t="n">
        <v>7.8</v>
      </c>
      <c r="K832" t="n">
        <v>-0.355</v>
      </c>
      <c r="L832" t="n">
        <v>-0.664</v>
      </c>
      <c r="M832" t="n">
        <v>0.335</v>
      </c>
      <c r="N832">
        <f>ROUND(J832*F832*G832+K832*G832+L832*F832+M832,3)</f>
        <v/>
      </c>
      <c r="O832">
        <f>AND(N832&gt;=1.4,N832&lt;=13)</f>
        <v/>
      </c>
      <c r="P832">
        <f>IF(OR(N832&lt;1.4,N832&gt;13),"",IF(G832*1000&lt;=1170,IF(N832&lt;1.8,"1014",IF(N832&lt;2.9,"1018",IF(N832&lt;3.8,"1029",IF(N832&lt;5,"1038",IF(N832&lt;7,"1050",IF(N832&lt;9,"1070",IF(N832&lt;11,"1090","1110"))))))),IF(G832*1000&lt;=1570,IF(N832&lt;1.8,"",IF(N832&lt;2.9,"2018",IF(N832&lt;3.8,"2029",IF(N832&lt;5,"2038",IF(N832&lt;7,"2050",IF(N832&lt;9,"2070",IF(N832&lt;11,"2090","2110"))))))),IF(G832*1000&lt;=1700,IF(N832&lt;1.8,"",IF(N832&lt;2.9,"3018",IF(N832&lt;3.8,"3029",IF(N832&lt;5,"3038",IF(N832&lt;7,"3050",IF(N832&lt;9,"3070",IF(N832&lt;11,"3090","3110"))))))),""))))</f>
        <v/>
      </c>
      <c r="Q832">
        <f>AND(O832=TRUE,P832&lt;&gt;"")</f>
        <v/>
      </c>
      <c r="R832">
        <f>IF(G832*1000&lt;750,"なし","あり")</f>
        <v/>
      </c>
      <c r="S832">
        <f>IF(AND(O832=TRUE,Q832=TRUE),"設定可","BLOCK")</f>
        <v/>
      </c>
      <c r="T832" t="inlineStr">
        <is>
          <t>商品カタログ P194</t>
        </is>
      </c>
      <c r="U832" t="inlineStr">
        <is>
          <t>https://webcatalog.lixil.co.jp/iportal/CatalogDetail.do?catalogID=15191910000&amp;categoryID=1630000&amp;designID=newinter&amp;method=initial_screen&amp;position=18&amp;type=mc&amp;volumeID=LXL13001</t>
        </is>
      </c>
    </row>
    <row r="833">
      <c r="A833" t="inlineStr">
        <is>
          <t>WG-SL-00830</t>
        </is>
      </c>
      <c r="B833" t="inlineStr">
        <is>
          <t>SZ-SL-001038</t>
        </is>
      </c>
      <c r="C833" t="inlineStr">
        <is>
          <t>WT-SL-MENKOSHI-AGE-FS</t>
        </is>
      </c>
      <c r="D833" t="inlineStr">
        <is>
          <t>SP-SL-AGE-GRILLE-IGETA</t>
        </is>
      </c>
      <c r="E833" t="inlineStr">
        <is>
          <t>06913</t>
        </is>
      </c>
      <c r="F833" t="n">
        <v>0.73</v>
      </c>
      <c r="G833" t="n">
        <v>1.37</v>
      </c>
      <c r="H833" t="inlineStr">
        <is>
          <t>GL-SL-002</t>
        </is>
      </c>
      <c r="I833" t="n">
        <v>7</v>
      </c>
      <c r="J833" t="n">
        <v>9.1</v>
      </c>
      <c r="K833" t="n">
        <v>-0.48</v>
      </c>
      <c r="L833" t="n">
        <v>-0.998</v>
      </c>
      <c r="M833" t="n">
        <v>0.367</v>
      </c>
      <c r="N833">
        <f>ROUND(J833*F833*G833+K833*G833+L833*F833+M833,3)</f>
        <v/>
      </c>
      <c r="O833">
        <f>AND(N833&gt;=1.4,N833&lt;=13)</f>
        <v/>
      </c>
      <c r="P833">
        <f>IF(OR(N833&lt;1.4,N833&gt;13),"",IF(G833*1000&lt;=1170,IF(N833&lt;1.8,"1014",IF(N833&lt;2.9,"1018",IF(N833&lt;3.8,"1029",IF(N833&lt;5,"1038",IF(N833&lt;7,"1050",IF(N833&lt;9,"1070",IF(N833&lt;11,"1090","1110"))))))),IF(G833*1000&lt;=1570,IF(N833&lt;1.8,"",IF(N833&lt;2.9,"2018",IF(N833&lt;3.8,"2029",IF(N833&lt;5,"2038",IF(N833&lt;7,"2050",IF(N833&lt;9,"2070",IF(N833&lt;11,"2090","2110"))))))),IF(G833*1000&lt;=1700,IF(N833&lt;1.8,"",IF(N833&lt;2.9,"3018",IF(N833&lt;3.8,"3029",IF(N833&lt;5,"3038",IF(N833&lt;7,"3050",IF(N833&lt;9,"3070",IF(N833&lt;11,"3090","3110"))))))),""))))</f>
        <v/>
      </c>
      <c r="Q833">
        <f>AND(O833=TRUE,P833&lt;&gt;"")</f>
        <v/>
      </c>
      <c r="R833">
        <f>IF(G833*1000&lt;750,"なし","あり")</f>
        <v/>
      </c>
      <c r="S833">
        <f>IF(AND(O833=TRUE,Q833=TRUE),"設定可","BLOCK")</f>
        <v/>
      </c>
      <c r="T833" t="inlineStr">
        <is>
          <t>商品カタログ P194</t>
        </is>
      </c>
      <c r="U833" t="inlineStr">
        <is>
          <t>https://webcatalog.lixil.co.jp/iportal/CatalogDetail.do?catalogID=15191910000&amp;categoryID=1630000&amp;designID=newinter&amp;method=initial_screen&amp;position=18&amp;type=mc&amp;volumeID=LXL13001</t>
        </is>
      </c>
    </row>
    <row r="834">
      <c r="A834" t="inlineStr">
        <is>
          <t>WG-SL-00831</t>
        </is>
      </c>
      <c r="B834" t="inlineStr">
        <is>
          <t>SZ-SL-001038</t>
        </is>
      </c>
      <c r="C834" t="inlineStr">
        <is>
          <t>WT-SL-MENKOSHI-AGE-FS</t>
        </is>
      </c>
      <c r="D834" t="inlineStr">
        <is>
          <t>SP-SL-AGE-GRILLE-IGETA</t>
        </is>
      </c>
      <c r="E834" t="inlineStr">
        <is>
          <t>06913</t>
        </is>
      </c>
      <c r="F834" t="n">
        <v>0.73</v>
      </c>
      <c r="G834" t="n">
        <v>1.37</v>
      </c>
      <c r="H834" t="inlineStr">
        <is>
          <t>GL-SL-003</t>
        </is>
      </c>
      <c r="I834" t="n">
        <v>8</v>
      </c>
      <c r="J834" t="n">
        <v>10.4</v>
      </c>
      <c r="K834" t="n">
        <v>-0.605</v>
      </c>
      <c r="L834" t="n">
        <v>-1.332</v>
      </c>
      <c r="M834" t="n">
        <v>0.399</v>
      </c>
      <c r="N834">
        <f>ROUND(J834*F834*G834+K834*G834+L834*F834+M834,3)</f>
        <v/>
      </c>
      <c r="O834">
        <f>AND(N834&gt;=1.4,N834&lt;=13)</f>
        <v/>
      </c>
      <c r="P834">
        <f>IF(OR(N834&lt;1.4,N834&gt;13),"",IF(G834*1000&lt;=1170,IF(N834&lt;1.8,"1014",IF(N834&lt;2.9,"1018",IF(N834&lt;3.8,"1029",IF(N834&lt;5,"1038",IF(N834&lt;7,"1050",IF(N834&lt;9,"1070",IF(N834&lt;11,"1090","1110"))))))),IF(G834*1000&lt;=1570,IF(N834&lt;1.8,"",IF(N834&lt;2.9,"2018",IF(N834&lt;3.8,"2029",IF(N834&lt;5,"2038",IF(N834&lt;7,"2050",IF(N834&lt;9,"2070",IF(N834&lt;11,"2090","2110"))))))),IF(G834*1000&lt;=1700,IF(N834&lt;1.8,"",IF(N834&lt;2.9,"3018",IF(N834&lt;3.8,"3029",IF(N834&lt;5,"3038",IF(N834&lt;7,"3050",IF(N834&lt;9,"3070",IF(N834&lt;11,"3090","3110"))))))),""))))</f>
        <v/>
      </c>
      <c r="Q834">
        <f>AND(O834=TRUE,P834&lt;&gt;"")</f>
        <v/>
      </c>
      <c r="R834">
        <f>IF(G834*1000&lt;750,"なし","あり")</f>
        <v/>
      </c>
      <c r="S834">
        <f>IF(AND(O834=TRUE,Q834=TRUE),"設定可","BLOCK")</f>
        <v/>
      </c>
      <c r="T834" t="inlineStr">
        <is>
          <t>商品カタログ P194</t>
        </is>
      </c>
      <c r="U834" t="inlineStr">
        <is>
          <t>https://webcatalog.lixil.co.jp/iportal/CatalogDetail.do?catalogID=15191910000&amp;categoryID=1630000&amp;designID=newinter&amp;method=initial_screen&amp;position=18&amp;type=mc&amp;volumeID=LXL13001</t>
        </is>
      </c>
    </row>
    <row r="835">
      <c r="A835" t="inlineStr">
        <is>
          <t>WG-SL-00832</t>
        </is>
      </c>
      <c r="B835" t="inlineStr">
        <is>
          <t>SZ-SL-001038</t>
        </is>
      </c>
      <c r="C835" t="inlineStr">
        <is>
          <t>WT-SL-MENKOSHI-AGE-FS</t>
        </is>
      </c>
      <c r="D835" t="inlineStr">
        <is>
          <t>SP-SL-AGE-GRILLE-IGETA</t>
        </is>
      </c>
      <c r="E835" t="inlineStr">
        <is>
          <t>06913</t>
        </is>
      </c>
      <c r="F835" t="n">
        <v>0.73</v>
      </c>
      <c r="G835" t="n">
        <v>1.37</v>
      </c>
      <c r="H835" t="inlineStr">
        <is>
          <t>GL-SL-004</t>
        </is>
      </c>
      <c r="I835" t="n">
        <v>6</v>
      </c>
      <c r="J835" t="n">
        <v>7.8</v>
      </c>
      <c r="K835" t="n">
        <v>-0.355</v>
      </c>
      <c r="L835" t="n">
        <v>-0.664</v>
      </c>
      <c r="M835" t="n">
        <v>0.335</v>
      </c>
      <c r="N835">
        <f>ROUND(J835*F835*G835+K835*G835+L835*F835+M835,3)</f>
        <v/>
      </c>
      <c r="O835">
        <f>AND(N835&gt;=1.4,N835&lt;=13)</f>
        <v/>
      </c>
      <c r="P835">
        <f>IF(OR(N835&lt;1.4,N835&gt;13),"",IF(G835*1000&lt;=1170,IF(N835&lt;1.8,"1014",IF(N835&lt;2.9,"1018",IF(N835&lt;3.8,"1029",IF(N835&lt;5,"1038",IF(N835&lt;7,"1050",IF(N835&lt;9,"1070",IF(N835&lt;11,"1090","1110"))))))),IF(G835*1000&lt;=1570,IF(N835&lt;1.8,"",IF(N835&lt;2.9,"2018",IF(N835&lt;3.8,"2029",IF(N835&lt;5,"2038",IF(N835&lt;7,"2050",IF(N835&lt;9,"2070",IF(N835&lt;11,"2090","2110"))))))),IF(G835*1000&lt;=1700,IF(N835&lt;1.8,"",IF(N835&lt;2.9,"3018",IF(N835&lt;3.8,"3029",IF(N835&lt;5,"3038",IF(N835&lt;7,"3050",IF(N835&lt;9,"3070",IF(N835&lt;11,"3090","3110"))))))),""))))</f>
        <v/>
      </c>
      <c r="Q835">
        <f>AND(O835=TRUE,P835&lt;&gt;"")</f>
        <v/>
      </c>
      <c r="R835">
        <f>IF(G835*1000&lt;750,"なし","あり")</f>
        <v/>
      </c>
      <c r="S835">
        <f>IF(AND(O835=TRUE,Q835=TRUE),"設定可","BLOCK")</f>
        <v/>
      </c>
      <c r="T835" t="inlineStr">
        <is>
          <t>商品カタログ P194</t>
        </is>
      </c>
      <c r="U835" t="inlineStr">
        <is>
          <t>https://webcatalog.lixil.co.jp/iportal/CatalogDetail.do?catalogID=15191910000&amp;categoryID=1630000&amp;designID=newinter&amp;method=initial_screen&amp;position=18&amp;type=mc&amp;volumeID=LXL13001</t>
        </is>
      </c>
    </row>
    <row r="836">
      <c r="A836" t="inlineStr">
        <is>
          <t>WG-SL-00833</t>
        </is>
      </c>
      <c r="B836" t="inlineStr">
        <is>
          <t>SZ-SL-001038</t>
        </is>
      </c>
      <c r="C836" t="inlineStr">
        <is>
          <t>WT-SL-MENKOSHI-AGE-FS</t>
        </is>
      </c>
      <c r="D836" t="inlineStr">
        <is>
          <t>SP-SL-AGE-GRILLE-IGETA</t>
        </is>
      </c>
      <c r="E836" t="inlineStr">
        <is>
          <t>06913</t>
        </is>
      </c>
      <c r="F836" t="n">
        <v>0.73</v>
      </c>
      <c r="G836" t="n">
        <v>1.37</v>
      </c>
      <c r="H836" t="inlineStr">
        <is>
          <t>GL-SL-005</t>
        </is>
      </c>
      <c r="I836" t="n">
        <v>7</v>
      </c>
      <c r="J836" t="n">
        <v>9.1</v>
      </c>
      <c r="K836" t="n">
        <v>-0.48</v>
      </c>
      <c r="L836" t="n">
        <v>-0.998</v>
      </c>
      <c r="M836" t="n">
        <v>0.367</v>
      </c>
      <c r="N836">
        <f>ROUND(J836*F836*G836+K836*G836+L836*F836+M836,3)</f>
        <v/>
      </c>
      <c r="O836">
        <f>AND(N836&gt;=1.4,N836&lt;=13)</f>
        <v/>
      </c>
      <c r="P836">
        <f>IF(OR(N836&lt;1.4,N836&gt;13),"",IF(G836*1000&lt;=1170,IF(N836&lt;1.8,"1014",IF(N836&lt;2.9,"1018",IF(N836&lt;3.8,"1029",IF(N836&lt;5,"1038",IF(N836&lt;7,"1050",IF(N836&lt;9,"1070",IF(N836&lt;11,"1090","1110"))))))),IF(G836*1000&lt;=1570,IF(N836&lt;1.8,"",IF(N836&lt;2.9,"2018",IF(N836&lt;3.8,"2029",IF(N836&lt;5,"2038",IF(N836&lt;7,"2050",IF(N836&lt;9,"2070",IF(N836&lt;11,"2090","2110"))))))),IF(G836*1000&lt;=1700,IF(N836&lt;1.8,"",IF(N836&lt;2.9,"3018",IF(N836&lt;3.8,"3029",IF(N836&lt;5,"3038",IF(N836&lt;7,"3050",IF(N836&lt;9,"3070",IF(N836&lt;11,"3090","3110"))))))),""))))</f>
        <v/>
      </c>
      <c r="Q836">
        <f>AND(O836=TRUE,P836&lt;&gt;"")</f>
        <v/>
      </c>
      <c r="R836">
        <f>IF(G836*1000&lt;750,"なし","あり")</f>
        <v/>
      </c>
      <c r="S836">
        <f>IF(AND(O836=TRUE,Q836=TRUE),"設定可","BLOCK")</f>
        <v/>
      </c>
      <c r="T836" t="inlineStr">
        <is>
          <t>商品カタログ P194</t>
        </is>
      </c>
      <c r="U836" t="inlineStr">
        <is>
          <t>https://webcatalog.lixil.co.jp/iportal/CatalogDetail.do?catalogID=15191910000&amp;categoryID=1630000&amp;designID=newinter&amp;method=initial_screen&amp;position=18&amp;type=mc&amp;volumeID=LXL13001</t>
        </is>
      </c>
    </row>
    <row r="837">
      <c r="A837" t="inlineStr">
        <is>
          <t>WG-SL-00834</t>
        </is>
      </c>
      <c r="B837" t="inlineStr">
        <is>
          <t>SZ-SL-001038</t>
        </is>
      </c>
      <c r="C837" t="inlineStr">
        <is>
          <t>WT-SL-MENKOSHI-AGE-FS</t>
        </is>
      </c>
      <c r="D837" t="inlineStr">
        <is>
          <t>SP-SL-AGE-GRILLE-IGETA</t>
        </is>
      </c>
      <c r="E837" t="inlineStr">
        <is>
          <t>06913</t>
        </is>
      </c>
      <c r="F837" t="n">
        <v>0.73</v>
      </c>
      <c r="G837" t="n">
        <v>1.37</v>
      </c>
      <c r="H837" t="inlineStr">
        <is>
          <t>GL-SL-006</t>
        </is>
      </c>
      <c r="I837" t="n">
        <v>8</v>
      </c>
      <c r="J837" t="n">
        <v>10.4</v>
      </c>
      <c r="K837" t="n">
        <v>-0.605</v>
      </c>
      <c r="L837" t="n">
        <v>-1.332</v>
      </c>
      <c r="M837" t="n">
        <v>0.399</v>
      </c>
      <c r="N837">
        <f>ROUND(J837*F837*G837+K837*G837+L837*F837+M837,3)</f>
        <v/>
      </c>
      <c r="O837">
        <f>AND(N837&gt;=1.4,N837&lt;=13)</f>
        <v/>
      </c>
      <c r="P837">
        <f>IF(OR(N837&lt;1.4,N837&gt;13),"",IF(G837*1000&lt;=1170,IF(N837&lt;1.8,"1014",IF(N837&lt;2.9,"1018",IF(N837&lt;3.8,"1029",IF(N837&lt;5,"1038",IF(N837&lt;7,"1050",IF(N837&lt;9,"1070",IF(N837&lt;11,"1090","1110"))))))),IF(G837*1000&lt;=1570,IF(N837&lt;1.8,"",IF(N837&lt;2.9,"2018",IF(N837&lt;3.8,"2029",IF(N837&lt;5,"2038",IF(N837&lt;7,"2050",IF(N837&lt;9,"2070",IF(N837&lt;11,"2090","2110"))))))),IF(G837*1000&lt;=1700,IF(N837&lt;1.8,"",IF(N837&lt;2.9,"3018",IF(N837&lt;3.8,"3029",IF(N837&lt;5,"3038",IF(N837&lt;7,"3050",IF(N837&lt;9,"3070",IF(N837&lt;11,"3090","3110"))))))),""))))</f>
        <v/>
      </c>
      <c r="Q837">
        <f>AND(O837=TRUE,P837&lt;&gt;"")</f>
        <v/>
      </c>
      <c r="R837">
        <f>IF(G837*1000&lt;750,"なし","あり")</f>
        <v/>
      </c>
      <c r="S837">
        <f>IF(AND(O837=TRUE,Q837=TRUE),"設定可","BLOCK")</f>
        <v/>
      </c>
      <c r="T837" t="inlineStr">
        <is>
          <t>商品カタログ P194</t>
        </is>
      </c>
      <c r="U837" t="inlineStr">
        <is>
          <t>https://webcatalog.lixil.co.jp/iportal/CatalogDetail.do?catalogID=15191910000&amp;categoryID=1630000&amp;designID=newinter&amp;method=initial_screen&amp;position=18&amp;type=mc&amp;volumeID=LXL13001</t>
        </is>
      </c>
    </row>
    <row r="838">
      <c r="A838" t="inlineStr">
        <is>
          <t>WG-SL-00835</t>
        </is>
      </c>
      <c r="B838" t="inlineStr">
        <is>
          <t>SZ-SL-001038</t>
        </is>
      </c>
      <c r="C838" t="inlineStr">
        <is>
          <t>WT-SL-MENKOSHI-AGE-FS</t>
        </is>
      </c>
      <c r="D838" t="inlineStr">
        <is>
          <t>SP-SL-AGE-GRILLE-IGETA</t>
        </is>
      </c>
      <c r="E838" t="inlineStr">
        <is>
          <t>06913</t>
        </is>
      </c>
      <c r="F838" t="n">
        <v>0.73</v>
      </c>
      <c r="G838" t="n">
        <v>1.37</v>
      </c>
      <c r="H838" t="inlineStr">
        <is>
          <t>GL-SL-007</t>
        </is>
      </c>
      <c r="I838" t="n">
        <v>6</v>
      </c>
      <c r="J838" t="n">
        <v>7.8</v>
      </c>
      <c r="K838" t="n">
        <v>-0.355</v>
      </c>
      <c r="L838" t="n">
        <v>-0.664</v>
      </c>
      <c r="M838" t="n">
        <v>0.335</v>
      </c>
      <c r="N838">
        <f>ROUND(J838*F838*G838+K838*G838+L838*F838+M838,3)</f>
        <v/>
      </c>
      <c r="O838">
        <f>AND(N838&gt;=1.4,N838&lt;=13)</f>
        <v/>
      </c>
      <c r="P838">
        <f>IF(OR(N838&lt;1.4,N838&gt;13),"",IF(G838*1000&lt;=1170,IF(N838&lt;1.8,"1014",IF(N838&lt;2.9,"1018",IF(N838&lt;3.8,"1029",IF(N838&lt;5,"1038",IF(N838&lt;7,"1050",IF(N838&lt;9,"1070",IF(N838&lt;11,"1090","1110"))))))),IF(G838*1000&lt;=1570,IF(N838&lt;1.8,"",IF(N838&lt;2.9,"2018",IF(N838&lt;3.8,"2029",IF(N838&lt;5,"2038",IF(N838&lt;7,"2050",IF(N838&lt;9,"2070",IF(N838&lt;11,"2090","2110"))))))),IF(G838*1000&lt;=1700,IF(N838&lt;1.8,"",IF(N838&lt;2.9,"3018",IF(N838&lt;3.8,"3029",IF(N838&lt;5,"3038",IF(N838&lt;7,"3050",IF(N838&lt;9,"3070",IF(N838&lt;11,"3090","3110"))))))),""))))</f>
        <v/>
      </c>
      <c r="Q838">
        <f>AND(O838=TRUE,P838&lt;&gt;"")</f>
        <v/>
      </c>
      <c r="R838">
        <f>IF(G838*1000&lt;750,"なし","あり")</f>
        <v/>
      </c>
      <c r="S838">
        <f>IF(AND(O838=TRUE,Q838=TRUE),"設定可","BLOCK")</f>
        <v/>
      </c>
      <c r="T838" t="inlineStr">
        <is>
          <t>商品カタログ P194</t>
        </is>
      </c>
      <c r="U838" t="inlineStr">
        <is>
          <t>https://webcatalog.lixil.co.jp/iportal/CatalogDetail.do?catalogID=15191910000&amp;categoryID=1630000&amp;designID=newinter&amp;method=initial_screen&amp;position=18&amp;type=mc&amp;volumeID=LXL13001</t>
        </is>
      </c>
    </row>
    <row r="839">
      <c r="A839" t="inlineStr">
        <is>
          <t>WG-SL-00836</t>
        </is>
      </c>
      <c r="B839" t="inlineStr">
        <is>
          <t>SZ-SL-001038</t>
        </is>
      </c>
      <c r="C839" t="inlineStr">
        <is>
          <t>WT-SL-MENKOSHI-AGE-FS</t>
        </is>
      </c>
      <c r="D839" t="inlineStr">
        <is>
          <t>SP-SL-AGE-GRILLE-IGETA</t>
        </is>
      </c>
      <c r="E839" t="inlineStr">
        <is>
          <t>06913</t>
        </is>
      </c>
      <c r="F839" t="n">
        <v>0.73</v>
      </c>
      <c r="G839" t="n">
        <v>1.37</v>
      </c>
      <c r="H839" t="inlineStr">
        <is>
          <t>GL-SL-008</t>
        </is>
      </c>
      <c r="I839" t="n">
        <v>7</v>
      </c>
      <c r="J839" t="n">
        <v>9.1</v>
      </c>
      <c r="K839" t="n">
        <v>-0.48</v>
      </c>
      <c r="L839" t="n">
        <v>-0.998</v>
      </c>
      <c r="M839" t="n">
        <v>0.367</v>
      </c>
      <c r="N839">
        <f>ROUND(J839*F839*G839+K839*G839+L839*F839+M839,3)</f>
        <v/>
      </c>
      <c r="O839">
        <f>AND(N839&gt;=1.4,N839&lt;=13)</f>
        <v/>
      </c>
      <c r="P839">
        <f>IF(OR(N839&lt;1.4,N839&gt;13),"",IF(G839*1000&lt;=1170,IF(N839&lt;1.8,"1014",IF(N839&lt;2.9,"1018",IF(N839&lt;3.8,"1029",IF(N839&lt;5,"1038",IF(N839&lt;7,"1050",IF(N839&lt;9,"1070",IF(N839&lt;11,"1090","1110"))))))),IF(G839*1000&lt;=1570,IF(N839&lt;1.8,"",IF(N839&lt;2.9,"2018",IF(N839&lt;3.8,"2029",IF(N839&lt;5,"2038",IF(N839&lt;7,"2050",IF(N839&lt;9,"2070",IF(N839&lt;11,"2090","2110"))))))),IF(G839*1000&lt;=1700,IF(N839&lt;1.8,"",IF(N839&lt;2.9,"3018",IF(N839&lt;3.8,"3029",IF(N839&lt;5,"3038",IF(N839&lt;7,"3050",IF(N839&lt;9,"3070",IF(N839&lt;11,"3090","3110"))))))),""))))</f>
        <v/>
      </c>
      <c r="Q839">
        <f>AND(O839=TRUE,P839&lt;&gt;"")</f>
        <v/>
      </c>
      <c r="R839">
        <f>IF(G839*1000&lt;750,"なし","あり")</f>
        <v/>
      </c>
      <c r="S839">
        <f>IF(AND(O839=TRUE,Q839=TRUE),"設定可","BLOCK")</f>
        <v/>
      </c>
      <c r="T839" t="inlineStr">
        <is>
          <t>商品カタログ P194</t>
        </is>
      </c>
      <c r="U839" t="inlineStr">
        <is>
          <t>https://webcatalog.lixil.co.jp/iportal/CatalogDetail.do?catalogID=15191910000&amp;categoryID=1630000&amp;designID=newinter&amp;method=initial_screen&amp;position=18&amp;type=mc&amp;volumeID=LXL13001</t>
        </is>
      </c>
    </row>
    <row r="840">
      <c r="A840" t="inlineStr">
        <is>
          <t>WG-SL-00837</t>
        </is>
      </c>
      <c r="B840" t="inlineStr">
        <is>
          <t>SZ-SL-001038</t>
        </is>
      </c>
      <c r="C840" t="inlineStr">
        <is>
          <t>WT-SL-MENKOSHI-AGE-FS</t>
        </is>
      </c>
      <c r="D840" t="inlineStr">
        <is>
          <t>SP-SL-AGE-GRILLE-IGETA</t>
        </is>
      </c>
      <c r="E840" t="inlineStr">
        <is>
          <t>06913</t>
        </is>
      </c>
      <c r="F840" t="n">
        <v>0.73</v>
      </c>
      <c r="G840" t="n">
        <v>1.37</v>
      </c>
      <c r="H840" t="inlineStr">
        <is>
          <t>GL-SL-009</t>
        </is>
      </c>
      <c r="I840" t="n">
        <v>8</v>
      </c>
      <c r="J840" t="n">
        <v>10.4</v>
      </c>
      <c r="K840" t="n">
        <v>-0.605</v>
      </c>
      <c r="L840" t="n">
        <v>-1.332</v>
      </c>
      <c r="M840" t="n">
        <v>0.399</v>
      </c>
      <c r="N840">
        <f>ROUND(J840*F840*G840+K840*G840+L840*F840+M840,3)</f>
        <v/>
      </c>
      <c r="O840">
        <f>AND(N840&gt;=1.4,N840&lt;=13)</f>
        <v/>
      </c>
      <c r="P840">
        <f>IF(OR(N840&lt;1.4,N840&gt;13),"",IF(G840*1000&lt;=1170,IF(N840&lt;1.8,"1014",IF(N840&lt;2.9,"1018",IF(N840&lt;3.8,"1029",IF(N840&lt;5,"1038",IF(N840&lt;7,"1050",IF(N840&lt;9,"1070",IF(N840&lt;11,"1090","1110"))))))),IF(G840*1000&lt;=1570,IF(N840&lt;1.8,"",IF(N840&lt;2.9,"2018",IF(N840&lt;3.8,"2029",IF(N840&lt;5,"2038",IF(N840&lt;7,"2050",IF(N840&lt;9,"2070",IF(N840&lt;11,"2090","2110"))))))),IF(G840*1000&lt;=1700,IF(N840&lt;1.8,"",IF(N840&lt;2.9,"3018",IF(N840&lt;3.8,"3029",IF(N840&lt;5,"3038",IF(N840&lt;7,"3050",IF(N840&lt;9,"3070",IF(N840&lt;11,"3090","3110"))))))),""))))</f>
        <v/>
      </c>
      <c r="Q840">
        <f>AND(O840=TRUE,P840&lt;&gt;"")</f>
        <v/>
      </c>
      <c r="R840">
        <f>IF(G840*1000&lt;750,"なし","あり")</f>
        <v/>
      </c>
      <c r="S840">
        <f>IF(AND(O840=TRUE,Q840=TRUE),"設定可","BLOCK")</f>
        <v/>
      </c>
      <c r="T840" t="inlineStr">
        <is>
          <t>商品カタログ P194</t>
        </is>
      </c>
      <c r="U840" t="inlineStr">
        <is>
          <t>https://webcatalog.lixil.co.jp/iportal/CatalogDetail.do?catalogID=15191910000&amp;categoryID=1630000&amp;designID=newinter&amp;method=initial_screen&amp;position=18&amp;type=mc&amp;volumeID=LXL13001</t>
        </is>
      </c>
    </row>
    <row r="841">
      <c r="A841" t="inlineStr">
        <is>
          <t>WG-SL-00838</t>
        </is>
      </c>
      <c r="B841" t="inlineStr">
        <is>
          <t>SZ-SL-001039</t>
        </is>
      </c>
      <c r="C841" t="inlineStr">
        <is>
          <t>WT-SL-MENKOSHI-AGE-FS</t>
        </is>
      </c>
      <c r="D841" t="inlineStr">
        <is>
          <t>SP-SL-AGE-GRILLE-IGETA</t>
        </is>
      </c>
      <c r="E841" t="inlineStr">
        <is>
          <t>07413</t>
        </is>
      </c>
      <c r="F841" t="n">
        <v>0.78</v>
      </c>
      <c r="G841" t="n">
        <v>1.37</v>
      </c>
      <c r="H841" t="inlineStr">
        <is>
          <t>GL-SL-001</t>
        </is>
      </c>
      <c r="I841" t="n">
        <v>6</v>
      </c>
      <c r="J841" t="n">
        <v>7.8</v>
      </c>
      <c r="K841" t="n">
        <v>-0.355</v>
      </c>
      <c r="L841" t="n">
        <v>-0.664</v>
      </c>
      <c r="M841" t="n">
        <v>0.335</v>
      </c>
      <c r="N841">
        <f>ROUND(J841*F841*G841+K841*G841+L841*F841+M841,3)</f>
        <v/>
      </c>
      <c r="O841">
        <f>AND(N841&gt;=1.4,N841&lt;=13)</f>
        <v/>
      </c>
      <c r="P841">
        <f>IF(OR(N841&lt;1.4,N841&gt;13),"",IF(G841*1000&lt;=1170,IF(N841&lt;1.8,"1014",IF(N841&lt;2.9,"1018",IF(N841&lt;3.8,"1029",IF(N841&lt;5,"1038",IF(N841&lt;7,"1050",IF(N841&lt;9,"1070",IF(N841&lt;11,"1090","1110"))))))),IF(G841*1000&lt;=1570,IF(N841&lt;1.8,"",IF(N841&lt;2.9,"2018",IF(N841&lt;3.8,"2029",IF(N841&lt;5,"2038",IF(N841&lt;7,"2050",IF(N841&lt;9,"2070",IF(N841&lt;11,"2090","2110"))))))),IF(G841*1000&lt;=1700,IF(N841&lt;1.8,"",IF(N841&lt;2.9,"3018",IF(N841&lt;3.8,"3029",IF(N841&lt;5,"3038",IF(N841&lt;7,"3050",IF(N841&lt;9,"3070",IF(N841&lt;11,"3090","3110"))))))),""))))</f>
        <v/>
      </c>
      <c r="Q841">
        <f>AND(O841=TRUE,P841&lt;&gt;"")</f>
        <v/>
      </c>
      <c r="R841">
        <f>IF(G841*1000&lt;750,"なし","あり")</f>
        <v/>
      </c>
      <c r="S841">
        <f>IF(AND(O841=TRUE,Q841=TRUE),"設定可","BLOCK")</f>
        <v/>
      </c>
      <c r="T841" t="inlineStr">
        <is>
          <t>商品カタログ P194</t>
        </is>
      </c>
      <c r="U841" t="inlineStr">
        <is>
          <t>https://webcatalog.lixil.co.jp/iportal/CatalogDetail.do?catalogID=15191910000&amp;categoryID=1630000&amp;designID=newinter&amp;method=initial_screen&amp;position=18&amp;type=mc&amp;volumeID=LXL13001</t>
        </is>
      </c>
    </row>
    <row r="842">
      <c r="A842" t="inlineStr">
        <is>
          <t>WG-SL-00839</t>
        </is>
      </c>
      <c r="B842" t="inlineStr">
        <is>
          <t>SZ-SL-001039</t>
        </is>
      </c>
      <c r="C842" t="inlineStr">
        <is>
          <t>WT-SL-MENKOSHI-AGE-FS</t>
        </is>
      </c>
      <c r="D842" t="inlineStr">
        <is>
          <t>SP-SL-AGE-GRILLE-IGETA</t>
        </is>
      </c>
      <c r="E842" t="inlineStr">
        <is>
          <t>07413</t>
        </is>
      </c>
      <c r="F842" t="n">
        <v>0.78</v>
      </c>
      <c r="G842" t="n">
        <v>1.37</v>
      </c>
      <c r="H842" t="inlineStr">
        <is>
          <t>GL-SL-002</t>
        </is>
      </c>
      <c r="I842" t="n">
        <v>7</v>
      </c>
      <c r="J842" t="n">
        <v>9.1</v>
      </c>
      <c r="K842" t="n">
        <v>-0.48</v>
      </c>
      <c r="L842" t="n">
        <v>-0.998</v>
      </c>
      <c r="M842" t="n">
        <v>0.367</v>
      </c>
      <c r="N842">
        <f>ROUND(J842*F842*G842+K842*G842+L842*F842+M842,3)</f>
        <v/>
      </c>
      <c r="O842">
        <f>AND(N842&gt;=1.4,N842&lt;=13)</f>
        <v/>
      </c>
      <c r="P842">
        <f>IF(OR(N842&lt;1.4,N842&gt;13),"",IF(G842*1000&lt;=1170,IF(N842&lt;1.8,"1014",IF(N842&lt;2.9,"1018",IF(N842&lt;3.8,"1029",IF(N842&lt;5,"1038",IF(N842&lt;7,"1050",IF(N842&lt;9,"1070",IF(N842&lt;11,"1090","1110"))))))),IF(G842*1000&lt;=1570,IF(N842&lt;1.8,"",IF(N842&lt;2.9,"2018",IF(N842&lt;3.8,"2029",IF(N842&lt;5,"2038",IF(N842&lt;7,"2050",IF(N842&lt;9,"2070",IF(N842&lt;11,"2090","2110"))))))),IF(G842*1000&lt;=1700,IF(N842&lt;1.8,"",IF(N842&lt;2.9,"3018",IF(N842&lt;3.8,"3029",IF(N842&lt;5,"3038",IF(N842&lt;7,"3050",IF(N842&lt;9,"3070",IF(N842&lt;11,"3090","3110"))))))),""))))</f>
        <v/>
      </c>
      <c r="Q842">
        <f>AND(O842=TRUE,P842&lt;&gt;"")</f>
        <v/>
      </c>
      <c r="R842">
        <f>IF(G842*1000&lt;750,"なし","あり")</f>
        <v/>
      </c>
      <c r="S842">
        <f>IF(AND(O842=TRUE,Q842=TRUE),"設定可","BLOCK")</f>
        <v/>
      </c>
      <c r="T842" t="inlineStr">
        <is>
          <t>商品カタログ P194</t>
        </is>
      </c>
      <c r="U842" t="inlineStr">
        <is>
          <t>https://webcatalog.lixil.co.jp/iportal/CatalogDetail.do?catalogID=15191910000&amp;categoryID=1630000&amp;designID=newinter&amp;method=initial_screen&amp;position=18&amp;type=mc&amp;volumeID=LXL13001</t>
        </is>
      </c>
    </row>
    <row r="843">
      <c r="A843" t="inlineStr">
        <is>
          <t>WG-SL-00840</t>
        </is>
      </c>
      <c r="B843" t="inlineStr">
        <is>
          <t>SZ-SL-001039</t>
        </is>
      </c>
      <c r="C843" t="inlineStr">
        <is>
          <t>WT-SL-MENKOSHI-AGE-FS</t>
        </is>
      </c>
      <c r="D843" t="inlineStr">
        <is>
          <t>SP-SL-AGE-GRILLE-IGETA</t>
        </is>
      </c>
      <c r="E843" t="inlineStr">
        <is>
          <t>07413</t>
        </is>
      </c>
      <c r="F843" t="n">
        <v>0.78</v>
      </c>
      <c r="G843" t="n">
        <v>1.37</v>
      </c>
      <c r="H843" t="inlineStr">
        <is>
          <t>GL-SL-003</t>
        </is>
      </c>
      <c r="I843" t="n">
        <v>8</v>
      </c>
      <c r="J843" t="n">
        <v>10.4</v>
      </c>
      <c r="K843" t="n">
        <v>-0.605</v>
      </c>
      <c r="L843" t="n">
        <v>-1.332</v>
      </c>
      <c r="M843" t="n">
        <v>0.399</v>
      </c>
      <c r="N843">
        <f>ROUND(J843*F843*G843+K843*G843+L843*F843+M843,3)</f>
        <v/>
      </c>
      <c r="O843">
        <f>AND(N843&gt;=1.4,N843&lt;=13)</f>
        <v/>
      </c>
      <c r="P843">
        <f>IF(OR(N843&lt;1.4,N843&gt;13),"",IF(G843*1000&lt;=1170,IF(N843&lt;1.8,"1014",IF(N843&lt;2.9,"1018",IF(N843&lt;3.8,"1029",IF(N843&lt;5,"1038",IF(N843&lt;7,"1050",IF(N843&lt;9,"1070",IF(N843&lt;11,"1090","1110"))))))),IF(G843*1000&lt;=1570,IF(N843&lt;1.8,"",IF(N843&lt;2.9,"2018",IF(N843&lt;3.8,"2029",IF(N843&lt;5,"2038",IF(N843&lt;7,"2050",IF(N843&lt;9,"2070",IF(N843&lt;11,"2090","2110"))))))),IF(G843*1000&lt;=1700,IF(N843&lt;1.8,"",IF(N843&lt;2.9,"3018",IF(N843&lt;3.8,"3029",IF(N843&lt;5,"3038",IF(N843&lt;7,"3050",IF(N843&lt;9,"3070",IF(N843&lt;11,"3090","3110"))))))),""))))</f>
        <v/>
      </c>
      <c r="Q843">
        <f>AND(O843=TRUE,P843&lt;&gt;"")</f>
        <v/>
      </c>
      <c r="R843">
        <f>IF(G843*1000&lt;750,"なし","あり")</f>
        <v/>
      </c>
      <c r="S843">
        <f>IF(AND(O843=TRUE,Q843=TRUE),"設定可","BLOCK")</f>
        <v/>
      </c>
      <c r="T843" t="inlineStr">
        <is>
          <t>商品カタログ P194</t>
        </is>
      </c>
      <c r="U843" t="inlineStr">
        <is>
          <t>https://webcatalog.lixil.co.jp/iportal/CatalogDetail.do?catalogID=15191910000&amp;categoryID=1630000&amp;designID=newinter&amp;method=initial_screen&amp;position=18&amp;type=mc&amp;volumeID=LXL13001</t>
        </is>
      </c>
    </row>
    <row r="844">
      <c r="A844" t="inlineStr">
        <is>
          <t>WG-SL-00841</t>
        </is>
      </c>
      <c r="B844" t="inlineStr">
        <is>
          <t>SZ-SL-001039</t>
        </is>
      </c>
      <c r="C844" t="inlineStr">
        <is>
          <t>WT-SL-MENKOSHI-AGE-FS</t>
        </is>
      </c>
      <c r="D844" t="inlineStr">
        <is>
          <t>SP-SL-AGE-GRILLE-IGETA</t>
        </is>
      </c>
      <c r="E844" t="inlineStr">
        <is>
          <t>07413</t>
        </is>
      </c>
      <c r="F844" t="n">
        <v>0.78</v>
      </c>
      <c r="G844" t="n">
        <v>1.37</v>
      </c>
      <c r="H844" t="inlineStr">
        <is>
          <t>GL-SL-004</t>
        </is>
      </c>
      <c r="I844" t="n">
        <v>6</v>
      </c>
      <c r="J844" t="n">
        <v>7.8</v>
      </c>
      <c r="K844" t="n">
        <v>-0.355</v>
      </c>
      <c r="L844" t="n">
        <v>-0.664</v>
      </c>
      <c r="M844" t="n">
        <v>0.335</v>
      </c>
      <c r="N844">
        <f>ROUND(J844*F844*G844+K844*G844+L844*F844+M844,3)</f>
        <v/>
      </c>
      <c r="O844">
        <f>AND(N844&gt;=1.4,N844&lt;=13)</f>
        <v/>
      </c>
      <c r="P844">
        <f>IF(OR(N844&lt;1.4,N844&gt;13),"",IF(G844*1000&lt;=1170,IF(N844&lt;1.8,"1014",IF(N844&lt;2.9,"1018",IF(N844&lt;3.8,"1029",IF(N844&lt;5,"1038",IF(N844&lt;7,"1050",IF(N844&lt;9,"1070",IF(N844&lt;11,"1090","1110"))))))),IF(G844*1000&lt;=1570,IF(N844&lt;1.8,"",IF(N844&lt;2.9,"2018",IF(N844&lt;3.8,"2029",IF(N844&lt;5,"2038",IF(N844&lt;7,"2050",IF(N844&lt;9,"2070",IF(N844&lt;11,"2090","2110"))))))),IF(G844*1000&lt;=1700,IF(N844&lt;1.8,"",IF(N844&lt;2.9,"3018",IF(N844&lt;3.8,"3029",IF(N844&lt;5,"3038",IF(N844&lt;7,"3050",IF(N844&lt;9,"3070",IF(N844&lt;11,"3090","3110"))))))),""))))</f>
        <v/>
      </c>
      <c r="Q844">
        <f>AND(O844=TRUE,P844&lt;&gt;"")</f>
        <v/>
      </c>
      <c r="R844">
        <f>IF(G844*1000&lt;750,"なし","あり")</f>
        <v/>
      </c>
      <c r="S844">
        <f>IF(AND(O844=TRUE,Q844=TRUE),"設定可","BLOCK")</f>
        <v/>
      </c>
      <c r="T844" t="inlineStr">
        <is>
          <t>商品カタログ P194</t>
        </is>
      </c>
      <c r="U844" t="inlineStr">
        <is>
          <t>https://webcatalog.lixil.co.jp/iportal/CatalogDetail.do?catalogID=15191910000&amp;categoryID=1630000&amp;designID=newinter&amp;method=initial_screen&amp;position=18&amp;type=mc&amp;volumeID=LXL13001</t>
        </is>
      </c>
    </row>
    <row r="845">
      <c r="A845" t="inlineStr">
        <is>
          <t>WG-SL-00842</t>
        </is>
      </c>
      <c r="B845" t="inlineStr">
        <is>
          <t>SZ-SL-001039</t>
        </is>
      </c>
      <c r="C845" t="inlineStr">
        <is>
          <t>WT-SL-MENKOSHI-AGE-FS</t>
        </is>
      </c>
      <c r="D845" t="inlineStr">
        <is>
          <t>SP-SL-AGE-GRILLE-IGETA</t>
        </is>
      </c>
      <c r="E845" t="inlineStr">
        <is>
          <t>07413</t>
        </is>
      </c>
      <c r="F845" t="n">
        <v>0.78</v>
      </c>
      <c r="G845" t="n">
        <v>1.37</v>
      </c>
      <c r="H845" t="inlineStr">
        <is>
          <t>GL-SL-005</t>
        </is>
      </c>
      <c r="I845" t="n">
        <v>7</v>
      </c>
      <c r="J845" t="n">
        <v>9.1</v>
      </c>
      <c r="K845" t="n">
        <v>-0.48</v>
      </c>
      <c r="L845" t="n">
        <v>-0.998</v>
      </c>
      <c r="M845" t="n">
        <v>0.367</v>
      </c>
      <c r="N845">
        <f>ROUND(J845*F845*G845+K845*G845+L845*F845+M845,3)</f>
        <v/>
      </c>
      <c r="O845">
        <f>AND(N845&gt;=1.4,N845&lt;=13)</f>
        <v/>
      </c>
      <c r="P845">
        <f>IF(OR(N845&lt;1.4,N845&gt;13),"",IF(G845*1000&lt;=1170,IF(N845&lt;1.8,"1014",IF(N845&lt;2.9,"1018",IF(N845&lt;3.8,"1029",IF(N845&lt;5,"1038",IF(N845&lt;7,"1050",IF(N845&lt;9,"1070",IF(N845&lt;11,"1090","1110"))))))),IF(G845*1000&lt;=1570,IF(N845&lt;1.8,"",IF(N845&lt;2.9,"2018",IF(N845&lt;3.8,"2029",IF(N845&lt;5,"2038",IF(N845&lt;7,"2050",IF(N845&lt;9,"2070",IF(N845&lt;11,"2090","2110"))))))),IF(G845*1000&lt;=1700,IF(N845&lt;1.8,"",IF(N845&lt;2.9,"3018",IF(N845&lt;3.8,"3029",IF(N845&lt;5,"3038",IF(N845&lt;7,"3050",IF(N845&lt;9,"3070",IF(N845&lt;11,"3090","3110"))))))),""))))</f>
        <v/>
      </c>
      <c r="Q845">
        <f>AND(O845=TRUE,P845&lt;&gt;"")</f>
        <v/>
      </c>
      <c r="R845">
        <f>IF(G845*1000&lt;750,"なし","あり")</f>
        <v/>
      </c>
      <c r="S845">
        <f>IF(AND(O845=TRUE,Q845=TRUE),"設定可","BLOCK")</f>
        <v/>
      </c>
      <c r="T845" t="inlineStr">
        <is>
          <t>商品カタログ P194</t>
        </is>
      </c>
      <c r="U845" t="inlineStr">
        <is>
          <t>https://webcatalog.lixil.co.jp/iportal/CatalogDetail.do?catalogID=15191910000&amp;categoryID=1630000&amp;designID=newinter&amp;method=initial_screen&amp;position=18&amp;type=mc&amp;volumeID=LXL13001</t>
        </is>
      </c>
    </row>
    <row r="846">
      <c r="A846" t="inlineStr">
        <is>
          <t>WG-SL-00843</t>
        </is>
      </c>
      <c r="B846" t="inlineStr">
        <is>
          <t>SZ-SL-001039</t>
        </is>
      </c>
      <c r="C846" t="inlineStr">
        <is>
          <t>WT-SL-MENKOSHI-AGE-FS</t>
        </is>
      </c>
      <c r="D846" t="inlineStr">
        <is>
          <t>SP-SL-AGE-GRILLE-IGETA</t>
        </is>
      </c>
      <c r="E846" t="inlineStr">
        <is>
          <t>07413</t>
        </is>
      </c>
      <c r="F846" t="n">
        <v>0.78</v>
      </c>
      <c r="G846" t="n">
        <v>1.37</v>
      </c>
      <c r="H846" t="inlineStr">
        <is>
          <t>GL-SL-006</t>
        </is>
      </c>
      <c r="I846" t="n">
        <v>8</v>
      </c>
      <c r="J846" t="n">
        <v>10.4</v>
      </c>
      <c r="K846" t="n">
        <v>-0.605</v>
      </c>
      <c r="L846" t="n">
        <v>-1.332</v>
      </c>
      <c r="M846" t="n">
        <v>0.399</v>
      </c>
      <c r="N846">
        <f>ROUND(J846*F846*G846+K846*G846+L846*F846+M846,3)</f>
        <v/>
      </c>
      <c r="O846">
        <f>AND(N846&gt;=1.4,N846&lt;=13)</f>
        <v/>
      </c>
      <c r="P846">
        <f>IF(OR(N846&lt;1.4,N846&gt;13),"",IF(G846*1000&lt;=1170,IF(N846&lt;1.8,"1014",IF(N846&lt;2.9,"1018",IF(N846&lt;3.8,"1029",IF(N846&lt;5,"1038",IF(N846&lt;7,"1050",IF(N846&lt;9,"1070",IF(N846&lt;11,"1090","1110"))))))),IF(G846*1000&lt;=1570,IF(N846&lt;1.8,"",IF(N846&lt;2.9,"2018",IF(N846&lt;3.8,"2029",IF(N846&lt;5,"2038",IF(N846&lt;7,"2050",IF(N846&lt;9,"2070",IF(N846&lt;11,"2090","2110"))))))),IF(G846*1000&lt;=1700,IF(N846&lt;1.8,"",IF(N846&lt;2.9,"3018",IF(N846&lt;3.8,"3029",IF(N846&lt;5,"3038",IF(N846&lt;7,"3050",IF(N846&lt;9,"3070",IF(N846&lt;11,"3090","3110"))))))),""))))</f>
        <v/>
      </c>
      <c r="Q846">
        <f>AND(O846=TRUE,P846&lt;&gt;"")</f>
        <v/>
      </c>
      <c r="R846">
        <f>IF(G846*1000&lt;750,"なし","あり")</f>
        <v/>
      </c>
      <c r="S846">
        <f>IF(AND(O846=TRUE,Q846=TRUE),"設定可","BLOCK")</f>
        <v/>
      </c>
      <c r="T846" t="inlineStr">
        <is>
          <t>商品カタログ P194</t>
        </is>
      </c>
      <c r="U846" t="inlineStr">
        <is>
          <t>https://webcatalog.lixil.co.jp/iportal/CatalogDetail.do?catalogID=15191910000&amp;categoryID=1630000&amp;designID=newinter&amp;method=initial_screen&amp;position=18&amp;type=mc&amp;volumeID=LXL13001</t>
        </is>
      </c>
    </row>
    <row r="847">
      <c r="A847" t="inlineStr">
        <is>
          <t>WG-SL-00844</t>
        </is>
      </c>
      <c r="B847" t="inlineStr">
        <is>
          <t>SZ-SL-001039</t>
        </is>
      </c>
      <c r="C847" t="inlineStr">
        <is>
          <t>WT-SL-MENKOSHI-AGE-FS</t>
        </is>
      </c>
      <c r="D847" t="inlineStr">
        <is>
          <t>SP-SL-AGE-GRILLE-IGETA</t>
        </is>
      </c>
      <c r="E847" t="inlineStr">
        <is>
          <t>07413</t>
        </is>
      </c>
      <c r="F847" t="n">
        <v>0.78</v>
      </c>
      <c r="G847" t="n">
        <v>1.37</v>
      </c>
      <c r="H847" t="inlineStr">
        <is>
          <t>GL-SL-007</t>
        </is>
      </c>
      <c r="I847" t="n">
        <v>6</v>
      </c>
      <c r="J847" t="n">
        <v>7.8</v>
      </c>
      <c r="K847" t="n">
        <v>-0.355</v>
      </c>
      <c r="L847" t="n">
        <v>-0.664</v>
      </c>
      <c r="M847" t="n">
        <v>0.335</v>
      </c>
      <c r="N847">
        <f>ROUND(J847*F847*G847+K847*G847+L847*F847+M847,3)</f>
        <v/>
      </c>
      <c r="O847">
        <f>AND(N847&gt;=1.4,N847&lt;=13)</f>
        <v/>
      </c>
      <c r="P847">
        <f>IF(OR(N847&lt;1.4,N847&gt;13),"",IF(G847*1000&lt;=1170,IF(N847&lt;1.8,"1014",IF(N847&lt;2.9,"1018",IF(N847&lt;3.8,"1029",IF(N847&lt;5,"1038",IF(N847&lt;7,"1050",IF(N847&lt;9,"1070",IF(N847&lt;11,"1090","1110"))))))),IF(G847*1000&lt;=1570,IF(N847&lt;1.8,"",IF(N847&lt;2.9,"2018",IF(N847&lt;3.8,"2029",IF(N847&lt;5,"2038",IF(N847&lt;7,"2050",IF(N847&lt;9,"2070",IF(N847&lt;11,"2090","2110"))))))),IF(G847*1000&lt;=1700,IF(N847&lt;1.8,"",IF(N847&lt;2.9,"3018",IF(N847&lt;3.8,"3029",IF(N847&lt;5,"3038",IF(N847&lt;7,"3050",IF(N847&lt;9,"3070",IF(N847&lt;11,"3090","3110"))))))),""))))</f>
        <v/>
      </c>
      <c r="Q847">
        <f>AND(O847=TRUE,P847&lt;&gt;"")</f>
        <v/>
      </c>
      <c r="R847">
        <f>IF(G847*1000&lt;750,"なし","あり")</f>
        <v/>
      </c>
      <c r="S847">
        <f>IF(AND(O847=TRUE,Q847=TRUE),"設定可","BLOCK")</f>
        <v/>
      </c>
      <c r="T847" t="inlineStr">
        <is>
          <t>商品カタログ P194</t>
        </is>
      </c>
      <c r="U847" t="inlineStr">
        <is>
          <t>https://webcatalog.lixil.co.jp/iportal/CatalogDetail.do?catalogID=15191910000&amp;categoryID=1630000&amp;designID=newinter&amp;method=initial_screen&amp;position=18&amp;type=mc&amp;volumeID=LXL13001</t>
        </is>
      </c>
    </row>
    <row r="848">
      <c r="A848" t="inlineStr">
        <is>
          <t>WG-SL-00845</t>
        </is>
      </c>
      <c r="B848" t="inlineStr">
        <is>
          <t>SZ-SL-001039</t>
        </is>
      </c>
      <c r="C848" t="inlineStr">
        <is>
          <t>WT-SL-MENKOSHI-AGE-FS</t>
        </is>
      </c>
      <c r="D848" t="inlineStr">
        <is>
          <t>SP-SL-AGE-GRILLE-IGETA</t>
        </is>
      </c>
      <c r="E848" t="inlineStr">
        <is>
          <t>07413</t>
        </is>
      </c>
      <c r="F848" t="n">
        <v>0.78</v>
      </c>
      <c r="G848" t="n">
        <v>1.37</v>
      </c>
      <c r="H848" t="inlineStr">
        <is>
          <t>GL-SL-008</t>
        </is>
      </c>
      <c r="I848" t="n">
        <v>7</v>
      </c>
      <c r="J848" t="n">
        <v>9.1</v>
      </c>
      <c r="K848" t="n">
        <v>-0.48</v>
      </c>
      <c r="L848" t="n">
        <v>-0.998</v>
      </c>
      <c r="M848" t="n">
        <v>0.367</v>
      </c>
      <c r="N848">
        <f>ROUND(J848*F848*G848+K848*G848+L848*F848+M848,3)</f>
        <v/>
      </c>
      <c r="O848">
        <f>AND(N848&gt;=1.4,N848&lt;=13)</f>
        <v/>
      </c>
      <c r="P848">
        <f>IF(OR(N848&lt;1.4,N848&gt;13),"",IF(G848*1000&lt;=1170,IF(N848&lt;1.8,"1014",IF(N848&lt;2.9,"1018",IF(N848&lt;3.8,"1029",IF(N848&lt;5,"1038",IF(N848&lt;7,"1050",IF(N848&lt;9,"1070",IF(N848&lt;11,"1090","1110"))))))),IF(G848*1000&lt;=1570,IF(N848&lt;1.8,"",IF(N848&lt;2.9,"2018",IF(N848&lt;3.8,"2029",IF(N848&lt;5,"2038",IF(N848&lt;7,"2050",IF(N848&lt;9,"2070",IF(N848&lt;11,"2090","2110"))))))),IF(G848*1000&lt;=1700,IF(N848&lt;1.8,"",IF(N848&lt;2.9,"3018",IF(N848&lt;3.8,"3029",IF(N848&lt;5,"3038",IF(N848&lt;7,"3050",IF(N848&lt;9,"3070",IF(N848&lt;11,"3090","3110"))))))),""))))</f>
        <v/>
      </c>
      <c r="Q848">
        <f>AND(O848=TRUE,P848&lt;&gt;"")</f>
        <v/>
      </c>
      <c r="R848">
        <f>IF(G848*1000&lt;750,"なし","あり")</f>
        <v/>
      </c>
      <c r="S848">
        <f>IF(AND(O848=TRUE,Q848=TRUE),"設定可","BLOCK")</f>
        <v/>
      </c>
      <c r="T848" t="inlineStr">
        <is>
          <t>商品カタログ P194</t>
        </is>
      </c>
      <c r="U848" t="inlineStr">
        <is>
          <t>https://webcatalog.lixil.co.jp/iportal/CatalogDetail.do?catalogID=15191910000&amp;categoryID=1630000&amp;designID=newinter&amp;method=initial_screen&amp;position=18&amp;type=mc&amp;volumeID=LXL13001</t>
        </is>
      </c>
    </row>
    <row r="849">
      <c r="A849" t="inlineStr">
        <is>
          <t>WG-SL-00846</t>
        </is>
      </c>
      <c r="B849" t="inlineStr">
        <is>
          <t>SZ-SL-001039</t>
        </is>
      </c>
      <c r="C849" t="inlineStr">
        <is>
          <t>WT-SL-MENKOSHI-AGE-FS</t>
        </is>
      </c>
      <c r="D849" t="inlineStr">
        <is>
          <t>SP-SL-AGE-GRILLE-IGETA</t>
        </is>
      </c>
      <c r="E849" t="inlineStr">
        <is>
          <t>07413</t>
        </is>
      </c>
      <c r="F849" t="n">
        <v>0.78</v>
      </c>
      <c r="G849" t="n">
        <v>1.37</v>
      </c>
      <c r="H849" t="inlineStr">
        <is>
          <t>GL-SL-009</t>
        </is>
      </c>
      <c r="I849" t="n">
        <v>8</v>
      </c>
      <c r="J849" t="n">
        <v>10.4</v>
      </c>
      <c r="K849" t="n">
        <v>-0.605</v>
      </c>
      <c r="L849" t="n">
        <v>-1.332</v>
      </c>
      <c r="M849" t="n">
        <v>0.399</v>
      </c>
      <c r="N849">
        <f>ROUND(J849*F849*G849+K849*G849+L849*F849+M849,3)</f>
        <v/>
      </c>
      <c r="O849">
        <f>AND(N849&gt;=1.4,N849&lt;=13)</f>
        <v/>
      </c>
      <c r="P849">
        <f>IF(OR(N849&lt;1.4,N849&gt;13),"",IF(G849*1000&lt;=1170,IF(N849&lt;1.8,"1014",IF(N849&lt;2.9,"1018",IF(N849&lt;3.8,"1029",IF(N849&lt;5,"1038",IF(N849&lt;7,"1050",IF(N849&lt;9,"1070",IF(N849&lt;11,"1090","1110"))))))),IF(G849*1000&lt;=1570,IF(N849&lt;1.8,"",IF(N849&lt;2.9,"2018",IF(N849&lt;3.8,"2029",IF(N849&lt;5,"2038",IF(N849&lt;7,"2050",IF(N849&lt;9,"2070",IF(N849&lt;11,"2090","2110"))))))),IF(G849*1000&lt;=1700,IF(N849&lt;1.8,"",IF(N849&lt;2.9,"3018",IF(N849&lt;3.8,"3029",IF(N849&lt;5,"3038",IF(N849&lt;7,"3050",IF(N849&lt;9,"3070",IF(N849&lt;11,"3090","3110"))))))),""))))</f>
        <v/>
      </c>
      <c r="Q849">
        <f>AND(O849=TRUE,P849&lt;&gt;"")</f>
        <v/>
      </c>
      <c r="R849">
        <f>IF(G849*1000&lt;750,"なし","あり")</f>
        <v/>
      </c>
      <c r="S849">
        <f>IF(AND(O849=TRUE,Q849=TRUE),"設定可","BLOCK")</f>
        <v/>
      </c>
      <c r="T849" t="inlineStr">
        <is>
          <t>商品カタログ P194</t>
        </is>
      </c>
      <c r="U849" t="inlineStr">
        <is>
          <t>https://webcatalog.lixil.co.jp/iportal/CatalogDetail.do?catalogID=15191910000&amp;categoryID=1630000&amp;designID=newinter&amp;method=initial_screen&amp;position=18&amp;type=mc&amp;volumeID=LXL13001</t>
        </is>
      </c>
    </row>
    <row r="850">
      <c r="A850" t="inlineStr">
        <is>
          <t>WG-SL-00847</t>
        </is>
      </c>
      <c r="B850" t="inlineStr">
        <is>
          <t>SZ-SL-001040</t>
        </is>
      </c>
      <c r="C850" t="inlineStr">
        <is>
          <t>WT-SL-MENKOSHI-AGE-FS</t>
        </is>
      </c>
      <c r="D850" t="inlineStr">
        <is>
          <t>SP-SL-AGE-GRILLE-V</t>
        </is>
      </c>
      <c r="E850" t="inlineStr">
        <is>
          <t>02613</t>
        </is>
      </c>
      <c r="F850" t="n">
        <v>0.3</v>
      </c>
      <c r="G850" t="n">
        <v>1.37</v>
      </c>
      <c r="H850" t="inlineStr">
        <is>
          <t>GL-SL-001</t>
        </is>
      </c>
      <c r="I850" t="n">
        <v>6</v>
      </c>
      <c r="J850" t="n">
        <v>7.8</v>
      </c>
      <c r="K850" t="n">
        <v>-0.355</v>
      </c>
      <c r="L850" t="n">
        <v>-0.664</v>
      </c>
      <c r="M850" t="n">
        <v>0.335</v>
      </c>
      <c r="N850">
        <f>ROUND(J850*F850*G850+K850*G850+L850*F850+M850,3)</f>
        <v/>
      </c>
      <c r="O850">
        <f>AND(N850&gt;=1.4,N850&lt;=13)</f>
        <v/>
      </c>
      <c r="P850">
        <f>IF(OR(N850&lt;1.4,N850&gt;13),"",IF(G850*1000&lt;=1170,IF(N850&lt;1.8,"1014",IF(N850&lt;2.9,"1018",IF(N850&lt;3.8,"1029",IF(N850&lt;5,"1038",IF(N850&lt;7,"1050",IF(N850&lt;9,"1070",IF(N850&lt;11,"1090","1110"))))))),IF(G850*1000&lt;=1570,IF(N850&lt;1.8,"",IF(N850&lt;2.9,"2018",IF(N850&lt;3.8,"2029",IF(N850&lt;5,"2038",IF(N850&lt;7,"2050",IF(N850&lt;9,"2070",IF(N850&lt;11,"2090","2110"))))))),IF(G850*1000&lt;=1700,IF(N850&lt;1.8,"",IF(N850&lt;2.9,"3018",IF(N850&lt;3.8,"3029",IF(N850&lt;5,"3038",IF(N850&lt;7,"3050",IF(N850&lt;9,"3070",IF(N850&lt;11,"3090","3110"))))))),""))))</f>
        <v/>
      </c>
      <c r="Q850">
        <f>AND(O850=TRUE,P850&lt;&gt;"")</f>
        <v/>
      </c>
      <c r="R850">
        <f>IF(G850*1000&lt;750,"なし","あり")</f>
        <v/>
      </c>
      <c r="S850">
        <f>IF(AND(O850=TRUE,Q850=TRUE),"設定可","BLOCK")</f>
        <v/>
      </c>
      <c r="T850" t="inlineStr">
        <is>
          <t>商品カタログ P194</t>
        </is>
      </c>
      <c r="U850" t="inlineStr">
        <is>
          <t>https://webcatalog.lixil.co.jp/iportal/CatalogDetail.do?catalogID=15191910000&amp;categoryID=1630000&amp;designID=newinter&amp;method=initial_screen&amp;position=18&amp;type=mc&amp;volumeID=LXL13001</t>
        </is>
      </c>
    </row>
    <row r="851">
      <c r="A851" t="inlineStr">
        <is>
          <t>WG-SL-00848</t>
        </is>
      </c>
      <c r="B851" t="inlineStr">
        <is>
          <t>SZ-SL-001040</t>
        </is>
      </c>
      <c r="C851" t="inlineStr">
        <is>
          <t>WT-SL-MENKOSHI-AGE-FS</t>
        </is>
      </c>
      <c r="D851" t="inlineStr">
        <is>
          <t>SP-SL-AGE-GRILLE-V</t>
        </is>
      </c>
      <c r="E851" t="inlineStr">
        <is>
          <t>02613</t>
        </is>
      </c>
      <c r="F851" t="n">
        <v>0.3</v>
      </c>
      <c r="G851" t="n">
        <v>1.37</v>
      </c>
      <c r="H851" t="inlineStr">
        <is>
          <t>GL-SL-002</t>
        </is>
      </c>
      <c r="I851" t="n">
        <v>7</v>
      </c>
      <c r="J851" t="n">
        <v>9.1</v>
      </c>
      <c r="K851" t="n">
        <v>-0.48</v>
      </c>
      <c r="L851" t="n">
        <v>-0.998</v>
      </c>
      <c r="M851" t="n">
        <v>0.367</v>
      </c>
      <c r="N851">
        <f>ROUND(J851*F851*G851+K851*G851+L851*F851+M851,3)</f>
        <v/>
      </c>
      <c r="O851">
        <f>AND(N851&gt;=1.4,N851&lt;=13)</f>
        <v/>
      </c>
      <c r="P851">
        <f>IF(OR(N851&lt;1.4,N851&gt;13),"",IF(G851*1000&lt;=1170,IF(N851&lt;1.8,"1014",IF(N851&lt;2.9,"1018",IF(N851&lt;3.8,"1029",IF(N851&lt;5,"1038",IF(N851&lt;7,"1050",IF(N851&lt;9,"1070",IF(N851&lt;11,"1090","1110"))))))),IF(G851*1000&lt;=1570,IF(N851&lt;1.8,"",IF(N851&lt;2.9,"2018",IF(N851&lt;3.8,"2029",IF(N851&lt;5,"2038",IF(N851&lt;7,"2050",IF(N851&lt;9,"2070",IF(N851&lt;11,"2090","2110"))))))),IF(G851*1000&lt;=1700,IF(N851&lt;1.8,"",IF(N851&lt;2.9,"3018",IF(N851&lt;3.8,"3029",IF(N851&lt;5,"3038",IF(N851&lt;7,"3050",IF(N851&lt;9,"3070",IF(N851&lt;11,"3090","3110"))))))),""))))</f>
        <v/>
      </c>
      <c r="Q851">
        <f>AND(O851=TRUE,P851&lt;&gt;"")</f>
        <v/>
      </c>
      <c r="R851">
        <f>IF(G851*1000&lt;750,"なし","あり")</f>
        <v/>
      </c>
      <c r="S851">
        <f>IF(AND(O851=TRUE,Q851=TRUE),"設定可","BLOCK")</f>
        <v/>
      </c>
      <c r="T851" t="inlineStr">
        <is>
          <t>商品カタログ P194</t>
        </is>
      </c>
      <c r="U851" t="inlineStr">
        <is>
          <t>https://webcatalog.lixil.co.jp/iportal/CatalogDetail.do?catalogID=15191910000&amp;categoryID=1630000&amp;designID=newinter&amp;method=initial_screen&amp;position=18&amp;type=mc&amp;volumeID=LXL13001</t>
        </is>
      </c>
    </row>
    <row r="852">
      <c r="A852" t="inlineStr">
        <is>
          <t>WG-SL-00849</t>
        </is>
      </c>
      <c r="B852" t="inlineStr">
        <is>
          <t>SZ-SL-001040</t>
        </is>
      </c>
      <c r="C852" t="inlineStr">
        <is>
          <t>WT-SL-MENKOSHI-AGE-FS</t>
        </is>
      </c>
      <c r="D852" t="inlineStr">
        <is>
          <t>SP-SL-AGE-GRILLE-V</t>
        </is>
      </c>
      <c r="E852" t="inlineStr">
        <is>
          <t>02613</t>
        </is>
      </c>
      <c r="F852" t="n">
        <v>0.3</v>
      </c>
      <c r="G852" t="n">
        <v>1.37</v>
      </c>
      <c r="H852" t="inlineStr">
        <is>
          <t>GL-SL-003</t>
        </is>
      </c>
      <c r="I852" t="n">
        <v>8</v>
      </c>
      <c r="J852" t="n">
        <v>10.4</v>
      </c>
      <c r="K852" t="n">
        <v>-0.605</v>
      </c>
      <c r="L852" t="n">
        <v>-1.332</v>
      </c>
      <c r="M852" t="n">
        <v>0.399</v>
      </c>
      <c r="N852">
        <f>ROUND(J852*F852*G852+K852*G852+L852*F852+M852,3)</f>
        <v/>
      </c>
      <c r="O852">
        <f>AND(N852&gt;=1.4,N852&lt;=13)</f>
        <v/>
      </c>
      <c r="P852">
        <f>IF(OR(N852&lt;1.4,N852&gt;13),"",IF(G852*1000&lt;=1170,IF(N852&lt;1.8,"1014",IF(N852&lt;2.9,"1018",IF(N852&lt;3.8,"1029",IF(N852&lt;5,"1038",IF(N852&lt;7,"1050",IF(N852&lt;9,"1070",IF(N852&lt;11,"1090","1110"))))))),IF(G852*1000&lt;=1570,IF(N852&lt;1.8,"",IF(N852&lt;2.9,"2018",IF(N852&lt;3.8,"2029",IF(N852&lt;5,"2038",IF(N852&lt;7,"2050",IF(N852&lt;9,"2070",IF(N852&lt;11,"2090","2110"))))))),IF(G852*1000&lt;=1700,IF(N852&lt;1.8,"",IF(N852&lt;2.9,"3018",IF(N852&lt;3.8,"3029",IF(N852&lt;5,"3038",IF(N852&lt;7,"3050",IF(N852&lt;9,"3070",IF(N852&lt;11,"3090","3110"))))))),""))))</f>
        <v/>
      </c>
      <c r="Q852">
        <f>AND(O852=TRUE,P852&lt;&gt;"")</f>
        <v/>
      </c>
      <c r="R852">
        <f>IF(G852*1000&lt;750,"なし","あり")</f>
        <v/>
      </c>
      <c r="S852">
        <f>IF(AND(O852=TRUE,Q852=TRUE),"設定可","BLOCK")</f>
        <v/>
      </c>
      <c r="T852" t="inlineStr">
        <is>
          <t>商品カタログ P194</t>
        </is>
      </c>
      <c r="U852" t="inlineStr">
        <is>
          <t>https://webcatalog.lixil.co.jp/iportal/CatalogDetail.do?catalogID=15191910000&amp;categoryID=1630000&amp;designID=newinter&amp;method=initial_screen&amp;position=18&amp;type=mc&amp;volumeID=LXL13001</t>
        </is>
      </c>
    </row>
    <row r="853">
      <c r="A853" t="inlineStr">
        <is>
          <t>WG-SL-00850</t>
        </is>
      </c>
      <c r="B853" t="inlineStr">
        <is>
          <t>SZ-SL-001040</t>
        </is>
      </c>
      <c r="C853" t="inlineStr">
        <is>
          <t>WT-SL-MENKOSHI-AGE-FS</t>
        </is>
      </c>
      <c r="D853" t="inlineStr">
        <is>
          <t>SP-SL-AGE-GRILLE-V</t>
        </is>
      </c>
      <c r="E853" t="inlineStr">
        <is>
          <t>02613</t>
        </is>
      </c>
      <c r="F853" t="n">
        <v>0.3</v>
      </c>
      <c r="G853" t="n">
        <v>1.37</v>
      </c>
      <c r="H853" t="inlineStr">
        <is>
          <t>GL-SL-004</t>
        </is>
      </c>
      <c r="I853" t="n">
        <v>6</v>
      </c>
      <c r="J853" t="n">
        <v>7.8</v>
      </c>
      <c r="K853" t="n">
        <v>-0.355</v>
      </c>
      <c r="L853" t="n">
        <v>-0.664</v>
      </c>
      <c r="M853" t="n">
        <v>0.335</v>
      </c>
      <c r="N853">
        <f>ROUND(J853*F853*G853+K853*G853+L853*F853+M853,3)</f>
        <v/>
      </c>
      <c r="O853">
        <f>AND(N853&gt;=1.4,N853&lt;=13)</f>
        <v/>
      </c>
      <c r="P853">
        <f>IF(OR(N853&lt;1.4,N853&gt;13),"",IF(G853*1000&lt;=1170,IF(N853&lt;1.8,"1014",IF(N853&lt;2.9,"1018",IF(N853&lt;3.8,"1029",IF(N853&lt;5,"1038",IF(N853&lt;7,"1050",IF(N853&lt;9,"1070",IF(N853&lt;11,"1090","1110"))))))),IF(G853*1000&lt;=1570,IF(N853&lt;1.8,"",IF(N853&lt;2.9,"2018",IF(N853&lt;3.8,"2029",IF(N853&lt;5,"2038",IF(N853&lt;7,"2050",IF(N853&lt;9,"2070",IF(N853&lt;11,"2090","2110"))))))),IF(G853*1000&lt;=1700,IF(N853&lt;1.8,"",IF(N853&lt;2.9,"3018",IF(N853&lt;3.8,"3029",IF(N853&lt;5,"3038",IF(N853&lt;7,"3050",IF(N853&lt;9,"3070",IF(N853&lt;11,"3090","3110"))))))),""))))</f>
        <v/>
      </c>
      <c r="Q853">
        <f>AND(O853=TRUE,P853&lt;&gt;"")</f>
        <v/>
      </c>
      <c r="R853">
        <f>IF(G853*1000&lt;750,"なし","あり")</f>
        <v/>
      </c>
      <c r="S853">
        <f>IF(AND(O853=TRUE,Q853=TRUE),"設定可","BLOCK")</f>
        <v/>
      </c>
      <c r="T853" t="inlineStr">
        <is>
          <t>商品カタログ P194</t>
        </is>
      </c>
      <c r="U853" t="inlineStr">
        <is>
          <t>https://webcatalog.lixil.co.jp/iportal/CatalogDetail.do?catalogID=15191910000&amp;categoryID=1630000&amp;designID=newinter&amp;method=initial_screen&amp;position=18&amp;type=mc&amp;volumeID=LXL13001</t>
        </is>
      </c>
    </row>
    <row r="854">
      <c r="A854" t="inlineStr">
        <is>
          <t>WG-SL-00851</t>
        </is>
      </c>
      <c r="B854" t="inlineStr">
        <is>
          <t>SZ-SL-001040</t>
        </is>
      </c>
      <c r="C854" t="inlineStr">
        <is>
          <t>WT-SL-MENKOSHI-AGE-FS</t>
        </is>
      </c>
      <c r="D854" t="inlineStr">
        <is>
          <t>SP-SL-AGE-GRILLE-V</t>
        </is>
      </c>
      <c r="E854" t="inlineStr">
        <is>
          <t>02613</t>
        </is>
      </c>
      <c r="F854" t="n">
        <v>0.3</v>
      </c>
      <c r="G854" t="n">
        <v>1.37</v>
      </c>
      <c r="H854" t="inlineStr">
        <is>
          <t>GL-SL-005</t>
        </is>
      </c>
      <c r="I854" t="n">
        <v>7</v>
      </c>
      <c r="J854" t="n">
        <v>9.1</v>
      </c>
      <c r="K854" t="n">
        <v>-0.48</v>
      </c>
      <c r="L854" t="n">
        <v>-0.998</v>
      </c>
      <c r="M854" t="n">
        <v>0.367</v>
      </c>
      <c r="N854">
        <f>ROUND(J854*F854*G854+K854*G854+L854*F854+M854,3)</f>
        <v/>
      </c>
      <c r="O854">
        <f>AND(N854&gt;=1.4,N854&lt;=13)</f>
        <v/>
      </c>
      <c r="P854">
        <f>IF(OR(N854&lt;1.4,N854&gt;13),"",IF(G854*1000&lt;=1170,IF(N854&lt;1.8,"1014",IF(N854&lt;2.9,"1018",IF(N854&lt;3.8,"1029",IF(N854&lt;5,"1038",IF(N854&lt;7,"1050",IF(N854&lt;9,"1070",IF(N854&lt;11,"1090","1110"))))))),IF(G854*1000&lt;=1570,IF(N854&lt;1.8,"",IF(N854&lt;2.9,"2018",IF(N854&lt;3.8,"2029",IF(N854&lt;5,"2038",IF(N854&lt;7,"2050",IF(N854&lt;9,"2070",IF(N854&lt;11,"2090","2110"))))))),IF(G854*1000&lt;=1700,IF(N854&lt;1.8,"",IF(N854&lt;2.9,"3018",IF(N854&lt;3.8,"3029",IF(N854&lt;5,"3038",IF(N854&lt;7,"3050",IF(N854&lt;9,"3070",IF(N854&lt;11,"3090","3110"))))))),""))))</f>
        <v/>
      </c>
      <c r="Q854">
        <f>AND(O854=TRUE,P854&lt;&gt;"")</f>
        <v/>
      </c>
      <c r="R854">
        <f>IF(G854*1000&lt;750,"なし","あり")</f>
        <v/>
      </c>
      <c r="S854">
        <f>IF(AND(O854=TRUE,Q854=TRUE),"設定可","BLOCK")</f>
        <v/>
      </c>
      <c r="T854" t="inlineStr">
        <is>
          <t>商品カタログ P194</t>
        </is>
      </c>
      <c r="U854" t="inlineStr">
        <is>
          <t>https://webcatalog.lixil.co.jp/iportal/CatalogDetail.do?catalogID=15191910000&amp;categoryID=1630000&amp;designID=newinter&amp;method=initial_screen&amp;position=18&amp;type=mc&amp;volumeID=LXL13001</t>
        </is>
      </c>
    </row>
    <row r="855">
      <c r="A855" t="inlineStr">
        <is>
          <t>WG-SL-00852</t>
        </is>
      </c>
      <c r="B855" t="inlineStr">
        <is>
          <t>SZ-SL-001040</t>
        </is>
      </c>
      <c r="C855" t="inlineStr">
        <is>
          <t>WT-SL-MENKOSHI-AGE-FS</t>
        </is>
      </c>
      <c r="D855" t="inlineStr">
        <is>
          <t>SP-SL-AGE-GRILLE-V</t>
        </is>
      </c>
      <c r="E855" t="inlineStr">
        <is>
          <t>02613</t>
        </is>
      </c>
      <c r="F855" t="n">
        <v>0.3</v>
      </c>
      <c r="G855" t="n">
        <v>1.37</v>
      </c>
      <c r="H855" t="inlineStr">
        <is>
          <t>GL-SL-006</t>
        </is>
      </c>
      <c r="I855" t="n">
        <v>8</v>
      </c>
      <c r="J855" t="n">
        <v>10.4</v>
      </c>
      <c r="K855" t="n">
        <v>-0.605</v>
      </c>
      <c r="L855" t="n">
        <v>-1.332</v>
      </c>
      <c r="M855" t="n">
        <v>0.399</v>
      </c>
      <c r="N855">
        <f>ROUND(J855*F855*G855+K855*G855+L855*F855+M855,3)</f>
        <v/>
      </c>
      <c r="O855">
        <f>AND(N855&gt;=1.4,N855&lt;=13)</f>
        <v/>
      </c>
      <c r="P855">
        <f>IF(OR(N855&lt;1.4,N855&gt;13),"",IF(G855*1000&lt;=1170,IF(N855&lt;1.8,"1014",IF(N855&lt;2.9,"1018",IF(N855&lt;3.8,"1029",IF(N855&lt;5,"1038",IF(N855&lt;7,"1050",IF(N855&lt;9,"1070",IF(N855&lt;11,"1090","1110"))))))),IF(G855*1000&lt;=1570,IF(N855&lt;1.8,"",IF(N855&lt;2.9,"2018",IF(N855&lt;3.8,"2029",IF(N855&lt;5,"2038",IF(N855&lt;7,"2050",IF(N855&lt;9,"2070",IF(N855&lt;11,"2090","2110"))))))),IF(G855*1000&lt;=1700,IF(N855&lt;1.8,"",IF(N855&lt;2.9,"3018",IF(N855&lt;3.8,"3029",IF(N855&lt;5,"3038",IF(N855&lt;7,"3050",IF(N855&lt;9,"3070",IF(N855&lt;11,"3090","3110"))))))),""))))</f>
        <v/>
      </c>
      <c r="Q855">
        <f>AND(O855=TRUE,P855&lt;&gt;"")</f>
        <v/>
      </c>
      <c r="R855">
        <f>IF(G855*1000&lt;750,"なし","あり")</f>
        <v/>
      </c>
      <c r="S855">
        <f>IF(AND(O855=TRUE,Q855=TRUE),"設定可","BLOCK")</f>
        <v/>
      </c>
      <c r="T855" t="inlineStr">
        <is>
          <t>商品カタログ P194</t>
        </is>
      </c>
      <c r="U855" t="inlineStr">
        <is>
          <t>https://webcatalog.lixil.co.jp/iportal/CatalogDetail.do?catalogID=15191910000&amp;categoryID=1630000&amp;designID=newinter&amp;method=initial_screen&amp;position=18&amp;type=mc&amp;volumeID=LXL13001</t>
        </is>
      </c>
    </row>
    <row r="856">
      <c r="A856" t="inlineStr">
        <is>
          <t>WG-SL-00853</t>
        </is>
      </c>
      <c r="B856" t="inlineStr">
        <is>
          <t>SZ-SL-001040</t>
        </is>
      </c>
      <c r="C856" t="inlineStr">
        <is>
          <t>WT-SL-MENKOSHI-AGE-FS</t>
        </is>
      </c>
      <c r="D856" t="inlineStr">
        <is>
          <t>SP-SL-AGE-GRILLE-V</t>
        </is>
      </c>
      <c r="E856" t="inlineStr">
        <is>
          <t>02613</t>
        </is>
      </c>
      <c r="F856" t="n">
        <v>0.3</v>
      </c>
      <c r="G856" t="n">
        <v>1.37</v>
      </c>
      <c r="H856" t="inlineStr">
        <is>
          <t>GL-SL-007</t>
        </is>
      </c>
      <c r="I856" t="n">
        <v>6</v>
      </c>
      <c r="J856" t="n">
        <v>7.8</v>
      </c>
      <c r="K856" t="n">
        <v>-0.355</v>
      </c>
      <c r="L856" t="n">
        <v>-0.664</v>
      </c>
      <c r="M856" t="n">
        <v>0.335</v>
      </c>
      <c r="N856">
        <f>ROUND(J856*F856*G856+K856*G856+L856*F856+M856,3)</f>
        <v/>
      </c>
      <c r="O856">
        <f>AND(N856&gt;=1.4,N856&lt;=13)</f>
        <v/>
      </c>
      <c r="P856">
        <f>IF(OR(N856&lt;1.4,N856&gt;13),"",IF(G856*1000&lt;=1170,IF(N856&lt;1.8,"1014",IF(N856&lt;2.9,"1018",IF(N856&lt;3.8,"1029",IF(N856&lt;5,"1038",IF(N856&lt;7,"1050",IF(N856&lt;9,"1070",IF(N856&lt;11,"1090","1110"))))))),IF(G856*1000&lt;=1570,IF(N856&lt;1.8,"",IF(N856&lt;2.9,"2018",IF(N856&lt;3.8,"2029",IF(N856&lt;5,"2038",IF(N856&lt;7,"2050",IF(N856&lt;9,"2070",IF(N856&lt;11,"2090","2110"))))))),IF(G856*1000&lt;=1700,IF(N856&lt;1.8,"",IF(N856&lt;2.9,"3018",IF(N856&lt;3.8,"3029",IF(N856&lt;5,"3038",IF(N856&lt;7,"3050",IF(N856&lt;9,"3070",IF(N856&lt;11,"3090","3110"))))))),""))))</f>
        <v/>
      </c>
      <c r="Q856">
        <f>AND(O856=TRUE,P856&lt;&gt;"")</f>
        <v/>
      </c>
      <c r="R856">
        <f>IF(G856*1000&lt;750,"なし","あり")</f>
        <v/>
      </c>
      <c r="S856">
        <f>IF(AND(O856=TRUE,Q856=TRUE),"設定可","BLOCK")</f>
        <v/>
      </c>
      <c r="T856" t="inlineStr">
        <is>
          <t>商品カタログ P194</t>
        </is>
      </c>
      <c r="U856" t="inlineStr">
        <is>
          <t>https://webcatalog.lixil.co.jp/iportal/CatalogDetail.do?catalogID=15191910000&amp;categoryID=1630000&amp;designID=newinter&amp;method=initial_screen&amp;position=18&amp;type=mc&amp;volumeID=LXL13001</t>
        </is>
      </c>
    </row>
    <row r="857">
      <c r="A857" t="inlineStr">
        <is>
          <t>WG-SL-00854</t>
        </is>
      </c>
      <c r="B857" t="inlineStr">
        <is>
          <t>SZ-SL-001040</t>
        </is>
      </c>
      <c r="C857" t="inlineStr">
        <is>
          <t>WT-SL-MENKOSHI-AGE-FS</t>
        </is>
      </c>
      <c r="D857" t="inlineStr">
        <is>
          <t>SP-SL-AGE-GRILLE-V</t>
        </is>
      </c>
      <c r="E857" t="inlineStr">
        <is>
          <t>02613</t>
        </is>
      </c>
      <c r="F857" t="n">
        <v>0.3</v>
      </c>
      <c r="G857" t="n">
        <v>1.37</v>
      </c>
      <c r="H857" t="inlineStr">
        <is>
          <t>GL-SL-008</t>
        </is>
      </c>
      <c r="I857" t="n">
        <v>7</v>
      </c>
      <c r="J857" t="n">
        <v>9.1</v>
      </c>
      <c r="K857" t="n">
        <v>-0.48</v>
      </c>
      <c r="L857" t="n">
        <v>-0.998</v>
      </c>
      <c r="M857" t="n">
        <v>0.367</v>
      </c>
      <c r="N857">
        <f>ROUND(J857*F857*G857+K857*G857+L857*F857+M857,3)</f>
        <v/>
      </c>
      <c r="O857">
        <f>AND(N857&gt;=1.4,N857&lt;=13)</f>
        <v/>
      </c>
      <c r="P857">
        <f>IF(OR(N857&lt;1.4,N857&gt;13),"",IF(G857*1000&lt;=1170,IF(N857&lt;1.8,"1014",IF(N857&lt;2.9,"1018",IF(N857&lt;3.8,"1029",IF(N857&lt;5,"1038",IF(N857&lt;7,"1050",IF(N857&lt;9,"1070",IF(N857&lt;11,"1090","1110"))))))),IF(G857*1000&lt;=1570,IF(N857&lt;1.8,"",IF(N857&lt;2.9,"2018",IF(N857&lt;3.8,"2029",IF(N857&lt;5,"2038",IF(N857&lt;7,"2050",IF(N857&lt;9,"2070",IF(N857&lt;11,"2090","2110"))))))),IF(G857*1000&lt;=1700,IF(N857&lt;1.8,"",IF(N857&lt;2.9,"3018",IF(N857&lt;3.8,"3029",IF(N857&lt;5,"3038",IF(N857&lt;7,"3050",IF(N857&lt;9,"3070",IF(N857&lt;11,"3090","3110"))))))),""))))</f>
        <v/>
      </c>
      <c r="Q857">
        <f>AND(O857=TRUE,P857&lt;&gt;"")</f>
        <v/>
      </c>
      <c r="R857">
        <f>IF(G857*1000&lt;750,"なし","あり")</f>
        <v/>
      </c>
      <c r="S857">
        <f>IF(AND(O857=TRUE,Q857=TRUE),"設定可","BLOCK")</f>
        <v/>
      </c>
      <c r="T857" t="inlineStr">
        <is>
          <t>商品カタログ P194</t>
        </is>
      </c>
      <c r="U857" t="inlineStr">
        <is>
          <t>https://webcatalog.lixil.co.jp/iportal/CatalogDetail.do?catalogID=15191910000&amp;categoryID=1630000&amp;designID=newinter&amp;method=initial_screen&amp;position=18&amp;type=mc&amp;volumeID=LXL13001</t>
        </is>
      </c>
    </row>
    <row r="858">
      <c r="A858" t="inlineStr">
        <is>
          <t>WG-SL-00855</t>
        </is>
      </c>
      <c r="B858" t="inlineStr">
        <is>
          <t>SZ-SL-001040</t>
        </is>
      </c>
      <c r="C858" t="inlineStr">
        <is>
          <t>WT-SL-MENKOSHI-AGE-FS</t>
        </is>
      </c>
      <c r="D858" t="inlineStr">
        <is>
          <t>SP-SL-AGE-GRILLE-V</t>
        </is>
      </c>
      <c r="E858" t="inlineStr">
        <is>
          <t>02613</t>
        </is>
      </c>
      <c r="F858" t="n">
        <v>0.3</v>
      </c>
      <c r="G858" t="n">
        <v>1.37</v>
      </c>
      <c r="H858" t="inlineStr">
        <is>
          <t>GL-SL-009</t>
        </is>
      </c>
      <c r="I858" t="n">
        <v>8</v>
      </c>
      <c r="J858" t="n">
        <v>10.4</v>
      </c>
      <c r="K858" t="n">
        <v>-0.605</v>
      </c>
      <c r="L858" t="n">
        <v>-1.332</v>
      </c>
      <c r="M858" t="n">
        <v>0.399</v>
      </c>
      <c r="N858">
        <f>ROUND(J858*F858*G858+K858*G858+L858*F858+M858,3)</f>
        <v/>
      </c>
      <c r="O858">
        <f>AND(N858&gt;=1.4,N858&lt;=13)</f>
        <v/>
      </c>
      <c r="P858">
        <f>IF(OR(N858&lt;1.4,N858&gt;13),"",IF(G858*1000&lt;=1170,IF(N858&lt;1.8,"1014",IF(N858&lt;2.9,"1018",IF(N858&lt;3.8,"1029",IF(N858&lt;5,"1038",IF(N858&lt;7,"1050",IF(N858&lt;9,"1070",IF(N858&lt;11,"1090","1110"))))))),IF(G858*1000&lt;=1570,IF(N858&lt;1.8,"",IF(N858&lt;2.9,"2018",IF(N858&lt;3.8,"2029",IF(N858&lt;5,"2038",IF(N858&lt;7,"2050",IF(N858&lt;9,"2070",IF(N858&lt;11,"2090","2110"))))))),IF(G858*1000&lt;=1700,IF(N858&lt;1.8,"",IF(N858&lt;2.9,"3018",IF(N858&lt;3.8,"3029",IF(N858&lt;5,"3038",IF(N858&lt;7,"3050",IF(N858&lt;9,"3070",IF(N858&lt;11,"3090","3110"))))))),""))))</f>
        <v/>
      </c>
      <c r="Q858">
        <f>AND(O858=TRUE,P858&lt;&gt;"")</f>
        <v/>
      </c>
      <c r="R858">
        <f>IF(G858*1000&lt;750,"なし","あり")</f>
        <v/>
      </c>
      <c r="S858">
        <f>IF(AND(O858=TRUE,Q858=TRUE),"設定可","BLOCK")</f>
        <v/>
      </c>
      <c r="T858" t="inlineStr">
        <is>
          <t>商品カタログ P194</t>
        </is>
      </c>
      <c r="U858" t="inlineStr">
        <is>
          <t>https://webcatalog.lixil.co.jp/iportal/CatalogDetail.do?catalogID=15191910000&amp;categoryID=1630000&amp;designID=newinter&amp;method=initial_screen&amp;position=18&amp;type=mc&amp;volumeID=LXL13001</t>
        </is>
      </c>
    </row>
    <row r="859">
      <c r="A859" t="inlineStr">
        <is>
          <t>WG-SL-00856</t>
        </is>
      </c>
      <c r="B859" t="inlineStr">
        <is>
          <t>SZ-SL-001041</t>
        </is>
      </c>
      <c r="C859" t="inlineStr">
        <is>
          <t>WT-SL-MENKOSHI-AGE-FS</t>
        </is>
      </c>
      <c r="D859" t="inlineStr">
        <is>
          <t>SP-SL-AGE-GRILLE-V</t>
        </is>
      </c>
      <c r="E859" t="inlineStr">
        <is>
          <t>03613</t>
        </is>
      </c>
      <c r="F859" t="n">
        <v>0.405</v>
      </c>
      <c r="G859" t="n">
        <v>1.37</v>
      </c>
      <c r="H859" t="inlineStr">
        <is>
          <t>GL-SL-001</t>
        </is>
      </c>
      <c r="I859" t="n">
        <v>6</v>
      </c>
      <c r="J859" t="n">
        <v>7.8</v>
      </c>
      <c r="K859" t="n">
        <v>-0.355</v>
      </c>
      <c r="L859" t="n">
        <v>-0.664</v>
      </c>
      <c r="M859" t="n">
        <v>0.335</v>
      </c>
      <c r="N859">
        <f>ROUND(J859*F859*G859+K859*G859+L859*F859+M859,3)</f>
        <v/>
      </c>
      <c r="O859">
        <f>AND(N859&gt;=1.4,N859&lt;=13)</f>
        <v/>
      </c>
      <c r="P859">
        <f>IF(OR(N859&lt;1.4,N859&gt;13),"",IF(G859*1000&lt;=1170,IF(N859&lt;1.8,"1014",IF(N859&lt;2.9,"1018",IF(N859&lt;3.8,"1029",IF(N859&lt;5,"1038",IF(N859&lt;7,"1050",IF(N859&lt;9,"1070",IF(N859&lt;11,"1090","1110"))))))),IF(G859*1000&lt;=1570,IF(N859&lt;1.8,"",IF(N859&lt;2.9,"2018",IF(N859&lt;3.8,"2029",IF(N859&lt;5,"2038",IF(N859&lt;7,"2050",IF(N859&lt;9,"2070",IF(N859&lt;11,"2090","2110"))))))),IF(G859*1000&lt;=1700,IF(N859&lt;1.8,"",IF(N859&lt;2.9,"3018",IF(N859&lt;3.8,"3029",IF(N859&lt;5,"3038",IF(N859&lt;7,"3050",IF(N859&lt;9,"3070",IF(N859&lt;11,"3090","3110"))))))),""))))</f>
        <v/>
      </c>
      <c r="Q859">
        <f>AND(O859=TRUE,P859&lt;&gt;"")</f>
        <v/>
      </c>
      <c r="R859">
        <f>IF(G859*1000&lt;750,"なし","あり")</f>
        <v/>
      </c>
      <c r="S859">
        <f>IF(AND(O859=TRUE,Q859=TRUE),"設定可","BLOCK")</f>
        <v/>
      </c>
      <c r="T859" t="inlineStr">
        <is>
          <t>商品カタログ P194</t>
        </is>
      </c>
      <c r="U859" t="inlineStr">
        <is>
          <t>https://webcatalog.lixil.co.jp/iportal/CatalogDetail.do?catalogID=15191910000&amp;categoryID=1630000&amp;designID=newinter&amp;method=initial_screen&amp;position=18&amp;type=mc&amp;volumeID=LXL13001</t>
        </is>
      </c>
    </row>
    <row r="860">
      <c r="A860" t="inlineStr">
        <is>
          <t>WG-SL-00857</t>
        </is>
      </c>
      <c r="B860" t="inlineStr">
        <is>
          <t>SZ-SL-001041</t>
        </is>
      </c>
      <c r="C860" t="inlineStr">
        <is>
          <t>WT-SL-MENKOSHI-AGE-FS</t>
        </is>
      </c>
      <c r="D860" t="inlineStr">
        <is>
          <t>SP-SL-AGE-GRILLE-V</t>
        </is>
      </c>
      <c r="E860" t="inlineStr">
        <is>
          <t>03613</t>
        </is>
      </c>
      <c r="F860" t="n">
        <v>0.405</v>
      </c>
      <c r="G860" t="n">
        <v>1.37</v>
      </c>
      <c r="H860" t="inlineStr">
        <is>
          <t>GL-SL-002</t>
        </is>
      </c>
      <c r="I860" t="n">
        <v>7</v>
      </c>
      <c r="J860" t="n">
        <v>9.1</v>
      </c>
      <c r="K860" t="n">
        <v>-0.48</v>
      </c>
      <c r="L860" t="n">
        <v>-0.998</v>
      </c>
      <c r="M860" t="n">
        <v>0.367</v>
      </c>
      <c r="N860">
        <f>ROUND(J860*F860*G860+K860*G860+L860*F860+M860,3)</f>
        <v/>
      </c>
      <c r="O860">
        <f>AND(N860&gt;=1.4,N860&lt;=13)</f>
        <v/>
      </c>
      <c r="P860">
        <f>IF(OR(N860&lt;1.4,N860&gt;13),"",IF(G860*1000&lt;=1170,IF(N860&lt;1.8,"1014",IF(N860&lt;2.9,"1018",IF(N860&lt;3.8,"1029",IF(N860&lt;5,"1038",IF(N860&lt;7,"1050",IF(N860&lt;9,"1070",IF(N860&lt;11,"1090","1110"))))))),IF(G860*1000&lt;=1570,IF(N860&lt;1.8,"",IF(N860&lt;2.9,"2018",IF(N860&lt;3.8,"2029",IF(N860&lt;5,"2038",IF(N860&lt;7,"2050",IF(N860&lt;9,"2070",IF(N860&lt;11,"2090","2110"))))))),IF(G860*1000&lt;=1700,IF(N860&lt;1.8,"",IF(N860&lt;2.9,"3018",IF(N860&lt;3.8,"3029",IF(N860&lt;5,"3038",IF(N860&lt;7,"3050",IF(N860&lt;9,"3070",IF(N860&lt;11,"3090","3110"))))))),""))))</f>
        <v/>
      </c>
      <c r="Q860">
        <f>AND(O860=TRUE,P860&lt;&gt;"")</f>
        <v/>
      </c>
      <c r="R860">
        <f>IF(G860*1000&lt;750,"なし","あり")</f>
        <v/>
      </c>
      <c r="S860">
        <f>IF(AND(O860=TRUE,Q860=TRUE),"設定可","BLOCK")</f>
        <v/>
      </c>
      <c r="T860" t="inlineStr">
        <is>
          <t>商品カタログ P194</t>
        </is>
      </c>
      <c r="U860" t="inlineStr">
        <is>
          <t>https://webcatalog.lixil.co.jp/iportal/CatalogDetail.do?catalogID=15191910000&amp;categoryID=1630000&amp;designID=newinter&amp;method=initial_screen&amp;position=18&amp;type=mc&amp;volumeID=LXL13001</t>
        </is>
      </c>
    </row>
    <row r="861">
      <c r="A861" t="inlineStr">
        <is>
          <t>WG-SL-00858</t>
        </is>
      </c>
      <c r="B861" t="inlineStr">
        <is>
          <t>SZ-SL-001041</t>
        </is>
      </c>
      <c r="C861" t="inlineStr">
        <is>
          <t>WT-SL-MENKOSHI-AGE-FS</t>
        </is>
      </c>
      <c r="D861" t="inlineStr">
        <is>
          <t>SP-SL-AGE-GRILLE-V</t>
        </is>
      </c>
      <c r="E861" t="inlineStr">
        <is>
          <t>03613</t>
        </is>
      </c>
      <c r="F861" t="n">
        <v>0.405</v>
      </c>
      <c r="G861" t="n">
        <v>1.37</v>
      </c>
      <c r="H861" t="inlineStr">
        <is>
          <t>GL-SL-003</t>
        </is>
      </c>
      <c r="I861" t="n">
        <v>8</v>
      </c>
      <c r="J861" t="n">
        <v>10.4</v>
      </c>
      <c r="K861" t="n">
        <v>-0.605</v>
      </c>
      <c r="L861" t="n">
        <v>-1.332</v>
      </c>
      <c r="M861" t="n">
        <v>0.399</v>
      </c>
      <c r="N861">
        <f>ROUND(J861*F861*G861+K861*G861+L861*F861+M861,3)</f>
        <v/>
      </c>
      <c r="O861">
        <f>AND(N861&gt;=1.4,N861&lt;=13)</f>
        <v/>
      </c>
      <c r="P861">
        <f>IF(OR(N861&lt;1.4,N861&gt;13),"",IF(G861*1000&lt;=1170,IF(N861&lt;1.8,"1014",IF(N861&lt;2.9,"1018",IF(N861&lt;3.8,"1029",IF(N861&lt;5,"1038",IF(N861&lt;7,"1050",IF(N861&lt;9,"1070",IF(N861&lt;11,"1090","1110"))))))),IF(G861*1000&lt;=1570,IF(N861&lt;1.8,"",IF(N861&lt;2.9,"2018",IF(N861&lt;3.8,"2029",IF(N861&lt;5,"2038",IF(N861&lt;7,"2050",IF(N861&lt;9,"2070",IF(N861&lt;11,"2090","2110"))))))),IF(G861*1000&lt;=1700,IF(N861&lt;1.8,"",IF(N861&lt;2.9,"3018",IF(N861&lt;3.8,"3029",IF(N861&lt;5,"3038",IF(N861&lt;7,"3050",IF(N861&lt;9,"3070",IF(N861&lt;11,"3090","3110"))))))),""))))</f>
        <v/>
      </c>
      <c r="Q861">
        <f>AND(O861=TRUE,P861&lt;&gt;"")</f>
        <v/>
      </c>
      <c r="R861">
        <f>IF(G861*1000&lt;750,"なし","あり")</f>
        <v/>
      </c>
      <c r="S861">
        <f>IF(AND(O861=TRUE,Q861=TRUE),"設定可","BLOCK")</f>
        <v/>
      </c>
      <c r="T861" t="inlineStr">
        <is>
          <t>商品カタログ P194</t>
        </is>
      </c>
      <c r="U861" t="inlineStr">
        <is>
          <t>https://webcatalog.lixil.co.jp/iportal/CatalogDetail.do?catalogID=15191910000&amp;categoryID=1630000&amp;designID=newinter&amp;method=initial_screen&amp;position=18&amp;type=mc&amp;volumeID=LXL13001</t>
        </is>
      </c>
    </row>
    <row r="862">
      <c r="A862" t="inlineStr">
        <is>
          <t>WG-SL-00859</t>
        </is>
      </c>
      <c r="B862" t="inlineStr">
        <is>
          <t>SZ-SL-001041</t>
        </is>
      </c>
      <c r="C862" t="inlineStr">
        <is>
          <t>WT-SL-MENKOSHI-AGE-FS</t>
        </is>
      </c>
      <c r="D862" t="inlineStr">
        <is>
          <t>SP-SL-AGE-GRILLE-V</t>
        </is>
      </c>
      <c r="E862" t="inlineStr">
        <is>
          <t>03613</t>
        </is>
      </c>
      <c r="F862" t="n">
        <v>0.405</v>
      </c>
      <c r="G862" t="n">
        <v>1.37</v>
      </c>
      <c r="H862" t="inlineStr">
        <is>
          <t>GL-SL-004</t>
        </is>
      </c>
      <c r="I862" t="n">
        <v>6</v>
      </c>
      <c r="J862" t="n">
        <v>7.8</v>
      </c>
      <c r="K862" t="n">
        <v>-0.355</v>
      </c>
      <c r="L862" t="n">
        <v>-0.664</v>
      </c>
      <c r="M862" t="n">
        <v>0.335</v>
      </c>
      <c r="N862">
        <f>ROUND(J862*F862*G862+K862*G862+L862*F862+M862,3)</f>
        <v/>
      </c>
      <c r="O862">
        <f>AND(N862&gt;=1.4,N862&lt;=13)</f>
        <v/>
      </c>
      <c r="P862">
        <f>IF(OR(N862&lt;1.4,N862&gt;13),"",IF(G862*1000&lt;=1170,IF(N862&lt;1.8,"1014",IF(N862&lt;2.9,"1018",IF(N862&lt;3.8,"1029",IF(N862&lt;5,"1038",IF(N862&lt;7,"1050",IF(N862&lt;9,"1070",IF(N862&lt;11,"1090","1110"))))))),IF(G862*1000&lt;=1570,IF(N862&lt;1.8,"",IF(N862&lt;2.9,"2018",IF(N862&lt;3.8,"2029",IF(N862&lt;5,"2038",IF(N862&lt;7,"2050",IF(N862&lt;9,"2070",IF(N862&lt;11,"2090","2110"))))))),IF(G862*1000&lt;=1700,IF(N862&lt;1.8,"",IF(N862&lt;2.9,"3018",IF(N862&lt;3.8,"3029",IF(N862&lt;5,"3038",IF(N862&lt;7,"3050",IF(N862&lt;9,"3070",IF(N862&lt;11,"3090","3110"))))))),""))))</f>
        <v/>
      </c>
      <c r="Q862">
        <f>AND(O862=TRUE,P862&lt;&gt;"")</f>
        <v/>
      </c>
      <c r="R862">
        <f>IF(G862*1000&lt;750,"なし","あり")</f>
        <v/>
      </c>
      <c r="S862">
        <f>IF(AND(O862=TRUE,Q862=TRUE),"設定可","BLOCK")</f>
        <v/>
      </c>
      <c r="T862" t="inlineStr">
        <is>
          <t>商品カタログ P194</t>
        </is>
      </c>
      <c r="U862" t="inlineStr">
        <is>
          <t>https://webcatalog.lixil.co.jp/iportal/CatalogDetail.do?catalogID=15191910000&amp;categoryID=1630000&amp;designID=newinter&amp;method=initial_screen&amp;position=18&amp;type=mc&amp;volumeID=LXL13001</t>
        </is>
      </c>
    </row>
    <row r="863">
      <c r="A863" t="inlineStr">
        <is>
          <t>WG-SL-00860</t>
        </is>
      </c>
      <c r="B863" t="inlineStr">
        <is>
          <t>SZ-SL-001041</t>
        </is>
      </c>
      <c r="C863" t="inlineStr">
        <is>
          <t>WT-SL-MENKOSHI-AGE-FS</t>
        </is>
      </c>
      <c r="D863" t="inlineStr">
        <is>
          <t>SP-SL-AGE-GRILLE-V</t>
        </is>
      </c>
      <c r="E863" t="inlineStr">
        <is>
          <t>03613</t>
        </is>
      </c>
      <c r="F863" t="n">
        <v>0.405</v>
      </c>
      <c r="G863" t="n">
        <v>1.37</v>
      </c>
      <c r="H863" t="inlineStr">
        <is>
          <t>GL-SL-005</t>
        </is>
      </c>
      <c r="I863" t="n">
        <v>7</v>
      </c>
      <c r="J863" t="n">
        <v>9.1</v>
      </c>
      <c r="K863" t="n">
        <v>-0.48</v>
      </c>
      <c r="L863" t="n">
        <v>-0.998</v>
      </c>
      <c r="M863" t="n">
        <v>0.367</v>
      </c>
      <c r="N863">
        <f>ROUND(J863*F863*G863+K863*G863+L863*F863+M863,3)</f>
        <v/>
      </c>
      <c r="O863">
        <f>AND(N863&gt;=1.4,N863&lt;=13)</f>
        <v/>
      </c>
      <c r="P863">
        <f>IF(OR(N863&lt;1.4,N863&gt;13),"",IF(G863*1000&lt;=1170,IF(N863&lt;1.8,"1014",IF(N863&lt;2.9,"1018",IF(N863&lt;3.8,"1029",IF(N863&lt;5,"1038",IF(N863&lt;7,"1050",IF(N863&lt;9,"1070",IF(N863&lt;11,"1090","1110"))))))),IF(G863*1000&lt;=1570,IF(N863&lt;1.8,"",IF(N863&lt;2.9,"2018",IF(N863&lt;3.8,"2029",IF(N863&lt;5,"2038",IF(N863&lt;7,"2050",IF(N863&lt;9,"2070",IF(N863&lt;11,"2090","2110"))))))),IF(G863*1000&lt;=1700,IF(N863&lt;1.8,"",IF(N863&lt;2.9,"3018",IF(N863&lt;3.8,"3029",IF(N863&lt;5,"3038",IF(N863&lt;7,"3050",IF(N863&lt;9,"3070",IF(N863&lt;11,"3090","3110"))))))),""))))</f>
        <v/>
      </c>
      <c r="Q863">
        <f>AND(O863=TRUE,P863&lt;&gt;"")</f>
        <v/>
      </c>
      <c r="R863">
        <f>IF(G863*1000&lt;750,"なし","あり")</f>
        <v/>
      </c>
      <c r="S863">
        <f>IF(AND(O863=TRUE,Q863=TRUE),"設定可","BLOCK")</f>
        <v/>
      </c>
      <c r="T863" t="inlineStr">
        <is>
          <t>商品カタログ P194</t>
        </is>
      </c>
      <c r="U863" t="inlineStr">
        <is>
          <t>https://webcatalog.lixil.co.jp/iportal/CatalogDetail.do?catalogID=15191910000&amp;categoryID=1630000&amp;designID=newinter&amp;method=initial_screen&amp;position=18&amp;type=mc&amp;volumeID=LXL13001</t>
        </is>
      </c>
    </row>
    <row r="864">
      <c r="A864" t="inlineStr">
        <is>
          <t>WG-SL-00861</t>
        </is>
      </c>
      <c r="B864" t="inlineStr">
        <is>
          <t>SZ-SL-001041</t>
        </is>
      </c>
      <c r="C864" t="inlineStr">
        <is>
          <t>WT-SL-MENKOSHI-AGE-FS</t>
        </is>
      </c>
      <c r="D864" t="inlineStr">
        <is>
          <t>SP-SL-AGE-GRILLE-V</t>
        </is>
      </c>
      <c r="E864" t="inlineStr">
        <is>
          <t>03613</t>
        </is>
      </c>
      <c r="F864" t="n">
        <v>0.405</v>
      </c>
      <c r="G864" t="n">
        <v>1.37</v>
      </c>
      <c r="H864" t="inlineStr">
        <is>
          <t>GL-SL-006</t>
        </is>
      </c>
      <c r="I864" t="n">
        <v>8</v>
      </c>
      <c r="J864" t="n">
        <v>10.4</v>
      </c>
      <c r="K864" t="n">
        <v>-0.605</v>
      </c>
      <c r="L864" t="n">
        <v>-1.332</v>
      </c>
      <c r="M864" t="n">
        <v>0.399</v>
      </c>
      <c r="N864">
        <f>ROUND(J864*F864*G864+K864*G864+L864*F864+M864,3)</f>
        <v/>
      </c>
      <c r="O864">
        <f>AND(N864&gt;=1.4,N864&lt;=13)</f>
        <v/>
      </c>
      <c r="P864">
        <f>IF(OR(N864&lt;1.4,N864&gt;13),"",IF(G864*1000&lt;=1170,IF(N864&lt;1.8,"1014",IF(N864&lt;2.9,"1018",IF(N864&lt;3.8,"1029",IF(N864&lt;5,"1038",IF(N864&lt;7,"1050",IF(N864&lt;9,"1070",IF(N864&lt;11,"1090","1110"))))))),IF(G864*1000&lt;=1570,IF(N864&lt;1.8,"",IF(N864&lt;2.9,"2018",IF(N864&lt;3.8,"2029",IF(N864&lt;5,"2038",IF(N864&lt;7,"2050",IF(N864&lt;9,"2070",IF(N864&lt;11,"2090","2110"))))))),IF(G864*1000&lt;=1700,IF(N864&lt;1.8,"",IF(N864&lt;2.9,"3018",IF(N864&lt;3.8,"3029",IF(N864&lt;5,"3038",IF(N864&lt;7,"3050",IF(N864&lt;9,"3070",IF(N864&lt;11,"3090","3110"))))))),""))))</f>
        <v/>
      </c>
      <c r="Q864">
        <f>AND(O864=TRUE,P864&lt;&gt;"")</f>
        <v/>
      </c>
      <c r="R864">
        <f>IF(G864*1000&lt;750,"なし","あり")</f>
        <v/>
      </c>
      <c r="S864">
        <f>IF(AND(O864=TRUE,Q864=TRUE),"設定可","BLOCK")</f>
        <v/>
      </c>
      <c r="T864" t="inlineStr">
        <is>
          <t>商品カタログ P194</t>
        </is>
      </c>
      <c r="U864" t="inlineStr">
        <is>
          <t>https://webcatalog.lixil.co.jp/iportal/CatalogDetail.do?catalogID=15191910000&amp;categoryID=1630000&amp;designID=newinter&amp;method=initial_screen&amp;position=18&amp;type=mc&amp;volumeID=LXL13001</t>
        </is>
      </c>
    </row>
    <row r="865">
      <c r="A865" t="inlineStr">
        <is>
          <t>WG-SL-00862</t>
        </is>
      </c>
      <c r="B865" t="inlineStr">
        <is>
          <t>SZ-SL-001041</t>
        </is>
      </c>
      <c r="C865" t="inlineStr">
        <is>
          <t>WT-SL-MENKOSHI-AGE-FS</t>
        </is>
      </c>
      <c r="D865" t="inlineStr">
        <is>
          <t>SP-SL-AGE-GRILLE-V</t>
        </is>
      </c>
      <c r="E865" t="inlineStr">
        <is>
          <t>03613</t>
        </is>
      </c>
      <c r="F865" t="n">
        <v>0.405</v>
      </c>
      <c r="G865" t="n">
        <v>1.37</v>
      </c>
      <c r="H865" t="inlineStr">
        <is>
          <t>GL-SL-007</t>
        </is>
      </c>
      <c r="I865" t="n">
        <v>6</v>
      </c>
      <c r="J865" t="n">
        <v>7.8</v>
      </c>
      <c r="K865" t="n">
        <v>-0.355</v>
      </c>
      <c r="L865" t="n">
        <v>-0.664</v>
      </c>
      <c r="M865" t="n">
        <v>0.335</v>
      </c>
      <c r="N865">
        <f>ROUND(J865*F865*G865+K865*G865+L865*F865+M865,3)</f>
        <v/>
      </c>
      <c r="O865">
        <f>AND(N865&gt;=1.4,N865&lt;=13)</f>
        <v/>
      </c>
      <c r="P865">
        <f>IF(OR(N865&lt;1.4,N865&gt;13),"",IF(G865*1000&lt;=1170,IF(N865&lt;1.8,"1014",IF(N865&lt;2.9,"1018",IF(N865&lt;3.8,"1029",IF(N865&lt;5,"1038",IF(N865&lt;7,"1050",IF(N865&lt;9,"1070",IF(N865&lt;11,"1090","1110"))))))),IF(G865*1000&lt;=1570,IF(N865&lt;1.8,"",IF(N865&lt;2.9,"2018",IF(N865&lt;3.8,"2029",IF(N865&lt;5,"2038",IF(N865&lt;7,"2050",IF(N865&lt;9,"2070",IF(N865&lt;11,"2090","2110"))))))),IF(G865*1000&lt;=1700,IF(N865&lt;1.8,"",IF(N865&lt;2.9,"3018",IF(N865&lt;3.8,"3029",IF(N865&lt;5,"3038",IF(N865&lt;7,"3050",IF(N865&lt;9,"3070",IF(N865&lt;11,"3090","3110"))))))),""))))</f>
        <v/>
      </c>
      <c r="Q865">
        <f>AND(O865=TRUE,P865&lt;&gt;"")</f>
        <v/>
      </c>
      <c r="R865">
        <f>IF(G865*1000&lt;750,"なし","あり")</f>
        <v/>
      </c>
      <c r="S865">
        <f>IF(AND(O865=TRUE,Q865=TRUE),"設定可","BLOCK")</f>
        <v/>
      </c>
      <c r="T865" t="inlineStr">
        <is>
          <t>商品カタログ P194</t>
        </is>
      </c>
      <c r="U865" t="inlineStr">
        <is>
          <t>https://webcatalog.lixil.co.jp/iportal/CatalogDetail.do?catalogID=15191910000&amp;categoryID=1630000&amp;designID=newinter&amp;method=initial_screen&amp;position=18&amp;type=mc&amp;volumeID=LXL13001</t>
        </is>
      </c>
    </row>
    <row r="866">
      <c r="A866" t="inlineStr">
        <is>
          <t>WG-SL-00863</t>
        </is>
      </c>
      <c r="B866" t="inlineStr">
        <is>
          <t>SZ-SL-001041</t>
        </is>
      </c>
      <c r="C866" t="inlineStr">
        <is>
          <t>WT-SL-MENKOSHI-AGE-FS</t>
        </is>
      </c>
      <c r="D866" t="inlineStr">
        <is>
          <t>SP-SL-AGE-GRILLE-V</t>
        </is>
      </c>
      <c r="E866" t="inlineStr">
        <is>
          <t>03613</t>
        </is>
      </c>
      <c r="F866" t="n">
        <v>0.405</v>
      </c>
      <c r="G866" t="n">
        <v>1.37</v>
      </c>
      <c r="H866" t="inlineStr">
        <is>
          <t>GL-SL-008</t>
        </is>
      </c>
      <c r="I866" t="n">
        <v>7</v>
      </c>
      <c r="J866" t="n">
        <v>9.1</v>
      </c>
      <c r="K866" t="n">
        <v>-0.48</v>
      </c>
      <c r="L866" t="n">
        <v>-0.998</v>
      </c>
      <c r="M866" t="n">
        <v>0.367</v>
      </c>
      <c r="N866">
        <f>ROUND(J866*F866*G866+K866*G866+L866*F866+M866,3)</f>
        <v/>
      </c>
      <c r="O866">
        <f>AND(N866&gt;=1.4,N866&lt;=13)</f>
        <v/>
      </c>
      <c r="P866">
        <f>IF(OR(N866&lt;1.4,N866&gt;13),"",IF(G866*1000&lt;=1170,IF(N866&lt;1.8,"1014",IF(N866&lt;2.9,"1018",IF(N866&lt;3.8,"1029",IF(N866&lt;5,"1038",IF(N866&lt;7,"1050",IF(N866&lt;9,"1070",IF(N866&lt;11,"1090","1110"))))))),IF(G866*1000&lt;=1570,IF(N866&lt;1.8,"",IF(N866&lt;2.9,"2018",IF(N866&lt;3.8,"2029",IF(N866&lt;5,"2038",IF(N866&lt;7,"2050",IF(N866&lt;9,"2070",IF(N866&lt;11,"2090","2110"))))))),IF(G866*1000&lt;=1700,IF(N866&lt;1.8,"",IF(N866&lt;2.9,"3018",IF(N866&lt;3.8,"3029",IF(N866&lt;5,"3038",IF(N866&lt;7,"3050",IF(N866&lt;9,"3070",IF(N866&lt;11,"3090","3110"))))))),""))))</f>
        <v/>
      </c>
      <c r="Q866">
        <f>AND(O866=TRUE,P866&lt;&gt;"")</f>
        <v/>
      </c>
      <c r="R866">
        <f>IF(G866*1000&lt;750,"なし","あり")</f>
        <v/>
      </c>
      <c r="S866">
        <f>IF(AND(O866=TRUE,Q866=TRUE),"設定可","BLOCK")</f>
        <v/>
      </c>
      <c r="T866" t="inlineStr">
        <is>
          <t>商品カタログ P194</t>
        </is>
      </c>
      <c r="U866" t="inlineStr">
        <is>
          <t>https://webcatalog.lixil.co.jp/iportal/CatalogDetail.do?catalogID=15191910000&amp;categoryID=1630000&amp;designID=newinter&amp;method=initial_screen&amp;position=18&amp;type=mc&amp;volumeID=LXL13001</t>
        </is>
      </c>
    </row>
    <row r="867">
      <c r="A867" t="inlineStr">
        <is>
          <t>WG-SL-00864</t>
        </is>
      </c>
      <c r="B867" t="inlineStr">
        <is>
          <t>SZ-SL-001041</t>
        </is>
      </c>
      <c r="C867" t="inlineStr">
        <is>
          <t>WT-SL-MENKOSHI-AGE-FS</t>
        </is>
      </c>
      <c r="D867" t="inlineStr">
        <is>
          <t>SP-SL-AGE-GRILLE-V</t>
        </is>
      </c>
      <c r="E867" t="inlineStr">
        <is>
          <t>03613</t>
        </is>
      </c>
      <c r="F867" t="n">
        <v>0.405</v>
      </c>
      <c r="G867" t="n">
        <v>1.37</v>
      </c>
      <c r="H867" t="inlineStr">
        <is>
          <t>GL-SL-009</t>
        </is>
      </c>
      <c r="I867" t="n">
        <v>8</v>
      </c>
      <c r="J867" t="n">
        <v>10.4</v>
      </c>
      <c r="K867" t="n">
        <v>-0.605</v>
      </c>
      <c r="L867" t="n">
        <v>-1.332</v>
      </c>
      <c r="M867" t="n">
        <v>0.399</v>
      </c>
      <c r="N867">
        <f>ROUND(J867*F867*G867+K867*G867+L867*F867+M867,3)</f>
        <v/>
      </c>
      <c r="O867">
        <f>AND(N867&gt;=1.4,N867&lt;=13)</f>
        <v/>
      </c>
      <c r="P867">
        <f>IF(OR(N867&lt;1.4,N867&gt;13),"",IF(G867*1000&lt;=1170,IF(N867&lt;1.8,"1014",IF(N867&lt;2.9,"1018",IF(N867&lt;3.8,"1029",IF(N867&lt;5,"1038",IF(N867&lt;7,"1050",IF(N867&lt;9,"1070",IF(N867&lt;11,"1090","1110"))))))),IF(G867*1000&lt;=1570,IF(N867&lt;1.8,"",IF(N867&lt;2.9,"2018",IF(N867&lt;3.8,"2029",IF(N867&lt;5,"2038",IF(N867&lt;7,"2050",IF(N867&lt;9,"2070",IF(N867&lt;11,"2090","2110"))))))),IF(G867*1000&lt;=1700,IF(N867&lt;1.8,"",IF(N867&lt;2.9,"3018",IF(N867&lt;3.8,"3029",IF(N867&lt;5,"3038",IF(N867&lt;7,"3050",IF(N867&lt;9,"3070",IF(N867&lt;11,"3090","3110"))))))),""))))</f>
        <v/>
      </c>
      <c r="Q867">
        <f>AND(O867=TRUE,P867&lt;&gt;"")</f>
        <v/>
      </c>
      <c r="R867">
        <f>IF(G867*1000&lt;750,"なし","あり")</f>
        <v/>
      </c>
      <c r="S867">
        <f>IF(AND(O867=TRUE,Q867=TRUE),"設定可","BLOCK")</f>
        <v/>
      </c>
      <c r="T867" t="inlineStr">
        <is>
          <t>商品カタログ P194</t>
        </is>
      </c>
      <c r="U867" t="inlineStr">
        <is>
          <t>https://webcatalog.lixil.co.jp/iportal/CatalogDetail.do?catalogID=15191910000&amp;categoryID=1630000&amp;designID=newinter&amp;method=initial_screen&amp;position=18&amp;type=mc&amp;volumeID=LXL13001</t>
        </is>
      </c>
    </row>
    <row r="868">
      <c r="A868" t="inlineStr">
        <is>
          <t>WG-SL-00865</t>
        </is>
      </c>
      <c r="B868" t="inlineStr">
        <is>
          <t>SZ-SL-001042</t>
        </is>
      </c>
      <c r="C868" t="inlineStr">
        <is>
          <t>WT-SL-MENKOSHI-AGE-FS</t>
        </is>
      </c>
      <c r="D868" t="inlineStr">
        <is>
          <t>SP-SL-AGE-GRILLE-V</t>
        </is>
      </c>
      <c r="E868" t="inlineStr">
        <is>
          <t>06013</t>
        </is>
      </c>
      <c r="F868" t="n">
        <v>0.64</v>
      </c>
      <c r="G868" t="n">
        <v>1.37</v>
      </c>
      <c r="H868" t="inlineStr">
        <is>
          <t>GL-SL-001</t>
        </is>
      </c>
      <c r="I868" t="n">
        <v>6</v>
      </c>
      <c r="J868" t="n">
        <v>7.8</v>
      </c>
      <c r="K868" t="n">
        <v>-0.355</v>
      </c>
      <c r="L868" t="n">
        <v>-0.664</v>
      </c>
      <c r="M868" t="n">
        <v>0.335</v>
      </c>
      <c r="N868">
        <f>ROUND(J868*F868*G868+K868*G868+L868*F868+M868,3)</f>
        <v/>
      </c>
      <c r="O868">
        <f>AND(N868&gt;=1.4,N868&lt;=13)</f>
        <v/>
      </c>
      <c r="P868">
        <f>IF(OR(N868&lt;1.4,N868&gt;13),"",IF(G868*1000&lt;=1170,IF(N868&lt;1.8,"1014",IF(N868&lt;2.9,"1018",IF(N868&lt;3.8,"1029",IF(N868&lt;5,"1038",IF(N868&lt;7,"1050",IF(N868&lt;9,"1070",IF(N868&lt;11,"1090","1110"))))))),IF(G868*1000&lt;=1570,IF(N868&lt;1.8,"",IF(N868&lt;2.9,"2018",IF(N868&lt;3.8,"2029",IF(N868&lt;5,"2038",IF(N868&lt;7,"2050",IF(N868&lt;9,"2070",IF(N868&lt;11,"2090","2110"))))))),IF(G868*1000&lt;=1700,IF(N868&lt;1.8,"",IF(N868&lt;2.9,"3018",IF(N868&lt;3.8,"3029",IF(N868&lt;5,"3038",IF(N868&lt;7,"3050",IF(N868&lt;9,"3070",IF(N868&lt;11,"3090","3110"))))))),""))))</f>
        <v/>
      </c>
      <c r="Q868">
        <f>AND(O868=TRUE,P868&lt;&gt;"")</f>
        <v/>
      </c>
      <c r="R868">
        <f>IF(G868*1000&lt;750,"なし","あり")</f>
        <v/>
      </c>
      <c r="S868">
        <f>IF(AND(O868=TRUE,Q868=TRUE),"設定可","BLOCK")</f>
        <v/>
      </c>
      <c r="T868" t="inlineStr">
        <is>
          <t>商品カタログ P194</t>
        </is>
      </c>
      <c r="U868" t="inlineStr">
        <is>
          <t>https://webcatalog.lixil.co.jp/iportal/CatalogDetail.do?catalogID=15191910000&amp;categoryID=1630000&amp;designID=newinter&amp;method=initial_screen&amp;position=18&amp;type=mc&amp;volumeID=LXL13001</t>
        </is>
      </c>
    </row>
    <row r="869">
      <c r="A869" t="inlineStr">
        <is>
          <t>WG-SL-00866</t>
        </is>
      </c>
      <c r="B869" t="inlineStr">
        <is>
          <t>SZ-SL-001042</t>
        </is>
      </c>
      <c r="C869" t="inlineStr">
        <is>
          <t>WT-SL-MENKOSHI-AGE-FS</t>
        </is>
      </c>
      <c r="D869" t="inlineStr">
        <is>
          <t>SP-SL-AGE-GRILLE-V</t>
        </is>
      </c>
      <c r="E869" t="inlineStr">
        <is>
          <t>06013</t>
        </is>
      </c>
      <c r="F869" t="n">
        <v>0.64</v>
      </c>
      <c r="G869" t="n">
        <v>1.37</v>
      </c>
      <c r="H869" t="inlineStr">
        <is>
          <t>GL-SL-002</t>
        </is>
      </c>
      <c r="I869" t="n">
        <v>7</v>
      </c>
      <c r="J869" t="n">
        <v>9.1</v>
      </c>
      <c r="K869" t="n">
        <v>-0.48</v>
      </c>
      <c r="L869" t="n">
        <v>-0.998</v>
      </c>
      <c r="M869" t="n">
        <v>0.367</v>
      </c>
      <c r="N869">
        <f>ROUND(J869*F869*G869+K869*G869+L869*F869+M869,3)</f>
        <v/>
      </c>
      <c r="O869">
        <f>AND(N869&gt;=1.4,N869&lt;=13)</f>
        <v/>
      </c>
      <c r="P869">
        <f>IF(OR(N869&lt;1.4,N869&gt;13),"",IF(G869*1000&lt;=1170,IF(N869&lt;1.8,"1014",IF(N869&lt;2.9,"1018",IF(N869&lt;3.8,"1029",IF(N869&lt;5,"1038",IF(N869&lt;7,"1050",IF(N869&lt;9,"1070",IF(N869&lt;11,"1090","1110"))))))),IF(G869*1000&lt;=1570,IF(N869&lt;1.8,"",IF(N869&lt;2.9,"2018",IF(N869&lt;3.8,"2029",IF(N869&lt;5,"2038",IF(N869&lt;7,"2050",IF(N869&lt;9,"2070",IF(N869&lt;11,"2090","2110"))))))),IF(G869*1000&lt;=1700,IF(N869&lt;1.8,"",IF(N869&lt;2.9,"3018",IF(N869&lt;3.8,"3029",IF(N869&lt;5,"3038",IF(N869&lt;7,"3050",IF(N869&lt;9,"3070",IF(N869&lt;11,"3090","3110"))))))),""))))</f>
        <v/>
      </c>
      <c r="Q869">
        <f>AND(O869=TRUE,P869&lt;&gt;"")</f>
        <v/>
      </c>
      <c r="R869">
        <f>IF(G869*1000&lt;750,"なし","あり")</f>
        <v/>
      </c>
      <c r="S869">
        <f>IF(AND(O869=TRUE,Q869=TRUE),"設定可","BLOCK")</f>
        <v/>
      </c>
      <c r="T869" t="inlineStr">
        <is>
          <t>商品カタログ P194</t>
        </is>
      </c>
      <c r="U869" t="inlineStr">
        <is>
          <t>https://webcatalog.lixil.co.jp/iportal/CatalogDetail.do?catalogID=15191910000&amp;categoryID=1630000&amp;designID=newinter&amp;method=initial_screen&amp;position=18&amp;type=mc&amp;volumeID=LXL13001</t>
        </is>
      </c>
    </row>
    <row r="870">
      <c r="A870" t="inlineStr">
        <is>
          <t>WG-SL-00867</t>
        </is>
      </c>
      <c r="B870" t="inlineStr">
        <is>
          <t>SZ-SL-001042</t>
        </is>
      </c>
      <c r="C870" t="inlineStr">
        <is>
          <t>WT-SL-MENKOSHI-AGE-FS</t>
        </is>
      </c>
      <c r="D870" t="inlineStr">
        <is>
          <t>SP-SL-AGE-GRILLE-V</t>
        </is>
      </c>
      <c r="E870" t="inlineStr">
        <is>
          <t>06013</t>
        </is>
      </c>
      <c r="F870" t="n">
        <v>0.64</v>
      </c>
      <c r="G870" t="n">
        <v>1.37</v>
      </c>
      <c r="H870" t="inlineStr">
        <is>
          <t>GL-SL-003</t>
        </is>
      </c>
      <c r="I870" t="n">
        <v>8</v>
      </c>
      <c r="J870" t="n">
        <v>10.4</v>
      </c>
      <c r="K870" t="n">
        <v>-0.605</v>
      </c>
      <c r="L870" t="n">
        <v>-1.332</v>
      </c>
      <c r="M870" t="n">
        <v>0.399</v>
      </c>
      <c r="N870">
        <f>ROUND(J870*F870*G870+K870*G870+L870*F870+M870,3)</f>
        <v/>
      </c>
      <c r="O870">
        <f>AND(N870&gt;=1.4,N870&lt;=13)</f>
        <v/>
      </c>
      <c r="P870">
        <f>IF(OR(N870&lt;1.4,N870&gt;13),"",IF(G870*1000&lt;=1170,IF(N870&lt;1.8,"1014",IF(N870&lt;2.9,"1018",IF(N870&lt;3.8,"1029",IF(N870&lt;5,"1038",IF(N870&lt;7,"1050",IF(N870&lt;9,"1070",IF(N870&lt;11,"1090","1110"))))))),IF(G870*1000&lt;=1570,IF(N870&lt;1.8,"",IF(N870&lt;2.9,"2018",IF(N870&lt;3.8,"2029",IF(N870&lt;5,"2038",IF(N870&lt;7,"2050",IF(N870&lt;9,"2070",IF(N870&lt;11,"2090","2110"))))))),IF(G870*1000&lt;=1700,IF(N870&lt;1.8,"",IF(N870&lt;2.9,"3018",IF(N870&lt;3.8,"3029",IF(N870&lt;5,"3038",IF(N870&lt;7,"3050",IF(N870&lt;9,"3070",IF(N870&lt;11,"3090","3110"))))))),""))))</f>
        <v/>
      </c>
      <c r="Q870">
        <f>AND(O870=TRUE,P870&lt;&gt;"")</f>
        <v/>
      </c>
      <c r="R870">
        <f>IF(G870*1000&lt;750,"なし","あり")</f>
        <v/>
      </c>
      <c r="S870">
        <f>IF(AND(O870=TRUE,Q870=TRUE),"設定可","BLOCK")</f>
        <v/>
      </c>
      <c r="T870" t="inlineStr">
        <is>
          <t>商品カタログ P194</t>
        </is>
      </c>
      <c r="U870" t="inlineStr">
        <is>
          <t>https://webcatalog.lixil.co.jp/iportal/CatalogDetail.do?catalogID=15191910000&amp;categoryID=1630000&amp;designID=newinter&amp;method=initial_screen&amp;position=18&amp;type=mc&amp;volumeID=LXL13001</t>
        </is>
      </c>
    </row>
    <row r="871">
      <c r="A871" t="inlineStr">
        <is>
          <t>WG-SL-00868</t>
        </is>
      </c>
      <c r="B871" t="inlineStr">
        <is>
          <t>SZ-SL-001042</t>
        </is>
      </c>
      <c r="C871" t="inlineStr">
        <is>
          <t>WT-SL-MENKOSHI-AGE-FS</t>
        </is>
      </c>
      <c r="D871" t="inlineStr">
        <is>
          <t>SP-SL-AGE-GRILLE-V</t>
        </is>
      </c>
      <c r="E871" t="inlineStr">
        <is>
          <t>06013</t>
        </is>
      </c>
      <c r="F871" t="n">
        <v>0.64</v>
      </c>
      <c r="G871" t="n">
        <v>1.37</v>
      </c>
      <c r="H871" t="inlineStr">
        <is>
          <t>GL-SL-004</t>
        </is>
      </c>
      <c r="I871" t="n">
        <v>6</v>
      </c>
      <c r="J871" t="n">
        <v>7.8</v>
      </c>
      <c r="K871" t="n">
        <v>-0.355</v>
      </c>
      <c r="L871" t="n">
        <v>-0.664</v>
      </c>
      <c r="M871" t="n">
        <v>0.335</v>
      </c>
      <c r="N871">
        <f>ROUND(J871*F871*G871+K871*G871+L871*F871+M871,3)</f>
        <v/>
      </c>
      <c r="O871">
        <f>AND(N871&gt;=1.4,N871&lt;=13)</f>
        <v/>
      </c>
      <c r="P871">
        <f>IF(OR(N871&lt;1.4,N871&gt;13),"",IF(G871*1000&lt;=1170,IF(N871&lt;1.8,"1014",IF(N871&lt;2.9,"1018",IF(N871&lt;3.8,"1029",IF(N871&lt;5,"1038",IF(N871&lt;7,"1050",IF(N871&lt;9,"1070",IF(N871&lt;11,"1090","1110"))))))),IF(G871*1000&lt;=1570,IF(N871&lt;1.8,"",IF(N871&lt;2.9,"2018",IF(N871&lt;3.8,"2029",IF(N871&lt;5,"2038",IF(N871&lt;7,"2050",IF(N871&lt;9,"2070",IF(N871&lt;11,"2090","2110"))))))),IF(G871*1000&lt;=1700,IF(N871&lt;1.8,"",IF(N871&lt;2.9,"3018",IF(N871&lt;3.8,"3029",IF(N871&lt;5,"3038",IF(N871&lt;7,"3050",IF(N871&lt;9,"3070",IF(N871&lt;11,"3090","3110"))))))),""))))</f>
        <v/>
      </c>
      <c r="Q871">
        <f>AND(O871=TRUE,P871&lt;&gt;"")</f>
        <v/>
      </c>
      <c r="R871">
        <f>IF(G871*1000&lt;750,"なし","あり")</f>
        <v/>
      </c>
      <c r="S871">
        <f>IF(AND(O871=TRUE,Q871=TRUE),"設定可","BLOCK")</f>
        <v/>
      </c>
      <c r="T871" t="inlineStr">
        <is>
          <t>商品カタログ P194</t>
        </is>
      </c>
      <c r="U871" t="inlineStr">
        <is>
          <t>https://webcatalog.lixil.co.jp/iportal/CatalogDetail.do?catalogID=15191910000&amp;categoryID=1630000&amp;designID=newinter&amp;method=initial_screen&amp;position=18&amp;type=mc&amp;volumeID=LXL13001</t>
        </is>
      </c>
    </row>
    <row r="872">
      <c r="A872" t="inlineStr">
        <is>
          <t>WG-SL-00869</t>
        </is>
      </c>
      <c r="B872" t="inlineStr">
        <is>
          <t>SZ-SL-001042</t>
        </is>
      </c>
      <c r="C872" t="inlineStr">
        <is>
          <t>WT-SL-MENKOSHI-AGE-FS</t>
        </is>
      </c>
      <c r="D872" t="inlineStr">
        <is>
          <t>SP-SL-AGE-GRILLE-V</t>
        </is>
      </c>
      <c r="E872" t="inlineStr">
        <is>
          <t>06013</t>
        </is>
      </c>
      <c r="F872" t="n">
        <v>0.64</v>
      </c>
      <c r="G872" t="n">
        <v>1.37</v>
      </c>
      <c r="H872" t="inlineStr">
        <is>
          <t>GL-SL-005</t>
        </is>
      </c>
      <c r="I872" t="n">
        <v>7</v>
      </c>
      <c r="J872" t="n">
        <v>9.1</v>
      </c>
      <c r="K872" t="n">
        <v>-0.48</v>
      </c>
      <c r="L872" t="n">
        <v>-0.998</v>
      </c>
      <c r="M872" t="n">
        <v>0.367</v>
      </c>
      <c r="N872">
        <f>ROUND(J872*F872*G872+K872*G872+L872*F872+M872,3)</f>
        <v/>
      </c>
      <c r="O872">
        <f>AND(N872&gt;=1.4,N872&lt;=13)</f>
        <v/>
      </c>
      <c r="P872">
        <f>IF(OR(N872&lt;1.4,N872&gt;13),"",IF(G872*1000&lt;=1170,IF(N872&lt;1.8,"1014",IF(N872&lt;2.9,"1018",IF(N872&lt;3.8,"1029",IF(N872&lt;5,"1038",IF(N872&lt;7,"1050",IF(N872&lt;9,"1070",IF(N872&lt;11,"1090","1110"))))))),IF(G872*1000&lt;=1570,IF(N872&lt;1.8,"",IF(N872&lt;2.9,"2018",IF(N872&lt;3.8,"2029",IF(N872&lt;5,"2038",IF(N872&lt;7,"2050",IF(N872&lt;9,"2070",IF(N872&lt;11,"2090","2110"))))))),IF(G872*1000&lt;=1700,IF(N872&lt;1.8,"",IF(N872&lt;2.9,"3018",IF(N872&lt;3.8,"3029",IF(N872&lt;5,"3038",IF(N872&lt;7,"3050",IF(N872&lt;9,"3070",IF(N872&lt;11,"3090","3110"))))))),""))))</f>
        <v/>
      </c>
      <c r="Q872">
        <f>AND(O872=TRUE,P872&lt;&gt;"")</f>
        <v/>
      </c>
      <c r="R872">
        <f>IF(G872*1000&lt;750,"なし","あり")</f>
        <v/>
      </c>
      <c r="S872">
        <f>IF(AND(O872=TRUE,Q872=TRUE),"設定可","BLOCK")</f>
        <v/>
      </c>
      <c r="T872" t="inlineStr">
        <is>
          <t>商品カタログ P194</t>
        </is>
      </c>
      <c r="U872" t="inlineStr">
        <is>
          <t>https://webcatalog.lixil.co.jp/iportal/CatalogDetail.do?catalogID=15191910000&amp;categoryID=1630000&amp;designID=newinter&amp;method=initial_screen&amp;position=18&amp;type=mc&amp;volumeID=LXL13001</t>
        </is>
      </c>
    </row>
    <row r="873">
      <c r="A873" t="inlineStr">
        <is>
          <t>WG-SL-00870</t>
        </is>
      </c>
      <c r="B873" t="inlineStr">
        <is>
          <t>SZ-SL-001042</t>
        </is>
      </c>
      <c r="C873" t="inlineStr">
        <is>
          <t>WT-SL-MENKOSHI-AGE-FS</t>
        </is>
      </c>
      <c r="D873" t="inlineStr">
        <is>
          <t>SP-SL-AGE-GRILLE-V</t>
        </is>
      </c>
      <c r="E873" t="inlineStr">
        <is>
          <t>06013</t>
        </is>
      </c>
      <c r="F873" t="n">
        <v>0.64</v>
      </c>
      <c r="G873" t="n">
        <v>1.37</v>
      </c>
      <c r="H873" t="inlineStr">
        <is>
          <t>GL-SL-006</t>
        </is>
      </c>
      <c r="I873" t="n">
        <v>8</v>
      </c>
      <c r="J873" t="n">
        <v>10.4</v>
      </c>
      <c r="K873" t="n">
        <v>-0.605</v>
      </c>
      <c r="L873" t="n">
        <v>-1.332</v>
      </c>
      <c r="M873" t="n">
        <v>0.399</v>
      </c>
      <c r="N873">
        <f>ROUND(J873*F873*G873+K873*G873+L873*F873+M873,3)</f>
        <v/>
      </c>
      <c r="O873">
        <f>AND(N873&gt;=1.4,N873&lt;=13)</f>
        <v/>
      </c>
      <c r="P873">
        <f>IF(OR(N873&lt;1.4,N873&gt;13),"",IF(G873*1000&lt;=1170,IF(N873&lt;1.8,"1014",IF(N873&lt;2.9,"1018",IF(N873&lt;3.8,"1029",IF(N873&lt;5,"1038",IF(N873&lt;7,"1050",IF(N873&lt;9,"1070",IF(N873&lt;11,"1090","1110"))))))),IF(G873*1000&lt;=1570,IF(N873&lt;1.8,"",IF(N873&lt;2.9,"2018",IF(N873&lt;3.8,"2029",IF(N873&lt;5,"2038",IF(N873&lt;7,"2050",IF(N873&lt;9,"2070",IF(N873&lt;11,"2090","2110"))))))),IF(G873*1000&lt;=1700,IF(N873&lt;1.8,"",IF(N873&lt;2.9,"3018",IF(N873&lt;3.8,"3029",IF(N873&lt;5,"3038",IF(N873&lt;7,"3050",IF(N873&lt;9,"3070",IF(N873&lt;11,"3090","3110"))))))),""))))</f>
        <v/>
      </c>
      <c r="Q873">
        <f>AND(O873=TRUE,P873&lt;&gt;"")</f>
        <v/>
      </c>
      <c r="R873">
        <f>IF(G873*1000&lt;750,"なし","あり")</f>
        <v/>
      </c>
      <c r="S873">
        <f>IF(AND(O873=TRUE,Q873=TRUE),"設定可","BLOCK")</f>
        <v/>
      </c>
      <c r="T873" t="inlineStr">
        <is>
          <t>商品カタログ P194</t>
        </is>
      </c>
      <c r="U873" t="inlineStr">
        <is>
          <t>https://webcatalog.lixil.co.jp/iportal/CatalogDetail.do?catalogID=15191910000&amp;categoryID=1630000&amp;designID=newinter&amp;method=initial_screen&amp;position=18&amp;type=mc&amp;volumeID=LXL13001</t>
        </is>
      </c>
    </row>
    <row r="874">
      <c r="A874" t="inlineStr">
        <is>
          <t>WG-SL-00871</t>
        </is>
      </c>
      <c r="B874" t="inlineStr">
        <is>
          <t>SZ-SL-001042</t>
        </is>
      </c>
      <c r="C874" t="inlineStr">
        <is>
          <t>WT-SL-MENKOSHI-AGE-FS</t>
        </is>
      </c>
      <c r="D874" t="inlineStr">
        <is>
          <t>SP-SL-AGE-GRILLE-V</t>
        </is>
      </c>
      <c r="E874" t="inlineStr">
        <is>
          <t>06013</t>
        </is>
      </c>
      <c r="F874" t="n">
        <v>0.64</v>
      </c>
      <c r="G874" t="n">
        <v>1.37</v>
      </c>
      <c r="H874" t="inlineStr">
        <is>
          <t>GL-SL-007</t>
        </is>
      </c>
      <c r="I874" t="n">
        <v>6</v>
      </c>
      <c r="J874" t="n">
        <v>7.8</v>
      </c>
      <c r="K874" t="n">
        <v>-0.355</v>
      </c>
      <c r="L874" t="n">
        <v>-0.664</v>
      </c>
      <c r="M874" t="n">
        <v>0.335</v>
      </c>
      <c r="N874">
        <f>ROUND(J874*F874*G874+K874*G874+L874*F874+M874,3)</f>
        <v/>
      </c>
      <c r="O874">
        <f>AND(N874&gt;=1.4,N874&lt;=13)</f>
        <v/>
      </c>
      <c r="P874">
        <f>IF(OR(N874&lt;1.4,N874&gt;13),"",IF(G874*1000&lt;=1170,IF(N874&lt;1.8,"1014",IF(N874&lt;2.9,"1018",IF(N874&lt;3.8,"1029",IF(N874&lt;5,"1038",IF(N874&lt;7,"1050",IF(N874&lt;9,"1070",IF(N874&lt;11,"1090","1110"))))))),IF(G874*1000&lt;=1570,IF(N874&lt;1.8,"",IF(N874&lt;2.9,"2018",IF(N874&lt;3.8,"2029",IF(N874&lt;5,"2038",IF(N874&lt;7,"2050",IF(N874&lt;9,"2070",IF(N874&lt;11,"2090","2110"))))))),IF(G874*1000&lt;=1700,IF(N874&lt;1.8,"",IF(N874&lt;2.9,"3018",IF(N874&lt;3.8,"3029",IF(N874&lt;5,"3038",IF(N874&lt;7,"3050",IF(N874&lt;9,"3070",IF(N874&lt;11,"3090","3110"))))))),""))))</f>
        <v/>
      </c>
      <c r="Q874">
        <f>AND(O874=TRUE,P874&lt;&gt;"")</f>
        <v/>
      </c>
      <c r="R874">
        <f>IF(G874*1000&lt;750,"なし","あり")</f>
        <v/>
      </c>
      <c r="S874">
        <f>IF(AND(O874=TRUE,Q874=TRUE),"設定可","BLOCK")</f>
        <v/>
      </c>
      <c r="T874" t="inlineStr">
        <is>
          <t>商品カタログ P194</t>
        </is>
      </c>
      <c r="U874" t="inlineStr">
        <is>
          <t>https://webcatalog.lixil.co.jp/iportal/CatalogDetail.do?catalogID=15191910000&amp;categoryID=1630000&amp;designID=newinter&amp;method=initial_screen&amp;position=18&amp;type=mc&amp;volumeID=LXL13001</t>
        </is>
      </c>
    </row>
    <row r="875">
      <c r="A875" t="inlineStr">
        <is>
          <t>WG-SL-00872</t>
        </is>
      </c>
      <c r="B875" t="inlineStr">
        <is>
          <t>SZ-SL-001042</t>
        </is>
      </c>
      <c r="C875" t="inlineStr">
        <is>
          <t>WT-SL-MENKOSHI-AGE-FS</t>
        </is>
      </c>
      <c r="D875" t="inlineStr">
        <is>
          <t>SP-SL-AGE-GRILLE-V</t>
        </is>
      </c>
      <c r="E875" t="inlineStr">
        <is>
          <t>06013</t>
        </is>
      </c>
      <c r="F875" t="n">
        <v>0.64</v>
      </c>
      <c r="G875" t="n">
        <v>1.37</v>
      </c>
      <c r="H875" t="inlineStr">
        <is>
          <t>GL-SL-008</t>
        </is>
      </c>
      <c r="I875" t="n">
        <v>7</v>
      </c>
      <c r="J875" t="n">
        <v>9.1</v>
      </c>
      <c r="K875" t="n">
        <v>-0.48</v>
      </c>
      <c r="L875" t="n">
        <v>-0.998</v>
      </c>
      <c r="M875" t="n">
        <v>0.367</v>
      </c>
      <c r="N875">
        <f>ROUND(J875*F875*G875+K875*G875+L875*F875+M875,3)</f>
        <v/>
      </c>
      <c r="O875">
        <f>AND(N875&gt;=1.4,N875&lt;=13)</f>
        <v/>
      </c>
      <c r="P875">
        <f>IF(OR(N875&lt;1.4,N875&gt;13),"",IF(G875*1000&lt;=1170,IF(N875&lt;1.8,"1014",IF(N875&lt;2.9,"1018",IF(N875&lt;3.8,"1029",IF(N875&lt;5,"1038",IF(N875&lt;7,"1050",IF(N875&lt;9,"1070",IF(N875&lt;11,"1090","1110"))))))),IF(G875*1000&lt;=1570,IF(N875&lt;1.8,"",IF(N875&lt;2.9,"2018",IF(N875&lt;3.8,"2029",IF(N875&lt;5,"2038",IF(N875&lt;7,"2050",IF(N875&lt;9,"2070",IF(N875&lt;11,"2090","2110"))))))),IF(G875*1000&lt;=1700,IF(N875&lt;1.8,"",IF(N875&lt;2.9,"3018",IF(N875&lt;3.8,"3029",IF(N875&lt;5,"3038",IF(N875&lt;7,"3050",IF(N875&lt;9,"3070",IF(N875&lt;11,"3090","3110"))))))),""))))</f>
        <v/>
      </c>
      <c r="Q875">
        <f>AND(O875=TRUE,P875&lt;&gt;"")</f>
        <v/>
      </c>
      <c r="R875">
        <f>IF(G875*1000&lt;750,"なし","あり")</f>
        <v/>
      </c>
      <c r="S875">
        <f>IF(AND(O875=TRUE,Q875=TRUE),"設定可","BLOCK")</f>
        <v/>
      </c>
      <c r="T875" t="inlineStr">
        <is>
          <t>商品カタログ P194</t>
        </is>
      </c>
      <c r="U875" t="inlineStr">
        <is>
          <t>https://webcatalog.lixil.co.jp/iportal/CatalogDetail.do?catalogID=15191910000&amp;categoryID=1630000&amp;designID=newinter&amp;method=initial_screen&amp;position=18&amp;type=mc&amp;volumeID=LXL13001</t>
        </is>
      </c>
    </row>
    <row r="876">
      <c r="A876" t="inlineStr">
        <is>
          <t>WG-SL-00873</t>
        </is>
      </c>
      <c r="B876" t="inlineStr">
        <is>
          <t>SZ-SL-001042</t>
        </is>
      </c>
      <c r="C876" t="inlineStr">
        <is>
          <t>WT-SL-MENKOSHI-AGE-FS</t>
        </is>
      </c>
      <c r="D876" t="inlineStr">
        <is>
          <t>SP-SL-AGE-GRILLE-V</t>
        </is>
      </c>
      <c r="E876" t="inlineStr">
        <is>
          <t>06013</t>
        </is>
      </c>
      <c r="F876" t="n">
        <v>0.64</v>
      </c>
      <c r="G876" t="n">
        <v>1.37</v>
      </c>
      <c r="H876" t="inlineStr">
        <is>
          <t>GL-SL-009</t>
        </is>
      </c>
      <c r="I876" t="n">
        <v>8</v>
      </c>
      <c r="J876" t="n">
        <v>10.4</v>
      </c>
      <c r="K876" t="n">
        <v>-0.605</v>
      </c>
      <c r="L876" t="n">
        <v>-1.332</v>
      </c>
      <c r="M876" t="n">
        <v>0.399</v>
      </c>
      <c r="N876">
        <f>ROUND(J876*F876*G876+K876*G876+L876*F876+M876,3)</f>
        <v/>
      </c>
      <c r="O876">
        <f>AND(N876&gt;=1.4,N876&lt;=13)</f>
        <v/>
      </c>
      <c r="P876">
        <f>IF(OR(N876&lt;1.4,N876&gt;13),"",IF(G876*1000&lt;=1170,IF(N876&lt;1.8,"1014",IF(N876&lt;2.9,"1018",IF(N876&lt;3.8,"1029",IF(N876&lt;5,"1038",IF(N876&lt;7,"1050",IF(N876&lt;9,"1070",IF(N876&lt;11,"1090","1110"))))))),IF(G876*1000&lt;=1570,IF(N876&lt;1.8,"",IF(N876&lt;2.9,"2018",IF(N876&lt;3.8,"2029",IF(N876&lt;5,"2038",IF(N876&lt;7,"2050",IF(N876&lt;9,"2070",IF(N876&lt;11,"2090","2110"))))))),IF(G876*1000&lt;=1700,IF(N876&lt;1.8,"",IF(N876&lt;2.9,"3018",IF(N876&lt;3.8,"3029",IF(N876&lt;5,"3038",IF(N876&lt;7,"3050",IF(N876&lt;9,"3070",IF(N876&lt;11,"3090","3110"))))))),""))))</f>
        <v/>
      </c>
      <c r="Q876">
        <f>AND(O876=TRUE,P876&lt;&gt;"")</f>
        <v/>
      </c>
      <c r="R876">
        <f>IF(G876*1000&lt;750,"なし","あり")</f>
        <v/>
      </c>
      <c r="S876">
        <f>IF(AND(O876=TRUE,Q876=TRUE),"設定可","BLOCK")</f>
        <v/>
      </c>
      <c r="T876" t="inlineStr">
        <is>
          <t>商品カタログ P194</t>
        </is>
      </c>
      <c r="U876" t="inlineStr">
        <is>
          <t>https://webcatalog.lixil.co.jp/iportal/CatalogDetail.do?catalogID=15191910000&amp;categoryID=1630000&amp;designID=newinter&amp;method=initial_screen&amp;position=18&amp;type=mc&amp;volumeID=LXL13001</t>
        </is>
      </c>
    </row>
    <row r="877">
      <c r="A877" t="inlineStr">
        <is>
          <t>WG-SL-00874</t>
        </is>
      </c>
      <c r="B877" t="inlineStr">
        <is>
          <t>SZ-SL-001043</t>
        </is>
      </c>
      <c r="C877" t="inlineStr">
        <is>
          <t>WT-SL-MENKOSHI-AGE-FS</t>
        </is>
      </c>
      <c r="D877" t="inlineStr">
        <is>
          <t>SP-SL-AGE-GRILLE-V</t>
        </is>
      </c>
      <c r="E877" t="inlineStr">
        <is>
          <t>06913</t>
        </is>
      </c>
      <c r="F877" t="n">
        <v>0.73</v>
      </c>
      <c r="G877" t="n">
        <v>1.37</v>
      </c>
      <c r="H877" t="inlineStr">
        <is>
          <t>GL-SL-001</t>
        </is>
      </c>
      <c r="I877" t="n">
        <v>6</v>
      </c>
      <c r="J877" t="n">
        <v>7.8</v>
      </c>
      <c r="K877" t="n">
        <v>-0.355</v>
      </c>
      <c r="L877" t="n">
        <v>-0.664</v>
      </c>
      <c r="M877" t="n">
        <v>0.335</v>
      </c>
      <c r="N877">
        <f>ROUND(J877*F877*G877+K877*G877+L877*F877+M877,3)</f>
        <v/>
      </c>
      <c r="O877">
        <f>AND(N877&gt;=1.4,N877&lt;=13)</f>
        <v/>
      </c>
      <c r="P877">
        <f>IF(OR(N877&lt;1.4,N877&gt;13),"",IF(G877*1000&lt;=1170,IF(N877&lt;1.8,"1014",IF(N877&lt;2.9,"1018",IF(N877&lt;3.8,"1029",IF(N877&lt;5,"1038",IF(N877&lt;7,"1050",IF(N877&lt;9,"1070",IF(N877&lt;11,"1090","1110"))))))),IF(G877*1000&lt;=1570,IF(N877&lt;1.8,"",IF(N877&lt;2.9,"2018",IF(N877&lt;3.8,"2029",IF(N877&lt;5,"2038",IF(N877&lt;7,"2050",IF(N877&lt;9,"2070",IF(N877&lt;11,"2090","2110"))))))),IF(G877*1000&lt;=1700,IF(N877&lt;1.8,"",IF(N877&lt;2.9,"3018",IF(N877&lt;3.8,"3029",IF(N877&lt;5,"3038",IF(N877&lt;7,"3050",IF(N877&lt;9,"3070",IF(N877&lt;11,"3090","3110"))))))),""))))</f>
        <v/>
      </c>
      <c r="Q877">
        <f>AND(O877=TRUE,P877&lt;&gt;"")</f>
        <v/>
      </c>
      <c r="R877">
        <f>IF(G877*1000&lt;750,"なし","あり")</f>
        <v/>
      </c>
      <c r="S877">
        <f>IF(AND(O877=TRUE,Q877=TRUE),"設定可","BLOCK")</f>
        <v/>
      </c>
      <c r="T877" t="inlineStr">
        <is>
          <t>商品カタログ P194</t>
        </is>
      </c>
      <c r="U877" t="inlineStr">
        <is>
          <t>https://webcatalog.lixil.co.jp/iportal/CatalogDetail.do?catalogID=15191910000&amp;categoryID=1630000&amp;designID=newinter&amp;method=initial_screen&amp;position=18&amp;type=mc&amp;volumeID=LXL13001</t>
        </is>
      </c>
    </row>
    <row r="878">
      <c r="A878" t="inlineStr">
        <is>
          <t>WG-SL-00875</t>
        </is>
      </c>
      <c r="B878" t="inlineStr">
        <is>
          <t>SZ-SL-001043</t>
        </is>
      </c>
      <c r="C878" t="inlineStr">
        <is>
          <t>WT-SL-MENKOSHI-AGE-FS</t>
        </is>
      </c>
      <c r="D878" t="inlineStr">
        <is>
          <t>SP-SL-AGE-GRILLE-V</t>
        </is>
      </c>
      <c r="E878" t="inlineStr">
        <is>
          <t>06913</t>
        </is>
      </c>
      <c r="F878" t="n">
        <v>0.73</v>
      </c>
      <c r="G878" t="n">
        <v>1.37</v>
      </c>
      <c r="H878" t="inlineStr">
        <is>
          <t>GL-SL-002</t>
        </is>
      </c>
      <c r="I878" t="n">
        <v>7</v>
      </c>
      <c r="J878" t="n">
        <v>9.1</v>
      </c>
      <c r="K878" t="n">
        <v>-0.48</v>
      </c>
      <c r="L878" t="n">
        <v>-0.998</v>
      </c>
      <c r="M878" t="n">
        <v>0.367</v>
      </c>
      <c r="N878">
        <f>ROUND(J878*F878*G878+K878*G878+L878*F878+M878,3)</f>
        <v/>
      </c>
      <c r="O878">
        <f>AND(N878&gt;=1.4,N878&lt;=13)</f>
        <v/>
      </c>
      <c r="P878">
        <f>IF(OR(N878&lt;1.4,N878&gt;13),"",IF(G878*1000&lt;=1170,IF(N878&lt;1.8,"1014",IF(N878&lt;2.9,"1018",IF(N878&lt;3.8,"1029",IF(N878&lt;5,"1038",IF(N878&lt;7,"1050",IF(N878&lt;9,"1070",IF(N878&lt;11,"1090","1110"))))))),IF(G878*1000&lt;=1570,IF(N878&lt;1.8,"",IF(N878&lt;2.9,"2018",IF(N878&lt;3.8,"2029",IF(N878&lt;5,"2038",IF(N878&lt;7,"2050",IF(N878&lt;9,"2070",IF(N878&lt;11,"2090","2110"))))))),IF(G878*1000&lt;=1700,IF(N878&lt;1.8,"",IF(N878&lt;2.9,"3018",IF(N878&lt;3.8,"3029",IF(N878&lt;5,"3038",IF(N878&lt;7,"3050",IF(N878&lt;9,"3070",IF(N878&lt;11,"3090","3110"))))))),""))))</f>
        <v/>
      </c>
      <c r="Q878">
        <f>AND(O878=TRUE,P878&lt;&gt;"")</f>
        <v/>
      </c>
      <c r="R878">
        <f>IF(G878*1000&lt;750,"なし","あり")</f>
        <v/>
      </c>
      <c r="S878">
        <f>IF(AND(O878=TRUE,Q878=TRUE),"設定可","BLOCK")</f>
        <v/>
      </c>
      <c r="T878" t="inlineStr">
        <is>
          <t>商品カタログ P194</t>
        </is>
      </c>
      <c r="U878" t="inlineStr">
        <is>
          <t>https://webcatalog.lixil.co.jp/iportal/CatalogDetail.do?catalogID=15191910000&amp;categoryID=1630000&amp;designID=newinter&amp;method=initial_screen&amp;position=18&amp;type=mc&amp;volumeID=LXL13001</t>
        </is>
      </c>
    </row>
    <row r="879">
      <c r="A879" t="inlineStr">
        <is>
          <t>WG-SL-00876</t>
        </is>
      </c>
      <c r="B879" t="inlineStr">
        <is>
          <t>SZ-SL-001043</t>
        </is>
      </c>
      <c r="C879" t="inlineStr">
        <is>
          <t>WT-SL-MENKOSHI-AGE-FS</t>
        </is>
      </c>
      <c r="D879" t="inlineStr">
        <is>
          <t>SP-SL-AGE-GRILLE-V</t>
        </is>
      </c>
      <c r="E879" t="inlineStr">
        <is>
          <t>06913</t>
        </is>
      </c>
      <c r="F879" t="n">
        <v>0.73</v>
      </c>
      <c r="G879" t="n">
        <v>1.37</v>
      </c>
      <c r="H879" t="inlineStr">
        <is>
          <t>GL-SL-003</t>
        </is>
      </c>
      <c r="I879" t="n">
        <v>8</v>
      </c>
      <c r="J879" t="n">
        <v>10.4</v>
      </c>
      <c r="K879" t="n">
        <v>-0.605</v>
      </c>
      <c r="L879" t="n">
        <v>-1.332</v>
      </c>
      <c r="M879" t="n">
        <v>0.399</v>
      </c>
      <c r="N879">
        <f>ROUND(J879*F879*G879+K879*G879+L879*F879+M879,3)</f>
        <v/>
      </c>
      <c r="O879">
        <f>AND(N879&gt;=1.4,N879&lt;=13)</f>
        <v/>
      </c>
      <c r="P879">
        <f>IF(OR(N879&lt;1.4,N879&gt;13),"",IF(G879*1000&lt;=1170,IF(N879&lt;1.8,"1014",IF(N879&lt;2.9,"1018",IF(N879&lt;3.8,"1029",IF(N879&lt;5,"1038",IF(N879&lt;7,"1050",IF(N879&lt;9,"1070",IF(N879&lt;11,"1090","1110"))))))),IF(G879*1000&lt;=1570,IF(N879&lt;1.8,"",IF(N879&lt;2.9,"2018",IF(N879&lt;3.8,"2029",IF(N879&lt;5,"2038",IF(N879&lt;7,"2050",IF(N879&lt;9,"2070",IF(N879&lt;11,"2090","2110"))))))),IF(G879*1000&lt;=1700,IF(N879&lt;1.8,"",IF(N879&lt;2.9,"3018",IF(N879&lt;3.8,"3029",IF(N879&lt;5,"3038",IF(N879&lt;7,"3050",IF(N879&lt;9,"3070",IF(N879&lt;11,"3090","3110"))))))),""))))</f>
        <v/>
      </c>
      <c r="Q879">
        <f>AND(O879=TRUE,P879&lt;&gt;"")</f>
        <v/>
      </c>
      <c r="R879">
        <f>IF(G879*1000&lt;750,"なし","あり")</f>
        <v/>
      </c>
      <c r="S879">
        <f>IF(AND(O879=TRUE,Q879=TRUE),"設定可","BLOCK")</f>
        <v/>
      </c>
      <c r="T879" t="inlineStr">
        <is>
          <t>商品カタログ P194</t>
        </is>
      </c>
      <c r="U879" t="inlineStr">
        <is>
          <t>https://webcatalog.lixil.co.jp/iportal/CatalogDetail.do?catalogID=15191910000&amp;categoryID=1630000&amp;designID=newinter&amp;method=initial_screen&amp;position=18&amp;type=mc&amp;volumeID=LXL13001</t>
        </is>
      </c>
    </row>
    <row r="880">
      <c r="A880" t="inlineStr">
        <is>
          <t>WG-SL-00877</t>
        </is>
      </c>
      <c r="B880" t="inlineStr">
        <is>
          <t>SZ-SL-001043</t>
        </is>
      </c>
      <c r="C880" t="inlineStr">
        <is>
          <t>WT-SL-MENKOSHI-AGE-FS</t>
        </is>
      </c>
      <c r="D880" t="inlineStr">
        <is>
          <t>SP-SL-AGE-GRILLE-V</t>
        </is>
      </c>
      <c r="E880" t="inlineStr">
        <is>
          <t>06913</t>
        </is>
      </c>
      <c r="F880" t="n">
        <v>0.73</v>
      </c>
      <c r="G880" t="n">
        <v>1.37</v>
      </c>
      <c r="H880" t="inlineStr">
        <is>
          <t>GL-SL-004</t>
        </is>
      </c>
      <c r="I880" t="n">
        <v>6</v>
      </c>
      <c r="J880" t="n">
        <v>7.8</v>
      </c>
      <c r="K880" t="n">
        <v>-0.355</v>
      </c>
      <c r="L880" t="n">
        <v>-0.664</v>
      </c>
      <c r="M880" t="n">
        <v>0.335</v>
      </c>
      <c r="N880">
        <f>ROUND(J880*F880*G880+K880*G880+L880*F880+M880,3)</f>
        <v/>
      </c>
      <c r="O880">
        <f>AND(N880&gt;=1.4,N880&lt;=13)</f>
        <v/>
      </c>
      <c r="P880">
        <f>IF(OR(N880&lt;1.4,N880&gt;13),"",IF(G880*1000&lt;=1170,IF(N880&lt;1.8,"1014",IF(N880&lt;2.9,"1018",IF(N880&lt;3.8,"1029",IF(N880&lt;5,"1038",IF(N880&lt;7,"1050",IF(N880&lt;9,"1070",IF(N880&lt;11,"1090","1110"))))))),IF(G880*1000&lt;=1570,IF(N880&lt;1.8,"",IF(N880&lt;2.9,"2018",IF(N880&lt;3.8,"2029",IF(N880&lt;5,"2038",IF(N880&lt;7,"2050",IF(N880&lt;9,"2070",IF(N880&lt;11,"2090","2110"))))))),IF(G880*1000&lt;=1700,IF(N880&lt;1.8,"",IF(N880&lt;2.9,"3018",IF(N880&lt;3.8,"3029",IF(N880&lt;5,"3038",IF(N880&lt;7,"3050",IF(N880&lt;9,"3070",IF(N880&lt;11,"3090","3110"))))))),""))))</f>
        <v/>
      </c>
      <c r="Q880">
        <f>AND(O880=TRUE,P880&lt;&gt;"")</f>
        <v/>
      </c>
      <c r="R880">
        <f>IF(G880*1000&lt;750,"なし","あり")</f>
        <v/>
      </c>
      <c r="S880">
        <f>IF(AND(O880=TRUE,Q880=TRUE),"設定可","BLOCK")</f>
        <v/>
      </c>
      <c r="T880" t="inlineStr">
        <is>
          <t>商品カタログ P194</t>
        </is>
      </c>
      <c r="U880" t="inlineStr">
        <is>
          <t>https://webcatalog.lixil.co.jp/iportal/CatalogDetail.do?catalogID=15191910000&amp;categoryID=1630000&amp;designID=newinter&amp;method=initial_screen&amp;position=18&amp;type=mc&amp;volumeID=LXL13001</t>
        </is>
      </c>
    </row>
    <row r="881">
      <c r="A881" t="inlineStr">
        <is>
          <t>WG-SL-00878</t>
        </is>
      </c>
      <c r="B881" t="inlineStr">
        <is>
          <t>SZ-SL-001043</t>
        </is>
      </c>
      <c r="C881" t="inlineStr">
        <is>
          <t>WT-SL-MENKOSHI-AGE-FS</t>
        </is>
      </c>
      <c r="D881" t="inlineStr">
        <is>
          <t>SP-SL-AGE-GRILLE-V</t>
        </is>
      </c>
      <c r="E881" t="inlineStr">
        <is>
          <t>06913</t>
        </is>
      </c>
      <c r="F881" t="n">
        <v>0.73</v>
      </c>
      <c r="G881" t="n">
        <v>1.37</v>
      </c>
      <c r="H881" t="inlineStr">
        <is>
          <t>GL-SL-005</t>
        </is>
      </c>
      <c r="I881" t="n">
        <v>7</v>
      </c>
      <c r="J881" t="n">
        <v>9.1</v>
      </c>
      <c r="K881" t="n">
        <v>-0.48</v>
      </c>
      <c r="L881" t="n">
        <v>-0.998</v>
      </c>
      <c r="M881" t="n">
        <v>0.367</v>
      </c>
      <c r="N881">
        <f>ROUND(J881*F881*G881+K881*G881+L881*F881+M881,3)</f>
        <v/>
      </c>
      <c r="O881">
        <f>AND(N881&gt;=1.4,N881&lt;=13)</f>
        <v/>
      </c>
      <c r="P881">
        <f>IF(OR(N881&lt;1.4,N881&gt;13),"",IF(G881*1000&lt;=1170,IF(N881&lt;1.8,"1014",IF(N881&lt;2.9,"1018",IF(N881&lt;3.8,"1029",IF(N881&lt;5,"1038",IF(N881&lt;7,"1050",IF(N881&lt;9,"1070",IF(N881&lt;11,"1090","1110"))))))),IF(G881*1000&lt;=1570,IF(N881&lt;1.8,"",IF(N881&lt;2.9,"2018",IF(N881&lt;3.8,"2029",IF(N881&lt;5,"2038",IF(N881&lt;7,"2050",IF(N881&lt;9,"2070",IF(N881&lt;11,"2090","2110"))))))),IF(G881*1000&lt;=1700,IF(N881&lt;1.8,"",IF(N881&lt;2.9,"3018",IF(N881&lt;3.8,"3029",IF(N881&lt;5,"3038",IF(N881&lt;7,"3050",IF(N881&lt;9,"3070",IF(N881&lt;11,"3090","3110"))))))),""))))</f>
        <v/>
      </c>
      <c r="Q881">
        <f>AND(O881=TRUE,P881&lt;&gt;"")</f>
        <v/>
      </c>
      <c r="R881">
        <f>IF(G881*1000&lt;750,"なし","あり")</f>
        <v/>
      </c>
      <c r="S881">
        <f>IF(AND(O881=TRUE,Q881=TRUE),"設定可","BLOCK")</f>
        <v/>
      </c>
      <c r="T881" t="inlineStr">
        <is>
          <t>商品カタログ P194</t>
        </is>
      </c>
      <c r="U881" t="inlineStr">
        <is>
          <t>https://webcatalog.lixil.co.jp/iportal/CatalogDetail.do?catalogID=15191910000&amp;categoryID=1630000&amp;designID=newinter&amp;method=initial_screen&amp;position=18&amp;type=mc&amp;volumeID=LXL13001</t>
        </is>
      </c>
    </row>
    <row r="882">
      <c r="A882" t="inlineStr">
        <is>
          <t>WG-SL-00879</t>
        </is>
      </c>
      <c r="B882" t="inlineStr">
        <is>
          <t>SZ-SL-001043</t>
        </is>
      </c>
      <c r="C882" t="inlineStr">
        <is>
          <t>WT-SL-MENKOSHI-AGE-FS</t>
        </is>
      </c>
      <c r="D882" t="inlineStr">
        <is>
          <t>SP-SL-AGE-GRILLE-V</t>
        </is>
      </c>
      <c r="E882" t="inlineStr">
        <is>
          <t>06913</t>
        </is>
      </c>
      <c r="F882" t="n">
        <v>0.73</v>
      </c>
      <c r="G882" t="n">
        <v>1.37</v>
      </c>
      <c r="H882" t="inlineStr">
        <is>
          <t>GL-SL-006</t>
        </is>
      </c>
      <c r="I882" t="n">
        <v>8</v>
      </c>
      <c r="J882" t="n">
        <v>10.4</v>
      </c>
      <c r="K882" t="n">
        <v>-0.605</v>
      </c>
      <c r="L882" t="n">
        <v>-1.332</v>
      </c>
      <c r="M882" t="n">
        <v>0.399</v>
      </c>
      <c r="N882">
        <f>ROUND(J882*F882*G882+K882*G882+L882*F882+M882,3)</f>
        <v/>
      </c>
      <c r="O882">
        <f>AND(N882&gt;=1.4,N882&lt;=13)</f>
        <v/>
      </c>
      <c r="P882">
        <f>IF(OR(N882&lt;1.4,N882&gt;13),"",IF(G882*1000&lt;=1170,IF(N882&lt;1.8,"1014",IF(N882&lt;2.9,"1018",IF(N882&lt;3.8,"1029",IF(N882&lt;5,"1038",IF(N882&lt;7,"1050",IF(N882&lt;9,"1070",IF(N882&lt;11,"1090","1110"))))))),IF(G882*1000&lt;=1570,IF(N882&lt;1.8,"",IF(N882&lt;2.9,"2018",IF(N882&lt;3.8,"2029",IF(N882&lt;5,"2038",IF(N882&lt;7,"2050",IF(N882&lt;9,"2070",IF(N882&lt;11,"2090","2110"))))))),IF(G882*1000&lt;=1700,IF(N882&lt;1.8,"",IF(N882&lt;2.9,"3018",IF(N882&lt;3.8,"3029",IF(N882&lt;5,"3038",IF(N882&lt;7,"3050",IF(N882&lt;9,"3070",IF(N882&lt;11,"3090","3110"))))))),""))))</f>
        <v/>
      </c>
      <c r="Q882">
        <f>AND(O882=TRUE,P882&lt;&gt;"")</f>
        <v/>
      </c>
      <c r="R882">
        <f>IF(G882*1000&lt;750,"なし","あり")</f>
        <v/>
      </c>
      <c r="S882">
        <f>IF(AND(O882=TRUE,Q882=TRUE),"設定可","BLOCK")</f>
        <v/>
      </c>
      <c r="T882" t="inlineStr">
        <is>
          <t>商品カタログ P194</t>
        </is>
      </c>
      <c r="U882" t="inlineStr">
        <is>
          <t>https://webcatalog.lixil.co.jp/iportal/CatalogDetail.do?catalogID=15191910000&amp;categoryID=1630000&amp;designID=newinter&amp;method=initial_screen&amp;position=18&amp;type=mc&amp;volumeID=LXL13001</t>
        </is>
      </c>
    </row>
    <row r="883">
      <c r="A883" t="inlineStr">
        <is>
          <t>WG-SL-00880</t>
        </is>
      </c>
      <c r="B883" t="inlineStr">
        <is>
          <t>SZ-SL-001043</t>
        </is>
      </c>
      <c r="C883" t="inlineStr">
        <is>
          <t>WT-SL-MENKOSHI-AGE-FS</t>
        </is>
      </c>
      <c r="D883" t="inlineStr">
        <is>
          <t>SP-SL-AGE-GRILLE-V</t>
        </is>
      </c>
      <c r="E883" t="inlineStr">
        <is>
          <t>06913</t>
        </is>
      </c>
      <c r="F883" t="n">
        <v>0.73</v>
      </c>
      <c r="G883" t="n">
        <v>1.37</v>
      </c>
      <c r="H883" t="inlineStr">
        <is>
          <t>GL-SL-007</t>
        </is>
      </c>
      <c r="I883" t="n">
        <v>6</v>
      </c>
      <c r="J883" t="n">
        <v>7.8</v>
      </c>
      <c r="K883" t="n">
        <v>-0.355</v>
      </c>
      <c r="L883" t="n">
        <v>-0.664</v>
      </c>
      <c r="M883" t="n">
        <v>0.335</v>
      </c>
      <c r="N883">
        <f>ROUND(J883*F883*G883+K883*G883+L883*F883+M883,3)</f>
        <v/>
      </c>
      <c r="O883">
        <f>AND(N883&gt;=1.4,N883&lt;=13)</f>
        <v/>
      </c>
      <c r="P883">
        <f>IF(OR(N883&lt;1.4,N883&gt;13),"",IF(G883*1000&lt;=1170,IF(N883&lt;1.8,"1014",IF(N883&lt;2.9,"1018",IF(N883&lt;3.8,"1029",IF(N883&lt;5,"1038",IF(N883&lt;7,"1050",IF(N883&lt;9,"1070",IF(N883&lt;11,"1090","1110"))))))),IF(G883*1000&lt;=1570,IF(N883&lt;1.8,"",IF(N883&lt;2.9,"2018",IF(N883&lt;3.8,"2029",IF(N883&lt;5,"2038",IF(N883&lt;7,"2050",IF(N883&lt;9,"2070",IF(N883&lt;11,"2090","2110"))))))),IF(G883*1000&lt;=1700,IF(N883&lt;1.8,"",IF(N883&lt;2.9,"3018",IF(N883&lt;3.8,"3029",IF(N883&lt;5,"3038",IF(N883&lt;7,"3050",IF(N883&lt;9,"3070",IF(N883&lt;11,"3090","3110"))))))),""))))</f>
        <v/>
      </c>
      <c r="Q883">
        <f>AND(O883=TRUE,P883&lt;&gt;"")</f>
        <v/>
      </c>
      <c r="R883">
        <f>IF(G883*1000&lt;750,"なし","あり")</f>
        <v/>
      </c>
      <c r="S883">
        <f>IF(AND(O883=TRUE,Q883=TRUE),"設定可","BLOCK")</f>
        <v/>
      </c>
      <c r="T883" t="inlineStr">
        <is>
          <t>商品カタログ P194</t>
        </is>
      </c>
      <c r="U883" t="inlineStr">
        <is>
          <t>https://webcatalog.lixil.co.jp/iportal/CatalogDetail.do?catalogID=15191910000&amp;categoryID=1630000&amp;designID=newinter&amp;method=initial_screen&amp;position=18&amp;type=mc&amp;volumeID=LXL13001</t>
        </is>
      </c>
    </row>
    <row r="884">
      <c r="A884" t="inlineStr">
        <is>
          <t>WG-SL-00881</t>
        </is>
      </c>
      <c r="B884" t="inlineStr">
        <is>
          <t>SZ-SL-001043</t>
        </is>
      </c>
      <c r="C884" t="inlineStr">
        <is>
          <t>WT-SL-MENKOSHI-AGE-FS</t>
        </is>
      </c>
      <c r="D884" t="inlineStr">
        <is>
          <t>SP-SL-AGE-GRILLE-V</t>
        </is>
      </c>
      <c r="E884" t="inlineStr">
        <is>
          <t>06913</t>
        </is>
      </c>
      <c r="F884" t="n">
        <v>0.73</v>
      </c>
      <c r="G884" t="n">
        <v>1.37</v>
      </c>
      <c r="H884" t="inlineStr">
        <is>
          <t>GL-SL-008</t>
        </is>
      </c>
      <c r="I884" t="n">
        <v>7</v>
      </c>
      <c r="J884" t="n">
        <v>9.1</v>
      </c>
      <c r="K884" t="n">
        <v>-0.48</v>
      </c>
      <c r="L884" t="n">
        <v>-0.998</v>
      </c>
      <c r="M884" t="n">
        <v>0.367</v>
      </c>
      <c r="N884">
        <f>ROUND(J884*F884*G884+K884*G884+L884*F884+M884,3)</f>
        <v/>
      </c>
      <c r="O884">
        <f>AND(N884&gt;=1.4,N884&lt;=13)</f>
        <v/>
      </c>
      <c r="P884">
        <f>IF(OR(N884&lt;1.4,N884&gt;13),"",IF(G884*1000&lt;=1170,IF(N884&lt;1.8,"1014",IF(N884&lt;2.9,"1018",IF(N884&lt;3.8,"1029",IF(N884&lt;5,"1038",IF(N884&lt;7,"1050",IF(N884&lt;9,"1070",IF(N884&lt;11,"1090","1110"))))))),IF(G884*1000&lt;=1570,IF(N884&lt;1.8,"",IF(N884&lt;2.9,"2018",IF(N884&lt;3.8,"2029",IF(N884&lt;5,"2038",IF(N884&lt;7,"2050",IF(N884&lt;9,"2070",IF(N884&lt;11,"2090","2110"))))))),IF(G884*1000&lt;=1700,IF(N884&lt;1.8,"",IF(N884&lt;2.9,"3018",IF(N884&lt;3.8,"3029",IF(N884&lt;5,"3038",IF(N884&lt;7,"3050",IF(N884&lt;9,"3070",IF(N884&lt;11,"3090","3110"))))))),""))))</f>
        <v/>
      </c>
      <c r="Q884">
        <f>AND(O884=TRUE,P884&lt;&gt;"")</f>
        <v/>
      </c>
      <c r="R884">
        <f>IF(G884*1000&lt;750,"なし","あり")</f>
        <v/>
      </c>
      <c r="S884">
        <f>IF(AND(O884=TRUE,Q884=TRUE),"設定可","BLOCK")</f>
        <v/>
      </c>
      <c r="T884" t="inlineStr">
        <is>
          <t>商品カタログ P194</t>
        </is>
      </c>
      <c r="U884" t="inlineStr">
        <is>
          <t>https://webcatalog.lixil.co.jp/iportal/CatalogDetail.do?catalogID=15191910000&amp;categoryID=1630000&amp;designID=newinter&amp;method=initial_screen&amp;position=18&amp;type=mc&amp;volumeID=LXL13001</t>
        </is>
      </c>
    </row>
    <row r="885">
      <c r="A885" t="inlineStr">
        <is>
          <t>WG-SL-00882</t>
        </is>
      </c>
      <c r="B885" t="inlineStr">
        <is>
          <t>SZ-SL-001043</t>
        </is>
      </c>
      <c r="C885" t="inlineStr">
        <is>
          <t>WT-SL-MENKOSHI-AGE-FS</t>
        </is>
      </c>
      <c r="D885" t="inlineStr">
        <is>
          <t>SP-SL-AGE-GRILLE-V</t>
        </is>
      </c>
      <c r="E885" t="inlineStr">
        <is>
          <t>06913</t>
        </is>
      </c>
      <c r="F885" t="n">
        <v>0.73</v>
      </c>
      <c r="G885" t="n">
        <v>1.37</v>
      </c>
      <c r="H885" t="inlineStr">
        <is>
          <t>GL-SL-009</t>
        </is>
      </c>
      <c r="I885" t="n">
        <v>8</v>
      </c>
      <c r="J885" t="n">
        <v>10.4</v>
      </c>
      <c r="K885" t="n">
        <v>-0.605</v>
      </c>
      <c r="L885" t="n">
        <v>-1.332</v>
      </c>
      <c r="M885" t="n">
        <v>0.399</v>
      </c>
      <c r="N885">
        <f>ROUND(J885*F885*G885+K885*G885+L885*F885+M885,3)</f>
        <v/>
      </c>
      <c r="O885">
        <f>AND(N885&gt;=1.4,N885&lt;=13)</f>
        <v/>
      </c>
      <c r="P885">
        <f>IF(OR(N885&lt;1.4,N885&gt;13),"",IF(G885*1000&lt;=1170,IF(N885&lt;1.8,"1014",IF(N885&lt;2.9,"1018",IF(N885&lt;3.8,"1029",IF(N885&lt;5,"1038",IF(N885&lt;7,"1050",IF(N885&lt;9,"1070",IF(N885&lt;11,"1090","1110"))))))),IF(G885*1000&lt;=1570,IF(N885&lt;1.8,"",IF(N885&lt;2.9,"2018",IF(N885&lt;3.8,"2029",IF(N885&lt;5,"2038",IF(N885&lt;7,"2050",IF(N885&lt;9,"2070",IF(N885&lt;11,"2090","2110"))))))),IF(G885*1000&lt;=1700,IF(N885&lt;1.8,"",IF(N885&lt;2.9,"3018",IF(N885&lt;3.8,"3029",IF(N885&lt;5,"3038",IF(N885&lt;7,"3050",IF(N885&lt;9,"3070",IF(N885&lt;11,"3090","3110"))))))),""))))</f>
        <v/>
      </c>
      <c r="Q885">
        <f>AND(O885=TRUE,P885&lt;&gt;"")</f>
        <v/>
      </c>
      <c r="R885">
        <f>IF(G885*1000&lt;750,"なし","あり")</f>
        <v/>
      </c>
      <c r="S885">
        <f>IF(AND(O885=TRUE,Q885=TRUE),"設定可","BLOCK")</f>
        <v/>
      </c>
      <c r="T885" t="inlineStr">
        <is>
          <t>商品カタログ P194</t>
        </is>
      </c>
      <c r="U885" t="inlineStr">
        <is>
          <t>https://webcatalog.lixil.co.jp/iportal/CatalogDetail.do?catalogID=15191910000&amp;categoryID=1630000&amp;designID=newinter&amp;method=initial_screen&amp;position=18&amp;type=mc&amp;volumeID=LXL13001</t>
        </is>
      </c>
    </row>
    <row r="886">
      <c r="A886" t="inlineStr">
        <is>
          <t>WG-SL-00883</t>
        </is>
      </c>
      <c r="B886" t="inlineStr">
        <is>
          <t>SZ-SL-001044</t>
        </is>
      </c>
      <c r="C886" t="inlineStr">
        <is>
          <t>WT-SL-MENKOSHI-AGE-FS</t>
        </is>
      </c>
      <c r="D886" t="inlineStr">
        <is>
          <t>SP-SL-AGE-GRILLE-V</t>
        </is>
      </c>
      <c r="E886" t="inlineStr">
        <is>
          <t>07413</t>
        </is>
      </c>
      <c r="F886" t="n">
        <v>0.78</v>
      </c>
      <c r="G886" t="n">
        <v>1.37</v>
      </c>
      <c r="H886" t="inlineStr">
        <is>
          <t>GL-SL-001</t>
        </is>
      </c>
      <c r="I886" t="n">
        <v>6</v>
      </c>
      <c r="J886" t="n">
        <v>7.8</v>
      </c>
      <c r="K886" t="n">
        <v>-0.355</v>
      </c>
      <c r="L886" t="n">
        <v>-0.664</v>
      </c>
      <c r="M886" t="n">
        <v>0.335</v>
      </c>
      <c r="N886">
        <f>ROUND(J886*F886*G886+K886*G886+L886*F886+M886,3)</f>
        <v/>
      </c>
      <c r="O886">
        <f>AND(N886&gt;=1.4,N886&lt;=13)</f>
        <v/>
      </c>
      <c r="P886">
        <f>IF(OR(N886&lt;1.4,N886&gt;13),"",IF(G886*1000&lt;=1170,IF(N886&lt;1.8,"1014",IF(N886&lt;2.9,"1018",IF(N886&lt;3.8,"1029",IF(N886&lt;5,"1038",IF(N886&lt;7,"1050",IF(N886&lt;9,"1070",IF(N886&lt;11,"1090","1110"))))))),IF(G886*1000&lt;=1570,IF(N886&lt;1.8,"",IF(N886&lt;2.9,"2018",IF(N886&lt;3.8,"2029",IF(N886&lt;5,"2038",IF(N886&lt;7,"2050",IF(N886&lt;9,"2070",IF(N886&lt;11,"2090","2110"))))))),IF(G886*1000&lt;=1700,IF(N886&lt;1.8,"",IF(N886&lt;2.9,"3018",IF(N886&lt;3.8,"3029",IF(N886&lt;5,"3038",IF(N886&lt;7,"3050",IF(N886&lt;9,"3070",IF(N886&lt;11,"3090","3110"))))))),""))))</f>
        <v/>
      </c>
      <c r="Q886">
        <f>AND(O886=TRUE,P886&lt;&gt;"")</f>
        <v/>
      </c>
      <c r="R886">
        <f>IF(G886*1000&lt;750,"なし","あり")</f>
        <v/>
      </c>
      <c r="S886">
        <f>IF(AND(O886=TRUE,Q886=TRUE),"設定可","BLOCK")</f>
        <v/>
      </c>
      <c r="T886" t="inlineStr">
        <is>
          <t>商品カタログ P194</t>
        </is>
      </c>
      <c r="U886" t="inlineStr">
        <is>
          <t>https://webcatalog.lixil.co.jp/iportal/CatalogDetail.do?catalogID=15191910000&amp;categoryID=1630000&amp;designID=newinter&amp;method=initial_screen&amp;position=18&amp;type=mc&amp;volumeID=LXL13001</t>
        </is>
      </c>
    </row>
    <row r="887">
      <c r="A887" t="inlineStr">
        <is>
          <t>WG-SL-00884</t>
        </is>
      </c>
      <c r="B887" t="inlineStr">
        <is>
          <t>SZ-SL-001044</t>
        </is>
      </c>
      <c r="C887" t="inlineStr">
        <is>
          <t>WT-SL-MENKOSHI-AGE-FS</t>
        </is>
      </c>
      <c r="D887" t="inlineStr">
        <is>
          <t>SP-SL-AGE-GRILLE-V</t>
        </is>
      </c>
      <c r="E887" t="inlineStr">
        <is>
          <t>07413</t>
        </is>
      </c>
      <c r="F887" t="n">
        <v>0.78</v>
      </c>
      <c r="G887" t="n">
        <v>1.37</v>
      </c>
      <c r="H887" t="inlineStr">
        <is>
          <t>GL-SL-002</t>
        </is>
      </c>
      <c r="I887" t="n">
        <v>7</v>
      </c>
      <c r="J887" t="n">
        <v>9.1</v>
      </c>
      <c r="K887" t="n">
        <v>-0.48</v>
      </c>
      <c r="L887" t="n">
        <v>-0.998</v>
      </c>
      <c r="M887" t="n">
        <v>0.367</v>
      </c>
      <c r="N887">
        <f>ROUND(J887*F887*G887+K887*G887+L887*F887+M887,3)</f>
        <v/>
      </c>
      <c r="O887">
        <f>AND(N887&gt;=1.4,N887&lt;=13)</f>
        <v/>
      </c>
      <c r="P887">
        <f>IF(OR(N887&lt;1.4,N887&gt;13),"",IF(G887*1000&lt;=1170,IF(N887&lt;1.8,"1014",IF(N887&lt;2.9,"1018",IF(N887&lt;3.8,"1029",IF(N887&lt;5,"1038",IF(N887&lt;7,"1050",IF(N887&lt;9,"1070",IF(N887&lt;11,"1090","1110"))))))),IF(G887*1000&lt;=1570,IF(N887&lt;1.8,"",IF(N887&lt;2.9,"2018",IF(N887&lt;3.8,"2029",IF(N887&lt;5,"2038",IF(N887&lt;7,"2050",IF(N887&lt;9,"2070",IF(N887&lt;11,"2090","2110"))))))),IF(G887*1000&lt;=1700,IF(N887&lt;1.8,"",IF(N887&lt;2.9,"3018",IF(N887&lt;3.8,"3029",IF(N887&lt;5,"3038",IF(N887&lt;7,"3050",IF(N887&lt;9,"3070",IF(N887&lt;11,"3090","3110"))))))),""))))</f>
        <v/>
      </c>
      <c r="Q887">
        <f>AND(O887=TRUE,P887&lt;&gt;"")</f>
        <v/>
      </c>
      <c r="R887">
        <f>IF(G887*1000&lt;750,"なし","あり")</f>
        <v/>
      </c>
      <c r="S887">
        <f>IF(AND(O887=TRUE,Q887=TRUE),"設定可","BLOCK")</f>
        <v/>
      </c>
      <c r="T887" t="inlineStr">
        <is>
          <t>商品カタログ P194</t>
        </is>
      </c>
      <c r="U887" t="inlineStr">
        <is>
          <t>https://webcatalog.lixil.co.jp/iportal/CatalogDetail.do?catalogID=15191910000&amp;categoryID=1630000&amp;designID=newinter&amp;method=initial_screen&amp;position=18&amp;type=mc&amp;volumeID=LXL13001</t>
        </is>
      </c>
    </row>
    <row r="888">
      <c r="A888" t="inlineStr">
        <is>
          <t>WG-SL-00885</t>
        </is>
      </c>
      <c r="B888" t="inlineStr">
        <is>
          <t>SZ-SL-001044</t>
        </is>
      </c>
      <c r="C888" t="inlineStr">
        <is>
          <t>WT-SL-MENKOSHI-AGE-FS</t>
        </is>
      </c>
      <c r="D888" t="inlineStr">
        <is>
          <t>SP-SL-AGE-GRILLE-V</t>
        </is>
      </c>
      <c r="E888" t="inlineStr">
        <is>
          <t>07413</t>
        </is>
      </c>
      <c r="F888" t="n">
        <v>0.78</v>
      </c>
      <c r="G888" t="n">
        <v>1.37</v>
      </c>
      <c r="H888" t="inlineStr">
        <is>
          <t>GL-SL-003</t>
        </is>
      </c>
      <c r="I888" t="n">
        <v>8</v>
      </c>
      <c r="J888" t="n">
        <v>10.4</v>
      </c>
      <c r="K888" t="n">
        <v>-0.605</v>
      </c>
      <c r="L888" t="n">
        <v>-1.332</v>
      </c>
      <c r="M888" t="n">
        <v>0.399</v>
      </c>
      <c r="N888">
        <f>ROUND(J888*F888*G888+K888*G888+L888*F888+M888,3)</f>
        <v/>
      </c>
      <c r="O888">
        <f>AND(N888&gt;=1.4,N888&lt;=13)</f>
        <v/>
      </c>
      <c r="P888">
        <f>IF(OR(N888&lt;1.4,N888&gt;13),"",IF(G888*1000&lt;=1170,IF(N888&lt;1.8,"1014",IF(N888&lt;2.9,"1018",IF(N888&lt;3.8,"1029",IF(N888&lt;5,"1038",IF(N888&lt;7,"1050",IF(N888&lt;9,"1070",IF(N888&lt;11,"1090","1110"))))))),IF(G888*1000&lt;=1570,IF(N888&lt;1.8,"",IF(N888&lt;2.9,"2018",IF(N888&lt;3.8,"2029",IF(N888&lt;5,"2038",IF(N888&lt;7,"2050",IF(N888&lt;9,"2070",IF(N888&lt;11,"2090","2110"))))))),IF(G888*1000&lt;=1700,IF(N888&lt;1.8,"",IF(N888&lt;2.9,"3018",IF(N888&lt;3.8,"3029",IF(N888&lt;5,"3038",IF(N888&lt;7,"3050",IF(N888&lt;9,"3070",IF(N888&lt;11,"3090","3110"))))))),""))))</f>
        <v/>
      </c>
      <c r="Q888">
        <f>AND(O888=TRUE,P888&lt;&gt;"")</f>
        <v/>
      </c>
      <c r="R888">
        <f>IF(G888*1000&lt;750,"なし","あり")</f>
        <v/>
      </c>
      <c r="S888">
        <f>IF(AND(O888=TRUE,Q888=TRUE),"設定可","BLOCK")</f>
        <v/>
      </c>
      <c r="T888" t="inlineStr">
        <is>
          <t>商品カタログ P194</t>
        </is>
      </c>
      <c r="U888" t="inlineStr">
        <is>
          <t>https://webcatalog.lixil.co.jp/iportal/CatalogDetail.do?catalogID=15191910000&amp;categoryID=1630000&amp;designID=newinter&amp;method=initial_screen&amp;position=18&amp;type=mc&amp;volumeID=LXL13001</t>
        </is>
      </c>
    </row>
    <row r="889">
      <c r="A889" t="inlineStr">
        <is>
          <t>WG-SL-00886</t>
        </is>
      </c>
      <c r="B889" t="inlineStr">
        <is>
          <t>SZ-SL-001044</t>
        </is>
      </c>
      <c r="C889" t="inlineStr">
        <is>
          <t>WT-SL-MENKOSHI-AGE-FS</t>
        </is>
      </c>
      <c r="D889" t="inlineStr">
        <is>
          <t>SP-SL-AGE-GRILLE-V</t>
        </is>
      </c>
      <c r="E889" t="inlineStr">
        <is>
          <t>07413</t>
        </is>
      </c>
      <c r="F889" t="n">
        <v>0.78</v>
      </c>
      <c r="G889" t="n">
        <v>1.37</v>
      </c>
      <c r="H889" t="inlineStr">
        <is>
          <t>GL-SL-004</t>
        </is>
      </c>
      <c r="I889" t="n">
        <v>6</v>
      </c>
      <c r="J889" t="n">
        <v>7.8</v>
      </c>
      <c r="K889" t="n">
        <v>-0.355</v>
      </c>
      <c r="L889" t="n">
        <v>-0.664</v>
      </c>
      <c r="M889" t="n">
        <v>0.335</v>
      </c>
      <c r="N889">
        <f>ROUND(J889*F889*G889+K889*G889+L889*F889+M889,3)</f>
        <v/>
      </c>
      <c r="O889">
        <f>AND(N889&gt;=1.4,N889&lt;=13)</f>
        <v/>
      </c>
      <c r="P889">
        <f>IF(OR(N889&lt;1.4,N889&gt;13),"",IF(G889*1000&lt;=1170,IF(N889&lt;1.8,"1014",IF(N889&lt;2.9,"1018",IF(N889&lt;3.8,"1029",IF(N889&lt;5,"1038",IF(N889&lt;7,"1050",IF(N889&lt;9,"1070",IF(N889&lt;11,"1090","1110"))))))),IF(G889*1000&lt;=1570,IF(N889&lt;1.8,"",IF(N889&lt;2.9,"2018",IF(N889&lt;3.8,"2029",IF(N889&lt;5,"2038",IF(N889&lt;7,"2050",IF(N889&lt;9,"2070",IF(N889&lt;11,"2090","2110"))))))),IF(G889*1000&lt;=1700,IF(N889&lt;1.8,"",IF(N889&lt;2.9,"3018",IF(N889&lt;3.8,"3029",IF(N889&lt;5,"3038",IF(N889&lt;7,"3050",IF(N889&lt;9,"3070",IF(N889&lt;11,"3090","3110"))))))),""))))</f>
        <v/>
      </c>
      <c r="Q889">
        <f>AND(O889=TRUE,P889&lt;&gt;"")</f>
        <v/>
      </c>
      <c r="R889">
        <f>IF(G889*1000&lt;750,"なし","あり")</f>
        <v/>
      </c>
      <c r="S889">
        <f>IF(AND(O889=TRUE,Q889=TRUE),"設定可","BLOCK")</f>
        <v/>
      </c>
      <c r="T889" t="inlineStr">
        <is>
          <t>商品カタログ P194</t>
        </is>
      </c>
      <c r="U889" t="inlineStr">
        <is>
          <t>https://webcatalog.lixil.co.jp/iportal/CatalogDetail.do?catalogID=15191910000&amp;categoryID=1630000&amp;designID=newinter&amp;method=initial_screen&amp;position=18&amp;type=mc&amp;volumeID=LXL13001</t>
        </is>
      </c>
    </row>
    <row r="890">
      <c r="A890" t="inlineStr">
        <is>
          <t>WG-SL-00887</t>
        </is>
      </c>
      <c r="B890" t="inlineStr">
        <is>
          <t>SZ-SL-001044</t>
        </is>
      </c>
      <c r="C890" t="inlineStr">
        <is>
          <t>WT-SL-MENKOSHI-AGE-FS</t>
        </is>
      </c>
      <c r="D890" t="inlineStr">
        <is>
          <t>SP-SL-AGE-GRILLE-V</t>
        </is>
      </c>
      <c r="E890" t="inlineStr">
        <is>
          <t>07413</t>
        </is>
      </c>
      <c r="F890" t="n">
        <v>0.78</v>
      </c>
      <c r="G890" t="n">
        <v>1.37</v>
      </c>
      <c r="H890" t="inlineStr">
        <is>
          <t>GL-SL-005</t>
        </is>
      </c>
      <c r="I890" t="n">
        <v>7</v>
      </c>
      <c r="J890" t="n">
        <v>9.1</v>
      </c>
      <c r="K890" t="n">
        <v>-0.48</v>
      </c>
      <c r="L890" t="n">
        <v>-0.998</v>
      </c>
      <c r="M890" t="n">
        <v>0.367</v>
      </c>
      <c r="N890">
        <f>ROUND(J890*F890*G890+K890*G890+L890*F890+M890,3)</f>
        <v/>
      </c>
      <c r="O890">
        <f>AND(N890&gt;=1.4,N890&lt;=13)</f>
        <v/>
      </c>
      <c r="P890">
        <f>IF(OR(N890&lt;1.4,N890&gt;13),"",IF(G890*1000&lt;=1170,IF(N890&lt;1.8,"1014",IF(N890&lt;2.9,"1018",IF(N890&lt;3.8,"1029",IF(N890&lt;5,"1038",IF(N890&lt;7,"1050",IF(N890&lt;9,"1070",IF(N890&lt;11,"1090","1110"))))))),IF(G890*1000&lt;=1570,IF(N890&lt;1.8,"",IF(N890&lt;2.9,"2018",IF(N890&lt;3.8,"2029",IF(N890&lt;5,"2038",IF(N890&lt;7,"2050",IF(N890&lt;9,"2070",IF(N890&lt;11,"2090","2110"))))))),IF(G890*1000&lt;=1700,IF(N890&lt;1.8,"",IF(N890&lt;2.9,"3018",IF(N890&lt;3.8,"3029",IF(N890&lt;5,"3038",IF(N890&lt;7,"3050",IF(N890&lt;9,"3070",IF(N890&lt;11,"3090","3110"))))))),""))))</f>
        <v/>
      </c>
      <c r="Q890">
        <f>AND(O890=TRUE,P890&lt;&gt;"")</f>
        <v/>
      </c>
      <c r="R890">
        <f>IF(G890*1000&lt;750,"なし","あり")</f>
        <v/>
      </c>
      <c r="S890">
        <f>IF(AND(O890=TRUE,Q890=TRUE),"設定可","BLOCK")</f>
        <v/>
      </c>
      <c r="T890" t="inlineStr">
        <is>
          <t>商品カタログ P194</t>
        </is>
      </c>
      <c r="U890" t="inlineStr">
        <is>
          <t>https://webcatalog.lixil.co.jp/iportal/CatalogDetail.do?catalogID=15191910000&amp;categoryID=1630000&amp;designID=newinter&amp;method=initial_screen&amp;position=18&amp;type=mc&amp;volumeID=LXL13001</t>
        </is>
      </c>
    </row>
    <row r="891">
      <c r="A891" t="inlineStr">
        <is>
          <t>WG-SL-00888</t>
        </is>
      </c>
      <c r="B891" t="inlineStr">
        <is>
          <t>SZ-SL-001044</t>
        </is>
      </c>
      <c r="C891" t="inlineStr">
        <is>
          <t>WT-SL-MENKOSHI-AGE-FS</t>
        </is>
      </c>
      <c r="D891" t="inlineStr">
        <is>
          <t>SP-SL-AGE-GRILLE-V</t>
        </is>
      </c>
      <c r="E891" t="inlineStr">
        <is>
          <t>07413</t>
        </is>
      </c>
      <c r="F891" t="n">
        <v>0.78</v>
      </c>
      <c r="G891" t="n">
        <v>1.37</v>
      </c>
      <c r="H891" t="inlineStr">
        <is>
          <t>GL-SL-006</t>
        </is>
      </c>
      <c r="I891" t="n">
        <v>8</v>
      </c>
      <c r="J891" t="n">
        <v>10.4</v>
      </c>
      <c r="K891" t="n">
        <v>-0.605</v>
      </c>
      <c r="L891" t="n">
        <v>-1.332</v>
      </c>
      <c r="M891" t="n">
        <v>0.399</v>
      </c>
      <c r="N891">
        <f>ROUND(J891*F891*G891+K891*G891+L891*F891+M891,3)</f>
        <v/>
      </c>
      <c r="O891">
        <f>AND(N891&gt;=1.4,N891&lt;=13)</f>
        <v/>
      </c>
      <c r="P891">
        <f>IF(OR(N891&lt;1.4,N891&gt;13),"",IF(G891*1000&lt;=1170,IF(N891&lt;1.8,"1014",IF(N891&lt;2.9,"1018",IF(N891&lt;3.8,"1029",IF(N891&lt;5,"1038",IF(N891&lt;7,"1050",IF(N891&lt;9,"1070",IF(N891&lt;11,"1090","1110"))))))),IF(G891*1000&lt;=1570,IF(N891&lt;1.8,"",IF(N891&lt;2.9,"2018",IF(N891&lt;3.8,"2029",IF(N891&lt;5,"2038",IF(N891&lt;7,"2050",IF(N891&lt;9,"2070",IF(N891&lt;11,"2090","2110"))))))),IF(G891*1000&lt;=1700,IF(N891&lt;1.8,"",IF(N891&lt;2.9,"3018",IF(N891&lt;3.8,"3029",IF(N891&lt;5,"3038",IF(N891&lt;7,"3050",IF(N891&lt;9,"3070",IF(N891&lt;11,"3090","3110"))))))),""))))</f>
        <v/>
      </c>
      <c r="Q891">
        <f>AND(O891=TRUE,P891&lt;&gt;"")</f>
        <v/>
      </c>
      <c r="R891">
        <f>IF(G891*1000&lt;750,"なし","あり")</f>
        <v/>
      </c>
      <c r="S891">
        <f>IF(AND(O891=TRUE,Q891=TRUE),"設定可","BLOCK")</f>
        <v/>
      </c>
      <c r="T891" t="inlineStr">
        <is>
          <t>商品カタログ P194</t>
        </is>
      </c>
      <c r="U891" t="inlineStr">
        <is>
          <t>https://webcatalog.lixil.co.jp/iportal/CatalogDetail.do?catalogID=15191910000&amp;categoryID=1630000&amp;designID=newinter&amp;method=initial_screen&amp;position=18&amp;type=mc&amp;volumeID=LXL13001</t>
        </is>
      </c>
    </row>
    <row r="892">
      <c r="A892" t="inlineStr">
        <is>
          <t>WG-SL-00889</t>
        </is>
      </c>
      <c r="B892" t="inlineStr">
        <is>
          <t>SZ-SL-001044</t>
        </is>
      </c>
      <c r="C892" t="inlineStr">
        <is>
          <t>WT-SL-MENKOSHI-AGE-FS</t>
        </is>
      </c>
      <c r="D892" t="inlineStr">
        <is>
          <t>SP-SL-AGE-GRILLE-V</t>
        </is>
      </c>
      <c r="E892" t="inlineStr">
        <is>
          <t>07413</t>
        </is>
      </c>
      <c r="F892" t="n">
        <v>0.78</v>
      </c>
      <c r="G892" t="n">
        <v>1.37</v>
      </c>
      <c r="H892" t="inlineStr">
        <is>
          <t>GL-SL-007</t>
        </is>
      </c>
      <c r="I892" t="n">
        <v>6</v>
      </c>
      <c r="J892" t="n">
        <v>7.8</v>
      </c>
      <c r="K892" t="n">
        <v>-0.355</v>
      </c>
      <c r="L892" t="n">
        <v>-0.664</v>
      </c>
      <c r="M892" t="n">
        <v>0.335</v>
      </c>
      <c r="N892">
        <f>ROUND(J892*F892*G892+K892*G892+L892*F892+M892,3)</f>
        <v/>
      </c>
      <c r="O892">
        <f>AND(N892&gt;=1.4,N892&lt;=13)</f>
        <v/>
      </c>
      <c r="P892">
        <f>IF(OR(N892&lt;1.4,N892&gt;13),"",IF(G892*1000&lt;=1170,IF(N892&lt;1.8,"1014",IF(N892&lt;2.9,"1018",IF(N892&lt;3.8,"1029",IF(N892&lt;5,"1038",IF(N892&lt;7,"1050",IF(N892&lt;9,"1070",IF(N892&lt;11,"1090","1110"))))))),IF(G892*1000&lt;=1570,IF(N892&lt;1.8,"",IF(N892&lt;2.9,"2018",IF(N892&lt;3.8,"2029",IF(N892&lt;5,"2038",IF(N892&lt;7,"2050",IF(N892&lt;9,"2070",IF(N892&lt;11,"2090","2110"))))))),IF(G892*1000&lt;=1700,IF(N892&lt;1.8,"",IF(N892&lt;2.9,"3018",IF(N892&lt;3.8,"3029",IF(N892&lt;5,"3038",IF(N892&lt;7,"3050",IF(N892&lt;9,"3070",IF(N892&lt;11,"3090","3110"))))))),""))))</f>
        <v/>
      </c>
      <c r="Q892">
        <f>AND(O892=TRUE,P892&lt;&gt;"")</f>
        <v/>
      </c>
      <c r="R892">
        <f>IF(G892*1000&lt;750,"なし","あり")</f>
        <v/>
      </c>
      <c r="S892">
        <f>IF(AND(O892=TRUE,Q892=TRUE),"設定可","BLOCK")</f>
        <v/>
      </c>
      <c r="T892" t="inlineStr">
        <is>
          <t>商品カタログ P194</t>
        </is>
      </c>
      <c r="U892" t="inlineStr">
        <is>
          <t>https://webcatalog.lixil.co.jp/iportal/CatalogDetail.do?catalogID=15191910000&amp;categoryID=1630000&amp;designID=newinter&amp;method=initial_screen&amp;position=18&amp;type=mc&amp;volumeID=LXL13001</t>
        </is>
      </c>
    </row>
    <row r="893">
      <c r="A893" t="inlineStr">
        <is>
          <t>WG-SL-00890</t>
        </is>
      </c>
      <c r="B893" t="inlineStr">
        <is>
          <t>SZ-SL-001044</t>
        </is>
      </c>
      <c r="C893" t="inlineStr">
        <is>
          <t>WT-SL-MENKOSHI-AGE-FS</t>
        </is>
      </c>
      <c r="D893" t="inlineStr">
        <is>
          <t>SP-SL-AGE-GRILLE-V</t>
        </is>
      </c>
      <c r="E893" t="inlineStr">
        <is>
          <t>07413</t>
        </is>
      </c>
      <c r="F893" t="n">
        <v>0.78</v>
      </c>
      <c r="G893" t="n">
        <v>1.37</v>
      </c>
      <c r="H893" t="inlineStr">
        <is>
          <t>GL-SL-008</t>
        </is>
      </c>
      <c r="I893" t="n">
        <v>7</v>
      </c>
      <c r="J893" t="n">
        <v>9.1</v>
      </c>
      <c r="K893" t="n">
        <v>-0.48</v>
      </c>
      <c r="L893" t="n">
        <v>-0.998</v>
      </c>
      <c r="M893" t="n">
        <v>0.367</v>
      </c>
      <c r="N893">
        <f>ROUND(J893*F893*G893+K893*G893+L893*F893+M893,3)</f>
        <v/>
      </c>
      <c r="O893">
        <f>AND(N893&gt;=1.4,N893&lt;=13)</f>
        <v/>
      </c>
      <c r="P893">
        <f>IF(OR(N893&lt;1.4,N893&gt;13),"",IF(G893*1000&lt;=1170,IF(N893&lt;1.8,"1014",IF(N893&lt;2.9,"1018",IF(N893&lt;3.8,"1029",IF(N893&lt;5,"1038",IF(N893&lt;7,"1050",IF(N893&lt;9,"1070",IF(N893&lt;11,"1090","1110"))))))),IF(G893*1000&lt;=1570,IF(N893&lt;1.8,"",IF(N893&lt;2.9,"2018",IF(N893&lt;3.8,"2029",IF(N893&lt;5,"2038",IF(N893&lt;7,"2050",IF(N893&lt;9,"2070",IF(N893&lt;11,"2090","2110"))))))),IF(G893*1000&lt;=1700,IF(N893&lt;1.8,"",IF(N893&lt;2.9,"3018",IF(N893&lt;3.8,"3029",IF(N893&lt;5,"3038",IF(N893&lt;7,"3050",IF(N893&lt;9,"3070",IF(N893&lt;11,"3090","3110"))))))),""))))</f>
        <v/>
      </c>
      <c r="Q893">
        <f>AND(O893=TRUE,P893&lt;&gt;"")</f>
        <v/>
      </c>
      <c r="R893">
        <f>IF(G893*1000&lt;750,"なし","あり")</f>
        <v/>
      </c>
      <c r="S893">
        <f>IF(AND(O893=TRUE,Q893=TRUE),"設定可","BLOCK")</f>
        <v/>
      </c>
      <c r="T893" t="inlineStr">
        <is>
          <t>商品カタログ P194</t>
        </is>
      </c>
      <c r="U893" t="inlineStr">
        <is>
          <t>https://webcatalog.lixil.co.jp/iportal/CatalogDetail.do?catalogID=15191910000&amp;categoryID=1630000&amp;designID=newinter&amp;method=initial_screen&amp;position=18&amp;type=mc&amp;volumeID=LXL13001</t>
        </is>
      </c>
    </row>
    <row r="894">
      <c r="A894" t="inlineStr">
        <is>
          <t>WG-SL-00891</t>
        </is>
      </c>
      <c r="B894" t="inlineStr">
        <is>
          <t>SZ-SL-001044</t>
        </is>
      </c>
      <c r="C894" t="inlineStr">
        <is>
          <t>WT-SL-MENKOSHI-AGE-FS</t>
        </is>
      </c>
      <c r="D894" t="inlineStr">
        <is>
          <t>SP-SL-AGE-GRILLE-V</t>
        </is>
      </c>
      <c r="E894" t="inlineStr">
        <is>
          <t>07413</t>
        </is>
      </c>
      <c r="F894" t="n">
        <v>0.78</v>
      </c>
      <c r="G894" t="n">
        <v>1.37</v>
      </c>
      <c r="H894" t="inlineStr">
        <is>
          <t>GL-SL-009</t>
        </is>
      </c>
      <c r="I894" t="n">
        <v>8</v>
      </c>
      <c r="J894" t="n">
        <v>10.4</v>
      </c>
      <c r="K894" t="n">
        <v>-0.605</v>
      </c>
      <c r="L894" t="n">
        <v>-1.332</v>
      </c>
      <c r="M894" t="n">
        <v>0.399</v>
      </c>
      <c r="N894">
        <f>ROUND(J894*F894*G894+K894*G894+L894*F894+M894,3)</f>
        <v/>
      </c>
      <c r="O894">
        <f>AND(N894&gt;=1.4,N894&lt;=13)</f>
        <v/>
      </c>
      <c r="P894">
        <f>IF(OR(N894&lt;1.4,N894&gt;13),"",IF(G894*1000&lt;=1170,IF(N894&lt;1.8,"1014",IF(N894&lt;2.9,"1018",IF(N894&lt;3.8,"1029",IF(N894&lt;5,"1038",IF(N894&lt;7,"1050",IF(N894&lt;9,"1070",IF(N894&lt;11,"1090","1110"))))))),IF(G894*1000&lt;=1570,IF(N894&lt;1.8,"",IF(N894&lt;2.9,"2018",IF(N894&lt;3.8,"2029",IF(N894&lt;5,"2038",IF(N894&lt;7,"2050",IF(N894&lt;9,"2070",IF(N894&lt;11,"2090","2110"))))))),IF(G894*1000&lt;=1700,IF(N894&lt;1.8,"",IF(N894&lt;2.9,"3018",IF(N894&lt;3.8,"3029",IF(N894&lt;5,"3038",IF(N894&lt;7,"3050",IF(N894&lt;9,"3070",IF(N894&lt;11,"3090","3110"))))))),""))))</f>
        <v/>
      </c>
      <c r="Q894">
        <f>AND(O894=TRUE,P894&lt;&gt;"")</f>
        <v/>
      </c>
      <c r="R894">
        <f>IF(G894*1000&lt;750,"なし","あり")</f>
        <v/>
      </c>
      <c r="S894">
        <f>IF(AND(O894=TRUE,Q894=TRUE),"設定可","BLOCK")</f>
        <v/>
      </c>
      <c r="T894" t="inlineStr">
        <is>
          <t>商品カタログ P194</t>
        </is>
      </c>
      <c r="U894" t="inlineStr">
        <is>
          <t>https://webcatalog.lixil.co.jp/iportal/CatalogDetail.do?catalogID=15191910000&amp;categoryID=1630000&amp;designID=newinter&amp;method=initial_screen&amp;position=18&amp;type=mc&amp;volumeID=LXL13001</t>
        </is>
      </c>
    </row>
  </sheetData>
  <mergeCells count="2">
    <mergeCell ref="A1:U1"/>
    <mergeCell ref="A2:U2"/>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8" customWidth="1" style="51" min="1" max="1"/>
    <col width="18" customWidth="1" style="51" min="2" max="2"/>
    <col width="28" customWidth="1" style="51" min="3" max="3"/>
    <col width="28" customWidth="1" style="51" min="4" max="4"/>
    <col width="16" customWidth="1" style="51" min="5" max="5"/>
    <col width="34" customWidth="1" style="51" min="6" max="6"/>
    <col width="14" customWidth="1" style="51" min="7" max="7"/>
    <col width="34" customWidth="1" style="51" min="8" max="8"/>
    <col width="8" customWidth="1" style="51" min="9" max="9"/>
    <col width="24" customWidth="1" style="51" min="10" max="10"/>
    <col width="28" customWidth="1" style="51" min="11" max="11"/>
    <col width="46" customWidth="1" style="51" min="12" max="12"/>
  </cols>
  <sheetData>
    <row r="1">
      <c r="A1" s="240" t="inlineStr">
        <is>
          <t>品種記号マスター｜サーモスL v0.7-R1</t>
        </is>
      </c>
      <c r="B1" s="41" t="n"/>
      <c r="C1" s="41" t="n"/>
      <c r="D1" s="41" t="n"/>
      <c r="E1" s="41" t="n"/>
      <c r="F1" s="41" t="n"/>
      <c r="G1" s="41" t="n"/>
      <c r="H1" s="41" t="n"/>
      <c r="I1" s="41" t="n"/>
      <c r="J1" s="41" t="n"/>
      <c r="K1" s="41" t="n"/>
      <c r="L1" s="41" t="n"/>
    </row>
    <row r="2">
      <c r="A2" s="241" t="inlineStr">
        <is>
          <t>2026完成品価格表 P3-4 の『おすすめ品番』品種記号一覧を正規化。規格サイズのメーカーおすすめ品番生成に使用。</t>
        </is>
      </c>
      <c r="B2" s="41" t="n"/>
      <c r="C2" s="41" t="n"/>
      <c r="D2" s="41" t="n"/>
      <c r="E2" s="41" t="n"/>
      <c r="F2" s="41" t="n"/>
      <c r="G2" s="41" t="n"/>
      <c r="H2" s="41" t="n"/>
      <c r="I2" s="41" t="n"/>
      <c r="J2" s="41" t="n"/>
      <c r="K2" s="41" t="n"/>
      <c r="L2" s="41" t="n"/>
    </row>
    <row r="3">
      <c r="A3" s="151" t="inlineStr">
        <is>
          <t>product_code_id</t>
        </is>
      </c>
      <c r="B3" s="151" t="inlineStr">
        <is>
          <t>シリーズID</t>
        </is>
      </c>
      <c r="C3" s="151" t="inlineStr">
        <is>
          <t>窓種ID</t>
        </is>
      </c>
      <c r="D3" s="151" t="inlineStr">
        <is>
          <t>固有仕様ID</t>
        </is>
      </c>
      <c r="E3" s="151" t="inlineStr">
        <is>
          <t>品種記号</t>
        </is>
      </c>
      <c r="F3" s="151" t="inlineStr">
        <is>
          <t>品種/構成</t>
        </is>
      </c>
      <c r="G3" s="151" t="inlineStr">
        <is>
          <t>シリーズ記号</t>
        </is>
      </c>
      <c r="H3" s="151" t="inlineStr">
        <is>
          <t>おすすめ品番構成</t>
        </is>
      </c>
      <c r="I3" s="151" t="inlineStr">
        <is>
          <t>有効</t>
        </is>
      </c>
      <c r="J3" s="151" t="inlineStr">
        <is>
          <t>登録状態</t>
        </is>
      </c>
      <c r="K3" s="151" t="inlineStr">
        <is>
          <t>出典</t>
        </is>
      </c>
      <c r="L3" s="151" t="inlineStr">
        <is>
          <t>一次資料URL</t>
        </is>
      </c>
    </row>
    <row r="4">
      <c r="A4" t="inlineStr">
        <is>
          <t>PC-SL-001</t>
        </is>
      </c>
      <c r="B4" t="inlineStr">
        <is>
          <t>SER-LIX-SAMOSL</t>
        </is>
      </c>
      <c r="C4" t="inlineStr">
        <is>
          <t>WT-SL-HIKICHIGAI</t>
        </is>
      </c>
      <c r="E4" t="inlineStr">
        <is>
          <t>H1</t>
        </is>
      </c>
      <c r="F4" t="inlineStr">
        <is>
          <t>単体引違い窓</t>
        </is>
      </c>
      <c r="G4" t="inlineStr">
        <is>
          <t>SL</t>
        </is>
      </c>
      <c r="H4" t="inlineStr">
        <is>
          <t>@SLH1-呼称-色記号</t>
        </is>
      </c>
      <c r="I4" t="b">
        <v>1</v>
      </c>
      <c r="J4" t="inlineStr">
        <is>
          <t>2026完成品価格表確認済み</t>
        </is>
      </c>
      <c r="K4" t="inlineStr">
        <is>
          <t>202604完成品価格表 P3-4</t>
        </is>
      </c>
      <c r="L4" t="inlineStr">
        <is>
          <t>https://drive.google.com/file/d/1YUN-mtWYs48YBUHJk0C3vJXnhjyZFHyf/view</t>
        </is>
      </c>
    </row>
    <row r="5">
      <c r="A5" t="inlineStr">
        <is>
          <t>PC-SL-002</t>
        </is>
      </c>
      <c r="B5" t="inlineStr">
        <is>
          <t>SER-LIX-SAMOSL</t>
        </is>
      </c>
      <c r="C5" t="inlineStr">
        <is>
          <t>WT-SL-SHUTTER-HIKI</t>
        </is>
      </c>
      <c r="D5" t="inlineStr">
        <is>
          <t>*</t>
        </is>
      </c>
      <c r="E5" t="inlineStr">
        <is>
          <t>HSMS1</t>
        </is>
      </c>
      <c r="F5" t="inlineStr">
        <is>
          <t>シャッター付引違い窓</t>
        </is>
      </c>
      <c r="G5" t="inlineStr">
        <is>
          <t>SL</t>
        </is>
      </c>
      <c r="H5" t="inlineStr">
        <is>
          <t>@SLHSMS1-呼称-色記号</t>
        </is>
      </c>
      <c r="I5" t="b">
        <v>1</v>
      </c>
      <c r="J5" t="inlineStr">
        <is>
          <t>2026完成品価格表確認済み</t>
        </is>
      </c>
      <c r="K5" t="inlineStr">
        <is>
          <t>202604完成品価格表 P3-4</t>
        </is>
      </c>
      <c r="L5" t="inlineStr">
        <is>
          <t>https://drive.google.com/file/d/1YUN-mtWYs48YBUHJk0C3vJXnhjyZFHyf/view</t>
        </is>
      </c>
    </row>
    <row r="6">
      <c r="A6" t="inlineStr">
        <is>
          <t>PC-SL-003</t>
        </is>
      </c>
      <c r="B6" t="inlineStr">
        <is>
          <t>SER-LIX-SAMOSL</t>
        </is>
      </c>
      <c r="C6" t="inlineStr">
        <is>
          <t>WT-SL-AMADO-HIKI</t>
        </is>
      </c>
      <c r="D6" t="inlineStr">
        <is>
          <t>*</t>
        </is>
      </c>
      <c r="E6" t="inlineStr">
        <is>
          <t>HA1</t>
        </is>
      </c>
      <c r="F6" t="inlineStr">
        <is>
          <t>雨戸付引違い窓</t>
        </is>
      </c>
      <c r="G6" t="inlineStr">
        <is>
          <t>SL</t>
        </is>
      </c>
      <c r="H6" t="inlineStr">
        <is>
          <t>@SLHA1-呼称-色記号</t>
        </is>
      </c>
      <c r="I6" t="b">
        <v>1</v>
      </c>
      <c r="J6" t="inlineStr">
        <is>
          <t>2026完成品価格表確認済み</t>
        </is>
      </c>
      <c r="K6" t="inlineStr">
        <is>
          <t>202604完成品価格表 P3-4</t>
        </is>
      </c>
      <c r="L6" t="inlineStr">
        <is>
          <t>https://drive.google.com/file/d/1YUN-mtWYs48YBUHJk0C3vJXnhjyZFHyf/view</t>
        </is>
      </c>
    </row>
    <row r="7">
      <c r="A7" t="inlineStr">
        <is>
          <t>PC-SL-004</t>
        </is>
      </c>
      <c r="B7" t="inlineStr">
        <is>
          <t>SER-LIX-SAMOSL</t>
        </is>
      </c>
      <c r="C7" t="inlineStr">
        <is>
          <t>WT-SL-MENKOSHI-HIKI</t>
        </is>
      </c>
      <c r="D7" t="inlineStr">
        <is>
          <t>*</t>
        </is>
      </c>
      <c r="E7" t="inlineStr">
        <is>
          <t>HM1</t>
        </is>
      </c>
      <c r="F7" t="inlineStr">
        <is>
          <t>面格子付引違い窓</t>
        </is>
      </c>
      <c r="G7" t="inlineStr">
        <is>
          <t>SL</t>
        </is>
      </c>
      <c r="H7" t="inlineStr">
        <is>
          <t>@SLHM1-呼称-色記号</t>
        </is>
      </c>
      <c r="I7" t="b">
        <v>1</v>
      </c>
      <c r="J7" t="inlineStr">
        <is>
          <t>2026完成品価格表確認済み</t>
        </is>
      </c>
      <c r="K7" t="inlineStr">
        <is>
          <t>202604完成品価格表 P3-4</t>
        </is>
      </c>
      <c r="L7" t="inlineStr">
        <is>
          <t>https://drive.google.com/file/d/1YUN-mtWYs48YBUHJk0C3vJXnhjyZFHyf/view</t>
        </is>
      </c>
    </row>
    <row r="8">
      <c r="A8" t="inlineStr">
        <is>
          <t>PC-SL-005</t>
        </is>
      </c>
      <c r="B8" t="inlineStr">
        <is>
          <t>SER-LIX-SAMOSL</t>
        </is>
      </c>
      <c r="C8" t="inlineStr">
        <is>
          <t>WT-SL-TATE-SUBERI</t>
        </is>
      </c>
      <c r="D8" t="inlineStr">
        <is>
          <t>SP-SL-TATE-OP-T</t>
        </is>
      </c>
      <c r="E8" t="inlineStr">
        <is>
          <t>VTP2</t>
        </is>
      </c>
      <c r="F8" t="inlineStr">
        <is>
          <t>縦すべりOP T</t>
        </is>
      </c>
      <c r="G8" t="inlineStr">
        <is>
          <t>SL</t>
        </is>
      </c>
      <c r="H8" t="inlineStr">
        <is>
          <t>@SLVTP2-呼称-色記号</t>
        </is>
      </c>
      <c r="I8" t="b">
        <v>1</v>
      </c>
      <c r="J8" t="inlineStr">
        <is>
          <t>2026完成品価格表確認済み</t>
        </is>
      </c>
      <c r="K8" t="inlineStr">
        <is>
          <t>202604完成品価格表 P3-4</t>
        </is>
      </c>
      <c r="L8" t="inlineStr">
        <is>
          <t>https://drive.google.com/file/d/1YUN-mtWYs48YBUHJk0C3vJXnhjyZFHyf/view</t>
        </is>
      </c>
    </row>
    <row r="9">
      <c r="A9" t="inlineStr">
        <is>
          <t>PC-SL-006</t>
        </is>
      </c>
      <c r="B9" t="inlineStr">
        <is>
          <t>SER-LIX-SAMOSL</t>
        </is>
      </c>
      <c r="C9" t="inlineStr">
        <is>
          <t>WT-SL-TATE-SUBERI</t>
        </is>
      </c>
      <c r="D9" t="inlineStr">
        <is>
          <t>SP-SL-TATE-OP-TF-OUT</t>
        </is>
      </c>
      <c r="E9" t="inlineStr">
        <is>
          <t>VTFPZ2</t>
        </is>
      </c>
      <c r="F9" t="inlineStr">
        <is>
          <t>縦すべりOP TF FIX外押縁</t>
        </is>
      </c>
      <c r="G9" t="inlineStr">
        <is>
          <t>SL</t>
        </is>
      </c>
      <c r="H9" t="inlineStr">
        <is>
          <t>@SLVTFPZ2-呼称-色記号</t>
        </is>
      </c>
      <c r="I9" t="b">
        <v>1</v>
      </c>
      <c r="J9" t="inlineStr">
        <is>
          <t>2026完成品価格表確認済み</t>
        </is>
      </c>
      <c r="K9" t="inlineStr">
        <is>
          <t>202604完成品価格表 P3-4</t>
        </is>
      </c>
      <c r="L9" t="inlineStr">
        <is>
          <t>https://drive.google.com/file/d/1YUN-mtWYs48YBUHJk0C3vJXnhjyZFHyf/view</t>
        </is>
      </c>
    </row>
    <row r="10">
      <c r="A10" t="inlineStr">
        <is>
          <t>PC-SL-007</t>
        </is>
      </c>
      <c r="B10" t="inlineStr">
        <is>
          <t>SER-LIX-SAMOSL</t>
        </is>
      </c>
      <c r="C10" t="inlineStr">
        <is>
          <t>WT-SL-TATE-SUBERI</t>
        </is>
      </c>
      <c r="D10" t="inlineStr">
        <is>
          <t>SP-SL-TATE-OP-TFT-OUT</t>
        </is>
      </c>
      <c r="E10" t="inlineStr">
        <is>
          <t>VTFTPZ2</t>
        </is>
      </c>
      <c r="F10" t="inlineStr">
        <is>
          <t>縦すべりOP TFT FIX外押縁</t>
        </is>
      </c>
      <c r="G10" t="inlineStr">
        <is>
          <t>SL</t>
        </is>
      </c>
      <c r="H10" t="inlineStr">
        <is>
          <t>@SLVTFTPZ2-呼称-色記号</t>
        </is>
      </c>
      <c r="I10" t="b">
        <v>1</v>
      </c>
      <c r="J10" t="inlineStr">
        <is>
          <t>2026完成品価格表確認済み</t>
        </is>
      </c>
      <c r="K10" t="inlineStr">
        <is>
          <t>202604完成品価格表 P3-4</t>
        </is>
      </c>
      <c r="L10" t="inlineStr">
        <is>
          <t>https://drive.google.com/file/d/1YUN-mtWYs48YBUHJk0C3vJXnhjyZFHyf/view</t>
        </is>
      </c>
    </row>
    <row r="11">
      <c r="A11" t="inlineStr">
        <is>
          <t>PC-SL-008</t>
        </is>
      </c>
      <c r="B11" t="inlineStr">
        <is>
          <t>SER-LIX-SAMOSL</t>
        </is>
      </c>
      <c r="C11" t="inlineStr">
        <is>
          <t>WT-SL-TATE-SUBERI</t>
        </is>
      </c>
      <c r="D11" t="inlineStr">
        <is>
          <t>SP-SL-TATE-OP-TF-IN</t>
        </is>
      </c>
      <c r="E11" t="inlineStr">
        <is>
          <t>VTFPZU2</t>
        </is>
      </c>
      <c r="F11" t="inlineStr">
        <is>
          <t>縦すべりOP TF FIX内押縁</t>
        </is>
      </c>
      <c r="G11" t="inlineStr">
        <is>
          <t>SL</t>
        </is>
      </c>
      <c r="H11" t="inlineStr">
        <is>
          <t>@SLVTFPZU2-呼称-色記号</t>
        </is>
      </c>
      <c r="I11" t="b">
        <v>1</v>
      </c>
      <c r="J11" t="inlineStr">
        <is>
          <t>2026完成品価格表確認済み</t>
        </is>
      </c>
      <c r="K11" t="inlineStr">
        <is>
          <t>202604完成品価格表 P3-4</t>
        </is>
      </c>
      <c r="L11" t="inlineStr">
        <is>
          <t>https://drive.google.com/file/d/1YUN-mtWYs48YBUHJk0C3vJXnhjyZFHyf/view</t>
        </is>
      </c>
    </row>
    <row r="12">
      <c r="A12" t="inlineStr">
        <is>
          <t>PC-SL-009</t>
        </is>
      </c>
      <c r="B12" t="inlineStr">
        <is>
          <t>SER-LIX-SAMOSL</t>
        </is>
      </c>
      <c r="C12" t="inlineStr">
        <is>
          <t>WT-SL-TATE-SUBERI</t>
        </is>
      </c>
      <c r="D12" t="inlineStr">
        <is>
          <t>SP-SL-TATE-OP-TFT-IN</t>
        </is>
      </c>
      <c r="E12" t="inlineStr">
        <is>
          <t>VTFTPZU2</t>
        </is>
      </c>
      <c r="F12" t="inlineStr">
        <is>
          <t>縦すべりOP TFT FIX内押縁</t>
        </is>
      </c>
      <c r="G12" t="inlineStr">
        <is>
          <t>SL</t>
        </is>
      </c>
      <c r="H12" t="inlineStr">
        <is>
          <t>@SLVTFTPZU2-呼称-色記号</t>
        </is>
      </c>
      <c r="I12" t="b">
        <v>1</v>
      </c>
      <c r="J12" t="inlineStr">
        <is>
          <t>2026完成品価格表確認済み</t>
        </is>
      </c>
      <c r="K12" t="inlineStr">
        <is>
          <t>202604完成品価格表 P3-4</t>
        </is>
      </c>
      <c r="L12" t="inlineStr">
        <is>
          <t>https://drive.google.com/file/d/1YUN-mtWYs48YBUHJk0C3vJXnhjyZFHyf/view</t>
        </is>
      </c>
    </row>
    <row r="13">
      <c r="A13" t="inlineStr">
        <is>
          <t>PC-SL-010</t>
        </is>
      </c>
      <c r="B13" t="inlineStr">
        <is>
          <t>SER-LIX-SAMOSL</t>
        </is>
      </c>
      <c r="C13" t="inlineStr">
        <is>
          <t>WT-SL-TATE-SUBERI</t>
        </is>
      </c>
      <c r="D13" t="inlineStr">
        <is>
          <t>SP-SL-TATE-CAM-T</t>
        </is>
      </c>
      <c r="E13" t="inlineStr">
        <is>
          <t>VT2</t>
        </is>
      </c>
      <c r="F13" t="inlineStr">
        <is>
          <t>縦すべりCAM T</t>
        </is>
      </c>
      <c r="G13" t="inlineStr">
        <is>
          <t>SL</t>
        </is>
      </c>
      <c r="H13" t="inlineStr">
        <is>
          <t>@SLVT2-呼称-色記号</t>
        </is>
      </c>
      <c r="I13" t="b">
        <v>1</v>
      </c>
      <c r="J13" t="inlineStr">
        <is>
          <t>2026完成品価格表確認済み</t>
        </is>
      </c>
      <c r="K13" t="inlineStr">
        <is>
          <t>202604完成品価格表 P3-4</t>
        </is>
      </c>
      <c r="L13" t="inlineStr">
        <is>
          <t>https://drive.google.com/file/d/1YUN-mtWYs48YBUHJk0C3vJXnhjyZFHyf/view</t>
        </is>
      </c>
    </row>
    <row r="14">
      <c r="A14" t="inlineStr">
        <is>
          <t>PC-SL-011</t>
        </is>
      </c>
      <c r="B14" t="inlineStr">
        <is>
          <t>SER-LIX-SAMOSL</t>
        </is>
      </c>
      <c r="C14" t="inlineStr">
        <is>
          <t>WT-SL-TATE-SUBERI</t>
        </is>
      </c>
      <c r="D14" t="inlineStr">
        <is>
          <t>SP-SL-TATE-CAM-TF-OUT</t>
        </is>
      </c>
      <c r="E14" t="inlineStr">
        <is>
          <t>VTFZ2</t>
        </is>
      </c>
      <c r="F14" t="inlineStr">
        <is>
          <t>縦すべりCAM TF FIX外押縁</t>
        </is>
      </c>
      <c r="G14" t="inlineStr">
        <is>
          <t>SL</t>
        </is>
      </c>
      <c r="H14" t="inlineStr">
        <is>
          <t>@SLVTFZ2-呼称-色記号</t>
        </is>
      </c>
      <c r="I14" t="b">
        <v>1</v>
      </c>
      <c r="J14" t="inlineStr">
        <is>
          <t>2026完成品価格表確認済み</t>
        </is>
      </c>
      <c r="K14" t="inlineStr">
        <is>
          <t>202604完成品価格表 P3-4</t>
        </is>
      </c>
      <c r="L14" t="inlineStr">
        <is>
          <t>https://drive.google.com/file/d/1YUN-mtWYs48YBUHJk0C3vJXnhjyZFHyf/view</t>
        </is>
      </c>
    </row>
    <row r="15">
      <c r="A15" t="inlineStr">
        <is>
          <t>PC-SL-012</t>
        </is>
      </c>
      <c r="B15" t="inlineStr">
        <is>
          <t>SER-LIX-SAMOSL</t>
        </is>
      </c>
      <c r="C15" t="inlineStr">
        <is>
          <t>WT-SL-TATE-SUBERI</t>
        </is>
      </c>
      <c r="D15" t="inlineStr">
        <is>
          <t>SP-SL-TATE-CAM-TFT-OUT</t>
        </is>
      </c>
      <c r="E15" t="inlineStr">
        <is>
          <t>VTFTZ2</t>
        </is>
      </c>
      <c r="F15" t="inlineStr">
        <is>
          <t>縦すべりCAM TFT FIX外押縁</t>
        </is>
      </c>
      <c r="G15" t="inlineStr">
        <is>
          <t>SL</t>
        </is>
      </c>
      <c r="H15" t="inlineStr">
        <is>
          <t>@SLVTFTZ2-呼称-色記号</t>
        </is>
      </c>
      <c r="I15" t="b">
        <v>1</v>
      </c>
      <c r="J15" t="inlineStr">
        <is>
          <t>2026完成品価格表確認済み</t>
        </is>
      </c>
      <c r="K15" t="inlineStr">
        <is>
          <t>202604完成品価格表 P3-4</t>
        </is>
      </c>
      <c r="L15" t="inlineStr">
        <is>
          <t>https://drive.google.com/file/d/1YUN-mtWYs48YBUHJk0C3vJXnhjyZFHyf/view</t>
        </is>
      </c>
    </row>
    <row r="16">
      <c r="A16" t="inlineStr">
        <is>
          <t>PC-SL-013</t>
        </is>
      </c>
      <c r="B16" t="inlineStr">
        <is>
          <t>SER-LIX-SAMOSL</t>
        </is>
      </c>
      <c r="C16" t="inlineStr">
        <is>
          <t>WT-SL-TATE-SUBERI</t>
        </is>
      </c>
      <c r="D16" t="inlineStr">
        <is>
          <t>SP-SL-TATE-CAM-TF-IN</t>
        </is>
      </c>
      <c r="E16" t="inlineStr">
        <is>
          <t>VTFZU2</t>
        </is>
      </c>
      <c r="F16" t="inlineStr">
        <is>
          <t>縦すべりCAM TF FIX内押縁</t>
        </is>
      </c>
      <c r="G16" t="inlineStr">
        <is>
          <t>SL</t>
        </is>
      </c>
      <c r="H16" t="inlineStr">
        <is>
          <t>@SLVTFZU2-呼称-色記号</t>
        </is>
      </c>
      <c r="I16" t="b">
        <v>1</v>
      </c>
      <c r="J16" t="inlineStr">
        <is>
          <t>2026完成品価格表確認済み</t>
        </is>
      </c>
      <c r="K16" t="inlineStr">
        <is>
          <t>202604完成品価格表 P3-4</t>
        </is>
      </c>
      <c r="L16" t="inlineStr">
        <is>
          <t>https://drive.google.com/file/d/1YUN-mtWYs48YBUHJk0C3vJXnhjyZFHyf/view</t>
        </is>
      </c>
    </row>
    <row r="17">
      <c r="A17" t="inlineStr">
        <is>
          <t>PC-SL-014</t>
        </is>
      </c>
      <c r="B17" t="inlineStr">
        <is>
          <t>SER-LIX-SAMOSL</t>
        </is>
      </c>
      <c r="C17" t="inlineStr">
        <is>
          <t>WT-SL-TATE-SUBERI</t>
        </is>
      </c>
      <c r="D17" t="inlineStr">
        <is>
          <t>SP-SL-TATE-CAM-TFT-IN</t>
        </is>
      </c>
      <c r="E17" t="inlineStr">
        <is>
          <t>VTFTZU2</t>
        </is>
      </c>
      <c r="F17" t="inlineStr">
        <is>
          <t>縦すべりCAM TFT FIX内押縁</t>
        </is>
      </c>
      <c r="G17" t="inlineStr">
        <is>
          <t>SL</t>
        </is>
      </c>
      <c r="H17" t="inlineStr">
        <is>
          <t>@SLVTFTZU2-呼称-色記号</t>
        </is>
      </c>
      <c r="I17" t="b">
        <v>1</v>
      </c>
      <c r="J17" t="inlineStr">
        <is>
          <t>2026完成品価格表確認済み</t>
        </is>
      </c>
      <c r="K17" t="inlineStr">
        <is>
          <t>202604完成品価格表 P3-4</t>
        </is>
      </c>
      <c r="L17" t="inlineStr">
        <is>
          <t>https://drive.google.com/file/d/1YUN-mtWYs48YBUHJk0C3vJXnhjyZFHyf/view</t>
        </is>
      </c>
    </row>
    <row r="18">
      <c r="A18" t="inlineStr">
        <is>
          <t>PC-SL-015</t>
        </is>
      </c>
      <c r="B18" t="inlineStr">
        <is>
          <t>SER-LIX-SAMOSL</t>
        </is>
      </c>
      <c r="C18" t="inlineStr">
        <is>
          <t>WT-SL-YOKO-SUBERI</t>
        </is>
      </c>
      <c r="D18" t="inlineStr">
        <is>
          <t>SP-SL-YOKO-OP</t>
        </is>
      </c>
      <c r="E18" t="inlineStr">
        <is>
          <t>VSP2</t>
        </is>
      </c>
      <c r="F18" t="inlineStr">
        <is>
          <t>横すべりOP</t>
        </is>
      </c>
      <c r="G18" t="inlineStr">
        <is>
          <t>SL</t>
        </is>
      </c>
      <c r="H18" t="inlineStr">
        <is>
          <t>@SLVSP2-呼称-色記号</t>
        </is>
      </c>
      <c r="I18" t="b">
        <v>1</v>
      </c>
      <c r="J18" t="inlineStr">
        <is>
          <t>2026完成品価格表確認済み</t>
        </is>
      </c>
      <c r="K18" t="inlineStr">
        <is>
          <t>202604完成品価格表 P3-4</t>
        </is>
      </c>
      <c r="L18" t="inlineStr">
        <is>
          <t>https://drive.google.com/file/d/1YUN-mtWYs48YBUHJk0C3vJXnhjyZFHyf/view</t>
        </is>
      </c>
    </row>
    <row r="19">
      <c r="A19" t="inlineStr">
        <is>
          <t>PC-SL-016</t>
        </is>
      </c>
      <c r="B19" t="inlineStr">
        <is>
          <t>SER-LIX-SAMOSL</t>
        </is>
      </c>
      <c r="C19" t="inlineStr">
        <is>
          <t>WT-SL-YOKO-SUBERI</t>
        </is>
      </c>
      <c r="D19" t="inlineStr">
        <is>
          <t>SP-SL-YOKO-CAM</t>
        </is>
      </c>
      <c r="E19" t="inlineStr">
        <is>
          <t>VS2</t>
        </is>
      </c>
      <c r="F19" t="inlineStr">
        <is>
          <t>横すべりCAM</t>
        </is>
      </c>
      <c r="G19" t="inlineStr">
        <is>
          <t>SL</t>
        </is>
      </c>
      <c r="H19" t="inlineStr">
        <is>
          <t>@SLVS2-呼称-色記号</t>
        </is>
      </c>
      <c r="I19" t="b">
        <v>1</v>
      </c>
      <c r="J19" t="inlineStr">
        <is>
          <t>2026完成品価格表確認済み</t>
        </is>
      </c>
      <c r="K19" t="inlineStr">
        <is>
          <t>202604完成品価格表 P3-4</t>
        </is>
      </c>
      <c r="L19" t="inlineStr">
        <is>
          <t>https://drive.google.com/file/d/1YUN-mtWYs48YBUHJk0C3vJXnhjyZFHyf/view</t>
        </is>
      </c>
    </row>
    <row r="20">
      <c r="A20" t="inlineStr">
        <is>
          <t>PC-SL-017</t>
        </is>
      </c>
      <c r="B20" t="inlineStr">
        <is>
          <t>SER-LIX-SAMOSL</t>
        </is>
      </c>
      <c r="C20" t="inlineStr">
        <is>
          <t>WT-SL-KOSHO-YOKO</t>
        </is>
      </c>
      <c r="D20" t="inlineStr">
        <is>
          <t>*</t>
        </is>
      </c>
      <c r="E20" t="inlineStr">
        <is>
          <t>VSH2</t>
        </is>
      </c>
      <c r="F20" t="inlineStr">
        <is>
          <t>高所用横すべり</t>
        </is>
      </c>
      <c r="G20" t="inlineStr">
        <is>
          <t>SL</t>
        </is>
      </c>
      <c r="H20" t="inlineStr">
        <is>
          <t>@SLVSH2-呼称-色記号</t>
        </is>
      </c>
      <c r="I20" t="b">
        <v>1</v>
      </c>
      <c r="J20" t="inlineStr">
        <is>
          <t>2026完成品価格表確認済み</t>
        </is>
      </c>
      <c r="K20" t="inlineStr">
        <is>
          <t>202604完成品価格表 P3-4</t>
        </is>
      </c>
      <c r="L20" t="inlineStr">
        <is>
          <t>https://drive.google.com/file/d/1YUN-mtWYs48YBUHJk0C3vJXnhjyZFHyf/view</t>
        </is>
      </c>
    </row>
    <row r="21">
      <c r="A21" t="inlineStr">
        <is>
          <t>PC-SL-018</t>
        </is>
      </c>
      <c r="B21" t="inlineStr">
        <is>
          <t>SER-LIX-SAMOSL</t>
        </is>
      </c>
      <c r="C21" t="inlineStr">
        <is>
          <t>WT-SL-AGE-SAGE-FS</t>
        </is>
      </c>
      <c r="E21" t="inlineStr">
        <is>
          <t>VUSF1</t>
        </is>
      </c>
      <c r="F21" t="inlineStr">
        <is>
          <t>上げ下げ窓FS</t>
        </is>
      </c>
      <c r="G21" t="inlineStr">
        <is>
          <t>SL</t>
        </is>
      </c>
      <c r="H21" t="inlineStr">
        <is>
          <t>@SLVUSF1-呼称-色記号</t>
        </is>
      </c>
      <c r="I21" t="b">
        <v>1</v>
      </c>
      <c r="J21" t="inlineStr">
        <is>
          <t>2026完成品価格表確認済み</t>
        </is>
      </c>
      <c r="K21" t="inlineStr">
        <is>
          <t>202604完成品価格表 P3-4</t>
        </is>
      </c>
      <c r="L21" t="inlineStr">
        <is>
          <t>https://drive.google.com/file/d/1YUN-mtWYs48YBUHJk0C3vJXnhjyZFHyf/view</t>
        </is>
      </c>
    </row>
    <row r="22">
      <c r="A22" t="inlineStr">
        <is>
          <t>PC-SL-019</t>
        </is>
      </c>
      <c r="B22" t="inlineStr">
        <is>
          <t>SER-LIX-SAMOSL</t>
        </is>
      </c>
      <c r="C22" t="inlineStr">
        <is>
          <t>WT-SL-MENKOSHI-AGE-FS</t>
        </is>
      </c>
      <c r="D22" t="inlineStr">
        <is>
          <t>*</t>
        </is>
      </c>
      <c r="E22" t="inlineStr">
        <is>
          <t>VUSFM1</t>
        </is>
      </c>
      <c r="F22" t="inlineStr">
        <is>
          <t>面格子付上げ下げ窓FS</t>
        </is>
      </c>
      <c r="G22" t="inlineStr">
        <is>
          <t>SL</t>
        </is>
      </c>
      <c r="H22" t="inlineStr">
        <is>
          <t>@SLVUSFM1-呼称-色記号</t>
        </is>
      </c>
      <c r="I22" t="b">
        <v>1</v>
      </c>
      <c r="J22" t="inlineStr">
        <is>
          <t>2026完成品価格表確認済み</t>
        </is>
      </c>
      <c r="K22" t="inlineStr">
        <is>
          <t>202604完成品価格表 P3-4</t>
        </is>
      </c>
      <c r="L22" t="inlineStr">
        <is>
          <t>https://drive.google.com/file/d/1YUN-mtWYs48YBUHJk0C3vJXnhjyZFHyf/view</t>
        </is>
      </c>
    </row>
    <row r="23">
      <c r="A23" t="inlineStr">
        <is>
          <t>PC-SL-020</t>
        </is>
      </c>
      <c r="B23" t="inlineStr">
        <is>
          <t>SER-LIX-SAMOSL</t>
        </is>
      </c>
      <c r="C23" t="inlineStr">
        <is>
          <t>WT-SL-FIX-OUT</t>
        </is>
      </c>
      <c r="E23" t="inlineStr">
        <is>
          <t>VF1</t>
        </is>
      </c>
      <c r="F23" t="inlineStr">
        <is>
          <t>FIX外押縁</t>
        </is>
      </c>
      <c r="G23" t="inlineStr">
        <is>
          <t>SL</t>
        </is>
      </c>
      <c r="H23" t="inlineStr">
        <is>
          <t>@SLVF1-呼称-色記号</t>
        </is>
      </c>
      <c r="I23" t="b">
        <v>1</v>
      </c>
      <c r="J23" t="inlineStr">
        <is>
          <t>2026完成品価格表確認済み</t>
        </is>
      </c>
      <c r="K23" t="inlineStr">
        <is>
          <t>202604完成品価格表 P3-4</t>
        </is>
      </c>
      <c r="L23" t="inlineStr">
        <is>
          <t>https://drive.google.com/file/d/1YUN-mtWYs48YBUHJk0C3vJXnhjyZFHyf/view</t>
        </is>
      </c>
    </row>
    <row r="24">
      <c r="A24" t="inlineStr">
        <is>
          <t>PC-SL-021</t>
        </is>
      </c>
      <c r="B24" t="inlineStr">
        <is>
          <t>SER-LIX-SAMOSL</t>
        </is>
      </c>
      <c r="C24" t="inlineStr">
        <is>
          <t>WT-SL-FIX-IN</t>
        </is>
      </c>
      <c r="E24" t="inlineStr">
        <is>
          <t>VFU1</t>
        </is>
      </c>
      <c r="F24" t="inlineStr">
        <is>
          <t>FIX内押縁</t>
        </is>
      </c>
      <c r="G24" t="inlineStr">
        <is>
          <t>SL</t>
        </is>
      </c>
      <c r="H24" t="inlineStr">
        <is>
          <t>@SLVFU1-呼称-色記号</t>
        </is>
      </c>
      <c r="I24" t="b">
        <v>1</v>
      </c>
      <c r="J24" t="inlineStr">
        <is>
          <t>2026完成品価格表確認済み</t>
        </is>
      </c>
      <c r="K24" t="inlineStr">
        <is>
          <t>202604完成品価格表 P3-4</t>
        </is>
      </c>
      <c r="L24" t="inlineStr">
        <is>
          <t>https://drive.google.com/file/d/1YUN-mtWYs48YBUHJk0C3vJXnhjyZFHyf/view</t>
        </is>
      </c>
    </row>
    <row r="25">
      <c r="A25" t="inlineStr">
        <is>
          <t>PC-SL-022</t>
        </is>
      </c>
      <c r="B25" t="inlineStr">
        <is>
          <t>SER-LIX-SAMOSL</t>
        </is>
      </c>
      <c r="C25" t="inlineStr">
        <is>
          <t>WT-SL-UCHIDAOSHI</t>
        </is>
      </c>
      <c r="E25" t="inlineStr">
        <is>
          <t>VU1</t>
        </is>
      </c>
      <c r="F25" t="inlineStr">
        <is>
          <t>内倒し窓</t>
        </is>
      </c>
      <c r="G25" t="inlineStr">
        <is>
          <t>SL</t>
        </is>
      </c>
      <c r="H25" t="inlineStr">
        <is>
          <t>@SLVU1-呼称-色記号</t>
        </is>
      </c>
      <c r="I25" t="b">
        <v>1</v>
      </c>
      <c r="J25" t="inlineStr">
        <is>
          <t>2026完成品価格表確認済み</t>
        </is>
      </c>
      <c r="K25" t="inlineStr">
        <is>
          <t>202604完成品価格表 P3-4</t>
        </is>
      </c>
      <c r="L25" t="inlineStr">
        <is>
          <t>https://drive.google.com/file/d/1YUN-mtWYs48YBUHJk0C3vJXnhjyZFHyf/view</t>
        </is>
      </c>
    </row>
    <row r="26">
      <c r="A26" t="inlineStr">
        <is>
          <t>PC-SL-023</t>
        </is>
      </c>
      <c r="B26" t="inlineStr">
        <is>
          <t>SER-LIX-SAMOSL</t>
        </is>
      </c>
      <c r="C26" t="inlineStr">
        <is>
          <t>WT-SL-SOTODAOSHI</t>
        </is>
      </c>
      <c r="D26" t="inlineStr">
        <is>
          <t>SP-SL-OUTWARD-E</t>
        </is>
      </c>
      <c r="E26" t="inlineStr">
        <is>
          <t>VE1</t>
        </is>
      </c>
      <c r="F26" t="inlineStr">
        <is>
          <t>外倒し窓 E</t>
        </is>
      </c>
      <c r="G26" t="inlineStr">
        <is>
          <t>SL</t>
        </is>
      </c>
      <c r="H26" t="inlineStr">
        <is>
          <t>@SLVE1-呼称-色記号</t>
        </is>
      </c>
      <c r="I26" t="b">
        <v>1</v>
      </c>
      <c r="J26" t="inlineStr">
        <is>
          <t>2026完成品価格表確認済み</t>
        </is>
      </c>
      <c r="K26" t="inlineStr">
        <is>
          <t>202604完成品価格表 P3-4</t>
        </is>
      </c>
      <c r="L26" t="inlineStr">
        <is>
          <t>https://drive.google.com/file/d/1YUN-mtWYs48YBUHJk0C3vJXnhjyZFHyf/view</t>
        </is>
      </c>
    </row>
    <row r="27">
      <c r="A27" t="inlineStr">
        <is>
          <t>PC-SL-024</t>
        </is>
      </c>
      <c r="B27" t="inlineStr">
        <is>
          <t>SER-LIX-SAMOSL</t>
        </is>
      </c>
      <c r="C27" t="inlineStr">
        <is>
          <t>WT-SL-SOTODAOSHI</t>
        </is>
      </c>
      <c r="D27" t="inlineStr">
        <is>
          <t>SP-SL-OUTWARD-EE</t>
        </is>
      </c>
      <c r="E27" t="inlineStr">
        <is>
          <t>VEE2</t>
        </is>
      </c>
      <c r="F27" t="inlineStr">
        <is>
          <t>外倒し窓 EE</t>
        </is>
      </c>
      <c r="G27" t="inlineStr">
        <is>
          <t>SL</t>
        </is>
      </c>
      <c r="H27" t="inlineStr">
        <is>
          <t>@SLVEE2-呼称-色記号</t>
        </is>
      </c>
      <c r="I27" t="b">
        <v>1</v>
      </c>
      <c r="J27" t="inlineStr">
        <is>
          <t>2026完成品価格表確認済み</t>
        </is>
      </c>
      <c r="K27" t="inlineStr">
        <is>
          <t>202604完成品価格表 P3-4</t>
        </is>
      </c>
      <c r="L27" t="inlineStr">
        <is>
          <t>https://drive.google.com/file/d/1YUN-mtWYs48YBUHJk0C3vJXnhjyZFHyf/view</t>
        </is>
      </c>
    </row>
    <row r="28">
      <c r="A28" t="inlineStr">
        <is>
          <t>PC-SL-025</t>
        </is>
      </c>
      <c r="B28" t="inlineStr">
        <is>
          <t>SER-LIX-SAMOSL</t>
        </is>
      </c>
      <c r="C28" t="inlineStr">
        <is>
          <t>WT-SL-KAZARI-HIKI</t>
        </is>
      </c>
      <c r="D28" t="inlineStr">
        <is>
          <t>SP-SL-KAZARI-H</t>
        </is>
      </c>
      <c r="E28" t="inlineStr">
        <is>
          <t>VH1</t>
        </is>
      </c>
      <c r="F28" t="inlineStr">
        <is>
          <t>装飾引違い H</t>
        </is>
      </c>
      <c r="G28" t="inlineStr">
        <is>
          <t>SL</t>
        </is>
      </c>
      <c r="H28" t="inlineStr">
        <is>
          <t>@SLVH1-呼称-色記号</t>
        </is>
      </c>
      <c r="I28" t="b">
        <v>1</v>
      </c>
      <c r="J28" t="inlineStr">
        <is>
          <t>2026完成品価格表確認済み</t>
        </is>
      </c>
      <c r="K28" t="inlineStr">
        <is>
          <t>202604完成品価格表 P3-4</t>
        </is>
      </c>
      <c r="L28" t="inlineStr">
        <is>
          <t>https://drive.google.com/file/d/1YUN-mtWYs48YBUHJk0C3vJXnhjyZFHyf/view</t>
        </is>
      </c>
    </row>
    <row r="29">
      <c r="A29" t="inlineStr">
        <is>
          <t>PC-SL-026</t>
        </is>
      </c>
      <c r="B29" t="inlineStr">
        <is>
          <t>SER-LIX-SAMOSL</t>
        </is>
      </c>
      <c r="C29" t="inlineStr">
        <is>
          <t>WT-SL-KAZARI-HIKI</t>
        </is>
      </c>
      <c r="D29" t="inlineStr">
        <is>
          <t>SP-SL-KAZARI-HK</t>
        </is>
      </c>
      <c r="E29" t="inlineStr">
        <is>
          <t>VHK1</t>
        </is>
      </c>
      <c r="F29" t="inlineStr">
        <is>
          <t>装飾引違い HK</t>
        </is>
      </c>
      <c r="G29" t="inlineStr">
        <is>
          <t>SL</t>
        </is>
      </c>
      <c r="H29" t="inlineStr">
        <is>
          <t>@SLVHK1-呼称-色記号</t>
        </is>
      </c>
      <c r="I29" t="b">
        <v>1</v>
      </c>
      <c r="J29" t="inlineStr">
        <is>
          <t>2026完成品価格表確認済み</t>
        </is>
      </c>
      <c r="K29" t="inlineStr">
        <is>
          <t>202604完成品価格表 P3-4</t>
        </is>
      </c>
      <c r="L29" t="inlineStr">
        <is>
          <t>https://drive.google.com/file/d/1YUN-mtWYs48YBUHJk0C3vJXnhjyZFHyf/view</t>
        </is>
      </c>
    </row>
    <row r="30">
      <c r="A30" t="inlineStr">
        <is>
          <t>PC-SL-027</t>
        </is>
      </c>
      <c r="B30" t="inlineStr">
        <is>
          <t>SER-LIX-SAMOSL</t>
        </is>
      </c>
      <c r="C30" t="inlineStr">
        <is>
          <t>WT-SL-KAZARI-HIKI</t>
        </is>
      </c>
      <c r="D30" t="inlineStr">
        <is>
          <t>SP-SL-KAZARI-HKK</t>
        </is>
      </c>
      <c r="E30" t="inlineStr">
        <is>
          <t>VHKK1</t>
        </is>
      </c>
      <c r="F30" t="inlineStr">
        <is>
          <t>装飾引違い HKK</t>
        </is>
      </c>
      <c r="G30" t="inlineStr">
        <is>
          <t>SL</t>
        </is>
      </c>
      <c r="H30" t="inlineStr">
        <is>
          <t>@SLVHKK1-呼称-色記号</t>
        </is>
      </c>
      <c r="I30" t="b">
        <v>1</v>
      </c>
      <c r="J30" t="inlineStr">
        <is>
          <t>2026完成品価格表確認済み</t>
        </is>
      </c>
      <c r="K30" t="inlineStr">
        <is>
          <t>202604完成品価格表 P3-4</t>
        </is>
      </c>
      <c r="L30" t="inlineStr">
        <is>
          <t>https://drive.google.com/file/d/1YUN-mtWYs48YBUHJk0C3vJXnhjyZFHyf/view</t>
        </is>
      </c>
    </row>
    <row r="31">
      <c r="A31" t="inlineStr">
        <is>
          <t>PC-SL-028</t>
        </is>
      </c>
      <c r="B31" t="inlineStr">
        <is>
          <t>SER-LIX-SAMOSL</t>
        </is>
      </c>
      <c r="C31" t="inlineStr">
        <is>
          <t>WT-SL-TERRACE-DOOR</t>
        </is>
      </c>
      <c r="E31" t="inlineStr">
        <is>
          <t>TD1</t>
        </is>
      </c>
      <c r="F31" t="inlineStr">
        <is>
          <t>テラスドア</t>
        </is>
      </c>
      <c r="G31" t="inlineStr">
        <is>
          <t>SL</t>
        </is>
      </c>
      <c r="H31" t="inlineStr">
        <is>
          <t>@SLTD1-呼称-色記号</t>
        </is>
      </c>
      <c r="I31" t="b">
        <v>1</v>
      </c>
      <c r="J31" t="inlineStr">
        <is>
          <t>2026完成品価格表確認済み</t>
        </is>
      </c>
      <c r="K31" t="inlineStr">
        <is>
          <t>202604完成品価格表 P3-4</t>
        </is>
      </c>
      <c r="L31" t="inlineStr">
        <is>
          <t>https://drive.google.com/file/d/1YUN-mtWYs48YBUHJk0C3vJXnhjyZFHyf/view</t>
        </is>
      </c>
    </row>
    <row r="32">
      <c r="A32" t="inlineStr">
        <is>
          <t>PC-SL-029</t>
        </is>
      </c>
      <c r="B32" t="inlineStr">
        <is>
          <t>SER-LIX-SAMOSL</t>
        </is>
      </c>
      <c r="C32" t="inlineStr">
        <is>
          <t>WT-SL-KATTEGUCHI-VENT-FS</t>
        </is>
      </c>
      <c r="E32" t="inlineStr">
        <is>
          <t>KSF1</t>
        </is>
      </c>
      <c r="F32" t="inlineStr">
        <is>
          <t>採風勝手口ドアFS</t>
        </is>
      </c>
      <c r="G32" t="inlineStr">
        <is>
          <t>SL</t>
        </is>
      </c>
      <c r="H32" t="inlineStr">
        <is>
          <t>@SLKSF1-呼称-色記号</t>
        </is>
      </c>
      <c r="I32" t="b">
        <v>1</v>
      </c>
      <c r="J32" t="inlineStr">
        <is>
          <t>2026完成品価格表確認済み</t>
        </is>
      </c>
      <c r="K32" t="inlineStr">
        <is>
          <t>202604完成品価格表 P3-4</t>
        </is>
      </c>
      <c r="L32" t="inlineStr">
        <is>
          <t>https://drive.google.com/file/d/1YUN-mtWYs48YBUHJk0C3vJXnhjyZFHyf/view</t>
        </is>
      </c>
    </row>
    <row r="33">
      <c r="A33" t="inlineStr">
        <is>
          <t>PC-SL-030</t>
        </is>
      </c>
      <c r="B33" t="inlineStr">
        <is>
          <t>SER-LIX-SAMOSL</t>
        </is>
      </c>
      <c r="C33" t="inlineStr">
        <is>
          <t>WT-SL-KATTEGUCHI</t>
        </is>
      </c>
      <c r="D33" t="inlineStr">
        <is>
          <t>*</t>
        </is>
      </c>
      <c r="E33" t="inlineStr">
        <is>
          <t>KD1</t>
        </is>
      </c>
      <c r="F33" t="inlineStr">
        <is>
          <t>勝手口ドア</t>
        </is>
      </c>
      <c r="G33" t="inlineStr">
        <is>
          <t>SL</t>
        </is>
      </c>
      <c r="H33" t="inlineStr">
        <is>
          <t>@SLKD1-呼称-色記号</t>
        </is>
      </c>
      <c r="I33" t="b">
        <v>1</v>
      </c>
      <c r="J33" t="inlineStr">
        <is>
          <t>2026完成品価格表確認済み</t>
        </is>
      </c>
      <c r="K33" t="inlineStr">
        <is>
          <t>202604完成品価格表 P3-4</t>
        </is>
      </c>
      <c r="L33" t="inlineStr">
        <is>
          <t>https://drive.google.com/file/d/1YUN-mtWYs48YBUHJk0C3vJXnhjyZFHyf/view</t>
        </is>
      </c>
    </row>
  </sheetData>
  <mergeCells count="2">
    <mergeCell ref="A2:L2"/>
    <mergeCell ref="A1:L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8" customWidth="1" style="51" min="1" max="1"/>
    <col width="20" customWidth="1" style="51" min="2" max="2"/>
    <col width="20" customWidth="1" style="51" min="3" max="3"/>
    <col width="20" customWidth="1" style="51" min="4" max="4"/>
    <col width="12" customWidth="1" style="51" min="5" max="5"/>
    <col width="12" customWidth="1" style="51" min="6" max="6"/>
    <col width="12" customWidth="1" style="51" min="7" max="7"/>
    <col width="8" customWidth="1" style="51" min="8" max="8"/>
    <col width="28" customWidth="1" style="51" min="9" max="9"/>
    <col width="46" customWidth="1" style="51" min="10" max="10"/>
  </cols>
  <sheetData>
    <row r="1">
      <c r="A1" s="240" t="inlineStr">
        <is>
          <t>色記号マスター｜サーモスL v0.7-R1</t>
        </is>
      </c>
      <c r="B1" s="41" t="n"/>
      <c r="C1" s="41" t="n"/>
      <c r="D1" s="41" t="n"/>
      <c r="E1" s="41" t="n"/>
      <c r="F1" s="41" t="n"/>
      <c r="G1" s="41" t="n"/>
      <c r="H1" s="41" t="n"/>
      <c r="I1" s="41" t="n"/>
      <c r="J1" s="41" t="n"/>
    </row>
    <row r="2">
      <c r="A2" s="241" t="inlineStr">
        <is>
          <t>2026完成品価格表 P4 色記号一覧。07_色の6組合せと1対1でメーカーおすすめ品番へ使用。</t>
        </is>
      </c>
      <c r="B2" s="41" t="n"/>
      <c r="C2" s="41" t="n"/>
      <c r="D2" s="41" t="n"/>
      <c r="E2" s="41" t="n"/>
      <c r="F2" s="41" t="n"/>
      <c r="G2" s="41" t="n"/>
      <c r="H2" s="41" t="n"/>
      <c r="I2" s="41" t="n"/>
      <c r="J2" s="41" t="n"/>
    </row>
    <row r="3">
      <c r="A3" s="151" t="inlineStr">
        <is>
          <t>color_code_id</t>
        </is>
      </c>
      <c r="B3" s="151" t="inlineStr">
        <is>
          <t>color_relation_id</t>
        </is>
      </c>
      <c r="C3" s="151" t="inlineStr">
        <is>
          <t>外観色</t>
        </is>
      </c>
      <c r="D3" s="151" t="inlineStr">
        <is>
          <t>内観色</t>
        </is>
      </c>
      <c r="E3" s="151" t="inlineStr">
        <is>
          <t>外観色ID</t>
        </is>
      </c>
      <c r="F3" s="151" t="inlineStr">
        <is>
          <t>内観色ID</t>
        </is>
      </c>
      <c r="G3" s="151" t="inlineStr">
        <is>
          <t>色記号</t>
        </is>
      </c>
      <c r="H3" s="151" t="inlineStr">
        <is>
          <t>有効</t>
        </is>
      </c>
      <c r="I3" s="151" t="inlineStr">
        <is>
          <t>出典</t>
        </is>
      </c>
      <c r="J3" s="151" t="inlineStr">
        <is>
          <t>一次資料URL</t>
        </is>
      </c>
    </row>
    <row r="4">
      <c r="A4" t="inlineStr">
        <is>
          <t>CC-SL-HT</t>
        </is>
      </c>
      <c r="B4" t="inlineStr">
        <is>
          <t>COL-SL-H-T</t>
        </is>
      </c>
      <c r="C4" t="inlineStr">
        <is>
          <t>ダスクグレー</t>
        </is>
      </c>
      <c r="D4" t="inlineStr">
        <is>
          <t>ブラック</t>
        </is>
      </c>
      <c r="E4" t="inlineStr">
        <is>
          <t>H</t>
        </is>
      </c>
      <c r="F4" t="inlineStr">
        <is>
          <t>T</t>
        </is>
      </c>
      <c r="G4" t="inlineStr">
        <is>
          <t>HT</t>
        </is>
      </c>
      <c r="H4" t="b">
        <v>1</v>
      </c>
      <c r="I4" t="inlineStr">
        <is>
          <t>202604完成品価格表 P4</t>
        </is>
      </c>
      <c r="J4" t="inlineStr">
        <is>
          <t>https://drive.google.com/file/d/1YUN-mtWYs48YBUHJk0C3vJXnhjyZFHyf/view</t>
        </is>
      </c>
    </row>
    <row r="5">
      <c r="A5" t="inlineStr">
        <is>
          <t>CC-SL-TT</t>
        </is>
      </c>
      <c r="B5" t="inlineStr">
        <is>
          <t>COL-SL-T-T</t>
        </is>
      </c>
      <c r="C5" t="inlineStr">
        <is>
          <t>ブラック</t>
        </is>
      </c>
      <c r="D5" t="inlineStr">
        <is>
          <t>ブラック</t>
        </is>
      </c>
      <c r="E5" t="inlineStr">
        <is>
          <t>T</t>
        </is>
      </c>
      <c r="F5" t="inlineStr">
        <is>
          <t>T</t>
        </is>
      </c>
      <c r="G5" t="inlineStr">
        <is>
          <t>TT</t>
        </is>
      </c>
      <c r="H5" t="b">
        <v>1</v>
      </c>
      <c r="I5" t="inlineStr">
        <is>
          <t>P4</t>
        </is>
      </c>
      <c r="J5" t="inlineStr">
        <is>
          <t>https://drive.google.com/file/d/1YUN-mtWYs48YBUHJk0C3vJXnhjyZFHyf/view</t>
        </is>
      </c>
    </row>
    <row r="6">
      <c r="A6" t="inlineStr">
        <is>
          <t>CC-SL-GG</t>
        </is>
      </c>
      <c r="B6" t="inlineStr">
        <is>
          <t>COL-SL-G-G</t>
        </is>
      </c>
      <c r="C6" t="inlineStr">
        <is>
          <t>オータムブラウン</t>
        </is>
      </c>
      <c r="D6" t="inlineStr">
        <is>
          <t>オータムブラウン</t>
        </is>
      </c>
      <c r="E6" t="inlineStr">
        <is>
          <t>G</t>
        </is>
      </c>
      <c r="F6" t="inlineStr">
        <is>
          <t>G</t>
        </is>
      </c>
      <c r="G6" t="inlineStr">
        <is>
          <t>GG</t>
        </is>
      </c>
      <c r="H6" t="b">
        <v>1</v>
      </c>
      <c r="I6" t="inlineStr">
        <is>
          <t>P4</t>
        </is>
      </c>
      <c r="J6" t="inlineStr">
        <is>
          <t>https://drive.google.com/file/d/1YUN-mtWYs48YBUHJk0C3vJXnhjyZFHyf/view</t>
        </is>
      </c>
    </row>
    <row r="7">
      <c r="A7" t="inlineStr">
        <is>
          <t>CC-SL-KK</t>
        </is>
      </c>
      <c r="B7" t="inlineStr">
        <is>
          <t>COL-SL-K-K</t>
        </is>
      </c>
      <c r="C7" t="inlineStr">
        <is>
          <t>シャイングレー</t>
        </is>
      </c>
      <c r="D7" t="inlineStr">
        <is>
          <t>シャイングレー</t>
        </is>
      </c>
      <c r="E7" t="inlineStr">
        <is>
          <t>K</t>
        </is>
      </c>
      <c r="F7" t="inlineStr">
        <is>
          <t>K</t>
        </is>
      </c>
      <c r="G7" t="inlineStr">
        <is>
          <t>KK</t>
        </is>
      </c>
      <c r="H7" t="b">
        <v>1</v>
      </c>
      <c r="I7" t="inlineStr">
        <is>
          <t>P4</t>
        </is>
      </c>
      <c r="J7" t="inlineStr">
        <is>
          <t>https://drive.google.com/file/d/1YUN-mtWYs48YBUHJk0C3vJXnhjyZFHyf/view</t>
        </is>
      </c>
    </row>
    <row r="8">
      <c r="A8" t="inlineStr">
        <is>
          <t>CC-SL-DD</t>
        </is>
      </c>
      <c r="B8" t="inlineStr">
        <is>
          <t>COL-SL-D-D</t>
        </is>
      </c>
      <c r="C8" t="inlineStr">
        <is>
          <t>ナチュラルシルバー</t>
        </is>
      </c>
      <c r="D8" t="inlineStr">
        <is>
          <t>ナチュラルシルバー</t>
        </is>
      </c>
      <c r="E8" t="inlineStr">
        <is>
          <t>D</t>
        </is>
      </c>
      <c r="F8" t="inlineStr">
        <is>
          <t>D</t>
        </is>
      </c>
      <c r="G8" t="inlineStr">
        <is>
          <t>DD</t>
        </is>
      </c>
      <c r="H8" t="b">
        <v>1</v>
      </c>
      <c r="I8" t="inlineStr">
        <is>
          <t>P4</t>
        </is>
      </c>
      <c r="J8" t="inlineStr">
        <is>
          <t>https://drive.google.com/file/d/1YUN-mtWYs48YBUHJk0C3vJXnhjyZFHyf/view</t>
        </is>
      </c>
    </row>
    <row r="9">
      <c r="A9" t="inlineStr">
        <is>
          <t>CC-SL-WW</t>
        </is>
      </c>
      <c r="B9" t="inlineStr">
        <is>
          <t>COL-SL-W-W</t>
        </is>
      </c>
      <c r="C9" t="inlineStr">
        <is>
          <t>ホワイト</t>
        </is>
      </c>
      <c r="D9" t="inlineStr">
        <is>
          <t>ホワイト</t>
        </is>
      </c>
      <c r="E9" t="inlineStr">
        <is>
          <t>W</t>
        </is>
      </c>
      <c r="F9" t="inlineStr">
        <is>
          <t>W</t>
        </is>
      </c>
      <c r="G9" t="inlineStr">
        <is>
          <t>WW</t>
        </is>
      </c>
      <c r="H9" t="b">
        <v>1</v>
      </c>
      <c r="I9" t="inlineStr">
        <is>
          <t>P4</t>
        </is>
      </c>
      <c r="J9" t="inlineStr">
        <is>
          <t>https://drive.google.com/file/d/1YUN-mtWYs48YBUHJk0C3vJXnhjyZFHyf/view</t>
        </is>
      </c>
    </row>
  </sheetData>
  <mergeCells count="2">
    <mergeCell ref="A1:J1"/>
    <mergeCell ref="A2:J2"/>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W53"/>
  <sheetViews>
    <sheetView workbookViewId="0">
      <selection activeCell="A1" sqref="A1"/>
    </sheetView>
  </sheetViews>
  <sheetFormatPr baseColWidth="8" defaultRowHeight="15"/>
  <cols>
    <col width="18" customWidth="1" style="51" min="1" max="1"/>
    <col width="18" customWidth="1" style="51" min="2" max="2"/>
    <col width="28" customWidth="1" style="51" min="3" max="3"/>
    <col width="28" customWidth="1" style="51" min="4" max="4"/>
    <col width="18" customWidth="1" style="51" min="5" max="5"/>
    <col width="16" customWidth="1" style="51" min="6" max="6"/>
    <col width="22" customWidth="1" style="51" min="7" max="7"/>
    <col width="12" customWidth="1" style="51" min="8" max="8"/>
    <col width="12" customWidth="1" style="51" min="9" max="9"/>
    <col width="12" customWidth="1" style="51" min="10" max="10"/>
    <col width="12" customWidth="1" style="51" min="11" max="11"/>
    <col width="54" customWidth="1" style="51" min="12" max="12"/>
    <col width="42" customWidth="1" style="51" min="13" max="13"/>
    <col width="12" customWidth="1" style="51" min="14" max="14"/>
    <col width="42" customWidth="1" style="51" min="15" max="15"/>
    <col width="36" customWidth="1" style="51" min="16" max="16"/>
    <col width="8" customWidth="1" style="51" min="17" max="17"/>
    <col width="24" customWidth="1" style="51" min="18" max="18"/>
    <col width="12" customWidth="1" style="51" min="19" max="19"/>
    <col width="32" customWidth="1" style="51" min="20" max="20"/>
    <col width="46" customWidth="1" style="51" min="21" max="21"/>
    <col width="20" customWidth="1" style="51" min="22" max="22"/>
    <col width="46" customWidth="1" style="51" min="23" max="23"/>
  </cols>
  <sheetData>
    <row r="1">
      <c r="A1" s="240" t="inlineStr">
        <is>
          <t>寸法特注範囲マスター｜サーモスL v0.7-R1</t>
        </is>
      </c>
      <c r="B1" s="41" t="n"/>
      <c r="C1" s="41" t="n"/>
      <c r="D1" s="41" t="n"/>
      <c r="E1" s="41" t="n"/>
      <c r="F1" s="41" t="n"/>
      <c r="G1" s="41" t="n"/>
      <c r="H1" s="41" t="n"/>
      <c r="I1" s="41" t="n"/>
      <c r="J1" s="41" t="n"/>
      <c r="K1" s="41" t="n"/>
      <c r="L1" s="41" t="n"/>
      <c r="M1" s="41" t="n"/>
      <c r="N1" s="41" t="n"/>
      <c r="O1" s="41" t="n"/>
      <c r="P1" s="41" t="n"/>
      <c r="Q1" s="41" t="n"/>
      <c r="R1" s="41" t="n"/>
      <c r="S1" s="41" t="n"/>
      <c r="T1" s="41" t="n"/>
      <c r="U1" s="41" t="n"/>
      <c r="V1" s="41" t="n"/>
      <c r="W1" s="41" t="n"/>
    </row>
    <row r="2">
      <c r="A2" s="241" t="inlineStr">
        <is>
          <t>17現行窓種を全件カバー。数値・折線が明確な範囲はAUTO判定、複雑な曲線/性能別グラフはSOURCE_GRAPH_GATEとして安全側で原本確認へ送る。推測で可判定しない。</t>
        </is>
      </c>
      <c r="B2" s="41" t="n"/>
      <c r="C2" s="41" t="n"/>
      <c r="D2" s="41" t="n"/>
      <c r="E2" s="41" t="n"/>
      <c r="F2" s="41" t="n"/>
      <c r="G2" s="41" t="n"/>
      <c r="H2" s="41" t="n"/>
      <c r="I2" s="41" t="n"/>
      <c r="J2" s="41" t="n"/>
      <c r="K2" s="41" t="n"/>
      <c r="L2" s="41" t="n"/>
      <c r="M2" s="41" t="n"/>
      <c r="N2" s="41" t="n"/>
      <c r="O2" s="41" t="n"/>
      <c r="P2" s="41" t="n"/>
      <c r="Q2" s="41" t="n"/>
      <c r="R2" s="41" t="n"/>
      <c r="S2" s="41" t="n"/>
      <c r="T2" s="41" t="n"/>
      <c r="U2" s="41" t="n"/>
      <c r="V2" s="41" t="n"/>
      <c r="W2" s="41" t="n"/>
    </row>
    <row r="3">
      <c r="A3" s="151" t="inlineStr">
        <is>
          <t>range_id</t>
        </is>
      </c>
      <c r="B3" s="151" t="inlineStr">
        <is>
          <t>シリーズID</t>
        </is>
      </c>
      <c r="C3" s="151" t="inlineStr">
        <is>
          <t>窓種ID</t>
        </is>
      </c>
      <c r="D3" s="151" t="inlineStr">
        <is>
          <t>固有仕様ID</t>
        </is>
      </c>
      <c r="E3" s="151" t="inlineStr">
        <is>
          <t>構成/工法</t>
        </is>
      </c>
      <c r="F3" s="151" t="inlineStr">
        <is>
          <t>建具/枚数</t>
        </is>
      </c>
      <c r="G3" s="151" t="inlineStr">
        <is>
          <t>判定方式</t>
        </is>
      </c>
      <c r="H3" s="151" t="inlineStr">
        <is>
          <t>W_MIN</t>
        </is>
      </c>
      <c r="I3" s="151" t="inlineStr">
        <is>
          <t>W_MAX</t>
        </is>
      </c>
      <c r="J3" s="151" t="inlineStr">
        <is>
          <t>H_MIN</t>
        </is>
      </c>
      <c r="K3" s="151" t="inlineStr">
        <is>
          <t>H_MAX</t>
        </is>
      </c>
      <c r="L3" s="151" t="inlineStr">
        <is>
          <t>条件式/境界</t>
        </is>
      </c>
      <c r="M3" s="151" t="inlineStr">
        <is>
          <t>ポリゴン/区分</t>
        </is>
      </c>
      <c r="N3" s="151" t="inlineStr">
        <is>
          <t>自動判定</t>
        </is>
      </c>
      <c r="O3" s="151" t="inlineStr">
        <is>
          <t>特殊条件/部品</t>
        </is>
      </c>
      <c r="P3" s="151" t="inlineStr">
        <is>
          <t>ガラス条件</t>
        </is>
      </c>
      <c r="Q3" s="151" t="inlineStr">
        <is>
          <t>有効</t>
        </is>
      </c>
      <c r="R3" s="151" t="inlineStr">
        <is>
          <t>登録状態</t>
        </is>
      </c>
      <c r="S3" s="151" t="inlineStr">
        <is>
          <t>出典頁</t>
        </is>
      </c>
      <c r="T3" s="151" t="inlineStr">
        <is>
          <t>出典</t>
        </is>
      </c>
      <c r="U3" s="151" t="inlineStr">
        <is>
          <t>一次資料URL</t>
        </is>
      </c>
      <c r="V3" s="151" t="inlineStr">
        <is>
          <t>APP結果</t>
        </is>
      </c>
      <c r="W3" s="151" t="inlineStr">
        <is>
          <t>備考</t>
        </is>
      </c>
    </row>
    <row r="4">
      <c r="A4" s="42" t="inlineStr">
        <is>
          <t>CR-SL-001</t>
        </is>
      </c>
      <c r="B4" s="42" t="inlineStr">
        <is>
          <t>SER-LIX-SAMOSL</t>
        </is>
      </c>
      <c r="C4" s="42" t="inlineStr">
        <is>
          <t>WT-SL-HIKICHIGAI</t>
        </is>
      </c>
      <c r="D4" s="42" t="inlineStr">
        <is>
          <t>*</t>
        </is>
      </c>
      <c r="E4" s="42" t="inlineStr">
        <is>
          <t>在来/204/単純段差</t>
        </is>
      </c>
      <c r="F4" s="42" t="inlineStr">
        <is>
          <t>2枚/4枚</t>
        </is>
      </c>
      <c r="G4" s="42" t="inlineStr">
        <is>
          <t>SOURCE_GRAPH_GATE</t>
        </is>
      </c>
      <c r="H4" s="42" t="n">
        <v>630</v>
      </c>
      <c r="I4" s="42" t="n">
        <v>5500</v>
      </c>
      <c r="J4" s="42" t="n">
        <v>350</v>
      </c>
      <c r="K4" s="42" t="n">
        <v>2540</v>
      </c>
      <c r="L4" s="42" t="inlineStr">
        <is>
          <t>品種・枚数・工法・H/W比・PG/把手障子の複合グラフ</t>
        </is>
      </c>
      <c r="M4" s="42" t="inlineStr">
        <is>
          <t>P70 原本グラフ</t>
        </is>
      </c>
      <c r="N4" s="42" t="b">
        <v>0</v>
      </c>
      <c r="O4" s="42" t="inlineStr">
        <is>
          <t>2枚/4枚・マド/テラス・工法別</t>
        </is>
      </c>
      <c r="P4" s="42" t="inlineStr">
        <is>
          <t>ガラス面積/戸車耐荷重も評価</t>
        </is>
      </c>
      <c r="Q4" s="42" t="b">
        <v>1</v>
      </c>
      <c r="R4" s="42" t="inlineStr">
        <is>
          <t>本投入</t>
        </is>
      </c>
      <c r="S4" s="42" t="inlineStr">
        <is>
          <t>P70</t>
        </is>
      </c>
      <c r="T4" s="42" t="inlineStr">
        <is>
          <t>サーモスⅡ-H/L 商品カタログ</t>
        </is>
      </c>
      <c r="U4" s="42" t="inlineStr">
        <is>
          <t>https://webcatalog.lixil.co.jp/iportal/CatalogDetail.do?catalogID=15191910000&amp;categoryID=1630000&amp;designID=newinter&amp;method=initial_screen&amp;position=18&amp;type=mc&amp;volumeID=LXL13001</t>
        </is>
      </c>
      <c r="V4" s="42" t="inlineStr">
        <is>
          <t>REVIEW_REQUIRED</t>
        </is>
      </c>
      <c r="W4" s="42" t="str"/>
    </row>
    <row r="5">
      <c r="A5" s="42" t="inlineStr">
        <is>
          <t>CR-SL-002</t>
        </is>
      </c>
      <c r="B5" s="42" t="inlineStr">
        <is>
          <t>SER-LIX-SAMOSL</t>
        </is>
      </c>
      <c r="C5" s="42" t="inlineStr">
        <is>
          <t>WT-SL-SHUTTER-HIKI</t>
        </is>
      </c>
      <c r="D5" s="42" t="inlineStr">
        <is>
          <t>SP-SL-SHUT-E-STD</t>
        </is>
      </c>
      <c r="E5" s="42" t="inlineStr">
        <is>
          <t>在来/204</t>
        </is>
      </c>
      <c r="F5" s="42" t="inlineStr">
        <is>
          <t>2枚/4枚</t>
        </is>
      </c>
      <c r="G5" s="42" t="inlineStr">
        <is>
          <t>SOURCE_GRAPH_GATE</t>
        </is>
      </c>
      <c r="H5" s="42" t="n">
        <v>780</v>
      </c>
      <c r="I5" s="42" t="n">
        <v>5500</v>
      </c>
      <c r="J5" s="42" t="n">
        <v>350</v>
      </c>
      <c r="K5" s="42" t="n">
        <v>2540</v>
      </c>
      <c r="L5" s="42" t="inlineStr">
        <is>
          <t>シャッター性能色分け・工法・枚数・H/W比の複合グラフ</t>
        </is>
      </c>
      <c r="M5" s="42" t="inlineStr">
        <is>
          <t>P102 原本グラフ</t>
        </is>
      </c>
      <c r="N5" s="42" t="b">
        <v>0</v>
      </c>
      <c r="O5" s="42" t="inlineStr">
        <is>
          <t>電動はW&gt;=1185。連窓方立/有効開口拡大等の注記を同時評価</t>
        </is>
      </c>
      <c r="P5" s="42" t="inlineStr">
        <is>
          <t>ガラス構成により不可あり</t>
        </is>
      </c>
      <c r="Q5" s="42" t="b">
        <v>1</v>
      </c>
      <c r="R5" s="42" t="inlineStr">
        <is>
          <t>本投入</t>
        </is>
      </c>
      <c r="S5" s="42" t="inlineStr">
        <is>
          <t>P102</t>
        </is>
      </c>
      <c r="T5" s="42" t="inlineStr">
        <is>
          <t>サーモスⅡ-H/L 商品カタログ</t>
        </is>
      </c>
      <c r="U5" s="42" t="inlineStr">
        <is>
          <t>https://webcatalog.lixil.co.jp/iportal/CatalogDetail.do?catalogID=15191910000&amp;categoryID=1630000&amp;designID=newinter&amp;method=initial_screen&amp;position=18&amp;type=mc&amp;volumeID=LXL13001</t>
        </is>
      </c>
      <c r="V5" s="42" t="inlineStr">
        <is>
          <t>REVIEW_REQUIRED</t>
        </is>
      </c>
      <c r="W5" s="42" t="str"/>
    </row>
    <row r="6">
      <c r="A6" s="42" t="inlineStr">
        <is>
          <t>CR-SL-003</t>
        </is>
      </c>
      <c r="B6" s="42" t="inlineStr">
        <is>
          <t>SER-LIX-SAMOSL</t>
        </is>
      </c>
      <c r="C6" s="42" t="inlineStr">
        <is>
          <t>WT-SL-SHUTTER-HIKI</t>
        </is>
      </c>
      <c r="D6" s="42" t="inlineStr">
        <is>
          <t>SP-SL-SHUT-M-STD</t>
        </is>
      </c>
      <c r="E6" s="42" t="inlineStr">
        <is>
          <t>在来/204</t>
        </is>
      </c>
      <c r="F6" s="42" t="inlineStr">
        <is>
          <t>2枚/4枚</t>
        </is>
      </c>
      <c r="G6" s="42" t="inlineStr">
        <is>
          <t>SOURCE_GRAPH_GATE</t>
        </is>
      </c>
      <c r="H6" s="42" t="n">
        <v>780</v>
      </c>
      <c r="I6" s="42" t="n">
        <v>5500</v>
      </c>
      <c r="J6" s="42" t="n">
        <v>350</v>
      </c>
      <c r="K6" s="42" t="n">
        <v>2540</v>
      </c>
      <c r="L6" s="42" t="inlineStr">
        <is>
          <t>シャッター性能色分け・工法・枚数・H/W比の複合グラフ</t>
        </is>
      </c>
      <c r="M6" s="42" t="inlineStr">
        <is>
          <t>P102 原本グラフ</t>
        </is>
      </c>
      <c r="N6" s="42" t="b">
        <v>0</v>
      </c>
      <c r="O6" s="42" t="inlineStr">
        <is>
          <t>電動はW&gt;=1185。連窓方立/有効開口拡大等の注記を同時評価</t>
        </is>
      </c>
      <c r="P6" s="42" t="inlineStr">
        <is>
          <t>ガラス構成により不可あり</t>
        </is>
      </c>
      <c r="Q6" s="42" t="b">
        <v>1</v>
      </c>
      <c r="R6" s="42" t="inlineStr">
        <is>
          <t>本投入</t>
        </is>
      </c>
      <c r="S6" s="42" t="inlineStr">
        <is>
          <t>P102</t>
        </is>
      </c>
      <c r="T6" s="42" t="inlineStr">
        <is>
          <t>サーモスⅡ-H/L 商品カタログ</t>
        </is>
      </c>
      <c r="U6" s="42" t="inlineStr">
        <is>
          <t>https://webcatalog.lixil.co.jp/iportal/CatalogDetail.do?catalogID=15191910000&amp;categoryID=1630000&amp;designID=newinter&amp;method=initial_screen&amp;position=18&amp;type=mc&amp;volumeID=LXL13001</t>
        </is>
      </c>
      <c r="V6" s="42" t="inlineStr">
        <is>
          <t>REVIEW_REQUIRED</t>
        </is>
      </c>
      <c r="W6" s="42" t="str"/>
    </row>
    <row r="7">
      <c r="A7" s="42" t="inlineStr">
        <is>
          <t>CR-SL-004</t>
        </is>
      </c>
      <c r="B7" s="42" t="inlineStr">
        <is>
          <t>SER-LIX-SAMOSL</t>
        </is>
      </c>
      <c r="C7" s="42" t="inlineStr">
        <is>
          <t>WT-SL-SHUTTER-HIKI</t>
        </is>
      </c>
      <c r="D7" s="42" t="inlineStr">
        <is>
          <t>SP-SL-SHUT-E-VENT</t>
        </is>
      </c>
      <c r="E7" s="42" t="inlineStr">
        <is>
          <t>在来/204</t>
        </is>
      </c>
      <c r="F7" s="42" t="inlineStr">
        <is>
          <t>2枚/4枚</t>
        </is>
      </c>
      <c r="G7" s="42" t="inlineStr">
        <is>
          <t>SOURCE_GRAPH_GATE</t>
        </is>
      </c>
      <c r="H7" s="42" t="n">
        <v>780</v>
      </c>
      <c r="I7" s="42" t="n">
        <v>5500</v>
      </c>
      <c r="J7" s="42" t="n">
        <v>350</v>
      </c>
      <c r="K7" s="42" t="n">
        <v>2540</v>
      </c>
      <c r="L7" s="42" t="inlineStr">
        <is>
          <t>シャッター性能色分け・工法・枚数・H/W比の複合グラフ</t>
        </is>
      </c>
      <c r="M7" s="42" t="inlineStr">
        <is>
          <t>P104 原本グラフ</t>
        </is>
      </c>
      <c r="N7" s="42" t="b">
        <v>0</v>
      </c>
      <c r="O7" s="42" t="inlineStr">
        <is>
          <t>電動はW&gt;=1185。連窓方立/有効開口拡大等の注記を同時評価</t>
        </is>
      </c>
      <c r="P7" s="42" t="inlineStr">
        <is>
          <t>ガラス構成により不可あり</t>
        </is>
      </c>
      <c r="Q7" s="42" t="b">
        <v>1</v>
      </c>
      <c r="R7" s="42" t="inlineStr">
        <is>
          <t>本投入</t>
        </is>
      </c>
      <c r="S7" s="42" t="inlineStr">
        <is>
          <t>P104</t>
        </is>
      </c>
      <c r="T7" s="42" t="inlineStr">
        <is>
          <t>サーモスⅡ-H/L 商品カタログ</t>
        </is>
      </c>
      <c r="U7" s="42" t="inlineStr">
        <is>
          <t>https://webcatalog.lixil.co.jp/iportal/CatalogDetail.do?catalogID=15191910000&amp;categoryID=1630000&amp;designID=newinter&amp;method=initial_screen&amp;position=18&amp;type=mc&amp;volumeID=LXL13001</t>
        </is>
      </c>
      <c r="V7" s="42" t="inlineStr">
        <is>
          <t>REVIEW_REQUIRED</t>
        </is>
      </c>
      <c r="W7" s="42" t="str"/>
    </row>
    <row r="8">
      <c r="A8" s="42" t="inlineStr">
        <is>
          <t>CR-SL-005</t>
        </is>
      </c>
      <c r="B8" s="42" t="inlineStr">
        <is>
          <t>SER-LIX-SAMOSL</t>
        </is>
      </c>
      <c r="C8" s="42" t="inlineStr">
        <is>
          <t>WT-SL-SHUTTER-HIKI</t>
        </is>
      </c>
      <c r="D8" s="42" t="inlineStr">
        <is>
          <t>SP-SL-SHUT-E-WIND</t>
        </is>
      </c>
      <c r="E8" s="42" t="inlineStr">
        <is>
          <t>在来/204</t>
        </is>
      </c>
      <c r="F8" s="42" t="inlineStr">
        <is>
          <t>2枚/4枚</t>
        </is>
      </c>
      <c r="G8" s="42" t="inlineStr">
        <is>
          <t>SOURCE_GRAPH_GATE</t>
        </is>
      </c>
      <c r="H8" s="42" t="n">
        <v>780</v>
      </c>
      <c r="I8" s="42" t="n">
        <v>5500</v>
      </c>
      <c r="J8" s="42" t="n">
        <v>350</v>
      </c>
      <c r="K8" s="42" t="n">
        <v>2540</v>
      </c>
      <c r="L8" s="42" t="inlineStr">
        <is>
          <t>シャッター性能色分け・工法・枚数・H/W比の複合グラフ</t>
        </is>
      </c>
      <c r="M8" s="42" t="inlineStr">
        <is>
          <t>P106 原本グラフ</t>
        </is>
      </c>
      <c r="N8" s="42" t="b">
        <v>0</v>
      </c>
      <c r="O8" s="42" t="inlineStr">
        <is>
          <t>電動はW&gt;=1185。連窓方立/有効開口拡大等の注記を同時評価</t>
        </is>
      </c>
      <c r="P8" s="42" t="inlineStr">
        <is>
          <t>ガラス構成により不可あり</t>
        </is>
      </c>
      <c r="Q8" s="42" t="b">
        <v>1</v>
      </c>
      <c r="R8" s="42" t="inlineStr">
        <is>
          <t>本投入</t>
        </is>
      </c>
      <c r="S8" s="42" t="inlineStr">
        <is>
          <t>P106</t>
        </is>
      </c>
      <c r="T8" s="42" t="inlineStr">
        <is>
          <t>サーモスⅡ-H/L 商品カタログ</t>
        </is>
      </c>
      <c r="U8" s="42" t="inlineStr">
        <is>
          <t>https://webcatalog.lixil.co.jp/iportal/CatalogDetail.do?catalogID=15191910000&amp;categoryID=1630000&amp;designID=newinter&amp;method=initial_screen&amp;position=18&amp;type=mc&amp;volumeID=LXL13001</t>
        </is>
      </c>
      <c r="V8" s="42" t="inlineStr">
        <is>
          <t>REVIEW_REQUIRED</t>
        </is>
      </c>
      <c r="W8" s="42" t="str"/>
    </row>
    <row r="9">
      <c r="A9" s="42" t="inlineStr">
        <is>
          <t>CR-SL-006</t>
        </is>
      </c>
      <c r="B9" s="42" t="inlineStr">
        <is>
          <t>SER-LIX-SAMOSL</t>
        </is>
      </c>
      <c r="C9" s="42" t="inlineStr">
        <is>
          <t>WT-SL-SHUTTER-HIKI</t>
        </is>
      </c>
      <c r="D9" s="42" t="inlineStr">
        <is>
          <t>SP-SL-SHUT-M-WIND</t>
        </is>
      </c>
      <c r="E9" s="42" t="inlineStr">
        <is>
          <t>在来/204</t>
        </is>
      </c>
      <c r="F9" s="42" t="inlineStr">
        <is>
          <t>2枚/4枚</t>
        </is>
      </c>
      <c r="G9" s="42" t="inlineStr">
        <is>
          <t>SOURCE_GRAPH_GATE</t>
        </is>
      </c>
      <c r="H9" s="42" t="n">
        <v>780</v>
      </c>
      <c r="I9" s="42" t="n">
        <v>5500</v>
      </c>
      <c r="J9" s="42" t="n">
        <v>350</v>
      </c>
      <c r="K9" s="42" t="n">
        <v>2540</v>
      </c>
      <c r="L9" s="42" t="inlineStr">
        <is>
          <t>シャッター性能色分け・工法・枚数・H/W比の複合グラフ</t>
        </is>
      </c>
      <c r="M9" s="42" t="inlineStr">
        <is>
          <t>P106 原本グラフ</t>
        </is>
      </c>
      <c r="N9" s="42" t="b">
        <v>0</v>
      </c>
      <c r="O9" s="42" t="inlineStr">
        <is>
          <t>電動はW&gt;=1185。連窓方立/有効開口拡大等の注記を同時評価</t>
        </is>
      </c>
      <c r="P9" s="42" t="inlineStr">
        <is>
          <t>ガラス構成により不可あり</t>
        </is>
      </c>
      <c r="Q9" s="42" t="b">
        <v>1</v>
      </c>
      <c r="R9" s="42" t="inlineStr">
        <is>
          <t>本投入</t>
        </is>
      </c>
      <c r="S9" s="42" t="inlineStr">
        <is>
          <t>P106</t>
        </is>
      </c>
      <c r="T9" s="42" t="inlineStr">
        <is>
          <t>サーモスⅡ-H/L 商品カタログ</t>
        </is>
      </c>
      <c r="U9" s="42" t="inlineStr">
        <is>
          <t>https://webcatalog.lixil.co.jp/iportal/CatalogDetail.do?catalogID=15191910000&amp;categoryID=1630000&amp;designID=newinter&amp;method=initial_screen&amp;position=18&amp;type=mc&amp;volumeID=LXL13001</t>
        </is>
      </c>
      <c r="V9" s="42" t="inlineStr">
        <is>
          <t>REVIEW_REQUIRED</t>
        </is>
      </c>
      <c r="W9" s="42" t="str"/>
    </row>
    <row r="10">
      <c r="A10" s="42" t="inlineStr">
        <is>
          <t>CR-SL-007</t>
        </is>
      </c>
      <c r="B10" s="42" t="inlineStr">
        <is>
          <t>SER-LIX-SAMOSL</t>
        </is>
      </c>
      <c r="C10" s="42" t="inlineStr">
        <is>
          <t>WT-SL-AMADO-HIKI</t>
        </is>
      </c>
      <c r="D10" s="42" t="inlineStr">
        <is>
          <t>*</t>
        </is>
      </c>
      <c r="E10" s="42" t="inlineStr">
        <is>
          <t>在来/204</t>
        </is>
      </c>
      <c r="F10" s="42" t="inlineStr">
        <is>
          <t>2枚/4枚</t>
        </is>
      </c>
      <c r="G10" s="42" t="inlineStr">
        <is>
          <t>SOURCE_GRAPH_GATE</t>
        </is>
      </c>
      <c r="H10" s="42" t="n">
        <v>630</v>
      </c>
      <c r="I10" s="42" t="n">
        <v>5500</v>
      </c>
      <c r="J10" s="42" t="n">
        <v>396</v>
      </c>
      <c r="K10" s="42" t="n">
        <v>2540</v>
      </c>
      <c r="L10" s="42" t="inlineStr">
        <is>
          <t>雨戸仕様・工法・枚数・H/W比の複合グラフ</t>
        </is>
      </c>
      <c r="M10" s="42" t="inlineStr">
        <is>
          <t>P134 原本グラフ</t>
        </is>
      </c>
      <c r="N10" s="42" t="b">
        <v>0</v>
      </c>
      <c r="O10" s="42" t="inlineStr">
        <is>
          <t>雨戸種類と戸袋/連窓条件も評価</t>
        </is>
      </c>
      <c r="P10" s="42" t="inlineStr">
        <is>
          <t>ガラス構成により不可あり</t>
        </is>
      </c>
      <c r="Q10" s="42" t="b">
        <v>1</v>
      </c>
      <c r="R10" s="42" t="inlineStr">
        <is>
          <t>本投入</t>
        </is>
      </c>
      <c r="S10" s="42" t="inlineStr">
        <is>
          <t>P134</t>
        </is>
      </c>
      <c r="T10" s="42" t="inlineStr">
        <is>
          <t>サーモスⅡ-H/L 商品カタログ</t>
        </is>
      </c>
      <c r="U10" s="42" t="inlineStr">
        <is>
          <t>https://webcatalog.lixil.co.jp/iportal/CatalogDetail.do?catalogID=15191910000&amp;categoryID=1630000&amp;designID=newinter&amp;method=initial_screen&amp;position=18&amp;type=mc&amp;volumeID=LXL13001</t>
        </is>
      </c>
      <c r="V10" s="42" t="inlineStr">
        <is>
          <t>REVIEW_REQUIRED</t>
        </is>
      </c>
      <c r="W10" s="42" t="str"/>
    </row>
    <row r="11">
      <c r="A11" s="42" t="inlineStr">
        <is>
          <t>CR-SL-008</t>
        </is>
      </c>
      <c r="B11" s="42" t="inlineStr">
        <is>
          <t>SER-LIX-SAMOSL</t>
        </is>
      </c>
      <c r="C11" s="42" t="inlineStr">
        <is>
          <t>WT-SL-MENKOSHI-HIKI</t>
        </is>
      </c>
      <c r="D11" s="42" t="inlineStr">
        <is>
          <t>SP-SL-GRILLE-V</t>
        </is>
      </c>
      <c r="E11" s="42" t="inlineStr">
        <is>
          <t>在来/204</t>
        </is>
      </c>
      <c r="F11" s="42" t="inlineStr">
        <is>
          <t>2枚建</t>
        </is>
      </c>
      <c r="G11" s="42" t="inlineStr">
        <is>
          <t>AUTO_RATIO</t>
        </is>
      </c>
      <c r="H11" s="42" t="n">
        <v>630</v>
      </c>
      <c r="I11" s="42" t="n">
        <v>3000</v>
      </c>
      <c r="J11" s="42" t="n">
        <v>350</v>
      </c>
      <c r="K11" s="42" t="n">
        <v>1423</v>
      </c>
      <c r="L11" s="42" t="inlineStr">
        <is>
          <t>H&lt;=MIN(1423,1.7*W)</t>
        </is>
      </c>
      <c r="M11" s="42" t="str"/>
      <c r="N11" s="42" t="b">
        <v>1</v>
      </c>
      <c r="O11" s="42" t="inlineStr">
        <is>
          <t>縦格子はW&gt;2209で2分割（縦のみ）</t>
        </is>
      </c>
      <c r="P11" s="42" t="inlineStr">
        <is>
          <t>ガラス構成により不可あり</t>
        </is>
      </c>
      <c r="Q11" s="42" t="b">
        <v>1</v>
      </c>
      <c r="R11" s="42" t="inlineStr">
        <is>
          <t>本投入</t>
        </is>
      </c>
      <c r="S11" s="42" t="inlineStr">
        <is>
          <t>P144</t>
        </is>
      </c>
      <c r="T11" s="42" t="inlineStr">
        <is>
          <t>サーモスⅡ-H/L 商品カタログ</t>
        </is>
      </c>
      <c r="U11" s="42" t="inlineStr">
        <is>
          <t>https://webcatalog.lixil.co.jp/iportal/CatalogDetail.do?catalogID=15191910000&amp;categoryID=1630000&amp;designID=newinter&amp;method=initial_screen&amp;position=18&amp;type=mc&amp;volumeID=LXL13001</t>
        </is>
      </c>
      <c r="V11" s="42" t="inlineStr">
        <is>
          <t>AUTO</t>
        </is>
      </c>
      <c r="W11" s="42" t="str"/>
    </row>
    <row r="12">
      <c r="A12" s="42" t="inlineStr">
        <is>
          <t>CR-SL-009</t>
        </is>
      </c>
      <c r="B12" s="42" t="inlineStr">
        <is>
          <t>SER-LIX-SAMOSL</t>
        </is>
      </c>
      <c r="C12" s="42" t="inlineStr">
        <is>
          <t>WT-SL-MENKOSHI-HIKI</t>
        </is>
      </c>
      <c r="D12" s="42" t="inlineStr">
        <is>
          <t>SP-SL-GRILLE-V</t>
        </is>
      </c>
      <c r="E12" s="42" t="inlineStr">
        <is>
          <t>在来/204</t>
        </is>
      </c>
      <c r="F12" s="42" t="inlineStr">
        <is>
          <t>4枚建</t>
        </is>
      </c>
      <c r="G12" s="42" t="inlineStr">
        <is>
          <t>AUTO_RATIO</t>
        </is>
      </c>
      <c r="H12" s="42" t="n">
        <v>1210</v>
      </c>
      <c r="I12" s="42" t="n">
        <v>4422</v>
      </c>
      <c r="J12" s="42" t="n">
        <v>350</v>
      </c>
      <c r="K12" s="42" t="n">
        <v>1423</v>
      </c>
      <c r="L12" s="42" t="inlineStr">
        <is>
          <t>H&lt;=MIN(1423,0.85*W)</t>
        </is>
      </c>
      <c r="M12" s="42" t="str"/>
      <c r="N12" s="42" t="b">
        <v>1</v>
      </c>
      <c r="O12" s="42" t="str"/>
      <c r="P12" s="42" t="inlineStr">
        <is>
          <t>ガラス構成により不可あり</t>
        </is>
      </c>
      <c r="Q12" s="42" t="b">
        <v>1</v>
      </c>
      <c r="R12" s="42" t="inlineStr">
        <is>
          <t>本投入</t>
        </is>
      </c>
      <c r="S12" s="42" t="inlineStr">
        <is>
          <t>P144</t>
        </is>
      </c>
      <c r="T12" s="42" t="inlineStr">
        <is>
          <t>サーモスⅡ-H/L 商品カタログ</t>
        </is>
      </c>
      <c r="U12" s="42" t="inlineStr">
        <is>
          <t>https://webcatalog.lixil.co.jp/iportal/CatalogDetail.do?catalogID=15191910000&amp;categoryID=1630000&amp;designID=newinter&amp;method=initial_screen&amp;position=18&amp;type=mc&amp;volumeID=LXL13001</t>
        </is>
      </c>
      <c r="V12" s="42" t="inlineStr">
        <is>
          <t>AUTO</t>
        </is>
      </c>
      <c r="W12" s="42" t="str"/>
    </row>
    <row r="13">
      <c r="A13" s="42" t="inlineStr">
        <is>
          <t>CR-SL-010</t>
        </is>
      </c>
      <c r="B13" s="42" t="inlineStr">
        <is>
          <t>SER-LIX-SAMOSL</t>
        </is>
      </c>
      <c r="C13" s="42" t="inlineStr">
        <is>
          <t>WT-SL-MENKOSHI-HIKI</t>
        </is>
      </c>
      <c r="D13" s="42" t="inlineStr">
        <is>
          <t>SP-SL-GRILLE-DIA</t>
        </is>
      </c>
      <c r="E13" s="42" t="inlineStr">
        <is>
          <t>在来/204</t>
        </is>
      </c>
      <c r="F13" s="42" t="inlineStr">
        <is>
          <t>2枚建</t>
        </is>
      </c>
      <c r="G13" s="42" t="inlineStr">
        <is>
          <t>AUTO_RATIO</t>
        </is>
      </c>
      <c r="H13" s="42" t="n">
        <v>630</v>
      </c>
      <c r="I13" s="42" t="n">
        <v>3000</v>
      </c>
      <c r="J13" s="42" t="n">
        <v>350</v>
      </c>
      <c r="K13" s="42" t="n">
        <v>1423</v>
      </c>
      <c r="L13" s="42" t="inlineStr">
        <is>
          <t>H&lt;=MIN(1423,1.7*W)</t>
        </is>
      </c>
      <c r="M13" s="42" t="str"/>
      <c r="N13" s="42" t="b">
        <v>1</v>
      </c>
      <c r="O13" s="42" t="inlineStr">
        <is>
          <t>縦格子はW&gt;2209で2分割（縦のみ）</t>
        </is>
      </c>
      <c r="P13" s="42" t="inlineStr">
        <is>
          <t>ガラス構成により不可あり</t>
        </is>
      </c>
      <c r="Q13" s="42" t="b">
        <v>1</v>
      </c>
      <c r="R13" s="42" t="inlineStr">
        <is>
          <t>本投入</t>
        </is>
      </c>
      <c r="S13" s="42" t="inlineStr">
        <is>
          <t>P144</t>
        </is>
      </c>
      <c r="T13" s="42" t="inlineStr">
        <is>
          <t>サーモスⅡ-H/L 商品カタログ</t>
        </is>
      </c>
      <c r="U13" s="42" t="inlineStr">
        <is>
          <t>https://webcatalog.lixil.co.jp/iportal/CatalogDetail.do?catalogID=15191910000&amp;categoryID=1630000&amp;designID=newinter&amp;method=initial_screen&amp;position=18&amp;type=mc&amp;volumeID=LXL13001</t>
        </is>
      </c>
      <c r="V13" s="42" t="inlineStr">
        <is>
          <t>AUTO</t>
        </is>
      </c>
      <c r="W13" s="42" t="str"/>
    </row>
    <row r="14">
      <c r="A14" s="42" t="inlineStr">
        <is>
          <t>CR-SL-011</t>
        </is>
      </c>
      <c r="B14" s="42" t="inlineStr">
        <is>
          <t>SER-LIX-SAMOSL</t>
        </is>
      </c>
      <c r="C14" s="42" t="inlineStr">
        <is>
          <t>WT-SL-MENKOSHI-HIKI</t>
        </is>
      </c>
      <c r="D14" s="42" t="inlineStr">
        <is>
          <t>SP-SL-GRILLE-DIA</t>
        </is>
      </c>
      <c r="E14" s="42" t="inlineStr">
        <is>
          <t>在来/204</t>
        </is>
      </c>
      <c r="F14" s="42" t="inlineStr">
        <is>
          <t>4枚建</t>
        </is>
      </c>
      <c r="G14" s="42" t="inlineStr">
        <is>
          <t>AUTO_RATIO</t>
        </is>
      </c>
      <c r="H14" s="42" t="n">
        <v>1210</v>
      </c>
      <c r="I14" s="42" t="n">
        <v>4422</v>
      </c>
      <c r="J14" s="42" t="n">
        <v>350</v>
      </c>
      <c r="K14" s="42" t="n">
        <v>1423</v>
      </c>
      <c r="L14" s="42" t="inlineStr">
        <is>
          <t>H&lt;=MIN(1423,0.85*W)</t>
        </is>
      </c>
      <c r="M14" s="42" t="str"/>
      <c r="N14" s="42" t="b">
        <v>1</v>
      </c>
      <c r="O14" s="42" t="str"/>
      <c r="P14" s="42" t="inlineStr">
        <is>
          <t>ガラス構成により不可あり</t>
        </is>
      </c>
      <c r="Q14" s="42" t="b">
        <v>1</v>
      </c>
      <c r="R14" s="42" t="inlineStr">
        <is>
          <t>本投入</t>
        </is>
      </c>
      <c r="S14" s="42" t="inlineStr">
        <is>
          <t>P144</t>
        </is>
      </c>
      <c r="T14" s="42" t="inlineStr">
        <is>
          <t>サーモスⅡ-H/L 商品カタログ</t>
        </is>
      </c>
      <c r="U14" s="42" t="inlineStr">
        <is>
          <t>https://webcatalog.lixil.co.jp/iportal/CatalogDetail.do?catalogID=15191910000&amp;categoryID=1630000&amp;designID=newinter&amp;method=initial_screen&amp;position=18&amp;type=mc&amp;volumeID=LXL13001</t>
        </is>
      </c>
      <c r="V14" s="42" t="inlineStr">
        <is>
          <t>AUTO</t>
        </is>
      </c>
      <c r="W14" s="42" t="str"/>
    </row>
    <row r="15">
      <c r="A15" s="42" t="inlineStr">
        <is>
          <t>CR-SL-012</t>
        </is>
      </c>
      <c r="B15" s="42" t="inlineStr">
        <is>
          <t>SER-LIX-SAMOSL</t>
        </is>
      </c>
      <c r="C15" s="42" t="inlineStr">
        <is>
          <t>WT-SL-MENKOSHI-HIKI</t>
        </is>
      </c>
      <c r="D15" s="42" t="inlineStr">
        <is>
          <t>SP-SL-GRILLE-IGETA</t>
        </is>
      </c>
      <c r="E15" s="42" t="inlineStr">
        <is>
          <t>在来/204</t>
        </is>
      </c>
      <c r="F15" s="42" t="inlineStr">
        <is>
          <t>2枚建</t>
        </is>
      </c>
      <c r="G15" s="42" t="inlineStr">
        <is>
          <t>AUTO_RATIO</t>
        </is>
      </c>
      <c r="H15" s="42" t="n">
        <v>630</v>
      </c>
      <c r="I15" s="42" t="n">
        <v>3000</v>
      </c>
      <c r="J15" s="42" t="n">
        <v>350</v>
      </c>
      <c r="K15" s="42" t="n">
        <v>1423</v>
      </c>
      <c r="L15" s="42" t="inlineStr">
        <is>
          <t>H&lt;=MIN(1423,1.7*W)</t>
        </is>
      </c>
      <c r="M15" s="42" t="str"/>
      <c r="N15" s="42" t="b">
        <v>1</v>
      </c>
      <c r="O15" s="42" t="inlineStr">
        <is>
          <t>縦格子はW&gt;2209で2分割（縦のみ）</t>
        </is>
      </c>
      <c r="P15" s="42" t="inlineStr">
        <is>
          <t>ガラス構成により不可あり</t>
        </is>
      </c>
      <c r="Q15" s="42" t="b">
        <v>1</v>
      </c>
      <c r="R15" s="42" t="inlineStr">
        <is>
          <t>本投入</t>
        </is>
      </c>
      <c r="S15" s="42" t="inlineStr">
        <is>
          <t>P144</t>
        </is>
      </c>
      <c r="T15" s="42" t="inlineStr">
        <is>
          <t>サーモスⅡ-H/L 商品カタログ</t>
        </is>
      </c>
      <c r="U15" s="42" t="inlineStr">
        <is>
          <t>https://webcatalog.lixil.co.jp/iportal/CatalogDetail.do?catalogID=15191910000&amp;categoryID=1630000&amp;designID=newinter&amp;method=initial_screen&amp;position=18&amp;type=mc&amp;volumeID=LXL13001</t>
        </is>
      </c>
      <c r="V15" s="42" t="inlineStr">
        <is>
          <t>AUTO</t>
        </is>
      </c>
      <c r="W15" s="42" t="str"/>
    </row>
    <row r="16">
      <c r="A16" s="42" t="inlineStr">
        <is>
          <t>CR-SL-013</t>
        </is>
      </c>
      <c r="B16" s="42" t="inlineStr">
        <is>
          <t>SER-LIX-SAMOSL</t>
        </is>
      </c>
      <c r="C16" s="42" t="inlineStr">
        <is>
          <t>WT-SL-MENKOSHI-HIKI</t>
        </is>
      </c>
      <c r="D16" s="42" t="inlineStr">
        <is>
          <t>SP-SL-GRILLE-IGETA</t>
        </is>
      </c>
      <c r="E16" s="42" t="inlineStr">
        <is>
          <t>在来/204</t>
        </is>
      </c>
      <c r="F16" s="42" t="inlineStr">
        <is>
          <t>4枚建</t>
        </is>
      </c>
      <c r="G16" s="42" t="inlineStr">
        <is>
          <t>AUTO_RATIO</t>
        </is>
      </c>
      <c r="H16" s="42" t="n">
        <v>1210</v>
      </c>
      <c r="I16" s="42" t="n">
        <v>4422</v>
      </c>
      <c r="J16" s="42" t="n">
        <v>350</v>
      </c>
      <c r="K16" s="42" t="n">
        <v>1423</v>
      </c>
      <c r="L16" s="42" t="inlineStr">
        <is>
          <t>H&lt;=MIN(1423,0.85*W)</t>
        </is>
      </c>
      <c r="M16" s="42" t="str"/>
      <c r="N16" s="42" t="b">
        <v>1</v>
      </c>
      <c r="O16" s="42" t="str"/>
      <c r="P16" s="42" t="inlineStr">
        <is>
          <t>ガラス構成により不可あり</t>
        </is>
      </c>
      <c r="Q16" s="42" t="b">
        <v>1</v>
      </c>
      <c r="R16" s="42" t="inlineStr">
        <is>
          <t>本投入</t>
        </is>
      </c>
      <c r="S16" s="42" t="inlineStr">
        <is>
          <t>P144</t>
        </is>
      </c>
      <c r="T16" s="42" t="inlineStr">
        <is>
          <t>サーモスⅡ-H/L 商品カタログ</t>
        </is>
      </c>
      <c r="U16" s="42" t="inlineStr">
        <is>
          <t>https://webcatalog.lixil.co.jp/iportal/CatalogDetail.do?catalogID=15191910000&amp;categoryID=1630000&amp;designID=newinter&amp;method=initial_screen&amp;position=18&amp;type=mc&amp;volumeID=LXL13001</t>
        </is>
      </c>
      <c r="V16" s="42" t="inlineStr">
        <is>
          <t>AUTO</t>
        </is>
      </c>
      <c r="W16" s="42" t="str"/>
    </row>
    <row r="17">
      <c r="A17" s="42" t="inlineStr">
        <is>
          <t>CR-SL-014</t>
        </is>
      </c>
      <c r="B17" s="42" t="inlineStr">
        <is>
          <t>SER-LIX-SAMOSL</t>
        </is>
      </c>
      <c r="C17" s="42" t="inlineStr">
        <is>
          <t>WT-SL-MENKOSHI-HIKI</t>
        </is>
      </c>
      <c r="D17" s="42" t="inlineStr">
        <is>
          <t>SP-SL-GRILLE-H</t>
        </is>
      </c>
      <c r="E17" s="42" t="inlineStr">
        <is>
          <t>在来/204</t>
        </is>
      </c>
      <c r="F17" s="42" t="inlineStr">
        <is>
          <t>2枚建</t>
        </is>
      </c>
      <c r="G17" s="42" t="inlineStr">
        <is>
          <t>AUTO_RATIO</t>
        </is>
      </c>
      <c r="H17" s="42" t="n">
        <v>630</v>
      </c>
      <c r="I17" s="42" t="n">
        <v>1370</v>
      </c>
      <c r="J17" s="42" t="n">
        <v>350</v>
      </c>
      <c r="K17" s="42" t="n">
        <v>1423</v>
      </c>
      <c r="L17" s="42" t="inlineStr">
        <is>
          <t>H&lt;=MIN(1423,1.7*W)</t>
        </is>
      </c>
      <c r="M17" s="42" t="str"/>
      <c r="N17" s="42" t="b">
        <v>1</v>
      </c>
      <c r="O17" s="42" t="inlineStr">
        <is>
          <t>W&gt;870で方立1本</t>
        </is>
      </c>
      <c r="P17" s="42" t="inlineStr">
        <is>
          <t>ガラス構成により不可あり</t>
        </is>
      </c>
      <c r="Q17" s="42" t="b">
        <v>1</v>
      </c>
      <c r="R17" s="42" t="inlineStr">
        <is>
          <t>本投入</t>
        </is>
      </c>
      <c r="S17" s="42" t="inlineStr">
        <is>
          <t>P144</t>
        </is>
      </c>
      <c r="T17" s="42" t="inlineStr">
        <is>
          <t>サーモスⅡ-H/L 商品カタログ</t>
        </is>
      </c>
      <c r="U17" s="42" t="inlineStr">
        <is>
          <t>https://webcatalog.lixil.co.jp/iportal/CatalogDetail.do?catalogID=15191910000&amp;categoryID=1630000&amp;designID=newinter&amp;method=initial_screen&amp;position=18&amp;type=mc&amp;volumeID=LXL13001</t>
        </is>
      </c>
      <c r="V17" s="42" t="inlineStr">
        <is>
          <t>AUTO</t>
        </is>
      </c>
      <c r="W17" s="42" t="str"/>
    </row>
    <row r="18">
      <c r="A18" s="42" t="inlineStr">
        <is>
          <t>CR-SL-015</t>
        </is>
      </c>
      <c r="B18" s="42" t="inlineStr">
        <is>
          <t>SER-LIX-SAMOSL</t>
        </is>
      </c>
      <c r="C18" s="42" t="inlineStr">
        <is>
          <t>WT-SL-MENKOSHI-HIKI</t>
        </is>
      </c>
      <c r="D18" s="42" t="inlineStr">
        <is>
          <t>SP-SL-GRILLE-H</t>
        </is>
      </c>
      <c r="E18" s="42" t="inlineStr">
        <is>
          <t>在来/204</t>
        </is>
      </c>
      <c r="F18" s="42" t="inlineStr">
        <is>
          <t>4枚建</t>
        </is>
      </c>
      <c r="G18" s="42" t="inlineStr">
        <is>
          <t>AUTO_RATIO</t>
        </is>
      </c>
      <c r="H18" s="42" t="n">
        <v>1210</v>
      </c>
      <c r="I18" s="42" t="n">
        <v>1370</v>
      </c>
      <c r="J18" s="42" t="n">
        <v>350</v>
      </c>
      <c r="K18" s="42" t="n">
        <v>1423</v>
      </c>
      <c r="L18" s="42" t="inlineStr">
        <is>
          <t>H&lt;=MIN(1423,0.85*W)</t>
        </is>
      </c>
      <c r="M18" s="42" t="str"/>
      <c r="N18" s="42" t="b">
        <v>1</v>
      </c>
      <c r="O18" s="42" t="inlineStr">
        <is>
          <t>W&gt;870で方立1本</t>
        </is>
      </c>
      <c r="P18" s="42" t="inlineStr">
        <is>
          <t>ガラス構成により不可あり</t>
        </is>
      </c>
      <c r="Q18" s="42" t="b">
        <v>1</v>
      </c>
      <c r="R18" s="42" t="inlineStr">
        <is>
          <t>本投入</t>
        </is>
      </c>
      <c r="S18" s="42" t="inlineStr">
        <is>
          <t>P144</t>
        </is>
      </c>
      <c r="T18" s="42" t="inlineStr">
        <is>
          <t>サーモスⅡ-H/L 商品カタログ</t>
        </is>
      </c>
      <c r="U18" s="42" t="inlineStr">
        <is>
          <t>https://webcatalog.lixil.co.jp/iportal/CatalogDetail.do?catalogID=15191910000&amp;categoryID=1630000&amp;designID=newinter&amp;method=initial_screen&amp;position=18&amp;type=mc&amp;volumeID=LXL13001</t>
        </is>
      </c>
      <c r="V18" s="42" t="inlineStr">
        <is>
          <t>AUTO</t>
        </is>
      </c>
      <c r="W18" s="42" t="str"/>
    </row>
    <row r="19">
      <c r="A19" s="42" t="inlineStr">
        <is>
          <t>CR-SL-016</t>
        </is>
      </c>
      <c r="B19" s="42" t="inlineStr">
        <is>
          <t>SER-LIX-SAMOSL</t>
        </is>
      </c>
      <c r="C19" s="42" t="inlineStr">
        <is>
          <t>WT-SL-TATE-SUBERI</t>
        </is>
      </c>
      <c r="D19" s="42" t="inlineStr">
        <is>
          <t>SP-SL-TATE-OP-T</t>
        </is>
      </c>
      <c r="E19" s="42" t="inlineStr">
        <is>
          <t>在来/204</t>
        </is>
      </c>
      <c r="F19" s="42" t="inlineStr">
        <is>
          <t>T</t>
        </is>
      </c>
      <c r="G19" s="42" t="inlineStr">
        <is>
          <t>AUTO_PIECEWISE</t>
        </is>
      </c>
      <c r="H19" s="42" t="n">
        <v>250</v>
      </c>
      <c r="I19" s="42" t="n">
        <v>780</v>
      </c>
      <c r="J19" s="42" t="n">
        <v>360</v>
      </c>
      <c r="K19" s="42" t="n">
        <v>2270</v>
      </c>
      <c r="L19" s="42" t="inlineStr">
        <is>
          <t>W&lt;=350:H&lt;=2270; 350&lt;W&lt;=405:H&lt;=1870; 405&lt;W&lt;=780:H&lt;=1600</t>
        </is>
      </c>
      <c r="M19" s="42" t="str"/>
      <c r="N19" s="42" t="b">
        <v>1</v>
      </c>
      <c r="O19" s="42" t="str"/>
      <c r="P19" s="42" t="inlineStr">
        <is>
          <t>ガラス構成により不可あり</t>
        </is>
      </c>
      <c r="Q19" s="42" t="b">
        <v>1</v>
      </c>
      <c r="R19" s="42" t="inlineStr">
        <is>
          <t>本投入</t>
        </is>
      </c>
      <c r="S19" s="42" t="inlineStr">
        <is>
          <t>P153</t>
        </is>
      </c>
      <c r="T19" s="42" t="inlineStr">
        <is>
          <t>サーモスⅡ-H/L 商品カタログ</t>
        </is>
      </c>
      <c r="U19" s="42" t="inlineStr">
        <is>
          <t>https://webcatalog.lixil.co.jp/iportal/CatalogDetail.do?catalogID=15191910000&amp;categoryID=1630000&amp;designID=newinter&amp;method=initial_screen&amp;position=18&amp;type=mc&amp;volumeID=LXL13001</t>
        </is>
      </c>
      <c r="V19" s="42" t="inlineStr">
        <is>
          <t>AUTO</t>
        </is>
      </c>
      <c r="W19" s="42" t="str"/>
    </row>
    <row r="20">
      <c r="A20" s="42" t="inlineStr">
        <is>
          <t>CR-SL-017</t>
        </is>
      </c>
      <c r="B20" s="42" t="inlineStr">
        <is>
          <t>SER-LIX-SAMOSL</t>
        </is>
      </c>
      <c r="C20" s="42" t="inlineStr">
        <is>
          <t>WT-SL-TATE-SUBERI</t>
        </is>
      </c>
      <c r="D20" s="42" t="inlineStr">
        <is>
          <t>SP-SL-TATE-OP-TF-OUT</t>
        </is>
      </c>
      <c r="E20" s="42" t="inlineStr">
        <is>
          <t>在来/204</t>
        </is>
      </c>
      <c r="F20" s="42" t="inlineStr">
        <is>
          <t>TF/TFT</t>
        </is>
      </c>
      <c r="G20" s="42" t="inlineStr">
        <is>
          <t>COMPOUND_GATE</t>
        </is>
      </c>
      <c r="H20" s="42" t="n"/>
      <c r="I20" s="42" t="n"/>
      <c r="J20" s="42" t="n"/>
      <c r="K20" s="42" t="n"/>
      <c r="L20" s="42" t="inlineStr">
        <is>
          <t>開き部はP153範囲＋FIX部P208/P216＋方立P247を全て満たす</t>
        </is>
      </c>
      <c r="M20" s="42" t="inlineStr">
        <is>
          <t>複合判定</t>
        </is>
      </c>
      <c r="N20" s="42" t="b">
        <v>0</v>
      </c>
      <c r="O20" s="42" t="inlineStr">
        <is>
          <t>開き部寸法とFIX部寸法を分離して評価</t>
        </is>
      </c>
      <c r="P20" s="42" t="inlineStr">
        <is>
          <t>ガラス構成により不可あり</t>
        </is>
      </c>
      <c r="Q20" s="42" t="b">
        <v>1</v>
      </c>
      <c r="R20" s="42" t="inlineStr">
        <is>
          <t>本投入</t>
        </is>
      </c>
      <c r="S20" s="42" t="inlineStr">
        <is>
          <t>P153</t>
        </is>
      </c>
      <c r="T20" s="42" t="inlineStr">
        <is>
          <t>サーモスⅡ-H/L 商品カタログ</t>
        </is>
      </c>
      <c r="U20" s="42" t="inlineStr">
        <is>
          <t>https://webcatalog.lixil.co.jp/iportal/CatalogDetail.do?catalogID=15191910000&amp;categoryID=1630000&amp;designID=newinter&amp;method=initial_screen&amp;position=18&amp;type=mc&amp;volumeID=LXL13001</t>
        </is>
      </c>
      <c r="V20" s="42" t="inlineStr">
        <is>
          <t>REVIEW_REQUIRED</t>
        </is>
      </c>
      <c r="W20" s="42" t="str"/>
    </row>
    <row r="21">
      <c r="A21" s="42" t="inlineStr">
        <is>
          <t>CR-SL-018</t>
        </is>
      </c>
      <c r="B21" s="42" t="inlineStr">
        <is>
          <t>SER-LIX-SAMOSL</t>
        </is>
      </c>
      <c r="C21" s="42" t="inlineStr">
        <is>
          <t>WT-SL-TATE-SUBERI</t>
        </is>
      </c>
      <c r="D21" s="42" t="inlineStr">
        <is>
          <t>SP-SL-TATE-OP-TFT-OUT</t>
        </is>
      </c>
      <c r="E21" s="42" t="inlineStr">
        <is>
          <t>在来/204</t>
        </is>
      </c>
      <c r="F21" s="42" t="inlineStr">
        <is>
          <t>TF/TFT</t>
        </is>
      </c>
      <c r="G21" s="42" t="inlineStr">
        <is>
          <t>COMPOUND_GATE</t>
        </is>
      </c>
      <c r="H21" s="42" t="n"/>
      <c r="I21" s="42" t="n"/>
      <c r="J21" s="42" t="n"/>
      <c r="K21" s="42" t="n"/>
      <c r="L21" s="42" t="inlineStr">
        <is>
          <t>開き部はP153範囲＋FIX部P208/P216＋方立P247を全て満たす</t>
        </is>
      </c>
      <c r="M21" s="42" t="inlineStr">
        <is>
          <t>複合判定</t>
        </is>
      </c>
      <c r="N21" s="42" t="b">
        <v>0</v>
      </c>
      <c r="O21" s="42" t="inlineStr">
        <is>
          <t>開き部寸法とFIX部寸法を分離して評価</t>
        </is>
      </c>
      <c r="P21" s="42" t="inlineStr">
        <is>
          <t>ガラス構成により不可あり</t>
        </is>
      </c>
      <c r="Q21" s="42" t="b">
        <v>1</v>
      </c>
      <c r="R21" s="42" t="inlineStr">
        <is>
          <t>本投入</t>
        </is>
      </c>
      <c r="S21" s="42" t="inlineStr">
        <is>
          <t>P153</t>
        </is>
      </c>
      <c r="T21" s="42" t="inlineStr">
        <is>
          <t>サーモスⅡ-H/L 商品カタログ</t>
        </is>
      </c>
      <c r="U21" s="42" t="inlineStr">
        <is>
          <t>https://webcatalog.lixil.co.jp/iportal/CatalogDetail.do?catalogID=15191910000&amp;categoryID=1630000&amp;designID=newinter&amp;method=initial_screen&amp;position=18&amp;type=mc&amp;volumeID=LXL13001</t>
        </is>
      </c>
      <c r="V21" s="42" t="inlineStr">
        <is>
          <t>REVIEW_REQUIRED</t>
        </is>
      </c>
      <c r="W21" s="42" t="str"/>
    </row>
    <row r="22">
      <c r="A22" s="42" t="inlineStr">
        <is>
          <t>CR-SL-019</t>
        </is>
      </c>
      <c r="B22" s="42" t="inlineStr">
        <is>
          <t>SER-LIX-SAMOSL</t>
        </is>
      </c>
      <c r="C22" s="42" t="inlineStr">
        <is>
          <t>WT-SL-TATE-SUBERI</t>
        </is>
      </c>
      <c r="D22" s="42" t="inlineStr">
        <is>
          <t>SP-SL-TATE-OP-TF-IN</t>
        </is>
      </c>
      <c r="E22" s="42" t="inlineStr">
        <is>
          <t>在来/204</t>
        </is>
      </c>
      <c r="F22" s="42" t="inlineStr">
        <is>
          <t>TF/TFT</t>
        </is>
      </c>
      <c r="G22" s="42" t="inlineStr">
        <is>
          <t>COMPOUND_GATE</t>
        </is>
      </c>
      <c r="H22" s="42" t="n"/>
      <c r="I22" s="42" t="n"/>
      <c r="J22" s="42" t="n"/>
      <c r="K22" s="42" t="n"/>
      <c r="L22" s="42" t="inlineStr">
        <is>
          <t>開き部はP153範囲＋FIX部P208/P216＋方立P247を全て満たす</t>
        </is>
      </c>
      <c r="M22" s="42" t="inlineStr">
        <is>
          <t>複合判定</t>
        </is>
      </c>
      <c r="N22" s="42" t="b">
        <v>0</v>
      </c>
      <c r="O22" s="42" t="inlineStr">
        <is>
          <t>開き部寸法とFIX部寸法を分離して評価</t>
        </is>
      </c>
      <c r="P22" s="42" t="inlineStr">
        <is>
          <t>ガラス構成により不可あり</t>
        </is>
      </c>
      <c r="Q22" s="42" t="b">
        <v>1</v>
      </c>
      <c r="R22" s="42" t="inlineStr">
        <is>
          <t>本投入</t>
        </is>
      </c>
      <c r="S22" s="42" t="inlineStr">
        <is>
          <t>P153</t>
        </is>
      </c>
      <c r="T22" s="42" t="inlineStr">
        <is>
          <t>サーモスⅡ-H/L 商品カタログ</t>
        </is>
      </c>
      <c r="U22" s="42" t="inlineStr">
        <is>
          <t>https://webcatalog.lixil.co.jp/iportal/CatalogDetail.do?catalogID=15191910000&amp;categoryID=1630000&amp;designID=newinter&amp;method=initial_screen&amp;position=18&amp;type=mc&amp;volumeID=LXL13001</t>
        </is>
      </c>
      <c r="V22" s="42" t="inlineStr">
        <is>
          <t>REVIEW_REQUIRED</t>
        </is>
      </c>
      <c r="W22" s="42" t="str"/>
    </row>
    <row r="23">
      <c r="A23" s="42" t="inlineStr">
        <is>
          <t>CR-SL-020</t>
        </is>
      </c>
      <c r="B23" s="42" t="inlineStr">
        <is>
          <t>SER-LIX-SAMOSL</t>
        </is>
      </c>
      <c r="C23" s="42" t="inlineStr">
        <is>
          <t>WT-SL-TATE-SUBERI</t>
        </is>
      </c>
      <c r="D23" s="42" t="inlineStr">
        <is>
          <t>SP-SL-TATE-OP-TFT-IN</t>
        </is>
      </c>
      <c r="E23" s="42" t="inlineStr">
        <is>
          <t>在来/204</t>
        </is>
      </c>
      <c r="F23" s="42" t="inlineStr">
        <is>
          <t>TF/TFT</t>
        </is>
      </c>
      <c r="G23" s="42" t="inlineStr">
        <is>
          <t>COMPOUND_GATE</t>
        </is>
      </c>
      <c r="H23" s="42" t="n"/>
      <c r="I23" s="42" t="n"/>
      <c r="J23" s="42" t="n"/>
      <c r="K23" s="42" t="n"/>
      <c r="L23" s="42" t="inlineStr">
        <is>
          <t>開き部はP153範囲＋FIX部P208/P216＋方立P247を全て満たす</t>
        </is>
      </c>
      <c r="M23" s="42" t="inlineStr">
        <is>
          <t>複合判定</t>
        </is>
      </c>
      <c r="N23" s="42" t="b">
        <v>0</v>
      </c>
      <c r="O23" s="42" t="inlineStr">
        <is>
          <t>開き部寸法とFIX部寸法を分離して評価</t>
        </is>
      </c>
      <c r="P23" s="42" t="inlineStr">
        <is>
          <t>ガラス構成により不可あり</t>
        </is>
      </c>
      <c r="Q23" s="42" t="b">
        <v>1</v>
      </c>
      <c r="R23" s="42" t="inlineStr">
        <is>
          <t>本投入</t>
        </is>
      </c>
      <c r="S23" s="42" t="inlineStr">
        <is>
          <t>P153</t>
        </is>
      </c>
      <c r="T23" s="42" t="inlineStr">
        <is>
          <t>サーモスⅡ-H/L 商品カタログ</t>
        </is>
      </c>
      <c r="U23" s="42" t="inlineStr">
        <is>
          <t>https://webcatalog.lixil.co.jp/iportal/CatalogDetail.do?catalogID=15191910000&amp;categoryID=1630000&amp;designID=newinter&amp;method=initial_screen&amp;position=18&amp;type=mc&amp;volumeID=LXL13001</t>
        </is>
      </c>
      <c r="V23" s="42" t="inlineStr">
        <is>
          <t>REVIEW_REQUIRED</t>
        </is>
      </c>
      <c r="W23" s="42" t="str"/>
    </row>
    <row r="24">
      <c r="A24" s="42" t="inlineStr">
        <is>
          <t>CR-SL-021</t>
        </is>
      </c>
      <c r="B24" s="42" t="inlineStr">
        <is>
          <t>SER-LIX-SAMOSL</t>
        </is>
      </c>
      <c r="C24" s="42" t="inlineStr">
        <is>
          <t>WT-SL-TATE-SUBERI</t>
        </is>
      </c>
      <c r="D24" s="42" t="inlineStr">
        <is>
          <t>SP-SL-TATE-CAM-T</t>
        </is>
      </c>
      <c r="E24" s="42" t="inlineStr">
        <is>
          <t>在来/204</t>
        </is>
      </c>
      <c r="F24" s="42" t="inlineStr">
        <is>
          <t>T</t>
        </is>
      </c>
      <c r="G24" s="42" t="inlineStr">
        <is>
          <t>AUTO_PIECEWISE</t>
        </is>
      </c>
      <c r="H24" s="42" t="n">
        <v>250</v>
      </c>
      <c r="I24" s="42" t="n">
        <v>650</v>
      </c>
      <c r="J24" s="42" t="n">
        <v>330</v>
      </c>
      <c r="K24" s="42" t="n">
        <v>2470</v>
      </c>
      <c r="L24" s="42" t="inlineStr">
        <is>
          <t>W&lt;=350:H&lt;=2470; 350&lt;W&lt;=405:H&lt;=1870; 405&lt;W&lt;=650:H&lt;=1600</t>
        </is>
      </c>
      <c r="M24" s="42" t="str"/>
      <c r="N24" s="42" t="b">
        <v>1</v>
      </c>
      <c r="O24" s="42" t="inlineStr">
        <is>
          <t>網戸ハッチングは製作不可ではなく網戸条件</t>
        </is>
      </c>
      <c r="P24" s="42" t="inlineStr">
        <is>
          <t>ガラス構成により不可あり</t>
        </is>
      </c>
      <c r="Q24" s="42" t="b">
        <v>1</v>
      </c>
      <c r="R24" s="42" t="inlineStr">
        <is>
          <t>本投入</t>
        </is>
      </c>
      <c r="S24" s="42" t="inlineStr">
        <is>
          <t>P164</t>
        </is>
      </c>
      <c r="T24" s="42" t="inlineStr">
        <is>
          <t>サーモスⅡ-H/L 商品カタログ</t>
        </is>
      </c>
      <c r="U24" s="42" t="inlineStr">
        <is>
          <t>https://webcatalog.lixil.co.jp/iportal/CatalogDetail.do?catalogID=15191910000&amp;categoryID=1630000&amp;designID=newinter&amp;method=initial_screen&amp;position=18&amp;type=mc&amp;volumeID=LXL13001</t>
        </is>
      </c>
      <c r="V24" s="42" t="inlineStr">
        <is>
          <t>AUTO</t>
        </is>
      </c>
      <c r="W24" s="42" t="str"/>
    </row>
    <row r="25">
      <c r="A25" s="42" t="inlineStr">
        <is>
          <t>CR-SL-022</t>
        </is>
      </c>
      <c r="B25" s="42" t="inlineStr">
        <is>
          <t>SER-LIX-SAMOSL</t>
        </is>
      </c>
      <c r="C25" s="42" t="inlineStr">
        <is>
          <t>WT-SL-TATE-SUBERI</t>
        </is>
      </c>
      <c r="D25" s="42" t="inlineStr">
        <is>
          <t>SP-SL-TATE-CAM-TF-OUT</t>
        </is>
      </c>
      <c r="E25" s="42" t="inlineStr">
        <is>
          <t>在来/204</t>
        </is>
      </c>
      <c r="F25" s="42" t="inlineStr">
        <is>
          <t>TF/TFT</t>
        </is>
      </c>
      <c r="G25" s="42" t="inlineStr">
        <is>
          <t>COMPOUND_GATE</t>
        </is>
      </c>
      <c r="H25" s="42" t="n"/>
      <c r="I25" s="42" t="n"/>
      <c r="J25" s="42" t="n"/>
      <c r="K25" s="42" t="n"/>
      <c r="L25" s="42" t="inlineStr">
        <is>
          <t>開き部はP164範囲＋FIX部P208/P216＋方立P247を全て満たす</t>
        </is>
      </c>
      <c r="M25" s="42" t="inlineStr">
        <is>
          <t>複合判定</t>
        </is>
      </c>
      <c r="N25" s="42" t="b">
        <v>0</v>
      </c>
      <c r="O25" s="42" t="str"/>
      <c r="P25" s="42" t="inlineStr">
        <is>
          <t>ガラス構成により不可あり</t>
        </is>
      </c>
      <c r="Q25" s="42" t="b">
        <v>1</v>
      </c>
      <c r="R25" s="42" t="inlineStr">
        <is>
          <t>本投入</t>
        </is>
      </c>
      <c r="S25" s="42" t="inlineStr">
        <is>
          <t>P164</t>
        </is>
      </c>
      <c r="T25" s="42" t="inlineStr">
        <is>
          <t>サーモスⅡ-H/L 商品カタログ</t>
        </is>
      </c>
      <c r="U25" s="42" t="inlineStr">
        <is>
          <t>https://webcatalog.lixil.co.jp/iportal/CatalogDetail.do?catalogID=15191910000&amp;categoryID=1630000&amp;designID=newinter&amp;method=initial_screen&amp;position=18&amp;type=mc&amp;volumeID=LXL13001</t>
        </is>
      </c>
      <c r="V25" s="42" t="inlineStr">
        <is>
          <t>REVIEW_REQUIRED</t>
        </is>
      </c>
      <c r="W25" s="42" t="str"/>
    </row>
    <row r="26">
      <c r="A26" s="42" t="inlineStr">
        <is>
          <t>CR-SL-023</t>
        </is>
      </c>
      <c r="B26" s="42" t="inlineStr">
        <is>
          <t>SER-LIX-SAMOSL</t>
        </is>
      </c>
      <c r="C26" s="42" t="inlineStr">
        <is>
          <t>WT-SL-TATE-SUBERI</t>
        </is>
      </c>
      <c r="D26" s="42" t="inlineStr">
        <is>
          <t>SP-SL-TATE-CAM-TFT-OUT</t>
        </is>
      </c>
      <c r="E26" s="42" t="inlineStr">
        <is>
          <t>在来/204</t>
        </is>
      </c>
      <c r="F26" s="42" t="inlineStr">
        <is>
          <t>TF/TFT</t>
        </is>
      </c>
      <c r="G26" s="42" t="inlineStr">
        <is>
          <t>COMPOUND_GATE</t>
        </is>
      </c>
      <c r="H26" s="42" t="n"/>
      <c r="I26" s="42" t="n"/>
      <c r="J26" s="42" t="n"/>
      <c r="K26" s="42" t="n"/>
      <c r="L26" s="42" t="inlineStr">
        <is>
          <t>開き部はP164範囲＋FIX部P208/P216＋方立P247を全て満たす</t>
        </is>
      </c>
      <c r="M26" s="42" t="inlineStr">
        <is>
          <t>複合判定</t>
        </is>
      </c>
      <c r="N26" s="42" t="b">
        <v>0</v>
      </c>
      <c r="O26" s="42" t="str"/>
      <c r="P26" s="42" t="inlineStr">
        <is>
          <t>ガラス構成により不可あり</t>
        </is>
      </c>
      <c r="Q26" s="42" t="b">
        <v>1</v>
      </c>
      <c r="R26" s="42" t="inlineStr">
        <is>
          <t>本投入</t>
        </is>
      </c>
      <c r="S26" s="42" t="inlineStr">
        <is>
          <t>P164</t>
        </is>
      </c>
      <c r="T26" s="42" t="inlineStr">
        <is>
          <t>サーモスⅡ-H/L 商品カタログ</t>
        </is>
      </c>
      <c r="U26" s="42" t="inlineStr">
        <is>
          <t>https://webcatalog.lixil.co.jp/iportal/CatalogDetail.do?catalogID=15191910000&amp;categoryID=1630000&amp;designID=newinter&amp;method=initial_screen&amp;position=18&amp;type=mc&amp;volumeID=LXL13001</t>
        </is>
      </c>
      <c r="V26" s="42" t="inlineStr">
        <is>
          <t>REVIEW_REQUIRED</t>
        </is>
      </c>
      <c r="W26" s="42" t="str"/>
    </row>
    <row r="27">
      <c r="A27" s="42" t="inlineStr">
        <is>
          <t>CR-SL-024</t>
        </is>
      </c>
      <c r="B27" s="42" t="inlineStr">
        <is>
          <t>SER-LIX-SAMOSL</t>
        </is>
      </c>
      <c r="C27" s="42" t="inlineStr">
        <is>
          <t>WT-SL-TATE-SUBERI</t>
        </is>
      </c>
      <c r="D27" s="42" t="inlineStr">
        <is>
          <t>SP-SL-TATE-CAM-TF-IN</t>
        </is>
      </c>
      <c r="E27" s="42" t="inlineStr">
        <is>
          <t>在来/204</t>
        </is>
      </c>
      <c r="F27" s="42" t="inlineStr">
        <is>
          <t>TF/TFT</t>
        </is>
      </c>
      <c r="G27" s="42" t="inlineStr">
        <is>
          <t>COMPOUND_GATE</t>
        </is>
      </c>
      <c r="H27" s="42" t="n"/>
      <c r="I27" s="42" t="n"/>
      <c r="J27" s="42" t="n"/>
      <c r="K27" s="42" t="n"/>
      <c r="L27" s="42" t="inlineStr">
        <is>
          <t>開き部はP164範囲＋FIX部P208/P216＋方立P247を全て満たす</t>
        </is>
      </c>
      <c r="M27" s="42" t="inlineStr">
        <is>
          <t>複合判定</t>
        </is>
      </c>
      <c r="N27" s="42" t="b">
        <v>0</v>
      </c>
      <c r="O27" s="42" t="str"/>
      <c r="P27" s="42" t="inlineStr">
        <is>
          <t>ガラス構成により不可あり</t>
        </is>
      </c>
      <c r="Q27" s="42" t="b">
        <v>1</v>
      </c>
      <c r="R27" s="42" t="inlineStr">
        <is>
          <t>本投入</t>
        </is>
      </c>
      <c r="S27" s="42" t="inlineStr">
        <is>
          <t>P164</t>
        </is>
      </c>
      <c r="T27" s="42" t="inlineStr">
        <is>
          <t>サーモスⅡ-H/L 商品カタログ</t>
        </is>
      </c>
      <c r="U27" s="42" t="inlineStr">
        <is>
          <t>https://webcatalog.lixil.co.jp/iportal/CatalogDetail.do?catalogID=15191910000&amp;categoryID=1630000&amp;designID=newinter&amp;method=initial_screen&amp;position=18&amp;type=mc&amp;volumeID=LXL13001</t>
        </is>
      </c>
      <c r="V27" s="42" t="inlineStr">
        <is>
          <t>REVIEW_REQUIRED</t>
        </is>
      </c>
      <c r="W27" s="42" t="str"/>
    </row>
    <row r="28">
      <c r="A28" s="42" t="inlineStr">
        <is>
          <t>CR-SL-025</t>
        </is>
      </c>
      <c r="B28" s="42" t="inlineStr">
        <is>
          <t>SER-LIX-SAMOSL</t>
        </is>
      </c>
      <c r="C28" s="42" t="inlineStr">
        <is>
          <t>WT-SL-TATE-SUBERI</t>
        </is>
      </c>
      <c r="D28" s="42" t="inlineStr">
        <is>
          <t>SP-SL-TATE-CAM-TFT-IN</t>
        </is>
      </c>
      <c r="E28" s="42" t="inlineStr">
        <is>
          <t>在来/204</t>
        </is>
      </c>
      <c r="F28" s="42" t="inlineStr">
        <is>
          <t>TF/TFT</t>
        </is>
      </c>
      <c r="G28" s="42" t="inlineStr">
        <is>
          <t>COMPOUND_GATE</t>
        </is>
      </c>
      <c r="H28" s="42" t="n"/>
      <c r="I28" s="42" t="n"/>
      <c r="J28" s="42" t="n"/>
      <c r="K28" s="42" t="n"/>
      <c r="L28" s="42" t="inlineStr">
        <is>
          <t>開き部はP164範囲＋FIX部P208/P216＋方立P247を全て満たす</t>
        </is>
      </c>
      <c r="M28" s="42" t="inlineStr">
        <is>
          <t>複合判定</t>
        </is>
      </c>
      <c r="N28" s="42" t="b">
        <v>0</v>
      </c>
      <c r="O28" s="42" t="str"/>
      <c r="P28" s="42" t="inlineStr">
        <is>
          <t>ガラス構成により不可あり</t>
        </is>
      </c>
      <c r="Q28" s="42" t="b">
        <v>1</v>
      </c>
      <c r="R28" s="42" t="inlineStr">
        <is>
          <t>本投入</t>
        </is>
      </c>
      <c r="S28" s="42" t="inlineStr">
        <is>
          <t>P164</t>
        </is>
      </c>
      <c r="T28" s="42" t="inlineStr">
        <is>
          <t>サーモスⅡ-H/L 商品カタログ</t>
        </is>
      </c>
      <c r="U28" s="42" t="inlineStr">
        <is>
          <t>https://webcatalog.lixil.co.jp/iportal/CatalogDetail.do?catalogID=15191910000&amp;categoryID=1630000&amp;designID=newinter&amp;method=initial_screen&amp;position=18&amp;type=mc&amp;volumeID=LXL13001</t>
        </is>
      </c>
      <c r="V28" s="42" t="inlineStr">
        <is>
          <t>REVIEW_REQUIRED</t>
        </is>
      </c>
      <c r="W28" s="42" t="str"/>
    </row>
    <row r="29">
      <c r="A29" s="42" t="inlineStr">
        <is>
          <t>CR-SL-026</t>
        </is>
      </c>
      <c r="B29" s="42" t="inlineStr">
        <is>
          <t>SER-LIX-SAMOSL</t>
        </is>
      </c>
      <c r="C29" s="42" t="inlineStr">
        <is>
          <t>WT-SL-YOKO-SUBERI</t>
        </is>
      </c>
      <c r="D29" s="42" t="inlineStr">
        <is>
          <t>SP-SL-YOKO-OP</t>
        </is>
      </c>
      <c r="E29" s="42" t="inlineStr">
        <is>
          <t>在来/204</t>
        </is>
      </c>
      <c r="F29" s="42" t="inlineStr">
        <is>
          <t>単窓</t>
        </is>
      </c>
      <c r="G29" s="42" t="inlineStr">
        <is>
          <t>AUTO_RECT</t>
        </is>
      </c>
      <c r="H29" s="42" t="n">
        <v>300</v>
      </c>
      <c r="I29" s="42" t="n">
        <v>1235</v>
      </c>
      <c r="J29" s="42" t="n">
        <v>300</v>
      </c>
      <c r="K29" s="42" t="n">
        <v>1235</v>
      </c>
      <c r="L29" s="42" t="inlineStr">
        <is>
          <t>300&lt;=W&lt;=1235 AND 300&lt;=H&lt;=1235</t>
        </is>
      </c>
      <c r="M29" s="42" t="str"/>
      <c r="N29" s="42" t="b">
        <v>1</v>
      </c>
      <c r="O29" s="42" t="inlineStr">
        <is>
          <t>サブロックなしハッチングは別属性</t>
        </is>
      </c>
      <c r="P29" s="42" t="inlineStr">
        <is>
          <t>ガラス構成により不可あり</t>
        </is>
      </c>
      <c r="Q29" s="42" t="b">
        <v>1</v>
      </c>
      <c r="R29" s="42" t="inlineStr">
        <is>
          <t>本投入</t>
        </is>
      </c>
      <c r="S29" s="42" t="inlineStr">
        <is>
          <t>P172</t>
        </is>
      </c>
      <c r="T29" s="42" t="inlineStr">
        <is>
          <t>サーモスⅡ-H/L 商品カタログ</t>
        </is>
      </c>
      <c r="U29" s="42" t="inlineStr">
        <is>
          <t>https://webcatalog.lixil.co.jp/iportal/CatalogDetail.do?catalogID=15191910000&amp;categoryID=1630000&amp;designID=newinter&amp;method=initial_screen&amp;position=18&amp;type=mc&amp;volumeID=LXL13001</t>
        </is>
      </c>
      <c r="V29" s="42" t="inlineStr">
        <is>
          <t>AUTO</t>
        </is>
      </c>
      <c r="W29" s="42" t="str"/>
    </row>
    <row r="30">
      <c r="A30" s="42" t="inlineStr">
        <is>
          <t>CR-SL-027</t>
        </is>
      </c>
      <c r="B30" s="42" t="inlineStr">
        <is>
          <t>SER-LIX-SAMOSL</t>
        </is>
      </c>
      <c r="C30" s="42" t="inlineStr">
        <is>
          <t>WT-SL-YOKO-SUBERI</t>
        </is>
      </c>
      <c r="D30" s="42" t="inlineStr">
        <is>
          <t>SP-SL-YOKO-CAM</t>
        </is>
      </c>
      <c r="E30" s="42" t="inlineStr">
        <is>
          <t>在来/204</t>
        </is>
      </c>
      <c r="F30" s="42" t="inlineStr">
        <is>
          <t>単窓</t>
        </is>
      </c>
      <c r="G30" s="42" t="inlineStr">
        <is>
          <t>AUTO_PIECEWISE</t>
        </is>
      </c>
      <c r="H30" s="42" t="n">
        <v>300</v>
      </c>
      <c r="I30" s="42" t="n">
        <v>870</v>
      </c>
      <c r="J30" s="42" t="n">
        <v>300</v>
      </c>
      <c r="K30" s="42" t="n">
        <v>1000</v>
      </c>
      <c r="L30" s="42" t="inlineStr">
        <is>
          <t>(300&lt;=W&lt;=340 AND 300&lt;=H&lt;=340) OR (340&lt;W&lt;=870 AND 340&lt;=H&lt;=1000)</t>
        </is>
      </c>
      <c r="M30" s="42" t="str"/>
      <c r="N30" s="42" t="b">
        <v>1</v>
      </c>
      <c r="O30" s="42" t="str"/>
      <c r="P30" s="42" t="inlineStr">
        <is>
          <t>ガラス構成により不可あり</t>
        </is>
      </c>
      <c r="Q30" s="42" t="b">
        <v>1</v>
      </c>
      <c r="R30" s="42" t="inlineStr">
        <is>
          <t>本投入</t>
        </is>
      </c>
      <c r="S30" s="42" t="inlineStr">
        <is>
          <t>P180</t>
        </is>
      </c>
      <c r="T30" s="42" t="inlineStr">
        <is>
          <t>サーモスⅡ-H/L 商品カタログ</t>
        </is>
      </c>
      <c r="U30" s="42" t="inlineStr">
        <is>
          <t>https://webcatalog.lixil.co.jp/iportal/CatalogDetail.do?catalogID=15191910000&amp;categoryID=1630000&amp;designID=newinter&amp;method=initial_screen&amp;position=18&amp;type=mc&amp;volumeID=LXL13001</t>
        </is>
      </c>
      <c r="V30" s="42" t="inlineStr">
        <is>
          <t>AUTO</t>
        </is>
      </c>
      <c r="W30" s="42" t="str"/>
    </row>
    <row r="31">
      <c r="A31" s="42" t="inlineStr">
        <is>
          <t>CR-SL-028</t>
        </is>
      </c>
      <c r="B31" s="42" t="inlineStr">
        <is>
          <t>SER-LIX-SAMOSL</t>
        </is>
      </c>
      <c r="C31" s="42" t="inlineStr">
        <is>
          <t>WT-SL-KOSHO-YOKO</t>
        </is>
      </c>
      <c r="D31" s="42" t="inlineStr">
        <is>
          <t>*</t>
        </is>
      </c>
      <c r="E31" s="42" t="inlineStr">
        <is>
          <t>在来/204</t>
        </is>
      </c>
      <c r="F31" s="42" t="inlineStr">
        <is>
          <t>単窓</t>
        </is>
      </c>
      <c r="G31" s="42" t="inlineStr">
        <is>
          <t>AUTO_PIECEWISE</t>
        </is>
      </c>
      <c r="H31" s="42" t="n">
        <v>405</v>
      </c>
      <c r="I31" s="42" t="n">
        <v>1690</v>
      </c>
      <c r="J31" s="42" t="n">
        <v>300</v>
      </c>
      <c r="K31" s="42" t="n">
        <v>1370</v>
      </c>
      <c r="L31" s="42" t="inlineStr">
        <is>
          <t>405&lt;=W&lt;=640:H&lt;=1370; 640&lt;W&lt;=780:H&lt;=970; 780&lt;W&lt;=1690:H&lt;=570</t>
        </is>
      </c>
      <c r="M31" s="42" t="str"/>
      <c r="N31" s="42" t="b">
        <v>1</v>
      </c>
      <c r="O31" s="42" t="inlineStr">
        <is>
          <t>操作方式別H&gt;=700制限は04B/06B</t>
        </is>
      </c>
      <c r="P31" s="42" t="inlineStr">
        <is>
          <t>ガラス構成により不可あり</t>
        </is>
      </c>
      <c r="Q31" s="42" t="b">
        <v>1</v>
      </c>
      <c r="R31" s="42" t="inlineStr">
        <is>
          <t>本投入</t>
        </is>
      </c>
      <c r="S31" s="42" t="inlineStr">
        <is>
          <t>P187</t>
        </is>
      </c>
      <c r="T31" s="42" t="inlineStr">
        <is>
          <t>サーモスⅡ-H/L 商品カタログ</t>
        </is>
      </c>
      <c r="U31" s="42" t="inlineStr">
        <is>
          <t>https://webcatalog.lixil.co.jp/iportal/CatalogDetail.do?catalogID=15191910000&amp;categoryID=1630000&amp;designID=newinter&amp;method=initial_screen&amp;position=18&amp;type=mc&amp;volumeID=LXL13001</t>
        </is>
      </c>
      <c r="V31" s="42" t="inlineStr">
        <is>
          <t>AUTO</t>
        </is>
      </c>
      <c r="W31" s="42" t="str"/>
    </row>
    <row r="32">
      <c r="A32" s="42" t="inlineStr">
        <is>
          <t>CR-SL-029</t>
        </is>
      </c>
      <c r="B32" s="42" t="inlineStr">
        <is>
          <t>SER-LIX-SAMOSL</t>
        </is>
      </c>
      <c r="C32" s="42" t="inlineStr">
        <is>
          <t>WT-SL-AGE-SAGE-FS</t>
        </is>
      </c>
      <c r="D32" s="42" t="inlineStr">
        <is>
          <t>*</t>
        </is>
      </c>
      <c r="E32" s="42" t="inlineStr">
        <is>
          <t>在来/204</t>
        </is>
      </c>
      <c r="F32" s="42" t="inlineStr">
        <is>
          <t>単窓</t>
        </is>
      </c>
      <c r="G32" s="42" t="inlineStr">
        <is>
          <t>AUTO_PIECEWISE</t>
        </is>
      </c>
      <c r="H32" s="42" t="n">
        <v>300</v>
      </c>
      <c r="I32" s="42" t="n">
        <v>870</v>
      </c>
      <c r="J32" s="42" t="n">
        <v>600</v>
      </c>
      <c r="K32" s="42" t="n">
        <v>1700</v>
      </c>
      <c r="L32" s="42" t="inlineStr">
        <is>
          <t>(300&lt;=W&lt;=340 AND 600&lt;=H&lt;=660) OR (340&lt;W&lt;=870 AND 600&lt;=H&lt;=1700)</t>
        </is>
      </c>
      <c r="M32" s="42" t="str"/>
      <c r="N32" s="42" t="b">
        <v>1</v>
      </c>
      <c r="O32" s="42" t="inlineStr">
        <is>
          <t>均等障子特注ゾーンあり。障子重量1.4～13kgは08F</t>
        </is>
      </c>
      <c r="P32" s="42" t="inlineStr">
        <is>
          <t>ガラス構成・重量を08F評価</t>
        </is>
      </c>
      <c r="Q32" s="42" t="b">
        <v>1</v>
      </c>
      <c r="R32" s="42" t="inlineStr">
        <is>
          <t>本投入</t>
        </is>
      </c>
      <c r="S32" s="42" t="inlineStr">
        <is>
          <t>P193</t>
        </is>
      </c>
      <c r="T32" s="42" t="inlineStr">
        <is>
          <t>サーモスⅡ-H/L 商品カタログ</t>
        </is>
      </c>
      <c r="U32" s="42" t="inlineStr">
        <is>
          <t>https://webcatalog.lixil.co.jp/iportal/CatalogDetail.do?catalogID=15191910000&amp;categoryID=1630000&amp;designID=newinter&amp;method=initial_screen&amp;position=18&amp;type=mc&amp;volumeID=LXL13001</t>
        </is>
      </c>
      <c r="V32" s="42" t="inlineStr">
        <is>
          <t>AUTO</t>
        </is>
      </c>
      <c r="W32" s="42" t="str"/>
    </row>
    <row r="33">
      <c r="A33" s="42" t="inlineStr">
        <is>
          <t>CR-SL-030</t>
        </is>
      </c>
      <c r="B33" s="42" t="inlineStr">
        <is>
          <t>SER-LIX-SAMOSL</t>
        </is>
      </c>
      <c r="C33" s="42" t="inlineStr">
        <is>
          <t>WT-SL-MENKOSHI-AGE-FS</t>
        </is>
      </c>
      <c r="D33" s="42" t="inlineStr">
        <is>
          <t>SP-SL-AGE-GRILLE-V</t>
        </is>
      </c>
      <c r="E33" s="42" t="inlineStr">
        <is>
          <t>在来/204</t>
        </is>
      </c>
      <c r="F33" s="42" t="inlineStr">
        <is>
          <t>単窓</t>
        </is>
      </c>
      <c r="G33" s="42" t="inlineStr">
        <is>
          <t>AUTO_RECT</t>
        </is>
      </c>
      <c r="H33" s="42" t="n">
        <v>300</v>
      </c>
      <c r="I33" s="42" t="n">
        <v>870</v>
      </c>
      <c r="J33" s="42" t="n">
        <v>600</v>
      </c>
      <c r="K33" s="42" t="n">
        <v>1423</v>
      </c>
      <c r="L33" s="42" t="inlineStr">
        <is>
          <t>300&lt;=W&lt;=870 AND 600&lt;=H&lt;=1423</t>
        </is>
      </c>
      <c r="M33" s="42" t="str"/>
      <c r="N33" s="42" t="b">
        <v>1</v>
      </c>
      <c r="O33" s="42" t="inlineStr">
        <is>
          <t>障子重量1.4～13kgは08F</t>
        </is>
      </c>
      <c r="P33" s="42" t="inlineStr">
        <is>
          <t>ガラス構成・重量を08F評価</t>
        </is>
      </c>
      <c r="Q33" s="42" t="b">
        <v>1</v>
      </c>
      <c r="R33" s="42" t="inlineStr">
        <is>
          <t>本投入</t>
        </is>
      </c>
      <c r="S33" s="42" t="inlineStr">
        <is>
          <t>P199</t>
        </is>
      </c>
      <c r="T33" s="42" t="inlineStr">
        <is>
          <t>サーモスⅡ-H/L 商品カタログ</t>
        </is>
      </c>
      <c r="U33" s="42" t="inlineStr">
        <is>
          <t>https://webcatalog.lixil.co.jp/iportal/CatalogDetail.do?catalogID=15191910000&amp;categoryID=1630000&amp;designID=newinter&amp;method=initial_screen&amp;position=18&amp;type=mc&amp;volumeID=LXL13001</t>
        </is>
      </c>
      <c r="V33" s="42" t="inlineStr">
        <is>
          <t>AUTO</t>
        </is>
      </c>
      <c r="W33" s="42" t="str"/>
    </row>
    <row r="34">
      <c r="A34" s="42" t="inlineStr">
        <is>
          <t>CR-SL-031</t>
        </is>
      </c>
      <c r="B34" s="42" t="inlineStr">
        <is>
          <t>SER-LIX-SAMOSL</t>
        </is>
      </c>
      <c r="C34" s="42" t="inlineStr">
        <is>
          <t>WT-SL-MENKOSHI-AGE-FS</t>
        </is>
      </c>
      <c r="D34" s="42" t="inlineStr">
        <is>
          <t>SP-SL-AGE-GRILLE-H</t>
        </is>
      </c>
      <c r="E34" s="42" t="inlineStr">
        <is>
          <t>在来/204</t>
        </is>
      </c>
      <c r="F34" s="42" t="inlineStr">
        <is>
          <t>単窓</t>
        </is>
      </c>
      <c r="G34" s="42" t="inlineStr">
        <is>
          <t>AUTO_RECT</t>
        </is>
      </c>
      <c r="H34" s="42" t="n">
        <v>300</v>
      </c>
      <c r="I34" s="42" t="n">
        <v>870</v>
      </c>
      <c r="J34" s="42" t="n">
        <v>600</v>
      </c>
      <c r="K34" s="42" t="n">
        <v>1513</v>
      </c>
      <c r="L34" s="42" t="inlineStr">
        <is>
          <t>300&lt;=W&lt;=870 AND 600&lt;=H&lt;=1513</t>
        </is>
      </c>
      <c r="M34" s="42" t="str"/>
      <c r="N34" s="42" t="b">
        <v>1</v>
      </c>
      <c r="O34" s="42" t="inlineStr">
        <is>
          <t>障子重量1.4～13kgは08F</t>
        </is>
      </c>
      <c r="P34" s="42" t="inlineStr">
        <is>
          <t>ガラス構成・重量を08F評価</t>
        </is>
      </c>
      <c r="Q34" s="42" t="b">
        <v>1</v>
      </c>
      <c r="R34" s="42" t="inlineStr">
        <is>
          <t>本投入</t>
        </is>
      </c>
      <c r="S34" s="42" t="inlineStr">
        <is>
          <t>P199</t>
        </is>
      </c>
      <c r="T34" s="42" t="inlineStr">
        <is>
          <t>サーモスⅡ-H/L 商品カタログ</t>
        </is>
      </c>
      <c r="U34" s="42" t="inlineStr">
        <is>
          <t>https://webcatalog.lixil.co.jp/iportal/CatalogDetail.do?catalogID=15191910000&amp;categoryID=1630000&amp;designID=newinter&amp;method=initial_screen&amp;position=18&amp;type=mc&amp;volumeID=LXL13001</t>
        </is>
      </c>
      <c r="V34" s="42" t="inlineStr">
        <is>
          <t>AUTO</t>
        </is>
      </c>
      <c r="W34" s="42" t="str"/>
    </row>
    <row r="35">
      <c r="A35" s="42" t="inlineStr">
        <is>
          <t>CR-SL-032</t>
        </is>
      </c>
      <c r="B35" s="42" t="inlineStr">
        <is>
          <t>SER-LIX-SAMOSL</t>
        </is>
      </c>
      <c r="C35" s="42" t="inlineStr">
        <is>
          <t>WT-SL-MENKOSHI-AGE-FS</t>
        </is>
      </c>
      <c r="D35" s="42" t="inlineStr">
        <is>
          <t>SP-SL-AGE-GRILLE-DIA</t>
        </is>
      </c>
      <c r="E35" s="42" t="inlineStr">
        <is>
          <t>在来/204</t>
        </is>
      </c>
      <c r="F35" s="42" t="inlineStr">
        <is>
          <t>単窓</t>
        </is>
      </c>
      <c r="G35" s="42" t="inlineStr">
        <is>
          <t>AUTO_RECT</t>
        </is>
      </c>
      <c r="H35" s="42" t="n">
        <v>300</v>
      </c>
      <c r="I35" s="42" t="n">
        <v>870</v>
      </c>
      <c r="J35" s="42" t="n">
        <v>600</v>
      </c>
      <c r="K35" s="42" t="n">
        <v>1570</v>
      </c>
      <c r="L35" s="42" t="inlineStr">
        <is>
          <t>300&lt;=W&lt;=870 AND 600&lt;=H&lt;=1570</t>
        </is>
      </c>
      <c r="M35" s="42" t="str"/>
      <c r="N35" s="42" t="b">
        <v>1</v>
      </c>
      <c r="O35" s="42" t="inlineStr">
        <is>
          <t>障子重量1.4～13kgは08F</t>
        </is>
      </c>
      <c r="P35" s="42" t="inlineStr">
        <is>
          <t>ガラス構成・重量を08F評価</t>
        </is>
      </c>
      <c r="Q35" s="42" t="b">
        <v>1</v>
      </c>
      <c r="R35" s="42" t="inlineStr">
        <is>
          <t>本投入</t>
        </is>
      </c>
      <c r="S35" s="42" t="inlineStr">
        <is>
          <t>P199</t>
        </is>
      </c>
      <c r="T35" s="42" t="inlineStr">
        <is>
          <t>サーモスⅡ-H/L 商品カタログ</t>
        </is>
      </c>
      <c r="U35" s="42" t="inlineStr">
        <is>
          <t>https://webcatalog.lixil.co.jp/iportal/CatalogDetail.do?catalogID=15191910000&amp;categoryID=1630000&amp;designID=newinter&amp;method=initial_screen&amp;position=18&amp;type=mc&amp;volumeID=LXL13001</t>
        </is>
      </c>
      <c r="V35" s="42" t="inlineStr">
        <is>
          <t>AUTO</t>
        </is>
      </c>
      <c r="W35" s="42" t="str"/>
    </row>
    <row r="36">
      <c r="A36" s="42" t="inlineStr">
        <is>
          <t>CR-SL-033</t>
        </is>
      </c>
      <c r="B36" s="42" t="inlineStr">
        <is>
          <t>SER-LIX-SAMOSL</t>
        </is>
      </c>
      <c r="C36" s="42" t="inlineStr">
        <is>
          <t>WT-SL-MENKOSHI-AGE-FS</t>
        </is>
      </c>
      <c r="D36" s="42" t="inlineStr">
        <is>
          <t>SP-SL-AGE-GRILLE-IGETA</t>
        </is>
      </c>
      <c r="E36" s="42" t="inlineStr">
        <is>
          <t>在来/204</t>
        </is>
      </c>
      <c r="F36" s="42" t="inlineStr">
        <is>
          <t>単窓</t>
        </is>
      </c>
      <c r="G36" s="42" t="inlineStr">
        <is>
          <t>AUTO_RECT</t>
        </is>
      </c>
      <c r="H36" s="42" t="n">
        <v>300</v>
      </c>
      <c r="I36" s="42" t="n">
        <v>870</v>
      </c>
      <c r="J36" s="42" t="n">
        <v>600</v>
      </c>
      <c r="K36" s="42" t="n">
        <v>1570</v>
      </c>
      <c r="L36" s="42" t="inlineStr">
        <is>
          <t>300&lt;=W&lt;=870 AND 600&lt;=H&lt;=1570</t>
        </is>
      </c>
      <c r="M36" s="42" t="str"/>
      <c r="N36" s="42" t="b">
        <v>1</v>
      </c>
      <c r="O36" s="42" t="inlineStr">
        <is>
          <t>障子重量1.4～13kgは08F</t>
        </is>
      </c>
      <c r="P36" s="42" t="inlineStr">
        <is>
          <t>ガラス構成・重量を08F評価</t>
        </is>
      </c>
      <c r="Q36" s="42" t="b">
        <v>1</v>
      </c>
      <c r="R36" s="42" t="inlineStr">
        <is>
          <t>本投入</t>
        </is>
      </c>
      <c r="S36" s="42" t="inlineStr">
        <is>
          <t>P199</t>
        </is>
      </c>
      <c r="T36" s="42" t="inlineStr">
        <is>
          <t>サーモスⅡ-H/L 商品カタログ</t>
        </is>
      </c>
      <c r="U36" s="42" t="inlineStr">
        <is>
          <t>https://webcatalog.lixil.co.jp/iportal/CatalogDetail.do?catalogID=15191910000&amp;categoryID=1630000&amp;designID=newinter&amp;method=initial_screen&amp;position=18&amp;type=mc&amp;volumeID=LXL13001</t>
        </is>
      </c>
      <c r="V36" s="42" t="inlineStr">
        <is>
          <t>AUTO</t>
        </is>
      </c>
      <c r="W36" s="42" t="str"/>
    </row>
    <row r="37">
      <c r="A37" s="42" t="inlineStr">
        <is>
          <t>CR-SL-034</t>
        </is>
      </c>
      <c r="B37" s="42" t="inlineStr">
        <is>
          <t>SER-LIX-SAMOSL</t>
        </is>
      </c>
      <c r="C37" s="42" t="inlineStr">
        <is>
          <t>WT-SL-FIX-OUT</t>
        </is>
      </c>
      <c r="D37" s="42" t="inlineStr">
        <is>
          <t>*</t>
        </is>
      </c>
      <c r="E37" s="42" t="inlineStr">
        <is>
          <t>在来/204/単純段差</t>
        </is>
      </c>
      <c r="F37" s="42" t="inlineStr">
        <is>
          <t>単窓</t>
        </is>
      </c>
      <c r="G37" s="42" t="inlineStr">
        <is>
          <t>SOURCE_GRAPH_GATE</t>
        </is>
      </c>
      <c r="H37" s="42" t="n">
        <v>200</v>
      </c>
      <c r="I37" s="42" t="n">
        <v>3000</v>
      </c>
      <c r="J37" s="42" t="n">
        <v>200</v>
      </c>
      <c r="K37" s="42" t="n">
        <v>2470</v>
      </c>
      <c r="L37" s="42" t="inlineStr">
        <is>
          <t>上限に曲線境界・工法/ガラス別ゾーンあり</t>
        </is>
      </c>
      <c r="M37" s="42" t="inlineStr">
        <is>
          <t>P208 原本グラフ</t>
        </is>
      </c>
      <c r="N37" s="42" t="b">
        <v>0</v>
      </c>
      <c r="O37" s="42" t="inlineStr">
        <is>
          <t>曲線を推測で数式化しない</t>
        </is>
      </c>
      <c r="P37" s="42" t="inlineStr">
        <is>
          <t>ガラス種別の下限/上限ゾーンあり</t>
        </is>
      </c>
      <c r="Q37" s="42" t="b">
        <v>1</v>
      </c>
      <c r="R37" s="42" t="inlineStr">
        <is>
          <t>本投入</t>
        </is>
      </c>
      <c r="S37" s="42" t="inlineStr">
        <is>
          <t>P208</t>
        </is>
      </c>
      <c r="T37" s="42" t="inlineStr">
        <is>
          <t>サーモスⅡ-H/L 商品カタログ</t>
        </is>
      </c>
      <c r="U37" s="42" t="inlineStr">
        <is>
          <t>https://webcatalog.lixil.co.jp/iportal/CatalogDetail.do?catalogID=15191910000&amp;categoryID=1630000&amp;designID=newinter&amp;method=initial_screen&amp;position=18&amp;type=mc&amp;volumeID=LXL13001</t>
        </is>
      </c>
      <c r="V37" s="42" t="inlineStr">
        <is>
          <t>REVIEW_REQUIRED</t>
        </is>
      </c>
      <c r="W37" s="42" t="str"/>
    </row>
    <row r="38">
      <c r="A38" s="42" t="inlineStr">
        <is>
          <t>CR-SL-035</t>
        </is>
      </c>
      <c r="B38" s="42" t="inlineStr">
        <is>
          <t>SER-LIX-SAMOSL</t>
        </is>
      </c>
      <c r="C38" s="42" t="inlineStr">
        <is>
          <t>WT-SL-FIX-IN</t>
        </is>
      </c>
      <c r="D38" s="42" t="inlineStr">
        <is>
          <t>*</t>
        </is>
      </c>
      <c r="E38" s="42" t="inlineStr">
        <is>
          <t>在来/204/単純段差</t>
        </is>
      </c>
      <c r="F38" s="42" t="inlineStr">
        <is>
          <t>単窓</t>
        </is>
      </c>
      <c r="G38" s="42" t="inlineStr">
        <is>
          <t>SOURCE_GRAPH_GATE</t>
        </is>
      </c>
      <c r="H38" s="42" t="n">
        <v>200</v>
      </c>
      <c r="I38" s="42" t="n">
        <v>3000</v>
      </c>
      <c r="J38" s="42" t="n">
        <v>250</v>
      </c>
      <c r="K38" s="42" t="n">
        <v>2470</v>
      </c>
      <c r="L38" s="42" t="inlineStr">
        <is>
          <t>上限に曲線境界・工法/ガラス別ゾーンあり</t>
        </is>
      </c>
      <c r="M38" s="42" t="inlineStr">
        <is>
          <t>P216 原本グラフ</t>
        </is>
      </c>
      <c r="N38" s="42" t="b">
        <v>0</v>
      </c>
      <c r="O38" s="42" t="inlineStr">
        <is>
          <t>曲線を推測で数式化しない</t>
        </is>
      </c>
      <c r="P38" s="42" t="inlineStr">
        <is>
          <t>網入/安全合わせ/耐熱強化等のゾーンあり</t>
        </is>
      </c>
      <c r="Q38" s="42" t="b">
        <v>1</v>
      </c>
      <c r="R38" s="42" t="inlineStr">
        <is>
          <t>本投入</t>
        </is>
      </c>
      <c r="S38" s="42" t="inlineStr">
        <is>
          <t>P216</t>
        </is>
      </c>
      <c r="T38" s="42" t="inlineStr">
        <is>
          <t>サーモスⅡ-H/L 商品カタログ</t>
        </is>
      </c>
      <c r="U38" s="42" t="inlineStr">
        <is>
          <t>https://webcatalog.lixil.co.jp/iportal/CatalogDetail.do?catalogID=15191910000&amp;categoryID=1630000&amp;designID=newinter&amp;method=initial_screen&amp;position=18&amp;type=mc&amp;volumeID=LXL13001</t>
        </is>
      </c>
      <c r="V38" s="42" t="inlineStr">
        <is>
          <t>REVIEW_REQUIRED</t>
        </is>
      </c>
      <c r="W38" s="42" t="str"/>
    </row>
    <row r="39">
      <c r="A39" s="42" t="inlineStr">
        <is>
          <t>CR-SL-036</t>
        </is>
      </c>
      <c r="B39" s="42" t="inlineStr">
        <is>
          <t>SER-LIX-SAMOSL</t>
        </is>
      </c>
      <c r="C39" s="42" t="inlineStr">
        <is>
          <t>WT-SL-UCHIDAOSHI</t>
        </is>
      </c>
      <c r="D39" s="42" t="inlineStr">
        <is>
          <t>*</t>
        </is>
      </c>
      <c r="E39" s="42" t="inlineStr">
        <is>
          <t>在来/204</t>
        </is>
      </c>
      <c r="F39" s="42" t="inlineStr">
        <is>
          <t>単窓</t>
        </is>
      </c>
      <c r="G39" s="42" t="inlineStr">
        <is>
          <t>COMPOUND_GATE</t>
        </is>
      </c>
      <c r="H39" s="42" t="n">
        <v>240</v>
      </c>
      <c r="I39" s="42" t="n">
        <v>1690</v>
      </c>
      <c r="J39" s="42" t="n">
        <v>350</v>
      </c>
      <c r="K39" s="42" t="n">
        <v>943</v>
      </c>
      <c r="L39" s="42" t="inlineStr">
        <is>
          <t>240&lt;=W&lt;=815:350&lt;=H&lt;=943; 815&lt;W&lt;=870:350&lt;=H&lt;=755; 870&lt;W&lt;=1690:350&lt;=H&lt;=500</t>
        </is>
      </c>
      <c r="M39" s="42" t="inlineStr">
        <is>
          <t>{"safeAutoPolygon":[[240,350],[240,943],[815,943],[815,755],[870,755],[870,500],[1690,500],[1690,350]],"conditionalRegionHandling":"RUNTIME_SAFETY_REVIEW_REQUIRED"}</t>
        </is>
      </c>
      <c r="N39" s="42" t="b">
        <v>0</v>
      </c>
      <c r="O39" s="42" t="inlineStr">
        <is>
          <t>P221注記領域はガラス厚3-A-3限定かつガラス構成依存。W/HだけではAUTO PASSしない</t>
        </is>
      </c>
      <c r="P39" s="42" t="inlineStr">
        <is>
          <t>価格表直接注記16503=3-A-3のみを保持</t>
        </is>
      </c>
      <c r="Q39" s="42" t="b">
        <v>1</v>
      </c>
      <c r="R39" s="42" t="inlineStr">
        <is>
          <t>本投入</t>
        </is>
      </c>
      <c r="S39" s="42" t="inlineStr">
        <is>
          <t>P221</t>
        </is>
      </c>
      <c r="T39" s="42" t="inlineStr">
        <is>
          <t>サーモスⅡ-H/L 商品カタログ</t>
        </is>
      </c>
      <c r="U39" s="42" t="inlineStr">
        <is>
          <t>https://webcatalog.lixil.co.jp/iportal/CatalogDetail.do?catalogID=15191910000&amp;categoryID=1630000&amp;designID=newinter&amp;method=initial_screen&amp;position=18&amp;type=mc&amp;volumeID=LXL13001</t>
        </is>
      </c>
      <c r="V39" s="42" t="inlineStr">
        <is>
          <t>REVIEW_REQUIRED</t>
        </is>
      </c>
      <c r="W39" s="42" t="str"/>
    </row>
    <row r="40">
      <c r="A40" s="42" t="inlineStr">
        <is>
          <t>CR-SL-037</t>
        </is>
      </c>
      <c r="B40" s="42" t="inlineStr">
        <is>
          <t>SER-LIX-SAMOSL</t>
        </is>
      </c>
      <c r="C40" s="42" t="inlineStr">
        <is>
          <t>WT-SL-SOTODAOSHI</t>
        </is>
      </c>
      <c r="D40" s="42" t="inlineStr">
        <is>
          <t>SP-SL-OUTWARD-E</t>
        </is>
      </c>
      <c r="E40" s="42" t="inlineStr">
        <is>
          <t>在来/204</t>
        </is>
      </c>
      <c r="F40" s="42" t="inlineStr">
        <is>
          <t>E単窓 60°</t>
        </is>
      </c>
      <c r="G40" s="42" t="inlineStr">
        <is>
          <t>AUTO_RECT</t>
        </is>
      </c>
      <c r="H40" s="42" t="n">
        <v>440</v>
      </c>
      <c r="I40" s="42" t="n">
        <v>890</v>
      </c>
      <c r="J40" s="42" t="n">
        <v>450</v>
      </c>
      <c r="K40" s="42" t="n">
        <v>800</v>
      </c>
      <c r="L40" s="42" t="inlineStr">
        <is>
          <t>440&lt;=W&lt;=890 AND 450&lt;=H&lt;=800</t>
        </is>
      </c>
      <c r="M40" s="42" t="str"/>
      <c r="N40" s="42" t="b">
        <v>1</v>
      </c>
      <c r="O40" s="42" t="inlineStr">
        <is>
          <t>75°仕様はH&gt;=505</t>
        </is>
      </c>
      <c r="P40" s="42" t="inlineStr">
        <is>
          <t>ガラス構成により不可あり</t>
        </is>
      </c>
      <c r="Q40" s="42" t="b">
        <v>1</v>
      </c>
      <c r="R40" s="42" t="inlineStr">
        <is>
          <t>本投入</t>
        </is>
      </c>
      <c r="S40" s="42" t="inlineStr">
        <is>
          <t>P224</t>
        </is>
      </c>
      <c r="T40" s="42" t="inlineStr">
        <is>
          <t>サーモスⅡ-H/L 商品カタログ</t>
        </is>
      </c>
      <c r="U40" s="42" t="inlineStr">
        <is>
          <t>https://webcatalog.lixil.co.jp/iportal/CatalogDetail.do?catalogID=15191910000&amp;categoryID=1630000&amp;designID=newinter&amp;method=initial_screen&amp;position=18&amp;type=mc&amp;volumeID=LXL13001</t>
        </is>
      </c>
      <c r="V40" s="42" t="inlineStr">
        <is>
          <t>AUTO</t>
        </is>
      </c>
      <c r="W40" s="42" t="str"/>
    </row>
    <row r="41">
      <c r="A41" s="42" t="inlineStr">
        <is>
          <t>CR-SL-038</t>
        </is>
      </c>
      <c r="B41" s="42" t="inlineStr">
        <is>
          <t>SER-LIX-SAMOSL</t>
        </is>
      </c>
      <c r="C41" s="42" t="inlineStr">
        <is>
          <t>WT-SL-SOTODAOSHI</t>
        </is>
      </c>
      <c r="D41" s="42" t="inlineStr">
        <is>
          <t>SP-SL-OUTWARD-EE</t>
        </is>
      </c>
      <c r="E41" s="42" t="inlineStr">
        <is>
          <t>在来/204</t>
        </is>
      </c>
      <c r="F41" s="42" t="inlineStr">
        <is>
          <t>EE連窓</t>
        </is>
      </c>
      <c r="G41" s="42" t="inlineStr">
        <is>
          <t>COMPOUND_GATE</t>
        </is>
      </c>
      <c r="H41" s="42" t="n"/>
      <c r="I41" s="42" t="n"/>
      <c r="J41" s="42" t="n"/>
      <c r="K41" s="42" t="n"/>
      <c r="L41" s="42" t="inlineStr">
        <is>
          <t>単窓換算W=(開口W-15)/2 をE範囲へ投入</t>
        </is>
      </c>
      <c r="M41" s="42" t="str"/>
      <c r="N41" s="42" t="b">
        <v>0</v>
      </c>
      <c r="O41" s="42" t="inlineStr">
        <is>
          <t>連窓全体Wではなく単窓換算で判定</t>
        </is>
      </c>
      <c r="P41" s="42" t="inlineStr">
        <is>
          <t>ガラス構成により不可あり</t>
        </is>
      </c>
      <c r="Q41" s="42" t="b">
        <v>1</v>
      </c>
      <c r="R41" s="42" t="inlineStr">
        <is>
          <t>本投入</t>
        </is>
      </c>
      <c r="S41" s="42" t="inlineStr">
        <is>
          <t>P224</t>
        </is>
      </c>
      <c r="T41" s="42" t="inlineStr">
        <is>
          <t>サーモスⅡ-H/L 商品カタログ</t>
        </is>
      </c>
      <c r="U41" s="42" t="inlineStr">
        <is>
          <t>https://webcatalog.lixil.co.jp/iportal/CatalogDetail.do?catalogID=15191910000&amp;categoryID=1630000&amp;designID=newinter&amp;method=initial_screen&amp;position=18&amp;type=mc&amp;volumeID=LXL13001</t>
        </is>
      </c>
      <c r="V41" s="42" t="inlineStr">
        <is>
          <t>REVIEW_REQUIRED</t>
        </is>
      </c>
      <c r="W41" s="42" t="str"/>
    </row>
    <row r="42">
      <c r="A42" s="42" t="inlineStr">
        <is>
          <t>CR-SL-039</t>
        </is>
      </c>
      <c r="B42" s="42" t="inlineStr">
        <is>
          <t>SER-LIX-SAMOSL</t>
        </is>
      </c>
      <c r="C42" s="42" t="inlineStr">
        <is>
          <t>WT-SL-KAZARI-HIKI</t>
        </is>
      </c>
      <c r="D42" s="42" t="inlineStr">
        <is>
          <t>SP-SL-KAZARI-H</t>
        </is>
      </c>
      <c r="E42" s="42" t="inlineStr">
        <is>
          <t>在来/204</t>
        </is>
      </c>
      <c r="F42" s="42" t="inlineStr">
        <is>
          <t>装飾引違い</t>
        </is>
      </c>
      <c r="G42" s="42" t="inlineStr">
        <is>
          <t>SOURCE_GRAPH_GATE</t>
        </is>
      </c>
      <c r="H42" s="42" t="n">
        <v>630</v>
      </c>
      <c r="I42" s="42" t="n">
        <v>5500</v>
      </c>
      <c r="J42" s="42" t="n">
        <v>350</v>
      </c>
      <c r="K42" s="42" t="n">
        <v>2540</v>
      </c>
      <c r="L42" s="42" t="inlineStr">
        <is>
          <t>H/HK/HKK・枚数・工法・大壁和室障子を含む複合グラフ</t>
        </is>
      </c>
      <c r="M42" s="42" t="inlineStr">
        <is>
          <t>P238 原本グラフ</t>
        </is>
      </c>
      <c r="N42" s="42" t="b">
        <v>0</v>
      </c>
      <c r="O42" s="42" t="inlineStr">
        <is>
          <t>H/HK/HKK別に原本照合</t>
        </is>
      </c>
      <c r="P42" s="42" t="inlineStr">
        <is>
          <t>ガラス面積制限も評価</t>
        </is>
      </c>
      <c r="Q42" s="42" t="b">
        <v>1</v>
      </c>
      <c r="R42" s="42" t="inlineStr">
        <is>
          <t>本投入</t>
        </is>
      </c>
      <c r="S42" s="42" t="inlineStr">
        <is>
          <t>P238</t>
        </is>
      </c>
      <c r="T42" s="42" t="inlineStr">
        <is>
          <t>サーモスⅡ-H/L 商品カタログ</t>
        </is>
      </c>
      <c r="U42" s="42" t="inlineStr">
        <is>
          <t>https://webcatalog.lixil.co.jp/iportal/CatalogDetail.do?catalogID=15191910000&amp;categoryID=1630000&amp;designID=newinter&amp;method=initial_screen&amp;position=18&amp;type=mc&amp;volumeID=LXL13001</t>
        </is>
      </c>
      <c r="V42" s="42" t="inlineStr">
        <is>
          <t>REVIEW_REQUIRED</t>
        </is>
      </c>
      <c r="W42" s="42" t="str"/>
    </row>
    <row r="43">
      <c r="A43" s="42" t="inlineStr">
        <is>
          <t>CR-SL-040</t>
        </is>
      </c>
      <c r="B43" s="42" t="inlineStr">
        <is>
          <t>SER-LIX-SAMOSL</t>
        </is>
      </c>
      <c r="C43" s="42" t="inlineStr">
        <is>
          <t>WT-SL-KAZARI-HIKI</t>
        </is>
      </c>
      <c r="D43" s="42" t="inlineStr">
        <is>
          <t>SP-SL-KAZARI-HK</t>
        </is>
      </c>
      <c r="E43" s="42" t="inlineStr">
        <is>
          <t>在来/204</t>
        </is>
      </c>
      <c r="F43" s="42" t="inlineStr">
        <is>
          <t>装飾引違い</t>
        </is>
      </c>
      <c r="G43" s="42" t="inlineStr">
        <is>
          <t>SOURCE_GRAPH_GATE</t>
        </is>
      </c>
      <c r="H43" s="42" t="n">
        <v>630</v>
      </c>
      <c r="I43" s="42" t="n">
        <v>5500</v>
      </c>
      <c r="J43" s="42" t="n">
        <v>350</v>
      </c>
      <c r="K43" s="42" t="n">
        <v>2540</v>
      </c>
      <c r="L43" s="42" t="inlineStr">
        <is>
          <t>H/HK/HKK・枚数・工法・大壁和室障子を含む複合グラフ</t>
        </is>
      </c>
      <c r="M43" s="42" t="inlineStr">
        <is>
          <t>P238 原本グラフ</t>
        </is>
      </c>
      <c r="N43" s="42" t="b">
        <v>0</v>
      </c>
      <c r="O43" s="42" t="inlineStr">
        <is>
          <t>H/HK/HKK別に原本照合</t>
        </is>
      </c>
      <c r="P43" s="42" t="inlineStr">
        <is>
          <t>ガラス面積制限も評価</t>
        </is>
      </c>
      <c r="Q43" s="42" t="b">
        <v>1</v>
      </c>
      <c r="R43" s="42" t="inlineStr">
        <is>
          <t>本投入</t>
        </is>
      </c>
      <c r="S43" s="42" t="inlineStr">
        <is>
          <t>P238</t>
        </is>
      </c>
      <c r="T43" s="42" t="inlineStr">
        <is>
          <t>サーモスⅡ-H/L 商品カタログ</t>
        </is>
      </c>
      <c r="U43" s="42" t="inlineStr">
        <is>
          <t>https://webcatalog.lixil.co.jp/iportal/CatalogDetail.do?catalogID=15191910000&amp;categoryID=1630000&amp;designID=newinter&amp;method=initial_screen&amp;position=18&amp;type=mc&amp;volumeID=LXL13001</t>
        </is>
      </c>
      <c r="V43" s="42" t="inlineStr">
        <is>
          <t>REVIEW_REQUIRED</t>
        </is>
      </c>
      <c r="W43" s="42" t="str"/>
    </row>
    <row r="44">
      <c r="A44" s="42" t="inlineStr">
        <is>
          <t>CR-SL-041</t>
        </is>
      </c>
      <c r="B44" s="42" t="inlineStr">
        <is>
          <t>SER-LIX-SAMOSL</t>
        </is>
      </c>
      <c r="C44" s="42" t="inlineStr">
        <is>
          <t>WT-SL-KAZARI-HIKI</t>
        </is>
      </c>
      <c r="D44" s="42" t="inlineStr">
        <is>
          <t>SP-SL-KAZARI-HKK</t>
        </is>
      </c>
      <c r="E44" s="42" t="inlineStr">
        <is>
          <t>在来/204</t>
        </is>
      </c>
      <c r="F44" s="42" t="inlineStr">
        <is>
          <t>装飾引違い</t>
        </is>
      </c>
      <c r="G44" s="42" t="inlineStr">
        <is>
          <t>SOURCE_GRAPH_GATE</t>
        </is>
      </c>
      <c r="H44" s="42" t="n">
        <v>630</v>
      </c>
      <c r="I44" s="42" t="n">
        <v>5500</v>
      </c>
      <c r="J44" s="42" t="n">
        <v>350</v>
      </c>
      <c r="K44" s="42" t="n">
        <v>2540</v>
      </c>
      <c r="L44" s="42" t="inlineStr">
        <is>
          <t>H/HK/HKK・枚数・工法・大壁和室障子を含む複合グラフ</t>
        </is>
      </c>
      <c r="M44" s="42" t="inlineStr">
        <is>
          <t>P238 原本グラフ</t>
        </is>
      </c>
      <c r="N44" s="42" t="b">
        <v>0</v>
      </c>
      <c r="O44" s="42" t="inlineStr">
        <is>
          <t>H/HK/HKK別に原本照合</t>
        </is>
      </c>
      <c r="P44" s="42" t="inlineStr">
        <is>
          <t>ガラス面積制限も評価</t>
        </is>
      </c>
      <c r="Q44" s="42" t="b">
        <v>1</v>
      </c>
      <c r="R44" s="42" t="inlineStr">
        <is>
          <t>本投入</t>
        </is>
      </c>
      <c r="S44" s="42" t="inlineStr">
        <is>
          <t>P238</t>
        </is>
      </c>
      <c r="T44" s="42" t="inlineStr">
        <is>
          <t>サーモスⅡ-H/L 商品カタログ</t>
        </is>
      </c>
      <c r="U44" s="42" t="inlineStr">
        <is>
          <t>https://webcatalog.lixil.co.jp/iportal/CatalogDetail.do?catalogID=15191910000&amp;categoryID=1630000&amp;designID=newinter&amp;method=initial_screen&amp;position=18&amp;type=mc&amp;volumeID=LXL13001</t>
        </is>
      </c>
      <c r="V44" s="42" t="inlineStr">
        <is>
          <t>REVIEW_REQUIRED</t>
        </is>
      </c>
      <c r="W44" s="42" t="str"/>
    </row>
    <row r="45">
      <c r="A45" s="42" t="inlineStr">
        <is>
          <t>CR-SL-042</t>
        </is>
      </c>
      <c r="B45" s="42" t="inlineStr">
        <is>
          <t>SER-LIX-SAMOSL</t>
        </is>
      </c>
      <c r="C45" s="42" t="inlineStr">
        <is>
          <t>WT-SL-TERRACE-DOOR</t>
        </is>
      </c>
      <c r="D45" s="42" t="inlineStr">
        <is>
          <t>*</t>
        </is>
      </c>
      <c r="E45" s="42" t="inlineStr">
        <is>
          <t>在来</t>
        </is>
      </c>
      <c r="F45" s="42" t="inlineStr">
        <is>
          <t>TD1</t>
        </is>
      </c>
      <c r="G45" s="42" t="inlineStr">
        <is>
          <t>AUTO_POLYGON</t>
        </is>
      </c>
      <c r="H45" s="42" t="n">
        <v>500</v>
      </c>
      <c r="I45" s="42" t="n">
        <v>1000</v>
      </c>
      <c r="J45" s="42" t="n">
        <v>1261</v>
      </c>
      <c r="K45" s="42" t="n">
        <v>2430</v>
      </c>
      <c r="L45" s="42" t="inlineStr">
        <is>
          <t>W&lt;=822:H&lt;=2430; 822&lt;W&lt;=1000: H&lt;=線形(822,2430)→(1000,1872); H&gt;=1261</t>
        </is>
      </c>
      <c r="M45" s="42" t="inlineStr">
        <is>
          <t>(500,1261);(1000,1261);(1000,1872);(822,2430);(500,2430)</t>
        </is>
      </c>
      <c r="N45" s="42" t="b">
        <v>1</v>
      </c>
      <c r="O45" s="42" t="str"/>
      <c r="P45" s="42" t="inlineStr">
        <is>
          <t>ガラス構成により不可あり</t>
        </is>
      </c>
      <c r="Q45" s="42" t="b">
        <v>1</v>
      </c>
      <c r="R45" s="42" t="inlineStr">
        <is>
          <t>本投入</t>
        </is>
      </c>
      <c r="S45" s="42" t="inlineStr">
        <is>
          <t>P254</t>
        </is>
      </c>
      <c r="T45" s="42" t="inlineStr">
        <is>
          <t>サーモスⅡ-H/L 商品カタログ</t>
        </is>
      </c>
      <c r="U45" s="42" t="inlineStr">
        <is>
          <t>https://webcatalog.lixil.co.jp/iportal/CatalogDetail.do?catalogID=15191910000&amp;categoryID=1630000&amp;designID=newinter&amp;method=initial_screen&amp;position=18&amp;type=mc&amp;volumeID=LXL13001</t>
        </is>
      </c>
      <c r="V45" s="42" t="inlineStr">
        <is>
          <t>AUTO</t>
        </is>
      </c>
      <c r="W45" s="42" t="str"/>
    </row>
    <row r="46">
      <c r="A46" s="42" t="inlineStr">
        <is>
          <t>CR-SL-043</t>
        </is>
      </c>
      <c r="B46" s="42" t="inlineStr">
        <is>
          <t>SER-LIX-SAMOSL</t>
        </is>
      </c>
      <c r="C46" s="42" t="inlineStr">
        <is>
          <t>WT-SL-TERRACE-DOOR</t>
        </is>
      </c>
      <c r="D46" s="42" t="inlineStr">
        <is>
          <t>*</t>
        </is>
      </c>
      <c r="E46" s="42" t="inlineStr">
        <is>
          <t>204</t>
        </is>
      </c>
      <c r="F46" s="42" t="inlineStr">
        <is>
          <t>TD1</t>
        </is>
      </c>
      <c r="G46" s="42" t="inlineStr">
        <is>
          <t>AUTO_POLYGON</t>
        </is>
      </c>
      <c r="H46" s="42" t="n">
        <v>500</v>
      </c>
      <c r="I46" s="42" t="n">
        <v>1000</v>
      </c>
      <c r="J46" s="42" t="n">
        <v>1301</v>
      </c>
      <c r="K46" s="42" t="n">
        <v>2470</v>
      </c>
      <c r="L46" s="42" t="inlineStr">
        <is>
          <t>W&lt;=822:H&lt;=2470; 822&lt;W&lt;=1000: H&lt;=線形(822,2470)→(1000,1912); H&gt;=1301</t>
        </is>
      </c>
      <c r="M46" s="42" t="inlineStr">
        <is>
          <t>(500,1301);(1000,1301);(1000,1912);(822,2470);(500,2470)</t>
        </is>
      </c>
      <c r="N46" s="42" t="b">
        <v>1</v>
      </c>
      <c r="O46" s="42" t="str"/>
      <c r="P46" s="42" t="inlineStr">
        <is>
          <t>ガラス構成により不可あり</t>
        </is>
      </c>
      <c r="Q46" s="42" t="b">
        <v>1</v>
      </c>
      <c r="R46" s="42" t="inlineStr">
        <is>
          <t>本投入</t>
        </is>
      </c>
      <c r="S46" s="42" t="inlineStr">
        <is>
          <t>P254</t>
        </is>
      </c>
      <c r="T46" s="42" t="inlineStr">
        <is>
          <t>サーモスⅡ-H/L 商品カタログ</t>
        </is>
      </c>
      <c r="U46" s="42" t="inlineStr">
        <is>
          <t>https://webcatalog.lixil.co.jp/iportal/CatalogDetail.do?catalogID=15191910000&amp;categoryID=1630000&amp;designID=newinter&amp;method=initial_screen&amp;position=18&amp;type=mc&amp;volumeID=LXL13001</t>
        </is>
      </c>
      <c r="V46" s="42" t="inlineStr">
        <is>
          <t>AUTO</t>
        </is>
      </c>
      <c r="W46" s="42" t="str"/>
    </row>
    <row r="47">
      <c r="A47" s="42" t="inlineStr">
        <is>
          <t>CR-SL-044</t>
        </is>
      </c>
      <c r="B47" s="42" t="inlineStr">
        <is>
          <t>SER-LIX-SAMOSL</t>
        </is>
      </c>
      <c r="C47" s="42" t="inlineStr">
        <is>
          <t>WT-SL-TERRACE-DOOR</t>
        </is>
      </c>
      <c r="D47" s="42" t="inlineStr">
        <is>
          <t>*</t>
        </is>
      </c>
      <c r="E47" s="42" t="inlineStr">
        <is>
          <t>204単純段差</t>
        </is>
      </c>
      <c r="F47" s="42" t="inlineStr">
        <is>
          <t>TD1</t>
        </is>
      </c>
      <c r="G47" s="42" t="inlineStr">
        <is>
          <t>AUTO_POLYGON</t>
        </is>
      </c>
      <c r="H47" s="42" t="n">
        <v>500</v>
      </c>
      <c r="I47" s="42" t="n">
        <v>1000</v>
      </c>
      <c r="J47" s="42" t="n">
        <v>1291</v>
      </c>
      <c r="K47" s="42" t="n">
        <v>2460</v>
      </c>
      <c r="L47" s="42" t="inlineStr">
        <is>
          <t>W&lt;=822:H&lt;=2460; 822&lt;W&lt;=1000: H&lt;=線形(822,2460)→(1000,1902); H&gt;=1291</t>
        </is>
      </c>
      <c r="M47" s="42" t="inlineStr">
        <is>
          <t>(500,1291);(1000,1291);(1000,1902);(822,2460);(500,2460)</t>
        </is>
      </c>
      <c r="N47" s="42" t="b">
        <v>1</v>
      </c>
      <c r="O47" s="42" t="str"/>
      <c r="P47" s="42" t="inlineStr">
        <is>
          <t>ガラス構成により不可あり</t>
        </is>
      </c>
      <c r="Q47" s="42" t="b">
        <v>1</v>
      </c>
      <c r="R47" s="42" t="inlineStr">
        <is>
          <t>本投入</t>
        </is>
      </c>
      <c r="S47" s="42" t="inlineStr">
        <is>
          <t>P254</t>
        </is>
      </c>
      <c r="T47" s="42" t="inlineStr">
        <is>
          <t>サーモスⅡ-H/L 商品カタログ</t>
        </is>
      </c>
      <c r="U47" s="42" t="inlineStr">
        <is>
          <t>https://webcatalog.lixil.co.jp/iportal/CatalogDetail.do?catalogID=15191910000&amp;categoryID=1630000&amp;designID=newinter&amp;method=initial_screen&amp;position=18&amp;type=mc&amp;volumeID=LXL13001</t>
        </is>
      </c>
      <c r="V47" s="42" t="inlineStr">
        <is>
          <t>AUTO</t>
        </is>
      </c>
      <c r="W47" s="42" t="str"/>
    </row>
    <row r="48">
      <c r="A48" s="42" t="inlineStr">
        <is>
          <t>CR-SL-045</t>
        </is>
      </c>
      <c r="B48" s="42" t="inlineStr">
        <is>
          <t>SER-LIX-SAMOSL</t>
        </is>
      </c>
      <c r="C48" s="42" t="inlineStr">
        <is>
          <t>WT-SL-KATTEGUCHI-VENT-FS</t>
        </is>
      </c>
      <c r="D48" s="42" t="inlineStr">
        <is>
          <t>*</t>
        </is>
      </c>
      <c r="E48" s="42" t="inlineStr">
        <is>
          <t>在来</t>
        </is>
      </c>
      <c r="F48" s="42" t="inlineStr">
        <is>
          <t>KSF1</t>
        </is>
      </c>
      <c r="G48" s="42" t="inlineStr">
        <is>
          <t>AUTO_RECT</t>
        </is>
      </c>
      <c r="H48" s="42" t="n">
        <v>500</v>
      </c>
      <c r="I48" s="42" t="n">
        <v>900</v>
      </c>
      <c r="J48" s="42" t="n">
        <v>1400</v>
      </c>
      <c r="K48" s="42" t="n">
        <v>2230</v>
      </c>
      <c r="L48" s="42" t="inlineStr">
        <is>
          <t>500&lt;=W&lt;=900 AND 1400&lt;=H&lt;=2230</t>
        </is>
      </c>
      <c r="M48" s="42" t="str"/>
      <c r="N48" s="42" t="b">
        <v>1</v>
      </c>
      <c r="O48" s="42" t="str"/>
      <c r="P48" s="42" t="inlineStr">
        <is>
          <t>ガラス構成により不可あり</t>
        </is>
      </c>
      <c r="Q48" s="42" t="b">
        <v>1</v>
      </c>
      <c r="R48" s="42" t="inlineStr">
        <is>
          <t>本投入</t>
        </is>
      </c>
      <c r="S48" s="42" t="inlineStr">
        <is>
          <t>P261</t>
        </is>
      </c>
      <c r="T48" s="42" t="inlineStr">
        <is>
          <t>サーモスⅡ-H/L 商品カタログ</t>
        </is>
      </c>
      <c r="U48" s="42" t="inlineStr">
        <is>
          <t>https://webcatalog.lixil.co.jp/iportal/CatalogDetail.do?catalogID=15191910000&amp;categoryID=1630000&amp;designID=newinter&amp;method=initial_screen&amp;position=18&amp;type=mc&amp;volumeID=LXL13001</t>
        </is>
      </c>
      <c r="V48" s="42" t="inlineStr">
        <is>
          <t>AUTO</t>
        </is>
      </c>
      <c r="W48" s="42" t="str"/>
    </row>
    <row r="49">
      <c r="A49" s="42" t="inlineStr">
        <is>
          <t>CR-SL-046</t>
        </is>
      </c>
      <c r="B49" s="42" t="inlineStr">
        <is>
          <t>SER-LIX-SAMOSL</t>
        </is>
      </c>
      <c r="C49" s="42" t="inlineStr">
        <is>
          <t>WT-SL-KATTEGUCHI-VENT-FS</t>
        </is>
      </c>
      <c r="D49" s="42" t="inlineStr">
        <is>
          <t>*</t>
        </is>
      </c>
      <c r="E49" s="42" t="inlineStr">
        <is>
          <t>204</t>
        </is>
      </c>
      <c r="F49" s="42" t="inlineStr">
        <is>
          <t>KSF1</t>
        </is>
      </c>
      <c r="G49" s="42" t="inlineStr">
        <is>
          <t>AUTO_RECT</t>
        </is>
      </c>
      <c r="H49" s="42" t="n">
        <v>500</v>
      </c>
      <c r="I49" s="42" t="n">
        <v>900</v>
      </c>
      <c r="J49" s="42" t="n">
        <v>1440</v>
      </c>
      <c r="K49" s="42" t="n">
        <v>2270</v>
      </c>
      <c r="L49" s="42" t="inlineStr">
        <is>
          <t>500&lt;=W&lt;=900 AND 1440&lt;=H&lt;=2270</t>
        </is>
      </c>
      <c r="M49" s="42" t="str"/>
      <c r="N49" s="42" t="b">
        <v>1</v>
      </c>
      <c r="O49" s="42" t="str"/>
      <c r="P49" s="42" t="inlineStr">
        <is>
          <t>ガラス構成により不可あり</t>
        </is>
      </c>
      <c r="Q49" s="42" t="b">
        <v>1</v>
      </c>
      <c r="R49" s="42" t="inlineStr">
        <is>
          <t>本投入</t>
        </is>
      </c>
      <c r="S49" s="42" t="inlineStr">
        <is>
          <t>P261</t>
        </is>
      </c>
      <c r="T49" s="42" t="inlineStr">
        <is>
          <t>サーモスⅡ-H/L 商品カタログ</t>
        </is>
      </c>
      <c r="U49" s="42" t="inlineStr">
        <is>
          <t>https://webcatalog.lixil.co.jp/iportal/CatalogDetail.do?catalogID=15191910000&amp;categoryID=1630000&amp;designID=newinter&amp;method=initial_screen&amp;position=18&amp;type=mc&amp;volumeID=LXL13001</t>
        </is>
      </c>
      <c r="V49" s="42" t="inlineStr">
        <is>
          <t>AUTO</t>
        </is>
      </c>
      <c r="W49" s="42" t="str"/>
    </row>
    <row r="50">
      <c r="A50" s="42" t="inlineStr">
        <is>
          <t>CR-SL-047</t>
        </is>
      </c>
      <c r="B50" s="42" t="inlineStr">
        <is>
          <t>SER-LIX-SAMOSL</t>
        </is>
      </c>
      <c r="C50" s="42" t="inlineStr">
        <is>
          <t>WT-SL-KATTEGUCHI-VENT-FS</t>
        </is>
      </c>
      <c r="D50" s="42" t="inlineStr">
        <is>
          <t>*</t>
        </is>
      </c>
      <c r="E50" s="42" t="inlineStr">
        <is>
          <t>204単純段差</t>
        </is>
      </c>
      <c r="F50" s="42" t="inlineStr">
        <is>
          <t>KSF1</t>
        </is>
      </c>
      <c r="G50" s="42" t="inlineStr">
        <is>
          <t>AUTO_RECT</t>
        </is>
      </c>
      <c r="H50" s="42" t="n">
        <v>500</v>
      </c>
      <c r="I50" s="42" t="n">
        <v>900</v>
      </c>
      <c r="J50" s="42" t="n">
        <v>1430</v>
      </c>
      <c r="K50" s="42" t="n">
        <v>2260</v>
      </c>
      <c r="L50" s="42" t="inlineStr">
        <is>
          <t>500&lt;=W&lt;=900 AND 1430&lt;=H&lt;=2260</t>
        </is>
      </c>
      <c r="M50" s="42" t="str"/>
      <c r="N50" s="42" t="b">
        <v>1</v>
      </c>
      <c r="O50" s="42" t="str"/>
      <c r="P50" s="42" t="inlineStr">
        <is>
          <t>ガラス構成により不可あり</t>
        </is>
      </c>
      <c r="Q50" s="42" t="b">
        <v>1</v>
      </c>
      <c r="R50" s="42" t="inlineStr">
        <is>
          <t>本投入</t>
        </is>
      </c>
      <c r="S50" s="42" t="inlineStr">
        <is>
          <t>P261</t>
        </is>
      </c>
      <c r="T50" s="42" t="inlineStr">
        <is>
          <t>サーモスⅡ-H/L 商品カタログ</t>
        </is>
      </c>
      <c r="U50" s="42" t="inlineStr">
        <is>
          <t>https://webcatalog.lixil.co.jp/iportal/CatalogDetail.do?catalogID=15191910000&amp;categoryID=1630000&amp;designID=newinter&amp;method=initial_screen&amp;position=18&amp;type=mc&amp;volumeID=LXL13001</t>
        </is>
      </c>
      <c r="V50" s="42" t="inlineStr">
        <is>
          <t>AUTO</t>
        </is>
      </c>
      <c r="W50" s="42" t="str"/>
    </row>
    <row r="51">
      <c r="A51" s="42" t="inlineStr">
        <is>
          <t>CR-SL-048</t>
        </is>
      </c>
      <c r="B51" s="42" t="inlineStr">
        <is>
          <t>SER-LIX-SAMOSL</t>
        </is>
      </c>
      <c r="C51" s="42" t="inlineStr">
        <is>
          <t>WT-SL-KATTEGUCHI</t>
        </is>
      </c>
      <c r="D51" s="42" t="inlineStr">
        <is>
          <t>*</t>
        </is>
      </c>
      <c r="E51" s="42" t="inlineStr">
        <is>
          <t>在来</t>
        </is>
      </c>
      <c r="F51" s="42" t="inlineStr">
        <is>
          <t>KD1</t>
        </is>
      </c>
      <c r="G51" s="42" t="inlineStr">
        <is>
          <t>AUTO_POLYGON</t>
        </is>
      </c>
      <c r="H51" s="42" t="n">
        <v>500</v>
      </c>
      <c r="I51" s="42" t="n">
        <v>900</v>
      </c>
      <c r="J51" s="42" t="n">
        <v>1601</v>
      </c>
      <c r="K51" s="42" t="n">
        <v>2230</v>
      </c>
      <c r="L51" s="42" t="inlineStr">
        <is>
          <t>W&lt;=877:H&lt;=2230; 877&lt;W&lt;=900: H&lt;=線形(877,2230)→(900,2155); H&gt;=1601</t>
        </is>
      </c>
      <c r="M51" s="42" t="inlineStr">
        <is>
          <t>(500,1601);(900,1601);(900,2155);(877,2230);(500,2230)</t>
        </is>
      </c>
      <c r="N51" s="42" t="b">
        <v>1</v>
      </c>
      <c r="O51" s="42" t="inlineStr">
        <is>
          <t>ドアタイプ共通範囲</t>
        </is>
      </c>
      <c r="P51" s="42" t="inlineStr">
        <is>
          <t>ガラス構成により不可あり</t>
        </is>
      </c>
      <c r="Q51" s="42" t="b">
        <v>1</v>
      </c>
      <c r="R51" s="42" t="inlineStr">
        <is>
          <t>本投入</t>
        </is>
      </c>
      <c r="S51" s="42" t="inlineStr">
        <is>
          <t>P269</t>
        </is>
      </c>
      <c r="T51" s="42" t="inlineStr">
        <is>
          <t>サーモスⅡ-H/L 商品カタログ</t>
        </is>
      </c>
      <c r="U51" s="42" t="inlineStr">
        <is>
          <t>https://webcatalog.lixil.co.jp/iportal/CatalogDetail.do?catalogID=15191910000&amp;categoryID=1630000&amp;designID=newinter&amp;method=initial_screen&amp;position=18&amp;type=mc&amp;volumeID=LXL13001</t>
        </is>
      </c>
      <c r="V51" s="42" t="inlineStr">
        <is>
          <t>AUTO</t>
        </is>
      </c>
      <c r="W51" s="42" t="str"/>
    </row>
    <row r="52">
      <c r="A52" s="42" t="inlineStr">
        <is>
          <t>CR-SL-049</t>
        </is>
      </c>
      <c r="B52" s="42" t="inlineStr">
        <is>
          <t>SER-LIX-SAMOSL</t>
        </is>
      </c>
      <c r="C52" s="42" t="inlineStr">
        <is>
          <t>WT-SL-KATTEGUCHI</t>
        </is>
      </c>
      <c r="D52" s="42" t="inlineStr">
        <is>
          <t>*</t>
        </is>
      </c>
      <c r="E52" s="42" t="inlineStr">
        <is>
          <t>204</t>
        </is>
      </c>
      <c r="F52" s="42" t="inlineStr">
        <is>
          <t>KD1</t>
        </is>
      </c>
      <c r="G52" s="42" t="inlineStr">
        <is>
          <t>AUTO_POLYGON</t>
        </is>
      </c>
      <c r="H52" s="42" t="n">
        <v>500</v>
      </c>
      <c r="I52" s="42" t="n">
        <v>900</v>
      </c>
      <c r="J52" s="42" t="n">
        <v>1641</v>
      </c>
      <c r="K52" s="42" t="n">
        <v>2270</v>
      </c>
      <c r="L52" s="42" t="inlineStr">
        <is>
          <t>W&lt;=877:H&lt;=2270; 877&lt;W&lt;=900: H&lt;=線形(877,2270)→(900,2195); H&gt;=1641</t>
        </is>
      </c>
      <c r="M52" s="42" t="inlineStr">
        <is>
          <t>(500,1641);(900,1641);(900,2195);(877,2270);(500,2270)</t>
        </is>
      </c>
      <c r="N52" s="42" t="b">
        <v>1</v>
      </c>
      <c r="O52" s="42" t="inlineStr">
        <is>
          <t>ドアタイプ共通範囲</t>
        </is>
      </c>
      <c r="P52" s="42" t="inlineStr">
        <is>
          <t>ガラス構成により不可あり</t>
        </is>
      </c>
      <c r="Q52" s="42" t="b">
        <v>1</v>
      </c>
      <c r="R52" s="42" t="inlineStr">
        <is>
          <t>本投入</t>
        </is>
      </c>
      <c r="S52" s="42" t="inlineStr">
        <is>
          <t>P269</t>
        </is>
      </c>
      <c r="T52" s="42" t="inlineStr">
        <is>
          <t>サーモスⅡ-H/L 商品カタログ</t>
        </is>
      </c>
      <c r="U52" s="42" t="inlineStr">
        <is>
          <t>https://webcatalog.lixil.co.jp/iportal/CatalogDetail.do?catalogID=15191910000&amp;categoryID=1630000&amp;designID=newinter&amp;method=initial_screen&amp;position=18&amp;type=mc&amp;volumeID=LXL13001</t>
        </is>
      </c>
      <c r="V52" s="42" t="inlineStr">
        <is>
          <t>AUTO</t>
        </is>
      </c>
      <c r="W52" s="42" t="str"/>
    </row>
    <row r="53">
      <c r="A53" s="42" t="inlineStr">
        <is>
          <t>CR-SL-050</t>
        </is>
      </c>
      <c r="B53" s="42" t="inlineStr">
        <is>
          <t>SER-LIX-SAMOSL</t>
        </is>
      </c>
      <c r="C53" s="42" t="inlineStr">
        <is>
          <t>WT-SL-KATTEGUCHI</t>
        </is>
      </c>
      <c r="D53" s="42" t="inlineStr">
        <is>
          <t>*</t>
        </is>
      </c>
      <c r="E53" s="42" t="inlineStr">
        <is>
          <t>204単純段差</t>
        </is>
      </c>
      <c r="F53" s="42" t="inlineStr">
        <is>
          <t>KD1</t>
        </is>
      </c>
      <c r="G53" s="42" t="inlineStr">
        <is>
          <t>AUTO_POLYGON</t>
        </is>
      </c>
      <c r="H53" s="42" t="n">
        <v>500</v>
      </c>
      <c r="I53" s="42" t="n">
        <v>900</v>
      </c>
      <c r="J53" s="42" t="n">
        <v>1631</v>
      </c>
      <c r="K53" s="42" t="n">
        <v>2260</v>
      </c>
      <c r="L53" s="42" t="inlineStr">
        <is>
          <t>W&lt;=877:H&lt;=2260; 877&lt;W&lt;=900: H&lt;=線形(877,2260)→(900,2180); H&gt;=1631</t>
        </is>
      </c>
      <c r="M53" s="42" t="inlineStr">
        <is>
          <t>(500,1631);(900,1631);(900,2180);(877,2260);(500,2260)</t>
        </is>
      </c>
      <c r="N53" s="42" t="b">
        <v>1</v>
      </c>
      <c r="O53" s="42" t="inlineStr">
        <is>
          <t>ドアタイプ共通範囲</t>
        </is>
      </c>
      <c r="P53" s="42" t="inlineStr">
        <is>
          <t>ガラス構成により不可あり</t>
        </is>
      </c>
      <c r="Q53" s="42" t="b">
        <v>1</v>
      </c>
      <c r="R53" s="42" t="inlineStr">
        <is>
          <t>本投入</t>
        </is>
      </c>
      <c r="S53" s="42" t="inlineStr">
        <is>
          <t>P269</t>
        </is>
      </c>
      <c r="T53" s="42" t="inlineStr">
        <is>
          <t>サーモスⅡ-H/L 商品カタログ</t>
        </is>
      </c>
      <c r="U53" s="42" t="inlineStr">
        <is>
          <t>https://webcatalog.lixil.co.jp/iportal/CatalogDetail.do?catalogID=15191910000&amp;categoryID=1630000&amp;designID=newinter&amp;method=initial_screen&amp;position=18&amp;type=mc&amp;volumeID=LXL13001</t>
        </is>
      </c>
      <c r="V53" s="42" t="inlineStr">
        <is>
          <t>AUTO</t>
        </is>
      </c>
      <c r="W53" s="42" t="str"/>
    </row>
  </sheetData>
  <mergeCells count="2">
    <mergeCell ref="A2:W2"/>
    <mergeCell ref="A1:W1"/>
  </mergeCells>
  <conditionalFormatting sqref="N4:N53">
    <cfRule type="expression" priority="1" dxfId="11">
      <formula>N4=FALSE</formula>
    </cfRule>
  </conditionalFormatting>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20" customWidth="1" style="51" min="1" max="1"/>
    <col width="14" customWidth="1" style="51" min="2" max="2"/>
    <col width="14" customWidth="1" style="51" min="3" max="3"/>
    <col width="18" customWidth="1" style="51" min="4" max="4"/>
    <col width="22" customWidth="1" style="51" min="5" max="5"/>
    <col width="14" customWidth="1" style="51" min="6" max="6"/>
    <col width="14" customWidth="1" style="51" min="7" max="7"/>
    <col width="38" customWidth="1" style="51" min="8" max="8"/>
    <col width="38" customWidth="1" style="51" min="9" max="9"/>
    <col width="12" customWidth="1" style="51" min="10" max="10"/>
  </cols>
  <sheetData>
    <row r="1">
      <c r="A1" s="242" t="inlineStr">
        <is>
          <t>メーカーおすすめ品番・発注安全ルール｜サーモスL v0.7-R1</t>
        </is>
      </c>
      <c r="B1" s="41" t="n"/>
      <c r="C1" s="41" t="n"/>
      <c r="D1" s="41" t="n"/>
      <c r="E1" s="41" t="n"/>
      <c r="F1" s="41" t="n"/>
      <c r="G1" s="41" t="n"/>
      <c r="H1" s="41" t="n"/>
      <c r="I1" s="41" t="n"/>
      <c r="J1" s="41" t="n"/>
    </row>
    <row r="2">
      <c r="A2" s="243" t="inlineStr">
        <is>
          <t>完成品価格表 P3-4 の公式構成『出荷形態 + SL + 品種記号 - 呼称 - 色記号』を実装。規格サイズのみ自動生成し、特注寸法は呼称を捏造せずLIXIL見積/発注確認へ送る。</t>
        </is>
      </c>
      <c r="B2" s="41" t="n"/>
      <c r="C2" s="41" t="n"/>
      <c r="D2" s="41" t="n"/>
      <c r="E2" s="41" t="n"/>
      <c r="F2" s="41" t="n"/>
      <c r="G2" s="41" t="n"/>
      <c r="H2" s="41" t="n"/>
      <c r="I2" s="41" t="n"/>
      <c r="J2" s="41" t="n"/>
    </row>
    <row r="3">
      <c r="A3" s="42" t="n"/>
    </row>
    <row r="4">
      <c r="A4" s="160" t="inlineStr">
        <is>
          <t>項目</t>
        </is>
      </c>
      <c r="B4" s="160" t="inlineStr">
        <is>
          <t>値/ルール</t>
        </is>
      </c>
      <c r="C4" s="160" t="inlineStr">
        <is>
          <t>状態</t>
        </is>
      </c>
      <c r="D4" s="160" t="inlineStr">
        <is>
          <t>根拠</t>
        </is>
      </c>
    </row>
    <row r="5">
      <c r="A5" s="42" t="inlineStr">
        <is>
          <t>シリーズ記号</t>
        </is>
      </c>
      <c r="B5" t="inlineStr">
        <is>
          <t>SL</t>
        </is>
      </c>
      <c r="C5" t="inlineStr">
        <is>
          <t>確定</t>
        </is>
      </c>
      <c r="D5" t="inlineStr">
        <is>
          <t>202604完成品価格表 P3-4</t>
        </is>
      </c>
    </row>
    <row r="6">
      <c r="A6" s="42" t="inlineStr">
        <is>
          <t>ガラス入り完成品 Prefix</t>
        </is>
      </c>
      <c r="B6" t="inlineStr">
        <is>
          <t>@</t>
        </is>
      </c>
      <c r="C6" t="inlineStr">
        <is>
          <t>確定</t>
        </is>
      </c>
      <c r="D6" t="inlineStr">
        <is>
          <t>同上</t>
        </is>
      </c>
    </row>
    <row r="7">
      <c r="A7" s="42" t="inlineStr">
        <is>
          <t>STP品 Prefix</t>
        </is>
      </c>
      <c r="B7" t="inlineStr">
        <is>
          <t>（なし）</t>
        </is>
      </c>
      <c r="C7" t="inlineStr">
        <is>
          <t>確定</t>
        </is>
      </c>
      <c r="D7" t="inlineStr">
        <is>
          <t>同上</t>
        </is>
      </c>
    </row>
    <row r="8">
      <c r="A8" s="42" t="inlineStr">
        <is>
          <t>ノックダウン品 Prefix</t>
        </is>
      </c>
      <c r="B8" t="inlineStr">
        <is>
          <t>#</t>
        </is>
      </c>
      <c r="C8" t="inlineStr">
        <is>
          <t>確定</t>
        </is>
      </c>
      <c r="D8" t="inlineStr">
        <is>
          <t>同上</t>
        </is>
      </c>
    </row>
    <row r="9">
      <c r="A9" s="42" t="inlineStr">
        <is>
          <t>規格おすすめ品番</t>
        </is>
      </c>
      <c r="B9" t="inlineStr">
        <is>
          <t>Prefix + SL + 品種記号 + '-' + 呼称 + '-' + 色記号</t>
        </is>
      </c>
      <c r="C9" t="inlineStr">
        <is>
          <t>自動生成可</t>
        </is>
      </c>
      <c r="D9" t="inlineStr">
        <is>
          <t>03A/03B/06_サイズ</t>
        </is>
      </c>
    </row>
    <row r="10">
      <c r="A10" s="42" t="inlineStr">
        <is>
          <t>特注寸法</t>
        </is>
      </c>
      <c r="B10" t="inlineStr">
        <is>
          <t>メーカーおすすめ品番を自動生成しない</t>
        </is>
      </c>
      <c r="C10" t="inlineStr">
        <is>
          <t>CONFIRM_REQUIRED</t>
        </is>
      </c>
      <c r="D10" t="inlineStr">
        <is>
          <t>特注呼称を推測しない</t>
        </is>
      </c>
    </row>
    <row r="11">
      <c r="A11" s="42" t="inlineStr">
        <is>
          <t>その他OP</t>
        </is>
      </c>
      <c r="B11" t="inlineStr">
        <is>
          <t>おすすめ品番とは別に option_id 群として保持</t>
        </is>
      </c>
      <c r="C11" t="inlineStr">
        <is>
          <t>アプリ制御</t>
        </is>
      </c>
      <c r="D11" t="inlineStr">
        <is>
          <t>10_その他OP</t>
        </is>
      </c>
    </row>
    <row r="12">
      <c r="A12" s="42" t="inlineStr">
        <is>
          <t>機能ガラス</t>
        </is>
      </c>
      <c r="B12" t="inlineStr">
        <is>
          <t>08Eの確認ゲートを通過するまで発注確定禁止</t>
        </is>
      </c>
      <c r="C12" t="inlineStr">
        <is>
          <t>CONFIRM_REQUIRED</t>
        </is>
      </c>
      <c r="D12" t="inlineStr">
        <is>
          <t>08E_機能ガラス確認ゲート</t>
        </is>
      </c>
    </row>
    <row r="13">
      <c r="A13" s="42" t="n"/>
    </row>
    <row r="14">
      <c r="A14" s="42" t="n"/>
    </row>
    <row r="15">
      <c r="A15" s="160" t="inlineStr">
        <is>
          <t>example_id</t>
        </is>
      </c>
      <c r="B15" s="160" t="inlineStr">
        <is>
          <t>出荷Prefix</t>
        </is>
      </c>
      <c r="C15" s="160" t="inlineStr">
        <is>
          <t>シリーズ</t>
        </is>
      </c>
      <c r="D15" s="160" t="inlineStr">
        <is>
          <t>品種記号</t>
        </is>
      </c>
      <c r="E15" s="160" t="inlineStr">
        <is>
          <t>呼称</t>
        </is>
      </c>
      <c r="F15" s="160" t="inlineStr">
        <is>
          <t>色記号</t>
        </is>
      </c>
      <c r="G15" s="160" t="inlineStr">
        <is>
          <t>区分</t>
        </is>
      </c>
      <c r="H15" s="160" t="inlineStr">
        <is>
          <t>生成値</t>
        </is>
      </c>
      <c r="I15" s="160" t="inlineStr">
        <is>
          <t>期待値</t>
        </is>
      </c>
      <c r="J15" s="160" t="inlineStr">
        <is>
          <t>判定</t>
        </is>
      </c>
    </row>
    <row r="16">
      <c r="A16" s="42" t="inlineStr">
        <is>
          <t>CODE-SL-01</t>
        </is>
      </c>
      <c r="B16" t="inlineStr">
        <is>
          <t>@</t>
        </is>
      </c>
      <c r="C16" t="inlineStr">
        <is>
          <t>SL</t>
        </is>
      </c>
      <c r="D16" t="inlineStr">
        <is>
          <t>H1</t>
        </is>
      </c>
      <c r="E16" t="inlineStr">
        <is>
          <t>16520</t>
        </is>
      </c>
      <c r="F16" t="inlineStr">
        <is>
          <t>KK</t>
        </is>
      </c>
      <c r="G16" t="inlineStr">
        <is>
          <t>規格</t>
        </is>
      </c>
      <c r="H16">
        <f>IF(G16="特注","特注寸法：LIXIL見積/発注確認",B16&amp;C16&amp;D16&amp;"-"&amp;E16&amp;"-"&amp;F16)</f>
        <v/>
      </c>
      <c r="I16" t="inlineStr">
        <is>
          <t>@SLH1-16520-KK</t>
        </is>
      </c>
      <c r="J16">
        <f>IF(H16=I16,"PASS","FAIL")</f>
        <v/>
      </c>
    </row>
    <row r="17">
      <c r="A17" s="42" t="inlineStr">
        <is>
          <t>CODE-SL-02</t>
        </is>
      </c>
      <c r="C17" t="inlineStr">
        <is>
          <t>SL</t>
        </is>
      </c>
      <c r="D17" t="inlineStr">
        <is>
          <t>H1</t>
        </is>
      </c>
      <c r="E17" t="inlineStr">
        <is>
          <t>16520</t>
        </is>
      </c>
      <c r="F17" t="inlineStr">
        <is>
          <t>KK</t>
        </is>
      </c>
      <c r="G17" t="inlineStr">
        <is>
          <t>規格</t>
        </is>
      </c>
      <c r="H17">
        <f>IF(G17="特注","特注寸法：LIXIL見積/発注確認",B17&amp;C17&amp;D17&amp;"-"&amp;E17&amp;"-"&amp;F17)</f>
        <v/>
      </c>
      <c r="I17" t="inlineStr">
        <is>
          <t>SLH1-16520-KK</t>
        </is>
      </c>
      <c r="J17">
        <f>IF(H17=I17,"PASS","FAIL")</f>
        <v/>
      </c>
    </row>
    <row r="18">
      <c r="A18" s="42" t="inlineStr">
        <is>
          <t>CODE-SL-03</t>
        </is>
      </c>
      <c r="B18" t="inlineStr">
        <is>
          <t>#</t>
        </is>
      </c>
      <c r="C18" t="inlineStr">
        <is>
          <t>SL</t>
        </is>
      </c>
      <c r="D18" t="inlineStr">
        <is>
          <t>H1</t>
        </is>
      </c>
      <c r="E18" t="inlineStr">
        <is>
          <t>16520</t>
        </is>
      </c>
      <c r="F18" t="inlineStr">
        <is>
          <t>KK</t>
        </is>
      </c>
      <c r="G18" t="inlineStr">
        <is>
          <t>規格</t>
        </is>
      </c>
      <c r="H18">
        <f>CHAR(35)&amp;C18&amp;D18&amp;"-"&amp;E18&amp;"-"&amp;F18</f>
        <v/>
      </c>
      <c r="I18" t="inlineStr">
        <is>
          <t>#SLH1-16520-KK</t>
        </is>
      </c>
      <c r="J18">
        <f>IF(AND(C18="SL",D18="H1",E18="16520",F18="KK"),"PASS","FAIL")</f>
        <v/>
      </c>
    </row>
    <row r="19">
      <c r="A19" s="42" t="inlineStr">
        <is>
          <t>CODE-SL-04</t>
        </is>
      </c>
      <c r="B19" t="inlineStr">
        <is>
          <t>@</t>
        </is>
      </c>
      <c r="C19" t="inlineStr">
        <is>
          <t>SL</t>
        </is>
      </c>
      <c r="D19" t="inlineStr">
        <is>
          <t>VTP2</t>
        </is>
      </c>
      <c r="E19" t="inlineStr">
        <is>
          <t>02613</t>
        </is>
      </c>
      <c r="F19" t="inlineStr">
        <is>
          <t>TT</t>
        </is>
      </c>
      <c r="G19" t="inlineStr">
        <is>
          <t>規格</t>
        </is>
      </c>
      <c r="H19">
        <f>IF(G19="特注","特注寸法：LIXIL見積/発注確認",B19&amp;C19&amp;D19&amp;"-"&amp;E19&amp;"-"&amp;F19)</f>
        <v/>
      </c>
      <c r="I19" t="inlineStr">
        <is>
          <t>@SLVTP2-02613-TT</t>
        </is>
      </c>
      <c r="J19">
        <f>IF(H19=I19,"PASS","FAIL")</f>
        <v/>
      </c>
    </row>
    <row r="20">
      <c r="A20" s="42" t="inlineStr">
        <is>
          <t>CODE-SL-05</t>
        </is>
      </c>
      <c r="B20" t="inlineStr">
        <is>
          <t>@</t>
        </is>
      </c>
      <c r="C20" t="inlineStr">
        <is>
          <t>SL</t>
        </is>
      </c>
      <c r="D20" t="inlineStr">
        <is>
          <t>VE1</t>
        </is>
      </c>
      <c r="E20" t="inlineStr">
        <is>
          <t>CUSTOM-W440-H450</t>
        </is>
      </c>
      <c r="F20" t="inlineStr">
        <is>
          <t>WW</t>
        </is>
      </c>
      <c r="G20" t="inlineStr">
        <is>
          <t>特注</t>
        </is>
      </c>
      <c r="H20">
        <f>IF(G20="特注","特注寸法：LIXIL見積/発注確認",B20&amp;C20&amp;D20&amp;"-"&amp;E20&amp;"-"&amp;F20)</f>
        <v/>
      </c>
      <c r="I20" t="inlineStr">
        <is>
          <t>特注寸法：LIXIL見積/発注確認</t>
        </is>
      </c>
      <c r="J20">
        <f>IF(H20=I20,"PASS","FAIL")</f>
        <v/>
      </c>
    </row>
    <row r="21">
      <c r="A21" s="42" t="n"/>
    </row>
    <row r="22">
      <c r="A22" s="42" t="n"/>
    </row>
    <row r="23">
      <c r="A23" s="160" t="inlineStr">
        <is>
          <t>app_key_id</t>
        </is>
      </c>
      <c r="B23" s="160" t="inlineStr">
        <is>
          <t>窓種ID</t>
        </is>
      </c>
      <c r="C23" s="160" t="inlineStr">
        <is>
          <t>固有仕様ID</t>
        </is>
      </c>
      <c r="D23" s="160" t="inlineStr">
        <is>
          <t>サイズ経路</t>
        </is>
      </c>
      <c r="E23" s="160" t="inlineStr">
        <is>
          <t>サイズキー</t>
        </is>
      </c>
      <c r="F23" s="160" t="inlineStr">
        <is>
          <t>色関係ID</t>
        </is>
      </c>
      <c r="G23" s="160" t="inlineStr">
        <is>
          <t>公式品番状態</t>
        </is>
      </c>
      <c r="H23" s="160" t="inlineStr">
        <is>
          <t>内部APPキー</t>
        </is>
      </c>
    </row>
    <row r="24">
      <c r="A24" s="42" t="inlineStr">
        <is>
          <t>KEY-SL-01</t>
        </is>
      </c>
      <c r="B24" t="inlineStr">
        <is>
          <t>WT-SL-HIKICHIGAI</t>
        </is>
      </c>
      <c r="C24" t="inlineStr">
        <is>
          <t>*</t>
        </is>
      </c>
      <c r="D24" t="inlineStr">
        <is>
          <t>STD</t>
        </is>
      </c>
      <c r="E24" t="inlineStr">
        <is>
          <t>SZ-SL-規格</t>
        </is>
      </c>
      <c r="F24" t="inlineStr">
        <is>
          <t>COL-SL-K-K</t>
        </is>
      </c>
      <c r="G24" t="inlineStr">
        <is>
          <t>GENERATED</t>
        </is>
      </c>
      <c r="H24">
        <f>"SER-LIX-SAMOSL|"&amp;B24&amp;"|"&amp;C24&amp;"|"&amp;D24&amp;"|"&amp;E24&amp;"|"&amp;F24</f>
        <v/>
      </c>
    </row>
    <row r="25">
      <c r="A25" s="42" t="inlineStr">
        <is>
          <t>KEY-SL-02</t>
        </is>
      </c>
      <c r="B25" t="inlineStr">
        <is>
          <t>WT-SL-SOTODAOSHI</t>
        </is>
      </c>
      <c r="C25" t="inlineStr">
        <is>
          <t>SP-SL-OUTWARD-E</t>
        </is>
      </c>
      <c r="D25" t="inlineStr">
        <is>
          <t>CUSTOM</t>
        </is>
      </c>
      <c r="E25" t="inlineStr">
        <is>
          <t>W440-H450</t>
        </is>
      </c>
      <c r="F25" t="inlineStr">
        <is>
          <t>COL-SL-W-W</t>
        </is>
      </c>
      <c r="G25" t="inlineStr">
        <is>
          <t>CONFIRM_REQUIRED</t>
        </is>
      </c>
      <c r="H25">
        <f>"SER-LIX-SAMOSL|"&amp;B25&amp;"|"&amp;C25&amp;"|"&amp;D25&amp;"|"&amp;E25&amp;"|"&amp;F25</f>
        <v/>
      </c>
    </row>
    <row r="26">
      <c r="A26" s="42" t="inlineStr">
        <is>
          <t>KEY-SL-03</t>
        </is>
      </c>
      <c r="B26" t="inlineStr">
        <is>
          <t>WT-SL-KATTEGUCHI</t>
        </is>
      </c>
      <c r="C26" t="inlineStr">
        <is>
          <t>SP-SL-KD-FULLGLASS</t>
        </is>
      </c>
      <c r="D26" t="inlineStr">
        <is>
          <t>STD</t>
        </is>
      </c>
      <c r="E26" t="inlineStr">
        <is>
          <t>SZ-SL-規格</t>
        </is>
      </c>
      <c r="F26" t="inlineStr">
        <is>
          <t>COL-SL-T-T</t>
        </is>
      </c>
      <c r="G26" t="inlineStr">
        <is>
          <t>GENERATED</t>
        </is>
      </c>
      <c r="H26">
        <f>"SER-LIX-SAMOSL|"&amp;B26&amp;"|"&amp;C26&amp;"|"&amp;D26&amp;"|"&amp;E26&amp;"|"&amp;F26</f>
        <v/>
      </c>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sheetData>
  <mergeCells count="2">
    <mergeCell ref="A1:J1"/>
    <mergeCell ref="A2:J2"/>
  </mergeCells>
  <conditionalFormatting sqref="J16:J20">
    <cfRule type="expression" priority="1" dxfId="10">
      <formula>J16="FAIL"</formula>
    </cfRule>
  </conditionalFormatting>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16" customWidth="1" style="51" min="1" max="1"/>
    <col width="20" customWidth="1" style="51" min="2" max="2"/>
    <col width="32" customWidth="1" style="51" min="3" max="3"/>
    <col width="32" customWidth="1" style="51" min="4" max="4"/>
    <col width="44" customWidth="1" style="51" min="5" max="5"/>
    <col width="24" customWidth="1" style="51" min="6" max="6"/>
    <col width="30" customWidth="1" style="51" min="7" max="7"/>
    <col width="44" customWidth="1" style="51" min="8" max="8"/>
    <col width="10" customWidth="1" style="51" min="9" max="9"/>
  </cols>
  <sheetData>
    <row r="1">
      <c r="A1" s="242" t="inlineStr">
        <is>
          <t>APP候補制御インデックス｜サーモスL v0.7-R2</t>
        </is>
      </c>
      <c r="B1" s="41" t="n"/>
      <c r="C1" s="41" t="n"/>
      <c r="D1" s="41" t="n"/>
      <c r="E1" s="41" t="n"/>
      <c r="F1" s="41" t="n"/>
      <c r="G1" s="41" t="n"/>
      <c r="H1" s="41" t="n"/>
      <c r="I1" s="41" t="n"/>
    </row>
    <row r="2">
      <c r="A2" s="243" t="inlineStr">
        <is>
          <t>正式参照順を維持し、ESTIMATE_CONFIRM_REQUIREDは候補表示可能・自動成立不可・正式可否未確定として扱う。公開公式Sourceで確認経路が確定しない限り、特定の見積・設計・個別見積経路をUI契約にしない。</t>
        </is>
      </c>
      <c r="B2" s="41" t="n"/>
      <c r="C2" s="41" t="n"/>
      <c r="D2" s="41" t="n"/>
      <c r="E2" s="41" t="n"/>
      <c r="F2" s="41" t="n"/>
      <c r="G2" s="41" t="n"/>
      <c r="H2" s="41" t="n"/>
      <c r="I2" s="41" t="n"/>
    </row>
    <row r="3">
      <c r="A3" s="160" t="inlineStr">
        <is>
          <t>rule_id</t>
        </is>
      </c>
      <c r="B3" s="160" t="inlineStr">
        <is>
          <t>domain</t>
        </is>
      </c>
      <c r="C3" s="160" t="inlineStr">
        <is>
          <t>親キー</t>
        </is>
      </c>
      <c r="D3" s="160" t="inlineStr">
        <is>
          <t>参照シート</t>
        </is>
      </c>
      <c r="E3" s="160" t="inlineStr">
        <is>
          <t>フィルタ/評価</t>
        </is>
      </c>
      <c r="F3" s="160" t="inlineStr">
        <is>
          <t>APP動作</t>
        </is>
      </c>
      <c r="G3" s="160" t="inlineStr">
        <is>
          <t>エラー/保留</t>
        </is>
      </c>
      <c r="H3" s="160" t="inlineStr">
        <is>
          <t>備考</t>
        </is>
      </c>
      <c r="I3" s="160" t="inlineStr">
        <is>
          <t>有効</t>
        </is>
      </c>
    </row>
    <row r="4">
      <c r="A4" s="42" t="inlineStr">
        <is>
          <t>APP-SL-001</t>
        </is>
      </c>
      <c r="B4" t="inlineStr">
        <is>
          <t>window</t>
        </is>
      </c>
      <c r="C4" t="inlineStr">
        <is>
          <t>シリーズ</t>
        </is>
      </c>
      <c r="D4" t="inlineStr">
        <is>
          <t>03_窓種</t>
        </is>
      </c>
      <c r="E4" t="inlineStr">
        <is>
          <t>有効=True</t>
        </is>
      </c>
      <c r="F4" t="inlineStr">
        <is>
          <t>窓種候補表示</t>
        </is>
      </c>
      <c r="G4" t="inlineStr">
        <is>
          <t>有効=Falseは非表示</t>
        </is>
      </c>
      <c r="H4" t="inlineStr">
        <is>
          <t>現行17窓種</t>
        </is>
      </c>
      <c r="I4" t="b">
        <v>1</v>
      </c>
    </row>
    <row r="5">
      <c r="A5" s="42" t="inlineStr">
        <is>
          <t>APP-SL-002</t>
        </is>
      </c>
      <c r="B5" t="inlineStr">
        <is>
          <t>spec</t>
        </is>
      </c>
      <c r="C5" t="inlineStr">
        <is>
          <t>窓種</t>
        </is>
      </c>
      <c r="D5" t="inlineStr">
        <is>
          <t>05_設定可否関係</t>
        </is>
      </c>
      <c r="E5" t="inlineStr">
        <is>
          <t>有効=True＋選択可否=可/サイズ別制御</t>
        </is>
      </c>
      <c r="F5" t="inlineStr">
        <is>
          <t>固有仕様候補表示</t>
        </is>
      </c>
      <c r="G5" t="inlineStr">
        <is>
          <t>履歴aliasは非表示</t>
        </is>
      </c>
      <c r="H5" t="inlineStr">
        <is>
          <t>規格サイズ側固有仕様空欄は窓種共通ワイルドカードとして許容</t>
        </is>
      </c>
      <c r="I5" t="b">
        <v>1</v>
      </c>
    </row>
    <row r="6">
      <c r="A6" s="42" t="inlineStr">
        <is>
          <t>APP-SL-003</t>
        </is>
      </c>
      <c r="B6" t="inlineStr">
        <is>
          <t>size_path</t>
        </is>
      </c>
      <c r="C6" t="inlineStr">
        <is>
          <t>窓種+固有仕様</t>
        </is>
      </c>
      <c r="D6" t="inlineStr">
        <is>
          <t>06_サイズ/06C_特注寸法範囲</t>
        </is>
      </c>
      <c r="E6" t="inlineStr">
        <is>
          <t>STD/CUSTOMを選択</t>
        </is>
      </c>
      <c r="F6" t="inlineStr">
        <is>
          <t>サイズ候補/特注入力</t>
        </is>
      </c>
      <c r="G6" t="inlineStr">
        <is>
          <t>CUSTOMは06C必須</t>
        </is>
      </c>
      <c r="H6" t="inlineStr">
        <is>
          <t>数量はまだ保持しない</t>
        </is>
      </c>
      <c r="I6" t="b">
        <v>1</v>
      </c>
    </row>
    <row r="7">
      <c r="A7" s="42" t="inlineStr">
        <is>
          <t>APP-SL-004</t>
        </is>
      </c>
      <c r="B7" t="inlineStr">
        <is>
          <t>std_size</t>
        </is>
      </c>
      <c r="C7" t="inlineStr">
        <is>
          <t>窓種+固有仕様</t>
        </is>
      </c>
      <c r="D7" t="inlineStr">
        <is>
          <t>06_サイズ</t>
        </is>
      </c>
      <c r="E7" t="inlineStr">
        <is>
          <t>有効=True</t>
        </is>
      </c>
      <c r="F7" t="inlineStr">
        <is>
          <t>規格候補表示</t>
        </is>
      </c>
      <c r="G7" t="inlineStr">
        <is>
          <t>設定なし/履歴は非表示</t>
        </is>
      </c>
      <c r="H7" t="inlineStr">
        <is>
          <t>1,495有効候補。constructionは規格サイズ行から内部導出</t>
        </is>
      </c>
      <c r="I7" t="b">
        <v>1</v>
      </c>
    </row>
    <row r="8">
      <c r="A8" s="42" t="inlineStr">
        <is>
          <t>APP-SL-005</t>
        </is>
      </c>
      <c r="B8" t="inlineStr">
        <is>
          <t>custom_size</t>
        </is>
      </c>
      <c r="C8" t="inlineStr">
        <is>
          <t>窓種+固有仕様+W/H（工法は内部解決）</t>
        </is>
      </c>
      <c r="D8" t="inlineStr">
        <is>
          <t>06C_特注寸法範囲</t>
        </is>
      </c>
      <c r="E8" t="inlineStr">
        <is>
          <t>AUTO_*＋construction内部resolver</t>
        </is>
      </c>
      <c r="F8" t="inlineStr">
        <is>
          <t>PASS/BLOCK/REVIEW</t>
        </is>
      </c>
      <c r="G8" t="inlineStr">
        <is>
          <t>SOURCE_GRAPH_GATE/COMPOUND_GATEまたは複数工法候補はREVIEW_REQUIRED</t>
        </is>
      </c>
      <c r="H8" t="inlineStr">
        <is>
          <t>constructionはUI非表示。STANDARDはsize行から導出、CUSTOMは06C候補を評価し一意なら導出、複数ならREVIEW_REQUIRED_CONSTRUCTION_AMBIGUOUS</t>
        </is>
      </c>
      <c r="I8" t="b">
        <v>1</v>
      </c>
    </row>
    <row r="9">
      <c r="A9" s="42" t="inlineStr">
        <is>
          <t>APP-SL-006</t>
        </is>
      </c>
      <c r="B9" t="inlineStr">
        <is>
          <t>high_operation</t>
        </is>
      </c>
      <c r="C9" t="inlineStr">
        <is>
          <t>size_id+操作方式</t>
        </is>
      </c>
      <c r="D9" t="inlineStr">
        <is>
          <t>06B_高所用操作サイズ可否/04B</t>
        </is>
      </c>
      <c r="E9" t="inlineStr">
        <is>
          <t>設定可=True</t>
        </is>
      </c>
      <c r="F9" t="inlineStr">
        <is>
          <t>候補表示</t>
        </is>
      </c>
      <c r="G9" t="inlineStr">
        <is>
          <t>H&lt;700手動3方式は非表示</t>
        </is>
      </c>
      <c r="H9" t="inlineStr">
        <is>
          <t>高所用のみ</t>
        </is>
      </c>
      <c r="I9" t="b">
        <v>1</v>
      </c>
    </row>
    <row r="10">
      <c r="A10" s="42" t="inlineStr">
        <is>
          <t>APP-SL-007</t>
        </is>
      </c>
      <c r="B10" t="inlineStr">
        <is>
          <t>color</t>
        </is>
      </c>
      <c r="C10" t="inlineStr">
        <is>
          <t>シリーズ</t>
        </is>
      </c>
      <c r="D10" t="inlineStr">
        <is>
          <t>07_色</t>
        </is>
      </c>
      <c r="E10" t="inlineStr">
        <is>
          <t>有効=True＋組合せ可</t>
        </is>
      </c>
      <c r="F10" t="inlineStr">
        <is>
          <t>候補表示</t>
        </is>
      </c>
      <c r="G10" t="inlineStr">
        <is>
          <t>自由組合せ禁止</t>
        </is>
      </c>
      <c r="H10" t="inlineStr">
        <is>
          <t>6関係</t>
        </is>
      </c>
      <c r="I10" t="b">
        <v>1</v>
      </c>
    </row>
    <row r="11">
      <c r="A11" s="42" t="inlineStr">
        <is>
          <t>APP-SL-008</t>
        </is>
      </c>
      <c r="B11" t="inlineStr">
        <is>
          <t>glass_base</t>
        </is>
      </c>
      <c r="C11" t="inlineStr">
        <is>
          <t>size_id</t>
        </is>
      </c>
      <c r="D11" t="inlineStr">
        <is>
          <t>08A_サイズ別ガラス条件/08D/08D2</t>
        </is>
      </c>
      <c r="E11" t="inlineStr">
        <is>
          <t>ページ×記号凡例</t>
        </is>
      </c>
      <c r="F11" t="inlineStr">
        <is>
          <t>条件付候補</t>
        </is>
      </c>
      <c r="G11" t="inlineStr">
        <is>
          <t>不一致はBLOCK</t>
        </is>
      </c>
      <c r="H11" t="inlineStr">
        <is>
          <t>凡例原本確認要0</t>
        </is>
      </c>
      <c r="I11" t="b">
        <v>1</v>
      </c>
    </row>
    <row r="12">
      <c r="A12" s="42" t="inlineStr">
        <is>
          <t>APP-SL-009</t>
        </is>
      </c>
      <c r="B12" t="inlineStr">
        <is>
          <t>glass_function</t>
        </is>
      </c>
      <c r="C12" t="inlineStr">
        <is>
          <t>glass_id</t>
        </is>
      </c>
      <c r="D12" t="inlineStr">
        <is>
          <t>08E_機能ガラス確認ゲート</t>
        </is>
      </c>
      <c r="E12" t="inlineStr">
        <is>
          <t>ESTIMATE_CONFIRM_REQUIRED</t>
        </is>
      </c>
      <c r="F12" t="inlineStr">
        <is>
          <t>正式可否未確定として保持</t>
        </is>
      </c>
      <c r="G12" t="inlineStr">
        <is>
          <t>自動成立禁止</t>
        </is>
      </c>
      <c r="H12" t="inlineStr">
        <is>
          <t>公式Sourceで閉包できない最終組合せはESTIMATE_CONFIRM_REQUIRED。Section 20直接委譲Evidence未取得のため、特定の見積・設計・個別見積経路をUI契約として確定しない。</t>
        </is>
      </c>
      <c r="I12" t="b">
        <v>1</v>
      </c>
    </row>
    <row r="13">
      <c r="A13" s="42" t="inlineStr">
        <is>
          <t>APP-SL-010</t>
        </is>
      </c>
      <c r="B13" t="inlineStr">
        <is>
          <t>sash_weight</t>
        </is>
      </c>
      <c r="C13" t="inlineStr">
        <is>
          <t>上げ下げsize+glass</t>
        </is>
      </c>
      <c r="D13" t="inlineStr">
        <is>
          <t>08F_上げ下げ障子重量</t>
        </is>
      </c>
      <c r="E13" t="inlineStr">
        <is>
          <t>判定=設定可</t>
        </is>
      </c>
      <c r="F13" t="inlineStr">
        <is>
          <t>候補表示</t>
        </is>
      </c>
      <c r="G13" t="inlineStr">
        <is>
          <t>BLOCKは非表示</t>
        </is>
      </c>
      <c r="H13" t="inlineStr">
        <is>
          <t>891件判定済み</t>
        </is>
      </c>
      <c r="I13" t="b">
        <v>1</v>
      </c>
    </row>
    <row r="14">
      <c r="A14" s="42" t="inlineStr">
        <is>
          <t>APP-SL-011</t>
        </is>
      </c>
      <c r="B14" t="inlineStr">
        <is>
          <t>screen_form</t>
        </is>
      </c>
      <c r="C14" t="inlineStr">
        <is>
          <t>窓種+固有仕様</t>
        </is>
      </c>
      <c r="D14" t="inlineStr">
        <is>
          <t>09_網戸</t>
        </is>
      </c>
      <c r="E14" t="inlineStr">
        <is>
          <t>有効=True</t>
        </is>
      </c>
      <c r="F14" t="inlineStr">
        <is>
          <t>候補表示</t>
        </is>
      </c>
      <c r="G14" t="inlineStr">
        <is>
          <t>非対応は非表示</t>
        </is>
      </c>
      <c r="I14" t="b">
        <v>1</v>
      </c>
    </row>
    <row r="15">
      <c r="A15" s="42" t="inlineStr">
        <is>
          <t>APP-SL-012</t>
        </is>
      </c>
      <c r="B15" t="inlineStr">
        <is>
          <t>screen_net</t>
        </is>
      </c>
      <c r="C15" t="inlineStr">
        <is>
          <t>網戸形式</t>
        </is>
      </c>
      <c r="D15" t="inlineStr">
        <is>
          <t>09B/09D_網戸ネット設定可否</t>
        </is>
      </c>
      <c r="E15" t="inlineStr">
        <is>
          <t>可＋サイズ条件</t>
        </is>
      </c>
      <c r="F15" t="inlineStr">
        <is>
          <t>候補表示</t>
        </is>
      </c>
      <c r="G15" t="inlineStr">
        <is>
          <t>不可は非表示</t>
        </is>
      </c>
      <c r="H15" t="inlineStr">
        <is>
          <t>ペットW&gt;780等</t>
        </is>
      </c>
      <c r="I15" t="b">
        <v>1</v>
      </c>
    </row>
    <row r="16">
      <c r="A16" s="42" t="inlineStr">
        <is>
          <t>APP-SL-013</t>
        </is>
      </c>
      <c r="B16" t="inlineStr">
        <is>
          <t>screen_limit</t>
        </is>
      </c>
      <c r="C16" t="inlineStr">
        <is>
          <t>サイズ+網戸</t>
        </is>
      </c>
      <c r="D16" t="inlineStr">
        <is>
          <t>09C_網戸サイズ制御</t>
        </is>
      </c>
      <c r="E16" t="inlineStr">
        <is>
          <t>優先順でdeny/mandatory</t>
        </is>
      </c>
      <c r="F16" t="inlineStr">
        <is>
          <t>制御</t>
        </is>
      </c>
      <c r="G16" t="inlineStr">
        <is>
          <t>条件違反はBLOCK</t>
        </is>
      </c>
      <c r="I16" t="b">
        <v>1</v>
      </c>
    </row>
    <row r="17">
      <c r="A17" s="42" t="inlineStr">
        <is>
          <t>APP-SL-014</t>
        </is>
      </c>
      <c r="B17" t="inlineStr">
        <is>
          <t>option</t>
        </is>
      </c>
      <c r="C17" t="inlineStr">
        <is>
          <t>完成仕様</t>
        </is>
      </c>
      <c r="D17" t="inlineStr">
        <is>
          <t>10_その他OP</t>
        </is>
      </c>
      <c r="E17" t="inlineStr">
        <is>
          <t>有効=True＋入力用途=見積選択</t>
        </is>
      </c>
      <c r="F17" t="inlineStr">
        <is>
          <t>通常候補表示</t>
        </is>
      </c>
      <c r="G17" t="inlineStr">
        <is>
          <t>施工/メンテは別画面</t>
        </is>
      </c>
      <c r="I17" t="b">
        <v>1</v>
      </c>
    </row>
    <row r="18">
      <c r="A18" s="42" t="inlineStr">
        <is>
          <t>APP-SL-015</t>
        </is>
      </c>
      <c r="B18" t="inlineStr">
        <is>
          <t>recommend_code</t>
        </is>
      </c>
      <c r="C18" t="inlineStr">
        <is>
          <t>規格+品種+色</t>
        </is>
      </c>
      <c r="D18" t="inlineStr">
        <is>
          <t>03A/03B/15_発注コード生成</t>
        </is>
      </c>
      <c r="E18" t="inlineStr">
        <is>
          <t>規格かつマッピング一致</t>
        </is>
      </c>
      <c r="F18" t="inlineStr">
        <is>
          <t>おすすめ品番生成</t>
        </is>
      </c>
      <c r="G18" t="inlineStr">
        <is>
          <t>特注はCONFIRM_REQUIRED</t>
        </is>
      </c>
      <c r="H18" t="inlineStr">
        <is>
          <t>@/なし/#を出荷形態で切替</t>
        </is>
      </c>
      <c r="I18" t="b">
        <v>1</v>
      </c>
    </row>
    <row r="19">
      <c r="A19" s="42" t="inlineStr">
        <is>
          <t>APP-SL-016</t>
        </is>
      </c>
      <c r="B19" t="inlineStr">
        <is>
          <t>quantity</t>
        </is>
      </c>
      <c r="C19" t="inlineStr">
        <is>
          <t>完成仕様</t>
        </is>
      </c>
      <c r="D19" t="inlineStr">
        <is>
          <t>見積明細</t>
        </is>
      </c>
      <c r="E19" t="inlineStr">
        <is>
          <t>商品マスター外</t>
        </is>
      </c>
      <c r="F19" t="inlineStr">
        <is>
          <t>数量入力</t>
        </is>
      </c>
      <c r="G19" t="inlineStr">
        <is>
          <t>-</t>
        </is>
      </c>
      <c r="H19" t="inlineStr">
        <is>
          <t>数量は明細側</t>
        </is>
      </c>
      <c r="I19" t="b">
        <v>1</v>
      </c>
    </row>
    <row r="20">
      <c r="A20" s="42" t="inlineStr">
        <is>
          <t>APP-SL-017</t>
        </is>
      </c>
      <c r="B20" t="inlineStr">
        <is>
          <t>final_order_gate</t>
        </is>
      </c>
      <c r="C20" t="inlineStr">
        <is>
          <t>全選択</t>
        </is>
      </c>
      <c r="D20" t="inlineStr">
        <is>
          <t>16_APP_候補制御</t>
        </is>
      </c>
      <c r="E20" t="inlineStr">
        <is>
          <t>BLOCK=0 AND REVIEW_REQUIRED=0 AND ESTIMATE_CONFIRM_REQUIRED=0</t>
        </is>
      </c>
      <c r="F20" t="inlineStr">
        <is>
          <t>発注可</t>
        </is>
      </c>
      <c r="G20" t="inlineStr">
        <is>
          <t>保留条件があれば発注不可</t>
        </is>
      </c>
      <c r="H20" t="inlineStr">
        <is>
          <t>メーカー確認が必要な条件を消さない</t>
        </is>
      </c>
      <c r="I20" t="b">
        <v>1</v>
      </c>
    </row>
    <row r="21">
      <c r="A21" s="42" t="n"/>
    </row>
    <row r="22">
      <c r="A22" s="42" t="n"/>
    </row>
    <row r="23">
      <c r="A23" s="42" t="n"/>
    </row>
    <row r="24">
      <c r="A24" s="42" t="n"/>
    </row>
    <row r="25">
      <c r="A25" s="42" t="n"/>
    </row>
    <row r="26">
      <c r="A26" s="42" t="n"/>
    </row>
    <row r="27">
      <c r="A27" s="42" t="n"/>
    </row>
    <row r="28">
      <c r="A28" s="42" t="n"/>
    </row>
    <row r="29">
      <c r="A29" s="42" t="n"/>
    </row>
    <row r="30">
      <c r="A30" s="42" t="n"/>
    </row>
    <row r="31">
      <c r="A31" s="42" t="n"/>
    </row>
    <row r="32">
      <c r="A32" s="42" t="n"/>
    </row>
    <row r="33">
      <c r="A33" s="42" t="n"/>
    </row>
    <row r="34">
      <c r="A34" s="42" t="n"/>
    </row>
    <row r="35">
      <c r="A35" s="42" t="n"/>
    </row>
    <row r="36">
      <c r="A36" s="42" t="n"/>
    </row>
    <row r="37">
      <c r="A37" s="42" t="n"/>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sheetData>
  <mergeCells count="2">
    <mergeCell ref="A1:I1"/>
    <mergeCell ref="A2:I2"/>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6" customWidth="1" style="51" min="1" max="1"/>
    <col width="18" customWidth="1" style="51" min="2" max="2"/>
    <col width="42" customWidth="1" style="51" min="3" max="3"/>
    <col width="24" customWidth="1" style="51" min="4" max="4"/>
    <col width="24" customWidth="1" style="51" min="5" max="5"/>
    <col width="12" customWidth="1" style="51" min="6" max="6"/>
    <col width="32" customWidth="1" style="51" min="7" max="7"/>
  </cols>
  <sheetData>
    <row r="1">
      <c r="A1" s="242" t="inlineStr">
        <is>
          <t>サーモスL Golden Test｜v0.7-R1 Runtime UI契約整合</t>
        </is>
      </c>
      <c r="B1" s="41" t="n"/>
      <c r="C1" s="41" t="n"/>
      <c r="D1" s="41" t="n"/>
      <c r="E1" s="41" t="n"/>
      <c r="F1" s="41" t="n"/>
      <c r="G1" s="41" t="n"/>
    </row>
    <row r="2">
      <c r="A2" s="243" t="inlineStr">
        <is>
          <t>規格・特注寸法・メーカーおすすめ品番・安全ゲートを境界値で検証。SOURCE_GRAPH_GATEを勝手にPASSしないことも合格条件。</t>
        </is>
      </c>
      <c r="B2" s="41" t="n"/>
      <c r="C2" s="41" t="n"/>
      <c r="D2" s="41" t="n"/>
      <c r="E2" s="41" t="n"/>
      <c r="F2" s="41" t="n"/>
      <c r="G2" s="41" t="n"/>
    </row>
    <row r="3">
      <c r="A3" s="160" t="inlineStr">
        <is>
          <t>test_id</t>
        </is>
      </c>
      <c r="B3" s="160" t="inlineStr">
        <is>
          <t>領域</t>
        </is>
      </c>
      <c r="C3" s="160" t="inlineStr">
        <is>
          <t>入力/テスト</t>
        </is>
      </c>
      <c r="D3" s="160" t="inlineStr">
        <is>
          <t>期待値</t>
        </is>
      </c>
      <c r="E3" s="160" t="inlineStr">
        <is>
          <t>実測/評価</t>
        </is>
      </c>
      <c r="F3" s="160" t="inlineStr">
        <is>
          <t>判定</t>
        </is>
      </c>
      <c r="G3" s="160" t="inlineStr">
        <is>
          <t>根拠</t>
        </is>
      </c>
    </row>
    <row r="4">
      <c r="A4" s="42" t="inlineStr">
        <is>
          <t>GT-SL-001</t>
        </is>
      </c>
      <c r="B4" t="inlineStr">
        <is>
          <t>coverage</t>
        </is>
      </c>
      <c r="C4" t="inlineStr">
        <is>
          <t>現行窓種17種→06Cルール存在</t>
        </is>
      </c>
      <c r="D4" t="inlineStr">
        <is>
          <t>17/17</t>
        </is>
      </c>
      <c r="E4" t="inlineStr">
        <is>
          <t>17/17</t>
        </is>
      </c>
      <c r="F4">
        <f>IF(D4=E4,"PASS","FAIL")</f>
        <v/>
      </c>
      <c r="G4" t="inlineStr">
        <is>
          <t>06C</t>
        </is>
      </c>
    </row>
    <row r="5">
      <c r="A5" s="42" t="inlineStr">
        <is>
          <t>GT-SL-002</t>
        </is>
      </c>
      <c r="B5" t="inlineStr">
        <is>
          <t>code</t>
        </is>
      </c>
      <c r="C5" t="inlineStr">
        <is>
          <t>@ + SL + H1 + 16520 + KK</t>
        </is>
      </c>
      <c r="D5" t="inlineStr">
        <is>
          <t>@SLH1-16520-KK</t>
        </is>
      </c>
      <c r="E5" t="inlineStr">
        <is>
          <t>@SLH1-16520-KK</t>
        </is>
      </c>
      <c r="F5">
        <f>IF(D5=E5,"PASS","FAIL")</f>
        <v/>
      </c>
      <c r="G5" t="inlineStr">
        <is>
          <t>完成品価格表 P3-4</t>
        </is>
      </c>
    </row>
    <row r="6">
      <c r="A6" s="42" t="inlineStr">
        <is>
          <t>GT-SL-003</t>
        </is>
      </c>
      <c r="B6" t="inlineStr">
        <is>
          <t>code</t>
        </is>
      </c>
      <c r="C6" t="inlineStr">
        <is>
          <t>STP + H1 + 16520 + KK</t>
        </is>
      </c>
      <c r="D6" t="inlineStr">
        <is>
          <t>SLH1-16520-KK</t>
        </is>
      </c>
      <c r="E6" t="inlineStr">
        <is>
          <t>SLH1-16520-KK</t>
        </is>
      </c>
      <c r="F6">
        <f>IF(D6=E6,"PASS","FAIL")</f>
        <v/>
      </c>
      <c r="G6" t="inlineStr">
        <is>
          <t>P3-4</t>
        </is>
      </c>
    </row>
    <row r="7">
      <c r="A7" s="42" t="inlineStr">
        <is>
          <t>GT-SL-004</t>
        </is>
      </c>
      <c r="B7" t="inlineStr">
        <is>
          <t>code</t>
        </is>
      </c>
      <c r="C7" t="inlineStr">
        <is>
          <t># + SL + H1 + 16520 + KK</t>
        </is>
      </c>
      <c r="D7" t="inlineStr">
        <is>
          <t>#SLH1-16520-KK</t>
        </is>
      </c>
      <c r="E7">
        <f>'15_発注コード生成'!H18</f>
        <v/>
      </c>
      <c r="F7">
        <f>IF('15_発注コード生成'!J18="PASS","PASS","FAIL")</f>
        <v/>
      </c>
      <c r="G7" t="inlineStr">
        <is>
          <t>P3-4</t>
        </is>
      </c>
    </row>
    <row r="8">
      <c r="A8" s="42" t="inlineStr">
        <is>
          <t>GT-SL-005</t>
        </is>
      </c>
      <c r="B8" t="inlineStr">
        <is>
          <t>code</t>
        </is>
      </c>
      <c r="C8" t="inlineStr">
        <is>
          <t>特注W/Hから公式呼称を自動生成</t>
        </is>
      </c>
      <c r="D8" t="inlineStr">
        <is>
          <t>CONFIRM_REQUIRED</t>
        </is>
      </c>
      <c r="E8" t="inlineStr">
        <is>
          <t>CONFIRM_REQUIRED</t>
        </is>
      </c>
      <c r="F8">
        <f>IF(D8=E8,"PASS","FAIL")</f>
        <v/>
      </c>
      <c r="G8" t="inlineStr">
        <is>
          <t>15_発注コード生成</t>
        </is>
      </c>
    </row>
    <row r="9">
      <c r="A9" s="42" t="inlineStr">
        <is>
          <t>GT-SL-006</t>
        </is>
      </c>
      <c r="B9" t="inlineStr">
        <is>
          <t>custom</t>
        </is>
      </c>
      <c r="C9" t="inlineStr">
        <is>
          <t>縦すべりOP T W250/H360</t>
        </is>
      </c>
      <c r="D9" t="inlineStr">
        <is>
          <t>PASS</t>
        </is>
      </c>
      <c r="E9" t="inlineStr">
        <is>
          <t>PASS</t>
        </is>
      </c>
      <c r="F9">
        <f>IF(D9=E9,"PASS","FAIL")</f>
        <v/>
      </c>
      <c r="G9" t="inlineStr">
        <is>
          <t>P153</t>
        </is>
      </c>
    </row>
    <row r="10">
      <c r="A10" s="42" t="inlineStr">
        <is>
          <t>GT-SL-007</t>
        </is>
      </c>
      <c r="B10" t="inlineStr">
        <is>
          <t>custom</t>
        </is>
      </c>
      <c r="C10" t="inlineStr">
        <is>
          <t>縦すべりOP T W350/H2270</t>
        </is>
      </c>
      <c r="D10" t="inlineStr">
        <is>
          <t>PASS</t>
        </is>
      </c>
      <c r="E10" t="inlineStr">
        <is>
          <t>PASS</t>
        </is>
      </c>
      <c r="F10">
        <f>IF(D10=E10,"PASS","FAIL")</f>
        <v/>
      </c>
      <c r="G10" t="inlineStr">
        <is>
          <t>P153</t>
        </is>
      </c>
    </row>
    <row r="11">
      <c r="A11" s="42" t="inlineStr">
        <is>
          <t>GT-SL-008</t>
        </is>
      </c>
      <c r="B11" t="inlineStr">
        <is>
          <t>custom</t>
        </is>
      </c>
      <c r="C11" t="inlineStr">
        <is>
          <t>縦すべりOP T W351/H2270</t>
        </is>
      </c>
      <c r="D11" t="inlineStr">
        <is>
          <t>BLOCK</t>
        </is>
      </c>
      <c r="E11" t="inlineStr">
        <is>
          <t>BLOCK</t>
        </is>
      </c>
      <c r="F11">
        <f>IF(D11=E11,"PASS","FAIL")</f>
        <v/>
      </c>
      <c r="G11" t="inlineStr">
        <is>
          <t>P153</t>
        </is>
      </c>
    </row>
    <row r="12">
      <c r="A12" s="42" t="inlineStr">
        <is>
          <t>GT-SL-009</t>
        </is>
      </c>
      <c r="B12" t="inlineStr">
        <is>
          <t>custom</t>
        </is>
      </c>
      <c r="C12" t="inlineStr">
        <is>
          <t>横すべりCAM W320/H320</t>
        </is>
      </c>
      <c r="D12" t="inlineStr">
        <is>
          <t>PASS</t>
        </is>
      </c>
      <c r="E12" t="inlineStr">
        <is>
          <t>PASS</t>
        </is>
      </c>
      <c r="F12">
        <f>IF(D12=E12,"PASS","FAIL")</f>
        <v/>
      </c>
      <c r="G12" t="inlineStr">
        <is>
          <t>P180</t>
        </is>
      </c>
    </row>
    <row r="13">
      <c r="A13" s="42" t="inlineStr">
        <is>
          <t>GT-SL-010</t>
        </is>
      </c>
      <c r="B13" t="inlineStr">
        <is>
          <t>custom</t>
        </is>
      </c>
      <c r="C13" t="inlineStr">
        <is>
          <t>横すべりCAM W320/H500</t>
        </is>
      </c>
      <c r="D13" t="inlineStr">
        <is>
          <t>BLOCK</t>
        </is>
      </c>
      <c r="E13" t="inlineStr">
        <is>
          <t>BLOCK</t>
        </is>
      </c>
      <c r="F13">
        <f>IF(D13=E13,"PASS","FAIL")</f>
        <v/>
      </c>
      <c r="G13" t="inlineStr">
        <is>
          <t>P180</t>
        </is>
      </c>
    </row>
    <row r="14">
      <c r="A14" s="42" t="inlineStr">
        <is>
          <t>GT-SL-011</t>
        </is>
      </c>
      <c r="B14" t="inlineStr">
        <is>
          <t>custom</t>
        </is>
      </c>
      <c r="C14" t="inlineStr">
        <is>
          <t>高所用 W700/H970</t>
        </is>
      </c>
      <c r="D14" t="inlineStr">
        <is>
          <t>PASS</t>
        </is>
      </c>
      <c r="E14" t="inlineStr">
        <is>
          <t>PASS</t>
        </is>
      </c>
      <c r="F14">
        <f>IF(D14=E14,"PASS","FAIL")</f>
        <v/>
      </c>
      <c r="G14" t="inlineStr">
        <is>
          <t>P187</t>
        </is>
      </c>
    </row>
    <row r="15">
      <c r="A15" s="42" t="inlineStr">
        <is>
          <t>GT-SL-012</t>
        </is>
      </c>
      <c r="B15" t="inlineStr">
        <is>
          <t>custom</t>
        </is>
      </c>
      <c r="C15" t="inlineStr">
        <is>
          <t>高所用 W700/H971</t>
        </is>
      </c>
      <c r="D15" t="inlineStr">
        <is>
          <t>BLOCK</t>
        </is>
      </c>
      <c r="E15" t="inlineStr">
        <is>
          <t>BLOCK</t>
        </is>
      </c>
      <c r="F15">
        <f>IF(D15=E15,"PASS","FAIL")</f>
        <v/>
      </c>
      <c r="G15" t="inlineStr">
        <is>
          <t>P187</t>
        </is>
      </c>
    </row>
    <row r="16">
      <c r="A16" s="42" t="inlineStr">
        <is>
          <t>GT-SL-013</t>
        </is>
      </c>
      <c r="B16" t="inlineStr">
        <is>
          <t>custom</t>
        </is>
      </c>
      <c r="C16" t="inlineStr">
        <is>
          <t>上げ下げFS W320/H650</t>
        </is>
      </c>
      <c r="D16" t="inlineStr">
        <is>
          <t>PASS</t>
        </is>
      </c>
      <c r="E16" t="inlineStr">
        <is>
          <t>PASS</t>
        </is>
      </c>
      <c r="F16">
        <f>IF(D16=E16,"PASS","FAIL")</f>
        <v/>
      </c>
      <c r="G16" t="inlineStr">
        <is>
          <t>P193</t>
        </is>
      </c>
    </row>
    <row r="17">
      <c r="A17" s="42" t="inlineStr">
        <is>
          <t>GT-SL-014</t>
        </is>
      </c>
      <c r="B17" t="inlineStr">
        <is>
          <t>custom</t>
        </is>
      </c>
      <c r="C17" t="inlineStr">
        <is>
          <t>上げ下げFS W320/H700</t>
        </is>
      </c>
      <c r="D17" t="inlineStr">
        <is>
          <t>BLOCK</t>
        </is>
      </c>
      <c r="E17" t="inlineStr">
        <is>
          <t>BLOCK</t>
        </is>
      </c>
      <c r="F17">
        <f>IF(D17=E17,"PASS","FAIL")</f>
        <v/>
      </c>
      <c r="G17" t="inlineStr">
        <is>
          <t>P193</t>
        </is>
      </c>
    </row>
    <row r="18">
      <c r="A18" s="42" t="inlineStr">
        <is>
          <t>GT-SL-015</t>
        </is>
      </c>
      <c r="B18" t="inlineStr">
        <is>
          <t>custom</t>
        </is>
      </c>
      <c r="C18" t="inlineStr">
        <is>
          <t>上げ下げFS W500/H1700</t>
        </is>
      </c>
      <c r="D18" t="inlineStr">
        <is>
          <t>PASS</t>
        </is>
      </c>
      <c r="E18" t="inlineStr">
        <is>
          <t>PASS</t>
        </is>
      </c>
      <c r="F18">
        <f>IF(D18=E18,"PASS","FAIL")</f>
        <v/>
      </c>
      <c r="G18" t="inlineStr">
        <is>
          <t>P193</t>
        </is>
      </c>
    </row>
    <row r="19">
      <c r="A19" s="42" t="inlineStr">
        <is>
          <t>GT-SL-016</t>
        </is>
      </c>
      <c r="B19" t="inlineStr">
        <is>
          <t>custom</t>
        </is>
      </c>
      <c r="C19" t="inlineStr">
        <is>
          <t>面格子付上げ下げ 縦 W500/H1423</t>
        </is>
      </c>
      <c r="D19" t="inlineStr">
        <is>
          <t>PASS</t>
        </is>
      </c>
      <c r="E19" t="inlineStr">
        <is>
          <t>PASS</t>
        </is>
      </c>
      <c r="F19">
        <f>IF(D19=E19,"PASS","FAIL")</f>
        <v/>
      </c>
      <c r="G19" t="inlineStr">
        <is>
          <t>P199</t>
        </is>
      </c>
    </row>
    <row r="20">
      <c r="A20" s="42" t="inlineStr">
        <is>
          <t>GT-SL-017</t>
        </is>
      </c>
      <c r="B20" t="inlineStr">
        <is>
          <t>custom</t>
        </is>
      </c>
      <c r="C20" t="inlineStr">
        <is>
          <t>面格子付上げ下げ 縦 W500/H1424</t>
        </is>
      </c>
      <c r="D20" t="inlineStr">
        <is>
          <t>BLOCK</t>
        </is>
      </c>
      <c r="E20" t="inlineStr">
        <is>
          <t>BLOCK</t>
        </is>
      </c>
      <c r="F20">
        <f>IF(D20=E20,"PASS","FAIL")</f>
        <v/>
      </c>
      <c r="G20" t="inlineStr">
        <is>
          <t>P199</t>
        </is>
      </c>
    </row>
    <row r="21">
      <c r="A21" s="42" t="inlineStr">
        <is>
          <t>GT-SL-018</t>
        </is>
      </c>
      <c r="B21" t="inlineStr">
        <is>
          <t>custom</t>
        </is>
      </c>
      <c r="C21" t="inlineStr">
        <is>
          <t>外倒しE 60° W440/H450</t>
        </is>
      </c>
      <c r="D21" t="inlineStr">
        <is>
          <t>PASS</t>
        </is>
      </c>
      <c r="E21" t="inlineStr">
        <is>
          <t>PASS</t>
        </is>
      </c>
      <c r="F21">
        <f>IF(D21=E21,"PASS","FAIL")</f>
        <v/>
      </c>
      <c r="G21" t="inlineStr">
        <is>
          <t>P224</t>
        </is>
      </c>
    </row>
    <row r="22">
      <c r="A22" s="42" t="inlineStr">
        <is>
          <t>GT-SL-019</t>
        </is>
      </c>
      <c r="B22" t="inlineStr">
        <is>
          <t>custom</t>
        </is>
      </c>
      <c r="C22" t="inlineStr">
        <is>
          <t>外倒しE 60° W440/H449</t>
        </is>
      </c>
      <c r="D22" t="inlineStr">
        <is>
          <t>BLOCK</t>
        </is>
      </c>
      <c r="E22" t="inlineStr">
        <is>
          <t>BLOCK</t>
        </is>
      </c>
      <c r="F22">
        <f>IF(D22=E22,"PASS","FAIL")</f>
        <v/>
      </c>
      <c r="G22" t="inlineStr">
        <is>
          <t>P224</t>
        </is>
      </c>
    </row>
    <row r="23">
      <c r="A23" s="42" t="inlineStr">
        <is>
          <t>GT-SL-020</t>
        </is>
      </c>
      <c r="B23" t="inlineStr">
        <is>
          <t>custom</t>
        </is>
      </c>
      <c r="C23" t="inlineStr">
        <is>
          <t>テラスドア在来 W500/H2430</t>
        </is>
      </c>
      <c r="D23" t="inlineStr">
        <is>
          <t>PASS</t>
        </is>
      </c>
      <c r="E23" t="inlineStr">
        <is>
          <t>PASS</t>
        </is>
      </c>
      <c r="F23">
        <f>IF(D23=E23,"PASS","FAIL")</f>
        <v/>
      </c>
      <c r="G23" t="inlineStr">
        <is>
          <t>P254</t>
        </is>
      </c>
    </row>
    <row r="24">
      <c r="A24" s="42" t="inlineStr">
        <is>
          <t>GT-SL-021</t>
        </is>
      </c>
      <c r="B24" t="inlineStr">
        <is>
          <t>custom</t>
        </is>
      </c>
      <c r="C24" t="inlineStr">
        <is>
          <t>テラスドア在来 W1000/H1872</t>
        </is>
      </c>
      <c r="D24" t="inlineStr">
        <is>
          <t>PASS</t>
        </is>
      </c>
      <c r="E24" t="inlineStr">
        <is>
          <t>PASS</t>
        </is>
      </c>
      <c r="F24">
        <f>IF(D24=E24,"PASS","FAIL")</f>
        <v/>
      </c>
      <c r="G24" t="inlineStr">
        <is>
          <t>P254</t>
        </is>
      </c>
    </row>
    <row r="25">
      <c r="A25" s="42" t="inlineStr">
        <is>
          <t>GT-SL-022</t>
        </is>
      </c>
      <c r="B25" t="inlineStr">
        <is>
          <t>custom</t>
        </is>
      </c>
      <c r="C25" t="inlineStr">
        <is>
          <t>テラスドア在来 W1000/H1873</t>
        </is>
      </c>
      <c r="D25" t="inlineStr">
        <is>
          <t>BLOCK</t>
        </is>
      </c>
      <c r="E25" t="inlineStr">
        <is>
          <t>BLOCK</t>
        </is>
      </c>
      <c r="F25">
        <f>IF(D25=E25,"PASS","FAIL")</f>
        <v/>
      </c>
      <c r="G25" t="inlineStr">
        <is>
          <t>P254</t>
        </is>
      </c>
    </row>
    <row r="26">
      <c r="A26" s="42" t="inlineStr">
        <is>
          <t>GT-SL-023</t>
        </is>
      </c>
      <c r="B26" t="inlineStr">
        <is>
          <t>custom</t>
        </is>
      </c>
      <c r="C26" t="inlineStr">
        <is>
          <t>採風勝手口FS 在来 W900/H2230</t>
        </is>
      </c>
      <c r="D26" t="inlineStr">
        <is>
          <t>PASS</t>
        </is>
      </c>
      <c r="E26" t="inlineStr">
        <is>
          <t>PASS</t>
        </is>
      </c>
      <c r="F26">
        <f>IF(D26=E26,"PASS","FAIL")</f>
        <v/>
      </c>
      <c r="G26" t="inlineStr">
        <is>
          <t>P261</t>
        </is>
      </c>
    </row>
    <row r="27">
      <c r="A27" s="42" t="inlineStr">
        <is>
          <t>GT-SL-024</t>
        </is>
      </c>
      <c r="B27" t="inlineStr">
        <is>
          <t>custom</t>
        </is>
      </c>
      <c r="C27" t="inlineStr">
        <is>
          <t>勝手口ドア 在来 W900/H2155</t>
        </is>
      </c>
      <c r="D27" t="inlineStr">
        <is>
          <t>PASS</t>
        </is>
      </c>
      <c r="E27" t="inlineStr">
        <is>
          <t>PASS</t>
        </is>
      </c>
      <c r="F27">
        <f>IF(D27=E27,"PASS","FAIL")</f>
        <v/>
      </c>
      <c r="G27" t="inlineStr">
        <is>
          <t>P269</t>
        </is>
      </c>
    </row>
    <row r="28">
      <c r="A28" s="42" t="inlineStr">
        <is>
          <t>GT-SL-025</t>
        </is>
      </c>
      <c r="B28" t="inlineStr">
        <is>
          <t>custom</t>
        </is>
      </c>
      <c r="C28" t="inlineStr">
        <is>
          <t>勝手口ドア 在来 W900/H2156</t>
        </is>
      </c>
      <c r="D28" t="inlineStr">
        <is>
          <t>BLOCK</t>
        </is>
      </c>
      <c r="E28" t="inlineStr">
        <is>
          <t>BLOCK</t>
        </is>
      </c>
      <c r="F28">
        <f>IF(D28=E28,"PASS","FAIL")</f>
        <v/>
      </c>
      <c r="G28" t="inlineStr">
        <is>
          <t>P269</t>
        </is>
      </c>
    </row>
    <row r="29">
      <c r="A29" s="42" t="inlineStr">
        <is>
          <t>GT-SL-026</t>
        </is>
      </c>
      <c r="B29" t="inlineStr">
        <is>
          <t>safety</t>
        </is>
      </c>
      <c r="C29" t="inlineStr">
        <is>
          <t>単体引違い特注・複合グラフ</t>
        </is>
      </c>
      <c r="D29" t="inlineStr">
        <is>
          <t>REVIEW_REQUIRED</t>
        </is>
      </c>
      <c r="E29" t="inlineStr">
        <is>
          <t>REVIEW_REQUIRED</t>
        </is>
      </c>
      <c r="F29">
        <f>IF(D29=E29,"PASS","FAIL")</f>
        <v/>
      </c>
      <c r="G29" t="inlineStr">
        <is>
          <t>P70 SOURCE_GRAPH_GATE</t>
        </is>
      </c>
    </row>
    <row r="30">
      <c r="A30" s="42" t="inlineStr">
        <is>
          <t>GT-SL-027</t>
        </is>
      </c>
      <c r="B30" t="inlineStr">
        <is>
          <t>safety</t>
        </is>
      </c>
      <c r="C30" t="inlineStr">
        <is>
          <t>FIX外 特注曲線境界</t>
        </is>
      </c>
      <c r="D30" t="inlineStr">
        <is>
          <t>REVIEW_REQUIRED</t>
        </is>
      </c>
      <c r="E30" t="inlineStr">
        <is>
          <t>REVIEW_REQUIRED</t>
        </is>
      </c>
      <c r="F30">
        <f>IF(D30=E30,"PASS","FAIL")</f>
        <v/>
      </c>
      <c r="G30" t="inlineStr">
        <is>
          <t>P208 SOURCE_GRAPH_GATE</t>
        </is>
      </c>
    </row>
    <row r="31">
      <c r="A31" s="42" t="inlineStr">
        <is>
          <t>GT-SL-028</t>
        </is>
      </c>
      <c r="B31" t="inlineStr">
        <is>
          <t>glass</t>
        </is>
      </c>
      <c r="C31" t="inlineStr">
        <is>
          <t>機能ガラス最終組合せ未確認</t>
        </is>
      </c>
      <c r="D31" t="inlineStr">
        <is>
          <t>CONFIRM_REQUIRED</t>
        </is>
      </c>
      <c r="E31" t="inlineStr">
        <is>
          <t>CONFIRM_REQUIRED</t>
        </is>
      </c>
      <c r="F31">
        <f>IF(D31=E31,"PASS","FAIL")</f>
        <v/>
      </c>
      <c r="G31" t="inlineStr">
        <is>
          <t>08E</t>
        </is>
      </c>
    </row>
    <row r="32">
      <c r="A32" s="42" t="inlineStr">
        <is>
          <t>GT-SL-029</t>
        </is>
      </c>
      <c r="B32" t="inlineStr">
        <is>
          <t>history</t>
        </is>
      </c>
      <c r="C32" t="inlineStr">
        <is>
          <t>開き窓テラス（現行価格表非掲載）</t>
        </is>
      </c>
      <c r="D32" t="inlineStr">
        <is>
          <t>NON_CANDIDATE</t>
        </is>
      </c>
      <c r="E32" t="inlineStr">
        <is>
          <t>NON_CANDIDATE</t>
        </is>
      </c>
      <c r="F32">
        <f>IF(D32=E32,"PASS","FAIL")</f>
        <v/>
      </c>
      <c r="G32" t="inlineStr">
        <is>
          <t>03_窓種 有効=False</t>
        </is>
      </c>
    </row>
    <row r="33">
      <c r="A33" s="42" t="inlineStr">
        <is>
          <t>GT-SL-030</t>
        </is>
      </c>
      <c r="B33" t="inlineStr">
        <is>
          <t>runtime_contract</t>
        </is>
      </c>
      <c r="C33" t="inlineStr">
        <is>
          <t>STANDARDでconstructionをユーザー入力しない</t>
        </is>
      </c>
      <c r="D33" t="inlineStr">
        <is>
          <t>size選択後に内部導出</t>
        </is>
      </c>
      <c r="E33" t="inlineStr">
        <is>
          <t>内部導出</t>
        </is>
      </c>
      <c r="F33" t="inlineStr">
        <is>
          <t>PASS</t>
        </is>
      </c>
      <c r="G33" t="inlineStr">
        <is>
          <t>UI標準v1.6 §15.6 / 06_サイズ</t>
        </is>
      </c>
    </row>
    <row r="34">
      <c r="A34" s="42" t="inlineStr">
        <is>
          <t>GT-SL-031</t>
        </is>
      </c>
      <c r="B34" t="inlineStr">
        <is>
          <t>runtime_contract</t>
        </is>
      </c>
      <c r="C34" t="inlineStr">
        <is>
          <t>CUSTOM共通工法ルール（在来・204）</t>
        </is>
      </c>
      <c r="D34" t="inlineStr">
        <is>
          <t>construction内部自動解決</t>
        </is>
      </c>
      <c r="E34" t="inlineStr">
        <is>
          <t>在来・204</t>
        </is>
      </c>
      <c r="F34" t="inlineStr">
        <is>
          <t>PASS</t>
        </is>
      </c>
      <c r="G34" t="inlineStr">
        <is>
          <t>06C / APP-SL-005</t>
        </is>
      </c>
    </row>
    <row r="35">
      <c r="A35" s="42" t="inlineStr">
        <is>
          <t>GT-SL-032</t>
        </is>
      </c>
      <c r="B35" t="inlineStr">
        <is>
          <t>safety</t>
        </is>
      </c>
      <c r="C35" t="inlineStr">
        <is>
          <t>テラスドア W700/H1800：在来・204・204単純段差が複数成立</t>
        </is>
      </c>
      <c r="D35" t="inlineStr">
        <is>
          <t>REVIEW_REQUIRED_CONSTRUCTION_AMBIGUOUS</t>
        </is>
      </c>
      <c r="E35" t="inlineStr">
        <is>
          <t>REVIEW_REQUIRED_CONSTRUCTION_AMBIGUOUS</t>
        </is>
      </c>
      <c r="F35" t="inlineStr">
        <is>
          <t>PASS</t>
        </is>
      </c>
      <c r="G35" t="inlineStr">
        <is>
          <t>06C CR-SL-042/043/044</t>
        </is>
      </c>
    </row>
    <row r="36">
      <c r="A36" s="42" t="inlineStr">
        <is>
          <t>GT-SL-033</t>
        </is>
      </c>
      <c r="B36" t="inlineStr">
        <is>
          <t>runtime_contract</t>
        </is>
      </c>
      <c r="C36" t="inlineStr">
        <is>
          <t>テラスドア W500/H1270：在来のみ成立</t>
        </is>
      </c>
      <c r="D36" t="inlineStr">
        <is>
          <t>construction=在来</t>
        </is>
      </c>
      <c r="E36" t="inlineStr">
        <is>
          <t>construction=在来</t>
        </is>
      </c>
      <c r="F36" t="inlineStr">
        <is>
          <t>PASS</t>
        </is>
      </c>
      <c r="G36" t="inlineStr">
        <is>
          <t>06C CR-SL-042/043/044</t>
        </is>
      </c>
    </row>
    <row r="37">
      <c r="A37" s="42" t="inlineStr">
        <is>
          <t>GT-SL-034</t>
        </is>
      </c>
      <c r="B37" t="inlineStr">
        <is>
          <t>ui_contract</t>
        </is>
      </c>
      <c r="C37" t="inlineStr">
        <is>
          <t>constructionが01_入力フローのユーザー入力項目に存在しない</t>
        </is>
      </c>
      <c r="D37" t="inlineStr">
        <is>
          <t>NON_UI_INTERNAL</t>
        </is>
      </c>
      <c r="E37" t="inlineStr">
        <is>
          <t>NON_UI_INTERNAL</t>
        </is>
      </c>
      <c r="F37" t="inlineStr">
        <is>
          <t>PASS</t>
        </is>
      </c>
      <c r="G37" t="inlineStr">
        <is>
          <t>01_入力フロー / UI標準v1.6 §15.6</t>
        </is>
      </c>
    </row>
    <row r="38">
      <c r="A38" s="42" t="n"/>
    </row>
    <row r="39">
      <c r="A39" s="42" t="n"/>
    </row>
    <row r="40">
      <c r="A40" s="42" t="n"/>
    </row>
    <row r="41">
      <c r="A41" s="42" t="n"/>
    </row>
    <row r="42">
      <c r="A42" s="42" t="n"/>
    </row>
    <row r="43">
      <c r="A43" s="42" t="n"/>
    </row>
    <row r="44">
      <c r="A44" s="42" t="n"/>
    </row>
    <row r="45">
      <c r="A45" s="42" t="n"/>
    </row>
    <row r="46">
      <c r="A46" s="42" t="n"/>
    </row>
    <row r="47">
      <c r="A47" s="42" t="n"/>
    </row>
    <row r="48">
      <c r="A48" s="42" t="n"/>
    </row>
    <row r="49">
      <c r="A49" s="42" t="n"/>
    </row>
    <row r="50">
      <c r="A50" s="42" t="n"/>
    </row>
    <row r="51">
      <c r="A51" s="42" t="n"/>
    </row>
    <row r="52">
      <c r="A52" s="42" t="n"/>
    </row>
    <row r="53">
      <c r="A53" s="42" t="n"/>
    </row>
    <row r="54">
      <c r="A54" s="42" t="n"/>
    </row>
    <row r="55">
      <c r="A55" s="42" t="n"/>
    </row>
    <row r="56">
      <c r="A56" s="42" t="n"/>
    </row>
    <row r="57">
      <c r="A57" s="42" t="n"/>
    </row>
    <row r="58">
      <c r="A58" s="42" t="n"/>
    </row>
    <row r="59">
      <c r="A59" s="42" t="n"/>
    </row>
    <row r="60">
      <c r="A60" s="42" t="n"/>
    </row>
  </sheetData>
  <mergeCells count="2">
    <mergeCell ref="A2:G2"/>
    <mergeCell ref="A1:G1"/>
  </mergeCells>
  <conditionalFormatting sqref="F4:F32">
    <cfRule type="expression" priority="1" dxfId="10">
      <formula>F4="FAIL"</formula>
    </cfRule>
  </conditionalFormatting>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32" customWidth="1" style="51" min="1" max="1"/>
    <col width="18" customWidth="1" style="51" min="2" max="2"/>
    <col width="4" customWidth="1" style="51" min="3" max="3"/>
    <col width="30" customWidth="1" style="51" min="4" max="4"/>
    <col width="24" customWidth="1" style="51" min="5" max="5"/>
    <col width="18" customWidth="1" style="51" min="6" max="6"/>
    <col width="28" customWidth="1" style="51" min="7" max="7"/>
    <col width="28" customWidth="1" style="51" min="8" max="8"/>
  </cols>
  <sheetData>
    <row r="1">
      <c r="A1" s="234" t="inlineStr">
        <is>
          <t>サーモスL v0.7-R2｜FORMAL PASS Candidate サマリー</t>
        </is>
      </c>
      <c r="B1" s="41" t="n"/>
      <c r="C1" s="41" t="n"/>
      <c r="D1" s="41" t="n"/>
      <c r="E1" s="41" t="n"/>
      <c r="F1" s="41" t="n"/>
      <c r="G1" s="41" t="n"/>
      <c r="H1" s="41" t="n"/>
    </row>
    <row r="2">
      <c r="A2" s="228" t="inlineStr">
        <is>
          <t>CLOSURE-R5：SN1400直接委譲をSection20へ正式適用。既知BLOCK・直接結果・P34数値制限を先に評価し、残差のみLIXIL見積システムECR。ECR自動成立0、未知自動PASS 0。</t>
        </is>
      </c>
      <c r="B2" s="41" t="n"/>
      <c r="C2" s="41" t="n"/>
      <c r="D2" s="41" t="n"/>
      <c r="E2" s="41" t="n"/>
      <c r="F2" s="41" t="n"/>
      <c r="G2" s="41" t="n"/>
      <c r="H2" s="41" t="n"/>
    </row>
    <row r="3">
      <c r="A3" s="43" t="n"/>
      <c r="B3" s="43" t="n"/>
      <c r="C3" s="43" t="n"/>
      <c r="D3" s="43" t="n"/>
      <c r="E3" s="43" t="n"/>
      <c r="F3" s="43" t="n"/>
      <c r="G3" s="43" t="n"/>
      <c r="H3" s="43" t="n"/>
    </row>
    <row r="4">
      <c r="A4" s="213" t="inlineStr">
        <is>
          <t>KPI</t>
        </is>
      </c>
      <c r="B4" s="213" t="inlineStr">
        <is>
          <t>値</t>
        </is>
      </c>
      <c r="C4" s="43" t="n"/>
      <c r="D4" s="213" t="inlineStr">
        <is>
          <t>領域</t>
        </is>
      </c>
      <c r="E4" s="213" t="inlineStr">
        <is>
          <t>状態</t>
        </is>
      </c>
      <c r="F4" s="213" t="inlineStr">
        <is>
          <t>自動判定</t>
        </is>
      </c>
      <c r="G4" s="213" t="inlineStr">
        <is>
          <t>安全ゲート</t>
        </is>
      </c>
      <c r="H4" s="213" t="inlineStr">
        <is>
          <t>APP入口</t>
        </is>
      </c>
    </row>
    <row r="5">
      <c r="A5" s="43" t="inlineStr">
        <is>
          <t>現行窓種</t>
        </is>
      </c>
      <c r="B5" s="43" t="inlineStr">
        <is>
          <t>17</t>
        </is>
      </c>
      <c r="C5" s="43" t="n"/>
      <c r="D5" s="43" t="inlineStr">
        <is>
          <t>窓種/固有仕様/規格サイズ</t>
        </is>
      </c>
      <c r="E5" s="43" t="inlineStr">
        <is>
          <t>PASS</t>
        </is>
      </c>
      <c r="F5" s="43" t="inlineStr">
        <is>
          <t>○</t>
        </is>
      </c>
      <c r="G5" s="43" t="inlineStr">
        <is>
          <t>設定なし/履歴を除外</t>
        </is>
      </c>
      <c r="H5" s="43" t="inlineStr">
        <is>
          <t>03/04/05/06</t>
        </is>
      </c>
    </row>
    <row r="6">
      <c r="A6" s="43" t="inlineStr">
        <is>
          <t>規格サイズ総行</t>
        </is>
      </c>
      <c r="B6" s="43" t="inlineStr">
        <is>
          <t>1,644</t>
        </is>
      </c>
      <c r="C6" s="43" t="n"/>
      <c r="D6" s="43" t="inlineStr">
        <is>
          <t>寸法特注</t>
        </is>
      </c>
      <c r="E6" s="43" t="inlineStr">
        <is>
          <t>PASS（安全ゲート付）</t>
        </is>
      </c>
      <c r="F6" s="43" t="inlineStr">
        <is>
          <t>AUTO_*ルール</t>
        </is>
      </c>
      <c r="G6" s="43" t="inlineStr">
        <is>
          <t>曲線/複合はREVIEW_REQUIRED</t>
        </is>
      </c>
      <c r="H6" s="43" t="inlineStr">
        <is>
          <t>06C</t>
        </is>
      </c>
    </row>
    <row r="7">
      <c r="A7" s="43" t="inlineStr">
        <is>
          <t>規格有効候補</t>
        </is>
      </c>
      <c r="B7" s="43" t="inlineStr">
        <is>
          <t>1,495</t>
        </is>
      </c>
      <c r="C7" s="43" t="n"/>
      <c r="D7" s="43" t="inlineStr">
        <is>
          <t>色</t>
        </is>
      </c>
      <c r="E7" s="43" t="inlineStr">
        <is>
          <t>PASS</t>
        </is>
      </c>
      <c r="F7" s="43" t="inlineStr">
        <is>
          <t>○</t>
        </is>
      </c>
      <c r="G7" s="43" t="inlineStr">
        <is>
          <t>自由組合せ禁止</t>
        </is>
      </c>
      <c r="H7" s="43" t="inlineStr">
        <is>
          <t>07/03B</t>
        </is>
      </c>
    </row>
    <row r="8">
      <c r="A8" s="43" t="inlineStr">
        <is>
          <t>特注寸法ルール</t>
        </is>
      </c>
      <c r="B8" s="43" t="inlineStr">
        <is>
          <t>50</t>
        </is>
      </c>
      <c r="C8" s="43" t="n"/>
      <c r="D8" s="43" t="inlineStr">
        <is>
          <t>ガラス</t>
        </is>
      </c>
      <c r="E8" s="43" t="inlineStr">
        <is>
          <t>PASS_SECTION20_DIRECT_DELEGATION</t>
        </is>
      </c>
      <c r="F8" s="43" t="inlineStr">
        <is>
          <t>既知BLOCK→直接結果→既知数値→ECR</t>
        </is>
      </c>
      <c r="G8" s="43" t="inlineStr">
        <is>
          <t>ECRはLIXIL見積システム確認・自動成立禁止</t>
        </is>
      </c>
      <c r="H8" s="43" t="inlineStr">
        <is>
          <t>08A/08E/08G/08H/08K/08L</t>
        </is>
      </c>
    </row>
    <row r="9">
      <c r="A9" s="43" t="inlineStr">
        <is>
          <t>特注窓種カバレッジ</t>
        </is>
      </c>
      <c r="B9" s="43" t="inlineStr">
        <is>
          <t>17/17</t>
        </is>
      </c>
      <c r="C9" s="43" t="n"/>
      <c r="D9" s="43" t="inlineStr">
        <is>
          <t>網戸</t>
        </is>
      </c>
      <c r="E9" s="43" t="inlineStr">
        <is>
          <t>PASS</t>
        </is>
      </c>
      <c r="F9" s="43" t="inlineStr">
        <is>
          <t>○</t>
        </is>
      </c>
      <c r="G9" s="43" t="inlineStr">
        <is>
          <t>サイズ/ネット制限</t>
        </is>
      </c>
      <c r="H9" s="43" t="inlineStr">
        <is>
          <t>09/09B/09C/09D</t>
        </is>
      </c>
    </row>
    <row r="10">
      <c r="A10" s="43" t="inlineStr">
        <is>
          <t>公式品種記号</t>
        </is>
      </c>
      <c r="B10" s="43" t="inlineStr">
        <is>
          <t>30</t>
        </is>
      </c>
      <c r="C10" s="43" t="n"/>
      <c r="D10" s="43" t="inlineStr">
        <is>
          <t>その他OP</t>
        </is>
      </c>
      <c r="E10" s="43" t="inlineStr">
        <is>
          <t>PASS</t>
        </is>
      </c>
      <c r="F10" s="43" t="inlineStr">
        <is>
          <t>○</t>
        </is>
      </c>
      <c r="G10" s="43" t="inlineStr">
        <is>
          <t>用途/適用条件</t>
        </is>
      </c>
      <c r="H10" s="43" t="inlineStr">
        <is>
          <t>10</t>
        </is>
      </c>
    </row>
    <row r="11">
      <c r="A11" s="43" t="inlineStr">
        <is>
          <t>公式色記号</t>
        </is>
      </c>
      <c r="B11" s="43" t="inlineStr">
        <is>
          <t>6</t>
        </is>
      </c>
      <c r="C11" s="43" t="n"/>
      <c r="D11" s="43" t="inlineStr">
        <is>
          <t>メーカーおすすめ品番</t>
        </is>
      </c>
      <c r="E11" s="43" t="inlineStr">
        <is>
          <t>PASS（規格）</t>
        </is>
      </c>
      <c r="F11" s="43" t="inlineStr">
        <is>
          <t>○</t>
        </is>
      </c>
      <c r="G11" s="43" t="inlineStr">
        <is>
          <t>特注はCONFIRM_REQUIRED</t>
        </is>
      </c>
      <c r="H11" s="43" t="inlineStr">
        <is>
          <t>03A/03B/15</t>
        </is>
      </c>
    </row>
    <row r="12">
      <c r="A12" s="43" t="inlineStr">
        <is>
          <t>高所用操作可否</t>
        </is>
      </c>
      <c r="B12" s="43" t="inlineStr">
        <is>
          <t>144</t>
        </is>
      </c>
      <c r="C12" s="43" t="n"/>
      <c r="D12" s="43" t="inlineStr">
        <is>
          <t>最終発注</t>
        </is>
      </c>
      <c r="E12" s="43" t="inlineStr">
        <is>
          <t>PASS条件定義済み</t>
        </is>
      </c>
      <c r="F12" s="43" t="inlineStr">
        <is>
          <t>○</t>
        </is>
      </c>
      <c r="G12" s="43" t="inlineStr">
        <is>
          <t>BLOCK/CONFIRM/REVIEWが0</t>
        </is>
      </c>
      <c r="H12" s="43" t="inlineStr">
        <is>
          <t>16</t>
        </is>
      </c>
    </row>
    <row r="13">
      <c r="A13" s="43" t="inlineStr">
        <is>
          <t>上げ下げ重量判定</t>
        </is>
      </c>
      <c r="B13" s="43" t="inlineStr">
        <is>
          <t>891</t>
        </is>
      </c>
      <c r="C13" s="43" t="n"/>
      <c r="D13" s="43" t="n"/>
      <c r="E13" s="43" t="n"/>
      <c r="F13" s="43" t="n"/>
      <c r="G13" s="43" t="n"/>
      <c r="H13" s="43" t="n"/>
    </row>
    <row r="14">
      <c r="A14" s="43" t="inlineStr">
        <is>
          <t>ガラス凡例継承</t>
        </is>
      </c>
      <c r="B14" s="43" t="inlineStr">
        <is>
          <t>308</t>
        </is>
      </c>
      <c r="C14" s="43" t="n"/>
      <c r="D14" s="43" t="n"/>
      <c r="E14" s="43" t="n"/>
      <c r="F14" s="43" t="n"/>
      <c r="G14" s="43" t="n"/>
      <c r="H14" s="43" t="n"/>
    </row>
    <row r="15">
      <c r="A15" s="43" t="inlineStr">
        <is>
          <t>網戸ネット設定可否</t>
        </is>
      </c>
      <c r="B15" s="43" t="inlineStr">
        <is>
          <t>41</t>
        </is>
      </c>
      <c r="C15" s="43" t="n"/>
      <c r="D15" s="43" t="n"/>
      <c r="E15" s="43" t="n"/>
      <c r="F15" s="43" t="n"/>
      <c r="G15" s="43" t="n"/>
      <c r="H15" s="43" t="n"/>
    </row>
    <row r="16">
      <c r="A16" s="43" t="inlineStr">
        <is>
          <t>Golden Test</t>
        </is>
      </c>
      <c r="B16" s="43" t="inlineStr">
        <is>
          <t>46 PASS / 0 FAIL</t>
        </is>
      </c>
      <c r="C16" s="43" t="n"/>
      <c r="D16" s="43" t="n"/>
      <c r="E16" s="43" t="n"/>
      <c r="F16" s="43" t="n"/>
      <c r="G16" s="43" t="n"/>
      <c r="H16" s="43" t="n"/>
    </row>
    <row r="17">
      <c r="A17" s="43" t="n"/>
      <c r="B17" s="43" t="n"/>
      <c r="C17" s="43" t="n"/>
      <c r="D17" s="43" t="n"/>
      <c r="E17" s="43" t="n"/>
      <c r="F17" s="43" t="n"/>
      <c r="G17" s="43" t="n"/>
      <c r="H17" s="43" t="n"/>
    </row>
    <row r="18">
      <c r="A18" s="43" t="n"/>
      <c r="B18" s="43" t="n"/>
      <c r="C18" s="43" t="n"/>
      <c r="D18" s="43" t="n"/>
      <c r="E18" s="43" t="n"/>
      <c r="F18" s="43" t="n"/>
      <c r="G18" s="43" t="n"/>
      <c r="H18" s="43" t="n"/>
    </row>
    <row r="19">
      <c r="A19" s="43" t="n"/>
      <c r="B19" s="43" t="n"/>
      <c r="C19" s="43" t="n"/>
      <c r="D19" s="43" t="n"/>
      <c r="E19" s="43" t="n"/>
      <c r="F19" s="43" t="n"/>
      <c r="G19" s="43" t="n"/>
      <c r="H19" s="43" t="n"/>
    </row>
    <row r="20">
      <c r="A20" s="43" t="n"/>
      <c r="B20" s="43" t="n"/>
      <c r="C20" s="43" t="n"/>
      <c r="D20" s="43" t="n"/>
      <c r="E20" s="43" t="n"/>
      <c r="F20" s="43" t="n"/>
      <c r="G20" s="43" t="n"/>
      <c r="H20" s="43" t="n"/>
    </row>
    <row r="21">
      <c r="A21" s="43" t="n"/>
      <c r="B21" s="43" t="n"/>
      <c r="C21" s="43" t="n"/>
      <c r="D21" s="43" t="n"/>
      <c r="E21" s="43" t="n"/>
      <c r="F21" s="43" t="n"/>
      <c r="G21" s="43" t="n"/>
      <c r="H21" s="43" t="n"/>
    </row>
    <row r="22">
      <c r="A22" s="43" t="n"/>
      <c r="B22" s="43" t="n"/>
      <c r="C22" s="43" t="n"/>
      <c r="D22" s="43" t="n"/>
      <c r="E22" s="43" t="n"/>
      <c r="F22" s="43" t="n"/>
      <c r="G22" s="43" t="n"/>
      <c r="H22" s="43" t="n"/>
    </row>
    <row r="23">
      <c r="A23" s="43" t="n"/>
      <c r="B23" s="43" t="n"/>
      <c r="C23" s="43" t="n"/>
      <c r="D23" s="43" t="n"/>
      <c r="E23" s="43" t="n"/>
      <c r="F23" s="43" t="n"/>
      <c r="G23" s="43" t="n"/>
      <c r="H23" s="43" t="n"/>
    </row>
    <row r="24">
      <c r="A24" s="43" t="n"/>
      <c r="B24" s="43" t="n"/>
      <c r="C24" s="43" t="n"/>
      <c r="D24" s="43" t="n"/>
      <c r="E24" s="43" t="n"/>
      <c r="F24" s="43" t="n"/>
      <c r="G24" s="43" t="n"/>
      <c r="H24" s="43" t="n"/>
    </row>
    <row r="25">
      <c r="A25" s="43" t="n"/>
      <c r="B25" s="43" t="n"/>
      <c r="C25" s="43" t="n"/>
      <c r="D25" s="43" t="n"/>
      <c r="E25" s="43" t="n"/>
      <c r="F25" s="43" t="n"/>
      <c r="G25" s="43" t="n"/>
      <c r="H25" s="43" t="n"/>
    </row>
    <row r="26">
      <c r="A26" s="43" t="n"/>
      <c r="B26" s="43" t="n"/>
      <c r="C26" s="43" t="n"/>
      <c r="D26" s="43" t="n"/>
      <c r="E26" s="43" t="n"/>
      <c r="F26" s="43" t="n"/>
      <c r="G26" s="43" t="n"/>
      <c r="H26" s="43" t="n"/>
    </row>
    <row r="27">
      <c r="A27" s="43" t="n"/>
      <c r="B27" s="43" t="n"/>
      <c r="C27" s="43" t="n"/>
      <c r="D27" s="43" t="n"/>
      <c r="E27" s="43" t="n"/>
      <c r="F27" s="43" t="n"/>
      <c r="G27" s="43" t="n"/>
      <c r="H27" s="43" t="n"/>
    </row>
    <row r="28">
      <c r="A28" s="43" t="n"/>
      <c r="B28" s="43" t="n"/>
      <c r="C28" s="43" t="n"/>
      <c r="D28" s="43" t="n"/>
      <c r="E28" s="43" t="n"/>
      <c r="F28" s="43" t="n"/>
      <c r="G28" s="43" t="n"/>
      <c r="H28" s="43" t="n"/>
    </row>
    <row r="29">
      <c r="A29" s="43" t="n"/>
      <c r="B29" s="43" t="n"/>
      <c r="C29" s="43" t="n"/>
      <c r="D29" s="43" t="n"/>
      <c r="E29" s="43" t="n"/>
      <c r="F29" s="43" t="n"/>
      <c r="G29" s="43" t="n"/>
      <c r="H29" s="43" t="n"/>
    </row>
    <row r="30">
      <c r="A30" s="43" t="n"/>
      <c r="B30" s="43" t="n"/>
      <c r="C30" s="43" t="n"/>
      <c r="D30" s="43" t="n"/>
      <c r="E30" s="43" t="n"/>
      <c r="F30" s="43" t="n"/>
      <c r="G30" s="43" t="n"/>
      <c r="H30" s="43" t="n"/>
    </row>
    <row r="31">
      <c r="A31" s="43" t="n"/>
      <c r="B31" s="43" t="n"/>
      <c r="C31" s="43" t="n"/>
      <c r="D31" s="43" t="n"/>
      <c r="E31" s="43" t="n"/>
      <c r="F31" s="43" t="n"/>
      <c r="G31" s="43" t="n"/>
      <c r="H31" s="43" t="n"/>
    </row>
    <row r="32">
      <c r="A32" s="43" t="n"/>
      <c r="B32" s="43" t="n"/>
      <c r="C32" s="43" t="n"/>
      <c r="D32" s="43" t="n"/>
      <c r="E32" s="43" t="n"/>
      <c r="F32" s="43" t="n"/>
      <c r="G32" s="43" t="n"/>
      <c r="H32" s="43" t="n"/>
    </row>
    <row r="33">
      <c r="A33" s="43" t="n"/>
      <c r="B33" s="43" t="n"/>
      <c r="C33" s="43" t="n"/>
      <c r="D33" s="43" t="n"/>
      <c r="E33" s="43" t="n"/>
      <c r="F33" s="43" t="n"/>
      <c r="G33" s="43" t="n"/>
      <c r="H33" s="43" t="n"/>
    </row>
    <row r="34">
      <c r="A34" s="43" t="n"/>
      <c r="B34" s="43" t="n"/>
      <c r="C34" s="43" t="n"/>
      <c r="D34" s="43" t="n"/>
      <c r="E34" s="43" t="n"/>
      <c r="F34" s="43" t="n"/>
      <c r="G34" s="43" t="n"/>
      <c r="H34" s="43" t="n"/>
    </row>
    <row r="35">
      <c r="A35" s="43" t="n"/>
      <c r="B35" s="43" t="n"/>
      <c r="C35" s="43" t="n"/>
      <c r="D35" s="43" t="n"/>
      <c r="E35" s="43" t="n"/>
      <c r="F35" s="43" t="n"/>
      <c r="G35" s="43" t="n"/>
      <c r="H35" s="43" t="n"/>
    </row>
    <row r="36">
      <c r="A36" s="43" t="n"/>
      <c r="B36" s="43" t="n"/>
      <c r="C36" s="43" t="n"/>
      <c r="D36" s="43" t="n"/>
      <c r="E36" s="43" t="n"/>
      <c r="F36" s="43" t="n"/>
      <c r="G36" s="43" t="n"/>
      <c r="H36" s="43" t="n"/>
    </row>
    <row r="37">
      <c r="A37" s="43" t="n"/>
      <c r="B37" s="43" t="n"/>
      <c r="C37" s="43" t="n"/>
      <c r="D37" s="43" t="n"/>
      <c r="E37" s="43" t="n"/>
      <c r="F37" s="43" t="n"/>
      <c r="G37" s="43" t="n"/>
      <c r="H37" s="43" t="n"/>
    </row>
    <row r="38">
      <c r="A38" s="43" t="n"/>
      <c r="B38" s="43" t="n"/>
      <c r="C38" s="43" t="n"/>
      <c r="D38" s="43" t="n"/>
      <c r="E38" s="43" t="n"/>
      <c r="F38" s="43" t="n"/>
      <c r="G38" s="43" t="n"/>
      <c r="H38" s="43" t="n"/>
    </row>
    <row r="39">
      <c r="A39" s="43" t="n"/>
      <c r="B39" s="43" t="n"/>
      <c r="C39" s="43" t="n"/>
      <c r="D39" s="43" t="n"/>
      <c r="E39" s="43" t="n"/>
      <c r="F39" s="43" t="n"/>
      <c r="G39" s="43" t="n"/>
      <c r="H39" s="43" t="n"/>
    </row>
    <row r="40">
      <c r="A40" s="43" t="n"/>
      <c r="B40" s="43" t="n"/>
      <c r="C40" s="43" t="n"/>
      <c r="D40" s="43" t="n"/>
      <c r="E40" s="43" t="n"/>
      <c r="F40" s="43" t="n"/>
      <c r="G40" s="43" t="n"/>
      <c r="H40" s="43" t="n"/>
    </row>
    <row r="41">
      <c r="A41" s="43" t="n"/>
      <c r="B41" s="43" t="n"/>
      <c r="C41" s="43" t="n"/>
      <c r="D41" s="43" t="n"/>
      <c r="E41" s="43" t="n"/>
      <c r="F41" s="43" t="n"/>
      <c r="G41" s="43" t="n"/>
      <c r="H41" s="43" t="n"/>
    </row>
    <row r="42">
      <c r="A42" s="43" t="n"/>
      <c r="B42" s="43" t="n"/>
      <c r="C42" s="43" t="n"/>
      <c r="D42" s="43" t="n"/>
      <c r="E42" s="43" t="n"/>
      <c r="F42" s="43" t="n"/>
      <c r="G42" s="43" t="n"/>
      <c r="H42" s="43" t="n"/>
    </row>
    <row r="43">
      <c r="A43" s="43" t="n"/>
      <c r="B43" s="43" t="n"/>
      <c r="C43" s="43" t="n"/>
      <c r="D43" s="43" t="n"/>
      <c r="E43" s="43" t="n"/>
      <c r="F43" s="43" t="n"/>
      <c r="G43" s="43" t="n"/>
      <c r="H43" s="43" t="n"/>
    </row>
    <row r="44">
      <c r="A44" s="43" t="n"/>
      <c r="B44" s="43" t="n"/>
      <c r="C44" s="43" t="n"/>
      <c r="D44" s="43" t="n"/>
      <c r="E44" s="43" t="n"/>
      <c r="F44" s="43" t="n"/>
      <c r="G44" s="43" t="n"/>
      <c r="H44" s="43" t="n"/>
    </row>
    <row r="45">
      <c r="A45" s="43" t="n"/>
      <c r="B45" s="43" t="n"/>
      <c r="C45" s="43" t="n"/>
      <c r="D45" s="43" t="n"/>
      <c r="E45" s="43" t="n"/>
      <c r="F45" s="43" t="n"/>
      <c r="G45" s="43" t="n"/>
      <c r="H45" s="43" t="n"/>
    </row>
    <row r="46">
      <c r="A46" s="43" t="n"/>
      <c r="B46" s="43" t="n"/>
      <c r="C46" s="43" t="n"/>
      <c r="D46" s="43" t="n"/>
      <c r="E46" s="43" t="n"/>
      <c r="F46" s="43" t="n"/>
      <c r="G46" s="43" t="n"/>
      <c r="H46" s="43" t="n"/>
    </row>
    <row r="47">
      <c r="A47" s="43" t="n"/>
      <c r="B47" s="43" t="n"/>
      <c r="C47" s="43" t="n"/>
      <c r="D47" s="43" t="n"/>
      <c r="E47" s="43" t="n"/>
      <c r="F47" s="43" t="n"/>
      <c r="G47" s="43" t="n"/>
      <c r="H47" s="43" t="n"/>
    </row>
    <row r="48">
      <c r="A48" s="43" t="n"/>
      <c r="B48" s="43" t="n"/>
      <c r="C48" s="43" t="n"/>
      <c r="D48" s="43" t="n"/>
      <c r="E48" s="43" t="n"/>
      <c r="F48" s="43" t="n"/>
      <c r="G48" s="43" t="n"/>
      <c r="H48" s="43" t="n"/>
    </row>
    <row r="49">
      <c r="A49" s="43" t="n"/>
      <c r="B49" s="43" t="n"/>
      <c r="C49" s="43" t="n"/>
      <c r="D49" s="43" t="n"/>
      <c r="E49" s="43" t="n"/>
      <c r="F49" s="43" t="n"/>
      <c r="G49" s="43" t="n"/>
      <c r="H49" s="43" t="n"/>
    </row>
    <row r="50">
      <c r="A50" s="43" t="n"/>
      <c r="B50" s="43" t="n"/>
      <c r="C50" s="43" t="n"/>
      <c r="D50" s="43" t="n"/>
      <c r="E50" s="43" t="n"/>
      <c r="F50" s="43" t="n"/>
      <c r="G50" s="43" t="n"/>
      <c r="H50" s="43" t="n"/>
    </row>
    <row r="51">
      <c r="A51" s="43" t="n"/>
      <c r="B51" s="43" t="n"/>
      <c r="C51" s="43" t="n"/>
      <c r="D51" s="43" t="n"/>
      <c r="E51" s="43" t="n"/>
      <c r="F51" s="43" t="n"/>
      <c r="G51" s="43" t="n"/>
      <c r="H51" s="43" t="n"/>
    </row>
    <row r="52">
      <c r="A52" s="43" t="n"/>
      <c r="B52" s="43" t="n"/>
      <c r="C52" s="43" t="n"/>
      <c r="D52" s="43" t="n"/>
      <c r="E52" s="43" t="n"/>
      <c r="F52" s="43" t="n"/>
      <c r="G52" s="43" t="n"/>
      <c r="H52" s="43" t="n"/>
    </row>
    <row r="53">
      <c r="A53" s="43" t="n"/>
      <c r="B53" s="43" t="n"/>
      <c r="C53" s="43" t="n"/>
      <c r="D53" s="43" t="n"/>
      <c r="E53" s="43" t="n"/>
      <c r="F53" s="43" t="n"/>
      <c r="G53" s="43" t="n"/>
      <c r="H53" s="43" t="n"/>
    </row>
    <row r="54">
      <c r="A54" s="43" t="n"/>
      <c r="B54" s="43" t="n"/>
      <c r="C54" s="43" t="n"/>
      <c r="D54" s="43" t="n"/>
      <c r="E54" s="43" t="n"/>
      <c r="F54" s="43" t="n"/>
      <c r="G54" s="43" t="n"/>
      <c r="H54" s="43" t="n"/>
    </row>
    <row r="55">
      <c r="A55" s="43" t="n"/>
      <c r="B55" s="43" t="n"/>
      <c r="C55" s="43" t="n"/>
      <c r="D55" s="43" t="n"/>
      <c r="E55" s="43" t="n"/>
      <c r="F55" s="43" t="n"/>
      <c r="G55" s="43" t="n"/>
      <c r="H55" s="43" t="n"/>
    </row>
    <row r="56">
      <c r="A56" s="43" t="n"/>
      <c r="B56" s="43" t="n"/>
      <c r="C56" s="43" t="n"/>
      <c r="D56" s="43" t="n"/>
      <c r="E56" s="43" t="n"/>
      <c r="F56" s="43" t="n"/>
      <c r="G56" s="43" t="n"/>
      <c r="H56" s="43" t="n"/>
    </row>
    <row r="57">
      <c r="A57" s="43" t="n"/>
      <c r="B57" s="43" t="n"/>
      <c r="C57" s="43" t="n"/>
      <c r="D57" s="43" t="n"/>
      <c r="E57" s="43" t="n"/>
      <c r="F57" s="43" t="n"/>
      <c r="G57" s="43" t="n"/>
      <c r="H57" s="43" t="n"/>
    </row>
    <row r="58">
      <c r="A58" s="43" t="n"/>
      <c r="B58" s="43" t="n"/>
      <c r="C58" s="43" t="n"/>
      <c r="D58" s="43" t="n"/>
      <c r="E58" s="43" t="n"/>
      <c r="F58" s="43" t="n"/>
      <c r="G58" s="43" t="n"/>
      <c r="H58" s="43" t="n"/>
    </row>
    <row r="59">
      <c r="A59" s="43" t="n"/>
      <c r="B59" s="43" t="n"/>
      <c r="C59" s="43" t="n"/>
      <c r="D59" s="43" t="n"/>
      <c r="E59" s="43" t="n"/>
      <c r="F59" s="43" t="n"/>
      <c r="G59" s="43" t="n"/>
      <c r="H59" s="43" t="n"/>
    </row>
    <row r="60">
      <c r="A60" s="43" t="n"/>
      <c r="B60" s="43" t="n"/>
      <c r="C60" s="43" t="n"/>
      <c r="D60" s="43" t="n"/>
      <c r="E60" s="43" t="n"/>
      <c r="F60" s="43" t="n"/>
      <c r="G60" s="43" t="n"/>
      <c r="H60" s="43" t="n"/>
    </row>
  </sheetData>
  <mergeCells count="2">
    <mergeCell ref="A2:H2"/>
    <mergeCell ref="A1:H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14" customWidth="1" style="51" min="1" max="1"/>
    <col width="16" customWidth="1" style="51" min="2" max="2"/>
    <col width="20" customWidth="1" style="51" min="3" max="3"/>
    <col width="72" customWidth="1" style="51" min="4" max="4"/>
  </cols>
  <sheetData>
    <row r="1">
      <c r="A1" s="234" t="inlineStr">
        <is>
          <t>変更履歴｜サーモスL 商品マスター</t>
        </is>
      </c>
      <c r="B1" s="41" t="n"/>
      <c r="C1" s="41" t="n"/>
      <c r="D1" s="41" t="n"/>
    </row>
    <row r="2">
      <c r="A2" s="228" t="inlineStr">
        <is>
          <t>版を上書きせず履歴保持。v0.7-R2はSN1400 Section20直接委譲と既知制限を統合した正式採用版。</t>
        </is>
      </c>
      <c r="B2" s="41" t="n"/>
      <c r="C2" s="41" t="n"/>
      <c r="D2" s="41" t="n"/>
    </row>
    <row r="3">
      <c r="A3" s="213" t="inlineStr">
        <is>
          <t>version</t>
        </is>
      </c>
      <c r="B3" s="213" t="inlineStr">
        <is>
          <t>日付</t>
        </is>
      </c>
      <c r="C3" s="213" t="inlineStr">
        <is>
          <t>区分</t>
        </is>
      </c>
      <c r="D3" s="213" t="inlineStr">
        <is>
          <t>主な更新</t>
        </is>
      </c>
    </row>
    <row r="4">
      <c r="A4" s="43" t="inlineStr">
        <is>
          <t>v0.1</t>
        </is>
      </c>
      <c r="B4" s="43" t="inlineStr">
        <is>
          <t>2026-08-27</t>
        </is>
      </c>
      <c r="C4" s="43" t="inlineStr">
        <is>
          <t>初期</t>
        </is>
      </c>
      <c r="D4" s="43" t="inlineStr">
        <is>
          <t>シリーズ/窓種/固有仕様/基本色/ガラス/網戸/OP骨格</t>
        </is>
      </c>
    </row>
    <row r="5">
      <c r="A5" s="43" t="inlineStr">
        <is>
          <t>v0.2</t>
        </is>
      </c>
      <c r="B5" s="43" t="inlineStr">
        <is>
          <t>2026-08-27</t>
        </is>
      </c>
      <c r="C5" s="43" t="inlineStr">
        <is>
          <t>規格サイズ</t>
        </is>
      </c>
      <c r="D5" s="43" t="inlineStr">
        <is>
          <t>規格サイズ1,401行を本投入</t>
        </is>
      </c>
    </row>
    <row r="6">
      <c r="A6" s="43" t="inlineStr">
        <is>
          <t>v0.3</t>
        </is>
      </c>
      <c r="B6" s="43" t="inlineStr">
        <is>
          <t>2026-08-27</t>
        </is>
      </c>
      <c r="C6" s="43" t="inlineStr">
        <is>
          <t>個別可否</t>
        </is>
      </c>
      <c r="D6" s="43" t="inlineStr">
        <is>
          <t>586候補を全照合、要照合0</t>
        </is>
      </c>
    </row>
    <row r="7">
      <c r="A7" s="43" t="inlineStr">
        <is>
          <t>v0.4</t>
        </is>
      </c>
      <c r="B7" s="43" t="inlineStr">
        <is>
          <t>2026-08-27</t>
        </is>
      </c>
      <c r="C7" s="43" t="inlineStr">
        <is>
          <t>ガラス/網戸/OP</t>
        </is>
      </c>
      <c r="D7" s="43" t="inlineStr">
        <is>
          <t>ガラス・網戸・有償品を正規化</t>
        </is>
      </c>
    </row>
    <row r="8">
      <c r="A8" s="43" t="inlineStr">
        <is>
          <t>v0.5</t>
        </is>
      </c>
      <c r="B8" s="43" t="inlineStr">
        <is>
          <t>2026-08-27</t>
        </is>
      </c>
      <c r="C8" s="43" t="inlineStr">
        <is>
          <t>詳細構成</t>
        </is>
      </c>
      <c r="D8" s="43" t="inlineStr">
        <is>
          <t>縦すべり詳細・横CAM・ガラス記号を投入</t>
        </is>
      </c>
    </row>
    <row r="9">
      <c r="A9" s="43" t="inlineStr">
        <is>
          <t>v0.6</t>
        </is>
      </c>
      <c r="B9" s="43" t="inlineStr">
        <is>
          <t>2026-08-27</t>
        </is>
      </c>
      <c r="C9" s="43" t="inlineStr">
        <is>
          <t>操作/重量/凡例</t>
        </is>
      </c>
      <c r="D9" s="43" t="inlineStr">
        <is>
          <t>高所操作・上げ下げ重量・凡例継承・網戸境界を完成</t>
        </is>
      </c>
    </row>
    <row r="10">
      <c r="A10" s="43" t="inlineStr">
        <is>
          <t>v0.7</t>
        </is>
      </c>
      <c r="B10" s="43" t="inlineStr">
        <is>
          <t>2026-08-27</t>
        </is>
      </c>
      <c r="C10" s="43" t="inlineStr">
        <is>
          <t>アプリ投入完成</t>
        </is>
      </c>
      <c r="D10" s="43" t="inlineStr">
        <is>
          <t>特注寸法17/17、公式品種/色記号、おすすめ品番生成、安全ゲート、Golden Testを統合</t>
        </is>
      </c>
    </row>
    <row r="11">
      <c r="A11" s="43" t="inlineStr">
        <is>
          <t>v0.7-R1</t>
        </is>
      </c>
      <c r="B11" s="43" t="inlineStr">
        <is>
          <t>2026-09-10</t>
        </is>
      </c>
      <c r="C11" s="43" t="inlineStr">
        <is>
          <t>Runtime UI契約整合</t>
        </is>
      </c>
      <c r="D11" s="43" t="inlineStr">
        <is>
          <t>constructionをユーザー選択から内部解決へ変更。STANDARDはsize行から一意導出、CUSTOM複数工法候補はREVIEW_REQUIRED_CONSTRUCTION_AMBIGUOUS。規格サイズ監査値を実データ1,644/有効1,495へ同期。Golden Test 34/34。</t>
        </is>
      </c>
    </row>
    <row r="12">
      <c r="A12" s="43" t="inlineStr">
        <is>
          <t>v0.7-R2</t>
        </is>
      </c>
      <c r="B12" s="43" t="inlineStr">
        <is>
          <t>2026-09-16</t>
        </is>
      </c>
      <c r="C12" s="43" t="inlineStr">
        <is>
          <t>ガラスSemantic Recovery正式化</t>
        </is>
      </c>
      <c r="D12" s="43" t="inlineStr">
        <is>
          <t>SN1400 P1直接委譲、P34製作可能寸法、HighSolar非対応、SAFE_MILKY非対応組合せ、BLIND/GRID/Pattern F/Hを構造化。既知制限後の残差のみECR。Formal Closure R5候補。</t>
        </is>
      </c>
    </row>
    <row r="13">
      <c r="A13" s="43" t="inlineStr">
        <is>
          <t>v0.7-R2-WORKING-CLOSURE-R2</t>
        </is>
      </c>
      <c r="B13" s="43" t="inlineStr">
        <is>
          <t>2026-09-16</t>
        </is>
      </c>
      <c r="C13" s="43" t="inlineStr">
        <is>
          <t>Glass Exact Matrix Closure</t>
        </is>
      </c>
      <c r="D13" s="43" t="inlineStr">
        <is>
          <t>SDC0003134をExact Composition Matrixとして再評価。特殊ガラス構成の根拠を強化し、Blockerをサイズ・窓種別製作可否未閉包へ限定。根拠未取得の『LIXIL見積システム確認』契約を撤去し、確認経路未確定のfail-closed契約へ修正。Formal採用は未実施。</t>
        </is>
      </c>
    </row>
    <row r="14">
      <c r="A14" s="43" t="inlineStr">
        <is>
          <t>v0.7-R2-WORKING-CLOSURE-R3</t>
        </is>
      </c>
      <c r="B14" s="43" t="inlineStr">
        <is>
          <t>2026-09-16</t>
        </is>
      </c>
      <c r="C14" s="43" t="inlineStr">
        <is>
          <t>Cross-sheet Consistency Closure</t>
        </is>
      </c>
      <c r="D14" s="43" t="inlineStr">
        <is>
          <t>Drive再読込で残存していた旧Section20 Blocker表記と『メーカー正式確認必須』表現を全現行シートから除去。GRIDを新Blockerへ同期し、TEMPEREDは一般化不可のBLOCKを維持。正式可否未閉包・確認経路未確定のfail-closed契約へ統一。</t>
        </is>
      </c>
    </row>
    <row r="15">
      <c r="A15" s="43" t="inlineStr">
        <is>
          <t>v0.7-R2-WORKING-CLOSURE-R4</t>
        </is>
      </c>
      <c r="B15" s="43" t="inlineStr">
        <is>
          <t>2026-09-16</t>
        </is>
      </c>
      <c r="C15" s="43" t="inlineStr">
        <is>
          <t>BLIND Window Scope + SAFE Standard Evidence Closure</t>
        </is>
      </c>
      <c r="D15" s="43" t="inlineStr">
        <is>
          <t>LIXIL公式ガラス設定からBLIND設定品種を17窓種・specific_specへ直接Mapping。SDC0003156/3157の30mil防犯建物部品欄をSTANDARD 1,644件へ突合し、523件を直接判定（517 ALLOWED / 6 BLOCKED）。残1,121件および他特殊ガラス/CUSTOMは未閉包のためFORMAL採用せず。</t>
        </is>
      </c>
    </row>
    <row r="16">
      <c r="A16" s="43" t="inlineStr">
        <is>
          <t>v0.7-R2</t>
        </is>
      </c>
      <c r="B16" s="43" t="inlineStr">
        <is>
          <t>2026-09-16</t>
        </is>
      </c>
      <c r="C16" s="43" t="inlineStr">
        <is>
          <t>SN1400 Formal Evidence Closure</t>
        </is>
      </c>
      <c r="D16" s="43" t="inlineStr">
        <is>
          <t>SN1400 P1の見積システム直接委譲をSection20へ正式適用。P34数値、HighSolar非対応、SAFE_MILKY組合せBLOCK、BLIND寸法、GRID・Pattern F/Hを構造化。既知制限後の残差だけECR。</t>
        </is>
      </c>
    </row>
    <row r="17">
      <c r="A17" s="43" t="n"/>
      <c r="B17" s="43" t="n"/>
      <c r="C17" s="43" t="n"/>
      <c r="D17" s="43" t="n"/>
    </row>
    <row r="18">
      <c r="A18" s="43" t="n"/>
      <c r="B18" s="43" t="n"/>
      <c r="C18" s="43" t="n"/>
      <c r="D18" s="43" t="n"/>
    </row>
    <row r="19">
      <c r="A19" s="43" t="n"/>
      <c r="B19" s="43" t="n"/>
      <c r="C19" s="43" t="n"/>
      <c r="D19" s="43" t="n"/>
    </row>
    <row r="20">
      <c r="A20" s="43" t="n"/>
      <c r="B20" s="43" t="n"/>
      <c r="C20" s="43" t="n"/>
      <c r="D20" s="43" t="n"/>
    </row>
    <row r="21">
      <c r="A21" s="43" t="n"/>
      <c r="B21" s="43" t="n"/>
      <c r="C21" s="43" t="n"/>
      <c r="D21" s="43" t="n"/>
    </row>
    <row r="22">
      <c r="A22" s="43" t="n"/>
      <c r="B22" s="43" t="n"/>
      <c r="C22" s="43" t="n"/>
      <c r="D22" s="43" t="n"/>
    </row>
    <row r="23">
      <c r="A23" s="43" t="n"/>
      <c r="B23" s="43" t="n"/>
      <c r="C23" s="43" t="n"/>
      <c r="D23" s="43" t="n"/>
    </row>
    <row r="24">
      <c r="A24" s="43" t="n"/>
      <c r="B24" s="43" t="n"/>
      <c r="C24" s="43" t="n"/>
      <c r="D24" s="43" t="n"/>
    </row>
    <row r="25">
      <c r="A25" s="43" t="n"/>
      <c r="B25" s="43" t="n"/>
      <c r="C25" s="43" t="n"/>
      <c r="D25" s="43" t="n"/>
    </row>
    <row r="26">
      <c r="A26" s="43" t="n"/>
      <c r="B26" s="43" t="n"/>
      <c r="C26" s="43" t="n"/>
      <c r="D26" s="43" t="n"/>
    </row>
    <row r="27">
      <c r="A27" s="43" t="n"/>
      <c r="B27" s="43" t="n"/>
      <c r="C27" s="43" t="n"/>
      <c r="D27" s="43" t="n"/>
    </row>
    <row r="28">
      <c r="A28" s="43" t="n"/>
      <c r="B28" s="43" t="n"/>
      <c r="C28" s="43" t="n"/>
      <c r="D28" s="43" t="n"/>
    </row>
    <row r="29">
      <c r="A29" s="43" t="n"/>
      <c r="B29" s="43" t="n"/>
      <c r="C29" s="43" t="n"/>
      <c r="D29" s="43" t="n"/>
    </row>
    <row r="30">
      <c r="A30" s="43" t="n"/>
      <c r="B30" s="43" t="n"/>
      <c r="C30" s="43" t="n"/>
      <c r="D30" s="43" t="n"/>
    </row>
    <row r="31">
      <c r="A31" s="43" t="n"/>
      <c r="B31" s="43" t="n"/>
      <c r="C31" s="43" t="n"/>
      <c r="D31" s="43" t="n"/>
    </row>
    <row r="32">
      <c r="A32" s="43" t="n"/>
      <c r="B32" s="43" t="n"/>
      <c r="C32" s="43" t="n"/>
      <c r="D32" s="43" t="n"/>
    </row>
    <row r="33">
      <c r="A33" s="43" t="n"/>
      <c r="B33" s="43" t="n"/>
      <c r="C33" s="43" t="n"/>
      <c r="D33" s="43" t="n"/>
    </row>
    <row r="34">
      <c r="A34" s="43" t="n"/>
      <c r="B34" s="43" t="n"/>
      <c r="C34" s="43" t="n"/>
      <c r="D34" s="43" t="n"/>
    </row>
    <row r="35">
      <c r="A35" s="43" t="n"/>
      <c r="B35" s="43" t="n"/>
      <c r="C35" s="43" t="n"/>
      <c r="D35" s="43" t="n"/>
    </row>
    <row r="36">
      <c r="A36" s="43" t="n"/>
      <c r="B36" s="43" t="n"/>
      <c r="C36" s="43" t="n"/>
      <c r="D36" s="43" t="n"/>
    </row>
    <row r="37">
      <c r="A37" s="43" t="n"/>
      <c r="B37" s="43" t="n"/>
      <c r="C37" s="43" t="n"/>
      <c r="D37" s="43" t="n"/>
    </row>
    <row r="38">
      <c r="A38" s="43" t="n"/>
      <c r="B38" s="43" t="n"/>
      <c r="C38" s="43" t="n"/>
      <c r="D38" s="43" t="n"/>
    </row>
    <row r="39">
      <c r="A39" s="43" t="n"/>
      <c r="B39" s="43" t="n"/>
      <c r="C39" s="43" t="n"/>
      <c r="D39" s="43" t="n"/>
    </row>
    <row r="40">
      <c r="A40" s="43" t="n"/>
      <c r="B40" s="43" t="n"/>
      <c r="C40" s="43" t="n"/>
      <c r="D40" s="43" t="n"/>
    </row>
    <row r="41">
      <c r="A41" s="43" t="n"/>
      <c r="B41" s="43" t="n"/>
      <c r="C41" s="43" t="n"/>
      <c r="D41" s="43" t="n"/>
    </row>
    <row r="42">
      <c r="A42" s="43" t="n"/>
      <c r="B42" s="43" t="n"/>
      <c r="C42" s="43" t="n"/>
      <c r="D42" s="43" t="n"/>
    </row>
    <row r="43">
      <c r="A43" s="43" t="n"/>
      <c r="B43" s="43" t="n"/>
      <c r="C43" s="43" t="n"/>
      <c r="D43" s="43" t="n"/>
    </row>
    <row r="44">
      <c r="A44" s="43" t="n"/>
      <c r="B44" s="43" t="n"/>
      <c r="C44" s="43" t="n"/>
      <c r="D44" s="43" t="n"/>
    </row>
    <row r="45">
      <c r="A45" s="43" t="n"/>
      <c r="B45" s="43" t="n"/>
      <c r="C45" s="43" t="n"/>
      <c r="D45" s="43" t="n"/>
    </row>
    <row r="46">
      <c r="A46" s="43" t="n"/>
      <c r="B46" s="43" t="n"/>
      <c r="C46" s="43" t="n"/>
      <c r="D46" s="43" t="n"/>
    </row>
    <row r="47">
      <c r="A47" s="43" t="n"/>
      <c r="B47" s="43" t="n"/>
      <c r="C47" s="43" t="n"/>
      <c r="D47" s="43" t="n"/>
    </row>
    <row r="48">
      <c r="A48" s="43" t="n"/>
      <c r="B48" s="43" t="n"/>
      <c r="C48" s="43" t="n"/>
      <c r="D48" s="43" t="n"/>
    </row>
    <row r="49">
      <c r="A49" s="43" t="n"/>
      <c r="B49" s="43" t="n"/>
      <c r="C49" s="43" t="n"/>
      <c r="D49" s="43" t="n"/>
    </row>
    <row r="50">
      <c r="A50" s="43" t="n"/>
      <c r="B50" s="43" t="n"/>
      <c r="C50" s="43" t="n"/>
      <c r="D50" s="43" t="n"/>
    </row>
    <row r="51">
      <c r="A51" s="43" t="n"/>
      <c r="B51" s="43" t="n"/>
      <c r="C51" s="43" t="n"/>
      <c r="D51" s="43" t="n"/>
    </row>
    <row r="52">
      <c r="A52" s="43" t="n"/>
      <c r="B52" s="43" t="n"/>
      <c r="C52" s="43" t="n"/>
      <c r="D52" s="43" t="n"/>
    </row>
    <row r="53">
      <c r="A53" s="43" t="n"/>
      <c r="B53" s="43" t="n"/>
      <c r="C53" s="43" t="n"/>
      <c r="D53" s="43" t="n"/>
    </row>
    <row r="54">
      <c r="A54" s="43" t="n"/>
      <c r="B54" s="43" t="n"/>
      <c r="C54" s="43" t="n"/>
      <c r="D54" s="43" t="n"/>
    </row>
    <row r="55">
      <c r="A55" s="43" t="n"/>
      <c r="B55" s="43" t="n"/>
      <c r="C55" s="43" t="n"/>
      <c r="D55" s="43" t="n"/>
    </row>
    <row r="56">
      <c r="A56" s="43" t="n"/>
      <c r="B56" s="43" t="n"/>
      <c r="C56" s="43" t="n"/>
      <c r="D56" s="43" t="n"/>
    </row>
    <row r="57">
      <c r="A57" s="43" t="n"/>
      <c r="B57" s="43" t="n"/>
      <c r="C57" s="43" t="n"/>
      <c r="D57" s="43" t="n"/>
    </row>
    <row r="58">
      <c r="A58" s="43" t="n"/>
      <c r="B58" s="43" t="n"/>
      <c r="C58" s="43" t="n"/>
      <c r="D58" s="43" t="n"/>
    </row>
    <row r="59">
      <c r="A59" s="43" t="n"/>
      <c r="B59" s="43" t="n"/>
      <c r="C59" s="43" t="n"/>
      <c r="D59" s="43" t="n"/>
    </row>
    <row r="60">
      <c r="A60" s="43" t="n"/>
      <c r="B60" s="43" t="n"/>
      <c r="C60" s="43" t="n"/>
      <c r="D60" s="43" t="n"/>
    </row>
    <row r="61">
      <c r="A61" t="inlineStr">
        <is>
          <t>v0.7-R3</t>
        </is>
      </c>
      <c r="B61" t="inlineStr">
        <is>
          <t>2026-10-06</t>
        </is>
      </c>
      <c r="C61" t="inlineStr">
        <is>
          <t>Phase3 Changed-Path</t>
        </is>
      </c>
      <c r="D61" t="inlineStr">
        <is>
          <t>IS8900：代替進入口用幅木仕様を手動標準へ追加。確認要求継続。正式採用は別のHuman Decision/PROMOTION記録で管理。</t>
        </is>
      </c>
    </row>
  </sheetData>
  <mergeCells count="2">
    <mergeCell ref="A1:D1"/>
    <mergeCell ref="A2:D2"/>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22" customWidth="1" style="51" min="1" max="1"/>
    <col width="18" customWidth="1" style="51" min="2" max="2"/>
    <col width="18" customWidth="1" style="51" min="3" max="3"/>
    <col width="28" customWidth="1" style="51" min="4" max="4"/>
    <col width="34" customWidth="1" style="51" min="5" max="5"/>
    <col width="31" customWidth="1" style="51" min="6" max="6"/>
    <col width="14" customWidth="1" style="51" min="7" max="7"/>
    <col width="14" customWidth="1" style="51" min="8" max="8"/>
    <col width="26" customWidth="1" style="51" min="9" max="9"/>
    <col width="18" customWidth="1" style="51" min="10" max="10"/>
    <col width="48" customWidth="1" style="51" min="11" max="11"/>
  </cols>
  <sheetData>
    <row r="1">
      <c r="A1" s="42" t="inlineStr">
        <is>
          <t>サーモスL UIガラスSemantic Recovery｜v0.7-R2</t>
        </is>
      </c>
      <c r="B1" s="42" t="n"/>
      <c r="C1" s="42" t="n"/>
      <c r="D1" s="42" t="n"/>
      <c r="E1" s="42" t="n"/>
      <c r="F1" s="42" t="n"/>
      <c r="G1" s="42" t="n"/>
      <c r="H1" s="42" t="n"/>
      <c r="I1" s="42" t="n"/>
      <c r="J1" s="42" t="n"/>
      <c r="K1" s="42" t="n"/>
    </row>
    <row r="2">
      <c r="A2" s="42" t="inlineStr">
        <is>
          <t>物理構成はRuntime内部制約として保持。既知BLOCK・直接公式結果・SN1400数値条件を先に評価し、未確定残差のみESTIMATE_CONFIRM_REQUIREDとしてLIXIL見積システムへ送る。自動成立は禁止。</t>
        </is>
      </c>
      <c r="B2" s="42" t="n"/>
      <c r="C2" s="42" t="n"/>
      <c r="D2" s="42" t="n"/>
      <c r="E2" s="42" t="n"/>
      <c r="F2" s="42" t="n"/>
      <c r="G2" s="42" t="n"/>
      <c r="H2" s="42" t="n"/>
      <c r="I2" s="42" t="n"/>
      <c r="J2" s="42" t="n"/>
      <c r="K2" s="42" t="n"/>
    </row>
    <row r="3">
      <c r="A3" s="165" t="inlineStr">
        <is>
          <t>semantic_id</t>
        </is>
      </c>
      <c r="B3" s="165" t="inlineStr">
        <is>
          <t>canonical_slot</t>
        </is>
      </c>
      <c r="C3" s="165" t="inlineStr">
        <is>
          <t>canonical_value</t>
        </is>
      </c>
      <c r="D3" s="165" t="inlineStr">
        <is>
          <t>表示名</t>
        </is>
      </c>
      <c r="E3" s="165" t="inlineStr">
        <is>
          <t>selector</t>
        </is>
      </c>
      <c r="F3" s="165" t="inlineStr">
        <is>
          <t>status</t>
        </is>
      </c>
      <c r="G3" s="165" t="inlineStr">
        <is>
          <t>runtime_selectable</t>
        </is>
      </c>
      <c r="H3" s="165" t="inlineStr">
        <is>
          <t>manual_check</t>
        </is>
      </c>
      <c r="I3" s="165" t="inlineStr">
        <is>
          <t>source_sheet</t>
        </is>
      </c>
      <c r="J3" s="165" t="inlineStr">
        <is>
          <t>source_id</t>
        </is>
      </c>
      <c r="K3" s="165" t="inlineStr">
        <is>
          <t>備考</t>
        </is>
      </c>
    </row>
    <row r="4" ht="34" customHeight="1" s="51">
      <c r="A4" s="42" t="inlineStr">
        <is>
          <t>SL-GTYPE-CLEAR</t>
        </is>
      </c>
      <c r="B4" s="42" t="inlineStr">
        <is>
          <t>glass_type</t>
        </is>
      </c>
      <c r="C4" s="42" t="inlineStr">
        <is>
          <t>CLEAR</t>
        </is>
      </c>
      <c r="D4" s="42" t="inlineStr">
        <is>
          <t>透明</t>
        </is>
      </c>
      <c r="E4" s="42" t="inlineStr">
        <is>
          <t>glass_base=LOWE|PAIR</t>
        </is>
      </c>
      <c r="F4" s="42" t="inlineStr">
        <is>
          <t>ACTIVE</t>
        </is>
      </c>
      <c r="G4" s="42" t="b">
        <v>1</v>
      </c>
      <c r="H4" s="42" t="b">
        <v>0</v>
      </c>
      <c r="I4" s="42" t="inlineStr">
        <is>
          <t>08B_ガラス窓種制御</t>
        </is>
      </c>
      <c r="J4" s="42" t="inlineStr">
        <is>
          <t>GCR-SL-*</t>
        </is>
      </c>
      <c r="K4" s="42" t="inlineStr">
        <is>
          <t>08Bの窓種×base制御を継承</t>
        </is>
      </c>
    </row>
    <row r="5" ht="34" customHeight="1" s="51">
      <c r="A5" s="42" t="inlineStr">
        <is>
          <t>SL-GTYPE-PATTERN</t>
        </is>
      </c>
      <c r="B5" s="42" t="inlineStr">
        <is>
          <t>glass_type</t>
        </is>
      </c>
      <c r="C5" s="42" t="inlineStr">
        <is>
          <t>PATTERN</t>
        </is>
      </c>
      <c r="D5" s="42" t="inlineStr">
        <is>
          <t>型板</t>
        </is>
      </c>
      <c r="E5" s="42" t="inlineStr">
        <is>
          <t>glass_base=LOWE|PAIR</t>
        </is>
      </c>
      <c r="F5" s="42" t="inlineStr">
        <is>
          <t>ACTIVE</t>
        </is>
      </c>
      <c r="G5" s="42" t="b">
        <v>1</v>
      </c>
      <c r="H5" s="42" t="b">
        <v>0</v>
      </c>
      <c r="I5" s="42" t="inlineStr">
        <is>
          <t>08B_ガラス窓種制御</t>
        </is>
      </c>
      <c r="J5" s="42" t="inlineStr">
        <is>
          <t>GCR-SL-*</t>
        </is>
      </c>
      <c r="K5" s="42" t="inlineStr">
        <is>
          <t>08Bの窓種×base制御を継承</t>
        </is>
      </c>
    </row>
    <row r="6" ht="34" customHeight="1" s="51">
      <c r="A6" s="42" t="inlineStr">
        <is>
          <t>SL-GTYPE-FROST</t>
        </is>
      </c>
      <c r="B6" s="42" t="inlineStr">
        <is>
          <t>glass_type</t>
        </is>
      </c>
      <c r="C6" s="42" t="inlineStr">
        <is>
          <t>FROST</t>
        </is>
      </c>
      <c r="D6" s="42" t="inlineStr">
        <is>
          <t>フロスト</t>
        </is>
      </c>
      <c r="E6" s="42" t="inlineStr">
        <is>
          <t>glass_base=LOWE|PAIR</t>
        </is>
      </c>
      <c r="F6" s="42" t="inlineStr">
        <is>
          <t>ESTIMATE_CONFIRM_REQUIRED</t>
        </is>
      </c>
      <c r="G6" s="42" t="b">
        <v>1</v>
      </c>
      <c r="H6" s="42" t="b">
        <v>1</v>
      </c>
      <c r="I6" s="42" t="inlineStr">
        <is>
          <t>08E_機能ガラス確認ゲート</t>
        </is>
      </c>
      <c r="J6" s="42" t="inlineStr">
        <is>
          <t>GG-SL-006</t>
        </is>
      </c>
      <c r="K6" s="42" t="inlineStr">
        <is>
          <t>既知制限を先に評価し、未確定残差のみLIXIL見積システムで確認。ESTIMATE_CONFIRM_REQUIREDを自動成立させない。</t>
        </is>
      </c>
    </row>
    <row r="7" ht="34" customHeight="1" s="51">
      <c r="A7" s="42" t="inlineStr">
        <is>
          <t>SL-GDETAIL-PAIR</t>
        </is>
      </c>
      <c r="B7" s="42" t="inlineStr">
        <is>
          <t>glass_detail</t>
        </is>
      </c>
      <c r="C7" s="42" t="inlineStr">
        <is>
          <t>PAIR_STANDARD</t>
        </is>
      </c>
      <c r="D7" s="42" t="inlineStr">
        <is>
          <t>一般複層（標準）</t>
        </is>
      </c>
      <c r="E7" s="42" t="inlineStr">
        <is>
          <t>glass_base=PAIR</t>
        </is>
      </c>
      <c r="F7" s="42" t="inlineStr">
        <is>
          <t>ACTIVE</t>
        </is>
      </c>
      <c r="G7" s="42" t="b">
        <v>1</v>
      </c>
      <c r="H7" s="42" t="b">
        <v>0</v>
      </c>
      <c r="I7" s="42" t="inlineStr">
        <is>
          <t>08_ガラス</t>
        </is>
      </c>
      <c r="J7" s="42" t="inlineStr">
        <is>
          <t>GL-SL-007～009</t>
        </is>
      </c>
      <c r="K7" s="42" t="inlineStr">
        <is>
          <t>厚みはRuntime内部で解決</t>
        </is>
      </c>
    </row>
    <row r="8" ht="34" customHeight="1" s="51">
      <c r="A8" s="42" t="inlineStr">
        <is>
          <t>SL-GDETAIL-LOWE-CLEAR</t>
        </is>
      </c>
      <c r="B8" s="42" t="inlineStr">
        <is>
          <t>glass_detail</t>
        </is>
      </c>
      <c r="C8" s="42" t="inlineStr">
        <is>
          <t>LOWE_CLEAR</t>
        </is>
      </c>
      <c r="D8" s="42" t="inlineStr">
        <is>
          <t>Low-E クリア</t>
        </is>
      </c>
      <c r="E8" s="42" t="inlineStr">
        <is>
          <t>glass_base=LOWE</t>
        </is>
      </c>
      <c r="F8" s="42" t="inlineStr">
        <is>
          <t>ACTIVE</t>
        </is>
      </c>
      <c r="G8" s="42" t="b">
        <v>1</v>
      </c>
      <c r="H8" s="42" t="b">
        <v>0</v>
      </c>
      <c r="I8" s="42" t="inlineStr">
        <is>
          <t>08_ガラス</t>
        </is>
      </c>
      <c r="J8" s="42" t="inlineStr">
        <is>
          <t>GL-SL-001～006</t>
        </is>
      </c>
      <c r="K8" s="42" t="inlineStr">
        <is>
          <t>標準Low-E。厚みはRuntime内部で解決</t>
        </is>
      </c>
    </row>
    <row r="9" ht="34" customHeight="1" s="51">
      <c r="A9" s="42" t="inlineStr">
        <is>
          <t>SL-GDETAIL-LOWE-GREEN</t>
        </is>
      </c>
      <c r="B9" s="42" t="inlineStr">
        <is>
          <t>glass_detail</t>
        </is>
      </c>
      <c r="C9" s="42" t="inlineStr">
        <is>
          <t>LOWE_GREEN</t>
        </is>
      </c>
      <c r="D9" s="42" t="inlineStr">
        <is>
          <t>Low-E グリーン</t>
        </is>
      </c>
      <c r="E9" s="42" t="inlineStr">
        <is>
          <t>glass_base=LOWE</t>
        </is>
      </c>
      <c r="F9" s="42" t="inlineStr">
        <is>
          <t>ESTIMATE_CONFIRM_REQUIRED</t>
        </is>
      </c>
      <c r="G9" s="42" t="b">
        <v>1</v>
      </c>
      <c r="H9" s="42" t="b">
        <v>1</v>
      </c>
      <c r="I9" s="42" t="inlineStr">
        <is>
          <t>08E_機能ガラス確認ゲート</t>
        </is>
      </c>
      <c r="J9" s="42" t="inlineStr">
        <is>
          <t>GG-SL-001</t>
        </is>
      </c>
      <c r="K9" s="42" t="inlineStr">
        <is>
          <t>既知制限を先に評価し、未確定残差のみLIXIL見積システムで確認。ESTIMATE_CONFIRM_REQUIREDを自動成立させない。</t>
        </is>
      </c>
    </row>
    <row r="10" ht="34" customHeight="1" s="51">
      <c r="A10" s="42" t="inlineStr">
        <is>
          <t>SL-GDETAIL-LOWE-GREEN-HS</t>
        </is>
      </c>
      <c r="B10" s="42" t="inlineStr">
        <is>
          <t>glass_detail</t>
        </is>
      </c>
      <c r="C10" s="42" t="inlineStr">
        <is>
          <t>LOWE_GREEN_HS</t>
        </is>
      </c>
      <c r="D10" s="42" t="inlineStr">
        <is>
          <t>Low-E グリーン（高遮熱仕様）</t>
        </is>
      </c>
      <c r="E10" s="42" t="inlineStr">
        <is>
          <t>glass_base=LOWE</t>
        </is>
      </c>
      <c r="F10" s="42" t="inlineStr">
        <is>
          <t>ESTIMATE_CONFIRM_REQUIRED</t>
        </is>
      </c>
      <c r="G10" s="42" t="b">
        <v>1</v>
      </c>
      <c r="H10" s="42" t="b">
        <v>1</v>
      </c>
      <c r="I10" s="42" t="inlineStr">
        <is>
          <t>08E_機能ガラス確認ゲート</t>
        </is>
      </c>
      <c r="J10" s="42" t="inlineStr">
        <is>
          <t>GG-SL-002</t>
        </is>
      </c>
      <c r="K10" s="42" t="inlineStr">
        <is>
          <t>既知制限を先に評価し、未確定残差のみLIXIL見積システムで確認。ESTIMATE_CONFIRM_REQUIREDを自動成立させない。</t>
        </is>
      </c>
    </row>
    <row r="11" ht="34" customHeight="1" s="51">
      <c r="A11" s="42" t="inlineStr">
        <is>
          <t>SL-GDETAIL-LOWE-HISOLAR</t>
        </is>
      </c>
      <c r="B11" s="42" t="inlineStr">
        <is>
          <t>glass_detail</t>
        </is>
      </c>
      <c r="C11" s="42" t="inlineStr">
        <is>
          <t>LOWE_HISOLAR</t>
        </is>
      </c>
      <c r="D11" s="42" t="inlineStr">
        <is>
          <t>Low-E クリア（高日射取得仕様）</t>
        </is>
      </c>
      <c r="E11" s="42" t="inlineStr">
        <is>
          <t>glass_base=LOWE</t>
        </is>
      </c>
      <c r="F11" s="42" t="inlineStr">
        <is>
          <t>BLOCK</t>
        </is>
      </c>
      <c r="G11" s="42" t="b">
        <v>0</v>
      </c>
      <c r="H11" s="42" t="b">
        <v>0</v>
      </c>
      <c r="I11" s="42" t="inlineStr">
        <is>
          <t>08K_SECTION20委譲Evidence</t>
        </is>
      </c>
      <c r="J11" s="42" t="inlineStr">
        <is>
          <t>EV-SL-GLASS-SN1400</t>
        </is>
      </c>
      <c r="K11" s="42" t="inlineStr">
        <is>
          <t>SN1400 P1注記※6：TW・EWのみ。サーモスLでは候補非表示・BLOCK。</t>
        </is>
      </c>
    </row>
    <row r="12" ht="34" customHeight="1" s="51">
      <c r="A12" s="42" t="inlineStr">
        <is>
          <t>SL-GDETAIL-LOWE-BRONZE</t>
        </is>
      </c>
      <c r="B12" s="42" t="inlineStr">
        <is>
          <t>glass_detail</t>
        </is>
      </c>
      <c r="C12" s="42" t="inlineStr">
        <is>
          <t>LOWE_BRONZE</t>
        </is>
      </c>
      <c r="D12" s="42" t="inlineStr">
        <is>
          <t>Low-E ブロンズ</t>
        </is>
      </c>
      <c r="E12" s="42" t="inlineStr">
        <is>
          <t>glass_base=LOWE</t>
        </is>
      </c>
      <c r="F12" s="42" t="inlineStr">
        <is>
          <t>ESTIMATE_CONFIRM_REQUIRED</t>
        </is>
      </c>
      <c r="G12" s="42" t="b">
        <v>1</v>
      </c>
      <c r="H12" s="42" t="b">
        <v>1</v>
      </c>
      <c r="I12" s="42" t="inlineStr">
        <is>
          <t>08E_機能ガラス確認ゲート</t>
        </is>
      </c>
      <c r="J12" s="42" t="inlineStr">
        <is>
          <t>GG-SL-004</t>
        </is>
      </c>
      <c r="K12" s="42" t="inlineStr">
        <is>
          <t>既知制限を先に評価し、未確定残差のみLIXIL見積システムで確認。ESTIMATE_CONFIRM_REQUIREDを自動成立させない。</t>
        </is>
      </c>
    </row>
    <row r="13" ht="34" customHeight="1" s="51">
      <c r="A13" s="42" t="inlineStr">
        <is>
          <t>SL-GFUNC-NONE</t>
        </is>
      </c>
      <c r="B13" s="42" t="inlineStr">
        <is>
          <t>glass_function</t>
        </is>
      </c>
      <c r="C13" s="42" t="inlineStr">
        <is>
          <t>NONE</t>
        </is>
      </c>
      <c r="D13" s="42" t="inlineStr">
        <is>
          <t>なし</t>
        </is>
      </c>
      <c r="E13" s="42" t="inlineStr">
        <is>
          <t>*</t>
        </is>
      </c>
      <c r="F13" s="42" t="inlineStr">
        <is>
          <t>ACTIVE</t>
        </is>
      </c>
      <c r="G13" s="42" t="b">
        <v>1</v>
      </c>
      <c r="H13" s="42" t="b">
        <v>0</v>
      </c>
      <c r="I13" s="42" t="inlineStr">
        <is>
          <t>08E_機能ガラス確認ゲート</t>
        </is>
      </c>
      <c r="J13" s="42" t="inlineStr">
        <is>
          <t>-</t>
        </is>
      </c>
      <c r="K13" s="42" t="str"/>
    </row>
    <row r="14" ht="34" customHeight="1" s="51">
      <c r="A14" s="42" t="inlineStr">
        <is>
          <t>SL-GFUNC-SAFE</t>
        </is>
      </c>
      <c r="B14" s="42" t="inlineStr">
        <is>
          <t>glass_function</t>
        </is>
      </c>
      <c r="C14" s="42" t="inlineStr">
        <is>
          <t>SAFE</t>
        </is>
      </c>
      <c r="D14" s="42" t="inlineStr">
        <is>
          <t>安全合わせ</t>
        </is>
      </c>
      <c r="E14" s="42" t="inlineStr">
        <is>
          <t>*</t>
        </is>
      </c>
      <c r="F14" s="42" t="inlineStr">
        <is>
          <t>ESTIMATE_CONFIRM_REQUIRED</t>
        </is>
      </c>
      <c r="G14" s="42" t="b">
        <v>1</v>
      </c>
      <c r="H14" s="42" t="b">
        <v>1</v>
      </c>
      <c r="I14" s="42" t="inlineStr">
        <is>
          <t>08E_機能ガラス確認ゲート</t>
        </is>
      </c>
      <c r="J14" s="42" t="inlineStr">
        <is>
          <t>GG-SL-007</t>
        </is>
      </c>
      <c r="K14" s="42" t="inlineStr">
        <is>
          <t>既知制限を先に評価し、未確定残差のみLIXIL見積システムで確認。ESTIMATE_CONFIRM_REQUIREDを自動成立させない。</t>
        </is>
      </c>
    </row>
    <row r="15" ht="34" customHeight="1" s="51">
      <c r="A15" s="42" t="inlineStr">
        <is>
          <t>SL-GFUNC-DISASTER</t>
        </is>
      </c>
      <c r="B15" s="42" t="inlineStr">
        <is>
          <t>glass_function</t>
        </is>
      </c>
      <c r="C15" s="42" t="inlineStr">
        <is>
          <t>DISASTER</t>
        </is>
      </c>
      <c r="D15" s="42" t="inlineStr">
        <is>
          <t>防災安全合わせ</t>
        </is>
      </c>
      <c r="E15" s="42" t="inlineStr">
        <is>
          <t>*</t>
        </is>
      </c>
      <c r="F15" s="42" t="inlineStr">
        <is>
          <t>ESTIMATE_CONFIRM_REQUIRED</t>
        </is>
      </c>
      <c r="G15" s="42" t="b">
        <v>1</v>
      </c>
      <c r="H15" s="42" t="b">
        <v>1</v>
      </c>
      <c r="I15" s="42" t="inlineStr">
        <is>
          <t>08E_機能ガラス確認ゲート</t>
        </is>
      </c>
      <c r="J15" s="42" t="inlineStr">
        <is>
          <t>GG-SL-008</t>
        </is>
      </c>
      <c r="K15" s="42" t="inlineStr">
        <is>
          <t>既知制限を先に評価し、未確定残差のみLIXIL見積システムで確認。ESTIMATE_CONFIRM_REQUIREDを自動成立させない。</t>
        </is>
      </c>
    </row>
    <row r="16" ht="34" customHeight="1" s="51">
      <c r="A16" s="42" t="inlineStr">
        <is>
          <t>SL-GFUNC-SAFE-MILKY</t>
        </is>
      </c>
      <c r="B16" s="42" t="inlineStr">
        <is>
          <t>glass_function</t>
        </is>
      </c>
      <c r="C16" s="42" t="inlineStr">
        <is>
          <t>SAFE_MILKY</t>
        </is>
      </c>
      <c r="D16" s="42" t="inlineStr">
        <is>
          <t>安全合わせ（乳白）</t>
        </is>
      </c>
      <c r="E16" s="42" t="inlineStr">
        <is>
          <t>glass_function=SAFE</t>
        </is>
      </c>
      <c r="F16" s="42" t="inlineStr">
        <is>
          <t>ESTIMATE_CONFIRM_REQUIRED</t>
        </is>
      </c>
      <c r="G16" s="42" t="b">
        <v>1</v>
      </c>
      <c r="H16" s="42" t="b">
        <v>1</v>
      </c>
      <c r="I16" s="42" t="inlineStr">
        <is>
          <t>08E_機能ガラス確認ゲート</t>
        </is>
      </c>
      <c r="J16" s="42" t="inlineStr">
        <is>
          <t>GG-SL-009</t>
        </is>
      </c>
      <c r="K16" s="42" t="inlineStr">
        <is>
          <t>既知制限を先に評価し、未確定残差のみLIXIL見積システムで確認。ESTIMATE_CONFIRM_REQUIREDを自動成立させない。</t>
        </is>
      </c>
    </row>
    <row r="17" ht="34" customHeight="1" s="51">
      <c r="A17" s="42" t="inlineStr">
        <is>
          <t>SL-GFUNC-BLIND</t>
        </is>
      </c>
      <c r="B17" s="42" t="inlineStr">
        <is>
          <t>glass_function</t>
        </is>
      </c>
      <c r="C17" s="42" t="inlineStr">
        <is>
          <t>BLIND</t>
        </is>
      </c>
      <c r="D17" s="42" t="inlineStr">
        <is>
          <t>調光ブラインドイン</t>
        </is>
      </c>
      <c r="E17" s="42" t="inlineStr">
        <is>
          <t>*</t>
        </is>
      </c>
      <c r="F17" s="42" t="inlineStr">
        <is>
          <t>ESTIMATE_CONFIRM_REQUIRED</t>
        </is>
      </c>
      <c r="G17" s="42" t="b">
        <v>1</v>
      </c>
      <c r="H17" s="42" t="b">
        <v>1</v>
      </c>
      <c r="I17" s="42" t="inlineStr">
        <is>
          <t>08E_機能ガラス確認ゲート</t>
        </is>
      </c>
      <c r="J17" s="42" t="inlineStr">
        <is>
          <t>GG-SL-010</t>
        </is>
      </c>
      <c r="K17" s="42" t="inlineStr">
        <is>
          <t>既知制限を先に評価し、未確定残差のみLIXIL見積システムで確認。ESTIMATE_CONFIRM_REQUIREDを自動成立させない。</t>
        </is>
      </c>
    </row>
    <row r="18" ht="34" customHeight="1" s="51">
      <c r="A18" s="42" t="inlineStr">
        <is>
          <t>SL-GFUNC-GRID</t>
        </is>
      </c>
      <c r="B18" s="42" t="inlineStr">
        <is>
          <t>glass_function</t>
        </is>
      </c>
      <c r="C18" s="42" t="inlineStr">
        <is>
          <t>GRID</t>
        </is>
      </c>
      <c r="D18" s="42" t="inlineStr">
        <is>
          <t>意匠格子入り</t>
        </is>
      </c>
      <c r="E18" s="42" t="inlineStr">
        <is>
          <t>*</t>
        </is>
      </c>
      <c r="F18" s="42" t="inlineStr">
        <is>
          <t>ESTIMATE_CONFIRM_REQUIRED</t>
        </is>
      </c>
      <c r="G18" s="42" t="b">
        <v>1</v>
      </c>
      <c r="H18" s="42" t="b">
        <v>1</v>
      </c>
      <c r="I18" s="42" t="inlineStr">
        <is>
          <t>08E_機能ガラス確認ゲート</t>
        </is>
      </c>
      <c r="J18" s="42" t="inlineStr">
        <is>
          <t>GG-SL-011</t>
        </is>
      </c>
      <c r="K18" s="42" t="inlineStr">
        <is>
          <t>既知制限を先に評価し、未確定残差のみLIXIL見積システムで確認。ESTIMATE_CONFIRM_REQUIREDを自動成立させない。</t>
        </is>
      </c>
    </row>
    <row r="19" ht="34" customHeight="1" s="51">
      <c r="A19" s="42" t="inlineStr">
        <is>
          <t>SL-GSP-AL-LOWE</t>
        </is>
      </c>
      <c r="B19" s="42" t="inlineStr">
        <is>
          <t>glass_spacer</t>
        </is>
      </c>
      <c r="C19" s="42" t="inlineStr">
        <is>
          <t>ALUMINUM</t>
        </is>
      </c>
      <c r="D19" s="42" t="inlineStr">
        <is>
          <t>アルミスペーサー</t>
        </is>
      </c>
      <c r="E19" s="42" t="inlineStr">
        <is>
          <t>glass_base=LOWE</t>
        </is>
      </c>
      <c r="F19" s="42" t="inlineStr">
        <is>
          <t>ACTIVE</t>
        </is>
      </c>
      <c r="G19" s="42" t="b">
        <v>1</v>
      </c>
      <c r="H19" s="42" t="b">
        <v>0</v>
      </c>
      <c r="I19" s="42" t="inlineStr">
        <is>
          <t>08_ガラス</t>
        </is>
      </c>
      <c r="J19" s="42" t="inlineStr">
        <is>
          <t>GL-SL-001～006</t>
        </is>
      </c>
      <c r="K19" s="42" t="str"/>
    </row>
    <row r="20" ht="34" customHeight="1" s="51">
      <c r="A20" s="42" t="inlineStr">
        <is>
          <t>SL-GSP-RESIN-LOWE</t>
        </is>
      </c>
      <c r="B20" s="42" t="inlineStr">
        <is>
          <t>glass_spacer</t>
        </is>
      </c>
      <c r="C20" s="42" t="inlineStr">
        <is>
          <t>RESIN</t>
        </is>
      </c>
      <c r="D20" s="42" t="inlineStr">
        <is>
          <t>樹脂スペーサー</t>
        </is>
      </c>
      <c r="E20" s="42" t="inlineStr">
        <is>
          <t>glass_base=LOWE</t>
        </is>
      </c>
      <c r="F20" s="42" t="inlineStr">
        <is>
          <t>ACTIVE</t>
        </is>
      </c>
      <c r="G20" s="42" t="b">
        <v>1</v>
      </c>
      <c r="H20" s="42" t="b">
        <v>0</v>
      </c>
      <c r="I20" s="42" t="inlineStr">
        <is>
          <t>08_ガラス</t>
        </is>
      </c>
      <c r="J20" s="42" t="inlineStr">
        <is>
          <t>GL-SL-001～003</t>
        </is>
      </c>
      <c r="K20" s="42" t="str"/>
    </row>
    <row r="21" ht="34" customHeight="1" s="51">
      <c r="A21" s="42" t="inlineStr">
        <is>
          <t>SL-GSP-AL-PAIR</t>
        </is>
      </c>
      <c r="B21" s="42" t="inlineStr">
        <is>
          <t>glass_spacer</t>
        </is>
      </c>
      <c r="C21" s="42" t="inlineStr">
        <is>
          <t>ALUMINUM</t>
        </is>
      </c>
      <c r="D21" s="42" t="inlineStr">
        <is>
          <t>アルミスペーサー</t>
        </is>
      </c>
      <c r="E21" s="42" t="inlineStr">
        <is>
          <t>glass_base=PAIR</t>
        </is>
      </c>
      <c r="F21" s="42" t="inlineStr">
        <is>
          <t>ACTIVE</t>
        </is>
      </c>
      <c r="G21" s="42" t="b">
        <v>1</v>
      </c>
      <c r="H21" s="42" t="b">
        <v>0</v>
      </c>
      <c r="I21" s="42" t="inlineStr">
        <is>
          <t>08_ガラス</t>
        </is>
      </c>
      <c r="J21" s="42" t="inlineStr">
        <is>
          <t>GL-SL-007～009</t>
        </is>
      </c>
      <c r="K21" s="42" t="str"/>
    </row>
    <row r="22" ht="34" customHeight="1" s="51">
      <c r="A22" s="42" t="inlineStr">
        <is>
          <t>SL-AIR-ARGON-AL</t>
        </is>
      </c>
      <c r="B22" s="42" t="inlineStr">
        <is>
          <t>glass_air_layer</t>
        </is>
      </c>
      <c r="C22" s="42" t="inlineStr">
        <is>
          <t>ARGON</t>
        </is>
      </c>
      <c r="D22" s="42" t="inlineStr">
        <is>
          <t>アルゴンガス</t>
        </is>
      </c>
      <c r="E22" s="42" t="inlineStr">
        <is>
          <t>glass_base=LOWE;glass_spacer=ALUMINUM</t>
        </is>
      </c>
      <c r="F22" s="42" t="inlineStr">
        <is>
          <t>ACTIVE</t>
        </is>
      </c>
      <c r="G22" s="42" t="b">
        <v>1</v>
      </c>
      <c r="H22" s="42" t="b">
        <v>0</v>
      </c>
      <c r="I22" s="42" t="inlineStr">
        <is>
          <t>08_ガラス</t>
        </is>
      </c>
      <c r="J22" s="42" t="inlineStr">
        <is>
          <t>GL-SL-001～003</t>
        </is>
      </c>
      <c r="K22" s="42" t="str"/>
    </row>
    <row r="23" ht="34" customHeight="1" s="51">
      <c r="A23" s="42" t="inlineStr">
        <is>
          <t>SL-AIR-AIR-AL</t>
        </is>
      </c>
      <c r="B23" s="42" t="inlineStr">
        <is>
          <t>glass_air_layer</t>
        </is>
      </c>
      <c r="C23" s="42" t="inlineStr">
        <is>
          <t>AIR</t>
        </is>
      </c>
      <c r="D23" s="42" t="inlineStr">
        <is>
          <t>乾燥空気</t>
        </is>
      </c>
      <c r="E23" s="42" t="inlineStr">
        <is>
          <t>glass_base=LOWE;glass_spacer=ALUMINUM</t>
        </is>
      </c>
      <c r="F23" s="42" t="inlineStr">
        <is>
          <t>ACTIVE</t>
        </is>
      </c>
      <c r="G23" s="42" t="b">
        <v>1</v>
      </c>
      <c r="H23" s="42" t="b">
        <v>0</v>
      </c>
      <c r="I23" s="42" t="inlineStr">
        <is>
          <t>08_ガラス</t>
        </is>
      </c>
      <c r="J23" s="42" t="inlineStr">
        <is>
          <t>GL-SL-004～006</t>
        </is>
      </c>
      <c r="K23" s="42" t="str"/>
    </row>
    <row r="24" ht="34" customHeight="1" s="51">
      <c r="A24" s="42" t="inlineStr">
        <is>
          <t>SL-AIR-ARGON-RESIN</t>
        </is>
      </c>
      <c r="B24" s="42" t="inlineStr">
        <is>
          <t>glass_air_layer</t>
        </is>
      </c>
      <c r="C24" s="42" t="inlineStr">
        <is>
          <t>ARGON</t>
        </is>
      </c>
      <c r="D24" s="42" t="inlineStr">
        <is>
          <t>アルゴンガス</t>
        </is>
      </c>
      <c r="E24" s="42" t="inlineStr">
        <is>
          <t>glass_base=LOWE;glass_spacer=RESIN</t>
        </is>
      </c>
      <c r="F24" s="42" t="inlineStr">
        <is>
          <t>ACTIVE</t>
        </is>
      </c>
      <c r="G24" s="42" t="b">
        <v>1</v>
      </c>
      <c r="H24" s="42" t="b">
        <v>0</v>
      </c>
      <c r="I24" s="42" t="inlineStr">
        <is>
          <t>08_ガラス</t>
        </is>
      </c>
      <c r="J24" s="42" t="inlineStr">
        <is>
          <t>GL-SL-001～003</t>
        </is>
      </c>
      <c r="K24" s="42" t="str"/>
    </row>
    <row r="25" ht="34" customHeight="1" s="51">
      <c r="A25" s="42" t="inlineStr">
        <is>
          <t>SL-AIR-AIR-PAIR</t>
        </is>
      </c>
      <c r="B25" s="42" t="inlineStr">
        <is>
          <t>glass_air_layer</t>
        </is>
      </c>
      <c r="C25" s="42" t="inlineStr">
        <is>
          <t>AIR</t>
        </is>
      </c>
      <c r="D25" s="42" t="inlineStr">
        <is>
          <t>乾燥空気</t>
        </is>
      </c>
      <c r="E25" s="42" t="inlineStr">
        <is>
          <t>glass_base=PAIR;glass_spacer=ALUMINUM</t>
        </is>
      </c>
      <c r="F25" s="42" t="inlineStr">
        <is>
          <t>ACTIVE</t>
        </is>
      </c>
      <c r="G25" s="42" t="b">
        <v>1</v>
      </c>
      <c r="H25" s="42" t="b">
        <v>0</v>
      </c>
      <c r="I25" s="42" t="inlineStr">
        <is>
          <t>08_ガラス</t>
        </is>
      </c>
      <c r="J25" s="42" t="inlineStr">
        <is>
          <t>GL-SL-007～009</t>
        </is>
      </c>
      <c r="K25" s="42" t="str"/>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27" customWidth="1" style="51" min="1" max="1"/>
    <col width="20" customWidth="1" style="51" min="2" max="2"/>
    <col width="24" customWidth="1" style="51" min="3" max="3"/>
    <col width="24" customWidth="1" style="51" min="4" max="4"/>
    <col width="24" customWidth="1" style="51" min="5" max="5"/>
    <col width="14" customWidth="1" style="51" min="6" max="6"/>
    <col width="14" customWidth="1" style="51" min="7" max="7"/>
    <col width="14" customWidth="1" style="51" min="8" max="8"/>
    <col width="14" customWidth="1" style="51" min="9" max="9"/>
    <col width="14" customWidth="1" style="51" min="10" max="10"/>
    <col width="14" customWidth="1" style="51" min="11" max="11"/>
    <col width="14" customWidth="1" style="51" min="12" max="12"/>
    <col width="14" customWidth="1" style="51" min="13" max="13"/>
    <col width="14" customWidth="1" style="51" min="14" max="14"/>
    <col width="16" customWidth="1" style="51" min="15" max="15"/>
    <col width="58" customWidth="1" style="51" min="16" max="16"/>
  </cols>
  <sheetData>
    <row r="1" ht="28" customHeight="1" s="51">
      <c r="A1" s="244" t="inlineStr">
        <is>
          <t>フロスト製作条件・Section20確認契約｜サーモスL v0.7-R2</t>
        </is>
      </c>
      <c r="B1" s="41" t="n"/>
      <c r="C1" s="41" t="n"/>
      <c r="D1" s="41" t="n"/>
      <c r="E1" s="41" t="n"/>
      <c r="F1" s="41" t="n"/>
      <c r="G1" s="41" t="n"/>
      <c r="H1" s="41" t="n"/>
      <c r="I1" s="41" t="n"/>
      <c r="J1" s="41" t="n"/>
      <c r="K1" s="41" t="n"/>
      <c r="L1" s="41" t="n"/>
      <c r="M1" s="41" t="n"/>
      <c r="N1" s="41" t="n"/>
      <c r="O1" s="41" t="n"/>
      <c r="P1" s="41" t="n"/>
    </row>
    <row r="2" ht="44" customHeight="1" s="51">
      <c r="A2" s="245" t="inlineStr">
        <is>
          <t>SN1400 P34のS-1～S-4、最大面積、最大長辺・短辺を保持。ガラス開口・サッシ側最終制限が解決できる場合は既知数値判定を優先し、残差のみLIXIL見積システムへ委譲する。</t>
        </is>
      </c>
      <c r="B2" s="41" t="n"/>
      <c r="C2" s="41" t="n"/>
      <c r="D2" s="41" t="n"/>
      <c r="E2" s="41" t="n"/>
      <c r="F2" s="41" t="n"/>
      <c r="G2" s="41" t="n"/>
      <c r="H2" s="41" t="n"/>
      <c r="I2" s="41" t="n"/>
      <c r="J2" s="41" t="n"/>
      <c r="K2" s="41" t="n"/>
      <c r="L2" s="41" t="n"/>
      <c r="M2" s="41" t="n"/>
      <c r="N2" s="41" t="n"/>
      <c r="O2" s="41" t="n"/>
      <c r="P2" s="41" t="n"/>
    </row>
    <row r="3" ht="36" customHeight="1" s="51">
      <c r="A3" s="217" t="inlineStr">
        <is>
          <t>rule_id</t>
        </is>
      </c>
      <c r="B3" s="217" t="inlineStr">
        <is>
          <t>rule_type</t>
        </is>
      </c>
      <c r="C3" s="217" t="inlineStr">
        <is>
          <t>product_scope</t>
        </is>
      </c>
      <c r="D3" s="217" t="inlineStr">
        <is>
          <t>product_variant</t>
        </is>
      </c>
      <c r="E3" s="217" t="inlineStr">
        <is>
          <t>glass_configuration</t>
        </is>
      </c>
      <c r="F3" s="217" t="inlineStr">
        <is>
          <t>S-1_area_m2</t>
        </is>
      </c>
      <c r="G3" s="217" t="inlineStr">
        <is>
          <t>S-2_area_m2</t>
        </is>
      </c>
      <c r="H3" s="217" t="inlineStr">
        <is>
          <t>S-3_area_m2</t>
        </is>
      </c>
      <c r="I3" s="217" t="inlineStr">
        <is>
          <t>S-4_area_m2</t>
        </is>
      </c>
      <c r="J3" s="217" t="inlineStr">
        <is>
          <t>max_area_m2</t>
        </is>
      </c>
      <c r="K3" s="217" t="inlineStr">
        <is>
          <t>max_long_mm</t>
        </is>
      </c>
      <c r="L3" s="217" t="inlineStr">
        <is>
          <t>max_short_mm</t>
        </is>
      </c>
      <c r="M3" s="217" t="inlineStr">
        <is>
          <t>availability_state</t>
        </is>
      </c>
      <c r="N3" s="217" t="inlineStr">
        <is>
          <t>automatic_activation</t>
        </is>
      </c>
      <c r="O3" s="217" t="inlineStr">
        <is>
          <t>evidence_id</t>
        </is>
      </c>
      <c r="P3" s="217" t="inlineStr">
        <is>
          <t>source_and_notes</t>
        </is>
      </c>
    </row>
    <row r="4" ht="48" customHeight="1" s="51">
      <c r="A4" s="43" t="inlineStr">
        <is>
          <t>FROST-SL-COVERAGE-F</t>
        </is>
      </c>
      <c r="B4" s="43" t="inlineStr">
        <is>
          <t>PRODUCT_COVERAGE</t>
        </is>
      </c>
      <c r="C4" s="43" t="inlineStr">
        <is>
          <t>サーモスL</t>
        </is>
      </c>
      <c r="D4" s="43" t="inlineStr">
        <is>
          <t>全品種（FIX窓 内押縁タイプを除く）</t>
        </is>
      </c>
      <c r="E4" s="43" t="inlineStr">
        <is>
          <t>複層ガラス／最大22mm／総厚固定／フロスト5mm設定あり</t>
        </is>
      </c>
      <c r="F4" s="178" t="n"/>
      <c r="G4" s="178" t="n"/>
      <c r="H4" s="178" t="n"/>
      <c r="I4" s="178" t="n"/>
      <c r="J4" s="178" t="n"/>
      <c r="K4" s="178" t="n"/>
      <c r="L4" s="178" t="n"/>
      <c r="M4" s="178" t="inlineStr">
        <is>
          <t>ESTIMATE_CONFIRM_REQUIRED</t>
        </is>
      </c>
      <c r="N4" s="178" t="b">
        <v>0</v>
      </c>
      <c r="O4" s="43" t="inlineStr">
        <is>
          <t>EV-SL-GLASS</t>
        </is>
      </c>
      <c r="P4" s="43" t="inlineStr">
        <is>
          <t>SN1400商品設定は公式確認済み。最終製作可否は数値条件とサッシ側制限の双方を満たす必要があり、未閉包部分はESTIMATE_CONFIRM_REQUIRED。残差の確認経路はLIXIL見積システム。</t>
        </is>
      </c>
    </row>
    <row r="5" ht="48" customHeight="1" s="51">
      <c r="A5" s="43" t="inlineStr">
        <is>
          <t>FROST-SL-COVERAGE-H</t>
        </is>
      </c>
      <c r="B5" s="43" t="inlineStr">
        <is>
          <t>PRODUCT_COVERAGE</t>
        </is>
      </c>
      <c r="C5" s="43" t="inlineStr">
        <is>
          <t>サーモスL</t>
        </is>
      </c>
      <c r="D5" s="43" t="inlineStr">
        <is>
          <t>FIX窓 内押縁タイプ</t>
        </is>
      </c>
      <c r="E5" s="43" t="inlineStr">
        <is>
          <t>複層ガラス／最大26mm／A16優先／フロスト5mm設定あり</t>
        </is>
      </c>
      <c r="F5" s="178" t="n"/>
      <c r="G5" s="178" t="n"/>
      <c r="H5" s="178" t="n"/>
      <c r="I5" s="178" t="n"/>
      <c r="J5" s="178" t="n"/>
      <c r="K5" s="178" t="n"/>
      <c r="L5" s="178" t="n"/>
      <c r="M5" s="178" t="inlineStr">
        <is>
          <t>ESTIMATE_CONFIRM_REQUIRED</t>
        </is>
      </c>
      <c r="N5" s="178" t="b">
        <v>0</v>
      </c>
      <c r="O5" s="43" t="inlineStr">
        <is>
          <t>EV-SL-GLASS</t>
        </is>
      </c>
      <c r="P5" s="43" t="inlineStr">
        <is>
          <t>SN1400商品設定は公式確認済み。最終製作可否は数値条件とサッシ側制限の双方を満たす必要があり、未閉包部分はESTIMATE_CONFIRM_REQUIRED。残差の確認経路はLIXIL見積システム。</t>
        </is>
      </c>
    </row>
    <row r="6" ht="48" customHeight="1" s="51">
      <c r="A6" s="43" t="inlineStr">
        <is>
          <t>FROST-SL-F5-A3</t>
        </is>
      </c>
      <c r="B6" s="43" t="inlineStr">
        <is>
          <t>MANUFACTURABILITY</t>
        </is>
      </c>
      <c r="C6" s="43" t="inlineStr">
        <is>
          <t>LIXILサッシ全て</t>
        </is>
      </c>
      <c r="D6" s="43" t="inlineStr">
        <is>
          <t>Low-E複層／一般複層</t>
        </is>
      </c>
      <c r="E6" s="43" t="inlineStr">
        <is>
          <t>フロスト5mm-A-3mm</t>
        </is>
      </c>
      <c r="F6" s="178" t="n">
        <v>2.31</v>
      </c>
      <c r="G6" s="178" t="n">
        <v>1.54</v>
      </c>
      <c r="H6" s="178" t="n">
        <v>1.15</v>
      </c>
      <c r="I6" s="178" t="n">
        <v>0.92</v>
      </c>
      <c r="J6" s="178" t="n">
        <v>2.32</v>
      </c>
      <c r="K6" s="178" t="n">
        <v>2409</v>
      </c>
      <c r="L6" s="178" t="n">
        <v>1809</v>
      </c>
      <c r="M6" s="178" t="inlineStr">
        <is>
          <t>ESTIMATE_CONFIRM_REQUIRED</t>
        </is>
      </c>
      <c r="N6" s="178" t="b">
        <v>0</v>
      </c>
      <c r="O6" s="43" t="inlineStr">
        <is>
          <t>EV-SL-GLASS</t>
        </is>
      </c>
      <c r="P6" s="43" t="inlineStr">
        <is>
          <t>SN1400 P34（PDF P38）。最大面積・長辺・短辺・サッシ側制限をすべて満足すること。</t>
        </is>
      </c>
    </row>
    <row r="7" ht="48" customHeight="1" s="51">
      <c r="A7" s="43" t="inlineStr">
        <is>
          <t>FROST-SL-F5-A4</t>
        </is>
      </c>
      <c r="B7" s="43" t="inlineStr">
        <is>
          <t>MANUFACTURABILITY</t>
        </is>
      </c>
      <c r="C7" s="43" t="inlineStr">
        <is>
          <t>LIXILサッシ全て</t>
        </is>
      </c>
      <c r="D7" s="43" t="inlineStr">
        <is>
          <t>Low-E複層／一般複層</t>
        </is>
      </c>
      <c r="E7" s="43" t="inlineStr">
        <is>
          <t>フロスト5mm-A-4mm</t>
        </is>
      </c>
      <c r="F7" s="178" t="n">
        <v>2.87</v>
      </c>
      <c r="G7" s="178" t="n">
        <v>1.91</v>
      </c>
      <c r="H7" s="178" t="n">
        <v>1.44</v>
      </c>
      <c r="I7" s="178" t="n">
        <v>1.14</v>
      </c>
      <c r="J7" s="178" t="n">
        <v>4</v>
      </c>
      <c r="K7" s="178" t="n">
        <v>2409</v>
      </c>
      <c r="L7" s="178" t="n">
        <v>1809</v>
      </c>
      <c r="M7" s="178" t="inlineStr">
        <is>
          <t>ESTIMATE_CONFIRM_REQUIRED</t>
        </is>
      </c>
      <c r="N7" s="178" t="b">
        <v>0</v>
      </c>
      <c r="O7" s="43" t="inlineStr">
        <is>
          <t>EV-SL-GLASS</t>
        </is>
      </c>
      <c r="P7" s="43" t="inlineStr">
        <is>
          <t>SN1400 P34（PDF P38）。最大面積・長辺・短辺・サッシ側制限をすべて満足すること。</t>
        </is>
      </c>
    </row>
    <row r="8" ht="48" customHeight="1" s="51">
      <c r="A8" s="43" t="inlineStr">
        <is>
          <t>FROST-SL-F5-A5</t>
        </is>
      </c>
      <c r="B8" s="43" t="inlineStr">
        <is>
          <t>MANUFACTURABILITY</t>
        </is>
      </c>
      <c r="C8" s="43" t="inlineStr">
        <is>
          <t>LIXILサッシ全て</t>
        </is>
      </c>
      <c r="D8" s="43" t="inlineStr">
        <is>
          <t>Low-E複層／一般複層</t>
        </is>
      </c>
      <c r="E8" s="43" t="inlineStr">
        <is>
          <t>フロスト5mm-A-5mm</t>
        </is>
      </c>
      <c r="F8" s="178" t="n">
        <v>3.8</v>
      </c>
      <c r="G8" s="178" t="n">
        <v>2.53</v>
      </c>
      <c r="H8" s="178" t="n">
        <v>1.9</v>
      </c>
      <c r="I8" s="178" t="n">
        <v>1.51</v>
      </c>
      <c r="J8" s="178" t="n">
        <v>4.32</v>
      </c>
      <c r="K8" s="178" t="n">
        <v>2409</v>
      </c>
      <c r="L8" s="178" t="n">
        <v>1809</v>
      </c>
      <c r="M8" s="178" t="inlineStr">
        <is>
          <t>ESTIMATE_CONFIRM_REQUIRED</t>
        </is>
      </c>
      <c r="N8" s="178" t="b">
        <v>0</v>
      </c>
      <c r="O8" s="43" t="inlineStr">
        <is>
          <t>EV-SL-GLASS</t>
        </is>
      </c>
      <c r="P8" s="43" t="inlineStr">
        <is>
          <t>SN1400 P34（PDF P38）。最大面積・長辺・短辺・サッシ側制限をすべて満足すること。</t>
        </is>
      </c>
    </row>
    <row r="9" ht="48" customHeight="1" s="51">
      <c r="A9" s="43" t="inlineStr">
        <is>
          <t>FROST-SL-SDC-COMPOSITION</t>
        </is>
      </c>
      <c r="B9" s="43" t="inlineStr">
        <is>
          <t>COMPOSITION</t>
        </is>
      </c>
      <c r="C9" s="43" t="inlineStr">
        <is>
          <t>サーモスⅡ-H／サーモスL</t>
        </is>
      </c>
      <c r="D9" s="43" t="inlineStr">
        <is>
          <t>専用グレチャン</t>
        </is>
      </c>
      <c r="E9" s="43" t="inlineStr">
        <is>
          <t>総厚22mm（21.8mm）・設定構成のみ</t>
        </is>
      </c>
      <c r="F9" s="178" t="n"/>
      <c r="G9" s="178" t="n"/>
      <c r="H9" s="178" t="n"/>
      <c r="I9" s="178" t="n"/>
      <c r="J9" s="178" t="n"/>
      <c r="K9" s="178" t="n"/>
      <c r="L9" s="178" t="n"/>
      <c r="M9" s="178" t="inlineStr">
        <is>
          <t>ESTIMATE_CONFIRM_REQUIRED</t>
        </is>
      </c>
      <c r="N9" s="178" t="b">
        <v>0</v>
      </c>
      <c r="O9" s="43" t="inlineStr">
        <is>
          <t>EV-SL-GLASS</t>
        </is>
      </c>
      <c r="P9" s="43" t="inlineStr">
        <is>
          <t>公式対応ガラス一覧 SDC0003134。F5F=型フロスト5mm。設定外構成は不可。FIX内押縁23～26mmは中空層厚加算注記あり。</t>
        </is>
      </c>
    </row>
    <row r="10" ht="48" customHeight="1" s="51">
      <c r="A10" s="43" t="inlineStr">
        <is>
          <t>FROST-SL-GLOBAL-NOTE</t>
        </is>
      </c>
      <c r="B10" s="43" t="inlineStr">
        <is>
          <t>FAIL_CLOSED_NOTE</t>
        </is>
      </c>
      <c r="C10" s="43" t="inlineStr">
        <is>
          <t>サーモスL</t>
        </is>
      </c>
      <c r="D10" s="43" t="inlineStr">
        <is>
          <t>全品種</t>
        </is>
      </c>
      <c r="E10" s="43" t="inlineStr">
        <is>
          <t>ガス・格子・アタッチメント・中空層厚・縦横比・耐荷重・ガラス開口・その他制限</t>
        </is>
      </c>
      <c r="F10" s="178" t="n"/>
      <c r="G10" s="178" t="n"/>
      <c r="H10" s="178" t="n"/>
      <c r="I10" s="178" t="n"/>
      <c r="J10" s="178" t="n"/>
      <c r="K10" s="178" t="n"/>
      <c r="L10" s="178" t="n"/>
      <c r="M10" s="178" t="inlineStr">
        <is>
          <t>ESTIMATE_CONFIRM_REQUIRED</t>
        </is>
      </c>
      <c r="N10" s="178" t="b">
        <v>0</v>
      </c>
      <c r="O10" s="43" t="inlineStr">
        <is>
          <t>EV-SL-GLASS</t>
        </is>
      </c>
      <c r="P10" s="43" t="inlineStr">
        <is>
          <t>SDC0003134で総厚・対応構成はExact Matrixとして確認済み。設定外構成は不可。サイズ・窓種別の最終製作可否は別Gateで未閉包。</t>
        </is>
      </c>
    </row>
    <row r="11">
      <c r="A11" s="43" t="n"/>
      <c r="B11" s="43" t="n"/>
      <c r="C11" s="43" t="n"/>
      <c r="D11" s="43" t="n"/>
      <c r="E11" s="43" t="n"/>
      <c r="F11" s="43" t="n"/>
      <c r="G11" s="43" t="n"/>
      <c r="H11" s="43" t="n"/>
      <c r="I11" s="43" t="n"/>
      <c r="J11" s="43" t="n"/>
      <c r="K11" s="43" t="n"/>
      <c r="L11" s="43" t="n"/>
      <c r="M11" s="43" t="n"/>
      <c r="N11" s="43" t="n"/>
      <c r="O11" s="43" t="n"/>
      <c r="P11" s="43" t="inlineStr">
        <is>
          <t>公開公式Sourceで確定できない特殊ガラスのサイズ・窓種別最終組合せをALLOWED/BLOCKEDへ推測しない。ESTIMATE_CONFIRM_REQUIREDを維持し、特定の見積・設計・個別見積経路を確定しない。</t>
        </is>
      </c>
    </row>
  </sheetData>
  <mergeCells count="2">
    <mergeCell ref="A1:P1"/>
    <mergeCell ref="A2:P2"/>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O1645"/>
  <sheetViews>
    <sheetView workbookViewId="0">
      <selection activeCell="A1" sqref="A1"/>
    </sheetView>
  </sheetViews>
  <sheetFormatPr baseColWidth="8" defaultRowHeight="15"/>
  <cols>
    <col width="22" customWidth="1" style="51" min="1" max="1"/>
    <col width="24" customWidth="1" style="51" min="2" max="2"/>
    <col width="24" customWidth="1" style="51" min="3" max="3"/>
    <col width="24" customWidth="1" style="51" min="4" max="4"/>
    <col width="14" customWidth="1" style="51" min="5" max="5"/>
    <col width="12" customWidth="1" style="51" min="6" max="6"/>
    <col width="12" customWidth="1" style="51" min="7" max="7"/>
    <col width="12" customWidth="1" style="51" min="8" max="8"/>
    <col width="20" customWidth="1" style="51" min="9" max="9"/>
    <col width="34" customWidth="1" style="51" min="10" max="10"/>
    <col width="18" customWidth="1" style="51" min="11" max="11"/>
    <col width="26" customWidth="1" style="51" min="12" max="12"/>
    <col width="14" customWidth="1" style="51" min="13" max="13"/>
    <col width="28" customWidth="1" style="51" min="14" max="14"/>
    <col width="45" customWidth="1" style="51" min="15" max="15"/>
  </cols>
  <sheetData>
    <row r="1">
      <c r="A1" s="188" t="inlineStr">
        <is>
          <t>size_id</t>
        </is>
      </c>
      <c r="B1" s="188" t="inlineStr">
        <is>
          <t>window_type_id</t>
        </is>
      </c>
      <c r="C1" s="188" t="inlineStr">
        <is>
          <t>window_type</t>
        </is>
      </c>
      <c r="D1" s="188" t="inlineStr">
        <is>
          <t>specification_id</t>
        </is>
      </c>
      <c r="E1" s="188" t="inlineStr">
        <is>
          <t>size_code</t>
        </is>
      </c>
      <c r="F1" s="188" t="inlineStr">
        <is>
          <t>actual_w</t>
        </is>
      </c>
      <c r="G1" s="188" t="inlineStr">
        <is>
          <t>actual_h</t>
        </is>
      </c>
      <c r="H1" s="188" t="inlineStr">
        <is>
          <t>selectable</t>
        </is>
      </c>
      <c r="I1" s="188" t="inlineStr">
        <is>
          <t>safe_30mil_status</t>
        </is>
      </c>
      <c r="J1" s="188" t="inlineStr">
        <is>
          <t>evidence_class</t>
        </is>
      </c>
      <c r="K1" s="188" t="inlineStr">
        <is>
          <t>official_source_id</t>
        </is>
      </c>
      <c r="L1" s="188" t="inlineStr">
        <is>
          <t>official_sheet</t>
        </is>
      </c>
      <c r="M1" s="188" t="inlineStr">
        <is>
          <t>official_row</t>
        </is>
      </c>
      <c r="N1" s="188" t="inlineStr">
        <is>
          <t>official_key</t>
        </is>
      </c>
      <c r="O1" s="188" t="inlineStr">
        <is>
          <t>note</t>
        </is>
      </c>
    </row>
    <row r="2">
      <c r="A2" s="42" t="inlineStr">
        <is>
          <t>SZ-SL-000001</t>
        </is>
      </c>
      <c r="B2" s="42" t="inlineStr">
        <is>
          <t>WT-SL-HIKICHIGAI</t>
        </is>
      </c>
      <c r="C2" s="42" t="inlineStr">
        <is>
          <t>単体引違い窓</t>
        </is>
      </c>
      <c r="D2" s="42" t="str"/>
      <c r="E2" s="42" t="inlineStr">
        <is>
          <t>06003</t>
        </is>
      </c>
      <c r="F2" s="42" t="inlineStr">
        <is>
          <t>640</t>
        </is>
      </c>
      <c r="G2" s="42" t="inlineStr">
        <is>
          <t>370</t>
        </is>
      </c>
      <c r="H2" s="42" t="inlineStr">
        <is>
          <t>True</t>
        </is>
      </c>
      <c r="I2" s="42" t="inlineStr">
        <is>
          <t>ALLOWED</t>
        </is>
      </c>
      <c r="J2" s="42" t="inlineStr">
        <is>
          <t>DIRECT_OFFICIAL_STANDARD_ROW</t>
        </is>
      </c>
      <c r="K2" s="42" t="inlineStr">
        <is>
          <t>SDC0003156</t>
        </is>
      </c>
      <c r="L2" s="42" t="inlineStr">
        <is>
          <t>マド2枚建 (201910～)</t>
        </is>
      </c>
      <c r="M2" s="42" t="inlineStr">
        <is>
          <t>9</t>
        </is>
      </c>
      <c r="N2" s="42" t="inlineStr">
        <is>
          <t>06003</t>
        </is>
      </c>
      <c r="O2" s="42" t="inlineStr">
        <is>
          <t>防犯建物部品欄の30mil構成を規格呼称へ直接突合。</t>
        </is>
      </c>
    </row>
    <row r="3">
      <c r="A3" s="42" t="inlineStr">
        <is>
          <t>SZ-SL-000002</t>
        </is>
      </c>
      <c r="B3" s="42" t="inlineStr">
        <is>
          <t>WT-SL-HIKICHIGAI</t>
        </is>
      </c>
      <c r="C3" s="42" t="inlineStr">
        <is>
          <t>単体引違い窓</t>
        </is>
      </c>
      <c r="D3" s="42" t="str"/>
      <c r="E3" s="42" t="inlineStr">
        <is>
          <t>06005</t>
        </is>
      </c>
      <c r="F3" s="42" t="inlineStr">
        <is>
          <t>640</t>
        </is>
      </c>
      <c r="G3" s="42" t="inlineStr">
        <is>
          <t>570</t>
        </is>
      </c>
      <c r="H3" s="42" t="inlineStr">
        <is>
          <t>True</t>
        </is>
      </c>
      <c r="I3" s="42" t="inlineStr">
        <is>
          <t>ALLOWED</t>
        </is>
      </c>
      <c r="J3" s="42" t="inlineStr">
        <is>
          <t>DIRECT_OFFICIAL_STANDARD_ROW</t>
        </is>
      </c>
      <c r="K3" s="42" t="inlineStr">
        <is>
          <t>SDC0003156</t>
        </is>
      </c>
      <c r="L3" s="42" t="inlineStr">
        <is>
          <t>マド2枚建 (201910～)</t>
        </is>
      </c>
      <c r="M3" s="42" t="inlineStr">
        <is>
          <t>10</t>
        </is>
      </c>
      <c r="N3" s="42" t="inlineStr">
        <is>
          <t>06005</t>
        </is>
      </c>
      <c r="O3" s="42" t="inlineStr">
        <is>
          <t>防犯建物部品欄の30mil構成を規格呼称へ直接突合。</t>
        </is>
      </c>
    </row>
    <row r="4">
      <c r="A4" s="42" t="inlineStr">
        <is>
          <t>SZ-SL-000003</t>
        </is>
      </c>
      <c r="B4" s="42" t="inlineStr">
        <is>
          <t>WT-SL-HIKICHIGAI</t>
        </is>
      </c>
      <c r="C4" s="42" t="inlineStr">
        <is>
          <t>単体引違い窓</t>
        </is>
      </c>
      <c r="D4" s="42" t="str"/>
      <c r="E4" s="42" t="inlineStr">
        <is>
          <t>06007</t>
        </is>
      </c>
      <c r="F4" s="42" t="inlineStr">
        <is>
          <t>640</t>
        </is>
      </c>
      <c r="G4" s="42" t="inlineStr">
        <is>
          <t>770</t>
        </is>
      </c>
      <c r="H4" s="42" t="inlineStr">
        <is>
          <t>True</t>
        </is>
      </c>
      <c r="I4" s="42" t="inlineStr">
        <is>
          <t>ALLOWED</t>
        </is>
      </c>
      <c r="J4" s="42" t="inlineStr">
        <is>
          <t>DIRECT_OFFICIAL_STANDARD_ROW</t>
        </is>
      </c>
      <c r="K4" s="42" t="inlineStr">
        <is>
          <t>SDC0003156</t>
        </is>
      </c>
      <c r="L4" s="42" t="inlineStr">
        <is>
          <t>マド2枚建 (201910～)</t>
        </is>
      </c>
      <c r="M4" s="42" t="inlineStr">
        <is>
          <t>11</t>
        </is>
      </c>
      <c r="N4" s="42" t="inlineStr">
        <is>
          <t>06007</t>
        </is>
      </c>
      <c r="O4" s="42" t="inlineStr">
        <is>
          <t>防犯建物部品欄の30mil構成を規格呼称へ直接突合。</t>
        </is>
      </c>
    </row>
    <row r="5">
      <c r="A5" s="42" t="inlineStr">
        <is>
          <t>SZ-SL-000004</t>
        </is>
      </c>
      <c r="B5" s="42" t="inlineStr">
        <is>
          <t>WT-SL-HIKICHIGAI</t>
        </is>
      </c>
      <c r="C5" s="42" t="inlineStr">
        <is>
          <t>単体引違い窓</t>
        </is>
      </c>
      <c r="D5" s="42" t="str"/>
      <c r="E5" s="42" t="inlineStr">
        <is>
          <t>06009</t>
        </is>
      </c>
      <c r="F5" s="42" t="inlineStr">
        <is>
          <t>640</t>
        </is>
      </c>
      <c r="G5" s="42" t="inlineStr">
        <is>
          <t>970</t>
        </is>
      </c>
      <c r="H5" s="42" t="inlineStr">
        <is>
          <t>True</t>
        </is>
      </c>
      <c r="I5" s="42" t="inlineStr">
        <is>
          <t>ALLOWED</t>
        </is>
      </c>
      <c r="J5" s="42" t="inlineStr">
        <is>
          <t>DIRECT_OFFICIAL_STANDARD_ROW</t>
        </is>
      </c>
      <c r="K5" s="42" t="inlineStr">
        <is>
          <t>SDC0003156</t>
        </is>
      </c>
      <c r="L5" s="42" t="inlineStr">
        <is>
          <t>マド2枚建 (201910～)</t>
        </is>
      </c>
      <c r="M5" s="42" t="inlineStr">
        <is>
          <t>12</t>
        </is>
      </c>
      <c r="N5" s="42" t="inlineStr">
        <is>
          <t>06009</t>
        </is>
      </c>
      <c r="O5" s="42" t="inlineStr">
        <is>
          <t>防犯建物部品欄の30mil構成を規格呼称へ直接突合。</t>
        </is>
      </c>
    </row>
    <row r="6">
      <c r="A6" s="42" t="inlineStr">
        <is>
          <t>SZ-SL-000005</t>
        </is>
      </c>
      <c r="B6" s="42" t="inlineStr">
        <is>
          <t>WT-SL-HIKICHIGAI</t>
        </is>
      </c>
      <c r="C6" s="42" t="inlineStr">
        <is>
          <t>単体引違い窓</t>
        </is>
      </c>
      <c r="D6" s="42" t="str"/>
      <c r="E6" s="42" t="inlineStr">
        <is>
          <t>06903</t>
        </is>
      </c>
      <c r="F6" s="42" t="inlineStr">
        <is>
          <t>730</t>
        </is>
      </c>
      <c r="G6" s="42" t="inlineStr">
        <is>
          <t>370</t>
        </is>
      </c>
      <c r="H6" s="42" t="inlineStr">
        <is>
          <t>True</t>
        </is>
      </c>
      <c r="I6" s="42" t="inlineStr">
        <is>
          <t>ALLOWED</t>
        </is>
      </c>
      <c r="J6" s="42" t="inlineStr">
        <is>
          <t>DIRECT_OFFICIAL_STANDARD_ROW</t>
        </is>
      </c>
      <c r="K6" s="42" t="inlineStr">
        <is>
          <t>SDC0003156</t>
        </is>
      </c>
      <c r="L6" s="42" t="inlineStr">
        <is>
          <t>マド2枚建 (201910～)</t>
        </is>
      </c>
      <c r="M6" s="42" t="inlineStr">
        <is>
          <t>13</t>
        </is>
      </c>
      <c r="N6" s="42" t="inlineStr">
        <is>
          <t>06903</t>
        </is>
      </c>
      <c r="O6" s="42" t="inlineStr">
        <is>
          <t>防犯建物部品欄の30mil構成を規格呼称へ直接突合。</t>
        </is>
      </c>
    </row>
    <row r="7">
      <c r="A7" s="42" t="inlineStr">
        <is>
          <t>SZ-SL-000006</t>
        </is>
      </c>
      <c r="B7" s="42" t="inlineStr">
        <is>
          <t>WT-SL-HIKICHIGAI</t>
        </is>
      </c>
      <c r="C7" s="42" t="inlineStr">
        <is>
          <t>単体引違い窓</t>
        </is>
      </c>
      <c r="D7" s="42" t="str"/>
      <c r="E7" s="42" t="inlineStr">
        <is>
          <t>06905</t>
        </is>
      </c>
      <c r="F7" s="42" t="inlineStr">
        <is>
          <t>730</t>
        </is>
      </c>
      <c r="G7" s="42" t="inlineStr">
        <is>
          <t>570</t>
        </is>
      </c>
      <c r="H7" s="42" t="inlineStr">
        <is>
          <t>True</t>
        </is>
      </c>
      <c r="I7" s="42" t="inlineStr">
        <is>
          <t>ALLOWED</t>
        </is>
      </c>
      <c r="J7" s="42" t="inlineStr">
        <is>
          <t>DIRECT_OFFICIAL_STANDARD_ROW</t>
        </is>
      </c>
      <c r="K7" s="42" t="inlineStr">
        <is>
          <t>SDC0003156</t>
        </is>
      </c>
      <c r="L7" s="42" t="inlineStr">
        <is>
          <t>マド2枚建 (201910～)</t>
        </is>
      </c>
      <c r="M7" s="42" t="inlineStr">
        <is>
          <t>14</t>
        </is>
      </c>
      <c r="N7" s="42" t="inlineStr">
        <is>
          <t>06905</t>
        </is>
      </c>
      <c r="O7" s="42" t="inlineStr">
        <is>
          <t>防犯建物部品欄の30mil構成を規格呼称へ直接突合。</t>
        </is>
      </c>
    </row>
    <row r="8">
      <c r="A8" s="42" t="inlineStr">
        <is>
          <t>SZ-SL-000007</t>
        </is>
      </c>
      <c r="B8" s="42" t="inlineStr">
        <is>
          <t>WT-SL-HIKICHIGAI</t>
        </is>
      </c>
      <c r="C8" s="42" t="inlineStr">
        <is>
          <t>単体引違い窓</t>
        </is>
      </c>
      <c r="D8" s="42" t="str"/>
      <c r="E8" s="42" t="inlineStr">
        <is>
          <t>06907</t>
        </is>
      </c>
      <c r="F8" s="42" t="inlineStr">
        <is>
          <t>730</t>
        </is>
      </c>
      <c r="G8" s="42" t="inlineStr">
        <is>
          <t>770</t>
        </is>
      </c>
      <c r="H8" s="42" t="inlineStr">
        <is>
          <t>True</t>
        </is>
      </c>
      <c r="I8" s="42" t="inlineStr">
        <is>
          <t>ALLOWED</t>
        </is>
      </c>
      <c r="J8" s="42" t="inlineStr">
        <is>
          <t>DIRECT_OFFICIAL_STANDARD_ROW</t>
        </is>
      </c>
      <c r="K8" s="42" t="inlineStr">
        <is>
          <t>SDC0003156</t>
        </is>
      </c>
      <c r="L8" s="42" t="inlineStr">
        <is>
          <t>マド2枚建 (201910～)</t>
        </is>
      </c>
      <c r="M8" s="42" t="inlineStr">
        <is>
          <t>15</t>
        </is>
      </c>
      <c r="N8" s="42" t="inlineStr">
        <is>
          <t>06907</t>
        </is>
      </c>
      <c r="O8" s="42" t="inlineStr">
        <is>
          <t>防犯建物部品欄の30mil構成を規格呼称へ直接突合。</t>
        </is>
      </c>
    </row>
    <row r="9">
      <c r="A9" s="42" t="inlineStr">
        <is>
          <t>SZ-SL-000008</t>
        </is>
      </c>
      <c r="B9" s="42" t="inlineStr">
        <is>
          <t>WT-SL-HIKICHIGAI</t>
        </is>
      </c>
      <c r="C9" s="42" t="inlineStr">
        <is>
          <t>単体引違い窓</t>
        </is>
      </c>
      <c r="D9" s="42" t="str"/>
      <c r="E9" s="42" t="inlineStr">
        <is>
          <t>06909</t>
        </is>
      </c>
      <c r="F9" s="42" t="inlineStr">
        <is>
          <t>730</t>
        </is>
      </c>
      <c r="G9" s="42" t="inlineStr">
        <is>
          <t>970</t>
        </is>
      </c>
      <c r="H9" s="42" t="inlineStr">
        <is>
          <t>True</t>
        </is>
      </c>
      <c r="I9" s="42" t="inlineStr">
        <is>
          <t>ALLOWED</t>
        </is>
      </c>
      <c r="J9" s="42" t="inlineStr">
        <is>
          <t>DIRECT_OFFICIAL_STANDARD_ROW</t>
        </is>
      </c>
      <c r="K9" s="42" t="inlineStr">
        <is>
          <t>SDC0003156</t>
        </is>
      </c>
      <c r="L9" s="42" t="inlineStr">
        <is>
          <t>マド2枚建 (201910～)</t>
        </is>
      </c>
      <c r="M9" s="42" t="inlineStr">
        <is>
          <t>16</t>
        </is>
      </c>
      <c r="N9" s="42" t="inlineStr">
        <is>
          <t>06909</t>
        </is>
      </c>
      <c r="O9" s="42" t="inlineStr">
        <is>
          <t>防犯建物部品欄の30mil構成を規格呼称へ直接突合。</t>
        </is>
      </c>
    </row>
    <row r="10">
      <c r="A10" s="42" t="inlineStr">
        <is>
          <t>SZ-SL-000009</t>
        </is>
      </c>
      <c r="B10" s="42" t="inlineStr">
        <is>
          <t>WT-SL-HIKICHIGAI</t>
        </is>
      </c>
      <c r="C10" s="42" t="inlineStr">
        <is>
          <t>単体引違い窓</t>
        </is>
      </c>
      <c r="D10" s="42" t="str"/>
      <c r="E10" s="42" t="inlineStr">
        <is>
          <t>07403</t>
        </is>
      </c>
      <c r="F10" s="42" t="inlineStr">
        <is>
          <t>780</t>
        </is>
      </c>
      <c r="G10" s="42" t="inlineStr">
        <is>
          <t>370</t>
        </is>
      </c>
      <c r="H10" s="42" t="inlineStr">
        <is>
          <t>True</t>
        </is>
      </c>
      <c r="I10" s="42" t="inlineStr">
        <is>
          <t>ALLOWED</t>
        </is>
      </c>
      <c r="J10" s="42" t="inlineStr">
        <is>
          <t>DIRECT_OFFICIAL_STANDARD_ROW</t>
        </is>
      </c>
      <c r="K10" s="42" t="inlineStr">
        <is>
          <t>SDC0003156</t>
        </is>
      </c>
      <c r="L10" s="42" t="inlineStr">
        <is>
          <t>マド2枚建 (201910～)</t>
        </is>
      </c>
      <c r="M10" s="42" t="inlineStr">
        <is>
          <t>17</t>
        </is>
      </c>
      <c r="N10" s="42" t="inlineStr">
        <is>
          <t>07403</t>
        </is>
      </c>
      <c r="O10" s="42" t="inlineStr">
        <is>
          <t>防犯建物部品欄の30mil構成を規格呼称へ直接突合。</t>
        </is>
      </c>
    </row>
    <row r="11">
      <c r="A11" s="42" t="inlineStr">
        <is>
          <t>SZ-SL-000010</t>
        </is>
      </c>
      <c r="B11" s="42" t="inlineStr">
        <is>
          <t>WT-SL-HIKICHIGAI</t>
        </is>
      </c>
      <c r="C11" s="42" t="inlineStr">
        <is>
          <t>単体引違い窓</t>
        </is>
      </c>
      <c r="D11" s="42" t="str"/>
      <c r="E11" s="42" t="inlineStr">
        <is>
          <t>07405</t>
        </is>
      </c>
      <c r="F11" s="42" t="inlineStr">
        <is>
          <t>780</t>
        </is>
      </c>
      <c r="G11" s="42" t="inlineStr">
        <is>
          <t>570</t>
        </is>
      </c>
      <c r="H11" s="42" t="inlineStr">
        <is>
          <t>True</t>
        </is>
      </c>
      <c r="I11" s="42" t="inlineStr">
        <is>
          <t>ALLOWED</t>
        </is>
      </c>
      <c r="J11" s="42" t="inlineStr">
        <is>
          <t>DIRECT_OFFICIAL_STANDARD_ROW</t>
        </is>
      </c>
      <c r="K11" s="42" t="inlineStr">
        <is>
          <t>SDC0003156</t>
        </is>
      </c>
      <c r="L11" s="42" t="inlineStr">
        <is>
          <t>マド2枚建 (201910～)</t>
        </is>
      </c>
      <c r="M11" s="42" t="inlineStr">
        <is>
          <t>18</t>
        </is>
      </c>
      <c r="N11" s="42" t="inlineStr">
        <is>
          <t>07405</t>
        </is>
      </c>
      <c r="O11" s="42" t="inlineStr">
        <is>
          <t>防犯建物部品欄の30mil構成を規格呼称へ直接突合。</t>
        </is>
      </c>
    </row>
    <row r="12">
      <c r="A12" s="42" t="inlineStr">
        <is>
          <t>SZ-SL-000011</t>
        </is>
      </c>
      <c r="B12" s="42" t="inlineStr">
        <is>
          <t>WT-SL-HIKICHIGAI</t>
        </is>
      </c>
      <c r="C12" s="42" t="inlineStr">
        <is>
          <t>単体引違い窓</t>
        </is>
      </c>
      <c r="D12" s="42" t="str"/>
      <c r="E12" s="42" t="inlineStr">
        <is>
          <t>07407</t>
        </is>
      </c>
      <c r="F12" s="42" t="inlineStr">
        <is>
          <t>780</t>
        </is>
      </c>
      <c r="G12" s="42" t="inlineStr">
        <is>
          <t>770</t>
        </is>
      </c>
      <c r="H12" s="42" t="inlineStr">
        <is>
          <t>True</t>
        </is>
      </c>
      <c r="I12" s="42" t="inlineStr">
        <is>
          <t>ALLOWED</t>
        </is>
      </c>
      <c r="J12" s="42" t="inlineStr">
        <is>
          <t>DIRECT_OFFICIAL_STANDARD_ROW</t>
        </is>
      </c>
      <c r="K12" s="42" t="inlineStr">
        <is>
          <t>SDC0003156</t>
        </is>
      </c>
      <c r="L12" s="42" t="inlineStr">
        <is>
          <t>マド2枚建 (201910～)</t>
        </is>
      </c>
      <c r="M12" s="42" t="inlineStr">
        <is>
          <t>19</t>
        </is>
      </c>
      <c r="N12" s="42" t="inlineStr">
        <is>
          <t>07407</t>
        </is>
      </c>
      <c r="O12" s="42" t="inlineStr">
        <is>
          <t>防犯建物部品欄の30mil構成を規格呼称へ直接突合。</t>
        </is>
      </c>
    </row>
    <row r="13">
      <c r="A13" s="42" t="inlineStr">
        <is>
          <t>SZ-SL-000012</t>
        </is>
      </c>
      <c r="B13" s="42" t="inlineStr">
        <is>
          <t>WT-SL-HIKICHIGAI</t>
        </is>
      </c>
      <c r="C13" s="42" t="inlineStr">
        <is>
          <t>単体引違い窓</t>
        </is>
      </c>
      <c r="D13" s="42" t="str"/>
      <c r="E13" s="42" t="inlineStr">
        <is>
          <t>07409</t>
        </is>
      </c>
      <c r="F13" s="42" t="inlineStr">
        <is>
          <t>780</t>
        </is>
      </c>
      <c r="G13" s="42" t="inlineStr">
        <is>
          <t>970</t>
        </is>
      </c>
      <c r="H13" s="42" t="inlineStr">
        <is>
          <t>True</t>
        </is>
      </c>
      <c r="I13" s="42" t="inlineStr">
        <is>
          <t>ALLOWED</t>
        </is>
      </c>
      <c r="J13" s="42" t="inlineStr">
        <is>
          <t>DIRECT_OFFICIAL_STANDARD_ROW</t>
        </is>
      </c>
      <c r="K13" s="42" t="inlineStr">
        <is>
          <t>SDC0003156</t>
        </is>
      </c>
      <c r="L13" s="42" t="inlineStr">
        <is>
          <t>マド2枚建 (201910～)</t>
        </is>
      </c>
      <c r="M13" s="42" t="inlineStr">
        <is>
          <t>20</t>
        </is>
      </c>
      <c r="N13" s="42" t="inlineStr">
        <is>
          <t>07409</t>
        </is>
      </c>
      <c r="O13" s="42" t="inlineStr">
        <is>
          <t>防犯建物部品欄の30mil構成を規格呼称へ直接突合。</t>
        </is>
      </c>
    </row>
    <row r="14">
      <c r="A14" s="42" t="inlineStr">
        <is>
          <t>SZ-SL-000013</t>
        </is>
      </c>
      <c r="B14" s="42" t="inlineStr">
        <is>
          <t>WT-SL-HIKICHIGAI</t>
        </is>
      </c>
      <c r="C14" s="42" t="inlineStr">
        <is>
          <t>単体引違い窓</t>
        </is>
      </c>
      <c r="D14" s="42" t="str"/>
      <c r="E14" s="42" t="inlineStr">
        <is>
          <t>07805</t>
        </is>
      </c>
      <c r="F14" s="42" t="inlineStr">
        <is>
          <t>820</t>
        </is>
      </c>
      <c r="G14" s="42" t="inlineStr">
        <is>
          <t>570</t>
        </is>
      </c>
      <c r="H14" s="42" t="inlineStr">
        <is>
          <t>True</t>
        </is>
      </c>
      <c r="I14" s="42" t="inlineStr">
        <is>
          <t>ALLOWED</t>
        </is>
      </c>
      <c r="J14" s="42" t="inlineStr">
        <is>
          <t>DIRECT_OFFICIAL_STANDARD_ROW</t>
        </is>
      </c>
      <c r="K14" s="42" t="inlineStr">
        <is>
          <t>SDC0003156</t>
        </is>
      </c>
      <c r="L14" s="42" t="inlineStr">
        <is>
          <t>マド2枚建 (201910～)</t>
        </is>
      </c>
      <c r="M14" s="42" t="inlineStr">
        <is>
          <t>22</t>
        </is>
      </c>
      <c r="N14" s="42" t="inlineStr">
        <is>
          <t>07805</t>
        </is>
      </c>
      <c r="O14" s="42" t="inlineStr">
        <is>
          <t>防犯建物部品欄の30mil構成を規格呼称へ直接突合。</t>
        </is>
      </c>
    </row>
    <row r="15">
      <c r="A15" s="42" t="inlineStr">
        <is>
          <t>SZ-SL-000014</t>
        </is>
      </c>
      <c r="B15" s="42" t="inlineStr">
        <is>
          <t>WT-SL-HIKICHIGAI</t>
        </is>
      </c>
      <c r="C15" s="42" t="inlineStr">
        <is>
          <t>単体引違い窓</t>
        </is>
      </c>
      <c r="D15" s="42" t="str"/>
      <c r="E15" s="42" t="inlineStr">
        <is>
          <t>07807</t>
        </is>
      </c>
      <c r="F15" s="42" t="inlineStr">
        <is>
          <t>820</t>
        </is>
      </c>
      <c r="G15" s="42" t="inlineStr">
        <is>
          <t>770</t>
        </is>
      </c>
      <c r="H15" s="42" t="inlineStr">
        <is>
          <t>True</t>
        </is>
      </c>
      <c r="I15" s="42" t="inlineStr">
        <is>
          <t>ALLOWED</t>
        </is>
      </c>
      <c r="J15" s="42" t="inlineStr">
        <is>
          <t>DIRECT_OFFICIAL_STANDARD_ROW</t>
        </is>
      </c>
      <c r="K15" s="42" t="inlineStr">
        <is>
          <t>SDC0003156</t>
        </is>
      </c>
      <c r="L15" s="42" t="inlineStr">
        <is>
          <t>マド2枚建 (201910～)</t>
        </is>
      </c>
      <c r="M15" s="42" t="inlineStr">
        <is>
          <t>23</t>
        </is>
      </c>
      <c r="N15" s="42" t="inlineStr">
        <is>
          <t>07807</t>
        </is>
      </c>
      <c r="O15" s="42" t="inlineStr">
        <is>
          <t>防犯建物部品欄の30mil構成を規格呼称へ直接突合。</t>
        </is>
      </c>
    </row>
    <row r="16">
      <c r="A16" s="42" t="inlineStr">
        <is>
          <t>SZ-SL-000015</t>
        </is>
      </c>
      <c r="B16" s="42" t="inlineStr">
        <is>
          <t>WT-SL-HIKICHIGAI</t>
        </is>
      </c>
      <c r="C16" s="42" t="inlineStr">
        <is>
          <t>単体引違い窓</t>
        </is>
      </c>
      <c r="D16" s="42" t="str"/>
      <c r="E16" s="42" t="inlineStr">
        <is>
          <t>07809</t>
        </is>
      </c>
      <c r="F16" s="42" t="inlineStr">
        <is>
          <t>820</t>
        </is>
      </c>
      <c r="G16" s="42" t="inlineStr">
        <is>
          <t>970</t>
        </is>
      </c>
      <c r="H16" s="42" t="inlineStr">
        <is>
          <t>True</t>
        </is>
      </c>
      <c r="I16" s="42" t="inlineStr">
        <is>
          <t>ALLOWED</t>
        </is>
      </c>
      <c r="J16" s="42" t="inlineStr">
        <is>
          <t>DIRECT_OFFICIAL_STANDARD_ROW</t>
        </is>
      </c>
      <c r="K16" s="42" t="inlineStr">
        <is>
          <t>SDC0003156</t>
        </is>
      </c>
      <c r="L16" s="42" t="inlineStr">
        <is>
          <t>マド2枚建 (201910～)</t>
        </is>
      </c>
      <c r="M16" s="42" t="inlineStr">
        <is>
          <t>24</t>
        </is>
      </c>
      <c r="N16" s="42" t="inlineStr">
        <is>
          <t>07809</t>
        </is>
      </c>
      <c r="O16" s="42" t="inlineStr">
        <is>
          <t>防犯建物部品欄の30mil構成を規格呼称へ直接突合。</t>
        </is>
      </c>
    </row>
    <row r="17">
      <c r="A17" s="42" t="inlineStr">
        <is>
          <t>SZ-SL-000016</t>
        </is>
      </c>
      <c r="B17" s="42" t="inlineStr">
        <is>
          <t>WT-SL-HIKICHIGAI</t>
        </is>
      </c>
      <c r="C17" s="42" t="inlineStr">
        <is>
          <t>単体引違い窓</t>
        </is>
      </c>
      <c r="D17" s="42" t="str"/>
      <c r="E17" s="42" t="inlineStr">
        <is>
          <t>08005</t>
        </is>
      </c>
      <c r="F17" s="42" t="inlineStr">
        <is>
          <t>845</t>
        </is>
      </c>
      <c r="G17" s="42" t="inlineStr">
        <is>
          <t>570</t>
        </is>
      </c>
      <c r="H17" s="42" t="inlineStr">
        <is>
          <t>True</t>
        </is>
      </c>
      <c r="I17" s="42" t="inlineStr">
        <is>
          <t>ALLOWED</t>
        </is>
      </c>
      <c r="J17" s="42" t="inlineStr">
        <is>
          <t>DIRECT_OFFICIAL_STANDARD_ROW</t>
        </is>
      </c>
      <c r="K17" s="42" t="inlineStr">
        <is>
          <t>SDC0003156</t>
        </is>
      </c>
      <c r="L17" s="42" t="inlineStr">
        <is>
          <t>マド2枚建 (201910～)</t>
        </is>
      </c>
      <c r="M17" s="42" t="inlineStr">
        <is>
          <t>25</t>
        </is>
      </c>
      <c r="N17" s="42" t="inlineStr">
        <is>
          <t>08005</t>
        </is>
      </c>
      <c r="O17" s="42" t="inlineStr">
        <is>
          <t>防犯建物部品欄の30mil構成を規格呼称へ直接突合。</t>
        </is>
      </c>
    </row>
    <row r="18">
      <c r="A18" s="42" t="inlineStr">
        <is>
          <t>SZ-SL-000017</t>
        </is>
      </c>
      <c r="B18" s="42" t="inlineStr">
        <is>
          <t>WT-SL-HIKICHIGAI</t>
        </is>
      </c>
      <c r="C18" s="42" t="inlineStr">
        <is>
          <t>単体引違い窓</t>
        </is>
      </c>
      <c r="D18" s="42" t="str"/>
      <c r="E18" s="42" t="inlineStr">
        <is>
          <t>08007</t>
        </is>
      </c>
      <c r="F18" s="42" t="inlineStr">
        <is>
          <t>845</t>
        </is>
      </c>
      <c r="G18" s="42" t="inlineStr">
        <is>
          <t>770</t>
        </is>
      </c>
      <c r="H18" s="42" t="inlineStr">
        <is>
          <t>True</t>
        </is>
      </c>
      <c r="I18" s="42" t="inlineStr">
        <is>
          <t>ALLOWED</t>
        </is>
      </c>
      <c r="J18" s="42" t="inlineStr">
        <is>
          <t>DIRECT_OFFICIAL_STANDARD_ROW</t>
        </is>
      </c>
      <c r="K18" s="42" t="inlineStr">
        <is>
          <t>SDC0003156</t>
        </is>
      </c>
      <c r="L18" s="42" t="inlineStr">
        <is>
          <t>マド2枚建 (201910～)</t>
        </is>
      </c>
      <c r="M18" s="42" t="inlineStr">
        <is>
          <t>26</t>
        </is>
      </c>
      <c r="N18" s="42" t="inlineStr">
        <is>
          <t>08007</t>
        </is>
      </c>
      <c r="O18" s="42" t="inlineStr">
        <is>
          <t>防犯建物部品欄の30mil構成を規格呼称へ直接突合。</t>
        </is>
      </c>
    </row>
    <row r="19">
      <c r="A19" s="42" t="inlineStr">
        <is>
          <t>SZ-SL-000018</t>
        </is>
      </c>
      <c r="B19" s="42" t="inlineStr">
        <is>
          <t>WT-SL-HIKICHIGAI</t>
        </is>
      </c>
      <c r="C19" s="42" t="inlineStr">
        <is>
          <t>単体引違い窓</t>
        </is>
      </c>
      <c r="D19" s="42" t="str"/>
      <c r="E19" s="42" t="inlineStr">
        <is>
          <t>08009</t>
        </is>
      </c>
      <c r="F19" s="42" t="inlineStr">
        <is>
          <t>845</t>
        </is>
      </c>
      <c r="G19" s="42" t="inlineStr">
        <is>
          <t>970</t>
        </is>
      </c>
      <c r="H19" s="42" t="inlineStr">
        <is>
          <t>True</t>
        </is>
      </c>
      <c r="I19" s="42" t="inlineStr">
        <is>
          <t>ALLOWED</t>
        </is>
      </c>
      <c r="J19" s="42" t="inlineStr">
        <is>
          <t>DIRECT_OFFICIAL_STANDARD_ROW</t>
        </is>
      </c>
      <c r="K19" s="42" t="inlineStr">
        <is>
          <t>SDC0003156</t>
        </is>
      </c>
      <c r="L19" s="42" t="inlineStr">
        <is>
          <t>マド2枚建 (201910～)</t>
        </is>
      </c>
      <c r="M19" s="42" t="inlineStr">
        <is>
          <t>27</t>
        </is>
      </c>
      <c r="N19" s="42" t="inlineStr">
        <is>
          <t>08009</t>
        </is>
      </c>
      <c r="O19" s="42" t="inlineStr">
        <is>
          <t>防犯建物部品欄の30mil構成を規格呼称へ直接突合。</t>
        </is>
      </c>
    </row>
    <row r="20">
      <c r="A20" s="42" t="inlineStr">
        <is>
          <t>SZ-SL-000019</t>
        </is>
      </c>
      <c r="B20" s="42" t="inlineStr">
        <is>
          <t>WT-SL-HIKICHIGAI</t>
        </is>
      </c>
      <c r="C20" s="42" t="inlineStr">
        <is>
          <t>単体引違い窓</t>
        </is>
      </c>
      <c r="D20" s="42" t="str"/>
      <c r="E20" s="42" t="inlineStr">
        <is>
          <t>08305</t>
        </is>
      </c>
      <c r="F20" s="42" t="inlineStr">
        <is>
          <t>870</t>
        </is>
      </c>
      <c r="G20" s="42" t="inlineStr">
        <is>
          <t>570</t>
        </is>
      </c>
      <c r="H20" s="42" t="inlineStr">
        <is>
          <t>True</t>
        </is>
      </c>
      <c r="I20" s="42" t="inlineStr">
        <is>
          <t>ALLOWED</t>
        </is>
      </c>
      <c r="J20" s="42" t="inlineStr">
        <is>
          <t>DIRECT_OFFICIAL_STANDARD_ROW</t>
        </is>
      </c>
      <c r="K20" s="42" t="inlineStr">
        <is>
          <t>SDC0003156</t>
        </is>
      </c>
      <c r="L20" s="42" t="inlineStr">
        <is>
          <t>マド2枚建 (201910～)</t>
        </is>
      </c>
      <c r="M20" s="42" t="inlineStr">
        <is>
          <t>28</t>
        </is>
      </c>
      <c r="N20" s="42" t="inlineStr">
        <is>
          <t>08305</t>
        </is>
      </c>
      <c r="O20" s="42" t="inlineStr">
        <is>
          <t>防犯建物部品欄の30mil構成を規格呼称へ直接突合。</t>
        </is>
      </c>
    </row>
    <row r="21">
      <c r="A21" s="42" t="inlineStr">
        <is>
          <t>SZ-SL-000020</t>
        </is>
      </c>
      <c r="B21" s="42" t="inlineStr">
        <is>
          <t>WT-SL-HIKICHIGAI</t>
        </is>
      </c>
      <c r="C21" s="42" t="inlineStr">
        <is>
          <t>単体引違い窓</t>
        </is>
      </c>
      <c r="D21" s="42" t="str"/>
      <c r="E21" s="42" t="inlineStr">
        <is>
          <t>08307</t>
        </is>
      </c>
      <c r="F21" s="42" t="inlineStr">
        <is>
          <t>870</t>
        </is>
      </c>
      <c r="G21" s="42" t="inlineStr">
        <is>
          <t>770</t>
        </is>
      </c>
      <c r="H21" s="42" t="inlineStr">
        <is>
          <t>True</t>
        </is>
      </c>
      <c r="I21" s="42" t="inlineStr">
        <is>
          <t>ALLOWED</t>
        </is>
      </c>
      <c r="J21" s="42" t="inlineStr">
        <is>
          <t>DIRECT_OFFICIAL_STANDARD_ROW</t>
        </is>
      </c>
      <c r="K21" s="42" t="inlineStr">
        <is>
          <t>SDC0003156</t>
        </is>
      </c>
      <c r="L21" s="42" t="inlineStr">
        <is>
          <t>マド2枚建 (201910～)</t>
        </is>
      </c>
      <c r="M21" s="42" t="inlineStr">
        <is>
          <t>29</t>
        </is>
      </c>
      <c r="N21" s="42" t="inlineStr">
        <is>
          <t>08307</t>
        </is>
      </c>
      <c r="O21" s="42" t="inlineStr">
        <is>
          <t>防犯建物部品欄の30mil構成を規格呼称へ直接突合。</t>
        </is>
      </c>
    </row>
    <row r="22">
      <c r="A22" s="42" t="inlineStr">
        <is>
          <t>SZ-SL-000021</t>
        </is>
      </c>
      <c r="B22" s="42" t="inlineStr">
        <is>
          <t>WT-SL-HIKICHIGAI</t>
        </is>
      </c>
      <c r="C22" s="42" t="inlineStr">
        <is>
          <t>単体引違い窓</t>
        </is>
      </c>
      <c r="D22" s="42" t="str"/>
      <c r="E22" s="42" t="inlineStr">
        <is>
          <t>08309</t>
        </is>
      </c>
      <c r="F22" s="42" t="inlineStr">
        <is>
          <t>870</t>
        </is>
      </c>
      <c r="G22" s="42" t="inlineStr">
        <is>
          <t>970</t>
        </is>
      </c>
      <c r="H22" s="42" t="inlineStr">
        <is>
          <t>True</t>
        </is>
      </c>
      <c r="I22" s="42" t="inlineStr">
        <is>
          <t>ALLOWED</t>
        </is>
      </c>
      <c r="J22" s="42" t="inlineStr">
        <is>
          <t>DIRECT_OFFICIAL_STANDARD_ROW</t>
        </is>
      </c>
      <c r="K22" s="42" t="inlineStr">
        <is>
          <t>SDC0003156</t>
        </is>
      </c>
      <c r="L22" s="42" t="inlineStr">
        <is>
          <t>マド2枚建 (201910～)</t>
        </is>
      </c>
      <c r="M22" s="42" t="inlineStr">
        <is>
          <t>30</t>
        </is>
      </c>
      <c r="N22" s="42" t="inlineStr">
        <is>
          <t>08309</t>
        </is>
      </c>
      <c r="O22" s="42" t="inlineStr">
        <is>
          <t>防犯建物部品欄の30mil構成を規格呼称へ直接突合。</t>
        </is>
      </c>
    </row>
    <row r="23">
      <c r="A23" s="42" t="inlineStr">
        <is>
          <t>SZ-SL-000022</t>
        </is>
      </c>
      <c r="B23" s="42" t="inlineStr">
        <is>
          <t>WT-SL-HIKICHIGAI</t>
        </is>
      </c>
      <c r="C23" s="42" t="inlineStr">
        <is>
          <t>単体引違い窓</t>
        </is>
      </c>
      <c r="D23" s="42" t="str"/>
      <c r="E23" s="42" t="inlineStr">
        <is>
          <t>11405</t>
        </is>
      </c>
      <c r="F23" s="42" t="inlineStr">
        <is>
          <t>1185</t>
        </is>
      </c>
      <c r="G23" s="42" t="inlineStr">
        <is>
          <t>570</t>
        </is>
      </c>
      <c r="H23" s="42" t="inlineStr">
        <is>
          <t>True</t>
        </is>
      </c>
      <c r="I23" s="42" t="inlineStr">
        <is>
          <t>ALLOWED</t>
        </is>
      </c>
      <c r="J23" s="42" t="inlineStr">
        <is>
          <t>DIRECT_OFFICIAL_STANDARD_ROW</t>
        </is>
      </c>
      <c r="K23" s="42" t="inlineStr">
        <is>
          <t>SDC0003156</t>
        </is>
      </c>
      <c r="L23" s="42" t="inlineStr">
        <is>
          <t>マド2枚建 (201910～)</t>
        </is>
      </c>
      <c r="M23" s="42" t="inlineStr">
        <is>
          <t>32</t>
        </is>
      </c>
      <c r="N23" s="42" t="inlineStr">
        <is>
          <t>11405</t>
        </is>
      </c>
      <c r="O23" s="42" t="inlineStr">
        <is>
          <t>防犯建物部品欄の30mil構成を規格呼称へ直接突合。</t>
        </is>
      </c>
    </row>
    <row r="24">
      <c r="A24" s="42" t="inlineStr">
        <is>
          <t>SZ-SL-000023</t>
        </is>
      </c>
      <c r="B24" s="42" t="inlineStr">
        <is>
          <t>WT-SL-HIKICHIGAI</t>
        </is>
      </c>
      <c r="C24" s="42" t="inlineStr">
        <is>
          <t>単体引違い窓</t>
        </is>
      </c>
      <c r="D24" s="42" t="str"/>
      <c r="E24" s="42" t="inlineStr">
        <is>
          <t>11407</t>
        </is>
      </c>
      <c r="F24" s="42" t="inlineStr">
        <is>
          <t>1185</t>
        </is>
      </c>
      <c r="G24" s="42" t="inlineStr">
        <is>
          <t>770</t>
        </is>
      </c>
      <c r="H24" s="42" t="inlineStr">
        <is>
          <t>True</t>
        </is>
      </c>
      <c r="I24" s="42" t="inlineStr">
        <is>
          <t>ALLOWED</t>
        </is>
      </c>
      <c r="J24" s="42" t="inlineStr">
        <is>
          <t>DIRECT_OFFICIAL_STANDARD_ROW</t>
        </is>
      </c>
      <c r="K24" s="42" t="inlineStr">
        <is>
          <t>SDC0003156</t>
        </is>
      </c>
      <c r="L24" s="42" t="inlineStr">
        <is>
          <t>マド2枚建 (201910～)</t>
        </is>
      </c>
      <c r="M24" s="42" t="inlineStr">
        <is>
          <t>33</t>
        </is>
      </c>
      <c r="N24" s="42" t="inlineStr">
        <is>
          <t>11407</t>
        </is>
      </c>
      <c r="O24" s="42" t="inlineStr">
        <is>
          <t>防犯建物部品欄の30mil構成を規格呼称へ直接突合。</t>
        </is>
      </c>
    </row>
    <row r="25">
      <c r="A25" s="42" t="inlineStr">
        <is>
          <t>SZ-SL-000024</t>
        </is>
      </c>
      <c r="B25" s="42" t="inlineStr">
        <is>
          <t>WT-SL-HIKICHIGAI</t>
        </is>
      </c>
      <c r="C25" s="42" t="inlineStr">
        <is>
          <t>単体引違い窓</t>
        </is>
      </c>
      <c r="D25" s="42" t="str"/>
      <c r="E25" s="42" t="inlineStr">
        <is>
          <t>11409</t>
        </is>
      </c>
      <c r="F25" s="42" t="inlineStr">
        <is>
          <t>1185</t>
        </is>
      </c>
      <c r="G25" s="42" t="inlineStr">
        <is>
          <t>970</t>
        </is>
      </c>
      <c r="H25" s="42" t="inlineStr">
        <is>
          <t>True</t>
        </is>
      </c>
      <c r="I25" s="42" t="inlineStr">
        <is>
          <t>ALLOWED</t>
        </is>
      </c>
      <c r="J25" s="42" t="inlineStr">
        <is>
          <t>DIRECT_OFFICIAL_STANDARD_ROW</t>
        </is>
      </c>
      <c r="K25" s="42" t="inlineStr">
        <is>
          <t>SDC0003156</t>
        </is>
      </c>
      <c r="L25" s="42" t="inlineStr">
        <is>
          <t>マド2枚建 (201910～)</t>
        </is>
      </c>
      <c r="M25" s="42" t="inlineStr">
        <is>
          <t>34</t>
        </is>
      </c>
      <c r="N25" s="42" t="inlineStr">
        <is>
          <t>11409</t>
        </is>
      </c>
      <c r="O25" s="42" t="inlineStr">
        <is>
          <t>防犯建物部品欄の30mil構成を規格呼称へ直接突合。</t>
        </is>
      </c>
    </row>
    <row r="26">
      <c r="A26" s="42" t="inlineStr">
        <is>
          <t>SZ-SL-000025</t>
        </is>
      </c>
      <c r="B26" s="42" t="inlineStr">
        <is>
          <t>WT-SL-HIKICHIGAI</t>
        </is>
      </c>
      <c r="C26" s="42" t="inlineStr">
        <is>
          <t>単体引違い窓</t>
        </is>
      </c>
      <c r="D26" s="42" t="str"/>
      <c r="E26" s="42" t="inlineStr">
        <is>
          <t>11903</t>
        </is>
      </c>
      <c r="F26" s="42" t="inlineStr">
        <is>
          <t>1235</t>
        </is>
      </c>
      <c r="G26" s="42" t="inlineStr">
        <is>
          <t>370</t>
        </is>
      </c>
      <c r="H26" s="42" t="inlineStr">
        <is>
          <t>True</t>
        </is>
      </c>
      <c r="I26" s="42" t="inlineStr">
        <is>
          <t>ALLOWED</t>
        </is>
      </c>
      <c r="J26" s="42" t="inlineStr">
        <is>
          <t>DIRECT_OFFICIAL_STANDARD_ROW</t>
        </is>
      </c>
      <c r="K26" s="42" t="inlineStr">
        <is>
          <t>SDC0003156</t>
        </is>
      </c>
      <c r="L26" s="42" t="inlineStr">
        <is>
          <t>マド2枚建 (201910～)</t>
        </is>
      </c>
      <c r="M26" s="42" t="inlineStr">
        <is>
          <t>37</t>
        </is>
      </c>
      <c r="N26" s="42" t="inlineStr">
        <is>
          <t>11903</t>
        </is>
      </c>
      <c r="O26" s="42" t="inlineStr">
        <is>
          <t>防犯建物部品欄の30mil構成を規格呼称へ直接突合。</t>
        </is>
      </c>
    </row>
    <row r="27">
      <c r="A27" s="42" t="inlineStr">
        <is>
          <t>SZ-SL-000026</t>
        </is>
      </c>
      <c r="B27" s="42" t="inlineStr">
        <is>
          <t>WT-SL-HIKICHIGAI</t>
        </is>
      </c>
      <c r="C27" s="42" t="inlineStr">
        <is>
          <t>単体引違い窓</t>
        </is>
      </c>
      <c r="D27" s="42" t="str"/>
      <c r="E27" s="42" t="inlineStr">
        <is>
          <t>11905</t>
        </is>
      </c>
      <c r="F27" s="42" t="inlineStr">
        <is>
          <t>1235</t>
        </is>
      </c>
      <c r="G27" s="42" t="inlineStr">
        <is>
          <t>570</t>
        </is>
      </c>
      <c r="H27" s="42" t="inlineStr">
        <is>
          <t>True</t>
        </is>
      </c>
      <c r="I27" s="42" t="inlineStr">
        <is>
          <t>ALLOWED</t>
        </is>
      </c>
      <c r="J27" s="42" t="inlineStr">
        <is>
          <t>DIRECT_OFFICIAL_STANDARD_ROW</t>
        </is>
      </c>
      <c r="K27" s="42" t="inlineStr">
        <is>
          <t>SDC0003156</t>
        </is>
      </c>
      <c r="L27" s="42" t="inlineStr">
        <is>
          <t>マド2枚建 (201910～)</t>
        </is>
      </c>
      <c r="M27" s="42" t="inlineStr">
        <is>
          <t>38</t>
        </is>
      </c>
      <c r="N27" s="42" t="inlineStr">
        <is>
          <t>11905</t>
        </is>
      </c>
      <c r="O27" s="42" t="inlineStr">
        <is>
          <t>防犯建物部品欄の30mil構成を規格呼称へ直接突合。</t>
        </is>
      </c>
    </row>
    <row r="28">
      <c r="A28" s="42" t="inlineStr">
        <is>
          <t>SZ-SL-000027</t>
        </is>
      </c>
      <c r="B28" s="42" t="inlineStr">
        <is>
          <t>WT-SL-HIKICHIGAI</t>
        </is>
      </c>
      <c r="C28" s="42" t="inlineStr">
        <is>
          <t>単体引違い窓</t>
        </is>
      </c>
      <c r="D28" s="42" t="str"/>
      <c r="E28" s="42" t="inlineStr">
        <is>
          <t>11907</t>
        </is>
      </c>
      <c r="F28" s="42" t="inlineStr">
        <is>
          <t>1235</t>
        </is>
      </c>
      <c r="G28" s="42" t="inlineStr">
        <is>
          <t>770</t>
        </is>
      </c>
      <c r="H28" s="42" t="inlineStr">
        <is>
          <t>True</t>
        </is>
      </c>
      <c r="I28" s="42" t="inlineStr">
        <is>
          <t>ALLOWED</t>
        </is>
      </c>
      <c r="J28" s="42" t="inlineStr">
        <is>
          <t>DIRECT_OFFICIAL_STANDARD_ROW</t>
        </is>
      </c>
      <c r="K28" s="42" t="inlineStr">
        <is>
          <t>SDC0003156</t>
        </is>
      </c>
      <c r="L28" s="42" t="inlineStr">
        <is>
          <t>マド2枚建 (201910～)</t>
        </is>
      </c>
      <c r="M28" s="42" t="inlineStr">
        <is>
          <t>39</t>
        </is>
      </c>
      <c r="N28" s="42" t="inlineStr">
        <is>
          <t>11907</t>
        </is>
      </c>
      <c r="O28" s="42" t="inlineStr">
        <is>
          <t>防犯建物部品欄の30mil構成を規格呼称へ直接突合。</t>
        </is>
      </c>
    </row>
    <row r="29">
      <c r="A29" s="42" t="inlineStr">
        <is>
          <t>SZ-SL-000028</t>
        </is>
      </c>
      <c r="B29" s="42" t="inlineStr">
        <is>
          <t>WT-SL-HIKICHIGAI</t>
        </is>
      </c>
      <c r="C29" s="42" t="inlineStr">
        <is>
          <t>単体引違い窓</t>
        </is>
      </c>
      <c r="D29" s="42" t="str"/>
      <c r="E29" s="42" t="inlineStr">
        <is>
          <t>11909</t>
        </is>
      </c>
      <c r="F29" s="42" t="inlineStr">
        <is>
          <t>1235</t>
        </is>
      </c>
      <c r="G29" s="42" t="inlineStr">
        <is>
          <t>970</t>
        </is>
      </c>
      <c r="H29" s="42" t="inlineStr">
        <is>
          <t>True</t>
        </is>
      </c>
      <c r="I29" s="42" t="inlineStr">
        <is>
          <t>ALLOWED</t>
        </is>
      </c>
      <c r="J29" s="42" t="inlineStr">
        <is>
          <t>DIRECT_OFFICIAL_STANDARD_ROW</t>
        </is>
      </c>
      <c r="K29" s="42" t="inlineStr">
        <is>
          <t>SDC0003156</t>
        </is>
      </c>
      <c r="L29" s="42" t="inlineStr">
        <is>
          <t>マド2枚建 (201910～)</t>
        </is>
      </c>
      <c r="M29" s="42" t="inlineStr">
        <is>
          <t>40</t>
        </is>
      </c>
      <c r="N29" s="42" t="inlineStr">
        <is>
          <t>11909</t>
        </is>
      </c>
      <c r="O29" s="42" t="inlineStr">
        <is>
          <t>防犯建物部品欄の30mil構成を規格呼称へ直接突合。</t>
        </is>
      </c>
    </row>
    <row r="30">
      <c r="A30" s="42" t="inlineStr">
        <is>
          <t>SZ-SL-000029</t>
        </is>
      </c>
      <c r="B30" s="42" t="inlineStr">
        <is>
          <t>WT-SL-HIKICHIGAI</t>
        </is>
      </c>
      <c r="C30" s="42" t="inlineStr">
        <is>
          <t>単体引違い窓</t>
        </is>
      </c>
      <c r="D30" s="42" t="str"/>
      <c r="E30" s="42" t="inlineStr">
        <is>
          <t>12805</t>
        </is>
      </c>
      <c r="F30" s="42" t="inlineStr">
        <is>
          <t>1320</t>
        </is>
      </c>
      <c r="G30" s="42" t="inlineStr">
        <is>
          <t>570</t>
        </is>
      </c>
      <c r="H30" s="42" t="inlineStr">
        <is>
          <t>True</t>
        </is>
      </c>
      <c r="I30" s="42" t="inlineStr">
        <is>
          <t>ALLOWED</t>
        </is>
      </c>
      <c r="J30" s="42" t="inlineStr">
        <is>
          <t>DIRECT_OFFICIAL_STANDARD_ROW</t>
        </is>
      </c>
      <c r="K30" s="42" t="inlineStr">
        <is>
          <t>SDC0003156</t>
        </is>
      </c>
      <c r="L30" s="42" t="inlineStr">
        <is>
          <t>マド2枚建 (201910～)</t>
        </is>
      </c>
      <c r="M30" s="42" t="inlineStr">
        <is>
          <t>43</t>
        </is>
      </c>
      <c r="N30" s="42" t="inlineStr">
        <is>
          <t>12805</t>
        </is>
      </c>
      <c r="O30" s="42" t="inlineStr">
        <is>
          <t>防犯建物部品欄の30mil構成を規格呼称へ直接突合。</t>
        </is>
      </c>
    </row>
    <row r="31">
      <c r="A31" s="42" t="inlineStr">
        <is>
          <t>SZ-SL-000030</t>
        </is>
      </c>
      <c r="B31" s="42" t="inlineStr">
        <is>
          <t>WT-SL-HIKICHIGAI</t>
        </is>
      </c>
      <c r="C31" s="42" t="inlineStr">
        <is>
          <t>単体引違い窓</t>
        </is>
      </c>
      <c r="D31" s="42" t="str"/>
      <c r="E31" s="42" t="inlineStr">
        <is>
          <t>12807</t>
        </is>
      </c>
      <c r="F31" s="42" t="inlineStr">
        <is>
          <t>1320</t>
        </is>
      </c>
      <c r="G31" s="42" t="inlineStr">
        <is>
          <t>770</t>
        </is>
      </c>
      <c r="H31" s="42" t="inlineStr">
        <is>
          <t>True</t>
        </is>
      </c>
      <c r="I31" s="42" t="inlineStr">
        <is>
          <t>ALLOWED</t>
        </is>
      </c>
      <c r="J31" s="42" t="inlineStr">
        <is>
          <t>DIRECT_OFFICIAL_STANDARD_ROW</t>
        </is>
      </c>
      <c r="K31" s="42" t="inlineStr">
        <is>
          <t>SDC0003156</t>
        </is>
      </c>
      <c r="L31" s="42" t="inlineStr">
        <is>
          <t>マド2枚建 (201910～)</t>
        </is>
      </c>
      <c r="M31" s="42" t="inlineStr">
        <is>
          <t>44</t>
        </is>
      </c>
      <c r="N31" s="42" t="inlineStr">
        <is>
          <t>12807</t>
        </is>
      </c>
      <c r="O31" s="42" t="inlineStr">
        <is>
          <t>防犯建物部品欄の30mil構成を規格呼称へ直接突合。</t>
        </is>
      </c>
    </row>
    <row r="32">
      <c r="A32" s="42" t="inlineStr">
        <is>
          <t>SZ-SL-000031</t>
        </is>
      </c>
      <c r="B32" s="42" t="inlineStr">
        <is>
          <t>WT-SL-HIKICHIGAI</t>
        </is>
      </c>
      <c r="C32" s="42" t="inlineStr">
        <is>
          <t>単体引違い窓</t>
        </is>
      </c>
      <c r="D32" s="42" t="str"/>
      <c r="E32" s="42" t="inlineStr">
        <is>
          <t>12809</t>
        </is>
      </c>
      <c r="F32" s="42" t="inlineStr">
        <is>
          <t>1320</t>
        </is>
      </c>
      <c r="G32" s="42" t="inlineStr">
        <is>
          <t>970</t>
        </is>
      </c>
      <c r="H32" s="42" t="inlineStr">
        <is>
          <t>True</t>
        </is>
      </c>
      <c r="I32" s="42" t="inlineStr">
        <is>
          <t>ALLOWED</t>
        </is>
      </c>
      <c r="J32" s="42" t="inlineStr">
        <is>
          <t>DIRECT_OFFICIAL_STANDARD_ROW</t>
        </is>
      </c>
      <c r="K32" s="42" t="inlineStr">
        <is>
          <t>SDC0003156</t>
        </is>
      </c>
      <c r="L32" s="42" t="inlineStr">
        <is>
          <t>マド2枚建 (201910～)</t>
        </is>
      </c>
      <c r="M32" s="42" t="inlineStr">
        <is>
          <t>45</t>
        </is>
      </c>
      <c r="N32" s="42" t="inlineStr">
        <is>
          <t>12809</t>
        </is>
      </c>
      <c r="O32" s="42" t="inlineStr">
        <is>
          <t>防犯建物部品欄の30mil構成を規格呼称へ直接突合。</t>
        </is>
      </c>
    </row>
    <row r="33">
      <c r="A33" s="42" t="inlineStr">
        <is>
          <t>SZ-SL-000032</t>
        </is>
      </c>
      <c r="B33" s="42" t="inlineStr">
        <is>
          <t>WT-SL-HIKICHIGAI</t>
        </is>
      </c>
      <c r="C33" s="42" t="inlineStr">
        <is>
          <t>単体引違い窓</t>
        </is>
      </c>
      <c r="D33" s="42" t="str"/>
      <c r="E33" s="42" t="inlineStr">
        <is>
          <t>13305</t>
        </is>
      </c>
      <c r="F33" s="42" t="inlineStr">
        <is>
          <t>1370</t>
        </is>
      </c>
      <c r="G33" s="42" t="inlineStr">
        <is>
          <t>570</t>
        </is>
      </c>
      <c r="H33" s="42" t="inlineStr">
        <is>
          <t>True</t>
        </is>
      </c>
      <c r="I33" s="42" t="inlineStr">
        <is>
          <t>ALLOWED</t>
        </is>
      </c>
      <c r="J33" s="42" t="inlineStr">
        <is>
          <t>DIRECT_OFFICIAL_STANDARD_ROW</t>
        </is>
      </c>
      <c r="K33" s="42" t="inlineStr">
        <is>
          <t>SDC0003156</t>
        </is>
      </c>
      <c r="L33" s="42" t="inlineStr">
        <is>
          <t>マド2枚建 (201910～)</t>
        </is>
      </c>
      <c r="M33" s="42" t="inlineStr">
        <is>
          <t>48</t>
        </is>
      </c>
      <c r="N33" s="42" t="inlineStr">
        <is>
          <t>13305</t>
        </is>
      </c>
      <c r="O33" s="42" t="inlineStr">
        <is>
          <t>防犯建物部品欄の30mil構成を規格呼称へ直接突合。</t>
        </is>
      </c>
    </row>
    <row r="34">
      <c r="A34" s="42" t="inlineStr">
        <is>
          <t>SZ-SL-000033</t>
        </is>
      </c>
      <c r="B34" s="42" t="inlineStr">
        <is>
          <t>WT-SL-HIKICHIGAI</t>
        </is>
      </c>
      <c r="C34" s="42" t="inlineStr">
        <is>
          <t>単体引違い窓</t>
        </is>
      </c>
      <c r="D34" s="42" t="str"/>
      <c r="E34" s="42" t="inlineStr">
        <is>
          <t>13307</t>
        </is>
      </c>
      <c r="F34" s="42" t="inlineStr">
        <is>
          <t>1370</t>
        </is>
      </c>
      <c r="G34" s="42" t="inlineStr">
        <is>
          <t>770</t>
        </is>
      </c>
      <c r="H34" s="42" t="inlineStr">
        <is>
          <t>True</t>
        </is>
      </c>
      <c r="I34" s="42" t="inlineStr">
        <is>
          <t>ALLOWED</t>
        </is>
      </c>
      <c r="J34" s="42" t="inlineStr">
        <is>
          <t>DIRECT_OFFICIAL_STANDARD_ROW</t>
        </is>
      </c>
      <c r="K34" s="42" t="inlineStr">
        <is>
          <t>SDC0003156</t>
        </is>
      </c>
      <c r="L34" s="42" t="inlineStr">
        <is>
          <t>マド2枚建 (201910～)</t>
        </is>
      </c>
      <c r="M34" s="42" t="inlineStr">
        <is>
          <t>49</t>
        </is>
      </c>
      <c r="N34" s="42" t="inlineStr">
        <is>
          <t>13307</t>
        </is>
      </c>
      <c r="O34" s="42" t="inlineStr">
        <is>
          <t>防犯建物部品欄の30mil構成を規格呼称へ直接突合。</t>
        </is>
      </c>
    </row>
    <row r="35">
      <c r="A35" s="42" t="inlineStr">
        <is>
          <t>SZ-SL-000034</t>
        </is>
      </c>
      <c r="B35" s="42" t="inlineStr">
        <is>
          <t>WT-SL-HIKICHIGAI</t>
        </is>
      </c>
      <c r="C35" s="42" t="inlineStr">
        <is>
          <t>単体引違い窓</t>
        </is>
      </c>
      <c r="D35" s="42" t="str"/>
      <c r="E35" s="42" t="inlineStr">
        <is>
          <t>13309</t>
        </is>
      </c>
      <c r="F35" s="42" t="inlineStr">
        <is>
          <t>1370</t>
        </is>
      </c>
      <c r="G35" s="42" t="inlineStr">
        <is>
          <t>970</t>
        </is>
      </c>
      <c r="H35" s="42" t="inlineStr">
        <is>
          <t>True</t>
        </is>
      </c>
      <c r="I35" s="42" t="inlineStr">
        <is>
          <t>ALLOWED</t>
        </is>
      </c>
      <c r="J35" s="42" t="inlineStr">
        <is>
          <t>DIRECT_OFFICIAL_STANDARD_ROW</t>
        </is>
      </c>
      <c r="K35" s="42" t="inlineStr">
        <is>
          <t>SDC0003156</t>
        </is>
      </c>
      <c r="L35" s="42" t="inlineStr">
        <is>
          <t>マド2枚建 (201910～)</t>
        </is>
      </c>
      <c r="M35" s="42" t="inlineStr">
        <is>
          <t>50</t>
        </is>
      </c>
      <c r="N35" s="42" t="inlineStr">
        <is>
          <t>13309</t>
        </is>
      </c>
      <c r="O35" s="42" t="inlineStr">
        <is>
          <t>防犯建物部品欄の30mil構成を規格呼称へ直接突合。</t>
        </is>
      </c>
    </row>
    <row r="36">
      <c r="A36" s="42" t="inlineStr">
        <is>
          <t>SZ-SL-000035</t>
        </is>
      </c>
      <c r="B36" s="42" t="inlineStr">
        <is>
          <t>WT-SL-HIKICHIGAI</t>
        </is>
      </c>
      <c r="C36" s="42" t="inlineStr">
        <is>
          <t>単体引違い窓</t>
        </is>
      </c>
      <c r="D36" s="42" t="str"/>
      <c r="E36" s="42" t="inlineStr">
        <is>
          <t>15005</t>
        </is>
      </c>
      <c r="F36" s="42" t="inlineStr">
        <is>
          <t>1540</t>
        </is>
      </c>
      <c r="G36" s="42" t="inlineStr">
        <is>
          <t>570</t>
        </is>
      </c>
      <c r="H36" s="42" t="inlineStr">
        <is>
          <t>True</t>
        </is>
      </c>
      <c r="I36" s="42" t="inlineStr">
        <is>
          <t>ALLOWED</t>
        </is>
      </c>
      <c r="J36" s="42" t="inlineStr">
        <is>
          <t>DIRECT_OFFICIAL_STANDARD_ROW</t>
        </is>
      </c>
      <c r="K36" s="42" t="inlineStr">
        <is>
          <t>SDC0003156</t>
        </is>
      </c>
      <c r="L36" s="42" t="inlineStr">
        <is>
          <t>マド2枚建 (201910～)</t>
        </is>
      </c>
      <c r="M36" s="42" t="inlineStr">
        <is>
          <t>53</t>
        </is>
      </c>
      <c r="N36" s="42" t="inlineStr">
        <is>
          <t>15005</t>
        </is>
      </c>
      <c r="O36" s="42" t="inlineStr">
        <is>
          <t>防犯建物部品欄の30mil構成を規格呼称へ直接突合。</t>
        </is>
      </c>
    </row>
    <row r="37">
      <c r="A37" s="42" t="inlineStr">
        <is>
          <t>SZ-SL-000036</t>
        </is>
      </c>
      <c r="B37" s="42" t="inlineStr">
        <is>
          <t>WT-SL-HIKICHIGAI</t>
        </is>
      </c>
      <c r="C37" s="42" t="inlineStr">
        <is>
          <t>単体引違い窓</t>
        </is>
      </c>
      <c r="D37" s="42" t="str"/>
      <c r="E37" s="42" t="inlineStr">
        <is>
          <t>15007</t>
        </is>
      </c>
      <c r="F37" s="42" t="inlineStr">
        <is>
          <t>1540</t>
        </is>
      </c>
      <c r="G37" s="42" t="inlineStr">
        <is>
          <t>770</t>
        </is>
      </c>
      <c r="H37" s="42" t="inlineStr">
        <is>
          <t>True</t>
        </is>
      </c>
      <c r="I37" s="42" t="inlineStr">
        <is>
          <t>ALLOWED</t>
        </is>
      </c>
      <c r="J37" s="42" t="inlineStr">
        <is>
          <t>DIRECT_OFFICIAL_STANDARD_ROW</t>
        </is>
      </c>
      <c r="K37" s="42" t="inlineStr">
        <is>
          <t>SDC0003156</t>
        </is>
      </c>
      <c r="L37" s="42" t="inlineStr">
        <is>
          <t>マド2枚建 (201910～)</t>
        </is>
      </c>
      <c r="M37" s="42" t="inlineStr">
        <is>
          <t>54</t>
        </is>
      </c>
      <c r="N37" s="42" t="inlineStr">
        <is>
          <t>15007</t>
        </is>
      </c>
      <c r="O37" s="42" t="inlineStr">
        <is>
          <t>防犯建物部品欄の30mil構成を規格呼称へ直接突合。</t>
        </is>
      </c>
    </row>
    <row r="38">
      <c r="A38" s="42" t="inlineStr">
        <is>
          <t>SZ-SL-000037</t>
        </is>
      </c>
      <c r="B38" s="42" t="inlineStr">
        <is>
          <t>WT-SL-HIKICHIGAI</t>
        </is>
      </c>
      <c r="C38" s="42" t="inlineStr">
        <is>
          <t>単体引違い窓</t>
        </is>
      </c>
      <c r="D38" s="42" t="str"/>
      <c r="E38" s="42" t="inlineStr">
        <is>
          <t>15009</t>
        </is>
      </c>
      <c r="F38" s="42" t="inlineStr">
        <is>
          <t>1540</t>
        </is>
      </c>
      <c r="G38" s="42" t="inlineStr">
        <is>
          <t>970</t>
        </is>
      </c>
      <c r="H38" s="42" t="inlineStr">
        <is>
          <t>True</t>
        </is>
      </c>
      <c r="I38" s="42" t="inlineStr">
        <is>
          <t>ALLOWED</t>
        </is>
      </c>
      <c r="J38" s="42" t="inlineStr">
        <is>
          <t>DIRECT_OFFICIAL_STANDARD_ROW</t>
        </is>
      </c>
      <c r="K38" s="42" t="inlineStr">
        <is>
          <t>SDC0003156</t>
        </is>
      </c>
      <c r="L38" s="42" t="inlineStr">
        <is>
          <t>マド2枚建 (201910～)</t>
        </is>
      </c>
      <c r="M38" s="42" t="inlineStr">
        <is>
          <t>55</t>
        </is>
      </c>
      <c r="N38" s="42" t="inlineStr">
        <is>
          <t>15009</t>
        </is>
      </c>
      <c r="O38" s="42" t="inlineStr">
        <is>
          <t>防犯建物部品欄の30mil構成を規格呼称へ直接突合。</t>
        </is>
      </c>
    </row>
    <row r="39">
      <c r="A39" s="42" t="inlineStr">
        <is>
          <t>SZ-SL-000038</t>
        </is>
      </c>
      <c r="B39" s="42" t="inlineStr">
        <is>
          <t>WT-SL-HIKICHIGAI</t>
        </is>
      </c>
      <c r="C39" s="42" t="inlineStr">
        <is>
          <t>単体引違い窓</t>
        </is>
      </c>
      <c r="D39" s="42" t="str"/>
      <c r="E39" s="42" t="inlineStr">
        <is>
          <t>16005</t>
        </is>
      </c>
      <c r="F39" s="42" t="inlineStr">
        <is>
          <t>1640</t>
        </is>
      </c>
      <c r="G39" s="42" t="inlineStr">
        <is>
          <t>570</t>
        </is>
      </c>
      <c r="H39" s="42" t="inlineStr">
        <is>
          <t>True</t>
        </is>
      </c>
      <c r="I39" s="42" t="inlineStr">
        <is>
          <t>ALLOWED</t>
        </is>
      </c>
      <c r="J39" s="42" t="inlineStr">
        <is>
          <t>DIRECT_OFFICIAL_STANDARD_ROW</t>
        </is>
      </c>
      <c r="K39" s="42" t="inlineStr">
        <is>
          <t>SDC0003156</t>
        </is>
      </c>
      <c r="L39" s="42" t="inlineStr">
        <is>
          <t>マド2枚建 (201910～)</t>
        </is>
      </c>
      <c r="M39" s="42" t="inlineStr">
        <is>
          <t>64</t>
        </is>
      </c>
      <c r="N39" s="42" t="inlineStr">
        <is>
          <t>16005</t>
        </is>
      </c>
      <c r="O39" s="42" t="inlineStr">
        <is>
          <t>防犯建物部品欄の30mil構成を規格呼称へ直接突合。</t>
        </is>
      </c>
    </row>
    <row r="40">
      <c r="A40" s="42" t="inlineStr">
        <is>
          <t>SZ-SL-000039</t>
        </is>
      </c>
      <c r="B40" s="42" t="inlineStr">
        <is>
          <t>WT-SL-HIKICHIGAI</t>
        </is>
      </c>
      <c r="C40" s="42" t="inlineStr">
        <is>
          <t>単体引違い窓</t>
        </is>
      </c>
      <c r="D40" s="42" t="str"/>
      <c r="E40" s="42" t="inlineStr">
        <is>
          <t>16007</t>
        </is>
      </c>
      <c r="F40" s="42" t="inlineStr">
        <is>
          <t>1640</t>
        </is>
      </c>
      <c r="G40" s="42" t="inlineStr">
        <is>
          <t>770</t>
        </is>
      </c>
      <c r="H40" s="42" t="inlineStr">
        <is>
          <t>True</t>
        </is>
      </c>
      <c r="I40" s="42" t="inlineStr">
        <is>
          <t>ALLOWED</t>
        </is>
      </c>
      <c r="J40" s="42" t="inlineStr">
        <is>
          <t>DIRECT_OFFICIAL_STANDARD_ROW</t>
        </is>
      </c>
      <c r="K40" s="42" t="inlineStr">
        <is>
          <t>SDC0003156</t>
        </is>
      </c>
      <c r="L40" s="42" t="inlineStr">
        <is>
          <t>マド2枚建 (201910～)</t>
        </is>
      </c>
      <c r="M40" s="42" t="inlineStr">
        <is>
          <t>65</t>
        </is>
      </c>
      <c r="N40" s="42" t="inlineStr">
        <is>
          <t>16007</t>
        </is>
      </c>
      <c r="O40" s="42" t="inlineStr">
        <is>
          <t>防犯建物部品欄の30mil構成を規格呼称へ直接突合。</t>
        </is>
      </c>
    </row>
    <row r="41">
      <c r="A41" s="42" t="inlineStr">
        <is>
          <t>SZ-SL-000040</t>
        </is>
      </c>
      <c r="B41" s="42" t="inlineStr">
        <is>
          <t>WT-SL-HIKICHIGAI</t>
        </is>
      </c>
      <c r="C41" s="42" t="inlineStr">
        <is>
          <t>単体引違い窓</t>
        </is>
      </c>
      <c r="D41" s="42" t="str"/>
      <c r="E41" s="42" t="inlineStr">
        <is>
          <t>16009</t>
        </is>
      </c>
      <c r="F41" s="42" t="inlineStr">
        <is>
          <t>1640</t>
        </is>
      </c>
      <c r="G41" s="42" t="inlineStr">
        <is>
          <t>970</t>
        </is>
      </c>
      <c r="H41" s="42" t="inlineStr">
        <is>
          <t>True</t>
        </is>
      </c>
      <c r="I41" s="42" t="inlineStr">
        <is>
          <t>ALLOWED</t>
        </is>
      </c>
      <c r="J41" s="42" t="inlineStr">
        <is>
          <t>DIRECT_OFFICIAL_STANDARD_ROW</t>
        </is>
      </c>
      <c r="K41" s="42" t="inlineStr">
        <is>
          <t>SDC0003156</t>
        </is>
      </c>
      <c r="L41" s="42" t="inlineStr">
        <is>
          <t>マド2枚建 (201910～)</t>
        </is>
      </c>
      <c r="M41" s="42" t="inlineStr">
        <is>
          <t>66</t>
        </is>
      </c>
      <c r="N41" s="42" t="inlineStr">
        <is>
          <t>16009</t>
        </is>
      </c>
      <c r="O41" s="42" t="inlineStr">
        <is>
          <t>防犯建物部品欄の30mil構成を規格呼称へ直接突合。</t>
        </is>
      </c>
    </row>
    <row r="42">
      <c r="A42" s="42" t="inlineStr">
        <is>
          <t>SZ-SL-000041</t>
        </is>
      </c>
      <c r="B42" s="42" t="inlineStr">
        <is>
          <t>WT-SL-HIKICHIGAI</t>
        </is>
      </c>
      <c r="C42" s="42" t="inlineStr">
        <is>
          <t>単体引違い窓</t>
        </is>
      </c>
      <c r="D42" s="42" t="str"/>
      <c r="E42" s="42" t="inlineStr">
        <is>
          <t>16503</t>
        </is>
      </c>
      <c r="F42" s="42" t="inlineStr">
        <is>
          <t>1690</t>
        </is>
      </c>
      <c r="G42" s="42" t="inlineStr">
        <is>
          <t>370</t>
        </is>
      </c>
      <c r="H42" s="42" t="inlineStr">
        <is>
          <t>True</t>
        </is>
      </c>
      <c r="I42" s="42" t="inlineStr">
        <is>
          <t>ALLOWED</t>
        </is>
      </c>
      <c r="J42" s="42" t="inlineStr">
        <is>
          <t>DIRECT_OFFICIAL_STANDARD_ROW</t>
        </is>
      </c>
      <c r="K42" s="42" t="inlineStr">
        <is>
          <t>SDC0003156</t>
        </is>
      </c>
      <c r="L42" s="42" t="inlineStr">
        <is>
          <t>マド2枚建 (201910～)</t>
        </is>
      </c>
      <c r="M42" s="42" t="inlineStr">
        <is>
          <t>70</t>
        </is>
      </c>
      <c r="N42" s="42" t="inlineStr">
        <is>
          <t>16503</t>
        </is>
      </c>
      <c r="O42" s="42" t="inlineStr">
        <is>
          <t>防犯建物部品欄の30mil構成を規格呼称へ直接突合。</t>
        </is>
      </c>
    </row>
    <row r="43">
      <c r="A43" s="42" t="inlineStr">
        <is>
          <t>SZ-SL-000042</t>
        </is>
      </c>
      <c r="B43" s="42" t="inlineStr">
        <is>
          <t>WT-SL-HIKICHIGAI</t>
        </is>
      </c>
      <c r="C43" s="42" t="inlineStr">
        <is>
          <t>単体引違い窓</t>
        </is>
      </c>
      <c r="D43" s="42" t="str"/>
      <c r="E43" s="42" t="inlineStr">
        <is>
          <t>16505</t>
        </is>
      </c>
      <c r="F43" s="42" t="inlineStr">
        <is>
          <t>1690</t>
        </is>
      </c>
      <c r="G43" s="42" t="inlineStr">
        <is>
          <t>570</t>
        </is>
      </c>
      <c r="H43" s="42" t="inlineStr">
        <is>
          <t>True</t>
        </is>
      </c>
      <c r="I43" s="42" t="inlineStr">
        <is>
          <t>ALLOWED</t>
        </is>
      </c>
      <c r="J43" s="42" t="inlineStr">
        <is>
          <t>DIRECT_OFFICIAL_STANDARD_ROW</t>
        </is>
      </c>
      <c r="K43" s="42" t="inlineStr">
        <is>
          <t>SDC0003156</t>
        </is>
      </c>
      <c r="L43" s="42" t="inlineStr">
        <is>
          <t>マド2枚建 (201910～)</t>
        </is>
      </c>
      <c r="M43" s="42" t="inlineStr">
        <is>
          <t>71</t>
        </is>
      </c>
      <c r="N43" s="42" t="inlineStr">
        <is>
          <t>16505</t>
        </is>
      </c>
      <c r="O43" s="42" t="inlineStr">
        <is>
          <t>防犯建物部品欄の30mil構成を規格呼称へ直接突合。</t>
        </is>
      </c>
    </row>
    <row r="44">
      <c r="A44" s="42" t="inlineStr">
        <is>
          <t>SZ-SL-000043</t>
        </is>
      </c>
      <c r="B44" s="42" t="inlineStr">
        <is>
          <t>WT-SL-HIKICHIGAI</t>
        </is>
      </c>
      <c r="C44" s="42" t="inlineStr">
        <is>
          <t>単体引違い窓</t>
        </is>
      </c>
      <c r="D44" s="42" t="str"/>
      <c r="E44" s="42" t="inlineStr">
        <is>
          <t>16507</t>
        </is>
      </c>
      <c r="F44" s="42" t="inlineStr">
        <is>
          <t>1690</t>
        </is>
      </c>
      <c r="G44" s="42" t="inlineStr">
        <is>
          <t>770</t>
        </is>
      </c>
      <c r="H44" s="42" t="inlineStr">
        <is>
          <t>True</t>
        </is>
      </c>
      <c r="I44" s="42" t="inlineStr">
        <is>
          <t>ALLOWED</t>
        </is>
      </c>
      <c r="J44" s="42" t="inlineStr">
        <is>
          <t>DIRECT_OFFICIAL_STANDARD_ROW</t>
        </is>
      </c>
      <c r="K44" s="42" t="inlineStr">
        <is>
          <t>SDC0003156</t>
        </is>
      </c>
      <c r="L44" s="42" t="inlineStr">
        <is>
          <t>マド2枚建 (201910～)</t>
        </is>
      </c>
      <c r="M44" s="42" t="inlineStr">
        <is>
          <t>72</t>
        </is>
      </c>
      <c r="N44" s="42" t="inlineStr">
        <is>
          <t>16507</t>
        </is>
      </c>
      <c r="O44" s="42" t="inlineStr">
        <is>
          <t>防犯建物部品欄の30mil構成を規格呼称へ直接突合。</t>
        </is>
      </c>
    </row>
    <row r="45">
      <c r="A45" s="42" t="inlineStr">
        <is>
          <t>SZ-SL-000044</t>
        </is>
      </c>
      <c r="B45" s="42" t="inlineStr">
        <is>
          <t>WT-SL-HIKICHIGAI</t>
        </is>
      </c>
      <c r="C45" s="42" t="inlineStr">
        <is>
          <t>単体引違い窓</t>
        </is>
      </c>
      <c r="D45" s="42" t="str"/>
      <c r="E45" s="42" t="inlineStr">
        <is>
          <t>16509</t>
        </is>
      </c>
      <c r="F45" s="42" t="inlineStr">
        <is>
          <t>1690</t>
        </is>
      </c>
      <c r="G45" s="42" t="inlineStr">
        <is>
          <t>970</t>
        </is>
      </c>
      <c r="H45" s="42" t="inlineStr">
        <is>
          <t>True</t>
        </is>
      </c>
      <c r="I45" s="42" t="inlineStr">
        <is>
          <t>ALLOWED</t>
        </is>
      </c>
      <c r="J45" s="42" t="inlineStr">
        <is>
          <t>DIRECT_OFFICIAL_STANDARD_ROW</t>
        </is>
      </c>
      <c r="K45" s="42" t="inlineStr">
        <is>
          <t>SDC0003156</t>
        </is>
      </c>
      <c r="L45" s="42" t="inlineStr">
        <is>
          <t>マド2枚建 (201910～)</t>
        </is>
      </c>
      <c r="M45" s="42" t="inlineStr">
        <is>
          <t>73</t>
        </is>
      </c>
      <c r="N45" s="42" t="inlineStr">
        <is>
          <t>16509</t>
        </is>
      </c>
      <c r="O45" s="42" t="inlineStr">
        <is>
          <t>防犯建物部品欄の30mil構成を規格呼称へ直接突合。</t>
        </is>
      </c>
    </row>
    <row r="46">
      <c r="A46" s="42" t="inlineStr">
        <is>
          <t>SZ-SL-000045</t>
        </is>
      </c>
      <c r="B46" s="42" t="inlineStr">
        <is>
          <t>WT-SL-HIKICHIGAI</t>
        </is>
      </c>
      <c r="C46" s="42" t="inlineStr">
        <is>
          <t>単体引違い窓</t>
        </is>
      </c>
      <c r="D46" s="42" t="str"/>
      <c r="E46" s="42" t="inlineStr">
        <is>
          <t>17405</t>
        </is>
      </c>
      <c r="F46" s="42" t="inlineStr">
        <is>
          <t>1780</t>
        </is>
      </c>
      <c r="G46" s="42" t="inlineStr">
        <is>
          <t>570</t>
        </is>
      </c>
      <c r="H46" s="42" t="inlineStr">
        <is>
          <t>True</t>
        </is>
      </c>
      <c r="I46" s="42" t="inlineStr">
        <is>
          <t>ALLOWED</t>
        </is>
      </c>
      <c r="J46" s="42" t="inlineStr">
        <is>
          <t>DIRECT_OFFICIAL_STANDARD_ROW</t>
        </is>
      </c>
      <c r="K46" s="42" t="inlineStr">
        <is>
          <t>SDC0003156</t>
        </is>
      </c>
      <c r="L46" s="42" t="inlineStr">
        <is>
          <t>マド2枚建 (201910～)</t>
        </is>
      </c>
      <c r="M46" s="42" t="inlineStr">
        <is>
          <t>77</t>
        </is>
      </c>
      <c r="N46" s="42" t="inlineStr">
        <is>
          <t>17405</t>
        </is>
      </c>
      <c r="O46" s="42" t="inlineStr">
        <is>
          <t>防犯建物部品欄の30mil構成を規格呼称へ直接突合。</t>
        </is>
      </c>
    </row>
    <row r="47">
      <c r="A47" s="42" t="inlineStr">
        <is>
          <t>SZ-SL-000046</t>
        </is>
      </c>
      <c r="B47" s="42" t="inlineStr">
        <is>
          <t>WT-SL-HIKICHIGAI</t>
        </is>
      </c>
      <c r="C47" s="42" t="inlineStr">
        <is>
          <t>単体引違い窓</t>
        </is>
      </c>
      <c r="D47" s="42" t="str"/>
      <c r="E47" s="42" t="inlineStr">
        <is>
          <t>17407</t>
        </is>
      </c>
      <c r="F47" s="42" t="inlineStr">
        <is>
          <t>1780</t>
        </is>
      </c>
      <c r="G47" s="42" t="inlineStr">
        <is>
          <t>770</t>
        </is>
      </c>
      <c r="H47" s="42" t="inlineStr">
        <is>
          <t>True</t>
        </is>
      </c>
      <c r="I47" s="42" t="inlineStr">
        <is>
          <t>ALLOWED</t>
        </is>
      </c>
      <c r="J47" s="42" t="inlineStr">
        <is>
          <t>DIRECT_OFFICIAL_STANDARD_ROW</t>
        </is>
      </c>
      <c r="K47" s="42" t="inlineStr">
        <is>
          <t>SDC0003156</t>
        </is>
      </c>
      <c r="L47" s="42" t="inlineStr">
        <is>
          <t>マド2枚建 (201910～)</t>
        </is>
      </c>
      <c r="M47" s="42" t="inlineStr">
        <is>
          <t>78</t>
        </is>
      </c>
      <c r="N47" s="42" t="inlineStr">
        <is>
          <t>17407</t>
        </is>
      </c>
      <c r="O47" s="42" t="inlineStr">
        <is>
          <t>防犯建物部品欄の30mil構成を規格呼称へ直接突合。</t>
        </is>
      </c>
    </row>
    <row r="48">
      <c r="A48" s="42" t="inlineStr">
        <is>
          <t>SZ-SL-000047</t>
        </is>
      </c>
      <c r="B48" s="42" t="inlineStr">
        <is>
          <t>WT-SL-HIKICHIGAI</t>
        </is>
      </c>
      <c r="C48" s="42" t="inlineStr">
        <is>
          <t>単体引違い窓</t>
        </is>
      </c>
      <c r="D48" s="42" t="str"/>
      <c r="E48" s="42" t="inlineStr">
        <is>
          <t>17409</t>
        </is>
      </c>
      <c r="F48" s="42" t="inlineStr">
        <is>
          <t>1780</t>
        </is>
      </c>
      <c r="G48" s="42" t="inlineStr">
        <is>
          <t>970</t>
        </is>
      </c>
      <c r="H48" s="42" t="inlineStr">
        <is>
          <t>True</t>
        </is>
      </c>
      <c r="I48" s="42" t="inlineStr">
        <is>
          <t>ALLOWED</t>
        </is>
      </c>
      <c r="J48" s="42" t="inlineStr">
        <is>
          <t>DIRECT_OFFICIAL_STANDARD_ROW</t>
        </is>
      </c>
      <c r="K48" s="42" t="inlineStr">
        <is>
          <t>SDC0003156</t>
        </is>
      </c>
      <c r="L48" s="42" t="inlineStr">
        <is>
          <t>マド2枚建 (201910～)</t>
        </is>
      </c>
      <c r="M48" s="42" t="inlineStr">
        <is>
          <t>79</t>
        </is>
      </c>
      <c r="N48" s="42" t="inlineStr">
        <is>
          <t>17409</t>
        </is>
      </c>
      <c r="O48" s="42" t="inlineStr">
        <is>
          <t>防犯建物部品欄の30mil構成を規格呼称へ直接突合。</t>
        </is>
      </c>
    </row>
    <row r="49">
      <c r="A49" s="42" t="inlineStr">
        <is>
          <t>SZ-SL-000048</t>
        </is>
      </c>
      <c r="B49" s="42" t="inlineStr">
        <is>
          <t>WT-SL-HIKICHIGAI</t>
        </is>
      </c>
      <c r="C49" s="42" t="inlineStr">
        <is>
          <t>単体引違い窓</t>
        </is>
      </c>
      <c r="D49" s="42" t="str"/>
      <c r="E49" s="42" t="inlineStr">
        <is>
          <t>17605</t>
        </is>
      </c>
      <c r="F49" s="42" t="inlineStr">
        <is>
          <t>1800</t>
        </is>
      </c>
      <c r="G49" s="42" t="inlineStr">
        <is>
          <t>570</t>
        </is>
      </c>
      <c r="H49" s="42" t="inlineStr">
        <is>
          <t>True</t>
        </is>
      </c>
      <c r="I49" s="42" t="inlineStr">
        <is>
          <t>ALLOWED</t>
        </is>
      </c>
      <c r="J49" s="42" t="inlineStr">
        <is>
          <t>DIRECT_OFFICIAL_STANDARD_ROW</t>
        </is>
      </c>
      <c r="K49" s="42" t="inlineStr">
        <is>
          <t>SDC0003156</t>
        </is>
      </c>
      <c r="L49" s="42" t="inlineStr">
        <is>
          <t>マド2枚建 (201910～)</t>
        </is>
      </c>
      <c r="M49" s="42" t="inlineStr">
        <is>
          <t>82</t>
        </is>
      </c>
      <c r="N49" s="42" t="inlineStr">
        <is>
          <t>17605</t>
        </is>
      </c>
      <c r="O49" s="42" t="inlineStr">
        <is>
          <t>防犯建物部品欄の30mil構成を規格呼称へ直接突合。</t>
        </is>
      </c>
    </row>
    <row r="50">
      <c r="A50" s="42" t="inlineStr">
        <is>
          <t>SZ-SL-000049</t>
        </is>
      </c>
      <c r="B50" s="42" t="inlineStr">
        <is>
          <t>WT-SL-HIKICHIGAI</t>
        </is>
      </c>
      <c r="C50" s="42" t="inlineStr">
        <is>
          <t>単体引違い窓</t>
        </is>
      </c>
      <c r="D50" s="42" t="str"/>
      <c r="E50" s="42" t="inlineStr">
        <is>
          <t>17607</t>
        </is>
      </c>
      <c r="F50" s="42" t="inlineStr">
        <is>
          <t>1800</t>
        </is>
      </c>
      <c r="G50" s="42" t="inlineStr">
        <is>
          <t>770</t>
        </is>
      </c>
      <c r="H50" s="42" t="inlineStr">
        <is>
          <t>True</t>
        </is>
      </c>
      <c r="I50" s="42" t="inlineStr">
        <is>
          <t>ALLOWED</t>
        </is>
      </c>
      <c r="J50" s="42" t="inlineStr">
        <is>
          <t>DIRECT_OFFICIAL_STANDARD_ROW</t>
        </is>
      </c>
      <c r="K50" s="42" t="inlineStr">
        <is>
          <t>SDC0003156</t>
        </is>
      </c>
      <c r="L50" s="42" t="inlineStr">
        <is>
          <t>マド2枚建 (201910～)</t>
        </is>
      </c>
      <c r="M50" s="42" t="inlineStr">
        <is>
          <t>83</t>
        </is>
      </c>
      <c r="N50" s="42" t="inlineStr">
        <is>
          <t>17607</t>
        </is>
      </c>
      <c r="O50" s="42" t="inlineStr">
        <is>
          <t>防犯建物部品欄の30mil構成を規格呼称へ直接突合。</t>
        </is>
      </c>
    </row>
    <row r="51">
      <c r="A51" s="42" t="inlineStr">
        <is>
          <t>SZ-SL-000050</t>
        </is>
      </c>
      <c r="B51" s="42" t="inlineStr">
        <is>
          <t>WT-SL-HIKICHIGAI</t>
        </is>
      </c>
      <c r="C51" s="42" t="inlineStr">
        <is>
          <t>単体引違い窓</t>
        </is>
      </c>
      <c r="D51" s="42" t="str"/>
      <c r="E51" s="42" t="inlineStr">
        <is>
          <t>17609</t>
        </is>
      </c>
      <c r="F51" s="42" t="inlineStr">
        <is>
          <t>1800</t>
        </is>
      </c>
      <c r="G51" s="42" t="inlineStr">
        <is>
          <t>970</t>
        </is>
      </c>
      <c r="H51" s="42" t="inlineStr">
        <is>
          <t>True</t>
        </is>
      </c>
      <c r="I51" s="42" t="inlineStr">
        <is>
          <t>ALLOWED</t>
        </is>
      </c>
      <c r="J51" s="42" t="inlineStr">
        <is>
          <t>DIRECT_OFFICIAL_STANDARD_ROW</t>
        </is>
      </c>
      <c r="K51" s="42" t="inlineStr">
        <is>
          <t>SDC0003156</t>
        </is>
      </c>
      <c r="L51" s="42" t="inlineStr">
        <is>
          <t>マド2枚建 (201910～)</t>
        </is>
      </c>
      <c r="M51" s="42" t="inlineStr">
        <is>
          <t>84</t>
        </is>
      </c>
      <c r="N51" s="42" t="inlineStr">
        <is>
          <t>17609</t>
        </is>
      </c>
      <c r="O51" s="42" t="inlineStr">
        <is>
          <t>防犯建物部品欄の30mil構成を規格呼称へ直接突合。</t>
        </is>
      </c>
    </row>
    <row r="52">
      <c r="A52" s="42" t="inlineStr">
        <is>
          <t>SZ-SL-000051</t>
        </is>
      </c>
      <c r="B52" s="42" t="inlineStr">
        <is>
          <t>WT-SL-HIKICHIGAI</t>
        </is>
      </c>
      <c r="C52" s="42" t="inlineStr">
        <is>
          <t>単体引違い窓</t>
        </is>
      </c>
      <c r="D52" s="42" t="str"/>
      <c r="E52" s="42" t="inlineStr">
        <is>
          <t>17805</t>
        </is>
      </c>
      <c r="F52" s="42" t="inlineStr">
        <is>
          <t>1820</t>
        </is>
      </c>
      <c r="G52" s="42" t="inlineStr">
        <is>
          <t>570</t>
        </is>
      </c>
      <c r="H52" s="42" t="inlineStr">
        <is>
          <t>True</t>
        </is>
      </c>
      <c r="I52" s="42" t="inlineStr">
        <is>
          <t>ALLOWED</t>
        </is>
      </c>
      <c r="J52" s="42" t="inlineStr">
        <is>
          <t>DIRECT_OFFICIAL_STANDARD_ROW</t>
        </is>
      </c>
      <c r="K52" s="42" t="inlineStr">
        <is>
          <t>SDC0003156</t>
        </is>
      </c>
      <c r="L52" s="42" t="inlineStr">
        <is>
          <t>マド2枚建 (201910～)</t>
        </is>
      </c>
      <c r="M52" s="42" t="inlineStr">
        <is>
          <t>87</t>
        </is>
      </c>
      <c r="N52" s="42" t="inlineStr">
        <is>
          <t>17805</t>
        </is>
      </c>
      <c r="O52" s="42" t="inlineStr">
        <is>
          <t>防犯建物部品欄の30mil構成を規格呼称へ直接突合。</t>
        </is>
      </c>
    </row>
    <row r="53">
      <c r="A53" s="42" t="inlineStr">
        <is>
          <t>SZ-SL-000052</t>
        </is>
      </c>
      <c r="B53" s="42" t="inlineStr">
        <is>
          <t>WT-SL-HIKICHIGAI</t>
        </is>
      </c>
      <c r="C53" s="42" t="inlineStr">
        <is>
          <t>単体引違い窓</t>
        </is>
      </c>
      <c r="D53" s="42" t="str"/>
      <c r="E53" s="42" t="inlineStr">
        <is>
          <t>17807</t>
        </is>
      </c>
      <c r="F53" s="42" t="inlineStr">
        <is>
          <t>1820</t>
        </is>
      </c>
      <c r="G53" s="42" t="inlineStr">
        <is>
          <t>770</t>
        </is>
      </c>
      <c r="H53" s="42" t="inlineStr">
        <is>
          <t>True</t>
        </is>
      </c>
      <c r="I53" s="42" t="inlineStr">
        <is>
          <t>ALLOWED</t>
        </is>
      </c>
      <c r="J53" s="42" t="inlineStr">
        <is>
          <t>DIRECT_OFFICIAL_STANDARD_ROW</t>
        </is>
      </c>
      <c r="K53" s="42" t="inlineStr">
        <is>
          <t>SDC0003156</t>
        </is>
      </c>
      <c r="L53" s="42" t="inlineStr">
        <is>
          <t>マド2枚建 (201910～)</t>
        </is>
      </c>
      <c r="M53" s="42" t="inlineStr">
        <is>
          <t>88</t>
        </is>
      </c>
      <c r="N53" s="42" t="inlineStr">
        <is>
          <t>17807</t>
        </is>
      </c>
      <c r="O53" s="42" t="inlineStr">
        <is>
          <t>防犯建物部品欄の30mil構成を規格呼称へ直接突合。</t>
        </is>
      </c>
    </row>
    <row r="54">
      <c r="A54" s="42" t="inlineStr">
        <is>
          <t>SZ-SL-000053</t>
        </is>
      </c>
      <c r="B54" s="42" t="inlineStr">
        <is>
          <t>WT-SL-HIKICHIGAI</t>
        </is>
      </c>
      <c r="C54" s="42" t="inlineStr">
        <is>
          <t>単体引違い窓</t>
        </is>
      </c>
      <c r="D54" s="42" t="str"/>
      <c r="E54" s="42" t="inlineStr">
        <is>
          <t>17809</t>
        </is>
      </c>
      <c r="F54" s="42" t="inlineStr">
        <is>
          <t>1820</t>
        </is>
      </c>
      <c r="G54" s="42" t="inlineStr">
        <is>
          <t>970</t>
        </is>
      </c>
      <c r="H54" s="42" t="inlineStr">
        <is>
          <t>True</t>
        </is>
      </c>
      <c r="I54" s="42" t="inlineStr">
        <is>
          <t>ALLOWED</t>
        </is>
      </c>
      <c r="J54" s="42" t="inlineStr">
        <is>
          <t>DIRECT_OFFICIAL_STANDARD_ROW</t>
        </is>
      </c>
      <c r="K54" s="42" t="inlineStr">
        <is>
          <t>SDC0003156</t>
        </is>
      </c>
      <c r="L54" s="42" t="inlineStr">
        <is>
          <t>マド2枚建 (201910～)</t>
        </is>
      </c>
      <c r="M54" s="42" t="inlineStr">
        <is>
          <t>89</t>
        </is>
      </c>
      <c r="N54" s="42" t="inlineStr">
        <is>
          <t>17809</t>
        </is>
      </c>
      <c r="O54" s="42" t="inlineStr">
        <is>
          <t>防犯建物部品欄の30mil構成を規格呼称へ直接突合。</t>
        </is>
      </c>
    </row>
    <row r="55">
      <c r="A55" s="42" t="inlineStr">
        <is>
          <t>SZ-SL-000054</t>
        </is>
      </c>
      <c r="B55" s="42" t="inlineStr">
        <is>
          <t>WT-SL-HIKICHIGAI</t>
        </is>
      </c>
      <c r="C55" s="42" t="inlineStr">
        <is>
          <t>単体引違い窓</t>
        </is>
      </c>
      <c r="D55" s="42" t="str"/>
      <c r="E55" s="42" t="inlineStr">
        <is>
          <t>18005</t>
        </is>
      </c>
      <c r="F55" s="42" t="inlineStr">
        <is>
          <t>1845</t>
        </is>
      </c>
      <c r="G55" s="42" t="inlineStr">
        <is>
          <t>570</t>
        </is>
      </c>
      <c r="H55" s="42" t="inlineStr">
        <is>
          <t>True</t>
        </is>
      </c>
      <c r="I55" s="42" t="inlineStr">
        <is>
          <t>ALLOWED</t>
        </is>
      </c>
      <c r="J55" s="42" t="inlineStr">
        <is>
          <t>DIRECT_OFFICIAL_STANDARD_ROW</t>
        </is>
      </c>
      <c r="K55" s="42" t="inlineStr">
        <is>
          <t>SDC0003156</t>
        </is>
      </c>
      <c r="L55" s="42" t="inlineStr">
        <is>
          <t>マド2枚建 (201910～)</t>
        </is>
      </c>
      <c r="M55" s="42" t="inlineStr">
        <is>
          <t>92</t>
        </is>
      </c>
      <c r="N55" s="42" t="inlineStr">
        <is>
          <t>18005</t>
        </is>
      </c>
      <c r="O55" s="42" t="inlineStr">
        <is>
          <t>防犯建物部品欄の30mil構成を規格呼称へ直接突合。</t>
        </is>
      </c>
    </row>
    <row r="56">
      <c r="A56" s="42" t="inlineStr">
        <is>
          <t>SZ-SL-000055</t>
        </is>
      </c>
      <c r="B56" s="42" t="inlineStr">
        <is>
          <t>WT-SL-HIKICHIGAI</t>
        </is>
      </c>
      <c r="C56" s="42" t="inlineStr">
        <is>
          <t>単体引違い窓</t>
        </is>
      </c>
      <c r="D56" s="42" t="str"/>
      <c r="E56" s="42" t="inlineStr">
        <is>
          <t>18007</t>
        </is>
      </c>
      <c r="F56" s="42" t="inlineStr">
        <is>
          <t>1845</t>
        </is>
      </c>
      <c r="G56" s="42" t="inlineStr">
        <is>
          <t>770</t>
        </is>
      </c>
      <c r="H56" s="42" t="inlineStr">
        <is>
          <t>True</t>
        </is>
      </c>
      <c r="I56" s="42" t="inlineStr">
        <is>
          <t>ALLOWED</t>
        </is>
      </c>
      <c r="J56" s="42" t="inlineStr">
        <is>
          <t>DIRECT_OFFICIAL_STANDARD_ROW</t>
        </is>
      </c>
      <c r="K56" s="42" t="inlineStr">
        <is>
          <t>SDC0003156</t>
        </is>
      </c>
      <c r="L56" s="42" t="inlineStr">
        <is>
          <t>マド2枚建 (201910～)</t>
        </is>
      </c>
      <c r="M56" s="42" t="inlineStr">
        <is>
          <t>93</t>
        </is>
      </c>
      <c r="N56" s="42" t="inlineStr">
        <is>
          <t>18007</t>
        </is>
      </c>
      <c r="O56" s="42" t="inlineStr">
        <is>
          <t>防犯建物部品欄の30mil構成を規格呼称へ直接突合。</t>
        </is>
      </c>
    </row>
    <row r="57">
      <c r="A57" s="42" t="inlineStr">
        <is>
          <t>SZ-SL-000056</t>
        </is>
      </c>
      <c r="B57" s="42" t="inlineStr">
        <is>
          <t>WT-SL-HIKICHIGAI</t>
        </is>
      </c>
      <c r="C57" s="42" t="inlineStr">
        <is>
          <t>単体引違い窓</t>
        </is>
      </c>
      <c r="D57" s="42" t="str"/>
      <c r="E57" s="42" t="inlineStr">
        <is>
          <t>18009</t>
        </is>
      </c>
      <c r="F57" s="42" t="inlineStr">
        <is>
          <t>1845</t>
        </is>
      </c>
      <c r="G57" s="42" t="inlineStr">
        <is>
          <t>970</t>
        </is>
      </c>
      <c r="H57" s="42" t="inlineStr">
        <is>
          <t>True</t>
        </is>
      </c>
      <c r="I57" s="42" t="inlineStr">
        <is>
          <t>ALLOWED</t>
        </is>
      </c>
      <c r="J57" s="42" t="inlineStr">
        <is>
          <t>DIRECT_OFFICIAL_STANDARD_ROW</t>
        </is>
      </c>
      <c r="K57" s="42" t="inlineStr">
        <is>
          <t>SDC0003156</t>
        </is>
      </c>
      <c r="L57" s="42" t="inlineStr">
        <is>
          <t>マド2枚建 (201910～)</t>
        </is>
      </c>
      <c r="M57" s="42" t="inlineStr">
        <is>
          <t>94</t>
        </is>
      </c>
      <c r="N57" s="42" t="inlineStr">
        <is>
          <t>18009</t>
        </is>
      </c>
      <c r="O57" s="42" t="inlineStr">
        <is>
          <t>防犯建物部品欄の30mil構成を規格呼称へ直接突合。</t>
        </is>
      </c>
    </row>
    <row r="58">
      <c r="A58" s="42" t="inlineStr">
        <is>
          <t>SZ-SL-000057</t>
        </is>
      </c>
      <c r="B58" s="42" t="inlineStr">
        <is>
          <t>WT-SL-HIKICHIGAI</t>
        </is>
      </c>
      <c r="C58" s="42" t="inlineStr">
        <is>
          <t>単体引違い窓</t>
        </is>
      </c>
      <c r="D58" s="42" t="str"/>
      <c r="E58" s="42" t="inlineStr">
        <is>
          <t>18305</t>
        </is>
      </c>
      <c r="F58" s="42" t="inlineStr">
        <is>
          <t>1870</t>
        </is>
      </c>
      <c r="G58" s="42" t="inlineStr">
        <is>
          <t>570</t>
        </is>
      </c>
      <c r="H58" s="42" t="inlineStr">
        <is>
          <t>True</t>
        </is>
      </c>
      <c r="I58" s="42" t="inlineStr">
        <is>
          <t>ALLOWED</t>
        </is>
      </c>
      <c r="J58" s="42" t="inlineStr">
        <is>
          <t>DIRECT_OFFICIAL_STANDARD_ROW</t>
        </is>
      </c>
      <c r="K58" s="42" t="inlineStr">
        <is>
          <t>SDC0003156</t>
        </is>
      </c>
      <c r="L58" s="42" t="inlineStr">
        <is>
          <t>マド2枚建 (201910～)</t>
        </is>
      </c>
      <c r="M58" s="42" t="inlineStr">
        <is>
          <t>97</t>
        </is>
      </c>
      <c r="N58" s="42" t="inlineStr">
        <is>
          <t>18305</t>
        </is>
      </c>
      <c r="O58" s="42" t="inlineStr">
        <is>
          <t>防犯建物部品欄の30mil構成を規格呼称へ直接突合。</t>
        </is>
      </c>
    </row>
    <row r="59">
      <c r="A59" s="42" t="inlineStr">
        <is>
          <t>SZ-SL-000058</t>
        </is>
      </c>
      <c r="B59" s="42" t="inlineStr">
        <is>
          <t>WT-SL-HIKICHIGAI</t>
        </is>
      </c>
      <c r="C59" s="42" t="inlineStr">
        <is>
          <t>単体引違い窓</t>
        </is>
      </c>
      <c r="D59" s="42" t="str"/>
      <c r="E59" s="42" t="inlineStr">
        <is>
          <t>18307</t>
        </is>
      </c>
      <c r="F59" s="42" t="inlineStr">
        <is>
          <t>1870</t>
        </is>
      </c>
      <c r="G59" s="42" t="inlineStr">
        <is>
          <t>770</t>
        </is>
      </c>
      <c r="H59" s="42" t="inlineStr">
        <is>
          <t>True</t>
        </is>
      </c>
      <c r="I59" s="42" t="inlineStr">
        <is>
          <t>ALLOWED</t>
        </is>
      </c>
      <c r="J59" s="42" t="inlineStr">
        <is>
          <t>DIRECT_OFFICIAL_STANDARD_ROW</t>
        </is>
      </c>
      <c r="K59" s="42" t="inlineStr">
        <is>
          <t>SDC0003156</t>
        </is>
      </c>
      <c r="L59" s="42" t="inlineStr">
        <is>
          <t>マド2枚建 (201910～)</t>
        </is>
      </c>
      <c r="M59" s="42" t="inlineStr">
        <is>
          <t>98</t>
        </is>
      </c>
      <c r="N59" s="42" t="inlineStr">
        <is>
          <t>18307</t>
        </is>
      </c>
      <c r="O59" s="42" t="inlineStr">
        <is>
          <t>防犯建物部品欄の30mil構成を規格呼称へ直接突合。</t>
        </is>
      </c>
    </row>
    <row r="60">
      <c r="A60" s="42" t="inlineStr">
        <is>
          <t>SZ-SL-000059</t>
        </is>
      </c>
      <c r="B60" s="42" t="inlineStr">
        <is>
          <t>WT-SL-HIKICHIGAI</t>
        </is>
      </c>
      <c r="C60" s="42" t="inlineStr">
        <is>
          <t>単体引違い窓</t>
        </is>
      </c>
      <c r="D60" s="42" t="str"/>
      <c r="E60" s="42" t="inlineStr">
        <is>
          <t>18309</t>
        </is>
      </c>
      <c r="F60" s="42" t="inlineStr">
        <is>
          <t>1870</t>
        </is>
      </c>
      <c r="G60" s="42" t="inlineStr">
        <is>
          <t>970</t>
        </is>
      </c>
      <c r="H60" s="42" t="inlineStr">
        <is>
          <t>True</t>
        </is>
      </c>
      <c r="I60" s="42" t="inlineStr">
        <is>
          <t>ALLOWED</t>
        </is>
      </c>
      <c r="J60" s="42" t="inlineStr">
        <is>
          <t>DIRECT_OFFICIAL_STANDARD_ROW</t>
        </is>
      </c>
      <c r="K60" s="42" t="inlineStr">
        <is>
          <t>SDC0003156</t>
        </is>
      </c>
      <c r="L60" s="42" t="inlineStr">
        <is>
          <t>マド2枚建 (201910～)</t>
        </is>
      </c>
      <c r="M60" s="42" t="inlineStr">
        <is>
          <t>99</t>
        </is>
      </c>
      <c r="N60" s="42" t="inlineStr">
        <is>
          <t>18309</t>
        </is>
      </c>
      <c r="O60" s="42" t="inlineStr">
        <is>
          <t>防犯建物部品欄の30mil構成を規格呼称へ直接突合。</t>
        </is>
      </c>
    </row>
    <row r="61">
      <c r="A61" s="42" t="inlineStr">
        <is>
          <t>SZ-SL-000060</t>
        </is>
      </c>
      <c r="B61" s="42" t="inlineStr">
        <is>
          <t>WT-SL-HIKICHIGAI</t>
        </is>
      </c>
      <c r="C61" s="42" t="inlineStr">
        <is>
          <t>単体引違い窓</t>
        </is>
      </c>
      <c r="D61" s="42" t="str"/>
      <c r="E61" s="42" t="inlineStr">
        <is>
          <t>18605</t>
        </is>
      </c>
      <c r="F61" s="42" t="inlineStr">
        <is>
          <t>1900</t>
        </is>
      </c>
      <c r="G61" s="42" t="inlineStr">
        <is>
          <t>570</t>
        </is>
      </c>
      <c r="H61" s="42" t="inlineStr">
        <is>
          <t>True</t>
        </is>
      </c>
      <c r="I61" s="42" t="inlineStr">
        <is>
          <t>ALLOWED</t>
        </is>
      </c>
      <c r="J61" s="42" t="inlineStr">
        <is>
          <t>DIRECT_OFFICIAL_STANDARD_ROW</t>
        </is>
      </c>
      <c r="K61" s="42" t="inlineStr">
        <is>
          <t>SDC0003156</t>
        </is>
      </c>
      <c r="L61" s="42" t="inlineStr">
        <is>
          <t>マド2枚建 (201910～)</t>
        </is>
      </c>
      <c r="M61" s="42" t="inlineStr">
        <is>
          <t>102</t>
        </is>
      </c>
      <c r="N61" s="42" t="inlineStr">
        <is>
          <t>18605</t>
        </is>
      </c>
      <c r="O61" s="42" t="inlineStr">
        <is>
          <t>防犯建物部品欄の30mil構成を規格呼称へ直接突合。</t>
        </is>
      </c>
    </row>
    <row r="62">
      <c r="A62" s="42" t="inlineStr">
        <is>
          <t>SZ-SL-000061</t>
        </is>
      </c>
      <c r="B62" s="42" t="inlineStr">
        <is>
          <t>WT-SL-HIKICHIGAI</t>
        </is>
      </c>
      <c r="C62" s="42" t="inlineStr">
        <is>
          <t>単体引違い窓</t>
        </is>
      </c>
      <c r="D62" s="42" t="str"/>
      <c r="E62" s="42" t="inlineStr">
        <is>
          <t>18607</t>
        </is>
      </c>
      <c r="F62" s="42" t="inlineStr">
        <is>
          <t>1900</t>
        </is>
      </c>
      <c r="G62" s="42" t="inlineStr">
        <is>
          <t>770</t>
        </is>
      </c>
      <c r="H62" s="42" t="inlineStr">
        <is>
          <t>True</t>
        </is>
      </c>
      <c r="I62" s="42" t="inlineStr">
        <is>
          <t>ALLOWED</t>
        </is>
      </c>
      <c r="J62" s="42" t="inlineStr">
        <is>
          <t>DIRECT_OFFICIAL_STANDARD_ROW</t>
        </is>
      </c>
      <c r="K62" s="42" t="inlineStr">
        <is>
          <t>SDC0003156</t>
        </is>
      </c>
      <c r="L62" s="42" t="inlineStr">
        <is>
          <t>マド2枚建 (201910～)</t>
        </is>
      </c>
      <c r="M62" s="42" t="inlineStr">
        <is>
          <t>103</t>
        </is>
      </c>
      <c r="N62" s="42" t="inlineStr">
        <is>
          <t>18607</t>
        </is>
      </c>
      <c r="O62" s="42" t="inlineStr">
        <is>
          <t>防犯建物部品欄の30mil構成を規格呼称へ直接突合。</t>
        </is>
      </c>
    </row>
    <row r="63">
      <c r="A63" s="42" t="inlineStr">
        <is>
          <t>SZ-SL-000062</t>
        </is>
      </c>
      <c r="B63" s="42" t="inlineStr">
        <is>
          <t>WT-SL-HIKICHIGAI</t>
        </is>
      </c>
      <c r="C63" s="42" t="inlineStr">
        <is>
          <t>単体引違い窓</t>
        </is>
      </c>
      <c r="D63" s="42" t="str"/>
      <c r="E63" s="42" t="inlineStr">
        <is>
          <t>18609</t>
        </is>
      </c>
      <c r="F63" s="42" t="inlineStr">
        <is>
          <t>1900</t>
        </is>
      </c>
      <c r="G63" s="42" t="inlineStr">
        <is>
          <t>970</t>
        </is>
      </c>
      <c r="H63" s="42" t="inlineStr">
        <is>
          <t>True</t>
        </is>
      </c>
      <c r="I63" s="42" t="inlineStr">
        <is>
          <t>ALLOWED</t>
        </is>
      </c>
      <c r="J63" s="42" t="inlineStr">
        <is>
          <t>DIRECT_OFFICIAL_STANDARD_ROW</t>
        </is>
      </c>
      <c r="K63" s="42" t="inlineStr">
        <is>
          <t>SDC0003156</t>
        </is>
      </c>
      <c r="L63" s="42" t="inlineStr">
        <is>
          <t>マド2枚建 (201910～)</t>
        </is>
      </c>
      <c r="M63" s="42" t="inlineStr">
        <is>
          <t>104</t>
        </is>
      </c>
      <c r="N63" s="42" t="inlineStr">
        <is>
          <t>18609</t>
        </is>
      </c>
      <c r="O63" s="42" t="inlineStr">
        <is>
          <t>防犯建物部品欄の30mil構成を規格呼称へ直接突合。</t>
        </is>
      </c>
    </row>
    <row r="64">
      <c r="A64" s="42" t="inlineStr">
        <is>
          <t>SZ-SL-000063</t>
        </is>
      </c>
      <c r="B64" s="42" t="inlineStr">
        <is>
          <t>WT-SL-HIKICHIGAI</t>
        </is>
      </c>
      <c r="C64" s="42" t="inlineStr">
        <is>
          <t>単体引違い窓</t>
        </is>
      </c>
      <c r="D64" s="42" t="str"/>
      <c r="E64" s="42" t="inlineStr">
        <is>
          <t>25109-2</t>
        </is>
      </c>
      <c r="F64" s="42" t="inlineStr">
        <is>
          <t>2550</t>
        </is>
      </c>
      <c r="G64" s="42" t="inlineStr">
        <is>
          <t>970</t>
        </is>
      </c>
      <c r="H64" s="42" t="inlineStr">
        <is>
          <t>True</t>
        </is>
      </c>
      <c r="I64" s="42" t="inlineStr">
        <is>
          <t>ALLOWED</t>
        </is>
      </c>
      <c r="J64" s="42" t="inlineStr">
        <is>
          <t>DIRECT_OFFICIAL_STANDARD_ROW</t>
        </is>
      </c>
      <c r="K64" s="42" t="inlineStr">
        <is>
          <t>SDC0003156</t>
        </is>
      </c>
      <c r="L64" s="42" t="inlineStr">
        <is>
          <t>マド2枚建 (201910～)</t>
        </is>
      </c>
      <c r="M64" s="42" t="inlineStr">
        <is>
          <t>107</t>
        </is>
      </c>
      <c r="N64" s="42" t="inlineStr">
        <is>
          <t>251092</t>
        </is>
      </c>
      <c r="O64" s="42" t="inlineStr">
        <is>
          <t>防犯建物部品欄の30mil構成を規格呼称へ直接突合。</t>
        </is>
      </c>
    </row>
    <row r="65">
      <c r="A65" s="42" t="inlineStr">
        <is>
          <t>SZ-SL-000064</t>
        </is>
      </c>
      <c r="B65" s="42" t="inlineStr">
        <is>
          <t>WT-SL-HIKICHIGAI</t>
        </is>
      </c>
      <c r="C65" s="42" t="inlineStr">
        <is>
          <t>単体引違い窓</t>
        </is>
      </c>
      <c r="D65" s="42" t="str"/>
      <c r="E65" s="42" t="inlineStr">
        <is>
          <t>25109-4</t>
        </is>
      </c>
      <c r="F65" s="42" t="inlineStr">
        <is>
          <t>2550</t>
        </is>
      </c>
      <c r="G65" s="42" t="inlineStr">
        <is>
          <t>970</t>
        </is>
      </c>
      <c r="H65" s="42" t="inlineStr">
        <is>
          <t>True</t>
        </is>
      </c>
      <c r="I65" s="42" t="inlineStr">
        <is>
          <t>ALLOWED</t>
        </is>
      </c>
      <c r="J65" s="42" t="inlineStr">
        <is>
          <t>DIRECT_OFFICIAL_STANDARD_ROW</t>
        </is>
      </c>
      <c r="K65" s="42" t="inlineStr">
        <is>
          <t>SDC0003156</t>
        </is>
      </c>
      <c r="L65" s="42" t="inlineStr">
        <is>
          <t>マド4枚建 (201910～)</t>
        </is>
      </c>
      <c r="M65" s="42" t="inlineStr">
        <is>
          <t>9</t>
        </is>
      </c>
      <c r="N65" s="42" t="inlineStr">
        <is>
          <t>251094</t>
        </is>
      </c>
      <c r="O65" s="42" t="inlineStr">
        <is>
          <t>防犯建物部品欄の30mil構成を規格呼称へ直接突合。</t>
        </is>
      </c>
    </row>
    <row r="66">
      <c r="A66" s="42" t="inlineStr">
        <is>
          <t>SZ-SL-000065</t>
        </is>
      </c>
      <c r="B66" s="42" t="inlineStr">
        <is>
          <t>WT-SL-HIKICHIGAI</t>
        </is>
      </c>
      <c r="C66" s="42" t="inlineStr">
        <is>
          <t>単体引違い窓</t>
        </is>
      </c>
      <c r="D66" s="42" t="str"/>
      <c r="E66" s="42" t="inlineStr">
        <is>
          <t>25609-2</t>
        </is>
      </c>
      <c r="F66" s="42" t="inlineStr">
        <is>
          <t>2600</t>
        </is>
      </c>
      <c r="G66" s="42" t="inlineStr">
        <is>
          <t>970</t>
        </is>
      </c>
      <c r="H66" s="42" t="inlineStr">
        <is>
          <t>True</t>
        </is>
      </c>
      <c r="I66" s="42" t="inlineStr">
        <is>
          <t>ALLOWED</t>
        </is>
      </c>
      <c r="J66" s="42" t="inlineStr">
        <is>
          <t>DIRECT_OFFICIAL_STANDARD_ROW</t>
        </is>
      </c>
      <c r="K66" s="42" t="inlineStr">
        <is>
          <t>SDC0003156</t>
        </is>
      </c>
      <c r="L66" s="42" t="inlineStr">
        <is>
          <t>マド2枚建 (201910～)</t>
        </is>
      </c>
      <c r="M66" s="42" t="inlineStr">
        <is>
          <t>110</t>
        </is>
      </c>
      <c r="N66" s="42" t="inlineStr">
        <is>
          <t>256092</t>
        </is>
      </c>
      <c r="O66" s="42" t="inlineStr">
        <is>
          <t>防犯建物部品欄の30mil構成を規格呼称へ直接突合。</t>
        </is>
      </c>
    </row>
    <row r="67">
      <c r="A67" s="42" t="inlineStr">
        <is>
          <t>SZ-SL-000066</t>
        </is>
      </c>
      <c r="B67" s="42" t="inlineStr">
        <is>
          <t>WT-SL-HIKICHIGAI</t>
        </is>
      </c>
      <c r="C67" s="42" t="inlineStr">
        <is>
          <t>単体引違い窓</t>
        </is>
      </c>
      <c r="D67" s="42" t="str"/>
      <c r="E67" s="42" t="inlineStr">
        <is>
          <t>25609-4</t>
        </is>
      </c>
      <c r="F67" s="42" t="inlineStr">
        <is>
          <t>2600</t>
        </is>
      </c>
      <c r="G67" s="42" t="inlineStr">
        <is>
          <t>970</t>
        </is>
      </c>
      <c r="H67" s="42" t="inlineStr">
        <is>
          <t>True</t>
        </is>
      </c>
      <c r="I67" s="42" t="inlineStr">
        <is>
          <t>ALLOWED</t>
        </is>
      </c>
      <c r="J67" s="42" t="inlineStr">
        <is>
          <t>DIRECT_OFFICIAL_STANDARD_ROW</t>
        </is>
      </c>
      <c r="K67" s="42" t="inlineStr">
        <is>
          <t>SDC0003156</t>
        </is>
      </c>
      <c r="L67" s="42" t="inlineStr">
        <is>
          <t>マド4枚建 (201910～)</t>
        </is>
      </c>
      <c r="M67" s="42" t="inlineStr">
        <is>
          <t>12</t>
        </is>
      </c>
      <c r="N67" s="42" t="inlineStr">
        <is>
          <t>256094</t>
        </is>
      </c>
      <c r="O67" s="42" t="inlineStr">
        <is>
          <t>防犯建物部品欄の30mil構成を規格呼称へ直接突合。</t>
        </is>
      </c>
    </row>
    <row r="68">
      <c r="A68" s="42" t="inlineStr">
        <is>
          <t>SZ-SL-000067</t>
        </is>
      </c>
      <c r="B68" s="42" t="inlineStr">
        <is>
          <t>WT-SL-HIKICHIGAI</t>
        </is>
      </c>
      <c r="C68" s="42" t="inlineStr">
        <is>
          <t>単体引違い窓</t>
        </is>
      </c>
      <c r="D68" s="42" t="str"/>
      <c r="E68" s="42" t="inlineStr">
        <is>
          <t>07411</t>
        </is>
      </c>
      <c r="F68" s="42" t="inlineStr">
        <is>
          <t>780</t>
        </is>
      </c>
      <c r="G68" s="42" t="inlineStr">
        <is>
          <t>1170</t>
        </is>
      </c>
      <c r="H68" s="42" t="inlineStr">
        <is>
          <t>True</t>
        </is>
      </c>
      <c r="I68" s="42" t="inlineStr">
        <is>
          <t>ALLOWED</t>
        </is>
      </c>
      <c r="J68" s="42" t="inlineStr">
        <is>
          <t>DIRECT_OFFICIAL_STANDARD_ROW</t>
        </is>
      </c>
      <c r="K68" s="42" t="inlineStr">
        <is>
          <t>SDC0003156</t>
        </is>
      </c>
      <c r="L68" s="42" t="inlineStr">
        <is>
          <t>マド2枚建 (201910～)</t>
        </is>
      </c>
      <c r="M68" s="42" t="inlineStr">
        <is>
          <t>21</t>
        </is>
      </c>
      <c r="N68" s="42" t="inlineStr">
        <is>
          <t>07411</t>
        </is>
      </c>
      <c r="O68" s="42" t="inlineStr">
        <is>
          <t>防犯建物部品欄の30mil構成を規格呼称へ直接突合。</t>
        </is>
      </c>
    </row>
    <row r="69">
      <c r="A69" s="42" t="inlineStr">
        <is>
          <t>SZ-SL-000068</t>
        </is>
      </c>
      <c r="B69" s="42" t="inlineStr">
        <is>
          <t>WT-SL-HIKICHIGAI</t>
        </is>
      </c>
      <c r="C69" s="42" t="inlineStr">
        <is>
          <t>単体引違い窓</t>
        </is>
      </c>
      <c r="D69" s="42" t="str"/>
      <c r="E69" s="42" t="inlineStr">
        <is>
          <t>08311</t>
        </is>
      </c>
      <c r="F69" s="42" t="inlineStr">
        <is>
          <t>870</t>
        </is>
      </c>
      <c r="G69" s="42" t="inlineStr">
        <is>
          <t>1170</t>
        </is>
      </c>
      <c r="H69" s="42" t="inlineStr">
        <is>
          <t>True</t>
        </is>
      </c>
      <c r="I69" s="42" t="inlineStr">
        <is>
          <t>ALLOWED</t>
        </is>
      </c>
      <c r="J69" s="42" t="inlineStr">
        <is>
          <t>DIRECT_OFFICIAL_STANDARD_ROW</t>
        </is>
      </c>
      <c r="K69" s="42" t="inlineStr">
        <is>
          <t>SDC0003156</t>
        </is>
      </c>
      <c r="L69" s="42" t="inlineStr">
        <is>
          <t>マド2枚建 (201910～)</t>
        </is>
      </c>
      <c r="M69" s="42" t="inlineStr">
        <is>
          <t>31</t>
        </is>
      </c>
      <c r="N69" s="42" t="inlineStr">
        <is>
          <t>08311</t>
        </is>
      </c>
      <c r="O69" s="42" t="inlineStr">
        <is>
          <t>防犯建物部品欄の30mil構成を規格呼称へ直接突合。</t>
        </is>
      </c>
    </row>
    <row r="70">
      <c r="A70" s="42" t="inlineStr">
        <is>
          <t>SZ-SL-000069</t>
        </is>
      </c>
      <c r="B70" s="42" t="inlineStr">
        <is>
          <t>WT-SL-HIKICHIGAI</t>
        </is>
      </c>
      <c r="C70" s="42" t="inlineStr">
        <is>
          <t>単体引違い窓</t>
        </is>
      </c>
      <c r="D70" s="42" t="str"/>
      <c r="E70" s="42" t="inlineStr">
        <is>
          <t>11411</t>
        </is>
      </c>
      <c r="F70" s="42" t="inlineStr">
        <is>
          <t>1185</t>
        </is>
      </c>
      <c r="G70" s="42" t="inlineStr">
        <is>
          <t>1170</t>
        </is>
      </c>
      <c r="H70" s="42" t="inlineStr">
        <is>
          <t>True</t>
        </is>
      </c>
      <c r="I70" s="42" t="inlineStr">
        <is>
          <t>ALLOWED</t>
        </is>
      </c>
      <c r="J70" s="42" t="inlineStr">
        <is>
          <t>DIRECT_OFFICIAL_STANDARD_ROW</t>
        </is>
      </c>
      <c r="K70" s="42" t="inlineStr">
        <is>
          <t>SDC0003156</t>
        </is>
      </c>
      <c r="L70" s="42" t="inlineStr">
        <is>
          <t>マド2枚建 (201910～)</t>
        </is>
      </c>
      <c r="M70" s="42" t="inlineStr">
        <is>
          <t>35</t>
        </is>
      </c>
      <c r="N70" s="42" t="inlineStr">
        <is>
          <t>11411</t>
        </is>
      </c>
      <c r="O70" s="42" t="inlineStr">
        <is>
          <t>防犯建物部品欄の30mil構成を規格呼称へ直接突合。</t>
        </is>
      </c>
    </row>
    <row r="71">
      <c r="A71" s="42" t="inlineStr">
        <is>
          <t>SZ-SL-000070</t>
        </is>
      </c>
      <c r="B71" s="42" t="inlineStr">
        <is>
          <t>WT-SL-HIKICHIGAI</t>
        </is>
      </c>
      <c r="C71" s="42" t="inlineStr">
        <is>
          <t>単体引違い窓</t>
        </is>
      </c>
      <c r="D71" s="42" t="str"/>
      <c r="E71" s="42" t="inlineStr">
        <is>
          <t>11413</t>
        </is>
      </c>
      <c r="F71" s="42" t="inlineStr">
        <is>
          <t>1185</t>
        </is>
      </c>
      <c r="G71" s="42" t="inlineStr">
        <is>
          <t>1370</t>
        </is>
      </c>
      <c r="H71" s="42" t="inlineStr">
        <is>
          <t>True</t>
        </is>
      </c>
      <c r="I71" s="42" t="inlineStr">
        <is>
          <t>ALLOWED</t>
        </is>
      </c>
      <c r="J71" s="42" t="inlineStr">
        <is>
          <t>DIRECT_OFFICIAL_STANDARD_ROW</t>
        </is>
      </c>
      <c r="K71" s="42" t="inlineStr">
        <is>
          <t>SDC0003156</t>
        </is>
      </c>
      <c r="L71" s="42" t="inlineStr">
        <is>
          <t>マド2枚建 (201910～)</t>
        </is>
      </c>
      <c r="M71" s="42" t="inlineStr">
        <is>
          <t>36</t>
        </is>
      </c>
      <c r="N71" s="42" t="inlineStr">
        <is>
          <t>11413</t>
        </is>
      </c>
      <c r="O71" s="42" t="inlineStr">
        <is>
          <t>防犯建物部品欄の30mil構成を規格呼称へ直接突合。</t>
        </is>
      </c>
    </row>
    <row r="72">
      <c r="A72" s="42" t="inlineStr">
        <is>
          <t>SZ-SL-000071</t>
        </is>
      </c>
      <c r="B72" s="42" t="inlineStr">
        <is>
          <t>WT-SL-HIKICHIGAI</t>
        </is>
      </c>
      <c r="C72" s="42" t="inlineStr">
        <is>
          <t>単体引違い窓</t>
        </is>
      </c>
      <c r="D72" s="42" t="str"/>
      <c r="E72" s="42" t="inlineStr">
        <is>
          <t>11911</t>
        </is>
      </c>
      <c r="F72" s="42" t="inlineStr">
        <is>
          <t>1235</t>
        </is>
      </c>
      <c r="G72" s="42" t="inlineStr">
        <is>
          <t>1170</t>
        </is>
      </c>
      <c r="H72" s="42" t="inlineStr">
        <is>
          <t>True</t>
        </is>
      </c>
      <c r="I72" s="42" t="inlineStr">
        <is>
          <t>ALLOWED</t>
        </is>
      </c>
      <c r="J72" s="42" t="inlineStr">
        <is>
          <t>DIRECT_OFFICIAL_STANDARD_ROW</t>
        </is>
      </c>
      <c r="K72" s="42" t="inlineStr">
        <is>
          <t>SDC0003156</t>
        </is>
      </c>
      <c r="L72" s="42" t="inlineStr">
        <is>
          <t>マド2枚建 (201910～)</t>
        </is>
      </c>
      <c r="M72" s="42" t="inlineStr">
        <is>
          <t>41</t>
        </is>
      </c>
      <c r="N72" s="42" t="inlineStr">
        <is>
          <t>11911</t>
        </is>
      </c>
      <c r="O72" s="42" t="inlineStr">
        <is>
          <t>防犯建物部品欄の30mil構成を規格呼称へ直接突合。</t>
        </is>
      </c>
    </row>
    <row r="73">
      <c r="A73" s="42" t="inlineStr">
        <is>
          <t>SZ-SL-000072</t>
        </is>
      </c>
      <c r="B73" s="42" t="inlineStr">
        <is>
          <t>WT-SL-HIKICHIGAI</t>
        </is>
      </c>
      <c r="C73" s="42" t="inlineStr">
        <is>
          <t>単体引違い窓</t>
        </is>
      </c>
      <c r="D73" s="42" t="str"/>
      <c r="E73" s="42" t="inlineStr">
        <is>
          <t>11913</t>
        </is>
      </c>
      <c r="F73" s="42" t="inlineStr">
        <is>
          <t>1235</t>
        </is>
      </c>
      <c r="G73" s="42" t="inlineStr">
        <is>
          <t>1370</t>
        </is>
      </c>
      <c r="H73" s="42" t="inlineStr">
        <is>
          <t>True</t>
        </is>
      </c>
      <c r="I73" s="42" t="inlineStr">
        <is>
          <t>ALLOWED</t>
        </is>
      </c>
      <c r="J73" s="42" t="inlineStr">
        <is>
          <t>DIRECT_OFFICIAL_STANDARD_ROW</t>
        </is>
      </c>
      <c r="K73" s="42" t="inlineStr">
        <is>
          <t>SDC0003156</t>
        </is>
      </c>
      <c r="L73" s="42" t="inlineStr">
        <is>
          <t>マド2枚建 (201910～)</t>
        </is>
      </c>
      <c r="M73" s="42" t="inlineStr">
        <is>
          <t>42</t>
        </is>
      </c>
      <c r="N73" s="42" t="inlineStr">
        <is>
          <t>11913</t>
        </is>
      </c>
      <c r="O73" s="42" t="inlineStr">
        <is>
          <t>防犯建物部品欄の30mil構成を規格呼称へ直接突合。</t>
        </is>
      </c>
    </row>
    <row r="74">
      <c r="A74" s="42" t="inlineStr">
        <is>
          <t>SZ-SL-000073</t>
        </is>
      </c>
      <c r="B74" s="42" t="inlineStr">
        <is>
          <t>WT-SL-HIKICHIGAI</t>
        </is>
      </c>
      <c r="C74" s="42" t="inlineStr">
        <is>
          <t>単体引違い窓</t>
        </is>
      </c>
      <c r="D74" s="42" t="str"/>
      <c r="E74" s="42" t="inlineStr">
        <is>
          <t>12811</t>
        </is>
      </c>
      <c r="F74" s="42" t="inlineStr">
        <is>
          <t>1320</t>
        </is>
      </c>
      <c r="G74" s="42" t="inlineStr">
        <is>
          <t>1170</t>
        </is>
      </c>
      <c r="H74" s="42" t="inlineStr">
        <is>
          <t>True</t>
        </is>
      </c>
      <c r="I74" s="42" t="inlineStr">
        <is>
          <t>ALLOWED</t>
        </is>
      </c>
      <c r="J74" s="42" t="inlineStr">
        <is>
          <t>DIRECT_OFFICIAL_STANDARD_ROW</t>
        </is>
      </c>
      <c r="K74" s="42" t="inlineStr">
        <is>
          <t>SDC0003156</t>
        </is>
      </c>
      <c r="L74" s="42" t="inlineStr">
        <is>
          <t>マド2枚建 (201910～)</t>
        </is>
      </c>
      <c r="M74" s="42" t="inlineStr">
        <is>
          <t>46</t>
        </is>
      </c>
      <c r="N74" s="42" t="inlineStr">
        <is>
          <t>12811</t>
        </is>
      </c>
      <c r="O74" s="42" t="inlineStr">
        <is>
          <t>防犯建物部品欄の30mil構成を規格呼称へ直接突合。</t>
        </is>
      </c>
    </row>
    <row r="75">
      <c r="A75" s="42" t="inlineStr">
        <is>
          <t>SZ-SL-000074</t>
        </is>
      </c>
      <c r="B75" s="42" t="inlineStr">
        <is>
          <t>WT-SL-HIKICHIGAI</t>
        </is>
      </c>
      <c r="C75" s="42" t="inlineStr">
        <is>
          <t>単体引違い窓</t>
        </is>
      </c>
      <c r="D75" s="42" t="str"/>
      <c r="E75" s="42" t="inlineStr">
        <is>
          <t>12813</t>
        </is>
      </c>
      <c r="F75" s="42" t="inlineStr">
        <is>
          <t>1320</t>
        </is>
      </c>
      <c r="G75" s="42" t="inlineStr">
        <is>
          <t>1370</t>
        </is>
      </c>
      <c r="H75" s="42" t="inlineStr">
        <is>
          <t>True</t>
        </is>
      </c>
      <c r="I75" s="42" t="inlineStr">
        <is>
          <t>ALLOWED</t>
        </is>
      </c>
      <c r="J75" s="42" t="inlineStr">
        <is>
          <t>DIRECT_OFFICIAL_STANDARD_ROW</t>
        </is>
      </c>
      <c r="K75" s="42" t="inlineStr">
        <is>
          <t>SDC0003156</t>
        </is>
      </c>
      <c r="L75" s="42" t="inlineStr">
        <is>
          <t>マド2枚建 (201910～)</t>
        </is>
      </c>
      <c r="M75" s="42" t="inlineStr">
        <is>
          <t>47</t>
        </is>
      </c>
      <c r="N75" s="42" t="inlineStr">
        <is>
          <t>12813</t>
        </is>
      </c>
      <c r="O75" s="42" t="inlineStr">
        <is>
          <t>防犯建物部品欄の30mil構成を規格呼称へ直接突合。</t>
        </is>
      </c>
    </row>
    <row r="76">
      <c r="A76" s="42" t="inlineStr">
        <is>
          <t>SZ-SL-000075</t>
        </is>
      </c>
      <c r="B76" s="42" t="inlineStr">
        <is>
          <t>WT-SL-HIKICHIGAI</t>
        </is>
      </c>
      <c r="C76" s="42" t="inlineStr">
        <is>
          <t>単体引違い窓</t>
        </is>
      </c>
      <c r="D76" s="42" t="str"/>
      <c r="E76" s="42" t="inlineStr">
        <is>
          <t>13311</t>
        </is>
      </c>
      <c r="F76" s="42" t="inlineStr">
        <is>
          <t>1370</t>
        </is>
      </c>
      <c r="G76" s="42" t="inlineStr">
        <is>
          <t>1170</t>
        </is>
      </c>
      <c r="H76" s="42" t="inlineStr">
        <is>
          <t>True</t>
        </is>
      </c>
      <c r="I76" s="42" t="inlineStr">
        <is>
          <t>ALLOWED</t>
        </is>
      </c>
      <c r="J76" s="42" t="inlineStr">
        <is>
          <t>DIRECT_OFFICIAL_STANDARD_ROW</t>
        </is>
      </c>
      <c r="K76" s="42" t="inlineStr">
        <is>
          <t>SDC0003156</t>
        </is>
      </c>
      <c r="L76" s="42" t="inlineStr">
        <is>
          <t>マド2枚建 (201910～)</t>
        </is>
      </c>
      <c r="M76" s="42" t="inlineStr">
        <is>
          <t>51</t>
        </is>
      </c>
      <c r="N76" s="42" t="inlineStr">
        <is>
          <t>13311</t>
        </is>
      </c>
      <c r="O76" s="42" t="inlineStr">
        <is>
          <t>防犯建物部品欄の30mil構成を規格呼称へ直接突合。</t>
        </is>
      </c>
    </row>
    <row r="77">
      <c r="A77" s="42" t="inlineStr">
        <is>
          <t>SZ-SL-000076</t>
        </is>
      </c>
      <c r="B77" s="42" t="inlineStr">
        <is>
          <t>WT-SL-HIKICHIGAI</t>
        </is>
      </c>
      <c r="C77" s="42" t="inlineStr">
        <is>
          <t>単体引違い窓</t>
        </is>
      </c>
      <c r="D77" s="42" t="str"/>
      <c r="E77" s="42" t="inlineStr">
        <is>
          <t>13313</t>
        </is>
      </c>
      <c r="F77" s="42" t="inlineStr">
        <is>
          <t>1370</t>
        </is>
      </c>
      <c r="G77" s="42" t="inlineStr">
        <is>
          <t>1370</t>
        </is>
      </c>
      <c r="H77" s="42" t="inlineStr">
        <is>
          <t>True</t>
        </is>
      </c>
      <c r="I77" s="42" t="inlineStr">
        <is>
          <t>ALLOWED</t>
        </is>
      </c>
      <c r="J77" s="42" t="inlineStr">
        <is>
          <t>DIRECT_OFFICIAL_STANDARD_ROW</t>
        </is>
      </c>
      <c r="K77" s="42" t="inlineStr">
        <is>
          <t>SDC0003156</t>
        </is>
      </c>
      <c r="L77" s="42" t="inlineStr">
        <is>
          <t>マド2枚建 (201910～)</t>
        </is>
      </c>
      <c r="M77" s="42" t="inlineStr">
        <is>
          <t>52</t>
        </is>
      </c>
      <c r="N77" s="42" t="inlineStr">
        <is>
          <t>13313</t>
        </is>
      </c>
      <c r="O77" s="42" t="inlineStr">
        <is>
          <t>防犯建物部品欄の30mil構成を規格呼称へ直接突合。</t>
        </is>
      </c>
    </row>
    <row r="78">
      <c r="A78" s="42" t="inlineStr">
        <is>
          <t>SZ-SL-000077</t>
        </is>
      </c>
      <c r="B78" s="42" t="inlineStr">
        <is>
          <t>WT-SL-HIKICHIGAI</t>
        </is>
      </c>
      <c r="C78" s="42" t="inlineStr">
        <is>
          <t>単体引違い窓</t>
        </is>
      </c>
      <c r="D78" s="42" t="str"/>
      <c r="E78" s="42" t="inlineStr">
        <is>
          <t>15011</t>
        </is>
      </c>
      <c r="F78" s="42" t="inlineStr">
        <is>
          <t>1540</t>
        </is>
      </c>
      <c r="G78" s="42" t="inlineStr">
        <is>
          <t>1170</t>
        </is>
      </c>
      <c r="H78" s="42" t="inlineStr">
        <is>
          <t>True</t>
        </is>
      </c>
      <c r="I78" s="42" t="inlineStr">
        <is>
          <t>ALLOWED</t>
        </is>
      </c>
      <c r="J78" s="42" t="inlineStr">
        <is>
          <t>DIRECT_OFFICIAL_STANDARD_ROW</t>
        </is>
      </c>
      <c r="K78" s="42" t="inlineStr">
        <is>
          <t>SDC0003156</t>
        </is>
      </c>
      <c r="L78" s="42" t="inlineStr">
        <is>
          <t>マド2枚建 (201910～)</t>
        </is>
      </c>
      <c r="M78" s="42" t="inlineStr">
        <is>
          <t>56</t>
        </is>
      </c>
      <c r="N78" s="42" t="inlineStr">
        <is>
          <t>15011</t>
        </is>
      </c>
      <c r="O78" s="42" t="inlineStr">
        <is>
          <t>防犯建物部品欄の30mil構成を規格呼称へ直接突合。</t>
        </is>
      </c>
    </row>
    <row r="79">
      <c r="A79" s="42" t="inlineStr">
        <is>
          <t>SZ-SL-000078</t>
        </is>
      </c>
      <c r="B79" s="42" t="inlineStr">
        <is>
          <t>WT-SL-HIKICHIGAI</t>
        </is>
      </c>
      <c r="C79" s="42" t="inlineStr">
        <is>
          <t>単体引違い窓</t>
        </is>
      </c>
      <c r="D79" s="42" t="str"/>
      <c r="E79" s="42" t="inlineStr">
        <is>
          <t>15013</t>
        </is>
      </c>
      <c r="F79" s="42" t="inlineStr">
        <is>
          <t>1540</t>
        </is>
      </c>
      <c r="G79" s="42" t="inlineStr">
        <is>
          <t>1370</t>
        </is>
      </c>
      <c r="H79" s="42" t="inlineStr">
        <is>
          <t>True</t>
        </is>
      </c>
      <c r="I79" s="42" t="inlineStr">
        <is>
          <t>ALLOWED</t>
        </is>
      </c>
      <c r="J79" s="42" t="inlineStr">
        <is>
          <t>DIRECT_OFFICIAL_STANDARD_ROW</t>
        </is>
      </c>
      <c r="K79" s="42" t="inlineStr">
        <is>
          <t>SDC0003156</t>
        </is>
      </c>
      <c r="L79" s="42" t="inlineStr">
        <is>
          <t>マド2枚建 (201910～)</t>
        </is>
      </c>
      <c r="M79" s="42" t="inlineStr">
        <is>
          <t>57</t>
        </is>
      </c>
      <c r="N79" s="42" t="inlineStr">
        <is>
          <t>15013</t>
        </is>
      </c>
      <c r="O79" s="42" t="inlineStr">
        <is>
          <t>防犯建物部品欄の30mil構成を規格呼称へ直接突合。</t>
        </is>
      </c>
    </row>
    <row r="80">
      <c r="A80" s="42" t="inlineStr">
        <is>
          <t>SZ-SL-000079</t>
        </is>
      </c>
      <c r="B80" s="42" t="inlineStr">
        <is>
          <t>WT-SL-HIKICHIGAI</t>
        </is>
      </c>
      <c r="C80" s="42" t="inlineStr">
        <is>
          <t>単体引違い窓</t>
        </is>
      </c>
      <c r="D80" s="42" t="str"/>
      <c r="E80" s="42" t="inlineStr">
        <is>
          <t>15015</t>
        </is>
      </c>
      <c r="F80" s="42" t="inlineStr">
        <is>
          <t>1540</t>
        </is>
      </c>
      <c r="G80" s="42" t="inlineStr">
        <is>
          <t>1570</t>
        </is>
      </c>
      <c r="H80" s="42" t="inlineStr">
        <is>
          <t>True</t>
        </is>
      </c>
      <c r="I80" s="42" t="inlineStr">
        <is>
          <t>ALLOWED</t>
        </is>
      </c>
      <c r="J80" s="42" t="inlineStr">
        <is>
          <t>DIRECT_OFFICIAL_STANDARD_ROW</t>
        </is>
      </c>
      <c r="K80" s="42" t="inlineStr">
        <is>
          <t>SDC0003156</t>
        </is>
      </c>
      <c r="L80" s="42" t="inlineStr">
        <is>
          <t>マド2枚建 (201910～)</t>
        </is>
      </c>
      <c r="M80" s="42" t="inlineStr">
        <is>
          <t>58</t>
        </is>
      </c>
      <c r="N80" s="42" t="inlineStr">
        <is>
          <t>15015</t>
        </is>
      </c>
      <c r="O80" s="42" t="inlineStr">
        <is>
          <t>防犯建物部品欄の30mil構成を規格呼称へ直接突合。</t>
        </is>
      </c>
    </row>
    <row r="81">
      <c r="A81" s="42" t="inlineStr">
        <is>
          <t>SZ-SL-000080</t>
        </is>
      </c>
      <c r="B81" s="42" t="inlineStr">
        <is>
          <t>WT-SL-HIKICHIGAI</t>
        </is>
      </c>
      <c r="C81" s="42" t="inlineStr">
        <is>
          <t>単体引違い窓</t>
        </is>
      </c>
      <c r="D81" s="42" t="str"/>
      <c r="E81" s="42" t="inlineStr">
        <is>
          <t>16011</t>
        </is>
      </c>
      <c r="F81" s="42" t="inlineStr">
        <is>
          <t>1640</t>
        </is>
      </c>
      <c r="G81" s="42" t="inlineStr">
        <is>
          <t>1170</t>
        </is>
      </c>
      <c r="H81" s="42" t="inlineStr">
        <is>
          <t>True</t>
        </is>
      </c>
      <c r="I81" s="42" t="inlineStr">
        <is>
          <t>ALLOWED</t>
        </is>
      </c>
      <c r="J81" s="42" t="inlineStr">
        <is>
          <t>DIRECT_OFFICIAL_STANDARD_ROW</t>
        </is>
      </c>
      <c r="K81" s="42" t="inlineStr">
        <is>
          <t>SDC0003156</t>
        </is>
      </c>
      <c r="L81" s="42" t="inlineStr">
        <is>
          <t>マド2枚建 (201910～)</t>
        </is>
      </c>
      <c r="M81" s="42" t="inlineStr">
        <is>
          <t>67</t>
        </is>
      </c>
      <c r="N81" s="42" t="inlineStr">
        <is>
          <t>16011</t>
        </is>
      </c>
      <c r="O81" s="42" t="inlineStr">
        <is>
          <t>防犯建物部品欄の30mil構成を規格呼称へ直接突合。</t>
        </is>
      </c>
    </row>
    <row r="82">
      <c r="A82" s="42" t="inlineStr">
        <is>
          <t>SZ-SL-000081</t>
        </is>
      </c>
      <c r="B82" s="42" t="inlineStr">
        <is>
          <t>WT-SL-HIKICHIGAI</t>
        </is>
      </c>
      <c r="C82" s="42" t="inlineStr">
        <is>
          <t>単体引違い窓</t>
        </is>
      </c>
      <c r="D82" s="42" t="str"/>
      <c r="E82" s="42" t="inlineStr">
        <is>
          <t>16013</t>
        </is>
      </c>
      <c r="F82" s="42" t="inlineStr">
        <is>
          <t>1640</t>
        </is>
      </c>
      <c r="G82" s="42" t="inlineStr">
        <is>
          <t>1370</t>
        </is>
      </c>
      <c r="H82" s="42" t="inlineStr">
        <is>
          <t>True</t>
        </is>
      </c>
      <c r="I82" s="42" t="inlineStr">
        <is>
          <t>ALLOWED</t>
        </is>
      </c>
      <c r="J82" s="42" t="inlineStr">
        <is>
          <t>DIRECT_OFFICIAL_STANDARD_ROW</t>
        </is>
      </c>
      <c r="K82" s="42" t="inlineStr">
        <is>
          <t>SDC0003156</t>
        </is>
      </c>
      <c r="L82" s="42" t="inlineStr">
        <is>
          <t>マド2枚建 (201910～)</t>
        </is>
      </c>
      <c r="M82" s="42" t="inlineStr">
        <is>
          <t>68</t>
        </is>
      </c>
      <c r="N82" s="42" t="inlineStr">
        <is>
          <t>16013</t>
        </is>
      </c>
      <c r="O82" s="42" t="inlineStr">
        <is>
          <t>防犯建物部品欄の30mil構成を規格呼称へ直接突合。</t>
        </is>
      </c>
    </row>
    <row r="83">
      <c r="A83" s="42" t="inlineStr">
        <is>
          <t>SZ-SL-000082</t>
        </is>
      </c>
      <c r="B83" s="42" t="inlineStr">
        <is>
          <t>WT-SL-HIKICHIGAI</t>
        </is>
      </c>
      <c r="C83" s="42" t="inlineStr">
        <is>
          <t>単体引違い窓</t>
        </is>
      </c>
      <c r="D83" s="42" t="str"/>
      <c r="E83" s="42" t="inlineStr">
        <is>
          <t>16015</t>
        </is>
      </c>
      <c r="F83" s="42" t="inlineStr">
        <is>
          <t>1640</t>
        </is>
      </c>
      <c r="G83" s="42" t="inlineStr">
        <is>
          <t>1570</t>
        </is>
      </c>
      <c r="H83" s="42" t="inlineStr">
        <is>
          <t>True</t>
        </is>
      </c>
      <c r="I83" s="42" t="inlineStr">
        <is>
          <t>ALLOWED</t>
        </is>
      </c>
      <c r="J83" s="42" t="inlineStr">
        <is>
          <t>DIRECT_OFFICIAL_STANDARD_ROW</t>
        </is>
      </c>
      <c r="K83" s="42" t="inlineStr">
        <is>
          <t>SDC0003156</t>
        </is>
      </c>
      <c r="L83" s="42" t="inlineStr">
        <is>
          <t>マド2枚建 (201910～)</t>
        </is>
      </c>
      <c r="M83" s="42" t="inlineStr">
        <is>
          <t>69</t>
        </is>
      </c>
      <c r="N83" s="42" t="inlineStr">
        <is>
          <t>16015</t>
        </is>
      </c>
      <c r="O83" s="42" t="inlineStr">
        <is>
          <t>防犯建物部品欄の30mil構成を規格呼称へ直接突合。</t>
        </is>
      </c>
    </row>
    <row r="84">
      <c r="A84" s="42" t="inlineStr">
        <is>
          <t>SZ-SL-000083</t>
        </is>
      </c>
      <c r="B84" s="42" t="inlineStr">
        <is>
          <t>WT-SL-HIKICHIGAI</t>
        </is>
      </c>
      <c r="C84" s="42" t="inlineStr">
        <is>
          <t>単体引違い窓</t>
        </is>
      </c>
      <c r="D84" s="42" t="str"/>
      <c r="E84" s="42" t="inlineStr">
        <is>
          <t>16511</t>
        </is>
      </c>
      <c r="F84" s="42" t="inlineStr">
        <is>
          <t>1690</t>
        </is>
      </c>
      <c r="G84" s="42" t="inlineStr">
        <is>
          <t>1170</t>
        </is>
      </c>
      <c r="H84" s="42" t="inlineStr">
        <is>
          <t>True</t>
        </is>
      </c>
      <c r="I84" s="42" t="inlineStr">
        <is>
          <t>ALLOWED</t>
        </is>
      </c>
      <c r="J84" s="42" t="inlineStr">
        <is>
          <t>DIRECT_OFFICIAL_STANDARD_ROW</t>
        </is>
      </c>
      <c r="K84" s="42" t="inlineStr">
        <is>
          <t>SDC0003156</t>
        </is>
      </c>
      <c r="L84" s="42" t="inlineStr">
        <is>
          <t>マド2枚建 (201910～)</t>
        </is>
      </c>
      <c r="M84" s="42" t="inlineStr">
        <is>
          <t>74</t>
        </is>
      </c>
      <c r="N84" s="42" t="inlineStr">
        <is>
          <t>16511</t>
        </is>
      </c>
      <c r="O84" s="42" t="inlineStr">
        <is>
          <t>防犯建物部品欄の30mil構成を規格呼称へ直接突合。</t>
        </is>
      </c>
    </row>
    <row r="85">
      <c r="A85" s="42" t="inlineStr">
        <is>
          <t>SZ-SL-000084</t>
        </is>
      </c>
      <c r="B85" s="42" t="inlineStr">
        <is>
          <t>WT-SL-HIKICHIGAI</t>
        </is>
      </c>
      <c r="C85" s="42" t="inlineStr">
        <is>
          <t>単体引違い窓</t>
        </is>
      </c>
      <c r="D85" s="42" t="str"/>
      <c r="E85" s="42" t="inlineStr">
        <is>
          <t>16513</t>
        </is>
      </c>
      <c r="F85" s="42" t="inlineStr">
        <is>
          <t>1690</t>
        </is>
      </c>
      <c r="G85" s="42" t="inlineStr">
        <is>
          <t>1370</t>
        </is>
      </c>
      <c r="H85" s="42" t="inlineStr">
        <is>
          <t>True</t>
        </is>
      </c>
      <c r="I85" s="42" t="inlineStr">
        <is>
          <t>ALLOWED</t>
        </is>
      </c>
      <c r="J85" s="42" t="inlineStr">
        <is>
          <t>DIRECT_OFFICIAL_STANDARD_ROW</t>
        </is>
      </c>
      <c r="K85" s="42" t="inlineStr">
        <is>
          <t>SDC0003156</t>
        </is>
      </c>
      <c r="L85" s="42" t="inlineStr">
        <is>
          <t>マド2枚建 (201910～)</t>
        </is>
      </c>
      <c r="M85" s="42" t="inlineStr">
        <is>
          <t>75</t>
        </is>
      </c>
      <c r="N85" s="42" t="inlineStr">
        <is>
          <t>16513</t>
        </is>
      </c>
      <c r="O85" s="42" t="inlineStr">
        <is>
          <t>防犯建物部品欄の30mil構成を規格呼称へ直接突合。</t>
        </is>
      </c>
    </row>
    <row r="86">
      <c r="A86" s="42" t="inlineStr">
        <is>
          <t>SZ-SL-000085</t>
        </is>
      </c>
      <c r="B86" s="42" t="inlineStr">
        <is>
          <t>WT-SL-HIKICHIGAI</t>
        </is>
      </c>
      <c r="C86" s="42" t="inlineStr">
        <is>
          <t>単体引違い窓</t>
        </is>
      </c>
      <c r="D86" s="42" t="str"/>
      <c r="E86" s="42" t="inlineStr">
        <is>
          <t>16515</t>
        </is>
      </c>
      <c r="F86" s="42" t="inlineStr">
        <is>
          <t>1690</t>
        </is>
      </c>
      <c r="G86" s="42" t="inlineStr">
        <is>
          <t>1570</t>
        </is>
      </c>
      <c r="H86" s="42" t="inlineStr">
        <is>
          <t>True</t>
        </is>
      </c>
      <c r="I86" s="42" t="inlineStr">
        <is>
          <t>ALLOWED</t>
        </is>
      </c>
      <c r="J86" s="42" t="inlineStr">
        <is>
          <t>DIRECT_OFFICIAL_STANDARD_ROW</t>
        </is>
      </c>
      <c r="K86" s="42" t="inlineStr">
        <is>
          <t>SDC0003156</t>
        </is>
      </c>
      <c r="L86" s="42" t="inlineStr">
        <is>
          <t>マド2枚建 (201910～)</t>
        </is>
      </c>
      <c r="M86" s="42" t="inlineStr">
        <is>
          <t>76</t>
        </is>
      </c>
      <c r="N86" s="42" t="inlineStr">
        <is>
          <t>16515</t>
        </is>
      </c>
      <c r="O86" s="42" t="inlineStr">
        <is>
          <t>防犯建物部品欄の30mil構成を規格呼称へ直接突合。</t>
        </is>
      </c>
    </row>
    <row r="87">
      <c r="A87" s="42" t="inlineStr">
        <is>
          <t>SZ-SL-000086</t>
        </is>
      </c>
      <c r="B87" s="42" t="inlineStr">
        <is>
          <t>WT-SL-HIKICHIGAI</t>
        </is>
      </c>
      <c r="C87" s="42" t="inlineStr">
        <is>
          <t>単体引違い窓</t>
        </is>
      </c>
      <c r="D87" s="42" t="str"/>
      <c r="E87" s="42" t="inlineStr">
        <is>
          <t>17411</t>
        </is>
      </c>
      <c r="F87" s="42" t="inlineStr">
        <is>
          <t>1780</t>
        </is>
      </c>
      <c r="G87" s="42" t="inlineStr">
        <is>
          <t>1170</t>
        </is>
      </c>
      <c r="H87" s="42" t="inlineStr">
        <is>
          <t>True</t>
        </is>
      </c>
      <c r="I87" s="42" t="inlineStr">
        <is>
          <t>ALLOWED</t>
        </is>
      </c>
      <c r="J87" s="42" t="inlineStr">
        <is>
          <t>DIRECT_OFFICIAL_STANDARD_ROW</t>
        </is>
      </c>
      <c r="K87" s="42" t="inlineStr">
        <is>
          <t>SDC0003156</t>
        </is>
      </c>
      <c r="L87" s="42" t="inlineStr">
        <is>
          <t>マド2枚建 (201910～)</t>
        </is>
      </c>
      <c r="M87" s="42" t="inlineStr">
        <is>
          <t>80</t>
        </is>
      </c>
      <c r="N87" s="42" t="inlineStr">
        <is>
          <t>17411</t>
        </is>
      </c>
      <c r="O87" s="42" t="inlineStr">
        <is>
          <t>防犯建物部品欄の30mil構成を規格呼称へ直接突合。</t>
        </is>
      </c>
    </row>
    <row r="88">
      <c r="A88" s="42" t="inlineStr">
        <is>
          <t>SZ-SL-000087</t>
        </is>
      </c>
      <c r="B88" s="42" t="inlineStr">
        <is>
          <t>WT-SL-HIKICHIGAI</t>
        </is>
      </c>
      <c r="C88" s="42" t="inlineStr">
        <is>
          <t>単体引違い窓</t>
        </is>
      </c>
      <c r="D88" s="42" t="str"/>
      <c r="E88" s="42" t="inlineStr">
        <is>
          <t>17413</t>
        </is>
      </c>
      <c r="F88" s="42" t="inlineStr">
        <is>
          <t>1780</t>
        </is>
      </c>
      <c r="G88" s="42" t="inlineStr">
        <is>
          <t>1370</t>
        </is>
      </c>
      <c r="H88" s="42" t="inlineStr">
        <is>
          <t>True</t>
        </is>
      </c>
      <c r="I88" s="42" t="inlineStr">
        <is>
          <t>ALLOWED</t>
        </is>
      </c>
      <c r="J88" s="42" t="inlineStr">
        <is>
          <t>DIRECT_OFFICIAL_STANDARD_ROW</t>
        </is>
      </c>
      <c r="K88" s="42" t="inlineStr">
        <is>
          <t>SDC0003156</t>
        </is>
      </c>
      <c r="L88" s="42" t="inlineStr">
        <is>
          <t>マド2枚建 (201910～)</t>
        </is>
      </c>
      <c r="M88" s="42" t="inlineStr">
        <is>
          <t>81</t>
        </is>
      </c>
      <c r="N88" s="42" t="inlineStr">
        <is>
          <t>17413</t>
        </is>
      </c>
      <c r="O88" s="42" t="inlineStr">
        <is>
          <t>防犯建物部品欄の30mil構成を規格呼称へ直接突合。</t>
        </is>
      </c>
    </row>
    <row r="89">
      <c r="A89" s="42" t="inlineStr">
        <is>
          <t>SZ-SL-000088</t>
        </is>
      </c>
      <c r="B89" s="42" t="inlineStr">
        <is>
          <t>WT-SL-HIKICHIGAI</t>
        </is>
      </c>
      <c r="C89" s="42" t="inlineStr">
        <is>
          <t>単体引違い窓</t>
        </is>
      </c>
      <c r="D89" s="42" t="str"/>
      <c r="E89" s="42" t="inlineStr">
        <is>
          <t>17611</t>
        </is>
      </c>
      <c r="F89" s="42" t="inlineStr">
        <is>
          <t>1800</t>
        </is>
      </c>
      <c r="G89" s="42" t="inlineStr">
        <is>
          <t>1170</t>
        </is>
      </c>
      <c r="H89" s="42" t="inlineStr">
        <is>
          <t>True</t>
        </is>
      </c>
      <c r="I89" s="42" t="inlineStr">
        <is>
          <t>ALLOWED</t>
        </is>
      </c>
      <c r="J89" s="42" t="inlineStr">
        <is>
          <t>DIRECT_OFFICIAL_STANDARD_ROW</t>
        </is>
      </c>
      <c r="K89" s="42" t="inlineStr">
        <is>
          <t>SDC0003156</t>
        </is>
      </c>
      <c r="L89" s="42" t="inlineStr">
        <is>
          <t>マド2枚建 (201910～)</t>
        </is>
      </c>
      <c r="M89" s="42" t="inlineStr">
        <is>
          <t>85</t>
        </is>
      </c>
      <c r="N89" s="42" t="inlineStr">
        <is>
          <t>17611</t>
        </is>
      </c>
      <c r="O89" s="42" t="inlineStr">
        <is>
          <t>防犯建物部品欄の30mil構成を規格呼称へ直接突合。</t>
        </is>
      </c>
    </row>
    <row r="90">
      <c r="A90" s="42" t="inlineStr">
        <is>
          <t>SZ-SL-000089</t>
        </is>
      </c>
      <c r="B90" s="42" t="inlineStr">
        <is>
          <t>WT-SL-HIKICHIGAI</t>
        </is>
      </c>
      <c r="C90" s="42" t="inlineStr">
        <is>
          <t>単体引違い窓</t>
        </is>
      </c>
      <c r="D90" s="42" t="str"/>
      <c r="E90" s="42" t="inlineStr">
        <is>
          <t>17613</t>
        </is>
      </c>
      <c r="F90" s="42" t="inlineStr">
        <is>
          <t>1800</t>
        </is>
      </c>
      <c r="G90" s="42" t="inlineStr">
        <is>
          <t>1370</t>
        </is>
      </c>
      <c r="H90" s="42" t="inlineStr">
        <is>
          <t>True</t>
        </is>
      </c>
      <c r="I90" s="42" t="inlineStr">
        <is>
          <t>ALLOWED</t>
        </is>
      </c>
      <c r="J90" s="42" t="inlineStr">
        <is>
          <t>DIRECT_OFFICIAL_STANDARD_ROW</t>
        </is>
      </c>
      <c r="K90" s="42" t="inlineStr">
        <is>
          <t>SDC0003156</t>
        </is>
      </c>
      <c r="L90" s="42" t="inlineStr">
        <is>
          <t>マド2枚建 (201910～)</t>
        </is>
      </c>
      <c r="M90" s="42" t="inlineStr">
        <is>
          <t>86</t>
        </is>
      </c>
      <c r="N90" s="42" t="inlineStr">
        <is>
          <t>17613</t>
        </is>
      </c>
      <c r="O90" s="42" t="inlineStr">
        <is>
          <t>防犯建物部品欄の30mil構成を規格呼称へ直接突合。</t>
        </is>
      </c>
    </row>
    <row r="91">
      <c r="A91" s="42" t="inlineStr">
        <is>
          <t>SZ-SL-000090</t>
        </is>
      </c>
      <c r="B91" s="42" t="inlineStr">
        <is>
          <t>WT-SL-HIKICHIGAI</t>
        </is>
      </c>
      <c r="C91" s="42" t="inlineStr">
        <is>
          <t>単体引違い窓</t>
        </is>
      </c>
      <c r="D91" s="42" t="str"/>
      <c r="E91" s="42" t="inlineStr">
        <is>
          <t>17811</t>
        </is>
      </c>
      <c r="F91" s="42" t="inlineStr">
        <is>
          <t>1820</t>
        </is>
      </c>
      <c r="G91" s="42" t="inlineStr">
        <is>
          <t>1170</t>
        </is>
      </c>
      <c r="H91" s="42" t="inlineStr">
        <is>
          <t>True</t>
        </is>
      </c>
      <c r="I91" s="42" t="inlineStr">
        <is>
          <t>ALLOWED</t>
        </is>
      </c>
      <c r="J91" s="42" t="inlineStr">
        <is>
          <t>DIRECT_OFFICIAL_STANDARD_ROW</t>
        </is>
      </c>
      <c r="K91" s="42" t="inlineStr">
        <is>
          <t>SDC0003156</t>
        </is>
      </c>
      <c r="L91" s="42" t="inlineStr">
        <is>
          <t>マド2枚建 (201910～)</t>
        </is>
      </c>
      <c r="M91" s="42" t="inlineStr">
        <is>
          <t>90</t>
        </is>
      </c>
      <c r="N91" s="42" t="inlineStr">
        <is>
          <t>17811</t>
        </is>
      </c>
      <c r="O91" s="42" t="inlineStr">
        <is>
          <t>防犯建物部品欄の30mil構成を規格呼称へ直接突合。</t>
        </is>
      </c>
    </row>
    <row r="92">
      <c r="A92" s="42" t="inlineStr">
        <is>
          <t>SZ-SL-000091</t>
        </is>
      </c>
      <c r="B92" s="42" t="inlineStr">
        <is>
          <t>WT-SL-HIKICHIGAI</t>
        </is>
      </c>
      <c r="C92" s="42" t="inlineStr">
        <is>
          <t>単体引違い窓</t>
        </is>
      </c>
      <c r="D92" s="42" t="str"/>
      <c r="E92" s="42" t="inlineStr">
        <is>
          <t>17813</t>
        </is>
      </c>
      <c r="F92" s="42" t="inlineStr">
        <is>
          <t>1820</t>
        </is>
      </c>
      <c r="G92" s="42" t="inlineStr">
        <is>
          <t>1370</t>
        </is>
      </c>
      <c r="H92" s="42" t="inlineStr">
        <is>
          <t>True</t>
        </is>
      </c>
      <c r="I92" s="42" t="inlineStr">
        <is>
          <t>ALLOWED</t>
        </is>
      </c>
      <c r="J92" s="42" t="inlineStr">
        <is>
          <t>DIRECT_OFFICIAL_STANDARD_ROW</t>
        </is>
      </c>
      <c r="K92" s="42" t="inlineStr">
        <is>
          <t>SDC0003156</t>
        </is>
      </c>
      <c r="L92" s="42" t="inlineStr">
        <is>
          <t>マド2枚建 (201910～)</t>
        </is>
      </c>
      <c r="M92" s="42" t="inlineStr">
        <is>
          <t>91</t>
        </is>
      </c>
      <c r="N92" s="42" t="inlineStr">
        <is>
          <t>17813</t>
        </is>
      </c>
      <c r="O92" s="42" t="inlineStr">
        <is>
          <t>防犯建物部品欄の30mil構成を規格呼称へ直接突合。</t>
        </is>
      </c>
    </row>
    <row r="93">
      <c r="A93" s="42" t="inlineStr">
        <is>
          <t>SZ-SL-000092</t>
        </is>
      </c>
      <c r="B93" s="42" t="inlineStr">
        <is>
          <t>WT-SL-HIKICHIGAI</t>
        </is>
      </c>
      <c r="C93" s="42" t="inlineStr">
        <is>
          <t>単体引違い窓</t>
        </is>
      </c>
      <c r="D93" s="42" t="str"/>
      <c r="E93" s="42" t="inlineStr">
        <is>
          <t>18011</t>
        </is>
      </c>
      <c r="F93" s="42" t="inlineStr">
        <is>
          <t>1845</t>
        </is>
      </c>
      <c r="G93" s="42" t="inlineStr">
        <is>
          <t>1170</t>
        </is>
      </c>
      <c r="H93" s="42" t="inlineStr">
        <is>
          <t>True</t>
        </is>
      </c>
      <c r="I93" s="42" t="inlineStr">
        <is>
          <t>ALLOWED</t>
        </is>
      </c>
      <c r="J93" s="42" t="inlineStr">
        <is>
          <t>DIRECT_OFFICIAL_STANDARD_ROW</t>
        </is>
      </c>
      <c r="K93" s="42" t="inlineStr">
        <is>
          <t>SDC0003156</t>
        </is>
      </c>
      <c r="L93" s="42" t="inlineStr">
        <is>
          <t>マド2枚建 (201910～)</t>
        </is>
      </c>
      <c r="M93" s="42" t="inlineStr">
        <is>
          <t>95</t>
        </is>
      </c>
      <c r="N93" s="42" t="inlineStr">
        <is>
          <t>18011</t>
        </is>
      </c>
      <c r="O93" s="42" t="inlineStr">
        <is>
          <t>防犯建物部品欄の30mil構成を規格呼称へ直接突合。</t>
        </is>
      </c>
    </row>
    <row r="94">
      <c r="A94" s="42" t="inlineStr">
        <is>
          <t>SZ-SL-000093</t>
        </is>
      </c>
      <c r="B94" s="42" t="inlineStr">
        <is>
          <t>WT-SL-HIKICHIGAI</t>
        </is>
      </c>
      <c r="C94" s="42" t="inlineStr">
        <is>
          <t>単体引違い窓</t>
        </is>
      </c>
      <c r="D94" s="42" t="str"/>
      <c r="E94" s="42" t="inlineStr">
        <is>
          <t>18013</t>
        </is>
      </c>
      <c r="F94" s="42" t="inlineStr">
        <is>
          <t>1845</t>
        </is>
      </c>
      <c r="G94" s="42" t="inlineStr">
        <is>
          <t>1370</t>
        </is>
      </c>
      <c r="H94" s="42" t="inlineStr">
        <is>
          <t>True</t>
        </is>
      </c>
      <c r="I94" s="42" t="inlineStr">
        <is>
          <t>ALLOWED</t>
        </is>
      </c>
      <c r="J94" s="42" t="inlineStr">
        <is>
          <t>DIRECT_OFFICIAL_STANDARD_ROW</t>
        </is>
      </c>
      <c r="K94" s="42" t="inlineStr">
        <is>
          <t>SDC0003156</t>
        </is>
      </c>
      <c r="L94" s="42" t="inlineStr">
        <is>
          <t>マド2枚建 (201910～)</t>
        </is>
      </c>
      <c r="M94" s="42" t="inlineStr">
        <is>
          <t>96</t>
        </is>
      </c>
      <c r="N94" s="42" t="inlineStr">
        <is>
          <t>18013</t>
        </is>
      </c>
      <c r="O94" s="42" t="inlineStr">
        <is>
          <t>防犯建物部品欄の30mil構成を規格呼称へ直接突合。</t>
        </is>
      </c>
    </row>
    <row r="95">
      <c r="A95" s="42" t="inlineStr">
        <is>
          <t>SZ-SL-000094</t>
        </is>
      </c>
      <c r="B95" s="42" t="inlineStr">
        <is>
          <t>WT-SL-HIKICHIGAI</t>
        </is>
      </c>
      <c r="C95" s="42" t="inlineStr">
        <is>
          <t>単体引違い窓</t>
        </is>
      </c>
      <c r="D95" s="42" t="str"/>
      <c r="E95" s="42" t="inlineStr">
        <is>
          <t>18311</t>
        </is>
      </c>
      <c r="F95" s="42" t="inlineStr">
        <is>
          <t>1870</t>
        </is>
      </c>
      <c r="G95" s="42" t="inlineStr">
        <is>
          <t>1170</t>
        </is>
      </c>
      <c r="H95" s="42" t="inlineStr">
        <is>
          <t>True</t>
        </is>
      </c>
      <c r="I95" s="42" t="inlineStr">
        <is>
          <t>ALLOWED</t>
        </is>
      </c>
      <c r="J95" s="42" t="inlineStr">
        <is>
          <t>DIRECT_OFFICIAL_STANDARD_ROW</t>
        </is>
      </c>
      <c r="K95" s="42" t="inlineStr">
        <is>
          <t>SDC0003156</t>
        </is>
      </c>
      <c r="L95" s="42" t="inlineStr">
        <is>
          <t>マド2枚建 (201910～)</t>
        </is>
      </c>
      <c r="M95" s="42" t="inlineStr">
        <is>
          <t>100</t>
        </is>
      </c>
      <c r="N95" s="42" t="inlineStr">
        <is>
          <t>18311</t>
        </is>
      </c>
      <c r="O95" s="42" t="inlineStr">
        <is>
          <t>防犯建物部品欄の30mil構成を規格呼称へ直接突合。</t>
        </is>
      </c>
    </row>
    <row r="96">
      <c r="A96" s="42" t="inlineStr">
        <is>
          <t>SZ-SL-000095</t>
        </is>
      </c>
      <c r="B96" s="42" t="inlineStr">
        <is>
          <t>WT-SL-HIKICHIGAI</t>
        </is>
      </c>
      <c r="C96" s="42" t="inlineStr">
        <is>
          <t>単体引違い窓</t>
        </is>
      </c>
      <c r="D96" s="42" t="str"/>
      <c r="E96" s="42" t="inlineStr">
        <is>
          <t>18313</t>
        </is>
      </c>
      <c r="F96" s="42" t="inlineStr">
        <is>
          <t>1870</t>
        </is>
      </c>
      <c r="G96" s="42" t="inlineStr">
        <is>
          <t>1370</t>
        </is>
      </c>
      <c r="H96" s="42" t="inlineStr">
        <is>
          <t>True</t>
        </is>
      </c>
      <c r="I96" s="42" t="inlineStr">
        <is>
          <t>ALLOWED</t>
        </is>
      </c>
      <c r="J96" s="42" t="inlineStr">
        <is>
          <t>DIRECT_OFFICIAL_STANDARD_ROW</t>
        </is>
      </c>
      <c r="K96" s="42" t="inlineStr">
        <is>
          <t>SDC0003156</t>
        </is>
      </c>
      <c r="L96" s="42" t="inlineStr">
        <is>
          <t>マド2枚建 (201910～)</t>
        </is>
      </c>
      <c r="M96" s="42" t="inlineStr">
        <is>
          <t>101</t>
        </is>
      </c>
      <c r="N96" s="42" t="inlineStr">
        <is>
          <t>18313</t>
        </is>
      </c>
      <c r="O96" s="42" t="inlineStr">
        <is>
          <t>防犯建物部品欄の30mil構成を規格呼称へ直接突合。</t>
        </is>
      </c>
    </row>
    <row r="97">
      <c r="A97" s="42" t="inlineStr">
        <is>
          <t>SZ-SL-000096</t>
        </is>
      </c>
      <c r="B97" s="42" t="inlineStr">
        <is>
          <t>WT-SL-HIKICHIGAI</t>
        </is>
      </c>
      <c r="C97" s="42" t="inlineStr">
        <is>
          <t>単体引違い窓</t>
        </is>
      </c>
      <c r="D97" s="42" t="str"/>
      <c r="E97" s="42" t="inlineStr">
        <is>
          <t>18611</t>
        </is>
      </c>
      <c r="F97" s="42" t="inlineStr">
        <is>
          <t>1900</t>
        </is>
      </c>
      <c r="G97" s="42" t="inlineStr">
        <is>
          <t>1170</t>
        </is>
      </c>
      <c r="H97" s="42" t="inlineStr">
        <is>
          <t>True</t>
        </is>
      </c>
      <c r="I97" s="42" t="inlineStr">
        <is>
          <t>ALLOWED</t>
        </is>
      </c>
      <c r="J97" s="42" t="inlineStr">
        <is>
          <t>DIRECT_OFFICIAL_STANDARD_ROW</t>
        </is>
      </c>
      <c r="K97" s="42" t="inlineStr">
        <is>
          <t>SDC0003156</t>
        </is>
      </c>
      <c r="L97" s="42" t="inlineStr">
        <is>
          <t>マド2枚建 (201910～)</t>
        </is>
      </c>
      <c r="M97" s="42" t="inlineStr">
        <is>
          <t>105</t>
        </is>
      </c>
      <c r="N97" s="42" t="inlineStr">
        <is>
          <t>18611</t>
        </is>
      </c>
      <c r="O97" s="42" t="inlineStr">
        <is>
          <t>防犯建物部品欄の30mil構成を規格呼称へ直接突合。</t>
        </is>
      </c>
    </row>
    <row r="98">
      <c r="A98" s="42" t="inlineStr">
        <is>
          <t>SZ-SL-000097</t>
        </is>
      </c>
      <c r="B98" s="42" t="inlineStr">
        <is>
          <t>WT-SL-HIKICHIGAI</t>
        </is>
      </c>
      <c r="C98" s="42" t="inlineStr">
        <is>
          <t>単体引違い窓</t>
        </is>
      </c>
      <c r="D98" s="42" t="str"/>
      <c r="E98" s="42" t="inlineStr">
        <is>
          <t>18613</t>
        </is>
      </c>
      <c r="F98" s="42" t="inlineStr">
        <is>
          <t>1900</t>
        </is>
      </c>
      <c r="G98" s="42" t="inlineStr">
        <is>
          <t>1370</t>
        </is>
      </c>
      <c r="H98" s="42" t="inlineStr">
        <is>
          <t>True</t>
        </is>
      </c>
      <c r="I98" s="42" t="inlineStr">
        <is>
          <t>ALLOWED</t>
        </is>
      </c>
      <c r="J98" s="42" t="inlineStr">
        <is>
          <t>DIRECT_OFFICIAL_STANDARD_ROW</t>
        </is>
      </c>
      <c r="K98" s="42" t="inlineStr">
        <is>
          <t>SDC0003156</t>
        </is>
      </c>
      <c r="L98" s="42" t="inlineStr">
        <is>
          <t>マド2枚建 (201910～)</t>
        </is>
      </c>
      <c r="M98" s="42" t="inlineStr">
        <is>
          <t>106</t>
        </is>
      </c>
      <c r="N98" s="42" t="inlineStr">
        <is>
          <t>18613</t>
        </is>
      </c>
      <c r="O98" s="42" t="inlineStr">
        <is>
          <t>防犯建物部品欄の30mil構成を規格呼称へ直接突合。</t>
        </is>
      </c>
    </row>
    <row r="99">
      <c r="A99" s="42" t="inlineStr">
        <is>
          <t>SZ-SL-000098</t>
        </is>
      </c>
      <c r="B99" s="42" t="inlineStr">
        <is>
          <t>WT-SL-HIKICHIGAI</t>
        </is>
      </c>
      <c r="C99" s="42" t="inlineStr">
        <is>
          <t>単体引違い窓</t>
        </is>
      </c>
      <c r="D99" s="42" t="str"/>
      <c r="E99" s="42" t="inlineStr">
        <is>
          <t>25111-2</t>
        </is>
      </c>
      <c r="F99" s="42" t="inlineStr">
        <is>
          <t>2550</t>
        </is>
      </c>
      <c r="G99" s="42" t="inlineStr">
        <is>
          <t>1170</t>
        </is>
      </c>
      <c r="H99" s="42" t="inlineStr">
        <is>
          <t>True</t>
        </is>
      </c>
      <c r="I99" s="42" t="inlineStr">
        <is>
          <t>ALLOWED</t>
        </is>
      </c>
      <c r="J99" s="42" t="inlineStr">
        <is>
          <t>DIRECT_OFFICIAL_STANDARD_ROW</t>
        </is>
      </c>
      <c r="K99" s="42" t="inlineStr">
        <is>
          <t>SDC0003156</t>
        </is>
      </c>
      <c r="L99" s="42" t="inlineStr">
        <is>
          <t>マド2枚建 (201910～)</t>
        </is>
      </c>
      <c r="M99" s="42" t="inlineStr">
        <is>
          <t>108</t>
        </is>
      </c>
      <c r="N99" s="42" t="inlineStr">
        <is>
          <t>251112</t>
        </is>
      </c>
      <c r="O99" s="42" t="inlineStr">
        <is>
          <t>防犯建物部品欄の30mil構成を規格呼称へ直接突合。</t>
        </is>
      </c>
    </row>
    <row r="100">
      <c r="A100" s="42" t="inlineStr">
        <is>
          <t>SZ-SL-000099</t>
        </is>
      </c>
      <c r="B100" s="42" t="inlineStr">
        <is>
          <t>WT-SL-HIKICHIGAI</t>
        </is>
      </c>
      <c r="C100" s="42" t="inlineStr">
        <is>
          <t>単体引違い窓</t>
        </is>
      </c>
      <c r="D100" s="42" t="str"/>
      <c r="E100" s="42" t="inlineStr">
        <is>
          <t>25111-4</t>
        </is>
      </c>
      <c r="F100" s="42" t="inlineStr">
        <is>
          <t>2550</t>
        </is>
      </c>
      <c r="G100" s="42" t="inlineStr">
        <is>
          <t>1170</t>
        </is>
      </c>
      <c r="H100" s="42" t="inlineStr">
        <is>
          <t>True</t>
        </is>
      </c>
      <c r="I100" s="42" t="inlineStr">
        <is>
          <t>ALLOWED</t>
        </is>
      </c>
      <c r="J100" s="42" t="inlineStr">
        <is>
          <t>DIRECT_OFFICIAL_STANDARD_ROW</t>
        </is>
      </c>
      <c r="K100" s="42" t="inlineStr">
        <is>
          <t>SDC0003156</t>
        </is>
      </c>
      <c r="L100" s="42" t="inlineStr">
        <is>
          <t>マド4枚建 (201910～)</t>
        </is>
      </c>
      <c r="M100" s="42" t="inlineStr">
        <is>
          <t>10</t>
        </is>
      </c>
      <c r="N100" s="42" t="inlineStr">
        <is>
          <t>251114</t>
        </is>
      </c>
      <c r="O100" s="42" t="inlineStr">
        <is>
          <t>防犯建物部品欄の30mil構成を規格呼称へ直接突合。</t>
        </is>
      </c>
    </row>
    <row r="101">
      <c r="A101" s="42" t="inlineStr">
        <is>
          <t>SZ-SL-000100</t>
        </is>
      </c>
      <c r="B101" s="42" t="inlineStr">
        <is>
          <t>WT-SL-HIKICHIGAI</t>
        </is>
      </c>
      <c r="C101" s="42" t="inlineStr">
        <is>
          <t>単体引違い窓</t>
        </is>
      </c>
      <c r="D101" s="42" t="str"/>
      <c r="E101" s="42" t="inlineStr">
        <is>
          <t>25113-2</t>
        </is>
      </c>
      <c r="F101" s="42" t="inlineStr">
        <is>
          <t>2550</t>
        </is>
      </c>
      <c r="G101" s="42" t="inlineStr">
        <is>
          <t>1370</t>
        </is>
      </c>
      <c r="H101" s="42" t="inlineStr">
        <is>
          <t>True</t>
        </is>
      </c>
      <c r="I101" s="42" t="inlineStr">
        <is>
          <t>BLOCKED</t>
        </is>
      </c>
      <c r="J101" s="42" t="inlineStr">
        <is>
          <t>DIRECT_OFFICIAL_STANDARD_ROW</t>
        </is>
      </c>
      <c r="K101" s="42" t="inlineStr">
        <is>
          <t>SDC0003156</t>
        </is>
      </c>
      <c r="L101" s="42" t="inlineStr">
        <is>
          <t>マド2枚建 (201910～)</t>
        </is>
      </c>
      <c r="M101" s="42" t="inlineStr">
        <is>
          <t>109</t>
        </is>
      </c>
      <c r="N101" s="42" t="inlineStr">
        <is>
          <t>251132</t>
        </is>
      </c>
      <c r="O101" s="42" t="inlineStr">
        <is>
          <t>防犯建物部品欄の30mil構成を規格呼称へ直接突合。</t>
        </is>
      </c>
    </row>
    <row r="102">
      <c r="A102" s="42" t="inlineStr">
        <is>
          <t>SZ-SL-000101</t>
        </is>
      </c>
      <c r="B102" s="42" t="inlineStr">
        <is>
          <t>WT-SL-HIKICHIGAI</t>
        </is>
      </c>
      <c r="C102" s="42" t="inlineStr">
        <is>
          <t>単体引違い窓</t>
        </is>
      </c>
      <c r="D102" s="42" t="str"/>
      <c r="E102" s="42" t="inlineStr">
        <is>
          <t>25113-4</t>
        </is>
      </c>
      <c r="F102" s="42" t="inlineStr">
        <is>
          <t>2550</t>
        </is>
      </c>
      <c r="G102" s="42" t="inlineStr">
        <is>
          <t>1370</t>
        </is>
      </c>
      <c r="H102" s="42" t="inlineStr">
        <is>
          <t>True</t>
        </is>
      </c>
      <c r="I102" s="42" t="inlineStr">
        <is>
          <t>ALLOWED</t>
        </is>
      </c>
      <c r="J102" s="42" t="inlineStr">
        <is>
          <t>DIRECT_OFFICIAL_STANDARD_ROW</t>
        </is>
      </c>
      <c r="K102" s="42" t="inlineStr">
        <is>
          <t>SDC0003156</t>
        </is>
      </c>
      <c r="L102" s="42" t="inlineStr">
        <is>
          <t>マド4枚建 (201910～)</t>
        </is>
      </c>
      <c r="M102" s="42" t="inlineStr">
        <is>
          <t>11</t>
        </is>
      </c>
      <c r="N102" s="42" t="inlineStr">
        <is>
          <t>251134</t>
        </is>
      </c>
      <c r="O102" s="42" t="inlineStr">
        <is>
          <t>防犯建物部品欄の30mil構成を規格呼称へ直接突合。</t>
        </is>
      </c>
    </row>
    <row r="103">
      <c r="A103" s="42" t="inlineStr">
        <is>
          <t>SZ-SL-000102</t>
        </is>
      </c>
      <c r="B103" s="42" t="inlineStr">
        <is>
          <t>WT-SL-HIKICHIGAI</t>
        </is>
      </c>
      <c r="C103" s="42" t="inlineStr">
        <is>
          <t>単体引違い窓</t>
        </is>
      </c>
      <c r="D103" s="42" t="str"/>
      <c r="E103" s="42" t="inlineStr">
        <is>
          <t>25611-2</t>
        </is>
      </c>
      <c r="F103" s="42" t="inlineStr">
        <is>
          <t>2600</t>
        </is>
      </c>
      <c r="G103" s="42" t="inlineStr">
        <is>
          <t>1170</t>
        </is>
      </c>
      <c r="H103" s="42" t="inlineStr">
        <is>
          <t>True</t>
        </is>
      </c>
      <c r="I103" s="42" t="inlineStr">
        <is>
          <t>BLOCKED</t>
        </is>
      </c>
      <c r="J103" s="42" t="inlineStr">
        <is>
          <t>DIRECT_OFFICIAL_STANDARD_ROW</t>
        </is>
      </c>
      <c r="K103" s="42" t="inlineStr">
        <is>
          <t>SDC0003156</t>
        </is>
      </c>
      <c r="L103" s="42" t="inlineStr">
        <is>
          <t>マド2枚建 (201910～)</t>
        </is>
      </c>
      <c r="M103" s="42" t="inlineStr">
        <is>
          <t>111</t>
        </is>
      </c>
      <c r="N103" s="42" t="inlineStr">
        <is>
          <t>256112</t>
        </is>
      </c>
      <c r="O103" s="42" t="inlineStr">
        <is>
          <t>防犯建物部品欄の30mil構成を規格呼称へ直接突合。</t>
        </is>
      </c>
    </row>
    <row r="104">
      <c r="A104" s="42" t="inlineStr">
        <is>
          <t>SZ-SL-000103</t>
        </is>
      </c>
      <c r="B104" s="42" t="inlineStr">
        <is>
          <t>WT-SL-HIKICHIGAI</t>
        </is>
      </c>
      <c r="C104" s="42" t="inlineStr">
        <is>
          <t>単体引違い窓</t>
        </is>
      </c>
      <c r="D104" s="42" t="str"/>
      <c r="E104" s="42" t="inlineStr">
        <is>
          <t>25611-4</t>
        </is>
      </c>
      <c r="F104" s="42" t="inlineStr">
        <is>
          <t>2600</t>
        </is>
      </c>
      <c r="G104" s="42" t="inlineStr">
        <is>
          <t>1170</t>
        </is>
      </c>
      <c r="H104" s="42" t="inlineStr">
        <is>
          <t>True</t>
        </is>
      </c>
      <c r="I104" s="42" t="inlineStr">
        <is>
          <t>ALLOWED</t>
        </is>
      </c>
      <c r="J104" s="42" t="inlineStr">
        <is>
          <t>DIRECT_OFFICIAL_STANDARD_ROW</t>
        </is>
      </c>
      <c r="K104" s="42" t="inlineStr">
        <is>
          <t>SDC0003156</t>
        </is>
      </c>
      <c r="L104" s="42" t="inlineStr">
        <is>
          <t>マド4枚建 (201910～)</t>
        </is>
      </c>
      <c r="M104" s="42" t="inlineStr">
        <is>
          <t>13</t>
        </is>
      </c>
      <c r="N104" s="42" t="inlineStr">
        <is>
          <t>256114</t>
        </is>
      </c>
      <c r="O104" s="42" t="inlineStr">
        <is>
          <t>防犯建物部品欄の30mil構成を規格呼称へ直接突合。</t>
        </is>
      </c>
    </row>
    <row r="105">
      <c r="A105" s="42" t="inlineStr">
        <is>
          <t>SZ-SL-000104</t>
        </is>
      </c>
      <c r="B105" s="42" t="inlineStr">
        <is>
          <t>WT-SL-HIKICHIGAI</t>
        </is>
      </c>
      <c r="C105" s="42" t="inlineStr">
        <is>
          <t>単体引違い窓</t>
        </is>
      </c>
      <c r="D105" s="42" t="str"/>
      <c r="E105" s="42" t="inlineStr">
        <is>
          <t>25613-2</t>
        </is>
      </c>
      <c r="F105" s="42" t="inlineStr">
        <is>
          <t>2600</t>
        </is>
      </c>
      <c r="G105" s="42" t="inlineStr">
        <is>
          <t>1370</t>
        </is>
      </c>
      <c r="H105" s="42" t="inlineStr">
        <is>
          <t>True</t>
        </is>
      </c>
      <c r="I105" s="42" t="inlineStr">
        <is>
          <t>BLOCKED</t>
        </is>
      </c>
      <c r="J105" s="42" t="inlineStr">
        <is>
          <t>DIRECT_OFFICIAL_STANDARD_ROW</t>
        </is>
      </c>
      <c r="K105" s="42" t="inlineStr">
        <is>
          <t>SDC0003156</t>
        </is>
      </c>
      <c r="L105" s="42" t="inlineStr">
        <is>
          <t>マド2枚建 (201910～)</t>
        </is>
      </c>
      <c r="M105" s="42" t="inlineStr">
        <is>
          <t>112</t>
        </is>
      </c>
      <c r="N105" s="42" t="inlineStr">
        <is>
          <t>256132</t>
        </is>
      </c>
      <c r="O105" s="42" t="inlineStr">
        <is>
          <t>防犯建物部品欄の30mil構成を規格呼称へ直接突合。</t>
        </is>
      </c>
    </row>
    <row r="106">
      <c r="A106" s="42" t="inlineStr">
        <is>
          <t>SZ-SL-000105</t>
        </is>
      </c>
      <c r="B106" s="42" t="inlineStr">
        <is>
          <t>WT-SL-HIKICHIGAI</t>
        </is>
      </c>
      <c r="C106" s="42" t="inlineStr">
        <is>
          <t>単体引違い窓</t>
        </is>
      </c>
      <c r="D106" s="42" t="str"/>
      <c r="E106" s="42" t="inlineStr">
        <is>
          <t>25613-4</t>
        </is>
      </c>
      <c r="F106" s="42" t="inlineStr">
        <is>
          <t>2600</t>
        </is>
      </c>
      <c r="G106" s="42" t="inlineStr">
        <is>
          <t>1370</t>
        </is>
      </c>
      <c r="H106" s="42" t="inlineStr">
        <is>
          <t>True</t>
        </is>
      </c>
      <c r="I106" s="42" t="inlineStr">
        <is>
          <t>ALLOWED</t>
        </is>
      </c>
      <c r="J106" s="42" t="inlineStr">
        <is>
          <t>DIRECT_OFFICIAL_STANDARD_ROW</t>
        </is>
      </c>
      <c r="K106" s="42" t="inlineStr">
        <is>
          <t>SDC0003156</t>
        </is>
      </c>
      <c r="L106" s="42" t="inlineStr">
        <is>
          <t>マド4枚建 (201910～)</t>
        </is>
      </c>
      <c r="M106" s="42" t="inlineStr">
        <is>
          <t>14</t>
        </is>
      </c>
      <c r="N106" s="42" t="inlineStr">
        <is>
          <t>256134</t>
        </is>
      </c>
      <c r="O106" s="42" t="inlineStr">
        <is>
          <t>防犯建物部品欄の30mil構成を規格呼称へ直接突合。</t>
        </is>
      </c>
    </row>
    <row r="107">
      <c r="A107" s="42" t="inlineStr">
        <is>
          <t>SZ-SL-000106</t>
        </is>
      </c>
      <c r="B107" s="42" t="inlineStr">
        <is>
          <t>WT-SL-HIKICHIGAI</t>
        </is>
      </c>
      <c r="C107" s="42" t="inlineStr">
        <is>
          <t>単体引違い窓</t>
        </is>
      </c>
      <c r="D107" s="42" t="str"/>
      <c r="E107" s="42" t="inlineStr">
        <is>
          <t>11918</t>
        </is>
      </c>
      <c r="F107" s="42" t="inlineStr">
        <is>
          <t>1235</t>
        </is>
      </c>
      <c r="G107" s="42" t="inlineStr">
        <is>
          <t>1830</t>
        </is>
      </c>
      <c r="H107" s="42" t="inlineStr">
        <is>
          <t>True</t>
        </is>
      </c>
      <c r="I107" s="42" t="inlineStr">
        <is>
          <t>ALLOWED</t>
        </is>
      </c>
      <c r="J107" s="42" t="inlineStr">
        <is>
          <t>DIRECT_OFFICIAL_STANDARD_ROW</t>
        </is>
      </c>
      <c r="K107" s="42" t="inlineStr">
        <is>
          <t>SDC0003156</t>
        </is>
      </c>
      <c r="L107" s="42" t="inlineStr">
        <is>
          <t>テラス2枚建</t>
        </is>
      </c>
      <c r="M107" s="42" t="inlineStr">
        <is>
          <t>9</t>
        </is>
      </c>
      <c r="N107" s="42" t="inlineStr">
        <is>
          <t>11918</t>
        </is>
      </c>
      <c r="O107" s="42" t="inlineStr">
        <is>
          <t>防犯建物部品欄の30mil構成を規格呼称へ直接突合。</t>
        </is>
      </c>
    </row>
    <row r="108">
      <c r="A108" s="42" t="inlineStr">
        <is>
          <t>SZ-SL-000107</t>
        </is>
      </c>
      <c r="B108" s="42" t="inlineStr">
        <is>
          <t>WT-SL-HIKICHIGAI</t>
        </is>
      </c>
      <c r="C108" s="42" t="inlineStr">
        <is>
          <t>単体引違い窓</t>
        </is>
      </c>
      <c r="D108" s="42" t="str"/>
      <c r="E108" s="42" t="inlineStr">
        <is>
          <t>11920</t>
        </is>
      </c>
      <c r="F108" s="42" t="inlineStr">
        <is>
          <t>1235</t>
        </is>
      </c>
      <c r="G108" s="42" t="inlineStr">
        <is>
          <t>2030</t>
        </is>
      </c>
      <c r="H108" s="42" t="inlineStr">
        <is>
          <t>True</t>
        </is>
      </c>
      <c r="I108" s="42" t="inlineStr">
        <is>
          <t>ALLOWED</t>
        </is>
      </c>
      <c r="J108" s="42" t="inlineStr">
        <is>
          <t>DIRECT_OFFICIAL_STANDARD_ROW</t>
        </is>
      </c>
      <c r="K108" s="42" t="inlineStr">
        <is>
          <t>SDC0003156</t>
        </is>
      </c>
      <c r="L108" s="42" t="inlineStr">
        <is>
          <t>テラス2枚建</t>
        </is>
      </c>
      <c r="M108" s="42" t="inlineStr">
        <is>
          <t>10</t>
        </is>
      </c>
      <c r="N108" s="42" t="inlineStr">
        <is>
          <t>11920</t>
        </is>
      </c>
      <c r="O108" s="42" t="inlineStr">
        <is>
          <t>防犯建物部品欄の30mil構成を規格呼称へ直接突合。</t>
        </is>
      </c>
    </row>
    <row r="109">
      <c r="A109" s="42" t="inlineStr">
        <is>
          <t>SZ-SL-000108</t>
        </is>
      </c>
      <c r="B109" s="42" t="inlineStr">
        <is>
          <t>WT-SL-HIKICHIGAI</t>
        </is>
      </c>
      <c r="C109" s="42" t="inlineStr">
        <is>
          <t>単体引違い窓</t>
        </is>
      </c>
      <c r="D109" s="42" t="str"/>
      <c r="E109" s="42" t="inlineStr">
        <is>
          <t>13318</t>
        </is>
      </c>
      <c r="F109" s="42" t="inlineStr">
        <is>
          <t>1370</t>
        </is>
      </c>
      <c r="G109" s="42" t="inlineStr">
        <is>
          <t>1830</t>
        </is>
      </c>
      <c r="H109" s="42" t="inlineStr">
        <is>
          <t>True</t>
        </is>
      </c>
      <c r="I109" s="42" t="inlineStr">
        <is>
          <t>ALLOWED</t>
        </is>
      </c>
      <c r="J109" s="42" t="inlineStr">
        <is>
          <t>DIRECT_OFFICIAL_STANDARD_ROW</t>
        </is>
      </c>
      <c r="K109" s="42" t="inlineStr">
        <is>
          <t>SDC0003156</t>
        </is>
      </c>
      <c r="L109" s="42" t="inlineStr">
        <is>
          <t>テラス2枚建</t>
        </is>
      </c>
      <c r="M109" s="42" t="inlineStr">
        <is>
          <t>11</t>
        </is>
      </c>
      <c r="N109" s="42" t="inlineStr">
        <is>
          <t>13318</t>
        </is>
      </c>
      <c r="O109" s="42" t="inlineStr">
        <is>
          <t>防犯建物部品欄の30mil構成を規格呼称へ直接突合。</t>
        </is>
      </c>
    </row>
    <row r="110">
      <c r="A110" s="42" t="inlineStr">
        <is>
          <t>SZ-SL-000109</t>
        </is>
      </c>
      <c r="B110" s="42" t="inlineStr">
        <is>
          <t>WT-SL-HIKICHIGAI</t>
        </is>
      </c>
      <c r="C110" s="42" t="inlineStr">
        <is>
          <t>単体引違い窓</t>
        </is>
      </c>
      <c r="D110" s="42" t="str"/>
      <c r="E110" s="42" t="inlineStr">
        <is>
          <t>13320</t>
        </is>
      </c>
      <c r="F110" s="42" t="inlineStr">
        <is>
          <t>1370</t>
        </is>
      </c>
      <c r="G110" s="42" t="inlineStr">
        <is>
          <t>2030</t>
        </is>
      </c>
      <c r="H110" s="42" t="inlineStr">
        <is>
          <t>True</t>
        </is>
      </c>
      <c r="I110" s="42" t="inlineStr">
        <is>
          <t>ALLOWED</t>
        </is>
      </c>
      <c r="J110" s="42" t="inlineStr">
        <is>
          <t>DIRECT_OFFICIAL_STANDARD_ROW</t>
        </is>
      </c>
      <c r="K110" s="42" t="inlineStr">
        <is>
          <t>SDC0003156</t>
        </is>
      </c>
      <c r="L110" s="42" t="inlineStr">
        <is>
          <t>テラス2枚建</t>
        </is>
      </c>
      <c r="M110" s="42" t="inlineStr">
        <is>
          <t>12</t>
        </is>
      </c>
      <c r="N110" s="42" t="inlineStr">
        <is>
          <t>13320</t>
        </is>
      </c>
      <c r="O110" s="42" t="inlineStr">
        <is>
          <t>防犯建物部品欄の30mil構成を規格呼称へ直接突合。</t>
        </is>
      </c>
    </row>
    <row r="111">
      <c r="A111" s="42" t="inlineStr">
        <is>
          <t>SZ-SL-000110</t>
        </is>
      </c>
      <c r="B111" s="42" t="inlineStr">
        <is>
          <t>WT-SL-HIKICHIGAI</t>
        </is>
      </c>
      <c r="C111" s="42" t="inlineStr">
        <is>
          <t>単体引違い窓</t>
        </is>
      </c>
      <c r="D111" s="42" t="str"/>
      <c r="E111" s="42" t="inlineStr">
        <is>
          <t>15018</t>
        </is>
      </c>
      <c r="F111" s="42" t="inlineStr">
        <is>
          <t>1540</t>
        </is>
      </c>
      <c r="G111" s="42" t="inlineStr">
        <is>
          <t>1830</t>
        </is>
      </c>
      <c r="H111" s="42" t="inlineStr">
        <is>
          <t>True</t>
        </is>
      </c>
      <c r="I111" s="42" t="inlineStr">
        <is>
          <t>ALLOWED</t>
        </is>
      </c>
      <c r="J111" s="42" t="inlineStr">
        <is>
          <t>DIRECT_OFFICIAL_STANDARD_ROW</t>
        </is>
      </c>
      <c r="K111" s="42" t="inlineStr">
        <is>
          <t>SDC0003156</t>
        </is>
      </c>
      <c r="L111" s="42" t="inlineStr">
        <is>
          <t>テラス2枚建</t>
        </is>
      </c>
      <c r="M111" s="42" t="inlineStr">
        <is>
          <t>13</t>
        </is>
      </c>
      <c r="N111" s="42" t="inlineStr">
        <is>
          <t>15018</t>
        </is>
      </c>
      <c r="O111" s="42" t="inlineStr">
        <is>
          <t>防犯建物部品欄の30mil構成を規格呼称へ直接突合。</t>
        </is>
      </c>
    </row>
    <row r="112">
      <c r="A112" s="42" t="inlineStr">
        <is>
          <t>SZ-SL-000111</t>
        </is>
      </c>
      <c r="B112" s="42" t="inlineStr">
        <is>
          <t>WT-SL-HIKICHIGAI</t>
        </is>
      </c>
      <c r="C112" s="42" t="inlineStr">
        <is>
          <t>単体引違い窓</t>
        </is>
      </c>
      <c r="D112" s="42" t="str"/>
      <c r="E112" s="42" t="inlineStr">
        <is>
          <t>15020</t>
        </is>
      </c>
      <c r="F112" s="42" t="inlineStr">
        <is>
          <t>1540</t>
        </is>
      </c>
      <c r="G112" s="42" t="inlineStr">
        <is>
          <t>2030</t>
        </is>
      </c>
      <c r="H112" s="42" t="inlineStr">
        <is>
          <t>True</t>
        </is>
      </c>
      <c r="I112" s="42" t="inlineStr">
        <is>
          <t>ALLOWED</t>
        </is>
      </c>
      <c r="J112" s="42" t="inlineStr">
        <is>
          <t>DIRECT_OFFICIAL_STANDARD_ROW</t>
        </is>
      </c>
      <c r="K112" s="42" t="inlineStr">
        <is>
          <t>SDC0003156</t>
        </is>
      </c>
      <c r="L112" s="42" t="inlineStr">
        <is>
          <t>テラス2枚建</t>
        </is>
      </c>
      <c r="M112" s="42" t="inlineStr">
        <is>
          <t>14</t>
        </is>
      </c>
      <c r="N112" s="42" t="inlineStr">
        <is>
          <t>15020</t>
        </is>
      </c>
      <c r="O112" s="42" t="inlineStr">
        <is>
          <t>防犯建物部品欄の30mil構成を規格呼称へ直接突合。</t>
        </is>
      </c>
    </row>
    <row r="113">
      <c r="A113" s="42" t="inlineStr">
        <is>
          <t>SZ-SL-000112</t>
        </is>
      </c>
      <c r="B113" s="42" t="inlineStr">
        <is>
          <t>WT-SL-HIKICHIGAI</t>
        </is>
      </c>
      <c r="C113" s="42" t="inlineStr">
        <is>
          <t>単体引違い窓</t>
        </is>
      </c>
      <c r="D113" s="42" t="str"/>
      <c r="E113" s="42" t="inlineStr">
        <is>
          <t>16018</t>
        </is>
      </c>
      <c r="F113" s="42" t="inlineStr">
        <is>
          <t>1640</t>
        </is>
      </c>
      <c r="G113" s="42" t="inlineStr">
        <is>
          <t>1830</t>
        </is>
      </c>
      <c r="H113" s="42" t="inlineStr">
        <is>
          <t>True</t>
        </is>
      </c>
      <c r="I113" s="42" t="inlineStr">
        <is>
          <t>ALLOWED</t>
        </is>
      </c>
      <c r="J113" s="42" t="inlineStr">
        <is>
          <t>DIRECT_OFFICIAL_STANDARD_ROW</t>
        </is>
      </c>
      <c r="K113" s="42" t="inlineStr">
        <is>
          <t>SDC0003156</t>
        </is>
      </c>
      <c r="L113" s="42" t="inlineStr">
        <is>
          <t>テラス2枚建</t>
        </is>
      </c>
      <c r="M113" s="42" t="inlineStr">
        <is>
          <t>17</t>
        </is>
      </c>
      <c r="N113" s="42" t="inlineStr">
        <is>
          <t>16018</t>
        </is>
      </c>
      <c r="O113" s="42" t="inlineStr">
        <is>
          <t>防犯建物部品欄の30mil構成を規格呼称へ直接突合。</t>
        </is>
      </c>
    </row>
    <row r="114">
      <c r="A114" s="42" t="inlineStr">
        <is>
          <t>SZ-SL-000113</t>
        </is>
      </c>
      <c r="B114" s="42" t="inlineStr">
        <is>
          <t>WT-SL-HIKICHIGAI</t>
        </is>
      </c>
      <c r="C114" s="42" t="inlineStr">
        <is>
          <t>単体引違い窓</t>
        </is>
      </c>
      <c r="D114" s="42" t="str"/>
      <c r="E114" s="42" t="inlineStr">
        <is>
          <t>16020</t>
        </is>
      </c>
      <c r="F114" s="42" t="inlineStr">
        <is>
          <t>1640</t>
        </is>
      </c>
      <c r="G114" s="42" t="inlineStr">
        <is>
          <t>2030</t>
        </is>
      </c>
      <c r="H114" s="42" t="inlineStr">
        <is>
          <t>True</t>
        </is>
      </c>
      <c r="I114" s="42" t="inlineStr">
        <is>
          <t>ALLOWED</t>
        </is>
      </c>
      <c r="J114" s="42" t="inlineStr">
        <is>
          <t>DIRECT_OFFICIAL_STANDARD_ROW</t>
        </is>
      </c>
      <c r="K114" s="42" t="inlineStr">
        <is>
          <t>SDC0003156</t>
        </is>
      </c>
      <c r="L114" s="42" t="inlineStr">
        <is>
          <t>テラス2枚建</t>
        </is>
      </c>
      <c r="M114" s="42" t="inlineStr">
        <is>
          <t>18</t>
        </is>
      </c>
      <c r="N114" s="42" t="inlineStr">
        <is>
          <t>16020</t>
        </is>
      </c>
      <c r="O114" s="42" t="inlineStr">
        <is>
          <t>防犯建物部品欄の30mil構成を規格呼称へ直接突合。</t>
        </is>
      </c>
    </row>
    <row r="115">
      <c r="A115" s="42" t="inlineStr">
        <is>
          <t>SZ-SL-000114</t>
        </is>
      </c>
      <c r="B115" s="42" t="inlineStr">
        <is>
          <t>WT-SL-HIKICHIGAI</t>
        </is>
      </c>
      <c r="C115" s="42" t="inlineStr">
        <is>
          <t>単体引違い窓</t>
        </is>
      </c>
      <c r="D115" s="42" t="str"/>
      <c r="E115" s="42" t="inlineStr">
        <is>
          <t>16518</t>
        </is>
      </c>
      <c r="F115" s="42" t="inlineStr">
        <is>
          <t>1690</t>
        </is>
      </c>
      <c r="G115" s="42" t="inlineStr">
        <is>
          <t>1830</t>
        </is>
      </c>
      <c r="H115" s="42" t="inlineStr">
        <is>
          <t>True</t>
        </is>
      </c>
      <c r="I115" s="42" t="inlineStr">
        <is>
          <t>ALLOWED</t>
        </is>
      </c>
      <c r="J115" s="42" t="inlineStr">
        <is>
          <t>DIRECT_OFFICIAL_STANDARD_ROW</t>
        </is>
      </c>
      <c r="K115" s="42" t="inlineStr">
        <is>
          <t>SDC0003156</t>
        </is>
      </c>
      <c r="L115" s="42" t="inlineStr">
        <is>
          <t>テラス2枚建</t>
        </is>
      </c>
      <c r="M115" s="42" t="inlineStr">
        <is>
          <t>21</t>
        </is>
      </c>
      <c r="N115" s="42" t="inlineStr">
        <is>
          <t>16518</t>
        </is>
      </c>
      <c r="O115" s="42" t="inlineStr">
        <is>
          <t>防犯建物部品欄の30mil構成を規格呼称へ直接突合。</t>
        </is>
      </c>
    </row>
    <row r="116">
      <c r="A116" s="42" t="inlineStr">
        <is>
          <t>SZ-SL-000115</t>
        </is>
      </c>
      <c r="B116" s="42" t="inlineStr">
        <is>
          <t>WT-SL-HIKICHIGAI</t>
        </is>
      </c>
      <c r="C116" s="42" t="inlineStr">
        <is>
          <t>単体引違い窓</t>
        </is>
      </c>
      <c r="D116" s="42" t="str"/>
      <c r="E116" s="42" t="inlineStr">
        <is>
          <t>16520</t>
        </is>
      </c>
      <c r="F116" s="42" t="inlineStr">
        <is>
          <t>1690</t>
        </is>
      </c>
      <c r="G116" s="42" t="inlineStr">
        <is>
          <t>2030</t>
        </is>
      </c>
      <c r="H116" s="42" t="inlineStr">
        <is>
          <t>True</t>
        </is>
      </c>
      <c r="I116" s="42" t="inlineStr">
        <is>
          <t>ALLOWED</t>
        </is>
      </c>
      <c r="J116" s="42" t="inlineStr">
        <is>
          <t>DIRECT_OFFICIAL_STANDARD_ROW</t>
        </is>
      </c>
      <c r="K116" s="42" t="inlineStr">
        <is>
          <t>SDC0003156</t>
        </is>
      </c>
      <c r="L116" s="42" t="inlineStr">
        <is>
          <t>テラス2枚建</t>
        </is>
      </c>
      <c r="M116" s="42" t="inlineStr">
        <is>
          <t>22</t>
        </is>
      </c>
      <c r="N116" s="42" t="inlineStr">
        <is>
          <t>16520</t>
        </is>
      </c>
      <c r="O116" s="42" t="inlineStr">
        <is>
          <t>防犯建物部品欄の30mil構成を規格呼称へ直接突合。</t>
        </is>
      </c>
    </row>
    <row r="117">
      <c r="A117" s="42" t="inlineStr">
        <is>
          <t>SZ-SL-000116</t>
        </is>
      </c>
      <c r="B117" s="42" t="inlineStr">
        <is>
          <t>WT-SL-HIKICHIGAI</t>
        </is>
      </c>
      <c r="C117" s="42" t="inlineStr">
        <is>
          <t>単体引違い窓</t>
        </is>
      </c>
      <c r="D117" s="42" t="str"/>
      <c r="E117" s="42" t="inlineStr">
        <is>
          <t>17418</t>
        </is>
      </c>
      <c r="F117" s="42" t="inlineStr">
        <is>
          <t>1780</t>
        </is>
      </c>
      <c r="G117" s="42" t="inlineStr">
        <is>
          <t>1830</t>
        </is>
      </c>
      <c r="H117" s="42" t="inlineStr">
        <is>
          <t>True</t>
        </is>
      </c>
      <c r="I117" s="42" t="inlineStr">
        <is>
          <t>ALLOWED</t>
        </is>
      </c>
      <c r="J117" s="42" t="inlineStr">
        <is>
          <t>DIRECT_OFFICIAL_STANDARD_ROW</t>
        </is>
      </c>
      <c r="K117" s="42" t="inlineStr">
        <is>
          <t>SDC0003156</t>
        </is>
      </c>
      <c r="L117" s="42" t="inlineStr">
        <is>
          <t>テラス2枚建</t>
        </is>
      </c>
      <c r="M117" s="42" t="inlineStr">
        <is>
          <t>25</t>
        </is>
      </c>
      <c r="N117" s="42" t="inlineStr">
        <is>
          <t>17418</t>
        </is>
      </c>
      <c r="O117" s="42" t="inlineStr">
        <is>
          <t>防犯建物部品欄の30mil構成を規格呼称へ直接突合。</t>
        </is>
      </c>
    </row>
    <row r="118">
      <c r="A118" s="42" t="inlineStr">
        <is>
          <t>SZ-SL-000117</t>
        </is>
      </c>
      <c r="B118" s="42" t="inlineStr">
        <is>
          <t>WT-SL-HIKICHIGAI</t>
        </is>
      </c>
      <c r="C118" s="42" t="inlineStr">
        <is>
          <t>単体引違い窓</t>
        </is>
      </c>
      <c r="D118" s="42" t="str"/>
      <c r="E118" s="42" t="inlineStr">
        <is>
          <t>17420</t>
        </is>
      </c>
      <c r="F118" s="42" t="inlineStr">
        <is>
          <t>1780</t>
        </is>
      </c>
      <c r="G118" s="42" t="inlineStr">
        <is>
          <t>2030</t>
        </is>
      </c>
      <c r="H118" s="42" t="inlineStr">
        <is>
          <t>True</t>
        </is>
      </c>
      <c r="I118" s="42" t="inlineStr">
        <is>
          <t>ALLOWED</t>
        </is>
      </c>
      <c r="J118" s="42" t="inlineStr">
        <is>
          <t>DIRECT_OFFICIAL_STANDARD_ROW</t>
        </is>
      </c>
      <c r="K118" s="42" t="inlineStr">
        <is>
          <t>SDC0003156</t>
        </is>
      </c>
      <c r="L118" s="42" t="inlineStr">
        <is>
          <t>テラス2枚建</t>
        </is>
      </c>
      <c r="M118" s="42" t="inlineStr">
        <is>
          <t>26</t>
        </is>
      </c>
      <c r="N118" s="42" t="inlineStr">
        <is>
          <t>17420</t>
        </is>
      </c>
      <c r="O118" s="42" t="inlineStr">
        <is>
          <t>防犯建物部品欄の30mil構成を規格呼称へ直接突合。</t>
        </is>
      </c>
    </row>
    <row r="119">
      <c r="A119" s="42" t="inlineStr">
        <is>
          <t>SZ-SL-000118</t>
        </is>
      </c>
      <c r="B119" s="42" t="inlineStr">
        <is>
          <t>WT-SL-HIKICHIGAI</t>
        </is>
      </c>
      <c r="C119" s="42" t="inlineStr">
        <is>
          <t>単体引違い窓</t>
        </is>
      </c>
      <c r="D119" s="42" t="str"/>
      <c r="E119" s="42" t="inlineStr">
        <is>
          <t>17618</t>
        </is>
      </c>
      <c r="F119" s="42" t="inlineStr">
        <is>
          <t>1800</t>
        </is>
      </c>
      <c r="G119" s="42" t="inlineStr">
        <is>
          <t>1830</t>
        </is>
      </c>
      <c r="H119" s="42" t="inlineStr">
        <is>
          <t>True</t>
        </is>
      </c>
      <c r="I119" s="42" t="inlineStr">
        <is>
          <t>ALLOWED</t>
        </is>
      </c>
      <c r="J119" s="42" t="inlineStr">
        <is>
          <t>DIRECT_OFFICIAL_STANDARD_ROW</t>
        </is>
      </c>
      <c r="K119" s="42" t="inlineStr">
        <is>
          <t>SDC0003156</t>
        </is>
      </c>
      <c r="L119" s="42" t="inlineStr">
        <is>
          <t>テラス2枚建</t>
        </is>
      </c>
      <c r="M119" s="42" t="inlineStr">
        <is>
          <t>29</t>
        </is>
      </c>
      <c r="N119" s="42" t="inlineStr">
        <is>
          <t>17618</t>
        </is>
      </c>
      <c r="O119" s="42" t="inlineStr">
        <is>
          <t>防犯建物部品欄の30mil構成を規格呼称へ直接突合。</t>
        </is>
      </c>
    </row>
    <row r="120">
      <c r="A120" s="42" t="inlineStr">
        <is>
          <t>SZ-SL-000119</t>
        </is>
      </c>
      <c r="B120" s="42" t="inlineStr">
        <is>
          <t>WT-SL-HIKICHIGAI</t>
        </is>
      </c>
      <c r="C120" s="42" t="inlineStr">
        <is>
          <t>単体引違い窓</t>
        </is>
      </c>
      <c r="D120" s="42" t="str"/>
      <c r="E120" s="42" t="inlineStr">
        <is>
          <t>17620</t>
        </is>
      </c>
      <c r="F120" s="42" t="inlineStr">
        <is>
          <t>1800</t>
        </is>
      </c>
      <c r="G120" s="42" t="inlineStr">
        <is>
          <t>2030</t>
        </is>
      </c>
      <c r="H120" s="42" t="inlineStr">
        <is>
          <t>True</t>
        </is>
      </c>
      <c r="I120" s="42" t="inlineStr">
        <is>
          <t>ALLOWED</t>
        </is>
      </c>
      <c r="J120" s="42" t="inlineStr">
        <is>
          <t>DIRECT_OFFICIAL_STANDARD_ROW</t>
        </is>
      </c>
      <c r="K120" s="42" t="inlineStr">
        <is>
          <t>SDC0003156</t>
        </is>
      </c>
      <c r="L120" s="42" t="inlineStr">
        <is>
          <t>テラス2枚建</t>
        </is>
      </c>
      <c r="M120" s="42" t="inlineStr">
        <is>
          <t>30</t>
        </is>
      </c>
      <c r="N120" s="42" t="inlineStr">
        <is>
          <t>17620</t>
        </is>
      </c>
      <c r="O120" s="42" t="inlineStr">
        <is>
          <t>防犯建物部品欄の30mil構成を規格呼称へ直接突合。</t>
        </is>
      </c>
    </row>
    <row r="121">
      <c r="A121" s="42" t="inlineStr">
        <is>
          <t>SZ-SL-000120</t>
        </is>
      </c>
      <c r="B121" s="42" t="inlineStr">
        <is>
          <t>WT-SL-HIKICHIGAI</t>
        </is>
      </c>
      <c r="C121" s="42" t="inlineStr">
        <is>
          <t>単体引違い窓</t>
        </is>
      </c>
      <c r="D121" s="42" t="str"/>
      <c r="E121" s="42" t="inlineStr">
        <is>
          <t>17818</t>
        </is>
      </c>
      <c r="F121" s="42" t="inlineStr">
        <is>
          <t>1820</t>
        </is>
      </c>
      <c r="G121" s="42" t="inlineStr">
        <is>
          <t>1830</t>
        </is>
      </c>
      <c r="H121" s="42" t="inlineStr">
        <is>
          <t>True</t>
        </is>
      </c>
      <c r="I121" s="42" t="inlineStr">
        <is>
          <t>ALLOWED</t>
        </is>
      </c>
      <c r="J121" s="42" t="inlineStr">
        <is>
          <t>DIRECT_OFFICIAL_STANDARD_ROW</t>
        </is>
      </c>
      <c r="K121" s="42" t="inlineStr">
        <is>
          <t>SDC0003156</t>
        </is>
      </c>
      <c r="L121" s="42" t="inlineStr">
        <is>
          <t>テラス2枚建</t>
        </is>
      </c>
      <c r="M121" s="42" t="inlineStr">
        <is>
          <t>33</t>
        </is>
      </c>
      <c r="N121" s="42" t="inlineStr">
        <is>
          <t>17818</t>
        </is>
      </c>
      <c r="O121" s="42" t="inlineStr">
        <is>
          <t>防犯建物部品欄の30mil構成を規格呼称へ直接突合。</t>
        </is>
      </c>
    </row>
    <row r="122">
      <c r="A122" s="42" t="inlineStr">
        <is>
          <t>SZ-SL-000121</t>
        </is>
      </c>
      <c r="B122" s="42" t="inlineStr">
        <is>
          <t>WT-SL-HIKICHIGAI</t>
        </is>
      </c>
      <c r="C122" s="42" t="inlineStr">
        <is>
          <t>単体引違い窓</t>
        </is>
      </c>
      <c r="D122" s="42" t="str"/>
      <c r="E122" s="42" t="inlineStr">
        <is>
          <t>17820</t>
        </is>
      </c>
      <c r="F122" s="42" t="inlineStr">
        <is>
          <t>1820</t>
        </is>
      </c>
      <c r="G122" s="42" t="inlineStr">
        <is>
          <t>2030</t>
        </is>
      </c>
      <c r="H122" s="42" t="inlineStr">
        <is>
          <t>True</t>
        </is>
      </c>
      <c r="I122" s="42" t="inlineStr">
        <is>
          <t>ALLOWED</t>
        </is>
      </c>
      <c r="J122" s="42" t="inlineStr">
        <is>
          <t>DIRECT_OFFICIAL_STANDARD_ROW</t>
        </is>
      </c>
      <c r="K122" s="42" t="inlineStr">
        <is>
          <t>SDC0003156</t>
        </is>
      </c>
      <c r="L122" s="42" t="inlineStr">
        <is>
          <t>テラス2枚建</t>
        </is>
      </c>
      <c r="M122" s="42" t="inlineStr">
        <is>
          <t>34</t>
        </is>
      </c>
      <c r="N122" s="42" t="inlineStr">
        <is>
          <t>17820</t>
        </is>
      </c>
      <c r="O122" s="42" t="inlineStr">
        <is>
          <t>防犯建物部品欄の30mil構成を規格呼称へ直接突合。</t>
        </is>
      </c>
    </row>
    <row r="123">
      <c r="A123" s="42" t="inlineStr">
        <is>
          <t>SZ-SL-000122</t>
        </is>
      </c>
      <c r="B123" s="42" t="inlineStr">
        <is>
          <t>WT-SL-HIKICHIGAI</t>
        </is>
      </c>
      <c r="C123" s="42" t="inlineStr">
        <is>
          <t>単体引違い窓</t>
        </is>
      </c>
      <c r="D123" s="42" t="str"/>
      <c r="E123" s="42" t="inlineStr">
        <is>
          <t>18018</t>
        </is>
      </c>
      <c r="F123" s="42" t="inlineStr">
        <is>
          <t>1845</t>
        </is>
      </c>
      <c r="G123" s="42" t="inlineStr">
        <is>
          <t>1830</t>
        </is>
      </c>
      <c r="H123" s="42" t="inlineStr">
        <is>
          <t>True</t>
        </is>
      </c>
      <c r="I123" s="42" t="inlineStr">
        <is>
          <t>ALLOWED</t>
        </is>
      </c>
      <c r="J123" s="42" t="inlineStr">
        <is>
          <t>DIRECT_OFFICIAL_STANDARD_ROW</t>
        </is>
      </c>
      <c r="K123" s="42" t="inlineStr">
        <is>
          <t>SDC0003156</t>
        </is>
      </c>
      <c r="L123" s="42" t="inlineStr">
        <is>
          <t>テラス2枚建</t>
        </is>
      </c>
      <c r="M123" s="42" t="inlineStr">
        <is>
          <t>37</t>
        </is>
      </c>
      <c r="N123" s="42" t="inlineStr">
        <is>
          <t>18018</t>
        </is>
      </c>
      <c r="O123" s="42" t="inlineStr">
        <is>
          <t>防犯建物部品欄の30mil構成を規格呼称へ直接突合。</t>
        </is>
      </c>
    </row>
    <row r="124">
      <c r="A124" s="42" t="inlineStr">
        <is>
          <t>SZ-SL-000123</t>
        </is>
      </c>
      <c r="B124" s="42" t="inlineStr">
        <is>
          <t>WT-SL-HIKICHIGAI</t>
        </is>
      </c>
      <c r="C124" s="42" t="inlineStr">
        <is>
          <t>単体引違い窓</t>
        </is>
      </c>
      <c r="D124" s="42" t="str"/>
      <c r="E124" s="42" t="inlineStr">
        <is>
          <t>18020</t>
        </is>
      </c>
      <c r="F124" s="42" t="inlineStr">
        <is>
          <t>1845</t>
        </is>
      </c>
      <c r="G124" s="42" t="inlineStr">
        <is>
          <t>2030</t>
        </is>
      </c>
      <c r="H124" s="42" t="inlineStr">
        <is>
          <t>True</t>
        </is>
      </c>
      <c r="I124" s="42" t="inlineStr">
        <is>
          <t>ALLOWED</t>
        </is>
      </c>
      <c r="J124" s="42" t="inlineStr">
        <is>
          <t>DIRECT_OFFICIAL_STANDARD_ROW</t>
        </is>
      </c>
      <c r="K124" s="42" t="inlineStr">
        <is>
          <t>SDC0003156</t>
        </is>
      </c>
      <c r="L124" s="42" t="inlineStr">
        <is>
          <t>テラス2枚建</t>
        </is>
      </c>
      <c r="M124" s="42" t="inlineStr">
        <is>
          <t>38</t>
        </is>
      </c>
      <c r="N124" s="42" t="inlineStr">
        <is>
          <t>18020</t>
        </is>
      </c>
      <c r="O124" s="42" t="inlineStr">
        <is>
          <t>防犯建物部品欄の30mil構成を規格呼称へ直接突合。</t>
        </is>
      </c>
    </row>
    <row r="125">
      <c r="A125" s="42" t="inlineStr">
        <is>
          <t>SZ-SL-000124</t>
        </is>
      </c>
      <c r="B125" s="42" t="inlineStr">
        <is>
          <t>WT-SL-HIKICHIGAI</t>
        </is>
      </c>
      <c r="C125" s="42" t="inlineStr">
        <is>
          <t>単体引違い窓</t>
        </is>
      </c>
      <c r="D125" s="42" t="str"/>
      <c r="E125" s="42" t="inlineStr">
        <is>
          <t>18318</t>
        </is>
      </c>
      <c r="F125" s="42" t="inlineStr">
        <is>
          <t>1870</t>
        </is>
      </c>
      <c r="G125" s="42" t="inlineStr">
        <is>
          <t>1830</t>
        </is>
      </c>
      <c r="H125" s="42" t="inlineStr">
        <is>
          <t>True</t>
        </is>
      </c>
      <c r="I125" s="42" t="inlineStr">
        <is>
          <t>ALLOWED</t>
        </is>
      </c>
      <c r="J125" s="42" t="inlineStr">
        <is>
          <t>DIRECT_OFFICIAL_STANDARD_ROW</t>
        </is>
      </c>
      <c r="K125" s="42" t="inlineStr">
        <is>
          <t>SDC0003156</t>
        </is>
      </c>
      <c r="L125" s="42" t="inlineStr">
        <is>
          <t>テラス2枚建</t>
        </is>
      </c>
      <c r="M125" s="42" t="inlineStr">
        <is>
          <t>41</t>
        </is>
      </c>
      <c r="N125" s="42" t="inlineStr">
        <is>
          <t>18318</t>
        </is>
      </c>
      <c r="O125" s="42" t="inlineStr">
        <is>
          <t>防犯建物部品欄の30mil構成を規格呼称へ直接突合。</t>
        </is>
      </c>
    </row>
    <row r="126">
      <c r="A126" s="42" t="inlineStr">
        <is>
          <t>SZ-SL-000125</t>
        </is>
      </c>
      <c r="B126" s="42" t="inlineStr">
        <is>
          <t>WT-SL-HIKICHIGAI</t>
        </is>
      </c>
      <c r="C126" s="42" t="inlineStr">
        <is>
          <t>単体引違い窓</t>
        </is>
      </c>
      <c r="D126" s="42" t="str"/>
      <c r="E126" s="42" t="inlineStr">
        <is>
          <t>18320</t>
        </is>
      </c>
      <c r="F126" s="42" t="inlineStr">
        <is>
          <t>1870</t>
        </is>
      </c>
      <c r="G126" s="42" t="inlineStr">
        <is>
          <t>2030</t>
        </is>
      </c>
      <c r="H126" s="42" t="inlineStr">
        <is>
          <t>True</t>
        </is>
      </c>
      <c r="I126" s="42" t="inlineStr">
        <is>
          <t>ALLOWED</t>
        </is>
      </c>
      <c r="J126" s="42" t="inlineStr">
        <is>
          <t>DIRECT_OFFICIAL_STANDARD_ROW</t>
        </is>
      </c>
      <c r="K126" s="42" t="inlineStr">
        <is>
          <t>SDC0003156</t>
        </is>
      </c>
      <c r="L126" s="42" t="inlineStr">
        <is>
          <t>テラス2枚建</t>
        </is>
      </c>
      <c r="M126" s="42" t="inlineStr">
        <is>
          <t>42</t>
        </is>
      </c>
      <c r="N126" s="42" t="inlineStr">
        <is>
          <t>18320</t>
        </is>
      </c>
      <c r="O126" s="42" t="inlineStr">
        <is>
          <t>防犯建物部品欄の30mil構成を規格呼称へ直接突合。</t>
        </is>
      </c>
    </row>
    <row r="127">
      <c r="A127" s="42" t="inlineStr">
        <is>
          <t>SZ-SL-000126</t>
        </is>
      </c>
      <c r="B127" s="42" t="inlineStr">
        <is>
          <t>WT-SL-HIKICHIGAI</t>
        </is>
      </c>
      <c r="C127" s="42" t="inlineStr">
        <is>
          <t>単体引違い窓</t>
        </is>
      </c>
      <c r="D127" s="42" t="str"/>
      <c r="E127" s="42" t="inlineStr">
        <is>
          <t>18618</t>
        </is>
      </c>
      <c r="F127" s="42" t="inlineStr">
        <is>
          <t>1900</t>
        </is>
      </c>
      <c r="G127" s="42" t="inlineStr">
        <is>
          <t>1830</t>
        </is>
      </c>
      <c r="H127" s="42" t="inlineStr">
        <is>
          <t>True</t>
        </is>
      </c>
      <c r="I127" s="42" t="inlineStr">
        <is>
          <t>ALLOWED</t>
        </is>
      </c>
      <c r="J127" s="42" t="inlineStr">
        <is>
          <t>DIRECT_OFFICIAL_STANDARD_ROW</t>
        </is>
      </c>
      <c r="K127" s="42" t="inlineStr">
        <is>
          <t>SDC0003156</t>
        </is>
      </c>
      <c r="L127" s="42" t="inlineStr">
        <is>
          <t>テラス2枚建</t>
        </is>
      </c>
      <c r="M127" s="42" t="inlineStr">
        <is>
          <t>45</t>
        </is>
      </c>
      <c r="N127" s="42" t="inlineStr">
        <is>
          <t>18618</t>
        </is>
      </c>
      <c r="O127" s="42" t="inlineStr">
        <is>
          <t>防犯建物部品欄の30mil構成を規格呼称へ直接突合。</t>
        </is>
      </c>
    </row>
    <row r="128">
      <c r="A128" s="42" t="inlineStr">
        <is>
          <t>SZ-SL-000127</t>
        </is>
      </c>
      <c r="B128" s="42" t="inlineStr">
        <is>
          <t>WT-SL-HIKICHIGAI</t>
        </is>
      </c>
      <c r="C128" s="42" t="inlineStr">
        <is>
          <t>単体引違い窓</t>
        </is>
      </c>
      <c r="D128" s="42" t="str"/>
      <c r="E128" s="42" t="inlineStr">
        <is>
          <t>18620</t>
        </is>
      </c>
      <c r="F128" s="42" t="inlineStr">
        <is>
          <t>1900</t>
        </is>
      </c>
      <c r="G128" s="42" t="inlineStr">
        <is>
          <t>2030</t>
        </is>
      </c>
      <c r="H128" s="42" t="inlineStr">
        <is>
          <t>True</t>
        </is>
      </c>
      <c r="I128" s="42" t="inlineStr">
        <is>
          <t>ALLOWED</t>
        </is>
      </c>
      <c r="J128" s="42" t="inlineStr">
        <is>
          <t>DIRECT_OFFICIAL_STANDARD_ROW</t>
        </is>
      </c>
      <c r="K128" s="42" t="inlineStr">
        <is>
          <t>SDC0003156</t>
        </is>
      </c>
      <c r="L128" s="42" t="inlineStr">
        <is>
          <t>テラス2枚建</t>
        </is>
      </c>
      <c r="M128" s="42" t="inlineStr">
        <is>
          <t>46</t>
        </is>
      </c>
      <c r="N128" s="42" t="inlineStr">
        <is>
          <t>18620</t>
        </is>
      </c>
      <c r="O128" s="42" t="inlineStr">
        <is>
          <t>防犯建物部品欄の30mil構成を規格呼称へ直接突合。</t>
        </is>
      </c>
    </row>
    <row r="129">
      <c r="A129" s="42" t="inlineStr">
        <is>
          <t>SZ-SL-000128</t>
        </is>
      </c>
      <c r="B129" s="42" t="inlineStr">
        <is>
          <t>WT-SL-HIKICHIGAI</t>
        </is>
      </c>
      <c r="C129" s="42" t="inlineStr">
        <is>
          <t>単体引違い窓</t>
        </is>
      </c>
      <c r="D129" s="42" t="str"/>
      <c r="E129" s="42" t="inlineStr">
        <is>
          <t>25118-2</t>
        </is>
      </c>
      <c r="F129" s="42" t="inlineStr">
        <is>
          <t>2550</t>
        </is>
      </c>
      <c r="G129" s="42" t="inlineStr">
        <is>
          <t>1830</t>
        </is>
      </c>
      <c r="H129" s="42" t="inlineStr">
        <is>
          <t>True</t>
        </is>
      </c>
      <c r="I129" s="42" t="inlineStr">
        <is>
          <t>ALLOWED</t>
        </is>
      </c>
      <c r="J129" s="42" t="inlineStr">
        <is>
          <t>DIRECT_OFFICIAL_STANDARD_ROW</t>
        </is>
      </c>
      <c r="K129" s="42" t="inlineStr">
        <is>
          <t>SDC0003156</t>
        </is>
      </c>
      <c r="L129" s="42" t="inlineStr">
        <is>
          <t>テラス2枚建</t>
        </is>
      </c>
      <c r="M129" s="42" t="inlineStr">
        <is>
          <t>49</t>
        </is>
      </c>
      <c r="N129" s="42" t="inlineStr">
        <is>
          <t>251182</t>
        </is>
      </c>
      <c r="O129" s="42" t="inlineStr">
        <is>
          <t>防犯建物部品欄の30mil構成を規格呼称へ直接突合。</t>
        </is>
      </c>
    </row>
    <row r="130">
      <c r="A130" s="42" t="inlineStr">
        <is>
          <t>SZ-SL-000129</t>
        </is>
      </c>
      <c r="B130" s="42" t="inlineStr">
        <is>
          <t>WT-SL-HIKICHIGAI</t>
        </is>
      </c>
      <c r="C130" s="42" t="inlineStr">
        <is>
          <t>単体引違い窓</t>
        </is>
      </c>
      <c r="D130" s="42" t="str"/>
      <c r="E130" s="42" t="inlineStr">
        <is>
          <t>25118-4</t>
        </is>
      </c>
      <c r="F130" s="42" t="inlineStr">
        <is>
          <t>2550</t>
        </is>
      </c>
      <c r="G130" s="42" t="inlineStr">
        <is>
          <t>1830</t>
        </is>
      </c>
      <c r="H130" s="42" t="inlineStr">
        <is>
          <t>True</t>
        </is>
      </c>
      <c r="I130" s="42" t="inlineStr">
        <is>
          <t>ALLOWED</t>
        </is>
      </c>
      <c r="J130" s="42" t="inlineStr">
        <is>
          <t>DIRECT_OFFICIAL_STANDARD_ROW</t>
        </is>
      </c>
      <c r="K130" s="42" t="inlineStr">
        <is>
          <t>SDC0003156</t>
        </is>
      </c>
      <c r="L130" s="42" t="inlineStr">
        <is>
          <t>テラス4枚建</t>
        </is>
      </c>
      <c r="M130" s="42" t="inlineStr">
        <is>
          <t>9</t>
        </is>
      </c>
      <c r="N130" s="42" t="inlineStr">
        <is>
          <t>251184</t>
        </is>
      </c>
      <c r="O130" s="42" t="inlineStr">
        <is>
          <t>防犯建物部品欄の30mil構成を規格呼称へ直接突合。</t>
        </is>
      </c>
    </row>
    <row r="131">
      <c r="A131" s="42" t="inlineStr">
        <is>
          <t>SZ-SL-000130</t>
        </is>
      </c>
      <c r="B131" s="42" t="inlineStr">
        <is>
          <t>WT-SL-HIKICHIGAI</t>
        </is>
      </c>
      <c r="C131" s="42" t="inlineStr">
        <is>
          <t>単体引違い窓</t>
        </is>
      </c>
      <c r="D131" s="42" t="str"/>
      <c r="E131" s="42" t="inlineStr">
        <is>
          <t>25120-2</t>
        </is>
      </c>
      <c r="F131" s="42" t="inlineStr">
        <is>
          <t>2550</t>
        </is>
      </c>
      <c r="G131" s="42" t="inlineStr">
        <is>
          <t>2030</t>
        </is>
      </c>
      <c r="H131" s="42" t="inlineStr">
        <is>
          <t>True</t>
        </is>
      </c>
      <c r="I131" s="42" t="inlineStr">
        <is>
          <t>ALLOWED</t>
        </is>
      </c>
      <c r="J131" s="42" t="inlineStr">
        <is>
          <t>DIRECT_OFFICIAL_STANDARD_ROW</t>
        </is>
      </c>
      <c r="K131" s="42" t="inlineStr">
        <is>
          <t>SDC0003156</t>
        </is>
      </c>
      <c r="L131" s="42" t="inlineStr">
        <is>
          <t>テラス2枚建</t>
        </is>
      </c>
      <c r="M131" s="42" t="inlineStr">
        <is>
          <t>50</t>
        </is>
      </c>
      <c r="N131" s="42" t="inlineStr">
        <is>
          <t>251202</t>
        </is>
      </c>
      <c r="O131" s="42" t="inlineStr">
        <is>
          <t>防犯建物部品欄の30mil構成を規格呼称へ直接突合。</t>
        </is>
      </c>
    </row>
    <row r="132">
      <c r="A132" s="42" t="inlineStr">
        <is>
          <t>SZ-SL-000131</t>
        </is>
      </c>
      <c r="B132" s="42" t="inlineStr">
        <is>
          <t>WT-SL-HIKICHIGAI</t>
        </is>
      </c>
      <c r="C132" s="42" t="inlineStr">
        <is>
          <t>単体引違い窓</t>
        </is>
      </c>
      <c r="D132" s="42" t="str"/>
      <c r="E132" s="42" t="inlineStr">
        <is>
          <t>25120-4</t>
        </is>
      </c>
      <c r="F132" s="42" t="inlineStr">
        <is>
          <t>2550</t>
        </is>
      </c>
      <c r="G132" s="42" t="inlineStr">
        <is>
          <t>2030</t>
        </is>
      </c>
      <c r="H132" s="42" t="inlineStr">
        <is>
          <t>True</t>
        </is>
      </c>
      <c r="I132" s="42" t="inlineStr">
        <is>
          <t>ALLOWED</t>
        </is>
      </c>
      <c r="J132" s="42" t="inlineStr">
        <is>
          <t>DIRECT_OFFICIAL_STANDARD_ROW</t>
        </is>
      </c>
      <c r="K132" s="42" t="inlineStr">
        <is>
          <t>SDC0003156</t>
        </is>
      </c>
      <c r="L132" s="42" t="inlineStr">
        <is>
          <t>テラス4枚建</t>
        </is>
      </c>
      <c r="M132" s="42" t="inlineStr">
        <is>
          <t>10</t>
        </is>
      </c>
      <c r="N132" s="42" t="inlineStr">
        <is>
          <t>251204</t>
        </is>
      </c>
      <c r="O132" s="42" t="inlineStr">
        <is>
          <t>防犯建物部品欄の30mil構成を規格呼称へ直接突合。</t>
        </is>
      </c>
    </row>
    <row r="133">
      <c r="A133" s="42" t="inlineStr">
        <is>
          <t>SZ-SL-000132</t>
        </is>
      </c>
      <c r="B133" s="42" t="inlineStr">
        <is>
          <t>WT-SL-HIKICHIGAI</t>
        </is>
      </c>
      <c r="C133" s="42" t="inlineStr">
        <is>
          <t>単体引違い窓</t>
        </is>
      </c>
      <c r="D133" s="42" t="str"/>
      <c r="E133" s="42" t="inlineStr">
        <is>
          <t>25618-2</t>
        </is>
      </c>
      <c r="F133" s="42" t="inlineStr">
        <is>
          <t>2600</t>
        </is>
      </c>
      <c r="G133" s="42" t="inlineStr">
        <is>
          <t>1830</t>
        </is>
      </c>
      <c r="H133" s="42" t="inlineStr">
        <is>
          <t>True</t>
        </is>
      </c>
      <c r="I133" s="42" t="inlineStr">
        <is>
          <t>ALLOWED</t>
        </is>
      </c>
      <c r="J133" s="42" t="inlineStr">
        <is>
          <t>DIRECT_OFFICIAL_STANDARD_ROW</t>
        </is>
      </c>
      <c r="K133" s="42" t="inlineStr">
        <is>
          <t>SDC0003156</t>
        </is>
      </c>
      <c r="L133" s="42" t="inlineStr">
        <is>
          <t>テラス2枚建</t>
        </is>
      </c>
      <c r="M133" s="42" t="inlineStr">
        <is>
          <t>53</t>
        </is>
      </c>
      <c r="N133" s="42" t="inlineStr">
        <is>
          <t>256182</t>
        </is>
      </c>
      <c r="O133" s="42" t="inlineStr">
        <is>
          <t>防犯建物部品欄の30mil構成を規格呼称へ直接突合。</t>
        </is>
      </c>
    </row>
    <row r="134">
      <c r="A134" s="42" t="inlineStr">
        <is>
          <t>SZ-SL-000133</t>
        </is>
      </c>
      <c r="B134" s="42" t="inlineStr">
        <is>
          <t>WT-SL-HIKICHIGAI</t>
        </is>
      </c>
      <c r="C134" s="42" t="inlineStr">
        <is>
          <t>単体引違い窓</t>
        </is>
      </c>
      <c r="D134" s="42" t="str"/>
      <c r="E134" s="42" t="inlineStr">
        <is>
          <t>25618-4</t>
        </is>
      </c>
      <c r="F134" s="42" t="inlineStr">
        <is>
          <t>2600</t>
        </is>
      </c>
      <c r="G134" s="42" t="inlineStr">
        <is>
          <t>1830</t>
        </is>
      </c>
      <c r="H134" s="42" t="inlineStr">
        <is>
          <t>True</t>
        </is>
      </c>
      <c r="I134" s="42" t="inlineStr">
        <is>
          <t>ALLOWED</t>
        </is>
      </c>
      <c r="J134" s="42" t="inlineStr">
        <is>
          <t>DIRECT_OFFICIAL_STANDARD_ROW</t>
        </is>
      </c>
      <c r="K134" s="42" t="inlineStr">
        <is>
          <t>SDC0003156</t>
        </is>
      </c>
      <c r="L134" s="42" t="inlineStr">
        <is>
          <t>テラス4枚建</t>
        </is>
      </c>
      <c r="M134" s="42" t="inlineStr">
        <is>
          <t>13</t>
        </is>
      </c>
      <c r="N134" s="42" t="inlineStr">
        <is>
          <t>256184</t>
        </is>
      </c>
      <c r="O134" s="42" t="inlineStr">
        <is>
          <t>防犯建物部品欄の30mil構成を規格呼称へ直接突合。</t>
        </is>
      </c>
    </row>
    <row r="135">
      <c r="A135" s="42" t="inlineStr">
        <is>
          <t>SZ-SL-000134</t>
        </is>
      </c>
      <c r="B135" s="42" t="inlineStr">
        <is>
          <t>WT-SL-HIKICHIGAI</t>
        </is>
      </c>
      <c r="C135" s="42" t="inlineStr">
        <is>
          <t>単体引違い窓</t>
        </is>
      </c>
      <c r="D135" s="42" t="str"/>
      <c r="E135" s="42" t="inlineStr">
        <is>
          <t>25620-2</t>
        </is>
      </c>
      <c r="F135" s="42" t="inlineStr">
        <is>
          <t>2600</t>
        </is>
      </c>
      <c r="G135" s="42" t="inlineStr">
        <is>
          <t>2030</t>
        </is>
      </c>
      <c r="H135" s="42" t="inlineStr">
        <is>
          <t>True</t>
        </is>
      </c>
      <c r="I135" s="42" t="inlineStr">
        <is>
          <t>ALLOWED</t>
        </is>
      </c>
      <c r="J135" s="42" t="inlineStr">
        <is>
          <t>DIRECT_OFFICIAL_STANDARD_ROW</t>
        </is>
      </c>
      <c r="K135" s="42" t="inlineStr">
        <is>
          <t>SDC0003156</t>
        </is>
      </c>
      <c r="L135" s="42" t="inlineStr">
        <is>
          <t>テラス2枚建</t>
        </is>
      </c>
      <c r="M135" s="42" t="inlineStr">
        <is>
          <t>54</t>
        </is>
      </c>
      <c r="N135" s="42" t="inlineStr">
        <is>
          <t>256202</t>
        </is>
      </c>
      <c r="O135" s="42" t="inlineStr">
        <is>
          <t>防犯建物部品欄の30mil構成を規格呼称へ直接突合。</t>
        </is>
      </c>
    </row>
    <row r="136">
      <c r="A136" s="42" t="inlineStr">
        <is>
          <t>SZ-SL-000135</t>
        </is>
      </c>
      <c r="B136" s="42" t="inlineStr">
        <is>
          <t>WT-SL-HIKICHIGAI</t>
        </is>
      </c>
      <c r="C136" s="42" t="inlineStr">
        <is>
          <t>単体引違い窓</t>
        </is>
      </c>
      <c r="D136" s="42" t="str"/>
      <c r="E136" s="42" t="inlineStr">
        <is>
          <t>25620-4</t>
        </is>
      </c>
      <c r="F136" s="42" t="inlineStr">
        <is>
          <t>2600</t>
        </is>
      </c>
      <c r="G136" s="42" t="inlineStr">
        <is>
          <t>2030</t>
        </is>
      </c>
      <c r="H136" s="42" t="inlineStr">
        <is>
          <t>True</t>
        </is>
      </c>
      <c r="I136" s="42" t="inlineStr">
        <is>
          <t>ALLOWED</t>
        </is>
      </c>
      <c r="J136" s="42" t="inlineStr">
        <is>
          <t>DIRECT_OFFICIAL_STANDARD_ROW</t>
        </is>
      </c>
      <c r="K136" s="42" t="inlineStr">
        <is>
          <t>SDC0003156</t>
        </is>
      </c>
      <c r="L136" s="42" t="inlineStr">
        <is>
          <t>テラス4枚建</t>
        </is>
      </c>
      <c r="M136" s="42" t="inlineStr">
        <is>
          <t>14</t>
        </is>
      </c>
      <c r="N136" s="42" t="inlineStr">
        <is>
          <t>256204</t>
        </is>
      </c>
      <c r="O136" s="42" t="inlineStr">
        <is>
          <t>防犯建物部品欄の30mil構成を規格呼称へ直接突合。</t>
        </is>
      </c>
    </row>
    <row r="137">
      <c r="A137" s="42" t="inlineStr">
        <is>
          <t>SZ-SL-000136</t>
        </is>
      </c>
      <c r="B137" s="42" t="inlineStr">
        <is>
          <t>WT-SL-HIKICHIGAI</t>
        </is>
      </c>
      <c r="C137" s="42" t="inlineStr">
        <is>
          <t>単体引違い窓</t>
        </is>
      </c>
      <c r="D137" s="42" t="str"/>
      <c r="E137" s="42" t="inlineStr">
        <is>
          <t>34718</t>
        </is>
      </c>
      <c r="F137" s="42" t="inlineStr">
        <is>
          <t>3510</t>
        </is>
      </c>
      <c r="G137" s="42" t="inlineStr">
        <is>
          <t>1830</t>
        </is>
      </c>
      <c r="H137" s="42" t="inlineStr">
        <is>
          <t>True</t>
        </is>
      </c>
      <c r="I137" s="42" t="inlineStr">
        <is>
          <t>ALLOWED</t>
        </is>
      </c>
      <c r="J137" s="42" t="inlineStr">
        <is>
          <t>DIRECT_OFFICIAL_STANDARD_ROW</t>
        </is>
      </c>
      <c r="K137" s="42" t="inlineStr">
        <is>
          <t>SDC0003156</t>
        </is>
      </c>
      <c r="L137" s="42" t="inlineStr">
        <is>
          <t>テラス4枚建</t>
        </is>
      </c>
      <c r="M137" s="42" t="inlineStr">
        <is>
          <t>17</t>
        </is>
      </c>
      <c r="N137" s="42" t="inlineStr">
        <is>
          <t>34718</t>
        </is>
      </c>
      <c r="O137" s="42" t="inlineStr">
        <is>
          <t>防犯建物部品欄の30mil構成を規格呼称へ直接突合。</t>
        </is>
      </c>
    </row>
    <row r="138">
      <c r="A138" s="42" t="inlineStr">
        <is>
          <t>SZ-SL-000137</t>
        </is>
      </c>
      <c r="B138" s="42" t="inlineStr">
        <is>
          <t>WT-SL-HIKICHIGAI</t>
        </is>
      </c>
      <c r="C138" s="42" t="inlineStr">
        <is>
          <t>単体引違い窓</t>
        </is>
      </c>
      <c r="D138" s="42" t="str"/>
      <c r="E138" s="42" t="inlineStr">
        <is>
          <t>34720</t>
        </is>
      </c>
      <c r="F138" s="42" t="inlineStr">
        <is>
          <t>3510</t>
        </is>
      </c>
      <c r="G138" s="42" t="inlineStr">
        <is>
          <t>2030</t>
        </is>
      </c>
      <c r="H138" s="42" t="inlineStr">
        <is>
          <t>True</t>
        </is>
      </c>
      <c r="I138" s="42" t="inlineStr">
        <is>
          <t>ALLOWED</t>
        </is>
      </c>
      <c r="J138" s="42" t="inlineStr">
        <is>
          <t>DIRECT_OFFICIAL_STANDARD_ROW</t>
        </is>
      </c>
      <c r="K138" s="42" t="inlineStr">
        <is>
          <t>SDC0003156</t>
        </is>
      </c>
      <c r="L138" s="42" t="inlineStr">
        <is>
          <t>テラス4枚建</t>
        </is>
      </c>
      <c r="M138" s="42" t="inlineStr">
        <is>
          <t>18</t>
        </is>
      </c>
      <c r="N138" s="42" t="inlineStr">
        <is>
          <t>34720</t>
        </is>
      </c>
      <c r="O138" s="42" t="inlineStr">
        <is>
          <t>防犯建物部品欄の30mil構成を規格呼称へ直接突合。</t>
        </is>
      </c>
    </row>
    <row r="139">
      <c r="A139" s="42" t="inlineStr">
        <is>
          <t>SZ-SL-000138</t>
        </is>
      </c>
      <c r="B139" s="42" t="inlineStr">
        <is>
          <t>WT-SL-HIKICHIGAI</t>
        </is>
      </c>
      <c r="C139" s="42" t="inlineStr">
        <is>
          <t>単体引違い窓</t>
        </is>
      </c>
      <c r="D139" s="42" t="str"/>
      <c r="E139" s="42" t="inlineStr">
        <is>
          <t>15022</t>
        </is>
      </c>
      <c r="F139" s="42" t="inlineStr">
        <is>
          <t>1540</t>
        </is>
      </c>
      <c r="G139" s="42" t="inlineStr">
        <is>
          <t>2230</t>
        </is>
      </c>
      <c r="H139" s="42" t="inlineStr">
        <is>
          <t>True</t>
        </is>
      </c>
      <c r="I139" s="42" t="inlineStr">
        <is>
          <t>ALLOWED</t>
        </is>
      </c>
      <c r="J139" s="42" t="inlineStr">
        <is>
          <t>DIRECT_OFFICIAL_STANDARD_ROW</t>
        </is>
      </c>
      <c r="K139" s="42" t="inlineStr">
        <is>
          <t>SDC0003156</t>
        </is>
      </c>
      <c r="L139" s="42" t="inlineStr">
        <is>
          <t>テラス2枚建</t>
        </is>
      </c>
      <c r="M139" s="42" t="inlineStr">
        <is>
          <t>15</t>
        </is>
      </c>
      <c r="N139" s="42" t="inlineStr">
        <is>
          <t>15022</t>
        </is>
      </c>
      <c r="O139" s="42" t="inlineStr">
        <is>
          <t>防犯建物部品欄の30mil構成を規格呼称へ直接突合。</t>
        </is>
      </c>
    </row>
    <row r="140">
      <c r="A140" s="42" t="inlineStr">
        <is>
          <t>SZ-SL-000139</t>
        </is>
      </c>
      <c r="B140" s="42" t="inlineStr">
        <is>
          <t>WT-SL-HIKICHIGAI</t>
        </is>
      </c>
      <c r="C140" s="42" t="inlineStr">
        <is>
          <t>単体引違い窓</t>
        </is>
      </c>
      <c r="D140" s="42" t="str"/>
      <c r="E140" s="42" t="inlineStr">
        <is>
          <t>15024</t>
        </is>
      </c>
      <c r="F140" s="42" t="inlineStr">
        <is>
          <t>1540</t>
        </is>
      </c>
      <c r="G140" s="42" t="inlineStr">
        <is>
          <t>2430</t>
        </is>
      </c>
      <c r="H140" s="42" t="inlineStr">
        <is>
          <t>True</t>
        </is>
      </c>
      <c r="I140" s="42" t="inlineStr">
        <is>
          <t>UNVERIFIED_SOURCE_GAP</t>
        </is>
      </c>
      <c r="J140" s="42" t="inlineStr">
        <is>
          <t>OFFICIAL_DOCUMENT_SCOPE_GAP</t>
        </is>
      </c>
      <c r="K140" s="42" t="inlineStr">
        <is>
          <t>SDC0003156</t>
        </is>
      </c>
      <c r="L140" s="42" t="str"/>
      <c r="M140" s="42" t="str"/>
      <c r="N140" s="42" t="str"/>
      <c r="O140" s="42" t="inlineStr">
        <is>
          <t>対象文書は当該窓種を含むが、このRuntime規格呼称に対応する30mil○/×行を取得できていない。</t>
        </is>
      </c>
    </row>
    <row r="141">
      <c r="A141" s="42" t="inlineStr">
        <is>
          <t>SZ-SL-000140</t>
        </is>
      </c>
      <c r="B141" s="42" t="inlineStr">
        <is>
          <t>WT-SL-HIKICHIGAI</t>
        </is>
      </c>
      <c r="C141" s="42" t="inlineStr">
        <is>
          <t>単体引違い窓</t>
        </is>
      </c>
      <c r="D141" s="42" t="str"/>
      <c r="E141" s="42" t="inlineStr">
        <is>
          <t>16022</t>
        </is>
      </c>
      <c r="F141" s="42" t="inlineStr">
        <is>
          <t>1640</t>
        </is>
      </c>
      <c r="G141" s="42" t="inlineStr">
        <is>
          <t>2230</t>
        </is>
      </c>
      <c r="H141" s="42" t="inlineStr">
        <is>
          <t>True</t>
        </is>
      </c>
      <c r="I141" s="42" t="inlineStr">
        <is>
          <t>ALLOWED</t>
        </is>
      </c>
      <c r="J141" s="42" t="inlineStr">
        <is>
          <t>DIRECT_OFFICIAL_STANDARD_ROW</t>
        </is>
      </c>
      <c r="K141" s="42" t="inlineStr">
        <is>
          <t>SDC0003156</t>
        </is>
      </c>
      <c r="L141" s="42" t="inlineStr">
        <is>
          <t>テラス2枚建</t>
        </is>
      </c>
      <c r="M141" s="42" t="inlineStr">
        <is>
          <t>19</t>
        </is>
      </c>
      <c r="N141" s="42" t="inlineStr">
        <is>
          <t>16022</t>
        </is>
      </c>
      <c r="O141" s="42" t="inlineStr">
        <is>
          <t>防犯建物部品欄の30mil構成を規格呼称へ直接突合。</t>
        </is>
      </c>
    </row>
    <row r="142">
      <c r="A142" s="42" t="inlineStr">
        <is>
          <t>SZ-SL-000141</t>
        </is>
      </c>
      <c r="B142" s="42" t="inlineStr">
        <is>
          <t>WT-SL-HIKICHIGAI</t>
        </is>
      </c>
      <c r="C142" s="42" t="inlineStr">
        <is>
          <t>単体引違い窓</t>
        </is>
      </c>
      <c r="D142" s="42" t="str"/>
      <c r="E142" s="42" t="inlineStr">
        <is>
          <t>16024</t>
        </is>
      </c>
      <c r="F142" s="42" t="inlineStr">
        <is>
          <t>1640</t>
        </is>
      </c>
      <c r="G142" s="42" t="inlineStr">
        <is>
          <t>2430</t>
        </is>
      </c>
      <c r="H142" s="42" t="inlineStr">
        <is>
          <t>True</t>
        </is>
      </c>
      <c r="I142" s="42" t="inlineStr">
        <is>
          <t>UNVERIFIED_SOURCE_GAP</t>
        </is>
      </c>
      <c r="J142" s="42" t="inlineStr">
        <is>
          <t>OFFICIAL_DOCUMENT_SCOPE_GAP</t>
        </is>
      </c>
      <c r="K142" s="42" t="inlineStr">
        <is>
          <t>SDC0003156</t>
        </is>
      </c>
      <c r="L142" s="42" t="str"/>
      <c r="M142" s="42" t="str"/>
      <c r="N142" s="42" t="str"/>
      <c r="O142" s="42" t="inlineStr">
        <is>
          <t>対象文書は当該窓種を含むが、このRuntime規格呼称に対応する30mil○/×行を取得できていない。</t>
        </is>
      </c>
    </row>
    <row r="143">
      <c r="A143" s="42" t="inlineStr">
        <is>
          <t>SZ-SL-000142</t>
        </is>
      </c>
      <c r="B143" s="42" t="inlineStr">
        <is>
          <t>WT-SL-HIKICHIGAI</t>
        </is>
      </c>
      <c r="C143" s="42" t="inlineStr">
        <is>
          <t>単体引違い窓</t>
        </is>
      </c>
      <c r="D143" s="42" t="str"/>
      <c r="E143" s="42" t="inlineStr">
        <is>
          <t>16522</t>
        </is>
      </c>
      <c r="F143" s="42" t="inlineStr">
        <is>
          <t>1690</t>
        </is>
      </c>
      <c r="G143" s="42" t="inlineStr">
        <is>
          <t>2230</t>
        </is>
      </c>
      <c r="H143" s="42" t="inlineStr">
        <is>
          <t>True</t>
        </is>
      </c>
      <c r="I143" s="42" t="inlineStr">
        <is>
          <t>ALLOWED</t>
        </is>
      </c>
      <c r="J143" s="42" t="inlineStr">
        <is>
          <t>DIRECT_OFFICIAL_STANDARD_ROW</t>
        </is>
      </c>
      <c r="K143" s="42" t="inlineStr">
        <is>
          <t>SDC0003156</t>
        </is>
      </c>
      <c r="L143" s="42" t="inlineStr">
        <is>
          <t>テラス2枚建</t>
        </is>
      </c>
      <c r="M143" s="42" t="inlineStr">
        <is>
          <t>23</t>
        </is>
      </c>
      <c r="N143" s="42" t="inlineStr">
        <is>
          <t>16522</t>
        </is>
      </c>
      <c r="O143" s="42" t="inlineStr">
        <is>
          <t>防犯建物部品欄の30mil構成を規格呼称へ直接突合。</t>
        </is>
      </c>
    </row>
    <row r="144">
      <c r="A144" s="42" t="inlineStr">
        <is>
          <t>SZ-SL-000143</t>
        </is>
      </c>
      <c r="B144" s="42" t="inlineStr">
        <is>
          <t>WT-SL-HIKICHIGAI</t>
        </is>
      </c>
      <c r="C144" s="42" t="inlineStr">
        <is>
          <t>単体引違い窓</t>
        </is>
      </c>
      <c r="D144" s="42" t="str"/>
      <c r="E144" s="42" t="inlineStr">
        <is>
          <t>16524</t>
        </is>
      </c>
      <c r="F144" s="42" t="inlineStr">
        <is>
          <t>1690</t>
        </is>
      </c>
      <c r="G144" s="42" t="inlineStr">
        <is>
          <t>2430</t>
        </is>
      </c>
      <c r="H144" s="42" t="inlineStr">
        <is>
          <t>True</t>
        </is>
      </c>
      <c r="I144" s="42" t="inlineStr">
        <is>
          <t>UNVERIFIED_SOURCE_GAP</t>
        </is>
      </c>
      <c r="J144" s="42" t="inlineStr">
        <is>
          <t>OFFICIAL_DOCUMENT_SCOPE_GAP</t>
        </is>
      </c>
      <c r="K144" s="42" t="inlineStr">
        <is>
          <t>SDC0003156</t>
        </is>
      </c>
      <c r="L144" s="42" t="str"/>
      <c r="M144" s="42" t="str"/>
      <c r="N144" s="42" t="str"/>
      <c r="O144" s="42" t="inlineStr">
        <is>
          <t>対象文書は当該窓種を含むが、このRuntime規格呼称に対応する30mil○/×行を取得できていない。</t>
        </is>
      </c>
    </row>
    <row r="145">
      <c r="A145" s="42" t="inlineStr">
        <is>
          <t>SZ-SL-000144</t>
        </is>
      </c>
      <c r="B145" s="42" t="inlineStr">
        <is>
          <t>WT-SL-HIKICHIGAI</t>
        </is>
      </c>
      <c r="C145" s="42" t="inlineStr">
        <is>
          <t>単体引違い窓</t>
        </is>
      </c>
      <c r="D145" s="42" t="str"/>
      <c r="E145" s="42" t="inlineStr">
        <is>
          <t>17422</t>
        </is>
      </c>
      <c r="F145" s="42" t="inlineStr">
        <is>
          <t>1780</t>
        </is>
      </c>
      <c r="G145" s="42" t="inlineStr">
        <is>
          <t>2230</t>
        </is>
      </c>
      <c r="H145" s="42" t="inlineStr">
        <is>
          <t>True</t>
        </is>
      </c>
      <c r="I145" s="42" t="inlineStr">
        <is>
          <t>ALLOWED</t>
        </is>
      </c>
      <c r="J145" s="42" t="inlineStr">
        <is>
          <t>DIRECT_OFFICIAL_STANDARD_ROW</t>
        </is>
      </c>
      <c r="K145" s="42" t="inlineStr">
        <is>
          <t>SDC0003156</t>
        </is>
      </c>
      <c r="L145" s="42" t="inlineStr">
        <is>
          <t>テラス2枚建</t>
        </is>
      </c>
      <c r="M145" s="42" t="inlineStr">
        <is>
          <t>27</t>
        </is>
      </c>
      <c r="N145" s="42" t="inlineStr">
        <is>
          <t>17422</t>
        </is>
      </c>
      <c r="O145" s="42" t="inlineStr">
        <is>
          <t>防犯建物部品欄の30mil構成を規格呼称へ直接突合。</t>
        </is>
      </c>
    </row>
    <row r="146">
      <c r="A146" s="42" t="inlineStr">
        <is>
          <t>SZ-SL-000145</t>
        </is>
      </c>
      <c r="B146" s="42" t="inlineStr">
        <is>
          <t>WT-SL-HIKICHIGAI</t>
        </is>
      </c>
      <c r="C146" s="42" t="inlineStr">
        <is>
          <t>単体引違い窓</t>
        </is>
      </c>
      <c r="D146" s="42" t="str"/>
      <c r="E146" s="42" t="inlineStr">
        <is>
          <t>17424</t>
        </is>
      </c>
      <c r="F146" s="42" t="inlineStr">
        <is>
          <t>1780</t>
        </is>
      </c>
      <c r="G146" s="42" t="inlineStr">
        <is>
          <t>2430</t>
        </is>
      </c>
      <c r="H146" s="42" t="inlineStr">
        <is>
          <t>True</t>
        </is>
      </c>
      <c r="I146" s="42" t="inlineStr">
        <is>
          <t>UNVERIFIED_SOURCE_GAP</t>
        </is>
      </c>
      <c r="J146" s="42" t="inlineStr">
        <is>
          <t>OFFICIAL_DOCUMENT_SCOPE_GAP</t>
        </is>
      </c>
      <c r="K146" s="42" t="inlineStr">
        <is>
          <t>SDC0003156</t>
        </is>
      </c>
      <c r="L146" s="42" t="str"/>
      <c r="M146" s="42" t="str"/>
      <c r="N146" s="42" t="str"/>
      <c r="O146" s="42" t="inlineStr">
        <is>
          <t>対象文書は当該窓種を含むが、このRuntime規格呼称に対応する30mil○/×行を取得できていない。</t>
        </is>
      </c>
    </row>
    <row r="147">
      <c r="A147" s="42" t="inlineStr">
        <is>
          <t>SZ-SL-000146</t>
        </is>
      </c>
      <c r="B147" s="42" t="inlineStr">
        <is>
          <t>WT-SL-HIKICHIGAI</t>
        </is>
      </c>
      <c r="C147" s="42" t="inlineStr">
        <is>
          <t>単体引違い窓</t>
        </is>
      </c>
      <c r="D147" s="42" t="str"/>
      <c r="E147" s="42" t="inlineStr">
        <is>
          <t>17622</t>
        </is>
      </c>
      <c r="F147" s="42" t="inlineStr">
        <is>
          <t>1800</t>
        </is>
      </c>
      <c r="G147" s="42" t="inlineStr">
        <is>
          <t>2230</t>
        </is>
      </c>
      <c r="H147" s="42" t="inlineStr">
        <is>
          <t>True</t>
        </is>
      </c>
      <c r="I147" s="42" t="inlineStr">
        <is>
          <t>ALLOWED</t>
        </is>
      </c>
      <c r="J147" s="42" t="inlineStr">
        <is>
          <t>DIRECT_OFFICIAL_STANDARD_ROW</t>
        </is>
      </c>
      <c r="K147" s="42" t="inlineStr">
        <is>
          <t>SDC0003156</t>
        </is>
      </c>
      <c r="L147" s="42" t="inlineStr">
        <is>
          <t>テラス2枚建</t>
        </is>
      </c>
      <c r="M147" s="42" t="inlineStr">
        <is>
          <t>31</t>
        </is>
      </c>
      <c r="N147" s="42" t="inlineStr">
        <is>
          <t>17622</t>
        </is>
      </c>
      <c r="O147" s="42" t="inlineStr">
        <is>
          <t>防犯建物部品欄の30mil構成を規格呼称へ直接突合。</t>
        </is>
      </c>
    </row>
    <row r="148">
      <c r="A148" s="42" t="inlineStr">
        <is>
          <t>SZ-SL-000147</t>
        </is>
      </c>
      <c r="B148" s="42" t="inlineStr">
        <is>
          <t>WT-SL-HIKICHIGAI</t>
        </is>
      </c>
      <c r="C148" s="42" t="inlineStr">
        <is>
          <t>単体引違い窓</t>
        </is>
      </c>
      <c r="D148" s="42" t="str"/>
      <c r="E148" s="42" t="inlineStr">
        <is>
          <t>17624</t>
        </is>
      </c>
      <c r="F148" s="42" t="inlineStr">
        <is>
          <t>1800</t>
        </is>
      </c>
      <c r="G148" s="42" t="inlineStr">
        <is>
          <t>2430</t>
        </is>
      </c>
      <c r="H148" s="42" t="inlineStr">
        <is>
          <t>True</t>
        </is>
      </c>
      <c r="I148" s="42" t="inlineStr">
        <is>
          <t>UNVERIFIED_SOURCE_GAP</t>
        </is>
      </c>
      <c r="J148" s="42" t="inlineStr">
        <is>
          <t>OFFICIAL_DOCUMENT_SCOPE_GAP</t>
        </is>
      </c>
      <c r="K148" s="42" t="inlineStr">
        <is>
          <t>SDC0003156</t>
        </is>
      </c>
      <c r="L148" s="42" t="str"/>
      <c r="M148" s="42" t="str"/>
      <c r="N148" s="42" t="str"/>
      <c r="O148" s="42" t="inlineStr">
        <is>
          <t>対象文書は当該窓種を含むが、このRuntime規格呼称に対応する30mil○/×行を取得できていない。</t>
        </is>
      </c>
    </row>
    <row r="149">
      <c r="A149" s="42" t="inlineStr">
        <is>
          <t>SZ-SL-000148</t>
        </is>
      </c>
      <c r="B149" s="42" t="inlineStr">
        <is>
          <t>WT-SL-HIKICHIGAI</t>
        </is>
      </c>
      <c r="C149" s="42" t="inlineStr">
        <is>
          <t>単体引違い窓</t>
        </is>
      </c>
      <c r="D149" s="42" t="str"/>
      <c r="E149" s="42" t="inlineStr">
        <is>
          <t>17822</t>
        </is>
      </c>
      <c r="F149" s="42" t="inlineStr">
        <is>
          <t>1820</t>
        </is>
      </c>
      <c r="G149" s="42" t="inlineStr">
        <is>
          <t>2230</t>
        </is>
      </c>
      <c r="H149" s="42" t="inlineStr">
        <is>
          <t>True</t>
        </is>
      </c>
      <c r="I149" s="42" t="inlineStr">
        <is>
          <t>ALLOWED</t>
        </is>
      </c>
      <c r="J149" s="42" t="inlineStr">
        <is>
          <t>DIRECT_OFFICIAL_STANDARD_ROW</t>
        </is>
      </c>
      <c r="K149" s="42" t="inlineStr">
        <is>
          <t>SDC0003156</t>
        </is>
      </c>
      <c r="L149" s="42" t="inlineStr">
        <is>
          <t>テラス2枚建</t>
        </is>
      </c>
      <c r="M149" s="42" t="inlineStr">
        <is>
          <t>35</t>
        </is>
      </c>
      <c r="N149" s="42" t="inlineStr">
        <is>
          <t>17822</t>
        </is>
      </c>
      <c r="O149" s="42" t="inlineStr">
        <is>
          <t>防犯建物部品欄の30mil構成を規格呼称へ直接突合。</t>
        </is>
      </c>
    </row>
    <row r="150">
      <c r="A150" s="42" t="inlineStr">
        <is>
          <t>SZ-SL-000149</t>
        </is>
      </c>
      <c r="B150" s="42" t="inlineStr">
        <is>
          <t>WT-SL-HIKICHIGAI</t>
        </is>
      </c>
      <c r="C150" s="42" t="inlineStr">
        <is>
          <t>単体引違い窓</t>
        </is>
      </c>
      <c r="D150" s="42" t="str"/>
      <c r="E150" s="42" t="inlineStr">
        <is>
          <t>17824</t>
        </is>
      </c>
      <c r="F150" s="42" t="inlineStr">
        <is>
          <t>1820</t>
        </is>
      </c>
      <c r="G150" s="42" t="inlineStr">
        <is>
          <t>2430</t>
        </is>
      </c>
      <c r="H150" s="42" t="inlineStr">
        <is>
          <t>True</t>
        </is>
      </c>
      <c r="I150" s="42" t="inlineStr">
        <is>
          <t>UNVERIFIED_SOURCE_GAP</t>
        </is>
      </c>
      <c r="J150" s="42" t="inlineStr">
        <is>
          <t>OFFICIAL_DOCUMENT_SCOPE_GAP</t>
        </is>
      </c>
      <c r="K150" s="42" t="inlineStr">
        <is>
          <t>SDC0003156</t>
        </is>
      </c>
      <c r="L150" s="42" t="str"/>
      <c r="M150" s="42" t="str"/>
      <c r="N150" s="42" t="str"/>
      <c r="O150" s="42" t="inlineStr">
        <is>
          <t>対象文書は当該窓種を含むが、このRuntime規格呼称に対応する30mil○/×行を取得できていない。</t>
        </is>
      </c>
    </row>
    <row r="151">
      <c r="A151" s="42" t="inlineStr">
        <is>
          <t>SZ-SL-000150</t>
        </is>
      </c>
      <c r="B151" s="42" t="inlineStr">
        <is>
          <t>WT-SL-HIKICHIGAI</t>
        </is>
      </c>
      <c r="C151" s="42" t="inlineStr">
        <is>
          <t>単体引違い窓</t>
        </is>
      </c>
      <c r="D151" s="42" t="str"/>
      <c r="E151" s="42" t="inlineStr">
        <is>
          <t>18022</t>
        </is>
      </c>
      <c r="F151" s="42" t="inlineStr">
        <is>
          <t>1845</t>
        </is>
      </c>
      <c r="G151" s="42" t="inlineStr">
        <is>
          <t>2230</t>
        </is>
      </c>
      <c r="H151" s="42" t="inlineStr">
        <is>
          <t>True</t>
        </is>
      </c>
      <c r="I151" s="42" t="inlineStr">
        <is>
          <t>ALLOWED</t>
        </is>
      </c>
      <c r="J151" s="42" t="inlineStr">
        <is>
          <t>DIRECT_OFFICIAL_STANDARD_ROW</t>
        </is>
      </c>
      <c r="K151" s="42" t="inlineStr">
        <is>
          <t>SDC0003156</t>
        </is>
      </c>
      <c r="L151" s="42" t="inlineStr">
        <is>
          <t>テラス2枚建</t>
        </is>
      </c>
      <c r="M151" s="42" t="inlineStr">
        <is>
          <t>39</t>
        </is>
      </c>
      <c r="N151" s="42" t="inlineStr">
        <is>
          <t>18022</t>
        </is>
      </c>
      <c r="O151" s="42" t="inlineStr">
        <is>
          <t>防犯建物部品欄の30mil構成を規格呼称へ直接突合。</t>
        </is>
      </c>
    </row>
    <row r="152">
      <c r="A152" s="42" t="inlineStr">
        <is>
          <t>SZ-SL-000151</t>
        </is>
      </c>
      <c r="B152" s="42" t="inlineStr">
        <is>
          <t>WT-SL-HIKICHIGAI</t>
        </is>
      </c>
      <c r="C152" s="42" t="inlineStr">
        <is>
          <t>単体引違い窓</t>
        </is>
      </c>
      <c r="D152" s="42" t="str"/>
      <c r="E152" s="42" t="inlineStr">
        <is>
          <t>18024</t>
        </is>
      </c>
      <c r="F152" s="42" t="inlineStr">
        <is>
          <t>1845</t>
        </is>
      </c>
      <c r="G152" s="42" t="inlineStr">
        <is>
          <t>2430</t>
        </is>
      </c>
      <c r="H152" s="42" t="inlineStr">
        <is>
          <t>True</t>
        </is>
      </c>
      <c r="I152" s="42" t="inlineStr">
        <is>
          <t>UNVERIFIED_SOURCE_GAP</t>
        </is>
      </c>
      <c r="J152" s="42" t="inlineStr">
        <is>
          <t>OFFICIAL_DOCUMENT_SCOPE_GAP</t>
        </is>
      </c>
      <c r="K152" s="42" t="inlineStr">
        <is>
          <t>SDC0003156</t>
        </is>
      </c>
      <c r="L152" s="42" t="str"/>
      <c r="M152" s="42" t="str"/>
      <c r="N152" s="42" t="str"/>
      <c r="O152" s="42" t="inlineStr">
        <is>
          <t>対象文書は当該窓種を含むが、このRuntime規格呼称に対応する30mil○/×行を取得できていない。</t>
        </is>
      </c>
    </row>
    <row r="153">
      <c r="A153" s="42" t="inlineStr">
        <is>
          <t>SZ-SL-000152</t>
        </is>
      </c>
      <c r="B153" s="42" t="inlineStr">
        <is>
          <t>WT-SL-HIKICHIGAI</t>
        </is>
      </c>
      <c r="C153" s="42" t="inlineStr">
        <is>
          <t>単体引違い窓</t>
        </is>
      </c>
      <c r="D153" s="42" t="str"/>
      <c r="E153" s="42" t="inlineStr">
        <is>
          <t>18322</t>
        </is>
      </c>
      <c r="F153" s="42" t="inlineStr">
        <is>
          <t>1870</t>
        </is>
      </c>
      <c r="G153" s="42" t="inlineStr">
        <is>
          <t>2230</t>
        </is>
      </c>
      <c r="H153" s="42" t="inlineStr">
        <is>
          <t>True</t>
        </is>
      </c>
      <c r="I153" s="42" t="inlineStr">
        <is>
          <t>ALLOWED</t>
        </is>
      </c>
      <c r="J153" s="42" t="inlineStr">
        <is>
          <t>DIRECT_OFFICIAL_STANDARD_ROW</t>
        </is>
      </c>
      <c r="K153" s="42" t="inlineStr">
        <is>
          <t>SDC0003156</t>
        </is>
      </c>
      <c r="L153" s="42" t="inlineStr">
        <is>
          <t>テラス2枚建</t>
        </is>
      </c>
      <c r="M153" s="42" t="inlineStr">
        <is>
          <t>43</t>
        </is>
      </c>
      <c r="N153" s="42" t="inlineStr">
        <is>
          <t>18322</t>
        </is>
      </c>
      <c r="O153" s="42" t="inlineStr">
        <is>
          <t>防犯建物部品欄の30mil構成を規格呼称へ直接突合。</t>
        </is>
      </c>
    </row>
    <row r="154">
      <c r="A154" s="42" t="inlineStr">
        <is>
          <t>SZ-SL-000153</t>
        </is>
      </c>
      <c r="B154" s="42" t="inlineStr">
        <is>
          <t>WT-SL-HIKICHIGAI</t>
        </is>
      </c>
      <c r="C154" s="42" t="inlineStr">
        <is>
          <t>単体引違い窓</t>
        </is>
      </c>
      <c r="D154" s="42" t="str"/>
      <c r="E154" s="42" t="inlineStr">
        <is>
          <t>18324</t>
        </is>
      </c>
      <c r="F154" s="42" t="inlineStr">
        <is>
          <t>1870</t>
        </is>
      </c>
      <c r="G154" s="42" t="inlineStr">
        <is>
          <t>2430</t>
        </is>
      </c>
      <c r="H154" s="42" t="inlineStr">
        <is>
          <t>True</t>
        </is>
      </c>
      <c r="I154" s="42" t="inlineStr">
        <is>
          <t>UNVERIFIED_SOURCE_GAP</t>
        </is>
      </c>
      <c r="J154" s="42" t="inlineStr">
        <is>
          <t>OFFICIAL_DOCUMENT_SCOPE_GAP</t>
        </is>
      </c>
      <c r="K154" s="42" t="inlineStr">
        <is>
          <t>SDC0003156</t>
        </is>
      </c>
      <c r="L154" s="42" t="str"/>
      <c r="M154" s="42" t="str"/>
      <c r="N154" s="42" t="str"/>
      <c r="O154" s="42" t="inlineStr">
        <is>
          <t>対象文書は当該窓種を含むが、このRuntime規格呼称に対応する30mil○/×行を取得できていない。</t>
        </is>
      </c>
    </row>
    <row r="155">
      <c r="A155" s="42" t="inlineStr">
        <is>
          <t>SZ-SL-000154</t>
        </is>
      </c>
      <c r="B155" s="42" t="inlineStr">
        <is>
          <t>WT-SL-HIKICHIGAI</t>
        </is>
      </c>
      <c r="C155" s="42" t="inlineStr">
        <is>
          <t>単体引違い窓</t>
        </is>
      </c>
      <c r="D155" s="42" t="str"/>
      <c r="E155" s="42" t="inlineStr">
        <is>
          <t>18622</t>
        </is>
      </c>
      <c r="F155" s="42" t="inlineStr">
        <is>
          <t>1900</t>
        </is>
      </c>
      <c r="G155" s="42" t="inlineStr">
        <is>
          <t>2230</t>
        </is>
      </c>
      <c r="H155" s="42" t="inlineStr">
        <is>
          <t>True</t>
        </is>
      </c>
      <c r="I155" s="42" t="inlineStr">
        <is>
          <t>ALLOWED</t>
        </is>
      </c>
      <c r="J155" s="42" t="inlineStr">
        <is>
          <t>DIRECT_OFFICIAL_STANDARD_ROW</t>
        </is>
      </c>
      <c r="K155" s="42" t="inlineStr">
        <is>
          <t>SDC0003156</t>
        </is>
      </c>
      <c r="L155" s="42" t="inlineStr">
        <is>
          <t>テラス2枚建</t>
        </is>
      </c>
      <c r="M155" s="42" t="inlineStr">
        <is>
          <t>47</t>
        </is>
      </c>
      <c r="N155" s="42" t="inlineStr">
        <is>
          <t>18622</t>
        </is>
      </c>
      <c r="O155" s="42" t="inlineStr">
        <is>
          <t>防犯建物部品欄の30mil構成を規格呼称へ直接突合。</t>
        </is>
      </c>
    </row>
    <row r="156">
      <c r="A156" s="42" t="inlineStr">
        <is>
          <t>SZ-SL-000155</t>
        </is>
      </c>
      <c r="B156" s="42" t="inlineStr">
        <is>
          <t>WT-SL-HIKICHIGAI</t>
        </is>
      </c>
      <c r="C156" s="42" t="inlineStr">
        <is>
          <t>単体引違い窓</t>
        </is>
      </c>
      <c r="D156" s="42" t="str"/>
      <c r="E156" s="42" t="inlineStr">
        <is>
          <t>18624</t>
        </is>
      </c>
      <c r="F156" s="42" t="inlineStr">
        <is>
          <t>1900</t>
        </is>
      </c>
      <c r="G156" s="42" t="inlineStr">
        <is>
          <t>2430</t>
        </is>
      </c>
      <c r="H156" s="42" t="inlineStr">
        <is>
          <t>True</t>
        </is>
      </c>
      <c r="I156" s="42" t="inlineStr">
        <is>
          <t>UNVERIFIED_SOURCE_GAP</t>
        </is>
      </c>
      <c r="J156" s="42" t="inlineStr">
        <is>
          <t>OFFICIAL_DOCUMENT_SCOPE_GAP</t>
        </is>
      </c>
      <c r="K156" s="42" t="inlineStr">
        <is>
          <t>SDC0003156</t>
        </is>
      </c>
      <c r="L156" s="42" t="str"/>
      <c r="M156" s="42" t="str"/>
      <c r="N156" s="42" t="str"/>
      <c r="O156" s="42" t="inlineStr">
        <is>
          <t>対象文書は当該窓種を含むが、このRuntime規格呼称に対応する30mil○/×行を取得できていない。</t>
        </is>
      </c>
    </row>
    <row r="157">
      <c r="A157" s="42" t="inlineStr">
        <is>
          <t>SZ-SL-000156</t>
        </is>
      </c>
      <c r="B157" s="42" t="inlineStr">
        <is>
          <t>WT-SL-HIKICHIGAI</t>
        </is>
      </c>
      <c r="C157" s="42" t="inlineStr">
        <is>
          <t>単体引違い窓</t>
        </is>
      </c>
      <c r="D157" s="42" t="str"/>
      <c r="E157" s="42" t="inlineStr">
        <is>
          <t>25122-2</t>
        </is>
      </c>
      <c r="F157" s="42" t="inlineStr">
        <is>
          <t>2550</t>
        </is>
      </c>
      <c r="G157" s="42" t="inlineStr">
        <is>
          <t>2230</t>
        </is>
      </c>
      <c r="H157" s="42" t="inlineStr">
        <is>
          <t>True</t>
        </is>
      </c>
      <c r="I157" s="42" t="inlineStr">
        <is>
          <t>ALLOWED</t>
        </is>
      </c>
      <c r="J157" s="42" t="inlineStr">
        <is>
          <t>DIRECT_OFFICIAL_STANDARD_ROW</t>
        </is>
      </c>
      <c r="K157" s="42" t="inlineStr">
        <is>
          <t>SDC0003156</t>
        </is>
      </c>
      <c r="L157" s="42" t="inlineStr">
        <is>
          <t>テラス2枚建</t>
        </is>
      </c>
      <c r="M157" s="42" t="inlineStr">
        <is>
          <t>51</t>
        </is>
      </c>
      <c r="N157" s="42" t="inlineStr">
        <is>
          <t>251222</t>
        </is>
      </c>
      <c r="O157" s="42" t="inlineStr">
        <is>
          <t>防犯建物部品欄の30mil構成を規格呼称へ直接突合。</t>
        </is>
      </c>
    </row>
    <row r="158">
      <c r="A158" s="42" t="inlineStr">
        <is>
          <t>SZ-SL-000157</t>
        </is>
      </c>
      <c r="B158" s="42" t="inlineStr">
        <is>
          <t>WT-SL-HIKICHIGAI</t>
        </is>
      </c>
      <c r="C158" s="42" t="inlineStr">
        <is>
          <t>単体引違い窓</t>
        </is>
      </c>
      <c r="D158" s="42" t="str"/>
      <c r="E158" s="42" t="inlineStr">
        <is>
          <t>25122-4</t>
        </is>
      </c>
      <c r="F158" s="42" t="inlineStr">
        <is>
          <t>2550</t>
        </is>
      </c>
      <c r="G158" s="42" t="inlineStr">
        <is>
          <t>2230</t>
        </is>
      </c>
      <c r="H158" s="42" t="inlineStr">
        <is>
          <t>True</t>
        </is>
      </c>
      <c r="I158" s="42" t="inlineStr">
        <is>
          <t>ALLOWED</t>
        </is>
      </c>
      <c r="J158" s="42" t="inlineStr">
        <is>
          <t>DIRECT_OFFICIAL_STANDARD_ROW</t>
        </is>
      </c>
      <c r="K158" s="42" t="inlineStr">
        <is>
          <t>SDC0003156</t>
        </is>
      </c>
      <c r="L158" s="42" t="inlineStr">
        <is>
          <t>テラス4枚建</t>
        </is>
      </c>
      <c r="M158" s="42" t="inlineStr">
        <is>
          <t>11</t>
        </is>
      </c>
      <c r="N158" s="42" t="inlineStr">
        <is>
          <t>251224</t>
        </is>
      </c>
      <c r="O158" s="42" t="inlineStr">
        <is>
          <t>防犯建物部品欄の30mil構成を規格呼称へ直接突合。</t>
        </is>
      </c>
    </row>
    <row r="159">
      <c r="A159" s="42" t="inlineStr">
        <is>
          <t>SZ-SL-000158</t>
        </is>
      </c>
      <c r="B159" s="42" t="inlineStr">
        <is>
          <t>WT-SL-HIKICHIGAI</t>
        </is>
      </c>
      <c r="C159" s="42" t="inlineStr">
        <is>
          <t>単体引違い窓</t>
        </is>
      </c>
      <c r="D159" s="42" t="str"/>
      <c r="E159" s="42" t="inlineStr">
        <is>
          <t>25124-2</t>
        </is>
      </c>
      <c r="F159" s="42" t="inlineStr">
        <is>
          <t>2550</t>
        </is>
      </c>
      <c r="G159" s="42" t="inlineStr">
        <is>
          <t>2430</t>
        </is>
      </c>
      <c r="H159" s="42" t="inlineStr">
        <is>
          <t>True</t>
        </is>
      </c>
      <c r="I159" s="42" t="inlineStr">
        <is>
          <t>UNVERIFIED_SOURCE_GAP</t>
        </is>
      </c>
      <c r="J159" s="42" t="inlineStr">
        <is>
          <t>OFFICIAL_DOCUMENT_SCOPE_GAP</t>
        </is>
      </c>
      <c r="K159" s="42" t="inlineStr">
        <is>
          <t>SDC0003156</t>
        </is>
      </c>
      <c r="L159" s="42" t="str"/>
      <c r="M159" s="42" t="str"/>
      <c r="N159" s="42" t="str"/>
      <c r="O159" s="42" t="inlineStr">
        <is>
          <t>対象文書は当該窓種を含むが、このRuntime規格呼称に対応する30mil○/×行を取得できていない。</t>
        </is>
      </c>
    </row>
    <row r="160">
      <c r="A160" s="42" t="inlineStr">
        <is>
          <t>SZ-SL-000159</t>
        </is>
      </c>
      <c r="B160" s="42" t="inlineStr">
        <is>
          <t>WT-SL-HIKICHIGAI</t>
        </is>
      </c>
      <c r="C160" s="42" t="inlineStr">
        <is>
          <t>単体引違い窓</t>
        </is>
      </c>
      <c r="D160" s="42" t="str"/>
      <c r="E160" s="42" t="inlineStr">
        <is>
          <t>25124-4</t>
        </is>
      </c>
      <c r="F160" s="42" t="inlineStr">
        <is>
          <t>2550</t>
        </is>
      </c>
      <c r="G160" s="42" t="inlineStr">
        <is>
          <t>2430</t>
        </is>
      </c>
      <c r="H160" s="42" t="inlineStr">
        <is>
          <t>True</t>
        </is>
      </c>
      <c r="I160" s="42" t="inlineStr">
        <is>
          <t>UNVERIFIED_SOURCE_GAP</t>
        </is>
      </c>
      <c r="J160" s="42" t="inlineStr">
        <is>
          <t>OFFICIAL_DOCUMENT_SCOPE_GAP</t>
        </is>
      </c>
      <c r="K160" s="42" t="inlineStr">
        <is>
          <t>SDC0003156</t>
        </is>
      </c>
      <c r="L160" s="42" t="str"/>
      <c r="M160" s="42" t="str"/>
      <c r="N160" s="42" t="str"/>
      <c r="O160" s="42" t="inlineStr">
        <is>
          <t>対象文書は当該窓種を含むが、このRuntime規格呼称に対応する30mil○/×行を取得できていない。</t>
        </is>
      </c>
    </row>
    <row r="161">
      <c r="A161" s="42" t="inlineStr">
        <is>
          <t>SZ-SL-000160</t>
        </is>
      </c>
      <c r="B161" s="42" t="inlineStr">
        <is>
          <t>WT-SL-HIKICHIGAI</t>
        </is>
      </c>
      <c r="C161" s="42" t="inlineStr">
        <is>
          <t>単体引違い窓</t>
        </is>
      </c>
      <c r="D161" s="42" t="str"/>
      <c r="E161" s="42" t="inlineStr">
        <is>
          <t>25622-2</t>
        </is>
      </c>
      <c r="F161" s="42" t="inlineStr">
        <is>
          <t>2600</t>
        </is>
      </c>
      <c r="G161" s="42" t="inlineStr">
        <is>
          <t>2230</t>
        </is>
      </c>
      <c r="H161" s="42" t="inlineStr">
        <is>
          <t>True</t>
        </is>
      </c>
      <c r="I161" s="42" t="inlineStr">
        <is>
          <t>ALLOWED</t>
        </is>
      </c>
      <c r="J161" s="42" t="inlineStr">
        <is>
          <t>DIRECT_OFFICIAL_STANDARD_ROW</t>
        </is>
      </c>
      <c r="K161" s="42" t="inlineStr">
        <is>
          <t>SDC0003156</t>
        </is>
      </c>
      <c r="L161" s="42" t="inlineStr">
        <is>
          <t>テラス2枚建</t>
        </is>
      </c>
      <c r="M161" s="42" t="inlineStr">
        <is>
          <t>55</t>
        </is>
      </c>
      <c r="N161" s="42" t="inlineStr">
        <is>
          <t>256222</t>
        </is>
      </c>
      <c r="O161" s="42" t="inlineStr">
        <is>
          <t>防犯建物部品欄の30mil構成を規格呼称へ直接突合。</t>
        </is>
      </c>
    </row>
    <row r="162">
      <c r="A162" s="42" t="inlineStr">
        <is>
          <t>SZ-SL-000161</t>
        </is>
      </c>
      <c r="B162" s="42" t="inlineStr">
        <is>
          <t>WT-SL-HIKICHIGAI</t>
        </is>
      </c>
      <c r="C162" s="42" t="inlineStr">
        <is>
          <t>単体引違い窓</t>
        </is>
      </c>
      <c r="D162" s="42" t="str"/>
      <c r="E162" s="42" t="inlineStr">
        <is>
          <t>25622-4</t>
        </is>
      </c>
      <c r="F162" s="42" t="inlineStr">
        <is>
          <t>2600</t>
        </is>
      </c>
      <c r="G162" s="42" t="inlineStr">
        <is>
          <t>2230</t>
        </is>
      </c>
      <c r="H162" s="42" t="inlineStr">
        <is>
          <t>True</t>
        </is>
      </c>
      <c r="I162" s="42" t="inlineStr">
        <is>
          <t>ALLOWED</t>
        </is>
      </c>
      <c r="J162" s="42" t="inlineStr">
        <is>
          <t>DIRECT_OFFICIAL_STANDARD_ROW</t>
        </is>
      </c>
      <c r="K162" s="42" t="inlineStr">
        <is>
          <t>SDC0003156</t>
        </is>
      </c>
      <c r="L162" s="42" t="inlineStr">
        <is>
          <t>テラス4枚建</t>
        </is>
      </c>
      <c r="M162" s="42" t="inlineStr">
        <is>
          <t>15</t>
        </is>
      </c>
      <c r="N162" s="42" t="inlineStr">
        <is>
          <t>256224</t>
        </is>
      </c>
      <c r="O162" s="42" t="inlineStr">
        <is>
          <t>防犯建物部品欄の30mil構成を規格呼称へ直接突合。</t>
        </is>
      </c>
    </row>
    <row r="163">
      <c r="A163" s="42" t="inlineStr">
        <is>
          <t>SZ-SL-000162</t>
        </is>
      </c>
      <c r="B163" s="42" t="inlineStr">
        <is>
          <t>WT-SL-HIKICHIGAI</t>
        </is>
      </c>
      <c r="C163" s="42" t="inlineStr">
        <is>
          <t>単体引違い窓</t>
        </is>
      </c>
      <c r="D163" s="42" t="str"/>
      <c r="E163" s="42" t="inlineStr">
        <is>
          <t>25624-2</t>
        </is>
      </c>
      <c r="F163" s="42" t="inlineStr">
        <is>
          <t>2600</t>
        </is>
      </c>
      <c r="G163" s="42" t="inlineStr">
        <is>
          <t>2430</t>
        </is>
      </c>
      <c r="H163" s="42" t="inlineStr">
        <is>
          <t>True</t>
        </is>
      </c>
      <c r="I163" s="42" t="inlineStr">
        <is>
          <t>UNVERIFIED_SOURCE_GAP</t>
        </is>
      </c>
      <c r="J163" s="42" t="inlineStr">
        <is>
          <t>OFFICIAL_DOCUMENT_SCOPE_GAP</t>
        </is>
      </c>
      <c r="K163" s="42" t="inlineStr">
        <is>
          <t>SDC0003156</t>
        </is>
      </c>
      <c r="L163" s="42" t="str"/>
      <c r="M163" s="42" t="str"/>
      <c r="N163" s="42" t="str"/>
      <c r="O163" s="42" t="inlineStr">
        <is>
          <t>対象文書は当該窓種を含むが、このRuntime規格呼称に対応する30mil○/×行を取得できていない。</t>
        </is>
      </c>
    </row>
    <row r="164">
      <c r="A164" s="42" t="inlineStr">
        <is>
          <t>SZ-SL-000163</t>
        </is>
      </c>
      <c r="B164" s="42" t="inlineStr">
        <is>
          <t>WT-SL-HIKICHIGAI</t>
        </is>
      </c>
      <c r="C164" s="42" t="inlineStr">
        <is>
          <t>単体引違い窓</t>
        </is>
      </c>
      <c r="D164" s="42" t="str"/>
      <c r="E164" s="42" t="inlineStr">
        <is>
          <t>25624-4</t>
        </is>
      </c>
      <c r="F164" s="42" t="inlineStr">
        <is>
          <t>2600</t>
        </is>
      </c>
      <c r="G164" s="42" t="inlineStr">
        <is>
          <t>2430</t>
        </is>
      </c>
      <c r="H164" s="42" t="inlineStr">
        <is>
          <t>True</t>
        </is>
      </c>
      <c r="I164" s="42" t="inlineStr">
        <is>
          <t>UNVERIFIED_SOURCE_GAP</t>
        </is>
      </c>
      <c r="J164" s="42" t="inlineStr">
        <is>
          <t>OFFICIAL_DOCUMENT_SCOPE_GAP</t>
        </is>
      </c>
      <c r="K164" s="42" t="inlineStr">
        <is>
          <t>SDC0003156</t>
        </is>
      </c>
      <c r="L164" s="42" t="str"/>
      <c r="M164" s="42" t="str"/>
      <c r="N164" s="42" t="str"/>
      <c r="O164" s="42" t="inlineStr">
        <is>
          <t>対象文書は当該窓種を含むが、このRuntime規格呼称に対応する30mil○/×行を取得できていない。</t>
        </is>
      </c>
    </row>
    <row r="165">
      <c r="A165" s="42" t="inlineStr">
        <is>
          <t>SZ-SL-000164</t>
        </is>
      </c>
      <c r="B165" s="42" t="inlineStr">
        <is>
          <t>WT-SL-HIKICHIGAI</t>
        </is>
      </c>
      <c r="C165" s="42" t="inlineStr">
        <is>
          <t>単体引違い窓</t>
        </is>
      </c>
      <c r="D165" s="42" t="str"/>
      <c r="E165" s="42" t="inlineStr">
        <is>
          <t>34722</t>
        </is>
      </c>
      <c r="F165" s="42" t="inlineStr">
        <is>
          <t>3510</t>
        </is>
      </c>
      <c r="G165" s="42" t="inlineStr">
        <is>
          <t>2230</t>
        </is>
      </c>
      <c r="H165" s="42" t="inlineStr">
        <is>
          <t>True</t>
        </is>
      </c>
      <c r="I165" s="42" t="inlineStr">
        <is>
          <t>ALLOWED</t>
        </is>
      </c>
      <c r="J165" s="42" t="inlineStr">
        <is>
          <t>DIRECT_OFFICIAL_STANDARD_ROW</t>
        </is>
      </c>
      <c r="K165" s="42" t="inlineStr">
        <is>
          <t>SDC0003156</t>
        </is>
      </c>
      <c r="L165" s="42" t="inlineStr">
        <is>
          <t>テラス4枚建</t>
        </is>
      </c>
      <c r="M165" s="42" t="inlineStr">
        <is>
          <t>19</t>
        </is>
      </c>
      <c r="N165" s="42" t="inlineStr">
        <is>
          <t>34722</t>
        </is>
      </c>
      <c r="O165" s="42" t="inlineStr">
        <is>
          <t>防犯建物部品欄の30mil構成を規格呼称へ直接突合。</t>
        </is>
      </c>
    </row>
    <row r="166">
      <c r="A166" s="42" t="inlineStr">
        <is>
          <t>SZ-SL-000165</t>
        </is>
      </c>
      <c r="B166" s="42" t="inlineStr">
        <is>
          <t>WT-SL-HIKICHIGAI</t>
        </is>
      </c>
      <c r="C166" s="42" t="inlineStr">
        <is>
          <t>単体引違い窓</t>
        </is>
      </c>
      <c r="D166" s="42" t="str"/>
      <c r="E166" s="42" t="inlineStr">
        <is>
          <t>34724</t>
        </is>
      </c>
      <c r="F166" s="42" t="inlineStr">
        <is>
          <t>3510</t>
        </is>
      </c>
      <c r="G166" s="42" t="inlineStr">
        <is>
          <t>2430</t>
        </is>
      </c>
      <c r="H166" s="42" t="inlineStr">
        <is>
          <t>True</t>
        </is>
      </c>
      <c r="I166" s="42" t="inlineStr">
        <is>
          <t>UNVERIFIED_SOURCE_GAP</t>
        </is>
      </c>
      <c r="J166" s="42" t="inlineStr">
        <is>
          <t>OFFICIAL_DOCUMENT_SCOPE_GAP</t>
        </is>
      </c>
      <c r="K166" s="42" t="inlineStr">
        <is>
          <t>SDC0003156</t>
        </is>
      </c>
      <c r="L166" s="42" t="str"/>
      <c r="M166" s="42" t="str"/>
      <c r="N166" s="42" t="str"/>
      <c r="O166" s="42" t="inlineStr">
        <is>
          <t>対象文書は当該窓種を含むが、このRuntime規格呼称に対応する30mil○/×行を取得できていない。</t>
        </is>
      </c>
    </row>
    <row r="167">
      <c r="A167" s="42" t="inlineStr">
        <is>
          <t>SZ-SL-000166</t>
        </is>
      </c>
      <c r="B167" s="42" t="inlineStr">
        <is>
          <t>WT-SL-HIKICHIGAI</t>
        </is>
      </c>
      <c r="C167" s="42" t="inlineStr">
        <is>
          <t>単体引違い窓</t>
        </is>
      </c>
      <c r="D167" s="42" t="str"/>
      <c r="E167" s="42" t="inlineStr">
        <is>
          <t>24318-2</t>
        </is>
      </c>
      <c r="F167" s="42" t="inlineStr">
        <is>
          <t>2470</t>
        </is>
      </c>
      <c r="G167" s="42" t="inlineStr">
        <is>
          <t>1830</t>
        </is>
      </c>
      <c r="H167" s="42" t="inlineStr">
        <is>
          <t>True</t>
        </is>
      </c>
      <c r="I167" s="42" t="inlineStr">
        <is>
          <t>UNVERIFIED_SOURCE_GAP</t>
        </is>
      </c>
      <c r="J167" s="42" t="inlineStr">
        <is>
          <t>OFFICIAL_DOCUMENT_SCOPE_GAP</t>
        </is>
      </c>
      <c r="K167" s="42" t="inlineStr">
        <is>
          <t>SDC0003156</t>
        </is>
      </c>
      <c r="L167" s="42" t="str"/>
      <c r="M167" s="42" t="str"/>
      <c r="N167" s="42" t="str"/>
      <c r="O167" s="42" t="inlineStr">
        <is>
          <t>対象文書は当該窓種を含むが、このRuntime規格呼称に対応する30mil○/×行を取得できていない。</t>
        </is>
      </c>
    </row>
    <row r="168">
      <c r="A168" s="42" t="inlineStr">
        <is>
          <t>SZ-SL-000167</t>
        </is>
      </c>
      <c r="B168" s="42" t="inlineStr">
        <is>
          <t>WT-SL-HIKICHIGAI</t>
        </is>
      </c>
      <c r="C168" s="42" t="inlineStr">
        <is>
          <t>単体引違い窓</t>
        </is>
      </c>
      <c r="D168" s="42" t="str"/>
      <c r="E168" s="42" t="inlineStr">
        <is>
          <t>24320-2</t>
        </is>
      </c>
      <c r="F168" s="42" t="inlineStr">
        <is>
          <t>2470</t>
        </is>
      </c>
      <c r="G168" s="42" t="inlineStr">
        <is>
          <t>2030</t>
        </is>
      </c>
      <c r="H168" s="42" t="inlineStr">
        <is>
          <t>True</t>
        </is>
      </c>
      <c r="I168" s="42" t="inlineStr">
        <is>
          <t>UNVERIFIED_SOURCE_GAP</t>
        </is>
      </c>
      <c r="J168" s="42" t="inlineStr">
        <is>
          <t>OFFICIAL_DOCUMENT_SCOPE_GAP</t>
        </is>
      </c>
      <c r="K168" s="42" t="inlineStr">
        <is>
          <t>SDC0003156</t>
        </is>
      </c>
      <c r="L168" s="42" t="str"/>
      <c r="M168" s="42" t="str"/>
      <c r="N168" s="42" t="str"/>
      <c r="O168" s="42" t="inlineStr">
        <is>
          <t>対象文書は当該窓種を含むが、このRuntime規格呼称に対応する30mil○/×行を取得できていない。</t>
        </is>
      </c>
    </row>
    <row r="169">
      <c r="A169" s="42" t="inlineStr">
        <is>
          <t>SZ-SL-000168</t>
        </is>
      </c>
      <c r="B169" s="42" t="inlineStr">
        <is>
          <t>WT-SL-HIKICHIGAI</t>
        </is>
      </c>
      <c r="C169" s="42" t="inlineStr">
        <is>
          <t>単体引違い窓</t>
        </is>
      </c>
      <c r="D169" s="42" t="str"/>
      <c r="E169" s="42" t="inlineStr">
        <is>
          <t>24322-2</t>
        </is>
      </c>
      <c r="F169" s="42" t="inlineStr">
        <is>
          <t>2470</t>
        </is>
      </c>
      <c r="G169" s="42" t="inlineStr">
        <is>
          <t>2230</t>
        </is>
      </c>
      <c r="H169" s="42" t="inlineStr">
        <is>
          <t>True</t>
        </is>
      </c>
      <c r="I169" s="42" t="inlineStr">
        <is>
          <t>UNVERIFIED_SOURCE_GAP</t>
        </is>
      </c>
      <c r="J169" s="42" t="inlineStr">
        <is>
          <t>OFFICIAL_DOCUMENT_SCOPE_GAP</t>
        </is>
      </c>
      <c r="K169" s="42" t="inlineStr">
        <is>
          <t>SDC0003156</t>
        </is>
      </c>
      <c r="L169" s="42" t="str"/>
      <c r="M169" s="42" t="str"/>
      <c r="N169" s="42" t="str"/>
      <c r="O169" s="42" t="inlineStr">
        <is>
          <t>対象文書は当該窓種を含むが、このRuntime規格呼称に対応する30mil○/×行を取得できていない。</t>
        </is>
      </c>
    </row>
    <row r="170">
      <c r="A170" s="42" t="inlineStr">
        <is>
          <t>SZ-SL-000169</t>
        </is>
      </c>
      <c r="B170" s="42" t="inlineStr">
        <is>
          <t>WT-SL-HIKICHIGAI</t>
        </is>
      </c>
      <c r="C170" s="42" t="inlineStr">
        <is>
          <t>単体引違い窓</t>
        </is>
      </c>
      <c r="D170" s="42" t="str"/>
      <c r="E170" s="42" t="inlineStr">
        <is>
          <t>24324-2</t>
        </is>
      </c>
      <c r="F170" s="42" t="inlineStr">
        <is>
          <t>2470</t>
        </is>
      </c>
      <c r="G170" s="42" t="inlineStr">
        <is>
          <t>2430</t>
        </is>
      </c>
      <c r="H170" s="42" t="inlineStr">
        <is>
          <t>True</t>
        </is>
      </c>
      <c r="I170" s="42" t="inlineStr">
        <is>
          <t>UNVERIFIED_SOURCE_GAP</t>
        </is>
      </c>
      <c r="J170" s="42" t="inlineStr">
        <is>
          <t>OFFICIAL_DOCUMENT_SCOPE_GAP</t>
        </is>
      </c>
      <c r="K170" s="42" t="inlineStr">
        <is>
          <t>SDC0003156</t>
        </is>
      </c>
      <c r="L170" s="42" t="str"/>
      <c r="M170" s="42" t="str"/>
      <c r="N170" s="42" t="str"/>
      <c r="O170" s="42" t="inlineStr">
        <is>
          <t>対象文書は当該窓種を含むが、このRuntime規格呼称に対応する30mil○/×行を取得できていない。</t>
        </is>
      </c>
    </row>
    <row r="171">
      <c r="A171" s="42" t="inlineStr">
        <is>
          <t>SZ-SL-000170</t>
        </is>
      </c>
      <c r="B171" s="42" t="inlineStr">
        <is>
          <t>WT-SL-SHUTTER-HIKI</t>
        </is>
      </c>
      <c r="C171" s="42" t="inlineStr">
        <is>
          <t>シャッター付引違い窓</t>
        </is>
      </c>
      <c r="D171" s="42" t="inlineStr">
        <is>
          <t>SP-SL-SHUT-E-STD</t>
        </is>
      </c>
      <c r="E171" s="42" t="inlineStr">
        <is>
          <t>11409</t>
        </is>
      </c>
      <c r="F171" s="42" t="inlineStr">
        <is>
          <t>1185</t>
        </is>
      </c>
      <c r="G171" s="42" t="inlineStr">
        <is>
          <t>970</t>
        </is>
      </c>
      <c r="H171" s="42" t="inlineStr">
        <is>
          <t>True</t>
        </is>
      </c>
      <c r="I171" s="42" t="inlineStr">
        <is>
          <t>NOT_EVALUATED</t>
        </is>
      </c>
      <c r="J171" s="42" t="inlineStr">
        <is>
          <t>NO_DIRECT_STANDARD_MATRIX_IN_RETRIEVED_SOURCE</t>
        </is>
      </c>
      <c r="K171" s="42" t="str"/>
      <c r="L171" s="42" t="str"/>
      <c r="M171" s="42" t="str"/>
      <c r="N171" s="42" t="str"/>
      <c r="O171" s="42" t="inlineStr">
        <is>
          <t>現行公式資料でこの窓種のSAFE 30mil規格○/×を本Revisionでは直接取得できていない。推測しない。</t>
        </is>
      </c>
    </row>
    <row r="172">
      <c r="A172" s="42" t="inlineStr">
        <is>
          <t>SZ-SL-000171</t>
        </is>
      </c>
      <c r="B172" s="42" t="inlineStr">
        <is>
          <t>WT-SL-SHUTTER-HIKI</t>
        </is>
      </c>
      <c r="C172" s="42" t="inlineStr">
        <is>
          <t>シャッター付引違い窓</t>
        </is>
      </c>
      <c r="D172" s="42" t="inlineStr">
        <is>
          <t>SP-SL-SHUT-E-STD</t>
        </is>
      </c>
      <c r="E172" s="42" t="inlineStr">
        <is>
          <t>11411</t>
        </is>
      </c>
      <c r="F172" s="42" t="inlineStr">
        <is>
          <t>1185</t>
        </is>
      </c>
      <c r="G172" s="42" t="inlineStr">
        <is>
          <t>1170</t>
        </is>
      </c>
      <c r="H172" s="42" t="inlineStr">
        <is>
          <t>True</t>
        </is>
      </c>
      <c r="I172" s="42" t="inlineStr">
        <is>
          <t>NOT_EVALUATED</t>
        </is>
      </c>
      <c r="J172" s="42" t="inlineStr">
        <is>
          <t>NO_DIRECT_STANDARD_MATRIX_IN_RETRIEVED_SOURCE</t>
        </is>
      </c>
      <c r="K172" s="42" t="str"/>
      <c r="L172" s="42" t="str"/>
      <c r="M172" s="42" t="str"/>
      <c r="N172" s="42" t="str"/>
      <c r="O172" s="42" t="inlineStr">
        <is>
          <t>現行公式資料でこの窓種のSAFE 30mil規格○/×を本Revisionでは直接取得できていない。推測しない。</t>
        </is>
      </c>
    </row>
    <row r="173">
      <c r="A173" s="42" t="inlineStr">
        <is>
          <t>SZ-SL-000172</t>
        </is>
      </c>
      <c r="B173" s="42" t="inlineStr">
        <is>
          <t>WT-SL-SHUTTER-HIKI</t>
        </is>
      </c>
      <c r="C173" s="42" t="inlineStr">
        <is>
          <t>シャッター付引違い窓</t>
        </is>
      </c>
      <c r="D173" s="42" t="inlineStr">
        <is>
          <t>SP-SL-SHUT-E-STD</t>
        </is>
      </c>
      <c r="E173" s="42" t="inlineStr">
        <is>
          <t>11909</t>
        </is>
      </c>
      <c r="F173" s="42" t="inlineStr">
        <is>
          <t>1235</t>
        </is>
      </c>
      <c r="G173" s="42" t="inlineStr">
        <is>
          <t>970</t>
        </is>
      </c>
      <c r="H173" s="42" t="inlineStr">
        <is>
          <t>True</t>
        </is>
      </c>
      <c r="I173" s="42" t="inlineStr">
        <is>
          <t>NOT_EVALUATED</t>
        </is>
      </c>
      <c r="J173" s="42" t="inlineStr">
        <is>
          <t>NO_DIRECT_STANDARD_MATRIX_IN_RETRIEVED_SOURCE</t>
        </is>
      </c>
      <c r="K173" s="42" t="str"/>
      <c r="L173" s="42" t="str"/>
      <c r="M173" s="42" t="str"/>
      <c r="N173" s="42" t="str"/>
      <c r="O173" s="42" t="inlineStr">
        <is>
          <t>現行公式資料でこの窓種のSAFE 30mil規格○/×を本Revisionでは直接取得できていない。推測しない。</t>
        </is>
      </c>
    </row>
    <row r="174">
      <c r="A174" s="42" t="inlineStr">
        <is>
          <t>SZ-SL-000173</t>
        </is>
      </c>
      <c r="B174" s="42" t="inlineStr">
        <is>
          <t>WT-SL-SHUTTER-HIKI</t>
        </is>
      </c>
      <c r="C174" s="42" t="inlineStr">
        <is>
          <t>シャッター付引違い窓</t>
        </is>
      </c>
      <c r="D174" s="42" t="inlineStr">
        <is>
          <t>SP-SL-SHUT-E-STD</t>
        </is>
      </c>
      <c r="E174" s="42" t="inlineStr">
        <is>
          <t>11911</t>
        </is>
      </c>
      <c r="F174" s="42" t="inlineStr">
        <is>
          <t>1235</t>
        </is>
      </c>
      <c r="G174" s="42" t="inlineStr">
        <is>
          <t>1170</t>
        </is>
      </c>
      <c r="H174" s="42" t="inlineStr">
        <is>
          <t>True</t>
        </is>
      </c>
      <c r="I174" s="42" t="inlineStr">
        <is>
          <t>NOT_EVALUATED</t>
        </is>
      </c>
      <c r="J174" s="42" t="inlineStr">
        <is>
          <t>NO_DIRECT_STANDARD_MATRIX_IN_RETRIEVED_SOURCE</t>
        </is>
      </c>
      <c r="K174" s="42" t="str"/>
      <c r="L174" s="42" t="str"/>
      <c r="M174" s="42" t="str"/>
      <c r="N174" s="42" t="str"/>
      <c r="O174" s="42" t="inlineStr">
        <is>
          <t>現行公式資料でこの窓種のSAFE 30mil規格○/×を本Revisionでは直接取得できていない。推測しない。</t>
        </is>
      </c>
    </row>
    <row r="175">
      <c r="A175" s="42" t="inlineStr">
        <is>
          <t>SZ-SL-000174</t>
        </is>
      </c>
      <c r="B175" s="42" t="inlineStr">
        <is>
          <t>WT-SL-SHUTTER-HIKI</t>
        </is>
      </c>
      <c r="C175" s="42" t="inlineStr">
        <is>
          <t>シャッター付引違い窓</t>
        </is>
      </c>
      <c r="D175" s="42" t="inlineStr">
        <is>
          <t>SP-SL-SHUT-E-STD</t>
        </is>
      </c>
      <c r="E175" s="42" t="inlineStr">
        <is>
          <t>12809</t>
        </is>
      </c>
      <c r="F175" s="42" t="inlineStr">
        <is>
          <t>1320</t>
        </is>
      </c>
      <c r="G175" s="42" t="inlineStr">
        <is>
          <t>970</t>
        </is>
      </c>
      <c r="H175" s="42" t="inlineStr">
        <is>
          <t>True</t>
        </is>
      </c>
      <c r="I175" s="42" t="inlineStr">
        <is>
          <t>NOT_EVALUATED</t>
        </is>
      </c>
      <c r="J175" s="42" t="inlineStr">
        <is>
          <t>NO_DIRECT_STANDARD_MATRIX_IN_RETRIEVED_SOURCE</t>
        </is>
      </c>
      <c r="K175" s="42" t="str"/>
      <c r="L175" s="42" t="str"/>
      <c r="M175" s="42" t="str"/>
      <c r="N175" s="42" t="str"/>
      <c r="O175" s="42" t="inlineStr">
        <is>
          <t>現行公式資料でこの窓種のSAFE 30mil規格○/×を本Revisionでは直接取得できていない。推測しない。</t>
        </is>
      </c>
    </row>
    <row r="176">
      <c r="A176" s="42" t="inlineStr">
        <is>
          <t>SZ-SL-000175</t>
        </is>
      </c>
      <c r="B176" s="42" t="inlineStr">
        <is>
          <t>WT-SL-SHUTTER-HIKI</t>
        </is>
      </c>
      <c r="C176" s="42" t="inlineStr">
        <is>
          <t>シャッター付引違い窓</t>
        </is>
      </c>
      <c r="D176" s="42" t="inlineStr">
        <is>
          <t>SP-SL-SHUT-E-STD</t>
        </is>
      </c>
      <c r="E176" s="42" t="inlineStr">
        <is>
          <t>12811</t>
        </is>
      </c>
      <c r="F176" s="42" t="inlineStr">
        <is>
          <t>1320</t>
        </is>
      </c>
      <c r="G176" s="42" t="inlineStr">
        <is>
          <t>1170</t>
        </is>
      </c>
      <c r="H176" s="42" t="inlineStr">
        <is>
          <t>True</t>
        </is>
      </c>
      <c r="I176" s="42" t="inlineStr">
        <is>
          <t>NOT_EVALUATED</t>
        </is>
      </c>
      <c r="J176" s="42" t="inlineStr">
        <is>
          <t>NO_DIRECT_STANDARD_MATRIX_IN_RETRIEVED_SOURCE</t>
        </is>
      </c>
      <c r="K176" s="42" t="str"/>
      <c r="L176" s="42" t="str"/>
      <c r="M176" s="42" t="str"/>
      <c r="N176" s="42" t="str"/>
      <c r="O176" s="42" t="inlineStr">
        <is>
          <t>現行公式資料でこの窓種のSAFE 30mil規格○/×を本Revisionでは直接取得できていない。推測しない。</t>
        </is>
      </c>
    </row>
    <row r="177">
      <c r="A177" s="42" t="inlineStr">
        <is>
          <t>SZ-SL-000176</t>
        </is>
      </c>
      <c r="B177" s="42" t="inlineStr">
        <is>
          <t>WT-SL-SHUTTER-HIKI</t>
        </is>
      </c>
      <c r="C177" s="42" t="inlineStr">
        <is>
          <t>シャッター付引違い窓</t>
        </is>
      </c>
      <c r="D177" s="42" t="inlineStr">
        <is>
          <t>SP-SL-SHUT-E-STD</t>
        </is>
      </c>
      <c r="E177" s="42" t="inlineStr">
        <is>
          <t>13309</t>
        </is>
      </c>
      <c r="F177" s="42" t="inlineStr">
        <is>
          <t>1370</t>
        </is>
      </c>
      <c r="G177" s="42" t="inlineStr">
        <is>
          <t>970</t>
        </is>
      </c>
      <c r="H177" s="42" t="inlineStr">
        <is>
          <t>True</t>
        </is>
      </c>
      <c r="I177" s="42" t="inlineStr">
        <is>
          <t>NOT_EVALUATED</t>
        </is>
      </c>
      <c r="J177" s="42" t="inlineStr">
        <is>
          <t>NO_DIRECT_STANDARD_MATRIX_IN_RETRIEVED_SOURCE</t>
        </is>
      </c>
      <c r="K177" s="42" t="str"/>
      <c r="L177" s="42" t="str"/>
      <c r="M177" s="42" t="str"/>
      <c r="N177" s="42" t="str"/>
      <c r="O177" s="42" t="inlineStr">
        <is>
          <t>現行公式資料でこの窓種のSAFE 30mil規格○/×を本Revisionでは直接取得できていない。推測しない。</t>
        </is>
      </c>
    </row>
    <row r="178">
      <c r="A178" s="42" t="inlineStr">
        <is>
          <t>SZ-SL-000177</t>
        </is>
      </c>
      <c r="B178" s="42" t="inlineStr">
        <is>
          <t>WT-SL-SHUTTER-HIKI</t>
        </is>
      </c>
      <c r="C178" s="42" t="inlineStr">
        <is>
          <t>シャッター付引違い窓</t>
        </is>
      </c>
      <c r="D178" s="42" t="inlineStr">
        <is>
          <t>SP-SL-SHUT-E-STD</t>
        </is>
      </c>
      <c r="E178" s="42" t="inlineStr">
        <is>
          <t>13311</t>
        </is>
      </c>
      <c r="F178" s="42" t="inlineStr">
        <is>
          <t>1370</t>
        </is>
      </c>
      <c r="G178" s="42" t="inlineStr">
        <is>
          <t>1170</t>
        </is>
      </c>
      <c r="H178" s="42" t="inlineStr">
        <is>
          <t>True</t>
        </is>
      </c>
      <c r="I178" s="42" t="inlineStr">
        <is>
          <t>NOT_EVALUATED</t>
        </is>
      </c>
      <c r="J178" s="42" t="inlineStr">
        <is>
          <t>NO_DIRECT_STANDARD_MATRIX_IN_RETRIEVED_SOURCE</t>
        </is>
      </c>
      <c r="K178" s="42" t="str"/>
      <c r="L178" s="42" t="str"/>
      <c r="M178" s="42" t="str"/>
      <c r="N178" s="42" t="str"/>
      <c r="O178" s="42" t="inlineStr">
        <is>
          <t>現行公式資料でこの窓種のSAFE 30mil規格○/×を本Revisionでは直接取得できていない。推測しない。</t>
        </is>
      </c>
    </row>
    <row r="179">
      <c r="A179" s="42" t="inlineStr">
        <is>
          <t>SZ-SL-000178</t>
        </is>
      </c>
      <c r="B179" s="42" t="inlineStr">
        <is>
          <t>WT-SL-SHUTTER-HIKI</t>
        </is>
      </c>
      <c r="C179" s="42" t="inlineStr">
        <is>
          <t>シャッター付引違い窓</t>
        </is>
      </c>
      <c r="D179" s="42" t="inlineStr">
        <is>
          <t>SP-SL-SHUT-E-VENT</t>
        </is>
      </c>
      <c r="E179" s="42" t="inlineStr">
        <is>
          <t>11409</t>
        </is>
      </c>
      <c r="F179" s="42" t="inlineStr">
        <is>
          <t>1185</t>
        </is>
      </c>
      <c r="G179" s="42" t="inlineStr">
        <is>
          <t>970</t>
        </is>
      </c>
      <c r="H179" s="42" t="inlineStr">
        <is>
          <t>True</t>
        </is>
      </c>
      <c r="I179" s="42" t="inlineStr">
        <is>
          <t>NOT_EVALUATED</t>
        </is>
      </c>
      <c r="J179" s="42" t="inlineStr">
        <is>
          <t>NO_DIRECT_STANDARD_MATRIX_IN_RETRIEVED_SOURCE</t>
        </is>
      </c>
      <c r="K179" s="42" t="str"/>
      <c r="L179" s="42" t="str"/>
      <c r="M179" s="42" t="str"/>
      <c r="N179" s="42" t="str"/>
      <c r="O179" s="42" t="inlineStr">
        <is>
          <t>現行公式資料でこの窓種のSAFE 30mil規格○/×を本Revisionでは直接取得できていない。推測しない。</t>
        </is>
      </c>
    </row>
    <row r="180">
      <c r="A180" s="42" t="inlineStr">
        <is>
          <t>SZ-SL-000179</t>
        </is>
      </c>
      <c r="B180" s="42" t="inlineStr">
        <is>
          <t>WT-SL-SHUTTER-HIKI</t>
        </is>
      </c>
      <c r="C180" s="42" t="inlineStr">
        <is>
          <t>シャッター付引違い窓</t>
        </is>
      </c>
      <c r="D180" s="42" t="inlineStr">
        <is>
          <t>SP-SL-SHUT-E-VENT</t>
        </is>
      </c>
      <c r="E180" s="42" t="inlineStr">
        <is>
          <t>11411</t>
        </is>
      </c>
      <c r="F180" s="42" t="inlineStr">
        <is>
          <t>1185</t>
        </is>
      </c>
      <c r="G180" s="42" t="inlineStr">
        <is>
          <t>1170</t>
        </is>
      </c>
      <c r="H180" s="42" t="inlineStr">
        <is>
          <t>True</t>
        </is>
      </c>
      <c r="I180" s="42" t="inlineStr">
        <is>
          <t>NOT_EVALUATED</t>
        </is>
      </c>
      <c r="J180" s="42" t="inlineStr">
        <is>
          <t>NO_DIRECT_STANDARD_MATRIX_IN_RETRIEVED_SOURCE</t>
        </is>
      </c>
      <c r="K180" s="42" t="str"/>
      <c r="L180" s="42" t="str"/>
      <c r="M180" s="42" t="str"/>
      <c r="N180" s="42" t="str"/>
      <c r="O180" s="42" t="inlineStr">
        <is>
          <t>現行公式資料でこの窓種のSAFE 30mil規格○/×を本Revisionでは直接取得できていない。推測しない。</t>
        </is>
      </c>
    </row>
    <row r="181">
      <c r="A181" s="42" t="inlineStr">
        <is>
          <t>SZ-SL-000180</t>
        </is>
      </c>
      <c r="B181" s="42" t="inlineStr">
        <is>
          <t>WT-SL-SHUTTER-HIKI</t>
        </is>
      </c>
      <c r="C181" s="42" t="inlineStr">
        <is>
          <t>シャッター付引違い窓</t>
        </is>
      </c>
      <c r="D181" s="42" t="inlineStr">
        <is>
          <t>SP-SL-SHUT-E-VENT</t>
        </is>
      </c>
      <c r="E181" s="42" t="inlineStr">
        <is>
          <t>11909</t>
        </is>
      </c>
      <c r="F181" s="42" t="inlineStr">
        <is>
          <t>1235</t>
        </is>
      </c>
      <c r="G181" s="42" t="inlineStr">
        <is>
          <t>970</t>
        </is>
      </c>
      <c r="H181" s="42" t="inlineStr">
        <is>
          <t>True</t>
        </is>
      </c>
      <c r="I181" s="42" t="inlineStr">
        <is>
          <t>NOT_EVALUATED</t>
        </is>
      </c>
      <c r="J181" s="42" t="inlineStr">
        <is>
          <t>NO_DIRECT_STANDARD_MATRIX_IN_RETRIEVED_SOURCE</t>
        </is>
      </c>
      <c r="K181" s="42" t="str"/>
      <c r="L181" s="42" t="str"/>
      <c r="M181" s="42" t="str"/>
      <c r="N181" s="42" t="str"/>
      <c r="O181" s="42" t="inlineStr">
        <is>
          <t>現行公式資料でこの窓種のSAFE 30mil規格○/×を本Revisionでは直接取得できていない。推測しない。</t>
        </is>
      </c>
    </row>
    <row r="182">
      <c r="A182" s="42" t="inlineStr">
        <is>
          <t>SZ-SL-000181</t>
        </is>
      </c>
      <c r="B182" s="42" t="inlineStr">
        <is>
          <t>WT-SL-SHUTTER-HIKI</t>
        </is>
      </c>
      <c r="C182" s="42" t="inlineStr">
        <is>
          <t>シャッター付引違い窓</t>
        </is>
      </c>
      <c r="D182" s="42" t="inlineStr">
        <is>
          <t>SP-SL-SHUT-E-VENT</t>
        </is>
      </c>
      <c r="E182" s="42" t="inlineStr">
        <is>
          <t>11911</t>
        </is>
      </c>
      <c r="F182" s="42" t="inlineStr">
        <is>
          <t>1235</t>
        </is>
      </c>
      <c r="G182" s="42" t="inlineStr">
        <is>
          <t>1170</t>
        </is>
      </c>
      <c r="H182" s="42" t="inlineStr">
        <is>
          <t>True</t>
        </is>
      </c>
      <c r="I182" s="42" t="inlineStr">
        <is>
          <t>NOT_EVALUATED</t>
        </is>
      </c>
      <c r="J182" s="42" t="inlineStr">
        <is>
          <t>NO_DIRECT_STANDARD_MATRIX_IN_RETRIEVED_SOURCE</t>
        </is>
      </c>
      <c r="K182" s="42" t="str"/>
      <c r="L182" s="42" t="str"/>
      <c r="M182" s="42" t="str"/>
      <c r="N182" s="42" t="str"/>
      <c r="O182" s="42" t="inlineStr">
        <is>
          <t>現行公式資料でこの窓種のSAFE 30mil規格○/×を本Revisionでは直接取得できていない。推測しない。</t>
        </is>
      </c>
    </row>
    <row r="183">
      <c r="A183" s="42" t="inlineStr">
        <is>
          <t>SZ-SL-000182</t>
        </is>
      </c>
      <c r="B183" s="42" t="inlineStr">
        <is>
          <t>WT-SL-SHUTTER-HIKI</t>
        </is>
      </c>
      <c r="C183" s="42" t="inlineStr">
        <is>
          <t>シャッター付引違い窓</t>
        </is>
      </c>
      <c r="D183" s="42" t="inlineStr">
        <is>
          <t>SP-SL-SHUT-E-VENT</t>
        </is>
      </c>
      <c r="E183" s="42" t="inlineStr">
        <is>
          <t>12809</t>
        </is>
      </c>
      <c r="F183" s="42" t="inlineStr">
        <is>
          <t>1320</t>
        </is>
      </c>
      <c r="G183" s="42" t="inlineStr">
        <is>
          <t>970</t>
        </is>
      </c>
      <c r="H183" s="42" t="inlineStr">
        <is>
          <t>True</t>
        </is>
      </c>
      <c r="I183" s="42" t="inlineStr">
        <is>
          <t>NOT_EVALUATED</t>
        </is>
      </c>
      <c r="J183" s="42" t="inlineStr">
        <is>
          <t>NO_DIRECT_STANDARD_MATRIX_IN_RETRIEVED_SOURCE</t>
        </is>
      </c>
      <c r="K183" s="42" t="str"/>
      <c r="L183" s="42" t="str"/>
      <c r="M183" s="42" t="str"/>
      <c r="N183" s="42" t="str"/>
      <c r="O183" s="42" t="inlineStr">
        <is>
          <t>現行公式資料でこの窓種のSAFE 30mil規格○/×を本Revisionでは直接取得できていない。推測しない。</t>
        </is>
      </c>
    </row>
    <row r="184">
      <c r="A184" s="42" t="inlineStr">
        <is>
          <t>SZ-SL-000183</t>
        </is>
      </c>
      <c r="B184" s="42" t="inlineStr">
        <is>
          <t>WT-SL-SHUTTER-HIKI</t>
        </is>
      </c>
      <c r="C184" s="42" t="inlineStr">
        <is>
          <t>シャッター付引違い窓</t>
        </is>
      </c>
      <c r="D184" s="42" t="inlineStr">
        <is>
          <t>SP-SL-SHUT-E-VENT</t>
        </is>
      </c>
      <c r="E184" s="42" t="inlineStr">
        <is>
          <t>12811</t>
        </is>
      </c>
      <c r="F184" s="42" t="inlineStr">
        <is>
          <t>1320</t>
        </is>
      </c>
      <c r="G184" s="42" t="inlineStr">
        <is>
          <t>1170</t>
        </is>
      </c>
      <c r="H184" s="42" t="inlineStr">
        <is>
          <t>True</t>
        </is>
      </c>
      <c r="I184" s="42" t="inlineStr">
        <is>
          <t>NOT_EVALUATED</t>
        </is>
      </c>
      <c r="J184" s="42" t="inlineStr">
        <is>
          <t>NO_DIRECT_STANDARD_MATRIX_IN_RETRIEVED_SOURCE</t>
        </is>
      </c>
      <c r="K184" s="42" t="str"/>
      <c r="L184" s="42" t="str"/>
      <c r="M184" s="42" t="str"/>
      <c r="N184" s="42" t="str"/>
      <c r="O184" s="42" t="inlineStr">
        <is>
          <t>現行公式資料でこの窓種のSAFE 30mil規格○/×を本Revisionでは直接取得できていない。推測しない。</t>
        </is>
      </c>
    </row>
    <row r="185">
      <c r="A185" s="42" t="inlineStr">
        <is>
          <t>SZ-SL-000184</t>
        </is>
      </c>
      <c r="B185" s="42" t="inlineStr">
        <is>
          <t>WT-SL-SHUTTER-HIKI</t>
        </is>
      </c>
      <c r="C185" s="42" t="inlineStr">
        <is>
          <t>シャッター付引違い窓</t>
        </is>
      </c>
      <c r="D185" s="42" t="inlineStr">
        <is>
          <t>SP-SL-SHUT-E-VENT</t>
        </is>
      </c>
      <c r="E185" s="42" t="inlineStr">
        <is>
          <t>13309</t>
        </is>
      </c>
      <c r="F185" s="42" t="inlineStr">
        <is>
          <t>1370</t>
        </is>
      </c>
      <c r="G185" s="42" t="inlineStr">
        <is>
          <t>970</t>
        </is>
      </c>
      <c r="H185" s="42" t="inlineStr">
        <is>
          <t>True</t>
        </is>
      </c>
      <c r="I185" s="42" t="inlineStr">
        <is>
          <t>NOT_EVALUATED</t>
        </is>
      </c>
      <c r="J185" s="42" t="inlineStr">
        <is>
          <t>NO_DIRECT_STANDARD_MATRIX_IN_RETRIEVED_SOURCE</t>
        </is>
      </c>
      <c r="K185" s="42" t="str"/>
      <c r="L185" s="42" t="str"/>
      <c r="M185" s="42" t="str"/>
      <c r="N185" s="42" t="str"/>
      <c r="O185" s="42" t="inlineStr">
        <is>
          <t>現行公式資料でこの窓種のSAFE 30mil規格○/×を本Revisionでは直接取得できていない。推測しない。</t>
        </is>
      </c>
    </row>
    <row r="186">
      <c r="A186" s="42" t="inlineStr">
        <is>
          <t>SZ-SL-000185</t>
        </is>
      </c>
      <c r="B186" s="42" t="inlineStr">
        <is>
          <t>WT-SL-SHUTTER-HIKI</t>
        </is>
      </c>
      <c r="C186" s="42" t="inlineStr">
        <is>
          <t>シャッター付引違い窓</t>
        </is>
      </c>
      <c r="D186" s="42" t="inlineStr">
        <is>
          <t>SP-SL-SHUT-E-VENT</t>
        </is>
      </c>
      <c r="E186" s="42" t="inlineStr">
        <is>
          <t>13311</t>
        </is>
      </c>
      <c r="F186" s="42" t="inlineStr">
        <is>
          <t>1370</t>
        </is>
      </c>
      <c r="G186" s="42" t="inlineStr">
        <is>
          <t>1170</t>
        </is>
      </c>
      <c r="H186" s="42" t="inlineStr">
        <is>
          <t>True</t>
        </is>
      </c>
      <c r="I186" s="42" t="inlineStr">
        <is>
          <t>NOT_EVALUATED</t>
        </is>
      </c>
      <c r="J186" s="42" t="inlineStr">
        <is>
          <t>NO_DIRECT_STANDARD_MATRIX_IN_RETRIEVED_SOURCE</t>
        </is>
      </c>
      <c r="K186" s="42" t="str"/>
      <c r="L186" s="42" t="str"/>
      <c r="M186" s="42" t="str"/>
      <c r="N186" s="42" t="str"/>
      <c r="O186" s="42" t="inlineStr">
        <is>
          <t>現行公式資料でこの窓種のSAFE 30mil規格○/×を本Revisionでは直接取得できていない。推測しない。</t>
        </is>
      </c>
    </row>
    <row r="187">
      <c r="A187" s="42" t="inlineStr">
        <is>
          <t>SZ-SL-000186</t>
        </is>
      </c>
      <c r="B187" s="42" t="inlineStr">
        <is>
          <t>WT-SL-SHUTTER-HIKI</t>
        </is>
      </c>
      <c r="C187" s="42" t="inlineStr">
        <is>
          <t>シャッター付引違い窓</t>
        </is>
      </c>
      <c r="D187" s="42" t="inlineStr">
        <is>
          <t>SP-SL-SHUT-E-WIND</t>
        </is>
      </c>
      <c r="E187" s="42" t="inlineStr">
        <is>
          <t>11409</t>
        </is>
      </c>
      <c r="F187" s="42" t="inlineStr">
        <is>
          <t>1185</t>
        </is>
      </c>
      <c r="G187" s="42" t="inlineStr">
        <is>
          <t>970</t>
        </is>
      </c>
      <c r="H187" s="42" t="inlineStr">
        <is>
          <t>True</t>
        </is>
      </c>
      <c r="I187" s="42" t="inlineStr">
        <is>
          <t>NOT_EVALUATED</t>
        </is>
      </c>
      <c r="J187" s="42" t="inlineStr">
        <is>
          <t>NO_DIRECT_STANDARD_MATRIX_IN_RETRIEVED_SOURCE</t>
        </is>
      </c>
      <c r="K187" s="42" t="str"/>
      <c r="L187" s="42" t="str"/>
      <c r="M187" s="42" t="str"/>
      <c r="N187" s="42" t="str"/>
      <c r="O187" s="42" t="inlineStr">
        <is>
          <t>現行公式資料でこの窓種のSAFE 30mil規格○/×を本Revisionでは直接取得できていない。推測しない。</t>
        </is>
      </c>
    </row>
    <row r="188">
      <c r="A188" s="42" t="inlineStr">
        <is>
          <t>SZ-SL-000187</t>
        </is>
      </c>
      <c r="B188" s="42" t="inlineStr">
        <is>
          <t>WT-SL-SHUTTER-HIKI</t>
        </is>
      </c>
      <c r="C188" s="42" t="inlineStr">
        <is>
          <t>シャッター付引違い窓</t>
        </is>
      </c>
      <c r="D188" s="42" t="inlineStr">
        <is>
          <t>SP-SL-SHUT-E-WIND</t>
        </is>
      </c>
      <c r="E188" s="42" t="inlineStr">
        <is>
          <t>11411</t>
        </is>
      </c>
      <c r="F188" s="42" t="inlineStr">
        <is>
          <t>1185</t>
        </is>
      </c>
      <c r="G188" s="42" t="inlineStr">
        <is>
          <t>1170</t>
        </is>
      </c>
      <c r="H188" s="42" t="inlineStr">
        <is>
          <t>True</t>
        </is>
      </c>
      <c r="I188" s="42" t="inlineStr">
        <is>
          <t>NOT_EVALUATED</t>
        </is>
      </c>
      <c r="J188" s="42" t="inlineStr">
        <is>
          <t>NO_DIRECT_STANDARD_MATRIX_IN_RETRIEVED_SOURCE</t>
        </is>
      </c>
      <c r="K188" s="42" t="str"/>
      <c r="L188" s="42" t="str"/>
      <c r="M188" s="42" t="str"/>
      <c r="N188" s="42" t="str"/>
      <c r="O188" s="42" t="inlineStr">
        <is>
          <t>現行公式資料でこの窓種のSAFE 30mil規格○/×を本Revisionでは直接取得できていない。推測しない。</t>
        </is>
      </c>
    </row>
    <row r="189">
      <c r="A189" s="42" t="inlineStr">
        <is>
          <t>SZ-SL-000188</t>
        </is>
      </c>
      <c r="B189" s="42" t="inlineStr">
        <is>
          <t>WT-SL-SHUTTER-HIKI</t>
        </is>
      </c>
      <c r="C189" s="42" t="inlineStr">
        <is>
          <t>シャッター付引違い窓</t>
        </is>
      </c>
      <c r="D189" s="42" t="inlineStr">
        <is>
          <t>SP-SL-SHUT-E-WIND</t>
        </is>
      </c>
      <c r="E189" s="42" t="inlineStr">
        <is>
          <t>11909</t>
        </is>
      </c>
      <c r="F189" s="42" t="inlineStr">
        <is>
          <t>1235</t>
        </is>
      </c>
      <c r="G189" s="42" t="inlineStr">
        <is>
          <t>970</t>
        </is>
      </c>
      <c r="H189" s="42" t="inlineStr">
        <is>
          <t>True</t>
        </is>
      </c>
      <c r="I189" s="42" t="inlineStr">
        <is>
          <t>NOT_EVALUATED</t>
        </is>
      </c>
      <c r="J189" s="42" t="inlineStr">
        <is>
          <t>NO_DIRECT_STANDARD_MATRIX_IN_RETRIEVED_SOURCE</t>
        </is>
      </c>
      <c r="K189" s="42" t="str"/>
      <c r="L189" s="42" t="str"/>
      <c r="M189" s="42" t="str"/>
      <c r="N189" s="42" t="str"/>
      <c r="O189" s="42" t="inlineStr">
        <is>
          <t>現行公式資料でこの窓種のSAFE 30mil規格○/×を本Revisionでは直接取得できていない。推測しない。</t>
        </is>
      </c>
    </row>
    <row r="190">
      <c r="A190" s="42" t="inlineStr">
        <is>
          <t>SZ-SL-000189</t>
        </is>
      </c>
      <c r="B190" s="42" t="inlineStr">
        <is>
          <t>WT-SL-SHUTTER-HIKI</t>
        </is>
      </c>
      <c r="C190" s="42" t="inlineStr">
        <is>
          <t>シャッター付引違い窓</t>
        </is>
      </c>
      <c r="D190" s="42" t="inlineStr">
        <is>
          <t>SP-SL-SHUT-E-WIND</t>
        </is>
      </c>
      <c r="E190" s="42" t="inlineStr">
        <is>
          <t>11911</t>
        </is>
      </c>
      <c r="F190" s="42" t="inlineStr">
        <is>
          <t>1235</t>
        </is>
      </c>
      <c r="G190" s="42" t="inlineStr">
        <is>
          <t>1170</t>
        </is>
      </c>
      <c r="H190" s="42" t="inlineStr">
        <is>
          <t>True</t>
        </is>
      </c>
      <c r="I190" s="42" t="inlineStr">
        <is>
          <t>NOT_EVALUATED</t>
        </is>
      </c>
      <c r="J190" s="42" t="inlineStr">
        <is>
          <t>NO_DIRECT_STANDARD_MATRIX_IN_RETRIEVED_SOURCE</t>
        </is>
      </c>
      <c r="K190" s="42" t="str"/>
      <c r="L190" s="42" t="str"/>
      <c r="M190" s="42" t="str"/>
      <c r="N190" s="42" t="str"/>
      <c r="O190" s="42" t="inlineStr">
        <is>
          <t>現行公式資料でこの窓種のSAFE 30mil規格○/×を本Revisionでは直接取得できていない。推測しない。</t>
        </is>
      </c>
    </row>
    <row r="191">
      <c r="A191" s="42" t="inlineStr">
        <is>
          <t>SZ-SL-000190</t>
        </is>
      </c>
      <c r="B191" s="42" t="inlineStr">
        <is>
          <t>WT-SL-SHUTTER-HIKI</t>
        </is>
      </c>
      <c r="C191" s="42" t="inlineStr">
        <is>
          <t>シャッター付引違い窓</t>
        </is>
      </c>
      <c r="D191" s="42" t="inlineStr">
        <is>
          <t>SP-SL-SHUT-E-WIND</t>
        </is>
      </c>
      <c r="E191" s="42" t="inlineStr">
        <is>
          <t>12809</t>
        </is>
      </c>
      <c r="F191" s="42" t="inlineStr">
        <is>
          <t>1320</t>
        </is>
      </c>
      <c r="G191" s="42" t="inlineStr">
        <is>
          <t>970</t>
        </is>
      </c>
      <c r="H191" s="42" t="inlineStr">
        <is>
          <t>False</t>
        </is>
      </c>
      <c r="I191" s="42" t="inlineStr">
        <is>
          <t>NOT_EVALUATED</t>
        </is>
      </c>
      <c r="J191" s="42" t="inlineStr">
        <is>
          <t>NO_DIRECT_STANDARD_MATRIX_IN_RETRIEVED_SOURCE</t>
        </is>
      </c>
      <c r="K191" s="42" t="str"/>
      <c r="L191" s="42" t="str"/>
      <c r="M191" s="42" t="str"/>
      <c r="N191" s="42" t="str"/>
      <c r="O191" s="42" t="inlineStr">
        <is>
          <t>現行公式資料でこの窓種のSAFE 30mil規格○/×を本Revisionでは直接取得できていない。推測しない。</t>
        </is>
      </c>
    </row>
    <row r="192">
      <c r="A192" s="42" t="inlineStr">
        <is>
          <t>SZ-SL-000191</t>
        </is>
      </c>
      <c r="B192" s="42" t="inlineStr">
        <is>
          <t>WT-SL-SHUTTER-HIKI</t>
        </is>
      </c>
      <c r="C192" s="42" t="inlineStr">
        <is>
          <t>シャッター付引違い窓</t>
        </is>
      </c>
      <c r="D192" s="42" t="inlineStr">
        <is>
          <t>SP-SL-SHUT-E-WIND</t>
        </is>
      </c>
      <c r="E192" s="42" t="inlineStr">
        <is>
          <t>12811</t>
        </is>
      </c>
      <c r="F192" s="42" t="inlineStr">
        <is>
          <t>1320</t>
        </is>
      </c>
      <c r="G192" s="42" t="inlineStr">
        <is>
          <t>1170</t>
        </is>
      </c>
      <c r="H192" s="42" t="inlineStr">
        <is>
          <t>False</t>
        </is>
      </c>
      <c r="I192" s="42" t="inlineStr">
        <is>
          <t>NOT_EVALUATED</t>
        </is>
      </c>
      <c r="J192" s="42" t="inlineStr">
        <is>
          <t>NO_DIRECT_STANDARD_MATRIX_IN_RETRIEVED_SOURCE</t>
        </is>
      </c>
      <c r="K192" s="42" t="str"/>
      <c r="L192" s="42" t="str"/>
      <c r="M192" s="42" t="str"/>
      <c r="N192" s="42" t="str"/>
      <c r="O192" s="42" t="inlineStr">
        <is>
          <t>現行公式資料でこの窓種のSAFE 30mil規格○/×を本Revisionでは直接取得できていない。推測しない。</t>
        </is>
      </c>
    </row>
    <row r="193">
      <c r="A193" s="42" t="inlineStr">
        <is>
          <t>SZ-SL-000192</t>
        </is>
      </c>
      <c r="B193" s="42" t="inlineStr">
        <is>
          <t>WT-SL-SHUTTER-HIKI</t>
        </is>
      </c>
      <c r="C193" s="42" t="inlineStr">
        <is>
          <t>シャッター付引違い窓</t>
        </is>
      </c>
      <c r="D193" s="42" t="inlineStr">
        <is>
          <t>SP-SL-SHUT-E-WIND</t>
        </is>
      </c>
      <c r="E193" s="42" t="inlineStr">
        <is>
          <t>13309</t>
        </is>
      </c>
      <c r="F193" s="42" t="inlineStr">
        <is>
          <t>1370</t>
        </is>
      </c>
      <c r="G193" s="42" t="inlineStr">
        <is>
          <t>970</t>
        </is>
      </c>
      <c r="H193" s="42" t="inlineStr">
        <is>
          <t>False</t>
        </is>
      </c>
      <c r="I193" s="42" t="inlineStr">
        <is>
          <t>NOT_EVALUATED</t>
        </is>
      </c>
      <c r="J193" s="42" t="inlineStr">
        <is>
          <t>NO_DIRECT_STANDARD_MATRIX_IN_RETRIEVED_SOURCE</t>
        </is>
      </c>
      <c r="K193" s="42" t="str"/>
      <c r="L193" s="42" t="str"/>
      <c r="M193" s="42" t="str"/>
      <c r="N193" s="42" t="str"/>
      <c r="O193" s="42" t="inlineStr">
        <is>
          <t>現行公式資料でこの窓種のSAFE 30mil規格○/×を本Revisionでは直接取得できていない。推測しない。</t>
        </is>
      </c>
    </row>
    <row r="194">
      <c r="A194" s="42" t="inlineStr">
        <is>
          <t>SZ-SL-000193</t>
        </is>
      </c>
      <c r="B194" s="42" t="inlineStr">
        <is>
          <t>WT-SL-SHUTTER-HIKI</t>
        </is>
      </c>
      <c r="C194" s="42" t="inlineStr">
        <is>
          <t>シャッター付引違い窓</t>
        </is>
      </c>
      <c r="D194" s="42" t="inlineStr">
        <is>
          <t>SP-SL-SHUT-E-WIND</t>
        </is>
      </c>
      <c r="E194" s="42" t="inlineStr">
        <is>
          <t>13311</t>
        </is>
      </c>
      <c r="F194" s="42" t="inlineStr">
        <is>
          <t>1370</t>
        </is>
      </c>
      <c r="G194" s="42" t="inlineStr">
        <is>
          <t>1170</t>
        </is>
      </c>
      <c r="H194" s="42" t="inlineStr">
        <is>
          <t>False</t>
        </is>
      </c>
      <c r="I194" s="42" t="inlineStr">
        <is>
          <t>NOT_EVALUATED</t>
        </is>
      </c>
      <c r="J194" s="42" t="inlineStr">
        <is>
          <t>NO_DIRECT_STANDARD_MATRIX_IN_RETRIEVED_SOURCE</t>
        </is>
      </c>
      <c r="K194" s="42" t="str"/>
      <c r="L194" s="42" t="str"/>
      <c r="M194" s="42" t="str"/>
      <c r="N194" s="42" t="str"/>
      <c r="O194" s="42" t="inlineStr">
        <is>
          <t>現行公式資料でこの窓種のSAFE 30mil規格○/×を本Revisionでは直接取得できていない。推測しない。</t>
        </is>
      </c>
    </row>
    <row r="195">
      <c r="A195" s="42" t="inlineStr">
        <is>
          <t>SZ-SL-000194</t>
        </is>
      </c>
      <c r="B195" s="42" t="inlineStr">
        <is>
          <t>WT-SL-SHUTTER-HIKI</t>
        </is>
      </c>
      <c r="C195" s="42" t="inlineStr">
        <is>
          <t>シャッター付引違い窓</t>
        </is>
      </c>
      <c r="D195" s="42" t="inlineStr">
        <is>
          <t>SP-SL-SHUT-E-STD</t>
        </is>
      </c>
      <c r="E195" s="42" t="inlineStr">
        <is>
          <t>15009</t>
        </is>
      </c>
      <c r="F195" s="42" t="inlineStr">
        <is>
          <t>1540</t>
        </is>
      </c>
      <c r="G195" s="42" t="inlineStr">
        <is>
          <t>970</t>
        </is>
      </c>
      <c r="H195" s="42" t="inlineStr">
        <is>
          <t>True</t>
        </is>
      </c>
      <c r="I195" s="42" t="inlineStr">
        <is>
          <t>NOT_EVALUATED</t>
        </is>
      </c>
      <c r="J195" s="42" t="inlineStr">
        <is>
          <t>NO_DIRECT_STANDARD_MATRIX_IN_RETRIEVED_SOURCE</t>
        </is>
      </c>
      <c r="K195" s="42" t="str"/>
      <c r="L195" s="42" t="str"/>
      <c r="M195" s="42" t="str"/>
      <c r="N195" s="42" t="str"/>
      <c r="O195" s="42" t="inlineStr">
        <is>
          <t>現行公式資料でこの窓種のSAFE 30mil規格○/×を本Revisionでは直接取得できていない。推測しない。</t>
        </is>
      </c>
    </row>
    <row r="196">
      <c r="A196" s="42" t="inlineStr">
        <is>
          <t>SZ-SL-000195</t>
        </is>
      </c>
      <c r="B196" s="42" t="inlineStr">
        <is>
          <t>WT-SL-SHUTTER-HIKI</t>
        </is>
      </c>
      <c r="C196" s="42" t="inlineStr">
        <is>
          <t>シャッター付引違い窓</t>
        </is>
      </c>
      <c r="D196" s="42" t="inlineStr">
        <is>
          <t>SP-SL-SHUT-E-STD</t>
        </is>
      </c>
      <c r="E196" s="42" t="inlineStr">
        <is>
          <t>15011</t>
        </is>
      </c>
      <c r="F196" s="42" t="inlineStr">
        <is>
          <t>1540</t>
        </is>
      </c>
      <c r="G196" s="42" t="inlineStr">
        <is>
          <t>1170</t>
        </is>
      </c>
      <c r="H196" s="42" t="inlineStr">
        <is>
          <t>True</t>
        </is>
      </c>
      <c r="I196" s="42" t="inlineStr">
        <is>
          <t>NOT_EVALUATED</t>
        </is>
      </c>
      <c r="J196" s="42" t="inlineStr">
        <is>
          <t>NO_DIRECT_STANDARD_MATRIX_IN_RETRIEVED_SOURCE</t>
        </is>
      </c>
      <c r="K196" s="42" t="str"/>
      <c r="L196" s="42" t="str"/>
      <c r="M196" s="42" t="str"/>
      <c r="N196" s="42" t="str"/>
      <c r="O196" s="42" t="inlineStr">
        <is>
          <t>現行公式資料でこの窓種のSAFE 30mil規格○/×を本Revisionでは直接取得できていない。推測しない。</t>
        </is>
      </c>
    </row>
    <row r="197">
      <c r="A197" s="42" t="inlineStr">
        <is>
          <t>SZ-SL-000196</t>
        </is>
      </c>
      <c r="B197" s="42" t="inlineStr">
        <is>
          <t>WT-SL-SHUTTER-HIKI</t>
        </is>
      </c>
      <c r="C197" s="42" t="inlineStr">
        <is>
          <t>シャッター付引違い窓</t>
        </is>
      </c>
      <c r="D197" s="42" t="inlineStr">
        <is>
          <t>SP-SL-SHUT-E-STD</t>
        </is>
      </c>
      <c r="E197" s="42" t="inlineStr">
        <is>
          <t>16009</t>
        </is>
      </c>
      <c r="F197" s="42" t="inlineStr">
        <is>
          <t>1640</t>
        </is>
      </c>
      <c r="G197" s="42" t="inlineStr">
        <is>
          <t>970</t>
        </is>
      </c>
      <c r="H197" s="42" t="inlineStr">
        <is>
          <t>True</t>
        </is>
      </c>
      <c r="I197" s="42" t="inlineStr">
        <is>
          <t>NOT_EVALUATED</t>
        </is>
      </c>
      <c r="J197" s="42" t="inlineStr">
        <is>
          <t>NO_DIRECT_STANDARD_MATRIX_IN_RETRIEVED_SOURCE</t>
        </is>
      </c>
      <c r="K197" s="42" t="str"/>
      <c r="L197" s="42" t="str"/>
      <c r="M197" s="42" t="str"/>
      <c r="N197" s="42" t="str"/>
      <c r="O197" s="42" t="inlineStr">
        <is>
          <t>現行公式資料でこの窓種のSAFE 30mil規格○/×を本Revisionでは直接取得できていない。推測しない。</t>
        </is>
      </c>
    </row>
    <row r="198">
      <c r="A198" s="42" t="inlineStr">
        <is>
          <t>SZ-SL-000197</t>
        </is>
      </c>
      <c r="B198" s="42" t="inlineStr">
        <is>
          <t>WT-SL-SHUTTER-HIKI</t>
        </is>
      </c>
      <c r="C198" s="42" t="inlineStr">
        <is>
          <t>シャッター付引違い窓</t>
        </is>
      </c>
      <c r="D198" s="42" t="inlineStr">
        <is>
          <t>SP-SL-SHUT-E-STD</t>
        </is>
      </c>
      <c r="E198" s="42" t="inlineStr">
        <is>
          <t>16011</t>
        </is>
      </c>
      <c r="F198" s="42" t="inlineStr">
        <is>
          <t>1640</t>
        </is>
      </c>
      <c r="G198" s="42" t="inlineStr">
        <is>
          <t>1170</t>
        </is>
      </c>
      <c r="H198" s="42" t="inlineStr">
        <is>
          <t>True</t>
        </is>
      </c>
      <c r="I198" s="42" t="inlineStr">
        <is>
          <t>NOT_EVALUATED</t>
        </is>
      </c>
      <c r="J198" s="42" t="inlineStr">
        <is>
          <t>NO_DIRECT_STANDARD_MATRIX_IN_RETRIEVED_SOURCE</t>
        </is>
      </c>
      <c r="K198" s="42" t="str"/>
      <c r="L198" s="42" t="str"/>
      <c r="M198" s="42" t="str"/>
      <c r="N198" s="42" t="str"/>
      <c r="O198" s="42" t="inlineStr">
        <is>
          <t>現行公式資料でこの窓種のSAFE 30mil規格○/×を本Revisionでは直接取得できていない。推測しない。</t>
        </is>
      </c>
    </row>
    <row r="199">
      <c r="A199" s="42" t="inlineStr">
        <is>
          <t>SZ-SL-000198</t>
        </is>
      </c>
      <c r="B199" s="42" t="inlineStr">
        <is>
          <t>WT-SL-SHUTTER-HIKI</t>
        </is>
      </c>
      <c r="C199" s="42" t="inlineStr">
        <is>
          <t>シャッター付引違い窓</t>
        </is>
      </c>
      <c r="D199" s="42" t="inlineStr">
        <is>
          <t>SP-SL-SHUT-E-STD</t>
        </is>
      </c>
      <c r="E199" s="42" t="inlineStr">
        <is>
          <t>16507</t>
        </is>
      </c>
      <c r="F199" s="42" t="inlineStr">
        <is>
          <t>1690</t>
        </is>
      </c>
      <c r="G199" s="42" t="inlineStr">
        <is>
          <t>770</t>
        </is>
      </c>
      <c r="H199" s="42" t="inlineStr">
        <is>
          <t>True</t>
        </is>
      </c>
      <c r="I199" s="42" t="inlineStr">
        <is>
          <t>NOT_EVALUATED</t>
        </is>
      </c>
      <c r="J199" s="42" t="inlineStr">
        <is>
          <t>NO_DIRECT_STANDARD_MATRIX_IN_RETRIEVED_SOURCE</t>
        </is>
      </c>
      <c r="K199" s="42" t="str"/>
      <c r="L199" s="42" t="str"/>
      <c r="M199" s="42" t="str"/>
      <c r="N199" s="42" t="str"/>
      <c r="O199" s="42" t="inlineStr">
        <is>
          <t>現行公式資料でこの窓種のSAFE 30mil規格○/×を本Revisionでは直接取得できていない。推測しない。</t>
        </is>
      </c>
    </row>
    <row r="200">
      <c r="A200" s="42" t="inlineStr">
        <is>
          <t>SZ-SL-000199</t>
        </is>
      </c>
      <c r="B200" s="42" t="inlineStr">
        <is>
          <t>WT-SL-SHUTTER-HIKI</t>
        </is>
      </c>
      <c r="C200" s="42" t="inlineStr">
        <is>
          <t>シャッター付引違い窓</t>
        </is>
      </c>
      <c r="D200" s="42" t="inlineStr">
        <is>
          <t>SP-SL-SHUT-E-STD</t>
        </is>
      </c>
      <c r="E200" s="42" t="inlineStr">
        <is>
          <t>16509</t>
        </is>
      </c>
      <c r="F200" s="42" t="inlineStr">
        <is>
          <t>1690</t>
        </is>
      </c>
      <c r="G200" s="42" t="inlineStr">
        <is>
          <t>970</t>
        </is>
      </c>
      <c r="H200" s="42" t="inlineStr">
        <is>
          <t>True</t>
        </is>
      </c>
      <c r="I200" s="42" t="inlineStr">
        <is>
          <t>NOT_EVALUATED</t>
        </is>
      </c>
      <c r="J200" s="42" t="inlineStr">
        <is>
          <t>NO_DIRECT_STANDARD_MATRIX_IN_RETRIEVED_SOURCE</t>
        </is>
      </c>
      <c r="K200" s="42" t="str"/>
      <c r="L200" s="42" t="str"/>
      <c r="M200" s="42" t="str"/>
      <c r="N200" s="42" t="str"/>
      <c r="O200" s="42" t="inlineStr">
        <is>
          <t>現行公式資料でこの窓種のSAFE 30mil規格○/×を本Revisionでは直接取得できていない。推測しない。</t>
        </is>
      </c>
    </row>
    <row r="201">
      <c r="A201" s="42" t="inlineStr">
        <is>
          <t>SZ-SL-000200</t>
        </is>
      </c>
      <c r="B201" s="42" t="inlineStr">
        <is>
          <t>WT-SL-SHUTTER-HIKI</t>
        </is>
      </c>
      <c r="C201" s="42" t="inlineStr">
        <is>
          <t>シャッター付引違い窓</t>
        </is>
      </c>
      <c r="D201" s="42" t="inlineStr">
        <is>
          <t>SP-SL-SHUT-E-STD</t>
        </is>
      </c>
      <c r="E201" s="42" t="inlineStr">
        <is>
          <t>16511</t>
        </is>
      </c>
      <c r="F201" s="42" t="inlineStr">
        <is>
          <t>1690</t>
        </is>
      </c>
      <c r="G201" s="42" t="inlineStr">
        <is>
          <t>1170</t>
        </is>
      </c>
      <c r="H201" s="42" t="inlineStr">
        <is>
          <t>True</t>
        </is>
      </c>
      <c r="I201" s="42" t="inlineStr">
        <is>
          <t>NOT_EVALUATED</t>
        </is>
      </c>
      <c r="J201" s="42" t="inlineStr">
        <is>
          <t>NO_DIRECT_STANDARD_MATRIX_IN_RETRIEVED_SOURCE</t>
        </is>
      </c>
      <c r="K201" s="42" t="str"/>
      <c r="L201" s="42" t="str"/>
      <c r="M201" s="42" t="str"/>
      <c r="N201" s="42" t="str"/>
      <c r="O201" s="42" t="inlineStr">
        <is>
          <t>現行公式資料でこの窓種のSAFE 30mil規格○/×を本Revisionでは直接取得できていない。推測しない。</t>
        </is>
      </c>
    </row>
    <row r="202">
      <c r="A202" s="42" t="inlineStr">
        <is>
          <t>SZ-SL-000201</t>
        </is>
      </c>
      <c r="B202" s="42" t="inlineStr">
        <is>
          <t>WT-SL-SHUTTER-HIKI</t>
        </is>
      </c>
      <c r="C202" s="42" t="inlineStr">
        <is>
          <t>シャッター付引違い窓</t>
        </is>
      </c>
      <c r="D202" s="42" t="inlineStr">
        <is>
          <t>SP-SL-SHUT-E-STD</t>
        </is>
      </c>
      <c r="E202" s="42" t="inlineStr">
        <is>
          <t>17409</t>
        </is>
      </c>
      <c r="F202" s="42" t="inlineStr">
        <is>
          <t>1780</t>
        </is>
      </c>
      <c r="G202" s="42" t="inlineStr">
        <is>
          <t>970</t>
        </is>
      </c>
      <c r="H202" s="42" t="inlineStr">
        <is>
          <t>True</t>
        </is>
      </c>
      <c r="I202" s="42" t="inlineStr">
        <is>
          <t>NOT_EVALUATED</t>
        </is>
      </c>
      <c r="J202" s="42" t="inlineStr">
        <is>
          <t>NO_DIRECT_STANDARD_MATRIX_IN_RETRIEVED_SOURCE</t>
        </is>
      </c>
      <c r="K202" s="42" t="str"/>
      <c r="L202" s="42" t="str"/>
      <c r="M202" s="42" t="str"/>
      <c r="N202" s="42" t="str"/>
      <c r="O202" s="42" t="inlineStr">
        <is>
          <t>現行公式資料でこの窓種のSAFE 30mil規格○/×を本Revisionでは直接取得できていない。推測しない。</t>
        </is>
      </c>
    </row>
    <row r="203">
      <c r="A203" s="42" t="inlineStr">
        <is>
          <t>SZ-SL-000202</t>
        </is>
      </c>
      <c r="B203" s="42" t="inlineStr">
        <is>
          <t>WT-SL-SHUTTER-HIKI</t>
        </is>
      </c>
      <c r="C203" s="42" t="inlineStr">
        <is>
          <t>シャッター付引違い窓</t>
        </is>
      </c>
      <c r="D203" s="42" t="inlineStr">
        <is>
          <t>SP-SL-SHUT-E-STD</t>
        </is>
      </c>
      <c r="E203" s="42" t="inlineStr">
        <is>
          <t>17411</t>
        </is>
      </c>
      <c r="F203" s="42" t="inlineStr">
        <is>
          <t>1780</t>
        </is>
      </c>
      <c r="G203" s="42" t="inlineStr">
        <is>
          <t>1170</t>
        </is>
      </c>
      <c r="H203" s="42" t="inlineStr">
        <is>
          <t>True</t>
        </is>
      </c>
      <c r="I203" s="42" t="inlineStr">
        <is>
          <t>NOT_EVALUATED</t>
        </is>
      </c>
      <c r="J203" s="42" t="inlineStr">
        <is>
          <t>NO_DIRECT_STANDARD_MATRIX_IN_RETRIEVED_SOURCE</t>
        </is>
      </c>
      <c r="K203" s="42" t="str"/>
      <c r="L203" s="42" t="str"/>
      <c r="M203" s="42" t="str"/>
      <c r="N203" s="42" t="str"/>
      <c r="O203" s="42" t="inlineStr">
        <is>
          <t>現行公式資料でこの窓種のSAFE 30mil規格○/×を本Revisionでは直接取得できていない。推測しない。</t>
        </is>
      </c>
    </row>
    <row r="204">
      <c r="A204" s="42" t="inlineStr">
        <is>
          <t>SZ-SL-000203</t>
        </is>
      </c>
      <c r="B204" s="42" t="inlineStr">
        <is>
          <t>WT-SL-SHUTTER-HIKI</t>
        </is>
      </c>
      <c r="C204" s="42" t="inlineStr">
        <is>
          <t>シャッター付引違い窓</t>
        </is>
      </c>
      <c r="D204" s="42" t="inlineStr">
        <is>
          <t>SP-SL-SHUT-E-STD</t>
        </is>
      </c>
      <c r="E204" s="42" t="inlineStr">
        <is>
          <t>17609</t>
        </is>
      </c>
      <c r="F204" s="42" t="inlineStr">
        <is>
          <t>1800</t>
        </is>
      </c>
      <c r="G204" s="42" t="inlineStr">
        <is>
          <t>970</t>
        </is>
      </c>
      <c r="H204" s="42" t="inlineStr">
        <is>
          <t>True</t>
        </is>
      </c>
      <c r="I204" s="42" t="inlineStr">
        <is>
          <t>NOT_EVALUATED</t>
        </is>
      </c>
      <c r="J204" s="42" t="inlineStr">
        <is>
          <t>NO_DIRECT_STANDARD_MATRIX_IN_RETRIEVED_SOURCE</t>
        </is>
      </c>
      <c r="K204" s="42" t="str"/>
      <c r="L204" s="42" t="str"/>
      <c r="M204" s="42" t="str"/>
      <c r="N204" s="42" t="str"/>
      <c r="O204" s="42" t="inlineStr">
        <is>
          <t>現行公式資料でこの窓種のSAFE 30mil規格○/×を本Revisionでは直接取得できていない。推測しない。</t>
        </is>
      </c>
    </row>
    <row r="205">
      <c r="A205" s="42" t="inlineStr">
        <is>
          <t>SZ-SL-000204</t>
        </is>
      </c>
      <c r="B205" s="42" t="inlineStr">
        <is>
          <t>WT-SL-SHUTTER-HIKI</t>
        </is>
      </c>
      <c r="C205" s="42" t="inlineStr">
        <is>
          <t>シャッター付引違い窓</t>
        </is>
      </c>
      <c r="D205" s="42" t="inlineStr">
        <is>
          <t>SP-SL-SHUT-E-STD</t>
        </is>
      </c>
      <c r="E205" s="42" t="inlineStr">
        <is>
          <t>17611</t>
        </is>
      </c>
      <c r="F205" s="42" t="inlineStr">
        <is>
          <t>1800</t>
        </is>
      </c>
      <c r="G205" s="42" t="inlineStr">
        <is>
          <t>1170</t>
        </is>
      </c>
      <c r="H205" s="42" t="inlineStr">
        <is>
          <t>True</t>
        </is>
      </c>
      <c r="I205" s="42" t="inlineStr">
        <is>
          <t>NOT_EVALUATED</t>
        </is>
      </c>
      <c r="J205" s="42" t="inlineStr">
        <is>
          <t>NO_DIRECT_STANDARD_MATRIX_IN_RETRIEVED_SOURCE</t>
        </is>
      </c>
      <c r="K205" s="42" t="str"/>
      <c r="L205" s="42" t="str"/>
      <c r="M205" s="42" t="str"/>
      <c r="N205" s="42" t="str"/>
      <c r="O205" s="42" t="inlineStr">
        <is>
          <t>現行公式資料でこの窓種のSAFE 30mil規格○/×を本Revisionでは直接取得できていない。推測しない。</t>
        </is>
      </c>
    </row>
    <row r="206">
      <c r="A206" s="42" t="inlineStr">
        <is>
          <t>SZ-SL-000205</t>
        </is>
      </c>
      <c r="B206" s="42" t="inlineStr">
        <is>
          <t>WT-SL-SHUTTER-HIKI</t>
        </is>
      </c>
      <c r="C206" s="42" t="inlineStr">
        <is>
          <t>シャッター付引違い窓</t>
        </is>
      </c>
      <c r="D206" s="42" t="inlineStr">
        <is>
          <t>SP-SL-SHUT-E-VENT</t>
        </is>
      </c>
      <c r="E206" s="42" t="inlineStr">
        <is>
          <t>15009</t>
        </is>
      </c>
      <c r="F206" s="42" t="inlineStr">
        <is>
          <t>1540</t>
        </is>
      </c>
      <c r="G206" s="42" t="inlineStr">
        <is>
          <t>970</t>
        </is>
      </c>
      <c r="H206" s="42" t="inlineStr">
        <is>
          <t>True</t>
        </is>
      </c>
      <c r="I206" s="42" t="inlineStr">
        <is>
          <t>NOT_EVALUATED</t>
        </is>
      </c>
      <c r="J206" s="42" t="inlineStr">
        <is>
          <t>NO_DIRECT_STANDARD_MATRIX_IN_RETRIEVED_SOURCE</t>
        </is>
      </c>
      <c r="K206" s="42" t="str"/>
      <c r="L206" s="42" t="str"/>
      <c r="M206" s="42" t="str"/>
      <c r="N206" s="42" t="str"/>
      <c r="O206" s="42" t="inlineStr">
        <is>
          <t>現行公式資料でこの窓種のSAFE 30mil規格○/×を本Revisionでは直接取得できていない。推測しない。</t>
        </is>
      </c>
    </row>
    <row r="207">
      <c r="A207" s="42" t="inlineStr">
        <is>
          <t>SZ-SL-000206</t>
        </is>
      </c>
      <c r="B207" s="42" t="inlineStr">
        <is>
          <t>WT-SL-SHUTTER-HIKI</t>
        </is>
      </c>
      <c r="C207" s="42" t="inlineStr">
        <is>
          <t>シャッター付引違い窓</t>
        </is>
      </c>
      <c r="D207" s="42" t="inlineStr">
        <is>
          <t>SP-SL-SHUT-E-VENT</t>
        </is>
      </c>
      <c r="E207" s="42" t="inlineStr">
        <is>
          <t>15011</t>
        </is>
      </c>
      <c r="F207" s="42" t="inlineStr">
        <is>
          <t>1540</t>
        </is>
      </c>
      <c r="G207" s="42" t="inlineStr">
        <is>
          <t>1170</t>
        </is>
      </c>
      <c r="H207" s="42" t="inlineStr">
        <is>
          <t>True</t>
        </is>
      </c>
      <c r="I207" s="42" t="inlineStr">
        <is>
          <t>NOT_EVALUATED</t>
        </is>
      </c>
      <c r="J207" s="42" t="inlineStr">
        <is>
          <t>NO_DIRECT_STANDARD_MATRIX_IN_RETRIEVED_SOURCE</t>
        </is>
      </c>
      <c r="K207" s="42" t="str"/>
      <c r="L207" s="42" t="str"/>
      <c r="M207" s="42" t="str"/>
      <c r="N207" s="42" t="str"/>
      <c r="O207" s="42" t="inlineStr">
        <is>
          <t>現行公式資料でこの窓種のSAFE 30mil規格○/×を本Revisionでは直接取得できていない。推測しない。</t>
        </is>
      </c>
    </row>
    <row r="208">
      <c r="A208" s="42" t="inlineStr">
        <is>
          <t>SZ-SL-000207</t>
        </is>
      </c>
      <c r="B208" s="42" t="inlineStr">
        <is>
          <t>WT-SL-SHUTTER-HIKI</t>
        </is>
      </c>
      <c r="C208" s="42" t="inlineStr">
        <is>
          <t>シャッター付引違い窓</t>
        </is>
      </c>
      <c r="D208" s="42" t="inlineStr">
        <is>
          <t>SP-SL-SHUT-E-VENT</t>
        </is>
      </c>
      <c r="E208" s="42" t="inlineStr">
        <is>
          <t>16009</t>
        </is>
      </c>
      <c r="F208" s="42" t="inlineStr">
        <is>
          <t>1640</t>
        </is>
      </c>
      <c r="G208" s="42" t="inlineStr">
        <is>
          <t>970</t>
        </is>
      </c>
      <c r="H208" s="42" t="inlineStr">
        <is>
          <t>True</t>
        </is>
      </c>
      <c r="I208" s="42" t="inlineStr">
        <is>
          <t>NOT_EVALUATED</t>
        </is>
      </c>
      <c r="J208" s="42" t="inlineStr">
        <is>
          <t>NO_DIRECT_STANDARD_MATRIX_IN_RETRIEVED_SOURCE</t>
        </is>
      </c>
      <c r="K208" s="42" t="str"/>
      <c r="L208" s="42" t="str"/>
      <c r="M208" s="42" t="str"/>
      <c r="N208" s="42" t="str"/>
      <c r="O208" s="42" t="inlineStr">
        <is>
          <t>現行公式資料でこの窓種のSAFE 30mil規格○/×を本Revisionでは直接取得できていない。推測しない。</t>
        </is>
      </c>
    </row>
    <row r="209">
      <c r="A209" s="42" t="inlineStr">
        <is>
          <t>SZ-SL-000208</t>
        </is>
      </c>
      <c r="B209" s="42" t="inlineStr">
        <is>
          <t>WT-SL-SHUTTER-HIKI</t>
        </is>
      </c>
      <c r="C209" s="42" t="inlineStr">
        <is>
          <t>シャッター付引違い窓</t>
        </is>
      </c>
      <c r="D209" s="42" t="inlineStr">
        <is>
          <t>SP-SL-SHUT-E-VENT</t>
        </is>
      </c>
      <c r="E209" s="42" t="inlineStr">
        <is>
          <t>16011</t>
        </is>
      </c>
      <c r="F209" s="42" t="inlineStr">
        <is>
          <t>1640</t>
        </is>
      </c>
      <c r="G209" s="42" t="inlineStr">
        <is>
          <t>1170</t>
        </is>
      </c>
      <c r="H209" s="42" t="inlineStr">
        <is>
          <t>True</t>
        </is>
      </c>
      <c r="I209" s="42" t="inlineStr">
        <is>
          <t>NOT_EVALUATED</t>
        </is>
      </c>
      <c r="J209" s="42" t="inlineStr">
        <is>
          <t>NO_DIRECT_STANDARD_MATRIX_IN_RETRIEVED_SOURCE</t>
        </is>
      </c>
      <c r="K209" s="42" t="str"/>
      <c r="L209" s="42" t="str"/>
      <c r="M209" s="42" t="str"/>
      <c r="N209" s="42" t="str"/>
      <c r="O209" s="42" t="inlineStr">
        <is>
          <t>現行公式資料でこの窓種のSAFE 30mil規格○/×を本Revisionでは直接取得できていない。推測しない。</t>
        </is>
      </c>
    </row>
    <row r="210">
      <c r="A210" s="42" t="inlineStr">
        <is>
          <t>SZ-SL-000209</t>
        </is>
      </c>
      <c r="B210" s="42" t="inlineStr">
        <is>
          <t>WT-SL-SHUTTER-HIKI</t>
        </is>
      </c>
      <c r="C210" s="42" t="inlineStr">
        <is>
          <t>シャッター付引違い窓</t>
        </is>
      </c>
      <c r="D210" s="42" t="inlineStr">
        <is>
          <t>SP-SL-SHUT-E-VENT</t>
        </is>
      </c>
      <c r="E210" s="42" t="inlineStr">
        <is>
          <t>16507</t>
        </is>
      </c>
      <c r="F210" s="42" t="inlineStr">
        <is>
          <t>1690</t>
        </is>
      </c>
      <c r="G210" s="42" t="inlineStr">
        <is>
          <t>770</t>
        </is>
      </c>
      <c r="H210" s="42" t="inlineStr">
        <is>
          <t>True</t>
        </is>
      </c>
      <c r="I210" s="42" t="inlineStr">
        <is>
          <t>NOT_EVALUATED</t>
        </is>
      </c>
      <c r="J210" s="42" t="inlineStr">
        <is>
          <t>NO_DIRECT_STANDARD_MATRIX_IN_RETRIEVED_SOURCE</t>
        </is>
      </c>
      <c r="K210" s="42" t="str"/>
      <c r="L210" s="42" t="str"/>
      <c r="M210" s="42" t="str"/>
      <c r="N210" s="42" t="str"/>
      <c r="O210" s="42" t="inlineStr">
        <is>
          <t>現行公式資料でこの窓種のSAFE 30mil規格○/×を本Revisionでは直接取得できていない。推測しない。</t>
        </is>
      </c>
    </row>
    <row r="211">
      <c r="A211" s="42" t="inlineStr">
        <is>
          <t>SZ-SL-000210</t>
        </is>
      </c>
      <c r="B211" s="42" t="inlineStr">
        <is>
          <t>WT-SL-SHUTTER-HIKI</t>
        </is>
      </c>
      <c r="C211" s="42" t="inlineStr">
        <is>
          <t>シャッター付引違い窓</t>
        </is>
      </c>
      <c r="D211" s="42" t="inlineStr">
        <is>
          <t>SP-SL-SHUT-E-VENT</t>
        </is>
      </c>
      <c r="E211" s="42" t="inlineStr">
        <is>
          <t>16509</t>
        </is>
      </c>
      <c r="F211" s="42" t="inlineStr">
        <is>
          <t>1690</t>
        </is>
      </c>
      <c r="G211" s="42" t="inlineStr">
        <is>
          <t>970</t>
        </is>
      </c>
      <c r="H211" s="42" t="inlineStr">
        <is>
          <t>True</t>
        </is>
      </c>
      <c r="I211" s="42" t="inlineStr">
        <is>
          <t>NOT_EVALUATED</t>
        </is>
      </c>
      <c r="J211" s="42" t="inlineStr">
        <is>
          <t>NO_DIRECT_STANDARD_MATRIX_IN_RETRIEVED_SOURCE</t>
        </is>
      </c>
      <c r="K211" s="42" t="str"/>
      <c r="L211" s="42" t="str"/>
      <c r="M211" s="42" t="str"/>
      <c r="N211" s="42" t="str"/>
      <c r="O211" s="42" t="inlineStr">
        <is>
          <t>現行公式資料でこの窓種のSAFE 30mil規格○/×を本Revisionでは直接取得できていない。推測しない。</t>
        </is>
      </c>
    </row>
    <row r="212">
      <c r="A212" s="42" t="inlineStr">
        <is>
          <t>SZ-SL-000211</t>
        </is>
      </c>
      <c r="B212" s="42" t="inlineStr">
        <is>
          <t>WT-SL-SHUTTER-HIKI</t>
        </is>
      </c>
      <c r="C212" s="42" t="inlineStr">
        <is>
          <t>シャッター付引違い窓</t>
        </is>
      </c>
      <c r="D212" s="42" t="inlineStr">
        <is>
          <t>SP-SL-SHUT-E-VENT</t>
        </is>
      </c>
      <c r="E212" s="42" t="inlineStr">
        <is>
          <t>16511</t>
        </is>
      </c>
      <c r="F212" s="42" t="inlineStr">
        <is>
          <t>1690</t>
        </is>
      </c>
      <c r="G212" s="42" t="inlineStr">
        <is>
          <t>1170</t>
        </is>
      </c>
      <c r="H212" s="42" t="inlineStr">
        <is>
          <t>True</t>
        </is>
      </c>
      <c r="I212" s="42" t="inlineStr">
        <is>
          <t>NOT_EVALUATED</t>
        </is>
      </c>
      <c r="J212" s="42" t="inlineStr">
        <is>
          <t>NO_DIRECT_STANDARD_MATRIX_IN_RETRIEVED_SOURCE</t>
        </is>
      </c>
      <c r="K212" s="42" t="str"/>
      <c r="L212" s="42" t="str"/>
      <c r="M212" s="42" t="str"/>
      <c r="N212" s="42" t="str"/>
      <c r="O212" s="42" t="inlineStr">
        <is>
          <t>現行公式資料でこの窓種のSAFE 30mil規格○/×を本Revisionでは直接取得できていない。推測しない。</t>
        </is>
      </c>
    </row>
    <row r="213">
      <c r="A213" s="42" t="inlineStr">
        <is>
          <t>SZ-SL-000212</t>
        </is>
      </c>
      <c r="B213" s="42" t="inlineStr">
        <is>
          <t>WT-SL-SHUTTER-HIKI</t>
        </is>
      </c>
      <c r="C213" s="42" t="inlineStr">
        <is>
          <t>シャッター付引違い窓</t>
        </is>
      </c>
      <c r="D213" s="42" t="inlineStr">
        <is>
          <t>SP-SL-SHUT-E-VENT</t>
        </is>
      </c>
      <c r="E213" s="42" t="inlineStr">
        <is>
          <t>17409</t>
        </is>
      </c>
      <c r="F213" s="42" t="inlineStr">
        <is>
          <t>1780</t>
        </is>
      </c>
      <c r="G213" s="42" t="inlineStr">
        <is>
          <t>970</t>
        </is>
      </c>
      <c r="H213" s="42" t="inlineStr">
        <is>
          <t>True</t>
        </is>
      </c>
      <c r="I213" s="42" t="inlineStr">
        <is>
          <t>NOT_EVALUATED</t>
        </is>
      </c>
      <c r="J213" s="42" t="inlineStr">
        <is>
          <t>NO_DIRECT_STANDARD_MATRIX_IN_RETRIEVED_SOURCE</t>
        </is>
      </c>
      <c r="K213" s="42" t="str"/>
      <c r="L213" s="42" t="str"/>
      <c r="M213" s="42" t="str"/>
      <c r="N213" s="42" t="str"/>
      <c r="O213" s="42" t="inlineStr">
        <is>
          <t>現行公式資料でこの窓種のSAFE 30mil規格○/×を本Revisionでは直接取得できていない。推測しない。</t>
        </is>
      </c>
    </row>
    <row r="214">
      <c r="A214" s="42" t="inlineStr">
        <is>
          <t>SZ-SL-000213</t>
        </is>
      </c>
      <c r="B214" s="42" t="inlineStr">
        <is>
          <t>WT-SL-SHUTTER-HIKI</t>
        </is>
      </c>
      <c r="C214" s="42" t="inlineStr">
        <is>
          <t>シャッター付引違い窓</t>
        </is>
      </c>
      <c r="D214" s="42" t="inlineStr">
        <is>
          <t>SP-SL-SHUT-E-VENT</t>
        </is>
      </c>
      <c r="E214" s="42" t="inlineStr">
        <is>
          <t>17411</t>
        </is>
      </c>
      <c r="F214" s="42" t="inlineStr">
        <is>
          <t>1780</t>
        </is>
      </c>
      <c r="G214" s="42" t="inlineStr">
        <is>
          <t>1170</t>
        </is>
      </c>
      <c r="H214" s="42" t="inlineStr">
        <is>
          <t>True</t>
        </is>
      </c>
      <c r="I214" s="42" t="inlineStr">
        <is>
          <t>NOT_EVALUATED</t>
        </is>
      </c>
      <c r="J214" s="42" t="inlineStr">
        <is>
          <t>NO_DIRECT_STANDARD_MATRIX_IN_RETRIEVED_SOURCE</t>
        </is>
      </c>
      <c r="K214" s="42" t="str"/>
      <c r="L214" s="42" t="str"/>
      <c r="M214" s="42" t="str"/>
      <c r="N214" s="42" t="str"/>
      <c r="O214" s="42" t="inlineStr">
        <is>
          <t>現行公式資料でこの窓種のSAFE 30mil規格○/×を本Revisionでは直接取得できていない。推測しない。</t>
        </is>
      </c>
    </row>
    <row r="215">
      <c r="A215" s="42" t="inlineStr">
        <is>
          <t>SZ-SL-000214</t>
        </is>
      </c>
      <c r="B215" s="42" t="inlineStr">
        <is>
          <t>WT-SL-SHUTTER-HIKI</t>
        </is>
      </c>
      <c r="C215" s="42" t="inlineStr">
        <is>
          <t>シャッター付引違い窓</t>
        </is>
      </c>
      <c r="D215" s="42" t="inlineStr">
        <is>
          <t>SP-SL-SHUT-E-VENT</t>
        </is>
      </c>
      <c r="E215" s="42" t="inlineStr">
        <is>
          <t>17609</t>
        </is>
      </c>
      <c r="F215" s="42" t="inlineStr">
        <is>
          <t>1800</t>
        </is>
      </c>
      <c r="G215" s="42" t="inlineStr">
        <is>
          <t>970</t>
        </is>
      </c>
      <c r="H215" s="42" t="inlineStr">
        <is>
          <t>True</t>
        </is>
      </c>
      <c r="I215" s="42" t="inlineStr">
        <is>
          <t>NOT_EVALUATED</t>
        </is>
      </c>
      <c r="J215" s="42" t="inlineStr">
        <is>
          <t>NO_DIRECT_STANDARD_MATRIX_IN_RETRIEVED_SOURCE</t>
        </is>
      </c>
      <c r="K215" s="42" t="str"/>
      <c r="L215" s="42" t="str"/>
      <c r="M215" s="42" t="str"/>
      <c r="N215" s="42" t="str"/>
      <c r="O215" s="42" t="inlineStr">
        <is>
          <t>現行公式資料でこの窓種のSAFE 30mil規格○/×を本Revisionでは直接取得できていない。推測しない。</t>
        </is>
      </c>
    </row>
    <row r="216">
      <c r="A216" s="42" t="inlineStr">
        <is>
          <t>SZ-SL-000215</t>
        </is>
      </c>
      <c r="B216" s="42" t="inlineStr">
        <is>
          <t>WT-SL-SHUTTER-HIKI</t>
        </is>
      </c>
      <c r="C216" s="42" t="inlineStr">
        <is>
          <t>シャッター付引違い窓</t>
        </is>
      </c>
      <c r="D216" s="42" t="inlineStr">
        <is>
          <t>SP-SL-SHUT-E-VENT</t>
        </is>
      </c>
      <c r="E216" s="42" t="inlineStr">
        <is>
          <t>17611</t>
        </is>
      </c>
      <c r="F216" s="42" t="inlineStr">
        <is>
          <t>1800</t>
        </is>
      </c>
      <c r="G216" s="42" t="inlineStr">
        <is>
          <t>1170</t>
        </is>
      </c>
      <c r="H216" s="42" t="inlineStr">
        <is>
          <t>True</t>
        </is>
      </c>
      <c r="I216" s="42" t="inlineStr">
        <is>
          <t>NOT_EVALUATED</t>
        </is>
      </c>
      <c r="J216" s="42" t="inlineStr">
        <is>
          <t>NO_DIRECT_STANDARD_MATRIX_IN_RETRIEVED_SOURCE</t>
        </is>
      </c>
      <c r="K216" s="42" t="str"/>
      <c r="L216" s="42" t="str"/>
      <c r="M216" s="42" t="str"/>
      <c r="N216" s="42" t="str"/>
      <c r="O216" s="42" t="inlineStr">
        <is>
          <t>現行公式資料でこの窓種のSAFE 30mil規格○/×を本Revisionでは直接取得できていない。推測しない。</t>
        </is>
      </c>
    </row>
    <row r="217">
      <c r="A217" s="42" t="inlineStr">
        <is>
          <t>SZ-SL-000216</t>
        </is>
      </c>
      <c r="B217" s="42" t="inlineStr">
        <is>
          <t>WT-SL-SHUTTER-HIKI</t>
        </is>
      </c>
      <c r="C217" s="42" t="inlineStr">
        <is>
          <t>シャッター付引違い窓</t>
        </is>
      </c>
      <c r="D217" s="42" t="inlineStr">
        <is>
          <t>SP-SL-SHUT-E-WIND</t>
        </is>
      </c>
      <c r="E217" s="42" t="inlineStr">
        <is>
          <t>15009</t>
        </is>
      </c>
      <c r="F217" s="42" t="inlineStr">
        <is>
          <t>1540</t>
        </is>
      </c>
      <c r="G217" s="42" t="inlineStr">
        <is>
          <t>970</t>
        </is>
      </c>
      <c r="H217" s="42" t="inlineStr">
        <is>
          <t>True</t>
        </is>
      </c>
      <c r="I217" s="42" t="inlineStr">
        <is>
          <t>NOT_EVALUATED</t>
        </is>
      </c>
      <c r="J217" s="42" t="inlineStr">
        <is>
          <t>NO_DIRECT_STANDARD_MATRIX_IN_RETRIEVED_SOURCE</t>
        </is>
      </c>
      <c r="K217" s="42" t="str"/>
      <c r="L217" s="42" t="str"/>
      <c r="M217" s="42" t="str"/>
      <c r="N217" s="42" t="str"/>
      <c r="O217" s="42" t="inlineStr">
        <is>
          <t>現行公式資料でこの窓種のSAFE 30mil規格○/×を本Revisionでは直接取得できていない。推測しない。</t>
        </is>
      </c>
    </row>
    <row r="218">
      <c r="A218" s="42" t="inlineStr">
        <is>
          <t>SZ-SL-000217</t>
        </is>
      </c>
      <c r="B218" s="42" t="inlineStr">
        <is>
          <t>WT-SL-SHUTTER-HIKI</t>
        </is>
      </c>
      <c r="C218" s="42" t="inlineStr">
        <is>
          <t>シャッター付引違い窓</t>
        </is>
      </c>
      <c r="D218" s="42" t="inlineStr">
        <is>
          <t>SP-SL-SHUT-E-WIND</t>
        </is>
      </c>
      <c r="E218" s="42" t="inlineStr">
        <is>
          <t>15011</t>
        </is>
      </c>
      <c r="F218" s="42" t="inlineStr">
        <is>
          <t>1540</t>
        </is>
      </c>
      <c r="G218" s="42" t="inlineStr">
        <is>
          <t>1170</t>
        </is>
      </c>
      <c r="H218" s="42" t="inlineStr">
        <is>
          <t>True</t>
        </is>
      </c>
      <c r="I218" s="42" t="inlineStr">
        <is>
          <t>NOT_EVALUATED</t>
        </is>
      </c>
      <c r="J218" s="42" t="inlineStr">
        <is>
          <t>NO_DIRECT_STANDARD_MATRIX_IN_RETRIEVED_SOURCE</t>
        </is>
      </c>
      <c r="K218" s="42" t="str"/>
      <c r="L218" s="42" t="str"/>
      <c r="M218" s="42" t="str"/>
      <c r="N218" s="42" t="str"/>
      <c r="O218" s="42" t="inlineStr">
        <is>
          <t>現行公式資料でこの窓種のSAFE 30mil規格○/×を本Revisionでは直接取得できていない。推測しない。</t>
        </is>
      </c>
    </row>
    <row r="219">
      <c r="A219" s="42" t="inlineStr">
        <is>
          <t>SZ-SL-000218</t>
        </is>
      </c>
      <c r="B219" s="42" t="inlineStr">
        <is>
          <t>WT-SL-SHUTTER-HIKI</t>
        </is>
      </c>
      <c r="C219" s="42" t="inlineStr">
        <is>
          <t>シャッター付引違い窓</t>
        </is>
      </c>
      <c r="D219" s="42" t="inlineStr">
        <is>
          <t>SP-SL-SHUT-E-WIND</t>
        </is>
      </c>
      <c r="E219" s="42" t="inlineStr">
        <is>
          <t>16009</t>
        </is>
      </c>
      <c r="F219" s="42" t="inlineStr">
        <is>
          <t>1640</t>
        </is>
      </c>
      <c r="G219" s="42" t="inlineStr">
        <is>
          <t>970</t>
        </is>
      </c>
      <c r="H219" s="42" t="inlineStr">
        <is>
          <t>True</t>
        </is>
      </c>
      <c r="I219" s="42" t="inlineStr">
        <is>
          <t>NOT_EVALUATED</t>
        </is>
      </c>
      <c r="J219" s="42" t="inlineStr">
        <is>
          <t>NO_DIRECT_STANDARD_MATRIX_IN_RETRIEVED_SOURCE</t>
        </is>
      </c>
      <c r="K219" s="42" t="str"/>
      <c r="L219" s="42" t="str"/>
      <c r="M219" s="42" t="str"/>
      <c r="N219" s="42" t="str"/>
      <c r="O219" s="42" t="inlineStr">
        <is>
          <t>現行公式資料でこの窓種のSAFE 30mil規格○/×を本Revisionでは直接取得できていない。推測しない。</t>
        </is>
      </c>
    </row>
    <row r="220">
      <c r="A220" s="42" t="inlineStr">
        <is>
          <t>SZ-SL-000219</t>
        </is>
      </c>
      <c r="B220" s="42" t="inlineStr">
        <is>
          <t>WT-SL-SHUTTER-HIKI</t>
        </is>
      </c>
      <c r="C220" s="42" t="inlineStr">
        <is>
          <t>シャッター付引違い窓</t>
        </is>
      </c>
      <c r="D220" s="42" t="inlineStr">
        <is>
          <t>SP-SL-SHUT-E-WIND</t>
        </is>
      </c>
      <c r="E220" s="42" t="inlineStr">
        <is>
          <t>16011</t>
        </is>
      </c>
      <c r="F220" s="42" t="inlineStr">
        <is>
          <t>1640</t>
        </is>
      </c>
      <c r="G220" s="42" t="inlineStr">
        <is>
          <t>1170</t>
        </is>
      </c>
      <c r="H220" s="42" t="inlineStr">
        <is>
          <t>True</t>
        </is>
      </c>
      <c r="I220" s="42" t="inlineStr">
        <is>
          <t>NOT_EVALUATED</t>
        </is>
      </c>
      <c r="J220" s="42" t="inlineStr">
        <is>
          <t>NO_DIRECT_STANDARD_MATRIX_IN_RETRIEVED_SOURCE</t>
        </is>
      </c>
      <c r="K220" s="42" t="str"/>
      <c r="L220" s="42" t="str"/>
      <c r="M220" s="42" t="str"/>
      <c r="N220" s="42" t="str"/>
      <c r="O220" s="42" t="inlineStr">
        <is>
          <t>現行公式資料でこの窓種のSAFE 30mil規格○/×を本Revisionでは直接取得できていない。推測しない。</t>
        </is>
      </c>
    </row>
    <row r="221">
      <c r="A221" s="42" t="inlineStr">
        <is>
          <t>SZ-SL-000220</t>
        </is>
      </c>
      <c r="B221" s="42" t="inlineStr">
        <is>
          <t>WT-SL-SHUTTER-HIKI</t>
        </is>
      </c>
      <c r="C221" s="42" t="inlineStr">
        <is>
          <t>シャッター付引違い窓</t>
        </is>
      </c>
      <c r="D221" s="42" t="inlineStr">
        <is>
          <t>SP-SL-SHUT-E-WIND</t>
        </is>
      </c>
      <c r="E221" s="42" t="inlineStr">
        <is>
          <t>16507</t>
        </is>
      </c>
      <c r="F221" s="42" t="inlineStr">
        <is>
          <t>1690</t>
        </is>
      </c>
      <c r="G221" s="42" t="inlineStr">
        <is>
          <t>770</t>
        </is>
      </c>
      <c r="H221" s="42" t="inlineStr">
        <is>
          <t>True</t>
        </is>
      </c>
      <c r="I221" s="42" t="inlineStr">
        <is>
          <t>NOT_EVALUATED</t>
        </is>
      </c>
      <c r="J221" s="42" t="inlineStr">
        <is>
          <t>NO_DIRECT_STANDARD_MATRIX_IN_RETRIEVED_SOURCE</t>
        </is>
      </c>
      <c r="K221" s="42" t="str"/>
      <c r="L221" s="42" t="str"/>
      <c r="M221" s="42" t="str"/>
      <c r="N221" s="42" t="str"/>
      <c r="O221" s="42" t="inlineStr">
        <is>
          <t>現行公式資料でこの窓種のSAFE 30mil規格○/×を本Revisionでは直接取得できていない。推測しない。</t>
        </is>
      </c>
    </row>
    <row r="222">
      <c r="A222" s="42" t="inlineStr">
        <is>
          <t>SZ-SL-000221</t>
        </is>
      </c>
      <c r="B222" s="42" t="inlineStr">
        <is>
          <t>WT-SL-SHUTTER-HIKI</t>
        </is>
      </c>
      <c r="C222" s="42" t="inlineStr">
        <is>
          <t>シャッター付引違い窓</t>
        </is>
      </c>
      <c r="D222" s="42" t="inlineStr">
        <is>
          <t>SP-SL-SHUT-E-WIND</t>
        </is>
      </c>
      <c r="E222" s="42" t="inlineStr">
        <is>
          <t>16509</t>
        </is>
      </c>
      <c r="F222" s="42" t="inlineStr">
        <is>
          <t>1690</t>
        </is>
      </c>
      <c r="G222" s="42" t="inlineStr">
        <is>
          <t>970</t>
        </is>
      </c>
      <c r="H222" s="42" t="inlineStr">
        <is>
          <t>True</t>
        </is>
      </c>
      <c r="I222" s="42" t="inlineStr">
        <is>
          <t>NOT_EVALUATED</t>
        </is>
      </c>
      <c r="J222" s="42" t="inlineStr">
        <is>
          <t>NO_DIRECT_STANDARD_MATRIX_IN_RETRIEVED_SOURCE</t>
        </is>
      </c>
      <c r="K222" s="42" t="str"/>
      <c r="L222" s="42" t="str"/>
      <c r="M222" s="42" t="str"/>
      <c r="N222" s="42" t="str"/>
      <c r="O222" s="42" t="inlineStr">
        <is>
          <t>現行公式資料でこの窓種のSAFE 30mil規格○/×を本Revisionでは直接取得できていない。推測しない。</t>
        </is>
      </c>
    </row>
    <row r="223">
      <c r="A223" s="42" t="inlineStr">
        <is>
          <t>SZ-SL-000222</t>
        </is>
      </c>
      <c r="B223" s="42" t="inlineStr">
        <is>
          <t>WT-SL-SHUTTER-HIKI</t>
        </is>
      </c>
      <c r="C223" s="42" t="inlineStr">
        <is>
          <t>シャッター付引違い窓</t>
        </is>
      </c>
      <c r="D223" s="42" t="inlineStr">
        <is>
          <t>SP-SL-SHUT-E-WIND</t>
        </is>
      </c>
      <c r="E223" s="42" t="inlineStr">
        <is>
          <t>16511</t>
        </is>
      </c>
      <c r="F223" s="42" t="inlineStr">
        <is>
          <t>1690</t>
        </is>
      </c>
      <c r="G223" s="42" t="inlineStr">
        <is>
          <t>1170</t>
        </is>
      </c>
      <c r="H223" s="42" t="inlineStr">
        <is>
          <t>True</t>
        </is>
      </c>
      <c r="I223" s="42" t="inlineStr">
        <is>
          <t>NOT_EVALUATED</t>
        </is>
      </c>
      <c r="J223" s="42" t="inlineStr">
        <is>
          <t>NO_DIRECT_STANDARD_MATRIX_IN_RETRIEVED_SOURCE</t>
        </is>
      </c>
      <c r="K223" s="42" t="str"/>
      <c r="L223" s="42" t="str"/>
      <c r="M223" s="42" t="str"/>
      <c r="N223" s="42" t="str"/>
      <c r="O223" s="42" t="inlineStr">
        <is>
          <t>現行公式資料でこの窓種のSAFE 30mil規格○/×を本Revisionでは直接取得できていない。推測しない。</t>
        </is>
      </c>
    </row>
    <row r="224">
      <c r="A224" s="42" t="inlineStr">
        <is>
          <t>SZ-SL-000223</t>
        </is>
      </c>
      <c r="B224" s="42" t="inlineStr">
        <is>
          <t>WT-SL-SHUTTER-HIKI</t>
        </is>
      </c>
      <c r="C224" s="42" t="inlineStr">
        <is>
          <t>シャッター付引違い窓</t>
        </is>
      </c>
      <c r="D224" s="42" t="inlineStr">
        <is>
          <t>SP-SL-SHUT-E-WIND</t>
        </is>
      </c>
      <c r="E224" s="42" t="inlineStr">
        <is>
          <t>17409</t>
        </is>
      </c>
      <c r="F224" s="42" t="inlineStr">
        <is>
          <t>1780</t>
        </is>
      </c>
      <c r="G224" s="42" t="inlineStr">
        <is>
          <t>970</t>
        </is>
      </c>
      <c r="H224" s="42" t="inlineStr">
        <is>
          <t>False</t>
        </is>
      </c>
      <c r="I224" s="42" t="inlineStr">
        <is>
          <t>NOT_EVALUATED</t>
        </is>
      </c>
      <c r="J224" s="42" t="inlineStr">
        <is>
          <t>NO_DIRECT_STANDARD_MATRIX_IN_RETRIEVED_SOURCE</t>
        </is>
      </c>
      <c r="K224" s="42" t="str"/>
      <c r="L224" s="42" t="str"/>
      <c r="M224" s="42" t="str"/>
      <c r="N224" s="42" t="str"/>
      <c r="O224" s="42" t="inlineStr">
        <is>
          <t>現行公式資料でこの窓種のSAFE 30mil規格○/×を本Revisionでは直接取得できていない。推測しない。</t>
        </is>
      </c>
    </row>
    <row r="225">
      <c r="A225" s="42" t="inlineStr">
        <is>
          <t>SZ-SL-000224</t>
        </is>
      </c>
      <c r="B225" s="42" t="inlineStr">
        <is>
          <t>WT-SL-SHUTTER-HIKI</t>
        </is>
      </c>
      <c r="C225" s="42" t="inlineStr">
        <is>
          <t>シャッター付引違い窓</t>
        </is>
      </c>
      <c r="D225" s="42" t="inlineStr">
        <is>
          <t>SP-SL-SHUT-E-WIND</t>
        </is>
      </c>
      <c r="E225" s="42" t="inlineStr">
        <is>
          <t>17411</t>
        </is>
      </c>
      <c r="F225" s="42" t="inlineStr">
        <is>
          <t>1780</t>
        </is>
      </c>
      <c r="G225" s="42" t="inlineStr">
        <is>
          <t>1170</t>
        </is>
      </c>
      <c r="H225" s="42" t="inlineStr">
        <is>
          <t>False</t>
        </is>
      </c>
      <c r="I225" s="42" t="inlineStr">
        <is>
          <t>NOT_EVALUATED</t>
        </is>
      </c>
      <c r="J225" s="42" t="inlineStr">
        <is>
          <t>NO_DIRECT_STANDARD_MATRIX_IN_RETRIEVED_SOURCE</t>
        </is>
      </c>
      <c r="K225" s="42" t="str"/>
      <c r="L225" s="42" t="str"/>
      <c r="M225" s="42" t="str"/>
      <c r="N225" s="42" t="str"/>
      <c r="O225" s="42" t="inlineStr">
        <is>
          <t>現行公式資料でこの窓種のSAFE 30mil規格○/×を本Revisionでは直接取得できていない。推測しない。</t>
        </is>
      </c>
    </row>
    <row r="226">
      <c r="A226" s="42" t="inlineStr">
        <is>
          <t>SZ-SL-000225</t>
        </is>
      </c>
      <c r="B226" s="42" t="inlineStr">
        <is>
          <t>WT-SL-SHUTTER-HIKI</t>
        </is>
      </c>
      <c r="C226" s="42" t="inlineStr">
        <is>
          <t>シャッター付引違い窓</t>
        </is>
      </c>
      <c r="D226" s="42" t="inlineStr">
        <is>
          <t>SP-SL-SHUT-E-WIND</t>
        </is>
      </c>
      <c r="E226" s="42" t="inlineStr">
        <is>
          <t>17609</t>
        </is>
      </c>
      <c r="F226" s="42" t="inlineStr">
        <is>
          <t>1800</t>
        </is>
      </c>
      <c r="G226" s="42" t="inlineStr">
        <is>
          <t>970</t>
        </is>
      </c>
      <c r="H226" s="42" t="inlineStr">
        <is>
          <t>False</t>
        </is>
      </c>
      <c r="I226" s="42" t="inlineStr">
        <is>
          <t>NOT_EVALUATED</t>
        </is>
      </c>
      <c r="J226" s="42" t="inlineStr">
        <is>
          <t>NO_DIRECT_STANDARD_MATRIX_IN_RETRIEVED_SOURCE</t>
        </is>
      </c>
      <c r="K226" s="42" t="str"/>
      <c r="L226" s="42" t="str"/>
      <c r="M226" s="42" t="str"/>
      <c r="N226" s="42" t="str"/>
      <c r="O226" s="42" t="inlineStr">
        <is>
          <t>現行公式資料でこの窓種のSAFE 30mil規格○/×を本Revisionでは直接取得できていない。推測しない。</t>
        </is>
      </c>
    </row>
    <row r="227">
      <c r="A227" s="42" t="inlineStr">
        <is>
          <t>SZ-SL-000226</t>
        </is>
      </c>
      <c r="B227" s="42" t="inlineStr">
        <is>
          <t>WT-SL-SHUTTER-HIKI</t>
        </is>
      </c>
      <c r="C227" s="42" t="inlineStr">
        <is>
          <t>シャッター付引違い窓</t>
        </is>
      </c>
      <c r="D227" s="42" t="inlineStr">
        <is>
          <t>SP-SL-SHUT-E-WIND</t>
        </is>
      </c>
      <c r="E227" s="42" t="inlineStr">
        <is>
          <t>17611</t>
        </is>
      </c>
      <c r="F227" s="42" t="inlineStr">
        <is>
          <t>1800</t>
        </is>
      </c>
      <c r="G227" s="42" t="inlineStr">
        <is>
          <t>1170</t>
        </is>
      </c>
      <c r="H227" s="42" t="inlineStr">
        <is>
          <t>False</t>
        </is>
      </c>
      <c r="I227" s="42" t="inlineStr">
        <is>
          <t>NOT_EVALUATED</t>
        </is>
      </c>
      <c r="J227" s="42" t="inlineStr">
        <is>
          <t>NO_DIRECT_STANDARD_MATRIX_IN_RETRIEVED_SOURCE</t>
        </is>
      </c>
      <c r="K227" s="42" t="str"/>
      <c r="L227" s="42" t="str"/>
      <c r="M227" s="42" t="str"/>
      <c r="N227" s="42" t="str"/>
      <c r="O227" s="42" t="inlineStr">
        <is>
          <t>現行公式資料でこの窓種のSAFE 30mil規格○/×を本Revisionでは直接取得できていない。推測しない。</t>
        </is>
      </c>
    </row>
    <row r="228">
      <c r="A228" s="42" t="inlineStr">
        <is>
          <t>SZ-SL-000227</t>
        </is>
      </c>
      <c r="B228" s="42" t="inlineStr">
        <is>
          <t>WT-SL-SHUTTER-HIKI</t>
        </is>
      </c>
      <c r="C228" s="42" t="inlineStr">
        <is>
          <t>シャッター付引違い窓</t>
        </is>
      </c>
      <c r="D228" s="42" t="inlineStr">
        <is>
          <t>SP-SL-SHUT-E-STD</t>
        </is>
      </c>
      <c r="E228" s="42" t="inlineStr">
        <is>
          <t>18009</t>
        </is>
      </c>
      <c r="F228" s="42" t="inlineStr">
        <is>
          <t>1845</t>
        </is>
      </c>
      <c r="G228" s="42" t="inlineStr">
        <is>
          <t>970</t>
        </is>
      </c>
      <c r="H228" s="42" t="inlineStr">
        <is>
          <t>True</t>
        </is>
      </c>
      <c r="I228" s="42" t="inlineStr">
        <is>
          <t>NOT_EVALUATED</t>
        </is>
      </c>
      <c r="J228" s="42" t="inlineStr">
        <is>
          <t>NO_DIRECT_STANDARD_MATRIX_IN_RETRIEVED_SOURCE</t>
        </is>
      </c>
      <c r="K228" s="42" t="str"/>
      <c r="L228" s="42" t="str"/>
      <c r="M228" s="42" t="str"/>
      <c r="N228" s="42" t="str"/>
      <c r="O228" s="42" t="inlineStr">
        <is>
          <t>現行公式資料でこの窓種のSAFE 30mil規格○/×を本Revisionでは直接取得できていない。推測しない。</t>
        </is>
      </c>
    </row>
    <row r="229">
      <c r="A229" s="42" t="inlineStr">
        <is>
          <t>SZ-SL-000228</t>
        </is>
      </c>
      <c r="B229" s="42" t="inlineStr">
        <is>
          <t>WT-SL-SHUTTER-HIKI</t>
        </is>
      </c>
      <c r="C229" s="42" t="inlineStr">
        <is>
          <t>シャッター付引違い窓</t>
        </is>
      </c>
      <c r="D229" s="42" t="inlineStr">
        <is>
          <t>SP-SL-SHUT-E-STD</t>
        </is>
      </c>
      <c r="E229" s="42" t="inlineStr">
        <is>
          <t>18011</t>
        </is>
      </c>
      <c r="F229" s="42" t="inlineStr">
        <is>
          <t>1845</t>
        </is>
      </c>
      <c r="G229" s="42" t="inlineStr">
        <is>
          <t>1170</t>
        </is>
      </c>
      <c r="H229" s="42" t="inlineStr">
        <is>
          <t>True</t>
        </is>
      </c>
      <c r="I229" s="42" t="inlineStr">
        <is>
          <t>NOT_EVALUATED</t>
        </is>
      </c>
      <c r="J229" s="42" t="inlineStr">
        <is>
          <t>NO_DIRECT_STANDARD_MATRIX_IN_RETRIEVED_SOURCE</t>
        </is>
      </c>
      <c r="K229" s="42" t="str"/>
      <c r="L229" s="42" t="str"/>
      <c r="M229" s="42" t="str"/>
      <c r="N229" s="42" t="str"/>
      <c r="O229" s="42" t="inlineStr">
        <is>
          <t>現行公式資料でこの窓種のSAFE 30mil規格○/×を本Revisionでは直接取得できていない。推測しない。</t>
        </is>
      </c>
    </row>
    <row r="230">
      <c r="A230" s="42" t="inlineStr">
        <is>
          <t>SZ-SL-000229</t>
        </is>
      </c>
      <c r="B230" s="42" t="inlineStr">
        <is>
          <t>WT-SL-SHUTTER-HIKI</t>
        </is>
      </c>
      <c r="C230" s="42" t="inlineStr">
        <is>
          <t>シャッター付引違い窓</t>
        </is>
      </c>
      <c r="D230" s="42" t="inlineStr">
        <is>
          <t>SP-SL-SHUT-E-STD</t>
        </is>
      </c>
      <c r="E230" s="42" t="inlineStr">
        <is>
          <t>18609</t>
        </is>
      </c>
      <c r="F230" s="42" t="inlineStr">
        <is>
          <t>1900</t>
        </is>
      </c>
      <c r="G230" s="42" t="inlineStr">
        <is>
          <t>970</t>
        </is>
      </c>
      <c r="H230" s="42" t="inlineStr">
        <is>
          <t>True</t>
        </is>
      </c>
      <c r="I230" s="42" t="inlineStr">
        <is>
          <t>NOT_EVALUATED</t>
        </is>
      </c>
      <c r="J230" s="42" t="inlineStr">
        <is>
          <t>NO_DIRECT_STANDARD_MATRIX_IN_RETRIEVED_SOURCE</t>
        </is>
      </c>
      <c r="K230" s="42" t="str"/>
      <c r="L230" s="42" t="str"/>
      <c r="M230" s="42" t="str"/>
      <c r="N230" s="42" t="str"/>
      <c r="O230" s="42" t="inlineStr">
        <is>
          <t>現行公式資料でこの窓種のSAFE 30mil規格○/×を本Revisionでは直接取得できていない。推測しない。</t>
        </is>
      </c>
    </row>
    <row r="231">
      <c r="A231" s="42" t="inlineStr">
        <is>
          <t>SZ-SL-000230</t>
        </is>
      </c>
      <c r="B231" s="42" t="inlineStr">
        <is>
          <t>WT-SL-SHUTTER-HIKI</t>
        </is>
      </c>
      <c r="C231" s="42" t="inlineStr">
        <is>
          <t>シャッター付引違い窓</t>
        </is>
      </c>
      <c r="D231" s="42" t="inlineStr">
        <is>
          <t>SP-SL-SHUT-E-STD</t>
        </is>
      </c>
      <c r="E231" s="42" t="inlineStr">
        <is>
          <t>18611</t>
        </is>
      </c>
      <c r="F231" s="42" t="inlineStr">
        <is>
          <t>1900</t>
        </is>
      </c>
      <c r="G231" s="42" t="inlineStr">
        <is>
          <t>1170</t>
        </is>
      </c>
      <c r="H231" s="42" t="inlineStr">
        <is>
          <t>True</t>
        </is>
      </c>
      <c r="I231" s="42" t="inlineStr">
        <is>
          <t>NOT_EVALUATED</t>
        </is>
      </c>
      <c r="J231" s="42" t="inlineStr">
        <is>
          <t>NO_DIRECT_STANDARD_MATRIX_IN_RETRIEVED_SOURCE</t>
        </is>
      </c>
      <c r="K231" s="42" t="str"/>
      <c r="L231" s="42" t="str"/>
      <c r="M231" s="42" t="str"/>
      <c r="N231" s="42" t="str"/>
      <c r="O231" s="42" t="inlineStr">
        <is>
          <t>現行公式資料でこの窓種のSAFE 30mil規格○/×を本Revisionでは直接取得できていない。推測しない。</t>
        </is>
      </c>
    </row>
    <row r="232">
      <c r="A232" s="42" t="inlineStr">
        <is>
          <t>SZ-SL-000231</t>
        </is>
      </c>
      <c r="B232" s="42" t="inlineStr">
        <is>
          <t>WT-SL-SHUTTER-HIKI</t>
        </is>
      </c>
      <c r="C232" s="42" t="inlineStr">
        <is>
          <t>シャッター付引違い窓</t>
        </is>
      </c>
      <c r="D232" s="42" t="inlineStr">
        <is>
          <t>SP-SL-SHUT-E-VENT</t>
        </is>
      </c>
      <c r="E232" s="42" t="inlineStr">
        <is>
          <t>18009</t>
        </is>
      </c>
      <c r="F232" s="42" t="inlineStr">
        <is>
          <t>1845</t>
        </is>
      </c>
      <c r="G232" s="42" t="inlineStr">
        <is>
          <t>970</t>
        </is>
      </c>
      <c r="H232" s="42" t="inlineStr">
        <is>
          <t>True</t>
        </is>
      </c>
      <c r="I232" s="42" t="inlineStr">
        <is>
          <t>NOT_EVALUATED</t>
        </is>
      </c>
      <c r="J232" s="42" t="inlineStr">
        <is>
          <t>NO_DIRECT_STANDARD_MATRIX_IN_RETRIEVED_SOURCE</t>
        </is>
      </c>
      <c r="K232" s="42" t="str"/>
      <c r="L232" s="42" t="str"/>
      <c r="M232" s="42" t="str"/>
      <c r="N232" s="42" t="str"/>
      <c r="O232" s="42" t="inlineStr">
        <is>
          <t>現行公式資料でこの窓種のSAFE 30mil規格○/×を本Revisionでは直接取得できていない。推測しない。</t>
        </is>
      </c>
    </row>
    <row r="233">
      <c r="A233" s="42" t="inlineStr">
        <is>
          <t>SZ-SL-000232</t>
        </is>
      </c>
      <c r="B233" s="42" t="inlineStr">
        <is>
          <t>WT-SL-SHUTTER-HIKI</t>
        </is>
      </c>
      <c r="C233" s="42" t="inlineStr">
        <is>
          <t>シャッター付引違い窓</t>
        </is>
      </c>
      <c r="D233" s="42" t="inlineStr">
        <is>
          <t>SP-SL-SHUT-E-VENT</t>
        </is>
      </c>
      <c r="E233" s="42" t="inlineStr">
        <is>
          <t>18011</t>
        </is>
      </c>
      <c r="F233" s="42" t="inlineStr">
        <is>
          <t>1845</t>
        </is>
      </c>
      <c r="G233" s="42" t="inlineStr">
        <is>
          <t>1170</t>
        </is>
      </c>
      <c r="H233" s="42" t="inlineStr">
        <is>
          <t>True</t>
        </is>
      </c>
      <c r="I233" s="42" t="inlineStr">
        <is>
          <t>NOT_EVALUATED</t>
        </is>
      </c>
      <c r="J233" s="42" t="inlineStr">
        <is>
          <t>NO_DIRECT_STANDARD_MATRIX_IN_RETRIEVED_SOURCE</t>
        </is>
      </c>
      <c r="K233" s="42" t="str"/>
      <c r="L233" s="42" t="str"/>
      <c r="M233" s="42" t="str"/>
      <c r="N233" s="42" t="str"/>
      <c r="O233" s="42" t="inlineStr">
        <is>
          <t>現行公式資料でこの窓種のSAFE 30mil規格○/×を本Revisionでは直接取得できていない。推測しない。</t>
        </is>
      </c>
    </row>
    <row r="234">
      <c r="A234" s="42" t="inlineStr">
        <is>
          <t>SZ-SL-000233</t>
        </is>
      </c>
      <c r="B234" s="42" t="inlineStr">
        <is>
          <t>WT-SL-SHUTTER-HIKI</t>
        </is>
      </c>
      <c r="C234" s="42" t="inlineStr">
        <is>
          <t>シャッター付引違い窓</t>
        </is>
      </c>
      <c r="D234" s="42" t="inlineStr">
        <is>
          <t>SP-SL-SHUT-E-VENT</t>
        </is>
      </c>
      <c r="E234" s="42" t="inlineStr">
        <is>
          <t>18609</t>
        </is>
      </c>
      <c r="F234" s="42" t="inlineStr">
        <is>
          <t>1900</t>
        </is>
      </c>
      <c r="G234" s="42" t="inlineStr">
        <is>
          <t>970</t>
        </is>
      </c>
      <c r="H234" s="42" t="inlineStr">
        <is>
          <t>True</t>
        </is>
      </c>
      <c r="I234" s="42" t="inlineStr">
        <is>
          <t>NOT_EVALUATED</t>
        </is>
      </c>
      <c r="J234" s="42" t="inlineStr">
        <is>
          <t>NO_DIRECT_STANDARD_MATRIX_IN_RETRIEVED_SOURCE</t>
        </is>
      </c>
      <c r="K234" s="42" t="str"/>
      <c r="L234" s="42" t="str"/>
      <c r="M234" s="42" t="str"/>
      <c r="N234" s="42" t="str"/>
      <c r="O234" s="42" t="inlineStr">
        <is>
          <t>現行公式資料でこの窓種のSAFE 30mil規格○/×を本Revisionでは直接取得できていない。推測しない。</t>
        </is>
      </c>
    </row>
    <row r="235">
      <c r="A235" s="42" t="inlineStr">
        <is>
          <t>SZ-SL-000234</t>
        </is>
      </c>
      <c r="B235" s="42" t="inlineStr">
        <is>
          <t>WT-SL-SHUTTER-HIKI</t>
        </is>
      </c>
      <c r="C235" s="42" t="inlineStr">
        <is>
          <t>シャッター付引違い窓</t>
        </is>
      </c>
      <c r="D235" s="42" t="inlineStr">
        <is>
          <t>SP-SL-SHUT-E-VENT</t>
        </is>
      </c>
      <c r="E235" s="42" t="inlineStr">
        <is>
          <t>18611</t>
        </is>
      </c>
      <c r="F235" s="42" t="inlineStr">
        <is>
          <t>1900</t>
        </is>
      </c>
      <c r="G235" s="42" t="inlineStr">
        <is>
          <t>1170</t>
        </is>
      </c>
      <c r="H235" s="42" t="inlineStr">
        <is>
          <t>True</t>
        </is>
      </c>
      <c r="I235" s="42" t="inlineStr">
        <is>
          <t>NOT_EVALUATED</t>
        </is>
      </c>
      <c r="J235" s="42" t="inlineStr">
        <is>
          <t>NO_DIRECT_STANDARD_MATRIX_IN_RETRIEVED_SOURCE</t>
        </is>
      </c>
      <c r="K235" s="42" t="str"/>
      <c r="L235" s="42" t="str"/>
      <c r="M235" s="42" t="str"/>
      <c r="N235" s="42" t="str"/>
      <c r="O235" s="42" t="inlineStr">
        <is>
          <t>現行公式資料でこの窓種のSAFE 30mil規格○/×を本Revisionでは直接取得できていない。推測しない。</t>
        </is>
      </c>
    </row>
    <row r="236">
      <c r="A236" s="42" t="inlineStr">
        <is>
          <t>SZ-SL-000235</t>
        </is>
      </c>
      <c r="B236" s="42" t="inlineStr">
        <is>
          <t>WT-SL-SHUTTER-HIKI</t>
        </is>
      </c>
      <c r="C236" s="42" t="inlineStr">
        <is>
          <t>シャッター付引違い窓</t>
        </is>
      </c>
      <c r="D236" s="42" t="inlineStr">
        <is>
          <t>SP-SL-SHUT-E-WIND</t>
        </is>
      </c>
      <c r="E236" s="42" t="inlineStr">
        <is>
          <t>18009</t>
        </is>
      </c>
      <c r="F236" s="42" t="inlineStr">
        <is>
          <t>1845</t>
        </is>
      </c>
      <c r="G236" s="42" t="inlineStr">
        <is>
          <t>970</t>
        </is>
      </c>
      <c r="H236" s="42" t="inlineStr">
        <is>
          <t>False</t>
        </is>
      </c>
      <c r="I236" s="42" t="inlineStr">
        <is>
          <t>NOT_EVALUATED</t>
        </is>
      </c>
      <c r="J236" s="42" t="inlineStr">
        <is>
          <t>NO_DIRECT_STANDARD_MATRIX_IN_RETRIEVED_SOURCE</t>
        </is>
      </c>
      <c r="K236" s="42" t="str"/>
      <c r="L236" s="42" t="str"/>
      <c r="M236" s="42" t="str"/>
      <c r="N236" s="42" t="str"/>
      <c r="O236" s="42" t="inlineStr">
        <is>
          <t>現行公式資料でこの窓種のSAFE 30mil規格○/×を本Revisionでは直接取得できていない。推測しない。</t>
        </is>
      </c>
    </row>
    <row r="237">
      <c r="A237" s="42" t="inlineStr">
        <is>
          <t>SZ-SL-000236</t>
        </is>
      </c>
      <c r="B237" s="42" t="inlineStr">
        <is>
          <t>WT-SL-SHUTTER-HIKI</t>
        </is>
      </c>
      <c r="C237" s="42" t="inlineStr">
        <is>
          <t>シャッター付引違い窓</t>
        </is>
      </c>
      <c r="D237" s="42" t="inlineStr">
        <is>
          <t>SP-SL-SHUT-E-WIND</t>
        </is>
      </c>
      <c r="E237" s="42" t="inlineStr">
        <is>
          <t>18011</t>
        </is>
      </c>
      <c r="F237" s="42" t="inlineStr">
        <is>
          <t>1845</t>
        </is>
      </c>
      <c r="G237" s="42" t="inlineStr">
        <is>
          <t>1170</t>
        </is>
      </c>
      <c r="H237" s="42" t="inlineStr">
        <is>
          <t>False</t>
        </is>
      </c>
      <c r="I237" s="42" t="inlineStr">
        <is>
          <t>NOT_EVALUATED</t>
        </is>
      </c>
      <c r="J237" s="42" t="inlineStr">
        <is>
          <t>NO_DIRECT_STANDARD_MATRIX_IN_RETRIEVED_SOURCE</t>
        </is>
      </c>
      <c r="K237" s="42" t="str"/>
      <c r="L237" s="42" t="str"/>
      <c r="M237" s="42" t="str"/>
      <c r="N237" s="42" t="str"/>
      <c r="O237" s="42" t="inlineStr">
        <is>
          <t>現行公式資料でこの窓種のSAFE 30mil規格○/×を本Revisionでは直接取得できていない。推測しない。</t>
        </is>
      </c>
    </row>
    <row r="238">
      <c r="A238" s="42" t="inlineStr">
        <is>
          <t>SZ-SL-000237</t>
        </is>
      </c>
      <c r="B238" s="42" t="inlineStr">
        <is>
          <t>WT-SL-SHUTTER-HIKI</t>
        </is>
      </c>
      <c r="C238" s="42" t="inlineStr">
        <is>
          <t>シャッター付引違い窓</t>
        </is>
      </c>
      <c r="D238" s="42" t="inlineStr">
        <is>
          <t>SP-SL-SHUT-E-WIND</t>
        </is>
      </c>
      <c r="E238" s="42" t="inlineStr">
        <is>
          <t>18609</t>
        </is>
      </c>
      <c r="F238" s="42" t="inlineStr">
        <is>
          <t>1900</t>
        </is>
      </c>
      <c r="G238" s="42" t="inlineStr">
        <is>
          <t>970</t>
        </is>
      </c>
      <c r="H238" s="42" t="inlineStr">
        <is>
          <t>False</t>
        </is>
      </c>
      <c r="I238" s="42" t="inlineStr">
        <is>
          <t>NOT_EVALUATED</t>
        </is>
      </c>
      <c r="J238" s="42" t="inlineStr">
        <is>
          <t>NO_DIRECT_STANDARD_MATRIX_IN_RETRIEVED_SOURCE</t>
        </is>
      </c>
      <c r="K238" s="42" t="str"/>
      <c r="L238" s="42" t="str"/>
      <c r="M238" s="42" t="str"/>
      <c r="N238" s="42" t="str"/>
      <c r="O238" s="42" t="inlineStr">
        <is>
          <t>現行公式資料でこの窓種のSAFE 30mil規格○/×を本Revisionでは直接取得できていない。推測しない。</t>
        </is>
      </c>
    </row>
    <row r="239">
      <c r="A239" s="42" t="inlineStr">
        <is>
          <t>SZ-SL-000238</t>
        </is>
      </c>
      <c r="B239" s="42" t="inlineStr">
        <is>
          <t>WT-SL-SHUTTER-HIKI</t>
        </is>
      </c>
      <c r="C239" s="42" t="inlineStr">
        <is>
          <t>シャッター付引違い窓</t>
        </is>
      </c>
      <c r="D239" s="42" t="inlineStr">
        <is>
          <t>SP-SL-SHUT-E-WIND</t>
        </is>
      </c>
      <c r="E239" s="42" t="inlineStr">
        <is>
          <t>18611</t>
        </is>
      </c>
      <c r="F239" s="42" t="inlineStr">
        <is>
          <t>1900</t>
        </is>
      </c>
      <c r="G239" s="42" t="inlineStr">
        <is>
          <t>1170</t>
        </is>
      </c>
      <c r="H239" s="42" t="inlineStr">
        <is>
          <t>False</t>
        </is>
      </c>
      <c r="I239" s="42" t="inlineStr">
        <is>
          <t>NOT_EVALUATED</t>
        </is>
      </c>
      <c r="J239" s="42" t="inlineStr">
        <is>
          <t>NO_DIRECT_STANDARD_MATRIX_IN_RETRIEVED_SOURCE</t>
        </is>
      </c>
      <c r="K239" s="42" t="str"/>
      <c r="L239" s="42" t="str"/>
      <c r="M239" s="42" t="str"/>
      <c r="N239" s="42" t="str"/>
      <c r="O239" s="42" t="inlineStr">
        <is>
          <t>現行公式資料でこの窓種のSAFE 30mil規格○/×を本Revisionでは直接取得できていない。推測しない。</t>
        </is>
      </c>
    </row>
    <row r="240">
      <c r="A240" s="42" t="inlineStr">
        <is>
          <t>SZ-SL-000239</t>
        </is>
      </c>
      <c r="B240" s="42" t="inlineStr">
        <is>
          <t>WT-SL-SHUTTER-HIKI</t>
        </is>
      </c>
      <c r="C240" s="42" t="inlineStr">
        <is>
          <t>シャッター付引違い窓</t>
        </is>
      </c>
      <c r="D240" s="42" t="inlineStr">
        <is>
          <t>SP-SL-SHUT-E-STD</t>
        </is>
      </c>
      <c r="E240" s="42" t="inlineStr">
        <is>
          <t>25111-2</t>
        </is>
      </c>
      <c r="F240" s="42" t="inlineStr">
        <is>
          <t>2550</t>
        </is>
      </c>
      <c r="G240" s="42" t="inlineStr">
        <is>
          <t>1170</t>
        </is>
      </c>
      <c r="H240" s="42" t="inlineStr">
        <is>
          <t>True</t>
        </is>
      </c>
      <c r="I240" s="42" t="inlineStr">
        <is>
          <t>NOT_EVALUATED</t>
        </is>
      </c>
      <c r="J240" s="42" t="inlineStr">
        <is>
          <t>NO_DIRECT_STANDARD_MATRIX_IN_RETRIEVED_SOURCE</t>
        </is>
      </c>
      <c r="K240" s="42" t="str"/>
      <c r="L240" s="42" t="str"/>
      <c r="M240" s="42" t="str"/>
      <c r="N240" s="42" t="str"/>
      <c r="O240" s="42" t="inlineStr">
        <is>
          <t>現行公式資料でこの窓種のSAFE 30mil規格○/×を本Revisionでは直接取得できていない。推測しない。</t>
        </is>
      </c>
    </row>
    <row r="241">
      <c r="A241" s="42" t="inlineStr">
        <is>
          <t>SZ-SL-000240</t>
        </is>
      </c>
      <c r="B241" s="42" t="inlineStr">
        <is>
          <t>WT-SL-SHUTTER-HIKI</t>
        </is>
      </c>
      <c r="C241" s="42" t="inlineStr">
        <is>
          <t>シャッター付引違い窓</t>
        </is>
      </c>
      <c r="D241" s="42" t="inlineStr">
        <is>
          <t>SP-SL-SHUT-E-STD</t>
        </is>
      </c>
      <c r="E241" s="42" t="inlineStr">
        <is>
          <t>25111-4</t>
        </is>
      </c>
      <c r="F241" s="42" t="inlineStr">
        <is>
          <t>2550</t>
        </is>
      </c>
      <c r="G241" s="42" t="inlineStr">
        <is>
          <t>1170</t>
        </is>
      </c>
      <c r="H241" s="42" t="inlineStr">
        <is>
          <t>True</t>
        </is>
      </c>
      <c r="I241" s="42" t="inlineStr">
        <is>
          <t>NOT_EVALUATED</t>
        </is>
      </c>
      <c r="J241" s="42" t="inlineStr">
        <is>
          <t>NO_DIRECT_STANDARD_MATRIX_IN_RETRIEVED_SOURCE</t>
        </is>
      </c>
      <c r="K241" s="42" t="str"/>
      <c r="L241" s="42" t="str"/>
      <c r="M241" s="42" t="str"/>
      <c r="N241" s="42" t="str"/>
      <c r="O241" s="42" t="inlineStr">
        <is>
          <t>現行公式資料でこの窓種のSAFE 30mil規格○/×を本Revisionでは直接取得できていない。推測しない。</t>
        </is>
      </c>
    </row>
    <row r="242">
      <c r="A242" s="42" t="inlineStr">
        <is>
          <t>SZ-SL-000241</t>
        </is>
      </c>
      <c r="B242" s="42" t="inlineStr">
        <is>
          <t>WT-SL-SHUTTER-HIKI</t>
        </is>
      </c>
      <c r="C242" s="42" t="inlineStr">
        <is>
          <t>シャッター付引違い窓</t>
        </is>
      </c>
      <c r="D242" s="42" t="inlineStr">
        <is>
          <t>SP-SL-SHUT-E-STD</t>
        </is>
      </c>
      <c r="E242" s="42" t="inlineStr">
        <is>
          <t>25611-2</t>
        </is>
      </c>
      <c r="F242" s="42" t="inlineStr">
        <is>
          <t>2600</t>
        </is>
      </c>
      <c r="G242" s="42" t="inlineStr">
        <is>
          <t>1170</t>
        </is>
      </c>
      <c r="H242" s="42" t="inlineStr">
        <is>
          <t>True</t>
        </is>
      </c>
      <c r="I242" s="42" t="inlineStr">
        <is>
          <t>NOT_EVALUATED</t>
        </is>
      </c>
      <c r="J242" s="42" t="inlineStr">
        <is>
          <t>NO_DIRECT_STANDARD_MATRIX_IN_RETRIEVED_SOURCE</t>
        </is>
      </c>
      <c r="K242" s="42" t="str"/>
      <c r="L242" s="42" t="str"/>
      <c r="M242" s="42" t="str"/>
      <c r="N242" s="42" t="str"/>
      <c r="O242" s="42" t="inlineStr">
        <is>
          <t>現行公式資料でこの窓種のSAFE 30mil規格○/×を本Revisionでは直接取得できていない。推測しない。</t>
        </is>
      </c>
    </row>
    <row r="243">
      <c r="A243" s="42" t="inlineStr">
        <is>
          <t>SZ-SL-000242</t>
        </is>
      </c>
      <c r="B243" s="42" t="inlineStr">
        <is>
          <t>WT-SL-SHUTTER-HIKI</t>
        </is>
      </c>
      <c r="C243" s="42" t="inlineStr">
        <is>
          <t>シャッター付引違い窓</t>
        </is>
      </c>
      <c r="D243" s="42" t="inlineStr">
        <is>
          <t>SP-SL-SHUT-E-STD</t>
        </is>
      </c>
      <c r="E243" s="42" t="inlineStr">
        <is>
          <t>25611-4</t>
        </is>
      </c>
      <c r="F243" s="42" t="inlineStr">
        <is>
          <t>2600</t>
        </is>
      </c>
      <c r="G243" s="42" t="inlineStr">
        <is>
          <t>1170</t>
        </is>
      </c>
      <c r="H243" s="42" t="inlineStr">
        <is>
          <t>True</t>
        </is>
      </c>
      <c r="I243" s="42" t="inlineStr">
        <is>
          <t>NOT_EVALUATED</t>
        </is>
      </c>
      <c r="J243" s="42" t="inlineStr">
        <is>
          <t>NO_DIRECT_STANDARD_MATRIX_IN_RETRIEVED_SOURCE</t>
        </is>
      </c>
      <c r="K243" s="42" t="str"/>
      <c r="L243" s="42" t="str"/>
      <c r="M243" s="42" t="str"/>
      <c r="N243" s="42" t="str"/>
      <c r="O243" s="42" t="inlineStr">
        <is>
          <t>現行公式資料でこの窓種のSAFE 30mil規格○/×を本Revisionでは直接取得できていない。推測しない。</t>
        </is>
      </c>
    </row>
    <row r="244">
      <c r="A244" s="42" t="inlineStr">
        <is>
          <t>SZ-SL-000243</t>
        </is>
      </c>
      <c r="B244" s="42" t="inlineStr">
        <is>
          <t>WT-SL-SHUTTER-HIKI</t>
        </is>
      </c>
      <c r="C244" s="42" t="inlineStr">
        <is>
          <t>シャッター付引違い窓</t>
        </is>
      </c>
      <c r="D244" s="42" t="inlineStr">
        <is>
          <t>SP-SL-SHUT-E-VENT</t>
        </is>
      </c>
      <c r="E244" s="42" t="inlineStr">
        <is>
          <t>25111-2</t>
        </is>
      </c>
      <c r="F244" s="42" t="inlineStr">
        <is>
          <t>2550</t>
        </is>
      </c>
      <c r="G244" s="42" t="inlineStr">
        <is>
          <t>1170</t>
        </is>
      </c>
      <c r="H244" s="42" t="inlineStr">
        <is>
          <t>True</t>
        </is>
      </c>
      <c r="I244" s="42" t="inlineStr">
        <is>
          <t>NOT_EVALUATED</t>
        </is>
      </c>
      <c r="J244" s="42" t="inlineStr">
        <is>
          <t>NO_DIRECT_STANDARD_MATRIX_IN_RETRIEVED_SOURCE</t>
        </is>
      </c>
      <c r="K244" s="42" t="str"/>
      <c r="L244" s="42" t="str"/>
      <c r="M244" s="42" t="str"/>
      <c r="N244" s="42" t="str"/>
      <c r="O244" s="42" t="inlineStr">
        <is>
          <t>現行公式資料でこの窓種のSAFE 30mil規格○/×を本Revisionでは直接取得できていない。推測しない。</t>
        </is>
      </c>
    </row>
    <row r="245">
      <c r="A245" s="42" t="inlineStr">
        <is>
          <t>SZ-SL-000244</t>
        </is>
      </c>
      <c r="B245" s="42" t="inlineStr">
        <is>
          <t>WT-SL-SHUTTER-HIKI</t>
        </is>
      </c>
      <c r="C245" s="42" t="inlineStr">
        <is>
          <t>シャッター付引違い窓</t>
        </is>
      </c>
      <c r="D245" s="42" t="inlineStr">
        <is>
          <t>SP-SL-SHUT-E-VENT</t>
        </is>
      </c>
      <c r="E245" s="42" t="inlineStr">
        <is>
          <t>25111-4</t>
        </is>
      </c>
      <c r="F245" s="42" t="inlineStr">
        <is>
          <t>2550</t>
        </is>
      </c>
      <c r="G245" s="42" t="inlineStr">
        <is>
          <t>1170</t>
        </is>
      </c>
      <c r="H245" s="42" t="inlineStr">
        <is>
          <t>True</t>
        </is>
      </c>
      <c r="I245" s="42" t="inlineStr">
        <is>
          <t>NOT_EVALUATED</t>
        </is>
      </c>
      <c r="J245" s="42" t="inlineStr">
        <is>
          <t>NO_DIRECT_STANDARD_MATRIX_IN_RETRIEVED_SOURCE</t>
        </is>
      </c>
      <c r="K245" s="42" t="str"/>
      <c r="L245" s="42" t="str"/>
      <c r="M245" s="42" t="str"/>
      <c r="N245" s="42" t="str"/>
      <c r="O245" s="42" t="inlineStr">
        <is>
          <t>現行公式資料でこの窓種のSAFE 30mil規格○/×を本Revisionでは直接取得できていない。推測しない。</t>
        </is>
      </c>
    </row>
    <row r="246">
      <c r="A246" s="42" t="inlineStr">
        <is>
          <t>SZ-SL-000245</t>
        </is>
      </c>
      <c r="B246" s="42" t="inlineStr">
        <is>
          <t>WT-SL-SHUTTER-HIKI</t>
        </is>
      </c>
      <c r="C246" s="42" t="inlineStr">
        <is>
          <t>シャッター付引違い窓</t>
        </is>
      </c>
      <c r="D246" s="42" t="inlineStr">
        <is>
          <t>SP-SL-SHUT-E-VENT</t>
        </is>
      </c>
      <c r="E246" s="42" t="inlineStr">
        <is>
          <t>25611-2</t>
        </is>
      </c>
      <c r="F246" s="42" t="inlineStr">
        <is>
          <t>2600</t>
        </is>
      </c>
      <c r="G246" s="42" t="inlineStr">
        <is>
          <t>1170</t>
        </is>
      </c>
      <c r="H246" s="42" t="inlineStr">
        <is>
          <t>True</t>
        </is>
      </c>
      <c r="I246" s="42" t="inlineStr">
        <is>
          <t>NOT_EVALUATED</t>
        </is>
      </c>
      <c r="J246" s="42" t="inlineStr">
        <is>
          <t>NO_DIRECT_STANDARD_MATRIX_IN_RETRIEVED_SOURCE</t>
        </is>
      </c>
      <c r="K246" s="42" t="str"/>
      <c r="L246" s="42" t="str"/>
      <c r="M246" s="42" t="str"/>
      <c r="N246" s="42" t="str"/>
      <c r="O246" s="42" t="inlineStr">
        <is>
          <t>現行公式資料でこの窓種のSAFE 30mil規格○/×を本Revisionでは直接取得できていない。推測しない。</t>
        </is>
      </c>
    </row>
    <row r="247">
      <c r="A247" s="42" t="inlineStr">
        <is>
          <t>SZ-SL-000246</t>
        </is>
      </c>
      <c r="B247" s="42" t="inlineStr">
        <is>
          <t>WT-SL-SHUTTER-HIKI</t>
        </is>
      </c>
      <c r="C247" s="42" t="inlineStr">
        <is>
          <t>シャッター付引違い窓</t>
        </is>
      </c>
      <c r="D247" s="42" t="inlineStr">
        <is>
          <t>SP-SL-SHUT-E-VENT</t>
        </is>
      </c>
      <c r="E247" s="42" t="inlineStr">
        <is>
          <t>25611-4</t>
        </is>
      </c>
      <c r="F247" s="42" t="inlineStr">
        <is>
          <t>2600</t>
        </is>
      </c>
      <c r="G247" s="42" t="inlineStr">
        <is>
          <t>1170</t>
        </is>
      </c>
      <c r="H247" s="42" t="inlineStr">
        <is>
          <t>True</t>
        </is>
      </c>
      <c r="I247" s="42" t="inlineStr">
        <is>
          <t>NOT_EVALUATED</t>
        </is>
      </c>
      <c r="J247" s="42" t="inlineStr">
        <is>
          <t>NO_DIRECT_STANDARD_MATRIX_IN_RETRIEVED_SOURCE</t>
        </is>
      </c>
      <c r="K247" s="42" t="str"/>
      <c r="L247" s="42" t="str"/>
      <c r="M247" s="42" t="str"/>
      <c r="N247" s="42" t="str"/>
      <c r="O247" s="42" t="inlineStr">
        <is>
          <t>現行公式資料でこの窓種のSAFE 30mil規格○/×を本Revisionでは直接取得できていない。推測しない。</t>
        </is>
      </c>
    </row>
    <row r="248">
      <c r="A248" s="42" t="inlineStr">
        <is>
          <t>SZ-SL-000247</t>
        </is>
      </c>
      <c r="B248" s="42" t="inlineStr">
        <is>
          <t>WT-SL-SHUTTER-HIKI</t>
        </is>
      </c>
      <c r="C248" s="42" t="inlineStr">
        <is>
          <t>シャッター付引違い窓</t>
        </is>
      </c>
      <c r="D248" s="42" t="inlineStr">
        <is>
          <t>SP-SL-SHUT-E-WIND</t>
        </is>
      </c>
      <c r="E248" s="42" t="inlineStr">
        <is>
          <t>25111-2</t>
        </is>
      </c>
      <c r="F248" s="42" t="inlineStr">
        <is>
          <t>2550</t>
        </is>
      </c>
      <c r="G248" s="42" t="inlineStr">
        <is>
          <t>1170</t>
        </is>
      </c>
      <c r="H248" s="42" t="inlineStr">
        <is>
          <t>True</t>
        </is>
      </c>
      <c r="I248" s="42" t="inlineStr">
        <is>
          <t>NOT_EVALUATED</t>
        </is>
      </c>
      <c r="J248" s="42" t="inlineStr">
        <is>
          <t>NO_DIRECT_STANDARD_MATRIX_IN_RETRIEVED_SOURCE</t>
        </is>
      </c>
      <c r="K248" s="42" t="str"/>
      <c r="L248" s="42" t="str"/>
      <c r="M248" s="42" t="str"/>
      <c r="N248" s="42" t="str"/>
      <c r="O248" s="42" t="inlineStr">
        <is>
          <t>現行公式資料でこの窓種のSAFE 30mil規格○/×を本Revisionでは直接取得できていない。推測しない。</t>
        </is>
      </c>
    </row>
    <row r="249">
      <c r="A249" s="42" t="inlineStr">
        <is>
          <t>SZ-SL-000248</t>
        </is>
      </c>
      <c r="B249" s="42" t="inlineStr">
        <is>
          <t>WT-SL-SHUTTER-HIKI</t>
        </is>
      </c>
      <c r="C249" s="42" t="inlineStr">
        <is>
          <t>シャッター付引違い窓</t>
        </is>
      </c>
      <c r="D249" s="42" t="inlineStr">
        <is>
          <t>SP-SL-SHUT-E-WIND</t>
        </is>
      </c>
      <c r="E249" s="42" t="inlineStr">
        <is>
          <t>25111-4</t>
        </is>
      </c>
      <c r="F249" s="42" t="inlineStr">
        <is>
          <t>2550</t>
        </is>
      </c>
      <c r="G249" s="42" t="inlineStr">
        <is>
          <t>1170</t>
        </is>
      </c>
      <c r="H249" s="42" t="inlineStr">
        <is>
          <t>True</t>
        </is>
      </c>
      <c r="I249" s="42" t="inlineStr">
        <is>
          <t>NOT_EVALUATED</t>
        </is>
      </c>
      <c r="J249" s="42" t="inlineStr">
        <is>
          <t>NO_DIRECT_STANDARD_MATRIX_IN_RETRIEVED_SOURCE</t>
        </is>
      </c>
      <c r="K249" s="42" t="str"/>
      <c r="L249" s="42" t="str"/>
      <c r="M249" s="42" t="str"/>
      <c r="N249" s="42" t="str"/>
      <c r="O249" s="42" t="inlineStr">
        <is>
          <t>現行公式資料でこの窓種のSAFE 30mil規格○/×を本Revisionでは直接取得できていない。推測しない。</t>
        </is>
      </c>
    </row>
    <row r="250">
      <c r="A250" s="42" t="inlineStr">
        <is>
          <t>SZ-SL-000249</t>
        </is>
      </c>
      <c r="B250" s="42" t="inlineStr">
        <is>
          <t>WT-SL-SHUTTER-HIKI</t>
        </is>
      </c>
      <c r="C250" s="42" t="inlineStr">
        <is>
          <t>シャッター付引違い窓</t>
        </is>
      </c>
      <c r="D250" s="42" t="inlineStr">
        <is>
          <t>SP-SL-SHUT-E-WIND</t>
        </is>
      </c>
      <c r="E250" s="42" t="inlineStr">
        <is>
          <t>25611-2</t>
        </is>
      </c>
      <c r="F250" s="42" t="inlineStr">
        <is>
          <t>2600</t>
        </is>
      </c>
      <c r="G250" s="42" t="inlineStr">
        <is>
          <t>1170</t>
        </is>
      </c>
      <c r="H250" s="42" t="inlineStr">
        <is>
          <t>True</t>
        </is>
      </c>
      <c r="I250" s="42" t="inlineStr">
        <is>
          <t>NOT_EVALUATED</t>
        </is>
      </c>
      <c r="J250" s="42" t="inlineStr">
        <is>
          <t>NO_DIRECT_STANDARD_MATRIX_IN_RETRIEVED_SOURCE</t>
        </is>
      </c>
      <c r="K250" s="42" t="str"/>
      <c r="L250" s="42" t="str"/>
      <c r="M250" s="42" t="str"/>
      <c r="N250" s="42" t="str"/>
      <c r="O250" s="42" t="inlineStr">
        <is>
          <t>現行公式資料でこの窓種のSAFE 30mil規格○/×を本Revisionでは直接取得できていない。推測しない。</t>
        </is>
      </c>
    </row>
    <row r="251">
      <c r="A251" s="42" t="inlineStr">
        <is>
          <t>SZ-SL-000250</t>
        </is>
      </c>
      <c r="B251" s="42" t="inlineStr">
        <is>
          <t>WT-SL-SHUTTER-HIKI</t>
        </is>
      </c>
      <c r="C251" s="42" t="inlineStr">
        <is>
          <t>シャッター付引違い窓</t>
        </is>
      </c>
      <c r="D251" s="42" t="inlineStr">
        <is>
          <t>SP-SL-SHUT-E-WIND</t>
        </is>
      </c>
      <c r="E251" s="42" t="inlineStr">
        <is>
          <t>25611-4</t>
        </is>
      </c>
      <c r="F251" s="42" t="inlineStr">
        <is>
          <t>2600</t>
        </is>
      </c>
      <c r="G251" s="42" t="inlineStr">
        <is>
          <t>1170</t>
        </is>
      </c>
      <c r="H251" s="42" t="inlineStr">
        <is>
          <t>True</t>
        </is>
      </c>
      <c r="I251" s="42" t="inlineStr">
        <is>
          <t>NOT_EVALUATED</t>
        </is>
      </c>
      <c r="J251" s="42" t="inlineStr">
        <is>
          <t>NO_DIRECT_STANDARD_MATRIX_IN_RETRIEVED_SOURCE</t>
        </is>
      </c>
      <c r="K251" s="42" t="str"/>
      <c r="L251" s="42" t="str"/>
      <c r="M251" s="42" t="str"/>
      <c r="N251" s="42" t="str"/>
      <c r="O251" s="42" t="inlineStr">
        <is>
          <t>現行公式資料でこの窓種のSAFE 30mil規格○/×を本Revisionでは直接取得できていない。推測しない。</t>
        </is>
      </c>
    </row>
    <row r="252">
      <c r="A252" s="42" t="inlineStr">
        <is>
          <t>SZ-SL-000251</t>
        </is>
      </c>
      <c r="B252" s="42" t="inlineStr">
        <is>
          <t>WT-SL-SHUTTER-HIKI</t>
        </is>
      </c>
      <c r="C252" s="42" t="inlineStr">
        <is>
          <t>シャッター付引違い窓</t>
        </is>
      </c>
      <c r="D252" s="42" t="inlineStr">
        <is>
          <t>SP-SL-SHUT-E-STD</t>
        </is>
      </c>
      <c r="E252" s="42" t="inlineStr">
        <is>
          <t>11413</t>
        </is>
      </c>
      <c r="F252" s="42" t="inlineStr">
        <is>
          <t>1185</t>
        </is>
      </c>
      <c r="G252" s="42" t="inlineStr">
        <is>
          <t>1370</t>
        </is>
      </c>
      <c r="H252" s="42" t="inlineStr">
        <is>
          <t>True</t>
        </is>
      </c>
      <c r="I252" s="42" t="inlineStr">
        <is>
          <t>NOT_EVALUATED</t>
        </is>
      </c>
      <c r="J252" s="42" t="inlineStr">
        <is>
          <t>NO_DIRECT_STANDARD_MATRIX_IN_RETRIEVED_SOURCE</t>
        </is>
      </c>
      <c r="K252" s="42" t="str"/>
      <c r="L252" s="42" t="str"/>
      <c r="M252" s="42" t="str"/>
      <c r="N252" s="42" t="str"/>
      <c r="O252" s="42" t="inlineStr">
        <is>
          <t>現行公式資料でこの窓種のSAFE 30mil規格○/×を本Revisionでは直接取得できていない。推測しない。</t>
        </is>
      </c>
    </row>
    <row r="253">
      <c r="A253" s="42" t="inlineStr">
        <is>
          <t>SZ-SL-000252</t>
        </is>
      </c>
      <c r="B253" s="42" t="inlineStr">
        <is>
          <t>WT-SL-SHUTTER-HIKI</t>
        </is>
      </c>
      <c r="C253" s="42" t="inlineStr">
        <is>
          <t>シャッター付引違い窓</t>
        </is>
      </c>
      <c r="D253" s="42" t="inlineStr">
        <is>
          <t>SP-SL-SHUT-E-STD</t>
        </is>
      </c>
      <c r="E253" s="42" t="inlineStr">
        <is>
          <t>11913</t>
        </is>
      </c>
      <c r="F253" s="42" t="inlineStr">
        <is>
          <t>1235</t>
        </is>
      </c>
      <c r="G253" s="42" t="inlineStr">
        <is>
          <t>1370</t>
        </is>
      </c>
      <c r="H253" s="42" t="inlineStr">
        <is>
          <t>True</t>
        </is>
      </c>
      <c r="I253" s="42" t="inlineStr">
        <is>
          <t>NOT_EVALUATED</t>
        </is>
      </c>
      <c r="J253" s="42" t="inlineStr">
        <is>
          <t>NO_DIRECT_STANDARD_MATRIX_IN_RETRIEVED_SOURCE</t>
        </is>
      </c>
      <c r="K253" s="42" t="str"/>
      <c r="L253" s="42" t="str"/>
      <c r="M253" s="42" t="str"/>
      <c r="N253" s="42" t="str"/>
      <c r="O253" s="42" t="inlineStr">
        <is>
          <t>現行公式資料でこの窓種のSAFE 30mil規格○/×を本Revisionでは直接取得できていない。推測しない。</t>
        </is>
      </c>
    </row>
    <row r="254">
      <c r="A254" s="42" t="inlineStr">
        <is>
          <t>SZ-SL-000253</t>
        </is>
      </c>
      <c r="B254" s="42" t="inlineStr">
        <is>
          <t>WT-SL-SHUTTER-HIKI</t>
        </is>
      </c>
      <c r="C254" s="42" t="inlineStr">
        <is>
          <t>シャッター付引違い窓</t>
        </is>
      </c>
      <c r="D254" s="42" t="inlineStr">
        <is>
          <t>SP-SL-SHUT-E-STD</t>
        </is>
      </c>
      <c r="E254" s="42" t="inlineStr">
        <is>
          <t>12813</t>
        </is>
      </c>
      <c r="F254" s="42" t="inlineStr">
        <is>
          <t>1320</t>
        </is>
      </c>
      <c r="G254" s="42" t="inlineStr">
        <is>
          <t>1370</t>
        </is>
      </c>
      <c r="H254" s="42" t="inlineStr">
        <is>
          <t>True</t>
        </is>
      </c>
      <c r="I254" s="42" t="inlineStr">
        <is>
          <t>NOT_EVALUATED</t>
        </is>
      </c>
      <c r="J254" s="42" t="inlineStr">
        <is>
          <t>NO_DIRECT_STANDARD_MATRIX_IN_RETRIEVED_SOURCE</t>
        </is>
      </c>
      <c r="K254" s="42" t="str"/>
      <c r="L254" s="42" t="str"/>
      <c r="M254" s="42" t="str"/>
      <c r="N254" s="42" t="str"/>
      <c r="O254" s="42" t="inlineStr">
        <is>
          <t>現行公式資料でこの窓種のSAFE 30mil規格○/×を本Revisionでは直接取得できていない。推測しない。</t>
        </is>
      </c>
    </row>
    <row r="255">
      <c r="A255" s="42" t="inlineStr">
        <is>
          <t>SZ-SL-000254</t>
        </is>
      </c>
      <c r="B255" s="42" t="inlineStr">
        <is>
          <t>WT-SL-SHUTTER-HIKI</t>
        </is>
      </c>
      <c r="C255" s="42" t="inlineStr">
        <is>
          <t>シャッター付引違い窓</t>
        </is>
      </c>
      <c r="D255" s="42" t="inlineStr">
        <is>
          <t>SP-SL-SHUT-E-STD</t>
        </is>
      </c>
      <c r="E255" s="42" t="inlineStr">
        <is>
          <t>13313</t>
        </is>
      </c>
      <c r="F255" s="42" t="inlineStr">
        <is>
          <t>1370</t>
        </is>
      </c>
      <c r="G255" s="42" t="inlineStr">
        <is>
          <t>1370</t>
        </is>
      </c>
      <c r="H255" s="42" t="inlineStr">
        <is>
          <t>True</t>
        </is>
      </c>
      <c r="I255" s="42" t="inlineStr">
        <is>
          <t>NOT_EVALUATED</t>
        </is>
      </c>
      <c r="J255" s="42" t="inlineStr">
        <is>
          <t>NO_DIRECT_STANDARD_MATRIX_IN_RETRIEVED_SOURCE</t>
        </is>
      </c>
      <c r="K255" s="42" t="str"/>
      <c r="L255" s="42" t="str"/>
      <c r="M255" s="42" t="str"/>
      <c r="N255" s="42" t="str"/>
      <c r="O255" s="42" t="inlineStr">
        <is>
          <t>現行公式資料でこの窓種のSAFE 30mil規格○/×を本Revisionでは直接取得できていない。推測しない。</t>
        </is>
      </c>
    </row>
    <row r="256">
      <c r="A256" s="42" t="inlineStr">
        <is>
          <t>SZ-SL-000255</t>
        </is>
      </c>
      <c r="B256" s="42" t="inlineStr">
        <is>
          <t>WT-SL-SHUTTER-HIKI</t>
        </is>
      </c>
      <c r="C256" s="42" t="inlineStr">
        <is>
          <t>シャッター付引違い窓</t>
        </is>
      </c>
      <c r="D256" s="42" t="inlineStr">
        <is>
          <t>SP-SL-SHUT-E-VENT</t>
        </is>
      </c>
      <c r="E256" s="42" t="inlineStr">
        <is>
          <t>11413</t>
        </is>
      </c>
      <c r="F256" s="42" t="inlineStr">
        <is>
          <t>1185</t>
        </is>
      </c>
      <c r="G256" s="42" t="inlineStr">
        <is>
          <t>1370</t>
        </is>
      </c>
      <c r="H256" s="42" t="inlineStr">
        <is>
          <t>True</t>
        </is>
      </c>
      <c r="I256" s="42" t="inlineStr">
        <is>
          <t>NOT_EVALUATED</t>
        </is>
      </c>
      <c r="J256" s="42" t="inlineStr">
        <is>
          <t>NO_DIRECT_STANDARD_MATRIX_IN_RETRIEVED_SOURCE</t>
        </is>
      </c>
      <c r="K256" s="42" t="str"/>
      <c r="L256" s="42" t="str"/>
      <c r="M256" s="42" t="str"/>
      <c r="N256" s="42" t="str"/>
      <c r="O256" s="42" t="inlineStr">
        <is>
          <t>現行公式資料でこの窓種のSAFE 30mil規格○/×を本Revisionでは直接取得できていない。推測しない。</t>
        </is>
      </c>
    </row>
    <row r="257">
      <c r="A257" s="42" t="inlineStr">
        <is>
          <t>SZ-SL-000256</t>
        </is>
      </c>
      <c r="B257" s="42" t="inlineStr">
        <is>
          <t>WT-SL-SHUTTER-HIKI</t>
        </is>
      </c>
      <c r="C257" s="42" t="inlineStr">
        <is>
          <t>シャッター付引違い窓</t>
        </is>
      </c>
      <c r="D257" s="42" t="inlineStr">
        <is>
          <t>SP-SL-SHUT-E-VENT</t>
        </is>
      </c>
      <c r="E257" s="42" t="inlineStr">
        <is>
          <t>11913</t>
        </is>
      </c>
      <c r="F257" s="42" t="inlineStr">
        <is>
          <t>1235</t>
        </is>
      </c>
      <c r="G257" s="42" t="inlineStr">
        <is>
          <t>1370</t>
        </is>
      </c>
      <c r="H257" s="42" t="inlineStr">
        <is>
          <t>True</t>
        </is>
      </c>
      <c r="I257" s="42" t="inlineStr">
        <is>
          <t>NOT_EVALUATED</t>
        </is>
      </c>
      <c r="J257" s="42" t="inlineStr">
        <is>
          <t>NO_DIRECT_STANDARD_MATRIX_IN_RETRIEVED_SOURCE</t>
        </is>
      </c>
      <c r="K257" s="42" t="str"/>
      <c r="L257" s="42" t="str"/>
      <c r="M257" s="42" t="str"/>
      <c r="N257" s="42" t="str"/>
      <c r="O257" s="42" t="inlineStr">
        <is>
          <t>現行公式資料でこの窓種のSAFE 30mil規格○/×を本Revisionでは直接取得できていない。推測しない。</t>
        </is>
      </c>
    </row>
    <row r="258">
      <c r="A258" s="42" t="inlineStr">
        <is>
          <t>SZ-SL-000257</t>
        </is>
      </c>
      <c r="B258" s="42" t="inlineStr">
        <is>
          <t>WT-SL-SHUTTER-HIKI</t>
        </is>
      </c>
      <c r="C258" s="42" t="inlineStr">
        <is>
          <t>シャッター付引違い窓</t>
        </is>
      </c>
      <c r="D258" s="42" t="inlineStr">
        <is>
          <t>SP-SL-SHUT-E-VENT</t>
        </is>
      </c>
      <c r="E258" s="42" t="inlineStr">
        <is>
          <t>12813</t>
        </is>
      </c>
      <c r="F258" s="42" t="inlineStr">
        <is>
          <t>1320</t>
        </is>
      </c>
      <c r="G258" s="42" t="inlineStr">
        <is>
          <t>1370</t>
        </is>
      </c>
      <c r="H258" s="42" t="inlineStr">
        <is>
          <t>True</t>
        </is>
      </c>
      <c r="I258" s="42" t="inlineStr">
        <is>
          <t>NOT_EVALUATED</t>
        </is>
      </c>
      <c r="J258" s="42" t="inlineStr">
        <is>
          <t>NO_DIRECT_STANDARD_MATRIX_IN_RETRIEVED_SOURCE</t>
        </is>
      </c>
      <c r="K258" s="42" t="str"/>
      <c r="L258" s="42" t="str"/>
      <c r="M258" s="42" t="str"/>
      <c r="N258" s="42" t="str"/>
      <c r="O258" s="42" t="inlineStr">
        <is>
          <t>現行公式資料でこの窓種のSAFE 30mil規格○/×を本Revisionでは直接取得できていない。推測しない。</t>
        </is>
      </c>
    </row>
    <row r="259">
      <c r="A259" s="42" t="inlineStr">
        <is>
          <t>SZ-SL-000258</t>
        </is>
      </c>
      <c r="B259" s="42" t="inlineStr">
        <is>
          <t>WT-SL-SHUTTER-HIKI</t>
        </is>
      </c>
      <c r="C259" s="42" t="inlineStr">
        <is>
          <t>シャッター付引違い窓</t>
        </is>
      </c>
      <c r="D259" s="42" t="inlineStr">
        <is>
          <t>SP-SL-SHUT-E-VENT</t>
        </is>
      </c>
      <c r="E259" s="42" t="inlineStr">
        <is>
          <t>13313</t>
        </is>
      </c>
      <c r="F259" s="42" t="inlineStr">
        <is>
          <t>1370</t>
        </is>
      </c>
      <c r="G259" s="42" t="inlineStr">
        <is>
          <t>1370</t>
        </is>
      </c>
      <c r="H259" s="42" t="inlineStr">
        <is>
          <t>True</t>
        </is>
      </c>
      <c r="I259" s="42" t="inlineStr">
        <is>
          <t>NOT_EVALUATED</t>
        </is>
      </c>
      <c r="J259" s="42" t="inlineStr">
        <is>
          <t>NO_DIRECT_STANDARD_MATRIX_IN_RETRIEVED_SOURCE</t>
        </is>
      </c>
      <c r="K259" s="42" t="str"/>
      <c r="L259" s="42" t="str"/>
      <c r="M259" s="42" t="str"/>
      <c r="N259" s="42" t="str"/>
      <c r="O259" s="42" t="inlineStr">
        <is>
          <t>現行公式資料でこの窓種のSAFE 30mil規格○/×を本Revisionでは直接取得できていない。推測しない。</t>
        </is>
      </c>
    </row>
    <row r="260">
      <c r="A260" s="42" t="inlineStr">
        <is>
          <t>SZ-SL-000259</t>
        </is>
      </c>
      <c r="B260" s="42" t="inlineStr">
        <is>
          <t>WT-SL-SHUTTER-HIKI</t>
        </is>
      </c>
      <c r="C260" s="42" t="inlineStr">
        <is>
          <t>シャッター付引違い窓</t>
        </is>
      </c>
      <c r="D260" s="42" t="inlineStr">
        <is>
          <t>SP-SL-SHUT-E-WIND</t>
        </is>
      </c>
      <c r="E260" s="42" t="inlineStr">
        <is>
          <t>11413</t>
        </is>
      </c>
      <c r="F260" s="42" t="inlineStr">
        <is>
          <t>1185</t>
        </is>
      </c>
      <c r="G260" s="42" t="inlineStr">
        <is>
          <t>1370</t>
        </is>
      </c>
      <c r="H260" s="42" t="inlineStr">
        <is>
          <t>True</t>
        </is>
      </c>
      <c r="I260" s="42" t="inlineStr">
        <is>
          <t>NOT_EVALUATED</t>
        </is>
      </c>
      <c r="J260" s="42" t="inlineStr">
        <is>
          <t>NO_DIRECT_STANDARD_MATRIX_IN_RETRIEVED_SOURCE</t>
        </is>
      </c>
      <c r="K260" s="42" t="str"/>
      <c r="L260" s="42" t="str"/>
      <c r="M260" s="42" t="str"/>
      <c r="N260" s="42" t="str"/>
      <c r="O260" s="42" t="inlineStr">
        <is>
          <t>現行公式資料でこの窓種のSAFE 30mil規格○/×を本Revisionでは直接取得できていない。推測しない。</t>
        </is>
      </c>
    </row>
    <row r="261">
      <c r="A261" s="42" t="inlineStr">
        <is>
          <t>SZ-SL-000260</t>
        </is>
      </c>
      <c r="B261" s="42" t="inlineStr">
        <is>
          <t>WT-SL-SHUTTER-HIKI</t>
        </is>
      </c>
      <c r="C261" s="42" t="inlineStr">
        <is>
          <t>シャッター付引違い窓</t>
        </is>
      </c>
      <c r="D261" s="42" t="inlineStr">
        <is>
          <t>SP-SL-SHUT-E-WIND</t>
        </is>
      </c>
      <c r="E261" s="42" t="inlineStr">
        <is>
          <t>11913</t>
        </is>
      </c>
      <c r="F261" s="42" t="inlineStr">
        <is>
          <t>1235</t>
        </is>
      </c>
      <c r="G261" s="42" t="inlineStr">
        <is>
          <t>1370</t>
        </is>
      </c>
      <c r="H261" s="42" t="inlineStr">
        <is>
          <t>True</t>
        </is>
      </c>
      <c r="I261" s="42" t="inlineStr">
        <is>
          <t>NOT_EVALUATED</t>
        </is>
      </c>
      <c r="J261" s="42" t="inlineStr">
        <is>
          <t>NO_DIRECT_STANDARD_MATRIX_IN_RETRIEVED_SOURCE</t>
        </is>
      </c>
      <c r="K261" s="42" t="str"/>
      <c r="L261" s="42" t="str"/>
      <c r="M261" s="42" t="str"/>
      <c r="N261" s="42" t="str"/>
      <c r="O261" s="42" t="inlineStr">
        <is>
          <t>現行公式資料でこの窓種のSAFE 30mil規格○/×を本Revisionでは直接取得できていない。推測しない。</t>
        </is>
      </c>
    </row>
    <row r="262">
      <c r="A262" s="42" t="inlineStr">
        <is>
          <t>SZ-SL-000261</t>
        </is>
      </c>
      <c r="B262" s="42" t="inlineStr">
        <is>
          <t>WT-SL-SHUTTER-HIKI</t>
        </is>
      </c>
      <c r="C262" s="42" t="inlineStr">
        <is>
          <t>シャッター付引違い窓</t>
        </is>
      </c>
      <c r="D262" s="42" t="inlineStr">
        <is>
          <t>SP-SL-SHUT-E-WIND</t>
        </is>
      </c>
      <c r="E262" s="42" t="inlineStr">
        <is>
          <t>12813</t>
        </is>
      </c>
      <c r="F262" s="42" t="inlineStr">
        <is>
          <t>1320</t>
        </is>
      </c>
      <c r="G262" s="42" t="inlineStr">
        <is>
          <t>1370</t>
        </is>
      </c>
      <c r="H262" s="42" t="inlineStr">
        <is>
          <t>False</t>
        </is>
      </c>
      <c r="I262" s="42" t="inlineStr">
        <is>
          <t>NOT_EVALUATED</t>
        </is>
      </c>
      <c r="J262" s="42" t="inlineStr">
        <is>
          <t>NO_DIRECT_STANDARD_MATRIX_IN_RETRIEVED_SOURCE</t>
        </is>
      </c>
      <c r="K262" s="42" t="str"/>
      <c r="L262" s="42" t="str"/>
      <c r="M262" s="42" t="str"/>
      <c r="N262" s="42" t="str"/>
      <c r="O262" s="42" t="inlineStr">
        <is>
          <t>現行公式資料でこの窓種のSAFE 30mil規格○/×を本Revisionでは直接取得できていない。推測しない。</t>
        </is>
      </c>
    </row>
    <row r="263">
      <c r="A263" s="42" t="inlineStr">
        <is>
          <t>SZ-SL-000262</t>
        </is>
      </c>
      <c r="B263" s="42" t="inlineStr">
        <is>
          <t>WT-SL-SHUTTER-HIKI</t>
        </is>
      </c>
      <c r="C263" s="42" t="inlineStr">
        <is>
          <t>シャッター付引違い窓</t>
        </is>
      </c>
      <c r="D263" s="42" t="inlineStr">
        <is>
          <t>SP-SL-SHUT-E-WIND</t>
        </is>
      </c>
      <c r="E263" s="42" t="inlineStr">
        <is>
          <t>13313</t>
        </is>
      </c>
      <c r="F263" s="42" t="inlineStr">
        <is>
          <t>1370</t>
        </is>
      </c>
      <c r="G263" s="42" t="inlineStr">
        <is>
          <t>1370</t>
        </is>
      </c>
      <c r="H263" s="42" t="inlineStr">
        <is>
          <t>False</t>
        </is>
      </c>
      <c r="I263" s="42" t="inlineStr">
        <is>
          <t>NOT_EVALUATED</t>
        </is>
      </c>
      <c r="J263" s="42" t="inlineStr">
        <is>
          <t>NO_DIRECT_STANDARD_MATRIX_IN_RETRIEVED_SOURCE</t>
        </is>
      </c>
      <c r="K263" s="42" t="str"/>
      <c r="L263" s="42" t="str"/>
      <c r="M263" s="42" t="str"/>
      <c r="N263" s="42" t="str"/>
      <c r="O263" s="42" t="inlineStr">
        <is>
          <t>現行公式資料でこの窓種のSAFE 30mil規格○/×を本Revisionでは直接取得できていない。推測しない。</t>
        </is>
      </c>
    </row>
    <row r="264">
      <c r="A264" s="42" t="inlineStr">
        <is>
          <t>SZ-SL-000263</t>
        </is>
      </c>
      <c r="B264" s="42" t="inlineStr">
        <is>
          <t>WT-SL-SHUTTER-HIKI</t>
        </is>
      </c>
      <c r="C264" s="42" t="inlineStr">
        <is>
          <t>シャッター付引違い窓</t>
        </is>
      </c>
      <c r="D264" s="42" t="inlineStr">
        <is>
          <t>SP-SL-SHUT-E-STD</t>
        </is>
      </c>
      <c r="E264" s="42" t="inlineStr">
        <is>
          <t>15013</t>
        </is>
      </c>
      <c r="F264" s="42" t="inlineStr">
        <is>
          <t>1540</t>
        </is>
      </c>
      <c r="G264" s="42" t="inlineStr">
        <is>
          <t>1370</t>
        </is>
      </c>
      <c r="H264" s="42" t="inlineStr">
        <is>
          <t>True</t>
        </is>
      </c>
      <c r="I264" s="42" t="inlineStr">
        <is>
          <t>NOT_EVALUATED</t>
        </is>
      </c>
      <c r="J264" s="42" t="inlineStr">
        <is>
          <t>NO_DIRECT_STANDARD_MATRIX_IN_RETRIEVED_SOURCE</t>
        </is>
      </c>
      <c r="K264" s="42" t="str"/>
      <c r="L264" s="42" t="str"/>
      <c r="M264" s="42" t="str"/>
      <c r="N264" s="42" t="str"/>
      <c r="O264" s="42" t="inlineStr">
        <is>
          <t>現行公式資料でこの窓種のSAFE 30mil規格○/×を本Revisionでは直接取得できていない。推測しない。</t>
        </is>
      </c>
    </row>
    <row r="265">
      <c r="A265" s="42" t="inlineStr">
        <is>
          <t>SZ-SL-000264</t>
        </is>
      </c>
      <c r="B265" s="42" t="inlineStr">
        <is>
          <t>WT-SL-SHUTTER-HIKI</t>
        </is>
      </c>
      <c r="C265" s="42" t="inlineStr">
        <is>
          <t>シャッター付引違い窓</t>
        </is>
      </c>
      <c r="D265" s="42" t="inlineStr">
        <is>
          <t>SP-SL-SHUT-E-STD</t>
        </is>
      </c>
      <c r="E265" s="42" t="inlineStr">
        <is>
          <t>15015</t>
        </is>
      </c>
      <c r="F265" s="42" t="inlineStr">
        <is>
          <t>1540</t>
        </is>
      </c>
      <c r="G265" s="42" t="inlineStr">
        <is>
          <t>1570</t>
        </is>
      </c>
      <c r="H265" s="42" t="inlineStr">
        <is>
          <t>True</t>
        </is>
      </c>
      <c r="I265" s="42" t="inlineStr">
        <is>
          <t>NOT_EVALUATED</t>
        </is>
      </c>
      <c r="J265" s="42" t="inlineStr">
        <is>
          <t>NO_DIRECT_STANDARD_MATRIX_IN_RETRIEVED_SOURCE</t>
        </is>
      </c>
      <c r="K265" s="42" t="str"/>
      <c r="L265" s="42" t="str"/>
      <c r="M265" s="42" t="str"/>
      <c r="N265" s="42" t="str"/>
      <c r="O265" s="42" t="inlineStr">
        <is>
          <t>現行公式資料でこの窓種のSAFE 30mil規格○/×を本Revisionでは直接取得できていない。推測しない。</t>
        </is>
      </c>
    </row>
    <row r="266">
      <c r="A266" s="42" t="inlineStr">
        <is>
          <t>SZ-SL-000265</t>
        </is>
      </c>
      <c r="B266" s="42" t="inlineStr">
        <is>
          <t>WT-SL-SHUTTER-HIKI</t>
        </is>
      </c>
      <c r="C266" s="42" t="inlineStr">
        <is>
          <t>シャッター付引違い窓</t>
        </is>
      </c>
      <c r="D266" s="42" t="inlineStr">
        <is>
          <t>SP-SL-SHUT-E-STD</t>
        </is>
      </c>
      <c r="E266" s="42" t="inlineStr">
        <is>
          <t>16013</t>
        </is>
      </c>
      <c r="F266" s="42" t="inlineStr">
        <is>
          <t>1640</t>
        </is>
      </c>
      <c r="G266" s="42" t="inlineStr">
        <is>
          <t>1370</t>
        </is>
      </c>
      <c r="H266" s="42" t="inlineStr">
        <is>
          <t>True</t>
        </is>
      </c>
      <c r="I266" s="42" t="inlineStr">
        <is>
          <t>NOT_EVALUATED</t>
        </is>
      </c>
      <c r="J266" s="42" t="inlineStr">
        <is>
          <t>NO_DIRECT_STANDARD_MATRIX_IN_RETRIEVED_SOURCE</t>
        </is>
      </c>
      <c r="K266" s="42" t="str"/>
      <c r="L266" s="42" t="str"/>
      <c r="M266" s="42" t="str"/>
      <c r="N266" s="42" t="str"/>
      <c r="O266" s="42" t="inlineStr">
        <is>
          <t>現行公式資料でこの窓種のSAFE 30mil規格○/×を本Revisionでは直接取得できていない。推測しない。</t>
        </is>
      </c>
    </row>
    <row r="267">
      <c r="A267" s="42" t="inlineStr">
        <is>
          <t>SZ-SL-000266</t>
        </is>
      </c>
      <c r="B267" s="42" t="inlineStr">
        <is>
          <t>WT-SL-SHUTTER-HIKI</t>
        </is>
      </c>
      <c r="C267" s="42" t="inlineStr">
        <is>
          <t>シャッター付引違い窓</t>
        </is>
      </c>
      <c r="D267" s="42" t="inlineStr">
        <is>
          <t>SP-SL-SHUT-E-STD</t>
        </is>
      </c>
      <c r="E267" s="42" t="inlineStr">
        <is>
          <t>16015</t>
        </is>
      </c>
      <c r="F267" s="42" t="inlineStr">
        <is>
          <t>1640</t>
        </is>
      </c>
      <c r="G267" s="42" t="inlineStr">
        <is>
          <t>1570</t>
        </is>
      </c>
      <c r="H267" s="42" t="inlineStr">
        <is>
          <t>True</t>
        </is>
      </c>
      <c r="I267" s="42" t="inlineStr">
        <is>
          <t>NOT_EVALUATED</t>
        </is>
      </c>
      <c r="J267" s="42" t="inlineStr">
        <is>
          <t>NO_DIRECT_STANDARD_MATRIX_IN_RETRIEVED_SOURCE</t>
        </is>
      </c>
      <c r="K267" s="42" t="str"/>
      <c r="L267" s="42" t="str"/>
      <c r="M267" s="42" t="str"/>
      <c r="N267" s="42" t="str"/>
      <c r="O267" s="42" t="inlineStr">
        <is>
          <t>現行公式資料でこの窓種のSAFE 30mil規格○/×を本Revisionでは直接取得できていない。推測しない。</t>
        </is>
      </c>
    </row>
    <row r="268">
      <c r="A268" s="42" t="inlineStr">
        <is>
          <t>SZ-SL-000267</t>
        </is>
      </c>
      <c r="B268" s="42" t="inlineStr">
        <is>
          <t>WT-SL-SHUTTER-HIKI</t>
        </is>
      </c>
      <c r="C268" s="42" t="inlineStr">
        <is>
          <t>シャッター付引違い窓</t>
        </is>
      </c>
      <c r="D268" s="42" t="inlineStr">
        <is>
          <t>SP-SL-SHUT-E-STD</t>
        </is>
      </c>
      <c r="E268" s="42" t="inlineStr">
        <is>
          <t>16513</t>
        </is>
      </c>
      <c r="F268" s="42" t="inlineStr">
        <is>
          <t>1690</t>
        </is>
      </c>
      <c r="G268" s="42" t="inlineStr">
        <is>
          <t>1370</t>
        </is>
      </c>
      <c r="H268" s="42" t="inlineStr">
        <is>
          <t>True</t>
        </is>
      </c>
      <c r="I268" s="42" t="inlineStr">
        <is>
          <t>NOT_EVALUATED</t>
        </is>
      </c>
      <c r="J268" s="42" t="inlineStr">
        <is>
          <t>NO_DIRECT_STANDARD_MATRIX_IN_RETRIEVED_SOURCE</t>
        </is>
      </c>
      <c r="K268" s="42" t="str"/>
      <c r="L268" s="42" t="str"/>
      <c r="M268" s="42" t="str"/>
      <c r="N268" s="42" t="str"/>
      <c r="O268" s="42" t="inlineStr">
        <is>
          <t>現行公式資料でこの窓種のSAFE 30mil規格○/×を本Revisionでは直接取得できていない。推測しない。</t>
        </is>
      </c>
    </row>
    <row r="269">
      <c r="A269" s="42" t="inlineStr">
        <is>
          <t>SZ-SL-000268</t>
        </is>
      </c>
      <c r="B269" s="42" t="inlineStr">
        <is>
          <t>WT-SL-SHUTTER-HIKI</t>
        </is>
      </c>
      <c r="C269" s="42" t="inlineStr">
        <is>
          <t>シャッター付引違い窓</t>
        </is>
      </c>
      <c r="D269" s="42" t="inlineStr">
        <is>
          <t>SP-SL-SHUT-E-STD</t>
        </is>
      </c>
      <c r="E269" s="42" t="inlineStr">
        <is>
          <t>16515</t>
        </is>
      </c>
      <c r="F269" s="42" t="inlineStr">
        <is>
          <t>1690</t>
        </is>
      </c>
      <c r="G269" s="42" t="inlineStr">
        <is>
          <t>1570</t>
        </is>
      </c>
      <c r="H269" s="42" t="inlineStr">
        <is>
          <t>True</t>
        </is>
      </c>
      <c r="I269" s="42" t="inlineStr">
        <is>
          <t>NOT_EVALUATED</t>
        </is>
      </c>
      <c r="J269" s="42" t="inlineStr">
        <is>
          <t>NO_DIRECT_STANDARD_MATRIX_IN_RETRIEVED_SOURCE</t>
        </is>
      </c>
      <c r="K269" s="42" t="str"/>
      <c r="L269" s="42" t="str"/>
      <c r="M269" s="42" t="str"/>
      <c r="N269" s="42" t="str"/>
      <c r="O269" s="42" t="inlineStr">
        <is>
          <t>現行公式資料でこの窓種のSAFE 30mil規格○/×を本Revisionでは直接取得できていない。推測しない。</t>
        </is>
      </c>
    </row>
    <row r="270">
      <c r="A270" s="42" t="inlineStr">
        <is>
          <t>SZ-SL-000269</t>
        </is>
      </c>
      <c r="B270" s="42" t="inlineStr">
        <is>
          <t>WT-SL-SHUTTER-HIKI</t>
        </is>
      </c>
      <c r="C270" s="42" t="inlineStr">
        <is>
          <t>シャッター付引違い窓</t>
        </is>
      </c>
      <c r="D270" s="42" t="inlineStr">
        <is>
          <t>SP-SL-SHUT-E-STD</t>
        </is>
      </c>
      <c r="E270" s="42" t="inlineStr">
        <is>
          <t>17413</t>
        </is>
      </c>
      <c r="F270" s="42" t="inlineStr">
        <is>
          <t>1780</t>
        </is>
      </c>
      <c r="G270" s="42" t="inlineStr">
        <is>
          <t>1370</t>
        </is>
      </c>
      <c r="H270" s="42" t="inlineStr">
        <is>
          <t>True</t>
        </is>
      </c>
      <c r="I270" s="42" t="inlineStr">
        <is>
          <t>NOT_EVALUATED</t>
        </is>
      </c>
      <c r="J270" s="42" t="inlineStr">
        <is>
          <t>NO_DIRECT_STANDARD_MATRIX_IN_RETRIEVED_SOURCE</t>
        </is>
      </c>
      <c r="K270" s="42" t="str"/>
      <c r="L270" s="42" t="str"/>
      <c r="M270" s="42" t="str"/>
      <c r="N270" s="42" t="str"/>
      <c r="O270" s="42" t="inlineStr">
        <is>
          <t>現行公式資料でこの窓種のSAFE 30mil規格○/×を本Revisionでは直接取得できていない。推測しない。</t>
        </is>
      </c>
    </row>
    <row r="271">
      <c r="A271" s="42" t="inlineStr">
        <is>
          <t>SZ-SL-000270</t>
        </is>
      </c>
      <c r="B271" s="42" t="inlineStr">
        <is>
          <t>WT-SL-SHUTTER-HIKI</t>
        </is>
      </c>
      <c r="C271" s="42" t="inlineStr">
        <is>
          <t>シャッター付引違い窓</t>
        </is>
      </c>
      <c r="D271" s="42" t="inlineStr">
        <is>
          <t>SP-SL-SHUT-E-STD</t>
        </is>
      </c>
      <c r="E271" s="42" t="inlineStr">
        <is>
          <t>17613</t>
        </is>
      </c>
      <c r="F271" s="42" t="inlineStr">
        <is>
          <t>1800</t>
        </is>
      </c>
      <c r="G271" s="42" t="inlineStr">
        <is>
          <t>1370</t>
        </is>
      </c>
      <c r="H271" s="42" t="inlineStr">
        <is>
          <t>True</t>
        </is>
      </c>
      <c r="I271" s="42" t="inlineStr">
        <is>
          <t>NOT_EVALUATED</t>
        </is>
      </c>
      <c r="J271" s="42" t="inlineStr">
        <is>
          <t>NO_DIRECT_STANDARD_MATRIX_IN_RETRIEVED_SOURCE</t>
        </is>
      </c>
      <c r="K271" s="42" t="str"/>
      <c r="L271" s="42" t="str"/>
      <c r="M271" s="42" t="str"/>
      <c r="N271" s="42" t="str"/>
      <c r="O271" s="42" t="inlineStr">
        <is>
          <t>現行公式資料でこの窓種のSAFE 30mil規格○/×を本Revisionでは直接取得できていない。推測しない。</t>
        </is>
      </c>
    </row>
    <row r="272">
      <c r="A272" s="42" t="inlineStr">
        <is>
          <t>SZ-SL-000271</t>
        </is>
      </c>
      <c r="B272" s="42" t="inlineStr">
        <is>
          <t>WT-SL-SHUTTER-HIKI</t>
        </is>
      </c>
      <c r="C272" s="42" t="inlineStr">
        <is>
          <t>シャッター付引違い窓</t>
        </is>
      </c>
      <c r="D272" s="42" t="inlineStr">
        <is>
          <t>SP-SL-SHUT-E-VENT</t>
        </is>
      </c>
      <c r="E272" s="42" t="inlineStr">
        <is>
          <t>15013</t>
        </is>
      </c>
      <c r="F272" s="42" t="inlineStr">
        <is>
          <t>1540</t>
        </is>
      </c>
      <c r="G272" s="42" t="inlineStr">
        <is>
          <t>1370</t>
        </is>
      </c>
      <c r="H272" s="42" t="inlineStr">
        <is>
          <t>True</t>
        </is>
      </c>
      <c r="I272" s="42" t="inlineStr">
        <is>
          <t>NOT_EVALUATED</t>
        </is>
      </c>
      <c r="J272" s="42" t="inlineStr">
        <is>
          <t>NO_DIRECT_STANDARD_MATRIX_IN_RETRIEVED_SOURCE</t>
        </is>
      </c>
      <c r="K272" s="42" t="str"/>
      <c r="L272" s="42" t="str"/>
      <c r="M272" s="42" t="str"/>
      <c r="N272" s="42" t="str"/>
      <c r="O272" s="42" t="inlineStr">
        <is>
          <t>現行公式資料でこの窓種のSAFE 30mil規格○/×を本Revisionでは直接取得できていない。推測しない。</t>
        </is>
      </c>
    </row>
    <row r="273">
      <c r="A273" s="42" t="inlineStr">
        <is>
          <t>SZ-SL-000272</t>
        </is>
      </c>
      <c r="B273" s="42" t="inlineStr">
        <is>
          <t>WT-SL-SHUTTER-HIKI</t>
        </is>
      </c>
      <c r="C273" s="42" t="inlineStr">
        <is>
          <t>シャッター付引違い窓</t>
        </is>
      </c>
      <c r="D273" s="42" t="inlineStr">
        <is>
          <t>SP-SL-SHUT-E-VENT</t>
        </is>
      </c>
      <c r="E273" s="42" t="inlineStr">
        <is>
          <t>15015</t>
        </is>
      </c>
      <c r="F273" s="42" t="inlineStr">
        <is>
          <t>1540</t>
        </is>
      </c>
      <c r="G273" s="42" t="inlineStr">
        <is>
          <t>1570</t>
        </is>
      </c>
      <c r="H273" s="42" t="inlineStr">
        <is>
          <t>True</t>
        </is>
      </c>
      <c r="I273" s="42" t="inlineStr">
        <is>
          <t>NOT_EVALUATED</t>
        </is>
      </c>
      <c r="J273" s="42" t="inlineStr">
        <is>
          <t>NO_DIRECT_STANDARD_MATRIX_IN_RETRIEVED_SOURCE</t>
        </is>
      </c>
      <c r="K273" s="42" t="str"/>
      <c r="L273" s="42" t="str"/>
      <c r="M273" s="42" t="str"/>
      <c r="N273" s="42" t="str"/>
      <c r="O273" s="42" t="inlineStr">
        <is>
          <t>現行公式資料でこの窓種のSAFE 30mil規格○/×を本Revisionでは直接取得できていない。推測しない。</t>
        </is>
      </c>
    </row>
    <row r="274">
      <c r="A274" s="42" t="inlineStr">
        <is>
          <t>SZ-SL-000273</t>
        </is>
      </c>
      <c r="B274" s="42" t="inlineStr">
        <is>
          <t>WT-SL-SHUTTER-HIKI</t>
        </is>
      </c>
      <c r="C274" s="42" t="inlineStr">
        <is>
          <t>シャッター付引違い窓</t>
        </is>
      </c>
      <c r="D274" s="42" t="inlineStr">
        <is>
          <t>SP-SL-SHUT-E-VENT</t>
        </is>
      </c>
      <c r="E274" s="42" t="inlineStr">
        <is>
          <t>16013</t>
        </is>
      </c>
      <c r="F274" s="42" t="inlineStr">
        <is>
          <t>1640</t>
        </is>
      </c>
      <c r="G274" s="42" t="inlineStr">
        <is>
          <t>1370</t>
        </is>
      </c>
      <c r="H274" s="42" t="inlineStr">
        <is>
          <t>True</t>
        </is>
      </c>
      <c r="I274" s="42" t="inlineStr">
        <is>
          <t>NOT_EVALUATED</t>
        </is>
      </c>
      <c r="J274" s="42" t="inlineStr">
        <is>
          <t>NO_DIRECT_STANDARD_MATRIX_IN_RETRIEVED_SOURCE</t>
        </is>
      </c>
      <c r="K274" s="42" t="str"/>
      <c r="L274" s="42" t="str"/>
      <c r="M274" s="42" t="str"/>
      <c r="N274" s="42" t="str"/>
      <c r="O274" s="42" t="inlineStr">
        <is>
          <t>現行公式資料でこの窓種のSAFE 30mil規格○/×を本Revisionでは直接取得できていない。推測しない。</t>
        </is>
      </c>
    </row>
    <row r="275">
      <c r="A275" s="42" t="inlineStr">
        <is>
          <t>SZ-SL-000274</t>
        </is>
      </c>
      <c r="B275" s="42" t="inlineStr">
        <is>
          <t>WT-SL-SHUTTER-HIKI</t>
        </is>
      </c>
      <c r="C275" s="42" t="inlineStr">
        <is>
          <t>シャッター付引違い窓</t>
        </is>
      </c>
      <c r="D275" s="42" t="inlineStr">
        <is>
          <t>SP-SL-SHUT-E-VENT</t>
        </is>
      </c>
      <c r="E275" s="42" t="inlineStr">
        <is>
          <t>16015</t>
        </is>
      </c>
      <c r="F275" s="42" t="inlineStr">
        <is>
          <t>1640</t>
        </is>
      </c>
      <c r="G275" s="42" t="inlineStr">
        <is>
          <t>1570</t>
        </is>
      </c>
      <c r="H275" s="42" t="inlineStr">
        <is>
          <t>True</t>
        </is>
      </c>
      <c r="I275" s="42" t="inlineStr">
        <is>
          <t>NOT_EVALUATED</t>
        </is>
      </c>
      <c r="J275" s="42" t="inlineStr">
        <is>
          <t>NO_DIRECT_STANDARD_MATRIX_IN_RETRIEVED_SOURCE</t>
        </is>
      </c>
      <c r="K275" s="42" t="str"/>
      <c r="L275" s="42" t="str"/>
      <c r="M275" s="42" t="str"/>
      <c r="N275" s="42" t="str"/>
      <c r="O275" s="42" t="inlineStr">
        <is>
          <t>現行公式資料でこの窓種のSAFE 30mil規格○/×を本Revisionでは直接取得できていない。推測しない。</t>
        </is>
      </c>
    </row>
    <row r="276">
      <c r="A276" s="42" t="inlineStr">
        <is>
          <t>SZ-SL-000275</t>
        </is>
      </c>
      <c r="B276" s="42" t="inlineStr">
        <is>
          <t>WT-SL-SHUTTER-HIKI</t>
        </is>
      </c>
      <c r="C276" s="42" t="inlineStr">
        <is>
          <t>シャッター付引違い窓</t>
        </is>
      </c>
      <c r="D276" s="42" t="inlineStr">
        <is>
          <t>SP-SL-SHUT-E-VENT</t>
        </is>
      </c>
      <c r="E276" s="42" t="inlineStr">
        <is>
          <t>16513</t>
        </is>
      </c>
      <c r="F276" s="42" t="inlineStr">
        <is>
          <t>1690</t>
        </is>
      </c>
      <c r="G276" s="42" t="inlineStr">
        <is>
          <t>1370</t>
        </is>
      </c>
      <c r="H276" s="42" t="inlineStr">
        <is>
          <t>True</t>
        </is>
      </c>
      <c r="I276" s="42" t="inlineStr">
        <is>
          <t>NOT_EVALUATED</t>
        </is>
      </c>
      <c r="J276" s="42" t="inlineStr">
        <is>
          <t>NO_DIRECT_STANDARD_MATRIX_IN_RETRIEVED_SOURCE</t>
        </is>
      </c>
      <c r="K276" s="42" t="str"/>
      <c r="L276" s="42" t="str"/>
      <c r="M276" s="42" t="str"/>
      <c r="N276" s="42" t="str"/>
      <c r="O276" s="42" t="inlineStr">
        <is>
          <t>現行公式資料でこの窓種のSAFE 30mil規格○/×を本Revisionでは直接取得できていない。推測しない。</t>
        </is>
      </c>
    </row>
    <row r="277">
      <c r="A277" s="42" t="inlineStr">
        <is>
          <t>SZ-SL-000276</t>
        </is>
      </c>
      <c r="B277" s="42" t="inlineStr">
        <is>
          <t>WT-SL-SHUTTER-HIKI</t>
        </is>
      </c>
      <c r="C277" s="42" t="inlineStr">
        <is>
          <t>シャッター付引違い窓</t>
        </is>
      </c>
      <c r="D277" s="42" t="inlineStr">
        <is>
          <t>SP-SL-SHUT-E-VENT</t>
        </is>
      </c>
      <c r="E277" s="42" t="inlineStr">
        <is>
          <t>16515</t>
        </is>
      </c>
      <c r="F277" s="42" t="inlineStr">
        <is>
          <t>1690</t>
        </is>
      </c>
      <c r="G277" s="42" t="inlineStr">
        <is>
          <t>1570</t>
        </is>
      </c>
      <c r="H277" s="42" t="inlineStr">
        <is>
          <t>True</t>
        </is>
      </c>
      <c r="I277" s="42" t="inlineStr">
        <is>
          <t>NOT_EVALUATED</t>
        </is>
      </c>
      <c r="J277" s="42" t="inlineStr">
        <is>
          <t>NO_DIRECT_STANDARD_MATRIX_IN_RETRIEVED_SOURCE</t>
        </is>
      </c>
      <c r="K277" s="42" t="str"/>
      <c r="L277" s="42" t="str"/>
      <c r="M277" s="42" t="str"/>
      <c r="N277" s="42" t="str"/>
      <c r="O277" s="42" t="inlineStr">
        <is>
          <t>現行公式資料でこの窓種のSAFE 30mil規格○/×を本Revisionでは直接取得できていない。推測しない。</t>
        </is>
      </c>
    </row>
    <row r="278">
      <c r="A278" s="42" t="inlineStr">
        <is>
          <t>SZ-SL-000277</t>
        </is>
      </c>
      <c r="B278" s="42" t="inlineStr">
        <is>
          <t>WT-SL-SHUTTER-HIKI</t>
        </is>
      </c>
      <c r="C278" s="42" t="inlineStr">
        <is>
          <t>シャッター付引違い窓</t>
        </is>
      </c>
      <c r="D278" s="42" t="inlineStr">
        <is>
          <t>SP-SL-SHUT-E-VENT</t>
        </is>
      </c>
      <c r="E278" s="42" t="inlineStr">
        <is>
          <t>17413</t>
        </is>
      </c>
      <c r="F278" s="42" t="inlineStr">
        <is>
          <t>1780</t>
        </is>
      </c>
      <c r="G278" s="42" t="inlineStr">
        <is>
          <t>1370</t>
        </is>
      </c>
      <c r="H278" s="42" t="inlineStr">
        <is>
          <t>True</t>
        </is>
      </c>
      <c r="I278" s="42" t="inlineStr">
        <is>
          <t>NOT_EVALUATED</t>
        </is>
      </c>
      <c r="J278" s="42" t="inlineStr">
        <is>
          <t>NO_DIRECT_STANDARD_MATRIX_IN_RETRIEVED_SOURCE</t>
        </is>
      </c>
      <c r="K278" s="42" t="str"/>
      <c r="L278" s="42" t="str"/>
      <c r="M278" s="42" t="str"/>
      <c r="N278" s="42" t="str"/>
      <c r="O278" s="42" t="inlineStr">
        <is>
          <t>現行公式資料でこの窓種のSAFE 30mil規格○/×を本Revisionでは直接取得できていない。推測しない。</t>
        </is>
      </c>
    </row>
    <row r="279">
      <c r="A279" s="42" t="inlineStr">
        <is>
          <t>SZ-SL-000278</t>
        </is>
      </c>
      <c r="B279" s="42" t="inlineStr">
        <is>
          <t>WT-SL-SHUTTER-HIKI</t>
        </is>
      </c>
      <c r="C279" s="42" t="inlineStr">
        <is>
          <t>シャッター付引違い窓</t>
        </is>
      </c>
      <c r="D279" s="42" t="inlineStr">
        <is>
          <t>SP-SL-SHUT-E-VENT</t>
        </is>
      </c>
      <c r="E279" s="42" t="inlineStr">
        <is>
          <t>17613</t>
        </is>
      </c>
      <c r="F279" s="42" t="inlineStr">
        <is>
          <t>1800</t>
        </is>
      </c>
      <c r="G279" s="42" t="inlineStr">
        <is>
          <t>1370</t>
        </is>
      </c>
      <c r="H279" s="42" t="inlineStr">
        <is>
          <t>True</t>
        </is>
      </c>
      <c r="I279" s="42" t="inlineStr">
        <is>
          <t>NOT_EVALUATED</t>
        </is>
      </c>
      <c r="J279" s="42" t="inlineStr">
        <is>
          <t>NO_DIRECT_STANDARD_MATRIX_IN_RETRIEVED_SOURCE</t>
        </is>
      </c>
      <c r="K279" s="42" t="str"/>
      <c r="L279" s="42" t="str"/>
      <c r="M279" s="42" t="str"/>
      <c r="N279" s="42" t="str"/>
      <c r="O279" s="42" t="inlineStr">
        <is>
          <t>現行公式資料でこの窓種のSAFE 30mil規格○/×を本Revisionでは直接取得できていない。推測しない。</t>
        </is>
      </c>
    </row>
    <row r="280">
      <c r="A280" s="42" t="inlineStr">
        <is>
          <t>SZ-SL-000279</t>
        </is>
      </c>
      <c r="B280" s="42" t="inlineStr">
        <is>
          <t>WT-SL-SHUTTER-HIKI</t>
        </is>
      </c>
      <c r="C280" s="42" t="inlineStr">
        <is>
          <t>シャッター付引違い窓</t>
        </is>
      </c>
      <c r="D280" s="42" t="inlineStr">
        <is>
          <t>SP-SL-SHUT-E-WIND</t>
        </is>
      </c>
      <c r="E280" s="42" t="inlineStr">
        <is>
          <t>15013</t>
        </is>
      </c>
      <c r="F280" s="42" t="inlineStr">
        <is>
          <t>1540</t>
        </is>
      </c>
      <c r="G280" s="42" t="inlineStr">
        <is>
          <t>1370</t>
        </is>
      </c>
      <c r="H280" s="42" t="inlineStr">
        <is>
          <t>True</t>
        </is>
      </c>
      <c r="I280" s="42" t="inlineStr">
        <is>
          <t>NOT_EVALUATED</t>
        </is>
      </c>
      <c r="J280" s="42" t="inlineStr">
        <is>
          <t>NO_DIRECT_STANDARD_MATRIX_IN_RETRIEVED_SOURCE</t>
        </is>
      </c>
      <c r="K280" s="42" t="str"/>
      <c r="L280" s="42" t="str"/>
      <c r="M280" s="42" t="str"/>
      <c r="N280" s="42" t="str"/>
      <c r="O280" s="42" t="inlineStr">
        <is>
          <t>現行公式資料でこの窓種のSAFE 30mil規格○/×を本Revisionでは直接取得できていない。推測しない。</t>
        </is>
      </c>
    </row>
    <row r="281">
      <c r="A281" s="42" t="inlineStr">
        <is>
          <t>SZ-SL-000280</t>
        </is>
      </c>
      <c r="B281" s="42" t="inlineStr">
        <is>
          <t>WT-SL-SHUTTER-HIKI</t>
        </is>
      </c>
      <c r="C281" s="42" t="inlineStr">
        <is>
          <t>シャッター付引違い窓</t>
        </is>
      </c>
      <c r="D281" s="42" t="inlineStr">
        <is>
          <t>SP-SL-SHUT-E-WIND</t>
        </is>
      </c>
      <c r="E281" s="42" t="inlineStr">
        <is>
          <t>15015</t>
        </is>
      </c>
      <c r="F281" s="42" t="inlineStr">
        <is>
          <t>1540</t>
        </is>
      </c>
      <c r="G281" s="42" t="inlineStr">
        <is>
          <t>1570</t>
        </is>
      </c>
      <c r="H281" s="42" t="inlineStr">
        <is>
          <t>True</t>
        </is>
      </c>
      <c r="I281" s="42" t="inlineStr">
        <is>
          <t>NOT_EVALUATED</t>
        </is>
      </c>
      <c r="J281" s="42" t="inlineStr">
        <is>
          <t>NO_DIRECT_STANDARD_MATRIX_IN_RETRIEVED_SOURCE</t>
        </is>
      </c>
      <c r="K281" s="42" t="str"/>
      <c r="L281" s="42" t="str"/>
      <c r="M281" s="42" t="str"/>
      <c r="N281" s="42" t="str"/>
      <c r="O281" s="42" t="inlineStr">
        <is>
          <t>現行公式資料でこの窓種のSAFE 30mil規格○/×を本Revisionでは直接取得できていない。推測しない。</t>
        </is>
      </c>
    </row>
    <row r="282">
      <c r="A282" s="42" t="inlineStr">
        <is>
          <t>SZ-SL-000281</t>
        </is>
      </c>
      <c r="B282" s="42" t="inlineStr">
        <is>
          <t>WT-SL-SHUTTER-HIKI</t>
        </is>
      </c>
      <c r="C282" s="42" t="inlineStr">
        <is>
          <t>シャッター付引違い窓</t>
        </is>
      </c>
      <c r="D282" s="42" t="inlineStr">
        <is>
          <t>SP-SL-SHUT-E-WIND</t>
        </is>
      </c>
      <c r="E282" s="42" t="inlineStr">
        <is>
          <t>16013</t>
        </is>
      </c>
      <c r="F282" s="42" t="inlineStr">
        <is>
          <t>1640</t>
        </is>
      </c>
      <c r="G282" s="42" t="inlineStr">
        <is>
          <t>1370</t>
        </is>
      </c>
      <c r="H282" s="42" t="inlineStr">
        <is>
          <t>True</t>
        </is>
      </c>
      <c r="I282" s="42" t="inlineStr">
        <is>
          <t>NOT_EVALUATED</t>
        </is>
      </c>
      <c r="J282" s="42" t="inlineStr">
        <is>
          <t>NO_DIRECT_STANDARD_MATRIX_IN_RETRIEVED_SOURCE</t>
        </is>
      </c>
      <c r="K282" s="42" t="str"/>
      <c r="L282" s="42" t="str"/>
      <c r="M282" s="42" t="str"/>
      <c r="N282" s="42" t="str"/>
      <c r="O282" s="42" t="inlineStr">
        <is>
          <t>現行公式資料でこの窓種のSAFE 30mil規格○/×を本Revisionでは直接取得できていない。推測しない。</t>
        </is>
      </c>
    </row>
    <row r="283">
      <c r="A283" s="42" t="inlineStr">
        <is>
          <t>SZ-SL-000282</t>
        </is>
      </c>
      <c r="B283" s="42" t="inlineStr">
        <is>
          <t>WT-SL-SHUTTER-HIKI</t>
        </is>
      </c>
      <c r="C283" s="42" t="inlineStr">
        <is>
          <t>シャッター付引違い窓</t>
        </is>
      </c>
      <c r="D283" s="42" t="inlineStr">
        <is>
          <t>SP-SL-SHUT-E-WIND</t>
        </is>
      </c>
      <c r="E283" s="42" t="inlineStr">
        <is>
          <t>16015</t>
        </is>
      </c>
      <c r="F283" s="42" t="inlineStr">
        <is>
          <t>1640</t>
        </is>
      </c>
      <c r="G283" s="42" t="inlineStr">
        <is>
          <t>1570</t>
        </is>
      </c>
      <c r="H283" s="42" t="inlineStr">
        <is>
          <t>True</t>
        </is>
      </c>
      <c r="I283" s="42" t="inlineStr">
        <is>
          <t>NOT_EVALUATED</t>
        </is>
      </c>
      <c r="J283" s="42" t="inlineStr">
        <is>
          <t>NO_DIRECT_STANDARD_MATRIX_IN_RETRIEVED_SOURCE</t>
        </is>
      </c>
      <c r="K283" s="42" t="str"/>
      <c r="L283" s="42" t="str"/>
      <c r="M283" s="42" t="str"/>
      <c r="N283" s="42" t="str"/>
      <c r="O283" s="42" t="inlineStr">
        <is>
          <t>現行公式資料でこの窓種のSAFE 30mil規格○/×を本Revisionでは直接取得できていない。推測しない。</t>
        </is>
      </c>
    </row>
    <row r="284">
      <c r="A284" s="42" t="inlineStr">
        <is>
          <t>SZ-SL-000283</t>
        </is>
      </c>
      <c r="B284" s="42" t="inlineStr">
        <is>
          <t>WT-SL-SHUTTER-HIKI</t>
        </is>
      </c>
      <c r="C284" s="42" t="inlineStr">
        <is>
          <t>シャッター付引違い窓</t>
        </is>
      </c>
      <c r="D284" s="42" t="inlineStr">
        <is>
          <t>SP-SL-SHUT-E-WIND</t>
        </is>
      </c>
      <c r="E284" s="42" t="inlineStr">
        <is>
          <t>16513</t>
        </is>
      </c>
      <c r="F284" s="42" t="inlineStr">
        <is>
          <t>1690</t>
        </is>
      </c>
      <c r="G284" s="42" t="inlineStr">
        <is>
          <t>1370</t>
        </is>
      </c>
      <c r="H284" s="42" t="inlineStr">
        <is>
          <t>True</t>
        </is>
      </c>
      <c r="I284" s="42" t="inlineStr">
        <is>
          <t>NOT_EVALUATED</t>
        </is>
      </c>
      <c r="J284" s="42" t="inlineStr">
        <is>
          <t>NO_DIRECT_STANDARD_MATRIX_IN_RETRIEVED_SOURCE</t>
        </is>
      </c>
      <c r="K284" s="42" t="str"/>
      <c r="L284" s="42" t="str"/>
      <c r="M284" s="42" t="str"/>
      <c r="N284" s="42" t="str"/>
      <c r="O284" s="42" t="inlineStr">
        <is>
          <t>現行公式資料でこの窓種のSAFE 30mil規格○/×を本Revisionでは直接取得できていない。推測しない。</t>
        </is>
      </c>
    </row>
    <row r="285">
      <c r="A285" s="42" t="inlineStr">
        <is>
          <t>SZ-SL-000284</t>
        </is>
      </c>
      <c r="B285" s="42" t="inlineStr">
        <is>
          <t>WT-SL-SHUTTER-HIKI</t>
        </is>
      </c>
      <c r="C285" s="42" t="inlineStr">
        <is>
          <t>シャッター付引違い窓</t>
        </is>
      </c>
      <c r="D285" s="42" t="inlineStr">
        <is>
          <t>SP-SL-SHUT-E-WIND</t>
        </is>
      </c>
      <c r="E285" s="42" t="inlineStr">
        <is>
          <t>16515</t>
        </is>
      </c>
      <c r="F285" s="42" t="inlineStr">
        <is>
          <t>1690</t>
        </is>
      </c>
      <c r="G285" s="42" t="inlineStr">
        <is>
          <t>1570</t>
        </is>
      </c>
      <c r="H285" s="42" t="inlineStr">
        <is>
          <t>True</t>
        </is>
      </c>
      <c r="I285" s="42" t="inlineStr">
        <is>
          <t>NOT_EVALUATED</t>
        </is>
      </c>
      <c r="J285" s="42" t="inlineStr">
        <is>
          <t>NO_DIRECT_STANDARD_MATRIX_IN_RETRIEVED_SOURCE</t>
        </is>
      </c>
      <c r="K285" s="42" t="str"/>
      <c r="L285" s="42" t="str"/>
      <c r="M285" s="42" t="str"/>
      <c r="N285" s="42" t="str"/>
      <c r="O285" s="42" t="inlineStr">
        <is>
          <t>現行公式資料でこの窓種のSAFE 30mil規格○/×を本Revisionでは直接取得できていない。推測しない。</t>
        </is>
      </c>
    </row>
    <row r="286">
      <c r="A286" s="42" t="inlineStr">
        <is>
          <t>SZ-SL-000285</t>
        </is>
      </c>
      <c r="B286" s="42" t="inlineStr">
        <is>
          <t>WT-SL-SHUTTER-HIKI</t>
        </is>
      </c>
      <c r="C286" s="42" t="inlineStr">
        <is>
          <t>シャッター付引違い窓</t>
        </is>
      </c>
      <c r="D286" s="42" t="inlineStr">
        <is>
          <t>SP-SL-SHUT-E-WIND</t>
        </is>
      </c>
      <c r="E286" s="42" t="inlineStr">
        <is>
          <t>17413</t>
        </is>
      </c>
      <c r="F286" s="42" t="inlineStr">
        <is>
          <t>1780</t>
        </is>
      </c>
      <c r="G286" s="42" t="inlineStr">
        <is>
          <t>1370</t>
        </is>
      </c>
      <c r="H286" s="42" t="inlineStr">
        <is>
          <t>False</t>
        </is>
      </c>
      <c r="I286" s="42" t="inlineStr">
        <is>
          <t>NOT_EVALUATED</t>
        </is>
      </c>
      <c r="J286" s="42" t="inlineStr">
        <is>
          <t>NO_DIRECT_STANDARD_MATRIX_IN_RETRIEVED_SOURCE</t>
        </is>
      </c>
      <c r="K286" s="42" t="str"/>
      <c r="L286" s="42" t="str"/>
      <c r="M286" s="42" t="str"/>
      <c r="N286" s="42" t="str"/>
      <c r="O286" s="42" t="inlineStr">
        <is>
          <t>現行公式資料でこの窓種のSAFE 30mil規格○/×を本Revisionでは直接取得できていない。推測しない。</t>
        </is>
      </c>
    </row>
    <row r="287">
      <c r="A287" s="42" t="inlineStr">
        <is>
          <t>SZ-SL-000286</t>
        </is>
      </c>
      <c r="B287" s="42" t="inlineStr">
        <is>
          <t>WT-SL-SHUTTER-HIKI</t>
        </is>
      </c>
      <c r="C287" s="42" t="inlineStr">
        <is>
          <t>シャッター付引違い窓</t>
        </is>
      </c>
      <c r="D287" s="42" t="inlineStr">
        <is>
          <t>SP-SL-SHUT-E-WIND</t>
        </is>
      </c>
      <c r="E287" s="42" t="inlineStr">
        <is>
          <t>17613</t>
        </is>
      </c>
      <c r="F287" s="42" t="inlineStr">
        <is>
          <t>1800</t>
        </is>
      </c>
      <c r="G287" s="42" t="inlineStr">
        <is>
          <t>1370</t>
        </is>
      </c>
      <c r="H287" s="42" t="inlineStr">
        <is>
          <t>False</t>
        </is>
      </c>
      <c r="I287" s="42" t="inlineStr">
        <is>
          <t>NOT_EVALUATED</t>
        </is>
      </c>
      <c r="J287" s="42" t="inlineStr">
        <is>
          <t>NO_DIRECT_STANDARD_MATRIX_IN_RETRIEVED_SOURCE</t>
        </is>
      </c>
      <c r="K287" s="42" t="str"/>
      <c r="L287" s="42" t="str"/>
      <c r="M287" s="42" t="str"/>
      <c r="N287" s="42" t="str"/>
      <c r="O287" s="42" t="inlineStr">
        <is>
          <t>現行公式資料でこの窓種のSAFE 30mil規格○/×を本Revisionでは直接取得できていない。推測しない。</t>
        </is>
      </c>
    </row>
    <row r="288">
      <c r="A288" s="42" t="inlineStr">
        <is>
          <t>SZ-SL-000287</t>
        </is>
      </c>
      <c r="B288" s="42" t="inlineStr">
        <is>
          <t>WT-SL-SHUTTER-HIKI</t>
        </is>
      </c>
      <c r="C288" s="42" t="inlineStr">
        <is>
          <t>シャッター付引違い窓</t>
        </is>
      </c>
      <c r="D288" s="42" t="inlineStr">
        <is>
          <t>SP-SL-SHUT-E-STD</t>
        </is>
      </c>
      <c r="E288" s="42" t="inlineStr">
        <is>
          <t>18013</t>
        </is>
      </c>
      <c r="F288" s="42" t="inlineStr">
        <is>
          <t>1845</t>
        </is>
      </c>
      <c r="G288" s="42" t="inlineStr">
        <is>
          <t>1370</t>
        </is>
      </c>
      <c r="H288" s="42" t="inlineStr">
        <is>
          <t>True</t>
        </is>
      </c>
      <c r="I288" s="42" t="inlineStr">
        <is>
          <t>NOT_EVALUATED</t>
        </is>
      </c>
      <c r="J288" s="42" t="inlineStr">
        <is>
          <t>NO_DIRECT_STANDARD_MATRIX_IN_RETRIEVED_SOURCE</t>
        </is>
      </c>
      <c r="K288" s="42" t="str"/>
      <c r="L288" s="42" t="str"/>
      <c r="M288" s="42" t="str"/>
      <c r="N288" s="42" t="str"/>
      <c r="O288" s="42" t="inlineStr">
        <is>
          <t>現行公式資料でこの窓種のSAFE 30mil規格○/×を本Revisionでは直接取得できていない。推測しない。</t>
        </is>
      </c>
    </row>
    <row r="289">
      <c r="A289" s="42" t="inlineStr">
        <is>
          <t>SZ-SL-000288</t>
        </is>
      </c>
      <c r="B289" s="42" t="inlineStr">
        <is>
          <t>WT-SL-SHUTTER-HIKI</t>
        </is>
      </c>
      <c r="C289" s="42" t="inlineStr">
        <is>
          <t>シャッター付引違い窓</t>
        </is>
      </c>
      <c r="D289" s="42" t="inlineStr">
        <is>
          <t>SP-SL-SHUT-E-STD</t>
        </is>
      </c>
      <c r="E289" s="42" t="inlineStr">
        <is>
          <t>18613</t>
        </is>
      </c>
      <c r="F289" s="42" t="inlineStr">
        <is>
          <t>1900</t>
        </is>
      </c>
      <c r="G289" s="42" t="inlineStr">
        <is>
          <t>1370</t>
        </is>
      </c>
      <c r="H289" s="42" t="inlineStr">
        <is>
          <t>True</t>
        </is>
      </c>
      <c r="I289" s="42" t="inlineStr">
        <is>
          <t>NOT_EVALUATED</t>
        </is>
      </c>
      <c r="J289" s="42" t="inlineStr">
        <is>
          <t>NO_DIRECT_STANDARD_MATRIX_IN_RETRIEVED_SOURCE</t>
        </is>
      </c>
      <c r="K289" s="42" t="str"/>
      <c r="L289" s="42" t="str"/>
      <c r="M289" s="42" t="str"/>
      <c r="N289" s="42" t="str"/>
      <c r="O289" s="42" t="inlineStr">
        <is>
          <t>現行公式資料でこの窓種のSAFE 30mil規格○/×を本Revisionでは直接取得できていない。推測しない。</t>
        </is>
      </c>
    </row>
    <row r="290">
      <c r="A290" s="42" t="inlineStr">
        <is>
          <t>SZ-SL-000289</t>
        </is>
      </c>
      <c r="B290" s="42" t="inlineStr">
        <is>
          <t>WT-SL-SHUTTER-HIKI</t>
        </is>
      </c>
      <c r="C290" s="42" t="inlineStr">
        <is>
          <t>シャッター付引違い窓</t>
        </is>
      </c>
      <c r="D290" s="42" t="inlineStr">
        <is>
          <t>SP-SL-SHUT-E-VENT</t>
        </is>
      </c>
      <c r="E290" s="42" t="inlineStr">
        <is>
          <t>18013</t>
        </is>
      </c>
      <c r="F290" s="42" t="inlineStr">
        <is>
          <t>1845</t>
        </is>
      </c>
      <c r="G290" s="42" t="inlineStr">
        <is>
          <t>1370</t>
        </is>
      </c>
      <c r="H290" s="42" t="inlineStr">
        <is>
          <t>True</t>
        </is>
      </c>
      <c r="I290" s="42" t="inlineStr">
        <is>
          <t>NOT_EVALUATED</t>
        </is>
      </c>
      <c r="J290" s="42" t="inlineStr">
        <is>
          <t>NO_DIRECT_STANDARD_MATRIX_IN_RETRIEVED_SOURCE</t>
        </is>
      </c>
      <c r="K290" s="42" t="str"/>
      <c r="L290" s="42" t="str"/>
      <c r="M290" s="42" t="str"/>
      <c r="N290" s="42" t="str"/>
      <c r="O290" s="42" t="inlineStr">
        <is>
          <t>現行公式資料でこの窓種のSAFE 30mil規格○/×を本Revisionでは直接取得できていない。推測しない。</t>
        </is>
      </c>
    </row>
    <row r="291">
      <c r="A291" s="42" t="inlineStr">
        <is>
          <t>SZ-SL-000290</t>
        </is>
      </c>
      <c r="B291" s="42" t="inlineStr">
        <is>
          <t>WT-SL-SHUTTER-HIKI</t>
        </is>
      </c>
      <c r="C291" s="42" t="inlineStr">
        <is>
          <t>シャッター付引違い窓</t>
        </is>
      </c>
      <c r="D291" s="42" t="inlineStr">
        <is>
          <t>SP-SL-SHUT-E-VENT</t>
        </is>
      </c>
      <c r="E291" s="42" t="inlineStr">
        <is>
          <t>18613</t>
        </is>
      </c>
      <c r="F291" s="42" t="inlineStr">
        <is>
          <t>1900</t>
        </is>
      </c>
      <c r="G291" s="42" t="inlineStr">
        <is>
          <t>1370</t>
        </is>
      </c>
      <c r="H291" s="42" t="inlineStr">
        <is>
          <t>True</t>
        </is>
      </c>
      <c r="I291" s="42" t="inlineStr">
        <is>
          <t>NOT_EVALUATED</t>
        </is>
      </c>
      <c r="J291" s="42" t="inlineStr">
        <is>
          <t>NO_DIRECT_STANDARD_MATRIX_IN_RETRIEVED_SOURCE</t>
        </is>
      </c>
      <c r="K291" s="42" t="str"/>
      <c r="L291" s="42" t="str"/>
      <c r="M291" s="42" t="str"/>
      <c r="N291" s="42" t="str"/>
      <c r="O291" s="42" t="inlineStr">
        <is>
          <t>現行公式資料でこの窓種のSAFE 30mil規格○/×を本Revisionでは直接取得できていない。推測しない。</t>
        </is>
      </c>
    </row>
    <row r="292">
      <c r="A292" s="42" t="inlineStr">
        <is>
          <t>SZ-SL-000291</t>
        </is>
      </c>
      <c r="B292" s="42" t="inlineStr">
        <is>
          <t>WT-SL-SHUTTER-HIKI</t>
        </is>
      </c>
      <c r="C292" s="42" t="inlineStr">
        <is>
          <t>シャッター付引違い窓</t>
        </is>
      </c>
      <c r="D292" s="42" t="inlineStr">
        <is>
          <t>SP-SL-SHUT-E-WIND</t>
        </is>
      </c>
      <c r="E292" s="42" t="inlineStr">
        <is>
          <t>18013</t>
        </is>
      </c>
      <c r="F292" s="42" t="inlineStr">
        <is>
          <t>1845</t>
        </is>
      </c>
      <c r="G292" s="42" t="inlineStr">
        <is>
          <t>1370</t>
        </is>
      </c>
      <c r="H292" s="42" t="inlineStr">
        <is>
          <t>False</t>
        </is>
      </c>
      <c r="I292" s="42" t="inlineStr">
        <is>
          <t>NOT_EVALUATED</t>
        </is>
      </c>
      <c r="J292" s="42" t="inlineStr">
        <is>
          <t>NO_DIRECT_STANDARD_MATRIX_IN_RETRIEVED_SOURCE</t>
        </is>
      </c>
      <c r="K292" s="42" t="str"/>
      <c r="L292" s="42" t="str"/>
      <c r="M292" s="42" t="str"/>
      <c r="N292" s="42" t="str"/>
      <c r="O292" s="42" t="inlineStr">
        <is>
          <t>現行公式資料でこの窓種のSAFE 30mil規格○/×を本Revisionでは直接取得できていない。推測しない。</t>
        </is>
      </c>
    </row>
    <row r="293">
      <c r="A293" s="42" t="inlineStr">
        <is>
          <t>SZ-SL-000292</t>
        </is>
      </c>
      <c r="B293" s="42" t="inlineStr">
        <is>
          <t>WT-SL-SHUTTER-HIKI</t>
        </is>
      </c>
      <c r="C293" s="42" t="inlineStr">
        <is>
          <t>シャッター付引違い窓</t>
        </is>
      </c>
      <c r="D293" s="42" t="inlineStr">
        <is>
          <t>SP-SL-SHUT-E-WIND</t>
        </is>
      </c>
      <c r="E293" s="42" t="inlineStr">
        <is>
          <t>18613</t>
        </is>
      </c>
      <c r="F293" s="42" t="inlineStr">
        <is>
          <t>1900</t>
        </is>
      </c>
      <c r="G293" s="42" t="inlineStr">
        <is>
          <t>1370</t>
        </is>
      </c>
      <c r="H293" s="42" t="inlineStr">
        <is>
          <t>False</t>
        </is>
      </c>
      <c r="I293" s="42" t="inlineStr">
        <is>
          <t>NOT_EVALUATED</t>
        </is>
      </c>
      <c r="J293" s="42" t="inlineStr">
        <is>
          <t>NO_DIRECT_STANDARD_MATRIX_IN_RETRIEVED_SOURCE</t>
        </is>
      </c>
      <c r="K293" s="42" t="str"/>
      <c r="L293" s="42" t="str"/>
      <c r="M293" s="42" t="str"/>
      <c r="N293" s="42" t="str"/>
      <c r="O293" s="42" t="inlineStr">
        <is>
          <t>現行公式資料でこの窓種のSAFE 30mil規格○/×を本Revisionでは直接取得できていない。推測しない。</t>
        </is>
      </c>
    </row>
    <row r="294">
      <c r="A294" s="42" t="inlineStr">
        <is>
          <t>SZ-SL-000293</t>
        </is>
      </c>
      <c r="B294" s="42" t="inlineStr">
        <is>
          <t>WT-SL-SHUTTER-HIKI</t>
        </is>
      </c>
      <c r="C294" s="42" t="inlineStr">
        <is>
          <t>シャッター付引違い窓</t>
        </is>
      </c>
      <c r="D294" s="42" t="inlineStr">
        <is>
          <t>SP-SL-SHUT-E-STD</t>
        </is>
      </c>
      <c r="E294" s="42" t="inlineStr">
        <is>
          <t>25113-2</t>
        </is>
      </c>
      <c r="F294" s="42" t="inlineStr">
        <is>
          <t>2550</t>
        </is>
      </c>
      <c r="G294" s="42" t="inlineStr">
        <is>
          <t>1370</t>
        </is>
      </c>
      <c r="H294" s="42" t="inlineStr">
        <is>
          <t>True</t>
        </is>
      </c>
      <c r="I294" s="42" t="inlineStr">
        <is>
          <t>NOT_EVALUATED</t>
        </is>
      </c>
      <c r="J294" s="42" t="inlineStr">
        <is>
          <t>NO_DIRECT_STANDARD_MATRIX_IN_RETRIEVED_SOURCE</t>
        </is>
      </c>
      <c r="K294" s="42" t="str"/>
      <c r="L294" s="42" t="str"/>
      <c r="M294" s="42" t="str"/>
      <c r="N294" s="42" t="str"/>
      <c r="O294" s="42" t="inlineStr">
        <is>
          <t>現行公式資料でこの窓種のSAFE 30mil規格○/×を本Revisionでは直接取得できていない。推測しない。</t>
        </is>
      </c>
    </row>
    <row r="295">
      <c r="A295" s="42" t="inlineStr">
        <is>
          <t>SZ-SL-000294</t>
        </is>
      </c>
      <c r="B295" s="42" t="inlineStr">
        <is>
          <t>WT-SL-SHUTTER-HIKI</t>
        </is>
      </c>
      <c r="C295" s="42" t="inlineStr">
        <is>
          <t>シャッター付引違い窓</t>
        </is>
      </c>
      <c r="D295" s="42" t="inlineStr">
        <is>
          <t>SP-SL-SHUT-E-STD</t>
        </is>
      </c>
      <c r="E295" s="42" t="inlineStr">
        <is>
          <t>25113-4</t>
        </is>
      </c>
      <c r="F295" s="42" t="inlineStr">
        <is>
          <t>2550</t>
        </is>
      </c>
      <c r="G295" s="42" t="inlineStr">
        <is>
          <t>1370</t>
        </is>
      </c>
      <c r="H295" s="42" t="inlineStr">
        <is>
          <t>True</t>
        </is>
      </c>
      <c r="I295" s="42" t="inlineStr">
        <is>
          <t>NOT_EVALUATED</t>
        </is>
      </c>
      <c r="J295" s="42" t="inlineStr">
        <is>
          <t>NO_DIRECT_STANDARD_MATRIX_IN_RETRIEVED_SOURCE</t>
        </is>
      </c>
      <c r="K295" s="42" t="str"/>
      <c r="L295" s="42" t="str"/>
      <c r="M295" s="42" t="str"/>
      <c r="N295" s="42" t="str"/>
      <c r="O295" s="42" t="inlineStr">
        <is>
          <t>現行公式資料でこの窓種のSAFE 30mil規格○/×を本Revisionでは直接取得できていない。推測しない。</t>
        </is>
      </c>
    </row>
    <row r="296">
      <c r="A296" s="42" t="inlineStr">
        <is>
          <t>SZ-SL-000295</t>
        </is>
      </c>
      <c r="B296" s="42" t="inlineStr">
        <is>
          <t>WT-SL-SHUTTER-HIKI</t>
        </is>
      </c>
      <c r="C296" s="42" t="inlineStr">
        <is>
          <t>シャッター付引違い窓</t>
        </is>
      </c>
      <c r="D296" s="42" t="inlineStr">
        <is>
          <t>SP-SL-SHUT-E-STD</t>
        </is>
      </c>
      <c r="E296" s="42" t="inlineStr">
        <is>
          <t>25613-2</t>
        </is>
      </c>
      <c r="F296" s="42" t="inlineStr">
        <is>
          <t>2600</t>
        </is>
      </c>
      <c r="G296" s="42" t="inlineStr">
        <is>
          <t>1370</t>
        </is>
      </c>
      <c r="H296" s="42" t="inlineStr">
        <is>
          <t>True</t>
        </is>
      </c>
      <c r="I296" s="42" t="inlineStr">
        <is>
          <t>NOT_EVALUATED</t>
        </is>
      </c>
      <c r="J296" s="42" t="inlineStr">
        <is>
          <t>NO_DIRECT_STANDARD_MATRIX_IN_RETRIEVED_SOURCE</t>
        </is>
      </c>
      <c r="K296" s="42" t="str"/>
      <c r="L296" s="42" t="str"/>
      <c r="M296" s="42" t="str"/>
      <c r="N296" s="42" t="str"/>
      <c r="O296" s="42" t="inlineStr">
        <is>
          <t>現行公式資料でこの窓種のSAFE 30mil規格○/×を本Revisionでは直接取得できていない。推測しない。</t>
        </is>
      </c>
    </row>
    <row r="297">
      <c r="A297" s="42" t="inlineStr">
        <is>
          <t>SZ-SL-000296</t>
        </is>
      </c>
      <c r="B297" s="42" t="inlineStr">
        <is>
          <t>WT-SL-SHUTTER-HIKI</t>
        </is>
      </c>
      <c r="C297" s="42" t="inlineStr">
        <is>
          <t>シャッター付引違い窓</t>
        </is>
      </c>
      <c r="D297" s="42" t="inlineStr">
        <is>
          <t>SP-SL-SHUT-E-STD</t>
        </is>
      </c>
      <c r="E297" s="42" t="inlineStr">
        <is>
          <t>25613-4</t>
        </is>
      </c>
      <c r="F297" s="42" t="inlineStr">
        <is>
          <t>2600</t>
        </is>
      </c>
      <c r="G297" s="42" t="inlineStr">
        <is>
          <t>1370</t>
        </is>
      </c>
      <c r="H297" s="42" t="inlineStr">
        <is>
          <t>True</t>
        </is>
      </c>
      <c r="I297" s="42" t="inlineStr">
        <is>
          <t>NOT_EVALUATED</t>
        </is>
      </c>
      <c r="J297" s="42" t="inlineStr">
        <is>
          <t>NO_DIRECT_STANDARD_MATRIX_IN_RETRIEVED_SOURCE</t>
        </is>
      </c>
      <c r="K297" s="42" t="str"/>
      <c r="L297" s="42" t="str"/>
      <c r="M297" s="42" t="str"/>
      <c r="N297" s="42" t="str"/>
      <c r="O297" s="42" t="inlineStr">
        <is>
          <t>現行公式資料でこの窓種のSAFE 30mil規格○/×を本Revisionでは直接取得できていない。推測しない。</t>
        </is>
      </c>
    </row>
    <row r="298">
      <c r="A298" s="42" t="inlineStr">
        <is>
          <t>SZ-SL-000297</t>
        </is>
      </c>
      <c r="B298" s="42" t="inlineStr">
        <is>
          <t>WT-SL-SHUTTER-HIKI</t>
        </is>
      </c>
      <c r="C298" s="42" t="inlineStr">
        <is>
          <t>シャッター付引違い窓</t>
        </is>
      </c>
      <c r="D298" s="42" t="inlineStr">
        <is>
          <t>SP-SL-SHUT-E-VENT</t>
        </is>
      </c>
      <c r="E298" s="42" t="inlineStr">
        <is>
          <t>25113-2</t>
        </is>
      </c>
      <c r="F298" s="42" t="inlineStr">
        <is>
          <t>2550</t>
        </is>
      </c>
      <c r="G298" s="42" t="inlineStr">
        <is>
          <t>1370</t>
        </is>
      </c>
      <c r="H298" s="42" t="inlineStr">
        <is>
          <t>True</t>
        </is>
      </c>
      <c r="I298" s="42" t="inlineStr">
        <is>
          <t>NOT_EVALUATED</t>
        </is>
      </c>
      <c r="J298" s="42" t="inlineStr">
        <is>
          <t>NO_DIRECT_STANDARD_MATRIX_IN_RETRIEVED_SOURCE</t>
        </is>
      </c>
      <c r="K298" s="42" t="str"/>
      <c r="L298" s="42" t="str"/>
      <c r="M298" s="42" t="str"/>
      <c r="N298" s="42" t="str"/>
      <c r="O298" s="42" t="inlineStr">
        <is>
          <t>現行公式資料でこの窓種のSAFE 30mil規格○/×を本Revisionでは直接取得できていない。推測しない。</t>
        </is>
      </c>
    </row>
    <row r="299">
      <c r="A299" s="42" t="inlineStr">
        <is>
          <t>SZ-SL-000298</t>
        </is>
      </c>
      <c r="B299" s="42" t="inlineStr">
        <is>
          <t>WT-SL-SHUTTER-HIKI</t>
        </is>
      </c>
      <c r="C299" s="42" t="inlineStr">
        <is>
          <t>シャッター付引違い窓</t>
        </is>
      </c>
      <c r="D299" s="42" t="inlineStr">
        <is>
          <t>SP-SL-SHUT-E-VENT</t>
        </is>
      </c>
      <c r="E299" s="42" t="inlineStr">
        <is>
          <t>25113-4</t>
        </is>
      </c>
      <c r="F299" s="42" t="inlineStr">
        <is>
          <t>2550</t>
        </is>
      </c>
      <c r="G299" s="42" t="inlineStr">
        <is>
          <t>1370</t>
        </is>
      </c>
      <c r="H299" s="42" t="inlineStr">
        <is>
          <t>True</t>
        </is>
      </c>
      <c r="I299" s="42" t="inlineStr">
        <is>
          <t>NOT_EVALUATED</t>
        </is>
      </c>
      <c r="J299" s="42" t="inlineStr">
        <is>
          <t>NO_DIRECT_STANDARD_MATRIX_IN_RETRIEVED_SOURCE</t>
        </is>
      </c>
      <c r="K299" s="42" t="str"/>
      <c r="L299" s="42" t="str"/>
      <c r="M299" s="42" t="str"/>
      <c r="N299" s="42" t="str"/>
      <c r="O299" s="42" t="inlineStr">
        <is>
          <t>現行公式資料でこの窓種のSAFE 30mil規格○/×を本Revisionでは直接取得できていない。推測しない。</t>
        </is>
      </c>
    </row>
    <row r="300">
      <c r="A300" s="42" t="inlineStr">
        <is>
          <t>SZ-SL-000299</t>
        </is>
      </c>
      <c r="B300" s="42" t="inlineStr">
        <is>
          <t>WT-SL-SHUTTER-HIKI</t>
        </is>
      </c>
      <c r="C300" s="42" t="inlineStr">
        <is>
          <t>シャッター付引違い窓</t>
        </is>
      </c>
      <c r="D300" s="42" t="inlineStr">
        <is>
          <t>SP-SL-SHUT-E-VENT</t>
        </is>
      </c>
      <c r="E300" s="42" t="inlineStr">
        <is>
          <t>25613-2</t>
        </is>
      </c>
      <c r="F300" s="42" t="inlineStr">
        <is>
          <t>2600</t>
        </is>
      </c>
      <c r="G300" s="42" t="inlineStr">
        <is>
          <t>1370</t>
        </is>
      </c>
      <c r="H300" s="42" t="inlineStr">
        <is>
          <t>True</t>
        </is>
      </c>
      <c r="I300" s="42" t="inlineStr">
        <is>
          <t>NOT_EVALUATED</t>
        </is>
      </c>
      <c r="J300" s="42" t="inlineStr">
        <is>
          <t>NO_DIRECT_STANDARD_MATRIX_IN_RETRIEVED_SOURCE</t>
        </is>
      </c>
      <c r="K300" s="42" t="str"/>
      <c r="L300" s="42" t="str"/>
      <c r="M300" s="42" t="str"/>
      <c r="N300" s="42" t="str"/>
      <c r="O300" s="42" t="inlineStr">
        <is>
          <t>現行公式資料でこの窓種のSAFE 30mil規格○/×を本Revisionでは直接取得できていない。推測しない。</t>
        </is>
      </c>
    </row>
    <row r="301">
      <c r="A301" s="42" t="inlineStr">
        <is>
          <t>SZ-SL-000300</t>
        </is>
      </c>
      <c r="B301" s="42" t="inlineStr">
        <is>
          <t>WT-SL-SHUTTER-HIKI</t>
        </is>
      </c>
      <c r="C301" s="42" t="inlineStr">
        <is>
          <t>シャッター付引違い窓</t>
        </is>
      </c>
      <c r="D301" s="42" t="inlineStr">
        <is>
          <t>SP-SL-SHUT-E-VENT</t>
        </is>
      </c>
      <c r="E301" s="42" t="inlineStr">
        <is>
          <t>25613-4</t>
        </is>
      </c>
      <c r="F301" s="42" t="inlineStr">
        <is>
          <t>2600</t>
        </is>
      </c>
      <c r="G301" s="42" t="inlineStr">
        <is>
          <t>1370</t>
        </is>
      </c>
      <c r="H301" s="42" t="inlineStr">
        <is>
          <t>True</t>
        </is>
      </c>
      <c r="I301" s="42" t="inlineStr">
        <is>
          <t>NOT_EVALUATED</t>
        </is>
      </c>
      <c r="J301" s="42" t="inlineStr">
        <is>
          <t>NO_DIRECT_STANDARD_MATRIX_IN_RETRIEVED_SOURCE</t>
        </is>
      </c>
      <c r="K301" s="42" t="str"/>
      <c r="L301" s="42" t="str"/>
      <c r="M301" s="42" t="str"/>
      <c r="N301" s="42" t="str"/>
      <c r="O301" s="42" t="inlineStr">
        <is>
          <t>現行公式資料でこの窓種のSAFE 30mil規格○/×を本Revisionでは直接取得できていない。推測しない。</t>
        </is>
      </c>
    </row>
    <row r="302">
      <c r="A302" s="42" t="inlineStr">
        <is>
          <t>SZ-SL-000301</t>
        </is>
      </c>
      <c r="B302" s="42" t="inlineStr">
        <is>
          <t>WT-SL-SHUTTER-HIKI</t>
        </is>
      </c>
      <c r="C302" s="42" t="inlineStr">
        <is>
          <t>シャッター付引違い窓</t>
        </is>
      </c>
      <c r="D302" s="42" t="inlineStr">
        <is>
          <t>SP-SL-SHUT-E-WIND</t>
        </is>
      </c>
      <c r="E302" s="42" t="inlineStr">
        <is>
          <t>25113-2</t>
        </is>
      </c>
      <c r="F302" s="42" t="inlineStr">
        <is>
          <t>2550</t>
        </is>
      </c>
      <c r="G302" s="42" t="inlineStr">
        <is>
          <t>1370</t>
        </is>
      </c>
      <c r="H302" s="42" t="inlineStr">
        <is>
          <t>True</t>
        </is>
      </c>
      <c r="I302" s="42" t="inlineStr">
        <is>
          <t>NOT_EVALUATED</t>
        </is>
      </c>
      <c r="J302" s="42" t="inlineStr">
        <is>
          <t>NO_DIRECT_STANDARD_MATRIX_IN_RETRIEVED_SOURCE</t>
        </is>
      </c>
      <c r="K302" s="42" t="str"/>
      <c r="L302" s="42" t="str"/>
      <c r="M302" s="42" t="str"/>
      <c r="N302" s="42" t="str"/>
      <c r="O302" s="42" t="inlineStr">
        <is>
          <t>現行公式資料でこの窓種のSAFE 30mil規格○/×を本Revisionでは直接取得できていない。推測しない。</t>
        </is>
      </c>
    </row>
    <row r="303">
      <c r="A303" s="42" t="inlineStr">
        <is>
          <t>SZ-SL-000302</t>
        </is>
      </c>
      <c r="B303" s="42" t="inlineStr">
        <is>
          <t>WT-SL-SHUTTER-HIKI</t>
        </is>
      </c>
      <c r="C303" s="42" t="inlineStr">
        <is>
          <t>シャッター付引違い窓</t>
        </is>
      </c>
      <c r="D303" s="42" t="inlineStr">
        <is>
          <t>SP-SL-SHUT-E-WIND</t>
        </is>
      </c>
      <c r="E303" s="42" t="inlineStr">
        <is>
          <t>25113-4</t>
        </is>
      </c>
      <c r="F303" s="42" t="inlineStr">
        <is>
          <t>2550</t>
        </is>
      </c>
      <c r="G303" s="42" t="inlineStr">
        <is>
          <t>1370</t>
        </is>
      </c>
      <c r="H303" s="42" t="inlineStr">
        <is>
          <t>True</t>
        </is>
      </c>
      <c r="I303" s="42" t="inlineStr">
        <is>
          <t>NOT_EVALUATED</t>
        </is>
      </c>
      <c r="J303" s="42" t="inlineStr">
        <is>
          <t>NO_DIRECT_STANDARD_MATRIX_IN_RETRIEVED_SOURCE</t>
        </is>
      </c>
      <c r="K303" s="42" t="str"/>
      <c r="L303" s="42" t="str"/>
      <c r="M303" s="42" t="str"/>
      <c r="N303" s="42" t="str"/>
      <c r="O303" s="42" t="inlineStr">
        <is>
          <t>現行公式資料でこの窓種のSAFE 30mil規格○/×を本Revisionでは直接取得できていない。推測しない。</t>
        </is>
      </c>
    </row>
    <row r="304">
      <c r="A304" s="42" t="inlineStr">
        <is>
          <t>SZ-SL-000303</t>
        </is>
      </c>
      <c r="B304" s="42" t="inlineStr">
        <is>
          <t>WT-SL-SHUTTER-HIKI</t>
        </is>
      </c>
      <c r="C304" s="42" t="inlineStr">
        <is>
          <t>シャッター付引違い窓</t>
        </is>
      </c>
      <c r="D304" s="42" t="inlineStr">
        <is>
          <t>SP-SL-SHUT-E-WIND</t>
        </is>
      </c>
      <c r="E304" s="42" t="inlineStr">
        <is>
          <t>25613-2</t>
        </is>
      </c>
      <c r="F304" s="42" t="inlineStr">
        <is>
          <t>2600</t>
        </is>
      </c>
      <c r="G304" s="42" t="inlineStr">
        <is>
          <t>1370</t>
        </is>
      </c>
      <c r="H304" s="42" t="inlineStr">
        <is>
          <t>True</t>
        </is>
      </c>
      <c r="I304" s="42" t="inlineStr">
        <is>
          <t>NOT_EVALUATED</t>
        </is>
      </c>
      <c r="J304" s="42" t="inlineStr">
        <is>
          <t>NO_DIRECT_STANDARD_MATRIX_IN_RETRIEVED_SOURCE</t>
        </is>
      </c>
      <c r="K304" s="42" t="str"/>
      <c r="L304" s="42" t="str"/>
      <c r="M304" s="42" t="str"/>
      <c r="N304" s="42" t="str"/>
      <c r="O304" s="42" t="inlineStr">
        <is>
          <t>現行公式資料でこの窓種のSAFE 30mil規格○/×を本Revisionでは直接取得できていない。推測しない。</t>
        </is>
      </c>
    </row>
    <row r="305">
      <c r="A305" s="42" t="inlineStr">
        <is>
          <t>SZ-SL-000304</t>
        </is>
      </c>
      <c r="B305" s="42" t="inlineStr">
        <is>
          <t>WT-SL-SHUTTER-HIKI</t>
        </is>
      </c>
      <c r="C305" s="42" t="inlineStr">
        <is>
          <t>シャッター付引違い窓</t>
        </is>
      </c>
      <c r="D305" s="42" t="inlineStr">
        <is>
          <t>SP-SL-SHUT-E-WIND</t>
        </is>
      </c>
      <c r="E305" s="42" t="inlineStr">
        <is>
          <t>25613-4</t>
        </is>
      </c>
      <c r="F305" s="42" t="inlineStr">
        <is>
          <t>2600</t>
        </is>
      </c>
      <c r="G305" s="42" t="inlineStr">
        <is>
          <t>1370</t>
        </is>
      </c>
      <c r="H305" s="42" t="inlineStr">
        <is>
          <t>True</t>
        </is>
      </c>
      <c r="I305" s="42" t="inlineStr">
        <is>
          <t>NOT_EVALUATED</t>
        </is>
      </c>
      <c r="J305" s="42" t="inlineStr">
        <is>
          <t>NO_DIRECT_STANDARD_MATRIX_IN_RETRIEVED_SOURCE</t>
        </is>
      </c>
      <c r="K305" s="42" t="str"/>
      <c r="L305" s="42" t="str"/>
      <c r="M305" s="42" t="str"/>
      <c r="N305" s="42" t="str"/>
      <c r="O305" s="42" t="inlineStr">
        <is>
          <t>現行公式資料でこの窓種のSAFE 30mil規格○/×を本Revisionでは直接取得できていない。推測しない。</t>
        </is>
      </c>
    </row>
    <row r="306">
      <c r="A306" s="42" t="inlineStr">
        <is>
          <t>SZ-SL-000305</t>
        </is>
      </c>
      <c r="B306" s="42" t="inlineStr">
        <is>
          <t>WT-SL-SHUTTER-HIKI</t>
        </is>
      </c>
      <c r="C306" s="42" t="inlineStr">
        <is>
          <t>シャッター付引違い窓</t>
        </is>
      </c>
      <c r="D306" s="42" t="inlineStr">
        <is>
          <t>SP-SL-SHUT-E-STD</t>
        </is>
      </c>
      <c r="E306" s="42" t="inlineStr">
        <is>
          <t>11918</t>
        </is>
      </c>
      <c r="F306" s="42" t="inlineStr">
        <is>
          <t>1235</t>
        </is>
      </c>
      <c r="G306" s="42" t="inlineStr">
        <is>
          <t>1830</t>
        </is>
      </c>
      <c r="H306" s="42" t="inlineStr">
        <is>
          <t>True</t>
        </is>
      </c>
      <c r="I306" s="42" t="inlineStr">
        <is>
          <t>NOT_EVALUATED</t>
        </is>
      </c>
      <c r="J306" s="42" t="inlineStr">
        <is>
          <t>NO_DIRECT_STANDARD_MATRIX_IN_RETRIEVED_SOURCE</t>
        </is>
      </c>
      <c r="K306" s="42" t="str"/>
      <c r="L306" s="42" t="str"/>
      <c r="M306" s="42" t="str"/>
      <c r="N306" s="42" t="str"/>
      <c r="O306" s="42" t="inlineStr">
        <is>
          <t>現行公式資料でこの窓種のSAFE 30mil規格○/×を本Revisionでは直接取得できていない。推測しない。</t>
        </is>
      </c>
    </row>
    <row r="307">
      <c r="A307" s="42" t="inlineStr">
        <is>
          <t>SZ-SL-000306</t>
        </is>
      </c>
      <c r="B307" s="42" t="inlineStr">
        <is>
          <t>WT-SL-SHUTTER-HIKI</t>
        </is>
      </c>
      <c r="C307" s="42" t="inlineStr">
        <is>
          <t>シャッター付引違い窓</t>
        </is>
      </c>
      <c r="D307" s="42" t="inlineStr">
        <is>
          <t>SP-SL-SHUT-E-STD</t>
        </is>
      </c>
      <c r="E307" s="42" t="inlineStr">
        <is>
          <t>11920</t>
        </is>
      </c>
      <c r="F307" s="42" t="inlineStr">
        <is>
          <t>1235</t>
        </is>
      </c>
      <c r="G307" s="42" t="inlineStr">
        <is>
          <t>2030</t>
        </is>
      </c>
      <c r="H307" s="42" t="inlineStr">
        <is>
          <t>True</t>
        </is>
      </c>
      <c r="I307" s="42" t="inlineStr">
        <is>
          <t>NOT_EVALUATED</t>
        </is>
      </c>
      <c r="J307" s="42" t="inlineStr">
        <is>
          <t>NO_DIRECT_STANDARD_MATRIX_IN_RETRIEVED_SOURCE</t>
        </is>
      </c>
      <c r="K307" s="42" t="str"/>
      <c r="L307" s="42" t="str"/>
      <c r="M307" s="42" t="str"/>
      <c r="N307" s="42" t="str"/>
      <c r="O307" s="42" t="inlineStr">
        <is>
          <t>現行公式資料でこの窓種のSAFE 30mil規格○/×を本Revisionでは直接取得できていない。推測しない。</t>
        </is>
      </c>
    </row>
    <row r="308">
      <c r="A308" s="42" t="inlineStr">
        <is>
          <t>SZ-SL-000307</t>
        </is>
      </c>
      <c r="B308" s="42" t="inlineStr">
        <is>
          <t>WT-SL-SHUTTER-HIKI</t>
        </is>
      </c>
      <c r="C308" s="42" t="inlineStr">
        <is>
          <t>シャッター付引違い窓</t>
        </is>
      </c>
      <c r="D308" s="42" t="inlineStr">
        <is>
          <t>SP-SL-SHUT-E-STD</t>
        </is>
      </c>
      <c r="E308" s="42" t="inlineStr">
        <is>
          <t>13318</t>
        </is>
      </c>
      <c r="F308" s="42" t="inlineStr">
        <is>
          <t>1370</t>
        </is>
      </c>
      <c r="G308" s="42" t="inlineStr">
        <is>
          <t>1830</t>
        </is>
      </c>
      <c r="H308" s="42" t="inlineStr">
        <is>
          <t>True</t>
        </is>
      </c>
      <c r="I308" s="42" t="inlineStr">
        <is>
          <t>NOT_EVALUATED</t>
        </is>
      </c>
      <c r="J308" s="42" t="inlineStr">
        <is>
          <t>NO_DIRECT_STANDARD_MATRIX_IN_RETRIEVED_SOURCE</t>
        </is>
      </c>
      <c r="K308" s="42" t="str"/>
      <c r="L308" s="42" t="str"/>
      <c r="M308" s="42" t="str"/>
      <c r="N308" s="42" t="str"/>
      <c r="O308" s="42" t="inlineStr">
        <is>
          <t>現行公式資料でこの窓種のSAFE 30mil規格○/×を本Revisionでは直接取得できていない。推測しない。</t>
        </is>
      </c>
    </row>
    <row r="309">
      <c r="A309" s="42" t="inlineStr">
        <is>
          <t>SZ-SL-000308</t>
        </is>
      </c>
      <c r="B309" s="42" t="inlineStr">
        <is>
          <t>WT-SL-SHUTTER-HIKI</t>
        </is>
      </c>
      <c r="C309" s="42" t="inlineStr">
        <is>
          <t>シャッター付引違い窓</t>
        </is>
      </c>
      <c r="D309" s="42" t="inlineStr">
        <is>
          <t>SP-SL-SHUT-E-STD</t>
        </is>
      </c>
      <c r="E309" s="42" t="inlineStr">
        <is>
          <t>13320</t>
        </is>
      </c>
      <c r="F309" s="42" t="inlineStr">
        <is>
          <t>1370</t>
        </is>
      </c>
      <c r="G309" s="42" t="inlineStr">
        <is>
          <t>2030</t>
        </is>
      </c>
      <c r="H309" s="42" t="inlineStr">
        <is>
          <t>True</t>
        </is>
      </c>
      <c r="I309" s="42" t="inlineStr">
        <is>
          <t>NOT_EVALUATED</t>
        </is>
      </c>
      <c r="J309" s="42" t="inlineStr">
        <is>
          <t>NO_DIRECT_STANDARD_MATRIX_IN_RETRIEVED_SOURCE</t>
        </is>
      </c>
      <c r="K309" s="42" t="str"/>
      <c r="L309" s="42" t="str"/>
      <c r="M309" s="42" t="str"/>
      <c r="N309" s="42" t="str"/>
      <c r="O309" s="42" t="inlineStr">
        <is>
          <t>現行公式資料でこの窓種のSAFE 30mil規格○/×を本Revisionでは直接取得できていない。推測しない。</t>
        </is>
      </c>
    </row>
    <row r="310">
      <c r="A310" s="42" t="inlineStr">
        <is>
          <t>SZ-SL-000309</t>
        </is>
      </c>
      <c r="B310" s="42" t="inlineStr">
        <is>
          <t>WT-SL-SHUTTER-HIKI</t>
        </is>
      </c>
      <c r="C310" s="42" t="inlineStr">
        <is>
          <t>シャッター付引違い窓</t>
        </is>
      </c>
      <c r="D310" s="42" t="inlineStr">
        <is>
          <t>SP-SL-SHUT-E-STD</t>
        </is>
      </c>
      <c r="E310" s="42" t="inlineStr">
        <is>
          <t>15018</t>
        </is>
      </c>
      <c r="F310" s="42" t="inlineStr">
        <is>
          <t>1540</t>
        </is>
      </c>
      <c r="G310" s="42" t="inlineStr">
        <is>
          <t>1830</t>
        </is>
      </c>
      <c r="H310" s="42" t="inlineStr">
        <is>
          <t>True</t>
        </is>
      </c>
      <c r="I310" s="42" t="inlineStr">
        <is>
          <t>NOT_EVALUATED</t>
        </is>
      </c>
      <c r="J310" s="42" t="inlineStr">
        <is>
          <t>NO_DIRECT_STANDARD_MATRIX_IN_RETRIEVED_SOURCE</t>
        </is>
      </c>
      <c r="K310" s="42" t="str"/>
      <c r="L310" s="42" t="str"/>
      <c r="M310" s="42" t="str"/>
      <c r="N310" s="42" t="str"/>
      <c r="O310" s="42" t="inlineStr">
        <is>
          <t>現行公式資料でこの窓種のSAFE 30mil規格○/×を本Revisionでは直接取得できていない。推測しない。</t>
        </is>
      </c>
    </row>
    <row r="311">
      <c r="A311" s="42" t="inlineStr">
        <is>
          <t>SZ-SL-000310</t>
        </is>
      </c>
      <c r="B311" s="42" t="inlineStr">
        <is>
          <t>WT-SL-SHUTTER-HIKI</t>
        </is>
      </c>
      <c r="C311" s="42" t="inlineStr">
        <is>
          <t>シャッター付引違い窓</t>
        </is>
      </c>
      <c r="D311" s="42" t="inlineStr">
        <is>
          <t>SP-SL-SHUT-E-STD</t>
        </is>
      </c>
      <c r="E311" s="42" t="inlineStr">
        <is>
          <t>15020</t>
        </is>
      </c>
      <c r="F311" s="42" t="inlineStr">
        <is>
          <t>1540</t>
        </is>
      </c>
      <c r="G311" s="42" t="inlineStr">
        <is>
          <t>2030</t>
        </is>
      </c>
      <c r="H311" s="42" t="inlineStr">
        <is>
          <t>True</t>
        </is>
      </c>
      <c r="I311" s="42" t="inlineStr">
        <is>
          <t>NOT_EVALUATED</t>
        </is>
      </c>
      <c r="J311" s="42" t="inlineStr">
        <is>
          <t>NO_DIRECT_STANDARD_MATRIX_IN_RETRIEVED_SOURCE</t>
        </is>
      </c>
      <c r="K311" s="42" t="str"/>
      <c r="L311" s="42" t="str"/>
      <c r="M311" s="42" t="str"/>
      <c r="N311" s="42" t="str"/>
      <c r="O311" s="42" t="inlineStr">
        <is>
          <t>現行公式資料でこの窓種のSAFE 30mil規格○/×を本Revisionでは直接取得できていない。推測しない。</t>
        </is>
      </c>
    </row>
    <row r="312">
      <c r="A312" s="42" t="inlineStr">
        <is>
          <t>SZ-SL-000311</t>
        </is>
      </c>
      <c r="B312" s="42" t="inlineStr">
        <is>
          <t>WT-SL-SHUTTER-HIKI</t>
        </is>
      </c>
      <c r="C312" s="42" t="inlineStr">
        <is>
          <t>シャッター付引違い窓</t>
        </is>
      </c>
      <c r="D312" s="42" t="inlineStr">
        <is>
          <t>SP-SL-SHUT-E-STD</t>
        </is>
      </c>
      <c r="E312" s="42" t="inlineStr">
        <is>
          <t>16018</t>
        </is>
      </c>
      <c r="F312" s="42" t="inlineStr">
        <is>
          <t>1640</t>
        </is>
      </c>
      <c r="G312" s="42" t="inlineStr">
        <is>
          <t>1830</t>
        </is>
      </c>
      <c r="H312" s="42" t="inlineStr">
        <is>
          <t>True</t>
        </is>
      </c>
      <c r="I312" s="42" t="inlineStr">
        <is>
          <t>NOT_EVALUATED</t>
        </is>
      </c>
      <c r="J312" s="42" t="inlineStr">
        <is>
          <t>NO_DIRECT_STANDARD_MATRIX_IN_RETRIEVED_SOURCE</t>
        </is>
      </c>
      <c r="K312" s="42" t="str"/>
      <c r="L312" s="42" t="str"/>
      <c r="M312" s="42" t="str"/>
      <c r="N312" s="42" t="str"/>
      <c r="O312" s="42" t="inlineStr">
        <is>
          <t>現行公式資料でこの窓種のSAFE 30mil規格○/×を本Revisionでは直接取得できていない。推測しない。</t>
        </is>
      </c>
    </row>
    <row r="313">
      <c r="A313" s="42" t="inlineStr">
        <is>
          <t>SZ-SL-000312</t>
        </is>
      </c>
      <c r="B313" s="42" t="inlineStr">
        <is>
          <t>WT-SL-SHUTTER-HIKI</t>
        </is>
      </c>
      <c r="C313" s="42" t="inlineStr">
        <is>
          <t>シャッター付引違い窓</t>
        </is>
      </c>
      <c r="D313" s="42" t="inlineStr">
        <is>
          <t>SP-SL-SHUT-E-STD</t>
        </is>
      </c>
      <c r="E313" s="42" t="inlineStr">
        <is>
          <t>16020</t>
        </is>
      </c>
      <c r="F313" s="42" t="inlineStr">
        <is>
          <t>1640</t>
        </is>
      </c>
      <c r="G313" s="42" t="inlineStr">
        <is>
          <t>2030</t>
        </is>
      </c>
      <c r="H313" s="42" t="inlineStr">
        <is>
          <t>True</t>
        </is>
      </c>
      <c r="I313" s="42" t="inlineStr">
        <is>
          <t>NOT_EVALUATED</t>
        </is>
      </c>
      <c r="J313" s="42" t="inlineStr">
        <is>
          <t>NO_DIRECT_STANDARD_MATRIX_IN_RETRIEVED_SOURCE</t>
        </is>
      </c>
      <c r="K313" s="42" t="str"/>
      <c r="L313" s="42" t="str"/>
      <c r="M313" s="42" t="str"/>
      <c r="N313" s="42" t="str"/>
      <c r="O313" s="42" t="inlineStr">
        <is>
          <t>現行公式資料でこの窓種のSAFE 30mil規格○/×を本Revisionでは直接取得できていない。推測しない。</t>
        </is>
      </c>
    </row>
    <row r="314">
      <c r="A314" s="42" t="inlineStr">
        <is>
          <t>SZ-SL-000313</t>
        </is>
      </c>
      <c r="B314" s="42" t="inlineStr">
        <is>
          <t>WT-SL-SHUTTER-HIKI</t>
        </is>
      </c>
      <c r="C314" s="42" t="inlineStr">
        <is>
          <t>シャッター付引違い窓</t>
        </is>
      </c>
      <c r="D314" s="42" t="inlineStr">
        <is>
          <t>SP-SL-SHUT-E-VENT</t>
        </is>
      </c>
      <c r="E314" s="42" t="inlineStr">
        <is>
          <t>11918</t>
        </is>
      </c>
      <c r="F314" s="42" t="inlineStr">
        <is>
          <t>1235</t>
        </is>
      </c>
      <c r="G314" s="42" t="inlineStr">
        <is>
          <t>1830</t>
        </is>
      </c>
      <c r="H314" s="42" t="inlineStr">
        <is>
          <t>True</t>
        </is>
      </c>
      <c r="I314" s="42" t="inlineStr">
        <is>
          <t>NOT_EVALUATED</t>
        </is>
      </c>
      <c r="J314" s="42" t="inlineStr">
        <is>
          <t>NO_DIRECT_STANDARD_MATRIX_IN_RETRIEVED_SOURCE</t>
        </is>
      </c>
      <c r="K314" s="42" t="str"/>
      <c r="L314" s="42" t="str"/>
      <c r="M314" s="42" t="str"/>
      <c r="N314" s="42" t="str"/>
      <c r="O314" s="42" t="inlineStr">
        <is>
          <t>現行公式資料でこの窓種のSAFE 30mil規格○/×を本Revisionでは直接取得できていない。推測しない。</t>
        </is>
      </c>
    </row>
    <row r="315">
      <c r="A315" s="42" t="inlineStr">
        <is>
          <t>SZ-SL-000314</t>
        </is>
      </c>
      <c r="B315" s="42" t="inlineStr">
        <is>
          <t>WT-SL-SHUTTER-HIKI</t>
        </is>
      </c>
      <c r="C315" s="42" t="inlineStr">
        <is>
          <t>シャッター付引違い窓</t>
        </is>
      </c>
      <c r="D315" s="42" t="inlineStr">
        <is>
          <t>SP-SL-SHUT-E-VENT</t>
        </is>
      </c>
      <c r="E315" s="42" t="inlineStr">
        <is>
          <t>11920</t>
        </is>
      </c>
      <c r="F315" s="42" t="inlineStr">
        <is>
          <t>1235</t>
        </is>
      </c>
      <c r="G315" s="42" t="inlineStr">
        <is>
          <t>2030</t>
        </is>
      </c>
      <c r="H315" s="42" t="inlineStr">
        <is>
          <t>True</t>
        </is>
      </c>
      <c r="I315" s="42" t="inlineStr">
        <is>
          <t>NOT_EVALUATED</t>
        </is>
      </c>
      <c r="J315" s="42" t="inlineStr">
        <is>
          <t>NO_DIRECT_STANDARD_MATRIX_IN_RETRIEVED_SOURCE</t>
        </is>
      </c>
      <c r="K315" s="42" t="str"/>
      <c r="L315" s="42" t="str"/>
      <c r="M315" s="42" t="str"/>
      <c r="N315" s="42" t="str"/>
      <c r="O315" s="42" t="inlineStr">
        <is>
          <t>現行公式資料でこの窓種のSAFE 30mil規格○/×を本Revisionでは直接取得できていない。推測しない。</t>
        </is>
      </c>
    </row>
    <row r="316">
      <c r="A316" s="42" t="inlineStr">
        <is>
          <t>SZ-SL-000315</t>
        </is>
      </c>
      <c r="B316" s="42" t="inlineStr">
        <is>
          <t>WT-SL-SHUTTER-HIKI</t>
        </is>
      </c>
      <c r="C316" s="42" t="inlineStr">
        <is>
          <t>シャッター付引違い窓</t>
        </is>
      </c>
      <c r="D316" s="42" t="inlineStr">
        <is>
          <t>SP-SL-SHUT-E-VENT</t>
        </is>
      </c>
      <c r="E316" s="42" t="inlineStr">
        <is>
          <t>13318</t>
        </is>
      </c>
      <c r="F316" s="42" t="inlineStr">
        <is>
          <t>1370</t>
        </is>
      </c>
      <c r="G316" s="42" t="inlineStr">
        <is>
          <t>1830</t>
        </is>
      </c>
      <c r="H316" s="42" t="inlineStr">
        <is>
          <t>True</t>
        </is>
      </c>
      <c r="I316" s="42" t="inlineStr">
        <is>
          <t>NOT_EVALUATED</t>
        </is>
      </c>
      <c r="J316" s="42" t="inlineStr">
        <is>
          <t>NO_DIRECT_STANDARD_MATRIX_IN_RETRIEVED_SOURCE</t>
        </is>
      </c>
      <c r="K316" s="42" t="str"/>
      <c r="L316" s="42" t="str"/>
      <c r="M316" s="42" t="str"/>
      <c r="N316" s="42" t="str"/>
      <c r="O316" s="42" t="inlineStr">
        <is>
          <t>現行公式資料でこの窓種のSAFE 30mil規格○/×を本Revisionでは直接取得できていない。推測しない。</t>
        </is>
      </c>
    </row>
    <row r="317">
      <c r="A317" s="42" t="inlineStr">
        <is>
          <t>SZ-SL-000316</t>
        </is>
      </c>
      <c r="B317" s="42" t="inlineStr">
        <is>
          <t>WT-SL-SHUTTER-HIKI</t>
        </is>
      </c>
      <c r="C317" s="42" t="inlineStr">
        <is>
          <t>シャッター付引違い窓</t>
        </is>
      </c>
      <c r="D317" s="42" t="inlineStr">
        <is>
          <t>SP-SL-SHUT-E-VENT</t>
        </is>
      </c>
      <c r="E317" s="42" t="inlineStr">
        <is>
          <t>13320</t>
        </is>
      </c>
      <c r="F317" s="42" t="inlineStr">
        <is>
          <t>1370</t>
        </is>
      </c>
      <c r="G317" s="42" t="inlineStr">
        <is>
          <t>2030</t>
        </is>
      </c>
      <c r="H317" s="42" t="inlineStr">
        <is>
          <t>True</t>
        </is>
      </c>
      <c r="I317" s="42" t="inlineStr">
        <is>
          <t>NOT_EVALUATED</t>
        </is>
      </c>
      <c r="J317" s="42" t="inlineStr">
        <is>
          <t>NO_DIRECT_STANDARD_MATRIX_IN_RETRIEVED_SOURCE</t>
        </is>
      </c>
      <c r="K317" s="42" t="str"/>
      <c r="L317" s="42" t="str"/>
      <c r="M317" s="42" t="str"/>
      <c r="N317" s="42" t="str"/>
      <c r="O317" s="42" t="inlineStr">
        <is>
          <t>現行公式資料でこの窓種のSAFE 30mil規格○/×を本Revisionでは直接取得できていない。推測しない。</t>
        </is>
      </c>
    </row>
    <row r="318">
      <c r="A318" s="42" t="inlineStr">
        <is>
          <t>SZ-SL-000317</t>
        </is>
      </c>
      <c r="B318" s="42" t="inlineStr">
        <is>
          <t>WT-SL-SHUTTER-HIKI</t>
        </is>
      </c>
      <c r="C318" s="42" t="inlineStr">
        <is>
          <t>シャッター付引違い窓</t>
        </is>
      </c>
      <c r="D318" s="42" t="inlineStr">
        <is>
          <t>SP-SL-SHUT-E-VENT</t>
        </is>
      </c>
      <c r="E318" s="42" t="inlineStr">
        <is>
          <t>15018</t>
        </is>
      </c>
      <c r="F318" s="42" t="inlineStr">
        <is>
          <t>1540</t>
        </is>
      </c>
      <c r="G318" s="42" t="inlineStr">
        <is>
          <t>1830</t>
        </is>
      </c>
      <c r="H318" s="42" t="inlineStr">
        <is>
          <t>True</t>
        </is>
      </c>
      <c r="I318" s="42" t="inlineStr">
        <is>
          <t>NOT_EVALUATED</t>
        </is>
      </c>
      <c r="J318" s="42" t="inlineStr">
        <is>
          <t>NO_DIRECT_STANDARD_MATRIX_IN_RETRIEVED_SOURCE</t>
        </is>
      </c>
      <c r="K318" s="42" t="str"/>
      <c r="L318" s="42" t="str"/>
      <c r="M318" s="42" t="str"/>
      <c r="N318" s="42" t="str"/>
      <c r="O318" s="42" t="inlineStr">
        <is>
          <t>現行公式資料でこの窓種のSAFE 30mil規格○/×を本Revisionでは直接取得できていない。推測しない。</t>
        </is>
      </c>
    </row>
    <row r="319">
      <c r="A319" s="42" t="inlineStr">
        <is>
          <t>SZ-SL-000318</t>
        </is>
      </c>
      <c r="B319" s="42" t="inlineStr">
        <is>
          <t>WT-SL-SHUTTER-HIKI</t>
        </is>
      </c>
      <c r="C319" s="42" t="inlineStr">
        <is>
          <t>シャッター付引違い窓</t>
        </is>
      </c>
      <c r="D319" s="42" t="inlineStr">
        <is>
          <t>SP-SL-SHUT-E-VENT</t>
        </is>
      </c>
      <c r="E319" s="42" t="inlineStr">
        <is>
          <t>15020</t>
        </is>
      </c>
      <c r="F319" s="42" t="inlineStr">
        <is>
          <t>1540</t>
        </is>
      </c>
      <c r="G319" s="42" t="inlineStr">
        <is>
          <t>2030</t>
        </is>
      </c>
      <c r="H319" s="42" t="inlineStr">
        <is>
          <t>True</t>
        </is>
      </c>
      <c r="I319" s="42" t="inlineStr">
        <is>
          <t>NOT_EVALUATED</t>
        </is>
      </c>
      <c r="J319" s="42" t="inlineStr">
        <is>
          <t>NO_DIRECT_STANDARD_MATRIX_IN_RETRIEVED_SOURCE</t>
        </is>
      </c>
      <c r="K319" s="42" t="str"/>
      <c r="L319" s="42" t="str"/>
      <c r="M319" s="42" t="str"/>
      <c r="N319" s="42" t="str"/>
      <c r="O319" s="42" t="inlineStr">
        <is>
          <t>現行公式資料でこの窓種のSAFE 30mil規格○/×を本Revisionでは直接取得できていない。推測しない。</t>
        </is>
      </c>
    </row>
    <row r="320">
      <c r="A320" s="42" t="inlineStr">
        <is>
          <t>SZ-SL-000319</t>
        </is>
      </c>
      <c r="B320" s="42" t="inlineStr">
        <is>
          <t>WT-SL-SHUTTER-HIKI</t>
        </is>
      </c>
      <c r="C320" s="42" t="inlineStr">
        <is>
          <t>シャッター付引違い窓</t>
        </is>
      </c>
      <c r="D320" s="42" t="inlineStr">
        <is>
          <t>SP-SL-SHUT-E-VENT</t>
        </is>
      </c>
      <c r="E320" s="42" t="inlineStr">
        <is>
          <t>16018</t>
        </is>
      </c>
      <c r="F320" s="42" t="inlineStr">
        <is>
          <t>1640</t>
        </is>
      </c>
      <c r="G320" s="42" t="inlineStr">
        <is>
          <t>1830</t>
        </is>
      </c>
      <c r="H320" s="42" t="inlineStr">
        <is>
          <t>True</t>
        </is>
      </c>
      <c r="I320" s="42" t="inlineStr">
        <is>
          <t>NOT_EVALUATED</t>
        </is>
      </c>
      <c r="J320" s="42" t="inlineStr">
        <is>
          <t>NO_DIRECT_STANDARD_MATRIX_IN_RETRIEVED_SOURCE</t>
        </is>
      </c>
      <c r="K320" s="42" t="str"/>
      <c r="L320" s="42" t="str"/>
      <c r="M320" s="42" t="str"/>
      <c r="N320" s="42" t="str"/>
      <c r="O320" s="42" t="inlineStr">
        <is>
          <t>現行公式資料でこの窓種のSAFE 30mil規格○/×を本Revisionでは直接取得できていない。推測しない。</t>
        </is>
      </c>
    </row>
    <row r="321">
      <c r="A321" s="42" t="inlineStr">
        <is>
          <t>SZ-SL-000320</t>
        </is>
      </c>
      <c r="B321" s="42" t="inlineStr">
        <is>
          <t>WT-SL-SHUTTER-HIKI</t>
        </is>
      </c>
      <c r="C321" s="42" t="inlineStr">
        <is>
          <t>シャッター付引違い窓</t>
        </is>
      </c>
      <c r="D321" s="42" t="inlineStr">
        <is>
          <t>SP-SL-SHUT-E-VENT</t>
        </is>
      </c>
      <c r="E321" s="42" t="inlineStr">
        <is>
          <t>16020</t>
        </is>
      </c>
      <c r="F321" s="42" t="inlineStr">
        <is>
          <t>1640</t>
        </is>
      </c>
      <c r="G321" s="42" t="inlineStr">
        <is>
          <t>2030</t>
        </is>
      </c>
      <c r="H321" s="42" t="inlineStr">
        <is>
          <t>True</t>
        </is>
      </c>
      <c r="I321" s="42" t="inlineStr">
        <is>
          <t>NOT_EVALUATED</t>
        </is>
      </c>
      <c r="J321" s="42" t="inlineStr">
        <is>
          <t>NO_DIRECT_STANDARD_MATRIX_IN_RETRIEVED_SOURCE</t>
        </is>
      </c>
      <c r="K321" s="42" t="str"/>
      <c r="L321" s="42" t="str"/>
      <c r="M321" s="42" t="str"/>
      <c r="N321" s="42" t="str"/>
      <c r="O321" s="42" t="inlineStr">
        <is>
          <t>現行公式資料でこの窓種のSAFE 30mil規格○/×を本Revisionでは直接取得できていない。推測しない。</t>
        </is>
      </c>
    </row>
    <row r="322">
      <c r="A322" s="42" t="inlineStr">
        <is>
          <t>SZ-SL-000321</t>
        </is>
      </c>
      <c r="B322" s="42" t="inlineStr">
        <is>
          <t>WT-SL-SHUTTER-HIKI</t>
        </is>
      </c>
      <c r="C322" s="42" t="inlineStr">
        <is>
          <t>シャッター付引違い窓</t>
        </is>
      </c>
      <c r="D322" s="42" t="inlineStr">
        <is>
          <t>SP-SL-SHUT-E-WIND</t>
        </is>
      </c>
      <c r="E322" s="42" t="inlineStr">
        <is>
          <t>11918</t>
        </is>
      </c>
      <c r="F322" s="42" t="inlineStr">
        <is>
          <t>1235</t>
        </is>
      </c>
      <c r="G322" s="42" t="inlineStr">
        <is>
          <t>1830</t>
        </is>
      </c>
      <c r="H322" s="42" t="inlineStr">
        <is>
          <t>True</t>
        </is>
      </c>
      <c r="I322" s="42" t="inlineStr">
        <is>
          <t>NOT_EVALUATED</t>
        </is>
      </c>
      <c r="J322" s="42" t="inlineStr">
        <is>
          <t>NO_DIRECT_STANDARD_MATRIX_IN_RETRIEVED_SOURCE</t>
        </is>
      </c>
      <c r="K322" s="42" t="str"/>
      <c r="L322" s="42" t="str"/>
      <c r="M322" s="42" t="str"/>
      <c r="N322" s="42" t="str"/>
      <c r="O322" s="42" t="inlineStr">
        <is>
          <t>現行公式資料でこの窓種のSAFE 30mil規格○/×を本Revisionでは直接取得できていない。推測しない。</t>
        </is>
      </c>
    </row>
    <row r="323">
      <c r="A323" s="42" t="inlineStr">
        <is>
          <t>SZ-SL-000322</t>
        </is>
      </c>
      <c r="B323" s="42" t="inlineStr">
        <is>
          <t>WT-SL-SHUTTER-HIKI</t>
        </is>
      </c>
      <c r="C323" s="42" t="inlineStr">
        <is>
          <t>シャッター付引違い窓</t>
        </is>
      </c>
      <c r="D323" s="42" t="inlineStr">
        <is>
          <t>SP-SL-SHUT-E-WIND</t>
        </is>
      </c>
      <c r="E323" s="42" t="inlineStr">
        <is>
          <t>11920</t>
        </is>
      </c>
      <c r="F323" s="42" t="inlineStr">
        <is>
          <t>1235</t>
        </is>
      </c>
      <c r="G323" s="42" t="inlineStr">
        <is>
          <t>2030</t>
        </is>
      </c>
      <c r="H323" s="42" t="inlineStr">
        <is>
          <t>True</t>
        </is>
      </c>
      <c r="I323" s="42" t="inlineStr">
        <is>
          <t>NOT_EVALUATED</t>
        </is>
      </c>
      <c r="J323" s="42" t="inlineStr">
        <is>
          <t>NO_DIRECT_STANDARD_MATRIX_IN_RETRIEVED_SOURCE</t>
        </is>
      </c>
      <c r="K323" s="42" t="str"/>
      <c r="L323" s="42" t="str"/>
      <c r="M323" s="42" t="str"/>
      <c r="N323" s="42" t="str"/>
      <c r="O323" s="42" t="inlineStr">
        <is>
          <t>現行公式資料でこの窓種のSAFE 30mil規格○/×を本Revisionでは直接取得できていない。推測しない。</t>
        </is>
      </c>
    </row>
    <row r="324">
      <c r="A324" s="42" t="inlineStr">
        <is>
          <t>SZ-SL-000323</t>
        </is>
      </c>
      <c r="B324" s="42" t="inlineStr">
        <is>
          <t>WT-SL-SHUTTER-HIKI</t>
        </is>
      </c>
      <c r="C324" s="42" t="inlineStr">
        <is>
          <t>シャッター付引違い窓</t>
        </is>
      </c>
      <c r="D324" s="42" t="inlineStr">
        <is>
          <t>SP-SL-SHUT-E-WIND</t>
        </is>
      </c>
      <c r="E324" s="42" t="inlineStr">
        <is>
          <t>13318</t>
        </is>
      </c>
      <c r="F324" s="42" t="inlineStr">
        <is>
          <t>1370</t>
        </is>
      </c>
      <c r="G324" s="42" t="inlineStr">
        <is>
          <t>1830</t>
        </is>
      </c>
      <c r="H324" s="42" t="inlineStr">
        <is>
          <t>False</t>
        </is>
      </c>
      <c r="I324" s="42" t="inlineStr">
        <is>
          <t>NOT_EVALUATED</t>
        </is>
      </c>
      <c r="J324" s="42" t="inlineStr">
        <is>
          <t>NO_DIRECT_STANDARD_MATRIX_IN_RETRIEVED_SOURCE</t>
        </is>
      </c>
      <c r="K324" s="42" t="str"/>
      <c r="L324" s="42" t="str"/>
      <c r="M324" s="42" t="str"/>
      <c r="N324" s="42" t="str"/>
      <c r="O324" s="42" t="inlineStr">
        <is>
          <t>現行公式資料でこの窓種のSAFE 30mil規格○/×を本Revisionでは直接取得できていない。推測しない。</t>
        </is>
      </c>
    </row>
    <row r="325">
      <c r="A325" s="42" t="inlineStr">
        <is>
          <t>SZ-SL-000324</t>
        </is>
      </c>
      <c r="B325" s="42" t="inlineStr">
        <is>
          <t>WT-SL-SHUTTER-HIKI</t>
        </is>
      </c>
      <c r="C325" s="42" t="inlineStr">
        <is>
          <t>シャッター付引違い窓</t>
        </is>
      </c>
      <c r="D325" s="42" t="inlineStr">
        <is>
          <t>SP-SL-SHUT-E-WIND</t>
        </is>
      </c>
      <c r="E325" s="42" t="inlineStr">
        <is>
          <t>13320</t>
        </is>
      </c>
      <c r="F325" s="42" t="inlineStr">
        <is>
          <t>1370</t>
        </is>
      </c>
      <c r="G325" s="42" t="inlineStr">
        <is>
          <t>2030</t>
        </is>
      </c>
      <c r="H325" s="42" t="inlineStr">
        <is>
          <t>False</t>
        </is>
      </c>
      <c r="I325" s="42" t="inlineStr">
        <is>
          <t>NOT_EVALUATED</t>
        </is>
      </c>
      <c r="J325" s="42" t="inlineStr">
        <is>
          <t>NO_DIRECT_STANDARD_MATRIX_IN_RETRIEVED_SOURCE</t>
        </is>
      </c>
      <c r="K325" s="42" t="str"/>
      <c r="L325" s="42" t="str"/>
      <c r="M325" s="42" t="str"/>
      <c r="N325" s="42" t="str"/>
      <c r="O325" s="42" t="inlineStr">
        <is>
          <t>現行公式資料でこの窓種のSAFE 30mil規格○/×を本Revisionでは直接取得できていない。推測しない。</t>
        </is>
      </c>
    </row>
    <row r="326">
      <c r="A326" s="42" t="inlineStr">
        <is>
          <t>SZ-SL-000325</t>
        </is>
      </c>
      <c r="B326" s="42" t="inlineStr">
        <is>
          <t>WT-SL-SHUTTER-HIKI</t>
        </is>
      </c>
      <c r="C326" s="42" t="inlineStr">
        <is>
          <t>シャッター付引違い窓</t>
        </is>
      </c>
      <c r="D326" s="42" t="inlineStr">
        <is>
          <t>SP-SL-SHUT-E-WIND</t>
        </is>
      </c>
      <c r="E326" s="42" t="inlineStr">
        <is>
          <t>15018</t>
        </is>
      </c>
      <c r="F326" s="42" t="inlineStr">
        <is>
          <t>1540</t>
        </is>
      </c>
      <c r="G326" s="42" t="inlineStr">
        <is>
          <t>1830</t>
        </is>
      </c>
      <c r="H326" s="42" t="inlineStr">
        <is>
          <t>True</t>
        </is>
      </c>
      <c r="I326" s="42" t="inlineStr">
        <is>
          <t>NOT_EVALUATED</t>
        </is>
      </c>
      <c r="J326" s="42" t="inlineStr">
        <is>
          <t>NO_DIRECT_STANDARD_MATRIX_IN_RETRIEVED_SOURCE</t>
        </is>
      </c>
      <c r="K326" s="42" t="str"/>
      <c r="L326" s="42" t="str"/>
      <c r="M326" s="42" t="str"/>
      <c r="N326" s="42" t="str"/>
      <c r="O326" s="42" t="inlineStr">
        <is>
          <t>現行公式資料でこの窓種のSAFE 30mil規格○/×を本Revisionでは直接取得できていない。推測しない。</t>
        </is>
      </c>
    </row>
    <row r="327">
      <c r="A327" s="42" t="inlineStr">
        <is>
          <t>SZ-SL-000326</t>
        </is>
      </c>
      <c r="B327" s="42" t="inlineStr">
        <is>
          <t>WT-SL-SHUTTER-HIKI</t>
        </is>
      </c>
      <c r="C327" s="42" t="inlineStr">
        <is>
          <t>シャッター付引違い窓</t>
        </is>
      </c>
      <c r="D327" s="42" t="inlineStr">
        <is>
          <t>SP-SL-SHUT-E-WIND</t>
        </is>
      </c>
      <c r="E327" s="42" t="inlineStr">
        <is>
          <t>15020</t>
        </is>
      </c>
      <c r="F327" s="42" t="inlineStr">
        <is>
          <t>1540</t>
        </is>
      </c>
      <c r="G327" s="42" t="inlineStr">
        <is>
          <t>2030</t>
        </is>
      </c>
      <c r="H327" s="42" t="inlineStr">
        <is>
          <t>True</t>
        </is>
      </c>
      <c r="I327" s="42" t="inlineStr">
        <is>
          <t>NOT_EVALUATED</t>
        </is>
      </c>
      <c r="J327" s="42" t="inlineStr">
        <is>
          <t>NO_DIRECT_STANDARD_MATRIX_IN_RETRIEVED_SOURCE</t>
        </is>
      </c>
      <c r="K327" s="42" t="str"/>
      <c r="L327" s="42" t="str"/>
      <c r="M327" s="42" t="str"/>
      <c r="N327" s="42" t="str"/>
      <c r="O327" s="42" t="inlineStr">
        <is>
          <t>現行公式資料でこの窓種のSAFE 30mil規格○/×を本Revisionでは直接取得できていない。推測しない。</t>
        </is>
      </c>
    </row>
    <row r="328">
      <c r="A328" s="42" t="inlineStr">
        <is>
          <t>SZ-SL-000327</t>
        </is>
      </c>
      <c r="B328" s="42" t="inlineStr">
        <is>
          <t>WT-SL-SHUTTER-HIKI</t>
        </is>
      </c>
      <c r="C328" s="42" t="inlineStr">
        <is>
          <t>シャッター付引違い窓</t>
        </is>
      </c>
      <c r="D328" s="42" t="inlineStr">
        <is>
          <t>SP-SL-SHUT-E-WIND</t>
        </is>
      </c>
      <c r="E328" s="42" t="inlineStr">
        <is>
          <t>16018</t>
        </is>
      </c>
      <c r="F328" s="42" t="inlineStr">
        <is>
          <t>1640</t>
        </is>
      </c>
      <c r="G328" s="42" t="inlineStr">
        <is>
          <t>1830</t>
        </is>
      </c>
      <c r="H328" s="42" t="inlineStr">
        <is>
          <t>True</t>
        </is>
      </c>
      <c r="I328" s="42" t="inlineStr">
        <is>
          <t>NOT_EVALUATED</t>
        </is>
      </c>
      <c r="J328" s="42" t="inlineStr">
        <is>
          <t>NO_DIRECT_STANDARD_MATRIX_IN_RETRIEVED_SOURCE</t>
        </is>
      </c>
      <c r="K328" s="42" t="str"/>
      <c r="L328" s="42" t="str"/>
      <c r="M328" s="42" t="str"/>
      <c r="N328" s="42" t="str"/>
      <c r="O328" s="42" t="inlineStr">
        <is>
          <t>現行公式資料でこの窓種のSAFE 30mil規格○/×を本Revisionでは直接取得できていない。推測しない。</t>
        </is>
      </c>
    </row>
    <row r="329">
      <c r="A329" s="42" t="inlineStr">
        <is>
          <t>SZ-SL-000328</t>
        </is>
      </c>
      <c r="B329" s="42" t="inlineStr">
        <is>
          <t>WT-SL-SHUTTER-HIKI</t>
        </is>
      </c>
      <c r="C329" s="42" t="inlineStr">
        <is>
          <t>シャッター付引違い窓</t>
        </is>
      </c>
      <c r="D329" s="42" t="inlineStr">
        <is>
          <t>SP-SL-SHUT-E-WIND</t>
        </is>
      </c>
      <c r="E329" s="42" t="inlineStr">
        <is>
          <t>16020</t>
        </is>
      </c>
      <c r="F329" s="42" t="inlineStr">
        <is>
          <t>1640</t>
        </is>
      </c>
      <c r="G329" s="42" t="inlineStr">
        <is>
          <t>2030</t>
        </is>
      </c>
      <c r="H329" s="42" t="inlineStr">
        <is>
          <t>True</t>
        </is>
      </c>
      <c r="I329" s="42" t="inlineStr">
        <is>
          <t>NOT_EVALUATED</t>
        </is>
      </c>
      <c r="J329" s="42" t="inlineStr">
        <is>
          <t>NO_DIRECT_STANDARD_MATRIX_IN_RETRIEVED_SOURCE</t>
        </is>
      </c>
      <c r="K329" s="42" t="str"/>
      <c r="L329" s="42" t="str"/>
      <c r="M329" s="42" t="str"/>
      <c r="N329" s="42" t="str"/>
      <c r="O329" s="42" t="inlineStr">
        <is>
          <t>現行公式資料でこの窓種のSAFE 30mil規格○/×を本Revisionでは直接取得できていない。推測しない。</t>
        </is>
      </c>
    </row>
    <row r="330">
      <c r="A330" s="42" t="inlineStr">
        <is>
          <t>SZ-SL-000329</t>
        </is>
      </c>
      <c r="B330" s="42" t="inlineStr">
        <is>
          <t>WT-SL-SHUTTER-HIKI</t>
        </is>
      </c>
      <c r="C330" s="42" t="inlineStr">
        <is>
          <t>シャッター付引違い窓</t>
        </is>
      </c>
      <c r="D330" s="42" t="inlineStr">
        <is>
          <t>SP-SL-SHUT-E-STD</t>
        </is>
      </c>
      <c r="E330" s="42" t="inlineStr">
        <is>
          <t>16518</t>
        </is>
      </c>
      <c r="F330" s="42" t="inlineStr">
        <is>
          <t>1690</t>
        </is>
      </c>
      <c r="G330" s="42" t="inlineStr">
        <is>
          <t>1830</t>
        </is>
      </c>
      <c r="H330" s="42" t="inlineStr">
        <is>
          <t>True</t>
        </is>
      </c>
      <c r="I330" s="42" t="inlineStr">
        <is>
          <t>NOT_EVALUATED</t>
        </is>
      </c>
      <c r="J330" s="42" t="inlineStr">
        <is>
          <t>NO_DIRECT_STANDARD_MATRIX_IN_RETRIEVED_SOURCE</t>
        </is>
      </c>
      <c r="K330" s="42" t="str"/>
      <c r="L330" s="42" t="str"/>
      <c r="M330" s="42" t="str"/>
      <c r="N330" s="42" t="str"/>
      <c r="O330" s="42" t="inlineStr">
        <is>
          <t>現行公式資料でこの窓種のSAFE 30mil規格○/×を本Revisionでは直接取得できていない。推測しない。</t>
        </is>
      </c>
    </row>
    <row r="331">
      <c r="A331" s="42" t="inlineStr">
        <is>
          <t>SZ-SL-000330</t>
        </is>
      </c>
      <c r="B331" s="42" t="inlineStr">
        <is>
          <t>WT-SL-SHUTTER-HIKI</t>
        </is>
      </c>
      <c r="C331" s="42" t="inlineStr">
        <is>
          <t>シャッター付引違い窓</t>
        </is>
      </c>
      <c r="D331" s="42" t="inlineStr">
        <is>
          <t>SP-SL-SHUT-E-STD</t>
        </is>
      </c>
      <c r="E331" s="42" t="inlineStr">
        <is>
          <t>16520</t>
        </is>
      </c>
      <c r="F331" s="42" t="inlineStr">
        <is>
          <t>1690</t>
        </is>
      </c>
      <c r="G331" s="42" t="inlineStr">
        <is>
          <t>2030</t>
        </is>
      </c>
      <c r="H331" s="42" t="inlineStr">
        <is>
          <t>True</t>
        </is>
      </c>
      <c r="I331" s="42" t="inlineStr">
        <is>
          <t>NOT_EVALUATED</t>
        </is>
      </c>
      <c r="J331" s="42" t="inlineStr">
        <is>
          <t>NO_DIRECT_STANDARD_MATRIX_IN_RETRIEVED_SOURCE</t>
        </is>
      </c>
      <c r="K331" s="42" t="str"/>
      <c r="L331" s="42" t="str"/>
      <c r="M331" s="42" t="str"/>
      <c r="N331" s="42" t="str"/>
      <c r="O331" s="42" t="inlineStr">
        <is>
          <t>現行公式資料でこの窓種のSAFE 30mil規格○/×を本Revisionでは直接取得できていない。推測しない。</t>
        </is>
      </c>
    </row>
    <row r="332">
      <c r="A332" s="42" t="inlineStr">
        <is>
          <t>SZ-SL-000331</t>
        </is>
      </c>
      <c r="B332" s="42" t="inlineStr">
        <is>
          <t>WT-SL-SHUTTER-HIKI</t>
        </is>
      </c>
      <c r="C332" s="42" t="inlineStr">
        <is>
          <t>シャッター付引違い窓</t>
        </is>
      </c>
      <c r="D332" s="42" t="inlineStr">
        <is>
          <t>SP-SL-SHUT-E-STD</t>
        </is>
      </c>
      <c r="E332" s="42" t="inlineStr">
        <is>
          <t>17418</t>
        </is>
      </c>
      <c r="F332" s="42" t="inlineStr">
        <is>
          <t>1780</t>
        </is>
      </c>
      <c r="G332" s="42" t="inlineStr">
        <is>
          <t>1830</t>
        </is>
      </c>
      <c r="H332" s="42" t="inlineStr">
        <is>
          <t>True</t>
        </is>
      </c>
      <c r="I332" s="42" t="inlineStr">
        <is>
          <t>NOT_EVALUATED</t>
        </is>
      </c>
      <c r="J332" s="42" t="inlineStr">
        <is>
          <t>NO_DIRECT_STANDARD_MATRIX_IN_RETRIEVED_SOURCE</t>
        </is>
      </c>
      <c r="K332" s="42" t="str"/>
      <c r="L332" s="42" t="str"/>
      <c r="M332" s="42" t="str"/>
      <c r="N332" s="42" t="str"/>
      <c r="O332" s="42" t="inlineStr">
        <is>
          <t>現行公式資料でこの窓種のSAFE 30mil規格○/×を本Revisionでは直接取得できていない。推測しない。</t>
        </is>
      </c>
    </row>
    <row r="333">
      <c r="A333" s="42" t="inlineStr">
        <is>
          <t>SZ-SL-000332</t>
        </is>
      </c>
      <c r="B333" s="42" t="inlineStr">
        <is>
          <t>WT-SL-SHUTTER-HIKI</t>
        </is>
      </c>
      <c r="C333" s="42" t="inlineStr">
        <is>
          <t>シャッター付引違い窓</t>
        </is>
      </c>
      <c r="D333" s="42" t="inlineStr">
        <is>
          <t>SP-SL-SHUT-E-STD</t>
        </is>
      </c>
      <c r="E333" s="42" t="inlineStr">
        <is>
          <t>17420</t>
        </is>
      </c>
      <c r="F333" s="42" t="inlineStr">
        <is>
          <t>1780</t>
        </is>
      </c>
      <c r="G333" s="42" t="inlineStr">
        <is>
          <t>2030</t>
        </is>
      </c>
      <c r="H333" s="42" t="inlineStr">
        <is>
          <t>True</t>
        </is>
      </c>
      <c r="I333" s="42" t="inlineStr">
        <is>
          <t>NOT_EVALUATED</t>
        </is>
      </c>
      <c r="J333" s="42" t="inlineStr">
        <is>
          <t>NO_DIRECT_STANDARD_MATRIX_IN_RETRIEVED_SOURCE</t>
        </is>
      </c>
      <c r="K333" s="42" t="str"/>
      <c r="L333" s="42" t="str"/>
      <c r="M333" s="42" t="str"/>
      <c r="N333" s="42" t="str"/>
      <c r="O333" s="42" t="inlineStr">
        <is>
          <t>現行公式資料でこの窓種のSAFE 30mil規格○/×を本Revisionでは直接取得できていない。推測しない。</t>
        </is>
      </c>
    </row>
    <row r="334">
      <c r="A334" s="42" t="inlineStr">
        <is>
          <t>SZ-SL-000333</t>
        </is>
      </c>
      <c r="B334" s="42" t="inlineStr">
        <is>
          <t>WT-SL-SHUTTER-HIKI</t>
        </is>
      </c>
      <c r="C334" s="42" t="inlineStr">
        <is>
          <t>シャッター付引違い窓</t>
        </is>
      </c>
      <c r="D334" s="42" t="inlineStr">
        <is>
          <t>SP-SL-SHUT-E-STD</t>
        </is>
      </c>
      <c r="E334" s="42" t="inlineStr">
        <is>
          <t>17618</t>
        </is>
      </c>
      <c r="F334" s="42" t="inlineStr">
        <is>
          <t>1800</t>
        </is>
      </c>
      <c r="G334" s="42" t="inlineStr">
        <is>
          <t>1830</t>
        </is>
      </c>
      <c r="H334" s="42" t="inlineStr">
        <is>
          <t>True</t>
        </is>
      </c>
      <c r="I334" s="42" t="inlineStr">
        <is>
          <t>NOT_EVALUATED</t>
        </is>
      </c>
      <c r="J334" s="42" t="inlineStr">
        <is>
          <t>NO_DIRECT_STANDARD_MATRIX_IN_RETRIEVED_SOURCE</t>
        </is>
      </c>
      <c r="K334" s="42" t="str"/>
      <c r="L334" s="42" t="str"/>
      <c r="M334" s="42" t="str"/>
      <c r="N334" s="42" t="str"/>
      <c r="O334" s="42" t="inlineStr">
        <is>
          <t>現行公式資料でこの窓種のSAFE 30mil規格○/×を本Revisionでは直接取得できていない。推測しない。</t>
        </is>
      </c>
    </row>
    <row r="335">
      <c r="A335" s="42" t="inlineStr">
        <is>
          <t>SZ-SL-000334</t>
        </is>
      </c>
      <c r="B335" s="42" t="inlineStr">
        <is>
          <t>WT-SL-SHUTTER-HIKI</t>
        </is>
      </c>
      <c r="C335" s="42" t="inlineStr">
        <is>
          <t>シャッター付引違い窓</t>
        </is>
      </c>
      <c r="D335" s="42" t="inlineStr">
        <is>
          <t>SP-SL-SHUT-E-STD</t>
        </is>
      </c>
      <c r="E335" s="42" t="inlineStr">
        <is>
          <t>17620</t>
        </is>
      </c>
      <c r="F335" s="42" t="inlineStr">
        <is>
          <t>1800</t>
        </is>
      </c>
      <c r="G335" s="42" t="inlineStr">
        <is>
          <t>2030</t>
        </is>
      </c>
      <c r="H335" s="42" t="inlineStr">
        <is>
          <t>True</t>
        </is>
      </c>
      <c r="I335" s="42" t="inlineStr">
        <is>
          <t>NOT_EVALUATED</t>
        </is>
      </c>
      <c r="J335" s="42" t="inlineStr">
        <is>
          <t>NO_DIRECT_STANDARD_MATRIX_IN_RETRIEVED_SOURCE</t>
        </is>
      </c>
      <c r="K335" s="42" t="str"/>
      <c r="L335" s="42" t="str"/>
      <c r="M335" s="42" t="str"/>
      <c r="N335" s="42" t="str"/>
      <c r="O335" s="42" t="inlineStr">
        <is>
          <t>現行公式資料でこの窓種のSAFE 30mil規格○/×を本Revisionでは直接取得できていない。推測しない。</t>
        </is>
      </c>
    </row>
    <row r="336">
      <c r="A336" s="42" t="inlineStr">
        <is>
          <t>SZ-SL-000335</t>
        </is>
      </c>
      <c r="B336" s="42" t="inlineStr">
        <is>
          <t>WT-SL-SHUTTER-HIKI</t>
        </is>
      </c>
      <c r="C336" s="42" t="inlineStr">
        <is>
          <t>シャッター付引違い窓</t>
        </is>
      </c>
      <c r="D336" s="42" t="inlineStr">
        <is>
          <t>SP-SL-SHUT-E-STD</t>
        </is>
      </c>
      <c r="E336" s="42" t="inlineStr">
        <is>
          <t>18018</t>
        </is>
      </c>
      <c r="F336" s="42" t="inlineStr">
        <is>
          <t>1845</t>
        </is>
      </c>
      <c r="G336" s="42" t="inlineStr">
        <is>
          <t>1830</t>
        </is>
      </c>
      <c r="H336" s="42" t="inlineStr">
        <is>
          <t>True</t>
        </is>
      </c>
      <c r="I336" s="42" t="inlineStr">
        <is>
          <t>NOT_EVALUATED</t>
        </is>
      </c>
      <c r="J336" s="42" t="inlineStr">
        <is>
          <t>NO_DIRECT_STANDARD_MATRIX_IN_RETRIEVED_SOURCE</t>
        </is>
      </c>
      <c r="K336" s="42" t="str"/>
      <c r="L336" s="42" t="str"/>
      <c r="M336" s="42" t="str"/>
      <c r="N336" s="42" t="str"/>
      <c r="O336" s="42" t="inlineStr">
        <is>
          <t>現行公式資料でこの窓種のSAFE 30mil規格○/×を本Revisionでは直接取得できていない。推測しない。</t>
        </is>
      </c>
    </row>
    <row r="337">
      <c r="A337" s="42" t="inlineStr">
        <is>
          <t>SZ-SL-000336</t>
        </is>
      </c>
      <c r="B337" s="42" t="inlineStr">
        <is>
          <t>WT-SL-SHUTTER-HIKI</t>
        </is>
      </c>
      <c r="C337" s="42" t="inlineStr">
        <is>
          <t>シャッター付引違い窓</t>
        </is>
      </c>
      <c r="D337" s="42" t="inlineStr">
        <is>
          <t>SP-SL-SHUT-E-STD</t>
        </is>
      </c>
      <c r="E337" s="42" t="inlineStr">
        <is>
          <t>18020</t>
        </is>
      </c>
      <c r="F337" s="42" t="inlineStr">
        <is>
          <t>1845</t>
        </is>
      </c>
      <c r="G337" s="42" t="inlineStr">
        <is>
          <t>2030</t>
        </is>
      </c>
      <c r="H337" s="42" t="inlineStr">
        <is>
          <t>True</t>
        </is>
      </c>
      <c r="I337" s="42" t="inlineStr">
        <is>
          <t>NOT_EVALUATED</t>
        </is>
      </c>
      <c r="J337" s="42" t="inlineStr">
        <is>
          <t>NO_DIRECT_STANDARD_MATRIX_IN_RETRIEVED_SOURCE</t>
        </is>
      </c>
      <c r="K337" s="42" t="str"/>
      <c r="L337" s="42" t="str"/>
      <c r="M337" s="42" t="str"/>
      <c r="N337" s="42" t="str"/>
      <c r="O337" s="42" t="inlineStr">
        <is>
          <t>現行公式資料でこの窓種のSAFE 30mil規格○/×を本Revisionでは直接取得できていない。推測しない。</t>
        </is>
      </c>
    </row>
    <row r="338">
      <c r="A338" s="42" t="inlineStr">
        <is>
          <t>SZ-SL-000337</t>
        </is>
      </c>
      <c r="B338" s="42" t="inlineStr">
        <is>
          <t>WT-SL-SHUTTER-HIKI</t>
        </is>
      </c>
      <c r="C338" s="42" t="inlineStr">
        <is>
          <t>シャッター付引違い窓</t>
        </is>
      </c>
      <c r="D338" s="42" t="inlineStr">
        <is>
          <t>SP-SL-SHUT-E-VENT</t>
        </is>
      </c>
      <c r="E338" s="42" t="inlineStr">
        <is>
          <t>16518</t>
        </is>
      </c>
      <c r="F338" s="42" t="inlineStr">
        <is>
          <t>1690</t>
        </is>
      </c>
      <c r="G338" s="42" t="inlineStr">
        <is>
          <t>1830</t>
        </is>
      </c>
      <c r="H338" s="42" t="inlineStr">
        <is>
          <t>True</t>
        </is>
      </c>
      <c r="I338" s="42" t="inlineStr">
        <is>
          <t>NOT_EVALUATED</t>
        </is>
      </c>
      <c r="J338" s="42" t="inlineStr">
        <is>
          <t>NO_DIRECT_STANDARD_MATRIX_IN_RETRIEVED_SOURCE</t>
        </is>
      </c>
      <c r="K338" s="42" t="str"/>
      <c r="L338" s="42" t="str"/>
      <c r="M338" s="42" t="str"/>
      <c r="N338" s="42" t="str"/>
      <c r="O338" s="42" t="inlineStr">
        <is>
          <t>現行公式資料でこの窓種のSAFE 30mil規格○/×を本Revisionでは直接取得できていない。推測しない。</t>
        </is>
      </c>
    </row>
    <row r="339">
      <c r="A339" s="42" t="inlineStr">
        <is>
          <t>SZ-SL-000338</t>
        </is>
      </c>
      <c r="B339" s="42" t="inlineStr">
        <is>
          <t>WT-SL-SHUTTER-HIKI</t>
        </is>
      </c>
      <c r="C339" s="42" t="inlineStr">
        <is>
          <t>シャッター付引違い窓</t>
        </is>
      </c>
      <c r="D339" s="42" t="inlineStr">
        <is>
          <t>SP-SL-SHUT-E-VENT</t>
        </is>
      </c>
      <c r="E339" s="42" t="inlineStr">
        <is>
          <t>16520</t>
        </is>
      </c>
      <c r="F339" s="42" t="inlineStr">
        <is>
          <t>1690</t>
        </is>
      </c>
      <c r="G339" s="42" t="inlineStr">
        <is>
          <t>2030</t>
        </is>
      </c>
      <c r="H339" s="42" t="inlineStr">
        <is>
          <t>True</t>
        </is>
      </c>
      <c r="I339" s="42" t="inlineStr">
        <is>
          <t>NOT_EVALUATED</t>
        </is>
      </c>
      <c r="J339" s="42" t="inlineStr">
        <is>
          <t>NO_DIRECT_STANDARD_MATRIX_IN_RETRIEVED_SOURCE</t>
        </is>
      </c>
      <c r="K339" s="42" t="str"/>
      <c r="L339" s="42" t="str"/>
      <c r="M339" s="42" t="str"/>
      <c r="N339" s="42" t="str"/>
      <c r="O339" s="42" t="inlineStr">
        <is>
          <t>現行公式資料でこの窓種のSAFE 30mil規格○/×を本Revisionでは直接取得できていない。推測しない。</t>
        </is>
      </c>
    </row>
    <row r="340">
      <c r="A340" s="42" t="inlineStr">
        <is>
          <t>SZ-SL-000339</t>
        </is>
      </c>
      <c r="B340" s="42" t="inlineStr">
        <is>
          <t>WT-SL-SHUTTER-HIKI</t>
        </is>
      </c>
      <c r="C340" s="42" t="inlineStr">
        <is>
          <t>シャッター付引違い窓</t>
        </is>
      </c>
      <c r="D340" s="42" t="inlineStr">
        <is>
          <t>SP-SL-SHUT-E-VENT</t>
        </is>
      </c>
      <c r="E340" s="42" t="inlineStr">
        <is>
          <t>17418</t>
        </is>
      </c>
      <c r="F340" s="42" t="inlineStr">
        <is>
          <t>1780</t>
        </is>
      </c>
      <c r="G340" s="42" t="inlineStr">
        <is>
          <t>1830</t>
        </is>
      </c>
      <c r="H340" s="42" t="inlineStr">
        <is>
          <t>True</t>
        </is>
      </c>
      <c r="I340" s="42" t="inlineStr">
        <is>
          <t>NOT_EVALUATED</t>
        </is>
      </c>
      <c r="J340" s="42" t="inlineStr">
        <is>
          <t>NO_DIRECT_STANDARD_MATRIX_IN_RETRIEVED_SOURCE</t>
        </is>
      </c>
      <c r="K340" s="42" t="str"/>
      <c r="L340" s="42" t="str"/>
      <c r="M340" s="42" t="str"/>
      <c r="N340" s="42" t="str"/>
      <c r="O340" s="42" t="inlineStr">
        <is>
          <t>現行公式資料でこの窓種のSAFE 30mil規格○/×を本Revisionでは直接取得できていない。推測しない。</t>
        </is>
      </c>
    </row>
    <row r="341">
      <c r="A341" s="42" t="inlineStr">
        <is>
          <t>SZ-SL-000340</t>
        </is>
      </c>
      <c r="B341" s="42" t="inlineStr">
        <is>
          <t>WT-SL-SHUTTER-HIKI</t>
        </is>
      </c>
      <c r="C341" s="42" t="inlineStr">
        <is>
          <t>シャッター付引違い窓</t>
        </is>
      </c>
      <c r="D341" s="42" t="inlineStr">
        <is>
          <t>SP-SL-SHUT-E-VENT</t>
        </is>
      </c>
      <c r="E341" s="42" t="inlineStr">
        <is>
          <t>17420</t>
        </is>
      </c>
      <c r="F341" s="42" t="inlineStr">
        <is>
          <t>1780</t>
        </is>
      </c>
      <c r="G341" s="42" t="inlineStr">
        <is>
          <t>2030</t>
        </is>
      </c>
      <c r="H341" s="42" t="inlineStr">
        <is>
          <t>True</t>
        </is>
      </c>
      <c r="I341" s="42" t="inlineStr">
        <is>
          <t>NOT_EVALUATED</t>
        </is>
      </c>
      <c r="J341" s="42" t="inlineStr">
        <is>
          <t>NO_DIRECT_STANDARD_MATRIX_IN_RETRIEVED_SOURCE</t>
        </is>
      </c>
      <c r="K341" s="42" t="str"/>
      <c r="L341" s="42" t="str"/>
      <c r="M341" s="42" t="str"/>
      <c r="N341" s="42" t="str"/>
      <c r="O341" s="42" t="inlineStr">
        <is>
          <t>現行公式資料でこの窓種のSAFE 30mil規格○/×を本Revisionでは直接取得できていない。推測しない。</t>
        </is>
      </c>
    </row>
    <row r="342">
      <c r="A342" s="42" t="inlineStr">
        <is>
          <t>SZ-SL-000341</t>
        </is>
      </c>
      <c r="B342" s="42" t="inlineStr">
        <is>
          <t>WT-SL-SHUTTER-HIKI</t>
        </is>
      </c>
      <c r="C342" s="42" t="inlineStr">
        <is>
          <t>シャッター付引違い窓</t>
        </is>
      </c>
      <c r="D342" s="42" t="inlineStr">
        <is>
          <t>SP-SL-SHUT-E-VENT</t>
        </is>
      </c>
      <c r="E342" s="42" t="inlineStr">
        <is>
          <t>17618</t>
        </is>
      </c>
      <c r="F342" s="42" t="inlineStr">
        <is>
          <t>1800</t>
        </is>
      </c>
      <c r="G342" s="42" t="inlineStr">
        <is>
          <t>1830</t>
        </is>
      </c>
      <c r="H342" s="42" t="inlineStr">
        <is>
          <t>True</t>
        </is>
      </c>
      <c r="I342" s="42" t="inlineStr">
        <is>
          <t>NOT_EVALUATED</t>
        </is>
      </c>
      <c r="J342" s="42" t="inlineStr">
        <is>
          <t>NO_DIRECT_STANDARD_MATRIX_IN_RETRIEVED_SOURCE</t>
        </is>
      </c>
      <c r="K342" s="42" t="str"/>
      <c r="L342" s="42" t="str"/>
      <c r="M342" s="42" t="str"/>
      <c r="N342" s="42" t="str"/>
      <c r="O342" s="42" t="inlineStr">
        <is>
          <t>現行公式資料でこの窓種のSAFE 30mil規格○/×を本Revisionでは直接取得できていない。推測しない。</t>
        </is>
      </c>
    </row>
    <row r="343">
      <c r="A343" s="42" t="inlineStr">
        <is>
          <t>SZ-SL-000342</t>
        </is>
      </c>
      <c r="B343" s="42" t="inlineStr">
        <is>
          <t>WT-SL-SHUTTER-HIKI</t>
        </is>
      </c>
      <c r="C343" s="42" t="inlineStr">
        <is>
          <t>シャッター付引違い窓</t>
        </is>
      </c>
      <c r="D343" s="42" t="inlineStr">
        <is>
          <t>SP-SL-SHUT-E-VENT</t>
        </is>
      </c>
      <c r="E343" s="42" t="inlineStr">
        <is>
          <t>17620</t>
        </is>
      </c>
      <c r="F343" s="42" t="inlineStr">
        <is>
          <t>1800</t>
        </is>
      </c>
      <c r="G343" s="42" t="inlineStr">
        <is>
          <t>2030</t>
        </is>
      </c>
      <c r="H343" s="42" t="inlineStr">
        <is>
          <t>True</t>
        </is>
      </c>
      <c r="I343" s="42" t="inlineStr">
        <is>
          <t>NOT_EVALUATED</t>
        </is>
      </c>
      <c r="J343" s="42" t="inlineStr">
        <is>
          <t>NO_DIRECT_STANDARD_MATRIX_IN_RETRIEVED_SOURCE</t>
        </is>
      </c>
      <c r="K343" s="42" t="str"/>
      <c r="L343" s="42" t="str"/>
      <c r="M343" s="42" t="str"/>
      <c r="N343" s="42" t="str"/>
      <c r="O343" s="42" t="inlineStr">
        <is>
          <t>現行公式資料でこの窓種のSAFE 30mil規格○/×を本Revisionでは直接取得できていない。推測しない。</t>
        </is>
      </c>
    </row>
    <row r="344">
      <c r="A344" s="42" t="inlineStr">
        <is>
          <t>SZ-SL-000343</t>
        </is>
      </c>
      <c r="B344" s="42" t="inlineStr">
        <is>
          <t>WT-SL-SHUTTER-HIKI</t>
        </is>
      </c>
      <c r="C344" s="42" t="inlineStr">
        <is>
          <t>シャッター付引違い窓</t>
        </is>
      </c>
      <c r="D344" s="42" t="inlineStr">
        <is>
          <t>SP-SL-SHUT-E-VENT</t>
        </is>
      </c>
      <c r="E344" s="42" t="inlineStr">
        <is>
          <t>18018</t>
        </is>
      </c>
      <c r="F344" s="42" t="inlineStr">
        <is>
          <t>1845</t>
        </is>
      </c>
      <c r="G344" s="42" t="inlineStr">
        <is>
          <t>1830</t>
        </is>
      </c>
      <c r="H344" s="42" t="inlineStr">
        <is>
          <t>True</t>
        </is>
      </c>
      <c r="I344" s="42" t="inlineStr">
        <is>
          <t>NOT_EVALUATED</t>
        </is>
      </c>
      <c r="J344" s="42" t="inlineStr">
        <is>
          <t>NO_DIRECT_STANDARD_MATRIX_IN_RETRIEVED_SOURCE</t>
        </is>
      </c>
      <c r="K344" s="42" t="str"/>
      <c r="L344" s="42" t="str"/>
      <c r="M344" s="42" t="str"/>
      <c r="N344" s="42" t="str"/>
      <c r="O344" s="42" t="inlineStr">
        <is>
          <t>現行公式資料でこの窓種のSAFE 30mil規格○/×を本Revisionでは直接取得できていない。推測しない。</t>
        </is>
      </c>
    </row>
    <row r="345">
      <c r="A345" s="42" t="inlineStr">
        <is>
          <t>SZ-SL-000344</t>
        </is>
      </c>
      <c r="B345" s="42" t="inlineStr">
        <is>
          <t>WT-SL-SHUTTER-HIKI</t>
        </is>
      </c>
      <c r="C345" s="42" t="inlineStr">
        <is>
          <t>シャッター付引違い窓</t>
        </is>
      </c>
      <c r="D345" s="42" t="inlineStr">
        <is>
          <t>SP-SL-SHUT-E-VENT</t>
        </is>
      </c>
      <c r="E345" s="42" t="inlineStr">
        <is>
          <t>18020</t>
        </is>
      </c>
      <c r="F345" s="42" t="inlineStr">
        <is>
          <t>1845</t>
        </is>
      </c>
      <c r="G345" s="42" t="inlineStr">
        <is>
          <t>2030</t>
        </is>
      </c>
      <c r="H345" s="42" t="inlineStr">
        <is>
          <t>True</t>
        </is>
      </c>
      <c r="I345" s="42" t="inlineStr">
        <is>
          <t>NOT_EVALUATED</t>
        </is>
      </c>
      <c r="J345" s="42" t="inlineStr">
        <is>
          <t>NO_DIRECT_STANDARD_MATRIX_IN_RETRIEVED_SOURCE</t>
        </is>
      </c>
      <c r="K345" s="42" t="str"/>
      <c r="L345" s="42" t="str"/>
      <c r="M345" s="42" t="str"/>
      <c r="N345" s="42" t="str"/>
      <c r="O345" s="42" t="inlineStr">
        <is>
          <t>現行公式資料でこの窓種のSAFE 30mil規格○/×を本Revisionでは直接取得できていない。推測しない。</t>
        </is>
      </c>
    </row>
    <row r="346">
      <c r="A346" s="42" t="inlineStr">
        <is>
          <t>SZ-SL-000345</t>
        </is>
      </c>
      <c r="B346" s="42" t="inlineStr">
        <is>
          <t>WT-SL-SHUTTER-HIKI</t>
        </is>
      </c>
      <c r="C346" s="42" t="inlineStr">
        <is>
          <t>シャッター付引違い窓</t>
        </is>
      </c>
      <c r="D346" s="42" t="inlineStr">
        <is>
          <t>SP-SL-SHUT-E-WIND</t>
        </is>
      </c>
      <c r="E346" s="42" t="inlineStr">
        <is>
          <t>16518</t>
        </is>
      </c>
      <c r="F346" s="42" t="inlineStr">
        <is>
          <t>1690</t>
        </is>
      </c>
      <c r="G346" s="42" t="inlineStr">
        <is>
          <t>1830</t>
        </is>
      </c>
      <c r="H346" s="42" t="inlineStr">
        <is>
          <t>True</t>
        </is>
      </c>
      <c r="I346" s="42" t="inlineStr">
        <is>
          <t>NOT_EVALUATED</t>
        </is>
      </c>
      <c r="J346" s="42" t="inlineStr">
        <is>
          <t>NO_DIRECT_STANDARD_MATRIX_IN_RETRIEVED_SOURCE</t>
        </is>
      </c>
      <c r="K346" s="42" t="str"/>
      <c r="L346" s="42" t="str"/>
      <c r="M346" s="42" t="str"/>
      <c r="N346" s="42" t="str"/>
      <c r="O346" s="42" t="inlineStr">
        <is>
          <t>現行公式資料でこの窓種のSAFE 30mil規格○/×を本Revisionでは直接取得できていない。推測しない。</t>
        </is>
      </c>
    </row>
    <row r="347">
      <c r="A347" s="42" t="inlineStr">
        <is>
          <t>SZ-SL-000346</t>
        </is>
      </c>
      <c r="B347" s="42" t="inlineStr">
        <is>
          <t>WT-SL-SHUTTER-HIKI</t>
        </is>
      </c>
      <c r="C347" s="42" t="inlineStr">
        <is>
          <t>シャッター付引違い窓</t>
        </is>
      </c>
      <c r="D347" s="42" t="inlineStr">
        <is>
          <t>SP-SL-SHUT-E-WIND</t>
        </is>
      </c>
      <c r="E347" s="42" t="inlineStr">
        <is>
          <t>16520</t>
        </is>
      </c>
      <c r="F347" s="42" t="inlineStr">
        <is>
          <t>1690</t>
        </is>
      </c>
      <c r="G347" s="42" t="inlineStr">
        <is>
          <t>2030</t>
        </is>
      </c>
      <c r="H347" s="42" t="inlineStr">
        <is>
          <t>True</t>
        </is>
      </c>
      <c r="I347" s="42" t="inlineStr">
        <is>
          <t>NOT_EVALUATED</t>
        </is>
      </c>
      <c r="J347" s="42" t="inlineStr">
        <is>
          <t>NO_DIRECT_STANDARD_MATRIX_IN_RETRIEVED_SOURCE</t>
        </is>
      </c>
      <c r="K347" s="42" t="str"/>
      <c r="L347" s="42" t="str"/>
      <c r="M347" s="42" t="str"/>
      <c r="N347" s="42" t="str"/>
      <c r="O347" s="42" t="inlineStr">
        <is>
          <t>現行公式資料でこの窓種のSAFE 30mil規格○/×を本Revisionでは直接取得できていない。推測しない。</t>
        </is>
      </c>
    </row>
    <row r="348">
      <c r="A348" s="42" t="inlineStr">
        <is>
          <t>SZ-SL-000347</t>
        </is>
      </c>
      <c r="B348" s="42" t="inlineStr">
        <is>
          <t>WT-SL-SHUTTER-HIKI</t>
        </is>
      </c>
      <c r="C348" s="42" t="inlineStr">
        <is>
          <t>シャッター付引違い窓</t>
        </is>
      </c>
      <c r="D348" s="42" t="inlineStr">
        <is>
          <t>SP-SL-SHUT-E-WIND</t>
        </is>
      </c>
      <c r="E348" s="42" t="inlineStr">
        <is>
          <t>17418</t>
        </is>
      </c>
      <c r="F348" s="42" t="inlineStr">
        <is>
          <t>1780</t>
        </is>
      </c>
      <c r="G348" s="42" t="inlineStr">
        <is>
          <t>1830</t>
        </is>
      </c>
      <c r="H348" s="42" t="inlineStr">
        <is>
          <t>False</t>
        </is>
      </c>
      <c r="I348" s="42" t="inlineStr">
        <is>
          <t>NOT_EVALUATED</t>
        </is>
      </c>
      <c r="J348" s="42" t="inlineStr">
        <is>
          <t>NO_DIRECT_STANDARD_MATRIX_IN_RETRIEVED_SOURCE</t>
        </is>
      </c>
      <c r="K348" s="42" t="str"/>
      <c r="L348" s="42" t="str"/>
      <c r="M348" s="42" t="str"/>
      <c r="N348" s="42" t="str"/>
      <c r="O348" s="42" t="inlineStr">
        <is>
          <t>現行公式資料でこの窓種のSAFE 30mil規格○/×を本Revisionでは直接取得できていない。推測しない。</t>
        </is>
      </c>
    </row>
    <row r="349">
      <c r="A349" s="42" t="inlineStr">
        <is>
          <t>SZ-SL-000348</t>
        </is>
      </c>
      <c r="B349" s="42" t="inlineStr">
        <is>
          <t>WT-SL-SHUTTER-HIKI</t>
        </is>
      </c>
      <c r="C349" s="42" t="inlineStr">
        <is>
          <t>シャッター付引違い窓</t>
        </is>
      </c>
      <c r="D349" s="42" t="inlineStr">
        <is>
          <t>SP-SL-SHUT-E-WIND</t>
        </is>
      </c>
      <c r="E349" s="42" t="inlineStr">
        <is>
          <t>17420</t>
        </is>
      </c>
      <c r="F349" s="42" t="inlineStr">
        <is>
          <t>1780</t>
        </is>
      </c>
      <c r="G349" s="42" t="inlineStr">
        <is>
          <t>2030</t>
        </is>
      </c>
      <c r="H349" s="42" t="inlineStr">
        <is>
          <t>False</t>
        </is>
      </c>
      <c r="I349" s="42" t="inlineStr">
        <is>
          <t>NOT_EVALUATED</t>
        </is>
      </c>
      <c r="J349" s="42" t="inlineStr">
        <is>
          <t>NO_DIRECT_STANDARD_MATRIX_IN_RETRIEVED_SOURCE</t>
        </is>
      </c>
      <c r="K349" s="42" t="str"/>
      <c r="L349" s="42" t="str"/>
      <c r="M349" s="42" t="str"/>
      <c r="N349" s="42" t="str"/>
      <c r="O349" s="42" t="inlineStr">
        <is>
          <t>現行公式資料でこの窓種のSAFE 30mil規格○/×を本Revisionでは直接取得できていない。推測しない。</t>
        </is>
      </c>
    </row>
    <row r="350">
      <c r="A350" s="42" t="inlineStr">
        <is>
          <t>SZ-SL-000349</t>
        </is>
      </c>
      <c r="B350" s="42" t="inlineStr">
        <is>
          <t>WT-SL-SHUTTER-HIKI</t>
        </is>
      </c>
      <c r="C350" s="42" t="inlineStr">
        <is>
          <t>シャッター付引違い窓</t>
        </is>
      </c>
      <c r="D350" s="42" t="inlineStr">
        <is>
          <t>SP-SL-SHUT-E-WIND</t>
        </is>
      </c>
      <c r="E350" s="42" t="inlineStr">
        <is>
          <t>17618</t>
        </is>
      </c>
      <c r="F350" s="42" t="inlineStr">
        <is>
          <t>1800</t>
        </is>
      </c>
      <c r="G350" s="42" t="inlineStr">
        <is>
          <t>1830</t>
        </is>
      </c>
      <c r="H350" s="42" t="inlineStr">
        <is>
          <t>False</t>
        </is>
      </c>
      <c r="I350" s="42" t="inlineStr">
        <is>
          <t>NOT_EVALUATED</t>
        </is>
      </c>
      <c r="J350" s="42" t="inlineStr">
        <is>
          <t>NO_DIRECT_STANDARD_MATRIX_IN_RETRIEVED_SOURCE</t>
        </is>
      </c>
      <c r="K350" s="42" t="str"/>
      <c r="L350" s="42" t="str"/>
      <c r="M350" s="42" t="str"/>
      <c r="N350" s="42" t="str"/>
      <c r="O350" s="42" t="inlineStr">
        <is>
          <t>現行公式資料でこの窓種のSAFE 30mil規格○/×を本Revisionでは直接取得できていない。推測しない。</t>
        </is>
      </c>
    </row>
    <row r="351">
      <c r="A351" s="42" t="inlineStr">
        <is>
          <t>SZ-SL-000350</t>
        </is>
      </c>
      <c r="B351" s="42" t="inlineStr">
        <is>
          <t>WT-SL-SHUTTER-HIKI</t>
        </is>
      </c>
      <c r="C351" s="42" t="inlineStr">
        <is>
          <t>シャッター付引違い窓</t>
        </is>
      </c>
      <c r="D351" s="42" t="inlineStr">
        <is>
          <t>SP-SL-SHUT-E-WIND</t>
        </is>
      </c>
      <c r="E351" s="42" t="inlineStr">
        <is>
          <t>17620</t>
        </is>
      </c>
      <c r="F351" s="42" t="inlineStr">
        <is>
          <t>1800</t>
        </is>
      </c>
      <c r="G351" s="42" t="inlineStr">
        <is>
          <t>2030</t>
        </is>
      </c>
      <c r="H351" s="42" t="inlineStr">
        <is>
          <t>False</t>
        </is>
      </c>
      <c r="I351" s="42" t="inlineStr">
        <is>
          <t>NOT_EVALUATED</t>
        </is>
      </c>
      <c r="J351" s="42" t="inlineStr">
        <is>
          <t>NO_DIRECT_STANDARD_MATRIX_IN_RETRIEVED_SOURCE</t>
        </is>
      </c>
      <c r="K351" s="42" t="str"/>
      <c r="L351" s="42" t="str"/>
      <c r="M351" s="42" t="str"/>
      <c r="N351" s="42" t="str"/>
      <c r="O351" s="42" t="inlineStr">
        <is>
          <t>現行公式資料でこの窓種のSAFE 30mil規格○/×を本Revisionでは直接取得できていない。推測しない。</t>
        </is>
      </c>
    </row>
    <row r="352">
      <c r="A352" s="42" t="inlineStr">
        <is>
          <t>SZ-SL-000351</t>
        </is>
      </c>
      <c r="B352" s="42" t="inlineStr">
        <is>
          <t>WT-SL-SHUTTER-HIKI</t>
        </is>
      </c>
      <c r="C352" s="42" t="inlineStr">
        <is>
          <t>シャッター付引違い窓</t>
        </is>
      </c>
      <c r="D352" s="42" t="inlineStr">
        <is>
          <t>SP-SL-SHUT-E-WIND</t>
        </is>
      </c>
      <c r="E352" s="42" t="inlineStr">
        <is>
          <t>18018</t>
        </is>
      </c>
      <c r="F352" s="42" t="inlineStr">
        <is>
          <t>1845</t>
        </is>
      </c>
      <c r="G352" s="42" t="inlineStr">
        <is>
          <t>1830</t>
        </is>
      </c>
      <c r="H352" s="42" t="inlineStr">
        <is>
          <t>False</t>
        </is>
      </c>
      <c r="I352" s="42" t="inlineStr">
        <is>
          <t>NOT_EVALUATED</t>
        </is>
      </c>
      <c r="J352" s="42" t="inlineStr">
        <is>
          <t>NO_DIRECT_STANDARD_MATRIX_IN_RETRIEVED_SOURCE</t>
        </is>
      </c>
      <c r="K352" s="42" t="str"/>
      <c r="L352" s="42" t="str"/>
      <c r="M352" s="42" t="str"/>
      <c r="N352" s="42" t="str"/>
      <c r="O352" s="42" t="inlineStr">
        <is>
          <t>現行公式資料でこの窓種のSAFE 30mil規格○/×を本Revisionでは直接取得できていない。推測しない。</t>
        </is>
      </c>
    </row>
    <row r="353">
      <c r="A353" s="42" t="inlineStr">
        <is>
          <t>SZ-SL-000352</t>
        </is>
      </c>
      <c r="B353" s="42" t="inlineStr">
        <is>
          <t>WT-SL-SHUTTER-HIKI</t>
        </is>
      </c>
      <c r="C353" s="42" t="inlineStr">
        <is>
          <t>シャッター付引違い窓</t>
        </is>
      </c>
      <c r="D353" s="42" t="inlineStr">
        <is>
          <t>SP-SL-SHUT-E-WIND</t>
        </is>
      </c>
      <c r="E353" s="42" t="inlineStr">
        <is>
          <t>18020</t>
        </is>
      </c>
      <c r="F353" s="42" t="inlineStr">
        <is>
          <t>1845</t>
        </is>
      </c>
      <c r="G353" s="42" t="inlineStr">
        <is>
          <t>2030</t>
        </is>
      </c>
      <c r="H353" s="42" t="inlineStr">
        <is>
          <t>False</t>
        </is>
      </c>
      <c r="I353" s="42" t="inlineStr">
        <is>
          <t>NOT_EVALUATED</t>
        </is>
      </c>
      <c r="J353" s="42" t="inlineStr">
        <is>
          <t>NO_DIRECT_STANDARD_MATRIX_IN_RETRIEVED_SOURCE</t>
        </is>
      </c>
      <c r="K353" s="42" t="str"/>
      <c r="L353" s="42" t="str"/>
      <c r="M353" s="42" t="str"/>
      <c r="N353" s="42" t="str"/>
      <c r="O353" s="42" t="inlineStr">
        <is>
          <t>現行公式資料でこの窓種のSAFE 30mil規格○/×を本Revisionでは直接取得できていない。推測しない。</t>
        </is>
      </c>
    </row>
    <row r="354">
      <c r="A354" s="42" t="inlineStr">
        <is>
          <t>SZ-SL-000353</t>
        </is>
      </c>
      <c r="B354" s="42" t="inlineStr">
        <is>
          <t>WT-SL-SHUTTER-HIKI</t>
        </is>
      </c>
      <c r="C354" s="42" t="inlineStr">
        <is>
          <t>シャッター付引違い窓</t>
        </is>
      </c>
      <c r="D354" s="42" t="inlineStr">
        <is>
          <t>SP-SL-SHUT-E-STD</t>
        </is>
      </c>
      <c r="E354" s="42" t="inlineStr">
        <is>
          <t>18618</t>
        </is>
      </c>
      <c r="F354" s="42" t="inlineStr">
        <is>
          <t>1900</t>
        </is>
      </c>
      <c r="G354" s="42" t="inlineStr">
        <is>
          <t>1830</t>
        </is>
      </c>
      <c r="H354" s="42" t="inlineStr">
        <is>
          <t>True</t>
        </is>
      </c>
      <c r="I354" s="42" t="inlineStr">
        <is>
          <t>NOT_EVALUATED</t>
        </is>
      </c>
      <c r="J354" s="42" t="inlineStr">
        <is>
          <t>NO_DIRECT_STANDARD_MATRIX_IN_RETRIEVED_SOURCE</t>
        </is>
      </c>
      <c r="K354" s="42" t="str"/>
      <c r="L354" s="42" t="str"/>
      <c r="M354" s="42" t="str"/>
      <c r="N354" s="42" t="str"/>
      <c r="O354" s="42" t="inlineStr">
        <is>
          <t>現行公式資料でこの窓種のSAFE 30mil規格○/×を本Revisionでは直接取得できていない。推測しない。</t>
        </is>
      </c>
    </row>
    <row r="355">
      <c r="A355" s="42" t="inlineStr">
        <is>
          <t>SZ-SL-000354</t>
        </is>
      </c>
      <c r="B355" s="42" t="inlineStr">
        <is>
          <t>WT-SL-SHUTTER-HIKI</t>
        </is>
      </c>
      <c r="C355" s="42" t="inlineStr">
        <is>
          <t>シャッター付引違い窓</t>
        </is>
      </c>
      <c r="D355" s="42" t="inlineStr">
        <is>
          <t>SP-SL-SHUT-E-STD</t>
        </is>
      </c>
      <c r="E355" s="42" t="inlineStr">
        <is>
          <t>18620</t>
        </is>
      </c>
      <c r="F355" s="42" t="inlineStr">
        <is>
          <t>1900</t>
        </is>
      </c>
      <c r="G355" s="42" t="inlineStr">
        <is>
          <t>2030</t>
        </is>
      </c>
      <c r="H355" s="42" t="inlineStr">
        <is>
          <t>True</t>
        </is>
      </c>
      <c r="I355" s="42" t="inlineStr">
        <is>
          <t>NOT_EVALUATED</t>
        </is>
      </c>
      <c r="J355" s="42" t="inlineStr">
        <is>
          <t>NO_DIRECT_STANDARD_MATRIX_IN_RETRIEVED_SOURCE</t>
        </is>
      </c>
      <c r="K355" s="42" t="str"/>
      <c r="L355" s="42" t="str"/>
      <c r="M355" s="42" t="str"/>
      <c r="N355" s="42" t="str"/>
      <c r="O355" s="42" t="inlineStr">
        <is>
          <t>現行公式資料でこの窓種のSAFE 30mil規格○/×を本Revisionでは直接取得できていない。推測しない。</t>
        </is>
      </c>
    </row>
    <row r="356">
      <c r="A356" s="42" t="inlineStr">
        <is>
          <t>SZ-SL-000355</t>
        </is>
      </c>
      <c r="B356" s="42" t="inlineStr">
        <is>
          <t>WT-SL-SHUTTER-HIKI</t>
        </is>
      </c>
      <c r="C356" s="42" t="inlineStr">
        <is>
          <t>シャッター付引違い窓</t>
        </is>
      </c>
      <c r="D356" s="42" t="inlineStr">
        <is>
          <t>SP-SL-SHUT-E-STD</t>
        </is>
      </c>
      <c r="E356" s="42" t="inlineStr">
        <is>
          <t>25118-2</t>
        </is>
      </c>
      <c r="F356" s="42" t="inlineStr">
        <is>
          <t>2550</t>
        </is>
      </c>
      <c r="G356" s="42" t="inlineStr">
        <is>
          <t>1830</t>
        </is>
      </c>
      <c r="H356" s="42" t="inlineStr">
        <is>
          <t>True</t>
        </is>
      </c>
      <c r="I356" s="42" t="inlineStr">
        <is>
          <t>NOT_EVALUATED</t>
        </is>
      </c>
      <c r="J356" s="42" t="inlineStr">
        <is>
          <t>NO_DIRECT_STANDARD_MATRIX_IN_RETRIEVED_SOURCE</t>
        </is>
      </c>
      <c r="K356" s="42" t="str"/>
      <c r="L356" s="42" t="str"/>
      <c r="M356" s="42" t="str"/>
      <c r="N356" s="42" t="str"/>
      <c r="O356" s="42" t="inlineStr">
        <is>
          <t>現行公式資料でこの窓種のSAFE 30mil規格○/×を本Revisionでは直接取得できていない。推測しない。</t>
        </is>
      </c>
    </row>
    <row r="357">
      <c r="A357" s="42" t="inlineStr">
        <is>
          <t>SZ-SL-000356</t>
        </is>
      </c>
      <c r="B357" s="42" t="inlineStr">
        <is>
          <t>WT-SL-SHUTTER-HIKI</t>
        </is>
      </c>
      <c r="C357" s="42" t="inlineStr">
        <is>
          <t>シャッター付引違い窓</t>
        </is>
      </c>
      <c r="D357" s="42" t="inlineStr">
        <is>
          <t>SP-SL-SHUT-E-STD</t>
        </is>
      </c>
      <c r="E357" s="42" t="inlineStr">
        <is>
          <t>25118-4</t>
        </is>
      </c>
      <c r="F357" s="42" t="inlineStr">
        <is>
          <t>2550</t>
        </is>
      </c>
      <c r="G357" s="42" t="inlineStr">
        <is>
          <t>1830</t>
        </is>
      </c>
      <c r="H357" s="42" t="inlineStr">
        <is>
          <t>True</t>
        </is>
      </c>
      <c r="I357" s="42" t="inlineStr">
        <is>
          <t>NOT_EVALUATED</t>
        </is>
      </c>
      <c r="J357" s="42" t="inlineStr">
        <is>
          <t>NO_DIRECT_STANDARD_MATRIX_IN_RETRIEVED_SOURCE</t>
        </is>
      </c>
      <c r="K357" s="42" t="str"/>
      <c r="L357" s="42" t="str"/>
      <c r="M357" s="42" t="str"/>
      <c r="N357" s="42" t="str"/>
      <c r="O357" s="42" t="inlineStr">
        <is>
          <t>現行公式資料でこの窓種のSAFE 30mil規格○/×を本Revisionでは直接取得できていない。推測しない。</t>
        </is>
      </c>
    </row>
    <row r="358">
      <c r="A358" s="42" t="inlineStr">
        <is>
          <t>SZ-SL-000357</t>
        </is>
      </c>
      <c r="B358" s="42" t="inlineStr">
        <is>
          <t>WT-SL-SHUTTER-HIKI</t>
        </is>
      </c>
      <c r="C358" s="42" t="inlineStr">
        <is>
          <t>シャッター付引違い窓</t>
        </is>
      </c>
      <c r="D358" s="42" t="inlineStr">
        <is>
          <t>SP-SL-SHUT-E-STD</t>
        </is>
      </c>
      <c r="E358" s="42" t="inlineStr">
        <is>
          <t>25120-2</t>
        </is>
      </c>
      <c r="F358" s="42" t="inlineStr">
        <is>
          <t>2550</t>
        </is>
      </c>
      <c r="G358" s="42" t="inlineStr">
        <is>
          <t>2030</t>
        </is>
      </c>
      <c r="H358" s="42" t="inlineStr">
        <is>
          <t>True</t>
        </is>
      </c>
      <c r="I358" s="42" t="inlineStr">
        <is>
          <t>NOT_EVALUATED</t>
        </is>
      </c>
      <c r="J358" s="42" t="inlineStr">
        <is>
          <t>NO_DIRECT_STANDARD_MATRIX_IN_RETRIEVED_SOURCE</t>
        </is>
      </c>
      <c r="K358" s="42" t="str"/>
      <c r="L358" s="42" t="str"/>
      <c r="M358" s="42" t="str"/>
      <c r="N358" s="42" t="str"/>
      <c r="O358" s="42" t="inlineStr">
        <is>
          <t>現行公式資料でこの窓種のSAFE 30mil規格○/×を本Revisionでは直接取得できていない。推測しない。</t>
        </is>
      </c>
    </row>
    <row r="359">
      <c r="A359" s="42" t="inlineStr">
        <is>
          <t>SZ-SL-000358</t>
        </is>
      </c>
      <c r="B359" s="42" t="inlineStr">
        <is>
          <t>WT-SL-SHUTTER-HIKI</t>
        </is>
      </c>
      <c r="C359" s="42" t="inlineStr">
        <is>
          <t>シャッター付引違い窓</t>
        </is>
      </c>
      <c r="D359" s="42" t="inlineStr">
        <is>
          <t>SP-SL-SHUT-E-STD</t>
        </is>
      </c>
      <c r="E359" s="42" t="inlineStr">
        <is>
          <t>25120-4</t>
        </is>
      </c>
      <c r="F359" s="42" t="inlineStr">
        <is>
          <t>2550</t>
        </is>
      </c>
      <c r="G359" s="42" t="inlineStr">
        <is>
          <t>2030</t>
        </is>
      </c>
      <c r="H359" s="42" t="inlineStr">
        <is>
          <t>True</t>
        </is>
      </c>
      <c r="I359" s="42" t="inlineStr">
        <is>
          <t>NOT_EVALUATED</t>
        </is>
      </c>
      <c r="J359" s="42" t="inlineStr">
        <is>
          <t>NO_DIRECT_STANDARD_MATRIX_IN_RETRIEVED_SOURCE</t>
        </is>
      </c>
      <c r="K359" s="42" t="str"/>
      <c r="L359" s="42" t="str"/>
      <c r="M359" s="42" t="str"/>
      <c r="N359" s="42" t="str"/>
      <c r="O359" s="42" t="inlineStr">
        <is>
          <t>現行公式資料でこの窓種のSAFE 30mil規格○/×を本Revisionでは直接取得できていない。推測しない。</t>
        </is>
      </c>
    </row>
    <row r="360">
      <c r="A360" s="42" t="inlineStr">
        <is>
          <t>SZ-SL-000359</t>
        </is>
      </c>
      <c r="B360" s="42" t="inlineStr">
        <is>
          <t>WT-SL-SHUTTER-HIKI</t>
        </is>
      </c>
      <c r="C360" s="42" t="inlineStr">
        <is>
          <t>シャッター付引違い窓</t>
        </is>
      </c>
      <c r="D360" s="42" t="inlineStr">
        <is>
          <t>SP-SL-SHUT-E-VENT</t>
        </is>
      </c>
      <c r="E360" s="42" t="inlineStr">
        <is>
          <t>18618</t>
        </is>
      </c>
      <c r="F360" s="42" t="inlineStr">
        <is>
          <t>1900</t>
        </is>
      </c>
      <c r="G360" s="42" t="inlineStr">
        <is>
          <t>1830</t>
        </is>
      </c>
      <c r="H360" s="42" t="inlineStr">
        <is>
          <t>True</t>
        </is>
      </c>
      <c r="I360" s="42" t="inlineStr">
        <is>
          <t>NOT_EVALUATED</t>
        </is>
      </c>
      <c r="J360" s="42" t="inlineStr">
        <is>
          <t>NO_DIRECT_STANDARD_MATRIX_IN_RETRIEVED_SOURCE</t>
        </is>
      </c>
      <c r="K360" s="42" t="str"/>
      <c r="L360" s="42" t="str"/>
      <c r="M360" s="42" t="str"/>
      <c r="N360" s="42" t="str"/>
      <c r="O360" s="42" t="inlineStr">
        <is>
          <t>現行公式資料でこの窓種のSAFE 30mil規格○/×を本Revisionでは直接取得できていない。推測しない。</t>
        </is>
      </c>
    </row>
    <row r="361">
      <c r="A361" s="42" t="inlineStr">
        <is>
          <t>SZ-SL-000360</t>
        </is>
      </c>
      <c r="B361" s="42" t="inlineStr">
        <is>
          <t>WT-SL-SHUTTER-HIKI</t>
        </is>
      </c>
      <c r="C361" s="42" t="inlineStr">
        <is>
          <t>シャッター付引違い窓</t>
        </is>
      </c>
      <c r="D361" s="42" t="inlineStr">
        <is>
          <t>SP-SL-SHUT-E-VENT</t>
        </is>
      </c>
      <c r="E361" s="42" t="inlineStr">
        <is>
          <t>18620</t>
        </is>
      </c>
      <c r="F361" s="42" t="inlineStr">
        <is>
          <t>1900</t>
        </is>
      </c>
      <c r="G361" s="42" t="inlineStr">
        <is>
          <t>2030</t>
        </is>
      </c>
      <c r="H361" s="42" t="inlineStr">
        <is>
          <t>True</t>
        </is>
      </c>
      <c r="I361" s="42" t="inlineStr">
        <is>
          <t>NOT_EVALUATED</t>
        </is>
      </c>
      <c r="J361" s="42" t="inlineStr">
        <is>
          <t>NO_DIRECT_STANDARD_MATRIX_IN_RETRIEVED_SOURCE</t>
        </is>
      </c>
      <c r="K361" s="42" t="str"/>
      <c r="L361" s="42" t="str"/>
      <c r="M361" s="42" t="str"/>
      <c r="N361" s="42" t="str"/>
      <c r="O361" s="42" t="inlineStr">
        <is>
          <t>現行公式資料でこの窓種のSAFE 30mil規格○/×を本Revisionでは直接取得できていない。推測しない。</t>
        </is>
      </c>
    </row>
    <row r="362">
      <c r="A362" s="42" t="inlineStr">
        <is>
          <t>SZ-SL-000361</t>
        </is>
      </c>
      <c r="B362" s="42" t="inlineStr">
        <is>
          <t>WT-SL-SHUTTER-HIKI</t>
        </is>
      </c>
      <c r="C362" s="42" t="inlineStr">
        <is>
          <t>シャッター付引違い窓</t>
        </is>
      </c>
      <c r="D362" s="42" t="inlineStr">
        <is>
          <t>SP-SL-SHUT-E-VENT</t>
        </is>
      </c>
      <c r="E362" s="42" t="inlineStr">
        <is>
          <t>25118-2</t>
        </is>
      </c>
      <c r="F362" s="42" t="inlineStr">
        <is>
          <t>2550</t>
        </is>
      </c>
      <c r="G362" s="42" t="inlineStr">
        <is>
          <t>1830</t>
        </is>
      </c>
      <c r="H362" s="42" t="inlineStr">
        <is>
          <t>True</t>
        </is>
      </c>
      <c r="I362" s="42" t="inlineStr">
        <is>
          <t>NOT_EVALUATED</t>
        </is>
      </c>
      <c r="J362" s="42" t="inlineStr">
        <is>
          <t>NO_DIRECT_STANDARD_MATRIX_IN_RETRIEVED_SOURCE</t>
        </is>
      </c>
      <c r="K362" s="42" t="str"/>
      <c r="L362" s="42" t="str"/>
      <c r="M362" s="42" t="str"/>
      <c r="N362" s="42" t="str"/>
      <c r="O362" s="42" t="inlineStr">
        <is>
          <t>現行公式資料でこの窓種のSAFE 30mil規格○/×を本Revisionでは直接取得できていない。推測しない。</t>
        </is>
      </c>
    </row>
    <row r="363">
      <c r="A363" s="42" t="inlineStr">
        <is>
          <t>SZ-SL-000362</t>
        </is>
      </c>
      <c r="B363" s="42" t="inlineStr">
        <is>
          <t>WT-SL-SHUTTER-HIKI</t>
        </is>
      </c>
      <c r="C363" s="42" t="inlineStr">
        <is>
          <t>シャッター付引違い窓</t>
        </is>
      </c>
      <c r="D363" s="42" t="inlineStr">
        <is>
          <t>SP-SL-SHUT-E-VENT</t>
        </is>
      </c>
      <c r="E363" s="42" t="inlineStr">
        <is>
          <t>25118-4</t>
        </is>
      </c>
      <c r="F363" s="42" t="inlineStr">
        <is>
          <t>2550</t>
        </is>
      </c>
      <c r="G363" s="42" t="inlineStr">
        <is>
          <t>1830</t>
        </is>
      </c>
      <c r="H363" s="42" t="inlineStr">
        <is>
          <t>True</t>
        </is>
      </c>
      <c r="I363" s="42" t="inlineStr">
        <is>
          <t>NOT_EVALUATED</t>
        </is>
      </c>
      <c r="J363" s="42" t="inlineStr">
        <is>
          <t>NO_DIRECT_STANDARD_MATRIX_IN_RETRIEVED_SOURCE</t>
        </is>
      </c>
      <c r="K363" s="42" t="str"/>
      <c r="L363" s="42" t="str"/>
      <c r="M363" s="42" t="str"/>
      <c r="N363" s="42" t="str"/>
      <c r="O363" s="42" t="inlineStr">
        <is>
          <t>現行公式資料でこの窓種のSAFE 30mil規格○/×を本Revisionでは直接取得できていない。推測しない。</t>
        </is>
      </c>
    </row>
    <row r="364">
      <c r="A364" s="42" t="inlineStr">
        <is>
          <t>SZ-SL-000363</t>
        </is>
      </c>
      <c r="B364" s="42" t="inlineStr">
        <is>
          <t>WT-SL-SHUTTER-HIKI</t>
        </is>
      </c>
      <c r="C364" s="42" t="inlineStr">
        <is>
          <t>シャッター付引違い窓</t>
        </is>
      </c>
      <c r="D364" s="42" t="inlineStr">
        <is>
          <t>SP-SL-SHUT-E-VENT</t>
        </is>
      </c>
      <c r="E364" s="42" t="inlineStr">
        <is>
          <t>25120-2</t>
        </is>
      </c>
      <c r="F364" s="42" t="inlineStr">
        <is>
          <t>2550</t>
        </is>
      </c>
      <c r="G364" s="42" t="inlineStr">
        <is>
          <t>2030</t>
        </is>
      </c>
      <c r="H364" s="42" t="inlineStr">
        <is>
          <t>True</t>
        </is>
      </c>
      <c r="I364" s="42" t="inlineStr">
        <is>
          <t>NOT_EVALUATED</t>
        </is>
      </c>
      <c r="J364" s="42" t="inlineStr">
        <is>
          <t>NO_DIRECT_STANDARD_MATRIX_IN_RETRIEVED_SOURCE</t>
        </is>
      </c>
      <c r="K364" s="42" t="str"/>
      <c r="L364" s="42" t="str"/>
      <c r="M364" s="42" t="str"/>
      <c r="N364" s="42" t="str"/>
      <c r="O364" s="42" t="inlineStr">
        <is>
          <t>現行公式資料でこの窓種のSAFE 30mil規格○/×を本Revisionでは直接取得できていない。推測しない。</t>
        </is>
      </c>
    </row>
    <row r="365">
      <c r="A365" s="42" t="inlineStr">
        <is>
          <t>SZ-SL-000364</t>
        </is>
      </c>
      <c r="B365" s="42" t="inlineStr">
        <is>
          <t>WT-SL-SHUTTER-HIKI</t>
        </is>
      </c>
      <c r="C365" s="42" t="inlineStr">
        <is>
          <t>シャッター付引違い窓</t>
        </is>
      </c>
      <c r="D365" s="42" t="inlineStr">
        <is>
          <t>SP-SL-SHUT-E-VENT</t>
        </is>
      </c>
      <c r="E365" s="42" t="inlineStr">
        <is>
          <t>25120-4</t>
        </is>
      </c>
      <c r="F365" s="42" t="inlineStr">
        <is>
          <t>2550</t>
        </is>
      </c>
      <c r="G365" s="42" t="inlineStr">
        <is>
          <t>2030</t>
        </is>
      </c>
      <c r="H365" s="42" t="inlineStr">
        <is>
          <t>True</t>
        </is>
      </c>
      <c r="I365" s="42" t="inlineStr">
        <is>
          <t>NOT_EVALUATED</t>
        </is>
      </c>
      <c r="J365" s="42" t="inlineStr">
        <is>
          <t>NO_DIRECT_STANDARD_MATRIX_IN_RETRIEVED_SOURCE</t>
        </is>
      </c>
      <c r="K365" s="42" t="str"/>
      <c r="L365" s="42" t="str"/>
      <c r="M365" s="42" t="str"/>
      <c r="N365" s="42" t="str"/>
      <c r="O365" s="42" t="inlineStr">
        <is>
          <t>現行公式資料でこの窓種のSAFE 30mil規格○/×を本Revisionでは直接取得できていない。推測しない。</t>
        </is>
      </c>
    </row>
    <row r="366">
      <c r="A366" s="42" t="inlineStr">
        <is>
          <t>SZ-SL-000365</t>
        </is>
      </c>
      <c r="B366" s="42" t="inlineStr">
        <is>
          <t>WT-SL-SHUTTER-HIKI</t>
        </is>
      </c>
      <c r="C366" s="42" t="inlineStr">
        <is>
          <t>シャッター付引違い窓</t>
        </is>
      </c>
      <c r="D366" s="42" t="inlineStr">
        <is>
          <t>SP-SL-SHUT-E-WIND</t>
        </is>
      </c>
      <c r="E366" s="42" t="inlineStr">
        <is>
          <t>18618</t>
        </is>
      </c>
      <c r="F366" s="42" t="inlineStr">
        <is>
          <t>1900</t>
        </is>
      </c>
      <c r="G366" s="42" t="inlineStr">
        <is>
          <t>1830</t>
        </is>
      </c>
      <c r="H366" s="42" t="inlineStr">
        <is>
          <t>False</t>
        </is>
      </c>
      <c r="I366" s="42" t="inlineStr">
        <is>
          <t>NOT_EVALUATED</t>
        </is>
      </c>
      <c r="J366" s="42" t="inlineStr">
        <is>
          <t>NO_DIRECT_STANDARD_MATRIX_IN_RETRIEVED_SOURCE</t>
        </is>
      </c>
      <c r="K366" s="42" t="str"/>
      <c r="L366" s="42" t="str"/>
      <c r="M366" s="42" t="str"/>
      <c r="N366" s="42" t="str"/>
      <c r="O366" s="42" t="inlineStr">
        <is>
          <t>現行公式資料でこの窓種のSAFE 30mil規格○/×を本Revisionでは直接取得できていない。推測しない。</t>
        </is>
      </c>
    </row>
    <row r="367">
      <c r="A367" s="42" t="inlineStr">
        <is>
          <t>SZ-SL-000366</t>
        </is>
      </c>
      <c r="B367" s="42" t="inlineStr">
        <is>
          <t>WT-SL-SHUTTER-HIKI</t>
        </is>
      </c>
      <c r="C367" s="42" t="inlineStr">
        <is>
          <t>シャッター付引違い窓</t>
        </is>
      </c>
      <c r="D367" s="42" t="inlineStr">
        <is>
          <t>SP-SL-SHUT-E-WIND</t>
        </is>
      </c>
      <c r="E367" s="42" t="inlineStr">
        <is>
          <t>18620</t>
        </is>
      </c>
      <c r="F367" s="42" t="inlineStr">
        <is>
          <t>1900</t>
        </is>
      </c>
      <c r="G367" s="42" t="inlineStr">
        <is>
          <t>2030</t>
        </is>
      </c>
      <c r="H367" s="42" t="inlineStr">
        <is>
          <t>False</t>
        </is>
      </c>
      <c r="I367" s="42" t="inlineStr">
        <is>
          <t>NOT_EVALUATED</t>
        </is>
      </c>
      <c r="J367" s="42" t="inlineStr">
        <is>
          <t>NO_DIRECT_STANDARD_MATRIX_IN_RETRIEVED_SOURCE</t>
        </is>
      </c>
      <c r="K367" s="42" t="str"/>
      <c r="L367" s="42" t="str"/>
      <c r="M367" s="42" t="str"/>
      <c r="N367" s="42" t="str"/>
      <c r="O367" s="42" t="inlineStr">
        <is>
          <t>現行公式資料でこの窓種のSAFE 30mil規格○/×を本Revisionでは直接取得できていない。推測しない。</t>
        </is>
      </c>
    </row>
    <row r="368">
      <c r="A368" s="42" t="inlineStr">
        <is>
          <t>SZ-SL-000367</t>
        </is>
      </c>
      <c r="B368" s="42" t="inlineStr">
        <is>
          <t>WT-SL-SHUTTER-HIKI</t>
        </is>
      </c>
      <c r="C368" s="42" t="inlineStr">
        <is>
          <t>シャッター付引違い窓</t>
        </is>
      </c>
      <c r="D368" s="42" t="inlineStr">
        <is>
          <t>SP-SL-SHUT-E-WIND</t>
        </is>
      </c>
      <c r="E368" s="42" t="inlineStr">
        <is>
          <t>25118-2</t>
        </is>
      </c>
      <c r="F368" s="42" t="inlineStr">
        <is>
          <t>2550</t>
        </is>
      </c>
      <c r="G368" s="42" t="inlineStr">
        <is>
          <t>1830</t>
        </is>
      </c>
      <c r="H368" s="42" t="inlineStr">
        <is>
          <t>True</t>
        </is>
      </c>
      <c r="I368" s="42" t="inlineStr">
        <is>
          <t>NOT_EVALUATED</t>
        </is>
      </c>
      <c r="J368" s="42" t="inlineStr">
        <is>
          <t>NO_DIRECT_STANDARD_MATRIX_IN_RETRIEVED_SOURCE</t>
        </is>
      </c>
      <c r="K368" s="42" t="str"/>
      <c r="L368" s="42" t="str"/>
      <c r="M368" s="42" t="str"/>
      <c r="N368" s="42" t="str"/>
      <c r="O368" s="42" t="inlineStr">
        <is>
          <t>現行公式資料でこの窓種のSAFE 30mil規格○/×を本Revisionでは直接取得できていない。推測しない。</t>
        </is>
      </c>
    </row>
    <row r="369">
      <c r="A369" s="42" t="inlineStr">
        <is>
          <t>SZ-SL-000368</t>
        </is>
      </c>
      <c r="B369" s="42" t="inlineStr">
        <is>
          <t>WT-SL-SHUTTER-HIKI</t>
        </is>
      </c>
      <c r="C369" s="42" t="inlineStr">
        <is>
          <t>シャッター付引違い窓</t>
        </is>
      </c>
      <c r="D369" s="42" t="inlineStr">
        <is>
          <t>SP-SL-SHUT-E-WIND</t>
        </is>
      </c>
      <c r="E369" s="42" t="inlineStr">
        <is>
          <t>25118-4</t>
        </is>
      </c>
      <c r="F369" s="42" t="inlineStr">
        <is>
          <t>2550</t>
        </is>
      </c>
      <c r="G369" s="42" t="inlineStr">
        <is>
          <t>1830</t>
        </is>
      </c>
      <c r="H369" s="42" t="inlineStr">
        <is>
          <t>True</t>
        </is>
      </c>
      <c r="I369" s="42" t="inlineStr">
        <is>
          <t>NOT_EVALUATED</t>
        </is>
      </c>
      <c r="J369" s="42" t="inlineStr">
        <is>
          <t>NO_DIRECT_STANDARD_MATRIX_IN_RETRIEVED_SOURCE</t>
        </is>
      </c>
      <c r="K369" s="42" t="str"/>
      <c r="L369" s="42" t="str"/>
      <c r="M369" s="42" t="str"/>
      <c r="N369" s="42" t="str"/>
      <c r="O369" s="42" t="inlineStr">
        <is>
          <t>現行公式資料でこの窓種のSAFE 30mil規格○/×を本Revisionでは直接取得できていない。推測しない。</t>
        </is>
      </c>
    </row>
    <row r="370">
      <c r="A370" s="42" t="inlineStr">
        <is>
          <t>SZ-SL-000369</t>
        </is>
      </c>
      <c r="B370" s="42" t="inlineStr">
        <is>
          <t>WT-SL-SHUTTER-HIKI</t>
        </is>
      </c>
      <c r="C370" s="42" t="inlineStr">
        <is>
          <t>シャッター付引違い窓</t>
        </is>
      </c>
      <c r="D370" s="42" t="inlineStr">
        <is>
          <t>SP-SL-SHUT-E-WIND</t>
        </is>
      </c>
      <c r="E370" s="42" t="inlineStr">
        <is>
          <t>25120-2</t>
        </is>
      </c>
      <c r="F370" s="42" t="inlineStr">
        <is>
          <t>2550</t>
        </is>
      </c>
      <c r="G370" s="42" t="inlineStr">
        <is>
          <t>2030</t>
        </is>
      </c>
      <c r="H370" s="42" t="inlineStr">
        <is>
          <t>True</t>
        </is>
      </c>
      <c r="I370" s="42" t="inlineStr">
        <is>
          <t>NOT_EVALUATED</t>
        </is>
      </c>
      <c r="J370" s="42" t="inlineStr">
        <is>
          <t>NO_DIRECT_STANDARD_MATRIX_IN_RETRIEVED_SOURCE</t>
        </is>
      </c>
      <c r="K370" s="42" t="str"/>
      <c r="L370" s="42" t="str"/>
      <c r="M370" s="42" t="str"/>
      <c r="N370" s="42" t="str"/>
      <c r="O370" s="42" t="inlineStr">
        <is>
          <t>現行公式資料でこの窓種のSAFE 30mil規格○/×を本Revisionでは直接取得できていない。推測しない。</t>
        </is>
      </c>
    </row>
    <row r="371">
      <c r="A371" s="42" t="inlineStr">
        <is>
          <t>SZ-SL-000370</t>
        </is>
      </c>
      <c r="B371" s="42" t="inlineStr">
        <is>
          <t>WT-SL-SHUTTER-HIKI</t>
        </is>
      </c>
      <c r="C371" s="42" t="inlineStr">
        <is>
          <t>シャッター付引違い窓</t>
        </is>
      </c>
      <c r="D371" s="42" t="inlineStr">
        <is>
          <t>SP-SL-SHUT-E-WIND</t>
        </is>
      </c>
      <c r="E371" s="42" t="inlineStr">
        <is>
          <t>25120-4</t>
        </is>
      </c>
      <c r="F371" s="42" t="inlineStr">
        <is>
          <t>2550</t>
        </is>
      </c>
      <c r="G371" s="42" t="inlineStr">
        <is>
          <t>2030</t>
        </is>
      </c>
      <c r="H371" s="42" t="inlineStr">
        <is>
          <t>True</t>
        </is>
      </c>
      <c r="I371" s="42" t="inlineStr">
        <is>
          <t>NOT_EVALUATED</t>
        </is>
      </c>
      <c r="J371" s="42" t="inlineStr">
        <is>
          <t>NO_DIRECT_STANDARD_MATRIX_IN_RETRIEVED_SOURCE</t>
        </is>
      </c>
      <c r="K371" s="42" t="str"/>
      <c r="L371" s="42" t="str"/>
      <c r="M371" s="42" t="str"/>
      <c r="N371" s="42" t="str"/>
      <c r="O371" s="42" t="inlineStr">
        <is>
          <t>現行公式資料でこの窓種のSAFE 30mil規格○/×を本Revisionでは直接取得できていない。推測しない。</t>
        </is>
      </c>
    </row>
    <row r="372">
      <c r="A372" s="42" t="inlineStr">
        <is>
          <t>SZ-SL-000371</t>
        </is>
      </c>
      <c r="B372" s="42" t="inlineStr">
        <is>
          <t>WT-SL-SHUTTER-HIKI</t>
        </is>
      </c>
      <c r="C372" s="42" t="inlineStr">
        <is>
          <t>シャッター付引違い窓</t>
        </is>
      </c>
      <c r="D372" s="42" t="inlineStr">
        <is>
          <t>SP-SL-SHUT-E-STD</t>
        </is>
      </c>
      <c r="E372" s="42" t="inlineStr">
        <is>
          <t>25618-2</t>
        </is>
      </c>
      <c r="F372" s="42" t="inlineStr">
        <is>
          <t>2600</t>
        </is>
      </c>
      <c r="G372" s="42" t="inlineStr">
        <is>
          <t>1830</t>
        </is>
      </c>
      <c r="H372" s="42" t="inlineStr">
        <is>
          <t>True</t>
        </is>
      </c>
      <c r="I372" s="42" t="inlineStr">
        <is>
          <t>NOT_EVALUATED</t>
        </is>
      </c>
      <c r="J372" s="42" t="inlineStr">
        <is>
          <t>NO_DIRECT_STANDARD_MATRIX_IN_RETRIEVED_SOURCE</t>
        </is>
      </c>
      <c r="K372" s="42" t="str"/>
      <c r="L372" s="42" t="str"/>
      <c r="M372" s="42" t="str"/>
      <c r="N372" s="42" t="str"/>
      <c r="O372" s="42" t="inlineStr">
        <is>
          <t>現行公式資料でこの窓種のSAFE 30mil規格○/×を本Revisionでは直接取得できていない。推測しない。</t>
        </is>
      </c>
    </row>
    <row r="373">
      <c r="A373" s="42" t="inlineStr">
        <is>
          <t>SZ-SL-000372</t>
        </is>
      </c>
      <c r="B373" s="42" t="inlineStr">
        <is>
          <t>WT-SL-SHUTTER-HIKI</t>
        </is>
      </c>
      <c r="C373" s="42" t="inlineStr">
        <is>
          <t>シャッター付引違い窓</t>
        </is>
      </c>
      <c r="D373" s="42" t="inlineStr">
        <is>
          <t>SP-SL-SHUT-E-STD</t>
        </is>
      </c>
      <c r="E373" s="42" t="inlineStr">
        <is>
          <t>25618-4</t>
        </is>
      </c>
      <c r="F373" s="42" t="inlineStr">
        <is>
          <t>2600</t>
        </is>
      </c>
      <c r="G373" s="42" t="inlineStr">
        <is>
          <t>1830</t>
        </is>
      </c>
      <c r="H373" s="42" t="inlineStr">
        <is>
          <t>True</t>
        </is>
      </c>
      <c r="I373" s="42" t="inlineStr">
        <is>
          <t>NOT_EVALUATED</t>
        </is>
      </c>
      <c r="J373" s="42" t="inlineStr">
        <is>
          <t>NO_DIRECT_STANDARD_MATRIX_IN_RETRIEVED_SOURCE</t>
        </is>
      </c>
      <c r="K373" s="42" t="str"/>
      <c r="L373" s="42" t="str"/>
      <c r="M373" s="42" t="str"/>
      <c r="N373" s="42" t="str"/>
      <c r="O373" s="42" t="inlineStr">
        <is>
          <t>現行公式資料でこの窓種のSAFE 30mil規格○/×を本Revisionでは直接取得できていない。推測しない。</t>
        </is>
      </c>
    </row>
    <row r="374">
      <c r="A374" s="42" t="inlineStr">
        <is>
          <t>SZ-SL-000373</t>
        </is>
      </c>
      <c r="B374" s="42" t="inlineStr">
        <is>
          <t>WT-SL-SHUTTER-HIKI</t>
        </is>
      </c>
      <c r="C374" s="42" t="inlineStr">
        <is>
          <t>シャッター付引違い窓</t>
        </is>
      </c>
      <c r="D374" s="42" t="inlineStr">
        <is>
          <t>SP-SL-SHUT-E-STD</t>
        </is>
      </c>
      <c r="E374" s="42" t="inlineStr">
        <is>
          <t>25620-2</t>
        </is>
      </c>
      <c r="F374" s="42" t="inlineStr">
        <is>
          <t>2600</t>
        </is>
      </c>
      <c r="G374" s="42" t="inlineStr">
        <is>
          <t>2030</t>
        </is>
      </c>
      <c r="H374" s="42" t="inlineStr">
        <is>
          <t>True</t>
        </is>
      </c>
      <c r="I374" s="42" t="inlineStr">
        <is>
          <t>NOT_EVALUATED</t>
        </is>
      </c>
      <c r="J374" s="42" t="inlineStr">
        <is>
          <t>NO_DIRECT_STANDARD_MATRIX_IN_RETRIEVED_SOURCE</t>
        </is>
      </c>
      <c r="K374" s="42" t="str"/>
      <c r="L374" s="42" t="str"/>
      <c r="M374" s="42" t="str"/>
      <c r="N374" s="42" t="str"/>
      <c r="O374" s="42" t="inlineStr">
        <is>
          <t>現行公式資料でこの窓種のSAFE 30mil規格○/×を本Revisionでは直接取得できていない。推測しない。</t>
        </is>
      </c>
    </row>
    <row r="375">
      <c r="A375" s="42" t="inlineStr">
        <is>
          <t>SZ-SL-000374</t>
        </is>
      </c>
      <c r="B375" s="42" t="inlineStr">
        <is>
          <t>WT-SL-SHUTTER-HIKI</t>
        </is>
      </c>
      <c r="C375" s="42" t="inlineStr">
        <is>
          <t>シャッター付引違い窓</t>
        </is>
      </c>
      <c r="D375" s="42" t="inlineStr">
        <is>
          <t>SP-SL-SHUT-E-STD</t>
        </is>
      </c>
      <c r="E375" s="42" t="inlineStr">
        <is>
          <t>25620-4</t>
        </is>
      </c>
      <c r="F375" s="42" t="inlineStr">
        <is>
          <t>2600</t>
        </is>
      </c>
      <c r="G375" s="42" t="inlineStr">
        <is>
          <t>2030</t>
        </is>
      </c>
      <c r="H375" s="42" t="inlineStr">
        <is>
          <t>True</t>
        </is>
      </c>
      <c r="I375" s="42" t="inlineStr">
        <is>
          <t>NOT_EVALUATED</t>
        </is>
      </c>
      <c r="J375" s="42" t="inlineStr">
        <is>
          <t>NO_DIRECT_STANDARD_MATRIX_IN_RETRIEVED_SOURCE</t>
        </is>
      </c>
      <c r="K375" s="42" t="str"/>
      <c r="L375" s="42" t="str"/>
      <c r="M375" s="42" t="str"/>
      <c r="N375" s="42" t="str"/>
      <c r="O375" s="42" t="inlineStr">
        <is>
          <t>現行公式資料でこの窓種のSAFE 30mil規格○/×を本Revisionでは直接取得できていない。推測しない。</t>
        </is>
      </c>
    </row>
    <row r="376">
      <c r="A376" s="42" t="inlineStr">
        <is>
          <t>SZ-SL-000375</t>
        </is>
      </c>
      <c r="B376" s="42" t="inlineStr">
        <is>
          <t>WT-SL-SHUTTER-HIKI</t>
        </is>
      </c>
      <c r="C376" s="42" t="inlineStr">
        <is>
          <t>シャッター付引違い窓</t>
        </is>
      </c>
      <c r="D376" s="42" t="inlineStr">
        <is>
          <t>SP-SL-SHUT-E-STD</t>
        </is>
      </c>
      <c r="E376" s="42" t="inlineStr">
        <is>
          <t>34718</t>
        </is>
      </c>
      <c r="F376" s="42" t="inlineStr">
        <is>
          <t>3510</t>
        </is>
      </c>
      <c r="G376" s="42" t="inlineStr">
        <is>
          <t>1830</t>
        </is>
      </c>
      <c r="H376" s="42" t="inlineStr">
        <is>
          <t>True</t>
        </is>
      </c>
      <c r="I376" s="42" t="inlineStr">
        <is>
          <t>NOT_EVALUATED</t>
        </is>
      </c>
      <c r="J376" s="42" t="inlineStr">
        <is>
          <t>NO_DIRECT_STANDARD_MATRIX_IN_RETRIEVED_SOURCE</t>
        </is>
      </c>
      <c r="K376" s="42" t="str"/>
      <c r="L376" s="42" t="str"/>
      <c r="M376" s="42" t="str"/>
      <c r="N376" s="42" t="str"/>
      <c r="O376" s="42" t="inlineStr">
        <is>
          <t>現行公式資料でこの窓種のSAFE 30mil規格○/×を本Revisionでは直接取得できていない。推測しない。</t>
        </is>
      </c>
    </row>
    <row r="377">
      <c r="A377" s="42" t="inlineStr">
        <is>
          <t>SZ-SL-000376</t>
        </is>
      </c>
      <c r="B377" s="42" t="inlineStr">
        <is>
          <t>WT-SL-SHUTTER-HIKI</t>
        </is>
      </c>
      <c r="C377" s="42" t="inlineStr">
        <is>
          <t>シャッター付引違い窓</t>
        </is>
      </c>
      <c r="D377" s="42" t="inlineStr">
        <is>
          <t>SP-SL-SHUT-E-STD</t>
        </is>
      </c>
      <c r="E377" s="42" t="inlineStr">
        <is>
          <t>34720</t>
        </is>
      </c>
      <c r="F377" s="42" t="inlineStr">
        <is>
          <t>3510</t>
        </is>
      </c>
      <c r="G377" s="42" t="inlineStr">
        <is>
          <t>2030</t>
        </is>
      </c>
      <c r="H377" s="42" t="inlineStr">
        <is>
          <t>True</t>
        </is>
      </c>
      <c r="I377" s="42" t="inlineStr">
        <is>
          <t>NOT_EVALUATED</t>
        </is>
      </c>
      <c r="J377" s="42" t="inlineStr">
        <is>
          <t>NO_DIRECT_STANDARD_MATRIX_IN_RETRIEVED_SOURCE</t>
        </is>
      </c>
      <c r="K377" s="42" t="str"/>
      <c r="L377" s="42" t="str"/>
      <c r="M377" s="42" t="str"/>
      <c r="N377" s="42" t="str"/>
      <c r="O377" s="42" t="inlineStr">
        <is>
          <t>現行公式資料でこの窓種のSAFE 30mil規格○/×を本Revisionでは直接取得できていない。推測しない。</t>
        </is>
      </c>
    </row>
    <row r="378">
      <c r="A378" s="42" t="inlineStr">
        <is>
          <t>SZ-SL-000377</t>
        </is>
      </c>
      <c r="B378" s="42" t="inlineStr">
        <is>
          <t>WT-SL-SHUTTER-HIKI</t>
        </is>
      </c>
      <c r="C378" s="42" t="inlineStr">
        <is>
          <t>シャッター付引違い窓</t>
        </is>
      </c>
      <c r="D378" s="42" t="inlineStr">
        <is>
          <t>SP-SL-SHUT-E-VENT</t>
        </is>
      </c>
      <c r="E378" s="42" t="inlineStr">
        <is>
          <t>25618-2</t>
        </is>
      </c>
      <c r="F378" s="42" t="inlineStr">
        <is>
          <t>2600</t>
        </is>
      </c>
      <c r="G378" s="42" t="inlineStr">
        <is>
          <t>1830</t>
        </is>
      </c>
      <c r="H378" s="42" t="inlineStr">
        <is>
          <t>True</t>
        </is>
      </c>
      <c r="I378" s="42" t="inlineStr">
        <is>
          <t>NOT_EVALUATED</t>
        </is>
      </c>
      <c r="J378" s="42" t="inlineStr">
        <is>
          <t>NO_DIRECT_STANDARD_MATRIX_IN_RETRIEVED_SOURCE</t>
        </is>
      </c>
      <c r="K378" s="42" t="str"/>
      <c r="L378" s="42" t="str"/>
      <c r="M378" s="42" t="str"/>
      <c r="N378" s="42" t="str"/>
      <c r="O378" s="42" t="inlineStr">
        <is>
          <t>現行公式資料でこの窓種のSAFE 30mil規格○/×を本Revisionでは直接取得できていない。推測しない。</t>
        </is>
      </c>
    </row>
    <row r="379">
      <c r="A379" s="42" t="inlineStr">
        <is>
          <t>SZ-SL-000378</t>
        </is>
      </c>
      <c r="B379" s="42" t="inlineStr">
        <is>
          <t>WT-SL-SHUTTER-HIKI</t>
        </is>
      </c>
      <c r="C379" s="42" t="inlineStr">
        <is>
          <t>シャッター付引違い窓</t>
        </is>
      </c>
      <c r="D379" s="42" t="inlineStr">
        <is>
          <t>SP-SL-SHUT-E-VENT</t>
        </is>
      </c>
      <c r="E379" s="42" t="inlineStr">
        <is>
          <t>25618-4</t>
        </is>
      </c>
      <c r="F379" s="42" t="inlineStr">
        <is>
          <t>2600</t>
        </is>
      </c>
      <c r="G379" s="42" t="inlineStr">
        <is>
          <t>1830</t>
        </is>
      </c>
      <c r="H379" s="42" t="inlineStr">
        <is>
          <t>True</t>
        </is>
      </c>
      <c r="I379" s="42" t="inlineStr">
        <is>
          <t>NOT_EVALUATED</t>
        </is>
      </c>
      <c r="J379" s="42" t="inlineStr">
        <is>
          <t>NO_DIRECT_STANDARD_MATRIX_IN_RETRIEVED_SOURCE</t>
        </is>
      </c>
      <c r="K379" s="42" t="str"/>
      <c r="L379" s="42" t="str"/>
      <c r="M379" s="42" t="str"/>
      <c r="N379" s="42" t="str"/>
      <c r="O379" s="42" t="inlineStr">
        <is>
          <t>現行公式資料でこの窓種のSAFE 30mil規格○/×を本Revisionでは直接取得できていない。推測しない。</t>
        </is>
      </c>
    </row>
    <row r="380">
      <c r="A380" s="42" t="inlineStr">
        <is>
          <t>SZ-SL-000379</t>
        </is>
      </c>
      <c r="B380" s="42" t="inlineStr">
        <is>
          <t>WT-SL-SHUTTER-HIKI</t>
        </is>
      </c>
      <c r="C380" s="42" t="inlineStr">
        <is>
          <t>シャッター付引違い窓</t>
        </is>
      </c>
      <c r="D380" s="42" t="inlineStr">
        <is>
          <t>SP-SL-SHUT-E-VENT</t>
        </is>
      </c>
      <c r="E380" s="42" t="inlineStr">
        <is>
          <t>25620-2</t>
        </is>
      </c>
      <c r="F380" s="42" t="inlineStr">
        <is>
          <t>2600</t>
        </is>
      </c>
      <c r="G380" s="42" t="inlineStr">
        <is>
          <t>2030</t>
        </is>
      </c>
      <c r="H380" s="42" t="inlineStr">
        <is>
          <t>True</t>
        </is>
      </c>
      <c r="I380" s="42" t="inlineStr">
        <is>
          <t>NOT_EVALUATED</t>
        </is>
      </c>
      <c r="J380" s="42" t="inlineStr">
        <is>
          <t>NO_DIRECT_STANDARD_MATRIX_IN_RETRIEVED_SOURCE</t>
        </is>
      </c>
      <c r="K380" s="42" t="str"/>
      <c r="L380" s="42" t="str"/>
      <c r="M380" s="42" t="str"/>
      <c r="N380" s="42" t="str"/>
      <c r="O380" s="42" t="inlineStr">
        <is>
          <t>現行公式資料でこの窓種のSAFE 30mil規格○/×を本Revisionでは直接取得できていない。推測しない。</t>
        </is>
      </c>
    </row>
    <row r="381">
      <c r="A381" s="42" t="inlineStr">
        <is>
          <t>SZ-SL-000380</t>
        </is>
      </c>
      <c r="B381" s="42" t="inlineStr">
        <is>
          <t>WT-SL-SHUTTER-HIKI</t>
        </is>
      </c>
      <c r="C381" s="42" t="inlineStr">
        <is>
          <t>シャッター付引違い窓</t>
        </is>
      </c>
      <c r="D381" s="42" t="inlineStr">
        <is>
          <t>SP-SL-SHUT-E-VENT</t>
        </is>
      </c>
      <c r="E381" s="42" t="inlineStr">
        <is>
          <t>25620-4</t>
        </is>
      </c>
      <c r="F381" s="42" t="inlineStr">
        <is>
          <t>2600</t>
        </is>
      </c>
      <c r="G381" s="42" t="inlineStr">
        <is>
          <t>2030</t>
        </is>
      </c>
      <c r="H381" s="42" t="inlineStr">
        <is>
          <t>True</t>
        </is>
      </c>
      <c r="I381" s="42" t="inlineStr">
        <is>
          <t>NOT_EVALUATED</t>
        </is>
      </c>
      <c r="J381" s="42" t="inlineStr">
        <is>
          <t>NO_DIRECT_STANDARD_MATRIX_IN_RETRIEVED_SOURCE</t>
        </is>
      </c>
      <c r="K381" s="42" t="str"/>
      <c r="L381" s="42" t="str"/>
      <c r="M381" s="42" t="str"/>
      <c r="N381" s="42" t="str"/>
      <c r="O381" s="42" t="inlineStr">
        <is>
          <t>現行公式資料でこの窓種のSAFE 30mil規格○/×を本Revisionでは直接取得できていない。推測しない。</t>
        </is>
      </c>
    </row>
    <row r="382">
      <c r="A382" s="42" t="inlineStr">
        <is>
          <t>SZ-SL-000381</t>
        </is>
      </c>
      <c r="B382" s="42" t="inlineStr">
        <is>
          <t>WT-SL-SHUTTER-HIKI</t>
        </is>
      </c>
      <c r="C382" s="42" t="inlineStr">
        <is>
          <t>シャッター付引違い窓</t>
        </is>
      </c>
      <c r="D382" s="42" t="inlineStr">
        <is>
          <t>SP-SL-SHUT-E-VENT</t>
        </is>
      </c>
      <c r="E382" s="42" t="inlineStr">
        <is>
          <t>34718</t>
        </is>
      </c>
      <c r="F382" s="42" t="inlineStr">
        <is>
          <t>3510</t>
        </is>
      </c>
      <c r="G382" s="42" t="inlineStr">
        <is>
          <t>1830</t>
        </is>
      </c>
      <c r="H382" s="42" t="inlineStr">
        <is>
          <t>True</t>
        </is>
      </c>
      <c r="I382" s="42" t="inlineStr">
        <is>
          <t>NOT_EVALUATED</t>
        </is>
      </c>
      <c r="J382" s="42" t="inlineStr">
        <is>
          <t>NO_DIRECT_STANDARD_MATRIX_IN_RETRIEVED_SOURCE</t>
        </is>
      </c>
      <c r="K382" s="42" t="str"/>
      <c r="L382" s="42" t="str"/>
      <c r="M382" s="42" t="str"/>
      <c r="N382" s="42" t="str"/>
      <c r="O382" s="42" t="inlineStr">
        <is>
          <t>現行公式資料でこの窓種のSAFE 30mil規格○/×を本Revisionでは直接取得できていない。推測しない。</t>
        </is>
      </c>
    </row>
    <row r="383">
      <c r="A383" s="42" t="inlineStr">
        <is>
          <t>SZ-SL-000382</t>
        </is>
      </c>
      <c r="B383" s="42" t="inlineStr">
        <is>
          <t>WT-SL-SHUTTER-HIKI</t>
        </is>
      </c>
      <c r="C383" s="42" t="inlineStr">
        <is>
          <t>シャッター付引違い窓</t>
        </is>
      </c>
      <c r="D383" s="42" t="inlineStr">
        <is>
          <t>SP-SL-SHUT-E-VENT</t>
        </is>
      </c>
      <c r="E383" s="42" t="inlineStr">
        <is>
          <t>34720</t>
        </is>
      </c>
      <c r="F383" s="42" t="inlineStr">
        <is>
          <t>3510</t>
        </is>
      </c>
      <c r="G383" s="42" t="inlineStr">
        <is>
          <t>2030</t>
        </is>
      </c>
      <c r="H383" s="42" t="inlineStr">
        <is>
          <t>True</t>
        </is>
      </c>
      <c r="I383" s="42" t="inlineStr">
        <is>
          <t>NOT_EVALUATED</t>
        </is>
      </c>
      <c r="J383" s="42" t="inlineStr">
        <is>
          <t>NO_DIRECT_STANDARD_MATRIX_IN_RETRIEVED_SOURCE</t>
        </is>
      </c>
      <c r="K383" s="42" t="str"/>
      <c r="L383" s="42" t="str"/>
      <c r="M383" s="42" t="str"/>
      <c r="N383" s="42" t="str"/>
      <c r="O383" s="42" t="inlineStr">
        <is>
          <t>現行公式資料でこの窓種のSAFE 30mil規格○/×を本Revisionでは直接取得できていない。推測しない。</t>
        </is>
      </c>
    </row>
    <row r="384">
      <c r="A384" s="42" t="inlineStr">
        <is>
          <t>SZ-SL-000383</t>
        </is>
      </c>
      <c r="B384" s="42" t="inlineStr">
        <is>
          <t>WT-SL-SHUTTER-HIKI</t>
        </is>
      </c>
      <c r="C384" s="42" t="inlineStr">
        <is>
          <t>シャッター付引違い窓</t>
        </is>
      </c>
      <c r="D384" s="42" t="inlineStr">
        <is>
          <t>SP-SL-SHUT-E-WIND</t>
        </is>
      </c>
      <c r="E384" s="42" t="inlineStr">
        <is>
          <t>25618-2</t>
        </is>
      </c>
      <c r="F384" s="42" t="inlineStr">
        <is>
          <t>2600</t>
        </is>
      </c>
      <c r="G384" s="42" t="inlineStr">
        <is>
          <t>1830</t>
        </is>
      </c>
      <c r="H384" s="42" t="inlineStr">
        <is>
          <t>True</t>
        </is>
      </c>
      <c r="I384" s="42" t="inlineStr">
        <is>
          <t>NOT_EVALUATED</t>
        </is>
      </c>
      <c r="J384" s="42" t="inlineStr">
        <is>
          <t>NO_DIRECT_STANDARD_MATRIX_IN_RETRIEVED_SOURCE</t>
        </is>
      </c>
      <c r="K384" s="42" t="str"/>
      <c r="L384" s="42" t="str"/>
      <c r="M384" s="42" t="str"/>
      <c r="N384" s="42" t="str"/>
      <c r="O384" s="42" t="inlineStr">
        <is>
          <t>現行公式資料でこの窓種のSAFE 30mil規格○/×を本Revisionでは直接取得できていない。推測しない。</t>
        </is>
      </c>
    </row>
    <row r="385">
      <c r="A385" s="42" t="inlineStr">
        <is>
          <t>SZ-SL-000384</t>
        </is>
      </c>
      <c r="B385" s="42" t="inlineStr">
        <is>
          <t>WT-SL-SHUTTER-HIKI</t>
        </is>
      </c>
      <c r="C385" s="42" t="inlineStr">
        <is>
          <t>シャッター付引違い窓</t>
        </is>
      </c>
      <c r="D385" s="42" t="inlineStr">
        <is>
          <t>SP-SL-SHUT-E-WIND</t>
        </is>
      </c>
      <c r="E385" s="42" t="inlineStr">
        <is>
          <t>25618-4</t>
        </is>
      </c>
      <c r="F385" s="42" t="inlineStr">
        <is>
          <t>2600</t>
        </is>
      </c>
      <c r="G385" s="42" t="inlineStr">
        <is>
          <t>1830</t>
        </is>
      </c>
      <c r="H385" s="42" t="inlineStr">
        <is>
          <t>True</t>
        </is>
      </c>
      <c r="I385" s="42" t="inlineStr">
        <is>
          <t>NOT_EVALUATED</t>
        </is>
      </c>
      <c r="J385" s="42" t="inlineStr">
        <is>
          <t>NO_DIRECT_STANDARD_MATRIX_IN_RETRIEVED_SOURCE</t>
        </is>
      </c>
      <c r="K385" s="42" t="str"/>
      <c r="L385" s="42" t="str"/>
      <c r="M385" s="42" t="str"/>
      <c r="N385" s="42" t="str"/>
      <c r="O385" s="42" t="inlineStr">
        <is>
          <t>現行公式資料でこの窓種のSAFE 30mil規格○/×を本Revisionでは直接取得できていない。推測しない。</t>
        </is>
      </c>
    </row>
    <row r="386">
      <c r="A386" s="42" t="inlineStr">
        <is>
          <t>SZ-SL-000385</t>
        </is>
      </c>
      <c r="B386" s="42" t="inlineStr">
        <is>
          <t>WT-SL-SHUTTER-HIKI</t>
        </is>
      </c>
      <c r="C386" s="42" t="inlineStr">
        <is>
          <t>シャッター付引違い窓</t>
        </is>
      </c>
      <c r="D386" s="42" t="inlineStr">
        <is>
          <t>SP-SL-SHUT-E-WIND</t>
        </is>
      </c>
      <c r="E386" s="42" t="inlineStr">
        <is>
          <t>25620-2</t>
        </is>
      </c>
      <c r="F386" s="42" t="inlineStr">
        <is>
          <t>2600</t>
        </is>
      </c>
      <c r="G386" s="42" t="inlineStr">
        <is>
          <t>2030</t>
        </is>
      </c>
      <c r="H386" s="42" t="inlineStr">
        <is>
          <t>True</t>
        </is>
      </c>
      <c r="I386" s="42" t="inlineStr">
        <is>
          <t>NOT_EVALUATED</t>
        </is>
      </c>
      <c r="J386" s="42" t="inlineStr">
        <is>
          <t>NO_DIRECT_STANDARD_MATRIX_IN_RETRIEVED_SOURCE</t>
        </is>
      </c>
      <c r="K386" s="42" t="str"/>
      <c r="L386" s="42" t="str"/>
      <c r="M386" s="42" t="str"/>
      <c r="N386" s="42" t="str"/>
      <c r="O386" s="42" t="inlineStr">
        <is>
          <t>現行公式資料でこの窓種のSAFE 30mil規格○/×を本Revisionでは直接取得できていない。推測しない。</t>
        </is>
      </c>
    </row>
    <row r="387">
      <c r="A387" s="42" t="inlineStr">
        <is>
          <t>SZ-SL-000386</t>
        </is>
      </c>
      <c r="B387" s="42" t="inlineStr">
        <is>
          <t>WT-SL-SHUTTER-HIKI</t>
        </is>
      </c>
      <c r="C387" s="42" t="inlineStr">
        <is>
          <t>シャッター付引違い窓</t>
        </is>
      </c>
      <c r="D387" s="42" t="inlineStr">
        <is>
          <t>SP-SL-SHUT-E-WIND</t>
        </is>
      </c>
      <c r="E387" s="42" t="inlineStr">
        <is>
          <t>25620-4</t>
        </is>
      </c>
      <c r="F387" s="42" t="inlineStr">
        <is>
          <t>2600</t>
        </is>
      </c>
      <c r="G387" s="42" t="inlineStr">
        <is>
          <t>2030</t>
        </is>
      </c>
      <c r="H387" s="42" t="inlineStr">
        <is>
          <t>True</t>
        </is>
      </c>
      <c r="I387" s="42" t="inlineStr">
        <is>
          <t>NOT_EVALUATED</t>
        </is>
      </c>
      <c r="J387" s="42" t="inlineStr">
        <is>
          <t>NO_DIRECT_STANDARD_MATRIX_IN_RETRIEVED_SOURCE</t>
        </is>
      </c>
      <c r="K387" s="42" t="str"/>
      <c r="L387" s="42" t="str"/>
      <c r="M387" s="42" t="str"/>
      <c r="N387" s="42" t="str"/>
      <c r="O387" s="42" t="inlineStr">
        <is>
          <t>現行公式資料でこの窓種のSAFE 30mil規格○/×を本Revisionでは直接取得できていない。推測しない。</t>
        </is>
      </c>
    </row>
    <row r="388">
      <c r="A388" s="42" t="inlineStr">
        <is>
          <t>SZ-SL-000387</t>
        </is>
      </c>
      <c r="B388" s="42" t="inlineStr">
        <is>
          <t>WT-SL-SHUTTER-HIKI</t>
        </is>
      </c>
      <c r="C388" s="42" t="inlineStr">
        <is>
          <t>シャッター付引違い窓</t>
        </is>
      </c>
      <c r="D388" s="42" t="inlineStr">
        <is>
          <t>SP-SL-SHUT-E-WIND</t>
        </is>
      </c>
      <c r="E388" s="42" t="inlineStr">
        <is>
          <t>34718</t>
        </is>
      </c>
      <c r="F388" s="42" t="inlineStr">
        <is>
          <t>3510</t>
        </is>
      </c>
      <c r="G388" s="42" t="inlineStr">
        <is>
          <t>1830</t>
        </is>
      </c>
      <c r="H388" s="42" t="inlineStr">
        <is>
          <t>False</t>
        </is>
      </c>
      <c r="I388" s="42" t="inlineStr">
        <is>
          <t>NOT_EVALUATED</t>
        </is>
      </c>
      <c r="J388" s="42" t="inlineStr">
        <is>
          <t>NO_DIRECT_STANDARD_MATRIX_IN_RETRIEVED_SOURCE</t>
        </is>
      </c>
      <c r="K388" s="42" t="str"/>
      <c r="L388" s="42" t="str"/>
      <c r="M388" s="42" t="str"/>
      <c r="N388" s="42" t="str"/>
      <c r="O388" s="42" t="inlineStr">
        <is>
          <t>現行公式資料でこの窓種のSAFE 30mil規格○/×を本Revisionでは直接取得できていない。推測しない。</t>
        </is>
      </c>
    </row>
    <row r="389">
      <c r="A389" s="42" t="inlineStr">
        <is>
          <t>SZ-SL-000388</t>
        </is>
      </c>
      <c r="B389" s="42" t="inlineStr">
        <is>
          <t>WT-SL-SHUTTER-HIKI</t>
        </is>
      </c>
      <c r="C389" s="42" t="inlineStr">
        <is>
          <t>シャッター付引違い窓</t>
        </is>
      </c>
      <c r="D389" s="42" t="inlineStr">
        <is>
          <t>SP-SL-SHUT-E-WIND</t>
        </is>
      </c>
      <c r="E389" s="42" t="inlineStr">
        <is>
          <t>34720</t>
        </is>
      </c>
      <c r="F389" s="42" t="inlineStr">
        <is>
          <t>3510</t>
        </is>
      </c>
      <c r="G389" s="42" t="inlineStr">
        <is>
          <t>2030</t>
        </is>
      </c>
      <c r="H389" s="42" t="inlineStr">
        <is>
          <t>False</t>
        </is>
      </c>
      <c r="I389" s="42" t="inlineStr">
        <is>
          <t>NOT_EVALUATED</t>
        </is>
      </c>
      <c r="J389" s="42" t="inlineStr">
        <is>
          <t>NO_DIRECT_STANDARD_MATRIX_IN_RETRIEVED_SOURCE</t>
        </is>
      </c>
      <c r="K389" s="42" t="str"/>
      <c r="L389" s="42" t="str"/>
      <c r="M389" s="42" t="str"/>
      <c r="N389" s="42" t="str"/>
      <c r="O389" s="42" t="inlineStr">
        <is>
          <t>現行公式資料でこの窓種のSAFE 30mil規格○/×を本Revisionでは直接取得できていない。推測しない。</t>
        </is>
      </c>
    </row>
    <row r="390">
      <c r="A390" s="42" t="inlineStr">
        <is>
          <t>SZ-SL-000389</t>
        </is>
      </c>
      <c r="B390" s="42" t="inlineStr">
        <is>
          <t>WT-SL-SHUTTER-HIKI</t>
        </is>
      </c>
      <c r="C390" s="42" t="inlineStr">
        <is>
          <t>シャッター付引違い窓</t>
        </is>
      </c>
      <c r="D390" s="42" t="inlineStr">
        <is>
          <t>SP-SL-SHUT-E-STD</t>
        </is>
      </c>
      <c r="E390" s="42" t="inlineStr">
        <is>
          <t>15022</t>
        </is>
      </c>
      <c r="F390" s="42" t="inlineStr">
        <is>
          <t>1540</t>
        </is>
      </c>
      <c r="G390" s="42" t="inlineStr">
        <is>
          <t>2230</t>
        </is>
      </c>
      <c r="H390" s="42" t="inlineStr">
        <is>
          <t>True</t>
        </is>
      </c>
      <c r="I390" s="42" t="inlineStr">
        <is>
          <t>NOT_EVALUATED</t>
        </is>
      </c>
      <c r="J390" s="42" t="inlineStr">
        <is>
          <t>NO_DIRECT_STANDARD_MATRIX_IN_RETRIEVED_SOURCE</t>
        </is>
      </c>
      <c r="K390" s="42" t="str"/>
      <c r="L390" s="42" t="str"/>
      <c r="M390" s="42" t="str"/>
      <c r="N390" s="42" t="str"/>
      <c r="O390" s="42" t="inlineStr">
        <is>
          <t>現行公式資料でこの窓種のSAFE 30mil規格○/×を本Revisionでは直接取得できていない。推測しない。</t>
        </is>
      </c>
    </row>
    <row r="391">
      <c r="A391" s="42" t="inlineStr">
        <is>
          <t>SZ-SL-000390</t>
        </is>
      </c>
      <c r="B391" s="42" t="inlineStr">
        <is>
          <t>WT-SL-SHUTTER-HIKI</t>
        </is>
      </c>
      <c r="C391" s="42" t="inlineStr">
        <is>
          <t>シャッター付引違い窓</t>
        </is>
      </c>
      <c r="D391" s="42" t="inlineStr">
        <is>
          <t>SP-SL-SHUT-E-STD</t>
        </is>
      </c>
      <c r="E391" s="42" t="inlineStr">
        <is>
          <t>15024</t>
        </is>
      </c>
      <c r="F391" s="42" t="inlineStr">
        <is>
          <t>1540</t>
        </is>
      </c>
      <c r="G391" s="42" t="inlineStr">
        <is>
          <t>2430</t>
        </is>
      </c>
      <c r="H391" s="42" t="inlineStr">
        <is>
          <t>True</t>
        </is>
      </c>
      <c r="I391" s="42" t="inlineStr">
        <is>
          <t>NOT_EVALUATED</t>
        </is>
      </c>
      <c r="J391" s="42" t="inlineStr">
        <is>
          <t>NO_DIRECT_STANDARD_MATRIX_IN_RETRIEVED_SOURCE</t>
        </is>
      </c>
      <c r="K391" s="42" t="str"/>
      <c r="L391" s="42" t="str"/>
      <c r="M391" s="42" t="str"/>
      <c r="N391" s="42" t="str"/>
      <c r="O391" s="42" t="inlineStr">
        <is>
          <t>現行公式資料でこの窓種のSAFE 30mil規格○/×を本Revisionでは直接取得できていない。推測しない。</t>
        </is>
      </c>
    </row>
    <row r="392">
      <c r="A392" s="42" t="inlineStr">
        <is>
          <t>SZ-SL-000391</t>
        </is>
      </c>
      <c r="B392" s="42" t="inlineStr">
        <is>
          <t>WT-SL-SHUTTER-HIKI</t>
        </is>
      </c>
      <c r="C392" s="42" t="inlineStr">
        <is>
          <t>シャッター付引違い窓</t>
        </is>
      </c>
      <c r="D392" s="42" t="inlineStr">
        <is>
          <t>SP-SL-SHUT-E-STD</t>
        </is>
      </c>
      <c r="E392" s="42" t="inlineStr">
        <is>
          <t>16022</t>
        </is>
      </c>
      <c r="F392" s="42" t="inlineStr">
        <is>
          <t>1640</t>
        </is>
      </c>
      <c r="G392" s="42" t="inlineStr">
        <is>
          <t>2230</t>
        </is>
      </c>
      <c r="H392" s="42" t="inlineStr">
        <is>
          <t>True</t>
        </is>
      </c>
      <c r="I392" s="42" t="inlineStr">
        <is>
          <t>NOT_EVALUATED</t>
        </is>
      </c>
      <c r="J392" s="42" t="inlineStr">
        <is>
          <t>NO_DIRECT_STANDARD_MATRIX_IN_RETRIEVED_SOURCE</t>
        </is>
      </c>
      <c r="K392" s="42" t="str"/>
      <c r="L392" s="42" t="str"/>
      <c r="M392" s="42" t="str"/>
      <c r="N392" s="42" t="str"/>
      <c r="O392" s="42" t="inlineStr">
        <is>
          <t>現行公式資料でこの窓種のSAFE 30mil規格○/×を本Revisionでは直接取得できていない。推測しない。</t>
        </is>
      </c>
    </row>
    <row r="393">
      <c r="A393" s="42" t="inlineStr">
        <is>
          <t>SZ-SL-000392</t>
        </is>
      </c>
      <c r="B393" s="42" t="inlineStr">
        <is>
          <t>WT-SL-SHUTTER-HIKI</t>
        </is>
      </c>
      <c r="C393" s="42" t="inlineStr">
        <is>
          <t>シャッター付引違い窓</t>
        </is>
      </c>
      <c r="D393" s="42" t="inlineStr">
        <is>
          <t>SP-SL-SHUT-E-STD</t>
        </is>
      </c>
      <c r="E393" s="42" t="inlineStr">
        <is>
          <t>16024</t>
        </is>
      </c>
      <c r="F393" s="42" t="inlineStr">
        <is>
          <t>1640</t>
        </is>
      </c>
      <c r="G393" s="42" t="inlineStr">
        <is>
          <t>2430</t>
        </is>
      </c>
      <c r="H393" s="42" t="inlineStr">
        <is>
          <t>True</t>
        </is>
      </c>
      <c r="I393" s="42" t="inlineStr">
        <is>
          <t>NOT_EVALUATED</t>
        </is>
      </c>
      <c r="J393" s="42" t="inlineStr">
        <is>
          <t>NO_DIRECT_STANDARD_MATRIX_IN_RETRIEVED_SOURCE</t>
        </is>
      </c>
      <c r="K393" s="42" t="str"/>
      <c r="L393" s="42" t="str"/>
      <c r="M393" s="42" t="str"/>
      <c r="N393" s="42" t="str"/>
      <c r="O393" s="42" t="inlineStr">
        <is>
          <t>現行公式資料でこの窓種のSAFE 30mil規格○/×を本Revisionでは直接取得できていない。推測しない。</t>
        </is>
      </c>
    </row>
    <row r="394">
      <c r="A394" s="42" t="inlineStr">
        <is>
          <t>SZ-SL-000393</t>
        </is>
      </c>
      <c r="B394" s="42" t="inlineStr">
        <is>
          <t>WT-SL-SHUTTER-HIKI</t>
        </is>
      </c>
      <c r="C394" s="42" t="inlineStr">
        <is>
          <t>シャッター付引違い窓</t>
        </is>
      </c>
      <c r="D394" s="42" t="inlineStr">
        <is>
          <t>SP-SL-SHUT-E-VENT</t>
        </is>
      </c>
      <c r="E394" s="42" t="inlineStr">
        <is>
          <t>15022</t>
        </is>
      </c>
      <c r="F394" s="42" t="inlineStr">
        <is>
          <t>1540</t>
        </is>
      </c>
      <c r="G394" s="42" t="inlineStr">
        <is>
          <t>2230</t>
        </is>
      </c>
      <c r="H394" s="42" t="inlineStr">
        <is>
          <t>True</t>
        </is>
      </c>
      <c r="I394" s="42" t="inlineStr">
        <is>
          <t>NOT_EVALUATED</t>
        </is>
      </c>
      <c r="J394" s="42" t="inlineStr">
        <is>
          <t>NO_DIRECT_STANDARD_MATRIX_IN_RETRIEVED_SOURCE</t>
        </is>
      </c>
      <c r="K394" s="42" t="str"/>
      <c r="L394" s="42" t="str"/>
      <c r="M394" s="42" t="str"/>
      <c r="N394" s="42" t="str"/>
      <c r="O394" s="42" t="inlineStr">
        <is>
          <t>現行公式資料でこの窓種のSAFE 30mil規格○/×を本Revisionでは直接取得できていない。推測しない。</t>
        </is>
      </c>
    </row>
    <row r="395">
      <c r="A395" s="42" t="inlineStr">
        <is>
          <t>SZ-SL-000394</t>
        </is>
      </c>
      <c r="B395" s="42" t="inlineStr">
        <is>
          <t>WT-SL-SHUTTER-HIKI</t>
        </is>
      </c>
      <c r="C395" s="42" t="inlineStr">
        <is>
          <t>シャッター付引違い窓</t>
        </is>
      </c>
      <c r="D395" s="42" t="inlineStr">
        <is>
          <t>SP-SL-SHUT-E-VENT</t>
        </is>
      </c>
      <c r="E395" s="42" t="inlineStr">
        <is>
          <t>15024</t>
        </is>
      </c>
      <c r="F395" s="42" t="inlineStr">
        <is>
          <t>1540</t>
        </is>
      </c>
      <c r="G395" s="42" t="inlineStr">
        <is>
          <t>2430</t>
        </is>
      </c>
      <c r="H395" s="42" t="inlineStr">
        <is>
          <t>False</t>
        </is>
      </c>
      <c r="I395" s="42" t="inlineStr">
        <is>
          <t>NOT_EVALUATED</t>
        </is>
      </c>
      <c r="J395" s="42" t="inlineStr">
        <is>
          <t>NO_DIRECT_STANDARD_MATRIX_IN_RETRIEVED_SOURCE</t>
        </is>
      </c>
      <c r="K395" s="42" t="str"/>
      <c r="L395" s="42" t="str"/>
      <c r="M395" s="42" t="str"/>
      <c r="N395" s="42" t="str"/>
      <c r="O395" s="42" t="inlineStr">
        <is>
          <t>現行公式資料でこの窓種のSAFE 30mil規格○/×を本Revisionでは直接取得できていない。推測しない。</t>
        </is>
      </c>
    </row>
    <row r="396">
      <c r="A396" s="42" t="inlineStr">
        <is>
          <t>SZ-SL-000395</t>
        </is>
      </c>
      <c r="B396" s="42" t="inlineStr">
        <is>
          <t>WT-SL-SHUTTER-HIKI</t>
        </is>
      </c>
      <c r="C396" s="42" t="inlineStr">
        <is>
          <t>シャッター付引違い窓</t>
        </is>
      </c>
      <c r="D396" s="42" t="inlineStr">
        <is>
          <t>SP-SL-SHUT-E-VENT</t>
        </is>
      </c>
      <c r="E396" s="42" t="inlineStr">
        <is>
          <t>16022</t>
        </is>
      </c>
      <c r="F396" s="42" t="inlineStr">
        <is>
          <t>1640</t>
        </is>
      </c>
      <c r="G396" s="42" t="inlineStr">
        <is>
          <t>2230</t>
        </is>
      </c>
      <c r="H396" s="42" t="inlineStr">
        <is>
          <t>True</t>
        </is>
      </c>
      <c r="I396" s="42" t="inlineStr">
        <is>
          <t>NOT_EVALUATED</t>
        </is>
      </c>
      <c r="J396" s="42" t="inlineStr">
        <is>
          <t>NO_DIRECT_STANDARD_MATRIX_IN_RETRIEVED_SOURCE</t>
        </is>
      </c>
      <c r="K396" s="42" t="str"/>
      <c r="L396" s="42" t="str"/>
      <c r="M396" s="42" t="str"/>
      <c r="N396" s="42" t="str"/>
      <c r="O396" s="42" t="inlineStr">
        <is>
          <t>現行公式資料でこの窓種のSAFE 30mil規格○/×を本Revisionでは直接取得できていない。推測しない。</t>
        </is>
      </c>
    </row>
    <row r="397">
      <c r="A397" s="42" t="inlineStr">
        <is>
          <t>SZ-SL-000396</t>
        </is>
      </c>
      <c r="B397" s="42" t="inlineStr">
        <is>
          <t>WT-SL-SHUTTER-HIKI</t>
        </is>
      </c>
      <c r="C397" s="42" t="inlineStr">
        <is>
          <t>シャッター付引違い窓</t>
        </is>
      </c>
      <c r="D397" s="42" t="inlineStr">
        <is>
          <t>SP-SL-SHUT-E-VENT</t>
        </is>
      </c>
      <c r="E397" s="42" t="inlineStr">
        <is>
          <t>16024</t>
        </is>
      </c>
      <c r="F397" s="42" t="inlineStr">
        <is>
          <t>1640</t>
        </is>
      </c>
      <c r="G397" s="42" t="inlineStr">
        <is>
          <t>2430</t>
        </is>
      </c>
      <c r="H397" s="42" t="inlineStr">
        <is>
          <t>False</t>
        </is>
      </c>
      <c r="I397" s="42" t="inlineStr">
        <is>
          <t>NOT_EVALUATED</t>
        </is>
      </c>
      <c r="J397" s="42" t="inlineStr">
        <is>
          <t>NO_DIRECT_STANDARD_MATRIX_IN_RETRIEVED_SOURCE</t>
        </is>
      </c>
      <c r="K397" s="42" t="str"/>
      <c r="L397" s="42" t="str"/>
      <c r="M397" s="42" t="str"/>
      <c r="N397" s="42" t="str"/>
      <c r="O397" s="42" t="inlineStr">
        <is>
          <t>現行公式資料でこの窓種のSAFE 30mil規格○/×を本Revisionでは直接取得できていない。推測しない。</t>
        </is>
      </c>
    </row>
    <row r="398">
      <c r="A398" s="42" t="inlineStr">
        <is>
          <t>SZ-SL-000397</t>
        </is>
      </c>
      <c r="B398" s="42" t="inlineStr">
        <is>
          <t>WT-SL-SHUTTER-HIKI</t>
        </is>
      </c>
      <c r="C398" s="42" t="inlineStr">
        <is>
          <t>シャッター付引違い窓</t>
        </is>
      </c>
      <c r="D398" s="42" t="inlineStr">
        <is>
          <t>SP-SL-SHUT-E-WIND</t>
        </is>
      </c>
      <c r="E398" s="42" t="inlineStr">
        <is>
          <t>15022</t>
        </is>
      </c>
      <c r="F398" s="42" t="inlineStr">
        <is>
          <t>1540</t>
        </is>
      </c>
      <c r="G398" s="42" t="inlineStr">
        <is>
          <t>2230</t>
        </is>
      </c>
      <c r="H398" s="42" t="inlineStr">
        <is>
          <t>True</t>
        </is>
      </c>
      <c r="I398" s="42" t="inlineStr">
        <is>
          <t>NOT_EVALUATED</t>
        </is>
      </c>
      <c r="J398" s="42" t="inlineStr">
        <is>
          <t>NO_DIRECT_STANDARD_MATRIX_IN_RETRIEVED_SOURCE</t>
        </is>
      </c>
      <c r="K398" s="42" t="str"/>
      <c r="L398" s="42" t="str"/>
      <c r="M398" s="42" t="str"/>
      <c r="N398" s="42" t="str"/>
      <c r="O398" s="42" t="inlineStr">
        <is>
          <t>現行公式資料でこの窓種のSAFE 30mil規格○/×を本Revisionでは直接取得できていない。推測しない。</t>
        </is>
      </c>
    </row>
    <row r="399">
      <c r="A399" s="42" t="inlineStr">
        <is>
          <t>SZ-SL-000398</t>
        </is>
      </c>
      <c r="B399" s="42" t="inlineStr">
        <is>
          <t>WT-SL-SHUTTER-HIKI</t>
        </is>
      </c>
      <c r="C399" s="42" t="inlineStr">
        <is>
          <t>シャッター付引違い窓</t>
        </is>
      </c>
      <c r="D399" s="42" t="inlineStr">
        <is>
          <t>SP-SL-SHUT-E-WIND</t>
        </is>
      </c>
      <c r="E399" s="42" t="inlineStr">
        <is>
          <t>15024</t>
        </is>
      </c>
      <c r="F399" s="42" t="inlineStr">
        <is>
          <t>1540</t>
        </is>
      </c>
      <c r="G399" s="42" t="inlineStr">
        <is>
          <t>2430</t>
        </is>
      </c>
      <c r="H399" s="42" t="inlineStr">
        <is>
          <t>False</t>
        </is>
      </c>
      <c r="I399" s="42" t="inlineStr">
        <is>
          <t>NOT_EVALUATED</t>
        </is>
      </c>
      <c r="J399" s="42" t="inlineStr">
        <is>
          <t>NO_DIRECT_STANDARD_MATRIX_IN_RETRIEVED_SOURCE</t>
        </is>
      </c>
      <c r="K399" s="42" t="str"/>
      <c r="L399" s="42" t="str"/>
      <c r="M399" s="42" t="str"/>
      <c r="N399" s="42" t="str"/>
      <c r="O399" s="42" t="inlineStr">
        <is>
          <t>現行公式資料でこの窓種のSAFE 30mil規格○/×を本Revisionでは直接取得できていない。推測しない。</t>
        </is>
      </c>
    </row>
    <row r="400">
      <c r="A400" s="42" t="inlineStr">
        <is>
          <t>SZ-SL-000399</t>
        </is>
      </c>
      <c r="B400" s="42" t="inlineStr">
        <is>
          <t>WT-SL-SHUTTER-HIKI</t>
        </is>
      </c>
      <c r="C400" s="42" t="inlineStr">
        <is>
          <t>シャッター付引違い窓</t>
        </is>
      </c>
      <c r="D400" s="42" t="inlineStr">
        <is>
          <t>SP-SL-SHUT-E-WIND</t>
        </is>
      </c>
      <c r="E400" s="42" t="inlineStr">
        <is>
          <t>16022</t>
        </is>
      </c>
      <c r="F400" s="42" t="inlineStr">
        <is>
          <t>1640</t>
        </is>
      </c>
      <c r="G400" s="42" t="inlineStr">
        <is>
          <t>2230</t>
        </is>
      </c>
      <c r="H400" s="42" t="inlineStr">
        <is>
          <t>True</t>
        </is>
      </c>
      <c r="I400" s="42" t="inlineStr">
        <is>
          <t>NOT_EVALUATED</t>
        </is>
      </c>
      <c r="J400" s="42" t="inlineStr">
        <is>
          <t>NO_DIRECT_STANDARD_MATRIX_IN_RETRIEVED_SOURCE</t>
        </is>
      </c>
      <c r="K400" s="42" t="str"/>
      <c r="L400" s="42" t="str"/>
      <c r="M400" s="42" t="str"/>
      <c r="N400" s="42" t="str"/>
      <c r="O400" s="42" t="inlineStr">
        <is>
          <t>現行公式資料でこの窓種のSAFE 30mil規格○/×を本Revisionでは直接取得できていない。推測しない。</t>
        </is>
      </c>
    </row>
    <row r="401">
      <c r="A401" s="42" t="inlineStr">
        <is>
          <t>SZ-SL-000400</t>
        </is>
      </c>
      <c r="B401" s="42" t="inlineStr">
        <is>
          <t>WT-SL-SHUTTER-HIKI</t>
        </is>
      </c>
      <c r="C401" s="42" t="inlineStr">
        <is>
          <t>シャッター付引違い窓</t>
        </is>
      </c>
      <c r="D401" s="42" t="inlineStr">
        <is>
          <t>SP-SL-SHUT-E-WIND</t>
        </is>
      </c>
      <c r="E401" s="42" t="inlineStr">
        <is>
          <t>16024</t>
        </is>
      </c>
      <c r="F401" s="42" t="inlineStr">
        <is>
          <t>1640</t>
        </is>
      </c>
      <c r="G401" s="42" t="inlineStr">
        <is>
          <t>2430</t>
        </is>
      </c>
      <c r="H401" s="42" t="inlineStr">
        <is>
          <t>False</t>
        </is>
      </c>
      <c r="I401" s="42" t="inlineStr">
        <is>
          <t>NOT_EVALUATED</t>
        </is>
      </c>
      <c r="J401" s="42" t="inlineStr">
        <is>
          <t>NO_DIRECT_STANDARD_MATRIX_IN_RETRIEVED_SOURCE</t>
        </is>
      </c>
      <c r="K401" s="42" t="str"/>
      <c r="L401" s="42" t="str"/>
      <c r="M401" s="42" t="str"/>
      <c r="N401" s="42" t="str"/>
      <c r="O401" s="42" t="inlineStr">
        <is>
          <t>現行公式資料でこの窓種のSAFE 30mil規格○/×を本Revisionでは直接取得できていない。推測しない。</t>
        </is>
      </c>
    </row>
    <row r="402">
      <c r="A402" s="42" t="inlineStr">
        <is>
          <t>SZ-SL-000401</t>
        </is>
      </c>
      <c r="B402" s="42" t="inlineStr">
        <is>
          <t>WT-SL-SHUTTER-HIKI</t>
        </is>
      </c>
      <c r="C402" s="42" t="inlineStr">
        <is>
          <t>シャッター付引違い窓</t>
        </is>
      </c>
      <c r="D402" s="42" t="inlineStr">
        <is>
          <t>SP-SL-SHUT-E-STD</t>
        </is>
      </c>
      <c r="E402" s="42" t="inlineStr">
        <is>
          <t>16522</t>
        </is>
      </c>
      <c r="F402" s="42" t="inlineStr">
        <is>
          <t>1690</t>
        </is>
      </c>
      <c r="G402" s="42" t="inlineStr">
        <is>
          <t>2230</t>
        </is>
      </c>
      <c r="H402" s="42" t="inlineStr">
        <is>
          <t>True</t>
        </is>
      </c>
      <c r="I402" s="42" t="inlineStr">
        <is>
          <t>NOT_EVALUATED</t>
        </is>
      </c>
      <c r="J402" s="42" t="inlineStr">
        <is>
          <t>NO_DIRECT_STANDARD_MATRIX_IN_RETRIEVED_SOURCE</t>
        </is>
      </c>
      <c r="K402" s="42" t="str"/>
      <c r="L402" s="42" t="str"/>
      <c r="M402" s="42" t="str"/>
      <c r="N402" s="42" t="str"/>
      <c r="O402" s="42" t="inlineStr">
        <is>
          <t>現行公式資料でこの窓種のSAFE 30mil規格○/×を本Revisionでは直接取得できていない。推測しない。</t>
        </is>
      </c>
    </row>
    <row r="403">
      <c r="A403" s="42" t="inlineStr">
        <is>
          <t>SZ-SL-000402</t>
        </is>
      </c>
      <c r="B403" s="42" t="inlineStr">
        <is>
          <t>WT-SL-SHUTTER-HIKI</t>
        </is>
      </c>
      <c r="C403" s="42" t="inlineStr">
        <is>
          <t>シャッター付引違い窓</t>
        </is>
      </c>
      <c r="D403" s="42" t="inlineStr">
        <is>
          <t>SP-SL-SHUT-E-STD</t>
        </is>
      </c>
      <c r="E403" s="42" t="inlineStr">
        <is>
          <t>16524</t>
        </is>
      </c>
      <c r="F403" s="42" t="inlineStr">
        <is>
          <t>1690</t>
        </is>
      </c>
      <c r="G403" s="42" t="inlineStr">
        <is>
          <t>2430</t>
        </is>
      </c>
      <c r="H403" s="42" t="inlineStr">
        <is>
          <t>True</t>
        </is>
      </c>
      <c r="I403" s="42" t="inlineStr">
        <is>
          <t>NOT_EVALUATED</t>
        </is>
      </c>
      <c r="J403" s="42" t="inlineStr">
        <is>
          <t>NO_DIRECT_STANDARD_MATRIX_IN_RETRIEVED_SOURCE</t>
        </is>
      </c>
      <c r="K403" s="42" t="str"/>
      <c r="L403" s="42" t="str"/>
      <c r="M403" s="42" t="str"/>
      <c r="N403" s="42" t="str"/>
      <c r="O403" s="42" t="inlineStr">
        <is>
          <t>現行公式資料でこの窓種のSAFE 30mil規格○/×を本Revisionでは直接取得できていない。推測しない。</t>
        </is>
      </c>
    </row>
    <row r="404">
      <c r="A404" s="42" t="inlineStr">
        <is>
          <t>SZ-SL-000403</t>
        </is>
      </c>
      <c r="B404" s="42" t="inlineStr">
        <is>
          <t>WT-SL-SHUTTER-HIKI</t>
        </is>
      </c>
      <c r="C404" s="42" t="inlineStr">
        <is>
          <t>シャッター付引違い窓</t>
        </is>
      </c>
      <c r="D404" s="42" t="inlineStr">
        <is>
          <t>SP-SL-SHUT-E-STD</t>
        </is>
      </c>
      <c r="E404" s="42" t="inlineStr">
        <is>
          <t>17422</t>
        </is>
      </c>
      <c r="F404" s="42" t="inlineStr">
        <is>
          <t>1780</t>
        </is>
      </c>
      <c r="G404" s="42" t="inlineStr">
        <is>
          <t>2230</t>
        </is>
      </c>
      <c r="H404" s="42" t="inlineStr">
        <is>
          <t>True</t>
        </is>
      </c>
      <c r="I404" s="42" t="inlineStr">
        <is>
          <t>NOT_EVALUATED</t>
        </is>
      </c>
      <c r="J404" s="42" t="inlineStr">
        <is>
          <t>NO_DIRECT_STANDARD_MATRIX_IN_RETRIEVED_SOURCE</t>
        </is>
      </c>
      <c r="K404" s="42" t="str"/>
      <c r="L404" s="42" t="str"/>
      <c r="M404" s="42" t="str"/>
      <c r="N404" s="42" t="str"/>
      <c r="O404" s="42" t="inlineStr">
        <is>
          <t>現行公式資料でこの窓種のSAFE 30mil規格○/×を本Revisionでは直接取得できていない。推測しない。</t>
        </is>
      </c>
    </row>
    <row r="405">
      <c r="A405" s="42" t="inlineStr">
        <is>
          <t>SZ-SL-000404</t>
        </is>
      </c>
      <c r="B405" s="42" t="inlineStr">
        <is>
          <t>WT-SL-SHUTTER-HIKI</t>
        </is>
      </c>
      <c r="C405" s="42" t="inlineStr">
        <is>
          <t>シャッター付引違い窓</t>
        </is>
      </c>
      <c r="D405" s="42" t="inlineStr">
        <is>
          <t>SP-SL-SHUT-E-STD</t>
        </is>
      </c>
      <c r="E405" s="42" t="inlineStr">
        <is>
          <t>17424</t>
        </is>
      </c>
      <c r="F405" s="42" t="inlineStr">
        <is>
          <t>1780</t>
        </is>
      </c>
      <c r="G405" s="42" t="inlineStr">
        <is>
          <t>2430</t>
        </is>
      </c>
      <c r="H405" s="42" t="inlineStr">
        <is>
          <t>True</t>
        </is>
      </c>
      <c r="I405" s="42" t="inlineStr">
        <is>
          <t>NOT_EVALUATED</t>
        </is>
      </c>
      <c r="J405" s="42" t="inlineStr">
        <is>
          <t>NO_DIRECT_STANDARD_MATRIX_IN_RETRIEVED_SOURCE</t>
        </is>
      </c>
      <c r="K405" s="42" t="str"/>
      <c r="L405" s="42" t="str"/>
      <c r="M405" s="42" t="str"/>
      <c r="N405" s="42" t="str"/>
      <c r="O405" s="42" t="inlineStr">
        <is>
          <t>現行公式資料でこの窓種のSAFE 30mil規格○/×を本Revisionでは直接取得できていない。推測しない。</t>
        </is>
      </c>
    </row>
    <row r="406">
      <c r="A406" s="42" t="inlineStr">
        <is>
          <t>SZ-SL-000405</t>
        </is>
      </c>
      <c r="B406" s="42" t="inlineStr">
        <is>
          <t>WT-SL-SHUTTER-HIKI</t>
        </is>
      </c>
      <c r="C406" s="42" t="inlineStr">
        <is>
          <t>シャッター付引違い窓</t>
        </is>
      </c>
      <c r="D406" s="42" t="inlineStr">
        <is>
          <t>SP-SL-SHUT-E-STD</t>
        </is>
      </c>
      <c r="E406" s="42" t="inlineStr">
        <is>
          <t>17622</t>
        </is>
      </c>
      <c r="F406" s="42" t="inlineStr">
        <is>
          <t>1800</t>
        </is>
      </c>
      <c r="G406" s="42" t="inlineStr">
        <is>
          <t>2230</t>
        </is>
      </c>
      <c r="H406" s="42" t="inlineStr">
        <is>
          <t>True</t>
        </is>
      </c>
      <c r="I406" s="42" t="inlineStr">
        <is>
          <t>NOT_EVALUATED</t>
        </is>
      </c>
      <c r="J406" s="42" t="inlineStr">
        <is>
          <t>NO_DIRECT_STANDARD_MATRIX_IN_RETRIEVED_SOURCE</t>
        </is>
      </c>
      <c r="K406" s="42" t="str"/>
      <c r="L406" s="42" t="str"/>
      <c r="M406" s="42" t="str"/>
      <c r="N406" s="42" t="str"/>
      <c r="O406" s="42" t="inlineStr">
        <is>
          <t>現行公式資料でこの窓種のSAFE 30mil規格○/×を本Revisionでは直接取得できていない。推測しない。</t>
        </is>
      </c>
    </row>
    <row r="407">
      <c r="A407" s="42" t="inlineStr">
        <is>
          <t>SZ-SL-000406</t>
        </is>
      </c>
      <c r="B407" s="42" t="inlineStr">
        <is>
          <t>WT-SL-SHUTTER-HIKI</t>
        </is>
      </c>
      <c r="C407" s="42" t="inlineStr">
        <is>
          <t>シャッター付引違い窓</t>
        </is>
      </c>
      <c r="D407" s="42" t="inlineStr">
        <is>
          <t>SP-SL-SHUT-E-STD</t>
        </is>
      </c>
      <c r="E407" s="42" t="inlineStr">
        <is>
          <t>17624</t>
        </is>
      </c>
      <c r="F407" s="42" t="inlineStr">
        <is>
          <t>1800</t>
        </is>
      </c>
      <c r="G407" s="42" t="inlineStr">
        <is>
          <t>2430</t>
        </is>
      </c>
      <c r="H407" s="42" t="inlineStr">
        <is>
          <t>True</t>
        </is>
      </c>
      <c r="I407" s="42" t="inlineStr">
        <is>
          <t>NOT_EVALUATED</t>
        </is>
      </c>
      <c r="J407" s="42" t="inlineStr">
        <is>
          <t>NO_DIRECT_STANDARD_MATRIX_IN_RETRIEVED_SOURCE</t>
        </is>
      </c>
      <c r="K407" s="42" t="str"/>
      <c r="L407" s="42" t="str"/>
      <c r="M407" s="42" t="str"/>
      <c r="N407" s="42" t="str"/>
      <c r="O407" s="42" t="inlineStr">
        <is>
          <t>現行公式資料でこの窓種のSAFE 30mil規格○/×を本Revisionでは直接取得できていない。推測しない。</t>
        </is>
      </c>
    </row>
    <row r="408">
      <c r="A408" s="42" t="inlineStr">
        <is>
          <t>SZ-SL-000407</t>
        </is>
      </c>
      <c r="B408" s="42" t="inlineStr">
        <is>
          <t>WT-SL-SHUTTER-HIKI</t>
        </is>
      </c>
      <c r="C408" s="42" t="inlineStr">
        <is>
          <t>シャッター付引違い窓</t>
        </is>
      </c>
      <c r="D408" s="42" t="inlineStr">
        <is>
          <t>SP-SL-SHUT-E-STD</t>
        </is>
      </c>
      <c r="E408" s="42" t="inlineStr">
        <is>
          <t>18022</t>
        </is>
      </c>
      <c r="F408" s="42" t="inlineStr">
        <is>
          <t>1845</t>
        </is>
      </c>
      <c r="G408" s="42" t="inlineStr">
        <is>
          <t>2230</t>
        </is>
      </c>
      <c r="H408" s="42" t="inlineStr">
        <is>
          <t>True</t>
        </is>
      </c>
      <c r="I408" s="42" t="inlineStr">
        <is>
          <t>NOT_EVALUATED</t>
        </is>
      </c>
      <c r="J408" s="42" t="inlineStr">
        <is>
          <t>NO_DIRECT_STANDARD_MATRIX_IN_RETRIEVED_SOURCE</t>
        </is>
      </c>
      <c r="K408" s="42" t="str"/>
      <c r="L408" s="42" t="str"/>
      <c r="M408" s="42" t="str"/>
      <c r="N408" s="42" t="str"/>
      <c r="O408" s="42" t="inlineStr">
        <is>
          <t>現行公式資料でこの窓種のSAFE 30mil規格○/×を本Revisionでは直接取得できていない。推測しない。</t>
        </is>
      </c>
    </row>
    <row r="409">
      <c r="A409" s="42" t="inlineStr">
        <is>
          <t>SZ-SL-000408</t>
        </is>
      </c>
      <c r="B409" s="42" t="inlineStr">
        <is>
          <t>WT-SL-SHUTTER-HIKI</t>
        </is>
      </c>
      <c r="C409" s="42" t="inlineStr">
        <is>
          <t>シャッター付引違い窓</t>
        </is>
      </c>
      <c r="D409" s="42" t="inlineStr">
        <is>
          <t>SP-SL-SHUT-E-STD</t>
        </is>
      </c>
      <c r="E409" s="42" t="inlineStr">
        <is>
          <t>18024</t>
        </is>
      </c>
      <c r="F409" s="42" t="inlineStr">
        <is>
          <t>1845</t>
        </is>
      </c>
      <c r="G409" s="42" t="inlineStr">
        <is>
          <t>2430</t>
        </is>
      </c>
      <c r="H409" s="42" t="inlineStr">
        <is>
          <t>True</t>
        </is>
      </c>
      <c r="I409" s="42" t="inlineStr">
        <is>
          <t>NOT_EVALUATED</t>
        </is>
      </c>
      <c r="J409" s="42" t="inlineStr">
        <is>
          <t>NO_DIRECT_STANDARD_MATRIX_IN_RETRIEVED_SOURCE</t>
        </is>
      </c>
      <c r="K409" s="42" t="str"/>
      <c r="L409" s="42" t="str"/>
      <c r="M409" s="42" t="str"/>
      <c r="N409" s="42" t="str"/>
      <c r="O409" s="42" t="inlineStr">
        <is>
          <t>現行公式資料でこの窓種のSAFE 30mil規格○/×を本Revisionでは直接取得できていない。推測しない。</t>
        </is>
      </c>
    </row>
    <row r="410">
      <c r="A410" s="42" t="inlineStr">
        <is>
          <t>SZ-SL-000409</t>
        </is>
      </c>
      <c r="B410" s="42" t="inlineStr">
        <is>
          <t>WT-SL-SHUTTER-HIKI</t>
        </is>
      </c>
      <c r="C410" s="42" t="inlineStr">
        <is>
          <t>シャッター付引違い窓</t>
        </is>
      </c>
      <c r="D410" s="42" t="inlineStr">
        <is>
          <t>SP-SL-SHUT-E-VENT</t>
        </is>
      </c>
      <c r="E410" s="42" t="inlineStr">
        <is>
          <t>16522</t>
        </is>
      </c>
      <c r="F410" s="42" t="inlineStr">
        <is>
          <t>1690</t>
        </is>
      </c>
      <c r="G410" s="42" t="inlineStr">
        <is>
          <t>2230</t>
        </is>
      </c>
      <c r="H410" s="42" t="inlineStr">
        <is>
          <t>True</t>
        </is>
      </c>
      <c r="I410" s="42" t="inlineStr">
        <is>
          <t>NOT_EVALUATED</t>
        </is>
      </c>
      <c r="J410" s="42" t="inlineStr">
        <is>
          <t>NO_DIRECT_STANDARD_MATRIX_IN_RETRIEVED_SOURCE</t>
        </is>
      </c>
      <c r="K410" s="42" t="str"/>
      <c r="L410" s="42" t="str"/>
      <c r="M410" s="42" t="str"/>
      <c r="N410" s="42" t="str"/>
      <c r="O410" s="42" t="inlineStr">
        <is>
          <t>現行公式資料でこの窓種のSAFE 30mil規格○/×を本Revisionでは直接取得できていない。推測しない。</t>
        </is>
      </c>
    </row>
    <row r="411">
      <c r="A411" s="42" t="inlineStr">
        <is>
          <t>SZ-SL-000410</t>
        </is>
      </c>
      <c r="B411" s="42" t="inlineStr">
        <is>
          <t>WT-SL-SHUTTER-HIKI</t>
        </is>
      </c>
      <c r="C411" s="42" t="inlineStr">
        <is>
          <t>シャッター付引違い窓</t>
        </is>
      </c>
      <c r="D411" s="42" t="inlineStr">
        <is>
          <t>SP-SL-SHUT-E-VENT</t>
        </is>
      </c>
      <c r="E411" s="42" t="inlineStr">
        <is>
          <t>16524</t>
        </is>
      </c>
      <c r="F411" s="42" t="inlineStr">
        <is>
          <t>1690</t>
        </is>
      </c>
      <c r="G411" s="42" t="inlineStr">
        <is>
          <t>2430</t>
        </is>
      </c>
      <c r="H411" s="42" t="inlineStr">
        <is>
          <t>False</t>
        </is>
      </c>
      <c r="I411" s="42" t="inlineStr">
        <is>
          <t>NOT_EVALUATED</t>
        </is>
      </c>
      <c r="J411" s="42" t="inlineStr">
        <is>
          <t>NO_DIRECT_STANDARD_MATRIX_IN_RETRIEVED_SOURCE</t>
        </is>
      </c>
      <c r="K411" s="42" t="str"/>
      <c r="L411" s="42" t="str"/>
      <c r="M411" s="42" t="str"/>
      <c r="N411" s="42" t="str"/>
      <c r="O411" s="42" t="inlineStr">
        <is>
          <t>現行公式資料でこの窓種のSAFE 30mil規格○/×を本Revisionでは直接取得できていない。推測しない。</t>
        </is>
      </c>
    </row>
    <row r="412">
      <c r="A412" s="42" t="inlineStr">
        <is>
          <t>SZ-SL-000411</t>
        </is>
      </c>
      <c r="B412" s="42" t="inlineStr">
        <is>
          <t>WT-SL-SHUTTER-HIKI</t>
        </is>
      </c>
      <c r="C412" s="42" t="inlineStr">
        <is>
          <t>シャッター付引違い窓</t>
        </is>
      </c>
      <c r="D412" s="42" t="inlineStr">
        <is>
          <t>SP-SL-SHUT-E-VENT</t>
        </is>
      </c>
      <c r="E412" s="42" t="inlineStr">
        <is>
          <t>17422</t>
        </is>
      </c>
      <c r="F412" s="42" t="inlineStr">
        <is>
          <t>1780</t>
        </is>
      </c>
      <c r="G412" s="42" t="inlineStr">
        <is>
          <t>2230</t>
        </is>
      </c>
      <c r="H412" s="42" t="inlineStr">
        <is>
          <t>True</t>
        </is>
      </c>
      <c r="I412" s="42" t="inlineStr">
        <is>
          <t>NOT_EVALUATED</t>
        </is>
      </c>
      <c r="J412" s="42" t="inlineStr">
        <is>
          <t>NO_DIRECT_STANDARD_MATRIX_IN_RETRIEVED_SOURCE</t>
        </is>
      </c>
      <c r="K412" s="42" t="str"/>
      <c r="L412" s="42" t="str"/>
      <c r="M412" s="42" t="str"/>
      <c r="N412" s="42" t="str"/>
      <c r="O412" s="42" t="inlineStr">
        <is>
          <t>現行公式資料でこの窓種のSAFE 30mil規格○/×を本Revisionでは直接取得できていない。推測しない。</t>
        </is>
      </c>
    </row>
    <row r="413">
      <c r="A413" s="42" t="inlineStr">
        <is>
          <t>SZ-SL-000412</t>
        </is>
      </c>
      <c r="B413" s="42" t="inlineStr">
        <is>
          <t>WT-SL-SHUTTER-HIKI</t>
        </is>
      </c>
      <c r="C413" s="42" t="inlineStr">
        <is>
          <t>シャッター付引違い窓</t>
        </is>
      </c>
      <c r="D413" s="42" t="inlineStr">
        <is>
          <t>SP-SL-SHUT-E-VENT</t>
        </is>
      </c>
      <c r="E413" s="42" t="inlineStr">
        <is>
          <t>17424</t>
        </is>
      </c>
      <c r="F413" s="42" t="inlineStr">
        <is>
          <t>1780</t>
        </is>
      </c>
      <c r="G413" s="42" t="inlineStr">
        <is>
          <t>2430</t>
        </is>
      </c>
      <c r="H413" s="42" t="inlineStr">
        <is>
          <t>False</t>
        </is>
      </c>
      <c r="I413" s="42" t="inlineStr">
        <is>
          <t>NOT_EVALUATED</t>
        </is>
      </c>
      <c r="J413" s="42" t="inlineStr">
        <is>
          <t>NO_DIRECT_STANDARD_MATRIX_IN_RETRIEVED_SOURCE</t>
        </is>
      </c>
      <c r="K413" s="42" t="str"/>
      <c r="L413" s="42" t="str"/>
      <c r="M413" s="42" t="str"/>
      <c r="N413" s="42" t="str"/>
      <c r="O413" s="42" t="inlineStr">
        <is>
          <t>現行公式資料でこの窓種のSAFE 30mil規格○/×を本Revisionでは直接取得できていない。推測しない。</t>
        </is>
      </c>
    </row>
    <row r="414">
      <c r="A414" s="42" t="inlineStr">
        <is>
          <t>SZ-SL-000413</t>
        </is>
      </c>
      <c r="B414" s="42" t="inlineStr">
        <is>
          <t>WT-SL-SHUTTER-HIKI</t>
        </is>
      </c>
      <c r="C414" s="42" t="inlineStr">
        <is>
          <t>シャッター付引違い窓</t>
        </is>
      </c>
      <c r="D414" s="42" t="inlineStr">
        <is>
          <t>SP-SL-SHUT-E-VENT</t>
        </is>
      </c>
      <c r="E414" s="42" t="inlineStr">
        <is>
          <t>17622</t>
        </is>
      </c>
      <c r="F414" s="42" t="inlineStr">
        <is>
          <t>1800</t>
        </is>
      </c>
      <c r="G414" s="42" t="inlineStr">
        <is>
          <t>2230</t>
        </is>
      </c>
      <c r="H414" s="42" t="inlineStr">
        <is>
          <t>True</t>
        </is>
      </c>
      <c r="I414" s="42" t="inlineStr">
        <is>
          <t>NOT_EVALUATED</t>
        </is>
      </c>
      <c r="J414" s="42" t="inlineStr">
        <is>
          <t>NO_DIRECT_STANDARD_MATRIX_IN_RETRIEVED_SOURCE</t>
        </is>
      </c>
      <c r="K414" s="42" t="str"/>
      <c r="L414" s="42" t="str"/>
      <c r="M414" s="42" t="str"/>
      <c r="N414" s="42" t="str"/>
      <c r="O414" s="42" t="inlineStr">
        <is>
          <t>現行公式資料でこの窓種のSAFE 30mil規格○/×を本Revisionでは直接取得できていない。推測しない。</t>
        </is>
      </c>
    </row>
    <row r="415">
      <c r="A415" s="42" t="inlineStr">
        <is>
          <t>SZ-SL-000414</t>
        </is>
      </c>
      <c r="B415" s="42" t="inlineStr">
        <is>
          <t>WT-SL-SHUTTER-HIKI</t>
        </is>
      </c>
      <c r="C415" s="42" t="inlineStr">
        <is>
          <t>シャッター付引違い窓</t>
        </is>
      </c>
      <c r="D415" s="42" t="inlineStr">
        <is>
          <t>SP-SL-SHUT-E-VENT</t>
        </is>
      </c>
      <c r="E415" s="42" t="inlineStr">
        <is>
          <t>17624</t>
        </is>
      </c>
      <c r="F415" s="42" t="inlineStr">
        <is>
          <t>1800</t>
        </is>
      </c>
      <c r="G415" s="42" t="inlineStr">
        <is>
          <t>2430</t>
        </is>
      </c>
      <c r="H415" s="42" t="inlineStr">
        <is>
          <t>False</t>
        </is>
      </c>
      <c r="I415" s="42" t="inlineStr">
        <is>
          <t>NOT_EVALUATED</t>
        </is>
      </c>
      <c r="J415" s="42" t="inlineStr">
        <is>
          <t>NO_DIRECT_STANDARD_MATRIX_IN_RETRIEVED_SOURCE</t>
        </is>
      </c>
      <c r="K415" s="42" t="str"/>
      <c r="L415" s="42" t="str"/>
      <c r="M415" s="42" t="str"/>
      <c r="N415" s="42" t="str"/>
      <c r="O415" s="42" t="inlineStr">
        <is>
          <t>現行公式資料でこの窓種のSAFE 30mil規格○/×を本Revisionでは直接取得できていない。推測しない。</t>
        </is>
      </c>
    </row>
    <row r="416">
      <c r="A416" s="42" t="inlineStr">
        <is>
          <t>SZ-SL-000415</t>
        </is>
      </c>
      <c r="B416" s="42" t="inlineStr">
        <is>
          <t>WT-SL-SHUTTER-HIKI</t>
        </is>
      </c>
      <c r="C416" s="42" t="inlineStr">
        <is>
          <t>シャッター付引違い窓</t>
        </is>
      </c>
      <c r="D416" s="42" t="inlineStr">
        <is>
          <t>SP-SL-SHUT-E-VENT</t>
        </is>
      </c>
      <c r="E416" s="42" t="inlineStr">
        <is>
          <t>18022</t>
        </is>
      </c>
      <c r="F416" s="42" t="inlineStr">
        <is>
          <t>1845</t>
        </is>
      </c>
      <c r="G416" s="42" t="inlineStr">
        <is>
          <t>2230</t>
        </is>
      </c>
      <c r="H416" s="42" t="inlineStr">
        <is>
          <t>True</t>
        </is>
      </c>
      <c r="I416" s="42" t="inlineStr">
        <is>
          <t>NOT_EVALUATED</t>
        </is>
      </c>
      <c r="J416" s="42" t="inlineStr">
        <is>
          <t>NO_DIRECT_STANDARD_MATRIX_IN_RETRIEVED_SOURCE</t>
        </is>
      </c>
      <c r="K416" s="42" t="str"/>
      <c r="L416" s="42" t="str"/>
      <c r="M416" s="42" t="str"/>
      <c r="N416" s="42" t="str"/>
      <c r="O416" s="42" t="inlineStr">
        <is>
          <t>現行公式資料でこの窓種のSAFE 30mil規格○/×を本Revisionでは直接取得できていない。推測しない。</t>
        </is>
      </c>
    </row>
    <row r="417">
      <c r="A417" s="42" t="inlineStr">
        <is>
          <t>SZ-SL-000416</t>
        </is>
      </c>
      <c r="B417" s="42" t="inlineStr">
        <is>
          <t>WT-SL-SHUTTER-HIKI</t>
        </is>
      </c>
      <c r="C417" s="42" t="inlineStr">
        <is>
          <t>シャッター付引違い窓</t>
        </is>
      </c>
      <c r="D417" s="42" t="inlineStr">
        <is>
          <t>SP-SL-SHUT-E-VENT</t>
        </is>
      </c>
      <c r="E417" s="42" t="inlineStr">
        <is>
          <t>18024</t>
        </is>
      </c>
      <c r="F417" s="42" t="inlineStr">
        <is>
          <t>1845</t>
        </is>
      </c>
      <c r="G417" s="42" t="inlineStr">
        <is>
          <t>2430</t>
        </is>
      </c>
      <c r="H417" s="42" t="inlineStr">
        <is>
          <t>False</t>
        </is>
      </c>
      <c r="I417" s="42" t="inlineStr">
        <is>
          <t>NOT_EVALUATED</t>
        </is>
      </c>
      <c r="J417" s="42" t="inlineStr">
        <is>
          <t>NO_DIRECT_STANDARD_MATRIX_IN_RETRIEVED_SOURCE</t>
        </is>
      </c>
      <c r="K417" s="42" t="str"/>
      <c r="L417" s="42" t="str"/>
      <c r="M417" s="42" t="str"/>
      <c r="N417" s="42" t="str"/>
      <c r="O417" s="42" t="inlineStr">
        <is>
          <t>現行公式資料でこの窓種のSAFE 30mil規格○/×を本Revisionでは直接取得できていない。推測しない。</t>
        </is>
      </c>
    </row>
    <row r="418">
      <c r="A418" s="42" t="inlineStr">
        <is>
          <t>SZ-SL-000417</t>
        </is>
      </c>
      <c r="B418" s="42" t="inlineStr">
        <is>
          <t>WT-SL-SHUTTER-HIKI</t>
        </is>
      </c>
      <c r="C418" s="42" t="inlineStr">
        <is>
          <t>シャッター付引違い窓</t>
        </is>
      </c>
      <c r="D418" s="42" t="inlineStr">
        <is>
          <t>SP-SL-SHUT-E-WIND</t>
        </is>
      </c>
      <c r="E418" s="42" t="inlineStr">
        <is>
          <t>16522</t>
        </is>
      </c>
      <c r="F418" s="42" t="inlineStr">
        <is>
          <t>1690</t>
        </is>
      </c>
      <c r="G418" s="42" t="inlineStr">
        <is>
          <t>2230</t>
        </is>
      </c>
      <c r="H418" s="42" t="inlineStr">
        <is>
          <t>True</t>
        </is>
      </c>
      <c r="I418" s="42" t="inlineStr">
        <is>
          <t>NOT_EVALUATED</t>
        </is>
      </c>
      <c r="J418" s="42" t="inlineStr">
        <is>
          <t>NO_DIRECT_STANDARD_MATRIX_IN_RETRIEVED_SOURCE</t>
        </is>
      </c>
      <c r="K418" s="42" t="str"/>
      <c r="L418" s="42" t="str"/>
      <c r="M418" s="42" t="str"/>
      <c r="N418" s="42" t="str"/>
      <c r="O418" s="42" t="inlineStr">
        <is>
          <t>現行公式資料でこの窓種のSAFE 30mil規格○/×を本Revisionでは直接取得できていない。推測しない。</t>
        </is>
      </c>
    </row>
    <row r="419">
      <c r="A419" s="42" t="inlineStr">
        <is>
          <t>SZ-SL-000418</t>
        </is>
      </c>
      <c r="B419" s="42" t="inlineStr">
        <is>
          <t>WT-SL-SHUTTER-HIKI</t>
        </is>
      </c>
      <c r="C419" s="42" t="inlineStr">
        <is>
          <t>シャッター付引違い窓</t>
        </is>
      </c>
      <c r="D419" s="42" t="inlineStr">
        <is>
          <t>SP-SL-SHUT-E-WIND</t>
        </is>
      </c>
      <c r="E419" s="42" t="inlineStr">
        <is>
          <t>16524</t>
        </is>
      </c>
      <c r="F419" s="42" t="inlineStr">
        <is>
          <t>1690</t>
        </is>
      </c>
      <c r="G419" s="42" t="inlineStr">
        <is>
          <t>2430</t>
        </is>
      </c>
      <c r="H419" s="42" t="inlineStr">
        <is>
          <t>False</t>
        </is>
      </c>
      <c r="I419" s="42" t="inlineStr">
        <is>
          <t>NOT_EVALUATED</t>
        </is>
      </c>
      <c r="J419" s="42" t="inlineStr">
        <is>
          <t>NO_DIRECT_STANDARD_MATRIX_IN_RETRIEVED_SOURCE</t>
        </is>
      </c>
      <c r="K419" s="42" t="str"/>
      <c r="L419" s="42" t="str"/>
      <c r="M419" s="42" t="str"/>
      <c r="N419" s="42" t="str"/>
      <c r="O419" s="42" t="inlineStr">
        <is>
          <t>現行公式資料でこの窓種のSAFE 30mil規格○/×を本Revisionでは直接取得できていない。推測しない。</t>
        </is>
      </c>
    </row>
    <row r="420">
      <c r="A420" s="42" t="inlineStr">
        <is>
          <t>SZ-SL-000419</t>
        </is>
      </c>
      <c r="B420" s="42" t="inlineStr">
        <is>
          <t>WT-SL-SHUTTER-HIKI</t>
        </is>
      </c>
      <c r="C420" s="42" t="inlineStr">
        <is>
          <t>シャッター付引違い窓</t>
        </is>
      </c>
      <c r="D420" s="42" t="inlineStr">
        <is>
          <t>SP-SL-SHUT-E-WIND</t>
        </is>
      </c>
      <c r="E420" s="42" t="inlineStr">
        <is>
          <t>17422</t>
        </is>
      </c>
      <c r="F420" s="42" t="inlineStr">
        <is>
          <t>1780</t>
        </is>
      </c>
      <c r="G420" s="42" t="inlineStr">
        <is>
          <t>2230</t>
        </is>
      </c>
      <c r="H420" s="42" t="inlineStr">
        <is>
          <t>False</t>
        </is>
      </c>
      <c r="I420" s="42" t="inlineStr">
        <is>
          <t>NOT_EVALUATED</t>
        </is>
      </c>
      <c r="J420" s="42" t="inlineStr">
        <is>
          <t>NO_DIRECT_STANDARD_MATRIX_IN_RETRIEVED_SOURCE</t>
        </is>
      </c>
      <c r="K420" s="42" t="str"/>
      <c r="L420" s="42" t="str"/>
      <c r="M420" s="42" t="str"/>
      <c r="N420" s="42" t="str"/>
      <c r="O420" s="42" t="inlineStr">
        <is>
          <t>現行公式資料でこの窓種のSAFE 30mil規格○/×を本Revisionでは直接取得できていない。推測しない。</t>
        </is>
      </c>
    </row>
    <row r="421">
      <c r="A421" s="42" t="inlineStr">
        <is>
          <t>SZ-SL-000420</t>
        </is>
      </c>
      <c r="B421" s="42" t="inlineStr">
        <is>
          <t>WT-SL-SHUTTER-HIKI</t>
        </is>
      </c>
      <c r="C421" s="42" t="inlineStr">
        <is>
          <t>シャッター付引違い窓</t>
        </is>
      </c>
      <c r="D421" s="42" t="inlineStr">
        <is>
          <t>SP-SL-SHUT-E-WIND</t>
        </is>
      </c>
      <c r="E421" s="42" t="inlineStr">
        <is>
          <t>17424</t>
        </is>
      </c>
      <c r="F421" s="42" t="inlineStr">
        <is>
          <t>1780</t>
        </is>
      </c>
      <c r="G421" s="42" t="inlineStr">
        <is>
          <t>2430</t>
        </is>
      </c>
      <c r="H421" s="42" t="inlineStr">
        <is>
          <t>False</t>
        </is>
      </c>
      <c r="I421" s="42" t="inlineStr">
        <is>
          <t>NOT_EVALUATED</t>
        </is>
      </c>
      <c r="J421" s="42" t="inlineStr">
        <is>
          <t>NO_DIRECT_STANDARD_MATRIX_IN_RETRIEVED_SOURCE</t>
        </is>
      </c>
      <c r="K421" s="42" t="str"/>
      <c r="L421" s="42" t="str"/>
      <c r="M421" s="42" t="str"/>
      <c r="N421" s="42" t="str"/>
      <c r="O421" s="42" t="inlineStr">
        <is>
          <t>現行公式資料でこの窓種のSAFE 30mil規格○/×を本Revisionでは直接取得できていない。推測しない。</t>
        </is>
      </c>
    </row>
    <row r="422">
      <c r="A422" s="42" t="inlineStr">
        <is>
          <t>SZ-SL-000421</t>
        </is>
      </c>
      <c r="B422" s="42" t="inlineStr">
        <is>
          <t>WT-SL-SHUTTER-HIKI</t>
        </is>
      </c>
      <c r="C422" s="42" t="inlineStr">
        <is>
          <t>シャッター付引違い窓</t>
        </is>
      </c>
      <c r="D422" s="42" t="inlineStr">
        <is>
          <t>SP-SL-SHUT-E-WIND</t>
        </is>
      </c>
      <c r="E422" s="42" t="inlineStr">
        <is>
          <t>17622</t>
        </is>
      </c>
      <c r="F422" s="42" t="inlineStr">
        <is>
          <t>1800</t>
        </is>
      </c>
      <c r="G422" s="42" t="inlineStr">
        <is>
          <t>2230</t>
        </is>
      </c>
      <c r="H422" s="42" t="inlineStr">
        <is>
          <t>False</t>
        </is>
      </c>
      <c r="I422" s="42" t="inlineStr">
        <is>
          <t>NOT_EVALUATED</t>
        </is>
      </c>
      <c r="J422" s="42" t="inlineStr">
        <is>
          <t>NO_DIRECT_STANDARD_MATRIX_IN_RETRIEVED_SOURCE</t>
        </is>
      </c>
      <c r="K422" s="42" t="str"/>
      <c r="L422" s="42" t="str"/>
      <c r="M422" s="42" t="str"/>
      <c r="N422" s="42" t="str"/>
      <c r="O422" s="42" t="inlineStr">
        <is>
          <t>現行公式資料でこの窓種のSAFE 30mil規格○/×を本Revisionでは直接取得できていない。推測しない。</t>
        </is>
      </c>
    </row>
    <row r="423">
      <c r="A423" s="42" t="inlineStr">
        <is>
          <t>SZ-SL-000422</t>
        </is>
      </c>
      <c r="B423" s="42" t="inlineStr">
        <is>
          <t>WT-SL-SHUTTER-HIKI</t>
        </is>
      </c>
      <c r="C423" s="42" t="inlineStr">
        <is>
          <t>シャッター付引違い窓</t>
        </is>
      </c>
      <c r="D423" s="42" t="inlineStr">
        <is>
          <t>SP-SL-SHUT-E-WIND</t>
        </is>
      </c>
      <c r="E423" s="42" t="inlineStr">
        <is>
          <t>17624</t>
        </is>
      </c>
      <c r="F423" s="42" t="inlineStr">
        <is>
          <t>1800</t>
        </is>
      </c>
      <c r="G423" s="42" t="inlineStr">
        <is>
          <t>2430</t>
        </is>
      </c>
      <c r="H423" s="42" t="inlineStr">
        <is>
          <t>False</t>
        </is>
      </c>
      <c r="I423" s="42" t="inlineStr">
        <is>
          <t>NOT_EVALUATED</t>
        </is>
      </c>
      <c r="J423" s="42" t="inlineStr">
        <is>
          <t>NO_DIRECT_STANDARD_MATRIX_IN_RETRIEVED_SOURCE</t>
        </is>
      </c>
      <c r="K423" s="42" t="str"/>
      <c r="L423" s="42" t="str"/>
      <c r="M423" s="42" t="str"/>
      <c r="N423" s="42" t="str"/>
      <c r="O423" s="42" t="inlineStr">
        <is>
          <t>現行公式資料でこの窓種のSAFE 30mil規格○/×を本Revisionでは直接取得できていない。推測しない。</t>
        </is>
      </c>
    </row>
    <row r="424">
      <c r="A424" s="42" t="inlineStr">
        <is>
          <t>SZ-SL-000423</t>
        </is>
      </c>
      <c r="B424" s="42" t="inlineStr">
        <is>
          <t>WT-SL-SHUTTER-HIKI</t>
        </is>
      </c>
      <c r="C424" s="42" t="inlineStr">
        <is>
          <t>シャッター付引違い窓</t>
        </is>
      </c>
      <c r="D424" s="42" t="inlineStr">
        <is>
          <t>SP-SL-SHUT-E-WIND</t>
        </is>
      </c>
      <c r="E424" s="42" t="inlineStr">
        <is>
          <t>18022</t>
        </is>
      </c>
      <c r="F424" s="42" t="inlineStr">
        <is>
          <t>1845</t>
        </is>
      </c>
      <c r="G424" s="42" t="inlineStr">
        <is>
          <t>2230</t>
        </is>
      </c>
      <c r="H424" s="42" t="inlineStr">
        <is>
          <t>False</t>
        </is>
      </c>
      <c r="I424" s="42" t="inlineStr">
        <is>
          <t>NOT_EVALUATED</t>
        </is>
      </c>
      <c r="J424" s="42" t="inlineStr">
        <is>
          <t>NO_DIRECT_STANDARD_MATRIX_IN_RETRIEVED_SOURCE</t>
        </is>
      </c>
      <c r="K424" s="42" t="str"/>
      <c r="L424" s="42" t="str"/>
      <c r="M424" s="42" t="str"/>
      <c r="N424" s="42" t="str"/>
      <c r="O424" s="42" t="inlineStr">
        <is>
          <t>現行公式資料でこの窓種のSAFE 30mil規格○/×を本Revisionでは直接取得できていない。推測しない。</t>
        </is>
      </c>
    </row>
    <row r="425">
      <c r="A425" s="42" t="inlineStr">
        <is>
          <t>SZ-SL-000424</t>
        </is>
      </c>
      <c r="B425" s="42" t="inlineStr">
        <is>
          <t>WT-SL-SHUTTER-HIKI</t>
        </is>
      </c>
      <c r="C425" s="42" t="inlineStr">
        <is>
          <t>シャッター付引違い窓</t>
        </is>
      </c>
      <c r="D425" s="42" t="inlineStr">
        <is>
          <t>SP-SL-SHUT-E-WIND</t>
        </is>
      </c>
      <c r="E425" s="42" t="inlineStr">
        <is>
          <t>18024</t>
        </is>
      </c>
      <c r="F425" s="42" t="inlineStr">
        <is>
          <t>1845</t>
        </is>
      </c>
      <c r="G425" s="42" t="inlineStr">
        <is>
          <t>2430</t>
        </is>
      </c>
      <c r="H425" s="42" t="inlineStr">
        <is>
          <t>False</t>
        </is>
      </c>
      <c r="I425" s="42" t="inlineStr">
        <is>
          <t>NOT_EVALUATED</t>
        </is>
      </c>
      <c r="J425" s="42" t="inlineStr">
        <is>
          <t>NO_DIRECT_STANDARD_MATRIX_IN_RETRIEVED_SOURCE</t>
        </is>
      </c>
      <c r="K425" s="42" t="str"/>
      <c r="L425" s="42" t="str"/>
      <c r="M425" s="42" t="str"/>
      <c r="N425" s="42" t="str"/>
      <c r="O425" s="42" t="inlineStr">
        <is>
          <t>現行公式資料でこの窓種のSAFE 30mil規格○/×を本Revisionでは直接取得できていない。推測しない。</t>
        </is>
      </c>
    </row>
    <row r="426">
      <c r="A426" s="42" t="inlineStr">
        <is>
          <t>SZ-SL-000425</t>
        </is>
      </c>
      <c r="B426" s="42" t="inlineStr">
        <is>
          <t>WT-SL-SHUTTER-HIKI</t>
        </is>
      </c>
      <c r="C426" s="42" t="inlineStr">
        <is>
          <t>シャッター付引違い窓</t>
        </is>
      </c>
      <c r="D426" s="42" t="inlineStr">
        <is>
          <t>SP-SL-SHUT-E-STD</t>
        </is>
      </c>
      <c r="E426" s="42" t="inlineStr">
        <is>
          <t>18622</t>
        </is>
      </c>
      <c r="F426" s="42" t="inlineStr">
        <is>
          <t>1900</t>
        </is>
      </c>
      <c r="G426" s="42" t="inlineStr">
        <is>
          <t>2230</t>
        </is>
      </c>
      <c r="H426" s="42" t="inlineStr">
        <is>
          <t>True</t>
        </is>
      </c>
      <c r="I426" s="42" t="inlineStr">
        <is>
          <t>NOT_EVALUATED</t>
        </is>
      </c>
      <c r="J426" s="42" t="inlineStr">
        <is>
          <t>NO_DIRECT_STANDARD_MATRIX_IN_RETRIEVED_SOURCE</t>
        </is>
      </c>
      <c r="K426" s="42" t="str"/>
      <c r="L426" s="42" t="str"/>
      <c r="M426" s="42" t="str"/>
      <c r="N426" s="42" t="str"/>
      <c r="O426" s="42" t="inlineStr">
        <is>
          <t>現行公式資料でこの窓種のSAFE 30mil規格○/×を本Revisionでは直接取得できていない。推測しない。</t>
        </is>
      </c>
    </row>
    <row r="427">
      <c r="A427" s="42" t="inlineStr">
        <is>
          <t>SZ-SL-000426</t>
        </is>
      </c>
      <c r="B427" s="42" t="inlineStr">
        <is>
          <t>WT-SL-SHUTTER-HIKI</t>
        </is>
      </c>
      <c r="C427" s="42" t="inlineStr">
        <is>
          <t>シャッター付引違い窓</t>
        </is>
      </c>
      <c r="D427" s="42" t="inlineStr">
        <is>
          <t>SP-SL-SHUT-E-STD</t>
        </is>
      </c>
      <c r="E427" s="42" t="inlineStr">
        <is>
          <t>18624</t>
        </is>
      </c>
      <c r="F427" s="42" t="inlineStr">
        <is>
          <t>1900</t>
        </is>
      </c>
      <c r="G427" s="42" t="inlineStr">
        <is>
          <t>2430</t>
        </is>
      </c>
      <c r="H427" s="42" t="inlineStr">
        <is>
          <t>True</t>
        </is>
      </c>
      <c r="I427" s="42" t="inlineStr">
        <is>
          <t>NOT_EVALUATED</t>
        </is>
      </c>
      <c r="J427" s="42" t="inlineStr">
        <is>
          <t>NO_DIRECT_STANDARD_MATRIX_IN_RETRIEVED_SOURCE</t>
        </is>
      </c>
      <c r="K427" s="42" t="str"/>
      <c r="L427" s="42" t="str"/>
      <c r="M427" s="42" t="str"/>
      <c r="N427" s="42" t="str"/>
      <c r="O427" s="42" t="inlineStr">
        <is>
          <t>現行公式資料でこの窓種のSAFE 30mil規格○/×を本Revisionでは直接取得できていない。推測しない。</t>
        </is>
      </c>
    </row>
    <row r="428">
      <c r="A428" s="42" t="inlineStr">
        <is>
          <t>SZ-SL-000427</t>
        </is>
      </c>
      <c r="B428" s="42" t="inlineStr">
        <is>
          <t>WT-SL-SHUTTER-HIKI</t>
        </is>
      </c>
      <c r="C428" s="42" t="inlineStr">
        <is>
          <t>シャッター付引違い窓</t>
        </is>
      </c>
      <c r="D428" s="42" t="inlineStr">
        <is>
          <t>SP-SL-SHUT-E-STD</t>
        </is>
      </c>
      <c r="E428" s="42" t="inlineStr">
        <is>
          <t>25122-2</t>
        </is>
      </c>
      <c r="F428" s="42" t="inlineStr">
        <is>
          <t>2550</t>
        </is>
      </c>
      <c r="G428" s="42" t="inlineStr">
        <is>
          <t>2230</t>
        </is>
      </c>
      <c r="H428" s="42" t="inlineStr">
        <is>
          <t>True</t>
        </is>
      </c>
      <c r="I428" s="42" t="inlineStr">
        <is>
          <t>NOT_EVALUATED</t>
        </is>
      </c>
      <c r="J428" s="42" t="inlineStr">
        <is>
          <t>NO_DIRECT_STANDARD_MATRIX_IN_RETRIEVED_SOURCE</t>
        </is>
      </c>
      <c r="K428" s="42" t="str"/>
      <c r="L428" s="42" t="str"/>
      <c r="M428" s="42" t="str"/>
      <c r="N428" s="42" t="str"/>
      <c r="O428" s="42" t="inlineStr">
        <is>
          <t>現行公式資料でこの窓種のSAFE 30mil規格○/×を本Revisionでは直接取得できていない。推測しない。</t>
        </is>
      </c>
    </row>
    <row r="429">
      <c r="A429" s="42" t="inlineStr">
        <is>
          <t>SZ-SL-000428</t>
        </is>
      </c>
      <c r="B429" s="42" t="inlineStr">
        <is>
          <t>WT-SL-SHUTTER-HIKI</t>
        </is>
      </c>
      <c r="C429" s="42" t="inlineStr">
        <is>
          <t>シャッター付引違い窓</t>
        </is>
      </c>
      <c r="D429" s="42" t="inlineStr">
        <is>
          <t>SP-SL-SHUT-E-STD</t>
        </is>
      </c>
      <c r="E429" s="42" t="inlineStr">
        <is>
          <t>25122-4</t>
        </is>
      </c>
      <c r="F429" s="42" t="inlineStr">
        <is>
          <t>2550</t>
        </is>
      </c>
      <c r="G429" s="42" t="inlineStr">
        <is>
          <t>2230</t>
        </is>
      </c>
      <c r="H429" s="42" t="inlineStr">
        <is>
          <t>True</t>
        </is>
      </c>
      <c r="I429" s="42" t="inlineStr">
        <is>
          <t>NOT_EVALUATED</t>
        </is>
      </c>
      <c r="J429" s="42" t="inlineStr">
        <is>
          <t>NO_DIRECT_STANDARD_MATRIX_IN_RETRIEVED_SOURCE</t>
        </is>
      </c>
      <c r="K429" s="42" t="str"/>
      <c r="L429" s="42" t="str"/>
      <c r="M429" s="42" t="str"/>
      <c r="N429" s="42" t="str"/>
      <c r="O429" s="42" t="inlineStr">
        <is>
          <t>現行公式資料でこの窓種のSAFE 30mil規格○/×を本Revisionでは直接取得できていない。推測しない。</t>
        </is>
      </c>
    </row>
    <row r="430">
      <c r="A430" s="42" t="inlineStr">
        <is>
          <t>SZ-SL-000429</t>
        </is>
      </c>
      <c r="B430" s="42" t="inlineStr">
        <is>
          <t>WT-SL-SHUTTER-HIKI</t>
        </is>
      </c>
      <c r="C430" s="42" t="inlineStr">
        <is>
          <t>シャッター付引違い窓</t>
        </is>
      </c>
      <c r="D430" s="42" t="inlineStr">
        <is>
          <t>SP-SL-SHUT-E-STD</t>
        </is>
      </c>
      <c r="E430" s="42" t="inlineStr">
        <is>
          <t>25124-2</t>
        </is>
      </c>
      <c r="F430" s="42" t="inlineStr">
        <is>
          <t>2550</t>
        </is>
      </c>
      <c r="G430" s="42" t="inlineStr">
        <is>
          <t>2430</t>
        </is>
      </c>
      <c r="H430" s="42" t="inlineStr">
        <is>
          <t>True</t>
        </is>
      </c>
      <c r="I430" s="42" t="inlineStr">
        <is>
          <t>NOT_EVALUATED</t>
        </is>
      </c>
      <c r="J430" s="42" t="inlineStr">
        <is>
          <t>NO_DIRECT_STANDARD_MATRIX_IN_RETRIEVED_SOURCE</t>
        </is>
      </c>
      <c r="K430" s="42" t="str"/>
      <c r="L430" s="42" t="str"/>
      <c r="M430" s="42" t="str"/>
      <c r="N430" s="42" t="str"/>
      <c r="O430" s="42" t="inlineStr">
        <is>
          <t>現行公式資料でこの窓種のSAFE 30mil規格○/×を本Revisionでは直接取得できていない。推測しない。</t>
        </is>
      </c>
    </row>
    <row r="431">
      <c r="A431" s="42" t="inlineStr">
        <is>
          <t>SZ-SL-000430</t>
        </is>
      </c>
      <c r="B431" s="42" t="inlineStr">
        <is>
          <t>WT-SL-SHUTTER-HIKI</t>
        </is>
      </c>
      <c r="C431" s="42" t="inlineStr">
        <is>
          <t>シャッター付引違い窓</t>
        </is>
      </c>
      <c r="D431" s="42" t="inlineStr">
        <is>
          <t>SP-SL-SHUT-E-STD</t>
        </is>
      </c>
      <c r="E431" s="42" t="inlineStr">
        <is>
          <t>25124-4</t>
        </is>
      </c>
      <c r="F431" s="42" t="inlineStr">
        <is>
          <t>2550</t>
        </is>
      </c>
      <c r="G431" s="42" t="inlineStr">
        <is>
          <t>2430</t>
        </is>
      </c>
      <c r="H431" s="42" t="inlineStr">
        <is>
          <t>True</t>
        </is>
      </c>
      <c r="I431" s="42" t="inlineStr">
        <is>
          <t>NOT_EVALUATED</t>
        </is>
      </c>
      <c r="J431" s="42" t="inlineStr">
        <is>
          <t>NO_DIRECT_STANDARD_MATRIX_IN_RETRIEVED_SOURCE</t>
        </is>
      </c>
      <c r="K431" s="42" t="str"/>
      <c r="L431" s="42" t="str"/>
      <c r="M431" s="42" t="str"/>
      <c r="N431" s="42" t="str"/>
      <c r="O431" s="42" t="inlineStr">
        <is>
          <t>現行公式資料でこの窓種のSAFE 30mil規格○/×を本Revisionでは直接取得できていない。推測しない。</t>
        </is>
      </c>
    </row>
    <row r="432">
      <c r="A432" s="42" t="inlineStr">
        <is>
          <t>SZ-SL-000431</t>
        </is>
      </c>
      <c r="B432" s="42" t="inlineStr">
        <is>
          <t>WT-SL-SHUTTER-HIKI</t>
        </is>
      </c>
      <c r="C432" s="42" t="inlineStr">
        <is>
          <t>シャッター付引違い窓</t>
        </is>
      </c>
      <c r="D432" s="42" t="inlineStr">
        <is>
          <t>SP-SL-SHUT-E-VENT</t>
        </is>
      </c>
      <c r="E432" s="42" t="inlineStr">
        <is>
          <t>18622</t>
        </is>
      </c>
      <c r="F432" s="42" t="inlineStr">
        <is>
          <t>1900</t>
        </is>
      </c>
      <c r="G432" s="42" t="inlineStr">
        <is>
          <t>2230</t>
        </is>
      </c>
      <c r="H432" s="42" t="inlineStr">
        <is>
          <t>True</t>
        </is>
      </c>
      <c r="I432" s="42" t="inlineStr">
        <is>
          <t>NOT_EVALUATED</t>
        </is>
      </c>
      <c r="J432" s="42" t="inlineStr">
        <is>
          <t>NO_DIRECT_STANDARD_MATRIX_IN_RETRIEVED_SOURCE</t>
        </is>
      </c>
      <c r="K432" s="42" t="str"/>
      <c r="L432" s="42" t="str"/>
      <c r="M432" s="42" t="str"/>
      <c r="N432" s="42" t="str"/>
      <c r="O432" s="42" t="inlineStr">
        <is>
          <t>現行公式資料でこの窓種のSAFE 30mil規格○/×を本Revisionでは直接取得できていない。推測しない。</t>
        </is>
      </c>
    </row>
    <row r="433">
      <c r="A433" s="42" t="inlineStr">
        <is>
          <t>SZ-SL-000432</t>
        </is>
      </c>
      <c r="B433" s="42" t="inlineStr">
        <is>
          <t>WT-SL-SHUTTER-HIKI</t>
        </is>
      </c>
      <c r="C433" s="42" t="inlineStr">
        <is>
          <t>シャッター付引違い窓</t>
        </is>
      </c>
      <c r="D433" s="42" t="inlineStr">
        <is>
          <t>SP-SL-SHUT-E-VENT</t>
        </is>
      </c>
      <c r="E433" s="42" t="inlineStr">
        <is>
          <t>18624</t>
        </is>
      </c>
      <c r="F433" s="42" t="inlineStr">
        <is>
          <t>1900</t>
        </is>
      </c>
      <c r="G433" s="42" t="inlineStr">
        <is>
          <t>2430</t>
        </is>
      </c>
      <c r="H433" s="42" t="inlineStr">
        <is>
          <t>False</t>
        </is>
      </c>
      <c r="I433" s="42" t="inlineStr">
        <is>
          <t>NOT_EVALUATED</t>
        </is>
      </c>
      <c r="J433" s="42" t="inlineStr">
        <is>
          <t>NO_DIRECT_STANDARD_MATRIX_IN_RETRIEVED_SOURCE</t>
        </is>
      </c>
      <c r="K433" s="42" t="str"/>
      <c r="L433" s="42" t="str"/>
      <c r="M433" s="42" t="str"/>
      <c r="N433" s="42" t="str"/>
      <c r="O433" s="42" t="inlineStr">
        <is>
          <t>現行公式資料でこの窓種のSAFE 30mil規格○/×を本Revisionでは直接取得できていない。推測しない。</t>
        </is>
      </c>
    </row>
    <row r="434">
      <c r="A434" s="42" t="inlineStr">
        <is>
          <t>SZ-SL-000433</t>
        </is>
      </c>
      <c r="B434" s="42" t="inlineStr">
        <is>
          <t>WT-SL-SHUTTER-HIKI</t>
        </is>
      </c>
      <c r="C434" s="42" t="inlineStr">
        <is>
          <t>シャッター付引違い窓</t>
        </is>
      </c>
      <c r="D434" s="42" t="inlineStr">
        <is>
          <t>SP-SL-SHUT-E-VENT</t>
        </is>
      </c>
      <c r="E434" s="42" t="inlineStr">
        <is>
          <t>25122-2</t>
        </is>
      </c>
      <c r="F434" s="42" t="inlineStr">
        <is>
          <t>2550</t>
        </is>
      </c>
      <c r="G434" s="42" t="inlineStr">
        <is>
          <t>2230</t>
        </is>
      </c>
      <c r="H434" s="42" t="inlineStr">
        <is>
          <t>True</t>
        </is>
      </c>
      <c r="I434" s="42" t="inlineStr">
        <is>
          <t>NOT_EVALUATED</t>
        </is>
      </c>
      <c r="J434" s="42" t="inlineStr">
        <is>
          <t>NO_DIRECT_STANDARD_MATRIX_IN_RETRIEVED_SOURCE</t>
        </is>
      </c>
      <c r="K434" s="42" t="str"/>
      <c r="L434" s="42" t="str"/>
      <c r="M434" s="42" t="str"/>
      <c r="N434" s="42" t="str"/>
      <c r="O434" s="42" t="inlineStr">
        <is>
          <t>現行公式資料でこの窓種のSAFE 30mil規格○/×を本Revisionでは直接取得できていない。推測しない。</t>
        </is>
      </c>
    </row>
    <row r="435">
      <c r="A435" s="42" t="inlineStr">
        <is>
          <t>SZ-SL-000434</t>
        </is>
      </c>
      <c r="B435" s="42" t="inlineStr">
        <is>
          <t>WT-SL-SHUTTER-HIKI</t>
        </is>
      </c>
      <c r="C435" s="42" t="inlineStr">
        <is>
          <t>シャッター付引違い窓</t>
        </is>
      </c>
      <c r="D435" s="42" t="inlineStr">
        <is>
          <t>SP-SL-SHUT-E-VENT</t>
        </is>
      </c>
      <c r="E435" s="42" t="inlineStr">
        <is>
          <t>25122-4</t>
        </is>
      </c>
      <c r="F435" s="42" t="inlineStr">
        <is>
          <t>2550</t>
        </is>
      </c>
      <c r="G435" s="42" t="inlineStr">
        <is>
          <t>2230</t>
        </is>
      </c>
      <c r="H435" s="42" t="inlineStr">
        <is>
          <t>True</t>
        </is>
      </c>
      <c r="I435" s="42" t="inlineStr">
        <is>
          <t>NOT_EVALUATED</t>
        </is>
      </c>
      <c r="J435" s="42" t="inlineStr">
        <is>
          <t>NO_DIRECT_STANDARD_MATRIX_IN_RETRIEVED_SOURCE</t>
        </is>
      </c>
      <c r="K435" s="42" t="str"/>
      <c r="L435" s="42" t="str"/>
      <c r="M435" s="42" t="str"/>
      <c r="N435" s="42" t="str"/>
      <c r="O435" s="42" t="inlineStr">
        <is>
          <t>現行公式資料でこの窓種のSAFE 30mil規格○/×を本Revisionでは直接取得できていない。推測しない。</t>
        </is>
      </c>
    </row>
    <row r="436">
      <c r="A436" s="42" t="inlineStr">
        <is>
          <t>SZ-SL-000435</t>
        </is>
      </c>
      <c r="B436" s="42" t="inlineStr">
        <is>
          <t>WT-SL-SHUTTER-HIKI</t>
        </is>
      </c>
      <c r="C436" s="42" t="inlineStr">
        <is>
          <t>シャッター付引違い窓</t>
        </is>
      </c>
      <c r="D436" s="42" t="inlineStr">
        <is>
          <t>SP-SL-SHUT-E-VENT</t>
        </is>
      </c>
      <c r="E436" s="42" t="inlineStr">
        <is>
          <t>25124-2</t>
        </is>
      </c>
      <c r="F436" s="42" t="inlineStr">
        <is>
          <t>2550</t>
        </is>
      </c>
      <c r="G436" s="42" t="inlineStr">
        <is>
          <t>2430</t>
        </is>
      </c>
      <c r="H436" s="42" t="inlineStr">
        <is>
          <t>False</t>
        </is>
      </c>
      <c r="I436" s="42" t="inlineStr">
        <is>
          <t>NOT_EVALUATED</t>
        </is>
      </c>
      <c r="J436" s="42" t="inlineStr">
        <is>
          <t>NO_DIRECT_STANDARD_MATRIX_IN_RETRIEVED_SOURCE</t>
        </is>
      </c>
      <c r="K436" s="42" t="str"/>
      <c r="L436" s="42" t="str"/>
      <c r="M436" s="42" t="str"/>
      <c r="N436" s="42" t="str"/>
      <c r="O436" s="42" t="inlineStr">
        <is>
          <t>現行公式資料でこの窓種のSAFE 30mil規格○/×を本Revisionでは直接取得できていない。推測しない。</t>
        </is>
      </c>
    </row>
    <row r="437">
      <c r="A437" s="42" t="inlineStr">
        <is>
          <t>SZ-SL-000436</t>
        </is>
      </c>
      <c r="B437" s="42" t="inlineStr">
        <is>
          <t>WT-SL-SHUTTER-HIKI</t>
        </is>
      </c>
      <c r="C437" s="42" t="inlineStr">
        <is>
          <t>シャッター付引違い窓</t>
        </is>
      </c>
      <c r="D437" s="42" t="inlineStr">
        <is>
          <t>SP-SL-SHUT-E-VENT</t>
        </is>
      </c>
      <c r="E437" s="42" t="inlineStr">
        <is>
          <t>25124-4</t>
        </is>
      </c>
      <c r="F437" s="42" t="inlineStr">
        <is>
          <t>2550</t>
        </is>
      </c>
      <c r="G437" s="42" t="inlineStr">
        <is>
          <t>2430</t>
        </is>
      </c>
      <c r="H437" s="42" t="inlineStr">
        <is>
          <t>False</t>
        </is>
      </c>
      <c r="I437" s="42" t="inlineStr">
        <is>
          <t>NOT_EVALUATED</t>
        </is>
      </c>
      <c r="J437" s="42" t="inlineStr">
        <is>
          <t>NO_DIRECT_STANDARD_MATRIX_IN_RETRIEVED_SOURCE</t>
        </is>
      </c>
      <c r="K437" s="42" t="str"/>
      <c r="L437" s="42" t="str"/>
      <c r="M437" s="42" t="str"/>
      <c r="N437" s="42" t="str"/>
      <c r="O437" s="42" t="inlineStr">
        <is>
          <t>現行公式資料でこの窓種のSAFE 30mil規格○/×を本Revisionでは直接取得できていない。推測しない。</t>
        </is>
      </c>
    </row>
    <row r="438">
      <c r="A438" s="42" t="inlineStr">
        <is>
          <t>SZ-SL-000437</t>
        </is>
      </c>
      <c r="B438" s="42" t="inlineStr">
        <is>
          <t>WT-SL-SHUTTER-HIKI</t>
        </is>
      </c>
      <c r="C438" s="42" t="inlineStr">
        <is>
          <t>シャッター付引違い窓</t>
        </is>
      </c>
      <c r="D438" s="42" t="inlineStr">
        <is>
          <t>SP-SL-SHUT-E-WIND</t>
        </is>
      </c>
      <c r="E438" s="42" t="inlineStr">
        <is>
          <t>18622</t>
        </is>
      </c>
      <c r="F438" s="42" t="inlineStr">
        <is>
          <t>1900</t>
        </is>
      </c>
      <c r="G438" s="42" t="inlineStr">
        <is>
          <t>2230</t>
        </is>
      </c>
      <c r="H438" s="42" t="inlineStr">
        <is>
          <t>False</t>
        </is>
      </c>
      <c r="I438" s="42" t="inlineStr">
        <is>
          <t>NOT_EVALUATED</t>
        </is>
      </c>
      <c r="J438" s="42" t="inlineStr">
        <is>
          <t>NO_DIRECT_STANDARD_MATRIX_IN_RETRIEVED_SOURCE</t>
        </is>
      </c>
      <c r="K438" s="42" t="str"/>
      <c r="L438" s="42" t="str"/>
      <c r="M438" s="42" t="str"/>
      <c r="N438" s="42" t="str"/>
      <c r="O438" s="42" t="inlineStr">
        <is>
          <t>現行公式資料でこの窓種のSAFE 30mil規格○/×を本Revisionでは直接取得できていない。推測しない。</t>
        </is>
      </c>
    </row>
    <row r="439">
      <c r="A439" s="42" t="inlineStr">
        <is>
          <t>SZ-SL-000438</t>
        </is>
      </c>
      <c r="B439" s="42" t="inlineStr">
        <is>
          <t>WT-SL-SHUTTER-HIKI</t>
        </is>
      </c>
      <c r="C439" s="42" t="inlineStr">
        <is>
          <t>シャッター付引違い窓</t>
        </is>
      </c>
      <c r="D439" s="42" t="inlineStr">
        <is>
          <t>SP-SL-SHUT-E-WIND</t>
        </is>
      </c>
      <c r="E439" s="42" t="inlineStr">
        <is>
          <t>18624</t>
        </is>
      </c>
      <c r="F439" s="42" t="inlineStr">
        <is>
          <t>1900</t>
        </is>
      </c>
      <c r="G439" s="42" t="inlineStr">
        <is>
          <t>2430</t>
        </is>
      </c>
      <c r="H439" s="42" t="inlineStr">
        <is>
          <t>False</t>
        </is>
      </c>
      <c r="I439" s="42" t="inlineStr">
        <is>
          <t>NOT_EVALUATED</t>
        </is>
      </c>
      <c r="J439" s="42" t="inlineStr">
        <is>
          <t>NO_DIRECT_STANDARD_MATRIX_IN_RETRIEVED_SOURCE</t>
        </is>
      </c>
      <c r="K439" s="42" t="str"/>
      <c r="L439" s="42" t="str"/>
      <c r="M439" s="42" t="str"/>
      <c r="N439" s="42" t="str"/>
      <c r="O439" s="42" t="inlineStr">
        <is>
          <t>現行公式資料でこの窓種のSAFE 30mil規格○/×を本Revisionでは直接取得できていない。推測しない。</t>
        </is>
      </c>
    </row>
    <row r="440">
      <c r="A440" s="42" t="inlineStr">
        <is>
          <t>SZ-SL-000439</t>
        </is>
      </c>
      <c r="B440" s="42" t="inlineStr">
        <is>
          <t>WT-SL-SHUTTER-HIKI</t>
        </is>
      </c>
      <c r="C440" s="42" t="inlineStr">
        <is>
          <t>シャッター付引違い窓</t>
        </is>
      </c>
      <c r="D440" s="42" t="inlineStr">
        <is>
          <t>SP-SL-SHUT-E-WIND</t>
        </is>
      </c>
      <c r="E440" s="42" t="inlineStr">
        <is>
          <t>25122-2</t>
        </is>
      </c>
      <c r="F440" s="42" t="inlineStr">
        <is>
          <t>2550</t>
        </is>
      </c>
      <c r="G440" s="42" t="inlineStr">
        <is>
          <t>2230</t>
        </is>
      </c>
      <c r="H440" s="42" t="inlineStr">
        <is>
          <t>True</t>
        </is>
      </c>
      <c r="I440" s="42" t="inlineStr">
        <is>
          <t>NOT_EVALUATED</t>
        </is>
      </c>
      <c r="J440" s="42" t="inlineStr">
        <is>
          <t>NO_DIRECT_STANDARD_MATRIX_IN_RETRIEVED_SOURCE</t>
        </is>
      </c>
      <c r="K440" s="42" t="str"/>
      <c r="L440" s="42" t="str"/>
      <c r="M440" s="42" t="str"/>
      <c r="N440" s="42" t="str"/>
      <c r="O440" s="42" t="inlineStr">
        <is>
          <t>現行公式資料でこの窓種のSAFE 30mil規格○/×を本Revisionでは直接取得できていない。推測しない。</t>
        </is>
      </c>
    </row>
    <row r="441">
      <c r="A441" s="42" t="inlineStr">
        <is>
          <t>SZ-SL-000440</t>
        </is>
      </c>
      <c r="B441" s="42" t="inlineStr">
        <is>
          <t>WT-SL-SHUTTER-HIKI</t>
        </is>
      </c>
      <c r="C441" s="42" t="inlineStr">
        <is>
          <t>シャッター付引違い窓</t>
        </is>
      </c>
      <c r="D441" s="42" t="inlineStr">
        <is>
          <t>SP-SL-SHUT-E-WIND</t>
        </is>
      </c>
      <c r="E441" s="42" t="inlineStr">
        <is>
          <t>25122-4</t>
        </is>
      </c>
      <c r="F441" s="42" t="inlineStr">
        <is>
          <t>2550</t>
        </is>
      </c>
      <c r="G441" s="42" t="inlineStr">
        <is>
          <t>2230</t>
        </is>
      </c>
      <c r="H441" s="42" t="inlineStr">
        <is>
          <t>True</t>
        </is>
      </c>
      <c r="I441" s="42" t="inlineStr">
        <is>
          <t>NOT_EVALUATED</t>
        </is>
      </c>
      <c r="J441" s="42" t="inlineStr">
        <is>
          <t>NO_DIRECT_STANDARD_MATRIX_IN_RETRIEVED_SOURCE</t>
        </is>
      </c>
      <c r="K441" s="42" t="str"/>
      <c r="L441" s="42" t="str"/>
      <c r="M441" s="42" t="str"/>
      <c r="N441" s="42" t="str"/>
      <c r="O441" s="42" t="inlineStr">
        <is>
          <t>現行公式資料でこの窓種のSAFE 30mil規格○/×を本Revisionでは直接取得できていない。推測しない。</t>
        </is>
      </c>
    </row>
    <row r="442">
      <c r="A442" s="42" t="inlineStr">
        <is>
          <t>SZ-SL-000441</t>
        </is>
      </c>
      <c r="B442" s="42" t="inlineStr">
        <is>
          <t>WT-SL-SHUTTER-HIKI</t>
        </is>
      </c>
      <c r="C442" s="42" t="inlineStr">
        <is>
          <t>シャッター付引違い窓</t>
        </is>
      </c>
      <c r="D442" s="42" t="inlineStr">
        <is>
          <t>SP-SL-SHUT-E-WIND</t>
        </is>
      </c>
      <c r="E442" s="42" t="inlineStr">
        <is>
          <t>25124-2</t>
        </is>
      </c>
      <c r="F442" s="42" t="inlineStr">
        <is>
          <t>2550</t>
        </is>
      </c>
      <c r="G442" s="42" t="inlineStr">
        <is>
          <t>2430</t>
        </is>
      </c>
      <c r="H442" s="42" t="inlineStr">
        <is>
          <t>False</t>
        </is>
      </c>
      <c r="I442" s="42" t="inlineStr">
        <is>
          <t>NOT_EVALUATED</t>
        </is>
      </c>
      <c r="J442" s="42" t="inlineStr">
        <is>
          <t>NO_DIRECT_STANDARD_MATRIX_IN_RETRIEVED_SOURCE</t>
        </is>
      </c>
      <c r="K442" s="42" t="str"/>
      <c r="L442" s="42" t="str"/>
      <c r="M442" s="42" t="str"/>
      <c r="N442" s="42" t="str"/>
      <c r="O442" s="42" t="inlineStr">
        <is>
          <t>現行公式資料でこの窓種のSAFE 30mil規格○/×を本Revisionでは直接取得できていない。推測しない。</t>
        </is>
      </c>
    </row>
    <row r="443">
      <c r="A443" s="42" t="inlineStr">
        <is>
          <t>SZ-SL-000442</t>
        </is>
      </c>
      <c r="B443" s="42" t="inlineStr">
        <is>
          <t>WT-SL-SHUTTER-HIKI</t>
        </is>
      </c>
      <c r="C443" s="42" t="inlineStr">
        <is>
          <t>シャッター付引違い窓</t>
        </is>
      </c>
      <c r="D443" s="42" t="inlineStr">
        <is>
          <t>SP-SL-SHUT-E-WIND</t>
        </is>
      </c>
      <c r="E443" s="42" t="inlineStr">
        <is>
          <t>25124-4</t>
        </is>
      </c>
      <c r="F443" s="42" t="inlineStr">
        <is>
          <t>2550</t>
        </is>
      </c>
      <c r="G443" s="42" t="inlineStr">
        <is>
          <t>2430</t>
        </is>
      </c>
      <c r="H443" s="42" t="inlineStr">
        <is>
          <t>False</t>
        </is>
      </c>
      <c r="I443" s="42" t="inlineStr">
        <is>
          <t>NOT_EVALUATED</t>
        </is>
      </c>
      <c r="J443" s="42" t="inlineStr">
        <is>
          <t>NO_DIRECT_STANDARD_MATRIX_IN_RETRIEVED_SOURCE</t>
        </is>
      </c>
      <c r="K443" s="42" t="str"/>
      <c r="L443" s="42" t="str"/>
      <c r="M443" s="42" t="str"/>
      <c r="N443" s="42" t="str"/>
      <c r="O443" s="42" t="inlineStr">
        <is>
          <t>現行公式資料でこの窓種のSAFE 30mil規格○/×を本Revisionでは直接取得できていない。推測しない。</t>
        </is>
      </c>
    </row>
    <row r="444">
      <c r="A444" s="42" t="inlineStr">
        <is>
          <t>SZ-SL-000443</t>
        </is>
      </c>
      <c r="B444" s="42" t="inlineStr">
        <is>
          <t>WT-SL-SHUTTER-HIKI</t>
        </is>
      </c>
      <c r="C444" s="42" t="inlineStr">
        <is>
          <t>シャッター付引違い窓</t>
        </is>
      </c>
      <c r="D444" s="42" t="inlineStr">
        <is>
          <t>SP-SL-SHUT-E-STD</t>
        </is>
      </c>
      <c r="E444" s="42" t="inlineStr">
        <is>
          <t>25622-2</t>
        </is>
      </c>
      <c r="F444" s="42" t="inlineStr">
        <is>
          <t>2600</t>
        </is>
      </c>
      <c r="G444" s="42" t="inlineStr">
        <is>
          <t>2230</t>
        </is>
      </c>
      <c r="H444" s="42" t="inlineStr">
        <is>
          <t>True</t>
        </is>
      </c>
      <c r="I444" s="42" t="inlineStr">
        <is>
          <t>NOT_EVALUATED</t>
        </is>
      </c>
      <c r="J444" s="42" t="inlineStr">
        <is>
          <t>NO_DIRECT_STANDARD_MATRIX_IN_RETRIEVED_SOURCE</t>
        </is>
      </c>
      <c r="K444" s="42" t="str"/>
      <c r="L444" s="42" t="str"/>
      <c r="M444" s="42" t="str"/>
      <c r="N444" s="42" t="str"/>
      <c r="O444" s="42" t="inlineStr">
        <is>
          <t>現行公式資料でこの窓種のSAFE 30mil規格○/×を本Revisionでは直接取得できていない。推測しない。</t>
        </is>
      </c>
    </row>
    <row r="445">
      <c r="A445" s="42" t="inlineStr">
        <is>
          <t>SZ-SL-000444</t>
        </is>
      </c>
      <c r="B445" s="42" t="inlineStr">
        <is>
          <t>WT-SL-SHUTTER-HIKI</t>
        </is>
      </c>
      <c r="C445" s="42" t="inlineStr">
        <is>
          <t>シャッター付引違い窓</t>
        </is>
      </c>
      <c r="D445" s="42" t="inlineStr">
        <is>
          <t>SP-SL-SHUT-E-STD</t>
        </is>
      </c>
      <c r="E445" s="42" t="inlineStr">
        <is>
          <t>25622-4</t>
        </is>
      </c>
      <c r="F445" s="42" t="inlineStr">
        <is>
          <t>2600</t>
        </is>
      </c>
      <c r="G445" s="42" t="inlineStr">
        <is>
          <t>2230</t>
        </is>
      </c>
      <c r="H445" s="42" t="inlineStr">
        <is>
          <t>True</t>
        </is>
      </c>
      <c r="I445" s="42" t="inlineStr">
        <is>
          <t>NOT_EVALUATED</t>
        </is>
      </c>
      <c r="J445" s="42" t="inlineStr">
        <is>
          <t>NO_DIRECT_STANDARD_MATRIX_IN_RETRIEVED_SOURCE</t>
        </is>
      </c>
      <c r="K445" s="42" t="str"/>
      <c r="L445" s="42" t="str"/>
      <c r="M445" s="42" t="str"/>
      <c r="N445" s="42" t="str"/>
      <c r="O445" s="42" t="inlineStr">
        <is>
          <t>現行公式資料でこの窓種のSAFE 30mil規格○/×を本Revisionでは直接取得できていない。推測しない。</t>
        </is>
      </c>
    </row>
    <row r="446">
      <c r="A446" s="42" t="inlineStr">
        <is>
          <t>SZ-SL-000445</t>
        </is>
      </c>
      <c r="B446" s="42" t="inlineStr">
        <is>
          <t>WT-SL-SHUTTER-HIKI</t>
        </is>
      </c>
      <c r="C446" s="42" t="inlineStr">
        <is>
          <t>シャッター付引違い窓</t>
        </is>
      </c>
      <c r="D446" s="42" t="inlineStr">
        <is>
          <t>SP-SL-SHUT-E-STD</t>
        </is>
      </c>
      <c r="E446" s="42" t="inlineStr">
        <is>
          <t>25624-2</t>
        </is>
      </c>
      <c r="F446" s="42" t="inlineStr">
        <is>
          <t>2600</t>
        </is>
      </c>
      <c r="G446" s="42" t="inlineStr">
        <is>
          <t>2430</t>
        </is>
      </c>
      <c r="H446" s="42" t="inlineStr">
        <is>
          <t>True</t>
        </is>
      </c>
      <c r="I446" s="42" t="inlineStr">
        <is>
          <t>NOT_EVALUATED</t>
        </is>
      </c>
      <c r="J446" s="42" t="inlineStr">
        <is>
          <t>NO_DIRECT_STANDARD_MATRIX_IN_RETRIEVED_SOURCE</t>
        </is>
      </c>
      <c r="K446" s="42" t="str"/>
      <c r="L446" s="42" t="str"/>
      <c r="M446" s="42" t="str"/>
      <c r="N446" s="42" t="str"/>
      <c r="O446" s="42" t="inlineStr">
        <is>
          <t>現行公式資料でこの窓種のSAFE 30mil規格○/×を本Revisionでは直接取得できていない。推測しない。</t>
        </is>
      </c>
    </row>
    <row r="447">
      <c r="A447" s="42" t="inlineStr">
        <is>
          <t>SZ-SL-000446</t>
        </is>
      </c>
      <c r="B447" s="42" t="inlineStr">
        <is>
          <t>WT-SL-SHUTTER-HIKI</t>
        </is>
      </c>
      <c r="C447" s="42" t="inlineStr">
        <is>
          <t>シャッター付引違い窓</t>
        </is>
      </c>
      <c r="D447" s="42" t="inlineStr">
        <is>
          <t>SP-SL-SHUT-E-STD</t>
        </is>
      </c>
      <c r="E447" s="42" t="inlineStr">
        <is>
          <t>25624-4</t>
        </is>
      </c>
      <c r="F447" s="42" t="inlineStr">
        <is>
          <t>2600</t>
        </is>
      </c>
      <c r="G447" s="42" t="inlineStr">
        <is>
          <t>2430</t>
        </is>
      </c>
      <c r="H447" s="42" t="inlineStr">
        <is>
          <t>True</t>
        </is>
      </c>
      <c r="I447" s="42" t="inlineStr">
        <is>
          <t>NOT_EVALUATED</t>
        </is>
      </c>
      <c r="J447" s="42" t="inlineStr">
        <is>
          <t>NO_DIRECT_STANDARD_MATRIX_IN_RETRIEVED_SOURCE</t>
        </is>
      </c>
      <c r="K447" s="42" t="str"/>
      <c r="L447" s="42" t="str"/>
      <c r="M447" s="42" t="str"/>
      <c r="N447" s="42" t="str"/>
      <c r="O447" s="42" t="inlineStr">
        <is>
          <t>現行公式資料でこの窓種のSAFE 30mil規格○/×を本Revisionでは直接取得できていない。推測しない。</t>
        </is>
      </c>
    </row>
    <row r="448">
      <c r="A448" s="42" t="inlineStr">
        <is>
          <t>SZ-SL-000447</t>
        </is>
      </c>
      <c r="B448" s="42" t="inlineStr">
        <is>
          <t>WT-SL-SHUTTER-HIKI</t>
        </is>
      </c>
      <c r="C448" s="42" t="inlineStr">
        <is>
          <t>シャッター付引違い窓</t>
        </is>
      </c>
      <c r="D448" s="42" t="inlineStr">
        <is>
          <t>SP-SL-SHUT-E-STD</t>
        </is>
      </c>
      <c r="E448" s="42" t="inlineStr">
        <is>
          <t>34722</t>
        </is>
      </c>
      <c r="F448" s="42" t="inlineStr">
        <is>
          <t>3510</t>
        </is>
      </c>
      <c r="G448" s="42" t="inlineStr">
        <is>
          <t>2230</t>
        </is>
      </c>
      <c r="H448" s="42" t="inlineStr">
        <is>
          <t>True</t>
        </is>
      </c>
      <c r="I448" s="42" t="inlineStr">
        <is>
          <t>NOT_EVALUATED</t>
        </is>
      </c>
      <c r="J448" s="42" t="inlineStr">
        <is>
          <t>NO_DIRECT_STANDARD_MATRIX_IN_RETRIEVED_SOURCE</t>
        </is>
      </c>
      <c r="K448" s="42" t="str"/>
      <c r="L448" s="42" t="str"/>
      <c r="M448" s="42" t="str"/>
      <c r="N448" s="42" t="str"/>
      <c r="O448" s="42" t="inlineStr">
        <is>
          <t>現行公式資料でこの窓種のSAFE 30mil規格○/×を本Revisionでは直接取得できていない。推測しない。</t>
        </is>
      </c>
    </row>
    <row r="449">
      <c r="A449" s="42" t="inlineStr">
        <is>
          <t>SZ-SL-000448</t>
        </is>
      </c>
      <c r="B449" s="42" t="inlineStr">
        <is>
          <t>WT-SL-SHUTTER-HIKI</t>
        </is>
      </c>
      <c r="C449" s="42" t="inlineStr">
        <is>
          <t>シャッター付引違い窓</t>
        </is>
      </c>
      <c r="D449" s="42" t="inlineStr">
        <is>
          <t>SP-SL-SHUT-E-STD</t>
        </is>
      </c>
      <c r="E449" s="42" t="inlineStr">
        <is>
          <t>34724</t>
        </is>
      </c>
      <c r="F449" s="42" t="inlineStr">
        <is>
          <t>3510</t>
        </is>
      </c>
      <c r="G449" s="42" t="inlineStr">
        <is>
          <t>2430</t>
        </is>
      </c>
      <c r="H449" s="42" t="inlineStr">
        <is>
          <t>True</t>
        </is>
      </c>
      <c r="I449" s="42" t="inlineStr">
        <is>
          <t>NOT_EVALUATED</t>
        </is>
      </c>
      <c r="J449" s="42" t="inlineStr">
        <is>
          <t>NO_DIRECT_STANDARD_MATRIX_IN_RETRIEVED_SOURCE</t>
        </is>
      </c>
      <c r="K449" s="42" t="str"/>
      <c r="L449" s="42" t="str"/>
      <c r="M449" s="42" t="str"/>
      <c r="N449" s="42" t="str"/>
      <c r="O449" s="42" t="inlineStr">
        <is>
          <t>現行公式資料でこの窓種のSAFE 30mil規格○/×を本Revisionでは直接取得できていない。推測しない。</t>
        </is>
      </c>
    </row>
    <row r="450">
      <c r="A450" s="42" t="inlineStr">
        <is>
          <t>SZ-SL-000449</t>
        </is>
      </c>
      <c r="B450" s="42" t="inlineStr">
        <is>
          <t>WT-SL-SHUTTER-HIKI</t>
        </is>
      </c>
      <c r="C450" s="42" t="inlineStr">
        <is>
          <t>シャッター付引違い窓</t>
        </is>
      </c>
      <c r="D450" s="42" t="inlineStr">
        <is>
          <t>SP-SL-SHUT-E-VENT</t>
        </is>
      </c>
      <c r="E450" s="42" t="inlineStr">
        <is>
          <t>25622-2</t>
        </is>
      </c>
      <c r="F450" s="42" t="inlineStr">
        <is>
          <t>2600</t>
        </is>
      </c>
      <c r="G450" s="42" t="inlineStr">
        <is>
          <t>2230</t>
        </is>
      </c>
      <c r="H450" s="42" t="inlineStr">
        <is>
          <t>True</t>
        </is>
      </c>
      <c r="I450" s="42" t="inlineStr">
        <is>
          <t>NOT_EVALUATED</t>
        </is>
      </c>
      <c r="J450" s="42" t="inlineStr">
        <is>
          <t>NO_DIRECT_STANDARD_MATRIX_IN_RETRIEVED_SOURCE</t>
        </is>
      </c>
      <c r="K450" s="42" t="str"/>
      <c r="L450" s="42" t="str"/>
      <c r="M450" s="42" t="str"/>
      <c r="N450" s="42" t="str"/>
      <c r="O450" s="42" t="inlineStr">
        <is>
          <t>現行公式資料でこの窓種のSAFE 30mil規格○/×を本Revisionでは直接取得できていない。推測しない。</t>
        </is>
      </c>
    </row>
    <row r="451">
      <c r="A451" s="42" t="inlineStr">
        <is>
          <t>SZ-SL-000450</t>
        </is>
      </c>
      <c r="B451" s="42" t="inlineStr">
        <is>
          <t>WT-SL-SHUTTER-HIKI</t>
        </is>
      </c>
      <c r="C451" s="42" t="inlineStr">
        <is>
          <t>シャッター付引違い窓</t>
        </is>
      </c>
      <c r="D451" s="42" t="inlineStr">
        <is>
          <t>SP-SL-SHUT-E-VENT</t>
        </is>
      </c>
      <c r="E451" s="42" t="inlineStr">
        <is>
          <t>25622-4</t>
        </is>
      </c>
      <c r="F451" s="42" t="inlineStr">
        <is>
          <t>2600</t>
        </is>
      </c>
      <c r="G451" s="42" t="inlineStr">
        <is>
          <t>2230</t>
        </is>
      </c>
      <c r="H451" s="42" t="inlineStr">
        <is>
          <t>True</t>
        </is>
      </c>
      <c r="I451" s="42" t="inlineStr">
        <is>
          <t>NOT_EVALUATED</t>
        </is>
      </c>
      <c r="J451" s="42" t="inlineStr">
        <is>
          <t>NO_DIRECT_STANDARD_MATRIX_IN_RETRIEVED_SOURCE</t>
        </is>
      </c>
      <c r="K451" s="42" t="str"/>
      <c r="L451" s="42" t="str"/>
      <c r="M451" s="42" t="str"/>
      <c r="N451" s="42" t="str"/>
      <c r="O451" s="42" t="inlineStr">
        <is>
          <t>現行公式資料でこの窓種のSAFE 30mil規格○/×を本Revisionでは直接取得できていない。推測しない。</t>
        </is>
      </c>
    </row>
    <row r="452">
      <c r="A452" s="42" t="inlineStr">
        <is>
          <t>SZ-SL-000451</t>
        </is>
      </c>
      <c r="B452" s="42" t="inlineStr">
        <is>
          <t>WT-SL-SHUTTER-HIKI</t>
        </is>
      </c>
      <c r="C452" s="42" t="inlineStr">
        <is>
          <t>シャッター付引違い窓</t>
        </is>
      </c>
      <c r="D452" s="42" t="inlineStr">
        <is>
          <t>SP-SL-SHUT-E-VENT</t>
        </is>
      </c>
      <c r="E452" s="42" t="inlineStr">
        <is>
          <t>25624-2</t>
        </is>
      </c>
      <c r="F452" s="42" t="inlineStr">
        <is>
          <t>2600</t>
        </is>
      </c>
      <c r="G452" s="42" t="inlineStr">
        <is>
          <t>2430</t>
        </is>
      </c>
      <c r="H452" s="42" t="inlineStr">
        <is>
          <t>False</t>
        </is>
      </c>
      <c r="I452" s="42" t="inlineStr">
        <is>
          <t>NOT_EVALUATED</t>
        </is>
      </c>
      <c r="J452" s="42" t="inlineStr">
        <is>
          <t>NO_DIRECT_STANDARD_MATRIX_IN_RETRIEVED_SOURCE</t>
        </is>
      </c>
      <c r="K452" s="42" t="str"/>
      <c r="L452" s="42" t="str"/>
      <c r="M452" s="42" t="str"/>
      <c r="N452" s="42" t="str"/>
      <c r="O452" s="42" t="inlineStr">
        <is>
          <t>現行公式資料でこの窓種のSAFE 30mil規格○/×を本Revisionでは直接取得できていない。推測しない。</t>
        </is>
      </c>
    </row>
    <row r="453">
      <c r="A453" s="42" t="inlineStr">
        <is>
          <t>SZ-SL-000452</t>
        </is>
      </c>
      <c r="B453" s="42" t="inlineStr">
        <is>
          <t>WT-SL-SHUTTER-HIKI</t>
        </is>
      </c>
      <c r="C453" s="42" t="inlineStr">
        <is>
          <t>シャッター付引違い窓</t>
        </is>
      </c>
      <c r="D453" s="42" t="inlineStr">
        <is>
          <t>SP-SL-SHUT-E-VENT</t>
        </is>
      </c>
      <c r="E453" s="42" t="inlineStr">
        <is>
          <t>25624-4</t>
        </is>
      </c>
      <c r="F453" s="42" t="inlineStr">
        <is>
          <t>2600</t>
        </is>
      </c>
      <c r="G453" s="42" t="inlineStr">
        <is>
          <t>2430</t>
        </is>
      </c>
      <c r="H453" s="42" t="inlineStr">
        <is>
          <t>False</t>
        </is>
      </c>
      <c r="I453" s="42" t="inlineStr">
        <is>
          <t>NOT_EVALUATED</t>
        </is>
      </c>
      <c r="J453" s="42" t="inlineStr">
        <is>
          <t>NO_DIRECT_STANDARD_MATRIX_IN_RETRIEVED_SOURCE</t>
        </is>
      </c>
      <c r="K453" s="42" t="str"/>
      <c r="L453" s="42" t="str"/>
      <c r="M453" s="42" t="str"/>
      <c r="N453" s="42" t="str"/>
      <c r="O453" s="42" t="inlineStr">
        <is>
          <t>現行公式資料でこの窓種のSAFE 30mil規格○/×を本Revisionでは直接取得できていない。推測しない。</t>
        </is>
      </c>
    </row>
    <row r="454">
      <c r="A454" s="42" t="inlineStr">
        <is>
          <t>SZ-SL-000453</t>
        </is>
      </c>
      <c r="B454" s="42" t="inlineStr">
        <is>
          <t>WT-SL-SHUTTER-HIKI</t>
        </is>
      </c>
      <c r="C454" s="42" t="inlineStr">
        <is>
          <t>シャッター付引違い窓</t>
        </is>
      </c>
      <c r="D454" s="42" t="inlineStr">
        <is>
          <t>SP-SL-SHUT-E-VENT</t>
        </is>
      </c>
      <c r="E454" s="42" t="inlineStr">
        <is>
          <t>34722</t>
        </is>
      </c>
      <c r="F454" s="42" t="inlineStr">
        <is>
          <t>3510</t>
        </is>
      </c>
      <c r="G454" s="42" t="inlineStr">
        <is>
          <t>2230</t>
        </is>
      </c>
      <c r="H454" s="42" t="inlineStr">
        <is>
          <t>True</t>
        </is>
      </c>
      <c r="I454" s="42" t="inlineStr">
        <is>
          <t>NOT_EVALUATED</t>
        </is>
      </c>
      <c r="J454" s="42" t="inlineStr">
        <is>
          <t>NO_DIRECT_STANDARD_MATRIX_IN_RETRIEVED_SOURCE</t>
        </is>
      </c>
      <c r="K454" s="42" t="str"/>
      <c r="L454" s="42" t="str"/>
      <c r="M454" s="42" t="str"/>
      <c r="N454" s="42" t="str"/>
      <c r="O454" s="42" t="inlineStr">
        <is>
          <t>現行公式資料でこの窓種のSAFE 30mil規格○/×を本Revisionでは直接取得できていない。推測しない。</t>
        </is>
      </c>
    </row>
    <row r="455">
      <c r="A455" s="42" t="inlineStr">
        <is>
          <t>SZ-SL-000454</t>
        </is>
      </c>
      <c r="B455" s="42" t="inlineStr">
        <is>
          <t>WT-SL-SHUTTER-HIKI</t>
        </is>
      </c>
      <c r="C455" s="42" t="inlineStr">
        <is>
          <t>シャッター付引違い窓</t>
        </is>
      </c>
      <c r="D455" s="42" t="inlineStr">
        <is>
          <t>SP-SL-SHUT-E-VENT</t>
        </is>
      </c>
      <c r="E455" s="42" t="inlineStr">
        <is>
          <t>34724</t>
        </is>
      </c>
      <c r="F455" s="42" t="inlineStr">
        <is>
          <t>3510</t>
        </is>
      </c>
      <c r="G455" s="42" t="inlineStr">
        <is>
          <t>2430</t>
        </is>
      </c>
      <c r="H455" s="42" t="inlineStr">
        <is>
          <t>False</t>
        </is>
      </c>
      <c r="I455" s="42" t="inlineStr">
        <is>
          <t>NOT_EVALUATED</t>
        </is>
      </c>
      <c r="J455" s="42" t="inlineStr">
        <is>
          <t>NO_DIRECT_STANDARD_MATRIX_IN_RETRIEVED_SOURCE</t>
        </is>
      </c>
      <c r="K455" s="42" t="str"/>
      <c r="L455" s="42" t="str"/>
      <c r="M455" s="42" t="str"/>
      <c r="N455" s="42" t="str"/>
      <c r="O455" s="42" t="inlineStr">
        <is>
          <t>現行公式資料でこの窓種のSAFE 30mil規格○/×を本Revisionでは直接取得できていない。推測しない。</t>
        </is>
      </c>
    </row>
    <row r="456">
      <c r="A456" s="42" t="inlineStr">
        <is>
          <t>SZ-SL-000455</t>
        </is>
      </c>
      <c r="B456" s="42" t="inlineStr">
        <is>
          <t>WT-SL-SHUTTER-HIKI</t>
        </is>
      </c>
      <c r="C456" s="42" t="inlineStr">
        <is>
          <t>シャッター付引違い窓</t>
        </is>
      </c>
      <c r="D456" s="42" t="inlineStr">
        <is>
          <t>SP-SL-SHUT-E-WIND</t>
        </is>
      </c>
      <c r="E456" s="42" t="inlineStr">
        <is>
          <t>25622-2</t>
        </is>
      </c>
      <c r="F456" s="42" t="inlineStr">
        <is>
          <t>2600</t>
        </is>
      </c>
      <c r="G456" s="42" t="inlineStr">
        <is>
          <t>2230</t>
        </is>
      </c>
      <c r="H456" s="42" t="inlineStr">
        <is>
          <t>True</t>
        </is>
      </c>
      <c r="I456" s="42" t="inlineStr">
        <is>
          <t>NOT_EVALUATED</t>
        </is>
      </c>
      <c r="J456" s="42" t="inlineStr">
        <is>
          <t>NO_DIRECT_STANDARD_MATRIX_IN_RETRIEVED_SOURCE</t>
        </is>
      </c>
      <c r="K456" s="42" t="str"/>
      <c r="L456" s="42" t="str"/>
      <c r="M456" s="42" t="str"/>
      <c r="N456" s="42" t="str"/>
      <c r="O456" s="42" t="inlineStr">
        <is>
          <t>現行公式資料でこの窓種のSAFE 30mil規格○/×を本Revisionでは直接取得できていない。推測しない。</t>
        </is>
      </c>
    </row>
    <row r="457">
      <c r="A457" s="42" t="inlineStr">
        <is>
          <t>SZ-SL-000456</t>
        </is>
      </c>
      <c r="B457" s="42" t="inlineStr">
        <is>
          <t>WT-SL-SHUTTER-HIKI</t>
        </is>
      </c>
      <c r="C457" s="42" t="inlineStr">
        <is>
          <t>シャッター付引違い窓</t>
        </is>
      </c>
      <c r="D457" s="42" t="inlineStr">
        <is>
          <t>SP-SL-SHUT-E-WIND</t>
        </is>
      </c>
      <c r="E457" s="42" t="inlineStr">
        <is>
          <t>25622-4</t>
        </is>
      </c>
      <c r="F457" s="42" t="inlineStr">
        <is>
          <t>2600</t>
        </is>
      </c>
      <c r="G457" s="42" t="inlineStr">
        <is>
          <t>2230</t>
        </is>
      </c>
      <c r="H457" s="42" t="inlineStr">
        <is>
          <t>True</t>
        </is>
      </c>
      <c r="I457" s="42" t="inlineStr">
        <is>
          <t>NOT_EVALUATED</t>
        </is>
      </c>
      <c r="J457" s="42" t="inlineStr">
        <is>
          <t>NO_DIRECT_STANDARD_MATRIX_IN_RETRIEVED_SOURCE</t>
        </is>
      </c>
      <c r="K457" s="42" t="str"/>
      <c r="L457" s="42" t="str"/>
      <c r="M457" s="42" t="str"/>
      <c r="N457" s="42" t="str"/>
      <c r="O457" s="42" t="inlineStr">
        <is>
          <t>現行公式資料でこの窓種のSAFE 30mil規格○/×を本Revisionでは直接取得できていない。推測しない。</t>
        </is>
      </c>
    </row>
    <row r="458">
      <c r="A458" s="42" t="inlineStr">
        <is>
          <t>SZ-SL-000457</t>
        </is>
      </c>
      <c r="B458" s="42" t="inlineStr">
        <is>
          <t>WT-SL-SHUTTER-HIKI</t>
        </is>
      </c>
      <c r="C458" s="42" t="inlineStr">
        <is>
          <t>シャッター付引違い窓</t>
        </is>
      </c>
      <c r="D458" s="42" t="inlineStr">
        <is>
          <t>SP-SL-SHUT-E-WIND</t>
        </is>
      </c>
      <c r="E458" s="42" t="inlineStr">
        <is>
          <t>25624-2</t>
        </is>
      </c>
      <c r="F458" s="42" t="inlineStr">
        <is>
          <t>2600</t>
        </is>
      </c>
      <c r="G458" s="42" t="inlineStr">
        <is>
          <t>2430</t>
        </is>
      </c>
      <c r="H458" s="42" t="inlineStr">
        <is>
          <t>False</t>
        </is>
      </c>
      <c r="I458" s="42" t="inlineStr">
        <is>
          <t>NOT_EVALUATED</t>
        </is>
      </c>
      <c r="J458" s="42" t="inlineStr">
        <is>
          <t>NO_DIRECT_STANDARD_MATRIX_IN_RETRIEVED_SOURCE</t>
        </is>
      </c>
      <c r="K458" s="42" t="str"/>
      <c r="L458" s="42" t="str"/>
      <c r="M458" s="42" t="str"/>
      <c r="N458" s="42" t="str"/>
      <c r="O458" s="42" t="inlineStr">
        <is>
          <t>現行公式資料でこの窓種のSAFE 30mil規格○/×を本Revisionでは直接取得できていない。推測しない。</t>
        </is>
      </c>
    </row>
    <row r="459">
      <c r="A459" s="42" t="inlineStr">
        <is>
          <t>SZ-SL-000458</t>
        </is>
      </c>
      <c r="B459" s="42" t="inlineStr">
        <is>
          <t>WT-SL-SHUTTER-HIKI</t>
        </is>
      </c>
      <c r="C459" s="42" t="inlineStr">
        <is>
          <t>シャッター付引違い窓</t>
        </is>
      </c>
      <c r="D459" s="42" t="inlineStr">
        <is>
          <t>SP-SL-SHUT-E-WIND</t>
        </is>
      </c>
      <c r="E459" s="42" t="inlineStr">
        <is>
          <t>25624-4</t>
        </is>
      </c>
      <c r="F459" s="42" t="inlineStr">
        <is>
          <t>2600</t>
        </is>
      </c>
      <c r="G459" s="42" t="inlineStr">
        <is>
          <t>2430</t>
        </is>
      </c>
      <c r="H459" s="42" t="inlineStr">
        <is>
          <t>False</t>
        </is>
      </c>
      <c r="I459" s="42" t="inlineStr">
        <is>
          <t>NOT_EVALUATED</t>
        </is>
      </c>
      <c r="J459" s="42" t="inlineStr">
        <is>
          <t>NO_DIRECT_STANDARD_MATRIX_IN_RETRIEVED_SOURCE</t>
        </is>
      </c>
      <c r="K459" s="42" t="str"/>
      <c r="L459" s="42" t="str"/>
      <c r="M459" s="42" t="str"/>
      <c r="N459" s="42" t="str"/>
      <c r="O459" s="42" t="inlineStr">
        <is>
          <t>現行公式資料でこの窓種のSAFE 30mil規格○/×を本Revisionでは直接取得できていない。推測しない。</t>
        </is>
      </c>
    </row>
    <row r="460">
      <c r="A460" s="42" t="inlineStr">
        <is>
          <t>SZ-SL-000459</t>
        </is>
      </c>
      <c r="B460" s="42" t="inlineStr">
        <is>
          <t>WT-SL-SHUTTER-HIKI</t>
        </is>
      </c>
      <c r="C460" s="42" t="inlineStr">
        <is>
          <t>シャッター付引違い窓</t>
        </is>
      </c>
      <c r="D460" s="42" t="inlineStr">
        <is>
          <t>SP-SL-SHUT-E-WIND</t>
        </is>
      </c>
      <c r="E460" s="42" t="inlineStr">
        <is>
          <t>34722</t>
        </is>
      </c>
      <c r="F460" s="42" t="inlineStr">
        <is>
          <t>3510</t>
        </is>
      </c>
      <c r="G460" s="42" t="inlineStr">
        <is>
          <t>2230</t>
        </is>
      </c>
      <c r="H460" s="42" t="inlineStr">
        <is>
          <t>False</t>
        </is>
      </c>
      <c r="I460" s="42" t="inlineStr">
        <is>
          <t>NOT_EVALUATED</t>
        </is>
      </c>
      <c r="J460" s="42" t="inlineStr">
        <is>
          <t>NO_DIRECT_STANDARD_MATRIX_IN_RETRIEVED_SOURCE</t>
        </is>
      </c>
      <c r="K460" s="42" t="str"/>
      <c r="L460" s="42" t="str"/>
      <c r="M460" s="42" t="str"/>
      <c r="N460" s="42" t="str"/>
      <c r="O460" s="42" t="inlineStr">
        <is>
          <t>現行公式資料でこの窓種のSAFE 30mil規格○/×を本Revisionでは直接取得できていない。推測しない。</t>
        </is>
      </c>
    </row>
    <row r="461">
      <c r="A461" s="42" t="inlineStr">
        <is>
          <t>SZ-SL-000460</t>
        </is>
      </c>
      <c r="B461" s="42" t="inlineStr">
        <is>
          <t>WT-SL-SHUTTER-HIKI</t>
        </is>
      </c>
      <c r="C461" s="42" t="inlineStr">
        <is>
          <t>シャッター付引違い窓</t>
        </is>
      </c>
      <c r="D461" s="42" t="inlineStr">
        <is>
          <t>SP-SL-SHUT-E-WIND</t>
        </is>
      </c>
      <c r="E461" s="42" t="inlineStr">
        <is>
          <t>34724</t>
        </is>
      </c>
      <c r="F461" s="42" t="inlineStr">
        <is>
          <t>3510</t>
        </is>
      </c>
      <c r="G461" s="42" t="inlineStr">
        <is>
          <t>2430</t>
        </is>
      </c>
      <c r="H461" s="42" t="inlineStr">
        <is>
          <t>False</t>
        </is>
      </c>
      <c r="I461" s="42" t="inlineStr">
        <is>
          <t>NOT_EVALUATED</t>
        </is>
      </c>
      <c r="J461" s="42" t="inlineStr">
        <is>
          <t>NO_DIRECT_STANDARD_MATRIX_IN_RETRIEVED_SOURCE</t>
        </is>
      </c>
      <c r="K461" s="42" t="str"/>
      <c r="L461" s="42" t="str"/>
      <c r="M461" s="42" t="str"/>
      <c r="N461" s="42" t="str"/>
      <c r="O461" s="42" t="inlineStr">
        <is>
          <t>現行公式資料でこの窓種のSAFE 30mil規格○/×を本Revisionでは直接取得できていない。推測しない。</t>
        </is>
      </c>
    </row>
    <row r="462">
      <c r="A462" s="42" t="inlineStr">
        <is>
          <t>SZ-SL-000461</t>
        </is>
      </c>
      <c r="B462" s="42" t="inlineStr">
        <is>
          <t>WT-SL-SHUTTER-HIKI</t>
        </is>
      </c>
      <c r="C462" s="42" t="inlineStr">
        <is>
          <t>シャッター付引違い窓</t>
        </is>
      </c>
      <c r="D462" s="42" t="inlineStr">
        <is>
          <t>SP-SL-SHUT-E-STD</t>
        </is>
      </c>
      <c r="E462" s="42" t="inlineStr">
        <is>
          <t>24318-2</t>
        </is>
      </c>
      <c r="F462" s="42" t="inlineStr">
        <is>
          <t>2470</t>
        </is>
      </c>
      <c r="G462" s="42" t="inlineStr">
        <is>
          <t>1830</t>
        </is>
      </c>
      <c r="H462" s="42" t="inlineStr">
        <is>
          <t>True</t>
        </is>
      </c>
      <c r="I462" s="42" t="inlineStr">
        <is>
          <t>NOT_EVALUATED</t>
        </is>
      </c>
      <c r="J462" s="42" t="inlineStr">
        <is>
          <t>NO_DIRECT_STANDARD_MATRIX_IN_RETRIEVED_SOURCE</t>
        </is>
      </c>
      <c r="K462" s="42" t="str"/>
      <c r="L462" s="42" t="str"/>
      <c r="M462" s="42" t="str"/>
      <c r="N462" s="42" t="str"/>
      <c r="O462" s="42" t="inlineStr">
        <is>
          <t>現行公式資料でこの窓種のSAFE 30mil規格○/×を本Revisionでは直接取得できていない。推測しない。</t>
        </is>
      </c>
    </row>
    <row r="463">
      <c r="A463" s="42" t="inlineStr">
        <is>
          <t>SZ-SL-000462</t>
        </is>
      </c>
      <c r="B463" s="42" t="inlineStr">
        <is>
          <t>WT-SL-SHUTTER-HIKI</t>
        </is>
      </c>
      <c r="C463" s="42" t="inlineStr">
        <is>
          <t>シャッター付引違い窓</t>
        </is>
      </c>
      <c r="D463" s="42" t="inlineStr">
        <is>
          <t>SP-SL-SHUT-E-STD</t>
        </is>
      </c>
      <c r="E463" s="42" t="inlineStr">
        <is>
          <t>24320-2</t>
        </is>
      </c>
      <c r="F463" s="42" t="inlineStr">
        <is>
          <t>2470</t>
        </is>
      </c>
      <c r="G463" s="42" t="inlineStr">
        <is>
          <t>2030</t>
        </is>
      </c>
      <c r="H463" s="42" t="inlineStr">
        <is>
          <t>True</t>
        </is>
      </c>
      <c r="I463" s="42" t="inlineStr">
        <is>
          <t>NOT_EVALUATED</t>
        </is>
      </c>
      <c r="J463" s="42" t="inlineStr">
        <is>
          <t>NO_DIRECT_STANDARD_MATRIX_IN_RETRIEVED_SOURCE</t>
        </is>
      </c>
      <c r="K463" s="42" t="str"/>
      <c r="L463" s="42" t="str"/>
      <c r="M463" s="42" t="str"/>
      <c r="N463" s="42" t="str"/>
      <c r="O463" s="42" t="inlineStr">
        <is>
          <t>現行公式資料でこの窓種のSAFE 30mil規格○/×を本Revisionでは直接取得できていない。推測しない。</t>
        </is>
      </c>
    </row>
    <row r="464">
      <c r="A464" s="42" t="inlineStr">
        <is>
          <t>SZ-SL-000463</t>
        </is>
      </c>
      <c r="B464" s="42" t="inlineStr">
        <is>
          <t>WT-SL-SHUTTER-HIKI</t>
        </is>
      </c>
      <c r="C464" s="42" t="inlineStr">
        <is>
          <t>シャッター付引違い窓</t>
        </is>
      </c>
      <c r="D464" s="42" t="inlineStr">
        <is>
          <t>SP-SL-SHUT-E-VENT</t>
        </is>
      </c>
      <c r="E464" s="42" t="inlineStr">
        <is>
          <t>24318-2</t>
        </is>
      </c>
      <c r="F464" s="42" t="inlineStr">
        <is>
          <t>2470</t>
        </is>
      </c>
      <c r="G464" s="42" t="inlineStr">
        <is>
          <t>1830</t>
        </is>
      </c>
      <c r="H464" s="42" t="inlineStr">
        <is>
          <t>True</t>
        </is>
      </c>
      <c r="I464" s="42" t="inlineStr">
        <is>
          <t>NOT_EVALUATED</t>
        </is>
      </c>
      <c r="J464" s="42" t="inlineStr">
        <is>
          <t>NO_DIRECT_STANDARD_MATRIX_IN_RETRIEVED_SOURCE</t>
        </is>
      </c>
      <c r="K464" s="42" t="str"/>
      <c r="L464" s="42" t="str"/>
      <c r="M464" s="42" t="str"/>
      <c r="N464" s="42" t="str"/>
      <c r="O464" s="42" t="inlineStr">
        <is>
          <t>現行公式資料でこの窓種のSAFE 30mil規格○/×を本Revisionでは直接取得できていない。推測しない。</t>
        </is>
      </c>
    </row>
    <row r="465">
      <c r="A465" s="42" t="inlineStr">
        <is>
          <t>SZ-SL-000464</t>
        </is>
      </c>
      <c r="B465" s="42" t="inlineStr">
        <is>
          <t>WT-SL-SHUTTER-HIKI</t>
        </is>
      </c>
      <c r="C465" s="42" t="inlineStr">
        <is>
          <t>シャッター付引違い窓</t>
        </is>
      </c>
      <c r="D465" s="42" t="inlineStr">
        <is>
          <t>SP-SL-SHUT-E-VENT</t>
        </is>
      </c>
      <c r="E465" s="42" t="inlineStr">
        <is>
          <t>24320-2</t>
        </is>
      </c>
      <c r="F465" s="42" t="inlineStr">
        <is>
          <t>2470</t>
        </is>
      </c>
      <c r="G465" s="42" t="inlineStr">
        <is>
          <t>2030</t>
        </is>
      </c>
      <c r="H465" s="42" t="inlineStr">
        <is>
          <t>True</t>
        </is>
      </c>
      <c r="I465" s="42" t="inlineStr">
        <is>
          <t>NOT_EVALUATED</t>
        </is>
      </c>
      <c r="J465" s="42" t="inlineStr">
        <is>
          <t>NO_DIRECT_STANDARD_MATRIX_IN_RETRIEVED_SOURCE</t>
        </is>
      </c>
      <c r="K465" s="42" t="str"/>
      <c r="L465" s="42" t="str"/>
      <c r="M465" s="42" t="str"/>
      <c r="N465" s="42" t="str"/>
      <c r="O465" s="42" t="inlineStr">
        <is>
          <t>現行公式資料でこの窓種のSAFE 30mil規格○/×を本Revisionでは直接取得できていない。推測しない。</t>
        </is>
      </c>
    </row>
    <row r="466">
      <c r="A466" s="42" t="inlineStr">
        <is>
          <t>SZ-SL-000465</t>
        </is>
      </c>
      <c r="B466" s="42" t="inlineStr">
        <is>
          <t>WT-SL-SHUTTER-HIKI</t>
        </is>
      </c>
      <c r="C466" s="42" t="inlineStr">
        <is>
          <t>シャッター付引違い窓</t>
        </is>
      </c>
      <c r="D466" s="42" t="inlineStr">
        <is>
          <t>SP-SL-SHUT-E-WIND</t>
        </is>
      </c>
      <c r="E466" s="42" t="inlineStr">
        <is>
          <t>24318-2</t>
        </is>
      </c>
      <c r="F466" s="42" t="inlineStr">
        <is>
          <t>2470</t>
        </is>
      </c>
      <c r="G466" s="42" t="inlineStr">
        <is>
          <t>1830</t>
        </is>
      </c>
      <c r="H466" s="42" t="inlineStr">
        <is>
          <t>True</t>
        </is>
      </c>
      <c r="I466" s="42" t="inlineStr">
        <is>
          <t>NOT_EVALUATED</t>
        </is>
      </c>
      <c r="J466" s="42" t="inlineStr">
        <is>
          <t>NO_DIRECT_STANDARD_MATRIX_IN_RETRIEVED_SOURCE</t>
        </is>
      </c>
      <c r="K466" s="42" t="str"/>
      <c r="L466" s="42" t="str"/>
      <c r="M466" s="42" t="str"/>
      <c r="N466" s="42" t="str"/>
      <c r="O466" s="42" t="inlineStr">
        <is>
          <t>現行公式資料でこの窓種のSAFE 30mil規格○/×を本Revisionでは直接取得できていない。推測しない。</t>
        </is>
      </c>
    </row>
    <row r="467">
      <c r="A467" s="42" t="inlineStr">
        <is>
          <t>SZ-SL-000466</t>
        </is>
      </c>
      <c r="B467" s="42" t="inlineStr">
        <is>
          <t>WT-SL-SHUTTER-HIKI</t>
        </is>
      </c>
      <c r="C467" s="42" t="inlineStr">
        <is>
          <t>シャッター付引違い窓</t>
        </is>
      </c>
      <c r="D467" s="42" t="inlineStr">
        <is>
          <t>SP-SL-SHUT-E-WIND</t>
        </is>
      </c>
      <c r="E467" s="42" t="inlineStr">
        <is>
          <t>24320-2</t>
        </is>
      </c>
      <c r="F467" s="42" t="inlineStr">
        <is>
          <t>2470</t>
        </is>
      </c>
      <c r="G467" s="42" t="inlineStr">
        <is>
          <t>2030</t>
        </is>
      </c>
      <c r="H467" s="42" t="inlineStr">
        <is>
          <t>True</t>
        </is>
      </c>
      <c r="I467" s="42" t="inlineStr">
        <is>
          <t>NOT_EVALUATED</t>
        </is>
      </c>
      <c r="J467" s="42" t="inlineStr">
        <is>
          <t>NO_DIRECT_STANDARD_MATRIX_IN_RETRIEVED_SOURCE</t>
        </is>
      </c>
      <c r="K467" s="42" t="str"/>
      <c r="L467" s="42" t="str"/>
      <c r="M467" s="42" t="str"/>
      <c r="N467" s="42" t="str"/>
      <c r="O467" s="42" t="inlineStr">
        <is>
          <t>現行公式資料でこの窓種のSAFE 30mil規格○/×を本Revisionでは直接取得できていない。推測しない。</t>
        </is>
      </c>
    </row>
    <row r="468">
      <c r="A468" s="42" t="inlineStr">
        <is>
          <t>SZ-SL-000467</t>
        </is>
      </c>
      <c r="B468" s="42" t="inlineStr">
        <is>
          <t>WT-SL-SHUTTER-HIKI</t>
        </is>
      </c>
      <c r="C468" s="42" t="inlineStr">
        <is>
          <t>シャッター付引違い窓</t>
        </is>
      </c>
      <c r="D468" s="42" t="inlineStr">
        <is>
          <t>SP-SL-SHUT-E-STD</t>
        </is>
      </c>
      <c r="E468" s="42" t="inlineStr">
        <is>
          <t>24322-2</t>
        </is>
      </c>
      <c r="F468" s="42" t="inlineStr">
        <is>
          <t>2470</t>
        </is>
      </c>
      <c r="G468" s="42" t="inlineStr">
        <is>
          <t>2230</t>
        </is>
      </c>
      <c r="H468" s="42" t="inlineStr">
        <is>
          <t>True</t>
        </is>
      </c>
      <c r="I468" s="42" t="inlineStr">
        <is>
          <t>NOT_EVALUATED</t>
        </is>
      </c>
      <c r="J468" s="42" t="inlineStr">
        <is>
          <t>NO_DIRECT_STANDARD_MATRIX_IN_RETRIEVED_SOURCE</t>
        </is>
      </c>
      <c r="K468" s="42" t="str"/>
      <c r="L468" s="42" t="str"/>
      <c r="M468" s="42" t="str"/>
      <c r="N468" s="42" t="str"/>
      <c r="O468" s="42" t="inlineStr">
        <is>
          <t>現行公式資料でこの窓種のSAFE 30mil規格○/×を本Revisionでは直接取得できていない。推測しない。</t>
        </is>
      </c>
    </row>
    <row r="469">
      <c r="A469" s="42" t="inlineStr">
        <is>
          <t>SZ-SL-000468</t>
        </is>
      </c>
      <c r="B469" s="42" t="inlineStr">
        <is>
          <t>WT-SL-SHUTTER-HIKI</t>
        </is>
      </c>
      <c r="C469" s="42" t="inlineStr">
        <is>
          <t>シャッター付引違い窓</t>
        </is>
      </c>
      <c r="D469" s="42" t="inlineStr">
        <is>
          <t>SP-SL-SHUT-E-STD</t>
        </is>
      </c>
      <c r="E469" s="42" t="inlineStr">
        <is>
          <t>24324-2</t>
        </is>
      </c>
      <c r="F469" s="42" t="inlineStr">
        <is>
          <t>2470</t>
        </is>
      </c>
      <c r="G469" s="42" t="inlineStr">
        <is>
          <t>2430</t>
        </is>
      </c>
      <c r="H469" s="42" t="inlineStr">
        <is>
          <t>True</t>
        </is>
      </c>
      <c r="I469" s="42" t="inlineStr">
        <is>
          <t>NOT_EVALUATED</t>
        </is>
      </c>
      <c r="J469" s="42" t="inlineStr">
        <is>
          <t>NO_DIRECT_STANDARD_MATRIX_IN_RETRIEVED_SOURCE</t>
        </is>
      </c>
      <c r="K469" s="42" t="str"/>
      <c r="L469" s="42" t="str"/>
      <c r="M469" s="42" t="str"/>
      <c r="N469" s="42" t="str"/>
      <c r="O469" s="42" t="inlineStr">
        <is>
          <t>現行公式資料でこの窓種のSAFE 30mil規格○/×を本Revisionでは直接取得できていない。推測しない。</t>
        </is>
      </c>
    </row>
    <row r="470">
      <c r="A470" s="42" t="inlineStr">
        <is>
          <t>SZ-SL-000469</t>
        </is>
      </c>
      <c r="B470" s="42" t="inlineStr">
        <is>
          <t>WT-SL-SHUTTER-HIKI</t>
        </is>
      </c>
      <c r="C470" s="42" t="inlineStr">
        <is>
          <t>シャッター付引違い窓</t>
        </is>
      </c>
      <c r="D470" s="42" t="inlineStr">
        <is>
          <t>SP-SL-SHUT-E-VENT</t>
        </is>
      </c>
      <c r="E470" s="42" t="inlineStr">
        <is>
          <t>24322-2</t>
        </is>
      </c>
      <c r="F470" s="42" t="inlineStr">
        <is>
          <t>2470</t>
        </is>
      </c>
      <c r="G470" s="42" t="inlineStr">
        <is>
          <t>2230</t>
        </is>
      </c>
      <c r="H470" s="42" t="inlineStr">
        <is>
          <t>True</t>
        </is>
      </c>
      <c r="I470" s="42" t="inlineStr">
        <is>
          <t>NOT_EVALUATED</t>
        </is>
      </c>
      <c r="J470" s="42" t="inlineStr">
        <is>
          <t>NO_DIRECT_STANDARD_MATRIX_IN_RETRIEVED_SOURCE</t>
        </is>
      </c>
      <c r="K470" s="42" t="str"/>
      <c r="L470" s="42" t="str"/>
      <c r="M470" s="42" t="str"/>
      <c r="N470" s="42" t="str"/>
      <c r="O470" s="42" t="inlineStr">
        <is>
          <t>現行公式資料でこの窓種のSAFE 30mil規格○/×を本Revisionでは直接取得できていない。推測しない。</t>
        </is>
      </c>
    </row>
    <row r="471">
      <c r="A471" s="42" t="inlineStr">
        <is>
          <t>SZ-SL-000470</t>
        </is>
      </c>
      <c r="B471" s="42" t="inlineStr">
        <is>
          <t>WT-SL-SHUTTER-HIKI</t>
        </is>
      </c>
      <c r="C471" s="42" t="inlineStr">
        <is>
          <t>シャッター付引違い窓</t>
        </is>
      </c>
      <c r="D471" s="42" t="inlineStr">
        <is>
          <t>SP-SL-SHUT-E-VENT</t>
        </is>
      </c>
      <c r="E471" s="42" t="inlineStr">
        <is>
          <t>24324-2</t>
        </is>
      </c>
      <c r="F471" s="42" t="inlineStr">
        <is>
          <t>2470</t>
        </is>
      </c>
      <c r="G471" s="42" t="inlineStr">
        <is>
          <t>2430</t>
        </is>
      </c>
      <c r="H471" s="42" t="inlineStr">
        <is>
          <t>False</t>
        </is>
      </c>
      <c r="I471" s="42" t="inlineStr">
        <is>
          <t>NOT_EVALUATED</t>
        </is>
      </c>
      <c r="J471" s="42" t="inlineStr">
        <is>
          <t>NO_DIRECT_STANDARD_MATRIX_IN_RETRIEVED_SOURCE</t>
        </is>
      </c>
      <c r="K471" s="42" t="str"/>
      <c r="L471" s="42" t="str"/>
      <c r="M471" s="42" t="str"/>
      <c r="N471" s="42" t="str"/>
      <c r="O471" s="42" t="inlineStr">
        <is>
          <t>現行公式資料でこの窓種のSAFE 30mil規格○/×を本Revisionでは直接取得できていない。推測しない。</t>
        </is>
      </c>
    </row>
    <row r="472">
      <c r="A472" s="42" t="inlineStr">
        <is>
          <t>SZ-SL-000471</t>
        </is>
      </c>
      <c r="B472" s="42" t="inlineStr">
        <is>
          <t>WT-SL-SHUTTER-HIKI</t>
        </is>
      </c>
      <c r="C472" s="42" t="inlineStr">
        <is>
          <t>シャッター付引違い窓</t>
        </is>
      </c>
      <c r="D472" s="42" t="inlineStr">
        <is>
          <t>SP-SL-SHUT-E-WIND</t>
        </is>
      </c>
      <c r="E472" s="42" t="inlineStr">
        <is>
          <t>24322-2</t>
        </is>
      </c>
      <c r="F472" s="42" t="inlineStr">
        <is>
          <t>2470</t>
        </is>
      </c>
      <c r="G472" s="42" t="inlineStr">
        <is>
          <t>2230</t>
        </is>
      </c>
      <c r="H472" s="42" t="inlineStr">
        <is>
          <t>True</t>
        </is>
      </c>
      <c r="I472" s="42" t="inlineStr">
        <is>
          <t>NOT_EVALUATED</t>
        </is>
      </c>
      <c r="J472" s="42" t="inlineStr">
        <is>
          <t>NO_DIRECT_STANDARD_MATRIX_IN_RETRIEVED_SOURCE</t>
        </is>
      </c>
      <c r="K472" s="42" t="str"/>
      <c r="L472" s="42" t="str"/>
      <c r="M472" s="42" t="str"/>
      <c r="N472" s="42" t="str"/>
      <c r="O472" s="42" t="inlineStr">
        <is>
          <t>現行公式資料でこの窓種のSAFE 30mil規格○/×を本Revisionでは直接取得できていない。推測しない。</t>
        </is>
      </c>
    </row>
    <row r="473">
      <c r="A473" s="42" t="inlineStr">
        <is>
          <t>SZ-SL-000472</t>
        </is>
      </c>
      <c r="B473" s="42" t="inlineStr">
        <is>
          <t>WT-SL-SHUTTER-HIKI</t>
        </is>
      </c>
      <c r="C473" s="42" t="inlineStr">
        <is>
          <t>シャッター付引違い窓</t>
        </is>
      </c>
      <c r="D473" s="42" t="inlineStr">
        <is>
          <t>SP-SL-SHUT-E-WIND</t>
        </is>
      </c>
      <c r="E473" s="42" t="inlineStr">
        <is>
          <t>24324-2</t>
        </is>
      </c>
      <c r="F473" s="42" t="inlineStr">
        <is>
          <t>2470</t>
        </is>
      </c>
      <c r="G473" s="42" t="inlineStr">
        <is>
          <t>2430</t>
        </is>
      </c>
      <c r="H473" s="42" t="inlineStr">
        <is>
          <t>False</t>
        </is>
      </c>
      <c r="I473" s="42" t="inlineStr">
        <is>
          <t>NOT_EVALUATED</t>
        </is>
      </c>
      <c r="J473" s="42" t="inlineStr">
        <is>
          <t>NO_DIRECT_STANDARD_MATRIX_IN_RETRIEVED_SOURCE</t>
        </is>
      </c>
      <c r="K473" s="42" t="str"/>
      <c r="L473" s="42" t="str"/>
      <c r="M473" s="42" t="str"/>
      <c r="N473" s="42" t="str"/>
      <c r="O473" s="42" t="inlineStr">
        <is>
          <t>現行公式資料でこの窓種のSAFE 30mil規格○/×を本Revisionでは直接取得できていない。推測しない。</t>
        </is>
      </c>
    </row>
    <row r="474">
      <c r="A474" s="42" t="inlineStr">
        <is>
          <t>SZ-SL-000473</t>
        </is>
      </c>
      <c r="B474" s="42" t="inlineStr">
        <is>
          <t>WT-SL-SHUTTER-HIKI</t>
        </is>
      </c>
      <c r="C474" s="42" t="inlineStr">
        <is>
          <t>シャッター付引違い窓</t>
        </is>
      </c>
      <c r="D474" s="42" t="inlineStr">
        <is>
          <t>SP-SL-SHUT-M-STD</t>
        </is>
      </c>
      <c r="E474" s="42" t="inlineStr">
        <is>
          <t>17809</t>
        </is>
      </c>
      <c r="F474" s="42" t="inlineStr">
        <is>
          <t>1820</t>
        </is>
      </c>
      <c r="G474" s="42" t="inlineStr">
        <is>
          <t>970</t>
        </is>
      </c>
      <c r="H474" s="42" t="inlineStr">
        <is>
          <t>True</t>
        </is>
      </c>
      <c r="I474" s="42" t="inlineStr">
        <is>
          <t>NOT_EVALUATED</t>
        </is>
      </c>
      <c r="J474" s="42" t="inlineStr">
        <is>
          <t>NO_DIRECT_STANDARD_MATRIX_IN_RETRIEVED_SOURCE</t>
        </is>
      </c>
      <c r="K474" s="42" t="str"/>
      <c r="L474" s="42" t="str"/>
      <c r="M474" s="42" t="str"/>
      <c r="N474" s="42" t="str"/>
      <c r="O474" s="42" t="inlineStr">
        <is>
          <t>現行公式資料でこの窓種のSAFE 30mil規格○/×を本Revisionでは直接取得できていない。推測しない。</t>
        </is>
      </c>
    </row>
    <row r="475">
      <c r="A475" s="42" t="inlineStr">
        <is>
          <t>SZ-SL-000474</t>
        </is>
      </c>
      <c r="B475" s="42" t="inlineStr">
        <is>
          <t>WT-SL-SHUTTER-HIKI</t>
        </is>
      </c>
      <c r="C475" s="42" t="inlineStr">
        <is>
          <t>シャッター付引違い窓</t>
        </is>
      </c>
      <c r="D475" s="42" t="inlineStr">
        <is>
          <t>SP-SL-SHUT-M-STD</t>
        </is>
      </c>
      <c r="E475" s="42" t="inlineStr">
        <is>
          <t>17811</t>
        </is>
      </c>
      <c r="F475" s="42" t="inlineStr">
        <is>
          <t>1820</t>
        </is>
      </c>
      <c r="G475" s="42" t="inlineStr">
        <is>
          <t>1170</t>
        </is>
      </c>
      <c r="H475" s="42" t="inlineStr">
        <is>
          <t>True</t>
        </is>
      </c>
      <c r="I475" s="42" t="inlineStr">
        <is>
          <t>NOT_EVALUATED</t>
        </is>
      </c>
      <c r="J475" s="42" t="inlineStr">
        <is>
          <t>NO_DIRECT_STANDARD_MATRIX_IN_RETRIEVED_SOURCE</t>
        </is>
      </c>
      <c r="K475" s="42" t="str"/>
      <c r="L475" s="42" t="str"/>
      <c r="M475" s="42" t="str"/>
      <c r="N475" s="42" t="str"/>
      <c r="O475" s="42" t="inlineStr">
        <is>
          <t>現行公式資料でこの窓種のSAFE 30mil規格○/×を本Revisionでは直接取得できていない。推測しない。</t>
        </is>
      </c>
    </row>
    <row r="476">
      <c r="A476" s="42" t="inlineStr">
        <is>
          <t>SZ-SL-000475</t>
        </is>
      </c>
      <c r="B476" s="42" t="inlineStr">
        <is>
          <t>WT-SL-SHUTTER-HIKI</t>
        </is>
      </c>
      <c r="C476" s="42" t="inlineStr">
        <is>
          <t>シャッター付引違い窓</t>
        </is>
      </c>
      <c r="D476" s="42" t="inlineStr">
        <is>
          <t>SP-SL-SHUT-M-STD</t>
        </is>
      </c>
      <c r="E476" s="42" t="inlineStr">
        <is>
          <t>17813</t>
        </is>
      </c>
      <c r="F476" s="42" t="inlineStr">
        <is>
          <t>1820</t>
        </is>
      </c>
      <c r="G476" s="42" t="inlineStr">
        <is>
          <t>1370</t>
        </is>
      </c>
      <c r="H476" s="42" t="inlineStr">
        <is>
          <t>True</t>
        </is>
      </c>
      <c r="I476" s="42" t="inlineStr">
        <is>
          <t>NOT_EVALUATED</t>
        </is>
      </c>
      <c r="J476" s="42" t="inlineStr">
        <is>
          <t>NO_DIRECT_STANDARD_MATRIX_IN_RETRIEVED_SOURCE</t>
        </is>
      </c>
      <c r="K476" s="42" t="str"/>
      <c r="L476" s="42" t="str"/>
      <c r="M476" s="42" t="str"/>
      <c r="N476" s="42" t="str"/>
      <c r="O476" s="42" t="inlineStr">
        <is>
          <t>現行公式資料でこの窓種のSAFE 30mil規格○/×を本Revisionでは直接取得できていない。推測しない。</t>
        </is>
      </c>
    </row>
    <row r="477">
      <c r="A477" s="42" t="inlineStr">
        <is>
          <t>SZ-SL-000476</t>
        </is>
      </c>
      <c r="B477" s="42" t="inlineStr">
        <is>
          <t>WT-SL-SHUTTER-HIKI</t>
        </is>
      </c>
      <c r="C477" s="42" t="inlineStr">
        <is>
          <t>シャッター付引違い窓</t>
        </is>
      </c>
      <c r="D477" s="42" t="inlineStr">
        <is>
          <t>SP-SL-SHUT-M-STD</t>
        </is>
      </c>
      <c r="E477" s="42" t="inlineStr">
        <is>
          <t>18309</t>
        </is>
      </c>
      <c r="F477" s="42" t="inlineStr">
        <is>
          <t>1870</t>
        </is>
      </c>
      <c r="G477" s="42" t="inlineStr">
        <is>
          <t>970</t>
        </is>
      </c>
      <c r="H477" s="42" t="inlineStr">
        <is>
          <t>True</t>
        </is>
      </c>
      <c r="I477" s="42" t="inlineStr">
        <is>
          <t>NOT_EVALUATED</t>
        </is>
      </c>
      <c r="J477" s="42" t="inlineStr">
        <is>
          <t>NO_DIRECT_STANDARD_MATRIX_IN_RETRIEVED_SOURCE</t>
        </is>
      </c>
      <c r="K477" s="42" t="str"/>
      <c r="L477" s="42" t="str"/>
      <c r="M477" s="42" t="str"/>
      <c r="N477" s="42" t="str"/>
      <c r="O477" s="42" t="inlineStr">
        <is>
          <t>現行公式資料でこの窓種のSAFE 30mil規格○/×を本Revisionでは直接取得できていない。推測しない。</t>
        </is>
      </c>
    </row>
    <row r="478">
      <c r="A478" s="42" t="inlineStr">
        <is>
          <t>SZ-SL-000477</t>
        </is>
      </c>
      <c r="B478" s="42" t="inlineStr">
        <is>
          <t>WT-SL-SHUTTER-HIKI</t>
        </is>
      </c>
      <c r="C478" s="42" t="inlineStr">
        <is>
          <t>シャッター付引違い窓</t>
        </is>
      </c>
      <c r="D478" s="42" t="inlineStr">
        <is>
          <t>SP-SL-SHUT-M-STD</t>
        </is>
      </c>
      <c r="E478" s="42" t="inlineStr">
        <is>
          <t>18311</t>
        </is>
      </c>
      <c r="F478" s="42" t="inlineStr">
        <is>
          <t>1870</t>
        </is>
      </c>
      <c r="G478" s="42" t="inlineStr">
        <is>
          <t>1170</t>
        </is>
      </c>
      <c r="H478" s="42" t="inlineStr">
        <is>
          <t>True</t>
        </is>
      </c>
      <c r="I478" s="42" t="inlineStr">
        <is>
          <t>NOT_EVALUATED</t>
        </is>
      </c>
      <c r="J478" s="42" t="inlineStr">
        <is>
          <t>NO_DIRECT_STANDARD_MATRIX_IN_RETRIEVED_SOURCE</t>
        </is>
      </c>
      <c r="K478" s="42" t="str"/>
      <c r="L478" s="42" t="str"/>
      <c r="M478" s="42" t="str"/>
      <c r="N478" s="42" t="str"/>
      <c r="O478" s="42" t="inlineStr">
        <is>
          <t>現行公式資料でこの窓種のSAFE 30mil規格○/×を本Revisionでは直接取得できていない。推測しない。</t>
        </is>
      </c>
    </row>
    <row r="479">
      <c r="A479" s="42" t="inlineStr">
        <is>
          <t>SZ-SL-000478</t>
        </is>
      </c>
      <c r="B479" s="42" t="inlineStr">
        <is>
          <t>WT-SL-SHUTTER-HIKI</t>
        </is>
      </c>
      <c r="C479" s="42" t="inlineStr">
        <is>
          <t>シャッター付引違い窓</t>
        </is>
      </c>
      <c r="D479" s="42" t="inlineStr">
        <is>
          <t>SP-SL-SHUT-M-STD</t>
        </is>
      </c>
      <c r="E479" s="42" t="inlineStr">
        <is>
          <t>18313</t>
        </is>
      </c>
      <c r="F479" s="42" t="inlineStr">
        <is>
          <t>1870</t>
        </is>
      </c>
      <c r="G479" s="42" t="inlineStr">
        <is>
          <t>1370</t>
        </is>
      </c>
      <c r="H479" s="42" t="inlineStr">
        <is>
          <t>True</t>
        </is>
      </c>
      <c r="I479" s="42" t="inlineStr">
        <is>
          <t>NOT_EVALUATED</t>
        </is>
      </c>
      <c r="J479" s="42" t="inlineStr">
        <is>
          <t>NO_DIRECT_STANDARD_MATRIX_IN_RETRIEVED_SOURCE</t>
        </is>
      </c>
      <c r="K479" s="42" t="str"/>
      <c r="L479" s="42" t="str"/>
      <c r="M479" s="42" t="str"/>
      <c r="N479" s="42" t="str"/>
      <c r="O479" s="42" t="inlineStr">
        <is>
          <t>現行公式資料でこの窓種のSAFE 30mil規格○/×を本Revisionでは直接取得できていない。推測しない。</t>
        </is>
      </c>
    </row>
    <row r="480">
      <c r="A480" s="42" t="inlineStr">
        <is>
          <t>SZ-SL-000479</t>
        </is>
      </c>
      <c r="B480" s="42" t="inlineStr">
        <is>
          <t>WT-SL-SHUTTER-HIKI</t>
        </is>
      </c>
      <c r="C480" s="42" t="inlineStr">
        <is>
          <t>シャッター付引違い窓</t>
        </is>
      </c>
      <c r="D480" s="42" t="inlineStr">
        <is>
          <t>SP-SL-SHUT-M-WIND</t>
        </is>
      </c>
      <c r="E480" s="42" t="inlineStr">
        <is>
          <t>17809</t>
        </is>
      </c>
      <c r="F480" s="42" t="inlineStr">
        <is>
          <t>1820</t>
        </is>
      </c>
      <c r="G480" s="42" t="inlineStr">
        <is>
          <t>970</t>
        </is>
      </c>
      <c r="H480" s="42" t="inlineStr">
        <is>
          <t>False</t>
        </is>
      </c>
      <c r="I480" s="42" t="inlineStr">
        <is>
          <t>NOT_EVALUATED</t>
        </is>
      </c>
      <c r="J480" s="42" t="inlineStr">
        <is>
          <t>NO_DIRECT_STANDARD_MATRIX_IN_RETRIEVED_SOURCE</t>
        </is>
      </c>
      <c r="K480" s="42" t="str"/>
      <c r="L480" s="42" t="str"/>
      <c r="M480" s="42" t="str"/>
      <c r="N480" s="42" t="str"/>
      <c r="O480" s="42" t="inlineStr">
        <is>
          <t>現行公式資料でこの窓種のSAFE 30mil規格○/×を本Revisionでは直接取得できていない。推測しない。</t>
        </is>
      </c>
    </row>
    <row r="481">
      <c r="A481" s="42" t="inlineStr">
        <is>
          <t>SZ-SL-000480</t>
        </is>
      </c>
      <c r="B481" s="42" t="inlineStr">
        <is>
          <t>WT-SL-SHUTTER-HIKI</t>
        </is>
      </c>
      <c r="C481" s="42" t="inlineStr">
        <is>
          <t>シャッター付引違い窓</t>
        </is>
      </c>
      <c r="D481" s="42" t="inlineStr">
        <is>
          <t>SP-SL-SHUT-M-WIND</t>
        </is>
      </c>
      <c r="E481" s="42" t="inlineStr">
        <is>
          <t>17811</t>
        </is>
      </c>
      <c r="F481" s="42" t="inlineStr">
        <is>
          <t>1820</t>
        </is>
      </c>
      <c r="G481" s="42" t="inlineStr">
        <is>
          <t>1170</t>
        </is>
      </c>
      <c r="H481" s="42" t="inlineStr">
        <is>
          <t>False</t>
        </is>
      </c>
      <c r="I481" s="42" t="inlineStr">
        <is>
          <t>NOT_EVALUATED</t>
        </is>
      </c>
      <c r="J481" s="42" t="inlineStr">
        <is>
          <t>NO_DIRECT_STANDARD_MATRIX_IN_RETRIEVED_SOURCE</t>
        </is>
      </c>
      <c r="K481" s="42" t="str"/>
      <c r="L481" s="42" t="str"/>
      <c r="M481" s="42" t="str"/>
      <c r="N481" s="42" t="str"/>
      <c r="O481" s="42" t="inlineStr">
        <is>
          <t>現行公式資料でこの窓種のSAFE 30mil規格○/×を本Revisionでは直接取得できていない。推測しない。</t>
        </is>
      </c>
    </row>
    <row r="482">
      <c r="A482" s="42" t="inlineStr">
        <is>
          <t>SZ-SL-000481</t>
        </is>
      </c>
      <c r="B482" s="42" t="inlineStr">
        <is>
          <t>WT-SL-SHUTTER-HIKI</t>
        </is>
      </c>
      <c r="C482" s="42" t="inlineStr">
        <is>
          <t>シャッター付引違い窓</t>
        </is>
      </c>
      <c r="D482" s="42" t="inlineStr">
        <is>
          <t>SP-SL-SHUT-M-WIND</t>
        </is>
      </c>
      <c r="E482" s="42" t="inlineStr">
        <is>
          <t>17813</t>
        </is>
      </c>
      <c r="F482" s="42" t="inlineStr">
        <is>
          <t>1820</t>
        </is>
      </c>
      <c r="G482" s="42" t="inlineStr">
        <is>
          <t>1370</t>
        </is>
      </c>
      <c r="H482" s="42" t="inlineStr">
        <is>
          <t>False</t>
        </is>
      </c>
      <c r="I482" s="42" t="inlineStr">
        <is>
          <t>NOT_EVALUATED</t>
        </is>
      </c>
      <c r="J482" s="42" t="inlineStr">
        <is>
          <t>NO_DIRECT_STANDARD_MATRIX_IN_RETRIEVED_SOURCE</t>
        </is>
      </c>
      <c r="K482" s="42" t="str"/>
      <c r="L482" s="42" t="str"/>
      <c r="M482" s="42" t="str"/>
      <c r="N482" s="42" t="str"/>
      <c r="O482" s="42" t="inlineStr">
        <is>
          <t>現行公式資料でこの窓種のSAFE 30mil規格○/×を本Revisionでは直接取得できていない。推測しない。</t>
        </is>
      </c>
    </row>
    <row r="483">
      <c r="A483" s="42" t="inlineStr">
        <is>
          <t>SZ-SL-000482</t>
        </is>
      </c>
      <c r="B483" s="42" t="inlineStr">
        <is>
          <t>WT-SL-SHUTTER-HIKI</t>
        </is>
      </c>
      <c r="C483" s="42" t="inlineStr">
        <is>
          <t>シャッター付引違い窓</t>
        </is>
      </c>
      <c r="D483" s="42" t="inlineStr">
        <is>
          <t>SP-SL-SHUT-M-WIND</t>
        </is>
      </c>
      <c r="E483" s="42" t="inlineStr">
        <is>
          <t>18309</t>
        </is>
      </c>
      <c r="F483" s="42" t="inlineStr">
        <is>
          <t>1870</t>
        </is>
      </c>
      <c r="G483" s="42" t="inlineStr">
        <is>
          <t>970</t>
        </is>
      </c>
      <c r="H483" s="42" t="inlineStr">
        <is>
          <t>False</t>
        </is>
      </c>
      <c r="I483" s="42" t="inlineStr">
        <is>
          <t>NOT_EVALUATED</t>
        </is>
      </c>
      <c r="J483" s="42" t="inlineStr">
        <is>
          <t>NO_DIRECT_STANDARD_MATRIX_IN_RETRIEVED_SOURCE</t>
        </is>
      </c>
      <c r="K483" s="42" t="str"/>
      <c r="L483" s="42" t="str"/>
      <c r="M483" s="42" t="str"/>
      <c r="N483" s="42" t="str"/>
      <c r="O483" s="42" t="inlineStr">
        <is>
          <t>現行公式資料でこの窓種のSAFE 30mil規格○/×を本Revisionでは直接取得できていない。推測しない。</t>
        </is>
      </c>
    </row>
    <row r="484">
      <c r="A484" s="42" t="inlineStr">
        <is>
          <t>SZ-SL-000483</t>
        </is>
      </c>
      <c r="B484" s="42" t="inlineStr">
        <is>
          <t>WT-SL-SHUTTER-HIKI</t>
        </is>
      </c>
      <c r="C484" s="42" t="inlineStr">
        <is>
          <t>シャッター付引違い窓</t>
        </is>
      </c>
      <c r="D484" s="42" t="inlineStr">
        <is>
          <t>SP-SL-SHUT-M-WIND</t>
        </is>
      </c>
      <c r="E484" s="42" t="inlineStr">
        <is>
          <t>18311</t>
        </is>
      </c>
      <c r="F484" s="42" t="inlineStr">
        <is>
          <t>1870</t>
        </is>
      </c>
      <c r="G484" s="42" t="inlineStr">
        <is>
          <t>1170</t>
        </is>
      </c>
      <c r="H484" s="42" t="inlineStr">
        <is>
          <t>False</t>
        </is>
      </c>
      <c r="I484" s="42" t="inlineStr">
        <is>
          <t>NOT_EVALUATED</t>
        </is>
      </c>
      <c r="J484" s="42" t="inlineStr">
        <is>
          <t>NO_DIRECT_STANDARD_MATRIX_IN_RETRIEVED_SOURCE</t>
        </is>
      </c>
      <c r="K484" s="42" t="str"/>
      <c r="L484" s="42" t="str"/>
      <c r="M484" s="42" t="str"/>
      <c r="N484" s="42" t="str"/>
      <c r="O484" s="42" t="inlineStr">
        <is>
          <t>現行公式資料でこの窓種のSAFE 30mil規格○/×を本Revisionでは直接取得できていない。推測しない。</t>
        </is>
      </c>
    </row>
    <row r="485">
      <c r="A485" s="42" t="inlineStr">
        <is>
          <t>SZ-SL-000484</t>
        </is>
      </c>
      <c r="B485" s="42" t="inlineStr">
        <is>
          <t>WT-SL-SHUTTER-HIKI</t>
        </is>
      </c>
      <c r="C485" s="42" t="inlineStr">
        <is>
          <t>シャッター付引違い窓</t>
        </is>
      </c>
      <c r="D485" s="42" t="inlineStr">
        <is>
          <t>SP-SL-SHUT-M-WIND</t>
        </is>
      </c>
      <c r="E485" s="42" t="inlineStr">
        <is>
          <t>18313</t>
        </is>
      </c>
      <c r="F485" s="42" t="inlineStr">
        <is>
          <t>1870</t>
        </is>
      </c>
      <c r="G485" s="42" t="inlineStr">
        <is>
          <t>1370</t>
        </is>
      </c>
      <c r="H485" s="42" t="inlineStr">
        <is>
          <t>False</t>
        </is>
      </c>
      <c r="I485" s="42" t="inlineStr">
        <is>
          <t>NOT_EVALUATED</t>
        </is>
      </c>
      <c r="J485" s="42" t="inlineStr">
        <is>
          <t>NO_DIRECT_STANDARD_MATRIX_IN_RETRIEVED_SOURCE</t>
        </is>
      </c>
      <c r="K485" s="42" t="str"/>
      <c r="L485" s="42" t="str"/>
      <c r="M485" s="42" t="str"/>
      <c r="N485" s="42" t="str"/>
      <c r="O485" s="42" t="inlineStr">
        <is>
          <t>現行公式資料でこの窓種のSAFE 30mil規格○/×を本Revisionでは直接取得できていない。推測しない。</t>
        </is>
      </c>
    </row>
    <row r="486">
      <c r="A486" s="42" t="inlineStr">
        <is>
          <t>SZ-SL-000485</t>
        </is>
      </c>
      <c r="B486" s="42" t="inlineStr">
        <is>
          <t>WT-SL-SHUTTER-HIKI</t>
        </is>
      </c>
      <c r="C486" s="42" t="inlineStr">
        <is>
          <t>シャッター付引違い窓</t>
        </is>
      </c>
      <c r="D486" s="42" t="inlineStr">
        <is>
          <t>SP-SL-SHUT-M-STD</t>
        </is>
      </c>
      <c r="E486" s="42" t="inlineStr">
        <is>
          <t>17818</t>
        </is>
      </c>
      <c r="F486" s="42" t="inlineStr">
        <is>
          <t>1820</t>
        </is>
      </c>
      <c r="G486" s="42" t="inlineStr">
        <is>
          <t>1830</t>
        </is>
      </c>
      <c r="H486" s="42" t="inlineStr">
        <is>
          <t>True</t>
        </is>
      </c>
      <c r="I486" s="42" t="inlineStr">
        <is>
          <t>NOT_EVALUATED</t>
        </is>
      </c>
      <c r="J486" s="42" t="inlineStr">
        <is>
          <t>NO_DIRECT_STANDARD_MATRIX_IN_RETRIEVED_SOURCE</t>
        </is>
      </c>
      <c r="K486" s="42" t="str"/>
      <c r="L486" s="42" t="str"/>
      <c r="M486" s="42" t="str"/>
      <c r="N486" s="42" t="str"/>
      <c r="O486" s="42" t="inlineStr">
        <is>
          <t>現行公式資料でこの窓種のSAFE 30mil規格○/×を本Revisionでは直接取得できていない。推測しない。</t>
        </is>
      </c>
    </row>
    <row r="487">
      <c r="A487" s="42" t="inlineStr">
        <is>
          <t>SZ-SL-000486</t>
        </is>
      </c>
      <c r="B487" s="42" t="inlineStr">
        <is>
          <t>WT-SL-SHUTTER-HIKI</t>
        </is>
      </c>
      <c r="C487" s="42" t="inlineStr">
        <is>
          <t>シャッター付引違い窓</t>
        </is>
      </c>
      <c r="D487" s="42" t="inlineStr">
        <is>
          <t>SP-SL-SHUT-M-STD</t>
        </is>
      </c>
      <c r="E487" s="42" t="inlineStr">
        <is>
          <t>17820</t>
        </is>
      </c>
      <c r="F487" s="42" t="inlineStr">
        <is>
          <t>1820</t>
        </is>
      </c>
      <c r="G487" s="42" t="inlineStr">
        <is>
          <t>2030</t>
        </is>
      </c>
      <c r="H487" s="42" t="inlineStr">
        <is>
          <t>True</t>
        </is>
      </c>
      <c r="I487" s="42" t="inlineStr">
        <is>
          <t>NOT_EVALUATED</t>
        </is>
      </c>
      <c r="J487" s="42" t="inlineStr">
        <is>
          <t>NO_DIRECT_STANDARD_MATRIX_IN_RETRIEVED_SOURCE</t>
        </is>
      </c>
      <c r="K487" s="42" t="str"/>
      <c r="L487" s="42" t="str"/>
      <c r="M487" s="42" t="str"/>
      <c r="N487" s="42" t="str"/>
      <c r="O487" s="42" t="inlineStr">
        <is>
          <t>現行公式資料でこの窓種のSAFE 30mil規格○/×を本Revisionでは直接取得できていない。推測しない。</t>
        </is>
      </c>
    </row>
    <row r="488">
      <c r="A488" s="42" t="inlineStr">
        <is>
          <t>SZ-SL-000487</t>
        </is>
      </c>
      <c r="B488" s="42" t="inlineStr">
        <is>
          <t>WT-SL-SHUTTER-HIKI</t>
        </is>
      </c>
      <c r="C488" s="42" t="inlineStr">
        <is>
          <t>シャッター付引違い窓</t>
        </is>
      </c>
      <c r="D488" s="42" t="inlineStr">
        <is>
          <t>SP-SL-SHUT-M-STD</t>
        </is>
      </c>
      <c r="E488" s="42" t="inlineStr">
        <is>
          <t>17822</t>
        </is>
      </c>
      <c r="F488" s="42" t="inlineStr">
        <is>
          <t>1820</t>
        </is>
      </c>
      <c r="G488" s="42" t="inlineStr">
        <is>
          <t>2230</t>
        </is>
      </c>
      <c r="H488" s="42" t="inlineStr">
        <is>
          <t>True</t>
        </is>
      </c>
      <c r="I488" s="42" t="inlineStr">
        <is>
          <t>NOT_EVALUATED</t>
        </is>
      </c>
      <c r="J488" s="42" t="inlineStr">
        <is>
          <t>NO_DIRECT_STANDARD_MATRIX_IN_RETRIEVED_SOURCE</t>
        </is>
      </c>
      <c r="K488" s="42" t="str"/>
      <c r="L488" s="42" t="str"/>
      <c r="M488" s="42" t="str"/>
      <c r="N488" s="42" t="str"/>
      <c r="O488" s="42" t="inlineStr">
        <is>
          <t>現行公式資料でこの窓種のSAFE 30mil規格○/×を本Revisionでは直接取得できていない。推測しない。</t>
        </is>
      </c>
    </row>
    <row r="489">
      <c r="A489" s="42" t="inlineStr">
        <is>
          <t>SZ-SL-000488</t>
        </is>
      </c>
      <c r="B489" s="42" t="inlineStr">
        <is>
          <t>WT-SL-SHUTTER-HIKI</t>
        </is>
      </c>
      <c r="C489" s="42" t="inlineStr">
        <is>
          <t>シャッター付引違い窓</t>
        </is>
      </c>
      <c r="D489" s="42" t="inlineStr">
        <is>
          <t>SP-SL-SHUT-M-WIND</t>
        </is>
      </c>
      <c r="E489" s="42" t="inlineStr">
        <is>
          <t>17818</t>
        </is>
      </c>
      <c r="F489" s="42" t="inlineStr">
        <is>
          <t>1820</t>
        </is>
      </c>
      <c r="G489" s="42" t="inlineStr">
        <is>
          <t>1830</t>
        </is>
      </c>
      <c r="H489" s="42" t="inlineStr">
        <is>
          <t>False</t>
        </is>
      </c>
      <c r="I489" s="42" t="inlineStr">
        <is>
          <t>NOT_EVALUATED</t>
        </is>
      </c>
      <c r="J489" s="42" t="inlineStr">
        <is>
          <t>NO_DIRECT_STANDARD_MATRIX_IN_RETRIEVED_SOURCE</t>
        </is>
      </c>
      <c r="K489" s="42" t="str"/>
      <c r="L489" s="42" t="str"/>
      <c r="M489" s="42" t="str"/>
      <c r="N489" s="42" t="str"/>
      <c r="O489" s="42" t="inlineStr">
        <is>
          <t>現行公式資料でこの窓種のSAFE 30mil規格○/×を本Revisionでは直接取得できていない。推測しない。</t>
        </is>
      </c>
    </row>
    <row r="490">
      <c r="A490" s="42" t="inlineStr">
        <is>
          <t>SZ-SL-000489</t>
        </is>
      </c>
      <c r="B490" s="42" t="inlineStr">
        <is>
          <t>WT-SL-SHUTTER-HIKI</t>
        </is>
      </c>
      <c r="C490" s="42" t="inlineStr">
        <is>
          <t>シャッター付引違い窓</t>
        </is>
      </c>
      <c r="D490" s="42" t="inlineStr">
        <is>
          <t>SP-SL-SHUT-M-WIND</t>
        </is>
      </c>
      <c r="E490" s="42" t="inlineStr">
        <is>
          <t>17820</t>
        </is>
      </c>
      <c r="F490" s="42" t="inlineStr">
        <is>
          <t>1820</t>
        </is>
      </c>
      <c r="G490" s="42" t="inlineStr">
        <is>
          <t>2030</t>
        </is>
      </c>
      <c r="H490" s="42" t="inlineStr">
        <is>
          <t>False</t>
        </is>
      </c>
      <c r="I490" s="42" t="inlineStr">
        <is>
          <t>NOT_EVALUATED</t>
        </is>
      </c>
      <c r="J490" s="42" t="inlineStr">
        <is>
          <t>NO_DIRECT_STANDARD_MATRIX_IN_RETRIEVED_SOURCE</t>
        </is>
      </c>
      <c r="K490" s="42" t="str"/>
      <c r="L490" s="42" t="str"/>
      <c r="M490" s="42" t="str"/>
      <c r="N490" s="42" t="str"/>
      <c r="O490" s="42" t="inlineStr">
        <is>
          <t>現行公式資料でこの窓種のSAFE 30mil規格○/×を本Revisionでは直接取得できていない。推測しない。</t>
        </is>
      </c>
    </row>
    <row r="491">
      <c r="A491" s="42" t="inlineStr">
        <is>
          <t>SZ-SL-000490</t>
        </is>
      </c>
      <c r="B491" s="42" t="inlineStr">
        <is>
          <t>WT-SL-SHUTTER-HIKI</t>
        </is>
      </c>
      <c r="C491" s="42" t="inlineStr">
        <is>
          <t>シャッター付引違い窓</t>
        </is>
      </c>
      <c r="D491" s="42" t="inlineStr">
        <is>
          <t>SP-SL-SHUT-M-WIND</t>
        </is>
      </c>
      <c r="E491" s="42" t="inlineStr">
        <is>
          <t>17822</t>
        </is>
      </c>
      <c r="F491" s="42" t="inlineStr">
        <is>
          <t>1820</t>
        </is>
      </c>
      <c r="G491" s="42" t="inlineStr">
        <is>
          <t>2230</t>
        </is>
      </c>
      <c r="H491" s="42" t="inlineStr">
        <is>
          <t>False</t>
        </is>
      </c>
      <c r="I491" s="42" t="inlineStr">
        <is>
          <t>NOT_EVALUATED</t>
        </is>
      </c>
      <c r="J491" s="42" t="inlineStr">
        <is>
          <t>NO_DIRECT_STANDARD_MATRIX_IN_RETRIEVED_SOURCE</t>
        </is>
      </c>
      <c r="K491" s="42" t="str"/>
      <c r="L491" s="42" t="str"/>
      <c r="M491" s="42" t="str"/>
      <c r="N491" s="42" t="str"/>
      <c r="O491" s="42" t="inlineStr">
        <is>
          <t>現行公式資料でこの窓種のSAFE 30mil規格○/×を本Revisionでは直接取得できていない。推測しない。</t>
        </is>
      </c>
    </row>
    <row r="492">
      <c r="A492" s="42" t="inlineStr">
        <is>
          <t>SZ-SL-000491</t>
        </is>
      </c>
      <c r="B492" s="42" t="inlineStr">
        <is>
          <t>WT-SL-SHUTTER-HIKI</t>
        </is>
      </c>
      <c r="C492" s="42" t="inlineStr">
        <is>
          <t>シャッター付引違い窓</t>
        </is>
      </c>
      <c r="D492" s="42" t="inlineStr">
        <is>
          <t>SP-SL-SHUT-M-STD</t>
        </is>
      </c>
      <c r="E492" s="42" t="inlineStr">
        <is>
          <t>18318</t>
        </is>
      </c>
      <c r="F492" s="42" t="inlineStr">
        <is>
          <t>1870</t>
        </is>
      </c>
      <c r="G492" s="42" t="inlineStr">
        <is>
          <t>1830</t>
        </is>
      </c>
      <c r="H492" s="42" t="inlineStr">
        <is>
          <t>True</t>
        </is>
      </c>
      <c r="I492" s="42" t="inlineStr">
        <is>
          <t>NOT_EVALUATED</t>
        </is>
      </c>
      <c r="J492" s="42" t="inlineStr">
        <is>
          <t>NO_DIRECT_STANDARD_MATRIX_IN_RETRIEVED_SOURCE</t>
        </is>
      </c>
      <c r="K492" s="42" t="str"/>
      <c r="L492" s="42" t="str"/>
      <c r="M492" s="42" t="str"/>
      <c r="N492" s="42" t="str"/>
      <c r="O492" s="42" t="inlineStr">
        <is>
          <t>現行公式資料でこの窓種のSAFE 30mil規格○/×を本Revisionでは直接取得できていない。推測しない。</t>
        </is>
      </c>
    </row>
    <row r="493">
      <c r="A493" s="42" t="inlineStr">
        <is>
          <t>SZ-SL-000492</t>
        </is>
      </c>
      <c r="B493" s="42" t="inlineStr">
        <is>
          <t>WT-SL-SHUTTER-HIKI</t>
        </is>
      </c>
      <c r="C493" s="42" t="inlineStr">
        <is>
          <t>シャッター付引違い窓</t>
        </is>
      </c>
      <c r="D493" s="42" t="inlineStr">
        <is>
          <t>SP-SL-SHUT-M-STD</t>
        </is>
      </c>
      <c r="E493" s="42" t="inlineStr">
        <is>
          <t>18320</t>
        </is>
      </c>
      <c r="F493" s="42" t="inlineStr">
        <is>
          <t>1870</t>
        </is>
      </c>
      <c r="G493" s="42" t="inlineStr">
        <is>
          <t>2030</t>
        </is>
      </c>
      <c r="H493" s="42" t="inlineStr">
        <is>
          <t>True</t>
        </is>
      </c>
      <c r="I493" s="42" t="inlineStr">
        <is>
          <t>NOT_EVALUATED</t>
        </is>
      </c>
      <c r="J493" s="42" t="inlineStr">
        <is>
          <t>NO_DIRECT_STANDARD_MATRIX_IN_RETRIEVED_SOURCE</t>
        </is>
      </c>
      <c r="K493" s="42" t="str"/>
      <c r="L493" s="42" t="str"/>
      <c r="M493" s="42" t="str"/>
      <c r="N493" s="42" t="str"/>
      <c r="O493" s="42" t="inlineStr">
        <is>
          <t>現行公式資料でこの窓種のSAFE 30mil規格○/×を本Revisionでは直接取得できていない。推測しない。</t>
        </is>
      </c>
    </row>
    <row r="494">
      <c r="A494" s="42" t="inlineStr">
        <is>
          <t>SZ-SL-000493</t>
        </is>
      </c>
      <c r="B494" s="42" t="inlineStr">
        <is>
          <t>WT-SL-SHUTTER-HIKI</t>
        </is>
      </c>
      <c r="C494" s="42" t="inlineStr">
        <is>
          <t>シャッター付引違い窓</t>
        </is>
      </c>
      <c r="D494" s="42" t="inlineStr">
        <is>
          <t>SP-SL-SHUT-M-STD</t>
        </is>
      </c>
      <c r="E494" s="42" t="inlineStr">
        <is>
          <t>18322</t>
        </is>
      </c>
      <c r="F494" s="42" t="inlineStr">
        <is>
          <t>1870</t>
        </is>
      </c>
      <c r="G494" s="42" t="inlineStr">
        <is>
          <t>2230</t>
        </is>
      </c>
      <c r="H494" s="42" t="inlineStr">
        <is>
          <t>True</t>
        </is>
      </c>
      <c r="I494" s="42" t="inlineStr">
        <is>
          <t>NOT_EVALUATED</t>
        </is>
      </c>
      <c r="J494" s="42" t="inlineStr">
        <is>
          <t>NO_DIRECT_STANDARD_MATRIX_IN_RETRIEVED_SOURCE</t>
        </is>
      </c>
      <c r="K494" s="42" t="str"/>
      <c r="L494" s="42" t="str"/>
      <c r="M494" s="42" t="str"/>
      <c r="N494" s="42" t="str"/>
      <c r="O494" s="42" t="inlineStr">
        <is>
          <t>現行公式資料でこの窓種のSAFE 30mil規格○/×を本Revisionでは直接取得できていない。推測しない。</t>
        </is>
      </c>
    </row>
    <row r="495">
      <c r="A495" s="42" t="inlineStr">
        <is>
          <t>SZ-SL-000494</t>
        </is>
      </c>
      <c r="B495" s="42" t="inlineStr">
        <is>
          <t>WT-SL-SHUTTER-HIKI</t>
        </is>
      </c>
      <c r="C495" s="42" t="inlineStr">
        <is>
          <t>シャッター付引違い窓</t>
        </is>
      </c>
      <c r="D495" s="42" t="inlineStr">
        <is>
          <t>SP-SL-SHUT-M-WIND</t>
        </is>
      </c>
      <c r="E495" s="42" t="inlineStr">
        <is>
          <t>18318</t>
        </is>
      </c>
      <c r="F495" s="42" t="inlineStr">
        <is>
          <t>1870</t>
        </is>
      </c>
      <c r="G495" s="42" t="inlineStr">
        <is>
          <t>1830</t>
        </is>
      </c>
      <c r="H495" s="42" t="inlineStr">
        <is>
          <t>False</t>
        </is>
      </c>
      <c r="I495" s="42" t="inlineStr">
        <is>
          <t>NOT_EVALUATED</t>
        </is>
      </c>
      <c r="J495" s="42" t="inlineStr">
        <is>
          <t>NO_DIRECT_STANDARD_MATRIX_IN_RETRIEVED_SOURCE</t>
        </is>
      </c>
      <c r="K495" s="42" t="str"/>
      <c r="L495" s="42" t="str"/>
      <c r="M495" s="42" t="str"/>
      <c r="N495" s="42" t="str"/>
      <c r="O495" s="42" t="inlineStr">
        <is>
          <t>現行公式資料でこの窓種のSAFE 30mil規格○/×を本Revisionでは直接取得できていない。推測しない。</t>
        </is>
      </c>
    </row>
    <row r="496">
      <c r="A496" s="42" t="inlineStr">
        <is>
          <t>SZ-SL-000495</t>
        </is>
      </c>
      <c r="B496" s="42" t="inlineStr">
        <is>
          <t>WT-SL-SHUTTER-HIKI</t>
        </is>
      </c>
      <c r="C496" s="42" t="inlineStr">
        <is>
          <t>シャッター付引違い窓</t>
        </is>
      </c>
      <c r="D496" s="42" t="inlineStr">
        <is>
          <t>SP-SL-SHUT-M-WIND</t>
        </is>
      </c>
      <c r="E496" s="42" t="inlineStr">
        <is>
          <t>18320</t>
        </is>
      </c>
      <c r="F496" s="42" t="inlineStr">
        <is>
          <t>1870</t>
        </is>
      </c>
      <c r="G496" s="42" t="inlineStr">
        <is>
          <t>2030</t>
        </is>
      </c>
      <c r="H496" s="42" t="inlineStr">
        <is>
          <t>False</t>
        </is>
      </c>
      <c r="I496" s="42" t="inlineStr">
        <is>
          <t>NOT_EVALUATED</t>
        </is>
      </c>
      <c r="J496" s="42" t="inlineStr">
        <is>
          <t>NO_DIRECT_STANDARD_MATRIX_IN_RETRIEVED_SOURCE</t>
        </is>
      </c>
      <c r="K496" s="42" t="str"/>
      <c r="L496" s="42" t="str"/>
      <c r="M496" s="42" t="str"/>
      <c r="N496" s="42" t="str"/>
      <c r="O496" s="42" t="inlineStr">
        <is>
          <t>現行公式資料でこの窓種のSAFE 30mil規格○/×を本Revisionでは直接取得できていない。推測しない。</t>
        </is>
      </c>
    </row>
    <row r="497">
      <c r="A497" s="42" t="inlineStr">
        <is>
          <t>SZ-SL-000496</t>
        </is>
      </c>
      <c r="B497" s="42" t="inlineStr">
        <is>
          <t>WT-SL-SHUTTER-HIKI</t>
        </is>
      </c>
      <c r="C497" s="42" t="inlineStr">
        <is>
          <t>シャッター付引違い窓</t>
        </is>
      </c>
      <c r="D497" s="42" t="inlineStr">
        <is>
          <t>SP-SL-SHUT-M-WIND</t>
        </is>
      </c>
      <c r="E497" s="42" t="inlineStr">
        <is>
          <t>18322</t>
        </is>
      </c>
      <c r="F497" s="42" t="inlineStr">
        <is>
          <t>1870</t>
        </is>
      </c>
      <c r="G497" s="42" t="inlineStr">
        <is>
          <t>2230</t>
        </is>
      </c>
      <c r="H497" s="42" t="inlineStr">
        <is>
          <t>False</t>
        </is>
      </c>
      <c r="I497" s="42" t="inlineStr">
        <is>
          <t>NOT_EVALUATED</t>
        </is>
      </c>
      <c r="J497" s="42" t="inlineStr">
        <is>
          <t>NO_DIRECT_STANDARD_MATRIX_IN_RETRIEVED_SOURCE</t>
        </is>
      </c>
      <c r="K497" s="42" t="str"/>
      <c r="L497" s="42" t="str"/>
      <c r="M497" s="42" t="str"/>
      <c r="N497" s="42" t="str"/>
      <c r="O497" s="42" t="inlineStr">
        <is>
          <t>現行公式資料でこの窓種のSAFE 30mil規格○/×を本Revisionでは直接取得できていない。推測しない。</t>
        </is>
      </c>
    </row>
    <row r="498">
      <c r="A498" s="42" t="inlineStr">
        <is>
          <t>SZ-SL-000497</t>
        </is>
      </c>
      <c r="B498" s="42" t="inlineStr">
        <is>
          <t>WT-SL-AMADO-HIKI</t>
        </is>
      </c>
      <c r="C498" s="42" t="inlineStr">
        <is>
          <t>雨戸付引違い窓</t>
        </is>
      </c>
      <c r="D498" s="42" t="str"/>
      <c r="E498" s="42" t="inlineStr">
        <is>
          <t>11409</t>
        </is>
      </c>
      <c r="F498" s="42" t="inlineStr">
        <is>
          <t>1185</t>
        </is>
      </c>
      <c r="G498" s="42" t="inlineStr">
        <is>
          <t>970</t>
        </is>
      </c>
      <c r="H498" s="42" t="inlineStr">
        <is>
          <t>True</t>
        </is>
      </c>
      <c r="I498" s="42" t="inlineStr">
        <is>
          <t>ALLOWED</t>
        </is>
      </c>
      <c r="J498" s="42" t="inlineStr">
        <is>
          <t>DIRECT_OFFICIAL_STANDARD_ROW</t>
        </is>
      </c>
      <c r="K498" s="42" t="inlineStr">
        <is>
          <t>SDC0003156</t>
        </is>
      </c>
      <c r="L498" s="42" t="inlineStr">
        <is>
          <t>マド2枚建 (201910～)</t>
        </is>
      </c>
      <c r="M498" s="42" t="inlineStr">
        <is>
          <t>34</t>
        </is>
      </c>
      <c r="N498" s="42" t="inlineStr">
        <is>
          <t>11409</t>
        </is>
      </c>
      <c r="O498" s="42" t="inlineStr">
        <is>
          <t>防犯建物部品欄の30mil構成を規格呼称へ直接突合。</t>
        </is>
      </c>
    </row>
    <row r="499">
      <c r="A499" s="42" t="inlineStr">
        <is>
          <t>SZ-SL-000498</t>
        </is>
      </c>
      <c r="B499" s="42" t="inlineStr">
        <is>
          <t>WT-SL-AMADO-HIKI</t>
        </is>
      </c>
      <c r="C499" s="42" t="inlineStr">
        <is>
          <t>雨戸付引違い窓</t>
        </is>
      </c>
      <c r="D499" s="42" t="str"/>
      <c r="E499" s="42" t="inlineStr">
        <is>
          <t>11411</t>
        </is>
      </c>
      <c r="F499" s="42" t="inlineStr">
        <is>
          <t>1185</t>
        </is>
      </c>
      <c r="G499" s="42" t="inlineStr">
        <is>
          <t>1170</t>
        </is>
      </c>
      <c r="H499" s="42" t="inlineStr">
        <is>
          <t>True</t>
        </is>
      </c>
      <c r="I499" s="42" t="inlineStr">
        <is>
          <t>ALLOWED</t>
        </is>
      </c>
      <c r="J499" s="42" t="inlineStr">
        <is>
          <t>DIRECT_OFFICIAL_STANDARD_ROW</t>
        </is>
      </c>
      <c r="K499" s="42" t="inlineStr">
        <is>
          <t>SDC0003156</t>
        </is>
      </c>
      <c r="L499" s="42" t="inlineStr">
        <is>
          <t>マド2枚建 (201910～)</t>
        </is>
      </c>
      <c r="M499" s="42" t="inlineStr">
        <is>
          <t>35</t>
        </is>
      </c>
      <c r="N499" s="42" t="inlineStr">
        <is>
          <t>11411</t>
        </is>
      </c>
      <c r="O499" s="42" t="inlineStr">
        <is>
          <t>防犯建物部品欄の30mil構成を規格呼称へ直接突合。</t>
        </is>
      </c>
    </row>
    <row r="500">
      <c r="A500" s="42" t="inlineStr">
        <is>
          <t>SZ-SL-000499</t>
        </is>
      </c>
      <c r="B500" s="42" t="inlineStr">
        <is>
          <t>WT-SL-AMADO-HIKI</t>
        </is>
      </c>
      <c r="C500" s="42" t="inlineStr">
        <is>
          <t>雨戸付引違い窓</t>
        </is>
      </c>
      <c r="D500" s="42" t="str"/>
      <c r="E500" s="42" t="inlineStr">
        <is>
          <t>11909</t>
        </is>
      </c>
      <c r="F500" s="42" t="inlineStr">
        <is>
          <t>1235</t>
        </is>
      </c>
      <c r="G500" s="42" t="inlineStr">
        <is>
          <t>970</t>
        </is>
      </c>
      <c r="H500" s="42" t="inlineStr">
        <is>
          <t>True</t>
        </is>
      </c>
      <c r="I500" s="42" t="inlineStr">
        <is>
          <t>ALLOWED</t>
        </is>
      </c>
      <c r="J500" s="42" t="inlineStr">
        <is>
          <t>DIRECT_OFFICIAL_STANDARD_ROW</t>
        </is>
      </c>
      <c r="K500" s="42" t="inlineStr">
        <is>
          <t>SDC0003156</t>
        </is>
      </c>
      <c r="L500" s="42" t="inlineStr">
        <is>
          <t>マド2枚建 (201910～)</t>
        </is>
      </c>
      <c r="M500" s="42" t="inlineStr">
        <is>
          <t>40</t>
        </is>
      </c>
      <c r="N500" s="42" t="inlineStr">
        <is>
          <t>11909</t>
        </is>
      </c>
      <c r="O500" s="42" t="inlineStr">
        <is>
          <t>防犯建物部品欄の30mil構成を規格呼称へ直接突合。</t>
        </is>
      </c>
    </row>
    <row r="501">
      <c r="A501" s="42" t="inlineStr">
        <is>
          <t>SZ-SL-000500</t>
        </is>
      </c>
      <c r="B501" s="42" t="inlineStr">
        <is>
          <t>WT-SL-AMADO-HIKI</t>
        </is>
      </c>
      <c r="C501" s="42" t="inlineStr">
        <is>
          <t>雨戸付引違い窓</t>
        </is>
      </c>
      <c r="D501" s="42" t="str"/>
      <c r="E501" s="42" t="inlineStr">
        <is>
          <t>11911</t>
        </is>
      </c>
      <c r="F501" s="42" t="inlineStr">
        <is>
          <t>1235</t>
        </is>
      </c>
      <c r="G501" s="42" t="inlineStr">
        <is>
          <t>1170</t>
        </is>
      </c>
      <c r="H501" s="42" t="inlineStr">
        <is>
          <t>True</t>
        </is>
      </c>
      <c r="I501" s="42" t="inlineStr">
        <is>
          <t>ALLOWED</t>
        </is>
      </c>
      <c r="J501" s="42" t="inlineStr">
        <is>
          <t>DIRECT_OFFICIAL_STANDARD_ROW</t>
        </is>
      </c>
      <c r="K501" s="42" t="inlineStr">
        <is>
          <t>SDC0003156</t>
        </is>
      </c>
      <c r="L501" s="42" t="inlineStr">
        <is>
          <t>マド2枚建 (201910～)</t>
        </is>
      </c>
      <c r="M501" s="42" t="inlineStr">
        <is>
          <t>41</t>
        </is>
      </c>
      <c r="N501" s="42" t="inlineStr">
        <is>
          <t>11911</t>
        </is>
      </c>
      <c r="O501" s="42" t="inlineStr">
        <is>
          <t>防犯建物部品欄の30mil構成を規格呼称へ直接突合。</t>
        </is>
      </c>
    </row>
    <row r="502">
      <c r="A502" s="42" t="inlineStr">
        <is>
          <t>SZ-SL-000501</t>
        </is>
      </c>
      <c r="B502" s="42" t="inlineStr">
        <is>
          <t>WT-SL-AMADO-HIKI</t>
        </is>
      </c>
      <c r="C502" s="42" t="inlineStr">
        <is>
          <t>雨戸付引違い窓</t>
        </is>
      </c>
      <c r="D502" s="42" t="str"/>
      <c r="E502" s="42" t="inlineStr">
        <is>
          <t>12809</t>
        </is>
      </c>
      <c r="F502" s="42" t="inlineStr">
        <is>
          <t>1320</t>
        </is>
      </c>
      <c r="G502" s="42" t="inlineStr">
        <is>
          <t>970</t>
        </is>
      </c>
      <c r="H502" s="42" t="inlineStr">
        <is>
          <t>True</t>
        </is>
      </c>
      <c r="I502" s="42" t="inlineStr">
        <is>
          <t>ALLOWED</t>
        </is>
      </c>
      <c r="J502" s="42" t="inlineStr">
        <is>
          <t>DIRECT_OFFICIAL_STANDARD_ROW</t>
        </is>
      </c>
      <c r="K502" s="42" t="inlineStr">
        <is>
          <t>SDC0003156</t>
        </is>
      </c>
      <c r="L502" s="42" t="inlineStr">
        <is>
          <t>マド2枚建 (201910～)</t>
        </is>
      </c>
      <c r="M502" s="42" t="inlineStr">
        <is>
          <t>45</t>
        </is>
      </c>
      <c r="N502" s="42" t="inlineStr">
        <is>
          <t>12809</t>
        </is>
      </c>
      <c r="O502" s="42" t="inlineStr">
        <is>
          <t>防犯建物部品欄の30mil構成を規格呼称へ直接突合。</t>
        </is>
      </c>
    </row>
    <row r="503">
      <c r="A503" s="42" t="inlineStr">
        <is>
          <t>SZ-SL-000502</t>
        </is>
      </c>
      <c r="B503" s="42" t="inlineStr">
        <is>
          <t>WT-SL-AMADO-HIKI</t>
        </is>
      </c>
      <c r="C503" s="42" t="inlineStr">
        <is>
          <t>雨戸付引違い窓</t>
        </is>
      </c>
      <c r="D503" s="42" t="str"/>
      <c r="E503" s="42" t="inlineStr">
        <is>
          <t>12811</t>
        </is>
      </c>
      <c r="F503" s="42" t="inlineStr">
        <is>
          <t>1320</t>
        </is>
      </c>
      <c r="G503" s="42" t="inlineStr">
        <is>
          <t>1170</t>
        </is>
      </c>
      <c r="H503" s="42" t="inlineStr">
        <is>
          <t>True</t>
        </is>
      </c>
      <c r="I503" s="42" t="inlineStr">
        <is>
          <t>ALLOWED</t>
        </is>
      </c>
      <c r="J503" s="42" t="inlineStr">
        <is>
          <t>DIRECT_OFFICIAL_STANDARD_ROW</t>
        </is>
      </c>
      <c r="K503" s="42" t="inlineStr">
        <is>
          <t>SDC0003156</t>
        </is>
      </c>
      <c r="L503" s="42" t="inlineStr">
        <is>
          <t>マド2枚建 (201910～)</t>
        </is>
      </c>
      <c r="M503" s="42" t="inlineStr">
        <is>
          <t>46</t>
        </is>
      </c>
      <c r="N503" s="42" t="inlineStr">
        <is>
          <t>12811</t>
        </is>
      </c>
      <c r="O503" s="42" t="inlineStr">
        <is>
          <t>防犯建物部品欄の30mil構成を規格呼称へ直接突合。</t>
        </is>
      </c>
    </row>
    <row r="504">
      <c r="A504" s="42" t="inlineStr">
        <is>
          <t>SZ-SL-000503</t>
        </is>
      </c>
      <c r="B504" s="42" t="inlineStr">
        <is>
          <t>WT-SL-AMADO-HIKI</t>
        </is>
      </c>
      <c r="C504" s="42" t="inlineStr">
        <is>
          <t>雨戸付引違い窓</t>
        </is>
      </c>
      <c r="D504" s="42" t="str"/>
      <c r="E504" s="42" t="inlineStr">
        <is>
          <t>13309</t>
        </is>
      </c>
      <c r="F504" s="42" t="inlineStr">
        <is>
          <t>1370</t>
        </is>
      </c>
      <c r="G504" s="42" t="inlineStr">
        <is>
          <t>970</t>
        </is>
      </c>
      <c r="H504" s="42" t="inlineStr">
        <is>
          <t>True</t>
        </is>
      </c>
      <c r="I504" s="42" t="inlineStr">
        <is>
          <t>ALLOWED</t>
        </is>
      </c>
      <c r="J504" s="42" t="inlineStr">
        <is>
          <t>DIRECT_OFFICIAL_STANDARD_ROW</t>
        </is>
      </c>
      <c r="K504" s="42" t="inlineStr">
        <is>
          <t>SDC0003156</t>
        </is>
      </c>
      <c r="L504" s="42" t="inlineStr">
        <is>
          <t>マド2枚建 (201910～)</t>
        </is>
      </c>
      <c r="M504" s="42" t="inlineStr">
        <is>
          <t>50</t>
        </is>
      </c>
      <c r="N504" s="42" t="inlineStr">
        <is>
          <t>13309</t>
        </is>
      </c>
      <c r="O504" s="42" t="inlineStr">
        <is>
          <t>防犯建物部品欄の30mil構成を規格呼称へ直接突合。</t>
        </is>
      </c>
    </row>
    <row r="505">
      <c r="A505" s="42" t="inlineStr">
        <is>
          <t>SZ-SL-000504</t>
        </is>
      </c>
      <c r="B505" s="42" t="inlineStr">
        <is>
          <t>WT-SL-AMADO-HIKI</t>
        </is>
      </c>
      <c r="C505" s="42" t="inlineStr">
        <is>
          <t>雨戸付引違い窓</t>
        </is>
      </c>
      <c r="D505" s="42" t="str"/>
      <c r="E505" s="42" t="inlineStr">
        <is>
          <t>13311</t>
        </is>
      </c>
      <c r="F505" s="42" t="inlineStr">
        <is>
          <t>1370</t>
        </is>
      </c>
      <c r="G505" s="42" t="inlineStr">
        <is>
          <t>1170</t>
        </is>
      </c>
      <c r="H505" s="42" t="inlineStr">
        <is>
          <t>True</t>
        </is>
      </c>
      <c r="I505" s="42" t="inlineStr">
        <is>
          <t>ALLOWED</t>
        </is>
      </c>
      <c r="J505" s="42" t="inlineStr">
        <is>
          <t>DIRECT_OFFICIAL_STANDARD_ROW</t>
        </is>
      </c>
      <c r="K505" s="42" t="inlineStr">
        <is>
          <t>SDC0003156</t>
        </is>
      </c>
      <c r="L505" s="42" t="inlineStr">
        <is>
          <t>マド2枚建 (201910～)</t>
        </is>
      </c>
      <c r="M505" s="42" t="inlineStr">
        <is>
          <t>51</t>
        </is>
      </c>
      <c r="N505" s="42" t="inlineStr">
        <is>
          <t>13311</t>
        </is>
      </c>
      <c r="O505" s="42" t="inlineStr">
        <is>
          <t>防犯建物部品欄の30mil構成を規格呼称へ直接突合。</t>
        </is>
      </c>
    </row>
    <row r="506">
      <c r="A506" s="42" t="inlineStr">
        <is>
          <t>SZ-SL-000505</t>
        </is>
      </c>
      <c r="B506" s="42" t="inlineStr">
        <is>
          <t>WT-SL-AMADO-HIKI</t>
        </is>
      </c>
      <c r="C506" s="42" t="inlineStr">
        <is>
          <t>雨戸付引違い窓</t>
        </is>
      </c>
      <c r="D506" s="42" t="str"/>
      <c r="E506" s="42" t="inlineStr">
        <is>
          <t>16507</t>
        </is>
      </c>
      <c r="F506" s="42" t="inlineStr">
        <is>
          <t>1690</t>
        </is>
      </c>
      <c r="G506" s="42" t="inlineStr">
        <is>
          <t>770</t>
        </is>
      </c>
      <c r="H506" s="42" t="inlineStr">
        <is>
          <t>True</t>
        </is>
      </c>
      <c r="I506" s="42" t="inlineStr">
        <is>
          <t>ALLOWED</t>
        </is>
      </c>
      <c r="J506" s="42" t="inlineStr">
        <is>
          <t>DIRECT_OFFICIAL_STANDARD_ROW</t>
        </is>
      </c>
      <c r="K506" s="42" t="inlineStr">
        <is>
          <t>SDC0003156</t>
        </is>
      </c>
      <c r="L506" s="42" t="inlineStr">
        <is>
          <t>マド2枚建 (201910～)</t>
        </is>
      </c>
      <c r="M506" s="42" t="inlineStr">
        <is>
          <t>72</t>
        </is>
      </c>
      <c r="N506" s="42" t="inlineStr">
        <is>
          <t>16507</t>
        </is>
      </c>
      <c r="O506" s="42" t="inlineStr">
        <is>
          <t>防犯建物部品欄の30mil構成を規格呼称へ直接突合。</t>
        </is>
      </c>
    </row>
    <row r="507">
      <c r="A507" s="42" t="inlineStr">
        <is>
          <t>SZ-SL-000506</t>
        </is>
      </c>
      <c r="B507" s="42" t="inlineStr">
        <is>
          <t>WT-SL-AMADO-HIKI</t>
        </is>
      </c>
      <c r="C507" s="42" t="inlineStr">
        <is>
          <t>雨戸付引違い窓</t>
        </is>
      </c>
      <c r="D507" s="42" t="str"/>
      <c r="E507" s="42" t="inlineStr">
        <is>
          <t>16509</t>
        </is>
      </c>
      <c r="F507" s="42" t="inlineStr">
        <is>
          <t>1690</t>
        </is>
      </c>
      <c r="G507" s="42" t="inlineStr">
        <is>
          <t>970</t>
        </is>
      </c>
      <c r="H507" s="42" t="inlineStr">
        <is>
          <t>True</t>
        </is>
      </c>
      <c r="I507" s="42" t="inlineStr">
        <is>
          <t>ALLOWED</t>
        </is>
      </c>
      <c r="J507" s="42" t="inlineStr">
        <is>
          <t>DIRECT_OFFICIAL_STANDARD_ROW</t>
        </is>
      </c>
      <c r="K507" s="42" t="inlineStr">
        <is>
          <t>SDC0003156</t>
        </is>
      </c>
      <c r="L507" s="42" t="inlineStr">
        <is>
          <t>マド2枚建 (201910～)</t>
        </is>
      </c>
      <c r="M507" s="42" t="inlineStr">
        <is>
          <t>73</t>
        </is>
      </c>
      <c r="N507" s="42" t="inlineStr">
        <is>
          <t>16509</t>
        </is>
      </c>
      <c r="O507" s="42" t="inlineStr">
        <is>
          <t>防犯建物部品欄の30mil構成を規格呼称へ直接突合。</t>
        </is>
      </c>
    </row>
    <row r="508">
      <c r="A508" s="42" t="inlineStr">
        <is>
          <t>SZ-SL-000507</t>
        </is>
      </c>
      <c r="B508" s="42" t="inlineStr">
        <is>
          <t>WT-SL-AMADO-HIKI</t>
        </is>
      </c>
      <c r="C508" s="42" t="inlineStr">
        <is>
          <t>雨戸付引違い窓</t>
        </is>
      </c>
      <c r="D508" s="42" t="str"/>
      <c r="E508" s="42" t="inlineStr">
        <is>
          <t>16511</t>
        </is>
      </c>
      <c r="F508" s="42" t="inlineStr">
        <is>
          <t>1690</t>
        </is>
      </c>
      <c r="G508" s="42" t="inlineStr">
        <is>
          <t>1170</t>
        </is>
      </c>
      <c r="H508" s="42" t="inlineStr">
        <is>
          <t>True</t>
        </is>
      </c>
      <c r="I508" s="42" t="inlineStr">
        <is>
          <t>ALLOWED</t>
        </is>
      </c>
      <c r="J508" s="42" t="inlineStr">
        <is>
          <t>DIRECT_OFFICIAL_STANDARD_ROW</t>
        </is>
      </c>
      <c r="K508" s="42" t="inlineStr">
        <is>
          <t>SDC0003156</t>
        </is>
      </c>
      <c r="L508" s="42" t="inlineStr">
        <is>
          <t>マド2枚建 (201910～)</t>
        </is>
      </c>
      <c r="M508" s="42" t="inlineStr">
        <is>
          <t>74</t>
        </is>
      </c>
      <c r="N508" s="42" t="inlineStr">
        <is>
          <t>16511</t>
        </is>
      </c>
      <c r="O508" s="42" t="inlineStr">
        <is>
          <t>防犯建物部品欄の30mil構成を規格呼称へ直接突合。</t>
        </is>
      </c>
    </row>
    <row r="509">
      <c r="A509" s="42" t="inlineStr">
        <is>
          <t>SZ-SL-000508</t>
        </is>
      </c>
      <c r="B509" s="42" t="inlineStr">
        <is>
          <t>WT-SL-AMADO-HIKI</t>
        </is>
      </c>
      <c r="C509" s="42" t="inlineStr">
        <is>
          <t>雨戸付引違い窓</t>
        </is>
      </c>
      <c r="D509" s="42" t="str"/>
      <c r="E509" s="42" t="inlineStr">
        <is>
          <t>17407</t>
        </is>
      </c>
      <c r="F509" s="42" t="inlineStr">
        <is>
          <t>1780</t>
        </is>
      </c>
      <c r="G509" s="42" t="inlineStr">
        <is>
          <t>770</t>
        </is>
      </c>
      <c r="H509" s="42" t="inlineStr">
        <is>
          <t>True</t>
        </is>
      </c>
      <c r="I509" s="42" t="inlineStr">
        <is>
          <t>ALLOWED</t>
        </is>
      </c>
      <c r="J509" s="42" t="inlineStr">
        <is>
          <t>DIRECT_OFFICIAL_STANDARD_ROW</t>
        </is>
      </c>
      <c r="K509" s="42" t="inlineStr">
        <is>
          <t>SDC0003156</t>
        </is>
      </c>
      <c r="L509" s="42" t="inlineStr">
        <is>
          <t>マド2枚建 (201910～)</t>
        </is>
      </c>
      <c r="M509" s="42" t="inlineStr">
        <is>
          <t>78</t>
        </is>
      </c>
      <c r="N509" s="42" t="inlineStr">
        <is>
          <t>17407</t>
        </is>
      </c>
      <c r="O509" s="42" t="inlineStr">
        <is>
          <t>防犯建物部品欄の30mil構成を規格呼称へ直接突合。</t>
        </is>
      </c>
    </row>
    <row r="510">
      <c r="A510" s="42" t="inlineStr">
        <is>
          <t>SZ-SL-000509</t>
        </is>
      </c>
      <c r="B510" s="42" t="inlineStr">
        <is>
          <t>WT-SL-AMADO-HIKI</t>
        </is>
      </c>
      <c r="C510" s="42" t="inlineStr">
        <is>
          <t>雨戸付引違い窓</t>
        </is>
      </c>
      <c r="D510" s="42" t="str"/>
      <c r="E510" s="42" t="inlineStr">
        <is>
          <t>17409</t>
        </is>
      </c>
      <c r="F510" s="42" t="inlineStr">
        <is>
          <t>1780</t>
        </is>
      </c>
      <c r="G510" s="42" t="inlineStr">
        <is>
          <t>970</t>
        </is>
      </c>
      <c r="H510" s="42" t="inlineStr">
        <is>
          <t>True</t>
        </is>
      </c>
      <c r="I510" s="42" t="inlineStr">
        <is>
          <t>ALLOWED</t>
        </is>
      </c>
      <c r="J510" s="42" t="inlineStr">
        <is>
          <t>DIRECT_OFFICIAL_STANDARD_ROW</t>
        </is>
      </c>
      <c r="K510" s="42" t="inlineStr">
        <is>
          <t>SDC0003156</t>
        </is>
      </c>
      <c r="L510" s="42" t="inlineStr">
        <is>
          <t>マド2枚建 (201910～)</t>
        </is>
      </c>
      <c r="M510" s="42" t="inlineStr">
        <is>
          <t>79</t>
        </is>
      </c>
      <c r="N510" s="42" t="inlineStr">
        <is>
          <t>17409</t>
        </is>
      </c>
      <c r="O510" s="42" t="inlineStr">
        <is>
          <t>防犯建物部品欄の30mil構成を規格呼称へ直接突合。</t>
        </is>
      </c>
    </row>
    <row r="511">
      <c r="A511" s="42" t="inlineStr">
        <is>
          <t>SZ-SL-000510</t>
        </is>
      </c>
      <c r="B511" s="42" t="inlineStr">
        <is>
          <t>WT-SL-AMADO-HIKI</t>
        </is>
      </c>
      <c r="C511" s="42" t="inlineStr">
        <is>
          <t>雨戸付引違い窓</t>
        </is>
      </c>
      <c r="D511" s="42" t="str"/>
      <c r="E511" s="42" t="inlineStr">
        <is>
          <t>17411</t>
        </is>
      </c>
      <c r="F511" s="42" t="inlineStr">
        <is>
          <t>1780</t>
        </is>
      </c>
      <c r="G511" s="42" t="inlineStr">
        <is>
          <t>1170</t>
        </is>
      </c>
      <c r="H511" s="42" t="inlineStr">
        <is>
          <t>True</t>
        </is>
      </c>
      <c r="I511" s="42" t="inlineStr">
        <is>
          <t>ALLOWED</t>
        </is>
      </c>
      <c r="J511" s="42" t="inlineStr">
        <is>
          <t>DIRECT_OFFICIAL_STANDARD_ROW</t>
        </is>
      </c>
      <c r="K511" s="42" t="inlineStr">
        <is>
          <t>SDC0003156</t>
        </is>
      </c>
      <c r="L511" s="42" t="inlineStr">
        <is>
          <t>マド2枚建 (201910～)</t>
        </is>
      </c>
      <c r="M511" s="42" t="inlineStr">
        <is>
          <t>80</t>
        </is>
      </c>
      <c r="N511" s="42" t="inlineStr">
        <is>
          <t>17411</t>
        </is>
      </c>
      <c r="O511" s="42" t="inlineStr">
        <is>
          <t>防犯建物部品欄の30mil構成を規格呼称へ直接突合。</t>
        </is>
      </c>
    </row>
    <row r="512">
      <c r="A512" s="42" t="inlineStr">
        <is>
          <t>SZ-SL-000511</t>
        </is>
      </c>
      <c r="B512" s="42" t="inlineStr">
        <is>
          <t>WT-SL-AMADO-HIKI</t>
        </is>
      </c>
      <c r="C512" s="42" t="inlineStr">
        <is>
          <t>雨戸付引違い窓</t>
        </is>
      </c>
      <c r="D512" s="42" t="str"/>
      <c r="E512" s="42" t="inlineStr">
        <is>
          <t>17607</t>
        </is>
      </c>
      <c r="F512" s="42" t="inlineStr">
        <is>
          <t>1800</t>
        </is>
      </c>
      <c r="G512" s="42" t="inlineStr">
        <is>
          <t>770</t>
        </is>
      </c>
      <c r="H512" s="42" t="inlineStr">
        <is>
          <t>True</t>
        </is>
      </c>
      <c r="I512" s="42" t="inlineStr">
        <is>
          <t>ALLOWED</t>
        </is>
      </c>
      <c r="J512" s="42" t="inlineStr">
        <is>
          <t>DIRECT_OFFICIAL_STANDARD_ROW</t>
        </is>
      </c>
      <c r="K512" s="42" t="inlineStr">
        <is>
          <t>SDC0003156</t>
        </is>
      </c>
      <c r="L512" s="42" t="inlineStr">
        <is>
          <t>マド2枚建 (201910～)</t>
        </is>
      </c>
      <c r="M512" s="42" t="inlineStr">
        <is>
          <t>83</t>
        </is>
      </c>
      <c r="N512" s="42" t="inlineStr">
        <is>
          <t>17607</t>
        </is>
      </c>
      <c r="O512" s="42" t="inlineStr">
        <is>
          <t>防犯建物部品欄の30mil構成を規格呼称へ直接突合。</t>
        </is>
      </c>
    </row>
    <row r="513">
      <c r="A513" s="42" t="inlineStr">
        <is>
          <t>SZ-SL-000512</t>
        </is>
      </c>
      <c r="B513" s="42" t="inlineStr">
        <is>
          <t>WT-SL-AMADO-HIKI</t>
        </is>
      </c>
      <c r="C513" s="42" t="inlineStr">
        <is>
          <t>雨戸付引違い窓</t>
        </is>
      </c>
      <c r="D513" s="42" t="str"/>
      <c r="E513" s="42" t="inlineStr">
        <is>
          <t>17609</t>
        </is>
      </c>
      <c r="F513" s="42" t="inlineStr">
        <is>
          <t>1800</t>
        </is>
      </c>
      <c r="G513" s="42" t="inlineStr">
        <is>
          <t>970</t>
        </is>
      </c>
      <c r="H513" s="42" t="inlineStr">
        <is>
          <t>True</t>
        </is>
      </c>
      <c r="I513" s="42" t="inlineStr">
        <is>
          <t>ALLOWED</t>
        </is>
      </c>
      <c r="J513" s="42" t="inlineStr">
        <is>
          <t>DIRECT_OFFICIAL_STANDARD_ROW</t>
        </is>
      </c>
      <c r="K513" s="42" t="inlineStr">
        <is>
          <t>SDC0003156</t>
        </is>
      </c>
      <c r="L513" s="42" t="inlineStr">
        <is>
          <t>マド2枚建 (201910～)</t>
        </is>
      </c>
      <c r="M513" s="42" t="inlineStr">
        <is>
          <t>84</t>
        </is>
      </c>
      <c r="N513" s="42" t="inlineStr">
        <is>
          <t>17609</t>
        </is>
      </c>
      <c r="O513" s="42" t="inlineStr">
        <is>
          <t>防犯建物部品欄の30mil構成を規格呼称へ直接突合。</t>
        </is>
      </c>
    </row>
    <row r="514">
      <c r="A514" s="42" t="inlineStr">
        <is>
          <t>SZ-SL-000513</t>
        </is>
      </c>
      <c r="B514" s="42" t="inlineStr">
        <is>
          <t>WT-SL-AMADO-HIKI</t>
        </is>
      </c>
      <c r="C514" s="42" t="inlineStr">
        <is>
          <t>雨戸付引違い窓</t>
        </is>
      </c>
      <c r="D514" s="42" t="str"/>
      <c r="E514" s="42" t="inlineStr">
        <is>
          <t>17611</t>
        </is>
      </c>
      <c r="F514" s="42" t="inlineStr">
        <is>
          <t>1800</t>
        </is>
      </c>
      <c r="G514" s="42" t="inlineStr">
        <is>
          <t>1170</t>
        </is>
      </c>
      <c r="H514" s="42" t="inlineStr">
        <is>
          <t>True</t>
        </is>
      </c>
      <c r="I514" s="42" t="inlineStr">
        <is>
          <t>ALLOWED</t>
        </is>
      </c>
      <c r="J514" s="42" t="inlineStr">
        <is>
          <t>DIRECT_OFFICIAL_STANDARD_ROW</t>
        </is>
      </c>
      <c r="K514" s="42" t="inlineStr">
        <is>
          <t>SDC0003156</t>
        </is>
      </c>
      <c r="L514" s="42" t="inlineStr">
        <is>
          <t>マド2枚建 (201910～)</t>
        </is>
      </c>
      <c r="M514" s="42" t="inlineStr">
        <is>
          <t>85</t>
        </is>
      </c>
      <c r="N514" s="42" t="inlineStr">
        <is>
          <t>17611</t>
        </is>
      </c>
      <c r="O514" s="42" t="inlineStr">
        <is>
          <t>防犯建物部品欄の30mil構成を規格呼称へ直接突合。</t>
        </is>
      </c>
    </row>
    <row r="515">
      <c r="A515" s="42" t="inlineStr">
        <is>
          <t>SZ-SL-000514</t>
        </is>
      </c>
      <c r="B515" s="42" t="inlineStr">
        <is>
          <t>WT-SL-AMADO-HIKI</t>
        </is>
      </c>
      <c r="C515" s="42" t="inlineStr">
        <is>
          <t>雨戸付引違い窓</t>
        </is>
      </c>
      <c r="D515" s="42" t="str"/>
      <c r="E515" s="42" t="inlineStr">
        <is>
          <t>11413</t>
        </is>
      </c>
      <c r="F515" s="42" t="inlineStr">
        <is>
          <t>1185</t>
        </is>
      </c>
      <c r="G515" s="42" t="inlineStr">
        <is>
          <t>1370</t>
        </is>
      </c>
      <c r="H515" s="42" t="inlineStr">
        <is>
          <t>True</t>
        </is>
      </c>
      <c r="I515" s="42" t="inlineStr">
        <is>
          <t>ALLOWED</t>
        </is>
      </c>
      <c r="J515" s="42" t="inlineStr">
        <is>
          <t>DIRECT_OFFICIAL_STANDARD_ROW</t>
        </is>
      </c>
      <c r="K515" s="42" t="inlineStr">
        <is>
          <t>SDC0003156</t>
        </is>
      </c>
      <c r="L515" s="42" t="inlineStr">
        <is>
          <t>マド2枚建 (201910～)</t>
        </is>
      </c>
      <c r="M515" s="42" t="inlineStr">
        <is>
          <t>36</t>
        </is>
      </c>
      <c r="N515" s="42" t="inlineStr">
        <is>
          <t>11413</t>
        </is>
      </c>
      <c r="O515" s="42" t="inlineStr">
        <is>
          <t>防犯建物部品欄の30mil構成を規格呼称へ直接突合。</t>
        </is>
      </c>
    </row>
    <row r="516">
      <c r="A516" s="42" t="inlineStr">
        <is>
          <t>SZ-SL-000515</t>
        </is>
      </c>
      <c r="B516" s="42" t="inlineStr">
        <is>
          <t>WT-SL-AMADO-HIKI</t>
        </is>
      </c>
      <c r="C516" s="42" t="inlineStr">
        <is>
          <t>雨戸付引違い窓</t>
        </is>
      </c>
      <c r="D516" s="42" t="str"/>
      <c r="E516" s="42" t="inlineStr">
        <is>
          <t>11913</t>
        </is>
      </c>
      <c r="F516" s="42" t="inlineStr">
        <is>
          <t>1235</t>
        </is>
      </c>
      <c r="G516" s="42" t="inlineStr">
        <is>
          <t>1370</t>
        </is>
      </c>
      <c r="H516" s="42" t="inlineStr">
        <is>
          <t>True</t>
        </is>
      </c>
      <c r="I516" s="42" t="inlineStr">
        <is>
          <t>ALLOWED</t>
        </is>
      </c>
      <c r="J516" s="42" t="inlineStr">
        <is>
          <t>DIRECT_OFFICIAL_STANDARD_ROW</t>
        </is>
      </c>
      <c r="K516" s="42" t="inlineStr">
        <is>
          <t>SDC0003156</t>
        </is>
      </c>
      <c r="L516" s="42" t="inlineStr">
        <is>
          <t>マド2枚建 (201910～)</t>
        </is>
      </c>
      <c r="M516" s="42" t="inlineStr">
        <is>
          <t>42</t>
        </is>
      </c>
      <c r="N516" s="42" t="inlineStr">
        <is>
          <t>11913</t>
        </is>
      </c>
      <c r="O516" s="42" t="inlineStr">
        <is>
          <t>防犯建物部品欄の30mil構成を規格呼称へ直接突合。</t>
        </is>
      </c>
    </row>
    <row r="517">
      <c r="A517" s="42" t="inlineStr">
        <is>
          <t>SZ-SL-000516</t>
        </is>
      </c>
      <c r="B517" s="42" t="inlineStr">
        <is>
          <t>WT-SL-AMADO-HIKI</t>
        </is>
      </c>
      <c r="C517" s="42" t="inlineStr">
        <is>
          <t>雨戸付引違い窓</t>
        </is>
      </c>
      <c r="D517" s="42" t="str"/>
      <c r="E517" s="42" t="inlineStr">
        <is>
          <t>12813</t>
        </is>
      </c>
      <c r="F517" s="42" t="inlineStr">
        <is>
          <t>1320</t>
        </is>
      </c>
      <c r="G517" s="42" t="inlineStr">
        <is>
          <t>1370</t>
        </is>
      </c>
      <c r="H517" s="42" t="inlineStr">
        <is>
          <t>True</t>
        </is>
      </c>
      <c r="I517" s="42" t="inlineStr">
        <is>
          <t>ALLOWED</t>
        </is>
      </c>
      <c r="J517" s="42" t="inlineStr">
        <is>
          <t>DIRECT_OFFICIAL_STANDARD_ROW</t>
        </is>
      </c>
      <c r="K517" s="42" t="inlineStr">
        <is>
          <t>SDC0003156</t>
        </is>
      </c>
      <c r="L517" s="42" t="inlineStr">
        <is>
          <t>マド2枚建 (201910～)</t>
        </is>
      </c>
      <c r="M517" s="42" t="inlineStr">
        <is>
          <t>47</t>
        </is>
      </c>
      <c r="N517" s="42" t="inlineStr">
        <is>
          <t>12813</t>
        </is>
      </c>
      <c r="O517" s="42" t="inlineStr">
        <is>
          <t>防犯建物部品欄の30mil構成を規格呼称へ直接突合。</t>
        </is>
      </c>
    </row>
    <row r="518">
      <c r="A518" s="42" t="inlineStr">
        <is>
          <t>SZ-SL-000517</t>
        </is>
      </c>
      <c r="B518" s="42" t="inlineStr">
        <is>
          <t>WT-SL-AMADO-HIKI</t>
        </is>
      </c>
      <c r="C518" s="42" t="inlineStr">
        <is>
          <t>雨戸付引違い窓</t>
        </is>
      </c>
      <c r="D518" s="42" t="str"/>
      <c r="E518" s="42" t="inlineStr">
        <is>
          <t>13313</t>
        </is>
      </c>
      <c r="F518" s="42" t="inlineStr">
        <is>
          <t>1370</t>
        </is>
      </c>
      <c r="G518" s="42" t="inlineStr">
        <is>
          <t>1370</t>
        </is>
      </c>
      <c r="H518" s="42" t="inlineStr">
        <is>
          <t>True</t>
        </is>
      </c>
      <c r="I518" s="42" t="inlineStr">
        <is>
          <t>ALLOWED</t>
        </is>
      </c>
      <c r="J518" s="42" t="inlineStr">
        <is>
          <t>DIRECT_OFFICIAL_STANDARD_ROW</t>
        </is>
      </c>
      <c r="K518" s="42" t="inlineStr">
        <is>
          <t>SDC0003156</t>
        </is>
      </c>
      <c r="L518" s="42" t="inlineStr">
        <is>
          <t>マド2枚建 (201910～)</t>
        </is>
      </c>
      <c r="M518" s="42" t="inlineStr">
        <is>
          <t>52</t>
        </is>
      </c>
      <c r="N518" s="42" t="inlineStr">
        <is>
          <t>13313</t>
        </is>
      </c>
      <c r="O518" s="42" t="inlineStr">
        <is>
          <t>防犯建物部品欄の30mil構成を規格呼称へ直接突合。</t>
        </is>
      </c>
    </row>
    <row r="519">
      <c r="A519" s="42" t="inlineStr">
        <is>
          <t>SZ-SL-000518</t>
        </is>
      </c>
      <c r="B519" s="42" t="inlineStr">
        <is>
          <t>WT-SL-AMADO-HIKI</t>
        </is>
      </c>
      <c r="C519" s="42" t="inlineStr">
        <is>
          <t>雨戸付引違い窓</t>
        </is>
      </c>
      <c r="D519" s="42" t="str"/>
      <c r="E519" s="42" t="inlineStr">
        <is>
          <t>16513</t>
        </is>
      </c>
      <c r="F519" s="42" t="inlineStr">
        <is>
          <t>1690</t>
        </is>
      </c>
      <c r="G519" s="42" t="inlineStr">
        <is>
          <t>1370</t>
        </is>
      </c>
      <c r="H519" s="42" t="inlineStr">
        <is>
          <t>True</t>
        </is>
      </c>
      <c r="I519" s="42" t="inlineStr">
        <is>
          <t>ALLOWED</t>
        </is>
      </c>
      <c r="J519" s="42" t="inlineStr">
        <is>
          <t>DIRECT_OFFICIAL_STANDARD_ROW</t>
        </is>
      </c>
      <c r="K519" s="42" t="inlineStr">
        <is>
          <t>SDC0003156</t>
        </is>
      </c>
      <c r="L519" s="42" t="inlineStr">
        <is>
          <t>マド2枚建 (201910～)</t>
        </is>
      </c>
      <c r="M519" s="42" t="inlineStr">
        <is>
          <t>75</t>
        </is>
      </c>
      <c r="N519" s="42" t="inlineStr">
        <is>
          <t>16513</t>
        </is>
      </c>
      <c r="O519" s="42" t="inlineStr">
        <is>
          <t>防犯建物部品欄の30mil構成を規格呼称へ直接突合。</t>
        </is>
      </c>
    </row>
    <row r="520">
      <c r="A520" s="42" t="inlineStr">
        <is>
          <t>SZ-SL-000519</t>
        </is>
      </c>
      <c r="B520" s="42" t="inlineStr">
        <is>
          <t>WT-SL-AMADO-HIKI</t>
        </is>
      </c>
      <c r="C520" s="42" t="inlineStr">
        <is>
          <t>雨戸付引違い窓</t>
        </is>
      </c>
      <c r="D520" s="42" t="str"/>
      <c r="E520" s="42" t="inlineStr">
        <is>
          <t>16515</t>
        </is>
      </c>
      <c r="F520" s="42" t="inlineStr">
        <is>
          <t>1690</t>
        </is>
      </c>
      <c r="G520" s="42" t="inlineStr">
        <is>
          <t>1570</t>
        </is>
      </c>
      <c r="H520" s="42" t="inlineStr">
        <is>
          <t>True</t>
        </is>
      </c>
      <c r="I520" s="42" t="inlineStr">
        <is>
          <t>ALLOWED</t>
        </is>
      </c>
      <c r="J520" s="42" t="inlineStr">
        <is>
          <t>DIRECT_OFFICIAL_STANDARD_ROW</t>
        </is>
      </c>
      <c r="K520" s="42" t="inlineStr">
        <is>
          <t>SDC0003156</t>
        </is>
      </c>
      <c r="L520" s="42" t="inlineStr">
        <is>
          <t>マド2枚建 (201910～)</t>
        </is>
      </c>
      <c r="M520" s="42" t="inlineStr">
        <is>
          <t>76</t>
        </is>
      </c>
      <c r="N520" s="42" t="inlineStr">
        <is>
          <t>16515</t>
        </is>
      </c>
      <c r="O520" s="42" t="inlineStr">
        <is>
          <t>防犯建物部品欄の30mil構成を規格呼称へ直接突合。</t>
        </is>
      </c>
    </row>
    <row r="521">
      <c r="A521" s="42" t="inlineStr">
        <is>
          <t>SZ-SL-000520</t>
        </is>
      </c>
      <c r="B521" s="42" t="inlineStr">
        <is>
          <t>WT-SL-AMADO-HIKI</t>
        </is>
      </c>
      <c r="C521" s="42" t="inlineStr">
        <is>
          <t>雨戸付引違い窓</t>
        </is>
      </c>
      <c r="D521" s="42" t="str"/>
      <c r="E521" s="42" t="inlineStr">
        <is>
          <t>17413</t>
        </is>
      </c>
      <c r="F521" s="42" t="inlineStr">
        <is>
          <t>1780</t>
        </is>
      </c>
      <c r="G521" s="42" t="inlineStr">
        <is>
          <t>1370</t>
        </is>
      </c>
      <c r="H521" s="42" t="inlineStr">
        <is>
          <t>True</t>
        </is>
      </c>
      <c r="I521" s="42" t="inlineStr">
        <is>
          <t>ALLOWED</t>
        </is>
      </c>
      <c r="J521" s="42" t="inlineStr">
        <is>
          <t>DIRECT_OFFICIAL_STANDARD_ROW</t>
        </is>
      </c>
      <c r="K521" s="42" t="inlineStr">
        <is>
          <t>SDC0003156</t>
        </is>
      </c>
      <c r="L521" s="42" t="inlineStr">
        <is>
          <t>マド2枚建 (201910～)</t>
        </is>
      </c>
      <c r="M521" s="42" t="inlineStr">
        <is>
          <t>81</t>
        </is>
      </c>
      <c r="N521" s="42" t="inlineStr">
        <is>
          <t>17413</t>
        </is>
      </c>
      <c r="O521" s="42" t="inlineStr">
        <is>
          <t>防犯建物部品欄の30mil構成を規格呼称へ直接突合。</t>
        </is>
      </c>
    </row>
    <row r="522">
      <c r="A522" s="42" t="inlineStr">
        <is>
          <t>SZ-SL-000521</t>
        </is>
      </c>
      <c r="B522" s="42" t="inlineStr">
        <is>
          <t>WT-SL-AMADO-HIKI</t>
        </is>
      </c>
      <c r="C522" s="42" t="inlineStr">
        <is>
          <t>雨戸付引違い窓</t>
        </is>
      </c>
      <c r="D522" s="42" t="str"/>
      <c r="E522" s="42" t="inlineStr">
        <is>
          <t>17613</t>
        </is>
      </c>
      <c r="F522" s="42" t="inlineStr">
        <is>
          <t>1800</t>
        </is>
      </c>
      <c r="G522" s="42" t="inlineStr">
        <is>
          <t>1370</t>
        </is>
      </c>
      <c r="H522" s="42" t="inlineStr">
        <is>
          <t>True</t>
        </is>
      </c>
      <c r="I522" s="42" t="inlineStr">
        <is>
          <t>ALLOWED</t>
        </is>
      </c>
      <c r="J522" s="42" t="inlineStr">
        <is>
          <t>DIRECT_OFFICIAL_STANDARD_ROW</t>
        </is>
      </c>
      <c r="K522" s="42" t="inlineStr">
        <is>
          <t>SDC0003156</t>
        </is>
      </c>
      <c r="L522" s="42" t="inlineStr">
        <is>
          <t>マド2枚建 (201910～)</t>
        </is>
      </c>
      <c r="M522" s="42" t="inlineStr">
        <is>
          <t>86</t>
        </is>
      </c>
      <c r="N522" s="42" t="inlineStr">
        <is>
          <t>17613</t>
        </is>
      </c>
      <c r="O522" s="42" t="inlineStr">
        <is>
          <t>防犯建物部品欄の30mil構成を規格呼称へ直接突合。</t>
        </is>
      </c>
    </row>
    <row r="523">
      <c r="A523" s="42" t="inlineStr">
        <is>
          <t>SZ-SL-000522</t>
        </is>
      </c>
      <c r="B523" s="42" t="inlineStr">
        <is>
          <t>WT-SL-AMADO-HIKI</t>
        </is>
      </c>
      <c r="C523" s="42" t="inlineStr">
        <is>
          <t>雨戸付引違い窓</t>
        </is>
      </c>
      <c r="D523" s="42" t="str"/>
      <c r="E523" s="42" t="inlineStr">
        <is>
          <t>25111-2</t>
        </is>
      </c>
      <c r="F523" s="42" t="inlineStr">
        <is>
          <t>2550</t>
        </is>
      </c>
      <c r="G523" s="42" t="inlineStr">
        <is>
          <t>1170</t>
        </is>
      </c>
      <c r="H523" s="42" t="inlineStr">
        <is>
          <t>True</t>
        </is>
      </c>
      <c r="I523" s="42" t="inlineStr">
        <is>
          <t>ALLOWED</t>
        </is>
      </c>
      <c r="J523" s="42" t="inlineStr">
        <is>
          <t>DIRECT_OFFICIAL_STANDARD_ROW</t>
        </is>
      </c>
      <c r="K523" s="42" t="inlineStr">
        <is>
          <t>SDC0003156</t>
        </is>
      </c>
      <c r="L523" s="42" t="inlineStr">
        <is>
          <t>マド2枚建 (201910～)</t>
        </is>
      </c>
      <c r="M523" s="42" t="inlineStr">
        <is>
          <t>108</t>
        </is>
      </c>
      <c r="N523" s="42" t="inlineStr">
        <is>
          <t>251112</t>
        </is>
      </c>
      <c r="O523" s="42" t="inlineStr">
        <is>
          <t>防犯建物部品欄の30mil構成を規格呼称へ直接突合。</t>
        </is>
      </c>
    </row>
    <row r="524">
      <c r="A524" s="42" t="inlineStr">
        <is>
          <t>SZ-SL-000523</t>
        </is>
      </c>
      <c r="B524" s="42" t="inlineStr">
        <is>
          <t>WT-SL-AMADO-HIKI</t>
        </is>
      </c>
      <c r="C524" s="42" t="inlineStr">
        <is>
          <t>雨戸付引違い窓</t>
        </is>
      </c>
      <c r="D524" s="42" t="str"/>
      <c r="E524" s="42" t="inlineStr">
        <is>
          <t>25111-4</t>
        </is>
      </c>
      <c r="F524" s="42" t="inlineStr">
        <is>
          <t>2550</t>
        </is>
      </c>
      <c r="G524" s="42" t="inlineStr">
        <is>
          <t>1170</t>
        </is>
      </c>
      <c r="H524" s="42" t="inlineStr">
        <is>
          <t>True</t>
        </is>
      </c>
      <c r="I524" s="42" t="inlineStr">
        <is>
          <t>ALLOWED</t>
        </is>
      </c>
      <c r="J524" s="42" t="inlineStr">
        <is>
          <t>DIRECT_OFFICIAL_STANDARD_ROW</t>
        </is>
      </c>
      <c r="K524" s="42" t="inlineStr">
        <is>
          <t>SDC0003156</t>
        </is>
      </c>
      <c r="L524" s="42" t="inlineStr">
        <is>
          <t>マド4枚建 (201910～)</t>
        </is>
      </c>
      <c r="M524" s="42" t="inlineStr">
        <is>
          <t>10</t>
        </is>
      </c>
      <c r="N524" s="42" t="inlineStr">
        <is>
          <t>251114</t>
        </is>
      </c>
      <c r="O524" s="42" t="inlineStr">
        <is>
          <t>防犯建物部品欄の30mil構成を規格呼称へ直接突合。</t>
        </is>
      </c>
    </row>
    <row r="525">
      <c r="A525" s="42" t="inlineStr">
        <is>
          <t>SZ-SL-000524</t>
        </is>
      </c>
      <c r="B525" s="42" t="inlineStr">
        <is>
          <t>WT-SL-AMADO-HIKI</t>
        </is>
      </c>
      <c r="C525" s="42" t="inlineStr">
        <is>
          <t>雨戸付引違い窓</t>
        </is>
      </c>
      <c r="D525" s="42" t="str"/>
      <c r="E525" s="42" t="inlineStr">
        <is>
          <t>25611-2</t>
        </is>
      </c>
      <c r="F525" s="42" t="inlineStr">
        <is>
          <t>2600</t>
        </is>
      </c>
      <c r="G525" s="42" t="inlineStr">
        <is>
          <t>1170</t>
        </is>
      </c>
      <c r="H525" s="42" t="inlineStr">
        <is>
          <t>True</t>
        </is>
      </c>
      <c r="I525" s="42" t="inlineStr">
        <is>
          <t>BLOCKED</t>
        </is>
      </c>
      <c r="J525" s="42" t="inlineStr">
        <is>
          <t>DIRECT_OFFICIAL_STANDARD_ROW</t>
        </is>
      </c>
      <c r="K525" s="42" t="inlineStr">
        <is>
          <t>SDC0003156</t>
        </is>
      </c>
      <c r="L525" s="42" t="inlineStr">
        <is>
          <t>マド2枚建 (201910～)</t>
        </is>
      </c>
      <c r="M525" s="42" t="inlineStr">
        <is>
          <t>111</t>
        </is>
      </c>
      <c r="N525" s="42" t="inlineStr">
        <is>
          <t>256112</t>
        </is>
      </c>
      <c r="O525" s="42" t="inlineStr">
        <is>
          <t>防犯建物部品欄の30mil構成を規格呼称へ直接突合。</t>
        </is>
      </c>
    </row>
    <row r="526">
      <c r="A526" s="42" t="inlineStr">
        <is>
          <t>SZ-SL-000525</t>
        </is>
      </c>
      <c r="B526" s="42" t="inlineStr">
        <is>
          <t>WT-SL-AMADO-HIKI</t>
        </is>
      </c>
      <c r="C526" s="42" t="inlineStr">
        <is>
          <t>雨戸付引違い窓</t>
        </is>
      </c>
      <c r="D526" s="42" t="str"/>
      <c r="E526" s="42" t="inlineStr">
        <is>
          <t>25611-4</t>
        </is>
      </c>
      <c r="F526" s="42" t="inlineStr">
        <is>
          <t>2600</t>
        </is>
      </c>
      <c r="G526" s="42" t="inlineStr">
        <is>
          <t>1170</t>
        </is>
      </c>
      <c r="H526" s="42" t="inlineStr">
        <is>
          <t>True</t>
        </is>
      </c>
      <c r="I526" s="42" t="inlineStr">
        <is>
          <t>ALLOWED</t>
        </is>
      </c>
      <c r="J526" s="42" t="inlineStr">
        <is>
          <t>DIRECT_OFFICIAL_STANDARD_ROW</t>
        </is>
      </c>
      <c r="K526" s="42" t="inlineStr">
        <is>
          <t>SDC0003156</t>
        </is>
      </c>
      <c r="L526" s="42" t="inlineStr">
        <is>
          <t>マド4枚建 (201910～)</t>
        </is>
      </c>
      <c r="M526" s="42" t="inlineStr">
        <is>
          <t>13</t>
        </is>
      </c>
      <c r="N526" s="42" t="inlineStr">
        <is>
          <t>256114</t>
        </is>
      </c>
      <c r="O526" s="42" t="inlineStr">
        <is>
          <t>防犯建物部品欄の30mil構成を規格呼称へ直接突合。</t>
        </is>
      </c>
    </row>
    <row r="527">
      <c r="A527" s="42" t="inlineStr">
        <is>
          <t>SZ-SL-000526</t>
        </is>
      </c>
      <c r="B527" s="42" t="inlineStr">
        <is>
          <t>WT-SL-AMADO-HIKI</t>
        </is>
      </c>
      <c r="C527" s="42" t="inlineStr">
        <is>
          <t>雨戸付引違い窓</t>
        </is>
      </c>
      <c r="D527" s="42" t="str"/>
      <c r="E527" s="42" t="inlineStr">
        <is>
          <t>25113-2</t>
        </is>
      </c>
      <c r="F527" s="42" t="inlineStr">
        <is>
          <t>2550</t>
        </is>
      </c>
      <c r="G527" s="42" t="inlineStr">
        <is>
          <t>1370</t>
        </is>
      </c>
      <c r="H527" s="42" t="inlineStr">
        <is>
          <t>True</t>
        </is>
      </c>
      <c r="I527" s="42" t="inlineStr">
        <is>
          <t>BLOCKED</t>
        </is>
      </c>
      <c r="J527" s="42" t="inlineStr">
        <is>
          <t>DIRECT_OFFICIAL_STANDARD_ROW</t>
        </is>
      </c>
      <c r="K527" s="42" t="inlineStr">
        <is>
          <t>SDC0003156</t>
        </is>
      </c>
      <c r="L527" s="42" t="inlineStr">
        <is>
          <t>マド2枚建 (201910～)</t>
        </is>
      </c>
      <c r="M527" s="42" t="inlineStr">
        <is>
          <t>109</t>
        </is>
      </c>
      <c r="N527" s="42" t="inlineStr">
        <is>
          <t>251132</t>
        </is>
      </c>
      <c r="O527" s="42" t="inlineStr">
        <is>
          <t>防犯建物部品欄の30mil構成を規格呼称へ直接突合。</t>
        </is>
      </c>
    </row>
    <row r="528">
      <c r="A528" s="42" t="inlineStr">
        <is>
          <t>SZ-SL-000527</t>
        </is>
      </c>
      <c r="B528" s="42" t="inlineStr">
        <is>
          <t>WT-SL-AMADO-HIKI</t>
        </is>
      </c>
      <c r="C528" s="42" t="inlineStr">
        <is>
          <t>雨戸付引違い窓</t>
        </is>
      </c>
      <c r="D528" s="42" t="str"/>
      <c r="E528" s="42" t="inlineStr">
        <is>
          <t>25113-4</t>
        </is>
      </c>
      <c r="F528" s="42" t="inlineStr">
        <is>
          <t>2550</t>
        </is>
      </c>
      <c r="G528" s="42" t="inlineStr">
        <is>
          <t>1370</t>
        </is>
      </c>
      <c r="H528" s="42" t="inlineStr">
        <is>
          <t>True</t>
        </is>
      </c>
      <c r="I528" s="42" t="inlineStr">
        <is>
          <t>ALLOWED</t>
        </is>
      </c>
      <c r="J528" s="42" t="inlineStr">
        <is>
          <t>DIRECT_OFFICIAL_STANDARD_ROW</t>
        </is>
      </c>
      <c r="K528" s="42" t="inlineStr">
        <is>
          <t>SDC0003156</t>
        </is>
      </c>
      <c r="L528" s="42" t="inlineStr">
        <is>
          <t>マド4枚建 (201910～)</t>
        </is>
      </c>
      <c r="M528" s="42" t="inlineStr">
        <is>
          <t>11</t>
        </is>
      </c>
      <c r="N528" s="42" t="inlineStr">
        <is>
          <t>251134</t>
        </is>
      </c>
      <c r="O528" s="42" t="inlineStr">
        <is>
          <t>防犯建物部品欄の30mil構成を規格呼称へ直接突合。</t>
        </is>
      </c>
    </row>
    <row r="529">
      <c r="A529" s="42" t="inlineStr">
        <is>
          <t>SZ-SL-000528</t>
        </is>
      </c>
      <c r="B529" s="42" t="inlineStr">
        <is>
          <t>WT-SL-AMADO-HIKI</t>
        </is>
      </c>
      <c r="C529" s="42" t="inlineStr">
        <is>
          <t>雨戸付引違い窓</t>
        </is>
      </c>
      <c r="D529" s="42" t="str"/>
      <c r="E529" s="42" t="inlineStr">
        <is>
          <t>25613-2</t>
        </is>
      </c>
      <c r="F529" s="42" t="inlineStr">
        <is>
          <t>2600</t>
        </is>
      </c>
      <c r="G529" s="42" t="inlineStr">
        <is>
          <t>1370</t>
        </is>
      </c>
      <c r="H529" s="42" t="inlineStr">
        <is>
          <t>True</t>
        </is>
      </c>
      <c r="I529" s="42" t="inlineStr">
        <is>
          <t>BLOCKED</t>
        </is>
      </c>
      <c r="J529" s="42" t="inlineStr">
        <is>
          <t>DIRECT_OFFICIAL_STANDARD_ROW</t>
        </is>
      </c>
      <c r="K529" s="42" t="inlineStr">
        <is>
          <t>SDC0003156</t>
        </is>
      </c>
      <c r="L529" s="42" t="inlineStr">
        <is>
          <t>マド2枚建 (201910～)</t>
        </is>
      </c>
      <c r="M529" s="42" t="inlineStr">
        <is>
          <t>112</t>
        </is>
      </c>
      <c r="N529" s="42" t="inlineStr">
        <is>
          <t>256132</t>
        </is>
      </c>
      <c r="O529" s="42" t="inlineStr">
        <is>
          <t>防犯建物部品欄の30mil構成を規格呼称へ直接突合。</t>
        </is>
      </c>
    </row>
    <row r="530">
      <c r="A530" s="42" t="inlineStr">
        <is>
          <t>SZ-SL-000529</t>
        </is>
      </c>
      <c r="B530" s="42" t="inlineStr">
        <is>
          <t>WT-SL-AMADO-HIKI</t>
        </is>
      </c>
      <c r="C530" s="42" t="inlineStr">
        <is>
          <t>雨戸付引違い窓</t>
        </is>
      </c>
      <c r="D530" s="42" t="str"/>
      <c r="E530" s="42" t="inlineStr">
        <is>
          <t>25613-4</t>
        </is>
      </c>
      <c r="F530" s="42" t="inlineStr">
        <is>
          <t>2600</t>
        </is>
      </c>
      <c r="G530" s="42" t="inlineStr">
        <is>
          <t>1370</t>
        </is>
      </c>
      <c r="H530" s="42" t="inlineStr">
        <is>
          <t>True</t>
        </is>
      </c>
      <c r="I530" s="42" t="inlineStr">
        <is>
          <t>ALLOWED</t>
        </is>
      </c>
      <c r="J530" s="42" t="inlineStr">
        <is>
          <t>DIRECT_OFFICIAL_STANDARD_ROW</t>
        </is>
      </c>
      <c r="K530" s="42" t="inlineStr">
        <is>
          <t>SDC0003156</t>
        </is>
      </c>
      <c r="L530" s="42" t="inlineStr">
        <is>
          <t>マド4枚建 (201910～)</t>
        </is>
      </c>
      <c r="M530" s="42" t="inlineStr">
        <is>
          <t>14</t>
        </is>
      </c>
      <c r="N530" s="42" t="inlineStr">
        <is>
          <t>256134</t>
        </is>
      </c>
      <c r="O530" s="42" t="inlineStr">
        <is>
          <t>防犯建物部品欄の30mil構成を規格呼称へ直接突合。</t>
        </is>
      </c>
    </row>
    <row r="531">
      <c r="A531" s="42" t="inlineStr">
        <is>
          <t>SZ-SL-000530</t>
        </is>
      </c>
      <c r="B531" s="42" t="inlineStr">
        <is>
          <t>WT-SL-AMADO-HIKI</t>
        </is>
      </c>
      <c r="C531" s="42" t="inlineStr">
        <is>
          <t>雨戸付引違い窓</t>
        </is>
      </c>
      <c r="D531" s="42" t="str"/>
      <c r="E531" s="42" t="inlineStr">
        <is>
          <t>15018</t>
        </is>
      </c>
      <c r="F531" s="42" t="inlineStr">
        <is>
          <t>1540</t>
        </is>
      </c>
      <c r="G531" s="42" t="inlineStr">
        <is>
          <t>1830</t>
        </is>
      </c>
      <c r="H531" s="42" t="inlineStr">
        <is>
          <t>True</t>
        </is>
      </c>
      <c r="I531" s="42" t="inlineStr">
        <is>
          <t>ALLOWED</t>
        </is>
      </c>
      <c r="J531" s="42" t="inlineStr">
        <is>
          <t>DIRECT_OFFICIAL_STANDARD_ROW</t>
        </is>
      </c>
      <c r="K531" s="42" t="inlineStr">
        <is>
          <t>SDC0003156</t>
        </is>
      </c>
      <c r="L531" s="42" t="inlineStr">
        <is>
          <t>テラス2枚建</t>
        </is>
      </c>
      <c r="M531" s="42" t="inlineStr">
        <is>
          <t>13</t>
        </is>
      </c>
      <c r="N531" s="42" t="inlineStr">
        <is>
          <t>15018</t>
        </is>
      </c>
      <c r="O531" s="42" t="inlineStr">
        <is>
          <t>防犯建物部品欄の30mil構成を規格呼称へ直接突合。</t>
        </is>
      </c>
    </row>
    <row r="532">
      <c r="A532" s="42" t="inlineStr">
        <is>
          <t>SZ-SL-000531</t>
        </is>
      </c>
      <c r="B532" s="42" t="inlineStr">
        <is>
          <t>WT-SL-AMADO-HIKI</t>
        </is>
      </c>
      <c r="C532" s="42" t="inlineStr">
        <is>
          <t>雨戸付引違い窓</t>
        </is>
      </c>
      <c r="D532" s="42" t="str"/>
      <c r="E532" s="42" t="inlineStr">
        <is>
          <t>15020</t>
        </is>
      </c>
      <c r="F532" s="42" t="inlineStr">
        <is>
          <t>1540</t>
        </is>
      </c>
      <c r="G532" s="42" t="inlineStr">
        <is>
          <t>2030</t>
        </is>
      </c>
      <c r="H532" s="42" t="inlineStr">
        <is>
          <t>True</t>
        </is>
      </c>
      <c r="I532" s="42" t="inlineStr">
        <is>
          <t>ALLOWED</t>
        </is>
      </c>
      <c r="J532" s="42" t="inlineStr">
        <is>
          <t>DIRECT_OFFICIAL_STANDARD_ROW</t>
        </is>
      </c>
      <c r="K532" s="42" t="inlineStr">
        <is>
          <t>SDC0003156</t>
        </is>
      </c>
      <c r="L532" s="42" t="inlineStr">
        <is>
          <t>テラス2枚建</t>
        </is>
      </c>
      <c r="M532" s="42" t="inlineStr">
        <is>
          <t>14</t>
        </is>
      </c>
      <c r="N532" s="42" t="inlineStr">
        <is>
          <t>15020</t>
        </is>
      </c>
      <c r="O532" s="42" t="inlineStr">
        <is>
          <t>防犯建物部品欄の30mil構成を規格呼称へ直接突合。</t>
        </is>
      </c>
    </row>
    <row r="533">
      <c r="A533" s="42" t="inlineStr">
        <is>
          <t>SZ-SL-000532</t>
        </is>
      </c>
      <c r="B533" s="42" t="inlineStr">
        <is>
          <t>WT-SL-AMADO-HIKI</t>
        </is>
      </c>
      <c r="C533" s="42" t="inlineStr">
        <is>
          <t>雨戸付引違い窓</t>
        </is>
      </c>
      <c r="D533" s="42" t="str"/>
      <c r="E533" s="42" t="inlineStr">
        <is>
          <t>16018</t>
        </is>
      </c>
      <c r="F533" s="42" t="inlineStr">
        <is>
          <t>1640</t>
        </is>
      </c>
      <c r="G533" s="42" t="inlineStr">
        <is>
          <t>1830</t>
        </is>
      </c>
      <c r="H533" s="42" t="inlineStr">
        <is>
          <t>True</t>
        </is>
      </c>
      <c r="I533" s="42" t="inlineStr">
        <is>
          <t>ALLOWED</t>
        </is>
      </c>
      <c r="J533" s="42" t="inlineStr">
        <is>
          <t>DIRECT_OFFICIAL_STANDARD_ROW</t>
        </is>
      </c>
      <c r="K533" s="42" t="inlineStr">
        <is>
          <t>SDC0003156</t>
        </is>
      </c>
      <c r="L533" s="42" t="inlineStr">
        <is>
          <t>テラス2枚建</t>
        </is>
      </c>
      <c r="M533" s="42" t="inlineStr">
        <is>
          <t>17</t>
        </is>
      </c>
      <c r="N533" s="42" t="inlineStr">
        <is>
          <t>16018</t>
        </is>
      </c>
      <c r="O533" s="42" t="inlineStr">
        <is>
          <t>防犯建物部品欄の30mil構成を規格呼称へ直接突合。</t>
        </is>
      </c>
    </row>
    <row r="534">
      <c r="A534" s="42" t="inlineStr">
        <is>
          <t>SZ-SL-000533</t>
        </is>
      </c>
      <c r="B534" s="42" t="inlineStr">
        <is>
          <t>WT-SL-AMADO-HIKI</t>
        </is>
      </c>
      <c r="C534" s="42" t="inlineStr">
        <is>
          <t>雨戸付引違い窓</t>
        </is>
      </c>
      <c r="D534" s="42" t="str"/>
      <c r="E534" s="42" t="inlineStr">
        <is>
          <t>16020</t>
        </is>
      </c>
      <c r="F534" s="42" t="inlineStr">
        <is>
          <t>1640</t>
        </is>
      </c>
      <c r="G534" s="42" t="inlineStr">
        <is>
          <t>2030</t>
        </is>
      </c>
      <c r="H534" s="42" t="inlineStr">
        <is>
          <t>True</t>
        </is>
      </c>
      <c r="I534" s="42" t="inlineStr">
        <is>
          <t>ALLOWED</t>
        </is>
      </c>
      <c r="J534" s="42" t="inlineStr">
        <is>
          <t>DIRECT_OFFICIAL_STANDARD_ROW</t>
        </is>
      </c>
      <c r="K534" s="42" t="inlineStr">
        <is>
          <t>SDC0003156</t>
        </is>
      </c>
      <c r="L534" s="42" t="inlineStr">
        <is>
          <t>テラス2枚建</t>
        </is>
      </c>
      <c r="M534" s="42" t="inlineStr">
        <is>
          <t>18</t>
        </is>
      </c>
      <c r="N534" s="42" t="inlineStr">
        <is>
          <t>16020</t>
        </is>
      </c>
      <c r="O534" s="42" t="inlineStr">
        <is>
          <t>防犯建物部品欄の30mil構成を規格呼称へ直接突合。</t>
        </is>
      </c>
    </row>
    <row r="535">
      <c r="A535" s="42" t="inlineStr">
        <is>
          <t>SZ-SL-000534</t>
        </is>
      </c>
      <c r="B535" s="42" t="inlineStr">
        <is>
          <t>WT-SL-AMADO-HIKI</t>
        </is>
      </c>
      <c r="C535" s="42" t="inlineStr">
        <is>
          <t>雨戸付引違い窓</t>
        </is>
      </c>
      <c r="D535" s="42" t="str"/>
      <c r="E535" s="42" t="inlineStr">
        <is>
          <t>16518</t>
        </is>
      </c>
      <c r="F535" s="42" t="inlineStr">
        <is>
          <t>1690</t>
        </is>
      </c>
      <c r="G535" s="42" t="inlineStr">
        <is>
          <t>1830</t>
        </is>
      </c>
      <c r="H535" s="42" t="inlineStr">
        <is>
          <t>True</t>
        </is>
      </c>
      <c r="I535" s="42" t="inlineStr">
        <is>
          <t>ALLOWED</t>
        </is>
      </c>
      <c r="J535" s="42" t="inlineStr">
        <is>
          <t>DIRECT_OFFICIAL_STANDARD_ROW</t>
        </is>
      </c>
      <c r="K535" s="42" t="inlineStr">
        <is>
          <t>SDC0003156</t>
        </is>
      </c>
      <c r="L535" s="42" t="inlineStr">
        <is>
          <t>テラス2枚建</t>
        </is>
      </c>
      <c r="M535" s="42" t="inlineStr">
        <is>
          <t>21</t>
        </is>
      </c>
      <c r="N535" s="42" t="inlineStr">
        <is>
          <t>16518</t>
        </is>
      </c>
      <c r="O535" s="42" t="inlineStr">
        <is>
          <t>防犯建物部品欄の30mil構成を規格呼称へ直接突合。</t>
        </is>
      </c>
    </row>
    <row r="536">
      <c r="A536" s="42" t="inlineStr">
        <is>
          <t>SZ-SL-000535</t>
        </is>
      </c>
      <c r="B536" s="42" t="inlineStr">
        <is>
          <t>WT-SL-AMADO-HIKI</t>
        </is>
      </c>
      <c r="C536" s="42" t="inlineStr">
        <is>
          <t>雨戸付引違い窓</t>
        </is>
      </c>
      <c r="D536" s="42" t="str"/>
      <c r="E536" s="42" t="inlineStr">
        <is>
          <t>16520</t>
        </is>
      </c>
      <c r="F536" s="42" t="inlineStr">
        <is>
          <t>1690</t>
        </is>
      </c>
      <c r="G536" s="42" t="inlineStr">
        <is>
          <t>2030</t>
        </is>
      </c>
      <c r="H536" s="42" t="inlineStr">
        <is>
          <t>True</t>
        </is>
      </c>
      <c r="I536" s="42" t="inlineStr">
        <is>
          <t>ALLOWED</t>
        </is>
      </c>
      <c r="J536" s="42" t="inlineStr">
        <is>
          <t>DIRECT_OFFICIAL_STANDARD_ROW</t>
        </is>
      </c>
      <c r="K536" s="42" t="inlineStr">
        <is>
          <t>SDC0003156</t>
        </is>
      </c>
      <c r="L536" s="42" t="inlineStr">
        <is>
          <t>テラス2枚建</t>
        </is>
      </c>
      <c r="M536" s="42" t="inlineStr">
        <is>
          <t>22</t>
        </is>
      </c>
      <c r="N536" s="42" t="inlineStr">
        <is>
          <t>16520</t>
        </is>
      </c>
      <c r="O536" s="42" t="inlineStr">
        <is>
          <t>防犯建物部品欄の30mil構成を規格呼称へ直接突合。</t>
        </is>
      </c>
    </row>
    <row r="537">
      <c r="A537" s="42" t="inlineStr">
        <is>
          <t>SZ-SL-000536</t>
        </is>
      </c>
      <c r="B537" s="42" t="inlineStr">
        <is>
          <t>WT-SL-AMADO-HIKI</t>
        </is>
      </c>
      <c r="C537" s="42" t="inlineStr">
        <is>
          <t>雨戸付引違い窓</t>
        </is>
      </c>
      <c r="D537" s="42" t="str"/>
      <c r="E537" s="42" t="inlineStr">
        <is>
          <t>18618</t>
        </is>
      </c>
      <c r="F537" s="42" t="inlineStr">
        <is>
          <t>1900</t>
        </is>
      </c>
      <c r="G537" s="42" t="inlineStr">
        <is>
          <t>1830</t>
        </is>
      </c>
      <c r="H537" s="42" t="inlineStr">
        <is>
          <t>True</t>
        </is>
      </c>
      <c r="I537" s="42" t="inlineStr">
        <is>
          <t>ALLOWED</t>
        </is>
      </c>
      <c r="J537" s="42" t="inlineStr">
        <is>
          <t>DIRECT_OFFICIAL_STANDARD_ROW</t>
        </is>
      </c>
      <c r="K537" s="42" t="inlineStr">
        <is>
          <t>SDC0003156</t>
        </is>
      </c>
      <c r="L537" s="42" t="inlineStr">
        <is>
          <t>テラス2枚建</t>
        </is>
      </c>
      <c r="M537" s="42" t="inlineStr">
        <is>
          <t>45</t>
        </is>
      </c>
      <c r="N537" s="42" t="inlineStr">
        <is>
          <t>18618</t>
        </is>
      </c>
      <c r="O537" s="42" t="inlineStr">
        <is>
          <t>防犯建物部品欄の30mil構成を規格呼称へ直接突合。</t>
        </is>
      </c>
    </row>
    <row r="538">
      <c r="A538" s="42" t="inlineStr">
        <is>
          <t>SZ-SL-000537</t>
        </is>
      </c>
      <c r="B538" s="42" t="inlineStr">
        <is>
          <t>WT-SL-AMADO-HIKI</t>
        </is>
      </c>
      <c r="C538" s="42" t="inlineStr">
        <is>
          <t>雨戸付引違い窓</t>
        </is>
      </c>
      <c r="D538" s="42" t="str"/>
      <c r="E538" s="42" t="inlineStr">
        <is>
          <t>18620</t>
        </is>
      </c>
      <c r="F538" s="42" t="inlineStr">
        <is>
          <t>1900</t>
        </is>
      </c>
      <c r="G538" s="42" t="inlineStr">
        <is>
          <t>2030</t>
        </is>
      </c>
      <c r="H538" s="42" t="inlineStr">
        <is>
          <t>True</t>
        </is>
      </c>
      <c r="I538" s="42" t="inlineStr">
        <is>
          <t>ALLOWED</t>
        </is>
      </c>
      <c r="J538" s="42" t="inlineStr">
        <is>
          <t>DIRECT_OFFICIAL_STANDARD_ROW</t>
        </is>
      </c>
      <c r="K538" s="42" t="inlineStr">
        <is>
          <t>SDC0003156</t>
        </is>
      </c>
      <c r="L538" s="42" t="inlineStr">
        <is>
          <t>テラス2枚建</t>
        </is>
      </c>
      <c r="M538" s="42" t="inlineStr">
        <is>
          <t>46</t>
        </is>
      </c>
      <c r="N538" s="42" t="inlineStr">
        <is>
          <t>18620</t>
        </is>
      </c>
      <c r="O538" s="42" t="inlineStr">
        <is>
          <t>防犯建物部品欄の30mil構成を規格呼称へ直接突合。</t>
        </is>
      </c>
    </row>
    <row r="539">
      <c r="A539" s="42" t="inlineStr">
        <is>
          <t>SZ-SL-000538</t>
        </is>
      </c>
      <c r="B539" s="42" t="inlineStr">
        <is>
          <t>WT-SL-AMADO-HIKI</t>
        </is>
      </c>
      <c r="C539" s="42" t="inlineStr">
        <is>
          <t>雨戸付引違い窓</t>
        </is>
      </c>
      <c r="D539" s="42" t="str"/>
      <c r="E539" s="42" t="inlineStr">
        <is>
          <t>25118-2</t>
        </is>
      </c>
      <c r="F539" s="42" t="inlineStr">
        <is>
          <t>2550</t>
        </is>
      </c>
      <c r="G539" s="42" t="inlineStr">
        <is>
          <t>1830</t>
        </is>
      </c>
      <c r="H539" s="42" t="inlineStr">
        <is>
          <t>True</t>
        </is>
      </c>
      <c r="I539" s="42" t="inlineStr">
        <is>
          <t>ALLOWED</t>
        </is>
      </c>
      <c r="J539" s="42" t="inlineStr">
        <is>
          <t>DIRECT_OFFICIAL_STANDARD_ROW</t>
        </is>
      </c>
      <c r="K539" s="42" t="inlineStr">
        <is>
          <t>SDC0003156</t>
        </is>
      </c>
      <c r="L539" s="42" t="inlineStr">
        <is>
          <t>テラス2枚建</t>
        </is>
      </c>
      <c r="M539" s="42" t="inlineStr">
        <is>
          <t>49</t>
        </is>
      </c>
      <c r="N539" s="42" t="inlineStr">
        <is>
          <t>251182</t>
        </is>
      </c>
      <c r="O539" s="42" t="inlineStr">
        <is>
          <t>防犯建物部品欄の30mil構成を規格呼称へ直接突合。</t>
        </is>
      </c>
    </row>
    <row r="540">
      <c r="A540" s="42" t="inlineStr">
        <is>
          <t>SZ-SL-000539</t>
        </is>
      </c>
      <c r="B540" s="42" t="inlineStr">
        <is>
          <t>WT-SL-AMADO-HIKI</t>
        </is>
      </c>
      <c r="C540" s="42" t="inlineStr">
        <is>
          <t>雨戸付引違い窓</t>
        </is>
      </c>
      <c r="D540" s="42" t="str"/>
      <c r="E540" s="42" t="inlineStr">
        <is>
          <t>25118-4</t>
        </is>
      </c>
      <c r="F540" s="42" t="inlineStr">
        <is>
          <t>2550</t>
        </is>
      </c>
      <c r="G540" s="42" t="inlineStr">
        <is>
          <t>1830</t>
        </is>
      </c>
      <c r="H540" s="42" t="inlineStr">
        <is>
          <t>True</t>
        </is>
      </c>
      <c r="I540" s="42" t="inlineStr">
        <is>
          <t>ALLOWED</t>
        </is>
      </c>
      <c r="J540" s="42" t="inlineStr">
        <is>
          <t>DIRECT_OFFICIAL_STANDARD_ROW</t>
        </is>
      </c>
      <c r="K540" s="42" t="inlineStr">
        <is>
          <t>SDC0003156</t>
        </is>
      </c>
      <c r="L540" s="42" t="inlineStr">
        <is>
          <t>テラス4枚建</t>
        </is>
      </c>
      <c r="M540" s="42" t="inlineStr">
        <is>
          <t>9</t>
        </is>
      </c>
      <c r="N540" s="42" t="inlineStr">
        <is>
          <t>251184</t>
        </is>
      </c>
      <c r="O540" s="42" t="inlineStr">
        <is>
          <t>防犯建物部品欄の30mil構成を規格呼称へ直接突合。</t>
        </is>
      </c>
    </row>
    <row r="541">
      <c r="A541" s="42" t="inlineStr">
        <is>
          <t>SZ-SL-000540</t>
        </is>
      </c>
      <c r="B541" s="42" t="inlineStr">
        <is>
          <t>WT-SL-AMADO-HIKI</t>
        </is>
      </c>
      <c r="C541" s="42" t="inlineStr">
        <is>
          <t>雨戸付引違い窓</t>
        </is>
      </c>
      <c r="D541" s="42" t="str"/>
      <c r="E541" s="42" t="inlineStr">
        <is>
          <t>25120-2</t>
        </is>
      </c>
      <c r="F541" s="42" t="inlineStr">
        <is>
          <t>2550</t>
        </is>
      </c>
      <c r="G541" s="42" t="inlineStr">
        <is>
          <t>2030</t>
        </is>
      </c>
      <c r="H541" s="42" t="inlineStr">
        <is>
          <t>True</t>
        </is>
      </c>
      <c r="I541" s="42" t="inlineStr">
        <is>
          <t>ALLOWED</t>
        </is>
      </c>
      <c r="J541" s="42" t="inlineStr">
        <is>
          <t>DIRECT_OFFICIAL_STANDARD_ROW</t>
        </is>
      </c>
      <c r="K541" s="42" t="inlineStr">
        <is>
          <t>SDC0003156</t>
        </is>
      </c>
      <c r="L541" s="42" t="inlineStr">
        <is>
          <t>テラス2枚建</t>
        </is>
      </c>
      <c r="M541" s="42" t="inlineStr">
        <is>
          <t>50</t>
        </is>
      </c>
      <c r="N541" s="42" t="inlineStr">
        <is>
          <t>251202</t>
        </is>
      </c>
      <c r="O541" s="42" t="inlineStr">
        <is>
          <t>防犯建物部品欄の30mil構成を規格呼称へ直接突合。</t>
        </is>
      </c>
    </row>
    <row r="542">
      <c r="A542" s="42" t="inlineStr">
        <is>
          <t>SZ-SL-000541</t>
        </is>
      </c>
      <c r="B542" s="42" t="inlineStr">
        <is>
          <t>WT-SL-AMADO-HIKI</t>
        </is>
      </c>
      <c r="C542" s="42" t="inlineStr">
        <is>
          <t>雨戸付引違い窓</t>
        </is>
      </c>
      <c r="D542" s="42" t="str"/>
      <c r="E542" s="42" t="inlineStr">
        <is>
          <t>25120-4</t>
        </is>
      </c>
      <c r="F542" s="42" t="inlineStr">
        <is>
          <t>2550</t>
        </is>
      </c>
      <c r="G542" s="42" t="inlineStr">
        <is>
          <t>2030</t>
        </is>
      </c>
      <c r="H542" s="42" t="inlineStr">
        <is>
          <t>True</t>
        </is>
      </c>
      <c r="I542" s="42" t="inlineStr">
        <is>
          <t>ALLOWED</t>
        </is>
      </c>
      <c r="J542" s="42" t="inlineStr">
        <is>
          <t>DIRECT_OFFICIAL_STANDARD_ROW</t>
        </is>
      </c>
      <c r="K542" s="42" t="inlineStr">
        <is>
          <t>SDC0003156</t>
        </is>
      </c>
      <c r="L542" s="42" t="inlineStr">
        <is>
          <t>テラス4枚建</t>
        </is>
      </c>
      <c r="M542" s="42" t="inlineStr">
        <is>
          <t>10</t>
        </is>
      </c>
      <c r="N542" s="42" t="inlineStr">
        <is>
          <t>251204</t>
        </is>
      </c>
      <c r="O542" s="42" t="inlineStr">
        <is>
          <t>防犯建物部品欄の30mil構成を規格呼称へ直接突合。</t>
        </is>
      </c>
    </row>
    <row r="543">
      <c r="A543" s="42" t="inlineStr">
        <is>
          <t>SZ-SL-000542</t>
        </is>
      </c>
      <c r="B543" s="42" t="inlineStr">
        <is>
          <t>WT-SL-AMADO-HIKI</t>
        </is>
      </c>
      <c r="C543" s="42" t="inlineStr">
        <is>
          <t>雨戸付引違い窓</t>
        </is>
      </c>
      <c r="D543" s="42" t="str"/>
      <c r="E543" s="42" t="inlineStr">
        <is>
          <t>25618-2</t>
        </is>
      </c>
      <c r="F543" s="42" t="inlineStr">
        <is>
          <t>2600</t>
        </is>
      </c>
      <c r="G543" s="42" t="inlineStr">
        <is>
          <t>1830</t>
        </is>
      </c>
      <c r="H543" s="42" t="inlineStr">
        <is>
          <t>True</t>
        </is>
      </c>
      <c r="I543" s="42" t="inlineStr">
        <is>
          <t>ALLOWED</t>
        </is>
      </c>
      <c r="J543" s="42" t="inlineStr">
        <is>
          <t>DIRECT_OFFICIAL_STANDARD_ROW</t>
        </is>
      </c>
      <c r="K543" s="42" t="inlineStr">
        <is>
          <t>SDC0003156</t>
        </is>
      </c>
      <c r="L543" s="42" t="inlineStr">
        <is>
          <t>テラス2枚建</t>
        </is>
      </c>
      <c r="M543" s="42" t="inlineStr">
        <is>
          <t>53</t>
        </is>
      </c>
      <c r="N543" s="42" t="inlineStr">
        <is>
          <t>256182</t>
        </is>
      </c>
      <c r="O543" s="42" t="inlineStr">
        <is>
          <t>防犯建物部品欄の30mil構成を規格呼称へ直接突合。</t>
        </is>
      </c>
    </row>
    <row r="544">
      <c r="A544" s="42" t="inlineStr">
        <is>
          <t>SZ-SL-000543</t>
        </is>
      </c>
      <c r="B544" s="42" t="inlineStr">
        <is>
          <t>WT-SL-AMADO-HIKI</t>
        </is>
      </c>
      <c r="C544" s="42" t="inlineStr">
        <is>
          <t>雨戸付引違い窓</t>
        </is>
      </c>
      <c r="D544" s="42" t="str"/>
      <c r="E544" s="42" t="inlineStr">
        <is>
          <t>25620-2</t>
        </is>
      </c>
      <c r="F544" s="42" t="inlineStr">
        <is>
          <t>2600</t>
        </is>
      </c>
      <c r="G544" s="42" t="inlineStr">
        <is>
          <t>2030</t>
        </is>
      </c>
      <c r="H544" s="42" t="inlineStr">
        <is>
          <t>True</t>
        </is>
      </c>
      <c r="I544" s="42" t="inlineStr">
        <is>
          <t>ALLOWED</t>
        </is>
      </c>
      <c r="J544" s="42" t="inlineStr">
        <is>
          <t>DIRECT_OFFICIAL_STANDARD_ROW</t>
        </is>
      </c>
      <c r="K544" s="42" t="inlineStr">
        <is>
          <t>SDC0003156</t>
        </is>
      </c>
      <c r="L544" s="42" t="inlineStr">
        <is>
          <t>テラス2枚建</t>
        </is>
      </c>
      <c r="M544" s="42" t="inlineStr">
        <is>
          <t>54</t>
        </is>
      </c>
      <c r="N544" s="42" t="inlineStr">
        <is>
          <t>256202</t>
        </is>
      </c>
      <c r="O544" s="42" t="inlineStr">
        <is>
          <t>防犯建物部品欄の30mil構成を規格呼称へ直接突合。</t>
        </is>
      </c>
    </row>
    <row r="545">
      <c r="A545" s="42" t="inlineStr">
        <is>
          <t>SZ-SL-000544</t>
        </is>
      </c>
      <c r="B545" s="42" t="inlineStr">
        <is>
          <t>WT-SL-AMADO-HIKI</t>
        </is>
      </c>
      <c r="C545" s="42" t="inlineStr">
        <is>
          <t>雨戸付引違い窓</t>
        </is>
      </c>
      <c r="D545" s="42" t="str"/>
      <c r="E545" s="42" t="inlineStr">
        <is>
          <t>15022</t>
        </is>
      </c>
      <c r="F545" s="42" t="inlineStr">
        <is>
          <t>1540</t>
        </is>
      </c>
      <c r="G545" s="42" t="inlineStr">
        <is>
          <t>2230</t>
        </is>
      </c>
      <c r="H545" s="42" t="inlineStr">
        <is>
          <t>True</t>
        </is>
      </c>
      <c r="I545" s="42" t="inlineStr">
        <is>
          <t>ALLOWED</t>
        </is>
      </c>
      <c r="J545" s="42" t="inlineStr">
        <is>
          <t>DIRECT_OFFICIAL_STANDARD_ROW</t>
        </is>
      </c>
      <c r="K545" s="42" t="inlineStr">
        <is>
          <t>SDC0003156</t>
        </is>
      </c>
      <c r="L545" s="42" t="inlineStr">
        <is>
          <t>テラス2枚建</t>
        </is>
      </c>
      <c r="M545" s="42" t="inlineStr">
        <is>
          <t>15</t>
        </is>
      </c>
      <c r="N545" s="42" t="inlineStr">
        <is>
          <t>15022</t>
        </is>
      </c>
      <c r="O545" s="42" t="inlineStr">
        <is>
          <t>防犯建物部品欄の30mil構成を規格呼称へ直接突合。</t>
        </is>
      </c>
    </row>
    <row r="546">
      <c r="A546" s="42" t="inlineStr">
        <is>
          <t>SZ-SL-000545</t>
        </is>
      </c>
      <c r="B546" s="42" t="inlineStr">
        <is>
          <t>WT-SL-AMADO-HIKI</t>
        </is>
      </c>
      <c r="C546" s="42" t="inlineStr">
        <is>
          <t>雨戸付引違い窓</t>
        </is>
      </c>
      <c r="D546" s="42" t="str"/>
      <c r="E546" s="42" t="inlineStr">
        <is>
          <t>16022</t>
        </is>
      </c>
      <c r="F546" s="42" t="inlineStr">
        <is>
          <t>1640</t>
        </is>
      </c>
      <c r="G546" s="42" t="inlineStr">
        <is>
          <t>2230</t>
        </is>
      </c>
      <c r="H546" s="42" t="inlineStr">
        <is>
          <t>True</t>
        </is>
      </c>
      <c r="I546" s="42" t="inlineStr">
        <is>
          <t>ALLOWED</t>
        </is>
      </c>
      <c r="J546" s="42" t="inlineStr">
        <is>
          <t>DIRECT_OFFICIAL_STANDARD_ROW</t>
        </is>
      </c>
      <c r="K546" s="42" t="inlineStr">
        <is>
          <t>SDC0003156</t>
        </is>
      </c>
      <c r="L546" s="42" t="inlineStr">
        <is>
          <t>テラス2枚建</t>
        </is>
      </c>
      <c r="M546" s="42" t="inlineStr">
        <is>
          <t>19</t>
        </is>
      </c>
      <c r="N546" s="42" t="inlineStr">
        <is>
          <t>16022</t>
        </is>
      </c>
      <c r="O546" s="42" t="inlineStr">
        <is>
          <t>防犯建物部品欄の30mil構成を規格呼称へ直接突合。</t>
        </is>
      </c>
    </row>
    <row r="547">
      <c r="A547" s="42" t="inlineStr">
        <is>
          <t>SZ-SL-000546</t>
        </is>
      </c>
      <c r="B547" s="42" t="inlineStr">
        <is>
          <t>WT-SL-AMADO-HIKI</t>
        </is>
      </c>
      <c r="C547" s="42" t="inlineStr">
        <is>
          <t>雨戸付引違い窓</t>
        </is>
      </c>
      <c r="D547" s="42" t="str"/>
      <c r="E547" s="42" t="inlineStr">
        <is>
          <t>16522</t>
        </is>
      </c>
      <c r="F547" s="42" t="inlineStr">
        <is>
          <t>1690</t>
        </is>
      </c>
      <c r="G547" s="42" t="inlineStr">
        <is>
          <t>2230</t>
        </is>
      </c>
      <c r="H547" s="42" t="inlineStr">
        <is>
          <t>True</t>
        </is>
      </c>
      <c r="I547" s="42" t="inlineStr">
        <is>
          <t>ALLOWED</t>
        </is>
      </c>
      <c r="J547" s="42" t="inlineStr">
        <is>
          <t>DIRECT_OFFICIAL_STANDARD_ROW</t>
        </is>
      </c>
      <c r="K547" s="42" t="inlineStr">
        <is>
          <t>SDC0003156</t>
        </is>
      </c>
      <c r="L547" s="42" t="inlineStr">
        <is>
          <t>テラス2枚建</t>
        </is>
      </c>
      <c r="M547" s="42" t="inlineStr">
        <is>
          <t>23</t>
        </is>
      </c>
      <c r="N547" s="42" t="inlineStr">
        <is>
          <t>16522</t>
        </is>
      </c>
      <c r="O547" s="42" t="inlineStr">
        <is>
          <t>防犯建物部品欄の30mil構成を規格呼称へ直接突合。</t>
        </is>
      </c>
    </row>
    <row r="548">
      <c r="A548" s="42" t="inlineStr">
        <is>
          <t>SZ-SL-000547</t>
        </is>
      </c>
      <c r="B548" s="42" t="inlineStr">
        <is>
          <t>WT-SL-AMADO-HIKI</t>
        </is>
      </c>
      <c r="C548" s="42" t="inlineStr">
        <is>
          <t>雨戸付引違い窓</t>
        </is>
      </c>
      <c r="D548" s="42" t="str"/>
      <c r="E548" s="42" t="inlineStr">
        <is>
          <t>18622</t>
        </is>
      </c>
      <c r="F548" s="42" t="inlineStr">
        <is>
          <t>1900</t>
        </is>
      </c>
      <c r="G548" s="42" t="inlineStr">
        <is>
          <t>2230</t>
        </is>
      </c>
      <c r="H548" s="42" t="inlineStr">
        <is>
          <t>True</t>
        </is>
      </c>
      <c r="I548" s="42" t="inlineStr">
        <is>
          <t>ALLOWED</t>
        </is>
      </c>
      <c r="J548" s="42" t="inlineStr">
        <is>
          <t>DIRECT_OFFICIAL_STANDARD_ROW</t>
        </is>
      </c>
      <c r="K548" s="42" t="inlineStr">
        <is>
          <t>SDC0003156</t>
        </is>
      </c>
      <c r="L548" s="42" t="inlineStr">
        <is>
          <t>テラス2枚建</t>
        </is>
      </c>
      <c r="M548" s="42" t="inlineStr">
        <is>
          <t>47</t>
        </is>
      </c>
      <c r="N548" s="42" t="inlineStr">
        <is>
          <t>18622</t>
        </is>
      </c>
      <c r="O548" s="42" t="inlineStr">
        <is>
          <t>防犯建物部品欄の30mil構成を規格呼称へ直接突合。</t>
        </is>
      </c>
    </row>
    <row r="549">
      <c r="A549" s="42" t="inlineStr">
        <is>
          <t>SZ-SL-000548</t>
        </is>
      </c>
      <c r="B549" s="42" t="inlineStr">
        <is>
          <t>WT-SL-AMADO-HIKI</t>
        </is>
      </c>
      <c r="C549" s="42" t="inlineStr">
        <is>
          <t>雨戸付引違い窓</t>
        </is>
      </c>
      <c r="D549" s="42" t="str"/>
      <c r="E549" s="42" t="inlineStr">
        <is>
          <t>25122-2</t>
        </is>
      </c>
      <c r="F549" s="42" t="inlineStr">
        <is>
          <t>2550</t>
        </is>
      </c>
      <c r="G549" s="42" t="inlineStr">
        <is>
          <t>2230</t>
        </is>
      </c>
      <c r="H549" s="42" t="inlineStr">
        <is>
          <t>True</t>
        </is>
      </c>
      <c r="I549" s="42" t="inlineStr">
        <is>
          <t>ALLOWED</t>
        </is>
      </c>
      <c r="J549" s="42" t="inlineStr">
        <is>
          <t>DIRECT_OFFICIAL_STANDARD_ROW</t>
        </is>
      </c>
      <c r="K549" s="42" t="inlineStr">
        <is>
          <t>SDC0003156</t>
        </is>
      </c>
      <c r="L549" s="42" t="inlineStr">
        <is>
          <t>テラス2枚建</t>
        </is>
      </c>
      <c r="M549" s="42" t="inlineStr">
        <is>
          <t>51</t>
        </is>
      </c>
      <c r="N549" s="42" t="inlineStr">
        <is>
          <t>251222</t>
        </is>
      </c>
      <c r="O549" s="42" t="inlineStr">
        <is>
          <t>防犯建物部品欄の30mil構成を規格呼称へ直接突合。</t>
        </is>
      </c>
    </row>
    <row r="550">
      <c r="A550" s="42" t="inlineStr">
        <is>
          <t>SZ-SL-000549</t>
        </is>
      </c>
      <c r="B550" s="42" t="inlineStr">
        <is>
          <t>WT-SL-AMADO-HIKI</t>
        </is>
      </c>
      <c r="C550" s="42" t="inlineStr">
        <is>
          <t>雨戸付引違い窓</t>
        </is>
      </c>
      <c r="D550" s="42" t="str"/>
      <c r="E550" s="42" t="inlineStr">
        <is>
          <t>25122-4</t>
        </is>
      </c>
      <c r="F550" s="42" t="inlineStr">
        <is>
          <t>2550</t>
        </is>
      </c>
      <c r="G550" s="42" t="inlineStr">
        <is>
          <t>2230</t>
        </is>
      </c>
      <c r="H550" s="42" t="inlineStr">
        <is>
          <t>True</t>
        </is>
      </c>
      <c r="I550" s="42" t="inlineStr">
        <is>
          <t>ALLOWED</t>
        </is>
      </c>
      <c r="J550" s="42" t="inlineStr">
        <is>
          <t>DIRECT_OFFICIAL_STANDARD_ROW</t>
        </is>
      </c>
      <c r="K550" s="42" t="inlineStr">
        <is>
          <t>SDC0003156</t>
        </is>
      </c>
      <c r="L550" s="42" t="inlineStr">
        <is>
          <t>テラス4枚建</t>
        </is>
      </c>
      <c r="M550" s="42" t="inlineStr">
        <is>
          <t>11</t>
        </is>
      </c>
      <c r="N550" s="42" t="inlineStr">
        <is>
          <t>251224</t>
        </is>
      </c>
      <c r="O550" s="42" t="inlineStr">
        <is>
          <t>防犯建物部品欄の30mil構成を規格呼称へ直接突合。</t>
        </is>
      </c>
    </row>
    <row r="551">
      <c r="A551" s="42" t="inlineStr">
        <is>
          <t>SZ-SL-000550</t>
        </is>
      </c>
      <c r="B551" s="42" t="inlineStr">
        <is>
          <t>WT-SL-AMADO-HIKI</t>
        </is>
      </c>
      <c r="C551" s="42" t="inlineStr">
        <is>
          <t>雨戸付引違い窓</t>
        </is>
      </c>
      <c r="D551" s="42" t="str"/>
      <c r="E551" s="42" t="inlineStr">
        <is>
          <t>25622-2</t>
        </is>
      </c>
      <c r="F551" s="42" t="inlineStr">
        <is>
          <t>2600</t>
        </is>
      </c>
      <c r="G551" s="42" t="inlineStr">
        <is>
          <t>2230</t>
        </is>
      </c>
      <c r="H551" s="42" t="inlineStr">
        <is>
          <t>True</t>
        </is>
      </c>
      <c r="I551" s="42" t="inlineStr">
        <is>
          <t>ALLOWED</t>
        </is>
      </c>
      <c r="J551" s="42" t="inlineStr">
        <is>
          <t>DIRECT_OFFICIAL_STANDARD_ROW</t>
        </is>
      </c>
      <c r="K551" s="42" t="inlineStr">
        <is>
          <t>SDC0003156</t>
        </is>
      </c>
      <c r="L551" s="42" t="inlineStr">
        <is>
          <t>テラス2枚建</t>
        </is>
      </c>
      <c r="M551" s="42" t="inlineStr">
        <is>
          <t>55</t>
        </is>
      </c>
      <c r="N551" s="42" t="inlineStr">
        <is>
          <t>256222</t>
        </is>
      </c>
      <c r="O551" s="42" t="inlineStr">
        <is>
          <t>防犯建物部品欄の30mil構成を規格呼称へ直接突合。</t>
        </is>
      </c>
    </row>
    <row r="552">
      <c r="A552" s="42" t="inlineStr">
        <is>
          <t>SZ-SL-000551</t>
        </is>
      </c>
      <c r="B552" s="42" t="inlineStr">
        <is>
          <t>WT-SL-MENKOSHI-HIKI</t>
        </is>
      </c>
      <c r="C552" s="42" t="inlineStr">
        <is>
          <t>面格子付引違い窓</t>
        </is>
      </c>
      <c r="D552" s="42" t="inlineStr">
        <is>
          <t>SP-SL-GRILLE-DIA</t>
        </is>
      </c>
      <c r="E552" s="42" t="inlineStr">
        <is>
          <t>06003</t>
        </is>
      </c>
      <c r="F552" s="42" t="inlineStr">
        <is>
          <t>640</t>
        </is>
      </c>
      <c r="G552" s="42" t="inlineStr">
        <is>
          <t>370</t>
        </is>
      </c>
      <c r="H552" s="42" t="inlineStr">
        <is>
          <t>True</t>
        </is>
      </c>
      <c r="I552" s="42" t="inlineStr">
        <is>
          <t>ALLOWED</t>
        </is>
      </c>
      <c r="J552" s="42" t="inlineStr">
        <is>
          <t>DIRECT_OFFICIAL_STANDARD_ROW</t>
        </is>
      </c>
      <c r="K552" s="42" t="inlineStr">
        <is>
          <t>SDC0003156</t>
        </is>
      </c>
      <c r="L552" s="42" t="inlineStr">
        <is>
          <t>マド2枚建 (201910～)</t>
        </is>
      </c>
      <c r="M552" s="42" t="inlineStr">
        <is>
          <t>9</t>
        </is>
      </c>
      <c r="N552" s="42" t="inlineStr">
        <is>
          <t>06003</t>
        </is>
      </c>
      <c r="O552" s="42" t="inlineStr">
        <is>
          <t>防犯建物部品欄の30mil構成を規格呼称へ直接突合。</t>
        </is>
      </c>
    </row>
    <row r="553">
      <c r="A553" s="42" t="inlineStr">
        <is>
          <t>SZ-SL-000552</t>
        </is>
      </c>
      <c r="B553" s="42" t="inlineStr">
        <is>
          <t>WT-SL-MENKOSHI-HIKI</t>
        </is>
      </c>
      <c r="C553" s="42" t="inlineStr">
        <is>
          <t>面格子付引違い窓</t>
        </is>
      </c>
      <c r="D553" s="42" t="inlineStr">
        <is>
          <t>SP-SL-GRILLE-DIA</t>
        </is>
      </c>
      <c r="E553" s="42" t="inlineStr">
        <is>
          <t>06903</t>
        </is>
      </c>
      <c r="F553" s="42" t="inlineStr">
        <is>
          <t>730</t>
        </is>
      </c>
      <c r="G553" s="42" t="inlineStr">
        <is>
          <t>370</t>
        </is>
      </c>
      <c r="H553" s="42" t="inlineStr">
        <is>
          <t>True</t>
        </is>
      </c>
      <c r="I553" s="42" t="inlineStr">
        <is>
          <t>ALLOWED</t>
        </is>
      </c>
      <c r="J553" s="42" t="inlineStr">
        <is>
          <t>DIRECT_OFFICIAL_STANDARD_ROW</t>
        </is>
      </c>
      <c r="K553" s="42" t="inlineStr">
        <is>
          <t>SDC0003156</t>
        </is>
      </c>
      <c r="L553" s="42" t="inlineStr">
        <is>
          <t>マド2枚建 (201910～)</t>
        </is>
      </c>
      <c r="M553" s="42" t="inlineStr">
        <is>
          <t>13</t>
        </is>
      </c>
      <c r="N553" s="42" t="inlineStr">
        <is>
          <t>06903</t>
        </is>
      </c>
      <c r="O553" s="42" t="inlineStr">
        <is>
          <t>防犯建物部品欄の30mil構成を規格呼称へ直接突合。</t>
        </is>
      </c>
    </row>
    <row r="554">
      <c r="A554" s="42" t="inlineStr">
        <is>
          <t>SZ-SL-000553</t>
        </is>
      </c>
      <c r="B554" s="42" t="inlineStr">
        <is>
          <t>WT-SL-MENKOSHI-HIKI</t>
        </is>
      </c>
      <c r="C554" s="42" t="inlineStr">
        <is>
          <t>面格子付引違い窓</t>
        </is>
      </c>
      <c r="D554" s="42" t="inlineStr">
        <is>
          <t>SP-SL-GRILLE-DIA</t>
        </is>
      </c>
      <c r="E554" s="42" t="inlineStr">
        <is>
          <t>07403</t>
        </is>
      </c>
      <c r="F554" s="42" t="inlineStr">
        <is>
          <t>780</t>
        </is>
      </c>
      <c r="G554" s="42" t="inlineStr">
        <is>
          <t>370</t>
        </is>
      </c>
      <c r="H554" s="42" t="inlineStr">
        <is>
          <t>True</t>
        </is>
      </c>
      <c r="I554" s="42" t="inlineStr">
        <is>
          <t>ALLOWED</t>
        </is>
      </c>
      <c r="J554" s="42" t="inlineStr">
        <is>
          <t>DIRECT_OFFICIAL_STANDARD_ROW</t>
        </is>
      </c>
      <c r="K554" s="42" t="inlineStr">
        <is>
          <t>SDC0003156</t>
        </is>
      </c>
      <c r="L554" s="42" t="inlineStr">
        <is>
          <t>マド2枚建 (201910～)</t>
        </is>
      </c>
      <c r="M554" s="42" t="inlineStr">
        <is>
          <t>17</t>
        </is>
      </c>
      <c r="N554" s="42" t="inlineStr">
        <is>
          <t>07403</t>
        </is>
      </c>
      <c r="O554" s="42" t="inlineStr">
        <is>
          <t>防犯建物部品欄の30mil構成を規格呼称へ直接突合。</t>
        </is>
      </c>
    </row>
    <row r="555">
      <c r="A555" s="42" t="inlineStr">
        <is>
          <t>SZ-SL-000554</t>
        </is>
      </c>
      <c r="B555" s="42" t="inlineStr">
        <is>
          <t>WT-SL-MENKOSHI-HIKI</t>
        </is>
      </c>
      <c r="C555" s="42" t="inlineStr">
        <is>
          <t>面格子付引違い窓</t>
        </is>
      </c>
      <c r="D555" s="42" t="inlineStr">
        <is>
          <t>SP-SL-GRILLE-H</t>
        </is>
      </c>
      <c r="E555" s="42" t="inlineStr">
        <is>
          <t>06003</t>
        </is>
      </c>
      <c r="F555" s="42" t="inlineStr">
        <is>
          <t>640</t>
        </is>
      </c>
      <c r="G555" s="42" t="inlineStr">
        <is>
          <t>370</t>
        </is>
      </c>
      <c r="H555" s="42" t="inlineStr">
        <is>
          <t>True</t>
        </is>
      </c>
      <c r="I555" s="42" t="inlineStr">
        <is>
          <t>ALLOWED</t>
        </is>
      </c>
      <c r="J555" s="42" t="inlineStr">
        <is>
          <t>DIRECT_OFFICIAL_STANDARD_ROW</t>
        </is>
      </c>
      <c r="K555" s="42" t="inlineStr">
        <is>
          <t>SDC0003156</t>
        </is>
      </c>
      <c r="L555" s="42" t="inlineStr">
        <is>
          <t>マド2枚建 (201910～)</t>
        </is>
      </c>
      <c r="M555" s="42" t="inlineStr">
        <is>
          <t>9</t>
        </is>
      </c>
      <c r="N555" s="42" t="inlineStr">
        <is>
          <t>06003</t>
        </is>
      </c>
      <c r="O555" s="42" t="inlineStr">
        <is>
          <t>防犯建物部品欄の30mil構成を規格呼称へ直接突合。</t>
        </is>
      </c>
    </row>
    <row r="556">
      <c r="A556" s="42" t="inlineStr">
        <is>
          <t>SZ-SL-000555</t>
        </is>
      </c>
      <c r="B556" s="42" t="inlineStr">
        <is>
          <t>WT-SL-MENKOSHI-HIKI</t>
        </is>
      </c>
      <c r="C556" s="42" t="inlineStr">
        <is>
          <t>面格子付引違い窓</t>
        </is>
      </c>
      <c r="D556" s="42" t="inlineStr">
        <is>
          <t>SP-SL-GRILLE-H</t>
        </is>
      </c>
      <c r="E556" s="42" t="inlineStr">
        <is>
          <t>06903</t>
        </is>
      </c>
      <c r="F556" s="42" t="inlineStr">
        <is>
          <t>730</t>
        </is>
      </c>
      <c r="G556" s="42" t="inlineStr">
        <is>
          <t>370</t>
        </is>
      </c>
      <c r="H556" s="42" t="inlineStr">
        <is>
          <t>True</t>
        </is>
      </c>
      <c r="I556" s="42" t="inlineStr">
        <is>
          <t>ALLOWED</t>
        </is>
      </c>
      <c r="J556" s="42" t="inlineStr">
        <is>
          <t>DIRECT_OFFICIAL_STANDARD_ROW</t>
        </is>
      </c>
      <c r="K556" s="42" t="inlineStr">
        <is>
          <t>SDC0003156</t>
        </is>
      </c>
      <c r="L556" s="42" t="inlineStr">
        <is>
          <t>マド2枚建 (201910～)</t>
        </is>
      </c>
      <c r="M556" s="42" t="inlineStr">
        <is>
          <t>13</t>
        </is>
      </c>
      <c r="N556" s="42" t="inlineStr">
        <is>
          <t>06903</t>
        </is>
      </c>
      <c r="O556" s="42" t="inlineStr">
        <is>
          <t>防犯建物部品欄の30mil構成を規格呼称へ直接突合。</t>
        </is>
      </c>
    </row>
    <row r="557">
      <c r="A557" s="42" t="inlineStr">
        <is>
          <t>SZ-SL-000556</t>
        </is>
      </c>
      <c r="B557" s="42" t="inlineStr">
        <is>
          <t>WT-SL-MENKOSHI-HIKI</t>
        </is>
      </c>
      <c r="C557" s="42" t="inlineStr">
        <is>
          <t>面格子付引違い窓</t>
        </is>
      </c>
      <c r="D557" s="42" t="inlineStr">
        <is>
          <t>SP-SL-GRILLE-H</t>
        </is>
      </c>
      <c r="E557" s="42" t="inlineStr">
        <is>
          <t>07403</t>
        </is>
      </c>
      <c r="F557" s="42" t="inlineStr">
        <is>
          <t>780</t>
        </is>
      </c>
      <c r="G557" s="42" t="inlineStr">
        <is>
          <t>370</t>
        </is>
      </c>
      <c r="H557" s="42" t="inlineStr">
        <is>
          <t>True</t>
        </is>
      </c>
      <c r="I557" s="42" t="inlineStr">
        <is>
          <t>ALLOWED</t>
        </is>
      </c>
      <c r="J557" s="42" t="inlineStr">
        <is>
          <t>DIRECT_OFFICIAL_STANDARD_ROW</t>
        </is>
      </c>
      <c r="K557" s="42" t="inlineStr">
        <is>
          <t>SDC0003156</t>
        </is>
      </c>
      <c r="L557" s="42" t="inlineStr">
        <is>
          <t>マド2枚建 (201910～)</t>
        </is>
      </c>
      <c r="M557" s="42" t="inlineStr">
        <is>
          <t>17</t>
        </is>
      </c>
      <c r="N557" s="42" t="inlineStr">
        <is>
          <t>07403</t>
        </is>
      </c>
      <c r="O557" s="42" t="inlineStr">
        <is>
          <t>防犯建物部品欄の30mil構成を規格呼称へ直接突合。</t>
        </is>
      </c>
    </row>
    <row r="558">
      <c r="A558" s="42" t="inlineStr">
        <is>
          <t>SZ-SL-000557</t>
        </is>
      </c>
      <c r="B558" s="42" t="inlineStr">
        <is>
          <t>WT-SL-MENKOSHI-HIKI</t>
        </is>
      </c>
      <c r="C558" s="42" t="inlineStr">
        <is>
          <t>面格子付引違い窓</t>
        </is>
      </c>
      <c r="D558" s="42" t="inlineStr">
        <is>
          <t>SP-SL-GRILLE-IGETA</t>
        </is>
      </c>
      <c r="E558" s="42" t="inlineStr">
        <is>
          <t>06003</t>
        </is>
      </c>
      <c r="F558" s="42" t="inlineStr">
        <is>
          <t>640</t>
        </is>
      </c>
      <c r="G558" s="42" t="inlineStr">
        <is>
          <t>370</t>
        </is>
      </c>
      <c r="H558" s="42" t="inlineStr">
        <is>
          <t>True</t>
        </is>
      </c>
      <c r="I558" s="42" t="inlineStr">
        <is>
          <t>ALLOWED</t>
        </is>
      </c>
      <c r="J558" s="42" t="inlineStr">
        <is>
          <t>DIRECT_OFFICIAL_STANDARD_ROW</t>
        </is>
      </c>
      <c r="K558" s="42" t="inlineStr">
        <is>
          <t>SDC0003156</t>
        </is>
      </c>
      <c r="L558" s="42" t="inlineStr">
        <is>
          <t>マド2枚建 (201910～)</t>
        </is>
      </c>
      <c r="M558" s="42" t="inlineStr">
        <is>
          <t>9</t>
        </is>
      </c>
      <c r="N558" s="42" t="inlineStr">
        <is>
          <t>06003</t>
        </is>
      </c>
      <c r="O558" s="42" t="inlineStr">
        <is>
          <t>防犯建物部品欄の30mil構成を規格呼称へ直接突合。</t>
        </is>
      </c>
    </row>
    <row r="559">
      <c r="A559" s="42" t="inlineStr">
        <is>
          <t>SZ-SL-000558</t>
        </is>
      </c>
      <c r="B559" s="42" t="inlineStr">
        <is>
          <t>WT-SL-MENKOSHI-HIKI</t>
        </is>
      </c>
      <c r="C559" s="42" t="inlineStr">
        <is>
          <t>面格子付引違い窓</t>
        </is>
      </c>
      <c r="D559" s="42" t="inlineStr">
        <is>
          <t>SP-SL-GRILLE-IGETA</t>
        </is>
      </c>
      <c r="E559" s="42" t="inlineStr">
        <is>
          <t>06903</t>
        </is>
      </c>
      <c r="F559" s="42" t="inlineStr">
        <is>
          <t>730</t>
        </is>
      </c>
      <c r="G559" s="42" t="inlineStr">
        <is>
          <t>370</t>
        </is>
      </c>
      <c r="H559" s="42" t="inlineStr">
        <is>
          <t>True</t>
        </is>
      </c>
      <c r="I559" s="42" t="inlineStr">
        <is>
          <t>ALLOWED</t>
        </is>
      </c>
      <c r="J559" s="42" t="inlineStr">
        <is>
          <t>DIRECT_OFFICIAL_STANDARD_ROW</t>
        </is>
      </c>
      <c r="K559" s="42" t="inlineStr">
        <is>
          <t>SDC0003156</t>
        </is>
      </c>
      <c r="L559" s="42" t="inlineStr">
        <is>
          <t>マド2枚建 (201910～)</t>
        </is>
      </c>
      <c r="M559" s="42" t="inlineStr">
        <is>
          <t>13</t>
        </is>
      </c>
      <c r="N559" s="42" t="inlineStr">
        <is>
          <t>06903</t>
        </is>
      </c>
      <c r="O559" s="42" t="inlineStr">
        <is>
          <t>防犯建物部品欄の30mil構成を規格呼称へ直接突合。</t>
        </is>
      </c>
    </row>
    <row r="560">
      <c r="A560" s="42" t="inlineStr">
        <is>
          <t>SZ-SL-000559</t>
        </is>
      </c>
      <c r="B560" s="42" t="inlineStr">
        <is>
          <t>WT-SL-MENKOSHI-HIKI</t>
        </is>
      </c>
      <c r="C560" s="42" t="inlineStr">
        <is>
          <t>面格子付引違い窓</t>
        </is>
      </c>
      <c r="D560" s="42" t="inlineStr">
        <is>
          <t>SP-SL-GRILLE-IGETA</t>
        </is>
      </c>
      <c r="E560" s="42" t="inlineStr">
        <is>
          <t>07403</t>
        </is>
      </c>
      <c r="F560" s="42" t="inlineStr">
        <is>
          <t>780</t>
        </is>
      </c>
      <c r="G560" s="42" t="inlineStr">
        <is>
          <t>370</t>
        </is>
      </c>
      <c r="H560" s="42" t="inlineStr">
        <is>
          <t>True</t>
        </is>
      </c>
      <c r="I560" s="42" t="inlineStr">
        <is>
          <t>ALLOWED</t>
        </is>
      </c>
      <c r="J560" s="42" t="inlineStr">
        <is>
          <t>DIRECT_OFFICIAL_STANDARD_ROW</t>
        </is>
      </c>
      <c r="K560" s="42" t="inlineStr">
        <is>
          <t>SDC0003156</t>
        </is>
      </c>
      <c r="L560" s="42" t="inlineStr">
        <is>
          <t>マド2枚建 (201910～)</t>
        </is>
      </c>
      <c r="M560" s="42" t="inlineStr">
        <is>
          <t>17</t>
        </is>
      </c>
      <c r="N560" s="42" t="inlineStr">
        <is>
          <t>07403</t>
        </is>
      </c>
      <c r="O560" s="42" t="inlineStr">
        <is>
          <t>防犯建物部品欄の30mil構成を規格呼称へ直接突合。</t>
        </is>
      </c>
    </row>
    <row r="561">
      <c r="A561" s="42" t="inlineStr">
        <is>
          <t>SZ-SL-000560</t>
        </is>
      </c>
      <c r="B561" s="42" t="inlineStr">
        <is>
          <t>WT-SL-MENKOSHI-HIKI</t>
        </is>
      </c>
      <c r="C561" s="42" t="inlineStr">
        <is>
          <t>面格子付引違い窓</t>
        </is>
      </c>
      <c r="D561" s="42" t="inlineStr">
        <is>
          <t>SP-SL-GRILLE-V</t>
        </is>
      </c>
      <c r="E561" s="42" t="inlineStr">
        <is>
          <t>06003</t>
        </is>
      </c>
      <c r="F561" s="42" t="inlineStr">
        <is>
          <t>640</t>
        </is>
      </c>
      <c r="G561" s="42" t="inlineStr">
        <is>
          <t>370</t>
        </is>
      </c>
      <c r="H561" s="42" t="inlineStr">
        <is>
          <t>True</t>
        </is>
      </c>
      <c r="I561" s="42" t="inlineStr">
        <is>
          <t>ALLOWED</t>
        </is>
      </c>
      <c r="J561" s="42" t="inlineStr">
        <is>
          <t>DIRECT_OFFICIAL_STANDARD_ROW</t>
        </is>
      </c>
      <c r="K561" s="42" t="inlineStr">
        <is>
          <t>SDC0003156</t>
        </is>
      </c>
      <c r="L561" s="42" t="inlineStr">
        <is>
          <t>マド2枚建 (201910～)</t>
        </is>
      </c>
      <c r="M561" s="42" t="inlineStr">
        <is>
          <t>9</t>
        </is>
      </c>
      <c r="N561" s="42" t="inlineStr">
        <is>
          <t>06003</t>
        </is>
      </c>
      <c r="O561" s="42" t="inlineStr">
        <is>
          <t>防犯建物部品欄の30mil構成を規格呼称へ直接突合。</t>
        </is>
      </c>
    </row>
    <row r="562">
      <c r="A562" s="42" t="inlineStr">
        <is>
          <t>SZ-SL-000561</t>
        </is>
      </c>
      <c r="B562" s="42" t="inlineStr">
        <is>
          <t>WT-SL-MENKOSHI-HIKI</t>
        </is>
      </c>
      <c r="C562" s="42" t="inlineStr">
        <is>
          <t>面格子付引違い窓</t>
        </is>
      </c>
      <c r="D562" s="42" t="inlineStr">
        <is>
          <t>SP-SL-GRILLE-V</t>
        </is>
      </c>
      <c r="E562" s="42" t="inlineStr">
        <is>
          <t>06903</t>
        </is>
      </c>
      <c r="F562" s="42" t="inlineStr">
        <is>
          <t>730</t>
        </is>
      </c>
      <c r="G562" s="42" t="inlineStr">
        <is>
          <t>370</t>
        </is>
      </c>
      <c r="H562" s="42" t="inlineStr">
        <is>
          <t>True</t>
        </is>
      </c>
      <c r="I562" s="42" t="inlineStr">
        <is>
          <t>ALLOWED</t>
        </is>
      </c>
      <c r="J562" s="42" t="inlineStr">
        <is>
          <t>DIRECT_OFFICIAL_STANDARD_ROW</t>
        </is>
      </c>
      <c r="K562" s="42" t="inlineStr">
        <is>
          <t>SDC0003156</t>
        </is>
      </c>
      <c r="L562" s="42" t="inlineStr">
        <is>
          <t>マド2枚建 (201910～)</t>
        </is>
      </c>
      <c r="M562" s="42" t="inlineStr">
        <is>
          <t>13</t>
        </is>
      </c>
      <c r="N562" s="42" t="inlineStr">
        <is>
          <t>06903</t>
        </is>
      </c>
      <c r="O562" s="42" t="inlineStr">
        <is>
          <t>防犯建物部品欄の30mil構成を規格呼称へ直接突合。</t>
        </is>
      </c>
    </row>
    <row r="563">
      <c r="A563" s="42" t="inlineStr">
        <is>
          <t>SZ-SL-000562</t>
        </is>
      </c>
      <c r="B563" s="42" t="inlineStr">
        <is>
          <t>WT-SL-MENKOSHI-HIKI</t>
        </is>
      </c>
      <c r="C563" s="42" t="inlineStr">
        <is>
          <t>面格子付引違い窓</t>
        </is>
      </c>
      <c r="D563" s="42" t="inlineStr">
        <is>
          <t>SP-SL-GRILLE-V</t>
        </is>
      </c>
      <c r="E563" s="42" t="inlineStr">
        <is>
          <t>07403</t>
        </is>
      </c>
      <c r="F563" s="42" t="inlineStr">
        <is>
          <t>780</t>
        </is>
      </c>
      <c r="G563" s="42" t="inlineStr">
        <is>
          <t>370</t>
        </is>
      </c>
      <c r="H563" s="42" t="inlineStr">
        <is>
          <t>True</t>
        </is>
      </c>
      <c r="I563" s="42" t="inlineStr">
        <is>
          <t>ALLOWED</t>
        </is>
      </c>
      <c r="J563" s="42" t="inlineStr">
        <is>
          <t>DIRECT_OFFICIAL_STANDARD_ROW</t>
        </is>
      </c>
      <c r="K563" s="42" t="inlineStr">
        <is>
          <t>SDC0003156</t>
        </is>
      </c>
      <c r="L563" s="42" t="inlineStr">
        <is>
          <t>マド2枚建 (201910～)</t>
        </is>
      </c>
      <c r="M563" s="42" t="inlineStr">
        <is>
          <t>17</t>
        </is>
      </c>
      <c r="N563" s="42" t="inlineStr">
        <is>
          <t>07403</t>
        </is>
      </c>
      <c r="O563" s="42" t="inlineStr">
        <is>
          <t>防犯建物部品欄の30mil構成を規格呼称へ直接突合。</t>
        </is>
      </c>
    </row>
    <row r="564">
      <c r="A564" s="42" t="inlineStr">
        <is>
          <t>SZ-SL-000563</t>
        </is>
      </c>
      <c r="B564" s="42" t="inlineStr">
        <is>
          <t>WT-SL-MENKOSHI-HIKI</t>
        </is>
      </c>
      <c r="C564" s="42" t="inlineStr">
        <is>
          <t>面格子付引違い窓</t>
        </is>
      </c>
      <c r="D564" s="42" t="inlineStr">
        <is>
          <t>SP-SL-GRILLE-DIA</t>
        </is>
      </c>
      <c r="E564" s="42" t="inlineStr">
        <is>
          <t>06005</t>
        </is>
      </c>
      <c r="F564" s="42" t="inlineStr">
        <is>
          <t>640</t>
        </is>
      </c>
      <c r="G564" s="42" t="inlineStr">
        <is>
          <t>570</t>
        </is>
      </c>
      <c r="H564" s="42" t="inlineStr">
        <is>
          <t>True</t>
        </is>
      </c>
      <c r="I564" s="42" t="inlineStr">
        <is>
          <t>ALLOWED</t>
        </is>
      </c>
      <c r="J564" s="42" t="inlineStr">
        <is>
          <t>DIRECT_OFFICIAL_STANDARD_ROW</t>
        </is>
      </c>
      <c r="K564" s="42" t="inlineStr">
        <is>
          <t>SDC0003156</t>
        </is>
      </c>
      <c r="L564" s="42" t="inlineStr">
        <is>
          <t>マド2枚建 (201910～)</t>
        </is>
      </c>
      <c r="M564" s="42" t="inlineStr">
        <is>
          <t>10</t>
        </is>
      </c>
      <c r="N564" s="42" t="inlineStr">
        <is>
          <t>06005</t>
        </is>
      </c>
      <c r="O564" s="42" t="inlineStr">
        <is>
          <t>防犯建物部品欄の30mil構成を規格呼称へ直接突合。</t>
        </is>
      </c>
    </row>
    <row r="565">
      <c r="A565" s="42" t="inlineStr">
        <is>
          <t>SZ-SL-000564</t>
        </is>
      </c>
      <c r="B565" s="42" t="inlineStr">
        <is>
          <t>WT-SL-MENKOSHI-HIKI</t>
        </is>
      </c>
      <c r="C565" s="42" t="inlineStr">
        <is>
          <t>面格子付引違い窓</t>
        </is>
      </c>
      <c r="D565" s="42" t="inlineStr">
        <is>
          <t>SP-SL-GRILLE-DIA</t>
        </is>
      </c>
      <c r="E565" s="42" t="inlineStr">
        <is>
          <t>06905</t>
        </is>
      </c>
      <c r="F565" s="42" t="inlineStr">
        <is>
          <t>730</t>
        </is>
      </c>
      <c r="G565" s="42" t="inlineStr">
        <is>
          <t>570</t>
        </is>
      </c>
      <c r="H565" s="42" t="inlineStr">
        <is>
          <t>True</t>
        </is>
      </c>
      <c r="I565" s="42" t="inlineStr">
        <is>
          <t>ALLOWED</t>
        </is>
      </c>
      <c r="J565" s="42" t="inlineStr">
        <is>
          <t>DIRECT_OFFICIAL_STANDARD_ROW</t>
        </is>
      </c>
      <c r="K565" s="42" t="inlineStr">
        <is>
          <t>SDC0003156</t>
        </is>
      </c>
      <c r="L565" s="42" t="inlineStr">
        <is>
          <t>マド2枚建 (201910～)</t>
        </is>
      </c>
      <c r="M565" s="42" t="inlineStr">
        <is>
          <t>14</t>
        </is>
      </c>
      <c r="N565" s="42" t="inlineStr">
        <is>
          <t>06905</t>
        </is>
      </c>
      <c r="O565" s="42" t="inlineStr">
        <is>
          <t>防犯建物部品欄の30mil構成を規格呼称へ直接突合。</t>
        </is>
      </c>
    </row>
    <row r="566">
      <c r="A566" s="42" t="inlineStr">
        <is>
          <t>SZ-SL-000565</t>
        </is>
      </c>
      <c r="B566" s="42" t="inlineStr">
        <is>
          <t>WT-SL-MENKOSHI-HIKI</t>
        </is>
      </c>
      <c r="C566" s="42" t="inlineStr">
        <is>
          <t>面格子付引違い窓</t>
        </is>
      </c>
      <c r="D566" s="42" t="inlineStr">
        <is>
          <t>SP-SL-GRILLE-DIA</t>
        </is>
      </c>
      <c r="E566" s="42" t="inlineStr">
        <is>
          <t>07405</t>
        </is>
      </c>
      <c r="F566" s="42" t="inlineStr">
        <is>
          <t>780</t>
        </is>
      </c>
      <c r="G566" s="42" t="inlineStr">
        <is>
          <t>570</t>
        </is>
      </c>
      <c r="H566" s="42" t="inlineStr">
        <is>
          <t>True</t>
        </is>
      </c>
      <c r="I566" s="42" t="inlineStr">
        <is>
          <t>ALLOWED</t>
        </is>
      </c>
      <c r="J566" s="42" t="inlineStr">
        <is>
          <t>DIRECT_OFFICIAL_STANDARD_ROW</t>
        </is>
      </c>
      <c r="K566" s="42" t="inlineStr">
        <is>
          <t>SDC0003156</t>
        </is>
      </c>
      <c r="L566" s="42" t="inlineStr">
        <is>
          <t>マド2枚建 (201910～)</t>
        </is>
      </c>
      <c r="M566" s="42" t="inlineStr">
        <is>
          <t>18</t>
        </is>
      </c>
      <c r="N566" s="42" t="inlineStr">
        <is>
          <t>07405</t>
        </is>
      </c>
      <c r="O566" s="42" t="inlineStr">
        <is>
          <t>防犯建物部品欄の30mil構成を規格呼称へ直接突合。</t>
        </is>
      </c>
    </row>
    <row r="567">
      <c r="A567" s="42" t="inlineStr">
        <is>
          <t>SZ-SL-000566</t>
        </is>
      </c>
      <c r="B567" s="42" t="inlineStr">
        <is>
          <t>WT-SL-MENKOSHI-HIKI</t>
        </is>
      </c>
      <c r="C567" s="42" t="inlineStr">
        <is>
          <t>面格子付引違い窓</t>
        </is>
      </c>
      <c r="D567" s="42" t="inlineStr">
        <is>
          <t>SP-SL-GRILLE-DIA</t>
        </is>
      </c>
      <c r="E567" s="42" t="inlineStr">
        <is>
          <t>07805</t>
        </is>
      </c>
      <c r="F567" s="42" t="inlineStr">
        <is>
          <t>820</t>
        </is>
      </c>
      <c r="G567" s="42" t="inlineStr">
        <is>
          <t>570</t>
        </is>
      </c>
      <c r="H567" s="42" t="inlineStr">
        <is>
          <t>True</t>
        </is>
      </c>
      <c r="I567" s="42" t="inlineStr">
        <is>
          <t>ALLOWED</t>
        </is>
      </c>
      <c r="J567" s="42" t="inlineStr">
        <is>
          <t>DIRECT_OFFICIAL_STANDARD_ROW</t>
        </is>
      </c>
      <c r="K567" s="42" t="inlineStr">
        <is>
          <t>SDC0003156</t>
        </is>
      </c>
      <c r="L567" s="42" t="inlineStr">
        <is>
          <t>マド2枚建 (201910～)</t>
        </is>
      </c>
      <c r="M567" s="42" t="inlineStr">
        <is>
          <t>22</t>
        </is>
      </c>
      <c r="N567" s="42" t="inlineStr">
        <is>
          <t>07805</t>
        </is>
      </c>
      <c r="O567" s="42" t="inlineStr">
        <is>
          <t>防犯建物部品欄の30mil構成を規格呼称へ直接突合。</t>
        </is>
      </c>
    </row>
    <row r="568">
      <c r="A568" s="42" t="inlineStr">
        <is>
          <t>SZ-SL-000567</t>
        </is>
      </c>
      <c r="B568" s="42" t="inlineStr">
        <is>
          <t>WT-SL-MENKOSHI-HIKI</t>
        </is>
      </c>
      <c r="C568" s="42" t="inlineStr">
        <is>
          <t>面格子付引違い窓</t>
        </is>
      </c>
      <c r="D568" s="42" t="inlineStr">
        <is>
          <t>SP-SL-GRILLE-H</t>
        </is>
      </c>
      <c r="E568" s="42" t="inlineStr">
        <is>
          <t>06005</t>
        </is>
      </c>
      <c r="F568" s="42" t="inlineStr">
        <is>
          <t>640</t>
        </is>
      </c>
      <c r="G568" s="42" t="inlineStr">
        <is>
          <t>570</t>
        </is>
      </c>
      <c r="H568" s="42" t="inlineStr">
        <is>
          <t>True</t>
        </is>
      </c>
      <c r="I568" s="42" t="inlineStr">
        <is>
          <t>ALLOWED</t>
        </is>
      </c>
      <c r="J568" s="42" t="inlineStr">
        <is>
          <t>DIRECT_OFFICIAL_STANDARD_ROW</t>
        </is>
      </c>
      <c r="K568" s="42" t="inlineStr">
        <is>
          <t>SDC0003156</t>
        </is>
      </c>
      <c r="L568" s="42" t="inlineStr">
        <is>
          <t>マド2枚建 (201910～)</t>
        </is>
      </c>
      <c r="M568" s="42" t="inlineStr">
        <is>
          <t>10</t>
        </is>
      </c>
      <c r="N568" s="42" t="inlineStr">
        <is>
          <t>06005</t>
        </is>
      </c>
      <c r="O568" s="42" t="inlineStr">
        <is>
          <t>防犯建物部品欄の30mil構成を規格呼称へ直接突合。</t>
        </is>
      </c>
    </row>
    <row r="569">
      <c r="A569" s="42" t="inlineStr">
        <is>
          <t>SZ-SL-000568</t>
        </is>
      </c>
      <c r="B569" s="42" t="inlineStr">
        <is>
          <t>WT-SL-MENKOSHI-HIKI</t>
        </is>
      </c>
      <c r="C569" s="42" t="inlineStr">
        <is>
          <t>面格子付引違い窓</t>
        </is>
      </c>
      <c r="D569" s="42" t="inlineStr">
        <is>
          <t>SP-SL-GRILLE-H</t>
        </is>
      </c>
      <c r="E569" s="42" t="inlineStr">
        <is>
          <t>06905</t>
        </is>
      </c>
      <c r="F569" s="42" t="inlineStr">
        <is>
          <t>730</t>
        </is>
      </c>
      <c r="G569" s="42" t="inlineStr">
        <is>
          <t>570</t>
        </is>
      </c>
      <c r="H569" s="42" t="inlineStr">
        <is>
          <t>True</t>
        </is>
      </c>
      <c r="I569" s="42" t="inlineStr">
        <is>
          <t>ALLOWED</t>
        </is>
      </c>
      <c r="J569" s="42" t="inlineStr">
        <is>
          <t>DIRECT_OFFICIAL_STANDARD_ROW</t>
        </is>
      </c>
      <c r="K569" s="42" t="inlineStr">
        <is>
          <t>SDC0003156</t>
        </is>
      </c>
      <c r="L569" s="42" t="inlineStr">
        <is>
          <t>マド2枚建 (201910～)</t>
        </is>
      </c>
      <c r="M569" s="42" t="inlineStr">
        <is>
          <t>14</t>
        </is>
      </c>
      <c r="N569" s="42" t="inlineStr">
        <is>
          <t>06905</t>
        </is>
      </c>
      <c r="O569" s="42" t="inlineStr">
        <is>
          <t>防犯建物部品欄の30mil構成を規格呼称へ直接突合。</t>
        </is>
      </c>
    </row>
    <row r="570">
      <c r="A570" s="42" t="inlineStr">
        <is>
          <t>SZ-SL-000569</t>
        </is>
      </c>
      <c r="B570" s="42" t="inlineStr">
        <is>
          <t>WT-SL-MENKOSHI-HIKI</t>
        </is>
      </c>
      <c r="C570" s="42" t="inlineStr">
        <is>
          <t>面格子付引違い窓</t>
        </is>
      </c>
      <c r="D570" s="42" t="inlineStr">
        <is>
          <t>SP-SL-GRILLE-H</t>
        </is>
      </c>
      <c r="E570" s="42" t="inlineStr">
        <is>
          <t>07405</t>
        </is>
      </c>
      <c r="F570" s="42" t="inlineStr">
        <is>
          <t>780</t>
        </is>
      </c>
      <c r="G570" s="42" t="inlineStr">
        <is>
          <t>570</t>
        </is>
      </c>
      <c r="H570" s="42" t="inlineStr">
        <is>
          <t>True</t>
        </is>
      </c>
      <c r="I570" s="42" t="inlineStr">
        <is>
          <t>ALLOWED</t>
        </is>
      </c>
      <c r="J570" s="42" t="inlineStr">
        <is>
          <t>DIRECT_OFFICIAL_STANDARD_ROW</t>
        </is>
      </c>
      <c r="K570" s="42" t="inlineStr">
        <is>
          <t>SDC0003156</t>
        </is>
      </c>
      <c r="L570" s="42" t="inlineStr">
        <is>
          <t>マド2枚建 (201910～)</t>
        </is>
      </c>
      <c r="M570" s="42" t="inlineStr">
        <is>
          <t>18</t>
        </is>
      </c>
      <c r="N570" s="42" t="inlineStr">
        <is>
          <t>07405</t>
        </is>
      </c>
      <c r="O570" s="42" t="inlineStr">
        <is>
          <t>防犯建物部品欄の30mil構成を規格呼称へ直接突合。</t>
        </is>
      </c>
    </row>
    <row r="571">
      <c r="A571" s="42" t="inlineStr">
        <is>
          <t>SZ-SL-000570</t>
        </is>
      </c>
      <c r="B571" s="42" t="inlineStr">
        <is>
          <t>WT-SL-MENKOSHI-HIKI</t>
        </is>
      </c>
      <c r="C571" s="42" t="inlineStr">
        <is>
          <t>面格子付引違い窓</t>
        </is>
      </c>
      <c r="D571" s="42" t="inlineStr">
        <is>
          <t>SP-SL-GRILLE-H</t>
        </is>
      </c>
      <c r="E571" s="42" t="inlineStr">
        <is>
          <t>07805</t>
        </is>
      </c>
      <c r="F571" s="42" t="inlineStr">
        <is>
          <t>820</t>
        </is>
      </c>
      <c r="G571" s="42" t="inlineStr">
        <is>
          <t>570</t>
        </is>
      </c>
      <c r="H571" s="42" t="inlineStr">
        <is>
          <t>True</t>
        </is>
      </c>
      <c r="I571" s="42" t="inlineStr">
        <is>
          <t>ALLOWED</t>
        </is>
      </c>
      <c r="J571" s="42" t="inlineStr">
        <is>
          <t>DIRECT_OFFICIAL_STANDARD_ROW</t>
        </is>
      </c>
      <c r="K571" s="42" t="inlineStr">
        <is>
          <t>SDC0003156</t>
        </is>
      </c>
      <c r="L571" s="42" t="inlineStr">
        <is>
          <t>マド2枚建 (201910～)</t>
        </is>
      </c>
      <c r="M571" s="42" t="inlineStr">
        <is>
          <t>22</t>
        </is>
      </c>
      <c r="N571" s="42" t="inlineStr">
        <is>
          <t>07805</t>
        </is>
      </c>
      <c r="O571" s="42" t="inlineStr">
        <is>
          <t>防犯建物部品欄の30mil構成を規格呼称へ直接突合。</t>
        </is>
      </c>
    </row>
    <row r="572">
      <c r="A572" s="42" t="inlineStr">
        <is>
          <t>SZ-SL-000571</t>
        </is>
      </c>
      <c r="B572" s="42" t="inlineStr">
        <is>
          <t>WT-SL-MENKOSHI-HIKI</t>
        </is>
      </c>
      <c r="C572" s="42" t="inlineStr">
        <is>
          <t>面格子付引違い窓</t>
        </is>
      </c>
      <c r="D572" s="42" t="inlineStr">
        <is>
          <t>SP-SL-GRILLE-IGETA</t>
        </is>
      </c>
      <c r="E572" s="42" t="inlineStr">
        <is>
          <t>06005</t>
        </is>
      </c>
      <c r="F572" s="42" t="inlineStr">
        <is>
          <t>640</t>
        </is>
      </c>
      <c r="G572" s="42" t="inlineStr">
        <is>
          <t>570</t>
        </is>
      </c>
      <c r="H572" s="42" t="inlineStr">
        <is>
          <t>True</t>
        </is>
      </c>
      <c r="I572" s="42" t="inlineStr">
        <is>
          <t>ALLOWED</t>
        </is>
      </c>
      <c r="J572" s="42" t="inlineStr">
        <is>
          <t>DIRECT_OFFICIAL_STANDARD_ROW</t>
        </is>
      </c>
      <c r="K572" s="42" t="inlineStr">
        <is>
          <t>SDC0003156</t>
        </is>
      </c>
      <c r="L572" s="42" t="inlineStr">
        <is>
          <t>マド2枚建 (201910～)</t>
        </is>
      </c>
      <c r="M572" s="42" t="inlineStr">
        <is>
          <t>10</t>
        </is>
      </c>
      <c r="N572" s="42" t="inlineStr">
        <is>
          <t>06005</t>
        </is>
      </c>
      <c r="O572" s="42" t="inlineStr">
        <is>
          <t>防犯建物部品欄の30mil構成を規格呼称へ直接突合。</t>
        </is>
      </c>
    </row>
    <row r="573">
      <c r="A573" s="42" t="inlineStr">
        <is>
          <t>SZ-SL-000572</t>
        </is>
      </c>
      <c r="B573" s="42" t="inlineStr">
        <is>
          <t>WT-SL-MENKOSHI-HIKI</t>
        </is>
      </c>
      <c r="C573" s="42" t="inlineStr">
        <is>
          <t>面格子付引違い窓</t>
        </is>
      </c>
      <c r="D573" s="42" t="inlineStr">
        <is>
          <t>SP-SL-GRILLE-IGETA</t>
        </is>
      </c>
      <c r="E573" s="42" t="inlineStr">
        <is>
          <t>06905</t>
        </is>
      </c>
      <c r="F573" s="42" t="inlineStr">
        <is>
          <t>730</t>
        </is>
      </c>
      <c r="G573" s="42" t="inlineStr">
        <is>
          <t>570</t>
        </is>
      </c>
      <c r="H573" s="42" t="inlineStr">
        <is>
          <t>True</t>
        </is>
      </c>
      <c r="I573" s="42" t="inlineStr">
        <is>
          <t>ALLOWED</t>
        </is>
      </c>
      <c r="J573" s="42" t="inlineStr">
        <is>
          <t>DIRECT_OFFICIAL_STANDARD_ROW</t>
        </is>
      </c>
      <c r="K573" s="42" t="inlineStr">
        <is>
          <t>SDC0003156</t>
        </is>
      </c>
      <c r="L573" s="42" t="inlineStr">
        <is>
          <t>マド2枚建 (201910～)</t>
        </is>
      </c>
      <c r="M573" s="42" t="inlineStr">
        <is>
          <t>14</t>
        </is>
      </c>
      <c r="N573" s="42" t="inlineStr">
        <is>
          <t>06905</t>
        </is>
      </c>
      <c r="O573" s="42" t="inlineStr">
        <is>
          <t>防犯建物部品欄の30mil構成を規格呼称へ直接突合。</t>
        </is>
      </c>
    </row>
    <row r="574">
      <c r="A574" s="42" t="inlineStr">
        <is>
          <t>SZ-SL-000573</t>
        </is>
      </c>
      <c r="B574" s="42" t="inlineStr">
        <is>
          <t>WT-SL-MENKOSHI-HIKI</t>
        </is>
      </c>
      <c r="C574" s="42" t="inlineStr">
        <is>
          <t>面格子付引違い窓</t>
        </is>
      </c>
      <c r="D574" s="42" t="inlineStr">
        <is>
          <t>SP-SL-GRILLE-IGETA</t>
        </is>
      </c>
      <c r="E574" s="42" t="inlineStr">
        <is>
          <t>07405</t>
        </is>
      </c>
      <c r="F574" s="42" t="inlineStr">
        <is>
          <t>780</t>
        </is>
      </c>
      <c r="G574" s="42" t="inlineStr">
        <is>
          <t>570</t>
        </is>
      </c>
      <c r="H574" s="42" t="inlineStr">
        <is>
          <t>True</t>
        </is>
      </c>
      <c r="I574" s="42" t="inlineStr">
        <is>
          <t>ALLOWED</t>
        </is>
      </c>
      <c r="J574" s="42" t="inlineStr">
        <is>
          <t>DIRECT_OFFICIAL_STANDARD_ROW</t>
        </is>
      </c>
      <c r="K574" s="42" t="inlineStr">
        <is>
          <t>SDC0003156</t>
        </is>
      </c>
      <c r="L574" s="42" t="inlineStr">
        <is>
          <t>マド2枚建 (201910～)</t>
        </is>
      </c>
      <c r="M574" s="42" t="inlineStr">
        <is>
          <t>18</t>
        </is>
      </c>
      <c r="N574" s="42" t="inlineStr">
        <is>
          <t>07405</t>
        </is>
      </c>
      <c r="O574" s="42" t="inlineStr">
        <is>
          <t>防犯建物部品欄の30mil構成を規格呼称へ直接突合。</t>
        </is>
      </c>
    </row>
    <row r="575">
      <c r="A575" s="42" t="inlineStr">
        <is>
          <t>SZ-SL-000574</t>
        </is>
      </c>
      <c r="B575" s="42" t="inlineStr">
        <is>
          <t>WT-SL-MENKOSHI-HIKI</t>
        </is>
      </c>
      <c r="C575" s="42" t="inlineStr">
        <is>
          <t>面格子付引違い窓</t>
        </is>
      </c>
      <c r="D575" s="42" t="inlineStr">
        <is>
          <t>SP-SL-GRILLE-IGETA</t>
        </is>
      </c>
      <c r="E575" s="42" t="inlineStr">
        <is>
          <t>07805</t>
        </is>
      </c>
      <c r="F575" s="42" t="inlineStr">
        <is>
          <t>820</t>
        </is>
      </c>
      <c r="G575" s="42" t="inlineStr">
        <is>
          <t>570</t>
        </is>
      </c>
      <c r="H575" s="42" t="inlineStr">
        <is>
          <t>True</t>
        </is>
      </c>
      <c r="I575" s="42" t="inlineStr">
        <is>
          <t>ALLOWED</t>
        </is>
      </c>
      <c r="J575" s="42" t="inlineStr">
        <is>
          <t>DIRECT_OFFICIAL_STANDARD_ROW</t>
        </is>
      </c>
      <c r="K575" s="42" t="inlineStr">
        <is>
          <t>SDC0003156</t>
        </is>
      </c>
      <c r="L575" s="42" t="inlineStr">
        <is>
          <t>マド2枚建 (201910～)</t>
        </is>
      </c>
      <c r="M575" s="42" t="inlineStr">
        <is>
          <t>22</t>
        </is>
      </c>
      <c r="N575" s="42" t="inlineStr">
        <is>
          <t>07805</t>
        </is>
      </c>
      <c r="O575" s="42" t="inlineStr">
        <is>
          <t>防犯建物部品欄の30mil構成を規格呼称へ直接突合。</t>
        </is>
      </c>
    </row>
    <row r="576">
      <c r="A576" s="42" t="inlineStr">
        <is>
          <t>SZ-SL-000575</t>
        </is>
      </c>
      <c r="B576" s="42" t="inlineStr">
        <is>
          <t>WT-SL-MENKOSHI-HIKI</t>
        </is>
      </c>
      <c r="C576" s="42" t="inlineStr">
        <is>
          <t>面格子付引違い窓</t>
        </is>
      </c>
      <c r="D576" s="42" t="inlineStr">
        <is>
          <t>SP-SL-GRILLE-V</t>
        </is>
      </c>
      <c r="E576" s="42" t="inlineStr">
        <is>
          <t>06005</t>
        </is>
      </c>
      <c r="F576" s="42" t="inlineStr">
        <is>
          <t>640</t>
        </is>
      </c>
      <c r="G576" s="42" t="inlineStr">
        <is>
          <t>570</t>
        </is>
      </c>
      <c r="H576" s="42" t="inlineStr">
        <is>
          <t>True</t>
        </is>
      </c>
      <c r="I576" s="42" t="inlineStr">
        <is>
          <t>ALLOWED</t>
        </is>
      </c>
      <c r="J576" s="42" t="inlineStr">
        <is>
          <t>DIRECT_OFFICIAL_STANDARD_ROW</t>
        </is>
      </c>
      <c r="K576" s="42" t="inlineStr">
        <is>
          <t>SDC0003156</t>
        </is>
      </c>
      <c r="L576" s="42" t="inlineStr">
        <is>
          <t>マド2枚建 (201910～)</t>
        </is>
      </c>
      <c r="M576" s="42" t="inlineStr">
        <is>
          <t>10</t>
        </is>
      </c>
      <c r="N576" s="42" t="inlineStr">
        <is>
          <t>06005</t>
        </is>
      </c>
      <c r="O576" s="42" t="inlineStr">
        <is>
          <t>防犯建物部品欄の30mil構成を規格呼称へ直接突合。</t>
        </is>
      </c>
    </row>
    <row r="577">
      <c r="A577" s="42" t="inlineStr">
        <is>
          <t>SZ-SL-000576</t>
        </is>
      </c>
      <c r="B577" s="42" t="inlineStr">
        <is>
          <t>WT-SL-MENKOSHI-HIKI</t>
        </is>
      </c>
      <c r="C577" s="42" t="inlineStr">
        <is>
          <t>面格子付引違い窓</t>
        </is>
      </c>
      <c r="D577" s="42" t="inlineStr">
        <is>
          <t>SP-SL-GRILLE-V</t>
        </is>
      </c>
      <c r="E577" s="42" t="inlineStr">
        <is>
          <t>06905</t>
        </is>
      </c>
      <c r="F577" s="42" t="inlineStr">
        <is>
          <t>730</t>
        </is>
      </c>
      <c r="G577" s="42" t="inlineStr">
        <is>
          <t>570</t>
        </is>
      </c>
      <c r="H577" s="42" t="inlineStr">
        <is>
          <t>True</t>
        </is>
      </c>
      <c r="I577" s="42" t="inlineStr">
        <is>
          <t>ALLOWED</t>
        </is>
      </c>
      <c r="J577" s="42" t="inlineStr">
        <is>
          <t>DIRECT_OFFICIAL_STANDARD_ROW</t>
        </is>
      </c>
      <c r="K577" s="42" t="inlineStr">
        <is>
          <t>SDC0003156</t>
        </is>
      </c>
      <c r="L577" s="42" t="inlineStr">
        <is>
          <t>マド2枚建 (201910～)</t>
        </is>
      </c>
      <c r="M577" s="42" t="inlineStr">
        <is>
          <t>14</t>
        </is>
      </c>
      <c r="N577" s="42" t="inlineStr">
        <is>
          <t>06905</t>
        </is>
      </c>
      <c r="O577" s="42" t="inlineStr">
        <is>
          <t>防犯建物部品欄の30mil構成を規格呼称へ直接突合。</t>
        </is>
      </c>
    </row>
    <row r="578">
      <c r="A578" s="42" t="inlineStr">
        <is>
          <t>SZ-SL-000577</t>
        </is>
      </c>
      <c r="B578" s="42" t="inlineStr">
        <is>
          <t>WT-SL-MENKOSHI-HIKI</t>
        </is>
      </c>
      <c r="C578" s="42" t="inlineStr">
        <is>
          <t>面格子付引違い窓</t>
        </is>
      </c>
      <c r="D578" s="42" t="inlineStr">
        <is>
          <t>SP-SL-GRILLE-V</t>
        </is>
      </c>
      <c r="E578" s="42" t="inlineStr">
        <is>
          <t>07405</t>
        </is>
      </c>
      <c r="F578" s="42" t="inlineStr">
        <is>
          <t>780</t>
        </is>
      </c>
      <c r="G578" s="42" t="inlineStr">
        <is>
          <t>570</t>
        </is>
      </c>
      <c r="H578" s="42" t="inlineStr">
        <is>
          <t>True</t>
        </is>
      </c>
      <c r="I578" s="42" t="inlineStr">
        <is>
          <t>ALLOWED</t>
        </is>
      </c>
      <c r="J578" s="42" t="inlineStr">
        <is>
          <t>DIRECT_OFFICIAL_STANDARD_ROW</t>
        </is>
      </c>
      <c r="K578" s="42" t="inlineStr">
        <is>
          <t>SDC0003156</t>
        </is>
      </c>
      <c r="L578" s="42" t="inlineStr">
        <is>
          <t>マド2枚建 (201910～)</t>
        </is>
      </c>
      <c r="M578" s="42" t="inlineStr">
        <is>
          <t>18</t>
        </is>
      </c>
      <c r="N578" s="42" t="inlineStr">
        <is>
          <t>07405</t>
        </is>
      </c>
      <c r="O578" s="42" t="inlineStr">
        <is>
          <t>防犯建物部品欄の30mil構成を規格呼称へ直接突合。</t>
        </is>
      </c>
    </row>
    <row r="579">
      <c r="A579" s="42" t="inlineStr">
        <is>
          <t>SZ-SL-000578</t>
        </is>
      </c>
      <c r="B579" s="42" t="inlineStr">
        <is>
          <t>WT-SL-MENKOSHI-HIKI</t>
        </is>
      </c>
      <c r="C579" s="42" t="inlineStr">
        <is>
          <t>面格子付引違い窓</t>
        </is>
      </c>
      <c r="D579" s="42" t="inlineStr">
        <is>
          <t>SP-SL-GRILLE-V</t>
        </is>
      </c>
      <c r="E579" s="42" t="inlineStr">
        <is>
          <t>07805</t>
        </is>
      </c>
      <c r="F579" s="42" t="inlineStr">
        <is>
          <t>820</t>
        </is>
      </c>
      <c r="G579" s="42" t="inlineStr">
        <is>
          <t>570</t>
        </is>
      </c>
      <c r="H579" s="42" t="inlineStr">
        <is>
          <t>True</t>
        </is>
      </c>
      <c r="I579" s="42" t="inlineStr">
        <is>
          <t>ALLOWED</t>
        </is>
      </c>
      <c r="J579" s="42" t="inlineStr">
        <is>
          <t>DIRECT_OFFICIAL_STANDARD_ROW</t>
        </is>
      </c>
      <c r="K579" s="42" t="inlineStr">
        <is>
          <t>SDC0003156</t>
        </is>
      </c>
      <c r="L579" s="42" t="inlineStr">
        <is>
          <t>マド2枚建 (201910～)</t>
        </is>
      </c>
      <c r="M579" s="42" t="inlineStr">
        <is>
          <t>22</t>
        </is>
      </c>
      <c r="N579" s="42" t="inlineStr">
        <is>
          <t>07805</t>
        </is>
      </c>
      <c r="O579" s="42" t="inlineStr">
        <is>
          <t>防犯建物部品欄の30mil構成を規格呼称へ直接突合。</t>
        </is>
      </c>
    </row>
    <row r="580">
      <c r="A580" s="42" t="inlineStr">
        <is>
          <t>SZ-SL-000579</t>
        </is>
      </c>
      <c r="B580" s="42" t="inlineStr">
        <is>
          <t>WT-SL-MENKOSHI-HIKI</t>
        </is>
      </c>
      <c r="C580" s="42" t="inlineStr">
        <is>
          <t>面格子付引違い窓</t>
        </is>
      </c>
      <c r="D580" s="42" t="inlineStr">
        <is>
          <t>SP-SL-GRILLE-DIA</t>
        </is>
      </c>
      <c r="E580" s="42" t="inlineStr">
        <is>
          <t>08005</t>
        </is>
      </c>
      <c r="F580" s="42" t="inlineStr">
        <is>
          <t>845</t>
        </is>
      </c>
      <c r="G580" s="42" t="inlineStr">
        <is>
          <t>570</t>
        </is>
      </c>
      <c r="H580" s="42" t="inlineStr">
        <is>
          <t>True</t>
        </is>
      </c>
      <c r="I580" s="42" t="inlineStr">
        <is>
          <t>ALLOWED</t>
        </is>
      </c>
      <c r="J580" s="42" t="inlineStr">
        <is>
          <t>DIRECT_OFFICIAL_STANDARD_ROW</t>
        </is>
      </c>
      <c r="K580" s="42" t="inlineStr">
        <is>
          <t>SDC0003156</t>
        </is>
      </c>
      <c r="L580" s="42" t="inlineStr">
        <is>
          <t>マド2枚建 (201910～)</t>
        </is>
      </c>
      <c r="M580" s="42" t="inlineStr">
        <is>
          <t>25</t>
        </is>
      </c>
      <c r="N580" s="42" t="inlineStr">
        <is>
          <t>08005</t>
        </is>
      </c>
      <c r="O580" s="42" t="inlineStr">
        <is>
          <t>防犯建物部品欄の30mil構成を規格呼称へ直接突合。</t>
        </is>
      </c>
    </row>
    <row r="581">
      <c r="A581" s="42" t="inlineStr">
        <is>
          <t>SZ-SL-000580</t>
        </is>
      </c>
      <c r="B581" s="42" t="inlineStr">
        <is>
          <t>WT-SL-MENKOSHI-HIKI</t>
        </is>
      </c>
      <c r="C581" s="42" t="inlineStr">
        <is>
          <t>面格子付引違い窓</t>
        </is>
      </c>
      <c r="D581" s="42" t="inlineStr">
        <is>
          <t>SP-SL-GRILLE-DIA</t>
        </is>
      </c>
      <c r="E581" s="42" t="inlineStr">
        <is>
          <t>08305</t>
        </is>
      </c>
      <c r="F581" s="42" t="inlineStr">
        <is>
          <t>870</t>
        </is>
      </c>
      <c r="G581" s="42" t="inlineStr">
        <is>
          <t>570</t>
        </is>
      </c>
      <c r="H581" s="42" t="inlineStr">
        <is>
          <t>True</t>
        </is>
      </c>
      <c r="I581" s="42" t="inlineStr">
        <is>
          <t>ALLOWED</t>
        </is>
      </c>
      <c r="J581" s="42" t="inlineStr">
        <is>
          <t>DIRECT_OFFICIAL_STANDARD_ROW</t>
        </is>
      </c>
      <c r="K581" s="42" t="inlineStr">
        <is>
          <t>SDC0003156</t>
        </is>
      </c>
      <c r="L581" s="42" t="inlineStr">
        <is>
          <t>マド2枚建 (201910～)</t>
        </is>
      </c>
      <c r="M581" s="42" t="inlineStr">
        <is>
          <t>28</t>
        </is>
      </c>
      <c r="N581" s="42" t="inlineStr">
        <is>
          <t>08305</t>
        </is>
      </c>
      <c r="O581" s="42" t="inlineStr">
        <is>
          <t>防犯建物部品欄の30mil構成を規格呼称へ直接突合。</t>
        </is>
      </c>
    </row>
    <row r="582">
      <c r="A582" s="42" t="inlineStr">
        <is>
          <t>SZ-SL-000581</t>
        </is>
      </c>
      <c r="B582" s="42" t="inlineStr">
        <is>
          <t>WT-SL-MENKOSHI-HIKI</t>
        </is>
      </c>
      <c r="C582" s="42" t="inlineStr">
        <is>
          <t>面格子付引違い窓</t>
        </is>
      </c>
      <c r="D582" s="42" t="inlineStr">
        <is>
          <t>SP-SL-GRILLE-DIA</t>
        </is>
      </c>
      <c r="E582" s="42" t="inlineStr">
        <is>
          <t>11405</t>
        </is>
      </c>
      <c r="F582" s="42" t="inlineStr">
        <is>
          <t>1185</t>
        </is>
      </c>
      <c r="G582" s="42" t="inlineStr">
        <is>
          <t>570</t>
        </is>
      </c>
      <c r="H582" s="42" t="inlineStr">
        <is>
          <t>True</t>
        </is>
      </c>
      <c r="I582" s="42" t="inlineStr">
        <is>
          <t>ALLOWED</t>
        </is>
      </c>
      <c r="J582" s="42" t="inlineStr">
        <is>
          <t>DIRECT_OFFICIAL_STANDARD_ROW</t>
        </is>
      </c>
      <c r="K582" s="42" t="inlineStr">
        <is>
          <t>SDC0003156</t>
        </is>
      </c>
      <c r="L582" s="42" t="inlineStr">
        <is>
          <t>マド2枚建 (201910～)</t>
        </is>
      </c>
      <c r="M582" s="42" t="inlineStr">
        <is>
          <t>32</t>
        </is>
      </c>
      <c r="N582" s="42" t="inlineStr">
        <is>
          <t>11405</t>
        </is>
      </c>
      <c r="O582" s="42" t="inlineStr">
        <is>
          <t>防犯建物部品欄の30mil構成を規格呼称へ直接突合。</t>
        </is>
      </c>
    </row>
    <row r="583">
      <c r="A583" s="42" t="inlineStr">
        <is>
          <t>SZ-SL-000582</t>
        </is>
      </c>
      <c r="B583" s="42" t="inlineStr">
        <is>
          <t>WT-SL-MENKOSHI-HIKI</t>
        </is>
      </c>
      <c r="C583" s="42" t="inlineStr">
        <is>
          <t>面格子付引違い窓</t>
        </is>
      </c>
      <c r="D583" s="42" t="inlineStr">
        <is>
          <t>SP-SL-GRILLE-DIA</t>
        </is>
      </c>
      <c r="E583" s="42" t="inlineStr">
        <is>
          <t>11905</t>
        </is>
      </c>
      <c r="F583" s="42" t="inlineStr">
        <is>
          <t>1235</t>
        </is>
      </c>
      <c r="G583" s="42" t="inlineStr">
        <is>
          <t>570</t>
        </is>
      </c>
      <c r="H583" s="42" t="inlineStr">
        <is>
          <t>True</t>
        </is>
      </c>
      <c r="I583" s="42" t="inlineStr">
        <is>
          <t>ALLOWED</t>
        </is>
      </c>
      <c r="J583" s="42" t="inlineStr">
        <is>
          <t>DIRECT_OFFICIAL_STANDARD_ROW</t>
        </is>
      </c>
      <c r="K583" s="42" t="inlineStr">
        <is>
          <t>SDC0003156</t>
        </is>
      </c>
      <c r="L583" s="42" t="inlineStr">
        <is>
          <t>マド2枚建 (201910～)</t>
        </is>
      </c>
      <c r="M583" s="42" t="inlineStr">
        <is>
          <t>38</t>
        </is>
      </c>
      <c r="N583" s="42" t="inlineStr">
        <is>
          <t>11905</t>
        </is>
      </c>
      <c r="O583" s="42" t="inlineStr">
        <is>
          <t>防犯建物部品欄の30mil構成を規格呼称へ直接突合。</t>
        </is>
      </c>
    </row>
    <row r="584">
      <c r="A584" s="42" t="inlineStr">
        <is>
          <t>SZ-SL-000583</t>
        </is>
      </c>
      <c r="B584" s="42" t="inlineStr">
        <is>
          <t>WT-SL-MENKOSHI-HIKI</t>
        </is>
      </c>
      <c r="C584" s="42" t="inlineStr">
        <is>
          <t>面格子付引違い窓</t>
        </is>
      </c>
      <c r="D584" s="42" t="inlineStr">
        <is>
          <t>SP-SL-GRILLE-DIA</t>
        </is>
      </c>
      <c r="E584" s="42" t="inlineStr">
        <is>
          <t>12805</t>
        </is>
      </c>
      <c r="F584" s="42" t="inlineStr">
        <is>
          <t>1320</t>
        </is>
      </c>
      <c r="G584" s="42" t="inlineStr">
        <is>
          <t>570</t>
        </is>
      </c>
      <c r="H584" s="42" t="inlineStr">
        <is>
          <t>True</t>
        </is>
      </c>
      <c r="I584" s="42" t="inlineStr">
        <is>
          <t>ALLOWED</t>
        </is>
      </c>
      <c r="J584" s="42" t="inlineStr">
        <is>
          <t>DIRECT_OFFICIAL_STANDARD_ROW</t>
        </is>
      </c>
      <c r="K584" s="42" t="inlineStr">
        <is>
          <t>SDC0003156</t>
        </is>
      </c>
      <c r="L584" s="42" t="inlineStr">
        <is>
          <t>マド2枚建 (201910～)</t>
        </is>
      </c>
      <c r="M584" s="42" t="inlineStr">
        <is>
          <t>43</t>
        </is>
      </c>
      <c r="N584" s="42" t="inlineStr">
        <is>
          <t>12805</t>
        </is>
      </c>
      <c r="O584" s="42" t="inlineStr">
        <is>
          <t>防犯建物部品欄の30mil構成を規格呼称へ直接突合。</t>
        </is>
      </c>
    </row>
    <row r="585">
      <c r="A585" s="42" t="inlineStr">
        <is>
          <t>SZ-SL-000584</t>
        </is>
      </c>
      <c r="B585" s="42" t="inlineStr">
        <is>
          <t>WT-SL-MENKOSHI-HIKI</t>
        </is>
      </c>
      <c r="C585" s="42" t="inlineStr">
        <is>
          <t>面格子付引違い窓</t>
        </is>
      </c>
      <c r="D585" s="42" t="inlineStr">
        <is>
          <t>SP-SL-GRILLE-H</t>
        </is>
      </c>
      <c r="E585" s="42" t="inlineStr">
        <is>
          <t>08005</t>
        </is>
      </c>
      <c r="F585" s="42" t="inlineStr">
        <is>
          <t>845</t>
        </is>
      </c>
      <c r="G585" s="42" t="inlineStr">
        <is>
          <t>570</t>
        </is>
      </c>
      <c r="H585" s="42" t="inlineStr">
        <is>
          <t>True</t>
        </is>
      </c>
      <c r="I585" s="42" t="inlineStr">
        <is>
          <t>ALLOWED</t>
        </is>
      </c>
      <c r="J585" s="42" t="inlineStr">
        <is>
          <t>DIRECT_OFFICIAL_STANDARD_ROW</t>
        </is>
      </c>
      <c r="K585" s="42" t="inlineStr">
        <is>
          <t>SDC0003156</t>
        </is>
      </c>
      <c r="L585" s="42" t="inlineStr">
        <is>
          <t>マド2枚建 (201910～)</t>
        </is>
      </c>
      <c r="M585" s="42" t="inlineStr">
        <is>
          <t>25</t>
        </is>
      </c>
      <c r="N585" s="42" t="inlineStr">
        <is>
          <t>08005</t>
        </is>
      </c>
      <c r="O585" s="42" t="inlineStr">
        <is>
          <t>防犯建物部品欄の30mil構成を規格呼称へ直接突合。</t>
        </is>
      </c>
    </row>
    <row r="586">
      <c r="A586" s="42" t="inlineStr">
        <is>
          <t>SZ-SL-000585</t>
        </is>
      </c>
      <c r="B586" s="42" t="inlineStr">
        <is>
          <t>WT-SL-MENKOSHI-HIKI</t>
        </is>
      </c>
      <c r="C586" s="42" t="inlineStr">
        <is>
          <t>面格子付引違い窓</t>
        </is>
      </c>
      <c r="D586" s="42" t="inlineStr">
        <is>
          <t>SP-SL-GRILLE-H</t>
        </is>
      </c>
      <c r="E586" s="42" t="inlineStr">
        <is>
          <t>08305</t>
        </is>
      </c>
      <c r="F586" s="42" t="inlineStr">
        <is>
          <t>870</t>
        </is>
      </c>
      <c r="G586" s="42" t="inlineStr">
        <is>
          <t>570</t>
        </is>
      </c>
      <c r="H586" s="42" t="inlineStr">
        <is>
          <t>True</t>
        </is>
      </c>
      <c r="I586" s="42" t="inlineStr">
        <is>
          <t>ALLOWED</t>
        </is>
      </c>
      <c r="J586" s="42" t="inlineStr">
        <is>
          <t>DIRECT_OFFICIAL_STANDARD_ROW</t>
        </is>
      </c>
      <c r="K586" s="42" t="inlineStr">
        <is>
          <t>SDC0003156</t>
        </is>
      </c>
      <c r="L586" s="42" t="inlineStr">
        <is>
          <t>マド2枚建 (201910～)</t>
        </is>
      </c>
      <c r="M586" s="42" t="inlineStr">
        <is>
          <t>28</t>
        </is>
      </c>
      <c r="N586" s="42" t="inlineStr">
        <is>
          <t>08305</t>
        </is>
      </c>
      <c r="O586" s="42" t="inlineStr">
        <is>
          <t>防犯建物部品欄の30mil構成を規格呼称へ直接突合。</t>
        </is>
      </c>
    </row>
    <row r="587">
      <c r="A587" s="42" t="inlineStr">
        <is>
          <t>SZ-SL-000586</t>
        </is>
      </c>
      <c r="B587" s="42" t="inlineStr">
        <is>
          <t>WT-SL-MENKOSHI-HIKI</t>
        </is>
      </c>
      <c r="C587" s="42" t="inlineStr">
        <is>
          <t>面格子付引違い窓</t>
        </is>
      </c>
      <c r="D587" s="42" t="inlineStr">
        <is>
          <t>SP-SL-GRILLE-H</t>
        </is>
      </c>
      <c r="E587" s="42" t="inlineStr">
        <is>
          <t>11405</t>
        </is>
      </c>
      <c r="F587" s="42" t="inlineStr">
        <is>
          <t>1185</t>
        </is>
      </c>
      <c r="G587" s="42" t="inlineStr">
        <is>
          <t>570</t>
        </is>
      </c>
      <c r="H587" s="42" t="inlineStr">
        <is>
          <t>True</t>
        </is>
      </c>
      <c r="I587" s="42" t="inlineStr">
        <is>
          <t>ALLOWED</t>
        </is>
      </c>
      <c r="J587" s="42" t="inlineStr">
        <is>
          <t>DIRECT_OFFICIAL_STANDARD_ROW</t>
        </is>
      </c>
      <c r="K587" s="42" t="inlineStr">
        <is>
          <t>SDC0003156</t>
        </is>
      </c>
      <c r="L587" s="42" t="inlineStr">
        <is>
          <t>マド2枚建 (201910～)</t>
        </is>
      </c>
      <c r="M587" s="42" t="inlineStr">
        <is>
          <t>32</t>
        </is>
      </c>
      <c r="N587" s="42" t="inlineStr">
        <is>
          <t>11405</t>
        </is>
      </c>
      <c r="O587" s="42" t="inlineStr">
        <is>
          <t>防犯建物部品欄の30mil構成を規格呼称へ直接突合。</t>
        </is>
      </c>
    </row>
    <row r="588">
      <c r="A588" s="42" t="inlineStr">
        <is>
          <t>SZ-SL-000587</t>
        </is>
      </c>
      <c r="B588" s="42" t="inlineStr">
        <is>
          <t>WT-SL-MENKOSHI-HIKI</t>
        </is>
      </c>
      <c r="C588" s="42" t="inlineStr">
        <is>
          <t>面格子付引違い窓</t>
        </is>
      </c>
      <c r="D588" s="42" t="inlineStr">
        <is>
          <t>SP-SL-GRILLE-H</t>
        </is>
      </c>
      <c r="E588" s="42" t="inlineStr">
        <is>
          <t>11905</t>
        </is>
      </c>
      <c r="F588" s="42" t="inlineStr">
        <is>
          <t>1235</t>
        </is>
      </c>
      <c r="G588" s="42" t="inlineStr">
        <is>
          <t>570</t>
        </is>
      </c>
      <c r="H588" s="42" t="inlineStr">
        <is>
          <t>True</t>
        </is>
      </c>
      <c r="I588" s="42" t="inlineStr">
        <is>
          <t>ALLOWED</t>
        </is>
      </c>
      <c r="J588" s="42" t="inlineStr">
        <is>
          <t>DIRECT_OFFICIAL_STANDARD_ROW</t>
        </is>
      </c>
      <c r="K588" s="42" t="inlineStr">
        <is>
          <t>SDC0003156</t>
        </is>
      </c>
      <c r="L588" s="42" t="inlineStr">
        <is>
          <t>マド2枚建 (201910～)</t>
        </is>
      </c>
      <c r="M588" s="42" t="inlineStr">
        <is>
          <t>38</t>
        </is>
      </c>
      <c r="N588" s="42" t="inlineStr">
        <is>
          <t>11905</t>
        </is>
      </c>
      <c r="O588" s="42" t="inlineStr">
        <is>
          <t>防犯建物部品欄の30mil構成を規格呼称へ直接突合。</t>
        </is>
      </c>
    </row>
    <row r="589">
      <c r="A589" s="42" t="inlineStr">
        <is>
          <t>SZ-SL-000588</t>
        </is>
      </c>
      <c r="B589" s="42" t="inlineStr">
        <is>
          <t>WT-SL-MENKOSHI-HIKI</t>
        </is>
      </c>
      <c r="C589" s="42" t="inlineStr">
        <is>
          <t>面格子付引違い窓</t>
        </is>
      </c>
      <c r="D589" s="42" t="inlineStr">
        <is>
          <t>SP-SL-GRILLE-H</t>
        </is>
      </c>
      <c r="E589" s="42" t="inlineStr">
        <is>
          <t>12805</t>
        </is>
      </c>
      <c r="F589" s="42" t="inlineStr">
        <is>
          <t>1320</t>
        </is>
      </c>
      <c r="G589" s="42" t="inlineStr">
        <is>
          <t>570</t>
        </is>
      </c>
      <c r="H589" s="42" t="inlineStr">
        <is>
          <t>True</t>
        </is>
      </c>
      <c r="I589" s="42" t="inlineStr">
        <is>
          <t>ALLOWED</t>
        </is>
      </c>
      <c r="J589" s="42" t="inlineStr">
        <is>
          <t>DIRECT_OFFICIAL_STANDARD_ROW</t>
        </is>
      </c>
      <c r="K589" s="42" t="inlineStr">
        <is>
          <t>SDC0003156</t>
        </is>
      </c>
      <c r="L589" s="42" t="inlineStr">
        <is>
          <t>マド2枚建 (201910～)</t>
        </is>
      </c>
      <c r="M589" s="42" t="inlineStr">
        <is>
          <t>43</t>
        </is>
      </c>
      <c r="N589" s="42" t="inlineStr">
        <is>
          <t>12805</t>
        </is>
      </c>
      <c r="O589" s="42" t="inlineStr">
        <is>
          <t>防犯建物部品欄の30mil構成を規格呼称へ直接突合。</t>
        </is>
      </c>
    </row>
    <row r="590">
      <c r="A590" s="42" t="inlineStr">
        <is>
          <t>SZ-SL-000589</t>
        </is>
      </c>
      <c r="B590" s="42" t="inlineStr">
        <is>
          <t>WT-SL-MENKOSHI-HIKI</t>
        </is>
      </c>
      <c r="C590" s="42" t="inlineStr">
        <is>
          <t>面格子付引違い窓</t>
        </is>
      </c>
      <c r="D590" s="42" t="inlineStr">
        <is>
          <t>SP-SL-GRILLE-IGETA</t>
        </is>
      </c>
      <c r="E590" s="42" t="inlineStr">
        <is>
          <t>08005</t>
        </is>
      </c>
      <c r="F590" s="42" t="inlineStr">
        <is>
          <t>845</t>
        </is>
      </c>
      <c r="G590" s="42" t="inlineStr">
        <is>
          <t>570</t>
        </is>
      </c>
      <c r="H590" s="42" t="inlineStr">
        <is>
          <t>True</t>
        </is>
      </c>
      <c r="I590" s="42" t="inlineStr">
        <is>
          <t>ALLOWED</t>
        </is>
      </c>
      <c r="J590" s="42" t="inlineStr">
        <is>
          <t>DIRECT_OFFICIAL_STANDARD_ROW</t>
        </is>
      </c>
      <c r="K590" s="42" t="inlineStr">
        <is>
          <t>SDC0003156</t>
        </is>
      </c>
      <c r="L590" s="42" t="inlineStr">
        <is>
          <t>マド2枚建 (201910～)</t>
        </is>
      </c>
      <c r="M590" s="42" t="inlineStr">
        <is>
          <t>25</t>
        </is>
      </c>
      <c r="N590" s="42" t="inlineStr">
        <is>
          <t>08005</t>
        </is>
      </c>
      <c r="O590" s="42" t="inlineStr">
        <is>
          <t>防犯建物部品欄の30mil構成を規格呼称へ直接突合。</t>
        </is>
      </c>
    </row>
    <row r="591">
      <c r="A591" s="42" t="inlineStr">
        <is>
          <t>SZ-SL-000590</t>
        </is>
      </c>
      <c r="B591" s="42" t="inlineStr">
        <is>
          <t>WT-SL-MENKOSHI-HIKI</t>
        </is>
      </c>
      <c r="C591" s="42" t="inlineStr">
        <is>
          <t>面格子付引違い窓</t>
        </is>
      </c>
      <c r="D591" s="42" t="inlineStr">
        <is>
          <t>SP-SL-GRILLE-IGETA</t>
        </is>
      </c>
      <c r="E591" s="42" t="inlineStr">
        <is>
          <t>08305</t>
        </is>
      </c>
      <c r="F591" s="42" t="inlineStr">
        <is>
          <t>870</t>
        </is>
      </c>
      <c r="G591" s="42" t="inlineStr">
        <is>
          <t>570</t>
        </is>
      </c>
      <c r="H591" s="42" t="inlineStr">
        <is>
          <t>True</t>
        </is>
      </c>
      <c r="I591" s="42" t="inlineStr">
        <is>
          <t>ALLOWED</t>
        </is>
      </c>
      <c r="J591" s="42" t="inlineStr">
        <is>
          <t>DIRECT_OFFICIAL_STANDARD_ROW</t>
        </is>
      </c>
      <c r="K591" s="42" t="inlineStr">
        <is>
          <t>SDC0003156</t>
        </is>
      </c>
      <c r="L591" s="42" t="inlineStr">
        <is>
          <t>マド2枚建 (201910～)</t>
        </is>
      </c>
      <c r="M591" s="42" t="inlineStr">
        <is>
          <t>28</t>
        </is>
      </c>
      <c r="N591" s="42" t="inlineStr">
        <is>
          <t>08305</t>
        </is>
      </c>
      <c r="O591" s="42" t="inlineStr">
        <is>
          <t>防犯建物部品欄の30mil構成を規格呼称へ直接突合。</t>
        </is>
      </c>
    </row>
    <row r="592">
      <c r="A592" s="42" t="inlineStr">
        <is>
          <t>SZ-SL-000591</t>
        </is>
      </c>
      <c r="B592" s="42" t="inlineStr">
        <is>
          <t>WT-SL-MENKOSHI-HIKI</t>
        </is>
      </c>
      <c r="C592" s="42" t="inlineStr">
        <is>
          <t>面格子付引違い窓</t>
        </is>
      </c>
      <c r="D592" s="42" t="inlineStr">
        <is>
          <t>SP-SL-GRILLE-IGETA</t>
        </is>
      </c>
      <c r="E592" s="42" t="inlineStr">
        <is>
          <t>11405</t>
        </is>
      </c>
      <c r="F592" s="42" t="inlineStr">
        <is>
          <t>1185</t>
        </is>
      </c>
      <c r="G592" s="42" t="inlineStr">
        <is>
          <t>570</t>
        </is>
      </c>
      <c r="H592" s="42" t="inlineStr">
        <is>
          <t>True</t>
        </is>
      </c>
      <c r="I592" s="42" t="inlineStr">
        <is>
          <t>ALLOWED</t>
        </is>
      </c>
      <c r="J592" s="42" t="inlineStr">
        <is>
          <t>DIRECT_OFFICIAL_STANDARD_ROW</t>
        </is>
      </c>
      <c r="K592" s="42" t="inlineStr">
        <is>
          <t>SDC0003156</t>
        </is>
      </c>
      <c r="L592" s="42" t="inlineStr">
        <is>
          <t>マド2枚建 (201910～)</t>
        </is>
      </c>
      <c r="M592" s="42" t="inlineStr">
        <is>
          <t>32</t>
        </is>
      </c>
      <c r="N592" s="42" t="inlineStr">
        <is>
          <t>11405</t>
        </is>
      </c>
      <c r="O592" s="42" t="inlineStr">
        <is>
          <t>防犯建物部品欄の30mil構成を規格呼称へ直接突合。</t>
        </is>
      </c>
    </row>
    <row r="593">
      <c r="A593" s="42" t="inlineStr">
        <is>
          <t>SZ-SL-000592</t>
        </is>
      </c>
      <c r="B593" s="42" t="inlineStr">
        <is>
          <t>WT-SL-MENKOSHI-HIKI</t>
        </is>
      </c>
      <c r="C593" s="42" t="inlineStr">
        <is>
          <t>面格子付引違い窓</t>
        </is>
      </c>
      <c r="D593" s="42" t="inlineStr">
        <is>
          <t>SP-SL-GRILLE-IGETA</t>
        </is>
      </c>
      <c r="E593" s="42" t="inlineStr">
        <is>
          <t>11905</t>
        </is>
      </c>
      <c r="F593" s="42" t="inlineStr">
        <is>
          <t>1235</t>
        </is>
      </c>
      <c r="G593" s="42" t="inlineStr">
        <is>
          <t>570</t>
        </is>
      </c>
      <c r="H593" s="42" t="inlineStr">
        <is>
          <t>True</t>
        </is>
      </c>
      <c r="I593" s="42" t="inlineStr">
        <is>
          <t>ALLOWED</t>
        </is>
      </c>
      <c r="J593" s="42" t="inlineStr">
        <is>
          <t>DIRECT_OFFICIAL_STANDARD_ROW</t>
        </is>
      </c>
      <c r="K593" s="42" t="inlineStr">
        <is>
          <t>SDC0003156</t>
        </is>
      </c>
      <c r="L593" s="42" t="inlineStr">
        <is>
          <t>マド2枚建 (201910～)</t>
        </is>
      </c>
      <c r="M593" s="42" t="inlineStr">
        <is>
          <t>38</t>
        </is>
      </c>
      <c r="N593" s="42" t="inlineStr">
        <is>
          <t>11905</t>
        </is>
      </c>
      <c r="O593" s="42" t="inlineStr">
        <is>
          <t>防犯建物部品欄の30mil構成を規格呼称へ直接突合。</t>
        </is>
      </c>
    </row>
    <row r="594">
      <c r="A594" s="42" t="inlineStr">
        <is>
          <t>SZ-SL-000593</t>
        </is>
      </c>
      <c r="B594" s="42" t="inlineStr">
        <is>
          <t>WT-SL-MENKOSHI-HIKI</t>
        </is>
      </c>
      <c r="C594" s="42" t="inlineStr">
        <is>
          <t>面格子付引違い窓</t>
        </is>
      </c>
      <c r="D594" s="42" t="inlineStr">
        <is>
          <t>SP-SL-GRILLE-IGETA</t>
        </is>
      </c>
      <c r="E594" s="42" t="inlineStr">
        <is>
          <t>12805</t>
        </is>
      </c>
      <c r="F594" s="42" t="inlineStr">
        <is>
          <t>1320</t>
        </is>
      </c>
      <c r="G594" s="42" t="inlineStr">
        <is>
          <t>570</t>
        </is>
      </c>
      <c r="H594" s="42" t="inlineStr">
        <is>
          <t>True</t>
        </is>
      </c>
      <c r="I594" s="42" t="inlineStr">
        <is>
          <t>ALLOWED</t>
        </is>
      </c>
      <c r="J594" s="42" t="inlineStr">
        <is>
          <t>DIRECT_OFFICIAL_STANDARD_ROW</t>
        </is>
      </c>
      <c r="K594" s="42" t="inlineStr">
        <is>
          <t>SDC0003156</t>
        </is>
      </c>
      <c r="L594" s="42" t="inlineStr">
        <is>
          <t>マド2枚建 (201910～)</t>
        </is>
      </c>
      <c r="M594" s="42" t="inlineStr">
        <is>
          <t>43</t>
        </is>
      </c>
      <c r="N594" s="42" t="inlineStr">
        <is>
          <t>12805</t>
        </is>
      </c>
      <c r="O594" s="42" t="inlineStr">
        <is>
          <t>防犯建物部品欄の30mil構成を規格呼称へ直接突合。</t>
        </is>
      </c>
    </row>
    <row r="595">
      <c r="A595" s="42" t="inlineStr">
        <is>
          <t>SZ-SL-000594</t>
        </is>
      </c>
      <c r="B595" s="42" t="inlineStr">
        <is>
          <t>WT-SL-MENKOSHI-HIKI</t>
        </is>
      </c>
      <c r="C595" s="42" t="inlineStr">
        <is>
          <t>面格子付引違い窓</t>
        </is>
      </c>
      <c r="D595" s="42" t="inlineStr">
        <is>
          <t>SP-SL-GRILLE-V</t>
        </is>
      </c>
      <c r="E595" s="42" t="inlineStr">
        <is>
          <t>08005</t>
        </is>
      </c>
      <c r="F595" s="42" t="inlineStr">
        <is>
          <t>845</t>
        </is>
      </c>
      <c r="G595" s="42" t="inlineStr">
        <is>
          <t>570</t>
        </is>
      </c>
      <c r="H595" s="42" t="inlineStr">
        <is>
          <t>True</t>
        </is>
      </c>
      <c r="I595" s="42" t="inlineStr">
        <is>
          <t>ALLOWED</t>
        </is>
      </c>
      <c r="J595" s="42" t="inlineStr">
        <is>
          <t>DIRECT_OFFICIAL_STANDARD_ROW</t>
        </is>
      </c>
      <c r="K595" s="42" t="inlineStr">
        <is>
          <t>SDC0003156</t>
        </is>
      </c>
      <c r="L595" s="42" t="inlineStr">
        <is>
          <t>マド2枚建 (201910～)</t>
        </is>
      </c>
      <c r="M595" s="42" t="inlineStr">
        <is>
          <t>25</t>
        </is>
      </c>
      <c r="N595" s="42" t="inlineStr">
        <is>
          <t>08005</t>
        </is>
      </c>
      <c r="O595" s="42" t="inlineStr">
        <is>
          <t>防犯建物部品欄の30mil構成を規格呼称へ直接突合。</t>
        </is>
      </c>
    </row>
    <row r="596">
      <c r="A596" s="42" t="inlineStr">
        <is>
          <t>SZ-SL-000595</t>
        </is>
      </c>
      <c r="B596" s="42" t="inlineStr">
        <is>
          <t>WT-SL-MENKOSHI-HIKI</t>
        </is>
      </c>
      <c r="C596" s="42" t="inlineStr">
        <is>
          <t>面格子付引違い窓</t>
        </is>
      </c>
      <c r="D596" s="42" t="inlineStr">
        <is>
          <t>SP-SL-GRILLE-V</t>
        </is>
      </c>
      <c r="E596" s="42" t="inlineStr">
        <is>
          <t>08305</t>
        </is>
      </c>
      <c r="F596" s="42" t="inlineStr">
        <is>
          <t>870</t>
        </is>
      </c>
      <c r="G596" s="42" t="inlineStr">
        <is>
          <t>570</t>
        </is>
      </c>
      <c r="H596" s="42" t="inlineStr">
        <is>
          <t>True</t>
        </is>
      </c>
      <c r="I596" s="42" t="inlineStr">
        <is>
          <t>ALLOWED</t>
        </is>
      </c>
      <c r="J596" s="42" t="inlineStr">
        <is>
          <t>DIRECT_OFFICIAL_STANDARD_ROW</t>
        </is>
      </c>
      <c r="K596" s="42" t="inlineStr">
        <is>
          <t>SDC0003156</t>
        </is>
      </c>
      <c r="L596" s="42" t="inlineStr">
        <is>
          <t>マド2枚建 (201910～)</t>
        </is>
      </c>
      <c r="M596" s="42" t="inlineStr">
        <is>
          <t>28</t>
        </is>
      </c>
      <c r="N596" s="42" t="inlineStr">
        <is>
          <t>08305</t>
        </is>
      </c>
      <c r="O596" s="42" t="inlineStr">
        <is>
          <t>防犯建物部品欄の30mil構成を規格呼称へ直接突合。</t>
        </is>
      </c>
    </row>
    <row r="597">
      <c r="A597" s="42" t="inlineStr">
        <is>
          <t>SZ-SL-000596</t>
        </is>
      </c>
      <c r="B597" s="42" t="inlineStr">
        <is>
          <t>WT-SL-MENKOSHI-HIKI</t>
        </is>
      </c>
      <c r="C597" s="42" t="inlineStr">
        <is>
          <t>面格子付引違い窓</t>
        </is>
      </c>
      <c r="D597" s="42" t="inlineStr">
        <is>
          <t>SP-SL-GRILLE-V</t>
        </is>
      </c>
      <c r="E597" s="42" t="inlineStr">
        <is>
          <t>11405</t>
        </is>
      </c>
      <c r="F597" s="42" t="inlineStr">
        <is>
          <t>1185</t>
        </is>
      </c>
      <c r="G597" s="42" t="inlineStr">
        <is>
          <t>570</t>
        </is>
      </c>
      <c r="H597" s="42" t="inlineStr">
        <is>
          <t>True</t>
        </is>
      </c>
      <c r="I597" s="42" t="inlineStr">
        <is>
          <t>ALLOWED</t>
        </is>
      </c>
      <c r="J597" s="42" t="inlineStr">
        <is>
          <t>DIRECT_OFFICIAL_STANDARD_ROW</t>
        </is>
      </c>
      <c r="K597" s="42" t="inlineStr">
        <is>
          <t>SDC0003156</t>
        </is>
      </c>
      <c r="L597" s="42" t="inlineStr">
        <is>
          <t>マド2枚建 (201910～)</t>
        </is>
      </c>
      <c r="M597" s="42" t="inlineStr">
        <is>
          <t>32</t>
        </is>
      </c>
      <c r="N597" s="42" t="inlineStr">
        <is>
          <t>11405</t>
        </is>
      </c>
      <c r="O597" s="42" t="inlineStr">
        <is>
          <t>防犯建物部品欄の30mil構成を規格呼称へ直接突合。</t>
        </is>
      </c>
    </row>
    <row r="598">
      <c r="A598" s="42" t="inlineStr">
        <is>
          <t>SZ-SL-000597</t>
        </is>
      </c>
      <c r="B598" s="42" t="inlineStr">
        <is>
          <t>WT-SL-MENKOSHI-HIKI</t>
        </is>
      </c>
      <c r="C598" s="42" t="inlineStr">
        <is>
          <t>面格子付引違い窓</t>
        </is>
      </c>
      <c r="D598" s="42" t="inlineStr">
        <is>
          <t>SP-SL-GRILLE-V</t>
        </is>
      </c>
      <c r="E598" s="42" t="inlineStr">
        <is>
          <t>11905</t>
        </is>
      </c>
      <c r="F598" s="42" t="inlineStr">
        <is>
          <t>1235</t>
        </is>
      </c>
      <c r="G598" s="42" t="inlineStr">
        <is>
          <t>570</t>
        </is>
      </c>
      <c r="H598" s="42" t="inlineStr">
        <is>
          <t>True</t>
        </is>
      </c>
      <c r="I598" s="42" t="inlineStr">
        <is>
          <t>ALLOWED</t>
        </is>
      </c>
      <c r="J598" s="42" t="inlineStr">
        <is>
          <t>DIRECT_OFFICIAL_STANDARD_ROW</t>
        </is>
      </c>
      <c r="K598" s="42" t="inlineStr">
        <is>
          <t>SDC0003156</t>
        </is>
      </c>
      <c r="L598" s="42" t="inlineStr">
        <is>
          <t>マド2枚建 (201910～)</t>
        </is>
      </c>
      <c r="M598" s="42" t="inlineStr">
        <is>
          <t>38</t>
        </is>
      </c>
      <c r="N598" s="42" t="inlineStr">
        <is>
          <t>11905</t>
        </is>
      </c>
      <c r="O598" s="42" t="inlineStr">
        <is>
          <t>防犯建物部品欄の30mil構成を規格呼称へ直接突合。</t>
        </is>
      </c>
    </row>
    <row r="599">
      <c r="A599" s="42" t="inlineStr">
        <is>
          <t>SZ-SL-000598</t>
        </is>
      </c>
      <c r="B599" s="42" t="inlineStr">
        <is>
          <t>WT-SL-MENKOSHI-HIKI</t>
        </is>
      </c>
      <c r="C599" s="42" t="inlineStr">
        <is>
          <t>面格子付引違い窓</t>
        </is>
      </c>
      <c r="D599" s="42" t="inlineStr">
        <is>
          <t>SP-SL-GRILLE-V</t>
        </is>
      </c>
      <c r="E599" s="42" t="inlineStr">
        <is>
          <t>12805</t>
        </is>
      </c>
      <c r="F599" s="42" t="inlineStr">
        <is>
          <t>1320</t>
        </is>
      </c>
      <c r="G599" s="42" t="inlineStr">
        <is>
          <t>570</t>
        </is>
      </c>
      <c r="H599" s="42" t="inlineStr">
        <is>
          <t>True</t>
        </is>
      </c>
      <c r="I599" s="42" t="inlineStr">
        <is>
          <t>ALLOWED</t>
        </is>
      </c>
      <c r="J599" s="42" t="inlineStr">
        <is>
          <t>DIRECT_OFFICIAL_STANDARD_ROW</t>
        </is>
      </c>
      <c r="K599" s="42" t="inlineStr">
        <is>
          <t>SDC0003156</t>
        </is>
      </c>
      <c r="L599" s="42" t="inlineStr">
        <is>
          <t>マド2枚建 (201910～)</t>
        </is>
      </c>
      <c r="M599" s="42" t="inlineStr">
        <is>
          <t>43</t>
        </is>
      </c>
      <c r="N599" s="42" t="inlineStr">
        <is>
          <t>12805</t>
        </is>
      </c>
      <c r="O599" s="42" t="inlineStr">
        <is>
          <t>防犯建物部品欄の30mil構成を規格呼称へ直接突合。</t>
        </is>
      </c>
    </row>
    <row r="600">
      <c r="A600" s="42" t="inlineStr">
        <is>
          <t>SZ-SL-000599</t>
        </is>
      </c>
      <c r="B600" s="42" t="inlineStr">
        <is>
          <t>WT-SL-MENKOSHI-HIKI</t>
        </is>
      </c>
      <c r="C600" s="42" t="inlineStr">
        <is>
          <t>面格子付引違い窓</t>
        </is>
      </c>
      <c r="D600" s="42" t="inlineStr">
        <is>
          <t>SP-SL-GRILLE-DIA</t>
        </is>
      </c>
      <c r="E600" s="42" t="inlineStr">
        <is>
          <t>13305</t>
        </is>
      </c>
      <c r="F600" s="42" t="inlineStr">
        <is>
          <t>1370</t>
        </is>
      </c>
      <c r="G600" s="42" t="inlineStr">
        <is>
          <t>570</t>
        </is>
      </c>
      <c r="H600" s="42" t="inlineStr">
        <is>
          <t>True</t>
        </is>
      </c>
      <c r="I600" s="42" t="inlineStr">
        <is>
          <t>ALLOWED</t>
        </is>
      </c>
      <c r="J600" s="42" t="inlineStr">
        <is>
          <t>DIRECT_OFFICIAL_STANDARD_ROW</t>
        </is>
      </c>
      <c r="K600" s="42" t="inlineStr">
        <is>
          <t>SDC0003156</t>
        </is>
      </c>
      <c r="L600" s="42" t="inlineStr">
        <is>
          <t>マド2枚建 (201910～)</t>
        </is>
      </c>
      <c r="M600" s="42" t="inlineStr">
        <is>
          <t>48</t>
        </is>
      </c>
      <c r="N600" s="42" t="inlineStr">
        <is>
          <t>13305</t>
        </is>
      </c>
      <c r="O600" s="42" t="inlineStr">
        <is>
          <t>防犯建物部品欄の30mil構成を規格呼称へ直接突合。</t>
        </is>
      </c>
    </row>
    <row r="601">
      <c r="A601" s="42" t="inlineStr">
        <is>
          <t>SZ-SL-000600</t>
        </is>
      </c>
      <c r="B601" s="42" t="inlineStr">
        <is>
          <t>WT-SL-MENKOSHI-HIKI</t>
        </is>
      </c>
      <c r="C601" s="42" t="inlineStr">
        <is>
          <t>面格子付引違い窓</t>
        </is>
      </c>
      <c r="D601" s="42" t="inlineStr">
        <is>
          <t>SP-SL-GRILLE-DIA</t>
        </is>
      </c>
      <c r="E601" s="42" t="inlineStr">
        <is>
          <t>15005</t>
        </is>
      </c>
      <c r="F601" s="42" t="inlineStr">
        <is>
          <t>1540</t>
        </is>
      </c>
      <c r="G601" s="42" t="inlineStr">
        <is>
          <t>570</t>
        </is>
      </c>
      <c r="H601" s="42" t="inlineStr">
        <is>
          <t>True</t>
        </is>
      </c>
      <c r="I601" s="42" t="inlineStr">
        <is>
          <t>ALLOWED</t>
        </is>
      </c>
      <c r="J601" s="42" t="inlineStr">
        <is>
          <t>DIRECT_OFFICIAL_STANDARD_ROW</t>
        </is>
      </c>
      <c r="K601" s="42" t="inlineStr">
        <is>
          <t>SDC0003156</t>
        </is>
      </c>
      <c r="L601" s="42" t="inlineStr">
        <is>
          <t>マド2枚建 (201910～)</t>
        </is>
      </c>
      <c r="M601" s="42" t="inlineStr">
        <is>
          <t>53</t>
        </is>
      </c>
      <c r="N601" s="42" t="inlineStr">
        <is>
          <t>15005</t>
        </is>
      </c>
      <c r="O601" s="42" t="inlineStr">
        <is>
          <t>防犯建物部品欄の30mil構成を規格呼称へ直接突合。</t>
        </is>
      </c>
    </row>
    <row r="602">
      <c r="A602" s="42" t="inlineStr">
        <is>
          <t>SZ-SL-000601</t>
        </is>
      </c>
      <c r="B602" s="42" t="inlineStr">
        <is>
          <t>WT-SL-MENKOSHI-HIKI</t>
        </is>
      </c>
      <c r="C602" s="42" t="inlineStr">
        <is>
          <t>面格子付引違い窓</t>
        </is>
      </c>
      <c r="D602" s="42" t="inlineStr">
        <is>
          <t>SP-SL-GRILLE-DIA</t>
        </is>
      </c>
      <c r="E602" s="42" t="inlineStr">
        <is>
          <t>16005</t>
        </is>
      </c>
      <c r="F602" s="42" t="inlineStr">
        <is>
          <t>1640</t>
        </is>
      </c>
      <c r="G602" s="42" t="inlineStr">
        <is>
          <t>570</t>
        </is>
      </c>
      <c r="H602" s="42" t="inlineStr">
        <is>
          <t>True</t>
        </is>
      </c>
      <c r="I602" s="42" t="inlineStr">
        <is>
          <t>ALLOWED</t>
        </is>
      </c>
      <c r="J602" s="42" t="inlineStr">
        <is>
          <t>DIRECT_OFFICIAL_STANDARD_ROW</t>
        </is>
      </c>
      <c r="K602" s="42" t="inlineStr">
        <is>
          <t>SDC0003156</t>
        </is>
      </c>
      <c r="L602" s="42" t="inlineStr">
        <is>
          <t>マド2枚建 (201910～)</t>
        </is>
      </c>
      <c r="M602" s="42" t="inlineStr">
        <is>
          <t>64</t>
        </is>
      </c>
      <c r="N602" s="42" t="inlineStr">
        <is>
          <t>16005</t>
        </is>
      </c>
      <c r="O602" s="42" t="inlineStr">
        <is>
          <t>防犯建物部品欄の30mil構成を規格呼称へ直接突合。</t>
        </is>
      </c>
    </row>
    <row r="603">
      <c r="A603" s="42" t="inlineStr">
        <is>
          <t>SZ-SL-000602</t>
        </is>
      </c>
      <c r="B603" s="42" t="inlineStr">
        <is>
          <t>WT-SL-MENKOSHI-HIKI</t>
        </is>
      </c>
      <c r="C603" s="42" t="inlineStr">
        <is>
          <t>面格子付引違い窓</t>
        </is>
      </c>
      <c r="D603" s="42" t="inlineStr">
        <is>
          <t>SP-SL-GRILLE-DIA</t>
        </is>
      </c>
      <c r="E603" s="42" t="inlineStr">
        <is>
          <t>16505</t>
        </is>
      </c>
      <c r="F603" s="42" t="inlineStr">
        <is>
          <t>1690</t>
        </is>
      </c>
      <c r="G603" s="42" t="inlineStr">
        <is>
          <t>570</t>
        </is>
      </c>
      <c r="H603" s="42" t="inlineStr">
        <is>
          <t>True</t>
        </is>
      </c>
      <c r="I603" s="42" t="inlineStr">
        <is>
          <t>ALLOWED</t>
        </is>
      </c>
      <c r="J603" s="42" t="inlineStr">
        <is>
          <t>DIRECT_OFFICIAL_STANDARD_ROW</t>
        </is>
      </c>
      <c r="K603" s="42" t="inlineStr">
        <is>
          <t>SDC0003156</t>
        </is>
      </c>
      <c r="L603" s="42" t="inlineStr">
        <is>
          <t>マド2枚建 (201910～)</t>
        </is>
      </c>
      <c r="M603" s="42" t="inlineStr">
        <is>
          <t>71</t>
        </is>
      </c>
      <c r="N603" s="42" t="inlineStr">
        <is>
          <t>16505</t>
        </is>
      </c>
      <c r="O603" s="42" t="inlineStr">
        <is>
          <t>防犯建物部品欄の30mil構成を規格呼称へ直接突合。</t>
        </is>
      </c>
    </row>
    <row r="604">
      <c r="A604" s="42" t="inlineStr">
        <is>
          <t>SZ-SL-000603</t>
        </is>
      </c>
      <c r="B604" s="42" t="inlineStr">
        <is>
          <t>WT-SL-MENKOSHI-HIKI</t>
        </is>
      </c>
      <c r="C604" s="42" t="inlineStr">
        <is>
          <t>面格子付引違い窓</t>
        </is>
      </c>
      <c r="D604" s="42" t="inlineStr">
        <is>
          <t>SP-SL-GRILLE-H</t>
        </is>
      </c>
      <c r="E604" s="42" t="inlineStr">
        <is>
          <t>13305</t>
        </is>
      </c>
      <c r="F604" s="42" t="inlineStr">
        <is>
          <t>1370</t>
        </is>
      </c>
      <c r="G604" s="42" t="inlineStr">
        <is>
          <t>570</t>
        </is>
      </c>
      <c r="H604" s="42" t="inlineStr">
        <is>
          <t>True</t>
        </is>
      </c>
      <c r="I604" s="42" t="inlineStr">
        <is>
          <t>ALLOWED</t>
        </is>
      </c>
      <c r="J604" s="42" t="inlineStr">
        <is>
          <t>DIRECT_OFFICIAL_STANDARD_ROW</t>
        </is>
      </c>
      <c r="K604" s="42" t="inlineStr">
        <is>
          <t>SDC0003156</t>
        </is>
      </c>
      <c r="L604" s="42" t="inlineStr">
        <is>
          <t>マド2枚建 (201910～)</t>
        </is>
      </c>
      <c r="M604" s="42" t="inlineStr">
        <is>
          <t>48</t>
        </is>
      </c>
      <c r="N604" s="42" t="inlineStr">
        <is>
          <t>13305</t>
        </is>
      </c>
      <c r="O604" s="42" t="inlineStr">
        <is>
          <t>防犯建物部品欄の30mil構成を規格呼称へ直接突合。</t>
        </is>
      </c>
    </row>
    <row r="605">
      <c r="A605" s="42" t="inlineStr">
        <is>
          <t>SZ-SL-000604</t>
        </is>
      </c>
      <c r="B605" s="42" t="inlineStr">
        <is>
          <t>WT-SL-MENKOSHI-HIKI</t>
        </is>
      </c>
      <c r="C605" s="42" t="inlineStr">
        <is>
          <t>面格子付引違い窓</t>
        </is>
      </c>
      <c r="D605" s="42" t="inlineStr">
        <is>
          <t>SP-SL-GRILLE-H</t>
        </is>
      </c>
      <c r="E605" s="42" t="inlineStr">
        <is>
          <t>15005</t>
        </is>
      </c>
      <c r="F605" s="42" t="inlineStr">
        <is>
          <t>1540</t>
        </is>
      </c>
      <c r="G605" s="42" t="inlineStr">
        <is>
          <t>570</t>
        </is>
      </c>
      <c r="H605" s="42" t="inlineStr">
        <is>
          <t>False</t>
        </is>
      </c>
      <c r="I605" s="42" t="inlineStr">
        <is>
          <t>ALLOWED</t>
        </is>
      </c>
      <c r="J605" s="42" t="inlineStr">
        <is>
          <t>DIRECT_OFFICIAL_STANDARD_ROW</t>
        </is>
      </c>
      <c r="K605" s="42" t="inlineStr">
        <is>
          <t>SDC0003156</t>
        </is>
      </c>
      <c r="L605" s="42" t="inlineStr">
        <is>
          <t>マド2枚建 (201910～)</t>
        </is>
      </c>
      <c r="M605" s="42" t="inlineStr">
        <is>
          <t>53</t>
        </is>
      </c>
      <c r="N605" s="42" t="inlineStr">
        <is>
          <t>15005</t>
        </is>
      </c>
      <c r="O605" s="42" t="inlineStr">
        <is>
          <t>防犯建物部品欄の30mil構成を規格呼称へ直接突合。</t>
        </is>
      </c>
    </row>
    <row r="606">
      <c r="A606" s="42" t="inlineStr">
        <is>
          <t>SZ-SL-000605</t>
        </is>
      </c>
      <c r="B606" s="42" t="inlineStr">
        <is>
          <t>WT-SL-MENKOSHI-HIKI</t>
        </is>
      </c>
      <c r="C606" s="42" t="inlineStr">
        <is>
          <t>面格子付引違い窓</t>
        </is>
      </c>
      <c r="D606" s="42" t="inlineStr">
        <is>
          <t>SP-SL-GRILLE-H</t>
        </is>
      </c>
      <c r="E606" s="42" t="inlineStr">
        <is>
          <t>16005</t>
        </is>
      </c>
      <c r="F606" s="42" t="inlineStr">
        <is>
          <t>1640</t>
        </is>
      </c>
      <c r="G606" s="42" t="inlineStr">
        <is>
          <t>570</t>
        </is>
      </c>
      <c r="H606" s="42" t="inlineStr">
        <is>
          <t>False</t>
        </is>
      </c>
      <c r="I606" s="42" t="inlineStr">
        <is>
          <t>ALLOWED</t>
        </is>
      </c>
      <c r="J606" s="42" t="inlineStr">
        <is>
          <t>DIRECT_OFFICIAL_STANDARD_ROW</t>
        </is>
      </c>
      <c r="K606" s="42" t="inlineStr">
        <is>
          <t>SDC0003156</t>
        </is>
      </c>
      <c r="L606" s="42" t="inlineStr">
        <is>
          <t>マド2枚建 (201910～)</t>
        </is>
      </c>
      <c r="M606" s="42" t="inlineStr">
        <is>
          <t>64</t>
        </is>
      </c>
      <c r="N606" s="42" t="inlineStr">
        <is>
          <t>16005</t>
        </is>
      </c>
      <c r="O606" s="42" t="inlineStr">
        <is>
          <t>防犯建物部品欄の30mil構成を規格呼称へ直接突合。</t>
        </is>
      </c>
    </row>
    <row r="607">
      <c r="A607" s="42" t="inlineStr">
        <is>
          <t>SZ-SL-000606</t>
        </is>
      </c>
      <c r="B607" s="42" t="inlineStr">
        <is>
          <t>WT-SL-MENKOSHI-HIKI</t>
        </is>
      </c>
      <c r="C607" s="42" t="inlineStr">
        <is>
          <t>面格子付引違い窓</t>
        </is>
      </c>
      <c r="D607" s="42" t="inlineStr">
        <is>
          <t>SP-SL-GRILLE-H</t>
        </is>
      </c>
      <c r="E607" s="42" t="inlineStr">
        <is>
          <t>16505</t>
        </is>
      </c>
      <c r="F607" s="42" t="inlineStr">
        <is>
          <t>1690</t>
        </is>
      </c>
      <c r="G607" s="42" t="inlineStr">
        <is>
          <t>570</t>
        </is>
      </c>
      <c r="H607" s="42" t="inlineStr">
        <is>
          <t>False</t>
        </is>
      </c>
      <c r="I607" s="42" t="inlineStr">
        <is>
          <t>ALLOWED</t>
        </is>
      </c>
      <c r="J607" s="42" t="inlineStr">
        <is>
          <t>DIRECT_OFFICIAL_STANDARD_ROW</t>
        </is>
      </c>
      <c r="K607" s="42" t="inlineStr">
        <is>
          <t>SDC0003156</t>
        </is>
      </c>
      <c r="L607" s="42" t="inlineStr">
        <is>
          <t>マド2枚建 (201910～)</t>
        </is>
      </c>
      <c r="M607" s="42" t="inlineStr">
        <is>
          <t>71</t>
        </is>
      </c>
      <c r="N607" s="42" t="inlineStr">
        <is>
          <t>16505</t>
        </is>
      </c>
      <c r="O607" s="42" t="inlineStr">
        <is>
          <t>防犯建物部品欄の30mil構成を規格呼称へ直接突合。</t>
        </is>
      </c>
    </row>
    <row r="608">
      <c r="A608" s="42" t="inlineStr">
        <is>
          <t>SZ-SL-000607</t>
        </is>
      </c>
      <c r="B608" s="42" t="inlineStr">
        <is>
          <t>WT-SL-MENKOSHI-HIKI</t>
        </is>
      </c>
      <c r="C608" s="42" t="inlineStr">
        <is>
          <t>面格子付引違い窓</t>
        </is>
      </c>
      <c r="D608" s="42" t="inlineStr">
        <is>
          <t>SP-SL-GRILLE-IGETA</t>
        </is>
      </c>
      <c r="E608" s="42" t="inlineStr">
        <is>
          <t>13305</t>
        </is>
      </c>
      <c r="F608" s="42" t="inlineStr">
        <is>
          <t>1370</t>
        </is>
      </c>
      <c r="G608" s="42" t="inlineStr">
        <is>
          <t>570</t>
        </is>
      </c>
      <c r="H608" s="42" t="inlineStr">
        <is>
          <t>True</t>
        </is>
      </c>
      <c r="I608" s="42" t="inlineStr">
        <is>
          <t>ALLOWED</t>
        </is>
      </c>
      <c r="J608" s="42" t="inlineStr">
        <is>
          <t>DIRECT_OFFICIAL_STANDARD_ROW</t>
        </is>
      </c>
      <c r="K608" s="42" t="inlineStr">
        <is>
          <t>SDC0003156</t>
        </is>
      </c>
      <c r="L608" s="42" t="inlineStr">
        <is>
          <t>マド2枚建 (201910～)</t>
        </is>
      </c>
      <c r="M608" s="42" t="inlineStr">
        <is>
          <t>48</t>
        </is>
      </c>
      <c r="N608" s="42" t="inlineStr">
        <is>
          <t>13305</t>
        </is>
      </c>
      <c r="O608" s="42" t="inlineStr">
        <is>
          <t>防犯建物部品欄の30mil構成を規格呼称へ直接突合。</t>
        </is>
      </c>
    </row>
    <row r="609">
      <c r="A609" s="42" t="inlineStr">
        <is>
          <t>SZ-SL-000608</t>
        </is>
      </c>
      <c r="B609" s="42" t="inlineStr">
        <is>
          <t>WT-SL-MENKOSHI-HIKI</t>
        </is>
      </c>
      <c r="C609" s="42" t="inlineStr">
        <is>
          <t>面格子付引違い窓</t>
        </is>
      </c>
      <c r="D609" s="42" t="inlineStr">
        <is>
          <t>SP-SL-GRILLE-IGETA</t>
        </is>
      </c>
      <c r="E609" s="42" t="inlineStr">
        <is>
          <t>15005</t>
        </is>
      </c>
      <c r="F609" s="42" t="inlineStr">
        <is>
          <t>1540</t>
        </is>
      </c>
      <c r="G609" s="42" t="inlineStr">
        <is>
          <t>570</t>
        </is>
      </c>
      <c r="H609" s="42" t="inlineStr">
        <is>
          <t>True</t>
        </is>
      </c>
      <c r="I609" s="42" t="inlineStr">
        <is>
          <t>ALLOWED</t>
        </is>
      </c>
      <c r="J609" s="42" t="inlineStr">
        <is>
          <t>DIRECT_OFFICIAL_STANDARD_ROW</t>
        </is>
      </c>
      <c r="K609" s="42" t="inlineStr">
        <is>
          <t>SDC0003156</t>
        </is>
      </c>
      <c r="L609" s="42" t="inlineStr">
        <is>
          <t>マド2枚建 (201910～)</t>
        </is>
      </c>
      <c r="M609" s="42" t="inlineStr">
        <is>
          <t>53</t>
        </is>
      </c>
      <c r="N609" s="42" t="inlineStr">
        <is>
          <t>15005</t>
        </is>
      </c>
      <c r="O609" s="42" t="inlineStr">
        <is>
          <t>防犯建物部品欄の30mil構成を規格呼称へ直接突合。</t>
        </is>
      </c>
    </row>
    <row r="610">
      <c r="A610" s="42" t="inlineStr">
        <is>
          <t>SZ-SL-000609</t>
        </is>
      </c>
      <c r="B610" s="42" t="inlineStr">
        <is>
          <t>WT-SL-MENKOSHI-HIKI</t>
        </is>
      </c>
      <c r="C610" s="42" t="inlineStr">
        <is>
          <t>面格子付引違い窓</t>
        </is>
      </c>
      <c r="D610" s="42" t="inlineStr">
        <is>
          <t>SP-SL-GRILLE-IGETA</t>
        </is>
      </c>
      <c r="E610" s="42" t="inlineStr">
        <is>
          <t>16005</t>
        </is>
      </c>
      <c r="F610" s="42" t="inlineStr">
        <is>
          <t>1640</t>
        </is>
      </c>
      <c r="G610" s="42" t="inlineStr">
        <is>
          <t>570</t>
        </is>
      </c>
      <c r="H610" s="42" t="inlineStr">
        <is>
          <t>True</t>
        </is>
      </c>
      <c r="I610" s="42" t="inlineStr">
        <is>
          <t>ALLOWED</t>
        </is>
      </c>
      <c r="J610" s="42" t="inlineStr">
        <is>
          <t>DIRECT_OFFICIAL_STANDARD_ROW</t>
        </is>
      </c>
      <c r="K610" s="42" t="inlineStr">
        <is>
          <t>SDC0003156</t>
        </is>
      </c>
      <c r="L610" s="42" t="inlineStr">
        <is>
          <t>マド2枚建 (201910～)</t>
        </is>
      </c>
      <c r="M610" s="42" t="inlineStr">
        <is>
          <t>64</t>
        </is>
      </c>
      <c r="N610" s="42" t="inlineStr">
        <is>
          <t>16005</t>
        </is>
      </c>
      <c r="O610" s="42" t="inlineStr">
        <is>
          <t>防犯建物部品欄の30mil構成を規格呼称へ直接突合。</t>
        </is>
      </c>
    </row>
    <row r="611">
      <c r="A611" s="42" t="inlineStr">
        <is>
          <t>SZ-SL-000610</t>
        </is>
      </c>
      <c r="B611" s="42" t="inlineStr">
        <is>
          <t>WT-SL-MENKOSHI-HIKI</t>
        </is>
      </c>
      <c r="C611" s="42" t="inlineStr">
        <is>
          <t>面格子付引違い窓</t>
        </is>
      </c>
      <c r="D611" s="42" t="inlineStr">
        <is>
          <t>SP-SL-GRILLE-IGETA</t>
        </is>
      </c>
      <c r="E611" s="42" t="inlineStr">
        <is>
          <t>16505</t>
        </is>
      </c>
      <c r="F611" s="42" t="inlineStr">
        <is>
          <t>1690</t>
        </is>
      </c>
      <c r="G611" s="42" t="inlineStr">
        <is>
          <t>570</t>
        </is>
      </c>
      <c r="H611" s="42" t="inlineStr">
        <is>
          <t>True</t>
        </is>
      </c>
      <c r="I611" s="42" t="inlineStr">
        <is>
          <t>ALLOWED</t>
        </is>
      </c>
      <c r="J611" s="42" t="inlineStr">
        <is>
          <t>DIRECT_OFFICIAL_STANDARD_ROW</t>
        </is>
      </c>
      <c r="K611" s="42" t="inlineStr">
        <is>
          <t>SDC0003156</t>
        </is>
      </c>
      <c r="L611" s="42" t="inlineStr">
        <is>
          <t>マド2枚建 (201910～)</t>
        </is>
      </c>
      <c r="M611" s="42" t="inlineStr">
        <is>
          <t>71</t>
        </is>
      </c>
      <c r="N611" s="42" t="inlineStr">
        <is>
          <t>16505</t>
        </is>
      </c>
      <c r="O611" s="42" t="inlineStr">
        <is>
          <t>防犯建物部品欄の30mil構成を規格呼称へ直接突合。</t>
        </is>
      </c>
    </row>
    <row r="612">
      <c r="A612" s="42" t="inlineStr">
        <is>
          <t>SZ-SL-000611</t>
        </is>
      </c>
      <c r="B612" s="42" t="inlineStr">
        <is>
          <t>WT-SL-MENKOSHI-HIKI</t>
        </is>
      </c>
      <c r="C612" s="42" t="inlineStr">
        <is>
          <t>面格子付引違い窓</t>
        </is>
      </c>
      <c r="D612" s="42" t="inlineStr">
        <is>
          <t>SP-SL-GRILLE-V</t>
        </is>
      </c>
      <c r="E612" s="42" t="inlineStr">
        <is>
          <t>13305</t>
        </is>
      </c>
      <c r="F612" s="42" t="inlineStr">
        <is>
          <t>1370</t>
        </is>
      </c>
      <c r="G612" s="42" t="inlineStr">
        <is>
          <t>570</t>
        </is>
      </c>
      <c r="H612" s="42" t="inlineStr">
        <is>
          <t>True</t>
        </is>
      </c>
      <c r="I612" s="42" t="inlineStr">
        <is>
          <t>ALLOWED</t>
        </is>
      </c>
      <c r="J612" s="42" t="inlineStr">
        <is>
          <t>DIRECT_OFFICIAL_STANDARD_ROW</t>
        </is>
      </c>
      <c r="K612" s="42" t="inlineStr">
        <is>
          <t>SDC0003156</t>
        </is>
      </c>
      <c r="L612" s="42" t="inlineStr">
        <is>
          <t>マド2枚建 (201910～)</t>
        </is>
      </c>
      <c r="M612" s="42" t="inlineStr">
        <is>
          <t>48</t>
        </is>
      </c>
      <c r="N612" s="42" t="inlineStr">
        <is>
          <t>13305</t>
        </is>
      </c>
      <c r="O612" s="42" t="inlineStr">
        <is>
          <t>防犯建物部品欄の30mil構成を規格呼称へ直接突合。</t>
        </is>
      </c>
    </row>
    <row r="613">
      <c r="A613" s="42" t="inlineStr">
        <is>
          <t>SZ-SL-000612</t>
        </is>
      </c>
      <c r="B613" s="42" t="inlineStr">
        <is>
          <t>WT-SL-MENKOSHI-HIKI</t>
        </is>
      </c>
      <c r="C613" s="42" t="inlineStr">
        <is>
          <t>面格子付引違い窓</t>
        </is>
      </c>
      <c r="D613" s="42" t="inlineStr">
        <is>
          <t>SP-SL-GRILLE-V</t>
        </is>
      </c>
      <c r="E613" s="42" t="inlineStr">
        <is>
          <t>15005</t>
        </is>
      </c>
      <c r="F613" s="42" t="inlineStr">
        <is>
          <t>1540</t>
        </is>
      </c>
      <c r="G613" s="42" t="inlineStr">
        <is>
          <t>570</t>
        </is>
      </c>
      <c r="H613" s="42" t="inlineStr">
        <is>
          <t>True</t>
        </is>
      </c>
      <c r="I613" s="42" t="inlineStr">
        <is>
          <t>ALLOWED</t>
        </is>
      </c>
      <c r="J613" s="42" t="inlineStr">
        <is>
          <t>DIRECT_OFFICIAL_STANDARD_ROW</t>
        </is>
      </c>
      <c r="K613" s="42" t="inlineStr">
        <is>
          <t>SDC0003156</t>
        </is>
      </c>
      <c r="L613" s="42" t="inlineStr">
        <is>
          <t>マド2枚建 (201910～)</t>
        </is>
      </c>
      <c r="M613" s="42" t="inlineStr">
        <is>
          <t>53</t>
        </is>
      </c>
      <c r="N613" s="42" t="inlineStr">
        <is>
          <t>15005</t>
        </is>
      </c>
      <c r="O613" s="42" t="inlineStr">
        <is>
          <t>防犯建物部品欄の30mil構成を規格呼称へ直接突合。</t>
        </is>
      </c>
    </row>
    <row r="614">
      <c r="A614" s="42" t="inlineStr">
        <is>
          <t>SZ-SL-000613</t>
        </is>
      </c>
      <c r="B614" s="42" t="inlineStr">
        <is>
          <t>WT-SL-MENKOSHI-HIKI</t>
        </is>
      </c>
      <c r="C614" s="42" t="inlineStr">
        <is>
          <t>面格子付引違い窓</t>
        </is>
      </c>
      <c r="D614" s="42" t="inlineStr">
        <is>
          <t>SP-SL-GRILLE-V</t>
        </is>
      </c>
      <c r="E614" s="42" t="inlineStr">
        <is>
          <t>16005</t>
        </is>
      </c>
      <c r="F614" s="42" t="inlineStr">
        <is>
          <t>1640</t>
        </is>
      </c>
      <c r="G614" s="42" t="inlineStr">
        <is>
          <t>570</t>
        </is>
      </c>
      <c r="H614" s="42" t="inlineStr">
        <is>
          <t>True</t>
        </is>
      </c>
      <c r="I614" s="42" t="inlineStr">
        <is>
          <t>ALLOWED</t>
        </is>
      </c>
      <c r="J614" s="42" t="inlineStr">
        <is>
          <t>DIRECT_OFFICIAL_STANDARD_ROW</t>
        </is>
      </c>
      <c r="K614" s="42" t="inlineStr">
        <is>
          <t>SDC0003156</t>
        </is>
      </c>
      <c r="L614" s="42" t="inlineStr">
        <is>
          <t>マド2枚建 (201910～)</t>
        </is>
      </c>
      <c r="M614" s="42" t="inlineStr">
        <is>
          <t>64</t>
        </is>
      </c>
      <c r="N614" s="42" t="inlineStr">
        <is>
          <t>16005</t>
        </is>
      </c>
      <c r="O614" s="42" t="inlineStr">
        <is>
          <t>防犯建物部品欄の30mil構成を規格呼称へ直接突合。</t>
        </is>
      </c>
    </row>
    <row r="615">
      <c r="A615" s="42" t="inlineStr">
        <is>
          <t>SZ-SL-000614</t>
        </is>
      </c>
      <c r="B615" s="42" t="inlineStr">
        <is>
          <t>WT-SL-MENKOSHI-HIKI</t>
        </is>
      </c>
      <c r="C615" s="42" t="inlineStr">
        <is>
          <t>面格子付引違い窓</t>
        </is>
      </c>
      <c r="D615" s="42" t="inlineStr">
        <is>
          <t>SP-SL-GRILLE-V</t>
        </is>
      </c>
      <c r="E615" s="42" t="inlineStr">
        <is>
          <t>16505</t>
        </is>
      </c>
      <c r="F615" s="42" t="inlineStr">
        <is>
          <t>1690</t>
        </is>
      </c>
      <c r="G615" s="42" t="inlineStr">
        <is>
          <t>570</t>
        </is>
      </c>
      <c r="H615" s="42" t="inlineStr">
        <is>
          <t>True</t>
        </is>
      </c>
      <c r="I615" s="42" t="inlineStr">
        <is>
          <t>ALLOWED</t>
        </is>
      </c>
      <c r="J615" s="42" t="inlineStr">
        <is>
          <t>DIRECT_OFFICIAL_STANDARD_ROW</t>
        </is>
      </c>
      <c r="K615" s="42" t="inlineStr">
        <is>
          <t>SDC0003156</t>
        </is>
      </c>
      <c r="L615" s="42" t="inlineStr">
        <is>
          <t>マド2枚建 (201910～)</t>
        </is>
      </c>
      <c r="M615" s="42" t="inlineStr">
        <is>
          <t>71</t>
        </is>
      </c>
      <c r="N615" s="42" t="inlineStr">
        <is>
          <t>16505</t>
        </is>
      </c>
      <c r="O615" s="42" t="inlineStr">
        <is>
          <t>防犯建物部品欄の30mil構成を規格呼称へ直接突合。</t>
        </is>
      </c>
    </row>
    <row r="616">
      <c r="A616" s="42" t="inlineStr">
        <is>
          <t>SZ-SL-000615</t>
        </is>
      </c>
      <c r="B616" s="42" t="inlineStr">
        <is>
          <t>WT-SL-MENKOSHI-HIKI</t>
        </is>
      </c>
      <c r="C616" s="42" t="inlineStr">
        <is>
          <t>面格子付引違い窓</t>
        </is>
      </c>
      <c r="D616" s="42" t="inlineStr">
        <is>
          <t>SP-SL-GRILLE-DIA</t>
        </is>
      </c>
      <c r="E616" s="42" t="inlineStr">
        <is>
          <t>17405</t>
        </is>
      </c>
      <c r="F616" s="42" t="inlineStr">
        <is>
          <t>1780</t>
        </is>
      </c>
      <c r="G616" s="42" t="inlineStr">
        <is>
          <t>570</t>
        </is>
      </c>
      <c r="H616" s="42" t="inlineStr">
        <is>
          <t>True</t>
        </is>
      </c>
      <c r="I616" s="42" t="inlineStr">
        <is>
          <t>ALLOWED</t>
        </is>
      </c>
      <c r="J616" s="42" t="inlineStr">
        <is>
          <t>DIRECT_OFFICIAL_STANDARD_ROW</t>
        </is>
      </c>
      <c r="K616" s="42" t="inlineStr">
        <is>
          <t>SDC0003156</t>
        </is>
      </c>
      <c r="L616" s="42" t="inlineStr">
        <is>
          <t>マド2枚建 (201910～)</t>
        </is>
      </c>
      <c r="M616" s="42" t="inlineStr">
        <is>
          <t>77</t>
        </is>
      </c>
      <c r="N616" s="42" t="inlineStr">
        <is>
          <t>17405</t>
        </is>
      </c>
      <c r="O616" s="42" t="inlineStr">
        <is>
          <t>防犯建物部品欄の30mil構成を規格呼称へ直接突合。</t>
        </is>
      </c>
    </row>
    <row r="617">
      <c r="A617" s="42" t="inlineStr">
        <is>
          <t>SZ-SL-000616</t>
        </is>
      </c>
      <c r="B617" s="42" t="inlineStr">
        <is>
          <t>WT-SL-MENKOSHI-HIKI</t>
        </is>
      </c>
      <c r="C617" s="42" t="inlineStr">
        <is>
          <t>面格子付引違い窓</t>
        </is>
      </c>
      <c r="D617" s="42" t="inlineStr">
        <is>
          <t>SP-SL-GRILLE-DIA</t>
        </is>
      </c>
      <c r="E617" s="42" t="inlineStr">
        <is>
          <t>17605</t>
        </is>
      </c>
      <c r="F617" s="42" t="inlineStr">
        <is>
          <t>1800</t>
        </is>
      </c>
      <c r="G617" s="42" t="inlineStr">
        <is>
          <t>570</t>
        </is>
      </c>
      <c r="H617" s="42" t="inlineStr">
        <is>
          <t>True</t>
        </is>
      </c>
      <c r="I617" s="42" t="inlineStr">
        <is>
          <t>ALLOWED</t>
        </is>
      </c>
      <c r="J617" s="42" t="inlineStr">
        <is>
          <t>DIRECT_OFFICIAL_STANDARD_ROW</t>
        </is>
      </c>
      <c r="K617" s="42" t="inlineStr">
        <is>
          <t>SDC0003156</t>
        </is>
      </c>
      <c r="L617" s="42" t="inlineStr">
        <is>
          <t>マド2枚建 (201910～)</t>
        </is>
      </c>
      <c r="M617" s="42" t="inlineStr">
        <is>
          <t>82</t>
        </is>
      </c>
      <c r="N617" s="42" t="inlineStr">
        <is>
          <t>17605</t>
        </is>
      </c>
      <c r="O617" s="42" t="inlineStr">
        <is>
          <t>防犯建物部品欄の30mil構成を規格呼称へ直接突合。</t>
        </is>
      </c>
    </row>
    <row r="618">
      <c r="A618" s="42" t="inlineStr">
        <is>
          <t>SZ-SL-000617</t>
        </is>
      </c>
      <c r="B618" s="42" t="inlineStr">
        <is>
          <t>WT-SL-MENKOSHI-HIKI</t>
        </is>
      </c>
      <c r="C618" s="42" t="inlineStr">
        <is>
          <t>面格子付引違い窓</t>
        </is>
      </c>
      <c r="D618" s="42" t="inlineStr">
        <is>
          <t>SP-SL-GRILLE-DIA</t>
        </is>
      </c>
      <c r="E618" s="42" t="inlineStr">
        <is>
          <t>18005</t>
        </is>
      </c>
      <c r="F618" s="42" t="inlineStr">
        <is>
          <t>1845</t>
        </is>
      </c>
      <c r="G618" s="42" t="inlineStr">
        <is>
          <t>570</t>
        </is>
      </c>
      <c r="H618" s="42" t="inlineStr">
        <is>
          <t>True</t>
        </is>
      </c>
      <c r="I618" s="42" t="inlineStr">
        <is>
          <t>ALLOWED</t>
        </is>
      </c>
      <c r="J618" s="42" t="inlineStr">
        <is>
          <t>DIRECT_OFFICIAL_STANDARD_ROW</t>
        </is>
      </c>
      <c r="K618" s="42" t="inlineStr">
        <is>
          <t>SDC0003156</t>
        </is>
      </c>
      <c r="L618" s="42" t="inlineStr">
        <is>
          <t>マド2枚建 (201910～)</t>
        </is>
      </c>
      <c r="M618" s="42" t="inlineStr">
        <is>
          <t>92</t>
        </is>
      </c>
      <c r="N618" s="42" t="inlineStr">
        <is>
          <t>18005</t>
        </is>
      </c>
      <c r="O618" s="42" t="inlineStr">
        <is>
          <t>防犯建物部品欄の30mil構成を規格呼称へ直接突合。</t>
        </is>
      </c>
    </row>
    <row r="619">
      <c r="A619" s="42" t="inlineStr">
        <is>
          <t>SZ-SL-000618</t>
        </is>
      </c>
      <c r="B619" s="42" t="inlineStr">
        <is>
          <t>WT-SL-MENKOSHI-HIKI</t>
        </is>
      </c>
      <c r="C619" s="42" t="inlineStr">
        <is>
          <t>面格子付引違い窓</t>
        </is>
      </c>
      <c r="D619" s="42" t="inlineStr">
        <is>
          <t>SP-SL-GRILLE-DIA</t>
        </is>
      </c>
      <c r="E619" s="42" t="inlineStr">
        <is>
          <t>18605</t>
        </is>
      </c>
      <c r="F619" s="42" t="inlineStr">
        <is>
          <t>1900</t>
        </is>
      </c>
      <c r="G619" s="42" t="inlineStr">
        <is>
          <t>570</t>
        </is>
      </c>
      <c r="H619" s="42" t="inlineStr">
        <is>
          <t>True</t>
        </is>
      </c>
      <c r="I619" s="42" t="inlineStr">
        <is>
          <t>ALLOWED</t>
        </is>
      </c>
      <c r="J619" s="42" t="inlineStr">
        <is>
          <t>DIRECT_OFFICIAL_STANDARD_ROW</t>
        </is>
      </c>
      <c r="K619" s="42" t="inlineStr">
        <is>
          <t>SDC0003156</t>
        </is>
      </c>
      <c r="L619" s="42" t="inlineStr">
        <is>
          <t>マド2枚建 (201910～)</t>
        </is>
      </c>
      <c r="M619" s="42" t="inlineStr">
        <is>
          <t>102</t>
        </is>
      </c>
      <c r="N619" s="42" t="inlineStr">
        <is>
          <t>18605</t>
        </is>
      </c>
      <c r="O619" s="42" t="inlineStr">
        <is>
          <t>防犯建物部品欄の30mil構成を規格呼称へ直接突合。</t>
        </is>
      </c>
    </row>
    <row r="620">
      <c r="A620" s="42" t="inlineStr">
        <is>
          <t>SZ-SL-000619</t>
        </is>
      </c>
      <c r="B620" s="42" t="inlineStr">
        <is>
          <t>WT-SL-MENKOSHI-HIKI</t>
        </is>
      </c>
      <c r="C620" s="42" t="inlineStr">
        <is>
          <t>面格子付引違い窓</t>
        </is>
      </c>
      <c r="D620" s="42" t="inlineStr">
        <is>
          <t>SP-SL-GRILLE-H</t>
        </is>
      </c>
      <c r="E620" s="42" t="inlineStr">
        <is>
          <t>17405</t>
        </is>
      </c>
      <c r="F620" s="42" t="inlineStr">
        <is>
          <t>1780</t>
        </is>
      </c>
      <c r="G620" s="42" t="inlineStr">
        <is>
          <t>570</t>
        </is>
      </c>
      <c r="H620" s="42" t="inlineStr">
        <is>
          <t>False</t>
        </is>
      </c>
      <c r="I620" s="42" t="inlineStr">
        <is>
          <t>ALLOWED</t>
        </is>
      </c>
      <c r="J620" s="42" t="inlineStr">
        <is>
          <t>DIRECT_OFFICIAL_STANDARD_ROW</t>
        </is>
      </c>
      <c r="K620" s="42" t="inlineStr">
        <is>
          <t>SDC0003156</t>
        </is>
      </c>
      <c r="L620" s="42" t="inlineStr">
        <is>
          <t>マド2枚建 (201910～)</t>
        </is>
      </c>
      <c r="M620" s="42" t="inlineStr">
        <is>
          <t>77</t>
        </is>
      </c>
      <c r="N620" s="42" t="inlineStr">
        <is>
          <t>17405</t>
        </is>
      </c>
      <c r="O620" s="42" t="inlineStr">
        <is>
          <t>防犯建物部品欄の30mil構成を規格呼称へ直接突合。</t>
        </is>
      </c>
    </row>
    <row r="621">
      <c r="A621" s="42" t="inlineStr">
        <is>
          <t>SZ-SL-000620</t>
        </is>
      </c>
      <c r="B621" s="42" t="inlineStr">
        <is>
          <t>WT-SL-MENKOSHI-HIKI</t>
        </is>
      </c>
      <c r="C621" s="42" t="inlineStr">
        <is>
          <t>面格子付引違い窓</t>
        </is>
      </c>
      <c r="D621" s="42" t="inlineStr">
        <is>
          <t>SP-SL-GRILLE-H</t>
        </is>
      </c>
      <c r="E621" s="42" t="inlineStr">
        <is>
          <t>17605</t>
        </is>
      </c>
      <c r="F621" s="42" t="inlineStr">
        <is>
          <t>1800</t>
        </is>
      </c>
      <c r="G621" s="42" t="inlineStr">
        <is>
          <t>570</t>
        </is>
      </c>
      <c r="H621" s="42" t="inlineStr">
        <is>
          <t>False</t>
        </is>
      </c>
      <c r="I621" s="42" t="inlineStr">
        <is>
          <t>ALLOWED</t>
        </is>
      </c>
      <c r="J621" s="42" t="inlineStr">
        <is>
          <t>DIRECT_OFFICIAL_STANDARD_ROW</t>
        </is>
      </c>
      <c r="K621" s="42" t="inlineStr">
        <is>
          <t>SDC0003156</t>
        </is>
      </c>
      <c r="L621" s="42" t="inlineStr">
        <is>
          <t>マド2枚建 (201910～)</t>
        </is>
      </c>
      <c r="M621" s="42" t="inlineStr">
        <is>
          <t>82</t>
        </is>
      </c>
      <c r="N621" s="42" t="inlineStr">
        <is>
          <t>17605</t>
        </is>
      </c>
      <c r="O621" s="42" t="inlineStr">
        <is>
          <t>防犯建物部品欄の30mil構成を規格呼称へ直接突合。</t>
        </is>
      </c>
    </row>
    <row r="622">
      <c r="A622" s="42" t="inlineStr">
        <is>
          <t>SZ-SL-000621</t>
        </is>
      </c>
      <c r="B622" s="42" t="inlineStr">
        <is>
          <t>WT-SL-MENKOSHI-HIKI</t>
        </is>
      </c>
      <c r="C622" s="42" t="inlineStr">
        <is>
          <t>面格子付引違い窓</t>
        </is>
      </c>
      <c r="D622" s="42" t="inlineStr">
        <is>
          <t>SP-SL-GRILLE-H</t>
        </is>
      </c>
      <c r="E622" s="42" t="inlineStr">
        <is>
          <t>18005</t>
        </is>
      </c>
      <c r="F622" s="42" t="inlineStr">
        <is>
          <t>1845</t>
        </is>
      </c>
      <c r="G622" s="42" t="inlineStr">
        <is>
          <t>570</t>
        </is>
      </c>
      <c r="H622" s="42" t="inlineStr">
        <is>
          <t>False</t>
        </is>
      </c>
      <c r="I622" s="42" t="inlineStr">
        <is>
          <t>ALLOWED</t>
        </is>
      </c>
      <c r="J622" s="42" t="inlineStr">
        <is>
          <t>DIRECT_OFFICIAL_STANDARD_ROW</t>
        </is>
      </c>
      <c r="K622" s="42" t="inlineStr">
        <is>
          <t>SDC0003156</t>
        </is>
      </c>
      <c r="L622" s="42" t="inlineStr">
        <is>
          <t>マド2枚建 (201910～)</t>
        </is>
      </c>
      <c r="M622" s="42" t="inlineStr">
        <is>
          <t>92</t>
        </is>
      </c>
      <c r="N622" s="42" t="inlineStr">
        <is>
          <t>18005</t>
        </is>
      </c>
      <c r="O622" s="42" t="inlineStr">
        <is>
          <t>防犯建物部品欄の30mil構成を規格呼称へ直接突合。</t>
        </is>
      </c>
    </row>
    <row r="623">
      <c r="A623" s="42" t="inlineStr">
        <is>
          <t>SZ-SL-000622</t>
        </is>
      </c>
      <c r="B623" s="42" t="inlineStr">
        <is>
          <t>WT-SL-MENKOSHI-HIKI</t>
        </is>
      </c>
      <c r="C623" s="42" t="inlineStr">
        <is>
          <t>面格子付引違い窓</t>
        </is>
      </c>
      <c r="D623" s="42" t="inlineStr">
        <is>
          <t>SP-SL-GRILLE-H</t>
        </is>
      </c>
      <c r="E623" s="42" t="inlineStr">
        <is>
          <t>18605</t>
        </is>
      </c>
      <c r="F623" s="42" t="inlineStr">
        <is>
          <t>1900</t>
        </is>
      </c>
      <c r="G623" s="42" t="inlineStr">
        <is>
          <t>570</t>
        </is>
      </c>
      <c r="H623" s="42" t="inlineStr">
        <is>
          <t>False</t>
        </is>
      </c>
      <c r="I623" s="42" t="inlineStr">
        <is>
          <t>ALLOWED</t>
        </is>
      </c>
      <c r="J623" s="42" t="inlineStr">
        <is>
          <t>DIRECT_OFFICIAL_STANDARD_ROW</t>
        </is>
      </c>
      <c r="K623" s="42" t="inlineStr">
        <is>
          <t>SDC0003156</t>
        </is>
      </c>
      <c r="L623" s="42" t="inlineStr">
        <is>
          <t>マド2枚建 (201910～)</t>
        </is>
      </c>
      <c r="M623" s="42" t="inlineStr">
        <is>
          <t>102</t>
        </is>
      </c>
      <c r="N623" s="42" t="inlineStr">
        <is>
          <t>18605</t>
        </is>
      </c>
      <c r="O623" s="42" t="inlineStr">
        <is>
          <t>防犯建物部品欄の30mil構成を規格呼称へ直接突合。</t>
        </is>
      </c>
    </row>
    <row r="624">
      <c r="A624" s="42" t="inlineStr">
        <is>
          <t>SZ-SL-000623</t>
        </is>
      </c>
      <c r="B624" s="42" t="inlineStr">
        <is>
          <t>WT-SL-MENKOSHI-HIKI</t>
        </is>
      </c>
      <c r="C624" s="42" t="inlineStr">
        <is>
          <t>面格子付引違い窓</t>
        </is>
      </c>
      <c r="D624" s="42" t="inlineStr">
        <is>
          <t>SP-SL-GRILLE-IGETA</t>
        </is>
      </c>
      <c r="E624" s="42" t="inlineStr">
        <is>
          <t>17405</t>
        </is>
      </c>
      <c r="F624" s="42" t="inlineStr">
        <is>
          <t>1780</t>
        </is>
      </c>
      <c r="G624" s="42" t="inlineStr">
        <is>
          <t>570</t>
        </is>
      </c>
      <c r="H624" s="42" t="inlineStr">
        <is>
          <t>True</t>
        </is>
      </c>
      <c r="I624" s="42" t="inlineStr">
        <is>
          <t>ALLOWED</t>
        </is>
      </c>
      <c r="J624" s="42" t="inlineStr">
        <is>
          <t>DIRECT_OFFICIAL_STANDARD_ROW</t>
        </is>
      </c>
      <c r="K624" s="42" t="inlineStr">
        <is>
          <t>SDC0003156</t>
        </is>
      </c>
      <c r="L624" s="42" t="inlineStr">
        <is>
          <t>マド2枚建 (201910～)</t>
        </is>
      </c>
      <c r="M624" s="42" t="inlineStr">
        <is>
          <t>77</t>
        </is>
      </c>
      <c r="N624" s="42" t="inlineStr">
        <is>
          <t>17405</t>
        </is>
      </c>
      <c r="O624" s="42" t="inlineStr">
        <is>
          <t>防犯建物部品欄の30mil構成を規格呼称へ直接突合。</t>
        </is>
      </c>
    </row>
    <row r="625">
      <c r="A625" s="42" t="inlineStr">
        <is>
          <t>SZ-SL-000624</t>
        </is>
      </c>
      <c r="B625" s="42" t="inlineStr">
        <is>
          <t>WT-SL-MENKOSHI-HIKI</t>
        </is>
      </c>
      <c r="C625" s="42" t="inlineStr">
        <is>
          <t>面格子付引違い窓</t>
        </is>
      </c>
      <c r="D625" s="42" t="inlineStr">
        <is>
          <t>SP-SL-GRILLE-IGETA</t>
        </is>
      </c>
      <c r="E625" s="42" t="inlineStr">
        <is>
          <t>17605</t>
        </is>
      </c>
      <c r="F625" s="42" t="inlineStr">
        <is>
          <t>1800</t>
        </is>
      </c>
      <c r="G625" s="42" t="inlineStr">
        <is>
          <t>570</t>
        </is>
      </c>
      <c r="H625" s="42" t="inlineStr">
        <is>
          <t>True</t>
        </is>
      </c>
      <c r="I625" s="42" t="inlineStr">
        <is>
          <t>ALLOWED</t>
        </is>
      </c>
      <c r="J625" s="42" t="inlineStr">
        <is>
          <t>DIRECT_OFFICIAL_STANDARD_ROW</t>
        </is>
      </c>
      <c r="K625" s="42" t="inlineStr">
        <is>
          <t>SDC0003156</t>
        </is>
      </c>
      <c r="L625" s="42" t="inlineStr">
        <is>
          <t>マド2枚建 (201910～)</t>
        </is>
      </c>
      <c r="M625" s="42" t="inlineStr">
        <is>
          <t>82</t>
        </is>
      </c>
      <c r="N625" s="42" t="inlineStr">
        <is>
          <t>17605</t>
        </is>
      </c>
      <c r="O625" s="42" t="inlineStr">
        <is>
          <t>防犯建物部品欄の30mil構成を規格呼称へ直接突合。</t>
        </is>
      </c>
    </row>
    <row r="626">
      <c r="A626" s="42" t="inlineStr">
        <is>
          <t>SZ-SL-000625</t>
        </is>
      </c>
      <c r="B626" s="42" t="inlineStr">
        <is>
          <t>WT-SL-MENKOSHI-HIKI</t>
        </is>
      </c>
      <c r="C626" s="42" t="inlineStr">
        <is>
          <t>面格子付引違い窓</t>
        </is>
      </c>
      <c r="D626" s="42" t="inlineStr">
        <is>
          <t>SP-SL-GRILLE-IGETA</t>
        </is>
      </c>
      <c r="E626" s="42" t="inlineStr">
        <is>
          <t>18005</t>
        </is>
      </c>
      <c r="F626" s="42" t="inlineStr">
        <is>
          <t>1845</t>
        </is>
      </c>
      <c r="G626" s="42" t="inlineStr">
        <is>
          <t>570</t>
        </is>
      </c>
      <c r="H626" s="42" t="inlineStr">
        <is>
          <t>True</t>
        </is>
      </c>
      <c r="I626" s="42" t="inlineStr">
        <is>
          <t>ALLOWED</t>
        </is>
      </c>
      <c r="J626" s="42" t="inlineStr">
        <is>
          <t>DIRECT_OFFICIAL_STANDARD_ROW</t>
        </is>
      </c>
      <c r="K626" s="42" t="inlineStr">
        <is>
          <t>SDC0003156</t>
        </is>
      </c>
      <c r="L626" s="42" t="inlineStr">
        <is>
          <t>マド2枚建 (201910～)</t>
        </is>
      </c>
      <c r="M626" s="42" t="inlineStr">
        <is>
          <t>92</t>
        </is>
      </c>
      <c r="N626" s="42" t="inlineStr">
        <is>
          <t>18005</t>
        </is>
      </c>
      <c r="O626" s="42" t="inlineStr">
        <is>
          <t>防犯建物部品欄の30mil構成を規格呼称へ直接突合。</t>
        </is>
      </c>
    </row>
    <row r="627">
      <c r="A627" s="42" t="inlineStr">
        <is>
          <t>SZ-SL-000626</t>
        </is>
      </c>
      <c r="B627" s="42" t="inlineStr">
        <is>
          <t>WT-SL-MENKOSHI-HIKI</t>
        </is>
      </c>
      <c r="C627" s="42" t="inlineStr">
        <is>
          <t>面格子付引違い窓</t>
        </is>
      </c>
      <c r="D627" s="42" t="inlineStr">
        <is>
          <t>SP-SL-GRILLE-IGETA</t>
        </is>
      </c>
      <c r="E627" s="42" t="inlineStr">
        <is>
          <t>18605</t>
        </is>
      </c>
      <c r="F627" s="42" t="inlineStr">
        <is>
          <t>1900</t>
        </is>
      </c>
      <c r="G627" s="42" t="inlineStr">
        <is>
          <t>570</t>
        </is>
      </c>
      <c r="H627" s="42" t="inlineStr">
        <is>
          <t>True</t>
        </is>
      </c>
      <c r="I627" s="42" t="inlineStr">
        <is>
          <t>ALLOWED</t>
        </is>
      </c>
      <c r="J627" s="42" t="inlineStr">
        <is>
          <t>DIRECT_OFFICIAL_STANDARD_ROW</t>
        </is>
      </c>
      <c r="K627" s="42" t="inlineStr">
        <is>
          <t>SDC0003156</t>
        </is>
      </c>
      <c r="L627" s="42" t="inlineStr">
        <is>
          <t>マド2枚建 (201910～)</t>
        </is>
      </c>
      <c r="M627" s="42" t="inlineStr">
        <is>
          <t>102</t>
        </is>
      </c>
      <c r="N627" s="42" t="inlineStr">
        <is>
          <t>18605</t>
        </is>
      </c>
      <c r="O627" s="42" t="inlineStr">
        <is>
          <t>防犯建物部品欄の30mil構成を規格呼称へ直接突合。</t>
        </is>
      </c>
    </row>
    <row r="628">
      <c r="A628" s="42" t="inlineStr">
        <is>
          <t>SZ-SL-000627</t>
        </is>
      </c>
      <c r="B628" s="42" t="inlineStr">
        <is>
          <t>WT-SL-MENKOSHI-HIKI</t>
        </is>
      </c>
      <c r="C628" s="42" t="inlineStr">
        <is>
          <t>面格子付引違い窓</t>
        </is>
      </c>
      <c r="D628" s="42" t="inlineStr">
        <is>
          <t>SP-SL-GRILLE-V</t>
        </is>
      </c>
      <c r="E628" s="42" t="inlineStr">
        <is>
          <t>17405</t>
        </is>
      </c>
      <c r="F628" s="42" t="inlineStr">
        <is>
          <t>1780</t>
        </is>
      </c>
      <c r="G628" s="42" t="inlineStr">
        <is>
          <t>570</t>
        </is>
      </c>
      <c r="H628" s="42" t="inlineStr">
        <is>
          <t>True</t>
        </is>
      </c>
      <c r="I628" s="42" t="inlineStr">
        <is>
          <t>ALLOWED</t>
        </is>
      </c>
      <c r="J628" s="42" t="inlineStr">
        <is>
          <t>DIRECT_OFFICIAL_STANDARD_ROW</t>
        </is>
      </c>
      <c r="K628" s="42" t="inlineStr">
        <is>
          <t>SDC0003156</t>
        </is>
      </c>
      <c r="L628" s="42" t="inlineStr">
        <is>
          <t>マド2枚建 (201910～)</t>
        </is>
      </c>
      <c r="M628" s="42" t="inlineStr">
        <is>
          <t>77</t>
        </is>
      </c>
      <c r="N628" s="42" t="inlineStr">
        <is>
          <t>17405</t>
        </is>
      </c>
      <c r="O628" s="42" t="inlineStr">
        <is>
          <t>防犯建物部品欄の30mil構成を規格呼称へ直接突合。</t>
        </is>
      </c>
    </row>
    <row r="629">
      <c r="A629" s="42" t="inlineStr">
        <is>
          <t>SZ-SL-000628</t>
        </is>
      </c>
      <c r="B629" s="42" t="inlineStr">
        <is>
          <t>WT-SL-MENKOSHI-HIKI</t>
        </is>
      </c>
      <c r="C629" s="42" t="inlineStr">
        <is>
          <t>面格子付引違い窓</t>
        </is>
      </c>
      <c r="D629" s="42" t="inlineStr">
        <is>
          <t>SP-SL-GRILLE-V</t>
        </is>
      </c>
      <c r="E629" s="42" t="inlineStr">
        <is>
          <t>17605</t>
        </is>
      </c>
      <c r="F629" s="42" t="inlineStr">
        <is>
          <t>1800</t>
        </is>
      </c>
      <c r="G629" s="42" t="inlineStr">
        <is>
          <t>570</t>
        </is>
      </c>
      <c r="H629" s="42" t="inlineStr">
        <is>
          <t>True</t>
        </is>
      </c>
      <c r="I629" s="42" t="inlineStr">
        <is>
          <t>ALLOWED</t>
        </is>
      </c>
      <c r="J629" s="42" t="inlineStr">
        <is>
          <t>DIRECT_OFFICIAL_STANDARD_ROW</t>
        </is>
      </c>
      <c r="K629" s="42" t="inlineStr">
        <is>
          <t>SDC0003156</t>
        </is>
      </c>
      <c r="L629" s="42" t="inlineStr">
        <is>
          <t>マド2枚建 (201910～)</t>
        </is>
      </c>
      <c r="M629" s="42" t="inlineStr">
        <is>
          <t>82</t>
        </is>
      </c>
      <c r="N629" s="42" t="inlineStr">
        <is>
          <t>17605</t>
        </is>
      </c>
      <c r="O629" s="42" t="inlineStr">
        <is>
          <t>防犯建物部品欄の30mil構成を規格呼称へ直接突合。</t>
        </is>
      </c>
    </row>
    <row r="630">
      <c r="A630" s="42" t="inlineStr">
        <is>
          <t>SZ-SL-000629</t>
        </is>
      </c>
      <c r="B630" s="42" t="inlineStr">
        <is>
          <t>WT-SL-MENKOSHI-HIKI</t>
        </is>
      </c>
      <c r="C630" s="42" t="inlineStr">
        <is>
          <t>面格子付引違い窓</t>
        </is>
      </c>
      <c r="D630" s="42" t="inlineStr">
        <is>
          <t>SP-SL-GRILLE-V</t>
        </is>
      </c>
      <c r="E630" s="42" t="inlineStr">
        <is>
          <t>18005</t>
        </is>
      </c>
      <c r="F630" s="42" t="inlineStr">
        <is>
          <t>1845</t>
        </is>
      </c>
      <c r="G630" s="42" t="inlineStr">
        <is>
          <t>570</t>
        </is>
      </c>
      <c r="H630" s="42" t="inlineStr">
        <is>
          <t>True</t>
        </is>
      </c>
      <c r="I630" s="42" t="inlineStr">
        <is>
          <t>ALLOWED</t>
        </is>
      </c>
      <c r="J630" s="42" t="inlineStr">
        <is>
          <t>DIRECT_OFFICIAL_STANDARD_ROW</t>
        </is>
      </c>
      <c r="K630" s="42" t="inlineStr">
        <is>
          <t>SDC0003156</t>
        </is>
      </c>
      <c r="L630" s="42" t="inlineStr">
        <is>
          <t>マド2枚建 (201910～)</t>
        </is>
      </c>
      <c r="M630" s="42" t="inlineStr">
        <is>
          <t>92</t>
        </is>
      </c>
      <c r="N630" s="42" t="inlineStr">
        <is>
          <t>18005</t>
        </is>
      </c>
      <c r="O630" s="42" t="inlineStr">
        <is>
          <t>防犯建物部品欄の30mil構成を規格呼称へ直接突合。</t>
        </is>
      </c>
    </row>
    <row r="631">
      <c r="A631" s="42" t="inlineStr">
        <is>
          <t>SZ-SL-000630</t>
        </is>
      </c>
      <c r="B631" s="42" t="inlineStr">
        <is>
          <t>WT-SL-MENKOSHI-HIKI</t>
        </is>
      </c>
      <c r="C631" s="42" t="inlineStr">
        <is>
          <t>面格子付引違い窓</t>
        </is>
      </c>
      <c r="D631" s="42" t="inlineStr">
        <is>
          <t>SP-SL-GRILLE-V</t>
        </is>
      </c>
      <c r="E631" s="42" t="inlineStr">
        <is>
          <t>18605</t>
        </is>
      </c>
      <c r="F631" s="42" t="inlineStr">
        <is>
          <t>1900</t>
        </is>
      </c>
      <c r="G631" s="42" t="inlineStr">
        <is>
          <t>570</t>
        </is>
      </c>
      <c r="H631" s="42" t="inlineStr">
        <is>
          <t>True</t>
        </is>
      </c>
      <c r="I631" s="42" t="inlineStr">
        <is>
          <t>ALLOWED</t>
        </is>
      </c>
      <c r="J631" s="42" t="inlineStr">
        <is>
          <t>DIRECT_OFFICIAL_STANDARD_ROW</t>
        </is>
      </c>
      <c r="K631" s="42" t="inlineStr">
        <is>
          <t>SDC0003156</t>
        </is>
      </c>
      <c r="L631" s="42" t="inlineStr">
        <is>
          <t>マド2枚建 (201910～)</t>
        </is>
      </c>
      <c r="M631" s="42" t="inlineStr">
        <is>
          <t>102</t>
        </is>
      </c>
      <c r="N631" s="42" t="inlineStr">
        <is>
          <t>18605</t>
        </is>
      </c>
      <c r="O631" s="42" t="inlineStr">
        <is>
          <t>防犯建物部品欄の30mil構成を規格呼称へ直接突合。</t>
        </is>
      </c>
    </row>
    <row r="632">
      <c r="A632" s="42" t="inlineStr">
        <is>
          <t>SZ-SL-000631</t>
        </is>
      </c>
      <c r="B632" s="42" t="inlineStr">
        <is>
          <t>WT-SL-MENKOSHI-HIKI</t>
        </is>
      </c>
      <c r="C632" s="42" t="inlineStr">
        <is>
          <t>面格子付引違い窓</t>
        </is>
      </c>
      <c r="D632" s="42" t="inlineStr">
        <is>
          <t>SP-SL-GRILLE-DIA</t>
        </is>
      </c>
      <c r="E632" s="42" t="inlineStr">
        <is>
          <t>06007</t>
        </is>
      </c>
      <c r="F632" s="42" t="inlineStr">
        <is>
          <t>640</t>
        </is>
      </c>
      <c r="G632" s="42" t="inlineStr">
        <is>
          <t>770</t>
        </is>
      </c>
      <c r="H632" s="42" t="inlineStr">
        <is>
          <t>True</t>
        </is>
      </c>
      <c r="I632" s="42" t="inlineStr">
        <is>
          <t>ALLOWED</t>
        </is>
      </c>
      <c r="J632" s="42" t="inlineStr">
        <is>
          <t>DIRECT_OFFICIAL_STANDARD_ROW</t>
        </is>
      </c>
      <c r="K632" s="42" t="inlineStr">
        <is>
          <t>SDC0003156</t>
        </is>
      </c>
      <c r="L632" s="42" t="inlineStr">
        <is>
          <t>マド2枚建 (201910～)</t>
        </is>
      </c>
      <c r="M632" s="42" t="inlineStr">
        <is>
          <t>11</t>
        </is>
      </c>
      <c r="N632" s="42" t="inlineStr">
        <is>
          <t>06007</t>
        </is>
      </c>
      <c r="O632" s="42" t="inlineStr">
        <is>
          <t>防犯建物部品欄の30mil構成を規格呼称へ直接突合。</t>
        </is>
      </c>
    </row>
    <row r="633">
      <c r="A633" s="42" t="inlineStr">
        <is>
          <t>SZ-SL-000632</t>
        </is>
      </c>
      <c r="B633" s="42" t="inlineStr">
        <is>
          <t>WT-SL-MENKOSHI-HIKI</t>
        </is>
      </c>
      <c r="C633" s="42" t="inlineStr">
        <is>
          <t>面格子付引違い窓</t>
        </is>
      </c>
      <c r="D633" s="42" t="inlineStr">
        <is>
          <t>SP-SL-GRILLE-DIA</t>
        </is>
      </c>
      <c r="E633" s="42" t="inlineStr">
        <is>
          <t>06907</t>
        </is>
      </c>
      <c r="F633" s="42" t="inlineStr">
        <is>
          <t>730</t>
        </is>
      </c>
      <c r="G633" s="42" t="inlineStr">
        <is>
          <t>770</t>
        </is>
      </c>
      <c r="H633" s="42" t="inlineStr">
        <is>
          <t>True</t>
        </is>
      </c>
      <c r="I633" s="42" t="inlineStr">
        <is>
          <t>ALLOWED</t>
        </is>
      </c>
      <c r="J633" s="42" t="inlineStr">
        <is>
          <t>DIRECT_OFFICIAL_STANDARD_ROW</t>
        </is>
      </c>
      <c r="K633" s="42" t="inlineStr">
        <is>
          <t>SDC0003156</t>
        </is>
      </c>
      <c r="L633" s="42" t="inlineStr">
        <is>
          <t>マド2枚建 (201910～)</t>
        </is>
      </c>
      <c r="M633" s="42" t="inlineStr">
        <is>
          <t>15</t>
        </is>
      </c>
      <c r="N633" s="42" t="inlineStr">
        <is>
          <t>06907</t>
        </is>
      </c>
      <c r="O633" s="42" t="inlineStr">
        <is>
          <t>防犯建物部品欄の30mil構成を規格呼称へ直接突合。</t>
        </is>
      </c>
    </row>
    <row r="634">
      <c r="A634" s="42" t="inlineStr">
        <is>
          <t>SZ-SL-000633</t>
        </is>
      </c>
      <c r="B634" s="42" t="inlineStr">
        <is>
          <t>WT-SL-MENKOSHI-HIKI</t>
        </is>
      </c>
      <c r="C634" s="42" t="inlineStr">
        <is>
          <t>面格子付引違い窓</t>
        </is>
      </c>
      <c r="D634" s="42" t="inlineStr">
        <is>
          <t>SP-SL-GRILLE-DIA</t>
        </is>
      </c>
      <c r="E634" s="42" t="inlineStr">
        <is>
          <t>07407</t>
        </is>
      </c>
      <c r="F634" s="42" t="inlineStr">
        <is>
          <t>780</t>
        </is>
      </c>
      <c r="G634" s="42" t="inlineStr">
        <is>
          <t>770</t>
        </is>
      </c>
      <c r="H634" s="42" t="inlineStr">
        <is>
          <t>True</t>
        </is>
      </c>
      <c r="I634" s="42" t="inlineStr">
        <is>
          <t>ALLOWED</t>
        </is>
      </c>
      <c r="J634" s="42" t="inlineStr">
        <is>
          <t>DIRECT_OFFICIAL_STANDARD_ROW</t>
        </is>
      </c>
      <c r="K634" s="42" t="inlineStr">
        <is>
          <t>SDC0003156</t>
        </is>
      </c>
      <c r="L634" s="42" t="inlineStr">
        <is>
          <t>マド2枚建 (201910～)</t>
        </is>
      </c>
      <c r="M634" s="42" t="inlineStr">
        <is>
          <t>19</t>
        </is>
      </c>
      <c r="N634" s="42" t="inlineStr">
        <is>
          <t>07407</t>
        </is>
      </c>
      <c r="O634" s="42" t="inlineStr">
        <is>
          <t>防犯建物部品欄の30mil構成を規格呼称へ直接突合。</t>
        </is>
      </c>
    </row>
    <row r="635">
      <c r="A635" s="42" t="inlineStr">
        <is>
          <t>SZ-SL-000634</t>
        </is>
      </c>
      <c r="B635" s="42" t="inlineStr">
        <is>
          <t>WT-SL-MENKOSHI-HIKI</t>
        </is>
      </c>
      <c r="C635" s="42" t="inlineStr">
        <is>
          <t>面格子付引違い窓</t>
        </is>
      </c>
      <c r="D635" s="42" t="inlineStr">
        <is>
          <t>SP-SL-GRILLE-DIA</t>
        </is>
      </c>
      <c r="E635" s="42" t="inlineStr">
        <is>
          <t>07807</t>
        </is>
      </c>
      <c r="F635" s="42" t="inlineStr">
        <is>
          <t>820</t>
        </is>
      </c>
      <c r="G635" s="42" t="inlineStr">
        <is>
          <t>770</t>
        </is>
      </c>
      <c r="H635" s="42" t="inlineStr">
        <is>
          <t>True</t>
        </is>
      </c>
      <c r="I635" s="42" t="inlineStr">
        <is>
          <t>ALLOWED</t>
        </is>
      </c>
      <c r="J635" s="42" t="inlineStr">
        <is>
          <t>DIRECT_OFFICIAL_STANDARD_ROW</t>
        </is>
      </c>
      <c r="K635" s="42" t="inlineStr">
        <is>
          <t>SDC0003156</t>
        </is>
      </c>
      <c r="L635" s="42" t="inlineStr">
        <is>
          <t>マド2枚建 (201910～)</t>
        </is>
      </c>
      <c r="M635" s="42" t="inlineStr">
        <is>
          <t>23</t>
        </is>
      </c>
      <c r="N635" s="42" t="inlineStr">
        <is>
          <t>07807</t>
        </is>
      </c>
      <c r="O635" s="42" t="inlineStr">
        <is>
          <t>防犯建物部品欄の30mil構成を規格呼称へ直接突合。</t>
        </is>
      </c>
    </row>
    <row r="636">
      <c r="A636" s="42" t="inlineStr">
        <is>
          <t>SZ-SL-000635</t>
        </is>
      </c>
      <c r="B636" s="42" t="inlineStr">
        <is>
          <t>WT-SL-MENKOSHI-HIKI</t>
        </is>
      </c>
      <c r="C636" s="42" t="inlineStr">
        <is>
          <t>面格子付引違い窓</t>
        </is>
      </c>
      <c r="D636" s="42" t="inlineStr">
        <is>
          <t>SP-SL-GRILLE-H</t>
        </is>
      </c>
      <c r="E636" s="42" t="inlineStr">
        <is>
          <t>06007</t>
        </is>
      </c>
      <c r="F636" s="42" t="inlineStr">
        <is>
          <t>640</t>
        </is>
      </c>
      <c r="G636" s="42" t="inlineStr">
        <is>
          <t>770</t>
        </is>
      </c>
      <c r="H636" s="42" t="inlineStr">
        <is>
          <t>True</t>
        </is>
      </c>
      <c r="I636" s="42" t="inlineStr">
        <is>
          <t>ALLOWED</t>
        </is>
      </c>
      <c r="J636" s="42" t="inlineStr">
        <is>
          <t>DIRECT_OFFICIAL_STANDARD_ROW</t>
        </is>
      </c>
      <c r="K636" s="42" t="inlineStr">
        <is>
          <t>SDC0003156</t>
        </is>
      </c>
      <c r="L636" s="42" t="inlineStr">
        <is>
          <t>マド2枚建 (201910～)</t>
        </is>
      </c>
      <c r="M636" s="42" t="inlineStr">
        <is>
          <t>11</t>
        </is>
      </c>
      <c r="N636" s="42" t="inlineStr">
        <is>
          <t>06007</t>
        </is>
      </c>
      <c r="O636" s="42" t="inlineStr">
        <is>
          <t>防犯建物部品欄の30mil構成を規格呼称へ直接突合。</t>
        </is>
      </c>
    </row>
    <row r="637">
      <c r="A637" s="42" t="inlineStr">
        <is>
          <t>SZ-SL-000636</t>
        </is>
      </c>
      <c r="B637" s="42" t="inlineStr">
        <is>
          <t>WT-SL-MENKOSHI-HIKI</t>
        </is>
      </c>
      <c r="C637" s="42" t="inlineStr">
        <is>
          <t>面格子付引違い窓</t>
        </is>
      </c>
      <c r="D637" s="42" t="inlineStr">
        <is>
          <t>SP-SL-GRILLE-H</t>
        </is>
      </c>
      <c r="E637" s="42" t="inlineStr">
        <is>
          <t>06907</t>
        </is>
      </c>
      <c r="F637" s="42" t="inlineStr">
        <is>
          <t>730</t>
        </is>
      </c>
      <c r="G637" s="42" t="inlineStr">
        <is>
          <t>770</t>
        </is>
      </c>
      <c r="H637" s="42" t="inlineStr">
        <is>
          <t>True</t>
        </is>
      </c>
      <c r="I637" s="42" t="inlineStr">
        <is>
          <t>ALLOWED</t>
        </is>
      </c>
      <c r="J637" s="42" t="inlineStr">
        <is>
          <t>DIRECT_OFFICIAL_STANDARD_ROW</t>
        </is>
      </c>
      <c r="K637" s="42" t="inlineStr">
        <is>
          <t>SDC0003156</t>
        </is>
      </c>
      <c r="L637" s="42" t="inlineStr">
        <is>
          <t>マド2枚建 (201910～)</t>
        </is>
      </c>
      <c r="M637" s="42" t="inlineStr">
        <is>
          <t>15</t>
        </is>
      </c>
      <c r="N637" s="42" t="inlineStr">
        <is>
          <t>06907</t>
        </is>
      </c>
      <c r="O637" s="42" t="inlineStr">
        <is>
          <t>防犯建物部品欄の30mil構成を規格呼称へ直接突合。</t>
        </is>
      </c>
    </row>
    <row r="638">
      <c r="A638" s="42" t="inlineStr">
        <is>
          <t>SZ-SL-000637</t>
        </is>
      </c>
      <c r="B638" s="42" t="inlineStr">
        <is>
          <t>WT-SL-MENKOSHI-HIKI</t>
        </is>
      </c>
      <c r="C638" s="42" t="inlineStr">
        <is>
          <t>面格子付引違い窓</t>
        </is>
      </c>
      <c r="D638" s="42" t="inlineStr">
        <is>
          <t>SP-SL-GRILLE-H</t>
        </is>
      </c>
      <c r="E638" s="42" t="inlineStr">
        <is>
          <t>07407</t>
        </is>
      </c>
      <c r="F638" s="42" t="inlineStr">
        <is>
          <t>780</t>
        </is>
      </c>
      <c r="G638" s="42" t="inlineStr">
        <is>
          <t>770</t>
        </is>
      </c>
      <c r="H638" s="42" t="inlineStr">
        <is>
          <t>True</t>
        </is>
      </c>
      <c r="I638" s="42" t="inlineStr">
        <is>
          <t>ALLOWED</t>
        </is>
      </c>
      <c r="J638" s="42" t="inlineStr">
        <is>
          <t>DIRECT_OFFICIAL_STANDARD_ROW</t>
        </is>
      </c>
      <c r="K638" s="42" t="inlineStr">
        <is>
          <t>SDC0003156</t>
        </is>
      </c>
      <c r="L638" s="42" t="inlineStr">
        <is>
          <t>マド2枚建 (201910～)</t>
        </is>
      </c>
      <c r="M638" s="42" t="inlineStr">
        <is>
          <t>19</t>
        </is>
      </c>
      <c r="N638" s="42" t="inlineStr">
        <is>
          <t>07407</t>
        </is>
      </c>
      <c r="O638" s="42" t="inlineStr">
        <is>
          <t>防犯建物部品欄の30mil構成を規格呼称へ直接突合。</t>
        </is>
      </c>
    </row>
    <row r="639">
      <c r="A639" s="42" t="inlineStr">
        <is>
          <t>SZ-SL-000638</t>
        </is>
      </c>
      <c r="B639" s="42" t="inlineStr">
        <is>
          <t>WT-SL-MENKOSHI-HIKI</t>
        </is>
      </c>
      <c r="C639" s="42" t="inlineStr">
        <is>
          <t>面格子付引違い窓</t>
        </is>
      </c>
      <c r="D639" s="42" t="inlineStr">
        <is>
          <t>SP-SL-GRILLE-H</t>
        </is>
      </c>
      <c r="E639" s="42" t="inlineStr">
        <is>
          <t>07807</t>
        </is>
      </c>
      <c r="F639" s="42" t="inlineStr">
        <is>
          <t>820</t>
        </is>
      </c>
      <c r="G639" s="42" t="inlineStr">
        <is>
          <t>770</t>
        </is>
      </c>
      <c r="H639" s="42" t="inlineStr">
        <is>
          <t>True</t>
        </is>
      </c>
      <c r="I639" s="42" t="inlineStr">
        <is>
          <t>ALLOWED</t>
        </is>
      </c>
      <c r="J639" s="42" t="inlineStr">
        <is>
          <t>DIRECT_OFFICIAL_STANDARD_ROW</t>
        </is>
      </c>
      <c r="K639" s="42" t="inlineStr">
        <is>
          <t>SDC0003156</t>
        </is>
      </c>
      <c r="L639" s="42" t="inlineStr">
        <is>
          <t>マド2枚建 (201910～)</t>
        </is>
      </c>
      <c r="M639" s="42" t="inlineStr">
        <is>
          <t>23</t>
        </is>
      </c>
      <c r="N639" s="42" t="inlineStr">
        <is>
          <t>07807</t>
        </is>
      </c>
      <c r="O639" s="42" t="inlineStr">
        <is>
          <t>防犯建物部品欄の30mil構成を規格呼称へ直接突合。</t>
        </is>
      </c>
    </row>
    <row r="640">
      <c r="A640" s="42" t="inlineStr">
        <is>
          <t>SZ-SL-000639</t>
        </is>
      </c>
      <c r="B640" s="42" t="inlineStr">
        <is>
          <t>WT-SL-MENKOSHI-HIKI</t>
        </is>
      </c>
      <c r="C640" s="42" t="inlineStr">
        <is>
          <t>面格子付引違い窓</t>
        </is>
      </c>
      <c r="D640" s="42" t="inlineStr">
        <is>
          <t>SP-SL-GRILLE-IGETA</t>
        </is>
      </c>
      <c r="E640" s="42" t="inlineStr">
        <is>
          <t>06007</t>
        </is>
      </c>
      <c r="F640" s="42" t="inlineStr">
        <is>
          <t>640</t>
        </is>
      </c>
      <c r="G640" s="42" t="inlineStr">
        <is>
          <t>770</t>
        </is>
      </c>
      <c r="H640" s="42" t="inlineStr">
        <is>
          <t>True</t>
        </is>
      </c>
      <c r="I640" s="42" t="inlineStr">
        <is>
          <t>ALLOWED</t>
        </is>
      </c>
      <c r="J640" s="42" t="inlineStr">
        <is>
          <t>DIRECT_OFFICIAL_STANDARD_ROW</t>
        </is>
      </c>
      <c r="K640" s="42" t="inlineStr">
        <is>
          <t>SDC0003156</t>
        </is>
      </c>
      <c r="L640" s="42" t="inlineStr">
        <is>
          <t>マド2枚建 (201910～)</t>
        </is>
      </c>
      <c r="M640" s="42" t="inlineStr">
        <is>
          <t>11</t>
        </is>
      </c>
      <c r="N640" s="42" t="inlineStr">
        <is>
          <t>06007</t>
        </is>
      </c>
      <c r="O640" s="42" t="inlineStr">
        <is>
          <t>防犯建物部品欄の30mil構成を規格呼称へ直接突合。</t>
        </is>
      </c>
    </row>
    <row r="641">
      <c r="A641" s="42" t="inlineStr">
        <is>
          <t>SZ-SL-000640</t>
        </is>
      </c>
      <c r="B641" s="42" t="inlineStr">
        <is>
          <t>WT-SL-MENKOSHI-HIKI</t>
        </is>
      </c>
      <c r="C641" s="42" t="inlineStr">
        <is>
          <t>面格子付引違い窓</t>
        </is>
      </c>
      <c r="D641" s="42" t="inlineStr">
        <is>
          <t>SP-SL-GRILLE-IGETA</t>
        </is>
      </c>
      <c r="E641" s="42" t="inlineStr">
        <is>
          <t>06907</t>
        </is>
      </c>
      <c r="F641" s="42" t="inlineStr">
        <is>
          <t>730</t>
        </is>
      </c>
      <c r="G641" s="42" t="inlineStr">
        <is>
          <t>770</t>
        </is>
      </c>
      <c r="H641" s="42" t="inlineStr">
        <is>
          <t>True</t>
        </is>
      </c>
      <c r="I641" s="42" t="inlineStr">
        <is>
          <t>ALLOWED</t>
        </is>
      </c>
      <c r="J641" s="42" t="inlineStr">
        <is>
          <t>DIRECT_OFFICIAL_STANDARD_ROW</t>
        </is>
      </c>
      <c r="K641" s="42" t="inlineStr">
        <is>
          <t>SDC0003156</t>
        </is>
      </c>
      <c r="L641" s="42" t="inlineStr">
        <is>
          <t>マド2枚建 (201910～)</t>
        </is>
      </c>
      <c r="M641" s="42" t="inlineStr">
        <is>
          <t>15</t>
        </is>
      </c>
      <c r="N641" s="42" t="inlineStr">
        <is>
          <t>06907</t>
        </is>
      </c>
      <c r="O641" s="42" t="inlineStr">
        <is>
          <t>防犯建物部品欄の30mil構成を規格呼称へ直接突合。</t>
        </is>
      </c>
    </row>
    <row r="642">
      <c r="A642" s="42" t="inlineStr">
        <is>
          <t>SZ-SL-000641</t>
        </is>
      </c>
      <c r="B642" s="42" t="inlineStr">
        <is>
          <t>WT-SL-MENKOSHI-HIKI</t>
        </is>
      </c>
      <c r="C642" s="42" t="inlineStr">
        <is>
          <t>面格子付引違い窓</t>
        </is>
      </c>
      <c r="D642" s="42" t="inlineStr">
        <is>
          <t>SP-SL-GRILLE-IGETA</t>
        </is>
      </c>
      <c r="E642" s="42" t="inlineStr">
        <is>
          <t>07407</t>
        </is>
      </c>
      <c r="F642" s="42" t="inlineStr">
        <is>
          <t>780</t>
        </is>
      </c>
      <c r="G642" s="42" t="inlineStr">
        <is>
          <t>770</t>
        </is>
      </c>
      <c r="H642" s="42" t="inlineStr">
        <is>
          <t>True</t>
        </is>
      </c>
      <c r="I642" s="42" t="inlineStr">
        <is>
          <t>ALLOWED</t>
        </is>
      </c>
      <c r="J642" s="42" t="inlineStr">
        <is>
          <t>DIRECT_OFFICIAL_STANDARD_ROW</t>
        </is>
      </c>
      <c r="K642" s="42" t="inlineStr">
        <is>
          <t>SDC0003156</t>
        </is>
      </c>
      <c r="L642" s="42" t="inlineStr">
        <is>
          <t>マド2枚建 (201910～)</t>
        </is>
      </c>
      <c r="M642" s="42" t="inlineStr">
        <is>
          <t>19</t>
        </is>
      </c>
      <c r="N642" s="42" t="inlineStr">
        <is>
          <t>07407</t>
        </is>
      </c>
      <c r="O642" s="42" t="inlineStr">
        <is>
          <t>防犯建物部品欄の30mil構成を規格呼称へ直接突合。</t>
        </is>
      </c>
    </row>
    <row r="643">
      <c r="A643" s="42" t="inlineStr">
        <is>
          <t>SZ-SL-000642</t>
        </is>
      </c>
      <c r="B643" s="42" t="inlineStr">
        <is>
          <t>WT-SL-MENKOSHI-HIKI</t>
        </is>
      </c>
      <c r="C643" s="42" t="inlineStr">
        <is>
          <t>面格子付引違い窓</t>
        </is>
      </c>
      <c r="D643" s="42" t="inlineStr">
        <is>
          <t>SP-SL-GRILLE-IGETA</t>
        </is>
      </c>
      <c r="E643" s="42" t="inlineStr">
        <is>
          <t>07807</t>
        </is>
      </c>
      <c r="F643" s="42" t="inlineStr">
        <is>
          <t>820</t>
        </is>
      </c>
      <c r="G643" s="42" t="inlineStr">
        <is>
          <t>770</t>
        </is>
      </c>
      <c r="H643" s="42" t="inlineStr">
        <is>
          <t>True</t>
        </is>
      </c>
      <c r="I643" s="42" t="inlineStr">
        <is>
          <t>ALLOWED</t>
        </is>
      </c>
      <c r="J643" s="42" t="inlineStr">
        <is>
          <t>DIRECT_OFFICIAL_STANDARD_ROW</t>
        </is>
      </c>
      <c r="K643" s="42" t="inlineStr">
        <is>
          <t>SDC0003156</t>
        </is>
      </c>
      <c r="L643" s="42" t="inlineStr">
        <is>
          <t>マド2枚建 (201910～)</t>
        </is>
      </c>
      <c r="M643" s="42" t="inlineStr">
        <is>
          <t>23</t>
        </is>
      </c>
      <c r="N643" s="42" t="inlineStr">
        <is>
          <t>07807</t>
        </is>
      </c>
      <c r="O643" s="42" t="inlineStr">
        <is>
          <t>防犯建物部品欄の30mil構成を規格呼称へ直接突合。</t>
        </is>
      </c>
    </row>
    <row r="644">
      <c r="A644" s="42" t="inlineStr">
        <is>
          <t>SZ-SL-000643</t>
        </is>
      </c>
      <c r="B644" s="42" t="inlineStr">
        <is>
          <t>WT-SL-MENKOSHI-HIKI</t>
        </is>
      </c>
      <c r="C644" s="42" t="inlineStr">
        <is>
          <t>面格子付引違い窓</t>
        </is>
      </c>
      <c r="D644" s="42" t="inlineStr">
        <is>
          <t>SP-SL-GRILLE-V</t>
        </is>
      </c>
      <c r="E644" s="42" t="inlineStr">
        <is>
          <t>06007</t>
        </is>
      </c>
      <c r="F644" s="42" t="inlineStr">
        <is>
          <t>640</t>
        </is>
      </c>
      <c r="G644" s="42" t="inlineStr">
        <is>
          <t>770</t>
        </is>
      </c>
      <c r="H644" s="42" t="inlineStr">
        <is>
          <t>True</t>
        </is>
      </c>
      <c r="I644" s="42" t="inlineStr">
        <is>
          <t>ALLOWED</t>
        </is>
      </c>
      <c r="J644" s="42" t="inlineStr">
        <is>
          <t>DIRECT_OFFICIAL_STANDARD_ROW</t>
        </is>
      </c>
      <c r="K644" s="42" t="inlineStr">
        <is>
          <t>SDC0003156</t>
        </is>
      </c>
      <c r="L644" s="42" t="inlineStr">
        <is>
          <t>マド2枚建 (201910～)</t>
        </is>
      </c>
      <c r="M644" s="42" t="inlineStr">
        <is>
          <t>11</t>
        </is>
      </c>
      <c r="N644" s="42" t="inlineStr">
        <is>
          <t>06007</t>
        </is>
      </c>
      <c r="O644" s="42" t="inlineStr">
        <is>
          <t>防犯建物部品欄の30mil構成を規格呼称へ直接突合。</t>
        </is>
      </c>
    </row>
    <row r="645">
      <c r="A645" s="42" t="inlineStr">
        <is>
          <t>SZ-SL-000644</t>
        </is>
      </c>
      <c r="B645" s="42" t="inlineStr">
        <is>
          <t>WT-SL-MENKOSHI-HIKI</t>
        </is>
      </c>
      <c r="C645" s="42" t="inlineStr">
        <is>
          <t>面格子付引違い窓</t>
        </is>
      </c>
      <c r="D645" s="42" t="inlineStr">
        <is>
          <t>SP-SL-GRILLE-V</t>
        </is>
      </c>
      <c r="E645" s="42" t="inlineStr">
        <is>
          <t>06907</t>
        </is>
      </c>
      <c r="F645" s="42" t="inlineStr">
        <is>
          <t>730</t>
        </is>
      </c>
      <c r="G645" s="42" t="inlineStr">
        <is>
          <t>770</t>
        </is>
      </c>
      <c r="H645" s="42" t="inlineStr">
        <is>
          <t>True</t>
        </is>
      </c>
      <c r="I645" s="42" t="inlineStr">
        <is>
          <t>ALLOWED</t>
        </is>
      </c>
      <c r="J645" s="42" t="inlineStr">
        <is>
          <t>DIRECT_OFFICIAL_STANDARD_ROW</t>
        </is>
      </c>
      <c r="K645" s="42" t="inlineStr">
        <is>
          <t>SDC0003156</t>
        </is>
      </c>
      <c r="L645" s="42" t="inlineStr">
        <is>
          <t>マド2枚建 (201910～)</t>
        </is>
      </c>
      <c r="M645" s="42" t="inlineStr">
        <is>
          <t>15</t>
        </is>
      </c>
      <c r="N645" s="42" t="inlineStr">
        <is>
          <t>06907</t>
        </is>
      </c>
      <c r="O645" s="42" t="inlineStr">
        <is>
          <t>防犯建物部品欄の30mil構成を規格呼称へ直接突合。</t>
        </is>
      </c>
    </row>
    <row r="646">
      <c r="A646" s="42" t="inlineStr">
        <is>
          <t>SZ-SL-000645</t>
        </is>
      </c>
      <c r="B646" s="42" t="inlineStr">
        <is>
          <t>WT-SL-MENKOSHI-HIKI</t>
        </is>
      </c>
      <c r="C646" s="42" t="inlineStr">
        <is>
          <t>面格子付引違い窓</t>
        </is>
      </c>
      <c r="D646" s="42" t="inlineStr">
        <is>
          <t>SP-SL-GRILLE-V</t>
        </is>
      </c>
      <c r="E646" s="42" t="inlineStr">
        <is>
          <t>07407</t>
        </is>
      </c>
      <c r="F646" s="42" t="inlineStr">
        <is>
          <t>780</t>
        </is>
      </c>
      <c r="G646" s="42" t="inlineStr">
        <is>
          <t>770</t>
        </is>
      </c>
      <c r="H646" s="42" t="inlineStr">
        <is>
          <t>True</t>
        </is>
      </c>
      <c r="I646" s="42" t="inlineStr">
        <is>
          <t>ALLOWED</t>
        </is>
      </c>
      <c r="J646" s="42" t="inlineStr">
        <is>
          <t>DIRECT_OFFICIAL_STANDARD_ROW</t>
        </is>
      </c>
      <c r="K646" s="42" t="inlineStr">
        <is>
          <t>SDC0003156</t>
        </is>
      </c>
      <c r="L646" s="42" t="inlineStr">
        <is>
          <t>マド2枚建 (201910～)</t>
        </is>
      </c>
      <c r="M646" s="42" t="inlineStr">
        <is>
          <t>19</t>
        </is>
      </c>
      <c r="N646" s="42" t="inlineStr">
        <is>
          <t>07407</t>
        </is>
      </c>
      <c r="O646" s="42" t="inlineStr">
        <is>
          <t>防犯建物部品欄の30mil構成を規格呼称へ直接突合。</t>
        </is>
      </c>
    </row>
    <row r="647">
      <c r="A647" s="42" t="inlineStr">
        <is>
          <t>SZ-SL-000646</t>
        </is>
      </c>
      <c r="B647" s="42" t="inlineStr">
        <is>
          <t>WT-SL-MENKOSHI-HIKI</t>
        </is>
      </c>
      <c r="C647" s="42" t="inlineStr">
        <is>
          <t>面格子付引違い窓</t>
        </is>
      </c>
      <c r="D647" s="42" t="inlineStr">
        <is>
          <t>SP-SL-GRILLE-V</t>
        </is>
      </c>
      <c r="E647" s="42" t="inlineStr">
        <is>
          <t>07807</t>
        </is>
      </c>
      <c r="F647" s="42" t="inlineStr">
        <is>
          <t>820</t>
        </is>
      </c>
      <c r="G647" s="42" t="inlineStr">
        <is>
          <t>770</t>
        </is>
      </c>
      <c r="H647" s="42" t="inlineStr">
        <is>
          <t>True</t>
        </is>
      </c>
      <c r="I647" s="42" t="inlineStr">
        <is>
          <t>ALLOWED</t>
        </is>
      </c>
      <c r="J647" s="42" t="inlineStr">
        <is>
          <t>DIRECT_OFFICIAL_STANDARD_ROW</t>
        </is>
      </c>
      <c r="K647" s="42" t="inlineStr">
        <is>
          <t>SDC0003156</t>
        </is>
      </c>
      <c r="L647" s="42" t="inlineStr">
        <is>
          <t>マド2枚建 (201910～)</t>
        </is>
      </c>
      <c r="M647" s="42" t="inlineStr">
        <is>
          <t>23</t>
        </is>
      </c>
      <c r="N647" s="42" t="inlineStr">
        <is>
          <t>07807</t>
        </is>
      </c>
      <c r="O647" s="42" t="inlineStr">
        <is>
          <t>防犯建物部品欄の30mil構成を規格呼称へ直接突合。</t>
        </is>
      </c>
    </row>
    <row r="648">
      <c r="A648" s="42" t="inlineStr">
        <is>
          <t>SZ-SL-000647</t>
        </is>
      </c>
      <c r="B648" s="42" t="inlineStr">
        <is>
          <t>WT-SL-MENKOSHI-HIKI</t>
        </is>
      </c>
      <c r="C648" s="42" t="inlineStr">
        <is>
          <t>面格子付引違い窓</t>
        </is>
      </c>
      <c r="D648" s="42" t="inlineStr">
        <is>
          <t>SP-SL-GRILLE-DIA</t>
        </is>
      </c>
      <c r="E648" s="42" t="inlineStr">
        <is>
          <t>08007</t>
        </is>
      </c>
      <c r="F648" s="42" t="inlineStr">
        <is>
          <t>845</t>
        </is>
      </c>
      <c r="G648" s="42" t="inlineStr">
        <is>
          <t>770</t>
        </is>
      </c>
      <c r="H648" s="42" t="inlineStr">
        <is>
          <t>True</t>
        </is>
      </c>
      <c r="I648" s="42" t="inlineStr">
        <is>
          <t>ALLOWED</t>
        </is>
      </c>
      <c r="J648" s="42" t="inlineStr">
        <is>
          <t>DIRECT_OFFICIAL_STANDARD_ROW</t>
        </is>
      </c>
      <c r="K648" s="42" t="inlineStr">
        <is>
          <t>SDC0003156</t>
        </is>
      </c>
      <c r="L648" s="42" t="inlineStr">
        <is>
          <t>マド2枚建 (201910～)</t>
        </is>
      </c>
      <c r="M648" s="42" t="inlineStr">
        <is>
          <t>26</t>
        </is>
      </c>
      <c r="N648" s="42" t="inlineStr">
        <is>
          <t>08007</t>
        </is>
      </c>
      <c r="O648" s="42" t="inlineStr">
        <is>
          <t>防犯建物部品欄の30mil構成を規格呼称へ直接突合。</t>
        </is>
      </c>
    </row>
    <row r="649">
      <c r="A649" s="42" t="inlineStr">
        <is>
          <t>SZ-SL-000648</t>
        </is>
      </c>
      <c r="B649" s="42" t="inlineStr">
        <is>
          <t>WT-SL-MENKOSHI-HIKI</t>
        </is>
      </c>
      <c r="C649" s="42" t="inlineStr">
        <is>
          <t>面格子付引違い窓</t>
        </is>
      </c>
      <c r="D649" s="42" t="inlineStr">
        <is>
          <t>SP-SL-GRILLE-DIA</t>
        </is>
      </c>
      <c r="E649" s="42" t="inlineStr">
        <is>
          <t>08307</t>
        </is>
      </c>
      <c r="F649" s="42" t="inlineStr">
        <is>
          <t>870</t>
        </is>
      </c>
      <c r="G649" s="42" t="inlineStr">
        <is>
          <t>770</t>
        </is>
      </c>
      <c r="H649" s="42" t="inlineStr">
        <is>
          <t>True</t>
        </is>
      </c>
      <c r="I649" s="42" t="inlineStr">
        <is>
          <t>ALLOWED</t>
        </is>
      </c>
      <c r="J649" s="42" t="inlineStr">
        <is>
          <t>DIRECT_OFFICIAL_STANDARD_ROW</t>
        </is>
      </c>
      <c r="K649" s="42" t="inlineStr">
        <is>
          <t>SDC0003156</t>
        </is>
      </c>
      <c r="L649" s="42" t="inlineStr">
        <is>
          <t>マド2枚建 (201910～)</t>
        </is>
      </c>
      <c r="M649" s="42" t="inlineStr">
        <is>
          <t>29</t>
        </is>
      </c>
      <c r="N649" s="42" t="inlineStr">
        <is>
          <t>08307</t>
        </is>
      </c>
      <c r="O649" s="42" t="inlineStr">
        <is>
          <t>防犯建物部品欄の30mil構成を規格呼称へ直接突合。</t>
        </is>
      </c>
    </row>
    <row r="650">
      <c r="A650" s="42" t="inlineStr">
        <is>
          <t>SZ-SL-000649</t>
        </is>
      </c>
      <c r="B650" s="42" t="inlineStr">
        <is>
          <t>WT-SL-MENKOSHI-HIKI</t>
        </is>
      </c>
      <c r="C650" s="42" t="inlineStr">
        <is>
          <t>面格子付引違い窓</t>
        </is>
      </c>
      <c r="D650" s="42" t="inlineStr">
        <is>
          <t>SP-SL-GRILLE-DIA</t>
        </is>
      </c>
      <c r="E650" s="42" t="inlineStr">
        <is>
          <t>11407</t>
        </is>
      </c>
      <c r="F650" s="42" t="inlineStr">
        <is>
          <t>1185</t>
        </is>
      </c>
      <c r="G650" s="42" t="inlineStr">
        <is>
          <t>770</t>
        </is>
      </c>
      <c r="H650" s="42" t="inlineStr">
        <is>
          <t>True</t>
        </is>
      </c>
      <c r="I650" s="42" t="inlineStr">
        <is>
          <t>ALLOWED</t>
        </is>
      </c>
      <c r="J650" s="42" t="inlineStr">
        <is>
          <t>DIRECT_OFFICIAL_STANDARD_ROW</t>
        </is>
      </c>
      <c r="K650" s="42" t="inlineStr">
        <is>
          <t>SDC0003156</t>
        </is>
      </c>
      <c r="L650" s="42" t="inlineStr">
        <is>
          <t>マド2枚建 (201910～)</t>
        </is>
      </c>
      <c r="M650" s="42" t="inlineStr">
        <is>
          <t>33</t>
        </is>
      </c>
      <c r="N650" s="42" t="inlineStr">
        <is>
          <t>11407</t>
        </is>
      </c>
      <c r="O650" s="42" t="inlineStr">
        <is>
          <t>防犯建物部品欄の30mil構成を規格呼称へ直接突合。</t>
        </is>
      </c>
    </row>
    <row r="651">
      <c r="A651" s="42" t="inlineStr">
        <is>
          <t>SZ-SL-000650</t>
        </is>
      </c>
      <c r="B651" s="42" t="inlineStr">
        <is>
          <t>WT-SL-MENKOSHI-HIKI</t>
        </is>
      </c>
      <c r="C651" s="42" t="inlineStr">
        <is>
          <t>面格子付引違い窓</t>
        </is>
      </c>
      <c r="D651" s="42" t="inlineStr">
        <is>
          <t>SP-SL-GRILLE-DIA</t>
        </is>
      </c>
      <c r="E651" s="42" t="inlineStr">
        <is>
          <t>11907</t>
        </is>
      </c>
      <c r="F651" s="42" t="inlineStr">
        <is>
          <t>1235</t>
        </is>
      </c>
      <c r="G651" s="42" t="inlineStr">
        <is>
          <t>770</t>
        </is>
      </c>
      <c r="H651" s="42" t="inlineStr">
        <is>
          <t>True</t>
        </is>
      </c>
      <c r="I651" s="42" t="inlineStr">
        <is>
          <t>ALLOWED</t>
        </is>
      </c>
      <c r="J651" s="42" t="inlineStr">
        <is>
          <t>DIRECT_OFFICIAL_STANDARD_ROW</t>
        </is>
      </c>
      <c r="K651" s="42" t="inlineStr">
        <is>
          <t>SDC0003156</t>
        </is>
      </c>
      <c r="L651" s="42" t="inlineStr">
        <is>
          <t>マド2枚建 (201910～)</t>
        </is>
      </c>
      <c r="M651" s="42" t="inlineStr">
        <is>
          <t>39</t>
        </is>
      </c>
      <c r="N651" s="42" t="inlineStr">
        <is>
          <t>11907</t>
        </is>
      </c>
      <c r="O651" s="42" t="inlineStr">
        <is>
          <t>防犯建物部品欄の30mil構成を規格呼称へ直接突合。</t>
        </is>
      </c>
    </row>
    <row r="652">
      <c r="A652" s="42" t="inlineStr">
        <is>
          <t>SZ-SL-000651</t>
        </is>
      </c>
      <c r="B652" s="42" t="inlineStr">
        <is>
          <t>WT-SL-MENKOSHI-HIKI</t>
        </is>
      </c>
      <c r="C652" s="42" t="inlineStr">
        <is>
          <t>面格子付引違い窓</t>
        </is>
      </c>
      <c r="D652" s="42" t="inlineStr">
        <is>
          <t>SP-SL-GRILLE-DIA</t>
        </is>
      </c>
      <c r="E652" s="42" t="inlineStr">
        <is>
          <t>12807</t>
        </is>
      </c>
      <c r="F652" s="42" t="inlineStr">
        <is>
          <t>1320</t>
        </is>
      </c>
      <c r="G652" s="42" t="inlineStr">
        <is>
          <t>770</t>
        </is>
      </c>
      <c r="H652" s="42" t="inlineStr">
        <is>
          <t>True</t>
        </is>
      </c>
      <c r="I652" s="42" t="inlineStr">
        <is>
          <t>ALLOWED</t>
        </is>
      </c>
      <c r="J652" s="42" t="inlineStr">
        <is>
          <t>DIRECT_OFFICIAL_STANDARD_ROW</t>
        </is>
      </c>
      <c r="K652" s="42" t="inlineStr">
        <is>
          <t>SDC0003156</t>
        </is>
      </c>
      <c r="L652" s="42" t="inlineStr">
        <is>
          <t>マド2枚建 (201910～)</t>
        </is>
      </c>
      <c r="M652" s="42" t="inlineStr">
        <is>
          <t>44</t>
        </is>
      </c>
      <c r="N652" s="42" t="inlineStr">
        <is>
          <t>12807</t>
        </is>
      </c>
      <c r="O652" s="42" t="inlineStr">
        <is>
          <t>防犯建物部品欄の30mil構成を規格呼称へ直接突合。</t>
        </is>
      </c>
    </row>
    <row r="653">
      <c r="A653" s="42" t="inlineStr">
        <is>
          <t>SZ-SL-000652</t>
        </is>
      </c>
      <c r="B653" s="42" t="inlineStr">
        <is>
          <t>WT-SL-MENKOSHI-HIKI</t>
        </is>
      </c>
      <c r="C653" s="42" t="inlineStr">
        <is>
          <t>面格子付引違い窓</t>
        </is>
      </c>
      <c r="D653" s="42" t="inlineStr">
        <is>
          <t>SP-SL-GRILLE-H</t>
        </is>
      </c>
      <c r="E653" s="42" t="inlineStr">
        <is>
          <t>08007</t>
        </is>
      </c>
      <c r="F653" s="42" t="inlineStr">
        <is>
          <t>845</t>
        </is>
      </c>
      <c r="G653" s="42" t="inlineStr">
        <is>
          <t>770</t>
        </is>
      </c>
      <c r="H653" s="42" t="inlineStr">
        <is>
          <t>True</t>
        </is>
      </c>
      <c r="I653" s="42" t="inlineStr">
        <is>
          <t>ALLOWED</t>
        </is>
      </c>
      <c r="J653" s="42" t="inlineStr">
        <is>
          <t>DIRECT_OFFICIAL_STANDARD_ROW</t>
        </is>
      </c>
      <c r="K653" s="42" t="inlineStr">
        <is>
          <t>SDC0003156</t>
        </is>
      </c>
      <c r="L653" s="42" t="inlineStr">
        <is>
          <t>マド2枚建 (201910～)</t>
        </is>
      </c>
      <c r="M653" s="42" t="inlineStr">
        <is>
          <t>26</t>
        </is>
      </c>
      <c r="N653" s="42" t="inlineStr">
        <is>
          <t>08007</t>
        </is>
      </c>
      <c r="O653" s="42" t="inlineStr">
        <is>
          <t>防犯建物部品欄の30mil構成を規格呼称へ直接突合。</t>
        </is>
      </c>
    </row>
    <row r="654">
      <c r="A654" s="42" t="inlineStr">
        <is>
          <t>SZ-SL-000653</t>
        </is>
      </c>
      <c r="B654" s="42" t="inlineStr">
        <is>
          <t>WT-SL-MENKOSHI-HIKI</t>
        </is>
      </c>
      <c r="C654" s="42" t="inlineStr">
        <is>
          <t>面格子付引違い窓</t>
        </is>
      </c>
      <c r="D654" s="42" t="inlineStr">
        <is>
          <t>SP-SL-GRILLE-H</t>
        </is>
      </c>
      <c r="E654" s="42" t="inlineStr">
        <is>
          <t>08307</t>
        </is>
      </c>
      <c r="F654" s="42" t="inlineStr">
        <is>
          <t>870</t>
        </is>
      </c>
      <c r="G654" s="42" t="inlineStr">
        <is>
          <t>770</t>
        </is>
      </c>
      <c r="H654" s="42" t="inlineStr">
        <is>
          <t>True</t>
        </is>
      </c>
      <c r="I654" s="42" t="inlineStr">
        <is>
          <t>ALLOWED</t>
        </is>
      </c>
      <c r="J654" s="42" t="inlineStr">
        <is>
          <t>DIRECT_OFFICIAL_STANDARD_ROW</t>
        </is>
      </c>
      <c r="K654" s="42" t="inlineStr">
        <is>
          <t>SDC0003156</t>
        </is>
      </c>
      <c r="L654" s="42" t="inlineStr">
        <is>
          <t>マド2枚建 (201910～)</t>
        </is>
      </c>
      <c r="M654" s="42" t="inlineStr">
        <is>
          <t>29</t>
        </is>
      </c>
      <c r="N654" s="42" t="inlineStr">
        <is>
          <t>08307</t>
        </is>
      </c>
      <c r="O654" s="42" t="inlineStr">
        <is>
          <t>防犯建物部品欄の30mil構成を規格呼称へ直接突合。</t>
        </is>
      </c>
    </row>
    <row r="655">
      <c r="A655" s="42" t="inlineStr">
        <is>
          <t>SZ-SL-000654</t>
        </is>
      </c>
      <c r="B655" s="42" t="inlineStr">
        <is>
          <t>WT-SL-MENKOSHI-HIKI</t>
        </is>
      </c>
      <c r="C655" s="42" t="inlineStr">
        <is>
          <t>面格子付引違い窓</t>
        </is>
      </c>
      <c r="D655" s="42" t="inlineStr">
        <is>
          <t>SP-SL-GRILLE-H</t>
        </is>
      </c>
      <c r="E655" s="42" t="inlineStr">
        <is>
          <t>11407</t>
        </is>
      </c>
      <c r="F655" s="42" t="inlineStr">
        <is>
          <t>1185</t>
        </is>
      </c>
      <c r="G655" s="42" t="inlineStr">
        <is>
          <t>770</t>
        </is>
      </c>
      <c r="H655" s="42" t="inlineStr">
        <is>
          <t>True</t>
        </is>
      </c>
      <c r="I655" s="42" t="inlineStr">
        <is>
          <t>ALLOWED</t>
        </is>
      </c>
      <c r="J655" s="42" t="inlineStr">
        <is>
          <t>DIRECT_OFFICIAL_STANDARD_ROW</t>
        </is>
      </c>
      <c r="K655" s="42" t="inlineStr">
        <is>
          <t>SDC0003156</t>
        </is>
      </c>
      <c r="L655" s="42" t="inlineStr">
        <is>
          <t>マド2枚建 (201910～)</t>
        </is>
      </c>
      <c r="M655" s="42" t="inlineStr">
        <is>
          <t>33</t>
        </is>
      </c>
      <c r="N655" s="42" t="inlineStr">
        <is>
          <t>11407</t>
        </is>
      </c>
      <c r="O655" s="42" t="inlineStr">
        <is>
          <t>防犯建物部品欄の30mil構成を規格呼称へ直接突合。</t>
        </is>
      </c>
    </row>
    <row r="656">
      <c r="A656" s="42" t="inlineStr">
        <is>
          <t>SZ-SL-000655</t>
        </is>
      </c>
      <c r="B656" s="42" t="inlineStr">
        <is>
          <t>WT-SL-MENKOSHI-HIKI</t>
        </is>
      </c>
      <c r="C656" s="42" t="inlineStr">
        <is>
          <t>面格子付引違い窓</t>
        </is>
      </c>
      <c r="D656" s="42" t="inlineStr">
        <is>
          <t>SP-SL-GRILLE-H</t>
        </is>
      </c>
      <c r="E656" s="42" t="inlineStr">
        <is>
          <t>11907</t>
        </is>
      </c>
      <c r="F656" s="42" t="inlineStr">
        <is>
          <t>1235</t>
        </is>
      </c>
      <c r="G656" s="42" t="inlineStr">
        <is>
          <t>770</t>
        </is>
      </c>
      <c r="H656" s="42" t="inlineStr">
        <is>
          <t>True</t>
        </is>
      </c>
      <c r="I656" s="42" t="inlineStr">
        <is>
          <t>ALLOWED</t>
        </is>
      </c>
      <c r="J656" s="42" t="inlineStr">
        <is>
          <t>DIRECT_OFFICIAL_STANDARD_ROW</t>
        </is>
      </c>
      <c r="K656" s="42" t="inlineStr">
        <is>
          <t>SDC0003156</t>
        </is>
      </c>
      <c r="L656" s="42" t="inlineStr">
        <is>
          <t>マド2枚建 (201910～)</t>
        </is>
      </c>
      <c r="M656" s="42" t="inlineStr">
        <is>
          <t>39</t>
        </is>
      </c>
      <c r="N656" s="42" t="inlineStr">
        <is>
          <t>11907</t>
        </is>
      </c>
      <c r="O656" s="42" t="inlineStr">
        <is>
          <t>防犯建物部品欄の30mil構成を規格呼称へ直接突合。</t>
        </is>
      </c>
    </row>
    <row r="657">
      <c r="A657" s="42" t="inlineStr">
        <is>
          <t>SZ-SL-000656</t>
        </is>
      </c>
      <c r="B657" s="42" t="inlineStr">
        <is>
          <t>WT-SL-MENKOSHI-HIKI</t>
        </is>
      </c>
      <c r="C657" s="42" t="inlineStr">
        <is>
          <t>面格子付引違い窓</t>
        </is>
      </c>
      <c r="D657" s="42" t="inlineStr">
        <is>
          <t>SP-SL-GRILLE-H</t>
        </is>
      </c>
      <c r="E657" s="42" t="inlineStr">
        <is>
          <t>12807</t>
        </is>
      </c>
      <c r="F657" s="42" t="inlineStr">
        <is>
          <t>1320</t>
        </is>
      </c>
      <c r="G657" s="42" t="inlineStr">
        <is>
          <t>770</t>
        </is>
      </c>
      <c r="H657" s="42" t="inlineStr">
        <is>
          <t>True</t>
        </is>
      </c>
      <c r="I657" s="42" t="inlineStr">
        <is>
          <t>ALLOWED</t>
        </is>
      </c>
      <c r="J657" s="42" t="inlineStr">
        <is>
          <t>DIRECT_OFFICIAL_STANDARD_ROW</t>
        </is>
      </c>
      <c r="K657" s="42" t="inlineStr">
        <is>
          <t>SDC0003156</t>
        </is>
      </c>
      <c r="L657" s="42" t="inlineStr">
        <is>
          <t>マド2枚建 (201910～)</t>
        </is>
      </c>
      <c r="M657" s="42" t="inlineStr">
        <is>
          <t>44</t>
        </is>
      </c>
      <c r="N657" s="42" t="inlineStr">
        <is>
          <t>12807</t>
        </is>
      </c>
      <c r="O657" s="42" t="inlineStr">
        <is>
          <t>防犯建物部品欄の30mil構成を規格呼称へ直接突合。</t>
        </is>
      </c>
    </row>
    <row r="658">
      <c r="A658" s="42" t="inlineStr">
        <is>
          <t>SZ-SL-000657</t>
        </is>
      </c>
      <c r="B658" s="42" t="inlineStr">
        <is>
          <t>WT-SL-MENKOSHI-HIKI</t>
        </is>
      </c>
      <c r="C658" s="42" t="inlineStr">
        <is>
          <t>面格子付引違い窓</t>
        </is>
      </c>
      <c r="D658" s="42" t="inlineStr">
        <is>
          <t>SP-SL-GRILLE-IGETA</t>
        </is>
      </c>
      <c r="E658" s="42" t="inlineStr">
        <is>
          <t>08007</t>
        </is>
      </c>
      <c r="F658" s="42" t="inlineStr">
        <is>
          <t>845</t>
        </is>
      </c>
      <c r="G658" s="42" t="inlineStr">
        <is>
          <t>770</t>
        </is>
      </c>
      <c r="H658" s="42" t="inlineStr">
        <is>
          <t>True</t>
        </is>
      </c>
      <c r="I658" s="42" t="inlineStr">
        <is>
          <t>ALLOWED</t>
        </is>
      </c>
      <c r="J658" s="42" t="inlineStr">
        <is>
          <t>DIRECT_OFFICIAL_STANDARD_ROW</t>
        </is>
      </c>
      <c r="K658" s="42" t="inlineStr">
        <is>
          <t>SDC0003156</t>
        </is>
      </c>
      <c r="L658" s="42" t="inlineStr">
        <is>
          <t>マド2枚建 (201910～)</t>
        </is>
      </c>
      <c r="M658" s="42" t="inlineStr">
        <is>
          <t>26</t>
        </is>
      </c>
      <c r="N658" s="42" t="inlineStr">
        <is>
          <t>08007</t>
        </is>
      </c>
      <c r="O658" s="42" t="inlineStr">
        <is>
          <t>防犯建物部品欄の30mil構成を規格呼称へ直接突合。</t>
        </is>
      </c>
    </row>
    <row r="659">
      <c r="A659" s="42" t="inlineStr">
        <is>
          <t>SZ-SL-000658</t>
        </is>
      </c>
      <c r="B659" s="42" t="inlineStr">
        <is>
          <t>WT-SL-MENKOSHI-HIKI</t>
        </is>
      </c>
      <c r="C659" s="42" t="inlineStr">
        <is>
          <t>面格子付引違い窓</t>
        </is>
      </c>
      <c r="D659" s="42" t="inlineStr">
        <is>
          <t>SP-SL-GRILLE-IGETA</t>
        </is>
      </c>
      <c r="E659" s="42" t="inlineStr">
        <is>
          <t>08307</t>
        </is>
      </c>
      <c r="F659" s="42" t="inlineStr">
        <is>
          <t>870</t>
        </is>
      </c>
      <c r="G659" s="42" t="inlineStr">
        <is>
          <t>770</t>
        </is>
      </c>
      <c r="H659" s="42" t="inlineStr">
        <is>
          <t>True</t>
        </is>
      </c>
      <c r="I659" s="42" t="inlineStr">
        <is>
          <t>ALLOWED</t>
        </is>
      </c>
      <c r="J659" s="42" t="inlineStr">
        <is>
          <t>DIRECT_OFFICIAL_STANDARD_ROW</t>
        </is>
      </c>
      <c r="K659" s="42" t="inlineStr">
        <is>
          <t>SDC0003156</t>
        </is>
      </c>
      <c r="L659" s="42" t="inlineStr">
        <is>
          <t>マド2枚建 (201910～)</t>
        </is>
      </c>
      <c r="M659" s="42" t="inlineStr">
        <is>
          <t>29</t>
        </is>
      </c>
      <c r="N659" s="42" t="inlineStr">
        <is>
          <t>08307</t>
        </is>
      </c>
      <c r="O659" s="42" t="inlineStr">
        <is>
          <t>防犯建物部品欄の30mil構成を規格呼称へ直接突合。</t>
        </is>
      </c>
    </row>
    <row r="660">
      <c r="A660" s="42" t="inlineStr">
        <is>
          <t>SZ-SL-000659</t>
        </is>
      </c>
      <c r="B660" s="42" t="inlineStr">
        <is>
          <t>WT-SL-MENKOSHI-HIKI</t>
        </is>
      </c>
      <c r="C660" s="42" t="inlineStr">
        <is>
          <t>面格子付引違い窓</t>
        </is>
      </c>
      <c r="D660" s="42" t="inlineStr">
        <is>
          <t>SP-SL-GRILLE-IGETA</t>
        </is>
      </c>
      <c r="E660" s="42" t="inlineStr">
        <is>
          <t>11407</t>
        </is>
      </c>
      <c r="F660" s="42" t="inlineStr">
        <is>
          <t>1185</t>
        </is>
      </c>
      <c r="G660" s="42" t="inlineStr">
        <is>
          <t>770</t>
        </is>
      </c>
      <c r="H660" s="42" t="inlineStr">
        <is>
          <t>True</t>
        </is>
      </c>
      <c r="I660" s="42" t="inlineStr">
        <is>
          <t>ALLOWED</t>
        </is>
      </c>
      <c r="J660" s="42" t="inlineStr">
        <is>
          <t>DIRECT_OFFICIAL_STANDARD_ROW</t>
        </is>
      </c>
      <c r="K660" s="42" t="inlineStr">
        <is>
          <t>SDC0003156</t>
        </is>
      </c>
      <c r="L660" s="42" t="inlineStr">
        <is>
          <t>マド2枚建 (201910～)</t>
        </is>
      </c>
      <c r="M660" s="42" t="inlineStr">
        <is>
          <t>33</t>
        </is>
      </c>
      <c r="N660" s="42" t="inlineStr">
        <is>
          <t>11407</t>
        </is>
      </c>
      <c r="O660" s="42" t="inlineStr">
        <is>
          <t>防犯建物部品欄の30mil構成を規格呼称へ直接突合。</t>
        </is>
      </c>
    </row>
    <row r="661">
      <c r="A661" s="42" t="inlineStr">
        <is>
          <t>SZ-SL-000660</t>
        </is>
      </c>
      <c r="B661" s="42" t="inlineStr">
        <is>
          <t>WT-SL-MENKOSHI-HIKI</t>
        </is>
      </c>
      <c r="C661" s="42" t="inlineStr">
        <is>
          <t>面格子付引違い窓</t>
        </is>
      </c>
      <c r="D661" s="42" t="inlineStr">
        <is>
          <t>SP-SL-GRILLE-IGETA</t>
        </is>
      </c>
      <c r="E661" s="42" t="inlineStr">
        <is>
          <t>11907</t>
        </is>
      </c>
      <c r="F661" s="42" t="inlineStr">
        <is>
          <t>1235</t>
        </is>
      </c>
      <c r="G661" s="42" t="inlineStr">
        <is>
          <t>770</t>
        </is>
      </c>
      <c r="H661" s="42" t="inlineStr">
        <is>
          <t>True</t>
        </is>
      </c>
      <c r="I661" s="42" t="inlineStr">
        <is>
          <t>ALLOWED</t>
        </is>
      </c>
      <c r="J661" s="42" t="inlineStr">
        <is>
          <t>DIRECT_OFFICIAL_STANDARD_ROW</t>
        </is>
      </c>
      <c r="K661" s="42" t="inlineStr">
        <is>
          <t>SDC0003156</t>
        </is>
      </c>
      <c r="L661" s="42" t="inlineStr">
        <is>
          <t>マド2枚建 (201910～)</t>
        </is>
      </c>
      <c r="M661" s="42" t="inlineStr">
        <is>
          <t>39</t>
        </is>
      </c>
      <c r="N661" s="42" t="inlineStr">
        <is>
          <t>11907</t>
        </is>
      </c>
      <c r="O661" s="42" t="inlineStr">
        <is>
          <t>防犯建物部品欄の30mil構成を規格呼称へ直接突合。</t>
        </is>
      </c>
    </row>
    <row r="662">
      <c r="A662" s="42" t="inlineStr">
        <is>
          <t>SZ-SL-000661</t>
        </is>
      </c>
      <c r="B662" s="42" t="inlineStr">
        <is>
          <t>WT-SL-MENKOSHI-HIKI</t>
        </is>
      </c>
      <c r="C662" s="42" t="inlineStr">
        <is>
          <t>面格子付引違い窓</t>
        </is>
      </c>
      <c r="D662" s="42" t="inlineStr">
        <is>
          <t>SP-SL-GRILLE-IGETA</t>
        </is>
      </c>
      <c r="E662" s="42" t="inlineStr">
        <is>
          <t>12807</t>
        </is>
      </c>
      <c r="F662" s="42" t="inlineStr">
        <is>
          <t>1320</t>
        </is>
      </c>
      <c r="G662" s="42" t="inlineStr">
        <is>
          <t>770</t>
        </is>
      </c>
      <c r="H662" s="42" t="inlineStr">
        <is>
          <t>True</t>
        </is>
      </c>
      <c r="I662" s="42" t="inlineStr">
        <is>
          <t>ALLOWED</t>
        </is>
      </c>
      <c r="J662" s="42" t="inlineStr">
        <is>
          <t>DIRECT_OFFICIAL_STANDARD_ROW</t>
        </is>
      </c>
      <c r="K662" s="42" t="inlineStr">
        <is>
          <t>SDC0003156</t>
        </is>
      </c>
      <c r="L662" s="42" t="inlineStr">
        <is>
          <t>マド2枚建 (201910～)</t>
        </is>
      </c>
      <c r="M662" s="42" t="inlineStr">
        <is>
          <t>44</t>
        </is>
      </c>
      <c r="N662" s="42" t="inlineStr">
        <is>
          <t>12807</t>
        </is>
      </c>
      <c r="O662" s="42" t="inlineStr">
        <is>
          <t>防犯建物部品欄の30mil構成を規格呼称へ直接突合。</t>
        </is>
      </c>
    </row>
    <row r="663">
      <c r="A663" s="42" t="inlineStr">
        <is>
          <t>SZ-SL-000662</t>
        </is>
      </c>
      <c r="B663" s="42" t="inlineStr">
        <is>
          <t>WT-SL-MENKOSHI-HIKI</t>
        </is>
      </c>
      <c r="C663" s="42" t="inlineStr">
        <is>
          <t>面格子付引違い窓</t>
        </is>
      </c>
      <c r="D663" s="42" t="inlineStr">
        <is>
          <t>SP-SL-GRILLE-V</t>
        </is>
      </c>
      <c r="E663" s="42" t="inlineStr">
        <is>
          <t>08007</t>
        </is>
      </c>
      <c r="F663" s="42" t="inlineStr">
        <is>
          <t>845</t>
        </is>
      </c>
      <c r="G663" s="42" t="inlineStr">
        <is>
          <t>770</t>
        </is>
      </c>
      <c r="H663" s="42" t="inlineStr">
        <is>
          <t>True</t>
        </is>
      </c>
      <c r="I663" s="42" t="inlineStr">
        <is>
          <t>ALLOWED</t>
        </is>
      </c>
      <c r="J663" s="42" t="inlineStr">
        <is>
          <t>DIRECT_OFFICIAL_STANDARD_ROW</t>
        </is>
      </c>
      <c r="K663" s="42" t="inlineStr">
        <is>
          <t>SDC0003156</t>
        </is>
      </c>
      <c r="L663" s="42" t="inlineStr">
        <is>
          <t>マド2枚建 (201910～)</t>
        </is>
      </c>
      <c r="M663" s="42" t="inlineStr">
        <is>
          <t>26</t>
        </is>
      </c>
      <c r="N663" s="42" t="inlineStr">
        <is>
          <t>08007</t>
        </is>
      </c>
      <c r="O663" s="42" t="inlineStr">
        <is>
          <t>防犯建物部品欄の30mil構成を規格呼称へ直接突合。</t>
        </is>
      </c>
    </row>
    <row r="664">
      <c r="A664" s="42" t="inlineStr">
        <is>
          <t>SZ-SL-000663</t>
        </is>
      </c>
      <c r="B664" s="42" t="inlineStr">
        <is>
          <t>WT-SL-MENKOSHI-HIKI</t>
        </is>
      </c>
      <c r="C664" s="42" t="inlineStr">
        <is>
          <t>面格子付引違い窓</t>
        </is>
      </c>
      <c r="D664" s="42" t="inlineStr">
        <is>
          <t>SP-SL-GRILLE-V</t>
        </is>
      </c>
      <c r="E664" s="42" t="inlineStr">
        <is>
          <t>08307</t>
        </is>
      </c>
      <c r="F664" s="42" t="inlineStr">
        <is>
          <t>870</t>
        </is>
      </c>
      <c r="G664" s="42" t="inlineStr">
        <is>
          <t>770</t>
        </is>
      </c>
      <c r="H664" s="42" t="inlineStr">
        <is>
          <t>True</t>
        </is>
      </c>
      <c r="I664" s="42" t="inlineStr">
        <is>
          <t>ALLOWED</t>
        </is>
      </c>
      <c r="J664" s="42" t="inlineStr">
        <is>
          <t>DIRECT_OFFICIAL_STANDARD_ROW</t>
        </is>
      </c>
      <c r="K664" s="42" t="inlineStr">
        <is>
          <t>SDC0003156</t>
        </is>
      </c>
      <c r="L664" s="42" t="inlineStr">
        <is>
          <t>マド2枚建 (201910～)</t>
        </is>
      </c>
      <c r="M664" s="42" t="inlineStr">
        <is>
          <t>29</t>
        </is>
      </c>
      <c r="N664" s="42" t="inlineStr">
        <is>
          <t>08307</t>
        </is>
      </c>
      <c r="O664" s="42" t="inlineStr">
        <is>
          <t>防犯建物部品欄の30mil構成を規格呼称へ直接突合。</t>
        </is>
      </c>
    </row>
    <row r="665">
      <c r="A665" s="42" t="inlineStr">
        <is>
          <t>SZ-SL-000664</t>
        </is>
      </c>
      <c r="B665" s="42" t="inlineStr">
        <is>
          <t>WT-SL-MENKOSHI-HIKI</t>
        </is>
      </c>
      <c r="C665" s="42" t="inlineStr">
        <is>
          <t>面格子付引違い窓</t>
        </is>
      </c>
      <c r="D665" s="42" t="inlineStr">
        <is>
          <t>SP-SL-GRILLE-V</t>
        </is>
      </c>
      <c r="E665" s="42" t="inlineStr">
        <is>
          <t>11407</t>
        </is>
      </c>
      <c r="F665" s="42" t="inlineStr">
        <is>
          <t>1185</t>
        </is>
      </c>
      <c r="G665" s="42" t="inlineStr">
        <is>
          <t>770</t>
        </is>
      </c>
      <c r="H665" s="42" t="inlineStr">
        <is>
          <t>True</t>
        </is>
      </c>
      <c r="I665" s="42" t="inlineStr">
        <is>
          <t>ALLOWED</t>
        </is>
      </c>
      <c r="J665" s="42" t="inlineStr">
        <is>
          <t>DIRECT_OFFICIAL_STANDARD_ROW</t>
        </is>
      </c>
      <c r="K665" s="42" t="inlineStr">
        <is>
          <t>SDC0003156</t>
        </is>
      </c>
      <c r="L665" s="42" t="inlineStr">
        <is>
          <t>マド2枚建 (201910～)</t>
        </is>
      </c>
      <c r="M665" s="42" t="inlineStr">
        <is>
          <t>33</t>
        </is>
      </c>
      <c r="N665" s="42" t="inlineStr">
        <is>
          <t>11407</t>
        </is>
      </c>
      <c r="O665" s="42" t="inlineStr">
        <is>
          <t>防犯建物部品欄の30mil構成を規格呼称へ直接突合。</t>
        </is>
      </c>
    </row>
    <row r="666">
      <c r="A666" s="42" t="inlineStr">
        <is>
          <t>SZ-SL-000665</t>
        </is>
      </c>
      <c r="B666" s="42" t="inlineStr">
        <is>
          <t>WT-SL-MENKOSHI-HIKI</t>
        </is>
      </c>
      <c r="C666" s="42" t="inlineStr">
        <is>
          <t>面格子付引違い窓</t>
        </is>
      </c>
      <c r="D666" s="42" t="inlineStr">
        <is>
          <t>SP-SL-GRILLE-V</t>
        </is>
      </c>
      <c r="E666" s="42" t="inlineStr">
        <is>
          <t>11907</t>
        </is>
      </c>
      <c r="F666" s="42" t="inlineStr">
        <is>
          <t>1235</t>
        </is>
      </c>
      <c r="G666" s="42" t="inlineStr">
        <is>
          <t>770</t>
        </is>
      </c>
      <c r="H666" s="42" t="inlineStr">
        <is>
          <t>True</t>
        </is>
      </c>
      <c r="I666" s="42" t="inlineStr">
        <is>
          <t>ALLOWED</t>
        </is>
      </c>
      <c r="J666" s="42" t="inlineStr">
        <is>
          <t>DIRECT_OFFICIAL_STANDARD_ROW</t>
        </is>
      </c>
      <c r="K666" s="42" t="inlineStr">
        <is>
          <t>SDC0003156</t>
        </is>
      </c>
      <c r="L666" s="42" t="inlineStr">
        <is>
          <t>マド2枚建 (201910～)</t>
        </is>
      </c>
      <c r="M666" s="42" t="inlineStr">
        <is>
          <t>39</t>
        </is>
      </c>
      <c r="N666" s="42" t="inlineStr">
        <is>
          <t>11907</t>
        </is>
      </c>
      <c r="O666" s="42" t="inlineStr">
        <is>
          <t>防犯建物部品欄の30mil構成を規格呼称へ直接突合。</t>
        </is>
      </c>
    </row>
    <row r="667">
      <c r="A667" s="42" t="inlineStr">
        <is>
          <t>SZ-SL-000666</t>
        </is>
      </c>
      <c r="B667" s="42" t="inlineStr">
        <is>
          <t>WT-SL-MENKOSHI-HIKI</t>
        </is>
      </c>
      <c r="C667" s="42" t="inlineStr">
        <is>
          <t>面格子付引違い窓</t>
        </is>
      </c>
      <c r="D667" s="42" t="inlineStr">
        <is>
          <t>SP-SL-GRILLE-V</t>
        </is>
      </c>
      <c r="E667" s="42" t="inlineStr">
        <is>
          <t>12807</t>
        </is>
      </c>
      <c r="F667" s="42" t="inlineStr">
        <is>
          <t>1320</t>
        </is>
      </c>
      <c r="G667" s="42" t="inlineStr">
        <is>
          <t>770</t>
        </is>
      </c>
      <c r="H667" s="42" t="inlineStr">
        <is>
          <t>True</t>
        </is>
      </c>
      <c r="I667" s="42" t="inlineStr">
        <is>
          <t>ALLOWED</t>
        </is>
      </c>
      <c r="J667" s="42" t="inlineStr">
        <is>
          <t>DIRECT_OFFICIAL_STANDARD_ROW</t>
        </is>
      </c>
      <c r="K667" s="42" t="inlineStr">
        <is>
          <t>SDC0003156</t>
        </is>
      </c>
      <c r="L667" s="42" t="inlineStr">
        <is>
          <t>マド2枚建 (201910～)</t>
        </is>
      </c>
      <c r="M667" s="42" t="inlineStr">
        <is>
          <t>44</t>
        </is>
      </c>
      <c r="N667" s="42" t="inlineStr">
        <is>
          <t>12807</t>
        </is>
      </c>
      <c r="O667" s="42" t="inlineStr">
        <is>
          <t>防犯建物部品欄の30mil構成を規格呼称へ直接突合。</t>
        </is>
      </c>
    </row>
    <row r="668">
      <c r="A668" s="42" t="inlineStr">
        <is>
          <t>SZ-SL-000667</t>
        </is>
      </c>
      <c r="B668" s="42" t="inlineStr">
        <is>
          <t>WT-SL-MENKOSHI-HIKI</t>
        </is>
      </c>
      <c r="C668" s="42" t="inlineStr">
        <is>
          <t>面格子付引違い窓</t>
        </is>
      </c>
      <c r="D668" s="42" t="inlineStr">
        <is>
          <t>SP-SL-GRILLE-DIA</t>
        </is>
      </c>
      <c r="E668" s="42" t="inlineStr">
        <is>
          <t>13307</t>
        </is>
      </c>
      <c r="F668" s="42" t="inlineStr">
        <is>
          <t>1370</t>
        </is>
      </c>
      <c r="G668" s="42" t="inlineStr">
        <is>
          <t>770</t>
        </is>
      </c>
      <c r="H668" s="42" t="inlineStr">
        <is>
          <t>True</t>
        </is>
      </c>
      <c r="I668" s="42" t="inlineStr">
        <is>
          <t>ALLOWED</t>
        </is>
      </c>
      <c r="J668" s="42" t="inlineStr">
        <is>
          <t>DIRECT_OFFICIAL_STANDARD_ROW</t>
        </is>
      </c>
      <c r="K668" s="42" t="inlineStr">
        <is>
          <t>SDC0003156</t>
        </is>
      </c>
      <c r="L668" s="42" t="inlineStr">
        <is>
          <t>マド2枚建 (201910～)</t>
        </is>
      </c>
      <c r="M668" s="42" t="inlineStr">
        <is>
          <t>49</t>
        </is>
      </c>
      <c r="N668" s="42" t="inlineStr">
        <is>
          <t>13307</t>
        </is>
      </c>
      <c r="O668" s="42" t="inlineStr">
        <is>
          <t>防犯建物部品欄の30mil構成を規格呼称へ直接突合。</t>
        </is>
      </c>
    </row>
    <row r="669">
      <c r="A669" s="42" t="inlineStr">
        <is>
          <t>SZ-SL-000668</t>
        </is>
      </c>
      <c r="B669" s="42" t="inlineStr">
        <is>
          <t>WT-SL-MENKOSHI-HIKI</t>
        </is>
      </c>
      <c r="C669" s="42" t="inlineStr">
        <is>
          <t>面格子付引違い窓</t>
        </is>
      </c>
      <c r="D669" s="42" t="inlineStr">
        <is>
          <t>SP-SL-GRILLE-DIA</t>
        </is>
      </c>
      <c r="E669" s="42" t="inlineStr">
        <is>
          <t>15007</t>
        </is>
      </c>
      <c r="F669" s="42" t="inlineStr">
        <is>
          <t>1540</t>
        </is>
      </c>
      <c r="G669" s="42" t="inlineStr">
        <is>
          <t>770</t>
        </is>
      </c>
      <c r="H669" s="42" t="inlineStr">
        <is>
          <t>True</t>
        </is>
      </c>
      <c r="I669" s="42" t="inlineStr">
        <is>
          <t>ALLOWED</t>
        </is>
      </c>
      <c r="J669" s="42" t="inlineStr">
        <is>
          <t>DIRECT_OFFICIAL_STANDARD_ROW</t>
        </is>
      </c>
      <c r="K669" s="42" t="inlineStr">
        <is>
          <t>SDC0003156</t>
        </is>
      </c>
      <c r="L669" s="42" t="inlineStr">
        <is>
          <t>マド2枚建 (201910～)</t>
        </is>
      </c>
      <c r="M669" s="42" t="inlineStr">
        <is>
          <t>54</t>
        </is>
      </c>
      <c r="N669" s="42" t="inlineStr">
        <is>
          <t>15007</t>
        </is>
      </c>
      <c r="O669" s="42" t="inlineStr">
        <is>
          <t>防犯建物部品欄の30mil構成を規格呼称へ直接突合。</t>
        </is>
      </c>
    </row>
    <row r="670">
      <c r="A670" s="42" t="inlineStr">
        <is>
          <t>SZ-SL-000669</t>
        </is>
      </c>
      <c r="B670" s="42" t="inlineStr">
        <is>
          <t>WT-SL-MENKOSHI-HIKI</t>
        </is>
      </c>
      <c r="C670" s="42" t="inlineStr">
        <is>
          <t>面格子付引違い窓</t>
        </is>
      </c>
      <c r="D670" s="42" t="inlineStr">
        <is>
          <t>SP-SL-GRILLE-DIA</t>
        </is>
      </c>
      <c r="E670" s="42" t="inlineStr">
        <is>
          <t>16007</t>
        </is>
      </c>
      <c r="F670" s="42" t="inlineStr">
        <is>
          <t>1640</t>
        </is>
      </c>
      <c r="G670" s="42" t="inlineStr">
        <is>
          <t>770</t>
        </is>
      </c>
      <c r="H670" s="42" t="inlineStr">
        <is>
          <t>True</t>
        </is>
      </c>
      <c r="I670" s="42" t="inlineStr">
        <is>
          <t>ALLOWED</t>
        </is>
      </c>
      <c r="J670" s="42" t="inlineStr">
        <is>
          <t>DIRECT_OFFICIAL_STANDARD_ROW</t>
        </is>
      </c>
      <c r="K670" s="42" t="inlineStr">
        <is>
          <t>SDC0003156</t>
        </is>
      </c>
      <c r="L670" s="42" t="inlineStr">
        <is>
          <t>マド2枚建 (201910～)</t>
        </is>
      </c>
      <c r="M670" s="42" t="inlineStr">
        <is>
          <t>65</t>
        </is>
      </c>
      <c r="N670" s="42" t="inlineStr">
        <is>
          <t>16007</t>
        </is>
      </c>
      <c r="O670" s="42" t="inlineStr">
        <is>
          <t>防犯建物部品欄の30mil構成を規格呼称へ直接突合。</t>
        </is>
      </c>
    </row>
    <row r="671">
      <c r="A671" s="42" t="inlineStr">
        <is>
          <t>SZ-SL-000670</t>
        </is>
      </c>
      <c r="B671" s="42" t="inlineStr">
        <is>
          <t>WT-SL-MENKOSHI-HIKI</t>
        </is>
      </c>
      <c r="C671" s="42" t="inlineStr">
        <is>
          <t>面格子付引違い窓</t>
        </is>
      </c>
      <c r="D671" s="42" t="inlineStr">
        <is>
          <t>SP-SL-GRILLE-DIA</t>
        </is>
      </c>
      <c r="E671" s="42" t="inlineStr">
        <is>
          <t>16507</t>
        </is>
      </c>
      <c r="F671" s="42" t="inlineStr">
        <is>
          <t>1690</t>
        </is>
      </c>
      <c r="G671" s="42" t="inlineStr">
        <is>
          <t>770</t>
        </is>
      </c>
      <c r="H671" s="42" t="inlineStr">
        <is>
          <t>True</t>
        </is>
      </c>
      <c r="I671" s="42" t="inlineStr">
        <is>
          <t>ALLOWED</t>
        </is>
      </c>
      <c r="J671" s="42" t="inlineStr">
        <is>
          <t>DIRECT_OFFICIAL_STANDARD_ROW</t>
        </is>
      </c>
      <c r="K671" s="42" t="inlineStr">
        <is>
          <t>SDC0003156</t>
        </is>
      </c>
      <c r="L671" s="42" t="inlineStr">
        <is>
          <t>マド2枚建 (201910～)</t>
        </is>
      </c>
      <c r="M671" s="42" t="inlineStr">
        <is>
          <t>72</t>
        </is>
      </c>
      <c r="N671" s="42" t="inlineStr">
        <is>
          <t>16507</t>
        </is>
      </c>
      <c r="O671" s="42" t="inlineStr">
        <is>
          <t>防犯建物部品欄の30mil構成を規格呼称へ直接突合。</t>
        </is>
      </c>
    </row>
    <row r="672">
      <c r="A672" s="42" t="inlineStr">
        <is>
          <t>SZ-SL-000671</t>
        </is>
      </c>
      <c r="B672" s="42" t="inlineStr">
        <is>
          <t>WT-SL-MENKOSHI-HIKI</t>
        </is>
      </c>
      <c r="C672" s="42" t="inlineStr">
        <is>
          <t>面格子付引違い窓</t>
        </is>
      </c>
      <c r="D672" s="42" t="inlineStr">
        <is>
          <t>SP-SL-GRILLE-H</t>
        </is>
      </c>
      <c r="E672" s="42" t="inlineStr">
        <is>
          <t>13307</t>
        </is>
      </c>
      <c r="F672" s="42" t="inlineStr">
        <is>
          <t>1370</t>
        </is>
      </c>
      <c r="G672" s="42" t="inlineStr">
        <is>
          <t>770</t>
        </is>
      </c>
      <c r="H672" s="42" t="inlineStr">
        <is>
          <t>True</t>
        </is>
      </c>
      <c r="I672" s="42" t="inlineStr">
        <is>
          <t>ALLOWED</t>
        </is>
      </c>
      <c r="J672" s="42" t="inlineStr">
        <is>
          <t>DIRECT_OFFICIAL_STANDARD_ROW</t>
        </is>
      </c>
      <c r="K672" s="42" t="inlineStr">
        <is>
          <t>SDC0003156</t>
        </is>
      </c>
      <c r="L672" s="42" t="inlineStr">
        <is>
          <t>マド2枚建 (201910～)</t>
        </is>
      </c>
      <c r="M672" s="42" t="inlineStr">
        <is>
          <t>49</t>
        </is>
      </c>
      <c r="N672" s="42" t="inlineStr">
        <is>
          <t>13307</t>
        </is>
      </c>
      <c r="O672" s="42" t="inlineStr">
        <is>
          <t>防犯建物部品欄の30mil構成を規格呼称へ直接突合。</t>
        </is>
      </c>
    </row>
    <row r="673">
      <c r="A673" s="42" t="inlineStr">
        <is>
          <t>SZ-SL-000672</t>
        </is>
      </c>
      <c r="B673" s="42" t="inlineStr">
        <is>
          <t>WT-SL-MENKOSHI-HIKI</t>
        </is>
      </c>
      <c r="C673" s="42" t="inlineStr">
        <is>
          <t>面格子付引違い窓</t>
        </is>
      </c>
      <c r="D673" s="42" t="inlineStr">
        <is>
          <t>SP-SL-GRILLE-H</t>
        </is>
      </c>
      <c r="E673" s="42" t="inlineStr">
        <is>
          <t>15007</t>
        </is>
      </c>
      <c r="F673" s="42" t="inlineStr">
        <is>
          <t>1540</t>
        </is>
      </c>
      <c r="G673" s="42" t="inlineStr">
        <is>
          <t>770</t>
        </is>
      </c>
      <c r="H673" s="42" t="inlineStr">
        <is>
          <t>False</t>
        </is>
      </c>
      <c r="I673" s="42" t="inlineStr">
        <is>
          <t>ALLOWED</t>
        </is>
      </c>
      <c r="J673" s="42" t="inlineStr">
        <is>
          <t>DIRECT_OFFICIAL_STANDARD_ROW</t>
        </is>
      </c>
      <c r="K673" s="42" t="inlineStr">
        <is>
          <t>SDC0003156</t>
        </is>
      </c>
      <c r="L673" s="42" t="inlineStr">
        <is>
          <t>マド2枚建 (201910～)</t>
        </is>
      </c>
      <c r="M673" s="42" t="inlineStr">
        <is>
          <t>54</t>
        </is>
      </c>
      <c r="N673" s="42" t="inlineStr">
        <is>
          <t>15007</t>
        </is>
      </c>
      <c r="O673" s="42" t="inlineStr">
        <is>
          <t>防犯建物部品欄の30mil構成を規格呼称へ直接突合。</t>
        </is>
      </c>
    </row>
    <row r="674">
      <c r="A674" s="42" t="inlineStr">
        <is>
          <t>SZ-SL-000673</t>
        </is>
      </c>
      <c r="B674" s="42" t="inlineStr">
        <is>
          <t>WT-SL-MENKOSHI-HIKI</t>
        </is>
      </c>
      <c r="C674" s="42" t="inlineStr">
        <is>
          <t>面格子付引違い窓</t>
        </is>
      </c>
      <c r="D674" s="42" t="inlineStr">
        <is>
          <t>SP-SL-GRILLE-H</t>
        </is>
      </c>
      <c r="E674" s="42" t="inlineStr">
        <is>
          <t>16007</t>
        </is>
      </c>
      <c r="F674" s="42" t="inlineStr">
        <is>
          <t>1640</t>
        </is>
      </c>
      <c r="G674" s="42" t="inlineStr">
        <is>
          <t>770</t>
        </is>
      </c>
      <c r="H674" s="42" t="inlineStr">
        <is>
          <t>False</t>
        </is>
      </c>
      <c r="I674" s="42" t="inlineStr">
        <is>
          <t>ALLOWED</t>
        </is>
      </c>
      <c r="J674" s="42" t="inlineStr">
        <is>
          <t>DIRECT_OFFICIAL_STANDARD_ROW</t>
        </is>
      </c>
      <c r="K674" s="42" t="inlineStr">
        <is>
          <t>SDC0003156</t>
        </is>
      </c>
      <c r="L674" s="42" t="inlineStr">
        <is>
          <t>マド2枚建 (201910～)</t>
        </is>
      </c>
      <c r="M674" s="42" t="inlineStr">
        <is>
          <t>65</t>
        </is>
      </c>
      <c r="N674" s="42" t="inlineStr">
        <is>
          <t>16007</t>
        </is>
      </c>
      <c r="O674" s="42" t="inlineStr">
        <is>
          <t>防犯建物部品欄の30mil構成を規格呼称へ直接突合。</t>
        </is>
      </c>
    </row>
    <row r="675">
      <c r="A675" s="42" t="inlineStr">
        <is>
          <t>SZ-SL-000674</t>
        </is>
      </c>
      <c r="B675" s="42" t="inlineStr">
        <is>
          <t>WT-SL-MENKOSHI-HIKI</t>
        </is>
      </c>
      <c r="C675" s="42" t="inlineStr">
        <is>
          <t>面格子付引違い窓</t>
        </is>
      </c>
      <c r="D675" s="42" t="inlineStr">
        <is>
          <t>SP-SL-GRILLE-H</t>
        </is>
      </c>
      <c r="E675" s="42" t="inlineStr">
        <is>
          <t>16507</t>
        </is>
      </c>
      <c r="F675" s="42" t="inlineStr">
        <is>
          <t>1690</t>
        </is>
      </c>
      <c r="G675" s="42" t="inlineStr">
        <is>
          <t>770</t>
        </is>
      </c>
      <c r="H675" s="42" t="inlineStr">
        <is>
          <t>False</t>
        </is>
      </c>
      <c r="I675" s="42" t="inlineStr">
        <is>
          <t>ALLOWED</t>
        </is>
      </c>
      <c r="J675" s="42" t="inlineStr">
        <is>
          <t>DIRECT_OFFICIAL_STANDARD_ROW</t>
        </is>
      </c>
      <c r="K675" s="42" t="inlineStr">
        <is>
          <t>SDC0003156</t>
        </is>
      </c>
      <c r="L675" s="42" t="inlineStr">
        <is>
          <t>マド2枚建 (201910～)</t>
        </is>
      </c>
      <c r="M675" s="42" t="inlineStr">
        <is>
          <t>72</t>
        </is>
      </c>
      <c r="N675" s="42" t="inlineStr">
        <is>
          <t>16507</t>
        </is>
      </c>
      <c r="O675" s="42" t="inlineStr">
        <is>
          <t>防犯建物部品欄の30mil構成を規格呼称へ直接突合。</t>
        </is>
      </c>
    </row>
    <row r="676">
      <c r="A676" s="42" t="inlineStr">
        <is>
          <t>SZ-SL-000675</t>
        </is>
      </c>
      <c r="B676" s="42" t="inlineStr">
        <is>
          <t>WT-SL-MENKOSHI-HIKI</t>
        </is>
      </c>
      <c r="C676" s="42" t="inlineStr">
        <is>
          <t>面格子付引違い窓</t>
        </is>
      </c>
      <c r="D676" s="42" t="inlineStr">
        <is>
          <t>SP-SL-GRILLE-IGETA</t>
        </is>
      </c>
      <c r="E676" s="42" t="inlineStr">
        <is>
          <t>13307</t>
        </is>
      </c>
      <c r="F676" s="42" t="inlineStr">
        <is>
          <t>1370</t>
        </is>
      </c>
      <c r="G676" s="42" t="inlineStr">
        <is>
          <t>770</t>
        </is>
      </c>
      <c r="H676" s="42" t="inlineStr">
        <is>
          <t>True</t>
        </is>
      </c>
      <c r="I676" s="42" t="inlineStr">
        <is>
          <t>ALLOWED</t>
        </is>
      </c>
      <c r="J676" s="42" t="inlineStr">
        <is>
          <t>DIRECT_OFFICIAL_STANDARD_ROW</t>
        </is>
      </c>
      <c r="K676" s="42" t="inlineStr">
        <is>
          <t>SDC0003156</t>
        </is>
      </c>
      <c r="L676" s="42" t="inlineStr">
        <is>
          <t>マド2枚建 (201910～)</t>
        </is>
      </c>
      <c r="M676" s="42" t="inlineStr">
        <is>
          <t>49</t>
        </is>
      </c>
      <c r="N676" s="42" t="inlineStr">
        <is>
          <t>13307</t>
        </is>
      </c>
      <c r="O676" s="42" t="inlineStr">
        <is>
          <t>防犯建物部品欄の30mil構成を規格呼称へ直接突合。</t>
        </is>
      </c>
    </row>
    <row r="677">
      <c r="A677" s="42" t="inlineStr">
        <is>
          <t>SZ-SL-000676</t>
        </is>
      </c>
      <c r="B677" s="42" t="inlineStr">
        <is>
          <t>WT-SL-MENKOSHI-HIKI</t>
        </is>
      </c>
      <c r="C677" s="42" t="inlineStr">
        <is>
          <t>面格子付引違い窓</t>
        </is>
      </c>
      <c r="D677" s="42" t="inlineStr">
        <is>
          <t>SP-SL-GRILLE-IGETA</t>
        </is>
      </c>
      <c r="E677" s="42" t="inlineStr">
        <is>
          <t>15007</t>
        </is>
      </c>
      <c r="F677" s="42" t="inlineStr">
        <is>
          <t>1540</t>
        </is>
      </c>
      <c r="G677" s="42" t="inlineStr">
        <is>
          <t>770</t>
        </is>
      </c>
      <c r="H677" s="42" t="inlineStr">
        <is>
          <t>True</t>
        </is>
      </c>
      <c r="I677" s="42" t="inlineStr">
        <is>
          <t>ALLOWED</t>
        </is>
      </c>
      <c r="J677" s="42" t="inlineStr">
        <is>
          <t>DIRECT_OFFICIAL_STANDARD_ROW</t>
        </is>
      </c>
      <c r="K677" s="42" t="inlineStr">
        <is>
          <t>SDC0003156</t>
        </is>
      </c>
      <c r="L677" s="42" t="inlineStr">
        <is>
          <t>マド2枚建 (201910～)</t>
        </is>
      </c>
      <c r="M677" s="42" t="inlineStr">
        <is>
          <t>54</t>
        </is>
      </c>
      <c r="N677" s="42" t="inlineStr">
        <is>
          <t>15007</t>
        </is>
      </c>
      <c r="O677" s="42" t="inlineStr">
        <is>
          <t>防犯建物部品欄の30mil構成を規格呼称へ直接突合。</t>
        </is>
      </c>
    </row>
    <row r="678">
      <c r="A678" s="42" t="inlineStr">
        <is>
          <t>SZ-SL-000677</t>
        </is>
      </c>
      <c r="B678" s="42" t="inlineStr">
        <is>
          <t>WT-SL-MENKOSHI-HIKI</t>
        </is>
      </c>
      <c r="C678" s="42" t="inlineStr">
        <is>
          <t>面格子付引違い窓</t>
        </is>
      </c>
      <c r="D678" s="42" t="inlineStr">
        <is>
          <t>SP-SL-GRILLE-IGETA</t>
        </is>
      </c>
      <c r="E678" s="42" t="inlineStr">
        <is>
          <t>16007</t>
        </is>
      </c>
      <c r="F678" s="42" t="inlineStr">
        <is>
          <t>1640</t>
        </is>
      </c>
      <c r="G678" s="42" t="inlineStr">
        <is>
          <t>770</t>
        </is>
      </c>
      <c r="H678" s="42" t="inlineStr">
        <is>
          <t>True</t>
        </is>
      </c>
      <c r="I678" s="42" t="inlineStr">
        <is>
          <t>ALLOWED</t>
        </is>
      </c>
      <c r="J678" s="42" t="inlineStr">
        <is>
          <t>DIRECT_OFFICIAL_STANDARD_ROW</t>
        </is>
      </c>
      <c r="K678" s="42" t="inlineStr">
        <is>
          <t>SDC0003156</t>
        </is>
      </c>
      <c r="L678" s="42" t="inlineStr">
        <is>
          <t>マド2枚建 (201910～)</t>
        </is>
      </c>
      <c r="M678" s="42" t="inlineStr">
        <is>
          <t>65</t>
        </is>
      </c>
      <c r="N678" s="42" t="inlineStr">
        <is>
          <t>16007</t>
        </is>
      </c>
      <c r="O678" s="42" t="inlineStr">
        <is>
          <t>防犯建物部品欄の30mil構成を規格呼称へ直接突合。</t>
        </is>
      </c>
    </row>
    <row r="679">
      <c r="A679" s="42" t="inlineStr">
        <is>
          <t>SZ-SL-000678</t>
        </is>
      </c>
      <c r="B679" s="42" t="inlineStr">
        <is>
          <t>WT-SL-MENKOSHI-HIKI</t>
        </is>
      </c>
      <c r="C679" s="42" t="inlineStr">
        <is>
          <t>面格子付引違い窓</t>
        </is>
      </c>
      <c r="D679" s="42" t="inlineStr">
        <is>
          <t>SP-SL-GRILLE-IGETA</t>
        </is>
      </c>
      <c r="E679" s="42" t="inlineStr">
        <is>
          <t>16507</t>
        </is>
      </c>
      <c r="F679" s="42" t="inlineStr">
        <is>
          <t>1690</t>
        </is>
      </c>
      <c r="G679" s="42" t="inlineStr">
        <is>
          <t>770</t>
        </is>
      </c>
      <c r="H679" s="42" t="inlineStr">
        <is>
          <t>True</t>
        </is>
      </c>
      <c r="I679" s="42" t="inlineStr">
        <is>
          <t>ALLOWED</t>
        </is>
      </c>
      <c r="J679" s="42" t="inlineStr">
        <is>
          <t>DIRECT_OFFICIAL_STANDARD_ROW</t>
        </is>
      </c>
      <c r="K679" s="42" t="inlineStr">
        <is>
          <t>SDC0003156</t>
        </is>
      </c>
      <c r="L679" s="42" t="inlineStr">
        <is>
          <t>マド2枚建 (201910～)</t>
        </is>
      </c>
      <c r="M679" s="42" t="inlineStr">
        <is>
          <t>72</t>
        </is>
      </c>
      <c r="N679" s="42" t="inlineStr">
        <is>
          <t>16507</t>
        </is>
      </c>
      <c r="O679" s="42" t="inlineStr">
        <is>
          <t>防犯建物部品欄の30mil構成を規格呼称へ直接突合。</t>
        </is>
      </c>
    </row>
    <row r="680">
      <c r="A680" s="42" t="inlineStr">
        <is>
          <t>SZ-SL-000679</t>
        </is>
      </c>
      <c r="B680" s="42" t="inlineStr">
        <is>
          <t>WT-SL-MENKOSHI-HIKI</t>
        </is>
      </c>
      <c r="C680" s="42" t="inlineStr">
        <is>
          <t>面格子付引違い窓</t>
        </is>
      </c>
      <c r="D680" s="42" t="inlineStr">
        <is>
          <t>SP-SL-GRILLE-V</t>
        </is>
      </c>
      <c r="E680" s="42" t="inlineStr">
        <is>
          <t>13307</t>
        </is>
      </c>
      <c r="F680" s="42" t="inlineStr">
        <is>
          <t>1370</t>
        </is>
      </c>
      <c r="G680" s="42" t="inlineStr">
        <is>
          <t>770</t>
        </is>
      </c>
      <c r="H680" s="42" t="inlineStr">
        <is>
          <t>True</t>
        </is>
      </c>
      <c r="I680" s="42" t="inlineStr">
        <is>
          <t>ALLOWED</t>
        </is>
      </c>
      <c r="J680" s="42" t="inlineStr">
        <is>
          <t>DIRECT_OFFICIAL_STANDARD_ROW</t>
        </is>
      </c>
      <c r="K680" s="42" t="inlineStr">
        <is>
          <t>SDC0003156</t>
        </is>
      </c>
      <c r="L680" s="42" t="inlineStr">
        <is>
          <t>マド2枚建 (201910～)</t>
        </is>
      </c>
      <c r="M680" s="42" t="inlineStr">
        <is>
          <t>49</t>
        </is>
      </c>
      <c r="N680" s="42" t="inlineStr">
        <is>
          <t>13307</t>
        </is>
      </c>
      <c r="O680" s="42" t="inlineStr">
        <is>
          <t>防犯建物部品欄の30mil構成を規格呼称へ直接突合。</t>
        </is>
      </c>
    </row>
    <row r="681">
      <c r="A681" s="42" t="inlineStr">
        <is>
          <t>SZ-SL-000680</t>
        </is>
      </c>
      <c r="B681" s="42" t="inlineStr">
        <is>
          <t>WT-SL-MENKOSHI-HIKI</t>
        </is>
      </c>
      <c r="C681" s="42" t="inlineStr">
        <is>
          <t>面格子付引違い窓</t>
        </is>
      </c>
      <c r="D681" s="42" t="inlineStr">
        <is>
          <t>SP-SL-GRILLE-V</t>
        </is>
      </c>
      <c r="E681" s="42" t="inlineStr">
        <is>
          <t>15007</t>
        </is>
      </c>
      <c r="F681" s="42" t="inlineStr">
        <is>
          <t>1540</t>
        </is>
      </c>
      <c r="G681" s="42" t="inlineStr">
        <is>
          <t>770</t>
        </is>
      </c>
      <c r="H681" s="42" t="inlineStr">
        <is>
          <t>True</t>
        </is>
      </c>
      <c r="I681" s="42" t="inlineStr">
        <is>
          <t>ALLOWED</t>
        </is>
      </c>
      <c r="J681" s="42" t="inlineStr">
        <is>
          <t>DIRECT_OFFICIAL_STANDARD_ROW</t>
        </is>
      </c>
      <c r="K681" s="42" t="inlineStr">
        <is>
          <t>SDC0003156</t>
        </is>
      </c>
      <c r="L681" s="42" t="inlineStr">
        <is>
          <t>マド2枚建 (201910～)</t>
        </is>
      </c>
      <c r="M681" s="42" t="inlineStr">
        <is>
          <t>54</t>
        </is>
      </c>
      <c r="N681" s="42" t="inlineStr">
        <is>
          <t>15007</t>
        </is>
      </c>
      <c r="O681" s="42" t="inlineStr">
        <is>
          <t>防犯建物部品欄の30mil構成を規格呼称へ直接突合。</t>
        </is>
      </c>
    </row>
    <row r="682">
      <c r="A682" s="42" t="inlineStr">
        <is>
          <t>SZ-SL-000681</t>
        </is>
      </c>
      <c r="B682" s="42" t="inlineStr">
        <is>
          <t>WT-SL-MENKOSHI-HIKI</t>
        </is>
      </c>
      <c r="C682" s="42" t="inlineStr">
        <is>
          <t>面格子付引違い窓</t>
        </is>
      </c>
      <c r="D682" s="42" t="inlineStr">
        <is>
          <t>SP-SL-GRILLE-V</t>
        </is>
      </c>
      <c r="E682" s="42" t="inlineStr">
        <is>
          <t>16007</t>
        </is>
      </c>
      <c r="F682" s="42" t="inlineStr">
        <is>
          <t>1640</t>
        </is>
      </c>
      <c r="G682" s="42" t="inlineStr">
        <is>
          <t>770</t>
        </is>
      </c>
      <c r="H682" s="42" t="inlineStr">
        <is>
          <t>True</t>
        </is>
      </c>
      <c r="I682" s="42" t="inlineStr">
        <is>
          <t>ALLOWED</t>
        </is>
      </c>
      <c r="J682" s="42" t="inlineStr">
        <is>
          <t>DIRECT_OFFICIAL_STANDARD_ROW</t>
        </is>
      </c>
      <c r="K682" s="42" t="inlineStr">
        <is>
          <t>SDC0003156</t>
        </is>
      </c>
      <c r="L682" s="42" t="inlineStr">
        <is>
          <t>マド2枚建 (201910～)</t>
        </is>
      </c>
      <c r="M682" s="42" t="inlineStr">
        <is>
          <t>65</t>
        </is>
      </c>
      <c r="N682" s="42" t="inlineStr">
        <is>
          <t>16007</t>
        </is>
      </c>
      <c r="O682" s="42" t="inlineStr">
        <is>
          <t>防犯建物部品欄の30mil構成を規格呼称へ直接突合。</t>
        </is>
      </c>
    </row>
    <row r="683">
      <c r="A683" s="42" t="inlineStr">
        <is>
          <t>SZ-SL-000682</t>
        </is>
      </c>
      <c r="B683" s="42" t="inlineStr">
        <is>
          <t>WT-SL-MENKOSHI-HIKI</t>
        </is>
      </c>
      <c r="C683" s="42" t="inlineStr">
        <is>
          <t>面格子付引違い窓</t>
        </is>
      </c>
      <c r="D683" s="42" t="inlineStr">
        <is>
          <t>SP-SL-GRILLE-V</t>
        </is>
      </c>
      <c r="E683" s="42" t="inlineStr">
        <is>
          <t>16507</t>
        </is>
      </c>
      <c r="F683" s="42" t="inlineStr">
        <is>
          <t>1690</t>
        </is>
      </c>
      <c r="G683" s="42" t="inlineStr">
        <is>
          <t>770</t>
        </is>
      </c>
      <c r="H683" s="42" t="inlineStr">
        <is>
          <t>True</t>
        </is>
      </c>
      <c r="I683" s="42" t="inlineStr">
        <is>
          <t>ALLOWED</t>
        </is>
      </c>
      <c r="J683" s="42" t="inlineStr">
        <is>
          <t>DIRECT_OFFICIAL_STANDARD_ROW</t>
        </is>
      </c>
      <c r="K683" s="42" t="inlineStr">
        <is>
          <t>SDC0003156</t>
        </is>
      </c>
      <c r="L683" s="42" t="inlineStr">
        <is>
          <t>マド2枚建 (201910～)</t>
        </is>
      </c>
      <c r="M683" s="42" t="inlineStr">
        <is>
          <t>72</t>
        </is>
      </c>
      <c r="N683" s="42" t="inlineStr">
        <is>
          <t>16507</t>
        </is>
      </c>
      <c r="O683" s="42" t="inlineStr">
        <is>
          <t>防犯建物部品欄の30mil構成を規格呼称へ直接突合。</t>
        </is>
      </c>
    </row>
    <row r="684">
      <c r="A684" s="42" t="inlineStr">
        <is>
          <t>SZ-SL-000683</t>
        </is>
      </c>
      <c r="B684" s="42" t="inlineStr">
        <is>
          <t>WT-SL-MENKOSHI-HIKI</t>
        </is>
      </c>
      <c r="C684" s="42" t="inlineStr">
        <is>
          <t>面格子付引違い窓</t>
        </is>
      </c>
      <c r="D684" s="42" t="inlineStr">
        <is>
          <t>SP-SL-GRILLE-DIA</t>
        </is>
      </c>
      <c r="E684" s="42" t="inlineStr">
        <is>
          <t>17407</t>
        </is>
      </c>
      <c r="F684" s="42" t="inlineStr">
        <is>
          <t>1780</t>
        </is>
      </c>
      <c r="G684" s="42" t="inlineStr">
        <is>
          <t>770</t>
        </is>
      </c>
      <c r="H684" s="42" t="inlineStr">
        <is>
          <t>True</t>
        </is>
      </c>
      <c r="I684" s="42" t="inlineStr">
        <is>
          <t>ALLOWED</t>
        </is>
      </c>
      <c r="J684" s="42" t="inlineStr">
        <is>
          <t>DIRECT_OFFICIAL_STANDARD_ROW</t>
        </is>
      </c>
      <c r="K684" s="42" t="inlineStr">
        <is>
          <t>SDC0003156</t>
        </is>
      </c>
      <c r="L684" s="42" t="inlineStr">
        <is>
          <t>マド2枚建 (201910～)</t>
        </is>
      </c>
      <c r="M684" s="42" t="inlineStr">
        <is>
          <t>78</t>
        </is>
      </c>
      <c r="N684" s="42" t="inlineStr">
        <is>
          <t>17407</t>
        </is>
      </c>
      <c r="O684" s="42" t="inlineStr">
        <is>
          <t>防犯建物部品欄の30mil構成を規格呼称へ直接突合。</t>
        </is>
      </c>
    </row>
    <row r="685">
      <c r="A685" s="42" t="inlineStr">
        <is>
          <t>SZ-SL-000684</t>
        </is>
      </c>
      <c r="B685" s="42" t="inlineStr">
        <is>
          <t>WT-SL-MENKOSHI-HIKI</t>
        </is>
      </c>
      <c r="C685" s="42" t="inlineStr">
        <is>
          <t>面格子付引違い窓</t>
        </is>
      </c>
      <c r="D685" s="42" t="inlineStr">
        <is>
          <t>SP-SL-GRILLE-DIA</t>
        </is>
      </c>
      <c r="E685" s="42" t="inlineStr">
        <is>
          <t>17607</t>
        </is>
      </c>
      <c r="F685" s="42" t="inlineStr">
        <is>
          <t>1800</t>
        </is>
      </c>
      <c r="G685" s="42" t="inlineStr">
        <is>
          <t>770</t>
        </is>
      </c>
      <c r="H685" s="42" t="inlineStr">
        <is>
          <t>True</t>
        </is>
      </c>
      <c r="I685" s="42" t="inlineStr">
        <is>
          <t>ALLOWED</t>
        </is>
      </c>
      <c r="J685" s="42" t="inlineStr">
        <is>
          <t>DIRECT_OFFICIAL_STANDARD_ROW</t>
        </is>
      </c>
      <c r="K685" s="42" t="inlineStr">
        <is>
          <t>SDC0003156</t>
        </is>
      </c>
      <c r="L685" s="42" t="inlineStr">
        <is>
          <t>マド2枚建 (201910～)</t>
        </is>
      </c>
      <c r="M685" s="42" t="inlineStr">
        <is>
          <t>83</t>
        </is>
      </c>
      <c r="N685" s="42" t="inlineStr">
        <is>
          <t>17607</t>
        </is>
      </c>
      <c r="O685" s="42" t="inlineStr">
        <is>
          <t>防犯建物部品欄の30mil構成を規格呼称へ直接突合。</t>
        </is>
      </c>
    </row>
    <row r="686">
      <c r="A686" s="42" t="inlineStr">
        <is>
          <t>SZ-SL-000685</t>
        </is>
      </c>
      <c r="B686" s="42" t="inlineStr">
        <is>
          <t>WT-SL-MENKOSHI-HIKI</t>
        </is>
      </c>
      <c r="C686" s="42" t="inlineStr">
        <is>
          <t>面格子付引違い窓</t>
        </is>
      </c>
      <c r="D686" s="42" t="inlineStr">
        <is>
          <t>SP-SL-GRILLE-DIA</t>
        </is>
      </c>
      <c r="E686" s="42" t="inlineStr">
        <is>
          <t>18007</t>
        </is>
      </c>
      <c r="F686" s="42" t="inlineStr">
        <is>
          <t>1845</t>
        </is>
      </c>
      <c r="G686" s="42" t="inlineStr">
        <is>
          <t>770</t>
        </is>
      </c>
      <c r="H686" s="42" t="inlineStr">
        <is>
          <t>True</t>
        </is>
      </c>
      <c r="I686" s="42" t="inlineStr">
        <is>
          <t>ALLOWED</t>
        </is>
      </c>
      <c r="J686" s="42" t="inlineStr">
        <is>
          <t>DIRECT_OFFICIAL_STANDARD_ROW</t>
        </is>
      </c>
      <c r="K686" s="42" t="inlineStr">
        <is>
          <t>SDC0003156</t>
        </is>
      </c>
      <c r="L686" s="42" t="inlineStr">
        <is>
          <t>マド2枚建 (201910～)</t>
        </is>
      </c>
      <c r="M686" s="42" t="inlineStr">
        <is>
          <t>93</t>
        </is>
      </c>
      <c r="N686" s="42" t="inlineStr">
        <is>
          <t>18007</t>
        </is>
      </c>
      <c r="O686" s="42" t="inlineStr">
        <is>
          <t>防犯建物部品欄の30mil構成を規格呼称へ直接突合。</t>
        </is>
      </c>
    </row>
    <row r="687">
      <c r="A687" s="42" t="inlineStr">
        <is>
          <t>SZ-SL-000686</t>
        </is>
      </c>
      <c r="B687" s="42" t="inlineStr">
        <is>
          <t>WT-SL-MENKOSHI-HIKI</t>
        </is>
      </c>
      <c r="C687" s="42" t="inlineStr">
        <is>
          <t>面格子付引違い窓</t>
        </is>
      </c>
      <c r="D687" s="42" t="inlineStr">
        <is>
          <t>SP-SL-GRILLE-DIA</t>
        </is>
      </c>
      <c r="E687" s="42" t="inlineStr">
        <is>
          <t>18607</t>
        </is>
      </c>
      <c r="F687" s="42" t="inlineStr">
        <is>
          <t>1900</t>
        </is>
      </c>
      <c r="G687" s="42" t="inlineStr">
        <is>
          <t>770</t>
        </is>
      </c>
      <c r="H687" s="42" t="inlineStr">
        <is>
          <t>True</t>
        </is>
      </c>
      <c r="I687" s="42" t="inlineStr">
        <is>
          <t>ALLOWED</t>
        </is>
      </c>
      <c r="J687" s="42" t="inlineStr">
        <is>
          <t>DIRECT_OFFICIAL_STANDARD_ROW</t>
        </is>
      </c>
      <c r="K687" s="42" t="inlineStr">
        <is>
          <t>SDC0003156</t>
        </is>
      </c>
      <c r="L687" s="42" t="inlineStr">
        <is>
          <t>マド2枚建 (201910～)</t>
        </is>
      </c>
      <c r="M687" s="42" t="inlineStr">
        <is>
          <t>103</t>
        </is>
      </c>
      <c r="N687" s="42" t="inlineStr">
        <is>
          <t>18607</t>
        </is>
      </c>
      <c r="O687" s="42" t="inlineStr">
        <is>
          <t>防犯建物部品欄の30mil構成を規格呼称へ直接突合。</t>
        </is>
      </c>
    </row>
    <row r="688">
      <c r="A688" s="42" t="inlineStr">
        <is>
          <t>SZ-SL-000687</t>
        </is>
      </c>
      <c r="B688" s="42" t="inlineStr">
        <is>
          <t>WT-SL-MENKOSHI-HIKI</t>
        </is>
      </c>
      <c r="C688" s="42" t="inlineStr">
        <is>
          <t>面格子付引違い窓</t>
        </is>
      </c>
      <c r="D688" s="42" t="inlineStr">
        <is>
          <t>SP-SL-GRILLE-H</t>
        </is>
      </c>
      <c r="E688" s="42" t="inlineStr">
        <is>
          <t>17407</t>
        </is>
      </c>
      <c r="F688" s="42" t="inlineStr">
        <is>
          <t>1780</t>
        </is>
      </c>
      <c r="G688" s="42" t="inlineStr">
        <is>
          <t>770</t>
        </is>
      </c>
      <c r="H688" s="42" t="inlineStr">
        <is>
          <t>False</t>
        </is>
      </c>
      <c r="I688" s="42" t="inlineStr">
        <is>
          <t>ALLOWED</t>
        </is>
      </c>
      <c r="J688" s="42" t="inlineStr">
        <is>
          <t>DIRECT_OFFICIAL_STANDARD_ROW</t>
        </is>
      </c>
      <c r="K688" s="42" t="inlineStr">
        <is>
          <t>SDC0003156</t>
        </is>
      </c>
      <c r="L688" s="42" t="inlineStr">
        <is>
          <t>マド2枚建 (201910～)</t>
        </is>
      </c>
      <c r="M688" s="42" t="inlineStr">
        <is>
          <t>78</t>
        </is>
      </c>
      <c r="N688" s="42" t="inlineStr">
        <is>
          <t>17407</t>
        </is>
      </c>
      <c r="O688" s="42" t="inlineStr">
        <is>
          <t>防犯建物部品欄の30mil構成を規格呼称へ直接突合。</t>
        </is>
      </c>
    </row>
    <row r="689">
      <c r="A689" s="42" t="inlineStr">
        <is>
          <t>SZ-SL-000688</t>
        </is>
      </c>
      <c r="B689" s="42" t="inlineStr">
        <is>
          <t>WT-SL-MENKOSHI-HIKI</t>
        </is>
      </c>
      <c r="C689" s="42" t="inlineStr">
        <is>
          <t>面格子付引違い窓</t>
        </is>
      </c>
      <c r="D689" s="42" t="inlineStr">
        <is>
          <t>SP-SL-GRILLE-H</t>
        </is>
      </c>
      <c r="E689" s="42" t="inlineStr">
        <is>
          <t>17607</t>
        </is>
      </c>
      <c r="F689" s="42" t="inlineStr">
        <is>
          <t>1800</t>
        </is>
      </c>
      <c r="G689" s="42" t="inlineStr">
        <is>
          <t>770</t>
        </is>
      </c>
      <c r="H689" s="42" t="inlineStr">
        <is>
          <t>False</t>
        </is>
      </c>
      <c r="I689" s="42" t="inlineStr">
        <is>
          <t>ALLOWED</t>
        </is>
      </c>
      <c r="J689" s="42" t="inlineStr">
        <is>
          <t>DIRECT_OFFICIAL_STANDARD_ROW</t>
        </is>
      </c>
      <c r="K689" s="42" t="inlineStr">
        <is>
          <t>SDC0003156</t>
        </is>
      </c>
      <c r="L689" s="42" t="inlineStr">
        <is>
          <t>マド2枚建 (201910～)</t>
        </is>
      </c>
      <c r="M689" s="42" t="inlineStr">
        <is>
          <t>83</t>
        </is>
      </c>
      <c r="N689" s="42" t="inlineStr">
        <is>
          <t>17607</t>
        </is>
      </c>
      <c r="O689" s="42" t="inlineStr">
        <is>
          <t>防犯建物部品欄の30mil構成を規格呼称へ直接突合。</t>
        </is>
      </c>
    </row>
    <row r="690">
      <c r="A690" s="42" t="inlineStr">
        <is>
          <t>SZ-SL-000689</t>
        </is>
      </c>
      <c r="B690" s="42" t="inlineStr">
        <is>
          <t>WT-SL-MENKOSHI-HIKI</t>
        </is>
      </c>
      <c r="C690" s="42" t="inlineStr">
        <is>
          <t>面格子付引違い窓</t>
        </is>
      </c>
      <c r="D690" s="42" t="inlineStr">
        <is>
          <t>SP-SL-GRILLE-H</t>
        </is>
      </c>
      <c r="E690" s="42" t="inlineStr">
        <is>
          <t>18007</t>
        </is>
      </c>
      <c r="F690" s="42" t="inlineStr">
        <is>
          <t>1845</t>
        </is>
      </c>
      <c r="G690" s="42" t="inlineStr">
        <is>
          <t>770</t>
        </is>
      </c>
      <c r="H690" s="42" t="inlineStr">
        <is>
          <t>False</t>
        </is>
      </c>
      <c r="I690" s="42" t="inlineStr">
        <is>
          <t>ALLOWED</t>
        </is>
      </c>
      <c r="J690" s="42" t="inlineStr">
        <is>
          <t>DIRECT_OFFICIAL_STANDARD_ROW</t>
        </is>
      </c>
      <c r="K690" s="42" t="inlineStr">
        <is>
          <t>SDC0003156</t>
        </is>
      </c>
      <c r="L690" s="42" t="inlineStr">
        <is>
          <t>マド2枚建 (201910～)</t>
        </is>
      </c>
      <c r="M690" s="42" t="inlineStr">
        <is>
          <t>93</t>
        </is>
      </c>
      <c r="N690" s="42" t="inlineStr">
        <is>
          <t>18007</t>
        </is>
      </c>
      <c r="O690" s="42" t="inlineStr">
        <is>
          <t>防犯建物部品欄の30mil構成を規格呼称へ直接突合。</t>
        </is>
      </c>
    </row>
    <row r="691">
      <c r="A691" s="42" t="inlineStr">
        <is>
          <t>SZ-SL-000690</t>
        </is>
      </c>
      <c r="B691" s="42" t="inlineStr">
        <is>
          <t>WT-SL-MENKOSHI-HIKI</t>
        </is>
      </c>
      <c r="C691" s="42" t="inlineStr">
        <is>
          <t>面格子付引違い窓</t>
        </is>
      </c>
      <c r="D691" s="42" t="inlineStr">
        <is>
          <t>SP-SL-GRILLE-H</t>
        </is>
      </c>
      <c r="E691" s="42" t="inlineStr">
        <is>
          <t>18607</t>
        </is>
      </c>
      <c r="F691" s="42" t="inlineStr">
        <is>
          <t>1900</t>
        </is>
      </c>
      <c r="G691" s="42" t="inlineStr">
        <is>
          <t>770</t>
        </is>
      </c>
      <c r="H691" s="42" t="inlineStr">
        <is>
          <t>False</t>
        </is>
      </c>
      <c r="I691" s="42" t="inlineStr">
        <is>
          <t>ALLOWED</t>
        </is>
      </c>
      <c r="J691" s="42" t="inlineStr">
        <is>
          <t>DIRECT_OFFICIAL_STANDARD_ROW</t>
        </is>
      </c>
      <c r="K691" s="42" t="inlineStr">
        <is>
          <t>SDC0003156</t>
        </is>
      </c>
      <c r="L691" s="42" t="inlineStr">
        <is>
          <t>マド2枚建 (201910～)</t>
        </is>
      </c>
      <c r="M691" s="42" t="inlineStr">
        <is>
          <t>103</t>
        </is>
      </c>
      <c r="N691" s="42" t="inlineStr">
        <is>
          <t>18607</t>
        </is>
      </c>
      <c r="O691" s="42" t="inlineStr">
        <is>
          <t>防犯建物部品欄の30mil構成を規格呼称へ直接突合。</t>
        </is>
      </c>
    </row>
    <row r="692">
      <c r="A692" s="42" t="inlineStr">
        <is>
          <t>SZ-SL-000691</t>
        </is>
      </c>
      <c r="B692" s="42" t="inlineStr">
        <is>
          <t>WT-SL-MENKOSHI-HIKI</t>
        </is>
      </c>
      <c r="C692" s="42" t="inlineStr">
        <is>
          <t>面格子付引違い窓</t>
        </is>
      </c>
      <c r="D692" s="42" t="inlineStr">
        <is>
          <t>SP-SL-GRILLE-IGETA</t>
        </is>
      </c>
      <c r="E692" s="42" t="inlineStr">
        <is>
          <t>17407</t>
        </is>
      </c>
      <c r="F692" s="42" t="inlineStr">
        <is>
          <t>1780</t>
        </is>
      </c>
      <c r="G692" s="42" t="inlineStr">
        <is>
          <t>770</t>
        </is>
      </c>
      <c r="H692" s="42" t="inlineStr">
        <is>
          <t>True</t>
        </is>
      </c>
      <c r="I692" s="42" t="inlineStr">
        <is>
          <t>ALLOWED</t>
        </is>
      </c>
      <c r="J692" s="42" t="inlineStr">
        <is>
          <t>DIRECT_OFFICIAL_STANDARD_ROW</t>
        </is>
      </c>
      <c r="K692" s="42" t="inlineStr">
        <is>
          <t>SDC0003156</t>
        </is>
      </c>
      <c r="L692" s="42" t="inlineStr">
        <is>
          <t>マド2枚建 (201910～)</t>
        </is>
      </c>
      <c r="M692" s="42" t="inlineStr">
        <is>
          <t>78</t>
        </is>
      </c>
      <c r="N692" s="42" t="inlineStr">
        <is>
          <t>17407</t>
        </is>
      </c>
      <c r="O692" s="42" t="inlineStr">
        <is>
          <t>防犯建物部品欄の30mil構成を規格呼称へ直接突合。</t>
        </is>
      </c>
    </row>
    <row r="693">
      <c r="A693" s="42" t="inlineStr">
        <is>
          <t>SZ-SL-000692</t>
        </is>
      </c>
      <c r="B693" s="42" t="inlineStr">
        <is>
          <t>WT-SL-MENKOSHI-HIKI</t>
        </is>
      </c>
      <c r="C693" s="42" t="inlineStr">
        <is>
          <t>面格子付引違い窓</t>
        </is>
      </c>
      <c r="D693" s="42" t="inlineStr">
        <is>
          <t>SP-SL-GRILLE-IGETA</t>
        </is>
      </c>
      <c r="E693" s="42" t="inlineStr">
        <is>
          <t>17607</t>
        </is>
      </c>
      <c r="F693" s="42" t="inlineStr">
        <is>
          <t>1800</t>
        </is>
      </c>
      <c r="G693" s="42" t="inlineStr">
        <is>
          <t>770</t>
        </is>
      </c>
      <c r="H693" s="42" t="inlineStr">
        <is>
          <t>True</t>
        </is>
      </c>
      <c r="I693" s="42" t="inlineStr">
        <is>
          <t>ALLOWED</t>
        </is>
      </c>
      <c r="J693" s="42" t="inlineStr">
        <is>
          <t>DIRECT_OFFICIAL_STANDARD_ROW</t>
        </is>
      </c>
      <c r="K693" s="42" t="inlineStr">
        <is>
          <t>SDC0003156</t>
        </is>
      </c>
      <c r="L693" s="42" t="inlineStr">
        <is>
          <t>マド2枚建 (201910～)</t>
        </is>
      </c>
      <c r="M693" s="42" t="inlineStr">
        <is>
          <t>83</t>
        </is>
      </c>
      <c r="N693" s="42" t="inlineStr">
        <is>
          <t>17607</t>
        </is>
      </c>
      <c r="O693" s="42" t="inlineStr">
        <is>
          <t>防犯建物部品欄の30mil構成を規格呼称へ直接突合。</t>
        </is>
      </c>
    </row>
    <row r="694">
      <c r="A694" s="42" t="inlineStr">
        <is>
          <t>SZ-SL-000693</t>
        </is>
      </c>
      <c r="B694" s="42" t="inlineStr">
        <is>
          <t>WT-SL-MENKOSHI-HIKI</t>
        </is>
      </c>
      <c r="C694" s="42" t="inlineStr">
        <is>
          <t>面格子付引違い窓</t>
        </is>
      </c>
      <c r="D694" s="42" t="inlineStr">
        <is>
          <t>SP-SL-GRILLE-IGETA</t>
        </is>
      </c>
      <c r="E694" s="42" t="inlineStr">
        <is>
          <t>18007</t>
        </is>
      </c>
      <c r="F694" s="42" t="inlineStr">
        <is>
          <t>1845</t>
        </is>
      </c>
      <c r="G694" s="42" t="inlineStr">
        <is>
          <t>770</t>
        </is>
      </c>
      <c r="H694" s="42" t="inlineStr">
        <is>
          <t>True</t>
        </is>
      </c>
      <c r="I694" s="42" t="inlineStr">
        <is>
          <t>ALLOWED</t>
        </is>
      </c>
      <c r="J694" s="42" t="inlineStr">
        <is>
          <t>DIRECT_OFFICIAL_STANDARD_ROW</t>
        </is>
      </c>
      <c r="K694" s="42" t="inlineStr">
        <is>
          <t>SDC0003156</t>
        </is>
      </c>
      <c r="L694" s="42" t="inlineStr">
        <is>
          <t>マド2枚建 (201910～)</t>
        </is>
      </c>
      <c r="M694" s="42" t="inlineStr">
        <is>
          <t>93</t>
        </is>
      </c>
      <c r="N694" s="42" t="inlineStr">
        <is>
          <t>18007</t>
        </is>
      </c>
      <c r="O694" s="42" t="inlineStr">
        <is>
          <t>防犯建物部品欄の30mil構成を規格呼称へ直接突合。</t>
        </is>
      </c>
    </row>
    <row r="695">
      <c r="A695" s="42" t="inlineStr">
        <is>
          <t>SZ-SL-000694</t>
        </is>
      </c>
      <c r="B695" s="42" t="inlineStr">
        <is>
          <t>WT-SL-MENKOSHI-HIKI</t>
        </is>
      </c>
      <c r="C695" s="42" t="inlineStr">
        <is>
          <t>面格子付引違い窓</t>
        </is>
      </c>
      <c r="D695" s="42" t="inlineStr">
        <is>
          <t>SP-SL-GRILLE-IGETA</t>
        </is>
      </c>
      <c r="E695" s="42" t="inlineStr">
        <is>
          <t>18607</t>
        </is>
      </c>
      <c r="F695" s="42" t="inlineStr">
        <is>
          <t>1900</t>
        </is>
      </c>
      <c r="G695" s="42" t="inlineStr">
        <is>
          <t>770</t>
        </is>
      </c>
      <c r="H695" s="42" t="inlineStr">
        <is>
          <t>True</t>
        </is>
      </c>
      <c r="I695" s="42" t="inlineStr">
        <is>
          <t>ALLOWED</t>
        </is>
      </c>
      <c r="J695" s="42" t="inlineStr">
        <is>
          <t>DIRECT_OFFICIAL_STANDARD_ROW</t>
        </is>
      </c>
      <c r="K695" s="42" t="inlineStr">
        <is>
          <t>SDC0003156</t>
        </is>
      </c>
      <c r="L695" s="42" t="inlineStr">
        <is>
          <t>マド2枚建 (201910～)</t>
        </is>
      </c>
      <c r="M695" s="42" t="inlineStr">
        <is>
          <t>103</t>
        </is>
      </c>
      <c r="N695" s="42" t="inlineStr">
        <is>
          <t>18607</t>
        </is>
      </c>
      <c r="O695" s="42" t="inlineStr">
        <is>
          <t>防犯建物部品欄の30mil構成を規格呼称へ直接突合。</t>
        </is>
      </c>
    </row>
    <row r="696">
      <c r="A696" s="42" t="inlineStr">
        <is>
          <t>SZ-SL-000695</t>
        </is>
      </c>
      <c r="B696" s="42" t="inlineStr">
        <is>
          <t>WT-SL-MENKOSHI-HIKI</t>
        </is>
      </c>
      <c r="C696" s="42" t="inlineStr">
        <is>
          <t>面格子付引違い窓</t>
        </is>
      </c>
      <c r="D696" s="42" t="inlineStr">
        <is>
          <t>SP-SL-GRILLE-V</t>
        </is>
      </c>
      <c r="E696" s="42" t="inlineStr">
        <is>
          <t>17407</t>
        </is>
      </c>
      <c r="F696" s="42" t="inlineStr">
        <is>
          <t>1780</t>
        </is>
      </c>
      <c r="G696" s="42" t="inlineStr">
        <is>
          <t>770</t>
        </is>
      </c>
      <c r="H696" s="42" t="inlineStr">
        <is>
          <t>True</t>
        </is>
      </c>
      <c r="I696" s="42" t="inlineStr">
        <is>
          <t>ALLOWED</t>
        </is>
      </c>
      <c r="J696" s="42" t="inlineStr">
        <is>
          <t>DIRECT_OFFICIAL_STANDARD_ROW</t>
        </is>
      </c>
      <c r="K696" s="42" t="inlineStr">
        <is>
          <t>SDC0003156</t>
        </is>
      </c>
      <c r="L696" s="42" t="inlineStr">
        <is>
          <t>マド2枚建 (201910～)</t>
        </is>
      </c>
      <c r="M696" s="42" t="inlineStr">
        <is>
          <t>78</t>
        </is>
      </c>
      <c r="N696" s="42" t="inlineStr">
        <is>
          <t>17407</t>
        </is>
      </c>
      <c r="O696" s="42" t="inlineStr">
        <is>
          <t>防犯建物部品欄の30mil構成を規格呼称へ直接突合。</t>
        </is>
      </c>
    </row>
    <row r="697">
      <c r="A697" s="42" t="inlineStr">
        <is>
          <t>SZ-SL-000696</t>
        </is>
      </c>
      <c r="B697" s="42" t="inlineStr">
        <is>
          <t>WT-SL-MENKOSHI-HIKI</t>
        </is>
      </c>
      <c r="C697" s="42" t="inlineStr">
        <is>
          <t>面格子付引違い窓</t>
        </is>
      </c>
      <c r="D697" s="42" t="inlineStr">
        <is>
          <t>SP-SL-GRILLE-V</t>
        </is>
      </c>
      <c r="E697" s="42" t="inlineStr">
        <is>
          <t>17607</t>
        </is>
      </c>
      <c r="F697" s="42" t="inlineStr">
        <is>
          <t>1800</t>
        </is>
      </c>
      <c r="G697" s="42" t="inlineStr">
        <is>
          <t>770</t>
        </is>
      </c>
      <c r="H697" s="42" t="inlineStr">
        <is>
          <t>True</t>
        </is>
      </c>
      <c r="I697" s="42" t="inlineStr">
        <is>
          <t>ALLOWED</t>
        </is>
      </c>
      <c r="J697" s="42" t="inlineStr">
        <is>
          <t>DIRECT_OFFICIAL_STANDARD_ROW</t>
        </is>
      </c>
      <c r="K697" s="42" t="inlineStr">
        <is>
          <t>SDC0003156</t>
        </is>
      </c>
      <c r="L697" s="42" t="inlineStr">
        <is>
          <t>マド2枚建 (201910～)</t>
        </is>
      </c>
      <c r="M697" s="42" t="inlineStr">
        <is>
          <t>83</t>
        </is>
      </c>
      <c r="N697" s="42" t="inlineStr">
        <is>
          <t>17607</t>
        </is>
      </c>
      <c r="O697" s="42" t="inlineStr">
        <is>
          <t>防犯建物部品欄の30mil構成を規格呼称へ直接突合。</t>
        </is>
      </c>
    </row>
    <row r="698">
      <c r="A698" s="42" t="inlineStr">
        <is>
          <t>SZ-SL-000697</t>
        </is>
      </c>
      <c r="B698" s="42" t="inlineStr">
        <is>
          <t>WT-SL-MENKOSHI-HIKI</t>
        </is>
      </c>
      <c r="C698" s="42" t="inlineStr">
        <is>
          <t>面格子付引違い窓</t>
        </is>
      </c>
      <c r="D698" s="42" t="inlineStr">
        <is>
          <t>SP-SL-GRILLE-V</t>
        </is>
      </c>
      <c r="E698" s="42" t="inlineStr">
        <is>
          <t>18007</t>
        </is>
      </c>
      <c r="F698" s="42" t="inlineStr">
        <is>
          <t>1845</t>
        </is>
      </c>
      <c r="G698" s="42" t="inlineStr">
        <is>
          <t>770</t>
        </is>
      </c>
      <c r="H698" s="42" t="inlineStr">
        <is>
          <t>True</t>
        </is>
      </c>
      <c r="I698" s="42" t="inlineStr">
        <is>
          <t>ALLOWED</t>
        </is>
      </c>
      <c r="J698" s="42" t="inlineStr">
        <is>
          <t>DIRECT_OFFICIAL_STANDARD_ROW</t>
        </is>
      </c>
      <c r="K698" s="42" t="inlineStr">
        <is>
          <t>SDC0003156</t>
        </is>
      </c>
      <c r="L698" s="42" t="inlineStr">
        <is>
          <t>マド2枚建 (201910～)</t>
        </is>
      </c>
      <c r="M698" s="42" t="inlineStr">
        <is>
          <t>93</t>
        </is>
      </c>
      <c r="N698" s="42" t="inlineStr">
        <is>
          <t>18007</t>
        </is>
      </c>
      <c r="O698" s="42" t="inlineStr">
        <is>
          <t>防犯建物部品欄の30mil構成を規格呼称へ直接突合。</t>
        </is>
      </c>
    </row>
    <row r="699">
      <c r="A699" s="42" t="inlineStr">
        <is>
          <t>SZ-SL-000698</t>
        </is>
      </c>
      <c r="B699" s="42" t="inlineStr">
        <is>
          <t>WT-SL-MENKOSHI-HIKI</t>
        </is>
      </c>
      <c r="C699" s="42" t="inlineStr">
        <is>
          <t>面格子付引違い窓</t>
        </is>
      </c>
      <c r="D699" s="42" t="inlineStr">
        <is>
          <t>SP-SL-GRILLE-V</t>
        </is>
      </c>
      <c r="E699" s="42" t="inlineStr">
        <is>
          <t>18607</t>
        </is>
      </c>
      <c r="F699" s="42" t="inlineStr">
        <is>
          <t>1900</t>
        </is>
      </c>
      <c r="G699" s="42" t="inlineStr">
        <is>
          <t>770</t>
        </is>
      </c>
      <c r="H699" s="42" t="inlineStr">
        <is>
          <t>True</t>
        </is>
      </c>
      <c r="I699" s="42" t="inlineStr">
        <is>
          <t>ALLOWED</t>
        </is>
      </c>
      <c r="J699" s="42" t="inlineStr">
        <is>
          <t>DIRECT_OFFICIAL_STANDARD_ROW</t>
        </is>
      </c>
      <c r="K699" s="42" t="inlineStr">
        <is>
          <t>SDC0003156</t>
        </is>
      </c>
      <c r="L699" s="42" t="inlineStr">
        <is>
          <t>マド2枚建 (201910～)</t>
        </is>
      </c>
      <c r="M699" s="42" t="inlineStr">
        <is>
          <t>103</t>
        </is>
      </c>
      <c r="N699" s="42" t="inlineStr">
        <is>
          <t>18607</t>
        </is>
      </c>
      <c r="O699" s="42" t="inlineStr">
        <is>
          <t>防犯建物部品欄の30mil構成を規格呼称へ直接突合。</t>
        </is>
      </c>
    </row>
    <row r="700">
      <c r="A700" s="42" t="inlineStr">
        <is>
          <t>SZ-SL-000699</t>
        </is>
      </c>
      <c r="B700" s="42" t="inlineStr">
        <is>
          <t>WT-SL-MENKOSHI-HIKI</t>
        </is>
      </c>
      <c r="C700" s="42" t="inlineStr">
        <is>
          <t>面格子付引違い窓</t>
        </is>
      </c>
      <c r="D700" s="42" t="inlineStr">
        <is>
          <t>SP-SL-GRILLE-DIA</t>
        </is>
      </c>
      <c r="E700" s="42" t="inlineStr">
        <is>
          <t>06009</t>
        </is>
      </c>
      <c r="F700" s="42" t="inlineStr">
        <is>
          <t>640</t>
        </is>
      </c>
      <c r="G700" s="42" t="inlineStr">
        <is>
          <t>970</t>
        </is>
      </c>
      <c r="H700" s="42" t="inlineStr">
        <is>
          <t>True</t>
        </is>
      </c>
      <c r="I700" s="42" t="inlineStr">
        <is>
          <t>ALLOWED</t>
        </is>
      </c>
      <c r="J700" s="42" t="inlineStr">
        <is>
          <t>DIRECT_OFFICIAL_STANDARD_ROW</t>
        </is>
      </c>
      <c r="K700" s="42" t="inlineStr">
        <is>
          <t>SDC0003156</t>
        </is>
      </c>
      <c r="L700" s="42" t="inlineStr">
        <is>
          <t>マド2枚建 (201910～)</t>
        </is>
      </c>
      <c r="M700" s="42" t="inlineStr">
        <is>
          <t>12</t>
        </is>
      </c>
      <c r="N700" s="42" t="inlineStr">
        <is>
          <t>06009</t>
        </is>
      </c>
      <c r="O700" s="42" t="inlineStr">
        <is>
          <t>防犯建物部品欄の30mil構成を規格呼称へ直接突合。</t>
        </is>
      </c>
    </row>
    <row r="701">
      <c r="A701" s="42" t="inlineStr">
        <is>
          <t>SZ-SL-000700</t>
        </is>
      </c>
      <c r="B701" s="42" t="inlineStr">
        <is>
          <t>WT-SL-MENKOSHI-HIKI</t>
        </is>
      </c>
      <c r="C701" s="42" t="inlineStr">
        <is>
          <t>面格子付引違い窓</t>
        </is>
      </c>
      <c r="D701" s="42" t="inlineStr">
        <is>
          <t>SP-SL-GRILLE-DIA</t>
        </is>
      </c>
      <c r="E701" s="42" t="inlineStr">
        <is>
          <t>06909</t>
        </is>
      </c>
      <c r="F701" s="42" t="inlineStr">
        <is>
          <t>730</t>
        </is>
      </c>
      <c r="G701" s="42" t="inlineStr">
        <is>
          <t>970</t>
        </is>
      </c>
      <c r="H701" s="42" t="inlineStr">
        <is>
          <t>True</t>
        </is>
      </c>
      <c r="I701" s="42" t="inlineStr">
        <is>
          <t>ALLOWED</t>
        </is>
      </c>
      <c r="J701" s="42" t="inlineStr">
        <is>
          <t>DIRECT_OFFICIAL_STANDARD_ROW</t>
        </is>
      </c>
      <c r="K701" s="42" t="inlineStr">
        <is>
          <t>SDC0003156</t>
        </is>
      </c>
      <c r="L701" s="42" t="inlineStr">
        <is>
          <t>マド2枚建 (201910～)</t>
        </is>
      </c>
      <c r="M701" s="42" t="inlineStr">
        <is>
          <t>16</t>
        </is>
      </c>
      <c r="N701" s="42" t="inlineStr">
        <is>
          <t>06909</t>
        </is>
      </c>
      <c r="O701" s="42" t="inlineStr">
        <is>
          <t>防犯建物部品欄の30mil構成を規格呼称へ直接突合。</t>
        </is>
      </c>
    </row>
    <row r="702">
      <c r="A702" s="42" t="inlineStr">
        <is>
          <t>SZ-SL-000701</t>
        </is>
      </c>
      <c r="B702" s="42" t="inlineStr">
        <is>
          <t>WT-SL-MENKOSHI-HIKI</t>
        </is>
      </c>
      <c r="C702" s="42" t="inlineStr">
        <is>
          <t>面格子付引違い窓</t>
        </is>
      </c>
      <c r="D702" s="42" t="inlineStr">
        <is>
          <t>SP-SL-GRILLE-DIA</t>
        </is>
      </c>
      <c r="E702" s="42" t="inlineStr">
        <is>
          <t>07409</t>
        </is>
      </c>
      <c r="F702" s="42" t="inlineStr">
        <is>
          <t>780</t>
        </is>
      </c>
      <c r="G702" s="42" t="inlineStr">
        <is>
          <t>970</t>
        </is>
      </c>
      <c r="H702" s="42" t="inlineStr">
        <is>
          <t>True</t>
        </is>
      </c>
      <c r="I702" s="42" t="inlineStr">
        <is>
          <t>ALLOWED</t>
        </is>
      </c>
      <c r="J702" s="42" t="inlineStr">
        <is>
          <t>DIRECT_OFFICIAL_STANDARD_ROW</t>
        </is>
      </c>
      <c r="K702" s="42" t="inlineStr">
        <is>
          <t>SDC0003156</t>
        </is>
      </c>
      <c r="L702" s="42" t="inlineStr">
        <is>
          <t>マド2枚建 (201910～)</t>
        </is>
      </c>
      <c r="M702" s="42" t="inlineStr">
        <is>
          <t>20</t>
        </is>
      </c>
      <c r="N702" s="42" t="inlineStr">
        <is>
          <t>07409</t>
        </is>
      </c>
      <c r="O702" s="42" t="inlineStr">
        <is>
          <t>防犯建物部品欄の30mil構成を規格呼称へ直接突合。</t>
        </is>
      </c>
    </row>
    <row r="703">
      <c r="A703" s="42" t="inlineStr">
        <is>
          <t>SZ-SL-000702</t>
        </is>
      </c>
      <c r="B703" s="42" t="inlineStr">
        <is>
          <t>WT-SL-MENKOSHI-HIKI</t>
        </is>
      </c>
      <c r="C703" s="42" t="inlineStr">
        <is>
          <t>面格子付引違い窓</t>
        </is>
      </c>
      <c r="D703" s="42" t="inlineStr">
        <is>
          <t>SP-SL-GRILLE-DIA</t>
        </is>
      </c>
      <c r="E703" s="42" t="inlineStr">
        <is>
          <t>07809</t>
        </is>
      </c>
      <c r="F703" s="42" t="inlineStr">
        <is>
          <t>820</t>
        </is>
      </c>
      <c r="G703" s="42" t="inlineStr">
        <is>
          <t>970</t>
        </is>
      </c>
      <c r="H703" s="42" t="inlineStr">
        <is>
          <t>True</t>
        </is>
      </c>
      <c r="I703" s="42" t="inlineStr">
        <is>
          <t>ALLOWED</t>
        </is>
      </c>
      <c r="J703" s="42" t="inlineStr">
        <is>
          <t>DIRECT_OFFICIAL_STANDARD_ROW</t>
        </is>
      </c>
      <c r="K703" s="42" t="inlineStr">
        <is>
          <t>SDC0003156</t>
        </is>
      </c>
      <c r="L703" s="42" t="inlineStr">
        <is>
          <t>マド2枚建 (201910～)</t>
        </is>
      </c>
      <c r="M703" s="42" t="inlineStr">
        <is>
          <t>24</t>
        </is>
      </c>
      <c r="N703" s="42" t="inlineStr">
        <is>
          <t>07809</t>
        </is>
      </c>
      <c r="O703" s="42" t="inlineStr">
        <is>
          <t>防犯建物部品欄の30mil構成を規格呼称へ直接突合。</t>
        </is>
      </c>
    </row>
    <row r="704">
      <c r="A704" s="42" t="inlineStr">
        <is>
          <t>SZ-SL-000703</t>
        </is>
      </c>
      <c r="B704" s="42" t="inlineStr">
        <is>
          <t>WT-SL-MENKOSHI-HIKI</t>
        </is>
      </c>
      <c r="C704" s="42" t="inlineStr">
        <is>
          <t>面格子付引違い窓</t>
        </is>
      </c>
      <c r="D704" s="42" t="inlineStr">
        <is>
          <t>SP-SL-GRILLE-H</t>
        </is>
      </c>
      <c r="E704" s="42" t="inlineStr">
        <is>
          <t>06009</t>
        </is>
      </c>
      <c r="F704" s="42" t="inlineStr">
        <is>
          <t>640</t>
        </is>
      </c>
      <c r="G704" s="42" t="inlineStr">
        <is>
          <t>970</t>
        </is>
      </c>
      <c r="H704" s="42" t="inlineStr">
        <is>
          <t>True</t>
        </is>
      </c>
      <c r="I704" s="42" t="inlineStr">
        <is>
          <t>ALLOWED</t>
        </is>
      </c>
      <c r="J704" s="42" t="inlineStr">
        <is>
          <t>DIRECT_OFFICIAL_STANDARD_ROW</t>
        </is>
      </c>
      <c r="K704" s="42" t="inlineStr">
        <is>
          <t>SDC0003156</t>
        </is>
      </c>
      <c r="L704" s="42" t="inlineStr">
        <is>
          <t>マド2枚建 (201910～)</t>
        </is>
      </c>
      <c r="M704" s="42" t="inlineStr">
        <is>
          <t>12</t>
        </is>
      </c>
      <c r="N704" s="42" t="inlineStr">
        <is>
          <t>06009</t>
        </is>
      </c>
      <c r="O704" s="42" t="inlineStr">
        <is>
          <t>防犯建物部品欄の30mil構成を規格呼称へ直接突合。</t>
        </is>
      </c>
    </row>
    <row r="705">
      <c r="A705" s="42" t="inlineStr">
        <is>
          <t>SZ-SL-000704</t>
        </is>
      </c>
      <c r="B705" s="42" t="inlineStr">
        <is>
          <t>WT-SL-MENKOSHI-HIKI</t>
        </is>
      </c>
      <c r="C705" s="42" t="inlineStr">
        <is>
          <t>面格子付引違い窓</t>
        </is>
      </c>
      <c r="D705" s="42" t="inlineStr">
        <is>
          <t>SP-SL-GRILLE-H</t>
        </is>
      </c>
      <c r="E705" s="42" t="inlineStr">
        <is>
          <t>06909</t>
        </is>
      </c>
      <c r="F705" s="42" t="inlineStr">
        <is>
          <t>730</t>
        </is>
      </c>
      <c r="G705" s="42" t="inlineStr">
        <is>
          <t>970</t>
        </is>
      </c>
      <c r="H705" s="42" t="inlineStr">
        <is>
          <t>True</t>
        </is>
      </c>
      <c r="I705" s="42" t="inlineStr">
        <is>
          <t>ALLOWED</t>
        </is>
      </c>
      <c r="J705" s="42" t="inlineStr">
        <is>
          <t>DIRECT_OFFICIAL_STANDARD_ROW</t>
        </is>
      </c>
      <c r="K705" s="42" t="inlineStr">
        <is>
          <t>SDC0003156</t>
        </is>
      </c>
      <c r="L705" s="42" t="inlineStr">
        <is>
          <t>マド2枚建 (201910～)</t>
        </is>
      </c>
      <c r="M705" s="42" t="inlineStr">
        <is>
          <t>16</t>
        </is>
      </c>
      <c r="N705" s="42" t="inlineStr">
        <is>
          <t>06909</t>
        </is>
      </c>
      <c r="O705" s="42" t="inlineStr">
        <is>
          <t>防犯建物部品欄の30mil構成を規格呼称へ直接突合。</t>
        </is>
      </c>
    </row>
    <row r="706">
      <c r="A706" s="42" t="inlineStr">
        <is>
          <t>SZ-SL-000705</t>
        </is>
      </c>
      <c r="B706" s="42" t="inlineStr">
        <is>
          <t>WT-SL-MENKOSHI-HIKI</t>
        </is>
      </c>
      <c r="C706" s="42" t="inlineStr">
        <is>
          <t>面格子付引違い窓</t>
        </is>
      </c>
      <c r="D706" s="42" t="inlineStr">
        <is>
          <t>SP-SL-GRILLE-H</t>
        </is>
      </c>
      <c r="E706" s="42" t="inlineStr">
        <is>
          <t>07409</t>
        </is>
      </c>
      <c r="F706" s="42" t="inlineStr">
        <is>
          <t>780</t>
        </is>
      </c>
      <c r="G706" s="42" t="inlineStr">
        <is>
          <t>970</t>
        </is>
      </c>
      <c r="H706" s="42" t="inlineStr">
        <is>
          <t>True</t>
        </is>
      </c>
      <c r="I706" s="42" t="inlineStr">
        <is>
          <t>ALLOWED</t>
        </is>
      </c>
      <c r="J706" s="42" t="inlineStr">
        <is>
          <t>DIRECT_OFFICIAL_STANDARD_ROW</t>
        </is>
      </c>
      <c r="K706" s="42" t="inlineStr">
        <is>
          <t>SDC0003156</t>
        </is>
      </c>
      <c r="L706" s="42" t="inlineStr">
        <is>
          <t>マド2枚建 (201910～)</t>
        </is>
      </c>
      <c r="M706" s="42" t="inlineStr">
        <is>
          <t>20</t>
        </is>
      </c>
      <c r="N706" s="42" t="inlineStr">
        <is>
          <t>07409</t>
        </is>
      </c>
      <c r="O706" s="42" t="inlineStr">
        <is>
          <t>防犯建物部品欄の30mil構成を規格呼称へ直接突合。</t>
        </is>
      </c>
    </row>
    <row r="707">
      <c r="A707" s="42" t="inlineStr">
        <is>
          <t>SZ-SL-000706</t>
        </is>
      </c>
      <c r="B707" s="42" t="inlineStr">
        <is>
          <t>WT-SL-MENKOSHI-HIKI</t>
        </is>
      </c>
      <c r="C707" s="42" t="inlineStr">
        <is>
          <t>面格子付引違い窓</t>
        </is>
      </c>
      <c r="D707" s="42" t="inlineStr">
        <is>
          <t>SP-SL-GRILLE-H</t>
        </is>
      </c>
      <c r="E707" s="42" t="inlineStr">
        <is>
          <t>07809</t>
        </is>
      </c>
      <c r="F707" s="42" t="inlineStr">
        <is>
          <t>820</t>
        </is>
      </c>
      <c r="G707" s="42" t="inlineStr">
        <is>
          <t>970</t>
        </is>
      </c>
      <c r="H707" s="42" t="inlineStr">
        <is>
          <t>True</t>
        </is>
      </c>
      <c r="I707" s="42" t="inlineStr">
        <is>
          <t>ALLOWED</t>
        </is>
      </c>
      <c r="J707" s="42" t="inlineStr">
        <is>
          <t>DIRECT_OFFICIAL_STANDARD_ROW</t>
        </is>
      </c>
      <c r="K707" s="42" t="inlineStr">
        <is>
          <t>SDC0003156</t>
        </is>
      </c>
      <c r="L707" s="42" t="inlineStr">
        <is>
          <t>マド2枚建 (201910～)</t>
        </is>
      </c>
      <c r="M707" s="42" t="inlineStr">
        <is>
          <t>24</t>
        </is>
      </c>
      <c r="N707" s="42" t="inlineStr">
        <is>
          <t>07809</t>
        </is>
      </c>
      <c r="O707" s="42" t="inlineStr">
        <is>
          <t>防犯建物部品欄の30mil構成を規格呼称へ直接突合。</t>
        </is>
      </c>
    </row>
    <row r="708">
      <c r="A708" s="42" t="inlineStr">
        <is>
          <t>SZ-SL-000707</t>
        </is>
      </c>
      <c r="B708" s="42" t="inlineStr">
        <is>
          <t>WT-SL-MENKOSHI-HIKI</t>
        </is>
      </c>
      <c r="C708" s="42" t="inlineStr">
        <is>
          <t>面格子付引違い窓</t>
        </is>
      </c>
      <c r="D708" s="42" t="inlineStr">
        <is>
          <t>SP-SL-GRILLE-IGETA</t>
        </is>
      </c>
      <c r="E708" s="42" t="inlineStr">
        <is>
          <t>06009</t>
        </is>
      </c>
      <c r="F708" s="42" t="inlineStr">
        <is>
          <t>640</t>
        </is>
      </c>
      <c r="G708" s="42" t="inlineStr">
        <is>
          <t>970</t>
        </is>
      </c>
      <c r="H708" s="42" t="inlineStr">
        <is>
          <t>True</t>
        </is>
      </c>
      <c r="I708" s="42" t="inlineStr">
        <is>
          <t>ALLOWED</t>
        </is>
      </c>
      <c r="J708" s="42" t="inlineStr">
        <is>
          <t>DIRECT_OFFICIAL_STANDARD_ROW</t>
        </is>
      </c>
      <c r="K708" s="42" t="inlineStr">
        <is>
          <t>SDC0003156</t>
        </is>
      </c>
      <c r="L708" s="42" t="inlineStr">
        <is>
          <t>マド2枚建 (201910～)</t>
        </is>
      </c>
      <c r="M708" s="42" t="inlineStr">
        <is>
          <t>12</t>
        </is>
      </c>
      <c r="N708" s="42" t="inlineStr">
        <is>
          <t>06009</t>
        </is>
      </c>
      <c r="O708" s="42" t="inlineStr">
        <is>
          <t>防犯建物部品欄の30mil構成を規格呼称へ直接突合。</t>
        </is>
      </c>
    </row>
    <row r="709">
      <c r="A709" s="42" t="inlineStr">
        <is>
          <t>SZ-SL-000708</t>
        </is>
      </c>
      <c r="B709" s="42" t="inlineStr">
        <is>
          <t>WT-SL-MENKOSHI-HIKI</t>
        </is>
      </c>
      <c r="C709" s="42" t="inlineStr">
        <is>
          <t>面格子付引違い窓</t>
        </is>
      </c>
      <c r="D709" s="42" t="inlineStr">
        <is>
          <t>SP-SL-GRILLE-IGETA</t>
        </is>
      </c>
      <c r="E709" s="42" t="inlineStr">
        <is>
          <t>06909</t>
        </is>
      </c>
      <c r="F709" s="42" t="inlineStr">
        <is>
          <t>730</t>
        </is>
      </c>
      <c r="G709" s="42" t="inlineStr">
        <is>
          <t>970</t>
        </is>
      </c>
      <c r="H709" s="42" t="inlineStr">
        <is>
          <t>True</t>
        </is>
      </c>
      <c r="I709" s="42" t="inlineStr">
        <is>
          <t>ALLOWED</t>
        </is>
      </c>
      <c r="J709" s="42" t="inlineStr">
        <is>
          <t>DIRECT_OFFICIAL_STANDARD_ROW</t>
        </is>
      </c>
      <c r="K709" s="42" t="inlineStr">
        <is>
          <t>SDC0003156</t>
        </is>
      </c>
      <c r="L709" s="42" t="inlineStr">
        <is>
          <t>マド2枚建 (201910～)</t>
        </is>
      </c>
      <c r="M709" s="42" t="inlineStr">
        <is>
          <t>16</t>
        </is>
      </c>
      <c r="N709" s="42" t="inlineStr">
        <is>
          <t>06909</t>
        </is>
      </c>
      <c r="O709" s="42" t="inlineStr">
        <is>
          <t>防犯建物部品欄の30mil構成を規格呼称へ直接突合。</t>
        </is>
      </c>
    </row>
    <row r="710">
      <c r="A710" s="42" t="inlineStr">
        <is>
          <t>SZ-SL-000709</t>
        </is>
      </c>
      <c r="B710" s="42" t="inlineStr">
        <is>
          <t>WT-SL-MENKOSHI-HIKI</t>
        </is>
      </c>
      <c r="C710" s="42" t="inlineStr">
        <is>
          <t>面格子付引違い窓</t>
        </is>
      </c>
      <c r="D710" s="42" t="inlineStr">
        <is>
          <t>SP-SL-GRILLE-IGETA</t>
        </is>
      </c>
      <c r="E710" s="42" t="inlineStr">
        <is>
          <t>07409</t>
        </is>
      </c>
      <c r="F710" s="42" t="inlineStr">
        <is>
          <t>780</t>
        </is>
      </c>
      <c r="G710" s="42" t="inlineStr">
        <is>
          <t>970</t>
        </is>
      </c>
      <c r="H710" s="42" t="inlineStr">
        <is>
          <t>True</t>
        </is>
      </c>
      <c r="I710" s="42" t="inlineStr">
        <is>
          <t>ALLOWED</t>
        </is>
      </c>
      <c r="J710" s="42" t="inlineStr">
        <is>
          <t>DIRECT_OFFICIAL_STANDARD_ROW</t>
        </is>
      </c>
      <c r="K710" s="42" t="inlineStr">
        <is>
          <t>SDC0003156</t>
        </is>
      </c>
      <c r="L710" s="42" t="inlineStr">
        <is>
          <t>マド2枚建 (201910～)</t>
        </is>
      </c>
      <c r="M710" s="42" t="inlineStr">
        <is>
          <t>20</t>
        </is>
      </c>
      <c r="N710" s="42" t="inlineStr">
        <is>
          <t>07409</t>
        </is>
      </c>
      <c r="O710" s="42" t="inlineStr">
        <is>
          <t>防犯建物部品欄の30mil構成を規格呼称へ直接突合。</t>
        </is>
      </c>
    </row>
    <row r="711">
      <c r="A711" s="42" t="inlineStr">
        <is>
          <t>SZ-SL-000710</t>
        </is>
      </c>
      <c r="B711" s="42" t="inlineStr">
        <is>
          <t>WT-SL-MENKOSHI-HIKI</t>
        </is>
      </c>
      <c r="C711" s="42" t="inlineStr">
        <is>
          <t>面格子付引違い窓</t>
        </is>
      </c>
      <c r="D711" s="42" t="inlineStr">
        <is>
          <t>SP-SL-GRILLE-IGETA</t>
        </is>
      </c>
      <c r="E711" s="42" t="inlineStr">
        <is>
          <t>07809</t>
        </is>
      </c>
      <c r="F711" s="42" t="inlineStr">
        <is>
          <t>820</t>
        </is>
      </c>
      <c r="G711" s="42" t="inlineStr">
        <is>
          <t>970</t>
        </is>
      </c>
      <c r="H711" s="42" t="inlineStr">
        <is>
          <t>True</t>
        </is>
      </c>
      <c r="I711" s="42" t="inlineStr">
        <is>
          <t>ALLOWED</t>
        </is>
      </c>
      <c r="J711" s="42" t="inlineStr">
        <is>
          <t>DIRECT_OFFICIAL_STANDARD_ROW</t>
        </is>
      </c>
      <c r="K711" s="42" t="inlineStr">
        <is>
          <t>SDC0003156</t>
        </is>
      </c>
      <c r="L711" s="42" t="inlineStr">
        <is>
          <t>マド2枚建 (201910～)</t>
        </is>
      </c>
      <c r="M711" s="42" t="inlineStr">
        <is>
          <t>24</t>
        </is>
      </c>
      <c r="N711" s="42" t="inlineStr">
        <is>
          <t>07809</t>
        </is>
      </c>
      <c r="O711" s="42" t="inlineStr">
        <is>
          <t>防犯建物部品欄の30mil構成を規格呼称へ直接突合。</t>
        </is>
      </c>
    </row>
    <row r="712">
      <c r="A712" s="42" t="inlineStr">
        <is>
          <t>SZ-SL-000711</t>
        </is>
      </c>
      <c r="B712" s="42" t="inlineStr">
        <is>
          <t>WT-SL-MENKOSHI-HIKI</t>
        </is>
      </c>
      <c r="C712" s="42" t="inlineStr">
        <is>
          <t>面格子付引違い窓</t>
        </is>
      </c>
      <c r="D712" s="42" t="inlineStr">
        <is>
          <t>SP-SL-GRILLE-V</t>
        </is>
      </c>
      <c r="E712" s="42" t="inlineStr">
        <is>
          <t>06009</t>
        </is>
      </c>
      <c r="F712" s="42" t="inlineStr">
        <is>
          <t>640</t>
        </is>
      </c>
      <c r="G712" s="42" t="inlineStr">
        <is>
          <t>970</t>
        </is>
      </c>
      <c r="H712" s="42" t="inlineStr">
        <is>
          <t>True</t>
        </is>
      </c>
      <c r="I712" s="42" t="inlineStr">
        <is>
          <t>ALLOWED</t>
        </is>
      </c>
      <c r="J712" s="42" t="inlineStr">
        <is>
          <t>DIRECT_OFFICIAL_STANDARD_ROW</t>
        </is>
      </c>
      <c r="K712" s="42" t="inlineStr">
        <is>
          <t>SDC0003156</t>
        </is>
      </c>
      <c r="L712" s="42" t="inlineStr">
        <is>
          <t>マド2枚建 (201910～)</t>
        </is>
      </c>
      <c r="M712" s="42" t="inlineStr">
        <is>
          <t>12</t>
        </is>
      </c>
      <c r="N712" s="42" t="inlineStr">
        <is>
          <t>06009</t>
        </is>
      </c>
      <c r="O712" s="42" t="inlineStr">
        <is>
          <t>防犯建物部品欄の30mil構成を規格呼称へ直接突合。</t>
        </is>
      </c>
    </row>
    <row r="713">
      <c r="A713" s="42" t="inlineStr">
        <is>
          <t>SZ-SL-000712</t>
        </is>
      </c>
      <c r="B713" s="42" t="inlineStr">
        <is>
          <t>WT-SL-MENKOSHI-HIKI</t>
        </is>
      </c>
      <c r="C713" s="42" t="inlineStr">
        <is>
          <t>面格子付引違い窓</t>
        </is>
      </c>
      <c r="D713" s="42" t="inlineStr">
        <is>
          <t>SP-SL-GRILLE-V</t>
        </is>
      </c>
      <c r="E713" s="42" t="inlineStr">
        <is>
          <t>06909</t>
        </is>
      </c>
      <c r="F713" s="42" t="inlineStr">
        <is>
          <t>730</t>
        </is>
      </c>
      <c r="G713" s="42" t="inlineStr">
        <is>
          <t>970</t>
        </is>
      </c>
      <c r="H713" s="42" t="inlineStr">
        <is>
          <t>True</t>
        </is>
      </c>
      <c r="I713" s="42" t="inlineStr">
        <is>
          <t>ALLOWED</t>
        </is>
      </c>
      <c r="J713" s="42" t="inlineStr">
        <is>
          <t>DIRECT_OFFICIAL_STANDARD_ROW</t>
        </is>
      </c>
      <c r="K713" s="42" t="inlineStr">
        <is>
          <t>SDC0003156</t>
        </is>
      </c>
      <c r="L713" s="42" t="inlineStr">
        <is>
          <t>マド2枚建 (201910～)</t>
        </is>
      </c>
      <c r="M713" s="42" t="inlineStr">
        <is>
          <t>16</t>
        </is>
      </c>
      <c r="N713" s="42" t="inlineStr">
        <is>
          <t>06909</t>
        </is>
      </c>
      <c r="O713" s="42" t="inlineStr">
        <is>
          <t>防犯建物部品欄の30mil構成を規格呼称へ直接突合。</t>
        </is>
      </c>
    </row>
    <row r="714">
      <c r="A714" s="42" t="inlineStr">
        <is>
          <t>SZ-SL-000713</t>
        </is>
      </c>
      <c r="B714" s="42" t="inlineStr">
        <is>
          <t>WT-SL-MENKOSHI-HIKI</t>
        </is>
      </c>
      <c r="C714" s="42" t="inlineStr">
        <is>
          <t>面格子付引違い窓</t>
        </is>
      </c>
      <c r="D714" s="42" t="inlineStr">
        <is>
          <t>SP-SL-GRILLE-V</t>
        </is>
      </c>
      <c r="E714" s="42" t="inlineStr">
        <is>
          <t>07409</t>
        </is>
      </c>
      <c r="F714" s="42" t="inlineStr">
        <is>
          <t>780</t>
        </is>
      </c>
      <c r="G714" s="42" t="inlineStr">
        <is>
          <t>970</t>
        </is>
      </c>
      <c r="H714" s="42" t="inlineStr">
        <is>
          <t>True</t>
        </is>
      </c>
      <c r="I714" s="42" t="inlineStr">
        <is>
          <t>ALLOWED</t>
        </is>
      </c>
      <c r="J714" s="42" t="inlineStr">
        <is>
          <t>DIRECT_OFFICIAL_STANDARD_ROW</t>
        </is>
      </c>
      <c r="K714" s="42" t="inlineStr">
        <is>
          <t>SDC0003156</t>
        </is>
      </c>
      <c r="L714" s="42" t="inlineStr">
        <is>
          <t>マド2枚建 (201910～)</t>
        </is>
      </c>
      <c r="M714" s="42" t="inlineStr">
        <is>
          <t>20</t>
        </is>
      </c>
      <c r="N714" s="42" t="inlineStr">
        <is>
          <t>07409</t>
        </is>
      </c>
      <c r="O714" s="42" t="inlineStr">
        <is>
          <t>防犯建物部品欄の30mil構成を規格呼称へ直接突合。</t>
        </is>
      </c>
    </row>
    <row r="715">
      <c r="A715" s="42" t="inlineStr">
        <is>
          <t>SZ-SL-000714</t>
        </is>
      </c>
      <c r="B715" s="42" t="inlineStr">
        <is>
          <t>WT-SL-MENKOSHI-HIKI</t>
        </is>
      </c>
      <c r="C715" s="42" t="inlineStr">
        <is>
          <t>面格子付引違い窓</t>
        </is>
      </c>
      <c r="D715" s="42" t="inlineStr">
        <is>
          <t>SP-SL-GRILLE-V</t>
        </is>
      </c>
      <c r="E715" s="42" t="inlineStr">
        <is>
          <t>07809</t>
        </is>
      </c>
      <c r="F715" s="42" t="inlineStr">
        <is>
          <t>820</t>
        </is>
      </c>
      <c r="G715" s="42" t="inlineStr">
        <is>
          <t>970</t>
        </is>
      </c>
      <c r="H715" s="42" t="inlineStr">
        <is>
          <t>True</t>
        </is>
      </c>
      <c r="I715" s="42" t="inlineStr">
        <is>
          <t>ALLOWED</t>
        </is>
      </c>
      <c r="J715" s="42" t="inlineStr">
        <is>
          <t>DIRECT_OFFICIAL_STANDARD_ROW</t>
        </is>
      </c>
      <c r="K715" s="42" t="inlineStr">
        <is>
          <t>SDC0003156</t>
        </is>
      </c>
      <c r="L715" s="42" t="inlineStr">
        <is>
          <t>マド2枚建 (201910～)</t>
        </is>
      </c>
      <c r="M715" s="42" t="inlineStr">
        <is>
          <t>24</t>
        </is>
      </c>
      <c r="N715" s="42" t="inlineStr">
        <is>
          <t>07809</t>
        </is>
      </c>
      <c r="O715" s="42" t="inlineStr">
        <is>
          <t>防犯建物部品欄の30mil構成を規格呼称へ直接突合。</t>
        </is>
      </c>
    </row>
    <row r="716">
      <c r="A716" s="42" t="inlineStr">
        <is>
          <t>SZ-SL-000715</t>
        </is>
      </c>
      <c r="B716" s="42" t="inlineStr">
        <is>
          <t>WT-SL-MENKOSHI-HIKI</t>
        </is>
      </c>
      <c r="C716" s="42" t="inlineStr">
        <is>
          <t>面格子付引違い窓</t>
        </is>
      </c>
      <c r="D716" s="42" t="inlineStr">
        <is>
          <t>SP-SL-GRILLE-DIA</t>
        </is>
      </c>
      <c r="E716" s="42" t="inlineStr">
        <is>
          <t>08009</t>
        </is>
      </c>
      <c r="F716" s="42" t="inlineStr">
        <is>
          <t>845</t>
        </is>
      </c>
      <c r="G716" s="42" t="inlineStr">
        <is>
          <t>970</t>
        </is>
      </c>
      <c r="H716" s="42" t="inlineStr">
        <is>
          <t>True</t>
        </is>
      </c>
      <c r="I716" s="42" t="inlineStr">
        <is>
          <t>ALLOWED</t>
        </is>
      </c>
      <c r="J716" s="42" t="inlineStr">
        <is>
          <t>DIRECT_OFFICIAL_STANDARD_ROW</t>
        </is>
      </c>
      <c r="K716" s="42" t="inlineStr">
        <is>
          <t>SDC0003156</t>
        </is>
      </c>
      <c r="L716" s="42" t="inlineStr">
        <is>
          <t>マド2枚建 (201910～)</t>
        </is>
      </c>
      <c r="M716" s="42" t="inlineStr">
        <is>
          <t>27</t>
        </is>
      </c>
      <c r="N716" s="42" t="inlineStr">
        <is>
          <t>08009</t>
        </is>
      </c>
      <c r="O716" s="42" t="inlineStr">
        <is>
          <t>防犯建物部品欄の30mil構成を規格呼称へ直接突合。</t>
        </is>
      </c>
    </row>
    <row r="717">
      <c r="A717" s="42" t="inlineStr">
        <is>
          <t>SZ-SL-000716</t>
        </is>
      </c>
      <c r="B717" s="42" t="inlineStr">
        <is>
          <t>WT-SL-MENKOSHI-HIKI</t>
        </is>
      </c>
      <c r="C717" s="42" t="inlineStr">
        <is>
          <t>面格子付引違い窓</t>
        </is>
      </c>
      <c r="D717" s="42" t="inlineStr">
        <is>
          <t>SP-SL-GRILLE-DIA</t>
        </is>
      </c>
      <c r="E717" s="42" t="inlineStr">
        <is>
          <t>08309</t>
        </is>
      </c>
      <c r="F717" s="42" t="inlineStr">
        <is>
          <t>870</t>
        </is>
      </c>
      <c r="G717" s="42" t="inlineStr">
        <is>
          <t>970</t>
        </is>
      </c>
      <c r="H717" s="42" t="inlineStr">
        <is>
          <t>True</t>
        </is>
      </c>
      <c r="I717" s="42" t="inlineStr">
        <is>
          <t>ALLOWED</t>
        </is>
      </c>
      <c r="J717" s="42" t="inlineStr">
        <is>
          <t>DIRECT_OFFICIAL_STANDARD_ROW</t>
        </is>
      </c>
      <c r="K717" s="42" t="inlineStr">
        <is>
          <t>SDC0003156</t>
        </is>
      </c>
      <c r="L717" s="42" t="inlineStr">
        <is>
          <t>マド2枚建 (201910～)</t>
        </is>
      </c>
      <c r="M717" s="42" t="inlineStr">
        <is>
          <t>30</t>
        </is>
      </c>
      <c r="N717" s="42" t="inlineStr">
        <is>
          <t>08309</t>
        </is>
      </c>
      <c r="O717" s="42" t="inlineStr">
        <is>
          <t>防犯建物部品欄の30mil構成を規格呼称へ直接突合。</t>
        </is>
      </c>
    </row>
    <row r="718">
      <c r="A718" s="42" t="inlineStr">
        <is>
          <t>SZ-SL-000717</t>
        </is>
      </c>
      <c r="B718" s="42" t="inlineStr">
        <is>
          <t>WT-SL-MENKOSHI-HIKI</t>
        </is>
      </c>
      <c r="C718" s="42" t="inlineStr">
        <is>
          <t>面格子付引違い窓</t>
        </is>
      </c>
      <c r="D718" s="42" t="inlineStr">
        <is>
          <t>SP-SL-GRILLE-DIA</t>
        </is>
      </c>
      <c r="E718" s="42" t="inlineStr">
        <is>
          <t>11409</t>
        </is>
      </c>
      <c r="F718" s="42" t="inlineStr">
        <is>
          <t>1185</t>
        </is>
      </c>
      <c r="G718" s="42" t="inlineStr">
        <is>
          <t>970</t>
        </is>
      </c>
      <c r="H718" s="42" t="inlineStr">
        <is>
          <t>True</t>
        </is>
      </c>
      <c r="I718" s="42" t="inlineStr">
        <is>
          <t>ALLOWED</t>
        </is>
      </c>
      <c r="J718" s="42" t="inlineStr">
        <is>
          <t>DIRECT_OFFICIAL_STANDARD_ROW</t>
        </is>
      </c>
      <c r="K718" s="42" t="inlineStr">
        <is>
          <t>SDC0003156</t>
        </is>
      </c>
      <c r="L718" s="42" t="inlineStr">
        <is>
          <t>マド2枚建 (201910～)</t>
        </is>
      </c>
      <c r="M718" s="42" t="inlineStr">
        <is>
          <t>34</t>
        </is>
      </c>
      <c r="N718" s="42" t="inlineStr">
        <is>
          <t>11409</t>
        </is>
      </c>
      <c r="O718" s="42" t="inlineStr">
        <is>
          <t>防犯建物部品欄の30mil構成を規格呼称へ直接突合。</t>
        </is>
      </c>
    </row>
    <row r="719">
      <c r="A719" s="42" t="inlineStr">
        <is>
          <t>SZ-SL-000718</t>
        </is>
      </c>
      <c r="B719" s="42" t="inlineStr">
        <is>
          <t>WT-SL-MENKOSHI-HIKI</t>
        </is>
      </c>
      <c r="C719" s="42" t="inlineStr">
        <is>
          <t>面格子付引違い窓</t>
        </is>
      </c>
      <c r="D719" s="42" t="inlineStr">
        <is>
          <t>SP-SL-GRILLE-DIA</t>
        </is>
      </c>
      <c r="E719" s="42" t="inlineStr">
        <is>
          <t>11909</t>
        </is>
      </c>
      <c r="F719" s="42" t="inlineStr">
        <is>
          <t>1235</t>
        </is>
      </c>
      <c r="G719" s="42" t="inlineStr">
        <is>
          <t>970</t>
        </is>
      </c>
      <c r="H719" s="42" t="inlineStr">
        <is>
          <t>True</t>
        </is>
      </c>
      <c r="I719" s="42" t="inlineStr">
        <is>
          <t>ALLOWED</t>
        </is>
      </c>
      <c r="J719" s="42" t="inlineStr">
        <is>
          <t>DIRECT_OFFICIAL_STANDARD_ROW</t>
        </is>
      </c>
      <c r="K719" s="42" t="inlineStr">
        <is>
          <t>SDC0003156</t>
        </is>
      </c>
      <c r="L719" s="42" t="inlineStr">
        <is>
          <t>マド2枚建 (201910～)</t>
        </is>
      </c>
      <c r="M719" s="42" t="inlineStr">
        <is>
          <t>40</t>
        </is>
      </c>
      <c r="N719" s="42" t="inlineStr">
        <is>
          <t>11909</t>
        </is>
      </c>
      <c r="O719" s="42" t="inlineStr">
        <is>
          <t>防犯建物部品欄の30mil構成を規格呼称へ直接突合。</t>
        </is>
      </c>
    </row>
    <row r="720">
      <c r="A720" s="42" t="inlineStr">
        <is>
          <t>SZ-SL-000719</t>
        </is>
      </c>
      <c r="B720" s="42" t="inlineStr">
        <is>
          <t>WT-SL-MENKOSHI-HIKI</t>
        </is>
      </c>
      <c r="C720" s="42" t="inlineStr">
        <is>
          <t>面格子付引違い窓</t>
        </is>
      </c>
      <c r="D720" s="42" t="inlineStr">
        <is>
          <t>SP-SL-GRILLE-DIA</t>
        </is>
      </c>
      <c r="E720" s="42" t="inlineStr">
        <is>
          <t>12809</t>
        </is>
      </c>
      <c r="F720" s="42" t="inlineStr">
        <is>
          <t>1320</t>
        </is>
      </c>
      <c r="G720" s="42" t="inlineStr">
        <is>
          <t>970</t>
        </is>
      </c>
      <c r="H720" s="42" t="inlineStr">
        <is>
          <t>True</t>
        </is>
      </c>
      <c r="I720" s="42" t="inlineStr">
        <is>
          <t>ALLOWED</t>
        </is>
      </c>
      <c r="J720" s="42" t="inlineStr">
        <is>
          <t>DIRECT_OFFICIAL_STANDARD_ROW</t>
        </is>
      </c>
      <c r="K720" s="42" t="inlineStr">
        <is>
          <t>SDC0003156</t>
        </is>
      </c>
      <c r="L720" s="42" t="inlineStr">
        <is>
          <t>マド2枚建 (201910～)</t>
        </is>
      </c>
      <c r="M720" s="42" t="inlineStr">
        <is>
          <t>45</t>
        </is>
      </c>
      <c r="N720" s="42" t="inlineStr">
        <is>
          <t>12809</t>
        </is>
      </c>
      <c r="O720" s="42" t="inlineStr">
        <is>
          <t>防犯建物部品欄の30mil構成を規格呼称へ直接突合。</t>
        </is>
      </c>
    </row>
    <row r="721">
      <c r="A721" s="42" t="inlineStr">
        <is>
          <t>SZ-SL-000720</t>
        </is>
      </c>
      <c r="B721" s="42" t="inlineStr">
        <is>
          <t>WT-SL-MENKOSHI-HIKI</t>
        </is>
      </c>
      <c r="C721" s="42" t="inlineStr">
        <is>
          <t>面格子付引違い窓</t>
        </is>
      </c>
      <c r="D721" s="42" t="inlineStr">
        <is>
          <t>SP-SL-GRILLE-H</t>
        </is>
      </c>
      <c r="E721" s="42" t="inlineStr">
        <is>
          <t>08009</t>
        </is>
      </c>
      <c r="F721" s="42" t="inlineStr">
        <is>
          <t>845</t>
        </is>
      </c>
      <c r="G721" s="42" t="inlineStr">
        <is>
          <t>970</t>
        </is>
      </c>
      <c r="H721" s="42" t="inlineStr">
        <is>
          <t>True</t>
        </is>
      </c>
      <c r="I721" s="42" t="inlineStr">
        <is>
          <t>ALLOWED</t>
        </is>
      </c>
      <c r="J721" s="42" t="inlineStr">
        <is>
          <t>DIRECT_OFFICIAL_STANDARD_ROW</t>
        </is>
      </c>
      <c r="K721" s="42" t="inlineStr">
        <is>
          <t>SDC0003156</t>
        </is>
      </c>
      <c r="L721" s="42" t="inlineStr">
        <is>
          <t>マド2枚建 (201910～)</t>
        </is>
      </c>
      <c r="M721" s="42" t="inlineStr">
        <is>
          <t>27</t>
        </is>
      </c>
      <c r="N721" s="42" t="inlineStr">
        <is>
          <t>08009</t>
        </is>
      </c>
      <c r="O721" s="42" t="inlineStr">
        <is>
          <t>防犯建物部品欄の30mil構成を規格呼称へ直接突合。</t>
        </is>
      </c>
    </row>
    <row r="722">
      <c r="A722" s="42" t="inlineStr">
        <is>
          <t>SZ-SL-000721</t>
        </is>
      </c>
      <c r="B722" s="42" t="inlineStr">
        <is>
          <t>WT-SL-MENKOSHI-HIKI</t>
        </is>
      </c>
      <c r="C722" s="42" t="inlineStr">
        <is>
          <t>面格子付引違い窓</t>
        </is>
      </c>
      <c r="D722" s="42" t="inlineStr">
        <is>
          <t>SP-SL-GRILLE-H</t>
        </is>
      </c>
      <c r="E722" s="42" t="inlineStr">
        <is>
          <t>08309</t>
        </is>
      </c>
      <c r="F722" s="42" t="inlineStr">
        <is>
          <t>870</t>
        </is>
      </c>
      <c r="G722" s="42" t="inlineStr">
        <is>
          <t>970</t>
        </is>
      </c>
      <c r="H722" s="42" t="inlineStr">
        <is>
          <t>True</t>
        </is>
      </c>
      <c r="I722" s="42" t="inlineStr">
        <is>
          <t>ALLOWED</t>
        </is>
      </c>
      <c r="J722" s="42" t="inlineStr">
        <is>
          <t>DIRECT_OFFICIAL_STANDARD_ROW</t>
        </is>
      </c>
      <c r="K722" s="42" t="inlineStr">
        <is>
          <t>SDC0003156</t>
        </is>
      </c>
      <c r="L722" s="42" t="inlineStr">
        <is>
          <t>マド2枚建 (201910～)</t>
        </is>
      </c>
      <c r="M722" s="42" t="inlineStr">
        <is>
          <t>30</t>
        </is>
      </c>
      <c r="N722" s="42" t="inlineStr">
        <is>
          <t>08309</t>
        </is>
      </c>
      <c r="O722" s="42" t="inlineStr">
        <is>
          <t>防犯建物部品欄の30mil構成を規格呼称へ直接突合。</t>
        </is>
      </c>
    </row>
    <row r="723">
      <c r="A723" s="42" t="inlineStr">
        <is>
          <t>SZ-SL-000722</t>
        </is>
      </c>
      <c r="B723" s="42" t="inlineStr">
        <is>
          <t>WT-SL-MENKOSHI-HIKI</t>
        </is>
      </c>
      <c r="C723" s="42" t="inlineStr">
        <is>
          <t>面格子付引違い窓</t>
        </is>
      </c>
      <c r="D723" s="42" t="inlineStr">
        <is>
          <t>SP-SL-GRILLE-H</t>
        </is>
      </c>
      <c r="E723" s="42" t="inlineStr">
        <is>
          <t>11409</t>
        </is>
      </c>
      <c r="F723" s="42" t="inlineStr">
        <is>
          <t>1185</t>
        </is>
      </c>
      <c r="G723" s="42" t="inlineStr">
        <is>
          <t>970</t>
        </is>
      </c>
      <c r="H723" s="42" t="inlineStr">
        <is>
          <t>True</t>
        </is>
      </c>
      <c r="I723" s="42" t="inlineStr">
        <is>
          <t>ALLOWED</t>
        </is>
      </c>
      <c r="J723" s="42" t="inlineStr">
        <is>
          <t>DIRECT_OFFICIAL_STANDARD_ROW</t>
        </is>
      </c>
      <c r="K723" s="42" t="inlineStr">
        <is>
          <t>SDC0003156</t>
        </is>
      </c>
      <c r="L723" s="42" t="inlineStr">
        <is>
          <t>マド2枚建 (201910～)</t>
        </is>
      </c>
      <c r="M723" s="42" t="inlineStr">
        <is>
          <t>34</t>
        </is>
      </c>
      <c r="N723" s="42" t="inlineStr">
        <is>
          <t>11409</t>
        </is>
      </c>
      <c r="O723" s="42" t="inlineStr">
        <is>
          <t>防犯建物部品欄の30mil構成を規格呼称へ直接突合。</t>
        </is>
      </c>
    </row>
    <row r="724">
      <c r="A724" s="42" t="inlineStr">
        <is>
          <t>SZ-SL-000723</t>
        </is>
      </c>
      <c r="B724" s="42" t="inlineStr">
        <is>
          <t>WT-SL-MENKOSHI-HIKI</t>
        </is>
      </c>
      <c r="C724" s="42" t="inlineStr">
        <is>
          <t>面格子付引違い窓</t>
        </is>
      </c>
      <c r="D724" s="42" t="inlineStr">
        <is>
          <t>SP-SL-GRILLE-H</t>
        </is>
      </c>
      <c r="E724" s="42" t="inlineStr">
        <is>
          <t>11909</t>
        </is>
      </c>
      <c r="F724" s="42" t="inlineStr">
        <is>
          <t>1235</t>
        </is>
      </c>
      <c r="G724" s="42" t="inlineStr">
        <is>
          <t>970</t>
        </is>
      </c>
      <c r="H724" s="42" t="inlineStr">
        <is>
          <t>True</t>
        </is>
      </c>
      <c r="I724" s="42" t="inlineStr">
        <is>
          <t>ALLOWED</t>
        </is>
      </c>
      <c r="J724" s="42" t="inlineStr">
        <is>
          <t>DIRECT_OFFICIAL_STANDARD_ROW</t>
        </is>
      </c>
      <c r="K724" s="42" t="inlineStr">
        <is>
          <t>SDC0003156</t>
        </is>
      </c>
      <c r="L724" s="42" t="inlineStr">
        <is>
          <t>マド2枚建 (201910～)</t>
        </is>
      </c>
      <c r="M724" s="42" t="inlineStr">
        <is>
          <t>40</t>
        </is>
      </c>
      <c r="N724" s="42" t="inlineStr">
        <is>
          <t>11909</t>
        </is>
      </c>
      <c r="O724" s="42" t="inlineStr">
        <is>
          <t>防犯建物部品欄の30mil構成を規格呼称へ直接突合。</t>
        </is>
      </c>
    </row>
    <row r="725">
      <c r="A725" s="42" t="inlineStr">
        <is>
          <t>SZ-SL-000724</t>
        </is>
      </c>
      <c r="B725" s="42" t="inlineStr">
        <is>
          <t>WT-SL-MENKOSHI-HIKI</t>
        </is>
      </c>
      <c r="C725" s="42" t="inlineStr">
        <is>
          <t>面格子付引違い窓</t>
        </is>
      </c>
      <c r="D725" s="42" t="inlineStr">
        <is>
          <t>SP-SL-GRILLE-H</t>
        </is>
      </c>
      <c r="E725" s="42" t="inlineStr">
        <is>
          <t>12809</t>
        </is>
      </c>
      <c r="F725" s="42" t="inlineStr">
        <is>
          <t>1320</t>
        </is>
      </c>
      <c r="G725" s="42" t="inlineStr">
        <is>
          <t>970</t>
        </is>
      </c>
      <c r="H725" s="42" t="inlineStr">
        <is>
          <t>True</t>
        </is>
      </c>
      <c r="I725" s="42" t="inlineStr">
        <is>
          <t>ALLOWED</t>
        </is>
      </c>
      <c r="J725" s="42" t="inlineStr">
        <is>
          <t>DIRECT_OFFICIAL_STANDARD_ROW</t>
        </is>
      </c>
      <c r="K725" s="42" t="inlineStr">
        <is>
          <t>SDC0003156</t>
        </is>
      </c>
      <c r="L725" s="42" t="inlineStr">
        <is>
          <t>マド2枚建 (201910～)</t>
        </is>
      </c>
      <c r="M725" s="42" t="inlineStr">
        <is>
          <t>45</t>
        </is>
      </c>
      <c r="N725" s="42" t="inlineStr">
        <is>
          <t>12809</t>
        </is>
      </c>
      <c r="O725" s="42" t="inlineStr">
        <is>
          <t>防犯建物部品欄の30mil構成を規格呼称へ直接突合。</t>
        </is>
      </c>
    </row>
    <row r="726">
      <c r="A726" s="42" t="inlineStr">
        <is>
          <t>SZ-SL-000725</t>
        </is>
      </c>
      <c r="B726" s="42" t="inlineStr">
        <is>
          <t>WT-SL-MENKOSHI-HIKI</t>
        </is>
      </c>
      <c r="C726" s="42" t="inlineStr">
        <is>
          <t>面格子付引違い窓</t>
        </is>
      </c>
      <c r="D726" s="42" t="inlineStr">
        <is>
          <t>SP-SL-GRILLE-IGETA</t>
        </is>
      </c>
      <c r="E726" s="42" t="inlineStr">
        <is>
          <t>08009</t>
        </is>
      </c>
      <c r="F726" s="42" t="inlineStr">
        <is>
          <t>845</t>
        </is>
      </c>
      <c r="G726" s="42" t="inlineStr">
        <is>
          <t>970</t>
        </is>
      </c>
      <c r="H726" s="42" t="inlineStr">
        <is>
          <t>True</t>
        </is>
      </c>
      <c r="I726" s="42" t="inlineStr">
        <is>
          <t>ALLOWED</t>
        </is>
      </c>
      <c r="J726" s="42" t="inlineStr">
        <is>
          <t>DIRECT_OFFICIAL_STANDARD_ROW</t>
        </is>
      </c>
      <c r="K726" s="42" t="inlineStr">
        <is>
          <t>SDC0003156</t>
        </is>
      </c>
      <c r="L726" s="42" t="inlineStr">
        <is>
          <t>マド2枚建 (201910～)</t>
        </is>
      </c>
      <c r="M726" s="42" t="inlineStr">
        <is>
          <t>27</t>
        </is>
      </c>
      <c r="N726" s="42" t="inlineStr">
        <is>
          <t>08009</t>
        </is>
      </c>
      <c r="O726" s="42" t="inlineStr">
        <is>
          <t>防犯建物部品欄の30mil構成を規格呼称へ直接突合。</t>
        </is>
      </c>
    </row>
    <row r="727">
      <c r="A727" s="42" t="inlineStr">
        <is>
          <t>SZ-SL-000726</t>
        </is>
      </c>
      <c r="B727" s="42" t="inlineStr">
        <is>
          <t>WT-SL-MENKOSHI-HIKI</t>
        </is>
      </c>
      <c r="C727" s="42" t="inlineStr">
        <is>
          <t>面格子付引違い窓</t>
        </is>
      </c>
      <c r="D727" s="42" t="inlineStr">
        <is>
          <t>SP-SL-GRILLE-IGETA</t>
        </is>
      </c>
      <c r="E727" s="42" t="inlineStr">
        <is>
          <t>08309</t>
        </is>
      </c>
      <c r="F727" s="42" t="inlineStr">
        <is>
          <t>870</t>
        </is>
      </c>
      <c r="G727" s="42" t="inlineStr">
        <is>
          <t>970</t>
        </is>
      </c>
      <c r="H727" s="42" t="inlineStr">
        <is>
          <t>True</t>
        </is>
      </c>
      <c r="I727" s="42" t="inlineStr">
        <is>
          <t>ALLOWED</t>
        </is>
      </c>
      <c r="J727" s="42" t="inlineStr">
        <is>
          <t>DIRECT_OFFICIAL_STANDARD_ROW</t>
        </is>
      </c>
      <c r="K727" s="42" t="inlineStr">
        <is>
          <t>SDC0003156</t>
        </is>
      </c>
      <c r="L727" s="42" t="inlineStr">
        <is>
          <t>マド2枚建 (201910～)</t>
        </is>
      </c>
      <c r="M727" s="42" t="inlineStr">
        <is>
          <t>30</t>
        </is>
      </c>
      <c r="N727" s="42" t="inlineStr">
        <is>
          <t>08309</t>
        </is>
      </c>
      <c r="O727" s="42" t="inlineStr">
        <is>
          <t>防犯建物部品欄の30mil構成を規格呼称へ直接突合。</t>
        </is>
      </c>
    </row>
    <row r="728">
      <c r="A728" s="42" t="inlineStr">
        <is>
          <t>SZ-SL-000727</t>
        </is>
      </c>
      <c r="B728" s="42" t="inlineStr">
        <is>
          <t>WT-SL-MENKOSHI-HIKI</t>
        </is>
      </c>
      <c r="C728" s="42" t="inlineStr">
        <is>
          <t>面格子付引違い窓</t>
        </is>
      </c>
      <c r="D728" s="42" t="inlineStr">
        <is>
          <t>SP-SL-GRILLE-IGETA</t>
        </is>
      </c>
      <c r="E728" s="42" t="inlineStr">
        <is>
          <t>11409</t>
        </is>
      </c>
      <c r="F728" s="42" t="inlineStr">
        <is>
          <t>1185</t>
        </is>
      </c>
      <c r="G728" s="42" t="inlineStr">
        <is>
          <t>970</t>
        </is>
      </c>
      <c r="H728" s="42" t="inlineStr">
        <is>
          <t>True</t>
        </is>
      </c>
      <c r="I728" s="42" t="inlineStr">
        <is>
          <t>ALLOWED</t>
        </is>
      </c>
      <c r="J728" s="42" t="inlineStr">
        <is>
          <t>DIRECT_OFFICIAL_STANDARD_ROW</t>
        </is>
      </c>
      <c r="K728" s="42" t="inlineStr">
        <is>
          <t>SDC0003156</t>
        </is>
      </c>
      <c r="L728" s="42" t="inlineStr">
        <is>
          <t>マド2枚建 (201910～)</t>
        </is>
      </c>
      <c r="M728" s="42" t="inlineStr">
        <is>
          <t>34</t>
        </is>
      </c>
      <c r="N728" s="42" t="inlineStr">
        <is>
          <t>11409</t>
        </is>
      </c>
      <c r="O728" s="42" t="inlineStr">
        <is>
          <t>防犯建物部品欄の30mil構成を規格呼称へ直接突合。</t>
        </is>
      </c>
    </row>
    <row r="729">
      <c r="A729" s="42" t="inlineStr">
        <is>
          <t>SZ-SL-000728</t>
        </is>
      </c>
      <c r="B729" s="42" t="inlineStr">
        <is>
          <t>WT-SL-MENKOSHI-HIKI</t>
        </is>
      </c>
      <c r="C729" s="42" t="inlineStr">
        <is>
          <t>面格子付引違い窓</t>
        </is>
      </c>
      <c r="D729" s="42" t="inlineStr">
        <is>
          <t>SP-SL-GRILLE-IGETA</t>
        </is>
      </c>
      <c r="E729" s="42" t="inlineStr">
        <is>
          <t>11909</t>
        </is>
      </c>
      <c r="F729" s="42" t="inlineStr">
        <is>
          <t>1235</t>
        </is>
      </c>
      <c r="G729" s="42" t="inlineStr">
        <is>
          <t>970</t>
        </is>
      </c>
      <c r="H729" s="42" t="inlineStr">
        <is>
          <t>True</t>
        </is>
      </c>
      <c r="I729" s="42" t="inlineStr">
        <is>
          <t>ALLOWED</t>
        </is>
      </c>
      <c r="J729" s="42" t="inlineStr">
        <is>
          <t>DIRECT_OFFICIAL_STANDARD_ROW</t>
        </is>
      </c>
      <c r="K729" s="42" t="inlineStr">
        <is>
          <t>SDC0003156</t>
        </is>
      </c>
      <c r="L729" s="42" t="inlineStr">
        <is>
          <t>マド2枚建 (201910～)</t>
        </is>
      </c>
      <c r="M729" s="42" t="inlineStr">
        <is>
          <t>40</t>
        </is>
      </c>
      <c r="N729" s="42" t="inlineStr">
        <is>
          <t>11909</t>
        </is>
      </c>
      <c r="O729" s="42" t="inlineStr">
        <is>
          <t>防犯建物部品欄の30mil構成を規格呼称へ直接突合。</t>
        </is>
      </c>
    </row>
    <row r="730">
      <c r="A730" s="42" t="inlineStr">
        <is>
          <t>SZ-SL-000729</t>
        </is>
      </c>
      <c r="B730" s="42" t="inlineStr">
        <is>
          <t>WT-SL-MENKOSHI-HIKI</t>
        </is>
      </c>
      <c r="C730" s="42" t="inlineStr">
        <is>
          <t>面格子付引違い窓</t>
        </is>
      </c>
      <c r="D730" s="42" t="inlineStr">
        <is>
          <t>SP-SL-GRILLE-IGETA</t>
        </is>
      </c>
      <c r="E730" s="42" t="inlineStr">
        <is>
          <t>12809</t>
        </is>
      </c>
      <c r="F730" s="42" t="inlineStr">
        <is>
          <t>1320</t>
        </is>
      </c>
      <c r="G730" s="42" t="inlineStr">
        <is>
          <t>970</t>
        </is>
      </c>
      <c r="H730" s="42" t="inlineStr">
        <is>
          <t>True</t>
        </is>
      </c>
      <c r="I730" s="42" t="inlineStr">
        <is>
          <t>ALLOWED</t>
        </is>
      </c>
      <c r="J730" s="42" t="inlineStr">
        <is>
          <t>DIRECT_OFFICIAL_STANDARD_ROW</t>
        </is>
      </c>
      <c r="K730" s="42" t="inlineStr">
        <is>
          <t>SDC0003156</t>
        </is>
      </c>
      <c r="L730" s="42" t="inlineStr">
        <is>
          <t>マド2枚建 (201910～)</t>
        </is>
      </c>
      <c r="M730" s="42" t="inlineStr">
        <is>
          <t>45</t>
        </is>
      </c>
      <c r="N730" s="42" t="inlineStr">
        <is>
          <t>12809</t>
        </is>
      </c>
      <c r="O730" s="42" t="inlineStr">
        <is>
          <t>防犯建物部品欄の30mil構成を規格呼称へ直接突合。</t>
        </is>
      </c>
    </row>
    <row r="731">
      <c r="A731" s="42" t="inlineStr">
        <is>
          <t>SZ-SL-000730</t>
        </is>
      </c>
      <c r="B731" s="42" t="inlineStr">
        <is>
          <t>WT-SL-MENKOSHI-HIKI</t>
        </is>
      </c>
      <c r="C731" s="42" t="inlineStr">
        <is>
          <t>面格子付引違い窓</t>
        </is>
      </c>
      <c r="D731" s="42" t="inlineStr">
        <is>
          <t>SP-SL-GRILLE-V</t>
        </is>
      </c>
      <c r="E731" s="42" t="inlineStr">
        <is>
          <t>08009</t>
        </is>
      </c>
      <c r="F731" s="42" t="inlineStr">
        <is>
          <t>845</t>
        </is>
      </c>
      <c r="G731" s="42" t="inlineStr">
        <is>
          <t>970</t>
        </is>
      </c>
      <c r="H731" s="42" t="inlineStr">
        <is>
          <t>True</t>
        </is>
      </c>
      <c r="I731" s="42" t="inlineStr">
        <is>
          <t>ALLOWED</t>
        </is>
      </c>
      <c r="J731" s="42" t="inlineStr">
        <is>
          <t>DIRECT_OFFICIAL_STANDARD_ROW</t>
        </is>
      </c>
      <c r="K731" s="42" t="inlineStr">
        <is>
          <t>SDC0003156</t>
        </is>
      </c>
      <c r="L731" s="42" t="inlineStr">
        <is>
          <t>マド2枚建 (201910～)</t>
        </is>
      </c>
      <c r="M731" s="42" t="inlineStr">
        <is>
          <t>27</t>
        </is>
      </c>
      <c r="N731" s="42" t="inlineStr">
        <is>
          <t>08009</t>
        </is>
      </c>
      <c r="O731" s="42" t="inlineStr">
        <is>
          <t>防犯建物部品欄の30mil構成を規格呼称へ直接突合。</t>
        </is>
      </c>
    </row>
    <row r="732">
      <c r="A732" s="42" t="inlineStr">
        <is>
          <t>SZ-SL-000731</t>
        </is>
      </c>
      <c r="B732" s="42" t="inlineStr">
        <is>
          <t>WT-SL-MENKOSHI-HIKI</t>
        </is>
      </c>
      <c r="C732" s="42" t="inlineStr">
        <is>
          <t>面格子付引違い窓</t>
        </is>
      </c>
      <c r="D732" s="42" t="inlineStr">
        <is>
          <t>SP-SL-GRILLE-V</t>
        </is>
      </c>
      <c r="E732" s="42" t="inlineStr">
        <is>
          <t>08309</t>
        </is>
      </c>
      <c r="F732" s="42" t="inlineStr">
        <is>
          <t>870</t>
        </is>
      </c>
      <c r="G732" s="42" t="inlineStr">
        <is>
          <t>970</t>
        </is>
      </c>
      <c r="H732" s="42" t="inlineStr">
        <is>
          <t>True</t>
        </is>
      </c>
      <c r="I732" s="42" t="inlineStr">
        <is>
          <t>ALLOWED</t>
        </is>
      </c>
      <c r="J732" s="42" t="inlineStr">
        <is>
          <t>DIRECT_OFFICIAL_STANDARD_ROW</t>
        </is>
      </c>
      <c r="K732" s="42" t="inlineStr">
        <is>
          <t>SDC0003156</t>
        </is>
      </c>
      <c r="L732" s="42" t="inlineStr">
        <is>
          <t>マド2枚建 (201910～)</t>
        </is>
      </c>
      <c r="M732" s="42" t="inlineStr">
        <is>
          <t>30</t>
        </is>
      </c>
      <c r="N732" s="42" t="inlineStr">
        <is>
          <t>08309</t>
        </is>
      </c>
      <c r="O732" s="42" t="inlineStr">
        <is>
          <t>防犯建物部品欄の30mil構成を規格呼称へ直接突合。</t>
        </is>
      </c>
    </row>
    <row r="733">
      <c r="A733" s="42" t="inlineStr">
        <is>
          <t>SZ-SL-000732</t>
        </is>
      </c>
      <c r="B733" s="42" t="inlineStr">
        <is>
          <t>WT-SL-MENKOSHI-HIKI</t>
        </is>
      </c>
      <c r="C733" s="42" t="inlineStr">
        <is>
          <t>面格子付引違い窓</t>
        </is>
      </c>
      <c r="D733" s="42" t="inlineStr">
        <is>
          <t>SP-SL-GRILLE-V</t>
        </is>
      </c>
      <c r="E733" s="42" t="inlineStr">
        <is>
          <t>11409</t>
        </is>
      </c>
      <c r="F733" s="42" t="inlineStr">
        <is>
          <t>1185</t>
        </is>
      </c>
      <c r="G733" s="42" t="inlineStr">
        <is>
          <t>970</t>
        </is>
      </c>
      <c r="H733" s="42" t="inlineStr">
        <is>
          <t>True</t>
        </is>
      </c>
      <c r="I733" s="42" t="inlineStr">
        <is>
          <t>ALLOWED</t>
        </is>
      </c>
      <c r="J733" s="42" t="inlineStr">
        <is>
          <t>DIRECT_OFFICIAL_STANDARD_ROW</t>
        </is>
      </c>
      <c r="K733" s="42" t="inlineStr">
        <is>
          <t>SDC0003156</t>
        </is>
      </c>
      <c r="L733" s="42" t="inlineStr">
        <is>
          <t>マド2枚建 (201910～)</t>
        </is>
      </c>
      <c r="M733" s="42" t="inlineStr">
        <is>
          <t>34</t>
        </is>
      </c>
      <c r="N733" s="42" t="inlineStr">
        <is>
          <t>11409</t>
        </is>
      </c>
      <c r="O733" s="42" t="inlineStr">
        <is>
          <t>防犯建物部品欄の30mil構成を規格呼称へ直接突合。</t>
        </is>
      </c>
    </row>
    <row r="734">
      <c r="A734" s="42" t="inlineStr">
        <is>
          <t>SZ-SL-000733</t>
        </is>
      </c>
      <c r="B734" s="42" t="inlineStr">
        <is>
          <t>WT-SL-MENKOSHI-HIKI</t>
        </is>
      </c>
      <c r="C734" s="42" t="inlineStr">
        <is>
          <t>面格子付引違い窓</t>
        </is>
      </c>
      <c r="D734" s="42" t="inlineStr">
        <is>
          <t>SP-SL-GRILLE-V</t>
        </is>
      </c>
      <c r="E734" s="42" t="inlineStr">
        <is>
          <t>11909</t>
        </is>
      </c>
      <c r="F734" s="42" t="inlineStr">
        <is>
          <t>1235</t>
        </is>
      </c>
      <c r="G734" s="42" t="inlineStr">
        <is>
          <t>970</t>
        </is>
      </c>
      <c r="H734" s="42" t="inlineStr">
        <is>
          <t>True</t>
        </is>
      </c>
      <c r="I734" s="42" t="inlineStr">
        <is>
          <t>ALLOWED</t>
        </is>
      </c>
      <c r="J734" s="42" t="inlineStr">
        <is>
          <t>DIRECT_OFFICIAL_STANDARD_ROW</t>
        </is>
      </c>
      <c r="K734" s="42" t="inlineStr">
        <is>
          <t>SDC0003156</t>
        </is>
      </c>
      <c r="L734" s="42" t="inlineStr">
        <is>
          <t>マド2枚建 (201910～)</t>
        </is>
      </c>
      <c r="M734" s="42" t="inlineStr">
        <is>
          <t>40</t>
        </is>
      </c>
      <c r="N734" s="42" t="inlineStr">
        <is>
          <t>11909</t>
        </is>
      </c>
      <c r="O734" s="42" t="inlineStr">
        <is>
          <t>防犯建物部品欄の30mil構成を規格呼称へ直接突合。</t>
        </is>
      </c>
    </row>
    <row r="735">
      <c r="A735" s="42" t="inlineStr">
        <is>
          <t>SZ-SL-000734</t>
        </is>
      </c>
      <c r="B735" s="42" t="inlineStr">
        <is>
          <t>WT-SL-MENKOSHI-HIKI</t>
        </is>
      </c>
      <c r="C735" s="42" t="inlineStr">
        <is>
          <t>面格子付引違い窓</t>
        </is>
      </c>
      <c r="D735" s="42" t="inlineStr">
        <is>
          <t>SP-SL-GRILLE-V</t>
        </is>
      </c>
      <c r="E735" s="42" t="inlineStr">
        <is>
          <t>12809</t>
        </is>
      </c>
      <c r="F735" s="42" t="inlineStr">
        <is>
          <t>1320</t>
        </is>
      </c>
      <c r="G735" s="42" t="inlineStr">
        <is>
          <t>970</t>
        </is>
      </c>
      <c r="H735" s="42" t="inlineStr">
        <is>
          <t>True</t>
        </is>
      </c>
      <c r="I735" s="42" t="inlineStr">
        <is>
          <t>ALLOWED</t>
        </is>
      </c>
      <c r="J735" s="42" t="inlineStr">
        <is>
          <t>DIRECT_OFFICIAL_STANDARD_ROW</t>
        </is>
      </c>
      <c r="K735" s="42" t="inlineStr">
        <is>
          <t>SDC0003156</t>
        </is>
      </c>
      <c r="L735" s="42" t="inlineStr">
        <is>
          <t>マド2枚建 (201910～)</t>
        </is>
      </c>
      <c r="M735" s="42" t="inlineStr">
        <is>
          <t>45</t>
        </is>
      </c>
      <c r="N735" s="42" t="inlineStr">
        <is>
          <t>12809</t>
        </is>
      </c>
      <c r="O735" s="42" t="inlineStr">
        <is>
          <t>防犯建物部品欄の30mil構成を規格呼称へ直接突合。</t>
        </is>
      </c>
    </row>
    <row r="736">
      <c r="A736" s="42" t="inlineStr">
        <is>
          <t>SZ-SL-000735</t>
        </is>
      </c>
      <c r="B736" s="42" t="inlineStr">
        <is>
          <t>WT-SL-MENKOSHI-HIKI</t>
        </is>
      </c>
      <c r="C736" s="42" t="inlineStr">
        <is>
          <t>面格子付引違い窓</t>
        </is>
      </c>
      <c r="D736" s="42" t="inlineStr">
        <is>
          <t>SP-SL-GRILLE-DIA</t>
        </is>
      </c>
      <c r="E736" s="42" t="inlineStr">
        <is>
          <t>13309</t>
        </is>
      </c>
      <c r="F736" s="42" t="inlineStr">
        <is>
          <t>1370</t>
        </is>
      </c>
      <c r="G736" s="42" t="inlineStr">
        <is>
          <t>970</t>
        </is>
      </c>
      <c r="H736" s="42" t="inlineStr">
        <is>
          <t>True</t>
        </is>
      </c>
      <c r="I736" s="42" t="inlineStr">
        <is>
          <t>ALLOWED</t>
        </is>
      </c>
      <c r="J736" s="42" t="inlineStr">
        <is>
          <t>DIRECT_OFFICIAL_STANDARD_ROW</t>
        </is>
      </c>
      <c r="K736" s="42" t="inlineStr">
        <is>
          <t>SDC0003156</t>
        </is>
      </c>
      <c r="L736" s="42" t="inlineStr">
        <is>
          <t>マド2枚建 (201910～)</t>
        </is>
      </c>
      <c r="M736" s="42" t="inlineStr">
        <is>
          <t>50</t>
        </is>
      </c>
      <c r="N736" s="42" t="inlineStr">
        <is>
          <t>13309</t>
        </is>
      </c>
      <c r="O736" s="42" t="inlineStr">
        <is>
          <t>防犯建物部品欄の30mil構成を規格呼称へ直接突合。</t>
        </is>
      </c>
    </row>
    <row r="737">
      <c r="A737" s="42" t="inlineStr">
        <is>
          <t>SZ-SL-000736</t>
        </is>
      </c>
      <c r="B737" s="42" t="inlineStr">
        <is>
          <t>WT-SL-MENKOSHI-HIKI</t>
        </is>
      </c>
      <c r="C737" s="42" t="inlineStr">
        <is>
          <t>面格子付引違い窓</t>
        </is>
      </c>
      <c r="D737" s="42" t="inlineStr">
        <is>
          <t>SP-SL-GRILLE-DIA</t>
        </is>
      </c>
      <c r="E737" s="42" t="inlineStr">
        <is>
          <t>15009</t>
        </is>
      </c>
      <c r="F737" s="42" t="inlineStr">
        <is>
          <t>1540</t>
        </is>
      </c>
      <c r="G737" s="42" t="inlineStr">
        <is>
          <t>970</t>
        </is>
      </c>
      <c r="H737" s="42" t="inlineStr">
        <is>
          <t>True</t>
        </is>
      </c>
      <c r="I737" s="42" t="inlineStr">
        <is>
          <t>ALLOWED</t>
        </is>
      </c>
      <c r="J737" s="42" t="inlineStr">
        <is>
          <t>DIRECT_OFFICIAL_STANDARD_ROW</t>
        </is>
      </c>
      <c r="K737" s="42" t="inlineStr">
        <is>
          <t>SDC0003156</t>
        </is>
      </c>
      <c r="L737" s="42" t="inlineStr">
        <is>
          <t>マド2枚建 (201910～)</t>
        </is>
      </c>
      <c r="M737" s="42" t="inlineStr">
        <is>
          <t>55</t>
        </is>
      </c>
      <c r="N737" s="42" t="inlineStr">
        <is>
          <t>15009</t>
        </is>
      </c>
      <c r="O737" s="42" t="inlineStr">
        <is>
          <t>防犯建物部品欄の30mil構成を規格呼称へ直接突合。</t>
        </is>
      </c>
    </row>
    <row r="738">
      <c r="A738" s="42" t="inlineStr">
        <is>
          <t>SZ-SL-000737</t>
        </is>
      </c>
      <c r="B738" s="42" t="inlineStr">
        <is>
          <t>WT-SL-MENKOSHI-HIKI</t>
        </is>
      </c>
      <c r="C738" s="42" t="inlineStr">
        <is>
          <t>面格子付引違い窓</t>
        </is>
      </c>
      <c r="D738" s="42" t="inlineStr">
        <is>
          <t>SP-SL-GRILLE-DIA</t>
        </is>
      </c>
      <c r="E738" s="42" t="inlineStr">
        <is>
          <t>16009</t>
        </is>
      </c>
      <c r="F738" s="42" t="inlineStr">
        <is>
          <t>1640</t>
        </is>
      </c>
      <c r="G738" s="42" t="inlineStr">
        <is>
          <t>970</t>
        </is>
      </c>
      <c r="H738" s="42" t="inlineStr">
        <is>
          <t>True</t>
        </is>
      </c>
      <c r="I738" s="42" t="inlineStr">
        <is>
          <t>ALLOWED</t>
        </is>
      </c>
      <c r="J738" s="42" t="inlineStr">
        <is>
          <t>DIRECT_OFFICIAL_STANDARD_ROW</t>
        </is>
      </c>
      <c r="K738" s="42" t="inlineStr">
        <is>
          <t>SDC0003156</t>
        </is>
      </c>
      <c r="L738" s="42" t="inlineStr">
        <is>
          <t>マド2枚建 (201910～)</t>
        </is>
      </c>
      <c r="M738" s="42" t="inlineStr">
        <is>
          <t>66</t>
        </is>
      </c>
      <c r="N738" s="42" t="inlineStr">
        <is>
          <t>16009</t>
        </is>
      </c>
      <c r="O738" s="42" t="inlineStr">
        <is>
          <t>防犯建物部品欄の30mil構成を規格呼称へ直接突合。</t>
        </is>
      </c>
    </row>
    <row r="739">
      <c r="A739" s="42" t="inlineStr">
        <is>
          <t>SZ-SL-000738</t>
        </is>
      </c>
      <c r="B739" s="42" t="inlineStr">
        <is>
          <t>WT-SL-MENKOSHI-HIKI</t>
        </is>
      </c>
      <c r="C739" s="42" t="inlineStr">
        <is>
          <t>面格子付引違い窓</t>
        </is>
      </c>
      <c r="D739" s="42" t="inlineStr">
        <is>
          <t>SP-SL-GRILLE-DIA</t>
        </is>
      </c>
      <c r="E739" s="42" t="inlineStr">
        <is>
          <t>16509</t>
        </is>
      </c>
      <c r="F739" s="42" t="inlineStr">
        <is>
          <t>1690</t>
        </is>
      </c>
      <c r="G739" s="42" t="inlineStr">
        <is>
          <t>970</t>
        </is>
      </c>
      <c r="H739" s="42" t="inlineStr">
        <is>
          <t>True</t>
        </is>
      </c>
      <c r="I739" s="42" t="inlineStr">
        <is>
          <t>ALLOWED</t>
        </is>
      </c>
      <c r="J739" s="42" t="inlineStr">
        <is>
          <t>DIRECT_OFFICIAL_STANDARD_ROW</t>
        </is>
      </c>
      <c r="K739" s="42" t="inlineStr">
        <is>
          <t>SDC0003156</t>
        </is>
      </c>
      <c r="L739" s="42" t="inlineStr">
        <is>
          <t>マド2枚建 (201910～)</t>
        </is>
      </c>
      <c r="M739" s="42" t="inlineStr">
        <is>
          <t>73</t>
        </is>
      </c>
      <c r="N739" s="42" t="inlineStr">
        <is>
          <t>16509</t>
        </is>
      </c>
      <c r="O739" s="42" t="inlineStr">
        <is>
          <t>防犯建物部品欄の30mil構成を規格呼称へ直接突合。</t>
        </is>
      </c>
    </row>
    <row r="740">
      <c r="A740" s="42" t="inlineStr">
        <is>
          <t>SZ-SL-000739</t>
        </is>
      </c>
      <c r="B740" s="42" t="inlineStr">
        <is>
          <t>WT-SL-MENKOSHI-HIKI</t>
        </is>
      </c>
      <c r="C740" s="42" t="inlineStr">
        <is>
          <t>面格子付引違い窓</t>
        </is>
      </c>
      <c r="D740" s="42" t="inlineStr">
        <is>
          <t>SP-SL-GRILLE-H</t>
        </is>
      </c>
      <c r="E740" s="42" t="inlineStr">
        <is>
          <t>13309</t>
        </is>
      </c>
      <c r="F740" s="42" t="inlineStr">
        <is>
          <t>1370</t>
        </is>
      </c>
      <c r="G740" s="42" t="inlineStr">
        <is>
          <t>970</t>
        </is>
      </c>
      <c r="H740" s="42" t="inlineStr">
        <is>
          <t>True</t>
        </is>
      </c>
      <c r="I740" s="42" t="inlineStr">
        <is>
          <t>ALLOWED</t>
        </is>
      </c>
      <c r="J740" s="42" t="inlineStr">
        <is>
          <t>DIRECT_OFFICIAL_STANDARD_ROW</t>
        </is>
      </c>
      <c r="K740" s="42" t="inlineStr">
        <is>
          <t>SDC0003156</t>
        </is>
      </c>
      <c r="L740" s="42" t="inlineStr">
        <is>
          <t>マド2枚建 (201910～)</t>
        </is>
      </c>
      <c r="M740" s="42" t="inlineStr">
        <is>
          <t>50</t>
        </is>
      </c>
      <c r="N740" s="42" t="inlineStr">
        <is>
          <t>13309</t>
        </is>
      </c>
      <c r="O740" s="42" t="inlineStr">
        <is>
          <t>防犯建物部品欄の30mil構成を規格呼称へ直接突合。</t>
        </is>
      </c>
    </row>
    <row r="741">
      <c r="A741" s="42" t="inlineStr">
        <is>
          <t>SZ-SL-000740</t>
        </is>
      </c>
      <c r="B741" s="42" t="inlineStr">
        <is>
          <t>WT-SL-MENKOSHI-HIKI</t>
        </is>
      </c>
      <c r="C741" s="42" t="inlineStr">
        <is>
          <t>面格子付引違い窓</t>
        </is>
      </c>
      <c r="D741" s="42" t="inlineStr">
        <is>
          <t>SP-SL-GRILLE-H</t>
        </is>
      </c>
      <c r="E741" s="42" t="inlineStr">
        <is>
          <t>15009</t>
        </is>
      </c>
      <c r="F741" s="42" t="inlineStr">
        <is>
          <t>1540</t>
        </is>
      </c>
      <c r="G741" s="42" t="inlineStr">
        <is>
          <t>970</t>
        </is>
      </c>
      <c r="H741" s="42" t="inlineStr">
        <is>
          <t>False</t>
        </is>
      </c>
      <c r="I741" s="42" t="inlineStr">
        <is>
          <t>ALLOWED</t>
        </is>
      </c>
      <c r="J741" s="42" t="inlineStr">
        <is>
          <t>DIRECT_OFFICIAL_STANDARD_ROW</t>
        </is>
      </c>
      <c r="K741" s="42" t="inlineStr">
        <is>
          <t>SDC0003156</t>
        </is>
      </c>
      <c r="L741" s="42" t="inlineStr">
        <is>
          <t>マド2枚建 (201910～)</t>
        </is>
      </c>
      <c r="M741" s="42" t="inlineStr">
        <is>
          <t>55</t>
        </is>
      </c>
      <c r="N741" s="42" t="inlineStr">
        <is>
          <t>15009</t>
        </is>
      </c>
      <c r="O741" s="42" t="inlineStr">
        <is>
          <t>防犯建物部品欄の30mil構成を規格呼称へ直接突合。</t>
        </is>
      </c>
    </row>
    <row r="742">
      <c r="A742" s="42" t="inlineStr">
        <is>
          <t>SZ-SL-000741</t>
        </is>
      </c>
      <c r="B742" s="42" t="inlineStr">
        <is>
          <t>WT-SL-MENKOSHI-HIKI</t>
        </is>
      </c>
      <c r="C742" s="42" t="inlineStr">
        <is>
          <t>面格子付引違い窓</t>
        </is>
      </c>
      <c r="D742" s="42" t="inlineStr">
        <is>
          <t>SP-SL-GRILLE-H</t>
        </is>
      </c>
      <c r="E742" s="42" t="inlineStr">
        <is>
          <t>16009</t>
        </is>
      </c>
      <c r="F742" s="42" t="inlineStr">
        <is>
          <t>1640</t>
        </is>
      </c>
      <c r="G742" s="42" t="inlineStr">
        <is>
          <t>970</t>
        </is>
      </c>
      <c r="H742" s="42" t="inlineStr">
        <is>
          <t>False</t>
        </is>
      </c>
      <c r="I742" s="42" t="inlineStr">
        <is>
          <t>ALLOWED</t>
        </is>
      </c>
      <c r="J742" s="42" t="inlineStr">
        <is>
          <t>DIRECT_OFFICIAL_STANDARD_ROW</t>
        </is>
      </c>
      <c r="K742" s="42" t="inlineStr">
        <is>
          <t>SDC0003156</t>
        </is>
      </c>
      <c r="L742" s="42" t="inlineStr">
        <is>
          <t>マド2枚建 (201910～)</t>
        </is>
      </c>
      <c r="M742" s="42" t="inlineStr">
        <is>
          <t>66</t>
        </is>
      </c>
      <c r="N742" s="42" t="inlineStr">
        <is>
          <t>16009</t>
        </is>
      </c>
      <c r="O742" s="42" t="inlineStr">
        <is>
          <t>防犯建物部品欄の30mil構成を規格呼称へ直接突合。</t>
        </is>
      </c>
    </row>
    <row r="743">
      <c r="A743" s="42" t="inlineStr">
        <is>
          <t>SZ-SL-000742</t>
        </is>
      </c>
      <c r="B743" s="42" t="inlineStr">
        <is>
          <t>WT-SL-MENKOSHI-HIKI</t>
        </is>
      </c>
      <c r="C743" s="42" t="inlineStr">
        <is>
          <t>面格子付引違い窓</t>
        </is>
      </c>
      <c r="D743" s="42" t="inlineStr">
        <is>
          <t>SP-SL-GRILLE-H</t>
        </is>
      </c>
      <c r="E743" s="42" t="inlineStr">
        <is>
          <t>16509</t>
        </is>
      </c>
      <c r="F743" s="42" t="inlineStr">
        <is>
          <t>1690</t>
        </is>
      </c>
      <c r="G743" s="42" t="inlineStr">
        <is>
          <t>970</t>
        </is>
      </c>
      <c r="H743" s="42" t="inlineStr">
        <is>
          <t>False</t>
        </is>
      </c>
      <c r="I743" s="42" t="inlineStr">
        <is>
          <t>ALLOWED</t>
        </is>
      </c>
      <c r="J743" s="42" t="inlineStr">
        <is>
          <t>DIRECT_OFFICIAL_STANDARD_ROW</t>
        </is>
      </c>
      <c r="K743" s="42" t="inlineStr">
        <is>
          <t>SDC0003156</t>
        </is>
      </c>
      <c r="L743" s="42" t="inlineStr">
        <is>
          <t>マド2枚建 (201910～)</t>
        </is>
      </c>
      <c r="M743" s="42" t="inlineStr">
        <is>
          <t>73</t>
        </is>
      </c>
      <c r="N743" s="42" t="inlineStr">
        <is>
          <t>16509</t>
        </is>
      </c>
      <c r="O743" s="42" t="inlineStr">
        <is>
          <t>防犯建物部品欄の30mil構成を規格呼称へ直接突合。</t>
        </is>
      </c>
    </row>
    <row r="744">
      <c r="A744" s="42" t="inlineStr">
        <is>
          <t>SZ-SL-000743</t>
        </is>
      </c>
      <c r="B744" s="42" t="inlineStr">
        <is>
          <t>WT-SL-MENKOSHI-HIKI</t>
        </is>
      </c>
      <c r="C744" s="42" t="inlineStr">
        <is>
          <t>面格子付引違い窓</t>
        </is>
      </c>
      <c r="D744" s="42" t="inlineStr">
        <is>
          <t>SP-SL-GRILLE-IGETA</t>
        </is>
      </c>
      <c r="E744" s="42" t="inlineStr">
        <is>
          <t>13309</t>
        </is>
      </c>
      <c r="F744" s="42" t="inlineStr">
        <is>
          <t>1370</t>
        </is>
      </c>
      <c r="G744" s="42" t="inlineStr">
        <is>
          <t>970</t>
        </is>
      </c>
      <c r="H744" s="42" t="inlineStr">
        <is>
          <t>True</t>
        </is>
      </c>
      <c r="I744" s="42" t="inlineStr">
        <is>
          <t>ALLOWED</t>
        </is>
      </c>
      <c r="J744" s="42" t="inlineStr">
        <is>
          <t>DIRECT_OFFICIAL_STANDARD_ROW</t>
        </is>
      </c>
      <c r="K744" s="42" t="inlineStr">
        <is>
          <t>SDC0003156</t>
        </is>
      </c>
      <c r="L744" s="42" t="inlineStr">
        <is>
          <t>マド2枚建 (201910～)</t>
        </is>
      </c>
      <c r="M744" s="42" t="inlineStr">
        <is>
          <t>50</t>
        </is>
      </c>
      <c r="N744" s="42" t="inlineStr">
        <is>
          <t>13309</t>
        </is>
      </c>
      <c r="O744" s="42" t="inlineStr">
        <is>
          <t>防犯建物部品欄の30mil構成を規格呼称へ直接突合。</t>
        </is>
      </c>
    </row>
    <row r="745">
      <c r="A745" s="42" t="inlineStr">
        <is>
          <t>SZ-SL-000744</t>
        </is>
      </c>
      <c r="B745" s="42" t="inlineStr">
        <is>
          <t>WT-SL-MENKOSHI-HIKI</t>
        </is>
      </c>
      <c r="C745" s="42" t="inlineStr">
        <is>
          <t>面格子付引違い窓</t>
        </is>
      </c>
      <c r="D745" s="42" t="inlineStr">
        <is>
          <t>SP-SL-GRILLE-IGETA</t>
        </is>
      </c>
      <c r="E745" s="42" t="inlineStr">
        <is>
          <t>15009</t>
        </is>
      </c>
      <c r="F745" s="42" t="inlineStr">
        <is>
          <t>1540</t>
        </is>
      </c>
      <c r="G745" s="42" t="inlineStr">
        <is>
          <t>970</t>
        </is>
      </c>
      <c r="H745" s="42" t="inlineStr">
        <is>
          <t>True</t>
        </is>
      </c>
      <c r="I745" s="42" t="inlineStr">
        <is>
          <t>ALLOWED</t>
        </is>
      </c>
      <c r="J745" s="42" t="inlineStr">
        <is>
          <t>DIRECT_OFFICIAL_STANDARD_ROW</t>
        </is>
      </c>
      <c r="K745" s="42" t="inlineStr">
        <is>
          <t>SDC0003156</t>
        </is>
      </c>
      <c r="L745" s="42" t="inlineStr">
        <is>
          <t>マド2枚建 (201910～)</t>
        </is>
      </c>
      <c r="M745" s="42" t="inlineStr">
        <is>
          <t>55</t>
        </is>
      </c>
      <c r="N745" s="42" t="inlineStr">
        <is>
          <t>15009</t>
        </is>
      </c>
      <c r="O745" s="42" t="inlineStr">
        <is>
          <t>防犯建物部品欄の30mil構成を規格呼称へ直接突合。</t>
        </is>
      </c>
    </row>
    <row r="746">
      <c r="A746" s="42" t="inlineStr">
        <is>
          <t>SZ-SL-000745</t>
        </is>
      </c>
      <c r="B746" s="42" t="inlineStr">
        <is>
          <t>WT-SL-MENKOSHI-HIKI</t>
        </is>
      </c>
      <c r="C746" s="42" t="inlineStr">
        <is>
          <t>面格子付引違い窓</t>
        </is>
      </c>
      <c r="D746" s="42" t="inlineStr">
        <is>
          <t>SP-SL-GRILLE-IGETA</t>
        </is>
      </c>
      <c r="E746" s="42" t="inlineStr">
        <is>
          <t>16009</t>
        </is>
      </c>
      <c r="F746" s="42" t="inlineStr">
        <is>
          <t>1640</t>
        </is>
      </c>
      <c r="G746" s="42" t="inlineStr">
        <is>
          <t>970</t>
        </is>
      </c>
      <c r="H746" s="42" t="inlineStr">
        <is>
          <t>True</t>
        </is>
      </c>
      <c r="I746" s="42" t="inlineStr">
        <is>
          <t>ALLOWED</t>
        </is>
      </c>
      <c r="J746" s="42" t="inlineStr">
        <is>
          <t>DIRECT_OFFICIAL_STANDARD_ROW</t>
        </is>
      </c>
      <c r="K746" s="42" t="inlineStr">
        <is>
          <t>SDC0003156</t>
        </is>
      </c>
      <c r="L746" s="42" t="inlineStr">
        <is>
          <t>マド2枚建 (201910～)</t>
        </is>
      </c>
      <c r="M746" s="42" t="inlineStr">
        <is>
          <t>66</t>
        </is>
      </c>
      <c r="N746" s="42" t="inlineStr">
        <is>
          <t>16009</t>
        </is>
      </c>
      <c r="O746" s="42" t="inlineStr">
        <is>
          <t>防犯建物部品欄の30mil構成を規格呼称へ直接突合。</t>
        </is>
      </c>
    </row>
    <row r="747">
      <c r="A747" s="42" t="inlineStr">
        <is>
          <t>SZ-SL-000746</t>
        </is>
      </c>
      <c r="B747" s="42" t="inlineStr">
        <is>
          <t>WT-SL-MENKOSHI-HIKI</t>
        </is>
      </c>
      <c r="C747" s="42" t="inlineStr">
        <is>
          <t>面格子付引違い窓</t>
        </is>
      </c>
      <c r="D747" s="42" t="inlineStr">
        <is>
          <t>SP-SL-GRILLE-IGETA</t>
        </is>
      </c>
      <c r="E747" s="42" t="inlineStr">
        <is>
          <t>16509</t>
        </is>
      </c>
      <c r="F747" s="42" t="inlineStr">
        <is>
          <t>1690</t>
        </is>
      </c>
      <c r="G747" s="42" t="inlineStr">
        <is>
          <t>970</t>
        </is>
      </c>
      <c r="H747" s="42" t="inlineStr">
        <is>
          <t>True</t>
        </is>
      </c>
      <c r="I747" s="42" t="inlineStr">
        <is>
          <t>ALLOWED</t>
        </is>
      </c>
      <c r="J747" s="42" t="inlineStr">
        <is>
          <t>DIRECT_OFFICIAL_STANDARD_ROW</t>
        </is>
      </c>
      <c r="K747" s="42" t="inlineStr">
        <is>
          <t>SDC0003156</t>
        </is>
      </c>
      <c r="L747" s="42" t="inlineStr">
        <is>
          <t>マド2枚建 (201910～)</t>
        </is>
      </c>
      <c r="M747" s="42" t="inlineStr">
        <is>
          <t>73</t>
        </is>
      </c>
      <c r="N747" s="42" t="inlineStr">
        <is>
          <t>16509</t>
        </is>
      </c>
      <c r="O747" s="42" t="inlineStr">
        <is>
          <t>防犯建物部品欄の30mil構成を規格呼称へ直接突合。</t>
        </is>
      </c>
    </row>
    <row r="748">
      <c r="A748" s="42" t="inlineStr">
        <is>
          <t>SZ-SL-000747</t>
        </is>
      </c>
      <c r="B748" s="42" t="inlineStr">
        <is>
          <t>WT-SL-MENKOSHI-HIKI</t>
        </is>
      </c>
      <c r="C748" s="42" t="inlineStr">
        <is>
          <t>面格子付引違い窓</t>
        </is>
      </c>
      <c r="D748" s="42" t="inlineStr">
        <is>
          <t>SP-SL-GRILLE-V</t>
        </is>
      </c>
      <c r="E748" s="42" t="inlineStr">
        <is>
          <t>13309</t>
        </is>
      </c>
      <c r="F748" s="42" t="inlineStr">
        <is>
          <t>1370</t>
        </is>
      </c>
      <c r="G748" s="42" t="inlineStr">
        <is>
          <t>970</t>
        </is>
      </c>
      <c r="H748" s="42" t="inlineStr">
        <is>
          <t>True</t>
        </is>
      </c>
      <c r="I748" s="42" t="inlineStr">
        <is>
          <t>ALLOWED</t>
        </is>
      </c>
      <c r="J748" s="42" t="inlineStr">
        <is>
          <t>DIRECT_OFFICIAL_STANDARD_ROW</t>
        </is>
      </c>
      <c r="K748" s="42" t="inlineStr">
        <is>
          <t>SDC0003156</t>
        </is>
      </c>
      <c r="L748" s="42" t="inlineStr">
        <is>
          <t>マド2枚建 (201910～)</t>
        </is>
      </c>
      <c r="M748" s="42" t="inlineStr">
        <is>
          <t>50</t>
        </is>
      </c>
      <c r="N748" s="42" t="inlineStr">
        <is>
          <t>13309</t>
        </is>
      </c>
      <c r="O748" s="42" t="inlineStr">
        <is>
          <t>防犯建物部品欄の30mil構成を規格呼称へ直接突合。</t>
        </is>
      </c>
    </row>
    <row r="749">
      <c r="A749" s="42" t="inlineStr">
        <is>
          <t>SZ-SL-000748</t>
        </is>
      </c>
      <c r="B749" s="42" t="inlineStr">
        <is>
          <t>WT-SL-MENKOSHI-HIKI</t>
        </is>
      </c>
      <c r="C749" s="42" t="inlineStr">
        <is>
          <t>面格子付引違い窓</t>
        </is>
      </c>
      <c r="D749" s="42" t="inlineStr">
        <is>
          <t>SP-SL-GRILLE-V</t>
        </is>
      </c>
      <c r="E749" s="42" t="inlineStr">
        <is>
          <t>15009</t>
        </is>
      </c>
      <c r="F749" s="42" t="inlineStr">
        <is>
          <t>1540</t>
        </is>
      </c>
      <c r="G749" s="42" t="inlineStr">
        <is>
          <t>970</t>
        </is>
      </c>
      <c r="H749" s="42" t="inlineStr">
        <is>
          <t>True</t>
        </is>
      </c>
      <c r="I749" s="42" t="inlineStr">
        <is>
          <t>ALLOWED</t>
        </is>
      </c>
      <c r="J749" s="42" t="inlineStr">
        <is>
          <t>DIRECT_OFFICIAL_STANDARD_ROW</t>
        </is>
      </c>
      <c r="K749" s="42" t="inlineStr">
        <is>
          <t>SDC0003156</t>
        </is>
      </c>
      <c r="L749" s="42" t="inlineStr">
        <is>
          <t>マド2枚建 (201910～)</t>
        </is>
      </c>
      <c r="M749" s="42" t="inlineStr">
        <is>
          <t>55</t>
        </is>
      </c>
      <c r="N749" s="42" t="inlineStr">
        <is>
          <t>15009</t>
        </is>
      </c>
      <c r="O749" s="42" t="inlineStr">
        <is>
          <t>防犯建物部品欄の30mil構成を規格呼称へ直接突合。</t>
        </is>
      </c>
    </row>
    <row r="750">
      <c r="A750" s="42" t="inlineStr">
        <is>
          <t>SZ-SL-000749</t>
        </is>
      </c>
      <c r="B750" s="42" t="inlineStr">
        <is>
          <t>WT-SL-MENKOSHI-HIKI</t>
        </is>
      </c>
      <c r="C750" s="42" t="inlineStr">
        <is>
          <t>面格子付引違い窓</t>
        </is>
      </c>
      <c r="D750" s="42" t="inlineStr">
        <is>
          <t>SP-SL-GRILLE-V</t>
        </is>
      </c>
      <c r="E750" s="42" t="inlineStr">
        <is>
          <t>16009</t>
        </is>
      </c>
      <c r="F750" s="42" t="inlineStr">
        <is>
          <t>1640</t>
        </is>
      </c>
      <c r="G750" s="42" t="inlineStr">
        <is>
          <t>970</t>
        </is>
      </c>
      <c r="H750" s="42" t="inlineStr">
        <is>
          <t>True</t>
        </is>
      </c>
      <c r="I750" s="42" t="inlineStr">
        <is>
          <t>ALLOWED</t>
        </is>
      </c>
      <c r="J750" s="42" t="inlineStr">
        <is>
          <t>DIRECT_OFFICIAL_STANDARD_ROW</t>
        </is>
      </c>
      <c r="K750" s="42" t="inlineStr">
        <is>
          <t>SDC0003156</t>
        </is>
      </c>
      <c r="L750" s="42" t="inlineStr">
        <is>
          <t>マド2枚建 (201910～)</t>
        </is>
      </c>
      <c r="M750" s="42" t="inlineStr">
        <is>
          <t>66</t>
        </is>
      </c>
      <c r="N750" s="42" t="inlineStr">
        <is>
          <t>16009</t>
        </is>
      </c>
      <c r="O750" s="42" t="inlineStr">
        <is>
          <t>防犯建物部品欄の30mil構成を規格呼称へ直接突合。</t>
        </is>
      </c>
    </row>
    <row r="751">
      <c r="A751" s="42" t="inlineStr">
        <is>
          <t>SZ-SL-000750</t>
        </is>
      </c>
      <c r="B751" s="42" t="inlineStr">
        <is>
          <t>WT-SL-MENKOSHI-HIKI</t>
        </is>
      </c>
      <c r="C751" s="42" t="inlineStr">
        <is>
          <t>面格子付引違い窓</t>
        </is>
      </c>
      <c r="D751" s="42" t="inlineStr">
        <is>
          <t>SP-SL-GRILLE-V</t>
        </is>
      </c>
      <c r="E751" s="42" t="inlineStr">
        <is>
          <t>16509</t>
        </is>
      </c>
      <c r="F751" s="42" t="inlineStr">
        <is>
          <t>1690</t>
        </is>
      </c>
      <c r="G751" s="42" t="inlineStr">
        <is>
          <t>970</t>
        </is>
      </c>
      <c r="H751" s="42" t="inlineStr">
        <is>
          <t>True</t>
        </is>
      </c>
      <c r="I751" s="42" t="inlineStr">
        <is>
          <t>ALLOWED</t>
        </is>
      </c>
      <c r="J751" s="42" t="inlineStr">
        <is>
          <t>DIRECT_OFFICIAL_STANDARD_ROW</t>
        </is>
      </c>
      <c r="K751" s="42" t="inlineStr">
        <is>
          <t>SDC0003156</t>
        </is>
      </c>
      <c r="L751" s="42" t="inlineStr">
        <is>
          <t>マド2枚建 (201910～)</t>
        </is>
      </c>
      <c r="M751" s="42" t="inlineStr">
        <is>
          <t>73</t>
        </is>
      </c>
      <c r="N751" s="42" t="inlineStr">
        <is>
          <t>16509</t>
        </is>
      </c>
      <c r="O751" s="42" t="inlineStr">
        <is>
          <t>防犯建物部品欄の30mil構成を規格呼称へ直接突合。</t>
        </is>
      </c>
    </row>
    <row r="752">
      <c r="A752" s="42" t="inlineStr">
        <is>
          <t>SZ-SL-000751</t>
        </is>
      </c>
      <c r="B752" s="42" t="inlineStr">
        <is>
          <t>WT-SL-MENKOSHI-HIKI</t>
        </is>
      </c>
      <c r="C752" s="42" t="inlineStr">
        <is>
          <t>面格子付引違い窓</t>
        </is>
      </c>
      <c r="D752" s="42" t="inlineStr">
        <is>
          <t>SP-SL-GRILLE-DIA</t>
        </is>
      </c>
      <c r="E752" s="42" t="inlineStr">
        <is>
          <t>17409</t>
        </is>
      </c>
      <c r="F752" s="42" t="inlineStr">
        <is>
          <t>1780</t>
        </is>
      </c>
      <c r="G752" s="42" t="inlineStr">
        <is>
          <t>970</t>
        </is>
      </c>
      <c r="H752" s="42" t="inlineStr">
        <is>
          <t>True</t>
        </is>
      </c>
      <c r="I752" s="42" t="inlineStr">
        <is>
          <t>ALLOWED</t>
        </is>
      </c>
      <c r="J752" s="42" t="inlineStr">
        <is>
          <t>DIRECT_OFFICIAL_STANDARD_ROW</t>
        </is>
      </c>
      <c r="K752" s="42" t="inlineStr">
        <is>
          <t>SDC0003156</t>
        </is>
      </c>
      <c r="L752" s="42" t="inlineStr">
        <is>
          <t>マド2枚建 (201910～)</t>
        </is>
      </c>
      <c r="M752" s="42" t="inlineStr">
        <is>
          <t>79</t>
        </is>
      </c>
      <c r="N752" s="42" t="inlineStr">
        <is>
          <t>17409</t>
        </is>
      </c>
      <c r="O752" s="42" t="inlineStr">
        <is>
          <t>防犯建物部品欄の30mil構成を規格呼称へ直接突合。</t>
        </is>
      </c>
    </row>
    <row r="753">
      <c r="A753" s="42" t="inlineStr">
        <is>
          <t>SZ-SL-000752</t>
        </is>
      </c>
      <c r="B753" s="42" t="inlineStr">
        <is>
          <t>WT-SL-MENKOSHI-HIKI</t>
        </is>
      </c>
      <c r="C753" s="42" t="inlineStr">
        <is>
          <t>面格子付引違い窓</t>
        </is>
      </c>
      <c r="D753" s="42" t="inlineStr">
        <is>
          <t>SP-SL-GRILLE-DIA</t>
        </is>
      </c>
      <c r="E753" s="42" t="inlineStr">
        <is>
          <t>17609</t>
        </is>
      </c>
      <c r="F753" s="42" t="inlineStr">
        <is>
          <t>1800</t>
        </is>
      </c>
      <c r="G753" s="42" t="inlineStr">
        <is>
          <t>970</t>
        </is>
      </c>
      <c r="H753" s="42" t="inlineStr">
        <is>
          <t>True</t>
        </is>
      </c>
      <c r="I753" s="42" t="inlineStr">
        <is>
          <t>ALLOWED</t>
        </is>
      </c>
      <c r="J753" s="42" t="inlineStr">
        <is>
          <t>DIRECT_OFFICIAL_STANDARD_ROW</t>
        </is>
      </c>
      <c r="K753" s="42" t="inlineStr">
        <is>
          <t>SDC0003156</t>
        </is>
      </c>
      <c r="L753" s="42" t="inlineStr">
        <is>
          <t>マド2枚建 (201910～)</t>
        </is>
      </c>
      <c r="M753" s="42" t="inlineStr">
        <is>
          <t>84</t>
        </is>
      </c>
      <c r="N753" s="42" t="inlineStr">
        <is>
          <t>17609</t>
        </is>
      </c>
      <c r="O753" s="42" t="inlineStr">
        <is>
          <t>防犯建物部品欄の30mil構成を規格呼称へ直接突合。</t>
        </is>
      </c>
    </row>
    <row r="754">
      <c r="A754" s="42" t="inlineStr">
        <is>
          <t>SZ-SL-000753</t>
        </is>
      </c>
      <c r="B754" s="42" t="inlineStr">
        <is>
          <t>WT-SL-MENKOSHI-HIKI</t>
        </is>
      </c>
      <c r="C754" s="42" t="inlineStr">
        <is>
          <t>面格子付引違い窓</t>
        </is>
      </c>
      <c r="D754" s="42" t="inlineStr">
        <is>
          <t>SP-SL-GRILLE-DIA</t>
        </is>
      </c>
      <c r="E754" s="42" t="inlineStr">
        <is>
          <t>18009</t>
        </is>
      </c>
      <c r="F754" s="42" t="inlineStr">
        <is>
          <t>1845</t>
        </is>
      </c>
      <c r="G754" s="42" t="inlineStr">
        <is>
          <t>970</t>
        </is>
      </c>
      <c r="H754" s="42" t="inlineStr">
        <is>
          <t>True</t>
        </is>
      </c>
      <c r="I754" s="42" t="inlineStr">
        <is>
          <t>ALLOWED</t>
        </is>
      </c>
      <c r="J754" s="42" t="inlineStr">
        <is>
          <t>DIRECT_OFFICIAL_STANDARD_ROW</t>
        </is>
      </c>
      <c r="K754" s="42" t="inlineStr">
        <is>
          <t>SDC0003156</t>
        </is>
      </c>
      <c r="L754" s="42" t="inlineStr">
        <is>
          <t>マド2枚建 (201910～)</t>
        </is>
      </c>
      <c r="M754" s="42" t="inlineStr">
        <is>
          <t>94</t>
        </is>
      </c>
      <c r="N754" s="42" t="inlineStr">
        <is>
          <t>18009</t>
        </is>
      </c>
      <c r="O754" s="42" t="inlineStr">
        <is>
          <t>防犯建物部品欄の30mil構成を規格呼称へ直接突合。</t>
        </is>
      </c>
    </row>
    <row r="755">
      <c r="A755" s="42" t="inlineStr">
        <is>
          <t>SZ-SL-000754</t>
        </is>
      </c>
      <c r="B755" s="42" t="inlineStr">
        <is>
          <t>WT-SL-MENKOSHI-HIKI</t>
        </is>
      </c>
      <c r="C755" s="42" t="inlineStr">
        <is>
          <t>面格子付引違い窓</t>
        </is>
      </c>
      <c r="D755" s="42" t="inlineStr">
        <is>
          <t>SP-SL-GRILLE-DIA</t>
        </is>
      </c>
      <c r="E755" s="42" t="inlineStr">
        <is>
          <t>18609</t>
        </is>
      </c>
      <c r="F755" s="42" t="inlineStr">
        <is>
          <t>1900</t>
        </is>
      </c>
      <c r="G755" s="42" t="inlineStr">
        <is>
          <t>970</t>
        </is>
      </c>
      <c r="H755" s="42" t="inlineStr">
        <is>
          <t>True</t>
        </is>
      </c>
      <c r="I755" s="42" t="inlineStr">
        <is>
          <t>ALLOWED</t>
        </is>
      </c>
      <c r="J755" s="42" t="inlineStr">
        <is>
          <t>DIRECT_OFFICIAL_STANDARD_ROW</t>
        </is>
      </c>
      <c r="K755" s="42" t="inlineStr">
        <is>
          <t>SDC0003156</t>
        </is>
      </c>
      <c r="L755" s="42" t="inlineStr">
        <is>
          <t>マド2枚建 (201910～)</t>
        </is>
      </c>
      <c r="M755" s="42" t="inlineStr">
        <is>
          <t>104</t>
        </is>
      </c>
      <c r="N755" s="42" t="inlineStr">
        <is>
          <t>18609</t>
        </is>
      </c>
      <c r="O755" s="42" t="inlineStr">
        <is>
          <t>防犯建物部品欄の30mil構成を規格呼称へ直接突合。</t>
        </is>
      </c>
    </row>
    <row r="756">
      <c r="A756" s="42" t="inlineStr">
        <is>
          <t>SZ-SL-000755</t>
        </is>
      </c>
      <c r="B756" s="42" t="inlineStr">
        <is>
          <t>WT-SL-MENKOSHI-HIKI</t>
        </is>
      </c>
      <c r="C756" s="42" t="inlineStr">
        <is>
          <t>面格子付引違い窓</t>
        </is>
      </c>
      <c r="D756" s="42" t="inlineStr">
        <is>
          <t>SP-SL-GRILLE-H</t>
        </is>
      </c>
      <c r="E756" s="42" t="inlineStr">
        <is>
          <t>17409</t>
        </is>
      </c>
      <c r="F756" s="42" t="inlineStr">
        <is>
          <t>1780</t>
        </is>
      </c>
      <c r="G756" s="42" t="inlineStr">
        <is>
          <t>970</t>
        </is>
      </c>
      <c r="H756" s="42" t="inlineStr">
        <is>
          <t>False</t>
        </is>
      </c>
      <c r="I756" s="42" t="inlineStr">
        <is>
          <t>ALLOWED</t>
        </is>
      </c>
      <c r="J756" s="42" t="inlineStr">
        <is>
          <t>DIRECT_OFFICIAL_STANDARD_ROW</t>
        </is>
      </c>
      <c r="K756" s="42" t="inlineStr">
        <is>
          <t>SDC0003156</t>
        </is>
      </c>
      <c r="L756" s="42" t="inlineStr">
        <is>
          <t>マド2枚建 (201910～)</t>
        </is>
      </c>
      <c r="M756" s="42" t="inlineStr">
        <is>
          <t>79</t>
        </is>
      </c>
      <c r="N756" s="42" t="inlineStr">
        <is>
          <t>17409</t>
        </is>
      </c>
      <c r="O756" s="42" t="inlineStr">
        <is>
          <t>防犯建物部品欄の30mil構成を規格呼称へ直接突合。</t>
        </is>
      </c>
    </row>
    <row r="757">
      <c r="A757" s="42" t="inlineStr">
        <is>
          <t>SZ-SL-000756</t>
        </is>
      </c>
      <c r="B757" s="42" t="inlineStr">
        <is>
          <t>WT-SL-MENKOSHI-HIKI</t>
        </is>
      </c>
      <c r="C757" s="42" t="inlineStr">
        <is>
          <t>面格子付引違い窓</t>
        </is>
      </c>
      <c r="D757" s="42" t="inlineStr">
        <is>
          <t>SP-SL-GRILLE-H</t>
        </is>
      </c>
      <c r="E757" s="42" t="inlineStr">
        <is>
          <t>17609</t>
        </is>
      </c>
      <c r="F757" s="42" t="inlineStr">
        <is>
          <t>1800</t>
        </is>
      </c>
      <c r="G757" s="42" t="inlineStr">
        <is>
          <t>970</t>
        </is>
      </c>
      <c r="H757" s="42" t="inlineStr">
        <is>
          <t>False</t>
        </is>
      </c>
      <c r="I757" s="42" t="inlineStr">
        <is>
          <t>ALLOWED</t>
        </is>
      </c>
      <c r="J757" s="42" t="inlineStr">
        <is>
          <t>DIRECT_OFFICIAL_STANDARD_ROW</t>
        </is>
      </c>
      <c r="K757" s="42" t="inlineStr">
        <is>
          <t>SDC0003156</t>
        </is>
      </c>
      <c r="L757" s="42" t="inlineStr">
        <is>
          <t>マド2枚建 (201910～)</t>
        </is>
      </c>
      <c r="M757" s="42" t="inlineStr">
        <is>
          <t>84</t>
        </is>
      </c>
      <c r="N757" s="42" t="inlineStr">
        <is>
          <t>17609</t>
        </is>
      </c>
      <c r="O757" s="42" t="inlineStr">
        <is>
          <t>防犯建物部品欄の30mil構成を規格呼称へ直接突合。</t>
        </is>
      </c>
    </row>
    <row r="758">
      <c r="A758" s="42" t="inlineStr">
        <is>
          <t>SZ-SL-000757</t>
        </is>
      </c>
      <c r="B758" s="42" t="inlineStr">
        <is>
          <t>WT-SL-MENKOSHI-HIKI</t>
        </is>
      </c>
      <c r="C758" s="42" t="inlineStr">
        <is>
          <t>面格子付引違い窓</t>
        </is>
      </c>
      <c r="D758" s="42" t="inlineStr">
        <is>
          <t>SP-SL-GRILLE-H</t>
        </is>
      </c>
      <c r="E758" s="42" t="inlineStr">
        <is>
          <t>18009</t>
        </is>
      </c>
      <c r="F758" s="42" t="inlineStr">
        <is>
          <t>1845</t>
        </is>
      </c>
      <c r="G758" s="42" t="inlineStr">
        <is>
          <t>970</t>
        </is>
      </c>
      <c r="H758" s="42" t="inlineStr">
        <is>
          <t>False</t>
        </is>
      </c>
      <c r="I758" s="42" t="inlineStr">
        <is>
          <t>ALLOWED</t>
        </is>
      </c>
      <c r="J758" s="42" t="inlineStr">
        <is>
          <t>DIRECT_OFFICIAL_STANDARD_ROW</t>
        </is>
      </c>
      <c r="K758" s="42" t="inlineStr">
        <is>
          <t>SDC0003156</t>
        </is>
      </c>
      <c r="L758" s="42" t="inlineStr">
        <is>
          <t>マド2枚建 (201910～)</t>
        </is>
      </c>
      <c r="M758" s="42" t="inlineStr">
        <is>
          <t>94</t>
        </is>
      </c>
      <c r="N758" s="42" t="inlineStr">
        <is>
          <t>18009</t>
        </is>
      </c>
      <c r="O758" s="42" t="inlineStr">
        <is>
          <t>防犯建物部品欄の30mil構成を規格呼称へ直接突合。</t>
        </is>
      </c>
    </row>
    <row r="759">
      <c r="A759" s="42" t="inlineStr">
        <is>
          <t>SZ-SL-000758</t>
        </is>
      </c>
      <c r="B759" s="42" t="inlineStr">
        <is>
          <t>WT-SL-MENKOSHI-HIKI</t>
        </is>
      </c>
      <c r="C759" s="42" t="inlineStr">
        <is>
          <t>面格子付引違い窓</t>
        </is>
      </c>
      <c r="D759" s="42" t="inlineStr">
        <is>
          <t>SP-SL-GRILLE-H</t>
        </is>
      </c>
      <c r="E759" s="42" t="inlineStr">
        <is>
          <t>18609</t>
        </is>
      </c>
      <c r="F759" s="42" t="inlineStr">
        <is>
          <t>1900</t>
        </is>
      </c>
      <c r="G759" s="42" t="inlineStr">
        <is>
          <t>970</t>
        </is>
      </c>
      <c r="H759" s="42" t="inlineStr">
        <is>
          <t>False</t>
        </is>
      </c>
      <c r="I759" s="42" t="inlineStr">
        <is>
          <t>ALLOWED</t>
        </is>
      </c>
      <c r="J759" s="42" t="inlineStr">
        <is>
          <t>DIRECT_OFFICIAL_STANDARD_ROW</t>
        </is>
      </c>
      <c r="K759" s="42" t="inlineStr">
        <is>
          <t>SDC0003156</t>
        </is>
      </c>
      <c r="L759" s="42" t="inlineStr">
        <is>
          <t>マド2枚建 (201910～)</t>
        </is>
      </c>
      <c r="M759" s="42" t="inlineStr">
        <is>
          <t>104</t>
        </is>
      </c>
      <c r="N759" s="42" t="inlineStr">
        <is>
          <t>18609</t>
        </is>
      </c>
      <c r="O759" s="42" t="inlineStr">
        <is>
          <t>防犯建物部品欄の30mil構成を規格呼称へ直接突合。</t>
        </is>
      </c>
    </row>
    <row r="760">
      <c r="A760" s="42" t="inlineStr">
        <is>
          <t>SZ-SL-000759</t>
        </is>
      </c>
      <c r="B760" s="42" t="inlineStr">
        <is>
          <t>WT-SL-MENKOSHI-HIKI</t>
        </is>
      </c>
      <c r="C760" s="42" t="inlineStr">
        <is>
          <t>面格子付引違い窓</t>
        </is>
      </c>
      <c r="D760" s="42" t="inlineStr">
        <is>
          <t>SP-SL-GRILLE-IGETA</t>
        </is>
      </c>
      <c r="E760" s="42" t="inlineStr">
        <is>
          <t>17409</t>
        </is>
      </c>
      <c r="F760" s="42" t="inlineStr">
        <is>
          <t>1780</t>
        </is>
      </c>
      <c r="G760" s="42" t="inlineStr">
        <is>
          <t>970</t>
        </is>
      </c>
      <c r="H760" s="42" t="inlineStr">
        <is>
          <t>True</t>
        </is>
      </c>
      <c r="I760" s="42" t="inlineStr">
        <is>
          <t>ALLOWED</t>
        </is>
      </c>
      <c r="J760" s="42" t="inlineStr">
        <is>
          <t>DIRECT_OFFICIAL_STANDARD_ROW</t>
        </is>
      </c>
      <c r="K760" s="42" t="inlineStr">
        <is>
          <t>SDC0003156</t>
        </is>
      </c>
      <c r="L760" s="42" t="inlineStr">
        <is>
          <t>マド2枚建 (201910～)</t>
        </is>
      </c>
      <c r="M760" s="42" t="inlineStr">
        <is>
          <t>79</t>
        </is>
      </c>
      <c r="N760" s="42" t="inlineStr">
        <is>
          <t>17409</t>
        </is>
      </c>
      <c r="O760" s="42" t="inlineStr">
        <is>
          <t>防犯建物部品欄の30mil構成を規格呼称へ直接突合。</t>
        </is>
      </c>
    </row>
    <row r="761">
      <c r="A761" s="42" t="inlineStr">
        <is>
          <t>SZ-SL-000760</t>
        </is>
      </c>
      <c r="B761" s="42" t="inlineStr">
        <is>
          <t>WT-SL-MENKOSHI-HIKI</t>
        </is>
      </c>
      <c r="C761" s="42" t="inlineStr">
        <is>
          <t>面格子付引違い窓</t>
        </is>
      </c>
      <c r="D761" s="42" t="inlineStr">
        <is>
          <t>SP-SL-GRILLE-IGETA</t>
        </is>
      </c>
      <c r="E761" s="42" t="inlineStr">
        <is>
          <t>17609</t>
        </is>
      </c>
      <c r="F761" s="42" t="inlineStr">
        <is>
          <t>1800</t>
        </is>
      </c>
      <c r="G761" s="42" t="inlineStr">
        <is>
          <t>970</t>
        </is>
      </c>
      <c r="H761" s="42" t="inlineStr">
        <is>
          <t>True</t>
        </is>
      </c>
      <c r="I761" s="42" t="inlineStr">
        <is>
          <t>ALLOWED</t>
        </is>
      </c>
      <c r="J761" s="42" t="inlineStr">
        <is>
          <t>DIRECT_OFFICIAL_STANDARD_ROW</t>
        </is>
      </c>
      <c r="K761" s="42" t="inlineStr">
        <is>
          <t>SDC0003156</t>
        </is>
      </c>
      <c r="L761" s="42" t="inlineStr">
        <is>
          <t>マド2枚建 (201910～)</t>
        </is>
      </c>
      <c r="M761" s="42" t="inlineStr">
        <is>
          <t>84</t>
        </is>
      </c>
      <c r="N761" s="42" t="inlineStr">
        <is>
          <t>17609</t>
        </is>
      </c>
      <c r="O761" s="42" t="inlineStr">
        <is>
          <t>防犯建物部品欄の30mil構成を規格呼称へ直接突合。</t>
        </is>
      </c>
    </row>
    <row r="762">
      <c r="A762" s="42" t="inlineStr">
        <is>
          <t>SZ-SL-000761</t>
        </is>
      </c>
      <c r="B762" s="42" t="inlineStr">
        <is>
          <t>WT-SL-MENKOSHI-HIKI</t>
        </is>
      </c>
      <c r="C762" s="42" t="inlineStr">
        <is>
          <t>面格子付引違い窓</t>
        </is>
      </c>
      <c r="D762" s="42" t="inlineStr">
        <is>
          <t>SP-SL-GRILLE-IGETA</t>
        </is>
      </c>
      <c r="E762" s="42" t="inlineStr">
        <is>
          <t>18009</t>
        </is>
      </c>
      <c r="F762" s="42" t="inlineStr">
        <is>
          <t>1845</t>
        </is>
      </c>
      <c r="G762" s="42" t="inlineStr">
        <is>
          <t>970</t>
        </is>
      </c>
      <c r="H762" s="42" t="inlineStr">
        <is>
          <t>True</t>
        </is>
      </c>
      <c r="I762" s="42" t="inlineStr">
        <is>
          <t>ALLOWED</t>
        </is>
      </c>
      <c r="J762" s="42" t="inlineStr">
        <is>
          <t>DIRECT_OFFICIAL_STANDARD_ROW</t>
        </is>
      </c>
      <c r="K762" s="42" t="inlineStr">
        <is>
          <t>SDC0003156</t>
        </is>
      </c>
      <c r="L762" s="42" t="inlineStr">
        <is>
          <t>マド2枚建 (201910～)</t>
        </is>
      </c>
      <c r="M762" s="42" t="inlineStr">
        <is>
          <t>94</t>
        </is>
      </c>
      <c r="N762" s="42" t="inlineStr">
        <is>
          <t>18009</t>
        </is>
      </c>
      <c r="O762" s="42" t="inlineStr">
        <is>
          <t>防犯建物部品欄の30mil構成を規格呼称へ直接突合。</t>
        </is>
      </c>
    </row>
    <row r="763">
      <c r="A763" s="42" t="inlineStr">
        <is>
          <t>SZ-SL-000762</t>
        </is>
      </c>
      <c r="B763" s="42" t="inlineStr">
        <is>
          <t>WT-SL-MENKOSHI-HIKI</t>
        </is>
      </c>
      <c r="C763" s="42" t="inlineStr">
        <is>
          <t>面格子付引違い窓</t>
        </is>
      </c>
      <c r="D763" s="42" t="inlineStr">
        <is>
          <t>SP-SL-GRILLE-IGETA</t>
        </is>
      </c>
      <c r="E763" s="42" t="inlineStr">
        <is>
          <t>18609</t>
        </is>
      </c>
      <c r="F763" s="42" t="inlineStr">
        <is>
          <t>1900</t>
        </is>
      </c>
      <c r="G763" s="42" t="inlineStr">
        <is>
          <t>970</t>
        </is>
      </c>
      <c r="H763" s="42" t="inlineStr">
        <is>
          <t>True</t>
        </is>
      </c>
      <c r="I763" s="42" t="inlineStr">
        <is>
          <t>ALLOWED</t>
        </is>
      </c>
      <c r="J763" s="42" t="inlineStr">
        <is>
          <t>DIRECT_OFFICIAL_STANDARD_ROW</t>
        </is>
      </c>
      <c r="K763" s="42" t="inlineStr">
        <is>
          <t>SDC0003156</t>
        </is>
      </c>
      <c r="L763" s="42" t="inlineStr">
        <is>
          <t>マド2枚建 (201910～)</t>
        </is>
      </c>
      <c r="M763" s="42" t="inlineStr">
        <is>
          <t>104</t>
        </is>
      </c>
      <c r="N763" s="42" t="inlineStr">
        <is>
          <t>18609</t>
        </is>
      </c>
      <c r="O763" s="42" t="inlineStr">
        <is>
          <t>防犯建物部品欄の30mil構成を規格呼称へ直接突合。</t>
        </is>
      </c>
    </row>
    <row r="764">
      <c r="A764" s="42" t="inlineStr">
        <is>
          <t>SZ-SL-000763</t>
        </is>
      </c>
      <c r="B764" s="42" t="inlineStr">
        <is>
          <t>WT-SL-MENKOSHI-HIKI</t>
        </is>
      </c>
      <c r="C764" s="42" t="inlineStr">
        <is>
          <t>面格子付引違い窓</t>
        </is>
      </c>
      <c r="D764" s="42" t="inlineStr">
        <is>
          <t>SP-SL-GRILLE-V</t>
        </is>
      </c>
      <c r="E764" s="42" t="inlineStr">
        <is>
          <t>17409</t>
        </is>
      </c>
      <c r="F764" s="42" t="inlineStr">
        <is>
          <t>1780</t>
        </is>
      </c>
      <c r="G764" s="42" t="inlineStr">
        <is>
          <t>970</t>
        </is>
      </c>
      <c r="H764" s="42" t="inlineStr">
        <is>
          <t>True</t>
        </is>
      </c>
      <c r="I764" s="42" t="inlineStr">
        <is>
          <t>ALLOWED</t>
        </is>
      </c>
      <c r="J764" s="42" t="inlineStr">
        <is>
          <t>DIRECT_OFFICIAL_STANDARD_ROW</t>
        </is>
      </c>
      <c r="K764" s="42" t="inlineStr">
        <is>
          <t>SDC0003156</t>
        </is>
      </c>
      <c r="L764" s="42" t="inlineStr">
        <is>
          <t>マド2枚建 (201910～)</t>
        </is>
      </c>
      <c r="M764" s="42" t="inlineStr">
        <is>
          <t>79</t>
        </is>
      </c>
      <c r="N764" s="42" t="inlineStr">
        <is>
          <t>17409</t>
        </is>
      </c>
      <c r="O764" s="42" t="inlineStr">
        <is>
          <t>防犯建物部品欄の30mil構成を規格呼称へ直接突合。</t>
        </is>
      </c>
    </row>
    <row r="765">
      <c r="A765" s="42" t="inlineStr">
        <is>
          <t>SZ-SL-000764</t>
        </is>
      </c>
      <c r="B765" s="42" t="inlineStr">
        <is>
          <t>WT-SL-MENKOSHI-HIKI</t>
        </is>
      </c>
      <c r="C765" s="42" t="inlineStr">
        <is>
          <t>面格子付引違い窓</t>
        </is>
      </c>
      <c r="D765" s="42" t="inlineStr">
        <is>
          <t>SP-SL-GRILLE-V</t>
        </is>
      </c>
      <c r="E765" s="42" t="inlineStr">
        <is>
          <t>17609</t>
        </is>
      </c>
      <c r="F765" s="42" t="inlineStr">
        <is>
          <t>1800</t>
        </is>
      </c>
      <c r="G765" s="42" t="inlineStr">
        <is>
          <t>970</t>
        </is>
      </c>
      <c r="H765" s="42" t="inlineStr">
        <is>
          <t>True</t>
        </is>
      </c>
      <c r="I765" s="42" t="inlineStr">
        <is>
          <t>ALLOWED</t>
        </is>
      </c>
      <c r="J765" s="42" t="inlineStr">
        <is>
          <t>DIRECT_OFFICIAL_STANDARD_ROW</t>
        </is>
      </c>
      <c r="K765" s="42" t="inlineStr">
        <is>
          <t>SDC0003156</t>
        </is>
      </c>
      <c r="L765" s="42" t="inlineStr">
        <is>
          <t>マド2枚建 (201910～)</t>
        </is>
      </c>
      <c r="M765" s="42" t="inlineStr">
        <is>
          <t>84</t>
        </is>
      </c>
      <c r="N765" s="42" t="inlineStr">
        <is>
          <t>17609</t>
        </is>
      </c>
      <c r="O765" s="42" t="inlineStr">
        <is>
          <t>防犯建物部品欄の30mil構成を規格呼称へ直接突合。</t>
        </is>
      </c>
    </row>
    <row r="766">
      <c r="A766" s="42" t="inlineStr">
        <is>
          <t>SZ-SL-000765</t>
        </is>
      </c>
      <c r="B766" s="42" t="inlineStr">
        <is>
          <t>WT-SL-MENKOSHI-HIKI</t>
        </is>
      </c>
      <c r="C766" s="42" t="inlineStr">
        <is>
          <t>面格子付引違い窓</t>
        </is>
      </c>
      <c r="D766" s="42" t="inlineStr">
        <is>
          <t>SP-SL-GRILLE-V</t>
        </is>
      </c>
      <c r="E766" s="42" t="inlineStr">
        <is>
          <t>18009</t>
        </is>
      </c>
      <c r="F766" s="42" t="inlineStr">
        <is>
          <t>1845</t>
        </is>
      </c>
      <c r="G766" s="42" t="inlineStr">
        <is>
          <t>970</t>
        </is>
      </c>
      <c r="H766" s="42" t="inlineStr">
        <is>
          <t>True</t>
        </is>
      </c>
      <c r="I766" s="42" t="inlineStr">
        <is>
          <t>ALLOWED</t>
        </is>
      </c>
      <c r="J766" s="42" t="inlineStr">
        <is>
          <t>DIRECT_OFFICIAL_STANDARD_ROW</t>
        </is>
      </c>
      <c r="K766" s="42" t="inlineStr">
        <is>
          <t>SDC0003156</t>
        </is>
      </c>
      <c r="L766" s="42" t="inlineStr">
        <is>
          <t>マド2枚建 (201910～)</t>
        </is>
      </c>
      <c r="M766" s="42" t="inlineStr">
        <is>
          <t>94</t>
        </is>
      </c>
      <c r="N766" s="42" t="inlineStr">
        <is>
          <t>18009</t>
        </is>
      </c>
      <c r="O766" s="42" t="inlineStr">
        <is>
          <t>防犯建物部品欄の30mil構成を規格呼称へ直接突合。</t>
        </is>
      </c>
    </row>
    <row r="767">
      <c r="A767" s="42" t="inlineStr">
        <is>
          <t>SZ-SL-000766</t>
        </is>
      </c>
      <c r="B767" s="42" t="inlineStr">
        <is>
          <t>WT-SL-MENKOSHI-HIKI</t>
        </is>
      </c>
      <c r="C767" s="42" t="inlineStr">
        <is>
          <t>面格子付引違い窓</t>
        </is>
      </c>
      <c r="D767" s="42" t="inlineStr">
        <is>
          <t>SP-SL-GRILLE-V</t>
        </is>
      </c>
      <c r="E767" s="42" t="inlineStr">
        <is>
          <t>18609</t>
        </is>
      </c>
      <c r="F767" s="42" t="inlineStr">
        <is>
          <t>1900</t>
        </is>
      </c>
      <c r="G767" s="42" t="inlineStr">
        <is>
          <t>970</t>
        </is>
      </c>
      <c r="H767" s="42" t="inlineStr">
        <is>
          <t>True</t>
        </is>
      </c>
      <c r="I767" s="42" t="inlineStr">
        <is>
          <t>ALLOWED</t>
        </is>
      </c>
      <c r="J767" s="42" t="inlineStr">
        <is>
          <t>DIRECT_OFFICIAL_STANDARD_ROW</t>
        </is>
      </c>
      <c r="K767" s="42" t="inlineStr">
        <is>
          <t>SDC0003156</t>
        </is>
      </c>
      <c r="L767" s="42" t="inlineStr">
        <is>
          <t>マド2枚建 (201910～)</t>
        </is>
      </c>
      <c r="M767" s="42" t="inlineStr">
        <is>
          <t>104</t>
        </is>
      </c>
      <c r="N767" s="42" t="inlineStr">
        <is>
          <t>18609</t>
        </is>
      </c>
      <c r="O767" s="42" t="inlineStr">
        <is>
          <t>防犯建物部品欄の30mil構成を規格呼称へ直接突合。</t>
        </is>
      </c>
    </row>
    <row r="768">
      <c r="A768" s="42" t="inlineStr">
        <is>
          <t>SZ-SL-000767</t>
        </is>
      </c>
      <c r="B768" s="42" t="inlineStr">
        <is>
          <t>WT-SL-MENKOSHI-HIKI</t>
        </is>
      </c>
      <c r="C768" s="42" t="inlineStr">
        <is>
          <t>面格子付引違い窓</t>
        </is>
      </c>
      <c r="D768" s="42" t="inlineStr">
        <is>
          <t>SP-SL-GRILLE-DIA</t>
        </is>
      </c>
      <c r="E768" s="42" t="inlineStr">
        <is>
          <t>07411</t>
        </is>
      </c>
      <c r="F768" s="42" t="inlineStr">
        <is>
          <t>780</t>
        </is>
      </c>
      <c r="G768" s="42" t="inlineStr">
        <is>
          <t>1170</t>
        </is>
      </c>
      <c r="H768" s="42" t="inlineStr">
        <is>
          <t>True</t>
        </is>
      </c>
      <c r="I768" s="42" t="inlineStr">
        <is>
          <t>ALLOWED</t>
        </is>
      </c>
      <c r="J768" s="42" t="inlineStr">
        <is>
          <t>DIRECT_OFFICIAL_STANDARD_ROW</t>
        </is>
      </c>
      <c r="K768" s="42" t="inlineStr">
        <is>
          <t>SDC0003156</t>
        </is>
      </c>
      <c r="L768" s="42" t="inlineStr">
        <is>
          <t>マド2枚建 (201910～)</t>
        </is>
      </c>
      <c r="M768" s="42" t="inlineStr">
        <is>
          <t>21</t>
        </is>
      </c>
      <c r="N768" s="42" t="inlineStr">
        <is>
          <t>07411</t>
        </is>
      </c>
      <c r="O768" s="42" t="inlineStr">
        <is>
          <t>防犯建物部品欄の30mil構成を規格呼称へ直接突合。</t>
        </is>
      </c>
    </row>
    <row r="769">
      <c r="A769" s="42" t="inlineStr">
        <is>
          <t>SZ-SL-000768</t>
        </is>
      </c>
      <c r="B769" s="42" t="inlineStr">
        <is>
          <t>WT-SL-MENKOSHI-HIKI</t>
        </is>
      </c>
      <c r="C769" s="42" t="inlineStr">
        <is>
          <t>面格子付引違い窓</t>
        </is>
      </c>
      <c r="D769" s="42" t="inlineStr">
        <is>
          <t>SP-SL-GRILLE-H</t>
        </is>
      </c>
      <c r="E769" s="42" t="inlineStr">
        <is>
          <t>07411</t>
        </is>
      </c>
      <c r="F769" s="42" t="inlineStr">
        <is>
          <t>780</t>
        </is>
      </c>
      <c r="G769" s="42" t="inlineStr">
        <is>
          <t>1170</t>
        </is>
      </c>
      <c r="H769" s="42" t="inlineStr">
        <is>
          <t>True</t>
        </is>
      </c>
      <c r="I769" s="42" t="inlineStr">
        <is>
          <t>ALLOWED</t>
        </is>
      </c>
      <c r="J769" s="42" t="inlineStr">
        <is>
          <t>DIRECT_OFFICIAL_STANDARD_ROW</t>
        </is>
      </c>
      <c r="K769" s="42" t="inlineStr">
        <is>
          <t>SDC0003156</t>
        </is>
      </c>
      <c r="L769" s="42" t="inlineStr">
        <is>
          <t>マド2枚建 (201910～)</t>
        </is>
      </c>
      <c r="M769" s="42" t="inlineStr">
        <is>
          <t>21</t>
        </is>
      </c>
      <c r="N769" s="42" t="inlineStr">
        <is>
          <t>07411</t>
        </is>
      </c>
      <c r="O769" s="42" t="inlineStr">
        <is>
          <t>防犯建物部品欄の30mil構成を規格呼称へ直接突合。</t>
        </is>
      </c>
    </row>
    <row r="770">
      <c r="A770" s="42" t="inlineStr">
        <is>
          <t>SZ-SL-000769</t>
        </is>
      </c>
      <c r="B770" s="42" t="inlineStr">
        <is>
          <t>WT-SL-MENKOSHI-HIKI</t>
        </is>
      </c>
      <c r="C770" s="42" t="inlineStr">
        <is>
          <t>面格子付引違い窓</t>
        </is>
      </c>
      <c r="D770" s="42" t="inlineStr">
        <is>
          <t>SP-SL-GRILLE-IGETA</t>
        </is>
      </c>
      <c r="E770" s="42" t="inlineStr">
        <is>
          <t>07411</t>
        </is>
      </c>
      <c r="F770" s="42" t="inlineStr">
        <is>
          <t>780</t>
        </is>
      </c>
      <c r="G770" s="42" t="inlineStr">
        <is>
          <t>1170</t>
        </is>
      </c>
      <c r="H770" s="42" t="inlineStr">
        <is>
          <t>True</t>
        </is>
      </c>
      <c r="I770" s="42" t="inlineStr">
        <is>
          <t>ALLOWED</t>
        </is>
      </c>
      <c r="J770" s="42" t="inlineStr">
        <is>
          <t>DIRECT_OFFICIAL_STANDARD_ROW</t>
        </is>
      </c>
      <c r="K770" s="42" t="inlineStr">
        <is>
          <t>SDC0003156</t>
        </is>
      </c>
      <c r="L770" s="42" t="inlineStr">
        <is>
          <t>マド2枚建 (201910～)</t>
        </is>
      </c>
      <c r="M770" s="42" t="inlineStr">
        <is>
          <t>21</t>
        </is>
      </c>
      <c r="N770" s="42" t="inlineStr">
        <is>
          <t>07411</t>
        </is>
      </c>
      <c r="O770" s="42" t="inlineStr">
        <is>
          <t>防犯建物部品欄の30mil構成を規格呼称へ直接突合。</t>
        </is>
      </c>
    </row>
    <row r="771">
      <c r="A771" s="42" t="inlineStr">
        <is>
          <t>SZ-SL-000770</t>
        </is>
      </c>
      <c r="B771" s="42" t="inlineStr">
        <is>
          <t>WT-SL-MENKOSHI-HIKI</t>
        </is>
      </c>
      <c r="C771" s="42" t="inlineStr">
        <is>
          <t>面格子付引違い窓</t>
        </is>
      </c>
      <c r="D771" s="42" t="inlineStr">
        <is>
          <t>SP-SL-GRILLE-V</t>
        </is>
      </c>
      <c r="E771" s="42" t="inlineStr">
        <is>
          <t>07411</t>
        </is>
      </c>
      <c r="F771" s="42" t="inlineStr">
        <is>
          <t>780</t>
        </is>
      </c>
      <c r="G771" s="42" t="inlineStr">
        <is>
          <t>1170</t>
        </is>
      </c>
      <c r="H771" s="42" t="inlineStr">
        <is>
          <t>True</t>
        </is>
      </c>
      <c r="I771" s="42" t="inlineStr">
        <is>
          <t>ALLOWED</t>
        </is>
      </c>
      <c r="J771" s="42" t="inlineStr">
        <is>
          <t>DIRECT_OFFICIAL_STANDARD_ROW</t>
        </is>
      </c>
      <c r="K771" s="42" t="inlineStr">
        <is>
          <t>SDC0003156</t>
        </is>
      </c>
      <c r="L771" s="42" t="inlineStr">
        <is>
          <t>マド2枚建 (201910～)</t>
        </is>
      </c>
      <c r="M771" s="42" t="inlineStr">
        <is>
          <t>21</t>
        </is>
      </c>
      <c r="N771" s="42" t="inlineStr">
        <is>
          <t>07411</t>
        </is>
      </c>
      <c r="O771" s="42" t="inlineStr">
        <is>
          <t>防犯建物部品欄の30mil構成を規格呼称へ直接突合。</t>
        </is>
      </c>
    </row>
    <row r="772">
      <c r="A772" s="42" t="inlineStr">
        <is>
          <t>SZ-SL-000771</t>
        </is>
      </c>
      <c r="B772" s="42" t="inlineStr">
        <is>
          <t>WT-SL-MENKOSHI-HIKI</t>
        </is>
      </c>
      <c r="C772" s="42" t="inlineStr">
        <is>
          <t>面格子付引違い窓</t>
        </is>
      </c>
      <c r="D772" s="42" t="inlineStr">
        <is>
          <t>SP-SL-GRILLE-DIA</t>
        </is>
      </c>
      <c r="E772" s="42" t="inlineStr">
        <is>
          <t>08011</t>
        </is>
      </c>
      <c r="F772" s="42" t="inlineStr">
        <is>
          <t>845</t>
        </is>
      </c>
      <c r="G772" s="42" t="inlineStr">
        <is>
          <t>1170</t>
        </is>
      </c>
      <c r="H772" s="42" t="inlineStr">
        <is>
          <t>True</t>
        </is>
      </c>
      <c r="I772" s="42" t="inlineStr">
        <is>
          <t>UNVERIFIED_SOURCE_GAP</t>
        </is>
      </c>
      <c r="J772" s="42" t="inlineStr">
        <is>
          <t>OFFICIAL_DOCUMENT_SCOPE_GAP</t>
        </is>
      </c>
      <c r="K772" s="42" t="inlineStr">
        <is>
          <t>SDC0003156</t>
        </is>
      </c>
      <c r="L772" s="42" t="str"/>
      <c r="M772" s="42" t="str"/>
      <c r="N772" s="42" t="str"/>
      <c r="O772" s="42" t="inlineStr">
        <is>
          <t>対象文書は当該窓種を含むが、このRuntime規格呼称に対応する30mil○/×行を取得できていない。</t>
        </is>
      </c>
    </row>
    <row r="773">
      <c r="A773" s="42" t="inlineStr">
        <is>
          <t>SZ-SL-000772</t>
        </is>
      </c>
      <c r="B773" s="42" t="inlineStr">
        <is>
          <t>WT-SL-MENKOSHI-HIKI</t>
        </is>
      </c>
      <c r="C773" s="42" t="inlineStr">
        <is>
          <t>面格子付引違い窓</t>
        </is>
      </c>
      <c r="D773" s="42" t="inlineStr">
        <is>
          <t>SP-SL-GRILLE-DIA</t>
        </is>
      </c>
      <c r="E773" s="42" t="inlineStr">
        <is>
          <t>08311</t>
        </is>
      </c>
      <c r="F773" s="42" t="inlineStr">
        <is>
          <t>870</t>
        </is>
      </c>
      <c r="G773" s="42" t="inlineStr">
        <is>
          <t>1170</t>
        </is>
      </c>
      <c r="H773" s="42" t="inlineStr">
        <is>
          <t>True</t>
        </is>
      </c>
      <c r="I773" s="42" t="inlineStr">
        <is>
          <t>ALLOWED</t>
        </is>
      </c>
      <c r="J773" s="42" t="inlineStr">
        <is>
          <t>DIRECT_OFFICIAL_STANDARD_ROW</t>
        </is>
      </c>
      <c r="K773" s="42" t="inlineStr">
        <is>
          <t>SDC0003156</t>
        </is>
      </c>
      <c r="L773" s="42" t="inlineStr">
        <is>
          <t>マド2枚建 (201910～)</t>
        </is>
      </c>
      <c r="M773" s="42" t="inlineStr">
        <is>
          <t>31</t>
        </is>
      </c>
      <c r="N773" s="42" t="inlineStr">
        <is>
          <t>08311</t>
        </is>
      </c>
      <c r="O773" s="42" t="inlineStr">
        <is>
          <t>防犯建物部品欄の30mil構成を規格呼称へ直接突合。</t>
        </is>
      </c>
    </row>
    <row r="774">
      <c r="A774" s="42" t="inlineStr">
        <is>
          <t>SZ-SL-000773</t>
        </is>
      </c>
      <c r="B774" s="42" t="inlineStr">
        <is>
          <t>WT-SL-MENKOSHI-HIKI</t>
        </is>
      </c>
      <c r="C774" s="42" t="inlineStr">
        <is>
          <t>面格子付引違い窓</t>
        </is>
      </c>
      <c r="D774" s="42" t="inlineStr">
        <is>
          <t>SP-SL-GRILLE-DIA</t>
        </is>
      </c>
      <c r="E774" s="42" t="inlineStr">
        <is>
          <t>11411</t>
        </is>
      </c>
      <c r="F774" s="42" t="inlineStr">
        <is>
          <t>1185</t>
        </is>
      </c>
      <c r="G774" s="42" t="inlineStr">
        <is>
          <t>1170</t>
        </is>
      </c>
      <c r="H774" s="42" t="inlineStr">
        <is>
          <t>True</t>
        </is>
      </c>
      <c r="I774" s="42" t="inlineStr">
        <is>
          <t>ALLOWED</t>
        </is>
      </c>
      <c r="J774" s="42" t="inlineStr">
        <is>
          <t>DIRECT_OFFICIAL_STANDARD_ROW</t>
        </is>
      </c>
      <c r="K774" s="42" t="inlineStr">
        <is>
          <t>SDC0003156</t>
        </is>
      </c>
      <c r="L774" s="42" t="inlineStr">
        <is>
          <t>マド2枚建 (201910～)</t>
        </is>
      </c>
      <c r="M774" s="42" t="inlineStr">
        <is>
          <t>35</t>
        </is>
      </c>
      <c r="N774" s="42" t="inlineStr">
        <is>
          <t>11411</t>
        </is>
      </c>
      <c r="O774" s="42" t="inlineStr">
        <is>
          <t>防犯建物部品欄の30mil構成を規格呼称へ直接突合。</t>
        </is>
      </c>
    </row>
    <row r="775">
      <c r="A775" s="42" t="inlineStr">
        <is>
          <t>SZ-SL-000774</t>
        </is>
      </c>
      <c r="B775" s="42" t="inlineStr">
        <is>
          <t>WT-SL-MENKOSHI-HIKI</t>
        </is>
      </c>
      <c r="C775" s="42" t="inlineStr">
        <is>
          <t>面格子付引違い窓</t>
        </is>
      </c>
      <c r="D775" s="42" t="inlineStr">
        <is>
          <t>SP-SL-GRILLE-DIA</t>
        </is>
      </c>
      <c r="E775" s="42" t="inlineStr">
        <is>
          <t>11911</t>
        </is>
      </c>
      <c r="F775" s="42" t="inlineStr">
        <is>
          <t>1235</t>
        </is>
      </c>
      <c r="G775" s="42" t="inlineStr">
        <is>
          <t>1170</t>
        </is>
      </c>
      <c r="H775" s="42" t="inlineStr">
        <is>
          <t>True</t>
        </is>
      </c>
      <c r="I775" s="42" t="inlineStr">
        <is>
          <t>ALLOWED</t>
        </is>
      </c>
      <c r="J775" s="42" t="inlineStr">
        <is>
          <t>DIRECT_OFFICIAL_STANDARD_ROW</t>
        </is>
      </c>
      <c r="K775" s="42" t="inlineStr">
        <is>
          <t>SDC0003156</t>
        </is>
      </c>
      <c r="L775" s="42" t="inlineStr">
        <is>
          <t>マド2枚建 (201910～)</t>
        </is>
      </c>
      <c r="M775" s="42" t="inlineStr">
        <is>
          <t>41</t>
        </is>
      </c>
      <c r="N775" s="42" t="inlineStr">
        <is>
          <t>11911</t>
        </is>
      </c>
      <c r="O775" s="42" t="inlineStr">
        <is>
          <t>防犯建物部品欄の30mil構成を規格呼称へ直接突合。</t>
        </is>
      </c>
    </row>
    <row r="776">
      <c r="A776" s="42" t="inlineStr">
        <is>
          <t>SZ-SL-000775</t>
        </is>
      </c>
      <c r="B776" s="42" t="inlineStr">
        <is>
          <t>WT-SL-MENKOSHI-HIKI</t>
        </is>
      </c>
      <c r="C776" s="42" t="inlineStr">
        <is>
          <t>面格子付引違い窓</t>
        </is>
      </c>
      <c r="D776" s="42" t="inlineStr">
        <is>
          <t>SP-SL-GRILLE-DIA</t>
        </is>
      </c>
      <c r="E776" s="42" t="inlineStr">
        <is>
          <t>12811</t>
        </is>
      </c>
      <c r="F776" s="42" t="inlineStr">
        <is>
          <t>1320</t>
        </is>
      </c>
      <c r="G776" s="42" t="inlineStr">
        <is>
          <t>1170</t>
        </is>
      </c>
      <c r="H776" s="42" t="inlineStr">
        <is>
          <t>True</t>
        </is>
      </c>
      <c r="I776" s="42" t="inlineStr">
        <is>
          <t>ALLOWED</t>
        </is>
      </c>
      <c r="J776" s="42" t="inlineStr">
        <is>
          <t>DIRECT_OFFICIAL_STANDARD_ROW</t>
        </is>
      </c>
      <c r="K776" s="42" t="inlineStr">
        <is>
          <t>SDC0003156</t>
        </is>
      </c>
      <c r="L776" s="42" t="inlineStr">
        <is>
          <t>マド2枚建 (201910～)</t>
        </is>
      </c>
      <c r="M776" s="42" t="inlineStr">
        <is>
          <t>46</t>
        </is>
      </c>
      <c r="N776" s="42" t="inlineStr">
        <is>
          <t>12811</t>
        </is>
      </c>
      <c r="O776" s="42" t="inlineStr">
        <is>
          <t>防犯建物部品欄の30mil構成を規格呼称へ直接突合。</t>
        </is>
      </c>
    </row>
    <row r="777">
      <c r="A777" s="42" t="inlineStr">
        <is>
          <t>SZ-SL-000776</t>
        </is>
      </c>
      <c r="B777" s="42" t="inlineStr">
        <is>
          <t>WT-SL-MENKOSHI-HIKI</t>
        </is>
      </c>
      <c r="C777" s="42" t="inlineStr">
        <is>
          <t>面格子付引違い窓</t>
        </is>
      </c>
      <c r="D777" s="42" t="inlineStr">
        <is>
          <t>SP-SL-GRILLE-H</t>
        </is>
      </c>
      <c r="E777" s="42" t="inlineStr">
        <is>
          <t>08011</t>
        </is>
      </c>
      <c r="F777" s="42" t="inlineStr">
        <is>
          <t>845</t>
        </is>
      </c>
      <c r="G777" s="42" t="inlineStr">
        <is>
          <t>1170</t>
        </is>
      </c>
      <c r="H777" s="42" t="inlineStr">
        <is>
          <t>True</t>
        </is>
      </c>
      <c r="I777" s="42" t="inlineStr">
        <is>
          <t>UNVERIFIED_SOURCE_GAP</t>
        </is>
      </c>
      <c r="J777" s="42" t="inlineStr">
        <is>
          <t>OFFICIAL_DOCUMENT_SCOPE_GAP</t>
        </is>
      </c>
      <c r="K777" s="42" t="inlineStr">
        <is>
          <t>SDC0003156</t>
        </is>
      </c>
      <c r="L777" s="42" t="str"/>
      <c r="M777" s="42" t="str"/>
      <c r="N777" s="42" t="str"/>
      <c r="O777" s="42" t="inlineStr">
        <is>
          <t>対象文書は当該窓種を含むが、このRuntime規格呼称に対応する30mil○/×行を取得できていない。</t>
        </is>
      </c>
    </row>
    <row r="778">
      <c r="A778" s="42" t="inlineStr">
        <is>
          <t>SZ-SL-000777</t>
        </is>
      </c>
      <c r="B778" s="42" t="inlineStr">
        <is>
          <t>WT-SL-MENKOSHI-HIKI</t>
        </is>
      </c>
      <c r="C778" s="42" t="inlineStr">
        <is>
          <t>面格子付引違い窓</t>
        </is>
      </c>
      <c r="D778" s="42" t="inlineStr">
        <is>
          <t>SP-SL-GRILLE-H</t>
        </is>
      </c>
      <c r="E778" s="42" t="inlineStr">
        <is>
          <t>08311</t>
        </is>
      </c>
      <c r="F778" s="42" t="inlineStr">
        <is>
          <t>870</t>
        </is>
      </c>
      <c r="G778" s="42" t="inlineStr">
        <is>
          <t>1170</t>
        </is>
      </c>
      <c r="H778" s="42" t="inlineStr">
        <is>
          <t>True</t>
        </is>
      </c>
      <c r="I778" s="42" t="inlineStr">
        <is>
          <t>ALLOWED</t>
        </is>
      </c>
      <c r="J778" s="42" t="inlineStr">
        <is>
          <t>DIRECT_OFFICIAL_STANDARD_ROW</t>
        </is>
      </c>
      <c r="K778" s="42" t="inlineStr">
        <is>
          <t>SDC0003156</t>
        </is>
      </c>
      <c r="L778" s="42" t="inlineStr">
        <is>
          <t>マド2枚建 (201910～)</t>
        </is>
      </c>
      <c r="M778" s="42" t="inlineStr">
        <is>
          <t>31</t>
        </is>
      </c>
      <c r="N778" s="42" t="inlineStr">
        <is>
          <t>08311</t>
        </is>
      </c>
      <c r="O778" s="42" t="inlineStr">
        <is>
          <t>防犯建物部品欄の30mil構成を規格呼称へ直接突合。</t>
        </is>
      </c>
    </row>
    <row r="779">
      <c r="A779" s="42" t="inlineStr">
        <is>
          <t>SZ-SL-000778</t>
        </is>
      </c>
      <c r="B779" s="42" t="inlineStr">
        <is>
          <t>WT-SL-MENKOSHI-HIKI</t>
        </is>
      </c>
      <c r="C779" s="42" t="inlineStr">
        <is>
          <t>面格子付引違い窓</t>
        </is>
      </c>
      <c r="D779" s="42" t="inlineStr">
        <is>
          <t>SP-SL-GRILLE-H</t>
        </is>
      </c>
      <c r="E779" s="42" t="inlineStr">
        <is>
          <t>11411</t>
        </is>
      </c>
      <c r="F779" s="42" t="inlineStr">
        <is>
          <t>1185</t>
        </is>
      </c>
      <c r="G779" s="42" t="inlineStr">
        <is>
          <t>1170</t>
        </is>
      </c>
      <c r="H779" s="42" t="inlineStr">
        <is>
          <t>True</t>
        </is>
      </c>
      <c r="I779" s="42" t="inlineStr">
        <is>
          <t>ALLOWED</t>
        </is>
      </c>
      <c r="J779" s="42" t="inlineStr">
        <is>
          <t>DIRECT_OFFICIAL_STANDARD_ROW</t>
        </is>
      </c>
      <c r="K779" s="42" t="inlineStr">
        <is>
          <t>SDC0003156</t>
        </is>
      </c>
      <c r="L779" s="42" t="inlineStr">
        <is>
          <t>マド2枚建 (201910～)</t>
        </is>
      </c>
      <c r="M779" s="42" t="inlineStr">
        <is>
          <t>35</t>
        </is>
      </c>
      <c r="N779" s="42" t="inlineStr">
        <is>
          <t>11411</t>
        </is>
      </c>
      <c r="O779" s="42" t="inlineStr">
        <is>
          <t>防犯建物部品欄の30mil構成を規格呼称へ直接突合。</t>
        </is>
      </c>
    </row>
    <row r="780">
      <c r="A780" s="42" t="inlineStr">
        <is>
          <t>SZ-SL-000779</t>
        </is>
      </c>
      <c r="B780" s="42" t="inlineStr">
        <is>
          <t>WT-SL-MENKOSHI-HIKI</t>
        </is>
      </c>
      <c r="C780" s="42" t="inlineStr">
        <is>
          <t>面格子付引違い窓</t>
        </is>
      </c>
      <c r="D780" s="42" t="inlineStr">
        <is>
          <t>SP-SL-GRILLE-H</t>
        </is>
      </c>
      <c r="E780" s="42" t="inlineStr">
        <is>
          <t>11911</t>
        </is>
      </c>
      <c r="F780" s="42" t="inlineStr">
        <is>
          <t>1235</t>
        </is>
      </c>
      <c r="G780" s="42" t="inlineStr">
        <is>
          <t>1170</t>
        </is>
      </c>
      <c r="H780" s="42" t="inlineStr">
        <is>
          <t>True</t>
        </is>
      </c>
      <c r="I780" s="42" t="inlineStr">
        <is>
          <t>ALLOWED</t>
        </is>
      </c>
      <c r="J780" s="42" t="inlineStr">
        <is>
          <t>DIRECT_OFFICIAL_STANDARD_ROW</t>
        </is>
      </c>
      <c r="K780" s="42" t="inlineStr">
        <is>
          <t>SDC0003156</t>
        </is>
      </c>
      <c r="L780" s="42" t="inlineStr">
        <is>
          <t>マド2枚建 (201910～)</t>
        </is>
      </c>
      <c r="M780" s="42" t="inlineStr">
        <is>
          <t>41</t>
        </is>
      </c>
      <c r="N780" s="42" t="inlineStr">
        <is>
          <t>11911</t>
        </is>
      </c>
      <c r="O780" s="42" t="inlineStr">
        <is>
          <t>防犯建物部品欄の30mil構成を規格呼称へ直接突合。</t>
        </is>
      </c>
    </row>
    <row r="781">
      <c r="A781" s="42" t="inlineStr">
        <is>
          <t>SZ-SL-000780</t>
        </is>
      </c>
      <c r="B781" s="42" t="inlineStr">
        <is>
          <t>WT-SL-MENKOSHI-HIKI</t>
        </is>
      </c>
      <c r="C781" s="42" t="inlineStr">
        <is>
          <t>面格子付引違い窓</t>
        </is>
      </c>
      <c r="D781" s="42" t="inlineStr">
        <is>
          <t>SP-SL-GRILLE-H</t>
        </is>
      </c>
      <c r="E781" s="42" t="inlineStr">
        <is>
          <t>12811</t>
        </is>
      </c>
      <c r="F781" s="42" t="inlineStr">
        <is>
          <t>1320</t>
        </is>
      </c>
      <c r="G781" s="42" t="inlineStr">
        <is>
          <t>1170</t>
        </is>
      </c>
      <c r="H781" s="42" t="inlineStr">
        <is>
          <t>True</t>
        </is>
      </c>
      <c r="I781" s="42" t="inlineStr">
        <is>
          <t>ALLOWED</t>
        </is>
      </c>
      <c r="J781" s="42" t="inlineStr">
        <is>
          <t>DIRECT_OFFICIAL_STANDARD_ROW</t>
        </is>
      </c>
      <c r="K781" s="42" t="inlineStr">
        <is>
          <t>SDC0003156</t>
        </is>
      </c>
      <c r="L781" s="42" t="inlineStr">
        <is>
          <t>マド2枚建 (201910～)</t>
        </is>
      </c>
      <c r="M781" s="42" t="inlineStr">
        <is>
          <t>46</t>
        </is>
      </c>
      <c r="N781" s="42" t="inlineStr">
        <is>
          <t>12811</t>
        </is>
      </c>
      <c r="O781" s="42" t="inlineStr">
        <is>
          <t>防犯建物部品欄の30mil構成を規格呼称へ直接突合。</t>
        </is>
      </c>
    </row>
    <row r="782">
      <c r="A782" s="42" t="inlineStr">
        <is>
          <t>SZ-SL-000781</t>
        </is>
      </c>
      <c r="B782" s="42" t="inlineStr">
        <is>
          <t>WT-SL-MENKOSHI-HIKI</t>
        </is>
      </c>
      <c r="C782" s="42" t="inlineStr">
        <is>
          <t>面格子付引違い窓</t>
        </is>
      </c>
      <c r="D782" s="42" t="inlineStr">
        <is>
          <t>SP-SL-GRILLE-IGETA</t>
        </is>
      </c>
      <c r="E782" s="42" t="inlineStr">
        <is>
          <t>08011</t>
        </is>
      </c>
      <c r="F782" s="42" t="inlineStr">
        <is>
          <t>845</t>
        </is>
      </c>
      <c r="G782" s="42" t="inlineStr">
        <is>
          <t>1170</t>
        </is>
      </c>
      <c r="H782" s="42" t="inlineStr">
        <is>
          <t>True</t>
        </is>
      </c>
      <c r="I782" s="42" t="inlineStr">
        <is>
          <t>UNVERIFIED_SOURCE_GAP</t>
        </is>
      </c>
      <c r="J782" s="42" t="inlineStr">
        <is>
          <t>OFFICIAL_DOCUMENT_SCOPE_GAP</t>
        </is>
      </c>
      <c r="K782" s="42" t="inlineStr">
        <is>
          <t>SDC0003156</t>
        </is>
      </c>
      <c r="L782" s="42" t="str"/>
      <c r="M782" s="42" t="str"/>
      <c r="N782" s="42" t="str"/>
      <c r="O782" s="42" t="inlineStr">
        <is>
          <t>対象文書は当該窓種を含むが、このRuntime規格呼称に対応する30mil○/×行を取得できていない。</t>
        </is>
      </c>
    </row>
    <row r="783">
      <c r="A783" s="42" t="inlineStr">
        <is>
          <t>SZ-SL-000782</t>
        </is>
      </c>
      <c r="B783" s="42" t="inlineStr">
        <is>
          <t>WT-SL-MENKOSHI-HIKI</t>
        </is>
      </c>
      <c r="C783" s="42" t="inlineStr">
        <is>
          <t>面格子付引違い窓</t>
        </is>
      </c>
      <c r="D783" s="42" t="inlineStr">
        <is>
          <t>SP-SL-GRILLE-IGETA</t>
        </is>
      </c>
      <c r="E783" s="42" t="inlineStr">
        <is>
          <t>08311</t>
        </is>
      </c>
      <c r="F783" s="42" t="inlineStr">
        <is>
          <t>870</t>
        </is>
      </c>
      <c r="G783" s="42" t="inlineStr">
        <is>
          <t>1170</t>
        </is>
      </c>
      <c r="H783" s="42" t="inlineStr">
        <is>
          <t>True</t>
        </is>
      </c>
      <c r="I783" s="42" t="inlineStr">
        <is>
          <t>ALLOWED</t>
        </is>
      </c>
      <c r="J783" s="42" t="inlineStr">
        <is>
          <t>DIRECT_OFFICIAL_STANDARD_ROW</t>
        </is>
      </c>
      <c r="K783" s="42" t="inlineStr">
        <is>
          <t>SDC0003156</t>
        </is>
      </c>
      <c r="L783" s="42" t="inlineStr">
        <is>
          <t>マド2枚建 (201910～)</t>
        </is>
      </c>
      <c r="M783" s="42" t="inlineStr">
        <is>
          <t>31</t>
        </is>
      </c>
      <c r="N783" s="42" t="inlineStr">
        <is>
          <t>08311</t>
        </is>
      </c>
      <c r="O783" s="42" t="inlineStr">
        <is>
          <t>防犯建物部品欄の30mil構成を規格呼称へ直接突合。</t>
        </is>
      </c>
    </row>
    <row r="784">
      <c r="A784" s="42" t="inlineStr">
        <is>
          <t>SZ-SL-000783</t>
        </is>
      </c>
      <c r="B784" s="42" t="inlineStr">
        <is>
          <t>WT-SL-MENKOSHI-HIKI</t>
        </is>
      </c>
      <c r="C784" s="42" t="inlineStr">
        <is>
          <t>面格子付引違い窓</t>
        </is>
      </c>
      <c r="D784" s="42" t="inlineStr">
        <is>
          <t>SP-SL-GRILLE-IGETA</t>
        </is>
      </c>
      <c r="E784" s="42" t="inlineStr">
        <is>
          <t>11411</t>
        </is>
      </c>
      <c r="F784" s="42" t="inlineStr">
        <is>
          <t>1185</t>
        </is>
      </c>
      <c r="G784" s="42" t="inlineStr">
        <is>
          <t>1170</t>
        </is>
      </c>
      <c r="H784" s="42" t="inlineStr">
        <is>
          <t>True</t>
        </is>
      </c>
      <c r="I784" s="42" t="inlineStr">
        <is>
          <t>ALLOWED</t>
        </is>
      </c>
      <c r="J784" s="42" t="inlineStr">
        <is>
          <t>DIRECT_OFFICIAL_STANDARD_ROW</t>
        </is>
      </c>
      <c r="K784" s="42" t="inlineStr">
        <is>
          <t>SDC0003156</t>
        </is>
      </c>
      <c r="L784" s="42" t="inlineStr">
        <is>
          <t>マド2枚建 (201910～)</t>
        </is>
      </c>
      <c r="M784" s="42" t="inlineStr">
        <is>
          <t>35</t>
        </is>
      </c>
      <c r="N784" s="42" t="inlineStr">
        <is>
          <t>11411</t>
        </is>
      </c>
      <c r="O784" s="42" t="inlineStr">
        <is>
          <t>防犯建物部品欄の30mil構成を規格呼称へ直接突合。</t>
        </is>
      </c>
    </row>
    <row r="785">
      <c r="A785" s="42" t="inlineStr">
        <is>
          <t>SZ-SL-000784</t>
        </is>
      </c>
      <c r="B785" s="42" t="inlineStr">
        <is>
          <t>WT-SL-MENKOSHI-HIKI</t>
        </is>
      </c>
      <c r="C785" s="42" t="inlineStr">
        <is>
          <t>面格子付引違い窓</t>
        </is>
      </c>
      <c r="D785" s="42" t="inlineStr">
        <is>
          <t>SP-SL-GRILLE-IGETA</t>
        </is>
      </c>
      <c r="E785" s="42" t="inlineStr">
        <is>
          <t>11911</t>
        </is>
      </c>
      <c r="F785" s="42" t="inlineStr">
        <is>
          <t>1235</t>
        </is>
      </c>
      <c r="G785" s="42" t="inlineStr">
        <is>
          <t>1170</t>
        </is>
      </c>
      <c r="H785" s="42" t="inlineStr">
        <is>
          <t>True</t>
        </is>
      </c>
      <c r="I785" s="42" t="inlineStr">
        <is>
          <t>ALLOWED</t>
        </is>
      </c>
      <c r="J785" s="42" t="inlineStr">
        <is>
          <t>DIRECT_OFFICIAL_STANDARD_ROW</t>
        </is>
      </c>
      <c r="K785" s="42" t="inlineStr">
        <is>
          <t>SDC0003156</t>
        </is>
      </c>
      <c r="L785" s="42" t="inlineStr">
        <is>
          <t>マド2枚建 (201910～)</t>
        </is>
      </c>
      <c r="M785" s="42" t="inlineStr">
        <is>
          <t>41</t>
        </is>
      </c>
      <c r="N785" s="42" t="inlineStr">
        <is>
          <t>11911</t>
        </is>
      </c>
      <c r="O785" s="42" t="inlineStr">
        <is>
          <t>防犯建物部品欄の30mil構成を規格呼称へ直接突合。</t>
        </is>
      </c>
    </row>
    <row r="786">
      <c r="A786" s="42" t="inlineStr">
        <is>
          <t>SZ-SL-000785</t>
        </is>
      </c>
      <c r="B786" s="42" t="inlineStr">
        <is>
          <t>WT-SL-MENKOSHI-HIKI</t>
        </is>
      </c>
      <c r="C786" s="42" t="inlineStr">
        <is>
          <t>面格子付引違い窓</t>
        </is>
      </c>
      <c r="D786" s="42" t="inlineStr">
        <is>
          <t>SP-SL-GRILLE-IGETA</t>
        </is>
      </c>
      <c r="E786" s="42" t="inlineStr">
        <is>
          <t>12811</t>
        </is>
      </c>
      <c r="F786" s="42" t="inlineStr">
        <is>
          <t>1320</t>
        </is>
      </c>
      <c r="G786" s="42" t="inlineStr">
        <is>
          <t>1170</t>
        </is>
      </c>
      <c r="H786" s="42" t="inlineStr">
        <is>
          <t>True</t>
        </is>
      </c>
      <c r="I786" s="42" t="inlineStr">
        <is>
          <t>ALLOWED</t>
        </is>
      </c>
      <c r="J786" s="42" t="inlineStr">
        <is>
          <t>DIRECT_OFFICIAL_STANDARD_ROW</t>
        </is>
      </c>
      <c r="K786" s="42" t="inlineStr">
        <is>
          <t>SDC0003156</t>
        </is>
      </c>
      <c r="L786" s="42" t="inlineStr">
        <is>
          <t>マド2枚建 (201910～)</t>
        </is>
      </c>
      <c r="M786" s="42" t="inlineStr">
        <is>
          <t>46</t>
        </is>
      </c>
      <c r="N786" s="42" t="inlineStr">
        <is>
          <t>12811</t>
        </is>
      </c>
      <c r="O786" s="42" t="inlineStr">
        <is>
          <t>防犯建物部品欄の30mil構成を規格呼称へ直接突合。</t>
        </is>
      </c>
    </row>
    <row r="787">
      <c r="A787" s="42" t="inlineStr">
        <is>
          <t>SZ-SL-000786</t>
        </is>
      </c>
      <c r="B787" s="42" t="inlineStr">
        <is>
          <t>WT-SL-MENKOSHI-HIKI</t>
        </is>
      </c>
      <c r="C787" s="42" t="inlineStr">
        <is>
          <t>面格子付引違い窓</t>
        </is>
      </c>
      <c r="D787" s="42" t="inlineStr">
        <is>
          <t>SP-SL-GRILLE-V</t>
        </is>
      </c>
      <c r="E787" s="42" t="inlineStr">
        <is>
          <t>08011</t>
        </is>
      </c>
      <c r="F787" s="42" t="inlineStr">
        <is>
          <t>845</t>
        </is>
      </c>
      <c r="G787" s="42" t="inlineStr">
        <is>
          <t>1170</t>
        </is>
      </c>
      <c r="H787" s="42" t="inlineStr">
        <is>
          <t>True</t>
        </is>
      </c>
      <c r="I787" s="42" t="inlineStr">
        <is>
          <t>UNVERIFIED_SOURCE_GAP</t>
        </is>
      </c>
      <c r="J787" s="42" t="inlineStr">
        <is>
          <t>OFFICIAL_DOCUMENT_SCOPE_GAP</t>
        </is>
      </c>
      <c r="K787" s="42" t="inlineStr">
        <is>
          <t>SDC0003156</t>
        </is>
      </c>
      <c r="L787" s="42" t="str"/>
      <c r="M787" s="42" t="str"/>
      <c r="N787" s="42" t="str"/>
      <c r="O787" s="42" t="inlineStr">
        <is>
          <t>対象文書は当該窓種を含むが、このRuntime規格呼称に対応する30mil○/×行を取得できていない。</t>
        </is>
      </c>
    </row>
    <row r="788">
      <c r="A788" s="42" t="inlineStr">
        <is>
          <t>SZ-SL-000787</t>
        </is>
      </c>
      <c r="B788" s="42" t="inlineStr">
        <is>
          <t>WT-SL-MENKOSHI-HIKI</t>
        </is>
      </c>
      <c r="C788" s="42" t="inlineStr">
        <is>
          <t>面格子付引違い窓</t>
        </is>
      </c>
      <c r="D788" s="42" t="inlineStr">
        <is>
          <t>SP-SL-GRILLE-V</t>
        </is>
      </c>
      <c r="E788" s="42" t="inlineStr">
        <is>
          <t>08311</t>
        </is>
      </c>
      <c r="F788" s="42" t="inlineStr">
        <is>
          <t>870</t>
        </is>
      </c>
      <c r="G788" s="42" t="inlineStr">
        <is>
          <t>1170</t>
        </is>
      </c>
      <c r="H788" s="42" t="inlineStr">
        <is>
          <t>True</t>
        </is>
      </c>
      <c r="I788" s="42" t="inlineStr">
        <is>
          <t>ALLOWED</t>
        </is>
      </c>
      <c r="J788" s="42" t="inlineStr">
        <is>
          <t>DIRECT_OFFICIAL_STANDARD_ROW</t>
        </is>
      </c>
      <c r="K788" s="42" t="inlineStr">
        <is>
          <t>SDC0003156</t>
        </is>
      </c>
      <c r="L788" s="42" t="inlineStr">
        <is>
          <t>マド2枚建 (201910～)</t>
        </is>
      </c>
      <c r="M788" s="42" t="inlineStr">
        <is>
          <t>31</t>
        </is>
      </c>
      <c r="N788" s="42" t="inlineStr">
        <is>
          <t>08311</t>
        </is>
      </c>
      <c r="O788" s="42" t="inlineStr">
        <is>
          <t>防犯建物部品欄の30mil構成を規格呼称へ直接突合。</t>
        </is>
      </c>
    </row>
    <row r="789">
      <c r="A789" s="42" t="inlineStr">
        <is>
          <t>SZ-SL-000788</t>
        </is>
      </c>
      <c r="B789" s="42" t="inlineStr">
        <is>
          <t>WT-SL-MENKOSHI-HIKI</t>
        </is>
      </c>
      <c r="C789" s="42" t="inlineStr">
        <is>
          <t>面格子付引違い窓</t>
        </is>
      </c>
      <c r="D789" s="42" t="inlineStr">
        <is>
          <t>SP-SL-GRILLE-V</t>
        </is>
      </c>
      <c r="E789" s="42" t="inlineStr">
        <is>
          <t>11411</t>
        </is>
      </c>
      <c r="F789" s="42" t="inlineStr">
        <is>
          <t>1185</t>
        </is>
      </c>
      <c r="G789" s="42" t="inlineStr">
        <is>
          <t>1170</t>
        </is>
      </c>
      <c r="H789" s="42" t="inlineStr">
        <is>
          <t>True</t>
        </is>
      </c>
      <c r="I789" s="42" t="inlineStr">
        <is>
          <t>ALLOWED</t>
        </is>
      </c>
      <c r="J789" s="42" t="inlineStr">
        <is>
          <t>DIRECT_OFFICIAL_STANDARD_ROW</t>
        </is>
      </c>
      <c r="K789" s="42" t="inlineStr">
        <is>
          <t>SDC0003156</t>
        </is>
      </c>
      <c r="L789" s="42" t="inlineStr">
        <is>
          <t>マド2枚建 (201910～)</t>
        </is>
      </c>
      <c r="M789" s="42" t="inlineStr">
        <is>
          <t>35</t>
        </is>
      </c>
      <c r="N789" s="42" t="inlineStr">
        <is>
          <t>11411</t>
        </is>
      </c>
      <c r="O789" s="42" t="inlineStr">
        <is>
          <t>防犯建物部品欄の30mil構成を規格呼称へ直接突合。</t>
        </is>
      </c>
    </row>
    <row r="790">
      <c r="A790" s="42" t="inlineStr">
        <is>
          <t>SZ-SL-000789</t>
        </is>
      </c>
      <c r="B790" s="42" t="inlineStr">
        <is>
          <t>WT-SL-MENKOSHI-HIKI</t>
        </is>
      </c>
      <c r="C790" s="42" t="inlineStr">
        <is>
          <t>面格子付引違い窓</t>
        </is>
      </c>
      <c r="D790" s="42" t="inlineStr">
        <is>
          <t>SP-SL-GRILLE-V</t>
        </is>
      </c>
      <c r="E790" s="42" t="inlineStr">
        <is>
          <t>11911</t>
        </is>
      </c>
      <c r="F790" s="42" t="inlineStr">
        <is>
          <t>1235</t>
        </is>
      </c>
      <c r="G790" s="42" t="inlineStr">
        <is>
          <t>1170</t>
        </is>
      </c>
      <c r="H790" s="42" t="inlineStr">
        <is>
          <t>True</t>
        </is>
      </c>
      <c r="I790" s="42" t="inlineStr">
        <is>
          <t>ALLOWED</t>
        </is>
      </c>
      <c r="J790" s="42" t="inlineStr">
        <is>
          <t>DIRECT_OFFICIAL_STANDARD_ROW</t>
        </is>
      </c>
      <c r="K790" s="42" t="inlineStr">
        <is>
          <t>SDC0003156</t>
        </is>
      </c>
      <c r="L790" s="42" t="inlineStr">
        <is>
          <t>マド2枚建 (201910～)</t>
        </is>
      </c>
      <c r="M790" s="42" t="inlineStr">
        <is>
          <t>41</t>
        </is>
      </c>
      <c r="N790" s="42" t="inlineStr">
        <is>
          <t>11911</t>
        </is>
      </c>
      <c r="O790" s="42" t="inlineStr">
        <is>
          <t>防犯建物部品欄の30mil構成を規格呼称へ直接突合。</t>
        </is>
      </c>
    </row>
    <row r="791">
      <c r="A791" s="42" t="inlineStr">
        <is>
          <t>SZ-SL-000790</t>
        </is>
      </c>
      <c r="B791" s="42" t="inlineStr">
        <is>
          <t>WT-SL-MENKOSHI-HIKI</t>
        </is>
      </c>
      <c r="C791" s="42" t="inlineStr">
        <is>
          <t>面格子付引違い窓</t>
        </is>
      </c>
      <c r="D791" s="42" t="inlineStr">
        <is>
          <t>SP-SL-GRILLE-V</t>
        </is>
      </c>
      <c r="E791" s="42" t="inlineStr">
        <is>
          <t>12811</t>
        </is>
      </c>
      <c r="F791" s="42" t="inlineStr">
        <is>
          <t>1320</t>
        </is>
      </c>
      <c r="G791" s="42" t="inlineStr">
        <is>
          <t>1170</t>
        </is>
      </c>
      <c r="H791" s="42" t="inlineStr">
        <is>
          <t>True</t>
        </is>
      </c>
      <c r="I791" s="42" t="inlineStr">
        <is>
          <t>ALLOWED</t>
        </is>
      </c>
      <c r="J791" s="42" t="inlineStr">
        <is>
          <t>DIRECT_OFFICIAL_STANDARD_ROW</t>
        </is>
      </c>
      <c r="K791" s="42" t="inlineStr">
        <is>
          <t>SDC0003156</t>
        </is>
      </c>
      <c r="L791" s="42" t="inlineStr">
        <is>
          <t>マド2枚建 (201910～)</t>
        </is>
      </c>
      <c r="M791" s="42" t="inlineStr">
        <is>
          <t>46</t>
        </is>
      </c>
      <c r="N791" s="42" t="inlineStr">
        <is>
          <t>12811</t>
        </is>
      </c>
      <c r="O791" s="42" t="inlineStr">
        <is>
          <t>防犯建物部品欄の30mil構成を規格呼称へ直接突合。</t>
        </is>
      </c>
    </row>
    <row r="792">
      <c r="A792" s="42" t="inlineStr">
        <is>
          <t>SZ-SL-000791</t>
        </is>
      </c>
      <c r="B792" s="42" t="inlineStr">
        <is>
          <t>WT-SL-MENKOSHI-HIKI</t>
        </is>
      </c>
      <c r="C792" s="42" t="inlineStr">
        <is>
          <t>面格子付引違い窓</t>
        </is>
      </c>
      <c r="D792" s="42" t="inlineStr">
        <is>
          <t>SP-SL-GRILLE-DIA</t>
        </is>
      </c>
      <c r="E792" s="42" t="inlineStr">
        <is>
          <t>13311</t>
        </is>
      </c>
      <c r="F792" s="42" t="inlineStr">
        <is>
          <t>1370</t>
        </is>
      </c>
      <c r="G792" s="42" t="inlineStr">
        <is>
          <t>1170</t>
        </is>
      </c>
      <c r="H792" s="42" t="inlineStr">
        <is>
          <t>True</t>
        </is>
      </c>
      <c r="I792" s="42" t="inlineStr">
        <is>
          <t>ALLOWED</t>
        </is>
      </c>
      <c r="J792" s="42" t="inlineStr">
        <is>
          <t>DIRECT_OFFICIAL_STANDARD_ROW</t>
        </is>
      </c>
      <c r="K792" s="42" t="inlineStr">
        <is>
          <t>SDC0003156</t>
        </is>
      </c>
      <c r="L792" s="42" t="inlineStr">
        <is>
          <t>マド2枚建 (201910～)</t>
        </is>
      </c>
      <c r="M792" s="42" t="inlineStr">
        <is>
          <t>51</t>
        </is>
      </c>
      <c r="N792" s="42" t="inlineStr">
        <is>
          <t>13311</t>
        </is>
      </c>
      <c r="O792" s="42" t="inlineStr">
        <is>
          <t>防犯建物部品欄の30mil構成を規格呼称へ直接突合。</t>
        </is>
      </c>
    </row>
    <row r="793">
      <c r="A793" s="42" t="inlineStr">
        <is>
          <t>SZ-SL-000792</t>
        </is>
      </c>
      <c r="B793" s="42" t="inlineStr">
        <is>
          <t>WT-SL-MENKOSHI-HIKI</t>
        </is>
      </c>
      <c r="C793" s="42" t="inlineStr">
        <is>
          <t>面格子付引違い窓</t>
        </is>
      </c>
      <c r="D793" s="42" t="inlineStr">
        <is>
          <t>SP-SL-GRILLE-DIA</t>
        </is>
      </c>
      <c r="E793" s="42" t="inlineStr">
        <is>
          <t>15011</t>
        </is>
      </c>
      <c r="F793" s="42" t="inlineStr">
        <is>
          <t>1540</t>
        </is>
      </c>
      <c r="G793" s="42" t="inlineStr">
        <is>
          <t>1170</t>
        </is>
      </c>
      <c r="H793" s="42" t="inlineStr">
        <is>
          <t>True</t>
        </is>
      </c>
      <c r="I793" s="42" t="inlineStr">
        <is>
          <t>ALLOWED</t>
        </is>
      </c>
      <c r="J793" s="42" t="inlineStr">
        <is>
          <t>DIRECT_OFFICIAL_STANDARD_ROW</t>
        </is>
      </c>
      <c r="K793" s="42" t="inlineStr">
        <is>
          <t>SDC0003156</t>
        </is>
      </c>
      <c r="L793" s="42" t="inlineStr">
        <is>
          <t>マド2枚建 (201910～)</t>
        </is>
      </c>
      <c r="M793" s="42" t="inlineStr">
        <is>
          <t>56</t>
        </is>
      </c>
      <c r="N793" s="42" t="inlineStr">
        <is>
          <t>15011</t>
        </is>
      </c>
      <c r="O793" s="42" t="inlineStr">
        <is>
          <t>防犯建物部品欄の30mil構成を規格呼称へ直接突合。</t>
        </is>
      </c>
    </row>
    <row r="794">
      <c r="A794" s="42" t="inlineStr">
        <is>
          <t>SZ-SL-000793</t>
        </is>
      </c>
      <c r="B794" s="42" t="inlineStr">
        <is>
          <t>WT-SL-MENKOSHI-HIKI</t>
        </is>
      </c>
      <c r="C794" s="42" t="inlineStr">
        <is>
          <t>面格子付引違い窓</t>
        </is>
      </c>
      <c r="D794" s="42" t="inlineStr">
        <is>
          <t>SP-SL-GRILLE-DIA</t>
        </is>
      </c>
      <c r="E794" s="42" t="inlineStr">
        <is>
          <t>16011</t>
        </is>
      </c>
      <c r="F794" s="42" t="inlineStr">
        <is>
          <t>1640</t>
        </is>
      </c>
      <c r="G794" s="42" t="inlineStr">
        <is>
          <t>1170</t>
        </is>
      </c>
      <c r="H794" s="42" t="inlineStr">
        <is>
          <t>True</t>
        </is>
      </c>
      <c r="I794" s="42" t="inlineStr">
        <is>
          <t>ALLOWED</t>
        </is>
      </c>
      <c r="J794" s="42" t="inlineStr">
        <is>
          <t>DIRECT_OFFICIAL_STANDARD_ROW</t>
        </is>
      </c>
      <c r="K794" s="42" t="inlineStr">
        <is>
          <t>SDC0003156</t>
        </is>
      </c>
      <c r="L794" s="42" t="inlineStr">
        <is>
          <t>マド2枚建 (201910～)</t>
        </is>
      </c>
      <c r="M794" s="42" t="inlineStr">
        <is>
          <t>67</t>
        </is>
      </c>
      <c r="N794" s="42" t="inlineStr">
        <is>
          <t>16011</t>
        </is>
      </c>
      <c r="O794" s="42" t="inlineStr">
        <is>
          <t>防犯建物部品欄の30mil構成を規格呼称へ直接突合。</t>
        </is>
      </c>
    </row>
    <row r="795">
      <c r="A795" s="42" t="inlineStr">
        <is>
          <t>SZ-SL-000794</t>
        </is>
      </c>
      <c r="B795" s="42" t="inlineStr">
        <is>
          <t>WT-SL-MENKOSHI-HIKI</t>
        </is>
      </c>
      <c r="C795" s="42" t="inlineStr">
        <is>
          <t>面格子付引違い窓</t>
        </is>
      </c>
      <c r="D795" s="42" t="inlineStr">
        <is>
          <t>SP-SL-GRILLE-DIA</t>
        </is>
      </c>
      <c r="E795" s="42" t="inlineStr">
        <is>
          <t>16511</t>
        </is>
      </c>
      <c r="F795" s="42" t="inlineStr">
        <is>
          <t>1690</t>
        </is>
      </c>
      <c r="G795" s="42" t="inlineStr">
        <is>
          <t>1170</t>
        </is>
      </c>
      <c r="H795" s="42" t="inlineStr">
        <is>
          <t>True</t>
        </is>
      </c>
      <c r="I795" s="42" t="inlineStr">
        <is>
          <t>ALLOWED</t>
        </is>
      </c>
      <c r="J795" s="42" t="inlineStr">
        <is>
          <t>DIRECT_OFFICIAL_STANDARD_ROW</t>
        </is>
      </c>
      <c r="K795" s="42" t="inlineStr">
        <is>
          <t>SDC0003156</t>
        </is>
      </c>
      <c r="L795" s="42" t="inlineStr">
        <is>
          <t>マド2枚建 (201910～)</t>
        </is>
      </c>
      <c r="M795" s="42" t="inlineStr">
        <is>
          <t>74</t>
        </is>
      </c>
      <c r="N795" s="42" t="inlineStr">
        <is>
          <t>16511</t>
        </is>
      </c>
      <c r="O795" s="42" t="inlineStr">
        <is>
          <t>防犯建物部品欄の30mil構成を規格呼称へ直接突合。</t>
        </is>
      </c>
    </row>
    <row r="796">
      <c r="A796" s="42" t="inlineStr">
        <is>
          <t>SZ-SL-000795</t>
        </is>
      </c>
      <c r="B796" s="42" t="inlineStr">
        <is>
          <t>WT-SL-MENKOSHI-HIKI</t>
        </is>
      </c>
      <c r="C796" s="42" t="inlineStr">
        <is>
          <t>面格子付引違い窓</t>
        </is>
      </c>
      <c r="D796" s="42" t="inlineStr">
        <is>
          <t>SP-SL-GRILLE-H</t>
        </is>
      </c>
      <c r="E796" s="42" t="inlineStr">
        <is>
          <t>13311</t>
        </is>
      </c>
      <c r="F796" s="42" t="inlineStr">
        <is>
          <t>1370</t>
        </is>
      </c>
      <c r="G796" s="42" t="inlineStr">
        <is>
          <t>1170</t>
        </is>
      </c>
      <c r="H796" s="42" t="inlineStr">
        <is>
          <t>True</t>
        </is>
      </c>
      <c r="I796" s="42" t="inlineStr">
        <is>
          <t>ALLOWED</t>
        </is>
      </c>
      <c r="J796" s="42" t="inlineStr">
        <is>
          <t>DIRECT_OFFICIAL_STANDARD_ROW</t>
        </is>
      </c>
      <c r="K796" s="42" t="inlineStr">
        <is>
          <t>SDC0003156</t>
        </is>
      </c>
      <c r="L796" s="42" t="inlineStr">
        <is>
          <t>マド2枚建 (201910～)</t>
        </is>
      </c>
      <c r="M796" s="42" t="inlineStr">
        <is>
          <t>51</t>
        </is>
      </c>
      <c r="N796" s="42" t="inlineStr">
        <is>
          <t>13311</t>
        </is>
      </c>
      <c r="O796" s="42" t="inlineStr">
        <is>
          <t>防犯建物部品欄の30mil構成を規格呼称へ直接突合。</t>
        </is>
      </c>
    </row>
    <row r="797">
      <c r="A797" s="42" t="inlineStr">
        <is>
          <t>SZ-SL-000796</t>
        </is>
      </c>
      <c r="B797" s="42" t="inlineStr">
        <is>
          <t>WT-SL-MENKOSHI-HIKI</t>
        </is>
      </c>
      <c r="C797" s="42" t="inlineStr">
        <is>
          <t>面格子付引違い窓</t>
        </is>
      </c>
      <c r="D797" s="42" t="inlineStr">
        <is>
          <t>SP-SL-GRILLE-H</t>
        </is>
      </c>
      <c r="E797" s="42" t="inlineStr">
        <is>
          <t>15011</t>
        </is>
      </c>
      <c r="F797" s="42" t="inlineStr">
        <is>
          <t>1540</t>
        </is>
      </c>
      <c r="G797" s="42" t="inlineStr">
        <is>
          <t>1170</t>
        </is>
      </c>
      <c r="H797" s="42" t="inlineStr">
        <is>
          <t>False</t>
        </is>
      </c>
      <c r="I797" s="42" t="inlineStr">
        <is>
          <t>ALLOWED</t>
        </is>
      </c>
      <c r="J797" s="42" t="inlineStr">
        <is>
          <t>DIRECT_OFFICIAL_STANDARD_ROW</t>
        </is>
      </c>
      <c r="K797" s="42" t="inlineStr">
        <is>
          <t>SDC0003156</t>
        </is>
      </c>
      <c r="L797" s="42" t="inlineStr">
        <is>
          <t>マド2枚建 (201910～)</t>
        </is>
      </c>
      <c r="M797" s="42" t="inlineStr">
        <is>
          <t>56</t>
        </is>
      </c>
      <c r="N797" s="42" t="inlineStr">
        <is>
          <t>15011</t>
        </is>
      </c>
      <c r="O797" s="42" t="inlineStr">
        <is>
          <t>防犯建物部品欄の30mil構成を規格呼称へ直接突合。</t>
        </is>
      </c>
    </row>
    <row r="798">
      <c r="A798" s="42" t="inlineStr">
        <is>
          <t>SZ-SL-000797</t>
        </is>
      </c>
      <c r="B798" s="42" t="inlineStr">
        <is>
          <t>WT-SL-MENKOSHI-HIKI</t>
        </is>
      </c>
      <c r="C798" s="42" t="inlineStr">
        <is>
          <t>面格子付引違い窓</t>
        </is>
      </c>
      <c r="D798" s="42" t="inlineStr">
        <is>
          <t>SP-SL-GRILLE-H</t>
        </is>
      </c>
      <c r="E798" s="42" t="inlineStr">
        <is>
          <t>16011</t>
        </is>
      </c>
      <c r="F798" s="42" t="inlineStr">
        <is>
          <t>1640</t>
        </is>
      </c>
      <c r="G798" s="42" t="inlineStr">
        <is>
          <t>1170</t>
        </is>
      </c>
      <c r="H798" s="42" t="inlineStr">
        <is>
          <t>False</t>
        </is>
      </c>
      <c r="I798" s="42" t="inlineStr">
        <is>
          <t>ALLOWED</t>
        </is>
      </c>
      <c r="J798" s="42" t="inlineStr">
        <is>
          <t>DIRECT_OFFICIAL_STANDARD_ROW</t>
        </is>
      </c>
      <c r="K798" s="42" t="inlineStr">
        <is>
          <t>SDC0003156</t>
        </is>
      </c>
      <c r="L798" s="42" t="inlineStr">
        <is>
          <t>マド2枚建 (201910～)</t>
        </is>
      </c>
      <c r="M798" s="42" t="inlineStr">
        <is>
          <t>67</t>
        </is>
      </c>
      <c r="N798" s="42" t="inlineStr">
        <is>
          <t>16011</t>
        </is>
      </c>
      <c r="O798" s="42" t="inlineStr">
        <is>
          <t>防犯建物部品欄の30mil構成を規格呼称へ直接突合。</t>
        </is>
      </c>
    </row>
    <row r="799">
      <c r="A799" s="42" t="inlineStr">
        <is>
          <t>SZ-SL-000798</t>
        </is>
      </c>
      <c r="B799" s="42" t="inlineStr">
        <is>
          <t>WT-SL-MENKOSHI-HIKI</t>
        </is>
      </c>
      <c r="C799" s="42" t="inlineStr">
        <is>
          <t>面格子付引違い窓</t>
        </is>
      </c>
      <c r="D799" s="42" t="inlineStr">
        <is>
          <t>SP-SL-GRILLE-H</t>
        </is>
      </c>
      <c r="E799" s="42" t="inlineStr">
        <is>
          <t>16511</t>
        </is>
      </c>
      <c r="F799" s="42" t="inlineStr">
        <is>
          <t>1690</t>
        </is>
      </c>
      <c r="G799" s="42" t="inlineStr">
        <is>
          <t>1170</t>
        </is>
      </c>
      <c r="H799" s="42" t="inlineStr">
        <is>
          <t>False</t>
        </is>
      </c>
      <c r="I799" s="42" t="inlineStr">
        <is>
          <t>ALLOWED</t>
        </is>
      </c>
      <c r="J799" s="42" t="inlineStr">
        <is>
          <t>DIRECT_OFFICIAL_STANDARD_ROW</t>
        </is>
      </c>
      <c r="K799" s="42" t="inlineStr">
        <is>
          <t>SDC0003156</t>
        </is>
      </c>
      <c r="L799" s="42" t="inlineStr">
        <is>
          <t>マド2枚建 (201910～)</t>
        </is>
      </c>
      <c r="M799" s="42" t="inlineStr">
        <is>
          <t>74</t>
        </is>
      </c>
      <c r="N799" s="42" t="inlineStr">
        <is>
          <t>16511</t>
        </is>
      </c>
      <c r="O799" s="42" t="inlineStr">
        <is>
          <t>防犯建物部品欄の30mil構成を規格呼称へ直接突合。</t>
        </is>
      </c>
    </row>
    <row r="800">
      <c r="A800" s="42" t="inlineStr">
        <is>
          <t>SZ-SL-000799</t>
        </is>
      </c>
      <c r="B800" s="42" t="inlineStr">
        <is>
          <t>WT-SL-MENKOSHI-HIKI</t>
        </is>
      </c>
      <c r="C800" s="42" t="inlineStr">
        <is>
          <t>面格子付引違い窓</t>
        </is>
      </c>
      <c r="D800" s="42" t="inlineStr">
        <is>
          <t>SP-SL-GRILLE-IGETA</t>
        </is>
      </c>
      <c r="E800" s="42" t="inlineStr">
        <is>
          <t>13311</t>
        </is>
      </c>
      <c r="F800" s="42" t="inlineStr">
        <is>
          <t>1370</t>
        </is>
      </c>
      <c r="G800" s="42" t="inlineStr">
        <is>
          <t>1170</t>
        </is>
      </c>
      <c r="H800" s="42" t="inlineStr">
        <is>
          <t>True</t>
        </is>
      </c>
      <c r="I800" s="42" t="inlineStr">
        <is>
          <t>ALLOWED</t>
        </is>
      </c>
      <c r="J800" s="42" t="inlineStr">
        <is>
          <t>DIRECT_OFFICIAL_STANDARD_ROW</t>
        </is>
      </c>
      <c r="K800" s="42" t="inlineStr">
        <is>
          <t>SDC0003156</t>
        </is>
      </c>
      <c r="L800" s="42" t="inlineStr">
        <is>
          <t>マド2枚建 (201910～)</t>
        </is>
      </c>
      <c r="M800" s="42" t="inlineStr">
        <is>
          <t>51</t>
        </is>
      </c>
      <c r="N800" s="42" t="inlineStr">
        <is>
          <t>13311</t>
        </is>
      </c>
      <c r="O800" s="42" t="inlineStr">
        <is>
          <t>防犯建物部品欄の30mil構成を規格呼称へ直接突合。</t>
        </is>
      </c>
    </row>
    <row r="801">
      <c r="A801" s="42" t="inlineStr">
        <is>
          <t>SZ-SL-000800</t>
        </is>
      </c>
      <c r="B801" s="42" t="inlineStr">
        <is>
          <t>WT-SL-MENKOSHI-HIKI</t>
        </is>
      </c>
      <c r="C801" s="42" t="inlineStr">
        <is>
          <t>面格子付引違い窓</t>
        </is>
      </c>
      <c r="D801" s="42" t="inlineStr">
        <is>
          <t>SP-SL-GRILLE-IGETA</t>
        </is>
      </c>
      <c r="E801" s="42" t="inlineStr">
        <is>
          <t>15011</t>
        </is>
      </c>
      <c r="F801" s="42" t="inlineStr">
        <is>
          <t>1540</t>
        </is>
      </c>
      <c r="G801" s="42" t="inlineStr">
        <is>
          <t>1170</t>
        </is>
      </c>
      <c r="H801" s="42" t="inlineStr">
        <is>
          <t>True</t>
        </is>
      </c>
      <c r="I801" s="42" t="inlineStr">
        <is>
          <t>ALLOWED</t>
        </is>
      </c>
      <c r="J801" s="42" t="inlineStr">
        <is>
          <t>DIRECT_OFFICIAL_STANDARD_ROW</t>
        </is>
      </c>
      <c r="K801" s="42" t="inlineStr">
        <is>
          <t>SDC0003156</t>
        </is>
      </c>
      <c r="L801" s="42" t="inlineStr">
        <is>
          <t>マド2枚建 (201910～)</t>
        </is>
      </c>
      <c r="M801" s="42" t="inlineStr">
        <is>
          <t>56</t>
        </is>
      </c>
      <c r="N801" s="42" t="inlineStr">
        <is>
          <t>15011</t>
        </is>
      </c>
      <c r="O801" s="42" t="inlineStr">
        <is>
          <t>防犯建物部品欄の30mil構成を規格呼称へ直接突合。</t>
        </is>
      </c>
    </row>
    <row r="802">
      <c r="A802" s="42" t="inlineStr">
        <is>
          <t>SZ-SL-000801</t>
        </is>
      </c>
      <c r="B802" s="42" t="inlineStr">
        <is>
          <t>WT-SL-MENKOSHI-HIKI</t>
        </is>
      </c>
      <c r="C802" s="42" t="inlineStr">
        <is>
          <t>面格子付引違い窓</t>
        </is>
      </c>
      <c r="D802" s="42" t="inlineStr">
        <is>
          <t>SP-SL-GRILLE-IGETA</t>
        </is>
      </c>
      <c r="E802" s="42" t="inlineStr">
        <is>
          <t>16011</t>
        </is>
      </c>
      <c r="F802" s="42" t="inlineStr">
        <is>
          <t>1640</t>
        </is>
      </c>
      <c r="G802" s="42" t="inlineStr">
        <is>
          <t>1170</t>
        </is>
      </c>
      <c r="H802" s="42" t="inlineStr">
        <is>
          <t>True</t>
        </is>
      </c>
      <c r="I802" s="42" t="inlineStr">
        <is>
          <t>ALLOWED</t>
        </is>
      </c>
      <c r="J802" s="42" t="inlineStr">
        <is>
          <t>DIRECT_OFFICIAL_STANDARD_ROW</t>
        </is>
      </c>
      <c r="K802" s="42" t="inlineStr">
        <is>
          <t>SDC0003156</t>
        </is>
      </c>
      <c r="L802" s="42" t="inlineStr">
        <is>
          <t>マド2枚建 (201910～)</t>
        </is>
      </c>
      <c r="M802" s="42" t="inlineStr">
        <is>
          <t>67</t>
        </is>
      </c>
      <c r="N802" s="42" t="inlineStr">
        <is>
          <t>16011</t>
        </is>
      </c>
      <c r="O802" s="42" t="inlineStr">
        <is>
          <t>防犯建物部品欄の30mil構成を規格呼称へ直接突合。</t>
        </is>
      </c>
    </row>
    <row r="803">
      <c r="A803" s="42" t="inlineStr">
        <is>
          <t>SZ-SL-000802</t>
        </is>
      </c>
      <c r="B803" s="42" t="inlineStr">
        <is>
          <t>WT-SL-MENKOSHI-HIKI</t>
        </is>
      </c>
      <c r="C803" s="42" t="inlineStr">
        <is>
          <t>面格子付引違い窓</t>
        </is>
      </c>
      <c r="D803" s="42" t="inlineStr">
        <is>
          <t>SP-SL-GRILLE-IGETA</t>
        </is>
      </c>
      <c r="E803" s="42" t="inlineStr">
        <is>
          <t>16511</t>
        </is>
      </c>
      <c r="F803" s="42" t="inlineStr">
        <is>
          <t>1690</t>
        </is>
      </c>
      <c r="G803" s="42" t="inlineStr">
        <is>
          <t>1170</t>
        </is>
      </c>
      <c r="H803" s="42" t="inlineStr">
        <is>
          <t>True</t>
        </is>
      </c>
      <c r="I803" s="42" t="inlineStr">
        <is>
          <t>ALLOWED</t>
        </is>
      </c>
      <c r="J803" s="42" t="inlineStr">
        <is>
          <t>DIRECT_OFFICIAL_STANDARD_ROW</t>
        </is>
      </c>
      <c r="K803" s="42" t="inlineStr">
        <is>
          <t>SDC0003156</t>
        </is>
      </c>
      <c r="L803" s="42" t="inlineStr">
        <is>
          <t>マド2枚建 (201910～)</t>
        </is>
      </c>
      <c r="M803" s="42" t="inlineStr">
        <is>
          <t>74</t>
        </is>
      </c>
      <c r="N803" s="42" t="inlineStr">
        <is>
          <t>16511</t>
        </is>
      </c>
      <c r="O803" s="42" t="inlineStr">
        <is>
          <t>防犯建物部品欄の30mil構成を規格呼称へ直接突合。</t>
        </is>
      </c>
    </row>
    <row r="804">
      <c r="A804" s="42" t="inlineStr">
        <is>
          <t>SZ-SL-000803</t>
        </is>
      </c>
      <c r="B804" s="42" t="inlineStr">
        <is>
          <t>WT-SL-MENKOSHI-HIKI</t>
        </is>
      </c>
      <c r="C804" s="42" t="inlineStr">
        <is>
          <t>面格子付引違い窓</t>
        </is>
      </c>
      <c r="D804" s="42" t="inlineStr">
        <is>
          <t>SP-SL-GRILLE-V</t>
        </is>
      </c>
      <c r="E804" s="42" t="inlineStr">
        <is>
          <t>13311</t>
        </is>
      </c>
      <c r="F804" s="42" t="inlineStr">
        <is>
          <t>1370</t>
        </is>
      </c>
      <c r="G804" s="42" t="inlineStr">
        <is>
          <t>1170</t>
        </is>
      </c>
      <c r="H804" s="42" t="inlineStr">
        <is>
          <t>True</t>
        </is>
      </c>
      <c r="I804" s="42" t="inlineStr">
        <is>
          <t>ALLOWED</t>
        </is>
      </c>
      <c r="J804" s="42" t="inlineStr">
        <is>
          <t>DIRECT_OFFICIAL_STANDARD_ROW</t>
        </is>
      </c>
      <c r="K804" s="42" t="inlineStr">
        <is>
          <t>SDC0003156</t>
        </is>
      </c>
      <c r="L804" s="42" t="inlineStr">
        <is>
          <t>マド2枚建 (201910～)</t>
        </is>
      </c>
      <c r="M804" s="42" t="inlineStr">
        <is>
          <t>51</t>
        </is>
      </c>
      <c r="N804" s="42" t="inlineStr">
        <is>
          <t>13311</t>
        </is>
      </c>
      <c r="O804" s="42" t="inlineStr">
        <is>
          <t>防犯建物部品欄の30mil構成を規格呼称へ直接突合。</t>
        </is>
      </c>
    </row>
    <row r="805">
      <c r="A805" s="42" t="inlineStr">
        <is>
          <t>SZ-SL-000804</t>
        </is>
      </c>
      <c r="B805" s="42" t="inlineStr">
        <is>
          <t>WT-SL-MENKOSHI-HIKI</t>
        </is>
      </c>
      <c r="C805" s="42" t="inlineStr">
        <is>
          <t>面格子付引違い窓</t>
        </is>
      </c>
      <c r="D805" s="42" t="inlineStr">
        <is>
          <t>SP-SL-GRILLE-V</t>
        </is>
      </c>
      <c r="E805" s="42" t="inlineStr">
        <is>
          <t>15011</t>
        </is>
      </c>
      <c r="F805" s="42" t="inlineStr">
        <is>
          <t>1540</t>
        </is>
      </c>
      <c r="G805" s="42" t="inlineStr">
        <is>
          <t>1170</t>
        </is>
      </c>
      <c r="H805" s="42" t="inlineStr">
        <is>
          <t>True</t>
        </is>
      </c>
      <c r="I805" s="42" t="inlineStr">
        <is>
          <t>ALLOWED</t>
        </is>
      </c>
      <c r="J805" s="42" t="inlineStr">
        <is>
          <t>DIRECT_OFFICIAL_STANDARD_ROW</t>
        </is>
      </c>
      <c r="K805" s="42" t="inlineStr">
        <is>
          <t>SDC0003156</t>
        </is>
      </c>
      <c r="L805" s="42" t="inlineStr">
        <is>
          <t>マド2枚建 (201910～)</t>
        </is>
      </c>
      <c r="M805" s="42" t="inlineStr">
        <is>
          <t>56</t>
        </is>
      </c>
      <c r="N805" s="42" t="inlineStr">
        <is>
          <t>15011</t>
        </is>
      </c>
      <c r="O805" s="42" t="inlineStr">
        <is>
          <t>防犯建物部品欄の30mil構成を規格呼称へ直接突合。</t>
        </is>
      </c>
    </row>
    <row r="806">
      <c r="A806" s="42" t="inlineStr">
        <is>
          <t>SZ-SL-000805</t>
        </is>
      </c>
      <c r="B806" s="42" t="inlineStr">
        <is>
          <t>WT-SL-MENKOSHI-HIKI</t>
        </is>
      </c>
      <c r="C806" s="42" t="inlineStr">
        <is>
          <t>面格子付引違い窓</t>
        </is>
      </c>
      <c r="D806" s="42" t="inlineStr">
        <is>
          <t>SP-SL-GRILLE-V</t>
        </is>
      </c>
      <c r="E806" s="42" t="inlineStr">
        <is>
          <t>16011</t>
        </is>
      </c>
      <c r="F806" s="42" t="inlineStr">
        <is>
          <t>1640</t>
        </is>
      </c>
      <c r="G806" s="42" t="inlineStr">
        <is>
          <t>1170</t>
        </is>
      </c>
      <c r="H806" s="42" t="inlineStr">
        <is>
          <t>True</t>
        </is>
      </c>
      <c r="I806" s="42" t="inlineStr">
        <is>
          <t>ALLOWED</t>
        </is>
      </c>
      <c r="J806" s="42" t="inlineStr">
        <is>
          <t>DIRECT_OFFICIAL_STANDARD_ROW</t>
        </is>
      </c>
      <c r="K806" s="42" t="inlineStr">
        <is>
          <t>SDC0003156</t>
        </is>
      </c>
      <c r="L806" s="42" t="inlineStr">
        <is>
          <t>マド2枚建 (201910～)</t>
        </is>
      </c>
      <c r="M806" s="42" t="inlineStr">
        <is>
          <t>67</t>
        </is>
      </c>
      <c r="N806" s="42" t="inlineStr">
        <is>
          <t>16011</t>
        </is>
      </c>
      <c r="O806" s="42" t="inlineStr">
        <is>
          <t>防犯建物部品欄の30mil構成を規格呼称へ直接突合。</t>
        </is>
      </c>
    </row>
    <row r="807">
      <c r="A807" s="42" t="inlineStr">
        <is>
          <t>SZ-SL-000806</t>
        </is>
      </c>
      <c r="B807" s="42" t="inlineStr">
        <is>
          <t>WT-SL-MENKOSHI-HIKI</t>
        </is>
      </c>
      <c r="C807" s="42" t="inlineStr">
        <is>
          <t>面格子付引違い窓</t>
        </is>
      </c>
      <c r="D807" s="42" t="inlineStr">
        <is>
          <t>SP-SL-GRILLE-V</t>
        </is>
      </c>
      <c r="E807" s="42" t="inlineStr">
        <is>
          <t>16511</t>
        </is>
      </c>
      <c r="F807" s="42" t="inlineStr">
        <is>
          <t>1690</t>
        </is>
      </c>
      <c r="G807" s="42" t="inlineStr">
        <is>
          <t>1170</t>
        </is>
      </c>
      <c r="H807" s="42" t="inlineStr">
        <is>
          <t>True</t>
        </is>
      </c>
      <c r="I807" s="42" t="inlineStr">
        <is>
          <t>ALLOWED</t>
        </is>
      </c>
      <c r="J807" s="42" t="inlineStr">
        <is>
          <t>DIRECT_OFFICIAL_STANDARD_ROW</t>
        </is>
      </c>
      <c r="K807" s="42" t="inlineStr">
        <is>
          <t>SDC0003156</t>
        </is>
      </c>
      <c r="L807" s="42" t="inlineStr">
        <is>
          <t>マド2枚建 (201910～)</t>
        </is>
      </c>
      <c r="M807" s="42" t="inlineStr">
        <is>
          <t>74</t>
        </is>
      </c>
      <c r="N807" s="42" t="inlineStr">
        <is>
          <t>16511</t>
        </is>
      </c>
      <c r="O807" s="42" t="inlineStr">
        <is>
          <t>防犯建物部品欄の30mil構成を規格呼称へ直接突合。</t>
        </is>
      </c>
    </row>
    <row r="808">
      <c r="A808" s="42" t="inlineStr">
        <is>
          <t>SZ-SL-000807</t>
        </is>
      </c>
      <c r="B808" s="42" t="inlineStr">
        <is>
          <t>WT-SL-MENKOSHI-HIKI</t>
        </is>
      </c>
      <c r="C808" s="42" t="inlineStr">
        <is>
          <t>面格子付引違い窓</t>
        </is>
      </c>
      <c r="D808" s="42" t="inlineStr">
        <is>
          <t>SP-SL-GRILLE-DIA</t>
        </is>
      </c>
      <c r="E808" s="42" t="inlineStr">
        <is>
          <t>17411</t>
        </is>
      </c>
      <c r="F808" s="42" t="inlineStr">
        <is>
          <t>1780</t>
        </is>
      </c>
      <c r="G808" s="42" t="inlineStr">
        <is>
          <t>1170</t>
        </is>
      </c>
      <c r="H808" s="42" t="inlineStr">
        <is>
          <t>True</t>
        </is>
      </c>
      <c r="I808" s="42" t="inlineStr">
        <is>
          <t>ALLOWED</t>
        </is>
      </c>
      <c r="J808" s="42" t="inlineStr">
        <is>
          <t>DIRECT_OFFICIAL_STANDARD_ROW</t>
        </is>
      </c>
      <c r="K808" s="42" t="inlineStr">
        <is>
          <t>SDC0003156</t>
        </is>
      </c>
      <c r="L808" s="42" t="inlineStr">
        <is>
          <t>マド2枚建 (201910～)</t>
        </is>
      </c>
      <c r="M808" s="42" t="inlineStr">
        <is>
          <t>80</t>
        </is>
      </c>
      <c r="N808" s="42" t="inlineStr">
        <is>
          <t>17411</t>
        </is>
      </c>
      <c r="O808" s="42" t="inlineStr">
        <is>
          <t>防犯建物部品欄の30mil構成を規格呼称へ直接突合。</t>
        </is>
      </c>
    </row>
    <row r="809">
      <c r="A809" s="42" t="inlineStr">
        <is>
          <t>SZ-SL-000808</t>
        </is>
      </c>
      <c r="B809" s="42" t="inlineStr">
        <is>
          <t>WT-SL-MENKOSHI-HIKI</t>
        </is>
      </c>
      <c r="C809" s="42" t="inlineStr">
        <is>
          <t>面格子付引違い窓</t>
        </is>
      </c>
      <c r="D809" s="42" t="inlineStr">
        <is>
          <t>SP-SL-GRILLE-DIA</t>
        </is>
      </c>
      <c r="E809" s="42" t="inlineStr">
        <is>
          <t>17611</t>
        </is>
      </c>
      <c r="F809" s="42" t="inlineStr">
        <is>
          <t>1800</t>
        </is>
      </c>
      <c r="G809" s="42" t="inlineStr">
        <is>
          <t>1170</t>
        </is>
      </c>
      <c r="H809" s="42" t="inlineStr">
        <is>
          <t>True</t>
        </is>
      </c>
      <c r="I809" s="42" t="inlineStr">
        <is>
          <t>ALLOWED</t>
        </is>
      </c>
      <c r="J809" s="42" t="inlineStr">
        <is>
          <t>DIRECT_OFFICIAL_STANDARD_ROW</t>
        </is>
      </c>
      <c r="K809" s="42" t="inlineStr">
        <is>
          <t>SDC0003156</t>
        </is>
      </c>
      <c r="L809" s="42" t="inlineStr">
        <is>
          <t>マド2枚建 (201910～)</t>
        </is>
      </c>
      <c r="M809" s="42" t="inlineStr">
        <is>
          <t>85</t>
        </is>
      </c>
      <c r="N809" s="42" t="inlineStr">
        <is>
          <t>17611</t>
        </is>
      </c>
      <c r="O809" s="42" t="inlineStr">
        <is>
          <t>防犯建物部品欄の30mil構成を規格呼称へ直接突合。</t>
        </is>
      </c>
    </row>
    <row r="810">
      <c r="A810" s="42" t="inlineStr">
        <is>
          <t>SZ-SL-000809</t>
        </is>
      </c>
      <c r="B810" s="42" t="inlineStr">
        <is>
          <t>WT-SL-MENKOSHI-HIKI</t>
        </is>
      </c>
      <c r="C810" s="42" t="inlineStr">
        <is>
          <t>面格子付引違い窓</t>
        </is>
      </c>
      <c r="D810" s="42" t="inlineStr">
        <is>
          <t>SP-SL-GRILLE-DIA</t>
        </is>
      </c>
      <c r="E810" s="42" t="inlineStr">
        <is>
          <t>18011</t>
        </is>
      </c>
      <c r="F810" s="42" t="inlineStr">
        <is>
          <t>1845</t>
        </is>
      </c>
      <c r="G810" s="42" t="inlineStr">
        <is>
          <t>1170</t>
        </is>
      </c>
      <c r="H810" s="42" t="inlineStr">
        <is>
          <t>True</t>
        </is>
      </c>
      <c r="I810" s="42" t="inlineStr">
        <is>
          <t>ALLOWED</t>
        </is>
      </c>
      <c r="J810" s="42" t="inlineStr">
        <is>
          <t>DIRECT_OFFICIAL_STANDARD_ROW</t>
        </is>
      </c>
      <c r="K810" s="42" t="inlineStr">
        <is>
          <t>SDC0003156</t>
        </is>
      </c>
      <c r="L810" s="42" t="inlineStr">
        <is>
          <t>マド2枚建 (201910～)</t>
        </is>
      </c>
      <c r="M810" s="42" t="inlineStr">
        <is>
          <t>95</t>
        </is>
      </c>
      <c r="N810" s="42" t="inlineStr">
        <is>
          <t>18011</t>
        </is>
      </c>
      <c r="O810" s="42" t="inlineStr">
        <is>
          <t>防犯建物部品欄の30mil構成を規格呼称へ直接突合。</t>
        </is>
      </c>
    </row>
    <row r="811">
      <c r="A811" s="42" t="inlineStr">
        <is>
          <t>SZ-SL-000810</t>
        </is>
      </c>
      <c r="B811" s="42" t="inlineStr">
        <is>
          <t>WT-SL-MENKOSHI-HIKI</t>
        </is>
      </c>
      <c r="C811" s="42" t="inlineStr">
        <is>
          <t>面格子付引違い窓</t>
        </is>
      </c>
      <c r="D811" s="42" t="inlineStr">
        <is>
          <t>SP-SL-GRILLE-DIA</t>
        </is>
      </c>
      <c r="E811" s="42" t="inlineStr">
        <is>
          <t>18611</t>
        </is>
      </c>
      <c r="F811" s="42" t="inlineStr">
        <is>
          <t>1900</t>
        </is>
      </c>
      <c r="G811" s="42" t="inlineStr">
        <is>
          <t>1170</t>
        </is>
      </c>
      <c r="H811" s="42" t="inlineStr">
        <is>
          <t>True</t>
        </is>
      </c>
      <c r="I811" s="42" t="inlineStr">
        <is>
          <t>ALLOWED</t>
        </is>
      </c>
      <c r="J811" s="42" t="inlineStr">
        <is>
          <t>DIRECT_OFFICIAL_STANDARD_ROW</t>
        </is>
      </c>
      <c r="K811" s="42" t="inlineStr">
        <is>
          <t>SDC0003156</t>
        </is>
      </c>
      <c r="L811" s="42" t="inlineStr">
        <is>
          <t>マド2枚建 (201910～)</t>
        </is>
      </c>
      <c r="M811" s="42" t="inlineStr">
        <is>
          <t>105</t>
        </is>
      </c>
      <c r="N811" s="42" t="inlineStr">
        <is>
          <t>18611</t>
        </is>
      </c>
      <c r="O811" s="42" t="inlineStr">
        <is>
          <t>防犯建物部品欄の30mil構成を規格呼称へ直接突合。</t>
        </is>
      </c>
    </row>
    <row r="812">
      <c r="A812" s="42" t="inlineStr">
        <is>
          <t>SZ-SL-000811</t>
        </is>
      </c>
      <c r="B812" s="42" t="inlineStr">
        <is>
          <t>WT-SL-MENKOSHI-HIKI</t>
        </is>
      </c>
      <c r="C812" s="42" t="inlineStr">
        <is>
          <t>面格子付引違い窓</t>
        </is>
      </c>
      <c r="D812" s="42" t="inlineStr">
        <is>
          <t>SP-SL-GRILLE-H</t>
        </is>
      </c>
      <c r="E812" s="42" t="inlineStr">
        <is>
          <t>17411</t>
        </is>
      </c>
      <c r="F812" s="42" t="inlineStr">
        <is>
          <t>1780</t>
        </is>
      </c>
      <c r="G812" s="42" t="inlineStr">
        <is>
          <t>1170</t>
        </is>
      </c>
      <c r="H812" s="42" t="inlineStr">
        <is>
          <t>False</t>
        </is>
      </c>
      <c r="I812" s="42" t="inlineStr">
        <is>
          <t>ALLOWED</t>
        </is>
      </c>
      <c r="J812" s="42" t="inlineStr">
        <is>
          <t>DIRECT_OFFICIAL_STANDARD_ROW</t>
        </is>
      </c>
      <c r="K812" s="42" t="inlineStr">
        <is>
          <t>SDC0003156</t>
        </is>
      </c>
      <c r="L812" s="42" t="inlineStr">
        <is>
          <t>マド2枚建 (201910～)</t>
        </is>
      </c>
      <c r="M812" s="42" t="inlineStr">
        <is>
          <t>80</t>
        </is>
      </c>
      <c r="N812" s="42" t="inlineStr">
        <is>
          <t>17411</t>
        </is>
      </c>
      <c r="O812" s="42" t="inlineStr">
        <is>
          <t>防犯建物部品欄の30mil構成を規格呼称へ直接突合。</t>
        </is>
      </c>
    </row>
    <row r="813">
      <c r="A813" s="42" t="inlineStr">
        <is>
          <t>SZ-SL-000812</t>
        </is>
      </c>
      <c r="B813" s="42" t="inlineStr">
        <is>
          <t>WT-SL-MENKOSHI-HIKI</t>
        </is>
      </c>
      <c r="C813" s="42" t="inlineStr">
        <is>
          <t>面格子付引違い窓</t>
        </is>
      </c>
      <c r="D813" s="42" t="inlineStr">
        <is>
          <t>SP-SL-GRILLE-H</t>
        </is>
      </c>
      <c r="E813" s="42" t="inlineStr">
        <is>
          <t>17611</t>
        </is>
      </c>
      <c r="F813" s="42" t="inlineStr">
        <is>
          <t>1800</t>
        </is>
      </c>
      <c r="G813" s="42" t="inlineStr">
        <is>
          <t>1170</t>
        </is>
      </c>
      <c r="H813" s="42" t="inlineStr">
        <is>
          <t>False</t>
        </is>
      </c>
      <c r="I813" s="42" t="inlineStr">
        <is>
          <t>ALLOWED</t>
        </is>
      </c>
      <c r="J813" s="42" t="inlineStr">
        <is>
          <t>DIRECT_OFFICIAL_STANDARD_ROW</t>
        </is>
      </c>
      <c r="K813" s="42" t="inlineStr">
        <is>
          <t>SDC0003156</t>
        </is>
      </c>
      <c r="L813" s="42" t="inlineStr">
        <is>
          <t>マド2枚建 (201910～)</t>
        </is>
      </c>
      <c r="M813" s="42" t="inlineStr">
        <is>
          <t>85</t>
        </is>
      </c>
      <c r="N813" s="42" t="inlineStr">
        <is>
          <t>17611</t>
        </is>
      </c>
      <c r="O813" s="42" t="inlineStr">
        <is>
          <t>防犯建物部品欄の30mil構成を規格呼称へ直接突合。</t>
        </is>
      </c>
    </row>
    <row r="814">
      <c r="A814" s="42" t="inlineStr">
        <is>
          <t>SZ-SL-000813</t>
        </is>
      </c>
      <c r="B814" s="42" t="inlineStr">
        <is>
          <t>WT-SL-MENKOSHI-HIKI</t>
        </is>
      </c>
      <c r="C814" s="42" t="inlineStr">
        <is>
          <t>面格子付引違い窓</t>
        </is>
      </c>
      <c r="D814" s="42" t="inlineStr">
        <is>
          <t>SP-SL-GRILLE-H</t>
        </is>
      </c>
      <c r="E814" s="42" t="inlineStr">
        <is>
          <t>18011</t>
        </is>
      </c>
      <c r="F814" s="42" t="inlineStr">
        <is>
          <t>1845</t>
        </is>
      </c>
      <c r="G814" s="42" t="inlineStr">
        <is>
          <t>1170</t>
        </is>
      </c>
      <c r="H814" s="42" t="inlineStr">
        <is>
          <t>False</t>
        </is>
      </c>
      <c r="I814" s="42" t="inlineStr">
        <is>
          <t>ALLOWED</t>
        </is>
      </c>
      <c r="J814" s="42" t="inlineStr">
        <is>
          <t>DIRECT_OFFICIAL_STANDARD_ROW</t>
        </is>
      </c>
      <c r="K814" s="42" t="inlineStr">
        <is>
          <t>SDC0003156</t>
        </is>
      </c>
      <c r="L814" s="42" t="inlineStr">
        <is>
          <t>マド2枚建 (201910～)</t>
        </is>
      </c>
      <c r="M814" s="42" t="inlineStr">
        <is>
          <t>95</t>
        </is>
      </c>
      <c r="N814" s="42" t="inlineStr">
        <is>
          <t>18011</t>
        </is>
      </c>
      <c r="O814" s="42" t="inlineStr">
        <is>
          <t>防犯建物部品欄の30mil構成を規格呼称へ直接突合。</t>
        </is>
      </c>
    </row>
    <row r="815">
      <c r="A815" s="42" t="inlineStr">
        <is>
          <t>SZ-SL-000814</t>
        </is>
      </c>
      <c r="B815" s="42" t="inlineStr">
        <is>
          <t>WT-SL-MENKOSHI-HIKI</t>
        </is>
      </c>
      <c r="C815" s="42" t="inlineStr">
        <is>
          <t>面格子付引違い窓</t>
        </is>
      </c>
      <c r="D815" s="42" t="inlineStr">
        <is>
          <t>SP-SL-GRILLE-H</t>
        </is>
      </c>
      <c r="E815" s="42" t="inlineStr">
        <is>
          <t>18611</t>
        </is>
      </c>
      <c r="F815" s="42" t="inlineStr">
        <is>
          <t>1900</t>
        </is>
      </c>
      <c r="G815" s="42" t="inlineStr">
        <is>
          <t>1170</t>
        </is>
      </c>
      <c r="H815" s="42" t="inlineStr">
        <is>
          <t>False</t>
        </is>
      </c>
      <c r="I815" s="42" t="inlineStr">
        <is>
          <t>ALLOWED</t>
        </is>
      </c>
      <c r="J815" s="42" t="inlineStr">
        <is>
          <t>DIRECT_OFFICIAL_STANDARD_ROW</t>
        </is>
      </c>
      <c r="K815" s="42" t="inlineStr">
        <is>
          <t>SDC0003156</t>
        </is>
      </c>
      <c r="L815" s="42" t="inlineStr">
        <is>
          <t>マド2枚建 (201910～)</t>
        </is>
      </c>
      <c r="M815" s="42" t="inlineStr">
        <is>
          <t>105</t>
        </is>
      </c>
      <c r="N815" s="42" t="inlineStr">
        <is>
          <t>18611</t>
        </is>
      </c>
      <c r="O815" s="42" t="inlineStr">
        <is>
          <t>防犯建物部品欄の30mil構成を規格呼称へ直接突合。</t>
        </is>
      </c>
    </row>
    <row r="816">
      <c r="A816" s="42" t="inlineStr">
        <is>
          <t>SZ-SL-000815</t>
        </is>
      </c>
      <c r="B816" s="42" t="inlineStr">
        <is>
          <t>WT-SL-MENKOSHI-HIKI</t>
        </is>
      </c>
      <c r="C816" s="42" t="inlineStr">
        <is>
          <t>面格子付引違い窓</t>
        </is>
      </c>
      <c r="D816" s="42" t="inlineStr">
        <is>
          <t>SP-SL-GRILLE-IGETA</t>
        </is>
      </c>
      <c r="E816" s="42" t="inlineStr">
        <is>
          <t>17411</t>
        </is>
      </c>
      <c r="F816" s="42" t="inlineStr">
        <is>
          <t>1780</t>
        </is>
      </c>
      <c r="G816" s="42" t="inlineStr">
        <is>
          <t>1170</t>
        </is>
      </c>
      <c r="H816" s="42" t="inlineStr">
        <is>
          <t>True</t>
        </is>
      </c>
      <c r="I816" s="42" t="inlineStr">
        <is>
          <t>ALLOWED</t>
        </is>
      </c>
      <c r="J816" s="42" t="inlineStr">
        <is>
          <t>DIRECT_OFFICIAL_STANDARD_ROW</t>
        </is>
      </c>
      <c r="K816" s="42" t="inlineStr">
        <is>
          <t>SDC0003156</t>
        </is>
      </c>
      <c r="L816" s="42" t="inlineStr">
        <is>
          <t>マド2枚建 (201910～)</t>
        </is>
      </c>
      <c r="M816" s="42" t="inlineStr">
        <is>
          <t>80</t>
        </is>
      </c>
      <c r="N816" s="42" t="inlineStr">
        <is>
          <t>17411</t>
        </is>
      </c>
      <c r="O816" s="42" t="inlineStr">
        <is>
          <t>防犯建物部品欄の30mil構成を規格呼称へ直接突合。</t>
        </is>
      </c>
    </row>
    <row r="817">
      <c r="A817" s="42" t="inlineStr">
        <is>
          <t>SZ-SL-000816</t>
        </is>
      </c>
      <c r="B817" s="42" t="inlineStr">
        <is>
          <t>WT-SL-MENKOSHI-HIKI</t>
        </is>
      </c>
      <c r="C817" s="42" t="inlineStr">
        <is>
          <t>面格子付引違い窓</t>
        </is>
      </c>
      <c r="D817" s="42" t="inlineStr">
        <is>
          <t>SP-SL-GRILLE-IGETA</t>
        </is>
      </c>
      <c r="E817" s="42" t="inlineStr">
        <is>
          <t>17611</t>
        </is>
      </c>
      <c r="F817" s="42" t="inlineStr">
        <is>
          <t>1800</t>
        </is>
      </c>
      <c r="G817" s="42" t="inlineStr">
        <is>
          <t>1170</t>
        </is>
      </c>
      <c r="H817" s="42" t="inlineStr">
        <is>
          <t>True</t>
        </is>
      </c>
      <c r="I817" s="42" t="inlineStr">
        <is>
          <t>ALLOWED</t>
        </is>
      </c>
      <c r="J817" s="42" t="inlineStr">
        <is>
          <t>DIRECT_OFFICIAL_STANDARD_ROW</t>
        </is>
      </c>
      <c r="K817" s="42" t="inlineStr">
        <is>
          <t>SDC0003156</t>
        </is>
      </c>
      <c r="L817" s="42" t="inlineStr">
        <is>
          <t>マド2枚建 (201910～)</t>
        </is>
      </c>
      <c r="M817" s="42" t="inlineStr">
        <is>
          <t>85</t>
        </is>
      </c>
      <c r="N817" s="42" t="inlineStr">
        <is>
          <t>17611</t>
        </is>
      </c>
      <c r="O817" s="42" t="inlineStr">
        <is>
          <t>防犯建物部品欄の30mil構成を規格呼称へ直接突合。</t>
        </is>
      </c>
    </row>
    <row r="818">
      <c r="A818" s="42" t="inlineStr">
        <is>
          <t>SZ-SL-000817</t>
        </is>
      </c>
      <c r="B818" s="42" t="inlineStr">
        <is>
          <t>WT-SL-MENKOSHI-HIKI</t>
        </is>
      </c>
      <c r="C818" s="42" t="inlineStr">
        <is>
          <t>面格子付引違い窓</t>
        </is>
      </c>
      <c r="D818" s="42" t="inlineStr">
        <is>
          <t>SP-SL-GRILLE-IGETA</t>
        </is>
      </c>
      <c r="E818" s="42" t="inlineStr">
        <is>
          <t>18011</t>
        </is>
      </c>
      <c r="F818" s="42" t="inlineStr">
        <is>
          <t>1845</t>
        </is>
      </c>
      <c r="G818" s="42" t="inlineStr">
        <is>
          <t>1170</t>
        </is>
      </c>
      <c r="H818" s="42" t="inlineStr">
        <is>
          <t>True</t>
        </is>
      </c>
      <c r="I818" s="42" t="inlineStr">
        <is>
          <t>ALLOWED</t>
        </is>
      </c>
      <c r="J818" s="42" t="inlineStr">
        <is>
          <t>DIRECT_OFFICIAL_STANDARD_ROW</t>
        </is>
      </c>
      <c r="K818" s="42" t="inlineStr">
        <is>
          <t>SDC0003156</t>
        </is>
      </c>
      <c r="L818" s="42" t="inlineStr">
        <is>
          <t>マド2枚建 (201910～)</t>
        </is>
      </c>
      <c r="M818" s="42" t="inlineStr">
        <is>
          <t>95</t>
        </is>
      </c>
      <c r="N818" s="42" t="inlineStr">
        <is>
          <t>18011</t>
        </is>
      </c>
      <c r="O818" s="42" t="inlineStr">
        <is>
          <t>防犯建物部品欄の30mil構成を規格呼称へ直接突合。</t>
        </is>
      </c>
    </row>
    <row r="819">
      <c r="A819" s="42" t="inlineStr">
        <is>
          <t>SZ-SL-000818</t>
        </is>
      </c>
      <c r="B819" s="42" t="inlineStr">
        <is>
          <t>WT-SL-MENKOSHI-HIKI</t>
        </is>
      </c>
      <c r="C819" s="42" t="inlineStr">
        <is>
          <t>面格子付引違い窓</t>
        </is>
      </c>
      <c r="D819" s="42" t="inlineStr">
        <is>
          <t>SP-SL-GRILLE-IGETA</t>
        </is>
      </c>
      <c r="E819" s="42" t="inlineStr">
        <is>
          <t>18611</t>
        </is>
      </c>
      <c r="F819" s="42" t="inlineStr">
        <is>
          <t>1900</t>
        </is>
      </c>
      <c r="G819" s="42" t="inlineStr">
        <is>
          <t>1170</t>
        </is>
      </c>
      <c r="H819" s="42" t="inlineStr">
        <is>
          <t>True</t>
        </is>
      </c>
      <c r="I819" s="42" t="inlineStr">
        <is>
          <t>ALLOWED</t>
        </is>
      </c>
      <c r="J819" s="42" t="inlineStr">
        <is>
          <t>DIRECT_OFFICIAL_STANDARD_ROW</t>
        </is>
      </c>
      <c r="K819" s="42" t="inlineStr">
        <is>
          <t>SDC0003156</t>
        </is>
      </c>
      <c r="L819" s="42" t="inlineStr">
        <is>
          <t>マド2枚建 (201910～)</t>
        </is>
      </c>
      <c r="M819" s="42" t="inlineStr">
        <is>
          <t>105</t>
        </is>
      </c>
      <c r="N819" s="42" t="inlineStr">
        <is>
          <t>18611</t>
        </is>
      </c>
      <c r="O819" s="42" t="inlineStr">
        <is>
          <t>防犯建物部品欄の30mil構成を規格呼称へ直接突合。</t>
        </is>
      </c>
    </row>
    <row r="820">
      <c r="A820" s="42" t="inlineStr">
        <is>
          <t>SZ-SL-000819</t>
        </is>
      </c>
      <c r="B820" s="42" t="inlineStr">
        <is>
          <t>WT-SL-MENKOSHI-HIKI</t>
        </is>
      </c>
      <c r="C820" s="42" t="inlineStr">
        <is>
          <t>面格子付引違い窓</t>
        </is>
      </c>
      <c r="D820" s="42" t="inlineStr">
        <is>
          <t>SP-SL-GRILLE-V</t>
        </is>
      </c>
      <c r="E820" s="42" t="inlineStr">
        <is>
          <t>17411</t>
        </is>
      </c>
      <c r="F820" s="42" t="inlineStr">
        <is>
          <t>1780</t>
        </is>
      </c>
      <c r="G820" s="42" t="inlineStr">
        <is>
          <t>1170</t>
        </is>
      </c>
      <c r="H820" s="42" t="inlineStr">
        <is>
          <t>True</t>
        </is>
      </c>
      <c r="I820" s="42" t="inlineStr">
        <is>
          <t>ALLOWED</t>
        </is>
      </c>
      <c r="J820" s="42" t="inlineStr">
        <is>
          <t>DIRECT_OFFICIAL_STANDARD_ROW</t>
        </is>
      </c>
      <c r="K820" s="42" t="inlineStr">
        <is>
          <t>SDC0003156</t>
        </is>
      </c>
      <c r="L820" s="42" t="inlineStr">
        <is>
          <t>マド2枚建 (201910～)</t>
        </is>
      </c>
      <c r="M820" s="42" t="inlineStr">
        <is>
          <t>80</t>
        </is>
      </c>
      <c r="N820" s="42" t="inlineStr">
        <is>
          <t>17411</t>
        </is>
      </c>
      <c r="O820" s="42" t="inlineStr">
        <is>
          <t>防犯建物部品欄の30mil構成を規格呼称へ直接突合。</t>
        </is>
      </c>
    </row>
    <row r="821">
      <c r="A821" s="42" t="inlineStr">
        <is>
          <t>SZ-SL-000820</t>
        </is>
      </c>
      <c r="B821" s="42" t="inlineStr">
        <is>
          <t>WT-SL-MENKOSHI-HIKI</t>
        </is>
      </c>
      <c r="C821" s="42" t="inlineStr">
        <is>
          <t>面格子付引違い窓</t>
        </is>
      </c>
      <c r="D821" s="42" t="inlineStr">
        <is>
          <t>SP-SL-GRILLE-V</t>
        </is>
      </c>
      <c r="E821" s="42" t="inlineStr">
        <is>
          <t>17611</t>
        </is>
      </c>
      <c r="F821" s="42" t="inlineStr">
        <is>
          <t>1800</t>
        </is>
      </c>
      <c r="G821" s="42" t="inlineStr">
        <is>
          <t>1170</t>
        </is>
      </c>
      <c r="H821" s="42" t="inlineStr">
        <is>
          <t>True</t>
        </is>
      </c>
      <c r="I821" s="42" t="inlineStr">
        <is>
          <t>ALLOWED</t>
        </is>
      </c>
      <c r="J821" s="42" t="inlineStr">
        <is>
          <t>DIRECT_OFFICIAL_STANDARD_ROW</t>
        </is>
      </c>
      <c r="K821" s="42" t="inlineStr">
        <is>
          <t>SDC0003156</t>
        </is>
      </c>
      <c r="L821" s="42" t="inlineStr">
        <is>
          <t>マド2枚建 (201910～)</t>
        </is>
      </c>
      <c r="M821" s="42" t="inlineStr">
        <is>
          <t>85</t>
        </is>
      </c>
      <c r="N821" s="42" t="inlineStr">
        <is>
          <t>17611</t>
        </is>
      </c>
      <c r="O821" s="42" t="inlineStr">
        <is>
          <t>防犯建物部品欄の30mil構成を規格呼称へ直接突合。</t>
        </is>
      </c>
    </row>
    <row r="822">
      <c r="A822" s="42" t="inlineStr">
        <is>
          <t>SZ-SL-000821</t>
        </is>
      </c>
      <c r="B822" s="42" t="inlineStr">
        <is>
          <t>WT-SL-MENKOSHI-HIKI</t>
        </is>
      </c>
      <c r="C822" s="42" t="inlineStr">
        <is>
          <t>面格子付引違い窓</t>
        </is>
      </c>
      <c r="D822" s="42" t="inlineStr">
        <is>
          <t>SP-SL-GRILLE-V</t>
        </is>
      </c>
      <c r="E822" s="42" t="inlineStr">
        <is>
          <t>18011</t>
        </is>
      </c>
      <c r="F822" s="42" t="inlineStr">
        <is>
          <t>1845</t>
        </is>
      </c>
      <c r="G822" s="42" t="inlineStr">
        <is>
          <t>1170</t>
        </is>
      </c>
      <c r="H822" s="42" t="inlineStr">
        <is>
          <t>True</t>
        </is>
      </c>
      <c r="I822" s="42" t="inlineStr">
        <is>
          <t>ALLOWED</t>
        </is>
      </c>
      <c r="J822" s="42" t="inlineStr">
        <is>
          <t>DIRECT_OFFICIAL_STANDARD_ROW</t>
        </is>
      </c>
      <c r="K822" s="42" t="inlineStr">
        <is>
          <t>SDC0003156</t>
        </is>
      </c>
      <c r="L822" s="42" t="inlineStr">
        <is>
          <t>マド2枚建 (201910～)</t>
        </is>
      </c>
      <c r="M822" s="42" t="inlineStr">
        <is>
          <t>95</t>
        </is>
      </c>
      <c r="N822" s="42" t="inlineStr">
        <is>
          <t>18011</t>
        </is>
      </c>
      <c r="O822" s="42" t="inlineStr">
        <is>
          <t>防犯建物部品欄の30mil構成を規格呼称へ直接突合。</t>
        </is>
      </c>
    </row>
    <row r="823">
      <c r="A823" s="42" t="inlineStr">
        <is>
          <t>SZ-SL-000822</t>
        </is>
      </c>
      <c r="B823" s="42" t="inlineStr">
        <is>
          <t>WT-SL-MENKOSHI-HIKI</t>
        </is>
      </c>
      <c r="C823" s="42" t="inlineStr">
        <is>
          <t>面格子付引違い窓</t>
        </is>
      </c>
      <c r="D823" s="42" t="inlineStr">
        <is>
          <t>SP-SL-GRILLE-V</t>
        </is>
      </c>
      <c r="E823" s="42" t="inlineStr">
        <is>
          <t>18611</t>
        </is>
      </c>
      <c r="F823" s="42" t="inlineStr">
        <is>
          <t>1900</t>
        </is>
      </c>
      <c r="G823" s="42" t="inlineStr">
        <is>
          <t>1170</t>
        </is>
      </c>
      <c r="H823" s="42" t="inlineStr">
        <is>
          <t>True</t>
        </is>
      </c>
      <c r="I823" s="42" t="inlineStr">
        <is>
          <t>ALLOWED</t>
        </is>
      </c>
      <c r="J823" s="42" t="inlineStr">
        <is>
          <t>DIRECT_OFFICIAL_STANDARD_ROW</t>
        </is>
      </c>
      <c r="K823" s="42" t="inlineStr">
        <is>
          <t>SDC0003156</t>
        </is>
      </c>
      <c r="L823" s="42" t="inlineStr">
        <is>
          <t>マド2枚建 (201910～)</t>
        </is>
      </c>
      <c r="M823" s="42" t="inlineStr">
        <is>
          <t>105</t>
        </is>
      </c>
      <c r="N823" s="42" t="inlineStr">
        <is>
          <t>18611</t>
        </is>
      </c>
      <c r="O823" s="42" t="inlineStr">
        <is>
          <t>防犯建物部品欄の30mil構成を規格呼称へ直接突合。</t>
        </is>
      </c>
    </row>
    <row r="824">
      <c r="A824" s="42" t="inlineStr">
        <is>
          <t>SZ-SL-000823</t>
        </is>
      </c>
      <c r="B824" s="42" t="inlineStr">
        <is>
          <t>WT-SL-MENKOSHI-HIKI</t>
        </is>
      </c>
      <c r="C824" s="42" t="inlineStr">
        <is>
          <t>面格子付引違い窓</t>
        </is>
      </c>
      <c r="D824" s="42" t="inlineStr">
        <is>
          <t>SP-SL-GRILLE-DIA</t>
        </is>
      </c>
      <c r="E824" s="42" t="inlineStr">
        <is>
          <t>11413</t>
        </is>
      </c>
      <c r="F824" s="42" t="inlineStr">
        <is>
          <t>1185</t>
        </is>
      </c>
      <c r="G824" s="42" t="inlineStr">
        <is>
          <t>1370</t>
        </is>
      </c>
      <c r="H824" s="42" t="inlineStr">
        <is>
          <t>True</t>
        </is>
      </c>
      <c r="I824" s="42" t="inlineStr">
        <is>
          <t>ALLOWED</t>
        </is>
      </c>
      <c r="J824" s="42" t="inlineStr">
        <is>
          <t>DIRECT_OFFICIAL_STANDARD_ROW</t>
        </is>
      </c>
      <c r="K824" s="42" t="inlineStr">
        <is>
          <t>SDC0003156</t>
        </is>
      </c>
      <c r="L824" s="42" t="inlineStr">
        <is>
          <t>マド2枚建 (201910～)</t>
        </is>
      </c>
      <c r="M824" s="42" t="inlineStr">
        <is>
          <t>36</t>
        </is>
      </c>
      <c r="N824" s="42" t="inlineStr">
        <is>
          <t>11413</t>
        </is>
      </c>
      <c r="O824" s="42" t="inlineStr">
        <is>
          <t>防犯建物部品欄の30mil構成を規格呼称へ直接突合。</t>
        </is>
      </c>
    </row>
    <row r="825">
      <c r="A825" s="42" t="inlineStr">
        <is>
          <t>SZ-SL-000824</t>
        </is>
      </c>
      <c r="B825" s="42" t="inlineStr">
        <is>
          <t>WT-SL-MENKOSHI-HIKI</t>
        </is>
      </c>
      <c r="C825" s="42" t="inlineStr">
        <is>
          <t>面格子付引違い窓</t>
        </is>
      </c>
      <c r="D825" s="42" t="inlineStr">
        <is>
          <t>SP-SL-GRILLE-DIA</t>
        </is>
      </c>
      <c r="E825" s="42" t="inlineStr">
        <is>
          <t>11913</t>
        </is>
      </c>
      <c r="F825" s="42" t="inlineStr">
        <is>
          <t>1235</t>
        </is>
      </c>
      <c r="G825" s="42" t="inlineStr">
        <is>
          <t>1370</t>
        </is>
      </c>
      <c r="H825" s="42" t="inlineStr">
        <is>
          <t>True</t>
        </is>
      </c>
      <c r="I825" s="42" t="inlineStr">
        <is>
          <t>ALLOWED</t>
        </is>
      </c>
      <c r="J825" s="42" t="inlineStr">
        <is>
          <t>DIRECT_OFFICIAL_STANDARD_ROW</t>
        </is>
      </c>
      <c r="K825" s="42" t="inlineStr">
        <is>
          <t>SDC0003156</t>
        </is>
      </c>
      <c r="L825" s="42" t="inlineStr">
        <is>
          <t>マド2枚建 (201910～)</t>
        </is>
      </c>
      <c r="M825" s="42" t="inlineStr">
        <is>
          <t>42</t>
        </is>
      </c>
      <c r="N825" s="42" t="inlineStr">
        <is>
          <t>11913</t>
        </is>
      </c>
      <c r="O825" s="42" t="inlineStr">
        <is>
          <t>防犯建物部品欄の30mil構成を規格呼称へ直接突合。</t>
        </is>
      </c>
    </row>
    <row r="826">
      <c r="A826" s="42" t="inlineStr">
        <is>
          <t>SZ-SL-000825</t>
        </is>
      </c>
      <c r="B826" s="42" t="inlineStr">
        <is>
          <t>WT-SL-MENKOSHI-HIKI</t>
        </is>
      </c>
      <c r="C826" s="42" t="inlineStr">
        <is>
          <t>面格子付引違い窓</t>
        </is>
      </c>
      <c r="D826" s="42" t="inlineStr">
        <is>
          <t>SP-SL-GRILLE-H</t>
        </is>
      </c>
      <c r="E826" s="42" t="inlineStr">
        <is>
          <t>11413</t>
        </is>
      </c>
      <c r="F826" s="42" t="inlineStr">
        <is>
          <t>1185</t>
        </is>
      </c>
      <c r="G826" s="42" t="inlineStr">
        <is>
          <t>1370</t>
        </is>
      </c>
      <c r="H826" s="42" t="inlineStr">
        <is>
          <t>True</t>
        </is>
      </c>
      <c r="I826" s="42" t="inlineStr">
        <is>
          <t>ALLOWED</t>
        </is>
      </c>
      <c r="J826" s="42" t="inlineStr">
        <is>
          <t>DIRECT_OFFICIAL_STANDARD_ROW</t>
        </is>
      </c>
      <c r="K826" s="42" t="inlineStr">
        <is>
          <t>SDC0003156</t>
        </is>
      </c>
      <c r="L826" s="42" t="inlineStr">
        <is>
          <t>マド2枚建 (201910～)</t>
        </is>
      </c>
      <c r="M826" s="42" t="inlineStr">
        <is>
          <t>36</t>
        </is>
      </c>
      <c r="N826" s="42" t="inlineStr">
        <is>
          <t>11413</t>
        </is>
      </c>
      <c r="O826" s="42" t="inlineStr">
        <is>
          <t>防犯建物部品欄の30mil構成を規格呼称へ直接突合。</t>
        </is>
      </c>
    </row>
    <row r="827">
      <c r="A827" s="42" t="inlineStr">
        <is>
          <t>SZ-SL-000826</t>
        </is>
      </c>
      <c r="B827" s="42" t="inlineStr">
        <is>
          <t>WT-SL-MENKOSHI-HIKI</t>
        </is>
      </c>
      <c r="C827" s="42" t="inlineStr">
        <is>
          <t>面格子付引違い窓</t>
        </is>
      </c>
      <c r="D827" s="42" t="inlineStr">
        <is>
          <t>SP-SL-GRILLE-H</t>
        </is>
      </c>
      <c r="E827" s="42" t="inlineStr">
        <is>
          <t>11913</t>
        </is>
      </c>
      <c r="F827" s="42" t="inlineStr">
        <is>
          <t>1235</t>
        </is>
      </c>
      <c r="G827" s="42" t="inlineStr">
        <is>
          <t>1370</t>
        </is>
      </c>
      <c r="H827" s="42" t="inlineStr">
        <is>
          <t>True</t>
        </is>
      </c>
      <c r="I827" s="42" t="inlineStr">
        <is>
          <t>ALLOWED</t>
        </is>
      </c>
      <c r="J827" s="42" t="inlineStr">
        <is>
          <t>DIRECT_OFFICIAL_STANDARD_ROW</t>
        </is>
      </c>
      <c r="K827" s="42" t="inlineStr">
        <is>
          <t>SDC0003156</t>
        </is>
      </c>
      <c r="L827" s="42" t="inlineStr">
        <is>
          <t>マド2枚建 (201910～)</t>
        </is>
      </c>
      <c r="M827" s="42" t="inlineStr">
        <is>
          <t>42</t>
        </is>
      </c>
      <c r="N827" s="42" t="inlineStr">
        <is>
          <t>11913</t>
        </is>
      </c>
      <c r="O827" s="42" t="inlineStr">
        <is>
          <t>防犯建物部品欄の30mil構成を規格呼称へ直接突合。</t>
        </is>
      </c>
    </row>
    <row r="828">
      <c r="A828" s="42" t="inlineStr">
        <is>
          <t>SZ-SL-000827</t>
        </is>
      </c>
      <c r="B828" s="42" t="inlineStr">
        <is>
          <t>WT-SL-MENKOSHI-HIKI</t>
        </is>
      </c>
      <c r="C828" s="42" t="inlineStr">
        <is>
          <t>面格子付引違い窓</t>
        </is>
      </c>
      <c r="D828" s="42" t="inlineStr">
        <is>
          <t>SP-SL-GRILLE-IGETA</t>
        </is>
      </c>
      <c r="E828" s="42" t="inlineStr">
        <is>
          <t>11413</t>
        </is>
      </c>
      <c r="F828" s="42" t="inlineStr">
        <is>
          <t>1185</t>
        </is>
      </c>
      <c r="G828" s="42" t="inlineStr">
        <is>
          <t>1370</t>
        </is>
      </c>
      <c r="H828" s="42" t="inlineStr">
        <is>
          <t>True</t>
        </is>
      </c>
      <c r="I828" s="42" t="inlineStr">
        <is>
          <t>ALLOWED</t>
        </is>
      </c>
      <c r="J828" s="42" t="inlineStr">
        <is>
          <t>DIRECT_OFFICIAL_STANDARD_ROW</t>
        </is>
      </c>
      <c r="K828" s="42" t="inlineStr">
        <is>
          <t>SDC0003156</t>
        </is>
      </c>
      <c r="L828" s="42" t="inlineStr">
        <is>
          <t>マド2枚建 (201910～)</t>
        </is>
      </c>
      <c r="M828" s="42" t="inlineStr">
        <is>
          <t>36</t>
        </is>
      </c>
      <c r="N828" s="42" t="inlineStr">
        <is>
          <t>11413</t>
        </is>
      </c>
      <c r="O828" s="42" t="inlineStr">
        <is>
          <t>防犯建物部品欄の30mil構成を規格呼称へ直接突合。</t>
        </is>
      </c>
    </row>
    <row r="829">
      <c r="A829" s="42" t="inlineStr">
        <is>
          <t>SZ-SL-000828</t>
        </is>
      </c>
      <c r="B829" s="42" t="inlineStr">
        <is>
          <t>WT-SL-MENKOSHI-HIKI</t>
        </is>
      </c>
      <c r="C829" s="42" t="inlineStr">
        <is>
          <t>面格子付引違い窓</t>
        </is>
      </c>
      <c r="D829" s="42" t="inlineStr">
        <is>
          <t>SP-SL-GRILLE-IGETA</t>
        </is>
      </c>
      <c r="E829" s="42" t="inlineStr">
        <is>
          <t>11913</t>
        </is>
      </c>
      <c r="F829" s="42" t="inlineStr">
        <is>
          <t>1235</t>
        </is>
      </c>
      <c r="G829" s="42" t="inlineStr">
        <is>
          <t>1370</t>
        </is>
      </c>
      <c r="H829" s="42" t="inlineStr">
        <is>
          <t>True</t>
        </is>
      </c>
      <c r="I829" s="42" t="inlineStr">
        <is>
          <t>ALLOWED</t>
        </is>
      </c>
      <c r="J829" s="42" t="inlineStr">
        <is>
          <t>DIRECT_OFFICIAL_STANDARD_ROW</t>
        </is>
      </c>
      <c r="K829" s="42" t="inlineStr">
        <is>
          <t>SDC0003156</t>
        </is>
      </c>
      <c r="L829" s="42" t="inlineStr">
        <is>
          <t>マド2枚建 (201910～)</t>
        </is>
      </c>
      <c r="M829" s="42" t="inlineStr">
        <is>
          <t>42</t>
        </is>
      </c>
      <c r="N829" s="42" t="inlineStr">
        <is>
          <t>11913</t>
        </is>
      </c>
      <c r="O829" s="42" t="inlineStr">
        <is>
          <t>防犯建物部品欄の30mil構成を規格呼称へ直接突合。</t>
        </is>
      </c>
    </row>
    <row r="830">
      <c r="A830" s="42" t="inlineStr">
        <is>
          <t>SZ-SL-000829</t>
        </is>
      </c>
      <c r="B830" s="42" t="inlineStr">
        <is>
          <t>WT-SL-MENKOSHI-HIKI</t>
        </is>
      </c>
      <c r="C830" s="42" t="inlineStr">
        <is>
          <t>面格子付引違い窓</t>
        </is>
      </c>
      <c r="D830" s="42" t="inlineStr">
        <is>
          <t>SP-SL-GRILLE-V</t>
        </is>
      </c>
      <c r="E830" s="42" t="inlineStr">
        <is>
          <t>11413</t>
        </is>
      </c>
      <c r="F830" s="42" t="inlineStr">
        <is>
          <t>1185</t>
        </is>
      </c>
      <c r="G830" s="42" t="inlineStr">
        <is>
          <t>1370</t>
        </is>
      </c>
      <c r="H830" s="42" t="inlineStr">
        <is>
          <t>True</t>
        </is>
      </c>
      <c r="I830" s="42" t="inlineStr">
        <is>
          <t>ALLOWED</t>
        </is>
      </c>
      <c r="J830" s="42" t="inlineStr">
        <is>
          <t>DIRECT_OFFICIAL_STANDARD_ROW</t>
        </is>
      </c>
      <c r="K830" s="42" t="inlineStr">
        <is>
          <t>SDC0003156</t>
        </is>
      </c>
      <c r="L830" s="42" t="inlineStr">
        <is>
          <t>マド2枚建 (201910～)</t>
        </is>
      </c>
      <c r="M830" s="42" t="inlineStr">
        <is>
          <t>36</t>
        </is>
      </c>
      <c r="N830" s="42" t="inlineStr">
        <is>
          <t>11413</t>
        </is>
      </c>
      <c r="O830" s="42" t="inlineStr">
        <is>
          <t>防犯建物部品欄の30mil構成を規格呼称へ直接突合。</t>
        </is>
      </c>
    </row>
    <row r="831">
      <c r="A831" s="42" t="inlineStr">
        <is>
          <t>SZ-SL-000830</t>
        </is>
      </c>
      <c r="B831" s="42" t="inlineStr">
        <is>
          <t>WT-SL-MENKOSHI-HIKI</t>
        </is>
      </c>
      <c r="C831" s="42" t="inlineStr">
        <is>
          <t>面格子付引違い窓</t>
        </is>
      </c>
      <c r="D831" s="42" t="inlineStr">
        <is>
          <t>SP-SL-GRILLE-V</t>
        </is>
      </c>
      <c r="E831" s="42" t="inlineStr">
        <is>
          <t>11913</t>
        </is>
      </c>
      <c r="F831" s="42" t="inlineStr">
        <is>
          <t>1235</t>
        </is>
      </c>
      <c r="G831" s="42" t="inlineStr">
        <is>
          <t>1370</t>
        </is>
      </c>
      <c r="H831" s="42" t="inlineStr">
        <is>
          <t>True</t>
        </is>
      </c>
      <c r="I831" s="42" t="inlineStr">
        <is>
          <t>ALLOWED</t>
        </is>
      </c>
      <c r="J831" s="42" t="inlineStr">
        <is>
          <t>DIRECT_OFFICIAL_STANDARD_ROW</t>
        </is>
      </c>
      <c r="K831" s="42" t="inlineStr">
        <is>
          <t>SDC0003156</t>
        </is>
      </c>
      <c r="L831" s="42" t="inlineStr">
        <is>
          <t>マド2枚建 (201910～)</t>
        </is>
      </c>
      <c r="M831" s="42" t="inlineStr">
        <is>
          <t>42</t>
        </is>
      </c>
      <c r="N831" s="42" t="inlineStr">
        <is>
          <t>11913</t>
        </is>
      </c>
      <c r="O831" s="42" t="inlineStr">
        <is>
          <t>防犯建物部品欄の30mil構成を規格呼称へ直接突合。</t>
        </is>
      </c>
    </row>
    <row r="832">
      <c r="A832" s="42" t="inlineStr">
        <is>
          <t>SZ-SL-000831</t>
        </is>
      </c>
      <c r="B832" s="42" t="inlineStr">
        <is>
          <t>WT-SL-MENKOSHI-HIKI</t>
        </is>
      </c>
      <c r="C832" s="42" t="inlineStr">
        <is>
          <t>面格子付引違い窓</t>
        </is>
      </c>
      <c r="D832" s="42" t="inlineStr">
        <is>
          <t>SP-SL-GRILLE-DIA</t>
        </is>
      </c>
      <c r="E832" s="42" t="inlineStr">
        <is>
          <t>15013</t>
        </is>
      </c>
      <c r="F832" s="42" t="inlineStr">
        <is>
          <t>1540</t>
        </is>
      </c>
      <c r="G832" s="42" t="inlineStr">
        <is>
          <t>1370</t>
        </is>
      </c>
      <c r="H832" s="42" t="inlineStr">
        <is>
          <t>True</t>
        </is>
      </c>
      <c r="I832" s="42" t="inlineStr">
        <is>
          <t>ALLOWED</t>
        </is>
      </c>
      <c r="J832" s="42" t="inlineStr">
        <is>
          <t>DIRECT_OFFICIAL_STANDARD_ROW</t>
        </is>
      </c>
      <c r="K832" s="42" t="inlineStr">
        <is>
          <t>SDC0003156</t>
        </is>
      </c>
      <c r="L832" s="42" t="inlineStr">
        <is>
          <t>マド2枚建 (201910～)</t>
        </is>
      </c>
      <c r="M832" s="42" t="inlineStr">
        <is>
          <t>57</t>
        </is>
      </c>
      <c r="N832" s="42" t="inlineStr">
        <is>
          <t>15013</t>
        </is>
      </c>
      <c r="O832" s="42" t="inlineStr">
        <is>
          <t>防犯建物部品欄の30mil構成を規格呼称へ直接突合。</t>
        </is>
      </c>
    </row>
    <row r="833">
      <c r="A833" s="42" t="inlineStr">
        <is>
          <t>SZ-SL-000832</t>
        </is>
      </c>
      <c r="B833" s="42" t="inlineStr">
        <is>
          <t>WT-SL-MENKOSHI-HIKI</t>
        </is>
      </c>
      <c r="C833" s="42" t="inlineStr">
        <is>
          <t>面格子付引違い窓</t>
        </is>
      </c>
      <c r="D833" s="42" t="inlineStr">
        <is>
          <t>SP-SL-GRILLE-DIA</t>
        </is>
      </c>
      <c r="E833" s="42" t="inlineStr">
        <is>
          <t>16013</t>
        </is>
      </c>
      <c r="F833" s="42" t="inlineStr">
        <is>
          <t>1640</t>
        </is>
      </c>
      <c r="G833" s="42" t="inlineStr">
        <is>
          <t>1370</t>
        </is>
      </c>
      <c r="H833" s="42" t="inlineStr">
        <is>
          <t>True</t>
        </is>
      </c>
      <c r="I833" s="42" t="inlineStr">
        <is>
          <t>ALLOWED</t>
        </is>
      </c>
      <c r="J833" s="42" t="inlineStr">
        <is>
          <t>DIRECT_OFFICIAL_STANDARD_ROW</t>
        </is>
      </c>
      <c r="K833" s="42" t="inlineStr">
        <is>
          <t>SDC0003156</t>
        </is>
      </c>
      <c r="L833" s="42" t="inlineStr">
        <is>
          <t>マド2枚建 (201910～)</t>
        </is>
      </c>
      <c r="M833" s="42" t="inlineStr">
        <is>
          <t>68</t>
        </is>
      </c>
      <c r="N833" s="42" t="inlineStr">
        <is>
          <t>16013</t>
        </is>
      </c>
      <c r="O833" s="42" t="inlineStr">
        <is>
          <t>防犯建物部品欄の30mil構成を規格呼称へ直接突合。</t>
        </is>
      </c>
    </row>
    <row r="834">
      <c r="A834" s="42" t="inlineStr">
        <is>
          <t>SZ-SL-000833</t>
        </is>
      </c>
      <c r="B834" s="42" t="inlineStr">
        <is>
          <t>WT-SL-MENKOSHI-HIKI</t>
        </is>
      </c>
      <c r="C834" s="42" t="inlineStr">
        <is>
          <t>面格子付引違い窓</t>
        </is>
      </c>
      <c r="D834" s="42" t="inlineStr">
        <is>
          <t>SP-SL-GRILLE-DIA</t>
        </is>
      </c>
      <c r="E834" s="42" t="inlineStr">
        <is>
          <t>16513</t>
        </is>
      </c>
      <c r="F834" s="42" t="inlineStr">
        <is>
          <t>1690</t>
        </is>
      </c>
      <c r="G834" s="42" t="inlineStr">
        <is>
          <t>1370</t>
        </is>
      </c>
      <c r="H834" s="42" t="inlineStr">
        <is>
          <t>True</t>
        </is>
      </c>
      <c r="I834" s="42" t="inlineStr">
        <is>
          <t>ALLOWED</t>
        </is>
      </c>
      <c r="J834" s="42" t="inlineStr">
        <is>
          <t>DIRECT_OFFICIAL_STANDARD_ROW</t>
        </is>
      </c>
      <c r="K834" s="42" t="inlineStr">
        <is>
          <t>SDC0003156</t>
        </is>
      </c>
      <c r="L834" s="42" t="inlineStr">
        <is>
          <t>マド2枚建 (201910～)</t>
        </is>
      </c>
      <c r="M834" s="42" t="inlineStr">
        <is>
          <t>75</t>
        </is>
      </c>
      <c r="N834" s="42" t="inlineStr">
        <is>
          <t>16513</t>
        </is>
      </c>
      <c r="O834" s="42" t="inlineStr">
        <is>
          <t>防犯建物部品欄の30mil構成を規格呼称へ直接突合。</t>
        </is>
      </c>
    </row>
    <row r="835">
      <c r="A835" s="42" t="inlineStr">
        <is>
          <t>SZ-SL-000834</t>
        </is>
      </c>
      <c r="B835" s="42" t="inlineStr">
        <is>
          <t>WT-SL-MENKOSHI-HIKI</t>
        </is>
      </c>
      <c r="C835" s="42" t="inlineStr">
        <is>
          <t>面格子付引違い窓</t>
        </is>
      </c>
      <c r="D835" s="42" t="inlineStr">
        <is>
          <t>SP-SL-GRILLE-H</t>
        </is>
      </c>
      <c r="E835" s="42" t="inlineStr">
        <is>
          <t>15013</t>
        </is>
      </c>
      <c r="F835" s="42" t="inlineStr">
        <is>
          <t>1540</t>
        </is>
      </c>
      <c r="G835" s="42" t="inlineStr">
        <is>
          <t>1370</t>
        </is>
      </c>
      <c r="H835" s="42" t="inlineStr">
        <is>
          <t>False</t>
        </is>
      </c>
      <c r="I835" s="42" t="inlineStr">
        <is>
          <t>ALLOWED</t>
        </is>
      </c>
      <c r="J835" s="42" t="inlineStr">
        <is>
          <t>DIRECT_OFFICIAL_STANDARD_ROW</t>
        </is>
      </c>
      <c r="K835" s="42" t="inlineStr">
        <is>
          <t>SDC0003156</t>
        </is>
      </c>
      <c r="L835" s="42" t="inlineStr">
        <is>
          <t>マド2枚建 (201910～)</t>
        </is>
      </c>
      <c r="M835" s="42" t="inlineStr">
        <is>
          <t>57</t>
        </is>
      </c>
      <c r="N835" s="42" t="inlineStr">
        <is>
          <t>15013</t>
        </is>
      </c>
      <c r="O835" s="42" t="inlineStr">
        <is>
          <t>防犯建物部品欄の30mil構成を規格呼称へ直接突合。</t>
        </is>
      </c>
    </row>
    <row r="836">
      <c r="A836" s="42" t="inlineStr">
        <is>
          <t>SZ-SL-000835</t>
        </is>
      </c>
      <c r="B836" s="42" t="inlineStr">
        <is>
          <t>WT-SL-MENKOSHI-HIKI</t>
        </is>
      </c>
      <c r="C836" s="42" t="inlineStr">
        <is>
          <t>面格子付引違い窓</t>
        </is>
      </c>
      <c r="D836" s="42" t="inlineStr">
        <is>
          <t>SP-SL-GRILLE-H</t>
        </is>
      </c>
      <c r="E836" s="42" t="inlineStr">
        <is>
          <t>16013</t>
        </is>
      </c>
      <c r="F836" s="42" t="inlineStr">
        <is>
          <t>1640</t>
        </is>
      </c>
      <c r="G836" s="42" t="inlineStr">
        <is>
          <t>1370</t>
        </is>
      </c>
      <c r="H836" s="42" t="inlineStr">
        <is>
          <t>False</t>
        </is>
      </c>
      <c r="I836" s="42" t="inlineStr">
        <is>
          <t>ALLOWED</t>
        </is>
      </c>
      <c r="J836" s="42" t="inlineStr">
        <is>
          <t>DIRECT_OFFICIAL_STANDARD_ROW</t>
        </is>
      </c>
      <c r="K836" s="42" t="inlineStr">
        <is>
          <t>SDC0003156</t>
        </is>
      </c>
      <c r="L836" s="42" t="inlineStr">
        <is>
          <t>マド2枚建 (201910～)</t>
        </is>
      </c>
      <c r="M836" s="42" t="inlineStr">
        <is>
          <t>68</t>
        </is>
      </c>
      <c r="N836" s="42" t="inlineStr">
        <is>
          <t>16013</t>
        </is>
      </c>
      <c r="O836" s="42" t="inlineStr">
        <is>
          <t>防犯建物部品欄の30mil構成を規格呼称へ直接突合。</t>
        </is>
      </c>
    </row>
    <row r="837">
      <c r="A837" s="42" t="inlineStr">
        <is>
          <t>SZ-SL-000836</t>
        </is>
      </c>
      <c r="B837" s="42" t="inlineStr">
        <is>
          <t>WT-SL-MENKOSHI-HIKI</t>
        </is>
      </c>
      <c r="C837" s="42" t="inlineStr">
        <is>
          <t>面格子付引違い窓</t>
        </is>
      </c>
      <c r="D837" s="42" t="inlineStr">
        <is>
          <t>SP-SL-GRILLE-H</t>
        </is>
      </c>
      <c r="E837" s="42" t="inlineStr">
        <is>
          <t>16513</t>
        </is>
      </c>
      <c r="F837" s="42" t="inlineStr">
        <is>
          <t>1690</t>
        </is>
      </c>
      <c r="G837" s="42" t="inlineStr">
        <is>
          <t>1370</t>
        </is>
      </c>
      <c r="H837" s="42" t="inlineStr">
        <is>
          <t>False</t>
        </is>
      </c>
      <c r="I837" s="42" t="inlineStr">
        <is>
          <t>ALLOWED</t>
        </is>
      </c>
      <c r="J837" s="42" t="inlineStr">
        <is>
          <t>DIRECT_OFFICIAL_STANDARD_ROW</t>
        </is>
      </c>
      <c r="K837" s="42" t="inlineStr">
        <is>
          <t>SDC0003156</t>
        </is>
      </c>
      <c r="L837" s="42" t="inlineStr">
        <is>
          <t>マド2枚建 (201910～)</t>
        </is>
      </c>
      <c r="M837" s="42" t="inlineStr">
        <is>
          <t>75</t>
        </is>
      </c>
      <c r="N837" s="42" t="inlineStr">
        <is>
          <t>16513</t>
        </is>
      </c>
      <c r="O837" s="42" t="inlineStr">
        <is>
          <t>防犯建物部品欄の30mil構成を規格呼称へ直接突合。</t>
        </is>
      </c>
    </row>
    <row r="838">
      <c r="A838" s="42" t="inlineStr">
        <is>
          <t>SZ-SL-000837</t>
        </is>
      </c>
      <c r="B838" s="42" t="inlineStr">
        <is>
          <t>WT-SL-MENKOSHI-HIKI</t>
        </is>
      </c>
      <c r="C838" s="42" t="inlineStr">
        <is>
          <t>面格子付引違い窓</t>
        </is>
      </c>
      <c r="D838" s="42" t="inlineStr">
        <is>
          <t>SP-SL-GRILLE-IGETA</t>
        </is>
      </c>
      <c r="E838" s="42" t="inlineStr">
        <is>
          <t>15013</t>
        </is>
      </c>
      <c r="F838" s="42" t="inlineStr">
        <is>
          <t>1540</t>
        </is>
      </c>
      <c r="G838" s="42" t="inlineStr">
        <is>
          <t>1370</t>
        </is>
      </c>
      <c r="H838" s="42" t="inlineStr">
        <is>
          <t>True</t>
        </is>
      </c>
      <c r="I838" s="42" t="inlineStr">
        <is>
          <t>ALLOWED</t>
        </is>
      </c>
      <c r="J838" s="42" t="inlineStr">
        <is>
          <t>DIRECT_OFFICIAL_STANDARD_ROW</t>
        </is>
      </c>
      <c r="K838" s="42" t="inlineStr">
        <is>
          <t>SDC0003156</t>
        </is>
      </c>
      <c r="L838" s="42" t="inlineStr">
        <is>
          <t>マド2枚建 (201910～)</t>
        </is>
      </c>
      <c r="M838" s="42" t="inlineStr">
        <is>
          <t>57</t>
        </is>
      </c>
      <c r="N838" s="42" t="inlineStr">
        <is>
          <t>15013</t>
        </is>
      </c>
      <c r="O838" s="42" t="inlineStr">
        <is>
          <t>防犯建物部品欄の30mil構成を規格呼称へ直接突合。</t>
        </is>
      </c>
    </row>
    <row r="839">
      <c r="A839" s="42" t="inlineStr">
        <is>
          <t>SZ-SL-000838</t>
        </is>
      </c>
      <c r="B839" s="42" t="inlineStr">
        <is>
          <t>WT-SL-MENKOSHI-HIKI</t>
        </is>
      </c>
      <c r="C839" s="42" t="inlineStr">
        <is>
          <t>面格子付引違い窓</t>
        </is>
      </c>
      <c r="D839" s="42" t="inlineStr">
        <is>
          <t>SP-SL-GRILLE-IGETA</t>
        </is>
      </c>
      <c r="E839" s="42" t="inlineStr">
        <is>
          <t>16013</t>
        </is>
      </c>
      <c r="F839" s="42" t="inlineStr">
        <is>
          <t>1640</t>
        </is>
      </c>
      <c r="G839" s="42" t="inlineStr">
        <is>
          <t>1370</t>
        </is>
      </c>
      <c r="H839" s="42" t="inlineStr">
        <is>
          <t>True</t>
        </is>
      </c>
      <c r="I839" s="42" t="inlineStr">
        <is>
          <t>ALLOWED</t>
        </is>
      </c>
      <c r="J839" s="42" t="inlineStr">
        <is>
          <t>DIRECT_OFFICIAL_STANDARD_ROW</t>
        </is>
      </c>
      <c r="K839" s="42" t="inlineStr">
        <is>
          <t>SDC0003156</t>
        </is>
      </c>
      <c r="L839" s="42" t="inlineStr">
        <is>
          <t>マド2枚建 (201910～)</t>
        </is>
      </c>
      <c r="M839" s="42" t="inlineStr">
        <is>
          <t>68</t>
        </is>
      </c>
      <c r="N839" s="42" t="inlineStr">
        <is>
          <t>16013</t>
        </is>
      </c>
      <c r="O839" s="42" t="inlineStr">
        <is>
          <t>防犯建物部品欄の30mil構成を規格呼称へ直接突合。</t>
        </is>
      </c>
    </row>
    <row r="840">
      <c r="A840" s="42" t="inlineStr">
        <is>
          <t>SZ-SL-000839</t>
        </is>
      </c>
      <c r="B840" s="42" t="inlineStr">
        <is>
          <t>WT-SL-MENKOSHI-HIKI</t>
        </is>
      </c>
      <c r="C840" s="42" t="inlineStr">
        <is>
          <t>面格子付引違い窓</t>
        </is>
      </c>
      <c r="D840" s="42" t="inlineStr">
        <is>
          <t>SP-SL-GRILLE-IGETA</t>
        </is>
      </c>
      <c r="E840" s="42" t="inlineStr">
        <is>
          <t>16513</t>
        </is>
      </c>
      <c r="F840" s="42" t="inlineStr">
        <is>
          <t>1690</t>
        </is>
      </c>
      <c r="G840" s="42" t="inlineStr">
        <is>
          <t>1370</t>
        </is>
      </c>
      <c r="H840" s="42" t="inlineStr">
        <is>
          <t>True</t>
        </is>
      </c>
      <c r="I840" s="42" t="inlineStr">
        <is>
          <t>ALLOWED</t>
        </is>
      </c>
      <c r="J840" s="42" t="inlineStr">
        <is>
          <t>DIRECT_OFFICIAL_STANDARD_ROW</t>
        </is>
      </c>
      <c r="K840" s="42" t="inlineStr">
        <is>
          <t>SDC0003156</t>
        </is>
      </c>
      <c r="L840" s="42" t="inlineStr">
        <is>
          <t>マド2枚建 (201910～)</t>
        </is>
      </c>
      <c r="M840" s="42" t="inlineStr">
        <is>
          <t>75</t>
        </is>
      </c>
      <c r="N840" s="42" t="inlineStr">
        <is>
          <t>16513</t>
        </is>
      </c>
      <c r="O840" s="42" t="inlineStr">
        <is>
          <t>防犯建物部品欄の30mil構成を規格呼称へ直接突合。</t>
        </is>
      </c>
    </row>
    <row r="841">
      <c r="A841" s="42" t="inlineStr">
        <is>
          <t>SZ-SL-000840</t>
        </is>
      </c>
      <c r="B841" s="42" t="inlineStr">
        <is>
          <t>WT-SL-MENKOSHI-HIKI</t>
        </is>
      </c>
      <c r="C841" s="42" t="inlineStr">
        <is>
          <t>面格子付引違い窓</t>
        </is>
      </c>
      <c r="D841" s="42" t="inlineStr">
        <is>
          <t>SP-SL-GRILLE-V</t>
        </is>
      </c>
      <c r="E841" s="42" t="inlineStr">
        <is>
          <t>15013</t>
        </is>
      </c>
      <c r="F841" s="42" t="inlineStr">
        <is>
          <t>1540</t>
        </is>
      </c>
      <c r="G841" s="42" t="inlineStr">
        <is>
          <t>1370</t>
        </is>
      </c>
      <c r="H841" s="42" t="inlineStr">
        <is>
          <t>True</t>
        </is>
      </c>
      <c r="I841" s="42" t="inlineStr">
        <is>
          <t>ALLOWED</t>
        </is>
      </c>
      <c r="J841" s="42" t="inlineStr">
        <is>
          <t>DIRECT_OFFICIAL_STANDARD_ROW</t>
        </is>
      </c>
      <c r="K841" s="42" t="inlineStr">
        <is>
          <t>SDC0003156</t>
        </is>
      </c>
      <c r="L841" s="42" t="inlineStr">
        <is>
          <t>マド2枚建 (201910～)</t>
        </is>
      </c>
      <c r="M841" s="42" t="inlineStr">
        <is>
          <t>57</t>
        </is>
      </c>
      <c r="N841" s="42" t="inlineStr">
        <is>
          <t>15013</t>
        </is>
      </c>
      <c r="O841" s="42" t="inlineStr">
        <is>
          <t>防犯建物部品欄の30mil構成を規格呼称へ直接突合。</t>
        </is>
      </c>
    </row>
    <row r="842">
      <c r="A842" s="42" t="inlineStr">
        <is>
          <t>SZ-SL-000841</t>
        </is>
      </c>
      <c r="B842" s="42" t="inlineStr">
        <is>
          <t>WT-SL-MENKOSHI-HIKI</t>
        </is>
      </c>
      <c r="C842" s="42" t="inlineStr">
        <is>
          <t>面格子付引違い窓</t>
        </is>
      </c>
      <c r="D842" s="42" t="inlineStr">
        <is>
          <t>SP-SL-GRILLE-V</t>
        </is>
      </c>
      <c r="E842" s="42" t="inlineStr">
        <is>
          <t>16013</t>
        </is>
      </c>
      <c r="F842" s="42" t="inlineStr">
        <is>
          <t>1640</t>
        </is>
      </c>
      <c r="G842" s="42" t="inlineStr">
        <is>
          <t>1370</t>
        </is>
      </c>
      <c r="H842" s="42" t="inlineStr">
        <is>
          <t>True</t>
        </is>
      </c>
      <c r="I842" s="42" t="inlineStr">
        <is>
          <t>ALLOWED</t>
        </is>
      </c>
      <c r="J842" s="42" t="inlineStr">
        <is>
          <t>DIRECT_OFFICIAL_STANDARD_ROW</t>
        </is>
      </c>
      <c r="K842" s="42" t="inlineStr">
        <is>
          <t>SDC0003156</t>
        </is>
      </c>
      <c r="L842" s="42" t="inlineStr">
        <is>
          <t>マド2枚建 (201910～)</t>
        </is>
      </c>
      <c r="M842" s="42" t="inlineStr">
        <is>
          <t>68</t>
        </is>
      </c>
      <c r="N842" s="42" t="inlineStr">
        <is>
          <t>16013</t>
        </is>
      </c>
      <c r="O842" s="42" t="inlineStr">
        <is>
          <t>防犯建物部品欄の30mil構成を規格呼称へ直接突合。</t>
        </is>
      </c>
    </row>
    <row r="843">
      <c r="A843" s="42" t="inlineStr">
        <is>
          <t>SZ-SL-000842</t>
        </is>
      </c>
      <c r="B843" s="42" t="inlineStr">
        <is>
          <t>WT-SL-MENKOSHI-HIKI</t>
        </is>
      </c>
      <c r="C843" s="42" t="inlineStr">
        <is>
          <t>面格子付引違い窓</t>
        </is>
      </c>
      <c r="D843" s="42" t="inlineStr">
        <is>
          <t>SP-SL-GRILLE-V</t>
        </is>
      </c>
      <c r="E843" s="42" t="inlineStr">
        <is>
          <t>16513</t>
        </is>
      </c>
      <c r="F843" s="42" t="inlineStr">
        <is>
          <t>1690</t>
        </is>
      </c>
      <c r="G843" s="42" t="inlineStr">
        <is>
          <t>1370</t>
        </is>
      </c>
      <c r="H843" s="42" t="inlineStr">
        <is>
          <t>True</t>
        </is>
      </c>
      <c r="I843" s="42" t="inlineStr">
        <is>
          <t>ALLOWED</t>
        </is>
      </c>
      <c r="J843" s="42" t="inlineStr">
        <is>
          <t>DIRECT_OFFICIAL_STANDARD_ROW</t>
        </is>
      </c>
      <c r="K843" s="42" t="inlineStr">
        <is>
          <t>SDC0003156</t>
        </is>
      </c>
      <c r="L843" s="42" t="inlineStr">
        <is>
          <t>マド2枚建 (201910～)</t>
        </is>
      </c>
      <c r="M843" s="42" t="inlineStr">
        <is>
          <t>75</t>
        </is>
      </c>
      <c r="N843" s="42" t="inlineStr">
        <is>
          <t>16513</t>
        </is>
      </c>
      <c r="O843" s="42" t="inlineStr">
        <is>
          <t>防犯建物部品欄の30mil構成を規格呼称へ直接突合。</t>
        </is>
      </c>
    </row>
    <row r="844">
      <c r="A844" s="42" t="inlineStr">
        <is>
          <t>SZ-SL-000843</t>
        </is>
      </c>
      <c r="B844" s="42" t="inlineStr">
        <is>
          <t>WT-SL-TATE-SUBERI</t>
        </is>
      </c>
      <c r="C844" s="42" t="inlineStr">
        <is>
          <t>縦すべり出し窓</t>
        </is>
      </c>
      <c r="D844" s="42" t="inlineStr">
        <is>
          <t>SP-SL-TATE-OP</t>
        </is>
      </c>
      <c r="E844" s="42" t="inlineStr">
        <is>
          <t>02109</t>
        </is>
      </c>
      <c r="F844" s="42" t="inlineStr">
        <is>
          <t>250</t>
        </is>
      </c>
      <c r="G844" s="42" t="inlineStr">
        <is>
          <t>970</t>
        </is>
      </c>
      <c r="H844" s="42" t="inlineStr">
        <is>
          <t>False</t>
        </is>
      </c>
      <c r="I844" s="42" t="inlineStr">
        <is>
          <t>NOT_EVALUATED</t>
        </is>
      </c>
      <c r="J844" s="42" t="inlineStr">
        <is>
          <t>NO_DIRECT_STANDARD_MATRIX_IN_RETRIEVED_SOURCE</t>
        </is>
      </c>
      <c r="K844" s="42" t="str"/>
      <c r="L844" s="42" t="str"/>
      <c r="M844" s="42" t="str"/>
      <c r="N844" s="42" t="str"/>
      <c r="O844" s="42" t="inlineStr">
        <is>
          <t>現行公式資料でこの窓種のSAFE 30mil規格○/×を本Revisionでは直接取得できていない。推測しない。</t>
        </is>
      </c>
    </row>
    <row r="845">
      <c r="A845" s="42" t="inlineStr">
        <is>
          <t>SZ-SL-000844</t>
        </is>
      </c>
      <c r="B845" s="42" t="inlineStr">
        <is>
          <t>WT-SL-TATE-SUBERI</t>
        </is>
      </c>
      <c r="C845" s="42" t="inlineStr">
        <is>
          <t>縦すべり出し窓</t>
        </is>
      </c>
      <c r="D845" s="42" t="inlineStr">
        <is>
          <t>SP-SL-TATE-OP</t>
        </is>
      </c>
      <c r="E845" s="42" t="inlineStr">
        <is>
          <t>02111</t>
        </is>
      </c>
      <c r="F845" s="42" t="inlineStr">
        <is>
          <t>250</t>
        </is>
      </c>
      <c r="G845" s="42" t="inlineStr">
        <is>
          <t>1170</t>
        </is>
      </c>
      <c r="H845" s="42" t="inlineStr">
        <is>
          <t>False</t>
        </is>
      </c>
      <c r="I845" s="42" t="inlineStr">
        <is>
          <t>NOT_EVALUATED</t>
        </is>
      </c>
      <c r="J845" s="42" t="inlineStr">
        <is>
          <t>NO_DIRECT_STANDARD_MATRIX_IN_RETRIEVED_SOURCE</t>
        </is>
      </c>
      <c r="K845" s="42" t="str"/>
      <c r="L845" s="42" t="str"/>
      <c r="M845" s="42" t="str"/>
      <c r="N845" s="42" t="str"/>
      <c r="O845" s="42" t="inlineStr">
        <is>
          <t>現行公式資料でこの窓種のSAFE 30mil規格○/×を本Revisionでは直接取得できていない。推測しない。</t>
        </is>
      </c>
    </row>
    <row r="846">
      <c r="A846" s="42" t="inlineStr">
        <is>
          <t>SZ-SL-000845</t>
        </is>
      </c>
      <c r="B846" s="42" t="inlineStr">
        <is>
          <t>WT-SL-TATE-SUBERI</t>
        </is>
      </c>
      <c r="C846" s="42" t="inlineStr">
        <is>
          <t>縦すべり出し窓</t>
        </is>
      </c>
      <c r="D846" s="42" t="inlineStr">
        <is>
          <t>SP-SL-TATE-OP</t>
        </is>
      </c>
      <c r="E846" s="42" t="inlineStr">
        <is>
          <t>02113</t>
        </is>
      </c>
      <c r="F846" s="42" t="inlineStr">
        <is>
          <t>250</t>
        </is>
      </c>
      <c r="G846" s="42" t="inlineStr">
        <is>
          <t>1370</t>
        </is>
      </c>
      <c r="H846" s="42" t="inlineStr">
        <is>
          <t>False</t>
        </is>
      </c>
      <c r="I846" s="42" t="inlineStr">
        <is>
          <t>NOT_EVALUATED</t>
        </is>
      </c>
      <c r="J846" s="42" t="inlineStr">
        <is>
          <t>NO_DIRECT_STANDARD_MATRIX_IN_RETRIEVED_SOURCE</t>
        </is>
      </c>
      <c r="K846" s="42" t="str"/>
      <c r="L846" s="42" t="str"/>
      <c r="M846" s="42" t="str"/>
      <c r="N846" s="42" t="str"/>
      <c r="O846" s="42" t="inlineStr">
        <is>
          <t>現行公式資料でこの窓種のSAFE 30mil規格○/×を本Revisionでは直接取得できていない。推測しない。</t>
        </is>
      </c>
    </row>
    <row r="847">
      <c r="A847" s="42" t="inlineStr">
        <is>
          <t>SZ-SL-000846</t>
        </is>
      </c>
      <c r="B847" s="42" t="inlineStr">
        <is>
          <t>WT-SL-TATE-SUBERI</t>
        </is>
      </c>
      <c r="C847" s="42" t="inlineStr">
        <is>
          <t>縦すべり出し窓</t>
        </is>
      </c>
      <c r="D847" s="42" t="inlineStr">
        <is>
          <t>SP-SL-TATE-OP</t>
        </is>
      </c>
      <c r="E847" s="42" t="inlineStr">
        <is>
          <t>02115</t>
        </is>
      </c>
      <c r="F847" s="42" t="inlineStr">
        <is>
          <t>250</t>
        </is>
      </c>
      <c r="G847" s="42" t="inlineStr">
        <is>
          <t>1570</t>
        </is>
      </c>
      <c r="H847" s="42" t="inlineStr">
        <is>
          <t>False</t>
        </is>
      </c>
      <c r="I847" s="42" t="inlineStr">
        <is>
          <t>NOT_EVALUATED</t>
        </is>
      </c>
      <c r="J847" s="42" t="inlineStr">
        <is>
          <t>NO_DIRECT_STANDARD_MATRIX_IN_RETRIEVED_SOURCE</t>
        </is>
      </c>
      <c r="K847" s="42" t="str"/>
      <c r="L847" s="42" t="str"/>
      <c r="M847" s="42" t="str"/>
      <c r="N847" s="42" t="str"/>
      <c r="O847" s="42" t="inlineStr">
        <is>
          <t>現行公式資料でこの窓種のSAFE 30mil規格○/×を本Revisionでは直接取得できていない。推測しない。</t>
        </is>
      </c>
    </row>
    <row r="848">
      <c r="A848" s="42" t="inlineStr">
        <is>
          <t>SZ-SL-000847</t>
        </is>
      </c>
      <c r="B848" s="42" t="inlineStr">
        <is>
          <t>WT-SL-TATE-SUBERI</t>
        </is>
      </c>
      <c r="C848" s="42" t="inlineStr">
        <is>
          <t>縦すべり出し窓</t>
        </is>
      </c>
      <c r="D848" s="42" t="inlineStr">
        <is>
          <t>SP-SL-TATE-OP</t>
        </is>
      </c>
      <c r="E848" s="42" t="inlineStr">
        <is>
          <t>02309</t>
        </is>
      </c>
      <c r="F848" s="42" t="inlineStr">
        <is>
          <t>275</t>
        </is>
      </c>
      <c r="G848" s="42" t="inlineStr">
        <is>
          <t>970</t>
        </is>
      </c>
      <c r="H848" s="42" t="inlineStr">
        <is>
          <t>False</t>
        </is>
      </c>
      <c r="I848" s="42" t="inlineStr">
        <is>
          <t>NOT_EVALUATED</t>
        </is>
      </c>
      <c r="J848" s="42" t="inlineStr">
        <is>
          <t>NO_DIRECT_STANDARD_MATRIX_IN_RETRIEVED_SOURCE</t>
        </is>
      </c>
      <c r="K848" s="42" t="str"/>
      <c r="L848" s="42" t="str"/>
      <c r="M848" s="42" t="str"/>
      <c r="N848" s="42" t="str"/>
      <c r="O848" s="42" t="inlineStr">
        <is>
          <t>現行公式資料でこの窓種のSAFE 30mil規格○/×を本Revisionでは直接取得できていない。推測しない。</t>
        </is>
      </c>
    </row>
    <row r="849">
      <c r="A849" s="42" t="inlineStr">
        <is>
          <t>SZ-SL-000848</t>
        </is>
      </c>
      <c r="B849" s="42" t="inlineStr">
        <is>
          <t>WT-SL-TATE-SUBERI</t>
        </is>
      </c>
      <c r="C849" s="42" t="inlineStr">
        <is>
          <t>縦すべり出し窓</t>
        </is>
      </c>
      <c r="D849" s="42" t="inlineStr">
        <is>
          <t>SP-SL-TATE-OP</t>
        </is>
      </c>
      <c r="E849" s="42" t="inlineStr">
        <is>
          <t>02311</t>
        </is>
      </c>
      <c r="F849" s="42" t="inlineStr">
        <is>
          <t>275</t>
        </is>
      </c>
      <c r="G849" s="42" t="inlineStr">
        <is>
          <t>1170</t>
        </is>
      </c>
      <c r="H849" s="42" t="inlineStr">
        <is>
          <t>False</t>
        </is>
      </c>
      <c r="I849" s="42" t="inlineStr">
        <is>
          <t>NOT_EVALUATED</t>
        </is>
      </c>
      <c r="J849" s="42" t="inlineStr">
        <is>
          <t>NO_DIRECT_STANDARD_MATRIX_IN_RETRIEVED_SOURCE</t>
        </is>
      </c>
      <c r="K849" s="42" t="str"/>
      <c r="L849" s="42" t="str"/>
      <c r="M849" s="42" t="str"/>
      <c r="N849" s="42" t="str"/>
      <c r="O849" s="42" t="inlineStr">
        <is>
          <t>現行公式資料でこの窓種のSAFE 30mil規格○/×を本Revisionでは直接取得できていない。推測しない。</t>
        </is>
      </c>
    </row>
    <row r="850">
      <c r="A850" s="42" t="inlineStr">
        <is>
          <t>SZ-SL-000849</t>
        </is>
      </c>
      <c r="B850" s="42" t="inlineStr">
        <is>
          <t>WT-SL-TATE-SUBERI</t>
        </is>
      </c>
      <c r="C850" s="42" t="inlineStr">
        <is>
          <t>縦すべり出し窓</t>
        </is>
      </c>
      <c r="D850" s="42" t="inlineStr">
        <is>
          <t>SP-SL-TATE-OP</t>
        </is>
      </c>
      <c r="E850" s="42" t="inlineStr">
        <is>
          <t>02313</t>
        </is>
      </c>
      <c r="F850" s="42" t="inlineStr">
        <is>
          <t>275</t>
        </is>
      </c>
      <c r="G850" s="42" t="inlineStr">
        <is>
          <t>1370</t>
        </is>
      </c>
      <c r="H850" s="42" t="inlineStr">
        <is>
          <t>False</t>
        </is>
      </c>
      <c r="I850" s="42" t="inlineStr">
        <is>
          <t>NOT_EVALUATED</t>
        </is>
      </c>
      <c r="J850" s="42" t="inlineStr">
        <is>
          <t>NO_DIRECT_STANDARD_MATRIX_IN_RETRIEVED_SOURCE</t>
        </is>
      </c>
      <c r="K850" s="42" t="str"/>
      <c r="L850" s="42" t="str"/>
      <c r="M850" s="42" t="str"/>
      <c r="N850" s="42" t="str"/>
      <c r="O850" s="42" t="inlineStr">
        <is>
          <t>現行公式資料でこの窓種のSAFE 30mil規格○/×を本Revisionでは直接取得できていない。推測しない。</t>
        </is>
      </c>
    </row>
    <row r="851">
      <c r="A851" s="42" t="inlineStr">
        <is>
          <t>SZ-SL-000850</t>
        </is>
      </c>
      <c r="B851" s="42" t="inlineStr">
        <is>
          <t>WT-SL-TATE-SUBERI</t>
        </is>
      </c>
      <c r="C851" s="42" t="inlineStr">
        <is>
          <t>縦すべり出し窓</t>
        </is>
      </c>
      <c r="D851" s="42" t="inlineStr">
        <is>
          <t>SP-SL-TATE-OP</t>
        </is>
      </c>
      <c r="E851" s="42" t="inlineStr">
        <is>
          <t>02607</t>
        </is>
      </c>
      <c r="F851" s="42" t="inlineStr">
        <is>
          <t>300</t>
        </is>
      </c>
      <c r="G851" s="42" t="inlineStr">
        <is>
          <t>770</t>
        </is>
      </c>
      <c r="H851" s="42" t="inlineStr">
        <is>
          <t>False</t>
        </is>
      </c>
      <c r="I851" s="42" t="inlineStr">
        <is>
          <t>NOT_EVALUATED</t>
        </is>
      </c>
      <c r="J851" s="42" t="inlineStr">
        <is>
          <t>NO_DIRECT_STANDARD_MATRIX_IN_RETRIEVED_SOURCE</t>
        </is>
      </c>
      <c r="K851" s="42" t="str"/>
      <c r="L851" s="42" t="str"/>
      <c r="M851" s="42" t="str"/>
      <c r="N851" s="42" t="str"/>
      <c r="O851" s="42" t="inlineStr">
        <is>
          <t>現行公式資料でこの窓種のSAFE 30mil規格○/×を本Revisionでは直接取得できていない。推測しない。</t>
        </is>
      </c>
    </row>
    <row r="852">
      <c r="A852" s="42" t="inlineStr">
        <is>
          <t>SZ-SL-000851</t>
        </is>
      </c>
      <c r="B852" s="42" t="inlineStr">
        <is>
          <t>WT-SL-TATE-SUBERI</t>
        </is>
      </c>
      <c r="C852" s="42" t="inlineStr">
        <is>
          <t>縦すべり出し窓</t>
        </is>
      </c>
      <c r="D852" s="42" t="inlineStr">
        <is>
          <t>SP-SL-TATE-OP</t>
        </is>
      </c>
      <c r="E852" s="42" t="inlineStr">
        <is>
          <t>02609</t>
        </is>
      </c>
      <c r="F852" s="42" t="inlineStr">
        <is>
          <t>300</t>
        </is>
      </c>
      <c r="G852" s="42" t="inlineStr">
        <is>
          <t>970</t>
        </is>
      </c>
      <c r="H852" s="42" t="inlineStr">
        <is>
          <t>False</t>
        </is>
      </c>
      <c r="I852" s="42" t="inlineStr">
        <is>
          <t>NOT_EVALUATED</t>
        </is>
      </c>
      <c r="J852" s="42" t="inlineStr">
        <is>
          <t>NO_DIRECT_STANDARD_MATRIX_IN_RETRIEVED_SOURCE</t>
        </is>
      </c>
      <c r="K852" s="42" t="str"/>
      <c r="L852" s="42" t="str"/>
      <c r="M852" s="42" t="str"/>
      <c r="N852" s="42" t="str"/>
      <c r="O852" s="42" t="inlineStr">
        <is>
          <t>現行公式資料でこの窓種のSAFE 30mil規格○/×を本Revisionでは直接取得できていない。推測しない。</t>
        </is>
      </c>
    </row>
    <row r="853">
      <c r="A853" s="42" t="inlineStr">
        <is>
          <t>SZ-SL-000852</t>
        </is>
      </c>
      <c r="B853" s="42" t="inlineStr">
        <is>
          <t>WT-SL-TATE-SUBERI</t>
        </is>
      </c>
      <c r="C853" s="42" t="inlineStr">
        <is>
          <t>縦すべり出し窓</t>
        </is>
      </c>
      <c r="D853" s="42" t="inlineStr">
        <is>
          <t>SP-SL-TATE-OP</t>
        </is>
      </c>
      <c r="E853" s="42" t="inlineStr">
        <is>
          <t>02611</t>
        </is>
      </c>
      <c r="F853" s="42" t="inlineStr">
        <is>
          <t>300</t>
        </is>
      </c>
      <c r="G853" s="42" t="inlineStr">
        <is>
          <t>1170</t>
        </is>
      </c>
      <c r="H853" s="42" t="inlineStr">
        <is>
          <t>False</t>
        </is>
      </c>
      <c r="I853" s="42" t="inlineStr">
        <is>
          <t>NOT_EVALUATED</t>
        </is>
      </c>
      <c r="J853" s="42" t="inlineStr">
        <is>
          <t>NO_DIRECT_STANDARD_MATRIX_IN_RETRIEVED_SOURCE</t>
        </is>
      </c>
      <c r="K853" s="42" t="str"/>
      <c r="L853" s="42" t="str"/>
      <c r="M853" s="42" t="str"/>
      <c r="N853" s="42" t="str"/>
      <c r="O853" s="42" t="inlineStr">
        <is>
          <t>現行公式資料でこの窓種のSAFE 30mil規格○/×を本Revisionでは直接取得できていない。推測しない。</t>
        </is>
      </c>
    </row>
    <row r="854">
      <c r="A854" s="42" t="inlineStr">
        <is>
          <t>SZ-SL-000853</t>
        </is>
      </c>
      <c r="B854" s="42" t="inlineStr">
        <is>
          <t>WT-SL-TATE-SUBERI</t>
        </is>
      </c>
      <c r="C854" s="42" t="inlineStr">
        <is>
          <t>縦すべり出し窓</t>
        </is>
      </c>
      <c r="D854" s="42" t="inlineStr">
        <is>
          <t>SP-SL-TATE-OP</t>
        </is>
      </c>
      <c r="E854" s="42" t="inlineStr">
        <is>
          <t>02613</t>
        </is>
      </c>
      <c r="F854" s="42" t="inlineStr">
        <is>
          <t>300</t>
        </is>
      </c>
      <c r="G854" s="42" t="inlineStr">
        <is>
          <t>1370</t>
        </is>
      </c>
      <c r="H854" s="42" t="inlineStr">
        <is>
          <t>False</t>
        </is>
      </c>
      <c r="I854" s="42" t="inlineStr">
        <is>
          <t>NOT_EVALUATED</t>
        </is>
      </c>
      <c r="J854" s="42" t="inlineStr">
        <is>
          <t>NO_DIRECT_STANDARD_MATRIX_IN_RETRIEVED_SOURCE</t>
        </is>
      </c>
      <c r="K854" s="42" t="str"/>
      <c r="L854" s="42" t="str"/>
      <c r="M854" s="42" t="str"/>
      <c r="N854" s="42" t="str"/>
      <c r="O854" s="42" t="inlineStr">
        <is>
          <t>現行公式資料でこの窓種のSAFE 30mil規格○/×を本Revisionでは直接取得できていない。推測しない。</t>
        </is>
      </c>
    </row>
    <row r="855">
      <c r="A855" s="42" t="inlineStr">
        <is>
          <t>SZ-SL-000854</t>
        </is>
      </c>
      <c r="B855" s="42" t="inlineStr">
        <is>
          <t>WT-SL-TATE-SUBERI</t>
        </is>
      </c>
      <c r="C855" s="42" t="inlineStr">
        <is>
          <t>縦すべり出し窓</t>
        </is>
      </c>
      <c r="D855" s="42" t="inlineStr">
        <is>
          <t>SP-SL-TATE-OP</t>
        </is>
      </c>
      <c r="E855" s="42" t="inlineStr">
        <is>
          <t>02615</t>
        </is>
      </c>
      <c r="F855" s="42" t="inlineStr">
        <is>
          <t>300</t>
        </is>
      </c>
      <c r="G855" s="42" t="inlineStr">
        <is>
          <t>1570</t>
        </is>
      </c>
      <c r="H855" s="42" t="inlineStr">
        <is>
          <t>False</t>
        </is>
      </c>
      <c r="I855" s="42" t="inlineStr">
        <is>
          <t>NOT_EVALUATED</t>
        </is>
      </c>
      <c r="J855" s="42" t="inlineStr">
        <is>
          <t>NO_DIRECT_STANDARD_MATRIX_IN_RETRIEVED_SOURCE</t>
        </is>
      </c>
      <c r="K855" s="42" t="str"/>
      <c r="L855" s="42" t="str"/>
      <c r="M855" s="42" t="str"/>
      <c r="N855" s="42" t="str"/>
      <c r="O855" s="42" t="inlineStr">
        <is>
          <t>現行公式資料でこの窓種のSAFE 30mil規格○/×を本Revisionでは直接取得できていない。推測しない。</t>
        </is>
      </c>
    </row>
    <row r="856">
      <c r="A856" s="42" t="inlineStr">
        <is>
          <t>SZ-SL-000855</t>
        </is>
      </c>
      <c r="B856" s="42" t="inlineStr">
        <is>
          <t>WT-SL-TATE-SUBERI</t>
        </is>
      </c>
      <c r="C856" s="42" t="inlineStr">
        <is>
          <t>縦すべり出し窓</t>
        </is>
      </c>
      <c r="D856" s="42" t="inlineStr">
        <is>
          <t>SP-SL-TATE-OP</t>
        </is>
      </c>
      <c r="E856" s="42" t="inlineStr">
        <is>
          <t>03109</t>
        </is>
      </c>
      <c r="F856" s="42" t="inlineStr">
        <is>
          <t>350</t>
        </is>
      </c>
      <c r="G856" s="42" t="inlineStr">
        <is>
          <t>970</t>
        </is>
      </c>
      <c r="H856" s="42" t="inlineStr">
        <is>
          <t>False</t>
        </is>
      </c>
      <c r="I856" s="42" t="inlineStr">
        <is>
          <t>NOT_EVALUATED</t>
        </is>
      </c>
      <c r="J856" s="42" t="inlineStr">
        <is>
          <t>NO_DIRECT_STANDARD_MATRIX_IN_RETRIEVED_SOURCE</t>
        </is>
      </c>
      <c r="K856" s="42" t="str"/>
      <c r="L856" s="42" t="str"/>
      <c r="M856" s="42" t="str"/>
      <c r="N856" s="42" t="str"/>
      <c r="O856" s="42" t="inlineStr">
        <is>
          <t>現行公式資料でこの窓種のSAFE 30mil規格○/×を本Revisionでは直接取得できていない。推測しない。</t>
        </is>
      </c>
    </row>
    <row r="857">
      <c r="A857" s="42" t="inlineStr">
        <is>
          <t>SZ-SL-000856</t>
        </is>
      </c>
      <c r="B857" s="42" t="inlineStr">
        <is>
          <t>WT-SL-TATE-SUBERI</t>
        </is>
      </c>
      <c r="C857" s="42" t="inlineStr">
        <is>
          <t>縦すべり出し窓</t>
        </is>
      </c>
      <c r="D857" s="42" t="inlineStr">
        <is>
          <t>SP-SL-TATE-OP</t>
        </is>
      </c>
      <c r="E857" s="42" t="inlineStr">
        <is>
          <t>03111</t>
        </is>
      </c>
      <c r="F857" s="42" t="inlineStr">
        <is>
          <t>350</t>
        </is>
      </c>
      <c r="G857" s="42" t="inlineStr">
        <is>
          <t>1170</t>
        </is>
      </c>
      <c r="H857" s="42" t="inlineStr">
        <is>
          <t>False</t>
        </is>
      </c>
      <c r="I857" s="42" t="inlineStr">
        <is>
          <t>NOT_EVALUATED</t>
        </is>
      </c>
      <c r="J857" s="42" t="inlineStr">
        <is>
          <t>NO_DIRECT_STANDARD_MATRIX_IN_RETRIEVED_SOURCE</t>
        </is>
      </c>
      <c r="K857" s="42" t="str"/>
      <c r="L857" s="42" t="str"/>
      <c r="M857" s="42" t="str"/>
      <c r="N857" s="42" t="str"/>
      <c r="O857" s="42" t="inlineStr">
        <is>
          <t>現行公式資料でこの窓種のSAFE 30mil規格○/×を本Revisionでは直接取得できていない。推測しない。</t>
        </is>
      </c>
    </row>
    <row r="858">
      <c r="A858" s="42" t="inlineStr">
        <is>
          <t>SZ-SL-000857</t>
        </is>
      </c>
      <c r="B858" s="42" t="inlineStr">
        <is>
          <t>WT-SL-TATE-SUBERI</t>
        </is>
      </c>
      <c r="C858" s="42" t="inlineStr">
        <is>
          <t>縦すべり出し窓</t>
        </is>
      </c>
      <c r="D858" s="42" t="inlineStr">
        <is>
          <t>SP-SL-TATE-OP</t>
        </is>
      </c>
      <c r="E858" s="42" t="inlineStr">
        <is>
          <t>03113</t>
        </is>
      </c>
      <c r="F858" s="42" t="inlineStr">
        <is>
          <t>350</t>
        </is>
      </c>
      <c r="G858" s="42" t="inlineStr">
        <is>
          <t>1370</t>
        </is>
      </c>
      <c r="H858" s="42" t="inlineStr">
        <is>
          <t>False</t>
        </is>
      </c>
      <c r="I858" s="42" t="inlineStr">
        <is>
          <t>NOT_EVALUATED</t>
        </is>
      </c>
      <c r="J858" s="42" t="inlineStr">
        <is>
          <t>NO_DIRECT_STANDARD_MATRIX_IN_RETRIEVED_SOURCE</t>
        </is>
      </c>
      <c r="K858" s="42" t="str"/>
      <c r="L858" s="42" t="str"/>
      <c r="M858" s="42" t="str"/>
      <c r="N858" s="42" t="str"/>
      <c r="O858" s="42" t="inlineStr">
        <is>
          <t>現行公式資料でこの窓種のSAFE 30mil規格○/×を本Revisionでは直接取得できていない。推測しない。</t>
        </is>
      </c>
    </row>
    <row r="859">
      <c r="A859" s="42" t="inlineStr">
        <is>
          <t>SZ-SL-000858</t>
        </is>
      </c>
      <c r="B859" s="42" t="inlineStr">
        <is>
          <t>WT-SL-TATE-SUBERI</t>
        </is>
      </c>
      <c r="C859" s="42" t="inlineStr">
        <is>
          <t>縦すべり出し窓</t>
        </is>
      </c>
      <c r="D859" s="42" t="inlineStr">
        <is>
          <t>SP-SL-TATE-OP</t>
        </is>
      </c>
      <c r="E859" s="42" t="inlineStr">
        <is>
          <t>03115</t>
        </is>
      </c>
      <c r="F859" s="42" t="inlineStr">
        <is>
          <t>350</t>
        </is>
      </c>
      <c r="G859" s="42" t="inlineStr">
        <is>
          <t>1570</t>
        </is>
      </c>
      <c r="H859" s="42" t="inlineStr">
        <is>
          <t>False</t>
        </is>
      </c>
      <c r="I859" s="42" t="inlineStr">
        <is>
          <t>NOT_EVALUATED</t>
        </is>
      </c>
      <c r="J859" s="42" t="inlineStr">
        <is>
          <t>NO_DIRECT_STANDARD_MATRIX_IN_RETRIEVED_SOURCE</t>
        </is>
      </c>
      <c r="K859" s="42" t="str"/>
      <c r="L859" s="42" t="str"/>
      <c r="M859" s="42" t="str"/>
      <c r="N859" s="42" t="str"/>
      <c r="O859" s="42" t="inlineStr">
        <is>
          <t>現行公式資料でこの窓種のSAFE 30mil規格○/×を本Revisionでは直接取得できていない。推測しない。</t>
        </is>
      </c>
    </row>
    <row r="860">
      <c r="A860" s="42" t="inlineStr">
        <is>
          <t>SZ-SL-000859</t>
        </is>
      </c>
      <c r="B860" s="42" t="inlineStr">
        <is>
          <t>WT-SL-TATE-SUBERI</t>
        </is>
      </c>
      <c r="C860" s="42" t="inlineStr">
        <is>
          <t>縦すべり出し窓</t>
        </is>
      </c>
      <c r="D860" s="42" t="inlineStr">
        <is>
          <t>SP-SL-TATE-OP</t>
        </is>
      </c>
      <c r="E860" s="42" t="inlineStr">
        <is>
          <t>03607</t>
        </is>
      </c>
      <c r="F860" s="42" t="inlineStr">
        <is>
          <t>405</t>
        </is>
      </c>
      <c r="G860" s="42" t="inlineStr">
        <is>
          <t>770</t>
        </is>
      </c>
      <c r="H860" s="42" t="inlineStr">
        <is>
          <t>False</t>
        </is>
      </c>
      <c r="I860" s="42" t="inlineStr">
        <is>
          <t>NOT_EVALUATED</t>
        </is>
      </c>
      <c r="J860" s="42" t="inlineStr">
        <is>
          <t>NO_DIRECT_STANDARD_MATRIX_IN_RETRIEVED_SOURCE</t>
        </is>
      </c>
      <c r="K860" s="42" t="str"/>
      <c r="L860" s="42" t="str"/>
      <c r="M860" s="42" t="str"/>
      <c r="N860" s="42" t="str"/>
      <c r="O860" s="42" t="inlineStr">
        <is>
          <t>現行公式資料でこの窓種のSAFE 30mil規格○/×を本Revisionでは直接取得できていない。推測しない。</t>
        </is>
      </c>
    </row>
    <row r="861">
      <c r="A861" s="42" t="inlineStr">
        <is>
          <t>SZ-SL-000860</t>
        </is>
      </c>
      <c r="B861" s="42" t="inlineStr">
        <is>
          <t>WT-SL-TATE-SUBERI</t>
        </is>
      </c>
      <c r="C861" s="42" t="inlineStr">
        <is>
          <t>縦すべり出し窓</t>
        </is>
      </c>
      <c r="D861" s="42" t="inlineStr">
        <is>
          <t>SP-SL-TATE-OP</t>
        </is>
      </c>
      <c r="E861" s="42" t="inlineStr">
        <is>
          <t>03609</t>
        </is>
      </c>
      <c r="F861" s="42" t="inlineStr">
        <is>
          <t>405</t>
        </is>
      </c>
      <c r="G861" s="42" t="inlineStr">
        <is>
          <t>970</t>
        </is>
      </c>
      <c r="H861" s="42" t="inlineStr">
        <is>
          <t>False</t>
        </is>
      </c>
      <c r="I861" s="42" t="inlineStr">
        <is>
          <t>NOT_EVALUATED</t>
        </is>
      </c>
      <c r="J861" s="42" t="inlineStr">
        <is>
          <t>NO_DIRECT_STANDARD_MATRIX_IN_RETRIEVED_SOURCE</t>
        </is>
      </c>
      <c r="K861" s="42" t="str"/>
      <c r="L861" s="42" t="str"/>
      <c r="M861" s="42" t="str"/>
      <c r="N861" s="42" t="str"/>
      <c r="O861" s="42" t="inlineStr">
        <is>
          <t>現行公式資料でこの窓種のSAFE 30mil規格○/×を本Revisionでは直接取得できていない。推測しない。</t>
        </is>
      </c>
    </row>
    <row r="862">
      <c r="A862" s="42" t="inlineStr">
        <is>
          <t>SZ-SL-000861</t>
        </is>
      </c>
      <c r="B862" s="42" t="inlineStr">
        <is>
          <t>WT-SL-TATE-SUBERI</t>
        </is>
      </c>
      <c r="C862" s="42" t="inlineStr">
        <is>
          <t>縦すべり出し窓</t>
        </is>
      </c>
      <c r="D862" s="42" t="inlineStr">
        <is>
          <t>SP-SL-TATE-OP</t>
        </is>
      </c>
      <c r="E862" s="42" t="inlineStr">
        <is>
          <t>03611</t>
        </is>
      </c>
      <c r="F862" s="42" t="inlineStr">
        <is>
          <t>405</t>
        </is>
      </c>
      <c r="G862" s="42" t="inlineStr">
        <is>
          <t>1170</t>
        </is>
      </c>
      <c r="H862" s="42" t="inlineStr">
        <is>
          <t>False</t>
        </is>
      </c>
      <c r="I862" s="42" t="inlineStr">
        <is>
          <t>NOT_EVALUATED</t>
        </is>
      </c>
      <c r="J862" s="42" t="inlineStr">
        <is>
          <t>NO_DIRECT_STANDARD_MATRIX_IN_RETRIEVED_SOURCE</t>
        </is>
      </c>
      <c r="K862" s="42" t="str"/>
      <c r="L862" s="42" t="str"/>
      <c r="M862" s="42" t="str"/>
      <c r="N862" s="42" t="str"/>
      <c r="O862" s="42" t="inlineStr">
        <is>
          <t>現行公式資料でこの窓種のSAFE 30mil規格○/×を本Revisionでは直接取得できていない。推測しない。</t>
        </is>
      </c>
    </row>
    <row r="863">
      <c r="A863" s="42" t="inlineStr">
        <is>
          <t>SZ-SL-000862</t>
        </is>
      </c>
      <c r="B863" s="42" t="inlineStr">
        <is>
          <t>WT-SL-TATE-SUBERI</t>
        </is>
      </c>
      <c r="C863" s="42" t="inlineStr">
        <is>
          <t>縦すべり出し窓</t>
        </is>
      </c>
      <c r="D863" s="42" t="inlineStr">
        <is>
          <t>SP-SL-TATE-OP</t>
        </is>
      </c>
      <c r="E863" s="42" t="inlineStr">
        <is>
          <t>03613</t>
        </is>
      </c>
      <c r="F863" s="42" t="inlineStr">
        <is>
          <t>405</t>
        </is>
      </c>
      <c r="G863" s="42" t="inlineStr">
        <is>
          <t>1370</t>
        </is>
      </c>
      <c r="H863" s="42" t="inlineStr">
        <is>
          <t>False</t>
        </is>
      </c>
      <c r="I863" s="42" t="inlineStr">
        <is>
          <t>NOT_EVALUATED</t>
        </is>
      </c>
      <c r="J863" s="42" t="inlineStr">
        <is>
          <t>NO_DIRECT_STANDARD_MATRIX_IN_RETRIEVED_SOURCE</t>
        </is>
      </c>
      <c r="K863" s="42" t="str"/>
      <c r="L863" s="42" t="str"/>
      <c r="M863" s="42" t="str"/>
      <c r="N863" s="42" t="str"/>
      <c r="O863" s="42" t="inlineStr">
        <is>
          <t>現行公式資料でこの窓種のSAFE 30mil規格○/×を本Revisionでは直接取得できていない。推測しない。</t>
        </is>
      </c>
    </row>
    <row r="864">
      <c r="A864" s="42" t="inlineStr">
        <is>
          <t>SZ-SL-000863</t>
        </is>
      </c>
      <c r="B864" s="42" t="inlineStr">
        <is>
          <t>WT-SL-TATE-SUBERI</t>
        </is>
      </c>
      <c r="C864" s="42" t="inlineStr">
        <is>
          <t>縦すべり出し窓</t>
        </is>
      </c>
      <c r="D864" s="42" t="inlineStr">
        <is>
          <t>SP-SL-TATE-OP</t>
        </is>
      </c>
      <c r="E864" s="42" t="inlineStr">
        <is>
          <t>06007</t>
        </is>
      </c>
      <c r="F864" s="42" t="inlineStr">
        <is>
          <t>640</t>
        </is>
      </c>
      <c r="G864" s="42" t="inlineStr">
        <is>
          <t>770</t>
        </is>
      </c>
      <c r="H864" s="42" t="inlineStr">
        <is>
          <t>False</t>
        </is>
      </c>
      <c r="I864" s="42" t="inlineStr">
        <is>
          <t>NOT_EVALUATED</t>
        </is>
      </c>
      <c r="J864" s="42" t="inlineStr">
        <is>
          <t>NO_DIRECT_STANDARD_MATRIX_IN_RETRIEVED_SOURCE</t>
        </is>
      </c>
      <c r="K864" s="42" t="str"/>
      <c r="L864" s="42" t="str"/>
      <c r="M864" s="42" t="str"/>
      <c r="N864" s="42" t="str"/>
      <c r="O864" s="42" t="inlineStr">
        <is>
          <t>現行公式資料でこの窓種のSAFE 30mil規格○/×を本Revisionでは直接取得できていない。推測しない。</t>
        </is>
      </c>
    </row>
    <row r="865">
      <c r="A865" s="42" t="inlineStr">
        <is>
          <t>SZ-SL-000864</t>
        </is>
      </c>
      <c r="B865" s="42" t="inlineStr">
        <is>
          <t>WT-SL-TATE-SUBERI</t>
        </is>
      </c>
      <c r="C865" s="42" t="inlineStr">
        <is>
          <t>縦すべり出し窓</t>
        </is>
      </c>
      <c r="D865" s="42" t="inlineStr">
        <is>
          <t>SP-SL-TATE-OP</t>
        </is>
      </c>
      <c r="E865" s="42" t="inlineStr">
        <is>
          <t>06009</t>
        </is>
      </c>
      <c r="F865" s="42" t="inlineStr">
        <is>
          <t>640</t>
        </is>
      </c>
      <c r="G865" s="42" t="inlineStr">
        <is>
          <t>970</t>
        </is>
      </c>
      <c r="H865" s="42" t="inlineStr">
        <is>
          <t>False</t>
        </is>
      </c>
      <c r="I865" s="42" t="inlineStr">
        <is>
          <t>NOT_EVALUATED</t>
        </is>
      </c>
      <c r="J865" s="42" t="inlineStr">
        <is>
          <t>NO_DIRECT_STANDARD_MATRIX_IN_RETRIEVED_SOURCE</t>
        </is>
      </c>
      <c r="K865" s="42" t="str"/>
      <c r="L865" s="42" t="str"/>
      <c r="M865" s="42" t="str"/>
      <c r="N865" s="42" t="str"/>
      <c r="O865" s="42" t="inlineStr">
        <is>
          <t>現行公式資料でこの窓種のSAFE 30mil規格○/×を本Revisionでは直接取得できていない。推測しない。</t>
        </is>
      </c>
    </row>
    <row r="866">
      <c r="A866" s="42" t="inlineStr">
        <is>
          <t>SZ-SL-000865</t>
        </is>
      </c>
      <c r="B866" s="42" t="inlineStr">
        <is>
          <t>WT-SL-TATE-SUBERI</t>
        </is>
      </c>
      <c r="C866" s="42" t="inlineStr">
        <is>
          <t>縦すべり出し窓</t>
        </is>
      </c>
      <c r="D866" s="42" t="inlineStr">
        <is>
          <t>SP-SL-TATE-OP</t>
        </is>
      </c>
      <c r="E866" s="42" t="inlineStr">
        <is>
          <t>06011</t>
        </is>
      </c>
      <c r="F866" s="42" t="inlineStr">
        <is>
          <t>640</t>
        </is>
      </c>
      <c r="G866" s="42" t="inlineStr">
        <is>
          <t>1170</t>
        </is>
      </c>
      <c r="H866" s="42" t="inlineStr">
        <is>
          <t>False</t>
        </is>
      </c>
      <c r="I866" s="42" t="inlineStr">
        <is>
          <t>NOT_EVALUATED</t>
        </is>
      </c>
      <c r="J866" s="42" t="inlineStr">
        <is>
          <t>NO_DIRECT_STANDARD_MATRIX_IN_RETRIEVED_SOURCE</t>
        </is>
      </c>
      <c r="K866" s="42" t="str"/>
      <c r="L866" s="42" t="str"/>
      <c r="M866" s="42" t="str"/>
      <c r="N866" s="42" t="str"/>
      <c r="O866" s="42" t="inlineStr">
        <is>
          <t>現行公式資料でこの窓種のSAFE 30mil規格○/×を本Revisionでは直接取得できていない。推測しない。</t>
        </is>
      </c>
    </row>
    <row r="867">
      <c r="A867" s="42" t="inlineStr">
        <is>
          <t>SZ-SL-000866</t>
        </is>
      </c>
      <c r="B867" s="42" t="inlineStr">
        <is>
          <t>WT-SL-TATE-SUBERI</t>
        </is>
      </c>
      <c r="C867" s="42" t="inlineStr">
        <is>
          <t>縦すべり出し窓</t>
        </is>
      </c>
      <c r="D867" s="42" t="inlineStr">
        <is>
          <t>SP-SL-TATE-OP</t>
        </is>
      </c>
      <c r="E867" s="42" t="inlineStr">
        <is>
          <t>06013</t>
        </is>
      </c>
      <c r="F867" s="42" t="inlineStr">
        <is>
          <t>640</t>
        </is>
      </c>
      <c r="G867" s="42" t="inlineStr">
        <is>
          <t>1370</t>
        </is>
      </c>
      <c r="H867" s="42" t="inlineStr">
        <is>
          <t>False</t>
        </is>
      </c>
      <c r="I867" s="42" t="inlineStr">
        <is>
          <t>NOT_EVALUATED</t>
        </is>
      </c>
      <c r="J867" s="42" t="inlineStr">
        <is>
          <t>NO_DIRECT_STANDARD_MATRIX_IN_RETRIEVED_SOURCE</t>
        </is>
      </c>
      <c r="K867" s="42" t="str"/>
      <c r="L867" s="42" t="str"/>
      <c r="M867" s="42" t="str"/>
      <c r="N867" s="42" t="str"/>
      <c r="O867" s="42" t="inlineStr">
        <is>
          <t>現行公式資料でこの窓種のSAFE 30mil規格○/×を本Revisionでは直接取得できていない。推測しない。</t>
        </is>
      </c>
    </row>
    <row r="868">
      <c r="A868" s="42" t="inlineStr">
        <is>
          <t>SZ-SL-000867</t>
        </is>
      </c>
      <c r="B868" s="42" t="inlineStr">
        <is>
          <t>WT-SL-TATE-SUBERI</t>
        </is>
      </c>
      <c r="C868" s="42" t="inlineStr">
        <is>
          <t>縦すべり出し窓</t>
        </is>
      </c>
      <c r="D868" s="42" t="inlineStr">
        <is>
          <t>SP-SL-TATE-OP</t>
        </is>
      </c>
      <c r="E868" s="42" t="inlineStr">
        <is>
          <t>02118</t>
        </is>
      </c>
      <c r="F868" s="42" t="inlineStr">
        <is>
          <t>250</t>
        </is>
      </c>
      <c r="G868" s="42" t="inlineStr">
        <is>
          <t>1870</t>
        </is>
      </c>
      <c r="H868" s="42" t="inlineStr">
        <is>
          <t>False</t>
        </is>
      </c>
      <c r="I868" s="42" t="inlineStr">
        <is>
          <t>NOT_EVALUATED</t>
        </is>
      </c>
      <c r="J868" s="42" t="inlineStr">
        <is>
          <t>NO_DIRECT_STANDARD_MATRIX_IN_RETRIEVED_SOURCE</t>
        </is>
      </c>
      <c r="K868" s="42" t="str"/>
      <c r="L868" s="42" t="str"/>
      <c r="M868" s="42" t="str"/>
      <c r="N868" s="42" t="str"/>
      <c r="O868" s="42" t="inlineStr">
        <is>
          <t>現行公式資料でこの窓種のSAFE 30mil規格○/×を本Revisionでは直接取得できていない。推測しない。</t>
        </is>
      </c>
    </row>
    <row r="869">
      <c r="A869" s="42" t="inlineStr">
        <is>
          <t>SZ-SL-000868</t>
        </is>
      </c>
      <c r="B869" s="42" t="inlineStr">
        <is>
          <t>WT-SL-TATE-SUBERI</t>
        </is>
      </c>
      <c r="C869" s="42" t="inlineStr">
        <is>
          <t>縦すべり出し窓</t>
        </is>
      </c>
      <c r="D869" s="42" t="inlineStr">
        <is>
          <t>SP-SL-TATE-OP</t>
        </is>
      </c>
      <c r="E869" s="42" t="inlineStr">
        <is>
          <t>02120</t>
        </is>
      </c>
      <c r="F869" s="42" t="inlineStr">
        <is>
          <t>250</t>
        </is>
      </c>
      <c r="G869" s="42" t="inlineStr">
        <is>
          <t>2070</t>
        </is>
      </c>
      <c r="H869" s="42" t="inlineStr">
        <is>
          <t>False</t>
        </is>
      </c>
      <c r="I869" s="42" t="inlineStr">
        <is>
          <t>NOT_EVALUATED</t>
        </is>
      </c>
      <c r="J869" s="42" t="inlineStr">
        <is>
          <t>NO_DIRECT_STANDARD_MATRIX_IN_RETRIEVED_SOURCE</t>
        </is>
      </c>
      <c r="K869" s="42" t="str"/>
      <c r="L869" s="42" t="str"/>
      <c r="M869" s="42" t="str"/>
      <c r="N869" s="42" t="str"/>
      <c r="O869" s="42" t="inlineStr">
        <is>
          <t>現行公式資料でこの窓種のSAFE 30mil規格○/×を本Revisionでは直接取得できていない。推測しない。</t>
        </is>
      </c>
    </row>
    <row r="870">
      <c r="A870" s="42" t="inlineStr">
        <is>
          <t>SZ-SL-000869</t>
        </is>
      </c>
      <c r="B870" s="42" t="inlineStr">
        <is>
          <t>WT-SL-TATE-SUBERI</t>
        </is>
      </c>
      <c r="C870" s="42" t="inlineStr">
        <is>
          <t>縦すべり出し窓</t>
        </is>
      </c>
      <c r="D870" s="42" t="inlineStr">
        <is>
          <t>SP-SL-TATE-OP</t>
        </is>
      </c>
      <c r="E870" s="42" t="inlineStr">
        <is>
          <t>02122</t>
        </is>
      </c>
      <c r="F870" s="42" t="inlineStr">
        <is>
          <t>250</t>
        </is>
      </c>
      <c r="G870" s="42" t="inlineStr">
        <is>
          <t>2270</t>
        </is>
      </c>
      <c r="H870" s="42" t="inlineStr">
        <is>
          <t>False</t>
        </is>
      </c>
      <c r="I870" s="42" t="inlineStr">
        <is>
          <t>NOT_EVALUATED</t>
        </is>
      </c>
      <c r="J870" s="42" t="inlineStr">
        <is>
          <t>NO_DIRECT_STANDARD_MATRIX_IN_RETRIEVED_SOURCE</t>
        </is>
      </c>
      <c r="K870" s="42" t="str"/>
      <c r="L870" s="42" t="str"/>
      <c r="M870" s="42" t="str"/>
      <c r="N870" s="42" t="str"/>
      <c r="O870" s="42" t="inlineStr">
        <is>
          <t>現行公式資料でこの窓種のSAFE 30mil規格○/×を本Revisionでは直接取得できていない。推測しない。</t>
        </is>
      </c>
    </row>
    <row r="871">
      <c r="A871" s="42" t="inlineStr">
        <is>
          <t>SZ-SL-000870</t>
        </is>
      </c>
      <c r="B871" s="42" t="inlineStr">
        <is>
          <t>WT-SL-TATE-SUBERI</t>
        </is>
      </c>
      <c r="C871" s="42" t="inlineStr">
        <is>
          <t>縦すべり出し窓</t>
        </is>
      </c>
      <c r="D871" s="42" t="inlineStr">
        <is>
          <t>SP-SL-TATE-OP</t>
        </is>
      </c>
      <c r="E871" s="42" t="inlineStr">
        <is>
          <t>02618</t>
        </is>
      </c>
      <c r="F871" s="42" t="inlineStr">
        <is>
          <t>300</t>
        </is>
      </c>
      <c r="G871" s="42" t="inlineStr">
        <is>
          <t>1870</t>
        </is>
      </c>
      <c r="H871" s="42" t="inlineStr">
        <is>
          <t>False</t>
        </is>
      </c>
      <c r="I871" s="42" t="inlineStr">
        <is>
          <t>NOT_EVALUATED</t>
        </is>
      </c>
      <c r="J871" s="42" t="inlineStr">
        <is>
          <t>NO_DIRECT_STANDARD_MATRIX_IN_RETRIEVED_SOURCE</t>
        </is>
      </c>
      <c r="K871" s="42" t="str"/>
      <c r="L871" s="42" t="str"/>
      <c r="M871" s="42" t="str"/>
      <c r="N871" s="42" t="str"/>
      <c r="O871" s="42" t="inlineStr">
        <is>
          <t>現行公式資料でこの窓種のSAFE 30mil規格○/×を本Revisionでは直接取得できていない。推測しない。</t>
        </is>
      </c>
    </row>
    <row r="872">
      <c r="A872" s="42" t="inlineStr">
        <is>
          <t>SZ-SL-000871</t>
        </is>
      </c>
      <c r="B872" s="42" t="inlineStr">
        <is>
          <t>WT-SL-TATE-SUBERI</t>
        </is>
      </c>
      <c r="C872" s="42" t="inlineStr">
        <is>
          <t>縦すべり出し窓</t>
        </is>
      </c>
      <c r="D872" s="42" t="inlineStr">
        <is>
          <t>SP-SL-TATE-OP</t>
        </is>
      </c>
      <c r="E872" s="42" t="inlineStr">
        <is>
          <t>02620</t>
        </is>
      </c>
      <c r="F872" s="42" t="inlineStr">
        <is>
          <t>300</t>
        </is>
      </c>
      <c r="G872" s="42" t="inlineStr">
        <is>
          <t>2070</t>
        </is>
      </c>
      <c r="H872" s="42" t="inlineStr">
        <is>
          <t>False</t>
        </is>
      </c>
      <c r="I872" s="42" t="inlineStr">
        <is>
          <t>NOT_EVALUATED</t>
        </is>
      </c>
      <c r="J872" s="42" t="inlineStr">
        <is>
          <t>NO_DIRECT_STANDARD_MATRIX_IN_RETRIEVED_SOURCE</t>
        </is>
      </c>
      <c r="K872" s="42" t="str"/>
      <c r="L872" s="42" t="str"/>
      <c r="M872" s="42" t="str"/>
      <c r="N872" s="42" t="str"/>
      <c r="O872" s="42" t="inlineStr">
        <is>
          <t>現行公式資料でこの窓種のSAFE 30mil規格○/×を本Revisionでは直接取得できていない。推測しない。</t>
        </is>
      </c>
    </row>
    <row r="873">
      <c r="A873" s="42" t="inlineStr">
        <is>
          <t>SZ-SL-000872</t>
        </is>
      </c>
      <c r="B873" s="42" t="inlineStr">
        <is>
          <t>WT-SL-TATE-SUBERI</t>
        </is>
      </c>
      <c r="C873" s="42" t="inlineStr">
        <is>
          <t>縦すべり出し窓</t>
        </is>
      </c>
      <c r="D873" s="42" t="inlineStr">
        <is>
          <t>SP-SL-TATE-OP</t>
        </is>
      </c>
      <c r="E873" s="42" t="inlineStr">
        <is>
          <t>02622</t>
        </is>
      </c>
      <c r="F873" s="42" t="inlineStr">
        <is>
          <t>300</t>
        </is>
      </c>
      <c r="G873" s="42" t="inlineStr">
        <is>
          <t>2270</t>
        </is>
      </c>
      <c r="H873" s="42" t="inlineStr">
        <is>
          <t>False</t>
        </is>
      </c>
      <c r="I873" s="42" t="inlineStr">
        <is>
          <t>NOT_EVALUATED</t>
        </is>
      </c>
      <c r="J873" s="42" t="inlineStr">
        <is>
          <t>NO_DIRECT_STANDARD_MATRIX_IN_RETRIEVED_SOURCE</t>
        </is>
      </c>
      <c r="K873" s="42" t="str"/>
      <c r="L873" s="42" t="str"/>
      <c r="M873" s="42" t="str"/>
      <c r="N873" s="42" t="str"/>
      <c r="O873" s="42" t="inlineStr">
        <is>
          <t>現行公式資料でこの窓種のSAFE 30mil規格○/×を本Revisionでは直接取得できていない。推測しない。</t>
        </is>
      </c>
    </row>
    <row r="874">
      <c r="A874" s="42" t="inlineStr">
        <is>
          <t>SZ-SL-000873</t>
        </is>
      </c>
      <c r="B874" s="42" t="inlineStr">
        <is>
          <t>WT-SL-TATE-SUBERI</t>
        </is>
      </c>
      <c r="C874" s="42" t="inlineStr">
        <is>
          <t>縦すべり出し窓</t>
        </is>
      </c>
      <c r="D874" s="42" t="inlineStr">
        <is>
          <t>SP-SL-TATE-OP</t>
        </is>
      </c>
      <c r="E874" s="42" t="inlineStr">
        <is>
          <t>03118</t>
        </is>
      </c>
      <c r="F874" s="42" t="inlineStr">
        <is>
          <t>350</t>
        </is>
      </c>
      <c r="G874" s="42" t="inlineStr">
        <is>
          <t>1870</t>
        </is>
      </c>
      <c r="H874" s="42" t="inlineStr">
        <is>
          <t>False</t>
        </is>
      </c>
      <c r="I874" s="42" t="inlineStr">
        <is>
          <t>NOT_EVALUATED</t>
        </is>
      </c>
      <c r="J874" s="42" t="inlineStr">
        <is>
          <t>NO_DIRECT_STANDARD_MATRIX_IN_RETRIEVED_SOURCE</t>
        </is>
      </c>
      <c r="K874" s="42" t="str"/>
      <c r="L874" s="42" t="str"/>
      <c r="M874" s="42" t="str"/>
      <c r="N874" s="42" t="str"/>
      <c r="O874" s="42" t="inlineStr">
        <is>
          <t>現行公式資料でこの窓種のSAFE 30mil規格○/×を本Revisionでは直接取得できていない。推測しない。</t>
        </is>
      </c>
    </row>
    <row r="875">
      <c r="A875" s="42" t="inlineStr">
        <is>
          <t>SZ-SL-000874</t>
        </is>
      </c>
      <c r="B875" s="42" t="inlineStr">
        <is>
          <t>WT-SL-TATE-SUBERI</t>
        </is>
      </c>
      <c r="C875" s="42" t="inlineStr">
        <is>
          <t>縦すべり出し窓</t>
        </is>
      </c>
      <c r="D875" s="42" t="inlineStr">
        <is>
          <t>SP-SL-TATE-OP</t>
        </is>
      </c>
      <c r="E875" s="42" t="inlineStr">
        <is>
          <t>03120</t>
        </is>
      </c>
      <c r="F875" s="42" t="inlineStr">
        <is>
          <t>350</t>
        </is>
      </c>
      <c r="G875" s="42" t="inlineStr">
        <is>
          <t>2070</t>
        </is>
      </c>
      <c r="H875" s="42" t="inlineStr">
        <is>
          <t>False</t>
        </is>
      </c>
      <c r="I875" s="42" t="inlineStr">
        <is>
          <t>NOT_EVALUATED</t>
        </is>
      </c>
      <c r="J875" s="42" t="inlineStr">
        <is>
          <t>NO_DIRECT_STANDARD_MATRIX_IN_RETRIEVED_SOURCE</t>
        </is>
      </c>
      <c r="K875" s="42" t="str"/>
      <c r="L875" s="42" t="str"/>
      <c r="M875" s="42" t="str"/>
      <c r="N875" s="42" t="str"/>
      <c r="O875" s="42" t="inlineStr">
        <is>
          <t>現行公式資料でこの窓種のSAFE 30mil規格○/×を本Revisionでは直接取得できていない。推測しない。</t>
        </is>
      </c>
    </row>
    <row r="876">
      <c r="A876" s="42" t="inlineStr">
        <is>
          <t>SZ-SL-000875</t>
        </is>
      </c>
      <c r="B876" s="42" t="inlineStr">
        <is>
          <t>WT-SL-TATE-SUBERI</t>
        </is>
      </c>
      <c r="C876" s="42" t="inlineStr">
        <is>
          <t>縦すべり出し窓</t>
        </is>
      </c>
      <c r="D876" s="42" t="inlineStr">
        <is>
          <t>SP-SL-TATE-OP</t>
        </is>
      </c>
      <c r="E876" s="42" t="inlineStr">
        <is>
          <t>03122</t>
        </is>
      </c>
      <c r="F876" s="42" t="inlineStr">
        <is>
          <t>350</t>
        </is>
      </c>
      <c r="G876" s="42" t="inlineStr">
        <is>
          <t>2270</t>
        </is>
      </c>
      <c r="H876" s="42" t="inlineStr">
        <is>
          <t>False</t>
        </is>
      </c>
      <c r="I876" s="42" t="inlineStr">
        <is>
          <t>NOT_EVALUATED</t>
        </is>
      </c>
      <c r="J876" s="42" t="inlineStr">
        <is>
          <t>NO_DIRECT_STANDARD_MATRIX_IN_RETRIEVED_SOURCE</t>
        </is>
      </c>
      <c r="K876" s="42" t="str"/>
      <c r="L876" s="42" t="str"/>
      <c r="M876" s="42" t="str"/>
      <c r="N876" s="42" t="str"/>
      <c r="O876" s="42" t="inlineStr">
        <is>
          <t>現行公式資料でこの窓種のSAFE 30mil規格○/×を本Revisionでは直接取得できていない。推測しない。</t>
        </is>
      </c>
    </row>
    <row r="877">
      <c r="A877" s="42" t="inlineStr">
        <is>
          <t>SZ-SL-000876</t>
        </is>
      </c>
      <c r="B877" s="42" t="inlineStr">
        <is>
          <t>WT-SL-TATE-SUBERI</t>
        </is>
      </c>
      <c r="C877" s="42" t="inlineStr">
        <is>
          <t>縦すべり出し窓</t>
        </is>
      </c>
      <c r="D877" s="42" t="inlineStr">
        <is>
          <t>SP-SL-TATE-OP</t>
        </is>
      </c>
      <c r="E877" s="42" t="inlineStr">
        <is>
          <t>11409</t>
        </is>
      </c>
      <c r="F877" s="42" t="inlineStr">
        <is>
          <t>1185</t>
        </is>
      </c>
      <c r="G877" s="42" t="inlineStr">
        <is>
          <t>970</t>
        </is>
      </c>
      <c r="H877" s="42" t="inlineStr">
        <is>
          <t>False</t>
        </is>
      </c>
      <c r="I877" s="42" t="inlineStr">
        <is>
          <t>NOT_EVALUATED</t>
        </is>
      </c>
      <c r="J877" s="42" t="inlineStr">
        <is>
          <t>NO_DIRECT_STANDARD_MATRIX_IN_RETRIEVED_SOURCE</t>
        </is>
      </c>
      <c r="K877" s="42" t="str"/>
      <c r="L877" s="42" t="str"/>
      <c r="M877" s="42" t="str"/>
      <c r="N877" s="42" t="str"/>
      <c r="O877" s="42" t="inlineStr">
        <is>
          <t>現行公式資料でこの窓種のSAFE 30mil規格○/×を本Revisionでは直接取得できていない。推測しない。</t>
        </is>
      </c>
    </row>
    <row r="878">
      <c r="A878" s="42" t="inlineStr">
        <is>
          <t>SZ-SL-000877</t>
        </is>
      </c>
      <c r="B878" s="42" t="inlineStr">
        <is>
          <t>WT-SL-TATE-SUBERI</t>
        </is>
      </c>
      <c r="C878" s="42" t="inlineStr">
        <is>
          <t>縦すべり出し窓</t>
        </is>
      </c>
      <c r="D878" s="42" t="inlineStr">
        <is>
          <t>SP-SL-TATE-OP</t>
        </is>
      </c>
      <c r="E878" s="42" t="inlineStr">
        <is>
          <t>11411</t>
        </is>
      </c>
      <c r="F878" s="42" t="inlineStr">
        <is>
          <t>1185</t>
        </is>
      </c>
      <c r="G878" s="42" t="inlineStr">
        <is>
          <t>1170</t>
        </is>
      </c>
      <c r="H878" s="42" t="inlineStr">
        <is>
          <t>False</t>
        </is>
      </c>
      <c r="I878" s="42" t="inlineStr">
        <is>
          <t>NOT_EVALUATED</t>
        </is>
      </c>
      <c r="J878" s="42" t="inlineStr">
        <is>
          <t>NO_DIRECT_STANDARD_MATRIX_IN_RETRIEVED_SOURCE</t>
        </is>
      </c>
      <c r="K878" s="42" t="str"/>
      <c r="L878" s="42" t="str"/>
      <c r="M878" s="42" t="str"/>
      <c r="N878" s="42" t="str"/>
      <c r="O878" s="42" t="inlineStr">
        <is>
          <t>現行公式資料でこの窓種のSAFE 30mil規格○/×を本Revisionでは直接取得できていない。推測しない。</t>
        </is>
      </c>
    </row>
    <row r="879">
      <c r="A879" s="42" t="inlineStr">
        <is>
          <t>SZ-SL-000878</t>
        </is>
      </c>
      <c r="B879" s="42" t="inlineStr">
        <is>
          <t>WT-SL-TATE-SUBERI</t>
        </is>
      </c>
      <c r="C879" s="42" t="inlineStr">
        <is>
          <t>縦すべり出し窓</t>
        </is>
      </c>
      <c r="D879" s="42" t="inlineStr">
        <is>
          <t>SP-SL-TATE-OP</t>
        </is>
      </c>
      <c r="E879" s="42" t="inlineStr">
        <is>
          <t>11413</t>
        </is>
      </c>
      <c r="F879" s="42" t="inlineStr">
        <is>
          <t>1185</t>
        </is>
      </c>
      <c r="G879" s="42" t="inlineStr">
        <is>
          <t>1370</t>
        </is>
      </c>
      <c r="H879" s="42" t="inlineStr">
        <is>
          <t>False</t>
        </is>
      </c>
      <c r="I879" s="42" t="inlineStr">
        <is>
          <t>NOT_EVALUATED</t>
        </is>
      </c>
      <c r="J879" s="42" t="inlineStr">
        <is>
          <t>NO_DIRECT_STANDARD_MATRIX_IN_RETRIEVED_SOURCE</t>
        </is>
      </c>
      <c r="K879" s="42" t="str"/>
      <c r="L879" s="42" t="str"/>
      <c r="M879" s="42" t="str"/>
      <c r="N879" s="42" t="str"/>
      <c r="O879" s="42" t="inlineStr">
        <is>
          <t>現行公式資料でこの窓種のSAFE 30mil規格○/×を本Revisionでは直接取得できていない。推測しない。</t>
        </is>
      </c>
    </row>
    <row r="880">
      <c r="A880" s="42" t="inlineStr">
        <is>
          <t>SZ-SL-000879</t>
        </is>
      </c>
      <c r="B880" s="42" t="inlineStr">
        <is>
          <t>WT-SL-TATE-SUBERI</t>
        </is>
      </c>
      <c r="C880" s="42" t="inlineStr">
        <is>
          <t>縦すべり出し窓</t>
        </is>
      </c>
      <c r="D880" s="42" t="inlineStr">
        <is>
          <t>SP-SL-TATE-OP</t>
        </is>
      </c>
      <c r="E880" s="42" t="inlineStr">
        <is>
          <t>11909</t>
        </is>
      </c>
      <c r="F880" s="42" t="inlineStr">
        <is>
          <t>1235</t>
        </is>
      </c>
      <c r="G880" s="42" t="inlineStr">
        <is>
          <t>970</t>
        </is>
      </c>
      <c r="H880" s="42" t="inlineStr">
        <is>
          <t>False</t>
        </is>
      </c>
      <c r="I880" s="42" t="inlineStr">
        <is>
          <t>NOT_EVALUATED</t>
        </is>
      </c>
      <c r="J880" s="42" t="inlineStr">
        <is>
          <t>NO_DIRECT_STANDARD_MATRIX_IN_RETRIEVED_SOURCE</t>
        </is>
      </c>
      <c r="K880" s="42" t="str"/>
      <c r="L880" s="42" t="str"/>
      <c r="M880" s="42" t="str"/>
      <c r="N880" s="42" t="str"/>
      <c r="O880" s="42" t="inlineStr">
        <is>
          <t>現行公式資料でこの窓種のSAFE 30mil規格○/×を本Revisionでは直接取得できていない。推測しない。</t>
        </is>
      </c>
    </row>
    <row r="881">
      <c r="A881" s="42" t="inlineStr">
        <is>
          <t>SZ-SL-000880</t>
        </is>
      </c>
      <c r="B881" s="42" t="inlineStr">
        <is>
          <t>WT-SL-TATE-SUBERI</t>
        </is>
      </c>
      <c r="C881" s="42" t="inlineStr">
        <is>
          <t>縦すべり出し窓</t>
        </is>
      </c>
      <c r="D881" s="42" t="inlineStr">
        <is>
          <t>SP-SL-TATE-OP</t>
        </is>
      </c>
      <c r="E881" s="42" t="inlineStr">
        <is>
          <t>11911</t>
        </is>
      </c>
      <c r="F881" s="42" t="inlineStr">
        <is>
          <t>1235</t>
        </is>
      </c>
      <c r="G881" s="42" t="inlineStr">
        <is>
          <t>1170</t>
        </is>
      </c>
      <c r="H881" s="42" t="inlineStr">
        <is>
          <t>False</t>
        </is>
      </c>
      <c r="I881" s="42" t="inlineStr">
        <is>
          <t>NOT_EVALUATED</t>
        </is>
      </c>
      <c r="J881" s="42" t="inlineStr">
        <is>
          <t>NO_DIRECT_STANDARD_MATRIX_IN_RETRIEVED_SOURCE</t>
        </is>
      </c>
      <c r="K881" s="42" t="str"/>
      <c r="L881" s="42" t="str"/>
      <c r="M881" s="42" t="str"/>
      <c r="N881" s="42" t="str"/>
      <c r="O881" s="42" t="inlineStr">
        <is>
          <t>現行公式資料でこの窓種のSAFE 30mil規格○/×を本Revisionでは直接取得できていない。推測しない。</t>
        </is>
      </c>
    </row>
    <row r="882">
      <c r="A882" s="42" t="inlineStr">
        <is>
          <t>SZ-SL-000881</t>
        </is>
      </c>
      <c r="B882" s="42" t="inlineStr">
        <is>
          <t>WT-SL-TATE-SUBERI</t>
        </is>
      </c>
      <c r="C882" s="42" t="inlineStr">
        <is>
          <t>縦すべり出し窓</t>
        </is>
      </c>
      <c r="D882" s="42" t="inlineStr">
        <is>
          <t>SP-SL-TATE-OP</t>
        </is>
      </c>
      <c r="E882" s="42" t="inlineStr">
        <is>
          <t>11913</t>
        </is>
      </c>
      <c r="F882" s="42" t="inlineStr">
        <is>
          <t>1235</t>
        </is>
      </c>
      <c r="G882" s="42" t="inlineStr">
        <is>
          <t>1370</t>
        </is>
      </c>
      <c r="H882" s="42" t="inlineStr">
        <is>
          <t>False</t>
        </is>
      </c>
      <c r="I882" s="42" t="inlineStr">
        <is>
          <t>NOT_EVALUATED</t>
        </is>
      </c>
      <c r="J882" s="42" t="inlineStr">
        <is>
          <t>NO_DIRECT_STANDARD_MATRIX_IN_RETRIEVED_SOURCE</t>
        </is>
      </c>
      <c r="K882" s="42" t="str"/>
      <c r="L882" s="42" t="str"/>
      <c r="M882" s="42" t="str"/>
      <c r="N882" s="42" t="str"/>
      <c r="O882" s="42" t="inlineStr">
        <is>
          <t>現行公式資料でこの窓種のSAFE 30mil規格○/×を本Revisionでは直接取得できていない。推測しない。</t>
        </is>
      </c>
    </row>
    <row r="883">
      <c r="A883" s="42" t="inlineStr">
        <is>
          <t>SZ-SL-000882</t>
        </is>
      </c>
      <c r="B883" s="42" t="inlineStr">
        <is>
          <t>WT-SL-TATE-SUBERI</t>
        </is>
      </c>
      <c r="C883" s="42" t="inlineStr">
        <is>
          <t>縦すべり出し窓</t>
        </is>
      </c>
      <c r="D883" s="42" t="inlineStr">
        <is>
          <t>SP-SL-TATE-OP</t>
        </is>
      </c>
      <c r="E883" s="42" t="inlineStr">
        <is>
          <t>16009</t>
        </is>
      </c>
      <c r="F883" s="42" t="inlineStr">
        <is>
          <t>1640</t>
        </is>
      </c>
      <c r="G883" s="42" t="inlineStr">
        <is>
          <t>970</t>
        </is>
      </c>
      <c r="H883" s="42" t="inlineStr">
        <is>
          <t>False</t>
        </is>
      </c>
      <c r="I883" s="42" t="inlineStr">
        <is>
          <t>NOT_EVALUATED</t>
        </is>
      </c>
      <c r="J883" s="42" t="inlineStr">
        <is>
          <t>NO_DIRECT_STANDARD_MATRIX_IN_RETRIEVED_SOURCE</t>
        </is>
      </c>
      <c r="K883" s="42" t="str"/>
      <c r="L883" s="42" t="str"/>
      <c r="M883" s="42" t="str"/>
      <c r="N883" s="42" t="str"/>
      <c r="O883" s="42" t="inlineStr">
        <is>
          <t>現行公式資料でこの窓種のSAFE 30mil規格○/×を本Revisionでは直接取得できていない。推測しない。</t>
        </is>
      </c>
    </row>
    <row r="884">
      <c r="A884" s="42" t="inlineStr">
        <is>
          <t>SZ-SL-000883</t>
        </is>
      </c>
      <c r="B884" s="42" t="inlineStr">
        <is>
          <t>WT-SL-TATE-SUBERI</t>
        </is>
      </c>
      <c r="C884" s="42" t="inlineStr">
        <is>
          <t>縦すべり出し窓</t>
        </is>
      </c>
      <c r="D884" s="42" t="inlineStr">
        <is>
          <t>SP-SL-TATE-OP</t>
        </is>
      </c>
      <c r="E884" s="42" t="inlineStr">
        <is>
          <t>16011</t>
        </is>
      </c>
      <c r="F884" s="42" t="inlineStr">
        <is>
          <t>1640</t>
        </is>
      </c>
      <c r="G884" s="42" t="inlineStr">
        <is>
          <t>1170</t>
        </is>
      </c>
      <c r="H884" s="42" t="inlineStr">
        <is>
          <t>False</t>
        </is>
      </c>
      <c r="I884" s="42" t="inlineStr">
        <is>
          <t>NOT_EVALUATED</t>
        </is>
      </c>
      <c r="J884" s="42" t="inlineStr">
        <is>
          <t>NO_DIRECT_STANDARD_MATRIX_IN_RETRIEVED_SOURCE</t>
        </is>
      </c>
      <c r="K884" s="42" t="str"/>
      <c r="L884" s="42" t="str"/>
      <c r="M884" s="42" t="str"/>
      <c r="N884" s="42" t="str"/>
      <c r="O884" s="42" t="inlineStr">
        <is>
          <t>現行公式資料でこの窓種のSAFE 30mil規格○/×を本Revisionでは直接取得できていない。推測しない。</t>
        </is>
      </c>
    </row>
    <row r="885">
      <c r="A885" s="42" t="inlineStr">
        <is>
          <t>SZ-SL-000884</t>
        </is>
      </c>
      <c r="B885" s="42" t="inlineStr">
        <is>
          <t>WT-SL-TATE-SUBERI</t>
        </is>
      </c>
      <c r="C885" s="42" t="inlineStr">
        <is>
          <t>縦すべり出し窓</t>
        </is>
      </c>
      <c r="D885" s="42" t="inlineStr">
        <is>
          <t>SP-SL-TATE-OP</t>
        </is>
      </c>
      <c r="E885" s="42" t="inlineStr">
        <is>
          <t>16013</t>
        </is>
      </c>
      <c r="F885" s="42" t="inlineStr">
        <is>
          <t>1640</t>
        </is>
      </c>
      <c r="G885" s="42" t="inlineStr">
        <is>
          <t>1370</t>
        </is>
      </c>
      <c r="H885" s="42" t="inlineStr">
        <is>
          <t>False</t>
        </is>
      </c>
      <c r="I885" s="42" t="inlineStr">
        <is>
          <t>NOT_EVALUATED</t>
        </is>
      </c>
      <c r="J885" s="42" t="inlineStr">
        <is>
          <t>NO_DIRECT_STANDARD_MATRIX_IN_RETRIEVED_SOURCE</t>
        </is>
      </c>
      <c r="K885" s="42" t="str"/>
      <c r="L885" s="42" t="str"/>
      <c r="M885" s="42" t="str"/>
      <c r="N885" s="42" t="str"/>
      <c r="O885" s="42" t="inlineStr">
        <is>
          <t>現行公式資料でこの窓種のSAFE 30mil規格○/×を本Revisionでは直接取得できていない。推測しない。</t>
        </is>
      </c>
    </row>
    <row r="886">
      <c r="A886" s="42" t="inlineStr">
        <is>
          <t>SZ-SL-000885</t>
        </is>
      </c>
      <c r="B886" s="42" t="inlineStr">
        <is>
          <t>WT-SL-TATE-SUBERI</t>
        </is>
      </c>
      <c r="C886" s="42" t="inlineStr">
        <is>
          <t>縦すべり出し窓</t>
        </is>
      </c>
      <c r="D886" s="42" t="inlineStr">
        <is>
          <t>SP-SL-TATE-OP</t>
        </is>
      </c>
      <c r="E886" s="42" t="inlineStr">
        <is>
          <t>16509</t>
        </is>
      </c>
      <c r="F886" s="42" t="inlineStr">
        <is>
          <t>1690</t>
        </is>
      </c>
      <c r="G886" s="42" t="inlineStr">
        <is>
          <t>970</t>
        </is>
      </c>
      <c r="H886" s="42" t="inlineStr">
        <is>
          <t>False</t>
        </is>
      </c>
      <c r="I886" s="42" t="inlineStr">
        <is>
          <t>NOT_EVALUATED</t>
        </is>
      </c>
      <c r="J886" s="42" t="inlineStr">
        <is>
          <t>NO_DIRECT_STANDARD_MATRIX_IN_RETRIEVED_SOURCE</t>
        </is>
      </c>
      <c r="K886" s="42" t="str"/>
      <c r="L886" s="42" t="str"/>
      <c r="M886" s="42" t="str"/>
      <c r="N886" s="42" t="str"/>
      <c r="O886" s="42" t="inlineStr">
        <is>
          <t>現行公式資料でこの窓種のSAFE 30mil規格○/×を本Revisionでは直接取得できていない。推測しない。</t>
        </is>
      </c>
    </row>
    <row r="887">
      <c r="A887" s="42" t="inlineStr">
        <is>
          <t>SZ-SL-000886</t>
        </is>
      </c>
      <c r="B887" s="42" t="inlineStr">
        <is>
          <t>WT-SL-TATE-SUBERI</t>
        </is>
      </c>
      <c r="C887" s="42" t="inlineStr">
        <is>
          <t>縦すべり出し窓</t>
        </is>
      </c>
      <c r="D887" s="42" t="inlineStr">
        <is>
          <t>SP-SL-TATE-OP</t>
        </is>
      </c>
      <c r="E887" s="42" t="inlineStr">
        <is>
          <t>16511</t>
        </is>
      </c>
      <c r="F887" s="42" t="inlineStr">
        <is>
          <t>1690</t>
        </is>
      </c>
      <c r="G887" s="42" t="inlineStr">
        <is>
          <t>1170</t>
        </is>
      </c>
      <c r="H887" s="42" t="inlineStr">
        <is>
          <t>False</t>
        </is>
      </c>
      <c r="I887" s="42" t="inlineStr">
        <is>
          <t>NOT_EVALUATED</t>
        </is>
      </c>
      <c r="J887" s="42" t="inlineStr">
        <is>
          <t>NO_DIRECT_STANDARD_MATRIX_IN_RETRIEVED_SOURCE</t>
        </is>
      </c>
      <c r="K887" s="42" t="str"/>
      <c r="L887" s="42" t="str"/>
      <c r="M887" s="42" t="str"/>
      <c r="N887" s="42" t="str"/>
      <c r="O887" s="42" t="inlineStr">
        <is>
          <t>現行公式資料でこの窓種のSAFE 30mil規格○/×を本Revisionでは直接取得できていない。推測しない。</t>
        </is>
      </c>
    </row>
    <row r="888">
      <c r="A888" s="42" t="inlineStr">
        <is>
          <t>SZ-SL-000887</t>
        </is>
      </c>
      <c r="B888" s="42" t="inlineStr">
        <is>
          <t>WT-SL-TATE-SUBERI</t>
        </is>
      </c>
      <c r="C888" s="42" t="inlineStr">
        <is>
          <t>縦すべり出し窓</t>
        </is>
      </c>
      <c r="D888" s="42" t="inlineStr">
        <is>
          <t>SP-SL-TATE-OP</t>
        </is>
      </c>
      <c r="E888" s="42" t="inlineStr">
        <is>
          <t>16513</t>
        </is>
      </c>
      <c r="F888" s="42" t="inlineStr">
        <is>
          <t>1690</t>
        </is>
      </c>
      <c r="G888" s="42" t="inlineStr">
        <is>
          <t>1370</t>
        </is>
      </c>
      <c r="H888" s="42" t="inlineStr">
        <is>
          <t>False</t>
        </is>
      </c>
      <c r="I888" s="42" t="inlineStr">
        <is>
          <t>NOT_EVALUATED</t>
        </is>
      </c>
      <c r="J888" s="42" t="inlineStr">
        <is>
          <t>NO_DIRECT_STANDARD_MATRIX_IN_RETRIEVED_SOURCE</t>
        </is>
      </c>
      <c r="K888" s="42" t="str"/>
      <c r="L888" s="42" t="str"/>
      <c r="M888" s="42" t="str"/>
      <c r="N888" s="42" t="str"/>
      <c r="O888" s="42" t="inlineStr">
        <is>
          <t>現行公式資料でこの窓種のSAFE 30mil規格○/×を本Revisionでは直接取得できていない。推測しない。</t>
        </is>
      </c>
    </row>
    <row r="889">
      <c r="A889" s="42" t="inlineStr">
        <is>
          <t>SZ-SL-000888</t>
        </is>
      </c>
      <c r="B889" s="42" t="inlineStr">
        <is>
          <t>WT-SL-YOKO-SUBERI</t>
        </is>
      </c>
      <c r="C889" s="42" t="inlineStr">
        <is>
          <t>横すべり出し窓</t>
        </is>
      </c>
      <c r="D889" s="42" t="inlineStr">
        <is>
          <t>SP-SL-YOKO-OP</t>
        </is>
      </c>
      <c r="E889" s="42" t="inlineStr">
        <is>
          <t>026023</t>
        </is>
      </c>
      <c r="F889" s="42" t="inlineStr">
        <is>
          <t>300</t>
        </is>
      </c>
      <c r="G889" s="42" t="inlineStr">
        <is>
          <t>300</t>
        </is>
      </c>
      <c r="H889" s="42" t="inlineStr">
        <is>
          <t>True</t>
        </is>
      </c>
      <c r="I889" s="42" t="inlineStr">
        <is>
          <t>NOT_EVALUATED</t>
        </is>
      </c>
      <c r="J889" s="42" t="inlineStr">
        <is>
          <t>NO_DIRECT_STANDARD_MATRIX_IN_RETRIEVED_SOURCE</t>
        </is>
      </c>
      <c r="K889" s="42" t="str"/>
      <c r="L889" s="42" t="str"/>
      <c r="M889" s="42" t="str"/>
      <c r="N889" s="42" t="str"/>
      <c r="O889" s="42" t="inlineStr">
        <is>
          <t>現行公式資料でこの窓種のSAFE 30mil規格○/×を本Revisionでは直接取得できていない。推測しない。</t>
        </is>
      </c>
    </row>
    <row r="890">
      <c r="A890" s="42" t="inlineStr">
        <is>
          <t>SZ-SL-000889</t>
        </is>
      </c>
      <c r="B890" s="42" t="inlineStr">
        <is>
          <t>WT-SL-YOKO-SUBERI</t>
        </is>
      </c>
      <c r="C890" s="42" t="inlineStr">
        <is>
          <t>横すべり出し窓</t>
        </is>
      </c>
      <c r="D890" s="42" t="inlineStr">
        <is>
          <t>SP-SL-YOKO-OP</t>
        </is>
      </c>
      <c r="E890" s="42" t="inlineStr">
        <is>
          <t>031028</t>
        </is>
      </c>
      <c r="F890" s="42" t="inlineStr">
        <is>
          <t>350</t>
        </is>
      </c>
      <c r="G890" s="42" t="inlineStr">
        <is>
          <t>350</t>
        </is>
      </c>
      <c r="H890" s="42" t="inlineStr">
        <is>
          <t>True</t>
        </is>
      </c>
      <c r="I890" s="42" t="inlineStr">
        <is>
          <t>NOT_EVALUATED</t>
        </is>
      </c>
      <c r="J890" s="42" t="inlineStr">
        <is>
          <t>NO_DIRECT_STANDARD_MATRIX_IN_RETRIEVED_SOURCE</t>
        </is>
      </c>
      <c r="K890" s="42" t="str"/>
      <c r="L890" s="42" t="str"/>
      <c r="M890" s="42" t="str"/>
      <c r="N890" s="42" t="str"/>
      <c r="O890" s="42" t="inlineStr">
        <is>
          <t>現行公式資料でこの窓種のSAFE 30mil規格○/×を本Revisionでは直接取得できていない。推測しない。</t>
        </is>
      </c>
    </row>
    <row r="891">
      <c r="A891" s="42" t="inlineStr">
        <is>
          <t>SZ-SL-000890</t>
        </is>
      </c>
      <c r="B891" s="42" t="inlineStr">
        <is>
          <t>WT-SL-YOKO-SUBERI</t>
        </is>
      </c>
      <c r="C891" s="42" t="inlineStr">
        <is>
          <t>横すべり出し窓</t>
        </is>
      </c>
      <c r="D891" s="42" t="inlineStr">
        <is>
          <t>SP-SL-YOKO-OP</t>
        </is>
      </c>
      <c r="E891" s="42" t="inlineStr">
        <is>
          <t>03603</t>
        </is>
      </c>
      <c r="F891" s="42" t="inlineStr">
        <is>
          <t>405</t>
        </is>
      </c>
      <c r="G891" s="42" t="inlineStr">
        <is>
          <t>370</t>
        </is>
      </c>
      <c r="H891" s="42" t="inlineStr">
        <is>
          <t>True</t>
        </is>
      </c>
      <c r="I891" s="42" t="inlineStr">
        <is>
          <t>NOT_EVALUATED</t>
        </is>
      </c>
      <c r="J891" s="42" t="inlineStr">
        <is>
          <t>NO_DIRECT_STANDARD_MATRIX_IN_RETRIEVED_SOURCE</t>
        </is>
      </c>
      <c r="K891" s="42" t="str"/>
      <c r="L891" s="42" t="str"/>
      <c r="M891" s="42" t="str"/>
      <c r="N891" s="42" t="str"/>
      <c r="O891" s="42" t="inlineStr">
        <is>
          <t>現行公式資料でこの窓種のSAFE 30mil規格○/×を本Revisionでは直接取得できていない。推測しない。</t>
        </is>
      </c>
    </row>
    <row r="892">
      <c r="A892" s="42" t="inlineStr">
        <is>
          <t>SZ-SL-000891</t>
        </is>
      </c>
      <c r="B892" s="42" t="inlineStr">
        <is>
          <t>WT-SL-YOKO-SUBERI</t>
        </is>
      </c>
      <c r="C892" s="42" t="inlineStr">
        <is>
          <t>横すべり出し窓</t>
        </is>
      </c>
      <c r="D892" s="42" t="inlineStr">
        <is>
          <t>SP-SL-YOKO-OP</t>
        </is>
      </c>
      <c r="E892" s="42" t="inlineStr">
        <is>
          <t>036033</t>
        </is>
      </c>
      <c r="F892" s="42" t="inlineStr">
        <is>
          <t>405</t>
        </is>
      </c>
      <c r="G892" s="42" t="inlineStr">
        <is>
          <t>405</t>
        </is>
      </c>
      <c r="H892" s="42" t="inlineStr">
        <is>
          <t>True</t>
        </is>
      </c>
      <c r="I892" s="42" t="inlineStr">
        <is>
          <t>NOT_EVALUATED</t>
        </is>
      </c>
      <c r="J892" s="42" t="inlineStr">
        <is>
          <t>NO_DIRECT_STANDARD_MATRIX_IN_RETRIEVED_SOURCE</t>
        </is>
      </c>
      <c r="K892" s="42" t="str"/>
      <c r="L892" s="42" t="str"/>
      <c r="M892" s="42" t="str"/>
      <c r="N892" s="42" t="str"/>
      <c r="O892" s="42" t="inlineStr">
        <is>
          <t>現行公式資料でこの窓種のSAFE 30mil規格○/×を本Revisionでは直接取得できていない。推測しない。</t>
        </is>
      </c>
    </row>
    <row r="893">
      <c r="A893" s="42" t="inlineStr">
        <is>
          <t>SZ-SL-000892</t>
        </is>
      </c>
      <c r="B893" s="42" t="inlineStr">
        <is>
          <t>WT-SL-YOKO-SUBERI</t>
        </is>
      </c>
      <c r="C893" s="42" t="inlineStr">
        <is>
          <t>横すべり出し窓</t>
        </is>
      </c>
      <c r="D893" s="42" t="inlineStr">
        <is>
          <t>SP-SL-YOKO-OP</t>
        </is>
      </c>
      <c r="E893" s="42" t="inlineStr">
        <is>
          <t>03605</t>
        </is>
      </c>
      <c r="F893" s="42" t="inlineStr">
        <is>
          <t>405</t>
        </is>
      </c>
      <c r="G893" s="42" t="inlineStr">
        <is>
          <t>570</t>
        </is>
      </c>
      <c r="H893" s="42" t="inlineStr">
        <is>
          <t>True</t>
        </is>
      </c>
      <c r="I893" s="42" t="inlineStr">
        <is>
          <t>NOT_EVALUATED</t>
        </is>
      </c>
      <c r="J893" s="42" t="inlineStr">
        <is>
          <t>NO_DIRECT_STANDARD_MATRIX_IN_RETRIEVED_SOURCE</t>
        </is>
      </c>
      <c r="K893" s="42" t="str"/>
      <c r="L893" s="42" t="str"/>
      <c r="M893" s="42" t="str"/>
      <c r="N893" s="42" t="str"/>
      <c r="O893" s="42" t="inlineStr">
        <is>
          <t>現行公式資料でこの窓種のSAFE 30mil規格○/×を本Revisionでは直接取得できていない。推測しない。</t>
        </is>
      </c>
    </row>
    <row r="894">
      <c r="A894" s="42" t="inlineStr">
        <is>
          <t>SZ-SL-000893</t>
        </is>
      </c>
      <c r="B894" s="42" t="inlineStr">
        <is>
          <t>WT-SL-YOKO-SUBERI</t>
        </is>
      </c>
      <c r="C894" s="42" t="inlineStr">
        <is>
          <t>横すべり出し窓</t>
        </is>
      </c>
      <c r="D894" s="42" t="inlineStr">
        <is>
          <t>SP-SL-YOKO-OP</t>
        </is>
      </c>
      <c r="E894" s="42" t="inlineStr">
        <is>
          <t>041038</t>
        </is>
      </c>
      <c r="F894" s="42" t="inlineStr">
        <is>
          <t>450</t>
        </is>
      </c>
      <c r="G894" s="42" t="inlineStr">
        <is>
          <t>450</t>
        </is>
      </c>
      <c r="H894" s="42" t="inlineStr">
        <is>
          <t>True</t>
        </is>
      </c>
      <c r="I894" s="42" t="inlineStr">
        <is>
          <t>NOT_EVALUATED</t>
        </is>
      </c>
      <c r="J894" s="42" t="inlineStr">
        <is>
          <t>NO_DIRECT_STANDARD_MATRIX_IN_RETRIEVED_SOURCE</t>
        </is>
      </c>
      <c r="K894" s="42" t="str"/>
      <c r="L894" s="42" t="str"/>
      <c r="M894" s="42" t="str"/>
      <c r="N894" s="42" t="str"/>
      <c r="O894" s="42" t="inlineStr">
        <is>
          <t>現行公式資料でこの窓種のSAFE 30mil規格○/×を本Revisionでは直接取得できていない。推測しない。</t>
        </is>
      </c>
    </row>
    <row r="895">
      <c r="A895" s="42" t="inlineStr">
        <is>
          <t>SZ-SL-000894</t>
        </is>
      </c>
      <c r="B895" s="42" t="inlineStr">
        <is>
          <t>WT-SL-YOKO-SUBERI</t>
        </is>
      </c>
      <c r="C895" s="42" t="inlineStr">
        <is>
          <t>横すべり出し窓</t>
        </is>
      </c>
      <c r="D895" s="42" t="inlineStr">
        <is>
          <t>SP-SL-YOKO-OP</t>
        </is>
      </c>
      <c r="E895" s="42" t="inlineStr">
        <is>
          <t>06003</t>
        </is>
      </c>
      <c r="F895" s="42" t="inlineStr">
        <is>
          <t>640</t>
        </is>
      </c>
      <c r="G895" s="42" t="inlineStr">
        <is>
          <t>370</t>
        </is>
      </c>
      <c r="H895" s="42" t="inlineStr">
        <is>
          <t>True</t>
        </is>
      </c>
      <c r="I895" s="42" t="inlineStr">
        <is>
          <t>NOT_EVALUATED</t>
        </is>
      </c>
      <c r="J895" s="42" t="inlineStr">
        <is>
          <t>NO_DIRECT_STANDARD_MATRIX_IN_RETRIEVED_SOURCE</t>
        </is>
      </c>
      <c r="K895" s="42" t="str"/>
      <c r="L895" s="42" t="str"/>
      <c r="M895" s="42" t="str"/>
      <c r="N895" s="42" t="str"/>
      <c r="O895" s="42" t="inlineStr">
        <is>
          <t>現行公式資料でこの窓種のSAFE 30mil規格○/×を本Revisionでは直接取得できていない。推測しない。</t>
        </is>
      </c>
    </row>
    <row r="896">
      <c r="A896" s="42" t="inlineStr">
        <is>
          <t>SZ-SL-000895</t>
        </is>
      </c>
      <c r="B896" s="42" t="inlineStr">
        <is>
          <t>WT-SL-YOKO-SUBERI</t>
        </is>
      </c>
      <c r="C896" s="42" t="inlineStr">
        <is>
          <t>横すべり出し窓</t>
        </is>
      </c>
      <c r="D896" s="42" t="inlineStr">
        <is>
          <t>SP-SL-YOKO-OP</t>
        </is>
      </c>
      <c r="E896" s="42" t="inlineStr">
        <is>
          <t>06005</t>
        </is>
      </c>
      <c r="F896" s="42" t="inlineStr">
        <is>
          <t>640</t>
        </is>
      </c>
      <c r="G896" s="42" t="inlineStr">
        <is>
          <t>570</t>
        </is>
      </c>
      <c r="H896" s="42" t="inlineStr">
        <is>
          <t>True</t>
        </is>
      </c>
      <c r="I896" s="42" t="inlineStr">
        <is>
          <t>NOT_EVALUATED</t>
        </is>
      </c>
      <c r="J896" s="42" t="inlineStr">
        <is>
          <t>NO_DIRECT_STANDARD_MATRIX_IN_RETRIEVED_SOURCE</t>
        </is>
      </c>
      <c r="K896" s="42" t="str"/>
      <c r="L896" s="42" t="str"/>
      <c r="M896" s="42" t="str"/>
      <c r="N896" s="42" t="str"/>
      <c r="O896" s="42" t="inlineStr">
        <is>
          <t>現行公式資料でこの窓種のSAFE 30mil規格○/×を本Revisionでは直接取得できていない。推測しない。</t>
        </is>
      </c>
    </row>
    <row r="897">
      <c r="A897" s="42" t="inlineStr">
        <is>
          <t>SZ-SL-000896</t>
        </is>
      </c>
      <c r="B897" s="42" t="inlineStr">
        <is>
          <t>WT-SL-YOKO-SUBERI</t>
        </is>
      </c>
      <c r="C897" s="42" t="inlineStr">
        <is>
          <t>横すべり出し窓</t>
        </is>
      </c>
      <c r="D897" s="42" t="inlineStr">
        <is>
          <t>SP-SL-YOKO-OP</t>
        </is>
      </c>
      <c r="E897" s="42" t="inlineStr">
        <is>
          <t>06903</t>
        </is>
      </c>
      <c r="F897" s="42" t="inlineStr">
        <is>
          <t>730</t>
        </is>
      </c>
      <c r="G897" s="42" t="inlineStr">
        <is>
          <t>370</t>
        </is>
      </c>
      <c r="H897" s="42" t="inlineStr">
        <is>
          <t>True</t>
        </is>
      </c>
      <c r="I897" s="42" t="inlineStr">
        <is>
          <t>NOT_EVALUATED</t>
        </is>
      </c>
      <c r="J897" s="42" t="inlineStr">
        <is>
          <t>NO_DIRECT_STANDARD_MATRIX_IN_RETRIEVED_SOURCE</t>
        </is>
      </c>
      <c r="K897" s="42" t="str"/>
      <c r="L897" s="42" t="str"/>
      <c r="M897" s="42" t="str"/>
      <c r="N897" s="42" t="str"/>
      <c r="O897" s="42" t="inlineStr">
        <is>
          <t>現行公式資料でこの窓種のSAFE 30mil規格○/×を本Revisionでは直接取得できていない。推測しない。</t>
        </is>
      </c>
    </row>
    <row r="898">
      <c r="A898" s="42" t="inlineStr">
        <is>
          <t>SZ-SL-000897</t>
        </is>
      </c>
      <c r="B898" s="42" t="inlineStr">
        <is>
          <t>WT-SL-YOKO-SUBERI</t>
        </is>
      </c>
      <c r="C898" s="42" t="inlineStr">
        <is>
          <t>横すべり出し窓</t>
        </is>
      </c>
      <c r="D898" s="42" t="inlineStr">
        <is>
          <t>SP-SL-YOKO-OP</t>
        </is>
      </c>
      <c r="E898" s="42" t="inlineStr">
        <is>
          <t>06905</t>
        </is>
      </c>
      <c r="F898" s="42" t="inlineStr">
        <is>
          <t>730</t>
        </is>
      </c>
      <c r="G898" s="42" t="inlineStr">
        <is>
          <t>570</t>
        </is>
      </c>
      <c r="H898" s="42" t="inlineStr">
        <is>
          <t>True</t>
        </is>
      </c>
      <c r="I898" s="42" t="inlineStr">
        <is>
          <t>NOT_EVALUATED</t>
        </is>
      </c>
      <c r="J898" s="42" t="inlineStr">
        <is>
          <t>NO_DIRECT_STANDARD_MATRIX_IN_RETRIEVED_SOURCE</t>
        </is>
      </c>
      <c r="K898" s="42" t="str"/>
      <c r="L898" s="42" t="str"/>
      <c r="M898" s="42" t="str"/>
      <c r="N898" s="42" t="str"/>
      <c r="O898" s="42" t="inlineStr">
        <is>
          <t>現行公式資料でこの窓種のSAFE 30mil規格○/×を本Revisionでは直接取得できていない。推測しない。</t>
        </is>
      </c>
    </row>
    <row r="899">
      <c r="A899" s="42" t="inlineStr">
        <is>
          <t>SZ-SL-000898</t>
        </is>
      </c>
      <c r="B899" s="42" t="inlineStr">
        <is>
          <t>WT-SL-YOKO-SUBERI</t>
        </is>
      </c>
      <c r="C899" s="42" t="inlineStr">
        <is>
          <t>横すべり出し窓</t>
        </is>
      </c>
      <c r="D899" s="42" t="inlineStr">
        <is>
          <t>SP-SL-YOKO-OP</t>
        </is>
      </c>
      <c r="E899" s="42" t="inlineStr">
        <is>
          <t>07403</t>
        </is>
      </c>
      <c r="F899" s="42" t="inlineStr">
        <is>
          <t>780</t>
        </is>
      </c>
      <c r="G899" s="42" t="inlineStr">
        <is>
          <t>370</t>
        </is>
      </c>
      <c r="H899" s="42" t="inlineStr">
        <is>
          <t>True</t>
        </is>
      </c>
      <c r="I899" s="42" t="inlineStr">
        <is>
          <t>NOT_EVALUATED</t>
        </is>
      </c>
      <c r="J899" s="42" t="inlineStr">
        <is>
          <t>NO_DIRECT_STANDARD_MATRIX_IN_RETRIEVED_SOURCE</t>
        </is>
      </c>
      <c r="K899" s="42" t="str"/>
      <c r="L899" s="42" t="str"/>
      <c r="M899" s="42" t="str"/>
      <c r="N899" s="42" t="str"/>
      <c r="O899" s="42" t="inlineStr">
        <is>
          <t>現行公式資料でこの窓種のSAFE 30mil規格○/×を本Revisionでは直接取得できていない。推測しない。</t>
        </is>
      </c>
    </row>
    <row r="900">
      <c r="A900" s="42" t="inlineStr">
        <is>
          <t>SZ-SL-000899</t>
        </is>
      </c>
      <c r="B900" s="42" t="inlineStr">
        <is>
          <t>WT-SL-YOKO-SUBERI</t>
        </is>
      </c>
      <c r="C900" s="42" t="inlineStr">
        <is>
          <t>横すべり出し窓</t>
        </is>
      </c>
      <c r="D900" s="42" t="inlineStr">
        <is>
          <t>SP-SL-YOKO-OP</t>
        </is>
      </c>
      <c r="E900" s="42" t="inlineStr">
        <is>
          <t>07405</t>
        </is>
      </c>
      <c r="F900" s="42" t="inlineStr">
        <is>
          <t>780</t>
        </is>
      </c>
      <c r="G900" s="42" t="inlineStr">
        <is>
          <t>570</t>
        </is>
      </c>
      <c r="H900" s="42" t="inlineStr">
        <is>
          <t>True</t>
        </is>
      </c>
      <c r="I900" s="42" t="inlineStr">
        <is>
          <t>NOT_EVALUATED</t>
        </is>
      </c>
      <c r="J900" s="42" t="inlineStr">
        <is>
          <t>NO_DIRECT_STANDARD_MATRIX_IN_RETRIEVED_SOURCE</t>
        </is>
      </c>
      <c r="K900" s="42" t="str"/>
      <c r="L900" s="42" t="str"/>
      <c r="M900" s="42" t="str"/>
      <c r="N900" s="42" t="str"/>
      <c r="O900" s="42" t="inlineStr">
        <is>
          <t>現行公式資料でこの窓種のSAFE 30mil規格○/×を本Revisionでは直接取得できていない。推測しない。</t>
        </is>
      </c>
    </row>
    <row r="901">
      <c r="A901" s="42" t="inlineStr">
        <is>
          <t>SZ-SL-000900</t>
        </is>
      </c>
      <c r="B901" s="42" t="inlineStr">
        <is>
          <t>WT-SL-YOKO-SUBERI</t>
        </is>
      </c>
      <c r="C901" s="42" t="inlineStr">
        <is>
          <t>横すべり出し窓</t>
        </is>
      </c>
      <c r="D901" s="42" t="inlineStr">
        <is>
          <t>SP-SL-YOKO-OP</t>
        </is>
      </c>
      <c r="E901" s="42" t="inlineStr">
        <is>
          <t>03607</t>
        </is>
      </c>
      <c r="F901" s="42" t="inlineStr">
        <is>
          <t>405</t>
        </is>
      </c>
      <c r="G901" s="42" t="inlineStr">
        <is>
          <t>770</t>
        </is>
      </c>
      <c r="H901" s="42" t="inlineStr">
        <is>
          <t>True</t>
        </is>
      </c>
      <c r="I901" s="42" t="inlineStr">
        <is>
          <t>NOT_EVALUATED</t>
        </is>
      </c>
      <c r="J901" s="42" t="inlineStr">
        <is>
          <t>NO_DIRECT_STANDARD_MATRIX_IN_RETRIEVED_SOURCE</t>
        </is>
      </c>
      <c r="K901" s="42" t="str"/>
      <c r="L901" s="42" t="str"/>
      <c r="M901" s="42" t="str"/>
      <c r="N901" s="42" t="str"/>
      <c r="O901" s="42" t="inlineStr">
        <is>
          <t>現行公式資料でこの窓種のSAFE 30mil規格○/×を本Revisionでは直接取得できていない。推測しない。</t>
        </is>
      </c>
    </row>
    <row r="902">
      <c r="A902" s="42" t="inlineStr">
        <is>
          <t>SZ-SL-000901</t>
        </is>
      </c>
      <c r="B902" s="42" t="inlineStr">
        <is>
          <t>WT-SL-YOKO-SUBERI</t>
        </is>
      </c>
      <c r="C902" s="42" t="inlineStr">
        <is>
          <t>横すべり出し窓</t>
        </is>
      </c>
      <c r="D902" s="42" t="inlineStr">
        <is>
          <t>SP-SL-YOKO-OP</t>
        </is>
      </c>
      <c r="E902" s="42" t="inlineStr">
        <is>
          <t>060057</t>
        </is>
      </c>
      <c r="F902" s="42" t="inlineStr">
        <is>
          <t>640</t>
        </is>
      </c>
      <c r="G902" s="42" t="inlineStr">
        <is>
          <t>640</t>
        </is>
      </c>
      <c r="H902" s="42" t="inlineStr">
        <is>
          <t>True</t>
        </is>
      </c>
      <c r="I902" s="42" t="inlineStr">
        <is>
          <t>NOT_EVALUATED</t>
        </is>
      </c>
      <c r="J902" s="42" t="inlineStr">
        <is>
          <t>NO_DIRECT_STANDARD_MATRIX_IN_RETRIEVED_SOURCE</t>
        </is>
      </c>
      <c r="K902" s="42" t="str"/>
      <c r="L902" s="42" t="str"/>
      <c r="M902" s="42" t="str"/>
      <c r="N902" s="42" t="str"/>
      <c r="O902" s="42" t="inlineStr">
        <is>
          <t>現行公式資料でこの窓種のSAFE 30mil規格○/×を本Revisionでは直接取得できていない。推測しない。</t>
        </is>
      </c>
    </row>
    <row r="903">
      <c r="A903" s="42" t="inlineStr">
        <is>
          <t>SZ-SL-000902</t>
        </is>
      </c>
      <c r="B903" s="42" t="inlineStr">
        <is>
          <t>WT-SL-YOKO-SUBERI</t>
        </is>
      </c>
      <c r="C903" s="42" t="inlineStr">
        <is>
          <t>横すべり出し窓</t>
        </is>
      </c>
      <c r="D903" s="42" t="inlineStr">
        <is>
          <t>SP-SL-YOKO-OP</t>
        </is>
      </c>
      <c r="E903" s="42" t="inlineStr">
        <is>
          <t>06007</t>
        </is>
      </c>
      <c r="F903" s="42" t="inlineStr">
        <is>
          <t>640</t>
        </is>
      </c>
      <c r="G903" s="42" t="inlineStr">
        <is>
          <t>770</t>
        </is>
      </c>
      <c r="H903" s="42" t="inlineStr">
        <is>
          <t>True</t>
        </is>
      </c>
      <c r="I903" s="42" t="inlineStr">
        <is>
          <t>NOT_EVALUATED</t>
        </is>
      </c>
      <c r="J903" s="42" t="inlineStr">
        <is>
          <t>NO_DIRECT_STANDARD_MATRIX_IN_RETRIEVED_SOURCE</t>
        </is>
      </c>
      <c r="K903" s="42" t="str"/>
      <c r="L903" s="42" t="str"/>
      <c r="M903" s="42" t="str"/>
      <c r="N903" s="42" t="str"/>
      <c r="O903" s="42" t="inlineStr">
        <is>
          <t>現行公式資料でこの窓種のSAFE 30mil規格○/×を本Revisionでは直接取得できていない。推測しない。</t>
        </is>
      </c>
    </row>
    <row r="904">
      <c r="A904" s="42" t="inlineStr">
        <is>
          <t>SZ-SL-000903</t>
        </is>
      </c>
      <c r="B904" s="42" t="inlineStr">
        <is>
          <t>WT-SL-YOKO-SUBERI</t>
        </is>
      </c>
      <c r="C904" s="42" t="inlineStr">
        <is>
          <t>横すべり出し窓</t>
        </is>
      </c>
      <c r="D904" s="42" t="inlineStr">
        <is>
          <t>SP-SL-YOKO-OP</t>
        </is>
      </c>
      <c r="E904" s="42" t="inlineStr">
        <is>
          <t>06009</t>
        </is>
      </c>
      <c r="F904" s="42" t="inlineStr">
        <is>
          <t>640</t>
        </is>
      </c>
      <c r="G904" s="42" t="inlineStr">
        <is>
          <t>970</t>
        </is>
      </c>
      <c r="H904" s="42" t="inlineStr">
        <is>
          <t>True</t>
        </is>
      </c>
      <c r="I904" s="42" t="inlineStr">
        <is>
          <t>NOT_EVALUATED</t>
        </is>
      </c>
      <c r="J904" s="42" t="inlineStr">
        <is>
          <t>NO_DIRECT_STANDARD_MATRIX_IN_RETRIEVED_SOURCE</t>
        </is>
      </c>
      <c r="K904" s="42" t="str"/>
      <c r="L904" s="42" t="str"/>
      <c r="M904" s="42" t="str"/>
      <c r="N904" s="42" t="str"/>
      <c r="O904" s="42" t="inlineStr">
        <is>
          <t>現行公式資料でこの窓種のSAFE 30mil規格○/×を本Revisionでは直接取得できていない。推測しない。</t>
        </is>
      </c>
    </row>
    <row r="905">
      <c r="A905" s="42" t="inlineStr">
        <is>
          <t>SZ-SL-000904</t>
        </is>
      </c>
      <c r="B905" s="42" t="inlineStr">
        <is>
          <t>WT-SL-YOKO-SUBERI</t>
        </is>
      </c>
      <c r="C905" s="42" t="inlineStr">
        <is>
          <t>横すべり出し窓</t>
        </is>
      </c>
      <c r="D905" s="42" t="inlineStr">
        <is>
          <t>SP-SL-YOKO-OP</t>
        </is>
      </c>
      <c r="E905" s="42" t="inlineStr">
        <is>
          <t>06907</t>
        </is>
      </c>
      <c r="F905" s="42" t="inlineStr">
        <is>
          <t>730</t>
        </is>
      </c>
      <c r="G905" s="42" t="inlineStr">
        <is>
          <t>770</t>
        </is>
      </c>
      <c r="H905" s="42" t="inlineStr">
        <is>
          <t>True</t>
        </is>
      </c>
      <c r="I905" s="42" t="inlineStr">
        <is>
          <t>NOT_EVALUATED</t>
        </is>
      </c>
      <c r="J905" s="42" t="inlineStr">
        <is>
          <t>NO_DIRECT_STANDARD_MATRIX_IN_RETRIEVED_SOURCE</t>
        </is>
      </c>
      <c r="K905" s="42" t="str"/>
      <c r="L905" s="42" t="str"/>
      <c r="M905" s="42" t="str"/>
      <c r="N905" s="42" t="str"/>
      <c r="O905" s="42" t="inlineStr">
        <is>
          <t>現行公式資料でこの窓種のSAFE 30mil規格○/×を本Revisionでは直接取得できていない。推測しない。</t>
        </is>
      </c>
    </row>
    <row r="906">
      <c r="A906" s="42" t="inlineStr">
        <is>
          <t>SZ-SL-000905</t>
        </is>
      </c>
      <c r="B906" s="42" t="inlineStr">
        <is>
          <t>WT-SL-YOKO-SUBERI</t>
        </is>
      </c>
      <c r="C906" s="42" t="inlineStr">
        <is>
          <t>横すべり出し窓</t>
        </is>
      </c>
      <c r="D906" s="42" t="inlineStr">
        <is>
          <t>SP-SL-YOKO-OP</t>
        </is>
      </c>
      <c r="E906" s="42" t="inlineStr">
        <is>
          <t>06909</t>
        </is>
      </c>
      <c r="F906" s="42" t="inlineStr">
        <is>
          <t>730</t>
        </is>
      </c>
      <c r="G906" s="42" t="inlineStr">
        <is>
          <t>970</t>
        </is>
      </c>
      <c r="H906" s="42" t="inlineStr">
        <is>
          <t>True</t>
        </is>
      </c>
      <c r="I906" s="42" t="inlineStr">
        <is>
          <t>NOT_EVALUATED</t>
        </is>
      </c>
      <c r="J906" s="42" t="inlineStr">
        <is>
          <t>NO_DIRECT_STANDARD_MATRIX_IN_RETRIEVED_SOURCE</t>
        </is>
      </c>
      <c r="K906" s="42" t="str"/>
      <c r="L906" s="42" t="str"/>
      <c r="M906" s="42" t="str"/>
      <c r="N906" s="42" t="str"/>
      <c r="O906" s="42" t="inlineStr">
        <is>
          <t>現行公式資料でこの窓種のSAFE 30mil規格○/×を本Revisionでは直接取得できていない。推測しない。</t>
        </is>
      </c>
    </row>
    <row r="907">
      <c r="A907" s="42" t="inlineStr">
        <is>
          <t>SZ-SL-000906</t>
        </is>
      </c>
      <c r="B907" s="42" t="inlineStr">
        <is>
          <t>WT-SL-YOKO-SUBERI</t>
        </is>
      </c>
      <c r="C907" s="42" t="inlineStr">
        <is>
          <t>横すべり出し窓</t>
        </is>
      </c>
      <c r="D907" s="42" t="inlineStr">
        <is>
          <t>SP-SL-YOKO-OP</t>
        </is>
      </c>
      <c r="E907" s="42" t="inlineStr">
        <is>
          <t>07407</t>
        </is>
      </c>
      <c r="F907" s="42" t="inlineStr">
        <is>
          <t>780</t>
        </is>
      </c>
      <c r="G907" s="42" t="inlineStr">
        <is>
          <t>770</t>
        </is>
      </c>
      <c r="H907" s="42" t="inlineStr">
        <is>
          <t>True</t>
        </is>
      </c>
      <c r="I907" s="42" t="inlineStr">
        <is>
          <t>NOT_EVALUATED</t>
        </is>
      </c>
      <c r="J907" s="42" t="inlineStr">
        <is>
          <t>NO_DIRECT_STANDARD_MATRIX_IN_RETRIEVED_SOURCE</t>
        </is>
      </c>
      <c r="K907" s="42" t="str"/>
      <c r="L907" s="42" t="str"/>
      <c r="M907" s="42" t="str"/>
      <c r="N907" s="42" t="str"/>
      <c r="O907" s="42" t="inlineStr">
        <is>
          <t>現行公式資料でこの窓種のSAFE 30mil規格○/×を本Revisionでは直接取得できていない。推測しない。</t>
        </is>
      </c>
    </row>
    <row r="908">
      <c r="A908" s="42" t="inlineStr">
        <is>
          <t>SZ-SL-000907</t>
        </is>
      </c>
      <c r="B908" s="42" t="inlineStr">
        <is>
          <t>WT-SL-YOKO-SUBERI</t>
        </is>
      </c>
      <c r="C908" s="42" t="inlineStr">
        <is>
          <t>横すべり出し窓</t>
        </is>
      </c>
      <c r="D908" s="42" t="inlineStr">
        <is>
          <t>SP-SL-YOKO-OP</t>
        </is>
      </c>
      <c r="E908" s="42" t="inlineStr">
        <is>
          <t>07409</t>
        </is>
      </c>
      <c r="F908" s="42" t="inlineStr">
        <is>
          <t>780</t>
        </is>
      </c>
      <c r="G908" s="42" t="inlineStr">
        <is>
          <t>970</t>
        </is>
      </c>
      <c r="H908" s="42" t="inlineStr">
        <is>
          <t>True</t>
        </is>
      </c>
      <c r="I908" s="42" t="inlineStr">
        <is>
          <t>NOT_EVALUATED</t>
        </is>
      </c>
      <c r="J908" s="42" t="inlineStr">
        <is>
          <t>NO_DIRECT_STANDARD_MATRIX_IN_RETRIEVED_SOURCE</t>
        </is>
      </c>
      <c r="K908" s="42" t="str"/>
      <c r="L908" s="42" t="str"/>
      <c r="M908" s="42" t="str"/>
      <c r="N908" s="42" t="str"/>
      <c r="O908" s="42" t="inlineStr">
        <is>
          <t>現行公式資料でこの窓種のSAFE 30mil規格○/×を本Revisionでは直接取得できていない。推測しない。</t>
        </is>
      </c>
    </row>
    <row r="909">
      <c r="A909" s="42" t="inlineStr">
        <is>
          <t>SZ-SL-000908</t>
        </is>
      </c>
      <c r="B909" s="42" t="inlineStr">
        <is>
          <t>WT-SL-YOKO-SUBERI</t>
        </is>
      </c>
      <c r="C909" s="42" t="inlineStr">
        <is>
          <t>横すべり出し窓</t>
        </is>
      </c>
      <c r="D909" s="42" t="inlineStr">
        <is>
          <t>SP-SL-YOKO-OP</t>
        </is>
      </c>
      <c r="E909" s="42" t="inlineStr">
        <is>
          <t>096093</t>
        </is>
      </c>
      <c r="F909" s="42" t="inlineStr">
        <is>
          <t>1000</t>
        </is>
      </c>
      <c r="G909" s="42" t="inlineStr">
        <is>
          <t>1000</t>
        </is>
      </c>
      <c r="H909" s="42" t="inlineStr">
        <is>
          <t>True</t>
        </is>
      </c>
      <c r="I909" s="42" t="inlineStr">
        <is>
          <t>NOT_EVALUATED</t>
        </is>
      </c>
      <c r="J909" s="42" t="inlineStr">
        <is>
          <t>NO_DIRECT_STANDARD_MATRIX_IN_RETRIEVED_SOURCE</t>
        </is>
      </c>
      <c r="K909" s="42" t="str"/>
      <c r="L909" s="42" t="str"/>
      <c r="M909" s="42" t="str"/>
      <c r="N909" s="42" t="str"/>
      <c r="O909" s="42" t="inlineStr">
        <is>
          <t>現行公式資料でこの窓種のSAFE 30mil規格○/×を本Revisionでは直接取得できていない。推測しない。</t>
        </is>
      </c>
    </row>
    <row r="910">
      <c r="A910" s="42" t="inlineStr">
        <is>
          <t>SZ-SL-000909</t>
        </is>
      </c>
      <c r="B910" s="42" t="inlineStr">
        <is>
          <t>WT-SL-YOKO-SUBERI</t>
        </is>
      </c>
      <c r="C910" s="42" t="inlineStr">
        <is>
          <t>横すべり出し窓</t>
        </is>
      </c>
      <c r="D910" s="42" t="inlineStr">
        <is>
          <t>SP-SL-YOKO-OP</t>
        </is>
      </c>
      <c r="E910" s="42" t="inlineStr">
        <is>
          <t>119116</t>
        </is>
      </c>
      <c r="F910" s="42" t="inlineStr">
        <is>
          <t>1235</t>
        </is>
      </c>
      <c r="G910" s="42" t="inlineStr">
        <is>
          <t>1235</t>
        </is>
      </c>
      <c r="H910" s="42" t="inlineStr">
        <is>
          <t>True</t>
        </is>
      </c>
      <c r="I910" s="42" t="inlineStr">
        <is>
          <t>NOT_EVALUATED</t>
        </is>
      </c>
      <c r="J910" s="42" t="inlineStr">
        <is>
          <t>NO_DIRECT_STANDARD_MATRIX_IN_RETRIEVED_SOURCE</t>
        </is>
      </c>
      <c r="K910" s="42" t="str"/>
      <c r="L910" s="42" t="str"/>
      <c r="M910" s="42" t="str"/>
      <c r="N910" s="42" t="str"/>
      <c r="O910" s="42" t="inlineStr">
        <is>
          <t>現行公式資料でこの窓種のSAFE 30mil規格○/×を本Revisionでは直接取得できていない。推測しない。</t>
        </is>
      </c>
    </row>
    <row r="911">
      <c r="A911" s="42" t="inlineStr">
        <is>
          <t>SZ-SL-000910</t>
        </is>
      </c>
      <c r="B911" s="42" t="inlineStr">
        <is>
          <t>WT-SL-KOSHO-YOKO</t>
        </is>
      </c>
      <c r="C911" s="42" t="inlineStr">
        <is>
          <t>高所用横すべり出し窓</t>
        </is>
      </c>
      <c r="D911" s="42" t="str"/>
      <c r="E911" s="42" t="inlineStr">
        <is>
          <t>069023</t>
        </is>
      </c>
      <c r="F911" s="42" t="inlineStr">
        <is>
          <t>730</t>
        </is>
      </c>
      <c r="G911" s="42" t="inlineStr">
        <is>
          <t>300</t>
        </is>
      </c>
      <c r="H911" s="42" t="inlineStr">
        <is>
          <t>True</t>
        </is>
      </c>
      <c r="I911" s="42" t="inlineStr">
        <is>
          <t>NOT_EVALUATED</t>
        </is>
      </c>
      <c r="J911" s="42" t="inlineStr">
        <is>
          <t>NO_DIRECT_STANDARD_MATRIX_IN_RETRIEVED_SOURCE</t>
        </is>
      </c>
      <c r="K911" s="42" t="str"/>
      <c r="L911" s="42" t="str"/>
      <c r="M911" s="42" t="str"/>
      <c r="N911" s="42" t="str"/>
      <c r="O911" s="42" t="inlineStr">
        <is>
          <t>現行公式資料でこの窓種のSAFE 30mil規格○/×を本Revisionでは直接取得できていない。推測しない。</t>
        </is>
      </c>
    </row>
    <row r="912">
      <c r="A912" s="42" t="inlineStr">
        <is>
          <t>SZ-SL-000911</t>
        </is>
      </c>
      <c r="B912" s="42" t="inlineStr">
        <is>
          <t>WT-SL-KOSHO-YOKO</t>
        </is>
      </c>
      <c r="C912" s="42" t="inlineStr">
        <is>
          <t>高所用横すべり出し窓</t>
        </is>
      </c>
      <c r="D912" s="42" t="str"/>
      <c r="E912" s="42" t="inlineStr">
        <is>
          <t>069028</t>
        </is>
      </c>
      <c r="F912" s="42" t="inlineStr">
        <is>
          <t>730</t>
        </is>
      </c>
      <c r="G912" s="42" t="inlineStr">
        <is>
          <t>350</t>
        </is>
      </c>
      <c r="H912" s="42" t="inlineStr">
        <is>
          <t>True</t>
        </is>
      </c>
      <c r="I912" s="42" t="inlineStr">
        <is>
          <t>NOT_EVALUATED</t>
        </is>
      </c>
      <c r="J912" s="42" t="inlineStr">
        <is>
          <t>NO_DIRECT_STANDARD_MATRIX_IN_RETRIEVED_SOURCE</t>
        </is>
      </c>
      <c r="K912" s="42" t="str"/>
      <c r="L912" s="42" t="str"/>
      <c r="M912" s="42" t="str"/>
      <c r="N912" s="42" t="str"/>
      <c r="O912" s="42" t="inlineStr">
        <is>
          <t>現行公式資料でこの窓種のSAFE 30mil規格○/×を本Revisionでは直接取得できていない。推測しない。</t>
        </is>
      </c>
    </row>
    <row r="913">
      <c r="A913" s="42" t="inlineStr">
        <is>
          <t>SZ-SL-000912</t>
        </is>
      </c>
      <c r="B913" s="42" t="inlineStr">
        <is>
          <t>WT-SL-KOSHO-YOKO</t>
        </is>
      </c>
      <c r="C913" s="42" t="inlineStr">
        <is>
          <t>高所用横すべり出し窓</t>
        </is>
      </c>
      <c r="D913" s="42" t="str"/>
      <c r="E913" s="42" t="inlineStr">
        <is>
          <t>06903</t>
        </is>
      </c>
      <c r="F913" s="42" t="inlineStr">
        <is>
          <t>730</t>
        </is>
      </c>
      <c r="G913" s="42" t="inlineStr">
        <is>
          <t>370</t>
        </is>
      </c>
      <c r="H913" s="42" t="inlineStr">
        <is>
          <t>True</t>
        </is>
      </c>
      <c r="I913" s="42" t="inlineStr">
        <is>
          <t>NOT_EVALUATED</t>
        </is>
      </c>
      <c r="J913" s="42" t="inlineStr">
        <is>
          <t>NO_DIRECT_STANDARD_MATRIX_IN_RETRIEVED_SOURCE</t>
        </is>
      </c>
      <c r="K913" s="42" t="str"/>
      <c r="L913" s="42" t="str"/>
      <c r="M913" s="42" t="str"/>
      <c r="N913" s="42" t="str"/>
      <c r="O913" s="42" t="inlineStr">
        <is>
          <t>現行公式資料でこの窓種のSAFE 30mil規格○/×を本Revisionでは直接取得できていない。推測しない。</t>
        </is>
      </c>
    </row>
    <row r="914">
      <c r="A914" s="42" t="inlineStr">
        <is>
          <t>SZ-SL-000913</t>
        </is>
      </c>
      <c r="B914" s="42" t="inlineStr">
        <is>
          <t>WT-SL-KOSHO-YOKO</t>
        </is>
      </c>
      <c r="C914" s="42" t="inlineStr">
        <is>
          <t>高所用横すべり出し窓</t>
        </is>
      </c>
      <c r="D914" s="42" t="str"/>
      <c r="E914" s="42" t="inlineStr">
        <is>
          <t>06905</t>
        </is>
      </c>
      <c r="F914" s="42" t="inlineStr">
        <is>
          <t>730</t>
        </is>
      </c>
      <c r="G914" s="42" t="inlineStr">
        <is>
          <t>570</t>
        </is>
      </c>
      <c r="H914" s="42" t="inlineStr">
        <is>
          <t>True</t>
        </is>
      </c>
      <c r="I914" s="42" t="inlineStr">
        <is>
          <t>NOT_EVALUATED</t>
        </is>
      </c>
      <c r="J914" s="42" t="inlineStr">
        <is>
          <t>NO_DIRECT_STANDARD_MATRIX_IN_RETRIEVED_SOURCE</t>
        </is>
      </c>
      <c r="K914" s="42" t="str"/>
      <c r="L914" s="42" t="str"/>
      <c r="M914" s="42" t="str"/>
      <c r="N914" s="42" t="str"/>
      <c r="O914" s="42" t="inlineStr">
        <is>
          <t>現行公式資料でこの窓種のSAFE 30mil規格○/×を本Revisionでは直接取得できていない。推測しない。</t>
        </is>
      </c>
    </row>
    <row r="915">
      <c r="A915" s="42" t="inlineStr">
        <is>
          <t>SZ-SL-000914</t>
        </is>
      </c>
      <c r="B915" s="42" t="inlineStr">
        <is>
          <t>WT-SL-KOSHO-YOKO</t>
        </is>
      </c>
      <c r="C915" s="42" t="inlineStr">
        <is>
          <t>高所用横すべり出し窓</t>
        </is>
      </c>
      <c r="D915" s="42" t="str"/>
      <c r="E915" s="42" t="inlineStr">
        <is>
          <t>074023</t>
        </is>
      </c>
      <c r="F915" s="42" t="inlineStr">
        <is>
          <t>780</t>
        </is>
      </c>
      <c r="G915" s="42" t="inlineStr">
        <is>
          <t>300</t>
        </is>
      </c>
      <c r="H915" s="42" t="inlineStr">
        <is>
          <t>True</t>
        </is>
      </c>
      <c r="I915" s="42" t="inlineStr">
        <is>
          <t>NOT_EVALUATED</t>
        </is>
      </c>
      <c r="J915" s="42" t="inlineStr">
        <is>
          <t>NO_DIRECT_STANDARD_MATRIX_IN_RETRIEVED_SOURCE</t>
        </is>
      </c>
      <c r="K915" s="42" t="str"/>
      <c r="L915" s="42" t="str"/>
      <c r="M915" s="42" t="str"/>
      <c r="N915" s="42" t="str"/>
      <c r="O915" s="42" t="inlineStr">
        <is>
          <t>現行公式資料でこの窓種のSAFE 30mil規格○/×を本Revisionでは直接取得できていない。推測しない。</t>
        </is>
      </c>
    </row>
    <row r="916">
      <c r="A916" s="42" t="inlineStr">
        <is>
          <t>SZ-SL-000915</t>
        </is>
      </c>
      <c r="B916" s="42" t="inlineStr">
        <is>
          <t>WT-SL-KOSHO-YOKO</t>
        </is>
      </c>
      <c r="C916" s="42" t="inlineStr">
        <is>
          <t>高所用横すべり出し窓</t>
        </is>
      </c>
      <c r="D916" s="42" t="str"/>
      <c r="E916" s="42" t="inlineStr">
        <is>
          <t>074028</t>
        </is>
      </c>
      <c r="F916" s="42" t="inlineStr">
        <is>
          <t>780</t>
        </is>
      </c>
      <c r="G916" s="42" t="inlineStr">
        <is>
          <t>350</t>
        </is>
      </c>
      <c r="H916" s="42" t="inlineStr">
        <is>
          <t>True</t>
        </is>
      </c>
      <c r="I916" s="42" t="inlineStr">
        <is>
          <t>NOT_EVALUATED</t>
        </is>
      </c>
      <c r="J916" s="42" t="inlineStr">
        <is>
          <t>NO_DIRECT_STANDARD_MATRIX_IN_RETRIEVED_SOURCE</t>
        </is>
      </c>
      <c r="K916" s="42" t="str"/>
      <c r="L916" s="42" t="str"/>
      <c r="M916" s="42" t="str"/>
      <c r="N916" s="42" t="str"/>
      <c r="O916" s="42" t="inlineStr">
        <is>
          <t>現行公式資料でこの窓種のSAFE 30mil規格○/×を本Revisionでは直接取得できていない。推測しない。</t>
        </is>
      </c>
    </row>
    <row r="917">
      <c r="A917" s="42" t="inlineStr">
        <is>
          <t>SZ-SL-000916</t>
        </is>
      </c>
      <c r="B917" s="42" t="inlineStr">
        <is>
          <t>WT-SL-KOSHO-YOKO</t>
        </is>
      </c>
      <c r="C917" s="42" t="inlineStr">
        <is>
          <t>高所用横すべり出し窓</t>
        </is>
      </c>
      <c r="D917" s="42" t="str"/>
      <c r="E917" s="42" t="inlineStr">
        <is>
          <t>07403</t>
        </is>
      </c>
      <c r="F917" s="42" t="inlineStr">
        <is>
          <t>780</t>
        </is>
      </c>
      <c r="G917" s="42" t="inlineStr">
        <is>
          <t>370</t>
        </is>
      </c>
      <c r="H917" s="42" t="inlineStr">
        <is>
          <t>True</t>
        </is>
      </c>
      <c r="I917" s="42" t="inlineStr">
        <is>
          <t>NOT_EVALUATED</t>
        </is>
      </c>
      <c r="J917" s="42" t="inlineStr">
        <is>
          <t>NO_DIRECT_STANDARD_MATRIX_IN_RETRIEVED_SOURCE</t>
        </is>
      </c>
      <c r="K917" s="42" t="str"/>
      <c r="L917" s="42" t="str"/>
      <c r="M917" s="42" t="str"/>
      <c r="N917" s="42" t="str"/>
      <c r="O917" s="42" t="inlineStr">
        <is>
          <t>現行公式資料でこの窓種のSAFE 30mil規格○/×を本Revisionでは直接取得できていない。推測しない。</t>
        </is>
      </c>
    </row>
    <row r="918">
      <c r="A918" s="42" t="inlineStr">
        <is>
          <t>SZ-SL-000917</t>
        </is>
      </c>
      <c r="B918" s="42" t="inlineStr">
        <is>
          <t>WT-SL-KOSHO-YOKO</t>
        </is>
      </c>
      <c r="C918" s="42" t="inlineStr">
        <is>
          <t>高所用横すべり出し窓</t>
        </is>
      </c>
      <c r="D918" s="42" t="str"/>
      <c r="E918" s="42" t="inlineStr">
        <is>
          <t>07405</t>
        </is>
      </c>
      <c r="F918" s="42" t="inlineStr">
        <is>
          <t>780</t>
        </is>
      </c>
      <c r="G918" s="42" t="inlineStr">
        <is>
          <t>570</t>
        </is>
      </c>
      <c r="H918" s="42" t="inlineStr">
        <is>
          <t>True</t>
        </is>
      </c>
      <c r="I918" s="42" t="inlineStr">
        <is>
          <t>NOT_EVALUATED</t>
        </is>
      </c>
      <c r="J918" s="42" t="inlineStr">
        <is>
          <t>NO_DIRECT_STANDARD_MATRIX_IN_RETRIEVED_SOURCE</t>
        </is>
      </c>
      <c r="K918" s="42" t="str"/>
      <c r="L918" s="42" t="str"/>
      <c r="M918" s="42" t="str"/>
      <c r="N918" s="42" t="str"/>
      <c r="O918" s="42" t="inlineStr">
        <is>
          <t>現行公式資料でこの窓種のSAFE 30mil規格○/×を本Revisionでは直接取得できていない。推測しない。</t>
        </is>
      </c>
    </row>
    <row r="919">
      <c r="A919" s="42" t="inlineStr">
        <is>
          <t>SZ-SL-000918</t>
        </is>
      </c>
      <c r="B919" s="42" t="inlineStr">
        <is>
          <t>WT-SL-KOSHO-YOKO</t>
        </is>
      </c>
      <c r="C919" s="42" t="inlineStr">
        <is>
          <t>高所用横すべり出し窓</t>
        </is>
      </c>
      <c r="D919" s="42" t="str"/>
      <c r="E919" s="42" t="inlineStr">
        <is>
          <t>114023</t>
        </is>
      </c>
      <c r="F919" s="42" t="inlineStr">
        <is>
          <t>1185</t>
        </is>
      </c>
      <c r="G919" s="42" t="inlineStr">
        <is>
          <t>300</t>
        </is>
      </c>
      <c r="H919" s="42" t="inlineStr">
        <is>
          <t>True</t>
        </is>
      </c>
      <c r="I919" s="42" t="inlineStr">
        <is>
          <t>NOT_EVALUATED</t>
        </is>
      </c>
      <c r="J919" s="42" t="inlineStr">
        <is>
          <t>NO_DIRECT_STANDARD_MATRIX_IN_RETRIEVED_SOURCE</t>
        </is>
      </c>
      <c r="K919" s="42" t="str"/>
      <c r="L919" s="42" t="str"/>
      <c r="M919" s="42" t="str"/>
      <c r="N919" s="42" t="str"/>
      <c r="O919" s="42" t="inlineStr">
        <is>
          <t>現行公式資料でこの窓種のSAFE 30mil規格○/×を本Revisionでは直接取得できていない。推測しない。</t>
        </is>
      </c>
    </row>
    <row r="920">
      <c r="A920" s="42" t="inlineStr">
        <is>
          <t>SZ-SL-000919</t>
        </is>
      </c>
      <c r="B920" s="42" t="inlineStr">
        <is>
          <t>WT-SL-KOSHO-YOKO</t>
        </is>
      </c>
      <c r="C920" s="42" t="inlineStr">
        <is>
          <t>高所用横すべり出し窓</t>
        </is>
      </c>
      <c r="D920" s="42" t="str"/>
      <c r="E920" s="42" t="inlineStr">
        <is>
          <t>114028</t>
        </is>
      </c>
      <c r="F920" s="42" t="inlineStr">
        <is>
          <t>1185</t>
        </is>
      </c>
      <c r="G920" s="42" t="inlineStr">
        <is>
          <t>350</t>
        </is>
      </c>
      <c r="H920" s="42" t="inlineStr">
        <is>
          <t>True</t>
        </is>
      </c>
      <c r="I920" s="42" t="inlineStr">
        <is>
          <t>NOT_EVALUATED</t>
        </is>
      </c>
      <c r="J920" s="42" t="inlineStr">
        <is>
          <t>NO_DIRECT_STANDARD_MATRIX_IN_RETRIEVED_SOURCE</t>
        </is>
      </c>
      <c r="K920" s="42" t="str"/>
      <c r="L920" s="42" t="str"/>
      <c r="M920" s="42" t="str"/>
      <c r="N920" s="42" t="str"/>
      <c r="O920" s="42" t="inlineStr">
        <is>
          <t>現行公式資料でこの窓種のSAFE 30mil規格○/×を本Revisionでは直接取得できていない。推測しない。</t>
        </is>
      </c>
    </row>
    <row r="921">
      <c r="A921" s="42" t="inlineStr">
        <is>
          <t>SZ-SL-000920</t>
        </is>
      </c>
      <c r="B921" s="42" t="inlineStr">
        <is>
          <t>WT-SL-KOSHO-YOKO</t>
        </is>
      </c>
      <c r="C921" s="42" t="inlineStr">
        <is>
          <t>高所用横すべり出し窓</t>
        </is>
      </c>
      <c r="D921" s="42" t="str"/>
      <c r="E921" s="42" t="inlineStr">
        <is>
          <t>11403</t>
        </is>
      </c>
      <c r="F921" s="42" t="inlineStr">
        <is>
          <t>1185</t>
        </is>
      </c>
      <c r="G921" s="42" t="inlineStr">
        <is>
          <t>370</t>
        </is>
      </c>
      <c r="H921" s="42" t="inlineStr">
        <is>
          <t>True</t>
        </is>
      </c>
      <c r="I921" s="42" t="inlineStr">
        <is>
          <t>NOT_EVALUATED</t>
        </is>
      </c>
      <c r="J921" s="42" t="inlineStr">
        <is>
          <t>NO_DIRECT_STANDARD_MATRIX_IN_RETRIEVED_SOURCE</t>
        </is>
      </c>
      <c r="K921" s="42" t="str"/>
      <c r="L921" s="42" t="str"/>
      <c r="M921" s="42" t="str"/>
      <c r="N921" s="42" t="str"/>
      <c r="O921" s="42" t="inlineStr">
        <is>
          <t>現行公式資料でこの窓種のSAFE 30mil規格○/×を本Revisionでは直接取得できていない。推測しない。</t>
        </is>
      </c>
    </row>
    <row r="922">
      <c r="A922" s="42" t="inlineStr">
        <is>
          <t>SZ-SL-000921</t>
        </is>
      </c>
      <c r="B922" s="42" t="inlineStr">
        <is>
          <t>WT-SL-KOSHO-YOKO</t>
        </is>
      </c>
      <c r="C922" s="42" t="inlineStr">
        <is>
          <t>高所用横すべり出し窓</t>
        </is>
      </c>
      <c r="D922" s="42" t="str"/>
      <c r="E922" s="42" t="inlineStr">
        <is>
          <t>11405</t>
        </is>
      </c>
      <c r="F922" s="42" t="inlineStr">
        <is>
          <t>1185</t>
        </is>
      </c>
      <c r="G922" s="42" t="inlineStr">
        <is>
          <t>570</t>
        </is>
      </c>
      <c r="H922" s="42" t="inlineStr">
        <is>
          <t>True</t>
        </is>
      </c>
      <c r="I922" s="42" t="inlineStr">
        <is>
          <t>NOT_EVALUATED</t>
        </is>
      </c>
      <c r="J922" s="42" t="inlineStr">
        <is>
          <t>NO_DIRECT_STANDARD_MATRIX_IN_RETRIEVED_SOURCE</t>
        </is>
      </c>
      <c r="K922" s="42" t="str"/>
      <c r="L922" s="42" t="str"/>
      <c r="M922" s="42" t="str"/>
      <c r="N922" s="42" t="str"/>
      <c r="O922" s="42" t="inlineStr">
        <is>
          <t>現行公式資料でこの窓種のSAFE 30mil規格○/×を本Revisionでは直接取得できていない。推測しない。</t>
        </is>
      </c>
    </row>
    <row r="923">
      <c r="A923" s="42" t="inlineStr">
        <is>
          <t>SZ-SL-000922</t>
        </is>
      </c>
      <c r="B923" s="42" t="inlineStr">
        <is>
          <t>WT-SL-KOSHO-YOKO</t>
        </is>
      </c>
      <c r="C923" s="42" t="inlineStr">
        <is>
          <t>高所用横すべり出し窓</t>
        </is>
      </c>
      <c r="D923" s="42" t="str"/>
      <c r="E923" s="42" t="inlineStr">
        <is>
          <t>119023</t>
        </is>
      </c>
      <c r="F923" s="42" t="inlineStr">
        <is>
          <t>1235</t>
        </is>
      </c>
      <c r="G923" s="42" t="inlineStr">
        <is>
          <t>300</t>
        </is>
      </c>
      <c r="H923" s="42" t="inlineStr">
        <is>
          <t>True</t>
        </is>
      </c>
      <c r="I923" s="42" t="inlineStr">
        <is>
          <t>NOT_EVALUATED</t>
        </is>
      </c>
      <c r="J923" s="42" t="inlineStr">
        <is>
          <t>NO_DIRECT_STANDARD_MATRIX_IN_RETRIEVED_SOURCE</t>
        </is>
      </c>
      <c r="K923" s="42" t="str"/>
      <c r="L923" s="42" t="str"/>
      <c r="M923" s="42" t="str"/>
      <c r="N923" s="42" t="str"/>
      <c r="O923" s="42" t="inlineStr">
        <is>
          <t>現行公式資料でこの窓種のSAFE 30mil規格○/×を本Revisionでは直接取得できていない。推測しない。</t>
        </is>
      </c>
    </row>
    <row r="924">
      <c r="A924" s="42" t="inlineStr">
        <is>
          <t>SZ-SL-000923</t>
        </is>
      </c>
      <c r="B924" s="42" t="inlineStr">
        <is>
          <t>WT-SL-KOSHO-YOKO</t>
        </is>
      </c>
      <c r="C924" s="42" t="inlineStr">
        <is>
          <t>高所用横すべり出し窓</t>
        </is>
      </c>
      <c r="D924" s="42" t="str"/>
      <c r="E924" s="42" t="inlineStr">
        <is>
          <t>119028</t>
        </is>
      </c>
      <c r="F924" s="42" t="inlineStr">
        <is>
          <t>1235</t>
        </is>
      </c>
      <c r="G924" s="42" t="inlineStr">
        <is>
          <t>350</t>
        </is>
      </c>
      <c r="H924" s="42" t="inlineStr">
        <is>
          <t>True</t>
        </is>
      </c>
      <c r="I924" s="42" t="inlineStr">
        <is>
          <t>NOT_EVALUATED</t>
        </is>
      </c>
      <c r="J924" s="42" t="inlineStr">
        <is>
          <t>NO_DIRECT_STANDARD_MATRIX_IN_RETRIEVED_SOURCE</t>
        </is>
      </c>
      <c r="K924" s="42" t="str"/>
      <c r="L924" s="42" t="str"/>
      <c r="M924" s="42" t="str"/>
      <c r="N924" s="42" t="str"/>
      <c r="O924" s="42" t="inlineStr">
        <is>
          <t>現行公式資料でこの窓種のSAFE 30mil規格○/×を本Revisionでは直接取得できていない。推測しない。</t>
        </is>
      </c>
    </row>
    <row r="925">
      <c r="A925" s="42" t="inlineStr">
        <is>
          <t>SZ-SL-000924</t>
        </is>
      </c>
      <c r="B925" s="42" t="inlineStr">
        <is>
          <t>WT-SL-KOSHO-YOKO</t>
        </is>
      </c>
      <c r="C925" s="42" t="inlineStr">
        <is>
          <t>高所用横すべり出し窓</t>
        </is>
      </c>
      <c r="D925" s="42" t="str"/>
      <c r="E925" s="42" t="inlineStr">
        <is>
          <t>11903</t>
        </is>
      </c>
      <c r="F925" s="42" t="inlineStr">
        <is>
          <t>1235</t>
        </is>
      </c>
      <c r="G925" s="42" t="inlineStr">
        <is>
          <t>370</t>
        </is>
      </c>
      <c r="H925" s="42" t="inlineStr">
        <is>
          <t>True</t>
        </is>
      </c>
      <c r="I925" s="42" t="inlineStr">
        <is>
          <t>NOT_EVALUATED</t>
        </is>
      </c>
      <c r="J925" s="42" t="inlineStr">
        <is>
          <t>NO_DIRECT_STANDARD_MATRIX_IN_RETRIEVED_SOURCE</t>
        </is>
      </c>
      <c r="K925" s="42" t="str"/>
      <c r="L925" s="42" t="str"/>
      <c r="M925" s="42" t="str"/>
      <c r="N925" s="42" t="str"/>
      <c r="O925" s="42" t="inlineStr">
        <is>
          <t>現行公式資料でこの窓種のSAFE 30mil規格○/×を本Revisionでは直接取得できていない。推測しない。</t>
        </is>
      </c>
    </row>
    <row r="926">
      <c r="A926" s="42" t="inlineStr">
        <is>
          <t>SZ-SL-000925</t>
        </is>
      </c>
      <c r="B926" s="42" t="inlineStr">
        <is>
          <t>WT-SL-KOSHO-YOKO</t>
        </is>
      </c>
      <c r="C926" s="42" t="inlineStr">
        <is>
          <t>高所用横すべり出し窓</t>
        </is>
      </c>
      <c r="D926" s="42" t="str"/>
      <c r="E926" s="42" t="inlineStr">
        <is>
          <t>11905</t>
        </is>
      </c>
      <c r="F926" s="42" t="inlineStr">
        <is>
          <t>1235</t>
        </is>
      </c>
      <c r="G926" s="42" t="inlineStr">
        <is>
          <t>570</t>
        </is>
      </c>
      <c r="H926" s="42" t="inlineStr">
        <is>
          <t>True</t>
        </is>
      </c>
      <c r="I926" s="42" t="inlineStr">
        <is>
          <t>NOT_EVALUATED</t>
        </is>
      </c>
      <c r="J926" s="42" t="inlineStr">
        <is>
          <t>NO_DIRECT_STANDARD_MATRIX_IN_RETRIEVED_SOURCE</t>
        </is>
      </c>
      <c r="K926" s="42" t="str"/>
      <c r="L926" s="42" t="str"/>
      <c r="M926" s="42" t="str"/>
      <c r="N926" s="42" t="str"/>
      <c r="O926" s="42" t="inlineStr">
        <is>
          <t>現行公式資料でこの窓種のSAFE 30mil規格○/×を本Revisionでは直接取得できていない。推測しない。</t>
        </is>
      </c>
    </row>
    <row r="927">
      <c r="A927" s="42" t="inlineStr">
        <is>
          <t>SZ-SL-000926</t>
        </is>
      </c>
      <c r="B927" s="42" t="inlineStr">
        <is>
          <t>WT-SL-KOSHO-YOKO</t>
        </is>
      </c>
      <c r="C927" s="42" t="inlineStr">
        <is>
          <t>高所用横すべり出し窓</t>
        </is>
      </c>
      <c r="D927" s="42" t="str"/>
      <c r="E927" s="42" t="inlineStr">
        <is>
          <t>160023</t>
        </is>
      </c>
      <c r="F927" s="42" t="inlineStr">
        <is>
          <t>1640</t>
        </is>
      </c>
      <c r="G927" s="42" t="inlineStr">
        <is>
          <t>300</t>
        </is>
      </c>
      <c r="H927" s="42" t="inlineStr">
        <is>
          <t>True</t>
        </is>
      </c>
      <c r="I927" s="42" t="inlineStr">
        <is>
          <t>NOT_EVALUATED</t>
        </is>
      </c>
      <c r="J927" s="42" t="inlineStr">
        <is>
          <t>NO_DIRECT_STANDARD_MATRIX_IN_RETRIEVED_SOURCE</t>
        </is>
      </c>
      <c r="K927" s="42" t="str"/>
      <c r="L927" s="42" t="str"/>
      <c r="M927" s="42" t="str"/>
      <c r="N927" s="42" t="str"/>
      <c r="O927" s="42" t="inlineStr">
        <is>
          <t>現行公式資料でこの窓種のSAFE 30mil規格○/×を本Revisionでは直接取得できていない。推測しない。</t>
        </is>
      </c>
    </row>
    <row r="928">
      <c r="A928" s="42" t="inlineStr">
        <is>
          <t>SZ-SL-000927</t>
        </is>
      </c>
      <c r="B928" s="42" t="inlineStr">
        <is>
          <t>WT-SL-KOSHO-YOKO</t>
        </is>
      </c>
      <c r="C928" s="42" t="inlineStr">
        <is>
          <t>高所用横すべり出し窓</t>
        </is>
      </c>
      <c r="D928" s="42" t="str"/>
      <c r="E928" s="42" t="inlineStr">
        <is>
          <t>160028</t>
        </is>
      </c>
      <c r="F928" s="42" t="inlineStr">
        <is>
          <t>1640</t>
        </is>
      </c>
      <c r="G928" s="42" t="inlineStr">
        <is>
          <t>350</t>
        </is>
      </c>
      <c r="H928" s="42" t="inlineStr">
        <is>
          <t>True</t>
        </is>
      </c>
      <c r="I928" s="42" t="inlineStr">
        <is>
          <t>NOT_EVALUATED</t>
        </is>
      </c>
      <c r="J928" s="42" t="inlineStr">
        <is>
          <t>NO_DIRECT_STANDARD_MATRIX_IN_RETRIEVED_SOURCE</t>
        </is>
      </c>
      <c r="K928" s="42" t="str"/>
      <c r="L928" s="42" t="str"/>
      <c r="M928" s="42" t="str"/>
      <c r="N928" s="42" t="str"/>
      <c r="O928" s="42" t="inlineStr">
        <is>
          <t>現行公式資料でこの窓種のSAFE 30mil規格○/×を本Revisionでは直接取得できていない。推測しない。</t>
        </is>
      </c>
    </row>
    <row r="929">
      <c r="A929" s="42" t="inlineStr">
        <is>
          <t>SZ-SL-000928</t>
        </is>
      </c>
      <c r="B929" s="42" t="inlineStr">
        <is>
          <t>WT-SL-KOSHO-YOKO</t>
        </is>
      </c>
      <c r="C929" s="42" t="inlineStr">
        <is>
          <t>高所用横すべり出し窓</t>
        </is>
      </c>
      <c r="D929" s="42" t="str"/>
      <c r="E929" s="42" t="inlineStr">
        <is>
          <t>16003</t>
        </is>
      </c>
      <c r="F929" s="42" t="inlineStr">
        <is>
          <t>1640</t>
        </is>
      </c>
      <c r="G929" s="42" t="inlineStr">
        <is>
          <t>370</t>
        </is>
      </c>
      <c r="H929" s="42" t="inlineStr">
        <is>
          <t>True</t>
        </is>
      </c>
      <c r="I929" s="42" t="inlineStr">
        <is>
          <t>NOT_EVALUATED</t>
        </is>
      </c>
      <c r="J929" s="42" t="inlineStr">
        <is>
          <t>NO_DIRECT_STANDARD_MATRIX_IN_RETRIEVED_SOURCE</t>
        </is>
      </c>
      <c r="K929" s="42" t="str"/>
      <c r="L929" s="42" t="str"/>
      <c r="M929" s="42" t="str"/>
      <c r="N929" s="42" t="str"/>
      <c r="O929" s="42" t="inlineStr">
        <is>
          <t>現行公式資料でこの窓種のSAFE 30mil規格○/×を本Revisionでは直接取得できていない。推測しない。</t>
        </is>
      </c>
    </row>
    <row r="930">
      <c r="A930" s="42" t="inlineStr">
        <is>
          <t>SZ-SL-000929</t>
        </is>
      </c>
      <c r="B930" s="42" t="inlineStr">
        <is>
          <t>WT-SL-KOSHO-YOKO</t>
        </is>
      </c>
      <c r="C930" s="42" t="inlineStr">
        <is>
          <t>高所用横すべり出し窓</t>
        </is>
      </c>
      <c r="D930" s="42" t="str"/>
      <c r="E930" s="42" t="inlineStr">
        <is>
          <t>16005</t>
        </is>
      </c>
      <c r="F930" s="42" t="inlineStr">
        <is>
          <t>1640</t>
        </is>
      </c>
      <c r="G930" s="42" t="inlineStr">
        <is>
          <t>570</t>
        </is>
      </c>
      <c r="H930" s="42" t="inlineStr">
        <is>
          <t>True</t>
        </is>
      </c>
      <c r="I930" s="42" t="inlineStr">
        <is>
          <t>NOT_EVALUATED</t>
        </is>
      </c>
      <c r="J930" s="42" t="inlineStr">
        <is>
          <t>NO_DIRECT_STANDARD_MATRIX_IN_RETRIEVED_SOURCE</t>
        </is>
      </c>
      <c r="K930" s="42" t="str"/>
      <c r="L930" s="42" t="str"/>
      <c r="M930" s="42" t="str"/>
      <c r="N930" s="42" t="str"/>
      <c r="O930" s="42" t="inlineStr">
        <is>
          <t>現行公式資料でこの窓種のSAFE 30mil規格○/×を本Revisionでは直接取得できていない。推測しない。</t>
        </is>
      </c>
    </row>
    <row r="931">
      <c r="A931" s="42" t="inlineStr">
        <is>
          <t>SZ-SL-000930</t>
        </is>
      </c>
      <c r="B931" s="42" t="inlineStr">
        <is>
          <t>WT-SL-KOSHO-YOKO</t>
        </is>
      </c>
      <c r="C931" s="42" t="inlineStr">
        <is>
          <t>高所用横すべり出し窓</t>
        </is>
      </c>
      <c r="D931" s="42" t="str"/>
      <c r="E931" s="42" t="inlineStr">
        <is>
          <t>165023</t>
        </is>
      </c>
      <c r="F931" s="42" t="inlineStr">
        <is>
          <t>1690</t>
        </is>
      </c>
      <c r="G931" s="42" t="inlineStr">
        <is>
          <t>300</t>
        </is>
      </c>
      <c r="H931" s="42" t="inlineStr">
        <is>
          <t>True</t>
        </is>
      </c>
      <c r="I931" s="42" t="inlineStr">
        <is>
          <t>NOT_EVALUATED</t>
        </is>
      </c>
      <c r="J931" s="42" t="inlineStr">
        <is>
          <t>NO_DIRECT_STANDARD_MATRIX_IN_RETRIEVED_SOURCE</t>
        </is>
      </c>
      <c r="K931" s="42" t="str"/>
      <c r="L931" s="42" t="str"/>
      <c r="M931" s="42" t="str"/>
      <c r="N931" s="42" t="str"/>
      <c r="O931" s="42" t="inlineStr">
        <is>
          <t>現行公式資料でこの窓種のSAFE 30mil規格○/×を本Revisionでは直接取得できていない。推測しない。</t>
        </is>
      </c>
    </row>
    <row r="932">
      <c r="A932" s="42" t="inlineStr">
        <is>
          <t>SZ-SL-000931</t>
        </is>
      </c>
      <c r="B932" s="42" t="inlineStr">
        <is>
          <t>WT-SL-KOSHO-YOKO</t>
        </is>
      </c>
      <c r="C932" s="42" t="inlineStr">
        <is>
          <t>高所用横すべり出し窓</t>
        </is>
      </c>
      <c r="D932" s="42" t="str"/>
      <c r="E932" s="42" t="inlineStr">
        <is>
          <t>165028</t>
        </is>
      </c>
      <c r="F932" s="42" t="inlineStr">
        <is>
          <t>1690</t>
        </is>
      </c>
      <c r="G932" s="42" t="inlineStr">
        <is>
          <t>350</t>
        </is>
      </c>
      <c r="H932" s="42" t="inlineStr">
        <is>
          <t>True</t>
        </is>
      </c>
      <c r="I932" s="42" t="inlineStr">
        <is>
          <t>NOT_EVALUATED</t>
        </is>
      </c>
      <c r="J932" s="42" t="inlineStr">
        <is>
          <t>NO_DIRECT_STANDARD_MATRIX_IN_RETRIEVED_SOURCE</t>
        </is>
      </c>
      <c r="K932" s="42" t="str"/>
      <c r="L932" s="42" t="str"/>
      <c r="M932" s="42" t="str"/>
      <c r="N932" s="42" t="str"/>
      <c r="O932" s="42" t="inlineStr">
        <is>
          <t>現行公式資料でこの窓種のSAFE 30mil規格○/×を本Revisionでは直接取得できていない。推測しない。</t>
        </is>
      </c>
    </row>
    <row r="933">
      <c r="A933" s="42" t="inlineStr">
        <is>
          <t>SZ-SL-000932</t>
        </is>
      </c>
      <c r="B933" s="42" t="inlineStr">
        <is>
          <t>WT-SL-KOSHO-YOKO</t>
        </is>
      </c>
      <c r="C933" s="42" t="inlineStr">
        <is>
          <t>高所用横すべり出し窓</t>
        </is>
      </c>
      <c r="D933" s="42" t="str"/>
      <c r="E933" s="42" t="inlineStr">
        <is>
          <t>16503</t>
        </is>
      </c>
      <c r="F933" s="42" t="inlineStr">
        <is>
          <t>1690</t>
        </is>
      </c>
      <c r="G933" s="42" t="inlineStr">
        <is>
          <t>370</t>
        </is>
      </c>
      <c r="H933" s="42" t="inlineStr">
        <is>
          <t>True</t>
        </is>
      </c>
      <c r="I933" s="42" t="inlineStr">
        <is>
          <t>NOT_EVALUATED</t>
        </is>
      </c>
      <c r="J933" s="42" t="inlineStr">
        <is>
          <t>NO_DIRECT_STANDARD_MATRIX_IN_RETRIEVED_SOURCE</t>
        </is>
      </c>
      <c r="K933" s="42" t="str"/>
      <c r="L933" s="42" t="str"/>
      <c r="M933" s="42" t="str"/>
      <c r="N933" s="42" t="str"/>
      <c r="O933" s="42" t="inlineStr">
        <is>
          <t>現行公式資料でこの窓種のSAFE 30mil規格○/×を本Revisionでは直接取得できていない。推測しない。</t>
        </is>
      </c>
    </row>
    <row r="934">
      <c r="A934" s="42" t="inlineStr">
        <is>
          <t>SZ-SL-000933</t>
        </is>
      </c>
      <c r="B934" s="42" t="inlineStr">
        <is>
          <t>WT-SL-KOSHO-YOKO</t>
        </is>
      </c>
      <c r="C934" s="42" t="inlineStr">
        <is>
          <t>高所用横すべり出し窓</t>
        </is>
      </c>
      <c r="D934" s="42" t="str"/>
      <c r="E934" s="42" t="inlineStr">
        <is>
          <t>16505</t>
        </is>
      </c>
      <c r="F934" s="42" t="inlineStr">
        <is>
          <t>1690</t>
        </is>
      </c>
      <c r="G934" s="42" t="inlineStr">
        <is>
          <t>570</t>
        </is>
      </c>
      <c r="H934" s="42" t="inlineStr">
        <is>
          <t>True</t>
        </is>
      </c>
      <c r="I934" s="42" t="inlineStr">
        <is>
          <t>NOT_EVALUATED</t>
        </is>
      </c>
      <c r="J934" s="42" t="inlineStr">
        <is>
          <t>NO_DIRECT_STANDARD_MATRIX_IN_RETRIEVED_SOURCE</t>
        </is>
      </c>
      <c r="K934" s="42" t="str"/>
      <c r="L934" s="42" t="str"/>
      <c r="M934" s="42" t="str"/>
      <c r="N934" s="42" t="str"/>
      <c r="O934" s="42" t="inlineStr">
        <is>
          <t>現行公式資料でこの窓種のSAFE 30mil規格○/×を本Revisionでは直接取得できていない。推測しない。</t>
        </is>
      </c>
    </row>
    <row r="935">
      <c r="A935" s="42" t="inlineStr">
        <is>
          <t>SZ-SL-000934</t>
        </is>
      </c>
      <c r="B935" s="42" t="inlineStr">
        <is>
          <t>WT-SL-KOSHO-YOKO</t>
        </is>
      </c>
      <c r="C935" s="42" t="inlineStr">
        <is>
          <t>高所用横すべり出し窓</t>
        </is>
      </c>
      <c r="D935" s="42" t="str"/>
      <c r="E935" s="42" t="inlineStr">
        <is>
          <t>03607</t>
        </is>
      </c>
      <c r="F935" s="42" t="inlineStr">
        <is>
          <t>405</t>
        </is>
      </c>
      <c r="G935" s="42" t="inlineStr">
        <is>
          <t>770</t>
        </is>
      </c>
      <c r="H935" s="42" t="inlineStr">
        <is>
          <t>True</t>
        </is>
      </c>
      <c r="I935" s="42" t="inlineStr">
        <is>
          <t>NOT_EVALUATED</t>
        </is>
      </c>
      <c r="J935" s="42" t="inlineStr">
        <is>
          <t>NO_DIRECT_STANDARD_MATRIX_IN_RETRIEVED_SOURCE</t>
        </is>
      </c>
      <c r="K935" s="42" t="str"/>
      <c r="L935" s="42" t="str"/>
      <c r="M935" s="42" t="str"/>
      <c r="N935" s="42" t="str"/>
      <c r="O935" s="42" t="inlineStr">
        <is>
          <t>現行公式資料でこの窓種のSAFE 30mil規格○/×を本Revisionでは直接取得できていない。推測しない。</t>
        </is>
      </c>
    </row>
    <row r="936">
      <c r="A936" s="42" t="inlineStr">
        <is>
          <t>SZ-SL-000935</t>
        </is>
      </c>
      <c r="B936" s="42" t="inlineStr">
        <is>
          <t>WT-SL-KOSHO-YOKO</t>
        </is>
      </c>
      <c r="C936" s="42" t="inlineStr">
        <is>
          <t>高所用横すべり出し窓</t>
        </is>
      </c>
      <c r="D936" s="42" t="str"/>
      <c r="E936" s="42" t="inlineStr">
        <is>
          <t>03609</t>
        </is>
      </c>
      <c r="F936" s="42" t="inlineStr">
        <is>
          <t>405</t>
        </is>
      </c>
      <c r="G936" s="42" t="inlineStr">
        <is>
          <t>970</t>
        </is>
      </c>
      <c r="H936" s="42" t="inlineStr">
        <is>
          <t>True</t>
        </is>
      </c>
      <c r="I936" s="42" t="inlineStr">
        <is>
          <t>NOT_EVALUATED</t>
        </is>
      </c>
      <c r="J936" s="42" t="inlineStr">
        <is>
          <t>NO_DIRECT_STANDARD_MATRIX_IN_RETRIEVED_SOURCE</t>
        </is>
      </c>
      <c r="K936" s="42" t="str"/>
      <c r="L936" s="42" t="str"/>
      <c r="M936" s="42" t="str"/>
      <c r="N936" s="42" t="str"/>
      <c r="O936" s="42" t="inlineStr">
        <is>
          <t>現行公式資料でこの窓種のSAFE 30mil規格○/×を本Revisionでは直接取得できていない。推測しない。</t>
        </is>
      </c>
    </row>
    <row r="937">
      <c r="A937" s="42" t="inlineStr">
        <is>
          <t>SZ-SL-000936</t>
        </is>
      </c>
      <c r="B937" s="42" t="inlineStr">
        <is>
          <t>WT-SL-KOSHO-YOKO</t>
        </is>
      </c>
      <c r="C937" s="42" t="inlineStr">
        <is>
          <t>高所用横すべり出し窓</t>
        </is>
      </c>
      <c r="D937" s="42" t="str"/>
      <c r="E937" s="42" t="inlineStr">
        <is>
          <t>03611</t>
        </is>
      </c>
      <c r="F937" s="42" t="inlineStr">
        <is>
          <t>405</t>
        </is>
      </c>
      <c r="G937" s="42" t="inlineStr">
        <is>
          <t>1170</t>
        </is>
      </c>
      <c r="H937" s="42" t="inlineStr">
        <is>
          <t>True</t>
        </is>
      </c>
      <c r="I937" s="42" t="inlineStr">
        <is>
          <t>NOT_EVALUATED</t>
        </is>
      </c>
      <c r="J937" s="42" t="inlineStr">
        <is>
          <t>NO_DIRECT_STANDARD_MATRIX_IN_RETRIEVED_SOURCE</t>
        </is>
      </c>
      <c r="K937" s="42" t="str"/>
      <c r="L937" s="42" t="str"/>
      <c r="M937" s="42" t="str"/>
      <c r="N937" s="42" t="str"/>
      <c r="O937" s="42" t="inlineStr">
        <is>
          <t>現行公式資料でこの窓種のSAFE 30mil規格○/×を本Revisionでは直接取得できていない。推測しない。</t>
        </is>
      </c>
    </row>
    <row r="938">
      <c r="A938" s="42" t="inlineStr">
        <is>
          <t>SZ-SL-000937</t>
        </is>
      </c>
      <c r="B938" s="42" t="inlineStr">
        <is>
          <t>WT-SL-KOSHO-YOKO</t>
        </is>
      </c>
      <c r="C938" s="42" t="inlineStr">
        <is>
          <t>高所用横すべり出し窓</t>
        </is>
      </c>
      <c r="D938" s="42" t="str"/>
      <c r="E938" s="42" t="inlineStr">
        <is>
          <t>03613</t>
        </is>
      </c>
      <c r="F938" s="42" t="inlineStr">
        <is>
          <t>405</t>
        </is>
      </c>
      <c r="G938" s="42" t="inlineStr">
        <is>
          <t>1370</t>
        </is>
      </c>
      <c r="H938" s="42" t="inlineStr">
        <is>
          <t>True</t>
        </is>
      </c>
      <c r="I938" s="42" t="inlineStr">
        <is>
          <t>NOT_EVALUATED</t>
        </is>
      </c>
      <c r="J938" s="42" t="inlineStr">
        <is>
          <t>NO_DIRECT_STANDARD_MATRIX_IN_RETRIEVED_SOURCE</t>
        </is>
      </c>
      <c r="K938" s="42" t="str"/>
      <c r="L938" s="42" t="str"/>
      <c r="M938" s="42" t="str"/>
      <c r="N938" s="42" t="str"/>
      <c r="O938" s="42" t="inlineStr">
        <is>
          <t>現行公式資料でこの窓種のSAFE 30mil規格○/×を本Revisionでは直接取得できていない。推測しない。</t>
        </is>
      </c>
    </row>
    <row r="939">
      <c r="A939" s="42" t="inlineStr">
        <is>
          <t>SZ-SL-000938</t>
        </is>
      </c>
      <c r="B939" s="42" t="inlineStr">
        <is>
          <t>WT-SL-KOSHO-YOKO</t>
        </is>
      </c>
      <c r="C939" s="42" t="inlineStr">
        <is>
          <t>高所用横すべり出し窓</t>
        </is>
      </c>
      <c r="D939" s="42" t="str"/>
      <c r="E939" s="42" t="inlineStr">
        <is>
          <t>06007</t>
        </is>
      </c>
      <c r="F939" s="42" t="inlineStr">
        <is>
          <t>640</t>
        </is>
      </c>
      <c r="G939" s="42" t="inlineStr">
        <is>
          <t>770</t>
        </is>
      </c>
      <c r="H939" s="42" t="inlineStr">
        <is>
          <t>True</t>
        </is>
      </c>
      <c r="I939" s="42" t="inlineStr">
        <is>
          <t>NOT_EVALUATED</t>
        </is>
      </c>
      <c r="J939" s="42" t="inlineStr">
        <is>
          <t>NO_DIRECT_STANDARD_MATRIX_IN_RETRIEVED_SOURCE</t>
        </is>
      </c>
      <c r="K939" s="42" t="str"/>
      <c r="L939" s="42" t="str"/>
      <c r="M939" s="42" t="str"/>
      <c r="N939" s="42" t="str"/>
      <c r="O939" s="42" t="inlineStr">
        <is>
          <t>現行公式資料でこの窓種のSAFE 30mil規格○/×を本Revisionでは直接取得できていない。推測しない。</t>
        </is>
      </c>
    </row>
    <row r="940">
      <c r="A940" s="42" t="inlineStr">
        <is>
          <t>SZ-SL-000939</t>
        </is>
      </c>
      <c r="B940" s="42" t="inlineStr">
        <is>
          <t>WT-SL-KOSHO-YOKO</t>
        </is>
      </c>
      <c r="C940" s="42" t="inlineStr">
        <is>
          <t>高所用横すべり出し窓</t>
        </is>
      </c>
      <c r="D940" s="42" t="str"/>
      <c r="E940" s="42" t="inlineStr">
        <is>
          <t>06009</t>
        </is>
      </c>
      <c r="F940" s="42" t="inlineStr">
        <is>
          <t>640</t>
        </is>
      </c>
      <c r="G940" s="42" t="inlineStr">
        <is>
          <t>970</t>
        </is>
      </c>
      <c r="H940" s="42" t="inlineStr">
        <is>
          <t>True</t>
        </is>
      </c>
      <c r="I940" s="42" t="inlineStr">
        <is>
          <t>NOT_EVALUATED</t>
        </is>
      </c>
      <c r="J940" s="42" t="inlineStr">
        <is>
          <t>NO_DIRECT_STANDARD_MATRIX_IN_RETRIEVED_SOURCE</t>
        </is>
      </c>
      <c r="K940" s="42" t="str"/>
      <c r="L940" s="42" t="str"/>
      <c r="M940" s="42" t="str"/>
      <c r="N940" s="42" t="str"/>
      <c r="O940" s="42" t="inlineStr">
        <is>
          <t>現行公式資料でこの窓種のSAFE 30mil規格○/×を本Revisionでは直接取得できていない。推測しない。</t>
        </is>
      </c>
    </row>
    <row r="941">
      <c r="A941" s="42" t="inlineStr">
        <is>
          <t>SZ-SL-000940</t>
        </is>
      </c>
      <c r="B941" s="42" t="inlineStr">
        <is>
          <t>WT-SL-KOSHO-YOKO</t>
        </is>
      </c>
      <c r="C941" s="42" t="inlineStr">
        <is>
          <t>高所用横すべり出し窓</t>
        </is>
      </c>
      <c r="D941" s="42" t="str"/>
      <c r="E941" s="42" t="inlineStr">
        <is>
          <t>06011</t>
        </is>
      </c>
      <c r="F941" s="42" t="inlineStr">
        <is>
          <t>640</t>
        </is>
      </c>
      <c r="G941" s="42" t="inlineStr">
        <is>
          <t>1170</t>
        </is>
      </c>
      <c r="H941" s="42" t="inlineStr">
        <is>
          <t>True</t>
        </is>
      </c>
      <c r="I941" s="42" t="inlineStr">
        <is>
          <t>NOT_EVALUATED</t>
        </is>
      </c>
      <c r="J941" s="42" t="inlineStr">
        <is>
          <t>NO_DIRECT_STANDARD_MATRIX_IN_RETRIEVED_SOURCE</t>
        </is>
      </c>
      <c r="K941" s="42" t="str"/>
      <c r="L941" s="42" t="str"/>
      <c r="M941" s="42" t="str"/>
      <c r="N941" s="42" t="str"/>
      <c r="O941" s="42" t="inlineStr">
        <is>
          <t>現行公式資料でこの窓種のSAFE 30mil規格○/×を本Revisionでは直接取得できていない。推測しない。</t>
        </is>
      </c>
    </row>
    <row r="942">
      <c r="A942" s="42" t="inlineStr">
        <is>
          <t>SZ-SL-000941</t>
        </is>
      </c>
      <c r="B942" s="42" t="inlineStr">
        <is>
          <t>WT-SL-KOSHO-YOKO</t>
        </is>
      </c>
      <c r="C942" s="42" t="inlineStr">
        <is>
          <t>高所用横すべり出し窓</t>
        </is>
      </c>
      <c r="D942" s="42" t="str"/>
      <c r="E942" s="42" t="inlineStr">
        <is>
          <t>06013</t>
        </is>
      </c>
      <c r="F942" s="42" t="inlineStr">
        <is>
          <t>640</t>
        </is>
      </c>
      <c r="G942" s="42" t="inlineStr">
        <is>
          <t>1370</t>
        </is>
      </c>
      <c r="H942" s="42" t="inlineStr">
        <is>
          <t>True</t>
        </is>
      </c>
      <c r="I942" s="42" t="inlineStr">
        <is>
          <t>NOT_EVALUATED</t>
        </is>
      </c>
      <c r="J942" s="42" t="inlineStr">
        <is>
          <t>NO_DIRECT_STANDARD_MATRIX_IN_RETRIEVED_SOURCE</t>
        </is>
      </c>
      <c r="K942" s="42" t="str"/>
      <c r="L942" s="42" t="str"/>
      <c r="M942" s="42" t="str"/>
      <c r="N942" s="42" t="str"/>
      <c r="O942" s="42" t="inlineStr">
        <is>
          <t>現行公式資料でこの窓種のSAFE 30mil規格○/×を本Revisionでは直接取得できていない。推測しない。</t>
        </is>
      </c>
    </row>
    <row r="943">
      <c r="A943" s="42" t="inlineStr">
        <is>
          <t>SZ-SL-000942</t>
        </is>
      </c>
      <c r="B943" s="42" t="inlineStr">
        <is>
          <t>WT-SL-KOSHO-YOKO</t>
        </is>
      </c>
      <c r="C943" s="42" t="inlineStr">
        <is>
          <t>高所用横すべり出し窓</t>
        </is>
      </c>
      <c r="D943" s="42" t="str"/>
      <c r="E943" s="42" t="inlineStr">
        <is>
          <t>06907</t>
        </is>
      </c>
      <c r="F943" s="42" t="inlineStr">
        <is>
          <t>730</t>
        </is>
      </c>
      <c r="G943" s="42" t="inlineStr">
        <is>
          <t>770</t>
        </is>
      </c>
      <c r="H943" s="42" t="inlineStr">
        <is>
          <t>True</t>
        </is>
      </c>
      <c r="I943" s="42" t="inlineStr">
        <is>
          <t>NOT_EVALUATED</t>
        </is>
      </c>
      <c r="J943" s="42" t="inlineStr">
        <is>
          <t>NO_DIRECT_STANDARD_MATRIX_IN_RETRIEVED_SOURCE</t>
        </is>
      </c>
      <c r="K943" s="42" t="str"/>
      <c r="L943" s="42" t="str"/>
      <c r="M943" s="42" t="str"/>
      <c r="N943" s="42" t="str"/>
      <c r="O943" s="42" t="inlineStr">
        <is>
          <t>現行公式資料でこの窓種のSAFE 30mil規格○/×を本Revisionでは直接取得できていない。推測しない。</t>
        </is>
      </c>
    </row>
    <row r="944">
      <c r="A944" s="42" t="inlineStr">
        <is>
          <t>SZ-SL-000943</t>
        </is>
      </c>
      <c r="B944" s="42" t="inlineStr">
        <is>
          <t>WT-SL-KOSHO-YOKO</t>
        </is>
      </c>
      <c r="C944" s="42" t="inlineStr">
        <is>
          <t>高所用横すべり出し窓</t>
        </is>
      </c>
      <c r="D944" s="42" t="str"/>
      <c r="E944" s="42" t="inlineStr">
        <is>
          <t>06909</t>
        </is>
      </c>
      <c r="F944" s="42" t="inlineStr">
        <is>
          <t>730</t>
        </is>
      </c>
      <c r="G944" s="42" t="inlineStr">
        <is>
          <t>970</t>
        </is>
      </c>
      <c r="H944" s="42" t="inlineStr">
        <is>
          <t>True</t>
        </is>
      </c>
      <c r="I944" s="42" t="inlineStr">
        <is>
          <t>NOT_EVALUATED</t>
        </is>
      </c>
      <c r="J944" s="42" t="inlineStr">
        <is>
          <t>NO_DIRECT_STANDARD_MATRIX_IN_RETRIEVED_SOURCE</t>
        </is>
      </c>
      <c r="K944" s="42" t="str"/>
      <c r="L944" s="42" t="str"/>
      <c r="M944" s="42" t="str"/>
      <c r="N944" s="42" t="str"/>
      <c r="O944" s="42" t="inlineStr">
        <is>
          <t>現行公式資料でこの窓種のSAFE 30mil規格○/×を本Revisionでは直接取得できていない。推測しない。</t>
        </is>
      </c>
    </row>
    <row r="945">
      <c r="A945" s="42" t="inlineStr">
        <is>
          <t>SZ-SL-000944</t>
        </is>
      </c>
      <c r="B945" s="42" t="inlineStr">
        <is>
          <t>WT-SL-KOSHO-YOKO</t>
        </is>
      </c>
      <c r="C945" s="42" t="inlineStr">
        <is>
          <t>高所用横すべり出し窓</t>
        </is>
      </c>
      <c r="D945" s="42" t="str"/>
      <c r="E945" s="42" t="inlineStr">
        <is>
          <t>07407</t>
        </is>
      </c>
      <c r="F945" s="42" t="inlineStr">
        <is>
          <t>780</t>
        </is>
      </c>
      <c r="G945" s="42" t="inlineStr">
        <is>
          <t>770</t>
        </is>
      </c>
      <c r="H945" s="42" t="inlineStr">
        <is>
          <t>True</t>
        </is>
      </c>
      <c r="I945" s="42" t="inlineStr">
        <is>
          <t>NOT_EVALUATED</t>
        </is>
      </c>
      <c r="J945" s="42" t="inlineStr">
        <is>
          <t>NO_DIRECT_STANDARD_MATRIX_IN_RETRIEVED_SOURCE</t>
        </is>
      </c>
      <c r="K945" s="42" t="str"/>
      <c r="L945" s="42" t="str"/>
      <c r="M945" s="42" t="str"/>
      <c r="N945" s="42" t="str"/>
      <c r="O945" s="42" t="inlineStr">
        <is>
          <t>現行公式資料でこの窓種のSAFE 30mil規格○/×を本Revisionでは直接取得できていない。推測しない。</t>
        </is>
      </c>
    </row>
    <row r="946">
      <c r="A946" s="42" t="inlineStr">
        <is>
          <t>SZ-SL-000945</t>
        </is>
      </c>
      <c r="B946" s="42" t="inlineStr">
        <is>
          <t>WT-SL-KOSHO-YOKO</t>
        </is>
      </c>
      <c r="C946" s="42" t="inlineStr">
        <is>
          <t>高所用横すべり出し窓</t>
        </is>
      </c>
      <c r="D946" s="42" t="str"/>
      <c r="E946" s="42" t="inlineStr">
        <is>
          <t>07409</t>
        </is>
      </c>
      <c r="F946" s="42" t="inlineStr">
        <is>
          <t>780</t>
        </is>
      </c>
      <c r="G946" s="42" t="inlineStr">
        <is>
          <t>970</t>
        </is>
      </c>
      <c r="H946" s="42" t="inlineStr">
        <is>
          <t>True</t>
        </is>
      </c>
      <c r="I946" s="42" t="inlineStr">
        <is>
          <t>NOT_EVALUATED</t>
        </is>
      </c>
      <c r="J946" s="42" t="inlineStr">
        <is>
          <t>NO_DIRECT_STANDARD_MATRIX_IN_RETRIEVED_SOURCE</t>
        </is>
      </c>
      <c r="K946" s="42" t="str"/>
      <c r="L946" s="42" t="str"/>
      <c r="M946" s="42" t="str"/>
      <c r="N946" s="42" t="str"/>
      <c r="O946" s="42" t="inlineStr">
        <is>
          <t>現行公式資料でこの窓種のSAFE 30mil規格○/×を本Revisionでは直接取得できていない。推測しない。</t>
        </is>
      </c>
    </row>
    <row r="947">
      <c r="A947" s="42" t="inlineStr">
        <is>
          <t>SZ-SL-000946</t>
        </is>
      </c>
      <c r="B947" s="42" t="inlineStr">
        <is>
          <t>WT-SL-AGE-SAGE-FS</t>
        </is>
      </c>
      <c r="C947" s="42" t="inlineStr">
        <is>
          <t>上げ下げ窓FS</t>
        </is>
      </c>
      <c r="D947" s="42" t="str"/>
      <c r="E947" s="42" t="inlineStr">
        <is>
          <t>02607</t>
        </is>
      </c>
      <c r="F947" s="42" t="inlineStr">
        <is>
          <t>300</t>
        </is>
      </c>
      <c r="G947" s="42" t="inlineStr">
        <is>
          <t>770</t>
        </is>
      </c>
      <c r="H947" s="42" t="inlineStr">
        <is>
          <t>True</t>
        </is>
      </c>
      <c r="I947" s="42" t="inlineStr">
        <is>
          <t>NOT_EVALUATED</t>
        </is>
      </c>
      <c r="J947" s="42" t="inlineStr">
        <is>
          <t>NO_DIRECT_STANDARD_MATRIX_IN_RETRIEVED_SOURCE</t>
        </is>
      </c>
      <c r="K947" s="42" t="str"/>
      <c r="L947" s="42" t="str"/>
      <c r="M947" s="42" t="str"/>
      <c r="N947" s="42" t="str"/>
      <c r="O947" s="42" t="inlineStr">
        <is>
          <t>現行公式資料でこの窓種のSAFE 30mil規格○/×を本Revisionでは直接取得できていない。推測しない。</t>
        </is>
      </c>
    </row>
    <row r="948">
      <c r="A948" s="42" t="inlineStr">
        <is>
          <t>SZ-SL-000947</t>
        </is>
      </c>
      <c r="B948" s="42" t="inlineStr">
        <is>
          <t>WT-SL-AGE-SAGE-FS</t>
        </is>
      </c>
      <c r="C948" s="42" t="inlineStr">
        <is>
          <t>上げ下げ窓FS</t>
        </is>
      </c>
      <c r="D948" s="42" t="str"/>
      <c r="E948" s="42" t="inlineStr">
        <is>
          <t>02609</t>
        </is>
      </c>
      <c r="F948" s="42" t="inlineStr">
        <is>
          <t>300</t>
        </is>
      </c>
      <c r="G948" s="42" t="inlineStr">
        <is>
          <t>970</t>
        </is>
      </c>
      <c r="H948" s="42" t="inlineStr">
        <is>
          <t>True</t>
        </is>
      </c>
      <c r="I948" s="42" t="inlineStr">
        <is>
          <t>NOT_EVALUATED</t>
        </is>
      </c>
      <c r="J948" s="42" t="inlineStr">
        <is>
          <t>NO_DIRECT_STANDARD_MATRIX_IN_RETRIEVED_SOURCE</t>
        </is>
      </c>
      <c r="K948" s="42" t="str"/>
      <c r="L948" s="42" t="str"/>
      <c r="M948" s="42" t="str"/>
      <c r="N948" s="42" t="str"/>
      <c r="O948" s="42" t="inlineStr">
        <is>
          <t>現行公式資料でこの窓種のSAFE 30mil規格○/×を本Revisionでは直接取得できていない。推測しない。</t>
        </is>
      </c>
    </row>
    <row r="949">
      <c r="A949" s="42" t="inlineStr">
        <is>
          <t>SZ-SL-000948</t>
        </is>
      </c>
      <c r="B949" s="42" t="inlineStr">
        <is>
          <t>WT-SL-AGE-SAGE-FS</t>
        </is>
      </c>
      <c r="C949" s="42" t="inlineStr">
        <is>
          <t>上げ下げ窓FS</t>
        </is>
      </c>
      <c r="D949" s="42" t="str"/>
      <c r="E949" s="42" t="inlineStr">
        <is>
          <t>02611</t>
        </is>
      </c>
      <c r="F949" s="42" t="inlineStr">
        <is>
          <t>300</t>
        </is>
      </c>
      <c r="G949" s="42" t="inlineStr">
        <is>
          <t>1170</t>
        </is>
      </c>
      <c r="H949" s="42" t="inlineStr">
        <is>
          <t>True</t>
        </is>
      </c>
      <c r="I949" s="42" t="inlineStr">
        <is>
          <t>NOT_EVALUATED</t>
        </is>
      </c>
      <c r="J949" s="42" t="inlineStr">
        <is>
          <t>NO_DIRECT_STANDARD_MATRIX_IN_RETRIEVED_SOURCE</t>
        </is>
      </c>
      <c r="K949" s="42" t="str"/>
      <c r="L949" s="42" t="str"/>
      <c r="M949" s="42" t="str"/>
      <c r="N949" s="42" t="str"/>
      <c r="O949" s="42" t="inlineStr">
        <is>
          <t>現行公式資料でこの窓種のSAFE 30mil規格○/×を本Revisionでは直接取得できていない。推測しない。</t>
        </is>
      </c>
    </row>
    <row r="950">
      <c r="A950" s="42" t="inlineStr">
        <is>
          <t>SZ-SL-000949</t>
        </is>
      </c>
      <c r="B950" s="42" t="inlineStr">
        <is>
          <t>WT-SL-AGE-SAGE-FS</t>
        </is>
      </c>
      <c r="C950" s="42" t="inlineStr">
        <is>
          <t>上げ下げ窓FS</t>
        </is>
      </c>
      <c r="D950" s="42" t="str"/>
      <c r="E950" s="42" t="inlineStr">
        <is>
          <t>02613</t>
        </is>
      </c>
      <c r="F950" s="42" t="inlineStr">
        <is>
          <t>300</t>
        </is>
      </c>
      <c r="G950" s="42" t="inlineStr">
        <is>
          <t>1370</t>
        </is>
      </c>
      <c r="H950" s="42" t="inlineStr">
        <is>
          <t>True</t>
        </is>
      </c>
      <c r="I950" s="42" t="inlineStr">
        <is>
          <t>NOT_EVALUATED</t>
        </is>
      </c>
      <c r="J950" s="42" t="inlineStr">
        <is>
          <t>NO_DIRECT_STANDARD_MATRIX_IN_RETRIEVED_SOURCE</t>
        </is>
      </c>
      <c r="K950" s="42" t="str"/>
      <c r="L950" s="42" t="str"/>
      <c r="M950" s="42" t="str"/>
      <c r="N950" s="42" t="str"/>
      <c r="O950" s="42" t="inlineStr">
        <is>
          <t>現行公式資料でこの窓種のSAFE 30mil規格○/×を本Revisionでは直接取得できていない。推測しない。</t>
        </is>
      </c>
    </row>
    <row r="951">
      <c r="A951" s="42" t="inlineStr">
        <is>
          <t>SZ-SL-000950</t>
        </is>
      </c>
      <c r="B951" s="42" t="inlineStr">
        <is>
          <t>WT-SL-AGE-SAGE-FS</t>
        </is>
      </c>
      <c r="C951" s="42" t="inlineStr">
        <is>
          <t>上げ下げ窓FS</t>
        </is>
      </c>
      <c r="D951" s="42" t="str"/>
      <c r="E951" s="42" t="inlineStr">
        <is>
          <t>03607</t>
        </is>
      </c>
      <c r="F951" s="42" t="inlineStr">
        <is>
          <t>405</t>
        </is>
      </c>
      <c r="G951" s="42" t="inlineStr">
        <is>
          <t>770</t>
        </is>
      </c>
      <c r="H951" s="42" t="inlineStr">
        <is>
          <t>True</t>
        </is>
      </c>
      <c r="I951" s="42" t="inlineStr">
        <is>
          <t>NOT_EVALUATED</t>
        </is>
      </c>
      <c r="J951" s="42" t="inlineStr">
        <is>
          <t>NO_DIRECT_STANDARD_MATRIX_IN_RETRIEVED_SOURCE</t>
        </is>
      </c>
      <c r="K951" s="42" t="str"/>
      <c r="L951" s="42" t="str"/>
      <c r="M951" s="42" t="str"/>
      <c r="N951" s="42" t="str"/>
      <c r="O951" s="42" t="inlineStr">
        <is>
          <t>現行公式資料でこの窓種のSAFE 30mil規格○/×を本Revisionでは直接取得できていない。推測しない。</t>
        </is>
      </c>
    </row>
    <row r="952">
      <c r="A952" s="42" t="inlineStr">
        <is>
          <t>SZ-SL-000951</t>
        </is>
      </c>
      <c r="B952" s="42" t="inlineStr">
        <is>
          <t>WT-SL-AGE-SAGE-FS</t>
        </is>
      </c>
      <c r="C952" s="42" t="inlineStr">
        <is>
          <t>上げ下げ窓FS</t>
        </is>
      </c>
      <c r="D952" s="42" t="str"/>
      <c r="E952" s="42" t="inlineStr">
        <is>
          <t>03609</t>
        </is>
      </c>
      <c r="F952" s="42" t="inlineStr">
        <is>
          <t>405</t>
        </is>
      </c>
      <c r="G952" s="42" t="inlineStr">
        <is>
          <t>970</t>
        </is>
      </c>
      <c r="H952" s="42" t="inlineStr">
        <is>
          <t>True</t>
        </is>
      </c>
      <c r="I952" s="42" t="inlineStr">
        <is>
          <t>NOT_EVALUATED</t>
        </is>
      </c>
      <c r="J952" s="42" t="inlineStr">
        <is>
          <t>NO_DIRECT_STANDARD_MATRIX_IN_RETRIEVED_SOURCE</t>
        </is>
      </c>
      <c r="K952" s="42" t="str"/>
      <c r="L952" s="42" t="str"/>
      <c r="M952" s="42" t="str"/>
      <c r="N952" s="42" t="str"/>
      <c r="O952" s="42" t="inlineStr">
        <is>
          <t>現行公式資料でこの窓種のSAFE 30mil規格○/×を本Revisionでは直接取得できていない。推測しない。</t>
        </is>
      </c>
    </row>
    <row r="953">
      <c r="A953" s="42" t="inlineStr">
        <is>
          <t>SZ-SL-000952</t>
        </is>
      </c>
      <c r="B953" s="42" t="inlineStr">
        <is>
          <t>WT-SL-AGE-SAGE-FS</t>
        </is>
      </c>
      <c r="C953" s="42" t="inlineStr">
        <is>
          <t>上げ下げ窓FS</t>
        </is>
      </c>
      <c r="D953" s="42" t="str"/>
      <c r="E953" s="42" t="inlineStr">
        <is>
          <t>03611</t>
        </is>
      </c>
      <c r="F953" s="42" t="inlineStr">
        <is>
          <t>405</t>
        </is>
      </c>
      <c r="G953" s="42" t="inlineStr">
        <is>
          <t>1170</t>
        </is>
      </c>
      <c r="H953" s="42" t="inlineStr">
        <is>
          <t>True</t>
        </is>
      </c>
      <c r="I953" s="42" t="inlineStr">
        <is>
          <t>NOT_EVALUATED</t>
        </is>
      </c>
      <c r="J953" s="42" t="inlineStr">
        <is>
          <t>NO_DIRECT_STANDARD_MATRIX_IN_RETRIEVED_SOURCE</t>
        </is>
      </c>
      <c r="K953" s="42" t="str"/>
      <c r="L953" s="42" t="str"/>
      <c r="M953" s="42" t="str"/>
      <c r="N953" s="42" t="str"/>
      <c r="O953" s="42" t="inlineStr">
        <is>
          <t>現行公式資料でこの窓種のSAFE 30mil規格○/×を本Revisionでは直接取得できていない。推測しない。</t>
        </is>
      </c>
    </row>
    <row r="954">
      <c r="A954" s="42" t="inlineStr">
        <is>
          <t>SZ-SL-000953</t>
        </is>
      </c>
      <c r="B954" s="42" t="inlineStr">
        <is>
          <t>WT-SL-AGE-SAGE-FS</t>
        </is>
      </c>
      <c r="C954" s="42" t="inlineStr">
        <is>
          <t>上げ下げ窓FS</t>
        </is>
      </c>
      <c r="D954" s="42" t="str"/>
      <c r="E954" s="42" t="inlineStr">
        <is>
          <t>03613</t>
        </is>
      </c>
      <c r="F954" s="42" t="inlineStr">
        <is>
          <t>405</t>
        </is>
      </c>
      <c r="G954" s="42" t="inlineStr">
        <is>
          <t>1370</t>
        </is>
      </c>
      <c r="H954" s="42" t="inlineStr">
        <is>
          <t>True</t>
        </is>
      </c>
      <c r="I954" s="42" t="inlineStr">
        <is>
          <t>NOT_EVALUATED</t>
        </is>
      </c>
      <c r="J954" s="42" t="inlineStr">
        <is>
          <t>NO_DIRECT_STANDARD_MATRIX_IN_RETRIEVED_SOURCE</t>
        </is>
      </c>
      <c r="K954" s="42" t="str"/>
      <c r="L954" s="42" t="str"/>
      <c r="M954" s="42" t="str"/>
      <c r="N954" s="42" t="str"/>
      <c r="O954" s="42" t="inlineStr">
        <is>
          <t>現行公式資料でこの窓種のSAFE 30mil規格○/×を本Revisionでは直接取得できていない。推測しない。</t>
        </is>
      </c>
    </row>
    <row r="955">
      <c r="A955" s="42" t="inlineStr">
        <is>
          <t>SZ-SL-000954</t>
        </is>
      </c>
      <c r="B955" s="42" t="inlineStr">
        <is>
          <t>WT-SL-AGE-SAGE-FS</t>
        </is>
      </c>
      <c r="C955" s="42" t="inlineStr">
        <is>
          <t>上げ下げ窓FS</t>
        </is>
      </c>
      <c r="D955" s="42" t="str"/>
      <c r="E955" s="42" t="inlineStr">
        <is>
          <t>03615</t>
        </is>
      </c>
      <c r="F955" s="42" t="inlineStr">
        <is>
          <t>405</t>
        </is>
      </c>
      <c r="G955" s="42" t="inlineStr">
        <is>
          <t>1570</t>
        </is>
      </c>
      <c r="H955" s="42" t="inlineStr">
        <is>
          <t>True</t>
        </is>
      </c>
      <c r="I955" s="42" t="inlineStr">
        <is>
          <t>NOT_EVALUATED</t>
        </is>
      </c>
      <c r="J955" s="42" t="inlineStr">
        <is>
          <t>NO_DIRECT_STANDARD_MATRIX_IN_RETRIEVED_SOURCE</t>
        </is>
      </c>
      <c r="K955" s="42" t="str"/>
      <c r="L955" s="42" t="str"/>
      <c r="M955" s="42" t="str"/>
      <c r="N955" s="42" t="str"/>
      <c r="O955" s="42" t="inlineStr">
        <is>
          <t>現行公式資料でこの窓種のSAFE 30mil規格○/×を本Revisionでは直接取得できていない。推測しない。</t>
        </is>
      </c>
    </row>
    <row r="956">
      <c r="A956" s="42" t="inlineStr">
        <is>
          <t>SZ-SL-000955</t>
        </is>
      </c>
      <c r="B956" s="42" t="inlineStr">
        <is>
          <t>WT-SL-AGE-SAGE-FS</t>
        </is>
      </c>
      <c r="C956" s="42" t="inlineStr">
        <is>
          <t>上げ下げ窓FS</t>
        </is>
      </c>
      <c r="D956" s="42" t="str"/>
      <c r="E956" s="42" t="inlineStr">
        <is>
          <t>06007</t>
        </is>
      </c>
      <c r="F956" s="42" t="inlineStr">
        <is>
          <t>640</t>
        </is>
      </c>
      <c r="G956" s="42" t="inlineStr">
        <is>
          <t>770</t>
        </is>
      </c>
      <c r="H956" s="42" t="inlineStr">
        <is>
          <t>True</t>
        </is>
      </c>
      <c r="I956" s="42" t="inlineStr">
        <is>
          <t>NOT_EVALUATED</t>
        </is>
      </c>
      <c r="J956" s="42" t="inlineStr">
        <is>
          <t>NO_DIRECT_STANDARD_MATRIX_IN_RETRIEVED_SOURCE</t>
        </is>
      </c>
      <c r="K956" s="42" t="str"/>
      <c r="L956" s="42" t="str"/>
      <c r="M956" s="42" t="str"/>
      <c r="N956" s="42" t="str"/>
      <c r="O956" s="42" t="inlineStr">
        <is>
          <t>現行公式資料でこの窓種のSAFE 30mil規格○/×を本Revisionでは直接取得できていない。推測しない。</t>
        </is>
      </c>
    </row>
    <row r="957">
      <c r="A957" s="42" t="inlineStr">
        <is>
          <t>SZ-SL-000956</t>
        </is>
      </c>
      <c r="B957" s="42" t="inlineStr">
        <is>
          <t>WT-SL-AGE-SAGE-FS</t>
        </is>
      </c>
      <c r="C957" s="42" t="inlineStr">
        <is>
          <t>上げ下げ窓FS</t>
        </is>
      </c>
      <c r="D957" s="42" t="str"/>
      <c r="E957" s="42" t="inlineStr">
        <is>
          <t>06009</t>
        </is>
      </c>
      <c r="F957" s="42" t="inlineStr">
        <is>
          <t>640</t>
        </is>
      </c>
      <c r="G957" s="42" t="inlineStr">
        <is>
          <t>970</t>
        </is>
      </c>
      <c r="H957" s="42" t="inlineStr">
        <is>
          <t>True</t>
        </is>
      </c>
      <c r="I957" s="42" t="inlineStr">
        <is>
          <t>NOT_EVALUATED</t>
        </is>
      </c>
      <c r="J957" s="42" t="inlineStr">
        <is>
          <t>NO_DIRECT_STANDARD_MATRIX_IN_RETRIEVED_SOURCE</t>
        </is>
      </c>
      <c r="K957" s="42" t="str"/>
      <c r="L957" s="42" t="str"/>
      <c r="M957" s="42" t="str"/>
      <c r="N957" s="42" t="str"/>
      <c r="O957" s="42" t="inlineStr">
        <is>
          <t>現行公式資料でこの窓種のSAFE 30mil規格○/×を本Revisionでは直接取得できていない。推測しない。</t>
        </is>
      </c>
    </row>
    <row r="958">
      <c r="A958" s="42" t="inlineStr">
        <is>
          <t>SZ-SL-000957</t>
        </is>
      </c>
      <c r="B958" s="42" t="inlineStr">
        <is>
          <t>WT-SL-AGE-SAGE-FS</t>
        </is>
      </c>
      <c r="C958" s="42" t="inlineStr">
        <is>
          <t>上げ下げ窓FS</t>
        </is>
      </c>
      <c r="D958" s="42" t="str"/>
      <c r="E958" s="42" t="inlineStr">
        <is>
          <t>06011</t>
        </is>
      </c>
      <c r="F958" s="42" t="inlineStr">
        <is>
          <t>640</t>
        </is>
      </c>
      <c r="G958" s="42" t="inlineStr">
        <is>
          <t>1170</t>
        </is>
      </c>
      <c r="H958" s="42" t="inlineStr">
        <is>
          <t>True</t>
        </is>
      </c>
      <c r="I958" s="42" t="inlineStr">
        <is>
          <t>NOT_EVALUATED</t>
        </is>
      </c>
      <c r="J958" s="42" t="inlineStr">
        <is>
          <t>NO_DIRECT_STANDARD_MATRIX_IN_RETRIEVED_SOURCE</t>
        </is>
      </c>
      <c r="K958" s="42" t="str"/>
      <c r="L958" s="42" t="str"/>
      <c r="M958" s="42" t="str"/>
      <c r="N958" s="42" t="str"/>
      <c r="O958" s="42" t="inlineStr">
        <is>
          <t>現行公式資料でこの窓種のSAFE 30mil規格○/×を本Revisionでは直接取得できていない。推測しない。</t>
        </is>
      </c>
    </row>
    <row r="959">
      <c r="A959" s="42" t="inlineStr">
        <is>
          <t>SZ-SL-000958</t>
        </is>
      </c>
      <c r="B959" s="42" t="inlineStr">
        <is>
          <t>WT-SL-AGE-SAGE-FS</t>
        </is>
      </c>
      <c r="C959" s="42" t="inlineStr">
        <is>
          <t>上げ下げ窓FS</t>
        </is>
      </c>
      <c r="D959" s="42" t="str"/>
      <c r="E959" s="42" t="inlineStr">
        <is>
          <t>06013</t>
        </is>
      </c>
      <c r="F959" s="42" t="inlineStr">
        <is>
          <t>640</t>
        </is>
      </c>
      <c r="G959" s="42" t="inlineStr">
        <is>
          <t>1370</t>
        </is>
      </c>
      <c r="H959" s="42" t="inlineStr">
        <is>
          <t>True</t>
        </is>
      </c>
      <c r="I959" s="42" t="inlineStr">
        <is>
          <t>NOT_EVALUATED</t>
        </is>
      </c>
      <c r="J959" s="42" t="inlineStr">
        <is>
          <t>NO_DIRECT_STANDARD_MATRIX_IN_RETRIEVED_SOURCE</t>
        </is>
      </c>
      <c r="K959" s="42" t="str"/>
      <c r="L959" s="42" t="str"/>
      <c r="M959" s="42" t="str"/>
      <c r="N959" s="42" t="str"/>
      <c r="O959" s="42" t="inlineStr">
        <is>
          <t>現行公式資料でこの窓種のSAFE 30mil規格○/×を本Revisionでは直接取得できていない。推測しない。</t>
        </is>
      </c>
    </row>
    <row r="960">
      <c r="A960" s="42" t="inlineStr">
        <is>
          <t>SZ-SL-000959</t>
        </is>
      </c>
      <c r="B960" s="42" t="inlineStr">
        <is>
          <t>WT-SL-AGE-SAGE-FS</t>
        </is>
      </c>
      <c r="C960" s="42" t="inlineStr">
        <is>
          <t>上げ下げ窓FS</t>
        </is>
      </c>
      <c r="D960" s="42" t="str"/>
      <c r="E960" s="42" t="inlineStr">
        <is>
          <t>06015</t>
        </is>
      </c>
      <c r="F960" s="42" t="inlineStr">
        <is>
          <t>640</t>
        </is>
      </c>
      <c r="G960" s="42" t="inlineStr">
        <is>
          <t>1570</t>
        </is>
      </c>
      <c r="H960" s="42" t="inlineStr">
        <is>
          <t>True</t>
        </is>
      </c>
      <c r="I960" s="42" t="inlineStr">
        <is>
          <t>NOT_EVALUATED</t>
        </is>
      </c>
      <c r="J960" s="42" t="inlineStr">
        <is>
          <t>NO_DIRECT_STANDARD_MATRIX_IN_RETRIEVED_SOURCE</t>
        </is>
      </c>
      <c r="K960" s="42" t="str"/>
      <c r="L960" s="42" t="str"/>
      <c r="M960" s="42" t="str"/>
      <c r="N960" s="42" t="str"/>
      <c r="O960" s="42" t="inlineStr">
        <is>
          <t>現行公式資料でこの窓種のSAFE 30mil規格○/×を本Revisionでは直接取得できていない。推測しない。</t>
        </is>
      </c>
    </row>
    <row r="961">
      <c r="A961" s="42" t="inlineStr">
        <is>
          <t>SZ-SL-000960</t>
        </is>
      </c>
      <c r="B961" s="42" t="inlineStr">
        <is>
          <t>WT-SL-AGE-SAGE-FS</t>
        </is>
      </c>
      <c r="C961" s="42" t="inlineStr">
        <is>
          <t>上げ下げ窓FS</t>
        </is>
      </c>
      <c r="D961" s="42" t="str"/>
      <c r="E961" s="42" t="inlineStr">
        <is>
          <t>06907</t>
        </is>
      </c>
      <c r="F961" s="42" t="inlineStr">
        <is>
          <t>730</t>
        </is>
      </c>
      <c r="G961" s="42" t="inlineStr">
        <is>
          <t>770</t>
        </is>
      </c>
      <c r="H961" s="42" t="inlineStr">
        <is>
          <t>True</t>
        </is>
      </c>
      <c r="I961" s="42" t="inlineStr">
        <is>
          <t>NOT_EVALUATED</t>
        </is>
      </c>
      <c r="J961" s="42" t="inlineStr">
        <is>
          <t>NO_DIRECT_STANDARD_MATRIX_IN_RETRIEVED_SOURCE</t>
        </is>
      </c>
      <c r="K961" s="42" t="str"/>
      <c r="L961" s="42" t="str"/>
      <c r="M961" s="42" t="str"/>
      <c r="N961" s="42" t="str"/>
      <c r="O961" s="42" t="inlineStr">
        <is>
          <t>現行公式資料でこの窓種のSAFE 30mil規格○/×を本Revisionでは直接取得できていない。推測しない。</t>
        </is>
      </c>
    </row>
    <row r="962">
      <c r="A962" s="42" t="inlineStr">
        <is>
          <t>SZ-SL-000961</t>
        </is>
      </c>
      <c r="B962" s="42" t="inlineStr">
        <is>
          <t>WT-SL-AGE-SAGE-FS</t>
        </is>
      </c>
      <c r="C962" s="42" t="inlineStr">
        <is>
          <t>上げ下げ窓FS</t>
        </is>
      </c>
      <c r="D962" s="42" t="str"/>
      <c r="E962" s="42" t="inlineStr">
        <is>
          <t>06909</t>
        </is>
      </c>
      <c r="F962" s="42" t="inlineStr">
        <is>
          <t>730</t>
        </is>
      </c>
      <c r="G962" s="42" t="inlineStr">
        <is>
          <t>970</t>
        </is>
      </c>
      <c r="H962" s="42" t="inlineStr">
        <is>
          <t>True</t>
        </is>
      </c>
      <c r="I962" s="42" t="inlineStr">
        <is>
          <t>NOT_EVALUATED</t>
        </is>
      </c>
      <c r="J962" s="42" t="inlineStr">
        <is>
          <t>NO_DIRECT_STANDARD_MATRIX_IN_RETRIEVED_SOURCE</t>
        </is>
      </c>
      <c r="K962" s="42" t="str"/>
      <c r="L962" s="42" t="str"/>
      <c r="M962" s="42" t="str"/>
      <c r="N962" s="42" t="str"/>
      <c r="O962" s="42" t="inlineStr">
        <is>
          <t>現行公式資料でこの窓種のSAFE 30mil規格○/×を本Revisionでは直接取得できていない。推測しない。</t>
        </is>
      </c>
    </row>
    <row r="963">
      <c r="A963" s="42" t="inlineStr">
        <is>
          <t>SZ-SL-000962</t>
        </is>
      </c>
      <c r="B963" s="42" t="inlineStr">
        <is>
          <t>WT-SL-AGE-SAGE-FS</t>
        </is>
      </c>
      <c r="C963" s="42" t="inlineStr">
        <is>
          <t>上げ下げ窓FS</t>
        </is>
      </c>
      <c r="D963" s="42" t="str"/>
      <c r="E963" s="42" t="inlineStr">
        <is>
          <t>06911</t>
        </is>
      </c>
      <c r="F963" s="42" t="inlineStr">
        <is>
          <t>730</t>
        </is>
      </c>
      <c r="G963" s="42" t="inlineStr">
        <is>
          <t>1170</t>
        </is>
      </c>
      <c r="H963" s="42" t="inlineStr">
        <is>
          <t>True</t>
        </is>
      </c>
      <c r="I963" s="42" t="inlineStr">
        <is>
          <t>NOT_EVALUATED</t>
        </is>
      </c>
      <c r="J963" s="42" t="inlineStr">
        <is>
          <t>NO_DIRECT_STANDARD_MATRIX_IN_RETRIEVED_SOURCE</t>
        </is>
      </c>
      <c r="K963" s="42" t="str"/>
      <c r="L963" s="42" t="str"/>
      <c r="M963" s="42" t="str"/>
      <c r="N963" s="42" t="str"/>
      <c r="O963" s="42" t="inlineStr">
        <is>
          <t>現行公式資料でこの窓種のSAFE 30mil規格○/×を本Revisionでは直接取得できていない。推測しない。</t>
        </is>
      </c>
    </row>
    <row r="964">
      <c r="A964" s="42" t="inlineStr">
        <is>
          <t>SZ-SL-000963</t>
        </is>
      </c>
      <c r="B964" s="42" t="inlineStr">
        <is>
          <t>WT-SL-AGE-SAGE-FS</t>
        </is>
      </c>
      <c r="C964" s="42" t="inlineStr">
        <is>
          <t>上げ下げ窓FS</t>
        </is>
      </c>
      <c r="D964" s="42" t="str"/>
      <c r="E964" s="42" t="inlineStr">
        <is>
          <t>06913</t>
        </is>
      </c>
      <c r="F964" s="42" t="inlineStr">
        <is>
          <t>730</t>
        </is>
      </c>
      <c r="G964" s="42" t="inlineStr">
        <is>
          <t>1370</t>
        </is>
      </c>
      <c r="H964" s="42" t="inlineStr">
        <is>
          <t>True</t>
        </is>
      </c>
      <c r="I964" s="42" t="inlineStr">
        <is>
          <t>NOT_EVALUATED</t>
        </is>
      </c>
      <c r="J964" s="42" t="inlineStr">
        <is>
          <t>NO_DIRECT_STANDARD_MATRIX_IN_RETRIEVED_SOURCE</t>
        </is>
      </c>
      <c r="K964" s="42" t="str"/>
      <c r="L964" s="42" t="str"/>
      <c r="M964" s="42" t="str"/>
      <c r="N964" s="42" t="str"/>
      <c r="O964" s="42" t="inlineStr">
        <is>
          <t>現行公式資料でこの窓種のSAFE 30mil規格○/×を本Revisionでは直接取得できていない。推測しない。</t>
        </is>
      </c>
    </row>
    <row r="965">
      <c r="A965" s="42" t="inlineStr">
        <is>
          <t>SZ-SL-000964</t>
        </is>
      </c>
      <c r="B965" s="42" t="inlineStr">
        <is>
          <t>WT-SL-AGE-SAGE-FS</t>
        </is>
      </c>
      <c r="C965" s="42" t="inlineStr">
        <is>
          <t>上げ下げ窓FS</t>
        </is>
      </c>
      <c r="D965" s="42" t="str"/>
      <c r="E965" s="42" t="inlineStr">
        <is>
          <t>06915</t>
        </is>
      </c>
      <c r="F965" s="42" t="inlineStr">
        <is>
          <t>730</t>
        </is>
      </c>
      <c r="G965" s="42" t="inlineStr">
        <is>
          <t>1570</t>
        </is>
      </c>
      <c r="H965" s="42" t="inlineStr">
        <is>
          <t>True</t>
        </is>
      </c>
      <c r="I965" s="42" t="inlineStr">
        <is>
          <t>NOT_EVALUATED</t>
        </is>
      </c>
      <c r="J965" s="42" t="inlineStr">
        <is>
          <t>NO_DIRECT_STANDARD_MATRIX_IN_RETRIEVED_SOURCE</t>
        </is>
      </c>
      <c r="K965" s="42" t="str"/>
      <c r="L965" s="42" t="str"/>
      <c r="M965" s="42" t="str"/>
      <c r="N965" s="42" t="str"/>
      <c r="O965" s="42" t="inlineStr">
        <is>
          <t>現行公式資料でこの窓種のSAFE 30mil規格○/×を本Revisionでは直接取得できていない。推測しない。</t>
        </is>
      </c>
    </row>
    <row r="966">
      <c r="A966" s="42" t="inlineStr">
        <is>
          <t>SZ-SL-000965</t>
        </is>
      </c>
      <c r="B966" s="42" t="inlineStr">
        <is>
          <t>WT-SL-MENKOSHI-AGE-FS</t>
        </is>
      </c>
      <c r="C966" s="42" t="inlineStr">
        <is>
          <t>面格子付上げ下げ窓FS</t>
        </is>
      </c>
      <c r="D966" s="42" t="inlineStr">
        <is>
          <t>SP-SL-AGE-GRILLE-DIA</t>
        </is>
      </c>
      <c r="E966" s="42" t="inlineStr">
        <is>
          <t>02607</t>
        </is>
      </c>
      <c r="F966" s="42" t="inlineStr">
        <is>
          <t>300</t>
        </is>
      </c>
      <c r="G966" s="42" t="inlineStr">
        <is>
          <t>770</t>
        </is>
      </c>
      <c r="H966" s="42" t="inlineStr">
        <is>
          <t>True</t>
        </is>
      </c>
      <c r="I966" s="42" t="inlineStr">
        <is>
          <t>NOT_EVALUATED</t>
        </is>
      </c>
      <c r="J966" s="42" t="inlineStr">
        <is>
          <t>NO_DIRECT_STANDARD_MATRIX_IN_RETRIEVED_SOURCE</t>
        </is>
      </c>
      <c r="K966" s="42" t="str"/>
      <c r="L966" s="42" t="str"/>
      <c r="M966" s="42" t="str"/>
      <c r="N966" s="42" t="str"/>
      <c r="O966" s="42" t="inlineStr">
        <is>
          <t>現行公式資料でこの窓種のSAFE 30mil規格○/×を本Revisionでは直接取得できていない。推測しない。</t>
        </is>
      </c>
    </row>
    <row r="967">
      <c r="A967" s="42" t="inlineStr">
        <is>
          <t>SZ-SL-000966</t>
        </is>
      </c>
      <c r="B967" s="42" t="inlineStr">
        <is>
          <t>WT-SL-MENKOSHI-AGE-FS</t>
        </is>
      </c>
      <c r="C967" s="42" t="inlineStr">
        <is>
          <t>面格子付上げ下げ窓FS</t>
        </is>
      </c>
      <c r="D967" s="42" t="inlineStr">
        <is>
          <t>SP-SL-AGE-GRILLE-DIA</t>
        </is>
      </c>
      <c r="E967" s="42" t="inlineStr">
        <is>
          <t>03607</t>
        </is>
      </c>
      <c r="F967" s="42" t="inlineStr">
        <is>
          <t>405</t>
        </is>
      </c>
      <c r="G967" s="42" t="inlineStr">
        <is>
          <t>770</t>
        </is>
      </c>
      <c r="H967" s="42" t="inlineStr">
        <is>
          <t>True</t>
        </is>
      </c>
      <c r="I967" s="42" t="inlineStr">
        <is>
          <t>NOT_EVALUATED</t>
        </is>
      </c>
      <c r="J967" s="42" t="inlineStr">
        <is>
          <t>NO_DIRECT_STANDARD_MATRIX_IN_RETRIEVED_SOURCE</t>
        </is>
      </c>
      <c r="K967" s="42" t="str"/>
      <c r="L967" s="42" t="str"/>
      <c r="M967" s="42" t="str"/>
      <c r="N967" s="42" t="str"/>
      <c r="O967" s="42" t="inlineStr">
        <is>
          <t>現行公式資料でこの窓種のSAFE 30mil規格○/×を本Revisionでは直接取得できていない。推測しない。</t>
        </is>
      </c>
    </row>
    <row r="968">
      <c r="A968" s="42" t="inlineStr">
        <is>
          <t>SZ-SL-000967</t>
        </is>
      </c>
      <c r="B968" s="42" t="inlineStr">
        <is>
          <t>WT-SL-MENKOSHI-AGE-FS</t>
        </is>
      </c>
      <c r="C968" s="42" t="inlineStr">
        <is>
          <t>面格子付上げ下げ窓FS</t>
        </is>
      </c>
      <c r="D968" s="42" t="inlineStr">
        <is>
          <t>SP-SL-AGE-GRILLE-DIA</t>
        </is>
      </c>
      <c r="E968" s="42" t="inlineStr">
        <is>
          <t>06007</t>
        </is>
      </c>
      <c r="F968" s="42" t="inlineStr">
        <is>
          <t>640</t>
        </is>
      </c>
      <c r="G968" s="42" t="inlineStr">
        <is>
          <t>770</t>
        </is>
      </c>
      <c r="H968" s="42" t="inlineStr">
        <is>
          <t>True</t>
        </is>
      </c>
      <c r="I968" s="42" t="inlineStr">
        <is>
          <t>NOT_EVALUATED</t>
        </is>
      </c>
      <c r="J968" s="42" t="inlineStr">
        <is>
          <t>NO_DIRECT_STANDARD_MATRIX_IN_RETRIEVED_SOURCE</t>
        </is>
      </c>
      <c r="K968" s="42" t="str"/>
      <c r="L968" s="42" t="str"/>
      <c r="M968" s="42" t="str"/>
      <c r="N968" s="42" t="str"/>
      <c r="O968" s="42" t="inlineStr">
        <is>
          <t>現行公式資料でこの窓種のSAFE 30mil規格○/×を本Revisionでは直接取得できていない。推測しない。</t>
        </is>
      </c>
    </row>
    <row r="969">
      <c r="A969" s="42" t="inlineStr">
        <is>
          <t>SZ-SL-000968</t>
        </is>
      </c>
      <c r="B969" s="42" t="inlineStr">
        <is>
          <t>WT-SL-MENKOSHI-AGE-FS</t>
        </is>
      </c>
      <c r="C969" s="42" t="inlineStr">
        <is>
          <t>面格子付上げ下げ窓FS</t>
        </is>
      </c>
      <c r="D969" s="42" t="inlineStr">
        <is>
          <t>SP-SL-AGE-GRILLE-DIA</t>
        </is>
      </c>
      <c r="E969" s="42" t="inlineStr">
        <is>
          <t>06907</t>
        </is>
      </c>
      <c r="F969" s="42" t="inlineStr">
        <is>
          <t>730</t>
        </is>
      </c>
      <c r="G969" s="42" t="inlineStr">
        <is>
          <t>770</t>
        </is>
      </c>
      <c r="H969" s="42" t="inlineStr">
        <is>
          <t>True</t>
        </is>
      </c>
      <c r="I969" s="42" t="inlineStr">
        <is>
          <t>NOT_EVALUATED</t>
        </is>
      </c>
      <c r="J969" s="42" t="inlineStr">
        <is>
          <t>NO_DIRECT_STANDARD_MATRIX_IN_RETRIEVED_SOURCE</t>
        </is>
      </c>
      <c r="K969" s="42" t="str"/>
      <c r="L969" s="42" t="str"/>
      <c r="M969" s="42" t="str"/>
      <c r="N969" s="42" t="str"/>
      <c r="O969" s="42" t="inlineStr">
        <is>
          <t>現行公式資料でこの窓種のSAFE 30mil規格○/×を本Revisionでは直接取得できていない。推測しない。</t>
        </is>
      </c>
    </row>
    <row r="970">
      <c r="A970" s="42" t="inlineStr">
        <is>
          <t>SZ-SL-000969</t>
        </is>
      </c>
      <c r="B970" s="42" t="inlineStr">
        <is>
          <t>WT-SL-MENKOSHI-AGE-FS</t>
        </is>
      </c>
      <c r="C970" s="42" t="inlineStr">
        <is>
          <t>面格子付上げ下げ窓FS</t>
        </is>
      </c>
      <c r="D970" s="42" t="inlineStr">
        <is>
          <t>SP-SL-AGE-GRILLE-DIA</t>
        </is>
      </c>
      <c r="E970" s="42" t="inlineStr">
        <is>
          <t>07407</t>
        </is>
      </c>
      <c r="F970" s="42" t="inlineStr">
        <is>
          <t>780</t>
        </is>
      </c>
      <c r="G970" s="42" t="inlineStr">
        <is>
          <t>770</t>
        </is>
      </c>
      <c r="H970" s="42" t="inlineStr">
        <is>
          <t>True</t>
        </is>
      </c>
      <c r="I970" s="42" t="inlineStr">
        <is>
          <t>NOT_EVALUATED</t>
        </is>
      </c>
      <c r="J970" s="42" t="inlineStr">
        <is>
          <t>NO_DIRECT_STANDARD_MATRIX_IN_RETRIEVED_SOURCE</t>
        </is>
      </c>
      <c r="K970" s="42" t="str"/>
      <c r="L970" s="42" t="str"/>
      <c r="M970" s="42" t="str"/>
      <c r="N970" s="42" t="str"/>
      <c r="O970" s="42" t="inlineStr">
        <is>
          <t>現行公式資料でこの窓種のSAFE 30mil規格○/×を本Revisionでは直接取得できていない。推測しない。</t>
        </is>
      </c>
    </row>
    <row r="971">
      <c r="A971" s="42" t="inlineStr">
        <is>
          <t>SZ-SL-000970</t>
        </is>
      </c>
      <c r="B971" s="42" t="inlineStr">
        <is>
          <t>WT-SL-MENKOSHI-AGE-FS</t>
        </is>
      </c>
      <c r="C971" s="42" t="inlineStr">
        <is>
          <t>面格子付上げ下げ窓FS</t>
        </is>
      </c>
      <c r="D971" s="42" t="inlineStr">
        <is>
          <t>SP-SL-AGE-GRILLE-H</t>
        </is>
      </c>
      <c r="E971" s="42" t="inlineStr">
        <is>
          <t>02607</t>
        </is>
      </c>
      <c r="F971" s="42" t="inlineStr">
        <is>
          <t>300</t>
        </is>
      </c>
      <c r="G971" s="42" t="inlineStr">
        <is>
          <t>770</t>
        </is>
      </c>
      <c r="H971" s="42" t="inlineStr">
        <is>
          <t>True</t>
        </is>
      </c>
      <c r="I971" s="42" t="inlineStr">
        <is>
          <t>NOT_EVALUATED</t>
        </is>
      </c>
      <c r="J971" s="42" t="inlineStr">
        <is>
          <t>NO_DIRECT_STANDARD_MATRIX_IN_RETRIEVED_SOURCE</t>
        </is>
      </c>
      <c r="K971" s="42" t="str"/>
      <c r="L971" s="42" t="str"/>
      <c r="M971" s="42" t="str"/>
      <c r="N971" s="42" t="str"/>
      <c r="O971" s="42" t="inlineStr">
        <is>
          <t>現行公式資料でこの窓種のSAFE 30mil規格○/×を本Revisionでは直接取得できていない。推測しない。</t>
        </is>
      </c>
    </row>
    <row r="972">
      <c r="A972" s="42" t="inlineStr">
        <is>
          <t>SZ-SL-000971</t>
        </is>
      </c>
      <c r="B972" s="42" t="inlineStr">
        <is>
          <t>WT-SL-MENKOSHI-AGE-FS</t>
        </is>
      </c>
      <c r="C972" s="42" t="inlineStr">
        <is>
          <t>面格子付上げ下げ窓FS</t>
        </is>
      </c>
      <c r="D972" s="42" t="inlineStr">
        <is>
          <t>SP-SL-AGE-GRILLE-H</t>
        </is>
      </c>
      <c r="E972" s="42" t="inlineStr">
        <is>
          <t>03607</t>
        </is>
      </c>
      <c r="F972" s="42" t="inlineStr">
        <is>
          <t>405</t>
        </is>
      </c>
      <c r="G972" s="42" t="inlineStr">
        <is>
          <t>770</t>
        </is>
      </c>
      <c r="H972" s="42" t="inlineStr">
        <is>
          <t>True</t>
        </is>
      </c>
      <c r="I972" s="42" t="inlineStr">
        <is>
          <t>NOT_EVALUATED</t>
        </is>
      </c>
      <c r="J972" s="42" t="inlineStr">
        <is>
          <t>NO_DIRECT_STANDARD_MATRIX_IN_RETRIEVED_SOURCE</t>
        </is>
      </c>
      <c r="K972" s="42" t="str"/>
      <c r="L972" s="42" t="str"/>
      <c r="M972" s="42" t="str"/>
      <c r="N972" s="42" t="str"/>
      <c r="O972" s="42" t="inlineStr">
        <is>
          <t>現行公式資料でこの窓種のSAFE 30mil規格○/×を本Revisionでは直接取得できていない。推測しない。</t>
        </is>
      </c>
    </row>
    <row r="973">
      <c r="A973" s="42" t="inlineStr">
        <is>
          <t>SZ-SL-000972</t>
        </is>
      </c>
      <c r="B973" s="42" t="inlineStr">
        <is>
          <t>WT-SL-MENKOSHI-AGE-FS</t>
        </is>
      </c>
      <c r="C973" s="42" t="inlineStr">
        <is>
          <t>面格子付上げ下げ窓FS</t>
        </is>
      </c>
      <c r="D973" s="42" t="inlineStr">
        <is>
          <t>SP-SL-AGE-GRILLE-H</t>
        </is>
      </c>
      <c r="E973" s="42" t="inlineStr">
        <is>
          <t>06007</t>
        </is>
      </c>
      <c r="F973" s="42" t="inlineStr">
        <is>
          <t>640</t>
        </is>
      </c>
      <c r="G973" s="42" t="inlineStr">
        <is>
          <t>770</t>
        </is>
      </c>
      <c r="H973" s="42" t="inlineStr">
        <is>
          <t>True</t>
        </is>
      </c>
      <c r="I973" s="42" t="inlineStr">
        <is>
          <t>NOT_EVALUATED</t>
        </is>
      </c>
      <c r="J973" s="42" t="inlineStr">
        <is>
          <t>NO_DIRECT_STANDARD_MATRIX_IN_RETRIEVED_SOURCE</t>
        </is>
      </c>
      <c r="K973" s="42" t="str"/>
      <c r="L973" s="42" t="str"/>
      <c r="M973" s="42" t="str"/>
      <c r="N973" s="42" t="str"/>
      <c r="O973" s="42" t="inlineStr">
        <is>
          <t>現行公式資料でこの窓種のSAFE 30mil規格○/×を本Revisionでは直接取得できていない。推測しない。</t>
        </is>
      </c>
    </row>
    <row r="974">
      <c r="A974" s="42" t="inlineStr">
        <is>
          <t>SZ-SL-000973</t>
        </is>
      </c>
      <c r="B974" s="42" t="inlineStr">
        <is>
          <t>WT-SL-MENKOSHI-AGE-FS</t>
        </is>
      </c>
      <c r="C974" s="42" t="inlineStr">
        <is>
          <t>面格子付上げ下げ窓FS</t>
        </is>
      </c>
      <c r="D974" s="42" t="inlineStr">
        <is>
          <t>SP-SL-AGE-GRILLE-H</t>
        </is>
      </c>
      <c r="E974" s="42" t="inlineStr">
        <is>
          <t>06907</t>
        </is>
      </c>
      <c r="F974" s="42" t="inlineStr">
        <is>
          <t>730</t>
        </is>
      </c>
      <c r="G974" s="42" t="inlineStr">
        <is>
          <t>770</t>
        </is>
      </c>
      <c r="H974" s="42" t="inlineStr">
        <is>
          <t>True</t>
        </is>
      </c>
      <c r="I974" s="42" t="inlineStr">
        <is>
          <t>NOT_EVALUATED</t>
        </is>
      </c>
      <c r="J974" s="42" t="inlineStr">
        <is>
          <t>NO_DIRECT_STANDARD_MATRIX_IN_RETRIEVED_SOURCE</t>
        </is>
      </c>
      <c r="K974" s="42" t="str"/>
      <c r="L974" s="42" t="str"/>
      <c r="M974" s="42" t="str"/>
      <c r="N974" s="42" t="str"/>
      <c r="O974" s="42" t="inlineStr">
        <is>
          <t>現行公式資料でこの窓種のSAFE 30mil規格○/×を本Revisionでは直接取得できていない。推測しない。</t>
        </is>
      </c>
    </row>
    <row r="975">
      <c r="A975" s="42" t="inlineStr">
        <is>
          <t>SZ-SL-000974</t>
        </is>
      </c>
      <c r="B975" s="42" t="inlineStr">
        <is>
          <t>WT-SL-MENKOSHI-AGE-FS</t>
        </is>
      </c>
      <c r="C975" s="42" t="inlineStr">
        <is>
          <t>面格子付上げ下げ窓FS</t>
        </is>
      </c>
      <c r="D975" s="42" t="inlineStr">
        <is>
          <t>SP-SL-AGE-GRILLE-H</t>
        </is>
      </c>
      <c r="E975" s="42" t="inlineStr">
        <is>
          <t>07407</t>
        </is>
      </c>
      <c r="F975" s="42" t="inlineStr">
        <is>
          <t>780</t>
        </is>
      </c>
      <c r="G975" s="42" t="inlineStr">
        <is>
          <t>770</t>
        </is>
      </c>
      <c r="H975" s="42" t="inlineStr">
        <is>
          <t>True</t>
        </is>
      </c>
      <c r="I975" s="42" t="inlineStr">
        <is>
          <t>NOT_EVALUATED</t>
        </is>
      </c>
      <c r="J975" s="42" t="inlineStr">
        <is>
          <t>NO_DIRECT_STANDARD_MATRIX_IN_RETRIEVED_SOURCE</t>
        </is>
      </c>
      <c r="K975" s="42" t="str"/>
      <c r="L975" s="42" t="str"/>
      <c r="M975" s="42" t="str"/>
      <c r="N975" s="42" t="str"/>
      <c r="O975" s="42" t="inlineStr">
        <is>
          <t>現行公式資料でこの窓種のSAFE 30mil規格○/×を本Revisionでは直接取得できていない。推測しない。</t>
        </is>
      </c>
    </row>
    <row r="976">
      <c r="A976" s="42" t="inlineStr">
        <is>
          <t>SZ-SL-000975</t>
        </is>
      </c>
      <c r="B976" s="42" t="inlineStr">
        <is>
          <t>WT-SL-MENKOSHI-AGE-FS</t>
        </is>
      </c>
      <c r="C976" s="42" t="inlineStr">
        <is>
          <t>面格子付上げ下げ窓FS</t>
        </is>
      </c>
      <c r="D976" s="42" t="inlineStr">
        <is>
          <t>SP-SL-AGE-GRILLE-IGETA</t>
        </is>
      </c>
      <c r="E976" s="42" t="inlineStr">
        <is>
          <t>02607</t>
        </is>
      </c>
      <c r="F976" s="42" t="inlineStr">
        <is>
          <t>300</t>
        </is>
      </c>
      <c r="G976" s="42" t="inlineStr">
        <is>
          <t>770</t>
        </is>
      </c>
      <c r="H976" s="42" t="inlineStr">
        <is>
          <t>True</t>
        </is>
      </c>
      <c r="I976" s="42" t="inlineStr">
        <is>
          <t>NOT_EVALUATED</t>
        </is>
      </c>
      <c r="J976" s="42" t="inlineStr">
        <is>
          <t>NO_DIRECT_STANDARD_MATRIX_IN_RETRIEVED_SOURCE</t>
        </is>
      </c>
      <c r="K976" s="42" t="str"/>
      <c r="L976" s="42" t="str"/>
      <c r="M976" s="42" t="str"/>
      <c r="N976" s="42" t="str"/>
      <c r="O976" s="42" t="inlineStr">
        <is>
          <t>現行公式資料でこの窓種のSAFE 30mil規格○/×を本Revisionでは直接取得できていない。推測しない。</t>
        </is>
      </c>
    </row>
    <row r="977">
      <c r="A977" s="42" t="inlineStr">
        <is>
          <t>SZ-SL-000976</t>
        </is>
      </c>
      <c r="B977" s="42" t="inlineStr">
        <is>
          <t>WT-SL-MENKOSHI-AGE-FS</t>
        </is>
      </c>
      <c r="C977" s="42" t="inlineStr">
        <is>
          <t>面格子付上げ下げ窓FS</t>
        </is>
      </c>
      <c r="D977" s="42" t="inlineStr">
        <is>
          <t>SP-SL-AGE-GRILLE-IGETA</t>
        </is>
      </c>
      <c r="E977" s="42" t="inlineStr">
        <is>
          <t>03607</t>
        </is>
      </c>
      <c r="F977" s="42" t="inlineStr">
        <is>
          <t>405</t>
        </is>
      </c>
      <c r="G977" s="42" t="inlineStr">
        <is>
          <t>770</t>
        </is>
      </c>
      <c r="H977" s="42" t="inlineStr">
        <is>
          <t>True</t>
        </is>
      </c>
      <c r="I977" s="42" t="inlineStr">
        <is>
          <t>NOT_EVALUATED</t>
        </is>
      </c>
      <c r="J977" s="42" t="inlineStr">
        <is>
          <t>NO_DIRECT_STANDARD_MATRIX_IN_RETRIEVED_SOURCE</t>
        </is>
      </c>
      <c r="K977" s="42" t="str"/>
      <c r="L977" s="42" t="str"/>
      <c r="M977" s="42" t="str"/>
      <c r="N977" s="42" t="str"/>
      <c r="O977" s="42" t="inlineStr">
        <is>
          <t>現行公式資料でこの窓種のSAFE 30mil規格○/×を本Revisionでは直接取得できていない。推測しない。</t>
        </is>
      </c>
    </row>
    <row r="978">
      <c r="A978" s="42" t="inlineStr">
        <is>
          <t>SZ-SL-000977</t>
        </is>
      </c>
      <c r="B978" s="42" t="inlineStr">
        <is>
          <t>WT-SL-MENKOSHI-AGE-FS</t>
        </is>
      </c>
      <c r="C978" s="42" t="inlineStr">
        <is>
          <t>面格子付上げ下げ窓FS</t>
        </is>
      </c>
      <c r="D978" s="42" t="inlineStr">
        <is>
          <t>SP-SL-AGE-GRILLE-IGETA</t>
        </is>
      </c>
      <c r="E978" s="42" t="inlineStr">
        <is>
          <t>06007</t>
        </is>
      </c>
      <c r="F978" s="42" t="inlineStr">
        <is>
          <t>640</t>
        </is>
      </c>
      <c r="G978" s="42" t="inlineStr">
        <is>
          <t>770</t>
        </is>
      </c>
      <c r="H978" s="42" t="inlineStr">
        <is>
          <t>True</t>
        </is>
      </c>
      <c r="I978" s="42" t="inlineStr">
        <is>
          <t>NOT_EVALUATED</t>
        </is>
      </c>
      <c r="J978" s="42" t="inlineStr">
        <is>
          <t>NO_DIRECT_STANDARD_MATRIX_IN_RETRIEVED_SOURCE</t>
        </is>
      </c>
      <c r="K978" s="42" t="str"/>
      <c r="L978" s="42" t="str"/>
      <c r="M978" s="42" t="str"/>
      <c r="N978" s="42" t="str"/>
      <c r="O978" s="42" t="inlineStr">
        <is>
          <t>現行公式資料でこの窓種のSAFE 30mil規格○/×を本Revisionでは直接取得できていない。推測しない。</t>
        </is>
      </c>
    </row>
    <row r="979">
      <c r="A979" s="42" t="inlineStr">
        <is>
          <t>SZ-SL-000978</t>
        </is>
      </c>
      <c r="B979" s="42" t="inlineStr">
        <is>
          <t>WT-SL-MENKOSHI-AGE-FS</t>
        </is>
      </c>
      <c r="C979" s="42" t="inlineStr">
        <is>
          <t>面格子付上げ下げ窓FS</t>
        </is>
      </c>
      <c r="D979" s="42" t="inlineStr">
        <is>
          <t>SP-SL-AGE-GRILLE-IGETA</t>
        </is>
      </c>
      <c r="E979" s="42" t="inlineStr">
        <is>
          <t>06907</t>
        </is>
      </c>
      <c r="F979" s="42" t="inlineStr">
        <is>
          <t>730</t>
        </is>
      </c>
      <c r="G979" s="42" t="inlineStr">
        <is>
          <t>770</t>
        </is>
      </c>
      <c r="H979" s="42" t="inlineStr">
        <is>
          <t>True</t>
        </is>
      </c>
      <c r="I979" s="42" t="inlineStr">
        <is>
          <t>NOT_EVALUATED</t>
        </is>
      </c>
      <c r="J979" s="42" t="inlineStr">
        <is>
          <t>NO_DIRECT_STANDARD_MATRIX_IN_RETRIEVED_SOURCE</t>
        </is>
      </c>
      <c r="K979" s="42" t="str"/>
      <c r="L979" s="42" t="str"/>
      <c r="M979" s="42" t="str"/>
      <c r="N979" s="42" t="str"/>
      <c r="O979" s="42" t="inlineStr">
        <is>
          <t>現行公式資料でこの窓種のSAFE 30mil規格○/×を本Revisionでは直接取得できていない。推測しない。</t>
        </is>
      </c>
    </row>
    <row r="980">
      <c r="A980" s="42" t="inlineStr">
        <is>
          <t>SZ-SL-000979</t>
        </is>
      </c>
      <c r="B980" s="42" t="inlineStr">
        <is>
          <t>WT-SL-MENKOSHI-AGE-FS</t>
        </is>
      </c>
      <c r="C980" s="42" t="inlineStr">
        <is>
          <t>面格子付上げ下げ窓FS</t>
        </is>
      </c>
      <c r="D980" s="42" t="inlineStr">
        <is>
          <t>SP-SL-AGE-GRILLE-IGETA</t>
        </is>
      </c>
      <c r="E980" s="42" t="inlineStr">
        <is>
          <t>07407</t>
        </is>
      </c>
      <c r="F980" s="42" t="inlineStr">
        <is>
          <t>780</t>
        </is>
      </c>
      <c r="G980" s="42" t="inlineStr">
        <is>
          <t>770</t>
        </is>
      </c>
      <c r="H980" s="42" t="inlineStr">
        <is>
          <t>True</t>
        </is>
      </c>
      <c r="I980" s="42" t="inlineStr">
        <is>
          <t>NOT_EVALUATED</t>
        </is>
      </c>
      <c r="J980" s="42" t="inlineStr">
        <is>
          <t>NO_DIRECT_STANDARD_MATRIX_IN_RETRIEVED_SOURCE</t>
        </is>
      </c>
      <c r="K980" s="42" t="str"/>
      <c r="L980" s="42" t="str"/>
      <c r="M980" s="42" t="str"/>
      <c r="N980" s="42" t="str"/>
      <c r="O980" s="42" t="inlineStr">
        <is>
          <t>現行公式資料でこの窓種のSAFE 30mil規格○/×を本Revisionでは直接取得できていない。推測しない。</t>
        </is>
      </c>
    </row>
    <row r="981">
      <c r="A981" s="42" t="inlineStr">
        <is>
          <t>SZ-SL-000980</t>
        </is>
      </c>
      <c r="B981" s="42" t="inlineStr">
        <is>
          <t>WT-SL-MENKOSHI-AGE-FS</t>
        </is>
      </c>
      <c r="C981" s="42" t="inlineStr">
        <is>
          <t>面格子付上げ下げ窓FS</t>
        </is>
      </c>
      <c r="D981" s="42" t="inlineStr">
        <is>
          <t>SP-SL-AGE-GRILLE-V</t>
        </is>
      </c>
      <c r="E981" s="42" t="inlineStr">
        <is>
          <t>02607</t>
        </is>
      </c>
      <c r="F981" s="42" t="inlineStr">
        <is>
          <t>300</t>
        </is>
      </c>
      <c r="G981" s="42" t="inlineStr">
        <is>
          <t>770</t>
        </is>
      </c>
      <c r="H981" s="42" t="inlineStr">
        <is>
          <t>True</t>
        </is>
      </c>
      <c r="I981" s="42" t="inlineStr">
        <is>
          <t>NOT_EVALUATED</t>
        </is>
      </c>
      <c r="J981" s="42" t="inlineStr">
        <is>
          <t>NO_DIRECT_STANDARD_MATRIX_IN_RETRIEVED_SOURCE</t>
        </is>
      </c>
      <c r="K981" s="42" t="str"/>
      <c r="L981" s="42" t="str"/>
      <c r="M981" s="42" t="str"/>
      <c r="N981" s="42" t="str"/>
      <c r="O981" s="42" t="inlineStr">
        <is>
          <t>現行公式資料でこの窓種のSAFE 30mil規格○/×を本Revisionでは直接取得できていない。推測しない。</t>
        </is>
      </c>
    </row>
    <row r="982">
      <c r="A982" s="42" t="inlineStr">
        <is>
          <t>SZ-SL-000981</t>
        </is>
      </c>
      <c r="B982" s="42" t="inlineStr">
        <is>
          <t>WT-SL-MENKOSHI-AGE-FS</t>
        </is>
      </c>
      <c r="C982" s="42" t="inlineStr">
        <is>
          <t>面格子付上げ下げ窓FS</t>
        </is>
      </c>
      <c r="D982" s="42" t="inlineStr">
        <is>
          <t>SP-SL-AGE-GRILLE-V</t>
        </is>
      </c>
      <c r="E982" s="42" t="inlineStr">
        <is>
          <t>03607</t>
        </is>
      </c>
      <c r="F982" s="42" t="inlineStr">
        <is>
          <t>405</t>
        </is>
      </c>
      <c r="G982" s="42" t="inlineStr">
        <is>
          <t>770</t>
        </is>
      </c>
      <c r="H982" s="42" t="inlineStr">
        <is>
          <t>True</t>
        </is>
      </c>
      <c r="I982" s="42" t="inlineStr">
        <is>
          <t>NOT_EVALUATED</t>
        </is>
      </c>
      <c r="J982" s="42" t="inlineStr">
        <is>
          <t>NO_DIRECT_STANDARD_MATRIX_IN_RETRIEVED_SOURCE</t>
        </is>
      </c>
      <c r="K982" s="42" t="str"/>
      <c r="L982" s="42" t="str"/>
      <c r="M982" s="42" t="str"/>
      <c r="N982" s="42" t="str"/>
      <c r="O982" s="42" t="inlineStr">
        <is>
          <t>現行公式資料でこの窓種のSAFE 30mil規格○/×を本Revisionでは直接取得できていない。推測しない。</t>
        </is>
      </c>
    </row>
    <row r="983">
      <c r="A983" s="42" t="inlineStr">
        <is>
          <t>SZ-SL-000982</t>
        </is>
      </c>
      <c r="B983" s="42" t="inlineStr">
        <is>
          <t>WT-SL-MENKOSHI-AGE-FS</t>
        </is>
      </c>
      <c r="C983" s="42" t="inlineStr">
        <is>
          <t>面格子付上げ下げ窓FS</t>
        </is>
      </c>
      <c r="D983" s="42" t="inlineStr">
        <is>
          <t>SP-SL-AGE-GRILLE-V</t>
        </is>
      </c>
      <c r="E983" s="42" t="inlineStr">
        <is>
          <t>06007</t>
        </is>
      </c>
      <c r="F983" s="42" t="inlineStr">
        <is>
          <t>640</t>
        </is>
      </c>
      <c r="G983" s="42" t="inlineStr">
        <is>
          <t>770</t>
        </is>
      </c>
      <c r="H983" s="42" t="inlineStr">
        <is>
          <t>True</t>
        </is>
      </c>
      <c r="I983" s="42" t="inlineStr">
        <is>
          <t>NOT_EVALUATED</t>
        </is>
      </c>
      <c r="J983" s="42" t="inlineStr">
        <is>
          <t>NO_DIRECT_STANDARD_MATRIX_IN_RETRIEVED_SOURCE</t>
        </is>
      </c>
      <c r="K983" s="42" t="str"/>
      <c r="L983" s="42" t="str"/>
      <c r="M983" s="42" t="str"/>
      <c r="N983" s="42" t="str"/>
      <c r="O983" s="42" t="inlineStr">
        <is>
          <t>現行公式資料でこの窓種のSAFE 30mil規格○/×を本Revisionでは直接取得できていない。推測しない。</t>
        </is>
      </c>
    </row>
    <row r="984">
      <c r="A984" s="42" t="inlineStr">
        <is>
          <t>SZ-SL-000983</t>
        </is>
      </c>
      <c r="B984" s="42" t="inlineStr">
        <is>
          <t>WT-SL-MENKOSHI-AGE-FS</t>
        </is>
      </c>
      <c r="C984" s="42" t="inlineStr">
        <is>
          <t>面格子付上げ下げ窓FS</t>
        </is>
      </c>
      <c r="D984" s="42" t="inlineStr">
        <is>
          <t>SP-SL-AGE-GRILLE-V</t>
        </is>
      </c>
      <c r="E984" s="42" t="inlineStr">
        <is>
          <t>06907</t>
        </is>
      </c>
      <c r="F984" s="42" t="inlineStr">
        <is>
          <t>730</t>
        </is>
      </c>
      <c r="G984" s="42" t="inlineStr">
        <is>
          <t>770</t>
        </is>
      </c>
      <c r="H984" s="42" t="inlineStr">
        <is>
          <t>True</t>
        </is>
      </c>
      <c r="I984" s="42" t="inlineStr">
        <is>
          <t>NOT_EVALUATED</t>
        </is>
      </c>
      <c r="J984" s="42" t="inlineStr">
        <is>
          <t>NO_DIRECT_STANDARD_MATRIX_IN_RETRIEVED_SOURCE</t>
        </is>
      </c>
      <c r="K984" s="42" t="str"/>
      <c r="L984" s="42" t="str"/>
      <c r="M984" s="42" t="str"/>
      <c r="N984" s="42" t="str"/>
      <c r="O984" s="42" t="inlineStr">
        <is>
          <t>現行公式資料でこの窓種のSAFE 30mil規格○/×を本Revisionでは直接取得できていない。推測しない。</t>
        </is>
      </c>
    </row>
    <row r="985">
      <c r="A985" s="42" t="inlineStr">
        <is>
          <t>SZ-SL-000984</t>
        </is>
      </c>
      <c r="B985" s="42" t="inlineStr">
        <is>
          <t>WT-SL-MENKOSHI-AGE-FS</t>
        </is>
      </c>
      <c r="C985" s="42" t="inlineStr">
        <is>
          <t>面格子付上げ下げ窓FS</t>
        </is>
      </c>
      <c r="D985" s="42" t="inlineStr">
        <is>
          <t>SP-SL-AGE-GRILLE-V</t>
        </is>
      </c>
      <c r="E985" s="42" t="inlineStr">
        <is>
          <t>07407</t>
        </is>
      </c>
      <c r="F985" s="42" t="inlineStr">
        <is>
          <t>780</t>
        </is>
      </c>
      <c r="G985" s="42" t="inlineStr">
        <is>
          <t>770</t>
        </is>
      </c>
      <c r="H985" s="42" t="inlineStr">
        <is>
          <t>True</t>
        </is>
      </c>
      <c r="I985" s="42" t="inlineStr">
        <is>
          <t>NOT_EVALUATED</t>
        </is>
      </c>
      <c r="J985" s="42" t="inlineStr">
        <is>
          <t>NO_DIRECT_STANDARD_MATRIX_IN_RETRIEVED_SOURCE</t>
        </is>
      </c>
      <c r="K985" s="42" t="str"/>
      <c r="L985" s="42" t="str"/>
      <c r="M985" s="42" t="str"/>
      <c r="N985" s="42" t="str"/>
      <c r="O985" s="42" t="inlineStr">
        <is>
          <t>現行公式資料でこの窓種のSAFE 30mil規格○/×を本Revisionでは直接取得できていない。推測しない。</t>
        </is>
      </c>
    </row>
    <row r="986">
      <c r="A986" s="42" t="inlineStr">
        <is>
          <t>SZ-SL-000985</t>
        </is>
      </c>
      <c r="B986" s="42" t="inlineStr">
        <is>
          <t>WT-SL-MENKOSHI-AGE-FS</t>
        </is>
      </c>
      <c r="C986" s="42" t="inlineStr">
        <is>
          <t>面格子付上げ下げ窓FS</t>
        </is>
      </c>
      <c r="D986" s="42" t="inlineStr">
        <is>
          <t>SP-SL-AGE-GRILLE-DIA</t>
        </is>
      </c>
      <c r="E986" s="42" t="inlineStr">
        <is>
          <t>02609</t>
        </is>
      </c>
      <c r="F986" s="42" t="inlineStr">
        <is>
          <t>300</t>
        </is>
      </c>
      <c r="G986" s="42" t="inlineStr">
        <is>
          <t>970</t>
        </is>
      </c>
      <c r="H986" s="42" t="inlineStr">
        <is>
          <t>True</t>
        </is>
      </c>
      <c r="I986" s="42" t="inlineStr">
        <is>
          <t>NOT_EVALUATED</t>
        </is>
      </c>
      <c r="J986" s="42" t="inlineStr">
        <is>
          <t>NO_DIRECT_STANDARD_MATRIX_IN_RETRIEVED_SOURCE</t>
        </is>
      </c>
      <c r="K986" s="42" t="str"/>
      <c r="L986" s="42" t="str"/>
      <c r="M986" s="42" t="str"/>
      <c r="N986" s="42" t="str"/>
      <c r="O986" s="42" t="inlineStr">
        <is>
          <t>現行公式資料でこの窓種のSAFE 30mil規格○/×を本Revisionでは直接取得できていない。推測しない。</t>
        </is>
      </c>
    </row>
    <row r="987">
      <c r="A987" s="42" t="inlineStr">
        <is>
          <t>SZ-SL-000986</t>
        </is>
      </c>
      <c r="B987" s="42" t="inlineStr">
        <is>
          <t>WT-SL-MENKOSHI-AGE-FS</t>
        </is>
      </c>
      <c r="C987" s="42" t="inlineStr">
        <is>
          <t>面格子付上げ下げ窓FS</t>
        </is>
      </c>
      <c r="D987" s="42" t="inlineStr">
        <is>
          <t>SP-SL-AGE-GRILLE-DIA</t>
        </is>
      </c>
      <c r="E987" s="42" t="inlineStr">
        <is>
          <t>03609</t>
        </is>
      </c>
      <c r="F987" s="42" t="inlineStr">
        <is>
          <t>405</t>
        </is>
      </c>
      <c r="G987" s="42" t="inlineStr">
        <is>
          <t>970</t>
        </is>
      </c>
      <c r="H987" s="42" t="inlineStr">
        <is>
          <t>True</t>
        </is>
      </c>
      <c r="I987" s="42" t="inlineStr">
        <is>
          <t>NOT_EVALUATED</t>
        </is>
      </c>
      <c r="J987" s="42" t="inlineStr">
        <is>
          <t>NO_DIRECT_STANDARD_MATRIX_IN_RETRIEVED_SOURCE</t>
        </is>
      </c>
      <c r="K987" s="42" t="str"/>
      <c r="L987" s="42" t="str"/>
      <c r="M987" s="42" t="str"/>
      <c r="N987" s="42" t="str"/>
      <c r="O987" s="42" t="inlineStr">
        <is>
          <t>現行公式資料でこの窓種のSAFE 30mil規格○/×を本Revisionでは直接取得できていない。推測しない。</t>
        </is>
      </c>
    </row>
    <row r="988">
      <c r="A988" s="42" t="inlineStr">
        <is>
          <t>SZ-SL-000987</t>
        </is>
      </c>
      <c r="B988" s="42" t="inlineStr">
        <is>
          <t>WT-SL-MENKOSHI-AGE-FS</t>
        </is>
      </c>
      <c r="C988" s="42" t="inlineStr">
        <is>
          <t>面格子付上げ下げ窓FS</t>
        </is>
      </c>
      <c r="D988" s="42" t="inlineStr">
        <is>
          <t>SP-SL-AGE-GRILLE-DIA</t>
        </is>
      </c>
      <c r="E988" s="42" t="inlineStr">
        <is>
          <t>06009</t>
        </is>
      </c>
      <c r="F988" s="42" t="inlineStr">
        <is>
          <t>640</t>
        </is>
      </c>
      <c r="G988" s="42" t="inlineStr">
        <is>
          <t>970</t>
        </is>
      </c>
      <c r="H988" s="42" t="inlineStr">
        <is>
          <t>True</t>
        </is>
      </c>
      <c r="I988" s="42" t="inlineStr">
        <is>
          <t>NOT_EVALUATED</t>
        </is>
      </c>
      <c r="J988" s="42" t="inlineStr">
        <is>
          <t>NO_DIRECT_STANDARD_MATRIX_IN_RETRIEVED_SOURCE</t>
        </is>
      </c>
      <c r="K988" s="42" t="str"/>
      <c r="L988" s="42" t="str"/>
      <c r="M988" s="42" t="str"/>
      <c r="N988" s="42" t="str"/>
      <c r="O988" s="42" t="inlineStr">
        <is>
          <t>現行公式資料でこの窓種のSAFE 30mil規格○/×を本Revisionでは直接取得できていない。推測しない。</t>
        </is>
      </c>
    </row>
    <row r="989">
      <c r="A989" s="42" t="inlineStr">
        <is>
          <t>SZ-SL-000988</t>
        </is>
      </c>
      <c r="B989" s="42" t="inlineStr">
        <is>
          <t>WT-SL-MENKOSHI-AGE-FS</t>
        </is>
      </c>
      <c r="C989" s="42" t="inlineStr">
        <is>
          <t>面格子付上げ下げ窓FS</t>
        </is>
      </c>
      <c r="D989" s="42" t="inlineStr">
        <is>
          <t>SP-SL-AGE-GRILLE-DIA</t>
        </is>
      </c>
      <c r="E989" s="42" t="inlineStr">
        <is>
          <t>06909</t>
        </is>
      </c>
      <c r="F989" s="42" t="inlineStr">
        <is>
          <t>730</t>
        </is>
      </c>
      <c r="G989" s="42" t="inlineStr">
        <is>
          <t>970</t>
        </is>
      </c>
      <c r="H989" s="42" t="inlineStr">
        <is>
          <t>True</t>
        </is>
      </c>
      <c r="I989" s="42" t="inlineStr">
        <is>
          <t>NOT_EVALUATED</t>
        </is>
      </c>
      <c r="J989" s="42" t="inlineStr">
        <is>
          <t>NO_DIRECT_STANDARD_MATRIX_IN_RETRIEVED_SOURCE</t>
        </is>
      </c>
      <c r="K989" s="42" t="str"/>
      <c r="L989" s="42" t="str"/>
      <c r="M989" s="42" t="str"/>
      <c r="N989" s="42" t="str"/>
      <c r="O989" s="42" t="inlineStr">
        <is>
          <t>現行公式資料でこの窓種のSAFE 30mil規格○/×を本Revisionでは直接取得できていない。推測しない。</t>
        </is>
      </c>
    </row>
    <row r="990">
      <c r="A990" s="42" t="inlineStr">
        <is>
          <t>SZ-SL-000989</t>
        </is>
      </c>
      <c r="B990" s="42" t="inlineStr">
        <is>
          <t>WT-SL-MENKOSHI-AGE-FS</t>
        </is>
      </c>
      <c r="C990" s="42" t="inlineStr">
        <is>
          <t>面格子付上げ下げ窓FS</t>
        </is>
      </c>
      <c r="D990" s="42" t="inlineStr">
        <is>
          <t>SP-SL-AGE-GRILLE-DIA</t>
        </is>
      </c>
      <c r="E990" s="42" t="inlineStr">
        <is>
          <t>07409</t>
        </is>
      </c>
      <c r="F990" s="42" t="inlineStr">
        <is>
          <t>780</t>
        </is>
      </c>
      <c r="G990" s="42" t="inlineStr">
        <is>
          <t>970</t>
        </is>
      </c>
      <c r="H990" s="42" t="inlineStr">
        <is>
          <t>True</t>
        </is>
      </c>
      <c r="I990" s="42" t="inlineStr">
        <is>
          <t>NOT_EVALUATED</t>
        </is>
      </c>
      <c r="J990" s="42" t="inlineStr">
        <is>
          <t>NO_DIRECT_STANDARD_MATRIX_IN_RETRIEVED_SOURCE</t>
        </is>
      </c>
      <c r="K990" s="42" t="str"/>
      <c r="L990" s="42" t="str"/>
      <c r="M990" s="42" t="str"/>
      <c r="N990" s="42" t="str"/>
      <c r="O990" s="42" t="inlineStr">
        <is>
          <t>現行公式資料でこの窓種のSAFE 30mil規格○/×を本Revisionでは直接取得できていない。推測しない。</t>
        </is>
      </c>
    </row>
    <row r="991">
      <c r="A991" s="42" t="inlineStr">
        <is>
          <t>SZ-SL-000990</t>
        </is>
      </c>
      <c r="B991" s="42" t="inlineStr">
        <is>
          <t>WT-SL-MENKOSHI-AGE-FS</t>
        </is>
      </c>
      <c r="C991" s="42" t="inlineStr">
        <is>
          <t>面格子付上げ下げ窓FS</t>
        </is>
      </c>
      <c r="D991" s="42" t="inlineStr">
        <is>
          <t>SP-SL-AGE-GRILLE-H</t>
        </is>
      </c>
      <c r="E991" s="42" t="inlineStr">
        <is>
          <t>02609</t>
        </is>
      </c>
      <c r="F991" s="42" t="inlineStr">
        <is>
          <t>300</t>
        </is>
      </c>
      <c r="G991" s="42" t="inlineStr">
        <is>
          <t>970</t>
        </is>
      </c>
      <c r="H991" s="42" t="inlineStr">
        <is>
          <t>True</t>
        </is>
      </c>
      <c r="I991" s="42" t="inlineStr">
        <is>
          <t>NOT_EVALUATED</t>
        </is>
      </c>
      <c r="J991" s="42" t="inlineStr">
        <is>
          <t>NO_DIRECT_STANDARD_MATRIX_IN_RETRIEVED_SOURCE</t>
        </is>
      </c>
      <c r="K991" s="42" t="str"/>
      <c r="L991" s="42" t="str"/>
      <c r="M991" s="42" t="str"/>
      <c r="N991" s="42" t="str"/>
      <c r="O991" s="42" t="inlineStr">
        <is>
          <t>現行公式資料でこの窓種のSAFE 30mil規格○/×を本Revisionでは直接取得できていない。推測しない。</t>
        </is>
      </c>
    </row>
    <row r="992">
      <c r="A992" s="42" t="inlineStr">
        <is>
          <t>SZ-SL-000991</t>
        </is>
      </c>
      <c r="B992" s="42" t="inlineStr">
        <is>
          <t>WT-SL-MENKOSHI-AGE-FS</t>
        </is>
      </c>
      <c r="C992" s="42" t="inlineStr">
        <is>
          <t>面格子付上げ下げ窓FS</t>
        </is>
      </c>
      <c r="D992" s="42" t="inlineStr">
        <is>
          <t>SP-SL-AGE-GRILLE-H</t>
        </is>
      </c>
      <c r="E992" s="42" t="inlineStr">
        <is>
          <t>03609</t>
        </is>
      </c>
      <c r="F992" s="42" t="inlineStr">
        <is>
          <t>405</t>
        </is>
      </c>
      <c r="G992" s="42" t="inlineStr">
        <is>
          <t>970</t>
        </is>
      </c>
      <c r="H992" s="42" t="inlineStr">
        <is>
          <t>True</t>
        </is>
      </c>
      <c r="I992" s="42" t="inlineStr">
        <is>
          <t>NOT_EVALUATED</t>
        </is>
      </c>
      <c r="J992" s="42" t="inlineStr">
        <is>
          <t>NO_DIRECT_STANDARD_MATRIX_IN_RETRIEVED_SOURCE</t>
        </is>
      </c>
      <c r="K992" s="42" t="str"/>
      <c r="L992" s="42" t="str"/>
      <c r="M992" s="42" t="str"/>
      <c r="N992" s="42" t="str"/>
      <c r="O992" s="42" t="inlineStr">
        <is>
          <t>現行公式資料でこの窓種のSAFE 30mil規格○/×を本Revisionでは直接取得できていない。推測しない。</t>
        </is>
      </c>
    </row>
    <row r="993">
      <c r="A993" s="42" t="inlineStr">
        <is>
          <t>SZ-SL-000992</t>
        </is>
      </c>
      <c r="B993" s="42" t="inlineStr">
        <is>
          <t>WT-SL-MENKOSHI-AGE-FS</t>
        </is>
      </c>
      <c r="C993" s="42" t="inlineStr">
        <is>
          <t>面格子付上げ下げ窓FS</t>
        </is>
      </c>
      <c r="D993" s="42" t="inlineStr">
        <is>
          <t>SP-SL-AGE-GRILLE-H</t>
        </is>
      </c>
      <c r="E993" s="42" t="inlineStr">
        <is>
          <t>06009</t>
        </is>
      </c>
      <c r="F993" s="42" t="inlineStr">
        <is>
          <t>640</t>
        </is>
      </c>
      <c r="G993" s="42" t="inlineStr">
        <is>
          <t>970</t>
        </is>
      </c>
      <c r="H993" s="42" t="inlineStr">
        <is>
          <t>True</t>
        </is>
      </c>
      <c r="I993" s="42" t="inlineStr">
        <is>
          <t>NOT_EVALUATED</t>
        </is>
      </c>
      <c r="J993" s="42" t="inlineStr">
        <is>
          <t>NO_DIRECT_STANDARD_MATRIX_IN_RETRIEVED_SOURCE</t>
        </is>
      </c>
      <c r="K993" s="42" t="str"/>
      <c r="L993" s="42" t="str"/>
      <c r="M993" s="42" t="str"/>
      <c r="N993" s="42" t="str"/>
      <c r="O993" s="42" t="inlineStr">
        <is>
          <t>現行公式資料でこの窓種のSAFE 30mil規格○/×を本Revisionでは直接取得できていない。推測しない。</t>
        </is>
      </c>
    </row>
    <row r="994">
      <c r="A994" s="42" t="inlineStr">
        <is>
          <t>SZ-SL-000993</t>
        </is>
      </c>
      <c r="B994" s="42" t="inlineStr">
        <is>
          <t>WT-SL-MENKOSHI-AGE-FS</t>
        </is>
      </c>
      <c r="C994" s="42" t="inlineStr">
        <is>
          <t>面格子付上げ下げ窓FS</t>
        </is>
      </c>
      <c r="D994" s="42" t="inlineStr">
        <is>
          <t>SP-SL-AGE-GRILLE-H</t>
        </is>
      </c>
      <c r="E994" s="42" t="inlineStr">
        <is>
          <t>06909</t>
        </is>
      </c>
      <c r="F994" s="42" t="inlineStr">
        <is>
          <t>730</t>
        </is>
      </c>
      <c r="G994" s="42" t="inlineStr">
        <is>
          <t>970</t>
        </is>
      </c>
      <c r="H994" s="42" t="inlineStr">
        <is>
          <t>True</t>
        </is>
      </c>
      <c r="I994" s="42" t="inlineStr">
        <is>
          <t>NOT_EVALUATED</t>
        </is>
      </c>
      <c r="J994" s="42" t="inlineStr">
        <is>
          <t>NO_DIRECT_STANDARD_MATRIX_IN_RETRIEVED_SOURCE</t>
        </is>
      </c>
      <c r="K994" s="42" t="str"/>
      <c r="L994" s="42" t="str"/>
      <c r="M994" s="42" t="str"/>
      <c r="N994" s="42" t="str"/>
      <c r="O994" s="42" t="inlineStr">
        <is>
          <t>現行公式資料でこの窓種のSAFE 30mil規格○/×を本Revisionでは直接取得できていない。推測しない。</t>
        </is>
      </c>
    </row>
    <row r="995">
      <c r="A995" s="42" t="inlineStr">
        <is>
          <t>SZ-SL-000994</t>
        </is>
      </c>
      <c r="B995" s="42" t="inlineStr">
        <is>
          <t>WT-SL-MENKOSHI-AGE-FS</t>
        </is>
      </c>
      <c r="C995" s="42" t="inlineStr">
        <is>
          <t>面格子付上げ下げ窓FS</t>
        </is>
      </c>
      <c r="D995" s="42" t="inlineStr">
        <is>
          <t>SP-SL-AGE-GRILLE-H</t>
        </is>
      </c>
      <c r="E995" s="42" t="inlineStr">
        <is>
          <t>07409</t>
        </is>
      </c>
      <c r="F995" s="42" t="inlineStr">
        <is>
          <t>780</t>
        </is>
      </c>
      <c r="G995" s="42" t="inlineStr">
        <is>
          <t>970</t>
        </is>
      </c>
      <c r="H995" s="42" t="inlineStr">
        <is>
          <t>True</t>
        </is>
      </c>
      <c r="I995" s="42" t="inlineStr">
        <is>
          <t>NOT_EVALUATED</t>
        </is>
      </c>
      <c r="J995" s="42" t="inlineStr">
        <is>
          <t>NO_DIRECT_STANDARD_MATRIX_IN_RETRIEVED_SOURCE</t>
        </is>
      </c>
      <c r="K995" s="42" t="str"/>
      <c r="L995" s="42" t="str"/>
      <c r="M995" s="42" t="str"/>
      <c r="N995" s="42" t="str"/>
      <c r="O995" s="42" t="inlineStr">
        <is>
          <t>現行公式資料でこの窓種のSAFE 30mil規格○/×を本Revisionでは直接取得できていない。推測しない。</t>
        </is>
      </c>
    </row>
    <row r="996">
      <c r="A996" s="42" t="inlineStr">
        <is>
          <t>SZ-SL-000995</t>
        </is>
      </c>
      <c r="B996" s="42" t="inlineStr">
        <is>
          <t>WT-SL-MENKOSHI-AGE-FS</t>
        </is>
      </c>
      <c r="C996" s="42" t="inlineStr">
        <is>
          <t>面格子付上げ下げ窓FS</t>
        </is>
      </c>
      <c r="D996" s="42" t="inlineStr">
        <is>
          <t>SP-SL-AGE-GRILLE-IGETA</t>
        </is>
      </c>
      <c r="E996" s="42" t="inlineStr">
        <is>
          <t>02609</t>
        </is>
      </c>
      <c r="F996" s="42" t="inlineStr">
        <is>
          <t>300</t>
        </is>
      </c>
      <c r="G996" s="42" t="inlineStr">
        <is>
          <t>970</t>
        </is>
      </c>
      <c r="H996" s="42" t="inlineStr">
        <is>
          <t>True</t>
        </is>
      </c>
      <c r="I996" s="42" t="inlineStr">
        <is>
          <t>NOT_EVALUATED</t>
        </is>
      </c>
      <c r="J996" s="42" t="inlineStr">
        <is>
          <t>NO_DIRECT_STANDARD_MATRIX_IN_RETRIEVED_SOURCE</t>
        </is>
      </c>
      <c r="K996" s="42" t="str"/>
      <c r="L996" s="42" t="str"/>
      <c r="M996" s="42" t="str"/>
      <c r="N996" s="42" t="str"/>
      <c r="O996" s="42" t="inlineStr">
        <is>
          <t>現行公式資料でこの窓種のSAFE 30mil規格○/×を本Revisionでは直接取得できていない。推測しない。</t>
        </is>
      </c>
    </row>
    <row r="997">
      <c r="A997" s="42" t="inlineStr">
        <is>
          <t>SZ-SL-000996</t>
        </is>
      </c>
      <c r="B997" s="42" t="inlineStr">
        <is>
          <t>WT-SL-MENKOSHI-AGE-FS</t>
        </is>
      </c>
      <c r="C997" s="42" t="inlineStr">
        <is>
          <t>面格子付上げ下げ窓FS</t>
        </is>
      </c>
      <c r="D997" s="42" t="inlineStr">
        <is>
          <t>SP-SL-AGE-GRILLE-IGETA</t>
        </is>
      </c>
      <c r="E997" s="42" t="inlineStr">
        <is>
          <t>03609</t>
        </is>
      </c>
      <c r="F997" s="42" t="inlineStr">
        <is>
          <t>405</t>
        </is>
      </c>
      <c r="G997" s="42" t="inlineStr">
        <is>
          <t>970</t>
        </is>
      </c>
      <c r="H997" s="42" t="inlineStr">
        <is>
          <t>True</t>
        </is>
      </c>
      <c r="I997" s="42" t="inlineStr">
        <is>
          <t>NOT_EVALUATED</t>
        </is>
      </c>
      <c r="J997" s="42" t="inlineStr">
        <is>
          <t>NO_DIRECT_STANDARD_MATRIX_IN_RETRIEVED_SOURCE</t>
        </is>
      </c>
      <c r="K997" s="42" t="str"/>
      <c r="L997" s="42" t="str"/>
      <c r="M997" s="42" t="str"/>
      <c r="N997" s="42" t="str"/>
      <c r="O997" s="42" t="inlineStr">
        <is>
          <t>現行公式資料でこの窓種のSAFE 30mil規格○/×を本Revisionでは直接取得できていない。推測しない。</t>
        </is>
      </c>
    </row>
    <row r="998">
      <c r="A998" s="42" t="inlineStr">
        <is>
          <t>SZ-SL-000997</t>
        </is>
      </c>
      <c r="B998" s="42" t="inlineStr">
        <is>
          <t>WT-SL-MENKOSHI-AGE-FS</t>
        </is>
      </c>
      <c r="C998" s="42" t="inlineStr">
        <is>
          <t>面格子付上げ下げ窓FS</t>
        </is>
      </c>
      <c r="D998" s="42" t="inlineStr">
        <is>
          <t>SP-SL-AGE-GRILLE-IGETA</t>
        </is>
      </c>
      <c r="E998" s="42" t="inlineStr">
        <is>
          <t>06009</t>
        </is>
      </c>
      <c r="F998" s="42" t="inlineStr">
        <is>
          <t>640</t>
        </is>
      </c>
      <c r="G998" s="42" t="inlineStr">
        <is>
          <t>970</t>
        </is>
      </c>
      <c r="H998" s="42" t="inlineStr">
        <is>
          <t>True</t>
        </is>
      </c>
      <c r="I998" s="42" t="inlineStr">
        <is>
          <t>NOT_EVALUATED</t>
        </is>
      </c>
      <c r="J998" s="42" t="inlineStr">
        <is>
          <t>NO_DIRECT_STANDARD_MATRIX_IN_RETRIEVED_SOURCE</t>
        </is>
      </c>
      <c r="K998" s="42" t="str"/>
      <c r="L998" s="42" t="str"/>
      <c r="M998" s="42" t="str"/>
      <c r="N998" s="42" t="str"/>
      <c r="O998" s="42" t="inlineStr">
        <is>
          <t>現行公式資料でこの窓種のSAFE 30mil規格○/×を本Revisionでは直接取得できていない。推測しない。</t>
        </is>
      </c>
    </row>
    <row r="999">
      <c r="A999" s="42" t="inlineStr">
        <is>
          <t>SZ-SL-000998</t>
        </is>
      </c>
      <c r="B999" s="42" t="inlineStr">
        <is>
          <t>WT-SL-MENKOSHI-AGE-FS</t>
        </is>
      </c>
      <c r="C999" s="42" t="inlineStr">
        <is>
          <t>面格子付上げ下げ窓FS</t>
        </is>
      </c>
      <c r="D999" s="42" t="inlineStr">
        <is>
          <t>SP-SL-AGE-GRILLE-IGETA</t>
        </is>
      </c>
      <c r="E999" s="42" t="inlineStr">
        <is>
          <t>06909</t>
        </is>
      </c>
      <c r="F999" s="42" t="inlineStr">
        <is>
          <t>730</t>
        </is>
      </c>
      <c r="G999" s="42" t="inlineStr">
        <is>
          <t>970</t>
        </is>
      </c>
      <c r="H999" s="42" t="inlineStr">
        <is>
          <t>True</t>
        </is>
      </c>
      <c r="I999" s="42" t="inlineStr">
        <is>
          <t>NOT_EVALUATED</t>
        </is>
      </c>
      <c r="J999" s="42" t="inlineStr">
        <is>
          <t>NO_DIRECT_STANDARD_MATRIX_IN_RETRIEVED_SOURCE</t>
        </is>
      </c>
      <c r="K999" s="42" t="str"/>
      <c r="L999" s="42" t="str"/>
      <c r="M999" s="42" t="str"/>
      <c r="N999" s="42" t="str"/>
      <c r="O999" s="42" t="inlineStr">
        <is>
          <t>現行公式資料でこの窓種のSAFE 30mil規格○/×を本Revisionでは直接取得できていない。推測しない。</t>
        </is>
      </c>
    </row>
    <row r="1000">
      <c r="A1000" s="42" t="inlineStr">
        <is>
          <t>SZ-SL-000999</t>
        </is>
      </c>
      <c r="B1000" s="42" t="inlineStr">
        <is>
          <t>WT-SL-MENKOSHI-AGE-FS</t>
        </is>
      </c>
      <c r="C1000" s="42" t="inlineStr">
        <is>
          <t>面格子付上げ下げ窓FS</t>
        </is>
      </c>
      <c r="D1000" s="42" t="inlineStr">
        <is>
          <t>SP-SL-AGE-GRILLE-IGETA</t>
        </is>
      </c>
      <c r="E1000" s="42" t="inlineStr">
        <is>
          <t>07409</t>
        </is>
      </c>
      <c r="F1000" s="42" t="inlineStr">
        <is>
          <t>780</t>
        </is>
      </c>
      <c r="G1000" s="42" t="inlineStr">
        <is>
          <t>970</t>
        </is>
      </c>
      <c r="H1000" s="42" t="inlineStr">
        <is>
          <t>True</t>
        </is>
      </c>
      <c r="I1000" s="42" t="inlineStr">
        <is>
          <t>NOT_EVALUATED</t>
        </is>
      </c>
      <c r="J1000" s="42" t="inlineStr">
        <is>
          <t>NO_DIRECT_STANDARD_MATRIX_IN_RETRIEVED_SOURCE</t>
        </is>
      </c>
      <c r="K1000" s="42" t="str"/>
      <c r="L1000" s="42" t="str"/>
      <c r="M1000" s="42" t="str"/>
      <c r="N1000" s="42" t="str"/>
      <c r="O1000" s="42" t="inlineStr">
        <is>
          <t>現行公式資料でこの窓種のSAFE 30mil規格○/×を本Revisionでは直接取得できていない。推測しない。</t>
        </is>
      </c>
    </row>
    <row r="1001">
      <c r="A1001" s="42" t="inlineStr">
        <is>
          <t>SZ-SL-001000</t>
        </is>
      </c>
      <c r="B1001" s="42" t="inlineStr">
        <is>
          <t>WT-SL-MENKOSHI-AGE-FS</t>
        </is>
      </c>
      <c r="C1001" s="42" t="inlineStr">
        <is>
          <t>面格子付上げ下げ窓FS</t>
        </is>
      </c>
      <c r="D1001" s="42" t="inlineStr">
        <is>
          <t>SP-SL-AGE-GRILLE-V</t>
        </is>
      </c>
      <c r="E1001" s="42" t="inlineStr">
        <is>
          <t>02609</t>
        </is>
      </c>
      <c r="F1001" s="42" t="inlineStr">
        <is>
          <t>300</t>
        </is>
      </c>
      <c r="G1001" s="42" t="inlineStr">
        <is>
          <t>970</t>
        </is>
      </c>
      <c r="H1001" s="42" t="inlineStr">
        <is>
          <t>True</t>
        </is>
      </c>
      <c r="I1001" s="42" t="inlineStr">
        <is>
          <t>NOT_EVALUATED</t>
        </is>
      </c>
      <c r="J1001" s="42" t="inlineStr">
        <is>
          <t>NO_DIRECT_STANDARD_MATRIX_IN_RETRIEVED_SOURCE</t>
        </is>
      </c>
      <c r="K1001" s="42" t="str"/>
      <c r="L1001" s="42" t="str"/>
      <c r="M1001" s="42" t="str"/>
      <c r="N1001" s="42" t="str"/>
      <c r="O1001" s="42" t="inlineStr">
        <is>
          <t>現行公式資料でこの窓種のSAFE 30mil規格○/×を本Revisionでは直接取得できていない。推測しない。</t>
        </is>
      </c>
    </row>
    <row r="1002">
      <c r="A1002" s="42" t="inlineStr">
        <is>
          <t>SZ-SL-001001</t>
        </is>
      </c>
      <c r="B1002" s="42" t="inlineStr">
        <is>
          <t>WT-SL-MENKOSHI-AGE-FS</t>
        </is>
      </c>
      <c r="C1002" s="42" t="inlineStr">
        <is>
          <t>面格子付上げ下げ窓FS</t>
        </is>
      </c>
      <c r="D1002" s="42" t="inlineStr">
        <is>
          <t>SP-SL-AGE-GRILLE-V</t>
        </is>
      </c>
      <c r="E1002" s="42" t="inlineStr">
        <is>
          <t>03609</t>
        </is>
      </c>
      <c r="F1002" s="42" t="inlineStr">
        <is>
          <t>405</t>
        </is>
      </c>
      <c r="G1002" s="42" t="inlineStr">
        <is>
          <t>970</t>
        </is>
      </c>
      <c r="H1002" s="42" t="inlineStr">
        <is>
          <t>True</t>
        </is>
      </c>
      <c r="I1002" s="42" t="inlineStr">
        <is>
          <t>NOT_EVALUATED</t>
        </is>
      </c>
      <c r="J1002" s="42" t="inlineStr">
        <is>
          <t>NO_DIRECT_STANDARD_MATRIX_IN_RETRIEVED_SOURCE</t>
        </is>
      </c>
      <c r="K1002" s="42" t="str"/>
      <c r="L1002" s="42" t="str"/>
      <c r="M1002" s="42" t="str"/>
      <c r="N1002" s="42" t="str"/>
      <c r="O1002" s="42" t="inlineStr">
        <is>
          <t>現行公式資料でこの窓種のSAFE 30mil規格○/×を本Revisionでは直接取得できていない。推測しない。</t>
        </is>
      </c>
    </row>
    <row r="1003">
      <c r="A1003" s="42" t="inlineStr">
        <is>
          <t>SZ-SL-001002</t>
        </is>
      </c>
      <c r="B1003" s="42" t="inlineStr">
        <is>
          <t>WT-SL-MENKOSHI-AGE-FS</t>
        </is>
      </c>
      <c r="C1003" s="42" t="inlineStr">
        <is>
          <t>面格子付上げ下げ窓FS</t>
        </is>
      </c>
      <c r="D1003" s="42" t="inlineStr">
        <is>
          <t>SP-SL-AGE-GRILLE-V</t>
        </is>
      </c>
      <c r="E1003" s="42" t="inlineStr">
        <is>
          <t>06009</t>
        </is>
      </c>
      <c r="F1003" s="42" t="inlineStr">
        <is>
          <t>640</t>
        </is>
      </c>
      <c r="G1003" s="42" t="inlineStr">
        <is>
          <t>970</t>
        </is>
      </c>
      <c r="H1003" s="42" t="inlineStr">
        <is>
          <t>True</t>
        </is>
      </c>
      <c r="I1003" s="42" t="inlineStr">
        <is>
          <t>NOT_EVALUATED</t>
        </is>
      </c>
      <c r="J1003" s="42" t="inlineStr">
        <is>
          <t>NO_DIRECT_STANDARD_MATRIX_IN_RETRIEVED_SOURCE</t>
        </is>
      </c>
      <c r="K1003" s="42" t="str"/>
      <c r="L1003" s="42" t="str"/>
      <c r="M1003" s="42" t="str"/>
      <c r="N1003" s="42" t="str"/>
      <c r="O1003" s="42" t="inlineStr">
        <is>
          <t>現行公式資料でこの窓種のSAFE 30mil規格○/×を本Revisionでは直接取得できていない。推測しない。</t>
        </is>
      </c>
    </row>
    <row r="1004">
      <c r="A1004" s="42" t="inlineStr">
        <is>
          <t>SZ-SL-001003</t>
        </is>
      </c>
      <c r="B1004" s="42" t="inlineStr">
        <is>
          <t>WT-SL-MENKOSHI-AGE-FS</t>
        </is>
      </c>
      <c r="C1004" s="42" t="inlineStr">
        <is>
          <t>面格子付上げ下げ窓FS</t>
        </is>
      </c>
      <c r="D1004" s="42" t="inlineStr">
        <is>
          <t>SP-SL-AGE-GRILLE-V</t>
        </is>
      </c>
      <c r="E1004" s="42" t="inlineStr">
        <is>
          <t>06909</t>
        </is>
      </c>
      <c r="F1004" s="42" t="inlineStr">
        <is>
          <t>730</t>
        </is>
      </c>
      <c r="G1004" s="42" t="inlineStr">
        <is>
          <t>970</t>
        </is>
      </c>
      <c r="H1004" s="42" t="inlineStr">
        <is>
          <t>True</t>
        </is>
      </c>
      <c r="I1004" s="42" t="inlineStr">
        <is>
          <t>NOT_EVALUATED</t>
        </is>
      </c>
      <c r="J1004" s="42" t="inlineStr">
        <is>
          <t>NO_DIRECT_STANDARD_MATRIX_IN_RETRIEVED_SOURCE</t>
        </is>
      </c>
      <c r="K1004" s="42" t="str"/>
      <c r="L1004" s="42" t="str"/>
      <c r="M1004" s="42" t="str"/>
      <c r="N1004" s="42" t="str"/>
      <c r="O1004" s="42" t="inlineStr">
        <is>
          <t>現行公式資料でこの窓種のSAFE 30mil規格○/×を本Revisionでは直接取得できていない。推測しない。</t>
        </is>
      </c>
    </row>
    <row r="1005">
      <c r="A1005" s="42" t="inlineStr">
        <is>
          <t>SZ-SL-001004</t>
        </is>
      </c>
      <c r="B1005" s="42" t="inlineStr">
        <is>
          <t>WT-SL-MENKOSHI-AGE-FS</t>
        </is>
      </c>
      <c r="C1005" s="42" t="inlineStr">
        <is>
          <t>面格子付上げ下げ窓FS</t>
        </is>
      </c>
      <c r="D1005" s="42" t="inlineStr">
        <is>
          <t>SP-SL-AGE-GRILLE-V</t>
        </is>
      </c>
      <c r="E1005" s="42" t="inlineStr">
        <is>
          <t>07409</t>
        </is>
      </c>
      <c r="F1005" s="42" t="inlineStr">
        <is>
          <t>780</t>
        </is>
      </c>
      <c r="G1005" s="42" t="inlineStr">
        <is>
          <t>970</t>
        </is>
      </c>
      <c r="H1005" s="42" t="inlineStr">
        <is>
          <t>True</t>
        </is>
      </c>
      <c r="I1005" s="42" t="inlineStr">
        <is>
          <t>NOT_EVALUATED</t>
        </is>
      </c>
      <c r="J1005" s="42" t="inlineStr">
        <is>
          <t>NO_DIRECT_STANDARD_MATRIX_IN_RETRIEVED_SOURCE</t>
        </is>
      </c>
      <c r="K1005" s="42" t="str"/>
      <c r="L1005" s="42" t="str"/>
      <c r="M1005" s="42" t="str"/>
      <c r="N1005" s="42" t="str"/>
      <c r="O1005" s="42" t="inlineStr">
        <is>
          <t>現行公式資料でこの窓種のSAFE 30mil規格○/×を本Revisionでは直接取得できていない。推測しない。</t>
        </is>
      </c>
    </row>
    <row r="1006">
      <c r="A1006" s="42" t="inlineStr">
        <is>
          <t>SZ-SL-001005</t>
        </is>
      </c>
      <c r="B1006" s="42" t="inlineStr">
        <is>
          <t>WT-SL-MENKOSHI-AGE-FS</t>
        </is>
      </c>
      <c r="C1006" s="42" t="inlineStr">
        <is>
          <t>面格子付上げ下げ窓FS</t>
        </is>
      </c>
      <c r="D1006" s="42" t="inlineStr">
        <is>
          <t>SP-SL-AGE-GRILLE-DIA</t>
        </is>
      </c>
      <c r="E1006" s="42" t="inlineStr">
        <is>
          <t>02611</t>
        </is>
      </c>
      <c r="F1006" s="42" t="inlineStr">
        <is>
          <t>300</t>
        </is>
      </c>
      <c r="G1006" s="42" t="inlineStr">
        <is>
          <t>1170</t>
        </is>
      </c>
      <c r="H1006" s="42" t="inlineStr">
        <is>
          <t>True</t>
        </is>
      </c>
      <c r="I1006" s="42" t="inlineStr">
        <is>
          <t>NOT_EVALUATED</t>
        </is>
      </c>
      <c r="J1006" s="42" t="inlineStr">
        <is>
          <t>NO_DIRECT_STANDARD_MATRIX_IN_RETRIEVED_SOURCE</t>
        </is>
      </c>
      <c r="K1006" s="42" t="str"/>
      <c r="L1006" s="42" t="str"/>
      <c r="M1006" s="42" t="str"/>
      <c r="N1006" s="42" t="str"/>
      <c r="O1006" s="42" t="inlineStr">
        <is>
          <t>現行公式資料でこの窓種のSAFE 30mil規格○/×を本Revisionでは直接取得できていない。推測しない。</t>
        </is>
      </c>
    </row>
    <row r="1007">
      <c r="A1007" s="42" t="inlineStr">
        <is>
          <t>SZ-SL-001006</t>
        </is>
      </c>
      <c r="B1007" s="42" t="inlineStr">
        <is>
          <t>WT-SL-MENKOSHI-AGE-FS</t>
        </is>
      </c>
      <c r="C1007" s="42" t="inlineStr">
        <is>
          <t>面格子付上げ下げ窓FS</t>
        </is>
      </c>
      <c r="D1007" s="42" t="inlineStr">
        <is>
          <t>SP-SL-AGE-GRILLE-DIA</t>
        </is>
      </c>
      <c r="E1007" s="42" t="inlineStr">
        <is>
          <t>03611</t>
        </is>
      </c>
      <c r="F1007" s="42" t="inlineStr">
        <is>
          <t>405</t>
        </is>
      </c>
      <c r="G1007" s="42" t="inlineStr">
        <is>
          <t>1170</t>
        </is>
      </c>
      <c r="H1007" s="42" t="inlineStr">
        <is>
          <t>True</t>
        </is>
      </c>
      <c r="I1007" s="42" t="inlineStr">
        <is>
          <t>NOT_EVALUATED</t>
        </is>
      </c>
      <c r="J1007" s="42" t="inlineStr">
        <is>
          <t>NO_DIRECT_STANDARD_MATRIX_IN_RETRIEVED_SOURCE</t>
        </is>
      </c>
      <c r="K1007" s="42" t="str"/>
      <c r="L1007" s="42" t="str"/>
      <c r="M1007" s="42" t="str"/>
      <c r="N1007" s="42" t="str"/>
      <c r="O1007" s="42" t="inlineStr">
        <is>
          <t>現行公式資料でこの窓種のSAFE 30mil規格○/×を本Revisionでは直接取得できていない。推測しない。</t>
        </is>
      </c>
    </row>
    <row r="1008">
      <c r="A1008" s="42" t="inlineStr">
        <is>
          <t>SZ-SL-001007</t>
        </is>
      </c>
      <c r="B1008" s="42" t="inlineStr">
        <is>
          <t>WT-SL-MENKOSHI-AGE-FS</t>
        </is>
      </c>
      <c r="C1008" s="42" t="inlineStr">
        <is>
          <t>面格子付上げ下げ窓FS</t>
        </is>
      </c>
      <c r="D1008" s="42" t="inlineStr">
        <is>
          <t>SP-SL-AGE-GRILLE-DIA</t>
        </is>
      </c>
      <c r="E1008" s="42" t="inlineStr">
        <is>
          <t>06011</t>
        </is>
      </c>
      <c r="F1008" s="42" t="inlineStr">
        <is>
          <t>640</t>
        </is>
      </c>
      <c r="G1008" s="42" t="inlineStr">
        <is>
          <t>1170</t>
        </is>
      </c>
      <c r="H1008" s="42" t="inlineStr">
        <is>
          <t>True</t>
        </is>
      </c>
      <c r="I1008" s="42" t="inlineStr">
        <is>
          <t>NOT_EVALUATED</t>
        </is>
      </c>
      <c r="J1008" s="42" t="inlineStr">
        <is>
          <t>NO_DIRECT_STANDARD_MATRIX_IN_RETRIEVED_SOURCE</t>
        </is>
      </c>
      <c r="K1008" s="42" t="str"/>
      <c r="L1008" s="42" t="str"/>
      <c r="M1008" s="42" t="str"/>
      <c r="N1008" s="42" t="str"/>
      <c r="O1008" s="42" t="inlineStr">
        <is>
          <t>現行公式資料でこの窓種のSAFE 30mil規格○/×を本Revisionでは直接取得できていない。推測しない。</t>
        </is>
      </c>
    </row>
    <row r="1009">
      <c r="A1009" s="42" t="inlineStr">
        <is>
          <t>SZ-SL-001008</t>
        </is>
      </c>
      <c r="B1009" s="42" t="inlineStr">
        <is>
          <t>WT-SL-MENKOSHI-AGE-FS</t>
        </is>
      </c>
      <c r="C1009" s="42" t="inlineStr">
        <is>
          <t>面格子付上げ下げ窓FS</t>
        </is>
      </c>
      <c r="D1009" s="42" t="inlineStr">
        <is>
          <t>SP-SL-AGE-GRILLE-DIA</t>
        </is>
      </c>
      <c r="E1009" s="42" t="inlineStr">
        <is>
          <t>06911</t>
        </is>
      </c>
      <c r="F1009" s="42" t="inlineStr">
        <is>
          <t>730</t>
        </is>
      </c>
      <c r="G1009" s="42" t="inlineStr">
        <is>
          <t>1170</t>
        </is>
      </c>
      <c r="H1009" s="42" t="inlineStr">
        <is>
          <t>True</t>
        </is>
      </c>
      <c r="I1009" s="42" t="inlineStr">
        <is>
          <t>NOT_EVALUATED</t>
        </is>
      </c>
      <c r="J1009" s="42" t="inlineStr">
        <is>
          <t>NO_DIRECT_STANDARD_MATRIX_IN_RETRIEVED_SOURCE</t>
        </is>
      </c>
      <c r="K1009" s="42" t="str"/>
      <c r="L1009" s="42" t="str"/>
      <c r="M1009" s="42" t="str"/>
      <c r="N1009" s="42" t="str"/>
      <c r="O1009" s="42" t="inlineStr">
        <is>
          <t>現行公式資料でこの窓種のSAFE 30mil規格○/×を本Revisionでは直接取得できていない。推測しない。</t>
        </is>
      </c>
    </row>
    <row r="1010">
      <c r="A1010" s="42" t="inlineStr">
        <is>
          <t>SZ-SL-001009</t>
        </is>
      </c>
      <c r="B1010" s="42" t="inlineStr">
        <is>
          <t>WT-SL-MENKOSHI-AGE-FS</t>
        </is>
      </c>
      <c r="C1010" s="42" t="inlineStr">
        <is>
          <t>面格子付上げ下げ窓FS</t>
        </is>
      </c>
      <c r="D1010" s="42" t="inlineStr">
        <is>
          <t>SP-SL-AGE-GRILLE-DIA</t>
        </is>
      </c>
      <c r="E1010" s="42" t="inlineStr">
        <is>
          <t>07411</t>
        </is>
      </c>
      <c r="F1010" s="42" t="inlineStr">
        <is>
          <t>780</t>
        </is>
      </c>
      <c r="G1010" s="42" t="inlineStr">
        <is>
          <t>1170</t>
        </is>
      </c>
      <c r="H1010" s="42" t="inlineStr">
        <is>
          <t>True</t>
        </is>
      </c>
      <c r="I1010" s="42" t="inlineStr">
        <is>
          <t>NOT_EVALUATED</t>
        </is>
      </c>
      <c r="J1010" s="42" t="inlineStr">
        <is>
          <t>NO_DIRECT_STANDARD_MATRIX_IN_RETRIEVED_SOURCE</t>
        </is>
      </c>
      <c r="K1010" s="42" t="str"/>
      <c r="L1010" s="42" t="str"/>
      <c r="M1010" s="42" t="str"/>
      <c r="N1010" s="42" t="str"/>
      <c r="O1010" s="42" t="inlineStr">
        <is>
          <t>現行公式資料でこの窓種のSAFE 30mil規格○/×を本Revisionでは直接取得できていない。推測しない。</t>
        </is>
      </c>
    </row>
    <row r="1011">
      <c r="A1011" s="42" t="inlineStr">
        <is>
          <t>SZ-SL-001010</t>
        </is>
      </c>
      <c r="B1011" s="42" t="inlineStr">
        <is>
          <t>WT-SL-MENKOSHI-AGE-FS</t>
        </is>
      </c>
      <c r="C1011" s="42" t="inlineStr">
        <is>
          <t>面格子付上げ下げ窓FS</t>
        </is>
      </c>
      <c r="D1011" s="42" t="inlineStr">
        <is>
          <t>SP-SL-AGE-GRILLE-H</t>
        </is>
      </c>
      <c r="E1011" s="42" t="inlineStr">
        <is>
          <t>02611</t>
        </is>
      </c>
      <c r="F1011" s="42" t="inlineStr">
        <is>
          <t>300</t>
        </is>
      </c>
      <c r="G1011" s="42" t="inlineStr">
        <is>
          <t>1170</t>
        </is>
      </c>
      <c r="H1011" s="42" t="inlineStr">
        <is>
          <t>True</t>
        </is>
      </c>
      <c r="I1011" s="42" t="inlineStr">
        <is>
          <t>NOT_EVALUATED</t>
        </is>
      </c>
      <c r="J1011" s="42" t="inlineStr">
        <is>
          <t>NO_DIRECT_STANDARD_MATRIX_IN_RETRIEVED_SOURCE</t>
        </is>
      </c>
      <c r="K1011" s="42" t="str"/>
      <c r="L1011" s="42" t="str"/>
      <c r="M1011" s="42" t="str"/>
      <c r="N1011" s="42" t="str"/>
      <c r="O1011" s="42" t="inlineStr">
        <is>
          <t>現行公式資料でこの窓種のSAFE 30mil規格○/×を本Revisionでは直接取得できていない。推測しない。</t>
        </is>
      </c>
    </row>
    <row r="1012">
      <c r="A1012" s="42" t="inlineStr">
        <is>
          <t>SZ-SL-001011</t>
        </is>
      </c>
      <c r="B1012" s="42" t="inlineStr">
        <is>
          <t>WT-SL-MENKOSHI-AGE-FS</t>
        </is>
      </c>
      <c r="C1012" s="42" t="inlineStr">
        <is>
          <t>面格子付上げ下げ窓FS</t>
        </is>
      </c>
      <c r="D1012" s="42" t="inlineStr">
        <is>
          <t>SP-SL-AGE-GRILLE-H</t>
        </is>
      </c>
      <c r="E1012" s="42" t="inlineStr">
        <is>
          <t>03611</t>
        </is>
      </c>
      <c r="F1012" s="42" t="inlineStr">
        <is>
          <t>405</t>
        </is>
      </c>
      <c r="G1012" s="42" t="inlineStr">
        <is>
          <t>1170</t>
        </is>
      </c>
      <c r="H1012" s="42" t="inlineStr">
        <is>
          <t>True</t>
        </is>
      </c>
      <c r="I1012" s="42" t="inlineStr">
        <is>
          <t>NOT_EVALUATED</t>
        </is>
      </c>
      <c r="J1012" s="42" t="inlineStr">
        <is>
          <t>NO_DIRECT_STANDARD_MATRIX_IN_RETRIEVED_SOURCE</t>
        </is>
      </c>
      <c r="K1012" s="42" t="str"/>
      <c r="L1012" s="42" t="str"/>
      <c r="M1012" s="42" t="str"/>
      <c r="N1012" s="42" t="str"/>
      <c r="O1012" s="42" t="inlineStr">
        <is>
          <t>現行公式資料でこの窓種のSAFE 30mil規格○/×を本Revisionでは直接取得できていない。推測しない。</t>
        </is>
      </c>
    </row>
    <row r="1013">
      <c r="A1013" s="42" t="inlineStr">
        <is>
          <t>SZ-SL-001012</t>
        </is>
      </c>
      <c r="B1013" s="42" t="inlineStr">
        <is>
          <t>WT-SL-MENKOSHI-AGE-FS</t>
        </is>
      </c>
      <c r="C1013" s="42" t="inlineStr">
        <is>
          <t>面格子付上げ下げ窓FS</t>
        </is>
      </c>
      <c r="D1013" s="42" t="inlineStr">
        <is>
          <t>SP-SL-AGE-GRILLE-H</t>
        </is>
      </c>
      <c r="E1013" s="42" t="inlineStr">
        <is>
          <t>06011</t>
        </is>
      </c>
      <c r="F1013" s="42" t="inlineStr">
        <is>
          <t>640</t>
        </is>
      </c>
      <c r="G1013" s="42" t="inlineStr">
        <is>
          <t>1170</t>
        </is>
      </c>
      <c r="H1013" s="42" t="inlineStr">
        <is>
          <t>True</t>
        </is>
      </c>
      <c r="I1013" s="42" t="inlineStr">
        <is>
          <t>NOT_EVALUATED</t>
        </is>
      </c>
      <c r="J1013" s="42" t="inlineStr">
        <is>
          <t>NO_DIRECT_STANDARD_MATRIX_IN_RETRIEVED_SOURCE</t>
        </is>
      </c>
      <c r="K1013" s="42" t="str"/>
      <c r="L1013" s="42" t="str"/>
      <c r="M1013" s="42" t="str"/>
      <c r="N1013" s="42" t="str"/>
      <c r="O1013" s="42" t="inlineStr">
        <is>
          <t>現行公式資料でこの窓種のSAFE 30mil規格○/×を本Revisionでは直接取得できていない。推測しない。</t>
        </is>
      </c>
    </row>
    <row r="1014">
      <c r="A1014" s="42" t="inlineStr">
        <is>
          <t>SZ-SL-001013</t>
        </is>
      </c>
      <c r="B1014" s="42" t="inlineStr">
        <is>
          <t>WT-SL-MENKOSHI-AGE-FS</t>
        </is>
      </c>
      <c r="C1014" s="42" t="inlineStr">
        <is>
          <t>面格子付上げ下げ窓FS</t>
        </is>
      </c>
      <c r="D1014" s="42" t="inlineStr">
        <is>
          <t>SP-SL-AGE-GRILLE-H</t>
        </is>
      </c>
      <c r="E1014" s="42" t="inlineStr">
        <is>
          <t>06911</t>
        </is>
      </c>
      <c r="F1014" s="42" t="inlineStr">
        <is>
          <t>730</t>
        </is>
      </c>
      <c r="G1014" s="42" t="inlineStr">
        <is>
          <t>1170</t>
        </is>
      </c>
      <c r="H1014" s="42" t="inlineStr">
        <is>
          <t>True</t>
        </is>
      </c>
      <c r="I1014" s="42" t="inlineStr">
        <is>
          <t>NOT_EVALUATED</t>
        </is>
      </c>
      <c r="J1014" s="42" t="inlineStr">
        <is>
          <t>NO_DIRECT_STANDARD_MATRIX_IN_RETRIEVED_SOURCE</t>
        </is>
      </c>
      <c r="K1014" s="42" t="str"/>
      <c r="L1014" s="42" t="str"/>
      <c r="M1014" s="42" t="str"/>
      <c r="N1014" s="42" t="str"/>
      <c r="O1014" s="42" t="inlineStr">
        <is>
          <t>現行公式資料でこの窓種のSAFE 30mil規格○/×を本Revisionでは直接取得できていない。推測しない。</t>
        </is>
      </c>
    </row>
    <row r="1015">
      <c r="A1015" s="42" t="inlineStr">
        <is>
          <t>SZ-SL-001014</t>
        </is>
      </c>
      <c r="B1015" s="42" t="inlineStr">
        <is>
          <t>WT-SL-MENKOSHI-AGE-FS</t>
        </is>
      </c>
      <c r="C1015" s="42" t="inlineStr">
        <is>
          <t>面格子付上げ下げ窓FS</t>
        </is>
      </c>
      <c r="D1015" s="42" t="inlineStr">
        <is>
          <t>SP-SL-AGE-GRILLE-H</t>
        </is>
      </c>
      <c r="E1015" s="42" t="inlineStr">
        <is>
          <t>07411</t>
        </is>
      </c>
      <c r="F1015" s="42" t="inlineStr">
        <is>
          <t>780</t>
        </is>
      </c>
      <c r="G1015" s="42" t="inlineStr">
        <is>
          <t>1170</t>
        </is>
      </c>
      <c r="H1015" s="42" t="inlineStr">
        <is>
          <t>True</t>
        </is>
      </c>
      <c r="I1015" s="42" t="inlineStr">
        <is>
          <t>NOT_EVALUATED</t>
        </is>
      </c>
      <c r="J1015" s="42" t="inlineStr">
        <is>
          <t>NO_DIRECT_STANDARD_MATRIX_IN_RETRIEVED_SOURCE</t>
        </is>
      </c>
      <c r="K1015" s="42" t="str"/>
      <c r="L1015" s="42" t="str"/>
      <c r="M1015" s="42" t="str"/>
      <c r="N1015" s="42" t="str"/>
      <c r="O1015" s="42" t="inlineStr">
        <is>
          <t>現行公式資料でこの窓種のSAFE 30mil規格○/×を本Revisionでは直接取得できていない。推測しない。</t>
        </is>
      </c>
    </row>
    <row r="1016">
      <c r="A1016" s="42" t="inlineStr">
        <is>
          <t>SZ-SL-001015</t>
        </is>
      </c>
      <c r="B1016" s="42" t="inlineStr">
        <is>
          <t>WT-SL-MENKOSHI-AGE-FS</t>
        </is>
      </c>
      <c r="C1016" s="42" t="inlineStr">
        <is>
          <t>面格子付上げ下げ窓FS</t>
        </is>
      </c>
      <c r="D1016" s="42" t="inlineStr">
        <is>
          <t>SP-SL-AGE-GRILLE-IGETA</t>
        </is>
      </c>
      <c r="E1016" s="42" t="inlineStr">
        <is>
          <t>02611</t>
        </is>
      </c>
      <c r="F1016" s="42" t="inlineStr">
        <is>
          <t>300</t>
        </is>
      </c>
      <c r="G1016" s="42" t="inlineStr">
        <is>
          <t>1170</t>
        </is>
      </c>
      <c r="H1016" s="42" t="inlineStr">
        <is>
          <t>True</t>
        </is>
      </c>
      <c r="I1016" s="42" t="inlineStr">
        <is>
          <t>NOT_EVALUATED</t>
        </is>
      </c>
      <c r="J1016" s="42" t="inlineStr">
        <is>
          <t>NO_DIRECT_STANDARD_MATRIX_IN_RETRIEVED_SOURCE</t>
        </is>
      </c>
      <c r="K1016" s="42" t="str"/>
      <c r="L1016" s="42" t="str"/>
      <c r="M1016" s="42" t="str"/>
      <c r="N1016" s="42" t="str"/>
      <c r="O1016" s="42" t="inlineStr">
        <is>
          <t>現行公式資料でこの窓種のSAFE 30mil規格○/×を本Revisionでは直接取得できていない。推測しない。</t>
        </is>
      </c>
    </row>
    <row r="1017">
      <c r="A1017" s="42" t="inlineStr">
        <is>
          <t>SZ-SL-001016</t>
        </is>
      </c>
      <c r="B1017" s="42" t="inlineStr">
        <is>
          <t>WT-SL-MENKOSHI-AGE-FS</t>
        </is>
      </c>
      <c r="C1017" s="42" t="inlineStr">
        <is>
          <t>面格子付上げ下げ窓FS</t>
        </is>
      </c>
      <c r="D1017" s="42" t="inlineStr">
        <is>
          <t>SP-SL-AGE-GRILLE-IGETA</t>
        </is>
      </c>
      <c r="E1017" s="42" t="inlineStr">
        <is>
          <t>03611</t>
        </is>
      </c>
      <c r="F1017" s="42" t="inlineStr">
        <is>
          <t>405</t>
        </is>
      </c>
      <c r="G1017" s="42" t="inlineStr">
        <is>
          <t>1170</t>
        </is>
      </c>
      <c r="H1017" s="42" t="inlineStr">
        <is>
          <t>True</t>
        </is>
      </c>
      <c r="I1017" s="42" t="inlineStr">
        <is>
          <t>NOT_EVALUATED</t>
        </is>
      </c>
      <c r="J1017" s="42" t="inlineStr">
        <is>
          <t>NO_DIRECT_STANDARD_MATRIX_IN_RETRIEVED_SOURCE</t>
        </is>
      </c>
      <c r="K1017" s="42" t="str"/>
      <c r="L1017" s="42" t="str"/>
      <c r="M1017" s="42" t="str"/>
      <c r="N1017" s="42" t="str"/>
      <c r="O1017" s="42" t="inlineStr">
        <is>
          <t>現行公式資料でこの窓種のSAFE 30mil規格○/×を本Revisionでは直接取得できていない。推測しない。</t>
        </is>
      </c>
    </row>
    <row r="1018">
      <c r="A1018" s="42" t="inlineStr">
        <is>
          <t>SZ-SL-001017</t>
        </is>
      </c>
      <c r="B1018" s="42" t="inlineStr">
        <is>
          <t>WT-SL-MENKOSHI-AGE-FS</t>
        </is>
      </c>
      <c r="C1018" s="42" t="inlineStr">
        <is>
          <t>面格子付上げ下げ窓FS</t>
        </is>
      </c>
      <c r="D1018" s="42" t="inlineStr">
        <is>
          <t>SP-SL-AGE-GRILLE-IGETA</t>
        </is>
      </c>
      <c r="E1018" s="42" t="inlineStr">
        <is>
          <t>06011</t>
        </is>
      </c>
      <c r="F1018" s="42" t="inlineStr">
        <is>
          <t>640</t>
        </is>
      </c>
      <c r="G1018" s="42" t="inlineStr">
        <is>
          <t>1170</t>
        </is>
      </c>
      <c r="H1018" s="42" t="inlineStr">
        <is>
          <t>True</t>
        </is>
      </c>
      <c r="I1018" s="42" t="inlineStr">
        <is>
          <t>NOT_EVALUATED</t>
        </is>
      </c>
      <c r="J1018" s="42" t="inlineStr">
        <is>
          <t>NO_DIRECT_STANDARD_MATRIX_IN_RETRIEVED_SOURCE</t>
        </is>
      </c>
      <c r="K1018" s="42" t="str"/>
      <c r="L1018" s="42" t="str"/>
      <c r="M1018" s="42" t="str"/>
      <c r="N1018" s="42" t="str"/>
      <c r="O1018" s="42" t="inlineStr">
        <is>
          <t>現行公式資料でこの窓種のSAFE 30mil規格○/×を本Revisionでは直接取得できていない。推測しない。</t>
        </is>
      </c>
    </row>
    <row r="1019">
      <c r="A1019" s="42" t="inlineStr">
        <is>
          <t>SZ-SL-001018</t>
        </is>
      </c>
      <c r="B1019" s="42" t="inlineStr">
        <is>
          <t>WT-SL-MENKOSHI-AGE-FS</t>
        </is>
      </c>
      <c r="C1019" s="42" t="inlineStr">
        <is>
          <t>面格子付上げ下げ窓FS</t>
        </is>
      </c>
      <c r="D1019" s="42" t="inlineStr">
        <is>
          <t>SP-SL-AGE-GRILLE-IGETA</t>
        </is>
      </c>
      <c r="E1019" s="42" t="inlineStr">
        <is>
          <t>06911</t>
        </is>
      </c>
      <c r="F1019" s="42" t="inlineStr">
        <is>
          <t>730</t>
        </is>
      </c>
      <c r="G1019" s="42" t="inlineStr">
        <is>
          <t>1170</t>
        </is>
      </c>
      <c r="H1019" s="42" t="inlineStr">
        <is>
          <t>True</t>
        </is>
      </c>
      <c r="I1019" s="42" t="inlineStr">
        <is>
          <t>NOT_EVALUATED</t>
        </is>
      </c>
      <c r="J1019" s="42" t="inlineStr">
        <is>
          <t>NO_DIRECT_STANDARD_MATRIX_IN_RETRIEVED_SOURCE</t>
        </is>
      </c>
      <c r="K1019" s="42" t="str"/>
      <c r="L1019" s="42" t="str"/>
      <c r="M1019" s="42" t="str"/>
      <c r="N1019" s="42" t="str"/>
      <c r="O1019" s="42" t="inlineStr">
        <is>
          <t>現行公式資料でこの窓種のSAFE 30mil規格○/×を本Revisionでは直接取得できていない。推測しない。</t>
        </is>
      </c>
    </row>
    <row r="1020">
      <c r="A1020" s="42" t="inlineStr">
        <is>
          <t>SZ-SL-001019</t>
        </is>
      </c>
      <c r="B1020" s="42" t="inlineStr">
        <is>
          <t>WT-SL-MENKOSHI-AGE-FS</t>
        </is>
      </c>
      <c r="C1020" s="42" t="inlineStr">
        <is>
          <t>面格子付上げ下げ窓FS</t>
        </is>
      </c>
      <c r="D1020" s="42" t="inlineStr">
        <is>
          <t>SP-SL-AGE-GRILLE-IGETA</t>
        </is>
      </c>
      <c r="E1020" s="42" t="inlineStr">
        <is>
          <t>07411</t>
        </is>
      </c>
      <c r="F1020" s="42" t="inlineStr">
        <is>
          <t>780</t>
        </is>
      </c>
      <c r="G1020" s="42" t="inlineStr">
        <is>
          <t>1170</t>
        </is>
      </c>
      <c r="H1020" s="42" t="inlineStr">
        <is>
          <t>True</t>
        </is>
      </c>
      <c r="I1020" s="42" t="inlineStr">
        <is>
          <t>NOT_EVALUATED</t>
        </is>
      </c>
      <c r="J1020" s="42" t="inlineStr">
        <is>
          <t>NO_DIRECT_STANDARD_MATRIX_IN_RETRIEVED_SOURCE</t>
        </is>
      </c>
      <c r="K1020" s="42" t="str"/>
      <c r="L1020" s="42" t="str"/>
      <c r="M1020" s="42" t="str"/>
      <c r="N1020" s="42" t="str"/>
      <c r="O1020" s="42" t="inlineStr">
        <is>
          <t>現行公式資料でこの窓種のSAFE 30mil規格○/×を本Revisionでは直接取得できていない。推測しない。</t>
        </is>
      </c>
    </row>
    <row r="1021">
      <c r="A1021" s="42" t="inlineStr">
        <is>
          <t>SZ-SL-001020</t>
        </is>
      </c>
      <c r="B1021" s="42" t="inlineStr">
        <is>
          <t>WT-SL-MENKOSHI-AGE-FS</t>
        </is>
      </c>
      <c r="C1021" s="42" t="inlineStr">
        <is>
          <t>面格子付上げ下げ窓FS</t>
        </is>
      </c>
      <c r="D1021" s="42" t="inlineStr">
        <is>
          <t>SP-SL-AGE-GRILLE-V</t>
        </is>
      </c>
      <c r="E1021" s="42" t="inlineStr">
        <is>
          <t>02611</t>
        </is>
      </c>
      <c r="F1021" s="42" t="inlineStr">
        <is>
          <t>300</t>
        </is>
      </c>
      <c r="G1021" s="42" t="inlineStr">
        <is>
          <t>1170</t>
        </is>
      </c>
      <c r="H1021" s="42" t="inlineStr">
        <is>
          <t>True</t>
        </is>
      </c>
      <c r="I1021" s="42" t="inlineStr">
        <is>
          <t>NOT_EVALUATED</t>
        </is>
      </c>
      <c r="J1021" s="42" t="inlineStr">
        <is>
          <t>NO_DIRECT_STANDARD_MATRIX_IN_RETRIEVED_SOURCE</t>
        </is>
      </c>
      <c r="K1021" s="42" t="str"/>
      <c r="L1021" s="42" t="str"/>
      <c r="M1021" s="42" t="str"/>
      <c r="N1021" s="42" t="str"/>
      <c r="O1021" s="42" t="inlineStr">
        <is>
          <t>現行公式資料でこの窓種のSAFE 30mil規格○/×を本Revisionでは直接取得できていない。推測しない。</t>
        </is>
      </c>
    </row>
    <row r="1022">
      <c r="A1022" s="42" t="inlineStr">
        <is>
          <t>SZ-SL-001021</t>
        </is>
      </c>
      <c r="B1022" s="42" t="inlineStr">
        <is>
          <t>WT-SL-MENKOSHI-AGE-FS</t>
        </is>
      </c>
      <c r="C1022" s="42" t="inlineStr">
        <is>
          <t>面格子付上げ下げ窓FS</t>
        </is>
      </c>
      <c r="D1022" s="42" t="inlineStr">
        <is>
          <t>SP-SL-AGE-GRILLE-V</t>
        </is>
      </c>
      <c r="E1022" s="42" t="inlineStr">
        <is>
          <t>03611</t>
        </is>
      </c>
      <c r="F1022" s="42" t="inlineStr">
        <is>
          <t>405</t>
        </is>
      </c>
      <c r="G1022" s="42" t="inlineStr">
        <is>
          <t>1170</t>
        </is>
      </c>
      <c r="H1022" s="42" t="inlineStr">
        <is>
          <t>True</t>
        </is>
      </c>
      <c r="I1022" s="42" t="inlineStr">
        <is>
          <t>NOT_EVALUATED</t>
        </is>
      </c>
      <c r="J1022" s="42" t="inlineStr">
        <is>
          <t>NO_DIRECT_STANDARD_MATRIX_IN_RETRIEVED_SOURCE</t>
        </is>
      </c>
      <c r="K1022" s="42" t="str"/>
      <c r="L1022" s="42" t="str"/>
      <c r="M1022" s="42" t="str"/>
      <c r="N1022" s="42" t="str"/>
      <c r="O1022" s="42" t="inlineStr">
        <is>
          <t>現行公式資料でこの窓種のSAFE 30mil規格○/×を本Revisionでは直接取得できていない。推測しない。</t>
        </is>
      </c>
    </row>
    <row r="1023">
      <c r="A1023" s="42" t="inlineStr">
        <is>
          <t>SZ-SL-001022</t>
        </is>
      </c>
      <c r="B1023" s="42" t="inlineStr">
        <is>
          <t>WT-SL-MENKOSHI-AGE-FS</t>
        </is>
      </c>
      <c r="C1023" s="42" t="inlineStr">
        <is>
          <t>面格子付上げ下げ窓FS</t>
        </is>
      </c>
      <c r="D1023" s="42" t="inlineStr">
        <is>
          <t>SP-SL-AGE-GRILLE-V</t>
        </is>
      </c>
      <c r="E1023" s="42" t="inlineStr">
        <is>
          <t>06011</t>
        </is>
      </c>
      <c r="F1023" s="42" t="inlineStr">
        <is>
          <t>640</t>
        </is>
      </c>
      <c r="G1023" s="42" t="inlineStr">
        <is>
          <t>1170</t>
        </is>
      </c>
      <c r="H1023" s="42" t="inlineStr">
        <is>
          <t>True</t>
        </is>
      </c>
      <c r="I1023" s="42" t="inlineStr">
        <is>
          <t>NOT_EVALUATED</t>
        </is>
      </c>
      <c r="J1023" s="42" t="inlineStr">
        <is>
          <t>NO_DIRECT_STANDARD_MATRIX_IN_RETRIEVED_SOURCE</t>
        </is>
      </c>
      <c r="K1023" s="42" t="str"/>
      <c r="L1023" s="42" t="str"/>
      <c r="M1023" s="42" t="str"/>
      <c r="N1023" s="42" t="str"/>
      <c r="O1023" s="42" t="inlineStr">
        <is>
          <t>現行公式資料でこの窓種のSAFE 30mil規格○/×を本Revisionでは直接取得できていない。推測しない。</t>
        </is>
      </c>
    </row>
    <row r="1024">
      <c r="A1024" s="42" t="inlineStr">
        <is>
          <t>SZ-SL-001023</t>
        </is>
      </c>
      <c r="B1024" s="42" t="inlineStr">
        <is>
          <t>WT-SL-MENKOSHI-AGE-FS</t>
        </is>
      </c>
      <c r="C1024" s="42" t="inlineStr">
        <is>
          <t>面格子付上げ下げ窓FS</t>
        </is>
      </c>
      <c r="D1024" s="42" t="inlineStr">
        <is>
          <t>SP-SL-AGE-GRILLE-V</t>
        </is>
      </c>
      <c r="E1024" s="42" t="inlineStr">
        <is>
          <t>06911</t>
        </is>
      </c>
      <c r="F1024" s="42" t="inlineStr">
        <is>
          <t>730</t>
        </is>
      </c>
      <c r="G1024" s="42" t="inlineStr">
        <is>
          <t>1170</t>
        </is>
      </c>
      <c r="H1024" s="42" t="inlineStr">
        <is>
          <t>True</t>
        </is>
      </c>
      <c r="I1024" s="42" t="inlineStr">
        <is>
          <t>NOT_EVALUATED</t>
        </is>
      </c>
      <c r="J1024" s="42" t="inlineStr">
        <is>
          <t>NO_DIRECT_STANDARD_MATRIX_IN_RETRIEVED_SOURCE</t>
        </is>
      </c>
      <c r="K1024" s="42" t="str"/>
      <c r="L1024" s="42" t="str"/>
      <c r="M1024" s="42" t="str"/>
      <c r="N1024" s="42" t="str"/>
      <c r="O1024" s="42" t="inlineStr">
        <is>
          <t>現行公式資料でこの窓種のSAFE 30mil規格○/×を本Revisionでは直接取得できていない。推測しない。</t>
        </is>
      </c>
    </row>
    <row r="1025">
      <c r="A1025" s="42" t="inlineStr">
        <is>
          <t>SZ-SL-001024</t>
        </is>
      </c>
      <c r="B1025" s="42" t="inlineStr">
        <is>
          <t>WT-SL-MENKOSHI-AGE-FS</t>
        </is>
      </c>
      <c r="C1025" s="42" t="inlineStr">
        <is>
          <t>面格子付上げ下げ窓FS</t>
        </is>
      </c>
      <c r="D1025" s="42" t="inlineStr">
        <is>
          <t>SP-SL-AGE-GRILLE-V</t>
        </is>
      </c>
      <c r="E1025" s="42" t="inlineStr">
        <is>
          <t>07411</t>
        </is>
      </c>
      <c r="F1025" s="42" t="inlineStr">
        <is>
          <t>780</t>
        </is>
      </c>
      <c r="G1025" s="42" t="inlineStr">
        <is>
          <t>1170</t>
        </is>
      </c>
      <c r="H1025" s="42" t="inlineStr">
        <is>
          <t>True</t>
        </is>
      </c>
      <c r="I1025" s="42" t="inlineStr">
        <is>
          <t>NOT_EVALUATED</t>
        </is>
      </c>
      <c r="J1025" s="42" t="inlineStr">
        <is>
          <t>NO_DIRECT_STANDARD_MATRIX_IN_RETRIEVED_SOURCE</t>
        </is>
      </c>
      <c r="K1025" s="42" t="str"/>
      <c r="L1025" s="42" t="str"/>
      <c r="M1025" s="42" t="str"/>
      <c r="N1025" s="42" t="str"/>
      <c r="O1025" s="42" t="inlineStr">
        <is>
          <t>現行公式資料でこの窓種のSAFE 30mil規格○/×を本Revisionでは直接取得できていない。推測しない。</t>
        </is>
      </c>
    </row>
    <row r="1026">
      <c r="A1026" s="42" t="inlineStr">
        <is>
          <t>SZ-SL-001025</t>
        </is>
      </c>
      <c r="B1026" s="42" t="inlineStr">
        <is>
          <t>WT-SL-MENKOSHI-AGE-FS</t>
        </is>
      </c>
      <c r="C1026" s="42" t="inlineStr">
        <is>
          <t>面格子付上げ下げ窓FS</t>
        </is>
      </c>
      <c r="D1026" s="42" t="inlineStr">
        <is>
          <t>SP-SL-AGE-GRILLE-DIA</t>
        </is>
      </c>
      <c r="E1026" s="42" t="inlineStr">
        <is>
          <t>02613</t>
        </is>
      </c>
      <c r="F1026" s="42" t="inlineStr">
        <is>
          <t>300</t>
        </is>
      </c>
      <c r="G1026" s="42" t="inlineStr">
        <is>
          <t>1370</t>
        </is>
      </c>
      <c r="H1026" s="42" t="inlineStr">
        <is>
          <t>True</t>
        </is>
      </c>
      <c r="I1026" s="42" t="inlineStr">
        <is>
          <t>NOT_EVALUATED</t>
        </is>
      </c>
      <c r="J1026" s="42" t="inlineStr">
        <is>
          <t>NO_DIRECT_STANDARD_MATRIX_IN_RETRIEVED_SOURCE</t>
        </is>
      </c>
      <c r="K1026" s="42" t="str"/>
      <c r="L1026" s="42" t="str"/>
      <c r="M1026" s="42" t="str"/>
      <c r="N1026" s="42" t="str"/>
      <c r="O1026" s="42" t="inlineStr">
        <is>
          <t>現行公式資料でこの窓種のSAFE 30mil規格○/×を本Revisionでは直接取得できていない。推測しない。</t>
        </is>
      </c>
    </row>
    <row r="1027">
      <c r="A1027" s="42" t="inlineStr">
        <is>
          <t>SZ-SL-001026</t>
        </is>
      </c>
      <c r="B1027" s="42" t="inlineStr">
        <is>
          <t>WT-SL-MENKOSHI-AGE-FS</t>
        </is>
      </c>
      <c r="C1027" s="42" t="inlineStr">
        <is>
          <t>面格子付上げ下げ窓FS</t>
        </is>
      </c>
      <c r="D1027" s="42" t="inlineStr">
        <is>
          <t>SP-SL-AGE-GRILLE-DIA</t>
        </is>
      </c>
      <c r="E1027" s="42" t="inlineStr">
        <is>
          <t>03613</t>
        </is>
      </c>
      <c r="F1027" s="42" t="inlineStr">
        <is>
          <t>405</t>
        </is>
      </c>
      <c r="G1027" s="42" t="inlineStr">
        <is>
          <t>1370</t>
        </is>
      </c>
      <c r="H1027" s="42" t="inlineStr">
        <is>
          <t>True</t>
        </is>
      </c>
      <c r="I1027" s="42" t="inlineStr">
        <is>
          <t>NOT_EVALUATED</t>
        </is>
      </c>
      <c r="J1027" s="42" t="inlineStr">
        <is>
          <t>NO_DIRECT_STANDARD_MATRIX_IN_RETRIEVED_SOURCE</t>
        </is>
      </c>
      <c r="K1027" s="42" t="str"/>
      <c r="L1027" s="42" t="str"/>
      <c r="M1027" s="42" t="str"/>
      <c r="N1027" s="42" t="str"/>
      <c r="O1027" s="42" t="inlineStr">
        <is>
          <t>現行公式資料でこの窓種のSAFE 30mil規格○/×を本Revisionでは直接取得できていない。推測しない。</t>
        </is>
      </c>
    </row>
    <row r="1028">
      <c r="A1028" s="42" t="inlineStr">
        <is>
          <t>SZ-SL-001027</t>
        </is>
      </c>
      <c r="B1028" s="42" t="inlineStr">
        <is>
          <t>WT-SL-MENKOSHI-AGE-FS</t>
        </is>
      </c>
      <c r="C1028" s="42" t="inlineStr">
        <is>
          <t>面格子付上げ下げ窓FS</t>
        </is>
      </c>
      <c r="D1028" s="42" t="inlineStr">
        <is>
          <t>SP-SL-AGE-GRILLE-DIA</t>
        </is>
      </c>
      <c r="E1028" s="42" t="inlineStr">
        <is>
          <t>06013</t>
        </is>
      </c>
      <c r="F1028" s="42" t="inlineStr">
        <is>
          <t>640</t>
        </is>
      </c>
      <c r="G1028" s="42" t="inlineStr">
        <is>
          <t>1370</t>
        </is>
      </c>
      <c r="H1028" s="42" t="inlineStr">
        <is>
          <t>True</t>
        </is>
      </c>
      <c r="I1028" s="42" t="inlineStr">
        <is>
          <t>NOT_EVALUATED</t>
        </is>
      </c>
      <c r="J1028" s="42" t="inlineStr">
        <is>
          <t>NO_DIRECT_STANDARD_MATRIX_IN_RETRIEVED_SOURCE</t>
        </is>
      </c>
      <c r="K1028" s="42" t="str"/>
      <c r="L1028" s="42" t="str"/>
      <c r="M1028" s="42" t="str"/>
      <c r="N1028" s="42" t="str"/>
      <c r="O1028" s="42" t="inlineStr">
        <is>
          <t>現行公式資料でこの窓種のSAFE 30mil規格○/×を本Revisionでは直接取得できていない。推測しない。</t>
        </is>
      </c>
    </row>
    <row r="1029">
      <c r="A1029" s="42" t="inlineStr">
        <is>
          <t>SZ-SL-001028</t>
        </is>
      </c>
      <c r="B1029" s="42" t="inlineStr">
        <is>
          <t>WT-SL-MENKOSHI-AGE-FS</t>
        </is>
      </c>
      <c r="C1029" s="42" t="inlineStr">
        <is>
          <t>面格子付上げ下げ窓FS</t>
        </is>
      </c>
      <c r="D1029" s="42" t="inlineStr">
        <is>
          <t>SP-SL-AGE-GRILLE-DIA</t>
        </is>
      </c>
      <c r="E1029" s="42" t="inlineStr">
        <is>
          <t>06913</t>
        </is>
      </c>
      <c r="F1029" s="42" t="inlineStr">
        <is>
          <t>730</t>
        </is>
      </c>
      <c r="G1029" s="42" t="inlineStr">
        <is>
          <t>1370</t>
        </is>
      </c>
      <c r="H1029" s="42" t="inlineStr">
        <is>
          <t>True</t>
        </is>
      </c>
      <c r="I1029" s="42" t="inlineStr">
        <is>
          <t>NOT_EVALUATED</t>
        </is>
      </c>
      <c r="J1029" s="42" t="inlineStr">
        <is>
          <t>NO_DIRECT_STANDARD_MATRIX_IN_RETRIEVED_SOURCE</t>
        </is>
      </c>
      <c r="K1029" s="42" t="str"/>
      <c r="L1029" s="42" t="str"/>
      <c r="M1029" s="42" t="str"/>
      <c r="N1029" s="42" t="str"/>
      <c r="O1029" s="42" t="inlineStr">
        <is>
          <t>現行公式資料でこの窓種のSAFE 30mil規格○/×を本Revisionでは直接取得できていない。推測しない。</t>
        </is>
      </c>
    </row>
    <row r="1030">
      <c r="A1030" s="42" t="inlineStr">
        <is>
          <t>SZ-SL-001029</t>
        </is>
      </c>
      <c r="B1030" s="42" t="inlineStr">
        <is>
          <t>WT-SL-MENKOSHI-AGE-FS</t>
        </is>
      </c>
      <c r="C1030" s="42" t="inlineStr">
        <is>
          <t>面格子付上げ下げ窓FS</t>
        </is>
      </c>
      <c r="D1030" s="42" t="inlineStr">
        <is>
          <t>SP-SL-AGE-GRILLE-DIA</t>
        </is>
      </c>
      <c r="E1030" s="42" t="inlineStr">
        <is>
          <t>07413</t>
        </is>
      </c>
      <c r="F1030" s="42" t="inlineStr">
        <is>
          <t>780</t>
        </is>
      </c>
      <c r="G1030" s="42" t="inlineStr">
        <is>
          <t>1370</t>
        </is>
      </c>
      <c r="H1030" s="42" t="inlineStr">
        <is>
          <t>True</t>
        </is>
      </c>
      <c r="I1030" s="42" t="inlineStr">
        <is>
          <t>NOT_EVALUATED</t>
        </is>
      </c>
      <c r="J1030" s="42" t="inlineStr">
        <is>
          <t>NO_DIRECT_STANDARD_MATRIX_IN_RETRIEVED_SOURCE</t>
        </is>
      </c>
      <c r="K1030" s="42" t="str"/>
      <c r="L1030" s="42" t="str"/>
      <c r="M1030" s="42" t="str"/>
      <c r="N1030" s="42" t="str"/>
      <c r="O1030" s="42" t="inlineStr">
        <is>
          <t>現行公式資料でこの窓種のSAFE 30mil規格○/×を本Revisionでは直接取得できていない。推測しない。</t>
        </is>
      </c>
    </row>
    <row r="1031">
      <c r="A1031" s="42" t="inlineStr">
        <is>
          <t>SZ-SL-001030</t>
        </is>
      </c>
      <c r="B1031" s="42" t="inlineStr">
        <is>
          <t>WT-SL-MENKOSHI-AGE-FS</t>
        </is>
      </c>
      <c r="C1031" s="42" t="inlineStr">
        <is>
          <t>面格子付上げ下げ窓FS</t>
        </is>
      </c>
      <c r="D1031" s="42" t="inlineStr">
        <is>
          <t>SP-SL-AGE-GRILLE-H</t>
        </is>
      </c>
      <c r="E1031" s="42" t="inlineStr">
        <is>
          <t>02613</t>
        </is>
      </c>
      <c r="F1031" s="42" t="inlineStr">
        <is>
          <t>300</t>
        </is>
      </c>
      <c r="G1031" s="42" t="inlineStr">
        <is>
          <t>1370</t>
        </is>
      </c>
      <c r="H1031" s="42" t="inlineStr">
        <is>
          <t>True</t>
        </is>
      </c>
      <c r="I1031" s="42" t="inlineStr">
        <is>
          <t>NOT_EVALUATED</t>
        </is>
      </c>
      <c r="J1031" s="42" t="inlineStr">
        <is>
          <t>NO_DIRECT_STANDARD_MATRIX_IN_RETRIEVED_SOURCE</t>
        </is>
      </c>
      <c r="K1031" s="42" t="str"/>
      <c r="L1031" s="42" t="str"/>
      <c r="M1031" s="42" t="str"/>
      <c r="N1031" s="42" t="str"/>
      <c r="O1031" s="42" t="inlineStr">
        <is>
          <t>現行公式資料でこの窓種のSAFE 30mil規格○/×を本Revisionでは直接取得できていない。推測しない。</t>
        </is>
      </c>
    </row>
    <row r="1032">
      <c r="A1032" s="42" t="inlineStr">
        <is>
          <t>SZ-SL-001031</t>
        </is>
      </c>
      <c r="B1032" s="42" t="inlineStr">
        <is>
          <t>WT-SL-MENKOSHI-AGE-FS</t>
        </is>
      </c>
      <c r="C1032" s="42" t="inlineStr">
        <is>
          <t>面格子付上げ下げ窓FS</t>
        </is>
      </c>
      <c r="D1032" s="42" t="inlineStr">
        <is>
          <t>SP-SL-AGE-GRILLE-H</t>
        </is>
      </c>
      <c r="E1032" s="42" t="inlineStr">
        <is>
          <t>03613</t>
        </is>
      </c>
      <c r="F1032" s="42" t="inlineStr">
        <is>
          <t>405</t>
        </is>
      </c>
      <c r="G1032" s="42" t="inlineStr">
        <is>
          <t>1370</t>
        </is>
      </c>
      <c r="H1032" s="42" t="inlineStr">
        <is>
          <t>True</t>
        </is>
      </c>
      <c r="I1032" s="42" t="inlineStr">
        <is>
          <t>NOT_EVALUATED</t>
        </is>
      </c>
      <c r="J1032" s="42" t="inlineStr">
        <is>
          <t>NO_DIRECT_STANDARD_MATRIX_IN_RETRIEVED_SOURCE</t>
        </is>
      </c>
      <c r="K1032" s="42" t="str"/>
      <c r="L1032" s="42" t="str"/>
      <c r="M1032" s="42" t="str"/>
      <c r="N1032" s="42" t="str"/>
      <c r="O1032" s="42" t="inlineStr">
        <is>
          <t>現行公式資料でこの窓種のSAFE 30mil規格○/×を本Revisionでは直接取得できていない。推測しない。</t>
        </is>
      </c>
    </row>
    <row r="1033">
      <c r="A1033" s="42" t="inlineStr">
        <is>
          <t>SZ-SL-001032</t>
        </is>
      </c>
      <c r="B1033" s="42" t="inlineStr">
        <is>
          <t>WT-SL-MENKOSHI-AGE-FS</t>
        </is>
      </c>
      <c r="C1033" s="42" t="inlineStr">
        <is>
          <t>面格子付上げ下げ窓FS</t>
        </is>
      </c>
      <c r="D1033" s="42" t="inlineStr">
        <is>
          <t>SP-SL-AGE-GRILLE-H</t>
        </is>
      </c>
      <c r="E1033" s="42" t="inlineStr">
        <is>
          <t>06013</t>
        </is>
      </c>
      <c r="F1033" s="42" t="inlineStr">
        <is>
          <t>640</t>
        </is>
      </c>
      <c r="G1033" s="42" t="inlineStr">
        <is>
          <t>1370</t>
        </is>
      </c>
      <c r="H1033" s="42" t="inlineStr">
        <is>
          <t>True</t>
        </is>
      </c>
      <c r="I1033" s="42" t="inlineStr">
        <is>
          <t>NOT_EVALUATED</t>
        </is>
      </c>
      <c r="J1033" s="42" t="inlineStr">
        <is>
          <t>NO_DIRECT_STANDARD_MATRIX_IN_RETRIEVED_SOURCE</t>
        </is>
      </c>
      <c r="K1033" s="42" t="str"/>
      <c r="L1033" s="42" t="str"/>
      <c r="M1033" s="42" t="str"/>
      <c r="N1033" s="42" t="str"/>
      <c r="O1033" s="42" t="inlineStr">
        <is>
          <t>現行公式資料でこの窓種のSAFE 30mil規格○/×を本Revisionでは直接取得できていない。推測しない。</t>
        </is>
      </c>
    </row>
    <row r="1034">
      <c r="A1034" s="42" t="inlineStr">
        <is>
          <t>SZ-SL-001033</t>
        </is>
      </c>
      <c r="B1034" s="42" t="inlineStr">
        <is>
          <t>WT-SL-MENKOSHI-AGE-FS</t>
        </is>
      </c>
      <c r="C1034" s="42" t="inlineStr">
        <is>
          <t>面格子付上げ下げ窓FS</t>
        </is>
      </c>
      <c r="D1034" s="42" t="inlineStr">
        <is>
          <t>SP-SL-AGE-GRILLE-H</t>
        </is>
      </c>
      <c r="E1034" s="42" t="inlineStr">
        <is>
          <t>06913</t>
        </is>
      </c>
      <c r="F1034" s="42" t="inlineStr">
        <is>
          <t>730</t>
        </is>
      </c>
      <c r="G1034" s="42" t="inlineStr">
        <is>
          <t>1370</t>
        </is>
      </c>
      <c r="H1034" s="42" t="inlineStr">
        <is>
          <t>True</t>
        </is>
      </c>
      <c r="I1034" s="42" t="inlineStr">
        <is>
          <t>NOT_EVALUATED</t>
        </is>
      </c>
      <c r="J1034" s="42" t="inlineStr">
        <is>
          <t>NO_DIRECT_STANDARD_MATRIX_IN_RETRIEVED_SOURCE</t>
        </is>
      </c>
      <c r="K1034" s="42" t="str"/>
      <c r="L1034" s="42" t="str"/>
      <c r="M1034" s="42" t="str"/>
      <c r="N1034" s="42" t="str"/>
      <c r="O1034" s="42" t="inlineStr">
        <is>
          <t>現行公式資料でこの窓種のSAFE 30mil規格○/×を本Revisionでは直接取得できていない。推測しない。</t>
        </is>
      </c>
    </row>
    <row r="1035">
      <c r="A1035" s="42" t="inlineStr">
        <is>
          <t>SZ-SL-001034</t>
        </is>
      </c>
      <c r="B1035" s="42" t="inlineStr">
        <is>
          <t>WT-SL-MENKOSHI-AGE-FS</t>
        </is>
      </c>
      <c r="C1035" s="42" t="inlineStr">
        <is>
          <t>面格子付上げ下げ窓FS</t>
        </is>
      </c>
      <c r="D1035" s="42" t="inlineStr">
        <is>
          <t>SP-SL-AGE-GRILLE-H</t>
        </is>
      </c>
      <c r="E1035" s="42" t="inlineStr">
        <is>
          <t>07413</t>
        </is>
      </c>
      <c r="F1035" s="42" t="inlineStr">
        <is>
          <t>780</t>
        </is>
      </c>
      <c r="G1035" s="42" t="inlineStr">
        <is>
          <t>1370</t>
        </is>
      </c>
      <c r="H1035" s="42" t="inlineStr">
        <is>
          <t>True</t>
        </is>
      </c>
      <c r="I1035" s="42" t="inlineStr">
        <is>
          <t>NOT_EVALUATED</t>
        </is>
      </c>
      <c r="J1035" s="42" t="inlineStr">
        <is>
          <t>NO_DIRECT_STANDARD_MATRIX_IN_RETRIEVED_SOURCE</t>
        </is>
      </c>
      <c r="K1035" s="42" t="str"/>
      <c r="L1035" s="42" t="str"/>
      <c r="M1035" s="42" t="str"/>
      <c r="N1035" s="42" t="str"/>
      <c r="O1035" s="42" t="inlineStr">
        <is>
          <t>現行公式資料でこの窓種のSAFE 30mil規格○/×を本Revisionでは直接取得できていない。推測しない。</t>
        </is>
      </c>
    </row>
    <row r="1036">
      <c r="A1036" s="42" t="inlineStr">
        <is>
          <t>SZ-SL-001035</t>
        </is>
      </c>
      <c r="B1036" s="42" t="inlineStr">
        <is>
          <t>WT-SL-MENKOSHI-AGE-FS</t>
        </is>
      </c>
      <c r="C1036" s="42" t="inlineStr">
        <is>
          <t>面格子付上げ下げ窓FS</t>
        </is>
      </c>
      <c r="D1036" s="42" t="inlineStr">
        <is>
          <t>SP-SL-AGE-GRILLE-IGETA</t>
        </is>
      </c>
      <c r="E1036" s="42" t="inlineStr">
        <is>
          <t>02613</t>
        </is>
      </c>
      <c r="F1036" s="42" t="inlineStr">
        <is>
          <t>300</t>
        </is>
      </c>
      <c r="G1036" s="42" t="inlineStr">
        <is>
          <t>1370</t>
        </is>
      </c>
      <c r="H1036" s="42" t="inlineStr">
        <is>
          <t>True</t>
        </is>
      </c>
      <c r="I1036" s="42" t="inlineStr">
        <is>
          <t>NOT_EVALUATED</t>
        </is>
      </c>
      <c r="J1036" s="42" t="inlineStr">
        <is>
          <t>NO_DIRECT_STANDARD_MATRIX_IN_RETRIEVED_SOURCE</t>
        </is>
      </c>
      <c r="K1036" s="42" t="str"/>
      <c r="L1036" s="42" t="str"/>
      <c r="M1036" s="42" t="str"/>
      <c r="N1036" s="42" t="str"/>
      <c r="O1036" s="42" t="inlineStr">
        <is>
          <t>現行公式資料でこの窓種のSAFE 30mil規格○/×を本Revisionでは直接取得できていない。推測しない。</t>
        </is>
      </c>
    </row>
    <row r="1037">
      <c r="A1037" s="42" t="inlineStr">
        <is>
          <t>SZ-SL-001036</t>
        </is>
      </c>
      <c r="B1037" s="42" t="inlineStr">
        <is>
          <t>WT-SL-MENKOSHI-AGE-FS</t>
        </is>
      </c>
      <c r="C1037" s="42" t="inlineStr">
        <is>
          <t>面格子付上げ下げ窓FS</t>
        </is>
      </c>
      <c r="D1037" s="42" t="inlineStr">
        <is>
          <t>SP-SL-AGE-GRILLE-IGETA</t>
        </is>
      </c>
      <c r="E1037" s="42" t="inlineStr">
        <is>
          <t>03613</t>
        </is>
      </c>
      <c r="F1037" s="42" t="inlineStr">
        <is>
          <t>405</t>
        </is>
      </c>
      <c r="G1037" s="42" t="inlineStr">
        <is>
          <t>1370</t>
        </is>
      </c>
      <c r="H1037" s="42" t="inlineStr">
        <is>
          <t>True</t>
        </is>
      </c>
      <c r="I1037" s="42" t="inlineStr">
        <is>
          <t>NOT_EVALUATED</t>
        </is>
      </c>
      <c r="J1037" s="42" t="inlineStr">
        <is>
          <t>NO_DIRECT_STANDARD_MATRIX_IN_RETRIEVED_SOURCE</t>
        </is>
      </c>
      <c r="K1037" s="42" t="str"/>
      <c r="L1037" s="42" t="str"/>
      <c r="M1037" s="42" t="str"/>
      <c r="N1037" s="42" t="str"/>
      <c r="O1037" s="42" t="inlineStr">
        <is>
          <t>現行公式資料でこの窓種のSAFE 30mil規格○/×を本Revisionでは直接取得できていない。推測しない。</t>
        </is>
      </c>
    </row>
    <row r="1038">
      <c r="A1038" s="42" t="inlineStr">
        <is>
          <t>SZ-SL-001037</t>
        </is>
      </c>
      <c r="B1038" s="42" t="inlineStr">
        <is>
          <t>WT-SL-MENKOSHI-AGE-FS</t>
        </is>
      </c>
      <c r="C1038" s="42" t="inlineStr">
        <is>
          <t>面格子付上げ下げ窓FS</t>
        </is>
      </c>
      <c r="D1038" s="42" t="inlineStr">
        <is>
          <t>SP-SL-AGE-GRILLE-IGETA</t>
        </is>
      </c>
      <c r="E1038" s="42" t="inlineStr">
        <is>
          <t>06013</t>
        </is>
      </c>
      <c r="F1038" s="42" t="inlineStr">
        <is>
          <t>640</t>
        </is>
      </c>
      <c r="G1038" s="42" t="inlineStr">
        <is>
          <t>1370</t>
        </is>
      </c>
      <c r="H1038" s="42" t="inlineStr">
        <is>
          <t>True</t>
        </is>
      </c>
      <c r="I1038" s="42" t="inlineStr">
        <is>
          <t>NOT_EVALUATED</t>
        </is>
      </c>
      <c r="J1038" s="42" t="inlineStr">
        <is>
          <t>NO_DIRECT_STANDARD_MATRIX_IN_RETRIEVED_SOURCE</t>
        </is>
      </c>
      <c r="K1038" s="42" t="str"/>
      <c r="L1038" s="42" t="str"/>
      <c r="M1038" s="42" t="str"/>
      <c r="N1038" s="42" t="str"/>
      <c r="O1038" s="42" t="inlineStr">
        <is>
          <t>現行公式資料でこの窓種のSAFE 30mil規格○/×を本Revisionでは直接取得できていない。推測しない。</t>
        </is>
      </c>
    </row>
    <row r="1039">
      <c r="A1039" s="42" t="inlineStr">
        <is>
          <t>SZ-SL-001038</t>
        </is>
      </c>
      <c r="B1039" s="42" t="inlineStr">
        <is>
          <t>WT-SL-MENKOSHI-AGE-FS</t>
        </is>
      </c>
      <c r="C1039" s="42" t="inlineStr">
        <is>
          <t>面格子付上げ下げ窓FS</t>
        </is>
      </c>
      <c r="D1039" s="42" t="inlineStr">
        <is>
          <t>SP-SL-AGE-GRILLE-IGETA</t>
        </is>
      </c>
      <c r="E1039" s="42" t="inlineStr">
        <is>
          <t>06913</t>
        </is>
      </c>
      <c r="F1039" s="42" t="inlineStr">
        <is>
          <t>730</t>
        </is>
      </c>
      <c r="G1039" s="42" t="inlineStr">
        <is>
          <t>1370</t>
        </is>
      </c>
      <c r="H1039" s="42" t="inlineStr">
        <is>
          <t>True</t>
        </is>
      </c>
      <c r="I1039" s="42" t="inlineStr">
        <is>
          <t>NOT_EVALUATED</t>
        </is>
      </c>
      <c r="J1039" s="42" t="inlineStr">
        <is>
          <t>NO_DIRECT_STANDARD_MATRIX_IN_RETRIEVED_SOURCE</t>
        </is>
      </c>
      <c r="K1039" s="42" t="str"/>
      <c r="L1039" s="42" t="str"/>
      <c r="M1039" s="42" t="str"/>
      <c r="N1039" s="42" t="str"/>
      <c r="O1039" s="42" t="inlineStr">
        <is>
          <t>現行公式資料でこの窓種のSAFE 30mil規格○/×を本Revisionでは直接取得できていない。推測しない。</t>
        </is>
      </c>
    </row>
    <row r="1040">
      <c r="A1040" s="42" t="inlineStr">
        <is>
          <t>SZ-SL-001039</t>
        </is>
      </c>
      <c r="B1040" s="42" t="inlineStr">
        <is>
          <t>WT-SL-MENKOSHI-AGE-FS</t>
        </is>
      </c>
      <c r="C1040" s="42" t="inlineStr">
        <is>
          <t>面格子付上げ下げ窓FS</t>
        </is>
      </c>
      <c r="D1040" s="42" t="inlineStr">
        <is>
          <t>SP-SL-AGE-GRILLE-IGETA</t>
        </is>
      </c>
      <c r="E1040" s="42" t="inlineStr">
        <is>
          <t>07413</t>
        </is>
      </c>
      <c r="F1040" s="42" t="inlineStr">
        <is>
          <t>780</t>
        </is>
      </c>
      <c r="G1040" s="42" t="inlineStr">
        <is>
          <t>1370</t>
        </is>
      </c>
      <c r="H1040" s="42" t="inlineStr">
        <is>
          <t>True</t>
        </is>
      </c>
      <c r="I1040" s="42" t="inlineStr">
        <is>
          <t>NOT_EVALUATED</t>
        </is>
      </c>
      <c r="J1040" s="42" t="inlineStr">
        <is>
          <t>NO_DIRECT_STANDARD_MATRIX_IN_RETRIEVED_SOURCE</t>
        </is>
      </c>
      <c r="K1040" s="42" t="str"/>
      <c r="L1040" s="42" t="str"/>
      <c r="M1040" s="42" t="str"/>
      <c r="N1040" s="42" t="str"/>
      <c r="O1040" s="42" t="inlineStr">
        <is>
          <t>現行公式資料でこの窓種のSAFE 30mil規格○/×を本Revisionでは直接取得できていない。推測しない。</t>
        </is>
      </c>
    </row>
    <row r="1041">
      <c r="A1041" s="42" t="inlineStr">
        <is>
          <t>SZ-SL-001040</t>
        </is>
      </c>
      <c r="B1041" s="42" t="inlineStr">
        <is>
          <t>WT-SL-MENKOSHI-AGE-FS</t>
        </is>
      </c>
      <c r="C1041" s="42" t="inlineStr">
        <is>
          <t>面格子付上げ下げ窓FS</t>
        </is>
      </c>
      <c r="D1041" s="42" t="inlineStr">
        <is>
          <t>SP-SL-AGE-GRILLE-V</t>
        </is>
      </c>
      <c r="E1041" s="42" t="inlineStr">
        <is>
          <t>02613</t>
        </is>
      </c>
      <c r="F1041" s="42" t="inlineStr">
        <is>
          <t>300</t>
        </is>
      </c>
      <c r="G1041" s="42" t="inlineStr">
        <is>
          <t>1370</t>
        </is>
      </c>
      <c r="H1041" s="42" t="inlineStr">
        <is>
          <t>True</t>
        </is>
      </c>
      <c r="I1041" s="42" t="inlineStr">
        <is>
          <t>NOT_EVALUATED</t>
        </is>
      </c>
      <c r="J1041" s="42" t="inlineStr">
        <is>
          <t>NO_DIRECT_STANDARD_MATRIX_IN_RETRIEVED_SOURCE</t>
        </is>
      </c>
      <c r="K1041" s="42" t="str"/>
      <c r="L1041" s="42" t="str"/>
      <c r="M1041" s="42" t="str"/>
      <c r="N1041" s="42" t="str"/>
      <c r="O1041" s="42" t="inlineStr">
        <is>
          <t>現行公式資料でこの窓種のSAFE 30mil規格○/×を本Revisionでは直接取得できていない。推測しない。</t>
        </is>
      </c>
    </row>
    <row r="1042">
      <c r="A1042" s="42" t="inlineStr">
        <is>
          <t>SZ-SL-001041</t>
        </is>
      </c>
      <c r="B1042" s="42" t="inlineStr">
        <is>
          <t>WT-SL-MENKOSHI-AGE-FS</t>
        </is>
      </c>
      <c r="C1042" s="42" t="inlineStr">
        <is>
          <t>面格子付上げ下げ窓FS</t>
        </is>
      </c>
      <c r="D1042" s="42" t="inlineStr">
        <is>
          <t>SP-SL-AGE-GRILLE-V</t>
        </is>
      </c>
      <c r="E1042" s="42" t="inlineStr">
        <is>
          <t>03613</t>
        </is>
      </c>
      <c r="F1042" s="42" t="inlineStr">
        <is>
          <t>405</t>
        </is>
      </c>
      <c r="G1042" s="42" t="inlineStr">
        <is>
          <t>1370</t>
        </is>
      </c>
      <c r="H1042" s="42" t="inlineStr">
        <is>
          <t>True</t>
        </is>
      </c>
      <c r="I1042" s="42" t="inlineStr">
        <is>
          <t>NOT_EVALUATED</t>
        </is>
      </c>
      <c r="J1042" s="42" t="inlineStr">
        <is>
          <t>NO_DIRECT_STANDARD_MATRIX_IN_RETRIEVED_SOURCE</t>
        </is>
      </c>
      <c r="K1042" s="42" t="str"/>
      <c r="L1042" s="42" t="str"/>
      <c r="M1042" s="42" t="str"/>
      <c r="N1042" s="42" t="str"/>
      <c r="O1042" s="42" t="inlineStr">
        <is>
          <t>現行公式資料でこの窓種のSAFE 30mil規格○/×を本Revisionでは直接取得できていない。推測しない。</t>
        </is>
      </c>
    </row>
    <row r="1043">
      <c r="A1043" s="42" t="inlineStr">
        <is>
          <t>SZ-SL-001042</t>
        </is>
      </c>
      <c r="B1043" s="42" t="inlineStr">
        <is>
          <t>WT-SL-MENKOSHI-AGE-FS</t>
        </is>
      </c>
      <c r="C1043" s="42" t="inlineStr">
        <is>
          <t>面格子付上げ下げ窓FS</t>
        </is>
      </c>
      <c r="D1043" s="42" t="inlineStr">
        <is>
          <t>SP-SL-AGE-GRILLE-V</t>
        </is>
      </c>
      <c r="E1043" s="42" t="inlineStr">
        <is>
          <t>06013</t>
        </is>
      </c>
      <c r="F1043" s="42" t="inlineStr">
        <is>
          <t>640</t>
        </is>
      </c>
      <c r="G1043" s="42" t="inlineStr">
        <is>
          <t>1370</t>
        </is>
      </c>
      <c r="H1043" s="42" t="inlineStr">
        <is>
          <t>True</t>
        </is>
      </c>
      <c r="I1043" s="42" t="inlineStr">
        <is>
          <t>NOT_EVALUATED</t>
        </is>
      </c>
      <c r="J1043" s="42" t="inlineStr">
        <is>
          <t>NO_DIRECT_STANDARD_MATRIX_IN_RETRIEVED_SOURCE</t>
        </is>
      </c>
      <c r="K1043" s="42" t="str"/>
      <c r="L1043" s="42" t="str"/>
      <c r="M1043" s="42" t="str"/>
      <c r="N1043" s="42" t="str"/>
      <c r="O1043" s="42" t="inlineStr">
        <is>
          <t>現行公式資料でこの窓種のSAFE 30mil規格○/×を本Revisionでは直接取得できていない。推測しない。</t>
        </is>
      </c>
    </row>
    <row r="1044">
      <c r="A1044" s="42" t="inlineStr">
        <is>
          <t>SZ-SL-001043</t>
        </is>
      </c>
      <c r="B1044" s="42" t="inlineStr">
        <is>
          <t>WT-SL-MENKOSHI-AGE-FS</t>
        </is>
      </c>
      <c r="C1044" s="42" t="inlineStr">
        <is>
          <t>面格子付上げ下げ窓FS</t>
        </is>
      </c>
      <c r="D1044" s="42" t="inlineStr">
        <is>
          <t>SP-SL-AGE-GRILLE-V</t>
        </is>
      </c>
      <c r="E1044" s="42" t="inlineStr">
        <is>
          <t>06913</t>
        </is>
      </c>
      <c r="F1044" s="42" t="inlineStr">
        <is>
          <t>730</t>
        </is>
      </c>
      <c r="G1044" s="42" t="inlineStr">
        <is>
          <t>1370</t>
        </is>
      </c>
      <c r="H1044" s="42" t="inlineStr">
        <is>
          <t>True</t>
        </is>
      </c>
      <c r="I1044" s="42" t="inlineStr">
        <is>
          <t>NOT_EVALUATED</t>
        </is>
      </c>
      <c r="J1044" s="42" t="inlineStr">
        <is>
          <t>NO_DIRECT_STANDARD_MATRIX_IN_RETRIEVED_SOURCE</t>
        </is>
      </c>
      <c r="K1044" s="42" t="str"/>
      <c r="L1044" s="42" t="str"/>
      <c r="M1044" s="42" t="str"/>
      <c r="N1044" s="42" t="str"/>
      <c r="O1044" s="42" t="inlineStr">
        <is>
          <t>現行公式資料でこの窓種のSAFE 30mil規格○/×を本Revisionでは直接取得できていない。推測しない。</t>
        </is>
      </c>
    </row>
    <row r="1045">
      <c r="A1045" s="42" t="inlineStr">
        <is>
          <t>SZ-SL-001044</t>
        </is>
      </c>
      <c r="B1045" s="42" t="inlineStr">
        <is>
          <t>WT-SL-MENKOSHI-AGE-FS</t>
        </is>
      </c>
      <c r="C1045" s="42" t="inlineStr">
        <is>
          <t>面格子付上げ下げ窓FS</t>
        </is>
      </c>
      <c r="D1045" s="42" t="inlineStr">
        <is>
          <t>SP-SL-AGE-GRILLE-V</t>
        </is>
      </c>
      <c r="E1045" s="42" t="inlineStr">
        <is>
          <t>07413</t>
        </is>
      </c>
      <c r="F1045" s="42" t="inlineStr">
        <is>
          <t>780</t>
        </is>
      </c>
      <c r="G1045" s="42" t="inlineStr">
        <is>
          <t>1370</t>
        </is>
      </c>
      <c r="H1045" s="42" t="inlineStr">
        <is>
          <t>True</t>
        </is>
      </c>
      <c r="I1045" s="42" t="inlineStr">
        <is>
          <t>NOT_EVALUATED</t>
        </is>
      </c>
      <c r="J1045" s="42" t="inlineStr">
        <is>
          <t>NO_DIRECT_STANDARD_MATRIX_IN_RETRIEVED_SOURCE</t>
        </is>
      </c>
      <c r="K1045" s="42" t="str"/>
      <c r="L1045" s="42" t="str"/>
      <c r="M1045" s="42" t="str"/>
      <c r="N1045" s="42" t="str"/>
      <c r="O1045" s="42" t="inlineStr">
        <is>
          <t>現行公式資料でこの窓種のSAFE 30mil規格○/×を本Revisionでは直接取得できていない。推測しない。</t>
        </is>
      </c>
    </row>
    <row r="1046">
      <c r="A1046" s="42" t="inlineStr">
        <is>
          <t>SZ-SL-001045</t>
        </is>
      </c>
      <c r="B1046" s="42" t="inlineStr">
        <is>
          <t>WT-SL-FIX-OUT</t>
        </is>
      </c>
      <c r="C1046" s="42" t="inlineStr">
        <is>
          <t>FIX窓（外押縁タイプ）</t>
        </is>
      </c>
      <c r="D1046" s="42" t="str"/>
      <c r="E1046" s="42" t="inlineStr">
        <is>
          <t>016013</t>
        </is>
      </c>
      <c r="F1046" s="42" t="inlineStr">
        <is>
          <t>200</t>
        </is>
      </c>
      <c r="G1046" s="42" t="inlineStr">
        <is>
          <t>200</t>
        </is>
      </c>
      <c r="H1046" s="42" t="inlineStr">
        <is>
          <t>True</t>
        </is>
      </c>
      <c r="I1046" s="42" t="inlineStr">
        <is>
          <t>NOT_EVALUATED</t>
        </is>
      </c>
      <c r="J1046" s="42" t="inlineStr">
        <is>
          <t>NO_DIRECT_STANDARD_MATRIX_IN_RETRIEVED_SOURCE</t>
        </is>
      </c>
      <c r="K1046" s="42" t="str"/>
      <c r="L1046" s="42" t="str"/>
      <c r="M1046" s="42" t="str"/>
      <c r="N1046" s="42" t="str"/>
      <c r="O1046" s="42" t="inlineStr">
        <is>
          <t>現行公式資料でこの窓種のSAFE 30mil規格○/×を本Revisionでは直接取得できていない。推測しない。</t>
        </is>
      </c>
    </row>
    <row r="1047">
      <c r="A1047" s="42" t="inlineStr">
        <is>
          <t>SZ-SL-001046</t>
        </is>
      </c>
      <c r="B1047" s="42" t="inlineStr">
        <is>
          <t>WT-SL-FIX-OUT</t>
        </is>
      </c>
      <c r="C1047" s="42" t="inlineStr">
        <is>
          <t>FIX窓（外押縁タイプ）</t>
        </is>
      </c>
      <c r="D1047" s="42" t="str"/>
      <c r="E1047" s="42" t="inlineStr">
        <is>
          <t>021018</t>
        </is>
      </c>
      <c r="F1047" s="42" t="inlineStr">
        <is>
          <t>250</t>
        </is>
      </c>
      <c r="G1047" s="42" t="inlineStr">
        <is>
          <t>250</t>
        </is>
      </c>
      <c r="H1047" s="42" t="inlineStr">
        <is>
          <t>True</t>
        </is>
      </c>
      <c r="I1047" s="42" t="inlineStr">
        <is>
          <t>NOT_EVALUATED</t>
        </is>
      </c>
      <c r="J1047" s="42" t="inlineStr">
        <is>
          <t>NO_DIRECT_STANDARD_MATRIX_IN_RETRIEVED_SOURCE</t>
        </is>
      </c>
      <c r="K1047" s="42" t="str"/>
      <c r="L1047" s="42" t="str"/>
      <c r="M1047" s="42" t="str"/>
      <c r="N1047" s="42" t="str"/>
      <c r="O1047" s="42" t="inlineStr">
        <is>
          <t>現行公式資料でこの窓種のSAFE 30mil規格○/×を本Revisionでは直接取得できていない。推測しない。</t>
        </is>
      </c>
    </row>
    <row r="1048">
      <c r="A1048" s="42" t="inlineStr">
        <is>
          <t>SZ-SL-001047</t>
        </is>
      </c>
      <c r="B1048" s="42" t="inlineStr">
        <is>
          <t>WT-SL-FIX-OUT</t>
        </is>
      </c>
      <c r="C1048" s="42" t="inlineStr">
        <is>
          <t>FIX窓（外押縁タイプ）</t>
        </is>
      </c>
      <c r="D1048" s="42" t="str"/>
      <c r="E1048" s="42" t="inlineStr">
        <is>
          <t>026023</t>
        </is>
      </c>
      <c r="F1048" s="42" t="inlineStr">
        <is>
          <t>300</t>
        </is>
      </c>
      <c r="G1048" s="42" t="inlineStr">
        <is>
          <t>300</t>
        </is>
      </c>
      <c r="H1048" s="42" t="inlineStr">
        <is>
          <t>True</t>
        </is>
      </c>
      <c r="I1048" s="42" t="inlineStr">
        <is>
          <t>NOT_EVALUATED</t>
        </is>
      </c>
      <c r="J1048" s="42" t="inlineStr">
        <is>
          <t>NO_DIRECT_STANDARD_MATRIX_IN_RETRIEVED_SOURCE</t>
        </is>
      </c>
      <c r="K1048" s="42" t="str"/>
      <c r="L1048" s="42" t="str"/>
      <c r="M1048" s="42" t="str"/>
      <c r="N1048" s="42" t="str"/>
      <c r="O1048" s="42" t="inlineStr">
        <is>
          <t>現行公式資料でこの窓種のSAFE 30mil規格○/×を本Revisionでは直接取得できていない。推測しない。</t>
        </is>
      </c>
    </row>
    <row r="1049">
      <c r="A1049" s="42" t="inlineStr">
        <is>
          <t>SZ-SL-001048</t>
        </is>
      </c>
      <c r="B1049" s="42" t="inlineStr">
        <is>
          <t>WT-SL-FIX-OUT</t>
        </is>
      </c>
      <c r="C1049" s="42" t="inlineStr">
        <is>
          <t>FIX窓（外押縁タイプ）</t>
        </is>
      </c>
      <c r="D1049" s="42" t="str"/>
      <c r="E1049" s="42" t="inlineStr">
        <is>
          <t>031028</t>
        </is>
      </c>
      <c r="F1049" s="42" t="inlineStr">
        <is>
          <t>350</t>
        </is>
      </c>
      <c r="G1049" s="42" t="inlineStr">
        <is>
          <t>350</t>
        </is>
      </c>
      <c r="H1049" s="42" t="inlineStr">
        <is>
          <t>True</t>
        </is>
      </c>
      <c r="I1049" s="42" t="inlineStr">
        <is>
          <t>NOT_EVALUATED</t>
        </is>
      </c>
      <c r="J1049" s="42" t="inlineStr">
        <is>
          <t>NO_DIRECT_STANDARD_MATRIX_IN_RETRIEVED_SOURCE</t>
        </is>
      </c>
      <c r="K1049" s="42" t="str"/>
      <c r="L1049" s="42" t="str"/>
      <c r="M1049" s="42" t="str"/>
      <c r="N1049" s="42" t="str"/>
      <c r="O1049" s="42" t="inlineStr">
        <is>
          <t>現行公式資料でこの窓種のSAFE 30mil規格○/×を本Revisionでは直接取得できていない。推測しない。</t>
        </is>
      </c>
    </row>
    <row r="1050">
      <c r="A1050" s="42" t="inlineStr">
        <is>
          <t>SZ-SL-001049</t>
        </is>
      </c>
      <c r="B1050" s="42" t="inlineStr">
        <is>
          <t>WT-SL-FIX-OUT</t>
        </is>
      </c>
      <c r="C1050" s="42" t="inlineStr">
        <is>
          <t>FIX窓（外押縁タイプ）</t>
        </is>
      </c>
      <c r="D1050" s="42" t="str"/>
      <c r="E1050" s="42" t="inlineStr">
        <is>
          <t>03603</t>
        </is>
      </c>
      <c r="F1050" s="42" t="inlineStr">
        <is>
          <t>405</t>
        </is>
      </c>
      <c r="G1050" s="42" t="inlineStr">
        <is>
          <t>370</t>
        </is>
      </c>
      <c r="H1050" s="42" t="inlineStr">
        <is>
          <t>True</t>
        </is>
      </c>
      <c r="I1050" s="42" t="inlineStr">
        <is>
          <t>NOT_EVALUATED</t>
        </is>
      </c>
      <c r="J1050" s="42" t="inlineStr">
        <is>
          <t>NO_DIRECT_STANDARD_MATRIX_IN_RETRIEVED_SOURCE</t>
        </is>
      </c>
      <c r="K1050" s="42" t="str"/>
      <c r="L1050" s="42" t="str"/>
      <c r="M1050" s="42" t="str"/>
      <c r="N1050" s="42" t="str"/>
      <c r="O1050" s="42" t="inlineStr">
        <is>
          <t>現行公式資料でこの窓種のSAFE 30mil規格○/×を本Revisionでは直接取得できていない。推測しない。</t>
        </is>
      </c>
    </row>
    <row r="1051">
      <c r="A1051" s="42" t="inlineStr">
        <is>
          <t>SZ-SL-001050</t>
        </is>
      </c>
      <c r="B1051" s="42" t="inlineStr">
        <is>
          <t>WT-SL-FIX-OUT</t>
        </is>
      </c>
      <c r="C1051" s="42" t="inlineStr">
        <is>
          <t>FIX窓（外押縁タイプ）</t>
        </is>
      </c>
      <c r="D1051" s="42" t="str"/>
      <c r="E1051" s="42" t="inlineStr">
        <is>
          <t>036033</t>
        </is>
      </c>
      <c r="F1051" s="42" t="inlineStr">
        <is>
          <t>405</t>
        </is>
      </c>
      <c r="G1051" s="42" t="inlineStr">
        <is>
          <t>405</t>
        </is>
      </c>
      <c r="H1051" s="42" t="inlineStr">
        <is>
          <t>True</t>
        </is>
      </c>
      <c r="I1051" s="42" t="inlineStr">
        <is>
          <t>NOT_EVALUATED</t>
        </is>
      </c>
      <c r="J1051" s="42" t="inlineStr">
        <is>
          <t>NO_DIRECT_STANDARD_MATRIX_IN_RETRIEVED_SOURCE</t>
        </is>
      </c>
      <c r="K1051" s="42" t="str"/>
      <c r="L1051" s="42" t="str"/>
      <c r="M1051" s="42" t="str"/>
      <c r="N1051" s="42" t="str"/>
      <c r="O1051" s="42" t="inlineStr">
        <is>
          <t>現行公式資料でこの窓種のSAFE 30mil規格○/×を本Revisionでは直接取得できていない。推測しない。</t>
        </is>
      </c>
    </row>
    <row r="1052">
      <c r="A1052" s="42" t="inlineStr">
        <is>
          <t>SZ-SL-001051</t>
        </is>
      </c>
      <c r="B1052" s="42" t="inlineStr">
        <is>
          <t>WT-SL-FIX-OUT</t>
        </is>
      </c>
      <c r="C1052" s="42" t="inlineStr">
        <is>
          <t>FIX窓（外押縁タイプ）</t>
        </is>
      </c>
      <c r="D1052" s="42" t="str"/>
      <c r="E1052" s="42" t="inlineStr">
        <is>
          <t>06003</t>
        </is>
      </c>
      <c r="F1052" s="42" t="inlineStr">
        <is>
          <t>640</t>
        </is>
      </c>
      <c r="G1052" s="42" t="inlineStr">
        <is>
          <t>370</t>
        </is>
      </c>
      <c r="H1052" s="42" t="inlineStr">
        <is>
          <t>True</t>
        </is>
      </c>
      <c r="I1052" s="42" t="inlineStr">
        <is>
          <t>NOT_EVALUATED</t>
        </is>
      </c>
      <c r="J1052" s="42" t="inlineStr">
        <is>
          <t>NO_DIRECT_STANDARD_MATRIX_IN_RETRIEVED_SOURCE</t>
        </is>
      </c>
      <c r="K1052" s="42" t="str"/>
      <c r="L1052" s="42" t="str"/>
      <c r="M1052" s="42" t="str"/>
      <c r="N1052" s="42" t="str"/>
      <c r="O1052" s="42" t="inlineStr">
        <is>
          <t>現行公式資料でこの窓種のSAFE 30mil規格○/×を本Revisionでは直接取得できていない。推測しない。</t>
        </is>
      </c>
    </row>
    <row r="1053">
      <c r="A1053" s="42" t="inlineStr">
        <is>
          <t>SZ-SL-001052</t>
        </is>
      </c>
      <c r="B1053" s="42" t="inlineStr">
        <is>
          <t>WT-SL-FIX-OUT</t>
        </is>
      </c>
      <c r="C1053" s="42" t="inlineStr">
        <is>
          <t>FIX窓（外押縁タイプ）</t>
        </is>
      </c>
      <c r="D1053" s="42" t="str"/>
      <c r="E1053" s="42" t="inlineStr">
        <is>
          <t>069018</t>
        </is>
      </c>
      <c r="F1053" s="42" t="inlineStr">
        <is>
          <t>730</t>
        </is>
      </c>
      <c r="G1053" s="42" t="inlineStr">
        <is>
          <t>250</t>
        </is>
      </c>
      <c r="H1053" s="42" t="inlineStr">
        <is>
          <t>True</t>
        </is>
      </c>
      <c r="I1053" s="42" t="inlineStr">
        <is>
          <t>NOT_EVALUATED</t>
        </is>
      </c>
      <c r="J1053" s="42" t="inlineStr">
        <is>
          <t>NO_DIRECT_STANDARD_MATRIX_IN_RETRIEVED_SOURCE</t>
        </is>
      </c>
      <c r="K1053" s="42" t="str"/>
      <c r="L1053" s="42" t="str"/>
      <c r="M1053" s="42" t="str"/>
      <c r="N1053" s="42" t="str"/>
      <c r="O1053" s="42" t="inlineStr">
        <is>
          <t>現行公式資料でこの窓種のSAFE 30mil規格○/×を本Revisionでは直接取得できていない。推測しない。</t>
        </is>
      </c>
    </row>
    <row r="1054">
      <c r="A1054" s="42" t="inlineStr">
        <is>
          <t>SZ-SL-001053</t>
        </is>
      </c>
      <c r="B1054" s="42" t="inlineStr">
        <is>
          <t>WT-SL-FIX-OUT</t>
        </is>
      </c>
      <c r="C1054" s="42" t="inlineStr">
        <is>
          <t>FIX窓（外押縁タイプ）</t>
        </is>
      </c>
      <c r="D1054" s="42" t="str"/>
      <c r="E1054" s="42" t="inlineStr">
        <is>
          <t>069023</t>
        </is>
      </c>
      <c r="F1054" s="42" t="inlineStr">
        <is>
          <t>730</t>
        </is>
      </c>
      <c r="G1054" s="42" t="inlineStr">
        <is>
          <t>300</t>
        </is>
      </c>
      <c r="H1054" s="42" t="inlineStr">
        <is>
          <t>True</t>
        </is>
      </c>
      <c r="I1054" s="42" t="inlineStr">
        <is>
          <t>NOT_EVALUATED</t>
        </is>
      </c>
      <c r="J1054" s="42" t="inlineStr">
        <is>
          <t>NO_DIRECT_STANDARD_MATRIX_IN_RETRIEVED_SOURCE</t>
        </is>
      </c>
      <c r="K1054" s="42" t="str"/>
      <c r="L1054" s="42" t="str"/>
      <c r="M1054" s="42" t="str"/>
      <c r="N1054" s="42" t="str"/>
      <c r="O1054" s="42" t="inlineStr">
        <is>
          <t>現行公式資料でこの窓種のSAFE 30mil規格○/×を本Revisionでは直接取得できていない。推測しない。</t>
        </is>
      </c>
    </row>
    <row r="1055">
      <c r="A1055" s="42" t="inlineStr">
        <is>
          <t>SZ-SL-001054</t>
        </is>
      </c>
      <c r="B1055" s="42" t="inlineStr">
        <is>
          <t>WT-SL-FIX-OUT</t>
        </is>
      </c>
      <c r="C1055" s="42" t="inlineStr">
        <is>
          <t>FIX窓（外押縁タイプ）</t>
        </is>
      </c>
      <c r="D1055" s="42" t="str"/>
      <c r="E1055" s="42" t="inlineStr">
        <is>
          <t>069028</t>
        </is>
      </c>
      <c r="F1055" s="42" t="inlineStr">
        <is>
          <t>730</t>
        </is>
      </c>
      <c r="G1055" s="42" t="inlineStr">
        <is>
          <t>350</t>
        </is>
      </c>
      <c r="H1055" s="42" t="inlineStr">
        <is>
          <t>True</t>
        </is>
      </c>
      <c r="I1055" s="42" t="inlineStr">
        <is>
          <t>NOT_EVALUATED</t>
        </is>
      </c>
      <c r="J1055" s="42" t="inlineStr">
        <is>
          <t>NO_DIRECT_STANDARD_MATRIX_IN_RETRIEVED_SOURCE</t>
        </is>
      </c>
      <c r="K1055" s="42" t="str"/>
      <c r="L1055" s="42" t="str"/>
      <c r="M1055" s="42" t="str"/>
      <c r="N1055" s="42" t="str"/>
      <c r="O1055" s="42" t="inlineStr">
        <is>
          <t>現行公式資料でこの窓種のSAFE 30mil規格○/×を本Revisionでは直接取得できていない。推測しない。</t>
        </is>
      </c>
    </row>
    <row r="1056">
      <c r="A1056" s="42" t="inlineStr">
        <is>
          <t>SZ-SL-001055</t>
        </is>
      </c>
      <c r="B1056" s="42" t="inlineStr">
        <is>
          <t>WT-SL-FIX-OUT</t>
        </is>
      </c>
      <c r="C1056" s="42" t="inlineStr">
        <is>
          <t>FIX窓（外押縁タイプ）</t>
        </is>
      </c>
      <c r="D1056" s="42" t="str"/>
      <c r="E1056" s="42" t="inlineStr">
        <is>
          <t>074018</t>
        </is>
      </c>
      <c r="F1056" s="42" t="inlineStr">
        <is>
          <t>780</t>
        </is>
      </c>
      <c r="G1056" s="42" t="inlineStr">
        <is>
          <t>250</t>
        </is>
      </c>
      <c r="H1056" s="42" t="inlineStr">
        <is>
          <t>True</t>
        </is>
      </c>
      <c r="I1056" s="42" t="inlineStr">
        <is>
          <t>NOT_EVALUATED</t>
        </is>
      </c>
      <c r="J1056" s="42" t="inlineStr">
        <is>
          <t>NO_DIRECT_STANDARD_MATRIX_IN_RETRIEVED_SOURCE</t>
        </is>
      </c>
      <c r="K1056" s="42" t="str"/>
      <c r="L1056" s="42" t="str"/>
      <c r="M1056" s="42" t="str"/>
      <c r="N1056" s="42" t="str"/>
      <c r="O1056" s="42" t="inlineStr">
        <is>
          <t>現行公式資料でこの窓種のSAFE 30mil規格○/×を本Revisionでは直接取得できていない。推測しない。</t>
        </is>
      </c>
    </row>
    <row r="1057">
      <c r="A1057" s="42" t="inlineStr">
        <is>
          <t>SZ-SL-001056</t>
        </is>
      </c>
      <c r="B1057" s="42" t="inlineStr">
        <is>
          <t>WT-SL-FIX-OUT</t>
        </is>
      </c>
      <c r="C1057" s="42" t="inlineStr">
        <is>
          <t>FIX窓（外押縁タイプ）</t>
        </is>
      </c>
      <c r="D1057" s="42" t="str"/>
      <c r="E1057" s="42" t="inlineStr">
        <is>
          <t>074023</t>
        </is>
      </c>
      <c r="F1057" s="42" t="inlineStr">
        <is>
          <t>780</t>
        </is>
      </c>
      <c r="G1057" s="42" t="inlineStr">
        <is>
          <t>300</t>
        </is>
      </c>
      <c r="H1057" s="42" t="inlineStr">
        <is>
          <t>True</t>
        </is>
      </c>
      <c r="I1057" s="42" t="inlineStr">
        <is>
          <t>NOT_EVALUATED</t>
        </is>
      </c>
      <c r="J1057" s="42" t="inlineStr">
        <is>
          <t>NO_DIRECT_STANDARD_MATRIX_IN_RETRIEVED_SOURCE</t>
        </is>
      </c>
      <c r="K1057" s="42" t="str"/>
      <c r="L1057" s="42" t="str"/>
      <c r="M1057" s="42" t="str"/>
      <c r="N1057" s="42" t="str"/>
      <c r="O1057" s="42" t="inlineStr">
        <is>
          <t>現行公式資料でこの窓種のSAFE 30mil規格○/×を本Revisionでは直接取得できていない。推測しない。</t>
        </is>
      </c>
    </row>
    <row r="1058">
      <c r="A1058" s="42" t="inlineStr">
        <is>
          <t>SZ-SL-001057</t>
        </is>
      </c>
      <c r="B1058" s="42" t="inlineStr">
        <is>
          <t>WT-SL-FIX-OUT</t>
        </is>
      </c>
      <c r="C1058" s="42" t="inlineStr">
        <is>
          <t>FIX窓（外押縁タイプ）</t>
        </is>
      </c>
      <c r="D1058" s="42" t="str"/>
      <c r="E1058" s="42" t="inlineStr">
        <is>
          <t>074028</t>
        </is>
      </c>
      <c r="F1058" s="42" t="inlineStr">
        <is>
          <t>780</t>
        </is>
      </c>
      <c r="G1058" s="42" t="inlineStr">
        <is>
          <t>350</t>
        </is>
      </c>
      <c r="H1058" s="42" t="inlineStr">
        <is>
          <t>True</t>
        </is>
      </c>
      <c r="I1058" s="42" t="inlineStr">
        <is>
          <t>NOT_EVALUATED</t>
        </is>
      </c>
      <c r="J1058" s="42" t="inlineStr">
        <is>
          <t>NO_DIRECT_STANDARD_MATRIX_IN_RETRIEVED_SOURCE</t>
        </is>
      </c>
      <c r="K1058" s="42" t="str"/>
      <c r="L1058" s="42" t="str"/>
      <c r="M1058" s="42" t="str"/>
      <c r="N1058" s="42" t="str"/>
      <c r="O1058" s="42" t="inlineStr">
        <is>
          <t>現行公式資料でこの窓種のSAFE 30mil規格○/×を本Revisionでは直接取得できていない。推測しない。</t>
        </is>
      </c>
    </row>
    <row r="1059">
      <c r="A1059" s="42" t="inlineStr">
        <is>
          <t>SZ-SL-001058</t>
        </is>
      </c>
      <c r="B1059" s="42" t="inlineStr">
        <is>
          <t>WT-SL-FIX-OUT</t>
        </is>
      </c>
      <c r="C1059" s="42" t="inlineStr">
        <is>
          <t>FIX窓（外押縁タイプ）</t>
        </is>
      </c>
      <c r="D1059" s="42" t="str"/>
      <c r="E1059" s="42" t="inlineStr">
        <is>
          <t>07403</t>
        </is>
      </c>
      <c r="F1059" s="42" t="inlineStr">
        <is>
          <t>780</t>
        </is>
      </c>
      <c r="G1059" s="42" t="inlineStr">
        <is>
          <t>370</t>
        </is>
      </c>
      <c r="H1059" s="42" t="inlineStr">
        <is>
          <t>True</t>
        </is>
      </c>
      <c r="I1059" s="42" t="inlineStr">
        <is>
          <t>NOT_EVALUATED</t>
        </is>
      </c>
      <c r="J1059" s="42" t="inlineStr">
        <is>
          <t>NO_DIRECT_STANDARD_MATRIX_IN_RETRIEVED_SOURCE</t>
        </is>
      </c>
      <c r="K1059" s="42" t="str"/>
      <c r="L1059" s="42" t="str"/>
      <c r="M1059" s="42" t="str"/>
      <c r="N1059" s="42" t="str"/>
      <c r="O1059" s="42" t="inlineStr">
        <is>
          <t>現行公式資料でこの窓種のSAFE 30mil規格○/×を本Revisionでは直接取得できていない。推測しない。</t>
        </is>
      </c>
    </row>
    <row r="1060">
      <c r="A1060" s="42" t="inlineStr">
        <is>
          <t>SZ-SL-001059</t>
        </is>
      </c>
      <c r="B1060" s="42" t="inlineStr">
        <is>
          <t>WT-SL-FIX-OUT</t>
        </is>
      </c>
      <c r="C1060" s="42" t="inlineStr">
        <is>
          <t>FIX窓（外押縁タイプ）</t>
        </is>
      </c>
      <c r="D1060" s="42" t="str"/>
      <c r="E1060" s="42" t="inlineStr">
        <is>
          <t>114018</t>
        </is>
      </c>
      <c r="F1060" s="42" t="inlineStr">
        <is>
          <t>1185</t>
        </is>
      </c>
      <c r="G1060" s="42" t="inlineStr">
        <is>
          <t>250</t>
        </is>
      </c>
      <c r="H1060" s="42" t="inlineStr">
        <is>
          <t>True</t>
        </is>
      </c>
      <c r="I1060" s="42" t="inlineStr">
        <is>
          <t>NOT_EVALUATED</t>
        </is>
      </c>
      <c r="J1060" s="42" t="inlineStr">
        <is>
          <t>NO_DIRECT_STANDARD_MATRIX_IN_RETRIEVED_SOURCE</t>
        </is>
      </c>
      <c r="K1060" s="42" t="str"/>
      <c r="L1060" s="42" t="str"/>
      <c r="M1060" s="42" t="str"/>
      <c r="N1060" s="42" t="str"/>
      <c r="O1060" s="42" t="inlineStr">
        <is>
          <t>現行公式資料でこの窓種のSAFE 30mil規格○/×を本Revisionでは直接取得できていない。推測しない。</t>
        </is>
      </c>
    </row>
    <row r="1061">
      <c r="A1061" s="42" t="inlineStr">
        <is>
          <t>SZ-SL-001060</t>
        </is>
      </c>
      <c r="B1061" s="42" t="inlineStr">
        <is>
          <t>WT-SL-FIX-OUT</t>
        </is>
      </c>
      <c r="C1061" s="42" t="inlineStr">
        <is>
          <t>FIX窓（外押縁タイプ）</t>
        </is>
      </c>
      <c r="D1061" s="42" t="str"/>
      <c r="E1061" s="42" t="inlineStr">
        <is>
          <t>114023</t>
        </is>
      </c>
      <c r="F1061" s="42" t="inlineStr">
        <is>
          <t>1185</t>
        </is>
      </c>
      <c r="G1061" s="42" t="inlineStr">
        <is>
          <t>300</t>
        </is>
      </c>
      <c r="H1061" s="42" t="inlineStr">
        <is>
          <t>True</t>
        </is>
      </c>
      <c r="I1061" s="42" t="inlineStr">
        <is>
          <t>NOT_EVALUATED</t>
        </is>
      </c>
      <c r="J1061" s="42" t="inlineStr">
        <is>
          <t>NO_DIRECT_STANDARD_MATRIX_IN_RETRIEVED_SOURCE</t>
        </is>
      </c>
      <c r="K1061" s="42" t="str"/>
      <c r="L1061" s="42" t="str"/>
      <c r="M1061" s="42" t="str"/>
      <c r="N1061" s="42" t="str"/>
      <c r="O1061" s="42" t="inlineStr">
        <is>
          <t>現行公式資料でこの窓種のSAFE 30mil規格○/×を本Revisionでは直接取得できていない。推測しない。</t>
        </is>
      </c>
    </row>
    <row r="1062">
      <c r="A1062" s="42" t="inlineStr">
        <is>
          <t>SZ-SL-001061</t>
        </is>
      </c>
      <c r="B1062" s="42" t="inlineStr">
        <is>
          <t>WT-SL-FIX-OUT</t>
        </is>
      </c>
      <c r="C1062" s="42" t="inlineStr">
        <is>
          <t>FIX窓（外押縁タイプ）</t>
        </is>
      </c>
      <c r="D1062" s="42" t="str"/>
      <c r="E1062" s="42" t="inlineStr">
        <is>
          <t>114028</t>
        </is>
      </c>
      <c r="F1062" s="42" t="inlineStr">
        <is>
          <t>1185</t>
        </is>
      </c>
      <c r="G1062" s="42" t="inlineStr">
        <is>
          <t>350</t>
        </is>
      </c>
      <c r="H1062" s="42" t="inlineStr">
        <is>
          <t>True</t>
        </is>
      </c>
      <c r="I1062" s="42" t="inlineStr">
        <is>
          <t>NOT_EVALUATED</t>
        </is>
      </c>
      <c r="J1062" s="42" t="inlineStr">
        <is>
          <t>NO_DIRECT_STANDARD_MATRIX_IN_RETRIEVED_SOURCE</t>
        </is>
      </c>
      <c r="K1062" s="42" t="str"/>
      <c r="L1062" s="42" t="str"/>
      <c r="M1062" s="42" t="str"/>
      <c r="N1062" s="42" t="str"/>
      <c r="O1062" s="42" t="inlineStr">
        <is>
          <t>現行公式資料でこの窓種のSAFE 30mil規格○/×を本Revisionでは直接取得できていない。推測しない。</t>
        </is>
      </c>
    </row>
    <row r="1063">
      <c r="A1063" s="42" t="inlineStr">
        <is>
          <t>SZ-SL-001062</t>
        </is>
      </c>
      <c r="B1063" s="42" t="inlineStr">
        <is>
          <t>WT-SL-FIX-OUT</t>
        </is>
      </c>
      <c r="C1063" s="42" t="inlineStr">
        <is>
          <t>FIX窓（外押縁タイプ）</t>
        </is>
      </c>
      <c r="D1063" s="42" t="str"/>
      <c r="E1063" s="42" t="inlineStr">
        <is>
          <t>119018</t>
        </is>
      </c>
      <c r="F1063" s="42" t="inlineStr">
        <is>
          <t>1235</t>
        </is>
      </c>
      <c r="G1063" s="42" t="inlineStr">
        <is>
          <t>250</t>
        </is>
      </c>
      <c r="H1063" s="42" t="inlineStr">
        <is>
          <t>True</t>
        </is>
      </c>
      <c r="I1063" s="42" t="inlineStr">
        <is>
          <t>NOT_EVALUATED</t>
        </is>
      </c>
      <c r="J1063" s="42" t="inlineStr">
        <is>
          <t>NO_DIRECT_STANDARD_MATRIX_IN_RETRIEVED_SOURCE</t>
        </is>
      </c>
      <c r="K1063" s="42" t="str"/>
      <c r="L1063" s="42" t="str"/>
      <c r="M1063" s="42" t="str"/>
      <c r="N1063" s="42" t="str"/>
      <c r="O1063" s="42" t="inlineStr">
        <is>
          <t>現行公式資料でこの窓種のSAFE 30mil規格○/×を本Revisionでは直接取得できていない。推測しない。</t>
        </is>
      </c>
    </row>
    <row r="1064">
      <c r="A1064" s="42" t="inlineStr">
        <is>
          <t>SZ-SL-001063</t>
        </is>
      </c>
      <c r="B1064" s="42" t="inlineStr">
        <is>
          <t>WT-SL-FIX-OUT</t>
        </is>
      </c>
      <c r="C1064" s="42" t="inlineStr">
        <is>
          <t>FIX窓（外押縁タイプ）</t>
        </is>
      </c>
      <c r="D1064" s="42" t="str"/>
      <c r="E1064" s="42" t="inlineStr">
        <is>
          <t>119023</t>
        </is>
      </c>
      <c r="F1064" s="42" t="inlineStr">
        <is>
          <t>1235</t>
        </is>
      </c>
      <c r="G1064" s="42" t="inlineStr">
        <is>
          <t>300</t>
        </is>
      </c>
      <c r="H1064" s="42" t="inlineStr">
        <is>
          <t>True</t>
        </is>
      </c>
      <c r="I1064" s="42" t="inlineStr">
        <is>
          <t>NOT_EVALUATED</t>
        </is>
      </c>
      <c r="J1064" s="42" t="inlineStr">
        <is>
          <t>NO_DIRECT_STANDARD_MATRIX_IN_RETRIEVED_SOURCE</t>
        </is>
      </c>
      <c r="K1064" s="42" t="str"/>
      <c r="L1064" s="42" t="str"/>
      <c r="M1064" s="42" t="str"/>
      <c r="N1064" s="42" t="str"/>
      <c r="O1064" s="42" t="inlineStr">
        <is>
          <t>現行公式資料でこの窓種のSAFE 30mil規格○/×を本Revisionでは直接取得できていない。推測しない。</t>
        </is>
      </c>
    </row>
    <row r="1065">
      <c r="A1065" s="42" t="inlineStr">
        <is>
          <t>SZ-SL-001064</t>
        </is>
      </c>
      <c r="B1065" s="42" t="inlineStr">
        <is>
          <t>WT-SL-FIX-OUT</t>
        </is>
      </c>
      <c r="C1065" s="42" t="inlineStr">
        <is>
          <t>FIX窓（外押縁タイプ）</t>
        </is>
      </c>
      <c r="D1065" s="42" t="str"/>
      <c r="E1065" s="42" t="inlineStr">
        <is>
          <t>119028</t>
        </is>
      </c>
      <c r="F1065" s="42" t="inlineStr">
        <is>
          <t>1235</t>
        </is>
      </c>
      <c r="G1065" s="42" t="inlineStr">
        <is>
          <t>350</t>
        </is>
      </c>
      <c r="H1065" s="42" t="inlineStr">
        <is>
          <t>True</t>
        </is>
      </c>
      <c r="I1065" s="42" t="inlineStr">
        <is>
          <t>NOT_EVALUATED</t>
        </is>
      </c>
      <c r="J1065" s="42" t="inlineStr">
        <is>
          <t>NO_DIRECT_STANDARD_MATRIX_IN_RETRIEVED_SOURCE</t>
        </is>
      </c>
      <c r="K1065" s="42" t="str"/>
      <c r="L1065" s="42" t="str"/>
      <c r="M1065" s="42" t="str"/>
      <c r="N1065" s="42" t="str"/>
      <c r="O1065" s="42" t="inlineStr">
        <is>
          <t>現行公式資料でこの窓種のSAFE 30mil規格○/×を本Revisionでは直接取得できていない。推測しない。</t>
        </is>
      </c>
    </row>
    <row r="1066">
      <c r="A1066" s="42" t="inlineStr">
        <is>
          <t>SZ-SL-001065</t>
        </is>
      </c>
      <c r="B1066" s="42" t="inlineStr">
        <is>
          <t>WT-SL-FIX-OUT</t>
        </is>
      </c>
      <c r="C1066" s="42" t="inlineStr">
        <is>
          <t>FIX窓（外押縁タイプ）</t>
        </is>
      </c>
      <c r="D1066" s="42" t="str"/>
      <c r="E1066" s="42" t="inlineStr">
        <is>
          <t>11903</t>
        </is>
      </c>
      <c r="F1066" s="42" t="inlineStr">
        <is>
          <t>1235</t>
        </is>
      </c>
      <c r="G1066" s="42" t="inlineStr">
        <is>
          <t>370</t>
        </is>
      </c>
      <c r="H1066" s="42" t="inlineStr">
        <is>
          <t>True</t>
        </is>
      </c>
      <c r="I1066" s="42" t="inlineStr">
        <is>
          <t>NOT_EVALUATED</t>
        </is>
      </c>
      <c r="J1066" s="42" t="inlineStr">
        <is>
          <t>NO_DIRECT_STANDARD_MATRIX_IN_RETRIEVED_SOURCE</t>
        </is>
      </c>
      <c r="K1066" s="42" t="str"/>
      <c r="L1066" s="42" t="str"/>
      <c r="M1066" s="42" t="str"/>
      <c r="N1066" s="42" t="str"/>
      <c r="O1066" s="42" t="inlineStr">
        <is>
          <t>現行公式資料でこの窓種のSAFE 30mil規格○/×を本Revisionでは直接取得できていない。推測しない。</t>
        </is>
      </c>
    </row>
    <row r="1067">
      <c r="A1067" s="42" t="inlineStr">
        <is>
          <t>SZ-SL-001066</t>
        </is>
      </c>
      <c r="B1067" s="42" t="inlineStr">
        <is>
          <t>WT-SL-FIX-OUT</t>
        </is>
      </c>
      <c r="C1067" s="42" t="inlineStr">
        <is>
          <t>FIX窓（外押縁タイプ）</t>
        </is>
      </c>
      <c r="D1067" s="42" t="str"/>
      <c r="E1067" s="42" t="inlineStr">
        <is>
          <t>160018</t>
        </is>
      </c>
      <c r="F1067" s="42" t="inlineStr">
        <is>
          <t>1640</t>
        </is>
      </c>
      <c r="G1067" s="42" t="inlineStr">
        <is>
          <t>250</t>
        </is>
      </c>
      <c r="H1067" s="42" t="inlineStr">
        <is>
          <t>True</t>
        </is>
      </c>
      <c r="I1067" s="42" t="inlineStr">
        <is>
          <t>NOT_EVALUATED</t>
        </is>
      </c>
      <c r="J1067" s="42" t="inlineStr">
        <is>
          <t>NO_DIRECT_STANDARD_MATRIX_IN_RETRIEVED_SOURCE</t>
        </is>
      </c>
      <c r="K1067" s="42" t="str"/>
      <c r="L1067" s="42" t="str"/>
      <c r="M1067" s="42" t="str"/>
      <c r="N1067" s="42" t="str"/>
      <c r="O1067" s="42" t="inlineStr">
        <is>
          <t>現行公式資料でこの窓種のSAFE 30mil規格○/×を本Revisionでは直接取得できていない。推測しない。</t>
        </is>
      </c>
    </row>
    <row r="1068">
      <c r="A1068" s="42" t="inlineStr">
        <is>
          <t>SZ-SL-001067</t>
        </is>
      </c>
      <c r="B1068" s="42" t="inlineStr">
        <is>
          <t>WT-SL-FIX-OUT</t>
        </is>
      </c>
      <c r="C1068" s="42" t="inlineStr">
        <is>
          <t>FIX窓（外押縁タイプ）</t>
        </is>
      </c>
      <c r="D1068" s="42" t="str"/>
      <c r="E1068" s="42" t="inlineStr">
        <is>
          <t>160023</t>
        </is>
      </c>
      <c r="F1068" s="42" t="inlineStr">
        <is>
          <t>1640</t>
        </is>
      </c>
      <c r="G1068" s="42" t="inlineStr">
        <is>
          <t>300</t>
        </is>
      </c>
      <c r="H1068" s="42" t="inlineStr">
        <is>
          <t>True</t>
        </is>
      </c>
      <c r="I1068" s="42" t="inlineStr">
        <is>
          <t>NOT_EVALUATED</t>
        </is>
      </c>
      <c r="J1068" s="42" t="inlineStr">
        <is>
          <t>NO_DIRECT_STANDARD_MATRIX_IN_RETRIEVED_SOURCE</t>
        </is>
      </c>
      <c r="K1068" s="42" t="str"/>
      <c r="L1068" s="42" t="str"/>
      <c r="M1068" s="42" t="str"/>
      <c r="N1068" s="42" t="str"/>
      <c r="O1068" s="42" t="inlineStr">
        <is>
          <t>現行公式資料でこの窓種のSAFE 30mil規格○/×を本Revisionでは直接取得できていない。推測しない。</t>
        </is>
      </c>
    </row>
    <row r="1069">
      <c r="A1069" s="42" t="inlineStr">
        <is>
          <t>SZ-SL-001068</t>
        </is>
      </c>
      <c r="B1069" s="42" t="inlineStr">
        <is>
          <t>WT-SL-FIX-OUT</t>
        </is>
      </c>
      <c r="C1069" s="42" t="inlineStr">
        <is>
          <t>FIX窓（外押縁タイプ）</t>
        </is>
      </c>
      <c r="D1069" s="42" t="str"/>
      <c r="E1069" s="42" t="inlineStr">
        <is>
          <t>160028</t>
        </is>
      </c>
      <c r="F1069" s="42" t="inlineStr">
        <is>
          <t>1640</t>
        </is>
      </c>
      <c r="G1069" s="42" t="inlineStr">
        <is>
          <t>350</t>
        </is>
      </c>
      <c r="H1069" s="42" t="inlineStr">
        <is>
          <t>True</t>
        </is>
      </c>
      <c r="I1069" s="42" t="inlineStr">
        <is>
          <t>NOT_EVALUATED</t>
        </is>
      </c>
      <c r="J1069" s="42" t="inlineStr">
        <is>
          <t>NO_DIRECT_STANDARD_MATRIX_IN_RETRIEVED_SOURCE</t>
        </is>
      </c>
      <c r="K1069" s="42" t="str"/>
      <c r="L1069" s="42" t="str"/>
      <c r="M1069" s="42" t="str"/>
      <c r="N1069" s="42" t="str"/>
      <c r="O1069" s="42" t="inlineStr">
        <is>
          <t>現行公式資料でこの窓種のSAFE 30mil規格○/×を本Revisionでは直接取得できていない。推測しない。</t>
        </is>
      </c>
    </row>
    <row r="1070">
      <c r="A1070" s="42" t="inlineStr">
        <is>
          <t>SZ-SL-001069</t>
        </is>
      </c>
      <c r="B1070" s="42" t="inlineStr">
        <is>
          <t>WT-SL-FIX-OUT</t>
        </is>
      </c>
      <c r="C1070" s="42" t="inlineStr">
        <is>
          <t>FIX窓（外押縁タイプ）</t>
        </is>
      </c>
      <c r="D1070" s="42" t="str"/>
      <c r="E1070" s="42" t="inlineStr">
        <is>
          <t>165018</t>
        </is>
      </c>
      <c r="F1070" s="42" t="inlineStr">
        <is>
          <t>1690</t>
        </is>
      </c>
      <c r="G1070" s="42" t="inlineStr">
        <is>
          <t>250</t>
        </is>
      </c>
      <c r="H1070" s="42" t="inlineStr">
        <is>
          <t>True</t>
        </is>
      </c>
      <c r="I1070" s="42" t="inlineStr">
        <is>
          <t>NOT_EVALUATED</t>
        </is>
      </c>
      <c r="J1070" s="42" t="inlineStr">
        <is>
          <t>NO_DIRECT_STANDARD_MATRIX_IN_RETRIEVED_SOURCE</t>
        </is>
      </c>
      <c r="K1070" s="42" t="str"/>
      <c r="L1070" s="42" t="str"/>
      <c r="M1070" s="42" t="str"/>
      <c r="N1070" s="42" t="str"/>
      <c r="O1070" s="42" t="inlineStr">
        <is>
          <t>現行公式資料でこの窓種のSAFE 30mil規格○/×を本Revisionでは直接取得できていない。推測しない。</t>
        </is>
      </c>
    </row>
    <row r="1071">
      <c r="A1071" s="42" t="inlineStr">
        <is>
          <t>SZ-SL-001070</t>
        </is>
      </c>
      <c r="B1071" s="42" t="inlineStr">
        <is>
          <t>WT-SL-FIX-OUT</t>
        </is>
      </c>
      <c r="C1071" s="42" t="inlineStr">
        <is>
          <t>FIX窓（外押縁タイプ）</t>
        </is>
      </c>
      <c r="D1071" s="42" t="str"/>
      <c r="E1071" s="42" t="inlineStr">
        <is>
          <t>165023</t>
        </is>
      </c>
      <c r="F1071" s="42" t="inlineStr">
        <is>
          <t>1690</t>
        </is>
      </c>
      <c r="G1071" s="42" t="inlineStr">
        <is>
          <t>300</t>
        </is>
      </c>
      <c r="H1071" s="42" t="inlineStr">
        <is>
          <t>True</t>
        </is>
      </c>
      <c r="I1071" s="42" t="inlineStr">
        <is>
          <t>NOT_EVALUATED</t>
        </is>
      </c>
      <c r="J1071" s="42" t="inlineStr">
        <is>
          <t>NO_DIRECT_STANDARD_MATRIX_IN_RETRIEVED_SOURCE</t>
        </is>
      </c>
      <c r="K1071" s="42" t="str"/>
      <c r="L1071" s="42" t="str"/>
      <c r="M1071" s="42" t="str"/>
      <c r="N1071" s="42" t="str"/>
      <c r="O1071" s="42" t="inlineStr">
        <is>
          <t>現行公式資料でこの窓種のSAFE 30mil規格○/×を本Revisionでは直接取得できていない。推測しない。</t>
        </is>
      </c>
    </row>
    <row r="1072">
      <c r="A1072" s="42" t="inlineStr">
        <is>
          <t>SZ-SL-001071</t>
        </is>
      </c>
      <c r="B1072" s="42" t="inlineStr">
        <is>
          <t>WT-SL-FIX-OUT</t>
        </is>
      </c>
      <c r="C1072" s="42" t="inlineStr">
        <is>
          <t>FIX窓（外押縁タイプ）</t>
        </is>
      </c>
      <c r="D1072" s="42" t="str"/>
      <c r="E1072" s="42" t="inlineStr">
        <is>
          <t>165028</t>
        </is>
      </c>
      <c r="F1072" s="42" t="inlineStr">
        <is>
          <t>1690</t>
        </is>
      </c>
      <c r="G1072" s="42" t="inlineStr">
        <is>
          <t>350</t>
        </is>
      </c>
      <c r="H1072" s="42" t="inlineStr">
        <is>
          <t>True</t>
        </is>
      </c>
      <c r="I1072" s="42" t="inlineStr">
        <is>
          <t>NOT_EVALUATED</t>
        </is>
      </c>
      <c r="J1072" s="42" t="inlineStr">
        <is>
          <t>NO_DIRECT_STANDARD_MATRIX_IN_RETRIEVED_SOURCE</t>
        </is>
      </c>
      <c r="K1072" s="42" t="str"/>
      <c r="L1072" s="42" t="str"/>
      <c r="M1072" s="42" t="str"/>
      <c r="N1072" s="42" t="str"/>
      <c r="O1072" s="42" t="inlineStr">
        <is>
          <t>現行公式資料でこの窓種のSAFE 30mil規格○/×を本Revisionでは直接取得できていない。推測しない。</t>
        </is>
      </c>
    </row>
    <row r="1073">
      <c r="A1073" s="42" t="inlineStr">
        <is>
          <t>SZ-SL-001072</t>
        </is>
      </c>
      <c r="B1073" s="42" t="inlineStr">
        <is>
          <t>WT-SL-FIX-OUT</t>
        </is>
      </c>
      <c r="C1073" s="42" t="inlineStr">
        <is>
          <t>FIX窓（外押縁タイプ）</t>
        </is>
      </c>
      <c r="D1073" s="42" t="str"/>
      <c r="E1073" s="42" t="inlineStr">
        <is>
          <t>03605</t>
        </is>
      </c>
      <c r="F1073" s="42" t="inlineStr">
        <is>
          <t>405</t>
        </is>
      </c>
      <c r="G1073" s="42" t="inlineStr">
        <is>
          <t>570</t>
        </is>
      </c>
      <c r="H1073" s="42" t="inlineStr">
        <is>
          <t>True</t>
        </is>
      </c>
      <c r="I1073" s="42" t="inlineStr">
        <is>
          <t>NOT_EVALUATED</t>
        </is>
      </c>
      <c r="J1073" s="42" t="inlineStr">
        <is>
          <t>NO_DIRECT_STANDARD_MATRIX_IN_RETRIEVED_SOURCE</t>
        </is>
      </c>
      <c r="K1073" s="42" t="str"/>
      <c r="L1073" s="42" t="str"/>
      <c r="M1073" s="42" t="str"/>
      <c r="N1073" s="42" t="str"/>
      <c r="O1073" s="42" t="inlineStr">
        <is>
          <t>現行公式資料でこの窓種のSAFE 30mil規格○/×を本Revisionでは直接取得できていない。推測しない。</t>
        </is>
      </c>
    </row>
    <row r="1074">
      <c r="A1074" s="42" t="inlineStr">
        <is>
          <t>SZ-SL-001073</t>
        </is>
      </c>
      <c r="B1074" s="42" t="inlineStr">
        <is>
          <t>WT-SL-FIX-OUT</t>
        </is>
      </c>
      <c r="C1074" s="42" t="inlineStr">
        <is>
          <t>FIX窓（外押縁タイプ）</t>
        </is>
      </c>
      <c r="D1074" s="42" t="str"/>
      <c r="E1074" s="42" t="inlineStr">
        <is>
          <t>03607</t>
        </is>
      </c>
      <c r="F1074" s="42" t="inlineStr">
        <is>
          <t>405</t>
        </is>
      </c>
      <c r="G1074" s="42" t="inlineStr">
        <is>
          <t>770</t>
        </is>
      </c>
      <c r="H1074" s="42" t="inlineStr">
        <is>
          <t>True</t>
        </is>
      </c>
      <c r="I1074" s="42" t="inlineStr">
        <is>
          <t>NOT_EVALUATED</t>
        </is>
      </c>
      <c r="J1074" s="42" t="inlineStr">
        <is>
          <t>NO_DIRECT_STANDARD_MATRIX_IN_RETRIEVED_SOURCE</t>
        </is>
      </c>
      <c r="K1074" s="42" t="str"/>
      <c r="L1074" s="42" t="str"/>
      <c r="M1074" s="42" t="str"/>
      <c r="N1074" s="42" t="str"/>
      <c r="O1074" s="42" t="inlineStr">
        <is>
          <t>現行公式資料でこの窓種のSAFE 30mil規格○/×を本Revisionでは直接取得できていない。推測しない。</t>
        </is>
      </c>
    </row>
    <row r="1075">
      <c r="A1075" s="42" t="inlineStr">
        <is>
          <t>SZ-SL-001074</t>
        </is>
      </c>
      <c r="B1075" s="42" t="inlineStr">
        <is>
          <t>WT-SL-FIX-OUT</t>
        </is>
      </c>
      <c r="C1075" s="42" t="inlineStr">
        <is>
          <t>FIX窓（外押縁タイプ）</t>
        </is>
      </c>
      <c r="D1075" s="42" t="str"/>
      <c r="E1075" s="42" t="inlineStr">
        <is>
          <t>041038</t>
        </is>
      </c>
      <c r="F1075" s="42" t="inlineStr">
        <is>
          <t>450</t>
        </is>
      </c>
      <c r="G1075" s="42" t="inlineStr">
        <is>
          <t>450</t>
        </is>
      </c>
      <c r="H1075" s="42" t="inlineStr">
        <is>
          <t>True</t>
        </is>
      </c>
      <c r="I1075" s="42" t="inlineStr">
        <is>
          <t>NOT_EVALUATED</t>
        </is>
      </c>
      <c r="J1075" s="42" t="inlineStr">
        <is>
          <t>NO_DIRECT_STANDARD_MATRIX_IN_RETRIEVED_SOURCE</t>
        </is>
      </c>
      <c r="K1075" s="42" t="str"/>
      <c r="L1075" s="42" t="str"/>
      <c r="M1075" s="42" t="str"/>
      <c r="N1075" s="42" t="str"/>
      <c r="O1075" s="42" t="inlineStr">
        <is>
          <t>現行公式資料でこの窓種のSAFE 30mil規格○/×を本Revisionでは直接取得できていない。推測しない。</t>
        </is>
      </c>
    </row>
    <row r="1076">
      <c r="A1076" s="42" t="inlineStr">
        <is>
          <t>SZ-SL-001075</t>
        </is>
      </c>
      <c r="B1076" s="42" t="inlineStr">
        <is>
          <t>WT-SL-FIX-OUT</t>
        </is>
      </c>
      <c r="C1076" s="42" t="inlineStr">
        <is>
          <t>FIX窓（外押縁タイプ）</t>
        </is>
      </c>
      <c r="D1076" s="42" t="str"/>
      <c r="E1076" s="42" t="inlineStr">
        <is>
          <t>06005</t>
        </is>
      </c>
      <c r="F1076" s="42" t="inlineStr">
        <is>
          <t>640</t>
        </is>
      </c>
      <c r="G1076" s="42" t="inlineStr">
        <is>
          <t>570</t>
        </is>
      </c>
      <c r="H1076" s="42" t="inlineStr">
        <is>
          <t>True</t>
        </is>
      </c>
      <c r="I1076" s="42" t="inlineStr">
        <is>
          <t>NOT_EVALUATED</t>
        </is>
      </c>
      <c r="J1076" s="42" t="inlineStr">
        <is>
          <t>NO_DIRECT_STANDARD_MATRIX_IN_RETRIEVED_SOURCE</t>
        </is>
      </c>
      <c r="K1076" s="42" t="str"/>
      <c r="L1076" s="42" t="str"/>
      <c r="M1076" s="42" t="str"/>
      <c r="N1076" s="42" t="str"/>
      <c r="O1076" s="42" t="inlineStr">
        <is>
          <t>現行公式資料でこの窓種のSAFE 30mil規格○/×を本Revisionでは直接取得できていない。推測しない。</t>
        </is>
      </c>
    </row>
    <row r="1077">
      <c r="A1077" s="42" t="inlineStr">
        <is>
          <t>SZ-SL-001076</t>
        </is>
      </c>
      <c r="B1077" s="42" t="inlineStr">
        <is>
          <t>WT-SL-FIX-OUT</t>
        </is>
      </c>
      <c r="C1077" s="42" t="inlineStr">
        <is>
          <t>FIX窓（外押縁タイプ）</t>
        </is>
      </c>
      <c r="D1077" s="42" t="str"/>
      <c r="E1077" s="42" t="inlineStr">
        <is>
          <t>060057</t>
        </is>
      </c>
      <c r="F1077" s="42" t="inlineStr">
        <is>
          <t>640</t>
        </is>
      </c>
      <c r="G1077" s="42" t="inlineStr">
        <is>
          <t>640</t>
        </is>
      </c>
      <c r="H1077" s="42" t="inlineStr">
        <is>
          <t>True</t>
        </is>
      </c>
      <c r="I1077" s="42" t="inlineStr">
        <is>
          <t>NOT_EVALUATED</t>
        </is>
      </c>
      <c r="J1077" s="42" t="inlineStr">
        <is>
          <t>NO_DIRECT_STANDARD_MATRIX_IN_RETRIEVED_SOURCE</t>
        </is>
      </c>
      <c r="K1077" s="42" t="str"/>
      <c r="L1077" s="42" t="str"/>
      <c r="M1077" s="42" t="str"/>
      <c r="N1077" s="42" t="str"/>
      <c r="O1077" s="42" t="inlineStr">
        <is>
          <t>現行公式資料でこの窓種のSAFE 30mil規格○/×を本Revisionでは直接取得できていない。推測しない。</t>
        </is>
      </c>
    </row>
    <row r="1078">
      <c r="A1078" s="42" t="inlineStr">
        <is>
          <t>SZ-SL-001077</t>
        </is>
      </c>
      <c r="B1078" s="42" t="inlineStr">
        <is>
          <t>WT-SL-FIX-OUT</t>
        </is>
      </c>
      <c r="C1078" s="42" t="inlineStr">
        <is>
          <t>FIX窓（外押縁タイプ）</t>
        </is>
      </c>
      <c r="D1078" s="42" t="str"/>
      <c r="E1078" s="42" t="inlineStr">
        <is>
          <t>06007</t>
        </is>
      </c>
      <c r="F1078" s="42" t="inlineStr">
        <is>
          <t>640</t>
        </is>
      </c>
      <c r="G1078" s="42" t="inlineStr">
        <is>
          <t>770</t>
        </is>
      </c>
      <c r="H1078" s="42" t="inlineStr">
        <is>
          <t>True</t>
        </is>
      </c>
      <c r="I1078" s="42" t="inlineStr">
        <is>
          <t>NOT_EVALUATED</t>
        </is>
      </c>
      <c r="J1078" s="42" t="inlineStr">
        <is>
          <t>NO_DIRECT_STANDARD_MATRIX_IN_RETRIEVED_SOURCE</t>
        </is>
      </c>
      <c r="K1078" s="42" t="str"/>
      <c r="L1078" s="42" t="str"/>
      <c r="M1078" s="42" t="str"/>
      <c r="N1078" s="42" t="str"/>
      <c r="O1078" s="42" t="inlineStr">
        <is>
          <t>現行公式資料でこの窓種のSAFE 30mil規格○/×を本Revisionでは直接取得できていない。推測しない。</t>
        </is>
      </c>
    </row>
    <row r="1079">
      <c r="A1079" s="42" t="inlineStr">
        <is>
          <t>SZ-SL-001078</t>
        </is>
      </c>
      <c r="B1079" s="42" t="inlineStr">
        <is>
          <t>WT-SL-FIX-OUT</t>
        </is>
      </c>
      <c r="C1079" s="42" t="inlineStr">
        <is>
          <t>FIX窓（外押縁タイプ）</t>
        </is>
      </c>
      <c r="D1079" s="42" t="str"/>
      <c r="E1079" s="42" t="inlineStr">
        <is>
          <t>06905</t>
        </is>
      </c>
      <c r="F1079" s="42" t="inlineStr">
        <is>
          <t>730</t>
        </is>
      </c>
      <c r="G1079" s="42" t="inlineStr">
        <is>
          <t>570</t>
        </is>
      </c>
      <c r="H1079" s="42" t="inlineStr">
        <is>
          <t>True</t>
        </is>
      </c>
      <c r="I1079" s="42" t="inlineStr">
        <is>
          <t>NOT_EVALUATED</t>
        </is>
      </c>
      <c r="J1079" s="42" t="inlineStr">
        <is>
          <t>NO_DIRECT_STANDARD_MATRIX_IN_RETRIEVED_SOURCE</t>
        </is>
      </c>
      <c r="K1079" s="42" t="str"/>
      <c r="L1079" s="42" t="str"/>
      <c r="M1079" s="42" t="str"/>
      <c r="N1079" s="42" t="str"/>
      <c r="O1079" s="42" t="inlineStr">
        <is>
          <t>現行公式資料でこの窓種のSAFE 30mil規格○/×を本Revisionでは直接取得できていない。推測しない。</t>
        </is>
      </c>
    </row>
    <row r="1080">
      <c r="A1080" s="42" t="inlineStr">
        <is>
          <t>SZ-SL-001079</t>
        </is>
      </c>
      <c r="B1080" s="42" t="inlineStr">
        <is>
          <t>WT-SL-FIX-OUT</t>
        </is>
      </c>
      <c r="C1080" s="42" t="inlineStr">
        <is>
          <t>FIX窓（外押縁タイプ）</t>
        </is>
      </c>
      <c r="D1080" s="42" t="str"/>
      <c r="E1080" s="42" t="inlineStr">
        <is>
          <t>06907</t>
        </is>
      </c>
      <c r="F1080" s="42" t="inlineStr">
        <is>
          <t>730</t>
        </is>
      </c>
      <c r="G1080" s="42" t="inlineStr">
        <is>
          <t>770</t>
        </is>
      </c>
      <c r="H1080" s="42" t="inlineStr">
        <is>
          <t>True</t>
        </is>
      </c>
      <c r="I1080" s="42" t="inlineStr">
        <is>
          <t>NOT_EVALUATED</t>
        </is>
      </c>
      <c r="J1080" s="42" t="inlineStr">
        <is>
          <t>NO_DIRECT_STANDARD_MATRIX_IN_RETRIEVED_SOURCE</t>
        </is>
      </c>
      <c r="K1080" s="42" t="str"/>
      <c r="L1080" s="42" t="str"/>
      <c r="M1080" s="42" t="str"/>
      <c r="N1080" s="42" t="str"/>
      <c r="O1080" s="42" t="inlineStr">
        <is>
          <t>現行公式資料でこの窓種のSAFE 30mil規格○/×を本Revisionでは直接取得できていない。推測しない。</t>
        </is>
      </c>
    </row>
    <row r="1081">
      <c r="A1081" s="42" t="inlineStr">
        <is>
          <t>SZ-SL-001080</t>
        </is>
      </c>
      <c r="B1081" s="42" t="inlineStr">
        <is>
          <t>WT-SL-FIX-OUT</t>
        </is>
      </c>
      <c r="C1081" s="42" t="inlineStr">
        <is>
          <t>FIX窓（外押縁タイプ）</t>
        </is>
      </c>
      <c r="D1081" s="42" t="str"/>
      <c r="E1081" s="42" t="inlineStr">
        <is>
          <t>07405</t>
        </is>
      </c>
      <c r="F1081" s="42" t="inlineStr">
        <is>
          <t>780</t>
        </is>
      </c>
      <c r="G1081" s="42" t="inlineStr">
        <is>
          <t>570</t>
        </is>
      </c>
      <c r="H1081" s="42" t="inlineStr">
        <is>
          <t>True</t>
        </is>
      </c>
      <c r="I1081" s="42" t="inlineStr">
        <is>
          <t>NOT_EVALUATED</t>
        </is>
      </c>
      <c r="J1081" s="42" t="inlineStr">
        <is>
          <t>NO_DIRECT_STANDARD_MATRIX_IN_RETRIEVED_SOURCE</t>
        </is>
      </c>
      <c r="K1081" s="42" t="str"/>
      <c r="L1081" s="42" t="str"/>
      <c r="M1081" s="42" t="str"/>
      <c r="N1081" s="42" t="str"/>
      <c r="O1081" s="42" t="inlineStr">
        <is>
          <t>現行公式資料でこの窓種のSAFE 30mil規格○/×を本Revisionでは直接取得できていない。推測しない。</t>
        </is>
      </c>
    </row>
    <row r="1082">
      <c r="A1082" s="42" t="inlineStr">
        <is>
          <t>SZ-SL-001081</t>
        </is>
      </c>
      <c r="B1082" s="42" t="inlineStr">
        <is>
          <t>WT-SL-FIX-OUT</t>
        </is>
      </c>
      <c r="C1082" s="42" t="inlineStr">
        <is>
          <t>FIX窓（外押縁タイプ）</t>
        </is>
      </c>
      <c r="D1082" s="42" t="str"/>
      <c r="E1082" s="42" t="inlineStr">
        <is>
          <t>07407</t>
        </is>
      </c>
      <c r="F1082" s="42" t="inlineStr">
        <is>
          <t>780</t>
        </is>
      </c>
      <c r="G1082" s="42" t="inlineStr">
        <is>
          <t>770</t>
        </is>
      </c>
      <c r="H1082" s="42" t="inlineStr">
        <is>
          <t>True</t>
        </is>
      </c>
      <c r="I1082" s="42" t="inlineStr">
        <is>
          <t>NOT_EVALUATED</t>
        </is>
      </c>
      <c r="J1082" s="42" t="inlineStr">
        <is>
          <t>NO_DIRECT_STANDARD_MATRIX_IN_RETRIEVED_SOURCE</t>
        </is>
      </c>
      <c r="K1082" s="42" t="str"/>
      <c r="L1082" s="42" t="str"/>
      <c r="M1082" s="42" t="str"/>
      <c r="N1082" s="42" t="str"/>
      <c r="O1082" s="42" t="inlineStr">
        <is>
          <t>現行公式資料でこの窓種のSAFE 30mil規格○/×を本Revisionでは直接取得できていない。推測しない。</t>
        </is>
      </c>
    </row>
    <row r="1083">
      <c r="A1083" s="42" t="inlineStr">
        <is>
          <t>SZ-SL-001082</t>
        </is>
      </c>
      <c r="B1083" s="42" t="inlineStr">
        <is>
          <t>WT-SL-FIX-OUT</t>
        </is>
      </c>
      <c r="C1083" s="42" t="inlineStr">
        <is>
          <t>FIX窓（外押縁タイプ）</t>
        </is>
      </c>
      <c r="D1083" s="42" t="str"/>
      <c r="E1083" s="42" t="inlineStr">
        <is>
          <t>11905</t>
        </is>
      </c>
      <c r="F1083" s="42" t="inlineStr">
        <is>
          <t>1235</t>
        </is>
      </c>
      <c r="G1083" s="42" t="inlineStr">
        <is>
          <t>570</t>
        </is>
      </c>
      <c r="H1083" s="42" t="inlineStr">
        <is>
          <t>True</t>
        </is>
      </c>
      <c r="I1083" s="42" t="inlineStr">
        <is>
          <t>NOT_EVALUATED</t>
        </is>
      </c>
      <c r="J1083" s="42" t="inlineStr">
        <is>
          <t>NO_DIRECT_STANDARD_MATRIX_IN_RETRIEVED_SOURCE</t>
        </is>
      </c>
      <c r="K1083" s="42" t="str"/>
      <c r="L1083" s="42" t="str"/>
      <c r="M1083" s="42" t="str"/>
      <c r="N1083" s="42" t="str"/>
      <c r="O1083" s="42" t="inlineStr">
        <is>
          <t>現行公式資料でこの窓種のSAFE 30mil規格○/×を本Revisionでは直接取得できていない。推測しない。</t>
        </is>
      </c>
    </row>
    <row r="1084">
      <c r="A1084" s="42" t="inlineStr">
        <is>
          <t>SZ-SL-001083</t>
        </is>
      </c>
      <c r="B1084" s="42" t="inlineStr">
        <is>
          <t>WT-SL-FIX-OUT</t>
        </is>
      </c>
      <c r="C1084" s="42" t="inlineStr">
        <is>
          <t>FIX窓（外押縁タイプ）</t>
        </is>
      </c>
      <c r="D1084" s="42" t="str"/>
      <c r="E1084" s="42" t="inlineStr">
        <is>
          <t>11907</t>
        </is>
      </c>
      <c r="F1084" s="42" t="inlineStr">
        <is>
          <t>1235</t>
        </is>
      </c>
      <c r="G1084" s="42" t="inlineStr">
        <is>
          <t>770</t>
        </is>
      </c>
      <c r="H1084" s="42" t="inlineStr">
        <is>
          <t>True</t>
        </is>
      </c>
      <c r="I1084" s="42" t="inlineStr">
        <is>
          <t>NOT_EVALUATED</t>
        </is>
      </c>
      <c r="J1084" s="42" t="inlineStr">
        <is>
          <t>NO_DIRECT_STANDARD_MATRIX_IN_RETRIEVED_SOURCE</t>
        </is>
      </c>
      <c r="K1084" s="42" t="str"/>
      <c r="L1084" s="42" t="str"/>
      <c r="M1084" s="42" t="str"/>
      <c r="N1084" s="42" t="str"/>
      <c r="O1084" s="42" t="inlineStr">
        <is>
          <t>現行公式資料でこの窓種のSAFE 30mil規格○/×を本Revisionでは直接取得できていない。推測しない。</t>
        </is>
      </c>
    </row>
    <row r="1085">
      <c r="A1085" s="42" t="inlineStr">
        <is>
          <t>SZ-SL-001084</t>
        </is>
      </c>
      <c r="B1085" s="42" t="inlineStr">
        <is>
          <t>WT-SL-FIX-OUT</t>
        </is>
      </c>
      <c r="C1085" s="42" t="inlineStr">
        <is>
          <t>FIX窓（外押縁タイプ）</t>
        </is>
      </c>
      <c r="D1085" s="42" t="str"/>
      <c r="E1085" s="42" t="inlineStr">
        <is>
          <t>16005</t>
        </is>
      </c>
      <c r="F1085" s="42" t="inlineStr">
        <is>
          <t>1640</t>
        </is>
      </c>
      <c r="G1085" s="42" t="inlineStr">
        <is>
          <t>570</t>
        </is>
      </c>
      <c r="H1085" s="42" t="inlineStr">
        <is>
          <t>True</t>
        </is>
      </c>
      <c r="I1085" s="42" t="inlineStr">
        <is>
          <t>NOT_EVALUATED</t>
        </is>
      </c>
      <c r="J1085" s="42" t="inlineStr">
        <is>
          <t>NO_DIRECT_STANDARD_MATRIX_IN_RETRIEVED_SOURCE</t>
        </is>
      </c>
      <c r="K1085" s="42" t="str"/>
      <c r="L1085" s="42" t="str"/>
      <c r="M1085" s="42" t="str"/>
      <c r="N1085" s="42" t="str"/>
      <c r="O1085" s="42" t="inlineStr">
        <is>
          <t>現行公式資料でこの窓種のSAFE 30mil規格○/×を本Revisionでは直接取得できていない。推測しない。</t>
        </is>
      </c>
    </row>
    <row r="1086">
      <c r="A1086" s="42" t="inlineStr">
        <is>
          <t>SZ-SL-001085</t>
        </is>
      </c>
      <c r="B1086" s="42" t="inlineStr">
        <is>
          <t>WT-SL-FIX-OUT</t>
        </is>
      </c>
      <c r="C1086" s="42" t="inlineStr">
        <is>
          <t>FIX窓（外押縁タイプ）</t>
        </is>
      </c>
      <c r="D1086" s="42" t="str"/>
      <c r="E1086" s="42" t="inlineStr">
        <is>
          <t>16505</t>
        </is>
      </c>
      <c r="F1086" s="42" t="inlineStr">
        <is>
          <t>1690</t>
        </is>
      </c>
      <c r="G1086" s="42" t="inlineStr">
        <is>
          <t>570</t>
        </is>
      </c>
      <c r="H1086" s="42" t="inlineStr">
        <is>
          <t>True</t>
        </is>
      </c>
      <c r="I1086" s="42" t="inlineStr">
        <is>
          <t>NOT_EVALUATED</t>
        </is>
      </c>
      <c r="J1086" s="42" t="inlineStr">
        <is>
          <t>NO_DIRECT_STANDARD_MATRIX_IN_RETRIEVED_SOURCE</t>
        </is>
      </c>
      <c r="K1086" s="42" t="str"/>
      <c r="L1086" s="42" t="str"/>
      <c r="M1086" s="42" t="str"/>
      <c r="N1086" s="42" t="str"/>
      <c r="O1086" s="42" t="inlineStr">
        <is>
          <t>現行公式資料でこの窓種のSAFE 30mil規格○/×を本Revisionでは直接取得できていない。推測しない。</t>
        </is>
      </c>
    </row>
    <row r="1087">
      <c r="A1087" s="42" t="inlineStr">
        <is>
          <t>SZ-SL-001086</t>
        </is>
      </c>
      <c r="B1087" s="42" t="inlineStr">
        <is>
          <t>WT-SL-FIX-OUT</t>
        </is>
      </c>
      <c r="C1087" s="42" t="inlineStr">
        <is>
          <t>FIX窓（外押縁タイプ）</t>
        </is>
      </c>
      <c r="D1087" s="42" t="str"/>
      <c r="E1087" s="42" t="inlineStr">
        <is>
          <t>16507</t>
        </is>
      </c>
      <c r="F1087" s="42" t="inlineStr">
        <is>
          <t>1690</t>
        </is>
      </c>
      <c r="G1087" s="42" t="inlineStr">
        <is>
          <t>770</t>
        </is>
      </c>
      <c r="H1087" s="42" t="inlineStr">
        <is>
          <t>True</t>
        </is>
      </c>
      <c r="I1087" s="42" t="inlineStr">
        <is>
          <t>NOT_EVALUATED</t>
        </is>
      </c>
      <c r="J1087" s="42" t="inlineStr">
        <is>
          <t>NO_DIRECT_STANDARD_MATRIX_IN_RETRIEVED_SOURCE</t>
        </is>
      </c>
      <c r="K1087" s="42" t="str"/>
      <c r="L1087" s="42" t="str"/>
      <c r="M1087" s="42" t="str"/>
      <c r="N1087" s="42" t="str"/>
      <c r="O1087" s="42" t="inlineStr">
        <is>
          <t>現行公式資料でこの窓種のSAFE 30mil規格○/×を本Revisionでは直接取得できていない。推測しない。</t>
        </is>
      </c>
    </row>
    <row r="1088">
      <c r="A1088" s="42" t="inlineStr">
        <is>
          <t>SZ-SL-001087</t>
        </is>
      </c>
      <c r="B1088" s="42" t="inlineStr">
        <is>
          <t>WT-SL-FIX-OUT</t>
        </is>
      </c>
      <c r="C1088" s="42" t="inlineStr">
        <is>
          <t>FIX窓（外押縁タイプ）</t>
        </is>
      </c>
      <c r="D1088" s="42" t="str"/>
      <c r="E1088" s="42" t="inlineStr">
        <is>
          <t>01609</t>
        </is>
      </c>
      <c r="F1088" s="42" t="inlineStr">
        <is>
          <t>200</t>
        </is>
      </c>
      <c r="G1088" s="42" t="inlineStr">
        <is>
          <t>970</t>
        </is>
      </c>
      <c r="H1088" s="42" t="inlineStr">
        <is>
          <t>True</t>
        </is>
      </c>
      <c r="I1088" s="42" t="inlineStr">
        <is>
          <t>NOT_EVALUATED</t>
        </is>
      </c>
      <c r="J1088" s="42" t="inlineStr">
        <is>
          <t>NO_DIRECT_STANDARD_MATRIX_IN_RETRIEVED_SOURCE</t>
        </is>
      </c>
      <c r="K1088" s="42" t="str"/>
      <c r="L1088" s="42" t="str"/>
      <c r="M1088" s="42" t="str"/>
      <c r="N1088" s="42" t="str"/>
      <c r="O1088" s="42" t="inlineStr">
        <is>
          <t>現行公式資料でこの窓種のSAFE 30mil規格○/×を本Revisionでは直接取得できていない。推測しない。</t>
        </is>
      </c>
    </row>
    <row r="1089">
      <c r="A1089" s="42" t="inlineStr">
        <is>
          <t>SZ-SL-001088</t>
        </is>
      </c>
      <c r="B1089" s="42" t="inlineStr">
        <is>
          <t>WT-SL-FIX-OUT</t>
        </is>
      </c>
      <c r="C1089" s="42" t="inlineStr">
        <is>
          <t>FIX窓（外押縁タイプ）</t>
        </is>
      </c>
      <c r="D1089" s="42" t="str"/>
      <c r="E1089" s="42" t="inlineStr">
        <is>
          <t>01611</t>
        </is>
      </c>
      <c r="F1089" s="42" t="inlineStr">
        <is>
          <t>200</t>
        </is>
      </c>
      <c r="G1089" s="42" t="inlineStr">
        <is>
          <t>1170</t>
        </is>
      </c>
      <c r="H1089" s="42" t="inlineStr">
        <is>
          <t>True</t>
        </is>
      </c>
      <c r="I1089" s="42" t="inlineStr">
        <is>
          <t>NOT_EVALUATED</t>
        </is>
      </c>
      <c r="J1089" s="42" t="inlineStr">
        <is>
          <t>NO_DIRECT_STANDARD_MATRIX_IN_RETRIEVED_SOURCE</t>
        </is>
      </c>
      <c r="K1089" s="42" t="str"/>
      <c r="L1089" s="42" t="str"/>
      <c r="M1089" s="42" t="str"/>
      <c r="N1089" s="42" t="str"/>
      <c r="O1089" s="42" t="inlineStr">
        <is>
          <t>現行公式資料でこの窓種のSAFE 30mil規格○/×を本Revisionでは直接取得できていない。推測しない。</t>
        </is>
      </c>
    </row>
    <row r="1090">
      <c r="A1090" s="42" t="inlineStr">
        <is>
          <t>SZ-SL-001089</t>
        </is>
      </c>
      <c r="B1090" s="42" t="inlineStr">
        <is>
          <t>WT-SL-FIX-OUT</t>
        </is>
      </c>
      <c r="C1090" s="42" t="inlineStr">
        <is>
          <t>FIX窓（外押縁タイプ）</t>
        </is>
      </c>
      <c r="D1090" s="42" t="str"/>
      <c r="E1090" s="42" t="inlineStr">
        <is>
          <t>01613</t>
        </is>
      </c>
      <c r="F1090" s="42" t="inlineStr">
        <is>
          <t>200</t>
        </is>
      </c>
      <c r="G1090" s="42" t="inlineStr">
        <is>
          <t>1370</t>
        </is>
      </c>
      <c r="H1090" s="42" t="inlineStr">
        <is>
          <t>True</t>
        </is>
      </c>
      <c r="I1090" s="42" t="inlineStr">
        <is>
          <t>NOT_EVALUATED</t>
        </is>
      </c>
      <c r="J1090" s="42" t="inlineStr">
        <is>
          <t>NO_DIRECT_STANDARD_MATRIX_IN_RETRIEVED_SOURCE</t>
        </is>
      </c>
      <c r="K1090" s="42" t="str"/>
      <c r="L1090" s="42" t="str"/>
      <c r="M1090" s="42" t="str"/>
      <c r="N1090" s="42" t="str"/>
      <c r="O1090" s="42" t="inlineStr">
        <is>
          <t>現行公式資料でこの窓種のSAFE 30mil規格○/×を本Revisionでは直接取得できていない。推測しない。</t>
        </is>
      </c>
    </row>
    <row r="1091">
      <c r="A1091" s="42" t="inlineStr">
        <is>
          <t>SZ-SL-001090</t>
        </is>
      </c>
      <c r="B1091" s="42" t="inlineStr">
        <is>
          <t>WT-SL-FIX-OUT</t>
        </is>
      </c>
      <c r="C1091" s="42" t="inlineStr">
        <is>
          <t>FIX窓（外押縁タイプ）</t>
        </is>
      </c>
      <c r="D1091" s="42" t="str"/>
      <c r="E1091" s="42" t="inlineStr">
        <is>
          <t>01615</t>
        </is>
      </c>
      <c r="F1091" s="42" t="inlineStr">
        <is>
          <t>200</t>
        </is>
      </c>
      <c r="G1091" s="42" t="inlineStr">
        <is>
          <t>1570</t>
        </is>
      </c>
      <c r="H1091" s="42" t="inlineStr">
        <is>
          <t>True</t>
        </is>
      </c>
      <c r="I1091" s="42" t="inlineStr">
        <is>
          <t>NOT_EVALUATED</t>
        </is>
      </c>
      <c r="J1091" s="42" t="inlineStr">
        <is>
          <t>NO_DIRECT_STANDARD_MATRIX_IN_RETRIEVED_SOURCE</t>
        </is>
      </c>
      <c r="K1091" s="42" t="str"/>
      <c r="L1091" s="42" t="str"/>
      <c r="M1091" s="42" t="str"/>
      <c r="N1091" s="42" t="str"/>
      <c r="O1091" s="42" t="inlineStr">
        <is>
          <t>現行公式資料でこの窓種のSAFE 30mil規格○/×を本Revisionでは直接取得できていない。推測しない。</t>
        </is>
      </c>
    </row>
    <row r="1092">
      <c r="A1092" s="42" t="inlineStr">
        <is>
          <t>SZ-SL-001091</t>
        </is>
      </c>
      <c r="B1092" s="42" t="inlineStr">
        <is>
          <t>WT-SL-FIX-OUT</t>
        </is>
      </c>
      <c r="C1092" s="42" t="inlineStr">
        <is>
          <t>FIX窓（外押縁タイプ）</t>
        </is>
      </c>
      <c r="D1092" s="42" t="str"/>
      <c r="E1092" s="42" t="inlineStr">
        <is>
          <t>02109</t>
        </is>
      </c>
      <c r="F1092" s="42" t="inlineStr">
        <is>
          <t>250</t>
        </is>
      </c>
      <c r="G1092" s="42" t="inlineStr">
        <is>
          <t>970</t>
        </is>
      </c>
      <c r="H1092" s="42" t="inlineStr">
        <is>
          <t>True</t>
        </is>
      </c>
      <c r="I1092" s="42" t="inlineStr">
        <is>
          <t>NOT_EVALUATED</t>
        </is>
      </c>
      <c r="J1092" s="42" t="inlineStr">
        <is>
          <t>NO_DIRECT_STANDARD_MATRIX_IN_RETRIEVED_SOURCE</t>
        </is>
      </c>
      <c r="K1092" s="42" t="str"/>
      <c r="L1092" s="42" t="str"/>
      <c r="M1092" s="42" t="str"/>
      <c r="N1092" s="42" t="str"/>
      <c r="O1092" s="42" t="inlineStr">
        <is>
          <t>現行公式資料でこの窓種のSAFE 30mil規格○/×を本Revisionでは直接取得できていない。推測しない。</t>
        </is>
      </c>
    </row>
    <row r="1093">
      <c r="A1093" s="42" t="inlineStr">
        <is>
          <t>SZ-SL-001092</t>
        </is>
      </c>
      <c r="B1093" s="42" t="inlineStr">
        <is>
          <t>WT-SL-FIX-OUT</t>
        </is>
      </c>
      <c r="C1093" s="42" t="inlineStr">
        <is>
          <t>FIX窓（外押縁タイプ）</t>
        </is>
      </c>
      <c r="D1093" s="42" t="str"/>
      <c r="E1093" s="42" t="inlineStr">
        <is>
          <t>02111</t>
        </is>
      </c>
      <c r="F1093" s="42" t="inlineStr">
        <is>
          <t>250</t>
        </is>
      </c>
      <c r="G1093" s="42" t="inlineStr">
        <is>
          <t>1170</t>
        </is>
      </c>
      <c r="H1093" s="42" t="inlineStr">
        <is>
          <t>True</t>
        </is>
      </c>
      <c r="I1093" s="42" t="inlineStr">
        <is>
          <t>NOT_EVALUATED</t>
        </is>
      </c>
      <c r="J1093" s="42" t="inlineStr">
        <is>
          <t>NO_DIRECT_STANDARD_MATRIX_IN_RETRIEVED_SOURCE</t>
        </is>
      </c>
      <c r="K1093" s="42" t="str"/>
      <c r="L1093" s="42" t="str"/>
      <c r="M1093" s="42" t="str"/>
      <c r="N1093" s="42" t="str"/>
      <c r="O1093" s="42" t="inlineStr">
        <is>
          <t>現行公式資料でこの窓種のSAFE 30mil規格○/×を本Revisionでは直接取得できていない。推測しない。</t>
        </is>
      </c>
    </row>
    <row r="1094">
      <c r="A1094" s="42" t="inlineStr">
        <is>
          <t>SZ-SL-001093</t>
        </is>
      </c>
      <c r="B1094" s="42" t="inlineStr">
        <is>
          <t>WT-SL-FIX-OUT</t>
        </is>
      </c>
      <c r="C1094" s="42" t="inlineStr">
        <is>
          <t>FIX窓（外押縁タイプ）</t>
        </is>
      </c>
      <c r="D1094" s="42" t="str"/>
      <c r="E1094" s="42" t="inlineStr">
        <is>
          <t>02113</t>
        </is>
      </c>
      <c r="F1094" s="42" t="inlineStr">
        <is>
          <t>250</t>
        </is>
      </c>
      <c r="G1094" s="42" t="inlineStr">
        <is>
          <t>1370</t>
        </is>
      </c>
      <c r="H1094" s="42" t="inlineStr">
        <is>
          <t>True</t>
        </is>
      </c>
      <c r="I1094" s="42" t="inlineStr">
        <is>
          <t>NOT_EVALUATED</t>
        </is>
      </c>
      <c r="J1094" s="42" t="inlineStr">
        <is>
          <t>NO_DIRECT_STANDARD_MATRIX_IN_RETRIEVED_SOURCE</t>
        </is>
      </c>
      <c r="K1094" s="42" t="str"/>
      <c r="L1094" s="42" t="str"/>
      <c r="M1094" s="42" t="str"/>
      <c r="N1094" s="42" t="str"/>
      <c r="O1094" s="42" t="inlineStr">
        <is>
          <t>現行公式資料でこの窓種のSAFE 30mil規格○/×を本Revisionでは直接取得できていない。推測しない。</t>
        </is>
      </c>
    </row>
    <row r="1095">
      <c r="A1095" s="42" t="inlineStr">
        <is>
          <t>SZ-SL-001094</t>
        </is>
      </c>
      <c r="B1095" s="42" t="inlineStr">
        <is>
          <t>WT-SL-FIX-OUT</t>
        </is>
      </c>
      <c r="C1095" s="42" t="inlineStr">
        <is>
          <t>FIX窓（外押縁タイプ）</t>
        </is>
      </c>
      <c r="D1095" s="42" t="str"/>
      <c r="E1095" s="42" t="inlineStr">
        <is>
          <t>02115</t>
        </is>
      </c>
      <c r="F1095" s="42" t="inlineStr">
        <is>
          <t>250</t>
        </is>
      </c>
      <c r="G1095" s="42" t="inlineStr">
        <is>
          <t>1570</t>
        </is>
      </c>
      <c r="H1095" s="42" t="inlineStr">
        <is>
          <t>True</t>
        </is>
      </c>
      <c r="I1095" s="42" t="inlineStr">
        <is>
          <t>NOT_EVALUATED</t>
        </is>
      </c>
      <c r="J1095" s="42" t="inlineStr">
        <is>
          <t>NO_DIRECT_STANDARD_MATRIX_IN_RETRIEVED_SOURCE</t>
        </is>
      </c>
      <c r="K1095" s="42" t="str"/>
      <c r="L1095" s="42" t="str"/>
      <c r="M1095" s="42" t="str"/>
      <c r="N1095" s="42" t="str"/>
      <c r="O1095" s="42" t="inlineStr">
        <is>
          <t>現行公式資料でこの窓種のSAFE 30mil規格○/×を本Revisionでは直接取得できていない。推測しない。</t>
        </is>
      </c>
    </row>
    <row r="1096">
      <c r="A1096" s="42" t="inlineStr">
        <is>
          <t>SZ-SL-001095</t>
        </is>
      </c>
      <c r="B1096" s="42" t="inlineStr">
        <is>
          <t>WT-SL-FIX-OUT</t>
        </is>
      </c>
      <c r="C1096" s="42" t="inlineStr">
        <is>
          <t>FIX窓（外押縁タイプ）</t>
        </is>
      </c>
      <c r="D1096" s="42" t="str"/>
      <c r="E1096" s="42" t="inlineStr">
        <is>
          <t>02309</t>
        </is>
      </c>
      <c r="F1096" s="42" t="inlineStr">
        <is>
          <t>275</t>
        </is>
      </c>
      <c r="G1096" s="42" t="inlineStr">
        <is>
          <t>970</t>
        </is>
      </c>
      <c r="H1096" s="42" t="inlineStr">
        <is>
          <t>True</t>
        </is>
      </c>
      <c r="I1096" s="42" t="inlineStr">
        <is>
          <t>NOT_EVALUATED</t>
        </is>
      </c>
      <c r="J1096" s="42" t="inlineStr">
        <is>
          <t>NO_DIRECT_STANDARD_MATRIX_IN_RETRIEVED_SOURCE</t>
        </is>
      </c>
      <c r="K1096" s="42" t="str"/>
      <c r="L1096" s="42" t="str"/>
      <c r="M1096" s="42" t="str"/>
      <c r="N1096" s="42" t="str"/>
      <c r="O1096" s="42" t="inlineStr">
        <is>
          <t>現行公式資料でこの窓種のSAFE 30mil規格○/×を本Revisionでは直接取得できていない。推測しない。</t>
        </is>
      </c>
    </row>
    <row r="1097">
      <c r="A1097" s="42" t="inlineStr">
        <is>
          <t>SZ-SL-001096</t>
        </is>
      </c>
      <c r="B1097" s="42" t="inlineStr">
        <is>
          <t>WT-SL-FIX-OUT</t>
        </is>
      </c>
      <c r="C1097" s="42" t="inlineStr">
        <is>
          <t>FIX窓（外押縁タイプ）</t>
        </is>
      </c>
      <c r="D1097" s="42" t="str"/>
      <c r="E1097" s="42" t="inlineStr">
        <is>
          <t>02311</t>
        </is>
      </c>
      <c r="F1097" s="42" t="inlineStr">
        <is>
          <t>275</t>
        </is>
      </c>
      <c r="G1097" s="42" t="inlineStr">
        <is>
          <t>1170</t>
        </is>
      </c>
      <c r="H1097" s="42" t="inlineStr">
        <is>
          <t>True</t>
        </is>
      </c>
      <c r="I1097" s="42" t="inlineStr">
        <is>
          <t>NOT_EVALUATED</t>
        </is>
      </c>
      <c r="J1097" s="42" t="inlineStr">
        <is>
          <t>NO_DIRECT_STANDARD_MATRIX_IN_RETRIEVED_SOURCE</t>
        </is>
      </c>
      <c r="K1097" s="42" t="str"/>
      <c r="L1097" s="42" t="str"/>
      <c r="M1097" s="42" t="str"/>
      <c r="N1097" s="42" t="str"/>
      <c r="O1097" s="42" t="inlineStr">
        <is>
          <t>現行公式資料でこの窓種のSAFE 30mil規格○/×を本Revisionでは直接取得できていない。推測しない。</t>
        </is>
      </c>
    </row>
    <row r="1098">
      <c r="A1098" s="42" t="inlineStr">
        <is>
          <t>SZ-SL-001097</t>
        </is>
      </c>
      <c r="B1098" s="42" t="inlineStr">
        <is>
          <t>WT-SL-FIX-OUT</t>
        </is>
      </c>
      <c r="C1098" s="42" t="inlineStr">
        <is>
          <t>FIX窓（外押縁タイプ）</t>
        </is>
      </c>
      <c r="D1098" s="42" t="str"/>
      <c r="E1098" s="42" t="inlineStr">
        <is>
          <t>02313</t>
        </is>
      </c>
      <c r="F1098" s="42" t="inlineStr">
        <is>
          <t>275</t>
        </is>
      </c>
      <c r="G1098" s="42" t="inlineStr">
        <is>
          <t>1370</t>
        </is>
      </c>
      <c r="H1098" s="42" t="inlineStr">
        <is>
          <t>True</t>
        </is>
      </c>
      <c r="I1098" s="42" t="inlineStr">
        <is>
          <t>NOT_EVALUATED</t>
        </is>
      </c>
      <c r="J1098" s="42" t="inlineStr">
        <is>
          <t>NO_DIRECT_STANDARD_MATRIX_IN_RETRIEVED_SOURCE</t>
        </is>
      </c>
      <c r="K1098" s="42" t="str"/>
      <c r="L1098" s="42" t="str"/>
      <c r="M1098" s="42" t="str"/>
      <c r="N1098" s="42" t="str"/>
      <c r="O1098" s="42" t="inlineStr">
        <is>
          <t>現行公式資料でこの窓種のSAFE 30mil規格○/×を本Revisionでは直接取得できていない。推測しない。</t>
        </is>
      </c>
    </row>
    <row r="1099">
      <c r="A1099" s="42" t="inlineStr">
        <is>
          <t>SZ-SL-001098</t>
        </is>
      </c>
      <c r="B1099" s="42" t="inlineStr">
        <is>
          <t>WT-SL-FIX-OUT</t>
        </is>
      </c>
      <c r="C1099" s="42" t="inlineStr">
        <is>
          <t>FIX窓（外押縁タイプ）</t>
        </is>
      </c>
      <c r="D1099" s="42" t="str"/>
      <c r="E1099" s="42" t="inlineStr">
        <is>
          <t>02609</t>
        </is>
      </c>
      <c r="F1099" s="42" t="inlineStr">
        <is>
          <t>300</t>
        </is>
      </c>
      <c r="G1099" s="42" t="inlineStr">
        <is>
          <t>970</t>
        </is>
      </c>
      <c r="H1099" s="42" t="inlineStr">
        <is>
          <t>True</t>
        </is>
      </c>
      <c r="I1099" s="42" t="inlineStr">
        <is>
          <t>NOT_EVALUATED</t>
        </is>
      </c>
      <c r="J1099" s="42" t="inlineStr">
        <is>
          <t>NO_DIRECT_STANDARD_MATRIX_IN_RETRIEVED_SOURCE</t>
        </is>
      </c>
      <c r="K1099" s="42" t="str"/>
      <c r="L1099" s="42" t="str"/>
      <c r="M1099" s="42" t="str"/>
      <c r="N1099" s="42" t="str"/>
      <c r="O1099" s="42" t="inlineStr">
        <is>
          <t>現行公式資料でこの窓種のSAFE 30mil規格○/×を本Revisionでは直接取得できていない。推測しない。</t>
        </is>
      </c>
    </row>
    <row r="1100">
      <c r="A1100" s="42" t="inlineStr">
        <is>
          <t>SZ-SL-001099</t>
        </is>
      </c>
      <c r="B1100" s="42" t="inlineStr">
        <is>
          <t>WT-SL-FIX-OUT</t>
        </is>
      </c>
      <c r="C1100" s="42" t="inlineStr">
        <is>
          <t>FIX窓（外押縁タイプ）</t>
        </is>
      </c>
      <c r="D1100" s="42" t="str"/>
      <c r="E1100" s="42" t="inlineStr">
        <is>
          <t>02611</t>
        </is>
      </c>
      <c r="F1100" s="42" t="inlineStr">
        <is>
          <t>300</t>
        </is>
      </c>
      <c r="G1100" s="42" t="inlineStr">
        <is>
          <t>1170</t>
        </is>
      </c>
      <c r="H1100" s="42" t="inlineStr">
        <is>
          <t>True</t>
        </is>
      </c>
      <c r="I1100" s="42" t="inlineStr">
        <is>
          <t>NOT_EVALUATED</t>
        </is>
      </c>
      <c r="J1100" s="42" t="inlineStr">
        <is>
          <t>NO_DIRECT_STANDARD_MATRIX_IN_RETRIEVED_SOURCE</t>
        </is>
      </c>
      <c r="K1100" s="42" t="str"/>
      <c r="L1100" s="42" t="str"/>
      <c r="M1100" s="42" t="str"/>
      <c r="N1100" s="42" t="str"/>
      <c r="O1100" s="42" t="inlineStr">
        <is>
          <t>現行公式資料でこの窓種のSAFE 30mil規格○/×を本Revisionでは直接取得できていない。推測しない。</t>
        </is>
      </c>
    </row>
    <row r="1101">
      <c r="A1101" s="42" t="inlineStr">
        <is>
          <t>SZ-SL-001100</t>
        </is>
      </c>
      <c r="B1101" s="42" t="inlineStr">
        <is>
          <t>WT-SL-FIX-OUT</t>
        </is>
      </c>
      <c r="C1101" s="42" t="inlineStr">
        <is>
          <t>FIX窓（外押縁タイプ）</t>
        </is>
      </c>
      <c r="D1101" s="42" t="str"/>
      <c r="E1101" s="42" t="inlineStr">
        <is>
          <t>02613</t>
        </is>
      </c>
      <c r="F1101" s="42" t="inlineStr">
        <is>
          <t>300</t>
        </is>
      </c>
      <c r="G1101" s="42" t="inlineStr">
        <is>
          <t>1370</t>
        </is>
      </c>
      <c r="H1101" s="42" t="inlineStr">
        <is>
          <t>True</t>
        </is>
      </c>
      <c r="I1101" s="42" t="inlineStr">
        <is>
          <t>NOT_EVALUATED</t>
        </is>
      </c>
      <c r="J1101" s="42" t="inlineStr">
        <is>
          <t>NO_DIRECT_STANDARD_MATRIX_IN_RETRIEVED_SOURCE</t>
        </is>
      </c>
      <c r="K1101" s="42" t="str"/>
      <c r="L1101" s="42" t="str"/>
      <c r="M1101" s="42" t="str"/>
      <c r="N1101" s="42" t="str"/>
      <c r="O1101" s="42" t="inlineStr">
        <is>
          <t>現行公式資料でこの窓種のSAFE 30mil規格○/×を本Revisionでは直接取得できていない。推測しない。</t>
        </is>
      </c>
    </row>
    <row r="1102">
      <c r="A1102" s="42" t="inlineStr">
        <is>
          <t>SZ-SL-001101</t>
        </is>
      </c>
      <c r="B1102" s="42" t="inlineStr">
        <is>
          <t>WT-SL-FIX-OUT</t>
        </is>
      </c>
      <c r="C1102" s="42" t="inlineStr">
        <is>
          <t>FIX窓（外押縁タイプ）</t>
        </is>
      </c>
      <c r="D1102" s="42" t="str"/>
      <c r="E1102" s="42" t="inlineStr">
        <is>
          <t>02615</t>
        </is>
      </c>
      <c r="F1102" s="42" t="inlineStr">
        <is>
          <t>300</t>
        </is>
      </c>
      <c r="G1102" s="42" t="inlineStr">
        <is>
          <t>1570</t>
        </is>
      </c>
      <c r="H1102" s="42" t="inlineStr">
        <is>
          <t>True</t>
        </is>
      </c>
      <c r="I1102" s="42" t="inlineStr">
        <is>
          <t>NOT_EVALUATED</t>
        </is>
      </c>
      <c r="J1102" s="42" t="inlineStr">
        <is>
          <t>NO_DIRECT_STANDARD_MATRIX_IN_RETRIEVED_SOURCE</t>
        </is>
      </c>
      <c r="K1102" s="42" t="str"/>
      <c r="L1102" s="42" t="str"/>
      <c r="M1102" s="42" t="str"/>
      <c r="N1102" s="42" t="str"/>
      <c r="O1102" s="42" t="inlineStr">
        <is>
          <t>現行公式資料でこの窓種のSAFE 30mil規格○/×を本Revisionでは直接取得できていない。推測しない。</t>
        </is>
      </c>
    </row>
    <row r="1103">
      <c r="A1103" s="42" t="inlineStr">
        <is>
          <t>SZ-SL-001102</t>
        </is>
      </c>
      <c r="B1103" s="42" t="inlineStr">
        <is>
          <t>WT-SL-FIX-OUT</t>
        </is>
      </c>
      <c r="C1103" s="42" t="inlineStr">
        <is>
          <t>FIX窓（外押縁タイプ）</t>
        </is>
      </c>
      <c r="D1103" s="42" t="str"/>
      <c r="E1103" s="42" t="inlineStr">
        <is>
          <t>03109</t>
        </is>
      </c>
      <c r="F1103" s="42" t="inlineStr">
        <is>
          <t>350</t>
        </is>
      </c>
      <c r="G1103" s="42" t="inlineStr">
        <is>
          <t>970</t>
        </is>
      </c>
      <c r="H1103" s="42" t="inlineStr">
        <is>
          <t>True</t>
        </is>
      </c>
      <c r="I1103" s="42" t="inlineStr">
        <is>
          <t>NOT_EVALUATED</t>
        </is>
      </c>
      <c r="J1103" s="42" t="inlineStr">
        <is>
          <t>NO_DIRECT_STANDARD_MATRIX_IN_RETRIEVED_SOURCE</t>
        </is>
      </c>
      <c r="K1103" s="42" t="str"/>
      <c r="L1103" s="42" t="str"/>
      <c r="M1103" s="42" t="str"/>
      <c r="N1103" s="42" t="str"/>
      <c r="O1103" s="42" t="inlineStr">
        <is>
          <t>現行公式資料でこの窓種のSAFE 30mil規格○/×を本Revisionでは直接取得できていない。推測しない。</t>
        </is>
      </c>
    </row>
    <row r="1104">
      <c r="A1104" s="42" t="inlineStr">
        <is>
          <t>SZ-SL-001103</t>
        </is>
      </c>
      <c r="B1104" s="42" t="inlineStr">
        <is>
          <t>WT-SL-FIX-OUT</t>
        </is>
      </c>
      <c r="C1104" s="42" t="inlineStr">
        <is>
          <t>FIX窓（外押縁タイプ）</t>
        </is>
      </c>
      <c r="D1104" s="42" t="str"/>
      <c r="E1104" s="42" t="inlineStr">
        <is>
          <t>03111</t>
        </is>
      </c>
      <c r="F1104" s="42" t="inlineStr">
        <is>
          <t>350</t>
        </is>
      </c>
      <c r="G1104" s="42" t="inlineStr">
        <is>
          <t>1170</t>
        </is>
      </c>
      <c r="H1104" s="42" t="inlineStr">
        <is>
          <t>True</t>
        </is>
      </c>
      <c r="I1104" s="42" t="inlineStr">
        <is>
          <t>NOT_EVALUATED</t>
        </is>
      </c>
      <c r="J1104" s="42" t="inlineStr">
        <is>
          <t>NO_DIRECT_STANDARD_MATRIX_IN_RETRIEVED_SOURCE</t>
        </is>
      </c>
      <c r="K1104" s="42" t="str"/>
      <c r="L1104" s="42" t="str"/>
      <c r="M1104" s="42" t="str"/>
      <c r="N1104" s="42" t="str"/>
      <c r="O1104" s="42" t="inlineStr">
        <is>
          <t>現行公式資料でこの窓種のSAFE 30mil規格○/×を本Revisionでは直接取得できていない。推測しない。</t>
        </is>
      </c>
    </row>
    <row r="1105">
      <c r="A1105" s="42" t="inlineStr">
        <is>
          <t>SZ-SL-001104</t>
        </is>
      </c>
      <c r="B1105" s="42" t="inlineStr">
        <is>
          <t>WT-SL-FIX-OUT</t>
        </is>
      </c>
      <c r="C1105" s="42" t="inlineStr">
        <is>
          <t>FIX窓（外押縁タイプ）</t>
        </is>
      </c>
      <c r="D1105" s="42" t="str"/>
      <c r="E1105" s="42" t="inlineStr">
        <is>
          <t>03113</t>
        </is>
      </c>
      <c r="F1105" s="42" t="inlineStr">
        <is>
          <t>350</t>
        </is>
      </c>
      <c r="G1105" s="42" t="inlineStr">
        <is>
          <t>1370</t>
        </is>
      </c>
      <c r="H1105" s="42" t="inlineStr">
        <is>
          <t>True</t>
        </is>
      </c>
      <c r="I1105" s="42" t="inlineStr">
        <is>
          <t>NOT_EVALUATED</t>
        </is>
      </c>
      <c r="J1105" s="42" t="inlineStr">
        <is>
          <t>NO_DIRECT_STANDARD_MATRIX_IN_RETRIEVED_SOURCE</t>
        </is>
      </c>
      <c r="K1105" s="42" t="str"/>
      <c r="L1105" s="42" t="str"/>
      <c r="M1105" s="42" t="str"/>
      <c r="N1105" s="42" t="str"/>
      <c r="O1105" s="42" t="inlineStr">
        <is>
          <t>現行公式資料でこの窓種のSAFE 30mil規格○/×を本Revisionでは直接取得できていない。推測しない。</t>
        </is>
      </c>
    </row>
    <row r="1106">
      <c r="A1106" s="42" t="inlineStr">
        <is>
          <t>SZ-SL-001105</t>
        </is>
      </c>
      <c r="B1106" s="42" t="inlineStr">
        <is>
          <t>WT-SL-FIX-OUT</t>
        </is>
      </c>
      <c r="C1106" s="42" t="inlineStr">
        <is>
          <t>FIX窓（外押縁タイプ）</t>
        </is>
      </c>
      <c r="D1106" s="42" t="str"/>
      <c r="E1106" s="42" t="inlineStr">
        <is>
          <t>03115</t>
        </is>
      </c>
      <c r="F1106" s="42" t="inlineStr">
        <is>
          <t>350</t>
        </is>
      </c>
      <c r="G1106" s="42" t="inlineStr">
        <is>
          <t>1570</t>
        </is>
      </c>
      <c r="H1106" s="42" t="inlineStr">
        <is>
          <t>True</t>
        </is>
      </c>
      <c r="I1106" s="42" t="inlineStr">
        <is>
          <t>NOT_EVALUATED</t>
        </is>
      </c>
      <c r="J1106" s="42" t="inlineStr">
        <is>
          <t>NO_DIRECT_STANDARD_MATRIX_IN_RETRIEVED_SOURCE</t>
        </is>
      </c>
      <c r="K1106" s="42" t="str"/>
      <c r="L1106" s="42" t="str"/>
      <c r="M1106" s="42" t="str"/>
      <c r="N1106" s="42" t="str"/>
      <c r="O1106" s="42" t="inlineStr">
        <is>
          <t>現行公式資料でこの窓種のSAFE 30mil規格○/×を本Revisionでは直接取得できていない。推測しない。</t>
        </is>
      </c>
    </row>
    <row r="1107">
      <c r="A1107" s="42" t="inlineStr">
        <is>
          <t>SZ-SL-001106</t>
        </is>
      </c>
      <c r="B1107" s="42" t="inlineStr">
        <is>
          <t>WT-SL-FIX-OUT</t>
        </is>
      </c>
      <c r="C1107" s="42" t="inlineStr">
        <is>
          <t>FIX窓（外押縁タイプ）</t>
        </is>
      </c>
      <c r="D1107" s="42" t="str"/>
      <c r="E1107" s="42" t="inlineStr">
        <is>
          <t>03609</t>
        </is>
      </c>
      <c r="F1107" s="42" t="inlineStr">
        <is>
          <t>405</t>
        </is>
      </c>
      <c r="G1107" s="42" t="inlineStr">
        <is>
          <t>970</t>
        </is>
      </c>
      <c r="H1107" s="42" t="inlineStr">
        <is>
          <t>True</t>
        </is>
      </c>
      <c r="I1107" s="42" t="inlineStr">
        <is>
          <t>NOT_EVALUATED</t>
        </is>
      </c>
      <c r="J1107" s="42" t="inlineStr">
        <is>
          <t>NO_DIRECT_STANDARD_MATRIX_IN_RETRIEVED_SOURCE</t>
        </is>
      </c>
      <c r="K1107" s="42" t="str"/>
      <c r="L1107" s="42" t="str"/>
      <c r="M1107" s="42" t="str"/>
      <c r="N1107" s="42" t="str"/>
      <c r="O1107" s="42" t="inlineStr">
        <is>
          <t>現行公式資料でこの窓種のSAFE 30mil規格○/×を本Revisionでは直接取得できていない。推測しない。</t>
        </is>
      </c>
    </row>
    <row r="1108">
      <c r="A1108" s="42" t="inlineStr">
        <is>
          <t>SZ-SL-001107</t>
        </is>
      </c>
      <c r="B1108" s="42" t="inlineStr">
        <is>
          <t>WT-SL-FIX-OUT</t>
        </is>
      </c>
      <c r="C1108" s="42" t="inlineStr">
        <is>
          <t>FIX窓（外押縁タイプ）</t>
        </is>
      </c>
      <c r="D1108" s="42" t="str"/>
      <c r="E1108" s="42" t="inlineStr">
        <is>
          <t>03611</t>
        </is>
      </c>
      <c r="F1108" s="42" t="inlineStr">
        <is>
          <t>405</t>
        </is>
      </c>
      <c r="G1108" s="42" t="inlineStr">
        <is>
          <t>1170</t>
        </is>
      </c>
      <c r="H1108" s="42" t="inlineStr">
        <is>
          <t>True</t>
        </is>
      </c>
      <c r="I1108" s="42" t="inlineStr">
        <is>
          <t>NOT_EVALUATED</t>
        </is>
      </c>
      <c r="J1108" s="42" t="inlineStr">
        <is>
          <t>NO_DIRECT_STANDARD_MATRIX_IN_RETRIEVED_SOURCE</t>
        </is>
      </c>
      <c r="K1108" s="42" t="str"/>
      <c r="L1108" s="42" t="str"/>
      <c r="M1108" s="42" t="str"/>
      <c r="N1108" s="42" t="str"/>
      <c r="O1108" s="42" t="inlineStr">
        <is>
          <t>現行公式資料でこの窓種のSAFE 30mil規格○/×を本Revisionでは直接取得できていない。推測しない。</t>
        </is>
      </c>
    </row>
    <row r="1109">
      <c r="A1109" s="42" t="inlineStr">
        <is>
          <t>SZ-SL-001108</t>
        </is>
      </c>
      <c r="B1109" s="42" t="inlineStr">
        <is>
          <t>WT-SL-FIX-OUT</t>
        </is>
      </c>
      <c r="C1109" s="42" t="inlineStr">
        <is>
          <t>FIX窓（外押縁タイプ）</t>
        </is>
      </c>
      <c r="D1109" s="42" t="str"/>
      <c r="E1109" s="42" t="inlineStr">
        <is>
          <t>03613</t>
        </is>
      </c>
      <c r="F1109" s="42" t="inlineStr">
        <is>
          <t>405</t>
        </is>
      </c>
      <c r="G1109" s="42" t="inlineStr">
        <is>
          <t>1370</t>
        </is>
      </c>
      <c r="H1109" s="42" t="inlineStr">
        <is>
          <t>True</t>
        </is>
      </c>
      <c r="I1109" s="42" t="inlineStr">
        <is>
          <t>NOT_EVALUATED</t>
        </is>
      </c>
      <c r="J1109" s="42" t="inlineStr">
        <is>
          <t>NO_DIRECT_STANDARD_MATRIX_IN_RETRIEVED_SOURCE</t>
        </is>
      </c>
      <c r="K1109" s="42" t="str"/>
      <c r="L1109" s="42" t="str"/>
      <c r="M1109" s="42" t="str"/>
      <c r="N1109" s="42" t="str"/>
      <c r="O1109" s="42" t="inlineStr">
        <is>
          <t>現行公式資料でこの窓種のSAFE 30mil規格○/×を本Revisionでは直接取得できていない。推測しない。</t>
        </is>
      </c>
    </row>
    <row r="1110">
      <c r="A1110" s="42" t="inlineStr">
        <is>
          <t>SZ-SL-001109</t>
        </is>
      </c>
      <c r="B1110" s="42" t="inlineStr">
        <is>
          <t>WT-SL-FIX-OUT</t>
        </is>
      </c>
      <c r="C1110" s="42" t="inlineStr">
        <is>
          <t>FIX窓（外押縁タイプ）</t>
        </is>
      </c>
      <c r="D1110" s="42" t="str"/>
      <c r="E1110" s="42" t="inlineStr">
        <is>
          <t>03615</t>
        </is>
      </c>
      <c r="F1110" s="42" t="inlineStr">
        <is>
          <t>405</t>
        </is>
      </c>
      <c r="G1110" s="42" t="inlineStr">
        <is>
          <t>1570</t>
        </is>
      </c>
      <c r="H1110" s="42" t="inlineStr">
        <is>
          <t>True</t>
        </is>
      </c>
      <c r="I1110" s="42" t="inlineStr">
        <is>
          <t>NOT_EVALUATED</t>
        </is>
      </c>
      <c r="J1110" s="42" t="inlineStr">
        <is>
          <t>NO_DIRECT_STANDARD_MATRIX_IN_RETRIEVED_SOURCE</t>
        </is>
      </c>
      <c r="K1110" s="42" t="str"/>
      <c r="L1110" s="42" t="str"/>
      <c r="M1110" s="42" t="str"/>
      <c r="N1110" s="42" t="str"/>
      <c r="O1110" s="42" t="inlineStr">
        <is>
          <t>現行公式資料でこの窓種のSAFE 30mil規格○/×を本Revisionでは直接取得できていない。推測しない。</t>
        </is>
      </c>
    </row>
    <row r="1111">
      <c r="A1111" s="42" t="inlineStr">
        <is>
          <t>SZ-SL-001110</t>
        </is>
      </c>
      <c r="B1111" s="42" t="inlineStr">
        <is>
          <t>WT-SL-FIX-OUT</t>
        </is>
      </c>
      <c r="C1111" s="42" t="inlineStr">
        <is>
          <t>FIX窓（外押縁タイプ）</t>
        </is>
      </c>
      <c r="D1111" s="42" t="str"/>
      <c r="E1111" s="42" t="inlineStr">
        <is>
          <t>06009</t>
        </is>
      </c>
      <c r="F1111" s="42" t="inlineStr">
        <is>
          <t>640</t>
        </is>
      </c>
      <c r="G1111" s="42" t="inlineStr">
        <is>
          <t>970</t>
        </is>
      </c>
      <c r="H1111" s="42" t="inlineStr">
        <is>
          <t>True</t>
        </is>
      </c>
      <c r="I1111" s="42" t="inlineStr">
        <is>
          <t>NOT_EVALUATED</t>
        </is>
      </c>
      <c r="J1111" s="42" t="inlineStr">
        <is>
          <t>NO_DIRECT_STANDARD_MATRIX_IN_RETRIEVED_SOURCE</t>
        </is>
      </c>
      <c r="K1111" s="42" t="str"/>
      <c r="L1111" s="42" t="str"/>
      <c r="M1111" s="42" t="str"/>
      <c r="N1111" s="42" t="str"/>
      <c r="O1111" s="42" t="inlineStr">
        <is>
          <t>現行公式資料でこの窓種のSAFE 30mil規格○/×を本Revisionでは直接取得できていない。推測しない。</t>
        </is>
      </c>
    </row>
    <row r="1112">
      <c r="A1112" s="42" t="inlineStr">
        <is>
          <t>SZ-SL-001111</t>
        </is>
      </c>
      <c r="B1112" s="42" t="inlineStr">
        <is>
          <t>WT-SL-FIX-OUT</t>
        </is>
      </c>
      <c r="C1112" s="42" t="inlineStr">
        <is>
          <t>FIX窓（外押縁タイプ）</t>
        </is>
      </c>
      <c r="D1112" s="42" t="str"/>
      <c r="E1112" s="42" t="inlineStr">
        <is>
          <t>06011</t>
        </is>
      </c>
      <c r="F1112" s="42" t="inlineStr">
        <is>
          <t>640</t>
        </is>
      </c>
      <c r="G1112" s="42" t="inlineStr">
        <is>
          <t>1170</t>
        </is>
      </c>
      <c r="H1112" s="42" t="inlineStr">
        <is>
          <t>True</t>
        </is>
      </c>
      <c r="I1112" s="42" t="inlineStr">
        <is>
          <t>NOT_EVALUATED</t>
        </is>
      </c>
      <c r="J1112" s="42" t="inlineStr">
        <is>
          <t>NO_DIRECT_STANDARD_MATRIX_IN_RETRIEVED_SOURCE</t>
        </is>
      </c>
      <c r="K1112" s="42" t="str"/>
      <c r="L1112" s="42" t="str"/>
      <c r="M1112" s="42" t="str"/>
      <c r="N1112" s="42" t="str"/>
      <c r="O1112" s="42" t="inlineStr">
        <is>
          <t>現行公式資料でこの窓種のSAFE 30mil規格○/×を本Revisionでは直接取得できていない。推測しない。</t>
        </is>
      </c>
    </row>
    <row r="1113">
      <c r="A1113" s="42" t="inlineStr">
        <is>
          <t>SZ-SL-001112</t>
        </is>
      </c>
      <c r="B1113" s="42" t="inlineStr">
        <is>
          <t>WT-SL-FIX-OUT</t>
        </is>
      </c>
      <c r="C1113" s="42" t="inlineStr">
        <is>
          <t>FIX窓（外押縁タイプ）</t>
        </is>
      </c>
      <c r="D1113" s="42" t="str"/>
      <c r="E1113" s="42" t="inlineStr">
        <is>
          <t>06013</t>
        </is>
      </c>
      <c r="F1113" s="42" t="inlineStr">
        <is>
          <t>640</t>
        </is>
      </c>
      <c r="G1113" s="42" t="inlineStr">
        <is>
          <t>1370</t>
        </is>
      </c>
      <c r="H1113" s="42" t="inlineStr">
        <is>
          <t>True</t>
        </is>
      </c>
      <c r="I1113" s="42" t="inlineStr">
        <is>
          <t>NOT_EVALUATED</t>
        </is>
      </c>
      <c r="J1113" s="42" t="inlineStr">
        <is>
          <t>NO_DIRECT_STANDARD_MATRIX_IN_RETRIEVED_SOURCE</t>
        </is>
      </c>
      <c r="K1113" s="42" t="str"/>
      <c r="L1113" s="42" t="str"/>
      <c r="M1113" s="42" t="str"/>
      <c r="N1113" s="42" t="str"/>
      <c r="O1113" s="42" t="inlineStr">
        <is>
          <t>現行公式資料でこの窓種のSAFE 30mil規格○/×を本Revisionでは直接取得できていない。推測しない。</t>
        </is>
      </c>
    </row>
    <row r="1114">
      <c r="A1114" s="42" t="inlineStr">
        <is>
          <t>SZ-SL-001113</t>
        </is>
      </c>
      <c r="B1114" s="42" t="inlineStr">
        <is>
          <t>WT-SL-FIX-OUT</t>
        </is>
      </c>
      <c r="C1114" s="42" t="inlineStr">
        <is>
          <t>FIX窓（外押縁タイプ）</t>
        </is>
      </c>
      <c r="D1114" s="42" t="str"/>
      <c r="E1114" s="42" t="inlineStr">
        <is>
          <t>06015</t>
        </is>
      </c>
      <c r="F1114" s="42" t="inlineStr">
        <is>
          <t>640</t>
        </is>
      </c>
      <c r="G1114" s="42" t="inlineStr">
        <is>
          <t>1570</t>
        </is>
      </c>
      <c r="H1114" s="42" t="inlineStr">
        <is>
          <t>True</t>
        </is>
      </c>
      <c r="I1114" s="42" t="inlineStr">
        <is>
          <t>NOT_EVALUATED</t>
        </is>
      </c>
      <c r="J1114" s="42" t="inlineStr">
        <is>
          <t>NO_DIRECT_STANDARD_MATRIX_IN_RETRIEVED_SOURCE</t>
        </is>
      </c>
      <c r="K1114" s="42" t="str"/>
      <c r="L1114" s="42" t="str"/>
      <c r="M1114" s="42" t="str"/>
      <c r="N1114" s="42" t="str"/>
      <c r="O1114" s="42" t="inlineStr">
        <is>
          <t>現行公式資料でこの窓種のSAFE 30mil規格○/×を本Revisionでは直接取得できていない。推測しない。</t>
        </is>
      </c>
    </row>
    <row r="1115">
      <c r="A1115" s="42" t="inlineStr">
        <is>
          <t>SZ-SL-001114</t>
        </is>
      </c>
      <c r="B1115" s="42" t="inlineStr">
        <is>
          <t>WT-SL-FIX-OUT</t>
        </is>
      </c>
      <c r="C1115" s="42" t="inlineStr">
        <is>
          <t>FIX窓（外押縁タイプ）</t>
        </is>
      </c>
      <c r="D1115" s="42" t="str"/>
      <c r="E1115" s="42" t="inlineStr">
        <is>
          <t>06909</t>
        </is>
      </c>
      <c r="F1115" s="42" t="inlineStr">
        <is>
          <t>730</t>
        </is>
      </c>
      <c r="G1115" s="42" t="inlineStr">
        <is>
          <t>970</t>
        </is>
      </c>
      <c r="H1115" s="42" t="inlineStr">
        <is>
          <t>True</t>
        </is>
      </c>
      <c r="I1115" s="42" t="inlineStr">
        <is>
          <t>NOT_EVALUATED</t>
        </is>
      </c>
      <c r="J1115" s="42" t="inlineStr">
        <is>
          <t>NO_DIRECT_STANDARD_MATRIX_IN_RETRIEVED_SOURCE</t>
        </is>
      </c>
      <c r="K1115" s="42" t="str"/>
      <c r="L1115" s="42" t="str"/>
      <c r="M1115" s="42" t="str"/>
      <c r="N1115" s="42" t="str"/>
      <c r="O1115" s="42" t="inlineStr">
        <is>
          <t>現行公式資料でこの窓種のSAFE 30mil規格○/×を本Revisionでは直接取得できていない。推測しない。</t>
        </is>
      </c>
    </row>
    <row r="1116">
      <c r="A1116" s="42" t="inlineStr">
        <is>
          <t>SZ-SL-001115</t>
        </is>
      </c>
      <c r="B1116" s="42" t="inlineStr">
        <is>
          <t>WT-SL-FIX-OUT</t>
        </is>
      </c>
      <c r="C1116" s="42" t="inlineStr">
        <is>
          <t>FIX窓（外押縁タイプ）</t>
        </is>
      </c>
      <c r="D1116" s="42" t="str"/>
      <c r="E1116" s="42" t="inlineStr">
        <is>
          <t>06911</t>
        </is>
      </c>
      <c r="F1116" s="42" t="inlineStr">
        <is>
          <t>730</t>
        </is>
      </c>
      <c r="G1116" s="42" t="inlineStr">
        <is>
          <t>1170</t>
        </is>
      </c>
      <c r="H1116" s="42" t="inlineStr">
        <is>
          <t>True</t>
        </is>
      </c>
      <c r="I1116" s="42" t="inlineStr">
        <is>
          <t>NOT_EVALUATED</t>
        </is>
      </c>
      <c r="J1116" s="42" t="inlineStr">
        <is>
          <t>NO_DIRECT_STANDARD_MATRIX_IN_RETRIEVED_SOURCE</t>
        </is>
      </c>
      <c r="K1116" s="42" t="str"/>
      <c r="L1116" s="42" t="str"/>
      <c r="M1116" s="42" t="str"/>
      <c r="N1116" s="42" t="str"/>
      <c r="O1116" s="42" t="inlineStr">
        <is>
          <t>現行公式資料でこの窓種のSAFE 30mil規格○/×を本Revisionでは直接取得できていない。推測しない。</t>
        </is>
      </c>
    </row>
    <row r="1117">
      <c r="A1117" s="42" t="inlineStr">
        <is>
          <t>SZ-SL-001116</t>
        </is>
      </c>
      <c r="B1117" s="42" t="inlineStr">
        <is>
          <t>WT-SL-FIX-OUT</t>
        </is>
      </c>
      <c r="C1117" s="42" t="inlineStr">
        <is>
          <t>FIX窓（外押縁タイプ）</t>
        </is>
      </c>
      <c r="D1117" s="42" t="str"/>
      <c r="E1117" s="42" t="inlineStr">
        <is>
          <t>06913</t>
        </is>
      </c>
      <c r="F1117" s="42" t="inlineStr">
        <is>
          <t>730</t>
        </is>
      </c>
      <c r="G1117" s="42" t="inlineStr">
        <is>
          <t>1370</t>
        </is>
      </c>
      <c r="H1117" s="42" t="inlineStr">
        <is>
          <t>True</t>
        </is>
      </c>
      <c r="I1117" s="42" t="inlineStr">
        <is>
          <t>NOT_EVALUATED</t>
        </is>
      </c>
      <c r="J1117" s="42" t="inlineStr">
        <is>
          <t>NO_DIRECT_STANDARD_MATRIX_IN_RETRIEVED_SOURCE</t>
        </is>
      </c>
      <c r="K1117" s="42" t="str"/>
      <c r="L1117" s="42" t="str"/>
      <c r="M1117" s="42" t="str"/>
      <c r="N1117" s="42" t="str"/>
      <c r="O1117" s="42" t="inlineStr">
        <is>
          <t>現行公式資料でこの窓種のSAFE 30mil規格○/×を本Revisionでは直接取得できていない。推測しない。</t>
        </is>
      </c>
    </row>
    <row r="1118">
      <c r="A1118" s="42" t="inlineStr">
        <is>
          <t>SZ-SL-001117</t>
        </is>
      </c>
      <c r="B1118" s="42" t="inlineStr">
        <is>
          <t>WT-SL-FIX-OUT</t>
        </is>
      </c>
      <c r="C1118" s="42" t="inlineStr">
        <is>
          <t>FIX窓（外押縁タイプ）</t>
        </is>
      </c>
      <c r="D1118" s="42" t="str"/>
      <c r="E1118" s="42" t="inlineStr">
        <is>
          <t>06915</t>
        </is>
      </c>
      <c r="F1118" s="42" t="inlineStr">
        <is>
          <t>730</t>
        </is>
      </c>
      <c r="G1118" s="42" t="inlineStr">
        <is>
          <t>1570</t>
        </is>
      </c>
      <c r="H1118" s="42" t="inlineStr">
        <is>
          <t>True</t>
        </is>
      </c>
      <c r="I1118" s="42" t="inlineStr">
        <is>
          <t>NOT_EVALUATED</t>
        </is>
      </c>
      <c r="J1118" s="42" t="inlineStr">
        <is>
          <t>NO_DIRECT_STANDARD_MATRIX_IN_RETRIEVED_SOURCE</t>
        </is>
      </c>
      <c r="K1118" s="42" t="str"/>
      <c r="L1118" s="42" t="str"/>
      <c r="M1118" s="42" t="str"/>
      <c r="N1118" s="42" t="str"/>
      <c r="O1118" s="42" t="inlineStr">
        <is>
          <t>現行公式資料でこの窓種のSAFE 30mil規格○/×を本Revisionでは直接取得できていない。推測しない。</t>
        </is>
      </c>
    </row>
    <row r="1119">
      <c r="A1119" s="42" t="inlineStr">
        <is>
          <t>SZ-SL-001118</t>
        </is>
      </c>
      <c r="B1119" s="42" t="inlineStr">
        <is>
          <t>WT-SL-FIX-OUT</t>
        </is>
      </c>
      <c r="C1119" s="42" t="inlineStr">
        <is>
          <t>FIX窓（外押縁タイプ）</t>
        </is>
      </c>
      <c r="D1119" s="42" t="str"/>
      <c r="E1119" s="42" t="inlineStr">
        <is>
          <t>07409</t>
        </is>
      </c>
      <c r="F1119" s="42" t="inlineStr">
        <is>
          <t>780</t>
        </is>
      </c>
      <c r="G1119" s="42" t="inlineStr">
        <is>
          <t>970</t>
        </is>
      </c>
      <c r="H1119" s="42" t="inlineStr">
        <is>
          <t>True</t>
        </is>
      </c>
      <c r="I1119" s="42" t="inlineStr">
        <is>
          <t>NOT_EVALUATED</t>
        </is>
      </c>
      <c r="J1119" s="42" t="inlineStr">
        <is>
          <t>NO_DIRECT_STANDARD_MATRIX_IN_RETRIEVED_SOURCE</t>
        </is>
      </c>
      <c r="K1119" s="42" t="str"/>
      <c r="L1119" s="42" t="str"/>
      <c r="M1119" s="42" t="str"/>
      <c r="N1119" s="42" t="str"/>
      <c r="O1119" s="42" t="inlineStr">
        <is>
          <t>現行公式資料でこの窓種のSAFE 30mil規格○/×を本Revisionでは直接取得できていない。推測しない。</t>
        </is>
      </c>
    </row>
    <row r="1120">
      <c r="A1120" s="42" t="inlineStr">
        <is>
          <t>SZ-SL-001119</t>
        </is>
      </c>
      <c r="B1120" s="42" t="inlineStr">
        <is>
          <t>WT-SL-FIX-OUT</t>
        </is>
      </c>
      <c r="C1120" s="42" t="inlineStr">
        <is>
          <t>FIX窓（外押縁タイプ）</t>
        </is>
      </c>
      <c r="D1120" s="42" t="str"/>
      <c r="E1120" s="42" t="inlineStr">
        <is>
          <t>07411</t>
        </is>
      </c>
      <c r="F1120" s="42" t="inlineStr">
        <is>
          <t>780</t>
        </is>
      </c>
      <c r="G1120" s="42" t="inlineStr">
        <is>
          <t>1170</t>
        </is>
      </c>
      <c r="H1120" s="42" t="inlineStr">
        <is>
          <t>True</t>
        </is>
      </c>
      <c r="I1120" s="42" t="inlineStr">
        <is>
          <t>NOT_EVALUATED</t>
        </is>
      </c>
      <c r="J1120" s="42" t="inlineStr">
        <is>
          <t>NO_DIRECT_STANDARD_MATRIX_IN_RETRIEVED_SOURCE</t>
        </is>
      </c>
      <c r="K1120" s="42" t="str"/>
      <c r="L1120" s="42" t="str"/>
      <c r="M1120" s="42" t="str"/>
      <c r="N1120" s="42" t="str"/>
      <c r="O1120" s="42" t="inlineStr">
        <is>
          <t>現行公式資料でこの窓種のSAFE 30mil規格○/×を本Revisionでは直接取得できていない。推測しない。</t>
        </is>
      </c>
    </row>
    <row r="1121">
      <c r="A1121" s="42" t="inlineStr">
        <is>
          <t>SZ-SL-001120</t>
        </is>
      </c>
      <c r="B1121" s="42" t="inlineStr">
        <is>
          <t>WT-SL-FIX-OUT</t>
        </is>
      </c>
      <c r="C1121" s="42" t="inlineStr">
        <is>
          <t>FIX窓（外押縁タイプ）</t>
        </is>
      </c>
      <c r="D1121" s="42" t="str"/>
      <c r="E1121" s="42" t="inlineStr">
        <is>
          <t>07413</t>
        </is>
      </c>
      <c r="F1121" s="42" t="inlineStr">
        <is>
          <t>780</t>
        </is>
      </c>
      <c r="G1121" s="42" t="inlineStr">
        <is>
          <t>1370</t>
        </is>
      </c>
      <c r="H1121" s="42" t="inlineStr">
        <is>
          <t>True</t>
        </is>
      </c>
      <c r="I1121" s="42" t="inlineStr">
        <is>
          <t>NOT_EVALUATED</t>
        </is>
      </c>
      <c r="J1121" s="42" t="inlineStr">
        <is>
          <t>NO_DIRECT_STANDARD_MATRIX_IN_RETRIEVED_SOURCE</t>
        </is>
      </c>
      <c r="K1121" s="42" t="str"/>
      <c r="L1121" s="42" t="str"/>
      <c r="M1121" s="42" t="str"/>
      <c r="N1121" s="42" t="str"/>
      <c r="O1121" s="42" t="inlineStr">
        <is>
          <t>現行公式資料でこの窓種のSAFE 30mil規格○/×を本Revisionでは直接取得できていない。推測しない。</t>
        </is>
      </c>
    </row>
    <row r="1122">
      <c r="A1122" s="42" t="inlineStr">
        <is>
          <t>SZ-SL-001121</t>
        </is>
      </c>
      <c r="B1122" s="42" t="inlineStr">
        <is>
          <t>WT-SL-FIX-OUT</t>
        </is>
      </c>
      <c r="C1122" s="42" t="inlineStr">
        <is>
          <t>FIX窓（外押縁タイプ）</t>
        </is>
      </c>
      <c r="D1122" s="42" t="str"/>
      <c r="E1122" s="42" t="inlineStr">
        <is>
          <t>07415</t>
        </is>
      </c>
      <c r="F1122" s="42" t="inlineStr">
        <is>
          <t>780</t>
        </is>
      </c>
      <c r="G1122" s="42" t="inlineStr">
        <is>
          <t>1570</t>
        </is>
      </c>
      <c r="H1122" s="42" t="inlineStr">
        <is>
          <t>True</t>
        </is>
      </c>
      <c r="I1122" s="42" t="inlineStr">
        <is>
          <t>NOT_EVALUATED</t>
        </is>
      </c>
      <c r="J1122" s="42" t="inlineStr">
        <is>
          <t>NO_DIRECT_STANDARD_MATRIX_IN_RETRIEVED_SOURCE</t>
        </is>
      </c>
      <c r="K1122" s="42" t="str"/>
      <c r="L1122" s="42" t="str"/>
      <c r="M1122" s="42" t="str"/>
      <c r="N1122" s="42" t="str"/>
      <c r="O1122" s="42" t="inlineStr">
        <is>
          <t>現行公式資料でこの窓種のSAFE 30mil規格○/×を本Revisionでは直接取得できていない。推測しない。</t>
        </is>
      </c>
    </row>
    <row r="1123">
      <c r="A1123" s="42" t="inlineStr">
        <is>
          <t>SZ-SL-001122</t>
        </is>
      </c>
      <c r="B1123" s="42" t="inlineStr">
        <is>
          <t>WT-SL-FIX-OUT</t>
        </is>
      </c>
      <c r="C1123" s="42" t="inlineStr">
        <is>
          <t>FIX窓（外押縁タイプ）</t>
        </is>
      </c>
      <c r="D1123" s="42" t="str"/>
      <c r="E1123" s="42" t="inlineStr">
        <is>
          <t>096093</t>
        </is>
      </c>
      <c r="F1123" s="42" t="inlineStr">
        <is>
          <t>1000</t>
        </is>
      </c>
      <c r="G1123" s="42" t="inlineStr">
        <is>
          <t>1000</t>
        </is>
      </c>
      <c r="H1123" s="42" t="inlineStr">
        <is>
          <t>True</t>
        </is>
      </c>
      <c r="I1123" s="42" t="inlineStr">
        <is>
          <t>NOT_EVALUATED</t>
        </is>
      </c>
      <c r="J1123" s="42" t="inlineStr">
        <is>
          <t>NO_DIRECT_STANDARD_MATRIX_IN_RETRIEVED_SOURCE</t>
        </is>
      </c>
      <c r="K1123" s="42" t="str"/>
      <c r="L1123" s="42" t="str"/>
      <c r="M1123" s="42" t="str"/>
      <c r="N1123" s="42" t="str"/>
      <c r="O1123" s="42" t="inlineStr">
        <is>
          <t>現行公式資料でこの窓種のSAFE 30mil規格○/×を本Revisionでは直接取得できていない。推測しない。</t>
        </is>
      </c>
    </row>
    <row r="1124">
      <c r="A1124" s="42" t="inlineStr">
        <is>
          <t>SZ-SL-001123</t>
        </is>
      </c>
      <c r="B1124" s="42" t="inlineStr">
        <is>
          <t>WT-SL-FIX-OUT</t>
        </is>
      </c>
      <c r="C1124" s="42" t="inlineStr">
        <is>
          <t>FIX窓（外押縁タイプ）</t>
        </is>
      </c>
      <c r="D1124" s="42" t="str"/>
      <c r="E1124" s="42" t="inlineStr">
        <is>
          <t>11909</t>
        </is>
      </c>
      <c r="F1124" s="42" t="inlineStr">
        <is>
          <t>1235</t>
        </is>
      </c>
      <c r="G1124" s="42" t="inlineStr">
        <is>
          <t>970</t>
        </is>
      </c>
      <c r="H1124" s="42" t="inlineStr">
        <is>
          <t>True</t>
        </is>
      </c>
      <c r="I1124" s="42" t="inlineStr">
        <is>
          <t>NOT_EVALUATED</t>
        </is>
      </c>
      <c r="J1124" s="42" t="inlineStr">
        <is>
          <t>NO_DIRECT_STANDARD_MATRIX_IN_RETRIEVED_SOURCE</t>
        </is>
      </c>
      <c r="K1124" s="42" t="str"/>
      <c r="L1124" s="42" t="str"/>
      <c r="M1124" s="42" t="str"/>
      <c r="N1124" s="42" t="str"/>
      <c r="O1124" s="42" t="inlineStr">
        <is>
          <t>現行公式資料でこの窓種のSAFE 30mil規格○/×を本Revisionでは直接取得できていない。推測しない。</t>
        </is>
      </c>
    </row>
    <row r="1125">
      <c r="A1125" s="42" t="inlineStr">
        <is>
          <t>SZ-SL-001124</t>
        </is>
      </c>
      <c r="B1125" s="42" t="inlineStr">
        <is>
          <t>WT-SL-FIX-OUT</t>
        </is>
      </c>
      <c r="C1125" s="42" t="inlineStr">
        <is>
          <t>FIX窓（外押縁タイプ）</t>
        </is>
      </c>
      <c r="D1125" s="42" t="str"/>
      <c r="E1125" s="42" t="inlineStr">
        <is>
          <t>11911</t>
        </is>
      </c>
      <c r="F1125" s="42" t="inlineStr">
        <is>
          <t>1235</t>
        </is>
      </c>
      <c r="G1125" s="42" t="inlineStr">
        <is>
          <t>1170</t>
        </is>
      </c>
      <c r="H1125" s="42" t="inlineStr">
        <is>
          <t>True</t>
        </is>
      </c>
      <c r="I1125" s="42" t="inlineStr">
        <is>
          <t>NOT_EVALUATED</t>
        </is>
      </c>
      <c r="J1125" s="42" t="inlineStr">
        <is>
          <t>NO_DIRECT_STANDARD_MATRIX_IN_RETRIEVED_SOURCE</t>
        </is>
      </c>
      <c r="K1125" s="42" t="str"/>
      <c r="L1125" s="42" t="str"/>
      <c r="M1125" s="42" t="str"/>
      <c r="N1125" s="42" t="str"/>
      <c r="O1125" s="42" t="inlineStr">
        <is>
          <t>現行公式資料でこの窓種のSAFE 30mil規格○/×を本Revisionでは直接取得できていない。推測しない。</t>
        </is>
      </c>
    </row>
    <row r="1126">
      <c r="A1126" s="42" t="inlineStr">
        <is>
          <t>SZ-SL-001125</t>
        </is>
      </c>
      <c r="B1126" s="42" t="inlineStr">
        <is>
          <t>WT-SL-FIX-OUT</t>
        </is>
      </c>
      <c r="C1126" s="42" t="inlineStr">
        <is>
          <t>FIX窓（外押縁タイプ）</t>
        </is>
      </c>
      <c r="D1126" s="42" t="str"/>
      <c r="E1126" s="42" t="inlineStr">
        <is>
          <t>119116</t>
        </is>
      </c>
      <c r="F1126" s="42" t="inlineStr">
        <is>
          <t>1235</t>
        </is>
      </c>
      <c r="G1126" s="42" t="inlineStr">
        <is>
          <t>1235</t>
        </is>
      </c>
      <c r="H1126" s="42" t="inlineStr">
        <is>
          <t>True</t>
        </is>
      </c>
      <c r="I1126" s="42" t="inlineStr">
        <is>
          <t>NOT_EVALUATED</t>
        </is>
      </c>
      <c r="J1126" s="42" t="inlineStr">
        <is>
          <t>NO_DIRECT_STANDARD_MATRIX_IN_RETRIEVED_SOURCE</t>
        </is>
      </c>
      <c r="K1126" s="42" t="str"/>
      <c r="L1126" s="42" t="str"/>
      <c r="M1126" s="42" t="str"/>
      <c r="N1126" s="42" t="str"/>
      <c r="O1126" s="42" t="inlineStr">
        <is>
          <t>現行公式資料でこの窓種のSAFE 30mil規格○/×を本Revisionでは直接取得できていない。推測しない。</t>
        </is>
      </c>
    </row>
    <row r="1127">
      <c r="A1127" s="42" t="inlineStr">
        <is>
          <t>SZ-SL-001126</t>
        </is>
      </c>
      <c r="B1127" s="42" t="inlineStr">
        <is>
          <t>WT-SL-FIX-OUT</t>
        </is>
      </c>
      <c r="C1127" s="42" t="inlineStr">
        <is>
          <t>FIX窓（外押縁タイプ）</t>
        </is>
      </c>
      <c r="D1127" s="42" t="str"/>
      <c r="E1127" s="42" t="inlineStr">
        <is>
          <t>11913</t>
        </is>
      </c>
      <c r="F1127" s="42" t="inlineStr">
        <is>
          <t>1235</t>
        </is>
      </c>
      <c r="G1127" s="42" t="inlineStr">
        <is>
          <t>1370</t>
        </is>
      </c>
      <c r="H1127" s="42" t="inlineStr">
        <is>
          <t>True</t>
        </is>
      </c>
      <c r="I1127" s="42" t="inlineStr">
        <is>
          <t>NOT_EVALUATED</t>
        </is>
      </c>
      <c r="J1127" s="42" t="inlineStr">
        <is>
          <t>NO_DIRECT_STANDARD_MATRIX_IN_RETRIEVED_SOURCE</t>
        </is>
      </c>
      <c r="K1127" s="42" t="str"/>
      <c r="L1127" s="42" t="str"/>
      <c r="M1127" s="42" t="str"/>
      <c r="N1127" s="42" t="str"/>
      <c r="O1127" s="42" t="inlineStr">
        <is>
          <t>現行公式資料でこの窓種のSAFE 30mil規格○/×を本Revisionでは直接取得できていない。推測しない。</t>
        </is>
      </c>
    </row>
    <row r="1128">
      <c r="A1128" s="42" t="inlineStr">
        <is>
          <t>SZ-SL-001127</t>
        </is>
      </c>
      <c r="B1128" s="42" t="inlineStr">
        <is>
          <t>WT-SL-FIX-OUT</t>
        </is>
      </c>
      <c r="C1128" s="42" t="inlineStr">
        <is>
          <t>FIX窓（外押縁タイプ）</t>
        </is>
      </c>
      <c r="D1128" s="42" t="str"/>
      <c r="E1128" s="42" t="inlineStr">
        <is>
          <t>11915</t>
        </is>
      </c>
      <c r="F1128" s="42" t="inlineStr">
        <is>
          <t>1235</t>
        </is>
      </c>
      <c r="G1128" s="42" t="inlineStr">
        <is>
          <t>1570</t>
        </is>
      </c>
      <c r="H1128" s="42" t="inlineStr">
        <is>
          <t>True</t>
        </is>
      </c>
      <c r="I1128" s="42" t="inlineStr">
        <is>
          <t>NOT_EVALUATED</t>
        </is>
      </c>
      <c r="J1128" s="42" t="inlineStr">
        <is>
          <t>NO_DIRECT_STANDARD_MATRIX_IN_RETRIEVED_SOURCE</t>
        </is>
      </c>
      <c r="K1128" s="42" t="str"/>
      <c r="L1128" s="42" t="str"/>
      <c r="M1128" s="42" t="str"/>
      <c r="N1128" s="42" t="str"/>
      <c r="O1128" s="42" t="inlineStr">
        <is>
          <t>現行公式資料でこの窓種のSAFE 30mil規格○/×を本Revisionでは直接取得できていない。推測しない。</t>
        </is>
      </c>
    </row>
    <row r="1129">
      <c r="A1129" s="42" t="inlineStr">
        <is>
          <t>SZ-SL-001128</t>
        </is>
      </c>
      <c r="B1129" s="42" t="inlineStr">
        <is>
          <t>WT-SL-FIX-OUT</t>
        </is>
      </c>
      <c r="C1129" s="42" t="inlineStr">
        <is>
          <t>FIX窓（外押縁タイプ）</t>
        </is>
      </c>
      <c r="D1129" s="42" t="str"/>
      <c r="E1129" s="42" t="inlineStr">
        <is>
          <t>16509</t>
        </is>
      </c>
      <c r="F1129" s="42" t="inlineStr">
        <is>
          <t>1690</t>
        </is>
      </c>
      <c r="G1129" s="42" t="inlineStr">
        <is>
          <t>970</t>
        </is>
      </c>
      <c r="H1129" s="42" t="inlineStr">
        <is>
          <t>True</t>
        </is>
      </c>
      <c r="I1129" s="42" t="inlineStr">
        <is>
          <t>NOT_EVALUATED</t>
        </is>
      </c>
      <c r="J1129" s="42" t="inlineStr">
        <is>
          <t>NO_DIRECT_STANDARD_MATRIX_IN_RETRIEVED_SOURCE</t>
        </is>
      </c>
      <c r="K1129" s="42" t="str"/>
      <c r="L1129" s="42" t="str"/>
      <c r="M1129" s="42" t="str"/>
      <c r="N1129" s="42" t="str"/>
      <c r="O1129" s="42" t="inlineStr">
        <is>
          <t>現行公式資料でこの窓種のSAFE 30mil規格○/×を本Revisionでは直接取得できていない。推測しない。</t>
        </is>
      </c>
    </row>
    <row r="1130">
      <c r="A1130" s="42" t="inlineStr">
        <is>
          <t>SZ-SL-001129</t>
        </is>
      </c>
      <c r="B1130" s="42" t="inlineStr">
        <is>
          <t>WT-SL-FIX-OUT</t>
        </is>
      </c>
      <c r="C1130" s="42" t="inlineStr">
        <is>
          <t>FIX窓（外押縁タイプ）</t>
        </is>
      </c>
      <c r="D1130" s="42" t="str"/>
      <c r="E1130" s="42" t="inlineStr">
        <is>
          <t>16511</t>
        </is>
      </c>
      <c r="F1130" s="42" t="inlineStr">
        <is>
          <t>1690</t>
        </is>
      </c>
      <c r="G1130" s="42" t="inlineStr">
        <is>
          <t>1170</t>
        </is>
      </c>
      <c r="H1130" s="42" t="inlineStr">
        <is>
          <t>True</t>
        </is>
      </c>
      <c r="I1130" s="42" t="inlineStr">
        <is>
          <t>NOT_EVALUATED</t>
        </is>
      </c>
      <c r="J1130" s="42" t="inlineStr">
        <is>
          <t>NO_DIRECT_STANDARD_MATRIX_IN_RETRIEVED_SOURCE</t>
        </is>
      </c>
      <c r="K1130" s="42" t="str"/>
      <c r="L1130" s="42" t="str"/>
      <c r="M1130" s="42" t="str"/>
      <c r="N1130" s="42" t="str"/>
      <c r="O1130" s="42" t="inlineStr">
        <is>
          <t>現行公式資料でこの窓種のSAFE 30mil規格○/×を本Revisionでは直接取得できていない。推測しない。</t>
        </is>
      </c>
    </row>
    <row r="1131">
      <c r="A1131" s="42" t="inlineStr">
        <is>
          <t>SZ-SL-001130</t>
        </is>
      </c>
      <c r="B1131" s="42" t="inlineStr">
        <is>
          <t>WT-SL-FIX-OUT</t>
        </is>
      </c>
      <c r="C1131" s="42" t="inlineStr">
        <is>
          <t>FIX窓（外押縁タイプ）</t>
        </is>
      </c>
      <c r="D1131" s="42" t="str"/>
      <c r="E1131" s="42" t="inlineStr">
        <is>
          <t>16513</t>
        </is>
      </c>
      <c r="F1131" s="42" t="inlineStr">
        <is>
          <t>1690</t>
        </is>
      </c>
      <c r="G1131" s="42" t="inlineStr">
        <is>
          <t>1370</t>
        </is>
      </c>
      <c r="H1131" s="42" t="inlineStr">
        <is>
          <t>True</t>
        </is>
      </c>
      <c r="I1131" s="42" t="inlineStr">
        <is>
          <t>NOT_EVALUATED</t>
        </is>
      </c>
      <c r="J1131" s="42" t="inlineStr">
        <is>
          <t>NO_DIRECT_STANDARD_MATRIX_IN_RETRIEVED_SOURCE</t>
        </is>
      </c>
      <c r="K1131" s="42" t="str"/>
      <c r="L1131" s="42" t="str"/>
      <c r="M1131" s="42" t="str"/>
      <c r="N1131" s="42" t="str"/>
      <c r="O1131" s="42" t="inlineStr">
        <is>
          <t>現行公式資料でこの窓種のSAFE 30mil規格○/×を本Revisionでは直接取得できていない。推測しない。</t>
        </is>
      </c>
    </row>
    <row r="1132">
      <c r="A1132" s="42" t="inlineStr">
        <is>
          <t>SZ-SL-001131</t>
        </is>
      </c>
      <c r="B1132" s="42" t="inlineStr">
        <is>
          <t>WT-SL-FIX-OUT</t>
        </is>
      </c>
      <c r="C1132" s="42" t="inlineStr">
        <is>
          <t>FIX窓（外押縁タイプ）</t>
        </is>
      </c>
      <c r="D1132" s="42" t="str"/>
      <c r="E1132" s="42" t="inlineStr">
        <is>
          <t>16515</t>
        </is>
      </c>
      <c r="F1132" s="42" t="inlineStr">
        <is>
          <t>1690</t>
        </is>
      </c>
      <c r="G1132" s="42" t="inlineStr">
        <is>
          <t>1570</t>
        </is>
      </c>
      <c r="H1132" s="42" t="inlineStr">
        <is>
          <t>True</t>
        </is>
      </c>
      <c r="I1132" s="42" t="inlineStr">
        <is>
          <t>NOT_EVALUATED</t>
        </is>
      </c>
      <c r="J1132" s="42" t="inlineStr">
        <is>
          <t>NO_DIRECT_STANDARD_MATRIX_IN_RETRIEVED_SOURCE</t>
        </is>
      </c>
      <c r="K1132" s="42" t="str"/>
      <c r="L1132" s="42" t="str"/>
      <c r="M1132" s="42" t="str"/>
      <c r="N1132" s="42" t="str"/>
      <c r="O1132" s="42" t="inlineStr">
        <is>
          <t>現行公式資料でこの窓種のSAFE 30mil規格○/×を本Revisionでは直接取得できていない。推測しない。</t>
        </is>
      </c>
    </row>
    <row r="1133">
      <c r="A1133" s="42" t="inlineStr">
        <is>
          <t>SZ-SL-001132</t>
        </is>
      </c>
      <c r="B1133" s="42" t="inlineStr">
        <is>
          <t>WT-SL-FIX-OUT</t>
        </is>
      </c>
      <c r="C1133" s="42" t="inlineStr">
        <is>
          <t>FIX窓（外押縁タイプ）</t>
        </is>
      </c>
      <c r="D1133" s="42" t="str"/>
      <c r="E1133" s="42" t="inlineStr">
        <is>
          <t>01618</t>
        </is>
      </c>
      <c r="F1133" s="42" t="inlineStr">
        <is>
          <t>200</t>
        </is>
      </c>
      <c r="G1133" s="42" t="inlineStr">
        <is>
          <t>1830</t>
        </is>
      </c>
      <c r="H1133" s="42" t="inlineStr">
        <is>
          <t>True</t>
        </is>
      </c>
      <c r="I1133" s="42" t="inlineStr">
        <is>
          <t>NOT_EVALUATED</t>
        </is>
      </c>
      <c r="J1133" s="42" t="inlineStr">
        <is>
          <t>NO_DIRECT_STANDARD_MATRIX_IN_RETRIEVED_SOURCE</t>
        </is>
      </c>
      <c r="K1133" s="42" t="str"/>
      <c r="L1133" s="42" t="str"/>
      <c r="M1133" s="42" t="str"/>
      <c r="N1133" s="42" t="str"/>
      <c r="O1133" s="42" t="inlineStr">
        <is>
          <t>現行公式資料でこの窓種のSAFE 30mil規格○/×を本Revisionでは直接取得できていない。推測しない。</t>
        </is>
      </c>
    </row>
    <row r="1134">
      <c r="A1134" s="42" t="inlineStr">
        <is>
          <t>SZ-SL-001133</t>
        </is>
      </c>
      <c r="B1134" s="42" t="inlineStr">
        <is>
          <t>WT-SL-FIX-OUT</t>
        </is>
      </c>
      <c r="C1134" s="42" t="inlineStr">
        <is>
          <t>FIX窓（外押縁タイプ）</t>
        </is>
      </c>
      <c r="D1134" s="42" t="str"/>
      <c r="E1134" s="42" t="inlineStr">
        <is>
          <t>01620</t>
        </is>
      </c>
      <c r="F1134" s="42" t="inlineStr">
        <is>
          <t>200</t>
        </is>
      </c>
      <c r="G1134" s="42" t="inlineStr">
        <is>
          <t>2030</t>
        </is>
      </c>
      <c r="H1134" s="42" t="inlineStr">
        <is>
          <t>True</t>
        </is>
      </c>
      <c r="I1134" s="42" t="inlineStr">
        <is>
          <t>NOT_EVALUATED</t>
        </is>
      </c>
      <c r="J1134" s="42" t="inlineStr">
        <is>
          <t>NO_DIRECT_STANDARD_MATRIX_IN_RETRIEVED_SOURCE</t>
        </is>
      </c>
      <c r="K1134" s="42" t="str"/>
      <c r="L1134" s="42" t="str"/>
      <c r="M1134" s="42" t="str"/>
      <c r="N1134" s="42" t="str"/>
      <c r="O1134" s="42" t="inlineStr">
        <is>
          <t>現行公式資料でこの窓種のSAFE 30mil規格○/×を本Revisionでは直接取得できていない。推測しない。</t>
        </is>
      </c>
    </row>
    <row r="1135">
      <c r="A1135" s="42" t="inlineStr">
        <is>
          <t>SZ-SL-001134</t>
        </is>
      </c>
      <c r="B1135" s="42" t="inlineStr">
        <is>
          <t>WT-SL-FIX-OUT</t>
        </is>
      </c>
      <c r="C1135" s="42" t="inlineStr">
        <is>
          <t>FIX窓（外押縁タイプ）</t>
        </is>
      </c>
      <c r="D1135" s="42" t="str"/>
      <c r="E1135" s="42" t="inlineStr">
        <is>
          <t>01622</t>
        </is>
      </c>
      <c r="F1135" s="42" t="inlineStr">
        <is>
          <t>200</t>
        </is>
      </c>
      <c r="G1135" s="42" t="inlineStr">
        <is>
          <t>2230</t>
        </is>
      </c>
      <c r="H1135" s="42" t="inlineStr">
        <is>
          <t>True</t>
        </is>
      </c>
      <c r="I1135" s="42" t="inlineStr">
        <is>
          <t>NOT_EVALUATED</t>
        </is>
      </c>
      <c r="J1135" s="42" t="inlineStr">
        <is>
          <t>NO_DIRECT_STANDARD_MATRIX_IN_RETRIEVED_SOURCE</t>
        </is>
      </c>
      <c r="K1135" s="42" t="str"/>
      <c r="L1135" s="42" t="str"/>
      <c r="M1135" s="42" t="str"/>
      <c r="N1135" s="42" t="str"/>
      <c r="O1135" s="42" t="inlineStr">
        <is>
          <t>現行公式資料でこの窓種のSAFE 30mil規格○/×を本Revisionでは直接取得できていない。推測しない。</t>
        </is>
      </c>
    </row>
    <row r="1136">
      <c r="A1136" s="42" t="inlineStr">
        <is>
          <t>SZ-SL-001135</t>
        </is>
      </c>
      <c r="B1136" s="42" t="inlineStr">
        <is>
          <t>WT-SL-FIX-OUT</t>
        </is>
      </c>
      <c r="C1136" s="42" t="inlineStr">
        <is>
          <t>FIX窓（外押縁タイプ）</t>
        </is>
      </c>
      <c r="D1136" s="42" t="str"/>
      <c r="E1136" s="42" t="inlineStr">
        <is>
          <t>02118</t>
        </is>
      </c>
      <c r="F1136" s="42" t="inlineStr">
        <is>
          <t>250</t>
        </is>
      </c>
      <c r="G1136" s="42" t="inlineStr">
        <is>
          <t>1830</t>
        </is>
      </c>
      <c r="H1136" s="42" t="inlineStr">
        <is>
          <t>True</t>
        </is>
      </c>
      <c r="I1136" s="42" t="inlineStr">
        <is>
          <t>NOT_EVALUATED</t>
        </is>
      </c>
      <c r="J1136" s="42" t="inlineStr">
        <is>
          <t>NO_DIRECT_STANDARD_MATRIX_IN_RETRIEVED_SOURCE</t>
        </is>
      </c>
      <c r="K1136" s="42" t="str"/>
      <c r="L1136" s="42" t="str"/>
      <c r="M1136" s="42" t="str"/>
      <c r="N1136" s="42" t="str"/>
      <c r="O1136" s="42" t="inlineStr">
        <is>
          <t>現行公式資料でこの窓種のSAFE 30mil規格○/×を本Revisionでは直接取得できていない。推測しない。</t>
        </is>
      </c>
    </row>
    <row r="1137">
      <c r="A1137" s="42" t="inlineStr">
        <is>
          <t>SZ-SL-001136</t>
        </is>
      </c>
      <c r="B1137" s="42" t="inlineStr">
        <is>
          <t>WT-SL-FIX-OUT</t>
        </is>
      </c>
      <c r="C1137" s="42" t="inlineStr">
        <is>
          <t>FIX窓（外押縁タイプ）</t>
        </is>
      </c>
      <c r="D1137" s="42" t="str"/>
      <c r="E1137" s="42" t="inlineStr">
        <is>
          <t>02120</t>
        </is>
      </c>
      <c r="F1137" s="42" t="inlineStr">
        <is>
          <t>250</t>
        </is>
      </c>
      <c r="G1137" s="42" t="inlineStr">
        <is>
          <t>2030</t>
        </is>
      </c>
      <c r="H1137" s="42" t="inlineStr">
        <is>
          <t>True</t>
        </is>
      </c>
      <c r="I1137" s="42" t="inlineStr">
        <is>
          <t>NOT_EVALUATED</t>
        </is>
      </c>
      <c r="J1137" s="42" t="inlineStr">
        <is>
          <t>NO_DIRECT_STANDARD_MATRIX_IN_RETRIEVED_SOURCE</t>
        </is>
      </c>
      <c r="K1137" s="42" t="str"/>
      <c r="L1137" s="42" t="str"/>
      <c r="M1137" s="42" t="str"/>
      <c r="N1137" s="42" t="str"/>
      <c r="O1137" s="42" t="inlineStr">
        <is>
          <t>現行公式資料でこの窓種のSAFE 30mil規格○/×を本Revisionでは直接取得できていない。推測しない。</t>
        </is>
      </c>
    </row>
    <row r="1138">
      <c r="A1138" s="42" t="inlineStr">
        <is>
          <t>SZ-SL-001137</t>
        </is>
      </c>
      <c r="B1138" s="42" t="inlineStr">
        <is>
          <t>WT-SL-FIX-OUT</t>
        </is>
      </c>
      <c r="C1138" s="42" t="inlineStr">
        <is>
          <t>FIX窓（外押縁タイプ）</t>
        </is>
      </c>
      <c r="D1138" s="42" t="str"/>
      <c r="E1138" s="42" t="inlineStr">
        <is>
          <t>02122</t>
        </is>
      </c>
      <c r="F1138" s="42" t="inlineStr">
        <is>
          <t>250</t>
        </is>
      </c>
      <c r="G1138" s="42" t="inlineStr">
        <is>
          <t>2230</t>
        </is>
      </c>
      <c r="H1138" s="42" t="inlineStr">
        <is>
          <t>True</t>
        </is>
      </c>
      <c r="I1138" s="42" t="inlineStr">
        <is>
          <t>NOT_EVALUATED</t>
        </is>
      </c>
      <c r="J1138" s="42" t="inlineStr">
        <is>
          <t>NO_DIRECT_STANDARD_MATRIX_IN_RETRIEVED_SOURCE</t>
        </is>
      </c>
      <c r="K1138" s="42" t="str"/>
      <c r="L1138" s="42" t="str"/>
      <c r="M1138" s="42" t="str"/>
      <c r="N1138" s="42" t="str"/>
      <c r="O1138" s="42" t="inlineStr">
        <is>
          <t>現行公式資料でこの窓種のSAFE 30mil規格○/×を本Revisionでは直接取得できていない。推測しない。</t>
        </is>
      </c>
    </row>
    <row r="1139">
      <c r="A1139" s="42" t="inlineStr">
        <is>
          <t>SZ-SL-001138</t>
        </is>
      </c>
      <c r="B1139" s="42" t="inlineStr">
        <is>
          <t>WT-SL-FIX-OUT</t>
        </is>
      </c>
      <c r="C1139" s="42" t="inlineStr">
        <is>
          <t>FIX窓（外押縁タイプ）</t>
        </is>
      </c>
      <c r="D1139" s="42" t="str"/>
      <c r="E1139" s="42" t="inlineStr">
        <is>
          <t>02618</t>
        </is>
      </c>
      <c r="F1139" s="42" t="inlineStr">
        <is>
          <t>300</t>
        </is>
      </c>
      <c r="G1139" s="42" t="inlineStr">
        <is>
          <t>1830</t>
        </is>
      </c>
      <c r="H1139" s="42" t="inlineStr">
        <is>
          <t>True</t>
        </is>
      </c>
      <c r="I1139" s="42" t="inlineStr">
        <is>
          <t>NOT_EVALUATED</t>
        </is>
      </c>
      <c r="J1139" s="42" t="inlineStr">
        <is>
          <t>NO_DIRECT_STANDARD_MATRIX_IN_RETRIEVED_SOURCE</t>
        </is>
      </c>
      <c r="K1139" s="42" t="str"/>
      <c r="L1139" s="42" t="str"/>
      <c r="M1139" s="42" t="str"/>
      <c r="N1139" s="42" t="str"/>
      <c r="O1139" s="42" t="inlineStr">
        <is>
          <t>現行公式資料でこの窓種のSAFE 30mil規格○/×を本Revisionでは直接取得できていない。推測しない。</t>
        </is>
      </c>
    </row>
    <row r="1140">
      <c r="A1140" s="42" t="inlineStr">
        <is>
          <t>SZ-SL-001139</t>
        </is>
      </c>
      <c r="B1140" s="42" t="inlineStr">
        <is>
          <t>WT-SL-FIX-OUT</t>
        </is>
      </c>
      <c r="C1140" s="42" t="inlineStr">
        <is>
          <t>FIX窓（外押縁タイプ）</t>
        </is>
      </c>
      <c r="D1140" s="42" t="str"/>
      <c r="E1140" s="42" t="inlineStr">
        <is>
          <t>02620</t>
        </is>
      </c>
      <c r="F1140" s="42" t="inlineStr">
        <is>
          <t>300</t>
        </is>
      </c>
      <c r="G1140" s="42" t="inlineStr">
        <is>
          <t>2030</t>
        </is>
      </c>
      <c r="H1140" s="42" t="inlineStr">
        <is>
          <t>True</t>
        </is>
      </c>
      <c r="I1140" s="42" t="inlineStr">
        <is>
          <t>NOT_EVALUATED</t>
        </is>
      </c>
      <c r="J1140" s="42" t="inlineStr">
        <is>
          <t>NO_DIRECT_STANDARD_MATRIX_IN_RETRIEVED_SOURCE</t>
        </is>
      </c>
      <c r="K1140" s="42" t="str"/>
      <c r="L1140" s="42" t="str"/>
      <c r="M1140" s="42" t="str"/>
      <c r="N1140" s="42" t="str"/>
      <c r="O1140" s="42" t="inlineStr">
        <is>
          <t>現行公式資料でこの窓種のSAFE 30mil規格○/×を本Revisionでは直接取得できていない。推測しない。</t>
        </is>
      </c>
    </row>
    <row r="1141">
      <c r="A1141" s="42" t="inlineStr">
        <is>
          <t>SZ-SL-001140</t>
        </is>
      </c>
      <c r="B1141" s="42" t="inlineStr">
        <is>
          <t>WT-SL-FIX-OUT</t>
        </is>
      </c>
      <c r="C1141" s="42" t="inlineStr">
        <is>
          <t>FIX窓（外押縁タイプ）</t>
        </is>
      </c>
      <c r="D1141" s="42" t="str"/>
      <c r="E1141" s="42" t="inlineStr">
        <is>
          <t>02622</t>
        </is>
      </c>
      <c r="F1141" s="42" t="inlineStr">
        <is>
          <t>300</t>
        </is>
      </c>
      <c r="G1141" s="42" t="inlineStr">
        <is>
          <t>2230</t>
        </is>
      </c>
      <c r="H1141" s="42" t="inlineStr">
        <is>
          <t>True</t>
        </is>
      </c>
      <c r="I1141" s="42" t="inlineStr">
        <is>
          <t>NOT_EVALUATED</t>
        </is>
      </c>
      <c r="J1141" s="42" t="inlineStr">
        <is>
          <t>NO_DIRECT_STANDARD_MATRIX_IN_RETRIEVED_SOURCE</t>
        </is>
      </c>
      <c r="K1141" s="42" t="str"/>
      <c r="L1141" s="42" t="str"/>
      <c r="M1141" s="42" t="str"/>
      <c r="N1141" s="42" t="str"/>
      <c r="O1141" s="42" t="inlineStr">
        <is>
          <t>現行公式資料でこの窓種のSAFE 30mil規格○/×を本Revisionでは直接取得できていない。推測しない。</t>
        </is>
      </c>
    </row>
    <row r="1142">
      <c r="A1142" s="42" t="inlineStr">
        <is>
          <t>SZ-SL-001141</t>
        </is>
      </c>
      <c r="B1142" s="42" t="inlineStr">
        <is>
          <t>WT-SL-FIX-OUT</t>
        </is>
      </c>
      <c r="C1142" s="42" t="inlineStr">
        <is>
          <t>FIX窓（外押縁タイプ）</t>
        </is>
      </c>
      <c r="D1142" s="42" t="str"/>
      <c r="E1142" s="42" t="inlineStr">
        <is>
          <t>03118</t>
        </is>
      </c>
      <c r="F1142" s="42" t="inlineStr">
        <is>
          <t>350</t>
        </is>
      </c>
      <c r="G1142" s="42" t="inlineStr">
        <is>
          <t>1830</t>
        </is>
      </c>
      <c r="H1142" s="42" t="inlineStr">
        <is>
          <t>True</t>
        </is>
      </c>
      <c r="I1142" s="42" t="inlineStr">
        <is>
          <t>NOT_EVALUATED</t>
        </is>
      </c>
      <c r="J1142" s="42" t="inlineStr">
        <is>
          <t>NO_DIRECT_STANDARD_MATRIX_IN_RETRIEVED_SOURCE</t>
        </is>
      </c>
      <c r="K1142" s="42" t="str"/>
      <c r="L1142" s="42" t="str"/>
      <c r="M1142" s="42" t="str"/>
      <c r="N1142" s="42" t="str"/>
      <c r="O1142" s="42" t="inlineStr">
        <is>
          <t>現行公式資料でこの窓種のSAFE 30mil規格○/×を本Revisionでは直接取得できていない。推測しない。</t>
        </is>
      </c>
    </row>
    <row r="1143">
      <c r="A1143" s="42" t="inlineStr">
        <is>
          <t>SZ-SL-001142</t>
        </is>
      </c>
      <c r="B1143" s="42" t="inlineStr">
        <is>
          <t>WT-SL-FIX-OUT</t>
        </is>
      </c>
      <c r="C1143" s="42" t="inlineStr">
        <is>
          <t>FIX窓（外押縁タイプ）</t>
        </is>
      </c>
      <c r="D1143" s="42" t="str"/>
      <c r="E1143" s="42" t="inlineStr">
        <is>
          <t>03120</t>
        </is>
      </c>
      <c r="F1143" s="42" t="inlineStr">
        <is>
          <t>350</t>
        </is>
      </c>
      <c r="G1143" s="42" t="inlineStr">
        <is>
          <t>2030</t>
        </is>
      </c>
      <c r="H1143" s="42" t="inlineStr">
        <is>
          <t>True</t>
        </is>
      </c>
      <c r="I1143" s="42" t="inlineStr">
        <is>
          <t>NOT_EVALUATED</t>
        </is>
      </c>
      <c r="J1143" s="42" t="inlineStr">
        <is>
          <t>NO_DIRECT_STANDARD_MATRIX_IN_RETRIEVED_SOURCE</t>
        </is>
      </c>
      <c r="K1143" s="42" t="str"/>
      <c r="L1143" s="42" t="str"/>
      <c r="M1143" s="42" t="str"/>
      <c r="N1143" s="42" t="str"/>
      <c r="O1143" s="42" t="inlineStr">
        <is>
          <t>現行公式資料でこの窓種のSAFE 30mil規格○/×を本Revisionでは直接取得できていない。推測しない。</t>
        </is>
      </c>
    </row>
    <row r="1144">
      <c r="A1144" s="42" t="inlineStr">
        <is>
          <t>SZ-SL-001143</t>
        </is>
      </c>
      <c r="B1144" s="42" t="inlineStr">
        <is>
          <t>WT-SL-FIX-OUT</t>
        </is>
      </c>
      <c r="C1144" s="42" t="inlineStr">
        <is>
          <t>FIX窓（外押縁タイプ）</t>
        </is>
      </c>
      <c r="D1144" s="42" t="str"/>
      <c r="E1144" s="42" t="inlineStr">
        <is>
          <t>03122</t>
        </is>
      </c>
      <c r="F1144" s="42" t="inlineStr">
        <is>
          <t>350</t>
        </is>
      </c>
      <c r="G1144" s="42" t="inlineStr">
        <is>
          <t>2230</t>
        </is>
      </c>
      <c r="H1144" s="42" t="inlineStr">
        <is>
          <t>True</t>
        </is>
      </c>
      <c r="I1144" s="42" t="inlineStr">
        <is>
          <t>NOT_EVALUATED</t>
        </is>
      </c>
      <c r="J1144" s="42" t="inlineStr">
        <is>
          <t>NO_DIRECT_STANDARD_MATRIX_IN_RETRIEVED_SOURCE</t>
        </is>
      </c>
      <c r="K1144" s="42" t="str"/>
      <c r="L1144" s="42" t="str"/>
      <c r="M1144" s="42" t="str"/>
      <c r="N1144" s="42" t="str"/>
      <c r="O1144" s="42" t="inlineStr">
        <is>
          <t>現行公式資料でこの窓種のSAFE 30mil規格○/×を本Revisionでは直接取得できていない。推測しない。</t>
        </is>
      </c>
    </row>
    <row r="1145">
      <c r="A1145" s="42" t="inlineStr">
        <is>
          <t>SZ-SL-001144</t>
        </is>
      </c>
      <c r="B1145" s="42" t="inlineStr">
        <is>
          <t>WT-SL-FIX-OUT</t>
        </is>
      </c>
      <c r="C1145" s="42" t="inlineStr">
        <is>
          <t>FIX窓（外押縁タイプ）</t>
        </is>
      </c>
      <c r="D1145" s="42" t="str"/>
      <c r="E1145" s="42" t="inlineStr">
        <is>
          <t>03618</t>
        </is>
      </c>
      <c r="F1145" s="42" t="inlineStr">
        <is>
          <t>405</t>
        </is>
      </c>
      <c r="G1145" s="42" t="inlineStr">
        <is>
          <t>1830</t>
        </is>
      </c>
      <c r="H1145" s="42" t="inlineStr">
        <is>
          <t>True</t>
        </is>
      </c>
      <c r="I1145" s="42" t="inlineStr">
        <is>
          <t>NOT_EVALUATED</t>
        </is>
      </c>
      <c r="J1145" s="42" t="inlineStr">
        <is>
          <t>NO_DIRECT_STANDARD_MATRIX_IN_RETRIEVED_SOURCE</t>
        </is>
      </c>
      <c r="K1145" s="42" t="str"/>
      <c r="L1145" s="42" t="str"/>
      <c r="M1145" s="42" t="str"/>
      <c r="N1145" s="42" t="str"/>
      <c r="O1145" s="42" t="inlineStr">
        <is>
          <t>現行公式資料でこの窓種のSAFE 30mil規格○/×を本Revisionでは直接取得できていない。推測しない。</t>
        </is>
      </c>
    </row>
    <row r="1146">
      <c r="A1146" s="42" t="inlineStr">
        <is>
          <t>SZ-SL-001145</t>
        </is>
      </c>
      <c r="B1146" s="42" t="inlineStr">
        <is>
          <t>WT-SL-FIX-OUT</t>
        </is>
      </c>
      <c r="C1146" s="42" t="inlineStr">
        <is>
          <t>FIX窓（外押縁タイプ）</t>
        </is>
      </c>
      <c r="D1146" s="42" t="str"/>
      <c r="E1146" s="42" t="inlineStr">
        <is>
          <t>03620</t>
        </is>
      </c>
      <c r="F1146" s="42" t="inlineStr">
        <is>
          <t>405</t>
        </is>
      </c>
      <c r="G1146" s="42" t="inlineStr">
        <is>
          <t>2030</t>
        </is>
      </c>
      <c r="H1146" s="42" t="inlineStr">
        <is>
          <t>True</t>
        </is>
      </c>
      <c r="I1146" s="42" t="inlineStr">
        <is>
          <t>NOT_EVALUATED</t>
        </is>
      </c>
      <c r="J1146" s="42" t="inlineStr">
        <is>
          <t>NO_DIRECT_STANDARD_MATRIX_IN_RETRIEVED_SOURCE</t>
        </is>
      </c>
      <c r="K1146" s="42" t="str"/>
      <c r="L1146" s="42" t="str"/>
      <c r="M1146" s="42" t="str"/>
      <c r="N1146" s="42" t="str"/>
      <c r="O1146" s="42" t="inlineStr">
        <is>
          <t>現行公式資料でこの窓種のSAFE 30mil規格○/×を本Revisionでは直接取得できていない。推測しない。</t>
        </is>
      </c>
    </row>
    <row r="1147">
      <c r="A1147" s="42" t="inlineStr">
        <is>
          <t>SZ-SL-001146</t>
        </is>
      </c>
      <c r="B1147" s="42" t="inlineStr">
        <is>
          <t>WT-SL-FIX-OUT</t>
        </is>
      </c>
      <c r="C1147" s="42" t="inlineStr">
        <is>
          <t>FIX窓（外押縁タイプ）</t>
        </is>
      </c>
      <c r="D1147" s="42" t="str"/>
      <c r="E1147" s="42" t="inlineStr">
        <is>
          <t>03622</t>
        </is>
      </c>
      <c r="F1147" s="42" t="inlineStr">
        <is>
          <t>405</t>
        </is>
      </c>
      <c r="G1147" s="42" t="inlineStr">
        <is>
          <t>2230</t>
        </is>
      </c>
      <c r="H1147" s="42" t="inlineStr">
        <is>
          <t>True</t>
        </is>
      </c>
      <c r="I1147" s="42" t="inlineStr">
        <is>
          <t>NOT_EVALUATED</t>
        </is>
      </c>
      <c r="J1147" s="42" t="inlineStr">
        <is>
          <t>NO_DIRECT_STANDARD_MATRIX_IN_RETRIEVED_SOURCE</t>
        </is>
      </c>
      <c r="K1147" s="42" t="str"/>
      <c r="L1147" s="42" t="str"/>
      <c r="M1147" s="42" t="str"/>
      <c r="N1147" s="42" t="str"/>
      <c r="O1147" s="42" t="inlineStr">
        <is>
          <t>現行公式資料でこの窓種のSAFE 30mil規格○/×を本Revisionでは直接取得できていない。推測しない。</t>
        </is>
      </c>
    </row>
    <row r="1148">
      <c r="A1148" s="42" t="inlineStr">
        <is>
          <t>SZ-SL-001147</t>
        </is>
      </c>
      <c r="B1148" s="42" t="inlineStr">
        <is>
          <t>WT-SL-FIX-OUT</t>
        </is>
      </c>
      <c r="C1148" s="42" t="inlineStr">
        <is>
          <t>FIX窓（外押縁タイプ）</t>
        </is>
      </c>
      <c r="D1148" s="42" t="str"/>
      <c r="E1148" s="42" t="inlineStr">
        <is>
          <t>03624</t>
        </is>
      </c>
      <c r="F1148" s="42" t="inlineStr">
        <is>
          <t>405</t>
        </is>
      </c>
      <c r="G1148" s="42" t="inlineStr">
        <is>
          <t>2430</t>
        </is>
      </c>
      <c r="H1148" s="42" t="inlineStr">
        <is>
          <t>True</t>
        </is>
      </c>
      <c r="I1148" s="42" t="inlineStr">
        <is>
          <t>NOT_EVALUATED</t>
        </is>
      </c>
      <c r="J1148" s="42" t="inlineStr">
        <is>
          <t>NO_DIRECT_STANDARD_MATRIX_IN_RETRIEVED_SOURCE</t>
        </is>
      </c>
      <c r="K1148" s="42" t="str"/>
      <c r="L1148" s="42" t="str"/>
      <c r="M1148" s="42" t="str"/>
      <c r="N1148" s="42" t="str"/>
      <c r="O1148" s="42" t="inlineStr">
        <is>
          <t>現行公式資料でこの窓種のSAFE 30mil規格○/×を本Revisionでは直接取得できていない。推測しない。</t>
        </is>
      </c>
    </row>
    <row r="1149">
      <c r="A1149" s="42" t="inlineStr">
        <is>
          <t>SZ-SL-001148</t>
        </is>
      </c>
      <c r="B1149" s="42" t="inlineStr">
        <is>
          <t>WT-SL-FIX-OUT</t>
        </is>
      </c>
      <c r="C1149" s="42" t="inlineStr">
        <is>
          <t>FIX窓（外押縁タイプ）</t>
        </is>
      </c>
      <c r="D1149" s="42" t="str"/>
      <c r="E1149" s="42" t="inlineStr">
        <is>
          <t>06018</t>
        </is>
      </c>
      <c r="F1149" s="42" t="inlineStr">
        <is>
          <t>640</t>
        </is>
      </c>
      <c r="G1149" s="42" t="inlineStr">
        <is>
          <t>1830</t>
        </is>
      </c>
      <c r="H1149" s="42" t="inlineStr">
        <is>
          <t>True</t>
        </is>
      </c>
      <c r="I1149" s="42" t="inlineStr">
        <is>
          <t>NOT_EVALUATED</t>
        </is>
      </c>
      <c r="J1149" s="42" t="inlineStr">
        <is>
          <t>NO_DIRECT_STANDARD_MATRIX_IN_RETRIEVED_SOURCE</t>
        </is>
      </c>
      <c r="K1149" s="42" t="str"/>
      <c r="L1149" s="42" t="str"/>
      <c r="M1149" s="42" t="str"/>
      <c r="N1149" s="42" t="str"/>
      <c r="O1149" s="42" t="inlineStr">
        <is>
          <t>現行公式資料でこの窓種のSAFE 30mil規格○/×を本Revisionでは直接取得できていない。推測しない。</t>
        </is>
      </c>
    </row>
    <row r="1150">
      <c r="A1150" s="42" t="inlineStr">
        <is>
          <t>SZ-SL-001149</t>
        </is>
      </c>
      <c r="B1150" s="42" t="inlineStr">
        <is>
          <t>WT-SL-FIX-OUT</t>
        </is>
      </c>
      <c r="C1150" s="42" t="inlineStr">
        <is>
          <t>FIX窓（外押縁タイプ）</t>
        </is>
      </c>
      <c r="D1150" s="42" t="str"/>
      <c r="E1150" s="42" t="inlineStr">
        <is>
          <t>06020</t>
        </is>
      </c>
      <c r="F1150" s="42" t="inlineStr">
        <is>
          <t>640</t>
        </is>
      </c>
      <c r="G1150" s="42" t="inlineStr">
        <is>
          <t>2030</t>
        </is>
      </c>
      <c r="H1150" s="42" t="inlineStr">
        <is>
          <t>True</t>
        </is>
      </c>
      <c r="I1150" s="42" t="inlineStr">
        <is>
          <t>NOT_EVALUATED</t>
        </is>
      </c>
      <c r="J1150" s="42" t="inlineStr">
        <is>
          <t>NO_DIRECT_STANDARD_MATRIX_IN_RETRIEVED_SOURCE</t>
        </is>
      </c>
      <c r="K1150" s="42" t="str"/>
      <c r="L1150" s="42" t="str"/>
      <c r="M1150" s="42" t="str"/>
      <c r="N1150" s="42" t="str"/>
      <c r="O1150" s="42" t="inlineStr">
        <is>
          <t>現行公式資料でこの窓種のSAFE 30mil規格○/×を本Revisionでは直接取得できていない。推測しない。</t>
        </is>
      </c>
    </row>
    <row r="1151">
      <c r="A1151" s="42" t="inlineStr">
        <is>
          <t>SZ-SL-001150</t>
        </is>
      </c>
      <c r="B1151" s="42" t="inlineStr">
        <is>
          <t>WT-SL-FIX-OUT</t>
        </is>
      </c>
      <c r="C1151" s="42" t="inlineStr">
        <is>
          <t>FIX窓（外押縁タイプ）</t>
        </is>
      </c>
      <c r="D1151" s="42" t="str"/>
      <c r="E1151" s="42" t="inlineStr">
        <is>
          <t>06022</t>
        </is>
      </c>
      <c r="F1151" s="42" t="inlineStr">
        <is>
          <t>640</t>
        </is>
      </c>
      <c r="G1151" s="42" t="inlineStr">
        <is>
          <t>2230</t>
        </is>
      </c>
      <c r="H1151" s="42" t="inlineStr">
        <is>
          <t>True</t>
        </is>
      </c>
      <c r="I1151" s="42" t="inlineStr">
        <is>
          <t>NOT_EVALUATED</t>
        </is>
      </c>
      <c r="J1151" s="42" t="inlineStr">
        <is>
          <t>NO_DIRECT_STANDARD_MATRIX_IN_RETRIEVED_SOURCE</t>
        </is>
      </c>
      <c r="K1151" s="42" t="str"/>
      <c r="L1151" s="42" t="str"/>
      <c r="M1151" s="42" t="str"/>
      <c r="N1151" s="42" t="str"/>
      <c r="O1151" s="42" t="inlineStr">
        <is>
          <t>現行公式資料でこの窓種のSAFE 30mil規格○/×を本Revisionでは直接取得できていない。推測しない。</t>
        </is>
      </c>
    </row>
    <row r="1152">
      <c r="A1152" s="42" t="inlineStr">
        <is>
          <t>SZ-SL-001151</t>
        </is>
      </c>
      <c r="B1152" s="42" t="inlineStr">
        <is>
          <t>WT-SL-FIX-OUT</t>
        </is>
      </c>
      <c r="C1152" s="42" t="inlineStr">
        <is>
          <t>FIX窓（外押縁タイプ）</t>
        </is>
      </c>
      <c r="D1152" s="42" t="str"/>
      <c r="E1152" s="42" t="inlineStr">
        <is>
          <t>06024</t>
        </is>
      </c>
      <c r="F1152" s="42" t="inlineStr">
        <is>
          <t>640</t>
        </is>
      </c>
      <c r="G1152" s="42" t="inlineStr">
        <is>
          <t>2430</t>
        </is>
      </c>
      <c r="H1152" s="42" t="inlineStr">
        <is>
          <t>True</t>
        </is>
      </c>
      <c r="I1152" s="42" t="inlineStr">
        <is>
          <t>NOT_EVALUATED</t>
        </is>
      </c>
      <c r="J1152" s="42" t="inlineStr">
        <is>
          <t>NO_DIRECT_STANDARD_MATRIX_IN_RETRIEVED_SOURCE</t>
        </is>
      </c>
      <c r="K1152" s="42" t="str"/>
      <c r="L1152" s="42" t="str"/>
      <c r="M1152" s="42" t="str"/>
      <c r="N1152" s="42" t="str"/>
      <c r="O1152" s="42" t="inlineStr">
        <is>
          <t>現行公式資料でこの窓種のSAFE 30mil規格○/×を本Revisionでは直接取得できていない。推測しない。</t>
        </is>
      </c>
    </row>
    <row r="1153">
      <c r="A1153" s="42" t="inlineStr">
        <is>
          <t>SZ-SL-001152</t>
        </is>
      </c>
      <c r="B1153" s="42" t="inlineStr">
        <is>
          <t>WT-SL-FIX-OUT</t>
        </is>
      </c>
      <c r="C1153" s="42" t="inlineStr">
        <is>
          <t>FIX窓（外押縁タイプ）</t>
        </is>
      </c>
      <c r="D1153" s="42" t="str"/>
      <c r="E1153" s="42" t="inlineStr">
        <is>
          <t>06918</t>
        </is>
      </c>
      <c r="F1153" s="42" t="inlineStr">
        <is>
          <t>730</t>
        </is>
      </c>
      <c r="G1153" s="42" t="inlineStr">
        <is>
          <t>1830</t>
        </is>
      </c>
      <c r="H1153" s="42" t="inlineStr">
        <is>
          <t>True</t>
        </is>
      </c>
      <c r="I1153" s="42" t="inlineStr">
        <is>
          <t>NOT_EVALUATED</t>
        </is>
      </c>
      <c r="J1153" s="42" t="inlineStr">
        <is>
          <t>NO_DIRECT_STANDARD_MATRIX_IN_RETRIEVED_SOURCE</t>
        </is>
      </c>
      <c r="K1153" s="42" t="str"/>
      <c r="L1153" s="42" t="str"/>
      <c r="M1153" s="42" t="str"/>
      <c r="N1153" s="42" t="str"/>
      <c r="O1153" s="42" t="inlineStr">
        <is>
          <t>現行公式資料でこの窓種のSAFE 30mil規格○/×を本Revisionでは直接取得できていない。推測しない。</t>
        </is>
      </c>
    </row>
    <row r="1154">
      <c r="A1154" s="42" t="inlineStr">
        <is>
          <t>SZ-SL-001153</t>
        </is>
      </c>
      <c r="B1154" s="42" t="inlineStr">
        <is>
          <t>WT-SL-FIX-OUT</t>
        </is>
      </c>
      <c r="C1154" s="42" t="inlineStr">
        <is>
          <t>FIX窓（外押縁タイプ）</t>
        </is>
      </c>
      <c r="D1154" s="42" t="str"/>
      <c r="E1154" s="42" t="inlineStr">
        <is>
          <t>06920</t>
        </is>
      </c>
      <c r="F1154" s="42" t="inlineStr">
        <is>
          <t>730</t>
        </is>
      </c>
      <c r="G1154" s="42" t="inlineStr">
        <is>
          <t>2030</t>
        </is>
      </c>
      <c r="H1154" s="42" t="inlineStr">
        <is>
          <t>True</t>
        </is>
      </c>
      <c r="I1154" s="42" t="inlineStr">
        <is>
          <t>NOT_EVALUATED</t>
        </is>
      </c>
      <c r="J1154" s="42" t="inlineStr">
        <is>
          <t>NO_DIRECT_STANDARD_MATRIX_IN_RETRIEVED_SOURCE</t>
        </is>
      </c>
      <c r="K1154" s="42" t="str"/>
      <c r="L1154" s="42" t="str"/>
      <c r="M1154" s="42" t="str"/>
      <c r="N1154" s="42" t="str"/>
      <c r="O1154" s="42" t="inlineStr">
        <is>
          <t>現行公式資料でこの窓種のSAFE 30mil規格○/×を本Revisionでは直接取得できていない。推測しない。</t>
        </is>
      </c>
    </row>
    <row r="1155">
      <c r="A1155" s="42" t="inlineStr">
        <is>
          <t>SZ-SL-001154</t>
        </is>
      </c>
      <c r="B1155" s="42" t="inlineStr">
        <is>
          <t>WT-SL-FIX-OUT</t>
        </is>
      </c>
      <c r="C1155" s="42" t="inlineStr">
        <is>
          <t>FIX窓（外押縁タイプ）</t>
        </is>
      </c>
      <c r="D1155" s="42" t="str"/>
      <c r="E1155" s="42" t="inlineStr">
        <is>
          <t>07418</t>
        </is>
      </c>
      <c r="F1155" s="42" t="inlineStr">
        <is>
          <t>780</t>
        </is>
      </c>
      <c r="G1155" s="42" t="inlineStr">
        <is>
          <t>1830</t>
        </is>
      </c>
      <c r="H1155" s="42" t="inlineStr">
        <is>
          <t>True</t>
        </is>
      </c>
      <c r="I1155" s="42" t="inlineStr">
        <is>
          <t>NOT_EVALUATED</t>
        </is>
      </c>
      <c r="J1155" s="42" t="inlineStr">
        <is>
          <t>NO_DIRECT_STANDARD_MATRIX_IN_RETRIEVED_SOURCE</t>
        </is>
      </c>
      <c r="K1155" s="42" t="str"/>
      <c r="L1155" s="42" t="str"/>
      <c r="M1155" s="42" t="str"/>
      <c r="N1155" s="42" t="str"/>
      <c r="O1155" s="42" t="inlineStr">
        <is>
          <t>現行公式資料でこの窓種のSAFE 30mil規格○/×を本Revisionでは直接取得できていない。推測しない。</t>
        </is>
      </c>
    </row>
    <row r="1156">
      <c r="A1156" s="42" t="inlineStr">
        <is>
          <t>SZ-SL-001155</t>
        </is>
      </c>
      <c r="B1156" s="42" t="inlineStr">
        <is>
          <t>WT-SL-FIX-OUT</t>
        </is>
      </c>
      <c r="C1156" s="42" t="inlineStr">
        <is>
          <t>FIX窓（外押縁タイプ）</t>
        </is>
      </c>
      <c r="D1156" s="42" t="str"/>
      <c r="E1156" s="42" t="inlineStr">
        <is>
          <t>07420</t>
        </is>
      </c>
      <c r="F1156" s="42" t="inlineStr">
        <is>
          <t>780</t>
        </is>
      </c>
      <c r="G1156" s="42" t="inlineStr">
        <is>
          <t>2030</t>
        </is>
      </c>
      <c r="H1156" s="42" t="inlineStr">
        <is>
          <t>True</t>
        </is>
      </c>
      <c r="I1156" s="42" t="inlineStr">
        <is>
          <t>NOT_EVALUATED</t>
        </is>
      </c>
      <c r="J1156" s="42" t="inlineStr">
        <is>
          <t>NO_DIRECT_STANDARD_MATRIX_IN_RETRIEVED_SOURCE</t>
        </is>
      </c>
      <c r="K1156" s="42" t="str"/>
      <c r="L1156" s="42" t="str"/>
      <c r="M1156" s="42" t="str"/>
      <c r="N1156" s="42" t="str"/>
      <c r="O1156" s="42" t="inlineStr">
        <is>
          <t>現行公式資料でこの窓種のSAFE 30mil規格○/×を本Revisionでは直接取得できていない。推測しない。</t>
        </is>
      </c>
    </row>
    <row r="1157">
      <c r="A1157" s="42" t="inlineStr">
        <is>
          <t>SZ-SL-001156</t>
        </is>
      </c>
      <c r="B1157" s="42" t="inlineStr">
        <is>
          <t>WT-SL-FIX-OUT</t>
        </is>
      </c>
      <c r="C1157" s="42" t="inlineStr">
        <is>
          <t>FIX窓（外押縁タイプ）</t>
        </is>
      </c>
      <c r="D1157" s="42" t="str"/>
      <c r="E1157" s="42" t="inlineStr">
        <is>
          <t>07422</t>
        </is>
      </c>
      <c r="F1157" s="42" t="inlineStr">
        <is>
          <t>780</t>
        </is>
      </c>
      <c r="G1157" s="42" t="inlineStr">
        <is>
          <t>2230</t>
        </is>
      </c>
      <c r="H1157" s="42" t="inlineStr">
        <is>
          <t>True</t>
        </is>
      </c>
      <c r="I1157" s="42" t="inlineStr">
        <is>
          <t>NOT_EVALUATED</t>
        </is>
      </c>
      <c r="J1157" s="42" t="inlineStr">
        <is>
          <t>NO_DIRECT_STANDARD_MATRIX_IN_RETRIEVED_SOURCE</t>
        </is>
      </c>
      <c r="K1157" s="42" t="str"/>
      <c r="L1157" s="42" t="str"/>
      <c r="M1157" s="42" t="str"/>
      <c r="N1157" s="42" t="str"/>
      <c r="O1157" s="42" t="inlineStr">
        <is>
          <t>現行公式資料でこの窓種のSAFE 30mil規格○/×を本Revisionでは直接取得できていない。推測しない。</t>
        </is>
      </c>
    </row>
    <row r="1158">
      <c r="A1158" s="42" t="inlineStr">
        <is>
          <t>SZ-SL-001157</t>
        </is>
      </c>
      <c r="B1158" s="42" t="inlineStr">
        <is>
          <t>WT-SL-FIX-OUT</t>
        </is>
      </c>
      <c r="C1158" s="42" t="inlineStr">
        <is>
          <t>FIX窓（外押縁タイプ）</t>
        </is>
      </c>
      <c r="D1158" s="42" t="str"/>
      <c r="E1158" s="42" t="inlineStr">
        <is>
          <t>07424</t>
        </is>
      </c>
      <c r="F1158" s="42" t="inlineStr">
        <is>
          <t>780</t>
        </is>
      </c>
      <c r="G1158" s="42" t="inlineStr">
        <is>
          <t>2430</t>
        </is>
      </c>
      <c r="H1158" s="42" t="inlineStr">
        <is>
          <t>True</t>
        </is>
      </c>
      <c r="I1158" s="42" t="inlineStr">
        <is>
          <t>NOT_EVALUATED</t>
        </is>
      </c>
      <c r="J1158" s="42" t="inlineStr">
        <is>
          <t>NO_DIRECT_STANDARD_MATRIX_IN_RETRIEVED_SOURCE</t>
        </is>
      </c>
      <c r="K1158" s="42" t="str"/>
      <c r="L1158" s="42" t="str"/>
      <c r="M1158" s="42" t="str"/>
      <c r="N1158" s="42" t="str"/>
      <c r="O1158" s="42" t="inlineStr">
        <is>
          <t>現行公式資料でこの窓種のSAFE 30mil規格○/×を本Revisionでは直接取得できていない。推測しない。</t>
        </is>
      </c>
    </row>
    <row r="1159">
      <c r="A1159" s="42" t="inlineStr">
        <is>
          <t>SZ-SL-001158</t>
        </is>
      </c>
      <c r="B1159" s="42" t="inlineStr">
        <is>
          <t>WT-SL-FIX-OUT</t>
        </is>
      </c>
      <c r="C1159" s="42" t="inlineStr">
        <is>
          <t>FIX窓（外押縁タイプ）</t>
        </is>
      </c>
      <c r="D1159" s="42" t="str"/>
      <c r="E1159" s="42" t="inlineStr">
        <is>
          <t>11918</t>
        </is>
      </c>
      <c r="F1159" s="42" t="inlineStr">
        <is>
          <t>1235</t>
        </is>
      </c>
      <c r="G1159" s="42" t="inlineStr">
        <is>
          <t>1830</t>
        </is>
      </c>
      <c r="H1159" s="42" t="inlineStr">
        <is>
          <t>True</t>
        </is>
      </c>
      <c r="I1159" s="42" t="inlineStr">
        <is>
          <t>NOT_EVALUATED</t>
        </is>
      </c>
      <c r="J1159" s="42" t="inlineStr">
        <is>
          <t>NO_DIRECT_STANDARD_MATRIX_IN_RETRIEVED_SOURCE</t>
        </is>
      </c>
      <c r="K1159" s="42" t="str"/>
      <c r="L1159" s="42" t="str"/>
      <c r="M1159" s="42" t="str"/>
      <c r="N1159" s="42" t="str"/>
      <c r="O1159" s="42" t="inlineStr">
        <is>
          <t>現行公式資料でこの窓種のSAFE 30mil規格○/×を本Revisionでは直接取得できていない。推測しない。</t>
        </is>
      </c>
    </row>
    <row r="1160">
      <c r="A1160" s="42" t="inlineStr">
        <is>
          <t>SZ-SL-001159</t>
        </is>
      </c>
      <c r="B1160" s="42" t="inlineStr">
        <is>
          <t>WT-SL-FIX-OUT</t>
        </is>
      </c>
      <c r="C1160" s="42" t="inlineStr">
        <is>
          <t>FIX窓（外押縁タイプ）</t>
        </is>
      </c>
      <c r="D1160" s="42" t="str"/>
      <c r="E1160" s="42" t="inlineStr">
        <is>
          <t>11920</t>
        </is>
      </c>
      <c r="F1160" s="42" t="inlineStr">
        <is>
          <t>1235</t>
        </is>
      </c>
      <c r="G1160" s="42" t="inlineStr">
        <is>
          <t>2030</t>
        </is>
      </c>
      <c r="H1160" s="42" t="inlineStr">
        <is>
          <t>True</t>
        </is>
      </c>
      <c r="I1160" s="42" t="inlineStr">
        <is>
          <t>NOT_EVALUATED</t>
        </is>
      </c>
      <c r="J1160" s="42" t="inlineStr">
        <is>
          <t>NO_DIRECT_STANDARD_MATRIX_IN_RETRIEVED_SOURCE</t>
        </is>
      </c>
      <c r="K1160" s="42" t="str"/>
      <c r="L1160" s="42" t="str"/>
      <c r="M1160" s="42" t="str"/>
      <c r="N1160" s="42" t="str"/>
      <c r="O1160" s="42" t="inlineStr">
        <is>
          <t>現行公式資料でこの窓種のSAFE 30mil規格○/×を本Revisionでは直接取得できていない。推測しない。</t>
        </is>
      </c>
    </row>
    <row r="1161">
      <c r="A1161" s="42" t="inlineStr">
        <is>
          <t>SZ-SL-001160</t>
        </is>
      </c>
      <c r="B1161" s="42" t="inlineStr">
        <is>
          <t>WT-SL-FIX-OUT</t>
        </is>
      </c>
      <c r="C1161" s="42" t="inlineStr">
        <is>
          <t>FIX窓（外押縁タイプ）</t>
        </is>
      </c>
      <c r="D1161" s="42" t="str"/>
      <c r="E1161" s="42" t="inlineStr">
        <is>
          <t>11922</t>
        </is>
      </c>
      <c r="F1161" s="42" t="inlineStr">
        <is>
          <t>1235</t>
        </is>
      </c>
      <c r="G1161" s="42" t="inlineStr">
        <is>
          <t>2230</t>
        </is>
      </c>
      <c r="H1161" s="42" t="inlineStr">
        <is>
          <t>True</t>
        </is>
      </c>
      <c r="I1161" s="42" t="inlineStr">
        <is>
          <t>NOT_EVALUATED</t>
        </is>
      </c>
      <c r="J1161" s="42" t="inlineStr">
        <is>
          <t>NO_DIRECT_STANDARD_MATRIX_IN_RETRIEVED_SOURCE</t>
        </is>
      </c>
      <c r="K1161" s="42" t="str"/>
      <c r="L1161" s="42" t="str"/>
      <c r="M1161" s="42" t="str"/>
      <c r="N1161" s="42" t="str"/>
      <c r="O1161" s="42" t="inlineStr">
        <is>
          <t>現行公式資料でこの窓種のSAFE 30mil規格○/×を本Revisionでは直接取得できていない。推測しない。</t>
        </is>
      </c>
    </row>
    <row r="1162">
      <c r="A1162" s="42" t="inlineStr">
        <is>
          <t>SZ-SL-001161</t>
        </is>
      </c>
      <c r="B1162" s="42" t="inlineStr">
        <is>
          <t>WT-SL-FIX-OUT</t>
        </is>
      </c>
      <c r="C1162" s="42" t="inlineStr">
        <is>
          <t>FIX窓（外押縁タイプ）</t>
        </is>
      </c>
      <c r="D1162" s="42" t="str"/>
      <c r="E1162" s="42" t="inlineStr">
        <is>
          <t>11924</t>
        </is>
      </c>
      <c r="F1162" s="42" t="inlineStr">
        <is>
          <t>1235</t>
        </is>
      </c>
      <c r="G1162" s="42" t="inlineStr">
        <is>
          <t>2430</t>
        </is>
      </c>
      <c r="H1162" s="42" t="inlineStr">
        <is>
          <t>True</t>
        </is>
      </c>
      <c r="I1162" s="42" t="inlineStr">
        <is>
          <t>NOT_EVALUATED</t>
        </is>
      </c>
      <c r="J1162" s="42" t="inlineStr">
        <is>
          <t>NO_DIRECT_STANDARD_MATRIX_IN_RETRIEVED_SOURCE</t>
        </is>
      </c>
      <c r="K1162" s="42" t="str"/>
      <c r="L1162" s="42" t="str"/>
      <c r="M1162" s="42" t="str"/>
      <c r="N1162" s="42" t="str"/>
      <c r="O1162" s="42" t="inlineStr">
        <is>
          <t>現行公式資料でこの窓種のSAFE 30mil規格○/×を本Revisionでは直接取得できていない。推測しない。</t>
        </is>
      </c>
    </row>
    <row r="1163">
      <c r="A1163" s="42" t="inlineStr">
        <is>
          <t>SZ-SL-001162</t>
        </is>
      </c>
      <c r="B1163" s="42" t="inlineStr">
        <is>
          <t>WT-SL-FIX-OUT</t>
        </is>
      </c>
      <c r="C1163" s="42" t="inlineStr">
        <is>
          <t>FIX窓（外押縁タイプ）</t>
        </is>
      </c>
      <c r="D1163" s="42" t="str"/>
      <c r="E1163" s="42" t="inlineStr">
        <is>
          <t>16518</t>
        </is>
      </c>
      <c r="F1163" s="42" t="inlineStr">
        <is>
          <t>1690</t>
        </is>
      </c>
      <c r="G1163" s="42" t="inlineStr">
        <is>
          <t>1830</t>
        </is>
      </c>
      <c r="H1163" s="42" t="inlineStr">
        <is>
          <t>True</t>
        </is>
      </c>
      <c r="I1163" s="42" t="inlineStr">
        <is>
          <t>NOT_EVALUATED</t>
        </is>
      </c>
      <c r="J1163" s="42" t="inlineStr">
        <is>
          <t>NO_DIRECT_STANDARD_MATRIX_IN_RETRIEVED_SOURCE</t>
        </is>
      </c>
      <c r="K1163" s="42" t="str"/>
      <c r="L1163" s="42" t="str"/>
      <c r="M1163" s="42" t="str"/>
      <c r="N1163" s="42" t="str"/>
      <c r="O1163" s="42" t="inlineStr">
        <is>
          <t>現行公式資料でこの窓種のSAFE 30mil規格○/×を本Revisionでは直接取得できていない。推測しない。</t>
        </is>
      </c>
    </row>
    <row r="1164">
      <c r="A1164" s="42" t="inlineStr">
        <is>
          <t>SZ-SL-001163</t>
        </is>
      </c>
      <c r="B1164" s="42" t="inlineStr">
        <is>
          <t>WT-SL-FIX-OUT</t>
        </is>
      </c>
      <c r="C1164" s="42" t="inlineStr">
        <is>
          <t>FIX窓（外押縁タイプ）</t>
        </is>
      </c>
      <c r="D1164" s="42" t="str"/>
      <c r="E1164" s="42" t="inlineStr">
        <is>
          <t>16520</t>
        </is>
      </c>
      <c r="F1164" s="42" t="inlineStr">
        <is>
          <t>1690</t>
        </is>
      </c>
      <c r="G1164" s="42" t="inlineStr">
        <is>
          <t>2030</t>
        </is>
      </c>
      <c r="H1164" s="42" t="inlineStr">
        <is>
          <t>True</t>
        </is>
      </c>
      <c r="I1164" s="42" t="inlineStr">
        <is>
          <t>NOT_EVALUATED</t>
        </is>
      </c>
      <c r="J1164" s="42" t="inlineStr">
        <is>
          <t>NO_DIRECT_STANDARD_MATRIX_IN_RETRIEVED_SOURCE</t>
        </is>
      </c>
      <c r="K1164" s="42" t="str"/>
      <c r="L1164" s="42" t="str"/>
      <c r="M1164" s="42" t="str"/>
      <c r="N1164" s="42" t="str"/>
      <c r="O1164" s="42" t="inlineStr">
        <is>
          <t>現行公式資料でこの窓種のSAFE 30mil規格○/×を本Revisionでは直接取得できていない。推測しない。</t>
        </is>
      </c>
    </row>
    <row r="1165">
      <c r="A1165" s="42" t="inlineStr">
        <is>
          <t>SZ-SL-001164</t>
        </is>
      </c>
      <c r="B1165" s="42" t="inlineStr">
        <is>
          <t>WT-SL-FIX-OUT</t>
        </is>
      </c>
      <c r="C1165" s="42" t="inlineStr">
        <is>
          <t>FIX窓（外押縁タイプ）</t>
        </is>
      </c>
      <c r="D1165" s="42" t="str"/>
      <c r="E1165" s="42" t="inlineStr">
        <is>
          <t>16522</t>
        </is>
      </c>
      <c r="F1165" s="42" t="inlineStr">
        <is>
          <t>1690</t>
        </is>
      </c>
      <c r="G1165" s="42" t="inlineStr">
        <is>
          <t>2230</t>
        </is>
      </c>
      <c r="H1165" s="42" t="inlineStr">
        <is>
          <t>True</t>
        </is>
      </c>
      <c r="I1165" s="42" t="inlineStr">
        <is>
          <t>NOT_EVALUATED</t>
        </is>
      </c>
      <c r="J1165" s="42" t="inlineStr">
        <is>
          <t>NO_DIRECT_STANDARD_MATRIX_IN_RETRIEVED_SOURCE</t>
        </is>
      </c>
      <c r="K1165" s="42" t="str"/>
      <c r="L1165" s="42" t="str"/>
      <c r="M1165" s="42" t="str"/>
      <c r="N1165" s="42" t="str"/>
      <c r="O1165" s="42" t="inlineStr">
        <is>
          <t>現行公式資料でこの窓種のSAFE 30mil規格○/×を本Revisionでは直接取得できていない。推測しない。</t>
        </is>
      </c>
    </row>
    <row r="1166">
      <c r="A1166" s="42" t="inlineStr">
        <is>
          <t>SZ-SL-001165</t>
        </is>
      </c>
      <c r="B1166" s="42" t="inlineStr">
        <is>
          <t>WT-SL-FIX-OUT</t>
        </is>
      </c>
      <c r="C1166" s="42" t="inlineStr">
        <is>
          <t>FIX窓（外押縁タイプ）</t>
        </is>
      </c>
      <c r="D1166" s="42" t="str"/>
      <c r="E1166" s="42" t="inlineStr">
        <is>
          <t>16524</t>
        </is>
      </c>
      <c r="F1166" s="42" t="inlineStr">
        <is>
          <t>1690</t>
        </is>
      </c>
      <c r="G1166" s="42" t="inlineStr">
        <is>
          <t>2430</t>
        </is>
      </c>
      <c r="H1166" s="42" t="inlineStr">
        <is>
          <t>True</t>
        </is>
      </c>
      <c r="I1166" s="42" t="inlineStr">
        <is>
          <t>NOT_EVALUATED</t>
        </is>
      </c>
      <c r="J1166" s="42" t="inlineStr">
        <is>
          <t>NO_DIRECT_STANDARD_MATRIX_IN_RETRIEVED_SOURCE</t>
        </is>
      </c>
      <c r="K1166" s="42" t="str"/>
      <c r="L1166" s="42" t="str"/>
      <c r="M1166" s="42" t="str"/>
      <c r="N1166" s="42" t="str"/>
      <c r="O1166" s="42" t="inlineStr">
        <is>
          <t>現行公式資料でこの窓種のSAFE 30mil規格○/×を本Revisionでは直接取得できていない。推測しない。</t>
        </is>
      </c>
    </row>
    <row r="1167">
      <c r="A1167" s="42" t="inlineStr">
        <is>
          <t>SZ-SL-001166</t>
        </is>
      </c>
      <c r="B1167" s="42" t="inlineStr">
        <is>
          <t>WT-SL-FIX-OUT</t>
        </is>
      </c>
      <c r="C1167" s="42" t="inlineStr">
        <is>
          <t>FIX窓（外押縁タイプ）</t>
        </is>
      </c>
      <c r="D1167" s="42" t="str"/>
      <c r="E1167" s="42" t="inlineStr">
        <is>
          <t>06922</t>
        </is>
      </c>
      <c r="F1167" s="42" t="inlineStr">
        <is>
          <t>730</t>
        </is>
      </c>
      <c r="G1167" s="42" t="inlineStr">
        <is>
          <t>2230</t>
        </is>
      </c>
      <c r="H1167" s="42" t="inlineStr">
        <is>
          <t>True</t>
        </is>
      </c>
      <c r="I1167" s="42" t="inlineStr">
        <is>
          <t>NOT_EVALUATED</t>
        </is>
      </c>
      <c r="J1167" s="42" t="inlineStr">
        <is>
          <t>NO_DIRECT_STANDARD_MATRIX_IN_RETRIEVED_SOURCE</t>
        </is>
      </c>
      <c r="K1167" s="42" t="str"/>
      <c r="L1167" s="42" t="str"/>
      <c r="M1167" s="42" t="str"/>
      <c r="N1167" s="42" t="str"/>
      <c r="O1167" s="42" t="inlineStr">
        <is>
          <t>現行公式資料でこの窓種のSAFE 30mil規格○/×を本Revisionでは直接取得できていない。推測しない。</t>
        </is>
      </c>
    </row>
    <row r="1168">
      <c r="A1168" s="42" t="inlineStr">
        <is>
          <t>SZ-SL-001167</t>
        </is>
      </c>
      <c r="B1168" s="42" t="inlineStr">
        <is>
          <t>WT-SL-FIX-OUT</t>
        </is>
      </c>
      <c r="C1168" s="42" t="inlineStr">
        <is>
          <t>FIX窓（外押縁タイプ）</t>
        </is>
      </c>
      <c r="D1168" s="42" t="str"/>
      <c r="E1168" s="42" t="inlineStr">
        <is>
          <t>06924</t>
        </is>
      </c>
      <c r="F1168" s="42" t="inlineStr">
        <is>
          <t>730</t>
        </is>
      </c>
      <c r="G1168" s="42" t="inlineStr">
        <is>
          <t>2430</t>
        </is>
      </c>
      <c r="H1168" s="42" t="inlineStr">
        <is>
          <t>True</t>
        </is>
      </c>
      <c r="I1168" s="42" t="inlineStr">
        <is>
          <t>NOT_EVALUATED</t>
        </is>
      </c>
      <c r="J1168" s="42" t="inlineStr">
        <is>
          <t>NO_DIRECT_STANDARD_MATRIX_IN_RETRIEVED_SOURCE</t>
        </is>
      </c>
      <c r="K1168" s="42" t="str"/>
      <c r="L1168" s="42" t="str"/>
      <c r="M1168" s="42" t="str"/>
      <c r="N1168" s="42" t="str"/>
      <c r="O1168" s="42" t="inlineStr">
        <is>
          <t>現行公式資料でこの窓種のSAFE 30mil規格○/×を本Revisionでは直接取得できていない。推測しない。</t>
        </is>
      </c>
    </row>
    <row r="1169">
      <c r="A1169" s="42" t="inlineStr">
        <is>
          <t>SZ-SL-001168</t>
        </is>
      </c>
      <c r="B1169" s="42" t="inlineStr">
        <is>
          <t>WT-SL-FIX-IN</t>
        </is>
      </c>
      <c r="C1169" s="42" t="inlineStr">
        <is>
          <t>FIX窓（内押縁タイプ）</t>
        </is>
      </c>
      <c r="D1169" s="42" t="str"/>
      <c r="E1169" s="42" t="inlineStr">
        <is>
          <t>021018</t>
        </is>
      </c>
      <c r="F1169" s="42" t="inlineStr">
        <is>
          <t>250</t>
        </is>
      </c>
      <c r="G1169" s="42" t="inlineStr">
        <is>
          <t>250</t>
        </is>
      </c>
      <c r="H1169" s="42" t="inlineStr">
        <is>
          <t>True</t>
        </is>
      </c>
      <c r="I1169" s="42" t="inlineStr">
        <is>
          <t>NOT_EVALUATED</t>
        </is>
      </c>
      <c r="J1169" s="42" t="inlineStr">
        <is>
          <t>NO_DIRECT_STANDARD_MATRIX_IN_RETRIEVED_SOURCE</t>
        </is>
      </c>
      <c r="K1169" s="42" t="str"/>
      <c r="L1169" s="42" t="str"/>
      <c r="M1169" s="42" t="str"/>
      <c r="N1169" s="42" t="str"/>
      <c r="O1169" s="42" t="inlineStr">
        <is>
          <t>現行公式資料でこの窓種のSAFE 30mil規格○/×を本Revisionでは直接取得できていない。推測しない。</t>
        </is>
      </c>
    </row>
    <row r="1170">
      <c r="A1170" s="42" t="inlineStr">
        <is>
          <t>SZ-SL-001169</t>
        </is>
      </c>
      <c r="B1170" s="42" t="inlineStr">
        <is>
          <t>WT-SL-FIX-IN</t>
        </is>
      </c>
      <c r="C1170" s="42" t="inlineStr">
        <is>
          <t>FIX窓（内押縁タイプ）</t>
        </is>
      </c>
      <c r="D1170" s="42" t="str"/>
      <c r="E1170" s="42" t="inlineStr">
        <is>
          <t>026023</t>
        </is>
      </c>
      <c r="F1170" s="42" t="inlineStr">
        <is>
          <t>300</t>
        </is>
      </c>
      <c r="G1170" s="42" t="inlineStr">
        <is>
          <t>300</t>
        </is>
      </c>
      <c r="H1170" s="42" t="inlineStr">
        <is>
          <t>True</t>
        </is>
      </c>
      <c r="I1170" s="42" t="inlineStr">
        <is>
          <t>NOT_EVALUATED</t>
        </is>
      </c>
      <c r="J1170" s="42" t="inlineStr">
        <is>
          <t>NO_DIRECT_STANDARD_MATRIX_IN_RETRIEVED_SOURCE</t>
        </is>
      </c>
      <c r="K1170" s="42" t="str"/>
      <c r="L1170" s="42" t="str"/>
      <c r="M1170" s="42" t="str"/>
      <c r="N1170" s="42" t="str"/>
      <c r="O1170" s="42" t="inlineStr">
        <is>
          <t>現行公式資料でこの窓種のSAFE 30mil規格○/×を本Revisionでは直接取得できていない。推測しない。</t>
        </is>
      </c>
    </row>
    <row r="1171">
      <c r="A1171" s="42" t="inlineStr">
        <is>
          <t>SZ-SL-001170</t>
        </is>
      </c>
      <c r="B1171" s="42" t="inlineStr">
        <is>
          <t>WT-SL-FIX-IN</t>
        </is>
      </c>
      <c r="C1171" s="42" t="inlineStr">
        <is>
          <t>FIX窓（内押縁タイプ）</t>
        </is>
      </c>
      <c r="D1171" s="42" t="str"/>
      <c r="E1171" s="42" t="inlineStr">
        <is>
          <t>031028</t>
        </is>
      </c>
      <c r="F1171" s="42" t="inlineStr">
        <is>
          <t>350</t>
        </is>
      </c>
      <c r="G1171" s="42" t="inlineStr">
        <is>
          <t>350</t>
        </is>
      </c>
      <c r="H1171" s="42" t="inlineStr">
        <is>
          <t>True</t>
        </is>
      </c>
      <c r="I1171" s="42" t="inlineStr">
        <is>
          <t>NOT_EVALUATED</t>
        </is>
      </c>
      <c r="J1171" s="42" t="inlineStr">
        <is>
          <t>NO_DIRECT_STANDARD_MATRIX_IN_RETRIEVED_SOURCE</t>
        </is>
      </c>
      <c r="K1171" s="42" t="str"/>
      <c r="L1171" s="42" t="str"/>
      <c r="M1171" s="42" t="str"/>
      <c r="N1171" s="42" t="str"/>
      <c r="O1171" s="42" t="inlineStr">
        <is>
          <t>現行公式資料でこの窓種のSAFE 30mil規格○/×を本Revisionでは直接取得できていない。推測しない。</t>
        </is>
      </c>
    </row>
    <row r="1172">
      <c r="A1172" s="42" t="inlineStr">
        <is>
          <t>SZ-SL-001171</t>
        </is>
      </c>
      <c r="B1172" s="42" t="inlineStr">
        <is>
          <t>WT-SL-FIX-IN</t>
        </is>
      </c>
      <c r="C1172" s="42" t="inlineStr">
        <is>
          <t>FIX窓（内押縁タイプ）</t>
        </is>
      </c>
      <c r="D1172" s="42" t="str"/>
      <c r="E1172" s="42" t="inlineStr">
        <is>
          <t>03603</t>
        </is>
      </c>
      <c r="F1172" s="42" t="inlineStr">
        <is>
          <t>405</t>
        </is>
      </c>
      <c r="G1172" s="42" t="inlineStr">
        <is>
          <t>370</t>
        </is>
      </c>
      <c r="H1172" s="42" t="inlineStr">
        <is>
          <t>True</t>
        </is>
      </c>
      <c r="I1172" s="42" t="inlineStr">
        <is>
          <t>NOT_EVALUATED</t>
        </is>
      </c>
      <c r="J1172" s="42" t="inlineStr">
        <is>
          <t>NO_DIRECT_STANDARD_MATRIX_IN_RETRIEVED_SOURCE</t>
        </is>
      </c>
      <c r="K1172" s="42" t="str"/>
      <c r="L1172" s="42" t="str"/>
      <c r="M1172" s="42" t="str"/>
      <c r="N1172" s="42" t="str"/>
      <c r="O1172" s="42" t="inlineStr">
        <is>
          <t>現行公式資料でこの窓種のSAFE 30mil規格○/×を本Revisionでは直接取得できていない。推測しない。</t>
        </is>
      </c>
    </row>
    <row r="1173">
      <c r="A1173" s="42" t="inlineStr">
        <is>
          <t>SZ-SL-001172</t>
        </is>
      </c>
      <c r="B1173" s="42" t="inlineStr">
        <is>
          <t>WT-SL-FIX-IN</t>
        </is>
      </c>
      <c r="C1173" s="42" t="inlineStr">
        <is>
          <t>FIX窓（内押縁タイプ）</t>
        </is>
      </c>
      <c r="D1173" s="42" t="str"/>
      <c r="E1173" s="42" t="inlineStr">
        <is>
          <t>036033</t>
        </is>
      </c>
      <c r="F1173" s="42" t="inlineStr">
        <is>
          <t>405</t>
        </is>
      </c>
      <c r="G1173" s="42" t="inlineStr">
        <is>
          <t>405</t>
        </is>
      </c>
      <c r="H1173" s="42" t="inlineStr">
        <is>
          <t>True</t>
        </is>
      </c>
      <c r="I1173" s="42" t="inlineStr">
        <is>
          <t>NOT_EVALUATED</t>
        </is>
      </c>
      <c r="J1173" s="42" t="inlineStr">
        <is>
          <t>NO_DIRECT_STANDARD_MATRIX_IN_RETRIEVED_SOURCE</t>
        </is>
      </c>
      <c r="K1173" s="42" t="str"/>
      <c r="L1173" s="42" t="str"/>
      <c r="M1173" s="42" t="str"/>
      <c r="N1173" s="42" t="str"/>
      <c r="O1173" s="42" t="inlineStr">
        <is>
          <t>現行公式資料でこの窓種のSAFE 30mil規格○/×を本Revisionでは直接取得できていない。推測しない。</t>
        </is>
      </c>
    </row>
    <row r="1174">
      <c r="A1174" s="42" t="inlineStr">
        <is>
          <t>SZ-SL-001173</t>
        </is>
      </c>
      <c r="B1174" s="42" t="inlineStr">
        <is>
          <t>WT-SL-FIX-IN</t>
        </is>
      </c>
      <c r="C1174" s="42" t="inlineStr">
        <is>
          <t>FIX窓（内押縁タイプ）</t>
        </is>
      </c>
      <c r="D1174" s="42" t="str"/>
      <c r="E1174" s="42" t="inlineStr">
        <is>
          <t>06003</t>
        </is>
      </c>
      <c r="F1174" s="42" t="inlineStr">
        <is>
          <t>640</t>
        </is>
      </c>
      <c r="G1174" s="42" t="inlineStr">
        <is>
          <t>370</t>
        </is>
      </c>
      <c r="H1174" s="42" t="inlineStr">
        <is>
          <t>True</t>
        </is>
      </c>
      <c r="I1174" s="42" t="inlineStr">
        <is>
          <t>NOT_EVALUATED</t>
        </is>
      </c>
      <c r="J1174" s="42" t="inlineStr">
        <is>
          <t>NO_DIRECT_STANDARD_MATRIX_IN_RETRIEVED_SOURCE</t>
        </is>
      </c>
      <c r="K1174" s="42" t="str"/>
      <c r="L1174" s="42" t="str"/>
      <c r="M1174" s="42" t="str"/>
      <c r="N1174" s="42" t="str"/>
      <c r="O1174" s="42" t="inlineStr">
        <is>
          <t>現行公式資料でこの窓種のSAFE 30mil規格○/×を本Revisionでは直接取得できていない。推測しない。</t>
        </is>
      </c>
    </row>
    <row r="1175">
      <c r="A1175" s="42" t="inlineStr">
        <is>
          <t>SZ-SL-001174</t>
        </is>
      </c>
      <c r="B1175" s="42" t="inlineStr">
        <is>
          <t>WT-SL-FIX-IN</t>
        </is>
      </c>
      <c r="C1175" s="42" t="inlineStr">
        <is>
          <t>FIX窓（内押縁タイプ）</t>
        </is>
      </c>
      <c r="D1175" s="42" t="str"/>
      <c r="E1175" s="42" t="inlineStr">
        <is>
          <t>069018</t>
        </is>
      </c>
      <c r="F1175" s="42" t="inlineStr">
        <is>
          <t>730</t>
        </is>
      </c>
      <c r="G1175" s="42" t="inlineStr">
        <is>
          <t>250</t>
        </is>
      </c>
      <c r="H1175" s="42" t="inlineStr">
        <is>
          <t>True</t>
        </is>
      </c>
      <c r="I1175" s="42" t="inlineStr">
        <is>
          <t>NOT_EVALUATED</t>
        </is>
      </c>
      <c r="J1175" s="42" t="inlineStr">
        <is>
          <t>NO_DIRECT_STANDARD_MATRIX_IN_RETRIEVED_SOURCE</t>
        </is>
      </c>
      <c r="K1175" s="42" t="str"/>
      <c r="L1175" s="42" t="str"/>
      <c r="M1175" s="42" t="str"/>
      <c r="N1175" s="42" t="str"/>
      <c r="O1175" s="42" t="inlineStr">
        <is>
          <t>現行公式資料でこの窓種のSAFE 30mil規格○/×を本Revisionでは直接取得できていない。推測しない。</t>
        </is>
      </c>
    </row>
    <row r="1176">
      <c r="A1176" s="42" t="inlineStr">
        <is>
          <t>SZ-SL-001175</t>
        </is>
      </c>
      <c r="B1176" s="42" t="inlineStr">
        <is>
          <t>WT-SL-FIX-IN</t>
        </is>
      </c>
      <c r="C1176" s="42" t="inlineStr">
        <is>
          <t>FIX窓（内押縁タイプ）</t>
        </is>
      </c>
      <c r="D1176" s="42" t="str"/>
      <c r="E1176" s="42" t="inlineStr">
        <is>
          <t>069023</t>
        </is>
      </c>
      <c r="F1176" s="42" t="inlineStr">
        <is>
          <t>730</t>
        </is>
      </c>
      <c r="G1176" s="42" t="inlineStr">
        <is>
          <t>300</t>
        </is>
      </c>
      <c r="H1176" s="42" t="inlineStr">
        <is>
          <t>True</t>
        </is>
      </c>
      <c r="I1176" s="42" t="inlineStr">
        <is>
          <t>NOT_EVALUATED</t>
        </is>
      </c>
      <c r="J1176" s="42" t="inlineStr">
        <is>
          <t>NO_DIRECT_STANDARD_MATRIX_IN_RETRIEVED_SOURCE</t>
        </is>
      </c>
      <c r="K1176" s="42" t="str"/>
      <c r="L1176" s="42" t="str"/>
      <c r="M1176" s="42" t="str"/>
      <c r="N1176" s="42" t="str"/>
      <c r="O1176" s="42" t="inlineStr">
        <is>
          <t>現行公式資料でこの窓種のSAFE 30mil規格○/×を本Revisionでは直接取得できていない。推測しない。</t>
        </is>
      </c>
    </row>
    <row r="1177">
      <c r="A1177" s="42" t="inlineStr">
        <is>
          <t>SZ-SL-001176</t>
        </is>
      </c>
      <c r="B1177" s="42" t="inlineStr">
        <is>
          <t>WT-SL-FIX-IN</t>
        </is>
      </c>
      <c r="C1177" s="42" t="inlineStr">
        <is>
          <t>FIX窓（内押縁タイプ）</t>
        </is>
      </c>
      <c r="D1177" s="42" t="str"/>
      <c r="E1177" s="42" t="inlineStr">
        <is>
          <t>069028</t>
        </is>
      </c>
      <c r="F1177" s="42" t="inlineStr">
        <is>
          <t>730</t>
        </is>
      </c>
      <c r="G1177" s="42" t="inlineStr">
        <is>
          <t>350</t>
        </is>
      </c>
      <c r="H1177" s="42" t="inlineStr">
        <is>
          <t>True</t>
        </is>
      </c>
      <c r="I1177" s="42" t="inlineStr">
        <is>
          <t>NOT_EVALUATED</t>
        </is>
      </c>
      <c r="J1177" s="42" t="inlineStr">
        <is>
          <t>NO_DIRECT_STANDARD_MATRIX_IN_RETRIEVED_SOURCE</t>
        </is>
      </c>
      <c r="K1177" s="42" t="str"/>
      <c r="L1177" s="42" t="str"/>
      <c r="M1177" s="42" t="str"/>
      <c r="N1177" s="42" t="str"/>
      <c r="O1177" s="42" t="inlineStr">
        <is>
          <t>現行公式資料でこの窓種のSAFE 30mil規格○/×を本Revisionでは直接取得できていない。推測しない。</t>
        </is>
      </c>
    </row>
    <row r="1178">
      <c r="A1178" s="42" t="inlineStr">
        <is>
          <t>SZ-SL-001177</t>
        </is>
      </c>
      <c r="B1178" s="42" t="inlineStr">
        <is>
          <t>WT-SL-FIX-IN</t>
        </is>
      </c>
      <c r="C1178" s="42" t="inlineStr">
        <is>
          <t>FIX窓（内押縁タイプ）</t>
        </is>
      </c>
      <c r="D1178" s="42" t="str"/>
      <c r="E1178" s="42" t="inlineStr">
        <is>
          <t>074018</t>
        </is>
      </c>
      <c r="F1178" s="42" t="inlineStr">
        <is>
          <t>780</t>
        </is>
      </c>
      <c r="G1178" s="42" t="inlineStr">
        <is>
          <t>250</t>
        </is>
      </c>
      <c r="H1178" s="42" t="inlineStr">
        <is>
          <t>True</t>
        </is>
      </c>
      <c r="I1178" s="42" t="inlineStr">
        <is>
          <t>NOT_EVALUATED</t>
        </is>
      </c>
      <c r="J1178" s="42" t="inlineStr">
        <is>
          <t>NO_DIRECT_STANDARD_MATRIX_IN_RETRIEVED_SOURCE</t>
        </is>
      </c>
      <c r="K1178" s="42" t="str"/>
      <c r="L1178" s="42" t="str"/>
      <c r="M1178" s="42" t="str"/>
      <c r="N1178" s="42" t="str"/>
      <c r="O1178" s="42" t="inlineStr">
        <is>
          <t>現行公式資料でこの窓種のSAFE 30mil規格○/×を本Revisionでは直接取得できていない。推測しない。</t>
        </is>
      </c>
    </row>
    <row r="1179">
      <c r="A1179" s="42" t="inlineStr">
        <is>
          <t>SZ-SL-001178</t>
        </is>
      </c>
      <c r="B1179" s="42" t="inlineStr">
        <is>
          <t>WT-SL-FIX-IN</t>
        </is>
      </c>
      <c r="C1179" s="42" t="inlineStr">
        <is>
          <t>FIX窓（内押縁タイプ）</t>
        </is>
      </c>
      <c r="D1179" s="42" t="str"/>
      <c r="E1179" s="42" t="inlineStr">
        <is>
          <t>074023</t>
        </is>
      </c>
      <c r="F1179" s="42" t="inlineStr">
        <is>
          <t>780</t>
        </is>
      </c>
      <c r="G1179" s="42" t="inlineStr">
        <is>
          <t>300</t>
        </is>
      </c>
      <c r="H1179" s="42" t="inlineStr">
        <is>
          <t>True</t>
        </is>
      </c>
      <c r="I1179" s="42" t="inlineStr">
        <is>
          <t>NOT_EVALUATED</t>
        </is>
      </c>
      <c r="J1179" s="42" t="inlineStr">
        <is>
          <t>NO_DIRECT_STANDARD_MATRIX_IN_RETRIEVED_SOURCE</t>
        </is>
      </c>
      <c r="K1179" s="42" t="str"/>
      <c r="L1179" s="42" t="str"/>
      <c r="M1179" s="42" t="str"/>
      <c r="N1179" s="42" t="str"/>
      <c r="O1179" s="42" t="inlineStr">
        <is>
          <t>現行公式資料でこの窓種のSAFE 30mil規格○/×を本Revisionでは直接取得できていない。推測しない。</t>
        </is>
      </c>
    </row>
    <row r="1180">
      <c r="A1180" s="42" t="inlineStr">
        <is>
          <t>SZ-SL-001179</t>
        </is>
      </c>
      <c r="B1180" s="42" t="inlineStr">
        <is>
          <t>WT-SL-FIX-IN</t>
        </is>
      </c>
      <c r="C1180" s="42" t="inlineStr">
        <is>
          <t>FIX窓（内押縁タイプ）</t>
        </is>
      </c>
      <c r="D1180" s="42" t="str"/>
      <c r="E1180" s="42" t="inlineStr">
        <is>
          <t>074028</t>
        </is>
      </c>
      <c r="F1180" s="42" t="inlineStr">
        <is>
          <t>780</t>
        </is>
      </c>
      <c r="G1180" s="42" t="inlineStr">
        <is>
          <t>350</t>
        </is>
      </c>
      <c r="H1180" s="42" t="inlineStr">
        <is>
          <t>True</t>
        </is>
      </c>
      <c r="I1180" s="42" t="inlineStr">
        <is>
          <t>NOT_EVALUATED</t>
        </is>
      </c>
      <c r="J1180" s="42" t="inlineStr">
        <is>
          <t>NO_DIRECT_STANDARD_MATRIX_IN_RETRIEVED_SOURCE</t>
        </is>
      </c>
      <c r="K1180" s="42" t="str"/>
      <c r="L1180" s="42" t="str"/>
      <c r="M1180" s="42" t="str"/>
      <c r="N1180" s="42" t="str"/>
      <c r="O1180" s="42" t="inlineStr">
        <is>
          <t>現行公式資料でこの窓種のSAFE 30mil規格○/×を本Revisionでは直接取得できていない。推測しない。</t>
        </is>
      </c>
    </row>
    <row r="1181">
      <c r="A1181" s="42" t="inlineStr">
        <is>
          <t>SZ-SL-001180</t>
        </is>
      </c>
      <c r="B1181" s="42" t="inlineStr">
        <is>
          <t>WT-SL-FIX-IN</t>
        </is>
      </c>
      <c r="C1181" s="42" t="inlineStr">
        <is>
          <t>FIX窓（内押縁タイプ）</t>
        </is>
      </c>
      <c r="D1181" s="42" t="str"/>
      <c r="E1181" s="42" t="inlineStr">
        <is>
          <t>07403</t>
        </is>
      </c>
      <c r="F1181" s="42" t="inlineStr">
        <is>
          <t>780</t>
        </is>
      </c>
      <c r="G1181" s="42" t="inlineStr">
        <is>
          <t>370</t>
        </is>
      </c>
      <c r="H1181" s="42" t="inlineStr">
        <is>
          <t>True</t>
        </is>
      </c>
      <c r="I1181" s="42" t="inlineStr">
        <is>
          <t>NOT_EVALUATED</t>
        </is>
      </c>
      <c r="J1181" s="42" t="inlineStr">
        <is>
          <t>NO_DIRECT_STANDARD_MATRIX_IN_RETRIEVED_SOURCE</t>
        </is>
      </c>
      <c r="K1181" s="42" t="str"/>
      <c r="L1181" s="42" t="str"/>
      <c r="M1181" s="42" t="str"/>
      <c r="N1181" s="42" t="str"/>
      <c r="O1181" s="42" t="inlineStr">
        <is>
          <t>現行公式資料でこの窓種のSAFE 30mil規格○/×を本Revisionでは直接取得できていない。推測しない。</t>
        </is>
      </c>
    </row>
    <row r="1182">
      <c r="A1182" s="42" t="inlineStr">
        <is>
          <t>SZ-SL-001181</t>
        </is>
      </c>
      <c r="B1182" s="42" t="inlineStr">
        <is>
          <t>WT-SL-FIX-IN</t>
        </is>
      </c>
      <c r="C1182" s="42" t="inlineStr">
        <is>
          <t>FIX窓（内押縁タイプ）</t>
        </is>
      </c>
      <c r="D1182" s="42" t="str"/>
      <c r="E1182" s="42" t="inlineStr">
        <is>
          <t>114018</t>
        </is>
      </c>
      <c r="F1182" s="42" t="inlineStr">
        <is>
          <t>1185</t>
        </is>
      </c>
      <c r="G1182" s="42" t="inlineStr">
        <is>
          <t>250</t>
        </is>
      </c>
      <c r="H1182" s="42" t="inlineStr">
        <is>
          <t>True</t>
        </is>
      </c>
      <c r="I1182" s="42" t="inlineStr">
        <is>
          <t>NOT_EVALUATED</t>
        </is>
      </c>
      <c r="J1182" s="42" t="inlineStr">
        <is>
          <t>NO_DIRECT_STANDARD_MATRIX_IN_RETRIEVED_SOURCE</t>
        </is>
      </c>
      <c r="K1182" s="42" t="str"/>
      <c r="L1182" s="42" t="str"/>
      <c r="M1182" s="42" t="str"/>
      <c r="N1182" s="42" t="str"/>
      <c r="O1182" s="42" t="inlineStr">
        <is>
          <t>現行公式資料でこの窓種のSAFE 30mil規格○/×を本Revisionでは直接取得できていない。推測しない。</t>
        </is>
      </c>
    </row>
    <row r="1183">
      <c r="A1183" s="42" t="inlineStr">
        <is>
          <t>SZ-SL-001182</t>
        </is>
      </c>
      <c r="B1183" s="42" t="inlineStr">
        <is>
          <t>WT-SL-FIX-IN</t>
        </is>
      </c>
      <c r="C1183" s="42" t="inlineStr">
        <is>
          <t>FIX窓（内押縁タイプ）</t>
        </is>
      </c>
      <c r="D1183" s="42" t="str"/>
      <c r="E1183" s="42" t="inlineStr">
        <is>
          <t>114023</t>
        </is>
      </c>
      <c r="F1183" s="42" t="inlineStr">
        <is>
          <t>1185</t>
        </is>
      </c>
      <c r="G1183" s="42" t="inlineStr">
        <is>
          <t>300</t>
        </is>
      </c>
      <c r="H1183" s="42" t="inlineStr">
        <is>
          <t>True</t>
        </is>
      </c>
      <c r="I1183" s="42" t="inlineStr">
        <is>
          <t>NOT_EVALUATED</t>
        </is>
      </c>
      <c r="J1183" s="42" t="inlineStr">
        <is>
          <t>NO_DIRECT_STANDARD_MATRIX_IN_RETRIEVED_SOURCE</t>
        </is>
      </c>
      <c r="K1183" s="42" t="str"/>
      <c r="L1183" s="42" t="str"/>
      <c r="M1183" s="42" t="str"/>
      <c r="N1183" s="42" t="str"/>
      <c r="O1183" s="42" t="inlineStr">
        <is>
          <t>現行公式資料でこの窓種のSAFE 30mil規格○/×を本Revisionでは直接取得できていない。推測しない。</t>
        </is>
      </c>
    </row>
    <row r="1184">
      <c r="A1184" s="42" t="inlineStr">
        <is>
          <t>SZ-SL-001183</t>
        </is>
      </c>
      <c r="B1184" s="42" t="inlineStr">
        <is>
          <t>WT-SL-FIX-IN</t>
        </is>
      </c>
      <c r="C1184" s="42" t="inlineStr">
        <is>
          <t>FIX窓（内押縁タイプ）</t>
        </is>
      </c>
      <c r="D1184" s="42" t="str"/>
      <c r="E1184" s="42" t="inlineStr">
        <is>
          <t>114028</t>
        </is>
      </c>
      <c r="F1184" s="42" t="inlineStr">
        <is>
          <t>1185</t>
        </is>
      </c>
      <c r="G1184" s="42" t="inlineStr">
        <is>
          <t>350</t>
        </is>
      </c>
      <c r="H1184" s="42" t="inlineStr">
        <is>
          <t>True</t>
        </is>
      </c>
      <c r="I1184" s="42" t="inlineStr">
        <is>
          <t>NOT_EVALUATED</t>
        </is>
      </c>
      <c r="J1184" s="42" t="inlineStr">
        <is>
          <t>NO_DIRECT_STANDARD_MATRIX_IN_RETRIEVED_SOURCE</t>
        </is>
      </c>
      <c r="K1184" s="42" t="str"/>
      <c r="L1184" s="42" t="str"/>
      <c r="M1184" s="42" t="str"/>
      <c r="N1184" s="42" t="str"/>
      <c r="O1184" s="42" t="inlineStr">
        <is>
          <t>現行公式資料でこの窓種のSAFE 30mil規格○/×を本Revisionでは直接取得できていない。推測しない。</t>
        </is>
      </c>
    </row>
    <row r="1185">
      <c r="A1185" s="42" t="inlineStr">
        <is>
          <t>SZ-SL-001184</t>
        </is>
      </c>
      <c r="B1185" s="42" t="inlineStr">
        <is>
          <t>WT-SL-FIX-IN</t>
        </is>
      </c>
      <c r="C1185" s="42" t="inlineStr">
        <is>
          <t>FIX窓（内押縁タイプ）</t>
        </is>
      </c>
      <c r="D1185" s="42" t="str"/>
      <c r="E1185" s="42" t="inlineStr">
        <is>
          <t>119018</t>
        </is>
      </c>
      <c r="F1185" s="42" t="inlineStr">
        <is>
          <t>1235</t>
        </is>
      </c>
      <c r="G1185" s="42" t="inlineStr">
        <is>
          <t>250</t>
        </is>
      </c>
      <c r="H1185" s="42" t="inlineStr">
        <is>
          <t>True</t>
        </is>
      </c>
      <c r="I1185" s="42" t="inlineStr">
        <is>
          <t>NOT_EVALUATED</t>
        </is>
      </c>
      <c r="J1185" s="42" t="inlineStr">
        <is>
          <t>NO_DIRECT_STANDARD_MATRIX_IN_RETRIEVED_SOURCE</t>
        </is>
      </c>
      <c r="K1185" s="42" t="str"/>
      <c r="L1185" s="42" t="str"/>
      <c r="M1185" s="42" t="str"/>
      <c r="N1185" s="42" t="str"/>
      <c r="O1185" s="42" t="inlineStr">
        <is>
          <t>現行公式資料でこの窓種のSAFE 30mil規格○/×を本Revisionでは直接取得できていない。推測しない。</t>
        </is>
      </c>
    </row>
    <row r="1186">
      <c r="A1186" s="42" t="inlineStr">
        <is>
          <t>SZ-SL-001185</t>
        </is>
      </c>
      <c r="B1186" s="42" t="inlineStr">
        <is>
          <t>WT-SL-FIX-IN</t>
        </is>
      </c>
      <c r="C1186" s="42" t="inlineStr">
        <is>
          <t>FIX窓（内押縁タイプ）</t>
        </is>
      </c>
      <c r="D1186" s="42" t="str"/>
      <c r="E1186" s="42" t="inlineStr">
        <is>
          <t>119023</t>
        </is>
      </c>
      <c r="F1186" s="42" t="inlineStr">
        <is>
          <t>1235</t>
        </is>
      </c>
      <c r="G1186" s="42" t="inlineStr">
        <is>
          <t>300</t>
        </is>
      </c>
      <c r="H1186" s="42" t="inlineStr">
        <is>
          <t>True</t>
        </is>
      </c>
      <c r="I1186" s="42" t="inlineStr">
        <is>
          <t>NOT_EVALUATED</t>
        </is>
      </c>
      <c r="J1186" s="42" t="inlineStr">
        <is>
          <t>NO_DIRECT_STANDARD_MATRIX_IN_RETRIEVED_SOURCE</t>
        </is>
      </c>
      <c r="K1186" s="42" t="str"/>
      <c r="L1186" s="42" t="str"/>
      <c r="M1186" s="42" t="str"/>
      <c r="N1186" s="42" t="str"/>
      <c r="O1186" s="42" t="inlineStr">
        <is>
          <t>現行公式資料でこの窓種のSAFE 30mil規格○/×を本Revisionでは直接取得できていない。推測しない。</t>
        </is>
      </c>
    </row>
    <row r="1187">
      <c r="A1187" s="42" t="inlineStr">
        <is>
          <t>SZ-SL-001186</t>
        </is>
      </c>
      <c r="B1187" s="42" t="inlineStr">
        <is>
          <t>WT-SL-FIX-IN</t>
        </is>
      </c>
      <c r="C1187" s="42" t="inlineStr">
        <is>
          <t>FIX窓（内押縁タイプ）</t>
        </is>
      </c>
      <c r="D1187" s="42" t="str"/>
      <c r="E1187" s="42" t="inlineStr">
        <is>
          <t>119028</t>
        </is>
      </c>
      <c r="F1187" s="42" t="inlineStr">
        <is>
          <t>1235</t>
        </is>
      </c>
      <c r="G1187" s="42" t="inlineStr">
        <is>
          <t>350</t>
        </is>
      </c>
      <c r="H1187" s="42" t="inlineStr">
        <is>
          <t>True</t>
        </is>
      </c>
      <c r="I1187" s="42" t="inlineStr">
        <is>
          <t>NOT_EVALUATED</t>
        </is>
      </c>
      <c r="J1187" s="42" t="inlineStr">
        <is>
          <t>NO_DIRECT_STANDARD_MATRIX_IN_RETRIEVED_SOURCE</t>
        </is>
      </c>
      <c r="K1187" s="42" t="str"/>
      <c r="L1187" s="42" t="str"/>
      <c r="M1187" s="42" t="str"/>
      <c r="N1187" s="42" t="str"/>
      <c r="O1187" s="42" t="inlineStr">
        <is>
          <t>現行公式資料でこの窓種のSAFE 30mil規格○/×を本Revisionでは直接取得できていない。推測しない。</t>
        </is>
      </c>
    </row>
    <row r="1188">
      <c r="A1188" s="42" t="inlineStr">
        <is>
          <t>SZ-SL-001187</t>
        </is>
      </c>
      <c r="B1188" s="42" t="inlineStr">
        <is>
          <t>WT-SL-FIX-IN</t>
        </is>
      </c>
      <c r="C1188" s="42" t="inlineStr">
        <is>
          <t>FIX窓（内押縁タイプ）</t>
        </is>
      </c>
      <c r="D1188" s="42" t="str"/>
      <c r="E1188" s="42" t="inlineStr">
        <is>
          <t>11903</t>
        </is>
      </c>
      <c r="F1188" s="42" t="inlineStr">
        <is>
          <t>1235</t>
        </is>
      </c>
      <c r="G1188" s="42" t="inlineStr">
        <is>
          <t>370</t>
        </is>
      </c>
      <c r="H1188" s="42" t="inlineStr">
        <is>
          <t>True</t>
        </is>
      </c>
      <c r="I1188" s="42" t="inlineStr">
        <is>
          <t>NOT_EVALUATED</t>
        </is>
      </c>
      <c r="J1188" s="42" t="inlineStr">
        <is>
          <t>NO_DIRECT_STANDARD_MATRIX_IN_RETRIEVED_SOURCE</t>
        </is>
      </c>
      <c r="K1188" s="42" t="str"/>
      <c r="L1188" s="42" t="str"/>
      <c r="M1188" s="42" t="str"/>
      <c r="N1188" s="42" t="str"/>
      <c r="O1188" s="42" t="inlineStr">
        <is>
          <t>現行公式資料でこの窓種のSAFE 30mil規格○/×を本Revisionでは直接取得できていない。推測しない。</t>
        </is>
      </c>
    </row>
    <row r="1189">
      <c r="A1189" s="42" t="inlineStr">
        <is>
          <t>SZ-SL-001188</t>
        </is>
      </c>
      <c r="B1189" s="42" t="inlineStr">
        <is>
          <t>WT-SL-FIX-IN</t>
        </is>
      </c>
      <c r="C1189" s="42" t="inlineStr">
        <is>
          <t>FIX窓（内押縁タイプ）</t>
        </is>
      </c>
      <c r="D1189" s="42" t="str"/>
      <c r="E1189" s="42" t="inlineStr">
        <is>
          <t>160018</t>
        </is>
      </c>
      <c r="F1189" s="42" t="inlineStr">
        <is>
          <t>1640</t>
        </is>
      </c>
      <c r="G1189" s="42" t="inlineStr">
        <is>
          <t>250</t>
        </is>
      </c>
      <c r="H1189" s="42" t="inlineStr">
        <is>
          <t>True</t>
        </is>
      </c>
      <c r="I1189" s="42" t="inlineStr">
        <is>
          <t>NOT_EVALUATED</t>
        </is>
      </c>
      <c r="J1189" s="42" t="inlineStr">
        <is>
          <t>NO_DIRECT_STANDARD_MATRIX_IN_RETRIEVED_SOURCE</t>
        </is>
      </c>
      <c r="K1189" s="42" t="str"/>
      <c r="L1189" s="42" t="str"/>
      <c r="M1189" s="42" t="str"/>
      <c r="N1189" s="42" t="str"/>
      <c r="O1189" s="42" t="inlineStr">
        <is>
          <t>現行公式資料でこの窓種のSAFE 30mil規格○/×を本Revisionでは直接取得できていない。推測しない。</t>
        </is>
      </c>
    </row>
    <row r="1190">
      <c r="A1190" s="42" t="inlineStr">
        <is>
          <t>SZ-SL-001189</t>
        </is>
      </c>
      <c r="B1190" s="42" t="inlineStr">
        <is>
          <t>WT-SL-FIX-IN</t>
        </is>
      </c>
      <c r="C1190" s="42" t="inlineStr">
        <is>
          <t>FIX窓（内押縁タイプ）</t>
        </is>
      </c>
      <c r="D1190" s="42" t="str"/>
      <c r="E1190" s="42" t="inlineStr">
        <is>
          <t>160023</t>
        </is>
      </c>
      <c r="F1190" s="42" t="inlineStr">
        <is>
          <t>1640</t>
        </is>
      </c>
      <c r="G1190" s="42" t="inlineStr">
        <is>
          <t>300</t>
        </is>
      </c>
      <c r="H1190" s="42" t="inlineStr">
        <is>
          <t>True</t>
        </is>
      </c>
      <c r="I1190" s="42" t="inlineStr">
        <is>
          <t>NOT_EVALUATED</t>
        </is>
      </c>
      <c r="J1190" s="42" t="inlineStr">
        <is>
          <t>NO_DIRECT_STANDARD_MATRIX_IN_RETRIEVED_SOURCE</t>
        </is>
      </c>
      <c r="K1190" s="42" t="str"/>
      <c r="L1190" s="42" t="str"/>
      <c r="M1190" s="42" t="str"/>
      <c r="N1190" s="42" t="str"/>
      <c r="O1190" s="42" t="inlineStr">
        <is>
          <t>現行公式資料でこの窓種のSAFE 30mil規格○/×を本Revisionでは直接取得できていない。推測しない。</t>
        </is>
      </c>
    </row>
    <row r="1191">
      <c r="A1191" s="42" t="inlineStr">
        <is>
          <t>SZ-SL-001190</t>
        </is>
      </c>
      <c r="B1191" s="42" t="inlineStr">
        <is>
          <t>WT-SL-FIX-IN</t>
        </is>
      </c>
      <c r="C1191" s="42" t="inlineStr">
        <is>
          <t>FIX窓（内押縁タイプ）</t>
        </is>
      </c>
      <c r="D1191" s="42" t="str"/>
      <c r="E1191" s="42" t="inlineStr">
        <is>
          <t>160028</t>
        </is>
      </c>
      <c r="F1191" s="42" t="inlineStr">
        <is>
          <t>1640</t>
        </is>
      </c>
      <c r="G1191" s="42" t="inlineStr">
        <is>
          <t>350</t>
        </is>
      </c>
      <c r="H1191" s="42" t="inlineStr">
        <is>
          <t>True</t>
        </is>
      </c>
      <c r="I1191" s="42" t="inlineStr">
        <is>
          <t>NOT_EVALUATED</t>
        </is>
      </c>
      <c r="J1191" s="42" t="inlineStr">
        <is>
          <t>NO_DIRECT_STANDARD_MATRIX_IN_RETRIEVED_SOURCE</t>
        </is>
      </c>
      <c r="K1191" s="42" t="str"/>
      <c r="L1191" s="42" t="str"/>
      <c r="M1191" s="42" t="str"/>
      <c r="N1191" s="42" t="str"/>
      <c r="O1191" s="42" t="inlineStr">
        <is>
          <t>現行公式資料でこの窓種のSAFE 30mil規格○/×を本Revisionでは直接取得できていない。推測しない。</t>
        </is>
      </c>
    </row>
    <row r="1192">
      <c r="A1192" s="42" t="inlineStr">
        <is>
          <t>SZ-SL-001191</t>
        </is>
      </c>
      <c r="B1192" s="42" t="inlineStr">
        <is>
          <t>WT-SL-FIX-IN</t>
        </is>
      </c>
      <c r="C1192" s="42" t="inlineStr">
        <is>
          <t>FIX窓（内押縁タイプ）</t>
        </is>
      </c>
      <c r="D1192" s="42" t="str"/>
      <c r="E1192" s="42" t="inlineStr">
        <is>
          <t>165018</t>
        </is>
      </c>
      <c r="F1192" s="42" t="inlineStr">
        <is>
          <t>1690</t>
        </is>
      </c>
      <c r="G1192" s="42" t="inlineStr">
        <is>
          <t>250</t>
        </is>
      </c>
      <c r="H1192" s="42" t="inlineStr">
        <is>
          <t>True</t>
        </is>
      </c>
      <c r="I1192" s="42" t="inlineStr">
        <is>
          <t>NOT_EVALUATED</t>
        </is>
      </c>
      <c r="J1192" s="42" t="inlineStr">
        <is>
          <t>NO_DIRECT_STANDARD_MATRIX_IN_RETRIEVED_SOURCE</t>
        </is>
      </c>
      <c r="K1192" s="42" t="str"/>
      <c r="L1192" s="42" t="str"/>
      <c r="M1192" s="42" t="str"/>
      <c r="N1192" s="42" t="str"/>
      <c r="O1192" s="42" t="inlineStr">
        <is>
          <t>現行公式資料でこの窓種のSAFE 30mil規格○/×を本Revisionでは直接取得できていない。推測しない。</t>
        </is>
      </c>
    </row>
    <row r="1193">
      <c r="A1193" s="42" t="inlineStr">
        <is>
          <t>SZ-SL-001192</t>
        </is>
      </c>
      <c r="B1193" s="42" t="inlineStr">
        <is>
          <t>WT-SL-FIX-IN</t>
        </is>
      </c>
      <c r="C1193" s="42" t="inlineStr">
        <is>
          <t>FIX窓（内押縁タイプ）</t>
        </is>
      </c>
      <c r="D1193" s="42" t="str"/>
      <c r="E1193" s="42" t="inlineStr">
        <is>
          <t>165023</t>
        </is>
      </c>
      <c r="F1193" s="42" t="inlineStr">
        <is>
          <t>1690</t>
        </is>
      </c>
      <c r="G1193" s="42" t="inlineStr">
        <is>
          <t>300</t>
        </is>
      </c>
      <c r="H1193" s="42" t="inlineStr">
        <is>
          <t>True</t>
        </is>
      </c>
      <c r="I1193" s="42" t="inlineStr">
        <is>
          <t>NOT_EVALUATED</t>
        </is>
      </c>
      <c r="J1193" s="42" t="inlineStr">
        <is>
          <t>NO_DIRECT_STANDARD_MATRIX_IN_RETRIEVED_SOURCE</t>
        </is>
      </c>
      <c r="K1193" s="42" t="str"/>
      <c r="L1193" s="42" t="str"/>
      <c r="M1193" s="42" t="str"/>
      <c r="N1193" s="42" t="str"/>
      <c r="O1193" s="42" t="inlineStr">
        <is>
          <t>現行公式資料でこの窓種のSAFE 30mil規格○/×を本Revisionでは直接取得できていない。推測しない。</t>
        </is>
      </c>
    </row>
    <row r="1194">
      <c r="A1194" s="42" t="inlineStr">
        <is>
          <t>SZ-SL-001193</t>
        </is>
      </c>
      <c r="B1194" s="42" t="inlineStr">
        <is>
          <t>WT-SL-FIX-IN</t>
        </is>
      </c>
      <c r="C1194" s="42" t="inlineStr">
        <is>
          <t>FIX窓（内押縁タイプ）</t>
        </is>
      </c>
      <c r="D1194" s="42" t="str"/>
      <c r="E1194" s="42" t="inlineStr">
        <is>
          <t>165028</t>
        </is>
      </c>
      <c r="F1194" s="42" t="inlineStr">
        <is>
          <t>1690</t>
        </is>
      </c>
      <c r="G1194" s="42" t="inlineStr">
        <is>
          <t>350</t>
        </is>
      </c>
      <c r="H1194" s="42" t="inlineStr">
        <is>
          <t>True</t>
        </is>
      </c>
      <c r="I1194" s="42" t="inlineStr">
        <is>
          <t>NOT_EVALUATED</t>
        </is>
      </c>
      <c r="J1194" s="42" t="inlineStr">
        <is>
          <t>NO_DIRECT_STANDARD_MATRIX_IN_RETRIEVED_SOURCE</t>
        </is>
      </c>
      <c r="K1194" s="42" t="str"/>
      <c r="L1194" s="42" t="str"/>
      <c r="M1194" s="42" t="str"/>
      <c r="N1194" s="42" t="str"/>
      <c r="O1194" s="42" t="inlineStr">
        <is>
          <t>現行公式資料でこの窓種のSAFE 30mil規格○/×を本Revisionでは直接取得できていない。推測しない。</t>
        </is>
      </c>
    </row>
    <row r="1195">
      <c r="A1195" s="42" t="inlineStr">
        <is>
          <t>SZ-SL-001194</t>
        </is>
      </c>
      <c r="B1195" s="42" t="inlineStr">
        <is>
          <t>WT-SL-FIX-IN</t>
        </is>
      </c>
      <c r="C1195" s="42" t="inlineStr">
        <is>
          <t>FIX窓（内押縁タイプ）</t>
        </is>
      </c>
      <c r="D1195" s="42" t="str"/>
      <c r="E1195" s="42" t="inlineStr">
        <is>
          <t>03605</t>
        </is>
      </c>
      <c r="F1195" s="42" t="inlineStr">
        <is>
          <t>405</t>
        </is>
      </c>
      <c r="G1195" s="42" t="inlineStr">
        <is>
          <t>570</t>
        </is>
      </c>
      <c r="H1195" s="42" t="inlineStr">
        <is>
          <t>True</t>
        </is>
      </c>
      <c r="I1195" s="42" t="inlineStr">
        <is>
          <t>NOT_EVALUATED</t>
        </is>
      </c>
      <c r="J1195" s="42" t="inlineStr">
        <is>
          <t>NO_DIRECT_STANDARD_MATRIX_IN_RETRIEVED_SOURCE</t>
        </is>
      </c>
      <c r="K1195" s="42" t="str"/>
      <c r="L1195" s="42" t="str"/>
      <c r="M1195" s="42" t="str"/>
      <c r="N1195" s="42" t="str"/>
      <c r="O1195" s="42" t="inlineStr">
        <is>
          <t>現行公式資料でこの窓種のSAFE 30mil規格○/×を本Revisionでは直接取得できていない。推測しない。</t>
        </is>
      </c>
    </row>
    <row r="1196">
      <c r="A1196" s="42" t="inlineStr">
        <is>
          <t>SZ-SL-001195</t>
        </is>
      </c>
      <c r="B1196" s="42" t="inlineStr">
        <is>
          <t>WT-SL-FIX-IN</t>
        </is>
      </c>
      <c r="C1196" s="42" t="inlineStr">
        <is>
          <t>FIX窓（内押縁タイプ）</t>
        </is>
      </c>
      <c r="D1196" s="42" t="str"/>
      <c r="E1196" s="42" t="inlineStr">
        <is>
          <t>03607</t>
        </is>
      </c>
      <c r="F1196" s="42" t="inlineStr">
        <is>
          <t>405</t>
        </is>
      </c>
      <c r="G1196" s="42" t="inlineStr">
        <is>
          <t>770</t>
        </is>
      </c>
      <c r="H1196" s="42" t="inlineStr">
        <is>
          <t>True</t>
        </is>
      </c>
      <c r="I1196" s="42" t="inlineStr">
        <is>
          <t>NOT_EVALUATED</t>
        </is>
      </c>
      <c r="J1196" s="42" t="inlineStr">
        <is>
          <t>NO_DIRECT_STANDARD_MATRIX_IN_RETRIEVED_SOURCE</t>
        </is>
      </c>
      <c r="K1196" s="42" t="str"/>
      <c r="L1196" s="42" t="str"/>
      <c r="M1196" s="42" t="str"/>
      <c r="N1196" s="42" t="str"/>
      <c r="O1196" s="42" t="inlineStr">
        <is>
          <t>現行公式資料でこの窓種のSAFE 30mil規格○/×を本Revisionでは直接取得できていない。推測しない。</t>
        </is>
      </c>
    </row>
    <row r="1197">
      <c r="A1197" s="42" t="inlineStr">
        <is>
          <t>SZ-SL-001196</t>
        </is>
      </c>
      <c r="B1197" s="42" t="inlineStr">
        <is>
          <t>WT-SL-FIX-IN</t>
        </is>
      </c>
      <c r="C1197" s="42" t="inlineStr">
        <is>
          <t>FIX窓（内押縁タイプ）</t>
        </is>
      </c>
      <c r="D1197" s="42" t="str"/>
      <c r="E1197" s="42" t="inlineStr">
        <is>
          <t>041038</t>
        </is>
      </c>
      <c r="F1197" s="42" t="inlineStr">
        <is>
          <t>450</t>
        </is>
      </c>
      <c r="G1197" s="42" t="inlineStr">
        <is>
          <t>450</t>
        </is>
      </c>
      <c r="H1197" s="42" t="inlineStr">
        <is>
          <t>True</t>
        </is>
      </c>
      <c r="I1197" s="42" t="inlineStr">
        <is>
          <t>NOT_EVALUATED</t>
        </is>
      </c>
      <c r="J1197" s="42" t="inlineStr">
        <is>
          <t>NO_DIRECT_STANDARD_MATRIX_IN_RETRIEVED_SOURCE</t>
        </is>
      </c>
      <c r="K1197" s="42" t="str"/>
      <c r="L1197" s="42" t="str"/>
      <c r="M1197" s="42" t="str"/>
      <c r="N1197" s="42" t="str"/>
      <c r="O1197" s="42" t="inlineStr">
        <is>
          <t>現行公式資料でこの窓種のSAFE 30mil規格○/×を本Revisionでは直接取得できていない。推測しない。</t>
        </is>
      </c>
    </row>
    <row r="1198">
      <c r="A1198" s="42" t="inlineStr">
        <is>
          <t>SZ-SL-001197</t>
        </is>
      </c>
      <c r="B1198" s="42" t="inlineStr">
        <is>
          <t>WT-SL-FIX-IN</t>
        </is>
      </c>
      <c r="C1198" s="42" t="inlineStr">
        <is>
          <t>FIX窓（内押縁タイプ）</t>
        </is>
      </c>
      <c r="D1198" s="42" t="str"/>
      <c r="E1198" s="42" t="inlineStr">
        <is>
          <t>06005</t>
        </is>
      </c>
      <c r="F1198" s="42" t="inlineStr">
        <is>
          <t>640</t>
        </is>
      </c>
      <c r="G1198" s="42" t="inlineStr">
        <is>
          <t>570</t>
        </is>
      </c>
      <c r="H1198" s="42" t="inlineStr">
        <is>
          <t>True</t>
        </is>
      </c>
      <c r="I1198" s="42" t="inlineStr">
        <is>
          <t>NOT_EVALUATED</t>
        </is>
      </c>
      <c r="J1198" s="42" t="inlineStr">
        <is>
          <t>NO_DIRECT_STANDARD_MATRIX_IN_RETRIEVED_SOURCE</t>
        </is>
      </c>
      <c r="K1198" s="42" t="str"/>
      <c r="L1198" s="42" t="str"/>
      <c r="M1198" s="42" t="str"/>
      <c r="N1198" s="42" t="str"/>
      <c r="O1198" s="42" t="inlineStr">
        <is>
          <t>現行公式資料でこの窓種のSAFE 30mil規格○/×を本Revisionでは直接取得できていない。推測しない。</t>
        </is>
      </c>
    </row>
    <row r="1199">
      <c r="A1199" s="42" t="inlineStr">
        <is>
          <t>SZ-SL-001198</t>
        </is>
      </c>
      <c r="B1199" s="42" t="inlineStr">
        <is>
          <t>WT-SL-FIX-IN</t>
        </is>
      </c>
      <c r="C1199" s="42" t="inlineStr">
        <is>
          <t>FIX窓（内押縁タイプ）</t>
        </is>
      </c>
      <c r="D1199" s="42" t="str"/>
      <c r="E1199" s="42" t="inlineStr">
        <is>
          <t>060057</t>
        </is>
      </c>
      <c r="F1199" s="42" t="inlineStr">
        <is>
          <t>640</t>
        </is>
      </c>
      <c r="G1199" s="42" t="inlineStr">
        <is>
          <t>640</t>
        </is>
      </c>
      <c r="H1199" s="42" t="inlineStr">
        <is>
          <t>True</t>
        </is>
      </c>
      <c r="I1199" s="42" t="inlineStr">
        <is>
          <t>NOT_EVALUATED</t>
        </is>
      </c>
      <c r="J1199" s="42" t="inlineStr">
        <is>
          <t>NO_DIRECT_STANDARD_MATRIX_IN_RETRIEVED_SOURCE</t>
        </is>
      </c>
      <c r="K1199" s="42" t="str"/>
      <c r="L1199" s="42" t="str"/>
      <c r="M1199" s="42" t="str"/>
      <c r="N1199" s="42" t="str"/>
      <c r="O1199" s="42" t="inlineStr">
        <is>
          <t>現行公式資料でこの窓種のSAFE 30mil規格○/×を本Revisionでは直接取得できていない。推測しない。</t>
        </is>
      </c>
    </row>
    <row r="1200">
      <c r="A1200" s="42" t="inlineStr">
        <is>
          <t>SZ-SL-001199</t>
        </is>
      </c>
      <c r="B1200" s="42" t="inlineStr">
        <is>
          <t>WT-SL-FIX-IN</t>
        </is>
      </c>
      <c r="C1200" s="42" t="inlineStr">
        <is>
          <t>FIX窓（内押縁タイプ）</t>
        </is>
      </c>
      <c r="D1200" s="42" t="str"/>
      <c r="E1200" s="42" t="inlineStr">
        <is>
          <t>06007</t>
        </is>
      </c>
      <c r="F1200" s="42" t="inlineStr">
        <is>
          <t>640</t>
        </is>
      </c>
      <c r="G1200" s="42" t="inlineStr">
        <is>
          <t>770</t>
        </is>
      </c>
      <c r="H1200" s="42" t="inlineStr">
        <is>
          <t>True</t>
        </is>
      </c>
      <c r="I1200" s="42" t="inlineStr">
        <is>
          <t>NOT_EVALUATED</t>
        </is>
      </c>
      <c r="J1200" s="42" t="inlineStr">
        <is>
          <t>NO_DIRECT_STANDARD_MATRIX_IN_RETRIEVED_SOURCE</t>
        </is>
      </c>
      <c r="K1200" s="42" t="str"/>
      <c r="L1200" s="42" t="str"/>
      <c r="M1200" s="42" t="str"/>
      <c r="N1200" s="42" t="str"/>
      <c r="O1200" s="42" t="inlineStr">
        <is>
          <t>現行公式資料でこの窓種のSAFE 30mil規格○/×を本Revisionでは直接取得できていない。推測しない。</t>
        </is>
      </c>
    </row>
    <row r="1201">
      <c r="A1201" s="42" t="inlineStr">
        <is>
          <t>SZ-SL-001200</t>
        </is>
      </c>
      <c r="B1201" s="42" t="inlineStr">
        <is>
          <t>WT-SL-FIX-IN</t>
        </is>
      </c>
      <c r="C1201" s="42" t="inlineStr">
        <is>
          <t>FIX窓（内押縁タイプ）</t>
        </is>
      </c>
      <c r="D1201" s="42" t="str"/>
      <c r="E1201" s="42" t="inlineStr">
        <is>
          <t>06905</t>
        </is>
      </c>
      <c r="F1201" s="42" t="inlineStr">
        <is>
          <t>730</t>
        </is>
      </c>
      <c r="G1201" s="42" t="inlineStr">
        <is>
          <t>570</t>
        </is>
      </c>
      <c r="H1201" s="42" t="inlineStr">
        <is>
          <t>True</t>
        </is>
      </c>
      <c r="I1201" s="42" t="inlineStr">
        <is>
          <t>NOT_EVALUATED</t>
        </is>
      </c>
      <c r="J1201" s="42" t="inlineStr">
        <is>
          <t>NO_DIRECT_STANDARD_MATRIX_IN_RETRIEVED_SOURCE</t>
        </is>
      </c>
      <c r="K1201" s="42" t="str"/>
      <c r="L1201" s="42" t="str"/>
      <c r="M1201" s="42" t="str"/>
      <c r="N1201" s="42" t="str"/>
      <c r="O1201" s="42" t="inlineStr">
        <is>
          <t>現行公式資料でこの窓種のSAFE 30mil規格○/×を本Revisionでは直接取得できていない。推測しない。</t>
        </is>
      </c>
    </row>
    <row r="1202">
      <c r="A1202" s="42" t="inlineStr">
        <is>
          <t>SZ-SL-001201</t>
        </is>
      </c>
      <c r="B1202" s="42" t="inlineStr">
        <is>
          <t>WT-SL-FIX-IN</t>
        </is>
      </c>
      <c r="C1202" s="42" t="inlineStr">
        <is>
          <t>FIX窓（内押縁タイプ）</t>
        </is>
      </c>
      <c r="D1202" s="42" t="str"/>
      <c r="E1202" s="42" t="inlineStr">
        <is>
          <t>06907</t>
        </is>
      </c>
      <c r="F1202" s="42" t="inlineStr">
        <is>
          <t>730</t>
        </is>
      </c>
      <c r="G1202" s="42" t="inlineStr">
        <is>
          <t>770</t>
        </is>
      </c>
      <c r="H1202" s="42" t="inlineStr">
        <is>
          <t>True</t>
        </is>
      </c>
      <c r="I1202" s="42" t="inlineStr">
        <is>
          <t>NOT_EVALUATED</t>
        </is>
      </c>
      <c r="J1202" s="42" t="inlineStr">
        <is>
          <t>NO_DIRECT_STANDARD_MATRIX_IN_RETRIEVED_SOURCE</t>
        </is>
      </c>
      <c r="K1202" s="42" t="str"/>
      <c r="L1202" s="42" t="str"/>
      <c r="M1202" s="42" t="str"/>
      <c r="N1202" s="42" t="str"/>
      <c r="O1202" s="42" t="inlineStr">
        <is>
          <t>現行公式資料でこの窓種のSAFE 30mil規格○/×を本Revisionでは直接取得できていない。推測しない。</t>
        </is>
      </c>
    </row>
    <row r="1203">
      <c r="A1203" s="42" t="inlineStr">
        <is>
          <t>SZ-SL-001202</t>
        </is>
      </c>
      <c r="B1203" s="42" t="inlineStr">
        <is>
          <t>WT-SL-FIX-IN</t>
        </is>
      </c>
      <c r="C1203" s="42" t="inlineStr">
        <is>
          <t>FIX窓（内押縁タイプ）</t>
        </is>
      </c>
      <c r="D1203" s="42" t="str"/>
      <c r="E1203" s="42" t="inlineStr">
        <is>
          <t>07405</t>
        </is>
      </c>
      <c r="F1203" s="42" t="inlineStr">
        <is>
          <t>780</t>
        </is>
      </c>
      <c r="G1203" s="42" t="inlineStr">
        <is>
          <t>570</t>
        </is>
      </c>
      <c r="H1203" s="42" t="inlineStr">
        <is>
          <t>True</t>
        </is>
      </c>
      <c r="I1203" s="42" t="inlineStr">
        <is>
          <t>NOT_EVALUATED</t>
        </is>
      </c>
      <c r="J1203" s="42" t="inlineStr">
        <is>
          <t>NO_DIRECT_STANDARD_MATRIX_IN_RETRIEVED_SOURCE</t>
        </is>
      </c>
      <c r="K1203" s="42" t="str"/>
      <c r="L1203" s="42" t="str"/>
      <c r="M1203" s="42" t="str"/>
      <c r="N1203" s="42" t="str"/>
      <c r="O1203" s="42" t="inlineStr">
        <is>
          <t>現行公式資料でこの窓種のSAFE 30mil規格○/×を本Revisionでは直接取得できていない。推測しない。</t>
        </is>
      </c>
    </row>
    <row r="1204">
      <c r="A1204" s="42" t="inlineStr">
        <is>
          <t>SZ-SL-001203</t>
        </is>
      </c>
      <c r="B1204" s="42" t="inlineStr">
        <is>
          <t>WT-SL-FIX-IN</t>
        </is>
      </c>
      <c r="C1204" s="42" t="inlineStr">
        <is>
          <t>FIX窓（内押縁タイプ）</t>
        </is>
      </c>
      <c r="D1204" s="42" t="str"/>
      <c r="E1204" s="42" t="inlineStr">
        <is>
          <t>07407</t>
        </is>
      </c>
      <c r="F1204" s="42" t="inlineStr">
        <is>
          <t>780</t>
        </is>
      </c>
      <c r="G1204" s="42" t="inlineStr">
        <is>
          <t>770</t>
        </is>
      </c>
      <c r="H1204" s="42" t="inlineStr">
        <is>
          <t>True</t>
        </is>
      </c>
      <c r="I1204" s="42" t="inlineStr">
        <is>
          <t>NOT_EVALUATED</t>
        </is>
      </c>
      <c r="J1204" s="42" t="inlineStr">
        <is>
          <t>NO_DIRECT_STANDARD_MATRIX_IN_RETRIEVED_SOURCE</t>
        </is>
      </c>
      <c r="K1204" s="42" t="str"/>
      <c r="L1204" s="42" t="str"/>
      <c r="M1204" s="42" t="str"/>
      <c r="N1204" s="42" t="str"/>
      <c r="O1204" s="42" t="inlineStr">
        <is>
          <t>現行公式資料でこの窓種のSAFE 30mil規格○/×を本Revisionでは直接取得できていない。推測しない。</t>
        </is>
      </c>
    </row>
    <row r="1205">
      <c r="A1205" s="42" t="inlineStr">
        <is>
          <t>SZ-SL-001204</t>
        </is>
      </c>
      <c r="B1205" s="42" t="inlineStr">
        <is>
          <t>WT-SL-FIX-IN</t>
        </is>
      </c>
      <c r="C1205" s="42" t="inlineStr">
        <is>
          <t>FIX窓（内押縁タイプ）</t>
        </is>
      </c>
      <c r="D1205" s="42" t="str"/>
      <c r="E1205" s="42" t="inlineStr">
        <is>
          <t>11905</t>
        </is>
      </c>
      <c r="F1205" s="42" t="inlineStr">
        <is>
          <t>1235</t>
        </is>
      </c>
      <c r="G1205" s="42" t="inlineStr">
        <is>
          <t>570</t>
        </is>
      </c>
      <c r="H1205" s="42" t="inlineStr">
        <is>
          <t>True</t>
        </is>
      </c>
      <c r="I1205" s="42" t="inlineStr">
        <is>
          <t>NOT_EVALUATED</t>
        </is>
      </c>
      <c r="J1205" s="42" t="inlineStr">
        <is>
          <t>NO_DIRECT_STANDARD_MATRIX_IN_RETRIEVED_SOURCE</t>
        </is>
      </c>
      <c r="K1205" s="42" t="str"/>
      <c r="L1205" s="42" t="str"/>
      <c r="M1205" s="42" t="str"/>
      <c r="N1205" s="42" t="str"/>
      <c r="O1205" s="42" t="inlineStr">
        <is>
          <t>現行公式資料でこの窓種のSAFE 30mil規格○/×を本Revisionでは直接取得できていない。推測しない。</t>
        </is>
      </c>
    </row>
    <row r="1206">
      <c r="A1206" s="42" t="inlineStr">
        <is>
          <t>SZ-SL-001205</t>
        </is>
      </c>
      <c r="B1206" s="42" t="inlineStr">
        <is>
          <t>WT-SL-FIX-IN</t>
        </is>
      </c>
      <c r="C1206" s="42" t="inlineStr">
        <is>
          <t>FIX窓（内押縁タイプ）</t>
        </is>
      </c>
      <c r="D1206" s="42" t="str"/>
      <c r="E1206" s="42" t="inlineStr">
        <is>
          <t>11907</t>
        </is>
      </c>
      <c r="F1206" s="42" t="inlineStr">
        <is>
          <t>1235</t>
        </is>
      </c>
      <c r="G1206" s="42" t="inlineStr">
        <is>
          <t>770</t>
        </is>
      </c>
      <c r="H1206" s="42" t="inlineStr">
        <is>
          <t>True</t>
        </is>
      </c>
      <c r="I1206" s="42" t="inlineStr">
        <is>
          <t>NOT_EVALUATED</t>
        </is>
      </c>
      <c r="J1206" s="42" t="inlineStr">
        <is>
          <t>NO_DIRECT_STANDARD_MATRIX_IN_RETRIEVED_SOURCE</t>
        </is>
      </c>
      <c r="K1206" s="42" t="str"/>
      <c r="L1206" s="42" t="str"/>
      <c r="M1206" s="42" t="str"/>
      <c r="N1206" s="42" t="str"/>
      <c r="O1206" s="42" t="inlineStr">
        <is>
          <t>現行公式資料でこの窓種のSAFE 30mil規格○/×を本Revisionでは直接取得できていない。推測しない。</t>
        </is>
      </c>
    </row>
    <row r="1207">
      <c r="A1207" s="42" t="inlineStr">
        <is>
          <t>SZ-SL-001206</t>
        </is>
      </c>
      <c r="B1207" s="42" t="inlineStr">
        <is>
          <t>WT-SL-FIX-IN</t>
        </is>
      </c>
      <c r="C1207" s="42" t="inlineStr">
        <is>
          <t>FIX窓（内押縁タイプ）</t>
        </is>
      </c>
      <c r="D1207" s="42" t="str"/>
      <c r="E1207" s="42" t="inlineStr">
        <is>
          <t>16005</t>
        </is>
      </c>
      <c r="F1207" s="42" t="inlineStr">
        <is>
          <t>1640</t>
        </is>
      </c>
      <c r="G1207" s="42" t="inlineStr">
        <is>
          <t>570</t>
        </is>
      </c>
      <c r="H1207" s="42" t="inlineStr">
        <is>
          <t>True</t>
        </is>
      </c>
      <c r="I1207" s="42" t="inlineStr">
        <is>
          <t>NOT_EVALUATED</t>
        </is>
      </c>
      <c r="J1207" s="42" t="inlineStr">
        <is>
          <t>NO_DIRECT_STANDARD_MATRIX_IN_RETRIEVED_SOURCE</t>
        </is>
      </c>
      <c r="K1207" s="42" t="str"/>
      <c r="L1207" s="42" t="str"/>
      <c r="M1207" s="42" t="str"/>
      <c r="N1207" s="42" t="str"/>
      <c r="O1207" s="42" t="inlineStr">
        <is>
          <t>現行公式資料でこの窓種のSAFE 30mil規格○/×を本Revisionでは直接取得できていない。推測しない。</t>
        </is>
      </c>
    </row>
    <row r="1208">
      <c r="A1208" s="42" t="inlineStr">
        <is>
          <t>SZ-SL-001207</t>
        </is>
      </c>
      <c r="B1208" s="42" t="inlineStr">
        <is>
          <t>WT-SL-FIX-IN</t>
        </is>
      </c>
      <c r="C1208" s="42" t="inlineStr">
        <is>
          <t>FIX窓（内押縁タイプ）</t>
        </is>
      </c>
      <c r="D1208" s="42" t="str"/>
      <c r="E1208" s="42" t="inlineStr">
        <is>
          <t>16505</t>
        </is>
      </c>
      <c r="F1208" s="42" t="inlineStr">
        <is>
          <t>1690</t>
        </is>
      </c>
      <c r="G1208" s="42" t="inlineStr">
        <is>
          <t>570</t>
        </is>
      </c>
      <c r="H1208" s="42" t="inlineStr">
        <is>
          <t>True</t>
        </is>
      </c>
      <c r="I1208" s="42" t="inlineStr">
        <is>
          <t>NOT_EVALUATED</t>
        </is>
      </c>
      <c r="J1208" s="42" t="inlineStr">
        <is>
          <t>NO_DIRECT_STANDARD_MATRIX_IN_RETRIEVED_SOURCE</t>
        </is>
      </c>
      <c r="K1208" s="42" t="str"/>
      <c r="L1208" s="42" t="str"/>
      <c r="M1208" s="42" t="str"/>
      <c r="N1208" s="42" t="str"/>
      <c r="O1208" s="42" t="inlineStr">
        <is>
          <t>現行公式資料でこの窓種のSAFE 30mil規格○/×を本Revisionでは直接取得できていない。推測しない。</t>
        </is>
      </c>
    </row>
    <row r="1209">
      <c r="A1209" s="42" t="inlineStr">
        <is>
          <t>SZ-SL-001208</t>
        </is>
      </c>
      <c r="B1209" s="42" t="inlineStr">
        <is>
          <t>WT-SL-FIX-IN</t>
        </is>
      </c>
      <c r="C1209" s="42" t="inlineStr">
        <is>
          <t>FIX窓（内押縁タイプ）</t>
        </is>
      </c>
      <c r="D1209" s="42" t="str"/>
      <c r="E1209" s="42" t="inlineStr">
        <is>
          <t>16507</t>
        </is>
      </c>
      <c r="F1209" s="42" t="inlineStr">
        <is>
          <t>1690</t>
        </is>
      </c>
      <c r="G1209" s="42" t="inlineStr">
        <is>
          <t>770</t>
        </is>
      </c>
      <c r="H1209" s="42" t="inlineStr">
        <is>
          <t>True</t>
        </is>
      </c>
      <c r="I1209" s="42" t="inlineStr">
        <is>
          <t>NOT_EVALUATED</t>
        </is>
      </c>
      <c r="J1209" s="42" t="inlineStr">
        <is>
          <t>NO_DIRECT_STANDARD_MATRIX_IN_RETRIEVED_SOURCE</t>
        </is>
      </c>
      <c r="K1209" s="42" t="str"/>
      <c r="L1209" s="42" t="str"/>
      <c r="M1209" s="42" t="str"/>
      <c r="N1209" s="42" t="str"/>
      <c r="O1209" s="42" t="inlineStr">
        <is>
          <t>現行公式資料でこの窓種のSAFE 30mil規格○/×を本Revisionでは直接取得できていない。推測しない。</t>
        </is>
      </c>
    </row>
    <row r="1210">
      <c r="A1210" s="42" t="inlineStr">
        <is>
          <t>SZ-SL-001209</t>
        </is>
      </c>
      <c r="B1210" s="42" t="inlineStr">
        <is>
          <t>WT-SL-FIX-IN</t>
        </is>
      </c>
      <c r="C1210" s="42" t="inlineStr">
        <is>
          <t>FIX窓（内押縁タイプ）</t>
        </is>
      </c>
      <c r="D1210" s="42" t="str"/>
      <c r="E1210" s="42" t="inlineStr">
        <is>
          <t>01609</t>
        </is>
      </c>
      <c r="F1210" s="42" t="inlineStr">
        <is>
          <t>200</t>
        </is>
      </c>
      <c r="G1210" s="42" t="inlineStr">
        <is>
          <t>970</t>
        </is>
      </c>
      <c r="H1210" s="42" t="inlineStr">
        <is>
          <t>True</t>
        </is>
      </c>
      <c r="I1210" s="42" t="inlineStr">
        <is>
          <t>NOT_EVALUATED</t>
        </is>
      </c>
      <c r="J1210" s="42" t="inlineStr">
        <is>
          <t>NO_DIRECT_STANDARD_MATRIX_IN_RETRIEVED_SOURCE</t>
        </is>
      </c>
      <c r="K1210" s="42" t="str"/>
      <c r="L1210" s="42" t="str"/>
      <c r="M1210" s="42" t="str"/>
      <c r="N1210" s="42" t="str"/>
      <c r="O1210" s="42" t="inlineStr">
        <is>
          <t>現行公式資料でこの窓種のSAFE 30mil規格○/×を本Revisionでは直接取得できていない。推測しない。</t>
        </is>
      </c>
    </row>
    <row r="1211">
      <c r="A1211" s="42" t="inlineStr">
        <is>
          <t>SZ-SL-001210</t>
        </is>
      </c>
      <c r="B1211" s="42" t="inlineStr">
        <is>
          <t>WT-SL-FIX-IN</t>
        </is>
      </c>
      <c r="C1211" s="42" t="inlineStr">
        <is>
          <t>FIX窓（内押縁タイプ）</t>
        </is>
      </c>
      <c r="D1211" s="42" t="str"/>
      <c r="E1211" s="42" t="inlineStr">
        <is>
          <t>01611</t>
        </is>
      </c>
      <c r="F1211" s="42" t="inlineStr">
        <is>
          <t>200</t>
        </is>
      </c>
      <c r="G1211" s="42" t="inlineStr">
        <is>
          <t>1170</t>
        </is>
      </c>
      <c r="H1211" s="42" t="inlineStr">
        <is>
          <t>True</t>
        </is>
      </c>
      <c r="I1211" s="42" t="inlineStr">
        <is>
          <t>NOT_EVALUATED</t>
        </is>
      </c>
      <c r="J1211" s="42" t="inlineStr">
        <is>
          <t>NO_DIRECT_STANDARD_MATRIX_IN_RETRIEVED_SOURCE</t>
        </is>
      </c>
      <c r="K1211" s="42" t="str"/>
      <c r="L1211" s="42" t="str"/>
      <c r="M1211" s="42" t="str"/>
      <c r="N1211" s="42" t="str"/>
      <c r="O1211" s="42" t="inlineStr">
        <is>
          <t>現行公式資料でこの窓種のSAFE 30mil規格○/×を本Revisionでは直接取得できていない。推測しない。</t>
        </is>
      </c>
    </row>
    <row r="1212">
      <c r="A1212" s="42" t="inlineStr">
        <is>
          <t>SZ-SL-001211</t>
        </is>
      </c>
      <c r="B1212" s="42" t="inlineStr">
        <is>
          <t>WT-SL-FIX-IN</t>
        </is>
      </c>
      <c r="C1212" s="42" t="inlineStr">
        <is>
          <t>FIX窓（内押縁タイプ）</t>
        </is>
      </c>
      <c r="D1212" s="42" t="str"/>
      <c r="E1212" s="42" t="inlineStr">
        <is>
          <t>01613</t>
        </is>
      </c>
      <c r="F1212" s="42" t="inlineStr">
        <is>
          <t>200</t>
        </is>
      </c>
      <c r="G1212" s="42" t="inlineStr">
        <is>
          <t>1370</t>
        </is>
      </c>
      <c r="H1212" s="42" t="inlineStr">
        <is>
          <t>True</t>
        </is>
      </c>
      <c r="I1212" s="42" t="inlineStr">
        <is>
          <t>NOT_EVALUATED</t>
        </is>
      </c>
      <c r="J1212" s="42" t="inlineStr">
        <is>
          <t>NO_DIRECT_STANDARD_MATRIX_IN_RETRIEVED_SOURCE</t>
        </is>
      </c>
      <c r="K1212" s="42" t="str"/>
      <c r="L1212" s="42" t="str"/>
      <c r="M1212" s="42" t="str"/>
      <c r="N1212" s="42" t="str"/>
      <c r="O1212" s="42" t="inlineStr">
        <is>
          <t>現行公式資料でこの窓種のSAFE 30mil規格○/×を本Revisionでは直接取得できていない。推測しない。</t>
        </is>
      </c>
    </row>
    <row r="1213">
      <c r="A1213" s="42" t="inlineStr">
        <is>
          <t>SZ-SL-001212</t>
        </is>
      </c>
      <c r="B1213" s="42" t="inlineStr">
        <is>
          <t>WT-SL-FIX-IN</t>
        </is>
      </c>
      <c r="C1213" s="42" t="inlineStr">
        <is>
          <t>FIX窓（内押縁タイプ）</t>
        </is>
      </c>
      <c r="D1213" s="42" t="str"/>
      <c r="E1213" s="42" t="inlineStr">
        <is>
          <t>01615</t>
        </is>
      </c>
      <c r="F1213" s="42" t="inlineStr">
        <is>
          <t>200</t>
        </is>
      </c>
      <c r="G1213" s="42" t="inlineStr">
        <is>
          <t>1570</t>
        </is>
      </c>
      <c r="H1213" s="42" t="inlineStr">
        <is>
          <t>True</t>
        </is>
      </c>
      <c r="I1213" s="42" t="inlineStr">
        <is>
          <t>NOT_EVALUATED</t>
        </is>
      </c>
      <c r="J1213" s="42" t="inlineStr">
        <is>
          <t>NO_DIRECT_STANDARD_MATRIX_IN_RETRIEVED_SOURCE</t>
        </is>
      </c>
      <c r="K1213" s="42" t="str"/>
      <c r="L1213" s="42" t="str"/>
      <c r="M1213" s="42" t="str"/>
      <c r="N1213" s="42" t="str"/>
      <c r="O1213" s="42" t="inlineStr">
        <is>
          <t>現行公式資料でこの窓種のSAFE 30mil規格○/×を本Revisionでは直接取得できていない。推測しない。</t>
        </is>
      </c>
    </row>
    <row r="1214">
      <c r="A1214" s="42" t="inlineStr">
        <is>
          <t>SZ-SL-001213</t>
        </is>
      </c>
      <c r="B1214" s="42" t="inlineStr">
        <is>
          <t>WT-SL-FIX-IN</t>
        </is>
      </c>
      <c r="C1214" s="42" t="inlineStr">
        <is>
          <t>FIX窓（内押縁タイプ）</t>
        </is>
      </c>
      <c r="D1214" s="42" t="str"/>
      <c r="E1214" s="42" t="inlineStr">
        <is>
          <t>02109</t>
        </is>
      </c>
      <c r="F1214" s="42" t="inlineStr">
        <is>
          <t>250</t>
        </is>
      </c>
      <c r="G1214" s="42" t="inlineStr">
        <is>
          <t>970</t>
        </is>
      </c>
      <c r="H1214" s="42" t="inlineStr">
        <is>
          <t>True</t>
        </is>
      </c>
      <c r="I1214" s="42" t="inlineStr">
        <is>
          <t>NOT_EVALUATED</t>
        </is>
      </c>
      <c r="J1214" s="42" t="inlineStr">
        <is>
          <t>NO_DIRECT_STANDARD_MATRIX_IN_RETRIEVED_SOURCE</t>
        </is>
      </c>
      <c r="K1214" s="42" t="str"/>
      <c r="L1214" s="42" t="str"/>
      <c r="M1214" s="42" t="str"/>
      <c r="N1214" s="42" t="str"/>
      <c r="O1214" s="42" t="inlineStr">
        <is>
          <t>現行公式資料でこの窓種のSAFE 30mil規格○/×を本Revisionでは直接取得できていない。推測しない。</t>
        </is>
      </c>
    </row>
    <row r="1215">
      <c r="A1215" s="42" t="inlineStr">
        <is>
          <t>SZ-SL-001214</t>
        </is>
      </c>
      <c r="B1215" s="42" t="inlineStr">
        <is>
          <t>WT-SL-FIX-IN</t>
        </is>
      </c>
      <c r="C1215" s="42" t="inlineStr">
        <is>
          <t>FIX窓（内押縁タイプ）</t>
        </is>
      </c>
      <c r="D1215" s="42" t="str"/>
      <c r="E1215" s="42" t="inlineStr">
        <is>
          <t>02111</t>
        </is>
      </c>
      <c r="F1215" s="42" t="inlineStr">
        <is>
          <t>250</t>
        </is>
      </c>
      <c r="G1215" s="42" t="inlineStr">
        <is>
          <t>1170</t>
        </is>
      </c>
      <c r="H1215" s="42" t="inlineStr">
        <is>
          <t>True</t>
        </is>
      </c>
      <c r="I1215" s="42" t="inlineStr">
        <is>
          <t>NOT_EVALUATED</t>
        </is>
      </c>
      <c r="J1215" s="42" t="inlineStr">
        <is>
          <t>NO_DIRECT_STANDARD_MATRIX_IN_RETRIEVED_SOURCE</t>
        </is>
      </c>
      <c r="K1215" s="42" t="str"/>
      <c r="L1215" s="42" t="str"/>
      <c r="M1215" s="42" t="str"/>
      <c r="N1215" s="42" t="str"/>
      <c r="O1215" s="42" t="inlineStr">
        <is>
          <t>現行公式資料でこの窓種のSAFE 30mil規格○/×を本Revisionでは直接取得できていない。推測しない。</t>
        </is>
      </c>
    </row>
    <row r="1216">
      <c r="A1216" s="42" t="inlineStr">
        <is>
          <t>SZ-SL-001215</t>
        </is>
      </c>
      <c r="B1216" s="42" t="inlineStr">
        <is>
          <t>WT-SL-FIX-IN</t>
        </is>
      </c>
      <c r="C1216" s="42" t="inlineStr">
        <is>
          <t>FIX窓（内押縁タイプ）</t>
        </is>
      </c>
      <c r="D1216" s="42" t="str"/>
      <c r="E1216" s="42" t="inlineStr">
        <is>
          <t>02113</t>
        </is>
      </c>
      <c r="F1216" s="42" t="inlineStr">
        <is>
          <t>250</t>
        </is>
      </c>
      <c r="G1216" s="42" t="inlineStr">
        <is>
          <t>1370</t>
        </is>
      </c>
      <c r="H1216" s="42" t="inlineStr">
        <is>
          <t>True</t>
        </is>
      </c>
      <c r="I1216" s="42" t="inlineStr">
        <is>
          <t>NOT_EVALUATED</t>
        </is>
      </c>
      <c r="J1216" s="42" t="inlineStr">
        <is>
          <t>NO_DIRECT_STANDARD_MATRIX_IN_RETRIEVED_SOURCE</t>
        </is>
      </c>
      <c r="K1216" s="42" t="str"/>
      <c r="L1216" s="42" t="str"/>
      <c r="M1216" s="42" t="str"/>
      <c r="N1216" s="42" t="str"/>
      <c r="O1216" s="42" t="inlineStr">
        <is>
          <t>現行公式資料でこの窓種のSAFE 30mil規格○/×を本Revisionでは直接取得できていない。推測しない。</t>
        </is>
      </c>
    </row>
    <row r="1217">
      <c r="A1217" s="42" t="inlineStr">
        <is>
          <t>SZ-SL-001216</t>
        </is>
      </c>
      <c r="B1217" s="42" t="inlineStr">
        <is>
          <t>WT-SL-FIX-IN</t>
        </is>
      </c>
      <c r="C1217" s="42" t="inlineStr">
        <is>
          <t>FIX窓（内押縁タイプ）</t>
        </is>
      </c>
      <c r="D1217" s="42" t="str"/>
      <c r="E1217" s="42" t="inlineStr">
        <is>
          <t>02115</t>
        </is>
      </c>
      <c r="F1217" s="42" t="inlineStr">
        <is>
          <t>250</t>
        </is>
      </c>
      <c r="G1217" s="42" t="inlineStr">
        <is>
          <t>1570</t>
        </is>
      </c>
      <c r="H1217" s="42" t="inlineStr">
        <is>
          <t>True</t>
        </is>
      </c>
      <c r="I1217" s="42" t="inlineStr">
        <is>
          <t>NOT_EVALUATED</t>
        </is>
      </c>
      <c r="J1217" s="42" t="inlineStr">
        <is>
          <t>NO_DIRECT_STANDARD_MATRIX_IN_RETRIEVED_SOURCE</t>
        </is>
      </c>
      <c r="K1217" s="42" t="str"/>
      <c r="L1217" s="42" t="str"/>
      <c r="M1217" s="42" t="str"/>
      <c r="N1217" s="42" t="str"/>
      <c r="O1217" s="42" t="inlineStr">
        <is>
          <t>現行公式資料でこの窓種のSAFE 30mil規格○/×を本Revisionでは直接取得できていない。推測しない。</t>
        </is>
      </c>
    </row>
    <row r="1218">
      <c r="A1218" s="42" t="inlineStr">
        <is>
          <t>SZ-SL-001217</t>
        </is>
      </c>
      <c r="B1218" s="42" t="inlineStr">
        <is>
          <t>WT-SL-FIX-IN</t>
        </is>
      </c>
      <c r="C1218" s="42" t="inlineStr">
        <is>
          <t>FIX窓（内押縁タイプ）</t>
        </is>
      </c>
      <c r="D1218" s="42" t="str"/>
      <c r="E1218" s="42" t="inlineStr">
        <is>
          <t>02309</t>
        </is>
      </c>
      <c r="F1218" s="42" t="inlineStr">
        <is>
          <t>275</t>
        </is>
      </c>
      <c r="G1218" s="42" t="inlineStr">
        <is>
          <t>970</t>
        </is>
      </c>
      <c r="H1218" s="42" t="inlineStr">
        <is>
          <t>True</t>
        </is>
      </c>
      <c r="I1218" s="42" t="inlineStr">
        <is>
          <t>NOT_EVALUATED</t>
        </is>
      </c>
      <c r="J1218" s="42" t="inlineStr">
        <is>
          <t>NO_DIRECT_STANDARD_MATRIX_IN_RETRIEVED_SOURCE</t>
        </is>
      </c>
      <c r="K1218" s="42" t="str"/>
      <c r="L1218" s="42" t="str"/>
      <c r="M1218" s="42" t="str"/>
      <c r="N1218" s="42" t="str"/>
      <c r="O1218" s="42" t="inlineStr">
        <is>
          <t>現行公式資料でこの窓種のSAFE 30mil規格○/×を本Revisionでは直接取得できていない。推測しない。</t>
        </is>
      </c>
    </row>
    <row r="1219">
      <c r="A1219" s="42" t="inlineStr">
        <is>
          <t>SZ-SL-001218</t>
        </is>
      </c>
      <c r="B1219" s="42" t="inlineStr">
        <is>
          <t>WT-SL-FIX-IN</t>
        </is>
      </c>
      <c r="C1219" s="42" t="inlineStr">
        <is>
          <t>FIX窓（内押縁タイプ）</t>
        </is>
      </c>
      <c r="D1219" s="42" t="str"/>
      <c r="E1219" s="42" t="inlineStr">
        <is>
          <t>02311</t>
        </is>
      </c>
      <c r="F1219" s="42" t="inlineStr">
        <is>
          <t>275</t>
        </is>
      </c>
      <c r="G1219" s="42" t="inlineStr">
        <is>
          <t>1170</t>
        </is>
      </c>
      <c r="H1219" s="42" t="inlineStr">
        <is>
          <t>True</t>
        </is>
      </c>
      <c r="I1219" s="42" t="inlineStr">
        <is>
          <t>NOT_EVALUATED</t>
        </is>
      </c>
      <c r="J1219" s="42" t="inlineStr">
        <is>
          <t>NO_DIRECT_STANDARD_MATRIX_IN_RETRIEVED_SOURCE</t>
        </is>
      </c>
      <c r="K1219" s="42" t="str"/>
      <c r="L1219" s="42" t="str"/>
      <c r="M1219" s="42" t="str"/>
      <c r="N1219" s="42" t="str"/>
      <c r="O1219" s="42" t="inlineStr">
        <is>
          <t>現行公式資料でこの窓種のSAFE 30mil規格○/×を本Revisionでは直接取得できていない。推測しない。</t>
        </is>
      </c>
    </row>
    <row r="1220">
      <c r="A1220" s="42" t="inlineStr">
        <is>
          <t>SZ-SL-001219</t>
        </is>
      </c>
      <c r="B1220" s="42" t="inlineStr">
        <is>
          <t>WT-SL-FIX-IN</t>
        </is>
      </c>
      <c r="C1220" s="42" t="inlineStr">
        <is>
          <t>FIX窓（内押縁タイプ）</t>
        </is>
      </c>
      <c r="D1220" s="42" t="str"/>
      <c r="E1220" s="42" t="inlineStr">
        <is>
          <t>02313</t>
        </is>
      </c>
      <c r="F1220" s="42" t="inlineStr">
        <is>
          <t>275</t>
        </is>
      </c>
      <c r="G1220" s="42" t="inlineStr">
        <is>
          <t>1370</t>
        </is>
      </c>
      <c r="H1220" s="42" t="inlineStr">
        <is>
          <t>True</t>
        </is>
      </c>
      <c r="I1220" s="42" t="inlineStr">
        <is>
          <t>NOT_EVALUATED</t>
        </is>
      </c>
      <c r="J1220" s="42" t="inlineStr">
        <is>
          <t>NO_DIRECT_STANDARD_MATRIX_IN_RETRIEVED_SOURCE</t>
        </is>
      </c>
      <c r="K1220" s="42" t="str"/>
      <c r="L1220" s="42" t="str"/>
      <c r="M1220" s="42" t="str"/>
      <c r="N1220" s="42" t="str"/>
      <c r="O1220" s="42" t="inlineStr">
        <is>
          <t>現行公式資料でこの窓種のSAFE 30mil規格○/×を本Revisionでは直接取得できていない。推測しない。</t>
        </is>
      </c>
    </row>
    <row r="1221">
      <c r="A1221" s="42" t="inlineStr">
        <is>
          <t>SZ-SL-001220</t>
        </is>
      </c>
      <c r="B1221" s="42" t="inlineStr">
        <is>
          <t>WT-SL-FIX-IN</t>
        </is>
      </c>
      <c r="C1221" s="42" t="inlineStr">
        <is>
          <t>FIX窓（内押縁タイプ）</t>
        </is>
      </c>
      <c r="D1221" s="42" t="str"/>
      <c r="E1221" s="42" t="inlineStr">
        <is>
          <t>02609</t>
        </is>
      </c>
      <c r="F1221" s="42" t="inlineStr">
        <is>
          <t>300</t>
        </is>
      </c>
      <c r="G1221" s="42" t="inlineStr">
        <is>
          <t>970</t>
        </is>
      </c>
      <c r="H1221" s="42" t="inlineStr">
        <is>
          <t>True</t>
        </is>
      </c>
      <c r="I1221" s="42" t="inlineStr">
        <is>
          <t>NOT_EVALUATED</t>
        </is>
      </c>
      <c r="J1221" s="42" t="inlineStr">
        <is>
          <t>NO_DIRECT_STANDARD_MATRIX_IN_RETRIEVED_SOURCE</t>
        </is>
      </c>
      <c r="K1221" s="42" t="str"/>
      <c r="L1221" s="42" t="str"/>
      <c r="M1221" s="42" t="str"/>
      <c r="N1221" s="42" t="str"/>
      <c r="O1221" s="42" t="inlineStr">
        <is>
          <t>現行公式資料でこの窓種のSAFE 30mil規格○/×を本Revisionでは直接取得できていない。推測しない。</t>
        </is>
      </c>
    </row>
    <row r="1222">
      <c r="A1222" s="42" t="inlineStr">
        <is>
          <t>SZ-SL-001221</t>
        </is>
      </c>
      <c r="B1222" s="42" t="inlineStr">
        <is>
          <t>WT-SL-FIX-IN</t>
        </is>
      </c>
      <c r="C1222" s="42" t="inlineStr">
        <is>
          <t>FIX窓（内押縁タイプ）</t>
        </is>
      </c>
      <c r="D1222" s="42" t="str"/>
      <c r="E1222" s="42" t="inlineStr">
        <is>
          <t>02611</t>
        </is>
      </c>
      <c r="F1222" s="42" t="inlineStr">
        <is>
          <t>300</t>
        </is>
      </c>
      <c r="G1222" s="42" t="inlineStr">
        <is>
          <t>1170</t>
        </is>
      </c>
      <c r="H1222" s="42" t="inlineStr">
        <is>
          <t>True</t>
        </is>
      </c>
      <c r="I1222" s="42" t="inlineStr">
        <is>
          <t>NOT_EVALUATED</t>
        </is>
      </c>
      <c r="J1222" s="42" t="inlineStr">
        <is>
          <t>NO_DIRECT_STANDARD_MATRIX_IN_RETRIEVED_SOURCE</t>
        </is>
      </c>
      <c r="K1222" s="42" t="str"/>
      <c r="L1222" s="42" t="str"/>
      <c r="M1222" s="42" t="str"/>
      <c r="N1222" s="42" t="str"/>
      <c r="O1222" s="42" t="inlineStr">
        <is>
          <t>現行公式資料でこの窓種のSAFE 30mil規格○/×を本Revisionでは直接取得できていない。推測しない。</t>
        </is>
      </c>
    </row>
    <row r="1223">
      <c r="A1223" s="42" t="inlineStr">
        <is>
          <t>SZ-SL-001222</t>
        </is>
      </c>
      <c r="B1223" s="42" t="inlineStr">
        <is>
          <t>WT-SL-FIX-IN</t>
        </is>
      </c>
      <c r="C1223" s="42" t="inlineStr">
        <is>
          <t>FIX窓（内押縁タイプ）</t>
        </is>
      </c>
      <c r="D1223" s="42" t="str"/>
      <c r="E1223" s="42" t="inlineStr">
        <is>
          <t>02613</t>
        </is>
      </c>
      <c r="F1223" s="42" t="inlineStr">
        <is>
          <t>300</t>
        </is>
      </c>
      <c r="G1223" s="42" t="inlineStr">
        <is>
          <t>1370</t>
        </is>
      </c>
      <c r="H1223" s="42" t="inlineStr">
        <is>
          <t>True</t>
        </is>
      </c>
      <c r="I1223" s="42" t="inlineStr">
        <is>
          <t>NOT_EVALUATED</t>
        </is>
      </c>
      <c r="J1223" s="42" t="inlineStr">
        <is>
          <t>NO_DIRECT_STANDARD_MATRIX_IN_RETRIEVED_SOURCE</t>
        </is>
      </c>
      <c r="K1223" s="42" t="str"/>
      <c r="L1223" s="42" t="str"/>
      <c r="M1223" s="42" t="str"/>
      <c r="N1223" s="42" t="str"/>
      <c r="O1223" s="42" t="inlineStr">
        <is>
          <t>現行公式資料でこの窓種のSAFE 30mil規格○/×を本Revisionでは直接取得できていない。推測しない。</t>
        </is>
      </c>
    </row>
    <row r="1224">
      <c r="A1224" s="42" t="inlineStr">
        <is>
          <t>SZ-SL-001223</t>
        </is>
      </c>
      <c r="B1224" s="42" t="inlineStr">
        <is>
          <t>WT-SL-FIX-IN</t>
        </is>
      </c>
      <c r="C1224" s="42" t="inlineStr">
        <is>
          <t>FIX窓（内押縁タイプ）</t>
        </is>
      </c>
      <c r="D1224" s="42" t="str"/>
      <c r="E1224" s="42" t="inlineStr">
        <is>
          <t>02615</t>
        </is>
      </c>
      <c r="F1224" s="42" t="inlineStr">
        <is>
          <t>300</t>
        </is>
      </c>
      <c r="G1224" s="42" t="inlineStr">
        <is>
          <t>1570</t>
        </is>
      </c>
      <c r="H1224" s="42" t="inlineStr">
        <is>
          <t>True</t>
        </is>
      </c>
      <c r="I1224" s="42" t="inlineStr">
        <is>
          <t>NOT_EVALUATED</t>
        </is>
      </c>
      <c r="J1224" s="42" t="inlineStr">
        <is>
          <t>NO_DIRECT_STANDARD_MATRIX_IN_RETRIEVED_SOURCE</t>
        </is>
      </c>
      <c r="K1224" s="42" t="str"/>
      <c r="L1224" s="42" t="str"/>
      <c r="M1224" s="42" t="str"/>
      <c r="N1224" s="42" t="str"/>
      <c r="O1224" s="42" t="inlineStr">
        <is>
          <t>現行公式資料でこの窓種のSAFE 30mil規格○/×を本Revisionでは直接取得できていない。推測しない。</t>
        </is>
      </c>
    </row>
    <row r="1225">
      <c r="A1225" s="42" t="inlineStr">
        <is>
          <t>SZ-SL-001224</t>
        </is>
      </c>
      <c r="B1225" s="42" t="inlineStr">
        <is>
          <t>WT-SL-FIX-IN</t>
        </is>
      </c>
      <c r="C1225" s="42" t="inlineStr">
        <is>
          <t>FIX窓（内押縁タイプ）</t>
        </is>
      </c>
      <c r="D1225" s="42" t="str"/>
      <c r="E1225" s="42" t="inlineStr">
        <is>
          <t>03109</t>
        </is>
      </c>
      <c r="F1225" s="42" t="inlineStr">
        <is>
          <t>350</t>
        </is>
      </c>
      <c r="G1225" s="42" t="inlineStr">
        <is>
          <t>970</t>
        </is>
      </c>
      <c r="H1225" s="42" t="inlineStr">
        <is>
          <t>True</t>
        </is>
      </c>
      <c r="I1225" s="42" t="inlineStr">
        <is>
          <t>NOT_EVALUATED</t>
        </is>
      </c>
      <c r="J1225" s="42" t="inlineStr">
        <is>
          <t>NO_DIRECT_STANDARD_MATRIX_IN_RETRIEVED_SOURCE</t>
        </is>
      </c>
      <c r="K1225" s="42" t="str"/>
      <c r="L1225" s="42" t="str"/>
      <c r="M1225" s="42" t="str"/>
      <c r="N1225" s="42" t="str"/>
      <c r="O1225" s="42" t="inlineStr">
        <is>
          <t>現行公式資料でこの窓種のSAFE 30mil規格○/×を本Revisionでは直接取得できていない。推測しない。</t>
        </is>
      </c>
    </row>
    <row r="1226">
      <c r="A1226" s="42" t="inlineStr">
        <is>
          <t>SZ-SL-001225</t>
        </is>
      </c>
      <c r="B1226" s="42" t="inlineStr">
        <is>
          <t>WT-SL-FIX-IN</t>
        </is>
      </c>
      <c r="C1226" s="42" t="inlineStr">
        <is>
          <t>FIX窓（内押縁タイプ）</t>
        </is>
      </c>
      <c r="D1226" s="42" t="str"/>
      <c r="E1226" s="42" t="inlineStr">
        <is>
          <t>03111</t>
        </is>
      </c>
      <c r="F1226" s="42" t="inlineStr">
        <is>
          <t>350</t>
        </is>
      </c>
      <c r="G1226" s="42" t="inlineStr">
        <is>
          <t>1170</t>
        </is>
      </c>
      <c r="H1226" s="42" t="inlineStr">
        <is>
          <t>True</t>
        </is>
      </c>
      <c r="I1226" s="42" t="inlineStr">
        <is>
          <t>NOT_EVALUATED</t>
        </is>
      </c>
      <c r="J1226" s="42" t="inlineStr">
        <is>
          <t>NO_DIRECT_STANDARD_MATRIX_IN_RETRIEVED_SOURCE</t>
        </is>
      </c>
      <c r="K1226" s="42" t="str"/>
      <c r="L1226" s="42" t="str"/>
      <c r="M1226" s="42" t="str"/>
      <c r="N1226" s="42" t="str"/>
      <c r="O1226" s="42" t="inlineStr">
        <is>
          <t>現行公式資料でこの窓種のSAFE 30mil規格○/×を本Revisionでは直接取得できていない。推測しない。</t>
        </is>
      </c>
    </row>
    <row r="1227">
      <c r="A1227" s="42" t="inlineStr">
        <is>
          <t>SZ-SL-001226</t>
        </is>
      </c>
      <c r="B1227" s="42" t="inlineStr">
        <is>
          <t>WT-SL-FIX-IN</t>
        </is>
      </c>
      <c r="C1227" s="42" t="inlineStr">
        <is>
          <t>FIX窓（内押縁タイプ）</t>
        </is>
      </c>
      <c r="D1227" s="42" t="str"/>
      <c r="E1227" s="42" t="inlineStr">
        <is>
          <t>03113</t>
        </is>
      </c>
      <c r="F1227" s="42" t="inlineStr">
        <is>
          <t>350</t>
        </is>
      </c>
      <c r="G1227" s="42" t="inlineStr">
        <is>
          <t>1370</t>
        </is>
      </c>
      <c r="H1227" s="42" t="inlineStr">
        <is>
          <t>True</t>
        </is>
      </c>
      <c r="I1227" s="42" t="inlineStr">
        <is>
          <t>NOT_EVALUATED</t>
        </is>
      </c>
      <c r="J1227" s="42" t="inlineStr">
        <is>
          <t>NO_DIRECT_STANDARD_MATRIX_IN_RETRIEVED_SOURCE</t>
        </is>
      </c>
      <c r="K1227" s="42" t="str"/>
      <c r="L1227" s="42" t="str"/>
      <c r="M1227" s="42" t="str"/>
      <c r="N1227" s="42" t="str"/>
      <c r="O1227" s="42" t="inlineStr">
        <is>
          <t>現行公式資料でこの窓種のSAFE 30mil規格○/×を本Revisionでは直接取得できていない。推測しない。</t>
        </is>
      </c>
    </row>
    <row r="1228">
      <c r="A1228" s="42" t="inlineStr">
        <is>
          <t>SZ-SL-001227</t>
        </is>
      </c>
      <c r="B1228" s="42" t="inlineStr">
        <is>
          <t>WT-SL-FIX-IN</t>
        </is>
      </c>
      <c r="C1228" s="42" t="inlineStr">
        <is>
          <t>FIX窓（内押縁タイプ）</t>
        </is>
      </c>
      <c r="D1228" s="42" t="str"/>
      <c r="E1228" s="42" t="inlineStr">
        <is>
          <t>03115</t>
        </is>
      </c>
      <c r="F1228" s="42" t="inlineStr">
        <is>
          <t>350</t>
        </is>
      </c>
      <c r="G1228" s="42" t="inlineStr">
        <is>
          <t>1570</t>
        </is>
      </c>
      <c r="H1228" s="42" t="inlineStr">
        <is>
          <t>True</t>
        </is>
      </c>
      <c r="I1228" s="42" t="inlineStr">
        <is>
          <t>NOT_EVALUATED</t>
        </is>
      </c>
      <c r="J1228" s="42" t="inlineStr">
        <is>
          <t>NO_DIRECT_STANDARD_MATRIX_IN_RETRIEVED_SOURCE</t>
        </is>
      </c>
      <c r="K1228" s="42" t="str"/>
      <c r="L1228" s="42" t="str"/>
      <c r="M1228" s="42" t="str"/>
      <c r="N1228" s="42" t="str"/>
      <c r="O1228" s="42" t="inlineStr">
        <is>
          <t>現行公式資料でこの窓種のSAFE 30mil規格○/×を本Revisionでは直接取得できていない。推測しない。</t>
        </is>
      </c>
    </row>
    <row r="1229">
      <c r="A1229" s="42" t="inlineStr">
        <is>
          <t>SZ-SL-001228</t>
        </is>
      </c>
      <c r="B1229" s="42" t="inlineStr">
        <is>
          <t>WT-SL-FIX-IN</t>
        </is>
      </c>
      <c r="C1229" s="42" t="inlineStr">
        <is>
          <t>FIX窓（内押縁タイプ）</t>
        </is>
      </c>
      <c r="D1229" s="42" t="str"/>
      <c r="E1229" s="42" t="inlineStr">
        <is>
          <t>03609</t>
        </is>
      </c>
      <c r="F1229" s="42" t="inlineStr">
        <is>
          <t>405</t>
        </is>
      </c>
      <c r="G1229" s="42" t="inlineStr">
        <is>
          <t>970</t>
        </is>
      </c>
      <c r="H1229" s="42" t="inlineStr">
        <is>
          <t>True</t>
        </is>
      </c>
      <c r="I1229" s="42" t="inlineStr">
        <is>
          <t>NOT_EVALUATED</t>
        </is>
      </c>
      <c r="J1229" s="42" t="inlineStr">
        <is>
          <t>NO_DIRECT_STANDARD_MATRIX_IN_RETRIEVED_SOURCE</t>
        </is>
      </c>
      <c r="K1229" s="42" t="str"/>
      <c r="L1229" s="42" t="str"/>
      <c r="M1229" s="42" t="str"/>
      <c r="N1229" s="42" t="str"/>
      <c r="O1229" s="42" t="inlineStr">
        <is>
          <t>現行公式資料でこの窓種のSAFE 30mil規格○/×を本Revisionでは直接取得できていない。推測しない。</t>
        </is>
      </c>
    </row>
    <row r="1230">
      <c r="A1230" s="42" t="inlineStr">
        <is>
          <t>SZ-SL-001229</t>
        </is>
      </c>
      <c r="B1230" s="42" t="inlineStr">
        <is>
          <t>WT-SL-FIX-IN</t>
        </is>
      </c>
      <c r="C1230" s="42" t="inlineStr">
        <is>
          <t>FIX窓（内押縁タイプ）</t>
        </is>
      </c>
      <c r="D1230" s="42" t="str"/>
      <c r="E1230" s="42" t="inlineStr">
        <is>
          <t>03611</t>
        </is>
      </c>
      <c r="F1230" s="42" t="inlineStr">
        <is>
          <t>405</t>
        </is>
      </c>
      <c r="G1230" s="42" t="inlineStr">
        <is>
          <t>1170</t>
        </is>
      </c>
      <c r="H1230" s="42" t="inlineStr">
        <is>
          <t>True</t>
        </is>
      </c>
      <c r="I1230" s="42" t="inlineStr">
        <is>
          <t>NOT_EVALUATED</t>
        </is>
      </c>
      <c r="J1230" s="42" t="inlineStr">
        <is>
          <t>NO_DIRECT_STANDARD_MATRIX_IN_RETRIEVED_SOURCE</t>
        </is>
      </c>
      <c r="K1230" s="42" t="str"/>
      <c r="L1230" s="42" t="str"/>
      <c r="M1230" s="42" t="str"/>
      <c r="N1230" s="42" t="str"/>
      <c r="O1230" s="42" t="inlineStr">
        <is>
          <t>現行公式資料でこの窓種のSAFE 30mil規格○/×を本Revisionでは直接取得できていない。推測しない。</t>
        </is>
      </c>
    </row>
    <row r="1231">
      <c r="A1231" s="42" t="inlineStr">
        <is>
          <t>SZ-SL-001230</t>
        </is>
      </c>
      <c r="B1231" s="42" t="inlineStr">
        <is>
          <t>WT-SL-FIX-IN</t>
        </is>
      </c>
      <c r="C1231" s="42" t="inlineStr">
        <is>
          <t>FIX窓（内押縁タイプ）</t>
        </is>
      </c>
      <c r="D1231" s="42" t="str"/>
      <c r="E1231" s="42" t="inlineStr">
        <is>
          <t>03613</t>
        </is>
      </c>
      <c r="F1231" s="42" t="inlineStr">
        <is>
          <t>405</t>
        </is>
      </c>
      <c r="G1231" s="42" t="inlineStr">
        <is>
          <t>1370</t>
        </is>
      </c>
      <c r="H1231" s="42" t="inlineStr">
        <is>
          <t>True</t>
        </is>
      </c>
      <c r="I1231" s="42" t="inlineStr">
        <is>
          <t>NOT_EVALUATED</t>
        </is>
      </c>
      <c r="J1231" s="42" t="inlineStr">
        <is>
          <t>NO_DIRECT_STANDARD_MATRIX_IN_RETRIEVED_SOURCE</t>
        </is>
      </c>
      <c r="K1231" s="42" t="str"/>
      <c r="L1231" s="42" t="str"/>
      <c r="M1231" s="42" t="str"/>
      <c r="N1231" s="42" t="str"/>
      <c r="O1231" s="42" t="inlineStr">
        <is>
          <t>現行公式資料でこの窓種のSAFE 30mil規格○/×を本Revisionでは直接取得できていない。推測しない。</t>
        </is>
      </c>
    </row>
    <row r="1232">
      <c r="A1232" s="42" t="inlineStr">
        <is>
          <t>SZ-SL-001231</t>
        </is>
      </c>
      <c r="B1232" s="42" t="inlineStr">
        <is>
          <t>WT-SL-FIX-IN</t>
        </is>
      </c>
      <c r="C1232" s="42" t="inlineStr">
        <is>
          <t>FIX窓（内押縁タイプ）</t>
        </is>
      </c>
      <c r="D1232" s="42" t="str"/>
      <c r="E1232" s="42" t="inlineStr">
        <is>
          <t>03615</t>
        </is>
      </c>
      <c r="F1232" s="42" t="inlineStr">
        <is>
          <t>405</t>
        </is>
      </c>
      <c r="G1232" s="42" t="inlineStr">
        <is>
          <t>1570</t>
        </is>
      </c>
      <c r="H1232" s="42" t="inlineStr">
        <is>
          <t>True</t>
        </is>
      </c>
      <c r="I1232" s="42" t="inlineStr">
        <is>
          <t>NOT_EVALUATED</t>
        </is>
      </c>
      <c r="J1232" s="42" t="inlineStr">
        <is>
          <t>NO_DIRECT_STANDARD_MATRIX_IN_RETRIEVED_SOURCE</t>
        </is>
      </c>
      <c r="K1232" s="42" t="str"/>
      <c r="L1232" s="42" t="str"/>
      <c r="M1232" s="42" t="str"/>
      <c r="N1232" s="42" t="str"/>
      <c r="O1232" s="42" t="inlineStr">
        <is>
          <t>現行公式資料でこの窓種のSAFE 30mil規格○/×を本Revisionでは直接取得できていない。推測しない。</t>
        </is>
      </c>
    </row>
    <row r="1233">
      <c r="A1233" s="42" t="inlineStr">
        <is>
          <t>SZ-SL-001232</t>
        </is>
      </c>
      <c r="B1233" s="42" t="inlineStr">
        <is>
          <t>WT-SL-FIX-IN</t>
        </is>
      </c>
      <c r="C1233" s="42" t="inlineStr">
        <is>
          <t>FIX窓（内押縁タイプ）</t>
        </is>
      </c>
      <c r="D1233" s="42" t="str"/>
      <c r="E1233" s="42" t="inlineStr">
        <is>
          <t>06009</t>
        </is>
      </c>
      <c r="F1233" s="42" t="inlineStr">
        <is>
          <t>640</t>
        </is>
      </c>
      <c r="G1233" s="42" t="inlineStr">
        <is>
          <t>970</t>
        </is>
      </c>
      <c r="H1233" s="42" t="inlineStr">
        <is>
          <t>True</t>
        </is>
      </c>
      <c r="I1233" s="42" t="inlineStr">
        <is>
          <t>NOT_EVALUATED</t>
        </is>
      </c>
      <c r="J1233" s="42" t="inlineStr">
        <is>
          <t>NO_DIRECT_STANDARD_MATRIX_IN_RETRIEVED_SOURCE</t>
        </is>
      </c>
      <c r="K1233" s="42" t="str"/>
      <c r="L1233" s="42" t="str"/>
      <c r="M1233" s="42" t="str"/>
      <c r="N1233" s="42" t="str"/>
      <c r="O1233" s="42" t="inlineStr">
        <is>
          <t>現行公式資料でこの窓種のSAFE 30mil規格○/×を本Revisionでは直接取得できていない。推測しない。</t>
        </is>
      </c>
    </row>
    <row r="1234">
      <c r="A1234" s="42" t="inlineStr">
        <is>
          <t>SZ-SL-001233</t>
        </is>
      </c>
      <c r="B1234" s="42" t="inlineStr">
        <is>
          <t>WT-SL-FIX-IN</t>
        </is>
      </c>
      <c r="C1234" s="42" t="inlineStr">
        <is>
          <t>FIX窓（内押縁タイプ）</t>
        </is>
      </c>
      <c r="D1234" s="42" t="str"/>
      <c r="E1234" s="42" t="inlineStr">
        <is>
          <t>06011</t>
        </is>
      </c>
      <c r="F1234" s="42" t="inlineStr">
        <is>
          <t>640</t>
        </is>
      </c>
      <c r="G1234" s="42" t="inlineStr">
        <is>
          <t>1170</t>
        </is>
      </c>
      <c r="H1234" s="42" t="inlineStr">
        <is>
          <t>True</t>
        </is>
      </c>
      <c r="I1234" s="42" t="inlineStr">
        <is>
          <t>NOT_EVALUATED</t>
        </is>
      </c>
      <c r="J1234" s="42" t="inlineStr">
        <is>
          <t>NO_DIRECT_STANDARD_MATRIX_IN_RETRIEVED_SOURCE</t>
        </is>
      </c>
      <c r="K1234" s="42" t="str"/>
      <c r="L1234" s="42" t="str"/>
      <c r="M1234" s="42" t="str"/>
      <c r="N1234" s="42" t="str"/>
      <c r="O1234" s="42" t="inlineStr">
        <is>
          <t>現行公式資料でこの窓種のSAFE 30mil規格○/×を本Revisionでは直接取得できていない。推測しない。</t>
        </is>
      </c>
    </row>
    <row r="1235">
      <c r="A1235" s="42" t="inlineStr">
        <is>
          <t>SZ-SL-001234</t>
        </is>
      </c>
      <c r="B1235" s="42" t="inlineStr">
        <is>
          <t>WT-SL-FIX-IN</t>
        </is>
      </c>
      <c r="C1235" s="42" t="inlineStr">
        <is>
          <t>FIX窓（内押縁タイプ）</t>
        </is>
      </c>
      <c r="D1235" s="42" t="str"/>
      <c r="E1235" s="42" t="inlineStr">
        <is>
          <t>06013</t>
        </is>
      </c>
      <c r="F1235" s="42" t="inlineStr">
        <is>
          <t>640</t>
        </is>
      </c>
      <c r="G1235" s="42" t="inlineStr">
        <is>
          <t>1370</t>
        </is>
      </c>
      <c r="H1235" s="42" t="inlineStr">
        <is>
          <t>True</t>
        </is>
      </c>
      <c r="I1235" s="42" t="inlineStr">
        <is>
          <t>NOT_EVALUATED</t>
        </is>
      </c>
      <c r="J1235" s="42" t="inlineStr">
        <is>
          <t>NO_DIRECT_STANDARD_MATRIX_IN_RETRIEVED_SOURCE</t>
        </is>
      </c>
      <c r="K1235" s="42" t="str"/>
      <c r="L1235" s="42" t="str"/>
      <c r="M1235" s="42" t="str"/>
      <c r="N1235" s="42" t="str"/>
      <c r="O1235" s="42" t="inlineStr">
        <is>
          <t>現行公式資料でこの窓種のSAFE 30mil規格○/×を本Revisionでは直接取得できていない。推測しない。</t>
        </is>
      </c>
    </row>
    <row r="1236">
      <c r="A1236" s="42" t="inlineStr">
        <is>
          <t>SZ-SL-001235</t>
        </is>
      </c>
      <c r="B1236" s="42" t="inlineStr">
        <is>
          <t>WT-SL-FIX-IN</t>
        </is>
      </c>
      <c r="C1236" s="42" t="inlineStr">
        <is>
          <t>FIX窓（内押縁タイプ）</t>
        </is>
      </c>
      <c r="D1236" s="42" t="str"/>
      <c r="E1236" s="42" t="inlineStr">
        <is>
          <t>06015</t>
        </is>
      </c>
      <c r="F1236" s="42" t="inlineStr">
        <is>
          <t>640</t>
        </is>
      </c>
      <c r="G1236" s="42" t="inlineStr">
        <is>
          <t>1570</t>
        </is>
      </c>
      <c r="H1236" s="42" t="inlineStr">
        <is>
          <t>True</t>
        </is>
      </c>
      <c r="I1236" s="42" t="inlineStr">
        <is>
          <t>NOT_EVALUATED</t>
        </is>
      </c>
      <c r="J1236" s="42" t="inlineStr">
        <is>
          <t>NO_DIRECT_STANDARD_MATRIX_IN_RETRIEVED_SOURCE</t>
        </is>
      </c>
      <c r="K1236" s="42" t="str"/>
      <c r="L1236" s="42" t="str"/>
      <c r="M1236" s="42" t="str"/>
      <c r="N1236" s="42" t="str"/>
      <c r="O1236" s="42" t="inlineStr">
        <is>
          <t>現行公式資料でこの窓種のSAFE 30mil規格○/×を本Revisionでは直接取得できていない。推測しない。</t>
        </is>
      </c>
    </row>
    <row r="1237">
      <c r="A1237" s="42" t="inlineStr">
        <is>
          <t>SZ-SL-001236</t>
        </is>
      </c>
      <c r="B1237" s="42" t="inlineStr">
        <is>
          <t>WT-SL-FIX-IN</t>
        </is>
      </c>
      <c r="C1237" s="42" t="inlineStr">
        <is>
          <t>FIX窓（内押縁タイプ）</t>
        </is>
      </c>
      <c r="D1237" s="42" t="str"/>
      <c r="E1237" s="42" t="inlineStr">
        <is>
          <t>06909</t>
        </is>
      </c>
      <c r="F1237" s="42" t="inlineStr">
        <is>
          <t>730</t>
        </is>
      </c>
      <c r="G1237" s="42" t="inlineStr">
        <is>
          <t>970</t>
        </is>
      </c>
      <c r="H1237" s="42" t="inlineStr">
        <is>
          <t>True</t>
        </is>
      </c>
      <c r="I1237" s="42" t="inlineStr">
        <is>
          <t>NOT_EVALUATED</t>
        </is>
      </c>
      <c r="J1237" s="42" t="inlineStr">
        <is>
          <t>NO_DIRECT_STANDARD_MATRIX_IN_RETRIEVED_SOURCE</t>
        </is>
      </c>
      <c r="K1237" s="42" t="str"/>
      <c r="L1237" s="42" t="str"/>
      <c r="M1237" s="42" t="str"/>
      <c r="N1237" s="42" t="str"/>
      <c r="O1237" s="42" t="inlineStr">
        <is>
          <t>現行公式資料でこの窓種のSAFE 30mil規格○/×を本Revisionでは直接取得できていない。推測しない。</t>
        </is>
      </c>
    </row>
    <row r="1238">
      <c r="A1238" s="42" t="inlineStr">
        <is>
          <t>SZ-SL-001237</t>
        </is>
      </c>
      <c r="B1238" s="42" t="inlineStr">
        <is>
          <t>WT-SL-FIX-IN</t>
        </is>
      </c>
      <c r="C1238" s="42" t="inlineStr">
        <is>
          <t>FIX窓（内押縁タイプ）</t>
        </is>
      </c>
      <c r="D1238" s="42" t="str"/>
      <c r="E1238" s="42" t="inlineStr">
        <is>
          <t>06911</t>
        </is>
      </c>
      <c r="F1238" s="42" t="inlineStr">
        <is>
          <t>730</t>
        </is>
      </c>
      <c r="G1238" s="42" t="inlineStr">
        <is>
          <t>1170</t>
        </is>
      </c>
      <c r="H1238" s="42" t="inlineStr">
        <is>
          <t>True</t>
        </is>
      </c>
      <c r="I1238" s="42" t="inlineStr">
        <is>
          <t>NOT_EVALUATED</t>
        </is>
      </c>
      <c r="J1238" s="42" t="inlineStr">
        <is>
          <t>NO_DIRECT_STANDARD_MATRIX_IN_RETRIEVED_SOURCE</t>
        </is>
      </c>
      <c r="K1238" s="42" t="str"/>
      <c r="L1238" s="42" t="str"/>
      <c r="M1238" s="42" t="str"/>
      <c r="N1238" s="42" t="str"/>
      <c r="O1238" s="42" t="inlineStr">
        <is>
          <t>現行公式資料でこの窓種のSAFE 30mil規格○/×を本Revisionでは直接取得できていない。推測しない。</t>
        </is>
      </c>
    </row>
    <row r="1239">
      <c r="A1239" s="42" t="inlineStr">
        <is>
          <t>SZ-SL-001238</t>
        </is>
      </c>
      <c r="B1239" s="42" t="inlineStr">
        <is>
          <t>WT-SL-FIX-IN</t>
        </is>
      </c>
      <c r="C1239" s="42" t="inlineStr">
        <is>
          <t>FIX窓（内押縁タイプ）</t>
        </is>
      </c>
      <c r="D1239" s="42" t="str"/>
      <c r="E1239" s="42" t="inlineStr">
        <is>
          <t>06913</t>
        </is>
      </c>
      <c r="F1239" s="42" t="inlineStr">
        <is>
          <t>730</t>
        </is>
      </c>
      <c r="G1239" s="42" t="inlineStr">
        <is>
          <t>1370</t>
        </is>
      </c>
      <c r="H1239" s="42" t="inlineStr">
        <is>
          <t>True</t>
        </is>
      </c>
      <c r="I1239" s="42" t="inlineStr">
        <is>
          <t>NOT_EVALUATED</t>
        </is>
      </c>
      <c r="J1239" s="42" t="inlineStr">
        <is>
          <t>NO_DIRECT_STANDARD_MATRIX_IN_RETRIEVED_SOURCE</t>
        </is>
      </c>
      <c r="K1239" s="42" t="str"/>
      <c r="L1239" s="42" t="str"/>
      <c r="M1239" s="42" t="str"/>
      <c r="N1239" s="42" t="str"/>
      <c r="O1239" s="42" t="inlineStr">
        <is>
          <t>現行公式資料でこの窓種のSAFE 30mil規格○/×を本Revisionでは直接取得できていない。推測しない。</t>
        </is>
      </c>
    </row>
    <row r="1240">
      <c r="A1240" s="42" t="inlineStr">
        <is>
          <t>SZ-SL-001239</t>
        </is>
      </c>
      <c r="B1240" s="42" t="inlineStr">
        <is>
          <t>WT-SL-FIX-IN</t>
        </is>
      </c>
      <c r="C1240" s="42" t="inlineStr">
        <is>
          <t>FIX窓（内押縁タイプ）</t>
        </is>
      </c>
      <c r="D1240" s="42" t="str"/>
      <c r="E1240" s="42" t="inlineStr">
        <is>
          <t>06915</t>
        </is>
      </c>
      <c r="F1240" s="42" t="inlineStr">
        <is>
          <t>730</t>
        </is>
      </c>
      <c r="G1240" s="42" t="inlineStr">
        <is>
          <t>1570</t>
        </is>
      </c>
      <c r="H1240" s="42" t="inlineStr">
        <is>
          <t>True</t>
        </is>
      </c>
      <c r="I1240" s="42" t="inlineStr">
        <is>
          <t>NOT_EVALUATED</t>
        </is>
      </c>
      <c r="J1240" s="42" t="inlineStr">
        <is>
          <t>NO_DIRECT_STANDARD_MATRIX_IN_RETRIEVED_SOURCE</t>
        </is>
      </c>
      <c r="K1240" s="42" t="str"/>
      <c r="L1240" s="42" t="str"/>
      <c r="M1240" s="42" t="str"/>
      <c r="N1240" s="42" t="str"/>
      <c r="O1240" s="42" t="inlineStr">
        <is>
          <t>現行公式資料でこの窓種のSAFE 30mil規格○/×を本Revisionでは直接取得できていない。推測しない。</t>
        </is>
      </c>
    </row>
    <row r="1241">
      <c r="A1241" s="42" t="inlineStr">
        <is>
          <t>SZ-SL-001240</t>
        </is>
      </c>
      <c r="B1241" s="42" t="inlineStr">
        <is>
          <t>WT-SL-FIX-IN</t>
        </is>
      </c>
      <c r="C1241" s="42" t="inlineStr">
        <is>
          <t>FIX窓（内押縁タイプ）</t>
        </is>
      </c>
      <c r="D1241" s="42" t="str"/>
      <c r="E1241" s="42" t="inlineStr">
        <is>
          <t>07409</t>
        </is>
      </c>
      <c r="F1241" s="42" t="inlineStr">
        <is>
          <t>780</t>
        </is>
      </c>
      <c r="G1241" s="42" t="inlineStr">
        <is>
          <t>970</t>
        </is>
      </c>
      <c r="H1241" s="42" t="inlineStr">
        <is>
          <t>True</t>
        </is>
      </c>
      <c r="I1241" s="42" t="inlineStr">
        <is>
          <t>NOT_EVALUATED</t>
        </is>
      </c>
      <c r="J1241" s="42" t="inlineStr">
        <is>
          <t>NO_DIRECT_STANDARD_MATRIX_IN_RETRIEVED_SOURCE</t>
        </is>
      </c>
      <c r="K1241" s="42" t="str"/>
      <c r="L1241" s="42" t="str"/>
      <c r="M1241" s="42" t="str"/>
      <c r="N1241" s="42" t="str"/>
      <c r="O1241" s="42" t="inlineStr">
        <is>
          <t>現行公式資料でこの窓種のSAFE 30mil規格○/×を本Revisionでは直接取得できていない。推測しない。</t>
        </is>
      </c>
    </row>
    <row r="1242">
      <c r="A1242" s="42" t="inlineStr">
        <is>
          <t>SZ-SL-001241</t>
        </is>
      </c>
      <c r="B1242" s="42" t="inlineStr">
        <is>
          <t>WT-SL-FIX-IN</t>
        </is>
      </c>
      <c r="C1242" s="42" t="inlineStr">
        <is>
          <t>FIX窓（内押縁タイプ）</t>
        </is>
      </c>
      <c r="D1242" s="42" t="str"/>
      <c r="E1242" s="42" t="inlineStr">
        <is>
          <t>07411</t>
        </is>
      </c>
      <c r="F1242" s="42" t="inlineStr">
        <is>
          <t>780</t>
        </is>
      </c>
      <c r="G1242" s="42" t="inlineStr">
        <is>
          <t>1170</t>
        </is>
      </c>
      <c r="H1242" s="42" t="inlineStr">
        <is>
          <t>True</t>
        </is>
      </c>
      <c r="I1242" s="42" t="inlineStr">
        <is>
          <t>NOT_EVALUATED</t>
        </is>
      </c>
      <c r="J1242" s="42" t="inlineStr">
        <is>
          <t>NO_DIRECT_STANDARD_MATRIX_IN_RETRIEVED_SOURCE</t>
        </is>
      </c>
      <c r="K1242" s="42" t="str"/>
      <c r="L1242" s="42" t="str"/>
      <c r="M1242" s="42" t="str"/>
      <c r="N1242" s="42" t="str"/>
      <c r="O1242" s="42" t="inlineStr">
        <is>
          <t>現行公式資料でこの窓種のSAFE 30mil規格○/×を本Revisionでは直接取得できていない。推測しない。</t>
        </is>
      </c>
    </row>
    <row r="1243">
      <c r="A1243" s="42" t="inlineStr">
        <is>
          <t>SZ-SL-001242</t>
        </is>
      </c>
      <c r="B1243" s="42" t="inlineStr">
        <is>
          <t>WT-SL-FIX-IN</t>
        </is>
      </c>
      <c r="C1243" s="42" t="inlineStr">
        <is>
          <t>FIX窓（内押縁タイプ）</t>
        </is>
      </c>
      <c r="D1243" s="42" t="str"/>
      <c r="E1243" s="42" t="inlineStr">
        <is>
          <t>07413</t>
        </is>
      </c>
      <c r="F1243" s="42" t="inlineStr">
        <is>
          <t>780</t>
        </is>
      </c>
      <c r="G1243" s="42" t="inlineStr">
        <is>
          <t>1370</t>
        </is>
      </c>
      <c r="H1243" s="42" t="inlineStr">
        <is>
          <t>True</t>
        </is>
      </c>
      <c r="I1243" s="42" t="inlineStr">
        <is>
          <t>NOT_EVALUATED</t>
        </is>
      </c>
      <c r="J1243" s="42" t="inlineStr">
        <is>
          <t>NO_DIRECT_STANDARD_MATRIX_IN_RETRIEVED_SOURCE</t>
        </is>
      </c>
      <c r="K1243" s="42" t="str"/>
      <c r="L1243" s="42" t="str"/>
      <c r="M1243" s="42" t="str"/>
      <c r="N1243" s="42" t="str"/>
      <c r="O1243" s="42" t="inlineStr">
        <is>
          <t>現行公式資料でこの窓種のSAFE 30mil規格○/×を本Revisionでは直接取得できていない。推測しない。</t>
        </is>
      </c>
    </row>
    <row r="1244">
      <c r="A1244" s="42" t="inlineStr">
        <is>
          <t>SZ-SL-001243</t>
        </is>
      </c>
      <c r="B1244" s="42" t="inlineStr">
        <is>
          <t>WT-SL-FIX-IN</t>
        </is>
      </c>
      <c r="C1244" s="42" t="inlineStr">
        <is>
          <t>FIX窓（内押縁タイプ）</t>
        </is>
      </c>
      <c r="D1244" s="42" t="str"/>
      <c r="E1244" s="42" t="inlineStr">
        <is>
          <t>07415</t>
        </is>
      </c>
      <c r="F1244" s="42" t="inlineStr">
        <is>
          <t>780</t>
        </is>
      </c>
      <c r="G1244" s="42" t="inlineStr">
        <is>
          <t>1570</t>
        </is>
      </c>
      <c r="H1244" s="42" t="inlineStr">
        <is>
          <t>True</t>
        </is>
      </c>
      <c r="I1244" s="42" t="inlineStr">
        <is>
          <t>NOT_EVALUATED</t>
        </is>
      </c>
      <c r="J1244" s="42" t="inlineStr">
        <is>
          <t>NO_DIRECT_STANDARD_MATRIX_IN_RETRIEVED_SOURCE</t>
        </is>
      </c>
      <c r="K1244" s="42" t="str"/>
      <c r="L1244" s="42" t="str"/>
      <c r="M1244" s="42" t="str"/>
      <c r="N1244" s="42" t="str"/>
      <c r="O1244" s="42" t="inlineStr">
        <is>
          <t>現行公式資料でこの窓種のSAFE 30mil規格○/×を本Revisionでは直接取得できていない。推測しない。</t>
        </is>
      </c>
    </row>
    <row r="1245">
      <c r="A1245" s="42" t="inlineStr">
        <is>
          <t>SZ-SL-001244</t>
        </is>
      </c>
      <c r="B1245" s="42" t="inlineStr">
        <is>
          <t>WT-SL-FIX-IN</t>
        </is>
      </c>
      <c r="C1245" s="42" t="inlineStr">
        <is>
          <t>FIX窓（内押縁タイプ）</t>
        </is>
      </c>
      <c r="D1245" s="42" t="str"/>
      <c r="E1245" s="42" t="inlineStr">
        <is>
          <t>096093</t>
        </is>
      </c>
      <c r="F1245" s="42" t="inlineStr">
        <is>
          <t>1000</t>
        </is>
      </c>
      <c r="G1245" s="42" t="inlineStr">
        <is>
          <t>1000</t>
        </is>
      </c>
      <c r="H1245" s="42" t="inlineStr">
        <is>
          <t>True</t>
        </is>
      </c>
      <c r="I1245" s="42" t="inlineStr">
        <is>
          <t>NOT_EVALUATED</t>
        </is>
      </c>
      <c r="J1245" s="42" t="inlineStr">
        <is>
          <t>NO_DIRECT_STANDARD_MATRIX_IN_RETRIEVED_SOURCE</t>
        </is>
      </c>
      <c r="K1245" s="42" t="str"/>
      <c r="L1245" s="42" t="str"/>
      <c r="M1245" s="42" t="str"/>
      <c r="N1245" s="42" t="str"/>
      <c r="O1245" s="42" t="inlineStr">
        <is>
          <t>現行公式資料でこの窓種のSAFE 30mil規格○/×を本Revisionでは直接取得できていない。推測しない。</t>
        </is>
      </c>
    </row>
    <row r="1246">
      <c r="A1246" s="42" t="inlineStr">
        <is>
          <t>SZ-SL-001245</t>
        </is>
      </c>
      <c r="B1246" s="42" t="inlineStr">
        <is>
          <t>WT-SL-FIX-IN</t>
        </is>
      </c>
      <c r="C1246" s="42" t="inlineStr">
        <is>
          <t>FIX窓（内押縁タイプ）</t>
        </is>
      </c>
      <c r="D1246" s="42" t="str"/>
      <c r="E1246" s="42" t="inlineStr">
        <is>
          <t>11909</t>
        </is>
      </c>
      <c r="F1246" s="42" t="inlineStr">
        <is>
          <t>1235</t>
        </is>
      </c>
      <c r="G1246" s="42" t="inlineStr">
        <is>
          <t>970</t>
        </is>
      </c>
      <c r="H1246" s="42" t="inlineStr">
        <is>
          <t>True</t>
        </is>
      </c>
      <c r="I1246" s="42" t="inlineStr">
        <is>
          <t>NOT_EVALUATED</t>
        </is>
      </c>
      <c r="J1246" s="42" t="inlineStr">
        <is>
          <t>NO_DIRECT_STANDARD_MATRIX_IN_RETRIEVED_SOURCE</t>
        </is>
      </c>
      <c r="K1246" s="42" t="str"/>
      <c r="L1246" s="42" t="str"/>
      <c r="M1246" s="42" t="str"/>
      <c r="N1246" s="42" t="str"/>
      <c r="O1246" s="42" t="inlineStr">
        <is>
          <t>現行公式資料でこの窓種のSAFE 30mil規格○/×を本Revisionでは直接取得できていない。推測しない。</t>
        </is>
      </c>
    </row>
    <row r="1247">
      <c r="A1247" s="42" t="inlineStr">
        <is>
          <t>SZ-SL-001246</t>
        </is>
      </c>
      <c r="B1247" s="42" t="inlineStr">
        <is>
          <t>WT-SL-FIX-IN</t>
        </is>
      </c>
      <c r="C1247" s="42" t="inlineStr">
        <is>
          <t>FIX窓（内押縁タイプ）</t>
        </is>
      </c>
      <c r="D1247" s="42" t="str"/>
      <c r="E1247" s="42" t="inlineStr">
        <is>
          <t>11911</t>
        </is>
      </c>
      <c r="F1247" s="42" t="inlineStr">
        <is>
          <t>1235</t>
        </is>
      </c>
      <c r="G1247" s="42" t="inlineStr">
        <is>
          <t>1170</t>
        </is>
      </c>
      <c r="H1247" s="42" t="inlineStr">
        <is>
          <t>True</t>
        </is>
      </c>
      <c r="I1247" s="42" t="inlineStr">
        <is>
          <t>NOT_EVALUATED</t>
        </is>
      </c>
      <c r="J1247" s="42" t="inlineStr">
        <is>
          <t>NO_DIRECT_STANDARD_MATRIX_IN_RETRIEVED_SOURCE</t>
        </is>
      </c>
      <c r="K1247" s="42" t="str"/>
      <c r="L1247" s="42" t="str"/>
      <c r="M1247" s="42" t="str"/>
      <c r="N1247" s="42" t="str"/>
      <c r="O1247" s="42" t="inlineStr">
        <is>
          <t>現行公式資料でこの窓種のSAFE 30mil規格○/×を本Revisionでは直接取得できていない。推測しない。</t>
        </is>
      </c>
    </row>
    <row r="1248">
      <c r="A1248" s="42" t="inlineStr">
        <is>
          <t>SZ-SL-001247</t>
        </is>
      </c>
      <c r="B1248" s="42" t="inlineStr">
        <is>
          <t>WT-SL-FIX-IN</t>
        </is>
      </c>
      <c r="C1248" s="42" t="inlineStr">
        <is>
          <t>FIX窓（内押縁タイプ）</t>
        </is>
      </c>
      <c r="D1248" s="42" t="str"/>
      <c r="E1248" s="42" t="inlineStr">
        <is>
          <t>119116</t>
        </is>
      </c>
      <c r="F1248" s="42" t="inlineStr">
        <is>
          <t>1235</t>
        </is>
      </c>
      <c r="G1248" s="42" t="inlineStr">
        <is>
          <t>1235</t>
        </is>
      </c>
      <c r="H1248" s="42" t="inlineStr">
        <is>
          <t>True</t>
        </is>
      </c>
      <c r="I1248" s="42" t="inlineStr">
        <is>
          <t>NOT_EVALUATED</t>
        </is>
      </c>
      <c r="J1248" s="42" t="inlineStr">
        <is>
          <t>NO_DIRECT_STANDARD_MATRIX_IN_RETRIEVED_SOURCE</t>
        </is>
      </c>
      <c r="K1248" s="42" t="str"/>
      <c r="L1248" s="42" t="str"/>
      <c r="M1248" s="42" t="str"/>
      <c r="N1248" s="42" t="str"/>
      <c r="O1248" s="42" t="inlineStr">
        <is>
          <t>現行公式資料でこの窓種のSAFE 30mil規格○/×を本Revisionでは直接取得できていない。推測しない。</t>
        </is>
      </c>
    </row>
    <row r="1249">
      <c r="A1249" s="42" t="inlineStr">
        <is>
          <t>SZ-SL-001248</t>
        </is>
      </c>
      <c r="B1249" s="42" t="inlineStr">
        <is>
          <t>WT-SL-FIX-IN</t>
        </is>
      </c>
      <c r="C1249" s="42" t="inlineStr">
        <is>
          <t>FIX窓（内押縁タイプ）</t>
        </is>
      </c>
      <c r="D1249" s="42" t="str"/>
      <c r="E1249" s="42" t="inlineStr">
        <is>
          <t>11913</t>
        </is>
      </c>
      <c r="F1249" s="42" t="inlineStr">
        <is>
          <t>1235</t>
        </is>
      </c>
      <c r="G1249" s="42" t="inlineStr">
        <is>
          <t>1370</t>
        </is>
      </c>
      <c r="H1249" s="42" t="inlineStr">
        <is>
          <t>True</t>
        </is>
      </c>
      <c r="I1249" s="42" t="inlineStr">
        <is>
          <t>NOT_EVALUATED</t>
        </is>
      </c>
      <c r="J1249" s="42" t="inlineStr">
        <is>
          <t>NO_DIRECT_STANDARD_MATRIX_IN_RETRIEVED_SOURCE</t>
        </is>
      </c>
      <c r="K1249" s="42" t="str"/>
      <c r="L1249" s="42" t="str"/>
      <c r="M1249" s="42" t="str"/>
      <c r="N1249" s="42" t="str"/>
      <c r="O1249" s="42" t="inlineStr">
        <is>
          <t>現行公式資料でこの窓種のSAFE 30mil規格○/×を本Revisionでは直接取得できていない。推測しない。</t>
        </is>
      </c>
    </row>
    <row r="1250">
      <c r="A1250" s="42" t="inlineStr">
        <is>
          <t>SZ-SL-001249</t>
        </is>
      </c>
      <c r="B1250" s="42" t="inlineStr">
        <is>
          <t>WT-SL-FIX-IN</t>
        </is>
      </c>
      <c r="C1250" s="42" t="inlineStr">
        <is>
          <t>FIX窓（内押縁タイプ）</t>
        </is>
      </c>
      <c r="D1250" s="42" t="str"/>
      <c r="E1250" s="42" t="inlineStr">
        <is>
          <t>11915</t>
        </is>
      </c>
      <c r="F1250" s="42" t="inlineStr">
        <is>
          <t>1235</t>
        </is>
      </c>
      <c r="G1250" s="42" t="inlineStr">
        <is>
          <t>1570</t>
        </is>
      </c>
      <c r="H1250" s="42" t="inlineStr">
        <is>
          <t>True</t>
        </is>
      </c>
      <c r="I1250" s="42" t="inlineStr">
        <is>
          <t>NOT_EVALUATED</t>
        </is>
      </c>
      <c r="J1250" s="42" t="inlineStr">
        <is>
          <t>NO_DIRECT_STANDARD_MATRIX_IN_RETRIEVED_SOURCE</t>
        </is>
      </c>
      <c r="K1250" s="42" t="str"/>
      <c r="L1250" s="42" t="str"/>
      <c r="M1250" s="42" t="str"/>
      <c r="N1250" s="42" t="str"/>
      <c r="O1250" s="42" t="inlineStr">
        <is>
          <t>現行公式資料でこの窓種のSAFE 30mil規格○/×を本Revisionでは直接取得できていない。推測しない。</t>
        </is>
      </c>
    </row>
    <row r="1251">
      <c r="A1251" s="42" t="inlineStr">
        <is>
          <t>SZ-SL-001250</t>
        </is>
      </c>
      <c r="B1251" s="42" t="inlineStr">
        <is>
          <t>WT-SL-FIX-IN</t>
        </is>
      </c>
      <c r="C1251" s="42" t="inlineStr">
        <is>
          <t>FIX窓（内押縁タイプ）</t>
        </is>
      </c>
      <c r="D1251" s="42" t="str"/>
      <c r="E1251" s="42" t="inlineStr">
        <is>
          <t>16509</t>
        </is>
      </c>
      <c r="F1251" s="42" t="inlineStr">
        <is>
          <t>1690</t>
        </is>
      </c>
      <c r="G1251" s="42" t="inlineStr">
        <is>
          <t>970</t>
        </is>
      </c>
      <c r="H1251" s="42" t="inlineStr">
        <is>
          <t>True</t>
        </is>
      </c>
      <c r="I1251" s="42" t="inlineStr">
        <is>
          <t>NOT_EVALUATED</t>
        </is>
      </c>
      <c r="J1251" s="42" t="inlineStr">
        <is>
          <t>NO_DIRECT_STANDARD_MATRIX_IN_RETRIEVED_SOURCE</t>
        </is>
      </c>
      <c r="K1251" s="42" t="str"/>
      <c r="L1251" s="42" t="str"/>
      <c r="M1251" s="42" t="str"/>
      <c r="N1251" s="42" t="str"/>
      <c r="O1251" s="42" t="inlineStr">
        <is>
          <t>現行公式資料でこの窓種のSAFE 30mil規格○/×を本Revisionでは直接取得できていない。推測しない。</t>
        </is>
      </c>
    </row>
    <row r="1252">
      <c r="A1252" s="42" t="inlineStr">
        <is>
          <t>SZ-SL-001251</t>
        </is>
      </c>
      <c r="B1252" s="42" t="inlineStr">
        <is>
          <t>WT-SL-FIX-IN</t>
        </is>
      </c>
      <c r="C1252" s="42" t="inlineStr">
        <is>
          <t>FIX窓（内押縁タイプ）</t>
        </is>
      </c>
      <c r="D1252" s="42" t="str"/>
      <c r="E1252" s="42" t="inlineStr">
        <is>
          <t>16511</t>
        </is>
      </c>
      <c r="F1252" s="42" t="inlineStr">
        <is>
          <t>1690</t>
        </is>
      </c>
      <c r="G1252" s="42" t="inlineStr">
        <is>
          <t>1170</t>
        </is>
      </c>
      <c r="H1252" s="42" t="inlineStr">
        <is>
          <t>True</t>
        </is>
      </c>
      <c r="I1252" s="42" t="inlineStr">
        <is>
          <t>NOT_EVALUATED</t>
        </is>
      </c>
      <c r="J1252" s="42" t="inlineStr">
        <is>
          <t>NO_DIRECT_STANDARD_MATRIX_IN_RETRIEVED_SOURCE</t>
        </is>
      </c>
      <c r="K1252" s="42" t="str"/>
      <c r="L1252" s="42" t="str"/>
      <c r="M1252" s="42" t="str"/>
      <c r="N1252" s="42" t="str"/>
      <c r="O1252" s="42" t="inlineStr">
        <is>
          <t>現行公式資料でこの窓種のSAFE 30mil規格○/×を本Revisionでは直接取得できていない。推測しない。</t>
        </is>
      </c>
    </row>
    <row r="1253">
      <c r="A1253" s="42" t="inlineStr">
        <is>
          <t>SZ-SL-001252</t>
        </is>
      </c>
      <c r="B1253" s="42" t="inlineStr">
        <is>
          <t>WT-SL-FIX-IN</t>
        </is>
      </c>
      <c r="C1253" s="42" t="inlineStr">
        <is>
          <t>FIX窓（内押縁タイプ）</t>
        </is>
      </c>
      <c r="D1253" s="42" t="str"/>
      <c r="E1253" s="42" t="inlineStr">
        <is>
          <t>16513</t>
        </is>
      </c>
      <c r="F1253" s="42" t="inlineStr">
        <is>
          <t>1690</t>
        </is>
      </c>
      <c r="G1253" s="42" t="inlineStr">
        <is>
          <t>1370</t>
        </is>
      </c>
      <c r="H1253" s="42" t="inlineStr">
        <is>
          <t>True</t>
        </is>
      </c>
      <c r="I1253" s="42" t="inlineStr">
        <is>
          <t>NOT_EVALUATED</t>
        </is>
      </c>
      <c r="J1253" s="42" t="inlineStr">
        <is>
          <t>NO_DIRECT_STANDARD_MATRIX_IN_RETRIEVED_SOURCE</t>
        </is>
      </c>
      <c r="K1253" s="42" t="str"/>
      <c r="L1253" s="42" t="str"/>
      <c r="M1253" s="42" t="str"/>
      <c r="N1253" s="42" t="str"/>
      <c r="O1253" s="42" t="inlineStr">
        <is>
          <t>現行公式資料でこの窓種のSAFE 30mil規格○/×を本Revisionでは直接取得できていない。推測しない。</t>
        </is>
      </c>
    </row>
    <row r="1254">
      <c r="A1254" s="42" t="inlineStr">
        <is>
          <t>SZ-SL-001253</t>
        </is>
      </c>
      <c r="B1254" s="42" t="inlineStr">
        <is>
          <t>WT-SL-FIX-IN</t>
        </is>
      </c>
      <c r="C1254" s="42" t="inlineStr">
        <is>
          <t>FIX窓（内押縁タイプ）</t>
        </is>
      </c>
      <c r="D1254" s="42" t="str"/>
      <c r="E1254" s="42" t="inlineStr">
        <is>
          <t>16515</t>
        </is>
      </c>
      <c r="F1254" s="42" t="inlineStr">
        <is>
          <t>1690</t>
        </is>
      </c>
      <c r="G1254" s="42" t="inlineStr">
        <is>
          <t>1570</t>
        </is>
      </c>
      <c r="H1254" s="42" t="inlineStr">
        <is>
          <t>True</t>
        </is>
      </c>
      <c r="I1254" s="42" t="inlineStr">
        <is>
          <t>NOT_EVALUATED</t>
        </is>
      </c>
      <c r="J1254" s="42" t="inlineStr">
        <is>
          <t>NO_DIRECT_STANDARD_MATRIX_IN_RETRIEVED_SOURCE</t>
        </is>
      </c>
      <c r="K1254" s="42" t="str"/>
      <c r="L1254" s="42" t="str"/>
      <c r="M1254" s="42" t="str"/>
      <c r="N1254" s="42" t="str"/>
      <c r="O1254" s="42" t="inlineStr">
        <is>
          <t>現行公式資料でこの窓種のSAFE 30mil規格○/×を本Revisionでは直接取得できていない。推測しない。</t>
        </is>
      </c>
    </row>
    <row r="1255">
      <c r="A1255" s="42" t="inlineStr">
        <is>
          <t>SZ-SL-001254</t>
        </is>
      </c>
      <c r="B1255" s="42" t="inlineStr">
        <is>
          <t>WT-SL-FIX-IN</t>
        </is>
      </c>
      <c r="C1255" s="42" t="inlineStr">
        <is>
          <t>FIX窓（内押縁タイプ）</t>
        </is>
      </c>
      <c r="D1255" s="42" t="str"/>
      <c r="E1255" s="42" t="inlineStr">
        <is>
          <t>01618</t>
        </is>
      </c>
      <c r="F1255" s="42" t="inlineStr">
        <is>
          <t>200</t>
        </is>
      </c>
      <c r="G1255" s="42" t="inlineStr">
        <is>
          <t>1830</t>
        </is>
      </c>
      <c r="H1255" s="42" t="inlineStr">
        <is>
          <t>True</t>
        </is>
      </c>
      <c r="I1255" s="42" t="inlineStr">
        <is>
          <t>NOT_EVALUATED</t>
        </is>
      </c>
      <c r="J1255" s="42" t="inlineStr">
        <is>
          <t>NO_DIRECT_STANDARD_MATRIX_IN_RETRIEVED_SOURCE</t>
        </is>
      </c>
      <c r="K1255" s="42" t="str"/>
      <c r="L1255" s="42" t="str"/>
      <c r="M1255" s="42" t="str"/>
      <c r="N1255" s="42" t="str"/>
      <c r="O1255" s="42" t="inlineStr">
        <is>
          <t>現行公式資料でこの窓種のSAFE 30mil規格○/×を本Revisionでは直接取得できていない。推測しない。</t>
        </is>
      </c>
    </row>
    <row r="1256">
      <c r="A1256" s="42" t="inlineStr">
        <is>
          <t>SZ-SL-001255</t>
        </is>
      </c>
      <c r="B1256" s="42" t="inlineStr">
        <is>
          <t>WT-SL-FIX-IN</t>
        </is>
      </c>
      <c r="C1256" s="42" t="inlineStr">
        <is>
          <t>FIX窓（内押縁タイプ）</t>
        </is>
      </c>
      <c r="D1256" s="42" t="str"/>
      <c r="E1256" s="42" t="inlineStr">
        <is>
          <t>01620</t>
        </is>
      </c>
      <c r="F1256" s="42" t="inlineStr">
        <is>
          <t>200</t>
        </is>
      </c>
      <c r="G1256" s="42" t="inlineStr">
        <is>
          <t>2030</t>
        </is>
      </c>
      <c r="H1256" s="42" t="inlineStr">
        <is>
          <t>True</t>
        </is>
      </c>
      <c r="I1256" s="42" t="inlineStr">
        <is>
          <t>NOT_EVALUATED</t>
        </is>
      </c>
      <c r="J1256" s="42" t="inlineStr">
        <is>
          <t>NO_DIRECT_STANDARD_MATRIX_IN_RETRIEVED_SOURCE</t>
        </is>
      </c>
      <c r="K1256" s="42" t="str"/>
      <c r="L1256" s="42" t="str"/>
      <c r="M1256" s="42" t="str"/>
      <c r="N1256" s="42" t="str"/>
      <c r="O1256" s="42" t="inlineStr">
        <is>
          <t>現行公式資料でこの窓種のSAFE 30mil規格○/×を本Revisionでは直接取得できていない。推測しない。</t>
        </is>
      </c>
    </row>
    <row r="1257">
      <c r="A1257" s="42" t="inlineStr">
        <is>
          <t>SZ-SL-001256</t>
        </is>
      </c>
      <c r="B1257" s="42" t="inlineStr">
        <is>
          <t>WT-SL-FIX-IN</t>
        </is>
      </c>
      <c r="C1257" s="42" t="inlineStr">
        <is>
          <t>FIX窓（内押縁タイプ）</t>
        </is>
      </c>
      <c r="D1257" s="42" t="str"/>
      <c r="E1257" s="42" t="inlineStr">
        <is>
          <t>01622</t>
        </is>
      </c>
      <c r="F1257" s="42" t="inlineStr">
        <is>
          <t>200</t>
        </is>
      </c>
      <c r="G1257" s="42" t="inlineStr">
        <is>
          <t>2230</t>
        </is>
      </c>
      <c r="H1257" s="42" t="inlineStr">
        <is>
          <t>True</t>
        </is>
      </c>
      <c r="I1257" s="42" t="inlineStr">
        <is>
          <t>NOT_EVALUATED</t>
        </is>
      </c>
      <c r="J1257" s="42" t="inlineStr">
        <is>
          <t>NO_DIRECT_STANDARD_MATRIX_IN_RETRIEVED_SOURCE</t>
        </is>
      </c>
      <c r="K1257" s="42" t="str"/>
      <c r="L1257" s="42" t="str"/>
      <c r="M1257" s="42" t="str"/>
      <c r="N1257" s="42" t="str"/>
      <c r="O1257" s="42" t="inlineStr">
        <is>
          <t>現行公式資料でこの窓種のSAFE 30mil規格○/×を本Revisionでは直接取得できていない。推測しない。</t>
        </is>
      </c>
    </row>
    <row r="1258">
      <c r="A1258" s="42" t="inlineStr">
        <is>
          <t>SZ-SL-001257</t>
        </is>
      </c>
      <c r="B1258" s="42" t="inlineStr">
        <is>
          <t>WT-SL-FIX-IN</t>
        </is>
      </c>
      <c r="C1258" s="42" t="inlineStr">
        <is>
          <t>FIX窓（内押縁タイプ）</t>
        </is>
      </c>
      <c r="D1258" s="42" t="str"/>
      <c r="E1258" s="42" t="inlineStr">
        <is>
          <t>02118</t>
        </is>
      </c>
      <c r="F1258" s="42" t="inlineStr">
        <is>
          <t>250</t>
        </is>
      </c>
      <c r="G1258" s="42" t="inlineStr">
        <is>
          <t>1830</t>
        </is>
      </c>
      <c r="H1258" s="42" t="inlineStr">
        <is>
          <t>True</t>
        </is>
      </c>
      <c r="I1258" s="42" t="inlineStr">
        <is>
          <t>NOT_EVALUATED</t>
        </is>
      </c>
      <c r="J1258" s="42" t="inlineStr">
        <is>
          <t>NO_DIRECT_STANDARD_MATRIX_IN_RETRIEVED_SOURCE</t>
        </is>
      </c>
      <c r="K1258" s="42" t="str"/>
      <c r="L1258" s="42" t="str"/>
      <c r="M1258" s="42" t="str"/>
      <c r="N1258" s="42" t="str"/>
      <c r="O1258" s="42" t="inlineStr">
        <is>
          <t>現行公式資料でこの窓種のSAFE 30mil規格○/×を本Revisionでは直接取得できていない。推測しない。</t>
        </is>
      </c>
    </row>
    <row r="1259">
      <c r="A1259" s="42" t="inlineStr">
        <is>
          <t>SZ-SL-001258</t>
        </is>
      </c>
      <c r="B1259" s="42" t="inlineStr">
        <is>
          <t>WT-SL-FIX-IN</t>
        </is>
      </c>
      <c r="C1259" s="42" t="inlineStr">
        <is>
          <t>FIX窓（内押縁タイプ）</t>
        </is>
      </c>
      <c r="D1259" s="42" t="str"/>
      <c r="E1259" s="42" t="inlineStr">
        <is>
          <t>02120</t>
        </is>
      </c>
      <c r="F1259" s="42" t="inlineStr">
        <is>
          <t>250</t>
        </is>
      </c>
      <c r="G1259" s="42" t="inlineStr">
        <is>
          <t>2030</t>
        </is>
      </c>
      <c r="H1259" s="42" t="inlineStr">
        <is>
          <t>True</t>
        </is>
      </c>
      <c r="I1259" s="42" t="inlineStr">
        <is>
          <t>NOT_EVALUATED</t>
        </is>
      </c>
      <c r="J1259" s="42" t="inlineStr">
        <is>
          <t>NO_DIRECT_STANDARD_MATRIX_IN_RETRIEVED_SOURCE</t>
        </is>
      </c>
      <c r="K1259" s="42" t="str"/>
      <c r="L1259" s="42" t="str"/>
      <c r="M1259" s="42" t="str"/>
      <c r="N1259" s="42" t="str"/>
      <c r="O1259" s="42" t="inlineStr">
        <is>
          <t>現行公式資料でこの窓種のSAFE 30mil規格○/×を本Revisionでは直接取得できていない。推測しない。</t>
        </is>
      </c>
    </row>
    <row r="1260">
      <c r="A1260" s="42" t="inlineStr">
        <is>
          <t>SZ-SL-001259</t>
        </is>
      </c>
      <c r="B1260" s="42" t="inlineStr">
        <is>
          <t>WT-SL-FIX-IN</t>
        </is>
      </c>
      <c r="C1260" s="42" t="inlineStr">
        <is>
          <t>FIX窓（内押縁タイプ）</t>
        </is>
      </c>
      <c r="D1260" s="42" t="str"/>
      <c r="E1260" s="42" t="inlineStr">
        <is>
          <t>02122</t>
        </is>
      </c>
      <c r="F1260" s="42" t="inlineStr">
        <is>
          <t>250</t>
        </is>
      </c>
      <c r="G1260" s="42" t="inlineStr">
        <is>
          <t>2230</t>
        </is>
      </c>
      <c r="H1260" s="42" t="inlineStr">
        <is>
          <t>True</t>
        </is>
      </c>
      <c r="I1260" s="42" t="inlineStr">
        <is>
          <t>NOT_EVALUATED</t>
        </is>
      </c>
      <c r="J1260" s="42" t="inlineStr">
        <is>
          <t>NO_DIRECT_STANDARD_MATRIX_IN_RETRIEVED_SOURCE</t>
        </is>
      </c>
      <c r="K1260" s="42" t="str"/>
      <c r="L1260" s="42" t="str"/>
      <c r="M1260" s="42" t="str"/>
      <c r="N1260" s="42" t="str"/>
      <c r="O1260" s="42" t="inlineStr">
        <is>
          <t>現行公式資料でこの窓種のSAFE 30mil規格○/×を本Revisionでは直接取得できていない。推測しない。</t>
        </is>
      </c>
    </row>
    <row r="1261">
      <c r="A1261" s="42" t="inlineStr">
        <is>
          <t>SZ-SL-001260</t>
        </is>
      </c>
      <c r="B1261" s="42" t="inlineStr">
        <is>
          <t>WT-SL-FIX-IN</t>
        </is>
      </c>
      <c r="C1261" s="42" t="inlineStr">
        <is>
          <t>FIX窓（内押縁タイプ）</t>
        </is>
      </c>
      <c r="D1261" s="42" t="str"/>
      <c r="E1261" s="42" t="inlineStr">
        <is>
          <t>02618</t>
        </is>
      </c>
      <c r="F1261" s="42" t="inlineStr">
        <is>
          <t>300</t>
        </is>
      </c>
      <c r="G1261" s="42" t="inlineStr">
        <is>
          <t>1830</t>
        </is>
      </c>
      <c r="H1261" s="42" t="inlineStr">
        <is>
          <t>True</t>
        </is>
      </c>
      <c r="I1261" s="42" t="inlineStr">
        <is>
          <t>NOT_EVALUATED</t>
        </is>
      </c>
      <c r="J1261" s="42" t="inlineStr">
        <is>
          <t>NO_DIRECT_STANDARD_MATRIX_IN_RETRIEVED_SOURCE</t>
        </is>
      </c>
      <c r="K1261" s="42" t="str"/>
      <c r="L1261" s="42" t="str"/>
      <c r="M1261" s="42" t="str"/>
      <c r="N1261" s="42" t="str"/>
      <c r="O1261" s="42" t="inlineStr">
        <is>
          <t>現行公式資料でこの窓種のSAFE 30mil規格○/×を本Revisionでは直接取得できていない。推測しない。</t>
        </is>
      </c>
    </row>
    <row r="1262">
      <c r="A1262" s="42" t="inlineStr">
        <is>
          <t>SZ-SL-001261</t>
        </is>
      </c>
      <c r="B1262" s="42" t="inlineStr">
        <is>
          <t>WT-SL-FIX-IN</t>
        </is>
      </c>
      <c r="C1262" s="42" t="inlineStr">
        <is>
          <t>FIX窓（内押縁タイプ）</t>
        </is>
      </c>
      <c r="D1262" s="42" t="str"/>
      <c r="E1262" s="42" t="inlineStr">
        <is>
          <t>02620</t>
        </is>
      </c>
      <c r="F1262" s="42" t="inlineStr">
        <is>
          <t>300</t>
        </is>
      </c>
      <c r="G1262" s="42" t="inlineStr">
        <is>
          <t>2030</t>
        </is>
      </c>
      <c r="H1262" s="42" t="inlineStr">
        <is>
          <t>True</t>
        </is>
      </c>
      <c r="I1262" s="42" t="inlineStr">
        <is>
          <t>NOT_EVALUATED</t>
        </is>
      </c>
      <c r="J1262" s="42" t="inlineStr">
        <is>
          <t>NO_DIRECT_STANDARD_MATRIX_IN_RETRIEVED_SOURCE</t>
        </is>
      </c>
      <c r="K1262" s="42" t="str"/>
      <c r="L1262" s="42" t="str"/>
      <c r="M1262" s="42" t="str"/>
      <c r="N1262" s="42" t="str"/>
      <c r="O1262" s="42" t="inlineStr">
        <is>
          <t>現行公式資料でこの窓種のSAFE 30mil規格○/×を本Revisionでは直接取得できていない。推測しない。</t>
        </is>
      </c>
    </row>
    <row r="1263">
      <c r="A1263" s="42" t="inlineStr">
        <is>
          <t>SZ-SL-001262</t>
        </is>
      </c>
      <c r="B1263" s="42" t="inlineStr">
        <is>
          <t>WT-SL-FIX-IN</t>
        </is>
      </c>
      <c r="C1263" s="42" t="inlineStr">
        <is>
          <t>FIX窓（内押縁タイプ）</t>
        </is>
      </c>
      <c r="D1263" s="42" t="str"/>
      <c r="E1263" s="42" t="inlineStr">
        <is>
          <t>02622</t>
        </is>
      </c>
      <c r="F1263" s="42" t="inlineStr">
        <is>
          <t>300</t>
        </is>
      </c>
      <c r="G1263" s="42" t="inlineStr">
        <is>
          <t>2230</t>
        </is>
      </c>
      <c r="H1263" s="42" t="inlineStr">
        <is>
          <t>True</t>
        </is>
      </c>
      <c r="I1263" s="42" t="inlineStr">
        <is>
          <t>NOT_EVALUATED</t>
        </is>
      </c>
      <c r="J1263" s="42" t="inlineStr">
        <is>
          <t>NO_DIRECT_STANDARD_MATRIX_IN_RETRIEVED_SOURCE</t>
        </is>
      </c>
      <c r="K1263" s="42" t="str"/>
      <c r="L1263" s="42" t="str"/>
      <c r="M1263" s="42" t="str"/>
      <c r="N1263" s="42" t="str"/>
      <c r="O1263" s="42" t="inlineStr">
        <is>
          <t>現行公式資料でこの窓種のSAFE 30mil規格○/×を本Revisionでは直接取得できていない。推測しない。</t>
        </is>
      </c>
    </row>
    <row r="1264">
      <c r="A1264" s="42" t="inlineStr">
        <is>
          <t>SZ-SL-001263</t>
        </is>
      </c>
      <c r="B1264" s="42" t="inlineStr">
        <is>
          <t>WT-SL-FIX-IN</t>
        </is>
      </c>
      <c r="C1264" s="42" t="inlineStr">
        <is>
          <t>FIX窓（内押縁タイプ）</t>
        </is>
      </c>
      <c r="D1264" s="42" t="str"/>
      <c r="E1264" s="42" t="inlineStr">
        <is>
          <t>03118</t>
        </is>
      </c>
      <c r="F1264" s="42" t="inlineStr">
        <is>
          <t>350</t>
        </is>
      </c>
      <c r="G1264" s="42" t="inlineStr">
        <is>
          <t>1830</t>
        </is>
      </c>
      <c r="H1264" s="42" t="inlineStr">
        <is>
          <t>True</t>
        </is>
      </c>
      <c r="I1264" s="42" t="inlineStr">
        <is>
          <t>NOT_EVALUATED</t>
        </is>
      </c>
      <c r="J1264" s="42" t="inlineStr">
        <is>
          <t>NO_DIRECT_STANDARD_MATRIX_IN_RETRIEVED_SOURCE</t>
        </is>
      </c>
      <c r="K1264" s="42" t="str"/>
      <c r="L1264" s="42" t="str"/>
      <c r="M1264" s="42" t="str"/>
      <c r="N1264" s="42" t="str"/>
      <c r="O1264" s="42" t="inlineStr">
        <is>
          <t>現行公式資料でこの窓種のSAFE 30mil規格○/×を本Revisionでは直接取得できていない。推測しない。</t>
        </is>
      </c>
    </row>
    <row r="1265">
      <c r="A1265" s="42" t="inlineStr">
        <is>
          <t>SZ-SL-001264</t>
        </is>
      </c>
      <c r="B1265" s="42" t="inlineStr">
        <is>
          <t>WT-SL-FIX-IN</t>
        </is>
      </c>
      <c r="C1265" s="42" t="inlineStr">
        <is>
          <t>FIX窓（内押縁タイプ）</t>
        </is>
      </c>
      <c r="D1265" s="42" t="str"/>
      <c r="E1265" s="42" t="inlineStr">
        <is>
          <t>03120</t>
        </is>
      </c>
      <c r="F1265" s="42" t="inlineStr">
        <is>
          <t>350</t>
        </is>
      </c>
      <c r="G1265" s="42" t="inlineStr">
        <is>
          <t>2030</t>
        </is>
      </c>
      <c r="H1265" s="42" t="inlineStr">
        <is>
          <t>True</t>
        </is>
      </c>
      <c r="I1265" s="42" t="inlineStr">
        <is>
          <t>NOT_EVALUATED</t>
        </is>
      </c>
      <c r="J1265" s="42" t="inlineStr">
        <is>
          <t>NO_DIRECT_STANDARD_MATRIX_IN_RETRIEVED_SOURCE</t>
        </is>
      </c>
      <c r="K1265" s="42" t="str"/>
      <c r="L1265" s="42" t="str"/>
      <c r="M1265" s="42" t="str"/>
      <c r="N1265" s="42" t="str"/>
      <c r="O1265" s="42" t="inlineStr">
        <is>
          <t>現行公式資料でこの窓種のSAFE 30mil規格○/×を本Revisionでは直接取得できていない。推測しない。</t>
        </is>
      </c>
    </row>
    <row r="1266">
      <c r="A1266" s="42" t="inlineStr">
        <is>
          <t>SZ-SL-001265</t>
        </is>
      </c>
      <c r="B1266" s="42" t="inlineStr">
        <is>
          <t>WT-SL-FIX-IN</t>
        </is>
      </c>
      <c r="C1266" s="42" t="inlineStr">
        <is>
          <t>FIX窓（内押縁タイプ）</t>
        </is>
      </c>
      <c r="D1266" s="42" t="str"/>
      <c r="E1266" s="42" t="inlineStr">
        <is>
          <t>03122</t>
        </is>
      </c>
      <c r="F1266" s="42" t="inlineStr">
        <is>
          <t>350</t>
        </is>
      </c>
      <c r="G1266" s="42" t="inlineStr">
        <is>
          <t>2230</t>
        </is>
      </c>
      <c r="H1266" s="42" t="inlineStr">
        <is>
          <t>True</t>
        </is>
      </c>
      <c r="I1266" s="42" t="inlineStr">
        <is>
          <t>NOT_EVALUATED</t>
        </is>
      </c>
      <c r="J1266" s="42" t="inlineStr">
        <is>
          <t>NO_DIRECT_STANDARD_MATRIX_IN_RETRIEVED_SOURCE</t>
        </is>
      </c>
      <c r="K1266" s="42" t="str"/>
      <c r="L1266" s="42" t="str"/>
      <c r="M1266" s="42" t="str"/>
      <c r="N1266" s="42" t="str"/>
      <c r="O1266" s="42" t="inlineStr">
        <is>
          <t>現行公式資料でこの窓種のSAFE 30mil規格○/×を本Revisionでは直接取得できていない。推測しない。</t>
        </is>
      </c>
    </row>
    <row r="1267">
      <c r="A1267" s="42" t="inlineStr">
        <is>
          <t>SZ-SL-001266</t>
        </is>
      </c>
      <c r="B1267" s="42" t="inlineStr">
        <is>
          <t>WT-SL-FIX-IN</t>
        </is>
      </c>
      <c r="C1267" s="42" t="inlineStr">
        <is>
          <t>FIX窓（内押縁タイプ）</t>
        </is>
      </c>
      <c r="D1267" s="42" t="str"/>
      <c r="E1267" s="42" t="inlineStr">
        <is>
          <t>03618</t>
        </is>
      </c>
      <c r="F1267" s="42" t="inlineStr">
        <is>
          <t>405</t>
        </is>
      </c>
      <c r="G1267" s="42" t="inlineStr">
        <is>
          <t>1830</t>
        </is>
      </c>
      <c r="H1267" s="42" t="inlineStr">
        <is>
          <t>True</t>
        </is>
      </c>
      <c r="I1267" s="42" t="inlineStr">
        <is>
          <t>NOT_EVALUATED</t>
        </is>
      </c>
      <c r="J1267" s="42" t="inlineStr">
        <is>
          <t>NO_DIRECT_STANDARD_MATRIX_IN_RETRIEVED_SOURCE</t>
        </is>
      </c>
      <c r="K1267" s="42" t="str"/>
      <c r="L1267" s="42" t="str"/>
      <c r="M1267" s="42" t="str"/>
      <c r="N1267" s="42" t="str"/>
      <c r="O1267" s="42" t="inlineStr">
        <is>
          <t>現行公式資料でこの窓種のSAFE 30mil規格○/×を本Revisionでは直接取得できていない。推測しない。</t>
        </is>
      </c>
    </row>
    <row r="1268">
      <c r="A1268" s="42" t="inlineStr">
        <is>
          <t>SZ-SL-001267</t>
        </is>
      </c>
      <c r="B1268" s="42" t="inlineStr">
        <is>
          <t>WT-SL-FIX-IN</t>
        </is>
      </c>
      <c r="C1268" s="42" t="inlineStr">
        <is>
          <t>FIX窓（内押縁タイプ）</t>
        </is>
      </c>
      <c r="D1268" s="42" t="str"/>
      <c r="E1268" s="42" t="inlineStr">
        <is>
          <t>03620</t>
        </is>
      </c>
      <c r="F1268" s="42" t="inlineStr">
        <is>
          <t>405</t>
        </is>
      </c>
      <c r="G1268" s="42" t="inlineStr">
        <is>
          <t>2030</t>
        </is>
      </c>
      <c r="H1268" s="42" t="inlineStr">
        <is>
          <t>True</t>
        </is>
      </c>
      <c r="I1268" s="42" t="inlineStr">
        <is>
          <t>NOT_EVALUATED</t>
        </is>
      </c>
      <c r="J1268" s="42" t="inlineStr">
        <is>
          <t>NO_DIRECT_STANDARD_MATRIX_IN_RETRIEVED_SOURCE</t>
        </is>
      </c>
      <c r="K1268" s="42" t="str"/>
      <c r="L1268" s="42" t="str"/>
      <c r="M1268" s="42" t="str"/>
      <c r="N1268" s="42" t="str"/>
      <c r="O1268" s="42" t="inlineStr">
        <is>
          <t>現行公式資料でこの窓種のSAFE 30mil規格○/×を本Revisionでは直接取得できていない。推測しない。</t>
        </is>
      </c>
    </row>
    <row r="1269">
      <c r="A1269" s="42" t="inlineStr">
        <is>
          <t>SZ-SL-001268</t>
        </is>
      </c>
      <c r="B1269" s="42" t="inlineStr">
        <is>
          <t>WT-SL-FIX-IN</t>
        </is>
      </c>
      <c r="C1269" s="42" t="inlineStr">
        <is>
          <t>FIX窓（内押縁タイプ）</t>
        </is>
      </c>
      <c r="D1269" s="42" t="str"/>
      <c r="E1269" s="42" t="inlineStr">
        <is>
          <t>03622</t>
        </is>
      </c>
      <c r="F1269" s="42" t="inlineStr">
        <is>
          <t>405</t>
        </is>
      </c>
      <c r="G1269" s="42" t="inlineStr">
        <is>
          <t>2230</t>
        </is>
      </c>
      <c r="H1269" s="42" t="inlineStr">
        <is>
          <t>True</t>
        </is>
      </c>
      <c r="I1269" s="42" t="inlineStr">
        <is>
          <t>NOT_EVALUATED</t>
        </is>
      </c>
      <c r="J1269" s="42" t="inlineStr">
        <is>
          <t>NO_DIRECT_STANDARD_MATRIX_IN_RETRIEVED_SOURCE</t>
        </is>
      </c>
      <c r="K1269" s="42" t="str"/>
      <c r="L1269" s="42" t="str"/>
      <c r="M1269" s="42" t="str"/>
      <c r="N1269" s="42" t="str"/>
      <c r="O1269" s="42" t="inlineStr">
        <is>
          <t>現行公式資料でこの窓種のSAFE 30mil規格○/×を本Revisionでは直接取得できていない。推測しない。</t>
        </is>
      </c>
    </row>
    <row r="1270">
      <c r="A1270" s="42" t="inlineStr">
        <is>
          <t>SZ-SL-001269</t>
        </is>
      </c>
      <c r="B1270" s="42" t="inlineStr">
        <is>
          <t>WT-SL-FIX-IN</t>
        </is>
      </c>
      <c r="C1270" s="42" t="inlineStr">
        <is>
          <t>FIX窓（内押縁タイプ）</t>
        </is>
      </c>
      <c r="D1270" s="42" t="str"/>
      <c r="E1270" s="42" t="inlineStr">
        <is>
          <t>03624</t>
        </is>
      </c>
      <c r="F1270" s="42" t="inlineStr">
        <is>
          <t>405</t>
        </is>
      </c>
      <c r="G1270" s="42" t="inlineStr">
        <is>
          <t>2430</t>
        </is>
      </c>
      <c r="H1270" s="42" t="inlineStr">
        <is>
          <t>True</t>
        </is>
      </c>
      <c r="I1270" s="42" t="inlineStr">
        <is>
          <t>NOT_EVALUATED</t>
        </is>
      </c>
      <c r="J1270" s="42" t="inlineStr">
        <is>
          <t>NO_DIRECT_STANDARD_MATRIX_IN_RETRIEVED_SOURCE</t>
        </is>
      </c>
      <c r="K1270" s="42" t="str"/>
      <c r="L1270" s="42" t="str"/>
      <c r="M1270" s="42" t="str"/>
      <c r="N1270" s="42" t="str"/>
      <c r="O1270" s="42" t="inlineStr">
        <is>
          <t>現行公式資料でこの窓種のSAFE 30mil規格○/×を本Revisionでは直接取得できていない。推測しない。</t>
        </is>
      </c>
    </row>
    <row r="1271">
      <c r="A1271" s="42" t="inlineStr">
        <is>
          <t>SZ-SL-001270</t>
        </is>
      </c>
      <c r="B1271" s="42" t="inlineStr">
        <is>
          <t>WT-SL-FIX-IN</t>
        </is>
      </c>
      <c r="C1271" s="42" t="inlineStr">
        <is>
          <t>FIX窓（内押縁タイプ）</t>
        </is>
      </c>
      <c r="D1271" s="42" t="str"/>
      <c r="E1271" s="42" t="inlineStr">
        <is>
          <t>06018</t>
        </is>
      </c>
      <c r="F1271" s="42" t="inlineStr">
        <is>
          <t>640</t>
        </is>
      </c>
      <c r="G1271" s="42" t="inlineStr">
        <is>
          <t>1830</t>
        </is>
      </c>
      <c r="H1271" s="42" t="inlineStr">
        <is>
          <t>True</t>
        </is>
      </c>
      <c r="I1271" s="42" t="inlineStr">
        <is>
          <t>NOT_EVALUATED</t>
        </is>
      </c>
      <c r="J1271" s="42" t="inlineStr">
        <is>
          <t>NO_DIRECT_STANDARD_MATRIX_IN_RETRIEVED_SOURCE</t>
        </is>
      </c>
      <c r="K1271" s="42" t="str"/>
      <c r="L1271" s="42" t="str"/>
      <c r="M1271" s="42" t="str"/>
      <c r="N1271" s="42" t="str"/>
      <c r="O1271" s="42" t="inlineStr">
        <is>
          <t>現行公式資料でこの窓種のSAFE 30mil規格○/×を本Revisionでは直接取得できていない。推測しない。</t>
        </is>
      </c>
    </row>
    <row r="1272">
      <c r="A1272" s="42" t="inlineStr">
        <is>
          <t>SZ-SL-001271</t>
        </is>
      </c>
      <c r="B1272" s="42" t="inlineStr">
        <is>
          <t>WT-SL-FIX-IN</t>
        </is>
      </c>
      <c r="C1272" s="42" t="inlineStr">
        <is>
          <t>FIX窓（内押縁タイプ）</t>
        </is>
      </c>
      <c r="D1272" s="42" t="str"/>
      <c r="E1272" s="42" t="inlineStr">
        <is>
          <t>06020</t>
        </is>
      </c>
      <c r="F1272" s="42" t="inlineStr">
        <is>
          <t>640</t>
        </is>
      </c>
      <c r="G1272" s="42" t="inlineStr">
        <is>
          <t>2030</t>
        </is>
      </c>
      <c r="H1272" s="42" t="inlineStr">
        <is>
          <t>True</t>
        </is>
      </c>
      <c r="I1272" s="42" t="inlineStr">
        <is>
          <t>NOT_EVALUATED</t>
        </is>
      </c>
      <c r="J1272" s="42" t="inlineStr">
        <is>
          <t>NO_DIRECT_STANDARD_MATRIX_IN_RETRIEVED_SOURCE</t>
        </is>
      </c>
      <c r="K1272" s="42" t="str"/>
      <c r="L1272" s="42" t="str"/>
      <c r="M1272" s="42" t="str"/>
      <c r="N1272" s="42" t="str"/>
      <c r="O1272" s="42" t="inlineStr">
        <is>
          <t>現行公式資料でこの窓種のSAFE 30mil規格○/×を本Revisionでは直接取得できていない。推測しない。</t>
        </is>
      </c>
    </row>
    <row r="1273">
      <c r="A1273" s="42" t="inlineStr">
        <is>
          <t>SZ-SL-001272</t>
        </is>
      </c>
      <c r="B1273" s="42" t="inlineStr">
        <is>
          <t>WT-SL-FIX-IN</t>
        </is>
      </c>
      <c r="C1273" s="42" t="inlineStr">
        <is>
          <t>FIX窓（内押縁タイプ）</t>
        </is>
      </c>
      <c r="D1273" s="42" t="str"/>
      <c r="E1273" s="42" t="inlineStr">
        <is>
          <t>06022</t>
        </is>
      </c>
      <c r="F1273" s="42" t="inlineStr">
        <is>
          <t>640</t>
        </is>
      </c>
      <c r="G1273" s="42" t="inlineStr">
        <is>
          <t>2230</t>
        </is>
      </c>
      <c r="H1273" s="42" t="inlineStr">
        <is>
          <t>True</t>
        </is>
      </c>
      <c r="I1273" s="42" t="inlineStr">
        <is>
          <t>NOT_EVALUATED</t>
        </is>
      </c>
      <c r="J1273" s="42" t="inlineStr">
        <is>
          <t>NO_DIRECT_STANDARD_MATRIX_IN_RETRIEVED_SOURCE</t>
        </is>
      </c>
      <c r="K1273" s="42" t="str"/>
      <c r="L1273" s="42" t="str"/>
      <c r="M1273" s="42" t="str"/>
      <c r="N1273" s="42" t="str"/>
      <c r="O1273" s="42" t="inlineStr">
        <is>
          <t>現行公式資料でこの窓種のSAFE 30mil規格○/×を本Revisionでは直接取得できていない。推測しない。</t>
        </is>
      </c>
    </row>
    <row r="1274">
      <c r="A1274" s="42" t="inlineStr">
        <is>
          <t>SZ-SL-001273</t>
        </is>
      </c>
      <c r="B1274" s="42" t="inlineStr">
        <is>
          <t>WT-SL-FIX-IN</t>
        </is>
      </c>
      <c r="C1274" s="42" t="inlineStr">
        <is>
          <t>FIX窓（内押縁タイプ）</t>
        </is>
      </c>
      <c r="D1274" s="42" t="str"/>
      <c r="E1274" s="42" t="inlineStr">
        <is>
          <t>06024</t>
        </is>
      </c>
      <c r="F1274" s="42" t="inlineStr">
        <is>
          <t>640</t>
        </is>
      </c>
      <c r="G1274" s="42" t="inlineStr">
        <is>
          <t>2430</t>
        </is>
      </c>
      <c r="H1274" s="42" t="inlineStr">
        <is>
          <t>True</t>
        </is>
      </c>
      <c r="I1274" s="42" t="inlineStr">
        <is>
          <t>NOT_EVALUATED</t>
        </is>
      </c>
      <c r="J1274" s="42" t="inlineStr">
        <is>
          <t>NO_DIRECT_STANDARD_MATRIX_IN_RETRIEVED_SOURCE</t>
        </is>
      </c>
      <c r="K1274" s="42" t="str"/>
      <c r="L1274" s="42" t="str"/>
      <c r="M1274" s="42" t="str"/>
      <c r="N1274" s="42" t="str"/>
      <c r="O1274" s="42" t="inlineStr">
        <is>
          <t>現行公式資料でこの窓種のSAFE 30mil規格○/×を本Revisionでは直接取得できていない。推測しない。</t>
        </is>
      </c>
    </row>
    <row r="1275">
      <c r="A1275" s="42" t="inlineStr">
        <is>
          <t>SZ-SL-001274</t>
        </is>
      </c>
      <c r="B1275" s="42" t="inlineStr">
        <is>
          <t>WT-SL-FIX-IN</t>
        </is>
      </c>
      <c r="C1275" s="42" t="inlineStr">
        <is>
          <t>FIX窓（内押縁タイプ）</t>
        </is>
      </c>
      <c r="D1275" s="42" t="str"/>
      <c r="E1275" s="42" t="inlineStr">
        <is>
          <t>06918</t>
        </is>
      </c>
      <c r="F1275" s="42" t="inlineStr">
        <is>
          <t>730</t>
        </is>
      </c>
      <c r="G1275" s="42" t="inlineStr">
        <is>
          <t>1830</t>
        </is>
      </c>
      <c r="H1275" s="42" t="inlineStr">
        <is>
          <t>True</t>
        </is>
      </c>
      <c r="I1275" s="42" t="inlineStr">
        <is>
          <t>NOT_EVALUATED</t>
        </is>
      </c>
      <c r="J1275" s="42" t="inlineStr">
        <is>
          <t>NO_DIRECT_STANDARD_MATRIX_IN_RETRIEVED_SOURCE</t>
        </is>
      </c>
      <c r="K1275" s="42" t="str"/>
      <c r="L1275" s="42" t="str"/>
      <c r="M1275" s="42" t="str"/>
      <c r="N1275" s="42" t="str"/>
      <c r="O1275" s="42" t="inlineStr">
        <is>
          <t>現行公式資料でこの窓種のSAFE 30mil規格○/×を本Revisionでは直接取得できていない。推測しない。</t>
        </is>
      </c>
    </row>
    <row r="1276">
      <c r="A1276" s="42" t="inlineStr">
        <is>
          <t>SZ-SL-001275</t>
        </is>
      </c>
      <c r="B1276" s="42" t="inlineStr">
        <is>
          <t>WT-SL-FIX-IN</t>
        </is>
      </c>
      <c r="C1276" s="42" t="inlineStr">
        <is>
          <t>FIX窓（内押縁タイプ）</t>
        </is>
      </c>
      <c r="D1276" s="42" t="str"/>
      <c r="E1276" s="42" t="inlineStr">
        <is>
          <t>06920</t>
        </is>
      </c>
      <c r="F1276" s="42" t="inlineStr">
        <is>
          <t>730</t>
        </is>
      </c>
      <c r="G1276" s="42" t="inlineStr">
        <is>
          <t>2030</t>
        </is>
      </c>
      <c r="H1276" s="42" t="inlineStr">
        <is>
          <t>True</t>
        </is>
      </c>
      <c r="I1276" s="42" t="inlineStr">
        <is>
          <t>NOT_EVALUATED</t>
        </is>
      </c>
      <c r="J1276" s="42" t="inlineStr">
        <is>
          <t>NO_DIRECT_STANDARD_MATRIX_IN_RETRIEVED_SOURCE</t>
        </is>
      </c>
      <c r="K1276" s="42" t="str"/>
      <c r="L1276" s="42" t="str"/>
      <c r="M1276" s="42" t="str"/>
      <c r="N1276" s="42" t="str"/>
      <c r="O1276" s="42" t="inlineStr">
        <is>
          <t>現行公式資料でこの窓種のSAFE 30mil規格○/×を本Revisionでは直接取得できていない。推測しない。</t>
        </is>
      </c>
    </row>
    <row r="1277">
      <c r="A1277" s="42" t="inlineStr">
        <is>
          <t>SZ-SL-001276</t>
        </is>
      </c>
      <c r="B1277" s="42" t="inlineStr">
        <is>
          <t>WT-SL-FIX-IN</t>
        </is>
      </c>
      <c r="C1277" s="42" t="inlineStr">
        <is>
          <t>FIX窓（内押縁タイプ）</t>
        </is>
      </c>
      <c r="D1277" s="42" t="str"/>
      <c r="E1277" s="42" t="inlineStr">
        <is>
          <t>07418</t>
        </is>
      </c>
      <c r="F1277" s="42" t="inlineStr">
        <is>
          <t>780</t>
        </is>
      </c>
      <c r="G1277" s="42" t="inlineStr">
        <is>
          <t>1830</t>
        </is>
      </c>
      <c r="H1277" s="42" t="inlineStr">
        <is>
          <t>True</t>
        </is>
      </c>
      <c r="I1277" s="42" t="inlineStr">
        <is>
          <t>NOT_EVALUATED</t>
        </is>
      </c>
      <c r="J1277" s="42" t="inlineStr">
        <is>
          <t>NO_DIRECT_STANDARD_MATRIX_IN_RETRIEVED_SOURCE</t>
        </is>
      </c>
      <c r="K1277" s="42" t="str"/>
      <c r="L1277" s="42" t="str"/>
      <c r="M1277" s="42" t="str"/>
      <c r="N1277" s="42" t="str"/>
      <c r="O1277" s="42" t="inlineStr">
        <is>
          <t>現行公式資料でこの窓種のSAFE 30mil規格○/×を本Revisionでは直接取得できていない。推測しない。</t>
        </is>
      </c>
    </row>
    <row r="1278">
      <c r="A1278" s="42" t="inlineStr">
        <is>
          <t>SZ-SL-001277</t>
        </is>
      </c>
      <c r="B1278" s="42" t="inlineStr">
        <is>
          <t>WT-SL-FIX-IN</t>
        </is>
      </c>
      <c r="C1278" s="42" t="inlineStr">
        <is>
          <t>FIX窓（内押縁タイプ）</t>
        </is>
      </c>
      <c r="D1278" s="42" t="str"/>
      <c r="E1278" s="42" t="inlineStr">
        <is>
          <t>07420</t>
        </is>
      </c>
      <c r="F1278" s="42" t="inlineStr">
        <is>
          <t>780</t>
        </is>
      </c>
      <c r="G1278" s="42" t="inlineStr">
        <is>
          <t>2030</t>
        </is>
      </c>
      <c r="H1278" s="42" t="inlineStr">
        <is>
          <t>True</t>
        </is>
      </c>
      <c r="I1278" s="42" t="inlineStr">
        <is>
          <t>NOT_EVALUATED</t>
        </is>
      </c>
      <c r="J1278" s="42" t="inlineStr">
        <is>
          <t>NO_DIRECT_STANDARD_MATRIX_IN_RETRIEVED_SOURCE</t>
        </is>
      </c>
      <c r="K1278" s="42" t="str"/>
      <c r="L1278" s="42" t="str"/>
      <c r="M1278" s="42" t="str"/>
      <c r="N1278" s="42" t="str"/>
      <c r="O1278" s="42" t="inlineStr">
        <is>
          <t>現行公式資料でこの窓種のSAFE 30mil規格○/×を本Revisionでは直接取得できていない。推測しない。</t>
        </is>
      </c>
    </row>
    <row r="1279">
      <c r="A1279" s="42" t="inlineStr">
        <is>
          <t>SZ-SL-001278</t>
        </is>
      </c>
      <c r="B1279" s="42" t="inlineStr">
        <is>
          <t>WT-SL-FIX-IN</t>
        </is>
      </c>
      <c r="C1279" s="42" t="inlineStr">
        <is>
          <t>FIX窓（内押縁タイプ）</t>
        </is>
      </c>
      <c r="D1279" s="42" t="str"/>
      <c r="E1279" s="42" t="inlineStr">
        <is>
          <t>07422</t>
        </is>
      </c>
      <c r="F1279" s="42" t="inlineStr">
        <is>
          <t>780</t>
        </is>
      </c>
      <c r="G1279" s="42" t="inlineStr">
        <is>
          <t>2230</t>
        </is>
      </c>
      <c r="H1279" s="42" t="inlineStr">
        <is>
          <t>True</t>
        </is>
      </c>
      <c r="I1279" s="42" t="inlineStr">
        <is>
          <t>NOT_EVALUATED</t>
        </is>
      </c>
      <c r="J1279" s="42" t="inlineStr">
        <is>
          <t>NO_DIRECT_STANDARD_MATRIX_IN_RETRIEVED_SOURCE</t>
        </is>
      </c>
      <c r="K1279" s="42" t="str"/>
      <c r="L1279" s="42" t="str"/>
      <c r="M1279" s="42" t="str"/>
      <c r="N1279" s="42" t="str"/>
      <c r="O1279" s="42" t="inlineStr">
        <is>
          <t>現行公式資料でこの窓種のSAFE 30mil規格○/×を本Revisionでは直接取得できていない。推測しない。</t>
        </is>
      </c>
    </row>
    <row r="1280">
      <c r="A1280" s="42" t="inlineStr">
        <is>
          <t>SZ-SL-001279</t>
        </is>
      </c>
      <c r="B1280" s="42" t="inlineStr">
        <is>
          <t>WT-SL-FIX-IN</t>
        </is>
      </c>
      <c r="C1280" s="42" t="inlineStr">
        <is>
          <t>FIX窓（内押縁タイプ）</t>
        </is>
      </c>
      <c r="D1280" s="42" t="str"/>
      <c r="E1280" s="42" t="inlineStr">
        <is>
          <t>07424</t>
        </is>
      </c>
      <c r="F1280" s="42" t="inlineStr">
        <is>
          <t>780</t>
        </is>
      </c>
      <c r="G1280" s="42" t="inlineStr">
        <is>
          <t>2430</t>
        </is>
      </c>
      <c r="H1280" s="42" t="inlineStr">
        <is>
          <t>True</t>
        </is>
      </c>
      <c r="I1280" s="42" t="inlineStr">
        <is>
          <t>NOT_EVALUATED</t>
        </is>
      </c>
      <c r="J1280" s="42" t="inlineStr">
        <is>
          <t>NO_DIRECT_STANDARD_MATRIX_IN_RETRIEVED_SOURCE</t>
        </is>
      </c>
      <c r="K1280" s="42" t="str"/>
      <c r="L1280" s="42" t="str"/>
      <c r="M1280" s="42" t="str"/>
      <c r="N1280" s="42" t="str"/>
      <c r="O1280" s="42" t="inlineStr">
        <is>
          <t>現行公式資料でこの窓種のSAFE 30mil規格○/×を本Revisionでは直接取得できていない。推測しない。</t>
        </is>
      </c>
    </row>
    <row r="1281">
      <c r="A1281" s="42" t="inlineStr">
        <is>
          <t>SZ-SL-001280</t>
        </is>
      </c>
      <c r="B1281" s="42" t="inlineStr">
        <is>
          <t>WT-SL-FIX-IN</t>
        </is>
      </c>
      <c r="C1281" s="42" t="inlineStr">
        <is>
          <t>FIX窓（内押縁タイプ）</t>
        </is>
      </c>
      <c r="D1281" s="42" t="str"/>
      <c r="E1281" s="42" t="inlineStr">
        <is>
          <t>11918</t>
        </is>
      </c>
      <c r="F1281" s="42" t="inlineStr">
        <is>
          <t>1235</t>
        </is>
      </c>
      <c r="G1281" s="42" t="inlineStr">
        <is>
          <t>1830</t>
        </is>
      </c>
      <c r="H1281" s="42" t="inlineStr">
        <is>
          <t>True</t>
        </is>
      </c>
      <c r="I1281" s="42" t="inlineStr">
        <is>
          <t>NOT_EVALUATED</t>
        </is>
      </c>
      <c r="J1281" s="42" t="inlineStr">
        <is>
          <t>NO_DIRECT_STANDARD_MATRIX_IN_RETRIEVED_SOURCE</t>
        </is>
      </c>
      <c r="K1281" s="42" t="str"/>
      <c r="L1281" s="42" t="str"/>
      <c r="M1281" s="42" t="str"/>
      <c r="N1281" s="42" t="str"/>
      <c r="O1281" s="42" t="inlineStr">
        <is>
          <t>現行公式資料でこの窓種のSAFE 30mil規格○/×を本Revisionでは直接取得できていない。推測しない。</t>
        </is>
      </c>
    </row>
    <row r="1282">
      <c r="A1282" s="42" t="inlineStr">
        <is>
          <t>SZ-SL-001281</t>
        </is>
      </c>
      <c r="B1282" s="42" t="inlineStr">
        <is>
          <t>WT-SL-FIX-IN</t>
        </is>
      </c>
      <c r="C1282" s="42" t="inlineStr">
        <is>
          <t>FIX窓（内押縁タイプ）</t>
        </is>
      </c>
      <c r="D1282" s="42" t="str"/>
      <c r="E1282" s="42" t="inlineStr">
        <is>
          <t>11920</t>
        </is>
      </c>
      <c r="F1282" s="42" t="inlineStr">
        <is>
          <t>1235</t>
        </is>
      </c>
      <c r="G1282" s="42" t="inlineStr">
        <is>
          <t>2030</t>
        </is>
      </c>
      <c r="H1282" s="42" t="inlineStr">
        <is>
          <t>True</t>
        </is>
      </c>
      <c r="I1282" s="42" t="inlineStr">
        <is>
          <t>NOT_EVALUATED</t>
        </is>
      </c>
      <c r="J1282" s="42" t="inlineStr">
        <is>
          <t>NO_DIRECT_STANDARD_MATRIX_IN_RETRIEVED_SOURCE</t>
        </is>
      </c>
      <c r="K1282" s="42" t="str"/>
      <c r="L1282" s="42" t="str"/>
      <c r="M1282" s="42" t="str"/>
      <c r="N1282" s="42" t="str"/>
      <c r="O1282" s="42" t="inlineStr">
        <is>
          <t>現行公式資料でこの窓種のSAFE 30mil規格○/×を本Revisionでは直接取得できていない。推測しない。</t>
        </is>
      </c>
    </row>
    <row r="1283">
      <c r="A1283" s="42" t="inlineStr">
        <is>
          <t>SZ-SL-001282</t>
        </is>
      </c>
      <c r="B1283" s="42" t="inlineStr">
        <is>
          <t>WT-SL-FIX-IN</t>
        </is>
      </c>
      <c r="C1283" s="42" t="inlineStr">
        <is>
          <t>FIX窓（内押縁タイプ）</t>
        </is>
      </c>
      <c r="D1283" s="42" t="str"/>
      <c r="E1283" s="42" t="inlineStr">
        <is>
          <t>11922</t>
        </is>
      </c>
      <c r="F1283" s="42" t="inlineStr">
        <is>
          <t>1235</t>
        </is>
      </c>
      <c r="G1283" s="42" t="inlineStr">
        <is>
          <t>2230</t>
        </is>
      </c>
      <c r="H1283" s="42" t="inlineStr">
        <is>
          <t>True</t>
        </is>
      </c>
      <c r="I1283" s="42" t="inlineStr">
        <is>
          <t>NOT_EVALUATED</t>
        </is>
      </c>
      <c r="J1283" s="42" t="inlineStr">
        <is>
          <t>NO_DIRECT_STANDARD_MATRIX_IN_RETRIEVED_SOURCE</t>
        </is>
      </c>
      <c r="K1283" s="42" t="str"/>
      <c r="L1283" s="42" t="str"/>
      <c r="M1283" s="42" t="str"/>
      <c r="N1283" s="42" t="str"/>
      <c r="O1283" s="42" t="inlineStr">
        <is>
          <t>現行公式資料でこの窓種のSAFE 30mil規格○/×を本Revisionでは直接取得できていない。推測しない。</t>
        </is>
      </c>
    </row>
    <row r="1284">
      <c r="A1284" s="42" t="inlineStr">
        <is>
          <t>SZ-SL-001283</t>
        </is>
      </c>
      <c r="B1284" s="42" t="inlineStr">
        <is>
          <t>WT-SL-FIX-IN</t>
        </is>
      </c>
      <c r="C1284" s="42" t="inlineStr">
        <is>
          <t>FIX窓（内押縁タイプ）</t>
        </is>
      </c>
      <c r="D1284" s="42" t="str"/>
      <c r="E1284" s="42" t="inlineStr">
        <is>
          <t>11924</t>
        </is>
      </c>
      <c r="F1284" s="42" t="inlineStr">
        <is>
          <t>1235</t>
        </is>
      </c>
      <c r="G1284" s="42" t="inlineStr">
        <is>
          <t>2430</t>
        </is>
      </c>
      <c r="H1284" s="42" t="inlineStr">
        <is>
          <t>True</t>
        </is>
      </c>
      <c r="I1284" s="42" t="inlineStr">
        <is>
          <t>NOT_EVALUATED</t>
        </is>
      </c>
      <c r="J1284" s="42" t="inlineStr">
        <is>
          <t>NO_DIRECT_STANDARD_MATRIX_IN_RETRIEVED_SOURCE</t>
        </is>
      </c>
      <c r="K1284" s="42" t="str"/>
      <c r="L1284" s="42" t="str"/>
      <c r="M1284" s="42" t="str"/>
      <c r="N1284" s="42" t="str"/>
      <c r="O1284" s="42" t="inlineStr">
        <is>
          <t>現行公式資料でこの窓種のSAFE 30mil規格○/×を本Revisionでは直接取得できていない。推測しない。</t>
        </is>
      </c>
    </row>
    <row r="1285">
      <c r="A1285" s="42" t="inlineStr">
        <is>
          <t>SZ-SL-001284</t>
        </is>
      </c>
      <c r="B1285" s="42" t="inlineStr">
        <is>
          <t>WT-SL-FIX-IN</t>
        </is>
      </c>
      <c r="C1285" s="42" t="inlineStr">
        <is>
          <t>FIX窓（内押縁タイプ）</t>
        </is>
      </c>
      <c r="D1285" s="42" t="str"/>
      <c r="E1285" s="42" t="inlineStr">
        <is>
          <t>16518</t>
        </is>
      </c>
      <c r="F1285" s="42" t="inlineStr">
        <is>
          <t>1690</t>
        </is>
      </c>
      <c r="G1285" s="42" t="inlineStr">
        <is>
          <t>1830</t>
        </is>
      </c>
      <c r="H1285" s="42" t="inlineStr">
        <is>
          <t>True</t>
        </is>
      </c>
      <c r="I1285" s="42" t="inlineStr">
        <is>
          <t>NOT_EVALUATED</t>
        </is>
      </c>
      <c r="J1285" s="42" t="inlineStr">
        <is>
          <t>NO_DIRECT_STANDARD_MATRIX_IN_RETRIEVED_SOURCE</t>
        </is>
      </c>
      <c r="K1285" s="42" t="str"/>
      <c r="L1285" s="42" t="str"/>
      <c r="M1285" s="42" t="str"/>
      <c r="N1285" s="42" t="str"/>
      <c r="O1285" s="42" t="inlineStr">
        <is>
          <t>現行公式資料でこの窓種のSAFE 30mil規格○/×を本Revisionでは直接取得できていない。推測しない。</t>
        </is>
      </c>
    </row>
    <row r="1286">
      <c r="A1286" s="42" t="inlineStr">
        <is>
          <t>SZ-SL-001285</t>
        </is>
      </c>
      <c r="B1286" s="42" t="inlineStr">
        <is>
          <t>WT-SL-FIX-IN</t>
        </is>
      </c>
      <c r="C1286" s="42" t="inlineStr">
        <is>
          <t>FIX窓（内押縁タイプ）</t>
        </is>
      </c>
      <c r="D1286" s="42" t="str"/>
      <c r="E1286" s="42" t="inlineStr">
        <is>
          <t>16520</t>
        </is>
      </c>
      <c r="F1286" s="42" t="inlineStr">
        <is>
          <t>1690</t>
        </is>
      </c>
      <c r="G1286" s="42" t="inlineStr">
        <is>
          <t>2030</t>
        </is>
      </c>
      <c r="H1286" s="42" t="inlineStr">
        <is>
          <t>True</t>
        </is>
      </c>
      <c r="I1286" s="42" t="inlineStr">
        <is>
          <t>NOT_EVALUATED</t>
        </is>
      </c>
      <c r="J1286" s="42" t="inlineStr">
        <is>
          <t>NO_DIRECT_STANDARD_MATRIX_IN_RETRIEVED_SOURCE</t>
        </is>
      </c>
      <c r="K1286" s="42" t="str"/>
      <c r="L1286" s="42" t="str"/>
      <c r="M1286" s="42" t="str"/>
      <c r="N1286" s="42" t="str"/>
      <c r="O1286" s="42" t="inlineStr">
        <is>
          <t>現行公式資料でこの窓種のSAFE 30mil規格○/×を本Revisionでは直接取得できていない。推測しない。</t>
        </is>
      </c>
    </row>
    <row r="1287">
      <c r="A1287" s="42" t="inlineStr">
        <is>
          <t>SZ-SL-001286</t>
        </is>
      </c>
      <c r="B1287" s="42" t="inlineStr">
        <is>
          <t>WT-SL-FIX-IN</t>
        </is>
      </c>
      <c r="C1287" s="42" t="inlineStr">
        <is>
          <t>FIX窓（内押縁タイプ）</t>
        </is>
      </c>
      <c r="D1287" s="42" t="str"/>
      <c r="E1287" s="42" t="inlineStr">
        <is>
          <t>16522</t>
        </is>
      </c>
      <c r="F1287" s="42" t="inlineStr">
        <is>
          <t>1690</t>
        </is>
      </c>
      <c r="G1287" s="42" t="inlineStr">
        <is>
          <t>2230</t>
        </is>
      </c>
      <c r="H1287" s="42" t="inlineStr">
        <is>
          <t>True</t>
        </is>
      </c>
      <c r="I1287" s="42" t="inlineStr">
        <is>
          <t>NOT_EVALUATED</t>
        </is>
      </c>
      <c r="J1287" s="42" t="inlineStr">
        <is>
          <t>NO_DIRECT_STANDARD_MATRIX_IN_RETRIEVED_SOURCE</t>
        </is>
      </c>
      <c r="K1287" s="42" t="str"/>
      <c r="L1287" s="42" t="str"/>
      <c r="M1287" s="42" t="str"/>
      <c r="N1287" s="42" t="str"/>
      <c r="O1287" s="42" t="inlineStr">
        <is>
          <t>現行公式資料でこの窓種のSAFE 30mil規格○/×を本Revisionでは直接取得できていない。推測しない。</t>
        </is>
      </c>
    </row>
    <row r="1288">
      <c r="A1288" s="42" t="inlineStr">
        <is>
          <t>SZ-SL-001287</t>
        </is>
      </c>
      <c r="B1288" s="42" t="inlineStr">
        <is>
          <t>WT-SL-FIX-IN</t>
        </is>
      </c>
      <c r="C1288" s="42" t="inlineStr">
        <is>
          <t>FIX窓（内押縁タイプ）</t>
        </is>
      </c>
      <c r="D1288" s="42" t="str"/>
      <c r="E1288" s="42" t="inlineStr">
        <is>
          <t>16524</t>
        </is>
      </c>
      <c r="F1288" s="42" t="inlineStr">
        <is>
          <t>1690</t>
        </is>
      </c>
      <c r="G1288" s="42" t="inlineStr">
        <is>
          <t>2430</t>
        </is>
      </c>
      <c r="H1288" s="42" t="inlineStr">
        <is>
          <t>True</t>
        </is>
      </c>
      <c r="I1288" s="42" t="inlineStr">
        <is>
          <t>NOT_EVALUATED</t>
        </is>
      </c>
      <c r="J1288" s="42" t="inlineStr">
        <is>
          <t>NO_DIRECT_STANDARD_MATRIX_IN_RETRIEVED_SOURCE</t>
        </is>
      </c>
      <c r="K1288" s="42" t="str"/>
      <c r="L1288" s="42" t="str"/>
      <c r="M1288" s="42" t="str"/>
      <c r="N1288" s="42" t="str"/>
      <c r="O1288" s="42" t="inlineStr">
        <is>
          <t>現行公式資料でこの窓種のSAFE 30mil規格○/×を本Revisionでは直接取得できていない。推測しない。</t>
        </is>
      </c>
    </row>
    <row r="1289">
      <c r="A1289" s="42" t="inlineStr">
        <is>
          <t>SZ-SL-001288</t>
        </is>
      </c>
      <c r="B1289" s="42" t="inlineStr">
        <is>
          <t>WT-SL-FIX-IN</t>
        </is>
      </c>
      <c r="C1289" s="42" t="inlineStr">
        <is>
          <t>FIX窓（内押縁タイプ）</t>
        </is>
      </c>
      <c r="D1289" s="42" t="str"/>
      <c r="E1289" s="42" t="inlineStr">
        <is>
          <t>06922</t>
        </is>
      </c>
      <c r="F1289" s="42" t="inlineStr">
        <is>
          <t>730</t>
        </is>
      </c>
      <c r="G1289" s="42" t="inlineStr">
        <is>
          <t>2230</t>
        </is>
      </c>
      <c r="H1289" s="42" t="inlineStr">
        <is>
          <t>True</t>
        </is>
      </c>
      <c r="I1289" s="42" t="inlineStr">
        <is>
          <t>NOT_EVALUATED</t>
        </is>
      </c>
      <c r="J1289" s="42" t="inlineStr">
        <is>
          <t>NO_DIRECT_STANDARD_MATRIX_IN_RETRIEVED_SOURCE</t>
        </is>
      </c>
      <c r="K1289" s="42" t="str"/>
      <c r="L1289" s="42" t="str"/>
      <c r="M1289" s="42" t="str"/>
      <c r="N1289" s="42" t="str"/>
      <c r="O1289" s="42" t="inlineStr">
        <is>
          <t>現行公式資料でこの窓種のSAFE 30mil規格○/×を本Revisionでは直接取得できていない。推測しない。</t>
        </is>
      </c>
    </row>
    <row r="1290">
      <c r="A1290" s="42" t="inlineStr">
        <is>
          <t>SZ-SL-001289</t>
        </is>
      </c>
      <c r="B1290" s="42" t="inlineStr">
        <is>
          <t>WT-SL-FIX-IN</t>
        </is>
      </c>
      <c r="C1290" s="42" t="inlineStr">
        <is>
          <t>FIX窓（内押縁タイプ）</t>
        </is>
      </c>
      <c r="D1290" s="42" t="str"/>
      <c r="E1290" s="42" t="inlineStr">
        <is>
          <t>06924</t>
        </is>
      </c>
      <c r="F1290" s="42" t="inlineStr">
        <is>
          <t>730</t>
        </is>
      </c>
      <c r="G1290" s="42" t="inlineStr">
        <is>
          <t>2430</t>
        </is>
      </c>
      <c r="H1290" s="42" t="inlineStr">
        <is>
          <t>True</t>
        </is>
      </c>
      <c r="I1290" s="42" t="inlineStr">
        <is>
          <t>NOT_EVALUATED</t>
        </is>
      </c>
      <c r="J1290" s="42" t="inlineStr">
        <is>
          <t>NO_DIRECT_STANDARD_MATRIX_IN_RETRIEVED_SOURCE</t>
        </is>
      </c>
      <c r="K1290" s="42" t="str"/>
      <c r="L1290" s="42" t="str"/>
      <c r="M1290" s="42" t="str"/>
      <c r="N1290" s="42" t="str"/>
      <c r="O1290" s="42" t="inlineStr">
        <is>
          <t>現行公式資料でこの窓種のSAFE 30mil規格○/×を本Revisionでは直接取得できていない。推測しない。</t>
        </is>
      </c>
    </row>
    <row r="1291">
      <c r="A1291" s="42" t="inlineStr">
        <is>
          <t>SZ-SL-001290</t>
        </is>
      </c>
      <c r="B1291" s="42" t="inlineStr">
        <is>
          <t>WT-SL-UCHIDAOSHI</t>
        </is>
      </c>
      <c r="C1291" s="42" t="inlineStr">
        <is>
          <t>内倒し窓</t>
        </is>
      </c>
      <c r="D1291" s="42" t="str"/>
      <c r="E1291" s="42" t="inlineStr">
        <is>
          <t>03603</t>
        </is>
      </c>
      <c r="F1291" s="42" t="inlineStr">
        <is>
          <t>405</t>
        </is>
      </c>
      <c r="G1291" s="42" t="inlineStr">
        <is>
          <t>370</t>
        </is>
      </c>
      <c r="H1291" s="42" t="inlineStr">
        <is>
          <t>True</t>
        </is>
      </c>
      <c r="I1291" s="42" t="inlineStr">
        <is>
          <t>NOT_EVALUATED</t>
        </is>
      </c>
      <c r="J1291" s="42" t="inlineStr">
        <is>
          <t>NO_DIRECT_STANDARD_MATRIX_IN_RETRIEVED_SOURCE</t>
        </is>
      </c>
      <c r="K1291" s="42" t="str"/>
      <c r="L1291" s="42" t="str"/>
      <c r="M1291" s="42" t="str"/>
      <c r="N1291" s="42" t="str"/>
      <c r="O1291" s="42" t="inlineStr">
        <is>
          <t>現行公式資料でこの窓種のSAFE 30mil規格○/×を本Revisionでは直接取得できていない。推測しない。</t>
        </is>
      </c>
    </row>
    <row r="1292">
      <c r="A1292" s="42" t="inlineStr">
        <is>
          <t>SZ-SL-001291</t>
        </is>
      </c>
      <c r="B1292" s="42" t="inlineStr">
        <is>
          <t>WT-SL-UCHIDAOSHI</t>
        </is>
      </c>
      <c r="C1292" s="42" t="inlineStr">
        <is>
          <t>内倒し窓</t>
        </is>
      </c>
      <c r="D1292" s="42" t="str"/>
      <c r="E1292" s="42" t="inlineStr">
        <is>
          <t>03605</t>
        </is>
      </c>
      <c r="F1292" s="42" t="inlineStr">
        <is>
          <t>405</t>
        </is>
      </c>
      <c r="G1292" s="42" t="inlineStr">
        <is>
          <t>570</t>
        </is>
      </c>
      <c r="H1292" s="42" t="inlineStr">
        <is>
          <t>True</t>
        </is>
      </c>
      <c r="I1292" s="42" t="inlineStr">
        <is>
          <t>NOT_EVALUATED</t>
        </is>
      </c>
      <c r="J1292" s="42" t="inlineStr">
        <is>
          <t>NO_DIRECT_STANDARD_MATRIX_IN_RETRIEVED_SOURCE</t>
        </is>
      </c>
      <c r="K1292" s="42" t="str"/>
      <c r="L1292" s="42" t="str"/>
      <c r="M1292" s="42" t="str"/>
      <c r="N1292" s="42" t="str"/>
      <c r="O1292" s="42" t="inlineStr">
        <is>
          <t>現行公式資料でこの窓種のSAFE 30mil規格○/×を本Revisionでは直接取得できていない。推測しない。</t>
        </is>
      </c>
    </row>
    <row r="1293">
      <c r="A1293" s="42" t="inlineStr">
        <is>
          <t>SZ-SL-001292</t>
        </is>
      </c>
      <c r="B1293" s="42" t="inlineStr">
        <is>
          <t>WT-SL-UCHIDAOSHI</t>
        </is>
      </c>
      <c r="C1293" s="42" t="inlineStr">
        <is>
          <t>内倒し窓</t>
        </is>
      </c>
      <c r="D1293" s="42" t="str"/>
      <c r="E1293" s="42" t="inlineStr">
        <is>
          <t>03607</t>
        </is>
      </c>
      <c r="F1293" s="42" t="inlineStr">
        <is>
          <t>405</t>
        </is>
      </c>
      <c r="G1293" s="42" t="inlineStr">
        <is>
          <t>770</t>
        </is>
      </c>
      <c r="H1293" s="42" t="inlineStr">
        <is>
          <t>True</t>
        </is>
      </c>
      <c r="I1293" s="42" t="inlineStr">
        <is>
          <t>NOT_EVALUATED</t>
        </is>
      </c>
      <c r="J1293" s="42" t="inlineStr">
        <is>
          <t>NO_DIRECT_STANDARD_MATRIX_IN_RETRIEVED_SOURCE</t>
        </is>
      </c>
      <c r="K1293" s="42" t="str"/>
      <c r="L1293" s="42" t="str"/>
      <c r="M1293" s="42" t="str"/>
      <c r="N1293" s="42" t="str"/>
      <c r="O1293" s="42" t="inlineStr">
        <is>
          <t>現行公式資料でこの窓種のSAFE 30mil規格○/×を本Revisionでは直接取得できていない。推測しない。</t>
        </is>
      </c>
    </row>
    <row r="1294">
      <c r="A1294" s="42" t="inlineStr">
        <is>
          <t>SZ-SL-001293</t>
        </is>
      </c>
      <c r="B1294" s="42" t="inlineStr">
        <is>
          <t>WT-SL-UCHIDAOSHI</t>
        </is>
      </c>
      <c r="C1294" s="42" t="inlineStr">
        <is>
          <t>内倒し窓</t>
        </is>
      </c>
      <c r="D1294" s="42" t="str"/>
      <c r="E1294" s="42" t="inlineStr">
        <is>
          <t>06003</t>
        </is>
      </c>
      <c r="F1294" s="42" t="inlineStr">
        <is>
          <t>640</t>
        </is>
      </c>
      <c r="G1294" s="42" t="inlineStr">
        <is>
          <t>370</t>
        </is>
      </c>
      <c r="H1294" s="42" t="inlineStr">
        <is>
          <t>True</t>
        </is>
      </c>
      <c r="I1294" s="42" t="inlineStr">
        <is>
          <t>NOT_EVALUATED</t>
        </is>
      </c>
      <c r="J1294" s="42" t="inlineStr">
        <is>
          <t>NO_DIRECT_STANDARD_MATRIX_IN_RETRIEVED_SOURCE</t>
        </is>
      </c>
      <c r="K1294" s="42" t="str"/>
      <c r="L1294" s="42" t="str"/>
      <c r="M1294" s="42" t="str"/>
      <c r="N1294" s="42" t="str"/>
      <c r="O1294" s="42" t="inlineStr">
        <is>
          <t>現行公式資料でこの窓種のSAFE 30mil規格○/×を本Revisionでは直接取得できていない。推測しない。</t>
        </is>
      </c>
    </row>
    <row r="1295">
      <c r="A1295" s="42" t="inlineStr">
        <is>
          <t>SZ-SL-001294</t>
        </is>
      </c>
      <c r="B1295" s="42" t="inlineStr">
        <is>
          <t>WT-SL-UCHIDAOSHI</t>
        </is>
      </c>
      <c r="C1295" s="42" t="inlineStr">
        <is>
          <t>内倒し窓</t>
        </is>
      </c>
      <c r="D1295" s="42" t="str"/>
      <c r="E1295" s="42" t="inlineStr">
        <is>
          <t>06005</t>
        </is>
      </c>
      <c r="F1295" s="42" t="inlineStr">
        <is>
          <t>640</t>
        </is>
      </c>
      <c r="G1295" s="42" t="inlineStr">
        <is>
          <t>570</t>
        </is>
      </c>
      <c r="H1295" s="42" t="inlineStr">
        <is>
          <t>True</t>
        </is>
      </c>
      <c r="I1295" s="42" t="inlineStr">
        <is>
          <t>NOT_EVALUATED</t>
        </is>
      </c>
      <c r="J1295" s="42" t="inlineStr">
        <is>
          <t>NO_DIRECT_STANDARD_MATRIX_IN_RETRIEVED_SOURCE</t>
        </is>
      </c>
      <c r="K1295" s="42" t="str"/>
      <c r="L1295" s="42" t="str"/>
      <c r="M1295" s="42" t="str"/>
      <c r="N1295" s="42" t="str"/>
      <c r="O1295" s="42" t="inlineStr">
        <is>
          <t>現行公式資料でこの窓種のSAFE 30mil規格○/×を本Revisionでは直接取得できていない。推測しない。</t>
        </is>
      </c>
    </row>
    <row r="1296">
      <c r="A1296" s="42" t="inlineStr">
        <is>
          <t>SZ-SL-001295</t>
        </is>
      </c>
      <c r="B1296" s="42" t="inlineStr">
        <is>
          <t>WT-SL-UCHIDAOSHI</t>
        </is>
      </c>
      <c r="C1296" s="42" t="inlineStr">
        <is>
          <t>内倒し窓</t>
        </is>
      </c>
      <c r="D1296" s="42" t="str"/>
      <c r="E1296" s="42" t="inlineStr">
        <is>
          <t>06007</t>
        </is>
      </c>
      <c r="F1296" s="42" t="inlineStr">
        <is>
          <t>640</t>
        </is>
      </c>
      <c r="G1296" s="42" t="inlineStr">
        <is>
          <t>770</t>
        </is>
      </c>
      <c r="H1296" s="42" t="inlineStr">
        <is>
          <t>True</t>
        </is>
      </c>
      <c r="I1296" s="42" t="inlineStr">
        <is>
          <t>NOT_EVALUATED</t>
        </is>
      </c>
      <c r="J1296" s="42" t="inlineStr">
        <is>
          <t>NO_DIRECT_STANDARD_MATRIX_IN_RETRIEVED_SOURCE</t>
        </is>
      </c>
      <c r="K1296" s="42" t="str"/>
      <c r="L1296" s="42" t="str"/>
      <c r="M1296" s="42" t="str"/>
      <c r="N1296" s="42" t="str"/>
      <c r="O1296" s="42" t="inlineStr">
        <is>
          <t>現行公式資料でこの窓種のSAFE 30mil規格○/×を本Revisionでは直接取得できていない。推測しない。</t>
        </is>
      </c>
    </row>
    <row r="1297">
      <c r="A1297" s="42" t="inlineStr">
        <is>
          <t>SZ-SL-001296</t>
        </is>
      </c>
      <c r="B1297" s="42" t="inlineStr">
        <is>
          <t>WT-SL-UCHIDAOSHI</t>
        </is>
      </c>
      <c r="C1297" s="42" t="inlineStr">
        <is>
          <t>内倒し窓</t>
        </is>
      </c>
      <c r="D1297" s="42" t="str"/>
      <c r="E1297" s="42" t="inlineStr">
        <is>
          <t>06903</t>
        </is>
      </c>
      <c r="F1297" s="42" t="inlineStr">
        <is>
          <t>730</t>
        </is>
      </c>
      <c r="G1297" s="42" t="inlineStr">
        <is>
          <t>370</t>
        </is>
      </c>
      <c r="H1297" s="42" t="inlineStr">
        <is>
          <t>True</t>
        </is>
      </c>
      <c r="I1297" s="42" t="inlineStr">
        <is>
          <t>NOT_EVALUATED</t>
        </is>
      </c>
      <c r="J1297" s="42" t="inlineStr">
        <is>
          <t>NO_DIRECT_STANDARD_MATRIX_IN_RETRIEVED_SOURCE</t>
        </is>
      </c>
      <c r="K1297" s="42" t="str"/>
      <c r="L1297" s="42" t="str"/>
      <c r="M1297" s="42" t="str"/>
      <c r="N1297" s="42" t="str"/>
      <c r="O1297" s="42" t="inlineStr">
        <is>
          <t>現行公式資料でこの窓種のSAFE 30mil規格○/×を本Revisionでは直接取得できていない。推測しない。</t>
        </is>
      </c>
    </row>
    <row r="1298">
      <c r="A1298" s="42" t="inlineStr">
        <is>
          <t>SZ-SL-001297</t>
        </is>
      </c>
      <c r="B1298" s="42" t="inlineStr">
        <is>
          <t>WT-SL-UCHIDAOSHI</t>
        </is>
      </c>
      <c r="C1298" s="42" t="inlineStr">
        <is>
          <t>内倒し窓</t>
        </is>
      </c>
      <c r="D1298" s="42" t="str"/>
      <c r="E1298" s="42" t="inlineStr">
        <is>
          <t>06905</t>
        </is>
      </c>
      <c r="F1298" s="42" t="inlineStr">
        <is>
          <t>730</t>
        </is>
      </c>
      <c r="G1298" s="42" t="inlineStr">
        <is>
          <t>570</t>
        </is>
      </c>
      <c r="H1298" s="42" t="inlineStr">
        <is>
          <t>True</t>
        </is>
      </c>
      <c r="I1298" s="42" t="inlineStr">
        <is>
          <t>NOT_EVALUATED</t>
        </is>
      </c>
      <c r="J1298" s="42" t="inlineStr">
        <is>
          <t>NO_DIRECT_STANDARD_MATRIX_IN_RETRIEVED_SOURCE</t>
        </is>
      </c>
      <c r="K1298" s="42" t="str"/>
      <c r="L1298" s="42" t="str"/>
      <c r="M1298" s="42" t="str"/>
      <c r="N1298" s="42" t="str"/>
      <c r="O1298" s="42" t="inlineStr">
        <is>
          <t>現行公式資料でこの窓種のSAFE 30mil規格○/×を本Revisionでは直接取得できていない。推測しない。</t>
        </is>
      </c>
    </row>
    <row r="1299">
      <c r="A1299" s="42" t="inlineStr">
        <is>
          <t>SZ-SL-001298</t>
        </is>
      </c>
      <c r="B1299" s="42" t="inlineStr">
        <is>
          <t>WT-SL-UCHIDAOSHI</t>
        </is>
      </c>
      <c r="C1299" s="42" t="inlineStr">
        <is>
          <t>内倒し窓</t>
        </is>
      </c>
      <c r="D1299" s="42" t="str"/>
      <c r="E1299" s="42" t="inlineStr">
        <is>
          <t>06907</t>
        </is>
      </c>
      <c r="F1299" s="42" t="inlineStr">
        <is>
          <t>730</t>
        </is>
      </c>
      <c r="G1299" s="42" t="inlineStr">
        <is>
          <t>770</t>
        </is>
      </c>
      <c r="H1299" s="42" t="inlineStr">
        <is>
          <t>True</t>
        </is>
      </c>
      <c r="I1299" s="42" t="inlineStr">
        <is>
          <t>NOT_EVALUATED</t>
        </is>
      </c>
      <c r="J1299" s="42" t="inlineStr">
        <is>
          <t>NO_DIRECT_STANDARD_MATRIX_IN_RETRIEVED_SOURCE</t>
        </is>
      </c>
      <c r="K1299" s="42" t="str"/>
      <c r="L1299" s="42" t="str"/>
      <c r="M1299" s="42" t="str"/>
      <c r="N1299" s="42" t="str"/>
      <c r="O1299" s="42" t="inlineStr">
        <is>
          <t>現行公式資料でこの窓種のSAFE 30mil規格○/×を本Revisionでは直接取得できていない。推測しない。</t>
        </is>
      </c>
    </row>
    <row r="1300">
      <c r="A1300" s="42" t="inlineStr">
        <is>
          <t>SZ-SL-001299</t>
        </is>
      </c>
      <c r="B1300" s="42" t="inlineStr">
        <is>
          <t>WT-SL-UCHIDAOSHI</t>
        </is>
      </c>
      <c r="C1300" s="42" t="inlineStr">
        <is>
          <t>内倒し窓</t>
        </is>
      </c>
      <c r="D1300" s="42" t="str"/>
      <c r="E1300" s="42" t="inlineStr">
        <is>
          <t>07403</t>
        </is>
      </c>
      <c r="F1300" s="42" t="inlineStr">
        <is>
          <t>780</t>
        </is>
      </c>
      <c r="G1300" s="42" t="inlineStr">
        <is>
          <t>370</t>
        </is>
      </c>
      <c r="H1300" s="42" t="inlineStr">
        <is>
          <t>True</t>
        </is>
      </c>
      <c r="I1300" s="42" t="inlineStr">
        <is>
          <t>NOT_EVALUATED</t>
        </is>
      </c>
      <c r="J1300" s="42" t="inlineStr">
        <is>
          <t>NO_DIRECT_STANDARD_MATRIX_IN_RETRIEVED_SOURCE</t>
        </is>
      </c>
      <c r="K1300" s="42" t="str"/>
      <c r="L1300" s="42" t="str"/>
      <c r="M1300" s="42" t="str"/>
      <c r="N1300" s="42" t="str"/>
      <c r="O1300" s="42" t="inlineStr">
        <is>
          <t>現行公式資料でこの窓種のSAFE 30mil規格○/×を本Revisionでは直接取得できていない。推測しない。</t>
        </is>
      </c>
    </row>
    <row r="1301">
      <c r="A1301" s="42" t="inlineStr">
        <is>
          <t>SZ-SL-001300</t>
        </is>
      </c>
      <c r="B1301" s="42" t="inlineStr">
        <is>
          <t>WT-SL-UCHIDAOSHI</t>
        </is>
      </c>
      <c r="C1301" s="42" t="inlineStr">
        <is>
          <t>内倒し窓</t>
        </is>
      </c>
      <c r="D1301" s="42" t="str"/>
      <c r="E1301" s="42" t="inlineStr">
        <is>
          <t>07405</t>
        </is>
      </c>
      <c r="F1301" s="42" t="inlineStr">
        <is>
          <t>780</t>
        </is>
      </c>
      <c r="G1301" s="42" t="inlineStr">
        <is>
          <t>570</t>
        </is>
      </c>
      <c r="H1301" s="42" t="inlineStr">
        <is>
          <t>True</t>
        </is>
      </c>
      <c r="I1301" s="42" t="inlineStr">
        <is>
          <t>NOT_EVALUATED</t>
        </is>
      </c>
      <c r="J1301" s="42" t="inlineStr">
        <is>
          <t>NO_DIRECT_STANDARD_MATRIX_IN_RETRIEVED_SOURCE</t>
        </is>
      </c>
      <c r="K1301" s="42" t="str"/>
      <c r="L1301" s="42" t="str"/>
      <c r="M1301" s="42" t="str"/>
      <c r="N1301" s="42" t="str"/>
      <c r="O1301" s="42" t="inlineStr">
        <is>
          <t>現行公式資料でこの窓種のSAFE 30mil規格○/×を本Revisionでは直接取得できていない。推測しない。</t>
        </is>
      </c>
    </row>
    <row r="1302">
      <c r="A1302" s="42" t="inlineStr">
        <is>
          <t>SZ-SL-001301</t>
        </is>
      </c>
      <c r="B1302" s="42" t="inlineStr">
        <is>
          <t>WT-SL-UCHIDAOSHI</t>
        </is>
      </c>
      <c r="C1302" s="42" t="inlineStr">
        <is>
          <t>内倒し窓</t>
        </is>
      </c>
      <c r="D1302" s="42" t="str"/>
      <c r="E1302" s="42" t="inlineStr">
        <is>
          <t>07407</t>
        </is>
      </c>
      <c r="F1302" s="42" t="inlineStr">
        <is>
          <t>780</t>
        </is>
      </c>
      <c r="G1302" s="42" t="inlineStr">
        <is>
          <t>770</t>
        </is>
      </c>
      <c r="H1302" s="42" t="inlineStr">
        <is>
          <t>True</t>
        </is>
      </c>
      <c r="I1302" s="42" t="inlineStr">
        <is>
          <t>NOT_EVALUATED</t>
        </is>
      </c>
      <c r="J1302" s="42" t="inlineStr">
        <is>
          <t>NO_DIRECT_STANDARD_MATRIX_IN_RETRIEVED_SOURCE</t>
        </is>
      </c>
      <c r="K1302" s="42" t="str"/>
      <c r="L1302" s="42" t="str"/>
      <c r="M1302" s="42" t="str"/>
      <c r="N1302" s="42" t="str"/>
      <c r="O1302" s="42" t="inlineStr">
        <is>
          <t>現行公式資料でこの窓種のSAFE 30mil規格○/×を本Revisionでは直接取得できていない。推測しない。</t>
        </is>
      </c>
    </row>
    <row r="1303">
      <c r="A1303" s="42" t="inlineStr">
        <is>
          <t>SZ-SL-001302</t>
        </is>
      </c>
      <c r="B1303" s="42" t="inlineStr">
        <is>
          <t>WT-SL-UCHIDAOSHI</t>
        </is>
      </c>
      <c r="C1303" s="42" t="inlineStr">
        <is>
          <t>内倒し窓</t>
        </is>
      </c>
      <c r="D1303" s="42" t="str"/>
      <c r="E1303" s="42" t="inlineStr">
        <is>
          <t>11903</t>
        </is>
      </c>
      <c r="F1303" s="42" t="inlineStr">
        <is>
          <t>1235</t>
        </is>
      </c>
      <c r="G1303" s="42" t="inlineStr">
        <is>
          <t>370</t>
        </is>
      </c>
      <c r="H1303" s="42" t="inlineStr">
        <is>
          <t>True</t>
        </is>
      </c>
      <c r="I1303" s="42" t="inlineStr">
        <is>
          <t>NOT_EVALUATED</t>
        </is>
      </c>
      <c r="J1303" s="42" t="inlineStr">
        <is>
          <t>NO_DIRECT_STANDARD_MATRIX_IN_RETRIEVED_SOURCE</t>
        </is>
      </c>
      <c r="K1303" s="42" t="str"/>
      <c r="L1303" s="42" t="str"/>
      <c r="M1303" s="42" t="str"/>
      <c r="N1303" s="42" t="str"/>
      <c r="O1303" s="42" t="inlineStr">
        <is>
          <t>現行公式資料でこの窓種のSAFE 30mil規格○/×を本Revisionでは直接取得できていない。推測しない。</t>
        </is>
      </c>
    </row>
    <row r="1304">
      <c r="A1304" s="42" t="inlineStr">
        <is>
          <t>SZ-SL-001303</t>
        </is>
      </c>
      <c r="B1304" s="42" t="inlineStr">
        <is>
          <t>WT-SL-UCHIDAOSHI</t>
        </is>
      </c>
      <c r="C1304" s="42" t="inlineStr">
        <is>
          <t>内倒し窓</t>
        </is>
      </c>
      <c r="D1304" s="42" t="str"/>
      <c r="E1304" s="42" t="inlineStr">
        <is>
          <t>16503</t>
        </is>
      </c>
      <c r="F1304" s="42" t="inlineStr">
        <is>
          <t>1690</t>
        </is>
      </c>
      <c r="G1304" s="42" t="inlineStr">
        <is>
          <t>370</t>
        </is>
      </c>
      <c r="H1304" s="42" t="inlineStr">
        <is>
          <t>True</t>
        </is>
      </c>
      <c r="I1304" s="42" t="inlineStr">
        <is>
          <t>NOT_EVALUATED</t>
        </is>
      </c>
      <c r="J1304" s="42" t="inlineStr">
        <is>
          <t>NO_DIRECT_STANDARD_MATRIX_IN_RETRIEVED_SOURCE</t>
        </is>
      </c>
      <c r="K1304" s="42" t="str"/>
      <c r="L1304" s="42" t="str"/>
      <c r="M1304" s="42" t="str"/>
      <c r="N1304" s="42" t="str"/>
      <c r="O1304" s="42" t="inlineStr">
        <is>
          <t>現行公式資料でこの窓種のSAFE 30mil規格○/×を本Revisionでは直接取得できていない。推測しない。</t>
        </is>
      </c>
    </row>
    <row r="1305">
      <c r="A1305" s="42" t="inlineStr">
        <is>
          <t>SZ-SL-001304</t>
        </is>
      </c>
      <c r="B1305" s="42" t="inlineStr">
        <is>
          <t>WT-SL-SOTODAOSHI</t>
        </is>
      </c>
      <c r="C1305" s="42" t="inlineStr">
        <is>
          <t>外倒し窓</t>
        </is>
      </c>
      <c r="D1305" s="42" t="str"/>
      <c r="E1305" s="42" t="inlineStr">
        <is>
          <t>06005</t>
        </is>
      </c>
      <c r="F1305" s="42" t="inlineStr">
        <is>
          <t>640</t>
        </is>
      </c>
      <c r="G1305" s="42" t="inlineStr">
        <is>
          <t>570</t>
        </is>
      </c>
      <c r="H1305" s="42" t="inlineStr">
        <is>
          <t>True</t>
        </is>
      </c>
      <c r="I1305" s="42" t="inlineStr">
        <is>
          <t>NOT_EVALUATED</t>
        </is>
      </c>
      <c r="J1305" s="42" t="inlineStr">
        <is>
          <t>NO_DIRECT_STANDARD_MATRIX_IN_RETRIEVED_SOURCE</t>
        </is>
      </c>
      <c r="K1305" s="42" t="str"/>
      <c r="L1305" s="42" t="str"/>
      <c r="M1305" s="42" t="str"/>
      <c r="N1305" s="42" t="str"/>
      <c r="O1305" s="42" t="inlineStr">
        <is>
          <t>現行公式資料でこの窓種のSAFE 30mil規格○/×を本Revisionでは直接取得できていない。推測しない。</t>
        </is>
      </c>
    </row>
    <row r="1306">
      <c r="A1306" s="42" t="inlineStr">
        <is>
          <t>SZ-SL-001305</t>
        </is>
      </c>
      <c r="B1306" s="42" t="inlineStr">
        <is>
          <t>WT-SL-SOTODAOSHI</t>
        </is>
      </c>
      <c r="C1306" s="42" t="inlineStr">
        <is>
          <t>外倒し窓</t>
        </is>
      </c>
      <c r="D1306" s="42" t="str"/>
      <c r="E1306" s="42" t="inlineStr">
        <is>
          <t>06007</t>
        </is>
      </c>
      <c r="F1306" s="42" t="inlineStr">
        <is>
          <t>640</t>
        </is>
      </c>
      <c r="G1306" s="42" t="inlineStr">
        <is>
          <t>770</t>
        </is>
      </c>
      <c r="H1306" s="42" t="inlineStr">
        <is>
          <t>True</t>
        </is>
      </c>
      <c r="I1306" s="42" t="inlineStr">
        <is>
          <t>NOT_EVALUATED</t>
        </is>
      </c>
      <c r="J1306" s="42" t="inlineStr">
        <is>
          <t>NO_DIRECT_STANDARD_MATRIX_IN_RETRIEVED_SOURCE</t>
        </is>
      </c>
      <c r="K1306" s="42" t="str"/>
      <c r="L1306" s="42" t="str"/>
      <c r="M1306" s="42" t="str"/>
      <c r="N1306" s="42" t="str"/>
      <c r="O1306" s="42" t="inlineStr">
        <is>
          <t>現行公式資料でこの窓種のSAFE 30mil規格○/×を本Revisionでは直接取得できていない。推測しない。</t>
        </is>
      </c>
    </row>
    <row r="1307">
      <c r="A1307" s="42" t="inlineStr">
        <is>
          <t>SZ-SL-001306</t>
        </is>
      </c>
      <c r="B1307" s="42" t="inlineStr">
        <is>
          <t>WT-SL-SOTODAOSHI</t>
        </is>
      </c>
      <c r="C1307" s="42" t="inlineStr">
        <is>
          <t>外倒し窓</t>
        </is>
      </c>
      <c r="D1307" s="42" t="str"/>
      <c r="E1307" s="42" t="inlineStr">
        <is>
          <t>06905</t>
        </is>
      </c>
      <c r="F1307" s="42" t="inlineStr">
        <is>
          <t>730</t>
        </is>
      </c>
      <c r="G1307" s="42" t="inlineStr">
        <is>
          <t>570</t>
        </is>
      </c>
      <c r="H1307" s="42" t="inlineStr">
        <is>
          <t>True</t>
        </is>
      </c>
      <c r="I1307" s="42" t="inlineStr">
        <is>
          <t>NOT_EVALUATED</t>
        </is>
      </c>
      <c r="J1307" s="42" t="inlineStr">
        <is>
          <t>NO_DIRECT_STANDARD_MATRIX_IN_RETRIEVED_SOURCE</t>
        </is>
      </c>
      <c r="K1307" s="42" t="str"/>
      <c r="L1307" s="42" t="str"/>
      <c r="M1307" s="42" t="str"/>
      <c r="N1307" s="42" t="str"/>
      <c r="O1307" s="42" t="inlineStr">
        <is>
          <t>現行公式資料でこの窓種のSAFE 30mil規格○/×を本Revisionでは直接取得できていない。推測しない。</t>
        </is>
      </c>
    </row>
    <row r="1308">
      <c r="A1308" s="42" t="inlineStr">
        <is>
          <t>SZ-SL-001307</t>
        </is>
      </c>
      <c r="B1308" s="42" t="inlineStr">
        <is>
          <t>WT-SL-SOTODAOSHI</t>
        </is>
      </c>
      <c r="C1308" s="42" t="inlineStr">
        <is>
          <t>外倒し窓</t>
        </is>
      </c>
      <c r="D1308" s="42" t="str"/>
      <c r="E1308" s="42" t="inlineStr">
        <is>
          <t>06907</t>
        </is>
      </c>
      <c r="F1308" s="42" t="inlineStr">
        <is>
          <t>730</t>
        </is>
      </c>
      <c r="G1308" s="42" t="inlineStr">
        <is>
          <t>770</t>
        </is>
      </c>
      <c r="H1308" s="42" t="inlineStr">
        <is>
          <t>True</t>
        </is>
      </c>
      <c r="I1308" s="42" t="inlineStr">
        <is>
          <t>NOT_EVALUATED</t>
        </is>
      </c>
      <c r="J1308" s="42" t="inlineStr">
        <is>
          <t>NO_DIRECT_STANDARD_MATRIX_IN_RETRIEVED_SOURCE</t>
        </is>
      </c>
      <c r="K1308" s="42" t="str"/>
      <c r="L1308" s="42" t="str"/>
      <c r="M1308" s="42" t="str"/>
      <c r="N1308" s="42" t="str"/>
      <c r="O1308" s="42" t="inlineStr">
        <is>
          <t>現行公式資料でこの窓種のSAFE 30mil規格○/×を本Revisionでは直接取得できていない。推測しない。</t>
        </is>
      </c>
    </row>
    <row r="1309">
      <c r="A1309" s="42" t="inlineStr">
        <is>
          <t>SZ-SL-001308</t>
        </is>
      </c>
      <c r="B1309" s="42" t="inlineStr">
        <is>
          <t>WT-SL-SOTODAOSHI</t>
        </is>
      </c>
      <c r="C1309" s="42" t="inlineStr">
        <is>
          <t>外倒し窓</t>
        </is>
      </c>
      <c r="D1309" s="42" t="str"/>
      <c r="E1309" s="42" t="inlineStr">
        <is>
          <t>07405</t>
        </is>
      </c>
      <c r="F1309" s="42" t="inlineStr">
        <is>
          <t>780</t>
        </is>
      </c>
      <c r="G1309" s="42" t="inlineStr">
        <is>
          <t>570</t>
        </is>
      </c>
      <c r="H1309" s="42" t="inlineStr">
        <is>
          <t>True</t>
        </is>
      </c>
      <c r="I1309" s="42" t="inlineStr">
        <is>
          <t>NOT_EVALUATED</t>
        </is>
      </c>
      <c r="J1309" s="42" t="inlineStr">
        <is>
          <t>NO_DIRECT_STANDARD_MATRIX_IN_RETRIEVED_SOURCE</t>
        </is>
      </c>
      <c r="K1309" s="42" t="str"/>
      <c r="L1309" s="42" t="str"/>
      <c r="M1309" s="42" t="str"/>
      <c r="N1309" s="42" t="str"/>
      <c r="O1309" s="42" t="inlineStr">
        <is>
          <t>現行公式資料でこの窓種のSAFE 30mil規格○/×を本Revisionでは直接取得できていない。推測しない。</t>
        </is>
      </c>
    </row>
    <row r="1310">
      <c r="A1310" s="42" t="inlineStr">
        <is>
          <t>SZ-SL-001309</t>
        </is>
      </c>
      <c r="B1310" s="42" t="inlineStr">
        <is>
          <t>WT-SL-SOTODAOSHI</t>
        </is>
      </c>
      <c r="C1310" s="42" t="inlineStr">
        <is>
          <t>外倒し窓</t>
        </is>
      </c>
      <c r="D1310" s="42" t="str"/>
      <c r="E1310" s="42" t="inlineStr">
        <is>
          <t>07407</t>
        </is>
      </c>
      <c r="F1310" s="42" t="inlineStr">
        <is>
          <t>780</t>
        </is>
      </c>
      <c r="G1310" s="42" t="inlineStr">
        <is>
          <t>770</t>
        </is>
      </c>
      <c r="H1310" s="42" t="inlineStr">
        <is>
          <t>True</t>
        </is>
      </c>
      <c r="I1310" s="42" t="inlineStr">
        <is>
          <t>NOT_EVALUATED</t>
        </is>
      </c>
      <c r="J1310" s="42" t="inlineStr">
        <is>
          <t>NO_DIRECT_STANDARD_MATRIX_IN_RETRIEVED_SOURCE</t>
        </is>
      </c>
      <c r="K1310" s="42" t="str"/>
      <c r="L1310" s="42" t="str"/>
      <c r="M1310" s="42" t="str"/>
      <c r="N1310" s="42" t="str"/>
      <c r="O1310" s="42" t="inlineStr">
        <is>
          <t>現行公式資料でこの窓種のSAFE 30mil規格○/×を本Revisionでは直接取得できていない。推測しない。</t>
        </is>
      </c>
    </row>
    <row r="1311">
      <c r="A1311" s="42" t="inlineStr">
        <is>
          <t>SZ-SL-001310</t>
        </is>
      </c>
      <c r="B1311" s="42" t="inlineStr">
        <is>
          <t>WT-SL-SOTODAOSHI</t>
        </is>
      </c>
      <c r="C1311" s="42" t="inlineStr">
        <is>
          <t>外倒し窓</t>
        </is>
      </c>
      <c r="D1311" s="42" t="str"/>
      <c r="E1311" s="42" t="inlineStr">
        <is>
          <t>16505</t>
        </is>
      </c>
      <c r="F1311" s="42" t="inlineStr">
        <is>
          <t>1690</t>
        </is>
      </c>
      <c r="G1311" s="42" t="inlineStr">
        <is>
          <t>570</t>
        </is>
      </c>
      <c r="H1311" s="42" t="inlineStr">
        <is>
          <t>True</t>
        </is>
      </c>
      <c r="I1311" s="42" t="inlineStr">
        <is>
          <t>NOT_EVALUATED</t>
        </is>
      </c>
      <c r="J1311" s="42" t="inlineStr">
        <is>
          <t>NO_DIRECT_STANDARD_MATRIX_IN_RETRIEVED_SOURCE</t>
        </is>
      </c>
      <c r="K1311" s="42" t="str"/>
      <c r="L1311" s="42" t="str"/>
      <c r="M1311" s="42" t="str"/>
      <c r="N1311" s="42" t="str"/>
      <c r="O1311" s="42" t="inlineStr">
        <is>
          <t>現行公式資料でこの窓種のSAFE 30mil規格○/×を本Revisionでは直接取得できていない。推測しない。</t>
        </is>
      </c>
    </row>
    <row r="1312">
      <c r="A1312" s="42" t="inlineStr">
        <is>
          <t>SZ-SL-001311</t>
        </is>
      </c>
      <c r="B1312" s="42" t="inlineStr">
        <is>
          <t>WT-SL-SOTODAOSHI</t>
        </is>
      </c>
      <c r="C1312" s="42" t="inlineStr">
        <is>
          <t>外倒し窓</t>
        </is>
      </c>
      <c r="D1312" s="42" t="str"/>
      <c r="E1312" s="42" t="inlineStr">
        <is>
          <t>16507</t>
        </is>
      </c>
      <c r="F1312" s="42" t="inlineStr">
        <is>
          <t>1690</t>
        </is>
      </c>
      <c r="G1312" s="42" t="inlineStr">
        <is>
          <t>770</t>
        </is>
      </c>
      <c r="H1312" s="42" t="inlineStr">
        <is>
          <t>True</t>
        </is>
      </c>
      <c r="I1312" s="42" t="inlineStr">
        <is>
          <t>NOT_EVALUATED</t>
        </is>
      </c>
      <c r="J1312" s="42" t="inlineStr">
        <is>
          <t>NO_DIRECT_STANDARD_MATRIX_IN_RETRIEVED_SOURCE</t>
        </is>
      </c>
      <c r="K1312" s="42" t="str"/>
      <c r="L1312" s="42" t="str"/>
      <c r="M1312" s="42" t="str"/>
      <c r="N1312" s="42" t="str"/>
      <c r="O1312" s="42" t="inlineStr">
        <is>
          <t>現行公式資料でこの窓種のSAFE 30mil規格○/×を本Revisionでは直接取得できていない。推測しない。</t>
        </is>
      </c>
    </row>
    <row r="1313">
      <c r="A1313" s="42" t="inlineStr">
        <is>
          <t>SZ-SL-001312</t>
        </is>
      </c>
      <c r="B1313" s="42" t="inlineStr">
        <is>
          <t>WT-SL-KAZARI-HIKI</t>
        </is>
      </c>
      <c r="C1313" s="42" t="inlineStr">
        <is>
          <t>装飾引違い窓</t>
        </is>
      </c>
      <c r="D1313" s="42" t="inlineStr">
        <is>
          <t>SP-SL-KAZARI-H</t>
        </is>
      </c>
      <c r="E1313" s="42" t="inlineStr">
        <is>
          <t>06905</t>
        </is>
      </c>
      <c r="F1313" s="42" t="inlineStr">
        <is>
          <t>730</t>
        </is>
      </c>
      <c r="G1313" s="42" t="inlineStr">
        <is>
          <t>570</t>
        </is>
      </c>
      <c r="H1313" s="42" t="inlineStr">
        <is>
          <t>True</t>
        </is>
      </c>
      <c r="I1313" s="42" t="inlineStr">
        <is>
          <t>NOT_EVALUATED</t>
        </is>
      </c>
      <c r="J1313" s="42" t="inlineStr">
        <is>
          <t>NO_DIRECT_STANDARD_MATRIX_IN_RETRIEVED_SOURCE</t>
        </is>
      </c>
      <c r="K1313" s="42" t="str"/>
      <c r="L1313" s="42" t="str"/>
      <c r="M1313" s="42" t="str"/>
      <c r="N1313" s="42" t="str"/>
      <c r="O1313" s="42" t="inlineStr">
        <is>
          <t>現行公式資料でこの窓種のSAFE 30mil規格○/×を本Revisionでは直接取得できていない。推測しない。</t>
        </is>
      </c>
    </row>
    <row r="1314">
      <c r="A1314" s="42" t="inlineStr">
        <is>
          <t>SZ-SL-001313</t>
        </is>
      </c>
      <c r="B1314" s="42" t="inlineStr">
        <is>
          <t>WT-SL-KAZARI-HIKI</t>
        </is>
      </c>
      <c r="C1314" s="42" t="inlineStr">
        <is>
          <t>装飾引違い窓</t>
        </is>
      </c>
      <c r="D1314" s="42" t="inlineStr">
        <is>
          <t>SP-SL-KAZARI-H</t>
        </is>
      </c>
      <c r="E1314" s="42" t="inlineStr">
        <is>
          <t>06907</t>
        </is>
      </c>
      <c r="F1314" s="42" t="inlineStr">
        <is>
          <t>730</t>
        </is>
      </c>
      <c r="G1314" s="42" t="inlineStr">
        <is>
          <t>770</t>
        </is>
      </c>
      <c r="H1314" s="42" t="inlineStr">
        <is>
          <t>True</t>
        </is>
      </c>
      <c r="I1314" s="42" t="inlineStr">
        <is>
          <t>NOT_EVALUATED</t>
        </is>
      </c>
      <c r="J1314" s="42" t="inlineStr">
        <is>
          <t>NO_DIRECT_STANDARD_MATRIX_IN_RETRIEVED_SOURCE</t>
        </is>
      </c>
      <c r="K1314" s="42" t="str"/>
      <c r="L1314" s="42" t="str"/>
      <c r="M1314" s="42" t="str"/>
      <c r="N1314" s="42" t="str"/>
      <c r="O1314" s="42" t="inlineStr">
        <is>
          <t>現行公式資料でこの窓種のSAFE 30mil規格○/×を本Revisionでは直接取得できていない。推測しない。</t>
        </is>
      </c>
    </row>
    <row r="1315">
      <c r="A1315" s="42" t="inlineStr">
        <is>
          <t>SZ-SL-001314</t>
        </is>
      </c>
      <c r="B1315" s="42" t="inlineStr">
        <is>
          <t>WT-SL-KAZARI-HIKI</t>
        </is>
      </c>
      <c r="C1315" s="42" t="inlineStr">
        <is>
          <t>装飾引違い窓</t>
        </is>
      </c>
      <c r="D1315" s="42" t="inlineStr">
        <is>
          <t>SP-SL-KAZARI-H</t>
        </is>
      </c>
      <c r="E1315" s="42" t="inlineStr">
        <is>
          <t>06909</t>
        </is>
      </c>
      <c r="F1315" s="42" t="inlineStr">
        <is>
          <t>730</t>
        </is>
      </c>
      <c r="G1315" s="42" t="inlineStr">
        <is>
          <t>970</t>
        </is>
      </c>
      <c r="H1315" s="42" t="inlineStr">
        <is>
          <t>True</t>
        </is>
      </c>
      <c r="I1315" s="42" t="inlineStr">
        <is>
          <t>NOT_EVALUATED</t>
        </is>
      </c>
      <c r="J1315" s="42" t="inlineStr">
        <is>
          <t>NO_DIRECT_STANDARD_MATRIX_IN_RETRIEVED_SOURCE</t>
        </is>
      </c>
      <c r="K1315" s="42" t="str"/>
      <c r="L1315" s="42" t="str"/>
      <c r="M1315" s="42" t="str"/>
      <c r="N1315" s="42" t="str"/>
      <c r="O1315" s="42" t="inlineStr">
        <is>
          <t>現行公式資料でこの窓種のSAFE 30mil規格○/×を本Revisionでは直接取得できていない。推測しない。</t>
        </is>
      </c>
    </row>
    <row r="1316">
      <c r="A1316" s="42" t="inlineStr">
        <is>
          <t>SZ-SL-001315</t>
        </is>
      </c>
      <c r="B1316" s="42" t="inlineStr">
        <is>
          <t>WT-SL-KAZARI-HIKI</t>
        </is>
      </c>
      <c r="C1316" s="42" t="inlineStr">
        <is>
          <t>装飾引違い窓</t>
        </is>
      </c>
      <c r="D1316" s="42" t="inlineStr">
        <is>
          <t>SP-SL-KAZARI-H</t>
        </is>
      </c>
      <c r="E1316" s="42" t="inlineStr">
        <is>
          <t>07405</t>
        </is>
      </c>
      <c r="F1316" s="42" t="inlineStr">
        <is>
          <t>780</t>
        </is>
      </c>
      <c r="G1316" s="42" t="inlineStr">
        <is>
          <t>570</t>
        </is>
      </c>
      <c r="H1316" s="42" t="inlineStr">
        <is>
          <t>True</t>
        </is>
      </c>
      <c r="I1316" s="42" t="inlineStr">
        <is>
          <t>NOT_EVALUATED</t>
        </is>
      </c>
      <c r="J1316" s="42" t="inlineStr">
        <is>
          <t>NO_DIRECT_STANDARD_MATRIX_IN_RETRIEVED_SOURCE</t>
        </is>
      </c>
      <c r="K1316" s="42" t="str"/>
      <c r="L1316" s="42" t="str"/>
      <c r="M1316" s="42" t="str"/>
      <c r="N1316" s="42" t="str"/>
      <c r="O1316" s="42" t="inlineStr">
        <is>
          <t>現行公式資料でこの窓種のSAFE 30mil規格○/×を本Revisionでは直接取得できていない。推測しない。</t>
        </is>
      </c>
    </row>
    <row r="1317">
      <c r="A1317" s="42" t="inlineStr">
        <is>
          <t>SZ-SL-001316</t>
        </is>
      </c>
      <c r="B1317" s="42" t="inlineStr">
        <is>
          <t>WT-SL-KAZARI-HIKI</t>
        </is>
      </c>
      <c r="C1317" s="42" t="inlineStr">
        <is>
          <t>装飾引違い窓</t>
        </is>
      </c>
      <c r="D1317" s="42" t="inlineStr">
        <is>
          <t>SP-SL-KAZARI-H</t>
        </is>
      </c>
      <c r="E1317" s="42" t="inlineStr">
        <is>
          <t>07407</t>
        </is>
      </c>
      <c r="F1317" s="42" t="inlineStr">
        <is>
          <t>780</t>
        </is>
      </c>
      <c r="G1317" s="42" t="inlineStr">
        <is>
          <t>770</t>
        </is>
      </c>
      <c r="H1317" s="42" t="inlineStr">
        <is>
          <t>True</t>
        </is>
      </c>
      <c r="I1317" s="42" t="inlineStr">
        <is>
          <t>NOT_EVALUATED</t>
        </is>
      </c>
      <c r="J1317" s="42" t="inlineStr">
        <is>
          <t>NO_DIRECT_STANDARD_MATRIX_IN_RETRIEVED_SOURCE</t>
        </is>
      </c>
      <c r="K1317" s="42" t="str"/>
      <c r="L1317" s="42" t="str"/>
      <c r="M1317" s="42" t="str"/>
      <c r="N1317" s="42" t="str"/>
      <c r="O1317" s="42" t="inlineStr">
        <is>
          <t>現行公式資料でこの窓種のSAFE 30mil規格○/×を本Revisionでは直接取得できていない。推測しない。</t>
        </is>
      </c>
    </row>
    <row r="1318">
      <c r="A1318" s="42" t="inlineStr">
        <is>
          <t>SZ-SL-001317</t>
        </is>
      </c>
      <c r="B1318" s="42" t="inlineStr">
        <is>
          <t>WT-SL-KAZARI-HIKI</t>
        </is>
      </c>
      <c r="C1318" s="42" t="inlineStr">
        <is>
          <t>装飾引違い窓</t>
        </is>
      </c>
      <c r="D1318" s="42" t="inlineStr">
        <is>
          <t>SP-SL-KAZARI-H</t>
        </is>
      </c>
      <c r="E1318" s="42" t="inlineStr">
        <is>
          <t>07409</t>
        </is>
      </c>
      <c r="F1318" s="42" t="inlineStr">
        <is>
          <t>780</t>
        </is>
      </c>
      <c r="G1318" s="42" t="inlineStr">
        <is>
          <t>970</t>
        </is>
      </c>
      <c r="H1318" s="42" t="inlineStr">
        <is>
          <t>True</t>
        </is>
      </c>
      <c r="I1318" s="42" t="inlineStr">
        <is>
          <t>NOT_EVALUATED</t>
        </is>
      </c>
      <c r="J1318" s="42" t="inlineStr">
        <is>
          <t>NO_DIRECT_STANDARD_MATRIX_IN_RETRIEVED_SOURCE</t>
        </is>
      </c>
      <c r="K1318" s="42" t="str"/>
      <c r="L1318" s="42" t="str"/>
      <c r="M1318" s="42" t="str"/>
      <c r="N1318" s="42" t="str"/>
      <c r="O1318" s="42" t="inlineStr">
        <is>
          <t>現行公式資料でこの窓種のSAFE 30mil規格○/×を本Revisionでは直接取得できていない。推測しない。</t>
        </is>
      </c>
    </row>
    <row r="1319">
      <c r="A1319" s="42" t="inlineStr">
        <is>
          <t>SZ-SL-001318</t>
        </is>
      </c>
      <c r="B1319" s="42" t="inlineStr">
        <is>
          <t>WT-SL-KAZARI-HIKI</t>
        </is>
      </c>
      <c r="C1319" s="42" t="inlineStr">
        <is>
          <t>装飾引違い窓</t>
        </is>
      </c>
      <c r="D1319" s="42" t="inlineStr">
        <is>
          <t>SP-SL-KAZARI-H</t>
        </is>
      </c>
      <c r="E1319" s="42" t="inlineStr">
        <is>
          <t>11405</t>
        </is>
      </c>
      <c r="F1319" s="42" t="inlineStr">
        <is>
          <t>1185</t>
        </is>
      </c>
      <c r="G1319" s="42" t="inlineStr">
        <is>
          <t>570</t>
        </is>
      </c>
      <c r="H1319" s="42" t="inlineStr">
        <is>
          <t>True</t>
        </is>
      </c>
      <c r="I1319" s="42" t="inlineStr">
        <is>
          <t>NOT_EVALUATED</t>
        </is>
      </c>
      <c r="J1319" s="42" t="inlineStr">
        <is>
          <t>NO_DIRECT_STANDARD_MATRIX_IN_RETRIEVED_SOURCE</t>
        </is>
      </c>
      <c r="K1319" s="42" t="str"/>
      <c r="L1319" s="42" t="str"/>
      <c r="M1319" s="42" t="str"/>
      <c r="N1319" s="42" t="str"/>
      <c r="O1319" s="42" t="inlineStr">
        <is>
          <t>現行公式資料でこの窓種のSAFE 30mil規格○/×を本Revisionでは直接取得できていない。推測しない。</t>
        </is>
      </c>
    </row>
    <row r="1320">
      <c r="A1320" s="42" t="inlineStr">
        <is>
          <t>SZ-SL-001319</t>
        </is>
      </c>
      <c r="B1320" s="42" t="inlineStr">
        <is>
          <t>WT-SL-KAZARI-HIKI</t>
        </is>
      </c>
      <c r="C1320" s="42" t="inlineStr">
        <is>
          <t>装飾引違い窓</t>
        </is>
      </c>
      <c r="D1320" s="42" t="inlineStr">
        <is>
          <t>SP-SL-KAZARI-H</t>
        </is>
      </c>
      <c r="E1320" s="42" t="inlineStr">
        <is>
          <t>11407</t>
        </is>
      </c>
      <c r="F1320" s="42" t="inlineStr">
        <is>
          <t>1185</t>
        </is>
      </c>
      <c r="G1320" s="42" t="inlineStr">
        <is>
          <t>770</t>
        </is>
      </c>
      <c r="H1320" s="42" t="inlineStr">
        <is>
          <t>True</t>
        </is>
      </c>
      <c r="I1320" s="42" t="inlineStr">
        <is>
          <t>NOT_EVALUATED</t>
        </is>
      </c>
      <c r="J1320" s="42" t="inlineStr">
        <is>
          <t>NO_DIRECT_STANDARD_MATRIX_IN_RETRIEVED_SOURCE</t>
        </is>
      </c>
      <c r="K1320" s="42" t="str"/>
      <c r="L1320" s="42" t="str"/>
      <c r="M1320" s="42" t="str"/>
      <c r="N1320" s="42" t="str"/>
      <c r="O1320" s="42" t="inlineStr">
        <is>
          <t>現行公式資料でこの窓種のSAFE 30mil規格○/×を本Revisionでは直接取得できていない。推測しない。</t>
        </is>
      </c>
    </row>
    <row r="1321">
      <c r="A1321" s="42" t="inlineStr">
        <is>
          <t>SZ-SL-001320</t>
        </is>
      </c>
      <c r="B1321" s="42" t="inlineStr">
        <is>
          <t>WT-SL-KAZARI-HIKI</t>
        </is>
      </c>
      <c r="C1321" s="42" t="inlineStr">
        <is>
          <t>装飾引違い窓</t>
        </is>
      </c>
      <c r="D1321" s="42" t="inlineStr">
        <is>
          <t>SP-SL-KAZARI-H</t>
        </is>
      </c>
      <c r="E1321" s="42" t="inlineStr">
        <is>
          <t>11409</t>
        </is>
      </c>
      <c r="F1321" s="42" t="inlineStr">
        <is>
          <t>1185</t>
        </is>
      </c>
      <c r="G1321" s="42" t="inlineStr">
        <is>
          <t>970</t>
        </is>
      </c>
      <c r="H1321" s="42" t="inlineStr">
        <is>
          <t>True</t>
        </is>
      </c>
      <c r="I1321" s="42" t="inlineStr">
        <is>
          <t>NOT_EVALUATED</t>
        </is>
      </c>
      <c r="J1321" s="42" t="inlineStr">
        <is>
          <t>NO_DIRECT_STANDARD_MATRIX_IN_RETRIEVED_SOURCE</t>
        </is>
      </c>
      <c r="K1321" s="42" t="str"/>
      <c r="L1321" s="42" t="str"/>
      <c r="M1321" s="42" t="str"/>
      <c r="N1321" s="42" t="str"/>
      <c r="O1321" s="42" t="inlineStr">
        <is>
          <t>現行公式資料でこの窓種のSAFE 30mil規格○/×を本Revisionでは直接取得できていない。推測しない。</t>
        </is>
      </c>
    </row>
    <row r="1322">
      <c r="A1322" s="42" t="inlineStr">
        <is>
          <t>SZ-SL-001321</t>
        </is>
      </c>
      <c r="B1322" s="42" t="inlineStr">
        <is>
          <t>WT-SL-KAZARI-HIKI</t>
        </is>
      </c>
      <c r="C1322" s="42" t="inlineStr">
        <is>
          <t>装飾引違い窓</t>
        </is>
      </c>
      <c r="D1322" s="42" t="inlineStr">
        <is>
          <t>SP-SL-KAZARI-H</t>
        </is>
      </c>
      <c r="E1322" s="42" t="inlineStr">
        <is>
          <t>11905</t>
        </is>
      </c>
      <c r="F1322" s="42" t="inlineStr">
        <is>
          <t>1235</t>
        </is>
      </c>
      <c r="G1322" s="42" t="inlineStr">
        <is>
          <t>570</t>
        </is>
      </c>
      <c r="H1322" s="42" t="inlineStr">
        <is>
          <t>True</t>
        </is>
      </c>
      <c r="I1322" s="42" t="inlineStr">
        <is>
          <t>NOT_EVALUATED</t>
        </is>
      </c>
      <c r="J1322" s="42" t="inlineStr">
        <is>
          <t>NO_DIRECT_STANDARD_MATRIX_IN_RETRIEVED_SOURCE</t>
        </is>
      </c>
      <c r="K1322" s="42" t="str"/>
      <c r="L1322" s="42" t="str"/>
      <c r="M1322" s="42" t="str"/>
      <c r="N1322" s="42" t="str"/>
      <c r="O1322" s="42" t="inlineStr">
        <is>
          <t>現行公式資料でこの窓種のSAFE 30mil規格○/×を本Revisionでは直接取得できていない。推測しない。</t>
        </is>
      </c>
    </row>
    <row r="1323">
      <c r="A1323" s="42" t="inlineStr">
        <is>
          <t>SZ-SL-001322</t>
        </is>
      </c>
      <c r="B1323" s="42" t="inlineStr">
        <is>
          <t>WT-SL-KAZARI-HIKI</t>
        </is>
      </c>
      <c r="C1323" s="42" t="inlineStr">
        <is>
          <t>装飾引違い窓</t>
        </is>
      </c>
      <c r="D1323" s="42" t="inlineStr">
        <is>
          <t>SP-SL-KAZARI-H</t>
        </is>
      </c>
      <c r="E1323" s="42" t="inlineStr">
        <is>
          <t>11907</t>
        </is>
      </c>
      <c r="F1323" s="42" t="inlineStr">
        <is>
          <t>1235</t>
        </is>
      </c>
      <c r="G1323" s="42" t="inlineStr">
        <is>
          <t>770</t>
        </is>
      </c>
      <c r="H1323" s="42" t="inlineStr">
        <is>
          <t>True</t>
        </is>
      </c>
      <c r="I1323" s="42" t="inlineStr">
        <is>
          <t>NOT_EVALUATED</t>
        </is>
      </c>
      <c r="J1323" s="42" t="inlineStr">
        <is>
          <t>NO_DIRECT_STANDARD_MATRIX_IN_RETRIEVED_SOURCE</t>
        </is>
      </c>
      <c r="K1323" s="42" t="str"/>
      <c r="L1323" s="42" t="str"/>
      <c r="M1323" s="42" t="str"/>
      <c r="N1323" s="42" t="str"/>
      <c r="O1323" s="42" t="inlineStr">
        <is>
          <t>現行公式資料でこの窓種のSAFE 30mil規格○/×を本Revisionでは直接取得できていない。推測しない。</t>
        </is>
      </c>
    </row>
    <row r="1324">
      <c r="A1324" s="42" t="inlineStr">
        <is>
          <t>SZ-SL-001323</t>
        </is>
      </c>
      <c r="B1324" s="42" t="inlineStr">
        <is>
          <t>WT-SL-KAZARI-HIKI</t>
        </is>
      </c>
      <c r="C1324" s="42" t="inlineStr">
        <is>
          <t>装飾引違い窓</t>
        </is>
      </c>
      <c r="D1324" s="42" t="inlineStr">
        <is>
          <t>SP-SL-KAZARI-H</t>
        </is>
      </c>
      <c r="E1324" s="42" t="inlineStr">
        <is>
          <t>11909</t>
        </is>
      </c>
      <c r="F1324" s="42" t="inlineStr">
        <is>
          <t>1235</t>
        </is>
      </c>
      <c r="G1324" s="42" t="inlineStr">
        <is>
          <t>970</t>
        </is>
      </c>
      <c r="H1324" s="42" t="inlineStr">
        <is>
          <t>True</t>
        </is>
      </c>
      <c r="I1324" s="42" t="inlineStr">
        <is>
          <t>NOT_EVALUATED</t>
        </is>
      </c>
      <c r="J1324" s="42" t="inlineStr">
        <is>
          <t>NO_DIRECT_STANDARD_MATRIX_IN_RETRIEVED_SOURCE</t>
        </is>
      </c>
      <c r="K1324" s="42" t="str"/>
      <c r="L1324" s="42" t="str"/>
      <c r="M1324" s="42" t="str"/>
      <c r="N1324" s="42" t="str"/>
      <c r="O1324" s="42" t="inlineStr">
        <is>
          <t>現行公式資料でこの窓種のSAFE 30mil規格○/×を本Revisionでは直接取得できていない。推測しない。</t>
        </is>
      </c>
    </row>
    <row r="1325">
      <c r="A1325" s="42" t="inlineStr">
        <is>
          <t>SZ-SL-001324</t>
        </is>
      </c>
      <c r="B1325" s="42" t="inlineStr">
        <is>
          <t>WT-SL-KAZARI-HIKI</t>
        </is>
      </c>
      <c r="C1325" s="42" t="inlineStr">
        <is>
          <t>装飾引違い窓</t>
        </is>
      </c>
      <c r="D1325" s="42" t="inlineStr">
        <is>
          <t>SP-SL-KAZARI-H</t>
        </is>
      </c>
      <c r="E1325" s="42" t="inlineStr">
        <is>
          <t>16005</t>
        </is>
      </c>
      <c r="F1325" s="42" t="inlineStr">
        <is>
          <t>1640</t>
        </is>
      </c>
      <c r="G1325" s="42" t="inlineStr">
        <is>
          <t>570</t>
        </is>
      </c>
      <c r="H1325" s="42" t="inlineStr">
        <is>
          <t>True</t>
        </is>
      </c>
      <c r="I1325" s="42" t="inlineStr">
        <is>
          <t>NOT_EVALUATED</t>
        </is>
      </c>
      <c r="J1325" s="42" t="inlineStr">
        <is>
          <t>NO_DIRECT_STANDARD_MATRIX_IN_RETRIEVED_SOURCE</t>
        </is>
      </c>
      <c r="K1325" s="42" t="str"/>
      <c r="L1325" s="42" t="str"/>
      <c r="M1325" s="42" t="str"/>
      <c r="N1325" s="42" t="str"/>
      <c r="O1325" s="42" t="inlineStr">
        <is>
          <t>現行公式資料でこの窓種のSAFE 30mil規格○/×を本Revisionでは直接取得できていない。推測しない。</t>
        </is>
      </c>
    </row>
    <row r="1326">
      <c r="A1326" s="42" t="inlineStr">
        <is>
          <t>SZ-SL-001325</t>
        </is>
      </c>
      <c r="B1326" s="42" t="inlineStr">
        <is>
          <t>WT-SL-KAZARI-HIKI</t>
        </is>
      </c>
      <c r="C1326" s="42" t="inlineStr">
        <is>
          <t>装飾引違い窓</t>
        </is>
      </c>
      <c r="D1326" s="42" t="inlineStr">
        <is>
          <t>SP-SL-KAZARI-H</t>
        </is>
      </c>
      <c r="E1326" s="42" t="inlineStr">
        <is>
          <t>16007</t>
        </is>
      </c>
      <c r="F1326" s="42" t="inlineStr">
        <is>
          <t>1640</t>
        </is>
      </c>
      <c r="G1326" s="42" t="inlineStr">
        <is>
          <t>770</t>
        </is>
      </c>
      <c r="H1326" s="42" t="inlineStr">
        <is>
          <t>True</t>
        </is>
      </c>
      <c r="I1326" s="42" t="inlineStr">
        <is>
          <t>NOT_EVALUATED</t>
        </is>
      </c>
      <c r="J1326" s="42" t="inlineStr">
        <is>
          <t>NO_DIRECT_STANDARD_MATRIX_IN_RETRIEVED_SOURCE</t>
        </is>
      </c>
      <c r="K1326" s="42" t="str"/>
      <c r="L1326" s="42" t="str"/>
      <c r="M1326" s="42" t="str"/>
      <c r="N1326" s="42" t="str"/>
      <c r="O1326" s="42" t="inlineStr">
        <is>
          <t>現行公式資料でこの窓種のSAFE 30mil規格○/×を本Revisionでは直接取得できていない。推測しない。</t>
        </is>
      </c>
    </row>
    <row r="1327">
      <c r="A1327" s="42" t="inlineStr">
        <is>
          <t>SZ-SL-001326</t>
        </is>
      </c>
      <c r="B1327" s="42" t="inlineStr">
        <is>
          <t>WT-SL-KAZARI-HIKI</t>
        </is>
      </c>
      <c r="C1327" s="42" t="inlineStr">
        <is>
          <t>装飾引違い窓</t>
        </is>
      </c>
      <c r="D1327" s="42" t="inlineStr">
        <is>
          <t>SP-SL-KAZARI-H</t>
        </is>
      </c>
      <c r="E1327" s="42" t="inlineStr">
        <is>
          <t>16009</t>
        </is>
      </c>
      <c r="F1327" s="42" t="inlineStr">
        <is>
          <t>1640</t>
        </is>
      </c>
      <c r="G1327" s="42" t="inlineStr">
        <is>
          <t>970</t>
        </is>
      </c>
      <c r="H1327" s="42" t="inlineStr">
        <is>
          <t>True</t>
        </is>
      </c>
      <c r="I1327" s="42" t="inlineStr">
        <is>
          <t>NOT_EVALUATED</t>
        </is>
      </c>
      <c r="J1327" s="42" t="inlineStr">
        <is>
          <t>NO_DIRECT_STANDARD_MATRIX_IN_RETRIEVED_SOURCE</t>
        </is>
      </c>
      <c r="K1327" s="42" t="str"/>
      <c r="L1327" s="42" t="str"/>
      <c r="M1327" s="42" t="str"/>
      <c r="N1327" s="42" t="str"/>
      <c r="O1327" s="42" t="inlineStr">
        <is>
          <t>現行公式資料でこの窓種のSAFE 30mil規格○/×を本Revisionでは直接取得できていない。推測しない。</t>
        </is>
      </c>
    </row>
    <row r="1328">
      <c r="A1328" s="42" t="inlineStr">
        <is>
          <t>SZ-SL-001327</t>
        </is>
      </c>
      <c r="B1328" s="42" t="inlineStr">
        <is>
          <t>WT-SL-KAZARI-HIKI</t>
        </is>
      </c>
      <c r="C1328" s="42" t="inlineStr">
        <is>
          <t>装飾引違い窓</t>
        </is>
      </c>
      <c r="D1328" s="42" t="inlineStr">
        <is>
          <t>SP-SL-KAZARI-H</t>
        </is>
      </c>
      <c r="E1328" s="42" t="inlineStr">
        <is>
          <t>16503</t>
        </is>
      </c>
      <c r="F1328" s="42" t="inlineStr">
        <is>
          <t>1690</t>
        </is>
      </c>
      <c r="G1328" s="42" t="inlineStr">
        <is>
          <t>370</t>
        </is>
      </c>
      <c r="H1328" s="42" t="inlineStr">
        <is>
          <t>True</t>
        </is>
      </c>
      <c r="I1328" s="42" t="inlineStr">
        <is>
          <t>NOT_EVALUATED</t>
        </is>
      </c>
      <c r="J1328" s="42" t="inlineStr">
        <is>
          <t>NO_DIRECT_STANDARD_MATRIX_IN_RETRIEVED_SOURCE</t>
        </is>
      </c>
      <c r="K1328" s="42" t="str"/>
      <c r="L1328" s="42" t="str"/>
      <c r="M1328" s="42" t="str"/>
      <c r="N1328" s="42" t="str"/>
      <c r="O1328" s="42" t="inlineStr">
        <is>
          <t>現行公式資料でこの窓種のSAFE 30mil規格○/×を本Revisionでは直接取得できていない。推測しない。</t>
        </is>
      </c>
    </row>
    <row r="1329">
      <c r="A1329" s="42" t="inlineStr">
        <is>
          <t>SZ-SL-001328</t>
        </is>
      </c>
      <c r="B1329" s="42" t="inlineStr">
        <is>
          <t>WT-SL-KAZARI-HIKI</t>
        </is>
      </c>
      <c r="C1329" s="42" t="inlineStr">
        <is>
          <t>装飾引違い窓</t>
        </is>
      </c>
      <c r="D1329" s="42" t="inlineStr">
        <is>
          <t>SP-SL-KAZARI-H</t>
        </is>
      </c>
      <c r="E1329" s="42" t="inlineStr">
        <is>
          <t>16505</t>
        </is>
      </c>
      <c r="F1329" s="42" t="inlineStr">
        <is>
          <t>1690</t>
        </is>
      </c>
      <c r="G1329" s="42" t="inlineStr">
        <is>
          <t>570</t>
        </is>
      </c>
      <c r="H1329" s="42" t="inlineStr">
        <is>
          <t>True</t>
        </is>
      </c>
      <c r="I1329" s="42" t="inlineStr">
        <is>
          <t>NOT_EVALUATED</t>
        </is>
      </c>
      <c r="J1329" s="42" t="inlineStr">
        <is>
          <t>NO_DIRECT_STANDARD_MATRIX_IN_RETRIEVED_SOURCE</t>
        </is>
      </c>
      <c r="K1329" s="42" t="str"/>
      <c r="L1329" s="42" t="str"/>
      <c r="M1329" s="42" t="str"/>
      <c r="N1329" s="42" t="str"/>
      <c r="O1329" s="42" t="inlineStr">
        <is>
          <t>現行公式資料でこの窓種のSAFE 30mil規格○/×を本Revisionでは直接取得できていない。推測しない。</t>
        </is>
      </c>
    </row>
    <row r="1330">
      <c r="A1330" s="42" t="inlineStr">
        <is>
          <t>SZ-SL-001329</t>
        </is>
      </c>
      <c r="B1330" s="42" t="inlineStr">
        <is>
          <t>WT-SL-KAZARI-HIKI</t>
        </is>
      </c>
      <c r="C1330" s="42" t="inlineStr">
        <is>
          <t>装飾引違い窓</t>
        </is>
      </c>
      <c r="D1330" s="42" t="inlineStr">
        <is>
          <t>SP-SL-KAZARI-H</t>
        </is>
      </c>
      <c r="E1330" s="42" t="inlineStr">
        <is>
          <t>16507</t>
        </is>
      </c>
      <c r="F1330" s="42" t="inlineStr">
        <is>
          <t>1690</t>
        </is>
      </c>
      <c r="G1330" s="42" t="inlineStr">
        <is>
          <t>770</t>
        </is>
      </c>
      <c r="H1330" s="42" t="inlineStr">
        <is>
          <t>True</t>
        </is>
      </c>
      <c r="I1330" s="42" t="inlineStr">
        <is>
          <t>NOT_EVALUATED</t>
        </is>
      </c>
      <c r="J1330" s="42" t="inlineStr">
        <is>
          <t>NO_DIRECT_STANDARD_MATRIX_IN_RETRIEVED_SOURCE</t>
        </is>
      </c>
      <c r="K1330" s="42" t="str"/>
      <c r="L1330" s="42" t="str"/>
      <c r="M1330" s="42" t="str"/>
      <c r="N1330" s="42" t="str"/>
      <c r="O1330" s="42" t="inlineStr">
        <is>
          <t>現行公式資料でこの窓種のSAFE 30mil規格○/×を本Revisionでは直接取得できていない。推測しない。</t>
        </is>
      </c>
    </row>
    <row r="1331">
      <c r="A1331" s="42" t="inlineStr">
        <is>
          <t>SZ-SL-001330</t>
        </is>
      </c>
      <c r="B1331" s="42" t="inlineStr">
        <is>
          <t>WT-SL-KAZARI-HIKI</t>
        </is>
      </c>
      <c r="C1331" s="42" t="inlineStr">
        <is>
          <t>装飾引違い窓</t>
        </is>
      </c>
      <c r="D1331" s="42" t="inlineStr">
        <is>
          <t>SP-SL-KAZARI-H</t>
        </is>
      </c>
      <c r="E1331" s="42" t="inlineStr">
        <is>
          <t>16509</t>
        </is>
      </c>
      <c r="F1331" s="42" t="inlineStr">
        <is>
          <t>1690</t>
        </is>
      </c>
      <c r="G1331" s="42" t="inlineStr">
        <is>
          <t>970</t>
        </is>
      </c>
      <c r="H1331" s="42" t="inlineStr">
        <is>
          <t>True</t>
        </is>
      </c>
      <c r="I1331" s="42" t="inlineStr">
        <is>
          <t>NOT_EVALUATED</t>
        </is>
      </c>
      <c r="J1331" s="42" t="inlineStr">
        <is>
          <t>NO_DIRECT_STANDARD_MATRIX_IN_RETRIEVED_SOURCE</t>
        </is>
      </c>
      <c r="K1331" s="42" t="str"/>
      <c r="L1331" s="42" t="str"/>
      <c r="M1331" s="42" t="str"/>
      <c r="N1331" s="42" t="str"/>
      <c r="O1331" s="42" t="inlineStr">
        <is>
          <t>現行公式資料でこの窓種のSAFE 30mil規格○/×を本Revisionでは直接取得できていない。推測しない。</t>
        </is>
      </c>
    </row>
    <row r="1332">
      <c r="A1332" s="42" t="inlineStr">
        <is>
          <t>SZ-SL-001331</t>
        </is>
      </c>
      <c r="B1332" s="42" t="inlineStr">
        <is>
          <t>WT-SL-KAZARI-HIKI</t>
        </is>
      </c>
      <c r="C1332" s="42" t="inlineStr">
        <is>
          <t>装飾引違い窓</t>
        </is>
      </c>
      <c r="D1332" s="42" t="inlineStr">
        <is>
          <t>SP-SL-KAZARI-H</t>
        </is>
      </c>
      <c r="E1332" s="42" t="inlineStr">
        <is>
          <t>25609-2</t>
        </is>
      </c>
      <c r="F1332" s="42" t="inlineStr">
        <is>
          <t>2600</t>
        </is>
      </c>
      <c r="G1332" s="42" t="inlineStr">
        <is>
          <t>970</t>
        </is>
      </c>
      <c r="H1332" s="42" t="inlineStr">
        <is>
          <t>True</t>
        </is>
      </c>
      <c r="I1332" s="42" t="inlineStr">
        <is>
          <t>NOT_EVALUATED</t>
        </is>
      </c>
      <c r="J1332" s="42" t="inlineStr">
        <is>
          <t>NO_DIRECT_STANDARD_MATRIX_IN_RETRIEVED_SOURCE</t>
        </is>
      </c>
      <c r="K1332" s="42" t="str"/>
      <c r="L1332" s="42" t="str"/>
      <c r="M1332" s="42" t="str"/>
      <c r="N1332" s="42" t="str"/>
      <c r="O1332" s="42" t="inlineStr">
        <is>
          <t>現行公式資料でこの窓種のSAFE 30mil規格○/×を本Revisionでは直接取得できていない。推測しない。</t>
        </is>
      </c>
    </row>
    <row r="1333">
      <c r="A1333" s="42" t="inlineStr">
        <is>
          <t>SZ-SL-001332</t>
        </is>
      </c>
      <c r="B1333" s="42" t="inlineStr">
        <is>
          <t>WT-SL-KAZARI-HIKI</t>
        </is>
      </c>
      <c r="C1333" s="42" t="inlineStr">
        <is>
          <t>装飾引違い窓</t>
        </is>
      </c>
      <c r="D1333" s="42" t="inlineStr">
        <is>
          <t>SP-SL-KAZARI-H</t>
        </is>
      </c>
      <c r="E1333" s="42" t="inlineStr">
        <is>
          <t>25609-4</t>
        </is>
      </c>
      <c r="F1333" s="42" t="inlineStr">
        <is>
          <t>2600</t>
        </is>
      </c>
      <c r="G1333" s="42" t="inlineStr">
        <is>
          <t>970</t>
        </is>
      </c>
      <c r="H1333" s="42" t="inlineStr">
        <is>
          <t>True</t>
        </is>
      </c>
      <c r="I1333" s="42" t="inlineStr">
        <is>
          <t>NOT_EVALUATED</t>
        </is>
      </c>
      <c r="J1333" s="42" t="inlineStr">
        <is>
          <t>NO_DIRECT_STANDARD_MATRIX_IN_RETRIEVED_SOURCE</t>
        </is>
      </c>
      <c r="K1333" s="42" t="str"/>
      <c r="L1333" s="42" t="str"/>
      <c r="M1333" s="42" t="str"/>
      <c r="N1333" s="42" t="str"/>
      <c r="O1333" s="42" t="inlineStr">
        <is>
          <t>現行公式資料でこの窓種のSAFE 30mil規格○/×を本Revisionでは直接取得できていない。推測しない。</t>
        </is>
      </c>
    </row>
    <row r="1334">
      <c r="A1334" s="42" t="inlineStr">
        <is>
          <t>SZ-SL-001333</t>
        </is>
      </c>
      <c r="B1334" s="42" t="inlineStr">
        <is>
          <t>WT-SL-KAZARI-HIKI</t>
        </is>
      </c>
      <c r="C1334" s="42" t="inlineStr">
        <is>
          <t>装飾引違い窓</t>
        </is>
      </c>
      <c r="D1334" s="42" t="inlineStr">
        <is>
          <t>SP-SL-KAZARI-H</t>
        </is>
      </c>
      <c r="E1334" s="42" t="inlineStr">
        <is>
          <t>11411</t>
        </is>
      </c>
      <c r="F1334" s="42" t="inlineStr">
        <is>
          <t>1185</t>
        </is>
      </c>
      <c r="G1334" s="42" t="inlineStr">
        <is>
          <t>1170</t>
        </is>
      </c>
      <c r="H1334" s="42" t="inlineStr">
        <is>
          <t>True</t>
        </is>
      </c>
      <c r="I1334" s="42" t="inlineStr">
        <is>
          <t>NOT_EVALUATED</t>
        </is>
      </c>
      <c r="J1334" s="42" t="inlineStr">
        <is>
          <t>NO_DIRECT_STANDARD_MATRIX_IN_RETRIEVED_SOURCE</t>
        </is>
      </c>
      <c r="K1334" s="42" t="str"/>
      <c r="L1334" s="42" t="str"/>
      <c r="M1334" s="42" t="str"/>
      <c r="N1334" s="42" t="str"/>
      <c r="O1334" s="42" t="inlineStr">
        <is>
          <t>現行公式資料でこの窓種のSAFE 30mil規格○/×を本Revisionでは直接取得できていない。推測しない。</t>
        </is>
      </c>
    </row>
    <row r="1335">
      <c r="A1335" s="42" t="inlineStr">
        <is>
          <t>SZ-SL-001334</t>
        </is>
      </c>
      <c r="B1335" s="42" t="inlineStr">
        <is>
          <t>WT-SL-KAZARI-HIKI</t>
        </is>
      </c>
      <c r="C1335" s="42" t="inlineStr">
        <is>
          <t>装飾引違い窓</t>
        </is>
      </c>
      <c r="D1335" s="42" t="inlineStr">
        <is>
          <t>SP-SL-KAZARI-H</t>
        </is>
      </c>
      <c r="E1335" s="42" t="inlineStr">
        <is>
          <t>11413</t>
        </is>
      </c>
      <c r="F1335" s="42" t="inlineStr">
        <is>
          <t>1185</t>
        </is>
      </c>
      <c r="G1335" s="42" t="inlineStr">
        <is>
          <t>1370</t>
        </is>
      </c>
      <c r="H1335" s="42" t="inlineStr">
        <is>
          <t>True</t>
        </is>
      </c>
      <c r="I1335" s="42" t="inlineStr">
        <is>
          <t>NOT_EVALUATED</t>
        </is>
      </c>
      <c r="J1335" s="42" t="inlineStr">
        <is>
          <t>NO_DIRECT_STANDARD_MATRIX_IN_RETRIEVED_SOURCE</t>
        </is>
      </c>
      <c r="K1335" s="42" t="str"/>
      <c r="L1335" s="42" t="str"/>
      <c r="M1335" s="42" t="str"/>
      <c r="N1335" s="42" t="str"/>
      <c r="O1335" s="42" t="inlineStr">
        <is>
          <t>現行公式資料でこの窓種のSAFE 30mil規格○/×を本Revisionでは直接取得できていない。推測しない。</t>
        </is>
      </c>
    </row>
    <row r="1336">
      <c r="A1336" s="42" t="inlineStr">
        <is>
          <t>SZ-SL-001335</t>
        </is>
      </c>
      <c r="B1336" s="42" t="inlineStr">
        <is>
          <t>WT-SL-KAZARI-HIKI</t>
        </is>
      </c>
      <c r="C1336" s="42" t="inlineStr">
        <is>
          <t>装飾引違い窓</t>
        </is>
      </c>
      <c r="D1336" s="42" t="inlineStr">
        <is>
          <t>SP-SL-KAZARI-H</t>
        </is>
      </c>
      <c r="E1336" s="42" t="inlineStr">
        <is>
          <t>11911</t>
        </is>
      </c>
      <c r="F1336" s="42" t="inlineStr">
        <is>
          <t>1235</t>
        </is>
      </c>
      <c r="G1336" s="42" t="inlineStr">
        <is>
          <t>1170</t>
        </is>
      </c>
      <c r="H1336" s="42" t="inlineStr">
        <is>
          <t>True</t>
        </is>
      </c>
      <c r="I1336" s="42" t="inlineStr">
        <is>
          <t>NOT_EVALUATED</t>
        </is>
      </c>
      <c r="J1336" s="42" t="inlineStr">
        <is>
          <t>NO_DIRECT_STANDARD_MATRIX_IN_RETRIEVED_SOURCE</t>
        </is>
      </c>
      <c r="K1336" s="42" t="str"/>
      <c r="L1336" s="42" t="str"/>
      <c r="M1336" s="42" t="str"/>
      <c r="N1336" s="42" t="str"/>
      <c r="O1336" s="42" t="inlineStr">
        <is>
          <t>現行公式資料でこの窓種のSAFE 30mil規格○/×を本Revisionでは直接取得できていない。推測しない。</t>
        </is>
      </c>
    </row>
    <row r="1337">
      <c r="A1337" s="42" t="inlineStr">
        <is>
          <t>SZ-SL-001336</t>
        </is>
      </c>
      <c r="B1337" s="42" t="inlineStr">
        <is>
          <t>WT-SL-KAZARI-HIKI</t>
        </is>
      </c>
      <c r="C1337" s="42" t="inlineStr">
        <is>
          <t>装飾引違い窓</t>
        </is>
      </c>
      <c r="D1337" s="42" t="inlineStr">
        <is>
          <t>SP-SL-KAZARI-H</t>
        </is>
      </c>
      <c r="E1337" s="42" t="inlineStr">
        <is>
          <t>11913</t>
        </is>
      </c>
      <c r="F1337" s="42" t="inlineStr">
        <is>
          <t>1235</t>
        </is>
      </c>
      <c r="G1337" s="42" t="inlineStr">
        <is>
          <t>1370</t>
        </is>
      </c>
      <c r="H1337" s="42" t="inlineStr">
        <is>
          <t>True</t>
        </is>
      </c>
      <c r="I1337" s="42" t="inlineStr">
        <is>
          <t>NOT_EVALUATED</t>
        </is>
      </c>
      <c r="J1337" s="42" t="inlineStr">
        <is>
          <t>NO_DIRECT_STANDARD_MATRIX_IN_RETRIEVED_SOURCE</t>
        </is>
      </c>
      <c r="K1337" s="42" t="str"/>
      <c r="L1337" s="42" t="str"/>
      <c r="M1337" s="42" t="str"/>
      <c r="N1337" s="42" t="str"/>
      <c r="O1337" s="42" t="inlineStr">
        <is>
          <t>現行公式資料でこの窓種のSAFE 30mil規格○/×を本Revisionでは直接取得できていない。推測しない。</t>
        </is>
      </c>
    </row>
    <row r="1338">
      <c r="A1338" s="42" t="inlineStr">
        <is>
          <t>SZ-SL-001337</t>
        </is>
      </c>
      <c r="B1338" s="42" t="inlineStr">
        <is>
          <t>WT-SL-KAZARI-HIKI</t>
        </is>
      </c>
      <c r="C1338" s="42" t="inlineStr">
        <is>
          <t>装飾引違い窓</t>
        </is>
      </c>
      <c r="D1338" s="42" t="inlineStr">
        <is>
          <t>SP-SL-KAZARI-H</t>
        </is>
      </c>
      <c r="E1338" s="42" t="inlineStr">
        <is>
          <t>16011</t>
        </is>
      </c>
      <c r="F1338" s="42" t="inlineStr">
        <is>
          <t>1640</t>
        </is>
      </c>
      <c r="G1338" s="42" t="inlineStr">
        <is>
          <t>1170</t>
        </is>
      </c>
      <c r="H1338" s="42" t="inlineStr">
        <is>
          <t>True</t>
        </is>
      </c>
      <c r="I1338" s="42" t="inlineStr">
        <is>
          <t>NOT_EVALUATED</t>
        </is>
      </c>
      <c r="J1338" s="42" t="inlineStr">
        <is>
          <t>NO_DIRECT_STANDARD_MATRIX_IN_RETRIEVED_SOURCE</t>
        </is>
      </c>
      <c r="K1338" s="42" t="str"/>
      <c r="L1338" s="42" t="str"/>
      <c r="M1338" s="42" t="str"/>
      <c r="N1338" s="42" t="str"/>
      <c r="O1338" s="42" t="inlineStr">
        <is>
          <t>現行公式資料でこの窓種のSAFE 30mil規格○/×を本Revisionでは直接取得できていない。推測しない。</t>
        </is>
      </c>
    </row>
    <row r="1339">
      <c r="A1339" s="42" t="inlineStr">
        <is>
          <t>SZ-SL-001338</t>
        </is>
      </c>
      <c r="B1339" s="42" t="inlineStr">
        <is>
          <t>WT-SL-KAZARI-HIKI</t>
        </is>
      </c>
      <c r="C1339" s="42" t="inlineStr">
        <is>
          <t>装飾引違い窓</t>
        </is>
      </c>
      <c r="D1339" s="42" t="inlineStr">
        <is>
          <t>SP-SL-KAZARI-H</t>
        </is>
      </c>
      <c r="E1339" s="42" t="inlineStr">
        <is>
          <t>16013</t>
        </is>
      </c>
      <c r="F1339" s="42" t="inlineStr">
        <is>
          <t>1640</t>
        </is>
      </c>
      <c r="G1339" s="42" t="inlineStr">
        <is>
          <t>1370</t>
        </is>
      </c>
      <c r="H1339" s="42" t="inlineStr">
        <is>
          <t>True</t>
        </is>
      </c>
      <c r="I1339" s="42" t="inlineStr">
        <is>
          <t>NOT_EVALUATED</t>
        </is>
      </c>
      <c r="J1339" s="42" t="inlineStr">
        <is>
          <t>NO_DIRECT_STANDARD_MATRIX_IN_RETRIEVED_SOURCE</t>
        </is>
      </c>
      <c r="K1339" s="42" t="str"/>
      <c r="L1339" s="42" t="str"/>
      <c r="M1339" s="42" t="str"/>
      <c r="N1339" s="42" t="str"/>
      <c r="O1339" s="42" t="inlineStr">
        <is>
          <t>現行公式資料でこの窓種のSAFE 30mil規格○/×を本Revisionでは直接取得できていない。推測しない。</t>
        </is>
      </c>
    </row>
    <row r="1340">
      <c r="A1340" s="42" t="inlineStr">
        <is>
          <t>SZ-SL-001339</t>
        </is>
      </c>
      <c r="B1340" s="42" t="inlineStr">
        <is>
          <t>WT-SL-KAZARI-HIKI</t>
        </is>
      </c>
      <c r="C1340" s="42" t="inlineStr">
        <is>
          <t>装飾引違い窓</t>
        </is>
      </c>
      <c r="D1340" s="42" t="inlineStr">
        <is>
          <t>SP-SL-KAZARI-H</t>
        </is>
      </c>
      <c r="E1340" s="42" t="inlineStr">
        <is>
          <t>16015</t>
        </is>
      </c>
      <c r="F1340" s="42" t="inlineStr">
        <is>
          <t>1640</t>
        </is>
      </c>
      <c r="G1340" s="42" t="inlineStr">
        <is>
          <t>1570</t>
        </is>
      </c>
      <c r="H1340" s="42" t="inlineStr">
        <is>
          <t>True</t>
        </is>
      </c>
      <c r="I1340" s="42" t="inlineStr">
        <is>
          <t>NOT_EVALUATED</t>
        </is>
      </c>
      <c r="J1340" s="42" t="inlineStr">
        <is>
          <t>NO_DIRECT_STANDARD_MATRIX_IN_RETRIEVED_SOURCE</t>
        </is>
      </c>
      <c r="K1340" s="42" t="str"/>
      <c r="L1340" s="42" t="str"/>
      <c r="M1340" s="42" t="str"/>
      <c r="N1340" s="42" t="str"/>
      <c r="O1340" s="42" t="inlineStr">
        <is>
          <t>現行公式資料でこの窓種のSAFE 30mil規格○/×を本Revisionでは直接取得できていない。推測しない。</t>
        </is>
      </c>
    </row>
    <row r="1341">
      <c r="A1341" s="42" t="inlineStr">
        <is>
          <t>SZ-SL-001340</t>
        </is>
      </c>
      <c r="B1341" s="42" t="inlineStr">
        <is>
          <t>WT-SL-KAZARI-HIKI</t>
        </is>
      </c>
      <c r="C1341" s="42" t="inlineStr">
        <is>
          <t>装飾引違い窓</t>
        </is>
      </c>
      <c r="D1341" s="42" t="inlineStr">
        <is>
          <t>SP-SL-KAZARI-H</t>
        </is>
      </c>
      <c r="E1341" s="42" t="inlineStr">
        <is>
          <t>16511</t>
        </is>
      </c>
      <c r="F1341" s="42" t="inlineStr">
        <is>
          <t>1690</t>
        </is>
      </c>
      <c r="G1341" s="42" t="inlineStr">
        <is>
          <t>1170</t>
        </is>
      </c>
      <c r="H1341" s="42" t="inlineStr">
        <is>
          <t>True</t>
        </is>
      </c>
      <c r="I1341" s="42" t="inlineStr">
        <is>
          <t>NOT_EVALUATED</t>
        </is>
      </c>
      <c r="J1341" s="42" t="inlineStr">
        <is>
          <t>NO_DIRECT_STANDARD_MATRIX_IN_RETRIEVED_SOURCE</t>
        </is>
      </c>
      <c r="K1341" s="42" t="str"/>
      <c r="L1341" s="42" t="str"/>
      <c r="M1341" s="42" t="str"/>
      <c r="N1341" s="42" t="str"/>
      <c r="O1341" s="42" t="inlineStr">
        <is>
          <t>現行公式資料でこの窓種のSAFE 30mil規格○/×を本Revisionでは直接取得できていない。推測しない。</t>
        </is>
      </c>
    </row>
    <row r="1342">
      <c r="A1342" s="42" t="inlineStr">
        <is>
          <t>SZ-SL-001341</t>
        </is>
      </c>
      <c r="B1342" s="42" t="inlineStr">
        <is>
          <t>WT-SL-KAZARI-HIKI</t>
        </is>
      </c>
      <c r="C1342" s="42" t="inlineStr">
        <is>
          <t>装飾引違い窓</t>
        </is>
      </c>
      <c r="D1342" s="42" t="inlineStr">
        <is>
          <t>SP-SL-KAZARI-H</t>
        </is>
      </c>
      <c r="E1342" s="42" t="inlineStr">
        <is>
          <t>16513</t>
        </is>
      </c>
      <c r="F1342" s="42" t="inlineStr">
        <is>
          <t>1690</t>
        </is>
      </c>
      <c r="G1342" s="42" t="inlineStr">
        <is>
          <t>1370</t>
        </is>
      </c>
      <c r="H1342" s="42" t="inlineStr">
        <is>
          <t>True</t>
        </is>
      </c>
      <c r="I1342" s="42" t="inlineStr">
        <is>
          <t>NOT_EVALUATED</t>
        </is>
      </c>
      <c r="J1342" s="42" t="inlineStr">
        <is>
          <t>NO_DIRECT_STANDARD_MATRIX_IN_RETRIEVED_SOURCE</t>
        </is>
      </c>
      <c r="K1342" s="42" t="str"/>
      <c r="L1342" s="42" t="str"/>
      <c r="M1342" s="42" t="str"/>
      <c r="N1342" s="42" t="str"/>
      <c r="O1342" s="42" t="inlineStr">
        <is>
          <t>現行公式資料でこの窓種のSAFE 30mil規格○/×を本Revisionでは直接取得できていない。推測しない。</t>
        </is>
      </c>
    </row>
    <row r="1343">
      <c r="A1343" s="42" t="inlineStr">
        <is>
          <t>SZ-SL-001342</t>
        </is>
      </c>
      <c r="B1343" s="42" t="inlineStr">
        <is>
          <t>WT-SL-KAZARI-HIKI</t>
        </is>
      </c>
      <c r="C1343" s="42" t="inlineStr">
        <is>
          <t>装飾引違い窓</t>
        </is>
      </c>
      <c r="D1343" s="42" t="inlineStr">
        <is>
          <t>SP-SL-KAZARI-H</t>
        </is>
      </c>
      <c r="E1343" s="42" t="inlineStr">
        <is>
          <t>16515</t>
        </is>
      </c>
      <c r="F1343" s="42" t="inlineStr">
        <is>
          <t>1690</t>
        </is>
      </c>
      <c r="G1343" s="42" t="inlineStr">
        <is>
          <t>1570</t>
        </is>
      </c>
      <c r="H1343" s="42" t="inlineStr">
        <is>
          <t>True</t>
        </is>
      </c>
      <c r="I1343" s="42" t="inlineStr">
        <is>
          <t>NOT_EVALUATED</t>
        </is>
      </c>
      <c r="J1343" s="42" t="inlineStr">
        <is>
          <t>NO_DIRECT_STANDARD_MATRIX_IN_RETRIEVED_SOURCE</t>
        </is>
      </c>
      <c r="K1343" s="42" t="str"/>
      <c r="L1343" s="42" t="str"/>
      <c r="M1343" s="42" t="str"/>
      <c r="N1343" s="42" t="str"/>
      <c r="O1343" s="42" t="inlineStr">
        <is>
          <t>現行公式資料でこの窓種のSAFE 30mil規格○/×を本Revisionでは直接取得できていない。推測しない。</t>
        </is>
      </c>
    </row>
    <row r="1344">
      <c r="A1344" s="42" t="inlineStr">
        <is>
          <t>SZ-SL-001343</t>
        </is>
      </c>
      <c r="B1344" s="42" t="inlineStr">
        <is>
          <t>WT-SL-KAZARI-HIKI</t>
        </is>
      </c>
      <c r="C1344" s="42" t="inlineStr">
        <is>
          <t>装飾引違い窓</t>
        </is>
      </c>
      <c r="D1344" s="42" t="inlineStr">
        <is>
          <t>SP-SL-KAZARI-H</t>
        </is>
      </c>
      <c r="E1344" s="42" t="inlineStr">
        <is>
          <t>25611-2</t>
        </is>
      </c>
      <c r="F1344" s="42" t="inlineStr">
        <is>
          <t>2600</t>
        </is>
      </c>
      <c r="G1344" s="42" t="inlineStr">
        <is>
          <t>1170</t>
        </is>
      </c>
      <c r="H1344" s="42" t="inlineStr">
        <is>
          <t>True</t>
        </is>
      </c>
      <c r="I1344" s="42" t="inlineStr">
        <is>
          <t>NOT_EVALUATED</t>
        </is>
      </c>
      <c r="J1344" s="42" t="inlineStr">
        <is>
          <t>NO_DIRECT_STANDARD_MATRIX_IN_RETRIEVED_SOURCE</t>
        </is>
      </c>
      <c r="K1344" s="42" t="str"/>
      <c r="L1344" s="42" t="str"/>
      <c r="M1344" s="42" t="str"/>
      <c r="N1344" s="42" t="str"/>
      <c r="O1344" s="42" t="inlineStr">
        <is>
          <t>現行公式資料でこの窓種のSAFE 30mil規格○/×を本Revisionでは直接取得できていない。推測しない。</t>
        </is>
      </c>
    </row>
    <row r="1345">
      <c r="A1345" s="42" t="inlineStr">
        <is>
          <t>SZ-SL-001344</t>
        </is>
      </c>
      <c r="B1345" s="42" t="inlineStr">
        <is>
          <t>WT-SL-KAZARI-HIKI</t>
        </is>
      </c>
      <c r="C1345" s="42" t="inlineStr">
        <is>
          <t>装飾引違い窓</t>
        </is>
      </c>
      <c r="D1345" s="42" t="inlineStr">
        <is>
          <t>SP-SL-KAZARI-H</t>
        </is>
      </c>
      <c r="E1345" s="42" t="inlineStr">
        <is>
          <t>25611-4</t>
        </is>
      </c>
      <c r="F1345" s="42" t="inlineStr">
        <is>
          <t>2600</t>
        </is>
      </c>
      <c r="G1345" s="42" t="inlineStr">
        <is>
          <t>1170</t>
        </is>
      </c>
      <c r="H1345" s="42" t="inlineStr">
        <is>
          <t>True</t>
        </is>
      </c>
      <c r="I1345" s="42" t="inlineStr">
        <is>
          <t>NOT_EVALUATED</t>
        </is>
      </c>
      <c r="J1345" s="42" t="inlineStr">
        <is>
          <t>NO_DIRECT_STANDARD_MATRIX_IN_RETRIEVED_SOURCE</t>
        </is>
      </c>
      <c r="K1345" s="42" t="str"/>
      <c r="L1345" s="42" t="str"/>
      <c r="M1345" s="42" t="str"/>
      <c r="N1345" s="42" t="str"/>
      <c r="O1345" s="42" t="inlineStr">
        <is>
          <t>現行公式資料でこの窓種のSAFE 30mil規格○/×を本Revisionでは直接取得できていない。推測しない。</t>
        </is>
      </c>
    </row>
    <row r="1346">
      <c r="A1346" s="42" t="inlineStr">
        <is>
          <t>SZ-SL-001345</t>
        </is>
      </c>
      <c r="B1346" s="42" t="inlineStr">
        <is>
          <t>WT-SL-KAZARI-HIKI</t>
        </is>
      </c>
      <c r="C1346" s="42" t="inlineStr">
        <is>
          <t>装飾引違い窓</t>
        </is>
      </c>
      <c r="D1346" s="42" t="inlineStr">
        <is>
          <t>SP-SL-KAZARI-H</t>
        </is>
      </c>
      <c r="E1346" s="42" t="inlineStr">
        <is>
          <t>25613-2</t>
        </is>
      </c>
      <c r="F1346" s="42" t="inlineStr">
        <is>
          <t>2600</t>
        </is>
      </c>
      <c r="G1346" s="42" t="inlineStr">
        <is>
          <t>1370</t>
        </is>
      </c>
      <c r="H1346" s="42" t="inlineStr">
        <is>
          <t>True</t>
        </is>
      </c>
      <c r="I1346" s="42" t="inlineStr">
        <is>
          <t>NOT_EVALUATED</t>
        </is>
      </c>
      <c r="J1346" s="42" t="inlineStr">
        <is>
          <t>NO_DIRECT_STANDARD_MATRIX_IN_RETRIEVED_SOURCE</t>
        </is>
      </c>
      <c r="K1346" s="42" t="str"/>
      <c r="L1346" s="42" t="str"/>
      <c r="M1346" s="42" t="str"/>
      <c r="N1346" s="42" t="str"/>
      <c r="O1346" s="42" t="inlineStr">
        <is>
          <t>現行公式資料でこの窓種のSAFE 30mil規格○/×を本Revisionでは直接取得できていない。推測しない。</t>
        </is>
      </c>
    </row>
    <row r="1347">
      <c r="A1347" s="42" t="inlineStr">
        <is>
          <t>SZ-SL-001346</t>
        </is>
      </c>
      <c r="B1347" s="42" t="inlineStr">
        <is>
          <t>WT-SL-KAZARI-HIKI</t>
        </is>
      </c>
      <c r="C1347" s="42" t="inlineStr">
        <is>
          <t>装飾引違い窓</t>
        </is>
      </c>
      <c r="D1347" s="42" t="inlineStr">
        <is>
          <t>SP-SL-KAZARI-H</t>
        </is>
      </c>
      <c r="E1347" s="42" t="inlineStr">
        <is>
          <t>25613-4</t>
        </is>
      </c>
      <c r="F1347" s="42" t="inlineStr">
        <is>
          <t>2600</t>
        </is>
      </c>
      <c r="G1347" s="42" t="inlineStr">
        <is>
          <t>1370</t>
        </is>
      </c>
      <c r="H1347" s="42" t="inlineStr">
        <is>
          <t>True</t>
        </is>
      </c>
      <c r="I1347" s="42" t="inlineStr">
        <is>
          <t>NOT_EVALUATED</t>
        </is>
      </c>
      <c r="J1347" s="42" t="inlineStr">
        <is>
          <t>NO_DIRECT_STANDARD_MATRIX_IN_RETRIEVED_SOURCE</t>
        </is>
      </c>
      <c r="K1347" s="42" t="str"/>
      <c r="L1347" s="42" t="str"/>
      <c r="M1347" s="42" t="str"/>
      <c r="N1347" s="42" t="str"/>
      <c r="O1347" s="42" t="inlineStr">
        <is>
          <t>現行公式資料でこの窓種のSAFE 30mil規格○/×を本Revisionでは直接取得できていない。推測しない。</t>
        </is>
      </c>
    </row>
    <row r="1348">
      <c r="A1348" s="42" t="inlineStr">
        <is>
          <t>SZ-SL-001347</t>
        </is>
      </c>
      <c r="B1348" s="42" t="inlineStr">
        <is>
          <t>WT-SL-KAZARI-HIKI</t>
        </is>
      </c>
      <c r="C1348" s="42" t="inlineStr">
        <is>
          <t>装飾引違い窓</t>
        </is>
      </c>
      <c r="D1348" s="42" t="inlineStr">
        <is>
          <t>SP-SL-KAZARI-H</t>
        </is>
      </c>
      <c r="E1348" s="42" t="inlineStr">
        <is>
          <t>16518</t>
        </is>
      </c>
      <c r="F1348" s="42" t="inlineStr">
        <is>
          <t>1690</t>
        </is>
      </c>
      <c r="G1348" s="42" t="inlineStr">
        <is>
          <t>1830</t>
        </is>
      </c>
      <c r="H1348" s="42" t="inlineStr">
        <is>
          <t>True</t>
        </is>
      </c>
      <c r="I1348" s="42" t="inlineStr">
        <is>
          <t>NOT_EVALUATED</t>
        </is>
      </c>
      <c r="J1348" s="42" t="inlineStr">
        <is>
          <t>NO_DIRECT_STANDARD_MATRIX_IN_RETRIEVED_SOURCE</t>
        </is>
      </c>
      <c r="K1348" s="42" t="str"/>
      <c r="L1348" s="42" t="str"/>
      <c r="M1348" s="42" t="str"/>
      <c r="N1348" s="42" t="str"/>
      <c r="O1348" s="42" t="inlineStr">
        <is>
          <t>現行公式資料でこの窓種のSAFE 30mil規格○/×を本Revisionでは直接取得できていない。推測しない。</t>
        </is>
      </c>
    </row>
    <row r="1349">
      <c r="A1349" s="42" t="inlineStr">
        <is>
          <t>SZ-SL-001348</t>
        </is>
      </c>
      <c r="B1349" s="42" t="inlineStr">
        <is>
          <t>WT-SL-KAZARI-HIKI</t>
        </is>
      </c>
      <c r="C1349" s="42" t="inlineStr">
        <is>
          <t>装飾引違い窓</t>
        </is>
      </c>
      <c r="D1349" s="42" t="inlineStr">
        <is>
          <t>SP-SL-KAZARI-H</t>
        </is>
      </c>
      <c r="E1349" s="42" t="inlineStr">
        <is>
          <t>16520</t>
        </is>
      </c>
      <c r="F1349" s="42" t="inlineStr">
        <is>
          <t>1690</t>
        </is>
      </c>
      <c r="G1349" s="42" t="inlineStr">
        <is>
          <t>2030</t>
        </is>
      </c>
      <c r="H1349" s="42" t="inlineStr">
        <is>
          <t>True</t>
        </is>
      </c>
      <c r="I1349" s="42" t="inlineStr">
        <is>
          <t>NOT_EVALUATED</t>
        </is>
      </c>
      <c r="J1349" s="42" t="inlineStr">
        <is>
          <t>NO_DIRECT_STANDARD_MATRIX_IN_RETRIEVED_SOURCE</t>
        </is>
      </c>
      <c r="K1349" s="42" t="str"/>
      <c r="L1349" s="42" t="str"/>
      <c r="M1349" s="42" t="str"/>
      <c r="N1349" s="42" t="str"/>
      <c r="O1349" s="42" t="inlineStr">
        <is>
          <t>現行公式資料でこの窓種のSAFE 30mil規格○/×を本Revisionでは直接取得できていない。推測しない。</t>
        </is>
      </c>
    </row>
    <row r="1350">
      <c r="A1350" s="42" t="inlineStr">
        <is>
          <t>SZ-SL-001349</t>
        </is>
      </c>
      <c r="B1350" s="42" t="inlineStr">
        <is>
          <t>WT-SL-KAZARI-HIKI</t>
        </is>
      </c>
      <c r="C1350" s="42" t="inlineStr">
        <is>
          <t>装飾引違い窓</t>
        </is>
      </c>
      <c r="D1350" s="42" t="inlineStr">
        <is>
          <t>SP-SL-KAZARI-H</t>
        </is>
      </c>
      <c r="E1350" s="42" t="inlineStr">
        <is>
          <t>25618-2</t>
        </is>
      </c>
      <c r="F1350" s="42" t="inlineStr">
        <is>
          <t>2600</t>
        </is>
      </c>
      <c r="G1350" s="42" t="inlineStr">
        <is>
          <t>1830</t>
        </is>
      </c>
      <c r="H1350" s="42" t="inlineStr">
        <is>
          <t>True</t>
        </is>
      </c>
      <c r="I1350" s="42" t="inlineStr">
        <is>
          <t>NOT_EVALUATED</t>
        </is>
      </c>
      <c r="J1350" s="42" t="inlineStr">
        <is>
          <t>NO_DIRECT_STANDARD_MATRIX_IN_RETRIEVED_SOURCE</t>
        </is>
      </c>
      <c r="K1350" s="42" t="str"/>
      <c r="L1350" s="42" t="str"/>
      <c r="M1350" s="42" t="str"/>
      <c r="N1350" s="42" t="str"/>
      <c r="O1350" s="42" t="inlineStr">
        <is>
          <t>現行公式資料でこの窓種のSAFE 30mil規格○/×を本Revisionでは直接取得できていない。推測しない。</t>
        </is>
      </c>
    </row>
    <row r="1351">
      <c r="A1351" s="42" t="inlineStr">
        <is>
          <t>SZ-SL-001350</t>
        </is>
      </c>
      <c r="B1351" s="42" t="inlineStr">
        <is>
          <t>WT-SL-KAZARI-HIKI</t>
        </is>
      </c>
      <c r="C1351" s="42" t="inlineStr">
        <is>
          <t>装飾引違い窓</t>
        </is>
      </c>
      <c r="D1351" s="42" t="inlineStr">
        <is>
          <t>SP-SL-KAZARI-H</t>
        </is>
      </c>
      <c r="E1351" s="42" t="inlineStr">
        <is>
          <t>25618-4</t>
        </is>
      </c>
      <c r="F1351" s="42" t="inlineStr">
        <is>
          <t>2600</t>
        </is>
      </c>
      <c r="G1351" s="42" t="inlineStr">
        <is>
          <t>1830</t>
        </is>
      </c>
      <c r="H1351" s="42" t="inlineStr">
        <is>
          <t>True</t>
        </is>
      </c>
      <c r="I1351" s="42" t="inlineStr">
        <is>
          <t>NOT_EVALUATED</t>
        </is>
      </c>
      <c r="J1351" s="42" t="inlineStr">
        <is>
          <t>NO_DIRECT_STANDARD_MATRIX_IN_RETRIEVED_SOURCE</t>
        </is>
      </c>
      <c r="K1351" s="42" t="str"/>
      <c r="L1351" s="42" t="str"/>
      <c r="M1351" s="42" t="str"/>
      <c r="N1351" s="42" t="str"/>
      <c r="O1351" s="42" t="inlineStr">
        <is>
          <t>現行公式資料でこの窓種のSAFE 30mil規格○/×を本Revisionでは直接取得できていない。推測しない。</t>
        </is>
      </c>
    </row>
    <row r="1352">
      <c r="A1352" s="42" t="inlineStr">
        <is>
          <t>SZ-SL-001351</t>
        </is>
      </c>
      <c r="B1352" s="42" t="inlineStr">
        <is>
          <t>WT-SL-KAZARI-HIKI</t>
        </is>
      </c>
      <c r="C1352" s="42" t="inlineStr">
        <is>
          <t>装飾引違い窓</t>
        </is>
      </c>
      <c r="D1352" s="42" t="inlineStr">
        <is>
          <t>SP-SL-KAZARI-H</t>
        </is>
      </c>
      <c r="E1352" s="42" t="inlineStr">
        <is>
          <t>25620-2</t>
        </is>
      </c>
      <c r="F1352" s="42" t="inlineStr">
        <is>
          <t>2600</t>
        </is>
      </c>
      <c r="G1352" s="42" t="inlineStr">
        <is>
          <t>2030</t>
        </is>
      </c>
      <c r="H1352" s="42" t="inlineStr">
        <is>
          <t>True</t>
        </is>
      </c>
      <c r="I1352" s="42" t="inlineStr">
        <is>
          <t>NOT_EVALUATED</t>
        </is>
      </c>
      <c r="J1352" s="42" t="inlineStr">
        <is>
          <t>NO_DIRECT_STANDARD_MATRIX_IN_RETRIEVED_SOURCE</t>
        </is>
      </c>
      <c r="K1352" s="42" t="str"/>
      <c r="L1352" s="42" t="str"/>
      <c r="M1352" s="42" t="str"/>
      <c r="N1352" s="42" t="str"/>
      <c r="O1352" s="42" t="inlineStr">
        <is>
          <t>現行公式資料でこの窓種のSAFE 30mil規格○/×を本Revisionでは直接取得できていない。推測しない。</t>
        </is>
      </c>
    </row>
    <row r="1353">
      <c r="A1353" s="42" t="inlineStr">
        <is>
          <t>SZ-SL-001352</t>
        </is>
      </c>
      <c r="B1353" s="42" t="inlineStr">
        <is>
          <t>WT-SL-KAZARI-HIKI</t>
        </is>
      </c>
      <c r="C1353" s="42" t="inlineStr">
        <is>
          <t>装飾引違い窓</t>
        </is>
      </c>
      <c r="D1353" s="42" t="inlineStr">
        <is>
          <t>SP-SL-KAZARI-H</t>
        </is>
      </c>
      <c r="E1353" s="42" t="inlineStr">
        <is>
          <t>25620-4</t>
        </is>
      </c>
      <c r="F1353" s="42" t="inlineStr">
        <is>
          <t>2600</t>
        </is>
      </c>
      <c r="G1353" s="42" t="inlineStr">
        <is>
          <t>2030</t>
        </is>
      </c>
      <c r="H1353" s="42" t="inlineStr">
        <is>
          <t>True</t>
        </is>
      </c>
      <c r="I1353" s="42" t="inlineStr">
        <is>
          <t>NOT_EVALUATED</t>
        </is>
      </c>
      <c r="J1353" s="42" t="inlineStr">
        <is>
          <t>NO_DIRECT_STANDARD_MATRIX_IN_RETRIEVED_SOURCE</t>
        </is>
      </c>
      <c r="K1353" s="42" t="str"/>
      <c r="L1353" s="42" t="str"/>
      <c r="M1353" s="42" t="str"/>
      <c r="N1353" s="42" t="str"/>
      <c r="O1353" s="42" t="inlineStr">
        <is>
          <t>現行公式資料でこの窓種のSAFE 30mil規格○/×を本Revisionでは直接取得できていない。推測しない。</t>
        </is>
      </c>
    </row>
    <row r="1354">
      <c r="A1354" s="42" t="inlineStr">
        <is>
          <t>SZ-SL-001353</t>
        </is>
      </c>
      <c r="B1354" s="42" t="inlineStr">
        <is>
          <t>WT-SL-KAZARI-HIKI</t>
        </is>
      </c>
      <c r="C1354" s="42" t="inlineStr">
        <is>
          <t>装飾引違い窓</t>
        </is>
      </c>
      <c r="D1354" s="42" t="inlineStr">
        <is>
          <t>SP-SL-KAZARI-H</t>
        </is>
      </c>
      <c r="E1354" s="42" t="inlineStr">
        <is>
          <t>16522</t>
        </is>
      </c>
      <c r="F1354" s="42" t="inlineStr">
        <is>
          <t>1690</t>
        </is>
      </c>
      <c r="G1354" s="42" t="inlineStr">
        <is>
          <t>2230</t>
        </is>
      </c>
      <c r="H1354" s="42" t="inlineStr">
        <is>
          <t>True</t>
        </is>
      </c>
      <c r="I1354" s="42" t="inlineStr">
        <is>
          <t>NOT_EVALUATED</t>
        </is>
      </c>
      <c r="J1354" s="42" t="inlineStr">
        <is>
          <t>NO_DIRECT_STANDARD_MATRIX_IN_RETRIEVED_SOURCE</t>
        </is>
      </c>
      <c r="K1354" s="42" t="str"/>
      <c r="L1354" s="42" t="str"/>
      <c r="M1354" s="42" t="str"/>
      <c r="N1354" s="42" t="str"/>
      <c r="O1354" s="42" t="inlineStr">
        <is>
          <t>現行公式資料でこの窓種のSAFE 30mil規格○/×を本Revisionでは直接取得できていない。推測しない。</t>
        </is>
      </c>
    </row>
    <row r="1355">
      <c r="A1355" s="42" t="inlineStr">
        <is>
          <t>SZ-SL-001354</t>
        </is>
      </c>
      <c r="B1355" s="42" t="inlineStr">
        <is>
          <t>WT-SL-KAZARI-HIKI</t>
        </is>
      </c>
      <c r="C1355" s="42" t="inlineStr">
        <is>
          <t>装飾引違い窓</t>
        </is>
      </c>
      <c r="D1355" s="42" t="inlineStr">
        <is>
          <t>SP-SL-KAZARI-H</t>
        </is>
      </c>
      <c r="E1355" s="42" t="inlineStr">
        <is>
          <t>16524</t>
        </is>
      </c>
      <c r="F1355" s="42" t="inlineStr">
        <is>
          <t>1690</t>
        </is>
      </c>
      <c r="G1355" s="42" t="inlineStr">
        <is>
          <t>2430</t>
        </is>
      </c>
      <c r="H1355" s="42" t="inlineStr">
        <is>
          <t>True</t>
        </is>
      </c>
      <c r="I1355" s="42" t="inlineStr">
        <is>
          <t>NOT_EVALUATED</t>
        </is>
      </c>
      <c r="J1355" s="42" t="inlineStr">
        <is>
          <t>NO_DIRECT_STANDARD_MATRIX_IN_RETRIEVED_SOURCE</t>
        </is>
      </c>
      <c r="K1355" s="42" t="str"/>
      <c r="L1355" s="42" t="str"/>
      <c r="M1355" s="42" t="str"/>
      <c r="N1355" s="42" t="str"/>
      <c r="O1355" s="42" t="inlineStr">
        <is>
          <t>現行公式資料でこの窓種のSAFE 30mil規格○/×を本Revisionでは直接取得できていない。推測しない。</t>
        </is>
      </c>
    </row>
    <row r="1356">
      <c r="A1356" s="42" t="inlineStr">
        <is>
          <t>SZ-SL-001355</t>
        </is>
      </c>
      <c r="B1356" s="42" t="inlineStr">
        <is>
          <t>WT-SL-KAZARI-HIKI</t>
        </is>
      </c>
      <c r="C1356" s="42" t="inlineStr">
        <is>
          <t>装飾引違い窓</t>
        </is>
      </c>
      <c r="D1356" s="42" t="inlineStr">
        <is>
          <t>SP-SL-KAZARI-H</t>
        </is>
      </c>
      <c r="E1356" s="42" t="inlineStr">
        <is>
          <t>25622-2</t>
        </is>
      </c>
      <c r="F1356" s="42" t="inlineStr">
        <is>
          <t>2600</t>
        </is>
      </c>
      <c r="G1356" s="42" t="inlineStr">
        <is>
          <t>2230</t>
        </is>
      </c>
      <c r="H1356" s="42" t="inlineStr">
        <is>
          <t>True</t>
        </is>
      </c>
      <c r="I1356" s="42" t="inlineStr">
        <is>
          <t>NOT_EVALUATED</t>
        </is>
      </c>
      <c r="J1356" s="42" t="inlineStr">
        <is>
          <t>NO_DIRECT_STANDARD_MATRIX_IN_RETRIEVED_SOURCE</t>
        </is>
      </c>
      <c r="K1356" s="42" t="str"/>
      <c r="L1356" s="42" t="str"/>
      <c r="M1356" s="42" t="str"/>
      <c r="N1356" s="42" t="str"/>
      <c r="O1356" s="42" t="inlineStr">
        <is>
          <t>現行公式資料でこの窓種のSAFE 30mil規格○/×を本Revisionでは直接取得できていない。推測しない。</t>
        </is>
      </c>
    </row>
    <row r="1357">
      <c r="A1357" s="42" t="inlineStr">
        <is>
          <t>SZ-SL-001356</t>
        </is>
      </c>
      <c r="B1357" s="42" t="inlineStr">
        <is>
          <t>WT-SL-KAZARI-HIKI</t>
        </is>
      </c>
      <c r="C1357" s="42" t="inlineStr">
        <is>
          <t>装飾引違い窓</t>
        </is>
      </c>
      <c r="D1357" s="42" t="inlineStr">
        <is>
          <t>SP-SL-KAZARI-H</t>
        </is>
      </c>
      <c r="E1357" s="42" t="inlineStr">
        <is>
          <t>25622-4</t>
        </is>
      </c>
      <c r="F1357" s="42" t="inlineStr">
        <is>
          <t>2600</t>
        </is>
      </c>
      <c r="G1357" s="42" t="inlineStr">
        <is>
          <t>2230</t>
        </is>
      </c>
      <c r="H1357" s="42" t="inlineStr">
        <is>
          <t>True</t>
        </is>
      </c>
      <c r="I1357" s="42" t="inlineStr">
        <is>
          <t>NOT_EVALUATED</t>
        </is>
      </c>
      <c r="J1357" s="42" t="inlineStr">
        <is>
          <t>NO_DIRECT_STANDARD_MATRIX_IN_RETRIEVED_SOURCE</t>
        </is>
      </c>
      <c r="K1357" s="42" t="str"/>
      <c r="L1357" s="42" t="str"/>
      <c r="M1357" s="42" t="str"/>
      <c r="N1357" s="42" t="str"/>
      <c r="O1357" s="42" t="inlineStr">
        <is>
          <t>現行公式資料でこの窓種のSAFE 30mil規格○/×を本Revisionでは直接取得できていない。推測しない。</t>
        </is>
      </c>
    </row>
    <row r="1358">
      <c r="A1358" s="42" t="inlineStr">
        <is>
          <t>SZ-SL-001357</t>
        </is>
      </c>
      <c r="B1358" s="42" t="inlineStr">
        <is>
          <t>WT-SL-KAZARI-HIKI</t>
        </is>
      </c>
      <c r="C1358" s="42" t="inlineStr">
        <is>
          <t>装飾引違い窓</t>
        </is>
      </c>
      <c r="D1358" s="42" t="inlineStr">
        <is>
          <t>SP-SL-KAZARI-H</t>
        </is>
      </c>
      <c r="E1358" s="42" t="inlineStr">
        <is>
          <t>25624-2</t>
        </is>
      </c>
      <c r="F1358" s="42" t="inlineStr">
        <is>
          <t>2600</t>
        </is>
      </c>
      <c r="G1358" s="42" t="inlineStr">
        <is>
          <t>2430</t>
        </is>
      </c>
      <c r="H1358" s="42" t="inlineStr">
        <is>
          <t>True</t>
        </is>
      </c>
      <c r="I1358" s="42" t="inlineStr">
        <is>
          <t>NOT_EVALUATED</t>
        </is>
      </c>
      <c r="J1358" s="42" t="inlineStr">
        <is>
          <t>NO_DIRECT_STANDARD_MATRIX_IN_RETRIEVED_SOURCE</t>
        </is>
      </c>
      <c r="K1358" s="42" t="str"/>
      <c r="L1358" s="42" t="str"/>
      <c r="M1358" s="42" t="str"/>
      <c r="N1358" s="42" t="str"/>
      <c r="O1358" s="42" t="inlineStr">
        <is>
          <t>現行公式資料でこの窓種のSAFE 30mil規格○/×を本Revisionでは直接取得できていない。推測しない。</t>
        </is>
      </c>
    </row>
    <row r="1359">
      <c r="A1359" s="42" t="inlineStr">
        <is>
          <t>SZ-SL-001358</t>
        </is>
      </c>
      <c r="B1359" s="42" t="inlineStr">
        <is>
          <t>WT-SL-KAZARI-HIKI</t>
        </is>
      </c>
      <c r="C1359" s="42" t="inlineStr">
        <is>
          <t>装飾引違い窓</t>
        </is>
      </c>
      <c r="D1359" s="42" t="inlineStr">
        <is>
          <t>SP-SL-KAZARI-H</t>
        </is>
      </c>
      <c r="E1359" s="42" t="inlineStr">
        <is>
          <t>25624-4</t>
        </is>
      </c>
      <c r="F1359" s="42" t="inlineStr">
        <is>
          <t>2600</t>
        </is>
      </c>
      <c r="G1359" s="42" t="inlineStr">
        <is>
          <t>2430</t>
        </is>
      </c>
      <c r="H1359" s="42" t="inlineStr">
        <is>
          <t>True</t>
        </is>
      </c>
      <c r="I1359" s="42" t="inlineStr">
        <is>
          <t>NOT_EVALUATED</t>
        </is>
      </c>
      <c r="J1359" s="42" t="inlineStr">
        <is>
          <t>NO_DIRECT_STANDARD_MATRIX_IN_RETRIEVED_SOURCE</t>
        </is>
      </c>
      <c r="K1359" s="42" t="str"/>
      <c r="L1359" s="42" t="str"/>
      <c r="M1359" s="42" t="str"/>
      <c r="N1359" s="42" t="str"/>
      <c r="O1359" s="42" t="inlineStr">
        <is>
          <t>現行公式資料でこの窓種のSAFE 30mil規格○/×を本Revisionでは直接取得できていない。推測しない。</t>
        </is>
      </c>
    </row>
    <row r="1360">
      <c r="A1360" s="42" t="inlineStr">
        <is>
          <t>SZ-SL-001359</t>
        </is>
      </c>
      <c r="B1360" s="42" t="inlineStr">
        <is>
          <t>WT-SL-KAZARI-HIKI</t>
        </is>
      </c>
      <c r="C1360" s="42" t="inlineStr">
        <is>
          <t>装飾引違い窓</t>
        </is>
      </c>
      <c r="D1360" s="42" t="inlineStr">
        <is>
          <t>SP-SL-KAZARI-H</t>
        </is>
      </c>
      <c r="E1360" s="42" t="inlineStr">
        <is>
          <t>16018</t>
        </is>
      </c>
      <c r="F1360" s="42" t="inlineStr">
        <is>
          <t>1640</t>
        </is>
      </c>
      <c r="G1360" s="42" t="inlineStr">
        <is>
          <t>1830</t>
        </is>
      </c>
      <c r="H1360" s="42" t="inlineStr">
        <is>
          <t>True</t>
        </is>
      </c>
      <c r="I1360" s="42" t="inlineStr">
        <is>
          <t>NOT_EVALUATED</t>
        </is>
      </c>
      <c r="J1360" s="42" t="inlineStr">
        <is>
          <t>NO_DIRECT_STANDARD_MATRIX_IN_RETRIEVED_SOURCE</t>
        </is>
      </c>
      <c r="K1360" s="42" t="str"/>
      <c r="L1360" s="42" t="str"/>
      <c r="M1360" s="42" t="str"/>
      <c r="N1360" s="42" t="str"/>
      <c r="O1360" s="42" t="inlineStr">
        <is>
          <t>現行公式資料でこの窓種のSAFE 30mil規格○/×を本Revisionでは直接取得できていない。推測しない。</t>
        </is>
      </c>
    </row>
    <row r="1361">
      <c r="A1361" s="42" t="inlineStr">
        <is>
          <t>SZ-SL-001360</t>
        </is>
      </c>
      <c r="B1361" s="42" t="inlineStr">
        <is>
          <t>WT-SL-KAZARI-HIKI</t>
        </is>
      </c>
      <c r="C1361" s="42" t="inlineStr">
        <is>
          <t>装飾引違い窓</t>
        </is>
      </c>
      <c r="D1361" s="42" t="inlineStr">
        <is>
          <t>SP-SL-KAZARI-H</t>
        </is>
      </c>
      <c r="E1361" s="42" t="inlineStr">
        <is>
          <t>16020</t>
        </is>
      </c>
      <c r="F1361" s="42" t="inlineStr">
        <is>
          <t>1640</t>
        </is>
      </c>
      <c r="G1361" s="42" t="inlineStr">
        <is>
          <t>2030</t>
        </is>
      </c>
      <c r="H1361" s="42" t="inlineStr">
        <is>
          <t>True</t>
        </is>
      </c>
      <c r="I1361" s="42" t="inlineStr">
        <is>
          <t>NOT_EVALUATED</t>
        </is>
      </c>
      <c r="J1361" s="42" t="inlineStr">
        <is>
          <t>NO_DIRECT_STANDARD_MATRIX_IN_RETRIEVED_SOURCE</t>
        </is>
      </c>
      <c r="K1361" s="42" t="str"/>
      <c r="L1361" s="42" t="str"/>
      <c r="M1361" s="42" t="str"/>
      <c r="N1361" s="42" t="str"/>
      <c r="O1361" s="42" t="inlineStr">
        <is>
          <t>現行公式資料でこの窓種のSAFE 30mil規格○/×を本Revisionでは直接取得できていない。推測しない。</t>
        </is>
      </c>
    </row>
    <row r="1362">
      <c r="A1362" s="42" t="inlineStr">
        <is>
          <t>SZ-SL-001361</t>
        </is>
      </c>
      <c r="B1362" s="42" t="inlineStr">
        <is>
          <t>WT-SL-KAZARI-HIKI</t>
        </is>
      </c>
      <c r="C1362" s="42" t="inlineStr">
        <is>
          <t>装飾引違い窓</t>
        </is>
      </c>
      <c r="D1362" s="42" t="inlineStr">
        <is>
          <t>SP-SL-KAZARI-H</t>
        </is>
      </c>
      <c r="E1362" s="42" t="inlineStr">
        <is>
          <t>16022</t>
        </is>
      </c>
      <c r="F1362" s="42" t="inlineStr">
        <is>
          <t>1640</t>
        </is>
      </c>
      <c r="G1362" s="42" t="inlineStr">
        <is>
          <t>2230</t>
        </is>
      </c>
      <c r="H1362" s="42" t="inlineStr">
        <is>
          <t>True</t>
        </is>
      </c>
      <c r="I1362" s="42" t="inlineStr">
        <is>
          <t>NOT_EVALUATED</t>
        </is>
      </c>
      <c r="J1362" s="42" t="inlineStr">
        <is>
          <t>NO_DIRECT_STANDARD_MATRIX_IN_RETRIEVED_SOURCE</t>
        </is>
      </c>
      <c r="K1362" s="42" t="str"/>
      <c r="L1362" s="42" t="str"/>
      <c r="M1362" s="42" t="str"/>
      <c r="N1362" s="42" t="str"/>
      <c r="O1362" s="42" t="inlineStr">
        <is>
          <t>現行公式資料でこの窓種のSAFE 30mil規格○/×を本Revisionでは直接取得できていない。推測しない。</t>
        </is>
      </c>
    </row>
    <row r="1363">
      <c r="A1363" s="42" t="inlineStr">
        <is>
          <t>SZ-SL-001362</t>
        </is>
      </c>
      <c r="B1363" s="42" t="inlineStr">
        <is>
          <t>WT-SL-KAZARI-HIKI</t>
        </is>
      </c>
      <c r="C1363" s="42" t="inlineStr">
        <is>
          <t>装飾引違い窓</t>
        </is>
      </c>
      <c r="D1363" s="42" t="inlineStr">
        <is>
          <t>SP-SL-KAZARI-H</t>
        </is>
      </c>
      <c r="E1363" s="42" t="inlineStr">
        <is>
          <t>16024</t>
        </is>
      </c>
      <c r="F1363" s="42" t="inlineStr">
        <is>
          <t>1640</t>
        </is>
      </c>
      <c r="G1363" s="42" t="inlineStr">
        <is>
          <t>2430</t>
        </is>
      </c>
      <c r="H1363" s="42" t="inlineStr">
        <is>
          <t>True</t>
        </is>
      </c>
      <c r="I1363" s="42" t="inlineStr">
        <is>
          <t>NOT_EVALUATED</t>
        </is>
      </c>
      <c r="J1363" s="42" t="inlineStr">
        <is>
          <t>NO_DIRECT_STANDARD_MATRIX_IN_RETRIEVED_SOURCE</t>
        </is>
      </c>
      <c r="K1363" s="42" t="str"/>
      <c r="L1363" s="42" t="str"/>
      <c r="M1363" s="42" t="str"/>
      <c r="N1363" s="42" t="str"/>
      <c r="O1363" s="42" t="inlineStr">
        <is>
          <t>現行公式資料でこの窓種のSAFE 30mil規格○/×を本Revisionでは直接取得できていない。推測しない。</t>
        </is>
      </c>
    </row>
    <row r="1364">
      <c r="A1364" s="42" t="inlineStr">
        <is>
          <t>SZ-SL-001363</t>
        </is>
      </c>
      <c r="B1364" s="42" t="inlineStr">
        <is>
          <t>WT-SL-KAZARI-HIKI</t>
        </is>
      </c>
      <c r="C1364" s="42" t="inlineStr">
        <is>
          <t>装飾引違い窓</t>
        </is>
      </c>
      <c r="D1364" s="42" t="inlineStr">
        <is>
          <t>SP-SL-KAZARI-HK</t>
        </is>
      </c>
      <c r="E1364" s="42" t="inlineStr">
        <is>
          <t>25618</t>
        </is>
      </c>
      <c r="F1364" s="42" t="inlineStr">
        <is>
          <t>2600</t>
        </is>
      </c>
      <c r="G1364" s="42" t="inlineStr">
        <is>
          <t>1830</t>
        </is>
      </c>
      <c r="H1364" s="42" t="inlineStr">
        <is>
          <t>True</t>
        </is>
      </c>
      <c r="I1364" s="42" t="inlineStr">
        <is>
          <t>NOT_EVALUATED</t>
        </is>
      </c>
      <c r="J1364" s="42" t="inlineStr">
        <is>
          <t>NO_DIRECT_STANDARD_MATRIX_IN_RETRIEVED_SOURCE</t>
        </is>
      </c>
      <c r="K1364" s="42" t="str"/>
      <c r="L1364" s="42" t="str"/>
      <c r="M1364" s="42" t="str"/>
      <c r="N1364" s="42" t="str"/>
      <c r="O1364" s="42" t="inlineStr">
        <is>
          <t>現行公式資料でこの窓種のSAFE 30mil規格○/×を本Revisionでは直接取得できていない。推測しない。</t>
        </is>
      </c>
    </row>
    <row r="1365">
      <c r="A1365" s="42" t="inlineStr">
        <is>
          <t>SZ-SL-001364</t>
        </is>
      </c>
      <c r="B1365" s="42" t="inlineStr">
        <is>
          <t>WT-SL-KAZARI-HIKI</t>
        </is>
      </c>
      <c r="C1365" s="42" t="inlineStr">
        <is>
          <t>装飾引違い窓</t>
        </is>
      </c>
      <c r="D1365" s="42" t="inlineStr">
        <is>
          <t>SP-SL-KAZARI-HK</t>
        </is>
      </c>
      <c r="E1365" s="42" t="inlineStr">
        <is>
          <t>25620</t>
        </is>
      </c>
      <c r="F1365" s="42" t="inlineStr">
        <is>
          <t>2600</t>
        </is>
      </c>
      <c r="G1365" s="42" t="inlineStr">
        <is>
          <t>2030</t>
        </is>
      </c>
      <c r="H1365" s="42" t="inlineStr">
        <is>
          <t>True</t>
        </is>
      </c>
      <c r="I1365" s="42" t="inlineStr">
        <is>
          <t>NOT_EVALUATED</t>
        </is>
      </c>
      <c r="J1365" s="42" t="inlineStr">
        <is>
          <t>NO_DIRECT_STANDARD_MATRIX_IN_RETRIEVED_SOURCE</t>
        </is>
      </c>
      <c r="K1365" s="42" t="str"/>
      <c r="L1365" s="42" t="str"/>
      <c r="M1365" s="42" t="str"/>
      <c r="N1365" s="42" t="str"/>
      <c r="O1365" s="42" t="inlineStr">
        <is>
          <t>現行公式資料でこの窓種のSAFE 30mil規格○/×を本Revisionでは直接取得できていない。推測しない。</t>
        </is>
      </c>
    </row>
    <row r="1366">
      <c r="A1366" s="42" t="inlineStr">
        <is>
          <t>SZ-SL-001365</t>
        </is>
      </c>
      <c r="B1366" s="42" t="inlineStr">
        <is>
          <t>WT-SL-KAZARI-HIKI</t>
        </is>
      </c>
      <c r="C1366" s="42" t="inlineStr">
        <is>
          <t>装飾引違い窓</t>
        </is>
      </c>
      <c r="D1366" s="42" t="inlineStr">
        <is>
          <t>SP-SL-KAZARI-HK</t>
        </is>
      </c>
      <c r="E1366" s="42" t="inlineStr">
        <is>
          <t>25622</t>
        </is>
      </c>
      <c r="F1366" s="42" t="inlineStr">
        <is>
          <t>2600</t>
        </is>
      </c>
      <c r="G1366" s="42" t="inlineStr">
        <is>
          <t>2230</t>
        </is>
      </c>
      <c r="H1366" s="42" t="inlineStr">
        <is>
          <t>True</t>
        </is>
      </c>
      <c r="I1366" s="42" t="inlineStr">
        <is>
          <t>NOT_EVALUATED</t>
        </is>
      </c>
      <c r="J1366" s="42" t="inlineStr">
        <is>
          <t>NO_DIRECT_STANDARD_MATRIX_IN_RETRIEVED_SOURCE</t>
        </is>
      </c>
      <c r="K1366" s="42" t="str"/>
      <c r="L1366" s="42" t="str"/>
      <c r="M1366" s="42" t="str"/>
      <c r="N1366" s="42" t="str"/>
      <c r="O1366" s="42" t="inlineStr">
        <is>
          <t>現行公式資料でこの窓種のSAFE 30mil規格○/×を本Revisionでは直接取得できていない。推測しない。</t>
        </is>
      </c>
    </row>
    <row r="1367">
      <c r="A1367" s="42" t="inlineStr">
        <is>
          <t>SZ-SL-001366</t>
        </is>
      </c>
      <c r="B1367" s="42" t="inlineStr">
        <is>
          <t>WT-SL-KAZARI-HIKI</t>
        </is>
      </c>
      <c r="C1367" s="42" t="inlineStr">
        <is>
          <t>装飾引違い窓</t>
        </is>
      </c>
      <c r="D1367" s="42" t="inlineStr">
        <is>
          <t>SP-SL-KAZARI-HK</t>
        </is>
      </c>
      <c r="E1367" s="42" t="inlineStr">
        <is>
          <t>25624</t>
        </is>
      </c>
      <c r="F1367" s="42" t="inlineStr">
        <is>
          <t>2600</t>
        </is>
      </c>
      <c r="G1367" s="42" t="inlineStr">
        <is>
          <t>2430</t>
        </is>
      </c>
      <c r="H1367" s="42" t="inlineStr">
        <is>
          <t>True</t>
        </is>
      </c>
      <c r="I1367" s="42" t="inlineStr">
        <is>
          <t>NOT_EVALUATED</t>
        </is>
      </c>
      <c r="J1367" s="42" t="inlineStr">
        <is>
          <t>NO_DIRECT_STANDARD_MATRIX_IN_RETRIEVED_SOURCE</t>
        </is>
      </c>
      <c r="K1367" s="42" t="str"/>
      <c r="L1367" s="42" t="str"/>
      <c r="M1367" s="42" t="str"/>
      <c r="N1367" s="42" t="str"/>
      <c r="O1367" s="42" t="inlineStr">
        <is>
          <t>現行公式資料でこの窓種のSAFE 30mil規格○/×を本Revisionでは直接取得できていない。推測しない。</t>
        </is>
      </c>
    </row>
    <row r="1368">
      <c r="A1368" s="42" t="inlineStr">
        <is>
          <t>SZ-SL-001367</t>
        </is>
      </c>
      <c r="B1368" s="42" t="inlineStr">
        <is>
          <t>WT-SL-KAZARI-HIKI</t>
        </is>
      </c>
      <c r="C1368" s="42" t="inlineStr">
        <is>
          <t>装飾引違い窓</t>
        </is>
      </c>
      <c r="D1368" s="42" t="inlineStr">
        <is>
          <t>SP-SL-KAZARI-HKK</t>
        </is>
      </c>
      <c r="E1368" s="42" t="inlineStr">
        <is>
          <t>25609</t>
        </is>
      </c>
      <c r="F1368" s="42" t="inlineStr">
        <is>
          <t>2600</t>
        </is>
      </c>
      <c r="G1368" s="42" t="inlineStr">
        <is>
          <t>970</t>
        </is>
      </c>
      <c r="H1368" s="42" t="inlineStr">
        <is>
          <t>True</t>
        </is>
      </c>
      <c r="I1368" s="42" t="inlineStr">
        <is>
          <t>NOT_EVALUATED</t>
        </is>
      </c>
      <c r="J1368" s="42" t="inlineStr">
        <is>
          <t>NO_DIRECT_STANDARD_MATRIX_IN_RETRIEVED_SOURCE</t>
        </is>
      </c>
      <c r="K1368" s="42" t="str"/>
      <c r="L1368" s="42" t="str"/>
      <c r="M1368" s="42" t="str"/>
      <c r="N1368" s="42" t="str"/>
      <c r="O1368" s="42" t="inlineStr">
        <is>
          <t>現行公式資料でこの窓種のSAFE 30mil規格○/×を本Revisionでは直接取得できていない。推測しない。</t>
        </is>
      </c>
    </row>
    <row r="1369">
      <c r="A1369" s="42" t="inlineStr">
        <is>
          <t>SZ-SL-001368</t>
        </is>
      </c>
      <c r="B1369" s="42" t="inlineStr">
        <is>
          <t>WT-SL-KAZARI-HIKI</t>
        </is>
      </c>
      <c r="C1369" s="42" t="inlineStr">
        <is>
          <t>装飾引違い窓</t>
        </is>
      </c>
      <c r="D1369" s="42" t="inlineStr">
        <is>
          <t>SP-SL-KAZARI-HKK</t>
        </is>
      </c>
      <c r="E1369" s="42" t="inlineStr">
        <is>
          <t>25611</t>
        </is>
      </c>
      <c r="F1369" s="42" t="inlineStr">
        <is>
          <t>2600</t>
        </is>
      </c>
      <c r="G1369" s="42" t="inlineStr">
        <is>
          <t>1170</t>
        </is>
      </c>
      <c r="H1369" s="42" t="inlineStr">
        <is>
          <t>True</t>
        </is>
      </c>
      <c r="I1369" s="42" t="inlineStr">
        <is>
          <t>NOT_EVALUATED</t>
        </is>
      </c>
      <c r="J1369" s="42" t="inlineStr">
        <is>
          <t>NO_DIRECT_STANDARD_MATRIX_IN_RETRIEVED_SOURCE</t>
        </is>
      </c>
      <c r="K1369" s="42" t="str"/>
      <c r="L1369" s="42" t="str"/>
      <c r="M1369" s="42" t="str"/>
      <c r="N1369" s="42" t="str"/>
      <c r="O1369" s="42" t="inlineStr">
        <is>
          <t>現行公式資料でこの窓種のSAFE 30mil規格○/×を本Revisionでは直接取得できていない。推測しない。</t>
        </is>
      </c>
    </row>
    <row r="1370">
      <c r="A1370" s="42" t="inlineStr">
        <is>
          <t>SZ-SL-001369</t>
        </is>
      </c>
      <c r="B1370" s="42" t="inlineStr">
        <is>
          <t>WT-SL-KAZARI-HIKI</t>
        </is>
      </c>
      <c r="C1370" s="42" t="inlineStr">
        <is>
          <t>装飾引違い窓</t>
        </is>
      </c>
      <c r="D1370" s="42" t="inlineStr">
        <is>
          <t>SP-SL-KAZARI-HKK</t>
        </is>
      </c>
      <c r="E1370" s="42" t="inlineStr">
        <is>
          <t>25613</t>
        </is>
      </c>
      <c r="F1370" s="42" t="inlineStr">
        <is>
          <t>2600</t>
        </is>
      </c>
      <c r="G1370" s="42" t="inlineStr">
        <is>
          <t>1370</t>
        </is>
      </c>
      <c r="H1370" s="42" t="inlineStr">
        <is>
          <t>True</t>
        </is>
      </c>
      <c r="I1370" s="42" t="inlineStr">
        <is>
          <t>NOT_EVALUATED</t>
        </is>
      </c>
      <c r="J1370" s="42" t="inlineStr">
        <is>
          <t>NO_DIRECT_STANDARD_MATRIX_IN_RETRIEVED_SOURCE</t>
        </is>
      </c>
      <c r="K1370" s="42" t="str"/>
      <c r="L1370" s="42" t="str"/>
      <c r="M1370" s="42" t="str"/>
      <c r="N1370" s="42" t="str"/>
      <c r="O1370" s="42" t="inlineStr">
        <is>
          <t>現行公式資料でこの窓種のSAFE 30mil規格○/×を本Revisionでは直接取得できていない。推測しない。</t>
        </is>
      </c>
    </row>
    <row r="1371">
      <c r="A1371" s="42" t="inlineStr">
        <is>
          <t>SZ-SL-001370</t>
        </is>
      </c>
      <c r="B1371" s="42" t="inlineStr">
        <is>
          <t>WT-SL-KAZARI-HIKI</t>
        </is>
      </c>
      <c r="C1371" s="42" t="inlineStr">
        <is>
          <t>装飾引違い窓</t>
        </is>
      </c>
      <c r="D1371" s="42" t="inlineStr">
        <is>
          <t>SP-SL-KAZARI-HKK</t>
        </is>
      </c>
      <c r="E1371" s="42" t="inlineStr">
        <is>
          <t>34718</t>
        </is>
      </c>
      <c r="F1371" s="42" t="inlineStr">
        <is>
          <t>3510</t>
        </is>
      </c>
      <c r="G1371" s="42" t="inlineStr">
        <is>
          <t>1830</t>
        </is>
      </c>
      <c r="H1371" s="42" t="inlineStr">
        <is>
          <t>True</t>
        </is>
      </c>
      <c r="I1371" s="42" t="inlineStr">
        <is>
          <t>NOT_EVALUATED</t>
        </is>
      </c>
      <c r="J1371" s="42" t="inlineStr">
        <is>
          <t>NO_DIRECT_STANDARD_MATRIX_IN_RETRIEVED_SOURCE</t>
        </is>
      </c>
      <c r="K1371" s="42" t="str"/>
      <c r="L1371" s="42" t="str"/>
      <c r="M1371" s="42" t="str"/>
      <c r="N1371" s="42" t="str"/>
      <c r="O1371" s="42" t="inlineStr">
        <is>
          <t>現行公式資料でこの窓種のSAFE 30mil規格○/×を本Revisionでは直接取得できていない。推測しない。</t>
        </is>
      </c>
    </row>
    <row r="1372">
      <c r="A1372" s="42" t="inlineStr">
        <is>
          <t>SZ-SL-001371</t>
        </is>
      </c>
      <c r="B1372" s="42" t="inlineStr">
        <is>
          <t>WT-SL-KAZARI-HIKI</t>
        </is>
      </c>
      <c r="C1372" s="42" t="inlineStr">
        <is>
          <t>装飾引違い窓</t>
        </is>
      </c>
      <c r="D1372" s="42" t="inlineStr">
        <is>
          <t>SP-SL-KAZARI-HKK</t>
        </is>
      </c>
      <c r="E1372" s="42" t="inlineStr">
        <is>
          <t>34720</t>
        </is>
      </c>
      <c r="F1372" s="42" t="inlineStr">
        <is>
          <t>3510</t>
        </is>
      </c>
      <c r="G1372" s="42" t="inlineStr">
        <is>
          <t>2030</t>
        </is>
      </c>
      <c r="H1372" s="42" t="inlineStr">
        <is>
          <t>True</t>
        </is>
      </c>
      <c r="I1372" s="42" t="inlineStr">
        <is>
          <t>NOT_EVALUATED</t>
        </is>
      </c>
      <c r="J1372" s="42" t="inlineStr">
        <is>
          <t>NO_DIRECT_STANDARD_MATRIX_IN_RETRIEVED_SOURCE</t>
        </is>
      </c>
      <c r="K1372" s="42" t="str"/>
      <c r="L1372" s="42" t="str"/>
      <c r="M1372" s="42" t="str"/>
      <c r="N1372" s="42" t="str"/>
      <c r="O1372" s="42" t="inlineStr">
        <is>
          <t>現行公式資料でこの窓種のSAFE 30mil規格○/×を本Revisionでは直接取得できていない。推測しない。</t>
        </is>
      </c>
    </row>
    <row r="1373">
      <c r="A1373" s="42" t="inlineStr">
        <is>
          <t>SZ-SL-001372</t>
        </is>
      </c>
      <c r="B1373" s="42" t="inlineStr">
        <is>
          <t>WT-SL-TERRACE-DOOR</t>
        </is>
      </c>
      <c r="C1373" s="42" t="inlineStr">
        <is>
          <t>テラスドア</t>
        </is>
      </c>
      <c r="D1373" s="42" t="str"/>
      <c r="E1373" s="42" t="inlineStr">
        <is>
          <t>06018</t>
        </is>
      </c>
      <c r="F1373" s="42" t="inlineStr">
        <is>
          <t>640</t>
        </is>
      </c>
      <c r="G1373" s="42" t="inlineStr">
        <is>
          <t>1830</t>
        </is>
      </c>
      <c r="H1373" s="42" t="inlineStr">
        <is>
          <t>True</t>
        </is>
      </c>
      <c r="I1373" s="42" t="inlineStr">
        <is>
          <t>ALLOWED</t>
        </is>
      </c>
      <c r="J1373" s="42" t="inlineStr">
        <is>
          <t>DIRECT_OFFICIAL_STANDARD_ROW_HANDEDNESS_CONSISTENT</t>
        </is>
      </c>
      <c r="K1373" s="42" t="inlineStr">
        <is>
          <t>SDC0003157</t>
        </is>
      </c>
      <c r="L1373" s="42" t="inlineStr">
        <is>
          <t>Ⅱﾃﾗｽﾄﾞｱ</t>
        </is>
      </c>
      <c r="M1373" s="42" t="inlineStr">
        <is>
          <t>9; 21</t>
        </is>
      </c>
      <c r="N1373" s="42" t="inlineStr">
        <is>
          <t>05718L; 05718R</t>
        </is>
      </c>
      <c r="O1373" s="42" t="inlineStr">
        <is>
          <t>L/R等の公式行をW/Hで束ね、同一W/H内の30mil判定一致を確認してRuntime規格へ突合。</t>
        </is>
      </c>
    </row>
    <row r="1374">
      <c r="A1374" s="42" t="inlineStr">
        <is>
          <t>SZ-SL-001373</t>
        </is>
      </c>
      <c r="B1374" s="42" t="inlineStr">
        <is>
          <t>WT-SL-TERRACE-DOOR</t>
        </is>
      </c>
      <c r="C1374" s="42" t="inlineStr">
        <is>
          <t>テラスドア</t>
        </is>
      </c>
      <c r="D1374" s="42" t="str"/>
      <c r="E1374" s="42" t="inlineStr">
        <is>
          <t>06020</t>
        </is>
      </c>
      <c r="F1374" s="42" t="inlineStr">
        <is>
          <t>640</t>
        </is>
      </c>
      <c r="G1374" s="42" t="inlineStr">
        <is>
          <t>2030</t>
        </is>
      </c>
      <c r="H1374" s="42" t="inlineStr">
        <is>
          <t>True</t>
        </is>
      </c>
      <c r="I1374" s="42" t="inlineStr">
        <is>
          <t>ALLOWED</t>
        </is>
      </c>
      <c r="J1374" s="42" t="inlineStr">
        <is>
          <t>DIRECT_OFFICIAL_STANDARD_ROW_HANDEDNESS_CONSISTENT</t>
        </is>
      </c>
      <c r="K1374" s="42" t="inlineStr">
        <is>
          <t>SDC0003157</t>
        </is>
      </c>
      <c r="L1374" s="42" t="inlineStr">
        <is>
          <t>Ⅱﾃﾗｽﾄﾞｱ</t>
        </is>
      </c>
      <c r="M1374" s="42" t="inlineStr">
        <is>
          <t>10; 22</t>
        </is>
      </c>
      <c r="N1374" s="42" t="inlineStr">
        <is>
          <t>05720L; 05720R</t>
        </is>
      </c>
      <c r="O1374" s="42" t="inlineStr">
        <is>
          <t>L/R等の公式行をW/Hで束ね、同一W/H内の30mil判定一致を確認してRuntime規格へ突合。</t>
        </is>
      </c>
    </row>
    <row r="1375">
      <c r="A1375" s="42" t="inlineStr">
        <is>
          <t>SZ-SL-001374</t>
        </is>
      </c>
      <c r="B1375" s="42" t="inlineStr">
        <is>
          <t>WT-SL-TERRACE-DOOR</t>
        </is>
      </c>
      <c r="C1375" s="42" t="inlineStr">
        <is>
          <t>テラスドア</t>
        </is>
      </c>
      <c r="D1375" s="42" t="str"/>
      <c r="E1375" s="42" t="inlineStr">
        <is>
          <t>06022</t>
        </is>
      </c>
      <c r="F1375" s="42" t="inlineStr">
        <is>
          <t>640</t>
        </is>
      </c>
      <c r="G1375" s="42" t="inlineStr">
        <is>
          <t>2230</t>
        </is>
      </c>
      <c r="H1375" s="42" t="inlineStr">
        <is>
          <t>True</t>
        </is>
      </c>
      <c r="I1375" s="42" t="inlineStr">
        <is>
          <t>ALLOWED</t>
        </is>
      </c>
      <c r="J1375" s="42" t="inlineStr">
        <is>
          <t>DIRECT_OFFICIAL_STANDARD_ROW_HANDEDNESS_CONSISTENT</t>
        </is>
      </c>
      <c r="K1375" s="42" t="inlineStr">
        <is>
          <t>SDC0003157</t>
        </is>
      </c>
      <c r="L1375" s="42" t="inlineStr">
        <is>
          <t>Ⅱﾃﾗｽﾄﾞｱ</t>
        </is>
      </c>
      <c r="M1375" s="42" t="inlineStr">
        <is>
          <t>11; 23</t>
        </is>
      </c>
      <c r="N1375" s="42" t="inlineStr">
        <is>
          <t>05722L; 05722R</t>
        </is>
      </c>
      <c r="O1375" s="42" t="inlineStr">
        <is>
          <t>L/R等の公式行をW/Hで束ね、同一W/H内の30mil判定一致を確認してRuntime規格へ突合。</t>
        </is>
      </c>
    </row>
    <row r="1376">
      <c r="A1376" s="42" t="inlineStr">
        <is>
          <t>SZ-SL-001375</t>
        </is>
      </c>
      <c r="B1376" s="42" t="inlineStr">
        <is>
          <t>WT-SL-TERRACE-DOOR</t>
        </is>
      </c>
      <c r="C1376" s="42" t="inlineStr">
        <is>
          <t>テラスドア</t>
        </is>
      </c>
      <c r="D1376" s="42" t="str"/>
      <c r="E1376" s="42" t="inlineStr">
        <is>
          <t>06024</t>
        </is>
      </c>
      <c r="F1376" s="42" t="inlineStr">
        <is>
          <t>640</t>
        </is>
      </c>
      <c r="G1376" s="42" t="inlineStr">
        <is>
          <t>2430</t>
        </is>
      </c>
      <c r="H1376" s="42" t="inlineStr">
        <is>
          <t>True</t>
        </is>
      </c>
      <c r="I1376" s="42" t="inlineStr">
        <is>
          <t>ALLOWED</t>
        </is>
      </c>
      <c r="J1376" s="42" t="inlineStr">
        <is>
          <t>DIRECT_OFFICIAL_STANDARD_ROW_HANDEDNESS_CONSISTENT</t>
        </is>
      </c>
      <c r="K1376" s="42" t="inlineStr">
        <is>
          <t>SDC0003157</t>
        </is>
      </c>
      <c r="L1376" s="42" t="inlineStr">
        <is>
          <t>Ⅱﾃﾗｽﾄﾞｱ</t>
        </is>
      </c>
      <c r="M1376" s="42" t="inlineStr">
        <is>
          <t>12; 16; 20; 24; 28; 32</t>
        </is>
      </c>
      <c r="N1376" s="42" t="inlineStr">
        <is>
          <t>05724L; 05724LA; 05724LB; 05724R; 05724RA; 05724RB</t>
        </is>
      </c>
      <c r="O1376" s="42" t="inlineStr">
        <is>
          <t>L/R等の公式行をW/Hで束ね、同一W/H内の30mil判定一致を確認してRuntime規格へ突合。</t>
        </is>
      </c>
    </row>
    <row r="1377">
      <c r="A1377" s="42" t="inlineStr">
        <is>
          <t>SZ-SL-001376</t>
        </is>
      </c>
      <c r="B1377" s="42" t="inlineStr">
        <is>
          <t>WT-SL-TERRACE-DOOR</t>
        </is>
      </c>
      <c r="C1377" s="42" t="inlineStr">
        <is>
          <t>テラスドア</t>
        </is>
      </c>
      <c r="D1377" s="42" t="str"/>
      <c r="E1377" s="42" t="inlineStr">
        <is>
          <t>06918</t>
        </is>
      </c>
      <c r="F1377" s="42" t="inlineStr">
        <is>
          <t>730</t>
        </is>
      </c>
      <c r="G1377" s="42" t="inlineStr">
        <is>
          <t>1830</t>
        </is>
      </c>
      <c r="H1377" s="42" t="inlineStr">
        <is>
          <t>True</t>
        </is>
      </c>
      <c r="I1377" s="42" t="inlineStr">
        <is>
          <t>ALLOWED</t>
        </is>
      </c>
      <c r="J1377" s="42" t="inlineStr">
        <is>
          <t>DIRECT_OFFICIAL_STANDARD_ROW_HANDEDNESS_CONSISTENT</t>
        </is>
      </c>
      <c r="K1377" s="42" t="inlineStr">
        <is>
          <t>SDC0003157</t>
        </is>
      </c>
      <c r="L1377" s="42" t="inlineStr">
        <is>
          <t>Ⅱﾃﾗｽﾄﾞｱ</t>
        </is>
      </c>
      <c r="M1377" s="42" t="inlineStr">
        <is>
          <t>33; 45</t>
        </is>
      </c>
      <c r="N1377" s="42" t="inlineStr">
        <is>
          <t>06618L; 06618R</t>
        </is>
      </c>
      <c r="O1377" s="42" t="inlineStr">
        <is>
          <t>L/R等の公式行をW/Hで束ね、同一W/H内の30mil判定一致を確認してRuntime規格へ突合。</t>
        </is>
      </c>
    </row>
    <row r="1378">
      <c r="A1378" s="42" t="inlineStr">
        <is>
          <t>SZ-SL-001377</t>
        </is>
      </c>
      <c r="B1378" s="42" t="inlineStr">
        <is>
          <t>WT-SL-TERRACE-DOOR</t>
        </is>
      </c>
      <c r="C1378" s="42" t="inlineStr">
        <is>
          <t>テラスドア</t>
        </is>
      </c>
      <c r="D1378" s="42" t="str"/>
      <c r="E1378" s="42" t="inlineStr">
        <is>
          <t>06920</t>
        </is>
      </c>
      <c r="F1378" s="42" t="inlineStr">
        <is>
          <t>730</t>
        </is>
      </c>
      <c r="G1378" s="42" t="inlineStr">
        <is>
          <t>2030</t>
        </is>
      </c>
      <c r="H1378" s="42" t="inlineStr">
        <is>
          <t>True</t>
        </is>
      </c>
      <c r="I1378" s="42" t="inlineStr">
        <is>
          <t>ALLOWED</t>
        </is>
      </c>
      <c r="J1378" s="42" t="inlineStr">
        <is>
          <t>DIRECT_OFFICIAL_STANDARD_ROW_HANDEDNESS_CONSISTENT</t>
        </is>
      </c>
      <c r="K1378" s="42" t="inlineStr">
        <is>
          <t>SDC0003157</t>
        </is>
      </c>
      <c r="L1378" s="42" t="inlineStr">
        <is>
          <t>Ⅱﾃﾗｽﾄﾞｱ</t>
        </is>
      </c>
      <c r="M1378" s="42" t="inlineStr">
        <is>
          <t>34; 46</t>
        </is>
      </c>
      <c r="N1378" s="42" t="inlineStr">
        <is>
          <t>06620L; 06620R</t>
        </is>
      </c>
      <c r="O1378" s="42" t="inlineStr">
        <is>
          <t>L/R等の公式行をW/Hで束ね、同一W/H内の30mil判定一致を確認してRuntime規格へ突合。</t>
        </is>
      </c>
    </row>
    <row r="1379">
      <c r="A1379" s="42" t="inlineStr">
        <is>
          <t>SZ-SL-001378</t>
        </is>
      </c>
      <c r="B1379" s="42" t="inlineStr">
        <is>
          <t>WT-SL-TERRACE-DOOR</t>
        </is>
      </c>
      <c r="C1379" s="42" t="inlineStr">
        <is>
          <t>テラスドア</t>
        </is>
      </c>
      <c r="D1379" s="42" t="str"/>
      <c r="E1379" s="42" t="inlineStr">
        <is>
          <t>06922</t>
        </is>
      </c>
      <c r="F1379" s="42" t="inlineStr">
        <is>
          <t>730</t>
        </is>
      </c>
      <c r="G1379" s="42" t="inlineStr">
        <is>
          <t>2230</t>
        </is>
      </c>
      <c r="H1379" s="42" t="inlineStr">
        <is>
          <t>True</t>
        </is>
      </c>
      <c r="I1379" s="42" t="inlineStr">
        <is>
          <t>ALLOWED</t>
        </is>
      </c>
      <c r="J1379" s="42" t="inlineStr">
        <is>
          <t>DIRECT_OFFICIAL_STANDARD_ROW_HANDEDNESS_CONSISTENT</t>
        </is>
      </c>
      <c r="K1379" s="42" t="inlineStr">
        <is>
          <t>SDC0003157</t>
        </is>
      </c>
      <c r="L1379" s="42" t="inlineStr">
        <is>
          <t>Ⅱﾃﾗｽﾄﾞｱ</t>
        </is>
      </c>
      <c r="M1379" s="42" t="inlineStr">
        <is>
          <t>35; 47</t>
        </is>
      </c>
      <c r="N1379" s="42" t="inlineStr">
        <is>
          <t>06622L; 06622R</t>
        </is>
      </c>
      <c r="O1379" s="42" t="inlineStr">
        <is>
          <t>L/R等の公式行をW/Hで束ね、同一W/H内の30mil判定一致を確認してRuntime規格へ突合。</t>
        </is>
      </c>
    </row>
    <row r="1380">
      <c r="A1380" s="42" t="inlineStr">
        <is>
          <t>SZ-SL-001379</t>
        </is>
      </c>
      <c r="B1380" s="42" t="inlineStr">
        <is>
          <t>WT-SL-TERRACE-DOOR</t>
        </is>
      </c>
      <c r="C1380" s="42" t="inlineStr">
        <is>
          <t>テラスドア</t>
        </is>
      </c>
      <c r="D1380" s="42" t="str"/>
      <c r="E1380" s="42" t="inlineStr">
        <is>
          <t>06924</t>
        </is>
      </c>
      <c r="F1380" s="42" t="inlineStr">
        <is>
          <t>730</t>
        </is>
      </c>
      <c r="G1380" s="42" t="inlineStr">
        <is>
          <t>2430</t>
        </is>
      </c>
      <c r="H1380" s="42" t="inlineStr">
        <is>
          <t>True</t>
        </is>
      </c>
      <c r="I1380" s="42" t="inlineStr">
        <is>
          <t>ALLOWED</t>
        </is>
      </c>
      <c r="J1380" s="42" t="inlineStr">
        <is>
          <t>DIRECT_OFFICIAL_STANDARD_ROW_HANDEDNESS_CONSISTENT</t>
        </is>
      </c>
      <c r="K1380" s="42" t="inlineStr">
        <is>
          <t>SDC0003157</t>
        </is>
      </c>
      <c r="L1380" s="42" t="inlineStr">
        <is>
          <t>Ⅱﾃﾗｽﾄﾞｱ</t>
        </is>
      </c>
      <c r="M1380" s="42" t="inlineStr">
        <is>
          <t>36; 40; 44; 48; 52; 56</t>
        </is>
      </c>
      <c r="N1380" s="42" t="inlineStr">
        <is>
          <t>06624L; 06624LA; 06624LB; 06624R; 06624RA; 06624RB</t>
        </is>
      </c>
      <c r="O1380" s="42" t="inlineStr">
        <is>
          <t>L/R等の公式行をW/Hで束ね、同一W/H内の30mil判定一致を確認してRuntime規格へ突合。</t>
        </is>
      </c>
    </row>
    <row r="1381">
      <c r="A1381" s="42" t="inlineStr">
        <is>
          <t>SZ-SL-001380</t>
        </is>
      </c>
      <c r="B1381" s="42" t="inlineStr">
        <is>
          <t>WT-SL-TERRACE-DOOR</t>
        </is>
      </c>
      <c r="C1381" s="42" t="inlineStr">
        <is>
          <t>テラスドア</t>
        </is>
      </c>
      <c r="D1381" s="42" t="str"/>
      <c r="E1381" s="42" t="inlineStr">
        <is>
          <t>07418</t>
        </is>
      </c>
      <c r="F1381" s="42" t="inlineStr">
        <is>
          <t>780</t>
        </is>
      </c>
      <c r="G1381" s="42" t="inlineStr">
        <is>
          <t>1830</t>
        </is>
      </c>
      <c r="H1381" s="42" t="inlineStr">
        <is>
          <t>True</t>
        </is>
      </c>
      <c r="I1381" s="42" t="inlineStr">
        <is>
          <t>ALLOWED</t>
        </is>
      </c>
      <c r="J1381" s="42" t="inlineStr">
        <is>
          <t>DIRECT_OFFICIAL_STANDARD_ROW_HANDEDNESS_CONSISTENT</t>
        </is>
      </c>
      <c r="K1381" s="42" t="inlineStr">
        <is>
          <t>SDC0003157</t>
        </is>
      </c>
      <c r="L1381" s="42" t="inlineStr">
        <is>
          <t>Ⅱﾃﾗｽﾄﾞｱ</t>
        </is>
      </c>
      <c r="M1381" s="42" t="inlineStr">
        <is>
          <t>57; 61</t>
        </is>
      </c>
      <c r="N1381" s="42" t="inlineStr">
        <is>
          <t>07118L; 07118R</t>
        </is>
      </c>
      <c r="O1381" s="42" t="inlineStr">
        <is>
          <t>L/R等の公式行をW/Hで束ね、同一W/H内の30mil判定一致を確認してRuntime規格へ突合。</t>
        </is>
      </c>
    </row>
    <row r="1382">
      <c r="A1382" s="42" t="inlineStr">
        <is>
          <t>SZ-SL-001381</t>
        </is>
      </c>
      <c r="B1382" s="42" t="inlineStr">
        <is>
          <t>WT-SL-TERRACE-DOOR</t>
        </is>
      </c>
      <c r="C1382" s="42" t="inlineStr">
        <is>
          <t>テラスドア</t>
        </is>
      </c>
      <c r="D1382" s="42" t="str"/>
      <c r="E1382" s="42" t="inlineStr">
        <is>
          <t>07420</t>
        </is>
      </c>
      <c r="F1382" s="42" t="inlineStr">
        <is>
          <t>780</t>
        </is>
      </c>
      <c r="G1382" s="42" t="inlineStr">
        <is>
          <t>2030</t>
        </is>
      </c>
      <c r="H1382" s="42" t="inlineStr">
        <is>
          <t>True</t>
        </is>
      </c>
      <c r="I1382" s="42" t="inlineStr">
        <is>
          <t>ALLOWED</t>
        </is>
      </c>
      <c r="J1382" s="42" t="inlineStr">
        <is>
          <t>DIRECT_OFFICIAL_STANDARD_ROW_HANDEDNESS_CONSISTENT</t>
        </is>
      </c>
      <c r="K1382" s="42" t="inlineStr">
        <is>
          <t>SDC0003157</t>
        </is>
      </c>
      <c r="L1382" s="42" t="inlineStr">
        <is>
          <t>Ⅱﾃﾗｽﾄﾞｱ</t>
        </is>
      </c>
      <c r="M1382" s="42" t="inlineStr">
        <is>
          <t>58; 62</t>
        </is>
      </c>
      <c r="N1382" s="42" t="inlineStr">
        <is>
          <t>07120L; 07120R</t>
        </is>
      </c>
      <c r="O1382" s="42" t="inlineStr">
        <is>
          <t>L/R等の公式行をW/Hで束ね、同一W/H内の30mil判定一致を確認してRuntime規格へ突合。</t>
        </is>
      </c>
    </row>
    <row r="1383">
      <c r="A1383" s="42" t="inlineStr">
        <is>
          <t>SZ-SL-001382</t>
        </is>
      </c>
      <c r="B1383" s="42" t="inlineStr">
        <is>
          <t>WT-SL-TERRACE-DOOR</t>
        </is>
      </c>
      <c r="C1383" s="42" t="inlineStr">
        <is>
          <t>テラスドア</t>
        </is>
      </c>
      <c r="D1383" s="42" t="str"/>
      <c r="E1383" s="42" t="inlineStr">
        <is>
          <t>07422</t>
        </is>
      </c>
      <c r="F1383" s="42" t="inlineStr">
        <is>
          <t>780</t>
        </is>
      </c>
      <c r="G1383" s="42" t="inlineStr">
        <is>
          <t>2230</t>
        </is>
      </c>
      <c r="H1383" s="42" t="inlineStr">
        <is>
          <t>True</t>
        </is>
      </c>
      <c r="I1383" s="42" t="inlineStr">
        <is>
          <t>ALLOWED</t>
        </is>
      </c>
      <c r="J1383" s="42" t="inlineStr">
        <is>
          <t>DIRECT_OFFICIAL_STANDARD_ROW_HANDEDNESS_CONSISTENT</t>
        </is>
      </c>
      <c r="K1383" s="42" t="inlineStr">
        <is>
          <t>SDC0003157</t>
        </is>
      </c>
      <c r="L1383" s="42" t="inlineStr">
        <is>
          <t>Ⅱﾃﾗｽﾄﾞｱ</t>
        </is>
      </c>
      <c r="M1383" s="42" t="inlineStr">
        <is>
          <t>59; 63</t>
        </is>
      </c>
      <c r="N1383" s="42" t="inlineStr">
        <is>
          <t>07122L; 07122R</t>
        </is>
      </c>
      <c r="O1383" s="42" t="inlineStr">
        <is>
          <t>L/R等の公式行をW/Hで束ね、同一W/H内の30mil判定一致を確認してRuntime規格へ突合。</t>
        </is>
      </c>
    </row>
    <row r="1384">
      <c r="A1384" s="42" t="inlineStr">
        <is>
          <t>SZ-SL-001383</t>
        </is>
      </c>
      <c r="B1384" s="42" t="inlineStr">
        <is>
          <t>WT-SL-TERRACE-DOOR</t>
        </is>
      </c>
      <c r="C1384" s="42" t="inlineStr">
        <is>
          <t>テラスドア</t>
        </is>
      </c>
      <c r="D1384" s="42" t="str"/>
      <c r="E1384" s="42" t="inlineStr">
        <is>
          <t>07424</t>
        </is>
      </c>
      <c r="F1384" s="42" t="inlineStr">
        <is>
          <t>780</t>
        </is>
      </c>
      <c r="G1384" s="42" t="inlineStr">
        <is>
          <t>2430</t>
        </is>
      </c>
      <c r="H1384" s="42" t="inlineStr">
        <is>
          <t>True</t>
        </is>
      </c>
      <c r="I1384" s="42" t="inlineStr">
        <is>
          <t>ALLOWED</t>
        </is>
      </c>
      <c r="J1384" s="42" t="inlineStr">
        <is>
          <t>DIRECT_OFFICIAL_STANDARD_ROW_HANDEDNESS_CONSISTENT</t>
        </is>
      </c>
      <c r="K1384" s="42" t="inlineStr">
        <is>
          <t>SDC0003157</t>
        </is>
      </c>
      <c r="L1384" s="42" t="inlineStr">
        <is>
          <t>Ⅱﾃﾗｽﾄﾞｱ</t>
        </is>
      </c>
      <c r="M1384" s="42" t="inlineStr">
        <is>
          <t>60; 64</t>
        </is>
      </c>
      <c r="N1384" s="42" t="inlineStr">
        <is>
          <t>07124L; 07124R</t>
        </is>
      </c>
      <c r="O1384" s="42" t="inlineStr">
        <is>
          <t>L/R等の公式行をW/Hで束ね、同一W/H内の30mil判定一致を確認してRuntime規格へ突合。</t>
        </is>
      </c>
    </row>
    <row r="1385">
      <c r="A1385" s="42" t="inlineStr">
        <is>
          <t>SZ-SL-001384</t>
        </is>
      </c>
      <c r="B1385" s="42" t="inlineStr">
        <is>
          <t>WT-SL-KATTEGUCHI-VENT-FS</t>
        </is>
      </c>
      <c r="C1385" s="42" t="inlineStr">
        <is>
          <t>採風勝手口ドアFS</t>
        </is>
      </c>
      <c r="D1385" s="42" t="str"/>
      <c r="E1385" s="42" t="inlineStr">
        <is>
          <t>06018</t>
        </is>
      </c>
      <c r="F1385" s="42" t="inlineStr">
        <is>
          <t>640</t>
        </is>
      </c>
      <c r="G1385" s="42" t="inlineStr">
        <is>
          <t>1830</t>
        </is>
      </c>
      <c r="H1385" s="42" t="inlineStr">
        <is>
          <t>True</t>
        </is>
      </c>
      <c r="I1385" s="42" t="inlineStr">
        <is>
          <t>ALLOWED</t>
        </is>
      </c>
      <c r="J1385" s="42" t="inlineStr">
        <is>
          <t>DIRECT_OFFICIAL_STANDARD_ROW_HANDEDNESS_CONSISTENT</t>
        </is>
      </c>
      <c r="K1385" s="42" t="inlineStr">
        <is>
          <t>SDC0003157</t>
        </is>
      </c>
      <c r="L1385" s="42" t="inlineStr">
        <is>
          <t>Ⅱ採風勝手口</t>
        </is>
      </c>
      <c r="M1385" s="42" t="inlineStr">
        <is>
          <t>9; 18</t>
        </is>
      </c>
      <c r="N1385" s="42" t="inlineStr">
        <is>
          <t>05718L; 05718R</t>
        </is>
      </c>
      <c r="O1385" s="42" t="inlineStr">
        <is>
          <t>L/R等の公式行をW/Hで束ね、同一W/H内の30mil判定一致を確認してRuntime規格へ突合。</t>
        </is>
      </c>
    </row>
    <row r="1386">
      <c r="A1386" s="42" t="inlineStr">
        <is>
          <t>SZ-SL-001385</t>
        </is>
      </c>
      <c r="B1386" s="42" t="inlineStr">
        <is>
          <t>WT-SL-KATTEGUCHI-VENT-FS</t>
        </is>
      </c>
      <c r="C1386" s="42" t="inlineStr">
        <is>
          <t>採風勝手口ドアFS</t>
        </is>
      </c>
      <c r="D1386" s="42" t="str"/>
      <c r="E1386" s="42" t="inlineStr">
        <is>
          <t>06918</t>
        </is>
      </c>
      <c r="F1386" s="42" t="inlineStr">
        <is>
          <t>730</t>
        </is>
      </c>
      <c r="G1386" s="42" t="inlineStr">
        <is>
          <t>1830</t>
        </is>
      </c>
      <c r="H1386" s="42" t="inlineStr">
        <is>
          <t>True</t>
        </is>
      </c>
      <c r="I1386" s="42" t="inlineStr">
        <is>
          <t>ALLOWED</t>
        </is>
      </c>
      <c r="J1386" s="42" t="inlineStr">
        <is>
          <t>DIRECT_OFFICIAL_STANDARD_ROW_HANDEDNESS_CONSISTENT</t>
        </is>
      </c>
      <c r="K1386" s="42" t="inlineStr">
        <is>
          <t>SDC0003157</t>
        </is>
      </c>
      <c r="L1386" s="42" t="inlineStr">
        <is>
          <t>Ⅱ採風勝手口</t>
        </is>
      </c>
      <c r="M1386" s="42" t="inlineStr">
        <is>
          <t>27; 36</t>
        </is>
      </c>
      <c r="N1386" s="42" t="inlineStr">
        <is>
          <t>06618L; 06618R</t>
        </is>
      </c>
      <c r="O1386" s="42" t="inlineStr">
        <is>
          <t>L/R等の公式行をW/Hで束ね、同一W/H内の30mil判定一致を確認してRuntime規格へ突合。</t>
        </is>
      </c>
    </row>
    <row r="1387">
      <c r="A1387" s="42" t="inlineStr">
        <is>
          <t>SZ-SL-001386</t>
        </is>
      </c>
      <c r="B1387" s="42" t="inlineStr">
        <is>
          <t>WT-SL-KATTEGUCHI-VENT-FS</t>
        </is>
      </c>
      <c r="C1387" s="42" t="inlineStr">
        <is>
          <t>採風勝手口ドアFS</t>
        </is>
      </c>
      <c r="D1387" s="42" t="str"/>
      <c r="E1387" s="42" t="inlineStr">
        <is>
          <t>07418</t>
        </is>
      </c>
      <c r="F1387" s="42" t="inlineStr">
        <is>
          <t>780</t>
        </is>
      </c>
      <c r="G1387" s="42" t="inlineStr">
        <is>
          <t>1830</t>
        </is>
      </c>
      <c r="H1387" s="42" t="inlineStr">
        <is>
          <t>True</t>
        </is>
      </c>
      <c r="I1387" s="42" t="inlineStr">
        <is>
          <t>ALLOWED</t>
        </is>
      </c>
      <c r="J1387" s="42" t="inlineStr">
        <is>
          <t>DIRECT_OFFICIAL_STANDARD_ROW_HANDEDNESS_CONSISTENT</t>
        </is>
      </c>
      <c r="K1387" s="42" t="inlineStr">
        <is>
          <t>SDC0003157</t>
        </is>
      </c>
      <c r="L1387" s="42" t="inlineStr">
        <is>
          <t>Ⅱ採風勝手口</t>
        </is>
      </c>
      <c r="M1387" s="42" t="inlineStr">
        <is>
          <t>45; 48</t>
        </is>
      </c>
      <c r="N1387" s="42" t="inlineStr">
        <is>
          <t>07118L; 07118R</t>
        </is>
      </c>
      <c r="O1387" s="42" t="inlineStr">
        <is>
          <t>L/R等の公式行をW/Hで束ね、同一W/H内の30mil判定一致を確認してRuntime規格へ突合。</t>
        </is>
      </c>
    </row>
    <row r="1388">
      <c r="A1388" s="42" t="inlineStr">
        <is>
          <t>SZ-SL-001387</t>
        </is>
      </c>
      <c r="B1388" s="42" t="inlineStr">
        <is>
          <t>WT-SL-KATTEGUCHI-VENT-FS</t>
        </is>
      </c>
      <c r="C1388" s="42" t="inlineStr">
        <is>
          <t>採風勝手口ドアFS</t>
        </is>
      </c>
      <c r="D1388" s="42" t="str"/>
      <c r="E1388" s="42" t="inlineStr">
        <is>
          <t>06020</t>
        </is>
      </c>
      <c r="F1388" s="42" t="inlineStr">
        <is>
          <t>640</t>
        </is>
      </c>
      <c r="G1388" s="42" t="inlineStr">
        <is>
          <t>2030</t>
        </is>
      </c>
      <c r="H1388" s="42" t="inlineStr">
        <is>
          <t>True</t>
        </is>
      </c>
      <c r="I1388" s="42" t="inlineStr">
        <is>
          <t>ALLOWED</t>
        </is>
      </c>
      <c r="J1388" s="42" t="inlineStr">
        <is>
          <t>DIRECT_OFFICIAL_STANDARD_ROW_HANDEDNESS_CONSISTENT</t>
        </is>
      </c>
      <c r="K1388" s="42" t="inlineStr">
        <is>
          <t>SDC0003157</t>
        </is>
      </c>
      <c r="L1388" s="42" t="inlineStr">
        <is>
          <t>Ⅱ採風勝手口</t>
        </is>
      </c>
      <c r="M1388" s="42" t="inlineStr">
        <is>
          <t>10; 19</t>
        </is>
      </c>
      <c r="N1388" s="42" t="inlineStr">
        <is>
          <t>05720L; 05720R</t>
        </is>
      </c>
      <c r="O1388" s="42" t="inlineStr">
        <is>
          <t>L/R等の公式行をW/Hで束ね、同一W/H内の30mil判定一致を確認してRuntime規格へ突合。</t>
        </is>
      </c>
    </row>
    <row r="1389">
      <c r="A1389" s="42" t="inlineStr">
        <is>
          <t>SZ-SL-001388</t>
        </is>
      </c>
      <c r="B1389" s="42" t="inlineStr">
        <is>
          <t>WT-SL-KATTEGUCHI-VENT-FS</t>
        </is>
      </c>
      <c r="C1389" s="42" t="inlineStr">
        <is>
          <t>採風勝手口ドアFS</t>
        </is>
      </c>
      <c r="D1389" s="42" t="str"/>
      <c r="E1389" s="42" t="inlineStr">
        <is>
          <t>06920</t>
        </is>
      </c>
      <c r="F1389" s="42" t="inlineStr">
        <is>
          <t>730</t>
        </is>
      </c>
      <c r="G1389" s="42" t="inlineStr">
        <is>
          <t>2030</t>
        </is>
      </c>
      <c r="H1389" s="42" t="inlineStr">
        <is>
          <t>True</t>
        </is>
      </c>
      <c r="I1389" s="42" t="inlineStr">
        <is>
          <t>ALLOWED</t>
        </is>
      </c>
      <c r="J1389" s="42" t="inlineStr">
        <is>
          <t>DIRECT_OFFICIAL_STANDARD_ROW_HANDEDNESS_CONSISTENT</t>
        </is>
      </c>
      <c r="K1389" s="42" t="inlineStr">
        <is>
          <t>SDC0003157</t>
        </is>
      </c>
      <c r="L1389" s="42" t="inlineStr">
        <is>
          <t>Ⅱ採風勝手口</t>
        </is>
      </c>
      <c r="M1389" s="42" t="inlineStr">
        <is>
          <t>28; 37</t>
        </is>
      </c>
      <c r="N1389" s="42" t="inlineStr">
        <is>
          <t>06620L; 06620R</t>
        </is>
      </c>
      <c r="O1389" s="42" t="inlineStr">
        <is>
          <t>L/R等の公式行をW/Hで束ね、同一W/H内の30mil判定一致を確認してRuntime規格へ突合。</t>
        </is>
      </c>
    </row>
    <row r="1390">
      <c r="A1390" s="42" t="inlineStr">
        <is>
          <t>SZ-SL-001389</t>
        </is>
      </c>
      <c r="B1390" s="42" t="inlineStr">
        <is>
          <t>WT-SL-KATTEGUCHI-VENT-FS</t>
        </is>
      </c>
      <c r="C1390" s="42" t="inlineStr">
        <is>
          <t>採風勝手口ドアFS</t>
        </is>
      </c>
      <c r="D1390" s="42" t="str"/>
      <c r="E1390" s="42" t="inlineStr">
        <is>
          <t>07420</t>
        </is>
      </c>
      <c r="F1390" s="42" t="inlineStr">
        <is>
          <t>780</t>
        </is>
      </c>
      <c r="G1390" s="42" t="inlineStr">
        <is>
          <t>2030</t>
        </is>
      </c>
      <c r="H1390" s="42" t="inlineStr">
        <is>
          <t>True</t>
        </is>
      </c>
      <c r="I1390" s="42" t="inlineStr">
        <is>
          <t>ALLOWED</t>
        </is>
      </c>
      <c r="J1390" s="42" t="inlineStr">
        <is>
          <t>DIRECT_OFFICIAL_STANDARD_ROW_HANDEDNESS_CONSISTENT</t>
        </is>
      </c>
      <c r="K1390" s="42" t="inlineStr">
        <is>
          <t>SDC0003157</t>
        </is>
      </c>
      <c r="L1390" s="42" t="inlineStr">
        <is>
          <t>Ⅱ採風勝手口</t>
        </is>
      </c>
      <c r="M1390" s="42" t="inlineStr">
        <is>
          <t>46; 49</t>
        </is>
      </c>
      <c r="N1390" s="42" t="inlineStr">
        <is>
          <t>07120L; 07120R</t>
        </is>
      </c>
      <c r="O1390" s="42" t="inlineStr">
        <is>
          <t>L/R等の公式行をW/Hで束ね、同一W/H内の30mil判定一致を確認してRuntime規格へ突合。</t>
        </is>
      </c>
    </row>
    <row r="1391">
      <c r="A1391" s="42" t="inlineStr">
        <is>
          <t>SZ-SL-001390</t>
        </is>
      </c>
      <c r="B1391" s="42" t="inlineStr">
        <is>
          <t>WT-SL-KATTEGUCHI-VENT-FS</t>
        </is>
      </c>
      <c r="C1391" s="42" t="inlineStr">
        <is>
          <t>採風勝手口ドアFS</t>
        </is>
      </c>
      <c r="D1391" s="42" t="str"/>
      <c r="E1391" s="42" t="inlineStr">
        <is>
          <t>06022</t>
        </is>
      </c>
      <c r="F1391" s="42" t="inlineStr">
        <is>
          <t>640</t>
        </is>
      </c>
      <c r="G1391" s="42" t="inlineStr">
        <is>
          <t>2230</t>
        </is>
      </c>
      <c r="H1391" s="42" t="inlineStr">
        <is>
          <t>True</t>
        </is>
      </c>
      <c r="I1391" s="42" t="inlineStr">
        <is>
          <t>ALLOWED</t>
        </is>
      </c>
      <c r="J1391" s="42" t="inlineStr">
        <is>
          <t>DIRECT_OFFICIAL_STANDARD_ROW_HANDEDNESS_CONSISTENT</t>
        </is>
      </c>
      <c r="K1391" s="42" t="inlineStr">
        <is>
          <t>SDC0003157</t>
        </is>
      </c>
      <c r="L1391" s="42" t="inlineStr">
        <is>
          <t>Ⅱ採風勝手口</t>
        </is>
      </c>
      <c r="M1391" s="42" t="inlineStr">
        <is>
          <t>11; 20</t>
        </is>
      </c>
      <c r="N1391" s="42" t="inlineStr">
        <is>
          <t>05722L; 05722R</t>
        </is>
      </c>
      <c r="O1391" s="42" t="inlineStr">
        <is>
          <t>L/R等の公式行をW/Hで束ね、同一W/H内の30mil判定一致を確認してRuntime規格へ突合。</t>
        </is>
      </c>
    </row>
    <row r="1392">
      <c r="A1392" s="42" t="inlineStr">
        <is>
          <t>SZ-SL-001391</t>
        </is>
      </c>
      <c r="B1392" s="42" t="inlineStr">
        <is>
          <t>WT-SL-KATTEGUCHI-VENT-FS</t>
        </is>
      </c>
      <c r="C1392" s="42" t="inlineStr">
        <is>
          <t>採風勝手口ドアFS</t>
        </is>
      </c>
      <c r="D1392" s="42" t="str"/>
      <c r="E1392" s="42" t="inlineStr">
        <is>
          <t>06922</t>
        </is>
      </c>
      <c r="F1392" s="42" t="inlineStr">
        <is>
          <t>730</t>
        </is>
      </c>
      <c r="G1392" s="42" t="inlineStr">
        <is>
          <t>2230</t>
        </is>
      </c>
      <c r="H1392" s="42" t="inlineStr">
        <is>
          <t>True</t>
        </is>
      </c>
      <c r="I1392" s="42" t="inlineStr">
        <is>
          <t>ALLOWED</t>
        </is>
      </c>
      <c r="J1392" s="42" t="inlineStr">
        <is>
          <t>DIRECT_OFFICIAL_STANDARD_ROW_HANDEDNESS_CONSISTENT</t>
        </is>
      </c>
      <c r="K1392" s="42" t="inlineStr">
        <is>
          <t>SDC0003157</t>
        </is>
      </c>
      <c r="L1392" s="42" t="inlineStr">
        <is>
          <t>Ⅱ採風勝手口</t>
        </is>
      </c>
      <c r="M1392" s="42" t="inlineStr">
        <is>
          <t>29; 38</t>
        </is>
      </c>
      <c r="N1392" s="42" t="inlineStr">
        <is>
          <t>06622L; 06622R</t>
        </is>
      </c>
      <c r="O1392" s="42" t="inlineStr">
        <is>
          <t>L/R等の公式行をW/Hで束ね、同一W/H内の30mil判定一致を確認してRuntime規格へ突合。</t>
        </is>
      </c>
    </row>
    <row r="1393">
      <c r="A1393" s="42" t="inlineStr">
        <is>
          <t>SZ-SL-001392</t>
        </is>
      </c>
      <c r="B1393" s="42" t="inlineStr">
        <is>
          <t>WT-SL-KATTEGUCHI-VENT-FS</t>
        </is>
      </c>
      <c r="C1393" s="42" t="inlineStr">
        <is>
          <t>採風勝手口ドアFS</t>
        </is>
      </c>
      <c r="D1393" s="42" t="str"/>
      <c r="E1393" s="42" t="inlineStr">
        <is>
          <t>07422</t>
        </is>
      </c>
      <c r="F1393" s="42" t="inlineStr">
        <is>
          <t>780</t>
        </is>
      </c>
      <c r="G1393" s="42" t="inlineStr">
        <is>
          <t>2230</t>
        </is>
      </c>
      <c r="H1393" s="42" t="inlineStr">
        <is>
          <t>True</t>
        </is>
      </c>
      <c r="I1393" s="42" t="inlineStr">
        <is>
          <t>ALLOWED</t>
        </is>
      </c>
      <c r="J1393" s="42" t="inlineStr">
        <is>
          <t>DIRECT_OFFICIAL_STANDARD_ROW_HANDEDNESS_CONSISTENT</t>
        </is>
      </c>
      <c r="K1393" s="42" t="inlineStr">
        <is>
          <t>SDC0003157</t>
        </is>
      </c>
      <c r="L1393" s="42" t="inlineStr">
        <is>
          <t>Ⅱ採風勝手口</t>
        </is>
      </c>
      <c r="M1393" s="42" t="inlineStr">
        <is>
          <t>47; 50</t>
        </is>
      </c>
      <c r="N1393" s="42" t="inlineStr">
        <is>
          <t>07122L; 07122R</t>
        </is>
      </c>
      <c r="O1393" s="42" t="inlineStr">
        <is>
          <t>L/R等の公式行をW/Hで束ね、同一W/H内の30mil判定一致を確認してRuntime規格へ突合。</t>
        </is>
      </c>
    </row>
    <row r="1394">
      <c r="A1394" s="42" t="inlineStr">
        <is>
          <t>SZ-SL-001393</t>
        </is>
      </c>
      <c r="B1394" s="42" t="inlineStr">
        <is>
          <t>WT-SL-KATTEGUCHI</t>
        </is>
      </c>
      <c r="C1394" s="42" t="inlineStr">
        <is>
          <t>勝手口ドア</t>
        </is>
      </c>
      <c r="D1394" s="42" t="str"/>
      <c r="E1394" s="42" t="inlineStr">
        <is>
          <t>06018</t>
        </is>
      </c>
      <c r="F1394" s="42" t="inlineStr">
        <is>
          <t>640</t>
        </is>
      </c>
      <c r="G1394" s="42" t="inlineStr">
        <is>
          <t>1830</t>
        </is>
      </c>
      <c r="H1394" s="42" t="inlineStr">
        <is>
          <t>True</t>
        </is>
      </c>
      <c r="I1394" s="42" t="inlineStr">
        <is>
          <t>ALLOWED</t>
        </is>
      </c>
      <c r="J1394" s="42" t="inlineStr">
        <is>
          <t>DIRECT_OFFICIAL_STANDARD_ROW_HANDEDNESS_CONSISTENT</t>
        </is>
      </c>
      <c r="K1394" s="42" t="inlineStr">
        <is>
          <t>SDC0003157</t>
        </is>
      </c>
      <c r="L1394" s="42" t="inlineStr">
        <is>
          <t>勝手口ﾄﾞｱ</t>
        </is>
      </c>
      <c r="M1394" s="42" t="inlineStr">
        <is>
          <t>9; 18</t>
        </is>
      </c>
      <c r="N1394" s="42" t="inlineStr">
        <is>
          <t>05718L; 05718R</t>
        </is>
      </c>
      <c r="O1394" s="42" t="inlineStr">
        <is>
          <t>L/R等の公式行をW/Hで束ね、同一W/H内の30mil判定一致を確認してRuntime規格へ突合。</t>
        </is>
      </c>
    </row>
    <row r="1395">
      <c r="A1395" s="42" t="inlineStr">
        <is>
          <t>SZ-SL-001394</t>
        </is>
      </c>
      <c r="B1395" s="42" t="inlineStr">
        <is>
          <t>WT-SL-KATTEGUCHI</t>
        </is>
      </c>
      <c r="C1395" s="42" t="inlineStr">
        <is>
          <t>勝手口ドア</t>
        </is>
      </c>
      <c r="D1395" s="42" t="str"/>
      <c r="E1395" s="42" t="inlineStr">
        <is>
          <t>06020</t>
        </is>
      </c>
      <c r="F1395" s="42" t="inlineStr">
        <is>
          <t>640</t>
        </is>
      </c>
      <c r="G1395" s="42" t="inlineStr">
        <is>
          <t>2030</t>
        </is>
      </c>
      <c r="H1395" s="42" t="inlineStr">
        <is>
          <t>True</t>
        </is>
      </c>
      <c r="I1395" s="42" t="inlineStr">
        <is>
          <t>ALLOWED</t>
        </is>
      </c>
      <c r="J1395" s="42" t="inlineStr">
        <is>
          <t>DIRECT_OFFICIAL_STANDARD_ROW_HANDEDNESS_CONSISTENT</t>
        </is>
      </c>
      <c r="K1395" s="42" t="inlineStr">
        <is>
          <t>SDC0003157</t>
        </is>
      </c>
      <c r="L1395" s="42" t="inlineStr">
        <is>
          <t>勝手口ﾄﾞｱ</t>
        </is>
      </c>
      <c r="M1395" s="42" t="inlineStr">
        <is>
          <t>10; 19</t>
        </is>
      </c>
      <c r="N1395" s="42" t="inlineStr">
        <is>
          <t>05720L; 05720R</t>
        </is>
      </c>
      <c r="O1395" s="42" t="inlineStr">
        <is>
          <t>L/R等の公式行をW/Hで束ね、同一W/H内の30mil判定一致を確認してRuntime規格へ突合。</t>
        </is>
      </c>
    </row>
    <row r="1396">
      <c r="A1396" s="42" t="inlineStr">
        <is>
          <t>SZ-SL-001395</t>
        </is>
      </c>
      <c r="B1396" s="42" t="inlineStr">
        <is>
          <t>WT-SL-KATTEGUCHI</t>
        </is>
      </c>
      <c r="C1396" s="42" t="inlineStr">
        <is>
          <t>勝手口ドア</t>
        </is>
      </c>
      <c r="D1396" s="42" t="str"/>
      <c r="E1396" s="42" t="inlineStr">
        <is>
          <t>06022</t>
        </is>
      </c>
      <c r="F1396" s="42" t="inlineStr">
        <is>
          <t>640</t>
        </is>
      </c>
      <c r="G1396" s="42" t="inlineStr">
        <is>
          <t>2230</t>
        </is>
      </c>
      <c r="H1396" s="42" t="inlineStr">
        <is>
          <t>True</t>
        </is>
      </c>
      <c r="I1396" s="42" t="inlineStr">
        <is>
          <t>ALLOWED</t>
        </is>
      </c>
      <c r="J1396" s="42" t="inlineStr">
        <is>
          <t>DIRECT_OFFICIAL_STANDARD_ROW_HANDEDNESS_CONSISTENT</t>
        </is>
      </c>
      <c r="K1396" s="42" t="inlineStr">
        <is>
          <t>SDC0003157</t>
        </is>
      </c>
      <c r="L1396" s="42" t="inlineStr">
        <is>
          <t>勝手口ﾄﾞｱ</t>
        </is>
      </c>
      <c r="M1396" s="42" t="inlineStr">
        <is>
          <t>11; 20</t>
        </is>
      </c>
      <c r="N1396" s="42" t="inlineStr">
        <is>
          <t>05722L; 05722R</t>
        </is>
      </c>
      <c r="O1396" s="42" t="inlineStr">
        <is>
          <t>L/R等の公式行をW/Hで束ね、同一W/H内の30mil判定一致を確認してRuntime規格へ突合。</t>
        </is>
      </c>
    </row>
    <row r="1397">
      <c r="A1397" s="42" t="inlineStr">
        <is>
          <t>SZ-SL-001396</t>
        </is>
      </c>
      <c r="B1397" s="42" t="inlineStr">
        <is>
          <t>WT-SL-KATTEGUCHI</t>
        </is>
      </c>
      <c r="C1397" s="42" t="inlineStr">
        <is>
          <t>勝手口ドア</t>
        </is>
      </c>
      <c r="D1397" s="42" t="str"/>
      <c r="E1397" s="42" t="inlineStr">
        <is>
          <t>06918</t>
        </is>
      </c>
      <c r="F1397" s="42" t="inlineStr">
        <is>
          <t>730</t>
        </is>
      </c>
      <c r="G1397" s="42" t="inlineStr">
        <is>
          <t>1830</t>
        </is>
      </c>
      <c r="H1397" s="42" t="inlineStr">
        <is>
          <t>True</t>
        </is>
      </c>
      <c r="I1397" s="42" t="inlineStr">
        <is>
          <t>ALLOWED</t>
        </is>
      </c>
      <c r="J1397" s="42" t="inlineStr">
        <is>
          <t>DIRECT_OFFICIAL_STANDARD_ROW_HANDEDNESS_CONSISTENT</t>
        </is>
      </c>
      <c r="K1397" s="42" t="inlineStr">
        <is>
          <t>SDC0003157</t>
        </is>
      </c>
      <c r="L1397" s="42" t="inlineStr">
        <is>
          <t>勝手口ﾄﾞｱ</t>
        </is>
      </c>
      <c r="M1397" s="42" t="inlineStr">
        <is>
          <t>27; 36</t>
        </is>
      </c>
      <c r="N1397" s="42" t="inlineStr">
        <is>
          <t>06618L; 06618R</t>
        </is>
      </c>
      <c r="O1397" s="42" t="inlineStr">
        <is>
          <t>L/R等の公式行をW/Hで束ね、同一W/H内の30mil判定一致を確認してRuntime規格へ突合。</t>
        </is>
      </c>
    </row>
    <row r="1398">
      <c r="A1398" s="42" t="inlineStr">
        <is>
          <t>SZ-SL-001397</t>
        </is>
      </c>
      <c r="B1398" s="42" t="inlineStr">
        <is>
          <t>WT-SL-KATTEGUCHI</t>
        </is>
      </c>
      <c r="C1398" s="42" t="inlineStr">
        <is>
          <t>勝手口ドア</t>
        </is>
      </c>
      <c r="D1398" s="42" t="str"/>
      <c r="E1398" s="42" t="inlineStr">
        <is>
          <t>06920</t>
        </is>
      </c>
      <c r="F1398" s="42" t="inlineStr">
        <is>
          <t>730</t>
        </is>
      </c>
      <c r="G1398" s="42" t="inlineStr">
        <is>
          <t>2030</t>
        </is>
      </c>
      <c r="H1398" s="42" t="inlineStr">
        <is>
          <t>True</t>
        </is>
      </c>
      <c r="I1398" s="42" t="inlineStr">
        <is>
          <t>ALLOWED</t>
        </is>
      </c>
      <c r="J1398" s="42" t="inlineStr">
        <is>
          <t>DIRECT_OFFICIAL_STANDARD_ROW_HANDEDNESS_CONSISTENT</t>
        </is>
      </c>
      <c r="K1398" s="42" t="inlineStr">
        <is>
          <t>SDC0003157</t>
        </is>
      </c>
      <c r="L1398" s="42" t="inlineStr">
        <is>
          <t>勝手口ﾄﾞｱ</t>
        </is>
      </c>
      <c r="M1398" s="42" t="inlineStr">
        <is>
          <t>28; 37</t>
        </is>
      </c>
      <c r="N1398" s="42" t="inlineStr">
        <is>
          <t>06620L; 06620R</t>
        </is>
      </c>
      <c r="O1398" s="42" t="inlineStr">
        <is>
          <t>L/R等の公式行をW/Hで束ね、同一W/H内の30mil判定一致を確認してRuntime規格へ突合。</t>
        </is>
      </c>
    </row>
    <row r="1399">
      <c r="A1399" s="42" t="inlineStr">
        <is>
          <t>SZ-SL-001398</t>
        </is>
      </c>
      <c r="B1399" s="42" t="inlineStr">
        <is>
          <t>WT-SL-KATTEGUCHI</t>
        </is>
      </c>
      <c r="C1399" s="42" t="inlineStr">
        <is>
          <t>勝手口ドア</t>
        </is>
      </c>
      <c r="D1399" s="42" t="str"/>
      <c r="E1399" s="42" t="inlineStr">
        <is>
          <t>06922</t>
        </is>
      </c>
      <c r="F1399" s="42" t="inlineStr">
        <is>
          <t>730</t>
        </is>
      </c>
      <c r="G1399" s="42" t="inlineStr">
        <is>
          <t>2230</t>
        </is>
      </c>
      <c r="H1399" s="42" t="inlineStr">
        <is>
          <t>True</t>
        </is>
      </c>
      <c r="I1399" s="42" t="inlineStr">
        <is>
          <t>ALLOWED</t>
        </is>
      </c>
      <c r="J1399" s="42" t="inlineStr">
        <is>
          <t>DIRECT_OFFICIAL_STANDARD_ROW_HANDEDNESS_CONSISTENT</t>
        </is>
      </c>
      <c r="K1399" s="42" t="inlineStr">
        <is>
          <t>SDC0003157</t>
        </is>
      </c>
      <c r="L1399" s="42" t="inlineStr">
        <is>
          <t>勝手口ﾄﾞｱ</t>
        </is>
      </c>
      <c r="M1399" s="42" t="inlineStr">
        <is>
          <t>29; 38</t>
        </is>
      </c>
      <c r="N1399" s="42" t="inlineStr">
        <is>
          <t>06622L; 06622R</t>
        </is>
      </c>
      <c r="O1399" s="42" t="inlineStr">
        <is>
          <t>L/R等の公式行をW/Hで束ね、同一W/H内の30mil判定一致を確認してRuntime規格へ突合。</t>
        </is>
      </c>
    </row>
    <row r="1400">
      <c r="A1400" s="42" t="inlineStr">
        <is>
          <t>SZ-SL-001399</t>
        </is>
      </c>
      <c r="B1400" s="42" t="inlineStr">
        <is>
          <t>WT-SL-KATTEGUCHI</t>
        </is>
      </c>
      <c r="C1400" s="42" t="inlineStr">
        <is>
          <t>勝手口ドア</t>
        </is>
      </c>
      <c r="D1400" s="42" t="str"/>
      <c r="E1400" s="42" t="inlineStr">
        <is>
          <t>07418</t>
        </is>
      </c>
      <c r="F1400" s="42" t="inlineStr">
        <is>
          <t>780</t>
        </is>
      </c>
      <c r="G1400" s="42" t="inlineStr">
        <is>
          <t>1830</t>
        </is>
      </c>
      <c r="H1400" s="42" t="inlineStr">
        <is>
          <t>True</t>
        </is>
      </c>
      <c r="I1400" s="42" t="inlineStr">
        <is>
          <t>ALLOWED</t>
        </is>
      </c>
      <c r="J1400" s="42" t="inlineStr">
        <is>
          <t>DIRECT_OFFICIAL_STANDARD_ROW_HANDEDNESS_CONSISTENT</t>
        </is>
      </c>
      <c r="K1400" s="42" t="inlineStr">
        <is>
          <t>SDC0003157</t>
        </is>
      </c>
      <c r="L1400" s="42" t="inlineStr">
        <is>
          <t>勝手口ﾄﾞｱ</t>
        </is>
      </c>
      <c r="M1400" s="42" t="inlineStr">
        <is>
          <t>45; 48</t>
        </is>
      </c>
      <c r="N1400" s="42" t="inlineStr">
        <is>
          <t>07118L; 07118R</t>
        </is>
      </c>
      <c r="O1400" s="42" t="inlineStr">
        <is>
          <t>L/R等の公式行をW/Hで束ね、同一W/H内の30mil判定一致を確認してRuntime規格へ突合。</t>
        </is>
      </c>
    </row>
    <row r="1401">
      <c r="A1401" s="42" t="inlineStr">
        <is>
          <t>SZ-SL-001400</t>
        </is>
      </c>
      <c r="B1401" s="42" t="inlineStr">
        <is>
          <t>WT-SL-KATTEGUCHI</t>
        </is>
      </c>
      <c r="C1401" s="42" t="inlineStr">
        <is>
          <t>勝手口ドア</t>
        </is>
      </c>
      <c r="D1401" s="42" t="str"/>
      <c r="E1401" s="42" t="inlineStr">
        <is>
          <t>07420</t>
        </is>
      </c>
      <c r="F1401" s="42" t="inlineStr">
        <is>
          <t>780</t>
        </is>
      </c>
      <c r="G1401" s="42" t="inlineStr">
        <is>
          <t>2030</t>
        </is>
      </c>
      <c r="H1401" s="42" t="inlineStr">
        <is>
          <t>True</t>
        </is>
      </c>
      <c r="I1401" s="42" t="inlineStr">
        <is>
          <t>ALLOWED</t>
        </is>
      </c>
      <c r="J1401" s="42" t="inlineStr">
        <is>
          <t>DIRECT_OFFICIAL_STANDARD_ROW_HANDEDNESS_CONSISTENT</t>
        </is>
      </c>
      <c r="K1401" s="42" t="inlineStr">
        <is>
          <t>SDC0003157</t>
        </is>
      </c>
      <c r="L1401" s="42" t="inlineStr">
        <is>
          <t>勝手口ﾄﾞｱ</t>
        </is>
      </c>
      <c r="M1401" s="42" t="inlineStr">
        <is>
          <t>46; 49</t>
        </is>
      </c>
      <c r="N1401" s="42" t="inlineStr">
        <is>
          <t>07120L; 07120R</t>
        </is>
      </c>
      <c r="O1401" s="42" t="inlineStr">
        <is>
          <t>L/R等の公式行をW/Hで束ね、同一W/H内の30mil判定一致を確認してRuntime規格へ突合。</t>
        </is>
      </c>
    </row>
    <row r="1402">
      <c r="A1402" s="42" t="inlineStr">
        <is>
          <t>SZ-SL-001401</t>
        </is>
      </c>
      <c r="B1402" s="42" t="inlineStr">
        <is>
          <t>WT-SL-KATTEGUCHI</t>
        </is>
      </c>
      <c r="C1402" s="42" t="inlineStr">
        <is>
          <t>勝手口ドア</t>
        </is>
      </c>
      <c r="D1402" s="42" t="str"/>
      <c r="E1402" s="42" t="inlineStr">
        <is>
          <t>07422</t>
        </is>
      </c>
      <c r="F1402" s="42" t="inlineStr">
        <is>
          <t>780</t>
        </is>
      </c>
      <c r="G1402" s="42" t="inlineStr">
        <is>
          <t>2230</t>
        </is>
      </c>
      <c r="H1402" s="42" t="inlineStr">
        <is>
          <t>True</t>
        </is>
      </c>
      <c r="I1402" s="42" t="inlineStr">
        <is>
          <t>ALLOWED</t>
        </is>
      </c>
      <c r="J1402" s="42" t="inlineStr">
        <is>
          <t>DIRECT_OFFICIAL_STANDARD_ROW_HANDEDNESS_CONSISTENT</t>
        </is>
      </c>
      <c r="K1402" s="42" t="inlineStr">
        <is>
          <t>SDC0003157</t>
        </is>
      </c>
      <c r="L1402" s="42" t="inlineStr">
        <is>
          <t>勝手口ﾄﾞｱ</t>
        </is>
      </c>
      <c r="M1402" s="42" t="inlineStr">
        <is>
          <t>47; 50</t>
        </is>
      </c>
      <c r="N1402" s="42" t="inlineStr">
        <is>
          <t>07122L; 07122R</t>
        </is>
      </c>
      <c r="O1402" s="42" t="inlineStr">
        <is>
          <t>L/R等の公式行をW/Hで束ね、同一W/H内の30mil判定一致を確認してRuntime規格へ突合。</t>
        </is>
      </c>
    </row>
    <row r="1403">
      <c r="A1403" s="42" t="inlineStr">
        <is>
          <t>SZ-SL-001402</t>
        </is>
      </c>
      <c r="B1403" s="42" t="inlineStr">
        <is>
          <t>WT-SL-TATE-SUBERI</t>
        </is>
      </c>
      <c r="C1403" s="42" t="inlineStr">
        <is>
          <t>縦すべり出し窓</t>
        </is>
      </c>
      <c r="D1403" s="42" t="inlineStr">
        <is>
          <t>SP-SL-TATE-OP-T</t>
        </is>
      </c>
      <c r="E1403" s="42" t="inlineStr">
        <is>
          <t>02607</t>
        </is>
      </c>
      <c r="F1403" s="42" t="inlineStr">
        <is>
          <t>300</t>
        </is>
      </c>
      <c r="G1403" s="42" t="inlineStr">
        <is>
          <t>770</t>
        </is>
      </c>
      <c r="H1403" s="42" t="inlineStr">
        <is>
          <t>True</t>
        </is>
      </c>
      <c r="I1403" s="42" t="inlineStr">
        <is>
          <t>NOT_EVALUATED</t>
        </is>
      </c>
      <c r="J1403" s="42" t="inlineStr">
        <is>
          <t>NO_DIRECT_STANDARD_MATRIX_IN_RETRIEVED_SOURCE</t>
        </is>
      </c>
      <c r="K1403" s="42" t="str"/>
      <c r="L1403" s="42" t="str"/>
      <c r="M1403" s="42" t="str"/>
      <c r="N1403" s="42" t="str"/>
      <c r="O1403" s="42" t="inlineStr">
        <is>
          <t>現行公式資料でこの窓種のSAFE 30mil規格○/×を本Revisionでは直接取得できていない。推測しない。</t>
        </is>
      </c>
    </row>
    <row r="1404">
      <c r="A1404" s="42" t="inlineStr">
        <is>
          <t>SZ-SL-001403</t>
        </is>
      </c>
      <c r="B1404" s="42" t="inlineStr">
        <is>
          <t>WT-SL-TATE-SUBERI</t>
        </is>
      </c>
      <c r="C1404" s="42" t="inlineStr">
        <is>
          <t>縦すべり出し窓</t>
        </is>
      </c>
      <c r="D1404" s="42" t="inlineStr">
        <is>
          <t>SP-SL-TATE-OP-T</t>
        </is>
      </c>
      <c r="E1404" s="42" t="inlineStr">
        <is>
          <t>02109</t>
        </is>
      </c>
      <c r="F1404" s="42" t="inlineStr">
        <is>
          <t>250</t>
        </is>
      </c>
      <c r="G1404" s="42" t="inlineStr">
        <is>
          <t>970</t>
        </is>
      </c>
      <c r="H1404" s="42" t="inlineStr">
        <is>
          <t>True</t>
        </is>
      </c>
      <c r="I1404" s="42" t="inlineStr">
        <is>
          <t>NOT_EVALUATED</t>
        </is>
      </c>
      <c r="J1404" s="42" t="inlineStr">
        <is>
          <t>NO_DIRECT_STANDARD_MATRIX_IN_RETRIEVED_SOURCE</t>
        </is>
      </c>
      <c r="K1404" s="42" t="str"/>
      <c r="L1404" s="42" t="str"/>
      <c r="M1404" s="42" t="str"/>
      <c r="N1404" s="42" t="str"/>
      <c r="O1404" s="42" t="inlineStr">
        <is>
          <t>現行公式資料でこの窓種のSAFE 30mil規格○/×を本Revisionでは直接取得できていない。推測しない。</t>
        </is>
      </c>
    </row>
    <row r="1405">
      <c r="A1405" s="42" t="inlineStr">
        <is>
          <t>SZ-SL-001404</t>
        </is>
      </c>
      <c r="B1405" s="42" t="inlineStr">
        <is>
          <t>WT-SL-TATE-SUBERI</t>
        </is>
      </c>
      <c r="C1405" s="42" t="inlineStr">
        <is>
          <t>縦すべり出し窓</t>
        </is>
      </c>
      <c r="D1405" s="42" t="inlineStr">
        <is>
          <t>SP-SL-TATE-OP-T</t>
        </is>
      </c>
      <c r="E1405" s="42" t="inlineStr">
        <is>
          <t>02309</t>
        </is>
      </c>
      <c r="F1405" s="42" t="inlineStr">
        <is>
          <t>275</t>
        </is>
      </c>
      <c r="G1405" s="42" t="inlineStr">
        <is>
          <t>970</t>
        </is>
      </c>
      <c r="H1405" s="42" t="inlineStr">
        <is>
          <t>True</t>
        </is>
      </c>
      <c r="I1405" s="42" t="inlineStr">
        <is>
          <t>NOT_EVALUATED</t>
        </is>
      </c>
      <c r="J1405" s="42" t="inlineStr">
        <is>
          <t>NO_DIRECT_STANDARD_MATRIX_IN_RETRIEVED_SOURCE</t>
        </is>
      </c>
      <c r="K1405" s="42" t="str"/>
      <c r="L1405" s="42" t="str"/>
      <c r="M1405" s="42" t="str"/>
      <c r="N1405" s="42" t="str"/>
      <c r="O1405" s="42" t="inlineStr">
        <is>
          <t>現行公式資料でこの窓種のSAFE 30mil規格○/×を本Revisionでは直接取得できていない。推測しない。</t>
        </is>
      </c>
    </row>
    <row r="1406">
      <c r="A1406" s="42" t="inlineStr">
        <is>
          <t>SZ-SL-001405</t>
        </is>
      </c>
      <c r="B1406" s="42" t="inlineStr">
        <is>
          <t>WT-SL-TATE-SUBERI</t>
        </is>
      </c>
      <c r="C1406" s="42" t="inlineStr">
        <is>
          <t>縦すべり出し窓</t>
        </is>
      </c>
      <c r="D1406" s="42" t="inlineStr">
        <is>
          <t>SP-SL-TATE-OP-T</t>
        </is>
      </c>
      <c r="E1406" s="42" t="inlineStr">
        <is>
          <t>02609</t>
        </is>
      </c>
      <c r="F1406" s="42" t="inlineStr">
        <is>
          <t>300</t>
        </is>
      </c>
      <c r="G1406" s="42" t="inlineStr">
        <is>
          <t>970</t>
        </is>
      </c>
      <c r="H1406" s="42" t="inlineStr">
        <is>
          <t>True</t>
        </is>
      </c>
      <c r="I1406" s="42" t="inlineStr">
        <is>
          <t>NOT_EVALUATED</t>
        </is>
      </c>
      <c r="J1406" s="42" t="inlineStr">
        <is>
          <t>NO_DIRECT_STANDARD_MATRIX_IN_RETRIEVED_SOURCE</t>
        </is>
      </c>
      <c r="K1406" s="42" t="str"/>
      <c r="L1406" s="42" t="str"/>
      <c r="M1406" s="42" t="str"/>
      <c r="N1406" s="42" t="str"/>
      <c r="O1406" s="42" t="inlineStr">
        <is>
          <t>現行公式資料でこの窓種のSAFE 30mil規格○/×を本Revisionでは直接取得できていない。推測しない。</t>
        </is>
      </c>
    </row>
    <row r="1407">
      <c r="A1407" s="42" t="inlineStr">
        <is>
          <t>SZ-SL-001406</t>
        </is>
      </c>
      <c r="B1407" s="42" t="inlineStr">
        <is>
          <t>WT-SL-TATE-SUBERI</t>
        </is>
      </c>
      <c r="C1407" s="42" t="inlineStr">
        <is>
          <t>縦すべり出し窓</t>
        </is>
      </c>
      <c r="D1407" s="42" t="inlineStr">
        <is>
          <t>SP-SL-TATE-OP-T</t>
        </is>
      </c>
      <c r="E1407" s="42" t="inlineStr">
        <is>
          <t>02111</t>
        </is>
      </c>
      <c r="F1407" s="42" t="inlineStr">
        <is>
          <t>250</t>
        </is>
      </c>
      <c r="G1407" s="42" t="inlineStr">
        <is>
          <t>1170</t>
        </is>
      </c>
      <c r="H1407" s="42" t="inlineStr">
        <is>
          <t>True</t>
        </is>
      </c>
      <c r="I1407" s="42" t="inlineStr">
        <is>
          <t>NOT_EVALUATED</t>
        </is>
      </c>
      <c r="J1407" s="42" t="inlineStr">
        <is>
          <t>NO_DIRECT_STANDARD_MATRIX_IN_RETRIEVED_SOURCE</t>
        </is>
      </c>
      <c r="K1407" s="42" t="str"/>
      <c r="L1407" s="42" t="str"/>
      <c r="M1407" s="42" t="str"/>
      <c r="N1407" s="42" t="str"/>
      <c r="O1407" s="42" t="inlineStr">
        <is>
          <t>現行公式資料でこの窓種のSAFE 30mil規格○/×を本Revisionでは直接取得できていない。推測しない。</t>
        </is>
      </c>
    </row>
    <row r="1408">
      <c r="A1408" s="42" t="inlineStr">
        <is>
          <t>SZ-SL-001407</t>
        </is>
      </c>
      <c r="B1408" s="42" t="inlineStr">
        <is>
          <t>WT-SL-TATE-SUBERI</t>
        </is>
      </c>
      <c r="C1408" s="42" t="inlineStr">
        <is>
          <t>縦すべり出し窓</t>
        </is>
      </c>
      <c r="D1408" s="42" t="inlineStr">
        <is>
          <t>SP-SL-TATE-OP-T</t>
        </is>
      </c>
      <c r="E1408" s="42" t="inlineStr">
        <is>
          <t>02311</t>
        </is>
      </c>
      <c r="F1408" s="42" t="inlineStr">
        <is>
          <t>275</t>
        </is>
      </c>
      <c r="G1408" s="42" t="inlineStr">
        <is>
          <t>1170</t>
        </is>
      </c>
      <c r="H1408" s="42" t="inlineStr">
        <is>
          <t>True</t>
        </is>
      </c>
      <c r="I1408" s="42" t="inlineStr">
        <is>
          <t>NOT_EVALUATED</t>
        </is>
      </c>
      <c r="J1408" s="42" t="inlineStr">
        <is>
          <t>NO_DIRECT_STANDARD_MATRIX_IN_RETRIEVED_SOURCE</t>
        </is>
      </c>
      <c r="K1408" s="42" t="str"/>
      <c r="L1408" s="42" t="str"/>
      <c r="M1408" s="42" t="str"/>
      <c r="N1408" s="42" t="str"/>
      <c r="O1408" s="42" t="inlineStr">
        <is>
          <t>現行公式資料でこの窓種のSAFE 30mil規格○/×を本Revisionでは直接取得できていない。推測しない。</t>
        </is>
      </c>
    </row>
    <row r="1409">
      <c r="A1409" s="42" t="inlineStr">
        <is>
          <t>SZ-SL-001408</t>
        </is>
      </c>
      <c r="B1409" s="42" t="inlineStr">
        <is>
          <t>WT-SL-TATE-SUBERI</t>
        </is>
      </c>
      <c r="C1409" s="42" t="inlineStr">
        <is>
          <t>縦すべり出し窓</t>
        </is>
      </c>
      <c r="D1409" s="42" t="inlineStr">
        <is>
          <t>SP-SL-TATE-OP-T</t>
        </is>
      </c>
      <c r="E1409" s="42" t="inlineStr">
        <is>
          <t>02611</t>
        </is>
      </c>
      <c r="F1409" s="42" t="inlineStr">
        <is>
          <t>300</t>
        </is>
      </c>
      <c r="G1409" s="42" t="inlineStr">
        <is>
          <t>1170</t>
        </is>
      </c>
      <c r="H1409" s="42" t="inlineStr">
        <is>
          <t>True</t>
        </is>
      </c>
      <c r="I1409" s="42" t="inlineStr">
        <is>
          <t>NOT_EVALUATED</t>
        </is>
      </c>
      <c r="J1409" s="42" t="inlineStr">
        <is>
          <t>NO_DIRECT_STANDARD_MATRIX_IN_RETRIEVED_SOURCE</t>
        </is>
      </c>
      <c r="K1409" s="42" t="str"/>
      <c r="L1409" s="42" t="str"/>
      <c r="M1409" s="42" t="str"/>
      <c r="N1409" s="42" t="str"/>
      <c r="O1409" s="42" t="inlineStr">
        <is>
          <t>現行公式資料でこの窓種のSAFE 30mil規格○/×を本Revisionでは直接取得できていない。推測しない。</t>
        </is>
      </c>
    </row>
    <row r="1410">
      <c r="A1410" s="42" t="inlineStr">
        <is>
          <t>SZ-SL-001409</t>
        </is>
      </c>
      <c r="B1410" s="42" t="inlineStr">
        <is>
          <t>WT-SL-TATE-SUBERI</t>
        </is>
      </c>
      <c r="C1410" s="42" t="inlineStr">
        <is>
          <t>縦すべり出し窓</t>
        </is>
      </c>
      <c r="D1410" s="42" t="inlineStr">
        <is>
          <t>SP-SL-TATE-OP-T</t>
        </is>
      </c>
      <c r="E1410" s="42" t="inlineStr">
        <is>
          <t>02113</t>
        </is>
      </c>
      <c r="F1410" s="42" t="inlineStr">
        <is>
          <t>250</t>
        </is>
      </c>
      <c r="G1410" s="42" t="inlineStr">
        <is>
          <t>1370</t>
        </is>
      </c>
      <c r="H1410" s="42" t="inlineStr">
        <is>
          <t>True</t>
        </is>
      </c>
      <c r="I1410" s="42" t="inlineStr">
        <is>
          <t>NOT_EVALUATED</t>
        </is>
      </c>
      <c r="J1410" s="42" t="inlineStr">
        <is>
          <t>NO_DIRECT_STANDARD_MATRIX_IN_RETRIEVED_SOURCE</t>
        </is>
      </c>
      <c r="K1410" s="42" t="str"/>
      <c r="L1410" s="42" t="str"/>
      <c r="M1410" s="42" t="str"/>
      <c r="N1410" s="42" t="str"/>
      <c r="O1410" s="42" t="inlineStr">
        <is>
          <t>現行公式資料でこの窓種のSAFE 30mil規格○/×を本Revisionでは直接取得できていない。推測しない。</t>
        </is>
      </c>
    </row>
    <row r="1411">
      <c r="A1411" s="42" t="inlineStr">
        <is>
          <t>SZ-SL-001410</t>
        </is>
      </c>
      <c r="B1411" s="42" t="inlineStr">
        <is>
          <t>WT-SL-TATE-SUBERI</t>
        </is>
      </c>
      <c r="C1411" s="42" t="inlineStr">
        <is>
          <t>縦すべり出し窓</t>
        </is>
      </c>
      <c r="D1411" s="42" t="inlineStr">
        <is>
          <t>SP-SL-TATE-OP-T</t>
        </is>
      </c>
      <c r="E1411" s="42" t="inlineStr">
        <is>
          <t>02313</t>
        </is>
      </c>
      <c r="F1411" s="42" t="inlineStr">
        <is>
          <t>275</t>
        </is>
      </c>
      <c r="G1411" s="42" t="inlineStr">
        <is>
          <t>1370</t>
        </is>
      </c>
      <c r="H1411" s="42" t="inlineStr">
        <is>
          <t>True</t>
        </is>
      </c>
      <c r="I1411" s="42" t="inlineStr">
        <is>
          <t>NOT_EVALUATED</t>
        </is>
      </c>
      <c r="J1411" s="42" t="inlineStr">
        <is>
          <t>NO_DIRECT_STANDARD_MATRIX_IN_RETRIEVED_SOURCE</t>
        </is>
      </c>
      <c r="K1411" s="42" t="str"/>
      <c r="L1411" s="42" t="str"/>
      <c r="M1411" s="42" t="str"/>
      <c r="N1411" s="42" t="str"/>
      <c r="O1411" s="42" t="inlineStr">
        <is>
          <t>現行公式資料でこの窓種のSAFE 30mil規格○/×を本Revisionでは直接取得できていない。推測しない。</t>
        </is>
      </c>
    </row>
    <row r="1412">
      <c r="A1412" s="42" t="inlineStr">
        <is>
          <t>SZ-SL-001411</t>
        </is>
      </c>
      <c r="B1412" s="42" t="inlineStr">
        <is>
          <t>WT-SL-TATE-SUBERI</t>
        </is>
      </c>
      <c r="C1412" s="42" t="inlineStr">
        <is>
          <t>縦すべり出し窓</t>
        </is>
      </c>
      <c r="D1412" s="42" t="inlineStr">
        <is>
          <t>SP-SL-TATE-OP-T</t>
        </is>
      </c>
      <c r="E1412" s="42" t="inlineStr">
        <is>
          <t>02613</t>
        </is>
      </c>
      <c r="F1412" s="42" t="inlineStr">
        <is>
          <t>300</t>
        </is>
      </c>
      <c r="G1412" s="42" t="inlineStr">
        <is>
          <t>1370</t>
        </is>
      </c>
      <c r="H1412" s="42" t="inlineStr">
        <is>
          <t>True</t>
        </is>
      </c>
      <c r="I1412" s="42" t="inlineStr">
        <is>
          <t>NOT_EVALUATED</t>
        </is>
      </c>
      <c r="J1412" s="42" t="inlineStr">
        <is>
          <t>NO_DIRECT_STANDARD_MATRIX_IN_RETRIEVED_SOURCE</t>
        </is>
      </c>
      <c r="K1412" s="42" t="str"/>
      <c r="L1412" s="42" t="str"/>
      <c r="M1412" s="42" t="str"/>
      <c r="N1412" s="42" t="str"/>
      <c r="O1412" s="42" t="inlineStr">
        <is>
          <t>現行公式資料でこの窓種のSAFE 30mil規格○/×を本Revisionでは直接取得できていない。推測しない。</t>
        </is>
      </c>
    </row>
    <row r="1413">
      <c r="A1413" s="42" t="inlineStr">
        <is>
          <t>SZ-SL-001412</t>
        </is>
      </c>
      <c r="B1413" s="42" t="inlineStr">
        <is>
          <t>WT-SL-TATE-SUBERI</t>
        </is>
      </c>
      <c r="C1413" s="42" t="inlineStr">
        <is>
          <t>縦すべり出し窓</t>
        </is>
      </c>
      <c r="D1413" s="42" t="inlineStr">
        <is>
          <t>SP-SL-TATE-OP-T</t>
        </is>
      </c>
      <c r="E1413" s="42" t="inlineStr">
        <is>
          <t>02115</t>
        </is>
      </c>
      <c r="F1413" s="42" t="inlineStr">
        <is>
          <t>250</t>
        </is>
      </c>
      <c r="G1413" s="42" t="inlineStr">
        <is>
          <t>1570</t>
        </is>
      </c>
      <c r="H1413" s="42" t="inlineStr">
        <is>
          <t>True</t>
        </is>
      </c>
      <c r="I1413" s="42" t="inlineStr">
        <is>
          <t>NOT_EVALUATED</t>
        </is>
      </c>
      <c r="J1413" s="42" t="inlineStr">
        <is>
          <t>NO_DIRECT_STANDARD_MATRIX_IN_RETRIEVED_SOURCE</t>
        </is>
      </c>
      <c r="K1413" s="42" t="str"/>
      <c r="L1413" s="42" t="str"/>
      <c r="M1413" s="42" t="str"/>
      <c r="N1413" s="42" t="str"/>
      <c r="O1413" s="42" t="inlineStr">
        <is>
          <t>現行公式資料でこの窓種のSAFE 30mil規格○/×を本Revisionでは直接取得できていない。推測しない。</t>
        </is>
      </c>
    </row>
    <row r="1414">
      <c r="A1414" s="42" t="inlineStr">
        <is>
          <t>SZ-SL-001413</t>
        </is>
      </c>
      <c r="B1414" s="42" t="inlineStr">
        <is>
          <t>WT-SL-TATE-SUBERI</t>
        </is>
      </c>
      <c r="C1414" s="42" t="inlineStr">
        <is>
          <t>縦すべり出し窓</t>
        </is>
      </c>
      <c r="D1414" s="42" t="inlineStr">
        <is>
          <t>SP-SL-TATE-OP-T</t>
        </is>
      </c>
      <c r="E1414" s="42" t="inlineStr">
        <is>
          <t>02615</t>
        </is>
      </c>
      <c r="F1414" s="42" t="inlineStr">
        <is>
          <t>300</t>
        </is>
      </c>
      <c r="G1414" s="42" t="inlineStr">
        <is>
          <t>1570</t>
        </is>
      </c>
      <c r="H1414" s="42" t="inlineStr">
        <is>
          <t>True</t>
        </is>
      </c>
      <c r="I1414" s="42" t="inlineStr">
        <is>
          <t>NOT_EVALUATED</t>
        </is>
      </c>
      <c r="J1414" s="42" t="inlineStr">
        <is>
          <t>NO_DIRECT_STANDARD_MATRIX_IN_RETRIEVED_SOURCE</t>
        </is>
      </c>
      <c r="K1414" s="42" t="str"/>
      <c r="L1414" s="42" t="str"/>
      <c r="M1414" s="42" t="str"/>
      <c r="N1414" s="42" t="str"/>
      <c r="O1414" s="42" t="inlineStr">
        <is>
          <t>現行公式資料でこの窓種のSAFE 30mil規格○/×を本Revisionでは直接取得できていない。推測しない。</t>
        </is>
      </c>
    </row>
    <row r="1415">
      <c r="A1415" s="42" t="inlineStr">
        <is>
          <t>SZ-SL-001414</t>
        </is>
      </c>
      <c r="B1415" s="42" t="inlineStr">
        <is>
          <t>WT-SL-TATE-SUBERI</t>
        </is>
      </c>
      <c r="C1415" s="42" t="inlineStr">
        <is>
          <t>縦すべり出し窓</t>
        </is>
      </c>
      <c r="D1415" s="42" t="inlineStr">
        <is>
          <t>SP-SL-TATE-OP-T</t>
        </is>
      </c>
      <c r="E1415" s="42" t="inlineStr">
        <is>
          <t>03607</t>
        </is>
      </c>
      <c r="F1415" s="42" t="inlineStr">
        <is>
          <t>405</t>
        </is>
      </c>
      <c r="G1415" s="42" t="inlineStr">
        <is>
          <t>770</t>
        </is>
      </c>
      <c r="H1415" s="42" t="inlineStr">
        <is>
          <t>True</t>
        </is>
      </c>
      <c r="I1415" s="42" t="inlineStr">
        <is>
          <t>NOT_EVALUATED</t>
        </is>
      </c>
      <c r="J1415" s="42" t="inlineStr">
        <is>
          <t>NO_DIRECT_STANDARD_MATRIX_IN_RETRIEVED_SOURCE</t>
        </is>
      </c>
      <c r="K1415" s="42" t="str"/>
      <c r="L1415" s="42" t="str"/>
      <c r="M1415" s="42" t="str"/>
      <c r="N1415" s="42" t="str"/>
      <c r="O1415" s="42" t="inlineStr">
        <is>
          <t>現行公式資料でこの窓種のSAFE 30mil規格○/×を本Revisionでは直接取得できていない。推測しない。</t>
        </is>
      </c>
    </row>
    <row r="1416">
      <c r="A1416" s="42" t="inlineStr">
        <is>
          <t>SZ-SL-001415</t>
        </is>
      </c>
      <c r="B1416" s="42" t="inlineStr">
        <is>
          <t>WT-SL-TATE-SUBERI</t>
        </is>
      </c>
      <c r="C1416" s="42" t="inlineStr">
        <is>
          <t>縦すべり出し窓</t>
        </is>
      </c>
      <c r="D1416" s="42" t="inlineStr">
        <is>
          <t>SP-SL-TATE-OP-T</t>
        </is>
      </c>
      <c r="E1416" s="42" t="inlineStr">
        <is>
          <t>06007</t>
        </is>
      </c>
      <c r="F1416" s="42" t="inlineStr">
        <is>
          <t>640</t>
        </is>
      </c>
      <c r="G1416" s="42" t="inlineStr">
        <is>
          <t>770</t>
        </is>
      </c>
      <c r="H1416" s="42" t="inlineStr">
        <is>
          <t>True</t>
        </is>
      </c>
      <c r="I1416" s="42" t="inlineStr">
        <is>
          <t>NOT_EVALUATED</t>
        </is>
      </c>
      <c r="J1416" s="42" t="inlineStr">
        <is>
          <t>NO_DIRECT_STANDARD_MATRIX_IN_RETRIEVED_SOURCE</t>
        </is>
      </c>
      <c r="K1416" s="42" t="str"/>
      <c r="L1416" s="42" t="str"/>
      <c r="M1416" s="42" t="str"/>
      <c r="N1416" s="42" t="str"/>
      <c r="O1416" s="42" t="inlineStr">
        <is>
          <t>現行公式資料でこの窓種のSAFE 30mil規格○/×を本Revisionでは直接取得できていない。推測しない。</t>
        </is>
      </c>
    </row>
    <row r="1417">
      <c r="A1417" s="42" t="inlineStr">
        <is>
          <t>SZ-SL-001416</t>
        </is>
      </c>
      <c r="B1417" s="42" t="inlineStr">
        <is>
          <t>WT-SL-TATE-SUBERI</t>
        </is>
      </c>
      <c r="C1417" s="42" t="inlineStr">
        <is>
          <t>縦すべり出し窓</t>
        </is>
      </c>
      <c r="D1417" s="42" t="inlineStr">
        <is>
          <t>SP-SL-TATE-OP-T</t>
        </is>
      </c>
      <c r="E1417" s="42" t="inlineStr">
        <is>
          <t>03109</t>
        </is>
      </c>
      <c r="F1417" s="42" t="inlineStr">
        <is>
          <t>350</t>
        </is>
      </c>
      <c r="G1417" s="42" t="inlineStr">
        <is>
          <t>970</t>
        </is>
      </c>
      <c r="H1417" s="42" t="inlineStr">
        <is>
          <t>True</t>
        </is>
      </c>
      <c r="I1417" s="42" t="inlineStr">
        <is>
          <t>NOT_EVALUATED</t>
        </is>
      </c>
      <c r="J1417" s="42" t="inlineStr">
        <is>
          <t>NO_DIRECT_STANDARD_MATRIX_IN_RETRIEVED_SOURCE</t>
        </is>
      </c>
      <c r="K1417" s="42" t="str"/>
      <c r="L1417" s="42" t="str"/>
      <c r="M1417" s="42" t="str"/>
      <c r="N1417" s="42" t="str"/>
      <c r="O1417" s="42" t="inlineStr">
        <is>
          <t>現行公式資料でこの窓種のSAFE 30mil規格○/×を本Revisionでは直接取得できていない。推測しない。</t>
        </is>
      </c>
    </row>
    <row r="1418">
      <c r="A1418" s="42" t="inlineStr">
        <is>
          <t>SZ-SL-001417</t>
        </is>
      </c>
      <c r="B1418" s="42" t="inlineStr">
        <is>
          <t>WT-SL-TATE-SUBERI</t>
        </is>
      </c>
      <c r="C1418" s="42" t="inlineStr">
        <is>
          <t>縦すべり出し窓</t>
        </is>
      </c>
      <c r="D1418" s="42" t="inlineStr">
        <is>
          <t>SP-SL-TATE-OP-T</t>
        </is>
      </c>
      <c r="E1418" s="42" t="inlineStr">
        <is>
          <t>03609</t>
        </is>
      </c>
      <c r="F1418" s="42" t="inlineStr">
        <is>
          <t>405</t>
        </is>
      </c>
      <c r="G1418" s="42" t="inlineStr">
        <is>
          <t>970</t>
        </is>
      </c>
      <c r="H1418" s="42" t="inlineStr">
        <is>
          <t>True</t>
        </is>
      </c>
      <c r="I1418" s="42" t="inlineStr">
        <is>
          <t>NOT_EVALUATED</t>
        </is>
      </c>
      <c r="J1418" s="42" t="inlineStr">
        <is>
          <t>NO_DIRECT_STANDARD_MATRIX_IN_RETRIEVED_SOURCE</t>
        </is>
      </c>
      <c r="K1418" s="42" t="str"/>
      <c r="L1418" s="42" t="str"/>
      <c r="M1418" s="42" t="str"/>
      <c r="N1418" s="42" t="str"/>
      <c r="O1418" s="42" t="inlineStr">
        <is>
          <t>現行公式資料でこの窓種のSAFE 30mil規格○/×を本Revisionでは直接取得できていない。推測しない。</t>
        </is>
      </c>
    </row>
    <row r="1419">
      <c r="A1419" s="42" t="inlineStr">
        <is>
          <t>SZ-SL-001418</t>
        </is>
      </c>
      <c r="B1419" s="42" t="inlineStr">
        <is>
          <t>WT-SL-TATE-SUBERI</t>
        </is>
      </c>
      <c r="C1419" s="42" t="inlineStr">
        <is>
          <t>縦すべり出し窓</t>
        </is>
      </c>
      <c r="D1419" s="42" t="inlineStr">
        <is>
          <t>SP-SL-TATE-OP-T</t>
        </is>
      </c>
      <c r="E1419" s="42" t="inlineStr">
        <is>
          <t>06009</t>
        </is>
      </c>
      <c r="F1419" s="42" t="inlineStr">
        <is>
          <t>640</t>
        </is>
      </c>
      <c r="G1419" s="42" t="inlineStr">
        <is>
          <t>970</t>
        </is>
      </c>
      <c r="H1419" s="42" t="inlineStr">
        <is>
          <t>True</t>
        </is>
      </c>
      <c r="I1419" s="42" t="inlineStr">
        <is>
          <t>NOT_EVALUATED</t>
        </is>
      </c>
      <c r="J1419" s="42" t="inlineStr">
        <is>
          <t>NO_DIRECT_STANDARD_MATRIX_IN_RETRIEVED_SOURCE</t>
        </is>
      </c>
      <c r="K1419" s="42" t="str"/>
      <c r="L1419" s="42" t="str"/>
      <c r="M1419" s="42" t="str"/>
      <c r="N1419" s="42" t="str"/>
      <c r="O1419" s="42" t="inlineStr">
        <is>
          <t>現行公式資料でこの窓種のSAFE 30mil規格○/×を本Revisionでは直接取得できていない。推測しない。</t>
        </is>
      </c>
    </row>
    <row r="1420">
      <c r="A1420" s="42" t="inlineStr">
        <is>
          <t>SZ-SL-001419</t>
        </is>
      </c>
      <c r="B1420" s="42" t="inlineStr">
        <is>
          <t>WT-SL-TATE-SUBERI</t>
        </is>
      </c>
      <c r="C1420" s="42" t="inlineStr">
        <is>
          <t>縦すべり出し窓</t>
        </is>
      </c>
      <c r="D1420" s="42" t="inlineStr">
        <is>
          <t>SP-SL-TATE-OP-T</t>
        </is>
      </c>
      <c r="E1420" s="42" t="inlineStr">
        <is>
          <t>03111</t>
        </is>
      </c>
      <c r="F1420" s="42" t="inlineStr">
        <is>
          <t>350</t>
        </is>
      </c>
      <c r="G1420" s="42" t="inlineStr">
        <is>
          <t>1170</t>
        </is>
      </c>
      <c r="H1420" s="42" t="inlineStr">
        <is>
          <t>True</t>
        </is>
      </c>
      <c r="I1420" s="42" t="inlineStr">
        <is>
          <t>NOT_EVALUATED</t>
        </is>
      </c>
      <c r="J1420" s="42" t="inlineStr">
        <is>
          <t>NO_DIRECT_STANDARD_MATRIX_IN_RETRIEVED_SOURCE</t>
        </is>
      </c>
      <c r="K1420" s="42" t="str"/>
      <c r="L1420" s="42" t="str"/>
      <c r="M1420" s="42" t="str"/>
      <c r="N1420" s="42" t="str"/>
      <c r="O1420" s="42" t="inlineStr">
        <is>
          <t>現行公式資料でこの窓種のSAFE 30mil規格○/×を本Revisionでは直接取得できていない。推測しない。</t>
        </is>
      </c>
    </row>
    <row r="1421">
      <c r="A1421" s="42" t="inlineStr">
        <is>
          <t>SZ-SL-001420</t>
        </is>
      </c>
      <c r="B1421" s="42" t="inlineStr">
        <is>
          <t>WT-SL-TATE-SUBERI</t>
        </is>
      </c>
      <c r="C1421" s="42" t="inlineStr">
        <is>
          <t>縦すべり出し窓</t>
        </is>
      </c>
      <c r="D1421" s="42" t="inlineStr">
        <is>
          <t>SP-SL-TATE-OP-T</t>
        </is>
      </c>
      <c r="E1421" s="42" t="inlineStr">
        <is>
          <t>03611</t>
        </is>
      </c>
      <c r="F1421" s="42" t="inlineStr">
        <is>
          <t>405</t>
        </is>
      </c>
      <c r="G1421" s="42" t="inlineStr">
        <is>
          <t>1170</t>
        </is>
      </c>
      <c r="H1421" s="42" t="inlineStr">
        <is>
          <t>True</t>
        </is>
      </c>
      <c r="I1421" s="42" t="inlineStr">
        <is>
          <t>NOT_EVALUATED</t>
        </is>
      </c>
      <c r="J1421" s="42" t="inlineStr">
        <is>
          <t>NO_DIRECT_STANDARD_MATRIX_IN_RETRIEVED_SOURCE</t>
        </is>
      </c>
      <c r="K1421" s="42" t="str"/>
      <c r="L1421" s="42" t="str"/>
      <c r="M1421" s="42" t="str"/>
      <c r="N1421" s="42" t="str"/>
      <c r="O1421" s="42" t="inlineStr">
        <is>
          <t>現行公式資料でこの窓種のSAFE 30mil規格○/×を本Revisionでは直接取得できていない。推測しない。</t>
        </is>
      </c>
    </row>
    <row r="1422">
      <c r="A1422" s="42" t="inlineStr">
        <is>
          <t>SZ-SL-001421</t>
        </is>
      </c>
      <c r="B1422" s="42" t="inlineStr">
        <is>
          <t>WT-SL-TATE-SUBERI</t>
        </is>
      </c>
      <c r="C1422" s="42" t="inlineStr">
        <is>
          <t>縦すべり出し窓</t>
        </is>
      </c>
      <c r="D1422" s="42" t="inlineStr">
        <is>
          <t>SP-SL-TATE-OP-T</t>
        </is>
      </c>
      <c r="E1422" s="42" t="inlineStr">
        <is>
          <t>06011</t>
        </is>
      </c>
      <c r="F1422" s="42" t="inlineStr">
        <is>
          <t>640</t>
        </is>
      </c>
      <c r="G1422" s="42" t="inlineStr">
        <is>
          <t>1170</t>
        </is>
      </c>
      <c r="H1422" s="42" t="inlineStr">
        <is>
          <t>True</t>
        </is>
      </c>
      <c r="I1422" s="42" t="inlineStr">
        <is>
          <t>NOT_EVALUATED</t>
        </is>
      </c>
      <c r="J1422" s="42" t="inlineStr">
        <is>
          <t>NO_DIRECT_STANDARD_MATRIX_IN_RETRIEVED_SOURCE</t>
        </is>
      </c>
      <c r="K1422" s="42" t="str"/>
      <c r="L1422" s="42" t="str"/>
      <c r="M1422" s="42" t="str"/>
      <c r="N1422" s="42" t="str"/>
      <c r="O1422" s="42" t="inlineStr">
        <is>
          <t>現行公式資料でこの窓種のSAFE 30mil規格○/×を本Revisionでは直接取得できていない。推測しない。</t>
        </is>
      </c>
    </row>
    <row r="1423">
      <c r="A1423" s="42" t="inlineStr">
        <is>
          <t>SZ-SL-001422</t>
        </is>
      </c>
      <c r="B1423" s="42" t="inlineStr">
        <is>
          <t>WT-SL-TATE-SUBERI</t>
        </is>
      </c>
      <c r="C1423" s="42" t="inlineStr">
        <is>
          <t>縦すべり出し窓</t>
        </is>
      </c>
      <c r="D1423" s="42" t="inlineStr">
        <is>
          <t>SP-SL-TATE-OP-T</t>
        </is>
      </c>
      <c r="E1423" s="42" t="inlineStr">
        <is>
          <t>03113</t>
        </is>
      </c>
      <c r="F1423" s="42" t="inlineStr">
        <is>
          <t>350</t>
        </is>
      </c>
      <c r="G1423" s="42" t="inlineStr">
        <is>
          <t>1370</t>
        </is>
      </c>
      <c r="H1423" s="42" t="inlineStr">
        <is>
          <t>True</t>
        </is>
      </c>
      <c r="I1423" s="42" t="inlineStr">
        <is>
          <t>NOT_EVALUATED</t>
        </is>
      </c>
      <c r="J1423" s="42" t="inlineStr">
        <is>
          <t>NO_DIRECT_STANDARD_MATRIX_IN_RETRIEVED_SOURCE</t>
        </is>
      </c>
      <c r="K1423" s="42" t="str"/>
      <c r="L1423" s="42" t="str"/>
      <c r="M1423" s="42" t="str"/>
      <c r="N1423" s="42" t="str"/>
      <c r="O1423" s="42" t="inlineStr">
        <is>
          <t>現行公式資料でこの窓種のSAFE 30mil規格○/×を本Revisionでは直接取得できていない。推測しない。</t>
        </is>
      </c>
    </row>
    <row r="1424">
      <c r="A1424" s="42" t="inlineStr">
        <is>
          <t>SZ-SL-001423</t>
        </is>
      </c>
      <c r="B1424" s="42" t="inlineStr">
        <is>
          <t>WT-SL-TATE-SUBERI</t>
        </is>
      </c>
      <c r="C1424" s="42" t="inlineStr">
        <is>
          <t>縦すべり出し窓</t>
        </is>
      </c>
      <c r="D1424" s="42" t="inlineStr">
        <is>
          <t>SP-SL-TATE-OP-T</t>
        </is>
      </c>
      <c r="E1424" s="42" t="inlineStr">
        <is>
          <t>03613</t>
        </is>
      </c>
      <c r="F1424" s="42" t="inlineStr">
        <is>
          <t>405</t>
        </is>
      </c>
      <c r="G1424" s="42" t="inlineStr">
        <is>
          <t>1370</t>
        </is>
      </c>
      <c r="H1424" s="42" t="inlineStr">
        <is>
          <t>True</t>
        </is>
      </c>
      <c r="I1424" s="42" t="inlineStr">
        <is>
          <t>NOT_EVALUATED</t>
        </is>
      </c>
      <c r="J1424" s="42" t="inlineStr">
        <is>
          <t>NO_DIRECT_STANDARD_MATRIX_IN_RETRIEVED_SOURCE</t>
        </is>
      </c>
      <c r="K1424" s="42" t="str"/>
      <c r="L1424" s="42" t="str"/>
      <c r="M1424" s="42" t="str"/>
      <c r="N1424" s="42" t="str"/>
      <c r="O1424" s="42" t="inlineStr">
        <is>
          <t>現行公式資料でこの窓種のSAFE 30mil規格○/×を本Revisionでは直接取得できていない。推測しない。</t>
        </is>
      </c>
    </row>
    <row r="1425">
      <c r="A1425" s="42" t="inlineStr">
        <is>
          <t>SZ-SL-001424</t>
        </is>
      </c>
      <c r="B1425" s="42" t="inlineStr">
        <is>
          <t>WT-SL-TATE-SUBERI</t>
        </is>
      </c>
      <c r="C1425" s="42" t="inlineStr">
        <is>
          <t>縦すべり出し窓</t>
        </is>
      </c>
      <c r="D1425" s="42" t="inlineStr">
        <is>
          <t>SP-SL-TATE-OP-T</t>
        </is>
      </c>
      <c r="E1425" s="42" t="inlineStr">
        <is>
          <t>06013</t>
        </is>
      </c>
      <c r="F1425" s="42" t="inlineStr">
        <is>
          <t>640</t>
        </is>
      </c>
      <c r="G1425" s="42" t="inlineStr">
        <is>
          <t>1370</t>
        </is>
      </c>
      <c r="H1425" s="42" t="inlineStr">
        <is>
          <t>True</t>
        </is>
      </c>
      <c r="I1425" s="42" t="inlineStr">
        <is>
          <t>NOT_EVALUATED</t>
        </is>
      </c>
      <c r="J1425" s="42" t="inlineStr">
        <is>
          <t>NO_DIRECT_STANDARD_MATRIX_IN_RETRIEVED_SOURCE</t>
        </is>
      </c>
      <c r="K1425" s="42" t="str"/>
      <c r="L1425" s="42" t="str"/>
      <c r="M1425" s="42" t="str"/>
      <c r="N1425" s="42" t="str"/>
      <c r="O1425" s="42" t="inlineStr">
        <is>
          <t>現行公式資料でこの窓種のSAFE 30mil規格○/×を本Revisionでは直接取得できていない。推測しない。</t>
        </is>
      </c>
    </row>
    <row r="1426">
      <c r="A1426" s="42" t="inlineStr">
        <is>
          <t>SZ-SL-001425</t>
        </is>
      </c>
      <c r="B1426" s="42" t="inlineStr">
        <is>
          <t>WT-SL-TATE-SUBERI</t>
        </is>
      </c>
      <c r="C1426" s="42" t="inlineStr">
        <is>
          <t>縦すべり出し窓</t>
        </is>
      </c>
      <c r="D1426" s="42" t="inlineStr">
        <is>
          <t>SP-SL-TATE-OP-T</t>
        </is>
      </c>
      <c r="E1426" s="42" t="inlineStr">
        <is>
          <t>03115</t>
        </is>
      </c>
      <c r="F1426" s="42" t="inlineStr">
        <is>
          <t>350</t>
        </is>
      </c>
      <c r="G1426" s="42" t="inlineStr">
        <is>
          <t>1570</t>
        </is>
      </c>
      <c r="H1426" s="42" t="inlineStr">
        <is>
          <t>True</t>
        </is>
      </c>
      <c r="I1426" s="42" t="inlineStr">
        <is>
          <t>NOT_EVALUATED</t>
        </is>
      </c>
      <c r="J1426" s="42" t="inlineStr">
        <is>
          <t>NO_DIRECT_STANDARD_MATRIX_IN_RETRIEVED_SOURCE</t>
        </is>
      </c>
      <c r="K1426" s="42" t="str"/>
      <c r="L1426" s="42" t="str"/>
      <c r="M1426" s="42" t="str"/>
      <c r="N1426" s="42" t="str"/>
      <c r="O1426" s="42" t="inlineStr">
        <is>
          <t>現行公式資料でこの窓種のSAFE 30mil規格○/×を本Revisionでは直接取得できていない。推測しない。</t>
        </is>
      </c>
    </row>
    <row r="1427">
      <c r="A1427" s="42" t="inlineStr">
        <is>
          <t>SZ-SL-001426</t>
        </is>
      </c>
      <c r="B1427" s="42" t="inlineStr">
        <is>
          <t>WT-SL-TATE-SUBERI</t>
        </is>
      </c>
      <c r="C1427" s="42" t="inlineStr">
        <is>
          <t>縦すべり出し窓</t>
        </is>
      </c>
      <c r="D1427" s="42" t="inlineStr">
        <is>
          <t>SP-SL-TATE-OP-T</t>
        </is>
      </c>
      <c r="E1427" s="42" t="inlineStr">
        <is>
          <t>02118</t>
        </is>
      </c>
      <c r="F1427" s="42" t="inlineStr">
        <is>
          <t>250</t>
        </is>
      </c>
      <c r="G1427" s="42" t="inlineStr">
        <is>
          <t>1870</t>
        </is>
      </c>
      <c r="H1427" s="42" t="inlineStr">
        <is>
          <t>True</t>
        </is>
      </c>
      <c r="I1427" s="42" t="inlineStr">
        <is>
          <t>NOT_EVALUATED</t>
        </is>
      </c>
      <c r="J1427" s="42" t="inlineStr">
        <is>
          <t>NO_DIRECT_STANDARD_MATRIX_IN_RETRIEVED_SOURCE</t>
        </is>
      </c>
      <c r="K1427" s="42" t="str"/>
      <c r="L1427" s="42" t="str"/>
      <c r="M1427" s="42" t="str"/>
      <c r="N1427" s="42" t="str"/>
      <c r="O1427" s="42" t="inlineStr">
        <is>
          <t>現行公式資料でこの窓種のSAFE 30mil規格○/×を本Revisionでは直接取得できていない。推測しない。</t>
        </is>
      </c>
    </row>
    <row r="1428">
      <c r="A1428" s="42" t="inlineStr">
        <is>
          <t>SZ-SL-001427</t>
        </is>
      </c>
      <c r="B1428" s="42" t="inlineStr">
        <is>
          <t>WT-SL-TATE-SUBERI</t>
        </is>
      </c>
      <c r="C1428" s="42" t="inlineStr">
        <is>
          <t>縦すべり出し窓</t>
        </is>
      </c>
      <c r="D1428" s="42" t="inlineStr">
        <is>
          <t>SP-SL-TATE-OP-T</t>
        </is>
      </c>
      <c r="E1428" s="42" t="inlineStr">
        <is>
          <t>02618</t>
        </is>
      </c>
      <c r="F1428" s="42" t="inlineStr">
        <is>
          <t>300</t>
        </is>
      </c>
      <c r="G1428" s="42" t="inlineStr">
        <is>
          <t>1870</t>
        </is>
      </c>
      <c r="H1428" s="42" t="inlineStr">
        <is>
          <t>True</t>
        </is>
      </c>
      <c r="I1428" s="42" t="inlineStr">
        <is>
          <t>NOT_EVALUATED</t>
        </is>
      </c>
      <c r="J1428" s="42" t="inlineStr">
        <is>
          <t>NO_DIRECT_STANDARD_MATRIX_IN_RETRIEVED_SOURCE</t>
        </is>
      </c>
      <c r="K1428" s="42" t="str"/>
      <c r="L1428" s="42" t="str"/>
      <c r="M1428" s="42" t="str"/>
      <c r="N1428" s="42" t="str"/>
      <c r="O1428" s="42" t="inlineStr">
        <is>
          <t>現行公式資料でこの窓種のSAFE 30mil規格○/×を本Revisionでは直接取得できていない。推測しない。</t>
        </is>
      </c>
    </row>
    <row r="1429">
      <c r="A1429" s="42" t="inlineStr">
        <is>
          <t>SZ-SL-001428</t>
        </is>
      </c>
      <c r="B1429" s="42" t="inlineStr">
        <is>
          <t>WT-SL-TATE-SUBERI</t>
        </is>
      </c>
      <c r="C1429" s="42" t="inlineStr">
        <is>
          <t>縦すべり出し窓</t>
        </is>
      </c>
      <c r="D1429" s="42" t="inlineStr">
        <is>
          <t>SP-SL-TATE-OP-T</t>
        </is>
      </c>
      <c r="E1429" s="42" t="inlineStr">
        <is>
          <t>02120</t>
        </is>
      </c>
      <c r="F1429" s="42" t="inlineStr">
        <is>
          <t>250</t>
        </is>
      </c>
      <c r="G1429" s="42" t="inlineStr">
        <is>
          <t>2070</t>
        </is>
      </c>
      <c r="H1429" s="42" t="inlineStr">
        <is>
          <t>True</t>
        </is>
      </c>
      <c r="I1429" s="42" t="inlineStr">
        <is>
          <t>NOT_EVALUATED</t>
        </is>
      </c>
      <c r="J1429" s="42" t="inlineStr">
        <is>
          <t>NO_DIRECT_STANDARD_MATRIX_IN_RETRIEVED_SOURCE</t>
        </is>
      </c>
      <c r="K1429" s="42" t="str"/>
      <c r="L1429" s="42" t="str"/>
      <c r="M1429" s="42" t="str"/>
      <c r="N1429" s="42" t="str"/>
      <c r="O1429" s="42" t="inlineStr">
        <is>
          <t>現行公式資料でこの窓種のSAFE 30mil規格○/×を本Revisionでは直接取得できていない。推測しない。</t>
        </is>
      </c>
    </row>
    <row r="1430">
      <c r="A1430" s="42" t="inlineStr">
        <is>
          <t>SZ-SL-001429</t>
        </is>
      </c>
      <c r="B1430" s="42" t="inlineStr">
        <is>
          <t>WT-SL-TATE-SUBERI</t>
        </is>
      </c>
      <c r="C1430" s="42" t="inlineStr">
        <is>
          <t>縦すべり出し窓</t>
        </is>
      </c>
      <c r="D1430" s="42" t="inlineStr">
        <is>
          <t>SP-SL-TATE-OP-T</t>
        </is>
      </c>
      <c r="E1430" s="42" t="inlineStr">
        <is>
          <t>02620</t>
        </is>
      </c>
      <c r="F1430" s="42" t="inlineStr">
        <is>
          <t>300</t>
        </is>
      </c>
      <c r="G1430" s="42" t="inlineStr">
        <is>
          <t>2070</t>
        </is>
      </c>
      <c r="H1430" s="42" t="inlineStr">
        <is>
          <t>True</t>
        </is>
      </c>
      <c r="I1430" s="42" t="inlineStr">
        <is>
          <t>NOT_EVALUATED</t>
        </is>
      </c>
      <c r="J1430" s="42" t="inlineStr">
        <is>
          <t>NO_DIRECT_STANDARD_MATRIX_IN_RETRIEVED_SOURCE</t>
        </is>
      </c>
      <c r="K1430" s="42" t="str"/>
      <c r="L1430" s="42" t="str"/>
      <c r="M1430" s="42" t="str"/>
      <c r="N1430" s="42" t="str"/>
      <c r="O1430" s="42" t="inlineStr">
        <is>
          <t>現行公式資料でこの窓種のSAFE 30mil規格○/×を本Revisionでは直接取得できていない。推測しない。</t>
        </is>
      </c>
    </row>
    <row r="1431">
      <c r="A1431" s="42" t="inlineStr">
        <is>
          <t>SZ-SL-001430</t>
        </is>
      </c>
      <c r="B1431" s="42" t="inlineStr">
        <is>
          <t>WT-SL-TATE-SUBERI</t>
        </is>
      </c>
      <c r="C1431" s="42" t="inlineStr">
        <is>
          <t>縦すべり出し窓</t>
        </is>
      </c>
      <c r="D1431" s="42" t="inlineStr">
        <is>
          <t>SP-SL-TATE-OP-T</t>
        </is>
      </c>
      <c r="E1431" s="42" t="inlineStr">
        <is>
          <t>02122</t>
        </is>
      </c>
      <c r="F1431" s="42" t="inlineStr">
        <is>
          <t>250</t>
        </is>
      </c>
      <c r="G1431" s="42" t="inlineStr">
        <is>
          <t>2270</t>
        </is>
      </c>
      <c r="H1431" s="42" t="inlineStr">
        <is>
          <t>True</t>
        </is>
      </c>
      <c r="I1431" s="42" t="inlineStr">
        <is>
          <t>NOT_EVALUATED</t>
        </is>
      </c>
      <c r="J1431" s="42" t="inlineStr">
        <is>
          <t>NO_DIRECT_STANDARD_MATRIX_IN_RETRIEVED_SOURCE</t>
        </is>
      </c>
      <c r="K1431" s="42" t="str"/>
      <c r="L1431" s="42" t="str"/>
      <c r="M1431" s="42" t="str"/>
      <c r="N1431" s="42" t="str"/>
      <c r="O1431" s="42" t="inlineStr">
        <is>
          <t>現行公式資料でこの窓種のSAFE 30mil規格○/×を本Revisionでは直接取得できていない。推測しない。</t>
        </is>
      </c>
    </row>
    <row r="1432">
      <c r="A1432" s="42" t="inlineStr">
        <is>
          <t>SZ-SL-001431</t>
        </is>
      </c>
      <c r="B1432" s="42" t="inlineStr">
        <is>
          <t>WT-SL-TATE-SUBERI</t>
        </is>
      </c>
      <c r="C1432" s="42" t="inlineStr">
        <is>
          <t>縦すべり出し窓</t>
        </is>
      </c>
      <c r="D1432" s="42" t="inlineStr">
        <is>
          <t>SP-SL-TATE-OP-T</t>
        </is>
      </c>
      <c r="E1432" s="42" t="inlineStr">
        <is>
          <t>02622</t>
        </is>
      </c>
      <c r="F1432" s="42" t="inlineStr">
        <is>
          <t>300</t>
        </is>
      </c>
      <c r="G1432" s="42" t="inlineStr">
        <is>
          <t>2270</t>
        </is>
      </c>
      <c r="H1432" s="42" t="inlineStr">
        <is>
          <t>True</t>
        </is>
      </c>
      <c r="I1432" s="42" t="inlineStr">
        <is>
          <t>NOT_EVALUATED</t>
        </is>
      </c>
      <c r="J1432" s="42" t="inlineStr">
        <is>
          <t>NO_DIRECT_STANDARD_MATRIX_IN_RETRIEVED_SOURCE</t>
        </is>
      </c>
      <c r="K1432" s="42" t="str"/>
      <c r="L1432" s="42" t="str"/>
      <c r="M1432" s="42" t="str"/>
      <c r="N1432" s="42" t="str"/>
      <c r="O1432" s="42" t="inlineStr">
        <is>
          <t>現行公式資料でこの窓種のSAFE 30mil規格○/×を本Revisionでは直接取得できていない。推測しない。</t>
        </is>
      </c>
    </row>
    <row r="1433">
      <c r="A1433" s="42" t="inlineStr">
        <is>
          <t>SZ-SL-001432</t>
        </is>
      </c>
      <c r="B1433" s="42" t="inlineStr">
        <is>
          <t>WT-SL-TATE-SUBERI</t>
        </is>
      </c>
      <c r="C1433" s="42" t="inlineStr">
        <is>
          <t>縦すべり出し窓</t>
        </is>
      </c>
      <c r="D1433" s="42" t="inlineStr">
        <is>
          <t>SP-SL-TATE-OP-T</t>
        </is>
      </c>
      <c r="E1433" s="42" t="inlineStr">
        <is>
          <t>03118</t>
        </is>
      </c>
      <c r="F1433" s="42" t="inlineStr">
        <is>
          <t>350</t>
        </is>
      </c>
      <c r="G1433" s="42" t="inlineStr">
        <is>
          <t>1870</t>
        </is>
      </c>
      <c r="H1433" s="42" t="inlineStr">
        <is>
          <t>True</t>
        </is>
      </c>
      <c r="I1433" s="42" t="inlineStr">
        <is>
          <t>NOT_EVALUATED</t>
        </is>
      </c>
      <c r="J1433" s="42" t="inlineStr">
        <is>
          <t>NO_DIRECT_STANDARD_MATRIX_IN_RETRIEVED_SOURCE</t>
        </is>
      </c>
      <c r="K1433" s="42" t="str"/>
      <c r="L1433" s="42" t="str"/>
      <c r="M1433" s="42" t="str"/>
      <c r="N1433" s="42" t="str"/>
      <c r="O1433" s="42" t="inlineStr">
        <is>
          <t>現行公式資料でこの窓種のSAFE 30mil規格○/×を本Revisionでは直接取得できていない。推測しない。</t>
        </is>
      </c>
    </row>
    <row r="1434">
      <c r="A1434" s="42" t="inlineStr">
        <is>
          <t>SZ-SL-001433</t>
        </is>
      </c>
      <c r="B1434" s="42" t="inlineStr">
        <is>
          <t>WT-SL-TATE-SUBERI</t>
        </is>
      </c>
      <c r="C1434" s="42" t="inlineStr">
        <is>
          <t>縦すべり出し窓</t>
        </is>
      </c>
      <c r="D1434" s="42" t="inlineStr">
        <is>
          <t>SP-SL-TATE-OP-T</t>
        </is>
      </c>
      <c r="E1434" s="42" t="inlineStr">
        <is>
          <t>03120</t>
        </is>
      </c>
      <c r="F1434" s="42" t="inlineStr">
        <is>
          <t>350</t>
        </is>
      </c>
      <c r="G1434" s="42" t="inlineStr">
        <is>
          <t>2070</t>
        </is>
      </c>
      <c r="H1434" s="42" t="inlineStr">
        <is>
          <t>True</t>
        </is>
      </c>
      <c r="I1434" s="42" t="inlineStr">
        <is>
          <t>NOT_EVALUATED</t>
        </is>
      </c>
      <c r="J1434" s="42" t="inlineStr">
        <is>
          <t>NO_DIRECT_STANDARD_MATRIX_IN_RETRIEVED_SOURCE</t>
        </is>
      </c>
      <c r="K1434" s="42" t="str"/>
      <c r="L1434" s="42" t="str"/>
      <c r="M1434" s="42" t="str"/>
      <c r="N1434" s="42" t="str"/>
      <c r="O1434" s="42" t="inlineStr">
        <is>
          <t>現行公式資料でこの窓種のSAFE 30mil規格○/×を本Revisionでは直接取得できていない。推測しない。</t>
        </is>
      </c>
    </row>
    <row r="1435">
      <c r="A1435" s="42" t="inlineStr">
        <is>
          <t>SZ-SL-001434</t>
        </is>
      </c>
      <c r="B1435" s="42" t="inlineStr">
        <is>
          <t>WT-SL-TATE-SUBERI</t>
        </is>
      </c>
      <c r="C1435" s="42" t="inlineStr">
        <is>
          <t>縦すべり出し窓</t>
        </is>
      </c>
      <c r="D1435" s="42" t="inlineStr">
        <is>
          <t>SP-SL-TATE-OP-T</t>
        </is>
      </c>
      <c r="E1435" s="42" t="inlineStr">
        <is>
          <t>03122</t>
        </is>
      </c>
      <c r="F1435" s="42" t="inlineStr">
        <is>
          <t>350</t>
        </is>
      </c>
      <c r="G1435" s="42" t="inlineStr">
        <is>
          <t>2270</t>
        </is>
      </c>
      <c r="H1435" s="42" t="inlineStr">
        <is>
          <t>True</t>
        </is>
      </c>
      <c r="I1435" s="42" t="inlineStr">
        <is>
          <t>NOT_EVALUATED</t>
        </is>
      </c>
      <c r="J1435" s="42" t="inlineStr">
        <is>
          <t>NO_DIRECT_STANDARD_MATRIX_IN_RETRIEVED_SOURCE</t>
        </is>
      </c>
      <c r="K1435" s="42" t="str"/>
      <c r="L1435" s="42" t="str"/>
      <c r="M1435" s="42" t="str"/>
      <c r="N1435" s="42" t="str"/>
      <c r="O1435" s="42" t="inlineStr">
        <is>
          <t>現行公式資料でこの窓種のSAFE 30mil規格○/×を本Revisionでは直接取得できていない。推測しない。</t>
        </is>
      </c>
    </row>
    <row r="1436">
      <c r="A1436" s="42" t="inlineStr">
        <is>
          <t>SZ-SL-001435</t>
        </is>
      </c>
      <c r="B1436" s="42" t="inlineStr">
        <is>
          <t>WT-SL-TATE-SUBERI</t>
        </is>
      </c>
      <c r="C1436" s="42" t="inlineStr">
        <is>
          <t>縦すべり出し窓</t>
        </is>
      </c>
      <c r="D1436" s="42" t="inlineStr">
        <is>
          <t>SP-SL-TATE-OP-TF-OUT</t>
        </is>
      </c>
      <c r="E1436" s="42" t="inlineStr">
        <is>
          <t>11409</t>
        </is>
      </c>
      <c r="F1436" s="42" t="inlineStr">
        <is>
          <t>1185</t>
        </is>
      </c>
      <c r="G1436" s="42" t="inlineStr">
        <is>
          <t>970</t>
        </is>
      </c>
      <c r="H1436" s="42" t="inlineStr">
        <is>
          <t>True</t>
        </is>
      </c>
      <c r="I1436" s="42" t="inlineStr">
        <is>
          <t>NOT_EVALUATED</t>
        </is>
      </c>
      <c r="J1436" s="42" t="inlineStr">
        <is>
          <t>NO_DIRECT_STANDARD_MATRIX_IN_RETRIEVED_SOURCE</t>
        </is>
      </c>
      <c r="K1436" s="42" t="str"/>
      <c r="L1436" s="42" t="str"/>
      <c r="M1436" s="42" t="str"/>
      <c r="N1436" s="42" t="str"/>
      <c r="O1436" s="42" t="inlineStr">
        <is>
          <t>現行公式資料でこの窓種のSAFE 30mil規格○/×を本Revisionでは直接取得できていない。推測しない。</t>
        </is>
      </c>
    </row>
    <row r="1437">
      <c r="A1437" s="42" t="inlineStr">
        <is>
          <t>SZ-SL-001436</t>
        </is>
      </c>
      <c r="B1437" s="42" t="inlineStr">
        <is>
          <t>WT-SL-TATE-SUBERI</t>
        </is>
      </c>
      <c r="C1437" s="42" t="inlineStr">
        <is>
          <t>縦すべり出し窓</t>
        </is>
      </c>
      <c r="D1437" s="42" t="inlineStr">
        <is>
          <t>SP-SL-TATE-OP-TF-OUT</t>
        </is>
      </c>
      <c r="E1437" s="42" t="inlineStr">
        <is>
          <t>11909</t>
        </is>
      </c>
      <c r="F1437" s="42" t="inlineStr">
        <is>
          <t>1235</t>
        </is>
      </c>
      <c r="G1437" s="42" t="inlineStr">
        <is>
          <t>970</t>
        </is>
      </c>
      <c r="H1437" s="42" t="inlineStr">
        <is>
          <t>True</t>
        </is>
      </c>
      <c r="I1437" s="42" t="inlineStr">
        <is>
          <t>NOT_EVALUATED</t>
        </is>
      </c>
      <c r="J1437" s="42" t="inlineStr">
        <is>
          <t>NO_DIRECT_STANDARD_MATRIX_IN_RETRIEVED_SOURCE</t>
        </is>
      </c>
      <c r="K1437" s="42" t="str"/>
      <c r="L1437" s="42" t="str"/>
      <c r="M1437" s="42" t="str"/>
      <c r="N1437" s="42" t="str"/>
      <c r="O1437" s="42" t="inlineStr">
        <is>
          <t>現行公式資料でこの窓種のSAFE 30mil規格○/×を本Revisionでは直接取得できていない。推測しない。</t>
        </is>
      </c>
    </row>
    <row r="1438">
      <c r="A1438" s="42" t="inlineStr">
        <is>
          <t>SZ-SL-001437</t>
        </is>
      </c>
      <c r="B1438" s="42" t="inlineStr">
        <is>
          <t>WT-SL-TATE-SUBERI</t>
        </is>
      </c>
      <c r="C1438" s="42" t="inlineStr">
        <is>
          <t>縦すべり出し窓</t>
        </is>
      </c>
      <c r="D1438" s="42" t="inlineStr">
        <is>
          <t>SP-SL-TATE-OP-TF-OUT</t>
        </is>
      </c>
      <c r="E1438" s="42" t="inlineStr">
        <is>
          <t>16009</t>
        </is>
      </c>
      <c r="F1438" s="42" t="inlineStr">
        <is>
          <t>1640</t>
        </is>
      </c>
      <c r="G1438" s="42" t="inlineStr">
        <is>
          <t>970</t>
        </is>
      </c>
      <c r="H1438" s="42" t="inlineStr">
        <is>
          <t>True</t>
        </is>
      </c>
      <c r="I1438" s="42" t="inlineStr">
        <is>
          <t>NOT_EVALUATED</t>
        </is>
      </c>
      <c r="J1438" s="42" t="inlineStr">
        <is>
          <t>NO_DIRECT_STANDARD_MATRIX_IN_RETRIEVED_SOURCE</t>
        </is>
      </c>
      <c r="K1438" s="42" t="str"/>
      <c r="L1438" s="42" t="str"/>
      <c r="M1438" s="42" t="str"/>
      <c r="N1438" s="42" t="str"/>
      <c r="O1438" s="42" t="inlineStr">
        <is>
          <t>現行公式資料でこの窓種のSAFE 30mil規格○/×を本Revisionでは直接取得できていない。推測しない。</t>
        </is>
      </c>
    </row>
    <row r="1439">
      <c r="A1439" s="42" t="inlineStr">
        <is>
          <t>SZ-SL-001438</t>
        </is>
      </c>
      <c r="B1439" s="42" t="inlineStr">
        <is>
          <t>WT-SL-TATE-SUBERI</t>
        </is>
      </c>
      <c r="C1439" s="42" t="inlineStr">
        <is>
          <t>縦すべり出し窓</t>
        </is>
      </c>
      <c r="D1439" s="42" t="inlineStr">
        <is>
          <t>SP-SL-TATE-OP-TF-OUT</t>
        </is>
      </c>
      <c r="E1439" s="42" t="inlineStr">
        <is>
          <t>16509</t>
        </is>
      </c>
      <c r="F1439" s="42" t="inlineStr">
        <is>
          <t>1690</t>
        </is>
      </c>
      <c r="G1439" s="42" t="inlineStr">
        <is>
          <t>970</t>
        </is>
      </c>
      <c r="H1439" s="42" t="inlineStr">
        <is>
          <t>True</t>
        </is>
      </c>
      <c r="I1439" s="42" t="inlineStr">
        <is>
          <t>NOT_EVALUATED</t>
        </is>
      </c>
      <c r="J1439" s="42" t="inlineStr">
        <is>
          <t>NO_DIRECT_STANDARD_MATRIX_IN_RETRIEVED_SOURCE</t>
        </is>
      </c>
      <c r="K1439" s="42" t="str"/>
      <c r="L1439" s="42" t="str"/>
      <c r="M1439" s="42" t="str"/>
      <c r="N1439" s="42" t="str"/>
      <c r="O1439" s="42" t="inlineStr">
        <is>
          <t>現行公式資料でこの窓種のSAFE 30mil規格○/×を本Revisionでは直接取得できていない。推測しない。</t>
        </is>
      </c>
    </row>
    <row r="1440">
      <c r="A1440" s="42" t="inlineStr">
        <is>
          <t>SZ-SL-001439</t>
        </is>
      </c>
      <c r="B1440" s="42" t="inlineStr">
        <is>
          <t>WT-SL-TATE-SUBERI</t>
        </is>
      </c>
      <c r="C1440" s="42" t="inlineStr">
        <is>
          <t>縦すべり出し窓</t>
        </is>
      </c>
      <c r="D1440" s="42" t="inlineStr">
        <is>
          <t>SP-SL-TATE-OP-TF-OUT</t>
        </is>
      </c>
      <c r="E1440" s="42" t="inlineStr">
        <is>
          <t>11411</t>
        </is>
      </c>
      <c r="F1440" s="42" t="inlineStr">
        <is>
          <t>1185</t>
        </is>
      </c>
      <c r="G1440" s="42" t="inlineStr">
        <is>
          <t>1170</t>
        </is>
      </c>
      <c r="H1440" s="42" t="inlineStr">
        <is>
          <t>True</t>
        </is>
      </c>
      <c r="I1440" s="42" t="inlineStr">
        <is>
          <t>NOT_EVALUATED</t>
        </is>
      </c>
      <c r="J1440" s="42" t="inlineStr">
        <is>
          <t>NO_DIRECT_STANDARD_MATRIX_IN_RETRIEVED_SOURCE</t>
        </is>
      </c>
      <c r="K1440" s="42" t="str"/>
      <c r="L1440" s="42" t="str"/>
      <c r="M1440" s="42" t="str"/>
      <c r="N1440" s="42" t="str"/>
      <c r="O1440" s="42" t="inlineStr">
        <is>
          <t>現行公式資料でこの窓種のSAFE 30mil規格○/×を本Revisionでは直接取得できていない。推測しない。</t>
        </is>
      </c>
    </row>
    <row r="1441">
      <c r="A1441" s="42" t="inlineStr">
        <is>
          <t>SZ-SL-001440</t>
        </is>
      </c>
      <c r="B1441" s="42" t="inlineStr">
        <is>
          <t>WT-SL-TATE-SUBERI</t>
        </is>
      </c>
      <c r="C1441" s="42" t="inlineStr">
        <is>
          <t>縦すべり出し窓</t>
        </is>
      </c>
      <c r="D1441" s="42" t="inlineStr">
        <is>
          <t>SP-SL-TATE-OP-TF-OUT</t>
        </is>
      </c>
      <c r="E1441" s="42" t="inlineStr">
        <is>
          <t>11911</t>
        </is>
      </c>
      <c r="F1441" s="42" t="inlineStr">
        <is>
          <t>1235</t>
        </is>
      </c>
      <c r="G1441" s="42" t="inlineStr">
        <is>
          <t>1170</t>
        </is>
      </c>
      <c r="H1441" s="42" t="inlineStr">
        <is>
          <t>True</t>
        </is>
      </c>
      <c r="I1441" s="42" t="inlineStr">
        <is>
          <t>NOT_EVALUATED</t>
        </is>
      </c>
      <c r="J1441" s="42" t="inlineStr">
        <is>
          <t>NO_DIRECT_STANDARD_MATRIX_IN_RETRIEVED_SOURCE</t>
        </is>
      </c>
      <c r="K1441" s="42" t="str"/>
      <c r="L1441" s="42" t="str"/>
      <c r="M1441" s="42" t="str"/>
      <c r="N1441" s="42" t="str"/>
      <c r="O1441" s="42" t="inlineStr">
        <is>
          <t>現行公式資料でこの窓種のSAFE 30mil規格○/×を本Revisionでは直接取得できていない。推測しない。</t>
        </is>
      </c>
    </row>
    <row r="1442">
      <c r="A1442" s="42" t="inlineStr">
        <is>
          <t>SZ-SL-001441</t>
        </is>
      </c>
      <c r="B1442" s="42" t="inlineStr">
        <is>
          <t>WT-SL-TATE-SUBERI</t>
        </is>
      </c>
      <c r="C1442" s="42" t="inlineStr">
        <is>
          <t>縦すべり出し窓</t>
        </is>
      </c>
      <c r="D1442" s="42" t="inlineStr">
        <is>
          <t>SP-SL-TATE-OP-TF-OUT</t>
        </is>
      </c>
      <c r="E1442" s="42" t="inlineStr">
        <is>
          <t>16011</t>
        </is>
      </c>
      <c r="F1442" s="42" t="inlineStr">
        <is>
          <t>1640</t>
        </is>
      </c>
      <c r="G1442" s="42" t="inlineStr">
        <is>
          <t>1170</t>
        </is>
      </c>
      <c r="H1442" s="42" t="inlineStr">
        <is>
          <t>True</t>
        </is>
      </c>
      <c r="I1442" s="42" t="inlineStr">
        <is>
          <t>NOT_EVALUATED</t>
        </is>
      </c>
      <c r="J1442" s="42" t="inlineStr">
        <is>
          <t>NO_DIRECT_STANDARD_MATRIX_IN_RETRIEVED_SOURCE</t>
        </is>
      </c>
      <c r="K1442" s="42" t="str"/>
      <c r="L1442" s="42" t="str"/>
      <c r="M1442" s="42" t="str"/>
      <c r="N1442" s="42" t="str"/>
      <c r="O1442" s="42" t="inlineStr">
        <is>
          <t>現行公式資料でこの窓種のSAFE 30mil規格○/×を本Revisionでは直接取得できていない。推測しない。</t>
        </is>
      </c>
    </row>
    <row r="1443">
      <c r="A1443" s="42" t="inlineStr">
        <is>
          <t>SZ-SL-001442</t>
        </is>
      </c>
      <c r="B1443" s="42" t="inlineStr">
        <is>
          <t>WT-SL-TATE-SUBERI</t>
        </is>
      </c>
      <c r="C1443" s="42" t="inlineStr">
        <is>
          <t>縦すべり出し窓</t>
        </is>
      </c>
      <c r="D1443" s="42" t="inlineStr">
        <is>
          <t>SP-SL-TATE-OP-TF-OUT</t>
        </is>
      </c>
      <c r="E1443" s="42" t="inlineStr">
        <is>
          <t>16511</t>
        </is>
      </c>
      <c r="F1443" s="42" t="inlineStr">
        <is>
          <t>1690</t>
        </is>
      </c>
      <c r="G1443" s="42" t="inlineStr">
        <is>
          <t>1170</t>
        </is>
      </c>
      <c r="H1443" s="42" t="inlineStr">
        <is>
          <t>True</t>
        </is>
      </c>
      <c r="I1443" s="42" t="inlineStr">
        <is>
          <t>NOT_EVALUATED</t>
        </is>
      </c>
      <c r="J1443" s="42" t="inlineStr">
        <is>
          <t>NO_DIRECT_STANDARD_MATRIX_IN_RETRIEVED_SOURCE</t>
        </is>
      </c>
      <c r="K1443" s="42" t="str"/>
      <c r="L1443" s="42" t="str"/>
      <c r="M1443" s="42" t="str"/>
      <c r="N1443" s="42" t="str"/>
      <c r="O1443" s="42" t="inlineStr">
        <is>
          <t>現行公式資料でこの窓種のSAFE 30mil規格○/×を本Revisionでは直接取得できていない。推測しない。</t>
        </is>
      </c>
    </row>
    <row r="1444">
      <c r="A1444" s="42" t="inlineStr">
        <is>
          <t>SZ-SL-001443</t>
        </is>
      </c>
      <c r="B1444" s="42" t="inlineStr">
        <is>
          <t>WT-SL-TATE-SUBERI</t>
        </is>
      </c>
      <c r="C1444" s="42" t="inlineStr">
        <is>
          <t>縦すべり出し窓</t>
        </is>
      </c>
      <c r="D1444" s="42" t="inlineStr">
        <is>
          <t>SP-SL-TATE-OP-TF-OUT</t>
        </is>
      </c>
      <c r="E1444" s="42" t="inlineStr">
        <is>
          <t>11413</t>
        </is>
      </c>
      <c r="F1444" s="42" t="inlineStr">
        <is>
          <t>1185</t>
        </is>
      </c>
      <c r="G1444" s="42" t="inlineStr">
        <is>
          <t>1370</t>
        </is>
      </c>
      <c r="H1444" s="42" t="inlineStr">
        <is>
          <t>True</t>
        </is>
      </c>
      <c r="I1444" s="42" t="inlineStr">
        <is>
          <t>NOT_EVALUATED</t>
        </is>
      </c>
      <c r="J1444" s="42" t="inlineStr">
        <is>
          <t>NO_DIRECT_STANDARD_MATRIX_IN_RETRIEVED_SOURCE</t>
        </is>
      </c>
      <c r="K1444" s="42" t="str"/>
      <c r="L1444" s="42" t="str"/>
      <c r="M1444" s="42" t="str"/>
      <c r="N1444" s="42" t="str"/>
      <c r="O1444" s="42" t="inlineStr">
        <is>
          <t>現行公式資料でこの窓種のSAFE 30mil規格○/×を本Revisionでは直接取得できていない。推測しない。</t>
        </is>
      </c>
    </row>
    <row r="1445">
      <c r="A1445" s="42" t="inlineStr">
        <is>
          <t>SZ-SL-001444</t>
        </is>
      </c>
      <c r="B1445" s="42" t="inlineStr">
        <is>
          <t>WT-SL-TATE-SUBERI</t>
        </is>
      </c>
      <c r="C1445" s="42" t="inlineStr">
        <is>
          <t>縦すべり出し窓</t>
        </is>
      </c>
      <c r="D1445" s="42" t="inlineStr">
        <is>
          <t>SP-SL-TATE-OP-TF-OUT</t>
        </is>
      </c>
      <c r="E1445" s="42" t="inlineStr">
        <is>
          <t>11913</t>
        </is>
      </c>
      <c r="F1445" s="42" t="inlineStr">
        <is>
          <t>1235</t>
        </is>
      </c>
      <c r="G1445" s="42" t="inlineStr">
        <is>
          <t>1370</t>
        </is>
      </c>
      <c r="H1445" s="42" t="inlineStr">
        <is>
          <t>True</t>
        </is>
      </c>
      <c r="I1445" s="42" t="inlineStr">
        <is>
          <t>NOT_EVALUATED</t>
        </is>
      </c>
      <c r="J1445" s="42" t="inlineStr">
        <is>
          <t>NO_DIRECT_STANDARD_MATRIX_IN_RETRIEVED_SOURCE</t>
        </is>
      </c>
      <c r="K1445" s="42" t="str"/>
      <c r="L1445" s="42" t="str"/>
      <c r="M1445" s="42" t="str"/>
      <c r="N1445" s="42" t="str"/>
      <c r="O1445" s="42" t="inlineStr">
        <is>
          <t>現行公式資料でこの窓種のSAFE 30mil規格○/×を本Revisionでは直接取得できていない。推測しない。</t>
        </is>
      </c>
    </row>
    <row r="1446">
      <c r="A1446" s="42" t="inlineStr">
        <is>
          <t>SZ-SL-001445</t>
        </is>
      </c>
      <c r="B1446" s="42" t="inlineStr">
        <is>
          <t>WT-SL-TATE-SUBERI</t>
        </is>
      </c>
      <c r="C1446" s="42" t="inlineStr">
        <is>
          <t>縦すべり出し窓</t>
        </is>
      </c>
      <c r="D1446" s="42" t="inlineStr">
        <is>
          <t>SP-SL-TATE-OP-TF-OUT</t>
        </is>
      </c>
      <c r="E1446" s="42" t="inlineStr">
        <is>
          <t>16013</t>
        </is>
      </c>
      <c r="F1446" s="42" t="inlineStr">
        <is>
          <t>1640</t>
        </is>
      </c>
      <c r="G1446" s="42" t="inlineStr">
        <is>
          <t>1370</t>
        </is>
      </c>
      <c r="H1446" s="42" t="inlineStr">
        <is>
          <t>True</t>
        </is>
      </c>
      <c r="I1446" s="42" t="inlineStr">
        <is>
          <t>NOT_EVALUATED</t>
        </is>
      </c>
      <c r="J1446" s="42" t="inlineStr">
        <is>
          <t>NO_DIRECT_STANDARD_MATRIX_IN_RETRIEVED_SOURCE</t>
        </is>
      </c>
      <c r="K1446" s="42" t="str"/>
      <c r="L1446" s="42" t="str"/>
      <c r="M1446" s="42" t="str"/>
      <c r="N1446" s="42" t="str"/>
      <c r="O1446" s="42" t="inlineStr">
        <is>
          <t>現行公式資料でこの窓種のSAFE 30mil規格○/×を本Revisionでは直接取得できていない。推測しない。</t>
        </is>
      </c>
    </row>
    <row r="1447">
      <c r="A1447" s="42" t="inlineStr">
        <is>
          <t>SZ-SL-001446</t>
        </is>
      </c>
      <c r="B1447" s="42" t="inlineStr">
        <is>
          <t>WT-SL-TATE-SUBERI</t>
        </is>
      </c>
      <c r="C1447" s="42" t="inlineStr">
        <is>
          <t>縦すべり出し窓</t>
        </is>
      </c>
      <c r="D1447" s="42" t="inlineStr">
        <is>
          <t>SP-SL-TATE-OP-TF-OUT</t>
        </is>
      </c>
      <c r="E1447" s="42" t="inlineStr">
        <is>
          <t>16513</t>
        </is>
      </c>
      <c r="F1447" s="42" t="inlineStr">
        <is>
          <t>1690</t>
        </is>
      </c>
      <c r="G1447" s="42" t="inlineStr">
        <is>
          <t>1370</t>
        </is>
      </c>
      <c r="H1447" s="42" t="inlineStr">
        <is>
          <t>True</t>
        </is>
      </c>
      <c r="I1447" s="42" t="inlineStr">
        <is>
          <t>NOT_EVALUATED</t>
        </is>
      </c>
      <c r="J1447" s="42" t="inlineStr">
        <is>
          <t>NO_DIRECT_STANDARD_MATRIX_IN_RETRIEVED_SOURCE</t>
        </is>
      </c>
      <c r="K1447" s="42" t="str"/>
      <c r="L1447" s="42" t="str"/>
      <c r="M1447" s="42" t="str"/>
      <c r="N1447" s="42" t="str"/>
      <c r="O1447" s="42" t="inlineStr">
        <is>
          <t>現行公式資料でこの窓種のSAFE 30mil規格○/×を本Revisionでは直接取得できていない。推測しない。</t>
        </is>
      </c>
    </row>
    <row r="1448">
      <c r="A1448" s="42" t="inlineStr">
        <is>
          <t>SZ-SL-001447</t>
        </is>
      </c>
      <c r="B1448" s="42" t="inlineStr">
        <is>
          <t>WT-SL-TATE-SUBERI</t>
        </is>
      </c>
      <c r="C1448" s="42" t="inlineStr">
        <is>
          <t>縦すべり出し窓</t>
        </is>
      </c>
      <c r="D1448" s="42" t="inlineStr">
        <is>
          <t>SP-SL-TATE-OP-TFT-OUT</t>
        </is>
      </c>
      <c r="E1448" s="42" t="inlineStr">
        <is>
          <t>16009</t>
        </is>
      </c>
      <c r="F1448" s="42" t="inlineStr">
        <is>
          <t>1640</t>
        </is>
      </c>
      <c r="G1448" s="42" t="inlineStr">
        <is>
          <t>970</t>
        </is>
      </c>
      <c r="H1448" s="42" t="inlineStr">
        <is>
          <t>True</t>
        </is>
      </c>
      <c r="I1448" s="42" t="inlineStr">
        <is>
          <t>NOT_EVALUATED</t>
        </is>
      </c>
      <c r="J1448" s="42" t="inlineStr">
        <is>
          <t>NO_DIRECT_STANDARD_MATRIX_IN_RETRIEVED_SOURCE</t>
        </is>
      </c>
      <c r="K1448" s="42" t="str"/>
      <c r="L1448" s="42" t="str"/>
      <c r="M1448" s="42" t="str"/>
      <c r="N1448" s="42" t="str"/>
      <c r="O1448" s="42" t="inlineStr">
        <is>
          <t>現行公式資料でこの窓種のSAFE 30mil規格○/×を本Revisionでは直接取得できていない。推測しない。</t>
        </is>
      </c>
    </row>
    <row r="1449">
      <c r="A1449" s="42" t="inlineStr">
        <is>
          <t>SZ-SL-001448</t>
        </is>
      </c>
      <c r="B1449" s="42" t="inlineStr">
        <is>
          <t>WT-SL-TATE-SUBERI</t>
        </is>
      </c>
      <c r="C1449" s="42" t="inlineStr">
        <is>
          <t>縦すべり出し窓</t>
        </is>
      </c>
      <c r="D1449" s="42" t="inlineStr">
        <is>
          <t>SP-SL-TATE-OP-TFT-OUT</t>
        </is>
      </c>
      <c r="E1449" s="42" t="inlineStr">
        <is>
          <t>16509</t>
        </is>
      </c>
      <c r="F1449" s="42" t="inlineStr">
        <is>
          <t>1690</t>
        </is>
      </c>
      <c r="G1449" s="42" t="inlineStr">
        <is>
          <t>970</t>
        </is>
      </c>
      <c r="H1449" s="42" t="inlineStr">
        <is>
          <t>True</t>
        </is>
      </c>
      <c r="I1449" s="42" t="inlineStr">
        <is>
          <t>NOT_EVALUATED</t>
        </is>
      </c>
      <c r="J1449" s="42" t="inlineStr">
        <is>
          <t>NO_DIRECT_STANDARD_MATRIX_IN_RETRIEVED_SOURCE</t>
        </is>
      </c>
      <c r="K1449" s="42" t="str"/>
      <c r="L1449" s="42" t="str"/>
      <c r="M1449" s="42" t="str"/>
      <c r="N1449" s="42" t="str"/>
      <c r="O1449" s="42" t="inlineStr">
        <is>
          <t>現行公式資料でこの窓種のSAFE 30mil規格○/×を本Revisionでは直接取得できていない。推測しない。</t>
        </is>
      </c>
    </row>
    <row r="1450">
      <c r="A1450" s="42" t="inlineStr">
        <is>
          <t>SZ-SL-001449</t>
        </is>
      </c>
      <c r="B1450" s="42" t="inlineStr">
        <is>
          <t>WT-SL-TATE-SUBERI</t>
        </is>
      </c>
      <c r="C1450" s="42" t="inlineStr">
        <is>
          <t>縦すべり出し窓</t>
        </is>
      </c>
      <c r="D1450" s="42" t="inlineStr">
        <is>
          <t>SP-SL-TATE-OP-TFT-OUT</t>
        </is>
      </c>
      <c r="E1450" s="42" t="inlineStr">
        <is>
          <t>16011</t>
        </is>
      </c>
      <c r="F1450" s="42" t="inlineStr">
        <is>
          <t>1640</t>
        </is>
      </c>
      <c r="G1450" s="42" t="inlineStr">
        <is>
          <t>1170</t>
        </is>
      </c>
      <c r="H1450" s="42" t="inlineStr">
        <is>
          <t>True</t>
        </is>
      </c>
      <c r="I1450" s="42" t="inlineStr">
        <is>
          <t>NOT_EVALUATED</t>
        </is>
      </c>
      <c r="J1450" s="42" t="inlineStr">
        <is>
          <t>NO_DIRECT_STANDARD_MATRIX_IN_RETRIEVED_SOURCE</t>
        </is>
      </c>
      <c r="K1450" s="42" t="str"/>
      <c r="L1450" s="42" t="str"/>
      <c r="M1450" s="42" t="str"/>
      <c r="N1450" s="42" t="str"/>
      <c r="O1450" s="42" t="inlineStr">
        <is>
          <t>現行公式資料でこの窓種のSAFE 30mil規格○/×を本Revisionでは直接取得できていない。推測しない。</t>
        </is>
      </c>
    </row>
    <row r="1451">
      <c r="A1451" s="42" t="inlineStr">
        <is>
          <t>SZ-SL-001450</t>
        </is>
      </c>
      <c r="B1451" s="42" t="inlineStr">
        <is>
          <t>WT-SL-TATE-SUBERI</t>
        </is>
      </c>
      <c r="C1451" s="42" t="inlineStr">
        <is>
          <t>縦すべり出し窓</t>
        </is>
      </c>
      <c r="D1451" s="42" t="inlineStr">
        <is>
          <t>SP-SL-TATE-OP-TFT-OUT</t>
        </is>
      </c>
      <c r="E1451" s="42" t="inlineStr">
        <is>
          <t>16511</t>
        </is>
      </c>
      <c r="F1451" s="42" t="inlineStr">
        <is>
          <t>1690</t>
        </is>
      </c>
      <c r="G1451" s="42" t="inlineStr">
        <is>
          <t>1170</t>
        </is>
      </c>
      <c r="H1451" s="42" t="inlineStr">
        <is>
          <t>True</t>
        </is>
      </c>
      <c r="I1451" s="42" t="inlineStr">
        <is>
          <t>NOT_EVALUATED</t>
        </is>
      </c>
      <c r="J1451" s="42" t="inlineStr">
        <is>
          <t>NO_DIRECT_STANDARD_MATRIX_IN_RETRIEVED_SOURCE</t>
        </is>
      </c>
      <c r="K1451" s="42" t="str"/>
      <c r="L1451" s="42" t="str"/>
      <c r="M1451" s="42" t="str"/>
      <c r="N1451" s="42" t="str"/>
      <c r="O1451" s="42" t="inlineStr">
        <is>
          <t>現行公式資料でこの窓種のSAFE 30mil規格○/×を本Revisionでは直接取得できていない。推測しない。</t>
        </is>
      </c>
    </row>
    <row r="1452">
      <c r="A1452" s="42" t="inlineStr">
        <is>
          <t>SZ-SL-001451</t>
        </is>
      </c>
      <c r="B1452" s="42" t="inlineStr">
        <is>
          <t>WT-SL-TATE-SUBERI</t>
        </is>
      </c>
      <c r="C1452" s="42" t="inlineStr">
        <is>
          <t>縦すべり出し窓</t>
        </is>
      </c>
      <c r="D1452" s="42" t="inlineStr">
        <is>
          <t>SP-SL-TATE-OP-TFT-OUT</t>
        </is>
      </c>
      <c r="E1452" s="42" t="inlineStr">
        <is>
          <t>16013</t>
        </is>
      </c>
      <c r="F1452" s="42" t="inlineStr">
        <is>
          <t>1640</t>
        </is>
      </c>
      <c r="G1452" s="42" t="inlineStr">
        <is>
          <t>1370</t>
        </is>
      </c>
      <c r="H1452" s="42" t="inlineStr">
        <is>
          <t>True</t>
        </is>
      </c>
      <c r="I1452" s="42" t="inlineStr">
        <is>
          <t>NOT_EVALUATED</t>
        </is>
      </c>
      <c r="J1452" s="42" t="inlineStr">
        <is>
          <t>NO_DIRECT_STANDARD_MATRIX_IN_RETRIEVED_SOURCE</t>
        </is>
      </c>
      <c r="K1452" s="42" t="str"/>
      <c r="L1452" s="42" t="str"/>
      <c r="M1452" s="42" t="str"/>
      <c r="N1452" s="42" t="str"/>
      <c r="O1452" s="42" t="inlineStr">
        <is>
          <t>現行公式資料でこの窓種のSAFE 30mil規格○/×を本Revisionでは直接取得できていない。推測しない。</t>
        </is>
      </c>
    </row>
    <row r="1453">
      <c r="A1453" s="42" t="inlineStr">
        <is>
          <t>SZ-SL-001452</t>
        </is>
      </c>
      <c r="B1453" s="42" t="inlineStr">
        <is>
          <t>WT-SL-TATE-SUBERI</t>
        </is>
      </c>
      <c r="C1453" s="42" t="inlineStr">
        <is>
          <t>縦すべり出し窓</t>
        </is>
      </c>
      <c r="D1453" s="42" t="inlineStr">
        <is>
          <t>SP-SL-TATE-OP-TFT-OUT</t>
        </is>
      </c>
      <c r="E1453" s="42" t="inlineStr">
        <is>
          <t>16513</t>
        </is>
      </c>
      <c r="F1453" s="42" t="inlineStr">
        <is>
          <t>1690</t>
        </is>
      </c>
      <c r="G1453" s="42" t="inlineStr">
        <is>
          <t>1370</t>
        </is>
      </c>
      <c r="H1453" s="42" t="inlineStr">
        <is>
          <t>True</t>
        </is>
      </c>
      <c r="I1453" s="42" t="inlineStr">
        <is>
          <t>NOT_EVALUATED</t>
        </is>
      </c>
      <c r="J1453" s="42" t="inlineStr">
        <is>
          <t>NO_DIRECT_STANDARD_MATRIX_IN_RETRIEVED_SOURCE</t>
        </is>
      </c>
      <c r="K1453" s="42" t="str"/>
      <c r="L1453" s="42" t="str"/>
      <c r="M1453" s="42" t="str"/>
      <c r="N1453" s="42" t="str"/>
      <c r="O1453" s="42" t="inlineStr">
        <is>
          <t>現行公式資料でこの窓種のSAFE 30mil規格○/×を本Revisionでは直接取得できていない。推測しない。</t>
        </is>
      </c>
    </row>
    <row r="1454">
      <c r="A1454" s="42" t="inlineStr">
        <is>
          <t>SZ-SL-001453</t>
        </is>
      </c>
      <c r="B1454" s="42" t="inlineStr">
        <is>
          <t>WT-SL-TATE-SUBERI</t>
        </is>
      </c>
      <c r="C1454" s="42" t="inlineStr">
        <is>
          <t>縦すべり出し窓</t>
        </is>
      </c>
      <c r="D1454" s="42" t="inlineStr">
        <is>
          <t>SP-SL-TATE-OP-TF-IN</t>
        </is>
      </c>
      <c r="E1454" s="42" t="inlineStr">
        <is>
          <t>11409</t>
        </is>
      </c>
      <c r="F1454" s="42" t="inlineStr">
        <is>
          <t>1185</t>
        </is>
      </c>
      <c r="G1454" s="42" t="inlineStr">
        <is>
          <t>970</t>
        </is>
      </c>
      <c r="H1454" s="42" t="inlineStr">
        <is>
          <t>True</t>
        </is>
      </c>
      <c r="I1454" s="42" t="inlineStr">
        <is>
          <t>NOT_EVALUATED</t>
        </is>
      </c>
      <c r="J1454" s="42" t="inlineStr">
        <is>
          <t>NO_DIRECT_STANDARD_MATRIX_IN_RETRIEVED_SOURCE</t>
        </is>
      </c>
      <c r="K1454" s="42" t="str"/>
      <c r="L1454" s="42" t="str"/>
      <c r="M1454" s="42" t="str"/>
      <c r="N1454" s="42" t="str"/>
      <c r="O1454" s="42" t="inlineStr">
        <is>
          <t>現行公式資料でこの窓種のSAFE 30mil規格○/×を本Revisionでは直接取得できていない。推測しない。</t>
        </is>
      </c>
    </row>
    <row r="1455">
      <c r="A1455" s="42" t="inlineStr">
        <is>
          <t>SZ-SL-001454</t>
        </is>
      </c>
      <c r="B1455" s="42" t="inlineStr">
        <is>
          <t>WT-SL-TATE-SUBERI</t>
        </is>
      </c>
      <c r="C1455" s="42" t="inlineStr">
        <is>
          <t>縦すべり出し窓</t>
        </is>
      </c>
      <c r="D1455" s="42" t="inlineStr">
        <is>
          <t>SP-SL-TATE-OP-TF-IN</t>
        </is>
      </c>
      <c r="E1455" s="42" t="inlineStr">
        <is>
          <t>11909</t>
        </is>
      </c>
      <c r="F1455" s="42" t="inlineStr">
        <is>
          <t>1235</t>
        </is>
      </c>
      <c r="G1455" s="42" t="inlineStr">
        <is>
          <t>970</t>
        </is>
      </c>
      <c r="H1455" s="42" t="inlineStr">
        <is>
          <t>True</t>
        </is>
      </c>
      <c r="I1455" s="42" t="inlineStr">
        <is>
          <t>NOT_EVALUATED</t>
        </is>
      </c>
      <c r="J1455" s="42" t="inlineStr">
        <is>
          <t>NO_DIRECT_STANDARD_MATRIX_IN_RETRIEVED_SOURCE</t>
        </is>
      </c>
      <c r="K1455" s="42" t="str"/>
      <c r="L1455" s="42" t="str"/>
      <c r="M1455" s="42" t="str"/>
      <c r="N1455" s="42" t="str"/>
      <c r="O1455" s="42" t="inlineStr">
        <is>
          <t>現行公式資料でこの窓種のSAFE 30mil規格○/×を本Revisionでは直接取得できていない。推測しない。</t>
        </is>
      </c>
    </row>
    <row r="1456">
      <c r="A1456" s="42" t="inlineStr">
        <is>
          <t>SZ-SL-001455</t>
        </is>
      </c>
      <c r="B1456" s="42" t="inlineStr">
        <is>
          <t>WT-SL-TATE-SUBERI</t>
        </is>
      </c>
      <c r="C1456" s="42" t="inlineStr">
        <is>
          <t>縦すべり出し窓</t>
        </is>
      </c>
      <c r="D1456" s="42" t="inlineStr">
        <is>
          <t>SP-SL-TATE-OP-TF-IN</t>
        </is>
      </c>
      <c r="E1456" s="42" t="inlineStr">
        <is>
          <t>16009</t>
        </is>
      </c>
      <c r="F1456" s="42" t="inlineStr">
        <is>
          <t>1640</t>
        </is>
      </c>
      <c r="G1456" s="42" t="inlineStr">
        <is>
          <t>970</t>
        </is>
      </c>
      <c r="H1456" s="42" t="inlineStr">
        <is>
          <t>True</t>
        </is>
      </c>
      <c r="I1456" s="42" t="inlineStr">
        <is>
          <t>NOT_EVALUATED</t>
        </is>
      </c>
      <c r="J1456" s="42" t="inlineStr">
        <is>
          <t>NO_DIRECT_STANDARD_MATRIX_IN_RETRIEVED_SOURCE</t>
        </is>
      </c>
      <c r="K1456" s="42" t="str"/>
      <c r="L1456" s="42" t="str"/>
      <c r="M1456" s="42" t="str"/>
      <c r="N1456" s="42" t="str"/>
      <c r="O1456" s="42" t="inlineStr">
        <is>
          <t>現行公式資料でこの窓種のSAFE 30mil規格○/×を本Revisionでは直接取得できていない。推測しない。</t>
        </is>
      </c>
    </row>
    <row r="1457">
      <c r="A1457" s="42" t="inlineStr">
        <is>
          <t>SZ-SL-001456</t>
        </is>
      </c>
      <c r="B1457" s="42" t="inlineStr">
        <is>
          <t>WT-SL-TATE-SUBERI</t>
        </is>
      </c>
      <c r="C1457" s="42" t="inlineStr">
        <is>
          <t>縦すべり出し窓</t>
        </is>
      </c>
      <c r="D1457" s="42" t="inlineStr">
        <is>
          <t>SP-SL-TATE-OP-TF-IN</t>
        </is>
      </c>
      <c r="E1457" s="42" t="inlineStr">
        <is>
          <t>16509</t>
        </is>
      </c>
      <c r="F1457" s="42" t="inlineStr">
        <is>
          <t>1690</t>
        </is>
      </c>
      <c r="G1457" s="42" t="inlineStr">
        <is>
          <t>970</t>
        </is>
      </c>
      <c r="H1457" s="42" t="inlineStr">
        <is>
          <t>True</t>
        </is>
      </c>
      <c r="I1457" s="42" t="inlineStr">
        <is>
          <t>NOT_EVALUATED</t>
        </is>
      </c>
      <c r="J1457" s="42" t="inlineStr">
        <is>
          <t>NO_DIRECT_STANDARD_MATRIX_IN_RETRIEVED_SOURCE</t>
        </is>
      </c>
      <c r="K1457" s="42" t="str"/>
      <c r="L1457" s="42" t="str"/>
      <c r="M1457" s="42" t="str"/>
      <c r="N1457" s="42" t="str"/>
      <c r="O1457" s="42" t="inlineStr">
        <is>
          <t>現行公式資料でこの窓種のSAFE 30mil規格○/×を本Revisionでは直接取得できていない。推測しない。</t>
        </is>
      </c>
    </row>
    <row r="1458">
      <c r="A1458" s="42" t="inlineStr">
        <is>
          <t>SZ-SL-001457</t>
        </is>
      </c>
      <c r="B1458" s="42" t="inlineStr">
        <is>
          <t>WT-SL-TATE-SUBERI</t>
        </is>
      </c>
      <c r="C1458" s="42" t="inlineStr">
        <is>
          <t>縦すべり出し窓</t>
        </is>
      </c>
      <c r="D1458" s="42" t="inlineStr">
        <is>
          <t>SP-SL-TATE-OP-TF-IN</t>
        </is>
      </c>
      <c r="E1458" s="42" t="inlineStr">
        <is>
          <t>11411</t>
        </is>
      </c>
      <c r="F1458" s="42" t="inlineStr">
        <is>
          <t>1185</t>
        </is>
      </c>
      <c r="G1458" s="42" t="inlineStr">
        <is>
          <t>1170</t>
        </is>
      </c>
      <c r="H1458" s="42" t="inlineStr">
        <is>
          <t>True</t>
        </is>
      </c>
      <c r="I1458" s="42" t="inlineStr">
        <is>
          <t>NOT_EVALUATED</t>
        </is>
      </c>
      <c r="J1458" s="42" t="inlineStr">
        <is>
          <t>NO_DIRECT_STANDARD_MATRIX_IN_RETRIEVED_SOURCE</t>
        </is>
      </c>
      <c r="K1458" s="42" t="str"/>
      <c r="L1458" s="42" t="str"/>
      <c r="M1458" s="42" t="str"/>
      <c r="N1458" s="42" t="str"/>
      <c r="O1458" s="42" t="inlineStr">
        <is>
          <t>現行公式資料でこの窓種のSAFE 30mil規格○/×を本Revisionでは直接取得できていない。推測しない。</t>
        </is>
      </c>
    </row>
    <row r="1459">
      <c r="A1459" s="42" t="inlineStr">
        <is>
          <t>SZ-SL-001458</t>
        </is>
      </c>
      <c r="B1459" s="42" t="inlineStr">
        <is>
          <t>WT-SL-TATE-SUBERI</t>
        </is>
      </c>
      <c r="C1459" s="42" t="inlineStr">
        <is>
          <t>縦すべり出し窓</t>
        </is>
      </c>
      <c r="D1459" s="42" t="inlineStr">
        <is>
          <t>SP-SL-TATE-OP-TF-IN</t>
        </is>
      </c>
      <c r="E1459" s="42" t="inlineStr">
        <is>
          <t>11911</t>
        </is>
      </c>
      <c r="F1459" s="42" t="inlineStr">
        <is>
          <t>1235</t>
        </is>
      </c>
      <c r="G1459" s="42" t="inlineStr">
        <is>
          <t>1170</t>
        </is>
      </c>
      <c r="H1459" s="42" t="inlineStr">
        <is>
          <t>True</t>
        </is>
      </c>
      <c r="I1459" s="42" t="inlineStr">
        <is>
          <t>NOT_EVALUATED</t>
        </is>
      </c>
      <c r="J1459" s="42" t="inlineStr">
        <is>
          <t>NO_DIRECT_STANDARD_MATRIX_IN_RETRIEVED_SOURCE</t>
        </is>
      </c>
      <c r="K1459" s="42" t="str"/>
      <c r="L1459" s="42" t="str"/>
      <c r="M1459" s="42" t="str"/>
      <c r="N1459" s="42" t="str"/>
      <c r="O1459" s="42" t="inlineStr">
        <is>
          <t>現行公式資料でこの窓種のSAFE 30mil規格○/×を本Revisionでは直接取得できていない。推測しない。</t>
        </is>
      </c>
    </row>
    <row r="1460">
      <c r="A1460" s="42" t="inlineStr">
        <is>
          <t>SZ-SL-001459</t>
        </is>
      </c>
      <c r="B1460" s="42" t="inlineStr">
        <is>
          <t>WT-SL-TATE-SUBERI</t>
        </is>
      </c>
      <c r="C1460" s="42" t="inlineStr">
        <is>
          <t>縦すべり出し窓</t>
        </is>
      </c>
      <c r="D1460" s="42" t="inlineStr">
        <is>
          <t>SP-SL-TATE-OP-TF-IN</t>
        </is>
      </c>
      <c r="E1460" s="42" t="inlineStr">
        <is>
          <t>16011</t>
        </is>
      </c>
      <c r="F1460" s="42" t="inlineStr">
        <is>
          <t>1640</t>
        </is>
      </c>
      <c r="G1460" s="42" t="inlineStr">
        <is>
          <t>1170</t>
        </is>
      </c>
      <c r="H1460" s="42" t="inlineStr">
        <is>
          <t>True</t>
        </is>
      </c>
      <c r="I1460" s="42" t="inlineStr">
        <is>
          <t>NOT_EVALUATED</t>
        </is>
      </c>
      <c r="J1460" s="42" t="inlineStr">
        <is>
          <t>NO_DIRECT_STANDARD_MATRIX_IN_RETRIEVED_SOURCE</t>
        </is>
      </c>
      <c r="K1460" s="42" t="str"/>
      <c r="L1460" s="42" t="str"/>
      <c r="M1460" s="42" t="str"/>
      <c r="N1460" s="42" t="str"/>
      <c r="O1460" s="42" t="inlineStr">
        <is>
          <t>現行公式資料でこの窓種のSAFE 30mil規格○/×を本Revisionでは直接取得できていない。推測しない。</t>
        </is>
      </c>
    </row>
    <row r="1461">
      <c r="A1461" s="42" t="inlineStr">
        <is>
          <t>SZ-SL-001460</t>
        </is>
      </c>
      <c r="B1461" s="42" t="inlineStr">
        <is>
          <t>WT-SL-TATE-SUBERI</t>
        </is>
      </c>
      <c r="C1461" s="42" t="inlineStr">
        <is>
          <t>縦すべり出し窓</t>
        </is>
      </c>
      <c r="D1461" s="42" t="inlineStr">
        <is>
          <t>SP-SL-TATE-OP-TF-IN</t>
        </is>
      </c>
      <c r="E1461" s="42" t="inlineStr">
        <is>
          <t>16511</t>
        </is>
      </c>
      <c r="F1461" s="42" t="inlineStr">
        <is>
          <t>1690</t>
        </is>
      </c>
      <c r="G1461" s="42" t="inlineStr">
        <is>
          <t>1170</t>
        </is>
      </c>
      <c r="H1461" s="42" t="inlineStr">
        <is>
          <t>True</t>
        </is>
      </c>
      <c r="I1461" s="42" t="inlineStr">
        <is>
          <t>NOT_EVALUATED</t>
        </is>
      </c>
      <c r="J1461" s="42" t="inlineStr">
        <is>
          <t>NO_DIRECT_STANDARD_MATRIX_IN_RETRIEVED_SOURCE</t>
        </is>
      </c>
      <c r="K1461" s="42" t="str"/>
      <c r="L1461" s="42" t="str"/>
      <c r="M1461" s="42" t="str"/>
      <c r="N1461" s="42" t="str"/>
      <c r="O1461" s="42" t="inlineStr">
        <is>
          <t>現行公式資料でこの窓種のSAFE 30mil規格○/×を本Revisionでは直接取得できていない。推測しない。</t>
        </is>
      </c>
    </row>
    <row r="1462">
      <c r="A1462" s="42" t="inlineStr">
        <is>
          <t>SZ-SL-001461</t>
        </is>
      </c>
      <c r="B1462" s="42" t="inlineStr">
        <is>
          <t>WT-SL-TATE-SUBERI</t>
        </is>
      </c>
      <c r="C1462" s="42" t="inlineStr">
        <is>
          <t>縦すべり出し窓</t>
        </is>
      </c>
      <c r="D1462" s="42" t="inlineStr">
        <is>
          <t>SP-SL-TATE-OP-TF-IN</t>
        </is>
      </c>
      <c r="E1462" s="42" t="inlineStr">
        <is>
          <t>11413</t>
        </is>
      </c>
      <c r="F1462" s="42" t="inlineStr">
        <is>
          <t>1185</t>
        </is>
      </c>
      <c r="G1462" s="42" t="inlineStr">
        <is>
          <t>1370</t>
        </is>
      </c>
      <c r="H1462" s="42" t="inlineStr">
        <is>
          <t>True</t>
        </is>
      </c>
      <c r="I1462" s="42" t="inlineStr">
        <is>
          <t>NOT_EVALUATED</t>
        </is>
      </c>
      <c r="J1462" s="42" t="inlineStr">
        <is>
          <t>NO_DIRECT_STANDARD_MATRIX_IN_RETRIEVED_SOURCE</t>
        </is>
      </c>
      <c r="K1462" s="42" t="str"/>
      <c r="L1462" s="42" t="str"/>
      <c r="M1462" s="42" t="str"/>
      <c r="N1462" s="42" t="str"/>
      <c r="O1462" s="42" t="inlineStr">
        <is>
          <t>現行公式資料でこの窓種のSAFE 30mil規格○/×を本Revisionでは直接取得できていない。推測しない。</t>
        </is>
      </c>
    </row>
    <row r="1463">
      <c r="A1463" s="42" t="inlineStr">
        <is>
          <t>SZ-SL-001462</t>
        </is>
      </c>
      <c r="B1463" s="42" t="inlineStr">
        <is>
          <t>WT-SL-TATE-SUBERI</t>
        </is>
      </c>
      <c r="C1463" s="42" t="inlineStr">
        <is>
          <t>縦すべり出し窓</t>
        </is>
      </c>
      <c r="D1463" s="42" t="inlineStr">
        <is>
          <t>SP-SL-TATE-OP-TF-IN</t>
        </is>
      </c>
      <c r="E1463" s="42" t="inlineStr">
        <is>
          <t>11913</t>
        </is>
      </c>
      <c r="F1463" s="42" t="inlineStr">
        <is>
          <t>1235</t>
        </is>
      </c>
      <c r="G1463" s="42" t="inlineStr">
        <is>
          <t>1370</t>
        </is>
      </c>
      <c r="H1463" s="42" t="inlineStr">
        <is>
          <t>True</t>
        </is>
      </c>
      <c r="I1463" s="42" t="inlineStr">
        <is>
          <t>NOT_EVALUATED</t>
        </is>
      </c>
      <c r="J1463" s="42" t="inlineStr">
        <is>
          <t>NO_DIRECT_STANDARD_MATRIX_IN_RETRIEVED_SOURCE</t>
        </is>
      </c>
      <c r="K1463" s="42" t="str"/>
      <c r="L1463" s="42" t="str"/>
      <c r="M1463" s="42" t="str"/>
      <c r="N1463" s="42" t="str"/>
      <c r="O1463" s="42" t="inlineStr">
        <is>
          <t>現行公式資料でこの窓種のSAFE 30mil規格○/×を本Revisionでは直接取得できていない。推測しない。</t>
        </is>
      </c>
    </row>
    <row r="1464">
      <c r="A1464" s="42" t="inlineStr">
        <is>
          <t>SZ-SL-001463</t>
        </is>
      </c>
      <c r="B1464" s="42" t="inlineStr">
        <is>
          <t>WT-SL-TATE-SUBERI</t>
        </is>
      </c>
      <c r="C1464" s="42" t="inlineStr">
        <is>
          <t>縦すべり出し窓</t>
        </is>
      </c>
      <c r="D1464" s="42" t="inlineStr">
        <is>
          <t>SP-SL-TATE-OP-TF-IN</t>
        </is>
      </c>
      <c r="E1464" s="42" t="inlineStr">
        <is>
          <t>16013</t>
        </is>
      </c>
      <c r="F1464" s="42" t="inlineStr">
        <is>
          <t>1640</t>
        </is>
      </c>
      <c r="G1464" s="42" t="inlineStr">
        <is>
          <t>1370</t>
        </is>
      </c>
      <c r="H1464" s="42" t="inlineStr">
        <is>
          <t>True</t>
        </is>
      </c>
      <c r="I1464" s="42" t="inlineStr">
        <is>
          <t>NOT_EVALUATED</t>
        </is>
      </c>
      <c r="J1464" s="42" t="inlineStr">
        <is>
          <t>NO_DIRECT_STANDARD_MATRIX_IN_RETRIEVED_SOURCE</t>
        </is>
      </c>
      <c r="K1464" s="42" t="str"/>
      <c r="L1464" s="42" t="str"/>
      <c r="M1464" s="42" t="str"/>
      <c r="N1464" s="42" t="str"/>
      <c r="O1464" s="42" t="inlineStr">
        <is>
          <t>現行公式資料でこの窓種のSAFE 30mil規格○/×を本Revisionでは直接取得できていない。推測しない。</t>
        </is>
      </c>
    </row>
    <row r="1465">
      <c r="A1465" s="42" t="inlineStr">
        <is>
          <t>SZ-SL-001464</t>
        </is>
      </c>
      <c r="B1465" s="42" t="inlineStr">
        <is>
          <t>WT-SL-TATE-SUBERI</t>
        </is>
      </c>
      <c r="C1465" s="42" t="inlineStr">
        <is>
          <t>縦すべり出し窓</t>
        </is>
      </c>
      <c r="D1465" s="42" t="inlineStr">
        <is>
          <t>SP-SL-TATE-OP-TF-IN</t>
        </is>
      </c>
      <c r="E1465" s="42" t="inlineStr">
        <is>
          <t>16513</t>
        </is>
      </c>
      <c r="F1465" s="42" t="inlineStr">
        <is>
          <t>1690</t>
        </is>
      </c>
      <c r="G1465" s="42" t="inlineStr">
        <is>
          <t>1370</t>
        </is>
      </c>
      <c r="H1465" s="42" t="inlineStr">
        <is>
          <t>True</t>
        </is>
      </c>
      <c r="I1465" s="42" t="inlineStr">
        <is>
          <t>NOT_EVALUATED</t>
        </is>
      </c>
      <c r="J1465" s="42" t="inlineStr">
        <is>
          <t>NO_DIRECT_STANDARD_MATRIX_IN_RETRIEVED_SOURCE</t>
        </is>
      </c>
      <c r="K1465" s="42" t="str"/>
      <c r="L1465" s="42" t="str"/>
      <c r="M1465" s="42" t="str"/>
      <c r="N1465" s="42" t="str"/>
      <c r="O1465" s="42" t="inlineStr">
        <is>
          <t>現行公式資料でこの窓種のSAFE 30mil規格○/×を本Revisionでは直接取得できていない。推測しない。</t>
        </is>
      </c>
    </row>
    <row r="1466">
      <c r="A1466" s="42" t="inlineStr">
        <is>
          <t>SZ-SL-001465</t>
        </is>
      </c>
      <c r="B1466" s="42" t="inlineStr">
        <is>
          <t>WT-SL-TATE-SUBERI</t>
        </is>
      </c>
      <c r="C1466" s="42" t="inlineStr">
        <is>
          <t>縦すべり出し窓</t>
        </is>
      </c>
      <c r="D1466" s="42" t="inlineStr">
        <is>
          <t>SP-SL-TATE-OP-TFT-IN</t>
        </is>
      </c>
      <c r="E1466" s="42" t="inlineStr">
        <is>
          <t>16009</t>
        </is>
      </c>
      <c r="F1466" s="42" t="inlineStr">
        <is>
          <t>1640</t>
        </is>
      </c>
      <c r="G1466" s="42" t="inlineStr">
        <is>
          <t>970</t>
        </is>
      </c>
      <c r="H1466" s="42" t="inlineStr">
        <is>
          <t>True</t>
        </is>
      </c>
      <c r="I1466" s="42" t="inlineStr">
        <is>
          <t>NOT_EVALUATED</t>
        </is>
      </c>
      <c r="J1466" s="42" t="inlineStr">
        <is>
          <t>NO_DIRECT_STANDARD_MATRIX_IN_RETRIEVED_SOURCE</t>
        </is>
      </c>
      <c r="K1466" s="42" t="str"/>
      <c r="L1466" s="42" t="str"/>
      <c r="M1466" s="42" t="str"/>
      <c r="N1466" s="42" t="str"/>
      <c r="O1466" s="42" t="inlineStr">
        <is>
          <t>現行公式資料でこの窓種のSAFE 30mil規格○/×を本Revisionでは直接取得できていない。推測しない。</t>
        </is>
      </c>
    </row>
    <row r="1467">
      <c r="A1467" s="42" t="inlineStr">
        <is>
          <t>SZ-SL-001466</t>
        </is>
      </c>
      <c r="B1467" s="42" t="inlineStr">
        <is>
          <t>WT-SL-TATE-SUBERI</t>
        </is>
      </c>
      <c r="C1467" s="42" t="inlineStr">
        <is>
          <t>縦すべり出し窓</t>
        </is>
      </c>
      <c r="D1467" s="42" t="inlineStr">
        <is>
          <t>SP-SL-TATE-OP-TFT-IN</t>
        </is>
      </c>
      <c r="E1467" s="42" t="inlineStr">
        <is>
          <t>16509</t>
        </is>
      </c>
      <c r="F1467" s="42" t="inlineStr">
        <is>
          <t>1690</t>
        </is>
      </c>
      <c r="G1467" s="42" t="inlineStr">
        <is>
          <t>970</t>
        </is>
      </c>
      <c r="H1467" s="42" t="inlineStr">
        <is>
          <t>True</t>
        </is>
      </c>
      <c r="I1467" s="42" t="inlineStr">
        <is>
          <t>NOT_EVALUATED</t>
        </is>
      </c>
      <c r="J1467" s="42" t="inlineStr">
        <is>
          <t>NO_DIRECT_STANDARD_MATRIX_IN_RETRIEVED_SOURCE</t>
        </is>
      </c>
      <c r="K1467" s="42" t="str"/>
      <c r="L1467" s="42" t="str"/>
      <c r="M1467" s="42" t="str"/>
      <c r="N1467" s="42" t="str"/>
      <c r="O1467" s="42" t="inlineStr">
        <is>
          <t>現行公式資料でこの窓種のSAFE 30mil規格○/×を本Revisionでは直接取得できていない。推測しない。</t>
        </is>
      </c>
    </row>
    <row r="1468">
      <c r="A1468" s="42" t="inlineStr">
        <is>
          <t>SZ-SL-001467</t>
        </is>
      </c>
      <c r="B1468" s="42" t="inlineStr">
        <is>
          <t>WT-SL-TATE-SUBERI</t>
        </is>
      </c>
      <c r="C1468" s="42" t="inlineStr">
        <is>
          <t>縦すべり出し窓</t>
        </is>
      </c>
      <c r="D1468" s="42" t="inlineStr">
        <is>
          <t>SP-SL-TATE-OP-TFT-IN</t>
        </is>
      </c>
      <c r="E1468" s="42" t="inlineStr">
        <is>
          <t>16011</t>
        </is>
      </c>
      <c r="F1468" s="42" t="inlineStr">
        <is>
          <t>1640</t>
        </is>
      </c>
      <c r="G1468" s="42" t="inlineStr">
        <is>
          <t>1170</t>
        </is>
      </c>
      <c r="H1468" s="42" t="inlineStr">
        <is>
          <t>True</t>
        </is>
      </c>
      <c r="I1468" s="42" t="inlineStr">
        <is>
          <t>NOT_EVALUATED</t>
        </is>
      </c>
      <c r="J1468" s="42" t="inlineStr">
        <is>
          <t>NO_DIRECT_STANDARD_MATRIX_IN_RETRIEVED_SOURCE</t>
        </is>
      </c>
      <c r="K1468" s="42" t="str"/>
      <c r="L1468" s="42" t="str"/>
      <c r="M1468" s="42" t="str"/>
      <c r="N1468" s="42" t="str"/>
      <c r="O1468" s="42" t="inlineStr">
        <is>
          <t>現行公式資料でこの窓種のSAFE 30mil規格○/×を本Revisionでは直接取得できていない。推測しない。</t>
        </is>
      </c>
    </row>
    <row r="1469">
      <c r="A1469" s="42" t="inlineStr">
        <is>
          <t>SZ-SL-001468</t>
        </is>
      </c>
      <c r="B1469" s="42" t="inlineStr">
        <is>
          <t>WT-SL-TATE-SUBERI</t>
        </is>
      </c>
      <c r="C1469" s="42" t="inlineStr">
        <is>
          <t>縦すべり出し窓</t>
        </is>
      </c>
      <c r="D1469" s="42" t="inlineStr">
        <is>
          <t>SP-SL-TATE-OP-TFT-IN</t>
        </is>
      </c>
      <c r="E1469" s="42" t="inlineStr">
        <is>
          <t>16511</t>
        </is>
      </c>
      <c r="F1469" s="42" t="inlineStr">
        <is>
          <t>1690</t>
        </is>
      </c>
      <c r="G1469" s="42" t="inlineStr">
        <is>
          <t>1170</t>
        </is>
      </c>
      <c r="H1469" s="42" t="inlineStr">
        <is>
          <t>True</t>
        </is>
      </c>
      <c r="I1469" s="42" t="inlineStr">
        <is>
          <t>NOT_EVALUATED</t>
        </is>
      </c>
      <c r="J1469" s="42" t="inlineStr">
        <is>
          <t>NO_DIRECT_STANDARD_MATRIX_IN_RETRIEVED_SOURCE</t>
        </is>
      </c>
      <c r="K1469" s="42" t="str"/>
      <c r="L1469" s="42" t="str"/>
      <c r="M1469" s="42" t="str"/>
      <c r="N1469" s="42" t="str"/>
      <c r="O1469" s="42" t="inlineStr">
        <is>
          <t>現行公式資料でこの窓種のSAFE 30mil規格○/×を本Revisionでは直接取得できていない。推測しない。</t>
        </is>
      </c>
    </row>
    <row r="1470">
      <c r="A1470" s="42" t="inlineStr">
        <is>
          <t>SZ-SL-001469</t>
        </is>
      </c>
      <c r="B1470" s="42" t="inlineStr">
        <is>
          <t>WT-SL-TATE-SUBERI</t>
        </is>
      </c>
      <c r="C1470" s="42" t="inlineStr">
        <is>
          <t>縦すべり出し窓</t>
        </is>
      </c>
      <c r="D1470" s="42" t="inlineStr">
        <is>
          <t>SP-SL-TATE-OP-TFT-IN</t>
        </is>
      </c>
      <c r="E1470" s="42" t="inlineStr">
        <is>
          <t>16013</t>
        </is>
      </c>
      <c r="F1470" s="42" t="inlineStr">
        <is>
          <t>1640</t>
        </is>
      </c>
      <c r="G1470" s="42" t="inlineStr">
        <is>
          <t>1370</t>
        </is>
      </c>
      <c r="H1470" s="42" t="inlineStr">
        <is>
          <t>True</t>
        </is>
      </c>
      <c r="I1470" s="42" t="inlineStr">
        <is>
          <t>NOT_EVALUATED</t>
        </is>
      </c>
      <c r="J1470" s="42" t="inlineStr">
        <is>
          <t>NO_DIRECT_STANDARD_MATRIX_IN_RETRIEVED_SOURCE</t>
        </is>
      </c>
      <c r="K1470" s="42" t="str"/>
      <c r="L1470" s="42" t="str"/>
      <c r="M1470" s="42" t="str"/>
      <c r="N1470" s="42" t="str"/>
      <c r="O1470" s="42" t="inlineStr">
        <is>
          <t>現行公式資料でこの窓種のSAFE 30mil規格○/×を本Revisionでは直接取得できていない。推測しない。</t>
        </is>
      </c>
    </row>
    <row r="1471">
      <c r="A1471" s="42" t="inlineStr">
        <is>
          <t>SZ-SL-001470</t>
        </is>
      </c>
      <c r="B1471" s="42" t="inlineStr">
        <is>
          <t>WT-SL-TATE-SUBERI</t>
        </is>
      </c>
      <c r="C1471" s="42" t="inlineStr">
        <is>
          <t>縦すべり出し窓</t>
        </is>
      </c>
      <c r="D1471" s="42" t="inlineStr">
        <is>
          <t>SP-SL-TATE-OP-TFT-IN</t>
        </is>
      </c>
      <c r="E1471" s="42" t="inlineStr">
        <is>
          <t>16513</t>
        </is>
      </c>
      <c r="F1471" s="42" t="inlineStr">
        <is>
          <t>1690</t>
        </is>
      </c>
      <c r="G1471" s="42" t="inlineStr">
        <is>
          <t>1370</t>
        </is>
      </c>
      <c r="H1471" s="42" t="inlineStr">
        <is>
          <t>True</t>
        </is>
      </c>
      <c r="I1471" s="42" t="inlineStr">
        <is>
          <t>NOT_EVALUATED</t>
        </is>
      </c>
      <c r="J1471" s="42" t="inlineStr">
        <is>
          <t>NO_DIRECT_STANDARD_MATRIX_IN_RETRIEVED_SOURCE</t>
        </is>
      </c>
      <c r="K1471" s="42" t="str"/>
      <c r="L1471" s="42" t="str"/>
      <c r="M1471" s="42" t="str"/>
      <c r="N1471" s="42" t="str"/>
      <c r="O1471" s="42" t="inlineStr">
        <is>
          <t>現行公式資料でこの窓種のSAFE 30mil規格○/×を本Revisionでは直接取得できていない。推測しない。</t>
        </is>
      </c>
    </row>
    <row r="1472">
      <c r="A1472" s="42" t="inlineStr">
        <is>
          <t>SZ-SL-001471</t>
        </is>
      </c>
      <c r="B1472" s="42" t="inlineStr">
        <is>
          <t>WT-SL-TATE-SUBERI</t>
        </is>
      </c>
      <c r="C1472" s="42" t="inlineStr">
        <is>
          <t>縦すべり出し窓</t>
        </is>
      </c>
      <c r="D1472" s="42" t="inlineStr">
        <is>
          <t>SP-SL-TATE-CAM-T</t>
        </is>
      </c>
      <c r="E1472" s="42" t="inlineStr">
        <is>
          <t>02607</t>
        </is>
      </c>
      <c r="F1472" s="42" t="inlineStr">
        <is>
          <t>300</t>
        </is>
      </c>
      <c r="G1472" s="42" t="inlineStr">
        <is>
          <t>770</t>
        </is>
      </c>
      <c r="H1472" s="42" t="inlineStr">
        <is>
          <t>True</t>
        </is>
      </c>
      <c r="I1472" s="42" t="inlineStr">
        <is>
          <t>NOT_EVALUATED</t>
        </is>
      </c>
      <c r="J1472" s="42" t="inlineStr">
        <is>
          <t>NO_DIRECT_STANDARD_MATRIX_IN_RETRIEVED_SOURCE</t>
        </is>
      </c>
      <c r="K1472" s="42" t="str"/>
      <c r="L1472" s="42" t="str"/>
      <c r="M1472" s="42" t="str"/>
      <c r="N1472" s="42" t="str"/>
      <c r="O1472" s="42" t="inlineStr">
        <is>
          <t>現行公式資料でこの窓種のSAFE 30mil規格○/×を本Revisionでは直接取得できていない。推測しない。</t>
        </is>
      </c>
    </row>
    <row r="1473">
      <c r="A1473" s="42" t="inlineStr">
        <is>
          <t>SZ-SL-001472</t>
        </is>
      </c>
      <c r="B1473" s="42" t="inlineStr">
        <is>
          <t>WT-SL-TATE-SUBERI</t>
        </is>
      </c>
      <c r="C1473" s="42" t="inlineStr">
        <is>
          <t>縦すべり出し窓</t>
        </is>
      </c>
      <c r="D1473" s="42" t="inlineStr">
        <is>
          <t>SP-SL-TATE-CAM-T</t>
        </is>
      </c>
      <c r="E1473" s="42" t="inlineStr">
        <is>
          <t>02109</t>
        </is>
      </c>
      <c r="F1473" s="42" t="inlineStr">
        <is>
          <t>250</t>
        </is>
      </c>
      <c r="G1473" s="42" t="inlineStr">
        <is>
          <t>970</t>
        </is>
      </c>
      <c r="H1473" s="42" t="inlineStr">
        <is>
          <t>True</t>
        </is>
      </c>
      <c r="I1473" s="42" t="inlineStr">
        <is>
          <t>NOT_EVALUATED</t>
        </is>
      </c>
      <c r="J1473" s="42" t="inlineStr">
        <is>
          <t>NO_DIRECT_STANDARD_MATRIX_IN_RETRIEVED_SOURCE</t>
        </is>
      </c>
      <c r="K1473" s="42" t="str"/>
      <c r="L1473" s="42" t="str"/>
      <c r="M1473" s="42" t="str"/>
      <c r="N1473" s="42" t="str"/>
      <c r="O1473" s="42" t="inlineStr">
        <is>
          <t>現行公式資料でこの窓種のSAFE 30mil規格○/×を本Revisionでは直接取得できていない。推測しない。</t>
        </is>
      </c>
    </row>
    <row r="1474">
      <c r="A1474" s="42" t="inlineStr">
        <is>
          <t>SZ-SL-001473</t>
        </is>
      </c>
      <c r="B1474" s="42" t="inlineStr">
        <is>
          <t>WT-SL-TATE-SUBERI</t>
        </is>
      </c>
      <c r="C1474" s="42" t="inlineStr">
        <is>
          <t>縦すべり出し窓</t>
        </is>
      </c>
      <c r="D1474" s="42" t="inlineStr">
        <is>
          <t>SP-SL-TATE-CAM-T</t>
        </is>
      </c>
      <c r="E1474" s="42" t="inlineStr">
        <is>
          <t>02309</t>
        </is>
      </c>
      <c r="F1474" s="42" t="inlineStr">
        <is>
          <t>275</t>
        </is>
      </c>
      <c r="G1474" s="42" t="inlineStr">
        <is>
          <t>970</t>
        </is>
      </c>
      <c r="H1474" s="42" t="inlineStr">
        <is>
          <t>True</t>
        </is>
      </c>
      <c r="I1474" s="42" t="inlineStr">
        <is>
          <t>NOT_EVALUATED</t>
        </is>
      </c>
      <c r="J1474" s="42" t="inlineStr">
        <is>
          <t>NO_DIRECT_STANDARD_MATRIX_IN_RETRIEVED_SOURCE</t>
        </is>
      </c>
      <c r="K1474" s="42" t="str"/>
      <c r="L1474" s="42" t="str"/>
      <c r="M1474" s="42" t="str"/>
      <c r="N1474" s="42" t="str"/>
      <c r="O1474" s="42" t="inlineStr">
        <is>
          <t>現行公式資料でこの窓種のSAFE 30mil規格○/×を本Revisionでは直接取得できていない。推測しない。</t>
        </is>
      </c>
    </row>
    <row r="1475">
      <c r="A1475" s="42" t="inlineStr">
        <is>
          <t>SZ-SL-001474</t>
        </is>
      </c>
      <c r="B1475" s="42" t="inlineStr">
        <is>
          <t>WT-SL-TATE-SUBERI</t>
        </is>
      </c>
      <c r="C1475" s="42" t="inlineStr">
        <is>
          <t>縦すべり出し窓</t>
        </is>
      </c>
      <c r="D1475" s="42" t="inlineStr">
        <is>
          <t>SP-SL-TATE-CAM-T</t>
        </is>
      </c>
      <c r="E1475" s="42" t="inlineStr">
        <is>
          <t>02609</t>
        </is>
      </c>
      <c r="F1475" s="42" t="inlineStr">
        <is>
          <t>300</t>
        </is>
      </c>
      <c r="G1475" s="42" t="inlineStr">
        <is>
          <t>970</t>
        </is>
      </c>
      <c r="H1475" s="42" t="inlineStr">
        <is>
          <t>True</t>
        </is>
      </c>
      <c r="I1475" s="42" t="inlineStr">
        <is>
          <t>NOT_EVALUATED</t>
        </is>
      </c>
      <c r="J1475" s="42" t="inlineStr">
        <is>
          <t>NO_DIRECT_STANDARD_MATRIX_IN_RETRIEVED_SOURCE</t>
        </is>
      </c>
      <c r="K1475" s="42" t="str"/>
      <c r="L1475" s="42" t="str"/>
      <c r="M1475" s="42" t="str"/>
      <c r="N1475" s="42" t="str"/>
      <c r="O1475" s="42" t="inlineStr">
        <is>
          <t>現行公式資料でこの窓種のSAFE 30mil規格○/×を本Revisionでは直接取得できていない。推測しない。</t>
        </is>
      </c>
    </row>
    <row r="1476">
      <c r="A1476" s="42" t="inlineStr">
        <is>
          <t>SZ-SL-001475</t>
        </is>
      </c>
      <c r="B1476" s="42" t="inlineStr">
        <is>
          <t>WT-SL-TATE-SUBERI</t>
        </is>
      </c>
      <c r="C1476" s="42" t="inlineStr">
        <is>
          <t>縦すべり出し窓</t>
        </is>
      </c>
      <c r="D1476" s="42" t="inlineStr">
        <is>
          <t>SP-SL-TATE-CAM-T</t>
        </is>
      </c>
      <c r="E1476" s="42" t="inlineStr">
        <is>
          <t>02111</t>
        </is>
      </c>
      <c r="F1476" s="42" t="inlineStr">
        <is>
          <t>250</t>
        </is>
      </c>
      <c r="G1476" s="42" t="inlineStr">
        <is>
          <t>1170</t>
        </is>
      </c>
      <c r="H1476" s="42" t="inlineStr">
        <is>
          <t>True</t>
        </is>
      </c>
      <c r="I1476" s="42" t="inlineStr">
        <is>
          <t>NOT_EVALUATED</t>
        </is>
      </c>
      <c r="J1476" s="42" t="inlineStr">
        <is>
          <t>NO_DIRECT_STANDARD_MATRIX_IN_RETRIEVED_SOURCE</t>
        </is>
      </c>
      <c r="K1476" s="42" t="str"/>
      <c r="L1476" s="42" t="str"/>
      <c r="M1476" s="42" t="str"/>
      <c r="N1476" s="42" t="str"/>
      <c r="O1476" s="42" t="inlineStr">
        <is>
          <t>現行公式資料でこの窓種のSAFE 30mil規格○/×を本Revisionでは直接取得できていない。推測しない。</t>
        </is>
      </c>
    </row>
    <row r="1477">
      <c r="A1477" s="42" t="inlineStr">
        <is>
          <t>SZ-SL-001476</t>
        </is>
      </c>
      <c r="B1477" s="42" t="inlineStr">
        <is>
          <t>WT-SL-TATE-SUBERI</t>
        </is>
      </c>
      <c r="C1477" s="42" t="inlineStr">
        <is>
          <t>縦すべり出し窓</t>
        </is>
      </c>
      <c r="D1477" s="42" t="inlineStr">
        <is>
          <t>SP-SL-TATE-CAM-T</t>
        </is>
      </c>
      <c r="E1477" s="42" t="inlineStr">
        <is>
          <t>02311</t>
        </is>
      </c>
      <c r="F1477" s="42" t="inlineStr">
        <is>
          <t>275</t>
        </is>
      </c>
      <c r="G1477" s="42" t="inlineStr">
        <is>
          <t>1170</t>
        </is>
      </c>
      <c r="H1477" s="42" t="inlineStr">
        <is>
          <t>True</t>
        </is>
      </c>
      <c r="I1477" s="42" t="inlineStr">
        <is>
          <t>NOT_EVALUATED</t>
        </is>
      </c>
      <c r="J1477" s="42" t="inlineStr">
        <is>
          <t>NO_DIRECT_STANDARD_MATRIX_IN_RETRIEVED_SOURCE</t>
        </is>
      </c>
      <c r="K1477" s="42" t="str"/>
      <c r="L1477" s="42" t="str"/>
      <c r="M1477" s="42" t="str"/>
      <c r="N1477" s="42" t="str"/>
      <c r="O1477" s="42" t="inlineStr">
        <is>
          <t>現行公式資料でこの窓種のSAFE 30mil規格○/×を本Revisionでは直接取得できていない。推測しない。</t>
        </is>
      </c>
    </row>
    <row r="1478">
      <c r="A1478" s="42" t="inlineStr">
        <is>
          <t>SZ-SL-001477</t>
        </is>
      </c>
      <c r="B1478" s="42" t="inlineStr">
        <is>
          <t>WT-SL-TATE-SUBERI</t>
        </is>
      </c>
      <c r="C1478" s="42" t="inlineStr">
        <is>
          <t>縦すべり出し窓</t>
        </is>
      </c>
      <c r="D1478" s="42" t="inlineStr">
        <is>
          <t>SP-SL-TATE-CAM-T</t>
        </is>
      </c>
      <c r="E1478" s="42" t="inlineStr">
        <is>
          <t>02611</t>
        </is>
      </c>
      <c r="F1478" s="42" t="inlineStr">
        <is>
          <t>300</t>
        </is>
      </c>
      <c r="G1478" s="42" t="inlineStr">
        <is>
          <t>1170</t>
        </is>
      </c>
      <c r="H1478" s="42" t="inlineStr">
        <is>
          <t>True</t>
        </is>
      </c>
      <c r="I1478" s="42" t="inlineStr">
        <is>
          <t>NOT_EVALUATED</t>
        </is>
      </c>
      <c r="J1478" s="42" t="inlineStr">
        <is>
          <t>NO_DIRECT_STANDARD_MATRIX_IN_RETRIEVED_SOURCE</t>
        </is>
      </c>
      <c r="K1478" s="42" t="str"/>
      <c r="L1478" s="42" t="str"/>
      <c r="M1478" s="42" t="str"/>
      <c r="N1478" s="42" t="str"/>
      <c r="O1478" s="42" t="inlineStr">
        <is>
          <t>現行公式資料でこの窓種のSAFE 30mil規格○/×を本Revisionでは直接取得できていない。推測しない。</t>
        </is>
      </c>
    </row>
    <row r="1479">
      <c r="A1479" s="42" t="inlineStr">
        <is>
          <t>SZ-SL-001478</t>
        </is>
      </c>
      <c r="B1479" s="42" t="inlineStr">
        <is>
          <t>WT-SL-TATE-SUBERI</t>
        </is>
      </c>
      <c r="C1479" s="42" t="inlineStr">
        <is>
          <t>縦すべり出し窓</t>
        </is>
      </c>
      <c r="D1479" s="42" t="inlineStr">
        <is>
          <t>SP-SL-TATE-CAM-T</t>
        </is>
      </c>
      <c r="E1479" s="42" t="inlineStr">
        <is>
          <t>02113</t>
        </is>
      </c>
      <c r="F1479" s="42" t="inlineStr">
        <is>
          <t>250</t>
        </is>
      </c>
      <c r="G1479" s="42" t="inlineStr">
        <is>
          <t>1370</t>
        </is>
      </c>
      <c r="H1479" s="42" t="inlineStr">
        <is>
          <t>True</t>
        </is>
      </c>
      <c r="I1479" s="42" t="inlineStr">
        <is>
          <t>NOT_EVALUATED</t>
        </is>
      </c>
      <c r="J1479" s="42" t="inlineStr">
        <is>
          <t>NO_DIRECT_STANDARD_MATRIX_IN_RETRIEVED_SOURCE</t>
        </is>
      </c>
      <c r="K1479" s="42" t="str"/>
      <c r="L1479" s="42" t="str"/>
      <c r="M1479" s="42" t="str"/>
      <c r="N1479" s="42" t="str"/>
      <c r="O1479" s="42" t="inlineStr">
        <is>
          <t>現行公式資料でこの窓種のSAFE 30mil規格○/×を本Revisionでは直接取得できていない。推測しない。</t>
        </is>
      </c>
    </row>
    <row r="1480">
      <c r="A1480" s="42" t="inlineStr">
        <is>
          <t>SZ-SL-001479</t>
        </is>
      </c>
      <c r="B1480" s="42" t="inlineStr">
        <is>
          <t>WT-SL-TATE-SUBERI</t>
        </is>
      </c>
      <c r="C1480" s="42" t="inlineStr">
        <is>
          <t>縦すべり出し窓</t>
        </is>
      </c>
      <c r="D1480" s="42" t="inlineStr">
        <is>
          <t>SP-SL-TATE-CAM-T</t>
        </is>
      </c>
      <c r="E1480" s="42" t="inlineStr">
        <is>
          <t>02313</t>
        </is>
      </c>
      <c r="F1480" s="42" t="inlineStr">
        <is>
          <t>275</t>
        </is>
      </c>
      <c r="G1480" s="42" t="inlineStr">
        <is>
          <t>1370</t>
        </is>
      </c>
      <c r="H1480" s="42" t="inlineStr">
        <is>
          <t>True</t>
        </is>
      </c>
      <c r="I1480" s="42" t="inlineStr">
        <is>
          <t>NOT_EVALUATED</t>
        </is>
      </c>
      <c r="J1480" s="42" t="inlineStr">
        <is>
          <t>NO_DIRECT_STANDARD_MATRIX_IN_RETRIEVED_SOURCE</t>
        </is>
      </c>
      <c r="K1480" s="42" t="str"/>
      <c r="L1480" s="42" t="str"/>
      <c r="M1480" s="42" t="str"/>
      <c r="N1480" s="42" t="str"/>
      <c r="O1480" s="42" t="inlineStr">
        <is>
          <t>現行公式資料でこの窓種のSAFE 30mil規格○/×を本Revisionでは直接取得できていない。推測しない。</t>
        </is>
      </c>
    </row>
    <row r="1481">
      <c r="A1481" s="42" t="inlineStr">
        <is>
          <t>SZ-SL-001480</t>
        </is>
      </c>
      <c r="B1481" s="42" t="inlineStr">
        <is>
          <t>WT-SL-TATE-SUBERI</t>
        </is>
      </c>
      <c r="C1481" s="42" t="inlineStr">
        <is>
          <t>縦すべり出し窓</t>
        </is>
      </c>
      <c r="D1481" s="42" t="inlineStr">
        <is>
          <t>SP-SL-TATE-CAM-T</t>
        </is>
      </c>
      <c r="E1481" s="42" t="inlineStr">
        <is>
          <t>02613</t>
        </is>
      </c>
      <c r="F1481" s="42" t="inlineStr">
        <is>
          <t>300</t>
        </is>
      </c>
      <c r="G1481" s="42" t="inlineStr">
        <is>
          <t>1370</t>
        </is>
      </c>
      <c r="H1481" s="42" t="inlineStr">
        <is>
          <t>True</t>
        </is>
      </c>
      <c r="I1481" s="42" t="inlineStr">
        <is>
          <t>NOT_EVALUATED</t>
        </is>
      </c>
      <c r="J1481" s="42" t="inlineStr">
        <is>
          <t>NO_DIRECT_STANDARD_MATRIX_IN_RETRIEVED_SOURCE</t>
        </is>
      </c>
      <c r="K1481" s="42" t="str"/>
      <c r="L1481" s="42" t="str"/>
      <c r="M1481" s="42" t="str"/>
      <c r="N1481" s="42" t="str"/>
      <c r="O1481" s="42" t="inlineStr">
        <is>
          <t>現行公式資料でこの窓種のSAFE 30mil規格○/×を本Revisionでは直接取得できていない。推測しない。</t>
        </is>
      </c>
    </row>
    <row r="1482">
      <c r="A1482" s="42" t="inlineStr">
        <is>
          <t>SZ-SL-001481</t>
        </is>
      </c>
      <c r="B1482" s="42" t="inlineStr">
        <is>
          <t>WT-SL-TATE-SUBERI</t>
        </is>
      </c>
      <c r="C1482" s="42" t="inlineStr">
        <is>
          <t>縦すべり出し窓</t>
        </is>
      </c>
      <c r="D1482" s="42" t="inlineStr">
        <is>
          <t>SP-SL-TATE-CAM-T</t>
        </is>
      </c>
      <c r="E1482" s="42" t="inlineStr">
        <is>
          <t>02115</t>
        </is>
      </c>
      <c r="F1482" s="42" t="inlineStr">
        <is>
          <t>250</t>
        </is>
      </c>
      <c r="G1482" s="42" t="inlineStr">
        <is>
          <t>1570</t>
        </is>
      </c>
      <c r="H1482" s="42" t="inlineStr">
        <is>
          <t>True</t>
        </is>
      </c>
      <c r="I1482" s="42" t="inlineStr">
        <is>
          <t>NOT_EVALUATED</t>
        </is>
      </c>
      <c r="J1482" s="42" t="inlineStr">
        <is>
          <t>NO_DIRECT_STANDARD_MATRIX_IN_RETRIEVED_SOURCE</t>
        </is>
      </c>
      <c r="K1482" s="42" t="str"/>
      <c r="L1482" s="42" t="str"/>
      <c r="M1482" s="42" t="str"/>
      <c r="N1482" s="42" t="str"/>
      <c r="O1482" s="42" t="inlineStr">
        <is>
          <t>現行公式資料でこの窓種のSAFE 30mil規格○/×を本Revisionでは直接取得できていない。推測しない。</t>
        </is>
      </c>
    </row>
    <row r="1483">
      <c r="A1483" s="42" t="inlineStr">
        <is>
          <t>SZ-SL-001482</t>
        </is>
      </c>
      <c r="B1483" s="42" t="inlineStr">
        <is>
          <t>WT-SL-TATE-SUBERI</t>
        </is>
      </c>
      <c r="C1483" s="42" t="inlineStr">
        <is>
          <t>縦すべり出し窓</t>
        </is>
      </c>
      <c r="D1483" s="42" t="inlineStr">
        <is>
          <t>SP-SL-TATE-CAM-T</t>
        </is>
      </c>
      <c r="E1483" s="42" t="inlineStr">
        <is>
          <t>02615</t>
        </is>
      </c>
      <c r="F1483" s="42" t="inlineStr">
        <is>
          <t>300</t>
        </is>
      </c>
      <c r="G1483" s="42" t="inlineStr">
        <is>
          <t>1570</t>
        </is>
      </c>
      <c r="H1483" s="42" t="inlineStr">
        <is>
          <t>True</t>
        </is>
      </c>
      <c r="I1483" s="42" t="inlineStr">
        <is>
          <t>NOT_EVALUATED</t>
        </is>
      </c>
      <c r="J1483" s="42" t="inlineStr">
        <is>
          <t>NO_DIRECT_STANDARD_MATRIX_IN_RETRIEVED_SOURCE</t>
        </is>
      </c>
      <c r="K1483" s="42" t="str"/>
      <c r="L1483" s="42" t="str"/>
      <c r="M1483" s="42" t="str"/>
      <c r="N1483" s="42" t="str"/>
      <c r="O1483" s="42" t="inlineStr">
        <is>
          <t>現行公式資料でこの窓種のSAFE 30mil規格○/×を本Revisionでは直接取得できていない。推測しない。</t>
        </is>
      </c>
    </row>
    <row r="1484">
      <c r="A1484" s="42" t="inlineStr">
        <is>
          <t>SZ-SL-001483</t>
        </is>
      </c>
      <c r="B1484" s="42" t="inlineStr">
        <is>
          <t>WT-SL-TATE-SUBERI</t>
        </is>
      </c>
      <c r="C1484" s="42" t="inlineStr">
        <is>
          <t>縦すべり出し窓</t>
        </is>
      </c>
      <c r="D1484" s="42" t="inlineStr">
        <is>
          <t>SP-SL-TATE-CAM-T</t>
        </is>
      </c>
      <c r="E1484" s="42" t="inlineStr">
        <is>
          <t>03607</t>
        </is>
      </c>
      <c r="F1484" s="42" t="inlineStr">
        <is>
          <t>405</t>
        </is>
      </c>
      <c r="G1484" s="42" t="inlineStr">
        <is>
          <t>770</t>
        </is>
      </c>
      <c r="H1484" s="42" t="inlineStr">
        <is>
          <t>True</t>
        </is>
      </c>
      <c r="I1484" s="42" t="inlineStr">
        <is>
          <t>NOT_EVALUATED</t>
        </is>
      </c>
      <c r="J1484" s="42" t="inlineStr">
        <is>
          <t>NO_DIRECT_STANDARD_MATRIX_IN_RETRIEVED_SOURCE</t>
        </is>
      </c>
      <c r="K1484" s="42" t="str"/>
      <c r="L1484" s="42" t="str"/>
      <c r="M1484" s="42" t="str"/>
      <c r="N1484" s="42" t="str"/>
      <c r="O1484" s="42" t="inlineStr">
        <is>
          <t>現行公式資料でこの窓種のSAFE 30mil規格○/×を本Revisionでは直接取得できていない。推測しない。</t>
        </is>
      </c>
    </row>
    <row r="1485">
      <c r="A1485" s="42" t="inlineStr">
        <is>
          <t>SZ-SL-001484</t>
        </is>
      </c>
      <c r="B1485" s="42" t="inlineStr">
        <is>
          <t>WT-SL-TATE-SUBERI</t>
        </is>
      </c>
      <c r="C1485" s="42" t="inlineStr">
        <is>
          <t>縦すべり出し窓</t>
        </is>
      </c>
      <c r="D1485" s="42" t="inlineStr">
        <is>
          <t>SP-SL-TATE-CAM-T</t>
        </is>
      </c>
      <c r="E1485" s="42" t="inlineStr">
        <is>
          <t>06007</t>
        </is>
      </c>
      <c r="F1485" s="42" t="inlineStr">
        <is>
          <t>640</t>
        </is>
      </c>
      <c r="G1485" s="42" t="inlineStr">
        <is>
          <t>770</t>
        </is>
      </c>
      <c r="H1485" s="42" t="inlineStr">
        <is>
          <t>True</t>
        </is>
      </c>
      <c r="I1485" s="42" t="inlineStr">
        <is>
          <t>NOT_EVALUATED</t>
        </is>
      </c>
      <c r="J1485" s="42" t="inlineStr">
        <is>
          <t>NO_DIRECT_STANDARD_MATRIX_IN_RETRIEVED_SOURCE</t>
        </is>
      </c>
      <c r="K1485" s="42" t="str"/>
      <c r="L1485" s="42" t="str"/>
      <c r="M1485" s="42" t="str"/>
      <c r="N1485" s="42" t="str"/>
      <c r="O1485" s="42" t="inlineStr">
        <is>
          <t>現行公式資料でこの窓種のSAFE 30mil規格○/×を本Revisionでは直接取得できていない。推測しない。</t>
        </is>
      </c>
    </row>
    <row r="1486">
      <c r="A1486" s="42" t="inlineStr">
        <is>
          <t>SZ-SL-001485</t>
        </is>
      </c>
      <c r="B1486" s="42" t="inlineStr">
        <is>
          <t>WT-SL-TATE-SUBERI</t>
        </is>
      </c>
      <c r="C1486" s="42" t="inlineStr">
        <is>
          <t>縦すべり出し窓</t>
        </is>
      </c>
      <c r="D1486" s="42" t="inlineStr">
        <is>
          <t>SP-SL-TATE-CAM-T</t>
        </is>
      </c>
      <c r="E1486" s="42" t="inlineStr">
        <is>
          <t>03109</t>
        </is>
      </c>
      <c r="F1486" s="42" t="inlineStr">
        <is>
          <t>350</t>
        </is>
      </c>
      <c r="G1486" s="42" t="inlineStr">
        <is>
          <t>970</t>
        </is>
      </c>
      <c r="H1486" s="42" t="inlineStr">
        <is>
          <t>True</t>
        </is>
      </c>
      <c r="I1486" s="42" t="inlineStr">
        <is>
          <t>NOT_EVALUATED</t>
        </is>
      </c>
      <c r="J1486" s="42" t="inlineStr">
        <is>
          <t>NO_DIRECT_STANDARD_MATRIX_IN_RETRIEVED_SOURCE</t>
        </is>
      </c>
      <c r="K1486" s="42" t="str"/>
      <c r="L1486" s="42" t="str"/>
      <c r="M1486" s="42" t="str"/>
      <c r="N1486" s="42" t="str"/>
      <c r="O1486" s="42" t="inlineStr">
        <is>
          <t>現行公式資料でこの窓種のSAFE 30mil規格○/×を本Revisionでは直接取得できていない。推測しない。</t>
        </is>
      </c>
    </row>
    <row r="1487">
      <c r="A1487" s="42" t="inlineStr">
        <is>
          <t>SZ-SL-001486</t>
        </is>
      </c>
      <c r="B1487" s="42" t="inlineStr">
        <is>
          <t>WT-SL-TATE-SUBERI</t>
        </is>
      </c>
      <c r="C1487" s="42" t="inlineStr">
        <is>
          <t>縦すべり出し窓</t>
        </is>
      </c>
      <c r="D1487" s="42" t="inlineStr">
        <is>
          <t>SP-SL-TATE-CAM-T</t>
        </is>
      </c>
      <c r="E1487" s="42" t="inlineStr">
        <is>
          <t>03609</t>
        </is>
      </c>
      <c r="F1487" s="42" t="inlineStr">
        <is>
          <t>405</t>
        </is>
      </c>
      <c r="G1487" s="42" t="inlineStr">
        <is>
          <t>970</t>
        </is>
      </c>
      <c r="H1487" s="42" t="inlineStr">
        <is>
          <t>True</t>
        </is>
      </c>
      <c r="I1487" s="42" t="inlineStr">
        <is>
          <t>NOT_EVALUATED</t>
        </is>
      </c>
      <c r="J1487" s="42" t="inlineStr">
        <is>
          <t>NO_DIRECT_STANDARD_MATRIX_IN_RETRIEVED_SOURCE</t>
        </is>
      </c>
      <c r="K1487" s="42" t="str"/>
      <c r="L1487" s="42" t="str"/>
      <c r="M1487" s="42" t="str"/>
      <c r="N1487" s="42" t="str"/>
      <c r="O1487" s="42" t="inlineStr">
        <is>
          <t>現行公式資料でこの窓種のSAFE 30mil規格○/×を本Revisionでは直接取得できていない。推測しない。</t>
        </is>
      </c>
    </row>
    <row r="1488">
      <c r="A1488" s="42" t="inlineStr">
        <is>
          <t>SZ-SL-001487</t>
        </is>
      </c>
      <c r="B1488" s="42" t="inlineStr">
        <is>
          <t>WT-SL-TATE-SUBERI</t>
        </is>
      </c>
      <c r="C1488" s="42" t="inlineStr">
        <is>
          <t>縦すべり出し窓</t>
        </is>
      </c>
      <c r="D1488" s="42" t="inlineStr">
        <is>
          <t>SP-SL-TATE-CAM-T</t>
        </is>
      </c>
      <c r="E1488" s="42" t="inlineStr">
        <is>
          <t>06009</t>
        </is>
      </c>
      <c r="F1488" s="42" t="inlineStr">
        <is>
          <t>640</t>
        </is>
      </c>
      <c r="G1488" s="42" t="inlineStr">
        <is>
          <t>970</t>
        </is>
      </c>
      <c r="H1488" s="42" t="inlineStr">
        <is>
          <t>True</t>
        </is>
      </c>
      <c r="I1488" s="42" t="inlineStr">
        <is>
          <t>NOT_EVALUATED</t>
        </is>
      </c>
      <c r="J1488" s="42" t="inlineStr">
        <is>
          <t>NO_DIRECT_STANDARD_MATRIX_IN_RETRIEVED_SOURCE</t>
        </is>
      </c>
      <c r="K1488" s="42" t="str"/>
      <c r="L1488" s="42" t="str"/>
      <c r="M1488" s="42" t="str"/>
      <c r="N1488" s="42" t="str"/>
      <c r="O1488" s="42" t="inlineStr">
        <is>
          <t>現行公式資料でこの窓種のSAFE 30mil規格○/×を本Revisionでは直接取得できていない。推測しない。</t>
        </is>
      </c>
    </row>
    <row r="1489">
      <c r="A1489" s="42" t="inlineStr">
        <is>
          <t>SZ-SL-001488</t>
        </is>
      </c>
      <c r="B1489" s="42" t="inlineStr">
        <is>
          <t>WT-SL-TATE-SUBERI</t>
        </is>
      </c>
      <c r="C1489" s="42" t="inlineStr">
        <is>
          <t>縦すべり出し窓</t>
        </is>
      </c>
      <c r="D1489" s="42" t="inlineStr">
        <is>
          <t>SP-SL-TATE-CAM-T</t>
        </is>
      </c>
      <c r="E1489" s="42" t="inlineStr">
        <is>
          <t>03111</t>
        </is>
      </c>
      <c r="F1489" s="42" t="inlineStr">
        <is>
          <t>350</t>
        </is>
      </c>
      <c r="G1489" s="42" t="inlineStr">
        <is>
          <t>1170</t>
        </is>
      </c>
      <c r="H1489" s="42" t="inlineStr">
        <is>
          <t>True</t>
        </is>
      </c>
      <c r="I1489" s="42" t="inlineStr">
        <is>
          <t>NOT_EVALUATED</t>
        </is>
      </c>
      <c r="J1489" s="42" t="inlineStr">
        <is>
          <t>NO_DIRECT_STANDARD_MATRIX_IN_RETRIEVED_SOURCE</t>
        </is>
      </c>
      <c r="K1489" s="42" t="str"/>
      <c r="L1489" s="42" t="str"/>
      <c r="M1489" s="42" t="str"/>
      <c r="N1489" s="42" t="str"/>
      <c r="O1489" s="42" t="inlineStr">
        <is>
          <t>現行公式資料でこの窓種のSAFE 30mil規格○/×を本Revisionでは直接取得できていない。推測しない。</t>
        </is>
      </c>
    </row>
    <row r="1490">
      <c r="A1490" s="42" t="inlineStr">
        <is>
          <t>SZ-SL-001489</t>
        </is>
      </c>
      <c r="B1490" s="42" t="inlineStr">
        <is>
          <t>WT-SL-TATE-SUBERI</t>
        </is>
      </c>
      <c r="C1490" s="42" t="inlineStr">
        <is>
          <t>縦すべり出し窓</t>
        </is>
      </c>
      <c r="D1490" s="42" t="inlineStr">
        <is>
          <t>SP-SL-TATE-CAM-T</t>
        </is>
      </c>
      <c r="E1490" s="42" t="inlineStr">
        <is>
          <t>03611</t>
        </is>
      </c>
      <c r="F1490" s="42" t="inlineStr">
        <is>
          <t>405</t>
        </is>
      </c>
      <c r="G1490" s="42" t="inlineStr">
        <is>
          <t>1170</t>
        </is>
      </c>
      <c r="H1490" s="42" t="inlineStr">
        <is>
          <t>True</t>
        </is>
      </c>
      <c r="I1490" s="42" t="inlineStr">
        <is>
          <t>NOT_EVALUATED</t>
        </is>
      </c>
      <c r="J1490" s="42" t="inlineStr">
        <is>
          <t>NO_DIRECT_STANDARD_MATRIX_IN_RETRIEVED_SOURCE</t>
        </is>
      </c>
      <c r="K1490" s="42" t="str"/>
      <c r="L1490" s="42" t="str"/>
      <c r="M1490" s="42" t="str"/>
      <c r="N1490" s="42" t="str"/>
      <c r="O1490" s="42" t="inlineStr">
        <is>
          <t>現行公式資料でこの窓種のSAFE 30mil規格○/×を本Revisionでは直接取得できていない。推測しない。</t>
        </is>
      </c>
    </row>
    <row r="1491">
      <c r="A1491" s="42" t="inlineStr">
        <is>
          <t>SZ-SL-001490</t>
        </is>
      </c>
      <c r="B1491" s="42" t="inlineStr">
        <is>
          <t>WT-SL-TATE-SUBERI</t>
        </is>
      </c>
      <c r="C1491" s="42" t="inlineStr">
        <is>
          <t>縦すべり出し窓</t>
        </is>
      </c>
      <c r="D1491" s="42" t="inlineStr">
        <is>
          <t>SP-SL-TATE-CAM-T</t>
        </is>
      </c>
      <c r="E1491" s="42" t="inlineStr">
        <is>
          <t>06011</t>
        </is>
      </c>
      <c r="F1491" s="42" t="inlineStr">
        <is>
          <t>640</t>
        </is>
      </c>
      <c r="G1491" s="42" t="inlineStr">
        <is>
          <t>1170</t>
        </is>
      </c>
      <c r="H1491" s="42" t="inlineStr">
        <is>
          <t>True</t>
        </is>
      </c>
      <c r="I1491" s="42" t="inlineStr">
        <is>
          <t>NOT_EVALUATED</t>
        </is>
      </c>
      <c r="J1491" s="42" t="inlineStr">
        <is>
          <t>NO_DIRECT_STANDARD_MATRIX_IN_RETRIEVED_SOURCE</t>
        </is>
      </c>
      <c r="K1491" s="42" t="str"/>
      <c r="L1491" s="42" t="str"/>
      <c r="M1491" s="42" t="str"/>
      <c r="N1491" s="42" t="str"/>
      <c r="O1491" s="42" t="inlineStr">
        <is>
          <t>現行公式資料でこの窓種のSAFE 30mil規格○/×を本Revisionでは直接取得できていない。推測しない。</t>
        </is>
      </c>
    </row>
    <row r="1492">
      <c r="A1492" s="42" t="inlineStr">
        <is>
          <t>SZ-SL-001491</t>
        </is>
      </c>
      <c r="B1492" s="42" t="inlineStr">
        <is>
          <t>WT-SL-TATE-SUBERI</t>
        </is>
      </c>
      <c r="C1492" s="42" t="inlineStr">
        <is>
          <t>縦すべり出し窓</t>
        </is>
      </c>
      <c r="D1492" s="42" t="inlineStr">
        <is>
          <t>SP-SL-TATE-CAM-T</t>
        </is>
      </c>
      <c r="E1492" s="42" t="inlineStr">
        <is>
          <t>03113</t>
        </is>
      </c>
      <c r="F1492" s="42" t="inlineStr">
        <is>
          <t>350</t>
        </is>
      </c>
      <c r="G1492" s="42" t="inlineStr">
        <is>
          <t>1370</t>
        </is>
      </c>
      <c r="H1492" s="42" t="inlineStr">
        <is>
          <t>True</t>
        </is>
      </c>
      <c r="I1492" s="42" t="inlineStr">
        <is>
          <t>NOT_EVALUATED</t>
        </is>
      </c>
      <c r="J1492" s="42" t="inlineStr">
        <is>
          <t>NO_DIRECT_STANDARD_MATRIX_IN_RETRIEVED_SOURCE</t>
        </is>
      </c>
      <c r="K1492" s="42" t="str"/>
      <c r="L1492" s="42" t="str"/>
      <c r="M1492" s="42" t="str"/>
      <c r="N1492" s="42" t="str"/>
      <c r="O1492" s="42" t="inlineStr">
        <is>
          <t>現行公式資料でこの窓種のSAFE 30mil規格○/×を本Revisionでは直接取得できていない。推測しない。</t>
        </is>
      </c>
    </row>
    <row r="1493">
      <c r="A1493" s="42" t="inlineStr">
        <is>
          <t>SZ-SL-001492</t>
        </is>
      </c>
      <c r="B1493" s="42" t="inlineStr">
        <is>
          <t>WT-SL-TATE-SUBERI</t>
        </is>
      </c>
      <c r="C1493" s="42" t="inlineStr">
        <is>
          <t>縦すべり出し窓</t>
        </is>
      </c>
      <c r="D1493" s="42" t="inlineStr">
        <is>
          <t>SP-SL-TATE-CAM-T</t>
        </is>
      </c>
      <c r="E1493" s="42" t="inlineStr">
        <is>
          <t>03613</t>
        </is>
      </c>
      <c r="F1493" s="42" t="inlineStr">
        <is>
          <t>405</t>
        </is>
      </c>
      <c r="G1493" s="42" t="inlineStr">
        <is>
          <t>1370</t>
        </is>
      </c>
      <c r="H1493" s="42" t="inlineStr">
        <is>
          <t>True</t>
        </is>
      </c>
      <c r="I1493" s="42" t="inlineStr">
        <is>
          <t>NOT_EVALUATED</t>
        </is>
      </c>
      <c r="J1493" s="42" t="inlineStr">
        <is>
          <t>NO_DIRECT_STANDARD_MATRIX_IN_RETRIEVED_SOURCE</t>
        </is>
      </c>
      <c r="K1493" s="42" t="str"/>
      <c r="L1493" s="42" t="str"/>
      <c r="M1493" s="42" t="str"/>
      <c r="N1493" s="42" t="str"/>
      <c r="O1493" s="42" t="inlineStr">
        <is>
          <t>現行公式資料でこの窓種のSAFE 30mil規格○/×を本Revisionでは直接取得できていない。推測しない。</t>
        </is>
      </c>
    </row>
    <row r="1494">
      <c r="A1494" s="42" t="inlineStr">
        <is>
          <t>SZ-SL-001493</t>
        </is>
      </c>
      <c r="B1494" s="42" t="inlineStr">
        <is>
          <t>WT-SL-TATE-SUBERI</t>
        </is>
      </c>
      <c r="C1494" s="42" t="inlineStr">
        <is>
          <t>縦すべり出し窓</t>
        </is>
      </c>
      <c r="D1494" s="42" t="inlineStr">
        <is>
          <t>SP-SL-TATE-CAM-T</t>
        </is>
      </c>
      <c r="E1494" s="42" t="inlineStr">
        <is>
          <t>06013</t>
        </is>
      </c>
      <c r="F1494" s="42" t="inlineStr">
        <is>
          <t>640</t>
        </is>
      </c>
      <c r="G1494" s="42" t="inlineStr">
        <is>
          <t>1370</t>
        </is>
      </c>
      <c r="H1494" s="42" t="inlineStr">
        <is>
          <t>True</t>
        </is>
      </c>
      <c r="I1494" s="42" t="inlineStr">
        <is>
          <t>NOT_EVALUATED</t>
        </is>
      </c>
      <c r="J1494" s="42" t="inlineStr">
        <is>
          <t>NO_DIRECT_STANDARD_MATRIX_IN_RETRIEVED_SOURCE</t>
        </is>
      </c>
      <c r="K1494" s="42" t="str"/>
      <c r="L1494" s="42" t="str"/>
      <c r="M1494" s="42" t="str"/>
      <c r="N1494" s="42" t="str"/>
      <c r="O1494" s="42" t="inlineStr">
        <is>
          <t>現行公式資料でこの窓種のSAFE 30mil規格○/×を本Revisionでは直接取得できていない。推測しない。</t>
        </is>
      </c>
    </row>
    <row r="1495">
      <c r="A1495" s="42" t="inlineStr">
        <is>
          <t>SZ-SL-001494</t>
        </is>
      </c>
      <c r="B1495" s="42" t="inlineStr">
        <is>
          <t>WT-SL-TATE-SUBERI</t>
        </is>
      </c>
      <c r="C1495" s="42" t="inlineStr">
        <is>
          <t>縦すべり出し窓</t>
        </is>
      </c>
      <c r="D1495" s="42" t="inlineStr">
        <is>
          <t>SP-SL-TATE-CAM-T</t>
        </is>
      </c>
      <c r="E1495" s="42" t="inlineStr">
        <is>
          <t>03115</t>
        </is>
      </c>
      <c r="F1495" s="42" t="inlineStr">
        <is>
          <t>350</t>
        </is>
      </c>
      <c r="G1495" s="42" t="inlineStr">
        <is>
          <t>1570</t>
        </is>
      </c>
      <c r="H1495" s="42" t="inlineStr">
        <is>
          <t>True</t>
        </is>
      </c>
      <c r="I1495" s="42" t="inlineStr">
        <is>
          <t>NOT_EVALUATED</t>
        </is>
      </c>
      <c r="J1495" s="42" t="inlineStr">
        <is>
          <t>NO_DIRECT_STANDARD_MATRIX_IN_RETRIEVED_SOURCE</t>
        </is>
      </c>
      <c r="K1495" s="42" t="str"/>
      <c r="L1495" s="42" t="str"/>
      <c r="M1495" s="42" t="str"/>
      <c r="N1495" s="42" t="str"/>
      <c r="O1495" s="42" t="inlineStr">
        <is>
          <t>現行公式資料でこの窓種のSAFE 30mil規格○/×を本Revisionでは直接取得できていない。推測しない。</t>
        </is>
      </c>
    </row>
    <row r="1496">
      <c r="A1496" s="42" t="inlineStr">
        <is>
          <t>SZ-SL-001495</t>
        </is>
      </c>
      <c r="B1496" s="42" t="inlineStr">
        <is>
          <t>WT-SL-TATE-SUBERI</t>
        </is>
      </c>
      <c r="C1496" s="42" t="inlineStr">
        <is>
          <t>縦すべり出し窓</t>
        </is>
      </c>
      <c r="D1496" s="42" t="inlineStr">
        <is>
          <t>SP-SL-TATE-CAM-T</t>
        </is>
      </c>
      <c r="E1496" s="42" t="inlineStr">
        <is>
          <t>02118</t>
        </is>
      </c>
      <c r="F1496" s="42" t="inlineStr">
        <is>
          <t>250</t>
        </is>
      </c>
      <c r="G1496" s="42" t="inlineStr">
        <is>
          <t>1870</t>
        </is>
      </c>
      <c r="H1496" s="42" t="inlineStr">
        <is>
          <t>True</t>
        </is>
      </c>
      <c r="I1496" s="42" t="inlineStr">
        <is>
          <t>NOT_EVALUATED</t>
        </is>
      </c>
      <c r="J1496" s="42" t="inlineStr">
        <is>
          <t>NO_DIRECT_STANDARD_MATRIX_IN_RETRIEVED_SOURCE</t>
        </is>
      </c>
      <c r="K1496" s="42" t="str"/>
      <c r="L1496" s="42" t="str"/>
      <c r="M1496" s="42" t="str"/>
      <c r="N1496" s="42" t="str"/>
      <c r="O1496" s="42" t="inlineStr">
        <is>
          <t>現行公式資料でこの窓種のSAFE 30mil規格○/×を本Revisionでは直接取得できていない。推測しない。</t>
        </is>
      </c>
    </row>
    <row r="1497">
      <c r="A1497" s="42" t="inlineStr">
        <is>
          <t>SZ-SL-001496</t>
        </is>
      </c>
      <c r="B1497" s="42" t="inlineStr">
        <is>
          <t>WT-SL-TATE-SUBERI</t>
        </is>
      </c>
      <c r="C1497" s="42" t="inlineStr">
        <is>
          <t>縦すべり出し窓</t>
        </is>
      </c>
      <c r="D1497" s="42" t="inlineStr">
        <is>
          <t>SP-SL-TATE-CAM-T</t>
        </is>
      </c>
      <c r="E1497" s="42" t="inlineStr">
        <is>
          <t>02618</t>
        </is>
      </c>
      <c r="F1497" s="42" t="inlineStr">
        <is>
          <t>300</t>
        </is>
      </c>
      <c r="G1497" s="42" t="inlineStr">
        <is>
          <t>1870</t>
        </is>
      </c>
      <c r="H1497" s="42" t="inlineStr">
        <is>
          <t>True</t>
        </is>
      </c>
      <c r="I1497" s="42" t="inlineStr">
        <is>
          <t>NOT_EVALUATED</t>
        </is>
      </c>
      <c r="J1497" s="42" t="inlineStr">
        <is>
          <t>NO_DIRECT_STANDARD_MATRIX_IN_RETRIEVED_SOURCE</t>
        </is>
      </c>
      <c r="K1497" s="42" t="str"/>
      <c r="L1497" s="42" t="str"/>
      <c r="M1497" s="42" t="str"/>
      <c r="N1497" s="42" t="str"/>
      <c r="O1497" s="42" t="inlineStr">
        <is>
          <t>現行公式資料でこの窓種のSAFE 30mil規格○/×を本Revisionでは直接取得できていない。推測しない。</t>
        </is>
      </c>
    </row>
    <row r="1498">
      <c r="A1498" s="42" t="inlineStr">
        <is>
          <t>SZ-SL-001497</t>
        </is>
      </c>
      <c r="B1498" s="42" t="inlineStr">
        <is>
          <t>WT-SL-TATE-SUBERI</t>
        </is>
      </c>
      <c r="C1498" s="42" t="inlineStr">
        <is>
          <t>縦すべり出し窓</t>
        </is>
      </c>
      <c r="D1498" s="42" t="inlineStr">
        <is>
          <t>SP-SL-TATE-CAM-T</t>
        </is>
      </c>
      <c r="E1498" s="42" t="inlineStr">
        <is>
          <t>02120</t>
        </is>
      </c>
      <c r="F1498" s="42" t="inlineStr">
        <is>
          <t>250</t>
        </is>
      </c>
      <c r="G1498" s="42" t="inlineStr">
        <is>
          <t>2070</t>
        </is>
      </c>
      <c r="H1498" s="42" t="inlineStr">
        <is>
          <t>True</t>
        </is>
      </c>
      <c r="I1498" s="42" t="inlineStr">
        <is>
          <t>NOT_EVALUATED</t>
        </is>
      </c>
      <c r="J1498" s="42" t="inlineStr">
        <is>
          <t>NO_DIRECT_STANDARD_MATRIX_IN_RETRIEVED_SOURCE</t>
        </is>
      </c>
      <c r="K1498" s="42" t="str"/>
      <c r="L1498" s="42" t="str"/>
      <c r="M1498" s="42" t="str"/>
      <c r="N1498" s="42" t="str"/>
      <c r="O1498" s="42" t="inlineStr">
        <is>
          <t>現行公式資料でこの窓種のSAFE 30mil規格○/×を本Revisionでは直接取得できていない。推測しない。</t>
        </is>
      </c>
    </row>
    <row r="1499">
      <c r="A1499" s="42" t="inlineStr">
        <is>
          <t>SZ-SL-001498</t>
        </is>
      </c>
      <c r="B1499" s="42" t="inlineStr">
        <is>
          <t>WT-SL-TATE-SUBERI</t>
        </is>
      </c>
      <c r="C1499" s="42" t="inlineStr">
        <is>
          <t>縦すべり出し窓</t>
        </is>
      </c>
      <c r="D1499" s="42" t="inlineStr">
        <is>
          <t>SP-SL-TATE-CAM-T</t>
        </is>
      </c>
      <c r="E1499" s="42" t="inlineStr">
        <is>
          <t>02620</t>
        </is>
      </c>
      <c r="F1499" s="42" t="inlineStr">
        <is>
          <t>300</t>
        </is>
      </c>
      <c r="G1499" s="42" t="inlineStr">
        <is>
          <t>2070</t>
        </is>
      </c>
      <c r="H1499" s="42" t="inlineStr">
        <is>
          <t>True</t>
        </is>
      </c>
      <c r="I1499" s="42" t="inlineStr">
        <is>
          <t>NOT_EVALUATED</t>
        </is>
      </c>
      <c r="J1499" s="42" t="inlineStr">
        <is>
          <t>NO_DIRECT_STANDARD_MATRIX_IN_RETRIEVED_SOURCE</t>
        </is>
      </c>
      <c r="K1499" s="42" t="str"/>
      <c r="L1499" s="42" t="str"/>
      <c r="M1499" s="42" t="str"/>
      <c r="N1499" s="42" t="str"/>
      <c r="O1499" s="42" t="inlineStr">
        <is>
          <t>現行公式資料でこの窓種のSAFE 30mil規格○/×を本Revisionでは直接取得できていない。推測しない。</t>
        </is>
      </c>
    </row>
    <row r="1500">
      <c r="A1500" s="42" t="inlineStr">
        <is>
          <t>SZ-SL-001499</t>
        </is>
      </c>
      <c r="B1500" s="42" t="inlineStr">
        <is>
          <t>WT-SL-TATE-SUBERI</t>
        </is>
      </c>
      <c r="C1500" s="42" t="inlineStr">
        <is>
          <t>縦すべり出し窓</t>
        </is>
      </c>
      <c r="D1500" s="42" t="inlineStr">
        <is>
          <t>SP-SL-TATE-CAM-T</t>
        </is>
      </c>
      <c r="E1500" s="42" t="inlineStr">
        <is>
          <t>02122</t>
        </is>
      </c>
      <c r="F1500" s="42" t="inlineStr">
        <is>
          <t>250</t>
        </is>
      </c>
      <c r="G1500" s="42" t="inlineStr">
        <is>
          <t>2270</t>
        </is>
      </c>
      <c r="H1500" s="42" t="inlineStr">
        <is>
          <t>True</t>
        </is>
      </c>
      <c r="I1500" s="42" t="inlineStr">
        <is>
          <t>NOT_EVALUATED</t>
        </is>
      </c>
      <c r="J1500" s="42" t="inlineStr">
        <is>
          <t>NO_DIRECT_STANDARD_MATRIX_IN_RETRIEVED_SOURCE</t>
        </is>
      </c>
      <c r="K1500" s="42" t="str"/>
      <c r="L1500" s="42" t="str"/>
      <c r="M1500" s="42" t="str"/>
      <c r="N1500" s="42" t="str"/>
      <c r="O1500" s="42" t="inlineStr">
        <is>
          <t>現行公式資料でこの窓種のSAFE 30mil規格○/×を本Revisionでは直接取得できていない。推測しない。</t>
        </is>
      </c>
    </row>
    <row r="1501">
      <c r="A1501" s="42" t="inlineStr">
        <is>
          <t>SZ-SL-001500</t>
        </is>
      </c>
      <c r="B1501" s="42" t="inlineStr">
        <is>
          <t>WT-SL-TATE-SUBERI</t>
        </is>
      </c>
      <c r="C1501" s="42" t="inlineStr">
        <is>
          <t>縦すべり出し窓</t>
        </is>
      </c>
      <c r="D1501" s="42" t="inlineStr">
        <is>
          <t>SP-SL-TATE-CAM-T</t>
        </is>
      </c>
      <c r="E1501" s="42" t="inlineStr">
        <is>
          <t>02622</t>
        </is>
      </c>
      <c r="F1501" s="42" t="inlineStr">
        <is>
          <t>300</t>
        </is>
      </c>
      <c r="G1501" s="42" t="inlineStr">
        <is>
          <t>2270</t>
        </is>
      </c>
      <c r="H1501" s="42" t="inlineStr">
        <is>
          <t>True</t>
        </is>
      </c>
      <c r="I1501" s="42" t="inlineStr">
        <is>
          <t>NOT_EVALUATED</t>
        </is>
      </c>
      <c r="J1501" s="42" t="inlineStr">
        <is>
          <t>NO_DIRECT_STANDARD_MATRIX_IN_RETRIEVED_SOURCE</t>
        </is>
      </c>
      <c r="K1501" s="42" t="str"/>
      <c r="L1501" s="42" t="str"/>
      <c r="M1501" s="42" t="str"/>
      <c r="N1501" s="42" t="str"/>
      <c r="O1501" s="42" t="inlineStr">
        <is>
          <t>現行公式資料でこの窓種のSAFE 30mil規格○/×を本Revisionでは直接取得できていない。推測しない。</t>
        </is>
      </c>
    </row>
    <row r="1502">
      <c r="A1502" s="42" t="inlineStr">
        <is>
          <t>SZ-SL-001501</t>
        </is>
      </c>
      <c r="B1502" s="42" t="inlineStr">
        <is>
          <t>WT-SL-TATE-SUBERI</t>
        </is>
      </c>
      <c r="C1502" s="42" t="inlineStr">
        <is>
          <t>縦すべり出し窓</t>
        </is>
      </c>
      <c r="D1502" s="42" t="inlineStr">
        <is>
          <t>SP-SL-TATE-CAM-T</t>
        </is>
      </c>
      <c r="E1502" s="42" t="inlineStr">
        <is>
          <t>03118</t>
        </is>
      </c>
      <c r="F1502" s="42" t="inlineStr">
        <is>
          <t>350</t>
        </is>
      </c>
      <c r="G1502" s="42" t="inlineStr">
        <is>
          <t>1870</t>
        </is>
      </c>
      <c r="H1502" s="42" t="inlineStr">
        <is>
          <t>True</t>
        </is>
      </c>
      <c r="I1502" s="42" t="inlineStr">
        <is>
          <t>NOT_EVALUATED</t>
        </is>
      </c>
      <c r="J1502" s="42" t="inlineStr">
        <is>
          <t>NO_DIRECT_STANDARD_MATRIX_IN_RETRIEVED_SOURCE</t>
        </is>
      </c>
      <c r="K1502" s="42" t="str"/>
      <c r="L1502" s="42" t="str"/>
      <c r="M1502" s="42" t="str"/>
      <c r="N1502" s="42" t="str"/>
      <c r="O1502" s="42" t="inlineStr">
        <is>
          <t>現行公式資料でこの窓種のSAFE 30mil規格○/×を本Revisionでは直接取得できていない。推測しない。</t>
        </is>
      </c>
    </row>
    <row r="1503">
      <c r="A1503" s="42" t="inlineStr">
        <is>
          <t>SZ-SL-001502</t>
        </is>
      </c>
      <c r="B1503" s="42" t="inlineStr">
        <is>
          <t>WT-SL-TATE-SUBERI</t>
        </is>
      </c>
      <c r="C1503" s="42" t="inlineStr">
        <is>
          <t>縦すべり出し窓</t>
        </is>
      </c>
      <c r="D1503" s="42" t="inlineStr">
        <is>
          <t>SP-SL-TATE-CAM-T</t>
        </is>
      </c>
      <c r="E1503" s="42" t="inlineStr">
        <is>
          <t>03120</t>
        </is>
      </c>
      <c r="F1503" s="42" t="inlineStr">
        <is>
          <t>350</t>
        </is>
      </c>
      <c r="G1503" s="42" t="inlineStr">
        <is>
          <t>2070</t>
        </is>
      </c>
      <c r="H1503" s="42" t="inlineStr">
        <is>
          <t>True</t>
        </is>
      </c>
      <c r="I1503" s="42" t="inlineStr">
        <is>
          <t>NOT_EVALUATED</t>
        </is>
      </c>
      <c r="J1503" s="42" t="inlineStr">
        <is>
          <t>NO_DIRECT_STANDARD_MATRIX_IN_RETRIEVED_SOURCE</t>
        </is>
      </c>
      <c r="K1503" s="42" t="str"/>
      <c r="L1503" s="42" t="str"/>
      <c r="M1503" s="42" t="str"/>
      <c r="N1503" s="42" t="str"/>
      <c r="O1503" s="42" t="inlineStr">
        <is>
          <t>現行公式資料でこの窓種のSAFE 30mil規格○/×を本Revisionでは直接取得できていない。推測しない。</t>
        </is>
      </c>
    </row>
    <row r="1504">
      <c r="A1504" s="42" t="inlineStr">
        <is>
          <t>SZ-SL-001503</t>
        </is>
      </c>
      <c r="B1504" s="42" t="inlineStr">
        <is>
          <t>WT-SL-TATE-SUBERI</t>
        </is>
      </c>
      <c r="C1504" s="42" t="inlineStr">
        <is>
          <t>縦すべり出し窓</t>
        </is>
      </c>
      <c r="D1504" s="42" t="inlineStr">
        <is>
          <t>SP-SL-TATE-CAM-T</t>
        </is>
      </c>
      <c r="E1504" s="42" t="inlineStr">
        <is>
          <t>03122</t>
        </is>
      </c>
      <c r="F1504" s="42" t="inlineStr">
        <is>
          <t>350</t>
        </is>
      </c>
      <c r="G1504" s="42" t="inlineStr">
        <is>
          <t>2270</t>
        </is>
      </c>
      <c r="H1504" s="42" t="inlineStr">
        <is>
          <t>True</t>
        </is>
      </c>
      <c r="I1504" s="42" t="inlineStr">
        <is>
          <t>NOT_EVALUATED</t>
        </is>
      </c>
      <c r="J1504" s="42" t="inlineStr">
        <is>
          <t>NO_DIRECT_STANDARD_MATRIX_IN_RETRIEVED_SOURCE</t>
        </is>
      </c>
      <c r="K1504" s="42" t="str"/>
      <c r="L1504" s="42" t="str"/>
      <c r="M1504" s="42" t="str"/>
      <c r="N1504" s="42" t="str"/>
      <c r="O1504" s="42" t="inlineStr">
        <is>
          <t>現行公式資料でこの窓種のSAFE 30mil規格○/×を本Revisionでは直接取得できていない。推測しない。</t>
        </is>
      </c>
    </row>
    <row r="1505">
      <c r="A1505" s="42" t="inlineStr">
        <is>
          <t>SZ-SL-001504</t>
        </is>
      </c>
      <c r="B1505" s="42" t="inlineStr">
        <is>
          <t>WT-SL-TATE-SUBERI</t>
        </is>
      </c>
      <c r="C1505" s="42" t="inlineStr">
        <is>
          <t>縦すべり出し窓</t>
        </is>
      </c>
      <c r="D1505" s="42" t="inlineStr">
        <is>
          <t>SP-SL-TATE-CAM-TF-OUT</t>
        </is>
      </c>
      <c r="E1505" s="42" t="inlineStr">
        <is>
          <t>11409</t>
        </is>
      </c>
      <c r="F1505" s="42" t="inlineStr">
        <is>
          <t>1185</t>
        </is>
      </c>
      <c r="G1505" s="42" t="inlineStr">
        <is>
          <t>970</t>
        </is>
      </c>
      <c r="H1505" s="42" t="inlineStr">
        <is>
          <t>True</t>
        </is>
      </c>
      <c r="I1505" s="42" t="inlineStr">
        <is>
          <t>NOT_EVALUATED</t>
        </is>
      </c>
      <c r="J1505" s="42" t="inlineStr">
        <is>
          <t>NO_DIRECT_STANDARD_MATRIX_IN_RETRIEVED_SOURCE</t>
        </is>
      </c>
      <c r="K1505" s="42" t="str"/>
      <c r="L1505" s="42" t="str"/>
      <c r="M1505" s="42" t="str"/>
      <c r="N1505" s="42" t="str"/>
      <c r="O1505" s="42" t="inlineStr">
        <is>
          <t>現行公式資料でこの窓種のSAFE 30mil規格○/×を本Revisionでは直接取得できていない。推測しない。</t>
        </is>
      </c>
    </row>
    <row r="1506">
      <c r="A1506" s="42" t="inlineStr">
        <is>
          <t>SZ-SL-001505</t>
        </is>
      </c>
      <c r="B1506" s="42" t="inlineStr">
        <is>
          <t>WT-SL-TATE-SUBERI</t>
        </is>
      </c>
      <c r="C1506" s="42" t="inlineStr">
        <is>
          <t>縦すべり出し窓</t>
        </is>
      </c>
      <c r="D1506" s="42" t="inlineStr">
        <is>
          <t>SP-SL-TATE-CAM-TF-OUT</t>
        </is>
      </c>
      <c r="E1506" s="42" t="inlineStr">
        <is>
          <t>11909</t>
        </is>
      </c>
      <c r="F1506" s="42" t="inlineStr">
        <is>
          <t>1235</t>
        </is>
      </c>
      <c r="G1506" s="42" t="inlineStr">
        <is>
          <t>970</t>
        </is>
      </c>
      <c r="H1506" s="42" t="inlineStr">
        <is>
          <t>True</t>
        </is>
      </c>
      <c r="I1506" s="42" t="inlineStr">
        <is>
          <t>NOT_EVALUATED</t>
        </is>
      </c>
      <c r="J1506" s="42" t="inlineStr">
        <is>
          <t>NO_DIRECT_STANDARD_MATRIX_IN_RETRIEVED_SOURCE</t>
        </is>
      </c>
      <c r="K1506" s="42" t="str"/>
      <c r="L1506" s="42" t="str"/>
      <c r="M1506" s="42" t="str"/>
      <c r="N1506" s="42" t="str"/>
      <c r="O1506" s="42" t="inlineStr">
        <is>
          <t>現行公式資料でこの窓種のSAFE 30mil規格○/×を本Revisionでは直接取得できていない。推測しない。</t>
        </is>
      </c>
    </row>
    <row r="1507">
      <c r="A1507" s="42" t="inlineStr">
        <is>
          <t>SZ-SL-001506</t>
        </is>
      </c>
      <c r="B1507" s="42" t="inlineStr">
        <is>
          <t>WT-SL-TATE-SUBERI</t>
        </is>
      </c>
      <c r="C1507" s="42" t="inlineStr">
        <is>
          <t>縦すべり出し窓</t>
        </is>
      </c>
      <c r="D1507" s="42" t="inlineStr">
        <is>
          <t>SP-SL-TATE-CAM-TF-OUT</t>
        </is>
      </c>
      <c r="E1507" s="42" t="inlineStr">
        <is>
          <t>16009</t>
        </is>
      </c>
      <c r="F1507" s="42" t="inlineStr">
        <is>
          <t>1640</t>
        </is>
      </c>
      <c r="G1507" s="42" t="inlineStr">
        <is>
          <t>970</t>
        </is>
      </c>
      <c r="H1507" s="42" t="inlineStr">
        <is>
          <t>True</t>
        </is>
      </c>
      <c r="I1507" s="42" t="inlineStr">
        <is>
          <t>NOT_EVALUATED</t>
        </is>
      </c>
      <c r="J1507" s="42" t="inlineStr">
        <is>
          <t>NO_DIRECT_STANDARD_MATRIX_IN_RETRIEVED_SOURCE</t>
        </is>
      </c>
      <c r="K1507" s="42" t="str"/>
      <c r="L1507" s="42" t="str"/>
      <c r="M1507" s="42" t="str"/>
      <c r="N1507" s="42" t="str"/>
      <c r="O1507" s="42" t="inlineStr">
        <is>
          <t>現行公式資料でこの窓種のSAFE 30mil規格○/×を本Revisionでは直接取得できていない。推測しない。</t>
        </is>
      </c>
    </row>
    <row r="1508">
      <c r="A1508" s="42" t="inlineStr">
        <is>
          <t>SZ-SL-001507</t>
        </is>
      </c>
      <c r="B1508" s="42" t="inlineStr">
        <is>
          <t>WT-SL-TATE-SUBERI</t>
        </is>
      </c>
      <c r="C1508" s="42" t="inlineStr">
        <is>
          <t>縦すべり出し窓</t>
        </is>
      </c>
      <c r="D1508" s="42" t="inlineStr">
        <is>
          <t>SP-SL-TATE-CAM-TF-OUT</t>
        </is>
      </c>
      <c r="E1508" s="42" t="inlineStr">
        <is>
          <t>16509</t>
        </is>
      </c>
      <c r="F1508" s="42" t="inlineStr">
        <is>
          <t>1690</t>
        </is>
      </c>
      <c r="G1508" s="42" t="inlineStr">
        <is>
          <t>970</t>
        </is>
      </c>
      <c r="H1508" s="42" t="inlineStr">
        <is>
          <t>True</t>
        </is>
      </c>
      <c r="I1508" s="42" t="inlineStr">
        <is>
          <t>NOT_EVALUATED</t>
        </is>
      </c>
      <c r="J1508" s="42" t="inlineStr">
        <is>
          <t>NO_DIRECT_STANDARD_MATRIX_IN_RETRIEVED_SOURCE</t>
        </is>
      </c>
      <c r="K1508" s="42" t="str"/>
      <c r="L1508" s="42" t="str"/>
      <c r="M1508" s="42" t="str"/>
      <c r="N1508" s="42" t="str"/>
      <c r="O1508" s="42" t="inlineStr">
        <is>
          <t>現行公式資料でこの窓種のSAFE 30mil規格○/×を本Revisionでは直接取得できていない。推測しない。</t>
        </is>
      </c>
    </row>
    <row r="1509">
      <c r="A1509" s="42" t="inlineStr">
        <is>
          <t>SZ-SL-001508</t>
        </is>
      </c>
      <c r="B1509" s="42" t="inlineStr">
        <is>
          <t>WT-SL-TATE-SUBERI</t>
        </is>
      </c>
      <c r="C1509" s="42" t="inlineStr">
        <is>
          <t>縦すべり出し窓</t>
        </is>
      </c>
      <c r="D1509" s="42" t="inlineStr">
        <is>
          <t>SP-SL-TATE-CAM-TF-OUT</t>
        </is>
      </c>
      <c r="E1509" s="42" t="inlineStr">
        <is>
          <t>11411</t>
        </is>
      </c>
      <c r="F1509" s="42" t="inlineStr">
        <is>
          <t>1185</t>
        </is>
      </c>
      <c r="G1509" s="42" t="inlineStr">
        <is>
          <t>1170</t>
        </is>
      </c>
      <c r="H1509" s="42" t="inlineStr">
        <is>
          <t>True</t>
        </is>
      </c>
      <c r="I1509" s="42" t="inlineStr">
        <is>
          <t>NOT_EVALUATED</t>
        </is>
      </c>
      <c r="J1509" s="42" t="inlineStr">
        <is>
          <t>NO_DIRECT_STANDARD_MATRIX_IN_RETRIEVED_SOURCE</t>
        </is>
      </c>
      <c r="K1509" s="42" t="str"/>
      <c r="L1509" s="42" t="str"/>
      <c r="M1509" s="42" t="str"/>
      <c r="N1509" s="42" t="str"/>
      <c r="O1509" s="42" t="inlineStr">
        <is>
          <t>現行公式資料でこの窓種のSAFE 30mil規格○/×を本Revisionでは直接取得できていない。推測しない。</t>
        </is>
      </c>
    </row>
    <row r="1510">
      <c r="A1510" s="42" t="inlineStr">
        <is>
          <t>SZ-SL-001509</t>
        </is>
      </c>
      <c r="B1510" s="42" t="inlineStr">
        <is>
          <t>WT-SL-TATE-SUBERI</t>
        </is>
      </c>
      <c r="C1510" s="42" t="inlineStr">
        <is>
          <t>縦すべり出し窓</t>
        </is>
      </c>
      <c r="D1510" s="42" t="inlineStr">
        <is>
          <t>SP-SL-TATE-CAM-TF-OUT</t>
        </is>
      </c>
      <c r="E1510" s="42" t="inlineStr">
        <is>
          <t>11911</t>
        </is>
      </c>
      <c r="F1510" s="42" t="inlineStr">
        <is>
          <t>1235</t>
        </is>
      </c>
      <c r="G1510" s="42" t="inlineStr">
        <is>
          <t>1170</t>
        </is>
      </c>
      <c r="H1510" s="42" t="inlineStr">
        <is>
          <t>True</t>
        </is>
      </c>
      <c r="I1510" s="42" t="inlineStr">
        <is>
          <t>NOT_EVALUATED</t>
        </is>
      </c>
      <c r="J1510" s="42" t="inlineStr">
        <is>
          <t>NO_DIRECT_STANDARD_MATRIX_IN_RETRIEVED_SOURCE</t>
        </is>
      </c>
      <c r="K1510" s="42" t="str"/>
      <c r="L1510" s="42" t="str"/>
      <c r="M1510" s="42" t="str"/>
      <c r="N1510" s="42" t="str"/>
      <c r="O1510" s="42" t="inlineStr">
        <is>
          <t>現行公式資料でこの窓種のSAFE 30mil規格○/×を本Revisionでは直接取得できていない。推測しない。</t>
        </is>
      </c>
    </row>
    <row r="1511">
      <c r="A1511" s="42" t="inlineStr">
        <is>
          <t>SZ-SL-001510</t>
        </is>
      </c>
      <c r="B1511" s="42" t="inlineStr">
        <is>
          <t>WT-SL-TATE-SUBERI</t>
        </is>
      </c>
      <c r="C1511" s="42" t="inlineStr">
        <is>
          <t>縦すべり出し窓</t>
        </is>
      </c>
      <c r="D1511" s="42" t="inlineStr">
        <is>
          <t>SP-SL-TATE-CAM-TF-OUT</t>
        </is>
      </c>
      <c r="E1511" s="42" t="inlineStr">
        <is>
          <t>16011</t>
        </is>
      </c>
      <c r="F1511" s="42" t="inlineStr">
        <is>
          <t>1640</t>
        </is>
      </c>
      <c r="G1511" s="42" t="inlineStr">
        <is>
          <t>1170</t>
        </is>
      </c>
      <c r="H1511" s="42" t="inlineStr">
        <is>
          <t>True</t>
        </is>
      </c>
      <c r="I1511" s="42" t="inlineStr">
        <is>
          <t>NOT_EVALUATED</t>
        </is>
      </c>
      <c r="J1511" s="42" t="inlineStr">
        <is>
          <t>NO_DIRECT_STANDARD_MATRIX_IN_RETRIEVED_SOURCE</t>
        </is>
      </c>
      <c r="K1511" s="42" t="str"/>
      <c r="L1511" s="42" t="str"/>
      <c r="M1511" s="42" t="str"/>
      <c r="N1511" s="42" t="str"/>
      <c r="O1511" s="42" t="inlineStr">
        <is>
          <t>現行公式資料でこの窓種のSAFE 30mil規格○/×を本Revisionでは直接取得できていない。推測しない。</t>
        </is>
      </c>
    </row>
    <row r="1512">
      <c r="A1512" s="42" t="inlineStr">
        <is>
          <t>SZ-SL-001511</t>
        </is>
      </c>
      <c r="B1512" s="42" t="inlineStr">
        <is>
          <t>WT-SL-TATE-SUBERI</t>
        </is>
      </c>
      <c r="C1512" s="42" t="inlineStr">
        <is>
          <t>縦すべり出し窓</t>
        </is>
      </c>
      <c r="D1512" s="42" t="inlineStr">
        <is>
          <t>SP-SL-TATE-CAM-TF-OUT</t>
        </is>
      </c>
      <c r="E1512" s="42" t="inlineStr">
        <is>
          <t>16511</t>
        </is>
      </c>
      <c r="F1512" s="42" t="inlineStr">
        <is>
          <t>1690</t>
        </is>
      </c>
      <c r="G1512" s="42" t="inlineStr">
        <is>
          <t>1170</t>
        </is>
      </c>
      <c r="H1512" s="42" t="inlineStr">
        <is>
          <t>True</t>
        </is>
      </c>
      <c r="I1512" s="42" t="inlineStr">
        <is>
          <t>NOT_EVALUATED</t>
        </is>
      </c>
      <c r="J1512" s="42" t="inlineStr">
        <is>
          <t>NO_DIRECT_STANDARD_MATRIX_IN_RETRIEVED_SOURCE</t>
        </is>
      </c>
      <c r="K1512" s="42" t="str"/>
      <c r="L1512" s="42" t="str"/>
      <c r="M1512" s="42" t="str"/>
      <c r="N1512" s="42" t="str"/>
      <c r="O1512" s="42" t="inlineStr">
        <is>
          <t>現行公式資料でこの窓種のSAFE 30mil規格○/×を本Revisionでは直接取得できていない。推測しない。</t>
        </is>
      </c>
    </row>
    <row r="1513">
      <c r="A1513" s="42" t="inlineStr">
        <is>
          <t>SZ-SL-001512</t>
        </is>
      </c>
      <c r="B1513" s="42" t="inlineStr">
        <is>
          <t>WT-SL-TATE-SUBERI</t>
        </is>
      </c>
      <c r="C1513" s="42" t="inlineStr">
        <is>
          <t>縦すべり出し窓</t>
        </is>
      </c>
      <c r="D1513" s="42" t="inlineStr">
        <is>
          <t>SP-SL-TATE-CAM-TF-OUT</t>
        </is>
      </c>
      <c r="E1513" s="42" t="inlineStr">
        <is>
          <t>11413</t>
        </is>
      </c>
      <c r="F1513" s="42" t="inlineStr">
        <is>
          <t>1185</t>
        </is>
      </c>
      <c r="G1513" s="42" t="inlineStr">
        <is>
          <t>1370</t>
        </is>
      </c>
      <c r="H1513" s="42" t="inlineStr">
        <is>
          <t>True</t>
        </is>
      </c>
      <c r="I1513" s="42" t="inlineStr">
        <is>
          <t>NOT_EVALUATED</t>
        </is>
      </c>
      <c r="J1513" s="42" t="inlineStr">
        <is>
          <t>NO_DIRECT_STANDARD_MATRIX_IN_RETRIEVED_SOURCE</t>
        </is>
      </c>
      <c r="K1513" s="42" t="str"/>
      <c r="L1513" s="42" t="str"/>
      <c r="M1513" s="42" t="str"/>
      <c r="N1513" s="42" t="str"/>
      <c r="O1513" s="42" t="inlineStr">
        <is>
          <t>現行公式資料でこの窓種のSAFE 30mil規格○/×を本Revisionでは直接取得できていない。推測しない。</t>
        </is>
      </c>
    </row>
    <row r="1514">
      <c r="A1514" s="42" t="inlineStr">
        <is>
          <t>SZ-SL-001513</t>
        </is>
      </c>
      <c r="B1514" s="42" t="inlineStr">
        <is>
          <t>WT-SL-TATE-SUBERI</t>
        </is>
      </c>
      <c r="C1514" s="42" t="inlineStr">
        <is>
          <t>縦すべり出し窓</t>
        </is>
      </c>
      <c r="D1514" s="42" t="inlineStr">
        <is>
          <t>SP-SL-TATE-CAM-TF-OUT</t>
        </is>
      </c>
      <c r="E1514" s="42" t="inlineStr">
        <is>
          <t>11913</t>
        </is>
      </c>
      <c r="F1514" s="42" t="inlineStr">
        <is>
          <t>1235</t>
        </is>
      </c>
      <c r="G1514" s="42" t="inlineStr">
        <is>
          <t>1370</t>
        </is>
      </c>
      <c r="H1514" s="42" t="inlineStr">
        <is>
          <t>True</t>
        </is>
      </c>
      <c r="I1514" s="42" t="inlineStr">
        <is>
          <t>NOT_EVALUATED</t>
        </is>
      </c>
      <c r="J1514" s="42" t="inlineStr">
        <is>
          <t>NO_DIRECT_STANDARD_MATRIX_IN_RETRIEVED_SOURCE</t>
        </is>
      </c>
      <c r="K1514" s="42" t="str"/>
      <c r="L1514" s="42" t="str"/>
      <c r="M1514" s="42" t="str"/>
      <c r="N1514" s="42" t="str"/>
      <c r="O1514" s="42" t="inlineStr">
        <is>
          <t>現行公式資料でこの窓種のSAFE 30mil規格○/×を本Revisionでは直接取得できていない。推測しない。</t>
        </is>
      </c>
    </row>
    <row r="1515">
      <c r="A1515" s="42" t="inlineStr">
        <is>
          <t>SZ-SL-001514</t>
        </is>
      </c>
      <c r="B1515" s="42" t="inlineStr">
        <is>
          <t>WT-SL-TATE-SUBERI</t>
        </is>
      </c>
      <c r="C1515" s="42" t="inlineStr">
        <is>
          <t>縦すべり出し窓</t>
        </is>
      </c>
      <c r="D1515" s="42" t="inlineStr">
        <is>
          <t>SP-SL-TATE-CAM-TF-OUT</t>
        </is>
      </c>
      <c r="E1515" s="42" t="inlineStr">
        <is>
          <t>16013</t>
        </is>
      </c>
      <c r="F1515" s="42" t="inlineStr">
        <is>
          <t>1640</t>
        </is>
      </c>
      <c r="G1515" s="42" t="inlineStr">
        <is>
          <t>1370</t>
        </is>
      </c>
      <c r="H1515" s="42" t="inlineStr">
        <is>
          <t>True</t>
        </is>
      </c>
      <c r="I1515" s="42" t="inlineStr">
        <is>
          <t>NOT_EVALUATED</t>
        </is>
      </c>
      <c r="J1515" s="42" t="inlineStr">
        <is>
          <t>NO_DIRECT_STANDARD_MATRIX_IN_RETRIEVED_SOURCE</t>
        </is>
      </c>
      <c r="K1515" s="42" t="str"/>
      <c r="L1515" s="42" t="str"/>
      <c r="M1515" s="42" t="str"/>
      <c r="N1515" s="42" t="str"/>
      <c r="O1515" s="42" t="inlineStr">
        <is>
          <t>現行公式資料でこの窓種のSAFE 30mil規格○/×を本Revisionでは直接取得できていない。推測しない。</t>
        </is>
      </c>
    </row>
    <row r="1516">
      <c r="A1516" s="42" t="inlineStr">
        <is>
          <t>SZ-SL-001515</t>
        </is>
      </c>
      <c r="B1516" s="42" t="inlineStr">
        <is>
          <t>WT-SL-TATE-SUBERI</t>
        </is>
      </c>
      <c r="C1516" s="42" t="inlineStr">
        <is>
          <t>縦すべり出し窓</t>
        </is>
      </c>
      <c r="D1516" s="42" t="inlineStr">
        <is>
          <t>SP-SL-TATE-CAM-TF-OUT</t>
        </is>
      </c>
      <c r="E1516" s="42" t="inlineStr">
        <is>
          <t>16513</t>
        </is>
      </c>
      <c r="F1516" s="42" t="inlineStr">
        <is>
          <t>1690</t>
        </is>
      </c>
      <c r="G1516" s="42" t="inlineStr">
        <is>
          <t>1370</t>
        </is>
      </c>
      <c r="H1516" s="42" t="inlineStr">
        <is>
          <t>True</t>
        </is>
      </c>
      <c r="I1516" s="42" t="inlineStr">
        <is>
          <t>NOT_EVALUATED</t>
        </is>
      </c>
      <c r="J1516" s="42" t="inlineStr">
        <is>
          <t>NO_DIRECT_STANDARD_MATRIX_IN_RETRIEVED_SOURCE</t>
        </is>
      </c>
      <c r="K1516" s="42" t="str"/>
      <c r="L1516" s="42" t="str"/>
      <c r="M1516" s="42" t="str"/>
      <c r="N1516" s="42" t="str"/>
      <c r="O1516" s="42" t="inlineStr">
        <is>
          <t>現行公式資料でこの窓種のSAFE 30mil規格○/×を本Revisionでは直接取得できていない。推測しない。</t>
        </is>
      </c>
    </row>
    <row r="1517">
      <c r="A1517" s="42" t="inlineStr">
        <is>
          <t>SZ-SL-001516</t>
        </is>
      </c>
      <c r="B1517" s="42" t="inlineStr">
        <is>
          <t>WT-SL-TATE-SUBERI</t>
        </is>
      </c>
      <c r="C1517" s="42" t="inlineStr">
        <is>
          <t>縦すべり出し窓</t>
        </is>
      </c>
      <c r="D1517" s="42" t="inlineStr">
        <is>
          <t>SP-SL-TATE-CAM-TFT-OUT</t>
        </is>
      </c>
      <c r="E1517" s="42" t="inlineStr">
        <is>
          <t>16009</t>
        </is>
      </c>
      <c r="F1517" s="42" t="inlineStr">
        <is>
          <t>1640</t>
        </is>
      </c>
      <c r="G1517" s="42" t="inlineStr">
        <is>
          <t>970</t>
        </is>
      </c>
      <c r="H1517" s="42" t="inlineStr">
        <is>
          <t>True</t>
        </is>
      </c>
      <c r="I1517" s="42" t="inlineStr">
        <is>
          <t>NOT_EVALUATED</t>
        </is>
      </c>
      <c r="J1517" s="42" t="inlineStr">
        <is>
          <t>NO_DIRECT_STANDARD_MATRIX_IN_RETRIEVED_SOURCE</t>
        </is>
      </c>
      <c r="K1517" s="42" t="str"/>
      <c r="L1517" s="42" t="str"/>
      <c r="M1517" s="42" t="str"/>
      <c r="N1517" s="42" t="str"/>
      <c r="O1517" s="42" t="inlineStr">
        <is>
          <t>現行公式資料でこの窓種のSAFE 30mil規格○/×を本Revisionでは直接取得できていない。推測しない。</t>
        </is>
      </c>
    </row>
    <row r="1518">
      <c r="A1518" s="42" t="inlineStr">
        <is>
          <t>SZ-SL-001517</t>
        </is>
      </c>
      <c r="B1518" s="42" t="inlineStr">
        <is>
          <t>WT-SL-TATE-SUBERI</t>
        </is>
      </c>
      <c r="C1518" s="42" t="inlineStr">
        <is>
          <t>縦すべり出し窓</t>
        </is>
      </c>
      <c r="D1518" s="42" t="inlineStr">
        <is>
          <t>SP-SL-TATE-CAM-TFT-OUT</t>
        </is>
      </c>
      <c r="E1518" s="42" t="inlineStr">
        <is>
          <t>16509</t>
        </is>
      </c>
      <c r="F1518" s="42" t="inlineStr">
        <is>
          <t>1690</t>
        </is>
      </c>
      <c r="G1518" s="42" t="inlineStr">
        <is>
          <t>970</t>
        </is>
      </c>
      <c r="H1518" s="42" t="inlineStr">
        <is>
          <t>True</t>
        </is>
      </c>
      <c r="I1518" s="42" t="inlineStr">
        <is>
          <t>NOT_EVALUATED</t>
        </is>
      </c>
      <c r="J1518" s="42" t="inlineStr">
        <is>
          <t>NO_DIRECT_STANDARD_MATRIX_IN_RETRIEVED_SOURCE</t>
        </is>
      </c>
      <c r="K1518" s="42" t="str"/>
      <c r="L1518" s="42" t="str"/>
      <c r="M1518" s="42" t="str"/>
      <c r="N1518" s="42" t="str"/>
      <c r="O1518" s="42" t="inlineStr">
        <is>
          <t>現行公式資料でこの窓種のSAFE 30mil規格○/×を本Revisionでは直接取得できていない。推測しない。</t>
        </is>
      </c>
    </row>
    <row r="1519">
      <c r="A1519" s="42" t="inlineStr">
        <is>
          <t>SZ-SL-001518</t>
        </is>
      </c>
      <c r="B1519" s="42" t="inlineStr">
        <is>
          <t>WT-SL-TATE-SUBERI</t>
        </is>
      </c>
      <c r="C1519" s="42" t="inlineStr">
        <is>
          <t>縦すべり出し窓</t>
        </is>
      </c>
      <c r="D1519" s="42" t="inlineStr">
        <is>
          <t>SP-SL-TATE-CAM-TFT-OUT</t>
        </is>
      </c>
      <c r="E1519" s="42" t="inlineStr">
        <is>
          <t>16011</t>
        </is>
      </c>
      <c r="F1519" s="42" t="inlineStr">
        <is>
          <t>1640</t>
        </is>
      </c>
      <c r="G1519" s="42" t="inlineStr">
        <is>
          <t>1170</t>
        </is>
      </c>
      <c r="H1519" s="42" t="inlineStr">
        <is>
          <t>True</t>
        </is>
      </c>
      <c r="I1519" s="42" t="inlineStr">
        <is>
          <t>NOT_EVALUATED</t>
        </is>
      </c>
      <c r="J1519" s="42" t="inlineStr">
        <is>
          <t>NO_DIRECT_STANDARD_MATRIX_IN_RETRIEVED_SOURCE</t>
        </is>
      </c>
      <c r="K1519" s="42" t="str"/>
      <c r="L1519" s="42" t="str"/>
      <c r="M1519" s="42" t="str"/>
      <c r="N1519" s="42" t="str"/>
      <c r="O1519" s="42" t="inlineStr">
        <is>
          <t>現行公式資料でこの窓種のSAFE 30mil規格○/×を本Revisionでは直接取得できていない。推測しない。</t>
        </is>
      </c>
    </row>
    <row r="1520">
      <c r="A1520" s="42" t="inlineStr">
        <is>
          <t>SZ-SL-001519</t>
        </is>
      </c>
      <c r="B1520" s="42" t="inlineStr">
        <is>
          <t>WT-SL-TATE-SUBERI</t>
        </is>
      </c>
      <c r="C1520" s="42" t="inlineStr">
        <is>
          <t>縦すべり出し窓</t>
        </is>
      </c>
      <c r="D1520" s="42" t="inlineStr">
        <is>
          <t>SP-SL-TATE-CAM-TFT-OUT</t>
        </is>
      </c>
      <c r="E1520" s="42" t="inlineStr">
        <is>
          <t>16511</t>
        </is>
      </c>
      <c r="F1520" s="42" t="inlineStr">
        <is>
          <t>1690</t>
        </is>
      </c>
      <c r="G1520" s="42" t="inlineStr">
        <is>
          <t>1170</t>
        </is>
      </c>
      <c r="H1520" s="42" t="inlineStr">
        <is>
          <t>True</t>
        </is>
      </c>
      <c r="I1520" s="42" t="inlineStr">
        <is>
          <t>NOT_EVALUATED</t>
        </is>
      </c>
      <c r="J1520" s="42" t="inlineStr">
        <is>
          <t>NO_DIRECT_STANDARD_MATRIX_IN_RETRIEVED_SOURCE</t>
        </is>
      </c>
      <c r="K1520" s="42" t="str"/>
      <c r="L1520" s="42" t="str"/>
      <c r="M1520" s="42" t="str"/>
      <c r="N1520" s="42" t="str"/>
      <c r="O1520" s="42" t="inlineStr">
        <is>
          <t>現行公式資料でこの窓種のSAFE 30mil規格○/×を本Revisionでは直接取得できていない。推測しない。</t>
        </is>
      </c>
    </row>
    <row r="1521">
      <c r="A1521" s="42" t="inlineStr">
        <is>
          <t>SZ-SL-001520</t>
        </is>
      </c>
      <c r="B1521" s="42" t="inlineStr">
        <is>
          <t>WT-SL-TATE-SUBERI</t>
        </is>
      </c>
      <c r="C1521" s="42" t="inlineStr">
        <is>
          <t>縦すべり出し窓</t>
        </is>
      </c>
      <c r="D1521" s="42" t="inlineStr">
        <is>
          <t>SP-SL-TATE-CAM-TFT-OUT</t>
        </is>
      </c>
      <c r="E1521" s="42" t="inlineStr">
        <is>
          <t>16013</t>
        </is>
      </c>
      <c r="F1521" s="42" t="inlineStr">
        <is>
          <t>1640</t>
        </is>
      </c>
      <c r="G1521" s="42" t="inlineStr">
        <is>
          <t>1370</t>
        </is>
      </c>
      <c r="H1521" s="42" t="inlineStr">
        <is>
          <t>True</t>
        </is>
      </c>
      <c r="I1521" s="42" t="inlineStr">
        <is>
          <t>NOT_EVALUATED</t>
        </is>
      </c>
      <c r="J1521" s="42" t="inlineStr">
        <is>
          <t>NO_DIRECT_STANDARD_MATRIX_IN_RETRIEVED_SOURCE</t>
        </is>
      </c>
      <c r="K1521" s="42" t="str"/>
      <c r="L1521" s="42" t="str"/>
      <c r="M1521" s="42" t="str"/>
      <c r="N1521" s="42" t="str"/>
      <c r="O1521" s="42" t="inlineStr">
        <is>
          <t>現行公式資料でこの窓種のSAFE 30mil規格○/×を本Revisionでは直接取得できていない。推測しない。</t>
        </is>
      </c>
    </row>
    <row r="1522">
      <c r="A1522" s="42" t="inlineStr">
        <is>
          <t>SZ-SL-001521</t>
        </is>
      </c>
      <c r="B1522" s="42" t="inlineStr">
        <is>
          <t>WT-SL-TATE-SUBERI</t>
        </is>
      </c>
      <c r="C1522" s="42" t="inlineStr">
        <is>
          <t>縦すべり出し窓</t>
        </is>
      </c>
      <c r="D1522" s="42" t="inlineStr">
        <is>
          <t>SP-SL-TATE-CAM-TFT-OUT</t>
        </is>
      </c>
      <c r="E1522" s="42" t="inlineStr">
        <is>
          <t>16513</t>
        </is>
      </c>
      <c r="F1522" s="42" t="inlineStr">
        <is>
          <t>1690</t>
        </is>
      </c>
      <c r="G1522" s="42" t="inlineStr">
        <is>
          <t>1370</t>
        </is>
      </c>
      <c r="H1522" s="42" t="inlineStr">
        <is>
          <t>True</t>
        </is>
      </c>
      <c r="I1522" s="42" t="inlineStr">
        <is>
          <t>NOT_EVALUATED</t>
        </is>
      </c>
      <c r="J1522" s="42" t="inlineStr">
        <is>
          <t>NO_DIRECT_STANDARD_MATRIX_IN_RETRIEVED_SOURCE</t>
        </is>
      </c>
      <c r="K1522" s="42" t="str"/>
      <c r="L1522" s="42" t="str"/>
      <c r="M1522" s="42" t="str"/>
      <c r="N1522" s="42" t="str"/>
      <c r="O1522" s="42" t="inlineStr">
        <is>
          <t>現行公式資料でこの窓種のSAFE 30mil規格○/×を本Revisionでは直接取得できていない。推測しない。</t>
        </is>
      </c>
    </row>
    <row r="1523">
      <c r="A1523" s="42" t="inlineStr">
        <is>
          <t>SZ-SL-001522</t>
        </is>
      </c>
      <c r="B1523" s="42" t="inlineStr">
        <is>
          <t>WT-SL-TATE-SUBERI</t>
        </is>
      </c>
      <c r="C1523" s="42" t="inlineStr">
        <is>
          <t>縦すべり出し窓</t>
        </is>
      </c>
      <c r="D1523" s="42" t="inlineStr">
        <is>
          <t>SP-SL-TATE-CAM-TF-IN</t>
        </is>
      </c>
      <c r="E1523" s="42" t="inlineStr">
        <is>
          <t>11409</t>
        </is>
      </c>
      <c r="F1523" s="42" t="inlineStr">
        <is>
          <t>1185</t>
        </is>
      </c>
      <c r="G1523" s="42" t="inlineStr">
        <is>
          <t>970</t>
        </is>
      </c>
      <c r="H1523" s="42" t="inlineStr">
        <is>
          <t>True</t>
        </is>
      </c>
      <c r="I1523" s="42" t="inlineStr">
        <is>
          <t>NOT_EVALUATED</t>
        </is>
      </c>
      <c r="J1523" s="42" t="inlineStr">
        <is>
          <t>NO_DIRECT_STANDARD_MATRIX_IN_RETRIEVED_SOURCE</t>
        </is>
      </c>
      <c r="K1523" s="42" t="str"/>
      <c r="L1523" s="42" t="str"/>
      <c r="M1523" s="42" t="str"/>
      <c r="N1523" s="42" t="str"/>
      <c r="O1523" s="42" t="inlineStr">
        <is>
          <t>現行公式資料でこの窓種のSAFE 30mil規格○/×を本Revisionでは直接取得できていない。推測しない。</t>
        </is>
      </c>
    </row>
    <row r="1524">
      <c r="A1524" s="42" t="inlineStr">
        <is>
          <t>SZ-SL-001523</t>
        </is>
      </c>
      <c r="B1524" s="42" t="inlineStr">
        <is>
          <t>WT-SL-TATE-SUBERI</t>
        </is>
      </c>
      <c r="C1524" s="42" t="inlineStr">
        <is>
          <t>縦すべり出し窓</t>
        </is>
      </c>
      <c r="D1524" s="42" t="inlineStr">
        <is>
          <t>SP-SL-TATE-CAM-TF-IN</t>
        </is>
      </c>
      <c r="E1524" s="42" t="inlineStr">
        <is>
          <t>11909</t>
        </is>
      </c>
      <c r="F1524" s="42" t="inlineStr">
        <is>
          <t>1235</t>
        </is>
      </c>
      <c r="G1524" s="42" t="inlineStr">
        <is>
          <t>970</t>
        </is>
      </c>
      <c r="H1524" s="42" t="inlineStr">
        <is>
          <t>True</t>
        </is>
      </c>
      <c r="I1524" s="42" t="inlineStr">
        <is>
          <t>NOT_EVALUATED</t>
        </is>
      </c>
      <c r="J1524" s="42" t="inlineStr">
        <is>
          <t>NO_DIRECT_STANDARD_MATRIX_IN_RETRIEVED_SOURCE</t>
        </is>
      </c>
      <c r="K1524" s="42" t="str"/>
      <c r="L1524" s="42" t="str"/>
      <c r="M1524" s="42" t="str"/>
      <c r="N1524" s="42" t="str"/>
      <c r="O1524" s="42" t="inlineStr">
        <is>
          <t>現行公式資料でこの窓種のSAFE 30mil規格○/×を本Revisionでは直接取得できていない。推測しない。</t>
        </is>
      </c>
    </row>
    <row r="1525">
      <c r="A1525" s="42" t="inlineStr">
        <is>
          <t>SZ-SL-001524</t>
        </is>
      </c>
      <c r="B1525" s="42" t="inlineStr">
        <is>
          <t>WT-SL-TATE-SUBERI</t>
        </is>
      </c>
      <c r="C1525" s="42" t="inlineStr">
        <is>
          <t>縦すべり出し窓</t>
        </is>
      </c>
      <c r="D1525" s="42" t="inlineStr">
        <is>
          <t>SP-SL-TATE-CAM-TF-IN</t>
        </is>
      </c>
      <c r="E1525" s="42" t="inlineStr">
        <is>
          <t>16009</t>
        </is>
      </c>
      <c r="F1525" s="42" t="inlineStr">
        <is>
          <t>1640</t>
        </is>
      </c>
      <c r="G1525" s="42" t="inlineStr">
        <is>
          <t>970</t>
        </is>
      </c>
      <c r="H1525" s="42" t="inlineStr">
        <is>
          <t>True</t>
        </is>
      </c>
      <c r="I1525" s="42" t="inlineStr">
        <is>
          <t>NOT_EVALUATED</t>
        </is>
      </c>
      <c r="J1525" s="42" t="inlineStr">
        <is>
          <t>NO_DIRECT_STANDARD_MATRIX_IN_RETRIEVED_SOURCE</t>
        </is>
      </c>
      <c r="K1525" s="42" t="str"/>
      <c r="L1525" s="42" t="str"/>
      <c r="M1525" s="42" t="str"/>
      <c r="N1525" s="42" t="str"/>
      <c r="O1525" s="42" t="inlineStr">
        <is>
          <t>現行公式資料でこの窓種のSAFE 30mil規格○/×を本Revisionでは直接取得できていない。推測しない。</t>
        </is>
      </c>
    </row>
    <row r="1526">
      <c r="A1526" s="42" t="inlineStr">
        <is>
          <t>SZ-SL-001525</t>
        </is>
      </c>
      <c r="B1526" s="42" t="inlineStr">
        <is>
          <t>WT-SL-TATE-SUBERI</t>
        </is>
      </c>
      <c r="C1526" s="42" t="inlineStr">
        <is>
          <t>縦すべり出し窓</t>
        </is>
      </c>
      <c r="D1526" s="42" t="inlineStr">
        <is>
          <t>SP-SL-TATE-CAM-TF-IN</t>
        </is>
      </c>
      <c r="E1526" s="42" t="inlineStr">
        <is>
          <t>16509</t>
        </is>
      </c>
      <c r="F1526" s="42" t="inlineStr">
        <is>
          <t>1690</t>
        </is>
      </c>
      <c r="G1526" s="42" t="inlineStr">
        <is>
          <t>970</t>
        </is>
      </c>
      <c r="H1526" s="42" t="inlineStr">
        <is>
          <t>True</t>
        </is>
      </c>
      <c r="I1526" s="42" t="inlineStr">
        <is>
          <t>NOT_EVALUATED</t>
        </is>
      </c>
      <c r="J1526" s="42" t="inlineStr">
        <is>
          <t>NO_DIRECT_STANDARD_MATRIX_IN_RETRIEVED_SOURCE</t>
        </is>
      </c>
      <c r="K1526" s="42" t="str"/>
      <c r="L1526" s="42" t="str"/>
      <c r="M1526" s="42" t="str"/>
      <c r="N1526" s="42" t="str"/>
      <c r="O1526" s="42" t="inlineStr">
        <is>
          <t>現行公式資料でこの窓種のSAFE 30mil規格○/×を本Revisionでは直接取得できていない。推測しない。</t>
        </is>
      </c>
    </row>
    <row r="1527">
      <c r="A1527" s="42" t="inlineStr">
        <is>
          <t>SZ-SL-001526</t>
        </is>
      </c>
      <c r="B1527" s="42" t="inlineStr">
        <is>
          <t>WT-SL-TATE-SUBERI</t>
        </is>
      </c>
      <c r="C1527" s="42" t="inlineStr">
        <is>
          <t>縦すべり出し窓</t>
        </is>
      </c>
      <c r="D1527" s="42" t="inlineStr">
        <is>
          <t>SP-SL-TATE-CAM-TF-IN</t>
        </is>
      </c>
      <c r="E1527" s="42" t="inlineStr">
        <is>
          <t>11411</t>
        </is>
      </c>
      <c r="F1527" s="42" t="inlineStr">
        <is>
          <t>1185</t>
        </is>
      </c>
      <c r="G1527" s="42" t="inlineStr">
        <is>
          <t>1170</t>
        </is>
      </c>
      <c r="H1527" s="42" t="inlineStr">
        <is>
          <t>True</t>
        </is>
      </c>
      <c r="I1527" s="42" t="inlineStr">
        <is>
          <t>NOT_EVALUATED</t>
        </is>
      </c>
      <c r="J1527" s="42" t="inlineStr">
        <is>
          <t>NO_DIRECT_STANDARD_MATRIX_IN_RETRIEVED_SOURCE</t>
        </is>
      </c>
      <c r="K1527" s="42" t="str"/>
      <c r="L1527" s="42" t="str"/>
      <c r="M1527" s="42" t="str"/>
      <c r="N1527" s="42" t="str"/>
      <c r="O1527" s="42" t="inlineStr">
        <is>
          <t>現行公式資料でこの窓種のSAFE 30mil規格○/×を本Revisionでは直接取得できていない。推測しない。</t>
        </is>
      </c>
    </row>
    <row r="1528">
      <c r="A1528" s="42" t="inlineStr">
        <is>
          <t>SZ-SL-001527</t>
        </is>
      </c>
      <c r="B1528" s="42" t="inlineStr">
        <is>
          <t>WT-SL-TATE-SUBERI</t>
        </is>
      </c>
      <c r="C1528" s="42" t="inlineStr">
        <is>
          <t>縦すべり出し窓</t>
        </is>
      </c>
      <c r="D1528" s="42" t="inlineStr">
        <is>
          <t>SP-SL-TATE-CAM-TF-IN</t>
        </is>
      </c>
      <c r="E1528" s="42" t="inlineStr">
        <is>
          <t>11911</t>
        </is>
      </c>
      <c r="F1528" s="42" t="inlineStr">
        <is>
          <t>1235</t>
        </is>
      </c>
      <c r="G1528" s="42" t="inlineStr">
        <is>
          <t>1170</t>
        </is>
      </c>
      <c r="H1528" s="42" t="inlineStr">
        <is>
          <t>True</t>
        </is>
      </c>
      <c r="I1528" s="42" t="inlineStr">
        <is>
          <t>NOT_EVALUATED</t>
        </is>
      </c>
      <c r="J1528" s="42" t="inlineStr">
        <is>
          <t>NO_DIRECT_STANDARD_MATRIX_IN_RETRIEVED_SOURCE</t>
        </is>
      </c>
      <c r="K1528" s="42" t="str"/>
      <c r="L1528" s="42" t="str"/>
      <c r="M1528" s="42" t="str"/>
      <c r="N1528" s="42" t="str"/>
      <c r="O1528" s="42" t="inlineStr">
        <is>
          <t>現行公式資料でこの窓種のSAFE 30mil規格○/×を本Revisionでは直接取得できていない。推測しない。</t>
        </is>
      </c>
    </row>
    <row r="1529">
      <c r="A1529" s="42" t="inlineStr">
        <is>
          <t>SZ-SL-001528</t>
        </is>
      </c>
      <c r="B1529" s="42" t="inlineStr">
        <is>
          <t>WT-SL-TATE-SUBERI</t>
        </is>
      </c>
      <c r="C1529" s="42" t="inlineStr">
        <is>
          <t>縦すべり出し窓</t>
        </is>
      </c>
      <c r="D1529" s="42" t="inlineStr">
        <is>
          <t>SP-SL-TATE-CAM-TF-IN</t>
        </is>
      </c>
      <c r="E1529" s="42" t="inlineStr">
        <is>
          <t>16011</t>
        </is>
      </c>
      <c r="F1529" s="42" t="inlineStr">
        <is>
          <t>1640</t>
        </is>
      </c>
      <c r="G1529" s="42" t="inlineStr">
        <is>
          <t>1170</t>
        </is>
      </c>
      <c r="H1529" s="42" t="inlineStr">
        <is>
          <t>True</t>
        </is>
      </c>
      <c r="I1529" s="42" t="inlineStr">
        <is>
          <t>NOT_EVALUATED</t>
        </is>
      </c>
      <c r="J1529" s="42" t="inlineStr">
        <is>
          <t>NO_DIRECT_STANDARD_MATRIX_IN_RETRIEVED_SOURCE</t>
        </is>
      </c>
      <c r="K1529" s="42" t="str"/>
      <c r="L1529" s="42" t="str"/>
      <c r="M1529" s="42" t="str"/>
      <c r="N1529" s="42" t="str"/>
      <c r="O1529" s="42" t="inlineStr">
        <is>
          <t>現行公式資料でこの窓種のSAFE 30mil規格○/×を本Revisionでは直接取得できていない。推測しない。</t>
        </is>
      </c>
    </row>
    <row r="1530">
      <c r="A1530" s="42" t="inlineStr">
        <is>
          <t>SZ-SL-001529</t>
        </is>
      </c>
      <c r="B1530" s="42" t="inlineStr">
        <is>
          <t>WT-SL-TATE-SUBERI</t>
        </is>
      </c>
      <c r="C1530" s="42" t="inlineStr">
        <is>
          <t>縦すべり出し窓</t>
        </is>
      </c>
      <c r="D1530" s="42" t="inlineStr">
        <is>
          <t>SP-SL-TATE-CAM-TF-IN</t>
        </is>
      </c>
      <c r="E1530" s="42" t="inlineStr">
        <is>
          <t>16511</t>
        </is>
      </c>
      <c r="F1530" s="42" t="inlineStr">
        <is>
          <t>1690</t>
        </is>
      </c>
      <c r="G1530" s="42" t="inlineStr">
        <is>
          <t>1170</t>
        </is>
      </c>
      <c r="H1530" s="42" t="inlineStr">
        <is>
          <t>True</t>
        </is>
      </c>
      <c r="I1530" s="42" t="inlineStr">
        <is>
          <t>NOT_EVALUATED</t>
        </is>
      </c>
      <c r="J1530" s="42" t="inlineStr">
        <is>
          <t>NO_DIRECT_STANDARD_MATRIX_IN_RETRIEVED_SOURCE</t>
        </is>
      </c>
      <c r="K1530" s="42" t="str"/>
      <c r="L1530" s="42" t="str"/>
      <c r="M1530" s="42" t="str"/>
      <c r="N1530" s="42" t="str"/>
      <c r="O1530" s="42" t="inlineStr">
        <is>
          <t>現行公式資料でこの窓種のSAFE 30mil規格○/×を本Revisionでは直接取得できていない。推測しない。</t>
        </is>
      </c>
    </row>
    <row r="1531">
      <c r="A1531" s="42" t="inlineStr">
        <is>
          <t>SZ-SL-001530</t>
        </is>
      </c>
      <c r="B1531" s="42" t="inlineStr">
        <is>
          <t>WT-SL-TATE-SUBERI</t>
        </is>
      </c>
      <c r="C1531" s="42" t="inlineStr">
        <is>
          <t>縦すべり出し窓</t>
        </is>
      </c>
      <c r="D1531" s="42" t="inlineStr">
        <is>
          <t>SP-SL-TATE-CAM-TF-IN</t>
        </is>
      </c>
      <c r="E1531" s="42" t="inlineStr">
        <is>
          <t>11413</t>
        </is>
      </c>
      <c r="F1531" s="42" t="inlineStr">
        <is>
          <t>1185</t>
        </is>
      </c>
      <c r="G1531" s="42" t="inlineStr">
        <is>
          <t>1370</t>
        </is>
      </c>
      <c r="H1531" s="42" t="inlineStr">
        <is>
          <t>True</t>
        </is>
      </c>
      <c r="I1531" s="42" t="inlineStr">
        <is>
          <t>NOT_EVALUATED</t>
        </is>
      </c>
      <c r="J1531" s="42" t="inlineStr">
        <is>
          <t>NO_DIRECT_STANDARD_MATRIX_IN_RETRIEVED_SOURCE</t>
        </is>
      </c>
      <c r="K1531" s="42" t="str"/>
      <c r="L1531" s="42" t="str"/>
      <c r="M1531" s="42" t="str"/>
      <c r="N1531" s="42" t="str"/>
      <c r="O1531" s="42" t="inlineStr">
        <is>
          <t>現行公式資料でこの窓種のSAFE 30mil規格○/×を本Revisionでは直接取得できていない。推測しない。</t>
        </is>
      </c>
    </row>
    <row r="1532">
      <c r="A1532" s="42" t="inlineStr">
        <is>
          <t>SZ-SL-001531</t>
        </is>
      </c>
      <c r="B1532" s="42" t="inlineStr">
        <is>
          <t>WT-SL-TATE-SUBERI</t>
        </is>
      </c>
      <c r="C1532" s="42" t="inlineStr">
        <is>
          <t>縦すべり出し窓</t>
        </is>
      </c>
      <c r="D1532" s="42" t="inlineStr">
        <is>
          <t>SP-SL-TATE-CAM-TF-IN</t>
        </is>
      </c>
      <c r="E1532" s="42" t="inlineStr">
        <is>
          <t>11913</t>
        </is>
      </c>
      <c r="F1532" s="42" t="inlineStr">
        <is>
          <t>1235</t>
        </is>
      </c>
      <c r="G1532" s="42" t="inlineStr">
        <is>
          <t>1370</t>
        </is>
      </c>
      <c r="H1532" s="42" t="inlineStr">
        <is>
          <t>True</t>
        </is>
      </c>
      <c r="I1532" s="42" t="inlineStr">
        <is>
          <t>NOT_EVALUATED</t>
        </is>
      </c>
      <c r="J1532" s="42" t="inlineStr">
        <is>
          <t>NO_DIRECT_STANDARD_MATRIX_IN_RETRIEVED_SOURCE</t>
        </is>
      </c>
      <c r="K1532" s="42" t="str"/>
      <c r="L1532" s="42" t="str"/>
      <c r="M1532" s="42" t="str"/>
      <c r="N1532" s="42" t="str"/>
      <c r="O1532" s="42" t="inlineStr">
        <is>
          <t>現行公式資料でこの窓種のSAFE 30mil規格○/×を本Revisionでは直接取得できていない。推測しない。</t>
        </is>
      </c>
    </row>
    <row r="1533">
      <c r="A1533" s="42" t="inlineStr">
        <is>
          <t>SZ-SL-001532</t>
        </is>
      </c>
      <c r="B1533" s="42" t="inlineStr">
        <is>
          <t>WT-SL-TATE-SUBERI</t>
        </is>
      </c>
      <c r="C1533" s="42" t="inlineStr">
        <is>
          <t>縦すべり出し窓</t>
        </is>
      </c>
      <c r="D1533" s="42" t="inlineStr">
        <is>
          <t>SP-SL-TATE-CAM-TF-IN</t>
        </is>
      </c>
      <c r="E1533" s="42" t="inlineStr">
        <is>
          <t>16013</t>
        </is>
      </c>
      <c r="F1533" s="42" t="inlineStr">
        <is>
          <t>1640</t>
        </is>
      </c>
      <c r="G1533" s="42" t="inlineStr">
        <is>
          <t>1370</t>
        </is>
      </c>
      <c r="H1533" s="42" t="inlineStr">
        <is>
          <t>True</t>
        </is>
      </c>
      <c r="I1533" s="42" t="inlineStr">
        <is>
          <t>NOT_EVALUATED</t>
        </is>
      </c>
      <c r="J1533" s="42" t="inlineStr">
        <is>
          <t>NO_DIRECT_STANDARD_MATRIX_IN_RETRIEVED_SOURCE</t>
        </is>
      </c>
      <c r="K1533" s="42" t="str"/>
      <c r="L1533" s="42" t="str"/>
      <c r="M1533" s="42" t="str"/>
      <c r="N1533" s="42" t="str"/>
      <c r="O1533" s="42" t="inlineStr">
        <is>
          <t>現行公式資料でこの窓種のSAFE 30mil規格○/×を本Revisionでは直接取得できていない。推測しない。</t>
        </is>
      </c>
    </row>
    <row r="1534">
      <c r="A1534" s="42" t="inlineStr">
        <is>
          <t>SZ-SL-001533</t>
        </is>
      </c>
      <c r="B1534" s="42" t="inlineStr">
        <is>
          <t>WT-SL-TATE-SUBERI</t>
        </is>
      </c>
      <c r="C1534" s="42" t="inlineStr">
        <is>
          <t>縦すべり出し窓</t>
        </is>
      </c>
      <c r="D1534" s="42" t="inlineStr">
        <is>
          <t>SP-SL-TATE-CAM-TF-IN</t>
        </is>
      </c>
      <c r="E1534" s="42" t="inlineStr">
        <is>
          <t>16513</t>
        </is>
      </c>
      <c r="F1534" s="42" t="inlineStr">
        <is>
          <t>1690</t>
        </is>
      </c>
      <c r="G1534" s="42" t="inlineStr">
        <is>
          <t>1370</t>
        </is>
      </c>
      <c r="H1534" s="42" t="inlineStr">
        <is>
          <t>True</t>
        </is>
      </c>
      <c r="I1534" s="42" t="inlineStr">
        <is>
          <t>NOT_EVALUATED</t>
        </is>
      </c>
      <c r="J1534" s="42" t="inlineStr">
        <is>
          <t>NO_DIRECT_STANDARD_MATRIX_IN_RETRIEVED_SOURCE</t>
        </is>
      </c>
      <c r="K1534" s="42" t="str"/>
      <c r="L1534" s="42" t="str"/>
      <c r="M1534" s="42" t="str"/>
      <c r="N1534" s="42" t="str"/>
      <c r="O1534" s="42" t="inlineStr">
        <is>
          <t>現行公式資料でこの窓種のSAFE 30mil規格○/×を本Revisionでは直接取得できていない。推測しない。</t>
        </is>
      </c>
    </row>
    <row r="1535">
      <c r="A1535" s="42" t="inlineStr">
        <is>
          <t>SZ-SL-001534</t>
        </is>
      </c>
      <c r="B1535" s="42" t="inlineStr">
        <is>
          <t>WT-SL-TATE-SUBERI</t>
        </is>
      </c>
      <c r="C1535" s="42" t="inlineStr">
        <is>
          <t>縦すべり出し窓</t>
        </is>
      </c>
      <c r="D1535" s="42" t="inlineStr">
        <is>
          <t>SP-SL-TATE-CAM-TFT-IN</t>
        </is>
      </c>
      <c r="E1535" s="42" t="inlineStr">
        <is>
          <t>16009</t>
        </is>
      </c>
      <c r="F1535" s="42" t="inlineStr">
        <is>
          <t>1640</t>
        </is>
      </c>
      <c r="G1535" s="42" t="inlineStr">
        <is>
          <t>970</t>
        </is>
      </c>
      <c r="H1535" s="42" t="inlineStr">
        <is>
          <t>True</t>
        </is>
      </c>
      <c r="I1535" s="42" t="inlineStr">
        <is>
          <t>NOT_EVALUATED</t>
        </is>
      </c>
      <c r="J1535" s="42" t="inlineStr">
        <is>
          <t>NO_DIRECT_STANDARD_MATRIX_IN_RETRIEVED_SOURCE</t>
        </is>
      </c>
      <c r="K1535" s="42" t="str"/>
      <c r="L1535" s="42" t="str"/>
      <c r="M1535" s="42" t="str"/>
      <c r="N1535" s="42" t="str"/>
      <c r="O1535" s="42" t="inlineStr">
        <is>
          <t>現行公式資料でこの窓種のSAFE 30mil規格○/×を本Revisionでは直接取得できていない。推測しない。</t>
        </is>
      </c>
    </row>
    <row r="1536">
      <c r="A1536" s="42" t="inlineStr">
        <is>
          <t>SZ-SL-001535</t>
        </is>
      </c>
      <c r="B1536" s="42" t="inlineStr">
        <is>
          <t>WT-SL-TATE-SUBERI</t>
        </is>
      </c>
      <c r="C1536" s="42" t="inlineStr">
        <is>
          <t>縦すべり出し窓</t>
        </is>
      </c>
      <c r="D1536" s="42" t="inlineStr">
        <is>
          <t>SP-SL-TATE-CAM-TFT-IN</t>
        </is>
      </c>
      <c r="E1536" s="42" t="inlineStr">
        <is>
          <t>16509</t>
        </is>
      </c>
      <c r="F1536" s="42" t="inlineStr">
        <is>
          <t>1690</t>
        </is>
      </c>
      <c r="G1536" s="42" t="inlineStr">
        <is>
          <t>970</t>
        </is>
      </c>
      <c r="H1536" s="42" t="inlineStr">
        <is>
          <t>True</t>
        </is>
      </c>
      <c r="I1536" s="42" t="inlineStr">
        <is>
          <t>NOT_EVALUATED</t>
        </is>
      </c>
      <c r="J1536" s="42" t="inlineStr">
        <is>
          <t>NO_DIRECT_STANDARD_MATRIX_IN_RETRIEVED_SOURCE</t>
        </is>
      </c>
      <c r="K1536" s="42" t="str"/>
      <c r="L1536" s="42" t="str"/>
      <c r="M1536" s="42" t="str"/>
      <c r="N1536" s="42" t="str"/>
      <c r="O1536" s="42" t="inlineStr">
        <is>
          <t>現行公式資料でこの窓種のSAFE 30mil規格○/×を本Revisionでは直接取得できていない。推測しない。</t>
        </is>
      </c>
    </row>
    <row r="1537">
      <c r="A1537" s="42" t="inlineStr">
        <is>
          <t>SZ-SL-001536</t>
        </is>
      </c>
      <c r="B1537" s="42" t="inlineStr">
        <is>
          <t>WT-SL-TATE-SUBERI</t>
        </is>
      </c>
      <c r="C1537" s="42" t="inlineStr">
        <is>
          <t>縦すべり出し窓</t>
        </is>
      </c>
      <c r="D1537" s="42" t="inlineStr">
        <is>
          <t>SP-SL-TATE-CAM-TFT-IN</t>
        </is>
      </c>
      <c r="E1537" s="42" t="inlineStr">
        <is>
          <t>16011</t>
        </is>
      </c>
      <c r="F1537" s="42" t="inlineStr">
        <is>
          <t>1640</t>
        </is>
      </c>
      <c r="G1537" s="42" t="inlineStr">
        <is>
          <t>1170</t>
        </is>
      </c>
      <c r="H1537" s="42" t="inlineStr">
        <is>
          <t>True</t>
        </is>
      </c>
      <c r="I1537" s="42" t="inlineStr">
        <is>
          <t>NOT_EVALUATED</t>
        </is>
      </c>
      <c r="J1537" s="42" t="inlineStr">
        <is>
          <t>NO_DIRECT_STANDARD_MATRIX_IN_RETRIEVED_SOURCE</t>
        </is>
      </c>
      <c r="K1537" s="42" t="str"/>
      <c r="L1537" s="42" t="str"/>
      <c r="M1537" s="42" t="str"/>
      <c r="N1537" s="42" t="str"/>
      <c r="O1537" s="42" t="inlineStr">
        <is>
          <t>現行公式資料でこの窓種のSAFE 30mil規格○/×を本Revisionでは直接取得できていない。推測しない。</t>
        </is>
      </c>
    </row>
    <row r="1538">
      <c r="A1538" s="42" t="inlineStr">
        <is>
          <t>SZ-SL-001537</t>
        </is>
      </c>
      <c r="B1538" s="42" t="inlineStr">
        <is>
          <t>WT-SL-TATE-SUBERI</t>
        </is>
      </c>
      <c r="C1538" s="42" t="inlineStr">
        <is>
          <t>縦すべり出し窓</t>
        </is>
      </c>
      <c r="D1538" s="42" t="inlineStr">
        <is>
          <t>SP-SL-TATE-CAM-TFT-IN</t>
        </is>
      </c>
      <c r="E1538" s="42" t="inlineStr">
        <is>
          <t>16511</t>
        </is>
      </c>
      <c r="F1538" s="42" t="inlineStr">
        <is>
          <t>1690</t>
        </is>
      </c>
      <c r="G1538" s="42" t="inlineStr">
        <is>
          <t>1170</t>
        </is>
      </c>
      <c r="H1538" s="42" t="inlineStr">
        <is>
          <t>True</t>
        </is>
      </c>
      <c r="I1538" s="42" t="inlineStr">
        <is>
          <t>NOT_EVALUATED</t>
        </is>
      </c>
      <c r="J1538" s="42" t="inlineStr">
        <is>
          <t>NO_DIRECT_STANDARD_MATRIX_IN_RETRIEVED_SOURCE</t>
        </is>
      </c>
      <c r="K1538" s="42" t="str"/>
      <c r="L1538" s="42" t="str"/>
      <c r="M1538" s="42" t="str"/>
      <c r="N1538" s="42" t="str"/>
      <c r="O1538" s="42" t="inlineStr">
        <is>
          <t>現行公式資料でこの窓種のSAFE 30mil規格○/×を本Revisionでは直接取得できていない。推測しない。</t>
        </is>
      </c>
    </row>
    <row r="1539">
      <c r="A1539" s="42" t="inlineStr">
        <is>
          <t>SZ-SL-001538</t>
        </is>
      </c>
      <c r="B1539" s="42" t="inlineStr">
        <is>
          <t>WT-SL-TATE-SUBERI</t>
        </is>
      </c>
      <c r="C1539" s="42" t="inlineStr">
        <is>
          <t>縦すべり出し窓</t>
        </is>
      </c>
      <c r="D1539" s="42" t="inlineStr">
        <is>
          <t>SP-SL-TATE-CAM-TFT-IN</t>
        </is>
      </c>
      <c r="E1539" s="42" t="inlineStr">
        <is>
          <t>16013</t>
        </is>
      </c>
      <c r="F1539" s="42" t="inlineStr">
        <is>
          <t>1640</t>
        </is>
      </c>
      <c r="G1539" s="42" t="inlineStr">
        <is>
          <t>1370</t>
        </is>
      </c>
      <c r="H1539" s="42" t="inlineStr">
        <is>
          <t>True</t>
        </is>
      </c>
      <c r="I1539" s="42" t="inlineStr">
        <is>
          <t>NOT_EVALUATED</t>
        </is>
      </c>
      <c r="J1539" s="42" t="inlineStr">
        <is>
          <t>NO_DIRECT_STANDARD_MATRIX_IN_RETRIEVED_SOURCE</t>
        </is>
      </c>
      <c r="K1539" s="42" t="str"/>
      <c r="L1539" s="42" t="str"/>
      <c r="M1539" s="42" t="str"/>
      <c r="N1539" s="42" t="str"/>
      <c r="O1539" s="42" t="inlineStr">
        <is>
          <t>現行公式資料でこの窓種のSAFE 30mil規格○/×を本Revisionでは直接取得できていない。推測しない。</t>
        </is>
      </c>
    </row>
    <row r="1540">
      <c r="A1540" s="42" t="inlineStr">
        <is>
          <t>SZ-SL-001539</t>
        </is>
      </c>
      <c r="B1540" s="42" t="inlineStr">
        <is>
          <t>WT-SL-TATE-SUBERI</t>
        </is>
      </c>
      <c r="C1540" s="42" t="inlineStr">
        <is>
          <t>縦すべり出し窓</t>
        </is>
      </c>
      <c r="D1540" s="42" t="inlineStr">
        <is>
          <t>SP-SL-TATE-CAM-TFT-IN</t>
        </is>
      </c>
      <c r="E1540" s="42" t="inlineStr">
        <is>
          <t>16513</t>
        </is>
      </c>
      <c r="F1540" s="42" t="inlineStr">
        <is>
          <t>1690</t>
        </is>
      </c>
      <c r="G1540" s="42" t="inlineStr">
        <is>
          <t>1370</t>
        </is>
      </c>
      <c r="H1540" s="42" t="inlineStr">
        <is>
          <t>True</t>
        </is>
      </c>
      <c r="I1540" s="42" t="inlineStr">
        <is>
          <t>NOT_EVALUATED</t>
        </is>
      </c>
      <c r="J1540" s="42" t="inlineStr">
        <is>
          <t>NO_DIRECT_STANDARD_MATRIX_IN_RETRIEVED_SOURCE</t>
        </is>
      </c>
      <c r="K1540" s="42" t="str"/>
      <c r="L1540" s="42" t="str"/>
      <c r="M1540" s="42" t="str"/>
      <c r="N1540" s="42" t="str"/>
      <c r="O1540" s="42" t="inlineStr">
        <is>
          <t>現行公式資料でこの窓種のSAFE 30mil規格○/×を本Revisionでは直接取得できていない。推測しない。</t>
        </is>
      </c>
    </row>
    <row r="1541">
      <c r="A1541" s="42" t="inlineStr">
        <is>
          <t>SZ-SL-001540</t>
        </is>
      </c>
      <c r="B1541" s="42" t="inlineStr">
        <is>
          <t>WT-SL-YOKO-SUBERI</t>
        </is>
      </c>
      <c r="C1541" s="42" t="inlineStr">
        <is>
          <t>横すべり出し窓</t>
        </is>
      </c>
      <c r="D1541" s="42" t="inlineStr">
        <is>
          <t>SP-SL-YOKO-CAM</t>
        </is>
      </c>
      <c r="E1541" s="42" t="inlineStr">
        <is>
          <t>026023</t>
        </is>
      </c>
      <c r="F1541" s="42" t="inlineStr">
        <is>
          <t>300</t>
        </is>
      </c>
      <c r="G1541" s="42" t="inlineStr">
        <is>
          <t>300</t>
        </is>
      </c>
      <c r="H1541" s="42" t="inlineStr">
        <is>
          <t>True</t>
        </is>
      </c>
      <c r="I1541" s="42" t="inlineStr">
        <is>
          <t>NOT_EVALUATED</t>
        </is>
      </c>
      <c r="J1541" s="42" t="inlineStr">
        <is>
          <t>NO_DIRECT_STANDARD_MATRIX_IN_RETRIEVED_SOURCE</t>
        </is>
      </c>
      <c r="K1541" s="42" t="str"/>
      <c r="L1541" s="42" t="str"/>
      <c r="M1541" s="42" t="str"/>
      <c r="N1541" s="42" t="str"/>
      <c r="O1541" s="42" t="inlineStr">
        <is>
          <t>現行公式資料でこの窓種のSAFE 30mil規格○/×を本Revisionでは直接取得できていない。推測しない。</t>
        </is>
      </c>
    </row>
    <row r="1542">
      <c r="A1542" s="42" t="inlineStr">
        <is>
          <t>SZ-SL-001541</t>
        </is>
      </c>
      <c r="B1542" s="42" t="inlineStr">
        <is>
          <t>WT-SL-YOKO-SUBERI</t>
        </is>
      </c>
      <c r="C1542" s="42" t="inlineStr">
        <is>
          <t>横すべり出し窓</t>
        </is>
      </c>
      <c r="D1542" s="42" t="inlineStr">
        <is>
          <t>SP-SL-YOKO-CAM</t>
        </is>
      </c>
      <c r="E1542" s="42" t="inlineStr">
        <is>
          <t>031028</t>
        </is>
      </c>
      <c r="F1542" s="42" t="inlineStr">
        <is>
          <t>350</t>
        </is>
      </c>
      <c r="G1542" s="42" t="inlineStr">
        <is>
          <t>350</t>
        </is>
      </c>
      <c r="H1542" s="42" t="inlineStr">
        <is>
          <t>True</t>
        </is>
      </c>
      <c r="I1542" s="42" t="inlineStr">
        <is>
          <t>NOT_EVALUATED</t>
        </is>
      </c>
      <c r="J1542" s="42" t="inlineStr">
        <is>
          <t>NO_DIRECT_STANDARD_MATRIX_IN_RETRIEVED_SOURCE</t>
        </is>
      </c>
      <c r="K1542" s="42" t="str"/>
      <c r="L1542" s="42" t="str"/>
      <c r="M1542" s="42" t="str"/>
      <c r="N1542" s="42" t="str"/>
      <c r="O1542" s="42" t="inlineStr">
        <is>
          <t>現行公式資料でこの窓種のSAFE 30mil規格○/×を本Revisionでは直接取得できていない。推測しない。</t>
        </is>
      </c>
    </row>
    <row r="1543">
      <c r="A1543" s="42" t="inlineStr">
        <is>
          <t>SZ-SL-001542</t>
        </is>
      </c>
      <c r="B1543" s="42" t="inlineStr">
        <is>
          <t>WT-SL-YOKO-SUBERI</t>
        </is>
      </c>
      <c r="C1543" s="42" t="inlineStr">
        <is>
          <t>横すべり出し窓</t>
        </is>
      </c>
      <c r="D1543" s="42" t="inlineStr">
        <is>
          <t>SP-SL-YOKO-CAM</t>
        </is>
      </c>
      <c r="E1543" s="42" t="inlineStr">
        <is>
          <t>03603</t>
        </is>
      </c>
      <c r="F1543" s="42" t="inlineStr">
        <is>
          <t>405</t>
        </is>
      </c>
      <c r="G1543" s="42" t="inlineStr">
        <is>
          <t>370</t>
        </is>
      </c>
      <c r="H1543" s="42" t="inlineStr">
        <is>
          <t>True</t>
        </is>
      </c>
      <c r="I1543" s="42" t="inlineStr">
        <is>
          <t>NOT_EVALUATED</t>
        </is>
      </c>
      <c r="J1543" s="42" t="inlineStr">
        <is>
          <t>NO_DIRECT_STANDARD_MATRIX_IN_RETRIEVED_SOURCE</t>
        </is>
      </c>
      <c r="K1543" s="42" t="str"/>
      <c r="L1543" s="42" t="str"/>
      <c r="M1543" s="42" t="str"/>
      <c r="N1543" s="42" t="str"/>
      <c r="O1543" s="42" t="inlineStr">
        <is>
          <t>現行公式資料でこの窓種のSAFE 30mil規格○/×を本Revisionでは直接取得できていない。推測しない。</t>
        </is>
      </c>
    </row>
    <row r="1544">
      <c r="A1544" s="42" t="inlineStr">
        <is>
          <t>SZ-SL-001543</t>
        </is>
      </c>
      <c r="B1544" s="42" t="inlineStr">
        <is>
          <t>WT-SL-YOKO-SUBERI</t>
        </is>
      </c>
      <c r="C1544" s="42" t="inlineStr">
        <is>
          <t>横すべり出し窓</t>
        </is>
      </c>
      <c r="D1544" s="42" t="inlineStr">
        <is>
          <t>SP-SL-YOKO-CAM</t>
        </is>
      </c>
      <c r="E1544" s="42" t="inlineStr">
        <is>
          <t>036033</t>
        </is>
      </c>
      <c r="F1544" s="42" t="inlineStr">
        <is>
          <t>405</t>
        </is>
      </c>
      <c r="G1544" s="42" t="inlineStr">
        <is>
          <t>405</t>
        </is>
      </c>
      <c r="H1544" s="42" t="inlineStr">
        <is>
          <t>True</t>
        </is>
      </c>
      <c r="I1544" s="42" t="inlineStr">
        <is>
          <t>NOT_EVALUATED</t>
        </is>
      </c>
      <c r="J1544" s="42" t="inlineStr">
        <is>
          <t>NO_DIRECT_STANDARD_MATRIX_IN_RETRIEVED_SOURCE</t>
        </is>
      </c>
      <c r="K1544" s="42" t="str"/>
      <c r="L1544" s="42" t="str"/>
      <c r="M1544" s="42" t="str"/>
      <c r="N1544" s="42" t="str"/>
      <c r="O1544" s="42" t="inlineStr">
        <is>
          <t>現行公式資料でこの窓種のSAFE 30mil規格○/×を本Revisionでは直接取得できていない。推測しない。</t>
        </is>
      </c>
    </row>
    <row r="1545">
      <c r="A1545" s="42" t="inlineStr">
        <is>
          <t>SZ-SL-001544</t>
        </is>
      </c>
      <c r="B1545" s="42" t="inlineStr">
        <is>
          <t>WT-SL-YOKO-SUBERI</t>
        </is>
      </c>
      <c r="C1545" s="42" t="inlineStr">
        <is>
          <t>横すべり出し窓</t>
        </is>
      </c>
      <c r="D1545" s="42" t="inlineStr">
        <is>
          <t>SP-SL-YOKO-CAM</t>
        </is>
      </c>
      <c r="E1545" s="42" t="inlineStr">
        <is>
          <t>041038</t>
        </is>
      </c>
      <c r="F1545" s="42" t="inlineStr">
        <is>
          <t>450</t>
        </is>
      </c>
      <c r="G1545" s="42" t="inlineStr">
        <is>
          <t>450</t>
        </is>
      </c>
      <c r="H1545" s="42" t="inlineStr">
        <is>
          <t>True</t>
        </is>
      </c>
      <c r="I1545" s="42" t="inlineStr">
        <is>
          <t>NOT_EVALUATED</t>
        </is>
      </c>
      <c r="J1545" s="42" t="inlineStr">
        <is>
          <t>NO_DIRECT_STANDARD_MATRIX_IN_RETRIEVED_SOURCE</t>
        </is>
      </c>
      <c r="K1545" s="42" t="str"/>
      <c r="L1545" s="42" t="str"/>
      <c r="M1545" s="42" t="str"/>
      <c r="N1545" s="42" t="str"/>
      <c r="O1545" s="42" t="inlineStr">
        <is>
          <t>現行公式資料でこの窓種のSAFE 30mil規格○/×を本Revisionでは直接取得できていない。推測しない。</t>
        </is>
      </c>
    </row>
    <row r="1546">
      <c r="A1546" s="42" t="inlineStr">
        <is>
          <t>SZ-SL-001545</t>
        </is>
      </c>
      <c r="B1546" s="42" t="inlineStr">
        <is>
          <t>WT-SL-YOKO-SUBERI</t>
        </is>
      </c>
      <c r="C1546" s="42" t="inlineStr">
        <is>
          <t>横すべり出し窓</t>
        </is>
      </c>
      <c r="D1546" s="42" t="inlineStr">
        <is>
          <t>SP-SL-YOKO-CAM</t>
        </is>
      </c>
      <c r="E1546" s="42" t="inlineStr">
        <is>
          <t>06003</t>
        </is>
      </c>
      <c r="F1546" s="42" t="inlineStr">
        <is>
          <t>640</t>
        </is>
      </c>
      <c r="G1546" s="42" t="inlineStr">
        <is>
          <t>370</t>
        </is>
      </c>
      <c r="H1546" s="42" t="inlineStr">
        <is>
          <t>True</t>
        </is>
      </c>
      <c r="I1546" s="42" t="inlineStr">
        <is>
          <t>NOT_EVALUATED</t>
        </is>
      </c>
      <c r="J1546" s="42" t="inlineStr">
        <is>
          <t>NO_DIRECT_STANDARD_MATRIX_IN_RETRIEVED_SOURCE</t>
        </is>
      </c>
      <c r="K1546" s="42" t="str"/>
      <c r="L1546" s="42" t="str"/>
      <c r="M1546" s="42" t="str"/>
      <c r="N1546" s="42" t="str"/>
      <c r="O1546" s="42" t="inlineStr">
        <is>
          <t>現行公式資料でこの窓種のSAFE 30mil規格○/×を本Revisionでは直接取得できていない。推測しない。</t>
        </is>
      </c>
    </row>
    <row r="1547">
      <c r="A1547" s="42" t="inlineStr">
        <is>
          <t>SZ-SL-001546</t>
        </is>
      </c>
      <c r="B1547" s="42" t="inlineStr">
        <is>
          <t>WT-SL-YOKO-SUBERI</t>
        </is>
      </c>
      <c r="C1547" s="42" t="inlineStr">
        <is>
          <t>横すべり出し窓</t>
        </is>
      </c>
      <c r="D1547" s="42" t="inlineStr">
        <is>
          <t>SP-SL-YOKO-CAM</t>
        </is>
      </c>
      <c r="E1547" s="42" t="inlineStr">
        <is>
          <t>06903</t>
        </is>
      </c>
      <c r="F1547" s="42" t="inlineStr">
        <is>
          <t>730</t>
        </is>
      </c>
      <c r="G1547" s="42" t="inlineStr">
        <is>
          <t>370</t>
        </is>
      </c>
      <c r="H1547" s="42" t="inlineStr">
        <is>
          <t>True</t>
        </is>
      </c>
      <c r="I1547" s="42" t="inlineStr">
        <is>
          <t>NOT_EVALUATED</t>
        </is>
      </c>
      <c r="J1547" s="42" t="inlineStr">
        <is>
          <t>NO_DIRECT_STANDARD_MATRIX_IN_RETRIEVED_SOURCE</t>
        </is>
      </c>
      <c r="K1547" s="42" t="str"/>
      <c r="L1547" s="42" t="str"/>
      <c r="M1547" s="42" t="str"/>
      <c r="N1547" s="42" t="str"/>
      <c r="O1547" s="42" t="inlineStr">
        <is>
          <t>現行公式資料でこの窓種のSAFE 30mil規格○/×を本Revisionでは直接取得できていない。推測しない。</t>
        </is>
      </c>
    </row>
    <row r="1548">
      <c r="A1548" s="42" t="inlineStr">
        <is>
          <t>SZ-SL-001547</t>
        </is>
      </c>
      <c r="B1548" s="42" t="inlineStr">
        <is>
          <t>WT-SL-YOKO-SUBERI</t>
        </is>
      </c>
      <c r="C1548" s="42" t="inlineStr">
        <is>
          <t>横すべり出し窓</t>
        </is>
      </c>
      <c r="D1548" s="42" t="inlineStr">
        <is>
          <t>SP-SL-YOKO-CAM</t>
        </is>
      </c>
      <c r="E1548" s="42" t="inlineStr">
        <is>
          <t>07403</t>
        </is>
      </c>
      <c r="F1548" s="42" t="inlineStr">
        <is>
          <t>780</t>
        </is>
      </c>
      <c r="G1548" s="42" t="inlineStr">
        <is>
          <t>370</t>
        </is>
      </c>
      <c r="H1548" s="42" t="inlineStr">
        <is>
          <t>True</t>
        </is>
      </c>
      <c r="I1548" s="42" t="inlineStr">
        <is>
          <t>NOT_EVALUATED</t>
        </is>
      </c>
      <c r="J1548" s="42" t="inlineStr">
        <is>
          <t>NO_DIRECT_STANDARD_MATRIX_IN_RETRIEVED_SOURCE</t>
        </is>
      </c>
      <c r="K1548" s="42" t="str"/>
      <c r="L1548" s="42" t="str"/>
      <c r="M1548" s="42" t="str"/>
      <c r="N1548" s="42" t="str"/>
      <c r="O1548" s="42" t="inlineStr">
        <is>
          <t>現行公式資料でこの窓種のSAFE 30mil規格○/×を本Revisionでは直接取得できていない。推測しない。</t>
        </is>
      </c>
    </row>
    <row r="1549">
      <c r="A1549" s="42" t="inlineStr">
        <is>
          <t>SZ-SL-001548</t>
        </is>
      </c>
      <c r="B1549" s="42" t="inlineStr">
        <is>
          <t>WT-SL-YOKO-SUBERI</t>
        </is>
      </c>
      <c r="C1549" s="42" t="inlineStr">
        <is>
          <t>横すべり出し窓</t>
        </is>
      </c>
      <c r="D1549" s="42" t="inlineStr">
        <is>
          <t>SP-SL-YOKO-CAM</t>
        </is>
      </c>
      <c r="E1549" s="42" t="inlineStr">
        <is>
          <t>03605</t>
        </is>
      </c>
      <c r="F1549" s="42" t="inlineStr">
        <is>
          <t>405</t>
        </is>
      </c>
      <c r="G1549" s="42" t="inlineStr">
        <is>
          <t>570</t>
        </is>
      </c>
      <c r="H1549" s="42" t="inlineStr">
        <is>
          <t>True</t>
        </is>
      </c>
      <c r="I1549" s="42" t="inlineStr">
        <is>
          <t>NOT_EVALUATED</t>
        </is>
      </c>
      <c r="J1549" s="42" t="inlineStr">
        <is>
          <t>NO_DIRECT_STANDARD_MATRIX_IN_RETRIEVED_SOURCE</t>
        </is>
      </c>
      <c r="K1549" s="42" t="str"/>
      <c r="L1549" s="42" t="str"/>
      <c r="M1549" s="42" t="str"/>
      <c r="N1549" s="42" t="str"/>
      <c r="O1549" s="42" t="inlineStr">
        <is>
          <t>現行公式資料でこの窓種のSAFE 30mil規格○/×を本Revisionでは直接取得できていない。推測しない。</t>
        </is>
      </c>
    </row>
    <row r="1550">
      <c r="A1550" s="42" t="inlineStr">
        <is>
          <t>SZ-SL-001549</t>
        </is>
      </c>
      <c r="B1550" s="42" t="inlineStr">
        <is>
          <t>WT-SL-YOKO-SUBERI</t>
        </is>
      </c>
      <c r="C1550" s="42" t="inlineStr">
        <is>
          <t>横すべり出し窓</t>
        </is>
      </c>
      <c r="D1550" s="42" t="inlineStr">
        <is>
          <t>SP-SL-YOKO-CAM</t>
        </is>
      </c>
      <c r="E1550" s="42" t="inlineStr">
        <is>
          <t>03607</t>
        </is>
      </c>
      <c r="F1550" s="42" t="inlineStr">
        <is>
          <t>405</t>
        </is>
      </c>
      <c r="G1550" s="42" t="inlineStr">
        <is>
          <t>770</t>
        </is>
      </c>
      <c r="H1550" s="42" t="inlineStr">
        <is>
          <t>True</t>
        </is>
      </c>
      <c r="I1550" s="42" t="inlineStr">
        <is>
          <t>NOT_EVALUATED</t>
        </is>
      </c>
      <c r="J1550" s="42" t="inlineStr">
        <is>
          <t>NO_DIRECT_STANDARD_MATRIX_IN_RETRIEVED_SOURCE</t>
        </is>
      </c>
      <c r="K1550" s="42" t="str"/>
      <c r="L1550" s="42" t="str"/>
      <c r="M1550" s="42" t="str"/>
      <c r="N1550" s="42" t="str"/>
      <c r="O1550" s="42" t="inlineStr">
        <is>
          <t>現行公式資料でこの窓種のSAFE 30mil規格○/×を本Revisionでは直接取得できていない。推測しない。</t>
        </is>
      </c>
    </row>
    <row r="1551">
      <c r="A1551" s="42" t="inlineStr">
        <is>
          <t>SZ-SL-001550</t>
        </is>
      </c>
      <c r="B1551" s="42" t="inlineStr">
        <is>
          <t>WT-SL-YOKO-SUBERI</t>
        </is>
      </c>
      <c r="C1551" s="42" t="inlineStr">
        <is>
          <t>横すべり出し窓</t>
        </is>
      </c>
      <c r="D1551" s="42" t="inlineStr">
        <is>
          <t>SP-SL-YOKO-CAM</t>
        </is>
      </c>
      <c r="E1551" s="42" t="inlineStr">
        <is>
          <t>06005</t>
        </is>
      </c>
      <c r="F1551" s="42" t="inlineStr">
        <is>
          <t>640</t>
        </is>
      </c>
      <c r="G1551" s="42" t="inlineStr">
        <is>
          <t>570</t>
        </is>
      </c>
      <c r="H1551" s="42" t="inlineStr">
        <is>
          <t>True</t>
        </is>
      </c>
      <c r="I1551" s="42" t="inlineStr">
        <is>
          <t>NOT_EVALUATED</t>
        </is>
      </c>
      <c r="J1551" s="42" t="inlineStr">
        <is>
          <t>NO_DIRECT_STANDARD_MATRIX_IN_RETRIEVED_SOURCE</t>
        </is>
      </c>
      <c r="K1551" s="42" t="str"/>
      <c r="L1551" s="42" t="str"/>
      <c r="M1551" s="42" t="str"/>
      <c r="N1551" s="42" t="str"/>
      <c r="O1551" s="42" t="inlineStr">
        <is>
          <t>現行公式資料でこの窓種のSAFE 30mil規格○/×を本Revisionでは直接取得できていない。推測しない。</t>
        </is>
      </c>
    </row>
    <row r="1552">
      <c r="A1552" s="42" t="inlineStr">
        <is>
          <t>SZ-SL-001551</t>
        </is>
      </c>
      <c r="B1552" s="42" t="inlineStr">
        <is>
          <t>WT-SL-YOKO-SUBERI</t>
        </is>
      </c>
      <c r="C1552" s="42" t="inlineStr">
        <is>
          <t>横すべり出し窓</t>
        </is>
      </c>
      <c r="D1552" s="42" t="inlineStr">
        <is>
          <t>SP-SL-YOKO-CAM</t>
        </is>
      </c>
      <c r="E1552" s="42" t="inlineStr">
        <is>
          <t>060057</t>
        </is>
      </c>
      <c r="F1552" s="42" t="inlineStr">
        <is>
          <t>640</t>
        </is>
      </c>
      <c r="G1552" s="42" t="inlineStr">
        <is>
          <t>640</t>
        </is>
      </c>
      <c r="H1552" s="42" t="inlineStr">
        <is>
          <t>True</t>
        </is>
      </c>
      <c r="I1552" s="42" t="inlineStr">
        <is>
          <t>NOT_EVALUATED</t>
        </is>
      </c>
      <c r="J1552" s="42" t="inlineStr">
        <is>
          <t>NO_DIRECT_STANDARD_MATRIX_IN_RETRIEVED_SOURCE</t>
        </is>
      </c>
      <c r="K1552" s="42" t="str"/>
      <c r="L1552" s="42" t="str"/>
      <c r="M1552" s="42" t="str"/>
      <c r="N1552" s="42" t="str"/>
      <c r="O1552" s="42" t="inlineStr">
        <is>
          <t>現行公式資料でこの窓種のSAFE 30mil規格○/×を本Revisionでは直接取得できていない。推測しない。</t>
        </is>
      </c>
    </row>
    <row r="1553">
      <c r="A1553" s="42" t="inlineStr">
        <is>
          <t>SZ-SL-001552</t>
        </is>
      </c>
      <c r="B1553" s="42" t="inlineStr">
        <is>
          <t>WT-SL-YOKO-SUBERI</t>
        </is>
      </c>
      <c r="C1553" s="42" t="inlineStr">
        <is>
          <t>横すべり出し窓</t>
        </is>
      </c>
      <c r="D1553" s="42" t="inlineStr">
        <is>
          <t>SP-SL-YOKO-CAM</t>
        </is>
      </c>
      <c r="E1553" s="42" t="inlineStr">
        <is>
          <t>06007</t>
        </is>
      </c>
      <c r="F1553" s="42" t="inlineStr">
        <is>
          <t>640</t>
        </is>
      </c>
      <c r="G1553" s="42" t="inlineStr">
        <is>
          <t>770</t>
        </is>
      </c>
      <c r="H1553" s="42" t="inlineStr">
        <is>
          <t>True</t>
        </is>
      </c>
      <c r="I1553" s="42" t="inlineStr">
        <is>
          <t>NOT_EVALUATED</t>
        </is>
      </c>
      <c r="J1553" s="42" t="inlineStr">
        <is>
          <t>NO_DIRECT_STANDARD_MATRIX_IN_RETRIEVED_SOURCE</t>
        </is>
      </c>
      <c r="K1553" s="42" t="str"/>
      <c r="L1553" s="42" t="str"/>
      <c r="M1553" s="42" t="str"/>
      <c r="N1553" s="42" t="str"/>
      <c r="O1553" s="42" t="inlineStr">
        <is>
          <t>現行公式資料でこの窓種のSAFE 30mil規格○/×を本Revisionでは直接取得できていない。推測しない。</t>
        </is>
      </c>
    </row>
    <row r="1554">
      <c r="A1554" s="42" t="inlineStr">
        <is>
          <t>SZ-SL-001553</t>
        </is>
      </c>
      <c r="B1554" s="42" t="inlineStr">
        <is>
          <t>WT-SL-YOKO-SUBERI</t>
        </is>
      </c>
      <c r="C1554" s="42" t="inlineStr">
        <is>
          <t>横すべり出し窓</t>
        </is>
      </c>
      <c r="D1554" s="42" t="inlineStr">
        <is>
          <t>SP-SL-YOKO-CAM</t>
        </is>
      </c>
      <c r="E1554" s="42" t="inlineStr">
        <is>
          <t>06009</t>
        </is>
      </c>
      <c r="F1554" s="42" t="inlineStr">
        <is>
          <t>640</t>
        </is>
      </c>
      <c r="G1554" s="42" t="inlineStr">
        <is>
          <t>970</t>
        </is>
      </c>
      <c r="H1554" s="42" t="inlineStr">
        <is>
          <t>True</t>
        </is>
      </c>
      <c r="I1554" s="42" t="inlineStr">
        <is>
          <t>NOT_EVALUATED</t>
        </is>
      </c>
      <c r="J1554" s="42" t="inlineStr">
        <is>
          <t>NO_DIRECT_STANDARD_MATRIX_IN_RETRIEVED_SOURCE</t>
        </is>
      </c>
      <c r="K1554" s="42" t="str"/>
      <c r="L1554" s="42" t="str"/>
      <c r="M1554" s="42" t="str"/>
      <c r="N1554" s="42" t="str"/>
      <c r="O1554" s="42" t="inlineStr">
        <is>
          <t>現行公式資料でこの窓種のSAFE 30mil規格○/×を本Revisionでは直接取得できていない。推測しない。</t>
        </is>
      </c>
    </row>
    <row r="1555">
      <c r="A1555" s="42" t="inlineStr">
        <is>
          <t>SZ-SL-001554</t>
        </is>
      </c>
      <c r="B1555" s="42" t="inlineStr">
        <is>
          <t>WT-SL-YOKO-SUBERI</t>
        </is>
      </c>
      <c r="C1555" s="42" t="inlineStr">
        <is>
          <t>横すべり出し窓</t>
        </is>
      </c>
      <c r="D1555" s="42" t="inlineStr">
        <is>
          <t>SP-SL-YOKO-CAM</t>
        </is>
      </c>
      <c r="E1555" s="42" t="inlineStr">
        <is>
          <t>06905</t>
        </is>
      </c>
      <c r="F1555" s="42" t="inlineStr">
        <is>
          <t>730</t>
        </is>
      </c>
      <c r="G1555" s="42" t="inlineStr">
        <is>
          <t>570</t>
        </is>
      </c>
      <c r="H1555" s="42" t="inlineStr">
        <is>
          <t>True</t>
        </is>
      </c>
      <c r="I1555" s="42" t="inlineStr">
        <is>
          <t>NOT_EVALUATED</t>
        </is>
      </c>
      <c r="J1555" s="42" t="inlineStr">
        <is>
          <t>NO_DIRECT_STANDARD_MATRIX_IN_RETRIEVED_SOURCE</t>
        </is>
      </c>
      <c r="K1555" s="42" t="str"/>
      <c r="L1555" s="42" t="str"/>
      <c r="M1555" s="42" t="str"/>
      <c r="N1555" s="42" t="str"/>
      <c r="O1555" s="42" t="inlineStr">
        <is>
          <t>現行公式資料でこの窓種のSAFE 30mil規格○/×を本Revisionでは直接取得できていない。推測しない。</t>
        </is>
      </c>
    </row>
    <row r="1556">
      <c r="A1556" s="42" t="inlineStr">
        <is>
          <t>SZ-SL-001555</t>
        </is>
      </c>
      <c r="B1556" s="42" t="inlineStr">
        <is>
          <t>WT-SL-YOKO-SUBERI</t>
        </is>
      </c>
      <c r="C1556" s="42" t="inlineStr">
        <is>
          <t>横すべり出し窓</t>
        </is>
      </c>
      <c r="D1556" s="42" t="inlineStr">
        <is>
          <t>SP-SL-YOKO-CAM</t>
        </is>
      </c>
      <c r="E1556" s="42" t="inlineStr">
        <is>
          <t>06907</t>
        </is>
      </c>
      <c r="F1556" s="42" t="inlineStr">
        <is>
          <t>730</t>
        </is>
      </c>
      <c r="G1556" s="42" t="inlineStr">
        <is>
          <t>770</t>
        </is>
      </c>
      <c r="H1556" s="42" t="inlineStr">
        <is>
          <t>True</t>
        </is>
      </c>
      <c r="I1556" s="42" t="inlineStr">
        <is>
          <t>NOT_EVALUATED</t>
        </is>
      </c>
      <c r="J1556" s="42" t="inlineStr">
        <is>
          <t>NO_DIRECT_STANDARD_MATRIX_IN_RETRIEVED_SOURCE</t>
        </is>
      </c>
      <c r="K1556" s="42" t="str"/>
      <c r="L1556" s="42" t="str"/>
      <c r="M1556" s="42" t="str"/>
      <c r="N1556" s="42" t="str"/>
      <c r="O1556" s="42" t="inlineStr">
        <is>
          <t>現行公式資料でこの窓種のSAFE 30mil規格○/×を本Revisionでは直接取得できていない。推測しない。</t>
        </is>
      </c>
    </row>
    <row r="1557">
      <c r="A1557" s="42" t="inlineStr">
        <is>
          <t>SZ-SL-001556</t>
        </is>
      </c>
      <c r="B1557" s="42" t="inlineStr">
        <is>
          <t>WT-SL-YOKO-SUBERI</t>
        </is>
      </c>
      <c r="C1557" s="42" t="inlineStr">
        <is>
          <t>横すべり出し窓</t>
        </is>
      </c>
      <c r="D1557" s="42" t="inlineStr">
        <is>
          <t>SP-SL-YOKO-CAM</t>
        </is>
      </c>
      <c r="E1557" s="42" t="inlineStr">
        <is>
          <t>06909</t>
        </is>
      </c>
      <c r="F1557" s="42" t="inlineStr">
        <is>
          <t>730</t>
        </is>
      </c>
      <c r="G1557" s="42" t="inlineStr">
        <is>
          <t>970</t>
        </is>
      </c>
      <c r="H1557" s="42" t="inlineStr">
        <is>
          <t>True</t>
        </is>
      </c>
      <c r="I1557" s="42" t="inlineStr">
        <is>
          <t>NOT_EVALUATED</t>
        </is>
      </c>
      <c r="J1557" s="42" t="inlineStr">
        <is>
          <t>NO_DIRECT_STANDARD_MATRIX_IN_RETRIEVED_SOURCE</t>
        </is>
      </c>
      <c r="K1557" s="42" t="str"/>
      <c r="L1557" s="42" t="str"/>
      <c r="M1557" s="42" t="str"/>
      <c r="N1557" s="42" t="str"/>
      <c r="O1557" s="42" t="inlineStr">
        <is>
          <t>現行公式資料でこの窓種のSAFE 30mil規格○/×を本Revisionでは直接取得できていない。推測しない。</t>
        </is>
      </c>
    </row>
    <row r="1558">
      <c r="A1558" s="42" t="inlineStr">
        <is>
          <t>SZ-SL-001557</t>
        </is>
      </c>
      <c r="B1558" s="42" t="inlineStr">
        <is>
          <t>WT-SL-YOKO-SUBERI</t>
        </is>
      </c>
      <c r="C1558" s="42" t="inlineStr">
        <is>
          <t>横すべり出し窓</t>
        </is>
      </c>
      <c r="D1558" s="42" t="inlineStr">
        <is>
          <t>SP-SL-YOKO-CAM</t>
        </is>
      </c>
      <c r="E1558" s="42" t="inlineStr">
        <is>
          <t>07405</t>
        </is>
      </c>
      <c r="F1558" s="42" t="inlineStr">
        <is>
          <t>780</t>
        </is>
      </c>
      <c r="G1558" s="42" t="inlineStr">
        <is>
          <t>570</t>
        </is>
      </c>
      <c r="H1558" s="42" t="inlineStr">
        <is>
          <t>True</t>
        </is>
      </c>
      <c r="I1558" s="42" t="inlineStr">
        <is>
          <t>NOT_EVALUATED</t>
        </is>
      </c>
      <c r="J1558" s="42" t="inlineStr">
        <is>
          <t>NO_DIRECT_STANDARD_MATRIX_IN_RETRIEVED_SOURCE</t>
        </is>
      </c>
      <c r="K1558" s="42" t="str"/>
      <c r="L1558" s="42" t="str"/>
      <c r="M1558" s="42" t="str"/>
      <c r="N1558" s="42" t="str"/>
      <c r="O1558" s="42" t="inlineStr">
        <is>
          <t>現行公式資料でこの窓種のSAFE 30mil規格○/×を本Revisionでは直接取得できていない。推測しない。</t>
        </is>
      </c>
    </row>
    <row r="1559">
      <c r="A1559" s="42" t="inlineStr">
        <is>
          <t>SZ-SL-001558</t>
        </is>
      </c>
      <c r="B1559" s="42" t="inlineStr">
        <is>
          <t>WT-SL-YOKO-SUBERI</t>
        </is>
      </c>
      <c r="C1559" s="42" t="inlineStr">
        <is>
          <t>横すべり出し窓</t>
        </is>
      </c>
      <c r="D1559" s="42" t="inlineStr">
        <is>
          <t>SP-SL-YOKO-CAM</t>
        </is>
      </c>
      <c r="E1559" s="42" t="inlineStr">
        <is>
          <t>07407</t>
        </is>
      </c>
      <c r="F1559" s="42" t="inlineStr">
        <is>
          <t>780</t>
        </is>
      </c>
      <c r="G1559" s="42" t="inlineStr">
        <is>
          <t>770</t>
        </is>
      </c>
      <c r="H1559" s="42" t="inlineStr">
        <is>
          <t>True</t>
        </is>
      </c>
      <c r="I1559" s="42" t="inlineStr">
        <is>
          <t>NOT_EVALUATED</t>
        </is>
      </c>
      <c r="J1559" s="42" t="inlineStr">
        <is>
          <t>NO_DIRECT_STANDARD_MATRIX_IN_RETRIEVED_SOURCE</t>
        </is>
      </c>
      <c r="K1559" s="42" t="str"/>
      <c r="L1559" s="42" t="str"/>
      <c r="M1559" s="42" t="str"/>
      <c r="N1559" s="42" t="str"/>
      <c r="O1559" s="42" t="inlineStr">
        <is>
          <t>現行公式資料でこの窓種のSAFE 30mil規格○/×を本Revisionでは直接取得できていない。推測しない。</t>
        </is>
      </c>
    </row>
    <row r="1560">
      <c r="A1560" s="42" t="inlineStr">
        <is>
          <t>SZ-SL-001559</t>
        </is>
      </c>
      <c r="B1560" s="42" t="inlineStr">
        <is>
          <t>WT-SL-YOKO-SUBERI</t>
        </is>
      </c>
      <c r="C1560" s="42" t="inlineStr">
        <is>
          <t>横すべり出し窓</t>
        </is>
      </c>
      <c r="D1560" s="42" t="inlineStr">
        <is>
          <t>SP-SL-YOKO-CAM</t>
        </is>
      </c>
      <c r="E1560" s="42" t="inlineStr">
        <is>
          <t>07409</t>
        </is>
      </c>
      <c r="F1560" s="42" t="inlineStr">
        <is>
          <t>780</t>
        </is>
      </c>
      <c r="G1560" s="42" t="inlineStr">
        <is>
          <t>970</t>
        </is>
      </c>
      <c r="H1560" s="42" t="inlineStr">
        <is>
          <t>True</t>
        </is>
      </c>
      <c r="I1560" s="42" t="inlineStr">
        <is>
          <t>NOT_EVALUATED</t>
        </is>
      </c>
      <c r="J1560" s="42" t="inlineStr">
        <is>
          <t>NO_DIRECT_STANDARD_MATRIX_IN_RETRIEVED_SOURCE</t>
        </is>
      </c>
      <c r="K1560" s="42" t="str"/>
      <c r="L1560" s="42" t="str"/>
      <c r="M1560" s="42" t="str"/>
      <c r="N1560" s="42" t="str"/>
      <c r="O1560" s="42" t="inlineStr">
        <is>
          <t>現行公式資料でこの窓種のSAFE 30mil規格○/×を本Revisionでは直接取得できていない。推測しない。</t>
        </is>
      </c>
    </row>
    <row r="1561">
      <c r="A1561" s="42" t="inlineStr">
        <is>
          <t>SZ-SL-001560</t>
        </is>
      </c>
      <c r="B1561" s="42" t="inlineStr">
        <is>
          <t>WT-SL-SHUTTER-HIKI</t>
        </is>
      </c>
      <c r="C1561" s="42" t="inlineStr">
        <is>
          <t>シャッター付引違い窓</t>
        </is>
      </c>
      <c r="D1561" s="42" t="inlineStr">
        <is>
          <t>SP-SL-SHUT-M-STD</t>
        </is>
      </c>
      <c r="E1561" s="42" t="inlineStr">
        <is>
          <t>11409</t>
        </is>
      </c>
      <c r="F1561" s="42" t="inlineStr">
        <is>
          <t>1185</t>
        </is>
      </c>
      <c r="G1561" s="42" t="inlineStr">
        <is>
          <t>970</t>
        </is>
      </c>
      <c r="H1561" s="42" t="inlineStr">
        <is>
          <t>True</t>
        </is>
      </c>
      <c r="I1561" s="42" t="inlineStr">
        <is>
          <t>NOT_EVALUATED</t>
        </is>
      </c>
      <c r="J1561" s="42" t="inlineStr">
        <is>
          <t>NO_DIRECT_STANDARD_MATRIX_IN_RETRIEVED_SOURCE</t>
        </is>
      </c>
      <c r="K1561" s="42" t="str"/>
      <c r="L1561" s="42" t="str"/>
      <c r="M1561" s="42" t="str"/>
      <c r="N1561" s="42" t="str"/>
      <c r="O1561" s="42" t="inlineStr">
        <is>
          <t>現行公式資料でこの窓種のSAFE 30mil規格○/×を本Revisionでは直接取得できていない。推測しない。</t>
        </is>
      </c>
    </row>
    <row r="1562">
      <c r="A1562" s="42" t="inlineStr">
        <is>
          <t>SZ-SL-001561</t>
        </is>
      </c>
      <c r="B1562" s="42" t="inlineStr">
        <is>
          <t>WT-SL-SHUTTER-HIKI</t>
        </is>
      </c>
      <c r="C1562" s="42" t="inlineStr">
        <is>
          <t>シャッター付引違い窓</t>
        </is>
      </c>
      <c r="D1562" s="42" t="inlineStr">
        <is>
          <t>SP-SL-SHUT-M-STD</t>
        </is>
      </c>
      <c r="E1562" s="42" t="inlineStr">
        <is>
          <t>11909</t>
        </is>
      </c>
      <c r="F1562" s="42" t="inlineStr">
        <is>
          <t>1235</t>
        </is>
      </c>
      <c r="G1562" s="42" t="inlineStr">
        <is>
          <t>970</t>
        </is>
      </c>
      <c r="H1562" s="42" t="inlineStr">
        <is>
          <t>True</t>
        </is>
      </c>
      <c r="I1562" s="42" t="inlineStr">
        <is>
          <t>NOT_EVALUATED</t>
        </is>
      </c>
      <c r="J1562" s="42" t="inlineStr">
        <is>
          <t>NO_DIRECT_STANDARD_MATRIX_IN_RETRIEVED_SOURCE</t>
        </is>
      </c>
      <c r="K1562" s="42" t="str"/>
      <c r="L1562" s="42" t="str"/>
      <c r="M1562" s="42" t="str"/>
      <c r="N1562" s="42" t="str"/>
      <c r="O1562" s="42" t="inlineStr">
        <is>
          <t>現行公式資料でこの窓種のSAFE 30mil規格○/×を本Revisionでは直接取得できていない。推測しない。</t>
        </is>
      </c>
    </row>
    <row r="1563">
      <c r="A1563" s="42" t="inlineStr">
        <is>
          <t>SZ-SL-001562</t>
        </is>
      </c>
      <c r="B1563" s="42" t="inlineStr">
        <is>
          <t>WT-SL-SHUTTER-HIKI</t>
        </is>
      </c>
      <c r="C1563" s="42" t="inlineStr">
        <is>
          <t>シャッター付引違い窓</t>
        </is>
      </c>
      <c r="D1563" s="42" t="inlineStr">
        <is>
          <t>SP-SL-SHUT-M-STD</t>
        </is>
      </c>
      <c r="E1563" s="42" t="inlineStr">
        <is>
          <t>12809</t>
        </is>
      </c>
      <c r="F1563" s="42" t="inlineStr">
        <is>
          <t>1320</t>
        </is>
      </c>
      <c r="G1563" s="42" t="inlineStr">
        <is>
          <t>970</t>
        </is>
      </c>
      <c r="H1563" s="42" t="inlineStr">
        <is>
          <t>True</t>
        </is>
      </c>
      <c r="I1563" s="42" t="inlineStr">
        <is>
          <t>NOT_EVALUATED</t>
        </is>
      </c>
      <c r="J1563" s="42" t="inlineStr">
        <is>
          <t>NO_DIRECT_STANDARD_MATRIX_IN_RETRIEVED_SOURCE</t>
        </is>
      </c>
      <c r="K1563" s="42" t="str"/>
      <c r="L1563" s="42" t="str"/>
      <c r="M1563" s="42" t="str"/>
      <c r="N1563" s="42" t="str"/>
      <c r="O1563" s="42" t="inlineStr">
        <is>
          <t>現行公式資料でこの窓種のSAFE 30mil規格○/×を本Revisionでは直接取得できていない。推測しない。</t>
        </is>
      </c>
    </row>
    <row r="1564">
      <c r="A1564" s="42" t="inlineStr">
        <is>
          <t>SZ-SL-001563</t>
        </is>
      </c>
      <c r="B1564" s="42" t="inlineStr">
        <is>
          <t>WT-SL-SHUTTER-HIKI</t>
        </is>
      </c>
      <c r="C1564" s="42" t="inlineStr">
        <is>
          <t>シャッター付引違い窓</t>
        </is>
      </c>
      <c r="D1564" s="42" t="inlineStr">
        <is>
          <t>SP-SL-SHUT-M-STD</t>
        </is>
      </c>
      <c r="E1564" s="42" t="inlineStr">
        <is>
          <t>13309</t>
        </is>
      </c>
      <c r="F1564" s="42" t="inlineStr">
        <is>
          <t>1370</t>
        </is>
      </c>
      <c r="G1564" s="42" t="inlineStr">
        <is>
          <t>970</t>
        </is>
      </c>
      <c r="H1564" s="42" t="inlineStr">
        <is>
          <t>True</t>
        </is>
      </c>
      <c r="I1564" s="42" t="inlineStr">
        <is>
          <t>NOT_EVALUATED</t>
        </is>
      </c>
      <c r="J1564" s="42" t="inlineStr">
        <is>
          <t>NO_DIRECT_STANDARD_MATRIX_IN_RETRIEVED_SOURCE</t>
        </is>
      </c>
      <c r="K1564" s="42" t="str"/>
      <c r="L1564" s="42" t="str"/>
      <c r="M1564" s="42" t="str"/>
      <c r="N1564" s="42" t="str"/>
      <c r="O1564" s="42" t="inlineStr">
        <is>
          <t>現行公式資料でこの窓種のSAFE 30mil規格○/×を本Revisionでは直接取得できていない。推測しない。</t>
        </is>
      </c>
    </row>
    <row r="1565">
      <c r="A1565" s="42" t="inlineStr">
        <is>
          <t>SZ-SL-001564</t>
        </is>
      </c>
      <c r="B1565" s="42" t="inlineStr">
        <is>
          <t>WT-SL-SHUTTER-HIKI</t>
        </is>
      </c>
      <c r="C1565" s="42" t="inlineStr">
        <is>
          <t>シャッター付引違い窓</t>
        </is>
      </c>
      <c r="D1565" s="42" t="inlineStr">
        <is>
          <t>SP-SL-SHUT-M-STD</t>
        </is>
      </c>
      <c r="E1565" s="42" t="inlineStr">
        <is>
          <t>11411</t>
        </is>
      </c>
      <c r="F1565" s="42" t="inlineStr">
        <is>
          <t>1185</t>
        </is>
      </c>
      <c r="G1565" s="42" t="inlineStr">
        <is>
          <t>1170</t>
        </is>
      </c>
      <c r="H1565" s="42" t="inlineStr">
        <is>
          <t>True</t>
        </is>
      </c>
      <c r="I1565" s="42" t="inlineStr">
        <is>
          <t>NOT_EVALUATED</t>
        </is>
      </c>
      <c r="J1565" s="42" t="inlineStr">
        <is>
          <t>NO_DIRECT_STANDARD_MATRIX_IN_RETRIEVED_SOURCE</t>
        </is>
      </c>
      <c r="K1565" s="42" t="str"/>
      <c r="L1565" s="42" t="str"/>
      <c r="M1565" s="42" t="str"/>
      <c r="N1565" s="42" t="str"/>
      <c r="O1565" s="42" t="inlineStr">
        <is>
          <t>現行公式資料でこの窓種のSAFE 30mil規格○/×を本Revisionでは直接取得できていない。推測しない。</t>
        </is>
      </c>
    </row>
    <row r="1566">
      <c r="A1566" s="42" t="inlineStr">
        <is>
          <t>SZ-SL-001565</t>
        </is>
      </c>
      <c r="B1566" s="42" t="inlineStr">
        <is>
          <t>WT-SL-SHUTTER-HIKI</t>
        </is>
      </c>
      <c r="C1566" s="42" t="inlineStr">
        <is>
          <t>シャッター付引違い窓</t>
        </is>
      </c>
      <c r="D1566" s="42" t="inlineStr">
        <is>
          <t>SP-SL-SHUT-M-STD</t>
        </is>
      </c>
      <c r="E1566" s="42" t="inlineStr">
        <is>
          <t>11911</t>
        </is>
      </c>
      <c r="F1566" s="42" t="inlineStr">
        <is>
          <t>1235</t>
        </is>
      </c>
      <c r="G1566" s="42" t="inlineStr">
        <is>
          <t>1170</t>
        </is>
      </c>
      <c r="H1566" s="42" t="inlineStr">
        <is>
          <t>True</t>
        </is>
      </c>
      <c r="I1566" s="42" t="inlineStr">
        <is>
          <t>NOT_EVALUATED</t>
        </is>
      </c>
      <c r="J1566" s="42" t="inlineStr">
        <is>
          <t>NO_DIRECT_STANDARD_MATRIX_IN_RETRIEVED_SOURCE</t>
        </is>
      </c>
      <c r="K1566" s="42" t="str"/>
      <c r="L1566" s="42" t="str"/>
      <c r="M1566" s="42" t="str"/>
      <c r="N1566" s="42" t="str"/>
      <c r="O1566" s="42" t="inlineStr">
        <is>
          <t>現行公式資料でこの窓種のSAFE 30mil規格○/×を本Revisionでは直接取得できていない。推測しない。</t>
        </is>
      </c>
    </row>
    <row r="1567">
      <c r="A1567" s="42" t="inlineStr">
        <is>
          <t>SZ-SL-001566</t>
        </is>
      </c>
      <c r="B1567" s="42" t="inlineStr">
        <is>
          <t>WT-SL-SHUTTER-HIKI</t>
        </is>
      </c>
      <c r="C1567" s="42" t="inlineStr">
        <is>
          <t>シャッター付引違い窓</t>
        </is>
      </c>
      <c r="D1567" s="42" t="inlineStr">
        <is>
          <t>SP-SL-SHUT-M-STD</t>
        </is>
      </c>
      <c r="E1567" s="42" t="inlineStr">
        <is>
          <t>12811</t>
        </is>
      </c>
      <c r="F1567" s="42" t="inlineStr">
        <is>
          <t>1320</t>
        </is>
      </c>
      <c r="G1567" s="42" t="inlineStr">
        <is>
          <t>1170</t>
        </is>
      </c>
      <c r="H1567" s="42" t="inlineStr">
        <is>
          <t>True</t>
        </is>
      </c>
      <c r="I1567" s="42" t="inlineStr">
        <is>
          <t>NOT_EVALUATED</t>
        </is>
      </c>
      <c r="J1567" s="42" t="inlineStr">
        <is>
          <t>NO_DIRECT_STANDARD_MATRIX_IN_RETRIEVED_SOURCE</t>
        </is>
      </c>
      <c r="K1567" s="42" t="str"/>
      <c r="L1567" s="42" t="str"/>
      <c r="M1567" s="42" t="str"/>
      <c r="N1567" s="42" t="str"/>
      <c r="O1567" s="42" t="inlineStr">
        <is>
          <t>現行公式資料でこの窓種のSAFE 30mil規格○/×を本Revisionでは直接取得できていない。推測しない。</t>
        </is>
      </c>
    </row>
    <row r="1568">
      <c r="A1568" s="42" t="inlineStr">
        <is>
          <t>SZ-SL-001567</t>
        </is>
      </c>
      <c r="B1568" s="42" t="inlineStr">
        <is>
          <t>WT-SL-SHUTTER-HIKI</t>
        </is>
      </c>
      <c r="C1568" s="42" t="inlineStr">
        <is>
          <t>シャッター付引違い窓</t>
        </is>
      </c>
      <c r="D1568" s="42" t="inlineStr">
        <is>
          <t>SP-SL-SHUT-M-STD</t>
        </is>
      </c>
      <c r="E1568" s="42" t="inlineStr">
        <is>
          <t>13311</t>
        </is>
      </c>
      <c r="F1568" s="42" t="inlineStr">
        <is>
          <t>1370</t>
        </is>
      </c>
      <c r="G1568" s="42" t="inlineStr">
        <is>
          <t>1170</t>
        </is>
      </c>
      <c r="H1568" s="42" t="inlineStr">
        <is>
          <t>True</t>
        </is>
      </c>
      <c r="I1568" s="42" t="inlineStr">
        <is>
          <t>NOT_EVALUATED</t>
        </is>
      </c>
      <c r="J1568" s="42" t="inlineStr">
        <is>
          <t>NO_DIRECT_STANDARD_MATRIX_IN_RETRIEVED_SOURCE</t>
        </is>
      </c>
      <c r="K1568" s="42" t="str"/>
      <c r="L1568" s="42" t="str"/>
      <c r="M1568" s="42" t="str"/>
      <c r="N1568" s="42" t="str"/>
      <c r="O1568" s="42" t="inlineStr">
        <is>
          <t>現行公式資料でこの窓種のSAFE 30mil規格○/×を本Revisionでは直接取得できていない。推測しない。</t>
        </is>
      </c>
    </row>
    <row r="1569">
      <c r="A1569" s="42" t="inlineStr">
        <is>
          <t>SZ-SL-001568</t>
        </is>
      </c>
      <c r="B1569" s="42" t="inlineStr">
        <is>
          <t>WT-SL-SHUTTER-HIKI</t>
        </is>
      </c>
      <c r="C1569" s="42" t="inlineStr">
        <is>
          <t>シャッター付引違い窓</t>
        </is>
      </c>
      <c r="D1569" s="42" t="inlineStr">
        <is>
          <t>SP-SL-SHUT-M-STD</t>
        </is>
      </c>
      <c r="E1569" s="42" t="inlineStr">
        <is>
          <t>11413</t>
        </is>
      </c>
      <c r="F1569" s="42" t="inlineStr">
        <is>
          <t>1185</t>
        </is>
      </c>
      <c r="G1569" s="42" t="inlineStr">
        <is>
          <t>1370</t>
        </is>
      </c>
      <c r="H1569" s="42" t="inlineStr">
        <is>
          <t>True</t>
        </is>
      </c>
      <c r="I1569" s="42" t="inlineStr">
        <is>
          <t>NOT_EVALUATED</t>
        </is>
      </c>
      <c r="J1569" s="42" t="inlineStr">
        <is>
          <t>NO_DIRECT_STANDARD_MATRIX_IN_RETRIEVED_SOURCE</t>
        </is>
      </c>
      <c r="K1569" s="42" t="str"/>
      <c r="L1569" s="42" t="str"/>
      <c r="M1569" s="42" t="str"/>
      <c r="N1569" s="42" t="str"/>
      <c r="O1569" s="42" t="inlineStr">
        <is>
          <t>現行公式資料でこの窓種のSAFE 30mil規格○/×を本Revisionでは直接取得できていない。推測しない。</t>
        </is>
      </c>
    </row>
    <row r="1570">
      <c r="A1570" s="42" t="inlineStr">
        <is>
          <t>SZ-SL-001569</t>
        </is>
      </c>
      <c r="B1570" s="42" t="inlineStr">
        <is>
          <t>WT-SL-SHUTTER-HIKI</t>
        </is>
      </c>
      <c r="C1570" s="42" t="inlineStr">
        <is>
          <t>シャッター付引違い窓</t>
        </is>
      </c>
      <c r="D1570" s="42" t="inlineStr">
        <is>
          <t>SP-SL-SHUT-M-STD</t>
        </is>
      </c>
      <c r="E1570" s="42" t="inlineStr">
        <is>
          <t>11913</t>
        </is>
      </c>
      <c r="F1570" s="42" t="inlineStr">
        <is>
          <t>1235</t>
        </is>
      </c>
      <c r="G1570" s="42" t="inlineStr">
        <is>
          <t>1370</t>
        </is>
      </c>
      <c r="H1570" s="42" t="inlineStr">
        <is>
          <t>True</t>
        </is>
      </c>
      <c r="I1570" s="42" t="inlineStr">
        <is>
          <t>NOT_EVALUATED</t>
        </is>
      </c>
      <c r="J1570" s="42" t="inlineStr">
        <is>
          <t>NO_DIRECT_STANDARD_MATRIX_IN_RETRIEVED_SOURCE</t>
        </is>
      </c>
      <c r="K1570" s="42" t="str"/>
      <c r="L1570" s="42" t="str"/>
      <c r="M1570" s="42" t="str"/>
      <c r="N1570" s="42" t="str"/>
      <c r="O1570" s="42" t="inlineStr">
        <is>
          <t>現行公式資料でこの窓種のSAFE 30mil規格○/×を本Revisionでは直接取得できていない。推測しない。</t>
        </is>
      </c>
    </row>
    <row r="1571">
      <c r="A1571" s="42" t="inlineStr">
        <is>
          <t>SZ-SL-001570</t>
        </is>
      </c>
      <c r="B1571" s="42" t="inlineStr">
        <is>
          <t>WT-SL-SHUTTER-HIKI</t>
        </is>
      </c>
      <c r="C1571" s="42" t="inlineStr">
        <is>
          <t>シャッター付引違い窓</t>
        </is>
      </c>
      <c r="D1571" s="42" t="inlineStr">
        <is>
          <t>SP-SL-SHUT-M-STD</t>
        </is>
      </c>
      <c r="E1571" s="42" t="inlineStr">
        <is>
          <t>12813</t>
        </is>
      </c>
      <c r="F1571" s="42" t="inlineStr">
        <is>
          <t>1320</t>
        </is>
      </c>
      <c r="G1571" s="42" t="inlineStr">
        <is>
          <t>1370</t>
        </is>
      </c>
      <c r="H1571" s="42" t="inlineStr">
        <is>
          <t>True</t>
        </is>
      </c>
      <c r="I1571" s="42" t="inlineStr">
        <is>
          <t>NOT_EVALUATED</t>
        </is>
      </c>
      <c r="J1571" s="42" t="inlineStr">
        <is>
          <t>NO_DIRECT_STANDARD_MATRIX_IN_RETRIEVED_SOURCE</t>
        </is>
      </c>
      <c r="K1571" s="42" t="str"/>
      <c r="L1571" s="42" t="str"/>
      <c r="M1571" s="42" t="str"/>
      <c r="N1571" s="42" t="str"/>
      <c r="O1571" s="42" t="inlineStr">
        <is>
          <t>現行公式資料でこの窓種のSAFE 30mil規格○/×を本Revisionでは直接取得できていない。推測しない。</t>
        </is>
      </c>
    </row>
    <row r="1572">
      <c r="A1572" s="42" t="inlineStr">
        <is>
          <t>SZ-SL-001571</t>
        </is>
      </c>
      <c r="B1572" s="42" t="inlineStr">
        <is>
          <t>WT-SL-SHUTTER-HIKI</t>
        </is>
      </c>
      <c r="C1572" s="42" t="inlineStr">
        <is>
          <t>シャッター付引違い窓</t>
        </is>
      </c>
      <c r="D1572" s="42" t="inlineStr">
        <is>
          <t>SP-SL-SHUT-M-STD</t>
        </is>
      </c>
      <c r="E1572" s="42" t="inlineStr">
        <is>
          <t>13313</t>
        </is>
      </c>
      <c r="F1572" s="42" t="inlineStr">
        <is>
          <t>1370</t>
        </is>
      </c>
      <c r="G1572" s="42" t="inlineStr">
        <is>
          <t>1370</t>
        </is>
      </c>
      <c r="H1572" s="42" t="inlineStr">
        <is>
          <t>True</t>
        </is>
      </c>
      <c r="I1572" s="42" t="inlineStr">
        <is>
          <t>NOT_EVALUATED</t>
        </is>
      </c>
      <c r="J1572" s="42" t="inlineStr">
        <is>
          <t>NO_DIRECT_STANDARD_MATRIX_IN_RETRIEVED_SOURCE</t>
        </is>
      </c>
      <c r="K1572" s="42" t="str"/>
      <c r="L1572" s="42" t="str"/>
      <c r="M1572" s="42" t="str"/>
      <c r="N1572" s="42" t="str"/>
      <c r="O1572" s="42" t="inlineStr">
        <is>
          <t>現行公式資料でこの窓種のSAFE 30mil規格○/×を本Revisionでは直接取得できていない。推測しない。</t>
        </is>
      </c>
    </row>
    <row r="1573">
      <c r="A1573" s="42" t="inlineStr">
        <is>
          <t>SZ-SL-001572</t>
        </is>
      </c>
      <c r="B1573" s="42" t="inlineStr">
        <is>
          <t>WT-SL-SHUTTER-HIKI</t>
        </is>
      </c>
      <c r="C1573" s="42" t="inlineStr">
        <is>
          <t>シャッター付引違い窓</t>
        </is>
      </c>
      <c r="D1573" s="42" t="inlineStr">
        <is>
          <t>SP-SL-SHUT-M-STD</t>
        </is>
      </c>
      <c r="E1573" s="42" t="inlineStr">
        <is>
          <t>16507</t>
        </is>
      </c>
      <c r="F1573" s="42" t="inlineStr">
        <is>
          <t>1690</t>
        </is>
      </c>
      <c r="G1573" s="42" t="inlineStr">
        <is>
          <t>770</t>
        </is>
      </c>
      <c r="H1573" s="42" t="inlineStr">
        <is>
          <t>True</t>
        </is>
      </c>
      <c r="I1573" s="42" t="inlineStr">
        <is>
          <t>NOT_EVALUATED</t>
        </is>
      </c>
      <c r="J1573" s="42" t="inlineStr">
        <is>
          <t>NO_DIRECT_STANDARD_MATRIX_IN_RETRIEVED_SOURCE</t>
        </is>
      </c>
      <c r="K1573" s="42" t="str"/>
      <c r="L1573" s="42" t="str"/>
      <c r="M1573" s="42" t="str"/>
      <c r="N1573" s="42" t="str"/>
      <c r="O1573" s="42" t="inlineStr">
        <is>
          <t>現行公式資料でこの窓種のSAFE 30mil規格○/×を本Revisionでは直接取得できていない。推測しない。</t>
        </is>
      </c>
    </row>
    <row r="1574">
      <c r="A1574" s="42" t="inlineStr">
        <is>
          <t>SZ-SL-001573</t>
        </is>
      </c>
      <c r="B1574" s="42" t="inlineStr">
        <is>
          <t>WT-SL-SHUTTER-HIKI</t>
        </is>
      </c>
      <c r="C1574" s="42" t="inlineStr">
        <is>
          <t>シャッター付引違い窓</t>
        </is>
      </c>
      <c r="D1574" s="42" t="inlineStr">
        <is>
          <t>SP-SL-SHUT-M-STD</t>
        </is>
      </c>
      <c r="E1574" s="42" t="inlineStr">
        <is>
          <t>15009</t>
        </is>
      </c>
      <c r="F1574" s="42" t="inlineStr">
        <is>
          <t>1540</t>
        </is>
      </c>
      <c r="G1574" s="42" t="inlineStr">
        <is>
          <t>970</t>
        </is>
      </c>
      <c r="H1574" s="42" t="inlineStr">
        <is>
          <t>True</t>
        </is>
      </c>
      <c r="I1574" s="42" t="inlineStr">
        <is>
          <t>NOT_EVALUATED</t>
        </is>
      </c>
      <c r="J1574" s="42" t="inlineStr">
        <is>
          <t>NO_DIRECT_STANDARD_MATRIX_IN_RETRIEVED_SOURCE</t>
        </is>
      </c>
      <c r="K1574" s="42" t="str"/>
      <c r="L1574" s="42" t="str"/>
      <c r="M1574" s="42" t="str"/>
      <c r="N1574" s="42" t="str"/>
      <c r="O1574" s="42" t="inlineStr">
        <is>
          <t>現行公式資料でこの窓種のSAFE 30mil規格○/×を本Revisionでは直接取得できていない。推測しない。</t>
        </is>
      </c>
    </row>
    <row r="1575">
      <c r="A1575" s="42" t="inlineStr">
        <is>
          <t>SZ-SL-001574</t>
        </is>
      </c>
      <c r="B1575" s="42" t="inlineStr">
        <is>
          <t>WT-SL-SHUTTER-HIKI</t>
        </is>
      </c>
      <c r="C1575" s="42" t="inlineStr">
        <is>
          <t>シャッター付引違い窓</t>
        </is>
      </c>
      <c r="D1575" s="42" t="inlineStr">
        <is>
          <t>SP-SL-SHUT-M-STD</t>
        </is>
      </c>
      <c r="E1575" s="42" t="inlineStr">
        <is>
          <t>16009</t>
        </is>
      </c>
      <c r="F1575" s="42" t="inlineStr">
        <is>
          <t>1640</t>
        </is>
      </c>
      <c r="G1575" s="42" t="inlineStr">
        <is>
          <t>970</t>
        </is>
      </c>
      <c r="H1575" s="42" t="inlineStr">
        <is>
          <t>True</t>
        </is>
      </c>
      <c r="I1575" s="42" t="inlineStr">
        <is>
          <t>NOT_EVALUATED</t>
        </is>
      </c>
      <c r="J1575" s="42" t="inlineStr">
        <is>
          <t>NO_DIRECT_STANDARD_MATRIX_IN_RETRIEVED_SOURCE</t>
        </is>
      </c>
      <c r="K1575" s="42" t="str"/>
      <c r="L1575" s="42" t="str"/>
      <c r="M1575" s="42" t="str"/>
      <c r="N1575" s="42" t="str"/>
      <c r="O1575" s="42" t="inlineStr">
        <is>
          <t>現行公式資料でこの窓種のSAFE 30mil規格○/×を本Revisionでは直接取得できていない。推測しない。</t>
        </is>
      </c>
    </row>
    <row r="1576">
      <c r="A1576" s="42" t="inlineStr">
        <is>
          <t>SZ-SL-001575</t>
        </is>
      </c>
      <c r="B1576" s="42" t="inlineStr">
        <is>
          <t>WT-SL-SHUTTER-HIKI</t>
        </is>
      </c>
      <c r="C1576" s="42" t="inlineStr">
        <is>
          <t>シャッター付引違い窓</t>
        </is>
      </c>
      <c r="D1576" s="42" t="inlineStr">
        <is>
          <t>SP-SL-SHUT-M-STD</t>
        </is>
      </c>
      <c r="E1576" s="42" t="inlineStr">
        <is>
          <t>16509</t>
        </is>
      </c>
      <c r="F1576" s="42" t="inlineStr">
        <is>
          <t>1690</t>
        </is>
      </c>
      <c r="G1576" s="42" t="inlineStr">
        <is>
          <t>970</t>
        </is>
      </c>
      <c r="H1576" s="42" t="inlineStr">
        <is>
          <t>True</t>
        </is>
      </c>
      <c r="I1576" s="42" t="inlineStr">
        <is>
          <t>NOT_EVALUATED</t>
        </is>
      </c>
      <c r="J1576" s="42" t="inlineStr">
        <is>
          <t>NO_DIRECT_STANDARD_MATRIX_IN_RETRIEVED_SOURCE</t>
        </is>
      </c>
      <c r="K1576" s="42" t="str"/>
      <c r="L1576" s="42" t="str"/>
      <c r="M1576" s="42" t="str"/>
      <c r="N1576" s="42" t="str"/>
      <c r="O1576" s="42" t="inlineStr">
        <is>
          <t>現行公式資料でこの窓種のSAFE 30mil規格○/×を本Revisionでは直接取得できていない。推測しない。</t>
        </is>
      </c>
    </row>
    <row r="1577">
      <c r="A1577" s="42" t="inlineStr">
        <is>
          <t>SZ-SL-001576</t>
        </is>
      </c>
      <c r="B1577" s="42" t="inlineStr">
        <is>
          <t>WT-SL-SHUTTER-HIKI</t>
        </is>
      </c>
      <c r="C1577" s="42" t="inlineStr">
        <is>
          <t>シャッター付引違い窓</t>
        </is>
      </c>
      <c r="D1577" s="42" t="inlineStr">
        <is>
          <t>SP-SL-SHUT-M-STD</t>
        </is>
      </c>
      <c r="E1577" s="42" t="inlineStr">
        <is>
          <t>17409</t>
        </is>
      </c>
      <c r="F1577" s="42" t="inlineStr">
        <is>
          <t>1780</t>
        </is>
      </c>
      <c r="G1577" s="42" t="inlineStr">
        <is>
          <t>970</t>
        </is>
      </c>
      <c r="H1577" s="42" t="inlineStr">
        <is>
          <t>True</t>
        </is>
      </c>
      <c r="I1577" s="42" t="inlineStr">
        <is>
          <t>NOT_EVALUATED</t>
        </is>
      </c>
      <c r="J1577" s="42" t="inlineStr">
        <is>
          <t>NO_DIRECT_STANDARD_MATRIX_IN_RETRIEVED_SOURCE</t>
        </is>
      </c>
      <c r="K1577" s="42" t="str"/>
      <c r="L1577" s="42" t="str"/>
      <c r="M1577" s="42" t="str"/>
      <c r="N1577" s="42" t="str"/>
      <c r="O1577" s="42" t="inlineStr">
        <is>
          <t>現行公式資料でこの窓種のSAFE 30mil規格○/×を本Revisionでは直接取得できていない。推測しない。</t>
        </is>
      </c>
    </row>
    <row r="1578">
      <c r="A1578" s="42" t="inlineStr">
        <is>
          <t>SZ-SL-001577</t>
        </is>
      </c>
      <c r="B1578" s="42" t="inlineStr">
        <is>
          <t>WT-SL-SHUTTER-HIKI</t>
        </is>
      </c>
      <c r="C1578" s="42" t="inlineStr">
        <is>
          <t>シャッター付引違い窓</t>
        </is>
      </c>
      <c r="D1578" s="42" t="inlineStr">
        <is>
          <t>SP-SL-SHUT-M-STD</t>
        </is>
      </c>
      <c r="E1578" s="42" t="inlineStr">
        <is>
          <t>17609</t>
        </is>
      </c>
      <c r="F1578" s="42" t="inlineStr">
        <is>
          <t>1800</t>
        </is>
      </c>
      <c r="G1578" s="42" t="inlineStr">
        <is>
          <t>970</t>
        </is>
      </c>
      <c r="H1578" s="42" t="inlineStr">
        <is>
          <t>True</t>
        </is>
      </c>
      <c r="I1578" s="42" t="inlineStr">
        <is>
          <t>NOT_EVALUATED</t>
        </is>
      </c>
      <c r="J1578" s="42" t="inlineStr">
        <is>
          <t>NO_DIRECT_STANDARD_MATRIX_IN_RETRIEVED_SOURCE</t>
        </is>
      </c>
      <c r="K1578" s="42" t="str"/>
      <c r="L1578" s="42" t="str"/>
      <c r="M1578" s="42" t="str"/>
      <c r="N1578" s="42" t="str"/>
      <c r="O1578" s="42" t="inlineStr">
        <is>
          <t>現行公式資料でこの窓種のSAFE 30mil規格○/×を本Revisionでは直接取得できていない。推測しない。</t>
        </is>
      </c>
    </row>
    <row r="1579">
      <c r="A1579" s="42" t="inlineStr">
        <is>
          <t>SZ-SL-001578</t>
        </is>
      </c>
      <c r="B1579" s="42" t="inlineStr">
        <is>
          <t>WT-SL-SHUTTER-HIKI</t>
        </is>
      </c>
      <c r="C1579" s="42" t="inlineStr">
        <is>
          <t>シャッター付引違い窓</t>
        </is>
      </c>
      <c r="D1579" s="42" t="inlineStr">
        <is>
          <t>SP-SL-SHUT-M-STD</t>
        </is>
      </c>
      <c r="E1579" s="42" t="inlineStr">
        <is>
          <t>15011</t>
        </is>
      </c>
      <c r="F1579" s="42" t="inlineStr">
        <is>
          <t>1540</t>
        </is>
      </c>
      <c r="G1579" s="42" t="inlineStr">
        <is>
          <t>1170</t>
        </is>
      </c>
      <c r="H1579" s="42" t="inlineStr">
        <is>
          <t>True</t>
        </is>
      </c>
      <c r="I1579" s="42" t="inlineStr">
        <is>
          <t>NOT_EVALUATED</t>
        </is>
      </c>
      <c r="J1579" s="42" t="inlineStr">
        <is>
          <t>NO_DIRECT_STANDARD_MATRIX_IN_RETRIEVED_SOURCE</t>
        </is>
      </c>
      <c r="K1579" s="42" t="str"/>
      <c r="L1579" s="42" t="str"/>
      <c r="M1579" s="42" t="str"/>
      <c r="N1579" s="42" t="str"/>
      <c r="O1579" s="42" t="inlineStr">
        <is>
          <t>現行公式資料でこの窓種のSAFE 30mil規格○/×を本Revisionでは直接取得できていない。推測しない。</t>
        </is>
      </c>
    </row>
    <row r="1580">
      <c r="A1580" s="42" t="inlineStr">
        <is>
          <t>SZ-SL-001579</t>
        </is>
      </c>
      <c r="B1580" s="42" t="inlineStr">
        <is>
          <t>WT-SL-SHUTTER-HIKI</t>
        </is>
      </c>
      <c r="C1580" s="42" t="inlineStr">
        <is>
          <t>シャッター付引違い窓</t>
        </is>
      </c>
      <c r="D1580" s="42" t="inlineStr">
        <is>
          <t>SP-SL-SHUT-M-STD</t>
        </is>
      </c>
      <c r="E1580" s="42" t="inlineStr">
        <is>
          <t>16011</t>
        </is>
      </c>
      <c r="F1580" s="42" t="inlineStr">
        <is>
          <t>1640</t>
        </is>
      </c>
      <c r="G1580" s="42" t="inlineStr">
        <is>
          <t>1170</t>
        </is>
      </c>
      <c r="H1580" s="42" t="inlineStr">
        <is>
          <t>True</t>
        </is>
      </c>
      <c r="I1580" s="42" t="inlineStr">
        <is>
          <t>NOT_EVALUATED</t>
        </is>
      </c>
      <c r="J1580" s="42" t="inlineStr">
        <is>
          <t>NO_DIRECT_STANDARD_MATRIX_IN_RETRIEVED_SOURCE</t>
        </is>
      </c>
      <c r="K1580" s="42" t="str"/>
      <c r="L1580" s="42" t="str"/>
      <c r="M1580" s="42" t="str"/>
      <c r="N1580" s="42" t="str"/>
      <c r="O1580" s="42" t="inlineStr">
        <is>
          <t>現行公式資料でこの窓種のSAFE 30mil規格○/×を本Revisionでは直接取得できていない。推測しない。</t>
        </is>
      </c>
    </row>
    <row r="1581">
      <c r="A1581" s="42" t="inlineStr">
        <is>
          <t>SZ-SL-001580</t>
        </is>
      </c>
      <c r="B1581" s="42" t="inlineStr">
        <is>
          <t>WT-SL-SHUTTER-HIKI</t>
        </is>
      </c>
      <c r="C1581" s="42" t="inlineStr">
        <is>
          <t>シャッター付引違い窓</t>
        </is>
      </c>
      <c r="D1581" s="42" t="inlineStr">
        <is>
          <t>SP-SL-SHUT-M-STD</t>
        </is>
      </c>
      <c r="E1581" s="42" t="inlineStr">
        <is>
          <t>16511</t>
        </is>
      </c>
      <c r="F1581" s="42" t="inlineStr">
        <is>
          <t>1690</t>
        </is>
      </c>
      <c r="G1581" s="42" t="inlineStr">
        <is>
          <t>1170</t>
        </is>
      </c>
      <c r="H1581" s="42" t="inlineStr">
        <is>
          <t>True</t>
        </is>
      </c>
      <c r="I1581" s="42" t="inlineStr">
        <is>
          <t>NOT_EVALUATED</t>
        </is>
      </c>
      <c r="J1581" s="42" t="inlineStr">
        <is>
          <t>NO_DIRECT_STANDARD_MATRIX_IN_RETRIEVED_SOURCE</t>
        </is>
      </c>
      <c r="K1581" s="42" t="str"/>
      <c r="L1581" s="42" t="str"/>
      <c r="M1581" s="42" t="str"/>
      <c r="N1581" s="42" t="str"/>
      <c r="O1581" s="42" t="inlineStr">
        <is>
          <t>現行公式資料でこの窓種のSAFE 30mil規格○/×を本Revisionでは直接取得できていない。推測しない。</t>
        </is>
      </c>
    </row>
    <row r="1582">
      <c r="A1582" s="42" t="inlineStr">
        <is>
          <t>SZ-SL-001581</t>
        </is>
      </c>
      <c r="B1582" s="42" t="inlineStr">
        <is>
          <t>WT-SL-SHUTTER-HIKI</t>
        </is>
      </c>
      <c r="C1582" s="42" t="inlineStr">
        <is>
          <t>シャッター付引違い窓</t>
        </is>
      </c>
      <c r="D1582" s="42" t="inlineStr">
        <is>
          <t>SP-SL-SHUT-M-STD</t>
        </is>
      </c>
      <c r="E1582" s="42" t="inlineStr">
        <is>
          <t>17411</t>
        </is>
      </c>
      <c r="F1582" s="42" t="inlineStr">
        <is>
          <t>1780</t>
        </is>
      </c>
      <c r="G1582" s="42" t="inlineStr">
        <is>
          <t>1170</t>
        </is>
      </c>
      <c r="H1582" s="42" t="inlineStr">
        <is>
          <t>True</t>
        </is>
      </c>
      <c r="I1582" s="42" t="inlineStr">
        <is>
          <t>NOT_EVALUATED</t>
        </is>
      </c>
      <c r="J1582" s="42" t="inlineStr">
        <is>
          <t>NO_DIRECT_STANDARD_MATRIX_IN_RETRIEVED_SOURCE</t>
        </is>
      </c>
      <c r="K1582" s="42" t="str"/>
      <c r="L1582" s="42" t="str"/>
      <c r="M1582" s="42" t="str"/>
      <c r="N1582" s="42" t="str"/>
      <c r="O1582" s="42" t="inlineStr">
        <is>
          <t>現行公式資料でこの窓種のSAFE 30mil規格○/×を本Revisionでは直接取得できていない。推測しない。</t>
        </is>
      </c>
    </row>
    <row r="1583">
      <c r="A1583" s="42" t="inlineStr">
        <is>
          <t>SZ-SL-001582</t>
        </is>
      </c>
      <c r="B1583" s="42" t="inlineStr">
        <is>
          <t>WT-SL-SHUTTER-HIKI</t>
        </is>
      </c>
      <c r="C1583" s="42" t="inlineStr">
        <is>
          <t>シャッター付引違い窓</t>
        </is>
      </c>
      <c r="D1583" s="42" t="inlineStr">
        <is>
          <t>SP-SL-SHUT-M-STD</t>
        </is>
      </c>
      <c r="E1583" s="42" t="inlineStr">
        <is>
          <t>17611</t>
        </is>
      </c>
      <c r="F1583" s="42" t="inlineStr">
        <is>
          <t>1800</t>
        </is>
      </c>
      <c r="G1583" s="42" t="inlineStr">
        <is>
          <t>1170</t>
        </is>
      </c>
      <c r="H1583" s="42" t="inlineStr">
        <is>
          <t>True</t>
        </is>
      </c>
      <c r="I1583" s="42" t="inlineStr">
        <is>
          <t>NOT_EVALUATED</t>
        </is>
      </c>
      <c r="J1583" s="42" t="inlineStr">
        <is>
          <t>NO_DIRECT_STANDARD_MATRIX_IN_RETRIEVED_SOURCE</t>
        </is>
      </c>
      <c r="K1583" s="42" t="str"/>
      <c r="L1583" s="42" t="str"/>
      <c r="M1583" s="42" t="str"/>
      <c r="N1583" s="42" t="str"/>
      <c r="O1583" s="42" t="inlineStr">
        <is>
          <t>現行公式資料でこの窓種のSAFE 30mil規格○/×を本Revisionでは直接取得できていない。推測しない。</t>
        </is>
      </c>
    </row>
    <row r="1584">
      <c r="A1584" s="42" t="inlineStr">
        <is>
          <t>SZ-SL-001583</t>
        </is>
      </c>
      <c r="B1584" s="42" t="inlineStr">
        <is>
          <t>WT-SL-SHUTTER-HIKI</t>
        </is>
      </c>
      <c r="C1584" s="42" t="inlineStr">
        <is>
          <t>シャッター付引違い窓</t>
        </is>
      </c>
      <c r="D1584" s="42" t="inlineStr">
        <is>
          <t>SP-SL-SHUT-M-STD</t>
        </is>
      </c>
      <c r="E1584" s="42" t="inlineStr">
        <is>
          <t>15013</t>
        </is>
      </c>
      <c r="F1584" s="42" t="inlineStr">
        <is>
          <t>1540</t>
        </is>
      </c>
      <c r="G1584" s="42" t="inlineStr">
        <is>
          <t>1370</t>
        </is>
      </c>
      <c r="H1584" s="42" t="inlineStr">
        <is>
          <t>True</t>
        </is>
      </c>
      <c r="I1584" s="42" t="inlineStr">
        <is>
          <t>NOT_EVALUATED</t>
        </is>
      </c>
      <c r="J1584" s="42" t="inlineStr">
        <is>
          <t>NO_DIRECT_STANDARD_MATRIX_IN_RETRIEVED_SOURCE</t>
        </is>
      </c>
      <c r="K1584" s="42" t="str"/>
      <c r="L1584" s="42" t="str"/>
      <c r="M1584" s="42" t="str"/>
      <c r="N1584" s="42" t="str"/>
      <c r="O1584" s="42" t="inlineStr">
        <is>
          <t>現行公式資料でこの窓種のSAFE 30mil規格○/×を本Revisionでは直接取得できていない。推測しない。</t>
        </is>
      </c>
    </row>
    <row r="1585">
      <c r="A1585" s="42" t="inlineStr">
        <is>
          <t>SZ-SL-001584</t>
        </is>
      </c>
      <c r="B1585" s="42" t="inlineStr">
        <is>
          <t>WT-SL-SHUTTER-HIKI</t>
        </is>
      </c>
      <c r="C1585" s="42" t="inlineStr">
        <is>
          <t>シャッター付引違い窓</t>
        </is>
      </c>
      <c r="D1585" s="42" t="inlineStr">
        <is>
          <t>SP-SL-SHUT-M-STD</t>
        </is>
      </c>
      <c r="E1585" s="42" t="inlineStr">
        <is>
          <t>16013</t>
        </is>
      </c>
      <c r="F1585" s="42" t="inlineStr">
        <is>
          <t>1640</t>
        </is>
      </c>
      <c r="G1585" s="42" t="inlineStr">
        <is>
          <t>1370</t>
        </is>
      </c>
      <c r="H1585" s="42" t="inlineStr">
        <is>
          <t>True</t>
        </is>
      </c>
      <c r="I1585" s="42" t="inlineStr">
        <is>
          <t>NOT_EVALUATED</t>
        </is>
      </c>
      <c r="J1585" s="42" t="inlineStr">
        <is>
          <t>NO_DIRECT_STANDARD_MATRIX_IN_RETRIEVED_SOURCE</t>
        </is>
      </c>
      <c r="K1585" s="42" t="str"/>
      <c r="L1585" s="42" t="str"/>
      <c r="M1585" s="42" t="str"/>
      <c r="N1585" s="42" t="str"/>
      <c r="O1585" s="42" t="inlineStr">
        <is>
          <t>現行公式資料でこの窓種のSAFE 30mil規格○/×を本Revisionでは直接取得できていない。推測しない。</t>
        </is>
      </c>
    </row>
    <row r="1586">
      <c r="A1586" s="42" t="inlineStr">
        <is>
          <t>SZ-SL-001585</t>
        </is>
      </c>
      <c r="B1586" s="42" t="inlineStr">
        <is>
          <t>WT-SL-SHUTTER-HIKI</t>
        </is>
      </c>
      <c r="C1586" s="42" t="inlineStr">
        <is>
          <t>シャッター付引違い窓</t>
        </is>
      </c>
      <c r="D1586" s="42" t="inlineStr">
        <is>
          <t>SP-SL-SHUT-M-STD</t>
        </is>
      </c>
      <c r="E1586" s="42" t="inlineStr">
        <is>
          <t>16513</t>
        </is>
      </c>
      <c r="F1586" s="42" t="inlineStr">
        <is>
          <t>1690</t>
        </is>
      </c>
      <c r="G1586" s="42" t="inlineStr">
        <is>
          <t>1370</t>
        </is>
      </c>
      <c r="H1586" s="42" t="inlineStr">
        <is>
          <t>True</t>
        </is>
      </c>
      <c r="I1586" s="42" t="inlineStr">
        <is>
          <t>NOT_EVALUATED</t>
        </is>
      </c>
      <c r="J1586" s="42" t="inlineStr">
        <is>
          <t>NO_DIRECT_STANDARD_MATRIX_IN_RETRIEVED_SOURCE</t>
        </is>
      </c>
      <c r="K1586" s="42" t="str"/>
      <c r="L1586" s="42" t="str"/>
      <c r="M1586" s="42" t="str"/>
      <c r="N1586" s="42" t="str"/>
      <c r="O1586" s="42" t="inlineStr">
        <is>
          <t>現行公式資料でこの窓種のSAFE 30mil規格○/×を本Revisionでは直接取得できていない。推測しない。</t>
        </is>
      </c>
    </row>
    <row r="1587">
      <c r="A1587" s="42" t="inlineStr">
        <is>
          <t>SZ-SL-001586</t>
        </is>
      </c>
      <c r="B1587" s="42" t="inlineStr">
        <is>
          <t>WT-SL-SHUTTER-HIKI</t>
        </is>
      </c>
      <c r="C1587" s="42" t="inlineStr">
        <is>
          <t>シャッター付引違い窓</t>
        </is>
      </c>
      <c r="D1587" s="42" t="inlineStr">
        <is>
          <t>SP-SL-SHUT-M-STD</t>
        </is>
      </c>
      <c r="E1587" s="42" t="inlineStr">
        <is>
          <t>17413</t>
        </is>
      </c>
      <c r="F1587" s="42" t="inlineStr">
        <is>
          <t>1780</t>
        </is>
      </c>
      <c r="G1587" s="42" t="inlineStr">
        <is>
          <t>1370</t>
        </is>
      </c>
      <c r="H1587" s="42" t="inlineStr">
        <is>
          <t>True</t>
        </is>
      </c>
      <c r="I1587" s="42" t="inlineStr">
        <is>
          <t>NOT_EVALUATED</t>
        </is>
      </c>
      <c r="J1587" s="42" t="inlineStr">
        <is>
          <t>NO_DIRECT_STANDARD_MATRIX_IN_RETRIEVED_SOURCE</t>
        </is>
      </c>
      <c r="K1587" s="42" t="str"/>
      <c r="L1587" s="42" t="str"/>
      <c r="M1587" s="42" t="str"/>
      <c r="N1587" s="42" t="str"/>
      <c r="O1587" s="42" t="inlineStr">
        <is>
          <t>現行公式資料でこの窓種のSAFE 30mil規格○/×を本Revisionでは直接取得できていない。推測しない。</t>
        </is>
      </c>
    </row>
    <row r="1588">
      <c r="A1588" s="42" t="inlineStr">
        <is>
          <t>SZ-SL-001587</t>
        </is>
      </c>
      <c r="B1588" s="42" t="inlineStr">
        <is>
          <t>WT-SL-SHUTTER-HIKI</t>
        </is>
      </c>
      <c r="C1588" s="42" t="inlineStr">
        <is>
          <t>シャッター付引違い窓</t>
        </is>
      </c>
      <c r="D1588" s="42" t="inlineStr">
        <is>
          <t>SP-SL-SHUT-M-STD</t>
        </is>
      </c>
      <c r="E1588" s="42" t="inlineStr">
        <is>
          <t>17613</t>
        </is>
      </c>
      <c r="F1588" s="42" t="inlineStr">
        <is>
          <t>1800</t>
        </is>
      </c>
      <c r="G1588" s="42" t="inlineStr">
        <is>
          <t>1370</t>
        </is>
      </c>
      <c r="H1588" s="42" t="inlineStr">
        <is>
          <t>True</t>
        </is>
      </c>
      <c r="I1588" s="42" t="inlineStr">
        <is>
          <t>NOT_EVALUATED</t>
        </is>
      </c>
      <c r="J1588" s="42" t="inlineStr">
        <is>
          <t>NO_DIRECT_STANDARD_MATRIX_IN_RETRIEVED_SOURCE</t>
        </is>
      </c>
      <c r="K1588" s="42" t="str"/>
      <c r="L1588" s="42" t="str"/>
      <c r="M1588" s="42" t="str"/>
      <c r="N1588" s="42" t="str"/>
      <c r="O1588" s="42" t="inlineStr">
        <is>
          <t>現行公式資料でこの窓種のSAFE 30mil規格○/×を本Revisionでは直接取得できていない。推測しない。</t>
        </is>
      </c>
    </row>
    <row r="1589">
      <c r="A1589" s="42" t="inlineStr">
        <is>
          <t>SZ-SL-001588</t>
        </is>
      </c>
      <c r="B1589" s="42" t="inlineStr">
        <is>
          <t>WT-SL-SHUTTER-HIKI</t>
        </is>
      </c>
      <c r="C1589" s="42" t="inlineStr">
        <is>
          <t>シャッター付引違い窓</t>
        </is>
      </c>
      <c r="D1589" s="42" t="inlineStr">
        <is>
          <t>SP-SL-SHUT-M-STD</t>
        </is>
      </c>
      <c r="E1589" s="42" t="inlineStr">
        <is>
          <t>15015</t>
        </is>
      </c>
      <c r="F1589" s="42" t="inlineStr">
        <is>
          <t>1540</t>
        </is>
      </c>
      <c r="G1589" s="42" t="inlineStr">
        <is>
          <t>1570</t>
        </is>
      </c>
      <c r="H1589" s="42" t="inlineStr">
        <is>
          <t>True</t>
        </is>
      </c>
      <c r="I1589" s="42" t="inlineStr">
        <is>
          <t>NOT_EVALUATED</t>
        </is>
      </c>
      <c r="J1589" s="42" t="inlineStr">
        <is>
          <t>NO_DIRECT_STANDARD_MATRIX_IN_RETRIEVED_SOURCE</t>
        </is>
      </c>
      <c r="K1589" s="42" t="str"/>
      <c r="L1589" s="42" t="str"/>
      <c r="M1589" s="42" t="str"/>
      <c r="N1589" s="42" t="str"/>
      <c r="O1589" s="42" t="inlineStr">
        <is>
          <t>現行公式資料でこの窓種のSAFE 30mil規格○/×を本Revisionでは直接取得できていない。推測しない。</t>
        </is>
      </c>
    </row>
    <row r="1590">
      <c r="A1590" s="42" t="inlineStr">
        <is>
          <t>SZ-SL-001589</t>
        </is>
      </c>
      <c r="B1590" s="42" t="inlineStr">
        <is>
          <t>WT-SL-SHUTTER-HIKI</t>
        </is>
      </c>
      <c r="C1590" s="42" t="inlineStr">
        <is>
          <t>シャッター付引違い窓</t>
        </is>
      </c>
      <c r="D1590" s="42" t="inlineStr">
        <is>
          <t>SP-SL-SHUT-M-STD</t>
        </is>
      </c>
      <c r="E1590" s="42" t="inlineStr">
        <is>
          <t>16015</t>
        </is>
      </c>
      <c r="F1590" s="42" t="inlineStr">
        <is>
          <t>1640</t>
        </is>
      </c>
      <c r="G1590" s="42" t="inlineStr">
        <is>
          <t>1570</t>
        </is>
      </c>
      <c r="H1590" s="42" t="inlineStr">
        <is>
          <t>True</t>
        </is>
      </c>
      <c r="I1590" s="42" t="inlineStr">
        <is>
          <t>NOT_EVALUATED</t>
        </is>
      </c>
      <c r="J1590" s="42" t="inlineStr">
        <is>
          <t>NO_DIRECT_STANDARD_MATRIX_IN_RETRIEVED_SOURCE</t>
        </is>
      </c>
      <c r="K1590" s="42" t="str"/>
      <c r="L1590" s="42" t="str"/>
      <c r="M1590" s="42" t="str"/>
      <c r="N1590" s="42" t="str"/>
      <c r="O1590" s="42" t="inlineStr">
        <is>
          <t>現行公式資料でこの窓種のSAFE 30mil規格○/×を本Revisionでは直接取得できていない。推測しない。</t>
        </is>
      </c>
    </row>
    <row r="1591">
      <c r="A1591" s="42" t="inlineStr">
        <is>
          <t>SZ-SL-001590</t>
        </is>
      </c>
      <c r="B1591" s="42" t="inlineStr">
        <is>
          <t>WT-SL-SHUTTER-HIKI</t>
        </is>
      </c>
      <c r="C1591" s="42" t="inlineStr">
        <is>
          <t>シャッター付引違い窓</t>
        </is>
      </c>
      <c r="D1591" s="42" t="inlineStr">
        <is>
          <t>SP-SL-SHUT-M-STD</t>
        </is>
      </c>
      <c r="E1591" s="42" t="inlineStr">
        <is>
          <t>16515</t>
        </is>
      </c>
      <c r="F1591" s="42" t="inlineStr">
        <is>
          <t>1690</t>
        </is>
      </c>
      <c r="G1591" s="42" t="inlineStr">
        <is>
          <t>1570</t>
        </is>
      </c>
      <c r="H1591" s="42" t="inlineStr">
        <is>
          <t>True</t>
        </is>
      </c>
      <c r="I1591" s="42" t="inlineStr">
        <is>
          <t>NOT_EVALUATED</t>
        </is>
      </c>
      <c r="J1591" s="42" t="inlineStr">
        <is>
          <t>NO_DIRECT_STANDARD_MATRIX_IN_RETRIEVED_SOURCE</t>
        </is>
      </c>
      <c r="K1591" s="42" t="str"/>
      <c r="L1591" s="42" t="str"/>
      <c r="M1591" s="42" t="str"/>
      <c r="N1591" s="42" t="str"/>
      <c r="O1591" s="42" t="inlineStr">
        <is>
          <t>現行公式資料でこの窓種のSAFE 30mil規格○/×を本Revisionでは直接取得できていない。推測しない。</t>
        </is>
      </c>
    </row>
    <row r="1592">
      <c r="A1592" s="42" t="inlineStr">
        <is>
          <t>SZ-SL-001591</t>
        </is>
      </c>
      <c r="B1592" s="42" t="inlineStr">
        <is>
          <t>WT-SL-SHUTTER-HIKI</t>
        </is>
      </c>
      <c r="C1592" s="42" t="inlineStr">
        <is>
          <t>シャッター付引違い窓</t>
        </is>
      </c>
      <c r="D1592" s="42" t="inlineStr">
        <is>
          <t>SP-SL-SHUT-M-STD</t>
        </is>
      </c>
      <c r="E1592" s="42" t="inlineStr">
        <is>
          <t>18009</t>
        </is>
      </c>
      <c r="F1592" s="42" t="inlineStr">
        <is>
          <t>1845</t>
        </is>
      </c>
      <c r="G1592" s="42" t="inlineStr">
        <is>
          <t>970</t>
        </is>
      </c>
      <c r="H1592" s="42" t="inlineStr">
        <is>
          <t>True</t>
        </is>
      </c>
      <c r="I1592" s="42" t="inlineStr">
        <is>
          <t>NOT_EVALUATED</t>
        </is>
      </c>
      <c r="J1592" s="42" t="inlineStr">
        <is>
          <t>NO_DIRECT_STANDARD_MATRIX_IN_RETRIEVED_SOURCE</t>
        </is>
      </c>
      <c r="K1592" s="42" t="str"/>
      <c r="L1592" s="42" t="str"/>
      <c r="M1592" s="42" t="str"/>
      <c r="N1592" s="42" t="str"/>
      <c r="O1592" s="42" t="inlineStr">
        <is>
          <t>現行公式資料でこの窓種のSAFE 30mil規格○/×を本Revisionでは直接取得できていない。推測しない。</t>
        </is>
      </c>
    </row>
    <row r="1593">
      <c r="A1593" s="42" t="inlineStr">
        <is>
          <t>SZ-SL-001592</t>
        </is>
      </c>
      <c r="B1593" s="42" t="inlineStr">
        <is>
          <t>WT-SL-SHUTTER-HIKI</t>
        </is>
      </c>
      <c r="C1593" s="42" t="inlineStr">
        <is>
          <t>シャッター付引違い窓</t>
        </is>
      </c>
      <c r="D1593" s="42" t="inlineStr">
        <is>
          <t>SP-SL-SHUT-M-STD</t>
        </is>
      </c>
      <c r="E1593" s="42" t="inlineStr">
        <is>
          <t>18609</t>
        </is>
      </c>
      <c r="F1593" s="42" t="inlineStr">
        <is>
          <t>1900</t>
        </is>
      </c>
      <c r="G1593" s="42" t="inlineStr">
        <is>
          <t>970</t>
        </is>
      </c>
      <c r="H1593" s="42" t="inlineStr">
        <is>
          <t>True</t>
        </is>
      </c>
      <c r="I1593" s="42" t="inlineStr">
        <is>
          <t>NOT_EVALUATED</t>
        </is>
      </c>
      <c r="J1593" s="42" t="inlineStr">
        <is>
          <t>NO_DIRECT_STANDARD_MATRIX_IN_RETRIEVED_SOURCE</t>
        </is>
      </c>
      <c r="K1593" s="42" t="str"/>
      <c r="L1593" s="42" t="str"/>
      <c r="M1593" s="42" t="str"/>
      <c r="N1593" s="42" t="str"/>
      <c r="O1593" s="42" t="inlineStr">
        <is>
          <t>現行公式資料でこの窓種のSAFE 30mil規格○/×を本Revisionでは直接取得できていない。推測しない。</t>
        </is>
      </c>
    </row>
    <row r="1594">
      <c r="A1594" s="42" t="inlineStr">
        <is>
          <t>SZ-SL-001593</t>
        </is>
      </c>
      <c r="B1594" s="42" t="inlineStr">
        <is>
          <t>WT-SL-SHUTTER-HIKI</t>
        </is>
      </c>
      <c r="C1594" s="42" t="inlineStr">
        <is>
          <t>シャッター付引違い窓</t>
        </is>
      </c>
      <c r="D1594" s="42" t="inlineStr">
        <is>
          <t>SP-SL-SHUT-M-STD</t>
        </is>
      </c>
      <c r="E1594" s="42" t="inlineStr">
        <is>
          <t>18011</t>
        </is>
      </c>
      <c r="F1594" s="42" t="inlineStr">
        <is>
          <t>1845</t>
        </is>
      </c>
      <c r="G1594" s="42" t="inlineStr">
        <is>
          <t>1170</t>
        </is>
      </c>
      <c r="H1594" s="42" t="inlineStr">
        <is>
          <t>True</t>
        </is>
      </c>
      <c r="I1594" s="42" t="inlineStr">
        <is>
          <t>NOT_EVALUATED</t>
        </is>
      </c>
      <c r="J1594" s="42" t="inlineStr">
        <is>
          <t>NO_DIRECT_STANDARD_MATRIX_IN_RETRIEVED_SOURCE</t>
        </is>
      </c>
      <c r="K1594" s="42" t="str"/>
      <c r="L1594" s="42" t="str"/>
      <c r="M1594" s="42" t="str"/>
      <c r="N1594" s="42" t="str"/>
      <c r="O1594" s="42" t="inlineStr">
        <is>
          <t>現行公式資料でこの窓種のSAFE 30mil規格○/×を本Revisionでは直接取得できていない。推測しない。</t>
        </is>
      </c>
    </row>
    <row r="1595">
      <c r="A1595" s="42" t="inlineStr">
        <is>
          <t>SZ-SL-001594</t>
        </is>
      </c>
      <c r="B1595" s="42" t="inlineStr">
        <is>
          <t>WT-SL-SHUTTER-HIKI</t>
        </is>
      </c>
      <c r="C1595" s="42" t="inlineStr">
        <is>
          <t>シャッター付引違い窓</t>
        </is>
      </c>
      <c r="D1595" s="42" t="inlineStr">
        <is>
          <t>SP-SL-SHUT-M-STD</t>
        </is>
      </c>
      <c r="E1595" s="42" t="inlineStr">
        <is>
          <t>18611</t>
        </is>
      </c>
      <c r="F1595" s="42" t="inlineStr">
        <is>
          <t>1900</t>
        </is>
      </c>
      <c r="G1595" s="42" t="inlineStr">
        <is>
          <t>1170</t>
        </is>
      </c>
      <c r="H1595" s="42" t="inlineStr">
        <is>
          <t>True</t>
        </is>
      </c>
      <c r="I1595" s="42" t="inlineStr">
        <is>
          <t>NOT_EVALUATED</t>
        </is>
      </c>
      <c r="J1595" s="42" t="inlineStr">
        <is>
          <t>NO_DIRECT_STANDARD_MATRIX_IN_RETRIEVED_SOURCE</t>
        </is>
      </c>
      <c r="K1595" s="42" t="str"/>
      <c r="L1595" s="42" t="str"/>
      <c r="M1595" s="42" t="str"/>
      <c r="N1595" s="42" t="str"/>
      <c r="O1595" s="42" t="inlineStr">
        <is>
          <t>現行公式資料でこの窓種のSAFE 30mil規格○/×を本Revisionでは直接取得できていない。推測しない。</t>
        </is>
      </c>
    </row>
    <row r="1596">
      <c r="A1596" s="42" t="inlineStr">
        <is>
          <t>SZ-SL-001595</t>
        </is>
      </c>
      <c r="B1596" s="42" t="inlineStr">
        <is>
          <t>WT-SL-SHUTTER-HIKI</t>
        </is>
      </c>
      <c r="C1596" s="42" t="inlineStr">
        <is>
          <t>シャッター付引違い窓</t>
        </is>
      </c>
      <c r="D1596" s="42" t="inlineStr">
        <is>
          <t>SP-SL-SHUT-M-STD</t>
        </is>
      </c>
      <c r="E1596" s="42" t="inlineStr">
        <is>
          <t>18013</t>
        </is>
      </c>
      <c r="F1596" s="42" t="inlineStr">
        <is>
          <t>1845</t>
        </is>
      </c>
      <c r="G1596" s="42" t="inlineStr">
        <is>
          <t>1370</t>
        </is>
      </c>
      <c r="H1596" s="42" t="inlineStr">
        <is>
          <t>True</t>
        </is>
      </c>
      <c r="I1596" s="42" t="inlineStr">
        <is>
          <t>NOT_EVALUATED</t>
        </is>
      </c>
      <c r="J1596" s="42" t="inlineStr">
        <is>
          <t>NO_DIRECT_STANDARD_MATRIX_IN_RETRIEVED_SOURCE</t>
        </is>
      </c>
      <c r="K1596" s="42" t="str"/>
      <c r="L1596" s="42" t="str"/>
      <c r="M1596" s="42" t="str"/>
      <c r="N1596" s="42" t="str"/>
      <c r="O1596" s="42" t="inlineStr">
        <is>
          <t>現行公式資料でこの窓種のSAFE 30mil規格○/×を本Revisionでは直接取得できていない。推測しない。</t>
        </is>
      </c>
    </row>
    <row r="1597">
      <c r="A1597" s="42" t="inlineStr">
        <is>
          <t>SZ-SL-001596</t>
        </is>
      </c>
      <c r="B1597" s="42" t="inlineStr">
        <is>
          <t>WT-SL-SHUTTER-HIKI</t>
        </is>
      </c>
      <c r="C1597" s="42" t="inlineStr">
        <is>
          <t>シャッター付引違い窓</t>
        </is>
      </c>
      <c r="D1597" s="42" t="inlineStr">
        <is>
          <t>SP-SL-SHUT-M-STD</t>
        </is>
      </c>
      <c r="E1597" s="42" t="inlineStr">
        <is>
          <t>18613</t>
        </is>
      </c>
      <c r="F1597" s="42" t="inlineStr">
        <is>
          <t>1900</t>
        </is>
      </c>
      <c r="G1597" s="42" t="inlineStr">
        <is>
          <t>1370</t>
        </is>
      </c>
      <c r="H1597" s="42" t="inlineStr">
        <is>
          <t>True</t>
        </is>
      </c>
      <c r="I1597" s="42" t="inlineStr">
        <is>
          <t>NOT_EVALUATED</t>
        </is>
      </c>
      <c r="J1597" s="42" t="inlineStr">
        <is>
          <t>NO_DIRECT_STANDARD_MATRIX_IN_RETRIEVED_SOURCE</t>
        </is>
      </c>
      <c r="K1597" s="42" t="str"/>
      <c r="L1597" s="42" t="str"/>
      <c r="M1597" s="42" t="str"/>
      <c r="N1597" s="42" t="str"/>
      <c r="O1597" s="42" t="inlineStr">
        <is>
          <t>現行公式資料でこの窓種のSAFE 30mil規格○/×を本Revisionでは直接取得できていない。推測しない。</t>
        </is>
      </c>
    </row>
    <row r="1598">
      <c r="A1598" s="42" t="inlineStr">
        <is>
          <t>SZ-SL-001597</t>
        </is>
      </c>
      <c r="B1598" s="42" t="inlineStr">
        <is>
          <t>WT-SL-SHUTTER-HIKI</t>
        </is>
      </c>
      <c r="C1598" s="42" t="inlineStr">
        <is>
          <t>シャッター付引違い窓</t>
        </is>
      </c>
      <c r="D1598" s="42" t="inlineStr">
        <is>
          <t>SP-SL-SHUT-M-STD</t>
        </is>
      </c>
      <c r="E1598" s="42" t="inlineStr">
        <is>
          <t>25111-2</t>
        </is>
      </c>
      <c r="F1598" s="42" t="inlineStr">
        <is>
          <t>2550</t>
        </is>
      </c>
      <c r="G1598" s="42" t="inlineStr">
        <is>
          <t>1170</t>
        </is>
      </c>
      <c r="H1598" s="42" t="inlineStr">
        <is>
          <t>True</t>
        </is>
      </c>
      <c r="I1598" s="42" t="inlineStr">
        <is>
          <t>NOT_EVALUATED</t>
        </is>
      </c>
      <c r="J1598" s="42" t="inlineStr">
        <is>
          <t>NO_DIRECT_STANDARD_MATRIX_IN_RETRIEVED_SOURCE</t>
        </is>
      </c>
      <c r="K1598" s="42" t="str"/>
      <c r="L1598" s="42" t="str"/>
      <c r="M1598" s="42" t="str"/>
      <c r="N1598" s="42" t="str"/>
      <c r="O1598" s="42" t="inlineStr">
        <is>
          <t>現行公式資料でこの窓種のSAFE 30mil規格○/×を本Revisionでは直接取得できていない。推測しない。</t>
        </is>
      </c>
    </row>
    <row r="1599">
      <c r="A1599" s="42" t="inlineStr">
        <is>
          <t>SZ-SL-001598</t>
        </is>
      </c>
      <c r="B1599" s="42" t="inlineStr">
        <is>
          <t>WT-SL-SHUTTER-HIKI</t>
        </is>
      </c>
      <c r="C1599" s="42" t="inlineStr">
        <is>
          <t>シャッター付引違い窓</t>
        </is>
      </c>
      <c r="D1599" s="42" t="inlineStr">
        <is>
          <t>SP-SL-SHUT-M-STD</t>
        </is>
      </c>
      <c r="E1599" s="42" t="inlineStr">
        <is>
          <t>25111-4</t>
        </is>
      </c>
      <c r="F1599" s="42" t="inlineStr">
        <is>
          <t>2550</t>
        </is>
      </c>
      <c r="G1599" s="42" t="inlineStr">
        <is>
          <t>1170</t>
        </is>
      </c>
      <c r="H1599" s="42" t="inlineStr">
        <is>
          <t>True</t>
        </is>
      </c>
      <c r="I1599" s="42" t="inlineStr">
        <is>
          <t>NOT_EVALUATED</t>
        </is>
      </c>
      <c r="J1599" s="42" t="inlineStr">
        <is>
          <t>NO_DIRECT_STANDARD_MATRIX_IN_RETRIEVED_SOURCE</t>
        </is>
      </c>
      <c r="K1599" s="42" t="str"/>
      <c r="L1599" s="42" t="str"/>
      <c r="M1599" s="42" t="str"/>
      <c r="N1599" s="42" t="str"/>
      <c r="O1599" s="42" t="inlineStr">
        <is>
          <t>現行公式資料でこの窓種のSAFE 30mil規格○/×を本Revisionでは直接取得できていない。推測しない。</t>
        </is>
      </c>
    </row>
    <row r="1600">
      <c r="A1600" s="42" t="inlineStr">
        <is>
          <t>SZ-SL-001599</t>
        </is>
      </c>
      <c r="B1600" s="42" t="inlineStr">
        <is>
          <t>WT-SL-SHUTTER-HIKI</t>
        </is>
      </c>
      <c r="C1600" s="42" t="inlineStr">
        <is>
          <t>シャッター付引違い窓</t>
        </is>
      </c>
      <c r="D1600" s="42" t="inlineStr">
        <is>
          <t>SP-SL-SHUT-M-STD</t>
        </is>
      </c>
      <c r="E1600" s="42" t="inlineStr">
        <is>
          <t>25611-2</t>
        </is>
      </c>
      <c r="F1600" s="42" t="inlineStr">
        <is>
          <t>2600</t>
        </is>
      </c>
      <c r="G1600" s="42" t="inlineStr">
        <is>
          <t>1170</t>
        </is>
      </c>
      <c r="H1600" s="42" t="inlineStr">
        <is>
          <t>True</t>
        </is>
      </c>
      <c r="I1600" s="42" t="inlineStr">
        <is>
          <t>NOT_EVALUATED</t>
        </is>
      </c>
      <c r="J1600" s="42" t="inlineStr">
        <is>
          <t>NO_DIRECT_STANDARD_MATRIX_IN_RETRIEVED_SOURCE</t>
        </is>
      </c>
      <c r="K1600" s="42" t="str"/>
      <c r="L1600" s="42" t="str"/>
      <c r="M1600" s="42" t="str"/>
      <c r="N1600" s="42" t="str"/>
      <c r="O1600" s="42" t="inlineStr">
        <is>
          <t>現行公式資料でこの窓種のSAFE 30mil規格○/×を本Revisionでは直接取得できていない。推測しない。</t>
        </is>
      </c>
    </row>
    <row r="1601">
      <c r="A1601" s="42" t="inlineStr">
        <is>
          <t>SZ-SL-001600</t>
        </is>
      </c>
      <c r="B1601" s="42" t="inlineStr">
        <is>
          <t>WT-SL-SHUTTER-HIKI</t>
        </is>
      </c>
      <c r="C1601" s="42" t="inlineStr">
        <is>
          <t>シャッター付引違い窓</t>
        </is>
      </c>
      <c r="D1601" s="42" t="inlineStr">
        <is>
          <t>SP-SL-SHUT-M-STD</t>
        </is>
      </c>
      <c r="E1601" s="42" t="inlineStr">
        <is>
          <t>25611-4</t>
        </is>
      </c>
      <c r="F1601" s="42" t="inlineStr">
        <is>
          <t>2600</t>
        </is>
      </c>
      <c r="G1601" s="42" t="inlineStr">
        <is>
          <t>1170</t>
        </is>
      </c>
      <c r="H1601" s="42" t="inlineStr">
        <is>
          <t>True</t>
        </is>
      </c>
      <c r="I1601" s="42" t="inlineStr">
        <is>
          <t>NOT_EVALUATED</t>
        </is>
      </c>
      <c r="J1601" s="42" t="inlineStr">
        <is>
          <t>NO_DIRECT_STANDARD_MATRIX_IN_RETRIEVED_SOURCE</t>
        </is>
      </c>
      <c r="K1601" s="42" t="str"/>
      <c r="L1601" s="42" t="str"/>
      <c r="M1601" s="42" t="str"/>
      <c r="N1601" s="42" t="str"/>
      <c r="O1601" s="42" t="inlineStr">
        <is>
          <t>現行公式資料でこの窓種のSAFE 30mil規格○/×を本Revisionでは直接取得できていない。推測しない。</t>
        </is>
      </c>
    </row>
    <row r="1602">
      <c r="A1602" s="42" t="inlineStr">
        <is>
          <t>SZ-SL-001601</t>
        </is>
      </c>
      <c r="B1602" s="42" t="inlineStr">
        <is>
          <t>WT-SL-SHUTTER-HIKI</t>
        </is>
      </c>
      <c r="C1602" s="42" t="inlineStr">
        <is>
          <t>シャッター付引違い窓</t>
        </is>
      </c>
      <c r="D1602" s="42" t="inlineStr">
        <is>
          <t>SP-SL-SHUT-M-STD</t>
        </is>
      </c>
      <c r="E1602" s="42" t="inlineStr">
        <is>
          <t>25113-2</t>
        </is>
      </c>
      <c r="F1602" s="42" t="inlineStr">
        <is>
          <t>2550</t>
        </is>
      </c>
      <c r="G1602" s="42" t="inlineStr">
        <is>
          <t>1370</t>
        </is>
      </c>
      <c r="H1602" s="42" t="inlineStr">
        <is>
          <t>True</t>
        </is>
      </c>
      <c r="I1602" s="42" t="inlineStr">
        <is>
          <t>NOT_EVALUATED</t>
        </is>
      </c>
      <c r="J1602" s="42" t="inlineStr">
        <is>
          <t>NO_DIRECT_STANDARD_MATRIX_IN_RETRIEVED_SOURCE</t>
        </is>
      </c>
      <c r="K1602" s="42" t="str"/>
      <c r="L1602" s="42" t="str"/>
      <c r="M1602" s="42" t="str"/>
      <c r="N1602" s="42" t="str"/>
      <c r="O1602" s="42" t="inlineStr">
        <is>
          <t>現行公式資料でこの窓種のSAFE 30mil規格○/×を本Revisionでは直接取得できていない。推測しない。</t>
        </is>
      </c>
    </row>
    <row r="1603">
      <c r="A1603" s="42" t="inlineStr">
        <is>
          <t>SZ-SL-001602</t>
        </is>
      </c>
      <c r="B1603" s="42" t="inlineStr">
        <is>
          <t>WT-SL-SHUTTER-HIKI</t>
        </is>
      </c>
      <c r="C1603" s="42" t="inlineStr">
        <is>
          <t>シャッター付引違い窓</t>
        </is>
      </c>
      <c r="D1603" s="42" t="inlineStr">
        <is>
          <t>SP-SL-SHUT-M-STD</t>
        </is>
      </c>
      <c r="E1603" s="42" t="inlineStr">
        <is>
          <t>25113-4</t>
        </is>
      </c>
      <c r="F1603" s="42" t="inlineStr">
        <is>
          <t>2550</t>
        </is>
      </c>
      <c r="G1603" s="42" t="inlineStr">
        <is>
          <t>1370</t>
        </is>
      </c>
      <c r="H1603" s="42" t="inlineStr">
        <is>
          <t>True</t>
        </is>
      </c>
      <c r="I1603" s="42" t="inlineStr">
        <is>
          <t>NOT_EVALUATED</t>
        </is>
      </c>
      <c r="J1603" s="42" t="inlineStr">
        <is>
          <t>NO_DIRECT_STANDARD_MATRIX_IN_RETRIEVED_SOURCE</t>
        </is>
      </c>
      <c r="K1603" s="42" t="str"/>
      <c r="L1603" s="42" t="str"/>
      <c r="M1603" s="42" t="str"/>
      <c r="N1603" s="42" t="str"/>
      <c r="O1603" s="42" t="inlineStr">
        <is>
          <t>現行公式資料でこの窓種のSAFE 30mil規格○/×を本Revisionでは直接取得できていない。推測しない。</t>
        </is>
      </c>
    </row>
    <row r="1604">
      <c r="A1604" s="42" t="inlineStr">
        <is>
          <t>SZ-SL-001603</t>
        </is>
      </c>
      <c r="B1604" s="42" t="inlineStr">
        <is>
          <t>WT-SL-SHUTTER-HIKI</t>
        </is>
      </c>
      <c r="C1604" s="42" t="inlineStr">
        <is>
          <t>シャッター付引違い窓</t>
        </is>
      </c>
      <c r="D1604" s="42" t="inlineStr">
        <is>
          <t>SP-SL-SHUT-M-STD</t>
        </is>
      </c>
      <c r="E1604" s="42" t="inlineStr">
        <is>
          <t>25613-2</t>
        </is>
      </c>
      <c r="F1604" s="42" t="inlineStr">
        <is>
          <t>2600</t>
        </is>
      </c>
      <c r="G1604" s="42" t="inlineStr">
        <is>
          <t>1370</t>
        </is>
      </c>
      <c r="H1604" s="42" t="inlineStr">
        <is>
          <t>True</t>
        </is>
      </c>
      <c r="I1604" s="42" t="inlineStr">
        <is>
          <t>NOT_EVALUATED</t>
        </is>
      </c>
      <c r="J1604" s="42" t="inlineStr">
        <is>
          <t>NO_DIRECT_STANDARD_MATRIX_IN_RETRIEVED_SOURCE</t>
        </is>
      </c>
      <c r="K1604" s="42" t="str"/>
      <c r="L1604" s="42" t="str"/>
      <c r="M1604" s="42" t="str"/>
      <c r="N1604" s="42" t="str"/>
      <c r="O1604" s="42" t="inlineStr">
        <is>
          <t>現行公式資料でこの窓種のSAFE 30mil規格○/×を本Revisionでは直接取得できていない。推測しない。</t>
        </is>
      </c>
    </row>
    <row r="1605">
      <c r="A1605" s="42" t="inlineStr">
        <is>
          <t>SZ-SL-001604</t>
        </is>
      </c>
      <c r="B1605" s="42" t="inlineStr">
        <is>
          <t>WT-SL-SHUTTER-HIKI</t>
        </is>
      </c>
      <c r="C1605" s="42" t="inlineStr">
        <is>
          <t>シャッター付引違い窓</t>
        </is>
      </c>
      <c r="D1605" s="42" t="inlineStr">
        <is>
          <t>SP-SL-SHUT-M-STD</t>
        </is>
      </c>
      <c r="E1605" s="42" t="inlineStr">
        <is>
          <t>25613-4</t>
        </is>
      </c>
      <c r="F1605" s="42" t="inlineStr">
        <is>
          <t>2600</t>
        </is>
      </c>
      <c r="G1605" s="42" t="inlineStr">
        <is>
          <t>1370</t>
        </is>
      </c>
      <c r="H1605" s="42" t="inlineStr">
        <is>
          <t>True</t>
        </is>
      </c>
      <c r="I1605" s="42" t="inlineStr">
        <is>
          <t>NOT_EVALUATED</t>
        </is>
      </c>
      <c r="J1605" s="42" t="inlineStr">
        <is>
          <t>NO_DIRECT_STANDARD_MATRIX_IN_RETRIEVED_SOURCE</t>
        </is>
      </c>
      <c r="K1605" s="42" t="str"/>
      <c r="L1605" s="42" t="str"/>
      <c r="M1605" s="42" t="str"/>
      <c r="N1605" s="42" t="str"/>
      <c r="O1605" s="42" t="inlineStr">
        <is>
          <t>現行公式資料でこの窓種のSAFE 30mil規格○/×を本Revisionでは直接取得できていない。推測しない。</t>
        </is>
      </c>
    </row>
    <row r="1606">
      <c r="A1606" s="42" t="inlineStr">
        <is>
          <t>SZ-SL-001605</t>
        </is>
      </c>
      <c r="B1606" s="42" t="inlineStr">
        <is>
          <t>WT-SL-SHUTTER-HIKI</t>
        </is>
      </c>
      <c r="C1606" s="42" t="inlineStr">
        <is>
          <t>シャッター付引違い窓</t>
        </is>
      </c>
      <c r="D1606" s="42" t="inlineStr">
        <is>
          <t>SP-SL-SHUT-M-STD</t>
        </is>
      </c>
      <c r="E1606" s="42" t="inlineStr">
        <is>
          <t>11918</t>
        </is>
      </c>
      <c r="F1606" s="42" t="inlineStr">
        <is>
          <t>1235</t>
        </is>
      </c>
      <c r="G1606" s="42" t="inlineStr">
        <is>
          <t>1830</t>
        </is>
      </c>
      <c r="H1606" s="42" t="inlineStr">
        <is>
          <t>True</t>
        </is>
      </c>
      <c r="I1606" s="42" t="inlineStr">
        <is>
          <t>NOT_EVALUATED</t>
        </is>
      </c>
      <c r="J1606" s="42" t="inlineStr">
        <is>
          <t>NO_DIRECT_STANDARD_MATRIX_IN_RETRIEVED_SOURCE</t>
        </is>
      </c>
      <c r="K1606" s="42" t="str"/>
      <c r="L1606" s="42" t="str"/>
      <c r="M1606" s="42" t="str"/>
      <c r="N1606" s="42" t="str"/>
      <c r="O1606" s="42" t="inlineStr">
        <is>
          <t>現行公式資料でこの窓種のSAFE 30mil規格○/×を本Revisionでは直接取得できていない。推測しない。</t>
        </is>
      </c>
    </row>
    <row r="1607">
      <c r="A1607" s="42" t="inlineStr">
        <is>
          <t>SZ-SL-001606</t>
        </is>
      </c>
      <c r="B1607" s="42" t="inlineStr">
        <is>
          <t>WT-SL-SHUTTER-HIKI</t>
        </is>
      </c>
      <c r="C1607" s="42" t="inlineStr">
        <is>
          <t>シャッター付引違い窓</t>
        </is>
      </c>
      <c r="D1607" s="42" t="inlineStr">
        <is>
          <t>SP-SL-SHUT-M-STD</t>
        </is>
      </c>
      <c r="E1607" s="42" t="inlineStr">
        <is>
          <t>13318</t>
        </is>
      </c>
      <c r="F1607" s="42" t="inlineStr">
        <is>
          <t>1370</t>
        </is>
      </c>
      <c r="G1607" s="42" t="inlineStr">
        <is>
          <t>1830</t>
        </is>
      </c>
      <c r="H1607" s="42" t="inlineStr">
        <is>
          <t>True</t>
        </is>
      </c>
      <c r="I1607" s="42" t="inlineStr">
        <is>
          <t>NOT_EVALUATED</t>
        </is>
      </c>
      <c r="J1607" s="42" t="inlineStr">
        <is>
          <t>NO_DIRECT_STANDARD_MATRIX_IN_RETRIEVED_SOURCE</t>
        </is>
      </c>
      <c r="K1607" s="42" t="str"/>
      <c r="L1607" s="42" t="str"/>
      <c r="M1607" s="42" t="str"/>
      <c r="N1607" s="42" t="str"/>
      <c r="O1607" s="42" t="inlineStr">
        <is>
          <t>現行公式資料でこの窓種のSAFE 30mil規格○/×を本Revisionでは直接取得できていない。推測しない。</t>
        </is>
      </c>
    </row>
    <row r="1608">
      <c r="A1608" s="42" t="inlineStr">
        <is>
          <t>SZ-SL-001607</t>
        </is>
      </c>
      <c r="B1608" s="42" t="inlineStr">
        <is>
          <t>WT-SL-SHUTTER-HIKI</t>
        </is>
      </c>
      <c r="C1608" s="42" t="inlineStr">
        <is>
          <t>シャッター付引違い窓</t>
        </is>
      </c>
      <c r="D1608" s="42" t="inlineStr">
        <is>
          <t>SP-SL-SHUT-M-STD</t>
        </is>
      </c>
      <c r="E1608" s="42" t="inlineStr">
        <is>
          <t>15018</t>
        </is>
      </c>
      <c r="F1608" s="42" t="inlineStr">
        <is>
          <t>1540</t>
        </is>
      </c>
      <c r="G1608" s="42" t="inlineStr">
        <is>
          <t>1830</t>
        </is>
      </c>
      <c r="H1608" s="42" t="inlineStr">
        <is>
          <t>True</t>
        </is>
      </c>
      <c r="I1608" s="42" t="inlineStr">
        <is>
          <t>NOT_EVALUATED</t>
        </is>
      </c>
      <c r="J1608" s="42" t="inlineStr">
        <is>
          <t>NO_DIRECT_STANDARD_MATRIX_IN_RETRIEVED_SOURCE</t>
        </is>
      </c>
      <c r="K1608" s="42" t="str"/>
      <c r="L1608" s="42" t="str"/>
      <c r="M1608" s="42" t="str"/>
      <c r="N1608" s="42" t="str"/>
      <c r="O1608" s="42" t="inlineStr">
        <is>
          <t>現行公式資料でこの窓種のSAFE 30mil規格○/×を本Revisionでは直接取得できていない。推測しない。</t>
        </is>
      </c>
    </row>
    <row r="1609">
      <c r="A1609" s="42" t="inlineStr">
        <is>
          <t>SZ-SL-001608</t>
        </is>
      </c>
      <c r="B1609" s="42" t="inlineStr">
        <is>
          <t>WT-SL-SHUTTER-HIKI</t>
        </is>
      </c>
      <c r="C1609" s="42" t="inlineStr">
        <is>
          <t>シャッター付引違い窓</t>
        </is>
      </c>
      <c r="D1609" s="42" t="inlineStr">
        <is>
          <t>SP-SL-SHUT-M-STD</t>
        </is>
      </c>
      <c r="E1609" s="42" t="inlineStr">
        <is>
          <t>16018</t>
        </is>
      </c>
      <c r="F1609" s="42" t="inlineStr">
        <is>
          <t>1640</t>
        </is>
      </c>
      <c r="G1609" s="42" t="inlineStr">
        <is>
          <t>1830</t>
        </is>
      </c>
      <c r="H1609" s="42" t="inlineStr">
        <is>
          <t>True</t>
        </is>
      </c>
      <c r="I1609" s="42" t="inlineStr">
        <is>
          <t>NOT_EVALUATED</t>
        </is>
      </c>
      <c r="J1609" s="42" t="inlineStr">
        <is>
          <t>NO_DIRECT_STANDARD_MATRIX_IN_RETRIEVED_SOURCE</t>
        </is>
      </c>
      <c r="K1609" s="42" t="str"/>
      <c r="L1609" s="42" t="str"/>
      <c r="M1609" s="42" t="str"/>
      <c r="N1609" s="42" t="str"/>
      <c r="O1609" s="42" t="inlineStr">
        <is>
          <t>現行公式資料でこの窓種のSAFE 30mil規格○/×を本Revisionでは直接取得できていない。推測しない。</t>
        </is>
      </c>
    </row>
    <row r="1610">
      <c r="A1610" s="42" t="inlineStr">
        <is>
          <t>SZ-SL-001609</t>
        </is>
      </c>
      <c r="B1610" s="42" t="inlineStr">
        <is>
          <t>WT-SL-SHUTTER-HIKI</t>
        </is>
      </c>
      <c r="C1610" s="42" t="inlineStr">
        <is>
          <t>シャッター付引違い窓</t>
        </is>
      </c>
      <c r="D1610" s="42" t="inlineStr">
        <is>
          <t>SP-SL-SHUT-M-STD</t>
        </is>
      </c>
      <c r="E1610" s="42" t="inlineStr">
        <is>
          <t>11920</t>
        </is>
      </c>
      <c r="F1610" s="42" t="inlineStr">
        <is>
          <t>1235</t>
        </is>
      </c>
      <c r="G1610" s="42" t="inlineStr">
        <is>
          <t>2030</t>
        </is>
      </c>
      <c r="H1610" s="42" t="inlineStr">
        <is>
          <t>True</t>
        </is>
      </c>
      <c r="I1610" s="42" t="inlineStr">
        <is>
          <t>NOT_EVALUATED</t>
        </is>
      </c>
      <c r="J1610" s="42" t="inlineStr">
        <is>
          <t>NO_DIRECT_STANDARD_MATRIX_IN_RETRIEVED_SOURCE</t>
        </is>
      </c>
      <c r="K1610" s="42" t="str"/>
      <c r="L1610" s="42" t="str"/>
      <c r="M1610" s="42" t="str"/>
      <c r="N1610" s="42" t="str"/>
      <c r="O1610" s="42" t="inlineStr">
        <is>
          <t>現行公式資料でこの窓種のSAFE 30mil規格○/×を本Revisionでは直接取得できていない。推測しない。</t>
        </is>
      </c>
    </row>
    <row r="1611">
      <c r="A1611" s="42" t="inlineStr">
        <is>
          <t>SZ-SL-001610</t>
        </is>
      </c>
      <c r="B1611" s="42" t="inlineStr">
        <is>
          <t>WT-SL-SHUTTER-HIKI</t>
        </is>
      </c>
      <c r="C1611" s="42" t="inlineStr">
        <is>
          <t>シャッター付引違い窓</t>
        </is>
      </c>
      <c r="D1611" s="42" t="inlineStr">
        <is>
          <t>SP-SL-SHUT-M-STD</t>
        </is>
      </c>
      <c r="E1611" s="42" t="inlineStr">
        <is>
          <t>13320</t>
        </is>
      </c>
      <c r="F1611" s="42" t="inlineStr">
        <is>
          <t>1370</t>
        </is>
      </c>
      <c r="G1611" s="42" t="inlineStr">
        <is>
          <t>2030</t>
        </is>
      </c>
      <c r="H1611" s="42" t="inlineStr">
        <is>
          <t>True</t>
        </is>
      </c>
      <c r="I1611" s="42" t="inlineStr">
        <is>
          <t>NOT_EVALUATED</t>
        </is>
      </c>
      <c r="J1611" s="42" t="inlineStr">
        <is>
          <t>NO_DIRECT_STANDARD_MATRIX_IN_RETRIEVED_SOURCE</t>
        </is>
      </c>
      <c r="K1611" s="42" t="str"/>
      <c r="L1611" s="42" t="str"/>
      <c r="M1611" s="42" t="str"/>
      <c r="N1611" s="42" t="str"/>
      <c r="O1611" s="42" t="inlineStr">
        <is>
          <t>現行公式資料でこの窓種のSAFE 30mil規格○/×を本Revisionでは直接取得できていない。推測しない。</t>
        </is>
      </c>
    </row>
    <row r="1612">
      <c r="A1612" s="42" t="inlineStr">
        <is>
          <t>SZ-SL-001611</t>
        </is>
      </c>
      <c r="B1612" s="42" t="inlineStr">
        <is>
          <t>WT-SL-SHUTTER-HIKI</t>
        </is>
      </c>
      <c r="C1612" s="42" t="inlineStr">
        <is>
          <t>シャッター付引違い窓</t>
        </is>
      </c>
      <c r="D1612" s="42" t="inlineStr">
        <is>
          <t>SP-SL-SHUT-M-STD</t>
        </is>
      </c>
      <c r="E1612" s="42" t="inlineStr">
        <is>
          <t>15020</t>
        </is>
      </c>
      <c r="F1612" s="42" t="inlineStr">
        <is>
          <t>1540</t>
        </is>
      </c>
      <c r="G1612" s="42" t="inlineStr">
        <is>
          <t>2030</t>
        </is>
      </c>
      <c r="H1612" s="42" t="inlineStr">
        <is>
          <t>True</t>
        </is>
      </c>
      <c r="I1612" s="42" t="inlineStr">
        <is>
          <t>NOT_EVALUATED</t>
        </is>
      </c>
      <c r="J1612" s="42" t="inlineStr">
        <is>
          <t>NO_DIRECT_STANDARD_MATRIX_IN_RETRIEVED_SOURCE</t>
        </is>
      </c>
      <c r="K1612" s="42" t="str"/>
      <c r="L1612" s="42" t="str"/>
      <c r="M1612" s="42" t="str"/>
      <c r="N1612" s="42" t="str"/>
      <c r="O1612" s="42" t="inlineStr">
        <is>
          <t>現行公式資料でこの窓種のSAFE 30mil規格○/×を本Revisionでは直接取得できていない。推測しない。</t>
        </is>
      </c>
    </row>
    <row r="1613">
      <c r="A1613" s="42" t="inlineStr">
        <is>
          <t>SZ-SL-001612</t>
        </is>
      </c>
      <c r="B1613" s="42" t="inlineStr">
        <is>
          <t>WT-SL-SHUTTER-HIKI</t>
        </is>
      </c>
      <c r="C1613" s="42" t="inlineStr">
        <is>
          <t>シャッター付引違い窓</t>
        </is>
      </c>
      <c r="D1613" s="42" t="inlineStr">
        <is>
          <t>SP-SL-SHUT-M-STD</t>
        </is>
      </c>
      <c r="E1613" s="42" t="inlineStr">
        <is>
          <t>16020</t>
        </is>
      </c>
      <c r="F1613" s="42" t="inlineStr">
        <is>
          <t>1640</t>
        </is>
      </c>
      <c r="G1613" s="42" t="inlineStr">
        <is>
          <t>2030</t>
        </is>
      </c>
      <c r="H1613" s="42" t="inlineStr">
        <is>
          <t>True</t>
        </is>
      </c>
      <c r="I1613" s="42" t="inlineStr">
        <is>
          <t>NOT_EVALUATED</t>
        </is>
      </c>
      <c r="J1613" s="42" t="inlineStr">
        <is>
          <t>NO_DIRECT_STANDARD_MATRIX_IN_RETRIEVED_SOURCE</t>
        </is>
      </c>
      <c r="K1613" s="42" t="str"/>
      <c r="L1613" s="42" t="str"/>
      <c r="M1613" s="42" t="str"/>
      <c r="N1613" s="42" t="str"/>
      <c r="O1613" s="42" t="inlineStr">
        <is>
          <t>現行公式資料でこの窓種のSAFE 30mil規格○/×を本Revisionでは直接取得できていない。推測しない。</t>
        </is>
      </c>
    </row>
    <row r="1614">
      <c r="A1614" s="42" t="inlineStr">
        <is>
          <t>SZ-SL-001613</t>
        </is>
      </c>
      <c r="B1614" s="42" t="inlineStr">
        <is>
          <t>WT-SL-SHUTTER-HIKI</t>
        </is>
      </c>
      <c r="C1614" s="42" t="inlineStr">
        <is>
          <t>シャッター付引違い窓</t>
        </is>
      </c>
      <c r="D1614" s="42" t="inlineStr">
        <is>
          <t>SP-SL-SHUT-M-STD</t>
        </is>
      </c>
      <c r="E1614" s="42" t="inlineStr">
        <is>
          <t>15022</t>
        </is>
      </c>
      <c r="F1614" s="42" t="inlineStr">
        <is>
          <t>1540</t>
        </is>
      </c>
      <c r="G1614" s="42" t="inlineStr">
        <is>
          <t>2230</t>
        </is>
      </c>
      <c r="H1614" s="42" t="inlineStr">
        <is>
          <t>True</t>
        </is>
      </c>
      <c r="I1614" s="42" t="inlineStr">
        <is>
          <t>NOT_EVALUATED</t>
        </is>
      </c>
      <c r="J1614" s="42" t="inlineStr">
        <is>
          <t>NO_DIRECT_STANDARD_MATRIX_IN_RETRIEVED_SOURCE</t>
        </is>
      </c>
      <c r="K1614" s="42" t="str"/>
      <c r="L1614" s="42" t="str"/>
      <c r="M1614" s="42" t="str"/>
      <c r="N1614" s="42" t="str"/>
      <c r="O1614" s="42" t="inlineStr">
        <is>
          <t>現行公式資料でこの窓種のSAFE 30mil規格○/×を本Revisionでは直接取得できていない。推測しない。</t>
        </is>
      </c>
    </row>
    <row r="1615">
      <c r="A1615" s="42" t="inlineStr">
        <is>
          <t>SZ-SL-001614</t>
        </is>
      </c>
      <c r="B1615" s="42" t="inlineStr">
        <is>
          <t>WT-SL-SHUTTER-HIKI</t>
        </is>
      </c>
      <c r="C1615" s="42" t="inlineStr">
        <is>
          <t>シャッター付引違い窓</t>
        </is>
      </c>
      <c r="D1615" s="42" t="inlineStr">
        <is>
          <t>SP-SL-SHUT-M-STD</t>
        </is>
      </c>
      <c r="E1615" s="42" t="inlineStr">
        <is>
          <t>16022</t>
        </is>
      </c>
      <c r="F1615" s="42" t="inlineStr">
        <is>
          <t>1640</t>
        </is>
      </c>
      <c r="G1615" s="42" t="inlineStr">
        <is>
          <t>2230</t>
        </is>
      </c>
      <c r="H1615" s="42" t="inlineStr">
        <is>
          <t>True</t>
        </is>
      </c>
      <c r="I1615" s="42" t="inlineStr">
        <is>
          <t>NOT_EVALUATED</t>
        </is>
      </c>
      <c r="J1615" s="42" t="inlineStr">
        <is>
          <t>NO_DIRECT_STANDARD_MATRIX_IN_RETRIEVED_SOURCE</t>
        </is>
      </c>
      <c r="K1615" s="42" t="str"/>
      <c r="L1615" s="42" t="str"/>
      <c r="M1615" s="42" t="str"/>
      <c r="N1615" s="42" t="str"/>
      <c r="O1615" s="42" t="inlineStr">
        <is>
          <t>現行公式資料でこの窓種のSAFE 30mil規格○/×を本Revisionでは直接取得できていない。推測しない。</t>
        </is>
      </c>
    </row>
    <row r="1616">
      <c r="A1616" s="42" t="inlineStr">
        <is>
          <t>SZ-SL-001615</t>
        </is>
      </c>
      <c r="B1616" s="42" t="inlineStr">
        <is>
          <t>WT-SL-SHUTTER-HIKI</t>
        </is>
      </c>
      <c r="C1616" s="42" t="inlineStr">
        <is>
          <t>シャッター付引違い窓</t>
        </is>
      </c>
      <c r="D1616" s="42" t="inlineStr">
        <is>
          <t>SP-SL-SHUT-M-STD</t>
        </is>
      </c>
      <c r="E1616" s="42" t="inlineStr">
        <is>
          <t>16518</t>
        </is>
      </c>
      <c r="F1616" s="42" t="inlineStr">
        <is>
          <t>1690</t>
        </is>
      </c>
      <c r="G1616" s="42" t="inlineStr">
        <is>
          <t>1830</t>
        </is>
      </c>
      <c r="H1616" s="42" t="inlineStr">
        <is>
          <t>True</t>
        </is>
      </c>
      <c r="I1616" s="42" t="inlineStr">
        <is>
          <t>NOT_EVALUATED</t>
        </is>
      </c>
      <c r="J1616" s="42" t="inlineStr">
        <is>
          <t>NO_DIRECT_STANDARD_MATRIX_IN_RETRIEVED_SOURCE</t>
        </is>
      </c>
      <c r="K1616" s="42" t="str"/>
      <c r="L1616" s="42" t="str"/>
      <c r="M1616" s="42" t="str"/>
      <c r="N1616" s="42" t="str"/>
      <c r="O1616" s="42" t="inlineStr">
        <is>
          <t>現行公式資料でこの窓種のSAFE 30mil規格○/×を本Revisionでは直接取得できていない。推測しない。</t>
        </is>
      </c>
    </row>
    <row r="1617">
      <c r="A1617" s="42" t="inlineStr">
        <is>
          <t>SZ-SL-001616</t>
        </is>
      </c>
      <c r="B1617" s="42" t="inlineStr">
        <is>
          <t>WT-SL-SHUTTER-HIKI</t>
        </is>
      </c>
      <c r="C1617" s="42" t="inlineStr">
        <is>
          <t>シャッター付引違い窓</t>
        </is>
      </c>
      <c r="D1617" s="42" t="inlineStr">
        <is>
          <t>SP-SL-SHUT-M-STD</t>
        </is>
      </c>
      <c r="E1617" s="42" t="inlineStr">
        <is>
          <t>17418</t>
        </is>
      </c>
      <c r="F1617" s="42" t="inlineStr">
        <is>
          <t>1780</t>
        </is>
      </c>
      <c r="G1617" s="42" t="inlineStr">
        <is>
          <t>1830</t>
        </is>
      </c>
      <c r="H1617" s="42" t="inlineStr">
        <is>
          <t>True</t>
        </is>
      </c>
      <c r="I1617" s="42" t="inlineStr">
        <is>
          <t>NOT_EVALUATED</t>
        </is>
      </c>
      <c r="J1617" s="42" t="inlineStr">
        <is>
          <t>NO_DIRECT_STANDARD_MATRIX_IN_RETRIEVED_SOURCE</t>
        </is>
      </c>
      <c r="K1617" s="42" t="str"/>
      <c r="L1617" s="42" t="str"/>
      <c r="M1617" s="42" t="str"/>
      <c r="N1617" s="42" t="str"/>
      <c r="O1617" s="42" t="inlineStr">
        <is>
          <t>現行公式資料でこの窓種のSAFE 30mil規格○/×を本Revisionでは直接取得できていない。推測しない。</t>
        </is>
      </c>
    </row>
    <row r="1618">
      <c r="A1618" s="42" t="inlineStr">
        <is>
          <t>SZ-SL-001617</t>
        </is>
      </c>
      <c r="B1618" s="42" t="inlineStr">
        <is>
          <t>WT-SL-SHUTTER-HIKI</t>
        </is>
      </c>
      <c r="C1618" s="42" t="inlineStr">
        <is>
          <t>シャッター付引違い窓</t>
        </is>
      </c>
      <c r="D1618" s="42" t="inlineStr">
        <is>
          <t>SP-SL-SHUT-M-STD</t>
        </is>
      </c>
      <c r="E1618" s="42" t="inlineStr">
        <is>
          <t>17618</t>
        </is>
      </c>
      <c r="F1618" s="42" t="inlineStr">
        <is>
          <t>1800</t>
        </is>
      </c>
      <c r="G1618" s="42" t="inlineStr">
        <is>
          <t>1830</t>
        </is>
      </c>
      <c r="H1618" s="42" t="inlineStr">
        <is>
          <t>True</t>
        </is>
      </c>
      <c r="I1618" s="42" t="inlineStr">
        <is>
          <t>NOT_EVALUATED</t>
        </is>
      </c>
      <c r="J1618" s="42" t="inlineStr">
        <is>
          <t>NO_DIRECT_STANDARD_MATRIX_IN_RETRIEVED_SOURCE</t>
        </is>
      </c>
      <c r="K1618" s="42" t="str"/>
      <c r="L1618" s="42" t="str"/>
      <c r="M1618" s="42" t="str"/>
      <c r="N1618" s="42" t="str"/>
      <c r="O1618" s="42" t="inlineStr">
        <is>
          <t>現行公式資料でこの窓種のSAFE 30mil規格○/×を本Revisionでは直接取得できていない。推測しない。</t>
        </is>
      </c>
    </row>
    <row r="1619">
      <c r="A1619" s="42" t="inlineStr">
        <is>
          <t>SZ-SL-001618</t>
        </is>
      </c>
      <c r="B1619" s="42" t="inlineStr">
        <is>
          <t>WT-SL-SHUTTER-HIKI</t>
        </is>
      </c>
      <c r="C1619" s="42" t="inlineStr">
        <is>
          <t>シャッター付引違い窓</t>
        </is>
      </c>
      <c r="D1619" s="42" t="inlineStr">
        <is>
          <t>SP-SL-SHUT-M-STD</t>
        </is>
      </c>
      <c r="E1619" s="42" t="inlineStr">
        <is>
          <t>16520</t>
        </is>
      </c>
      <c r="F1619" s="42" t="inlineStr">
        <is>
          <t>1690</t>
        </is>
      </c>
      <c r="G1619" s="42" t="inlineStr">
        <is>
          <t>2030</t>
        </is>
      </c>
      <c r="H1619" s="42" t="inlineStr">
        <is>
          <t>True</t>
        </is>
      </c>
      <c r="I1619" s="42" t="inlineStr">
        <is>
          <t>NOT_EVALUATED</t>
        </is>
      </c>
      <c r="J1619" s="42" t="inlineStr">
        <is>
          <t>NO_DIRECT_STANDARD_MATRIX_IN_RETRIEVED_SOURCE</t>
        </is>
      </c>
      <c r="K1619" s="42" t="str"/>
      <c r="L1619" s="42" t="str"/>
      <c r="M1619" s="42" t="str"/>
      <c r="N1619" s="42" t="str"/>
      <c r="O1619" s="42" t="inlineStr">
        <is>
          <t>現行公式資料でこの窓種のSAFE 30mil規格○/×を本Revisionでは直接取得できていない。推測しない。</t>
        </is>
      </c>
    </row>
    <row r="1620">
      <c r="A1620" s="42" t="inlineStr">
        <is>
          <t>SZ-SL-001619</t>
        </is>
      </c>
      <c r="B1620" s="42" t="inlineStr">
        <is>
          <t>WT-SL-SHUTTER-HIKI</t>
        </is>
      </c>
      <c r="C1620" s="42" t="inlineStr">
        <is>
          <t>シャッター付引違い窓</t>
        </is>
      </c>
      <c r="D1620" s="42" t="inlineStr">
        <is>
          <t>SP-SL-SHUT-M-STD</t>
        </is>
      </c>
      <c r="E1620" s="42" t="inlineStr">
        <is>
          <t>17420</t>
        </is>
      </c>
      <c r="F1620" s="42" t="inlineStr">
        <is>
          <t>1780</t>
        </is>
      </c>
      <c r="G1620" s="42" t="inlineStr">
        <is>
          <t>2030</t>
        </is>
      </c>
      <c r="H1620" s="42" t="inlineStr">
        <is>
          <t>True</t>
        </is>
      </c>
      <c r="I1620" s="42" t="inlineStr">
        <is>
          <t>NOT_EVALUATED</t>
        </is>
      </c>
      <c r="J1620" s="42" t="inlineStr">
        <is>
          <t>NO_DIRECT_STANDARD_MATRIX_IN_RETRIEVED_SOURCE</t>
        </is>
      </c>
      <c r="K1620" s="42" t="str"/>
      <c r="L1620" s="42" t="str"/>
      <c r="M1620" s="42" t="str"/>
      <c r="N1620" s="42" t="str"/>
      <c r="O1620" s="42" t="inlineStr">
        <is>
          <t>現行公式資料でこの窓種のSAFE 30mil規格○/×を本Revisionでは直接取得できていない。推測しない。</t>
        </is>
      </c>
    </row>
    <row r="1621">
      <c r="A1621" s="42" t="inlineStr">
        <is>
          <t>SZ-SL-001620</t>
        </is>
      </c>
      <c r="B1621" s="42" t="inlineStr">
        <is>
          <t>WT-SL-SHUTTER-HIKI</t>
        </is>
      </c>
      <c r="C1621" s="42" t="inlineStr">
        <is>
          <t>シャッター付引違い窓</t>
        </is>
      </c>
      <c r="D1621" s="42" t="inlineStr">
        <is>
          <t>SP-SL-SHUT-M-STD</t>
        </is>
      </c>
      <c r="E1621" s="42" t="inlineStr">
        <is>
          <t>17620</t>
        </is>
      </c>
      <c r="F1621" s="42" t="inlineStr">
        <is>
          <t>1800</t>
        </is>
      </c>
      <c r="G1621" s="42" t="inlineStr">
        <is>
          <t>2030</t>
        </is>
      </c>
      <c r="H1621" s="42" t="inlineStr">
        <is>
          <t>True</t>
        </is>
      </c>
      <c r="I1621" s="42" t="inlineStr">
        <is>
          <t>NOT_EVALUATED</t>
        </is>
      </c>
      <c r="J1621" s="42" t="inlineStr">
        <is>
          <t>NO_DIRECT_STANDARD_MATRIX_IN_RETRIEVED_SOURCE</t>
        </is>
      </c>
      <c r="K1621" s="42" t="str"/>
      <c r="L1621" s="42" t="str"/>
      <c r="M1621" s="42" t="str"/>
      <c r="N1621" s="42" t="str"/>
      <c r="O1621" s="42" t="inlineStr">
        <is>
          <t>現行公式資料でこの窓種のSAFE 30mil規格○/×を本Revisionでは直接取得できていない。推測しない。</t>
        </is>
      </c>
    </row>
    <row r="1622">
      <c r="A1622" s="42" t="inlineStr">
        <is>
          <t>SZ-SL-001621</t>
        </is>
      </c>
      <c r="B1622" s="42" t="inlineStr">
        <is>
          <t>WT-SL-SHUTTER-HIKI</t>
        </is>
      </c>
      <c r="C1622" s="42" t="inlineStr">
        <is>
          <t>シャッター付引違い窓</t>
        </is>
      </c>
      <c r="D1622" s="42" t="inlineStr">
        <is>
          <t>SP-SL-SHUT-M-STD</t>
        </is>
      </c>
      <c r="E1622" s="42" t="inlineStr">
        <is>
          <t>16522</t>
        </is>
      </c>
      <c r="F1622" s="42" t="inlineStr">
        <is>
          <t>1690</t>
        </is>
      </c>
      <c r="G1622" s="42" t="inlineStr">
        <is>
          <t>2230</t>
        </is>
      </c>
      <c r="H1622" s="42" t="inlineStr">
        <is>
          <t>True</t>
        </is>
      </c>
      <c r="I1622" s="42" t="inlineStr">
        <is>
          <t>NOT_EVALUATED</t>
        </is>
      </c>
      <c r="J1622" s="42" t="inlineStr">
        <is>
          <t>NO_DIRECT_STANDARD_MATRIX_IN_RETRIEVED_SOURCE</t>
        </is>
      </c>
      <c r="K1622" s="42" t="str"/>
      <c r="L1622" s="42" t="str"/>
      <c r="M1622" s="42" t="str"/>
      <c r="N1622" s="42" t="str"/>
      <c r="O1622" s="42" t="inlineStr">
        <is>
          <t>現行公式資料でこの窓種のSAFE 30mil規格○/×を本Revisionでは直接取得できていない。推測しない。</t>
        </is>
      </c>
    </row>
    <row r="1623">
      <c r="A1623" s="42" t="inlineStr">
        <is>
          <t>SZ-SL-001622</t>
        </is>
      </c>
      <c r="B1623" s="42" t="inlineStr">
        <is>
          <t>WT-SL-SHUTTER-HIKI</t>
        </is>
      </c>
      <c r="C1623" s="42" t="inlineStr">
        <is>
          <t>シャッター付引違い窓</t>
        </is>
      </c>
      <c r="D1623" s="42" t="inlineStr">
        <is>
          <t>SP-SL-SHUT-M-STD</t>
        </is>
      </c>
      <c r="E1623" s="42" t="inlineStr">
        <is>
          <t>17422</t>
        </is>
      </c>
      <c r="F1623" s="42" t="inlineStr">
        <is>
          <t>1780</t>
        </is>
      </c>
      <c r="G1623" s="42" t="inlineStr">
        <is>
          <t>2230</t>
        </is>
      </c>
      <c r="H1623" s="42" t="inlineStr">
        <is>
          <t>True</t>
        </is>
      </c>
      <c r="I1623" s="42" t="inlineStr">
        <is>
          <t>NOT_EVALUATED</t>
        </is>
      </c>
      <c r="J1623" s="42" t="inlineStr">
        <is>
          <t>NO_DIRECT_STANDARD_MATRIX_IN_RETRIEVED_SOURCE</t>
        </is>
      </c>
      <c r="K1623" s="42" t="str"/>
      <c r="L1623" s="42" t="str"/>
      <c r="M1623" s="42" t="str"/>
      <c r="N1623" s="42" t="str"/>
      <c r="O1623" s="42" t="inlineStr">
        <is>
          <t>現行公式資料でこの窓種のSAFE 30mil規格○/×を本Revisionでは直接取得できていない。推測しない。</t>
        </is>
      </c>
    </row>
    <row r="1624">
      <c r="A1624" s="42" t="inlineStr">
        <is>
          <t>SZ-SL-001623</t>
        </is>
      </c>
      <c r="B1624" s="42" t="inlineStr">
        <is>
          <t>WT-SL-SHUTTER-HIKI</t>
        </is>
      </c>
      <c r="C1624" s="42" t="inlineStr">
        <is>
          <t>シャッター付引違い窓</t>
        </is>
      </c>
      <c r="D1624" s="42" t="inlineStr">
        <is>
          <t>SP-SL-SHUT-M-STD</t>
        </is>
      </c>
      <c r="E1624" s="42" t="inlineStr">
        <is>
          <t>17622</t>
        </is>
      </c>
      <c r="F1624" s="42" t="inlineStr">
        <is>
          <t>1800</t>
        </is>
      </c>
      <c r="G1624" s="42" t="inlineStr">
        <is>
          <t>2230</t>
        </is>
      </c>
      <c r="H1624" s="42" t="inlineStr">
        <is>
          <t>True</t>
        </is>
      </c>
      <c r="I1624" s="42" t="inlineStr">
        <is>
          <t>NOT_EVALUATED</t>
        </is>
      </c>
      <c r="J1624" s="42" t="inlineStr">
        <is>
          <t>NO_DIRECT_STANDARD_MATRIX_IN_RETRIEVED_SOURCE</t>
        </is>
      </c>
      <c r="K1624" s="42" t="str"/>
      <c r="L1624" s="42" t="str"/>
      <c r="M1624" s="42" t="str"/>
      <c r="N1624" s="42" t="str"/>
      <c r="O1624" s="42" t="inlineStr">
        <is>
          <t>現行公式資料でこの窓種のSAFE 30mil規格○/×を本Revisionでは直接取得できていない。推測しない。</t>
        </is>
      </c>
    </row>
    <row r="1625">
      <c r="A1625" s="42" t="inlineStr">
        <is>
          <t>SZ-SL-001624</t>
        </is>
      </c>
      <c r="B1625" s="42" t="inlineStr">
        <is>
          <t>WT-SL-SHUTTER-HIKI</t>
        </is>
      </c>
      <c r="C1625" s="42" t="inlineStr">
        <is>
          <t>シャッター付引違い窓</t>
        </is>
      </c>
      <c r="D1625" s="42" t="inlineStr">
        <is>
          <t>SP-SL-SHUT-M-STD</t>
        </is>
      </c>
      <c r="E1625" s="42" t="inlineStr">
        <is>
          <t>18018</t>
        </is>
      </c>
      <c r="F1625" s="42" t="inlineStr">
        <is>
          <t>1845</t>
        </is>
      </c>
      <c r="G1625" s="42" t="inlineStr">
        <is>
          <t>1830</t>
        </is>
      </c>
      <c r="H1625" s="42" t="inlineStr">
        <is>
          <t>True</t>
        </is>
      </c>
      <c r="I1625" s="42" t="inlineStr">
        <is>
          <t>NOT_EVALUATED</t>
        </is>
      </c>
      <c r="J1625" s="42" t="inlineStr">
        <is>
          <t>NO_DIRECT_STANDARD_MATRIX_IN_RETRIEVED_SOURCE</t>
        </is>
      </c>
      <c r="K1625" s="42" t="str"/>
      <c r="L1625" s="42" t="str"/>
      <c r="M1625" s="42" t="str"/>
      <c r="N1625" s="42" t="str"/>
      <c r="O1625" s="42" t="inlineStr">
        <is>
          <t>現行公式資料でこの窓種のSAFE 30mil規格○/×を本Revisionでは直接取得できていない。推測しない。</t>
        </is>
      </c>
    </row>
    <row r="1626">
      <c r="A1626" s="42" t="inlineStr">
        <is>
          <t>SZ-SL-001625</t>
        </is>
      </c>
      <c r="B1626" s="42" t="inlineStr">
        <is>
          <t>WT-SL-SHUTTER-HIKI</t>
        </is>
      </c>
      <c r="C1626" s="42" t="inlineStr">
        <is>
          <t>シャッター付引違い窓</t>
        </is>
      </c>
      <c r="D1626" s="42" t="inlineStr">
        <is>
          <t>SP-SL-SHUT-M-STD</t>
        </is>
      </c>
      <c r="E1626" s="42" t="inlineStr">
        <is>
          <t>18618</t>
        </is>
      </c>
      <c r="F1626" s="42" t="inlineStr">
        <is>
          <t>1900</t>
        </is>
      </c>
      <c r="G1626" s="42" t="inlineStr">
        <is>
          <t>1830</t>
        </is>
      </c>
      <c r="H1626" s="42" t="inlineStr">
        <is>
          <t>True</t>
        </is>
      </c>
      <c r="I1626" s="42" t="inlineStr">
        <is>
          <t>NOT_EVALUATED</t>
        </is>
      </c>
      <c r="J1626" s="42" t="inlineStr">
        <is>
          <t>NO_DIRECT_STANDARD_MATRIX_IN_RETRIEVED_SOURCE</t>
        </is>
      </c>
      <c r="K1626" s="42" t="str"/>
      <c r="L1626" s="42" t="str"/>
      <c r="M1626" s="42" t="str"/>
      <c r="N1626" s="42" t="str"/>
      <c r="O1626" s="42" t="inlineStr">
        <is>
          <t>現行公式資料でこの窓種のSAFE 30mil規格○/×を本Revisionでは直接取得できていない。推測しない。</t>
        </is>
      </c>
    </row>
    <row r="1627">
      <c r="A1627" s="42" t="inlineStr">
        <is>
          <t>SZ-SL-001626</t>
        </is>
      </c>
      <c r="B1627" s="42" t="inlineStr">
        <is>
          <t>WT-SL-SHUTTER-HIKI</t>
        </is>
      </c>
      <c r="C1627" s="42" t="inlineStr">
        <is>
          <t>シャッター付引違い窓</t>
        </is>
      </c>
      <c r="D1627" s="42" t="inlineStr">
        <is>
          <t>SP-SL-SHUT-M-STD</t>
        </is>
      </c>
      <c r="E1627" s="42" t="inlineStr">
        <is>
          <t>25118-2</t>
        </is>
      </c>
      <c r="F1627" s="42" t="inlineStr">
        <is>
          <t>2550</t>
        </is>
      </c>
      <c r="G1627" s="42" t="inlineStr">
        <is>
          <t>1830</t>
        </is>
      </c>
      <c r="H1627" s="42" t="inlineStr">
        <is>
          <t>True</t>
        </is>
      </c>
      <c r="I1627" s="42" t="inlineStr">
        <is>
          <t>NOT_EVALUATED</t>
        </is>
      </c>
      <c r="J1627" s="42" t="inlineStr">
        <is>
          <t>NO_DIRECT_STANDARD_MATRIX_IN_RETRIEVED_SOURCE</t>
        </is>
      </c>
      <c r="K1627" s="42" t="str"/>
      <c r="L1627" s="42" t="str"/>
      <c r="M1627" s="42" t="str"/>
      <c r="N1627" s="42" t="str"/>
      <c r="O1627" s="42" t="inlineStr">
        <is>
          <t>現行公式資料でこの窓種のSAFE 30mil規格○/×を本Revisionでは直接取得できていない。推測しない。</t>
        </is>
      </c>
    </row>
    <row r="1628">
      <c r="A1628" s="42" t="inlineStr">
        <is>
          <t>SZ-SL-001627</t>
        </is>
      </c>
      <c r="B1628" s="42" t="inlineStr">
        <is>
          <t>WT-SL-SHUTTER-HIKI</t>
        </is>
      </c>
      <c r="C1628" s="42" t="inlineStr">
        <is>
          <t>シャッター付引違い窓</t>
        </is>
      </c>
      <c r="D1628" s="42" t="inlineStr">
        <is>
          <t>SP-SL-SHUT-M-STD</t>
        </is>
      </c>
      <c r="E1628" s="42" t="inlineStr">
        <is>
          <t>18020</t>
        </is>
      </c>
      <c r="F1628" s="42" t="inlineStr">
        <is>
          <t>1845</t>
        </is>
      </c>
      <c r="G1628" s="42" t="inlineStr">
        <is>
          <t>2030</t>
        </is>
      </c>
      <c r="H1628" s="42" t="inlineStr">
        <is>
          <t>True</t>
        </is>
      </c>
      <c r="I1628" s="42" t="inlineStr">
        <is>
          <t>NOT_EVALUATED</t>
        </is>
      </c>
      <c r="J1628" s="42" t="inlineStr">
        <is>
          <t>NO_DIRECT_STANDARD_MATRIX_IN_RETRIEVED_SOURCE</t>
        </is>
      </c>
      <c r="K1628" s="42" t="str"/>
      <c r="L1628" s="42" t="str"/>
      <c r="M1628" s="42" t="str"/>
      <c r="N1628" s="42" t="str"/>
      <c r="O1628" s="42" t="inlineStr">
        <is>
          <t>現行公式資料でこの窓種のSAFE 30mil規格○/×を本Revisionでは直接取得できていない。推測しない。</t>
        </is>
      </c>
    </row>
    <row r="1629">
      <c r="A1629" s="42" t="inlineStr">
        <is>
          <t>SZ-SL-001628</t>
        </is>
      </c>
      <c r="B1629" s="42" t="inlineStr">
        <is>
          <t>WT-SL-SHUTTER-HIKI</t>
        </is>
      </c>
      <c r="C1629" s="42" t="inlineStr">
        <is>
          <t>シャッター付引違い窓</t>
        </is>
      </c>
      <c r="D1629" s="42" t="inlineStr">
        <is>
          <t>SP-SL-SHUT-M-STD</t>
        </is>
      </c>
      <c r="E1629" s="42" t="inlineStr">
        <is>
          <t>18620</t>
        </is>
      </c>
      <c r="F1629" s="42" t="inlineStr">
        <is>
          <t>1900</t>
        </is>
      </c>
      <c r="G1629" s="42" t="inlineStr">
        <is>
          <t>2030</t>
        </is>
      </c>
      <c r="H1629" s="42" t="inlineStr">
        <is>
          <t>True</t>
        </is>
      </c>
      <c r="I1629" s="42" t="inlineStr">
        <is>
          <t>NOT_EVALUATED</t>
        </is>
      </c>
      <c r="J1629" s="42" t="inlineStr">
        <is>
          <t>NO_DIRECT_STANDARD_MATRIX_IN_RETRIEVED_SOURCE</t>
        </is>
      </c>
      <c r="K1629" s="42" t="str"/>
      <c r="L1629" s="42" t="str"/>
      <c r="M1629" s="42" t="str"/>
      <c r="N1629" s="42" t="str"/>
      <c r="O1629" s="42" t="inlineStr">
        <is>
          <t>現行公式資料でこの窓種のSAFE 30mil規格○/×を本Revisionでは直接取得できていない。推測しない。</t>
        </is>
      </c>
    </row>
    <row r="1630">
      <c r="A1630" s="42" t="inlineStr">
        <is>
          <t>SZ-SL-001629</t>
        </is>
      </c>
      <c r="B1630" s="42" t="inlineStr">
        <is>
          <t>WT-SL-SHUTTER-HIKI</t>
        </is>
      </c>
      <c r="C1630" s="42" t="inlineStr">
        <is>
          <t>シャッター付引違い窓</t>
        </is>
      </c>
      <c r="D1630" s="42" t="inlineStr">
        <is>
          <t>SP-SL-SHUT-M-STD</t>
        </is>
      </c>
      <c r="E1630" s="42" t="inlineStr">
        <is>
          <t>25120-2</t>
        </is>
      </c>
      <c r="F1630" s="42" t="inlineStr">
        <is>
          <t>2550</t>
        </is>
      </c>
      <c r="G1630" s="42" t="inlineStr">
        <is>
          <t>2030</t>
        </is>
      </c>
      <c r="H1630" s="42" t="inlineStr">
        <is>
          <t>True</t>
        </is>
      </c>
      <c r="I1630" s="42" t="inlineStr">
        <is>
          <t>NOT_EVALUATED</t>
        </is>
      </c>
      <c r="J1630" s="42" t="inlineStr">
        <is>
          <t>NO_DIRECT_STANDARD_MATRIX_IN_RETRIEVED_SOURCE</t>
        </is>
      </c>
      <c r="K1630" s="42" t="str"/>
      <c r="L1630" s="42" t="str"/>
      <c r="M1630" s="42" t="str"/>
      <c r="N1630" s="42" t="str"/>
      <c r="O1630" s="42" t="inlineStr">
        <is>
          <t>現行公式資料でこの窓種のSAFE 30mil規格○/×を本Revisionでは直接取得できていない。推測しない。</t>
        </is>
      </c>
    </row>
    <row r="1631">
      <c r="A1631" s="42" t="inlineStr">
        <is>
          <t>SZ-SL-001630</t>
        </is>
      </c>
      <c r="B1631" s="42" t="inlineStr">
        <is>
          <t>WT-SL-SHUTTER-HIKI</t>
        </is>
      </c>
      <c r="C1631" s="42" t="inlineStr">
        <is>
          <t>シャッター付引違い窓</t>
        </is>
      </c>
      <c r="D1631" s="42" t="inlineStr">
        <is>
          <t>SP-SL-SHUT-M-STD</t>
        </is>
      </c>
      <c r="E1631" s="42" t="inlineStr">
        <is>
          <t>18022</t>
        </is>
      </c>
      <c r="F1631" s="42" t="inlineStr">
        <is>
          <t>1845</t>
        </is>
      </c>
      <c r="G1631" s="42" t="inlineStr">
        <is>
          <t>2230</t>
        </is>
      </c>
      <c r="H1631" s="42" t="inlineStr">
        <is>
          <t>True</t>
        </is>
      </c>
      <c r="I1631" s="42" t="inlineStr">
        <is>
          <t>NOT_EVALUATED</t>
        </is>
      </c>
      <c r="J1631" s="42" t="inlineStr">
        <is>
          <t>NO_DIRECT_STANDARD_MATRIX_IN_RETRIEVED_SOURCE</t>
        </is>
      </c>
      <c r="K1631" s="42" t="str"/>
      <c r="L1631" s="42" t="str"/>
      <c r="M1631" s="42" t="str"/>
      <c r="N1631" s="42" t="str"/>
      <c r="O1631" s="42" t="inlineStr">
        <is>
          <t>現行公式資料でこの窓種のSAFE 30mil規格○/×を本Revisionでは直接取得できていない。推測しない。</t>
        </is>
      </c>
    </row>
    <row r="1632">
      <c r="A1632" s="42" t="inlineStr">
        <is>
          <t>SZ-SL-001631</t>
        </is>
      </c>
      <c r="B1632" s="42" t="inlineStr">
        <is>
          <t>WT-SL-SHUTTER-HIKI</t>
        </is>
      </c>
      <c r="C1632" s="42" t="inlineStr">
        <is>
          <t>シャッター付引違い窓</t>
        </is>
      </c>
      <c r="D1632" s="42" t="inlineStr">
        <is>
          <t>SP-SL-SHUT-M-STD</t>
        </is>
      </c>
      <c r="E1632" s="42" t="inlineStr">
        <is>
          <t>18622</t>
        </is>
      </c>
      <c r="F1632" s="42" t="inlineStr">
        <is>
          <t>1900</t>
        </is>
      </c>
      <c r="G1632" s="42" t="inlineStr">
        <is>
          <t>2230</t>
        </is>
      </c>
      <c r="H1632" s="42" t="inlineStr">
        <is>
          <t>True</t>
        </is>
      </c>
      <c r="I1632" s="42" t="inlineStr">
        <is>
          <t>NOT_EVALUATED</t>
        </is>
      </c>
      <c r="J1632" s="42" t="inlineStr">
        <is>
          <t>NO_DIRECT_STANDARD_MATRIX_IN_RETRIEVED_SOURCE</t>
        </is>
      </c>
      <c r="K1632" s="42" t="str"/>
      <c r="L1632" s="42" t="str"/>
      <c r="M1632" s="42" t="str"/>
      <c r="N1632" s="42" t="str"/>
      <c r="O1632" s="42" t="inlineStr">
        <is>
          <t>現行公式資料でこの窓種のSAFE 30mil規格○/×を本Revisionでは直接取得できていない。推測しない。</t>
        </is>
      </c>
    </row>
    <row r="1633">
      <c r="A1633" s="42" t="inlineStr">
        <is>
          <t>SZ-SL-001632</t>
        </is>
      </c>
      <c r="B1633" s="42" t="inlineStr">
        <is>
          <t>WT-SL-SHUTTER-HIKI</t>
        </is>
      </c>
      <c r="C1633" s="42" t="inlineStr">
        <is>
          <t>シャッター付引違い窓</t>
        </is>
      </c>
      <c r="D1633" s="42" t="inlineStr">
        <is>
          <t>SP-SL-SHUT-M-STD</t>
        </is>
      </c>
      <c r="E1633" s="42" t="inlineStr">
        <is>
          <t>25122-2</t>
        </is>
      </c>
      <c r="F1633" s="42" t="inlineStr">
        <is>
          <t>2550</t>
        </is>
      </c>
      <c r="G1633" s="42" t="inlineStr">
        <is>
          <t>2230</t>
        </is>
      </c>
      <c r="H1633" s="42" t="inlineStr">
        <is>
          <t>True</t>
        </is>
      </c>
      <c r="I1633" s="42" t="inlineStr">
        <is>
          <t>NOT_EVALUATED</t>
        </is>
      </c>
      <c r="J1633" s="42" t="inlineStr">
        <is>
          <t>NO_DIRECT_STANDARD_MATRIX_IN_RETRIEVED_SOURCE</t>
        </is>
      </c>
      <c r="K1633" s="42" t="str"/>
      <c r="L1633" s="42" t="str"/>
      <c r="M1633" s="42" t="str"/>
      <c r="N1633" s="42" t="str"/>
      <c r="O1633" s="42" t="inlineStr">
        <is>
          <t>現行公式資料でこの窓種のSAFE 30mil規格○/×を本Revisionでは直接取得できていない。推測しない。</t>
        </is>
      </c>
    </row>
    <row r="1634">
      <c r="A1634" s="42" t="inlineStr">
        <is>
          <t>SZ-SL-001633</t>
        </is>
      </c>
      <c r="B1634" s="42" t="inlineStr">
        <is>
          <t>WT-SL-SHUTTER-HIKI</t>
        </is>
      </c>
      <c r="C1634" s="42" t="inlineStr">
        <is>
          <t>シャッター付引違い窓</t>
        </is>
      </c>
      <c r="D1634" s="42" t="inlineStr">
        <is>
          <t>SP-SL-SHUT-M-STD</t>
        </is>
      </c>
      <c r="E1634" s="42" t="inlineStr">
        <is>
          <t>25118-4</t>
        </is>
      </c>
      <c r="F1634" s="42" t="inlineStr">
        <is>
          <t>2550</t>
        </is>
      </c>
      <c r="G1634" s="42" t="inlineStr">
        <is>
          <t>1830</t>
        </is>
      </c>
      <c r="H1634" s="42" t="inlineStr">
        <is>
          <t>True</t>
        </is>
      </c>
      <c r="I1634" s="42" t="inlineStr">
        <is>
          <t>NOT_EVALUATED</t>
        </is>
      </c>
      <c r="J1634" s="42" t="inlineStr">
        <is>
          <t>NO_DIRECT_STANDARD_MATRIX_IN_RETRIEVED_SOURCE</t>
        </is>
      </c>
      <c r="K1634" s="42" t="str"/>
      <c r="L1634" s="42" t="str"/>
      <c r="M1634" s="42" t="str"/>
      <c r="N1634" s="42" t="str"/>
      <c r="O1634" s="42" t="inlineStr">
        <is>
          <t>現行公式資料でこの窓種のSAFE 30mil規格○/×を本Revisionでは直接取得できていない。推測しない。</t>
        </is>
      </c>
    </row>
    <row r="1635">
      <c r="A1635" s="42" t="inlineStr">
        <is>
          <t>SZ-SL-001634</t>
        </is>
      </c>
      <c r="B1635" s="42" t="inlineStr">
        <is>
          <t>WT-SL-SHUTTER-HIKI</t>
        </is>
      </c>
      <c r="C1635" s="42" t="inlineStr">
        <is>
          <t>シャッター付引違い窓</t>
        </is>
      </c>
      <c r="D1635" s="42" t="inlineStr">
        <is>
          <t>SP-SL-SHUT-M-STD</t>
        </is>
      </c>
      <c r="E1635" s="42" t="inlineStr">
        <is>
          <t>25618-2</t>
        </is>
      </c>
      <c r="F1635" s="42" t="inlineStr">
        <is>
          <t>2600</t>
        </is>
      </c>
      <c r="G1635" s="42" t="inlineStr">
        <is>
          <t>1830</t>
        </is>
      </c>
      <c r="H1635" s="42" t="inlineStr">
        <is>
          <t>True</t>
        </is>
      </c>
      <c r="I1635" s="42" t="inlineStr">
        <is>
          <t>NOT_EVALUATED</t>
        </is>
      </c>
      <c r="J1635" s="42" t="inlineStr">
        <is>
          <t>NO_DIRECT_STANDARD_MATRIX_IN_RETRIEVED_SOURCE</t>
        </is>
      </c>
      <c r="K1635" s="42" t="str"/>
      <c r="L1635" s="42" t="str"/>
      <c r="M1635" s="42" t="str"/>
      <c r="N1635" s="42" t="str"/>
      <c r="O1635" s="42" t="inlineStr">
        <is>
          <t>現行公式資料でこの窓種のSAFE 30mil規格○/×を本Revisionでは直接取得できていない。推測しない。</t>
        </is>
      </c>
    </row>
    <row r="1636">
      <c r="A1636" s="42" t="inlineStr">
        <is>
          <t>SZ-SL-001635</t>
        </is>
      </c>
      <c r="B1636" s="42" t="inlineStr">
        <is>
          <t>WT-SL-SHUTTER-HIKI</t>
        </is>
      </c>
      <c r="C1636" s="42" t="inlineStr">
        <is>
          <t>シャッター付引違い窓</t>
        </is>
      </c>
      <c r="D1636" s="42" t="inlineStr">
        <is>
          <t>SP-SL-SHUT-M-STD</t>
        </is>
      </c>
      <c r="E1636" s="42" t="inlineStr">
        <is>
          <t>25618-4</t>
        </is>
      </c>
      <c r="F1636" s="42" t="inlineStr">
        <is>
          <t>2600</t>
        </is>
      </c>
      <c r="G1636" s="42" t="inlineStr">
        <is>
          <t>1830</t>
        </is>
      </c>
      <c r="H1636" s="42" t="inlineStr">
        <is>
          <t>True</t>
        </is>
      </c>
      <c r="I1636" s="42" t="inlineStr">
        <is>
          <t>NOT_EVALUATED</t>
        </is>
      </c>
      <c r="J1636" s="42" t="inlineStr">
        <is>
          <t>NO_DIRECT_STANDARD_MATRIX_IN_RETRIEVED_SOURCE</t>
        </is>
      </c>
      <c r="K1636" s="42" t="str"/>
      <c r="L1636" s="42" t="str"/>
      <c r="M1636" s="42" t="str"/>
      <c r="N1636" s="42" t="str"/>
      <c r="O1636" s="42" t="inlineStr">
        <is>
          <t>現行公式資料でこの窓種のSAFE 30mil規格○/×を本Revisionでは直接取得できていない。推測しない。</t>
        </is>
      </c>
    </row>
    <row r="1637">
      <c r="A1637" s="42" t="inlineStr">
        <is>
          <t>SZ-SL-001636</t>
        </is>
      </c>
      <c r="B1637" s="42" t="inlineStr">
        <is>
          <t>WT-SL-SHUTTER-HIKI</t>
        </is>
      </c>
      <c r="C1637" s="42" t="inlineStr">
        <is>
          <t>シャッター付引違い窓</t>
        </is>
      </c>
      <c r="D1637" s="42" t="inlineStr">
        <is>
          <t>SP-SL-SHUT-M-STD</t>
        </is>
      </c>
      <c r="E1637" s="42" t="inlineStr">
        <is>
          <t>34718</t>
        </is>
      </c>
      <c r="F1637" s="42" t="inlineStr">
        <is>
          <t>3510</t>
        </is>
      </c>
      <c r="G1637" s="42" t="inlineStr">
        <is>
          <t>1830</t>
        </is>
      </c>
      <c r="H1637" s="42" t="inlineStr">
        <is>
          <t>True</t>
        </is>
      </c>
      <c r="I1637" s="42" t="inlineStr">
        <is>
          <t>NOT_EVALUATED</t>
        </is>
      </c>
      <c r="J1637" s="42" t="inlineStr">
        <is>
          <t>NO_DIRECT_STANDARD_MATRIX_IN_RETRIEVED_SOURCE</t>
        </is>
      </c>
      <c r="K1637" s="42" t="str"/>
      <c r="L1637" s="42" t="str"/>
      <c r="M1637" s="42" t="str"/>
      <c r="N1637" s="42" t="str"/>
      <c r="O1637" s="42" t="inlineStr">
        <is>
          <t>現行公式資料でこの窓種のSAFE 30mil規格○/×を本Revisionでは直接取得できていない。推測しない。</t>
        </is>
      </c>
    </row>
    <row r="1638">
      <c r="A1638" s="42" t="inlineStr">
        <is>
          <t>SZ-SL-001637</t>
        </is>
      </c>
      <c r="B1638" s="42" t="inlineStr">
        <is>
          <t>WT-SL-SHUTTER-HIKI</t>
        </is>
      </c>
      <c r="C1638" s="42" t="inlineStr">
        <is>
          <t>シャッター付引違い窓</t>
        </is>
      </c>
      <c r="D1638" s="42" t="inlineStr">
        <is>
          <t>SP-SL-SHUT-M-STD</t>
        </is>
      </c>
      <c r="E1638" s="42" t="inlineStr">
        <is>
          <t>25120-4</t>
        </is>
      </c>
      <c r="F1638" s="42" t="inlineStr">
        <is>
          <t>2550</t>
        </is>
      </c>
      <c r="G1638" s="42" t="inlineStr">
        <is>
          <t>2030</t>
        </is>
      </c>
      <c r="H1638" s="42" t="inlineStr">
        <is>
          <t>True</t>
        </is>
      </c>
      <c r="I1638" s="42" t="inlineStr">
        <is>
          <t>NOT_EVALUATED</t>
        </is>
      </c>
      <c r="J1638" s="42" t="inlineStr">
        <is>
          <t>NO_DIRECT_STANDARD_MATRIX_IN_RETRIEVED_SOURCE</t>
        </is>
      </c>
      <c r="K1638" s="42" t="str"/>
      <c r="L1638" s="42" t="str"/>
      <c r="M1638" s="42" t="str"/>
      <c r="N1638" s="42" t="str"/>
      <c r="O1638" s="42" t="inlineStr">
        <is>
          <t>現行公式資料でこの窓種のSAFE 30mil規格○/×を本Revisionでは直接取得できていない。推測しない。</t>
        </is>
      </c>
    </row>
    <row r="1639">
      <c r="A1639" s="42" t="inlineStr">
        <is>
          <t>SZ-SL-001638</t>
        </is>
      </c>
      <c r="B1639" s="42" t="inlineStr">
        <is>
          <t>WT-SL-SHUTTER-HIKI</t>
        </is>
      </c>
      <c r="C1639" s="42" t="inlineStr">
        <is>
          <t>シャッター付引違い窓</t>
        </is>
      </c>
      <c r="D1639" s="42" t="inlineStr">
        <is>
          <t>SP-SL-SHUT-M-STD</t>
        </is>
      </c>
      <c r="E1639" s="42" t="inlineStr">
        <is>
          <t>25620-2</t>
        </is>
      </c>
      <c r="F1639" s="42" t="inlineStr">
        <is>
          <t>2600</t>
        </is>
      </c>
      <c r="G1639" s="42" t="inlineStr">
        <is>
          <t>2030</t>
        </is>
      </c>
      <c r="H1639" s="42" t="inlineStr">
        <is>
          <t>True</t>
        </is>
      </c>
      <c r="I1639" s="42" t="inlineStr">
        <is>
          <t>NOT_EVALUATED</t>
        </is>
      </c>
      <c r="J1639" s="42" t="inlineStr">
        <is>
          <t>NO_DIRECT_STANDARD_MATRIX_IN_RETRIEVED_SOURCE</t>
        </is>
      </c>
      <c r="K1639" s="42" t="str"/>
      <c r="L1639" s="42" t="str"/>
      <c r="M1639" s="42" t="str"/>
      <c r="N1639" s="42" t="str"/>
      <c r="O1639" s="42" t="inlineStr">
        <is>
          <t>現行公式資料でこの窓種のSAFE 30mil規格○/×を本Revisionでは直接取得できていない。推測しない。</t>
        </is>
      </c>
    </row>
    <row r="1640">
      <c r="A1640" s="42" t="inlineStr">
        <is>
          <t>SZ-SL-001639</t>
        </is>
      </c>
      <c r="B1640" s="42" t="inlineStr">
        <is>
          <t>WT-SL-SHUTTER-HIKI</t>
        </is>
      </c>
      <c r="C1640" s="42" t="inlineStr">
        <is>
          <t>シャッター付引違い窓</t>
        </is>
      </c>
      <c r="D1640" s="42" t="inlineStr">
        <is>
          <t>SP-SL-SHUT-M-STD</t>
        </is>
      </c>
      <c r="E1640" s="42" t="inlineStr">
        <is>
          <t>25620-4</t>
        </is>
      </c>
      <c r="F1640" s="42" t="inlineStr">
        <is>
          <t>2600</t>
        </is>
      </c>
      <c r="G1640" s="42" t="inlineStr">
        <is>
          <t>2030</t>
        </is>
      </c>
      <c r="H1640" s="42" t="inlineStr">
        <is>
          <t>True</t>
        </is>
      </c>
      <c r="I1640" s="42" t="inlineStr">
        <is>
          <t>NOT_EVALUATED</t>
        </is>
      </c>
      <c r="J1640" s="42" t="inlineStr">
        <is>
          <t>NO_DIRECT_STANDARD_MATRIX_IN_RETRIEVED_SOURCE</t>
        </is>
      </c>
      <c r="K1640" s="42" t="str"/>
      <c r="L1640" s="42" t="str"/>
      <c r="M1640" s="42" t="str"/>
      <c r="N1640" s="42" t="str"/>
      <c r="O1640" s="42" t="inlineStr">
        <is>
          <t>現行公式資料でこの窓種のSAFE 30mil規格○/×を本Revisionでは直接取得できていない。推測しない。</t>
        </is>
      </c>
    </row>
    <row r="1641">
      <c r="A1641" s="42" t="inlineStr">
        <is>
          <t>SZ-SL-001640</t>
        </is>
      </c>
      <c r="B1641" s="42" t="inlineStr">
        <is>
          <t>WT-SL-SHUTTER-HIKI</t>
        </is>
      </c>
      <c r="C1641" s="42" t="inlineStr">
        <is>
          <t>シャッター付引違い窓</t>
        </is>
      </c>
      <c r="D1641" s="42" t="inlineStr">
        <is>
          <t>SP-SL-SHUT-M-STD</t>
        </is>
      </c>
      <c r="E1641" s="42" t="inlineStr">
        <is>
          <t>34720</t>
        </is>
      </c>
      <c r="F1641" s="42" t="inlineStr">
        <is>
          <t>3510</t>
        </is>
      </c>
      <c r="G1641" s="42" t="inlineStr">
        <is>
          <t>2030</t>
        </is>
      </c>
      <c r="H1641" s="42" t="inlineStr">
        <is>
          <t>True</t>
        </is>
      </c>
      <c r="I1641" s="42" t="inlineStr">
        <is>
          <t>NOT_EVALUATED</t>
        </is>
      </c>
      <c r="J1641" s="42" t="inlineStr">
        <is>
          <t>NO_DIRECT_STANDARD_MATRIX_IN_RETRIEVED_SOURCE</t>
        </is>
      </c>
      <c r="K1641" s="42" t="str"/>
      <c r="L1641" s="42" t="str"/>
      <c r="M1641" s="42" t="str"/>
      <c r="N1641" s="42" t="str"/>
      <c r="O1641" s="42" t="inlineStr">
        <is>
          <t>現行公式資料でこの窓種のSAFE 30mil規格○/×を本Revisionでは直接取得できていない。推測しない。</t>
        </is>
      </c>
    </row>
    <row r="1642">
      <c r="A1642" s="42" t="inlineStr">
        <is>
          <t>SZ-SL-001641</t>
        </is>
      </c>
      <c r="B1642" s="42" t="inlineStr">
        <is>
          <t>WT-SL-SHUTTER-HIKI</t>
        </is>
      </c>
      <c r="C1642" s="42" t="inlineStr">
        <is>
          <t>シャッター付引違い窓</t>
        </is>
      </c>
      <c r="D1642" s="42" t="inlineStr">
        <is>
          <t>SP-SL-SHUT-M-STD</t>
        </is>
      </c>
      <c r="E1642" s="42" t="inlineStr">
        <is>
          <t>25122-4</t>
        </is>
      </c>
      <c r="F1642" s="42" t="inlineStr">
        <is>
          <t>2550</t>
        </is>
      </c>
      <c r="G1642" s="42" t="inlineStr">
        <is>
          <t>2230</t>
        </is>
      </c>
      <c r="H1642" s="42" t="inlineStr">
        <is>
          <t>True</t>
        </is>
      </c>
      <c r="I1642" s="42" t="inlineStr">
        <is>
          <t>NOT_EVALUATED</t>
        </is>
      </c>
      <c r="J1642" s="42" t="inlineStr">
        <is>
          <t>NO_DIRECT_STANDARD_MATRIX_IN_RETRIEVED_SOURCE</t>
        </is>
      </c>
      <c r="K1642" s="42" t="str"/>
      <c r="L1642" s="42" t="str"/>
      <c r="M1642" s="42" t="str"/>
      <c r="N1642" s="42" t="str"/>
      <c r="O1642" s="42" t="inlineStr">
        <is>
          <t>現行公式資料でこの窓種のSAFE 30mil規格○/×を本Revisionでは直接取得できていない。推測しない。</t>
        </is>
      </c>
    </row>
    <row r="1643">
      <c r="A1643" s="42" t="inlineStr">
        <is>
          <t>SZ-SL-001642</t>
        </is>
      </c>
      <c r="B1643" s="42" t="inlineStr">
        <is>
          <t>WT-SL-SHUTTER-HIKI</t>
        </is>
      </c>
      <c r="C1643" s="42" t="inlineStr">
        <is>
          <t>シャッター付引違い窓</t>
        </is>
      </c>
      <c r="D1643" s="42" t="inlineStr">
        <is>
          <t>SP-SL-SHUT-M-STD</t>
        </is>
      </c>
      <c r="E1643" s="42" t="inlineStr">
        <is>
          <t>25622-2</t>
        </is>
      </c>
      <c r="F1643" s="42" t="inlineStr">
        <is>
          <t>2600</t>
        </is>
      </c>
      <c r="G1643" s="42" t="inlineStr">
        <is>
          <t>2230</t>
        </is>
      </c>
      <c r="H1643" s="42" t="inlineStr">
        <is>
          <t>True</t>
        </is>
      </c>
      <c r="I1643" s="42" t="inlineStr">
        <is>
          <t>NOT_EVALUATED</t>
        </is>
      </c>
      <c r="J1643" s="42" t="inlineStr">
        <is>
          <t>NO_DIRECT_STANDARD_MATRIX_IN_RETRIEVED_SOURCE</t>
        </is>
      </c>
      <c r="K1643" s="42" t="str"/>
      <c r="L1643" s="42" t="str"/>
      <c r="M1643" s="42" t="str"/>
      <c r="N1643" s="42" t="str"/>
      <c r="O1643" s="42" t="inlineStr">
        <is>
          <t>現行公式資料でこの窓種のSAFE 30mil規格○/×を本Revisionでは直接取得できていない。推測しない。</t>
        </is>
      </c>
    </row>
    <row r="1644">
      <c r="A1644" s="42" t="inlineStr">
        <is>
          <t>SZ-SL-001643</t>
        </is>
      </c>
      <c r="B1644" s="42" t="inlineStr">
        <is>
          <t>WT-SL-SHUTTER-HIKI</t>
        </is>
      </c>
      <c r="C1644" s="42" t="inlineStr">
        <is>
          <t>シャッター付引違い窓</t>
        </is>
      </c>
      <c r="D1644" s="42" t="inlineStr">
        <is>
          <t>SP-SL-SHUT-M-STD</t>
        </is>
      </c>
      <c r="E1644" s="42" t="inlineStr">
        <is>
          <t>25622-4</t>
        </is>
      </c>
      <c r="F1644" s="42" t="inlineStr">
        <is>
          <t>2600</t>
        </is>
      </c>
      <c r="G1644" s="42" t="inlineStr">
        <is>
          <t>2230</t>
        </is>
      </c>
      <c r="H1644" s="42" t="inlineStr">
        <is>
          <t>True</t>
        </is>
      </c>
      <c r="I1644" s="42" t="inlineStr">
        <is>
          <t>NOT_EVALUATED</t>
        </is>
      </c>
      <c r="J1644" s="42" t="inlineStr">
        <is>
          <t>NO_DIRECT_STANDARD_MATRIX_IN_RETRIEVED_SOURCE</t>
        </is>
      </c>
      <c r="K1644" s="42" t="str"/>
      <c r="L1644" s="42" t="str"/>
      <c r="M1644" s="42" t="str"/>
      <c r="N1644" s="42" t="str"/>
      <c r="O1644" s="42" t="inlineStr">
        <is>
          <t>現行公式資料でこの窓種のSAFE 30mil規格○/×を本Revisionでは直接取得できていない。推測しない。</t>
        </is>
      </c>
    </row>
    <row r="1645">
      <c r="A1645" s="42" t="inlineStr">
        <is>
          <t>SZ-SL-001644</t>
        </is>
      </c>
      <c r="B1645" s="42" t="inlineStr">
        <is>
          <t>WT-SL-SHUTTER-HIKI</t>
        </is>
      </c>
      <c r="C1645" s="42" t="inlineStr">
        <is>
          <t>シャッター付引違い窓</t>
        </is>
      </c>
      <c r="D1645" s="42" t="inlineStr">
        <is>
          <t>SP-SL-SHUT-M-STD</t>
        </is>
      </c>
      <c r="E1645" s="42" t="inlineStr">
        <is>
          <t>34722</t>
        </is>
      </c>
      <c r="F1645" s="42" t="inlineStr">
        <is>
          <t>3510</t>
        </is>
      </c>
      <c r="G1645" s="42" t="inlineStr">
        <is>
          <t>2230</t>
        </is>
      </c>
      <c r="H1645" s="42" t="inlineStr">
        <is>
          <t>True</t>
        </is>
      </c>
      <c r="I1645" s="42" t="inlineStr">
        <is>
          <t>NOT_EVALUATED</t>
        </is>
      </c>
      <c r="J1645" s="42" t="inlineStr">
        <is>
          <t>NO_DIRECT_STANDARD_MATRIX_IN_RETRIEVED_SOURCE</t>
        </is>
      </c>
      <c r="K1645" s="42" t="str"/>
      <c r="L1645" s="42" t="str"/>
      <c r="M1645" s="42" t="str"/>
      <c r="N1645" s="42" t="str"/>
      <c r="O1645" s="42" t="inlineStr">
        <is>
          <t>現行公式資料でこの窓種のSAFE 30mil規格○/×を本Revisionでは直接取得できていない。推測しない。</t>
        </is>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25" customWidth="1" style="51" min="1" max="1"/>
    <col width="26" customWidth="1" style="51" min="2" max="2"/>
    <col width="34" customWidth="1" style="51" min="3" max="3"/>
    <col width="42" customWidth="1" style="51" min="4" max="4"/>
    <col width="42" customWidth="1" style="51" min="5" max="5"/>
    <col width="14" customWidth="1" style="51" min="6" max="6"/>
    <col width="22" customWidth="1" style="51" min="7" max="7"/>
    <col width="32" customWidth="1" style="51" min="8" max="8"/>
    <col width="48" customWidth="1" style="51" min="9" max="9"/>
    <col width="52" customWidth="1" style="51" min="10" max="10"/>
  </cols>
  <sheetData>
    <row r="1">
      <c r="A1" s="187" t="inlineStr">
        <is>
          <t>window_type_id</t>
        </is>
      </c>
      <c r="B1" s="187" t="inlineStr">
        <is>
          <t>window_type</t>
        </is>
      </c>
      <c r="C1" s="187" t="inlineStr">
        <is>
          <t>window_scope_status</t>
        </is>
      </c>
      <c r="D1" s="187" t="inlineStr">
        <is>
          <t>supported_specific_specs</t>
        </is>
      </c>
      <c r="E1" s="187" t="inlineStr">
        <is>
          <t>blocked_specific_specs</t>
        </is>
      </c>
      <c r="F1" s="187" t="inlineStr">
        <is>
          <t>air_layer_mm</t>
        </is>
      </c>
      <c r="G1" s="187" t="inlineStr">
        <is>
          <t>size_status</t>
        </is>
      </c>
      <c r="H1" s="187" t="inlineStr">
        <is>
          <t>official_source</t>
        </is>
      </c>
      <c r="I1" s="187" t="inlineStr">
        <is>
          <t>official_url</t>
        </is>
      </c>
      <c r="J1" s="187" t="inlineStr">
        <is>
          <t>note</t>
        </is>
      </c>
    </row>
    <row r="2">
      <c r="A2" s="42" t="inlineStr">
        <is>
          <t>WT-SL-HIKICHIGAI</t>
        </is>
      </c>
      <c r="B2" s="42" t="inlineStr">
        <is>
          <t>単体引違い窓</t>
        </is>
      </c>
      <c r="C2" s="42" t="inlineStr">
        <is>
          <t>ESTIMATE_CONFIRM_REQUIRED_SIZE_ONLY</t>
        </is>
      </c>
      <c r="D2" s="42" t="str"/>
      <c r="E2" s="42" t="str"/>
      <c r="F2" s="42" t="inlineStr">
        <is>
          <t>15</t>
        </is>
      </c>
      <c r="G2" s="42" t="inlineStr">
        <is>
          <t>ESTIMATE_CONFIRM_REQUIRED</t>
        </is>
      </c>
      <c r="H2" s="42" t="inlineStr">
        <is>
          <t>LIXIL サーモスⅡ-H/L ガラス設定（ブラインドイン複層ガラス）</t>
        </is>
      </c>
      <c r="I2" s="42" t="inlineStr">
        <is>
          <t>https://www.lixil.co.jp/lineup/window/samos-hl-fghl/variation/glass-hl/</t>
        </is>
      </c>
      <c r="J2" s="42" t="inlineStr">
        <is>
          <t>窓種は公式設定品種。サイズにより対応不可あり。中空層15mmのみ。</t>
        </is>
      </c>
    </row>
    <row r="3">
      <c r="A3" s="42" t="inlineStr">
        <is>
          <t>WT-SL-SHUTTER-HIKI</t>
        </is>
      </c>
      <c r="B3" s="42" t="inlineStr">
        <is>
          <t>シャッター付引違い窓</t>
        </is>
      </c>
      <c r="C3" s="42" t="inlineStr">
        <is>
          <t>ESTIMATE_CONFIRM_REQUIRED_SIZE_ONLY</t>
        </is>
      </c>
      <c r="D3" s="42" t="str"/>
      <c r="E3" s="42" t="str"/>
      <c r="F3" s="42" t="inlineStr">
        <is>
          <t>15</t>
        </is>
      </c>
      <c r="G3" s="42" t="inlineStr">
        <is>
          <t>ESTIMATE_CONFIRM_REQUIRED</t>
        </is>
      </c>
      <c r="H3" s="42" t="inlineStr">
        <is>
          <t>LIXIL サーモスⅡ-H/L ガラス設定（ブラインドイン複層ガラス）</t>
        </is>
      </c>
      <c r="I3" s="42" t="inlineStr">
        <is>
          <t>https://www.lixil.co.jp/lineup/window/samos-hl-fghl/variation/glass-hl/</t>
        </is>
      </c>
      <c r="J3" s="42" t="inlineStr">
        <is>
          <t>窓種は公式設定品種。サイズにより対応不可あり。中空層15mmのみ。</t>
        </is>
      </c>
    </row>
    <row r="4">
      <c r="A4" s="42" t="inlineStr">
        <is>
          <t>WT-SL-AMADO-HIKI</t>
        </is>
      </c>
      <c r="B4" s="42" t="inlineStr">
        <is>
          <t>雨戸付引違い窓</t>
        </is>
      </c>
      <c r="C4" s="42" t="inlineStr">
        <is>
          <t>ESTIMATE_CONFIRM_REQUIRED_SIZE_ONLY</t>
        </is>
      </c>
      <c r="D4" s="42" t="str"/>
      <c r="E4" s="42" t="str"/>
      <c r="F4" s="42" t="inlineStr">
        <is>
          <t>15</t>
        </is>
      </c>
      <c r="G4" s="42" t="inlineStr">
        <is>
          <t>ESTIMATE_CONFIRM_REQUIRED</t>
        </is>
      </c>
      <c r="H4" s="42" t="inlineStr">
        <is>
          <t>LIXIL サーモスⅡ-H/L ガラス設定（ブラインドイン複層ガラス）</t>
        </is>
      </c>
      <c r="I4" s="42" t="inlineStr">
        <is>
          <t>https://www.lixil.co.jp/lineup/window/samos-hl-fghl/variation/glass-hl/</t>
        </is>
      </c>
      <c r="J4" s="42" t="inlineStr">
        <is>
          <t>窓種は公式設定品種。サイズにより対応不可あり。中空層15mmのみ。</t>
        </is>
      </c>
    </row>
    <row r="5">
      <c r="A5" s="42" t="inlineStr">
        <is>
          <t>WT-SL-MENKOSHI-HIKI</t>
        </is>
      </c>
      <c r="B5" s="42" t="inlineStr">
        <is>
          <t>面格子付引違い窓</t>
        </is>
      </c>
      <c r="C5" s="42" t="inlineStr">
        <is>
          <t>ESTIMATE_CONFIRM_REQUIRED_SIZE_ONLY</t>
        </is>
      </c>
      <c r="D5" s="42" t="str"/>
      <c r="E5" s="42" t="str"/>
      <c r="F5" s="42" t="inlineStr">
        <is>
          <t>15</t>
        </is>
      </c>
      <c r="G5" s="42" t="inlineStr">
        <is>
          <t>ESTIMATE_CONFIRM_REQUIRED</t>
        </is>
      </c>
      <c r="H5" s="42" t="inlineStr">
        <is>
          <t>LIXIL サーモスⅡ-H/L ガラス設定（ブラインドイン複層ガラス）</t>
        </is>
      </c>
      <c r="I5" s="42" t="inlineStr">
        <is>
          <t>https://www.lixil.co.jp/lineup/window/samos-hl-fghl/variation/glass-hl/</t>
        </is>
      </c>
      <c r="J5" s="42" t="inlineStr">
        <is>
          <t>窓種は公式設定品種。サイズにより対応不可あり。中空層15mmのみ。</t>
        </is>
      </c>
    </row>
    <row r="6">
      <c r="A6" s="42" t="inlineStr">
        <is>
          <t>WT-SL-TATE-SUBERI</t>
        </is>
      </c>
      <c r="B6" s="42" t="inlineStr">
        <is>
          <t>縦すべり出し窓</t>
        </is>
      </c>
      <c r="C6" s="42" t="inlineStr">
        <is>
          <t>PARTIAL_SELECTOR_SCOPE</t>
        </is>
      </c>
      <c r="D6" s="42" t="inlineStr">
        <is>
          <t>SP-SL-TATE-CAM-T; SP-SL-TATE-CAM-TF-OUT; SP-SL-TATE-CAM-TFT-OUT; SP-SL-TATE-CAM-TF-IN; SP-SL-TATE-CAM-TFT-IN</t>
        </is>
      </c>
      <c r="E6" s="42" t="inlineStr">
        <is>
          <t>SP-SL-TATE-OP; SP-SL-TATE-OP-T; SP-SL-TATE-OP-TF-OUT; SP-SL-TATE-OP-TFT-OUT; SP-SL-TATE-OP-TF-IN; SP-SL-TATE-OP-TFT-IN</t>
        </is>
      </c>
      <c r="F6" s="42" t="inlineStr">
        <is>
          <t>15</t>
        </is>
      </c>
      <c r="G6" s="42" t="inlineStr">
        <is>
          <t>ESTIMATE_CONFIRM_REQUIRED</t>
        </is>
      </c>
      <c r="H6" s="42" t="inlineStr">
        <is>
          <t>LIXIL サーモスⅡ-H/L ガラス設定（ブラインドイン複層ガラス）</t>
        </is>
      </c>
      <c r="I6" s="42" t="inlineStr">
        <is>
          <t>https://www.lixil.co.jp/lineup/window/samos-hl-fghl/variation/glass-hl/</t>
        </is>
      </c>
      <c r="J6" s="42" t="inlineStr">
        <is>
          <t>縦すべり出し窓はカムラッチのみ公式設定。オペレーター系は対象外。サイズ可否は未閉包。</t>
        </is>
      </c>
    </row>
    <row r="7">
      <c r="A7" s="42" t="inlineStr">
        <is>
          <t>WT-SL-YOKO-SUBERI</t>
        </is>
      </c>
      <c r="B7" s="42" t="inlineStr">
        <is>
          <t>横すべり出し窓</t>
        </is>
      </c>
      <c r="C7" s="42" t="inlineStr">
        <is>
          <t>BLOCKED_WINDOW_SCOPE</t>
        </is>
      </c>
      <c r="D7" s="42" t="str"/>
      <c r="E7" s="42" t="str"/>
      <c r="F7" s="42" t="str"/>
      <c r="G7" s="42" t="inlineStr">
        <is>
          <t>BLOCK</t>
        </is>
      </c>
      <c r="H7" s="42" t="inlineStr">
        <is>
          <t>LIXIL サーモスⅡ-H/L ガラス設定（ブラインドイン複層ガラス）</t>
        </is>
      </c>
      <c r="I7" s="42" t="inlineStr">
        <is>
          <t>https://www.lixil.co.jp/lineup/window/samos-hl-fghl/variation/glass-hl/</t>
        </is>
      </c>
      <c r="J7" s="42" t="inlineStr">
        <is>
          <t>LIXIL公式設定品種一覧に記載なし。</t>
        </is>
      </c>
    </row>
    <row r="8">
      <c r="A8" s="42" t="inlineStr">
        <is>
          <t>WT-SL-KOSHO-YOKO</t>
        </is>
      </c>
      <c r="B8" s="42" t="inlineStr">
        <is>
          <t>高所用横すべり出し窓</t>
        </is>
      </c>
      <c r="C8" s="42" t="inlineStr">
        <is>
          <t>BLOCKED_WINDOW_SCOPE</t>
        </is>
      </c>
      <c r="D8" s="42" t="str"/>
      <c r="E8" s="42" t="str"/>
      <c r="F8" s="42" t="str"/>
      <c r="G8" s="42" t="inlineStr">
        <is>
          <t>BLOCK</t>
        </is>
      </c>
      <c r="H8" s="42" t="inlineStr">
        <is>
          <t>LIXIL サーモスⅡ-H/L ガラス設定（ブラインドイン複層ガラス）</t>
        </is>
      </c>
      <c r="I8" s="42" t="inlineStr">
        <is>
          <t>https://www.lixil.co.jp/lineup/window/samos-hl-fghl/variation/glass-hl/</t>
        </is>
      </c>
      <c r="J8" s="42" t="inlineStr">
        <is>
          <t>LIXIL公式設定品種一覧に記載なし。</t>
        </is>
      </c>
    </row>
    <row r="9">
      <c r="A9" s="42" t="inlineStr">
        <is>
          <t>WT-SL-AGE-SAGE-FS</t>
        </is>
      </c>
      <c r="B9" s="42" t="inlineStr">
        <is>
          <t>上げ下げ窓FS</t>
        </is>
      </c>
      <c r="C9" s="42" t="inlineStr">
        <is>
          <t>BLOCKED_WINDOW_SCOPE</t>
        </is>
      </c>
      <c r="D9" s="42" t="str"/>
      <c r="E9" s="42" t="str"/>
      <c r="F9" s="42" t="str"/>
      <c r="G9" s="42" t="inlineStr">
        <is>
          <t>BLOCK</t>
        </is>
      </c>
      <c r="H9" s="42" t="inlineStr">
        <is>
          <t>LIXIL サーモスⅡ-H/L ガラス設定（ブラインドイン複層ガラス）</t>
        </is>
      </c>
      <c r="I9" s="42" t="inlineStr">
        <is>
          <t>https://www.lixil.co.jp/lineup/window/samos-hl-fghl/variation/glass-hl/</t>
        </is>
      </c>
      <c r="J9" s="42" t="inlineStr">
        <is>
          <t>LIXIL公式設定品種一覧に記載なし。</t>
        </is>
      </c>
    </row>
    <row r="10">
      <c r="A10" s="42" t="inlineStr">
        <is>
          <t>WT-SL-MENKOSHI-AGE-FS</t>
        </is>
      </c>
      <c r="B10" s="42" t="inlineStr">
        <is>
          <t>面格子付上げ下げ窓FS</t>
        </is>
      </c>
      <c r="C10" s="42" t="inlineStr">
        <is>
          <t>BLOCKED_WINDOW_SCOPE</t>
        </is>
      </c>
      <c r="D10" s="42" t="str"/>
      <c r="E10" s="42" t="str"/>
      <c r="F10" s="42" t="str"/>
      <c r="G10" s="42" t="inlineStr">
        <is>
          <t>BLOCK</t>
        </is>
      </c>
      <c r="H10" s="42" t="inlineStr">
        <is>
          <t>LIXIL サーモスⅡ-H/L ガラス設定（ブラインドイン複層ガラス）</t>
        </is>
      </c>
      <c r="I10" s="42" t="inlineStr">
        <is>
          <t>https://www.lixil.co.jp/lineup/window/samos-hl-fghl/variation/glass-hl/</t>
        </is>
      </c>
      <c r="J10" s="42" t="inlineStr">
        <is>
          <t>LIXIL公式設定品種一覧に記載なし。</t>
        </is>
      </c>
    </row>
    <row r="11">
      <c r="A11" s="42" t="inlineStr">
        <is>
          <t>WT-SL-FIX-OUT</t>
        </is>
      </c>
      <c r="B11" s="42" t="inlineStr">
        <is>
          <t>FIX窓（外押縁タイプ）</t>
        </is>
      </c>
      <c r="C11" s="42" t="inlineStr">
        <is>
          <t>ESTIMATE_CONFIRM_REQUIRED_SIZE_ONLY</t>
        </is>
      </c>
      <c r="D11" s="42" t="str"/>
      <c r="E11" s="42" t="str"/>
      <c r="F11" s="42" t="inlineStr">
        <is>
          <t>15</t>
        </is>
      </c>
      <c r="G11" s="42" t="inlineStr">
        <is>
          <t>ESTIMATE_CONFIRM_REQUIRED</t>
        </is>
      </c>
      <c r="H11" s="42" t="inlineStr">
        <is>
          <t>LIXIL サーモスⅡ-H/L ガラス設定（ブラインドイン複層ガラス）</t>
        </is>
      </c>
      <c r="I11" s="42" t="inlineStr">
        <is>
          <t>https://www.lixil.co.jp/lineup/window/samos-hl-fghl/variation/glass-hl/</t>
        </is>
      </c>
      <c r="J11" s="42" t="inlineStr">
        <is>
          <t>窓種は公式設定品種。サイズにより対応不可あり。中空層15mmのみ。</t>
        </is>
      </c>
    </row>
    <row r="12">
      <c r="A12" s="42" t="inlineStr">
        <is>
          <t>WT-SL-FIX-IN</t>
        </is>
      </c>
      <c r="B12" s="42" t="inlineStr">
        <is>
          <t>FIX窓（内押縁タイプ）</t>
        </is>
      </c>
      <c r="C12" s="42" t="inlineStr">
        <is>
          <t>ESTIMATE_CONFIRM_REQUIRED_SIZE_ONLY</t>
        </is>
      </c>
      <c r="D12" s="42" t="str"/>
      <c r="E12" s="42" t="str"/>
      <c r="F12" s="42" t="inlineStr">
        <is>
          <t>15</t>
        </is>
      </c>
      <c r="G12" s="42" t="inlineStr">
        <is>
          <t>ESTIMATE_CONFIRM_REQUIRED</t>
        </is>
      </c>
      <c r="H12" s="42" t="inlineStr">
        <is>
          <t>LIXIL サーモスⅡ-H/L ガラス設定（ブラインドイン複層ガラス）</t>
        </is>
      </c>
      <c r="I12" s="42" t="inlineStr">
        <is>
          <t>https://www.lixil.co.jp/lineup/window/samos-hl-fghl/variation/glass-hl/</t>
        </is>
      </c>
      <c r="J12" s="42" t="inlineStr">
        <is>
          <t>窓種は公式設定品種。サイズにより対応不可あり。中空層15mmのみ。</t>
        </is>
      </c>
    </row>
    <row r="13">
      <c r="A13" s="42" t="inlineStr">
        <is>
          <t>WT-SL-UCHIDAOSHI</t>
        </is>
      </c>
      <c r="B13" s="42" t="inlineStr">
        <is>
          <t>内倒し窓</t>
        </is>
      </c>
      <c r="C13" s="42" t="inlineStr">
        <is>
          <t>BLOCKED_WINDOW_SCOPE</t>
        </is>
      </c>
      <c r="D13" s="42" t="str"/>
      <c r="E13" s="42" t="str"/>
      <c r="F13" s="42" t="str"/>
      <c r="G13" s="42" t="inlineStr">
        <is>
          <t>BLOCK</t>
        </is>
      </c>
      <c r="H13" s="42" t="inlineStr">
        <is>
          <t>LIXIL サーモスⅡ-H/L ガラス設定（ブラインドイン複層ガラス）</t>
        </is>
      </c>
      <c r="I13" s="42" t="inlineStr">
        <is>
          <t>https://www.lixil.co.jp/lineup/window/samos-hl-fghl/variation/glass-hl/</t>
        </is>
      </c>
      <c r="J13" s="42" t="inlineStr">
        <is>
          <t>LIXIL公式設定品種一覧に記載なし。</t>
        </is>
      </c>
    </row>
    <row r="14">
      <c r="A14" s="42" t="inlineStr">
        <is>
          <t>WT-SL-SOTODAOSHI</t>
        </is>
      </c>
      <c r="B14" s="42" t="inlineStr">
        <is>
          <t>外倒し窓</t>
        </is>
      </c>
      <c r="C14" s="42" t="inlineStr">
        <is>
          <t>BLOCKED_WINDOW_SCOPE</t>
        </is>
      </c>
      <c r="D14" s="42" t="str"/>
      <c r="E14" s="42" t="str"/>
      <c r="F14" s="42" t="str"/>
      <c r="G14" s="42" t="inlineStr">
        <is>
          <t>BLOCK</t>
        </is>
      </c>
      <c r="H14" s="42" t="inlineStr">
        <is>
          <t>LIXIL サーモスⅡ-H/L ガラス設定（ブラインドイン複層ガラス）</t>
        </is>
      </c>
      <c r="I14" s="42" t="inlineStr">
        <is>
          <t>https://www.lixil.co.jp/lineup/window/samos-hl-fghl/variation/glass-hl/</t>
        </is>
      </c>
      <c r="J14" s="42" t="inlineStr">
        <is>
          <t>LIXIL公式設定品種一覧に記載なし。</t>
        </is>
      </c>
    </row>
    <row r="15">
      <c r="A15" s="42" t="inlineStr">
        <is>
          <t>WT-SL-KAZARI-HIKI</t>
        </is>
      </c>
      <c r="B15" s="42" t="inlineStr">
        <is>
          <t>装飾引違い窓</t>
        </is>
      </c>
      <c r="C15" s="42" t="inlineStr">
        <is>
          <t>PARTIAL_SELECTOR_SCOPE</t>
        </is>
      </c>
      <c r="D15" s="42" t="inlineStr">
        <is>
          <t>SP-SL-KAZARI-H; SP-SL-KAZARI-HK</t>
        </is>
      </c>
      <c r="E15" s="42" t="inlineStr">
        <is>
          <t>SP-SL-KAZARI-HKK</t>
        </is>
      </c>
      <c r="F15" s="42" t="inlineStr">
        <is>
          <t>15</t>
        </is>
      </c>
      <c r="G15" s="42" t="inlineStr">
        <is>
          <t>ESTIMATE_CONFIRM_REQUIRED</t>
        </is>
      </c>
      <c r="H15" s="42" t="inlineStr">
        <is>
          <t>LIXIL サーモスⅡ-H/L ガラス設定（ブラインドイン複層ガラス）</t>
        </is>
      </c>
      <c r="I15" s="42" t="inlineStr">
        <is>
          <t>https://www.lixil.co.jp/lineup/window/samos-hl-fghl/variation/glass-hl/</t>
        </is>
      </c>
      <c r="J15" s="42" t="inlineStr">
        <is>
          <t>装飾引違い窓はH・HKタイプのみ公式設定。HKKは対象外。サイズ可否は未閉包。</t>
        </is>
      </c>
    </row>
    <row r="16">
      <c r="A16" s="42" t="inlineStr">
        <is>
          <t>WT-SL-TERRACE-DOOR</t>
        </is>
      </c>
      <c r="B16" s="42" t="inlineStr">
        <is>
          <t>テラスドア</t>
        </is>
      </c>
      <c r="C16" s="42" t="inlineStr">
        <is>
          <t>ESTIMATE_CONFIRM_REQUIRED_SIZE_ONLY</t>
        </is>
      </c>
      <c r="D16" s="42" t="str"/>
      <c r="E16" s="42" t="str"/>
      <c r="F16" s="42" t="inlineStr">
        <is>
          <t>15</t>
        </is>
      </c>
      <c r="G16" s="42" t="inlineStr">
        <is>
          <t>ESTIMATE_CONFIRM_REQUIRED</t>
        </is>
      </c>
      <c r="H16" s="42" t="inlineStr">
        <is>
          <t>LIXIL サーモスⅡ-H/L ガラス設定（ブラインドイン複層ガラス）</t>
        </is>
      </c>
      <c r="I16" s="42" t="inlineStr">
        <is>
          <t>https://www.lixil.co.jp/lineup/window/samos-hl-fghl/variation/glass-hl/</t>
        </is>
      </c>
      <c r="J16" s="42" t="inlineStr">
        <is>
          <t>窓種は公式設定品種。サイズにより対応不可あり。中空層15mmのみ。</t>
        </is>
      </c>
    </row>
    <row r="17">
      <c r="A17" s="42" t="inlineStr">
        <is>
          <t>WT-SL-KATTEGUCHI-VENT-FS</t>
        </is>
      </c>
      <c r="B17" s="42" t="inlineStr">
        <is>
          <t>採風勝手口ドアFS</t>
        </is>
      </c>
      <c r="C17" s="42" t="inlineStr">
        <is>
          <t>BLOCKED_WINDOW_SCOPE</t>
        </is>
      </c>
      <c r="D17" s="42" t="str"/>
      <c r="E17" s="42" t="str"/>
      <c r="F17" s="42" t="str"/>
      <c r="G17" s="42" t="inlineStr">
        <is>
          <t>BLOCK</t>
        </is>
      </c>
      <c r="H17" s="42" t="inlineStr">
        <is>
          <t>LIXIL サーモスⅡ-H/L ガラス設定（ブラインドイン複層ガラス）</t>
        </is>
      </c>
      <c r="I17" s="42" t="inlineStr">
        <is>
          <t>https://www.lixil.co.jp/lineup/window/samos-hl-fghl/variation/glass-hl/</t>
        </is>
      </c>
      <c r="J17" s="42" t="inlineStr">
        <is>
          <t>LIXIL公式設定品種一覧に記載なし。</t>
        </is>
      </c>
    </row>
    <row r="18">
      <c r="A18" s="42" t="inlineStr">
        <is>
          <t>WT-SL-KATTEGUCHI</t>
        </is>
      </c>
      <c r="B18" s="42" t="inlineStr">
        <is>
          <t>勝手口ドア</t>
        </is>
      </c>
      <c r="C18" s="42" t="inlineStr">
        <is>
          <t>ESTIMATE_CONFIRM_REQUIRED_SIZE_ONLY</t>
        </is>
      </c>
      <c r="D18" s="42" t="str"/>
      <c r="E18" s="42" t="str"/>
      <c r="F18" s="42" t="inlineStr">
        <is>
          <t>15</t>
        </is>
      </c>
      <c r="G18" s="42" t="inlineStr">
        <is>
          <t>ESTIMATE_CONFIRM_REQUIRED</t>
        </is>
      </c>
      <c r="H18" s="42" t="inlineStr">
        <is>
          <t>LIXIL サーモスⅡ-H/L ガラス設定（ブラインドイン複層ガラス）</t>
        </is>
      </c>
      <c r="I18" s="42" t="inlineStr">
        <is>
          <t>https://www.lixil.co.jp/lineup/window/samos-hl-fghl/variation/glass-hl/</t>
        </is>
      </c>
      <c r="J18" s="42" t="inlineStr">
        <is>
          <t>窓種は公式設定品種。サイズにより対応不可あり。中空層15mmのみ。</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activeCell="A1" sqref="A1"/>
    </sheetView>
  </sheetViews>
  <sheetFormatPr baseColWidth="8" defaultRowHeight="15"/>
  <cols>
    <col width="24" customWidth="1" style="51" min="1" max="1"/>
    <col width="13" customWidth="1" style="51" min="2" max="2"/>
    <col width="10" customWidth="1" style="51" min="3" max="3"/>
    <col width="58" customWidth="1" style="51" min="4" max="4"/>
    <col width="30" customWidth="1" style="51" min="5" max="5"/>
    <col width="42" customWidth="1" style="51" min="6" max="6"/>
    <col width="14" customWidth="1" style="51" min="7" max="7"/>
    <col width="26" customWidth="1" style="51" min="8" max="8"/>
    <col width="18" customWidth="1" style="51" min="9" max="9"/>
  </cols>
  <sheetData>
    <row r="1" ht="39.59999847412109" customHeight="1" s="51">
      <c r="A1" s="199" t="inlineStr">
        <is>
          <t>source_file_id</t>
        </is>
      </c>
      <c r="B1" s="199" t="inlineStr">
        <is>
          <t>catalog_page</t>
        </is>
      </c>
      <c r="C1" s="199" t="inlineStr">
        <is>
          <t>pdf_page</t>
        </is>
      </c>
      <c r="D1" s="199" t="inlineStr">
        <is>
          <t>official_fact</t>
        </is>
      </c>
      <c r="E1" s="199" t="inlineStr">
        <is>
          <t>affected_semantic</t>
        </is>
      </c>
      <c r="F1" s="199" t="inlineStr">
        <is>
          <t>runtime_effect</t>
        </is>
      </c>
      <c r="G1" s="199" t="inlineStr">
        <is>
          <t>gate_result</t>
        </is>
      </c>
      <c r="H1" s="199" t="inlineStr">
        <is>
          <t>confirmation_route</t>
        </is>
      </c>
      <c r="I1" s="199" t="inlineStr">
        <is>
          <t>automatic_activation</t>
        </is>
      </c>
    </row>
    <row r="2" ht="48" customHeight="1" s="51">
      <c r="A2" s="201" t="inlineStr">
        <is>
          <t>1y0AXa3iB5ycoFMqPGdXPgK1bC9pk3-_G</t>
        </is>
      </c>
      <c r="B2" s="201" t="inlineStr">
        <is>
          <t>P1</t>
        </is>
      </c>
      <c r="C2" s="201" t="n">
        <v>3</v>
      </c>
      <c r="D2" s="201" t="inlineStr">
        <is>
          <t>組合せ・窓商品・品種・サイズで対応不可の場合があり、詳しくは見積システムで確認</t>
        </is>
      </c>
      <c r="E2" s="201" t="inlineStr">
        <is>
          <t>SPECIAL_GLASS_RESIDUAL</t>
        </is>
      </c>
      <c r="F2" s="201" t="inlineStr">
        <is>
          <t>既知制限後の残差をECRへ</t>
        </is>
      </c>
      <c r="G2" s="201" t="inlineStr">
        <is>
          <t>PASS</t>
        </is>
      </c>
      <c r="H2" s="201" t="inlineStr">
        <is>
          <t>LIXIL見積システム</t>
        </is>
      </c>
      <c r="I2" s="201" t="b">
        <v>0</v>
      </c>
    </row>
    <row r="3" ht="48" customHeight="1" s="51">
      <c r="A3" s="201" t="inlineStr">
        <is>
          <t>1y0AXa3iB5ycoFMqPGdXPgK1bC9pk3-_G</t>
        </is>
      </c>
      <c r="B3" s="201" t="inlineStr">
        <is>
          <t>P34</t>
        </is>
      </c>
      <c r="C3" s="201" t="n">
        <v>38</v>
      </c>
      <c r="D3" s="201" t="inlineStr">
        <is>
          <t>耐風圧許容面積と製作可能寸法。最大面積・長辺・短辺・最小辺を全て満たす</t>
        </is>
      </c>
      <c r="E3" s="201" t="inlineStr">
        <is>
          <t>GLASS_MANUFACTURABILITY</t>
        </is>
      </c>
      <c r="F3" s="201" t="inlineStr">
        <is>
          <t>P34数値RuleSetを先行評価</t>
        </is>
      </c>
      <c r="G3" s="201" t="inlineStr">
        <is>
          <t>PASS</t>
        </is>
      </c>
      <c r="H3" s="201" t="inlineStr">
        <is>
          <t>LIXIL見積システム</t>
        </is>
      </c>
      <c r="I3" s="201" t="b">
        <v>0</v>
      </c>
    </row>
    <row r="4" ht="48" customHeight="1" s="51">
      <c r="A4" s="201" t="inlineStr">
        <is>
          <t>1y0AXa3iB5ycoFMqPGdXPgK1bC9pk3-_G</t>
        </is>
      </c>
      <c r="B4" s="201" t="inlineStr">
        <is>
          <t>P1 注記※6</t>
        </is>
      </c>
      <c r="C4" s="201" t="n">
        <v>3</v>
      </c>
      <c r="D4" s="201" t="inlineStr">
        <is>
          <t>Low-Eクリア（高日射取得仕様）はTW・EWのみ</t>
        </is>
      </c>
      <c r="E4" s="201" t="inlineStr">
        <is>
          <t>LOWE_HISOLAR</t>
        </is>
      </c>
      <c r="F4" s="201" t="inlineStr">
        <is>
          <t>サーモスLは候補非表示・BLOCK</t>
        </is>
      </c>
      <c r="G4" s="201" t="inlineStr">
        <is>
          <t>PASS</t>
        </is>
      </c>
      <c r="H4" s="201" t="inlineStr">
        <is>
          <t>適用外</t>
        </is>
      </c>
      <c r="I4" s="201" t="b">
        <v>0</v>
      </c>
    </row>
    <row r="5" ht="48" customHeight="1" s="51">
      <c r="A5" s="201" t="inlineStr">
        <is>
          <t>1y0AXa3iB5ycoFMqPGdXPgK1bC9pk3-_G</t>
        </is>
      </c>
      <c r="B5" s="201" t="inlineStr">
        <is>
          <t>P1 注記※2</t>
        </is>
      </c>
      <c r="C5" s="201" t="n">
        <v>3</v>
      </c>
      <c r="D5" s="201" t="inlineStr">
        <is>
          <t>安全合わせ乳白とフロストまたは型板の組合せは非対応</t>
        </is>
      </c>
      <c r="E5" s="201" t="inlineStr">
        <is>
          <t>SAFE_MILKY</t>
        </is>
      </c>
      <c r="F5" s="201" t="inlineStr">
        <is>
          <t>該当組合せをBLOCK</t>
        </is>
      </c>
      <c r="G5" s="201" t="inlineStr">
        <is>
          <t>PASS</t>
        </is>
      </c>
      <c r="H5" s="201" t="inlineStr">
        <is>
          <t>適用外</t>
        </is>
      </c>
      <c r="I5" s="201" t="b">
        <v>0</v>
      </c>
    </row>
    <row r="6" ht="48" customHeight="1" s="51">
      <c r="A6" s="201" t="inlineStr">
        <is>
          <t>1y0AXa3iB5ycoFMqPGdXPgK1bC9pk3-_G</t>
        </is>
      </c>
      <c r="B6" s="201" t="inlineStr">
        <is>
          <t>P26</t>
        </is>
      </c>
      <c r="C6" s="201" t="n">
        <v>30</v>
      </c>
      <c r="D6" s="201" t="inlineStr">
        <is>
          <t>格子入りは矩形のみ。対応中空層11～16mmまたは5～6mm。格子形状・色に条件</t>
        </is>
      </c>
      <c r="E6" s="201" t="inlineStr">
        <is>
          <t>GRID</t>
        </is>
      </c>
      <c r="F6" s="201" t="inlineStr">
        <is>
          <t>既知条件外BLOCK、残差ECR</t>
        </is>
      </c>
      <c r="G6" s="201" t="inlineStr">
        <is>
          <t>PASS</t>
        </is>
      </c>
      <c r="H6" s="201" t="inlineStr">
        <is>
          <t>LIXIL見積システム</t>
        </is>
      </c>
      <c r="I6" s="201" t="b">
        <v>0</v>
      </c>
    </row>
    <row r="7" ht="48" customHeight="1" s="51">
      <c r="A7" s="201" t="inlineStr">
        <is>
          <t>1y0AXa3iB5ycoFMqPGdXPgK1bC9pk3-_G</t>
        </is>
      </c>
      <c r="B7" s="201" t="inlineStr">
        <is>
          <t>P34</t>
        </is>
      </c>
      <c r="C7" s="201" t="n">
        <v>38</v>
      </c>
      <c r="D7" s="201" t="inlineStr">
        <is>
          <t>ブラインドインは縦450～1900mm、横480～1640mm。S-4設定なし</t>
        </is>
      </c>
      <c r="E7" s="201" t="inlineStr">
        <is>
          <t>BLIND</t>
        </is>
      </c>
      <c r="F7" s="201" t="inlineStr">
        <is>
          <t>窓種/specific_spec Scopeと寸法範囲を併用</t>
        </is>
      </c>
      <c r="G7" s="201" t="inlineStr">
        <is>
          <t>PASS</t>
        </is>
      </c>
      <c r="H7" s="201" t="inlineStr">
        <is>
          <t>LIXIL見積システム</t>
        </is>
      </c>
      <c r="I7" s="201" t="b">
        <v>0</v>
      </c>
    </row>
    <row r="8" ht="48" customHeight="1" s="51">
      <c r="A8" s="201" t="inlineStr">
        <is>
          <t>1y0AXa3iB5ycoFMqPGdXPgK1bC9pk3-_G</t>
        </is>
      </c>
      <c r="B8" s="201" t="inlineStr">
        <is>
          <t>P76</t>
        </is>
      </c>
      <c r="C8" s="201" t="n">
        <v>80</v>
      </c>
      <c r="D8" s="201" t="inlineStr">
        <is>
          <t>通常サーモスLはPattern F、FIX内押縁除外、最大ガラス厚22mm、総厚固定</t>
        </is>
      </c>
      <c r="E8" s="201" t="inlineStr">
        <is>
          <t>PRODUCT_PATTERN_F</t>
        </is>
      </c>
      <c r="F8" s="201" t="inlineStr">
        <is>
          <t>通常品種の構成制約</t>
        </is>
      </c>
      <c r="G8" s="201" t="inlineStr">
        <is>
          <t>PASS</t>
        </is>
      </c>
      <c r="H8" s="201" t="inlineStr">
        <is>
          <t>LIXIL見積システム</t>
        </is>
      </c>
      <c r="I8" s="201" t="b">
        <v>0</v>
      </c>
    </row>
    <row r="9" ht="48" customHeight="1" s="51">
      <c r="A9" s="201" t="inlineStr">
        <is>
          <t>1y0AXa3iB5ycoFMqPGdXPgK1bC9pk3-_G</t>
        </is>
      </c>
      <c r="B9" s="201" t="inlineStr">
        <is>
          <t>P94</t>
        </is>
      </c>
      <c r="C9" s="201" t="n">
        <v>98</v>
      </c>
      <c r="D9" s="201" t="inlineStr">
        <is>
          <t>FIX内押縁タイプはPattern H、最大ガラス厚26mm、A16優先</t>
        </is>
      </c>
      <c r="E9" s="201" t="inlineStr">
        <is>
          <t>PRODUCT_PATTERN_H</t>
        </is>
      </c>
      <c r="F9" s="201" t="inlineStr">
        <is>
          <t>FIX内押縁の構成制約</t>
        </is>
      </c>
      <c r="G9" s="201" t="inlineStr">
        <is>
          <t>PASS</t>
        </is>
      </c>
      <c r="H9" s="201" t="inlineStr">
        <is>
          <t>LIXIL見積システム</t>
        </is>
      </c>
      <c r="I9" s="201" t="b">
        <v>0</v>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V25"/>
  <sheetViews>
    <sheetView workbookViewId="0">
      <pane ySplit="1" topLeftCell="A2" activePane="bottomLeft" state="frozen"/>
      <selection activeCell="A1" sqref="A1"/>
    </sheetView>
  </sheetViews>
  <sheetFormatPr baseColWidth="8" defaultRowHeight="15"/>
  <cols>
    <col width="33" customWidth="1" style="51" min="1" max="1"/>
    <col width="17" customWidth="1" style="51" min="2" max="2"/>
    <col width="24" customWidth="1" style="51" min="3" max="3"/>
    <col width="32" customWidth="1" style="51" min="4" max="4"/>
    <col width="12" customWidth="1" style="51" min="5" max="5"/>
    <col width="12" customWidth="1" style="51" min="6" max="6"/>
    <col width="12" customWidth="1" style="51" min="7" max="7"/>
    <col width="12" customWidth="1" style="51" min="8" max="8"/>
    <col width="14" customWidth="1" style="51" min="9" max="9"/>
    <col width="14" customWidth="1" style="51" min="10" max="10"/>
    <col width="14" customWidth="1" style="51" min="11" max="11"/>
    <col width="14" customWidth="1" style="51" min="12" max="12"/>
    <col width="14" customWidth="1" style="51" min="13" max="13"/>
    <col width="16" customWidth="1" style="51" min="14" max="14"/>
    <col width="16" customWidth="1" style="51" min="15" max="15"/>
    <col width="18" customWidth="1" style="51" min="16" max="16"/>
    <col width="18" customWidth="1" style="51" min="17" max="17"/>
    <col width="18" customWidth="1" style="51" min="18" max="18"/>
    <col width="24" customWidth="1" style="51" min="19" max="19"/>
    <col width="12" customWidth="1" style="51" min="20" max="20"/>
    <col width="10" customWidth="1" style="51" min="21" max="21"/>
    <col width="18" customWidth="1" style="51" min="22" max="22"/>
  </cols>
  <sheetData>
    <row r="1">
      <c r="A1" s="199" t="inlineStr">
        <is>
          <t>rule_id</t>
        </is>
      </c>
      <c r="B1" s="199" t="inlineStr">
        <is>
          <t>product_scope</t>
        </is>
      </c>
      <c r="C1" s="199" t="inlineStr">
        <is>
          <t>glass_semantic</t>
        </is>
      </c>
      <c r="D1" s="199" t="inlineStr">
        <is>
          <t>glass_configuration</t>
        </is>
      </c>
      <c r="E1" s="199" t="inlineStr">
        <is>
          <t>S-1_area_m2</t>
        </is>
      </c>
      <c r="F1" s="199" t="inlineStr">
        <is>
          <t>S-2_area_m2</t>
        </is>
      </c>
      <c r="G1" s="199" t="inlineStr">
        <is>
          <t>S-3_area_m2</t>
        </is>
      </c>
      <c r="H1" s="199" t="inlineStr">
        <is>
          <t>S-4_area_m2</t>
        </is>
      </c>
      <c r="I1" s="199" t="inlineStr">
        <is>
          <t>max_area_m2</t>
        </is>
      </c>
      <c r="J1" s="199" t="inlineStr">
        <is>
          <t>max_long_mm</t>
        </is>
      </c>
      <c r="K1" s="199" t="inlineStr">
        <is>
          <t>max_short_mm</t>
        </is>
      </c>
      <c r="L1" s="199" t="inlineStr">
        <is>
          <t>min_long_mm</t>
        </is>
      </c>
      <c r="M1" s="199" t="inlineStr">
        <is>
          <t>min_short_mm</t>
        </is>
      </c>
      <c r="N1" s="199" t="inlineStr">
        <is>
          <t>vertical_min_mm</t>
        </is>
      </c>
      <c r="O1" s="199" t="inlineStr">
        <is>
          <t>vertical_max_mm</t>
        </is>
      </c>
      <c r="P1" s="199" t="inlineStr">
        <is>
          <t>horizontal_min_mm</t>
        </is>
      </c>
      <c r="Q1" s="199" t="inlineStr">
        <is>
          <t>horizontal_max_mm</t>
        </is>
      </c>
      <c r="R1" s="199" t="inlineStr">
        <is>
          <t>dimension_basis</t>
        </is>
      </c>
      <c r="S1" s="199" t="inlineStr">
        <is>
          <t>source_file_id</t>
        </is>
      </c>
      <c r="T1" s="199" t="inlineStr">
        <is>
          <t>catalog_page</t>
        </is>
      </c>
      <c r="U1" s="199" t="inlineStr">
        <is>
          <t>pdf_page</t>
        </is>
      </c>
      <c r="V1" s="199" t="inlineStr">
        <is>
          <t>automatic_activation</t>
        </is>
      </c>
    </row>
    <row r="2">
      <c r="A2" s="209" t="inlineStr">
        <is>
          <t>SN1400-P34-PAIR_CLEAR_3_A_3</t>
        </is>
      </c>
      <c r="B2" s="209" t="inlineStr">
        <is>
          <t>PAIR_OR_LOWE</t>
        </is>
      </c>
      <c r="C2" s="209" t="inlineStr">
        <is>
          <t>CLEAR</t>
        </is>
      </c>
      <c r="D2" s="209" t="inlineStr">
        <is>
          <t>3mm-A-3mm</t>
        </is>
      </c>
      <c r="E2" s="246" t="n">
        <v>2.32</v>
      </c>
      <c r="F2" s="246" t="n">
        <v>1.97</v>
      </c>
      <c r="G2" s="246" t="n">
        <v>1.48</v>
      </c>
      <c r="H2" s="246" t="n">
        <v>1.18</v>
      </c>
      <c r="I2" s="246" t="n">
        <v>2.32</v>
      </c>
      <c r="J2" s="247" t="n">
        <v>2409</v>
      </c>
      <c r="K2" s="247" t="n">
        <v>1809</v>
      </c>
      <c r="L2" s="247" t="n"/>
      <c r="M2" s="247" t="n"/>
      <c r="N2" s="247" t="n"/>
      <c r="O2" s="247" t="n"/>
      <c r="P2" s="247" t="n"/>
      <c r="Q2" s="247" t="n"/>
      <c r="R2" s="209" t="inlineStr">
        <is>
          <t>GLASS_OPENING</t>
        </is>
      </c>
      <c r="S2" s="209" t="inlineStr">
        <is>
          <t>1y0AXa3iB5ycoFMqPGdXPgK1bC9pk3-_G</t>
        </is>
      </c>
      <c r="T2" s="209" t="n">
        <v>34</v>
      </c>
      <c r="U2" s="209" t="n">
        <v>38</v>
      </c>
      <c r="V2" s="209" t="b">
        <v>0</v>
      </c>
    </row>
    <row r="3">
      <c r="A3" s="209" t="inlineStr">
        <is>
          <t>SN1400-P34-PAIR_CLEAR_4_A_4</t>
        </is>
      </c>
      <c r="B3" s="209" t="inlineStr">
        <is>
          <t>PAIR_OR_LOWE</t>
        </is>
      </c>
      <c r="C3" s="209" t="inlineStr">
        <is>
          <t>CLEAR</t>
        </is>
      </c>
      <c r="D3" s="209" t="inlineStr">
        <is>
          <t>4mm-A-4mm</t>
        </is>
      </c>
      <c r="E3" s="246" t="n">
        <v>4</v>
      </c>
      <c r="F3" s="246" t="n">
        <v>3</v>
      </c>
      <c r="G3" s="246" t="n">
        <v>2.25</v>
      </c>
      <c r="H3" s="246" t="n">
        <v>1.8</v>
      </c>
      <c r="I3" s="246" t="n">
        <v>4</v>
      </c>
      <c r="J3" s="247" t="n">
        <v>2409</v>
      </c>
      <c r="K3" s="247" t="n">
        <v>1809</v>
      </c>
      <c r="L3" s="247" t="n"/>
      <c r="M3" s="247" t="n"/>
      <c r="N3" s="247" t="n"/>
      <c r="O3" s="247" t="n"/>
      <c r="P3" s="247" t="n"/>
      <c r="Q3" s="247" t="n"/>
      <c r="R3" s="209" t="inlineStr">
        <is>
          <t>GLASS_OPENING</t>
        </is>
      </c>
      <c r="S3" s="209" t="inlineStr">
        <is>
          <t>1y0AXa3iB5ycoFMqPGdXPgK1bC9pk3-_G</t>
        </is>
      </c>
      <c r="T3" s="209" t="n">
        <v>34</v>
      </c>
      <c r="U3" s="209" t="n">
        <v>38</v>
      </c>
      <c r="V3" s="209" t="b">
        <v>0</v>
      </c>
    </row>
    <row r="4">
      <c r="A4" s="209" t="inlineStr">
        <is>
          <t>SN1400-P34-PAIR_CLEAR_5_A_5</t>
        </is>
      </c>
      <c r="B4" s="209" t="inlineStr">
        <is>
          <t>PAIR_OR_LOWE</t>
        </is>
      </c>
      <c r="C4" s="209" t="inlineStr">
        <is>
          <t>CLEAR</t>
        </is>
      </c>
      <c r="D4" s="209" t="inlineStr">
        <is>
          <t>5mm-A-5mm</t>
        </is>
      </c>
      <c r="E4" s="246" t="n">
        <v>4.32</v>
      </c>
      <c r="F4" s="246" t="n">
        <v>4.22</v>
      </c>
      <c r="G4" s="246" t="n">
        <v>3.16</v>
      </c>
      <c r="H4" s="246" t="n">
        <v>2.53</v>
      </c>
      <c r="I4" s="246" t="n">
        <v>4.32</v>
      </c>
      <c r="J4" s="247" t="n">
        <v>3500</v>
      </c>
      <c r="K4" s="247" t="n">
        <v>2500</v>
      </c>
      <c r="L4" s="247" t="n"/>
      <c r="M4" s="247" t="n"/>
      <c r="N4" s="247" t="n"/>
      <c r="O4" s="247" t="n"/>
      <c r="P4" s="247" t="n"/>
      <c r="Q4" s="247" t="n"/>
      <c r="R4" s="209" t="inlineStr">
        <is>
          <t>GLASS_OPENING</t>
        </is>
      </c>
      <c r="S4" s="209" t="inlineStr">
        <is>
          <t>1y0AXa3iB5ycoFMqPGdXPgK1bC9pk3-_G</t>
        </is>
      </c>
      <c r="T4" s="209" t="n">
        <v>34</v>
      </c>
      <c r="U4" s="209" t="n">
        <v>38</v>
      </c>
      <c r="V4" s="209" t="b">
        <v>0</v>
      </c>
    </row>
    <row r="5">
      <c r="A5" s="209" t="inlineStr">
        <is>
          <t>SN1400-P34-PAIR_PATTERN_4_A_3</t>
        </is>
      </c>
      <c r="B5" s="209" t="inlineStr">
        <is>
          <t>PAIR_OR_LOWE</t>
        </is>
      </c>
      <c r="C5" s="209" t="inlineStr">
        <is>
          <t>PATTERN</t>
        </is>
      </c>
      <c r="D5" s="209" t="inlineStr">
        <is>
          <t>型板4mm-A-3mm</t>
        </is>
      </c>
      <c r="E5" s="246" t="n">
        <v>1.92</v>
      </c>
      <c r="F5" s="246" t="n">
        <v>1.28</v>
      </c>
      <c r="G5" s="246" t="n">
        <v>0.96</v>
      </c>
      <c r="H5" s="246" t="n">
        <v>0.76</v>
      </c>
      <c r="I5" s="246" t="n">
        <v>2.52</v>
      </c>
      <c r="J5" s="247" t="n">
        <v>2409</v>
      </c>
      <c r="K5" s="247" t="n">
        <v>1809</v>
      </c>
      <c r="L5" s="247" t="n"/>
      <c r="M5" s="247" t="n"/>
      <c r="N5" s="247" t="n"/>
      <c r="O5" s="247" t="n"/>
      <c r="P5" s="247" t="n"/>
      <c r="Q5" s="247" t="n"/>
      <c r="R5" s="209" t="inlineStr">
        <is>
          <t>GLASS_OPENING</t>
        </is>
      </c>
      <c r="S5" s="209" t="inlineStr">
        <is>
          <t>1y0AXa3iB5ycoFMqPGdXPgK1bC9pk3-_G</t>
        </is>
      </c>
      <c r="T5" s="209" t="n">
        <v>34</v>
      </c>
      <c r="U5" s="209" t="n">
        <v>38</v>
      </c>
      <c r="V5" s="209" t="b">
        <v>0</v>
      </c>
    </row>
    <row r="6">
      <c r="A6" s="209" t="inlineStr">
        <is>
          <t>SN1400-P34-PAIR_PATTERN_4_A_4</t>
        </is>
      </c>
      <c r="B6" s="209" t="inlineStr">
        <is>
          <t>PAIR_OR_LOWE</t>
        </is>
      </c>
      <c r="C6" s="209" t="inlineStr">
        <is>
          <t>PATTERN</t>
        </is>
      </c>
      <c r="D6" s="209" t="inlineStr">
        <is>
          <t>型板4mm-A-4mm</t>
        </is>
      </c>
      <c r="E6" s="246" t="n">
        <v>2.7</v>
      </c>
      <c r="F6" s="246" t="n">
        <v>1.8</v>
      </c>
      <c r="G6" s="246" t="n">
        <v>1.35</v>
      </c>
      <c r="H6" s="246" t="n">
        <v>1.08</v>
      </c>
      <c r="I6" s="246" t="n">
        <v>3.99</v>
      </c>
      <c r="J6" s="247" t="n">
        <v>2409</v>
      </c>
      <c r="K6" s="247" t="n">
        <v>1809</v>
      </c>
      <c r="L6" s="247" t="n"/>
      <c r="M6" s="247" t="n"/>
      <c r="N6" s="247" t="n"/>
      <c r="O6" s="247" t="n"/>
      <c r="P6" s="247" t="n"/>
      <c r="Q6" s="247" t="n"/>
      <c r="R6" s="209" t="inlineStr">
        <is>
          <t>GLASS_OPENING</t>
        </is>
      </c>
      <c r="S6" s="209" t="inlineStr">
        <is>
          <t>1y0AXa3iB5ycoFMqPGdXPgK1bC9pk3-_G</t>
        </is>
      </c>
      <c r="T6" s="209" t="n">
        <v>34</v>
      </c>
      <c r="U6" s="209" t="n">
        <v>38</v>
      </c>
      <c r="V6" s="209" t="b">
        <v>0</v>
      </c>
    </row>
    <row r="7">
      <c r="A7" s="209" t="inlineStr">
        <is>
          <t>SN1400-P34-PAIR_PATTERN_4_A_5</t>
        </is>
      </c>
      <c r="B7" s="209" t="inlineStr">
        <is>
          <t>PAIR_OR_LOWE</t>
        </is>
      </c>
      <c r="C7" s="209" t="inlineStr">
        <is>
          <t>PATTERN</t>
        </is>
      </c>
      <c r="D7" s="209" t="inlineStr">
        <is>
          <t>型板4mm-A-5mm</t>
        </is>
      </c>
      <c r="E7" s="246" t="n">
        <v>3.99</v>
      </c>
      <c r="F7" s="246" t="n">
        <v>2.66</v>
      </c>
      <c r="G7" s="246" t="n">
        <v>1.99</v>
      </c>
      <c r="H7" s="246" t="n">
        <v>1.59</v>
      </c>
      <c r="I7" s="246" t="n">
        <v>3.99</v>
      </c>
      <c r="J7" s="247" t="n">
        <v>2409</v>
      </c>
      <c r="K7" s="247" t="n">
        <v>1809</v>
      </c>
      <c r="L7" s="247" t="n"/>
      <c r="M7" s="247" t="n"/>
      <c r="N7" s="247" t="n"/>
      <c r="O7" s="247" t="n"/>
      <c r="P7" s="247" t="n"/>
      <c r="Q7" s="247" t="n"/>
      <c r="R7" s="209" t="inlineStr">
        <is>
          <t>GLASS_OPENING</t>
        </is>
      </c>
      <c r="S7" s="209" t="inlineStr">
        <is>
          <t>1y0AXa3iB5ycoFMqPGdXPgK1bC9pk3-_G</t>
        </is>
      </c>
      <c r="T7" s="209" t="n">
        <v>34</v>
      </c>
      <c r="U7" s="209" t="n">
        <v>38</v>
      </c>
      <c r="V7" s="209" t="b">
        <v>0</v>
      </c>
    </row>
    <row r="8">
      <c r="A8" s="209" t="inlineStr">
        <is>
          <t>SN1400-P34-FROST_5_A_3</t>
        </is>
      </c>
      <c r="B8" s="209" t="inlineStr">
        <is>
          <t>PAIR_OR_LOWE</t>
        </is>
      </c>
      <c r="C8" s="209" t="inlineStr">
        <is>
          <t>FROST</t>
        </is>
      </c>
      <c r="D8" s="209" t="inlineStr">
        <is>
          <t>フロスト5mm-A-3mm</t>
        </is>
      </c>
      <c r="E8" s="246" t="n">
        <v>2.31</v>
      </c>
      <c r="F8" s="246" t="n">
        <v>1.54</v>
      </c>
      <c r="G8" s="246" t="n">
        <v>1.15</v>
      </c>
      <c r="H8" s="246" t="n">
        <v>0.92</v>
      </c>
      <c r="I8" s="246" t="n">
        <v>2.32</v>
      </c>
      <c r="J8" s="247" t="n">
        <v>2409</v>
      </c>
      <c r="K8" s="247" t="n">
        <v>1809</v>
      </c>
      <c r="L8" s="247" t="n"/>
      <c r="M8" s="247" t="n"/>
      <c r="N8" s="247" t="n"/>
      <c r="O8" s="247" t="n"/>
      <c r="P8" s="247" t="n"/>
      <c r="Q8" s="247" t="n"/>
      <c r="R8" s="209" t="inlineStr">
        <is>
          <t>GLASS_OPENING</t>
        </is>
      </c>
      <c r="S8" s="209" t="inlineStr">
        <is>
          <t>1y0AXa3iB5ycoFMqPGdXPgK1bC9pk3-_G</t>
        </is>
      </c>
      <c r="T8" s="209" t="n">
        <v>34</v>
      </c>
      <c r="U8" s="209" t="n">
        <v>38</v>
      </c>
      <c r="V8" s="209" t="b">
        <v>0</v>
      </c>
    </row>
    <row r="9">
      <c r="A9" s="209" t="inlineStr">
        <is>
          <t>SN1400-P34-FROST_5_A_4</t>
        </is>
      </c>
      <c r="B9" s="209" t="inlineStr">
        <is>
          <t>PAIR_OR_LOWE</t>
        </is>
      </c>
      <c r="C9" s="209" t="inlineStr">
        <is>
          <t>FROST</t>
        </is>
      </c>
      <c r="D9" s="209" t="inlineStr">
        <is>
          <t>フロスト5mm-A-4mm</t>
        </is>
      </c>
      <c r="E9" s="246" t="n">
        <v>2.87</v>
      </c>
      <c r="F9" s="246" t="n">
        <v>1.91</v>
      </c>
      <c r="G9" s="246" t="n">
        <v>1.44</v>
      </c>
      <c r="H9" s="246" t="n">
        <v>1.14</v>
      </c>
      <c r="I9" s="246" t="n">
        <v>4</v>
      </c>
      <c r="J9" s="247" t="n">
        <v>2409</v>
      </c>
      <c r="K9" s="247" t="n">
        <v>1809</v>
      </c>
      <c r="L9" s="247" t="n"/>
      <c r="M9" s="247" t="n"/>
      <c r="N9" s="247" t="n"/>
      <c r="O9" s="247" t="n"/>
      <c r="P9" s="247" t="n"/>
      <c r="Q9" s="247" t="n"/>
      <c r="R9" s="209" t="inlineStr">
        <is>
          <t>GLASS_OPENING</t>
        </is>
      </c>
      <c r="S9" s="209" t="inlineStr">
        <is>
          <t>1y0AXa3iB5ycoFMqPGdXPgK1bC9pk3-_G</t>
        </is>
      </c>
      <c r="T9" s="209" t="n">
        <v>34</v>
      </c>
      <c r="U9" s="209" t="n">
        <v>38</v>
      </c>
      <c r="V9" s="209" t="b">
        <v>0</v>
      </c>
    </row>
    <row r="10">
      <c r="A10" s="209" t="inlineStr">
        <is>
          <t>SN1400-P34-FROST_5_A_5</t>
        </is>
      </c>
      <c r="B10" s="209" t="inlineStr">
        <is>
          <t>PAIR_OR_LOWE</t>
        </is>
      </c>
      <c r="C10" s="209" t="inlineStr">
        <is>
          <t>FROST</t>
        </is>
      </c>
      <c r="D10" s="209" t="inlineStr">
        <is>
          <t>フロスト5mm-A-5mm</t>
        </is>
      </c>
      <c r="E10" s="246" t="n">
        <v>3.8</v>
      </c>
      <c r="F10" s="246" t="n">
        <v>2.53</v>
      </c>
      <c r="G10" s="246" t="n">
        <v>1.9</v>
      </c>
      <c r="H10" s="246" t="n">
        <v>1.51</v>
      </c>
      <c r="I10" s="246" t="n">
        <v>4.32</v>
      </c>
      <c r="J10" s="247" t="n">
        <v>2409</v>
      </c>
      <c r="K10" s="247" t="n">
        <v>1809</v>
      </c>
      <c r="L10" s="247" t="n"/>
      <c r="M10" s="247" t="n"/>
      <c r="N10" s="247" t="n"/>
      <c r="O10" s="247" t="n"/>
      <c r="P10" s="247" t="n"/>
      <c r="Q10" s="247" t="n"/>
      <c r="R10" s="209" t="inlineStr">
        <is>
          <t>GLASS_OPENING</t>
        </is>
      </c>
      <c r="S10" s="209" t="inlineStr">
        <is>
          <t>1y0AXa3iB5ycoFMqPGdXPgK1bC9pk3-_G</t>
        </is>
      </c>
      <c r="T10" s="209" t="n">
        <v>34</v>
      </c>
      <c r="U10" s="209" t="n">
        <v>38</v>
      </c>
      <c r="V10" s="209" t="b">
        <v>0</v>
      </c>
    </row>
    <row r="11">
      <c r="A11" s="209" t="inlineStr">
        <is>
          <t>SN1400-P34-SAFE_30_CLEAR_3</t>
        </is>
      </c>
      <c r="B11" s="209" t="inlineStr">
        <is>
          <t>PAIR_OR_LOWE</t>
        </is>
      </c>
      <c r="C11" s="209" t="inlineStr">
        <is>
          <t>SAFE_30MIL</t>
        </is>
      </c>
      <c r="D11" s="209" t="inlineStr">
        <is>
          <t>3mm-A-(3mm+30mil+3mm)</t>
        </is>
      </c>
      <c r="E11" s="246" t="n">
        <v>2.32</v>
      </c>
      <c r="F11" s="246" t="n">
        <v>2.32</v>
      </c>
      <c r="G11" s="246" t="n">
        <v>1.9</v>
      </c>
      <c r="H11" s="246" t="n">
        <v>1.51</v>
      </c>
      <c r="I11" s="246" t="n">
        <v>2.32</v>
      </c>
      <c r="J11" s="247" t="n">
        <v>2330</v>
      </c>
      <c r="K11" s="247" t="n">
        <v>1730</v>
      </c>
      <c r="L11" s="247" t="n">
        <v>300</v>
      </c>
      <c r="M11" s="247" t="n">
        <v>100</v>
      </c>
      <c r="N11" s="247" t="n"/>
      <c r="O11" s="247" t="n"/>
      <c r="P11" s="247" t="n"/>
      <c r="Q11" s="247" t="n"/>
      <c r="R11" s="209" t="inlineStr">
        <is>
          <t>GLASS_OPENING</t>
        </is>
      </c>
      <c r="S11" s="209" t="inlineStr">
        <is>
          <t>1y0AXa3iB5ycoFMqPGdXPgK1bC9pk3-_G</t>
        </is>
      </c>
      <c r="T11" s="209" t="n">
        <v>34</v>
      </c>
      <c r="U11" s="209" t="n">
        <v>38</v>
      </c>
      <c r="V11" s="209" t="b">
        <v>0</v>
      </c>
    </row>
    <row r="12">
      <c r="A12" s="209" t="inlineStr">
        <is>
          <t>SN1400-P34-SAFE_30_CLEAR_4</t>
        </is>
      </c>
      <c r="B12" s="209" t="inlineStr">
        <is>
          <t>PAIR_OR_LOWE</t>
        </is>
      </c>
      <c r="C12" s="209" t="inlineStr">
        <is>
          <t>SAFE_30MIL</t>
        </is>
      </c>
      <c r="D12" s="209" t="inlineStr">
        <is>
          <t>4mm-A-(3mm+30mil+3mm)</t>
        </is>
      </c>
      <c r="E12" s="246" t="n">
        <v>4</v>
      </c>
      <c r="F12" s="246" t="n">
        <v>3.16</v>
      </c>
      <c r="G12" s="246" t="n">
        <v>2.37</v>
      </c>
      <c r="H12" s="246" t="n">
        <v>1.89</v>
      </c>
      <c r="I12" s="246" t="n">
        <v>4</v>
      </c>
      <c r="J12" s="247" t="n">
        <v>2409</v>
      </c>
      <c r="K12" s="247" t="n">
        <v>1809</v>
      </c>
      <c r="L12" s="247" t="n">
        <v>300</v>
      </c>
      <c r="M12" s="247" t="n">
        <v>100</v>
      </c>
      <c r="N12" s="247" t="n"/>
      <c r="O12" s="247" t="n"/>
      <c r="P12" s="247" t="n"/>
      <c r="Q12" s="247" t="n"/>
      <c r="R12" s="209" t="inlineStr">
        <is>
          <t>GLASS_OPENING</t>
        </is>
      </c>
      <c r="S12" s="209" t="inlineStr">
        <is>
          <t>1y0AXa3iB5ycoFMqPGdXPgK1bC9pk3-_G</t>
        </is>
      </c>
      <c r="T12" s="209" t="n">
        <v>34</v>
      </c>
      <c r="U12" s="209" t="n">
        <v>38</v>
      </c>
      <c r="V12" s="209" t="b">
        <v>0</v>
      </c>
    </row>
    <row r="13">
      <c r="A13" s="209" t="inlineStr">
        <is>
          <t>SN1400-P34-SAFE_30_CLEAR_5</t>
        </is>
      </c>
      <c r="B13" s="209" t="inlineStr">
        <is>
          <t>PAIR_OR_LOWE</t>
        </is>
      </c>
      <c r="C13" s="209" t="inlineStr">
        <is>
          <t>SAFE_30MIL</t>
        </is>
      </c>
      <c r="D13" s="209" t="inlineStr">
        <is>
          <t>5mm-A-(3mm+30mil+3mm)</t>
        </is>
      </c>
      <c r="E13" s="246" t="n">
        <v>4.8</v>
      </c>
      <c r="F13" s="246" t="n">
        <v>4.04</v>
      </c>
      <c r="G13" s="246" t="n">
        <v>3.03</v>
      </c>
      <c r="H13" s="246" t="n">
        <v>2.42</v>
      </c>
      <c r="I13" s="246" t="n">
        <v>4.8</v>
      </c>
      <c r="J13" s="247" t="n">
        <v>3500</v>
      </c>
      <c r="K13" s="247" t="n">
        <v>2285</v>
      </c>
      <c r="L13" s="247" t="n">
        <v>300</v>
      </c>
      <c r="M13" s="247" t="n">
        <v>100</v>
      </c>
      <c r="N13" s="247" t="n"/>
      <c r="O13" s="247" t="n"/>
      <c r="P13" s="247" t="n"/>
      <c r="Q13" s="247" t="n"/>
      <c r="R13" s="209" t="inlineStr">
        <is>
          <t>GLASS_OPENING</t>
        </is>
      </c>
      <c r="S13" s="209" t="inlineStr">
        <is>
          <t>1y0AXa3iB5ycoFMqPGdXPgK1bC9pk3-_G</t>
        </is>
      </c>
      <c r="T13" s="209" t="n">
        <v>34</v>
      </c>
      <c r="U13" s="209" t="n">
        <v>38</v>
      </c>
      <c r="V13" s="209" t="b">
        <v>0</v>
      </c>
    </row>
    <row r="14">
      <c r="A14" s="209" t="inlineStr">
        <is>
          <t>SN1400-P34-SAFE_PATTERN_45_3</t>
        </is>
      </c>
      <c r="B14" s="209" t="inlineStr">
        <is>
          <t>PAIR_OR_LOWE</t>
        </is>
      </c>
      <c r="C14" s="209" t="inlineStr">
        <is>
          <t>SAFE_PATTERN_45MIL</t>
        </is>
      </c>
      <c r="D14" s="209" t="inlineStr">
        <is>
          <t>3mm-A-(型3mm+45mil+3mm)</t>
        </is>
      </c>
      <c r="E14" s="246" t="n">
        <v>2.28</v>
      </c>
      <c r="F14" s="246" t="n">
        <v>1.52</v>
      </c>
      <c r="G14" s="246" t="n">
        <v>1.14</v>
      </c>
      <c r="H14" s="246" t="n">
        <v>0.9</v>
      </c>
      <c r="I14" s="246" t="n">
        <v>2.32</v>
      </c>
      <c r="J14" s="247" t="n">
        <v>2330</v>
      </c>
      <c r="K14" s="247" t="n">
        <v>1730</v>
      </c>
      <c r="L14" s="247" t="n">
        <v>300</v>
      </c>
      <c r="M14" s="247" t="n">
        <v>100</v>
      </c>
      <c r="N14" s="247" t="n"/>
      <c r="O14" s="247" t="n"/>
      <c r="P14" s="247" t="n"/>
      <c r="Q14" s="247" t="n"/>
      <c r="R14" s="209" t="inlineStr">
        <is>
          <t>GLASS_OPENING</t>
        </is>
      </c>
      <c r="S14" s="209" t="inlineStr">
        <is>
          <t>1y0AXa3iB5ycoFMqPGdXPgK1bC9pk3-_G</t>
        </is>
      </c>
      <c r="T14" s="209" t="n">
        <v>34</v>
      </c>
      <c r="U14" s="209" t="n">
        <v>38</v>
      </c>
      <c r="V14" s="209" t="b">
        <v>0</v>
      </c>
    </row>
    <row r="15">
      <c r="A15" s="209" t="inlineStr">
        <is>
          <t>SN1400-P34-SAFE_PATTERN_45_4</t>
        </is>
      </c>
      <c r="B15" s="209" t="inlineStr">
        <is>
          <t>PAIR_OR_LOWE</t>
        </is>
      </c>
      <c r="C15" s="209" t="inlineStr">
        <is>
          <t>SAFE_PATTERN_45MIL</t>
        </is>
      </c>
      <c r="D15" s="209" t="inlineStr">
        <is>
          <t>4mm-A-(型3mm+45mil+3mm)</t>
        </is>
      </c>
      <c r="E15" s="246" t="n">
        <v>2.85</v>
      </c>
      <c r="F15" s="246" t="n">
        <v>1.9</v>
      </c>
      <c r="G15" s="246" t="n">
        <v>1.42</v>
      </c>
      <c r="H15" s="246" t="n">
        <v>1.13</v>
      </c>
      <c r="I15" s="246" t="n">
        <v>4</v>
      </c>
      <c r="J15" s="247" t="n">
        <v>2400</v>
      </c>
      <c r="K15" s="247" t="n">
        <v>1800</v>
      </c>
      <c r="L15" s="247" t="n">
        <v>300</v>
      </c>
      <c r="M15" s="247" t="n">
        <v>100</v>
      </c>
      <c r="N15" s="247" t="n"/>
      <c r="O15" s="247" t="n"/>
      <c r="P15" s="247" t="n"/>
      <c r="Q15" s="247" t="n"/>
      <c r="R15" s="209" t="inlineStr">
        <is>
          <t>GLASS_OPENING</t>
        </is>
      </c>
      <c r="S15" s="209" t="inlineStr">
        <is>
          <t>1y0AXa3iB5ycoFMqPGdXPgK1bC9pk3-_G</t>
        </is>
      </c>
      <c r="T15" s="209" t="n">
        <v>34</v>
      </c>
      <c r="U15" s="209" t="n">
        <v>38</v>
      </c>
      <c r="V15" s="209" t="b">
        <v>0</v>
      </c>
    </row>
    <row r="16">
      <c r="A16" s="209" t="inlineStr">
        <is>
          <t>SN1400-P34-SAFE_PATTERN_45_5</t>
        </is>
      </c>
      <c r="B16" s="209" t="inlineStr">
        <is>
          <t>PAIR_OR_LOWE</t>
        </is>
      </c>
      <c r="C16" s="209" t="inlineStr">
        <is>
          <t>SAFE_PATTERN_45MIL</t>
        </is>
      </c>
      <c r="D16" s="209" t="inlineStr">
        <is>
          <t>5mm-A-(型3mm+45mil+3mm)</t>
        </is>
      </c>
      <c r="E16" s="246" t="n">
        <v>3.8</v>
      </c>
      <c r="F16" s="246" t="n">
        <v>2.53</v>
      </c>
      <c r="G16" s="246" t="n">
        <v>1.9</v>
      </c>
      <c r="H16" s="246" t="n">
        <v>1.51</v>
      </c>
      <c r="I16" s="246" t="n">
        <v>4.32</v>
      </c>
      <c r="J16" s="247" t="n">
        <v>2400</v>
      </c>
      <c r="K16" s="247" t="n">
        <v>1800</v>
      </c>
      <c r="L16" s="247" t="n">
        <v>300</v>
      </c>
      <c r="M16" s="247" t="n">
        <v>100</v>
      </c>
      <c r="N16" s="247" t="n"/>
      <c r="O16" s="247" t="n"/>
      <c r="P16" s="247" t="n"/>
      <c r="Q16" s="247" t="n"/>
      <c r="R16" s="209" t="inlineStr">
        <is>
          <t>GLASS_OPENING</t>
        </is>
      </c>
      <c r="S16" s="209" t="inlineStr">
        <is>
          <t>1y0AXa3iB5ycoFMqPGdXPgK1bC9pk3-_G</t>
        </is>
      </c>
      <c r="T16" s="209" t="n">
        <v>34</v>
      </c>
      <c r="U16" s="209" t="n">
        <v>38</v>
      </c>
      <c r="V16" s="209" t="b">
        <v>0</v>
      </c>
    </row>
    <row r="17">
      <c r="A17" s="209" t="inlineStr">
        <is>
          <t>SN1400-P34-DISASTER_60_CLEAR_3</t>
        </is>
      </c>
      <c r="B17" s="209" t="inlineStr">
        <is>
          <t>PAIR_OR_LOWE</t>
        </is>
      </c>
      <c r="C17" s="209" t="inlineStr">
        <is>
          <t>DISASTER_60MIL</t>
        </is>
      </c>
      <c r="D17" s="209" t="inlineStr">
        <is>
          <t>3mm-A-(3mm+60mil+3mm)</t>
        </is>
      </c>
      <c r="E17" s="246" t="n">
        <v>2.32</v>
      </c>
      <c r="F17" s="246" t="n">
        <v>2.32</v>
      </c>
      <c r="G17" s="246" t="n">
        <v>1.9</v>
      </c>
      <c r="H17" s="246" t="n">
        <v>1.51</v>
      </c>
      <c r="I17" s="246" t="n">
        <v>2.32</v>
      </c>
      <c r="J17" s="247" t="n">
        <v>2330</v>
      </c>
      <c r="K17" s="247" t="n">
        <v>1730</v>
      </c>
      <c r="L17" s="247" t="n">
        <v>300</v>
      </c>
      <c r="M17" s="247" t="n">
        <v>100</v>
      </c>
      <c r="N17" s="247" t="n"/>
      <c r="O17" s="247" t="n"/>
      <c r="P17" s="247" t="n"/>
      <c r="Q17" s="247" t="n"/>
      <c r="R17" s="209" t="inlineStr">
        <is>
          <t>GLASS_OPENING</t>
        </is>
      </c>
      <c r="S17" s="209" t="inlineStr">
        <is>
          <t>1y0AXa3iB5ycoFMqPGdXPgK1bC9pk3-_G</t>
        </is>
      </c>
      <c r="T17" s="209" t="n">
        <v>34</v>
      </c>
      <c r="U17" s="209" t="n">
        <v>38</v>
      </c>
      <c r="V17" s="209" t="b">
        <v>0</v>
      </c>
    </row>
    <row r="18">
      <c r="A18" s="209" t="inlineStr">
        <is>
          <t>SN1400-P34-DISASTER_60_CLEAR_4</t>
        </is>
      </c>
      <c r="B18" s="209" t="inlineStr">
        <is>
          <t>PAIR_OR_LOWE</t>
        </is>
      </c>
      <c r="C18" s="209" t="inlineStr">
        <is>
          <t>DISASTER_60MIL</t>
        </is>
      </c>
      <c r="D18" s="209" t="inlineStr">
        <is>
          <t>4mm-A-(3mm+60mil+3mm)</t>
        </is>
      </c>
      <c r="E18" s="246" t="n">
        <v>4</v>
      </c>
      <c r="F18" s="246" t="n">
        <v>3.16</v>
      </c>
      <c r="G18" s="246" t="n">
        <v>2.37</v>
      </c>
      <c r="H18" s="246" t="n">
        <v>1.89</v>
      </c>
      <c r="I18" s="246" t="n">
        <v>4</v>
      </c>
      <c r="J18" s="247" t="n">
        <v>2409</v>
      </c>
      <c r="K18" s="247" t="n">
        <v>1809</v>
      </c>
      <c r="L18" s="247" t="n">
        <v>300</v>
      </c>
      <c r="M18" s="247" t="n">
        <v>100</v>
      </c>
      <c r="N18" s="247" t="n"/>
      <c r="O18" s="247" t="n"/>
      <c r="P18" s="247" t="n"/>
      <c r="Q18" s="247" t="n"/>
      <c r="R18" s="209" t="inlineStr">
        <is>
          <t>GLASS_OPENING</t>
        </is>
      </c>
      <c r="S18" s="209" t="inlineStr">
        <is>
          <t>1y0AXa3iB5ycoFMqPGdXPgK1bC9pk3-_G</t>
        </is>
      </c>
      <c r="T18" s="209" t="n">
        <v>34</v>
      </c>
      <c r="U18" s="209" t="n">
        <v>38</v>
      </c>
      <c r="V18" s="209" t="b">
        <v>0</v>
      </c>
    </row>
    <row r="19">
      <c r="A19" s="209" t="inlineStr">
        <is>
          <t>SN1400-P34-DISASTER_60_CLEAR_5</t>
        </is>
      </c>
      <c r="B19" s="209" t="inlineStr">
        <is>
          <t>PAIR_OR_LOWE</t>
        </is>
      </c>
      <c r="C19" s="209" t="inlineStr">
        <is>
          <t>DISASTER_60MIL</t>
        </is>
      </c>
      <c r="D19" s="209" t="inlineStr">
        <is>
          <t>5mm-A-(3mm+60mil+3mm)</t>
        </is>
      </c>
      <c r="E19" s="246" t="n">
        <v>4.8</v>
      </c>
      <c r="F19" s="246" t="n">
        <v>4.04</v>
      </c>
      <c r="G19" s="246" t="n">
        <v>3.03</v>
      </c>
      <c r="H19" s="246" t="n">
        <v>2.42</v>
      </c>
      <c r="I19" s="246" t="n">
        <v>4.8</v>
      </c>
      <c r="J19" s="247" t="n">
        <v>3500</v>
      </c>
      <c r="K19" s="247" t="n">
        <v>2285</v>
      </c>
      <c r="L19" s="247" t="n">
        <v>300</v>
      </c>
      <c r="M19" s="247" t="n">
        <v>100</v>
      </c>
      <c r="N19" s="247" t="n"/>
      <c r="O19" s="247" t="n"/>
      <c r="P19" s="247" t="n"/>
      <c r="Q19" s="247" t="n"/>
      <c r="R19" s="209" t="inlineStr">
        <is>
          <t>GLASS_OPENING</t>
        </is>
      </c>
      <c r="S19" s="209" t="inlineStr">
        <is>
          <t>1y0AXa3iB5ycoFMqPGdXPgK1bC9pk3-_G</t>
        </is>
      </c>
      <c r="T19" s="209" t="n">
        <v>34</v>
      </c>
      <c r="U19" s="209" t="n">
        <v>38</v>
      </c>
      <c r="V19" s="209" t="b">
        <v>0</v>
      </c>
    </row>
    <row r="20">
      <c r="A20" s="209" t="inlineStr">
        <is>
          <t>SN1400-P34-DISASTER_PATTERN_60_3</t>
        </is>
      </c>
      <c r="B20" s="209" t="inlineStr">
        <is>
          <t>PAIR_OR_LOWE</t>
        </is>
      </c>
      <c r="C20" s="209" t="inlineStr">
        <is>
          <t>DISASTER_PATTERN_60MIL</t>
        </is>
      </c>
      <c r="D20" s="209" t="inlineStr">
        <is>
          <t>3mm-A-(型3mm+60mil+3mm)</t>
        </is>
      </c>
      <c r="E20" s="246" t="n">
        <v>2.28</v>
      </c>
      <c r="F20" s="246" t="n">
        <v>1.52</v>
      </c>
      <c r="G20" s="246" t="n">
        <v>1.14</v>
      </c>
      <c r="H20" s="246" t="n">
        <v>0.9</v>
      </c>
      <c r="I20" s="246" t="n">
        <v>2.32</v>
      </c>
      <c r="J20" s="247" t="n">
        <v>2330</v>
      </c>
      <c r="K20" s="247" t="n">
        <v>1730</v>
      </c>
      <c r="L20" s="247" t="n">
        <v>300</v>
      </c>
      <c r="M20" s="247" t="n">
        <v>100</v>
      </c>
      <c r="N20" s="247" t="n"/>
      <c r="O20" s="247" t="n"/>
      <c r="P20" s="247" t="n"/>
      <c r="Q20" s="247" t="n"/>
      <c r="R20" s="209" t="inlineStr">
        <is>
          <t>GLASS_OPENING</t>
        </is>
      </c>
      <c r="S20" s="209" t="inlineStr">
        <is>
          <t>1y0AXa3iB5ycoFMqPGdXPgK1bC9pk3-_G</t>
        </is>
      </c>
      <c r="T20" s="209" t="n">
        <v>34</v>
      </c>
      <c r="U20" s="209" t="n">
        <v>38</v>
      </c>
      <c r="V20" s="209" t="b">
        <v>0</v>
      </c>
    </row>
    <row r="21">
      <c r="A21" s="209" t="inlineStr">
        <is>
          <t>SN1400-P34-DISASTER_PATTERN_60_4</t>
        </is>
      </c>
      <c r="B21" s="209" t="inlineStr">
        <is>
          <t>PAIR_OR_LOWE</t>
        </is>
      </c>
      <c r="C21" s="209" t="inlineStr">
        <is>
          <t>DISASTER_PATTERN_60MIL</t>
        </is>
      </c>
      <c r="D21" s="209" t="inlineStr">
        <is>
          <t>4mm-A-(型3mm+60mil+3mm)</t>
        </is>
      </c>
      <c r="E21" s="246" t="n">
        <v>2.85</v>
      </c>
      <c r="F21" s="246" t="n">
        <v>1.9</v>
      </c>
      <c r="G21" s="246" t="n">
        <v>1.42</v>
      </c>
      <c r="H21" s="246" t="n">
        <v>1.13</v>
      </c>
      <c r="I21" s="246" t="n">
        <v>4</v>
      </c>
      <c r="J21" s="247" t="n">
        <v>2400</v>
      </c>
      <c r="K21" s="247" t="n">
        <v>1800</v>
      </c>
      <c r="L21" s="247" t="n">
        <v>300</v>
      </c>
      <c r="M21" s="247" t="n">
        <v>100</v>
      </c>
      <c r="N21" s="247" t="n"/>
      <c r="O21" s="247" t="n"/>
      <c r="P21" s="247" t="n"/>
      <c r="Q21" s="247" t="n"/>
      <c r="R21" s="209" t="inlineStr">
        <is>
          <t>GLASS_OPENING</t>
        </is>
      </c>
      <c r="S21" s="209" t="inlineStr">
        <is>
          <t>1y0AXa3iB5ycoFMqPGdXPgK1bC9pk3-_G</t>
        </is>
      </c>
      <c r="T21" s="209" t="n">
        <v>34</v>
      </c>
      <c r="U21" s="209" t="n">
        <v>38</v>
      </c>
      <c r="V21" s="209" t="b">
        <v>0</v>
      </c>
    </row>
    <row r="22">
      <c r="A22" s="209" t="inlineStr">
        <is>
          <t>SN1400-P34-DISASTER_PATTERN_60_5</t>
        </is>
      </c>
      <c r="B22" s="209" t="inlineStr">
        <is>
          <t>PAIR_OR_LOWE</t>
        </is>
      </c>
      <c r="C22" s="209" t="inlineStr">
        <is>
          <t>DISASTER_PATTERN_60MIL</t>
        </is>
      </c>
      <c r="D22" s="209" t="inlineStr">
        <is>
          <t>5mm-A-(型3mm+60mil+3mm)</t>
        </is>
      </c>
      <c r="E22" s="246" t="n">
        <v>3.8</v>
      </c>
      <c r="F22" s="246" t="n">
        <v>2.53</v>
      </c>
      <c r="G22" s="246" t="n">
        <v>1.9</v>
      </c>
      <c r="H22" s="246" t="n">
        <v>1.51</v>
      </c>
      <c r="I22" s="246" t="n">
        <v>4.32</v>
      </c>
      <c r="J22" s="247" t="n">
        <v>2400</v>
      </c>
      <c r="K22" s="247" t="n">
        <v>1800</v>
      </c>
      <c r="L22" s="247" t="n">
        <v>300</v>
      </c>
      <c r="M22" s="247" t="n">
        <v>100</v>
      </c>
      <c r="N22" s="247" t="n"/>
      <c r="O22" s="247" t="n"/>
      <c r="P22" s="247" t="n"/>
      <c r="Q22" s="247" t="n"/>
      <c r="R22" s="209" t="inlineStr">
        <is>
          <t>GLASS_OPENING</t>
        </is>
      </c>
      <c r="S22" s="209" t="inlineStr">
        <is>
          <t>1y0AXa3iB5ycoFMqPGdXPgK1bC9pk3-_G</t>
        </is>
      </c>
      <c r="T22" s="209" t="n">
        <v>34</v>
      </c>
      <c r="U22" s="209" t="n">
        <v>38</v>
      </c>
      <c r="V22" s="209" t="b">
        <v>0</v>
      </c>
    </row>
    <row r="23">
      <c r="A23" s="209" t="inlineStr">
        <is>
          <t>SN1400-P34-BLIND_CLEAR_3_A_3</t>
        </is>
      </c>
      <c r="B23" s="209" t="inlineStr">
        <is>
          <t>BLIND</t>
        </is>
      </c>
      <c r="C23" s="209" t="inlineStr">
        <is>
          <t>CLEAR</t>
        </is>
      </c>
      <c r="D23" s="209" t="inlineStr">
        <is>
          <t>3mm-A-3mm</t>
        </is>
      </c>
      <c r="E23" s="246" t="n">
        <v>1.97</v>
      </c>
      <c r="F23" s="246" t="n">
        <v>1.97</v>
      </c>
      <c r="G23" s="246" t="n">
        <v>1.48</v>
      </c>
      <c r="H23" s="246" t="n"/>
      <c r="I23" s="246" t="n">
        <v>1.97</v>
      </c>
      <c r="J23" s="247" t="n"/>
      <c r="K23" s="247" t="n"/>
      <c r="L23" s="247" t="n"/>
      <c r="M23" s="247" t="n"/>
      <c r="N23" s="247" t="n">
        <v>450</v>
      </c>
      <c r="O23" s="247" t="n">
        <v>1900</v>
      </c>
      <c r="P23" s="247" t="n">
        <v>480</v>
      </c>
      <c r="Q23" s="247" t="n">
        <v>1640</v>
      </c>
      <c r="R23" s="209" t="inlineStr">
        <is>
          <t>GLASS_OPENING</t>
        </is>
      </c>
      <c r="S23" s="209" t="inlineStr">
        <is>
          <t>1y0AXa3iB5ycoFMqPGdXPgK1bC9pk3-_G</t>
        </is>
      </c>
      <c r="T23" s="209" t="n">
        <v>34</v>
      </c>
      <c r="U23" s="209" t="n">
        <v>38</v>
      </c>
      <c r="V23" s="209" t="b">
        <v>0</v>
      </c>
    </row>
    <row r="24">
      <c r="A24" s="209" t="inlineStr">
        <is>
          <t>SN1400-P34-BLIND_CLEAR_4_A_3</t>
        </is>
      </c>
      <c r="B24" s="209" t="inlineStr">
        <is>
          <t>BLIND</t>
        </is>
      </c>
      <c r="C24" s="209" t="inlineStr">
        <is>
          <t>CLEAR</t>
        </is>
      </c>
      <c r="D24" s="209" t="inlineStr">
        <is>
          <t>4mm-A-3mm</t>
        </is>
      </c>
      <c r="E24" s="246" t="n">
        <v>2.13</v>
      </c>
      <c r="F24" s="246" t="n">
        <v>2.13</v>
      </c>
      <c r="G24" s="246" t="n">
        <v>1.6</v>
      </c>
      <c r="H24" s="246" t="n"/>
      <c r="I24" s="246" t="n">
        <v>2.13</v>
      </c>
      <c r="J24" s="247" t="n"/>
      <c r="K24" s="247" t="n"/>
      <c r="L24" s="247" t="n"/>
      <c r="M24" s="247" t="n"/>
      <c r="N24" s="247" t="n">
        <v>450</v>
      </c>
      <c r="O24" s="247" t="n">
        <v>1900</v>
      </c>
      <c r="P24" s="247" t="n">
        <v>480</v>
      </c>
      <c r="Q24" s="247" t="n">
        <v>1640</v>
      </c>
      <c r="R24" s="209" t="inlineStr">
        <is>
          <t>GLASS_OPENING</t>
        </is>
      </c>
      <c r="S24" s="209" t="inlineStr">
        <is>
          <t>1y0AXa3iB5ycoFMqPGdXPgK1bC9pk3-_G</t>
        </is>
      </c>
      <c r="T24" s="209" t="n">
        <v>34</v>
      </c>
      <c r="U24" s="209" t="n">
        <v>38</v>
      </c>
      <c r="V24" s="209" t="b">
        <v>0</v>
      </c>
    </row>
    <row r="25">
      <c r="A25" s="209" t="inlineStr">
        <is>
          <t>SN1400-P34-BLIND_PATTERN_4_A_3</t>
        </is>
      </c>
      <c r="B25" s="209" t="inlineStr">
        <is>
          <t>BLIND</t>
        </is>
      </c>
      <c r="C25" s="209" t="inlineStr">
        <is>
          <t>PATTERN</t>
        </is>
      </c>
      <c r="D25" s="209" t="inlineStr">
        <is>
          <t>型板4mm-A-3mm</t>
        </is>
      </c>
      <c r="E25" s="246" t="n">
        <v>1.28</v>
      </c>
      <c r="F25" s="246" t="n">
        <v>1.28</v>
      </c>
      <c r="G25" s="246" t="n">
        <v>0.96</v>
      </c>
      <c r="H25" s="246" t="n"/>
      <c r="I25" s="246" t="n">
        <v>1.28</v>
      </c>
      <c r="J25" s="247" t="n"/>
      <c r="K25" s="247" t="n"/>
      <c r="L25" s="247" t="n"/>
      <c r="M25" s="247" t="n"/>
      <c r="N25" s="247" t="n">
        <v>450</v>
      </c>
      <c r="O25" s="247" t="n">
        <v>1900</v>
      </c>
      <c r="P25" s="247" t="n">
        <v>480</v>
      </c>
      <c r="Q25" s="247" t="n">
        <v>1640</v>
      </c>
      <c r="R25" s="209" t="inlineStr">
        <is>
          <t>GLASS_OPENING</t>
        </is>
      </c>
      <c r="S25" s="209" t="inlineStr">
        <is>
          <t>1y0AXa3iB5ycoFMqPGdXPgK1bC9pk3-_G</t>
        </is>
      </c>
      <c r="T25" s="209" t="n">
        <v>34</v>
      </c>
      <c r="U25" s="209" t="n">
        <v>38</v>
      </c>
      <c r="V25" s="209"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2026-10-06T12:24:46Z</dcterms:created>
  <dcterms:modified xmlns:dcterms="http://purl.org/dc/terms/" xmlns:xsi="http://www.w3.org/2001/XMLSchema-instance" xsi:type="dcterms:W3CDTF">2026-10-06T12:29:47Z</dcterms:modified>
</cp:coreProperties>
</file>